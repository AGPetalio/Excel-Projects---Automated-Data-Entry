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tables/table7.xml" ContentType="application/vnd.openxmlformats-officedocument.spreadsheetml.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updateLinks="always" codeName="ThisWorkbook" hidePivotFieldList="1" defaultThemeVersion="124226"/>
  <mc:AlternateContent xmlns:mc="http://schemas.openxmlformats.org/markup-compatibility/2006">
    <mc:Choice Requires="x15">
      <x15ac:absPath xmlns:x15ac="http://schemas.microsoft.com/office/spreadsheetml/2010/11/ac" url="C:\Users\agpet\Downloads\"/>
    </mc:Choice>
  </mc:AlternateContent>
  <xr:revisionPtr revIDLastSave="0" documentId="13_ncr:1_{8E447057-EB55-44D8-A65E-1BBD398AB886}" xr6:coauthVersionLast="47" xr6:coauthVersionMax="47" xr10:uidLastSave="{00000000-0000-0000-0000-000000000000}"/>
  <bookViews>
    <workbookView xWindow="-110" yWindow="-110" windowWidth="19420" windowHeight="11500" tabRatio="505" firstSheet="7" activeTab="11" xr2:uid="{00000000-000D-0000-FFFF-FFFF00000000}"/>
  </bookViews>
  <sheets>
    <sheet name="VALIDATION LIST" sheetId="2" r:id="rId1"/>
    <sheet name="Micro Result DONOTUSE" sheetId="12" state="hidden" r:id="rId2"/>
    <sheet name="MILL SUM (2)" sheetId="19" state="hidden" r:id="rId3"/>
    <sheet name="NIR - WET LAB" sheetId="21" r:id="rId4"/>
    <sheet name="WHEAT SUM" sheetId="3" r:id="rId5"/>
    <sheet name="Sheet1" sheetId="18" state="hidden" r:id="rId6"/>
    <sheet name="MILL SUM" sheetId="11" r:id="rId7"/>
    <sheet name="PACK SUM" sheetId="4" r:id="rId8"/>
    <sheet name="SPECS DATA" sheetId="13" r:id="rId9"/>
    <sheet name="MILL E" sheetId="10" r:id="rId10"/>
    <sheet name="PACKING" sheetId="5" r:id="rId11"/>
    <sheet name="RESGEN" sheetId="1" r:id="rId12"/>
    <sheet name="Detail1" sheetId="22" r:id="rId13"/>
    <sheet name="14% MC Basis" sheetId="20" r:id="rId14"/>
  </sheets>
  <externalReferences>
    <externalReference r:id="rId15"/>
  </externalReferences>
  <definedNames>
    <definedName name="_xlnm._FilterDatabase" localSheetId="6" hidden="1">'MILL SUM'!$A$25:$Q$63</definedName>
    <definedName name="_xlnm._FilterDatabase" localSheetId="2" hidden="1">'MILL SUM (2)'!$A$25:$Q$539</definedName>
    <definedName name="_xlnm._FilterDatabase" localSheetId="7" hidden="1">'PACK SUM'!$A$33:$Y$33</definedName>
    <definedName name="_xlnm._FilterDatabase" localSheetId="0" hidden="1">'VALIDATION LIST'!$A$1:$E$1</definedName>
    <definedName name="_xlnm._FilterDatabase" localSheetId="4" hidden="1">'WHEAT SUM'!$A$9:$L$9</definedName>
    <definedName name="aaa">'[1]SPECS DATA'!$A$2:$A$78</definedName>
    <definedName name="Absmax">'SPECS DATA'!$P$2:$P$84</definedName>
    <definedName name="Absmin">'SPECS DATA'!$O$2:$O$84</definedName>
    <definedName name="Analyst.list">'VALIDATION LIST'!$A$51:$A$58</definedName>
    <definedName name="Ashmax">'SPECS DATA'!$N$2:$N$84</definedName>
    <definedName name="Ashmin">'SPECS DATA'!$M$2:$M$84</definedName>
    <definedName name="CAR1ROW01">'PACK SUM'!$A$1:$Y$1</definedName>
    <definedName name="CAR1ROW02">'PACK SUM'!$A$2:$Y$2</definedName>
    <definedName name="CAR1ROW03">'PACK SUM'!$A$3:$Y$3</definedName>
    <definedName name="CAR1ROW04">'PACK SUM'!$A$4:$Y$4</definedName>
    <definedName name="CAR1ROW05">'PACK SUM'!$A$5:$Y$5</definedName>
    <definedName name="CAR1ROW06">'PACK SUM'!$A$6:$Y$6</definedName>
    <definedName name="CAR1ROW07">'PACK SUM'!$A$7:$Y$7</definedName>
    <definedName name="CAR1ROW08">'PACK SUM'!$A$8:$Y$8</definedName>
    <definedName name="CAR1ROW09">'PACK SUM'!#REF!</definedName>
    <definedName name="CAR1ROW10">'PACK SUM'!#REF!</definedName>
    <definedName name="CAR2ROW01">'PACK SUM'!$A$9:$Y$9</definedName>
    <definedName name="CAR2ROW02">'PACK SUM'!$A$10:$Y$10</definedName>
    <definedName name="CAR2ROW03">'PACK SUM'!$A$11:$Y$11</definedName>
    <definedName name="CAR2ROW04">'PACK SUM'!$A$12:$Y$12</definedName>
    <definedName name="CAR2ROW05">'PACK SUM'!$A$13:$Y$13</definedName>
    <definedName name="CAR2ROW06">'PACK SUM'!$A$14:$Y$14</definedName>
    <definedName name="CAR2ROW07">'PACK SUM'!$A$15:$Y$15</definedName>
    <definedName name="CAR2ROW08">'PACK SUM'!$A$16:$Y$16</definedName>
    <definedName name="Extmax">'SPECS DATA'!$R$2:$R$84</definedName>
    <definedName name="Extmin">'SPECS DATA'!$Q$2:$Q$84</definedName>
    <definedName name="FG">'SPECS DATA'!$A$2:$A$84</definedName>
    <definedName name="GWmax">Table1[Gross Weight, max]</definedName>
    <definedName name="GWmin">Table1[Gross Weight, min]</definedName>
    <definedName name="MC.Flour">'VALIDATION LIST'!$A$2:$A$14</definedName>
    <definedName name="MCmax">'SPECS DATA'!$J$2:$J$84</definedName>
    <definedName name="MCmin">'SPECS DATA'!$I$2:$I$84</definedName>
    <definedName name="MEROW01" localSheetId="2">'MILL SUM (2)'!$A$1:$Q$1</definedName>
    <definedName name="MEROW01">'MILL SUM'!$A$1:$Q$1</definedName>
    <definedName name="MEROW02" localSheetId="2">'MILL SUM (2)'!$A$2:$Q$2</definedName>
    <definedName name="MEROW02">'MILL SUM'!$A$2:$Q$2</definedName>
    <definedName name="MEROW03" localSheetId="2">'MILL SUM (2)'!$A$3:$Q$3</definedName>
    <definedName name="MEROW03">'MILL SUM'!$A$3:$Q$3</definedName>
    <definedName name="MEROW04" localSheetId="2">'MILL SUM (2)'!$A$4:$Q$4</definedName>
    <definedName name="MEROW04">'MILL SUM'!$A$4:$Q$4</definedName>
    <definedName name="MEROW05" localSheetId="2">'MILL SUM (2)'!$A$5:$Q$5</definedName>
    <definedName name="MEROW05">'MILL SUM'!$A$5:$Q$5</definedName>
    <definedName name="MEROW06" localSheetId="2">'MILL SUM (2)'!$A$6:$Q$6</definedName>
    <definedName name="MEROW06">'MILL SUM'!$A$6:$Q$6</definedName>
    <definedName name="MEROW07" localSheetId="2">'MILL SUM (2)'!$A$7:$Q$7</definedName>
    <definedName name="MEROW07">'MILL SUM'!$A$7:$Q$7</definedName>
    <definedName name="MEROW08" localSheetId="2">'MILL SUM (2)'!$A$8:$Q$8</definedName>
    <definedName name="MEROW08">'MILL SUM'!$A$8:$Q$8</definedName>
    <definedName name="MEROW09" localSheetId="2">'MILL SUM (2)'!$A$9:$Q$9</definedName>
    <definedName name="MEROW09">'MILL SUM'!$A$9:$Q$9</definedName>
    <definedName name="MEROW10" localSheetId="2">'MILL SUM (2)'!$A$10:$Q$10</definedName>
    <definedName name="MEROW10">'MILL SUM'!$A$10:$Q$10</definedName>
    <definedName name="MF.Flour">'VALIDATION LIST'!#REF!</definedName>
    <definedName name="MIllBProducts">PACKING!#REF!</definedName>
    <definedName name="MillCProducts">#REF!</definedName>
    <definedName name="MillFProducts" localSheetId="9">'MILL E'!#REF!</definedName>
    <definedName name="MillFProducts">#REF!</definedName>
    <definedName name="Protmax">'SPECS DATA'!$L$2:$L$84</definedName>
    <definedName name="Protmin">'SPECS DATA'!$K$2:$K$84</definedName>
    <definedName name="Resmax">'SPECS DATA'!$T$2:$T$84</definedName>
    <definedName name="Resmin">'SPECS DATA'!$S$2:$S$84</definedName>
    <definedName name="SKU.list">'VALIDATION LIST'!$D$2:$D$157</definedName>
    <definedName name="Slicer_Month">#N/A</definedName>
    <definedName name="SMI">'SPECS DATA'!$D$2:$D$84</definedName>
    <definedName name="Soft.Flour">'VALIDATION LIST'!#REF!</definedName>
    <definedName name="WGmax">'SPECS DATA'!$V$2:$V$84</definedName>
    <definedName name="WGmin">'SPECS DATA'!$U$2:$U$84</definedName>
    <definedName name="Wheat.list">'VALIDATION LIST'!$A$27:$A$29</definedName>
  </definedNames>
  <calcPr calcId="191029"/>
  <pivotCaches>
    <pivotCache cacheId="0" r:id="rId1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19" i="1" l="1"/>
  <c r="AD19" i="1"/>
  <c r="AD18" i="1"/>
  <c r="AC19" i="1"/>
  <c r="AE19" i="1" s="1"/>
  <c r="AC18" i="1"/>
  <c r="AE18" i="1" s="1"/>
  <c r="AF18" i="1"/>
  <c r="AG18" i="1"/>
  <c r="AH18" i="1"/>
  <c r="AF19" i="1"/>
  <c r="AG19" i="1"/>
  <c r="AE20" i="1"/>
  <c r="AF20" i="1"/>
  <c r="AI20" i="1" s="1"/>
  <c r="AG20" i="1"/>
  <c r="AH20" i="1"/>
  <c r="AJ18" i="1" l="1"/>
  <c r="AJ19" i="1"/>
  <c r="AJ20" i="1"/>
  <c r="AK18" i="1"/>
  <c r="AI19" i="1"/>
  <c r="AK20" i="1"/>
  <c r="AK19" i="1"/>
  <c r="AI18" i="1"/>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34" i="4"/>
  <c r="AA18" i="1"/>
  <c r="AB18" i="1"/>
  <c r="AA19" i="1"/>
  <c r="AB19" i="1"/>
  <c r="AA20" i="1"/>
  <c r="AB20" i="1"/>
  <c r="O12" i="4"/>
  <c r="P12" i="4"/>
  <c r="Q12" i="4"/>
  <c r="R12" i="4"/>
  <c r="S12" i="4"/>
  <c r="T12" i="4"/>
  <c r="L7" i="4"/>
  <c r="H24" i="4"/>
  <c r="H10" i="4"/>
  <c r="H11" i="4"/>
  <c r="F31" i="10"/>
  <c r="F32" i="10"/>
  <c r="F33" i="10"/>
  <c r="F34" i="10"/>
  <c r="F35" i="10"/>
  <c r="F36" i="10"/>
  <c r="F37" i="10"/>
  <c r="Z27" i="4" l="1"/>
  <c r="Z26" i="4"/>
  <c r="Y26" i="4" l="1"/>
  <c r="Y27" i="4"/>
  <c r="Y28" i="4"/>
  <c r="Y29" i="4"/>
  <c r="Y30" i="4"/>
  <c r="Y31" i="4"/>
  <c r="Y32" i="4"/>
  <c r="Y20" i="4"/>
  <c r="Y21" i="4"/>
  <c r="Y22" i="4"/>
  <c r="Y23" i="4"/>
  <c r="Y24" i="4"/>
  <c r="Y19" i="4"/>
  <c r="Y18" i="4"/>
  <c r="Y17" i="4"/>
  <c r="N10" i="4"/>
  <c r="O10" i="4"/>
  <c r="P10" i="4"/>
  <c r="Q10" i="4"/>
  <c r="R10" i="4"/>
  <c r="S10" i="4"/>
  <c r="T10" i="4"/>
  <c r="N11" i="4"/>
  <c r="O11" i="4"/>
  <c r="P11" i="4"/>
  <c r="Q11" i="4"/>
  <c r="R11" i="4"/>
  <c r="S11" i="4"/>
  <c r="T11" i="4"/>
  <c r="N12" i="4"/>
  <c r="N13" i="4"/>
  <c r="O13" i="4"/>
  <c r="P13" i="4"/>
  <c r="Q13" i="4"/>
  <c r="R13" i="4"/>
  <c r="S13" i="4"/>
  <c r="T13" i="4"/>
  <c r="N14" i="4"/>
  <c r="O14" i="4"/>
  <c r="P14" i="4"/>
  <c r="Q14" i="4"/>
  <c r="R14" i="4"/>
  <c r="S14" i="4"/>
  <c r="T14" i="4"/>
  <c r="N15" i="4"/>
  <c r="O15" i="4"/>
  <c r="P15" i="4"/>
  <c r="Q15" i="4"/>
  <c r="R15" i="4"/>
  <c r="S15" i="4"/>
  <c r="T15" i="4"/>
  <c r="N16" i="4"/>
  <c r="O16" i="4"/>
  <c r="P16" i="4"/>
  <c r="Q16" i="4"/>
  <c r="R16" i="4"/>
  <c r="S16" i="4"/>
  <c r="T16" i="4"/>
  <c r="R9" i="4"/>
  <c r="S9" i="4"/>
  <c r="T9" i="4"/>
  <c r="M10" i="4"/>
  <c r="M11" i="4"/>
  <c r="M12" i="4"/>
  <c r="M13" i="4"/>
  <c r="M14" i="4"/>
  <c r="M15" i="4"/>
  <c r="M16" i="4"/>
  <c r="Q9" i="4"/>
  <c r="P9" i="4"/>
  <c r="O9" i="4"/>
  <c r="N9" i="4"/>
  <c r="H16" i="4"/>
  <c r="H15" i="4"/>
  <c r="H14" i="4"/>
  <c r="H13" i="4"/>
  <c r="H12" i="4"/>
  <c r="H9" i="4"/>
  <c r="AB12" i="1"/>
  <c r="AB13" i="1"/>
  <c r="AB14" i="1"/>
  <c r="AB15" i="1"/>
  <c r="AB16" i="1"/>
  <c r="AB17" i="1"/>
  <c r="AB11" i="1"/>
  <c r="AF17" i="1"/>
  <c r="AE17" i="1"/>
  <c r="AH17" i="1"/>
  <c r="AG17" i="1"/>
  <c r="AA17" i="1"/>
  <c r="AJ17" i="1" l="1"/>
  <c r="AK17" i="1"/>
  <c r="AI17" i="1"/>
  <c r="AE16" i="1" l="1"/>
  <c r="AF16" i="1"/>
  <c r="AG16" i="1"/>
  <c r="AH16" i="1"/>
  <c r="AJ16" i="1" l="1"/>
  <c r="AK16" i="1"/>
  <c r="AI16" i="1"/>
  <c r="AA16" i="1" l="1"/>
  <c r="U11" i="4"/>
  <c r="V11" i="4"/>
  <c r="W11" i="4"/>
  <c r="B3" i="20"/>
  <c r="Y3" i="4" l="1"/>
  <c r="Y4" i="4"/>
  <c r="Y5" i="4"/>
  <c r="H3" i="4"/>
  <c r="H4" i="4"/>
  <c r="H5" i="4"/>
  <c r="H6" i="4"/>
  <c r="H7" i="4"/>
  <c r="H8" i="4"/>
  <c r="G3" i="4"/>
  <c r="G4" i="4"/>
  <c r="G5" i="4"/>
  <c r="G6" i="4"/>
  <c r="G7" i="4"/>
  <c r="G8" i="4"/>
  <c r="C3" i="4"/>
  <c r="C4" i="4"/>
  <c r="C5" i="4"/>
  <c r="C6" i="4"/>
  <c r="C7" i="4"/>
  <c r="C8" i="4"/>
  <c r="C1" i="4"/>
  <c r="N20" i="4"/>
  <c r="AA35" i="4"/>
  <c r="AB35" i="4"/>
  <c r="AC35" i="4"/>
  <c r="AD35" i="4"/>
  <c r="AE35" i="4"/>
  <c r="AF35" i="4"/>
  <c r="AG35" i="4"/>
  <c r="AH35" i="4"/>
  <c r="AI35" i="4"/>
  <c r="AJ35" i="4"/>
  <c r="AM35" i="4"/>
  <c r="AN35" i="4"/>
  <c r="AO35" i="4"/>
  <c r="AA36" i="4"/>
  <c r="AB36" i="4"/>
  <c r="AC36" i="4"/>
  <c r="AD36" i="4"/>
  <c r="AE36" i="4"/>
  <c r="AF36" i="4"/>
  <c r="AG36" i="4"/>
  <c r="AH36" i="4"/>
  <c r="AI36" i="4"/>
  <c r="AJ36" i="4"/>
  <c r="AM36" i="4"/>
  <c r="AN36" i="4"/>
  <c r="AO36" i="4"/>
  <c r="AA37" i="4"/>
  <c r="AB37" i="4"/>
  <c r="AC37" i="4"/>
  <c r="AD37" i="4"/>
  <c r="AE37" i="4"/>
  <c r="AF37" i="4"/>
  <c r="AG37" i="4"/>
  <c r="AH37" i="4"/>
  <c r="AI37" i="4"/>
  <c r="AJ37" i="4"/>
  <c r="AM37" i="4"/>
  <c r="AN37" i="4"/>
  <c r="AO37" i="4"/>
  <c r="AA38" i="4"/>
  <c r="AB38" i="4"/>
  <c r="AC38" i="4"/>
  <c r="AD38" i="4"/>
  <c r="AE38" i="4"/>
  <c r="AF38" i="4"/>
  <c r="AG38" i="4"/>
  <c r="AH38" i="4"/>
  <c r="AI38" i="4"/>
  <c r="AJ38" i="4"/>
  <c r="AM38" i="4"/>
  <c r="AN38" i="4"/>
  <c r="AO38" i="4"/>
  <c r="AA39" i="4"/>
  <c r="AB39" i="4"/>
  <c r="AC39" i="4"/>
  <c r="AD39" i="4"/>
  <c r="AE39" i="4"/>
  <c r="AF39" i="4"/>
  <c r="AG39" i="4"/>
  <c r="AH39" i="4"/>
  <c r="AI39" i="4"/>
  <c r="AJ39" i="4"/>
  <c r="AM39" i="4"/>
  <c r="AN39" i="4"/>
  <c r="AO39" i="4"/>
  <c r="AA40" i="4"/>
  <c r="AB40" i="4"/>
  <c r="AC40" i="4"/>
  <c r="AD40" i="4"/>
  <c r="AE40" i="4"/>
  <c r="AF40" i="4"/>
  <c r="AG40" i="4"/>
  <c r="AH40" i="4"/>
  <c r="AI40" i="4"/>
  <c r="AJ40" i="4"/>
  <c r="AM40" i="4"/>
  <c r="AN40" i="4"/>
  <c r="AO40" i="4"/>
  <c r="AA41" i="4"/>
  <c r="AB41" i="4"/>
  <c r="AC41" i="4"/>
  <c r="AD41" i="4"/>
  <c r="AE41" i="4"/>
  <c r="AF41" i="4"/>
  <c r="AG41" i="4"/>
  <c r="AH41" i="4"/>
  <c r="AI41" i="4"/>
  <c r="AJ41" i="4"/>
  <c r="AM41" i="4"/>
  <c r="AN41" i="4"/>
  <c r="AO41" i="4"/>
  <c r="AA42" i="4"/>
  <c r="AB42" i="4"/>
  <c r="AC42" i="4"/>
  <c r="AD42" i="4"/>
  <c r="AE42" i="4"/>
  <c r="AF42" i="4"/>
  <c r="AG42" i="4"/>
  <c r="AH42" i="4"/>
  <c r="AI42" i="4"/>
  <c r="AJ42" i="4"/>
  <c r="AM42" i="4"/>
  <c r="AN42" i="4"/>
  <c r="AO42" i="4"/>
  <c r="AA43" i="4"/>
  <c r="AB43" i="4"/>
  <c r="AC43" i="4"/>
  <c r="AD43" i="4"/>
  <c r="AE43" i="4"/>
  <c r="AF43" i="4"/>
  <c r="AG43" i="4"/>
  <c r="AH43" i="4"/>
  <c r="AI43" i="4"/>
  <c r="AJ43" i="4"/>
  <c r="AM43" i="4"/>
  <c r="AN43" i="4"/>
  <c r="AO43" i="4"/>
  <c r="AA44" i="4"/>
  <c r="AB44" i="4"/>
  <c r="AC44" i="4"/>
  <c r="AD44" i="4"/>
  <c r="AE44" i="4"/>
  <c r="AF44" i="4"/>
  <c r="AG44" i="4"/>
  <c r="AH44" i="4"/>
  <c r="AI44" i="4"/>
  <c r="AJ44" i="4"/>
  <c r="AM44" i="4"/>
  <c r="AN44" i="4"/>
  <c r="AO44" i="4"/>
  <c r="AA45" i="4"/>
  <c r="AB45" i="4"/>
  <c r="AC45" i="4"/>
  <c r="AD45" i="4"/>
  <c r="AE45" i="4"/>
  <c r="AF45" i="4"/>
  <c r="AG45" i="4"/>
  <c r="AH45" i="4"/>
  <c r="AI45" i="4"/>
  <c r="AJ45" i="4"/>
  <c r="AM45" i="4"/>
  <c r="AN45" i="4"/>
  <c r="AO45" i="4"/>
  <c r="AA46" i="4"/>
  <c r="AB46" i="4"/>
  <c r="AC46" i="4"/>
  <c r="AD46" i="4"/>
  <c r="AE46" i="4"/>
  <c r="AF46" i="4"/>
  <c r="AG46" i="4"/>
  <c r="AH46" i="4"/>
  <c r="AI46" i="4"/>
  <c r="AJ46" i="4"/>
  <c r="AM46" i="4"/>
  <c r="AN46" i="4"/>
  <c r="AO46" i="4"/>
  <c r="AA47" i="4"/>
  <c r="AB47" i="4"/>
  <c r="AC47" i="4"/>
  <c r="AD47" i="4"/>
  <c r="AE47" i="4"/>
  <c r="AF47" i="4"/>
  <c r="AG47" i="4"/>
  <c r="AH47" i="4"/>
  <c r="AI47" i="4"/>
  <c r="AJ47" i="4"/>
  <c r="AM47" i="4"/>
  <c r="AN47" i="4"/>
  <c r="AO47" i="4"/>
  <c r="AA48" i="4"/>
  <c r="AB48" i="4"/>
  <c r="AC48" i="4"/>
  <c r="AD48" i="4"/>
  <c r="AE48" i="4"/>
  <c r="AF48" i="4"/>
  <c r="AG48" i="4"/>
  <c r="AH48" i="4"/>
  <c r="AI48" i="4"/>
  <c r="AJ48" i="4"/>
  <c r="AM48" i="4"/>
  <c r="AN48" i="4"/>
  <c r="AO48" i="4"/>
  <c r="AA49" i="4"/>
  <c r="AB49" i="4"/>
  <c r="AC49" i="4"/>
  <c r="AD49" i="4"/>
  <c r="AE49" i="4"/>
  <c r="AF49" i="4"/>
  <c r="AG49" i="4"/>
  <c r="AH49" i="4"/>
  <c r="AI49" i="4"/>
  <c r="AJ49" i="4"/>
  <c r="AM49" i="4"/>
  <c r="AN49" i="4"/>
  <c r="AO49" i="4"/>
  <c r="AA50" i="4"/>
  <c r="AB50" i="4"/>
  <c r="AC50" i="4"/>
  <c r="AD50" i="4"/>
  <c r="AE50" i="4"/>
  <c r="AF50" i="4"/>
  <c r="AG50" i="4"/>
  <c r="AH50" i="4"/>
  <c r="AI50" i="4"/>
  <c r="AJ50" i="4"/>
  <c r="AM50" i="4"/>
  <c r="AN50" i="4"/>
  <c r="AO50" i="4"/>
  <c r="AA51" i="4"/>
  <c r="AB51" i="4"/>
  <c r="AC51" i="4"/>
  <c r="AD51" i="4"/>
  <c r="AE51" i="4"/>
  <c r="AF51" i="4"/>
  <c r="AG51" i="4"/>
  <c r="AH51" i="4"/>
  <c r="AI51" i="4"/>
  <c r="AJ51" i="4"/>
  <c r="AM51" i="4"/>
  <c r="AN51" i="4"/>
  <c r="AO51" i="4"/>
  <c r="AA52" i="4"/>
  <c r="AB52" i="4"/>
  <c r="AC52" i="4"/>
  <c r="AD52" i="4"/>
  <c r="AE52" i="4"/>
  <c r="AF52" i="4"/>
  <c r="AG52" i="4"/>
  <c r="AH52" i="4"/>
  <c r="AI52" i="4"/>
  <c r="AJ52" i="4"/>
  <c r="AM52" i="4"/>
  <c r="AN52" i="4"/>
  <c r="AO52" i="4"/>
  <c r="AA53" i="4"/>
  <c r="AB53" i="4"/>
  <c r="AC53" i="4"/>
  <c r="AD53" i="4"/>
  <c r="AE53" i="4"/>
  <c r="AF53" i="4"/>
  <c r="AG53" i="4"/>
  <c r="AH53" i="4"/>
  <c r="AI53" i="4"/>
  <c r="AJ53" i="4"/>
  <c r="AM53" i="4"/>
  <c r="AN53" i="4"/>
  <c r="AO53" i="4"/>
  <c r="AA54" i="4"/>
  <c r="AB54" i="4"/>
  <c r="AC54" i="4"/>
  <c r="AD54" i="4"/>
  <c r="AE54" i="4"/>
  <c r="AF54" i="4"/>
  <c r="AG54" i="4"/>
  <c r="AH54" i="4"/>
  <c r="AI54" i="4"/>
  <c r="AJ54" i="4"/>
  <c r="AM54" i="4"/>
  <c r="AN54" i="4"/>
  <c r="AO54" i="4"/>
  <c r="AA55" i="4"/>
  <c r="AB55" i="4"/>
  <c r="AC55" i="4"/>
  <c r="AD55" i="4"/>
  <c r="AE55" i="4"/>
  <c r="AF55" i="4"/>
  <c r="AG55" i="4"/>
  <c r="AH55" i="4"/>
  <c r="AI55" i="4"/>
  <c r="AJ55" i="4"/>
  <c r="AM55" i="4"/>
  <c r="AN55" i="4"/>
  <c r="AO55" i="4"/>
  <c r="AA56" i="4"/>
  <c r="AB56" i="4"/>
  <c r="AC56" i="4"/>
  <c r="AD56" i="4"/>
  <c r="AE56" i="4"/>
  <c r="AF56" i="4"/>
  <c r="AG56" i="4"/>
  <c r="AH56" i="4"/>
  <c r="AI56" i="4"/>
  <c r="AJ56" i="4"/>
  <c r="AM56" i="4"/>
  <c r="AN56" i="4"/>
  <c r="AO56" i="4"/>
  <c r="AA57" i="4"/>
  <c r="AB57" i="4"/>
  <c r="AC57" i="4"/>
  <c r="AD57" i="4"/>
  <c r="AE57" i="4"/>
  <c r="AF57" i="4"/>
  <c r="AG57" i="4"/>
  <c r="AH57" i="4"/>
  <c r="AI57" i="4"/>
  <c r="AJ57" i="4"/>
  <c r="AM57" i="4"/>
  <c r="AN57" i="4"/>
  <c r="AO57" i="4"/>
  <c r="AA58" i="4"/>
  <c r="AB58" i="4"/>
  <c r="AC58" i="4"/>
  <c r="AD58" i="4"/>
  <c r="AE58" i="4"/>
  <c r="AF58" i="4"/>
  <c r="AG58" i="4"/>
  <c r="AH58" i="4"/>
  <c r="AI58" i="4"/>
  <c r="AJ58" i="4"/>
  <c r="AM58" i="4"/>
  <c r="AN58" i="4"/>
  <c r="AO58" i="4"/>
  <c r="AA59" i="4"/>
  <c r="AB59" i="4"/>
  <c r="AC59" i="4"/>
  <c r="AD59" i="4"/>
  <c r="AE59" i="4"/>
  <c r="AF59" i="4"/>
  <c r="AG59" i="4"/>
  <c r="AH59" i="4"/>
  <c r="AI59" i="4"/>
  <c r="AJ59" i="4"/>
  <c r="AM59" i="4"/>
  <c r="AN59" i="4"/>
  <c r="AO59" i="4"/>
  <c r="AA60" i="4"/>
  <c r="AB60" i="4"/>
  <c r="AC60" i="4"/>
  <c r="AD60" i="4"/>
  <c r="AE60" i="4"/>
  <c r="AF60" i="4"/>
  <c r="AG60" i="4"/>
  <c r="AH60" i="4"/>
  <c r="AI60" i="4"/>
  <c r="AJ60" i="4"/>
  <c r="AM60" i="4"/>
  <c r="AN60" i="4"/>
  <c r="AO60" i="4"/>
  <c r="AA61" i="4"/>
  <c r="AB61" i="4"/>
  <c r="AC61" i="4"/>
  <c r="AD61" i="4"/>
  <c r="AE61" i="4"/>
  <c r="AF61" i="4"/>
  <c r="AG61" i="4"/>
  <c r="AH61" i="4"/>
  <c r="AI61" i="4"/>
  <c r="AJ61" i="4"/>
  <c r="AM61" i="4"/>
  <c r="AN61" i="4"/>
  <c r="AO61" i="4"/>
  <c r="AA62" i="4"/>
  <c r="AB62" i="4"/>
  <c r="AC62" i="4"/>
  <c r="AD62" i="4"/>
  <c r="AE62" i="4"/>
  <c r="AF62" i="4"/>
  <c r="AG62" i="4"/>
  <c r="AH62" i="4"/>
  <c r="AI62" i="4"/>
  <c r="AJ62" i="4"/>
  <c r="AM62" i="4"/>
  <c r="AN62" i="4"/>
  <c r="AO62" i="4"/>
  <c r="AA63" i="4"/>
  <c r="AB63" i="4"/>
  <c r="AC63" i="4"/>
  <c r="AD63" i="4"/>
  <c r="AE63" i="4"/>
  <c r="AF63" i="4"/>
  <c r="AG63" i="4"/>
  <c r="AH63" i="4"/>
  <c r="AI63" i="4"/>
  <c r="AJ63" i="4"/>
  <c r="AM63" i="4"/>
  <c r="AN63" i="4"/>
  <c r="AO63" i="4"/>
  <c r="AA64" i="4"/>
  <c r="AB64" i="4"/>
  <c r="AC64" i="4"/>
  <c r="AD64" i="4"/>
  <c r="AE64" i="4"/>
  <c r="AF64" i="4"/>
  <c r="AG64" i="4"/>
  <c r="AH64" i="4"/>
  <c r="AI64" i="4"/>
  <c r="AJ64" i="4"/>
  <c r="AM64" i="4"/>
  <c r="AN64" i="4"/>
  <c r="AO64" i="4"/>
  <c r="AA65" i="4"/>
  <c r="AB65" i="4"/>
  <c r="AC65" i="4"/>
  <c r="AD65" i="4"/>
  <c r="AE65" i="4"/>
  <c r="AF65" i="4"/>
  <c r="AG65" i="4"/>
  <c r="AH65" i="4"/>
  <c r="AI65" i="4"/>
  <c r="AJ65" i="4"/>
  <c r="AM65" i="4"/>
  <c r="AN65" i="4"/>
  <c r="AO65" i="4"/>
  <c r="AA66" i="4"/>
  <c r="AB66" i="4"/>
  <c r="AC66" i="4"/>
  <c r="AD66" i="4"/>
  <c r="AE66" i="4"/>
  <c r="AF66" i="4"/>
  <c r="AG66" i="4"/>
  <c r="AH66" i="4"/>
  <c r="AI66" i="4"/>
  <c r="AJ66" i="4"/>
  <c r="AM66" i="4"/>
  <c r="AN66" i="4"/>
  <c r="AO66" i="4"/>
  <c r="AA67" i="4"/>
  <c r="AB67" i="4"/>
  <c r="AC67" i="4"/>
  <c r="AD67" i="4"/>
  <c r="AE67" i="4"/>
  <c r="AF67" i="4"/>
  <c r="AG67" i="4"/>
  <c r="AH67" i="4"/>
  <c r="AI67" i="4"/>
  <c r="AJ67" i="4"/>
  <c r="AM67" i="4"/>
  <c r="AN67" i="4"/>
  <c r="AO67" i="4"/>
  <c r="AA68" i="4"/>
  <c r="AB68" i="4"/>
  <c r="AC68" i="4"/>
  <c r="AD68" i="4"/>
  <c r="AE68" i="4"/>
  <c r="AF68" i="4"/>
  <c r="AG68" i="4"/>
  <c r="AH68" i="4"/>
  <c r="AI68" i="4"/>
  <c r="AJ68" i="4"/>
  <c r="AM68" i="4"/>
  <c r="AN68" i="4"/>
  <c r="AO68" i="4"/>
  <c r="AA69" i="4"/>
  <c r="AB69" i="4"/>
  <c r="AC69" i="4"/>
  <c r="AD69" i="4"/>
  <c r="AE69" i="4"/>
  <c r="AF69" i="4"/>
  <c r="AG69" i="4"/>
  <c r="AH69" i="4"/>
  <c r="AI69" i="4"/>
  <c r="AJ69" i="4"/>
  <c r="AM69" i="4"/>
  <c r="AN69" i="4"/>
  <c r="AO69" i="4"/>
  <c r="AA70" i="4"/>
  <c r="AB70" i="4"/>
  <c r="AC70" i="4"/>
  <c r="AD70" i="4"/>
  <c r="AE70" i="4"/>
  <c r="AF70" i="4"/>
  <c r="AG70" i="4"/>
  <c r="AH70" i="4"/>
  <c r="AI70" i="4"/>
  <c r="AJ70" i="4"/>
  <c r="AM70" i="4"/>
  <c r="AN70" i="4"/>
  <c r="AO70" i="4"/>
  <c r="AA71" i="4"/>
  <c r="AB71" i="4"/>
  <c r="AC71" i="4"/>
  <c r="AD71" i="4"/>
  <c r="AE71" i="4"/>
  <c r="AF71" i="4"/>
  <c r="AG71" i="4"/>
  <c r="AH71" i="4"/>
  <c r="AI71" i="4"/>
  <c r="AJ71" i="4"/>
  <c r="AM71" i="4"/>
  <c r="AN71" i="4"/>
  <c r="AO71" i="4"/>
  <c r="AA72" i="4"/>
  <c r="AB72" i="4"/>
  <c r="AC72" i="4"/>
  <c r="AD72" i="4"/>
  <c r="AE72" i="4"/>
  <c r="AF72" i="4"/>
  <c r="AG72" i="4"/>
  <c r="AH72" i="4"/>
  <c r="AI72" i="4"/>
  <c r="AJ72" i="4"/>
  <c r="AM72" i="4"/>
  <c r="AN72" i="4"/>
  <c r="AO72" i="4"/>
  <c r="AA73" i="4"/>
  <c r="AB73" i="4"/>
  <c r="AC73" i="4"/>
  <c r="AD73" i="4"/>
  <c r="AE73" i="4"/>
  <c r="AF73" i="4"/>
  <c r="AG73" i="4"/>
  <c r="AH73" i="4"/>
  <c r="AI73" i="4"/>
  <c r="AJ73" i="4"/>
  <c r="AM73" i="4"/>
  <c r="AN73" i="4"/>
  <c r="AO73" i="4"/>
  <c r="AA74" i="4"/>
  <c r="AB74" i="4"/>
  <c r="AC74" i="4"/>
  <c r="AD74" i="4"/>
  <c r="AE74" i="4"/>
  <c r="AF74" i="4"/>
  <c r="AG74" i="4"/>
  <c r="AH74" i="4"/>
  <c r="AI74" i="4"/>
  <c r="AJ74" i="4"/>
  <c r="AM74" i="4"/>
  <c r="AN74" i="4"/>
  <c r="AO74" i="4"/>
  <c r="AA75" i="4"/>
  <c r="AB75" i="4"/>
  <c r="AC75" i="4"/>
  <c r="AD75" i="4"/>
  <c r="AE75" i="4"/>
  <c r="AF75" i="4"/>
  <c r="AG75" i="4"/>
  <c r="AH75" i="4"/>
  <c r="AI75" i="4"/>
  <c r="AJ75" i="4"/>
  <c r="AM75" i="4"/>
  <c r="AN75" i="4"/>
  <c r="AO75" i="4"/>
  <c r="AA76" i="4"/>
  <c r="AB76" i="4"/>
  <c r="AC76" i="4"/>
  <c r="AD76" i="4"/>
  <c r="AE76" i="4"/>
  <c r="AF76" i="4"/>
  <c r="AG76" i="4"/>
  <c r="AH76" i="4"/>
  <c r="AI76" i="4"/>
  <c r="AJ76" i="4"/>
  <c r="AM76" i="4"/>
  <c r="AN76" i="4"/>
  <c r="AO76" i="4"/>
  <c r="AA77" i="4"/>
  <c r="AB77" i="4"/>
  <c r="AC77" i="4"/>
  <c r="AD77" i="4"/>
  <c r="AE77" i="4"/>
  <c r="AF77" i="4"/>
  <c r="AG77" i="4"/>
  <c r="AH77" i="4"/>
  <c r="AI77" i="4"/>
  <c r="AJ77" i="4"/>
  <c r="AM77" i="4"/>
  <c r="AN77" i="4"/>
  <c r="AO77" i="4"/>
  <c r="AA78" i="4"/>
  <c r="AB78" i="4"/>
  <c r="AC78" i="4"/>
  <c r="AD78" i="4"/>
  <c r="AE78" i="4"/>
  <c r="AF78" i="4"/>
  <c r="AG78" i="4"/>
  <c r="AH78" i="4"/>
  <c r="AI78" i="4"/>
  <c r="AJ78" i="4"/>
  <c r="AM78" i="4"/>
  <c r="AN78" i="4"/>
  <c r="AO78" i="4"/>
  <c r="AA79" i="4"/>
  <c r="AB79" i="4"/>
  <c r="AC79" i="4"/>
  <c r="AD79" i="4"/>
  <c r="AE79" i="4"/>
  <c r="AF79" i="4"/>
  <c r="AG79" i="4"/>
  <c r="AH79" i="4"/>
  <c r="AI79" i="4"/>
  <c r="AJ79" i="4"/>
  <c r="AM79" i="4"/>
  <c r="AN79" i="4"/>
  <c r="AO79" i="4"/>
  <c r="AA80" i="4"/>
  <c r="AB80" i="4"/>
  <c r="AC80" i="4"/>
  <c r="AD80" i="4"/>
  <c r="AE80" i="4"/>
  <c r="AF80" i="4"/>
  <c r="AG80" i="4"/>
  <c r="AH80" i="4"/>
  <c r="AI80" i="4"/>
  <c r="AJ80" i="4"/>
  <c r="AM80" i="4"/>
  <c r="AN80" i="4"/>
  <c r="AO80" i="4"/>
  <c r="AA81" i="4"/>
  <c r="AB81" i="4"/>
  <c r="AC81" i="4"/>
  <c r="AD81" i="4"/>
  <c r="AE81" i="4"/>
  <c r="AF81" i="4"/>
  <c r="AG81" i="4"/>
  <c r="AH81" i="4"/>
  <c r="AI81" i="4"/>
  <c r="AJ81" i="4"/>
  <c r="AM81" i="4"/>
  <c r="AN81" i="4"/>
  <c r="AO81" i="4"/>
  <c r="AA82" i="4"/>
  <c r="AB82" i="4"/>
  <c r="AC82" i="4"/>
  <c r="AD82" i="4"/>
  <c r="AE82" i="4"/>
  <c r="AF82" i="4"/>
  <c r="AG82" i="4"/>
  <c r="AH82" i="4"/>
  <c r="AI82" i="4"/>
  <c r="AJ82" i="4"/>
  <c r="AM82" i="4"/>
  <c r="AN82" i="4"/>
  <c r="AO82" i="4"/>
  <c r="AA83" i="4"/>
  <c r="AB83" i="4"/>
  <c r="AC83" i="4"/>
  <c r="AD83" i="4"/>
  <c r="AE83" i="4"/>
  <c r="AF83" i="4"/>
  <c r="AG83" i="4"/>
  <c r="AH83" i="4"/>
  <c r="AI83" i="4"/>
  <c r="AJ83" i="4"/>
  <c r="AM83" i="4"/>
  <c r="AN83" i="4"/>
  <c r="AO83" i="4"/>
  <c r="AA84" i="4"/>
  <c r="AB84" i="4"/>
  <c r="AC84" i="4"/>
  <c r="AD84" i="4"/>
  <c r="AE84" i="4"/>
  <c r="AF84" i="4"/>
  <c r="AG84" i="4"/>
  <c r="AH84" i="4"/>
  <c r="AI84" i="4"/>
  <c r="AJ84" i="4"/>
  <c r="AM84" i="4"/>
  <c r="AN84" i="4"/>
  <c r="AO84" i="4"/>
  <c r="AA85" i="4"/>
  <c r="AB85" i="4"/>
  <c r="AC85" i="4"/>
  <c r="AD85" i="4"/>
  <c r="AE85" i="4"/>
  <c r="AF85" i="4"/>
  <c r="AG85" i="4"/>
  <c r="AH85" i="4"/>
  <c r="AI85" i="4"/>
  <c r="AJ85" i="4"/>
  <c r="AM85" i="4"/>
  <c r="AN85" i="4"/>
  <c r="AO85" i="4"/>
  <c r="AA86" i="4"/>
  <c r="AB86" i="4"/>
  <c r="AC86" i="4"/>
  <c r="AD86" i="4"/>
  <c r="AE86" i="4"/>
  <c r="AF86" i="4"/>
  <c r="AG86" i="4"/>
  <c r="AH86" i="4"/>
  <c r="AI86" i="4"/>
  <c r="AJ86" i="4"/>
  <c r="AM86" i="4"/>
  <c r="AN86" i="4"/>
  <c r="AO86" i="4"/>
  <c r="AA87" i="4"/>
  <c r="AB87" i="4"/>
  <c r="AC87" i="4"/>
  <c r="AD87" i="4"/>
  <c r="AE87" i="4"/>
  <c r="AF87" i="4"/>
  <c r="AG87" i="4"/>
  <c r="AH87" i="4"/>
  <c r="AI87" i="4"/>
  <c r="AJ87" i="4"/>
  <c r="AM87" i="4"/>
  <c r="AN87" i="4"/>
  <c r="AO87" i="4"/>
  <c r="AA88" i="4"/>
  <c r="AB88" i="4"/>
  <c r="AC88" i="4"/>
  <c r="AD88" i="4"/>
  <c r="AE88" i="4"/>
  <c r="AF88" i="4"/>
  <c r="AG88" i="4"/>
  <c r="AH88" i="4"/>
  <c r="AI88" i="4"/>
  <c r="AJ88" i="4"/>
  <c r="AM88" i="4"/>
  <c r="AN88" i="4"/>
  <c r="AO88" i="4"/>
  <c r="AA89" i="4"/>
  <c r="AB89" i="4"/>
  <c r="AC89" i="4"/>
  <c r="AD89" i="4"/>
  <c r="AE89" i="4"/>
  <c r="AF89" i="4"/>
  <c r="AG89" i="4"/>
  <c r="AH89" i="4"/>
  <c r="AI89" i="4"/>
  <c r="AJ89" i="4"/>
  <c r="AM89" i="4"/>
  <c r="AN89" i="4"/>
  <c r="AO89" i="4"/>
  <c r="AA90" i="4"/>
  <c r="AB90" i="4"/>
  <c r="AC90" i="4"/>
  <c r="AD90" i="4"/>
  <c r="AE90" i="4"/>
  <c r="AF90" i="4"/>
  <c r="AG90" i="4"/>
  <c r="AH90" i="4"/>
  <c r="AI90" i="4"/>
  <c r="AJ90" i="4"/>
  <c r="AM90" i="4"/>
  <c r="AN90" i="4"/>
  <c r="AO90" i="4"/>
  <c r="AA91" i="4"/>
  <c r="AB91" i="4"/>
  <c r="AC91" i="4"/>
  <c r="AD91" i="4"/>
  <c r="AE91" i="4"/>
  <c r="AF91" i="4"/>
  <c r="AG91" i="4"/>
  <c r="AH91" i="4"/>
  <c r="AI91" i="4"/>
  <c r="AJ91" i="4"/>
  <c r="AM91" i="4"/>
  <c r="AN91" i="4"/>
  <c r="AO91" i="4"/>
  <c r="AA92" i="4"/>
  <c r="AB92" i="4"/>
  <c r="AC92" i="4"/>
  <c r="AD92" i="4"/>
  <c r="AE92" i="4"/>
  <c r="AF92" i="4"/>
  <c r="AG92" i="4"/>
  <c r="AH92" i="4"/>
  <c r="AI92" i="4"/>
  <c r="AJ92" i="4"/>
  <c r="AM92" i="4"/>
  <c r="AN92" i="4"/>
  <c r="AO92" i="4"/>
  <c r="AA93" i="4"/>
  <c r="AB93" i="4"/>
  <c r="AC93" i="4"/>
  <c r="AD93" i="4"/>
  <c r="AE93" i="4"/>
  <c r="AF93" i="4"/>
  <c r="AG93" i="4"/>
  <c r="AH93" i="4"/>
  <c r="AI93" i="4"/>
  <c r="AJ93" i="4"/>
  <c r="AM93" i="4"/>
  <c r="AN93" i="4"/>
  <c r="AO93" i="4"/>
  <c r="AA94" i="4"/>
  <c r="AB94" i="4"/>
  <c r="AC94" i="4"/>
  <c r="AD94" i="4"/>
  <c r="AE94" i="4"/>
  <c r="AF94" i="4"/>
  <c r="AG94" i="4"/>
  <c r="AH94" i="4"/>
  <c r="AI94" i="4"/>
  <c r="AJ94" i="4"/>
  <c r="AM94" i="4"/>
  <c r="AN94" i="4"/>
  <c r="AO94" i="4"/>
  <c r="AA95" i="4"/>
  <c r="AB95" i="4"/>
  <c r="AC95" i="4"/>
  <c r="AD95" i="4"/>
  <c r="AE95" i="4"/>
  <c r="AF95" i="4"/>
  <c r="AG95" i="4"/>
  <c r="AH95" i="4"/>
  <c r="AI95" i="4"/>
  <c r="AJ95" i="4"/>
  <c r="AM95" i="4"/>
  <c r="AN95" i="4"/>
  <c r="AO95" i="4"/>
  <c r="AA96" i="4"/>
  <c r="AB96" i="4"/>
  <c r="AC96" i="4"/>
  <c r="AD96" i="4"/>
  <c r="AE96" i="4"/>
  <c r="AF96" i="4"/>
  <c r="AG96" i="4"/>
  <c r="AH96" i="4"/>
  <c r="AI96" i="4"/>
  <c r="AJ96" i="4"/>
  <c r="AM96" i="4"/>
  <c r="AN96" i="4"/>
  <c r="AO96" i="4"/>
  <c r="AA97" i="4"/>
  <c r="AB97" i="4"/>
  <c r="AC97" i="4"/>
  <c r="AD97" i="4"/>
  <c r="AE97" i="4"/>
  <c r="AF97" i="4"/>
  <c r="AG97" i="4"/>
  <c r="AH97" i="4"/>
  <c r="AI97" i="4"/>
  <c r="AJ97" i="4"/>
  <c r="AM97" i="4"/>
  <c r="AN97" i="4"/>
  <c r="AO97" i="4"/>
  <c r="AA98" i="4"/>
  <c r="AB98" i="4"/>
  <c r="AC98" i="4"/>
  <c r="AD98" i="4"/>
  <c r="AE98" i="4"/>
  <c r="AF98" i="4"/>
  <c r="AG98" i="4"/>
  <c r="AH98" i="4"/>
  <c r="AI98" i="4"/>
  <c r="AJ98" i="4"/>
  <c r="AM98" i="4"/>
  <c r="AN98" i="4"/>
  <c r="AO98" i="4"/>
  <c r="AA99" i="4"/>
  <c r="AB99" i="4"/>
  <c r="AC99" i="4"/>
  <c r="AD99" i="4"/>
  <c r="AE99" i="4"/>
  <c r="AF99" i="4"/>
  <c r="AG99" i="4"/>
  <c r="AH99" i="4"/>
  <c r="AI99" i="4"/>
  <c r="AJ99" i="4"/>
  <c r="AM99" i="4"/>
  <c r="AN99" i="4"/>
  <c r="AO99" i="4"/>
  <c r="AA100" i="4"/>
  <c r="AB100" i="4"/>
  <c r="AC100" i="4"/>
  <c r="AD100" i="4"/>
  <c r="AE100" i="4"/>
  <c r="AF100" i="4"/>
  <c r="AG100" i="4"/>
  <c r="AH100" i="4"/>
  <c r="AI100" i="4"/>
  <c r="AJ100" i="4"/>
  <c r="AM100" i="4"/>
  <c r="AN100" i="4"/>
  <c r="AO100" i="4"/>
  <c r="AA101" i="4"/>
  <c r="AB101" i="4"/>
  <c r="AC101" i="4"/>
  <c r="AD101" i="4"/>
  <c r="AE101" i="4"/>
  <c r="AF101" i="4"/>
  <c r="AG101" i="4"/>
  <c r="AH101" i="4"/>
  <c r="AI101" i="4"/>
  <c r="AJ101" i="4"/>
  <c r="AM101" i="4"/>
  <c r="AN101" i="4"/>
  <c r="AO101" i="4"/>
  <c r="AA102" i="4"/>
  <c r="AB102" i="4"/>
  <c r="AC102" i="4"/>
  <c r="AD102" i="4"/>
  <c r="AE102" i="4"/>
  <c r="AF102" i="4"/>
  <c r="AG102" i="4"/>
  <c r="AH102" i="4"/>
  <c r="AI102" i="4"/>
  <c r="AJ102" i="4"/>
  <c r="AM102" i="4"/>
  <c r="AN102" i="4"/>
  <c r="AO102" i="4"/>
  <c r="AA103" i="4"/>
  <c r="AB103" i="4"/>
  <c r="AC103" i="4"/>
  <c r="AD103" i="4"/>
  <c r="AE103" i="4"/>
  <c r="AF103" i="4"/>
  <c r="AG103" i="4"/>
  <c r="AH103" i="4"/>
  <c r="AI103" i="4"/>
  <c r="AJ103" i="4"/>
  <c r="AM103" i="4"/>
  <c r="AN103" i="4"/>
  <c r="AO103" i="4"/>
  <c r="AA104" i="4"/>
  <c r="AB104" i="4"/>
  <c r="AC104" i="4"/>
  <c r="AD104" i="4"/>
  <c r="AE104" i="4"/>
  <c r="AF104" i="4"/>
  <c r="AG104" i="4"/>
  <c r="AH104" i="4"/>
  <c r="AI104" i="4"/>
  <c r="AJ104" i="4"/>
  <c r="AM104" i="4"/>
  <c r="AN104" i="4"/>
  <c r="AO104" i="4"/>
  <c r="AA105" i="4"/>
  <c r="AB105" i="4"/>
  <c r="AC105" i="4"/>
  <c r="AD105" i="4"/>
  <c r="AE105" i="4"/>
  <c r="AF105" i="4"/>
  <c r="AG105" i="4"/>
  <c r="AH105" i="4"/>
  <c r="AI105" i="4"/>
  <c r="AJ105" i="4"/>
  <c r="AM105" i="4"/>
  <c r="AN105" i="4"/>
  <c r="AO105" i="4"/>
  <c r="AA106" i="4"/>
  <c r="AB106" i="4"/>
  <c r="AC106" i="4"/>
  <c r="AD106" i="4"/>
  <c r="AE106" i="4"/>
  <c r="AF106" i="4"/>
  <c r="AG106" i="4"/>
  <c r="AH106" i="4"/>
  <c r="AI106" i="4"/>
  <c r="AJ106" i="4"/>
  <c r="AM106" i="4"/>
  <c r="AN106" i="4"/>
  <c r="AO106" i="4"/>
  <c r="AA107" i="4"/>
  <c r="AB107" i="4"/>
  <c r="AC107" i="4"/>
  <c r="AD107" i="4"/>
  <c r="AE107" i="4"/>
  <c r="AF107" i="4"/>
  <c r="AG107" i="4"/>
  <c r="AH107" i="4"/>
  <c r="AI107" i="4"/>
  <c r="AJ107" i="4"/>
  <c r="AM107" i="4"/>
  <c r="AN107" i="4"/>
  <c r="AO107" i="4"/>
  <c r="AA108" i="4"/>
  <c r="AB108" i="4"/>
  <c r="AC108" i="4"/>
  <c r="AD108" i="4"/>
  <c r="AE108" i="4"/>
  <c r="AF108" i="4"/>
  <c r="AG108" i="4"/>
  <c r="AH108" i="4"/>
  <c r="AI108" i="4"/>
  <c r="AJ108" i="4"/>
  <c r="AM108" i="4"/>
  <c r="AN108" i="4"/>
  <c r="AO108" i="4"/>
  <c r="AA109" i="4"/>
  <c r="AB109" i="4"/>
  <c r="AC109" i="4"/>
  <c r="AD109" i="4"/>
  <c r="AE109" i="4"/>
  <c r="AF109" i="4"/>
  <c r="AG109" i="4"/>
  <c r="AH109" i="4"/>
  <c r="AI109" i="4"/>
  <c r="AJ109" i="4"/>
  <c r="AM109" i="4"/>
  <c r="AN109" i="4"/>
  <c r="AO109" i="4"/>
  <c r="AA110" i="4"/>
  <c r="AB110" i="4"/>
  <c r="AC110" i="4"/>
  <c r="AD110" i="4"/>
  <c r="AE110" i="4"/>
  <c r="AF110" i="4"/>
  <c r="AG110" i="4"/>
  <c r="AH110" i="4"/>
  <c r="AI110" i="4"/>
  <c r="AJ110" i="4"/>
  <c r="AM110" i="4"/>
  <c r="AN110" i="4"/>
  <c r="AO110" i="4"/>
  <c r="AA111" i="4"/>
  <c r="AB111" i="4"/>
  <c r="AC111" i="4"/>
  <c r="AD111" i="4"/>
  <c r="AE111" i="4"/>
  <c r="AF111" i="4"/>
  <c r="AG111" i="4"/>
  <c r="AH111" i="4"/>
  <c r="AI111" i="4"/>
  <c r="AJ111" i="4"/>
  <c r="AM111" i="4"/>
  <c r="AN111" i="4"/>
  <c r="AO111" i="4"/>
  <c r="AA112" i="4"/>
  <c r="AB112" i="4"/>
  <c r="AC112" i="4"/>
  <c r="AD112" i="4"/>
  <c r="AE112" i="4"/>
  <c r="AF112" i="4"/>
  <c r="AG112" i="4"/>
  <c r="AH112" i="4"/>
  <c r="AI112" i="4"/>
  <c r="AJ112" i="4"/>
  <c r="AM112" i="4"/>
  <c r="AN112" i="4"/>
  <c r="AO112" i="4"/>
  <c r="AA113" i="4"/>
  <c r="AB113" i="4"/>
  <c r="AC113" i="4"/>
  <c r="AD113" i="4"/>
  <c r="AE113" i="4"/>
  <c r="AF113" i="4"/>
  <c r="AG113" i="4"/>
  <c r="AH113" i="4"/>
  <c r="AI113" i="4"/>
  <c r="AJ113" i="4"/>
  <c r="AM113" i="4"/>
  <c r="AN113" i="4"/>
  <c r="AO113" i="4"/>
  <c r="AA114" i="4"/>
  <c r="AB114" i="4"/>
  <c r="AC114" i="4"/>
  <c r="AD114" i="4"/>
  <c r="AE114" i="4"/>
  <c r="AF114" i="4"/>
  <c r="AG114" i="4"/>
  <c r="AH114" i="4"/>
  <c r="AI114" i="4"/>
  <c r="AJ114" i="4"/>
  <c r="AM114" i="4"/>
  <c r="AN114" i="4"/>
  <c r="AO114" i="4"/>
  <c r="AA115" i="4"/>
  <c r="AB115" i="4"/>
  <c r="AC115" i="4"/>
  <c r="AD115" i="4"/>
  <c r="AE115" i="4"/>
  <c r="AF115" i="4"/>
  <c r="AG115" i="4"/>
  <c r="AH115" i="4"/>
  <c r="AI115" i="4"/>
  <c r="AJ115" i="4"/>
  <c r="AM115" i="4"/>
  <c r="AN115" i="4"/>
  <c r="AO115" i="4"/>
  <c r="AA116" i="4"/>
  <c r="AB116" i="4"/>
  <c r="AC116" i="4"/>
  <c r="AD116" i="4"/>
  <c r="AE116" i="4"/>
  <c r="AF116" i="4"/>
  <c r="AG116" i="4"/>
  <c r="AH116" i="4"/>
  <c r="AI116" i="4"/>
  <c r="AJ116" i="4"/>
  <c r="AM116" i="4"/>
  <c r="AN116" i="4"/>
  <c r="AO116" i="4"/>
  <c r="AA117" i="4"/>
  <c r="AB117" i="4"/>
  <c r="AC117" i="4"/>
  <c r="AD117" i="4"/>
  <c r="AE117" i="4"/>
  <c r="AF117" i="4"/>
  <c r="AG117" i="4"/>
  <c r="AH117" i="4"/>
  <c r="AI117" i="4"/>
  <c r="AJ117" i="4"/>
  <c r="AM117" i="4"/>
  <c r="AN117" i="4"/>
  <c r="AO117" i="4"/>
  <c r="AA118" i="4"/>
  <c r="AB118" i="4"/>
  <c r="AC118" i="4"/>
  <c r="AD118" i="4"/>
  <c r="AE118" i="4"/>
  <c r="AF118" i="4"/>
  <c r="AG118" i="4"/>
  <c r="AH118" i="4"/>
  <c r="AI118" i="4"/>
  <c r="AJ118" i="4"/>
  <c r="AM118" i="4"/>
  <c r="AN118" i="4"/>
  <c r="AO118" i="4"/>
  <c r="AA119" i="4"/>
  <c r="AB119" i="4"/>
  <c r="AC119" i="4"/>
  <c r="AD119" i="4"/>
  <c r="AE119" i="4"/>
  <c r="AF119" i="4"/>
  <c r="AG119" i="4"/>
  <c r="AH119" i="4"/>
  <c r="AI119" i="4"/>
  <c r="AJ119" i="4"/>
  <c r="AM119" i="4"/>
  <c r="AN119" i="4"/>
  <c r="AO119" i="4"/>
  <c r="AA120" i="4"/>
  <c r="AB120" i="4"/>
  <c r="AC120" i="4"/>
  <c r="AD120" i="4"/>
  <c r="AE120" i="4"/>
  <c r="AF120" i="4"/>
  <c r="AG120" i="4"/>
  <c r="AH120" i="4"/>
  <c r="AI120" i="4"/>
  <c r="AJ120" i="4"/>
  <c r="AM120" i="4"/>
  <c r="AN120" i="4"/>
  <c r="AO120" i="4"/>
  <c r="AA121" i="4"/>
  <c r="AB121" i="4"/>
  <c r="AC121" i="4"/>
  <c r="AD121" i="4"/>
  <c r="AE121" i="4"/>
  <c r="AF121" i="4"/>
  <c r="AG121" i="4"/>
  <c r="AH121" i="4"/>
  <c r="AI121" i="4"/>
  <c r="AJ121" i="4"/>
  <c r="AM121" i="4"/>
  <c r="AN121" i="4"/>
  <c r="AO121" i="4"/>
  <c r="AA122" i="4"/>
  <c r="AB122" i="4"/>
  <c r="AC122" i="4"/>
  <c r="AD122" i="4"/>
  <c r="AE122" i="4"/>
  <c r="AF122" i="4"/>
  <c r="AG122" i="4"/>
  <c r="AH122" i="4"/>
  <c r="AI122" i="4"/>
  <c r="AJ122" i="4"/>
  <c r="AM122" i="4"/>
  <c r="AN122" i="4"/>
  <c r="AO122" i="4"/>
  <c r="AK38" i="4" l="1"/>
  <c r="AP38" i="4"/>
  <c r="AQ38" i="4"/>
  <c r="AQ57" i="4"/>
  <c r="AQ74" i="4"/>
  <c r="AQ106" i="4"/>
  <c r="AQ76" i="4"/>
  <c r="AQ63" i="4"/>
  <c r="AQ60" i="4"/>
  <c r="AQ54" i="4"/>
  <c r="AQ51" i="4"/>
  <c r="AP118" i="4"/>
  <c r="AQ115" i="4"/>
  <c r="AQ73" i="4"/>
  <c r="AQ70" i="4"/>
  <c r="AQ67" i="4"/>
  <c r="AQ48" i="4"/>
  <c r="AQ110" i="4"/>
  <c r="AQ107" i="4"/>
  <c r="AK100" i="4"/>
  <c r="AQ98" i="4"/>
  <c r="AQ94" i="4"/>
  <c r="AQ80" i="4"/>
  <c r="AP121" i="4"/>
  <c r="AP120" i="4"/>
  <c r="AQ103" i="4"/>
  <c r="AQ100" i="4"/>
  <c r="AK88" i="4"/>
  <c r="AQ91" i="4"/>
  <c r="AQ88" i="4"/>
  <c r="AQ85" i="4"/>
  <c r="AQ82" i="4"/>
  <c r="AK76" i="4"/>
  <c r="AQ71" i="4"/>
  <c r="AQ104" i="4"/>
  <c r="AP101" i="4"/>
  <c r="AQ121" i="4"/>
  <c r="AQ112" i="4"/>
  <c r="AQ92" i="4"/>
  <c r="AQ86" i="4"/>
  <c r="AP122" i="4"/>
  <c r="AP112" i="4"/>
  <c r="AQ97" i="4"/>
  <c r="AQ64" i="4"/>
  <c r="AQ61" i="4"/>
  <c r="AQ58" i="4"/>
  <c r="AQ55" i="4"/>
  <c r="AQ52" i="4"/>
  <c r="AQ49" i="4"/>
  <c r="AQ46" i="4"/>
  <c r="AQ43" i="4"/>
  <c r="AQ40" i="4"/>
  <c r="AP119" i="4"/>
  <c r="AQ109" i="4"/>
  <c r="AQ79" i="4"/>
  <c r="AK70" i="4"/>
  <c r="AK82" i="4"/>
  <c r="AP65" i="4"/>
  <c r="AP62" i="4"/>
  <c r="AP59" i="4"/>
  <c r="AP56" i="4"/>
  <c r="AP53" i="4"/>
  <c r="AP50" i="4"/>
  <c r="AP47" i="4"/>
  <c r="AQ45" i="4"/>
  <c r="AP44" i="4"/>
  <c r="AQ42" i="4"/>
  <c r="AP41" i="4"/>
  <c r="AQ39" i="4"/>
  <c r="AK94" i="4"/>
  <c r="AQ83" i="4"/>
  <c r="AP77" i="4"/>
  <c r="AQ68" i="4"/>
  <c r="AK65" i="4"/>
  <c r="AK62" i="4"/>
  <c r="AK59" i="4"/>
  <c r="AK56" i="4"/>
  <c r="AK53" i="4"/>
  <c r="AK50" i="4"/>
  <c r="AK47" i="4"/>
  <c r="AK44" i="4"/>
  <c r="AK41" i="4"/>
  <c r="AQ118" i="4"/>
  <c r="AP115" i="4"/>
  <c r="AK106" i="4"/>
  <c r="AQ95" i="4"/>
  <c r="AP89" i="4"/>
  <c r="AQ119" i="4"/>
  <c r="AP103" i="4"/>
  <c r="AQ101" i="4"/>
  <c r="AP91" i="4"/>
  <c r="AQ89" i="4"/>
  <c r="AP79" i="4"/>
  <c r="AQ77" i="4"/>
  <c r="AK67" i="4"/>
  <c r="AQ65" i="4"/>
  <c r="AP64" i="4"/>
  <c r="AQ62" i="4"/>
  <c r="AP61" i="4"/>
  <c r="AQ59" i="4"/>
  <c r="AP58" i="4"/>
  <c r="AQ56" i="4"/>
  <c r="AP55" i="4"/>
  <c r="AQ53" i="4"/>
  <c r="AP52" i="4"/>
  <c r="AQ50" i="4"/>
  <c r="AP49" i="4"/>
  <c r="AQ47" i="4"/>
  <c r="AP46" i="4"/>
  <c r="AQ44" i="4"/>
  <c r="AP43" i="4"/>
  <c r="AQ41" i="4"/>
  <c r="AP40" i="4"/>
  <c r="AP113" i="4"/>
  <c r="AQ113" i="4"/>
  <c r="AP107" i="4"/>
  <c r="AK103" i="4"/>
  <c r="AP95" i="4"/>
  <c r="AK91" i="4"/>
  <c r="AP83" i="4"/>
  <c r="AK79" i="4"/>
  <c r="AP71" i="4"/>
  <c r="AK68" i="4"/>
  <c r="AK64" i="4"/>
  <c r="AK61" i="4"/>
  <c r="AK58" i="4"/>
  <c r="AK55" i="4"/>
  <c r="AK52" i="4"/>
  <c r="AK49" i="4"/>
  <c r="AK46" i="4"/>
  <c r="AK43" i="4"/>
  <c r="AK40" i="4"/>
  <c r="AK69" i="4"/>
  <c r="AK114" i="4"/>
  <c r="AP109" i="4"/>
  <c r="AP97" i="4"/>
  <c r="AP85" i="4"/>
  <c r="AP73" i="4"/>
  <c r="AK66" i="4"/>
  <c r="AK63" i="4"/>
  <c r="AK60" i="4"/>
  <c r="AK57" i="4"/>
  <c r="AK54" i="4"/>
  <c r="AK51" i="4"/>
  <c r="AK48" i="4"/>
  <c r="AK45" i="4"/>
  <c r="AK42" i="4"/>
  <c r="AK39" i="4"/>
  <c r="AQ122" i="4"/>
  <c r="AQ120" i="4"/>
  <c r="AK109" i="4"/>
  <c r="AK97" i="4"/>
  <c r="AK85" i="4"/>
  <c r="AK73" i="4"/>
  <c r="AP116" i="4"/>
  <c r="AP114" i="4"/>
  <c r="AK110" i="4"/>
  <c r="AK108" i="4"/>
  <c r="AK104" i="4"/>
  <c r="AK102" i="4"/>
  <c r="AK98" i="4"/>
  <c r="AK96" i="4"/>
  <c r="AK92" i="4"/>
  <c r="AK90" i="4"/>
  <c r="AK86" i="4"/>
  <c r="AK84" i="4"/>
  <c r="AK80" i="4"/>
  <c r="AK78" i="4"/>
  <c r="AK74" i="4"/>
  <c r="AK72" i="4"/>
  <c r="AP67" i="4"/>
  <c r="AL65" i="4"/>
  <c r="AL62" i="4"/>
  <c r="AL59" i="4"/>
  <c r="AL56" i="4"/>
  <c r="AL53" i="4"/>
  <c r="AL50" i="4"/>
  <c r="AL47" i="4"/>
  <c r="AL44" i="4"/>
  <c r="AL41" i="4"/>
  <c r="AL38" i="4"/>
  <c r="AQ36" i="4"/>
  <c r="AK35" i="4"/>
  <c r="AK117" i="4"/>
  <c r="AK115" i="4"/>
  <c r="AP110" i="4"/>
  <c r="AP106" i="4"/>
  <c r="AP104" i="4"/>
  <c r="AP100" i="4"/>
  <c r="AP98" i="4"/>
  <c r="AP94" i="4"/>
  <c r="AP92" i="4"/>
  <c r="AP88" i="4"/>
  <c r="AP86" i="4"/>
  <c r="AP82" i="4"/>
  <c r="AP80" i="4"/>
  <c r="AP76" i="4"/>
  <c r="AP74" i="4"/>
  <c r="AP70" i="4"/>
  <c r="AK37" i="4"/>
  <c r="AQ35" i="4"/>
  <c r="AK116" i="4"/>
  <c r="AK111" i="4"/>
  <c r="AK107" i="4"/>
  <c r="AK105" i="4"/>
  <c r="AK101" i="4"/>
  <c r="AK99" i="4"/>
  <c r="AK95" i="4"/>
  <c r="AK93" i="4"/>
  <c r="AK89" i="4"/>
  <c r="AK87" i="4"/>
  <c r="AK83" i="4"/>
  <c r="AK81" i="4"/>
  <c r="AK77" i="4"/>
  <c r="AK75" i="4"/>
  <c r="AK71" i="4"/>
  <c r="AP68" i="4"/>
  <c r="AP63" i="4"/>
  <c r="AP60" i="4"/>
  <c r="AP57" i="4"/>
  <c r="AP54" i="4"/>
  <c r="AP51" i="4"/>
  <c r="AP48" i="4"/>
  <c r="AP45" i="4"/>
  <c r="AP42" i="4"/>
  <c r="AP39" i="4"/>
  <c r="AQ37" i="4"/>
  <c r="AK36" i="4"/>
  <c r="AK120" i="4"/>
  <c r="AP66" i="4"/>
  <c r="AQ66" i="4"/>
  <c r="AL120" i="4"/>
  <c r="AP117" i="4"/>
  <c r="AQ117" i="4"/>
  <c r="AK121" i="4"/>
  <c r="AP111" i="4"/>
  <c r="AQ111" i="4"/>
  <c r="AP105" i="4"/>
  <c r="AQ105" i="4"/>
  <c r="AP99" i="4"/>
  <c r="AQ99" i="4"/>
  <c r="AP93" i="4"/>
  <c r="AQ93" i="4"/>
  <c r="AP87" i="4"/>
  <c r="AQ87" i="4"/>
  <c r="AP81" i="4"/>
  <c r="AQ81" i="4"/>
  <c r="AP75" i="4"/>
  <c r="AQ75" i="4"/>
  <c r="AP69" i="4"/>
  <c r="AQ69" i="4"/>
  <c r="AL121" i="4"/>
  <c r="AL118" i="4"/>
  <c r="AK118" i="4"/>
  <c r="AK122" i="4"/>
  <c r="AK119" i="4"/>
  <c r="AL112" i="4"/>
  <c r="AK112" i="4"/>
  <c r="AL122" i="4"/>
  <c r="AL119" i="4"/>
  <c r="AK113" i="4"/>
  <c r="AP108" i="4"/>
  <c r="AQ108" i="4"/>
  <c r="AP102" i="4"/>
  <c r="AQ102" i="4"/>
  <c r="AP96" i="4"/>
  <c r="AQ96" i="4"/>
  <c r="AP90" i="4"/>
  <c r="AQ90" i="4"/>
  <c r="AP84" i="4"/>
  <c r="AQ84" i="4"/>
  <c r="AP78" i="4"/>
  <c r="AQ78" i="4"/>
  <c r="AP72" i="4"/>
  <c r="AQ72" i="4"/>
  <c r="AQ114" i="4"/>
  <c r="AL113" i="4"/>
  <c r="AL109" i="4"/>
  <c r="AL106" i="4"/>
  <c r="AL103" i="4"/>
  <c r="AL100" i="4"/>
  <c r="AL97" i="4"/>
  <c r="AL94" i="4"/>
  <c r="AL91" i="4"/>
  <c r="AL88" i="4"/>
  <c r="AL85" i="4"/>
  <c r="AL82" i="4"/>
  <c r="AL79" i="4"/>
  <c r="AL76" i="4"/>
  <c r="AL73" i="4"/>
  <c r="AL70" i="4"/>
  <c r="AL67" i="4"/>
  <c r="AL64" i="4"/>
  <c r="AL61" i="4"/>
  <c r="AL58" i="4"/>
  <c r="AL55" i="4"/>
  <c r="AL52" i="4"/>
  <c r="AL49" i="4"/>
  <c r="AL46" i="4"/>
  <c r="AL43" i="4"/>
  <c r="AL40" i="4"/>
  <c r="AL114" i="4"/>
  <c r="AQ116" i="4"/>
  <c r="AL115" i="4"/>
  <c r="AL110" i="4"/>
  <c r="AL107" i="4"/>
  <c r="AL104" i="4"/>
  <c r="AL101" i="4"/>
  <c r="AL98" i="4"/>
  <c r="AL95" i="4"/>
  <c r="AL92" i="4"/>
  <c r="AL89" i="4"/>
  <c r="AL86" i="4"/>
  <c r="AL83" i="4"/>
  <c r="AL80" i="4"/>
  <c r="AL77" i="4"/>
  <c r="AL74" i="4"/>
  <c r="AL71" i="4"/>
  <c r="AL68" i="4"/>
  <c r="AL116" i="4"/>
  <c r="AL117" i="4"/>
  <c r="AL111" i="4"/>
  <c r="AL108" i="4"/>
  <c r="AL105" i="4"/>
  <c r="AL102" i="4"/>
  <c r="AL99" i="4"/>
  <c r="AL96" i="4"/>
  <c r="AL93" i="4"/>
  <c r="AL90" i="4"/>
  <c r="AL87" i="4"/>
  <c r="AL84" i="4"/>
  <c r="AL81" i="4"/>
  <c r="AL78" i="4"/>
  <c r="AL75" i="4"/>
  <c r="AL72" i="4"/>
  <c r="AL69" i="4"/>
  <c r="AL66" i="4"/>
  <c r="AL63" i="4"/>
  <c r="AL60" i="4"/>
  <c r="AL57" i="4"/>
  <c r="AL54" i="4"/>
  <c r="AL51" i="4"/>
  <c r="AL48" i="4"/>
  <c r="AL45" i="4"/>
  <c r="AL42" i="4"/>
  <c r="AL39" i="4"/>
  <c r="AP37" i="4"/>
  <c r="AP36" i="4"/>
  <c r="AP35" i="4"/>
  <c r="AL37" i="4"/>
  <c r="AL36" i="4"/>
  <c r="AL35" i="4"/>
  <c r="AR38" i="4" l="1"/>
  <c r="AS38" i="4"/>
  <c r="AE15" i="1" l="1"/>
  <c r="AF15" i="1"/>
  <c r="AG15" i="1"/>
  <c r="AH15" i="1"/>
  <c r="AA15" i="1"/>
  <c r="AJ15" i="1" l="1"/>
  <c r="AI15" i="1"/>
  <c r="AK15" i="1"/>
  <c r="AH14" i="1" l="1"/>
  <c r="AG14" i="1"/>
  <c r="AF14" i="1"/>
  <c r="AE14" i="1"/>
  <c r="AJ14" i="1" l="1"/>
  <c r="AK14" i="1"/>
  <c r="AI14" i="1"/>
  <c r="BK34" i="4" l="1"/>
  <c r="BK35" i="4"/>
  <c r="BK36" i="4"/>
  <c r="BK37" i="4"/>
  <c r="BK38" i="4"/>
  <c r="BK39" i="4"/>
  <c r="BK40" i="4"/>
  <c r="BK41" i="4"/>
  <c r="BK42" i="4"/>
  <c r="BK43" i="4"/>
  <c r="BK44" i="4"/>
  <c r="BK45" i="4"/>
  <c r="BK46" i="4"/>
  <c r="BK47" i="4"/>
  <c r="BK48" i="4"/>
  <c r="BK49" i="4"/>
  <c r="BK50" i="4"/>
  <c r="BK51" i="4"/>
  <c r="BK52" i="4"/>
  <c r="BK53" i="4"/>
  <c r="BK54" i="4"/>
  <c r="BK55" i="4"/>
  <c r="BK56" i="4"/>
  <c r="BK57" i="4"/>
  <c r="BK58" i="4"/>
  <c r="BK59" i="4"/>
  <c r="BK60" i="4"/>
  <c r="BK61" i="4"/>
  <c r="BK62" i="4"/>
  <c r="BK63" i="4"/>
  <c r="BK64" i="4"/>
  <c r="BK65" i="4"/>
  <c r="BK66" i="4"/>
  <c r="BK67" i="4"/>
  <c r="BK68" i="4"/>
  <c r="BK69" i="4"/>
  <c r="BK70" i="4"/>
  <c r="BK71" i="4"/>
  <c r="BK72" i="4"/>
  <c r="BK73" i="4"/>
  <c r="BK74" i="4"/>
  <c r="BK75" i="4"/>
  <c r="BK76" i="4"/>
  <c r="BK77" i="4"/>
  <c r="BK78" i="4"/>
  <c r="BK79" i="4"/>
  <c r="BK80" i="4"/>
  <c r="BK81" i="4"/>
  <c r="BK82" i="4"/>
  <c r="BK83" i="4"/>
  <c r="BK84" i="4"/>
  <c r="BK85" i="4"/>
  <c r="BK86" i="4"/>
  <c r="BK87" i="4"/>
  <c r="BK88" i="4"/>
  <c r="BK89" i="4"/>
  <c r="BK90" i="4"/>
  <c r="BK91" i="4"/>
  <c r="BK92" i="4"/>
  <c r="BK93" i="4"/>
  <c r="BK94" i="4"/>
  <c r="BK95" i="4"/>
  <c r="BK96" i="4"/>
  <c r="BK97" i="4"/>
  <c r="BK98" i="4"/>
  <c r="BK99" i="4"/>
  <c r="BK100" i="4"/>
  <c r="BK101" i="4"/>
  <c r="BK102" i="4"/>
  <c r="BK103" i="4"/>
  <c r="BK104" i="4"/>
  <c r="BK105" i="4"/>
  <c r="BK106" i="4"/>
  <c r="BK107" i="4"/>
  <c r="BK108" i="4"/>
  <c r="BK109" i="4"/>
  <c r="BK110" i="4"/>
  <c r="BK111" i="4"/>
  <c r="BK112" i="4"/>
  <c r="BK113" i="4"/>
  <c r="BK114" i="4"/>
  <c r="BK115" i="4"/>
  <c r="BK116" i="4"/>
  <c r="BK117" i="4"/>
  <c r="BK118" i="4"/>
  <c r="BK119" i="4"/>
  <c r="BK120" i="4"/>
  <c r="BK121" i="4"/>
  <c r="BK122" i="4"/>
  <c r="BJ34" i="4"/>
  <c r="BJ35" i="4"/>
  <c r="BJ36" i="4"/>
  <c r="BJ37" i="4"/>
  <c r="BJ38" i="4"/>
  <c r="BJ39" i="4"/>
  <c r="BJ40" i="4"/>
  <c r="BJ41" i="4"/>
  <c r="BJ42" i="4"/>
  <c r="BJ43" i="4"/>
  <c r="BJ44" i="4"/>
  <c r="BJ45" i="4"/>
  <c r="BJ46" i="4"/>
  <c r="BJ47" i="4"/>
  <c r="BJ48" i="4"/>
  <c r="BJ49" i="4"/>
  <c r="BJ50" i="4"/>
  <c r="BJ51" i="4"/>
  <c r="BJ52" i="4"/>
  <c r="BJ53" i="4"/>
  <c r="BJ54" i="4"/>
  <c r="BJ55" i="4"/>
  <c r="BJ56" i="4"/>
  <c r="BJ57" i="4"/>
  <c r="BJ58" i="4"/>
  <c r="BJ59" i="4"/>
  <c r="BJ60" i="4"/>
  <c r="BJ61" i="4"/>
  <c r="BJ62" i="4"/>
  <c r="BJ63" i="4"/>
  <c r="BJ64" i="4"/>
  <c r="BJ65" i="4"/>
  <c r="BJ66" i="4"/>
  <c r="BJ67" i="4"/>
  <c r="BJ68" i="4"/>
  <c r="BJ69" i="4"/>
  <c r="BJ70" i="4"/>
  <c r="BJ71" i="4"/>
  <c r="BJ72" i="4"/>
  <c r="BJ73" i="4"/>
  <c r="BJ74" i="4"/>
  <c r="BJ75" i="4"/>
  <c r="BJ76" i="4"/>
  <c r="BJ77" i="4"/>
  <c r="BJ78" i="4"/>
  <c r="BJ79" i="4"/>
  <c r="BJ80" i="4"/>
  <c r="BJ81" i="4"/>
  <c r="BJ82" i="4"/>
  <c r="BJ83" i="4"/>
  <c r="BJ84" i="4"/>
  <c r="BJ85" i="4"/>
  <c r="BJ86" i="4"/>
  <c r="BJ87" i="4"/>
  <c r="BJ88" i="4"/>
  <c r="BJ89" i="4"/>
  <c r="BJ90" i="4"/>
  <c r="BJ91" i="4"/>
  <c r="BJ92" i="4"/>
  <c r="BJ93" i="4"/>
  <c r="BJ94" i="4"/>
  <c r="BJ95" i="4"/>
  <c r="BJ96" i="4"/>
  <c r="BJ97" i="4"/>
  <c r="BJ98" i="4"/>
  <c r="BJ99" i="4"/>
  <c r="BJ100" i="4"/>
  <c r="BJ101" i="4"/>
  <c r="BJ102" i="4"/>
  <c r="BJ103" i="4"/>
  <c r="BJ104" i="4"/>
  <c r="BJ105" i="4"/>
  <c r="BJ106" i="4"/>
  <c r="BJ107" i="4"/>
  <c r="BJ108" i="4"/>
  <c r="BJ109" i="4"/>
  <c r="BJ110" i="4"/>
  <c r="BJ111" i="4"/>
  <c r="BJ112" i="4"/>
  <c r="BJ113" i="4"/>
  <c r="BJ114" i="4"/>
  <c r="BJ115" i="4"/>
  <c r="BJ116" i="4"/>
  <c r="BJ117" i="4"/>
  <c r="BJ118" i="4"/>
  <c r="BJ119" i="4"/>
  <c r="BJ120" i="4"/>
  <c r="BJ121" i="4"/>
  <c r="BJ122" i="4"/>
  <c r="BI34" i="4"/>
  <c r="BI35" i="4"/>
  <c r="BI36" i="4"/>
  <c r="BI37" i="4"/>
  <c r="BI38" i="4"/>
  <c r="BI39" i="4"/>
  <c r="BI40" i="4"/>
  <c r="BI41" i="4"/>
  <c r="BI42" i="4"/>
  <c r="BI43" i="4"/>
  <c r="BI44" i="4"/>
  <c r="BI45" i="4"/>
  <c r="BI46" i="4"/>
  <c r="BI47" i="4"/>
  <c r="BI48" i="4"/>
  <c r="BI49" i="4"/>
  <c r="BI50" i="4"/>
  <c r="BI51" i="4"/>
  <c r="BI52" i="4"/>
  <c r="BI53" i="4"/>
  <c r="BI54" i="4"/>
  <c r="BI55" i="4"/>
  <c r="BI56" i="4"/>
  <c r="BI57" i="4"/>
  <c r="BI58" i="4"/>
  <c r="BI59" i="4"/>
  <c r="BI60" i="4"/>
  <c r="BI61" i="4"/>
  <c r="BI62" i="4"/>
  <c r="BI63" i="4"/>
  <c r="BI64" i="4"/>
  <c r="BI65" i="4"/>
  <c r="BI66" i="4"/>
  <c r="BI67" i="4"/>
  <c r="BI68" i="4"/>
  <c r="BI69" i="4"/>
  <c r="BI70" i="4"/>
  <c r="BI71" i="4"/>
  <c r="BI72" i="4"/>
  <c r="BI73" i="4"/>
  <c r="BI74" i="4"/>
  <c r="BI75" i="4"/>
  <c r="BI76" i="4"/>
  <c r="BI77" i="4"/>
  <c r="BI78" i="4"/>
  <c r="BI79" i="4"/>
  <c r="BI80" i="4"/>
  <c r="BI81" i="4"/>
  <c r="BI82" i="4"/>
  <c r="BI83" i="4"/>
  <c r="BI84" i="4"/>
  <c r="BI85" i="4"/>
  <c r="BI86" i="4"/>
  <c r="BI87" i="4"/>
  <c r="BI88" i="4"/>
  <c r="BI89" i="4"/>
  <c r="BI90" i="4"/>
  <c r="BI91" i="4"/>
  <c r="BI92" i="4"/>
  <c r="BI93" i="4"/>
  <c r="BI94" i="4"/>
  <c r="BI95" i="4"/>
  <c r="BI96" i="4"/>
  <c r="BI97" i="4"/>
  <c r="BI98" i="4"/>
  <c r="BI99" i="4"/>
  <c r="BI100" i="4"/>
  <c r="BI101" i="4"/>
  <c r="BI102" i="4"/>
  <c r="BI103" i="4"/>
  <c r="BI104" i="4"/>
  <c r="BI105" i="4"/>
  <c r="BI106" i="4"/>
  <c r="BI107" i="4"/>
  <c r="BI108" i="4"/>
  <c r="BI109" i="4"/>
  <c r="BI110" i="4"/>
  <c r="BI111" i="4"/>
  <c r="BI112" i="4"/>
  <c r="BI113" i="4"/>
  <c r="BI114" i="4"/>
  <c r="BI115" i="4"/>
  <c r="BI116" i="4"/>
  <c r="BI117" i="4"/>
  <c r="BI118" i="4"/>
  <c r="BI119" i="4"/>
  <c r="BI120" i="4"/>
  <c r="BI121" i="4"/>
  <c r="BI122"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F35" i="4"/>
  <c r="BG35" i="4"/>
  <c r="BF36" i="4"/>
  <c r="BG36" i="4"/>
  <c r="BF37" i="4"/>
  <c r="BG37" i="4"/>
  <c r="BF38" i="4"/>
  <c r="BG38" i="4"/>
  <c r="BF39" i="4"/>
  <c r="BG39" i="4"/>
  <c r="BF40" i="4"/>
  <c r="BG40" i="4"/>
  <c r="BF41" i="4"/>
  <c r="BG41" i="4"/>
  <c r="BF42" i="4"/>
  <c r="BG42" i="4"/>
  <c r="BF43" i="4"/>
  <c r="BG43" i="4"/>
  <c r="BF44" i="4"/>
  <c r="BG44" i="4"/>
  <c r="BF45" i="4"/>
  <c r="BG45" i="4"/>
  <c r="BF46" i="4"/>
  <c r="BG46" i="4"/>
  <c r="BF47" i="4"/>
  <c r="BG47" i="4"/>
  <c r="BF48" i="4"/>
  <c r="BG48" i="4"/>
  <c r="BF49" i="4"/>
  <c r="BG49" i="4"/>
  <c r="BF50" i="4"/>
  <c r="BG50" i="4"/>
  <c r="BF51" i="4"/>
  <c r="BG51" i="4"/>
  <c r="BF52" i="4"/>
  <c r="BG52" i="4"/>
  <c r="BF53" i="4"/>
  <c r="BG53" i="4"/>
  <c r="BF54" i="4"/>
  <c r="BG54" i="4"/>
  <c r="BF55" i="4"/>
  <c r="BG55" i="4"/>
  <c r="BF56" i="4"/>
  <c r="BG56" i="4"/>
  <c r="BF57" i="4"/>
  <c r="BG57" i="4"/>
  <c r="BF58" i="4"/>
  <c r="BG58" i="4"/>
  <c r="BF59" i="4"/>
  <c r="BG59" i="4"/>
  <c r="BF60" i="4"/>
  <c r="BG60" i="4"/>
  <c r="BF61" i="4"/>
  <c r="BG61" i="4"/>
  <c r="BF62" i="4"/>
  <c r="BG62" i="4"/>
  <c r="BF63" i="4"/>
  <c r="BG63" i="4"/>
  <c r="BF64" i="4"/>
  <c r="BG64" i="4"/>
  <c r="BF65" i="4"/>
  <c r="BG65" i="4"/>
  <c r="BF66" i="4"/>
  <c r="BG66" i="4"/>
  <c r="BF67" i="4"/>
  <c r="BG67" i="4"/>
  <c r="BF68" i="4"/>
  <c r="BG68" i="4"/>
  <c r="BF69" i="4"/>
  <c r="BG69" i="4"/>
  <c r="BF70" i="4"/>
  <c r="BG70" i="4"/>
  <c r="BF71" i="4"/>
  <c r="BG71" i="4"/>
  <c r="BF72" i="4"/>
  <c r="BG72" i="4"/>
  <c r="BF73" i="4"/>
  <c r="BG73" i="4"/>
  <c r="BF74" i="4"/>
  <c r="BG74" i="4"/>
  <c r="BF75" i="4"/>
  <c r="BG75" i="4"/>
  <c r="BF76" i="4"/>
  <c r="BG76" i="4"/>
  <c r="BF77" i="4"/>
  <c r="BG77" i="4"/>
  <c r="BF78" i="4"/>
  <c r="BG78" i="4"/>
  <c r="BF79" i="4"/>
  <c r="BG79" i="4"/>
  <c r="BF80" i="4"/>
  <c r="BG80" i="4"/>
  <c r="BF81" i="4"/>
  <c r="BG81" i="4"/>
  <c r="BF82" i="4"/>
  <c r="BG82" i="4"/>
  <c r="BF83" i="4"/>
  <c r="BG83" i="4"/>
  <c r="BF84" i="4"/>
  <c r="BG84" i="4"/>
  <c r="BF85" i="4"/>
  <c r="BG85" i="4"/>
  <c r="BF86" i="4"/>
  <c r="BG86" i="4"/>
  <c r="BF87" i="4"/>
  <c r="BG87" i="4"/>
  <c r="BF88" i="4"/>
  <c r="BG88" i="4"/>
  <c r="BF89" i="4"/>
  <c r="BG89" i="4"/>
  <c r="BF90" i="4"/>
  <c r="BG90" i="4"/>
  <c r="BF91" i="4"/>
  <c r="BG91" i="4"/>
  <c r="BF92" i="4"/>
  <c r="BG92" i="4"/>
  <c r="BF93" i="4"/>
  <c r="BG93" i="4"/>
  <c r="BF94" i="4"/>
  <c r="BG94" i="4"/>
  <c r="BF95" i="4"/>
  <c r="BG95" i="4"/>
  <c r="BF96" i="4"/>
  <c r="BG96" i="4"/>
  <c r="BF97" i="4"/>
  <c r="BG97" i="4"/>
  <c r="BF98" i="4"/>
  <c r="BG98" i="4"/>
  <c r="BF99" i="4"/>
  <c r="BG99" i="4"/>
  <c r="BF100" i="4"/>
  <c r="BG100" i="4"/>
  <c r="BF101" i="4"/>
  <c r="BG101" i="4"/>
  <c r="BF102" i="4"/>
  <c r="BG102" i="4"/>
  <c r="BF103" i="4"/>
  <c r="BG103" i="4"/>
  <c r="BF104" i="4"/>
  <c r="BG104" i="4"/>
  <c r="BF105" i="4"/>
  <c r="BG105" i="4"/>
  <c r="BF106" i="4"/>
  <c r="BG106" i="4"/>
  <c r="BF107" i="4"/>
  <c r="BG107" i="4"/>
  <c r="BF108" i="4"/>
  <c r="BG108" i="4"/>
  <c r="BF109" i="4"/>
  <c r="BG109" i="4"/>
  <c r="BF110" i="4"/>
  <c r="BG110" i="4"/>
  <c r="BF111" i="4"/>
  <c r="BG111" i="4"/>
  <c r="BF112" i="4"/>
  <c r="BG112" i="4"/>
  <c r="BF113" i="4"/>
  <c r="BG113" i="4"/>
  <c r="BF114" i="4"/>
  <c r="BG114" i="4"/>
  <c r="BF115" i="4"/>
  <c r="BG115" i="4"/>
  <c r="BF116" i="4"/>
  <c r="BG116" i="4"/>
  <c r="BF117" i="4"/>
  <c r="BG117" i="4"/>
  <c r="BF118" i="4"/>
  <c r="BG118" i="4"/>
  <c r="BF119" i="4"/>
  <c r="BG119" i="4"/>
  <c r="BF120" i="4"/>
  <c r="BG120" i="4"/>
  <c r="BF121" i="4"/>
  <c r="BG121" i="4"/>
  <c r="BF122" i="4"/>
  <c r="BG122" i="4"/>
  <c r="BG34" i="4"/>
  <c r="BF34" i="4"/>
  <c r="BD35" i="4"/>
  <c r="BE35" i="4"/>
  <c r="BD36" i="4"/>
  <c r="BE36" i="4"/>
  <c r="BD37" i="4"/>
  <c r="BE37" i="4"/>
  <c r="BD38" i="4"/>
  <c r="BE38" i="4"/>
  <c r="BD39" i="4"/>
  <c r="BE39" i="4"/>
  <c r="BD40" i="4"/>
  <c r="BE40" i="4"/>
  <c r="BD41" i="4"/>
  <c r="BE41" i="4"/>
  <c r="BD42" i="4"/>
  <c r="BE42" i="4"/>
  <c r="BD43" i="4"/>
  <c r="BE43" i="4"/>
  <c r="BD44" i="4"/>
  <c r="BE44" i="4"/>
  <c r="BD45" i="4"/>
  <c r="BE45" i="4"/>
  <c r="BD46" i="4"/>
  <c r="BE46" i="4"/>
  <c r="BD47" i="4"/>
  <c r="BE47" i="4"/>
  <c r="BD48" i="4"/>
  <c r="BE48" i="4"/>
  <c r="BD49" i="4"/>
  <c r="BE49" i="4"/>
  <c r="BD50" i="4"/>
  <c r="BE50" i="4"/>
  <c r="BD51" i="4"/>
  <c r="BE51" i="4"/>
  <c r="BD52" i="4"/>
  <c r="BE52" i="4"/>
  <c r="BD53" i="4"/>
  <c r="BE53" i="4"/>
  <c r="BD54" i="4"/>
  <c r="BE54" i="4"/>
  <c r="BD55" i="4"/>
  <c r="BE55" i="4"/>
  <c r="BD56" i="4"/>
  <c r="BE56" i="4"/>
  <c r="BD57" i="4"/>
  <c r="BE57" i="4"/>
  <c r="BD58" i="4"/>
  <c r="BE58" i="4"/>
  <c r="BD59" i="4"/>
  <c r="BE59" i="4"/>
  <c r="BD60" i="4"/>
  <c r="BE60" i="4"/>
  <c r="BD61" i="4"/>
  <c r="BE61" i="4"/>
  <c r="BD62" i="4"/>
  <c r="BE62" i="4"/>
  <c r="BD63" i="4"/>
  <c r="BE63" i="4"/>
  <c r="BD64" i="4"/>
  <c r="BE64" i="4"/>
  <c r="BD65" i="4"/>
  <c r="BE65" i="4"/>
  <c r="BD66" i="4"/>
  <c r="BE66" i="4"/>
  <c r="BD67" i="4"/>
  <c r="BE67" i="4"/>
  <c r="BD68" i="4"/>
  <c r="BE68" i="4"/>
  <c r="BD69" i="4"/>
  <c r="BE69" i="4"/>
  <c r="BD70" i="4"/>
  <c r="BE70" i="4"/>
  <c r="BD71" i="4"/>
  <c r="BE71" i="4"/>
  <c r="BD72" i="4"/>
  <c r="BE72" i="4"/>
  <c r="BD73" i="4"/>
  <c r="BE73" i="4"/>
  <c r="BD74" i="4"/>
  <c r="BE74" i="4"/>
  <c r="BD75" i="4"/>
  <c r="BE75" i="4"/>
  <c r="BD76" i="4"/>
  <c r="BE76" i="4"/>
  <c r="BD77" i="4"/>
  <c r="BE77" i="4"/>
  <c r="BD78" i="4"/>
  <c r="BE78" i="4"/>
  <c r="BD79" i="4"/>
  <c r="BE79" i="4"/>
  <c r="BD80" i="4"/>
  <c r="BE80" i="4"/>
  <c r="BD81" i="4"/>
  <c r="BE81" i="4"/>
  <c r="BD82" i="4"/>
  <c r="BE82" i="4"/>
  <c r="BD83" i="4"/>
  <c r="BE83" i="4"/>
  <c r="BD84" i="4"/>
  <c r="BE84" i="4"/>
  <c r="BD85" i="4"/>
  <c r="BE85" i="4"/>
  <c r="BD86" i="4"/>
  <c r="BE86" i="4"/>
  <c r="BD87" i="4"/>
  <c r="BE87" i="4"/>
  <c r="BD88" i="4"/>
  <c r="BE88" i="4"/>
  <c r="BD89" i="4"/>
  <c r="BE89" i="4"/>
  <c r="BD90" i="4"/>
  <c r="BE90" i="4"/>
  <c r="BD91" i="4"/>
  <c r="BE91" i="4"/>
  <c r="BD92" i="4"/>
  <c r="BE92" i="4"/>
  <c r="BD93" i="4"/>
  <c r="BE93" i="4"/>
  <c r="BD94" i="4"/>
  <c r="BE94" i="4"/>
  <c r="BD95" i="4"/>
  <c r="BE95" i="4"/>
  <c r="BD96" i="4"/>
  <c r="BE96" i="4"/>
  <c r="BD97" i="4"/>
  <c r="BE97" i="4"/>
  <c r="BD98" i="4"/>
  <c r="BE98" i="4"/>
  <c r="BD99" i="4"/>
  <c r="BE99" i="4"/>
  <c r="BD100" i="4"/>
  <c r="BE100" i="4"/>
  <c r="BD101" i="4"/>
  <c r="BE101" i="4"/>
  <c r="BD102" i="4"/>
  <c r="BE102" i="4"/>
  <c r="BD103" i="4"/>
  <c r="BE103" i="4"/>
  <c r="BD104" i="4"/>
  <c r="BE104" i="4"/>
  <c r="BD105" i="4"/>
  <c r="BE105" i="4"/>
  <c r="BD106" i="4"/>
  <c r="BE106" i="4"/>
  <c r="BD107" i="4"/>
  <c r="BE107" i="4"/>
  <c r="BD108" i="4"/>
  <c r="BE108" i="4"/>
  <c r="BD109" i="4"/>
  <c r="BE109" i="4"/>
  <c r="BD110" i="4"/>
  <c r="BE110" i="4"/>
  <c r="BD111" i="4"/>
  <c r="BE111" i="4"/>
  <c r="BD112" i="4"/>
  <c r="BE112" i="4"/>
  <c r="BD113" i="4"/>
  <c r="BE113" i="4"/>
  <c r="BD114" i="4"/>
  <c r="BE114" i="4"/>
  <c r="BD115" i="4"/>
  <c r="BE115" i="4"/>
  <c r="BD116" i="4"/>
  <c r="BE116" i="4"/>
  <c r="BD117" i="4"/>
  <c r="BE117" i="4"/>
  <c r="BD118" i="4"/>
  <c r="BE118" i="4"/>
  <c r="BD119" i="4"/>
  <c r="BE119" i="4"/>
  <c r="BD120" i="4"/>
  <c r="BE120" i="4"/>
  <c r="BD121" i="4"/>
  <c r="BE121" i="4"/>
  <c r="BD122" i="4"/>
  <c r="BE122" i="4"/>
  <c r="BE34" i="4"/>
  <c r="BD34" i="4"/>
  <c r="BF27" i="4" l="1"/>
  <c r="BG27" i="4"/>
  <c r="BH27" i="4"/>
  <c r="BI27" i="4"/>
  <c r="BJ27" i="4"/>
  <c r="BK27" i="4"/>
  <c r="BD27" i="4"/>
  <c r="BE27" i="4"/>
  <c r="AG11" i="1"/>
  <c r="AG12" i="1"/>
  <c r="AH12" i="1"/>
  <c r="AG13" i="1"/>
  <c r="AH13" i="1"/>
  <c r="AH11" i="1"/>
  <c r="AE11" i="1"/>
  <c r="AA14" i="1"/>
  <c r="AA12" i="1"/>
  <c r="AA13" i="1"/>
  <c r="AA11" i="1"/>
  <c r="P18" i="4"/>
  <c r="AF13" i="1"/>
  <c r="AE13" i="1"/>
  <c r="AJ11" i="1" l="1"/>
  <c r="AI13" i="1"/>
  <c r="AK13" i="1"/>
  <c r="AJ13" i="1"/>
  <c r="AJ12" i="1"/>
  <c r="AF12" i="1" l="1"/>
  <c r="AE12" i="1"/>
  <c r="H2" i="11"/>
  <c r="H3" i="11"/>
  <c r="G18" i="11"/>
  <c r="H18" i="11"/>
  <c r="I18" i="11"/>
  <c r="J18" i="11"/>
  <c r="K18" i="11"/>
  <c r="L18" i="11"/>
  <c r="M18" i="11"/>
  <c r="N18" i="11"/>
  <c r="O18" i="11"/>
  <c r="P18" i="11"/>
  <c r="Q18" i="11"/>
  <c r="G19" i="11"/>
  <c r="H19" i="11"/>
  <c r="I19" i="11"/>
  <c r="J19" i="11"/>
  <c r="K19" i="11"/>
  <c r="L19" i="11"/>
  <c r="M19" i="11"/>
  <c r="N19" i="11"/>
  <c r="O19" i="11"/>
  <c r="P19" i="11"/>
  <c r="Q19" i="11"/>
  <c r="G20" i="11"/>
  <c r="H20" i="11"/>
  <c r="I20" i="11"/>
  <c r="J20" i="11"/>
  <c r="K20" i="11"/>
  <c r="L20" i="11"/>
  <c r="M20" i="11"/>
  <c r="N20" i="11"/>
  <c r="O20" i="11"/>
  <c r="P20" i="11"/>
  <c r="Q20" i="11"/>
  <c r="G21" i="11"/>
  <c r="H21" i="11"/>
  <c r="I21" i="11"/>
  <c r="J21" i="11"/>
  <c r="K21" i="11"/>
  <c r="L21" i="11"/>
  <c r="M21" i="11"/>
  <c r="N21" i="11"/>
  <c r="O21" i="11"/>
  <c r="P21" i="11"/>
  <c r="Q21" i="11"/>
  <c r="G22" i="11"/>
  <c r="H22" i="11"/>
  <c r="I22" i="11"/>
  <c r="J22" i="11"/>
  <c r="K22" i="11"/>
  <c r="L22" i="11"/>
  <c r="M22" i="11"/>
  <c r="N22" i="11"/>
  <c r="O22" i="11"/>
  <c r="P22" i="11"/>
  <c r="Q22" i="11"/>
  <c r="G23" i="11"/>
  <c r="H23" i="11"/>
  <c r="I23" i="11"/>
  <c r="J23" i="11"/>
  <c r="K23" i="11"/>
  <c r="L23" i="11"/>
  <c r="M23" i="11"/>
  <c r="N23" i="11"/>
  <c r="O23" i="11"/>
  <c r="P23" i="11"/>
  <c r="Q23" i="11"/>
  <c r="G24" i="11"/>
  <c r="H24" i="11"/>
  <c r="I24" i="11"/>
  <c r="J24" i="11"/>
  <c r="K24" i="11"/>
  <c r="L24" i="11"/>
  <c r="M24" i="11"/>
  <c r="N24" i="11"/>
  <c r="O24" i="11"/>
  <c r="P24" i="11"/>
  <c r="Q24" i="11"/>
  <c r="G2" i="11"/>
  <c r="I2" i="11"/>
  <c r="J2" i="11"/>
  <c r="K2" i="11"/>
  <c r="L2" i="11"/>
  <c r="M2" i="11"/>
  <c r="N2" i="11"/>
  <c r="O2" i="11"/>
  <c r="P2" i="11"/>
  <c r="Q2" i="11"/>
  <c r="G3" i="11"/>
  <c r="I3" i="11"/>
  <c r="J3" i="11"/>
  <c r="K3" i="11"/>
  <c r="L3" i="11"/>
  <c r="M3" i="11"/>
  <c r="N3" i="11"/>
  <c r="O3" i="11"/>
  <c r="P3" i="11"/>
  <c r="Q3" i="11"/>
  <c r="G4" i="11"/>
  <c r="H4" i="11"/>
  <c r="I4" i="11"/>
  <c r="J4" i="11"/>
  <c r="K4" i="11"/>
  <c r="L4" i="11"/>
  <c r="M4" i="11"/>
  <c r="N4" i="11"/>
  <c r="O4" i="11"/>
  <c r="P4" i="11"/>
  <c r="Q4" i="11"/>
  <c r="G5" i="11"/>
  <c r="H5" i="11"/>
  <c r="I5" i="11"/>
  <c r="J5" i="11"/>
  <c r="K5" i="11"/>
  <c r="L5" i="11"/>
  <c r="M5" i="11"/>
  <c r="N5" i="11"/>
  <c r="O5" i="11"/>
  <c r="P5" i="11"/>
  <c r="Q5" i="11"/>
  <c r="G6" i="11"/>
  <c r="H6" i="11"/>
  <c r="I6" i="11"/>
  <c r="J6" i="11"/>
  <c r="K6" i="11"/>
  <c r="L6" i="11"/>
  <c r="M6" i="11"/>
  <c r="N6" i="11"/>
  <c r="O6" i="11"/>
  <c r="P6" i="11"/>
  <c r="Q6" i="11"/>
  <c r="G7" i="11"/>
  <c r="H7" i="11"/>
  <c r="I7" i="11"/>
  <c r="J7" i="11"/>
  <c r="K7" i="11"/>
  <c r="L7" i="11"/>
  <c r="M7" i="11"/>
  <c r="N7" i="11"/>
  <c r="O7" i="11"/>
  <c r="P7" i="11"/>
  <c r="Q7" i="11"/>
  <c r="G8" i="11"/>
  <c r="H8" i="11"/>
  <c r="I8" i="11"/>
  <c r="J8" i="11"/>
  <c r="K8" i="11"/>
  <c r="L8" i="11"/>
  <c r="M8" i="11"/>
  <c r="N8" i="11"/>
  <c r="O8" i="11"/>
  <c r="P8" i="11"/>
  <c r="Q8" i="11"/>
  <c r="F40" i="10"/>
  <c r="F41" i="10"/>
  <c r="F42" i="10"/>
  <c r="F43" i="10"/>
  <c r="F44" i="10"/>
  <c r="F45" i="10"/>
  <c r="F46" i="10"/>
  <c r="AI12" i="1" l="1"/>
  <c r="AK12" i="1"/>
  <c r="F16" i="11"/>
  <c r="F14" i="11"/>
  <c r="F12" i="11"/>
  <c r="F13" i="19"/>
  <c r="G5" i="5"/>
  <c r="F24" i="11"/>
  <c r="F22" i="11"/>
  <c r="F20" i="11"/>
  <c r="F10" i="11"/>
  <c r="F19" i="19"/>
  <c r="F21" i="11"/>
  <c r="F23" i="11"/>
  <c r="F18" i="11"/>
  <c r="F39" i="10"/>
  <c r="F17" i="11" s="1"/>
  <c r="AG29" i="4"/>
  <c r="AD11" i="1"/>
  <c r="AF11" i="1" s="1"/>
  <c r="F30" i="10"/>
  <c r="F9" i="11" s="1"/>
  <c r="H23" i="4"/>
  <c r="F11" i="11"/>
  <c r="G2" i="4"/>
  <c r="H2" i="4"/>
  <c r="I2" i="4"/>
  <c r="J2" i="4"/>
  <c r="K2" i="4"/>
  <c r="L2" i="4"/>
  <c r="M2" i="4"/>
  <c r="N2" i="4"/>
  <c r="O2" i="4"/>
  <c r="P2" i="4"/>
  <c r="Q2" i="4"/>
  <c r="R2" i="4"/>
  <c r="S2" i="4"/>
  <c r="T2" i="4"/>
  <c r="U2" i="4"/>
  <c r="V2" i="4"/>
  <c r="W2" i="4"/>
  <c r="X2" i="4"/>
  <c r="Y2" i="4"/>
  <c r="I3" i="4"/>
  <c r="J3" i="4"/>
  <c r="K3" i="4"/>
  <c r="L3" i="4"/>
  <c r="M3" i="4"/>
  <c r="N3" i="4"/>
  <c r="O3" i="4"/>
  <c r="P3" i="4"/>
  <c r="Q3" i="4"/>
  <c r="R3" i="4"/>
  <c r="S3" i="4"/>
  <c r="T3" i="4"/>
  <c r="U3" i="4"/>
  <c r="V3" i="4"/>
  <c r="W3" i="4"/>
  <c r="X3" i="4"/>
  <c r="I4" i="4"/>
  <c r="J4" i="4"/>
  <c r="K4" i="4"/>
  <c r="L4" i="4"/>
  <c r="M4" i="4"/>
  <c r="N4" i="4"/>
  <c r="O4" i="4"/>
  <c r="P4" i="4"/>
  <c r="Q4" i="4"/>
  <c r="R4" i="4"/>
  <c r="S4" i="4"/>
  <c r="T4" i="4"/>
  <c r="U4" i="4"/>
  <c r="V4" i="4"/>
  <c r="W4" i="4"/>
  <c r="X4" i="4"/>
  <c r="I5" i="4"/>
  <c r="J5" i="4"/>
  <c r="K5" i="4"/>
  <c r="L5" i="4"/>
  <c r="M5" i="4"/>
  <c r="N5" i="4"/>
  <c r="O5" i="4"/>
  <c r="P5" i="4"/>
  <c r="Q5" i="4"/>
  <c r="R5" i="4"/>
  <c r="S5" i="4"/>
  <c r="T5" i="4"/>
  <c r="U5" i="4"/>
  <c r="V5" i="4"/>
  <c r="W5" i="4"/>
  <c r="X5" i="4"/>
  <c r="I6" i="4"/>
  <c r="J6" i="4"/>
  <c r="K6" i="4"/>
  <c r="L6" i="4"/>
  <c r="M6" i="4"/>
  <c r="N6" i="4"/>
  <c r="O6" i="4"/>
  <c r="P6" i="4"/>
  <c r="Q6" i="4"/>
  <c r="R6" i="4"/>
  <c r="S6" i="4"/>
  <c r="T6" i="4"/>
  <c r="U6" i="4"/>
  <c r="V6" i="4"/>
  <c r="W6" i="4"/>
  <c r="X6" i="4"/>
  <c r="Y6" i="4"/>
  <c r="I7" i="4"/>
  <c r="J7" i="4"/>
  <c r="K7" i="4"/>
  <c r="M7" i="4"/>
  <c r="N7" i="4"/>
  <c r="O7" i="4"/>
  <c r="P7" i="4"/>
  <c r="Q7" i="4"/>
  <c r="R7" i="4"/>
  <c r="S7" i="4"/>
  <c r="T7" i="4"/>
  <c r="U7" i="4"/>
  <c r="V7" i="4"/>
  <c r="W7" i="4"/>
  <c r="X7" i="4"/>
  <c r="Y7" i="4"/>
  <c r="I8" i="4"/>
  <c r="J8" i="4"/>
  <c r="K8" i="4"/>
  <c r="L8" i="4"/>
  <c r="M8" i="4"/>
  <c r="N8" i="4"/>
  <c r="O8" i="4"/>
  <c r="P8" i="4"/>
  <c r="Q8" i="4"/>
  <c r="R8" i="4"/>
  <c r="S8" i="4"/>
  <c r="T8" i="4"/>
  <c r="U8" i="4"/>
  <c r="V8" i="4"/>
  <c r="W8" i="4"/>
  <c r="X8" i="4"/>
  <c r="Y8" i="4"/>
  <c r="G10" i="4"/>
  <c r="I10" i="4"/>
  <c r="J10" i="4"/>
  <c r="K10" i="4"/>
  <c r="L10" i="4"/>
  <c r="U10" i="4"/>
  <c r="V10" i="4"/>
  <c r="W10" i="4"/>
  <c r="X10" i="4"/>
  <c r="Y10" i="4"/>
  <c r="G11" i="4"/>
  <c r="I11" i="4"/>
  <c r="J11" i="4"/>
  <c r="K11" i="4"/>
  <c r="L11" i="4"/>
  <c r="X11" i="4"/>
  <c r="Y11" i="4"/>
  <c r="G12" i="4"/>
  <c r="I12" i="4"/>
  <c r="J12" i="4"/>
  <c r="K12" i="4"/>
  <c r="L12" i="4"/>
  <c r="U12" i="4"/>
  <c r="V12" i="4"/>
  <c r="W12" i="4"/>
  <c r="X12" i="4"/>
  <c r="Y12" i="4"/>
  <c r="G13" i="4"/>
  <c r="I13" i="4"/>
  <c r="J13" i="4"/>
  <c r="K13" i="4"/>
  <c r="L13" i="4"/>
  <c r="U13" i="4"/>
  <c r="V13" i="4"/>
  <c r="W13" i="4"/>
  <c r="X13" i="4"/>
  <c r="Y13" i="4"/>
  <c r="G14" i="4"/>
  <c r="I14" i="4"/>
  <c r="J14" i="4"/>
  <c r="K14" i="4"/>
  <c r="L14" i="4"/>
  <c r="U14" i="4"/>
  <c r="V14" i="4"/>
  <c r="W14" i="4"/>
  <c r="X14" i="4"/>
  <c r="Y14" i="4"/>
  <c r="G15" i="4"/>
  <c r="I15" i="4"/>
  <c r="J15" i="4"/>
  <c r="K15" i="4"/>
  <c r="L15" i="4"/>
  <c r="U15" i="4"/>
  <c r="V15" i="4"/>
  <c r="W15" i="4"/>
  <c r="X15" i="4"/>
  <c r="Y15" i="4"/>
  <c r="G16" i="4"/>
  <c r="I16" i="4"/>
  <c r="J16" i="4"/>
  <c r="K16" i="4"/>
  <c r="L16" i="4"/>
  <c r="U16" i="4"/>
  <c r="V16" i="4"/>
  <c r="W16" i="4"/>
  <c r="X16" i="4"/>
  <c r="Y16" i="4"/>
  <c r="G18" i="4"/>
  <c r="H18" i="4"/>
  <c r="I18" i="4"/>
  <c r="J18" i="4"/>
  <c r="K18" i="4"/>
  <c r="L18" i="4"/>
  <c r="M18" i="4"/>
  <c r="N18" i="4"/>
  <c r="O18" i="4"/>
  <c r="Q18" i="4"/>
  <c r="R18" i="4"/>
  <c r="S18" i="4"/>
  <c r="T18" i="4"/>
  <c r="U18" i="4"/>
  <c r="V18" i="4"/>
  <c r="W18" i="4"/>
  <c r="X18" i="4"/>
  <c r="G19" i="4"/>
  <c r="H19" i="4"/>
  <c r="I19" i="4"/>
  <c r="J19" i="4"/>
  <c r="K19" i="4"/>
  <c r="L19" i="4"/>
  <c r="M19" i="4"/>
  <c r="N19" i="4"/>
  <c r="O19" i="4"/>
  <c r="P19" i="4"/>
  <c r="Q19" i="4"/>
  <c r="R19" i="4"/>
  <c r="S19" i="4"/>
  <c r="T19" i="4"/>
  <c r="U19" i="4"/>
  <c r="V19" i="4"/>
  <c r="W19" i="4"/>
  <c r="X19" i="4"/>
  <c r="G20" i="4"/>
  <c r="H20" i="4"/>
  <c r="I20" i="4"/>
  <c r="J20" i="4"/>
  <c r="K20" i="4"/>
  <c r="L20" i="4"/>
  <c r="M20" i="4"/>
  <c r="O20" i="4"/>
  <c r="P20" i="4"/>
  <c r="Q20" i="4"/>
  <c r="R20" i="4"/>
  <c r="S20" i="4"/>
  <c r="T20" i="4"/>
  <c r="U20" i="4"/>
  <c r="V20" i="4"/>
  <c r="W20" i="4"/>
  <c r="X20" i="4"/>
  <c r="G21" i="4"/>
  <c r="H21" i="4"/>
  <c r="I21" i="4"/>
  <c r="J21" i="4"/>
  <c r="K21" i="4"/>
  <c r="L21" i="4"/>
  <c r="M21" i="4"/>
  <c r="N21" i="4"/>
  <c r="O21" i="4"/>
  <c r="P21" i="4"/>
  <c r="Q21" i="4"/>
  <c r="R21" i="4"/>
  <c r="S21" i="4"/>
  <c r="T21" i="4"/>
  <c r="U21" i="4"/>
  <c r="V21" i="4"/>
  <c r="W21" i="4"/>
  <c r="X21" i="4"/>
  <c r="G22" i="4"/>
  <c r="H22" i="4"/>
  <c r="I22" i="4"/>
  <c r="J22" i="4"/>
  <c r="K22" i="4"/>
  <c r="L22" i="4"/>
  <c r="M22" i="4"/>
  <c r="N22" i="4"/>
  <c r="O22" i="4"/>
  <c r="P22" i="4"/>
  <c r="Q22" i="4"/>
  <c r="R22" i="4"/>
  <c r="S22" i="4"/>
  <c r="T22" i="4"/>
  <c r="U22" i="4"/>
  <c r="V22" i="4"/>
  <c r="W22" i="4"/>
  <c r="X22" i="4"/>
  <c r="G23" i="4"/>
  <c r="I23" i="4"/>
  <c r="J23" i="4"/>
  <c r="K23" i="4"/>
  <c r="L23" i="4"/>
  <c r="M23" i="4"/>
  <c r="N23" i="4"/>
  <c r="O23" i="4"/>
  <c r="P23" i="4"/>
  <c r="Q23" i="4"/>
  <c r="R23" i="4"/>
  <c r="S23" i="4"/>
  <c r="T23" i="4"/>
  <c r="U23" i="4"/>
  <c r="V23" i="4"/>
  <c r="W23" i="4"/>
  <c r="X23" i="4"/>
  <c r="G24" i="4"/>
  <c r="I24" i="4"/>
  <c r="J24" i="4"/>
  <c r="K24" i="4"/>
  <c r="L24" i="4"/>
  <c r="M24" i="4"/>
  <c r="N24" i="4"/>
  <c r="O24" i="4"/>
  <c r="P24" i="4"/>
  <c r="Q24" i="4"/>
  <c r="R24" i="4"/>
  <c r="S24" i="4"/>
  <c r="T24" i="4"/>
  <c r="U24" i="4"/>
  <c r="V24" i="4"/>
  <c r="W24" i="4"/>
  <c r="X24" i="4"/>
  <c r="G9" i="4"/>
  <c r="G1" i="4"/>
  <c r="AA34" i="4"/>
  <c r="AB34" i="4"/>
  <c r="AC34" i="4"/>
  <c r="AD34" i="4"/>
  <c r="AE34" i="4"/>
  <c r="AF34" i="4"/>
  <c r="AG34" i="4"/>
  <c r="AH34" i="4"/>
  <c r="AI34" i="4"/>
  <c r="AJ34" i="4"/>
  <c r="AM34" i="4"/>
  <c r="AN34" i="4"/>
  <c r="AO34" i="4"/>
  <c r="O1" i="11"/>
  <c r="G1" i="11"/>
  <c r="F1" i="11"/>
  <c r="F2" i="11"/>
  <c r="F3" i="11"/>
  <c r="F4" i="11"/>
  <c r="F5" i="11"/>
  <c r="F6" i="11"/>
  <c r="F7" i="11"/>
  <c r="H2" i="3"/>
  <c r="I2" i="3"/>
  <c r="J2" i="3"/>
  <c r="K2" i="3"/>
  <c r="L2" i="3"/>
  <c r="M2" i="3"/>
  <c r="H3" i="3"/>
  <c r="I3" i="3"/>
  <c r="J3" i="3"/>
  <c r="K3" i="3"/>
  <c r="L3" i="3"/>
  <c r="M3" i="3"/>
  <c r="H4" i="3"/>
  <c r="I4" i="3"/>
  <c r="J4" i="3"/>
  <c r="K4" i="3"/>
  <c r="L4" i="3"/>
  <c r="M4" i="3"/>
  <c r="H5" i="3"/>
  <c r="I5" i="3"/>
  <c r="J5" i="3"/>
  <c r="K5" i="3"/>
  <c r="L5" i="3"/>
  <c r="M5" i="3"/>
  <c r="H6" i="3"/>
  <c r="I6" i="3"/>
  <c r="J6" i="3"/>
  <c r="K6" i="3"/>
  <c r="L6" i="3"/>
  <c r="M6" i="3"/>
  <c r="H7" i="3"/>
  <c r="I7" i="3"/>
  <c r="J7" i="3"/>
  <c r="K7" i="3"/>
  <c r="L7" i="3"/>
  <c r="M7" i="3"/>
  <c r="H8" i="3"/>
  <c r="I8" i="3"/>
  <c r="J8" i="3"/>
  <c r="K8" i="3"/>
  <c r="L8" i="3"/>
  <c r="M8" i="3"/>
  <c r="H1" i="3"/>
  <c r="F8" i="11"/>
  <c r="C26" i="4"/>
  <c r="C27" i="4"/>
  <c r="C28" i="4"/>
  <c r="C29" i="4"/>
  <c r="C30" i="4"/>
  <c r="C31" i="4"/>
  <c r="C32" i="4"/>
  <c r="G26" i="4"/>
  <c r="H26" i="4"/>
  <c r="I26" i="4"/>
  <c r="J26" i="4"/>
  <c r="K26" i="4"/>
  <c r="L26" i="4"/>
  <c r="M26" i="4"/>
  <c r="N26" i="4"/>
  <c r="O26" i="4"/>
  <c r="P26" i="4"/>
  <c r="Q26" i="4"/>
  <c r="R26" i="4"/>
  <c r="S26" i="4"/>
  <c r="T26" i="4"/>
  <c r="U26" i="4"/>
  <c r="V26" i="4"/>
  <c r="W26" i="4"/>
  <c r="X26" i="4"/>
  <c r="G27" i="4"/>
  <c r="H27" i="4"/>
  <c r="I27" i="4"/>
  <c r="J27" i="4"/>
  <c r="K27" i="4"/>
  <c r="L27" i="4"/>
  <c r="M27" i="4"/>
  <c r="N27" i="4"/>
  <c r="O27" i="4"/>
  <c r="P27" i="4"/>
  <c r="Q27" i="4"/>
  <c r="R27" i="4"/>
  <c r="S27" i="4"/>
  <c r="T27" i="4"/>
  <c r="U27" i="4"/>
  <c r="V27" i="4"/>
  <c r="W27" i="4"/>
  <c r="X27" i="4"/>
  <c r="G28" i="4"/>
  <c r="H28" i="4"/>
  <c r="I28" i="4"/>
  <c r="J28" i="4"/>
  <c r="K28" i="4"/>
  <c r="L28" i="4"/>
  <c r="M28" i="4"/>
  <c r="N28" i="4"/>
  <c r="O28" i="4"/>
  <c r="P28" i="4"/>
  <c r="Q28" i="4"/>
  <c r="R28" i="4"/>
  <c r="S28" i="4"/>
  <c r="T28" i="4"/>
  <c r="U28" i="4"/>
  <c r="V28" i="4"/>
  <c r="W28" i="4"/>
  <c r="X28" i="4"/>
  <c r="G29" i="4"/>
  <c r="H29" i="4"/>
  <c r="I29" i="4"/>
  <c r="J29" i="4"/>
  <c r="K29" i="4"/>
  <c r="L29" i="4"/>
  <c r="M29" i="4"/>
  <c r="N29" i="4"/>
  <c r="O29" i="4"/>
  <c r="P29" i="4"/>
  <c r="Q29" i="4"/>
  <c r="R29" i="4"/>
  <c r="S29" i="4"/>
  <c r="T29" i="4"/>
  <c r="U29" i="4"/>
  <c r="V29" i="4"/>
  <c r="W29" i="4"/>
  <c r="X29" i="4"/>
  <c r="G30" i="4"/>
  <c r="H30" i="4"/>
  <c r="I30" i="4"/>
  <c r="J30" i="4"/>
  <c r="K30" i="4"/>
  <c r="L30" i="4"/>
  <c r="M30" i="4"/>
  <c r="N30" i="4"/>
  <c r="O30" i="4"/>
  <c r="P30" i="4"/>
  <c r="Q30" i="4"/>
  <c r="R30" i="4"/>
  <c r="S30" i="4"/>
  <c r="T30" i="4"/>
  <c r="U30" i="4"/>
  <c r="V30" i="4"/>
  <c r="W30" i="4"/>
  <c r="X30" i="4"/>
  <c r="G31" i="4"/>
  <c r="H31" i="4"/>
  <c r="I31" i="4"/>
  <c r="J31" i="4"/>
  <c r="K31" i="4"/>
  <c r="L31" i="4"/>
  <c r="M31" i="4"/>
  <c r="N31" i="4"/>
  <c r="O31" i="4"/>
  <c r="P31" i="4"/>
  <c r="Q31" i="4"/>
  <c r="R31" i="4"/>
  <c r="S31" i="4"/>
  <c r="T31" i="4"/>
  <c r="U31" i="4"/>
  <c r="V31" i="4"/>
  <c r="W31" i="4"/>
  <c r="X31" i="4"/>
  <c r="G32" i="4"/>
  <c r="H32" i="4"/>
  <c r="I32" i="4"/>
  <c r="J32" i="4"/>
  <c r="K32" i="4"/>
  <c r="L32" i="4"/>
  <c r="M32" i="4"/>
  <c r="N32" i="4"/>
  <c r="O32" i="4"/>
  <c r="P32" i="4"/>
  <c r="Q32" i="4"/>
  <c r="R32" i="4"/>
  <c r="S32" i="4"/>
  <c r="T32" i="4"/>
  <c r="U32" i="4"/>
  <c r="V32" i="4"/>
  <c r="W32" i="4"/>
  <c r="X32" i="4"/>
  <c r="C18" i="4"/>
  <c r="C19" i="4"/>
  <c r="C20" i="4"/>
  <c r="C21" i="4"/>
  <c r="C22" i="4"/>
  <c r="C23" i="4"/>
  <c r="C24" i="4"/>
  <c r="C17" i="4"/>
  <c r="C10" i="4"/>
  <c r="C11" i="4"/>
  <c r="C12" i="4"/>
  <c r="C13" i="4"/>
  <c r="C14" i="4"/>
  <c r="C15" i="4"/>
  <c r="C16" i="4"/>
  <c r="C9" i="4"/>
  <c r="G17" i="4"/>
  <c r="Y9" i="4"/>
  <c r="H1" i="4"/>
  <c r="I1" i="4"/>
  <c r="J1" i="4"/>
  <c r="K1" i="4"/>
  <c r="L1" i="4"/>
  <c r="M1" i="4"/>
  <c r="N1" i="4"/>
  <c r="O1" i="4"/>
  <c r="P1" i="4"/>
  <c r="Q1" i="4"/>
  <c r="R1" i="4"/>
  <c r="S1" i="4"/>
  <c r="T1" i="4"/>
  <c r="U1" i="4"/>
  <c r="V1" i="4"/>
  <c r="W1" i="4"/>
  <c r="X1" i="4"/>
  <c r="Y1" i="4"/>
  <c r="C2" i="4"/>
  <c r="Y25" i="4"/>
  <c r="I25" i="4"/>
  <c r="J25" i="4"/>
  <c r="K25" i="4"/>
  <c r="L25" i="4"/>
  <c r="M25" i="4"/>
  <c r="N25" i="4"/>
  <c r="O25" i="4"/>
  <c r="P25" i="4"/>
  <c r="Q25" i="4"/>
  <c r="R25" i="4"/>
  <c r="S25" i="4"/>
  <c r="T25" i="4"/>
  <c r="U25" i="4"/>
  <c r="V25" i="4"/>
  <c r="W25" i="4"/>
  <c r="X25" i="4"/>
  <c r="H25" i="4"/>
  <c r="I17" i="4"/>
  <c r="J17" i="4"/>
  <c r="K17" i="4"/>
  <c r="L17" i="4"/>
  <c r="M17" i="4"/>
  <c r="N17" i="4"/>
  <c r="O17" i="4"/>
  <c r="P17" i="4"/>
  <c r="Q17" i="4"/>
  <c r="R17" i="4"/>
  <c r="S17" i="4"/>
  <c r="T17" i="4"/>
  <c r="U17" i="4"/>
  <c r="V17" i="4"/>
  <c r="W17" i="4"/>
  <c r="X17" i="4"/>
  <c r="H17" i="4"/>
  <c r="I9" i="4"/>
  <c r="J9" i="4"/>
  <c r="K9" i="4"/>
  <c r="L9" i="4"/>
  <c r="M9" i="4"/>
  <c r="U9" i="4"/>
  <c r="V9" i="4"/>
  <c r="W9" i="4"/>
  <c r="X9" i="4"/>
  <c r="G25" i="4"/>
  <c r="C25" i="4"/>
  <c r="B1" i="4"/>
  <c r="B24" i="4" s="1"/>
  <c r="J5" i="5"/>
  <c r="E13" i="5" s="1"/>
  <c r="E2" i="3"/>
  <c r="F2" i="3" s="1"/>
  <c r="G2" i="3"/>
  <c r="E3" i="3"/>
  <c r="F3" i="3" s="1"/>
  <c r="G3" i="3"/>
  <c r="E4" i="3"/>
  <c r="F4" i="3" s="1"/>
  <c r="G4" i="3"/>
  <c r="E5" i="3"/>
  <c r="F5" i="3" s="1"/>
  <c r="G5" i="3"/>
  <c r="E6" i="3"/>
  <c r="F6" i="3" s="1"/>
  <c r="G6" i="3"/>
  <c r="E7" i="3"/>
  <c r="F7" i="3" s="1"/>
  <c r="G7" i="3"/>
  <c r="E8" i="3"/>
  <c r="F8" i="3" s="1"/>
  <c r="G8" i="3"/>
  <c r="M1" i="3"/>
  <c r="G6" i="10"/>
  <c r="B1" i="19" s="1"/>
  <c r="G1" i="3"/>
  <c r="E1" i="3"/>
  <c r="F1" i="3" s="1"/>
  <c r="AA539" i="19"/>
  <c r="Z539" i="19"/>
  <c r="Y539" i="19"/>
  <c r="X539" i="19"/>
  <c r="W539" i="19"/>
  <c r="V539" i="19"/>
  <c r="U539" i="19"/>
  <c r="T539" i="19"/>
  <c r="S539" i="19"/>
  <c r="R539" i="19"/>
  <c r="AA538" i="19"/>
  <c r="Z538" i="19"/>
  <c r="Y538" i="19"/>
  <c r="X538" i="19"/>
  <c r="W538" i="19"/>
  <c r="V538" i="19"/>
  <c r="U538" i="19"/>
  <c r="T538" i="19"/>
  <c r="S538" i="19"/>
  <c r="R538" i="19"/>
  <c r="AA537" i="19"/>
  <c r="Z537" i="19"/>
  <c r="Y537" i="19"/>
  <c r="X537" i="19"/>
  <c r="W537" i="19"/>
  <c r="V537" i="19"/>
  <c r="U537" i="19"/>
  <c r="T537" i="19"/>
  <c r="S537" i="19"/>
  <c r="R537" i="19"/>
  <c r="AA536" i="19"/>
  <c r="Z536" i="19"/>
  <c r="Y536" i="19"/>
  <c r="X536" i="19"/>
  <c r="W536" i="19"/>
  <c r="V536" i="19"/>
  <c r="U536" i="19"/>
  <c r="T536" i="19"/>
  <c r="S536" i="19"/>
  <c r="R536" i="19"/>
  <c r="AA535" i="19"/>
  <c r="Z535" i="19"/>
  <c r="Y535" i="19"/>
  <c r="X535" i="19"/>
  <c r="W535" i="19"/>
  <c r="V535" i="19"/>
  <c r="U535" i="19"/>
  <c r="T535" i="19"/>
  <c r="S535" i="19"/>
  <c r="R535" i="19"/>
  <c r="AA534" i="19"/>
  <c r="Z534" i="19"/>
  <c r="Y534" i="19"/>
  <c r="X534" i="19"/>
  <c r="W534" i="19"/>
  <c r="V534" i="19"/>
  <c r="U534" i="19"/>
  <c r="T534" i="19"/>
  <c r="S534" i="19"/>
  <c r="R534" i="19"/>
  <c r="AA533" i="19"/>
  <c r="Z533" i="19"/>
  <c r="Y533" i="19"/>
  <c r="X533" i="19"/>
  <c r="W533" i="19"/>
  <c r="V533" i="19"/>
  <c r="U533" i="19"/>
  <c r="T533" i="19"/>
  <c r="S533" i="19"/>
  <c r="R533" i="19"/>
  <c r="AA532" i="19"/>
  <c r="Z532" i="19"/>
  <c r="Y532" i="19"/>
  <c r="X532" i="19"/>
  <c r="W532" i="19"/>
  <c r="V532" i="19"/>
  <c r="U532" i="19"/>
  <c r="T532" i="19"/>
  <c r="S532" i="19"/>
  <c r="R532" i="19"/>
  <c r="AA531" i="19"/>
  <c r="Z531" i="19"/>
  <c r="Y531" i="19"/>
  <c r="X531" i="19"/>
  <c r="W531" i="19"/>
  <c r="V531" i="19"/>
  <c r="U531" i="19"/>
  <c r="T531" i="19"/>
  <c r="S531" i="19"/>
  <c r="R531" i="19"/>
  <c r="AA530" i="19"/>
  <c r="Z530" i="19"/>
  <c r="Y530" i="19"/>
  <c r="X530" i="19"/>
  <c r="W530" i="19"/>
  <c r="V530" i="19"/>
  <c r="U530" i="19"/>
  <c r="T530" i="19"/>
  <c r="S530" i="19"/>
  <c r="R530" i="19"/>
  <c r="AA529" i="19"/>
  <c r="Z529" i="19"/>
  <c r="Y529" i="19"/>
  <c r="X529" i="19"/>
  <c r="W529" i="19"/>
  <c r="V529" i="19"/>
  <c r="U529" i="19"/>
  <c r="T529" i="19"/>
  <c r="S529" i="19"/>
  <c r="R529" i="19"/>
  <c r="AA528" i="19"/>
  <c r="Z528" i="19"/>
  <c r="Y528" i="19"/>
  <c r="X528" i="19"/>
  <c r="W528" i="19"/>
  <c r="V528" i="19"/>
  <c r="U528" i="19"/>
  <c r="T528" i="19"/>
  <c r="S528" i="19"/>
  <c r="R528" i="19"/>
  <c r="AA527" i="19"/>
  <c r="Z527" i="19"/>
  <c r="Y527" i="19"/>
  <c r="X527" i="19"/>
  <c r="W527" i="19"/>
  <c r="V527" i="19"/>
  <c r="U527" i="19"/>
  <c r="T527" i="19"/>
  <c r="S527" i="19"/>
  <c r="R527" i="19"/>
  <c r="AA526" i="19"/>
  <c r="Z526" i="19"/>
  <c r="Y526" i="19"/>
  <c r="X526" i="19"/>
  <c r="W526" i="19"/>
  <c r="V526" i="19"/>
  <c r="U526" i="19"/>
  <c r="T526" i="19"/>
  <c r="S526" i="19"/>
  <c r="R526" i="19"/>
  <c r="AA525" i="19"/>
  <c r="Z525" i="19"/>
  <c r="Y525" i="19"/>
  <c r="X525" i="19"/>
  <c r="W525" i="19"/>
  <c r="V525" i="19"/>
  <c r="U525" i="19"/>
  <c r="T525" i="19"/>
  <c r="S525" i="19"/>
  <c r="R525" i="19"/>
  <c r="AA524" i="19"/>
  <c r="Z524" i="19"/>
  <c r="Y524" i="19"/>
  <c r="X524" i="19"/>
  <c r="W524" i="19"/>
  <c r="V524" i="19"/>
  <c r="U524" i="19"/>
  <c r="T524" i="19"/>
  <c r="S524" i="19"/>
  <c r="R524" i="19"/>
  <c r="AA523" i="19"/>
  <c r="Z523" i="19"/>
  <c r="Y523" i="19"/>
  <c r="X523" i="19"/>
  <c r="W523" i="19"/>
  <c r="V523" i="19"/>
  <c r="U523" i="19"/>
  <c r="T523" i="19"/>
  <c r="S523" i="19"/>
  <c r="R523" i="19"/>
  <c r="AA522" i="19"/>
  <c r="Z522" i="19"/>
  <c r="Y522" i="19"/>
  <c r="X522" i="19"/>
  <c r="W522" i="19"/>
  <c r="V522" i="19"/>
  <c r="U522" i="19"/>
  <c r="T522" i="19"/>
  <c r="S522" i="19"/>
  <c r="R522" i="19"/>
  <c r="AA521" i="19"/>
  <c r="Z521" i="19"/>
  <c r="Y521" i="19"/>
  <c r="X521" i="19"/>
  <c r="W521" i="19"/>
  <c r="V521" i="19"/>
  <c r="U521" i="19"/>
  <c r="T521" i="19"/>
  <c r="S521" i="19"/>
  <c r="R521" i="19"/>
  <c r="AA520" i="19"/>
  <c r="Z520" i="19"/>
  <c r="Y520" i="19"/>
  <c r="X520" i="19"/>
  <c r="W520" i="19"/>
  <c r="V520" i="19"/>
  <c r="U520" i="19"/>
  <c r="T520" i="19"/>
  <c r="S520" i="19"/>
  <c r="R520" i="19"/>
  <c r="AA519" i="19"/>
  <c r="Z519" i="19"/>
  <c r="Y519" i="19"/>
  <c r="X519" i="19"/>
  <c r="W519" i="19"/>
  <c r="V519" i="19"/>
  <c r="U519" i="19"/>
  <c r="T519" i="19"/>
  <c r="S519" i="19"/>
  <c r="R519" i="19"/>
  <c r="AA518" i="19"/>
  <c r="Z518" i="19"/>
  <c r="Y518" i="19"/>
  <c r="X518" i="19"/>
  <c r="W518" i="19"/>
  <c r="V518" i="19"/>
  <c r="U518" i="19"/>
  <c r="T518" i="19"/>
  <c r="S518" i="19"/>
  <c r="R518" i="19"/>
  <c r="AA517" i="19"/>
  <c r="Z517" i="19"/>
  <c r="Y517" i="19"/>
  <c r="X517" i="19"/>
  <c r="W517" i="19"/>
  <c r="V517" i="19"/>
  <c r="U517" i="19"/>
  <c r="T517" i="19"/>
  <c r="S517" i="19"/>
  <c r="R517" i="19"/>
  <c r="AA516" i="19"/>
  <c r="Z516" i="19"/>
  <c r="Y516" i="19"/>
  <c r="X516" i="19"/>
  <c r="W516" i="19"/>
  <c r="V516" i="19"/>
  <c r="U516" i="19"/>
  <c r="T516" i="19"/>
  <c r="S516" i="19"/>
  <c r="R516" i="19"/>
  <c r="AA515" i="19"/>
  <c r="Z515" i="19"/>
  <c r="Y515" i="19"/>
  <c r="X515" i="19"/>
  <c r="W515" i="19"/>
  <c r="V515" i="19"/>
  <c r="U515" i="19"/>
  <c r="T515" i="19"/>
  <c r="S515" i="19"/>
  <c r="R515" i="19"/>
  <c r="AA514" i="19"/>
  <c r="Z514" i="19"/>
  <c r="Y514" i="19"/>
  <c r="X514" i="19"/>
  <c r="W514" i="19"/>
  <c r="V514" i="19"/>
  <c r="U514" i="19"/>
  <c r="T514" i="19"/>
  <c r="S514" i="19"/>
  <c r="R514" i="19"/>
  <c r="AA513" i="19"/>
  <c r="Z513" i="19"/>
  <c r="Y513" i="19"/>
  <c r="X513" i="19"/>
  <c r="W513" i="19"/>
  <c r="V513" i="19"/>
  <c r="U513" i="19"/>
  <c r="T513" i="19"/>
  <c r="S513" i="19"/>
  <c r="R513" i="19"/>
  <c r="AA512" i="19"/>
  <c r="Z512" i="19"/>
  <c r="Y512" i="19"/>
  <c r="X512" i="19"/>
  <c r="W512" i="19"/>
  <c r="V512" i="19"/>
  <c r="U512" i="19"/>
  <c r="T512" i="19"/>
  <c r="S512" i="19"/>
  <c r="R512" i="19"/>
  <c r="AA511" i="19"/>
  <c r="Z511" i="19"/>
  <c r="Y511" i="19"/>
  <c r="X511" i="19"/>
  <c r="W511" i="19"/>
  <c r="V511" i="19"/>
  <c r="U511" i="19"/>
  <c r="T511" i="19"/>
  <c r="S511" i="19"/>
  <c r="R511" i="19"/>
  <c r="AA510" i="19"/>
  <c r="Z510" i="19"/>
  <c r="Y510" i="19"/>
  <c r="X510" i="19"/>
  <c r="W510" i="19"/>
  <c r="V510" i="19"/>
  <c r="U510" i="19"/>
  <c r="T510" i="19"/>
  <c r="S510" i="19"/>
  <c r="R510" i="19"/>
  <c r="AA509" i="19"/>
  <c r="Z509" i="19"/>
  <c r="Y509" i="19"/>
  <c r="X509" i="19"/>
  <c r="W509" i="19"/>
  <c r="V509" i="19"/>
  <c r="U509" i="19"/>
  <c r="T509" i="19"/>
  <c r="S509" i="19"/>
  <c r="R509" i="19"/>
  <c r="AA508" i="19"/>
  <c r="Z508" i="19"/>
  <c r="Y508" i="19"/>
  <c r="X508" i="19"/>
  <c r="W508" i="19"/>
  <c r="V508" i="19"/>
  <c r="U508" i="19"/>
  <c r="T508" i="19"/>
  <c r="S508" i="19"/>
  <c r="R508" i="19"/>
  <c r="AA507" i="19"/>
  <c r="Z507" i="19"/>
  <c r="Y507" i="19"/>
  <c r="X507" i="19"/>
  <c r="W507" i="19"/>
  <c r="V507" i="19"/>
  <c r="U507" i="19"/>
  <c r="T507" i="19"/>
  <c r="S507" i="19"/>
  <c r="R507" i="19"/>
  <c r="AA506" i="19"/>
  <c r="Z506" i="19"/>
  <c r="Y506" i="19"/>
  <c r="X506" i="19"/>
  <c r="W506" i="19"/>
  <c r="V506" i="19"/>
  <c r="U506" i="19"/>
  <c r="T506" i="19"/>
  <c r="S506" i="19"/>
  <c r="R506" i="19"/>
  <c r="AA505" i="19"/>
  <c r="Z505" i="19"/>
  <c r="Y505" i="19"/>
  <c r="X505" i="19"/>
  <c r="W505" i="19"/>
  <c r="V505" i="19"/>
  <c r="U505" i="19"/>
  <c r="T505" i="19"/>
  <c r="S505" i="19"/>
  <c r="R505" i="19"/>
  <c r="AA504" i="19"/>
  <c r="Z504" i="19"/>
  <c r="Y504" i="19"/>
  <c r="X504" i="19"/>
  <c r="W504" i="19"/>
  <c r="V504" i="19"/>
  <c r="U504" i="19"/>
  <c r="T504" i="19"/>
  <c r="S504" i="19"/>
  <c r="R504" i="19"/>
  <c r="AA503" i="19"/>
  <c r="Z503" i="19"/>
  <c r="Y503" i="19"/>
  <c r="X503" i="19"/>
  <c r="W503" i="19"/>
  <c r="V503" i="19"/>
  <c r="U503" i="19"/>
  <c r="T503" i="19"/>
  <c r="S503" i="19"/>
  <c r="R503" i="19"/>
  <c r="AA502" i="19"/>
  <c r="Z502" i="19"/>
  <c r="Y502" i="19"/>
  <c r="X502" i="19"/>
  <c r="W502" i="19"/>
  <c r="V502" i="19"/>
  <c r="U502" i="19"/>
  <c r="T502" i="19"/>
  <c r="S502" i="19"/>
  <c r="R502" i="19"/>
  <c r="AA501" i="19"/>
  <c r="Z501" i="19"/>
  <c r="Y501" i="19"/>
  <c r="X501" i="19"/>
  <c r="W501" i="19"/>
  <c r="V501" i="19"/>
  <c r="U501" i="19"/>
  <c r="T501" i="19"/>
  <c r="S501" i="19"/>
  <c r="R501" i="19"/>
  <c r="AA500" i="19"/>
  <c r="Z500" i="19"/>
  <c r="Y500" i="19"/>
  <c r="X500" i="19"/>
  <c r="W500" i="19"/>
  <c r="V500" i="19"/>
  <c r="U500" i="19"/>
  <c r="T500" i="19"/>
  <c r="S500" i="19"/>
  <c r="R500" i="19"/>
  <c r="AA499" i="19"/>
  <c r="Z499" i="19"/>
  <c r="Y499" i="19"/>
  <c r="X499" i="19"/>
  <c r="W499" i="19"/>
  <c r="V499" i="19"/>
  <c r="U499" i="19"/>
  <c r="T499" i="19"/>
  <c r="S499" i="19"/>
  <c r="R499" i="19"/>
  <c r="AA498" i="19"/>
  <c r="Z498" i="19"/>
  <c r="Y498" i="19"/>
  <c r="X498" i="19"/>
  <c r="W498" i="19"/>
  <c r="V498" i="19"/>
  <c r="U498" i="19"/>
  <c r="T498" i="19"/>
  <c r="S498" i="19"/>
  <c r="R498" i="19"/>
  <c r="AA497" i="19"/>
  <c r="Z497" i="19"/>
  <c r="Y497" i="19"/>
  <c r="X497" i="19"/>
  <c r="W497" i="19"/>
  <c r="V497" i="19"/>
  <c r="U497" i="19"/>
  <c r="T497" i="19"/>
  <c r="S497" i="19"/>
  <c r="R497" i="19"/>
  <c r="AA496" i="19"/>
  <c r="Z496" i="19"/>
  <c r="Y496" i="19"/>
  <c r="X496" i="19"/>
  <c r="W496" i="19"/>
  <c r="V496" i="19"/>
  <c r="U496" i="19"/>
  <c r="T496" i="19"/>
  <c r="S496" i="19"/>
  <c r="R496" i="19"/>
  <c r="AA495" i="19"/>
  <c r="Z495" i="19"/>
  <c r="Y495" i="19"/>
  <c r="X495" i="19"/>
  <c r="W495" i="19"/>
  <c r="V495" i="19"/>
  <c r="U495" i="19"/>
  <c r="T495" i="19"/>
  <c r="S495" i="19"/>
  <c r="R495" i="19"/>
  <c r="AA494" i="19"/>
  <c r="Z494" i="19"/>
  <c r="Y494" i="19"/>
  <c r="X494" i="19"/>
  <c r="W494" i="19"/>
  <c r="V494" i="19"/>
  <c r="U494" i="19"/>
  <c r="T494" i="19"/>
  <c r="S494" i="19"/>
  <c r="R494" i="19"/>
  <c r="AA493" i="19"/>
  <c r="Z493" i="19"/>
  <c r="Y493" i="19"/>
  <c r="X493" i="19"/>
  <c r="W493" i="19"/>
  <c r="V493" i="19"/>
  <c r="U493" i="19"/>
  <c r="T493" i="19"/>
  <c r="S493" i="19"/>
  <c r="R493" i="19"/>
  <c r="AA492" i="19"/>
  <c r="Z492" i="19"/>
  <c r="Y492" i="19"/>
  <c r="X492" i="19"/>
  <c r="W492" i="19"/>
  <c r="V492" i="19"/>
  <c r="U492" i="19"/>
  <c r="T492" i="19"/>
  <c r="S492" i="19"/>
  <c r="R492" i="19"/>
  <c r="AA491" i="19"/>
  <c r="Z491" i="19"/>
  <c r="Y491" i="19"/>
  <c r="X491" i="19"/>
  <c r="W491" i="19"/>
  <c r="V491" i="19"/>
  <c r="U491" i="19"/>
  <c r="T491" i="19"/>
  <c r="S491" i="19"/>
  <c r="R491" i="19"/>
  <c r="AA490" i="19"/>
  <c r="Z490" i="19"/>
  <c r="Y490" i="19"/>
  <c r="X490" i="19"/>
  <c r="W490" i="19"/>
  <c r="V490" i="19"/>
  <c r="U490" i="19"/>
  <c r="T490" i="19"/>
  <c r="S490" i="19"/>
  <c r="R490" i="19"/>
  <c r="AA489" i="19"/>
  <c r="Z489" i="19"/>
  <c r="Y489" i="19"/>
  <c r="X489" i="19"/>
  <c r="W489" i="19"/>
  <c r="V489" i="19"/>
  <c r="U489" i="19"/>
  <c r="T489" i="19"/>
  <c r="S489" i="19"/>
  <c r="R489" i="19"/>
  <c r="AA488" i="19"/>
  <c r="Z488" i="19"/>
  <c r="Y488" i="19"/>
  <c r="X488" i="19"/>
  <c r="W488" i="19"/>
  <c r="V488" i="19"/>
  <c r="U488" i="19"/>
  <c r="T488" i="19"/>
  <c r="S488" i="19"/>
  <c r="R488" i="19"/>
  <c r="AA487" i="19"/>
  <c r="Z487" i="19"/>
  <c r="Y487" i="19"/>
  <c r="X487" i="19"/>
  <c r="W487" i="19"/>
  <c r="V487" i="19"/>
  <c r="U487" i="19"/>
  <c r="T487" i="19"/>
  <c r="S487" i="19"/>
  <c r="R487" i="19"/>
  <c r="AA486" i="19"/>
  <c r="Z486" i="19"/>
  <c r="Y486" i="19"/>
  <c r="X486" i="19"/>
  <c r="W486" i="19"/>
  <c r="V486" i="19"/>
  <c r="U486" i="19"/>
  <c r="T486" i="19"/>
  <c r="S486" i="19"/>
  <c r="R486" i="19"/>
  <c r="AA485" i="19"/>
  <c r="Z485" i="19"/>
  <c r="Y485" i="19"/>
  <c r="X485" i="19"/>
  <c r="W485" i="19"/>
  <c r="V485" i="19"/>
  <c r="U485" i="19"/>
  <c r="T485" i="19"/>
  <c r="S485" i="19"/>
  <c r="R485" i="19"/>
  <c r="AA484" i="19"/>
  <c r="Z484" i="19"/>
  <c r="Y484" i="19"/>
  <c r="X484" i="19"/>
  <c r="W484" i="19"/>
  <c r="V484" i="19"/>
  <c r="U484" i="19"/>
  <c r="T484" i="19"/>
  <c r="S484" i="19"/>
  <c r="R484" i="19"/>
  <c r="AA483" i="19"/>
  <c r="Z483" i="19"/>
  <c r="Y483" i="19"/>
  <c r="X483" i="19"/>
  <c r="W483" i="19"/>
  <c r="V483" i="19"/>
  <c r="U483" i="19"/>
  <c r="T483" i="19"/>
  <c r="S483" i="19"/>
  <c r="R483" i="19"/>
  <c r="AA482" i="19"/>
  <c r="Z482" i="19"/>
  <c r="Y482" i="19"/>
  <c r="X482" i="19"/>
  <c r="W482" i="19"/>
  <c r="V482" i="19"/>
  <c r="U482" i="19"/>
  <c r="T482" i="19"/>
  <c r="S482" i="19"/>
  <c r="R482" i="19"/>
  <c r="AA481" i="19"/>
  <c r="Z481" i="19"/>
  <c r="Y481" i="19"/>
  <c r="X481" i="19"/>
  <c r="W481" i="19"/>
  <c r="V481" i="19"/>
  <c r="U481" i="19"/>
  <c r="T481" i="19"/>
  <c r="S481" i="19"/>
  <c r="R481" i="19"/>
  <c r="AA480" i="19"/>
  <c r="Z480" i="19"/>
  <c r="Y480" i="19"/>
  <c r="X480" i="19"/>
  <c r="W480" i="19"/>
  <c r="V480" i="19"/>
  <c r="U480" i="19"/>
  <c r="T480" i="19"/>
  <c r="S480" i="19"/>
  <c r="R480" i="19"/>
  <c r="AA479" i="19"/>
  <c r="Z479" i="19"/>
  <c r="Y479" i="19"/>
  <c r="X479" i="19"/>
  <c r="W479" i="19"/>
  <c r="V479" i="19"/>
  <c r="U479" i="19"/>
  <c r="T479" i="19"/>
  <c r="S479" i="19"/>
  <c r="R479" i="19"/>
  <c r="AA478" i="19"/>
  <c r="Z478" i="19"/>
  <c r="Y478" i="19"/>
  <c r="X478" i="19"/>
  <c r="W478" i="19"/>
  <c r="V478" i="19"/>
  <c r="U478" i="19"/>
  <c r="T478" i="19"/>
  <c r="S478" i="19"/>
  <c r="R478" i="19"/>
  <c r="AA477" i="19"/>
  <c r="Z477" i="19"/>
  <c r="Y477" i="19"/>
  <c r="X477" i="19"/>
  <c r="W477" i="19"/>
  <c r="V477" i="19"/>
  <c r="U477" i="19"/>
  <c r="T477" i="19"/>
  <c r="S477" i="19"/>
  <c r="R477" i="19"/>
  <c r="AA476" i="19"/>
  <c r="Z476" i="19"/>
  <c r="Y476" i="19"/>
  <c r="X476" i="19"/>
  <c r="W476" i="19"/>
  <c r="V476" i="19"/>
  <c r="U476" i="19"/>
  <c r="T476" i="19"/>
  <c r="S476" i="19"/>
  <c r="R476" i="19"/>
  <c r="AA475" i="19"/>
  <c r="Z475" i="19"/>
  <c r="Y475" i="19"/>
  <c r="X475" i="19"/>
  <c r="W475" i="19"/>
  <c r="V475" i="19"/>
  <c r="U475" i="19"/>
  <c r="T475" i="19"/>
  <c r="S475" i="19"/>
  <c r="R475" i="19"/>
  <c r="AA474" i="19"/>
  <c r="Z474" i="19"/>
  <c r="Y474" i="19"/>
  <c r="X474" i="19"/>
  <c r="W474" i="19"/>
  <c r="V474" i="19"/>
  <c r="U474" i="19"/>
  <c r="T474" i="19"/>
  <c r="S474" i="19"/>
  <c r="R474" i="19"/>
  <c r="AA473" i="19"/>
  <c r="Z473" i="19"/>
  <c r="Y473" i="19"/>
  <c r="X473" i="19"/>
  <c r="W473" i="19"/>
  <c r="V473" i="19"/>
  <c r="U473" i="19"/>
  <c r="T473" i="19"/>
  <c r="S473" i="19"/>
  <c r="R473" i="19"/>
  <c r="AA472" i="19"/>
  <c r="Z472" i="19"/>
  <c r="Y472" i="19"/>
  <c r="X472" i="19"/>
  <c r="W472" i="19"/>
  <c r="V472" i="19"/>
  <c r="U472" i="19"/>
  <c r="T472" i="19"/>
  <c r="S472" i="19"/>
  <c r="R472" i="19"/>
  <c r="AA471" i="19"/>
  <c r="Z471" i="19"/>
  <c r="Y471" i="19"/>
  <c r="X471" i="19"/>
  <c r="W471" i="19"/>
  <c r="V471" i="19"/>
  <c r="U471" i="19"/>
  <c r="T471" i="19"/>
  <c r="S471" i="19"/>
  <c r="R471" i="19"/>
  <c r="AA470" i="19"/>
  <c r="Z470" i="19"/>
  <c r="Y470" i="19"/>
  <c r="X470" i="19"/>
  <c r="W470" i="19"/>
  <c r="V470" i="19"/>
  <c r="U470" i="19"/>
  <c r="T470" i="19"/>
  <c r="S470" i="19"/>
  <c r="R470" i="19"/>
  <c r="AA469" i="19"/>
  <c r="Z469" i="19"/>
  <c r="Y469" i="19"/>
  <c r="X469" i="19"/>
  <c r="W469" i="19"/>
  <c r="V469" i="19"/>
  <c r="U469" i="19"/>
  <c r="T469" i="19"/>
  <c r="S469" i="19"/>
  <c r="R469" i="19"/>
  <c r="AA468" i="19"/>
  <c r="Z468" i="19"/>
  <c r="Y468" i="19"/>
  <c r="X468" i="19"/>
  <c r="W468" i="19"/>
  <c r="V468" i="19"/>
  <c r="U468" i="19"/>
  <c r="T468" i="19"/>
  <c r="S468" i="19"/>
  <c r="R468" i="19"/>
  <c r="AA467" i="19"/>
  <c r="Z467" i="19"/>
  <c r="Y467" i="19"/>
  <c r="X467" i="19"/>
  <c r="W467" i="19"/>
  <c r="V467" i="19"/>
  <c r="U467" i="19"/>
  <c r="T467" i="19"/>
  <c r="S467" i="19"/>
  <c r="R467" i="19"/>
  <c r="AA466" i="19"/>
  <c r="Z466" i="19"/>
  <c r="Y466" i="19"/>
  <c r="X466" i="19"/>
  <c r="W466" i="19"/>
  <c r="V466" i="19"/>
  <c r="U466" i="19"/>
  <c r="T466" i="19"/>
  <c r="S466" i="19"/>
  <c r="R466" i="19"/>
  <c r="AA465" i="19"/>
  <c r="Z465" i="19"/>
  <c r="Y465" i="19"/>
  <c r="X465" i="19"/>
  <c r="W465" i="19"/>
  <c r="V465" i="19"/>
  <c r="U465" i="19"/>
  <c r="T465" i="19"/>
  <c r="S465" i="19"/>
  <c r="R465" i="19"/>
  <c r="AA464" i="19"/>
  <c r="Z464" i="19"/>
  <c r="Y464" i="19"/>
  <c r="X464" i="19"/>
  <c r="W464" i="19"/>
  <c r="V464" i="19"/>
  <c r="U464" i="19"/>
  <c r="T464" i="19"/>
  <c r="S464" i="19"/>
  <c r="R464" i="19"/>
  <c r="AA463" i="19"/>
  <c r="Z463" i="19"/>
  <c r="Y463" i="19"/>
  <c r="X463" i="19"/>
  <c r="W463" i="19"/>
  <c r="V463" i="19"/>
  <c r="U463" i="19"/>
  <c r="T463" i="19"/>
  <c r="S463" i="19"/>
  <c r="R463" i="19"/>
  <c r="AA462" i="19"/>
  <c r="Z462" i="19"/>
  <c r="Y462" i="19"/>
  <c r="X462" i="19"/>
  <c r="W462" i="19"/>
  <c r="V462" i="19"/>
  <c r="U462" i="19"/>
  <c r="T462" i="19"/>
  <c r="S462" i="19"/>
  <c r="R462" i="19"/>
  <c r="AA461" i="19"/>
  <c r="Z461" i="19"/>
  <c r="Y461" i="19"/>
  <c r="X461" i="19"/>
  <c r="W461" i="19"/>
  <c r="V461" i="19"/>
  <c r="U461" i="19"/>
  <c r="T461" i="19"/>
  <c r="S461" i="19"/>
  <c r="R461" i="19"/>
  <c r="AA460" i="19"/>
  <c r="Z460" i="19"/>
  <c r="Y460" i="19"/>
  <c r="X460" i="19"/>
  <c r="W460" i="19"/>
  <c r="V460" i="19"/>
  <c r="U460" i="19"/>
  <c r="T460" i="19"/>
  <c r="S460" i="19"/>
  <c r="R460" i="19"/>
  <c r="AA459" i="19"/>
  <c r="Z459" i="19"/>
  <c r="Y459" i="19"/>
  <c r="X459" i="19"/>
  <c r="W459" i="19"/>
  <c r="V459" i="19"/>
  <c r="U459" i="19"/>
  <c r="T459" i="19"/>
  <c r="S459" i="19"/>
  <c r="R459" i="19"/>
  <c r="AA458" i="19"/>
  <c r="Z458" i="19"/>
  <c r="Y458" i="19"/>
  <c r="X458" i="19"/>
  <c r="W458" i="19"/>
  <c r="V458" i="19"/>
  <c r="U458" i="19"/>
  <c r="T458" i="19"/>
  <c r="S458" i="19"/>
  <c r="R458" i="19"/>
  <c r="AA457" i="19"/>
  <c r="Z457" i="19"/>
  <c r="Y457" i="19"/>
  <c r="X457" i="19"/>
  <c r="W457" i="19"/>
  <c r="V457" i="19"/>
  <c r="U457" i="19"/>
  <c r="T457" i="19"/>
  <c r="S457" i="19"/>
  <c r="R457" i="19"/>
  <c r="AA456" i="19"/>
  <c r="Z456" i="19"/>
  <c r="Y456" i="19"/>
  <c r="X456" i="19"/>
  <c r="W456" i="19"/>
  <c r="V456" i="19"/>
  <c r="U456" i="19"/>
  <c r="T456" i="19"/>
  <c r="S456" i="19"/>
  <c r="R456" i="19"/>
  <c r="AA455" i="19"/>
  <c r="Z455" i="19"/>
  <c r="Y455" i="19"/>
  <c r="X455" i="19"/>
  <c r="W455" i="19"/>
  <c r="V455" i="19"/>
  <c r="U455" i="19"/>
  <c r="T455" i="19"/>
  <c r="S455" i="19"/>
  <c r="R455" i="19"/>
  <c r="AA454" i="19"/>
  <c r="Z454" i="19"/>
  <c r="Y454" i="19"/>
  <c r="X454" i="19"/>
  <c r="W454" i="19"/>
  <c r="V454" i="19"/>
  <c r="U454" i="19"/>
  <c r="T454" i="19"/>
  <c r="S454" i="19"/>
  <c r="R454" i="19"/>
  <c r="AA453" i="19"/>
  <c r="Z453" i="19"/>
  <c r="Y453" i="19"/>
  <c r="X453" i="19"/>
  <c r="W453" i="19"/>
  <c r="V453" i="19"/>
  <c r="U453" i="19"/>
  <c r="T453" i="19"/>
  <c r="S453" i="19"/>
  <c r="R453" i="19"/>
  <c r="AA452" i="19"/>
  <c r="Z452" i="19"/>
  <c r="Y452" i="19"/>
  <c r="X452" i="19"/>
  <c r="W452" i="19"/>
  <c r="V452" i="19"/>
  <c r="U452" i="19"/>
  <c r="T452" i="19"/>
  <c r="S452" i="19"/>
  <c r="R452" i="19"/>
  <c r="AA451" i="19"/>
  <c r="Z451" i="19"/>
  <c r="Y451" i="19"/>
  <c r="X451" i="19"/>
  <c r="W451" i="19"/>
  <c r="V451" i="19"/>
  <c r="U451" i="19"/>
  <c r="T451" i="19"/>
  <c r="S451" i="19"/>
  <c r="R451" i="19"/>
  <c r="AA450" i="19"/>
  <c r="Z450" i="19"/>
  <c r="Y450" i="19"/>
  <c r="X450" i="19"/>
  <c r="W450" i="19"/>
  <c r="V450" i="19"/>
  <c r="U450" i="19"/>
  <c r="T450" i="19"/>
  <c r="S450" i="19"/>
  <c r="R450" i="19"/>
  <c r="AA449" i="19"/>
  <c r="Z449" i="19"/>
  <c r="Y449" i="19"/>
  <c r="X449" i="19"/>
  <c r="W449" i="19"/>
  <c r="V449" i="19"/>
  <c r="U449" i="19"/>
  <c r="T449" i="19"/>
  <c r="S449" i="19"/>
  <c r="R449" i="19"/>
  <c r="AA448" i="19"/>
  <c r="Z448" i="19"/>
  <c r="Y448" i="19"/>
  <c r="X448" i="19"/>
  <c r="W448" i="19"/>
  <c r="V448" i="19"/>
  <c r="U448" i="19"/>
  <c r="T448" i="19"/>
  <c r="S448" i="19"/>
  <c r="R448" i="19"/>
  <c r="AA447" i="19"/>
  <c r="Z447" i="19"/>
  <c r="Y447" i="19"/>
  <c r="X447" i="19"/>
  <c r="W447" i="19"/>
  <c r="V447" i="19"/>
  <c r="U447" i="19"/>
  <c r="T447" i="19"/>
  <c r="S447" i="19"/>
  <c r="R447" i="19"/>
  <c r="AA446" i="19"/>
  <c r="Z446" i="19"/>
  <c r="Y446" i="19"/>
  <c r="X446" i="19"/>
  <c r="W446" i="19"/>
  <c r="V446" i="19"/>
  <c r="U446" i="19"/>
  <c r="T446" i="19"/>
  <c r="S446" i="19"/>
  <c r="R446" i="19"/>
  <c r="AA445" i="19"/>
  <c r="Z445" i="19"/>
  <c r="Y445" i="19"/>
  <c r="X445" i="19"/>
  <c r="W445" i="19"/>
  <c r="V445" i="19"/>
  <c r="U445" i="19"/>
  <c r="T445" i="19"/>
  <c r="S445" i="19"/>
  <c r="R445" i="19"/>
  <c r="AA444" i="19"/>
  <c r="Z444" i="19"/>
  <c r="Y444" i="19"/>
  <c r="X444" i="19"/>
  <c r="W444" i="19"/>
  <c r="V444" i="19"/>
  <c r="U444" i="19"/>
  <c r="T444" i="19"/>
  <c r="S444" i="19"/>
  <c r="R444" i="19"/>
  <c r="AA443" i="19"/>
  <c r="Z443" i="19"/>
  <c r="Y443" i="19"/>
  <c r="X443" i="19"/>
  <c r="W443" i="19"/>
  <c r="V443" i="19"/>
  <c r="U443" i="19"/>
  <c r="T443" i="19"/>
  <c r="S443" i="19"/>
  <c r="R443" i="19"/>
  <c r="AA442" i="19"/>
  <c r="Z442" i="19"/>
  <c r="Y442" i="19"/>
  <c r="X442" i="19"/>
  <c r="W442" i="19"/>
  <c r="V442" i="19"/>
  <c r="U442" i="19"/>
  <c r="T442" i="19"/>
  <c r="S442" i="19"/>
  <c r="R442" i="19"/>
  <c r="AA441" i="19"/>
  <c r="Z441" i="19"/>
  <c r="Y441" i="19"/>
  <c r="X441" i="19"/>
  <c r="W441" i="19"/>
  <c r="V441" i="19"/>
  <c r="U441" i="19"/>
  <c r="T441" i="19"/>
  <c r="S441" i="19"/>
  <c r="R441" i="19"/>
  <c r="AA440" i="19"/>
  <c r="Z440" i="19"/>
  <c r="Y440" i="19"/>
  <c r="X440" i="19"/>
  <c r="W440" i="19"/>
  <c r="V440" i="19"/>
  <c r="U440" i="19"/>
  <c r="T440" i="19"/>
  <c r="S440" i="19"/>
  <c r="R440" i="19"/>
  <c r="AA439" i="19"/>
  <c r="Z439" i="19"/>
  <c r="Y439" i="19"/>
  <c r="X439" i="19"/>
  <c r="W439" i="19"/>
  <c r="V439" i="19"/>
  <c r="U439" i="19"/>
  <c r="T439" i="19"/>
  <c r="S439" i="19"/>
  <c r="R439" i="19"/>
  <c r="AA438" i="19"/>
  <c r="Z438" i="19"/>
  <c r="Y438" i="19"/>
  <c r="X438" i="19"/>
  <c r="W438" i="19"/>
  <c r="V438" i="19"/>
  <c r="U438" i="19"/>
  <c r="T438" i="19"/>
  <c r="S438" i="19"/>
  <c r="R438" i="19"/>
  <c r="AA437" i="19"/>
  <c r="Z437" i="19"/>
  <c r="Y437" i="19"/>
  <c r="X437" i="19"/>
  <c r="W437" i="19"/>
  <c r="V437" i="19"/>
  <c r="U437" i="19"/>
  <c r="T437" i="19"/>
  <c r="S437" i="19"/>
  <c r="R437" i="19"/>
  <c r="AA436" i="19"/>
  <c r="Z436" i="19"/>
  <c r="Y436" i="19"/>
  <c r="X436" i="19"/>
  <c r="W436" i="19"/>
  <c r="V436" i="19"/>
  <c r="U436" i="19"/>
  <c r="T436" i="19"/>
  <c r="S436" i="19"/>
  <c r="R436" i="19"/>
  <c r="AA435" i="19"/>
  <c r="Z435" i="19"/>
  <c r="Y435" i="19"/>
  <c r="X435" i="19"/>
  <c r="W435" i="19"/>
  <c r="V435" i="19"/>
  <c r="U435" i="19"/>
  <c r="T435" i="19"/>
  <c r="S435" i="19"/>
  <c r="R435" i="19"/>
  <c r="AA434" i="19"/>
  <c r="Z434" i="19"/>
  <c r="Y434" i="19"/>
  <c r="X434" i="19"/>
  <c r="W434" i="19"/>
  <c r="V434" i="19"/>
  <c r="U434" i="19"/>
  <c r="T434" i="19"/>
  <c r="S434" i="19"/>
  <c r="R434" i="19"/>
  <c r="AA433" i="19"/>
  <c r="Z433" i="19"/>
  <c r="Y433" i="19"/>
  <c r="X433" i="19"/>
  <c r="W433" i="19"/>
  <c r="V433" i="19"/>
  <c r="U433" i="19"/>
  <c r="T433" i="19"/>
  <c r="S433" i="19"/>
  <c r="R433" i="19"/>
  <c r="AA432" i="19"/>
  <c r="Z432" i="19"/>
  <c r="Y432" i="19"/>
  <c r="X432" i="19"/>
  <c r="W432" i="19"/>
  <c r="V432" i="19"/>
  <c r="U432" i="19"/>
  <c r="T432" i="19"/>
  <c r="S432" i="19"/>
  <c r="R432" i="19"/>
  <c r="AA431" i="19"/>
  <c r="Z431" i="19"/>
  <c r="Y431" i="19"/>
  <c r="X431" i="19"/>
  <c r="W431" i="19"/>
  <c r="V431" i="19"/>
  <c r="U431" i="19"/>
  <c r="T431" i="19"/>
  <c r="S431" i="19"/>
  <c r="R431" i="19"/>
  <c r="AA430" i="19"/>
  <c r="Z430" i="19"/>
  <c r="Y430" i="19"/>
  <c r="X430" i="19"/>
  <c r="W430" i="19"/>
  <c r="V430" i="19"/>
  <c r="U430" i="19"/>
  <c r="T430" i="19"/>
  <c r="S430" i="19"/>
  <c r="R430" i="19"/>
  <c r="AA429" i="19"/>
  <c r="Z429" i="19"/>
  <c r="Y429" i="19"/>
  <c r="X429" i="19"/>
  <c r="W429" i="19"/>
  <c r="V429" i="19"/>
  <c r="U429" i="19"/>
  <c r="T429" i="19"/>
  <c r="S429" i="19"/>
  <c r="R429" i="19"/>
  <c r="AA428" i="19"/>
  <c r="Z428" i="19"/>
  <c r="Y428" i="19"/>
  <c r="X428" i="19"/>
  <c r="W428" i="19"/>
  <c r="V428" i="19"/>
  <c r="U428" i="19"/>
  <c r="T428" i="19"/>
  <c r="S428" i="19"/>
  <c r="R428" i="19"/>
  <c r="AA427" i="19"/>
  <c r="Z427" i="19"/>
  <c r="Y427" i="19"/>
  <c r="X427" i="19"/>
  <c r="W427" i="19"/>
  <c r="V427" i="19"/>
  <c r="U427" i="19"/>
  <c r="T427" i="19"/>
  <c r="S427" i="19"/>
  <c r="R427" i="19"/>
  <c r="AA426" i="19"/>
  <c r="Z426" i="19"/>
  <c r="Y426" i="19"/>
  <c r="X426" i="19"/>
  <c r="W426" i="19"/>
  <c r="V426" i="19"/>
  <c r="U426" i="19"/>
  <c r="T426" i="19"/>
  <c r="S426" i="19"/>
  <c r="R426" i="19"/>
  <c r="AA425" i="19"/>
  <c r="Z425" i="19"/>
  <c r="Y425" i="19"/>
  <c r="X425" i="19"/>
  <c r="W425" i="19"/>
  <c r="V425" i="19"/>
  <c r="U425" i="19"/>
  <c r="T425" i="19"/>
  <c r="S425" i="19"/>
  <c r="R425" i="19"/>
  <c r="AA424" i="19"/>
  <c r="Z424" i="19"/>
  <c r="Y424" i="19"/>
  <c r="X424" i="19"/>
  <c r="W424" i="19"/>
  <c r="V424" i="19"/>
  <c r="U424" i="19"/>
  <c r="T424" i="19"/>
  <c r="S424" i="19"/>
  <c r="R424" i="19"/>
  <c r="AA423" i="19"/>
  <c r="Z423" i="19"/>
  <c r="Y423" i="19"/>
  <c r="X423" i="19"/>
  <c r="W423" i="19"/>
  <c r="V423" i="19"/>
  <c r="U423" i="19"/>
  <c r="T423" i="19"/>
  <c r="S423" i="19"/>
  <c r="R423" i="19"/>
  <c r="AA422" i="19"/>
  <c r="Z422" i="19"/>
  <c r="Y422" i="19"/>
  <c r="X422" i="19"/>
  <c r="W422" i="19"/>
  <c r="V422" i="19"/>
  <c r="U422" i="19"/>
  <c r="T422" i="19"/>
  <c r="S422" i="19"/>
  <c r="R422" i="19"/>
  <c r="AA421" i="19"/>
  <c r="Z421" i="19"/>
  <c r="Y421" i="19"/>
  <c r="X421" i="19"/>
  <c r="W421" i="19"/>
  <c r="V421" i="19"/>
  <c r="U421" i="19"/>
  <c r="T421" i="19"/>
  <c r="S421" i="19"/>
  <c r="R421" i="19"/>
  <c r="AA420" i="19"/>
  <c r="Z420" i="19"/>
  <c r="Y420" i="19"/>
  <c r="X420" i="19"/>
  <c r="W420" i="19"/>
  <c r="V420" i="19"/>
  <c r="U420" i="19"/>
  <c r="T420" i="19"/>
  <c r="S420" i="19"/>
  <c r="R420" i="19"/>
  <c r="AA419" i="19"/>
  <c r="Z419" i="19"/>
  <c r="Y419" i="19"/>
  <c r="X419" i="19"/>
  <c r="W419" i="19"/>
  <c r="V419" i="19"/>
  <c r="U419" i="19"/>
  <c r="T419" i="19"/>
  <c r="S419" i="19"/>
  <c r="R419" i="19"/>
  <c r="AA418" i="19"/>
  <c r="Z418" i="19"/>
  <c r="Y418" i="19"/>
  <c r="X418" i="19"/>
  <c r="W418" i="19"/>
  <c r="V418" i="19"/>
  <c r="U418" i="19"/>
  <c r="T418" i="19"/>
  <c r="S418" i="19"/>
  <c r="R418" i="19"/>
  <c r="AA417" i="19"/>
  <c r="Z417" i="19"/>
  <c r="Y417" i="19"/>
  <c r="X417" i="19"/>
  <c r="W417" i="19"/>
  <c r="V417" i="19"/>
  <c r="U417" i="19"/>
  <c r="T417" i="19"/>
  <c r="S417" i="19"/>
  <c r="R417" i="19"/>
  <c r="AA416" i="19"/>
  <c r="Z416" i="19"/>
  <c r="Y416" i="19"/>
  <c r="X416" i="19"/>
  <c r="W416" i="19"/>
  <c r="V416" i="19"/>
  <c r="U416" i="19"/>
  <c r="T416" i="19"/>
  <c r="S416" i="19"/>
  <c r="R416" i="19"/>
  <c r="AA415" i="19"/>
  <c r="Z415" i="19"/>
  <c r="Y415" i="19"/>
  <c r="X415" i="19"/>
  <c r="W415" i="19"/>
  <c r="V415" i="19"/>
  <c r="U415" i="19"/>
  <c r="T415" i="19"/>
  <c r="S415" i="19"/>
  <c r="R415" i="19"/>
  <c r="AA414" i="19"/>
  <c r="Z414" i="19"/>
  <c r="Y414" i="19"/>
  <c r="X414" i="19"/>
  <c r="W414" i="19"/>
  <c r="V414" i="19"/>
  <c r="U414" i="19"/>
  <c r="T414" i="19"/>
  <c r="S414" i="19"/>
  <c r="R414" i="19"/>
  <c r="AA413" i="19"/>
  <c r="Z413" i="19"/>
  <c r="Y413" i="19"/>
  <c r="X413" i="19"/>
  <c r="W413" i="19"/>
  <c r="V413" i="19"/>
  <c r="U413" i="19"/>
  <c r="T413" i="19"/>
  <c r="S413" i="19"/>
  <c r="R413" i="19"/>
  <c r="AA412" i="19"/>
  <c r="Z412" i="19"/>
  <c r="Y412" i="19"/>
  <c r="X412" i="19"/>
  <c r="W412" i="19"/>
  <c r="V412" i="19"/>
  <c r="U412" i="19"/>
  <c r="T412" i="19"/>
  <c r="S412" i="19"/>
  <c r="R412" i="19"/>
  <c r="AA411" i="19"/>
  <c r="Z411" i="19"/>
  <c r="Y411" i="19"/>
  <c r="X411" i="19"/>
  <c r="W411" i="19"/>
  <c r="V411" i="19"/>
  <c r="U411" i="19"/>
  <c r="T411" i="19"/>
  <c r="S411" i="19"/>
  <c r="R411" i="19"/>
  <c r="AA410" i="19"/>
  <c r="Z410" i="19"/>
  <c r="Y410" i="19"/>
  <c r="X410" i="19"/>
  <c r="W410" i="19"/>
  <c r="V410" i="19"/>
  <c r="U410" i="19"/>
  <c r="T410" i="19"/>
  <c r="S410" i="19"/>
  <c r="R410" i="19"/>
  <c r="AA409" i="19"/>
  <c r="Z409" i="19"/>
  <c r="Y409" i="19"/>
  <c r="X409" i="19"/>
  <c r="W409" i="19"/>
  <c r="V409" i="19"/>
  <c r="U409" i="19"/>
  <c r="T409" i="19"/>
  <c r="S409" i="19"/>
  <c r="R409" i="19"/>
  <c r="AA408" i="19"/>
  <c r="Z408" i="19"/>
  <c r="Y408" i="19"/>
  <c r="X408" i="19"/>
  <c r="W408" i="19"/>
  <c r="V408" i="19"/>
  <c r="U408" i="19"/>
  <c r="T408" i="19"/>
  <c r="S408" i="19"/>
  <c r="R408" i="19"/>
  <c r="AA407" i="19"/>
  <c r="Z407" i="19"/>
  <c r="Y407" i="19"/>
  <c r="X407" i="19"/>
  <c r="W407" i="19"/>
  <c r="V407" i="19"/>
  <c r="U407" i="19"/>
  <c r="T407" i="19"/>
  <c r="S407" i="19"/>
  <c r="R407" i="19"/>
  <c r="AA406" i="19"/>
  <c r="Z406" i="19"/>
  <c r="Y406" i="19"/>
  <c r="X406" i="19"/>
  <c r="W406" i="19"/>
  <c r="V406" i="19"/>
  <c r="U406" i="19"/>
  <c r="T406" i="19"/>
  <c r="S406" i="19"/>
  <c r="R406" i="19"/>
  <c r="AA405" i="19"/>
  <c r="Z405" i="19"/>
  <c r="Y405" i="19"/>
  <c r="X405" i="19"/>
  <c r="W405" i="19"/>
  <c r="V405" i="19"/>
  <c r="U405" i="19"/>
  <c r="T405" i="19"/>
  <c r="S405" i="19"/>
  <c r="R405" i="19"/>
  <c r="AA404" i="19"/>
  <c r="Z404" i="19"/>
  <c r="Y404" i="19"/>
  <c r="X404" i="19"/>
  <c r="W404" i="19"/>
  <c r="V404" i="19"/>
  <c r="U404" i="19"/>
  <c r="T404" i="19"/>
  <c r="S404" i="19"/>
  <c r="R404" i="19"/>
  <c r="AA403" i="19"/>
  <c r="Z403" i="19"/>
  <c r="Y403" i="19"/>
  <c r="X403" i="19"/>
  <c r="W403" i="19"/>
  <c r="V403" i="19"/>
  <c r="U403" i="19"/>
  <c r="T403" i="19"/>
  <c r="S403" i="19"/>
  <c r="R403" i="19"/>
  <c r="AA402" i="19"/>
  <c r="Z402" i="19"/>
  <c r="Y402" i="19"/>
  <c r="X402" i="19"/>
  <c r="W402" i="19"/>
  <c r="V402" i="19"/>
  <c r="U402" i="19"/>
  <c r="T402" i="19"/>
  <c r="S402" i="19"/>
  <c r="R402" i="19"/>
  <c r="AA401" i="19"/>
  <c r="Z401" i="19"/>
  <c r="Y401" i="19"/>
  <c r="X401" i="19"/>
  <c r="W401" i="19"/>
  <c r="V401" i="19"/>
  <c r="U401" i="19"/>
  <c r="T401" i="19"/>
  <c r="S401" i="19"/>
  <c r="R401" i="19"/>
  <c r="AA400" i="19"/>
  <c r="Z400" i="19"/>
  <c r="Y400" i="19"/>
  <c r="X400" i="19"/>
  <c r="W400" i="19"/>
  <c r="V400" i="19"/>
  <c r="U400" i="19"/>
  <c r="T400" i="19"/>
  <c r="S400" i="19"/>
  <c r="R400" i="19"/>
  <c r="AA399" i="19"/>
  <c r="Z399" i="19"/>
  <c r="Y399" i="19"/>
  <c r="X399" i="19"/>
  <c r="W399" i="19"/>
  <c r="V399" i="19"/>
  <c r="U399" i="19"/>
  <c r="T399" i="19"/>
  <c r="S399" i="19"/>
  <c r="R399" i="19"/>
  <c r="AA398" i="19"/>
  <c r="Z398" i="19"/>
  <c r="Y398" i="19"/>
  <c r="X398" i="19"/>
  <c r="W398" i="19"/>
  <c r="V398" i="19"/>
  <c r="U398" i="19"/>
  <c r="T398" i="19"/>
  <c r="S398" i="19"/>
  <c r="R398" i="19"/>
  <c r="AA397" i="19"/>
  <c r="Z397" i="19"/>
  <c r="Y397" i="19"/>
  <c r="X397" i="19"/>
  <c r="W397" i="19"/>
  <c r="V397" i="19"/>
  <c r="U397" i="19"/>
  <c r="T397" i="19"/>
  <c r="S397" i="19"/>
  <c r="R397" i="19"/>
  <c r="AA396" i="19"/>
  <c r="Z396" i="19"/>
  <c r="Y396" i="19"/>
  <c r="X396" i="19"/>
  <c r="W396" i="19"/>
  <c r="V396" i="19"/>
  <c r="U396" i="19"/>
  <c r="T396" i="19"/>
  <c r="S396" i="19"/>
  <c r="R396" i="19"/>
  <c r="AA395" i="19"/>
  <c r="Z395" i="19"/>
  <c r="Y395" i="19"/>
  <c r="X395" i="19"/>
  <c r="W395" i="19"/>
  <c r="V395" i="19"/>
  <c r="U395" i="19"/>
  <c r="T395" i="19"/>
  <c r="S395" i="19"/>
  <c r="R395" i="19"/>
  <c r="AA394" i="19"/>
  <c r="Z394" i="19"/>
  <c r="Y394" i="19"/>
  <c r="X394" i="19"/>
  <c r="W394" i="19"/>
  <c r="V394" i="19"/>
  <c r="U394" i="19"/>
  <c r="T394" i="19"/>
  <c r="S394" i="19"/>
  <c r="R394" i="19"/>
  <c r="AA393" i="19"/>
  <c r="Z393" i="19"/>
  <c r="Y393" i="19"/>
  <c r="X393" i="19"/>
  <c r="W393" i="19"/>
  <c r="V393" i="19"/>
  <c r="U393" i="19"/>
  <c r="T393" i="19"/>
  <c r="S393" i="19"/>
  <c r="R393" i="19"/>
  <c r="AA392" i="19"/>
  <c r="Z392" i="19"/>
  <c r="Y392" i="19"/>
  <c r="X392" i="19"/>
  <c r="W392" i="19"/>
  <c r="V392" i="19"/>
  <c r="U392" i="19"/>
  <c r="T392" i="19"/>
  <c r="S392" i="19"/>
  <c r="R392" i="19"/>
  <c r="AA391" i="19"/>
  <c r="Z391" i="19"/>
  <c r="Y391" i="19"/>
  <c r="X391" i="19"/>
  <c r="W391" i="19"/>
  <c r="V391" i="19"/>
  <c r="U391" i="19"/>
  <c r="T391" i="19"/>
  <c r="S391" i="19"/>
  <c r="R391" i="19"/>
  <c r="AA390" i="19"/>
  <c r="Z390" i="19"/>
  <c r="Y390" i="19"/>
  <c r="X390" i="19"/>
  <c r="W390" i="19"/>
  <c r="V390" i="19"/>
  <c r="U390" i="19"/>
  <c r="T390" i="19"/>
  <c r="S390" i="19"/>
  <c r="R390" i="19"/>
  <c r="AA389" i="19"/>
  <c r="Z389" i="19"/>
  <c r="Y389" i="19"/>
  <c r="X389" i="19"/>
  <c r="W389" i="19"/>
  <c r="V389" i="19"/>
  <c r="U389" i="19"/>
  <c r="T389" i="19"/>
  <c r="S389" i="19"/>
  <c r="R389" i="19"/>
  <c r="AA388" i="19"/>
  <c r="Z388" i="19"/>
  <c r="Y388" i="19"/>
  <c r="X388" i="19"/>
  <c r="W388" i="19"/>
  <c r="V388" i="19"/>
  <c r="U388" i="19"/>
  <c r="T388" i="19"/>
  <c r="S388" i="19"/>
  <c r="R388" i="19"/>
  <c r="AA387" i="19"/>
  <c r="Z387" i="19"/>
  <c r="Y387" i="19"/>
  <c r="X387" i="19"/>
  <c r="W387" i="19"/>
  <c r="V387" i="19"/>
  <c r="U387" i="19"/>
  <c r="T387" i="19"/>
  <c r="S387" i="19"/>
  <c r="R387" i="19"/>
  <c r="AA386" i="19"/>
  <c r="Z386" i="19"/>
  <c r="Y386" i="19"/>
  <c r="X386" i="19"/>
  <c r="W386" i="19"/>
  <c r="V386" i="19"/>
  <c r="U386" i="19"/>
  <c r="T386" i="19"/>
  <c r="S386" i="19"/>
  <c r="R386" i="19"/>
  <c r="AA385" i="19"/>
  <c r="Z385" i="19"/>
  <c r="Y385" i="19"/>
  <c r="X385" i="19"/>
  <c r="W385" i="19"/>
  <c r="V385" i="19"/>
  <c r="U385" i="19"/>
  <c r="T385" i="19"/>
  <c r="S385" i="19"/>
  <c r="R385" i="19"/>
  <c r="AA384" i="19"/>
  <c r="Z384" i="19"/>
  <c r="Y384" i="19"/>
  <c r="X384" i="19"/>
  <c r="W384" i="19"/>
  <c r="V384" i="19"/>
  <c r="U384" i="19"/>
  <c r="T384" i="19"/>
  <c r="S384" i="19"/>
  <c r="R384" i="19"/>
  <c r="AA383" i="19"/>
  <c r="Z383" i="19"/>
  <c r="Y383" i="19"/>
  <c r="X383" i="19"/>
  <c r="W383" i="19"/>
  <c r="V383" i="19"/>
  <c r="U383" i="19"/>
  <c r="T383" i="19"/>
  <c r="S383" i="19"/>
  <c r="R383" i="19"/>
  <c r="AA382" i="19"/>
  <c r="Z382" i="19"/>
  <c r="Y382" i="19"/>
  <c r="X382" i="19"/>
  <c r="W382" i="19"/>
  <c r="V382" i="19"/>
  <c r="U382" i="19"/>
  <c r="T382" i="19"/>
  <c r="S382" i="19"/>
  <c r="R382" i="19"/>
  <c r="AA381" i="19"/>
  <c r="Z381" i="19"/>
  <c r="Y381" i="19"/>
  <c r="X381" i="19"/>
  <c r="W381" i="19"/>
  <c r="V381" i="19"/>
  <c r="U381" i="19"/>
  <c r="T381" i="19"/>
  <c r="S381" i="19"/>
  <c r="R381" i="19"/>
  <c r="AA380" i="19"/>
  <c r="Z380" i="19"/>
  <c r="Y380" i="19"/>
  <c r="X380" i="19"/>
  <c r="W380" i="19"/>
  <c r="V380" i="19"/>
  <c r="U380" i="19"/>
  <c r="T380" i="19"/>
  <c r="S380" i="19"/>
  <c r="R380" i="19"/>
  <c r="AA379" i="19"/>
  <c r="Z379" i="19"/>
  <c r="Y379" i="19"/>
  <c r="X379" i="19"/>
  <c r="W379" i="19"/>
  <c r="V379" i="19"/>
  <c r="U379" i="19"/>
  <c r="T379" i="19"/>
  <c r="S379" i="19"/>
  <c r="R379" i="19"/>
  <c r="AA378" i="19"/>
  <c r="Z378" i="19"/>
  <c r="Y378" i="19"/>
  <c r="X378" i="19"/>
  <c r="W378" i="19"/>
  <c r="V378" i="19"/>
  <c r="U378" i="19"/>
  <c r="T378" i="19"/>
  <c r="S378" i="19"/>
  <c r="R378" i="19"/>
  <c r="AA377" i="19"/>
  <c r="Z377" i="19"/>
  <c r="Y377" i="19"/>
  <c r="X377" i="19"/>
  <c r="W377" i="19"/>
  <c r="V377" i="19"/>
  <c r="U377" i="19"/>
  <c r="T377" i="19"/>
  <c r="S377" i="19"/>
  <c r="R377" i="19"/>
  <c r="AA376" i="19"/>
  <c r="Z376" i="19"/>
  <c r="Y376" i="19"/>
  <c r="X376" i="19"/>
  <c r="W376" i="19"/>
  <c r="V376" i="19"/>
  <c r="U376" i="19"/>
  <c r="T376" i="19"/>
  <c r="S376" i="19"/>
  <c r="R376" i="19"/>
  <c r="AA375" i="19"/>
  <c r="Z375" i="19"/>
  <c r="Y375" i="19"/>
  <c r="X375" i="19"/>
  <c r="W375" i="19"/>
  <c r="V375" i="19"/>
  <c r="U375" i="19"/>
  <c r="T375" i="19"/>
  <c r="S375" i="19"/>
  <c r="R375" i="19"/>
  <c r="AA374" i="19"/>
  <c r="Z374" i="19"/>
  <c r="Y374" i="19"/>
  <c r="X374" i="19"/>
  <c r="W374" i="19"/>
  <c r="V374" i="19"/>
  <c r="U374" i="19"/>
  <c r="T374" i="19"/>
  <c r="S374" i="19"/>
  <c r="R374" i="19"/>
  <c r="AA373" i="19"/>
  <c r="Z373" i="19"/>
  <c r="Y373" i="19"/>
  <c r="X373" i="19"/>
  <c r="W373" i="19"/>
  <c r="V373" i="19"/>
  <c r="U373" i="19"/>
  <c r="T373" i="19"/>
  <c r="S373" i="19"/>
  <c r="R373" i="19"/>
  <c r="AA372" i="19"/>
  <c r="Z372" i="19"/>
  <c r="Y372" i="19"/>
  <c r="X372" i="19"/>
  <c r="W372" i="19"/>
  <c r="V372" i="19"/>
  <c r="U372" i="19"/>
  <c r="T372" i="19"/>
  <c r="S372" i="19"/>
  <c r="R372" i="19"/>
  <c r="AA371" i="19"/>
  <c r="Z371" i="19"/>
  <c r="Y371" i="19"/>
  <c r="X371" i="19"/>
  <c r="W371" i="19"/>
  <c r="V371" i="19"/>
  <c r="U371" i="19"/>
  <c r="T371" i="19"/>
  <c r="S371" i="19"/>
  <c r="R371" i="19"/>
  <c r="AA370" i="19"/>
  <c r="Z370" i="19"/>
  <c r="Y370" i="19"/>
  <c r="X370" i="19"/>
  <c r="W370" i="19"/>
  <c r="V370" i="19"/>
  <c r="U370" i="19"/>
  <c r="T370" i="19"/>
  <c r="S370" i="19"/>
  <c r="R370" i="19"/>
  <c r="AA369" i="19"/>
  <c r="Z369" i="19"/>
  <c r="Y369" i="19"/>
  <c r="X369" i="19"/>
  <c r="W369" i="19"/>
  <c r="V369" i="19"/>
  <c r="U369" i="19"/>
  <c r="T369" i="19"/>
  <c r="S369" i="19"/>
  <c r="R369" i="19"/>
  <c r="AA368" i="19"/>
  <c r="Z368" i="19"/>
  <c r="Y368" i="19"/>
  <c r="X368" i="19"/>
  <c r="W368" i="19"/>
  <c r="V368" i="19"/>
  <c r="U368" i="19"/>
  <c r="T368" i="19"/>
  <c r="S368" i="19"/>
  <c r="R368" i="19"/>
  <c r="AA367" i="19"/>
  <c r="Z367" i="19"/>
  <c r="Y367" i="19"/>
  <c r="X367" i="19"/>
  <c r="W367" i="19"/>
  <c r="V367" i="19"/>
  <c r="U367" i="19"/>
  <c r="T367" i="19"/>
  <c r="S367" i="19"/>
  <c r="R367" i="19"/>
  <c r="AA366" i="19"/>
  <c r="Z366" i="19"/>
  <c r="Y366" i="19"/>
  <c r="X366" i="19"/>
  <c r="W366" i="19"/>
  <c r="V366" i="19"/>
  <c r="U366" i="19"/>
  <c r="T366" i="19"/>
  <c r="S366" i="19"/>
  <c r="R366" i="19"/>
  <c r="AA365" i="19"/>
  <c r="Z365" i="19"/>
  <c r="Y365" i="19"/>
  <c r="X365" i="19"/>
  <c r="W365" i="19"/>
  <c r="V365" i="19"/>
  <c r="U365" i="19"/>
  <c r="T365" i="19"/>
  <c r="S365" i="19"/>
  <c r="R365" i="19"/>
  <c r="AA364" i="19"/>
  <c r="Z364" i="19"/>
  <c r="Y364" i="19"/>
  <c r="X364" i="19"/>
  <c r="W364" i="19"/>
  <c r="V364" i="19"/>
  <c r="U364" i="19"/>
  <c r="T364" i="19"/>
  <c r="S364" i="19"/>
  <c r="R364" i="19"/>
  <c r="AA363" i="19"/>
  <c r="Z363" i="19"/>
  <c r="Y363" i="19"/>
  <c r="X363" i="19"/>
  <c r="W363" i="19"/>
  <c r="V363" i="19"/>
  <c r="U363" i="19"/>
  <c r="T363" i="19"/>
  <c r="S363" i="19"/>
  <c r="R363" i="19"/>
  <c r="AA362" i="19"/>
  <c r="Z362" i="19"/>
  <c r="Y362" i="19"/>
  <c r="X362" i="19"/>
  <c r="W362" i="19"/>
  <c r="V362" i="19"/>
  <c r="U362" i="19"/>
  <c r="T362" i="19"/>
  <c r="S362" i="19"/>
  <c r="R362" i="19"/>
  <c r="AA361" i="19"/>
  <c r="Z361" i="19"/>
  <c r="Y361" i="19"/>
  <c r="X361" i="19"/>
  <c r="W361" i="19"/>
  <c r="V361" i="19"/>
  <c r="U361" i="19"/>
  <c r="T361" i="19"/>
  <c r="S361" i="19"/>
  <c r="R361" i="19"/>
  <c r="AA360" i="19"/>
  <c r="Z360" i="19"/>
  <c r="Y360" i="19"/>
  <c r="X360" i="19"/>
  <c r="W360" i="19"/>
  <c r="V360" i="19"/>
  <c r="U360" i="19"/>
  <c r="T360" i="19"/>
  <c r="S360" i="19"/>
  <c r="R360" i="19"/>
  <c r="AA359" i="19"/>
  <c r="Z359" i="19"/>
  <c r="Y359" i="19"/>
  <c r="X359" i="19"/>
  <c r="W359" i="19"/>
  <c r="V359" i="19"/>
  <c r="U359" i="19"/>
  <c r="T359" i="19"/>
  <c r="S359" i="19"/>
  <c r="R359" i="19"/>
  <c r="AA358" i="19"/>
  <c r="Z358" i="19"/>
  <c r="Y358" i="19"/>
  <c r="X358" i="19"/>
  <c r="W358" i="19"/>
  <c r="V358" i="19"/>
  <c r="U358" i="19"/>
  <c r="T358" i="19"/>
  <c r="S358" i="19"/>
  <c r="R358" i="19"/>
  <c r="AA357" i="19"/>
  <c r="Z357" i="19"/>
  <c r="Y357" i="19"/>
  <c r="X357" i="19"/>
  <c r="W357" i="19"/>
  <c r="V357" i="19"/>
  <c r="U357" i="19"/>
  <c r="T357" i="19"/>
  <c r="S357" i="19"/>
  <c r="R357" i="19"/>
  <c r="AA356" i="19"/>
  <c r="Z356" i="19"/>
  <c r="Y356" i="19"/>
  <c r="X356" i="19"/>
  <c r="W356" i="19"/>
  <c r="V356" i="19"/>
  <c r="U356" i="19"/>
  <c r="T356" i="19"/>
  <c r="S356" i="19"/>
  <c r="R356" i="19"/>
  <c r="AA355" i="19"/>
  <c r="Z355" i="19"/>
  <c r="Y355" i="19"/>
  <c r="X355" i="19"/>
  <c r="W355" i="19"/>
  <c r="V355" i="19"/>
  <c r="U355" i="19"/>
  <c r="T355" i="19"/>
  <c r="S355" i="19"/>
  <c r="R355" i="19"/>
  <c r="AA354" i="19"/>
  <c r="Z354" i="19"/>
  <c r="Y354" i="19"/>
  <c r="X354" i="19"/>
  <c r="W354" i="19"/>
  <c r="V354" i="19"/>
  <c r="U354" i="19"/>
  <c r="T354" i="19"/>
  <c r="S354" i="19"/>
  <c r="R354" i="19"/>
  <c r="AA353" i="19"/>
  <c r="Z353" i="19"/>
  <c r="Y353" i="19"/>
  <c r="X353" i="19"/>
  <c r="W353" i="19"/>
  <c r="V353" i="19"/>
  <c r="U353" i="19"/>
  <c r="T353" i="19"/>
  <c r="S353" i="19"/>
  <c r="R353" i="19"/>
  <c r="AA352" i="19"/>
  <c r="Z352" i="19"/>
  <c r="Y352" i="19"/>
  <c r="X352" i="19"/>
  <c r="W352" i="19"/>
  <c r="V352" i="19"/>
  <c r="U352" i="19"/>
  <c r="T352" i="19"/>
  <c r="S352" i="19"/>
  <c r="R352" i="19"/>
  <c r="AA351" i="19"/>
  <c r="Z351" i="19"/>
  <c r="Y351" i="19"/>
  <c r="X351" i="19"/>
  <c r="W351" i="19"/>
  <c r="V351" i="19"/>
  <c r="U351" i="19"/>
  <c r="T351" i="19"/>
  <c r="S351" i="19"/>
  <c r="R351" i="19"/>
  <c r="AA350" i="19"/>
  <c r="Z350" i="19"/>
  <c r="Y350" i="19"/>
  <c r="X350" i="19"/>
  <c r="W350" i="19"/>
  <c r="V350" i="19"/>
  <c r="U350" i="19"/>
  <c r="T350" i="19"/>
  <c r="S350" i="19"/>
  <c r="R350" i="19"/>
  <c r="AA349" i="19"/>
  <c r="Z349" i="19"/>
  <c r="Y349" i="19"/>
  <c r="X349" i="19"/>
  <c r="W349" i="19"/>
  <c r="V349" i="19"/>
  <c r="U349" i="19"/>
  <c r="T349" i="19"/>
  <c r="S349" i="19"/>
  <c r="R349" i="19"/>
  <c r="AA348" i="19"/>
  <c r="Z348" i="19"/>
  <c r="Y348" i="19"/>
  <c r="X348" i="19"/>
  <c r="W348" i="19"/>
  <c r="V348" i="19"/>
  <c r="U348" i="19"/>
  <c r="T348" i="19"/>
  <c r="S348" i="19"/>
  <c r="R348" i="19"/>
  <c r="AA347" i="19"/>
  <c r="Z347" i="19"/>
  <c r="Y347" i="19"/>
  <c r="X347" i="19"/>
  <c r="W347" i="19"/>
  <c r="V347" i="19"/>
  <c r="U347" i="19"/>
  <c r="T347" i="19"/>
  <c r="S347" i="19"/>
  <c r="R347" i="19"/>
  <c r="AA346" i="19"/>
  <c r="Z346" i="19"/>
  <c r="Y346" i="19"/>
  <c r="X346" i="19"/>
  <c r="W346" i="19"/>
  <c r="V346" i="19"/>
  <c r="U346" i="19"/>
  <c r="T346" i="19"/>
  <c r="S346" i="19"/>
  <c r="R346" i="19"/>
  <c r="AA345" i="19"/>
  <c r="Z345" i="19"/>
  <c r="Y345" i="19"/>
  <c r="X345" i="19"/>
  <c r="W345" i="19"/>
  <c r="V345" i="19"/>
  <c r="U345" i="19"/>
  <c r="T345" i="19"/>
  <c r="S345" i="19"/>
  <c r="R345" i="19"/>
  <c r="AA344" i="19"/>
  <c r="Z344" i="19"/>
  <c r="Y344" i="19"/>
  <c r="X344" i="19"/>
  <c r="W344" i="19"/>
  <c r="V344" i="19"/>
  <c r="U344" i="19"/>
  <c r="T344" i="19"/>
  <c r="S344" i="19"/>
  <c r="R344" i="19"/>
  <c r="AA343" i="19"/>
  <c r="Z343" i="19"/>
  <c r="Y343" i="19"/>
  <c r="X343" i="19"/>
  <c r="W343" i="19"/>
  <c r="V343" i="19"/>
  <c r="U343" i="19"/>
  <c r="T343" i="19"/>
  <c r="S343" i="19"/>
  <c r="R343" i="19"/>
  <c r="AA342" i="19"/>
  <c r="Z342" i="19"/>
  <c r="Y342" i="19"/>
  <c r="X342" i="19"/>
  <c r="W342" i="19"/>
  <c r="V342" i="19"/>
  <c r="U342" i="19"/>
  <c r="T342" i="19"/>
  <c r="S342" i="19"/>
  <c r="R342" i="19"/>
  <c r="AA341" i="19"/>
  <c r="Z341" i="19"/>
  <c r="Y341" i="19"/>
  <c r="X341" i="19"/>
  <c r="W341" i="19"/>
  <c r="V341" i="19"/>
  <c r="U341" i="19"/>
  <c r="T341" i="19"/>
  <c r="S341" i="19"/>
  <c r="R341" i="19"/>
  <c r="AA340" i="19"/>
  <c r="Z340" i="19"/>
  <c r="Y340" i="19"/>
  <c r="X340" i="19"/>
  <c r="W340" i="19"/>
  <c r="V340" i="19"/>
  <c r="U340" i="19"/>
  <c r="T340" i="19"/>
  <c r="S340" i="19"/>
  <c r="R340" i="19"/>
  <c r="AA339" i="19"/>
  <c r="Z339" i="19"/>
  <c r="Y339" i="19"/>
  <c r="X339" i="19"/>
  <c r="W339" i="19"/>
  <c r="V339" i="19"/>
  <c r="U339" i="19"/>
  <c r="T339" i="19"/>
  <c r="S339" i="19"/>
  <c r="R339" i="19"/>
  <c r="AA338" i="19"/>
  <c r="Z338" i="19"/>
  <c r="Y338" i="19"/>
  <c r="X338" i="19"/>
  <c r="W338" i="19"/>
  <c r="V338" i="19"/>
  <c r="U338" i="19"/>
  <c r="T338" i="19"/>
  <c r="S338" i="19"/>
  <c r="R338" i="19"/>
  <c r="AA337" i="19"/>
  <c r="Z337" i="19"/>
  <c r="Y337" i="19"/>
  <c r="X337" i="19"/>
  <c r="W337" i="19"/>
  <c r="V337" i="19"/>
  <c r="U337" i="19"/>
  <c r="T337" i="19"/>
  <c r="S337" i="19"/>
  <c r="R337" i="19"/>
  <c r="AA336" i="19"/>
  <c r="Z336" i="19"/>
  <c r="Y336" i="19"/>
  <c r="X336" i="19"/>
  <c r="W336" i="19"/>
  <c r="V336" i="19"/>
  <c r="U336" i="19"/>
  <c r="T336" i="19"/>
  <c r="S336" i="19"/>
  <c r="R336" i="19"/>
  <c r="AA335" i="19"/>
  <c r="Z335" i="19"/>
  <c r="Y335" i="19"/>
  <c r="X335" i="19"/>
  <c r="W335" i="19"/>
  <c r="V335" i="19"/>
  <c r="U335" i="19"/>
  <c r="T335" i="19"/>
  <c r="S335" i="19"/>
  <c r="R335" i="19"/>
  <c r="AA334" i="19"/>
  <c r="Z334" i="19"/>
  <c r="Y334" i="19"/>
  <c r="X334" i="19"/>
  <c r="W334" i="19"/>
  <c r="V334" i="19"/>
  <c r="U334" i="19"/>
  <c r="T334" i="19"/>
  <c r="S334" i="19"/>
  <c r="R334" i="19"/>
  <c r="AA333" i="19"/>
  <c r="Z333" i="19"/>
  <c r="Y333" i="19"/>
  <c r="X333" i="19"/>
  <c r="W333" i="19"/>
  <c r="V333" i="19"/>
  <c r="U333" i="19"/>
  <c r="T333" i="19"/>
  <c r="S333" i="19"/>
  <c r="R333" i="19"/>
  <c r="AA332" i="19"/>
  <c r="Z332" i="19"/>
  <c r="Y332" i="19"/>
  <c r="X332" i="19"/>
  <c r="W332" i="19"/>
  <c r="V332" i="19"/>
  <c r="U332" i="19"/>
  <c r="T332" i="19"/>
  <c r="S332" i="19"/>
  <c r="R332" i="19"/>
  <c r="AA331" i="19"/>
  <c r="Z331" i="19"/>
  <c r="Y331" i="19"/>
  <c r="X331" i="19"/>
  <c r="W331" i="19"/>
  <c r="V331" i="19"/>
  <c r="U331" i="19"/>
  <c r="T331" i="19"/>
  <c r="S331" i="19"/>
  <c r="R331" i="19"/>
  <c r="AA330" i="19"/>
  <c r="Z330" i="19"/>
  <c r="Y330" i="19"/>
  <c r="X330" i="19"/>
  <c r="W330" i="19"/>
  <c r="V330" i="19"/>
  <c r="U330" i="19"/>
  <c r="T330" i="19"/>
  <c r="S330" i="19"/>
  <c r="R330" i="19"/>
  <c r="AA329" i="19"/>
  <c r="Z329" i="19"/>
  <c r="Y329" i="19"/>
  <c r="X329" i="19"/>
  <c r="W329" i="19"/>
  <c r="V329" i="19"/>
  <c r="U329" i="19"/>
  <c r="T329" i="19"/>
  <c r="S329" i="19"/>
  <c r="R329" i="19"/>
  <c r="AA328" i="19"/>
  <c r="Z328" i="19"/>
  <c r="Y328" i="19"/>
  <c r="X328" i="19"/>
  <c r="W328" i="19"/>
  <c r="V328" i="19"/>
  <c r="U328" i="19"/>
  <c r="T328" i="19"/>
  <c r="S328" i="19"/>
  <c r="R328" i="19"/>
  <c r="AA327" i="19"/>
  <c r="Z327" i="19"/>
  <c r="Y327" i="19"/>
  <c r="X327" i="19"/>
  <c r="W327" i="19"/>
  <c r="V327" i="19"/>
  <c r="U327" i="19"/>
  <c r="T327" i="19"/>
  <c r="S327" i="19"/>
  <c r="R327" i="19"/>
  <c r="AA326" i="19"/>
  <c r="Z326" i="19"/>
  <c r="Y326" i="19"/>
  <c r="X326" i="19"/>
  <c r="W326" i="19"/>
  <c r="V326" i="19"/>
  <c r="U326" i="19"/>
  <c r="T326" i="19"/>
  <c r="S326" i="19"/>
  <c r="R326" i="19"/>
  <c r="AA325" i="19"/>
  <c r="Z325" i="19"/>
  <c r="Y325" i="19"/>
  <c r="X325" i="19"/>
  <c r="W325" i="19"/>
  <c r="V325" i="19"/>
  <c r="U325" i="19"/>
  <c r="T325" i="19"/>
  <c r="S325" i="19"/>
  <c r="R325" i="19"/>
  <c r="AA324" i="19"/>
  <c r="Z324" i="19"/>
  <c r="Y324" i="19"/>
  <c r="X324" i="19"/>
  <c r="W324" i="19"/>
  <c r="V324" i="19"/>
  <c r="U324" i="19"/>
  <c r="T324" i="19"/>
  <c r="S324" i="19"/>
  <c r="R324" i="19"/>
  <c r="AA323" i="19"/>
  <c r="Z323" i="19"/>
  <c r="Y323" i="19"/>
  <c r="X323" i="19"/>
  <c r="W323" i="19"/>
  <c r="V323" i="19"/>
  <c r="U323" i="19"/>
  <c r="T323" i="19"/>
  <c r="S323" i="19"/>
  <c r="R323" i="19"/>
  <c r="AA322" i="19"/>
  <c r="Z322" i="19"/>
  <c r="Y322" i="19"/>
  <c r="X322" i="19"/>
  <c r="W322" i="19"/>
  <c r="V322" i="19"/>
  <c r="U322" i="19"/>
  <c r="T322" i="19"/>
  <c r="S322" i="19"/>
  <c r="R322" i="19"/>
  <c r="AA321" i="19"/>
  <c r="Z321" i="19"/>
  <c r="Y321" i="19"/>
  <c r="X321" i="19"/>
  <c r="W321" i="19"/>
  <c r="V321" i="19"/>
  <c r="U321" i="19"/>
  <c r="T321" i="19"/>
  <c r="S321" i="19"/>
  <c r="R321" i="19"/>
  <c r="AA320" i="19"/>
  <c r="Z320" i="19"/>
  <c r="Y320" i="19"/>
  <c r="X320" i="19"/>
  <c r="W320" i="19"/>
  <c r="V320" i="19"/>
  <c r="U320" i="19"/>
  <c r="T320" i="19"/>
  <c r="S320" i="19"/>
  <c r="R320" i="19"/>
  <c r="AA319" i="19"/>
  <c r="Z319" i="19"/>
  <c r="Y319" i="19"/>
  <c r="X319" i="19"/>
  <c r="W319" i="19"/>
  <c r="V319" i="19"/>
  <c r="U319" i="19"/>
  <c r="T319" i="19"/>
  <c r="S319" i="19"/>
  <c r="R319" i="19"/>
  <c r="AA318" i="19"/>
  <c r="Z318" i="19"/>
  <c r="Y318" i="19"/>
  <c r="X318" i="19"/>
  <c r="W318" i="19"/>
  <c r="V318" i="19"/>
  <c r="U318" i="19"/>
  <c r="T318" i="19"/>
  <c r="S318" i="19"/>
  <c r="R318" i="19"/>
  <c r="AA317" i="19"/>
  <c r="Z317" i="19"/>
  <c r="Y317" i="19"/>
  <c r="X317" i="19"/>
  <c r="W317" i="19"/>
  <c r="V317" i="19"/>
  <c r="U317" i="19"/>
  <c r="T317" i="19"/>
  <c r="S317" i="19"/>
  <c r="R317" i="19"/>
  <c r="AA316" i="19"/>
  <c r="Z316" i="19"/>
  <c r="Y316" i="19"/>
  <c r="X316" i="19"/>
  <c r="W316" i="19"/>
  <c r="V316" i="19"/>
  <c r="U316" i="19"/>
  <c r="T316" i="19"/>
  <c r="S316" i="19"/>
  <c r="R316" i="19"/>
  <c r="AA315" i="19"/>
  <c r="Z315" i="19"/>
  <c r="Y315" i="19"/>
  <c r="X315" i="19"/>
  <c r="W315" i="19"/>
  <c r="V315" i="19"/>
  <c r="U315" i="19"/>
  <c r="T315" i="19"/>
  <c r="S315" i="19"/>
  <c r="R315" i="19"/>
  <c r="AA314" i="19"/>
  <c r="Z314" i="19"/>
  <c r="Y314" i="19"/>
  <c r="X314" i="19"/>
  <c r="W314" i="19"/>
  <c r="V314" i="19"/>
  <c r="U314" i="19"/>
  <c r="T314" i="19"/>
  <c r="S314" i="19"/>
  <c r="R314" i="19"/>
  <c r="AA313" i="19"/>
  <c r="Z313" i="19"/>
  <c r="Y313" i="19"/>
  <c r="X313" i="19"/>
  <c r="W313" i="19"/>
  <c r="V313" i="19"/>
  <c r="U313" i="19"/>
  <c r="T313" i="19"/>
  <c r="S313" i="19"/>
  <c r="R313" i="19"/>
  <c r="AA312" i="19"/>
  <c r="Z312" i="19"/>
  <c r="Y312" i="19"/>
  <c r="X312" i="19"/>
  <c r="W312" i="19"/>
  <c r="V312" i="19"/>
  <c r="U312" i="19"/>
  <c r="T312" i="19"/>
  <c r="S312" i="19"/>
  <c r="R312" i="19"/>
  <c r="AA311" i="19"/>
  <c r="Z311" i="19"/>
  <c r="Y311" i="19"/>
  <c r="X311" i="19"/>
  <c r="W311" i="19"/>
  <c r="V311" i="19"/>
  <c r="U311" i="19"/>
  <c r="T311" i="19"/>
  <c r="S311" i="19"/>
  <c r="R311" i="19"/>
  <c r="AA310" i="19"/>
  <c r="Z310" i="19"/>
  <c r="Y310" i="19"/>
  <c r="X310" i="19"/>
  <c r="W310" i="19"/>
  <c r="V310" i="19"/>
  <c r="U310" i="19"/>
  <c r="T310" i="19"/>
  <c r="S310" i="19"/>
  <c r="R310" i="19"/>
  <c r="AA309" i="19"/>
  <c r="Z309" i="19"/>
  <c r="Y309" i="19"/>
  <c r="X309" i="19"/>
  <c r="W309" i="19"/>
  <c r="V309" i="19"/>
  <c r="U309" i="19"/>
  <c r="T309" i="19"/>
  <c r="S309" i="19"/>
  <c r="R309" i="19"/>
  <c r="AA308" i="19"/>
  <c r="Z308" i="19"/>
  <c r="Y308" i="19"/>
  <c r="X308" i="19"/>
  <c r="W308" i="19"/>
  <c r="V308" i="19"/>
  <c r="U308" i="19"/>
  <c r="T308" i="19"/>
  <c r="S308" i="19"/>
  <c r="R308" i="19"/>
  <c r="AA307" i="19"/>
  <c r="Z307" i="19"/>
  <c r="Y307" i="19"/>
  <c r="X307" i="19"/>
  <c r="W307" i="19"/>
  <c r="V307" i="19"/>
  <c r="U307" i="19"/>
  <c r="T307" i="19"/>
  <c r="S307" i="19"/>
  <c r="R307" i="19"/>
  <c r="AA306" i="19"/>
  <c r="Z306" i="19"/>
  <c r="Y306" i="19"/>
  <c r="X306" i="19"/>
  <c r="W306" i="19"/>
  <c r="V306" i="19"/>
  <c r="U306" i="19"/>
  <c r="T306" i="19"/>
  <c r="S306" i="19"/>
  <c r="R306" i="19"/>
  <c r="AA305" i="19"/>
  <c r="Z305" i="19"/>
  <c r="Y305" i="19"/>
  <c r="X305" i="19"/>
  <c r="W305" i="19"/>
  <c r="V305" i="19"/>
  <c r="U305" i="19"/>
  <c r="T305" i="19"/>
  <c r="S305" i="19"/>
  <c r="R305" i="19"/>
  <c r="AA304" i="19"/>
  <c r="Z304" i="19"/>
  <c r="Y304" i="19"/>
  <c r="X304" i="19"/>
  <c r="W304" i="19"/>
  <c r="V304" i="19"/>
  <c r="U304" i="19"/>
  <c r="T304" i="19"/>
  <c r="S304" i="19"/>
  <c r="R304" i="19"/>
  <c r="AA303" i="19"/>
  <c r="Z303" i="19"/>
  <c r="Y303" i="19"/>
  <c r="X303" i="19"/>
  <c r="W303" i="19"/>
  <c r="V303" i="19"/>
  <c r="U303" i="19"/>
  <c r="T303" i="19"/>
  <c r="S303" i="19"/>
  <c r="R303" i="19"/>
  <c r="AA302" i="19"/>
  <c r="Z302" i="19"/>
  <c r="Y302" i="19"/>
  <c r="X302" i="19"/>
  <c r="W302" i="19"/>
  <c r="V302" i="19"/>
  <c r="U302" i="19"/>
  <c r="T302" i="19"/>
  <c r="S302" i="19"/>
  <c r="R302" i="19"/>
  <c r="AA301" i="19"/>
  <c r="Z301" i="19"/>
  <c r="Y301" i="19"/>
  <c r="X301" i="19"/>
  <c r="W301" i="19"/>
  <c r="V301" i="19"/>
  <c r="U301" i="19"/>
  <c r="T301" i="19"/>
  <c r="S301" i="19"/>
  <c r="R301" i="19"/>
  <c r="AA300" i="19"/>
  <c r="Z300" i="19"/>
  <c r="Y300" i="19"/>
  <c r="X300" i="19"/>
  <c r="W300" i="19"/>
  <c r="V300" i="19"/>
  <c r="U300" i="19"/>
  <c r="T300" i="19"/>
  <c r="S300" i="19"/>
  <c r="R300" i="19"/>
  <c r="AA299" i="19"/>
  <c r="Z299" i="19"/>
  <c r="Y299" i="19"/>
  <c r="X299" i="19"/>
  <c r="W299" i="19"/>
  <c r="V299" i="19"/>
  <c r="U299" i="19"/>
  <c r="T299" i="19"/>
  <c r="S299" i="19"/>
  <c r="R299" i="19"/>
  <c r="AA298" i="19"/>
  <c r="Z298" i="19"/>
  <c r="Y298" i="19"/>
  <c r="X298" i="19"/>
  <c r="W298" i="19"/>
  <c r="V298" i="19"/>
  <c r="U298" i="19"/>
  <c r="T298" i="19"/>
  <c r="S298" i="19"/>
  <c r="R298" i="19"/>
  <c r="AA297" i="19"/>
  <c r="Z297" i="19"/>
  <c r="Y297" i="19"/>
  <c r="X297" i="19"/>
  <c r="W297" i="19"/>
  <c r="V297" i="19"/>
  <c r="U297" i="19"/>
  <c r="T297" i="19"/>
  <c r="S297" i="19"/>
  <c r="R297" i="19"/>
  <c r="AA296" i="19"/>
  <c r="Z296" i="19"/>
  <c r="Y296" i="19"/>
  <c r="X296" i="19"/>
  <c r="W296" i="19"/>
  <c r="V296" i="19"/>
  <c r="U296" i="19"/>
  <c r="T296" i="19"/>
  <c r="S296" i="19"/>
  <c r="R296" i="19"/>
  <c r="AA295" i="19"/>
  <c r="Z295" i="19"/>
  <c r="Y295" i="19"/>
  <c r="X295" i="19"/>
  <c r="W295" i="19"/>
  <c r="V295" i="19"/>
  <c r="U295" i="19"/>
  <c r="T295" i="19"/>
  <c r="S295" i="19"/>
  <c r="R295" i="19"/>
  <c r="AA294" i="19"/>
  <c r="Z294" i="19"/>
  <c r="Y294" i="19"/>
  <c r="X294" i="19"/>
  <c r="W294" i="19"/>
  <c r="V294" i="19"/>
  <c r="U294" i="19"/>
  <c r="T294" i="19"/>
  <c r="S294" i="19"/>
  <c r="R294" i="19"/>
  <c r="AA293" i="19"/>
  <c r="Z293" i="19"/>
  <c r="Y293" i="19"/>
  <c r="X293" i="19"/>
  <c r="W293" i="19"/>
  <c r="V293" i="19"/>
  <c r="U293" i="19"/>
  <c r="T293" i="19"/>
  <c r="S293" i="19"/>
  <c r="R293" i="19"/>
  <c r="AA292" i="19"/>
  <c r="Z292" i="19"/>
  <c r="Y292" i="19"/>
  <c r="X292" i="19"/>
  <c r="W292" i="19"/>
  <c r="V292" i="19"/>
  <c r="U292" i="19"/>
  <c r="T292" i="19"/>
  <c r="S292" i="19"/>
  <c r="R292" i="19"/>
  <c r="AA291" i="19"/>
  <c r="Z291" i="19"/>
  <c r="Y291" i="19"/>
  <c r="X291" i="19"/>
  <c r="W291" i="19"/>
  <c r="V291" i="19"/>
  <c r="U291" i="19"/>
  <c r="T291" i="19"/>
  <c r="S291" i="19"/>
  <c r="R291" i="19"/>
  <c r="AA290" i="19"/>
  <c r="Z290" i="19"/>
  <c r="Y290" i="19"/>
  <c r="X290" i="19"/>
  <c r="W290" i="19"/>
  <c r="V290" i="19"/>
  <c r="U290" i="19"/>
  <c r="T290" i="19"/>
  <c r="S290" i="19"/>
  <c r="R290" i="19"/>
  <c r="AA289" i="19"/>
  <c r="Z289" i="19"/>
  <c r="Y289" i="19"/>
  <c r="X289" i="19"/>
  <c r="W289" i="19"/>
  <c r="V289" i="19"/>
  <c r="U289" i="19"/>
  <c r="T289" i="19"/>
  <c r="S289" i="19"/>
  <c r="R289" i="19"/>
  <c r="AA288" i="19"/>
  <c r="Z288" i="19"/>
  <c r="Y288" i="19"/>
  <c r="X288" i="19"/>
  <c r="W288" i="19"/>
  <c r="V288" i="19"/>
  <c r="U288" i="19"/>
  <c r="T288" i="19"/>
  <c r="S288" i="19"/>
  <c r="R288" i="19"/>
  <c r="AA287" i="19"/>
  <c r="Z287" i="19"/>
  <c r="Y287" i="19"/>
  <c r="X287" i="19"/>
  <c r="W287" i="19"/>
  <c r="V287" i="19"/>
  <c r="U287" i="19"/>
  <c r="T287" i="19"/>
  <c r="S287" i="19"/>
  <c r="R287" i="19"/>
  <c r="AA286" i="19"/>
  <c r="Z286" i="19"/>
  <c r="Y286" i="19"/>
  <c r="X286" i="19"/>
  <c r="W286" i="19"/>
  <c r="V286" i="19"/>
  <c r="U286" i="19"/>
  <c r="T286" i="19"/>
  <c r="S286" i="19"/>
  <c r="R286" i="19"/>
  <c r="AA285" i="19"/>
  <c r="Z285" i="19"/>
  <c r="Y285" i="19"/>
  <c r="X285" i="19"/>
  <c r="W285" i="19"/>
  <c r="V285" i="19"/>
  <c r="U285" i="19"/>
  <c r="T285" i="19"/>
  <c r="S285" i="19"/>
  <c r="R285" i="19"/>
  <c r="AA284" i="19"/>
  <c r="Z284" i="19"/>
  <c r="Y284" i="19"/>
  <c r="X284" i="19"/>
  <c r="W284" i="19"/>
  <c r="V284" i="19"/>
  <c r="U284" i="19"/>
  <c r="T284" i="19"/>
  <c r="S284" i="19"/>
  <c r="R284" i="19"/>
  <c r="AA283" i="19"/>
  <c r="Z283" i="19"/>
  <c r="Y283" i="19"/>
  <c r="X283" i="19"/>
  <c r="W283" i="19"/>
  <c r="V283" i="19"/>
  <c r="U283" i="19"/>
  <c r="T283" i="19"/>
  <c r="S283" i="19"/>
  <c r="R283" i="19"/>
  <c r="AA282" i="19"/>
  <c r="Z282" i="19"/>
  <c r="Y282" i="19"/>
  <c r="X282" i="19"/>
  <c r="W282" i="19"/>
  <c r="V282" i="19"/>
  <c r="U282" i="19"/>
  <c r="T282" i="19"/>
  <c r="S282" i="19"/>
  <c r="R282" i="19"/>
  <c r="AA281" i="19"/>
  <c r="Z281" i="19"/>
  <c r="Y281" i="19"/>
  <c r="X281" i="19"/>
  <c r="W281" i="19"/>
  <c r="V281" i="19"/>
  <c r="U281" i="19"/>
  <c r="T281" i="19"/>
  <c r="S281" i="19"/>
  <c r="R281" i="19"/>
  <c r="AA280" i="19"/>
  <c r="Z280" i="19"/>
  <c r="Y280" i="19"/>
  <c r="X280" i="19"/>
  <c r="W280" i="19"/>
  <c r="V280" i="19"/>
  <c r="U280" i="19"/>
  <c r="T280" i="19"/>
  <c r="S280" i="19"/>
  <c r="R280" i="19"/>
  <c r="AA279" i="19"/>
  <c r="Z279" i="19"/>
  <c r="Y279" i="19"/>
  <c r="X279" i="19"/>
  <c r="W279" i="19"/>
  <c r="V279" i="19"/>
  <c r="U279" i="19"/>
  <c r="T279" i="19"/>
  <c r="S279" i="19"/>
  <c r="R279" i="19"/>
  <c r="AA278" i="19"/>
  <c r="Z278" i="19"/>
  <c r="Y278" i="19"/>
  <c r="X278" i="19"/>
  <c r="W278" i="19"/>
  <c r="V278" i="19"/>
  <c r="U278" i="19"/>
  <c r="T278" i="19"/>
  <c r="S278" i="19"/>
  <c r="R278" i="19"/>
  <c r="AA277" i="19"/>
  <c r="Z277" i="19"/>
  <c r="Y277" i="19"/>
  <c r="X277" i="19"/>
  <c r="W277" i="19"/>
  <c r="V277" i="19"/>
  <c r="U277" i="19"/>
  <c r="T277" i="19"/>
  <c r="S277" i="19"/>
  <c r="R277" i="19"/>
  <c r="AA276" i="19"/>
  <c r="Z276" i="19"/>
  <c r="Y276" i="19"/>
  <c r="X276" i="19"/>
  <c r="W276" i="19"/>
  <c r="V276" i="19"/>
  <c r="U276" i="19"/>
  <c r="T276" i="19"/>
  <c r="S276" i="19"/>
  <c r="R276" i="19"/>
  <c r="AA275" i="19"/>
  <c r="Z275" i="19"/>
  <c r="Y275" i="19"/>
  <c r="X275" i="19"/>
  <c r="W275" i="19"/>
  <c r="V275" i="19"/>
  <c r="U275" i="19"/>
  <c r="T275" i="19"/>
  <c r="S275" i="19"/>
  <c r="R275" i="19"/>
  <c r="AA274" i="19"/>
  <c r="Z274" i="19"/>
  <c r="Y274" i="19"/>
  <c r="X274" i="19"/>
  <c r="W274" i="19"/>
  <c r="V274" i="19"/>
  <c r="U274" i="19"/>
  <c r="T274" i="19"/>
  <c r="S274" i="19"/>
  <c r="R274" i="19"/>
  <c r="AA273" i="19"/>
  <c r="Z273" i="19"/>
  <c r="Y273" i="19"/>
  <c r="X273" i="19"/>
  <c r="W273" i="19"/>
  <c r="V273" i="19"/>
  <c r="U273" i="19"/>
  <c r="T273" i="19"/>
  <c r="S273" i="19"/>
  <c r="R273" i="19"/>
  <c r="AA272" i="19"/>
  <c r="Z272" i="19"/>
  <c r="Y272" i="19"/>
  <c r="X272" i="19"/>
  <c r="W272" i="19"/>
  <c r="V272" i="19"/>
  <c r="U272" i="19"/>
  <c r="T272" i="19"/>
  <c r="S272" i="19"/>
  <c r="R272" i="19"/>
  <c r="AA271" i="19"/>
  <c r="Z271" i="19"/>
  <c r="Y271" i="19"/>
  <c r="X271" i="19"/>
  <c r="W271" i="19"/>
  <c r="V271" i="19"/>
  <c r="U271" i="19"/>
  <c r="T271" i="19"/>
  <c r="S271" i="19"/>
  <c r="R271" i="19"/>
  <c r="AA270" i="19"/>
  <c r="Z270" i="19"/>
  <c r="Y270" i="19"/>
  <c r="X270" i="19"/>
  <c r="W270" i="19"/>
  <c r="V270" i="19"/>
  <c r="U270" i="19"/>
  <c r="T270" i="19"/>
  <c r="S270" i="19"/>
  <c r="R270" i="19"/>
  <c r="AA269" i="19"/>
  <c r="Z269" i="19"/>
  <c r="Y269" i="19"/>
  <c r="X269" i="19"/>
  <c r="W269" i="19"/>
  <c r="V269" i="19"/>
  <c r="U269" i="19"/>
  <c r="T269" i="19"/>
  <c r="S269" i="19"/>
  <c r="R269" i="19"/>
  <c r="AA268" i="19"/>
  <c r="Z268" i="19"/>
  <c r="Y268" i="19"/>
  <c r="X268" i="19"/>
  <c r="W268" i="19"/>
  <c r="V268" i="19"/>
  <c r="U268" i="19"/>
  <c r="T268" i="19"/>
  <c r="S268" i="19"/>
  <c r="R268" i="19"/>
  <c r="AA267" i="19"/>
  <c r="Z267" i="19"/>
  <c r="Y267" i="19"/>
  <c r="X267" i="19"/>
  <c r="W267" i="19"/>
  <c r="V267" i="19"/>
  <c r="U267" i="19"/>
  <c r="T267" i="19"/>
  <c r="S267" i="19"/>
  <c r="R267" i="19"/>
  <c r="AA266" i="19"/>
  <c r="Z266" i="19"/>
  <c r="Y266" i="19"/>
  <c r="X266" i="19"/>
  <c r="W266" i="19"/>
  <c r="V266" i="19"/>
  <c r="U266" i="19"/>
  <c r="T266" i="19"/>
  <c r="S266" i="19"/>
  <c r="R266" i="19"/>
  <c r="AA265" i="19"/>
  <c r="Z265" i="19"/>
  <c r="Y265" i="19"/>
  <c r="X265" i="19"/>
  <c r="W265" i="19"/>
  <c r="V265" i="19"/>
  <c r="U265" i="19"/>
  <c r="T265" i="19"/>
  <c r="S265" i="19"/>
  <c r="R265" i="19"/>
  <c r="AA264" i="19"/>
  <c r="Z264" i="19"/>
  <c r="Y264" i="19"/>
  <c r="X264" i="19"/>
  <c r="W264" i="19"/>
  <c r="V264" i="19"/>
  <c r="U264" i="19"/>
  <c r="T264" i="19"/>
  <c r="S264" i="19"/>
  <c r="R264" i="19"/>
  <c r="AA263" i="19"/>
  <c r="Z263" i="19"/>
  <c r="Y263" i="19"/>
  <c r="X263" i="19"/>
  <c r="W263" i="19"/>
  <c r="V263" i="19"/>
  <c r="U263" i="19"/>
  <c r="T263" i="19"/>
  <c r="S263" i="19"/>
  <c r="R263" i="19"/>
  <c r="AA262" i="19"/>
  <c r="Z262" i="19"/>
  <c r="Y262" i="19"/>
  <c r="X262" i="19"/>
  <c r="W262" i="19"/>
  <c r="V262" i="19"/>
  <c r="U262" i="19"/>
  <c r="T262" i="19"/>
  <c r="S262" i="19"/>
  <c r="R262" i="19"/>
  <c r="AA261" i="19"/>
  <c r="Z261" i="19"/>
  <c r="Y261" i="19"/>
  <c r="X261" i="19"/>
  <c r="W261" i="19"/>
  <c r="V261" i="19"/>
  <c r="U261" i="19"/>
  <c r="T261" i="19"/>
  <c r="S261" i="19"/>
  <c r="R261" i="19"/>
  <c r="AA260" i="19"/>
  <c r="Z260" i="19"/>
  <c r="Y260" i="19"/>
  <c r="X260" i="19"/>
  <c r="W260" i="19"/>
  <c r="V260" i="19"/>
  <c r="U260" i="19"/>
  <c r="T260" i="19"/>
  <c r="S260" i="19"/>
  <c r="R260" i="19"/>
  <c r="AA259" i="19"/>
  <c r="Z259" i="19"/>
  <c r="Y259" i="19"/>
  <c r="X259" i="19"/>
  <c r="W259" i="19"/>
  <c r="V259" i="19"/>
  <c r="U259" i="19"/>
  <c r="T259" i="19"/>
  <c r="S259" i="19"/>
  <c r="R259" i="19"/>
  <c r="AA258" i="19"/>
  <c r="Z258" i="19"/>
  <c r="Y258" i="19"/>
  <c r="X258" i="19"/>
  <c r="W258" i="19"/>
  <c r="V258" i="19"/>
  <c r="U258" i="19"/>
  <c r="T258" i="19"/>
  <c r="S258" i="19"/>
  <c r="R258" i="19"/>
  <c r="AA257" i="19"/>
  <c r="Z257" i="19"/>
  <c r="Y257" i="19"/>
  <c r="X257" i="19"/>
  <c r="W257" i="19"/>
  <c r="V257" i="19"/>
  <c r="U257" i="19"/>
  <c r="T257" i="19"/>
  <c r="S257" i="19"/>
  <c r="R257" i="19"/>
  <c r="AA256" i="19"/>
  <c r="Z256" i="19"/>
  <c r="Y256" i="19"/>
  <c r="X256" i="19"/>
  <c r="W256" i="19"/>
  <c r="V256" i="19"/>
  <c r="U256" i="19"/>
  <c r="T256" i="19"/>
  <c r="S256" i="19"/>
  <c r="R256" i="19"/>
  <c r="AA255" i="19"/>
  <c r="Z255" i="19"/>
  <c r="Y255" i="19"/>
  <c r="X255" i="19"/>
  <c r="W255" i="19"/>
  <c r="V255" i="19"/>
  <c r="U255" i="19"/>
  <c r="T255" i="19"/>
  <c r="S255" i="19"/>
  <c r="R255" i="19"/>
  <c r="AA254" i="19"/>
  <c r="Z254" i="19"/>
  <c r="Y254" i="19"/>
  <c r="X254" i="19"/>
  <c r="W254" i="19"/>
  <c r="V254" i="19"/>
  <c r="U254" i="19"/>
  <c r="T254" i="19"/>
  <c r="S254" i="19"/>
  <c r="R254" i="19"/>
  <c r="AA253" i="19"/>
  <c r="Z253" i="19"/>
  <c r="Y253" i="19"/>
  <c r="X253" i="19"/>
  <c r="W253" i="19"/>
  <c r="V253" i="19"/>
  <c r="U253" i="19"/>
  <c r="T253" i="19"/>
  <c r="S253" i="19"/>
  <c r="R253" i="19"/>
  <c r="AA252" i="19"/>
  <c r="Z252" i="19"/>
  <c r="Y252" i="19"/>
  <c r="X252" i="19"/>
  <c r="W252" i="19"/>
  <c r="V252" i="19"/>
  <c r="U252" i="19"/>
  <c r="T252" i="19"/>
  <c r="S252" i="19"/>
  <c r="R252" i="19"/>
  <c r="AA251" i="19"/>
  <c r="Z251" i="19"/>
  <c r="Y251" i="19"/>
  <c r="X251" i="19"/>
  <c r="W251" i="19"/>
  <c r="V251" i="19"/>
  <c r="U251" i="19"/>
  <c r="T251" i="19"/>
  <c r="S251" i="19"/>
  <c r="R251" i="19"/>
  <c r="AA250" i="19"/>
  <c r="Z250" i="19"/>
  <c r="Y250" i="19"/>
  <c r="X250" i="19"/>
  <c r="W250" i="19"/>
  <c r="V250" i="19"/>
  <c r="U250" i="19"/>
  <c r="T250" i="19"/>
  <c r="S250" i="19"/>
  <c r="R250" i="19"/>
  <c r="AA249" i="19"/>
  <c r="Z249" i="19"/>
  <c r="Y249" i="19"/>
  <c r="X249" i="19"/>
  <c r="W249" i="19"/>
  <c r="V249" i="19"/>
  <c r="U249" i="19"/>
  <c r="T249" i="19"/>
  <c r="S249" i="19"/>
  <c r="R249" i="19"/>
  <c r="AA248" i="19"/>
  <c r="Z248" i="19"/>
  <c r="Y248" i="19"/>
  <c r="X248" i="19"/>
  <c r="W248" i="19"/>
  <c r="V248" i="19"/>
  <c r="U248" i="19"/>
  <c r="T248" i="19"/>
  <c r="S248" i="19"/>
  <c r="R248" i="19"/>
  <c r="AA247" i="19"/>
  <c r="Z247" i="19"/>
  <c r="Y247" i="19"/>
  <c r="X247" i="19"/>
  <c r="W247" i="19"/>
  <c r="V247" i="19"/>
  <c r="U247" i="19"/>
  <c r="T247" i="19"/>
  <c r="S247" i="19"/>
  <c r="R247" i="19"/>
  <c r="AA246" i="19"/>
  <c r="Z246" i="19"/>
  <c r="Y246" i="19"/>
  <c r="X246" i="19"/>
  <c r="W246" i="19"/>
  <c r="V246" i="19"/>
  <c r="U246" i="19"/>
  <c r="T246" i="19"/>
  <c r="S246" i="19"/>
  <c r="R246" i="19"/>
  <c r="AA245" i="19"/>
  <c r="Z245" i="19"/>
  <c r="Y245" i="19"/>
  <c r="X245" i="19"/>
  <c r="W245" i="19"/>
  <c r="V245" i="19"/>
  <c r="U245" i="19"/>
  <c r="T245" i="19"/>
  <c r="S245" i="19"/>
  <c r="R245" i="19"/>
  <c r="AA244" i="19"/>
  <c r="Z244" i="19"/>
  <c r="Y244" i="19"/>
  <c r="X244" i="19"/>
  <c r="W244" i="19"/>
  <c r="V244" i="19"/>
  <c r="U244" i="19"/>
  <c r="T244" i="19"/>
  <c r="S244" i="19"/>
  <c r="R244" i="19"/>
  <c r="AA243" i="19"/>
  <c r="Z243" i="19"/>
  <c r="Y243" i="19"/>
  <c r="X243" i="19"/>
  <c r="W243" i="19"/>
  <c r="V243" i="19"/>
  <c r="U243" i="19"/>
  <c r="T243" i="19"/>
  <c r="S243" i="19"/>
  <c r="R243" i="19"/>
  <c r="AA242" i="19"/>
  <c r="Z242" i="19"/>
  <c r="Y242" i="19"/>
  <c r="X242" i="19"/>
  <c r="W242" i="19"/>
  <c r="V242" i="19"/>
  <c r="U242" i="19"/>
  <c r="T242" i="19"/>
  <c r="S242" i="19"/>
  <c r="R242" i="19"/>
  <c r="AA241" i="19"/>
  <c r="Z241" i="19"/>
  <c r="Y241" i="19"/>
  <c r="X241" i="19"/>
  <c r="W241" i="19"/>
  <c r="V241" i="19"/>
  <c r="U241" i="19"/>
  <c r="T241" i="19"/>
  <c r="S241" i="19"/>
  <c r="R241" i="19"/>
  <c r="AA240" i="19"/>
  <c r="Z240" i="19"/>
  <c r="Y240" i="19"/>
  <c r="X240" i="19"/>
  <c r="W240" i="19"/>
  <c r="V240" i="19"/>
  <c r="U240" i="19"/>
  <c r="T240" i="19"/>
  <c r="S240" i="19"/>
  <c r="R240" i="19"/>
  <c r="AA239" i="19"/>
  <c r="Z239" i="19"/>
  <c r="Y239" i="19"/>
  <c r="X239" i="19"/>
  <c r="W239" i="19"/>
  <c r="V239" i="19"/>
  <c r="U239" i="19"/>
  <c r="T239" i="19"/>
  <c r="S239" i="19"/>
  <c r="R239" i="19"/>
  <c r="AA238" i="19"/>
  <c r="Z238" i="19"/>
  <c r="Y238" i="19"/>
  <c r="X238" i="19"/>
  <c r="W238" i="19"/>
  <c r="V238" i="19"/>
  <c r="U238" i="19"/>
  <c r="T238" i="19"/>
  <c r="S238" i="19"/>
  <c r="R238" i="19"/>
  <c r="AA237" i="19"/>
  <c r="Z237" i="19"/>
  <c r="Y237" i="19"/>
  <c r="X237" i="19"/>
  <c r="W237" i="19"/>
  <c r="V237" i="19"/>
  <c r="U237" i="19"/>
  <c r="T237" i="19"/>
  <c r="S237" i="19"/>
  <c r="R237" i="19"/>
  <c r="AA236" i="19"/>
  <c r="Z236" i="19"/>
  <c r="Y236" i="19"/>
  <c r="X236" i="19"/>
  <c r="W236" i="19"/>
  <c r="V236" i="19"/>
  <c r="U236" i="19"/>
  <c r="T236" i="19"/>
  <c r="S236" i="19"/>
  <c r="R236" i="19"/>
  <c r="AA235" i="19"/>
  <c r="Z235" i="19"/>
  <c r="Y235" i="19"/>
  <c r="X235" i="19"/>
  <c r="W235" i="19"/>
  <c r="V235" i="19"/>
  <c r="U235" i="19"/>
  <c r="T235" i="19"/>
  <c r="S235" i="19"/>
  <c r="R235" i="19"/>
  <c r="AA234" i="19"/>
  <c r="Z234" i="19"/>
  <c r="Y234" i="19"/>
  <c r="X234" i="19"/>
  <c r="W234" i="19"/>
  <c r="V234" i="19"/>
  <c r="U234" i="19"/>
  <c r="T234" i="19"/>
  <c r="S234" i="19"/>
  <c r="R234" i="19"/>
  <c r="AA233" i="19"/>
  <c r="Z233" i="19"/>
  <c r="Y233" i="19"/>
  <c r="X233" i="19"/>
  <c r="W233" i="19"/>
  <c r="V233" i="19"/>
  <c r="U233" i="19"/>
  <c r="T233" i="19"/>
  <c r="S233" i="19"/>
  <c r="R233" i="19"/>
  <c r="AA232" i="19"/>
  <c r="Z232" i="19"/>
  <c r="Y232" i="19"/>
  <c r="X232" i="19"/>
  <c r="W232" i="19"/>
  <c r="V232" i="19"/>
  <c r="U232" i="19"/>
  <c r="T232" i="19"/>
  <c r="S232" i="19"/>
  <c r="R232" i="19"/>
  <c r="AA231" i="19"/>
  <c r="Z231" i="19"/>
  <c r="Y231" i="19"/>
  <c r="X231" i="19"/>
  <c r="W231" i="19"/>
  <c r="V231" i="19"/>
  <c r="U231" i="19"/>
  <c r="T231" i="19"/>
  <c r="S231" i="19"/>
  <c r="R231" i="19"/>
  <c r="AA230" i="19"/>
  <c r="Z230" i="19"/>
  <c r="Y230" i="19"/>
  <c r="X230" i="19"/>
  <c r="W230" i="19"/>
  <c r="V230" i="19"/>
  <c r="U230" i="19"/>
  <c r="T230" i="19"/>
  <c r="S230" i="19"/>
  <c r="R230" i="19"/>
  <c r="AA229" i="19"/>
  <c r="Z229" i="19"/>
  <c r="Y229" i="19"/>
  <c r="X229" i="19"/>
  <c r="W229" i="19"/>
  <c r="V229" i="19"/>
  <c r="U229" i="19"/>
  <c r="T229" i="19"/>
  <c r="S229" i="19"/>
  <c r="R229" i="19"/>
  <c r="AA228" i="19"/>
  <c r="Z228" i="19"/>
  <c r="Y228" i="19"/>
  <c r="X228" i="19"/>
  <c r="W228" i="19"/>
  <c r="V228" i="19"/>
  <c r="U228" i="19"/>
  <c r="T228" i="19"/>
  <c r="S228" i="19"/>
  <c r="R228" i="19"/>
  <c r="AA227" i="19"/>
  <c r="Z227" i="19"/>
  <c r="Y227" i="19"/>
  <c r="X227" i="19"/>
  <c r="W227" i="19"/>
  <c r="V227" i="19"/>
  <c r="U227" i="19"/>
  <c r="T227" i="19"/>
  <c r="S227" i="19"/>
  <c r="R227" i="19"/>
  <c r="AA226" i="19"/>
  <c r="Z226" i="19"/>
  <c r="Y226" i="19"/>
  <c r="X226" i="19"/>
  <c r="W226" i="19"/>
  <c r="V226" i="19"/>
  <c r="U226" i="19"/>
  <c r="T226" i="19"/>
  <c r="S226" i="19"/>
  <c r="R226" i="19"/>
  <c r="AA225" i="19"/>
  <c r="Z225" i="19"/>
  <c r="Y225" i="19"/>
  <c r="X225" i="19"/>
  <c r="W225" i="19"/>
  <c r="V225" i="19"/>
  <c r="U225" i="19"/>
  <c r="T225" i="19"/>
  <c r="S225" i="19"/>
  <c r="R225" i="19"/>
  <c r="AA224" i="19"/>
  <c r="Z224" i="19"/>
  <c r="Y224" i="19"/>
  <c r="X224" i="19"/>
  <c r="W224" i="19"/>
  <c r="V224" i="19"/>
  <c r="U224" i="19"/>
  <c r="T224" i="19"/>
  <c r="S224" i="19"/>
  <c r="R224" i="19"/>
  <c r="AA223" i="19"/>
  <c r="Z223" i="19"/>
  <c r="Y223" i="19"/>
  <c r="X223" i="19"/>
  <c r="W223" i="19"/>
  <c r="V223" i="19"/>
  <c r="U223" i="19"/>
  <c r="T223" i="19"/>
  <c r="S223" i="19"/>
  <c r="R223" i="19"/>
  <c r="AA222" i="19"/>
  <c r="Z222" i="19"/>
  <c r="Y222" i="19"/>
  <c r="X222" i="19"/>
  <c r="W222" i="19"/>
  <c r="V222" i="19"/>
  <c r="U222" i="19"/>
  <c r="T222" i="19"/>
  <c r="S222" i="19"/>
  <c r="R222" i="19"/>
  <c r="AA221" i="19"/>
  <c r="Z221" i="19"/>
  <c r="Y221" i="19"/>
  <c r="X221" i="19"/>
  <c r="W221" i="19"/>
  <c r="V221" i="19"/>
  <c r="U221" i="19"/>
  <c r="T221" i="19"/>
  <c r="S221" i="19"/>
  <c r="R221" i="19"/>
  <c r="AA220" i="19"/>
  <c r="Z220" i="19"/>
  <c r="Y220" i="19"/>
  <c r="X220" i="19"/>
  <c r="W220" i="19"/>
  <c r="V220" i="19"/>
  <c r="U220" i="19"/>
  <c r="T220" i="19"/>
  <c r="S220" i="19"/>
  <c r="R220" i="19"/>
  <c r="AA219" i="19"/>
  <c r="Z219" i="19"/>
  <c r="Y219" i="19"/>
  <c r="X219" i="19"/>
  <c r="W219" i="19"/>
  <c r="V219" i="19"/>
  <c r="U219" i="19"/>
  <c r="T219" i="19"/>
  <c r="S219" i="19"/>
  <c r="R219" i="19"/>
  <c r="AA218" i="19"/>
  <c r="Z218" i="19"/>
  <c r="Y218" i="19"/>
  <c r="X218" i="19"/>
  <c r="W218" i="19"/>
  <c r="V218" i="19"/>
  <c r="U218" i="19"/>
  <c r="T218" i="19"/>
  <c r="S218" i="19"/>
  <c r="R218" i="19"/>
  <c r="AA217" i="19"/>
  <c r="Z217" i="19"/>
  <c r="Y217" i="19"/>
  <c r="X217" i="19"/>
  <c r="W217" i="19"/>
  <c r="V217" i="19"/>
  <c r="U217" i="19"/>
  <c r="T217" i="19"/>
  <c r="S217" i="19"/>
  <c r="R217" i="19"/>
  <c r="AA216" i="19"/>
  <c r="Z216" i="19"/>
  <c r="Y216" i="19"/>
  <c r="X216" i="19"/>
  <c r="W216" i="19"/>
  <c r="V216" i="19"/>
  <c r="U216" i="19"/>
  <c r="T216" i="19"/>
  <c r="S216" i="19"/>
  <c r="R216" i="19"/>
  <c r="AA215" i="19"/>
  <c r="Z215" i="19"/>
  <c r="Y215" i="19"/>
  <c r="X215" i="19"/>
  <c r="W215" i="19"/>
  <c r="V215" i="19"/>
  <c r="U215" i="19"/>
  <c r="T215" i="19"/>
  <c r="S215" i="19"/>
  <c r="R215" i="19"/>
  <c r="AA214" i="19"/>
  <c r="Z214" i="19"/>
  <c r="Y214" i="19"/>
  <c r="X214" i="19"/>
  <c r="W214" i="19"/>
  <c r="V214" i="19"/>
  <c r="U214" i="19"/>
  <c r="T214" i="19"/>
  <c r="S214" i="19"/>
  <c r="R214" i="19"/>
  <c r="AA213" i="19"/>
  <c r="Z213" i="19"/>
  <c r="Y213" i="19"/>
  <c r="X213" i="19"/>
  <c r="W213" i="19"/>
  <c r="V213" i="19"/>
  <c r="U213" i="19"/>
  <c r="T213" i="19"/>
  <c r="S213" i="19"/>
  <c r="R213" i="19"/>
  <c r="AA212" i="19"/>
  <c r="Z212" i="19"/>
  <c r="Y212" i="19"/>
  <c r="X212" i="19"/>
  <c r="W212" i="19"/>
  <c r="V212" i="19"/>
  <c r="U212" i="19"/>
  <c r="T212" i="19"/>
  <c r="S212" i="19"/>
  <c r="R212" i="19"/>
  <c r="AA211" i="19"/>
  <c r="Z211" i="19"/>
  <c r="Y211" i="19"/>
  <c r="X211" i="19"/>
  <c r="W211" i="19"/>
  <c r="V211" i="19"/>
  <c r="U211" i="19"/>
  <c r="T211" i="19"/>
  <c r="S211" i="19"/>
  <c r="R211" i="19"/>
  <c r="AA210" i="19"/>
  <c r="Z210" i="19"/>
  <c r="Y210" i="19"/>
  <c r="X210" i="19"/>
  <c r="W210" i="19"/>
  <c r="V210" i="19"/>
  <c r="U210" i="19"/>
  <c r="T210" i="19"/>
  <c r="S210" i="19"/>
  <c r="R210" i="19"/>
  <c r="AA209" i="19"/>
  <c r="Z209" i="19"/>
  <c r="Y209" i="19"/>
  <c r="X209" i="19"/>
  <c r="W209" i="19"/>
  <c r="V209" i="19"/>
  <c r="U209" i="19"/>
  <c r="T209" i="19"/>
  <c r="S209" i="19"/>
  <c r="R209" i="19"/>
  <c r="AA208" i="19"/>
  <c r="Z208" i="19"/>
  <c r="Y208" i="19"/>
  <c r="X208" i="19"/>
  <c r="W208" i="19"/>
  <c r="V208" i="19"/>
  <c r="U208" i="19"/>
  <c r="T208" i="19"/>
  <c r="S208" i="19"/>
  <c r="R208" i="19"/>
  <c r="AA207" i="19"/>
  <c r="Z207" i="19"/>
  <c r="Y207" i="19"/>
  <c r="X207" i="19"/>
  <c r="W207" i="19"/>
  <c r="V207" i="19"/>
  <c r="U207" i="19"/>
  <c r="T207" i="19"/>
  <c r="S207" i="19"/>
  <c r="R207" i="19"/>
  <c r="AA206" i="19"/>
  <c r="Z206" i="19"/>
  <c r="Y206" i="19"/>
  <c r="X206" i="19"/>
  <c r="W206" i="19"/>
  <c r="V206" i="19"/>
  <c r="U206" i="19"/>
  <c r="T206" i="19"/>
  <c r="S206" i="19"/>
  <c r="R206" i="19"/>
  <c r="AA205" i="19"/>
  <c r="Z205" i="19"/>
  <c r="Y205" i="19"/>
  <c r="X205" i="19"/>
  <c r="W205" i="19"/>
  <c r="V205" i="19"/>
  <c r="U205" i="19"/>
  <c r="T205" i="19"/>
  <c r="S205" i="19"/>
  <c r="R205" i="19"/>
  <c r="AA204" i="19"/>
  <c r="Z204" i="19"/>
  <c r="Y204" i="19"/>
  <c r="X204" i="19"/>
  <c r="W204" i="19"/>
  <c r="V204" i="19"/>
  <c r="U204" i="19"/>
  <c r="T204" i="19"/>
  <c r="S204" i="19"/>
  <c r="R204" i="19"/>
  <c r="AA203" i="19"/>
  <c r="Z203" i="19"/>
  <c r="Y203" i="19"/>
  <c r="X203" i="19"/>
  <c r="W203" i="19"/>
  <c r="V203" i="19"/>
  <c r="U203" i="19"/>
  <c r="T203" i="19"/>
  <c r="S203" i="19"/>
  <c r="R203" i="19"/>
  <c r="AA202" i="19"/>
  <c r="Z202" i="19"/>
  <c r="Y202" i="19"/>
  <c r="X202" i="19"/>
  <c r="W202" i="19"/>
  <c r="V202" i="19"/>
  <c r="U202" i="19"/>
  <c r="T202" i="19"/>
  <c r="S202" i="19"/>
  <c r="R202" i="19"/>
  <c r="AA201" i="19"/>
  <c r="Z201" i="19"/>
  <c r="Y201" i="19"/>
  <c r="X201" i="19"/>
  <c r="W201" i="19"/>
  <c r="V201" i="19"/>
  <c r="U201" i="19"/>
  <c r="T201" i="19"/>
  <c r="S201" i="19"/>
  <c r="R201" i="19"/>
  <c r="AA200" i="19"/>
  <c r="Z200" i="19"/>
  <c r="Y200" i="19"/>
  <c r="X200" i="19"/>
  <c r="W200" i="19"/>
  <c r="V200" i="19"/>
  <c r="U200" i="19"/>
  <c r="T200" i="19"/>
  <c r="S200" i="19"/>
  <c r="R200" i="19"/>
  <c r="AA199" i="19"/>
  <c r="Z199" i="19"/>
  <c r="Y199" i="19"/>
  <c r="X199" i="19"/>
  <c r="W199" i="19"/>
  <c r="V199" i="19"/>
  <c r="U199" i="19"/>
  <c r="T199" i="19"/>
  <c r="S199" i="19"/>
  <c r="R199" i="19"/>
  <c r="AA198" i="19"/>
  <c r="Z198" i="19"/>
  <c r="Y198" i="19"/>
  <c r="X198" i="19"/>
  <c r="W198" i="19"/>
  <c r="V198" i="19"/>
  <c r="U198" i="19"/>
  <c r="T198" i="19"/>
  <c r="S198" i="19"/>
  <c r="R198" i="19"/>
  <c r="AA197" i="19"/>
  <c r="Z197" i="19"/>
  <c r="Y197" i="19"/>
  <c r="X197" i="19"/>
  <c r="W197" i="19"/>
  <c r="V197" i="19"/>
  <c r="U197" i="19"/>
  <c r="T197" i="19"/>
  <c r="S197" i="19"/>
  <c r="R197" i="19"/>
  <c r="AA196" i="19"/>
  <c r="Z196" i="19"/>
  <c r="Y196" i="19"/>
  <c r="X196" i="19"/>
  <c r="W196" i="19"/>
  <c r="V196" i="19"/>
  <c r="U196" i="19"/>
  <c r="T196" i="19"/>
  <c r="S196" i="19"/>
  <c r="R196" i="19"/>
  <c r="AA195" i="19"/>
  <c r="Z195" i="19"/>
  <c r="Y195" i="19"/>
  <c r="X195" i="19"/>
  <c r="W195" i="19"/>
  <c r="V195" i="19"/>
  <c r="U195" i="19"/>
  <c r="T195" i="19"/>
  <c r="S195" i="19"/>
  <c r="R195" i="19"/>
  <c r="AA194" i="19"/>
  <c r="Z194" i="19"/>
  <c r="Y194" i="19"/>
  <c r="X194" i="19"/>
  <c r="W194" i="19"/>
  <c r="V194" i="19"/>
  <c r="U194" i="19"/>
  <c r="T194" i="19"/>
  <c r="S194" i="19"/>
  <c r="R194" i="19"/>
  <c r="AA193" i="19"/>
  <c r="Z193" i="19"/>
  <c r="Y193" i="19"/>
  <c r="X193" i="19"/>
  <c r="W193" i="19"/>
  <c r="V193" i="19"/>
  <c r="U193" i="19"/>
  <c r="T193" i="19"/>
  <c r="S193" i="19"/>
  <c r="R193" i="19"/>
  <c r="AA192" i="19"/>
  <c r="Z192" i="19"/>
  <c r="Y192" i="19"/>
  <c r="X192" i="19"/>
  <c r="W192" i="19"/>
  <c r="V192" i="19"/>
  <c r="U192" i="19"/>
  <c r="T192" i="19"/>
  <c r="S192" i="19"/>
  <c r="R192" i="19"/>
  <c r="AA191" i="19"/>
  <c r="Z191" i="19"/>
  <c r="Y191" i="19"/>
  <c r="X191" i="19"/>
  <c r="W191" i="19"/>
  <c r="V191" i="19"/>
  <c r="U191" i="19"/>
  <c r="T191" i="19"/>
  <c r="S191" i="19"/>
  <c r="R191" i="19"/>
  <c r="AA190" i="19"/>
  <c r="Z190" i="19"/>
  <c r="Y190" i="19"/>
  <c r="X190" i="19"/>
  <c r="W190" i="19"/>
  <c r="V190" i="19"/>
  <c r="U190" i="19"/>
  <c r="T190" i="19"/>
  <c r="S190" i="19"/>
  <c r="R190" i="19"/>
  <c r="AA189" i="19"/>
  <c r="Z189" i="19"/>
  <c r="Y189" i="19"/>
  <c r="X189" i="19"/>
  <c r="W189" i="19"/>
  <c r="V189" i="19"/>
  <c r="U189" i="19"/>
  <c r="T189" i="19"/>
  <c r="S189" i="19"/>
  <c r="R189" i="19"/>
  <c r="AA188" i="19"/>
  <c r="Z188" i="19"/>
  <c r="Y188" i="19"/>
  <c r="X188" i="19"/>
  <c r="W188" i="19"/>
  <c r="V188" i="19"/>
  <c r="U188" i="19"/>
  <c r="T188" i="19"/>
  <c r="S188" i="19"/>
  <c r="R188" i="19"/>
  <c r="AA187" i="19"/>
  <c r="Z187" i="19"/>
  <c r="Y187" i="19"/>
  <c r="X187" i="19"/>
  <c r="W187" i="19"/>
  <c r="V187" i="19"/>
  <c r="U187" i="19"/>
  <c r="T187" i="19"/>
  <c r="S187" i="19"/>
  <c r="R187" i="19"/>
  <c r="AA186" i="19"/>
  <c r="Z186" i="19"/>
  <c r="Y186" i="19"/>
  <c r="X186" i="19"/>
  <c r="W186" i="19"/>
  <c r="V186" i="19"/>
  <c r="U186" i="19"/>
  <c r="T186" i="19"/>
  <c r="S186" i="19"/>
  <c r="R186" i="19"/>
  <c r="AA185" i="19"/>
  <c r="Z185" i="19"/>
  <c r="Y185" i="19"/>
  <c r="X185" i="19"/>
  <c r="W185" i="19"/>
  <c r="V185" i="19"/>
  <c r="U185" i="19"/>
  <c r="T185" i="19"/>
  <c r="S185" i="19"/>
  <c r="R185" i="19"/>
  <c r="AA184" i="19"/>
  <c r="Z184" i="19"/>
  <c r="Y184" i="19"/>
  <c r="X184" i="19"/>
  <c r="W184" i="19"/>
  <c r="V184" i="19"/>
  <c r="U184" i="19"/>
  <c r="T184" i="19"/>
  <c r="S184" i="19"/>
  <c r="R184" i="19"/>
  <c r="AA183" i="19"/>
  <c r="Z183" i="19"/>
  <c r="Y183" i="19"/>
  <c r="X183" i="19"/>
  <c r="W183" i="19"/>
  <c r="V183" i="19"/>
  <c r="U183" i="19"/>
  <c r="T183" i="19"/>
  <c r="S183" i="19"/>
  <c r="R183" i="19"/>
  <c r="AA182" i="19"/>
  <c r="Z182" i="19"/>
  <c r="Y182" i="19"/>
  <c r="X182" i="19"/>
  <c r="W182" i="19"/>
  <c r="V182" i="19"/>
  <c r="U182" i="19"/>
  <c r="T182" i="19"/>
  <c r="S182" i="19"/>
  <c r="R182" i="19"/>
  <c r="AA181" i="19"/>
  <c r="Z181" i="19"/>
  <c r="Y181" i="19"/>
  <c r="X181" i="19"/>
  <c r="W181" i="19"/>
  <c r="V181" i="19"/>
  <c r="U181" i="19"/>
  <c r="T181" i="19"/>
  <c r="S181" i="19"/>
  <c r="R181" i="19"/>
  <c r="AA180" i="19"/>
  <c r="Z180" i="19"/>
  <c r="Y180" i="19"/>
  <c r="X180" i="19"/>
  <c r="W180" i="19"/>
  <c r="V180" i="19"/>
  <c r="U180" i="19"/>
  <c r="T180" i="19"/>
  <c r="S180" i="19"/>
  <c r="R180" i="19"/>
  <c r="AA179" i="19"/>
  <c r="Z179" i="19"/>
  <c r="Y179" i="19"/>
  <c r="X179" i="19"/>
  <c r="W179" i="19"/>
  <c r="V179" i="19"/>
  <c r="U179" i="19"/>
  <c r="T179" i="19"/>
  <c r="S179" i="19"/>
  <c r="R179" i="19"/>
  <c r="AA178" i="19"/>
  <c r="Z178" i="19"/>
  <c r="Y178" i="19"/>
  <c r="X178" i="19"/>
  <c r="W178" i="19"/>
  <c r="V178" i="19"/>
  <c r="U178" i="19"/>
  <c r="T178" i="19"/>
  <c r="S178" i="19"/>
  <c r="R178" i="19"/>
  <c r="AA177" i="19"/>
  <c r="Z177" i="19"/>
  <c r="Y177" i="19"/>
  <c r="X177" i="19"/>
  <c r="W177" i="19"/>
  <c r="V177" i="19"/>
  <c r="U177" i="19"/>
  <c r="T177" i="19"/>
  <c r="S177" i="19"/>
  <c r="R177" i="19"/>
  <c r="AA176" i="19"/>
  <c r="Z176" i="19"/>
  <c r="Y176" i="19"/>
  <c r="X176" i="19"/>
  <c r="W176" i="19"/>
  <c r="V176" i="19"/>
  <c r="U176" i="19"/>
  <c r="T176" i="19"/>
  <c r="S176" i="19"/>
  <c r="R176" i="19"/>
  <c r="AA175" i="19"/>
  <c r="Z175" i="19"/>
  <c r="Y175" i="19"/>
  <c r="X175" i="19"/>
  <c r="W175" i="19"/>
  <c r="V175" i="19"/>
  <c r="U175" i="19"/>
  <c r="T175" i="19"/>
  <c r="S175" i="19"/>
  <c r="R175" i="19"/>
  <c r="AA174" i="19"/>
  <c r="Z174" i="19"/>
  <c r="Y174" i="19"/>
  <c r="X174" i="19"/>
  <c r="W174" i="19"/>
  <c r="V174" i="19"/>
  <c r="U174" i="19"/>
  <c r="T174" i="19"/>
  <c r="S174" i="19"/>
  <c r="R174" i="19"/>
  <c r="AA173" i="19"/>
  <c r="Z173" i="19"/>
  <c r="Y173" i="19"/>
  <c r="X173" i="19"/>
  <c r="W173" i="19"/>
  <c r="V173" i="19"/>
  <c r="U173" i="19"/>
  <c r="T173" i="19"/>
  <c r="S173" i="19"/>
  <c r="R173" i="19"/>
  <c r="AA172" i="19"/>
  <c r="Z172" i="19"/>
  <c r="Y172" i="19"/>
  <c r="X172" i="19"/>
  <c r="W172" i="19"/>
  <c r="V172" i="19"/>
  <c r="U172" i="19"/>
  <c r="T172" i="19"/>
  <c r="S172" i="19"/>
  <c r="R172" i="19"/>
  <c r="AA171" i="19"/>
  <c r="Z171" i="19"/>
  <c r="Y171" i="19"/>
  <c r="X171" i="19"/>
  <c r="W171" i="19"/>
  <c r="V171" i="19"/>
  <c r="U171" i="19"/>
  <c r="T171" i="19"/>
  <c r="S171" i="19"/>
  <c r="R171" i="19"/>
  <c r="AA170" i="19"/>
  <c r="Z170" i="19"/>
  <c r="Y170" i="19"/>
  <c r="X170" i="19"/>
  <c r="W170" i="19"/>
  <c r="V170" i="19"/>
  <c r="U170" i="19"/>
  <c r="T170" i="19"/>
  <c r="S170" i="19"/>
  <c r="R170" i="19"/>
  <c r="AA169" i="19"/>
  <c r="Z169" i="19"/>
  <c r="Y169" i="19"/>
  <c r="X169" i="19"/>
  <c r="W169" i="19"/>
  <c r="V169" i="19"/>
  <c r="U169" i="19"/>
  <c r="T169" i="19"/>
  <c r="S169" i="19"/>
  <c r="R169" i="19"/>
  <c r="AA168" i="19"/>
  <c r="Z168" i="19"/>
  <c r="Y168" i="19"/>
  <c r="X168" i="19"/>
  <c r="W168" i="19"/>
  <c r="V168" i="19"/>
  <c r="U168" i="19"/>
  <c r="T168" i="19"/>
  <c r="S168" i="19"/>
  <c r="R168" i="19"/>
  <c r="AA167" i="19"/>
  <c r="Z167" i="19"/>
  <c r="Y167" i="19"/>
  <c r="X167" i="19"/>
  <c r="W167" i="19"/>
  <c r="V167" i="19"/>
  <c r="U167" i="19"/>
  <c r="T167" i="19"/>
  <c r="S167" i="19"/>
  <c r="R167" i="19"/>
  <c r="AA166" i="19"/>
  <c r="Z166" i="19"/>
  <c r="Y166" i="19"/>
  <c r="X166" i="19"/>
  <c r="W166" i="19"/>
  <c r="V166" i="19"/>
  <c r="U166" i="19"/>
  <c r="T166" i="19"/>
  <c r="S166" i="19"/>
  <c r="R166" i="19"/>
  <c r="AA165" i="19"/>
  <c r="Z165" i="19"/>
  <c r="Y165" i="19"/>
  <c r="X165" i="19"/>
  <c r="W165" i="19"/>
  <c r="V165" i="19"/>
  <c r="U165" i="19"/>
  <c r="T165" i="19"/>
  <c r="S165" i="19"/>
  <c r="R165" i="19"/>
  <c r="AA164" i="19"/>
  <c r="Z164" i="19"/>
  <c r="Y164" i="19"/>
  <c r="X164" i="19"/>
  <c r="W164" i="19"/>
  <c r="V164" i="19"/>
  <c r="U164" i="19"/>
  <c r="T164" i="19"/>
  <c r="S164" i="19"/>
  <c r="R164" i="19"/>
  <c r="AA163" i="19"/>
  <c r="Z163" i="19"/>
  <c r="Y163" i="19"/>
  <c r="X163" i="19"/>
  <c r="W163" i="19"/>
  <c r="V163" i="19"/>
  <c r="U163" i="19"/>
  <c r="T163" i="19"/>
  <c r="S163" i="19"/>
  <c r="R163" i="19"/>
  <c r="AA162" i="19"/>
  <c r="Z162" i="19"/>
  <c r="Y162" i="19"/>
  <c r="X162" i="19"/>
  <c r="W162" i="19"/>
  <c r="V162" i="19"/>
  <c r="U162" i="19"/>
  <c r="T162" i="19"/>
  <c r="S162" i="19"/>
  <c r="R162" i="19"/>
  <c r="AA161" i="19"/>
  <c r="Z161" i="19"/>
  <c r="Y161" i="19"/>
  <c r="X161" i="19"/>
  <c r="W161" i="19"/>
  <c r="V161" i="19"/>
  <c r="U161" i="19"/>
  <c r="T161" i="19"/>
  <c r="S161" i="19"/>
  <c r="R161" i="19"/>
  <c r="AA160" i="19"/>
  <c r="Z160" i="19"/>
  <c r="Y160" i="19"/>
  <c r="X160" i="19"/>
  <c r="W160" i="19"/>
  <c r="V160" i="19"/>
  <c r="U160" i="19"/>
  <c r="T160" i="19"/>
  <c r="S160" i="19"/>
  <c r="R160" i="19"/>
  <c r="AA159" i="19"/>
  <c r="Z159" i="19"/>
  <c r="Y159" i="19"/>
  <c r="X159" i="19"/>
  <c r="W159" i="19"/>
  <c r="V159" i="19"/>
  <c r="U159" i="19"/>
  <c r="T159" i="19"/>
  <c r="S159" i="19"/>
  <c r="R159" i="19"/>
  <c r="AA158" i="19"/>
  <c r="Z158" i="19"/>
  <c r="Y158" i="19"/>
  <c r="X158" i="19"/>
  <c r="W158" i="19"/>
  <c r="V158" i="19"/>
  <c r="U158" i="19"/>
  <c r="T158" i="19"/>
  <c r="S158" i="19"/>
  <c r="R158" i="19"/>
  <c r="AA157" i="19"/>
  <c r="Z157" i="19"/>
  <c r="Y157" i="19"/>
  <c r="X157" i="19"/>
  <c r="W157" i="19"/>
  <c r="V157" i="19"/>
  <c r="U157" i="19"/>
  <c r="T157" i="19"/>
  <c r="S157" i="19"/>
  <c r="R157" i="19"/>
  <c r="AA156" i="19"/>
  <c r="Z156" i="19"/>
  <c r="Y156" i="19"/>
  <c r="X156" i="19"/>
  <c r="W156" i="19"/>
  <c r="V156" i="19"/>
  <c r="U156" i="19"/>
  <c r="T156" i="19"/>
  <c r="S156" i="19"/>
  <c r="R156" i="19"/>
  <c r="AA155" i="19"/>
  <c r="Z155" i="19"/>
  <c r="Y155" i="19"/>
  <c r="X155" i="19"/>
  <c r="W155" i="19"/>
  <c r="V155" i="19"/>
  <c r="U155" i="19"/>
  <c r="T155" i="19"/>
  <c r="S155" i="19"/>
  <c r="R155" i="19"/>
  <c r="AA154" i="19"/>
  <c r="Z154" i="19"/>
  <c r="Y154" i="19"/>
  <c r="X154" i="19"/>
  <c r="W154" i="19"/>
  <c r="V154" i="19"/>
  <c r="U154" i="19"/>
  <c r="T154" i="19"/>
  <c r="S154" i="19"/>
  <c r="R154" i="19"/>
  <c r="AA153" i="19"/>
  <c r="Z153" i="19"/>
  <c r="Y153" i="19"/>
  <c r="X153" i="19"/>
  <c r="W153" i="19"/>
  <c r="V153" i="19"/>
  <c r="U153" i="19"/>
  <c r="T153" i="19"/>
  <c r="S153" i="19"/>
  <c r="R153" i="19"/>
  <c r="AA152" i="19"/>
  <c r="Z152" i="19"/>
  <c r="Y152" i="19"/>
  <c r="X152" i="19"/>
  <c r="W152" i="19"/>
  <c r="V152" i="19"/>
  <c r="U152" i="19"/>
  <c r="T152" i="19"/>
  <c r="S152" i="19"/>
  <c r="R152" i="19"/>
  <c r="AA151" i="19"/>
  <c r="Z151" i="19"/>
  <c r="Y151" i="19"/>
  <c r="X151" i="19"/>
  <c r="W151" i="19"/>
  <c r="V151" i="19"/>
  <c r="U151" i="19"/>
  <c r="T151" i="19"/>
  <c r="S151" i="19"/>
  <c r="R151" i="19"/>
  <c r="AA150" i="19"/>
  <c r="Z150" i="19"/>
  <c r="Y150" i="19"/>
  <c r="X150" i="19"/>
  <c r="W150" i="19"/>
  <c r="V150" i="19"/>
  <c r="U150" i="19"/>
  <c r="T150" i="19"/>
  <c r="S150" i="19"/>
  <c r="R150" i="19"/>
  <c r="AA149" i="19"/>
  <c r="Z149" i="19"/>
  <c r="Y149" i="19"/>
  <c r="X149" i="19"/>
  <c r="W149" i="19"/>
  <c r="V149" i="19"/>
  <c r="U149" i="19"/>
  <c r="T149" i="19"/>
  <c r="S149" i="19"/>
  <c r="R149" i="19"/>
  <c r="AA148" i="19"/>
  <c r="Z148" i="19"/>
  <c r="Y148" i="19"/>
  <c r="X148" i="19"/>
  <c r="W148" i="19"/>
  <c r="V148" i="19"/>
  <c r="U148" i="19"/>
  <c r="T148" i="19"/>
  <c r="S148" i="19"/>
  <c r="R148" i="19"/>
  <c r="AA147" i="19"/>
  <c r="Z147" i="19"/>
  <c r="Y147" i="19"/>
  <c r="X147" i="19"/>
  <c r="W147" i="19"/>
  <c r="V147" i="19"/>
  <c r="U147" i="19"/>
  <c r="T147" i="19"/>
  <c r="S147" i="19"/>
  <c r="R147" i="19"/>
  <c r="AA146" i="19"/>
  <c r="Z146" i="19"/>
  <c r="Y146" i="19"/>
  <c r="X146" i="19"/>
  <c r="W146" i="19"/>
  <c r="V146" i="19"/>
  <c r="U146" i="19"/>
  <c r="T146" i="19"/>
  <c r="S146" i="19"/>
  <c r="R146" i="19"/>
  <c r="AA145" i="19"/>
  <c r="Z145" i="19"/>
  <c r="Y145" i="19"/>
  <c r="X145" i="19"/>
  <c r="W145" i="19"/>
  <c r="V145" i="19"/>
  <c r="U145" i="19"/>
  <c r="T145" i="19"/>
  <c r="S145" i="19"/>
  <c r="R145" i="19"/>
  <c r="AA144" i="19"/>
  <c r="Z144" i="19"/>
  <c r="Y144" i="19"/>
  <c r="X144" i="19"/>
  <c r="W144" i="19"/>
  <c r="V144" i="19"/>
  <c r="U144" i="19"/>
  <c r="T144" i="19"/>
  <c r="S144" i="19"/>
  <c r="R144" i="19"/>
  <c r="AA143" i="19"/>
  <c r="Z143" i="19"/>
  <c r="Y143" i="19"/>
  <c r="X143" i="19"/>
  <c r="W143" i="19"/>
  <c r="V143" i="19"/>
  <c r="U143" i="19"/>
  <c r="T143" i="19"/>
  <c r="S143" i="19"/>
  <c r="R143" i="19"/>
  <c r="AA142" i="19"/>
  <c r="Z142" i="19"/>
  <c r="Y142" i="19"/>
  <c r="X142" i="19"/>
  <c r="W142" i="19"/>
  <c r="V142" i="19"/>
  <c r="U142" i="19"/>
  <c r="T142" i="19"/>
  <c r="S142" i="19"/>
  <c r="R142" i="19"/>
  <c r="AA141" i="19"/>
  <c r="Z141" i="19"/>
  <c r="Y141" i="19"/>
  <c r="X141" i="19"/>
  <c r="W141" i="19"/>
  <c r="V141" i="19"/>
  <c r="U141" i="19"/>
  <c r="T141" i="19"/>
  <c r="S141" i="19"/>
  <c r="R141" i="19"/>
  <c r="AA140" i="19"/>
  <c r="Z140" i="19"/>
  <c r="Y140" i="19"/>
  <c r="X140" i="19"/>
  <c r="W140" i="19"/>
  <c r="V140" i="19"/>
  <c r="U140" i="19"/>
  <c r="T140" i="19"/>
  <c r="S140" i="19"/>
  <c r="R140" i="19"/>
  <c r="AA139" i="19"/>
  <c r="Z139" i="19"/>
  <c r="Y139" i="19"/>
  <c r="X139" i="19"/>
  <c r="W139" i="19"/>
  <c r="V139" i="19"/>
  <c r="U139" i="19"/>
  <c r="T139" i="19"/>
  <c r="S139" i="19"/>
  <c r="R139" i="19"/>
  <c r="AA138" i="19"/>
  <c r="Z138" i="19"/>
  <c r="Y138" i="19"/>
  <c r="X138" i="19"/>
  <c r="W138" i="19"/>
  <c r="V138" i="19"/>
  <c r="U138" i="19"/>
  <c r="T138" i="19"/>
  <c r="S138" i="19"/>
  <c r="R138" i="19"/>
  <c r="AA137" i="19"/>
  <c r="Z137" i="19"/>
  <c r="Y137" i="19"/>
  <c r="X137" i="19"/>
  <c r="W137" i="19"/>
  <c r="V137" i="19"/>
  <c r="U137" i="19"/>
  <c r="T137" i="19"/>
  <c r="S137" i="19"/>
  <c r="R137" i="19"/>
  <c r="AA136" i="19"/>
  <c r="Z136" i="19"/>
  <c r="Y136" i="19"/>
  <c r="X136" i="19"/>
  <c r="W136" i="19"/>
  <c r="V136" i="19"/>
  <c r="U136" i="19"/>
  <c r="T136" i="19"/>
  <c r="S136" i="19"/>
  <c r="R136" i="19"/>
  <c r="AA135" i="19"/>
  <c r="Z135" i="19"/>
  <c r="Y135" i="19"/>
  <c r="X135" i="19"/>
  <c r="W135" i="19"/>
  <c r="V135" i="19"/>
  <c r="U135" i="19"/>
  <c r="T135" i="19"/>
  <c r="S135" i="19"/>
  <c r="R135" i="19"/>
  <c r="AA134" i="19"/>
  <c r="Z134" i="19"/>
  <c r="Y134" i="19"/>
  <c r="X134" i="19"/>
  <c r="W134" i="19"/>
  <c r="V134" i="19"/>
  <c r="U134" i="19"/>
  <c r="T134" i="19"/>
  <c r="S134" i="19"/>
  <c r="R134" i="19"/>
  <c r="AA133" i="19"/>
  <c r="Z133" i="19"/>
  <c r="Y133" i="19"/>
  <c r="X133" i="19"/>
  <c r="W133" i="19"/>
  <c r="V133" i="19"/>
  <c r="U133" i="19"/>
  <c r="T133" i="19"/>
  <c r="S133" i="19"/>
  <c r="R133" i="19"/>
  <c r="AA132" i="19"/>
  <c r="Z132" i="19"/>
  <c r="Y132" i="19"/>
  <c r="X132" i="19"/>
  <c r="W132" i="19"/>
  <c r="V132" i="19"/>
  <c r="U132" i="19"/>
  <c r="T132" i="19"/>
  <c r="S132" i="19"/>
  <c r="R132" i="19"/>
  <c r="AA131" i="19"/>
  <c r="Z131" i="19"/>
  <c r="Y131" i="19"/>
  <c r="X131" i="19"/>
  <c r="W131" i="19"/>
  <c r="V131" i="19"/>
  <c r="U131" i="19"/>
  <c r="T131" i="19"/>
  <c r="S131" i="19"/>
  <c r="R131" i="19"/>
  <c r="AA130" i="19"/>
  <c r="Z130" i="19"/>
  <c r="Y130" i="19"/>
  <c r="X130" i="19"/>
  <c r="W130" i="19"/>
  <c r="V130" i="19"/>
  <c r="U130" i="19"/>
  <c r="T130" i="19"/>
  <c r="S130" i="19"/>
  <c r="R130" i="19"/>
  <c r="AA129" i="19"/>
  <c r="Z129" i="19"/>
  <c r="Y129" i="19"/>
  <c r="X129" i="19"/>
  <c r="W129" i="19"/>
  <c r="V129" i="19"/>
  <c r="U129" i="19"/>
  <c r="T129" i="19"/>
  <c r="S129" i="19"/>
  <c r="R129" i="19"/>
  <c r="AA128" i="19"/>
  <c r="Z128" i="19"/>
  <c r="Y128" i="19"/>
  <c r="X128" i="19"/>
  <c r="W128" i="19"/>
  <c r="V128" i="19"/>
  <c r="U128" i="19"/>
  <c r="T128" i="19"/>
  <c r="S128" i="19"/>
  <c r="R128" i="19"/>
  <c r="AA127" i="19"/>
  <c r="Z127" i="19"/>
  <c r="Y127" i="19"/>
  <c r="X127" i="19"/>
  <c r="W127" i="19"/>
  <c r="V127" i="19"/>
  <c r="U127" i="19"/>
  <c r="T127" i="19"/>
  <c r="S127" i="19"/>
  <c r="R127" i="19"/>
  <c r="AA126" i="19"/>
  <c r="Z126" i="19"/>
  <c r="Y126" i="19"/>
  <c r="X126" i="19"/>
  <c r="W126" i="19"/>
  <c r="V126" i="19"/>
  <c r="U126" i="19"/>
  <c r="T126" i="19"/>
  <c r="S126" i="19"/>
  <c r="R126" i="19"/>
  <c r="AA125" i="19"/>
  <c r="Z125" i="19"/>
  <c r="Y125" i="19"/>
  <c r="X125" i="19"/>
  <c r="W125" i="19"/>
  <c r="V125" i="19"/>
  <c r="U125" i="19"/>
  <c r="T125" i="19"/>
  <c r="S125" i="19"/>
  <c r="R125" i="19"/>
  <c r="AA124" i="19"/>
  <c r="Z124" i="19"/>
  <c r="Y124" i="19"/>
  <c r="X124" i="19"/>
  <c r="W124" i="19"/>
  <c r="V124" i="19"/>
  <c r="U124" i="19"/>
  <c r="T124" i="19"/>
  <c r="S124" i="19"/>
  <c r="R124" i="19"/>
  <c r="AA123" i="19"/>
  <c r="Z123" i="19"/>
  <c r="Y123" i="19"/>
  <c r="X123" i="19"/>
  <c r="W123" i="19"/>
  <c r="V123" i="19"/>
  <c r="U123" i="19"/>
  <c r="T123" i="19"/>
  <c r="S123" i="19"/>
  <c r="R123" i="19"/>
  <c r="AA122" i="19"/>
  <c r="Z122" i="19"/>
  <c r="Y122" i="19"/>
  <c r="X122" i="19"/>
  <c r="W122" i="19"/>
  <c r="V122" i="19"/>
  <c r="U122" i="19"/>
  <c r="T122" i="19"/>
  <c r="S122" i="19"/>
  <c r="R122" i="19"/>
  <c r="AA121" i="19"/>
  <c r="Z121" i="19"/>
  <c r="Y121" i="19"/>
  <c r="X121" i="19"/>
  <c r="W121" i="19"/>
  <c r="V121" i="19"/>
  <c r="U121" i="19"/>
  <c r="T121" i="19"/>
  <c r="S121" i="19"/>
  <c r="R121" i="19"/>
  <c r="AA120" i="19"/>
  <c r="Z120" i="19"/>
  <c r="Y120" i="19"/>
  <c r="X120" i="19"/>
  <c r="W120" i="19"/>
  <c r="V120" i="19"/>
  <c r="U120" i="19"/>
  <c r="T120" i="19"/>
  <c r="S120" i="19"/>
  <c r="R120" i="19"/>
  <c r="AA119" i="19"/>
  <c r="Z119" i="19"/>
  <c r="Y119" i="19"/>
  <c r="X119" i="19"/>
  <c r="W119" i="19"/>
  <c r="V119" i="19"/>
  <c r="U119" i="19"/>
  <c r="T119" i="19"/>
  <c r="S119" i="19"/>
  <c r="R119" i="19"/>
  <c r="AA118" i="19"/>
  <c r="Z118" i="19"/>
  <c r="Y118" i="19"/>
  <c r="X118" i="19"/>
  <c r="W118" i="19"/>
  <c r="V118" i="19"/>
  <c r="U118" i="19"/>
  <c r="T118" i="19"/>
  <c r="S118" i="19"/>
  <c r="R118" i="19"/>
  <c r="AA117" i="19"/>
  <c r="Z117" i="19"/>
  <c r="Y117" i="19"/>
  <c r="X117" i="19"/>
  <c r="W117" i="19"/>
  <c r="V117" i="19"/>
  <c r="U117" i="19"/>
  <c r="T117" i="19"/>
  <c r="S117" i="19"/>
  <c r="R117" i="19"/>
  <c r="AA116" i="19"/>
  <c r="Z116" i="19"/>
  <c r="Y116" i="19"/>
  <c r="X116" i="19"/>
  <c r="W116" i="19"/>
  <c r="V116" i="19"/>
  <c r="U116" i="19"/>
  <c r="T116" i="19"/>
  <c r="S116" i="19"/>
  <c r="R116" i="19"/>
  <c r="AA115" i="19"/>
  <c r="Z115" i="19"/>
  <c r="Y115" i="19"/>
  <c r="X115" i="19"/>
  <c r="W115" i="19"/>
  <c r="V115" i="19"/>
  <c r="U115" i="19"/>
  <c r="T115" i="19"/>
  <c r="S115" i="19"/>
  <c r="R115" i="19"/>
  <c r="AA114" i="19"/>
  <c r="Z114" i="19"/>
  <c r="Y114" i="19"/>
  <c r="X114" i="19"/>
  <c r="W114" i="19"/>
  <c r="V114" i="19"/>
  <c r="U114" i="19"/>
  <c r="T114" i="19"/>
  <c r="S114" i="19"/>
  <c r="R114" i="19"/>
  <c r="AA113" i="19"/>
  <c r="Z113" i="19"/>
  <c r="Y113" i="19"/>
  <c r="X113" i="19"/>
  <c r="W113" i="19"/>
  <c r="V113" i="19"/>
  <c r="U113" i="19"/>
  <c r="T113" i="19"/>
  <c r="S113" i="19"/>
  <c r="R113" i="19"/>
  <c r="AA112" i="19"/>
  <c r="Z112" i="19"/>
  <c r="Y112" i="19"/>
  <c r="X112" i="19"/>
  <c r="W112" i="19"/>
  <c r="V112" i="19"/>
  <c r="U112" i="19"/>
  <c r="T112" i="19"/>
  <c r="S112" i="19"/>
  <c r="R112" i="19"/>
  <c r="AA111" i="19"/>
  <c r="Z111" i="19"/>
  <c r="Y111" i="19"/>
  <c r="X111" i="19"/>
  <c r="W111" i="19"/>
  <c r="V111" i="19"/>
  <c r="U111" i="19"/>
  <c r="T111" i="19"/>
  <c r="S111" i="19"/>
  <c r="R111" i="19"/>
  <c r="AA110" i="19"/>
  <c r="Z110" i="19"/>
  <c r="Y110" i="19"/>
  <c r="X110" i="19"/>
  <c r="W110" i="19"/>
  <c r="V110" i="19"/>
  <c r="U110" i="19"/>
  <c r="T110" i="19"/>
  <c r="S110" i="19"/>
  <c r="R110" i="19"/>
  <c r="AA109" i="19"/>
  <c r="Z109" i="19"/>
  <c r="Y109" i="19"/>
  <c r="X109" i="19"/>
  <c r="W109" i="19"/>
  <c r="V109" i="19"/>
  <c r="U109" i="19"/>
  <c r="T109" i="19"/>
  <c r="S109" i="19"/>
  <c r="R109" i="19"/>
  <c r="AA108" i="19"/>
  <c r="Z108" i="19"/>
  <c r="Y108" i="19"/>
  <c r="X108" i="19"/>
  <c r="W108" i="19"/>
  <c r="V108" i="19"/>
  <c r="U108" i="19"/>
  <c r="T108" i="19"/>
  <c r="S108" i="19"/>
  <c r="R108" i="19"/>
  <c r="AA107" i="19"/>
  <c r="Z107" i="19"/>
  <c r="Y107" i="19"/>
  <c r="X107" i="19"/>
  <c r="W107" i="19"/>
  <c r="V107" i="19"/>
  <c r="U107" i="19"/>
  <c r="T107" i="19"/>
  <c r="S107" i="19"/>
  <c r="R107" i="19"/>
  <c r="AA106" i="19"/>
  <c r="Z106" i="19"/>
  <c r="Y106" i="19"/>
  <c r="X106" i="19"/>
  <c r="W106" i="19"/>
  <c r="V106" i="19"/>
  <c r="U106" i="19"/>
  <c r="T106" i="19"/>
  <c r="S106" i="19"/>
  <c r="R106" i="19"/>
  <c r="AA105" i="19"/>
  <c r="Z105" i="19"/>
  <c r="Y105" i="19"/>
  <c r="X105" i="19"/>
  <c r="W105" i="19"/>
  <c r="V105" i="19"/>
  <c r="U105" i="19"/>
  <c r="T105" i="19"/>
  <c r="S105" i="19"/>
  <c r="R105" i="19"/>
  <c r="AA104" i="19"/>
  <c r="Z104" i="19"/>
  <c r="Y104" i="19"/>
  <c r="X104" i="19"/>
  <c r="W104" i="19"/>
  <c r="V104" i="19"/>
  <c r="U104" i="19"/>
  <c r="T104" i="19"/>
  <c r="S104" i="19"/>
  <c r="R104" i="19"/>
  <c r="AA103" i="19"/>
  <c r="Z103" i="19"/>
  <c r="Y103" i="19"/>
  <c r="X103" i="19"/>
  <c r="W103" i="19"/>
  <c r="V103" i="19"/>
  <c r="U103" i="19"/>
  <c r="T103" i="19"/>
  <c r="S103" i="19"/>
  <c r="R103" i="19"/>
  <c r="AA102" i="19"/>
  <c r="Z102" i="19"/>
  <c r="Y102" i="19"/>
  <c r="X102" i="19"/>
  <c r="W102" i="19"/>
  <c r="V102" i="19"/>
  <c r="U102" i="19"/>
  <c r="T102" i="19"/>
  <c r="S102" i="19"/>
  <c r="R102" i="19"/>
  <c r="AA101" i="19"/>
  <c r="Z101" i="19"/>
  <c r="Y101" i="19"/>
  <c r="X101" i="19"/>
  <c r="W101" i="19"/>
  <c r="V101" i="19"/>
  <c r="U101" i="19"/>
  <c r="T101" i="19"/>
  <c r="S101" i="19"/>
  <c r="R101" i="19"/>
  <c r="AA100" i="19"/>
  <c r="Z100" i="19"/>
  <c r="Y100" i="19"/>
  <c r="X100" i="19"/>
  <c r="W100" i="19"/>
  <c r="V100" i="19"/>
  <c r="U100" i="19"/>
  <c r="T100" i="19"/>
  <c r="S100" i="19"/>
  <c r="R100" i="19"/>
  <c r="AA99" i="19"/>
  <c r="Z99" i="19"/>
  <c r="Y99" i="19"/>
  <c r="X99" i="19"/>
  <c r="W99" i="19"/>
  <c r="V99" i="19"/>
  <c r="U99" i="19"/>
  <c r="T99" i="19"/>
  <c r="S99" i="19"/>
  <c r="R99" i="19"/>
  <c r="AA98" i="19"/>
  <c r="Z98" i="19"/>
  <c r="Y98" i="19"/>
  <c r="X98" i="19"/>
  <c r="W98" i="19"/>
  <c r="V98" i="19"/>
  <c r="U98" i="19"/>
  <c r="T98" i="19"/>
  <c r="S98" i="19"/>
  <c r="R98" i="19"/>
  <c r="AA97" i="19"/>
  <c r="Z97" i="19"/>
  <c r="Y97" i="19"/>
  <c r="X97" i="19"/>
  <c r="W97" i="19"/>
  <c r="V97" i="19"/>
  <c r="U97" i="19"/>
  <c r="T97" i="19"/>
  <c r="S97" i="19"/>
  <c r="R97" i="19"/>
  <c r="AA96" i="19"/>
  <c r="Z96" i="19"/>
  <c r="Y96" i="19"/>
  <c r="X96" i="19"/>
  <c r="W96" i="19"/>
  <c r="V96" i="19"/>
  <c r="U96" i="19"/>
  <c r="T96" i="19"/>
  <c r="S96" i="19"/>
  <c r="R96" i="19"/>
  <c r="AA95" i="19"/>
  <c r="Z95" i="19"/>
  <c r="Y95" i="19"/>
  <c r="X95" i="19"/>
  <c r="W95" i="19"/>
  <c r="V95" i="19"/>
  <c r="U95" i="19"/>
  <c r="T95" i="19"/>
  <c r="S95" i="19"/>
  <c r="R95" i="19"/>
  <c r="AA94" i="19"/>
  <c r="Z94" i="19"/>
  <c r="Y94" i="19"/>
  <c r="X94" i="19"/>
  <c r="W94" i="19"/>
  <c r="V94" i="19"/>
  <c r="U94" i="19"/>
  <c r="T94" i="19"/>
  <c r="S94" i="19"/>
  <c r="R94" i="19"/>
  <c r="AA93" i="19"/>
  <c r="Z93" i="19"/>
  <c r="Y93" i="19"/>
  <c r="X93" i="19"/>
  <c r="W93" i="19"/>
  <c r="V93" i="19"/>
  <c r="U93" i="19"/>
  <c r="T93" i="19"/>
  <c r="S93" i="19"/>
  <c r="R93" i="19"/>
  <c r="AA92" i="19"/>
  <c r="Z92" i="19"/>
  <c r="Y92" i="19"/>
  <c r="X92" i="19"/>
  <c r="W92" i="19"/>
  <c r="V92" i="19"/>
  <c r="U92" i="19"/>
  <c r="T92" i="19"/>
  <c r="S92" i="19"/>
  <c r="R92" i="19"/>
  <c r="AA91" i="19"/>
  <c r="Z91" i="19"/>
  <c r="Y91" i="19"/>
  <c r="X91" i="19"/>
  <c r="W91" i="19"/>
  <c r="V91" i="19"/>
  <c r="U91" i="19"/>
  <c r="T91" i="19"/>
  <c r="S91" i="19"/>
  <c r="R91" i="19"/>
  <c r="AA90" i="19"/>
  <c r="Z90" i="19"/>
  <c r="Y90" i="19"/>
  <c r="X90" i="19"/>
  <c r="W90" i="19"/>
  <c r="V90" i="19"/>
  <c r="U90" i="19"/>
  <c r="T90" i="19"/>
  <c r="S90" i="19"/>
  <c r="R90" i="19"/>
  <c r="AA89" i="19"/>
  <c r="Z89" i="19"/>
  <c r="Y89" i="19"/>
  <c r="X89" i="19"/>
  <c r="W89" i="19"/>
  <c r="V89" i="19"/>
  <c r="U89" i="19"/>
  <c r="T89" i="19"/>
  <c r="S89" i="19"/>
  <c r="R89" i="19"/>
  <c r="AA88" i="19"/>
  <c r="Z88" i="19"/>
  <c r="Y88" i="19"/>
  <c r="X88" i="19"/>
  <c r="W88" i="19"/>
  <c r="V88" i="19"/>
  <c r="U88" i="19"/>
  <c r="T88" i="19"/>
  <c r="S88" i="19"/>
  <c r="R88" i="19"/>
  <c r="AA87" i="19"/>
  <c r="Z87" i="19"/>
  <c r="Y87" i="19"/>
  <c r="X87" i="19"/>
  <c r="W87" i="19"/>
  <c r="V87" i="19"/>
  <c r="U87" i="19"/>
  <c r="T87" i="19"/>
  <c r="S87" i="19"/>
  <c r="R87" i="19"/>
  <c r="AA86" i="19"/>
  <c r="Z86" i="19"/>
  <c r="Y86" i="19"/>
  <c r="X86" i="19"/>
  <c r="W86" i="19"/>
  <c r="V86" i="19"/>
  <c r="U86" i="19"/>
  <c r="T86" i="19"/>
  <c r="S86" i="19"/>
  <c r="R86" i="19"/>
  <c r="AA85" i="19"/>
  <c r="Z85" i="19"/>
  <c r="Y85" i="19"/>
  <c r="X85" i="19"/>
  <c r="W85" i="19"/>
  <c r="V85" i="19"/>
  <c r="U85" i="19"/>
  <c r="T85" i="19"/>
  <c r="S85" i="19"/>
  <c r="R85" i="19"/>
  <c r="AA84" i="19"/>
  <c r="Z84" i="19"/>
  <c r="Y84" i="19"/>
  <c r="X84" i="19"/>
  <c r="W84" i="19"/>
  <c r="V84" i="19"/>
  <c r="U84" i="19"/>
  <c r="T84" i="19"/>
  <c r="S84" i="19"/>
  <c r="R84" i="19"/>
  <c r="AA83" i="19"/>
  <c r="Z83" i="19"/>
  <c r="Y83" i="19"/>
  <c r="X83" i="19"/>
  <c r="W83" i="19"/>
  <c r="V83" i="19"/>
  <c r="U83" i="19"/>
  <c r="T83" i="19"/>
  <c r="S83" i="19"/>
  <c r="R83" i="19"/>
  <c r="AA82" i="19"/>
  <c r="Z82" i="19"/>
  <c r="Y82" i="19"/>
  <c r="X82" i="19"/>
  <c r="W82" i="19"/>
  <c r="V82" i="19"/>
  <c r="U82" i="19"/>
  <c r="T82" i="19"/>
  <c r="S82" i="19"/>
  <c r="R82" i="19"/>
  <c r="AA81" i="19"/>
  <c r="Z81" i="19"/>
  <c r="Y81" i="19"/>
  <c r="X81" i="19"/>
  <c r="W81" i="19"/>
  <c r="V81" i="19"/>
  <c r="U81" i="19"/>
  <c r="T81" i="19"/>
  <c r="S81" i="19"/>
  <c r="R81" i="19"/>
  <c r="AA80" i="19"/>
  <c r="Z80" i="19"/>
  <c r="Y80" i="19"/>
  <c r="X80" i="19"/>
  <c r="W80" i="19"/>
  <c r="V80" i="19"/>
  <c r="U80" i="19"/>
  <c r="T80" i="19"/>
  <c r="S80" i="19"/>
  <c r="R80" i="19"/>
  <c r="AA79" i="19"/>
  <c r="Z79" i="19"/>
  <c r="Y79" i="19"/>
  <c r="X79" i="19"/>
  <c r="W79" i="19"/>
  <c r="V79" i="19"/>
  <c r="U79" i="19"/>
  <c r="T79" i="19"/>
  <c r="S79" i="19"/>
  <c r="R79" i="19"/>
  <c r="AA78" i="19"/>
  <c r="Z78" i="19"/>
  <c r="Y78" i="19"/>
  <c r="X78" i="19"/>
  <c r="W78" i="19"/>
  <c r="V78" i="19"/>
  <c r="U78" i="19"/>
  <c r="T78" i="19"/>
  <c r="S78" i="19"/>
  <c r="R78" i="19"/>
  <c r="AA77" i="19"/>
  <c r="Z77" i="19"/>
  <c r="Y77" i="19"/>
  <c r="X77" i="19"/>
  <c r="W77" i="19"/>
  <c r="V77" i="19"/>
  <c r="U77" i="19"/>
  <c r="T77" i="19"/>
  <c r="S77" i="19"/>
  <c r="R77" i="19"/>
  <c r="AA76" i="19"/>
  <c r="Z76" i="19"/>
  <c r="Y76" i="19"/>
  <c r="X76" i="19"/>
  <c r="W76" i="19"/>
  <c r="V76" i="19"/>
  <c r="U76" i="19"/>
  <c r="T76" i="19"/>
  <c r="S76" i="19"/>
  <c r="R76" i="19"/>
  <c r="AA75" i="19"/>
  <c r="Z75" i="19"/>
  <c r="Y75" i="19"/>
  <c r="X75" i="19"/>
  <c r="W75" i="19"/>
  <c r="V75" i="19"/>
  <c r="U75" i="19"/>
  <c r="T75" i="19"/>
  <c r="S75" i="19"/>
  <c r="R75" i="19"/>
  <c r="AA74" i="19"/>
  <c r="Z74" i="19"/>
  <c r="Y74" i="19"/>
  <c r="X74" i="19"/>
  <c r="W74" i="19"/>
  <c r="V74" i="19"/>
  <c r="U74" i="19"/>
  <c r="T74" i="19"/>
  <c r="S74" i="19"/>
  <c r="R74" i="19"/>
  <c r="AA73" i="19"/>
  <c r="Z73" i="19"/>
  <c r="Y73" i="19"/>
  <c r="X73" i="19"/>
  <c r="W73" i="19"/>
  <c r="V73" i="19"/>
  <c r="U73" i="19"/>
  <c r="T73" i="19"/>
  <c r="S73" i="19"/>
  <c r="R73" i="19"/>
  <c r="AA72" i="19"/>
  <c r="Z72" i="19"/>
  <c r="Y72" i="19"/>
  <c r="X72" i="19"/>
  <c r="W72" i="19"/>
  <c r="V72" i="19"/>
  <c r="U72" i="19"/>
  <c r="T72" i="19"/>
  <c r="S72" i="19"/>
  <c r="R72" i="19"/>
  <c r="AA71" i="19"/>
  <c r="Z71" i="19"/>
  <c r="Y71" i="19"/>
  <c r="X71" i="19"/>
  <c r="W71" i="19"/>
  <c r="V71" i="19"/>
  <c r="U71" i="19"/>
  <c r="T71" i="19"/>
  <c r="S71" i="19"/>
  <c r="R71" i="19"/>
  <c r="AA70" i="19"/>
  <c r="Z70" i="19"/>
  <c r="Y70" i="19"/>
  <c r="X70" i="19"/>
  <c r="W70" i="19"/>
  <c r="V70" i="19"/>
  <c r="U70" i="19"/>
  <c r="T70" i="19"/>
  <c r="S70" i="19"/>
  <c r="R70" i="19"/>
  <c r="AA69" i="19"/>
  <c r="Z69" i="19"/>
  <c r="Y69" i="19"/>
  <c r="X69" i="19"/>
  <c r="W69" i="19"/>
  <c r="V69" i="19"/>
  <c r="U69" i="19"/>
  <c r="T69" i="19"/>
  <c r="S69" i="19"/>
  <c r="R69" i="19"/>
  <c r="AA68" i="19"/>
  <c r="Z68" i="19"/>
  <c r="Y68" i="19"/>
  <c r="X68" i="19"/>
  <c r="W68" i="19"/>
  <c r="V68" i="19"/>
  <c r="U68" i="19"/>
  <c r="T68" i="19"/>
  <c r="S68" i="19"/>
  <c r="R68" i="19"/>
  <c r="AA67" i="19"/>
  <c r="Z67" i="19"/>
  <c r="Y67" i="19"/>
  <c r="X67" i="19"/>
  <c r="W67" i="19"/>
  <c r="V67" i="19"/>
  <c r="U67" i="19"/>
  <c r="T67" i="19"/>
  <c r="S67" i="19"/>
  <c r="R67" i="19"/>
  <c r="AA66" i="19"/>
  <c r="Z66" i="19"/>
  <c r="Y66" i="19"/>
  <c r="X66" i="19"/>
  <c r="W66" i="19"/>
  <c r="V66" i="19"/>
  <c r="U66" i="19"/>
  <c r="T66" i="19"/>
  <c r="S66" i="19"/>
  <c r="R66" i="19"/>
  <c r="AA65" i="19"/>
  <c r="Z65" i="19"/>
  <c r="Y65" i="19"/>
  <c r="X65" i="19"/>
  <c r="W65" i="19"/>
  <c r="V65" i="19"/>
  <c r="U65" i="19"/>
  <c r="T65" i="19"/>
  <c r="S65" i="19"/>
  <c r="R65" i="19"/>
  <c r="AA64" i="19"/>
  <c r="Z64" i="19"/>
  <c r="Y64" i="19"/>
  <c r="X64" i="19"/>
  <c r="W64" i="19"/>
  <c r="V64" i="19"/>
  <c r="U64" i="19"/>
  <c r="T64" i="19"/>
  <c r="S64" i="19"/>
  <c r="R64" i="19"/>
  <c r="AA63" i="19"/>
  <c r="Z63" i="19"/>
  <c r="Y63" i="19"/>
  <c r="X63" i="19"/>
  <c r="W63" i="19"/>
  <c r="V63" i="19"/>
  <c r="U63" i="19"/>
  <c r="T63" i="19"/>
  <c r="S63" i="19"/>
  <c r="R63" i="19"/>
  <c r="AA62" i="19"/>
  <c r="Z62" i="19"/>
  <c r="Y62" i="19"/>
  <c r="X62" i="19"/>
  <c r="W62" i="19"/>
  <c r="V62" i="19"/>
  <c r="U62" i="19"/>
  <c r="T62" i="19"/>
  <c r="S62" i="19"/>
  <c r="R62" i="19"/>
  <c r="AA61" i="19"/>
  <c r="Z61" i="19"/>
  <c r="Y61" i="19"/>
  <c r="X61" i="19"/>
  <c r="W61" i="19"/>
  <c r="V61" i="19"/>
  <c r="U61" i="19"/>
  <c r="T61" i="19"/>
  <c r="S61" i="19"/>
  <c r="R61" i="19"/>
  <c r="AA60" i="19"/>
  <c r="Z60" i="19"/>
  <c r="Y60" i="19"/>
  <c r="X60" i="19"/>
  <c r="W60" i="19"/>
  <c r="V60" i="19"/>
  <c r="U60" i="19"/>
  <c r="T60" i="19"/>
  <c r="S60" i="19"/>
  <c r="R60" i="19"/>
  <c r="AA59" i="19"/>
  <c r="Z59" i="19"/>
  <c r="Y59" i="19"/>
  <c r="X59" i="19"/>
  <c r="W59" i="19"/>
  <c r="V59" i="19"/>
  <c r="U59" i="19"/>
  <c r="T59" i="19"/>
  <c r="S59" i="19"/>
  <c r="R59" i="19"/>
  <c r="AA58" i="19"/>
  <c r="Z58" i="19"/>
  <c r="Y58" i="19"/>
  <c r="X58" i="19"/>
  <c r="W58" i="19"/>
  <c r="V58" i="19"/>
  <c r="U58" i="19"/>
  <c r="T58" i="19"/>
  <c r="S58" i="19"/>
  <c r="R58" i="19"/>
  <c r="AA57" i="19"/>
  <c r="Z57" i="19"/>
  <c r="Y57" i="19"/>
  <c r="X57" i="19"/>
  <c r="W57" i="19"/>
  <c r="V57" i="19"/>
  <c r="U57" i="19"/>
  <c r="T57" i="19"/>
  <c r="S57" i="19"/>
  <c r="R57" i="19"/>
  <c r="AA56" i="19"/>
  <c r="Z56" i="19"/>
  <c r="Y56" i="19"/>
  <c r="X56" i="19"/>
  <c r="W56" i="19"/>
  <c r="V56" i="19"/>
  <c r="U56" i="19"/>
  <c r="T56" i="19"/>
  <c r="S56" i="19"/>
  <c r="R56" i="19"/>
  <c r="AA55" i="19"/>
  <c r="Z55" i="19"/>
  <c r="Y55" i="19"/>
  <c r="X55" i="19"/>
  <c r="W55" i="19"/>
  <c r="V55" i="19"/>
  <c r="U55" i="19"/>
  <c r="T55" i="19"/>
  <c r="S55" i="19"/>
  <c r="R55" i="19"/>
  <c r="AA54" i="19"/>
  <c r="Z54" i="19"/>
  <c r="Y54" i="19"/>
  <c r="X54" i="19"/>
  <c r="W54" i="19"/>
  <c r="V54" i="19"/>
  <c r="U54" i="19"/>
  <c r="T54" i="19"/>
  <c r="S54" i="19"/>
  <c r="R54" i="19"/>
  <c r="AA53" i="19"/>
  <c r="Z53" i="19"/>
  <c r="Y53" i="19"/>
  <c r="X53" i="19"/>
  <c r="W53" i="19"/>
  <c r="V53" i="19"/>
  <c r="U53" i="19"/>
  <c r="T53" i="19"/>
  <c r="S53" i="19"/>
  <c r="R53" i="19"/>
  <c r="AA52" i="19"/>
  <c r="Z52" i="19"/>
  <c r="Y52" i="19"/>
  <c r="X52" i="19"/>
  <c r="W52" i="19"/>
  <c r="V52" i="19"/>
  <c r="U52" i="19"/>
  <c r="T52" i="19"/>
  <c r="S52" i="19"/>
  <c r="R52" i="19"/>
  <c r="AA51" i="19"/>
  <c r="Z51" i="19"/>
  <c r="Y51" i="19"/>
  <c r="X51" i="19"/>
  <c r="W51" i="19"/>
  <c r="V51" i="19"/>
  <c r="U51" i="19"/>
  <c r="T51" i="19"/>
  <c r="S51" i="19"/>
  <c r="R51" i="19"/>
  <c r="AA50" i="19"/>
  <c r="Z50" i="19"/>
  <c r="Y50" i="19"/>
  <c r="X50" i="19"/>
  <c r="W50" i="19"/>
  <c r="V50" i="19"/>
  <c r="U50" i="19"/>
  <c r="T50" i="19"/>
  <c r="S50" i="19"/>
  <c r="R50" i="19"/>
  <c r="AA49" i="19"/>
  <c r="Z49" i="19"/>
  <c r="Y49" i="19"/>
  <c r="X49" i="19"/>
  <c r="W49" i="19"/>
  <c r="V49" i="19"/>
  <c r="U49" i="19"/>
  <c r="T49" i="19"/>
  <c r="S49" i="19"/>
  <c r="R49" i="19"/>
  <c r="AA48" i="19"/>
  <c r="Z48" i="19"/>
  <c r="Y48" i="19"/>
  <c r="X48" i="19"/>
  <c r="W48" i="19"/>
  <c r="V48" i="19"/>
  <c r="U48" i="19"/>
  <c r="T48" i="19"/>
  <c r="S48" i="19"/>
  <c r="R48" i="19"/>
  <c r="AA47" i="19"/>
  <c r="Z47" i="19"/>
  <c r="Y47" i="19"/>
  <c r="X47" i="19"/>
  <c r="W47" i="19"/>
  <c r="V47" i="19"/>
  <c r="U47" i="19"/>
  <c r="T47" i="19"/>
  <c r="S47" i="19"/>
  <c r="R47" i="19"/>
  <c r="AA46" i="19"/>
  <c r="Z46" i="19"/>
  <c r="Y46" i="19"/>
  <c r="X46" i="19"/>
  <c r="W46" i="19"/>
  <c r="V46" i="19"/>
  <c r="U46" i="19"/>
  <c r="T46" i="19"/>
  <c r="S46" i="19"/>
  <c r="R46" i="19"/>
  <c r="AA45" i="19"/>
  <c r="Z45" i="19"/>
  <c r="Y45" i="19"/>
  <c r="X45" i="19"/>
  <c r="W45" i="19"/>
  <c r="V45" i="19"/>
  <c r="U45" i="19"/>
  <c r="T45" i="19"/>
  <c r="S45" i="19"/>
  <c r="R45" i="19"/>
  <c r="AA44" i="19"/>
  <c r="Z44" i="19"/>
  <c r="Y44" i="19"/>
  <c r="X44" i="19"/>
  <c r="W44" i="19"/>
  <c r="V44" i="19"/>
  <c r="U44" i="19"/>
  <c r="T44" i="19"/>
  <c r="S44" i="19"/>
  <c r="R44" i="19"/>
  <c r="AA43" i="19"/>
  <c r="Z43" i="19"/>
  <c r="Y43" i="19"/>
  <c r="X43" i="19"/>
  <c r="W43" i="19"/>
  <c r="V43" i="19"/>
  <c r="U43" i="19"/>
  <c r="T43" i="19"/>
  <c r="S43" i="19"/>
  <c r="R43" i="19"/>
  <c r="AA42" i="19"/>
  <c r="Z42" i="19"/>
  <c r="Y42" i="19"/>
  <c r="X42" i="19"/>
  <c r="W42" i="19"/>
  <c r="V42" i="19"/>
  <c r="U42" i="19"/>
  <c r="T42" i="19"/>
  <c r="S42" i="19"/>
  <c r="R42" i="19"/>
  <c r="AA41" i="19"/>
  <c r="Z41" i="19"/>
  <c r="Y41" i="19"/>
  <c r="X41" i="19"/>
  <c r="W41" i="19"/>
  <c r="V41" i="19"/>
  <c r="U41" i="19"/>
  <c r="T41" i="19"/>
  <c r="S41" i="19"/>
  <c r="R41" i="19"/>
  <c r="AA40" i="19"/>
  <c r="Z40" i="19"/>
  <c r="Y40" i="19"/>
  <c r="X40" i="19"/>
  <c r="W40" i="19"/>
  <c r="V40" i="19"/>
  <c r="U40" i="19"/>
  <c r="T40" i="19"/>
  <c r="S40" i="19"/>
  <c r="R40" i="19"/>
  <c r="AA39" i="19"/>
  <c r="Z39" i="19"/>
  <c r="Y39" i="19"/>
  <c r="X39" i="19"/>
  <c r="W39" i="19"/>
  <c r="V39" i="19"/>
  <c r="U39" i="19"/>
  <c r="T39" i="19"/>
  <c r="S39" i="19"/>
  <c r="R39" i="19"/>
  <c r="AA38" i="19"/>
  <c r="Z38" i="19"/>
  <c r="Y38" i="19"/>
  <c r="X38" i="19"/>
  <c r="W38" i="19"/>
  <c r="V38" i="19"/>
  <c r="U38" i="19"/>
  <c r="T38" i="19"/>
  <c r="S38" i="19"/>
  <c r="R38" i="19"/>
  <c r="AA37" i="19"/>
  <c r="Z37" i="19"/>
  <c r="Y37" i="19"/>
  <c r="X37" i="19"/>
  <c r="W37" i="19"/>
  <c r="V37" i="19"/>
  <c r="U37" i="19"/>
  <c r="T37" i="19"/>
  <c r="S37" i="19"/>
  <c r="R37" i="19"/>
  <c r="AA36" i="19"/>
  <c r="Z36" i="19"/>
  <c r="Y36" i="19"/>
  <c r="X36" i="19"/>
  <c r="W36" i="19"/>
  <c r="V36" i="19"/>
  <c r="U36" i="19"/>
  <c r="T36" i="19"/>
  <c r="S36" i="19"/>
  <c r="R36" i="19"/>
  <c r="AA35" i="19"/>
  <c r="Z35" i="19"/>
  <c r="Y35" i="19"/>
  <c r="X35" i="19"/>
  <c r="W35" i="19"/>
  <c r="V35" i="19"/>
  <c r="U35" i="19"/>
  <c r="T35" i="19"/>
  <c r="S35" i="19"/>
  <c r="R35" i="19"/>
  <c r="AA34" i="19"/>
  <c r="Z34" i="19"/>
  <c r="Y34" i="19"/>
  <c r="X34" i="19"/>
  <c r="W34" i="19"/>
  <c r="V34" i="19"/>
  <c r="U34" i="19"/>
  <c r="T34" i="19"/>
  <c r="S34" i="19"/>
  <c r="R34" i="19"/>
  <c r="AA33" i="19"/>
  <c r="Z33" i="19"/>
  <c r="Y33" i="19"/>
  <c r="X33" i="19"/>
  <c r="W33" i="19"/>
  <c r="V33" i="19"/>
  <c r="U33" i="19"/>
  <c r="T33" i="19"/>
  <c r="S33" i="19"/>
  <c r="R33" i="19"/>
  <c r="AA32" i="19"/>
  <c r="Z32" i="19"/>
  <c r="Y32" i="19"/>
  <c r="X32" i="19"/>
  <c r="W32" i="19"/>
  <c r="V32" i="19"/>
  <c r="U32" i="19"/>
  <c r="T32" i="19"/>
  <c r="S32" i="19"/>
  <c r="R32" i="19"/>
  <c r="AA31" i="19"/>
  <c r="Z31" i="19"/>
  <c r="Y31" i="19"/>
  <c r="X31" i="19"/>
  <c r="W31" i="19"/>
  <c r="V31" i="19"/>
  <c r="U31" i="19"/>
  <c r="T31" i="19"/>
  <c r="S31" i="19"/>
  <c r="R31" i="19"/>
  <c r="AA30" i="19"/>
  <c r="Z30" i="19"/>
  <c r="Y30" i="19"/>
  <c r="X30" i="19"/>
  <c r="W30" i="19"/>
  <c r="V30" i="19"/>
  <c r="U30" i="19"/>
  <c r="T30" i="19"/>
  <c r="S30" i="19"/>
  <c r="R30" i="19"/>
  <c r="AA29" i="19"/>
  <c r="Z29" i="19"/>
  <c r="Y29" i="19"/>
  <c r="X29" i="19"/>
  <c r="W29" i="19"/>
  <c r="V29" i="19"/>
  <c r="U29" i="19"/>
  <c r="T29" i="19"/>
  <c r="S29" i="19"/>
  <c r="R29" i="19"/>
  <c r="AA28" i="19"/>
  <c r="Z28" i="19"/>
  <c r="Y28" i="19"/>
  <c r="X28" i="19"/>
  <c r="W28" i="19"/>
  <c r="V28" i="19"/>
  <c r="U28" i="19"/>
  <c r="T28" i="19"/>
  <c r="S28" i="19"/>
  <c r="R28" i="19"/>
  <c r="AA27" i="19"/>
  <c r="Z27" i="19"/>
  <c r="Y27" i="19"/>
  <c r="X27" i="19"/>
  <c r="W27" i="19"/>
  <c r="V27" i="19"/>
  <c r="U27" i="19"/>
  <c r="T27" i="19"/>
  <c r="S27" i="19"/>
  <c r="R27" i="19"/>
  <c r="AA26" i="19"/>
  <c r="Z26" i="19"/>
  <c r="Y26" i="19"/>
  <c r="X26" i="19"/>
  <c r="W26" i="19"/>
  <c r="V26" i="19"/>
  <c r="U26" i="19"/>
  <c r="T26" i="19"/>
  <c r="S26" i="19"/>
  <c r="R26" i="19"/>
  <c r="Q24" i="19"/>
  <c r="P24" i="19"/>
  <c r="O24" i="19"/>
  <c r="N24" i="19"/>
  <c r="M24" i="19"/>
  <c r="L24" i="19"/>
  <c r="K24" i="19"/>
  <c r="J24" i="19"/>
  <c r="I24" i="19"/>
  <c r="H24" i="19"/>
  <c r="G24" i="19"/>
  <c r="E24" i="19"/>
  <c r="Q23" i="19"/>
  <c r="P23" i="19"/>
  <c r="O23" i="19"/>
  <c r="N23" i="19"/>
  <c r="M23" i="19"/>
  <c r="L23" i="19"/>
  <c r="K23" i="19"/>
  <c r="J23" i="19"/>
  <c r="I23" i="19"/>
  <c r="H23" i="19"/>
  <c r="G23" i="19"/>
  <c r="E23" i="19"/>
  <c r="Q22" i="19"/>
  <c r="P22" i="19"/>
  <c r="O22" i="19"/>
  <c r="N22" i="19"/>
  <c r="M22" i="19"/>
  <c r="L22" i="19"/>
  <c r="K22" i="19"/>
  <c r="J22" i="19"/>
  <c r="I22" i="19"/>
  <c r="H22" i="19"/>
  <c r="G22" i="19"/>
  <c r="E22" i="19"/>
  <c r="Q21" i="19"/>
  <c r="P21" i="19"/>
  <c r="O21" i="19"/>
  <c r="N21" i="19"/>
  <c r="M21" i="19"/>
  <c r="L21" i="19"/>
  <c r="K21" i="19"/>
  <c r="J21" i="19"/>
  <c r="I21" i="19"/>
  <c r="H21" i="19"/>
  <c r="G21" i="19"/>
  <c r="E21" i="19"/>
  <c r="Q20" i="19"/>
  <c r="P20" i="19"/>
  <c r="O20" i="19"/>
  <c r="N20" i="19"/>
  <c r="M20" i="19"/>
  <c r="L20" i="19"/>
  <c r="K20" i="19"/>
  <c r="J20" i="19"/>
  <c r="I20" i="19"/>
  <c r="H20" i="19"/>
  <c r="G20" i="19"/>
  <c r="E20" i="19"/>
  <c r="Q19" i="19"/>
  <c r="P19" i="19"/>
  <c r="O19" i="19"/>
  <c r="N19" i="19"/>
  <c r="M19" i="19"/>
  <c r="L19" i="19"/>
  <c r="K19" i="19"/>
  <c r="J19" i="19"/>
  <c r="I19" i="19"/>
  <c r="H19" i="19"/>
  <c r="G19" i="19"/>
  <c r="E19" i="19"/>
  <c r="Q18" i="19"/>
  <c r="P18" i="19"/>
  <c r="O18" i="19"/>
  <c r="N18" i="19"/>
  <c r="M18" i="19"/>
  <c r="L18" i="19"/>
  <c r="K18" i="19"/>
  <c r="J18" i="19"/>
  <c r="I18" i="19"/>
  <c r="H18" i="19"/>
  <c r="G18" i="19"/>
  <c r="E18" i="19"/>
  <c r="Q17" i="19"/>
  <c r="P17" i="19"/>
  <c r="O17" i="19"/>
  <c r="N17" i="19"/>
  <c r="M17" i="19"/>
  <c r="L17" i="19"/>
  <c r="K17" i="19"/>
  <c r="J17" i="19"/>
  <c r="I17" i="19"/>
  <c r="H17" i="19"/>
  <c r="G17" i="19"/>
  <c r="M16" i="19"/>
  <c r="L16" i="19"/>
  <c r="K16" i="19"/>
  <c r="J16" i="19"/>
  <c r="I16" i="19"/>
  <c r="H16" i="19"/>
  <c r="G16" i="19"/>
  <c r="E16" i="19"/>
  <c r="M15" i="19"/>
  <c r="L15" i="19"/>
  <c r="K15" i="19"/>
  <c r="J15" i="19"/>
  <c r="I15" i="19"/>
  <c r="H15" i="19"/>
  <c r="G15" i="19"/>
  <c r="E15" i="19"/>
  <c r="M14" i="19"/>
  <c r="L14" i="19"/>
  <c r="K14" i="19"/>
  <c r="J14" i="19"/>
  <c r="I14" i="19"/>
  <c r="H14" i="19"/>
  <c r="G14" i="19"/>
  <c r="E14" i="19"/>
  <c r="M13" i="19"/>
  <c r="L13" i="19"/>
  <c r="K13" i="19"/>
  <c r="J13" i="19"/>
  <c r="I13" i="19"/>
  <c r="H13" i="19"/>
  <c r="G13" i="19"/>
  <c r="E13" i="19"/>
  <c r="M12" i="19"/>
  <c r="L12" i="19"/>
  <c r="K12" i="19"/>
  <c r="J12" i="19"/>
  <c r="I12" i="19"/>
  <c r="H12" i="19"/>
  <c r="G12" i="19"/>
  <c r="E12" i="19"/>
  <c r="M11" i="19"/>
  <c r="L11" i="19"/>
  <c r="K11" i="19"/>
  <c r="J11" i="19"/>
  <c r="I11" i="19"/>
  <c r="H11" i="19"/>
  <c r="G11" i="19"/>
  <c r="E11" i="19"/>
  <c r="M10" i="19"/>
  <c r="L10" i="19"/>
  <c r="K10" i="19"/>
  <c r="J10" i="19"/>
  <c r="I10" i="19"/>
  <c r="H10" i="19"/>
  <c r="G10" i="19"/>
  <c r="E10" i="19"/>
  <c r="M9" i="19"/>
  <c r="L9" i="19"/>
  <c r="K9" i="19"/>
  <c r="J9" i="19"/>
  <c r="I9" i="19"/>
  <c r="H9" i="19"/>
  <c r="G9" i="19"/>
  <c r="Q8" i="19"/>
  <c r="P8" i="19"/>
  <c r="O8" i="19"/>
  <c r="N8" i="19"/>
  <c r="M8" i="19"/>
  <c r="L8" i="19"/>
  <c r="K8" i="19"/>
  <c r="J8" i="19"/>
  <c r="I8" i="19"/>
  <c r="H8" i="19"/>
  <c r="G8" i="19"/>
  <c r="F8" i="19"/>
  <c r="E8" i="19"/>
  <c r="Q7" i="19"/>
  <c r="P7" i="19"/>
  <c r="O7" i="19"/>
  <c r="N7" i="19"/>
  <c r="M7" i="19"/>
  <c r="L7" i="19"/>
  <c r="K7" i="19"/>
  <c r="J7" i="19"/>
  <c r="I7" i="19"/>
  <c r="H7" i="19"/>
  <c r="G7" i="19"/>
  <c r="F7" i="19"/>
  <c r="E7" i="19"/>
  <c r="Q6" i="19"/>
  <c r="P6" i="19"/>
  <c r="O6" i="19"/>
  <c r="N6" i="19"/>
  <c r="M6" i="19"/>
  <c r="L6" i="19"/>
  <c r="K6" i="19"/>
  <c r="J6" i="19"/>
  <c r="I6" i="19"/>
  <c r="H6" i="19"/>
  <c r="G6" i="19"/>
  <c r="F6" i="19"/>
  <c r="E6" i="19"/>
  <c r="Q5" i="19"/>
  <c r="P5" i="19"/>
  <c r="O5" i="19"/>
  <c r="N5" i="19"/>
  <c r="M5" i="19"/>
  <c r="L5" i="19"/>
  <c r="K5" i="19"/>
  <c r="J5" i="19"/>
  <c r="I5" i="19"/>
  <c r="H5" i="19"/>
  <c r="G5" i="19"/>
  <c r="F5" i="19"/>
  <c r="E5" i="19"/>
  <c r="Q4" i="19"/>
  <c r="P4" i="19"/>
  <c r="O4" i="19"/>
  <c r="N4" i="19"/>
  <c r="M4" i="19"/>
  <c r="L4" i="19"/>
  <c r="K4" i="19"/>
  <c r="J4" i="19"/>
  <c r="I4" i="19"/>
  <c r="H4" i="19"/>
  <c r="G4" i="19"/>
  <c r="F4" i="19"/>
  <c r="E4" i="19"/>
  <c r="Q3" i="19"/>
  <c r="P3" i="19"/>
  <c r="O3" i="19"/>
  <c r="N3" i="19"/>
  <c r="M3" i="19"/>
  <c r="L3" i="19"/>
  <c r="K3" i="19"/>
  <c r="J3" i="19"/>
  <c r="I3" i="19"/>
  <c r="H3" i="19"/>
  <c r="G3" i="19"/>
  <c r="F3" i="19"/>
  <c r="E3" i="19"/>
  <c r="Q2" i="19"/>
  <c r="P2" i="19"/>
  <c r="O2" i="19"/>
  <c r="N2" i="19"/>
  <c r="M2" i="19"/>
  <c r="L2" i="19"/>
  <c r="K2" i="19"/>
  <c r="J2" i="19"/>
  <c r="I2" i="19"/>
  <c r="H2" i="19"/>
  <c r="G2" i="19"/>
  <c r="F2" i="19"/>
  <c r="E2" i="19"/>
  <c r="Q1" i="19"/>
  <c r="P1" i="19"/>
  <c r="O1" i="19"/>
  <c r="N1" i="19"/>
  <c r="M1" i="19"/>
  <c r="L1" i="19"/>
  <c r="K1" i="19"/>
  <c r="J1" i="19"/>
  <c r="I1" i="19"/>
  <c r="H1" i="19"/>
  <c r="G1" i="19"/>
  <c r="F1" i="19"/>
  <c r="L1" i="11"/>
  <c r="Q17" i="11"/>
  <c r="E4" i="1"/>
  <c r="E3" i="1"/>
  <c r="E2" i="1"/>
  <c r="P17" i="11"/>
  <c r="O17" i="11"/>
  <c r="N17" i="11"/>
  <c r="M17" i="11"/>
  <c r="L17" i="11"/>
  <c r="K17" i="11"/>
  <c r="J17" i="11"/>
  <c r="I17" i="11"/>
  <c r="H17" i="11"/>
  <c r="G17" i="11"/>
  <c r="H9" i="11"/>
  <c r="I9" i="11"/>
  <c r="J9" i="11"/>
  <c r="K9" i="11"/>
  <c r="L9" i="11"/>
  <c r="M9" i="11"/>
  <c r="H10" i="11"/>
  <c r="I10" i="11"/>
  <c r="J10" i="11"/>
  <c r="K10" i="11"/>
  <c r="L10" i="11"/>
  <c r="M10" i="11"/>
  <c r="H11" i="11"/>
  <c r="I11" i="11"/>
  <c r="J11" i="11"/>
  <c r="K11" i="11"/>
  <c r="L11" i="11"/>
  <c r="M11" i="11"/>
  <c r="H12" i="11"/>
  <c r="I12" i="11"/>
  <c r="J12" i="11"/>
  <c r="K12" i="11"/>
  <c r="L12" i="11"/>
  <c r="M12" i="11"/>
  <c r="H13" i="11"/>
  <c r="I13" i="11"/>
  <c r="J13" i="11"/>
  <c r="K13" i="11"/>
  <c r="L13" i="11"/>
  <c r="M13" i="11"/>
  <c r="H14" i="11"/>
  <c r="I14" i="11"/>
  <c r="J14" i="11"/>
  <c r="K14" i="11"/>
  <c r="L14" i="11"/>
  <c r="M14" i="11"/>
  <c r="H15" i="11"/>
  <c r="I15" i="11"/>
  <c r="J15" i="11"/>
  <c r="K15" i="11"/>
  <c r="L15" i="11"/>
  <c r="M15" i="11"/>
  <c r="H16" i="11"/>
  <c r="I16" i="11"/>
  <c r="J16" i="11"/>
  <c r="K16" i="11"/>
  <c r="L16" i="11"/>
  <c r="M16" i="11"/>
  <c r="G10" i="11"/>
  <c r="G11" i="11"/>
  <c r="G12" i="11"/>
  <c r="G13" i="11"/>
  <c r="G14" i="11"/>
  <c r="G15" i="11"/>
  <c r="G16" i="11"/>
  <c r="G9" i="11"/>
  <c r="E19" i="11"/>
  <c r="E20" i="11"/>
  <c r="E21" i="11"/>
  <c r="E22" i="11"/>
  <c r="E23" i="11"/>
  <c r="E24" i="11"/>
  <c r="E18" i="11"/>
  <c r="E16" i="11"/>
  <c r="E11" i="11"/>
  <c r="E12" i="11"/>
  <c r="E13" i="11"/>
  <c r="E14" i="11"/>
  <c r="E15" i="11"/>
  <c r="E10" i="11"/>
  <c r="E3" i="11"/>
  <c r="E4" i="11"/>
  <c r="E5" i="11"/>
  <c r="E6" i="11"/>
  <c r="E7" i="11"/>
  <c r="E8" i="11"/>
  <c r="E2" i="11"/>
  <c r="M1" i="11"/>
  <c r="N1" i="11"/>
  <c r="P1" i="11"/>
  <c r="Q1" i="11"/>
  <c r="K1" i="11"/>
  <c r="H1" i="11"/>
  <c r="I1" i="11"/>
  <c r="J1" i="11"/>
  <c r="F23" i="19"/>
  <c r="L1" i="3"/>
  <c r="K1" i="3"/>
  <c r="J1" i="3"/>
  <c r="I1" i="3"/>
  <c r="E1" i="1"/>
  <c r="AT7" i="10"/>
  <c r="AY7" i="10" s="1"/>
  <c r="E40" i="5" l="1"/>
  <c r="E12" i="5"/>
  <c r="E3" i="4" s="1"/>
  <c r="AM27" i="4"/>
  <c r="E25" i="5"/>
  <c r="E14" i="4" s="1"/>
  <c r="E20" i="5"/>
  <c r="E9" i="4" s="1"/>
  <c r="AQ34" i="4"/>
  <c r="AK11" i="1"/>
  <c r="AI11" i="1"/>
  <c r="AL34" i="4"/>
  <c r="AS99" i="4"/>
  <c r="AS69" i="4"/>
  <c r="AK34" i="4"/>
  <c r="AS35" i="4"/>
  <c r="AS58" i="4"/>
  <c r="AS52" i="4"/>
  <c r="AS49" i="4"/>
  <c r="AS114" i="4"/>
  <c r="AR50" i="4"/>
  <c r="AP34" i="4"/>
  <c r="AS65" i="4"/>
  <c r="AR64" i="4"/>
  <c r="AR56" i="4"/>
  <c r="AR115" i="4"/>
  <c r="AB539" i="19"/>
  <c r="AF27" i="4"/>
  <c r="AF30" i="4" s="1"/>
  <c r="AB173" i="19"/>
  <c r="AB376" i="19"/>
  <c r="AC482" i="19"/>
  <c r="AC39" i="19"/>
  <c r="AC114" i="19"/>
  <c r="AB141" i="19"/>
  <c r="AC162" i="19"/>
  <c r="AB237" i="19"/>
  <c r="AB270" i="19"/>
  <c r="AB288" i="19"/>
  <c r="AB312" i="19"/>
  <c r="AC354" i="19"/>
  <c r="AB429" i="19"/>
  <c r="AB462" i="19"/>
  <c r="AB480" i="19"/>
  <c r="AB504" i="19"/>
  <c r="AC89" i="19"/>
  <c r="AB101" i="19"/>
  <c r="AB206" i="19"/>
  <c r="AB224" i="19"/>
  <c r="AB248" i="19"/>
  <c r="AC290" i="19"/>
  <c r="AB365" i="19"/>
  <c r="AB398" i="19"/>
  <c r="AB416" i="19"/>
  <c r="AB440" i="19"/>
  <c r="AB64" i="19"/>
  <c r="AB184" i="19"/>
  <c r="AC226" i="19"/>
  <c r="AB301" i="19"/>
  <c r="AB334" i="19"/>
  <c r="AB352" i="19"/>
  <c r="AC418" i="19"/>
  <c r="AB493" i="19"/>
  <c r="AB526" i="19"/>
  <c r="AC158" i="19"/>
  <c r="AC182" i="19"/>
  <c r="AC206" i="19"/>
  <c r="AC230" i="19"/>
  <c r="AC254" i="19"/>
  <c r="AC278" i="19"/>
  <c r="AC302" i="19"/>
  <c r="AC326" i="19"/>
  <c r="AC350" i="19"/>
  <c r="AC374" i="19"/>
  <c r="AC398" i="19"/>
  <c r="AC422" i="19"/>
  <c r="AC446" i="19"/>
  <c r="AC470" i="19"/>
  <c r="AC494" i="19"/>
  <c r="AC518" i="19"/>
  <c r="AC166" i="19"/>
  <c r="AC190" i="19"/>
  <c r="AC214" i="19"/>
  <c r="AC238" i="19"/>
  <c r="AC262" i="19"/>
  <c r="AC286" i="19"/>
  <c r="AC310" i="19"/>
  <c r="AC334" i="19"/>
  <c r="AC358" i="19"/>
  <c r="AC382" i="19"/>
  <c r="AC406" i="19"/>
  <c r="AC430" i="19"/>
  <c r="AC454" i="19"/>
  <c r="AC478" i="19"/>
  <c r="AC502" i="19"/>
  <c r="AC526" i="19"/>
  <c r="AC150" i="19"/>
  <c r="AC174" i="19"/>
  <c r="AC198" i="19"/>
  <c r="AC222" i="19"/>
  <c r="AC246" i="19"/>
  <c r="AC270" i="19"/>
  <c r="AC294" i="19"/>
  <c r="AC318" i="19"/>
  <c r="AC342" i="19"/>
  <c r="AC366" i="19"/>
  <c r="AC390" i="19"/>
  <c r="AC414" i="19"/>
  <c r="AC438" i="19"/>
  <c r="AC462" i="19"/>
  <c r="AC486" i="19"/>
  <c r="AC510" i="19"/>
  <c r="AC534" i="19"/>
  <c r="AC26" i="19"/>
  <c r="Y23" i="19"/>
  <c r="AE10" i="19" s="1"/>
  <c r="U24" i="19"/>
  <c r="AF6" i="19" s="1"/>
  <c r="X24" i="19"/>
  <c r="AF9" i="19" s="1"/>
  <c r="AA24" i="19"/>
  <c r="AF12" i="19" s="1"/>
  <c r="AB31" i="19"/>
  <c r="W23" i="19"/>
  <c r="AE8" i="19" s="1"/>
  <c r="AB33" i="19"/>
  <c r="AC34" i="19"/>
  <c r="AB39" i="19"/>
  <c r="AB41" i="19"/>
  <c r="AB47" i="19"/>
  <c r="AB49" i="19"/>
  <c r="AC50" i="19"/>
  <c r="AC53" i="19"/>
  <c r="AB55" i="19"/>
  <c r="AC56" i="19"/>
  <c r="AB57" i="19"/>
  <c r="AC58" i="19"/>
  <c r="AC61" i="19"/>
  <c r="AB63" i="19"/>
  <c r="AC64" i="19"/>
  <c r="AB65" i="19"/>
  <c r="AC69" i="19"/>
  <c r="AB71" i="19"/>
  <c r="AC72" i="19"/>
  <c r="AB73" i="19"/>
  <c r="AC74" i="19"/>
  <c r="AC77" i="19"/>
  <c r="AB79" i="19"/>
  <c r="AC80" i="19"/>
  <c r="AB81" i="19"/>
  <c r="AC82" i="19"/>
  <c r="AC85" i="19"/>
  <c r="AB87" i="19"/>
  <c r="AC88" i="19"/>
  <c r="AB89" i="19"/>
  <c r="AC93" i="19"/>
  <c r="AB95" i="19"/>
  <c r="AC96" i="19"/>
  <c r="AB97" i="19"/>
  <c r="AC98" i="19"/>
  <c r="AC101" i="19"/>
  <c r="AB103" i="19"/>
  <c r="AC104" i="19"/>
  <c r="AB105" i="19"/>
  <c r="AC106" i="19"/>
  <c r="AC109" i="19"/>
  <c r="AB111" i="19"/>
  <c r="AC112" i="19"/>
  <c r="AB113" i="19"/>
  <c r="AC117" i="19"/>
  <c r="AB119" i="19"/>
  <c r="AC120" i="19"/>
  <c r="AB121" i="19"/>
  <c r="AC122" i="19"/>
  <c r="AC125" i="19"/>
  <c r="AB127" i="19"/>
  <c r="AC128" i="19"/>
  <c r="AB129" i="19"/>
  <c r="AC130" i="19"/>
  <c r="AC133" i="19"/>
  <c r="AB135" i="19"/>
  <c r="AC136" i="19"/>
  <c r="AB137" i="19"/>
  <c r="AC141" i="19"/>
  <c r="AB143" i="19"/>
  <c r="AC144" i="19"/>
  <c r="AB145" i="19"/>
  <c r="AC149" i="19"/>
  <c r="AB151" i="19"/>
  <c r="AC152" i="19"/>
  <c r="AB153" i="19"/>
  <c r="AC154" i="19"/>
  <c r="AC157" i="19"/>
  <c r="AB159" i="19"/>
  <c r="AC160" i="19"/>
  <c r="AB161" i="19"/>
  <c r="AC165" i="19"/>
  <c r="AB167" i="19"/>
  <c r="AC168" i="19"/>
  <c r="AB169" i="19"/>
  <c r="AC173" i="19"/>
  <c r="AB175" i="19"/>
  <c r="AC176" i="19"/>
  <c r="AB177" i="19"/>
  <c r="AC178" i="19"/>
  <c r="AC181" i="19"/>
  <c r="AB183" i="19"/>
  <c r="AC184" i="19"/>
  <c r="AB185" i="19"/>
  <c r="AC189" i="19"/>
  <c r="AB191" i="19"/>
  <c r="AC192" i="19"/>
  <c r="AB193" i="19"/>
  <c r="AC194" i="19"/>
  <c r="AC197" i="19"/>
  <c r="AB199" i="19"/>
  <c r="AC200" i="19"/>
  <c r="AB201" i="19"/>
  <c r="AC202" i="19"/>
  <c r="AC205" i="19"/>
  <c r="AB207" i="19"/>
  <c r="AC208" i="19"/>
  <c r="AB209" i="19"/>
  <c r="AC210" i="19"/>
  <c r="AC213" i="19"/>
  <c r="AB215" i="19"/>
  <c r="AC216" i="19"/>
  <c r="AB217" i="19"/>
  <c r="AC218" i="19"/>
  <c r="AC221" i="19"/>
  <c r="AB223" i="19"/>
  <c r="AC224" i="19"/>
  <c r="AB225" i="19"/>
  <c r="AC229" i="19"/>
  <c r="AB231" i="19"/>
  <c r="AC232" i="19"/>
  <c r="AB233" i="19"/>
  <c r="AC234" i="19"/>
  <c r="AC237" i="19"/>
  <c r="AB239" i="19"/>
  <c r="AC240" i="19"/>
  <c r="AB241" i="19"/>
  <c r="AC242" i="19"/>
  <c r="AC245" i="19"/>
  <c r="AB247" i="19"/>
  <c r="AC248" i="19"/>
  <c r="AB249" i="19"/>
  <c r="AC253" i="19"/>
  <c r="AB255" i="19"/>
  <c r="AC256" i="19"/>
  <c r="AB257" i="19"/>
  <c r="AC258" i="19"/>
  <c r="AC261" i="19"/>
  <c r="AB263" i="19"/>
  <c r="AC264" i="19"/>
  <c r="AB265" i="19"/>
  <c r="AC266" i="19"/>
  <c r="AC269" i="19"/>
  <c r="AB271" i="19"/>
  <c r="AC272" i="19"/>
  <c r="AB273" i="19"/>
  <c r="AC277" i="19"/>
  <c r="AB279" i="19"/>
  <c r="AC280" i="19"/>
  <c r="AB281" i="19"/>
  <c r="AC282" i="19"/>
  <c r="AC285" i="19"/>
  <c r="AB287" i="19"/>
  <c r="AC288" i="19"/>
  <c r="AB289" i="19"/>
  <c r="AC293" i="19"/>
  <c r="AB295" i="19"/>
  <c r="AC296" i="19"/>
  <c r="AB297" i="19"/>
  <c r="AC298" i="19"/>
  <c r="AC301" i="19"/>
  <c r="AB303" i="19"/>
  <c r="AC304" i="19"/>
  <c r="AB305" i="19"/>
  <c r="AC306" i="19"/>
  <c r="AC309" i="19"/>
  <c r="AB311" i="19"/>
  <c r="AC312" i="19"/>
  <c r="AB313" i="19"/>
  <c r="AC317" i="19"/>
  <c r="AB319" i="19"/>
  <c r="AC320" i="19"/>
  <c r="AB321" i="19"/>
  <c r="AC322" i="19"/>
  <c r="AC325" i="19"/>
  <c r="AB327" i="19"/>
  <c r="AC328" i="19"/>
  <c r="AB329" i="19"/>
  <c r="AC330" i="19"/>
  <c r="AC333" i="19"/>
  <c r="AB335" i="19"/>
  <c r="AC336" i="19"/>
  <c r="AB337" i="19"/>
  <c r="AC341" i="19"/>
  <c r="AB343" i="19"/>
  <c r="AC344" i="19"/>
  <c r="AB345" i="19"/>
  <c r="AC346" i="19"/>
  <c r="AC349" i="19"/>
  <c r="AB351" i="19"/>
  <c r="AC352" i="19"/>
  <c r="AB353" i="19"/>
  <c r="AC357" i="19"/>
  <c r="AB359" i="19"/>
  <c r="AC360" i="19"/>
  <c r="AB361" i="19"/>
  <c r="AC362" i="19"/>
  <c r="AC365" i="19"/>
  <c r="AB367" i="19"/>
  <c r="AC368" i="19"/>
  <c r="AB369" i="19"/>
  <c r="AC370" i="19"/>
  <c r="AC373" i="19"/>
  <c r="AB375" i="19"/>
  <c r="AC376" i="19"/>
  <c r="AB377" i="19"/>
  <c r="AC378" i="19"/>
  <c r="AC381" i="19"/>
  <c r="AB383" i="19"/>
  <c r="AC384" i="19"/>
  <c r="AB385" i="19"/>
  <c r="AC386" i="19"/>
  <c r="AC389" i="19"/>
  <c r="AB391" i="19"/>
  <c r="AC392" i="19"/>
  <c r="AB393" i="19"/>
  <c r="AC394" i="19"/>
  <c r="AC397" i="19"/>
  <c r="AB399" i="19"/>
  <c r="AC400" i="19"/>
  <c r="AB401" i="19"/>
  <c r="AC402" i="19"/>
  <c r="AC405" i="19"/>
  <c r="AB407" i="19"/>
  <c r="AC408" i="19"/>
  <c r="AB409" i="19"/>
  <c r="AC410" i="19"/>
  <c r="AC413" i="19"/>
  <c r="AB415" i="19"/>
  <c r="AC416" i="19"/>
  <c r="AB417" i="19"/>
  <c r="AC421" i="19"/>
  <c r="AB423" i="19"/>
  <c r="AC424" i="19"/>
  <c r="AB425" i="19"/>
  <c r="AC426" i="19"/>
  <c r="AC429" i="19"/>
  <c r="AB431" i="19"/>
  <c r="AC432" i="19"/>
  <c r="AB433" i="19"/>
  <c r="AC434" i="19"/>
  <c r="AC437" i="19"/>
  <c r="AB439" i="19"/>
  <c r="AC440" i="19"/>
  <c r="AB441" i="19"/>
  <c r="AC445" i="19"/>
  <c r="AB447" i="19"/>
  <c r="AC448" i="19"/>
  <c r="AB449" i="19"/>
  <c r="AC450" i="19"/>
  <c r="AC453" i="19"/>
  <c r="AB455" i="19"/>
  <c r="AC456" i="19"/>
  <c r="AB457" i="19"/>
  <c r="AC458" i="19"/>
  <c r="AC461" i="19"/>
  <c r="AB463" i="19"/>
  <c r="AC464" i="19"/>
  <c r="AB465" i="19"/>
  <c r="AC466" i="19"/>
  <c r="AC469" i="19"/>
  <c r="AB471" i="19"/>
  <c r="AC472" i="19"/>
  <c r="AB473" i="19"/>
  <c r="AC474" i="19"/>
  <c r="AC477" i="19"/>
  <c r="AB479" i="19"/>
  <c r="AC480" i="19"/>
  <c r="AB481" i="19"/>
  <c r="AC485" i="19"/>
  <c r="AB487" i="19"/>
  <c r="AC488" i="19"/>
  <c r="AB489" i="19"/>
  <c r="AC490" i="19"/>
  <c r="AC493" i="19"/>
  <c r="AB495" i="19"/>
  <c r="AC496" i="19"/>
  <c r="AB497" i="19"/>
  <c r="AC498" i="19"/>
  <c r="AC501" i="19"/>
  <c r="AB503" i="19"/>
  <c r="AC504" i="19"/>
  <c r="AB505" i="19"/>
  <c r="AC509" i="19"/>
  <c r="AB511" i="19"/>
  <c r="AC512" i="19"/>
  <c r="AB513" i="19"/>
  <c r="AC514" i="19"/>
  <c r="AC517" i="19"/>
  <c r="AB519" i="19"/>
  <c r="AC520" i="19"/>
  <c r="AB521" i="19"/>
  <c r="AC522" i="19"/>
  <c r="AC525" i="19"/>
  <c r="AB527" i="19"/>
  <c r="AC528" i="19"/>
  <c r="AB529" i="19"/>
  <c r="AC533" i="19"/>
  <c r="AB535" i="19"/>
  <c r="AC536" i="19"/>
  <c r="AB537" i="19"/>
  <c r="AB538" i="19"/>
  <c r="AC539" i="19"/>
  <c r="F19" i="11"/>
  <c r="F10" i="19"/>
  <c r="F14" i="19"/>
  <c r="F9" i="19"/>
  <c r="AC54" i="19"/>
  <c r="AB54" i="19"/>
  <c r="AC76" i="19"/>
  <c r="AB76" i="19"/>
  <c r="AC100" i="19"/>
  <c r="AB100" i="19"/>
  <c r="AC276" i="19"/>
  <c r="AB276" i="19"/>
  <c r="AC340" i="19"/>
  <c r="AB340" i="19"/>
  <c r="AC380" i="19"/>
  <c r="AB380" i="19"/>
  <c r="AC516" i="19"/>
  <c r="AB516" i="19"/>
  <c r="AB438" i="19"/>
  <c r="AB246" i="19"/>
  <c r="AB373" i="19"/>
  <c r="AC223" i="19"/>
  <c r="AC27" i="19"/>
  <c r="AB27" i="19"/>
  <c r="AC43" i="19"/>
  <c r="AB43" i="19"/>
  <c r="AC75" i="19"/>
  <c r="AB75" i="19"/>
  <c r="AC91" i="19"/>
  <c r="AB91" i="19"/>
  <c r="AC99" i="19"/>
  <c r="AB99" i="19"/>
  <c r="AC107" i="19"/>
  <c r="AB107" i="19"/>
  <c r="AC115" i="19"/>
  <c r="AB115" i="19"/>
  <c r="AC123" i="19"/>
  <c r="AB123" i="19"/>
  <c r="AC131" i="19"/>
  <c r="AB131" i="19"/>
  <c r="AC139" i="19"/>
  <c r="AB139" i="19"/>
  <c r="AC147" i="19"/>
  <c r="AB147" i="19"/>
  <c r="AC155" i="19"/>
  <c r="AB155" i="19"/>
  <c r="AC163" i="19"/>
  <c r="AB163" i="19"/>
  <c r="AC171" i="19"/>
  <c r="AC179" i="19"/>
  <c r="AC187" i="19"/>
  <c r="AC68" i="19"/>
  <c r="AB68" i="19"/>
  <c r="AC78" i="19"/>
  <c r="AB78" i="19"/>
  <c r="AC94" i="19"/>
  <c r="AB94" i="19"/>
  <c r="AC140" i="19"/>
  <c r="AB140" i="19"/>
  <c r="AC188" i="19"/>
  <c r="AB188" i="19"/>
  <c r="AC212" i="19"/>
  <c r="AB212" i="19"/>
  <c r="AC316" i="19"/>
  <c r="AB316" i="19"/>
  <c r="AC364" i="19"/>
  <c r="AB364" i="19"/>
  <c r="AC444" i="19"/>
  <c r="AB444" i="19"/>
  <c r="AC476" i="19"/>
  <c r="AB476" i="19"/>
  <c r="AB160" i="19"/>
  <c r="AB437" i="19"/>
  <c r="AC287" i="19"/>
  <c r="AB181" i="19"/>
  <c r="AB85" i="19"/>
  <c r="AB520" i="19"/>
  <c r="AB478" i="19"/>
  <c r="AB456" i="19"/>
  <c r="AB414" i="19"/>
  <c r="AB392" i="19"/>
  <c r="AB350" i="19"/>
  <c r="AB328" i="19"/>
  <c r="AB286" i="19"/>
  <c r="AB264" i="19"/>
  <c r="AB222" i="19"/>
  <c r="AB200" i="19"/>
  <c r="AB158" i="19"/>
  <c r="AC135" i="19"/>
  <c r="AB109" i="19"/>
  <c r="AC57" i="19"/>
  <c r="AB32" i="19"/>
  <c r="AC108" i="19"/>
  <c r="AB108" i="19"/>
  <c r="AC156" i="19"/>
  <c r="AB156" i="19"/>
  <c r="AC204" i="19"/>
  <c r="AB204" i="19"/>
  <c r="AC228" i="19"/>
  <c r="AB228" i="19"/>
  <c r="AC388" i="19"/>
  <c r="AB388" i="19"/>
  <c r="AC428" i="19"/>
  <c r="AB428" i="19"/>
  <c r="F15" i="11"/>
  <c r="F15" i="19"/>
  <c r="AB112" i="19"/>
  <c r="AC457" i="19"/>
  <c r="AC201" i="19"/>
  <c r="AC67" i="19"/>
  <c r="AB67" i="19"/>
  <c r="AC519" i="19"/>
  <c r="AC497" i="19"/>
  <c r="AB477" i="19"/>
  <c r="AC455" i="19"/>
  <c r="AC433" i="19"/>
  <c r="AB413" i="19"/>
  <c r="AC391" i="19"/>
  <c r="AC369" i="19"/>
  <c r="AB349" i="19"/>
  <c r="AC327" i="19"/>
  <c r="AC305" i="19"/>
  <c r="AB285" i="19"/>
  <c r="AC263" i="19"/>
  <c r="AC241" i="19"/>
  <c r="AB221" i="19"/>
  <c r="AC199" i="19"/>
  <c r="AC177" i="19"/>
  <c r="AB157" i="19"/>
  <c r="AB133" i="19"/>
  <c r="AC81" i="19"/>
  <c r="AB56" i="19"/>
  <c r="AC31" i="19"/>
  <c r="AC102" i="19"/>
  <c r="AB102" i="19"/>
  <c r="AC124" i="19"/>
  <c r="AB124" i="19"/>
  <c r="AC148" i="19"/>
  <c r="AB148" i="19"/>
  <c r="AC292" i="19"/>
  <c r="AB292" i="19"/>
  <c r="AC324" i="19"/>
  <c r="AB324" i="19"/>
  <c r="AB502" i="19"/>
  <c r="AB310" i="19"/>
  <c r="AB182" i="19"/>
  <c r="AC87" i="19"/>
  <c r="AB501" i="19"/>
  <c r="AC393" i="19"/>
  <c r="AC329" i="19"/>
  <c r="AB245" i="19"/>
  <c r="AB136" i="19"/>
  <c r="AC51" i="19"/>
  <c r="AB51" i="19"/>
  <c r="AB496" i="19"/>
  <c r="AB432" i="19"/>
  <c r="AB390" i="19"/>
  <c r="AB304" i="19"/>
  <c r="AB262" i="19"/>
  <c r="AB198" i="19"/>
  <c r="AC105" i="19"/>
  <c r="AC55" i="19"/>
  <c r="V23" i="19"/>
  <c r="V24" i="19"/>
  <c r="AF7" i="19" s="1"/>
  <c r="R23" i="19"/>
  <c r="AC29" i="19"/>
  <c r="R24" i="19"/>
  <c r="AF3" i="19" s="1"/>
  <c r="AC32" i="19"/>
  <c r="AC37" i="19"/>
  <c r="AC40" i="19"/>
  <c r="AC45" i="19"/>
  <c r="AC48" i="19"/>
  <c r="AC44" i="19"/>
  <c r="AB44" i="19"/>
  <c r="AC452" i="19"/>
  <c r="AB452" i="19"/>
  <c r="AB374" i="19"/>
  <c r="AC137" i="19"/>
  <c r="X23" i="19"/>
  <c r="AC479" i="19"/>
  <c r="AB309" i="19"/>
  <c r="AC111" i="19"/>
  <c r="AC35" i="19"/>
  <c r="AB35" i="19"/>
  <c r="AC59" i="19"/>
  <c r="AB59" i="19"/>
  <c r="AB518" i="19"/>
  <c r="AB368" i="19"/>
  <c r="AB326" i="19"/>
  <c r="AB240" i="19"/>
  <c r="AB176" i="19"/>
  <c r="AB80" i="19"/>
  <c r="AB29" i="19"/>
  <c r="AC537" i="19"/>
  <c r="AB517" i="19"/>
  <c r="AC495" i="19"/>
  <c r="AC473" i="19"/>
  <c r="AB453" i="19"/>
  <c r="AC431" i="19"/>
  <c r="AC409" i="19"/>
  <c r="AB389" i="19"/>
  <c r="AC367" i="19"/>
  <c r="AC345" i="19"/>
  <c r="AB325" i="19"/>
  <c r="AC303" i="19"/>
  <c r="AC281" i="19"/>
  <c r="AB261" i="19"/>
  <c r="AC239" i="19"/>
  <c r="AC217" i="19"/>
  <c r="AB197" i="19"/>
  <c r="AC175" i="19"/>
  <c r="AC153" i="19"/>
  <c r="AC129" i="19"/>
  <c r="AB104" i="19"/>
  <c r="AC7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r="AB536" i="19"/>
  <c r="AB494" i="19"/>
  <c r="AB472" i="19"/>
  <c r="AB430" i="19"/>
  <c r="AB408" i="19"/>
  <c r="AB366" i="19"/>
  <c r="AB344" i="19"/>
  <c r="AB302" i="19"/>
  <c r="AB280" i="19"/>
  <c r="AB238" i="19"/>
  <c r="AB216" i="19"/>
  <c r="AB174" i="19"/>
  <c r="AB152" i="19"/>
  <c r="AB128" i="19"/>
  <c r="AC103" i="19"/>
  <c r="AB77" i="19"/>
  <c r="AA23" i="19"/>
  <c r="AC244" i="19"/>
  <c r="AB244" i="19"/>
  <c r="AC260" i="19"/>
  <c r="AB260" i="19"/>
  <c r="AC420" i="19"/>
  <c r="AB420" i="19"/>
  <c r="AC484" i="19"/>
  <c r="AB484" i="19"/>
  <c r="AB50" i="19"/>
  <c r="AB58" i="19"/>
  <c r="AB130" i="19"/>
  <c r="AB138" i="19"/>
  <c r="AB154" i="19"/>
  <c r="AB186" i="19"/>
  <c r="AB194" i="19"/>
  <c r="AC203" i="19"/>
  <c r="AB203" i="19"/>
  <c r="AB242" i="19"/>
  <c r="AC251" i="19"/>
  <c r="AB251" i="19"/>
  <c r="AB258" i="19"/>
  <c r="AB282" i="19"/>
  <c r="AB354" i="19"/>
  <c r="AC363" i="19"/>
  <c r="AB363" i="19"/>
  <c r="AC52" i="19"/>
  <c r="AB52" i="19"/>
  <c r="AC118" i="19"/>
  <c r="AB118" i="19"/>
  <c r="AC172" i="19"/>
  <c r="AB172" i="19"/>
  <c r="AC284" i="19"/>
  <c r="AB284" i="19"/>
  <c r="AC308" i="19"/>
  <c r="AB308" i="19"/>
  <c r="AC412" i="19"/>
  <c r="AB412" i="19"/>
  <c r="AB66" i="19"/>
  <c r="AB114" i="19"/>
  <c r="AB170" i="19"/>
  <c r="AC235" i="19"/>
  <c r="AB235" i="19"/>
  <c r="AB274" i="19"/>
  <c r="AB290" i="19"/>
  <c r="AC323" i="19"/>
  <c r="AB323" i="19"/>
  <c r="AB346" i="19"/>
  <c r="AC355" i="19"/>
  <c r="AB355" i="19"/>
  <c r="AB386" i="19"/>
  <c r="AC395" i="19"/>
  <c r="AB395" i="19"/>
  <c r="AB410" i="19"/>
  <c r="AC427" i="19"/>
  <c r="AB427" i="19"/>
  <c r="AB434" i="19"/>
  <c r="AC443" i="19"/>
  <c r="AB443" i="19"/>
  <c r="AB514" i="19"/>
  <c r="AC523" i="19"/>
  <c r="AB523" i="19"/>
  <c r="AB530" i="19"/>
  <c r="AB534" i="19"/>
  <c r="AB512" i="19"/>
  <c r="AB470" i="19"/>
  <c r="AB448" i="19"/>
  <c r="AB406" i="19"/>
  <c r="AB384" i="19"/>
  <c r="AB342" i="19"/>
  <c r="AB320" i="19"/>
  <c r="AB278" i="19"/>
  <c r="AB256" i="19"/>
  <c r="AB214" i="19"/>
  <c r="AB192" i="19"/>
  <c r="AC170" i="19"/>
  <c r="AB150" i="19"/>
  <c r="AB125" i="19"/>
  <c r="AC73" i="19"/>
  <c r="AB48" i="19"/>
  <c r="W24" i="19"/>
  <c r="AC116" i="19"/>
  <c r="AB116" i="19"/>
  <c r="AB74" i="19"/>
  <c r="AB106" i="19"/>
  <c r="AB162" i="19"/>
  <c r="AC307" i="19"/>
  <c r="AB307" i="19"/>
  <c r="AB314" i="19"/>
  <c r="AB338" i="19"/>
  <c r="AC515" i="19"/>
  <c r="AB515" i="19"/>
  <c r="AB533" i="19"/>
  <c r="AC511" i="19"/>
  <c r="AC489" i="19"/>
  <c r="AB469" i="19"/>
  <c r="AC447" i="19"/>
  <c r="AC425" i="19"/>
  <c r="AB405" i="19"/>
  <c r="AC383" i="19"/>
  <c r="AC361" i="19"/>
  <c r="AB341" i="19"/>
  <c r="AC319" i="19"/>
  <c r="AC297" i="19"/>
  <c r="AB277" i="19"/>
  <c r="AC255" i="19"/>
  <c r="AC233" i="19"/>
  <c r="AB213" i="19"/>
  <c r="AC191" i="19"/>
  <c r="AC169" i="19"/>
  <c r="AB149" i="19"/>
  <c r="AC97" i="19"/>
  <c r="AB72" i="19"/>
  <c r="AC47" i="19"/>
  <c r="Y24" i="19"/>
  <c r="AF10" i="19" s="1"/>
  <c r="AC62" i="19"/>
  <c r="AB62" i="19"/>
  <c r="AC84" i="19"/>
  <c r="AB84" i="19"/>
  <c r="AC236" i="19"/>
  <c r="AB236" i="19"/>
  <c r="AC252" i="19"/>
  <c r="AB252" i="19"/>
  <c r="AC348" i="19"/>
  <c r="AB348" i="19"/>
  <c r="AC396" i="19"/>
  <c r="AB396" i="19"/>
  <c r="AC436" i="19"/>
  <c r="AB436" i="19"/>
  <c r="AC492" i="19"/>
  <c r="AB492" i="19"/>
  <c r="U23" i="19"/>
  <c r="AB146" i="19"/>
  <c r="AC243" i="19"/>
  <c r="AB243" i="19"/>
  <c r="AB250" i="19"/>
  <c r="AB266" i="19"/>
  <c r="AC291" i="19"/>
  <c r="AB291" i="19"/>
  <c r="AC299" i="19"/>
  <c r="AB299" i="19"/>
  <c r="AC347" i="19"/>
  <c r="AB347" i="19"/>
  <c r="AB370" i="19"/>
  <c r="AC379" i="19"/>
  <c r="AB379" i="19"/>
  <c r="AC387" i="19"/>
  <c r="AB387" i="19"/>
  <c r="AC411" i="19"/>
  <c r="AB411" i="19"/>
  <c r="AC419" i="19"/>
  <c r="AB419" i="19"/>
  <c r="AB426" i="19"/>
  <c r="AB474" i="19"/>
  <c r="AB506" i="19"/>
  <c r="AC530" i="19"/>
  <c r="AB510" i="19"/>
  <c r="AB488" i="19"/>
  <c r="AB446" i="19"/>
  <c r="AB424" i="19"/>
  <c r="AB382" i="19"/>
  <c r="AB360" i="19"/>
  <c r="AC338" i="19"/>
  <c r="AB318" i="19"/>
  <c r="AB296" i="19"/>
  <c r="AC274" i="19"/>
  <c r="AB254" i="19"/>
  <c r="AB232" i="19"/>
  <c r="AB190" i="19"/>
  <c r="AB168" i="19"/>
  <c r="AC146" i="19"/>
  <c r="AC121" i="19"/>
  <c r="AB96" i="19"/>
  <c r="AC71" i="19"/>
  <c r="AB45" i="19"/>
  <c r="AC36" i="19"/>
  <c r="AB36" i="19"/>
  <c r="AC46" i="19"/>
  <c r="AB46" i="19"/>
  <c r="AC92" i="19"/>
  <c r="AB92" i="19"/>
  <c r="AC220" i="19"/>
  <c r="AB220" i="19"/>
  <c r="AC468" i="19"/>
  <c r="AB468" i="19"/>
  <c r="AC535" i="19"/>
  <c r="AC449" i="19"/>
  <c r="AC385" i="19"/>
  <c r="AC321" i="19"/>
  <c r="AC257" i="19"/>
  <c r="AC193" i="19"/>
  <c r="AC127" i="19"/>
  <c r="AC49" i="19"/>
  <c r="AB42" i="19"/>
  <c r="AB82" i="19"/>
  <c r="AB90" i="19"/>
  <c r="AB98" i="19"/>
  <c r="AB122" i="19"/>
  <c r="AC195" i="19"/>
  <c r="AB195" i="19"/>
  <c r="AC259" i="19"/>
  <c r="AB259" i="19"/>
  <c r="AC267" i="19"/>
  <c r="AB267" i="19"/>
  <c r="AC275" i="19"/>
  <c r="AB275" i="19"/>
  <c r="AC283" i="19"/>
  <c r="AB283" i="19"/>
  <c r="AB306" i="19"/>
  <c r="AC315" i="19"/>
  <c r="AB315" i="19"/>
  <c r="AB330" i="19"/>
  <c r="AC339" i="19"/>
  <c r="AB339" i="19"/>
  <c r="AC371" i="19"/>
  <c r="AB371" i="19"/>
  <c r="AB394" i="19"/>
  <c r="AC403" i="19"/>
  <c r="AB403" i="19"/>
  <c r="AB450" i="19"/>
  <c r="AC459" i="19"/>
  <c r="AB459" i="19"/>
  <c r="AB522" i="19"/>
  <c r="AC529" i="19"/>
  <c r="AB509" i="19"/>
  <c r="AC487" i="19"/>
  <c r="AC465" i="19"/>
  <c r="AB445" i="19"/>
  <c r="AC423" i="19"/>
  <c r="AC401" i="19"/>
  <c r="AB381" i="19"/>
  <c r="AC359" i="19"/>
  <c r="AC337" i="19"/>
  <c r="AB317" i="19"/>
  <c r="AC295" i="19"/>
  <c r="AC273" i="19"/>
  <c r="AB253" i="19"/>
  <c r="AC231" i="19"/>
  <c r="AC209" i="19"/>
  <c r="AB189" i="19"/>
  <c r="AC167" i="19"/>
  <c r="AC145" i="19"/>
  <c r="AB120" i="19"/>
  <c r="AC95" i="19"/>
  <c r="AB69" i="19"/>
  <c r="AC42" i="19"/>
  <c r="AC30" i="19"/>
  <c r="AB30" i="19"/>
  <c r="AC110" i="19"/>
  <c r="AB110" i="19"/>
  <c r="AC126" i="19"/>
  <c r="AB126" i="19"/>
  <c r="AC134" i="19"/>
  <c r="AB134" i="19"/>
  <c r="AC268" i="19"/>
  <c r="AB268" i="19"/>
  <c r="AC300" i="19"/>
  <c r="AB300" i="19"/>
  <c r="AC356" i="19"/>
  <c r="AB356" i="19"/>
  <c r="AC460" i="19"/>
  <c r="AB460" i="19"/>
  <c r="AC513" i="19"/>
  <c r="AB34" i="19"/>
  <c r="AB210" i="19"/>
  <c r="AC219" i="19"/>
  <c r="AB219" i="19"/>
  <c r="AB226" i="19"/>
  <c r="AB298" i="19"/>
  <c r="AC435" i="19"/>
  <c r="AB435" i="19"/>
  <c r="AB442" i="19"/>
  <c r="AC451" i="19"/>
  <c r="AB451" i="19"/>
  <c r="AB466" i="19"/>
  <c r="AB482" i="19"/>
  <c r="AC491" i="19"/>
  <c r="AB491" i="19"/>
  <c r="AB498" i="19"/>
  <c r="AC507" i="19"/>
  <c r="AB507" i="19"/>
  <c r="AC531" i="19"/>
  <c r="AB531" i="19"/>
  <c r="AB528" i="19"/>
  <c r="AC506" i="19"/>
  <c r="AB486" i="19"/>
  <c r="AB464" i="19"/>
  <c r="AC442" i="19"/>
  <c r="AB422" i="19"/>
  <c r="AB400" i="19"/>
  <c r="AB358" i="19"/>
  <c r="AB336" i="19"/>
  <c r="AC314" i="19"/>
  <c r="AB294" i="19"/>
  <c r="AB272" i="19"/>
  <c r="AC250" i="19"/>
  <c r="AB230" i="19"/>
  <c r="AB208" i="19"/>
  <c r="AC186" i="19"/>
  <c r="AB166" i="19"/>
  <c r="AB144" i="19"/>
  <c r="AC119" i="19"/>
  <c r="AB93" i="19"/>
  <c r="AC66" i="19"/>
  <c r="AC41" i="19"/>
  <c r="AC28" i="19"/>
  <c r="Z23" i="19"/>
  <c r="Z24" i="19"/>
  <c r="AF11" i="19" s="1"/>
  <c r="AC38" i="19"/>
  <c r="AB38" i="19"/>
  <c r="AC60" i="19"/>
  <c r="AB60" i="19"/>
  <c r="AC132" i="19"/>
  <c r="AB132" i="19"/>
  <c r="AC142" i="19"/>
  <c r="AB142" i="19"/>
  <c r="AC372" i="19"/>
  <c r="AB372" i="19"/>
  <c r="AC471" i="19"/>
  <c r="AC407" i="19"/>
  <c r="AC343" i="19"/>
  <c r="AC279" i="19"/>
  <c r="AC215" i="19"/>
  <c r="AC151" i="19"/>
  <c r="S24" i="19"/>
  <c r="AF4" i="19" s="1"/>
  <c r="AB26" i="19"/>
  <c r="S23" i="19"/>
  <c r="AB178" i="19"/>
  <c r="AB202" i="19"/>
  <c r="AC211" i="19"/>
  <c r="AB211" i="19"/>
  <c r="AB218" i="19"/>
  <c r="AC227" i="19"/>
  <c r="AB227" i="19"/>
  <c r="AB234" i="19"/>
  <c r="AB322" i="19"/>
  <c r="AC331" i="19"/>
  <c r="AB331" i="19"/>
  <c r="AB362" i="19"/>
  <c r="AB378" i="19"/>
  <c r="AB402" i="19"/>
  <c r="AB418" i="19"/>
  <c r="AB458" i="19"/>
  <c r="AC467" i="19"/>
  <c r="AB467" i="19"/>
  <c r="AC475" i="19"/>
  <c r="AB475" i="19"/>
  <c r="AC483" i="19"/>
  <c r="AB483" i="19"/>
  <c r="AB490" i="19"/>
  <c r="AC499" i="19"/>
  <c r="AB499" i="19"/>
  <c r="AC527" i="19"/>
  <c r="AC505" i="19"/>
  <c r="AB485" i="19"/>
  <c r="AC463" i="19"/>
  <c r="AC441" i="19"/>
  <c r="AB421" i="19"/>
  <c r="AC399" i="19"/>
  <c r="AC377" i="19"/>
  <c r="AB357" i="19"/>
  <c r="AC335" i="19"/>
  <c r="AC313" i="19"/>
  <c r="AB293" i="19"/>
  <c r="AC271" i="19"/>
  <c r="AC249" i="19"/>
  <c r="AB229" i="19"/>
  <c r="AC207" i="19"/>
  <c r="AC185" i="19"/>
  <c r="AB165" i="19"/>
  <c r="AC143" i="19"/>
  <c r="AB117" i="19"/>
  <c r="AC90" i="19"/>
  <c r="AC65" i="19"/>
  <c r="AB40" i="19"/>
  <c r="T24" i="19"/>
  <c r="AF5" i="19" s="1"/>
  <c r="AC180" i="19"/>
  <c r="AB180" i="19"/>
  <c r="AC524" i="19"/>
  <c r="AB524" i="19"/>
  <c r="AC70" i="19"/>
  <c r="AB70" i="19"/>
  <c r="AC86" i="19"/>
  <c r="AB86" i="19"/>
  <c r="AC164" i="19"/>
  <c r="AB164" i="19"/>
  <c r="AC332" i="19"/>
  <c r="AB332" i="19"/>
  <c r="AC404" i="19"/>
  <c r="AB404" i="19"/>
  <c r="AC500" i="19"/>
  <c r="AB500" i="19"/>
  <c r="AC532" i="19"/>
  <c r="AB532" i="19"/>
  <c r="AB525" i="19"/>
  <c r="AC503" i="19"/>
  <c r="AC481" i="19"/>
  <c r="AB461" i="19"/>
  <c r="AC439" i="19"/>
  <c r="AC417" i="19"/>
  <c r="AB397" i="19"/>
  <c r="AC375" i="19"/>
  <c r="AC353" i="19"/>
  <c r="AB333" i="19"/>
  <c r="AC311" i="19"/>
  <c r="AC289" i="19"/>
  <c r="AB269" i="19"/>
  <c r="AC247" i="19"/>
  <c r="AC225" i="19"/>
  <c r="AB205" i="19"/>
  <c r="AC183" i="19"/>
  <c r="AC161" i="19"/>
  <c r="AC138" i="19"/>
  <c r="AC113" i="19"/>
  <c r="AB88" i="19"/>
  <c r="AC63" i="19"/>
  <c r="AB37" i="19"/>
  <c r="T23" i="19"/>
  <c r="AB28" i="19"/>
  <c r="AB187" i="19"/>
  <c r="AB179" i="19"/>
  <c r="AB171" i="19"/>
  <c r="F17" i="19"/>
  <c r="F18" i="19"/>
  <c r="A1" i="11"/>
  <c r="A24" i="11" s="1"/>
  <c r="E46" i="5"/>
  <c r="E31" i="4" s="1"/>
  <c r="F20" i="19"/>
  <c r="F16" i="19"/>
  <c r="E43" i="5"/>
  <c r="E28" i="4" s="1"/>
  <c r="E42" i="5"/>
  <c r="E27" i="4" s="1"/>
  <c r="E45" i="5"/>
  <c r="E30" i="4" s="1"/>
  <c r="E44" i="5"/>
  <c r="E29" i="4" s="1"/>
  <c r="F12" i="19"/>
  <c r="F13" i="11"/>
  <c r="AE27" i="4"/>
  <c r="AE30" i="4" s="1"/>
  <c r="AG27" i="4"/>
  <c r="AD27" i="4"/>
  <c r="E47" i="5"/>
  <c r="E32" i="4" s="1"/>
  <c r="B16" i="19"/>
  <c r="B22" i="19"/>
  <c r="B19" i="19"/>
  <c r="B11" i="19"/>
  <c r="B15" i="19"/>
  <c r="B24" i="19"/>
  <c r="B9" i="19"/>
  <c r="B12" i="19"/>
  <c r="B14" i="19"/>
  <c r="B6" i="19"/>
  <c r="B2" i="19"/>
  <c r="B17" i="19"/>
  <c r="B4" i="19"/>
  <c r="B7" i="19"/>
  <c r="B22" i="4"/>
  <c r="B31" i="4"/>
  <c r="B19" i="4"/>
  <c r="B5" i="4"/>
  <c r="B25" i="4"/>
  <c r="B10" i="4"/>
  <c r="B1" i="11"/>
  <c r="B17" i="11" s="1"/>
  <c r="B15" i="4"/>
  <c r="B13" i="4"/>
  <c r="B4" i="4"/>
  <c r="B21" i="4"/>
  <c r="B32" i="4"/>
  <c r="B9" i="4"/>
  <c r="B7" i="4"/>
  <c r="B3" i="4"/>
  <c r="B16" i="4"/>
  <c r="B26" i="4"/>
  <c r="A1" i="19"/>
  <c r="A10" i="19" s="1"/>
  <c r="B27" i="4"/>
  <c r="B30" i="4"/>
  <c r="B18" i="4"/>
  <c r="B2" i="4"/>
  <c r="B23" i="4"/>
  <c r="B20" i="4"/>
  <c r="B17" i="4"/>
  <c r="B29" i="4"/>
  <c r="B12" i="4"/>
  <c r="B14" i="4"/>
  <c r="B11" i="4"/>
  <c r="B28" i="4"/>
  <c r="B6" i="4"/>
  <c r="B8" i="4"/>
  <c r="F22" i="19"/>
  <c r="AV7" i="10"/>
  <c r="AT8" i="10"/>
  <c r="AT9" i="10" s="1"/>
  <c r="AX7" i="10"/>
  <c r="AW7" i="10"/>
  <c r="Z30" i="4"/>
  <c r="E30" i="5"/>
  <c r="E17" i="4" s="1"/>
  <c r="F24" i="19"/>
  <c r="F21" i="19"/>
  <c r="F11" i="19"/>
  <c r="BA7" i="10"/>
  <c r="AZ7" i="10"/>
  <c r="AI27" i="4"/>
  <c r="AI31" i="4" s="1"/>
  <c r="AH26" i="4"/>
  <c r="AJ26" i="4"/>
  <c r="AO27" i="4"/>
  <c r="AI26" i="4"/>
  <c r="AI30" i="4" s="1"/>
  <c r="AN26" i="4"/>
  <c r="AB26" i="4"/>
  <c r="AB30" i="4" s="1"/>
  <c r="AC27" i="4"/>
  <c r="AD26" i="4"/>
  <c r="AJ27" i="4"/>
  <c r="AN27" i="4"/>
  <c r="AF26" i="4"/>
  <c r="AH27" i="4"/>
  <c r="AE26" i="4"/>
  <c r="AO26" i="4"/>
  <c r="AG26" i="4"/>
  <c r="AM26" i="4"/>
  <c r="AA26" i="4"/>
  <c r="AC26" i="4"/>
  <c r="AB27" i="4"/>
  <c r="AA27" i="4"/>
  <c r="E11" i="5"/>
  <c r="E2" i="4" s="1"/>
  <c r="E41" i="5"/>
  <c r="E26" i="4" s="1"/>
  <c r="E37" i="5"/>
  <c r="E24" i="4" s="1"/>
  <c r="E34" i="5"/>
  <c r="E21" i="4" s="1"/>
  <c r="E10" i="5"/>
  <c r="E1" i="4" s="1"/>
  <c r="E25" i="4"/>
  <c r="E35" i="5"/>
  <c r="E22" i="4" s="1"/>
  <c r="E36" i="5"/>
  <c r="E23" i="4" s="1"/>
  <c r="E33" i="5"/>
  <c r="E20" i="4" s="1"/>
  <c r="E23" i="5"/>
  <c r="E12" i="4" s="1"/>
  <c r="E31" i="5"/>
  <c r="E18" i="4" s="1"/>
  <c r="E32" i="5"/>
  <c r="E19" i="4" s="1"/>
  <c r="J6" i="10"/>
  <c r="E17" i="5"/>
  <c r="E8" i="4" s="1"/>
  <c r="E24" i="5"/>
  <c r="E13" i="4" s="1"/>
  <c r="D1" i="4"/>
  <c r="E14" i="5"/>
  <c r="E5" i="4" s="1"/>
  <c r="E22" i="5"/>
  <c r="E11" i="4" s="1"/>
  <c r="E26" i="5"/>
  <c r="E15" i="4" s="1"/>
  <c r="E4" i="4"/>
  <c r="E21" i="5"/>
  <c r="E10" i="4" s="1"/>
  <c r="E27" i="5"/>
  <c r="E16" i="4" s="1"/>
  <c r="E16" i="5"/>
  <c r="E7" i="4" s="1"/>
  <c r="E15" i="5"/>
  <c r="E6" i="4" s="1"/>
  <c r="B5" i="19"/>
  <c r="B18" i="19"/>
  <c r="B8" i="19"/>
  <c r="B21" i="19"/>
  <c r="B10" i="19"/>
  <c r="B20" i="19"/>
  <c r="B23" i="19"/>
  <c r="B13" i="19"/>
  <c r="B3" i="19"/>
  <c r="AE28" i="4" l="1"/>
  <c r="AE29" i="4" s="1"/>
  <c r="AR94" i="4"/>
  <c r="AR39" i="4"/>
  <c r="AR80" i="4"/>
  <c r="AR91" i="4"/>
  <c r="AR83" i="4"/>
  <c r="AR118" i="4"/>
  <c r="AR75" i="4"/>
  <c r="AR120" i="4"/>
  <c r="AR113" i="4"/>
  <c r="AR103" i="4"/>
  <c r="AR57" i="4"/>
  <c r="AS66" i="4"/>
  <c r="AR87" i="4"/>
  <c r="AS122" i="4"/>
  <c r="AS55" i="4"/>
  <c r="AS107" i="4"/>
  <c r="AR106" i="4"/>
  <c r="AR77" i="4"/>
  <c r="AR60" i="4"/>
  <c r="AR85" i="4"/>
  <c r="AS82" i="4"/>
  <c r="AR82" i="4"/>
  <c r="AS53" i="4"/>
  <c r="AS84" i="4"/>
  <c r="AS62" i="4"/>
  <c r="AR100" i="4"/>
  <c r="AS116" i="4"/>
  <c r="AS67" i="4"/>
  <c r="AR97" i="4"/>
  <c r="AR41" i="4"/>
  <c r="AS86" i="4"/>
  <c r="AS95" i="4"/>
  <c r="AR112" i="4"/>
  <c r="AS88" i="4"/>
  <c r="AR93" i="4"/>
  <c r="AR36" i="4"/>
  <c r="AR71" i="4"/>
  <c r="AR104" i="4"/>
  <c r="AS74" i="4"/>
  <c r="AR72" i="4"/>
  <c r="AS110" i="4"/>
  <c r="AR61" i="4"/>
  <c r="AS63" i="4"/>
  <c r="AS43" i="4"/>
  <c r="AS109" i="4"/>
  <c r="AS46" i="4"/>
  <c r="AR54" i="4"/>
  <c r="AS117" i="4"/>
  <c r="AS98" i="4"/>
  <c r="AS73" i="4"/>
  <c r="AS78" i="4"/>
  <c r="AS121" i="4"/>
  <c r="AR63" i="4"/>
  <c r="AS119" i="4"/>
  <c r="AS34" i="4"/>
  <c r="AS76" i="4"/>
  <c r="AS101" i="4"/>
  <c r="AS70" i="4"/>
  <c r="AS37" i="4"/>
  <c r="AS48" i="4"/>
  <c r="AS105" i="4"/>
  <c r="AS81" i="4"/>
  <c r="AS92" i="4"/>
  <c r="AS40" i="4"/>
  <c r="AS77" i="4"/>
  <c r="AS96" i="4"/>
  <c r="AR44" i="4"/>
  <c r="AR69" i="4"/>
  <c r="AR47" i="4"/>
  <c r="AR79" i="4"/>
  <c r="AS112" i="4"/>
  <c r="AS71" i="4"/>
  <c r="AS93" i="4"/>
  <c r="AS102" i="4"/>
  <c r="AS60" i="4"/>
  <c r="AR67" i="4"/>
  <c r="AS111" i="4"/>
  <c r="AR59" i="4"/>
  <c r="AR68" i="4"/>
  <c r="AR51" i="4"/>
  <c r="AS89" i="4"/>
  <c r="AR96" i="4"/>
  <c r="AS108" i="4"/>
  <c r="AS79" i="4"/>
  <c r="AS50" i="4"/>
  <c r="AS59" i="4"/>
  <c r="AS42" i="4"/>
  <c r="AR116" i="4"/>
  <c r="AR95" i="4"/>
  <c r="AR99" i="4"/>
  <c r="AS90" i="4"/>
  <c r="AR122" i="4"/>
  <c r="AR117" i="4"/>
  <c r="AS45" i="4"/>
  <c r="AS57" i="4"/>
  <c r="AS87" i="4"/>
  <c r="AS118" i="4"/>
  <c r="AS83" i="4"/>
  <c r="AS75" i="4"/>
  <c r="AS103" i="4"/>
  <c r="AS120" i="4"/>
  <c r="AS113" i="4"/>
  <c r="AS44" i="4"/>
  <c r="AS68" i="4"/>
  <c r="AS51" i="4"/>
  <c r="AS47" i="4"/>
  <c r="AS115" i="4"/>
  <c r="AS104" i="4"/>
  <c r="AS80" i="4"/>
  <c r="AS72" i="4"/>
  <c r="AS94" i="4"/>
  <c r="AS61" i="4"/>
  <c r="AS36" i="4"/>
  <c r="AS39" i="4"/>
  <c r="AS91" i="4"/>
  <c r="AS85" i="4"/>
  <c r="AS106" i="4"/>
  <c r="AS41" i="4"/>
  <c r="AS97" i="4"/>
  <c r="AS54" i="4"/>
  <c r="AS56" i="4"/>
  <c r="AS100" i="4"/>
  <c r="AS64" i="4"/>
  <c r="AR81" i="4"/>
  <c r="AR92" i="4"/>
  <c r="AR37" i="4"/>
  <c r="AR35" i="4"/>
  <c r="AR65" i="4"/>
  <c r="AR53" i="4"/>
  <c r="AR84" i="4"/>
  <c r="AR98" i="4"/>
  <c r="AR49" i="4"/>
  <c r="AR90" i="4"/>
  <c r="AR108" i="4"/>
  <c r="AR66" i="4"/>
  <c r="AR46" i="4"/>
  <c r="AR70" i="4"/>
  <c r="AR101" i="4"/>
  <c r="AR52" i="4"/>
  <c r="AR107" i="4"/>
  <c r="AR105" i="4"/>
  <c r="AR111" i="4"/>
  <c r="AR73" i="4"/>
  <c r="AR58" i="4"/>
  <c r="AR42" i="4"/>
  <c r="AR109" i="4"/>
  <c r="AR74" i="4"/>
  <c r="AR89" i="4"/>
  <c r="AR119" i="4"/>
  <c r="AR76" i="4"/>
  <c r="AR121" i="4"/>
  <c r="AR40" i="4"/>
  <c r="AR45" i="4"/>
  <c r="AR88" i="4"/>
  <c r="AR43" i="4"/>
  <c r="AR55" i="4"/>
  <c r="AR102" i="4"/>
  <c r="AR114" i="4"/>
  <c r="AR86" i="4"/>
  <c r="AR78" i="4"/>
  <c r="AR62" i="4"/>
  <c r="AR48" i="4"/>
  <c r="AR110" i="4"/>
  <c r="AR34" i="4"/>
  <c r="Z25" i="4"/>
  <c r="AP6" i="4" s="1"/>
  <c r="AF28" i="4"/>
  <c r="AF29" i="4" s="1"/>
  <c r="B4" i="3"/>
  <c r="E24" i="10"/>
  <c r="E26" i="10"/>
  <c r="E27" i="10"/>
  <c r="E28" i="10"/>
  <c r="E25" i="10"/>
  <c r="A14" i="11"/>
  <c r="A18" i="11"/>
  <c r="A13" i="11"/>
  <c r="AG10" i="19"/>
  <c r="AH10" i="19" s="1"/>
  <c r="A3" i="11"/>
  <c r="A20" i="11"/>
  <c r="A11" i="11"/>
  <c r="B5" i="3"/>
  <c r="B7" i="3"/>
  <c r="B2" i="3"/>
  <c r="B3" i="3"/>
  <c r="B8" i="3"/>
  <c r="A19" i="11"/>
  <c r="A9" i="11"/>
  <c r="A10" i="11"/>
  <c r="A2" i="11"/>
  <c r="A7" i="11"/>
  <c r="A1" i="3"/>
  <c r="A7" i="3" s="1"/>
  <c r="A22" i="11"/>
  <c r="A16" i="11"/>
  <c r="A4" i="11"/>
  <c r="A6" i="11"/>
  <c r="A15" i="11"/>
  <c r="A17" i="11"/>
  <c r="A23" i="11"/>
  <c r="A8" i="11"/>
  <c r="A12" i="11"/>
  <c r="A5" i="11"/>
  <c r="A21" i="11"/>
  <c r="B18" i="11"/>
  <c r="AE4" i="19"/>
  <c r="AG4" i="19" s="1"/>
  <c r="S22" i="19"/>
  <c r="AE9" i="19"/>
  <c r="AG9" i="19" s="1"/>
  <c r="AH9" i="19" s="1"/>
  <c r="X22" i="19"/>
  <c r="AE7" i="19"/>
  <c r="AG7" i="19" s="1"/>
  <c r="AH7" i="19" s="1"/>
  <c r="V22" i="19"/>
  <c r="Y22" i="19"/>
  <c r="U22" i="19"/>
  <c r="AE6" i="19"/>
  <c r="AG6" i="19" s="1"/>
  <c r="AH6" i="19" s="1"/>
  <c r="Z22" i="19"/>
  <c r="AE11" i="19"/>
  <c r="AG11" i="19" s="1"/>
  <c r="AH11" i="19" s="1"/>
  <c r="AE5" i="19"/>
  <c r="AG5" i="19" s="1"/>
  <c r="T22" i="19"/>
  <c r="AF8" i="19"/>
  <c r="AG8" i="19" s="1"/>
  <c r="AH8" i="19" s="1"/>
  <c r="W22" i="19"/>
  <c r="AA22" i="19"/>
  <c r="AE12" i="19"/>
  <c r="AG12" i="19" s="1"/>
  <c r="AH12" i="19" s="1"/>
  <c r="AE3" i="19"/>
  <c r="AG3" i="19" s="1"/>
  <c r="R22" i="19"/>
  <c r="A20" i="19"/>
  <c r="A7" i="19"/>
  <c r="B19" i="11"/>
  <c r="B9" i="11"/>
  <c r="B10" i="11"/>
  <c r="B2" i="11"/>
  <c r="B8" i="11"/>
  <c r="AG28" i="4"/>
  <c r="AF25" i="4"/>
  <c r="AP12" i="4" s="1"/>
  <c r="AD28" i="4"/>
  <c r="B20" i="11"/>
  <c r="B11" i="11"/>
  <c r="B4" i="11"/>
  <c r="B3" i="11"/>
  <c r="B21" i="11"/>
  <c r="B6" i="11"/>
  <c r="B16" i="11"/>
  <c r="B22" i="11"/>
  <c r="B12" i="11"/>
  <c r="B24" i="11"/>
  <c r="B13" i="11"/>
  <c r="B5" i="11"/>
  <c r="B15" i="11"/>
  <c r="B23" i="11"/>
  <c r="B14" i="11"/>
  <c r="B7" i="11"/>
  <c r="A23" i="19"/>
  <c r="A11" i="19"/>
  <c r="A15" i="19"/>
  <c r="A19" i="19"/>
  <c r="A16" i="19"/>
  <c r="A22" i="19"/>
  <c r="A3" i="19"/>
  <c r="A24" i="19"/>
  <c r="A14" i="19"/>
  <c r="A18" i="19"/>
  <c r="A4" i="19"/>
  <c r="A8" i="19"/>
  <c r="A12" i="19"/>
  <c r="A17" i="19"/>
  <c r="A21" i="19"/>
  <c r="A2" i="19"/>
  <c r="A6" i="19"/>
  <c r="A5" i="19"/>
  <c r="A9" i="19"/>
  <c r="A13" i="19"/>
  <c r="BA9" i="10"/>
  <c r="AW9" i="10"/>
  <c r="AX9" i="10"/>
  <c r="AZ9" i="10"/>
  <c r="AY9" i="10"/>
  <c r="AV8" i="10"/>
  <c r="AX8" i="10"/>
  <c r="AZ8" i="10"/>
  <c r="AW8" i="10"/>
  <c r="AY8" i="10"/>
  <c r="BA8" i="10"/>
  <c r="AT10" i="10"/>
  <c r="AZ10" i="10" s="1"/>
  <c r="AO28" i="4"/>
  <c r="AH28" i="4"/>
  <c r="AH25" i="4"/>
  <c r="AP14" i="4" s="1"/>
  <c r="AD25" i="4"/>
  <c r="AP10" i="4" s="1"/>
  <c r="Z28" i="4"/>
  <c r="Z29" i="4" s="1"/>
  <c r="AA25" i="4"/>
  <c r="AP7" i="4" s="1"/>
  <c r="AI25" i="4"/>
  <c r="AP15" i="4" s="1"/>
  <c r="AM28" i="4"/>
  <c r="AN25" i="4"/>
  <c r="AP18" i="4" s="1"/>
  <c r="AI28" i="4"/>
  <c r="AI29" i="4" s="1"/>
  <c r="AO25" i="4"/>
  <c r="AP19" i="4" s="1"/>
  <c r="AJ28" i="4"/>
  <c r="AJ25" i="4"/>
  <c r="AP16" i="4" s="1"/>
  <c r="AN28" i="4"/>
  <c r="AE25" i="4"/>
  <c r="AP11" i="4" s="1"/>
  <c r="AC28" i="4"/>
  <c r="AC25" i="4"/>
  <c r="AP9" i="4" s="1"/>
  <c r="AA28" i="4"/>
  <c r="AM25" i="4"/>
  <c r="AP17" i="4" s="1"/>
  <c r="AB25" i="4"/>
  <c r="AP8" i="4" s="1"/>
  <c r="AB28" i="4"/>
  <c r="AB29" i="4" s="1"/>
  <c r="AG25" i="4"/>
  <c r="AP13" i="4" s="1"/>
  <c r="D31" i="4"/>
  <c r="D27" i="4"/>
  <c r="D29" i="4"/>
  <c r="D6" i="4"/>
  <c r="D21" i="4"/>
  <c r="D15" i="4"/>
  <c r="D10" i="4"/>
  <c r="D32" i="4"/>
  <c r="D30" i="4"/>
  <c r="D12" i="4"/>
  <c r="D22" i="4"/>
  <c r="D16" i="4"/>
  <c r="D7" i="4"/>
  <c r="D2" i="4"/>
  <c r="D18" i="4"/>
  <c r="D23" i="4"/>
  <c r="D26" i="4"/>
  <c r="D13" i="4"/>
  <c r="D3" i="4"/>
  <c r="D8" i="4"/>
  <c r="D24" i="4"/>
  <c r="D11" i="4"/>
  <c r="D19" i="4"/>
  <c r="D4" i="4"/>
  <c r="D14" i="4"/>
  <c r="D25" i="4"/>
  <c r="D17" i="4"/>
  <c r="D28" i="4"/>
  <c r="D5" i="4"/>
  <c r="D20" i="4"/>
  <c r="D9" i="4"/>
  <c r="E11" i="10"/>
  <c r="D2" i="3" s="1"/>
  <c r="E39" i="10"/>
  <c r="E35" i="10"/>
  <c r="E40" i="10"/>
  <c r="C1" i="3"/>
  <c r="E21" i="10"/>
  <c r="E13" i="10"/>
  <c r="D4" i="3" s="1"/>
  <c r="E36" i="10"/>
  <c r="E22" i="10"/>
  <c r="E42" i="10"/>
  <c r="E12" i="10"/>
  <c r="D3" i="3" s="1"/>
  <c r="C1" i="11"/>
  <c r="E31" i="10"/>
  <c r="E43" i="10"/>
  <c r="E16" i="10"/>
  <c r="D7" i="3" s="1"/>
  <c r="E41" i="10"/>
  <c r="E37" i="10"/>
  <c r="E34" i="10"/>
  <c r="E14" i="10"/>
  <c r="D5" i="3" s="1"/>
  <c r="E15" i="10"/>
  <c r="D6" i="3" s="1"/>
  <c r="C1" i="19"/>
  <c r="E23" i="10"/>
  <c r="E33" i="10"/>
  <c r="E30" i="10"/>
  <c r="E45" i="10"/>
  <c r="E10" i="10"/>
  <c r="D1" i="3" s="1"/>
  <c r="E17" i="10"/>
  <c r="D8" i="3" s="1"/>
  <c r="E46" i="10"/>
  <c r="E32" i="10"/>
  <c r="E44" i="10"/>
  <c r="A21" i="4"/>
  <c r="A19" i="4"/>
  <c r="A28" i="4"/>
  <c r="A31" i="4"/>
  <c r="A12" i="4"/>
  <c r="A23" i="4"/>
  <c r="A7" i="4"/>
  <c r="A9" i="4"/>
  <c r="A29" i="4"/>
  <c r="A2" i="4"/>
  <c r="A18" i="4"/>
  <c r="A14" i="4"/>
  <c r="A13" i="4"/>
  <c r="A3" i="4"/>
  <c r="A27" i="4"/>
  <c r="A10" i="4"/>
  <c r="A25" i="4"/>
  <c r="A20" i="4"/>
  <c r="A30" i="4"/>
  <c r="A15" i="4"/>
  <c r="A4" i="4"/>
  <c r="A8" i="4"/>
  <c r="A32" i="4"/>
  <c r="A11" i="4"/>
  <c r="A6" i="4"/>
  <c r="A22" i="4"/>
  <c r="A24" i="4"/>
  <c r="A17" i="4"/>
  <c r="A16" i="4"/>
  <c r="A5" i="4"/>
  <c r="A26" i="4"/>
  <c r="AH3" i="19" l="1"/>
  <c r="AH5" i="19"/>
  <c r="AH4" i="19"/>
  <c r="A2" i="3"/>
  <c r="A5" i="3"/>
  <c r="A4" i="3"/>
  <c r="A6" i="3"/>
  <c r="A8" i="3"/>
  <c r="A3" i="3"/>
  <c r="AW10" i="10"/>
  <c r="AT11" i="10"/>
  <c r="AT12" i="10" s="1"/>
  <c r="AW12" i="10" s="1"/>
  <c r="BA10" i="10"/>
  <c r="AY10" i="10"/>
  <c r="AX10" i="10"/>
  <c r="D11" i="11"/>
  <c r="D11" i="19"/>
  <c r="D9" i="19"/>
  <c r="D9" i="11"/>
  <c r="D13" i="11"/>
  <c r="D13" i="19"/>
  <c r="D10" i="11"/>
  <c r="D10" i="19"/>
  <c r="D15" i="11"/>
  <c r="D15" i="19"/>
  <c r="D14" i="19"/>
  <c r="D14" i="11"/>
  <c r="D24" i="19"/>
  <c r="D24" i="11"/>
  <c r="D12" i="11"/>
  <c r="D12" i="19"/>
  <c r="D16" i="19"/>
  <c r="D16" i="11"/>
  <c r="C15" i="11"/>
  <c r="C24" i="11"/>
  <c r="C23" i="11"/>
  <c r="C8" i="11"/>
  <c r="C21" i="11"/>
  <c r="C7" i="11"/>
  <c r="C12" i="11"/>
  <c r="C4" i="11"/>
  <c r="C14" i="11"/>
  <c r="C19" i="11"/>
  <c r="C20" i="11"/>
  <c r="C10" i="11"/>
  <c r="C5" i="11"/>
  <c r="C13" i="11"/>
  <c r="C3" i="11"/>
  <c r="C16" i="11"/>
  <c r="C11" i="11"/>
  <c r="C2" i="11"/>
  <c r="C9" i="11"/>
  <c r="C22" i="11"/>
  <c r="C17" i="11"/>
  <c r="C6" i="11"/>
  <c r="C18" i="11"/>
  <c r="D6" i="11"/>
  <c r="D6" i="19"/>
  <c r="D8" i="19"/>
  <c r="D8" i="11"/>
  <c r="D4" i="11"/>
  <c r="D4" i="19"/>
  <c r="D3" i="19"/>
  <c r="D3" i="11"/>
  <c r="D19" i="11"/>
  <c r="D19" i="19"/>
  <c r="D5" i="11"/>
  <c r="D5" i="19"/>
  <c r="D17" i="11"/>
  <c r="D17" i="19"/>
  <c r="C18" i="19"/>
  <c r="C4" i="19"/>
  <c r="C13" i="19"/>
  <c r="C2" i="19"/>
  <c r="C8" i="19"/>
  <c r="C17" i="19"/>
  <c r="C9" i="19"/>
  <c r="C14" i="19"/>
  <c r="C7" i="19"/>
  <c r="C16" i="19"/>
  <c r="C12" i="19"/>
  <c r="C11" i="19"/>
  <c r="C3" i="19"/>
  <c r="C6" i="19"/>
  <c r="C22" i="19"/>
  <c r="C24" i="19"/>
  <c r="C10" i="19"/>
  <c r="C19" i="19"/>
  <c r="C15" i="19"/>
  <c r="C5" i="19"/>
  <c r="C20" i="19"/>
  <c r="C23" i="19"/>
  <c r="C21" i="19"/>
  <c r="D7" i="19"/>
  <c r="D7" i="11"/>
  <c r="D1" i="11"/>
  <c r="D1" i="19"/>
  <c r="D20" i="19"/>
  <c r="D20" i="11"/>
  <c r="C4" i="3"/>
  <c r="C6" i="3"/>
  <c r="C5" i="3"/>
  <c r="C7" i="3"/>
  <c r="C2" i="3"/>
  <c r="C8" i="3"/>
  <c r="C3" i="3"/>
  <c r="D22" i="11"/>
  <c r="D22" i="19"/>
  <c r="D23" i="11"/>
  <c r="D23" i="19"/>
  <c r="D21" i="11"/>
  <c r="D21" i="19"/>
  <c r="D2" i="11"/>
  <c r="D2" i="19"/>
  <c r="D18" i="11"/>
  <c r="D18" i="19"/>
  <c r="AW11" i="10" l="1"/>
  <c r="AZ11" i="10"/>
  <c r="AX12" i="10"/>
  <c r="AT13" i="10"/>
  <c r="AW13" i="10" s="1"/>
  <c r="AY12" i="10"/>
  <c r="AY11" i="10"/>
  <c r="BA12" i="10"/>
  <c r="AX11" i="10"/>
  <c r="AZ12" i="10"/>
  <c r="BA11" i="10"/>
  <c r="AY13" i="10" l="1"/>
  <c r="AX13" i="10"/>
  <c r="BA13" i="10"/>
  <c r="AZ13" i="10"/>
</calcChain>
</file>

<file path=xl/sharedStrings.xml><?xml version="1.0" encoding="utf-8"?>
<sst xmlns="http://schemas.openxmlformats.org/spreadsheetml/2006/main" count="28341" uniqueCount="619">
  <si>
    <t>F1</t>
  </si>
  <si>
    <t>F2</t>
  </si>
  <si>
    <t>F3</t>
  </si>
  <si>
    <t>SKU</t>
  </si>
  <si>
    <t>SKU2</t>
  </si>
  <si>
    <t>UoM</t>
  </si>
  <si>
    <t>Blend-100 Hard Wheat Flour</t>
  </si>
  <si>
    <t>Cattleya Soft Wheat Flour</t>
  </si>
  <si>
    <t>Continental All-Purpose Flour</t>
  </si>
  <si>
    <t>Continental All-Purpose Flour Unbleached</t>
  </si>
  <si>
    <t>Customized Wheat Flour JBF</t>
  </si>
  <si>
    <t>Customized Wheat Flour SHK</t>
  </si>
  <si>
    <t>Daisy Cake Flour</t>
  </si>
  <si>
    <t>Fibra+ Whole Wheat Flour (Regular)</t>
  </si>
  <si>
    <t>Fibra+ Whole Wheat Flour (Fine)</t>
  </si>
  <si>
    <t>Fibra+ Cracked Wheat (Regular)</t>
  </si>
  <si>
    <t>Fibra+ Cracked Wheat (Fine)</t>
  </si>
  <si>
    <t>Globe First Class Flour</t>
  </si>
  <si>
    <t>Globe Flour Unbleached</t>
  </si>
  <si>
    <t>Hard Cracker Flour</t>
  </si>
  <si>
    <t>Lilac Soft Wheat Flour</t>
  </si>
  <si>
    <t>My Rose Soft Wheat Flour</t>
  </si>
  <si>
    <t>My Rose Flour (for Cake) Unbleached</t>
  </si>
  <si>
    <t>Noodelicious Noodle Flour</t>
  </si>
  <si>
    <t>Sampaguita Wheat Flour</t>
  </si>
  <si>
    <t>Universal First Class Flour</t>
  </si>
  <si>
    <t>URC Soft Wheat Unbleached</t>
  </si>
  <si>
    <t>Globe Flour (SR)</t>
  </si>
  <si>
    <t>Hard Dark Flour</t>
  </si>
  <si>
    <t>All Purpose Flour</t>
  </si>
  <si>
    <t>Best Hard Flour in PP Bags</t>
  </si>
  <si>
    <t>Fortificants</t>
  </si>
  <si>
    <t>Globe Flour (APF ex)</t>
  </si>
  <si>
    <t>Blend 100 Flour in Cotton Bags</t>
  </si>
  <si>
    <t>Vitamin A</t>
  </si>
  <si>
    <t>mg/kg</t>
  </si>
  <si>
    <t>Blend 100 Flour in PP Bags</t>
  </si>
  <si>
    <t>Iron</t>
  </si>
  <si>
    <t>Globe Flour (EK)</t>
  </si>
  <si>
    <t>Cattleya Soft Flour in PP Bags</t>
  </si>
  <si>
    <t>Universal Flour</t>
  </si>
  <si>
    <t>Continental APF (Regular) in PP Bags</t>
  </si>
  <si>
    <t>Food-Safety Properties</t>
  </si>
  <si>
    <t>Universal Flour (JBF)</t>
  </si>
  <si>
    <t>Continental APF (Unbleached) in PP Bags</t>
  </si>
  <si>
    <t>Bacillus subtilis</t>
  </si>
  <si>
    <t>CFU/g</t>
  </si>
  <si>
    <t>&lt;10</t>
  </si>
  <si>
    <t>Australian Flour</t>
  </si>
  <si>
    <t>Customized Flour for NOODLES in PP bag</t>
  </si>
  <si>
    <t>Bacillus cereus</t>
  </si>
  <si>
    <t>&lt;100</t>
  </si>
  <si>
    <t>HRW Flour</t>
  </si>
  <si>
    <t>Customized Flour FPCH01 in PP Bag</t>
  </si>
  <si>
    <t>Clostridium perfringens</t>
  </si>
  <si>
    <t>RMW Flour</t>
  </si>
  <si>
    <t>Customized Flour FPCU1 in PP Bag</t>
  </si>
  <si>
    <t>Escherichia coli</t>
  </si>
  <si>
    <t>A001 Negative</t>
  </si>
  <si>
    <t>Sampaguita Flour</t>
  </si>
  <si>
    <t>CUSTOMIZED FLOUR FPCU1C IN PP BAG</t>
  </si>
  <si>
    <t>Staphylococcus aureus</t>
  </si>
  <si>
    <t>Customized Flour FSN in PP Bag</t>
  </si>
  <si>
    <t>Salmonella, per 25g</t>
  </si>
  <si>
    <t>CUSTOMIZED FLOUR HES IN PP BAG</t>
  </si>
  <si>
    <t>Aflatoxin B1</t>
  </si>
  <si>
    <t>µg/kg</t>
  </si>
  <si>
    <t>&lt;0.50</t>
  </si>
  <si>
    <t>CUSTOMIZED FLOUR HLW-04 IN PP BAG</t>
  </si>
  <si>
    <t>Total Aflatoxin</t>
  </si>
  <si>
    <t>&lt;1.7</t>
  </si>
  <si>
    <t>Customized Flour P001 in PP bag</t>
  </si>
  <si>
    <t>Ochratoxin A</t>
  </si>
  <si>
    <t>Customized Flour RLF in PP bag</t>
  </si>
  <si>
    <t>Potassium Bromate</t>
  </si>
  <si>
    <t>Customized Flour RRB in PP bags</t>
  </si>
  <si>
    <t>Deoxynivalenol (DON)</t>
  </si>
  <si>
    <t>&lt;0.2</t>
  </si>
  <si>
    <t>Customized Flour SHK in PP Bags</t>
  </si>
  <si>
    <t>Zearalenone</t>
  </si>
  <si>
    <t>Customized R2N in PP Bags</t>
  </si>
  <si>
    <t>Cadmium</t>
  </si>
  <si>
    <t>&lt;0.01</t>
  </si>
  <si>
    <t>Customized RLF in PP Bags</t>
  </si>
  <si>
    <t>Lead</t>
  </si>
  <si>
    <t>&lt;0.03</t>
  </si>
  <si>
    <t>Customized SLF in PP Bags</t>
  </si>
  <si>
    <t>Melamine</t>
  </si>
  <si>
    <t>CUSTOMIZED UNBLEACHED HARD JBF IN BULK</t>
  </si>
  <si>
    <t>Benzoyl Peroxide</t>
  </si>
  <si>
    <t>CUSTOMIZED UNBLEACHED HARD JBF IN PP BAG</t>
  </si>
  <si>
    <t>Sulfites</t>
  </si>
  <si>
    <t>Daisy Cake Flour in Cotton Bags</t>
  </si>
  <si>
    <t>Methomyl</t>
  </si>
  <si>
    <t>Fibra+ Cracked Wheat Flr in 10kg PP Bag</t>
  </si>
  <si>
    <t>Imidacloprid</t>
  </si>
  <si>
    <t>Wheat Type</t>
  </si>
  <si>
    <t>Fibra+ Cracked Wheat flr in PP bag</t>
  </si>
  <si>
    <t>Chlorpyrifos</t>
  </si>
  <si>
    <t>DNS</t>
  </si>
  <si>
    <t>Hard</t>
  </si>
  <si>
    <t>Fibra+ Whole Wheat FINE Flour in PP Bag</t>
  </si>
  <si>
    <t>Malathion</t>
  </si>
  <si>
    <t>RMW</t>
  </si>
  <si>
    <t>Fibra+ Whole Wheat Flour  in PP Bags</t>
  </si>
  <si>
    <t>Dichlorvos</t>
  </si>
  <si>
    <t>SWW</t>
  </si>
  <si>
    <t>Soft</t>
  </si>
  <si>
    <t>Fibra+ Whole Wheat Flour in 10kg PP Bag</t>
  </si>
  <si>
    <t>Deltamethrin</t>
  </si>
  <si>
    <t>Fibra+ Whole Wht FINE Flr in 10kg PP Bag</t>
  </si>
  <si>
    <t>Bioresmethrin</t>
  </si>
  <si>
    <t>Globe Flour (0.6A) in PP Bags</t>
  </si>
  <si>
    <t>Permethrin</t>
  </si>
  <si>
    <t>Month Reference</t>
  </si>
  <si>
    <t>Globe Flour (0.6A) in Bulk</t>
  </si>
  <si>
    <t>Sulfuryl flouride</t>
  </si>
  <si>
    <t>Globe Flour (Regular) in Cotton Bags</t>
  </si>
  <si>
    <t>Carbaryl</t>
  </si>
  <si>
    <t>Globe Flour (Regular) in PP Bags</t>
  </si>
  <si>
    <t>Diquat</t>
  </si>
  <si>
    <t>Month Reference List</t>
  </si>
  <si>
    <t>Shift</t>
  </si>
  <si>
    <t>Globe Flour (Unbleached) 1 in PP Bags</t>
  </si>
  <si>
    <t>Chrlomequat</t>
  </si>
  <si>
    <t>1ST</t>
  </si>
  <si>
    <t>GLOBE FLOUR (UNBLEACHED) BULK</t>
  </si>
  <si>
    <t>Piperonyl Butoxide</t>
  </si>
  <si>
    <t>2ND</t>
  </si>
  <si>
    <t>Hard Dark Flour in PP Bags</t>
  </si>
  <si>
    <t>3RD</t>
  </si>
  <si>
    <t>Hard Cracker Flour in PP Bags</t>
  </si>
  <si>
    <t>Lilac Soft Wheat Flour in PP Bag</t>
  </si>
  <si>
    <t>My Rose Flour (Unbleached) in PP Bags</t>
  </si>
  <si>
    <t>My Rose Soft Flour in PP Bags</t>
  </si>
  <si>
    <t>Noodelicious Noodle Flour in PP Bags</t>
  </si>
  <si>
    <t>ORIENTAL LUMPIA WRAPPER FLOUR IN PP BAG</t>
  </si>
  <si>
    <t>Sampaguita Flour in Cotton Bags</t>
  </si>
  <si>
    <t>Sampaguita Flour in PP Bags</t>
  </si>
  <si>
    <t>Sampaguita Flour in PP Bags (CEBU)</t>
  </si>
  <si>
    <t>SAMPAGUITA SOFT FLOUR IN PP BAG (APC)</t>
  </si>
  <si>
    <t>SAMPAGUITA SOFT FLOUR IN PP BAG (EKPI)</t>
  </si>
  <si>
    <t>UNIVERSAL FLOUR (UNBLEACHED) IN PP BAG</t>
  </si>
  <si>
    <t>QAA</t>
  </si>
  <si>
    <t>QCS</t>
  </si>
  <si>
    <t>Universal Flour in PP Bags</t>
  </si>
  <si>
    <t>CBM</t>
  </si>
  <si>
    <t>ADS</t>
  </si>
  <si>
    <t>URC SOFT WHEAT FLOUR (WF) IN 22.5KG PP BA</t>
  </si>
  <si>
    <t>MDT</t>
  </si>
  <si>
    <t>MEG</t>
  </si>
  <si>
    <t>URC Soft Wheat Flour (WF) in PP Bag</t>
  </si>
  <si>
    <t>KLA</t>
  </si>
  <si>
    <t>AMV</t>
  </si>
  <si>
    <t>URC Soft Wheat Flour in Bulk</t>
  </si>
  <si>
    <t>DEA</t>
  </si>
  <si>
    <t>FLS</t>
  </si>
  <si>
    <t>URC Soft Wheat Flour in Bulk - NUR</t>
  </si>
  <si>
    <t>URC Soft Wheat Flour in PP Bag - NUR</t>
  </si>
  <si>
    <t>Qualitatives</t>
  </si>
  <si>
    <t>URC Soft Wheat Flour in PP Bags - BCFG</t>
  </si>
  <si>
    <t>+</t>
  </si>
  <si>
    <t>URC SoftWheat Flr UNBLEACHED T in PP Bag</t>
  </si>
  <si>
    <t>-</t>
  </si>
  <si>
    <t>URC SoftWheat Flr UNBLEACHED V in PP Bag</t>
  </si>
  <si>
    <t>P</t>
  </si>
  <si>
    <t>Globe Flour Regular in PP Bags (EKPI)</t>
  </si>
  <si>
    <t>F</t>
  </si>
  <si>
    <t>Titan Flour in PP Bag</t>
  </si>
  <si>
    <t>Japanese Flour in PP Bags</t>
  </si>
  <si>
    <t>Coarse Bran</t>
  </si>
  <si>
    <t>Hard Bran and Pollard</t>
  </si>
  <si>
    <t>Soft Bran and Pollard</t>
  </si>
  <si>
    <t>Continental APF (Regular) in Cotton Bags</t>
  </si>
  <si>
    <t>Healthy Pasta Flour</t>
  </si>
  <si>
    <t>Galactic Specialized Flour</t>
  </si>
  <si>
    <t>Customized CAPFU in PP Bags</t>
  </si>
  <si>
    <t>Customized Flour UNI in PP Bags</t>
  </si>
  <si>
    <t>Customized Flour RBT in PP Bags</t>
  </si>
  <si>
    <t>Customized Flour PDM in PP Bags</t>
  </si>
  <si>
    <t>Fibra+ Cracked Wheat 1st Break</t>
  </si>
  <si>
    <t>Romanian Wheat Flour (Untreated)</t>
  </si>
  <si>
    <t>Customized FCE in PP Bags</t>
  </si>
  <si>
    <t>Cracked Wheat in PP Bags</t>
  </si>
  <si>
    <t>Customized Flour FPCU1C in PP Bag</t>
  </si>
  <si>
    <t>Customized Flour PB in PP Bag</t>
  </si>
  <si>
    <t>Customized BLSM in PP Bags</t>
  </si>
  <si>
    <t>Customized AFC  in PP Bag</t>
  </si>
  <si>
    <t>URC Soft Wheat Flour in PP Bag - PTR</t>
  </si>
  <si>
    <t>Blossom Flour in PP bag</t>
  </si>
  <si>
    <t>Galactic Flour in PP Bags</t>
  </si>
  <si>
    <t>Universal Flour in Cotton Bags</t>
  </si>
  <si>
    <t>Microbiological Parameters</t>
  </si>
  <si>
    <t>URC Soft Wheat Unbleached-BCFG</t>
  </si>
  <si>
    <t>URC Soft Wheat Unbleached - NUR</t>
  </si>
  <si>
    <t>URC Soft Wheat Unbleached - Thai</t>
  </si>
  <si>
    <t>Customized Wheat Flour RRB</t>
  </si>
  <si>
    <t>Titan Flour</t>
  </si>
  <si>
    <t>Oriental Flour</t>
  </si>
  <si>
    <t>Cleaned Hard Wheat</t>
  </si>
  <si>
    <t>Aerobic Plate Count</t>
  </si>
  <si>
    <t>Coliform Count</t>
  </si>
  <si>
    <t>Yeast Count</t>
  </si>
  <si>
    <t>&lt; 10</t>
  </si>
  <si>
    <t>Mold Count</t>
  </si>
  <si>
    <t>Q3</t>
  </si>
  <si>
    <t>Q2</t>
  </si>
  <si>
    <t>Actual</t>
  </si>
  <si>
    <t>Planned</t>
  </si>
  <si>
    <t>F1 %MC</t>
  </si>
  <si>
    <t xml:space="preserve"> Bran Content</t>
  </si>
  <si>
    <t>%Protein</t>
  </si>
  <si>
    <t>Appearance/ Pekar</t>
  </si>
  <si>
    <t>Resistance, max</t>
  </si>
  <si>
    <t>Odor</t>
  </si>
  <si>
    <t>%Extensibility</t>
  </si>
  <si>
    <t>%Absorption</t>
  </si>
  <si>
    <t>%Ash</t>
  </si>
  <si>
    <t>%Wet Gluten</t>
  </si>
  <si>
    <t>Month</t>
  </si>
  <si>
    <t>Date</t>
  </si>
  <si>
    <t>Time</t>
  </si>
  <si>
    <t>Mill Line</t>
  </si>
  <si>
    <t>Grist</t>
  </si>
  <si>
    <t>Sieve Test</t>
  </si>
  <si>
    <t xml:space="preserve"> QI Bran Content</t>
  </si>
  <si>
    <t>QI Appearance</t>
  </si>
  <si>
    <t>QI Odor</t>
  </si>
  <si>
    <t>QI %MC</t>
  </si>
  <si>
    <t>QI Prot</t>
  </si>
  <si>
    <t>QI Ash</t>
  </si>
  <si>
    <t>QI Abs</t>
  </si>
  <si>
    <t>QI Ext</t>
  </si>
  <si>
    <t>QI Res</t>
  </si>
  <si>
    <t>QI WG</t>
  </si>
  <si>
    <t>TA</t>
  </si>
  <si>
    <t>TP</t>
  </si>
  <si>
    <t>11:00</t>
  </si>
  <si>
    <t>13:00</t>
  </si>
  <si>
    <t>07:00</t>
  </si>
  <si>
    <t>09:00</t>
  </si>
  <si>
    <t>Dark Flour</t>
  </si>
  <si>
    <t>APF</t>
  </si>
  <si>
    <t>0.0080</t>
  </si>
  <si>
    <t>12.38</t>
  </si>
  <si>
    <t>0.34</t>
  </si>
  <si>
    <t>0.0095</t>
  </si>
  <si>
    <t>0.0090</t>
  </si>
  <si>
    <t>0.0092</t>
  </si>
  <si>
    <t>11.90</t>
  </si>
  <si>
    <t>0.35</t>
  </si>
  <si>
    <t>0.0123</t>
  </si>
  <si>
    <t>0.0145</t>
  </si>
  <si>
    <t>0.0108</t>
  </si>
  <si>
    <t>0.0116</t>
  </si>
  <si>
    <t>12.02</t>
  </si>
  <si>
    <t>0.0048</t>
  </si>
  <si>
    <t>0.0068</t>
  </si>
  <si>
    <t>12.19</t>
  </si>
  <si>
    <t>0.36</t>
  </si>
  <si>
    <t>0.0051</t>
  </si>
  <si>
    <t>0.0176</t>
  </si>
  <si>
    <t>0.0053</t>
  </si>
  <si>
    <t>12.29</t>
  </si>
  <si>
    <t>0.0050</t>
  </si>
  <si>
    <t>0.0061</t>
  </si>
  <si>
    <t>12.31</t>
  </si>
  <si>
    <t>0.33</t>
  </si>
  <si>
    <t>0.0060</t>
  </si>
  <si>
    <t>0.0072</t>
  </si>
  <si>
    <t>0.0217/ 0.0162</t>
  </si>
  <si>
    <t>13.44/12.95</t>
  </si>
  <si>
    <t>0.0075</t>
  </si>
  <si>
    <t>08:00</t>
  </si>
  <si>
    <t>12.47</t>
  </si>
  <si>
    <t>0.37</t>
  </si>
  <si>
    <t>0.0043</t>
  </si>
  <si>
    <t>0.0029</t>
  </si>
  <si>
    <t>0.0042</t>
  </si>
  <si>
    <t>11.8</t>
  </si>
  <si>
    <t>0.40</t>
  </si>
  <si>
    <t>0.0063</t>
  </si>
  <si>
    <t>0.0062</t>
  </si>
  <si>
    <t>12.50</t>
  </si>
  <si>
    <t>0.0077</t>
  </si>
  <si>
    <t>0.0056</t>
  </si>
  <si>
    <t>0.0065</t>
  </si>
  <si>
    <t>12.00</t>
  </si>
  <si>
    <t>0.38</t>
  </si>
  <si>
    <t>0.0059</t>
  </si>
  <si>
    <t>0.0041</t>
  </si>
  <si>
    <t>0.0069</t>
  </si>
  <si>
    <t>0.0021</t>
  </si>
  <si>
    <t>0.0047</t>
  </si>
  <si>
    <t>12.49</t>
  </si>
  <si>
    <t>0.0071</t>
  </si>
  <si>
    <t>0.0078</t>
  </si>
  <si>
    <t>12.44</t>
  </si>
  <si>
    <t>0.0066</t>
  </si>
  <si>
    <t>0.0031</t>
  </si>
  <si>
    <t>Product</t>
  </si>
  <si>
    <t>MD</t>
  </si>
  <si>
    <t>PD</t>
  </si>
  <si>
    <t>Actual Result</t>
  </si>
  <si>
    <t>NIR Results</t>
  </si>
  <si>
    <t>%MC</t>
  </si>
  <si>
    <t>Abs</t>
  </si>
  <si>
    <t>WG</t>
  </si>
  <si>
    <t>URC Soft Wheat Flour in PP Bags</t>
  </si>
  <si>
    <t>Titan Flour in PP Bags</t>
  </si>
  <si>
    <t>Blend Flour in PP Bags</t>
  </si>
  <si>
    <t>FPCU1C</t>
  </si>
  <si>
    <t>Globe Flour (Regular) 1 in PP Bags</t>
  </si>
  <si>
    <t>Lilac Soft Flour in PP Bags</t>
  </si>
  <si>
    <t>ADJUSTED - 2</t>
  </si>
  <si>
    <t>Customized Unbleached Hard JBF in PP Bag</t>
  </si>
  <si>
    <t>Column1</t>
  </si>
  <si>
    <t>Shipment</t>
  </si>
  <si>
    <t>Raw %MC</t>
  </si>
  <si>
    <t>%MC T1</t>
  </si>
  <si>
    <t>%MC T2</t>
  </si>
  <si>
    <t>B1 Wheat</t>
  </si>
  <si>
    <t>%MC B1</t>
  </si>
  <si>
    <t>Remarks</t>
  </si>
  <si>
    <t>E</t>
  </si>
  <si>
    <t>MV BULK PARAGUAY</t>
  </si>
  <si>
    <t>06:00</t>
  </si>
  <si>
    <t>10:00</t>
  </si>
  <si>
    <t>12:00</t>
  </si>
  <si>
    <t>BULK PARAGUAY</t>
  </si>
  <si>
    <t>STAR APUS</t>
  </si>
  <si>
    <t>MV STAR APUS</t>
  </si>
  <si>
    <t>Sum of %Absorption</t>
  </si>
  <si>
    <t>Grand Total</t>
  </si>
  <si>
    <t>Coarse Hard Bran</t>
  </si>
  <si>
    <t>Blossom Noodle Flour in PP bag</t>
  </si>
  <si>
    <t>Globe Flour (Unbleached) 1 in PP Bags (Fortified)</t>
  </si>
  <si>
    <t xml:space="preserve">Customized SNL in PP Bags </t>
  </si>
  <si>
    <t>13.13</t>
  </si>
  <si>
    <t>0.5</t>
  </si>
  <si>
    <t>65.6</t>
  </si>
  <si>
    <t>36.8</t>
  </si>
  <si>
    <t>0.46</t>
  </si>
  <si>
    <t>64.3</t>
  </si>
  <si>
    <t>36.20</t>
  </si>
  <si>
    <t>13.39</t>
  </si>
  <si>
    <t>0.49</t>
  </si>
  <si>
    <t>64.90</t>
  </si>
  <si>
    <t>37.40</t>
  </si>
  <si>
    <t>0.42</t>
  </si>
  <si>
    <t>65.0</t>
  </si>
  <si>
    <t>DF</t>
  </si>
  <si>
    <t>0.51</t>
  </si>
  <si>
    <t>66.2</t>
  </si>
  <si>
    <t>35.7</t>
  </si>
  <si>
    <t>0.54</t>
  </si>
  <si>
    <t>65.20</t>
  </si>
  <si>
    <t>0.32</t>
  </si>
  <si>
    <t>65.30</t>
  </si>
  <si>
    <t>33.50</t>
  </si>
  <si>
    <t>13.16</t>
  </si>
  <si>
    <t>0.57</t>
  </si>
  <si>
    <t>64.9</t>
  </si>
  <si>
    <t>36.80</t>
  </si>
  <si>
    <t>12.05</t>
  </si>
  <si>
    <t>63.2</t>
  </si>
  <si>
    <t>33.40</t>
  </si>
  <si>
    <t>64.2</t>
  </si>
  <si>
    <t>37.60</t>
  </si>
  <si>
    <t>0.30</t>
  </si>
  <si>
    <t>63.50</t>
  </si>
  <si>
    <t>33.30</t>
  </si>
  <si>
    <t>QI</t>
  </si>
  <si>
    <t>Percentage</t>
  </si>
  <si>
    <t xml:space="preserve"> QI Bran</t>
  </si>
  <si>
    <t>App</t>
  </si>
  <si>
    <t>QI FN</t>
  </si>
  <si>
    <t>QI Wt</t>
  </si>
  <si>
    <t>QI Seal</t>
  </si>
  <si>
    <t>QI Code</t>
  </si>
  <si>
    <t>total</t>
  </si>
  <si>
    <t>QUALITY</t>
  </si>
  <si>
    <t>PACKING</t>
  </si>
  <si>
    <t>Retail</t>
  </si>
  <si>
    <t>TOTAL COUNT</t>
  </si>
  <si>
    <t>Low MC</t>
  </si>
  <si>
    <t>High MC</t>
  </si>
  <si>
    <t>Low Ash</t>
  </si>
  <si>
    <t>High Ash</t>
  </si>
  <si>
    <t>Low WA</t>
  </si>
  <si>
    <t>High WA</t>
  </si>
  <si>
    <t>Low WG</t>
  </si>
  <si>
    <t>High WG</t>
  </si>
  <si>
    <t>SUBTOTAL</t>
  </si>
  <si>
    <t>DEVIATED</t>
  </si>
  <si>
    <t>FAILED</t>
  </si>
  <si>
    <t>PASSED</t>
  </si>
  <si>
    <t>Packing Line</t>
  </si>
  <si>
    <t>Appearance/
 Pekar</t>
  </si>
  <si>
    <t>AA Spot test</t>
  </si>
  <si>
    <t>Iron Spot test</t>
  </si>
  <si>
    <t>FN, s</t>
  </si>
  <si>
    <t>Gross Weight</t>
  </si>
  <si>
    <t>Sealing Integrity</t>
  </si>
  <si>
    <t>Coding</t>
  </si>
  <si>
    <t>BA REF</t>
  </si>
  <si>
    <t>QI Apperance</t>
  </si>
  <si>
    <t>QI Weight</t>
  </si>
  <si>
    <t>TA2</t>
  </si>
  <si>
    <t>TP2</t>
  </si>
  <si>
    <t>TA3</t>
  </si>
  <si>
    <t>TP3</t>
  </si>
  <si>
    <t>9-% 5% 5%</t>
  </si>
  <si>
    <t>1-% 5% 75% 1-%</t>
  </si>
  <si>
    <t>7-% 2-% 1-%</t>
  </si>
  <si>
    <t>85% 15%</t>
  </si>
  <si>
    <t>85% 5% 10%</t>
  </si>
  <si>
    <t>80% 20%</t>
  </si>
  <si>
    <t>90% 10%</t>
  </si>
  <si>
    <t>95% 5%</t>
  </si>
  <si>
    <t xml:space="preserve"> </t>
  </si>
  <si>
    <t>BB</t>
  </si>
  <si>
    <t>80%  20%</t>
  </si>
  <si>
    <t>85/5/10%</t>
  </si>
  <si>
    <t>95%  5%</t>
  </si>
  <si>
    <t>50%  20%  30%</t>
  </si>
  <si>
    <t>75% 5% 10%</t>
  </si>
  <si>
    <t>88% 5% 10%</t>
  </si>
  <si>
    <t>502/503</t>
  </si>
  <si>
    <t>501/504/505</t>
  </si>
  <si>
    <t xml:space="preserve">95% 5% </t>
  </si>
  <si>
    <t>25% 70% 5%</t>
  </si>
  <si>
    <t>PRODUCT</t>
  </si>
  <si>
    <t>SPECS</t>
  </si>
  <si>
    <t>GENERAL PRODUCT</t>
  </si>
  <si>
    <t>SMI COUNTER</t>
  </si>
  <si>
    <t>% BRAN CONTENT</t>
  </si>
  <si>
    <t>APPEARANCE*</t>
  </si>
  <si>
    <t>ODOR**</t>
  </si>
  <si>
    <t>AA SPOT TEST</t>
  </si>
  <si>
    <t>% MC, min</t>
  </si>
  <si>
    <t>% MC max</t>
  </si>
  <si>
    <t>%PROT, min</t>
  </si>
  <si>
    <t>%PROT, max</t>
  </si>
  <si>
    <t>% ASH, min</t>
  </si>
  <si>
    <t>% ASH, max</t>
  </si>
  <si>
    <t>% WATER ABSORPTION, min</t>
  </si>
  <si>
    <t>% WATER ABSORPTION, max</t>
  </si>
  <si>
    <t>EXTENSIBILITY, cm min</t>
  </si>
  <si>
    <t>EXTENSIBILITY, cm max</t>
  </si>
  <si>
    <t>RESISTANCE ,BU
(@ Max) min</t>
  </si>
  <si>
    <t>RESISTANCE ,BU 
(@ Max) max</t>
  </si>
  <si>
    <t>% WET GLUTEN, min</t>
  </si>
  <si>
    <t>% WET GLUTEN, max</t>
  </si>
  <si>
    <t>Gross Weight, min</t>
  </si>
  <si>
    <t>Gross Weight, max</t>
  </si>
  <si>
    <t>Falling Number</t>
  </si>
  <si>
    <t>pH</t>
  </si>
  <si>
    <t>Australian Wheat Flour in Silo</t>
  </si>
  <si>
    <t>Best Flour</t>
  </si>
  <si>
    <t>0FS-FP-RAD-02 Rev 04</t>
  </si>
  <si>
    <t>Blend 100 Flour</t>
  </si>
  <si>
    <t>0FS-FP-RAD-70 Rev 00</t>
  </si>
  <si>
    <t>Blossom Noodle Flour</t>
  </si>
  <si>
    <t>0FS-FP-RAD-06 Rev 03</t>
  </si>
  <si>
    <t>Cattleya Soft Flour</t>
  </si>
  <si>
    <t>0FS-FP-RND-19 Rev 01</t>
  </si>
  <si>
    <t>0FS-FP-RAD-10 Rev 04</t>
  </si>
  <si>
    <t>Continental APF</t>
  </si>
  <si>
    <t>0FS-FP-RAD-42 Rev 01</t>
  </si>
  <si>
    <t>0FS-FP-RND-26 Rev 01</t>
  </si>
  <si>
    <t>Customized Flour for NOODLES</t>
  </si>
  <si>
    <t>Customized Flour FPCH01</t>
  </si>
  <si>
    <t>0FS-FP-RAD-52 Rev 01</t>
  </si>
  <si>
    <t>Customized Flour FPCU1C</t>
  </si>
  <si>
    <t>0FS-FP-RAD-55 Rev 01</t>
  </si>
  <si>
    <t>Customized Flour FSN</t>
  </si>
  <si>
    <t>Customized Flour HLW-04 in PP Bag</t>
  </si>
  <si>
    <t>0FS-FP-RAD-68 Rev 00</t>
  </si>
  <si>
    <t>Customized Flour HLW-04</t>
  </si>
  <si>
    <t>Customized Flour PB in PP bags</t>
  </si>
  <si>
    <t>0FS-FP-RAD-54 Rev 01</t>
  </si>
  <si>
    <t>Customized Flour P001</t>
  </si>
  <si>
    <t>Customized Flour R2N in PP bags</t>
  </si>
  <si>
    <t>Customized Flour R2N</t>
  </si>
  <si>
    <t>0FS-FP-RAD-93 Rev 00</t>
  </si>
  <si>
    <t>Customized Flour RRB</t>
  </si>
  <si>
    <t>Customized Flour SHK in PP bags</t>
  </si>
  <si>
    <t>0FS-FP-RAD-89 Rev 00</t>
  </si>
  <si>
    <t>Customized Flour SHK</t>
  </si>
  <si>
    <t>Customized Flour SLF</t>
  </si>
  <si>
    <t>Customized Flour SNL</t>
  </si>
  <si>
    <t>Customized Flour UHF-02 in PP Bag</t>
  </si>
  <si>
    <t>0FS-FP-RAD-73 Rev 00</t>
  </si>
  <si>
    <t>Customized Flour UHF</t>
  </si>
  <si>
    <t>Customized Unbleached Hard JBF in Bulk</t>
  </si>
  <si>
    <t>Customized Unbleached Hard JBF</t>
  </si>
  <si>
    <t>0FS-FP-RAD-09 Rev 03</t>
  </si>
  <si>
    <t>4.0 - 4.4</t>
  </si>
  <si>
    <t>Fibra+ Cracked Wheat Flr in PP Bag</t>
  </si>
  <si>
    <t>0FS-FP-RAD-15 Rev 02</t>
  </si>
  <si>
    <t>Fibra+ Cracked Wheat Flour</t>
  </si>
  <si>
    <t>0FS-FP-RAD-14 Rev 02</t>
  </si>
  <si>
    <t>Fibra+ Whole Wheat FINE Flour</t>
  </si>
  <si>
    <t>0FS-FP-RAD-13 Rev 02</t>
  </si>
  <si>
    <t>Fibra+ Whole Wheat Flour</t>
  </si>
  <si>
    <t>Fibra+ Whole Wheat Flour  in PP Bags (Kilpatricks)</t>
  </si>
  <si>
    <t>0FS-FP-RAD-21 Rev 02</t>
  </si>
  <si>
    <t>0FS-FP-RAD-12 Rev 02</t>
  </si>
  <si>
    <t>Galactic Flour</t>
  </si>
  <si>
    <t>0FS-FP-RAD-01 Rev 04</t>
  </si>
  <si>
    <t>Globe Flour EKPI</t>
  </si>
  <si>
    <t>Globe Flour</t>
  </si>
  <si>
    <t>Globe Flour (APF Ex)</t>
  </si>
  <si>
    <t>0FS-FP-RAD-22 Rev 04</t>
  </si>
  <si>
    <t>Globe Flour (Unbleached) BULK</t>
  </si>
  <si>
    <t>0FS-FP-RAD-17 Rev 03</t>
  </si>
  <si>
    <t>Hard Cracker Flour in PP Bags (Fortified)</t>
  </si>
  <si>
    <t>Hard Red winter Flour in Silo</t>
  </si>
  <si>
    <t>Japanese Noodle Flour in PP Bags</t>
  </si>
  <si>
    <t>0FS-FP-RND-48 Rev 01</t>
  </si>
  <si>
    <t>Japanese Noodle Flour</t>
  </si>
  <si>
    <t>0FS-FP-RAD-65 Rev 00</t>
  </si>
  <si>
    <t>0FS-FP-RAD-63 Rev 02</t>
  </si>
  <si>
    <t>My Rose Soft Flour</t>
  </si>
  <si>
    <t>0FS-FP-RAD-05 Rev 03</t>
  </si>
  <si>
    <t>0FS-FP-RAD-11 Rev 03</t>
  </si>
  <si>
    <t>Noodelicious Noodle Flour in</t>
  </si>
  <si>
    <t>Oriental Lumpia Wrapper Flour in PP bag</t>
  </si>
  <si>
    <t>Oriental Lumpia Wrapper Flour</t>
  </si>
  <si>
    <t>0FS-FP-RAD-04 Rev 04</t>
  </si>
  <si>
    <t>Sampaguita Flour EKPI</t>
  </si>
  <si>
    <t>Sampaguita EK Flour in Silo</t>
  </si>
  <si>
    <t>Sampaguita Flour in Silo</t>
  </si>
  <si>
    <t>Sampaguita Soft Flour in PP Bag (APC)</t>
  </si>
  <si>
    <t>0FS-FP-RAD-28 Rev 05</t>
  </si>
  <si>
    <t>0FS-FP-RAD-85 Rev 00</t>
  </si>
  <si>
    <t>0FS-FP-RAD-03 Rev 03</t>
  </si>
  <si>
    <t>Universal Flour Untreated in PP Bag</t>
  </si>
  <si>
    <t>0FS-FP-RAD-03 Rev 02</t>
  </si>
  <si>
    <t>URC Soft Wheat Flour BULK</t>
  </si>
  <si>
    <t>0FS-FP-RAD-08 Rev 06</t>
  </si>
  <si>
    <t>URC Soft Wheat Flour Unbleached</t>
  </si>
  <si>
    <t>URC Soft Wheat Flour BULK BCFG</t>
  </si>
  <si>
    <t>URC Soft Wheat Flour Unbleached BCFG</t>
  </si>
  <si>
    <t>URC Soft Wheat Flour Unbleached NUR</t>
  </si>
  <si>
    <t>URC Soft Wheat Flour in PP Bags (Fortified)</t>
  </si>
  <si>
    <t>0FS-FP-RAD-07 Rev 01</t>
  </si>
  <si>
    <t>0FS-FP-RAD-29 Rev 02</t>
  </si>
  <si>
    <t>Wheat Germ</t>
  </si>
  <si>
    <t>0FS-FP-RND-18 Rev 01</t>
  </si>
  <si>
    <t>Customized Flour RLF</t>
  </si>
  <si>
    <t>Customized RRB in PP bags</t>
  </si>
  <si>
    <t>Customized PB in PP Bags</t>
  </si>
  <si>
    <t>4.5-5</t>
  </si>
  <si>
    <t>x</t>
  </si>
  <si>
    <t>NOTE:</t>
  </si>
  <si>
    <t>*Free-flowing fine powder, white to off-white in 
color, free from infestation and foreign materials</t>
  </si>
  <si>
    <t>**Typical wheat flour odor, no off-odor</t>
  </si>
  <si>
    <t>URC FLOUR QA - PASIG MILL E REPORT</t>
  </si>
  <si>
    <t>Milling Date</t>
  </si>
  <si>
    <t>WHEAT TEMPERING</t>
  </si>
  <si>
    <t>FEED-TO-MILL</t>
  </si>
  <si>
    <t>REMARKS</t>
  </si>
  <si>
    <t>Wheat Shipment</t>
  </si>
  <si>
    <t>Wheat Silo</t>
  </si>
  <si>
    <t>T1 Bin</t>
  </si>
  <si>
    <t>T1 %MC</t>
  </si>
  <si>
    <t>T2 Bin</t>
  </si>
  <si>
    <t>T2 %MC</t>
  </si>
  <si>
    <t>B1 Bin</t>
  </si>
  <si>
    <t>B1 %MC</t>
  </si>
  <si>
    <t>F1 Silo</t>
  </si>
  <si>
    <t>Sieve Test 
(F = Infested, with contam)</t>
  </si>
  <si>
    <t>Appearance/ Pekar
(F = Dark)</t>
  </si>
  <si>
    <t>Odor
(P/F)</t>
  </si>
  <si>
    <r>
      <t xml:space="preserve">F1 MILLING </t>
    </r>
    <r>
      <rPr>
        <b/>
        <i/>
        <sz val="12"/>
        <color theme="0"/>
        <rFont val="Calibri"/>
        <family val="2"/>
        <scheme val="minor"/>
      </rPr>
      <t>(FOR QUALITATIVE PARAMETERS, PUT "P" IF ACCEPTABLE, OTHERWISE PUT "F")</t>
    </r>
  </si>
  <si>
    <r>
      <t xml:space="preserve">F3 MILLING </t>
    </r>
    <r>
      <rPr>
        <b/>
        <i/>
        <sz val="12"/>
        <color theme="0"/>
        <rFont val="Calibri"/>
        <family val="2"/>
        <scheme val="minor"/>
      </rPr>
      <t>(FOR QUALITATIVE PARAMETERS, PUT "P" IF ACCEPTABLE, OTHERWISE PUT "F")</t>
    </r>
  </si>
  <si>
    <t>URC FLOUR QA - PASIG PACKING REPORT</t>
  </si>
  <si>
    <t>Packing Date</t>
  </si>
  <si>
    <t>Packing Bin</t>
  </si>
  <si>
    <t>Sieve Test 
(F = Infested, 
with contam)</t>
  </si>
  <si>
    <t>Appearance/
Pekar
(F = Dark)</t>
  </si>
  <si>
    <t>AA Spot Test
(+/-)</t>
  </si>
  <si>
    <t>Iron Test
(+/-)</t>
  </si>
  <si>
    <t>Absorptoin</t>
  </si>
  <si>
    <t>Gross Weight, kg</t>
  </si>
  <si>
    <t>Sealing Integrity
(P/F)</t>
  </si>
  <si>
    <t>Coding
(P/F)</t>
  </si>
  <si>
    <t>CAROUSEL 2 (FOR QUALITATIVE PARAMETERS, PUT "P" IF ACCEPTABLE AS INSTRUCTED, OTHERWISE PUT "F")</t>
  </si>
  <si>
    <t xml:space="preserve">  </t>
  </si>
  <si>
    <t>CAROUSEL 3 (FOR QUALITATIVE PARAMETERS, PUT "P" IF ACCEPTABLE AS INSTRUCTED, OTHERWISE PUT "F")</t>
  </si>
  <si>
    <r>
      <t xml:space="preserve">RETAIL </t>
    </r>
    <r>
      <rPr>
        <b/>
        <i/>
        <sz val="12"/>
        <color theme="0"/>
        <rFont val="Calibri"/>
        <family val="2"/>
        <scheme val="minor"/>
      </rPr>
      <t>(FOR QUALITATIVE PARAMETERS, PUT "P" IF ACCEPTABLE AS INSTRUCTED, OTHERWISE PUT "F")</t>
    </r>
  </si>
  <si>
    <t>Universal Robina Corp. - Flour Division</t>
  </si>
  <si>
    <t>Report Date:</t>
  </si>
  <si>
    <t>Instructions:
1. Click Wheat Transfer if data ara available.
2. Click Mill E Data Transfer if data are available.
3. Click CAR 1-3 Data Transfer if data are available.
4. Generate Reports then save as Excel.
5. Click Save and Clear.</t>
  </si>
  <si>
    <t>URC Flour - Pasig</t>
  </si>
  <si>
    <t>Technology Department</t>
  </si>
  <si>
    <r>
      <t xml:space="preserve">QA Database for Flour v2.0 - URCF    </t>
    </r>
    <r>
      <rPr>
        <i/>
        <sz val="12"/>
        <color indexed="30"/>
        <rFont val="Calibri"/>
        <family val="2"/>
        <scheme val="minor"/>
      </rPr>
      <t>Powered by: AGP</t>
    </r>
  </si>
  <si>
    <t>WHEAT DATA</t>
  </si>
  <si>
    <t>MILLING DATA</t>
  </si>
  <si>
    <t>CAROUSEL DATA</t>
  </si>
  <si>
    <t>FPI</t>
  </si>
  <si>
    <t>Infestation</t>
  </si>
  <si>
    <t>Total Quality</t>
  </si>
  <si>
    <t>Packaging</t>
  </si>
  <si>
    <t>Sum of TA</t>
  </si>
  <si>
    <t>Sum of TP</t>
  </si>
  <si>
    <t>Sum of TA2</t>
  </si>
  <si>
    <t>Sum of TP2</t>
  </si>
  <si>
    <t>Sum of TA3</t>
  </si>
  <si>
    <t>Sum of TP3</t>
  </si>
  <si>
    <t>QI Score</t>
  </si>
  <si>
    <t>FPI - Quality</t>
  </si>
  <si>
    <t>FPI - Packaging</t>
  </si>
  <si>
    <t>Details for Sum of TA2 - Month: 9/1/2026</t>
  </si>
  <si>
    <t>Applicable for Ash</t>
  </si>
  <si>
    <t>Actual %MC</t>
  </si>
  <si>
    <t>Corrected @14% MC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</si>
</sst>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1" formatCode="_(* #,##0_);_(* \(#,##0\);_(* &quot;-&quot;_);_(@_)"/>
    <numFmt numFmtId="43" formatCode="_(* #,##0.00_);_(* \(#,##0.00\);_(* &quot;-&quot;??_);_(@_)"/>
    <numFmt numFmtId="164" formatCode="[$-409]mmmm\ d\,\ yyyy;@"/>
    <numFmt numFmtId="165" formatCode="[$-409]mmm\-yy;@"/>
    <numFmt numFmtId="166" formatCode="[$-409]d\-mmm\-yy;@"/>
    <numFmt numFmtId="167" formatCode="[$-3409]mmmm\ dd\,\ yyyy;@"/>
    <numFmt numFmtId="168" formatCode="0.000"/>
    <numFmt numFmtId="169" formatCode="mm\/dd\/yyyy"/>
    <numFmt numFmtId="170" formatCode="h:mm;@"/>
    <numFmt numFmtId="171" formatCode="_(* #,##0.0000_);_(* \(#,##0.0000\);_(* &quot;-&quot;??_);_(@_)"/>
    <numFmt numFmtId="172" formatCode="[$-409]d\-mmm\-yyyy;@"/>
    <numFmt numFmtId="173" formatCode="0.0000"/>
    <numFmt numFmtId="174" formatCode="_(* #,##0.0_);_(* \(#,##0.0\);_(* &quot;-&quot;??_);_(@_)"/>
    <numFmt numFmtId="175" formatCode="_(* #,##0_);_(* \(#,##0\);_(* &quot;-&quot;??_);_(@_)"/>
    <numFmt numFmtId="176" formatCode="0.0%"/>
  </numFmts>
  <fonts count="58" x14ac:knownFonts="1">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2"/>
      <name val="Calibri"/>
      <family val="2"/>
      <scheme val="minor"/>
    </font>
    <font>
      <sz val="12"/>
      <color theme="1"/>
      <name val="Calibri"/>
      <family val="2"/>
      <scheme val="minor"/>
    </font>
    <font>
      <i/>
      <sz val="12"/>
      <color indexed="30"/>
      <name val="Calibri"/>
      <family val="2"/>
      <scheme val="minor"/>
    </font>
    <font>
      <b/>
      <sz val="12"/>
      <color indexed="9"/>
      <name val="Calibri"/>
      <family val="2"/>
      <scheme val="minor"/>
    </font>
    <font>
      <b/>
      <sz val="12"/>
      <color indexed="10"/>
      <name val="Calibri"/>
      <family val="2"/>
      <scheme val="minor"/>
    </font>
    <font>
      <sz val="14"/>
      <color theme="1"/>
      <name val="Calibri"/>
      <family val="2"/>
      <scheme val="minor"/>
    </font>
    <font>
      <b/>
      <sz val="12"/>
      <color theme="1"/>
      <name val="Calibri"/>
      <family val="2"/>
      <scheme val="minor"/>
    </font>
    <font>
      <sz val="8"/>
      <name val="Calibri"/>
      <family val="2"/>
      <scheme val="minor"/>
    </font>
    <font>
      <b/>
      <sz val="2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6"/>
      <color theme="4"/>
      <name val="Calibri"/>
      <family val="2"/>
      <scheme val="minor"/>
    </font>
    <font>
      <b/>
      <sz val="18"/>
      <color theme="4"/>
      <name val="Calibri"/>
      <family val="2"/>
      <scheme val="minor"/>
    </font>
    <font>
      <b/>
      <sz val="12"/>
      <color theme="0"/>
      <name val="Calibri"/>
      <family val="2"/>
      <scheme val="minor"/>
    </font>
    <font>
      <b/>
      <i/>
      <sz val="12"/>
      <color theme="0"/>
      <name val="Calibri"/>
      <family val="2"/>
      <scheme val="minor"/>
    </font>
    <font>
      <b/>
      <sz val="10"/>
      <name val="Calibri"/>
      <family val="2"/>
      <scheme val="minor"/>
    </font>
    <font>
      <sz val="10"/>
      <name val="Cambria"/>
      <family val="1"/>
    </font>
    <font>
      <b/>
      <sz val="10"/>
      <color theme="0"/>
      <name val="Calibri"/>
      <family val="2"/>
      <scheme val="minor"/>
    </font>
    <font>
      <sz val="10"/>
      <name val="Calibri"/>
      <family val="2"/>
      <scheme val="minor"/>
    </font>
    <font>
      <b/>
      <sz val="10"/>
      <color rgb="FF000000"/>
      <name val="Calibri"/>
      <family val="2"/>
      <scheme val="minor"/>
    </font>
    <font>
      <sz val="12"/>
      <color rgb="FF000000"/>
      <name val="Calibri"/>
      <family val="2"/>
      <scheme val="minor"/>
    </font>
    <font>
      <b/>
      <sz val="12"/>
      <color rgb="FF000000"/>
      <name val="Calibri"/>
      <family val="2"/>
      <scheme val="minor"/>
    </font>
    <font>
      <b/>
      <sz val="12"/>
      <color rgb="FFFFFFFF"/>
      <name val="Calibri"/>
      <family val="2"/>
      <scheme val="minor"/>
    </font>
    <font>
      <i/>
      <sz val="12"/>
      <color rgb="FF000000"/>
      <name val="Calibri"/>
      <family val="2"/>
      <scheme val="minor"/>
    </font>
    <font>
      <sz val="12"/>
      <color indexed="9"/>
      <name val="Calibri"/>
      <family val="2"/>
      <scheme val="minor"/>
    </font>
    <font>
      <sz val="10"/>
      <color rgb="FF000000"/>
      <name val="Calibri"/>
      <family val="2"/>
      <scheme val="minor"/>
    </font>
    <font>
      <b/>
      <sz val="11"/>
      <color theme="1"/>
      <name val="Calibri"/>
      <family val="2"/>
      <scheme val="minor"/>
    </font>
    <font>
      <sz val="9"/>
      <color theme="1"/>
      <name val="Calibri"/>
      <family val="2"/>
      <scheme val="minor"/>
    </font>
    <font>
      <b/>
      <sz val="12"/>
      <color rgb="FFFF0000"/>
      <name val="Calibri"/>
      <family val="2"/>
      <scheme val="minor"/>
    </font>
    <font>
      <sz val="12"/>
      <color theme="7"/>
      <name val="Calibri"/>
      <family val="2"/>
      <scheme val="minor"/>
    </font>
    <font>
      <sz val="11"/>
      <color indexed="9"/>
      <name val="Calibri"/>
      <family val="2"/>
      <scheme val="minor"/>
    </font>
    <font>
      <b/>
      <sz val="48"/>
      <name val="Calibri"/>
      <family val="2"/>
    </font>
    <font>
      <sz val="48"/>
      <name val="Calibri"/>
      <family val="2"/>
    </font>
    <font>
      <sz val="48"/>
      <color theme="1"/>
      <name val="Calibri"/>
      <family val="2"/>
      <scheme val="minor"/>
    </font>
    <font>
      <sz val="11"/>
      <color rgb="FF000000"/>
      <name val="Calibri"/>
      <family val="2"/>
      <scheme val="minor"/>
    </font>
    <font>
      <sz val="10"/>
      <color rgb="FF242424"/>
      <name val="Aptos Narrow"/>
      <family val="2"/>
    </font>
  </fonts>
  <fills count="5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3"/>
        <bgColor indexed="64"/>
      </patternFill>
    </fill>
    <fill>
      <patternFill patternType="solid">
        <fgColor indexed="47"/>
        <bgColor indexed="64"/>
      </patternFill>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6"/>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FC000"/>
        <bgColor indexed="64"/>
      </patternFill>
    </fill>
    <fill>
      <patternFill patternType="solid">
        <fgColor theme="3" tint="0.39997558519241921"/>
        <bgColor indexed="64"/>
      </patternFill>
    </fill>
    <fill>
      <patternFill patternType="solid">
        <fgColor theme="5"/>
        <bgColor indexed="64"/>
      </patternFill>
    </fill>
    <fill>
      <patternFill patternType="solid">
        <fgColor theme="6" tint="-0.499984740745262"/>
        <bgColor indexed="64"/>
      </patternFill>
    </fill>
    <fill>
      <patternFill patternType="solid">
        <fgColor theme="4"/>
        <bgColor indexed="64"/>
      </patternFill>
    </fill>
    <fill>
      <patternFill patternType="solid">
        <fgColor theme="8"/>
        <bgColor indexed="64"/>
      </patternFill>
    </fill>
    <fill>
      <patternFill patternType="solid">
        <fgColor rgb="FF000000"/>
        <bgColor rgb="FF000000"/>
      </patternFill>
    </fill>
    <fill>
      <patternFill patternType="solid">
        <fgColor rgb="FFFCE4D6"/>
        <bgColor rgb="FF000000"/>
      </patternFill>
    </fill>
    <fill>
      <patternFill patternType="solid">
        <fgColor rgb="FFFFFFFF"/>
        <bgColor rgb="FF000000"/>
      </patternFill>
    </fill>
    <fill>
      <patternFill patternType="solid">
        <fgColor rgb="FFD9E1F2"/>
        <bgColor rgb="FF000000"/>
      </patternFill>
    </fill>
    <fill>
      <patternFill patternType="solid">
        <fgColor rgb="FFFFF2CC"/>
        <bgColor rgb="FF000000"/>
      </patternFill>
    </fill>
    <fill>
      <patternFill patternType="solid">
        <fgColor theme="2" tint="-9.9978637043366805E-2"/>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2" tint="-0.749992370372631"/>
        <bgColor indexed="64"/>
      </patternFill>
    </fill>
    <fill>
      <patternFill patternType="solid">
        <fgColor rgb="FFC00000"/>
        <bgColor indexed="64"/>
      </patternFill>
    </fill>
    <fill>
      <patternFill patternType="solid">
        <fgColor theme="2" tint="-0.249977111117893"/>
        <bgColor indexed="64"/>
      </patternFill>
    </fill>
    <fill>
      <patternFill patternType="solid">
        <fgColor theme="0"/>
        <bgColor theme="0" tint="-0.14999847407452621"/>
      </patternFill>
    </fill>
    <fill>
      <patternFill patternType="solid">
        <fgColor rgb="FFFFFFFF"/>
        <bgColor rgb="FFD9D9D9"/>
      </patternFill>
    </fill>
    <fill>
      <patternFill patternType="solid">
        <fgColor theme="0"/>
        <bgColor rgb="FF000000"/>
      </patternFill>
    </fill>
  </fills>
  <borders count="5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bottom/>
      <diagonal/>
    </border>
    <border>
      <left/>
      <right style="medium">
        <color auto="1"/>
      </right>
      <top/>
      <bottom/>
      <diagonal/>
    </border>
    <border>
      <left/>
      <right style="thin">
        <color indexed="64"/>
      </right>
      <top/>
      <bottom style="thin">
        <color indexed="64"/>
      </bottom>
      <diagonal/>
    </border>
    <border>
      <left/>
      <right style="thin">
        <color auto="1"/>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1"/>
      </top>
      <bottom style="thin">
        <color theme="1"/>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indexed="64"/>
      </left>
      <right/>
      <top style="thin">
        <color indexed="64"/>
      </top>
      <bottom style="thin">
        <color theme="1"/>
      </bottom>
      <diagonal/>
    </border>
  </borders>
  <cellStyleXfs count="239">
    <xf numFmtId="0" fontId="0" fillId="0" borderId="0"/>
    <xf numFmtId="0" fontId="2"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 fillId="0" borderId="0"/>
    <xf numFmtId="0" fontId="16" fillId="23" borderId="7" applyNumberFormat="0" applyFon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16"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16" fillId="23" borderId="7" applyNumberFormat="0" applyFon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16" fillId="23" borderId="7" applyNumberFormat="0" applyFon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23" borderId="7" applyNumberFormat="0" applyFon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1" fillId="0" borderId="0"/>
    <xf numFmtId="0" fontId="16" fillId="23" borderId="7" applyNumberFormat="0" applyFont="0" applyAlignment="0" applyProtection="0"/>
    <xf numFmtId="0" fontId="17" fillId="20" borderId="8" applyNumberForma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19" fillId="0" borderId="9" applyNumberFormat="0" applyFill="0" applyAlignment="0" applyProtection="0"/>
    <xf numFmtId="0" fontId="20" fillId="0" borderId="0" applyNumberFormat="0" applyFill="0" applyBorder="0" applyAlignment="0" applyProtection="0"/>
    <xf numFmtId="43" fontId="1" fillId="0" borderId="0" applyFont="0" applyFill="0" applyBorder="0" applyAlignment="0" applyProtection="0"/>
    <xf numFmtId="0" fontId="2" fillId="0" borderId="0"/>
    <xf numFmtId="0" fontId="2" fillId="23" borderId="7" applyNumberFormat="0" applyFont="0" applyAlignment="0" applyProtection="0"/>
    <xf numFmtId="0" fontId="2" fillId="0" borderId="0"/>
    <xf numFmtId="0" fontId="2" fillId="0" borderId="0"/>
    <xf numFmtId="0" fontId="2" fillId="0" borderId="0"/>
    <xf numFmtId="0" fontId="2" fillId="23" borderId="7" applyNumberFormat="0" applyFont="0" applyAlignment="0" applyProtection="0"/>
    <xf numFmtId="0" fontId="2" fillId="0" borderId="0"/>
    <xf numFmtId="0" fontId="2" fillId="0" borderId="0"/>
    <xf numFmtId="0" fontId="2" fillId="23" borderId="7" applyNumberFormat="0" applyFont="0" applyAlignment="0" applyProtection="0"/>
    <xf numFmtId="0" fontId="2" fillId="0" borderId="0"/>
    <xf numFmtId="0" fontId="2" fillId="23" borderId="7" applyNumberFormat="0" applyFont="0" applyAlignment="0" applyProtection="0"/>
    <xf numFmtId="0" fontId="2" fillId="0" borderId="0"/>
    <xf numFmtId="0" fontId="2" fillId="0" borderId="0"/>
    <xf numFmtId="0" fontId="2" fillId="23" borderId="7" applyNumberFormat="0" applyFont="0" applyAlignment="0" applyProtection="0"/>
    <xf numFmtId="9" fontId="1" fillId="0" borderId="0" applyFont="0" applyFill="0" applyBorder="0" applyAlignment="0" applyProtection="0"/>
    <xf numFmtId="43" fontId="1" fillId="0" borderId="0" applyFont="0" applyFill="0" applyBorder="0" applyAlignment="0" applyProtection="0"/>
  </cellStyleXfs>
  <cellXfs count="427">
    <xf numFmtId="0" fontId="0" fillId="0" borderId="0" xfId="0"/>
    <xf numFmtId="165" fontId="24" fillId="28" borderId="0" xfId="83" applyNumberFormat="1" applyFont="1" applyFill="1" applyAlignment="1">
      <alignment horizontal="center"/>
    </xf>
    <xf numFmtId="166" fontId="24" fillId="28" borderId="0" xfId="83" applyNumberFormat="1" applyFont="1" applyFill="1" applyAlignment="1">
      <alignment horizontal="center"/>
    </xf>
    <xf numFmtId="41" fontId="24" fillId="28" borderId="0" xfId="83" applyNumberFormat="1" applyFont="1" applyFill="1" applyAlignment="1">
      <alignment horizontal="center"/>
    </xf>
    <xf numFmtId="0" fontId="24" fillId="28" borderId="0" xfId="0" applyFont="1" applyFill="1" applyAlignment="1">
      <alignment horizontal="center" vertical="center" wrapText="1"/>
    </xf>
    <xf numFmtId="43" fontId="24" fillId="28" borderId="0" xfId="222" applyFont="1" applyFill="1" applyBorder="1" applyAlignment="1" applyProtection="1">
      <alignment horizontal="center" vertical="center"/>
    </xf>
    <xf numFmtId="49" fontId="21" fillId="26" borderId="0" xfId="1" applyNumberFormat="1" applyFont="1" applyFill="1" applyAlignment="1">
      <alignment horizontal="center" vertical="center"/>
    </xf>
    <xf numFmtId="0" fontId="22" fillId="26" borderId="0" xfId="0" applyFont="1" applyFill="1" applyAlignment="1">
      <alignment horizontal="center" vertical="center"/>
    </xf>
    <xf numFmtId="0" fontId="22" fillId="0" borderId="0" xfId="0" applyFont="1" applyAlignment="1">
      <alignment horizontal="center" vertical="center"/>
    </xf>
    <xf numFmtId="0" fontId="26" fillId="26" borderId="0" xfId="0" applyFont="1" applyFill="1" applyAlignment="1">
      <alignment horizontal="center" vertical="center"/>
    </xf>
    <xf numFmtId="43" fontId="22" fillId="26" borderId="0" xfId="222" applyFont="1" applyFill="1" applyAlignment="1" applyProtection="1">
      <alignment horizontal="center" vertical="center"/>
    </xf>
    <xf numFmtId="165" fontId="22" fillId="26" borderId="0" xfId="0" applyNumberFormat="1" applyFont="1" applyFill="1" applyAlignment="1" applyProtection="1">
      <alignment horizontal="center" vertical="center"/>
      <protection locked="0"/>
    </xf>
    <xf numFmtId="164" fontId="22" fillId="26" borderId="0" xfId="0" applyNumberFormat="1" applyFont="1" applyFill="1" applyAlignment="1" applyProtection="1">
      <alignment horizontal="center" vertical="center"/>
      <protection locked="0"/>
    </xf>
    <xf numFmtId="0" fontId="22" fillId="26" borderId="0" xfId="0" applyFont="1" applyFill="1" applyAlignment="1" applyProtection="1">
      <alignment horizontal="center" vertical="center"/>
      <protection locked="0"/>
    </xf>
    <xf numFmtId="43" fontId="22" fillId="26" borderId="0" xfId="222" applyFont="1" applyFill="1" applyAlignment="1" applyProtection="1">
      <alignment horizontal="center" vertical="center"/>
      <protection locked="0"/>
    </xf>
    <xf numFmtId="0" fontId="22" fillId="26" borderId="0" xfId="0" applyFont="1" applyFill="1" applyProtection="1">
      <protection locked="0"/>
    </xf>
    <xf numFmtId="165" fontId="24" fillId="28" borderId="0" xfId="0" applyNumberFormat="1" applyFont="1" applyFill="1" applyAlignment="1" applyProtection="1">
      <alignment horizontal="center" vertical="center" wrapText="1"/>
      <protection locked="0"/>
    </xf>
    <xf numFmtId="164" fontId="24" fillId="28" borderId="0" xfId="0" applyNumberFormat="1" applyFont="1" applyFill="1" applyAlignment="1" applyProtection="1">
      <alignment horizontal="center" vertical="center" wrapText="1"/>
      <protection locked="0"/>
    </xf>
    <xf numFmtId="165" fontId="22" fillId="26" borderId="0" xfId="222" applyNumberFormat="1" applyFont="1" applyFill="1" applyAlignment="1" applyProtection="1">
      <alignment horizontal="center" vertical="center"/>
      <protection locked="0"/>
    </xf>
    <xf numFmtId="164" fontId="22" fillId="26" borderId="0" xfId="222" applyNumberFormat="1" applyFont="1" applyFill="1" applyAlignment="1" applyProtection="1">
      <alignment horizontal="center" vertical="center"/>
      <protection locked="0"/>
    </xf>
    <xf numFmtId="0" fontId="21" fillId="26" borderId="0" xfId="0" applyFont="1" applyFill="1" applyAlignment="1">
      <alignment horizontal="center" vertical="center"/>
    </xf>
    <xf numFmtId="43" fontId="24" fillId="28" borderId="0" xfId="222" applyFont="1" applyFill="1" applyAlignment="1" applyProtection="1">
      <alignment horizontal="center"/>
    </xf>
    <xf numFmtId="43" fontId="26" fillId="26" borderId="0" xfId="222" applyFont="1" applyFill="1" applyAlignment="1">
      <alignment horizontal="center" vertical="center"/>
    </xf>
    <xf numFmtId="0" fontId="22" fillId="26" borderId="0" xfId="0" applyFont="1" applyFill="1" applyAlignment="1" applyProtection="1">
      <alignment horizontal="center"/>
      <protection locked="0"/>
    </xf>
    <xf numFmtId="0" fontId="27" fillId="26" borderId="0" xfId="0" applyFont="1" applyFill="1" applyAlignment="1" applyProtection="1">
      <alignment horizontal="center"/>
      <protection locked="0"/>
    </xf>
    <xf numFmtId="49" fontId="32" fillId="26" borderId="10" xfId="0" applyNumberFormat="1" applyFont="1" applyFill="1" applyBorder="1" applyAlignment="1">
      <alignment horizontal="center" vertical="center" wrapText="1"/>
    </xf>
    <xf numFmtId="43" fontId="32" fillId="26" borderId="10" xfId="0" applyNumberFormat="1" applyFont="1" applyFill="1" applyBorder="1" applyAlignment="1">
      <alignment horizontal="center" vertical="center" wrapText="1"/>
    </xf>
    <xf numFmtId="171" fontId="22" fillId="26" borderId="0" xfId="222" applyNumberFormat="1" applyFont="1" applyFill="1" applyAlignment="1" applyProtection="1">
      <alignment horizontal="center" vertical="center"/>
      <protection locked="0"/>
    </xf>
    <xf numFmtId="20" fontId="22" fillId="26" borderId="0" xfId="0" applyNumberFormat="1" applyFont="1" applyFill="1" applyAlignment="1" applyProtection="1">
      <alignment horizontal="center" vertical="center"/>
      <protection locked="0"/>
    </xf>
    <xf numFmtId="20" fontId="24" fillId="28" borderId="0" xfId="0" applyNumberFormat="1" applyFont="1" applyFill="1" applyAlignment="1" applyProtection="1">
      <alignment horizontal="center" vertical="center" wrapText="1"/>
      <protection locked="0"/>
    </xf>
    <xf numFmtId="165" fontId="22" fillId="26" borderId="0" xfId="0" applyNumberFormat="1" applyFont="1" applyFill="1" applyAlignment="1">
      <alignment horizontal="center" vertical="center"/>
    </xf>
    <xf numFmtId="164" fontId="22" fillId="26" borderId="0" xfId="0" applyNumberFormat="1" applyFont="1" applyFill="1" applyAlignment="1">
      <alignment horizontal="center" vertical="center"/>
    </xf>
    <xf numFmtId="20" fontId="22" fillId="26" borderId="0" xfId="0" applyNumberFormat="1" applyFont="1" applyFill="1" applyAlignment="1">
      <alignment horizontal="center" vertical="center"/>
    </xf>
    <xf numFmtId="0" fontId="22" fillId="26" borderId="0" xfId="0" applyFont="1" applyFill="1" applyAlignment="1">
      <alignment horizontal="center"/>
    </xf>
    <xf numFmtId="0" fontId="31" fillId="26" borderId="0" xfId="0" applyFont="1" applyFill="1" applyAlignment="1">
      <alignment vertical="center"/>
    </xf>
    <xf numFmtId="20" fontId="31" fillId="26" borderId="0" xfId="0" applyNumberFormat="1" applyFont="1" applyFill="1" applyAlignment="1">
      <alignment vertical="center"/>
    </xf>
    <xf numFmtId="2" fontId="37" fillId="26" borderId="0" xfId="0" applyNumberFormat="1" applyFont="1" applyFill="1" applyAlignment="1">
      <alignment vertical="center"/>
    </xf>
    <xf numFmtId="2" fontId="37" fillId="26" borderId="0" xfId="0" applyNumberFormat="1" applyFont="1" applyFill="1" applyAlignment="1">
      <alignment horizontal="right" vertical="center"/>
    </xf>
    <xf numFmtId="2" fontId="37" fillId="26" borderId="0" xfId="0" applyNumberFormat="1" applyFont="1" applyFill="1" applyAlignment="1">
      <alignment horizontal="center" vertical="center"/>
    </xf>
    <xf numFmtId="168" fontId="31" fillId="26" borderId="0" xfId="0" applyNumberFormat="1" applyFont="1" applyFill="1" applyAlignment="1">
      <alignment vertical="center"/>
    </xf>
    <xf numFmtId="2" fontId="38" fillId="26" borderId="0" xfId="0" applyNumberFormat="1" applyFont="1" applyFill="1" applyAlignment="1">
      <alignment horizontal="left" vertical="center"/>
    </xf>
    <xf numFmtId="0" fontId="31" fillId="26" borderId="0" xfId="0" applyFont="1" applyFill="1" applyAlignment="1">
      <alignment horizontal="center" vertical="center"/>
    </xf>
    <xf numFmtId="20" fontId="39" fillId="30" borderId="10" xfId="0" applyNumberFormat="1" applyFont="1" applyFill="1" applyBorder="1" applyAlignment="1">
      <alignment horizontal="center" vertical="center"/>
    </xf>
    <xf numFmtId="43" fontId="39" fillId="30" borderId="10" xfId="0" applyNumberFormat="1" applyFont="1" applyFill="1" applyBorder="1" applyAlignment="1">
      <alignment horizontal="center" vertical="center"/>
    </xf>
    <xf numFmtId="43" fontId="39" fillId="30" borderId="10" xfId="0" applyNumberFormat="1" applyFont="1" applyFill="1" applyBorder="1" applyAlignment="1">
      <alignment horizontal="center" vertical="center" wrapText="1"/>
    </xf>
    <xf numFmtId="0" fontId="39" fillId="30" borderId="10" xfId="0" applyFont="1" applyFill="1" applyBorder="1" applyAlignment="1">
      <alignment horizontal="center" vertical="center" wrapText="1"/>
    </xf>
    <xf numFmtId="0" fontId="39" fillId="30" borderId="10" xfId="0" applyFont="1" applyFill="1" applyBorder="1" applyAlignment="1">
      <alignment horizontal="center" vertical="center"/>
    </xf>
    <xf numFmtId="2" fontId="39" fillId="30" borderId="10" xfId="0" applyNumberFormat="1" applyFont="1" applyFill="1" applyBorder="1" applyAlignment="1">
      <alignment horizontal="center" vertical="center" wrapText="1"/>
    </xf>
    <xf numFmtId="20" fontId="39" fillId="28" borderId="10" xfId="0" applyNumberFormat="1" applyFont="1" applyFill="1" applyBorder="1" applyAlignment="1">
      <alignment horizontal="center" vertical="center"/>
    </xf>
    <xf numFmtId="43" fontId="39" fillId="28" borderId="10" xfId="0" applyNumberFormat="1" applyFont="1" applyFill="1" applyBorder="1" applyAlignment="1">
      <alignment horizontal="center" vertical="center"/>
    </xf>
    <xf numFmtId="0" fontId="39" fillId="28" borderId="10" xfId="0" applyFont="1" applyFill="1" applyBorder="1" applyAlignment="1">
      <alignment horizontal="center" vertical="center" wrapText="1"/>
    </xf>
    <xf numFmtId="43" fontId="39" fillId="28" borderId="10" xfId="0" applyNumberFormat="1" applyFont="1" applyFill="1" applyBorder="1" applyAlignment="1">
      <alignment horizontal="center" vertical="center" wrapText="1"/>
    </xf>
    <xf numFmtId="0" fontId="39" fillId="28" borderId="10" xfId="0" applyFont="1" applyFill="1" applyBorder="1" applyAlignment="1">
      <alignment horizontal="center" vertical="center"/>
    </xf>
    <xf numFmtId="2" fontId="39" fillId="28" borderId="10" xfId="0" applyNumberFormat="1" applyFont="1" applyFill="1" applyBorder="1" applyAlignment="1">
      <alignment horizontal="center" vertical="center" wrapText="1"/>
    </xf>
    <xf numFmtId="2" fontId="39" fillId="28" borderId="10" xfId="0" applyNumberFormat="1" applyFont="1" applyFill="1" applyBorder="1" applyAlignment="1">
      <alignment horizontal="center" vertical="center"/>
    </xf>
    <xf numFmtId="49" fontId="31" fillId="26" borderId="10" xfId="0" applyNumberFormat="1" applyFont="1" applyFill="1" applyBorder="1" applyAlignment="1">
      <alignment horizontal="center" vertical="center"/>
    </xf>
    <xf numFmtId="169" fontId="31" fillId="26" borderId="10" xfId="0" applyNumberFormat="1" applyFont="1" applyFill="1" applyBorder="1" applyAlignment="1">
      <alignment horizontal="center" vertical="center"/>
    </xf>
    <xf numFmtId="49" fontId="31" fillId="26" borderId="0" xfId="0" applyNumberFormat="1" applyFont="1" applyFill="1" applyAlignment="1">
      <alignment horizontal="center" vertical="center"/>
    </xf>
    <xf numFmtId="0" fontId="31" fillId="0" borderId="0" xfId="0" applyFont="1" applyAlignment="1">
      <alignment vertical="center"/>
    </xf>
    <xf numFmtId="2" fontId="31" fillId="26" borderId="10" xfId="0" applyNumberFormat="1" applyFont="1" applyFill="1" applyBorder="1" applyAlignment="1">
      <alignment horizontal="center" vertical="center"/>
    </xf>
    <xf numFmtId="49" fontId="32" fillId="26" borderId="10" xfId="0" applyNumberFormat="1" applyFont="1" applyFill="1" applyBorder="1" applyAlignment="1">
      <alignment horizontal="center" vertical="center"/>
    </xf>
    <xf numFmtId="170" fontId="31" fillId="26" borderId="10" xfId="0" applyNumberFormat="1" applyFont="1" applyFill="1" applyBorder="1" applyAlignment="1">
      <alignment horizontal="center" vertical="center"/>
    </xf>
    <xf numFmtId="49" fontId="39" fillId="30" borderId="10" xfId="0" applyNumberFormat="1" applyFont="1" applyFill="1" applyBorder="1" applyAlignment="1">
      <alignment horizontal="center" vertical="center"/>
    </xf>
    <xf numFmtId="43" fontId="40" fillId="31" borderId="10" xfId="222" applyFont="1" applyFill="1" applyBorder="1" applyAlignment="1" applyProtection="1">
      <alignment horizontal="center" vertical="center"/>
    </xf>
    <xf numFmtId="49" fontId="40" fillId="26" borderId="0" xfId="0" applyNumberFormat="1" applyFont="1" applyFill="1" applyAlignment="1" applyProtection="1">
      <alignment horizontal="center" vertical="center"/>
      <protection locked="0"/>
    </xf>
    <xf numFmtId="0" fontId="31" fillId="28" borderId="0" xfId="0" applyFont="1" applyFill="1" applyAlignment="1">
      <alignment horizontal="center" vertical="center"/>
    </xf>
    <xf numFmtId="172" fontId="22" fillId="26" borderId="0" xfId="0" applyNumberFormat="1" applyFont="1" applyFill="1" applyAlignment="1" applyProtection="1">
      <alignment horizontal="center" vertical="center"/>
      <protection locked="0"/>
    </xf>
    <xf numFmtId="172" fontId="24" fillId="28" borderId="0" xfId="0" applyNumberFormat="1" applyFont="1" applyFill="1" applyAlignment="1" applyProtection="1">
      <alignment horizontal="center" vertical="center" wrapText="1"/>
      <protection locked="0"/>
    </xf>
    <xf numFmtId="166" fontId="22" fillId="26" borderId="0" xfId="0" applyNumberFormat="1" applyFont="1" applyFill="1" applyAlignment="1">
      <alignment horizontal="center" vertical="center"/>
    </xf>
    <xf numFmtId="166" fontId="24" fillId="28" borderId="0" xfId="0" applyNumberFormat="1" applyFont="1" applyFill="1" applyAlignment="1" applyProtection="1">
      <alignment horizontal="center" vertical="center" wrapText="1"/>
      <protection locked="0"/>
    </xf>
    <xf numFmtId="166" fontId="22" fillId="26" borderId="0" xfId="0" applyNumberFormat="1" applyFont="1" applyFill="1" applyAlignment="1" applyProtection="1">
      <alignment horizontal="center" vertical="center"/>
      <protection locked="0"/>
    </xf>
    <xf numFmtId="0" fontId="41" fillId="0" borderId="0" xfId="0" applyFont="1" applyAlignment="1">
      <alignment horizontal="center" vertical="center" wrapText="1"/>
    </xf>
    <xf numFmtId="0" fontId="42" fillId="0" borderId="0" xfId="0" applyFont="1"/>
    <xf numFmtId="0" fontId="43" fillId="0" borderId="0" xfId="0" applyFont="1" applyAlignment="1">
      <alignment horizontal="center" vertical="center"/>
    </xf>
    <xf numFmtId="0" fontId="43" fillId="0" borderId="0" xfId="0" applyFont="1" applyAlignment="1">
      <alignment horizontal="center" vertical="center" wrapText="1"/>
    </xf>
    <xf numFmtId="0" fontId="43" fillId="0" borderId="0" xfId="0" applyFont="1"/>
    <xf numFmtId="0" fontId="42" fillId="0" borderId="0" xfId="0" applyFont="1" applyAlignment="1">
      <alignment horizontal="center"/>
    </xf>
    <xf numFmtId="0" fontId="45" fillId="39" borderId="0" xfId="0" applyFont="1" applyFill="1"/>
    <xf numFmtId="0" fontId="42" fillId="0" borderId="0" xfId="0" applyFont="1" applyAlignment="1">
      <alignment horizontal="center" vertical="center"/>
    </xf>
    <xf numFmtId="0" fontId="45" fillId="40" borderId="0" xfId="0" applyFont="1" applyFill="1"/>
    <xf numFmtId="0" fontId="45" fillId="0" borderId="0" xfId="0" applyFont="1" applyAlignment="1">
      <alignment horizontal="center"/>
    </xf>
    <xf numFmtId="0" fontId="42" fillId="41" borderId="0" xfId="0" applyFont="1" applyFill="1"/>
    <xf numFmtId="0" fontId="42" fillId="42" borderId="0" xfId="0" applyFont="1" applyFill="1"/>
    <xf numFmtId="0" fontId="42" fillId="38" borderId="0" xfId="0" applyFont="1" applyFill="1"/>
    <xf numFmtId="0" fontId="22" fillId="0" borderId="0" xfId="0" applyFont="1"/>
    <xf numFmtId="0" fontId="21" fillId="0" borderId="0" xfId="45" applyFont="1"/>
    <xf numFmtId="0" fontId="21" fillId="0" borderId="0" xfId="45" applyFont="1" applyAlignment="1">
      <alignment horizontal="left" vertical="top"/>
    </xf>
    <xf numFmtId="0" fontId="21" fillId="0" borderId="0" xfId="45" applyFont="1" applyAlignment="1" applyProtection="1">
      <alignment horizontal="left" vertical="top"/>
      <protection locked="0"/>
    </xf>
    <xf numFmtId="41" fontId="46" fillId="24" borderId="0" xfId="45" applyNumberFormat="1" applyFont="1" applyFill="1" applyAlignment="1">
      <alignment horizontal="center"/>
    </xf>
    <xf numFmtId="164" fontId="21" fillId="25" borderId="0" xfId="45" applyNumberFormat="1" applyFont="1" applyFill="1" applyAlignment="1">
      <alignment horizontal="center"/>
    </xf>
    <xf numFmtId="0" fontId="21" fillId="25" borderId="0" xfId="45" applyFont="1" applyFill="1" applyAlignment="1">
      <alignment horizontal="center"/>
    </xf>
    <xf numFmtId="165" fontId="21" fillId="0" borderId="0" xfId="45" applyNumberFormat="1" applyFont="1" applyAlignment="1">
      <alignment horizontal="center"/>
    </xf>
    <xf numFmtId="165" fontId="21" fillId="27" borderId="0" xfId="45" applyNumberFormat="1" applyFont="1" applyFill="1" applyAlignment="1">
      <alignment horizontal="center"/>
    </xf>
    <xf numFmtId="0" fontId="21" fillId="0" borderId="0" xfId="45" applyFont="1" applyAlignment="1">
      <alignment horizontal="center"/>
    </xf>
    <xf numFmtId="0" fontId="22" fillId="0" borderId="0" xfId="0" applyFont="1" applyAlignment="1">
      <alignment horizontal="center"/>
    </xf>
    <xf numFmtId="0" fontId="46" fillId="24" borderId="0" xfId="45" applyFont="1" applyFill="1" applyAlignment="1">
      <alignment horizontal="center" vertical="center"/>
    </xf>
    <xf numFmtId="0" fontId="44" fillId="38" borderId="0" xfId="0" applyFont="1" applyFill="1"/>
    <xf numFmtId="0" fontId="42" fillId="0" borderId="0" xfId="0" applyFont="1" applyAlignment="1">
      <alignment horizontal="left" vertical="center" wrapText="1"/>
    </xf>
    <xf numFmtId="164" fontId="22" fillId="26" borderId="26" xfId="0" applyNumberFormat="1" applyFont="1" applyFill="1" applyBorder="1" applyAlignment="1">
      <alignment horizontal="center" vertical="center"/>
    </xf>
    <xf numFmtId="43" fontId="22" fillId="26" borderId="38" xfId="0" applyNumberFormat="1" applyFont="1" applyFill="1" applyBorder="1" applyAlignment="1">
      <alignment horizontal="center" vertical="center"/>
    </xf>
    <xf numFmtId="43" fontId="22" fillId="26" borderId="18" xfId="0" applyNumberFormat="1" applyFont="1" applyFill="1" applyBorder="1" applyAlignment="1">
      <alignment horizontal="center" vertical="center"/>
    </xf>
    <xf numFmtId="0" fontId="21" fillId="26" borderId="25" xfId="1" applyFont="1" applyFill="1" applyBorder="1" applyAlignment="1">
      <alignment horizontal="center" vertical="center"/>
    </xf>
    <xf numFmtId="0" fontId="21" fillId="26" borderId="39" xfId="1" applyFont="1" applyFill="1" applyBorder="1" applyAlignment="1">
      <alignment horizontal="center" vertical="center"/>
    </xf>
    <xf numFmtId="0" fontId="21" fillId="26" borderId="24" xfId="1" applyFont="1" applyFill="1" applyBorder="1" applyAlignment="1">
      <alignment horizontal="center" vertical="center"/>
    </xf>
    <xf numFmtId="0" fontId="47" fillId="0" borderId="0" xfId="0" applyFont="1" applyAlignment="1">
      <alignment horizontal="center"/>
    </xf>
    <xf numFmtId="0" fontId="47" fillId="0" borderId="0" xfId="0" applyFont="1" applyAlignment="1">
      <alignment horizontal="center" vertical="center" wrapText="1"/>
    </xf>
    <xf numFmtId="49" fontId="24" fillId="28" borderId="0" xfId="222" applyNumberFormat="1" applyFont="1" applyFill="1" applyBorder="1" applyAlignment="1" applyProtection="1">
      <alignment horizontal="center" vertical="center"/>
    </xf>
    <xf numFmtId="49" fontId="22" fillId="26" borderId="0" xfId="0" applyNumberFormat="1" applyFont="1" applyFill="1" applyAlignment="1" applyProtection="1">
      <alignment horizontal="center" vertical="center"/>
      <protection locked="0"/>
    </xf>
    <xf numFmtId="0" fontId="40" fillId="28" borderId="13" xfId="0" applyFont="1" applyFill="1" applyBorder="1" applyAlignment="1">
      <alignment horizontal="center" vertical="center"/>
    </xf>
    <xf numFmtId="0" fontId="31" fillId="28" borderId="13" xfId="0" applyFont="1" applyFill="1" applyBorder="1" applyAlignment="1">
      <alignment horizontal="center" vertical="center"/>
    </xf>
    <xf numFmtId="0" fontId="37" fillId="26" borderId="0" xfId="0" applyFont="1" applyFill="1" applyAlignment="1">
      <alignment vertical="center"/>
    </xf>
    <xf numFmtId="0" fontId="37" fillId="26" borderId="0" xfId="0" applyFont="1" applyFill="1" applyAlignment="1">
      <alignment horizontal="right" vertical="center"/>
    </xf>
    <xf numFmtId="166" fontId="30" fillId="26" borderId="0" xfId="83" applyNumberFormat="1" applyFont="1" applyFill="1" applyAlignment="1">
      <alignment horizontal="center"/>
    </xf>
    <xf numFmtId="43" fontId="30" fillId="26" borderId="0" xfId="222" applyFont="1" applyFill="1" applyAlignment="1" applyProtection="1">
      <alignment horizontal="center"/>
    </xf>
    <xf numFmtId="41" fontId="30" fillId="26" borderId="0" xfId="83" applyNumberFormat="1" applyFont="1" applyFill="1" applyAlignment="1">
      <alignment horizontal="center"/>
    </xf>
    <xf numFmtId="165" fontId="30" fillId="26" borderId="0" xfId="83" applyNumberFormat="1" applyFont="1" applyFill="1" applyAlignment="1">
      <alignment horizontal="center"/>
    </xf>
    <xf numFmtId="173" fontId="22" fillId="26" borderId="0" xfId="222" applyNumberFormat="1" applyFont="1" applyFill="1" applyAlignment="1" applyProtection="1">
      <alignment horizontal="center" vertical="center"/>
    </xf>
    <xf numFmtId="173" fontId="22" fillId="26" borderId="0" xfId="222" applyNumberFormat="1" applyFont="1" applyFill="1" applyAlignment="1" applyProtection="1">
      <alignment horizontal="center" vertical="center"/>
      <protection locked="0"/>
    </xf>
    <xf numFmtId="0" fontId="27" fillId="26" borderId="0" xfId="0" applyFont="1" applyFill="1" applyAlignment="1">
      <alignment vertical="top" wrapText="1"/>
    </xf>
    <xf numFmtId="0" fontId="0" fillId="26" borderId="0" xfId="0" applyFill="1"/>
    <xf numFmtId="0" fontId="48" fillId="26" borderId="0" xfId="0" applyFont="1" applyFill="1" applyAlignment="1">
      <alignment horizontal="center"/>
    </xf>
    <xf numFmtId="10" fontId="48" fillId="26" borderId="0" xfId="237" applyNumberFormat="1" applyFont="1" applyFill="1" applyAlignment="1">
      <alignment horizontal="center"/>
    </xf>
    <xf numFmtId="43" fontId="24" fillId="28" borderId="0" xfId="222" applyFont="1" applyFill="1" applyBorder="1" applyAlignment="1" applyProtection="1">
      <alignment horizontal="center" vertical="center" wrapText="1"/>
    </xf>
    <xf numFmtId="49" fontId="24" fillId="28" borderId="0" xfId="222" applyNumberFormat="1" applyFont="1" applyFill="1" applyBorder="1" applyAlignment="1" applyProtection="1">
      <alignment horizontal="center" vertical="center" wrapText="1"/>
    </xf>
    <xf numFmtId="173" fontId="24" fillId="28" borderId="0" xfId="222" applyNumberFormat="1" applyFont="1" applyFill="1" applyBorder="1" applyAlignment="1" applyProtection="1">
      <alignment horizontal="center" vertical="center" wrapText="1"/>
    </xf>
    <xf numFmtId="171" fontId="24" fillId="28" borderId="0" xfId="222" applyNumberFormat="1" applyFont="1" applyFill="1" applyBorder="1" applyAlignment="1" applyProtection="1">
      <alignment horizontal="center" vertical="center" wrapText="1"/>
    </xf>
    <xf numFmtId="0" fontId="0" fillId="0" borderId="0" xfId="0" pivotButton="1"/>
    <xf numFmtId="1" fontId="22" fillId="43" borderId="0" xfId="222" applyNumberFormat="1" applyFont="1" applyFill="1" applyAlignment="1" applyProtection="1">
      <alignment horizontal="center" vertical="center"/>
      <protection locked="0"/>
    </xf>
    <xf numFmtId="20" fontId="30" fillId="26" borderId="0" xfId="83" applyNumberFormat="1" applyFont="1" applyFill="1" applyAlignment="1">
      <alignment horizontal="center"/>
    </xf>
    <xf numFmtId="20" fontId="24" fillId="28" borderId="0" xfId="83" applyNumberFormat="1" applyFont="1" applyFill="1" applyAlignment="1">
      <alignment horizontal="center"/>
    </xf>
    <xf numFmtId="20" fontId="22" fillId="26" borderId="0" xfId="222" applyNumberFormat="1" applyFont="1" applyFill="1" applyAlignment="1" applyProtection="1">
      <alignment horizontal="center" vertical="center"/>
      <protection locked="0"/>
    </xf>
    <xf numFmtId="1" fontId="22" fillId="43" borderId="0" xfId="222" applyNumberFormat="1" applyFont="1" applyFill="1" applyBorder="1" applyAlignment="1" applyProtection="1">
      <alignment horizontal="center" vertical="center"/>
      <protection locked="0"/>
    </xf>
    <xf numFmtId="2" fontId="22" fillId="26" borderId="0" xfId="222" applyNumberFormat="1" applyFont="1" applyFill="1" applyAlignment="1" applyProtection="1">
      <alignment horizontal="center" vertical="center"/>
      <protection locked="0"/>
    </xf>
    <xf numFmtId="174" fontId="22" fillId="26" borderId="0" xfId="222" applyNumberFormat="1" applyFont="1" applyFill="1" applyAlignment="1" applyProtection="1">
      <alignment horizontal="center" vertical="center"/>
      <protection locked="0"/>
    </xf>
    <xf numFmtId="0" fontId="24" fillId="44" borderId="0" xfId="222" applyNumberFormat="1" applyFont="1" applyFill="1" applyBorder="1" applyAlignment="1" applyProtection="1">
      <alignment horizontal="center" vertical="center" wrapText="1"/>
    </xf>
    <xf numFmtId="174" fontId="24" fillId="28" borderId="0" xfId="222" applyNumberFormat="1" applyFont="1" applyFill="1" applyBorder="1" applyAlignment="1" applyProtection="1">
      <alignment horizontal="center" vertical="center" wrapText="1"/>
    </xf>
    <xf numFmtId="2" fontId="22" fillId="0" borderId="0" xfId="222" applyNumberFormat="1" applyFont="1" applyAlignment="1">
      <alignment wrapText="1"/>
    </xf>
    <xf numFmtId="2" fontId="22" fillId="0" borderId="0" xfId="222" applyNumberFormat="1" applyFont="1"/>
    <xf numFmtId="1" fontId="22" fillId="0" borderId="0" xfId="222" applyNumberFormat="1" applyFont="1"/>
    <xf numFmtId="2" fontId="22" fillId="0" borderId="0" xfId="0" applyNumberFormat="1" applyFont="1"/>
    <xf numFmtId="0" fontId="22" fillId="0" borderId="0" xfId="0" applyFont="1" applyAlignment="1">
      <alignment wrapText="1"/>
    </xf>
    <xf numFmtId="0" fontId="35" fillId="0" borderId="41" xfId="0" applyFont="1" applyBorder="1" applyAlignment="1">
      <alignment horizontal="center" vertical="center" wrapText="1"/>
    </xf>
    <xf numFmtId="2" fontId="35" fillId="0" borderId="41" xfId="222" applyNumberFormat="1" applyFont="1" applyFill="1" applyBorder="1" applyAlignment="1">
      <alignment horizontal="center" vertical="center" wrapText="1"/>
    </xf>
    <xf numFmtId="1" fontId="35" fillId="0" borderId="41" xfId="222" applyNumberFormat="1" applyFont="1" applyFill="1" applyBorder="1" applyAlignment="1">
      <alignment horizontal="center" vertical="center" wrapText="1"/>
    </xf>
    <xf numFmtId="2" fontId="35" fillId="0" borderId="41" xfId="0" applyNumberFormat="1" applyFont="1" applyBorder="1" applyAlignment="1">
      <alignment horizontal="center" vertical="center" wrapText="1"/>
    </xf>
    <xf numFmtId="0" fontId="22" fillId="0" borderId="40" xfId="0" applyFont="1" applyBorder="1" applyAlignment="1">
      <alignment horizontal="center"/>
    </xf>
    <xf numFmtId="10" fontId="22" fillId="0" borderId="0" xfId="0" applyNumberFormat="1" applyFont="1" applyAlignment="1">
      <alignment horizontal="center"/>
    </xf>
    <xf numFmtId="0" fontId="22" fillId="0" borderId="0" xfId="0" applyFont="1" applyAlignment="1">
      <alignment horizontal="center" wrapText="1"/>
    </xf>
    <xf numFmtId="2" fontId="22" fillId="0" borderId="0" xfId="0" applyNumberFormat="1" applyFont="1" applyAlignment="1">
      <alignment horizontal="center" wrapText="1"/>
    </xf>
    <xf numFmtId="2" fontId="22" fillId="0" borderId="0" xfId="0" applyNumberFormat="1" applyFont="1" applyAlignment="1">
      <alignment horizontal="center"/>
    </xf>
    <xf numFmtId="1" fontId="22" fillId="0" borderId="0" xfId="0" applyNumberFormat="1" applyFont="1" applyAlignment="1">
      <alignment horizontal="center"/>
    </xf>
    <xf numFmtId="2" fontId="22" fillId="0" borderId="0" xfId="222" applyNumberFormat="1" applyFont="1" applyFill="1" applyAlignment="1">
      <alignment horizontal="center" wrapText="1"/>
    </xf>
    <xf numFmtId="2" fontId="22" fillId="0" borderId="0" xfId="222" applyNumberFormat="1" applyFont="1" applyFill="1" applyAlignment="1">
      <alignment horizontal="center"/>
    </xf>
    <xf numFmtId="1" fontId="22" fillId="0" borderId="0" xfId="222" applyNumberFormat="1" applyFont="1" applyFill="1" applyAlignment="1">
      <alignment horizontal="center"/>
    </xf>
    <xf numFmtId="2" fontId="22" fillId="27" borderId="0" xfId="222" applyNumberFormat="1" applyFont="1" applyFill="1" applyAlignment="1">
      <alignment horizontal="center"/>
    </xf>
    <xf numFmtId="1" fontId="22" fillId="27" borderId="0" xfId="222" applyNumberFormat="1" applyFont="1" applyFill="1" applyAlignment="1">
      <alignment horizontal="center"/>
    </xf>
    <xf numFmtId="1" fontId="24" fillId="44" borderId="0" xfId="222" applyNumberFormat="1" applyFont="1" applyFill="1" applyBorder="1" applyAlignment="1" applyProtection="1">
      <alignment horizontal="center" vertical="center" wrapText="1"/>
    </xf>
    <xf numFmtId="1" fontId="24" fillId="44" borderId="41" xfId="222" applyNumberFormat="1" applyFont="1" applyFill="1" applyBorder="1" applyAlignment="1" applyProtection="1">
      <alignment horizontal="center" vertical="center" wrapText="1"/>
    </xf>
    <xf numFmtId="1" fontId="22" fillId="43" borderId="0" xfId="0" applyNumberFormat="1" applyFont="1" applyFill="1" applyAlignment="1">
      <alignment horizontal="center"/>
    </xf>
    <xf numFmtId="1" fontId="22" fillId="43" borderId="0" xfId="0" applyNumberFormat="1" applyFont="1" applyFill="1" applyAlignment="1" applyProtection="1">
      <alignment horizontal="center"/>
      <protection locked="0"/>
    </xf>
    <xf numFmtId="0" fontId="22" fillId="26" borderId="0" xfId="222" applyNumberFormat="1" applyFont="1" applyFill="1" applyAlignment="1" applyProtection="1">
      <alignment horizontal="center"/>
      <protection locked="0"/>
    </xf>
    <xf numFmtId="10" fontId="22" fillId="43" borderId="0" xfId="237" applyNumberFormat="1" applyFont="1" applyFill="1" applyAlignment="1">
      <alignment horizontal="center"/>
    </xf>
    <xf numFmtId="173" fontId="21" fillId="26" borderId="42" xfId="222" applyNumberFormat="1" applyFont="1" applyFill="1" applyBorder="1" applyAlignment="1">
      <alignment horizontal="center" vertical="center" wrapText="1"/>
    </xf>
    <xf numFmtId="43" fontId="21" fillId="26" borderId="42" xfId="222" applyFont="1" applyFill="1" applyBorder="1" applyAlignment="1">
      <alignment horizontal="center" vertical="center" wrapText="1"/>
    </xf>
    <xf numFmtId="43" fontId="21" fillId="26" borderId="42" xfId="222" applyFont="1" applyFill="1" applyBorder="1" applyAlignment="1">
      <alignment horizontal="center" vertical="center"/>
    </xf>
    <xf numFmtId="1" fontId="22" fillId="26" borderId="0" xfId="0" applyNumberFormat="1" applyFont="1" applyFill="1" applyAlignment="1">
      <alignment horizontal="center"/>
    </xf>
    <xf numFmtId="10" fontId="22" fillId="26" borderId="0" xfId="237" applyNumberFormat="1" applyFont="1" applyFill="1" applyAlignment="1">
      <alignment horizontal="center"/>
    </xf>
    <xf numFmtId="0" fontId="27" fillId="26" borderId="0" xfId="0" applyFont="1" applyFill="1" applyAlignment="1">
      <alignment horizontal="center"/>
    </xf>
    <xf numFmtId="16" fontId="22" fillId="26" borderId="0" xfId="0" applyNumberFormat="1" applyFont="1" applyFill="1" applyAlignment="1">
      <alignment horizontal="center"/>
    </xf>
    <xf numFmtId="0" fontId="22" fillId="26" borderId="10" xfId="0" applyFont="1" applyFill="1" applyBorder="1" applyAlignment="1">
      <alignment horizontal="center"/>
    </xf>
    <xf numFmtId="0" fontId="27" fillId="26" borderId="10" xfId="0" applyFont="1" applyFill="1" applyBorder="1" applyAlignment="1">
      <alignment horizontal="center"/>
    </xf>
    <xf numFmtId="10" fontId="22" fillId="26" borderId="10" xfId="237" applyNumberFormat="1" applyFont="1" applyFill="1" applyBorder="1" applyAlignment="1">
      <alignment horizontal="center"/>
    </xf>
    <xf numFmtId="10" fontId="22" fillId="26" borderId="0" xfId="237" applyNumberFormat="1" applyFont="1" applyFill="1" applyProtection="1">
      <protection locked="0"/>
    </xf>
    <xf numFmtId="167" fontId="37" fillId="26" borderId="20" xfId="0" applyNumberFormat="1" applyFont="1" applyFill="1" applyBorder="1" applyAlignment="1">
      <alignment horizontal="center" vertical="center"/>
    </xf>
    <xf numFmtId="0" fontId="31" fillId="0" borderId="0" xfId="0" applyFont="1" applyAlignment="1">
      <alignment horizontal="center" vertical="center"/>
    </xf>
    <xf numFmtId="43" fontId="22" fillId="26" borderId="42" xfId="222" applyFont="1" applyFill="1" applyBorder="1" applyAlignment="1" applyProtection="1">
      <alignment horizontal="center" vertical="center"/>
      <protection locked="0"/>
    </xf>
    <xf numFmtId="43" fontId="22" fillId="26" borderId="45" xfId="222" applyFont="1" applyFill="1" applyBorder="1" applyAlignment="1" applyProtection="1">
      <alignment horizontal="center" vertical="center"/>
      <protection locked="0"/>
    </xf>
    <xf numFmtId="165" fontId="22" fillId="26" borderId="43" xfId="0" applyNumberFormat="1" applyFont="1" applyFill="1" applyBorder="1" applyAlignment="1" applyProtection="1">
      <alignment horizontal="center" vertical="center"/>
      <protection locked="0"/>
    </xf>
    <xf numFmtId="166" fontId="22" fillId="26" borderId="42" xfId="0" applyNumberFormat="1" applyFont="1" applyFill="1" applyBorder="1" applyAlignment="1" applyProtection="1">
      <alignment horizontal="center" vertical="center"/>
      <protection locked="0"/>
    </xf>
    <xf numFmtId="20" fontId="22" fillId="26" borderId="42" xfId="0" applyNumberFormat="1" applyFont="1" applyFill="1" applyBorder="1" applyAlignment="1" applyProtection="1">
      <alignment horizontal="center" vertical="center"/>
      <protection locked="0"/>
    </xf>
    <xf numFmtId="164" fontId="22" fillId="26" borderId="42" xfId="0" applyNumberFormat="1" applyFont="1" applyFill="1" applyBorder="1" applyAlignment="1" applyProtection="1">
      <alignment horizontal="center" vertical="center"/>
      <protection locked="0"/>
    </xf>
    <xf numFmtId="0" fontId="22" fillId="26" borderId="42" xfId="0" applyFont="1" applyFill="1" applyBorder="1" applyAlignment="1" applyProtection="1">
      <alignment horizontal="center" vertical="center"/>
      <protection locked="0"/>
    </xf>
    <xf numFmtId="173" fontId="22" fillId="26" borderId="42" xfId="222" applyNumberFormat="1" applyFont="1" applyFill="1" applyBorder="1" applyAlignment="1" applyProtection="1">
      <alignment horizontal="center" vertical="center"/>
      <protection locked="0"/>
    </xf>
    <xf numFmtId="165" fontId="22" fillId="26" borderId="44" xfId="0" applyNumberFormat="1" applyFont="1" applyFill="1" applyBorder="1" applyAlignment="1" applyProtection="1">
      <alignment horizontal="center" vertical="center"/>
      <protection locked="0"/>
    </xf>
    <xf numFmtId="166" fontId="22" fillId="26" borderId="45" xfId="0" applyNumberFormat="1" applyFont="1" applyFill="1" applyBorder="1" applyAlignment="1" applyProtection="1">
      <alignment horizontal="center" vertical="center"/>
      <protection locked="0"/>
    </xf>
    <xf numFmtId="20" fontId="22" fillId="26" borderId="45" xfId="0" applyNumberFormat="1" applyFont="1" applyFill="1" applyBorder="1" applyAlignment="1" applyProtection="1">
      <alignment horizontal="center" vertical="center"/>
      <protection locked="0"/>
    </xf>
    <xf numFmtId="164" fontId="22" fillId="26" borderId="45" xfId="0" applyNumberFormat="1" applyFont="1" applyFill="1" applyBorder="1" applyAlignment="1" applyProtection="1">
      <alignment horizontal="center" vertical="center"/>
      <protection locked="0"/>
    </xf>
    <xf numFmtId="0" fontId="22" fillId="26" borderId="45" xfId="0" applyFont="1" applyFill="1" applyBorder="1" applyAlignment="1" applyProtection="1">
      <alignment horizontal="center" vertical="center"/>
      <protection locked="0"/>
    </xf>
    <xf numFmtId="173" fontId="22" fillId="26" borderId="45" xfId="222" applyNumberFormat="1" applyFont="1" applyFill="1" applyBorder="1" applyAlignment="1" applyProtection="1">
      <alignment horizontal="center" vertical="center"/>
      <protection locked="0"/>
    </xf>
    <xf numFmtId="172" fontId="0" fillId="0" borderId="0" xfId="0" applyNumberFormat="1"/>
    <xf numFmtId="2" fontId="22" fillId="26" borderId="0" xfId="222" applyNumberFormat="1" applyFont="1" applyFill="1" applyAlignment="1" applyProtection="1">
      <alignment horizontal="center" vertical="center"/>
    </xf>
    <xf numFmtId="2" fontId="30" fillId="26" borderId="0" xfId="222" applyNumberFormat="1" applyFont="1" applyFill="1" applyAlignment="1">
      <alignment horizontal="center"/>
    </xf>
    <xf numFmtId="2" fontId="24" fillId="28" borderId="0" xfId="222" applyNumberFormat="1" applyFont="1" applyFill="1" applyAlignment="1">
      <alignment horizontal="center"/>
    </xf>
    <xf numFmtId="2" fontId="22" fillId="26" borderId="0" xfId="222" applyNumberFormat="1" applyFont="1" applyFill="1" applyAlignment="1" applyProtection="1">
      <alignment horizontal="center"/>
      <protection locked="0"/>
    </xf>
    <xf numFmtId="165" fontId="0" fillId="26" borderId="0" xfId="0" applyNumberFormat="1" applyFill="1" applyAlignment="1">
      <alignment horizontal="left"/>
    </xf>
    <xf numFmtId="43" fontId="31" fillId="26" borderId="38" xfId="222" quotePrefix="1" applyFont="1" applyFill="1" applyBorder="1" applyAlignment="1" applyProtection="1">
      <alignment horizontal="center" vertical="center"/>
      <protection locked="0"/>
    </xf>
    <xf numFmtId="0" fontId="22" fillId="45" borderId="40" xfId="0" applyFont="1" applyFill="1" applyBorder="1" applyAlignment="1">
      <alignment horizontal="center"/>
    </xf>
    <xf numFmtId="0" fontId="22" fillId="45" borderId="0" xfId="0" applyFont="1" applyFill="1" applyAlignment="1">
      <alignment horizontal="center"/>
    </xf>
    <xf numFmtId="0" fontId="22" fillId="45" borderId="0" xfId="0" applyFont="1" applyFill="1" applyAlignment="1" applyProtection="1">
      <alignment horizontal="center" vertical="center"/>
      <protection locked="0"/>
    </xf>
    <xf numFmtId="0" fontId="22" fillId="0" borderId="0" xfId="0" applyFont="1" applyAlignment="1" applyProtection="1">
      <alignment horizontal="center" vertical="center"/>
      <protection locked="0"/>
    </xf>
    <xf numFmtId="49" fontId="40" fillId="26" borderId="10" xfId="0" quotePrefix="1" applyNumberFormat="1" applyFont="1" applyFill="1" applyBorder="1" applyAlignment="1" applyProtection="1">
      <alignment horizontal="center" vertical="center"/>
      <protection locked="0"/>
    </xf>
    <xf numFmtId="43" fontId="31" fillId="26" borderId="10" xfId="0" quotePrefix="1" applyNumberFormat="1" applyFont="1" applyFill="1" applyBorder="1" applyAlignment="1" applyProtection="1">
      <alignment horizontal="center" vertical="center"/>
      <protection locked="0"/>
    </xf>
    <xf numFmtId="43" fontId="24" fillId="28" borderId="0" xfId="222" applyFont="1" applyFill="1" applyAlignment="1" applyProtection="1">
      <alignment horizontal="center"/>
      <protection locked="0"/>
    </xf>
    <xf numFmtId="1" fontId="22" fillId="26" borderId="0" xfId="222" applyNumberFormat="1" applyFont="1" applyFill="1" applyAlignment="1" applyProtection="1">
      <alignment horizontal="center"/>
      <protection locked="0"/>
    </xf>
    <xf numFmtId="1" fontId="22" fillId="26" borderId="0" xfId="0" applyNumberFormat="1" applyFont="1" applyFill="1" applyAlignment="1" applyProtection="1">
      <alignment horizontal="center"/>
      <protection locked="0"/>
    </xf>
    <xf numFmtId="0" fontId="31" fillId="0" borderId="10" xfId="0" quotePrefix="1" applyFont="1" applyBorder="1" applyAlignment="1">
      <alignment horizontal="center" vertical="center"/>
    </xf>
    <xf numFmtId="0" fontId="31" fillId="26" borderId="10" xfId="0" applyFont="1" applyFill="1" applyBorder="1" applyAlignment="1">
      <alignment horizontal="center" vertical="top" wrapText="1"/>
    </xf>
    <xf numFmtId="43" fontId="31" fillId="26" borderId="42" xfId="222" applyFont="1" applyFill="1" applyBorder="1" applyAlignment="1">
      <alignment horizontal="center" vertical="center"/>
    </xf>
    <xf numFmtId="168" fontId="35" fillId="0" borderId="41" xfId="222" applyNumberFormat="1" applyFont="1" applyFill="1" applyBorder="1" applyAlignment="1">
      <alignment horizontal="center" vertical="center" wrapText="1"/>
    </xf>
    <xf numFmtId="168" fontId="22" fillId="0" borderId="0" xfId="222" applyNumberFormat="1" applyFont="1" applyFill="1" applyAlignment="1">
      <alignment horizontal="center"/>
    </xf>
    <xf numFmtId="168" fontId="22" fillId="0" borderId="0" xfId="0" applyNumberFormat="1" applyFont="1" applyAlignment="1">
      <alignment horizontal="center"/>
    </xf>
    <xf numFmtId="168" fontId="22" fillId="0" borderId="0" xfId="0" applyNumberFormat="1" applyFont="1"/>
    <xf numFmtId="168" fontId="22" fillId="0" borderId="0" xfId="222" applyNumberFormat="1" applyFont="1"/>
    <xf numFmtId="43" fontId="31" fillId="26" borderId="10" xfId="222" applyFont="1" applyFill="1" applyBorder="1" applyAlignment="1">
      <alignment horizontal="center" vertical="center"/>
    </xf>
    <xf numFmtId="0" fontId="49" fillId="0" borderId="27" xfId="0" applyFont="1" applyBorder="1" applyAlignment="1">
      <alignment horizontal="center" vertical="center"/>
    </xf>
    <xf numFmtId="0" fontId="49" fillId="0" borderId="12" xfId="0" applyFont="1" applyBorder="1" applyAlignment="1">
      <alignment horizontal="center" vertical="center"/>
    </xf>
    <xf numFmtId="0" fontId="31" fillId="26" borderId="10" xfId="222" applyNumberFormat="1" applyFont="1" applyFill="1" applyBorder="1" applyAlignment="1">
      <alignment horizontal="center" vertical="center"/>
    </xf>
    <xf numFmtId="1" fontId="51" fillId="27" borderId="0" xfId="0" applyNumberFormat="1" applyFont="1" applyFill="1" applyAlignment="1">
      <alignment horizontal="center"/>
    </xf>
    <xf numFmtId="1" fontId="51" fillId="27" borderId="0" xfId="222" applyNumberFormat="1" applyFont="1" applyFill="1" applyAlignment="1">
      <alignment horizontal="center"/>
    </xf>
    <xf numFmtId="171" fontId="22" fillId="26" borderId="0" xfId="222" applyNumberFormat="1" applyFont="1" applyFill="1" applyAlignment="1" applyProtection="1">
      <alignment horizontal="center" vertical="center"/>
    </xf>
    <xf numFmtId="0" fontId="52" fillId="44" borderId="42" xfId="222" applyNumberFormat="1" applyFont="1" applyFill="1" applyBorder="1" applyAlignment="1">
      <alignment horizontal="center" vertical="center" wrapText="1"/>
    </xf>
    <xf numFmtId="176" fontId="22" fillId="26" borderId="0" xfId="0" applyNumberFormat="1" applyFont="1" applyFill="1" applyAlignment="1" applyProtection="1">
      <alignment horizontal="center"/>
      <protection locked="0"/>
    </xf>
    <xf numFmtId="0" fontId="52" fillId="44" borderId="46" xfId="222" applyNumberFormat="1" applyFont="1" applyFill="1" applyBorder="1" applyAlignment="1">
      <alignment horizontal="center" vertical="center" wrapText="1"/>
    </xf>
    <xf numFmtId="43" fontId="52" fillId="44" borderId="46" xfId="222" applyFont="1" applyFill="1" applyBorder="1" applyAlignment="1">
      <alignment horizontal="center" vertical="center" wrapText="1"/>
    </xf>
    <xf numFmtId="0" fontId="27" fillId="26" borderId="0" xfId="222" applyNumberFormat="1" applyFont="1" applyFill="1" applyAlignment="1" applyProtection="1">
      <alignment horizontal="center"/>
      <protection locked="0"/>
    </xf>
    <xf numFmtId="0" fontId="50" fillId="26" borderId="0" xfId="222" applyNumberFormat="1" applyFont="1" applyFill="1" applyAlignment="1" applyProtection="1">
      <alignment horizontal="center"/>
      <protection locked="0"/>
    </xf>
    <xf numFmtId="0" fontId="50" fillId="26" borderId="0" xfId="0" applyFont="1" applyFill="1" applyAlignment="1" applyProtection="1">
      <alignment horizontal="center"/>
      <protection locked="0"/>
    </xf>
    <xf numFmtId="43" fontId="52" fillId="44" borderId="45" xfId="222" applyFont="1" applyFill="1" applyBorder="1" applyAlignment="1" applyProtection="1">
      <alignment horizontal="center" vertical="center" wrapText="1"/>
      <protection locked="0"/>
    </xf>
    <xf numFmtId="176" fontId="30" fillId="0" borderId="0" xfId="237" applyNumberFormat="1" applyFont="1" applyFill="1" applyAlignment="1" applyProtection="1">
      <alignment horizontal="center"/>
      <protection locked="0"/>
    </xf>
    <xf numFmtId="175" fontId="31" fillId="26" borderId="10" xfId="222" applyNumberFormat="1" applyFont="1" applyFill="1" applyBorder="1" applyAlignment="1">
      <alignment horizontal="center" vertical="center"/>
    </xf>
    <xf numFmtId="43" fontId="24" fillId="44" borderId="0" xfId="222" applyFont="1" applyFill="1" applyBorder="1" applyAlignment="1" applyProtection="1">
      <alignment horizontal="center" vertical="center" wrapText="1"/>
    </xf>
    <xf numFmtId="0" fontId="22" fillId="43" borderId="10" xfId="222" applyNumberFormat="1" applyFont="1" applyFill="1" applyBorder="1" applyAlignment="1" applyProtection="1">
      <alignment horizontal="center"/>
      <protection locked="0"/>
    </xf>
    <xf numFmtId="1" fontId="22" fillId="43" borderId="10" xfId="222" applyNumberFormat="1" applyFont="1" applyFill="1" applyBorder="1" applyAlignment="1" applyProtection="1">
      <alignment horizontal="center" vertical="center"/>
      <protection locked="0"/>
    </xf>
    <xf numFmtId="0" fontId="22" fillId="43" borderId="10" xfId="0" applyFont="1" applyFill="1" applyBorder="1" applyAlignment="1" applyProtection="1">
      <alignment horizontal="center"/>
      <protection locked="0"/>
    </xf>
    <xf numFmtId="0" fontId="22" fillId="26" borderId="10" xfId="0" applyFont="1" applyFill="1" applyBorder="1" applyAlignment="1">
      <alignment horizontal="center" vertical="center"/>
    </xf>
    <xf numFmtId="0" fontId="22" fillId="0" borderId="10" xfId="0" applyFont="1" applyBorder="1" applyAlignment="1">
      <alignment horizontal="center" vertical="center"/>
    </xf>
    <xf numFmtId="170" fontId="31" fillId="26" borderId="10" xfId="0" applyNumberFormat="1" applyFont="1" applyFill="1" applyBorder="1" applyAlignment="1" applyProtection="1">
      <alignment horizontal="center" vertical="center"/>
      <protection locked="0"/>
    </xf>
    <xf numFmtId="20" fontId="31" fillId="26" borderId="10" xfId="0" applyNumberFormat="1" applyFont="1" applyFill="1" applyBorder="1" applyAlignment="1" applyProtection="1">
      <alignment horizontal="center" vertical="center"/>
      <protection locked="0"/>
    </xf>
    <xf numFmtId="0" fontId="31" fillId="26" borderId="10" xfId="0" applyFont="1" applyFill="1" applyBorder="1" applyAlignment="1">
      <alignment horizontal="center" vertical="center"/>
    </xf>
    <xf numFmtId="43" fontId="31" fillId="26" borderId="10" xfId="0" applyNumberFormat="1" applyFont="1" applyFill="1" applyBorder="1" applyAlignment="1">
      <alignment horizontal="center" vertical="center"/>
    </xf>
    <xf numFmtId="1" fontId="31" fillId="26" borderId="10" xfId="0" quotePrefix="1" applyNumberFormat="1" applyFont="1" applyFill="1" applyBorder="1" applyAlignment="1">
      <alignment horizontal="center" vertical="center"/>
    </xf>
    <xf numFmtId="43" fontId="31" fillId="26" borderId="10" xfId="222" quotePrefix="1" applyFont="1" applyFill="1" applyBorder="1" applyAlignment="1" applyProtection="1">
      <alignment horizontal="center" vertical="center"/>
    </xf>
    <xf numFmtId="43" fontId="31" fillId="26" borderId="10" xfId="0" applyNumberFormat="1" applyFont="1" applyFill="1" applyBorder="1" applyAlignment="1">
      <alignment vertical="center"/>
    </xf>
    <xf numFmtId="165" fontId="22" fillId="26" borderId="28" xfId="0" applyNumberFormat="1" applyFont="1" applyFill="1" applyBorder="1" applyAlignment="1" applyProtection="1">
      <alignment horizontal="center" vertical="center"/>
      <protection locked="0"/>
    </xf>
    <xf numFmtId="172" fontId="22" fillId="26" borderId="28" xfId="0" applyNumberFormat="1" applyFont="1" applyFill="1" applyBorder="1" applyAlignment="1" applyProtection="1">
      <alignment horizontal="center" vertical="center"/>
      <protection locked="0"/>
    </xf>
    <xf numFmtId="20" fontId="22" fillId="26" borderId="28" xfId="0" applyNumberFormat="1" applyFont="1" applyFill="1" applyBorder="1" applyAlignment="1" applyProtection="1">
      <alignment horizontal="center" vertical="center"/>
      <protection locked="0"/>
    </xf>
    <xf numFmtId="0" fontId="22" fillId="26" borderId="28" xfId="0" applyFont="1" applyFill="1" applyBorder="1" applyAlignment="1" applyProtection="1">
      <alignment horizontal="center" vertical="center"/>
      <protection locked="0"/>
    </xf>
    <xf numFmtId="171" fontId="22" fillId="26" borderId="28" xfId="222" applyNumberFormat="1" applyFont="1" applyFill="1" applyBorder="1" applyAlignment="1" applyProtection="1">
      <alignment horizontal="center" vertical="center"/>
      <protection locked="0"/>
    </xf>
    <xf numFmtId="43" fontId="22" fillId="26" borderId="28" xfId="222" applyFont="1" applyFill="1" applyBorder="1" applyAlignment="1" applyProtection="1">
      <alignment horizontal="center" vertical="center"/>
      <protection locked="0"/>
    </xf>
    <xf numFmtId="2" fontId="22" fillId="26" borderId="28" xfId="222" applyNumberFormat="1" applyFont="1" applyFill="1" applyBorder="1" applyAlignment="1" applyProtection="1">
      <alignment horizontal="center" vertical="center"/>
      <protection locked="0"/>
    </xf>
    <xf numFmtId="174" fontId="22" fillId="26" borderId="28" xfId="222" applyNumberFormat="1" applyFont="1" applyFill="1" applyBorder="1" applyAlignment="1" applyProtection="1">
      <alignment horizontal="center" vertical="center"/>
      <protection locked="0"/>
    </xf>
    <xf numFmtId="2" fontId="22" fillId="26" borderId="28" xfId="0" applyNumberFormat="1" applyFont="1" applyFill="1" applyBorder="1" applyAlignment="1" applyProtection="1">
      <alignment horizontal="center" vertical="center"/>
      <protection locked="0"/>
    </xf>
    <xf numFmtId="49" fontId="22" fillId="26" borderId="28" xfId="0" applyNumberFormat="1" applyFont="1" applyFill="1" applyBorder="1" applyAlignment="1" applyProtection="1">
      <alignment horizontal="center" vertical="center"/>
      <protection locked="0"/>
    </xf>
    <xf numFmtId="9" fontId="31" fillId="26" borderId="10" xfId="0" applyNumberFormat="1" applyFont="1" applyFill="1" applyBorder="1" applyAlignment="1">
      <alignment horizontal="center" vertical="center"/>
    </xf>
    <xf numFmtId="0" fontId="35" fillId="44" borderId="0" xfId="222" applyNumberFormat="1" applyFont="1" applyFill="1" applyBorder="1" applyAlignment="1" applyProtection="1">
      <alignment horizontal="center" vertical="center" wrapText="1"/>
    </xf>
    <xf numFmtId="43" fontId="35" fillId="44" borderId="0" xfId="222" applyFont="1" applyFill="1" applyBorder="1" applyAlignment="1" applyProtection="1">
      <alignment horizontal="center" vertical="center" wrapText="1"/>
    </xf>
    <xf numFmtId="0" fontId="27" fillId="46" borderId="0" xfId="222" applyNumberFormat="1" applyFont="1" applyFill="1" applyBorder="1" applyAlignment="1" applyProtection="1">
      <alignment horizontal="center" vertical="center" wrapText="1"/>
    </xf>
    <xf numFmtId="43" fontId="31" fillId="26" borderId="0" xfId="222" quotePrefix="1" applyFont="1" applyFill="1" applyBorder="1" applyAlignment="1" applyProtection="1">
      <alignment horizontal="center" vertical="center"/>
    </xf>
    <xf numFmtId="0" fontId="22" fillId="0" borderId="0" xfId="0" applyFont="1" applyAlignment="1" applyProtection="1">
      <alignment horizontal="center"/>
      <protection locked="0"/>
    </xf>
    <xf numFmtId="0" fontId="22" fillId="0" borderId="28" xfId="0" applyFont="1" applyBorder="1" applyAlignment="1" applyProtection="1">
      <alignment horizontal="center" vertical="center"/>
      <protection locked="0"/>
    </xf>
    <xf numFmtId="0" fontId="27" fillId="26" borderId="0" xfId="0" applyFont="1" applyFill="1" applyAlignment="1">
      <alignment horizontal="center" vertical="center"/>
    </xf>
    <xf numFmtId="1" fontId="22" fillId="43" borderId="12" xfId="222" applyNumberFormat="1" applyFont="1" applyFill="1" applyBorder="1" applyAlignment="1" applyProtection="1">
      <alignment horizontal="center" vertical="center"/>
      <protection locked="0"/>
    </xf>
    <xf numFmtId="0" fontId="30" fillId="26" borderId="0" xfId="0" applyFont="1" applyFill="1" applyAlignment="1">
      <alignment vertical="center"/>
    </xf>
    <xf numFmtId="1" fontId="0" fillId="26" borderId="0" xfId="0" applyNumberFormat="1" applyFill="1"/>
    <xf numFmtId="175" fontId="22" fillId="26" borderId="0" xfId="222" applyNumberFormat="1" applyFont="1" applyFill="1" applyAlignment="1">
      <alignment horizontal="center" vertical="center"/>
    </xf>
    <xf numFmtId="0" fontId="22" fillId="43" borderId="10" xfId="222" applyNumberFormat="1" applyFont="1" applyFill="1" applyBorder="1" applyAlignment="1">
      <alignment horizontal="center"/>
    </xf>
    <xf numFmtId="0" fontId="21" fillId="26" borderId="0" xfId="0" applyFont="1" applyFill="1" applyProtection="1">
      <protection locked="0"/>
    </xf>
    <xf numFmtId="0" fontId="27" fillId="26" borderId="0" xfId="222" applyNumberFormat="1" applyFont="1" applyFill="1" applyAlignment="1" applyProtection="1">
      <alignment horizontal="center" vertical="center"/>
      <protection locked="0"/>
    </xf>
    <xf numFmtId="0" fontId="30" fillId="26" borderId="47" xfId="0" applyFont="1" applyFill="1" applyBorder="1" applyAlignment="1">
      <alignment horizontal="center" vertical="center"/>
    </xf>
    <xf numFmtId="0" fontId="30" fillId="26" borderId="40" xfId="0" applyFont="1" applyFill="1" applyBorder="1" applyAlignment="1">
      <alignment horizontal="center" vertical="center"/>
    </xf>
    <xf numFmtId="0" fontId="30" fillId="26" borderId="48" xfId="0" applyFont="1" applyFill="1" applyBorder="1" applyAlignment="1">
      <alignment horizontal="center" vertical="center"/>
    </xf>
    <xf numFmtId="0" fontId="53" fillId="40" borderId="49" xfId="0" applyFont="1" applyFill="1" applyBorder="1"/>
    <xf numFmtId="2" fontId="54" fillId="40" borderId="49" xfId="0" applyNumberFormat="1" applyFont="1" applyFill="1" applyBorder="1"/>
    <xf numFmtId="0" fontId="55" fillId="0" borderId="0" xfId="0" applyFont="1"/>
    <xf numFmtId="2" fontId="53" fillId="40" borderId="49" xfId="0" applyNumberFormat="1" applyFont="1" applyFill="1" applyBorder="1"/>
    <xf numFmtId="0" fontId="27" fillId="26" borderId="50" xfId="222" applyNumberFormat="1" applyFont="1" applyFill="1" applyBorder="1" applyAlignment="1" applyProtection="1">
      <alignment horizontal="center"/>
      <protection locked="0"/>
    </xf>
    <xf numFmtId="0" fontId="27" fillId="26" borderId="51" xfId="222" applyNumberFormat="1" applyFont="1" applyFill="1" applyBorder="1" applyAlignment="1" applyProtection="1">
      <alignment horizontal="center"/>
      <protection locked="0"/>
    </xf>
    <xf numFmtId="0" fontId="50" fillId="26" borderId="51" xfId="222" applyNumberFormat="1" applyFont="1" applyFill="1" applyBorder="1" applyAlignment="1" applyProtection="1">
      <alignment horizontal="center"/>
      <protection locked="0"/>
    </xf>
    <xf numFmtId="0" fontId="27" fillId="26" borderId="51" xfId="0" applyFont="1" applyFill="1" applyBorder="1" applyAlignment="1" applyProtection="1">
      <alignment horizontal="center"/>
      <protection locked="0"/>
    </xf>
    <xf numFmtId="0" fontId="27" fillId="26" borderId="52" xfId="0" applyFont="1" applyFill="1" applyBorder="1" applyAlignment="1" applyProtection="1">
      <alignment horizontal="center"/>
      <protection locked="0"/>
    </xf>
    <xf numFmtId="0" fontId="27" fillId="26" borderId="0" xfId="0" applyFont="1" applyFill="1" applyAlignment="1" applyProtection="1">
      <alignment horizontal="center" vertical="center"/>
      <protection locked="0"/>
    </xf>
    <xf numFmtId="43" fontId="43" fillId="48" borderId="49" xfId="222" applyFont="1" applyFill="1" applyBorder="1" applyAlignment="1">
      <alignment horizontal="center" vertical="center"/>
    </xf>
    <xf numFmtId="174" fontId="43" fillId="48" borderId="49" xfId="222" applyNumberFormat="1" applyFont="1" applyFill="1" applyBorder="1" applyAlignment="1">
      <alignment horizontal="center" vertical="center" wrapText="1"/>
    </xf>
    <xf numFmtId="43" fontId="43" fillId="48" borderId="49" xfId="0" applyNumberFormat="1" applyFont="1" applyFill="1" applyBorder="1" applyAlignment="1" applyProtection="1">
      <alignment horizontal="center" vertical="center"/>
      <protection locked="0"/>
    </xf>
    <xf numFmtId="43" fontId="22" fillId="0" borderId="0" xfId="0" applyNumberFormat="1" applyFont="1"/>
    <xf numFmtId="0" fontId="22" fillId="0" borderId="49" xfId="0" applyFont="1" applyBorder="1"/>
    <xf numFmtId="0" fontId="22" fillId="26" borderId="49" xfId="0" applyFont="1" applyFill="1" applyBorder="1" applyAlignment="1">
      <alignment horizontal="center" vertical="center"/>
    </xf>
    <xf numFmtId="172" fontId="22" fillId="26" borderId="49" xfId="0" applyNumberFormat="1" applyFont="1" applyFill="1" applyBorder="1" applyAlignment="1">
      <alignment horizontal="center" vertical="center"/>
    </xf>
    <xf numFmtId="2" fontId="22" fillId="26" borderId="49" xfId="222" applyNumberFormat="1" applyFont="1" applyFill="1" applyBorder="1" applyAlignment="1">
      <alignment horizontal="center" vertical="center"/>
    </xf>
    <xf numFmtId="174" fontId="22" fillId="26" borderId="49" xfId="222" applyNumberFormat="1" applyFont="1" applyFill="1" applyBorder="1" applyAlignment="1">
      <alignment horizontal="center" vertical="center"/>
    </xf>
    <xf numFmtId="43" fontId="22" fillId="26" borderId="49" xfId="0" applyNumberFormat="1" applyFont="1" applyFill="1" applyBorder="1" applyProtection="1">
      <protection locked="0"/>
    </xf>
    <xf numFmtId="43" fontId="43" fillId="48" borderId="50" xfId="222" applyFont="1" applyFill="1" applyBorder="1" applyAlignment="1">
      <alignment horizontal="center" vertical="center" wrapText="1"/>
    </xf>
    <xf numFmtId="2" fontId="22" fillId="26" borderId="50" xfId="222" applyNumberFormat="1" applyFont="1" applyFill="1" applyBorder="1" applyAlignment="1">
      <alignment horizontal="center" vertical="center"/>
    </xf>
    <xf numFmtId="172" fontId="22" fillId="26" borderId="50" xfId="0" applyNumberFormat="1" applyFont="1" applyFill="1" applyBorder="1" applyAlignment="1">
      <alignment horizontal="center" vertical="center"/>
    </xf>
    <xf numFmtId="2" fontId="22" fillId="26" borderId="53" xfId="222" applyNumberFormat="1" applyFont="1" applyFill="1" applyBorder="1" applyAlignment="1">
      <alignment horizontal="center" vertical="center"/>
    </xf>
    <xf numFmtId="174" fontId="22" fillId="26" borderId="53" xfId="222" applyNumberFormat="1" applyFont="1" applyFill="1" applyBorder="1" applyAlignment="1">
      <alignment horizontal="center" vertical="center"/>
    </xf>
    <xf numFmtId="2" fontId="22" fillId="26" borderId="54" xfId="222" applyNumberFormat="1" applyFont="1" applyFill="1" applyBorder="1" applyAlignment="1">
      <alignment horizontal="center" vertical="center"/>
    </xf>
    <xf numFmtId="43" fontId="22" fillId="26" borderId="53" xfId="0" applyNumberFormat="1" applyFont="1" applyFill="1" applyBorder="1" applyProtection="1">
      <protection locked="0"/>
    </xf>
    <xf numFmtId="2" fontId="22" fillId="26" borderId="10" xfId="222" applyNumberFormat="1" applyFont="1" applyFill="1" applyBorder="1" applyAlignment="1">
      <alignment horizontal="center" vertical="center"/>
    </xf>
    <xf numFmtId="174" fontId="22" fillId="26" borderId="10" xfId="222" applyNumberFormat="1" applyFont="1" applyFill="1" applyBorder="1" applyAlignment="1">
      <alignment horizontal="center" vertical="center"/>
    </xf>
    <xf numFmtId="43" fontId="22" fillId="26" borderId="10" xfId="0" applyNumberFormat="1" applyFont="1" applyFill="1" applyBorder="1" applyProtection="1">
      <protection locked="0"/>
    </xf>
    <xf numFmtId="0" fontId="22" fillId="0" borderId="10" xfId="0" applyFont="1" applyBorder="1"/>
    <xf numFmtId="43" fontId="22" fillId="0" borderId="10" xfId="0" applyNumberFormat="1" applyFont="1" applyBorder="1"/>
    <xf numFmtId="0" fontId="22" fillId="0" borderId="53" xfId="0" applyFont="1" applyBorder="1"/>
    <xf numFmtId="0" fontId="22" fillId="26" borderId="53" xfId="0" applyFont="1" applyFill="1" applyBorder="1" applyAlignment="1">
      <alignment horizontal="center" vertical="center"/>
    </xf>
    <xf numFmtId="172" fontId="22" fillId="26" borderId="54" xfId="0" applyNumberFormat="1" applyFont="1" applyFill="1" applyBorder="1" applyAlignment="1">
      <alignment horizontal="center" vertical="center"/>
    </xf>
    <xf numFmtId="0" fontId="22" fillId="0" borderId="28" xfId="0" applyFont="1" applyBorder="1"/>
    <xf numFmtId="43" fontId="22" fillId="0" borderId="28" xfId="0" applyNumberFormat="1" applyFont="1" applyBorder="1"/>
    <xf numFmtId="0" fontId="22" fillId="0" borderId="10" xfId="0" applyFont="1" applyBorder="1" applyAlignment="1">
      <alignment horizontal="center"/>
    </xf>
    <xf numFmtId="0" fontId="22" fillId="0" borderId="28" xfId="0" applyFont="1" applyBorder="1" applyAlignment="1">
      <alignment horizontal="center"/>
    </xf>
    <xf numFmtId="0" fontId="24" fillId="0" borderId="0" xfId="0" applyFont="1" applyAlignment="1">
      <alignment horizontal="center" vertical="center" wrapText="1"/>
    </xf>
    <xf numFmtId="2" fontId="22" fillId="0" borderId="10" xfId="0" applyNumberFormat="1" applyFont="1" applyBorder="1"/>
    <xf numFmtId="2" fontId="22" fillId="0" borderId="10" xfId="0" applyNumberFormat="1" applyFont="1" applyBorder="1" applyAlignment="1">
      <alignment horizontal="center"/>
    </xf>
    <xf numFmtId="0" fontId="22" fillId="0" borderId="13" xfId="0" applyFont="1" applyBorder="1" applyAlignment="1">
      <alignment horizontal="center" vertical="center"/>
    </xf>
    <xf numFmtId="0" fontId="22" fillId="26" borderId="13" xfId="0" applyFont="1" applyFill="1" applyBorder="1" applyAlignment="1">
      <alignment horizontal="center" vertical="center"/>
    </xf>
    <xf numFmtId="0" fontId="56" fillId="0" borderId="49" xfId="0" applyFont="1" applyBorder="1"/>
    <xf numFmtId="0" fontId="22" fillId="26" borderId="50" xfId="0" applyFont="1" applyFill="1" applyBorder="1" applyAlignment="1">
      <alignment horizontal="center" vertical="center"/>
    </xf>
    <xf numFmtId="0" fontId="22" fillId="26" borderId="54" xfId="0" applyFont="1" applyFill="1" applyBorder="1" applyAlignment="1">
      <alignment horizontal="center" vertical="center"/>
    </xf>
    <xf numFmtId="0" fontId="22" fillId="49" borderId="56" xfId="0" applyFont="1" applyFill="1" applyBorder="1" applyAlignment="1">
      <alignment horizontal="center" vertical="center"/>
    </xf>
    <xf numFmtId="0" fontId="42" fillId="50" borderId="13" xfId="0" applyFont="1" applyFill="1" applyBorder="1" applyAlignment="1">
      <alignment horizontal="center" vertical="center"/>
    </xf>
    <xf numFmtId="172" fontId="22" fillId="26" borderId="11" xfId="0" applyNumberFormat="1" applyFont="1" applyFill="1" applyBorder="1" applyAlignment="1">
      <alignment horizontal="center" vertical="center"/>
    </xf>
    <xf numFmtId="0" fontId="22" fillId="49" borderId="10" xfId="0" applyFont="1" applyFill="1" applyBorder="1" applyAlignment="1">
      <alignment horizontal="center" vertical="center"/>
    </xf>
    <xf numFmtId="0" fontId="42" fillId="0" borderId="10" xfId="0" applyFont="1" applyBorder="1" applyAlignment="1">
      <alignment horizontal="center" vertical="center"/>
    </xf>
    <xf numFmtId="0" fontId="42" fillId="0" borderId="10" xfId="0" applyFont="1" applyBorder="1" applyAlignment="1">
      <alignment vertical="center"/>
    </xf>
    <xf numFmtId="0" fontId="42" fillId="0" borderId="10" xfId="0" applyFont="1" applyBorder="1" applyAlignment="1">
      <alignment horizontal="center"/>
    </xf>
    <xf numFmtId="15" fontId="42" fillId="40" borderId="10" xfId="0" applyNumberFormat="1" applyFont="1" applyFill="1" applyBorder="1" applyAlignment="1">
      <alignment horizontal="center" vertical="center"/>
    </xf>
    <xf numFmtId="15" fontId="42" fillId="40" borderId="12" xfId="0" applyNumberFormat="1" applyFont="1" applyFill="1" applyBorder="1" applyAlignment="1">
      <alignment horizontal="center" vertical="center"/>
    </xf>
    <xf numFmtId="15" fontId="42" fillId="40" borderId="55" xfId="0" applyNumberFormat="1" applyFont="1" applyFill="1" applyBorder="1" applyAlignment="1">
      <alignment horizontal="center" vertical="center"/>
    </xf>
    <xf numFmtId="15" fontId="42" fillId="51" borderId="10" xfId="0" applyNumberFormat="1" applyFont="1" applyFill="1" applyBorder="1" applyAlignment="1">
      <alignment horizontal="center" vertical="center"/>
    </xf>
    <xf numFmtId="2" fontId="56" fillId="0" borderId="49" xfId="0" applyNumberFormat="1" applyFont="1" applyBorder="1" applyAlignment="1">
      <alignment horizontal="center"/>
    </xf>
    <xf numFmtId="0" fontId="22" fillId="0" borderId="10" xfId="0" applyFont="1" applyBorder="1" applyAlignment="1">
      <alignment vertical="center"/>
    </xf>
    <xf numFmtId="0" fontId="22" fillId="0" borderId="28" xfId="0" applyFont="1" applyBorder="1" applyAlignment="1">
      <alignment vertical="center"/>
    </xf>
    <xf numFmtId="0" fontId="22" fillId="0" borderId="0" xfId="0" applyFont="1" applyAlignment="1">
      <alignment vertical="center"/>
    </xf>
    <xf numFmtId="2" fontId="22" fillId="0" borderId="10" xfId="0" applyNumberFormat="1" applyFont="1" applyBorder="1" applyAlignment="1">
      <alignment vertical="center"/>
    </xf>
    <xf numFmtId="2" fontId="56" fillId="0" borderId="49" xfId="0" applyNumberFormat="1" applyFont="1" applyBorder="1" applyAlignment="1">
      <alignment horizontal="right" vertical="center"/>
    </xf>
    <xf numFmtId="165" fontId="48" fillId="26" borderId="0" xfId="237" applyNumberFormat="1" applyFont="1" applyFill="1" applyAlignment="1">
      <alignment horizontal="center"/>
    </xf>
    <xf numFmtId="0" fontId="27" fillId="26" borderId="0" xfId="0" applyFont="1" applyFill="1" applyProtection="1">
      <protection locked="0"/>
    </xf>
    <xf numFmtId="14" fontId="0" fillId="0" borderId="0" xfId="0" applyNumberFormat="1"/>
    <xf numFmtId="22" fontId="0" fillId="0" borderId="0" xfId="0" applyNumberFormat="1"/>
    <xf numFmtId="19" fontId="0" fillId="0" borderId="0" xfId="0" applyNumberFormat="1"/>
    <xf numFmtId="0" fontId="48" fillId="0" borderId="0" xfId="0" applyFont="1"/>
    <xf numFmtId="2" fontId="31" fillId="0" borderId="10" xfId="0" quotePrefix="1" applyNumberFormat="1" applyFont="1" applyBorder="1" applyAlignment="1">
      <alignment horizontal="center" vertical="center"/>
    </xf>
    <xf numFmtId="0" fontId="57" fillId="0" borderId="0" xfId="0" applyFont="1" applyAlignment="1">
      <alignment horizontal="center" vertical="center"/>
    </xf>
    <xf numFmtId="43" fontId="31" fillId="26" borderId="45" xfId="222" applyFont="1" applyFill="1" applyBorder="1" applyAlignment="1">
      <alignment horizontal="center" vertical="center"/>
    </xf>
    <xf numFmtId="0" fontId="57" fillId="0" borderId="10" xfId="0" applyFont="1" applyBorder="1" applyAlignment="1">
      <alignment horizontal="center" vertical="center"/>
    </xf>
    <xf numFmtId="0" fontId="27" fillId="26" borderId="10" xfId="0" applyFont="1" applyFill="1" applyBorder="1" applyAlignment="1">
      <alignment horizontal="center" vertical="center"/>
    </xf>
    <xf numFmtId="0" fontId="22" fillId="32" borderId="0" xfId="0" applyFont="1" applyFill="1" applyAlignment="1" applyProtection="1">
      <alignment horizontal="center" vertical="center"/>
      <protection locked="0"/>
    </xf>
    <xf numFmtId="2" fontId="21" fillId="26" borderId="10" xfId="1" applyNumberFormat="1" applyFont="1" applyFill="1" applyBorder="1" applyAlignment="1">
      <alignment vertical="center"/>
    </xf>
    <xf numFmtId="49" fontId="21" fillId="26" borderId="26" xfId="1" applyNumberFormat="1" applyFont="1" applyFill="1" applyBorder="1" applyAlignment="1">
      <alignment horizontal="center" vertical="center"/>
    </xf>
    <xf numFmtId="49" fontId="21" fillId="26" borderId="25" xfId="1" applyNumberFormat="1" applyFont="1" applyFill="1" applyBorder="1" applyAlignment="1">
      <alignment horizontal="center" vertical="center"/>
    </xf>
    <xf numFmtId="49" fontId="21" fillId="26" borderId="18" xfId="1" applyNumberFormat="1" applyFont="1" applyFill="1" applyBorder="1" applyAlignment="1">
      <alignment horizontal="center" vertical="center"/>
    </xf>
    <xf numFmtId="49" fontId="21" fillId="26" borderId="24" xfId="1" applyNumberFormat="1" applyFont="1" applyFill="1" applyBorder="1" applyAlignment="1">
      <alignment horizontal="center" vertical="center"/>
    </xf>
    <xf numFmtId="49" fontId="30" fillId="0" borderId="34" xfId="1" applyNumberFormat="1" applyFont="1" applyBorder="1" applyAlignment="1">
      <alignment horizontal="center" vertical="center" wrapText="1"/>
    </xf>
    <xf numFmtId="49" fontId="30" fillId="0" borderId="35" xfId="1" applyNumberFormat="1" applyFont="1" applyBorder="1" applyAlignment="1">
      <alignment horizontal="center" vertical="center" wrapText="1"/>
    </xf>
    <xf numFmtId="0" fontId="25" fillId="29" borderId="32" xfId="1" applyFont="1" applyFill="1" applyBorder="1" applyAlignment="1">
      <alignment horizontal="center" vertical="center" wrapText="1"/>
    </xf>
    <xf numFmtId="0" fontId="25" fillId="29" borderId="33" xfId="1" applyFont="1" applyFill="1" applyBorder="1" applyAlignment="1">
      <alignment horizontal="center" vertical="center" wrapText="1"/>
    </xf>
    <xf numFmtId="49" fontId="21" fillId="34" borderId="26" xfId="1" applyNumberFormat="1" applyFont="1" applyFill="1" applyBorder="1" applyAlignment="1">
      <alignment horizontal="center" vertical="center"/>
    </xf>
    <xf numFmtId="49" fontId="21" fillId="34" borderId="33" xfId="1" applyNumberFormat="1" applyFont="1" applyFill="1" applyBorder="1" applyAlignment="1">
      <alignment horizontal="center" vertical="center"/>
    </xf>
    <xf numFmtId="0" fontId="27" fillId="27" borderId="32" xfId="0" applyFont="1" applyFill="1" applyBorder="1" applyAlignment="1">
      <alignment horizontal="center" vertical="center"/>
    </xf>
    <xf numFmtId="0" fontId="27" fillId="27" borderId="25" xfId="0" applyFont="1" applyFill="1" applyBorder="1" applyAlignment="1">
      <alignment horizontal="center" vertical="center"/>
    </xf>
    <xf numFmtId="0" fontId="21" fillId="26" borderId="0" xfId="0" applyFont="1" applyFill="1" applyAlignment="1">
      <alignment horizontal="center" vertical="center"/>
    </xf>
    <xf numFmtId="0" fontId="27" fillId="26" borderId="0" xfId="0" applyFont="1" applyFill="1" applyAlignment="1">
      <alignment horizontal="center" vertical="center"/>
    </xf>
    <xf numFmtId="164" fontId="33" fillId="26" borderId="10" xfId="1" applyNumberFormat="1" applyFont="1" applyFill="1" applyBorder="1" applyAlignment="1" applyProtection="1">
      <alignment horizontal="center" vertical="center"/>
      <protection locked="0"/>
    </xf>
    <xf numFmtId="0" fontId="27" fillId="26" borderId="16" xfId="0" applyFont="1" applyFill="1" applyBorder="1" applyAlignment="1">
      <alignment horizontal="left" vertical="top" wrapText="1"/>
    </xf>
    <xf numFmtId="0" fontId="27" fillId="26" borderId="14" xfId="0" applyFont="1" applyFill="1" applyBorder="1" applyAlignment="1">
      <alignment horizontal="left" vertical="top" wrapText="1"/>
    </xf>
    <xf numFmtId="0" fontId="27" fillId="26" borderId="17" xfId="0" applyFont="1" applyFill="1" applyBorder="1" applyAlignment="1">
      <alignment horizontal="left" vertical="top" wrapText="1"/>
    </xf>
    <xf numFmtId="0" fontId="27" fillId="26" borderId="22" xfId="0" applyFont="1" applyFill="1" applyBorder="1" applyAlignment="1">
      <alignment horizontal="left" vertical="top" wrapText="1"/>
    </xf>
    <xf numFmtId="0" fontId="27" fillId="26" borderId="0" xfId="0" applyFont="1" applyFill="1" applyAlignment="1">
      <alignment horizontal="left" vertical="top" wrapText="1"/>
    </xf>
    <xf numFmtId="0" fontId="27" fillId="26" borderId="23" xfId="0" applyFont="1" applyFill="1" applyBorder="1" applyAlignment="1">
      <alignment horizontal="left" vertical="top" wrapText="1"/>
    </xf>
    <xf numFmtId="0" fontId="27" fillId="26" borderId="19" xfId="0" applyFont="1" applyFill="1" applyBorder="1" applyAlignment="1">
      <alignment horizontal="left" vertical="top" wrapText="1"/>
    </xf>
    <xf numFmtId="0" fontId="27" fillId="26" borderId="20" xfId="0" applyFont="1" applyFill="1" applyBorder="1" applyAlignment="1">
      <alignment horizontal="left" vertical="top" wrapText="1"/>
    </xf>
    <xf numFmtId="0" fontId="27" fillId="26" borderId="21" xfId="0" applyFont="1" applyFill="1" applyBorder="1" applyAlignment="1">
      <alignment horizontal="left" vertical="top" wrapText="1"/>
    </xf>
    <xf numFmtId="43" fontId="21" fillId="26" borderId="26" xfId="1" applyNumberFormat="1" applyFont="1" applyFill="1" applyBorder="1" applyAlignment="1">
      <alignment horizontal="center" vertical="center"/>
    </xf>
    <xf numFmtId="43" fontId="21" fillId="26" borderId="18" xfId="1" applyNumberFormat="1" applyFont="1" applyFill="1" applyBorder="1" applyAlignment="1">
      <alignment horizontal="center" vertical="center"/>
    </xf>
    <xf numFmtId="43" fontId="34" fillId="26" borderId="26" xfId="1" applyNumberFormat="1" applyFont="1" applyFill="1" applyBorder="1" applyAlignment="1">
      <alignment horizontal="center" vertical="center"/>
    </xf>
    <xf numFmtId="43" fontId="34" fillId="26" borderId="18" xfId="1" applyNumberFormat="1" applyFont="1" applyFill="1" applyBorder="1" applyAlignment="1">
      <alignment horizontal="center" vertical="center"/>
    </xf>
    <xf numFmtId="43" fontId="21" fillId="26" borderId="10" xfId="1" applyNumberFormat="1" applyFont="1" applyFill="1" applyBorder="1" applyAlignment="1">
      <alignment horizontal="center" vertical="center"/>
    </xf>
    <xf numFmtId="43" fontId="34" fillId="26" borderId="28" xfId="1" applyNumberFormat="1" applyFont="1" applyFill="1" applyBorder="1" applyAlignment="1">
      <alignment horizontal="center" vertical="center"/>
    </xf>
    <xf numFmtId="43" fontId="34" fillId="26" borderId="12" xfId="1" applyNumberFormat="1" applyFont="1" applyFill="1" applyBorder="1" applyAlignment="1">
      <alignment horizontal="center" vertical="center"/>
    </xf>
    <xf numFmtId="49" fontId="21" fillId="33" borderId="26" xfId="1" applyNumberFormat="1" applyFont="1" applyFill="1" applyBorder="1" applyAlignment="1">
      <alignment horizontal="center" vertical="center"/>
    </xf>
    <xf numFmtId="49" fontId="21" fillId="33" borderId="25" xfId="1" applyNumberFormat="1" applyFont="1" applyFill="1" applyBorder="1" applyAlignment="1">
      <alignment horizontal="center" vertical="center"/>
    </xf>
    <xf numFmtId="49" fontId="21" fillId="37" borderId="26" xfId="1" applyNumberFormat="1" applyFont="1" applyFill="1" applyBorder="1" applyAlignment="1">
      <alignment horizontal="center" vertical="center"/>
    </xf>
    <xf numFmtId="49" fontId="21" fillId="37" borderId="33" xfId="1" applyNumberFormat="1" applyFont="1" applyFill="1" applyBorder="1" applyAlignment="1">
      <alignment horizontal="center" vertical="center"/>
    </xf>
    <xf numFmtId="0" fontId="43" fillId="48" borderId="49" xfId="0" applyFont="1" applyFill="1" applyBorder="1" applyAlignment="1">
      <alignment horizontal="center"/>
    </xf>
    <xf numFmtId="0" fontId="43" fillId="48" borderId="50" xfId="0" applyFont="1" applyFill="1" applyBorder="1" applyAlignment="1">
      <alignment horizontal="center"/>
    </xf>
    <xf numFmtId="0" fontId="43" fillId="48" borderId="49" xfId="0" applyFont="1" applyFill="1" applyBorder="1" applyAlignment="1">
      <alignment horizontal="center" vertical="center" wrapText="1"/>
    </xf>
    <xf numFmtId="0" fontId="43" fillId="48" borderId="49" xfId="0" applyFont="1" applyFill="1" applyBorder="1" applyAlignment="1">
      <alignment horizontal="center" vertical="center"/>
    </xf>
    <xf numFmtId="43" fontId="43" fillId="48" borderId="49" xfId="0" applyNumberFormat="1" applyFont="1" applyFill="1" applyBorder="1" applyAlignment="1">
      <alignment horizontal="center"/>
    </xf>
    <xf numFmtId="0" fontId="43" fillId="48" borderId="53" xfId="0" applyFont="1" applyFill="1" applyBorder="1" applyAlignment="1">
      <alignment horizontal="center" vertical="center" wrapText="1"/>
    </xf>
    <xf numFmtId="0" fontId="43" fillId="48" borderId="55" xfId="0" applyFont="1" applyFill="1" applyBorder="1" applyAlignment="1">
      <alignment horizontal="center" vertical="center" wrapText="1"/>
    </xf>
    <xf numFmtId="0" fontId="27" fillId="26" borderId="10" xfId="222" applyNumberFormat="1" applyFont="1" applyFill="1" applyBorder="1" applyAlignment="1" applyProtection="1">
      <alignment horizontal="center"/>
      <protection locked="0"/>
    </xf>
    <xf numFmtId="0" fontId="27" fillId="26" borderId="10" xfId="0" applyFont="1" applyFill="1" applyBorder="1" applyAlignment="1" applyProtection="1">
      <alignment horizontal="center"/>
      <protection locked="0"/>
    </xf>
    <xf numFmtId="0" fontId="31" fillId="26" borderId="10" xfId="0" applyFont="1" applyFill="1" applyBorder="1" applyAlignment="1">
      <alignment horizontal="center" vertical="center"/>
    </xf>
    <xf numFmtId="2" fontId="29" fillId="26" borderId="16" xfId="0" applyNumberFormat="1" applyFont="1" applyFill="1" applyBorder="1" applyAlignment="1">
      <alignment horizontal="center" vertical="center"/>
    </xf>
    <xf numFmtId="2" fontId="29" fillId="26" borderId="14" xfId="0" applyNumberFormat="1" applyFont="1" applyFill="1" applyBorder="1" applyAlignment="1">
      <alignment horizontal="center" vertical="center"/>
    </xf>
    <xf numFmtId="2" fontId="29" fillId="26" borderId="17" xfId="0" applyNumberFormat="1" applyFont="1" applyFill="1" applyBorder="1" applyAlignment="1">
      <alignment horizontal="center" vertical="center"/>
    </xf>
    <xf numFmtId="2" fontId="29" fillId="26" borderId="22" xfId="0" applyNumberFormat="1" applyFont="1" applyFill="1" applyBorder="1" applyAlignment="1">
      <alignment horizontal="center" vertical="center"/>
    </xf>
    <xf numFmtId="2" fontId="29" fillId="26" borderId="0" xfId="0" applyNumberFormat="1" applyFont="1" applyFill="1" applyAlignment="1">
      <alignment horizontal="center" vertical="center"/>
    </xf>
    <xf numFmtId="2" fontId="29" fillId="26" borderId="23" xfId="0" applyNumberFormat="1" applyFont="1" applyFill="1" applyBorder="1" applyAlignment="1">
      <alignment horizontal="center" vertical="center"/>
    </xf>
    <xf numFmtId="2" fontId="29" fillId="26" borderId="19" xfId="0" applyNumberFormat="1" applyFont="1" applyFill="1" applyBorder="1" applyAlignment="1">
      <alignment horizontal="center" vertical="center"/>
    </xf>
    <xf numFmtId="2" fontId="29" fillId="26" borderId="20" xfId="0" applyNumberFormat="1" applyFont="1" applyFill="1" applyBorder="1" applyAlignment="1">
      <alignment horizontal="center" vertical="center"/>
    </xf>
    <xf numFmtId="2" fontId="29" fillId="26" borderId="21" xfId="0" applyNumberFormat="1" applyFont="1" applyFill="1" applyBorder="1" applyAlignment="1">
      <alignment horizontal="center" vertical="center"/>
    </xf>
    <xf numFmtId="2" fontId="37" fillId="26" borderId="0" xfId="0" applyNumberFormat="1" applyFont="1" applyFill="1" applyAlignment="1">
      <alignment horizontal="left" vertical="center"/>
    </xf>
    <xf numFmtId="167" fontId="37" fillId="26" borderId="20" xfId="0" applyNumberFormat="1" applyFont="1" applyFill="1" applyBorder="1" applyAlignment="1">
      <alignment horizontal="center" vertical="center"/>
    </xf>
    <xf numFmtId="0" fontId="39" fillId="35" borderId="13" xfId="0" applyFont="1" applyFill="1" applyBorder="1" applyAlignment="1">
      <alignment horizontal="center"/>
    </xf>
    <xf numFmtId="0" fontId="39" fillId="35" borderId="15" xfId="0" applyFont="1" applyFill="1" applyBorder="1" applyAlignment="1">
      <alignment horizontal="center"/>
    </xf>
    <xf numFmtId="0" fontId="39" fillId="35" borderId="11" xfId="0" applyFont="1" applyFill="1" applyBorder="1" applyAlignment="1">
      <alignment horizontal="center"/>
    </xf>
    <xf numFmtId="49" fontId="39" fillId="35" borderId="18" xfId="0" applyNumberFormat="1" applyFont="1" applyFill="1" applyBorder="1" applyAlignment="1">
      <alignment horizontal="center" vertical="center"/>
    </xf>
    <xf numFmtId="49" fontId="39" fillId="35" borderId="27" xfId="0" applyNumberFormat="1" applyFont="1" applyFill="1" applyBorder="1" applyAlignment="1">
      <alignment horizontal="center" vertical="center"/>
    </xf>
    <xf numFmtId="49" fontId="39" fillId="35" borderId="24" xfId="0" applyNumberFormat="1" applyFont="1" applyFill="1" applyBorder="1" applyAlignment="1">
      <alignment horizontal="center" vertical="center"/>
    </xf>
    <xf numFmtId="0" fontId="39" fillId="35" borderId="28" xfId="0" applyFont="1" applyFill="1" applyBorder="1" applyAlignment="1">
      <alignment horizontal="center" vertical="center"/>
    </xf>
    <xf numFmtId="0" fontId="39" fillId="35" borderId="12" xfId="0" applyFont="1" applyFill="1" applyBorder="1" applyAlignment="1">
      <alignment horizontal="center" vertical="center"/>
    </xf>
    <xf numFmtId="0" fontId="35" fillId="29" borderId="13" xfId="0" applyFont="1" applyFill="1" applyBorder="1" applyAlignment="1">
      <alignment horizontal="center"/>
    </xf>
    <xf numFmtId="0" fontId="35" fillId="29" borderId="15" xfId="0" applyFont="1" applyFill="1" applyBorder="1" applyAlignment="1">
      <alignment horizontal="center"/>
    </xf>
    <xf numFmtId="0" fontId="35" fillId="29" borderId="11" xfId="0" applyFont="1" applyFill="1" applyBorder="1" applyAlignment="1">
      <alignment horizontal="center"/>
    </xf>
    <xf numFmtId="0" fontId="35" fillId="37" borderId="10" xfId="0" applyFont="1" applyFill="1" applyBorder="1" applyAlignment="1">
      <alignment horizontal="center" vertical="center"/>
    </xf>
    <xf numFmtId="2" fontId="29" fillId="26" borderId="29" xfId="0" applyNumberFormat="1" applyFont="1" applyFill="1" applyBorder="1" applyAlignment="1">
      <alignment horizontal="center" vertical="center"/>
    </xf>
    <xf numFmtId="2" fontId="29" fillId="26" borderId="30" xfId="0" applyNumberFormat="1" applyFont="1" applyFill="1" applyBorder="1" applyAlignment="1">
      <alignment horizontal="center" vertical="center"/>
    </xf>
    <xf numFmtId="2" fontId="29" fillId="26" borderId="31" xfId="0" applyNumberFormat="1" applyFont="1" applyFill="1" applyBorder="1" applyAlignment="1">
      <alignment horizontal="center" vertical="center"/>
    </xf>
    <xf numFmtId="2" fontId="29" fillId="26" borderId="36" xfId="0" applyNumberFormat="1" applyFont="1" applyFill="1" applyBorder="1" applyAlignment="1">
      <alignment horizontal="center" vertical="center"/>
    </xf>
    <xf numFmtId="2" fontId="29" fillId="26" borderId="10" xfId="0" applyNumberFormat="1" applyFont="1" applyFill="1" applyBorder="1" applyAlignment="1">
      <alignment horizontal="center" vertical="center"/>
    </xf>
    <xf numFmtId="2" fontId="29" fillId="26" borderId="37" xfId="0" applyNumberFormat="1" applyFont="1" applyFill="1" applyBorder="1" applyAlignment="1">
      <alignment horizontal="center" vertical="center"/>
    </xf>
    <xf numFmtId="20" fontId="37" fillId="26" borderId="0" xfId="0" applyNumberFormat="1" applyFont="1" applyFill="1" applyAlignment="1">
      <alignment horizontal="right" vertical="center"/>
    </xf>
    <xf numFmtId="0" fontId="35" fillId="36" borderId="10" xfId="0" applyFont="1" applyFill="1" applyBorder="1" applyAlignment="1">
      <alignment horizontal="center" vertical="center"/>
    </xf>
    <xf numFmtId="0" fontId="35" fillId="47" borderId="10" xfId="0" applyFont="1" applyFill="1" applyBorder="1" applyAlignment="1">
      <alignment horizontal="center" vertical="center"/>
    </xf>
    <xf numFmtId="0" fontId="35" fillId="47" borderId="13" xfId="0" applyFont="1" applyFill="1" applyBorder="1" applyAlignment="1">
      <alignment horizontal="center" vertical="center"/>
    </xf>
    <xf numFmtId="0" fontId="27" fillId="27" borderId="10" xfId="0" applyFont="1" applyFill="1" applyBorder="1" applyAlignment="1">
      <alignment horizontal="center" vertical="center"/>
    </xf>
  </cellXfs>
  <cellStyles count="239">
    <cellStyle name="20% - Accent1 2" xfId="2" xr:uid="{00000000-0005-0000-0000-000000000000}"/>
    <cellStyle name="20% - Accent1 2 2" xfId="174" xr:uid="{00000000-0005-0000-0000-000001000000}"/>
    <cellStyle name="20% - Accent1 3" xfId="46" xr:uid="{00000000-0005-0000-0000-000002000000}"/>
    <cellStyle name="20% - Accent1 4" xfId="89" xr:uid="{00000000-0005-0000-0000-000003000000}"/>
    <cellStyle name="20% - Accent1 5" xfId="132" xr:uid="{00000000-0005-0000-0000-000004000000}"/>
    <cellStyle name="20% - Accent2 2" xfId="3" xr:uid="{00000000-0005-0000-0000-000005000000}"/>
    <cellStyle name="20% - Accent2 2 2" xfId="175" xr:uid="{00000000-0005-0000-0000-000006000000}"/>
    <cellStyle name="20% - Accent2 3" xfId="47" xr:uid="{00000000-0005-0000-0000-000007000000}"/>
    <cellStyle name="20% - Accent2 4" xfId="90" xr:uid="{00000000-0005-0000-0000-000008000000}"/>
    <cellStyle name="20% - Accent2 5" xfId="133" xr:uid="{00000000-0005-0000-0000-000009000000}"/>
    <cellStyle name="20% - Accent3 2" xfId="4" xr:uid="{00000000-0005-0000-0000-00000A000000}"/>
    <cellStyle name="20% - Accent3 2 2" xfId="176" xr:uid="{00000000-0005-0000-0000-00000B000000}"/>
    <cellStyle name="20% - Accent3 3" xfId="48" xr:uid="{00000000-0005-0000-0000-00000C000000}"/>
    <cellStyle name="20% - Accent3 4" xfId="91" xr:uid="{00000000-0005-0000-0000-00000D000000}"/>
    <cellStyle name="20% - Accent3 5" xfId="134" xr:uid="{00000000-0005-0000-0000-00000E000000}"/>
    <cellStyle name="20% - Accent4 2" xfId="5" xr:uid="{00000000-0005-0000-0000-00000F000000}"/>
    <cellStyle name="20% - Accent4 2 2" xfId="177" xr:uid="{00000000-0005-0000-0000-000010000000}"/>
    <cellStyle name="20% - Accent4 3" xfId="49" xr:uid="{00000000-0005-0000-0000-000011000000}"/>
    <cellStyle name="20% - Accent4 4" xfId="92" xr:uid="{00000000-0005-0000-0000-000012000000}"/>
    <cellStyle name="20% - Accent4 5" xfId="135" xr:uid="{00000000-0005-0000-0000-000013000000}"/>
    <cellStyle name="20% - Accent5 2" xfId="6" xr:uid="{00000000-0005-0000-0000-000014000000}"/>
    <cellStyle name="20% - Accent5 2 2" xfId="178" xr:uid="{00000000-0005-0000-0000-000015000000}"/>
    <cellStyle name="20% - Accent5 3" xfId="50" xr:uid="{00000000-0005-0000-0000-000016000000}"/>
    <cellStyle name="20% - Accent5 4" xfId="93" xr:uid="{00000000-0005-0000-0000-000017000000}"/>
    <cellStyle name="20% - Accent5 5" xfId="136" xr:uid="{00000000-0005-0000-0000-000018000000}"/>
    <cellStyle name="20% - Accent6 2" xfId="7" xr:uid="{00000000-0005-0000-0000-000019000000}"/>
    <cellStyle name="20% - Accent6 2 2" xfId="179" xr:uid="{00000000-0005-0000-0000-00001A000000}"/>
    <cellStyle name="20% - Accent6 3" xfId="51" xr:uid="{00000000-0005-0000-0000-00001B000000}"/>
    <cellStyle name="20% - Accent6 4" xfId="94" xr:uid="{00000000-0005-0000-0000-00001C000000}"/>
    <cellStyle name="20% - Accent6 5" xfId="137" xr:uid="{00000000-0005-0000-0000-00001D000000}"/>
    <cellStyle name="40% - Accent1 2" xfId="8" xr:uid="{00000000-0005-0000-0000-00001E000000}"/>
    <cellStyle name="40% - Accent1 2 2" xfId="180" xr:uid="{00000000-0005-0000-0000-00001F000000}"/>
    <cellStyle name="40% - Accent1 3" xfId="52" xr:uid="{00000000-0005-0000-0000-000020000000}"/>
    <cellStyle name="40% - Accent1 4" xfId="95" xr:uid="{00000000-0005-0000-0000-000021000000}"/>
    <cellStyle name="40% - Accent1 5" xfId="138" xr:uid="{00000000-0005-0000-0000-000022000000}"/>
    <cellStyle name="40% - Accent2 2" xfId="9" xr:uid="{00000000-0005-0000-0000-000023000000}"/>
    <cellStyle name="40% - Accent2 2 2" xfId="181" xr:uid="{00000000-0005-0000-0000-000024000000}"/>
    <cellStyle name="40% - Accent2 3" xfId="53" xr:uid="{00000000-0005-0000-0000-000025000000}"/>
    <cellStyle name="40% - Accent2 4" xfId="96" xr:uid="{00000000-0005-0000-0000-000026000000}"/>
    <cellStyle name="40% - Accent2 5" xfId="139" xr:uid="{00000000-0005-0000-0000-000027000000}"/>
    <cellStyle name="40% - Accent3 2" xfId="10" xr:uid="{00000000-0005-0000-0000-000028000000}"/>
    <cellStyle name="40% - Accent3 2 2" xfId="182" xr:uid="{00000000-0005-0000-0000-000029000000}"/>
    <cellStyle name="40% - Accent3 3" xfId="54" xr:uid="{00000000-0005-0000-0000-00002A000000}"/>
    <cellStyle name="40% - Accent3 4" xfId="97" xr:uid="{00000000-0005-0000-0000-00002B000000}"/>
    <cellStyle name="40% - Accent3 5" xfId="140" xr:uid="{00000000-0005-0000-0000-00002C000000}"/>
    <cellStyle name="40% - Accent4 2" xfId="11" xr:uid="{00000000-0005-0000-0000-00002D000000}"/>
    <cellStyle name="40% - Accent4 2 2" xfId="183" xr:uid="{00000000-0005-0000-0000-00002E000000}"/>
    <cellStyle name="40% - Accent4 3" xfId="55" xr:uid="{00000000-0005-0000-0000-00002F000000}"/>
    <cellStyle name="40% - Accent4 4" xfId="98" xr:uid="{00000000-0005-0000-0000-000030000000}"/>
    <cellStyle name="40% - Accent4 5" xfId="141" xr:uid="{00000000-0005-0000-0000-000031000000}"/>
    <cellStyle name="40% - Accent5 2" xfId="12" xr:uid="{00000000-0005-0000-0000-000032000000}"/>
    <cellStyle name="40% - Accent5 2 2" xfId="184" xr:uid="{00000000-0005-0000-0000-000033000000}"/>
    <cellStyle name="40% - Accent5 3" xfId="56" xr:uid="{00000000-0005-0000-0000-000034000000}"/>
    <cellStyle name="40% - Accent5 4" xfId="99" xr:uid="{00000000-0005-0000-0000-000035000000}"/>
    <cellStyle name="40% - Accent5 5" xfId="142" xr:uid="{00000000-0005-0000-0000-000036000000}"/>
    <cellStyle name="40% - Accent6 2" xfId="13" xr:uid="{00000000-0005-0000-0000-000037000000}"/>
    <cellStyle name="40% - Accent6 2 2" xfId="185" xr:uid="{00000000-0005-0000-0000-000038000000}"/>
    <cellStyle name="40% - Accent6 3" xfId="57" xr:uid="{00000000-0005-0000-0000-000039000000}"/>
    <cellStyle name="40% - Accent6 4" xfId="100" xr:uid="{00000000-0005-0000-0000-00003A000000}"/>
    <cellStyle name="40% - Accent6 5" xfId="143" xr:uid="{00000000-0005-0000-0000-00003B000000}"/>
    <cellStyle name="60% - Accent1 2" xfId="14" xr:uid="{00000000-0005-0000-0000-00003C000000}"/>
    <cellStyle name="60% - Accent1 2 2" xfId="186" xr:uid="{00000000-0005-0000-0000-00003D000000}"/>
    <cellStyle name="60% - Accent1 3" xfId="58" xr:uid="{00000000-0005-0000-0000-00003E000000}"/>
    <cellStyle name="60% - Accent1 4" xfId="101" xr:uid="{00000000-0005-0000-0000-00003F000000}"/>
    <cellStyle name="60% - Accent1 5" xfId="144" xr:uid="{00000000-0005-0000-0000-000040000000}"/>
    <cellStyle name="60% - Accent2 2" xfId="15" xr:uid="{00000000-0005-0000-0000-000041000000}"/>
    <cellStyle name="60% - Accent2 2 2" xfId="187" xr:uid="{00000000-0005-0000-0000-000042000000}"/>
    <cellStyle name="60% - Accent2 3" xfId="59" xr:uid="{00000000-0005-0000-0000-000043000000}"/>
    <cellStyle name="60% - Accent2 4" xfId="102" xr:uid="{00000000-0005-0000-0000-000044000000}"/>
    <cellStyle name="60% - Accent2 5" xfId="145" xr:uid="{00000000-0005-0000-0000-000045000000}"/>
    <cellStyle name="60% - Accent3 2" xfId="16" xr:uid="{00000000-0005-0000-0000-000046000000}"/>
    <cellStyle name="60% - Accent3 2 2" xfId="188" xr:uid="{00000000-0005-0000-0000-000047000000}"/>
    <cellStyle name="60% - Accent3 3" xfId="60" xr:uid="{00000000-0005-0000-0000-000048000000}"/>
    <cellStyle name="60% - Accent3 4" xfId="103" xr:uid="{00000000-0005-0000-0000-000049000000}"/>
    <cellStyle name="60% - Accent3 5" xfId="146" xr:uid="{00000000-0005-0000-0000-00004A000000}"/>
    <cellStyle name="60% - Accent4 2" xfId="17" xr:uid="{00000000-0005-0000-0000-00004B000000}"/>
    <cellStyle name="60% - Accent4 2 2" xfId="189" xr:uid="{00000000-0005-0000-0000-00004C000000}"/>
    <cellStyle name="60% - Accent4 3" xfId="61" xr:uid="{00000000-0005-0000-0000-00004D000000}"/>
    <cellStyle name="60% - Accent4 4" xfId="104" xr:uid="{00000000-0005-0000-0000-00004E000000}"/>
    <cellStyle name="60% - Accent4 5" xfId="147" xr:uid="{00000000-0005-0000-0000-00004F000000}"/>
    <cellStyle name="60% - Accent5 2" xfId="18" xr:uid="{00000000-0005-0000-0000-000050000000}"/>
    <cellStyle name="60% - Accent5 2 2" xfId="190" xr:uid="{00000000-0005-0000-0000-000051000000}"/>
    <cellStyle name="60% - Accent5 3" xfId="62" xr:uid="{00000000-0005-0000-0000-000052000000}"/>
    <cellStyle name="60% - Accent5 4" xfId="105" xr:uid="{00000000-0005-0000-0000-000053000000}"/>
    <cellStyle name="60% - Accent5 5" xfId="148" xr:uid="{00000000-0005-0000-0000-000054000000}"/>
    <cellStyle name="60% - Accent6 2" xfId="19" xr:uid="{00000000-0005-0000-0000-000055000000}"/>
    <cellStyle name="60% - Accent6 2 2" xfId="191" xr:uid="{00000000-0005-0000-0000-000056000000}"/>
    <cellStyle name="60% - Accent6 3" xfId="63" xr:uid="{00000000-0005-0000-0000-000057000000}"/>
    <cellStyle name="60% - Accent6 4" xfId="106" xr:uid="{00000000-0005-0000-0000-000058000000}"/>
    <cellStyle name="60% - Accent6 5" xfId="149" xr:uid="{00000000-0005-0000-0000-000059000000}"/>
    <cellStyle name="Accent1 2" xfId="20" xr:uid="{00000000-0005-0000-0000-00005A000000}"/>
    <cellStyle name="Accent1 2 2" xfId="192" xr:uid="{00000000-0005-0000-0000-00005B000000}"/>
    <cellStyle name="Accent1 3" xfId="64" xr:uid="{00000000-0005-0000-0000-00005C000000}"/>
    <cellStyle name="Accent1 4" xfId="107" xr:uid="{00000000-0005-0000-0000-00005D000000}"/>
    <cellStyle name="Accent1 5" xfId="150" xr:uid="{00000000-0005-0000-0000-00005E000000}"/>
    <cellStyle name="Accent2 2" xfId="21" xr:uid="{00000000-0005-0000-0000-00005F000000}"/>
    <cellStyle name="Accent2 2 2" xfId="193" xr:uid="{00000000-0005-0000-0000-000060000000}"/>
    <cellStyle name="Accent2 3" xfId="65" xr:uid="{00000000-0005-0000-0000-000061000000}"/>
    <cellStyle name="Accent2 4" xfId="108" xr:uid="{00000000-0005-0000-0000-000062000000}"/>
    <cellStyle name="Accent2 5" xfId="151" xr:uid="{00000000-0005-0000-0000-000063000000}"/>
    <cellStyle name="Accent3 2" xfId="22" xr:uid="{00000000-0005-0000-0000-000064000000}"/>
    <cellStyle name="Accent3 2 2" xfId="194" xr:uid="{00000000-0005-0000-0000-000065000000}"/>
    <cellStyle name="Accent3 3" xfId="66" xr:uid="{00000000-0005-0000-0000-000066000000}"/>
    <cellStyle name="Accent3 4" xfId="109" xr:uid="{00000000-0005-0000-0000-000067000000}"/>
    <cellStyle name="Accent3 5" xfId="152" xr:uid="{00000000-0005-0000-0000-000068000000}"/>
    <cellStyle name="Accent4 2" xfId="23" xr:uid="{00000000-0005-0000-0000-000069000000}"/>
    <cellStyle name="Accent4 2 2" xfId="195" xr:uid="{00000000-0005-0000-0000-00006A000000}"/>
    <cellStyle name="Accent4 3" xfId="67" xr:uid="{00000000-0005-0000-0000-00006B000000}"/>
    <cellStyle name="Accent4 4" xfId="110" xr:uid="{00000000-0005-0000-0000-00006C000000}"/>
    <cellStyle name="Accent4 5" xfId="153" xr:uid="{00000000-0005-0000-0000-00006D000000}"/>
    <cellStyle name="Accent5 2" xfId="24" xr:uid="{00000000-0005-0000-0000-00006E000000}"/>
    <cellStyle name="Accent5 2 2" xfId="196" xr:uid="{00000000-0005-0000-0000-00006F000000}"/>
    <cellStyle name="Accent5 3" xfId="68" xr:uid="{00000000-0005-0000-0000-000070000000}"/>
    <cellStyle name="Accent5 4" xfId="111" xr:uid="{00000000-0005-0000-0000-000071000000}"/>
    <cellStyle name="Accent5 5" xfId="154" xr:uid="{00000000-0005-0000-0000-000072000000}"/>
    <cellStyle name="Accent6 2" xfId="25" xr:uid="{00000000-0005-0000-0000-000073000000}"/>
    <cellStyle name="Accent6 2 2" xfId="197" xr:uid="{00000000-0005-0000-0000-000074000000}"/>
    <cellStyle name="Accent6 3" xfId="69" xr:uid="{00000000-0005-0000-0000-000075000000}"/>
    <cellStyle name="Accent6 4" xfId="112" xr:uid="{00000000-0005-0000-0000-000076000000}"/>
    <cellStyle name="Accent6 5" xfId="155" xr:uid="{00000000-0005-0000-0000-000077000000}"/>
    <cellStyle name="Bad 2" xfId="26" xr:uid="{00000000-0005-0000-0000-000078000000}"/>
    <cellStyle name="Bad 2 2" xfId="198" xr:uid="{00000000-0005-0000-0000-000079000000}"/>
    <cellStyle name="Bad 3" xfId="70" xr:uid="{00000000-0005-0000-0000-00007A000000}"/>
    <cellStyle name="Bad 4" xfId="113" xr:uid="{00000000-0005-0000-0000-00007B000000}"/>
    <cellStyle name="Bad 5" xfId="156" xr:uid="{00000000-0005-0000-0000-00007C000000}"/>
    <cellStyle name="Calculation 2" xfId="27" xr:uid="{00000000-0005-0000-0000-00007D000000}"/>
    <cellStyle name="Calculation 2 2" xfId="199" xr:uid="{00000000-0005-0000-0000-00007E000000}"/>
    <cellStyle name="Calculation 2 3" xfId="200" xr:uid="{00000000-0005-0000-0000-00007F000000}"/>
    <cellStyle name="Calculation 3" xfId="71" xr:uid="{00000000-0005-0000-0000-000080000000}"/>
    <cellStyle name="Calculation 4" xfId="114" xr:uid="{00000000-0005-0000-0000-000081000000}"/>
    <cellStyle name="Calculation 5" xfId="157" xr:uid="{00000000-0005-0000-0000-000082000000}"/>
    <cellStyle name="Check Cell 2" xfId="28" xr:uid="{00000000-0005-0000-0000-000083000000}"/>
    <cellStyle name="Check Cell 2 2" xfId="201" xr:uid="{00000000-0005-0000-0000-000084000000}"/>
    <cellStyle name="Check Cell 3" xfId="72" xr:uid="{00000000-0005-0000-0000-000085000000}"/>
    <cellStyle name="Check Cell 4" xfId="115" xr:uid="{00000000-0005-0000-0000-000086000000}"/>
    <cellStyle name="Check Cell 5" xfId="158" xr:uid="{00000000-0005-0000-0000-000087000000}"/>
    <cellStyle name="Comma" xfId="222" builtinId="3"/>
    <cellStyle name="Comma 2" xfId="238" xr:uid="{0F05B354-A186-4B98-8C59-C5409F3562A4}"/>
    <cellStyle name="Explanatory Text 2" xfId="29" xr:uid="{00000000-0005-0000-0000-000089000000}"/>
    <cellStyle name="Explanatory Text 2 2" xfId="202" xr:uid="{00000000-0005-0000-0000-00008A000000}"/>
    <cellStyle name="Explanatory Text 3" xfId="73" xr:uid="{00000000-0005-0000-0000-00008B000000}"/>
    <cellStyle name="Explanatory Text 4" xfId="116" xr:uid="{00000000-0005-0000-0000-00008C000000}"/>
    <cellStyle name="Explanatory Text 5" xfId="159" xr:uid="{00000000-0005-0000-0000-00008D000000}"/>
    <cellStyle name="Good 2" xfId="30" xr:uid="{00000000-0005-0000-0000-00008E000000}"/>
    <cellStyle name="Good 2 2" xfId="203" xr:uid="{00000000-0005-0000-0000-00008F000000}"/>
    <cellStyle name="Good 3" xfId="74" xr:uid="{00000000-0005-0000-0000-000090000000}"/>
    <cellStyle name="Good 4" xfId="117" xr:uid="{00000000-0005-0000-0000-000091000000}"/>
    <cellStyle name="Good 5" xfId="160" xr:uid="{00000000-0005-0000-0000-000092000000}"/>
    <cellStyle name="Heading 1 2" xfId="31" xr:uid="{00000000-0005-0000-0000-000093000000}"/>
    <cellStyle name="Heading 1 2 2" xfId="204" xr:uid="{00000000-0005-0000-0000-000094000000}"/>
    <cellStyle name="Heading 1 3" xfId="75" xr:uid="{00000000-0005-0000-0000-000095000000}"/>
    <cellStyle name="Heading 1 4" xfId="118" xr:uid="{00000000-0005-0000-0000-000096000000}"/>
    <cellStyle name="Heading 1 5" xfId="161" xr:uid="{00000000-0005-0000-0000-000097000000}"/>
    <cellStyle name="Heading 2 2" xfId="32" xr:uid="{00000000-0005-0000-0000-000098000000}"/>
    <cellStyle name="Heading 2 2 2" xfId="205" xr:uid="{00000000-0005-0000-0000-000099000000}"/>
    <cellStyle name="Heading 2 3" xfId="76" xr:uid="{00000000-0005-0000-0000-00009A000000}"/>
    <cellStyle name="Heading 2 4" xfId="119" xr:uid="{00000000-0005-0000-0000-00009B000000}"/>
    <cellStyle name="Heading 2 5" xfId="162" xr:uid="{00000000-0005-0000-0000-00009C000000}"/>
    <cellStyle name="Heading 3 2" xfId="33" xr:uid="{00000000-0005-0000-0000-00009D000000}"/>
    <cellStyle name="Heading 3 2 2" xfId="206" xr:uid="{00000000-0005-0000-0000-00009E000000}"/>
    <cellStyle name="Heading 3 3" xfId="77" xr:uid="{00000000-0005-0000-0000-00009F000000}"/>
    <cellStyle name="Heading 3 4" xfId="120" xr:uid="{00000000-0005-0000-0000-0000A0000000}"/>
    <cellStyle name="Heading 3 5" xfId="163" xr:uid="{00000000-0005-0000-0000-0000A1000000}"/>
    <cellStyle name="Heading 4 2" xfId="34" xr:uid="{00000000-0005-0000-0000-0000A2000000}"/>
    <cellStyle name="Heading 4 2 2" xfId="207" xr:uid="{00000000-0005-0000-0000-0000A3000000}"/>
    <cellStyle name="Heading 4 3" xfId="78" xr:uid="{00000000-0005-0000-0000-0000A4000000}"/>
    <cellStyle name="Heading 4 4" xfId="121" xr:uid="{00000000-0005-0000-0000-0000A5000000}"/>
    <cellStyle name="Heading 4 5" xfId="164" xr:uid="{00000000-0005-0000-0000-0000A6000000}"/>
    <cellStyle name="Input 2" xfId="35" xr:uid="{00000000-0005-0000-0000-0000A7000000}"/>
    <cellStyle name="Input 2 2" xfId="208" xr:uid="{00000000-0005-0000-0000-0000A8000000}"/>
    <cellStyle name="Input 2 3" xfId="209" xr:uid="{00000000-0005-0000-0000-0000A9000000}"/>
    <cellStyle name="Input 3" xfId="79" xr:uid="{00000000-0005-0000-0000-0000AA000000}"/>
    <cellStyle name="Input 4" xfId="122" xr:uid="{00000000-0005-0000-0000-0000AB000000}"/>
    <cellStyle name="Input 5" xfId="165" xr:uid="{00000000-0005-0000-0000-0000AC000000}"/>
    <cellStyle name="Linked Cell 2" xfId="36" xr:uid="{00000000-0005-0000-0000-0000AD000000}"/>
    <cellStyle name="Linked Cell 2 2" xfId="210" xr:uid="{00000000-0005-0000-0000-0000AE000000}"/>
    <cellStyle name="Linked Cell 3" xfId="80" xr:uid="{00000000-0005-0000-0000-0000AF000000}"/>
    <cellStyle name="Linked Cell 4" xfId="123" xr:uid="{00000000-0005-0000-0000-0000B0000000}"/>
    <cellStyle name="Linked Cell 5" xfId="166" xr:uid="{00000000-0005-0000-0000-0000B1000000}"/>
    <cellStyle name="Neutral 2" xfId="37" xr:uid="{00000000-0005-0000-0000-0000B2000000}"/>
    <cellStyle name="Neutral 2 2" xfId="211" xr:uid="{00000000-0005-0000-0000-0000B3000000}"/>
    <cellStyle name="Neutral 3" xfId="81" xr:uid="{00000000-0005-0000-0000-0000B4000000}"/>
    <cellStyle name="Neutral 4" xfId="124" xr:uid="{00000000-0005-0000-0000-0000B5000000}"/>
    <cellStyle name="Neutral 5" xfId="167" xr:uid="{00000000-0005-0000-0000-0000B6000000}"/>
    <cellStyle name="Normal" xfId="0" builtinId="0"/>
    <cellStyle name="Normal 2" xfId="1" xr:uid="{00000000-0005-0000-0000-0000B8000000}"/>
    <cellStyle name="Normal 2 2" xfId="38" xr:uid="{00000000-0005-0000-0000-0000B9000000}"/>
    <cellStyle name="Normal 2 2 2" xfId="223" xr:uid="{00000000-0005-0000-0000-0000BA000000}"/>
    <cellStyle name="Normal 2 3" xfId="82" xr:uid="{00000000-0005-0000-0000-0000BB000000}"/>
    <cellStyle name="Normal 2 3 2" xfId="226" xr:uid="{00000000-0005-0000-0000-0000BC000000}"/>
    <cellStyle name="Normal 2 4" xfId="125" xr:uid="{00000000-0005-0000-0000-0000BD000000}"/>
    <cellStyle name="Normal 2 4 2" xfId="229" xr:uid="{00000000-0005-0000-0000-0000BE000000}"/>
    <cellStyle name="Normal 2 5" xfId="168" xr:uid="{00000000-0005-0000-0000-0000BF000000}"/>
    <cellStyle name="Normal 2 5 2" xfId="232" xr:uid="{00000000-0005-0000-0000-0000C0000000}"/>
    <cellStyle name="Normal 2 6" xfId="212" xr:uid="{00000000-0005-0000-0000-0000C1000000}"/>
    <cellStyle name="Normal 2 6 2" xfId="234" xr:uid="{00000000-0005-0000-0000-0000C2000000}"/>
    <cellStyle name="Normal 3" xfId="39" xr:uid="{00000000-0005-0000-0000-0000C3000000}"/>
    <cellStyle name="Normal 3 2" xfId="213" xr:uid="{00000000-0005-0000-0000-0000C4000000}"/>
    <cellStyle name="Normal 3 2 2" xfId="235" xr:uid="{00000000-0005-0000-0000-0000C5000000}"/>
    <cellStyle name="Normal 4" xfId="45" xr:uid="{00000000-0005-0000-0000-0000C6000000}"/>
    <cellStyle name="Normal 4 2" xfId="214" xr:uid="{00000000-0005-0000-0000-0000C7000000}"/>
    <cellStyle name="Normal 4 3" xfId="225" xr:uid="{00000000-0005-0000-0000-0000C8000000}"/>
    <cellStyle name="Normal 5" xfId="83" xr:uid="{00000000-0005-0000-0000-0000C9000000}"/>
    <cellStyle name="Normal 5 2" xfId="227" xr:uid="{00000000-0005-0000-0000-0000CA000000}"/>
    <cellStyle name="Normal 6" xfId="126" xr:uid="{00000000-0005-0000-0000-0000CB000000}"/>
    <cellStyle name="Normal 6 2" xfId="230" xr:uid="{00000000-0005-0000-0000-0000CC000000}"/>
    <cellStyle name="Note 2" xfId="40" xr:uid="{00000000-0005-0000-0000-0000CD000000}"/>
    <cellStyle name="Note 2 2" xfId="215" xr:uid="{00000000-0005-0000-0000-0000CE000000}"/>
    <cellStyle name="Note 2 2 2" xfId="236" xr:uid="{00000000-0005-0000-0000-0000CF000000}"/>
    <cellStyle name="Note 2 3" xfId="224" xr:uid="{00000000-0005-0000-0000-0000D0000000}"/>
    <cellStyle name="Note 3" xfId="84" xr:uid="{00000000-0005-0000-0000-0000D1000000}"/>
    <cellStyle name="Note 3 2" xfId="228" xr:uid="{00000000-0005-0000-0000-0000D2000000}"/>
    <cellStyle name="Note 4" xfId="127" xr:uid="{00000000-0005-0000-0000-0000D3000000}"/>
    <cellStyle name="Note 4 2" xfId="231" xr:uid="{00000000-0005-0000-0000-0000D4000000}"/>
    <cellStyle name="Note 5" xfId="169" xr:uid="{00000000-0005-0000-0000-0000D5000000}"/>
    <cellStyle name="Note 5 2" xfId="233" xr:uid="{00000000-0005-0000-0000-0000D6000000}"/>
    <cellStyle name="Output 2" xfId="41" xr:uid="{00000000-0005-0000-0000-0000D7000000}"/>
    <cellStyle name="Output 2 2" xfId="216" xr:uid="{00000000-0005-0000-0000-0000D8000000}"/>
    <cellStyle name="Output 2 3" xfId="217" xr:uid="{00000000-0005-0000-0000-0000D9000000}"/>
    <cellStyle name="Output 3" xfId="85" xr:uid="{00000000-0005-0000-0000-0000DA000000}"/>
    <cellStyle name="Output 4" xfId="128" xr:uid="{00000000-0005-0000-0000-0000DB000000}"/>
    <cellStyle name="Output 5" xfId="170" xr:uid="{00000000-0005-0000-0000-0000DC000000}"/>
    <cellStyle name="Percent" xfId="237" builtinId="5"/>
    <cellStyle name="Title 2" xfId="42" xr:uid="{00000000-0005-0000-0000-0000DE000000}"/>
    <cellStyle name="Title 2 2" xfId="218" xr:uid="{00000000-0005-0000-0000-0000DF000000}"/>
    <cellStyle name="Title 3" xfId="86" xr:uid="{00000000-0005-0000-0000-0000E0000000}"/>
    <cellStyle name="Title 4" xfId="129" xr:uid="{00000000-0005-0000-0000-0000E1000000}"/>
    <cellStyle name="Title 5" xfId="171" xr:uid="{00000000-0005-0000-0000-0000E2000000}"/>
    <cellStyle name="Total 2" xfId="43" xr:uid="{00000000-0005-0000-0000-0000E3000000}"/>
    <cellStyle name="Total 2 2" xfId="219" xr:uid="{00000000-0005-0000-0000-0000E4000000}"/>
    <cellStyle name="Total 2 3" xfId="220" xr:uid="{00000000-0005-0000-0000-0000E5000000}"/>
    <cellStyle name="Total 3" xfId="87" xr:uid="{00000000-0005-0000-0000-0000E6000000}"/>
    <cellStyle name="Total 4" xfId="130" xr:uid="{00000000-0005-0000-0000-0000E7000000}"/>
    <cellStyle name="Total 5" xfId="172" xr:uid="{00000000-0005-0000-0000-0000E8000000}"/>
    <cellStyle name="Warning Text 2" xfId="44" xr:uid="{00000000-0005-0000-0000-0000E9000000}"/>
    <cellStyle name="Warning Text 2 2" xfId="221" xr:uid="{00000000-0005-0000-0000-0000EA000000}"/>
    <cellStyle name="Warning Text 3" xfId="88" xr:uid="{00000000-0005-0000-0000-0000EB000000}"/>
    <cellStyle name="Warning Text 4" xfId="131" xr:uid="{00000000-0005-0000-0000-0000EC000000}"/>
    <cellStyle name="Warning Text 5" xfId="173" xr:uid="{00000000-0005-0000-0000-0000ED000000}"/>
  </cellStyles>
  <dxfs count="164">
    <dxf>
      <fill>
        <patternFill>
          <bgColor rgb="FFFFC000"/>
        </patternFill>
      </fill>
    </dxf>
    <dxf>
      <fill>
        <patternFill>
          <bgColor rgb="FFFFC000"/>
        </patternFill>
      </fill>
    </dxf>
    <dxf>
      <numFmt numFmtId="177" formatCode="mm/dd/yyyy"/>
    </dxf>
    <dxf>
      <numFmt numFmtId="177" formatCode="mm/dd/yyyy"/>
    </dxf>
    <dxf>
      <numFmt numFmtId="177" formatCode="mm/dd/yyyy"/>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8" formatCode="0.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auto="1"/>
        </patternFill>
      </fill>
      <alignment horizontal="center"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numFmt numFmtId="2" formatCode="0.00"/>
      <fill>
        <patternFill patternType="none">
          <fgColor indexed="64"/>
          <bgColor auto="1"/>
        </patternFill>
      </fill>
      <alignment horizontal="center" vertical="bottom" textRotation="0" wrapText="1"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4" formatCode="0.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center" vertical="bottom" textRotation="0" wrapText="0" indent="0" justifyLastLine="0" shrinkToFit="0" readingOrder="0"/>
    </dxf>
    <dxf>
      <border outline="0">
        <top style="thin">
          <color theme="4" tint="0.39997558519241921"/>
        </top>
      </border>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center"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2" tint="-9.9978637043366805E-2"/>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fill>
        <patternFill patternType="solid">
          <fgColor indexed="64"/>
          <bgColor theme="0"/>
        </patternFill>
      </fill>
      <protection locked="0" hidden="0"/>
    </dxf>
    <dxf>
      <font>
        <b val="0"/>
        <i val="0"/>
        <strike val="0"/>
        <condense val="0"/>
        <extend val="0"/>
        <outline val="0"/>
        <shadow val="0"/>
        <u val="none"/>
        <vertAlign val="baseline"/>
        <sz val="12"/>
        <color theme="1"/>
        <name val="Calibri"/>
        <family val="2"/>
        <scheme val="minor"/>
      </font>
      <numFmt numFmtId="176" formatCode="0.0%"/>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indexed="9"/>
        <name val="Calibri"/>
        <family val="2"/>
        <scheme val="minor"/>
      </font>
      <numFmt numFmtId="35" formatCode="_(* #,##0.00_);_(* \(#,##0.00\);_(* &quot;-&quot;??_);_(@_)"/>
      <fill>
        <patternFill patternType="solid">
          <fgColor indexed="64"/>
          <bgColor theme="2" tint="-0.499984740745262"/>
        </patternFill>
      </fill>
      <alignment horizontal="center" vertical="center" textRotation="0" wrapText="1" indent="0" justifyLastLine="0" shrinkToFit="0" readingOrder="0"/>
      <border diagonalUp="0" diagonalDown="0">
        <left/>
        <right/>
        <top style="thin">
          <color theme="1"/>
        </top>
        <bottom style="thin">
          <color theme="4" tint="0.39997558519241921"/>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2" tint="-9.9978637043366805E-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30" formatCode="@"/>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30" formatCode="@"/>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74" formatCode="_(* #,##0.0_);_(* \(#,##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71" formatCode="_(* #,##0.0000_);_(* \(#,##0.0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72" formatCode="[$-409]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72" formatCode="[$-409]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72" formatCode="[$-409]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theme="1"/>
        <name val="Calibri"/>
        <family val="2"/>
        <scheme val="minor"/>
      </font>
      <numFmt numFmtId="165" formatCode="[$-409]m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2"/>
        <color indexed="9"/>
        <name val="Calibri"/>
        <family val="2"/>
        <scheme val="minor"/>
      </font>
      <fill>
        <patternFill patternType="solid">
          <fgColor indexed="64"/>
          <bgColor theme="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73" formatCode="0.0000"/>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4" formatCode="[$-409]mmmm\ d\,\ yy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6" formatCode="[$-409]d\-mmm\-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6" formatCode="[$-409]d\-mmm\-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5" formatCode="[$-409]mmm\-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indexed="9"/>
        <name val="Calibri"/>
        <family val="2"/>
        <scheme val="minor"/>
      </font>
      <fill>
        <patternFill patternType="solid">
          <fgColor indexed="64"/>
          <bgColor theme="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4" formatCode="[$-409]mmmm\ d\,\ yy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4" formatCode="[$-409]mmmm\ d\,\ yy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5" formatCode="[$-409]mmm\-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2"/>
        <color indexed="9"/>
        <name val="Calibri"/>
        <family val="2"/>
        <scheme val="minor"/>
      </font>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 formatCode="0"/>
      <fill>
        <patternFill patternType="solid">
          <fgColor indexed="64"/>
          <bgColor theme="2" tint="-9.9978637043366805E-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73" formatCode="0.0000"/>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4" formatCode="[$-409]mmmm\ d\,\ yy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25" formatCode="h:mm"/>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6" formatCode="[$-409]d\-mmm\-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6" formatCode="[$-409]d\-mmm\-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5" formatCode="[$-409]mmm\-yy;@"/>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2"/>
        <color indexed="9"/>
        <name val="Calibri"/>
        <family val="2"/>
        <scheme val="minor"/>
      </font>
      <fill>
        <patternFill patternType="solid">
          <fgColor indexed="64"/>
          <bgColor theme="1"/>
        </patternFill>
      </fill>
      <alignment horizontal="center" vertical="center" textRotation="0" wrapText="0" indent="0" justifyLastLine="0" shrinkToFit="0" readingOrder="0"/>
      <protection locked="1" hidden="0"/>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PH"/>
              <a:t>FPI, monthly</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spPr>
            <a:ln w="25400" cap="rnd">
              <a:solidFill>
                <a:schemeClr val="lt1"/>
              </a:solidFill>
              <a:round/>
            </a:ln>
            <a:effectLst>
              <a:outerShdw dist="25400" dir="2700000" algn="tl" rotWithShape="0">
                <a:schemeClr val="accent1"/>
              </a:outerShdw>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numRef>
              <c:f>RESGEN!$AB$11:$AB$19</c:f>
              <c:numCache>
                <c:formatCode>[$-409]mmm\-yy;@</c:formatCode>
                <c:ptCount val="9"/>
                <c:pt idx="0">
                  <c:v>46023</c:v>
                </c:pt>
                <c:pt idx="1">
                  <c:v>46054</c:v>
                </c:pt>
                <c:pt idx="2">
                  <c:v>46082</c:v>
                </c:pt>
                <c:pt idx="3">
                  <c:v>46113</c:v>
                </c:pt>
                <c:pt idx="4">
                  <c:v>46143</c:v>
                </c:pt>
                <c:pt idx="5">
                  <c:v>46174</c:v>
                </c:pt>
                <c:pt idx="6">
                  <c:v>46204</c:v>
                </c:pt>
                <c:pt idx="7">
                  <c:v>46235</c:v>
                </c:pt>
                <c:pt idx="8">
                  <c:v>46266</c:v>
                </c:pt>
              </c:numCache>
            </c:numRef>
          </c:cat>
          <c:val>
            <c:numRef>
              <c:f>RESGEN!$AK$11:$AK$19</c:f>
              <c:numCache>
                <c:formatCode>0.00%</c:formatCode>
                <c:ptCount val="9"/>
                <c:pt idx="0">
                  <c:v>0.96270004358926453</c:v>
                </c:pt>
                <c:pt idx="1">
                  <c:v>0.97351359898798229</c:v>
                </c:pt>
                <c:pt idx="2">
                  <c:v>0.95483214649033565</c:v>
                </c:pt>
                <c:pt idx="3">
                  <c:v>0.94273697832416692</c:v>
                </c:pt>
                <c:pt idx="4">
                  <c:v>0.94856484391368112</c:v>
                </c:pt>
                <c:pt idx="5">
                  <c:v>0.95930171416552734</c:v>
                </c:pt>
                <c:pt idx="6">
                  <c:v>0.97012052226314027</c:v>
                </c:pt>
                <c:pt idx="7">
                  <c:v>0.95569210866752907</c:v>
                </c:pt>
                <c:pt idx="8">
                  <c:v>0.9470384781668828</c:v>
                </c:pt>
              </c:numCache>
            </c:numRef>
          </c:val>
          <c:smooth val="0"/>
          <c:extLst>
            <c:ext xmlns:c16="http://schemas.microsoft.com/office/drawing/2014/chart" uri="{C3380CC4-5D6E-409C-BE32-E72D297353CC}">
              <c16:uniqueId val="{00000000-DF91-4958-832E-DB8292B1157E}"/>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775280624"/>
        <c:axId val="775278704"/>
      </c:lineChart>
      <c:dateAx>
        <c:axId val="775280624"/>
        <c:scaling>
          <c:orientation val="minMax"/>
        </c:scaling>
        <c:delete val="0"/>
        <c:axPos val="b"/>
        <c:numFmt formatCode="[$-409]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775278704"/>
        <c:crosses val="autoZero"/>
        <c:auto val="1"/>
        <c:lblOffset val="100"/>
        <c:baseTimeUnit val="months"/>
      </c:dateAx>
      <c:valAx>
        <c:axId val="775278704"/>
        <c:scaling>
          <c:orientation val="minMax"/>
        </c:scaling>
        <c:delete val="1"/>
        <c:axPos val="l"/>
        <c:numFmt formatCode="0.00%" sourceLinked="1"/>
        <c:majorTickMark val="none"/>
        <c:minorTickMark val="none"/>
        <c:tickLblPos val="nextTo"/>
        <c:crossAx val="775280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absolute">
    <xdr:from>
      <xdr:col>45</xdr:col>
      <xdr:colOff>109208</xdr:colOff>
      <xdr:row>32</xdr:row>
      <xdr:rowOff>34636</xdr:rowOff>
    </xdr:from>
    <xdr:to>
      <xdr:col>55</xdr:col>
      <xdr:colOff>764627</xdr:colOff>
      <xdr:row>32</xdr:row>
      <xdr:rowOff>680462</xdr:rowOff>
    </xdr:to>
    <mc:AlternateContent xmlns:mc="http://schemas.openxmlformats.org/markup-compatibility/2006" xmlns:sle15="http://schemas.microsoft.com/office/drawing/2012/slicer">
      <mc:Choice Requires="sle15">
        <xdr:graphicFrame macro="">
          <xdr:nvGraphicFramePr>
            <xdr:cNvPr id="3" name="Month">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0945481" y="34636"/>
              <a:ext cx="8933510" cy="645826"/>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30876</xdr:colOff>
      <xdr:row>0</xdr:row>
      <xdr:rowOff>46850</xdr:rowOff>
    </xdr:from>
    <xdr:to>
      <xdr:col>5</xdr:col>
      <xdr:colOff>695325</xdr:colOff>
      <xdr:row>3</xdr:row>
      <xdr:rowOff>148352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6801" y="46850"/>
          <a:ext cx="1026399" cy="5872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16651</xdr:colOff>
      <xdr:row>0</xdr:row>
      <xdr:rowOff>38100</xdr:rowOff>
    </xdr:from>
    <xdr:to>
      <xdr:col>5</xdr:col>
      <xdr:colOff>466725</xdr:colOff>
      <xdr:row>4</xdr:row>
      <xdr:rowOff>19122</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4451" y="38100"/>
          <a:ext cx="1383524" cy="78520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19</xdr:col>
          <xdr:colOff>203200</xdr:colOff>
          <xdr:row>0</xdr:row>
          <xdr:rowOff>31750</xdr:rowOff>
        </xdr:from>
        <xdr:to>
          <xdr:col>20</xdr:col>
          <xdr:colOff>419100</xdr:colOff>
          <xdr:row>3</xdr:row>
          <xdr:rowOff>146050</xdr:rowOff>
        </xdr:to>
        <xdr:sp macro="" textlink="">
          <xdr:nvSpPr>
            <xdr:cNvPr id="1058" name="CommandButton25" hidden="1">
              <a:extLst>
                <a:ext uri="{63B3BB69-23CF-44E3-9099-C40C66FF867C}">
                  <a14:compatExt spid="_x0000_s1058"/>
                </a:ext>
                <a:ext uri="{FF2B5EF4-FFF2-40B4-BE49-F238E27FC236}">
                  <a16:creationId xmlns:a16="http://schemas.microsoft.com/office/drawing/2014/main" id="{00000000-0008-0000-0B00-00002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342900</xdr:colOff>
          <xdr:row>0</xdr:row>
          <xdr:rowOff>19050</xdr:rowOff>
        </xdr:from>
        <xdr:to>
          <xdr:col>23</xdr:col>
          <xdr:colOff>603250</xdr:colOff>
          <xdr:row>3</xdr:row>
          <xdr:rowOff>133350</xdr:rowOff>
        </xdr:to>
        <xdr:sp macro="" textlink="">
          <xdr:nvSpPr>
            <xdr:cNvPr id="1060" name="CommandButton27" hidden="1">
              <a:extLst>
                <a:ext uri="{63B3BB69-23CF-44E3-9099-C40C66FF867C}">
                  <a14:compatExt spid="_x0000_s1060"/>
                </a:ext>
                <a:ext uri="{FF2B5EF4-FFF2-40B4-BE49-F238E27FC236}">
                  <a16:creationId xmlns:a16="http://schemas.microsoft.com/office/drawing/2014/main" id="{00000000-0008-0000-0B00-00002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6</xdr:row>
          <xdr:rowOff>57150</xdr:rowOff>
        </xdr:from>
        <xdr:to>
          <xdr:col>5</xdr:col>
          <xdr:colOff>800100</xdr:colOff>
          <xdr:row>6</xdr:row>
          <xdr:rowOff>381000</xdr:rowOff>
        </xdr:to>
        <xdr:sp macro="" textlink="">
          <xdr:nvSpPr>
            <xdr:cNvPr id="1073" name="CommandButton1" hidden="1">
              <a:extLst>
                <a:ext uri="{63B3BB69-23CF-44E3-9099-C40C66FF867C}">
                  <a14:compatExt spid="_x0000_s1073"/>
                </a:ext>
                <a:ext uri="{FF2B5EF4-FFF2-40B4-BE49-F238E27FC236}">
                  <a16:creationId xmlns:a16="http://schemas.microsoft.com/office/drawing/2014/main" id="{00000000-0008-0000-0B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6</xdr:row>
          <xdr:rowOff>31750</xdr:rowOff>
        </xdr:from>
        <xdr:to>
          <xdr:col>11</xdr:col>
          <xdr:colOff>812800</xdr:colOff>
          <xdr:row>6</xdr:row>
          <xdr:rowOff>400050</xdr:rowOff>
        </xdr:to>
        <xdr:sp macro="" textlink="">
          <xdr:nvSpPr>
            <xdr:cNvPr id="1074" name="CommandButton2" hidden="1">
              <a:extLst>
                <a:ext uri="{63B3BB69-23CF-44E3-9099-C40C66FF867C}">
                  <a14:compatExt spid="_x0000_s1074"/>
                </a:ext>
                <a:ext uri="{FF2B5EF4-FFF2-40B4-BE49-F238E27FC236}">
                  <a16:creationId xmlns:a16="http://schemas.microsoft.com/office/drawing/2014/main" id="{00000000-0008-0000-0B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6</xdr:row>
          <xdr:rowOff>38100</xdr:rowOff>
        </xdr:from>
        <xdr:to>
          <xdr:col>13</xdr:col>
          <xdr:colOff>869950</xdr:colOff>
          <xdr:row>6</xdr:row>
          <xdr:rowOff>400050</xdr:rowOff>
        </xdr:to>
        <xdr:sp macro="" textlink="">
          <xdr:nvSpPr>
            <xdr:cNvPr id="1078" name="CommandButton3" hidden="1">
              <a:extLst>
                <a:ext uri="{63B3BB69-23CF-44E3-9099-C40C66FF867C}">
                  <a14:compatExt spid="_x0000_s1078"/>
                </a:ext>
                <a:ext uri="{FF2B5EF4-FFF2-40B4-BE49-F238E27FC236}">
                  <a16:creationId xmlns:a16="http://schemas.microsoft.com/office/drawing/2014/main" id="{00000000-0008-0000-0B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6</xdr:row>
          <xdr:rowOff>38100</xdr:rowOff>
        </xdr:from>
        <xdr:to>
          <xdr:col>15</xdr:col>
          <xdr:colOff>850900</xdr:colOff>
          <xdr:row>6</xdr:row>
          <xdr:rowOff>400050</xdr:rowOff>
        </xdr:to>
        <xdr:sp macro="" textlink="">
          <xdr:nvSpPr>
            <xdr:cNvPr id="1079" name="CommandButton4" hidden="1">
              <a:extLst>
                <a:ext uri="{63B3BB69-23CF-44E3-9099-C40C66FF867C}">
                  <a14:compatExt spid="_x0000_s1079"/>
                </a:ext>
                <a:ext uri="{FF2B5EF4-FFF2-40B4-BE49-F238E27FC236}">
                  <a16:creationId xmlns:a16="http://schemas.microsoft.com/office/drawing/2014/main" id="{00000000-0008-0000-0B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6</xdr:row>
          <xdr:rowOff>69850</xdr:rowOff>
        </xdr:from>
        <xdr:to>
          <xdr:col>8</xdr:col>
          <xdr:colOff>850900</xdr:colOff>
          <xdr:row>6</xdr:row>
          <xdr:rowOff>381000</xdr:rowOff>
        </xdr:to>
        <xdr:sp macro="" textlink="">
          <xdr:nvSpPr>
            <xdr:cNvPr id="1084" name="CommandButton5" hidden="1">
              <a:extLst>
                <a:ext uri="{63B3BB69-23CF-44E3-9099-C40C66FF867C}">
                  <a14:compatExt spid="_x0000_s1084"/>
                </a:ext>
                <a:ext uri="{FF2B5EF4-FFF2-40B4-BE49-F238E27FC236}">
                  <a16:creationId xmlns:a16="http://schemas.microsoft.com/office/drawing/2014/main" id="{00000000-0008-0000-0B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6</xdr:row>
          <xdr:rowOff>38100</xdr:rowOff>
        </xdr:from>
        <xdr:to>
          <xdr:col>17</xdr:col>
          <xdr:colOff>850900</xdr:colOff>
          <xdr:row>6</xdr:row>
          <xdr:rowOff>400050</xdr:rowOff>
        </xdr:to>
        <xdr:sp macro="" textlink="">
          <xdr:nvSpPr>
            <xdr:cNvPr id="1086" name="CommandButton6" hidden="1">
              <a:extLst>
                <a:ext uri="{63B3BB69-23CF-44E3-9099-C40C66FF867C}">
                  <a14:compatExt spid="_x0000_s1086"/>
                </a:ext>
                <a:ext uri="{FF2B5EF4-FFF2-40B4-BE49-F238E27FC236}">
                  <a16:creationId xmlns:a16="http://schemas.microsoft.com/office/drawing/2014/main" id="{00000000-0008-0000-0B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33</xdr:col>
      <xdr:colOff>717176</xdr:colOff>
      <xdr:row>22</xdr:row>
      <xdr:rowOff>140684</xdr:rowOff>
    </xdr:from>
    <xdr:to>
      <xdr:col>39</xdr:col>
      <xdr:colOff>301540</xdr:colOff>
      <xdr:row>34</xdr:row>
      <xdr:rowOff>46760</xdr:rowOff>
    </xdr:to>
    <xdr:graphicFrame macro="">
      <xdr:nvGraphicFramePr>
        <xdr:cNvPr id="3" name="Chart 2">
          <a:extLst>
            <a:ext uri="{FF2B5EF4-FFF2-40B4-BE49-F238E27FC236}">
              <a16:creationId xmlns:a16="http://schemas.microsoft.com/office/drawing/2014/main" id="{A1973263-FDAE-F095-2987-B8F399F3CC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mj71l/Downloads/USE%20THIS-%20URCFQA%20Database%202025-URCPASCMCD046-URCPASCMCD046-URCPASCMCD046.xlsm" TargetMode="External"/><Relationship Id="rId1" Type="http://schemas.openxmlformats.org/officeDocument/2006/relationships/externalLinkPath" Target="/Users/mj71l/Downloads/USE%20THIS-%20URCFQA%20Database%202025-URCPASCMCD046-URCPASCMCD046-URCPASCMCD04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ALIDATION LIST"/>
      <sheetName val="WHEAT GRAPHS"/>
      <sheetName val="Micro Result DONOTUSE"/>
      <sheetName val="MILL SUM (2)"/>
      <sheetName val="WHEAT SUM"/>
      <sheetName val="Sheet1"/>
      <sheetName val="MILL SUM"/>
      <sheetName val="PACK SUM"/>
      <sheetName val="SPECS DATA"/>
      <sheetName val="MILL E"/>
      <sheetName val="PACKING"/>
      <sheetName val="RESGEN"/>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jon Petalio" refreshedDate="46300.461196064818" createdVersion="6" refreshedVersion="8" minRefreshableVersion="3" recordCount="6800" xr:uid="{8584CCB3-F42F-46C1-AB60-4A396E9FFD0F}">
  <cacheSource type="worksheet">
    <worksheetSource name="Table4"/>
  </cacheSource>
  <cacheFields count="45">
    <cacheField name="Month" numFmtId="165">
      <sharedItems containsSemiMixedTypes="0" containsNonDate="0" containsDate="1" containsString="0" minDate="2026-01-01T00:00:00" maxDate="2026-10-02T00:00:00" count="10">
        <d v="2026-01-01T00:00:00"/>
        <d v="2026-02-01T00:00:00"/>
        <d v="2026-03-01T00:00:00"/>
        <d v="2026-04-01T00:00:00"/>
        <d v="2026-05-01T00:00:00"/>
        <d v="2026-06-01T00:00:00"/>
        <d v="2026-07-01T00:00:00"/>
        <d v="2026-08-01T00:00:00"/>
        <d v="2026-09-01T00:00:00"/>
        <d v="2026-10-01T00:00:00"/>
      </sharedItems>
    </cacheField>
    <cacheField name="PD" numFmtId="172">
      <sharedItems containsSemiMixedTypes="0" containsNonDate="0" containsDate="1" containsString="0" minDate="2026-01-02T00:00:00" maxDate="2026-10-04T00:00:00" count="209">
        <d v="2026-01-02T00:00:00"/>
        <d v="2026-01-03T00:00:00"/>
        <d v="2026-01-05T00:00:00"/>
        <d v="2026-01-06T00:00:00"/>
        <d v="2026-01-07T00:00:00"/>
        <d v="2026-01-08T00:00:00"/>
        <d v="2026-01-09T00:00:00"/>
        <d v="2026-01-12T00:00:00"/>
        <d v="2026-01-13T00:00:00"/>
        <d v="2026-01-14T00:00:00"/>
        <d v="2026-01-15T00:00:00"/>
        <d v="2026-01-16T00:00:00"/>
        <d v="2026-01-17T00:00:00"/>
        <d v="2026-01-19T00:00:00"/>
        <d v="2026-01-20T00:00:00"/>
        <d v="2026-01-21T00:00:00"/>
        <d v="2026-01-22T00:00:00"/>
        <d v="2026-01-23T00:00:00"/>
        <d v="2026-01-24T00:00:00"/>
        <d v="2026-01-26T00:00:00"/>
        <d v="2026-01-27T00:00:00"/>
        <d v="2026-01-28T00:00:00"/>
        <d v="2026-01-29T00:00:00"/>
        <d v="2026-01-30T00:00:00"/>
        <d v="2026-01-31T00:00:00"/>
        <d v="2026-02-02T00:00:00"/>
        <d v="2026-02-03T00:00:00"/>
        <d v="2026-02-04T00:00:00"/>
        <d v="2026-02-05T00:00:00"/>
        <d v="2026-02-06T00:00:00"/>
        <d v="2026-02-09T00:00:00"/>
        <d v="2026-02-10T00:00:00"/>
        <d v="2026-02-11T00:00:00"/>
        <d v="2026-02-12T00:00:00"/>
        <d v="2026-02-13T00:00:00"/>
        <d v="2026-02-14T00:00:00"/>
        <d v="2026-02-15T00:00:00"/>
        <d v="2026-02-16T00:00:00"/>
        <d v="2026-02-17T00:00:00"/>
        <d v="2026-02-18T00:00:00"/>
        <d v="2026-02-19T00:00:00"/>
        <d v="2026-02-20T00:00:00"/>
        <d v="2026-02-21T00:00:00"/>
        <d v="2026-02-23T00:00:00"/>
        <d v="2026-02-24T00:00:00"/>
        <d v="2026-02-25T00:00:00"/>
        <d v="2026-02-26T00:00:00"/>
        <d v="2026-02-27T00:00:00"/>
        <d v="2026-02-28T00:00:00"/>
        <d v="2026-03-02T00:00:00"/>
        <d v="2026-03-03T00:00:00"/>
        <d v="2026-03-04T00:00:00"/>
        <d v="2026-03-05T00:00:00"/>
        <d v="2026-03-06T00:00:00"/>
        <d v="2026-03-07T00:00:00"/>
        <d v="2026-03-09T00:00:00"/>
        <d v="2026-03-10T00:00:00"/>
        <d v="2026-03-11T00:00:00"/>
        <d v="2026-03-12T00:00:00"/>
        <d v="2026-03-13T00:00:00"/>
        <d v="2026-03-14T00:00:00"/>
        <d v="2026-03-16T00:00:00"/>
        <d v="2026-03-17T00:00:00"/>
        <d v="2026-03-18T00:00:00"/>
        <d v="2026-03-19T00:00:00"/>
        <d v="2026-03-20T00:00:00"/>
        <d v="2026-03-21T00:00:00"/>
        <d v="2026-03-22T00:00:00"/>
        <d v="2026-03-23T00:00:00"/>
        <d v="2026-03-24T00:00:00"/>
        <d v="2026-03-25T00:00:00"/>
        <d v="2026-03-26T00:00:00"/>
        <d v="2026-03-27T00:00:00"/>
        <d v="2026-04-10T00:00:00"/>
        <d v="2026-04-11T00:00:00"/>
        <d v="2026-04-12T00:00:00"/>
        <d v="2026-04-13T00:00:00"/>
        <d v="2026-04-14T00:00:00"/>
        <d v="2026-04-15T00:00:00"/>
        <d v="2026-04-16T00:00:00"/>
        <d v="2026-04-17T00:00:00"/>
        <d v="2026-04-18T00:00:00"/>
        <d v="2026-04-20T00:00:00"/>
        <d v="2026-04-21T00:00:00"/>
        <d v="2026-04-22T00:00:00"/>
        <d v="2026-04-23T00:00:00"/>
        <d v="2026-04-24T00:00:00"/>
        <d v="2026-04-25T00:00:00"/>
        <d v="2026-04-27T00:00:00"/>
        <d v="2026-04-28T00:00:00"/>
        <d v="2026-04-29T00:00:00"/>
        <d v="2026-04-30T00:00:00"/>
        <d v="2026-05-04T00:00:00"/>
        <d v="2026-05-05T00:00:00"/>
        <d v="2026-05-06T00:00:00"/>
        <d v="2026-05-07T00:00:00"/>
        <d v="2026-05-08T00:00:00"/>
        <d v="2026-05-09T00:00:00"/>
        <d v="2026-05-11T00:00:00"/>
        <d v="2026-05-12T00:00:00"/>
        <d v="2026-05-13T00:00:00"/>
        <d v="2026-05-14T00:00:00"/>
        <d v="2026-05-15T00:00:00"/>
        <d v="2026-05-16T00:00:00"/>
        <d v="2026-05-18T00:00:00"/>
        <d v="2026-05-19T00:00:00"/>
        <d v="2026-05-20T00:00:00"/>
        <d v="2026-05-21T00:00:00"/>
        <d v="2026-05-22T00:00:00"/>
        <d v="2026-05-23T00:00:00"/>
        <d v="2026-05-25T00:00:00"/>
        <d v="2026-05-26T00:00:00"/>
        <d v="2026-05-27T00:00:00"/>
        <d v="2026-05-28T00:00:00"/>
        <d v="2026-05-29T00:00:00"/>
        <d v="2026-05-30T00:00:00"/>
        <d v="2026-06-01T00:00:00"/>
        <d v="2026-06-02T00:00:00"/>
        <d v="2026-06-03T00:00:00"/>
        <d v="2026-06-04T00:00:00"/>
        <d v="2026-06-05T00:00:00"/>
        <d v="2026-06-06T00:00:00"/>
        <d v="2026-06-09T00:00:00"/>
        <d v="2026-06-10T00:00:00"/>
        <d v="2026-06-11T00:00:00"/>
        <d v="2026-06-12T00:00:00"/>
        <d v="2026-06-13T00:00:00"/>
        <d v="2026-06-15T00:00:00"/>
        <d v="2026-06-16T00:00:00"/>
        <d v="2026-06-17T00:00:00"/>
        <d v="2026-06-18T00:00:00"/>
        <d v="2026-06-19T00:00:00"/>
        <d v="2026-06-20T00:00:00"/>
        <d v="2026-06-22T00:00:00"/>
        <d v="2026-06-23T00:00:00"/>
        <d v="2026-06-24T00:00:00"/>
        <d v="2026-06-25T00:00:00"/>
        <d v="2026-06-26T00:00:00"/>
        <d v="2026-06-27T00:00:00"/>
        <d v="2026-06-30T00:00:00"/>
        <d v="2026-07-01T00:00:00"/>
        <d v="2026-07-02T00:00:00"/>
        <d v="2026-07-03T00:00:00"/>
        <d v="2026-07-04T00:00:00"/>
        <d v="2026-07-06T00:00:00"/>
        <d v="2026-07-07T00:00:00"/>
        <d v="2026-07-08T00:00:00"/>
        <d v="2026-07-09T00:00:00"/>
        <d v="2026-07-10T00:00:00"/>
        <d v="2026-07-11T00:00:00"/>
        <d v="2026-07-13T00:00:00"/>
        <d v="2026-07-14T00:00:00"/>
        <d v="2026-07-15T00:00:00"/>
        <d v="2026-07-16T00:00:00"/>
        <d v="2026-07-17T00:00:00"/>
        <d v="2026-07-20T00:00:00"/>
        <d v="2026-07-21T00:00:00"/>
        <d v="2026-07-22T00:00:00"/>
        <d v="2026-07-23T00:00:00"/>
        <d v="2026-07-24T00:00:00"/>
        <d v="2026-07-25T00:00:00"/>
        <d v="2026-07-27T00:00:00"/>
        <d v="2026-07-28T00:00:00"/>
        <d v="2026-07-29T00:00:00"/>
        <d v="2026-07-30T00:00:00"/>
        <d v="2026-07-31T00:00:00"/>
        <d v="2026-08-01T00:00:00"/>
        <d v="2026-08-04T00:00:00"/>
        <d v="2026-08-05T00:00:00"/>
        <d v="2026-08-06T00:00:00"/>
        <d v="2026-08-07T00:00:00"/>
        <d v="2026-08-08T00:00:00"/>
        <d v="2026-08-10T00:00:00"/>
        <d v="2026-08-11T00:00:00"/>
        <d v="2026-08-12T00:00:00"/>
        <d v="2026-08-13T00:00:00"/>
        <d v="2026-08-14T00:00:00"/>
        <d v="2026-08-15T00:00:00"/>
        <d v="2026-08-17T00:00:00"/>
        <d v="2026-08-18T00:00:00"/>
        <d v="2026-08-19T00:00:00"/>
        <d v="2026-08-20T00:00:00"/>
        <d v="2026-08-21T00:00:00"/>
        <d v="2026-08-22T00:00:00"/>
        <d v="2026-08-24T00:00:00"/>
        <d v="2026-08-25T00:00:00"/>
        <d v="2026-08-26T00:00:00"/>
        <d v="2026-08-27T00:00:00"/>
        <d v="2026-08-28T00:00:00"/>
        <d v="2026-08-29T00:00:00"/>
        <d v="2026-09-01T00:00:00"/>
        <d v="2026-09-02T00:00:00"/>
        <d v="2026-09-03T00:00:00"/>
        <d v="2026-09-04T00:00:00"/>
        <d v="2026-09-05T00:00:00"/>
        <d v="2026-09-07T00:00:00"/>
        <d v="2026-09-08T00:00:00"/>
        <d v="2026-09-09T00:00:00"/>
        <d v="2026-09-10T00:00:00"/>
        <d v="2026-09-11T00:00:00"/>
        <d v="2026-09-12T00:00:00"/>
        <d v="2026-09-13T00:00:00"/>
        <d v="2026-09-14T00:00:00"/>
        <d v="2026-09-15T00:00:00"/>
        <d v="2026-09-29T00:00:00"/>
        <d v="2026-09-30T00:00:00"/>
        <d v="2026-10-01T00:00:00"/>
        <d v="2026-10-02T00:00:00"/>
        <d v="2026-10-03T00:00:00"/>
      </sharedItems>
    </cacheField>
    <cacheField name="MD" numFmtId="0">
      <sharedItems containsDate="1" containsBlank="1" containsMixedTypes="1" minDate="1899-12-30T00:00:00" maxDate="2026-12-23T00:00:00"/>
    </cacheField>
    <cacheField name="Shift" numFmtId="172">
      <sharedItems/>
    </cacheField>
    <cacheField name="Time" numFmtId="0">
      <sharedItems containsDate="1" containsMixedTypes="1" minDate="1899-12-30T00:00:00" maxDate="1899-12-31T05:00:00"/>
    </cacheField>
    <cacheField name="Packing Line" numFmtId="0">
      <sharedItems containsBlank="1" containsMixedTypes="1" containsNumber="1" containsInteger="1" minValue="1" maxValue="3"/>
    </cacheField>
    <cacheField name="SKU" numFmtId="0">
      <sharedItems containsBlank="1" count="95">
        <s v="Globe Flour (Regular) in Cotton Bags"/>
        <s v="Globe Flour (Regular) in PP Bags"/>
        <s v="Blossom Noodle Flour in PP bag"/>
        <s v="Coarse Hard Bran"/>
        <s v="Sampaguita Flour in PP Bags"/>
        <s v="SAMPAGUITA SOFT FLOUR IN PP BAG (APC)"/>
        <s v="Blend 100 Flour in PP Bags"/>
        <s v="Cattleya Soft Flour in PP Bags"/>
        <s v="Globe Flour (0.6A) in PP Bags"/>
        <s v="Soft Bran and Pollard"/>
        <s v="Continental APF (Regular) in PP Bags"/>
        <s v="Customized Flour SHK in PP Bags"/>
        <s v="CUSTOMIZED UNBLEACHED HARD JBF IN PP BAG"/>
        <s v="Hard Bran and Pollard"/>
        <s v="Lilac Soft Wheat Flour in PP Bag"/>
        <s v="My Rose Soft Flour in PP Bags"/>
        <s v="Universal Flour in PP Bags"/>
        <s v="Daisy Cake Flour in Cotton Bags"/>
        <s v="Cracked Wheat in PP Bags"/>
        <s v="Fibra+ Whole Wheat FINE Flour in PP Bag"/>
        <s v="Globe Flour (Unbleached) 1 in PP Bags"/>
        <s v="SAMPAGUITA SOFT FLOUR IN PP BAG (EKPI)"/>
        <s v="URC Soft Wheat Flour in PP Bag - NUR"/>
        <s v="Continental APF (Unbleached) in PP Bags"/>
        <s v="Fibra+ Cracked Wheat flr in PP bag"/>
        <s v="Fibra+ Whole Wheat Flour  in PP Bags"/>
        <s v="URC Soft Wheat Flour in PP Bags"/>
        <s v="Globe Flour (Unbleached) 1 in PP Bags (Fortified)"/>
        <s v="Hard Cracker Flour in PP Bags"/>
        <s v="Customized Flour PDM in PP Bags"/>
        <s v="Galactic Specialized Flour"/>
        <s v="Titan Flour in PP Bag"/>
        <s v="Continental APF (Regular) in Cotton Bags"/>
        <s v="Best Hard Flour in PP Bags"/>
        <s v="Blend 100 Flour in Cotton Bags"/>
        <s v="Noodelicious Noodle Flour in PP Bags"/>
        <s v="Customized Flour RRB in PP bags"/>
        <s v="Globe Flour (0.6A) in Bulk"/>
        <s v="URC Soft Wheat Flour in PP Bags - BCFG"/>
        <s v="CUSTOMIZED FLOUR FPCU1C IN PP BAG"/>
        <s v="URC Soft Wheat Flour in Bulk - NUR"/>
        <s v="Hard Dark Flour in PP Bags"/>
        <s v="Customized AFC  in PP Bag"/>
        <s v="CUSTOMIZED FLOUR HLW-04 IN PP BAG"/>
        <s v="Universal Flour in Cotton Bags"/>
        <s v="Customized SNL in PP Bags "/>
        <s v="ORIENTAL LUMPIA WRAPPER FLOUR IN PP BAG"/>
        <s v="Customized BLSM in PP Bags"/>
        <s v="My Rose Flour (Unbleached) in PP Bags"/>
        <s v="Customized Flour FPCU1 in PP Bag" u="1"/>
        <s v="Coarse Bran" u="1"/>
        <s v="Blossom Flour in PP bag" u="1"/>
        <s v="Galactic Flour in PP Bags" u="1"/>
        <s v="URC Soft Wheat Flour in PP Bag - PTR" u="1"/>
        <s v="Hard Dark Flour in PP Bags - PTR" u="1"/>
        <s v="CUST AFC in PP Bags" u="1"/>
        <s v="Customized R2N in PP Bags" u="1"/>
        <s v="Customized FCE in PP Bags" u="1"/>
        <s v="URC SoftWheat Flr UNBLEACHED T in PP Bag" u="1"/>
        <s v="CUSTOMIZED FLOUR HES IN PP BAG" u="1"/>
        <s v="Healthy Pasta Flour" u="1"/>
        <s v="Japanese Flour in PP Bags" u="1"/>
        <s v="Customized PB in PP Bags" u="1"/>
        <s v="Customized Flour PB in PP Bags" u="1"/>
        <s v="Fibra+ Whole Wht FINE Flr in 10kg PP Bag" u="1"/>
        <s v="Globe Flour (0.6 A) in PP Bags" u="1"/>
        <s v="Hard Bran Pollard" u="1"/>
        <s v="Soft Bran Pollard" u="1"/>
        <s v="Customized Flour SHK in PP Bag" u="1"/>
        <s v="Customized Flour PB in PP Bag" u="1"/>
        <s v="Customized BLSM in PP Bag" u="1"/>
        <s v="Continental APF (Unbleached) in PP Bag" u="1"/>
        <s v="Cracked Wheat" u="1"/>
        <m u="1"/>
        <s v="Romanian Wheat Flour (Untreated)" u="1"/>
        <s v="CUSTOMIZED UNBLEACHED HARD JBF IN BULK" u="1"/>
        <s v="Customized Flour RLF in PP bag" u="1"/>
        <s v="Customized Flour RRB in PP bag" u="1"/>
        <s v="CUSTOMIZED FLOUR HLW004 IN PP BAGS" u="1"/>
        <s v="Customized RLF in PP Bags" u="1"/>
        <s v="Customized RRB in PP bags" u="1"/>
        <s v="Customized SLF in PP bags" u="1"/>
        <s v="Customized Flour R2N in PP bags" u="1"/>
        <s v="Customized Flour RBT in PP Bags" u="1"/>
        <s v="Customized Flour UNI in PP Bags" u="1"/>
        <s v="Galactic Flour" u="1"/>
        <s v="Sampaguita Raw Flour" u="1"/>
        <s v="Cuztomized FCE in PP Bags" u="1"/>
        <s v=" " u="1"/>
        <s v="SKU" u="1"/>
        <s v="Globe Flour (0.6 A) in Bulk" u="1"/>
        <s v="Customized CAPFU in PP Bags" u="1"/>
        <s v="Globe Flour (Regular) in CTN Bags" u="1"/>
        <s v="P" u="1"/>
        <s v="Customized Flour P001 in PP bag" u="1"/>
      </sharedItems>
    </cacheField>
    <cacheField name=" Bran Content" numFmtId="0">
      <sharedItems containsMixedTypes="1" containsNumber="1" minValue="2.0000000000000001E-4" maxValue="0.27329999999999999"/>
    </cacheField>
    <cacheField name="Sieve Test" numFmtId="43">
      <sharedItems/>
    </cacheField>
    <cacheField name="Appearance/_x000a_ Pekar" numFmtId="43">
      <sharedItems/>
    </cacheField>
    <cacheField name="Odor" numFmtId="43">
      <sharedItems/>
    </cacheField>
    <cacheField name="AA Spot test" numFmtId="43">
      <sharedItems/>
    </cacheField>
    <cacheField name="Iron Spot test" numFmtId="0">
      <sharedItems/>
    </cacheField>
    <cacheField name="%MC" numFmtId="0">
      <sharedItems containsMixedTypes="1" containsNumber="1" minValue="1.92" maxValue="15.1"/>
    </cacheField>
    <cacheField name="%Protein" numFmtId="0">
      <sharedItems containsMixedTypes="1" containsNumber="1" minValue="4.1900000000000004" maxValue="35.4"/>
    </cacheField>
    <cacheField name="%Ash" numFmtId="0">
      <sharedItems containsMixedTypes="1" containsNumber="1" minValue="0.27" maxValue="63.2"/>
    </cacheField>
    <cacheField name="%Absorption" numFmtId="0">
      <sharedItems containsMixedTypes="1" containsNumber="1" minValue="0.5" maxValue="627"/>
    </cacheField>
    <cacheField name="%Extensibility" numFmtId="0">
      <sharedItems containsMixedTypes="1" containsNumber="1" minValue="1.81" maxValue="37"/>
    </cacheField>
    <cacheField name="Resistance, max" numFmtId="0">
      <sharedItems containsMixedTypes="1" containsNumber="1" containsInteger="1" minValue="153" maxValue="1446"/>
    </cacheField>
    <cacheField name="%Wet Gluten" numFmtId="0">
      <sharedItems containsMixedTypes="1" containsNumber="1" minValue="13.34" maxValue="65.8"/>
    </cacheField>
    <cacheField name="FN, s" numFmtId="0">
      <sharedItems containsBlank="1" containsMixedTypes="1" containsNumber="1" minValue="22.6" maxValue="36.1"/>
    </cacheField>
    <cacheField name="Gross Weight" numFmtId="0">
      <sharedItems containsMixedTypes="1" containsNumber="1" minValue="23.15" maxValue="35.700000000000003"/>
    </cacheField>
    <cacheField name="Sealing Integrity" numFmtId="0">
      <sharedItems/>
    </cacheField>
    <cacheField name="Coding" numFmtId="0">
      <sharedItems/>
    </cacheField>
    <cacheField name="BA REF" numFmtId="43">
      <sharedItems containsBlank="1" containsMixedTypes="1" containsNumber="1" minValue="0.1" maxValue="1"/>
    </cacheField>
    <cacheField name=" QI Bran Content" numFmtId="0">
      <sharedItems containsMixedTypes="1" containsNumber="1" containsInteger="1" minValue="0" maxValue="2"/>
    </cacheField>
    <cacheField name="QI Apperance" numFmtId="0">
      <sharedItems containsMixedTypes="1" containsNumber="1" containsInteger="1" minValue="0" maxValue="1"/>
    </cacheField>
    <cacheField name="QI Odor" numFmtId="0">
      <sharedItems containsMixedTypes="1" containsNumber="1" containsInteger="1" minValue="2" maxValue="2"/>
    </cacheField>
    <cacheField name="QI %MC" numFmtId="0">
      <sharedItems containsMixedTypes="1" containsNumber="1" containsInteger="1" minValue="0" maxValue="1"/>
    </cacheField>
    <cacheField name="QI Prot" numFmtId="0">
      <sharedItems containsMixedTypes="1" containsNumber="1" containsInteger="1" minValue="0" maxValue="1"/>
    </cacheField>
    <cacheField name="QI Ash" numFmtId="0">
      <sharedItems containsMixedTypes="1" containsNumber="1" containsInteger="1" minValue="0" maxValue="2"/>
    </cacheField>
    <cacheField name="QI Abs" numFmtId="0">
      <sharedItems containsMixedTypes="1" containsNumber="1" containsInteger="1" minValue="0" maxValue="2"/>
    </cacheField>
    <cacheField name="QI Ext" numFmtId="0">
      <sharedItems containsMixedTypes="1" containsNumber="1" containsInteger="1" minValue="0" maxValue="1"/>
    </cacheField>
    <cacheField name="QI Res" numFmtId="0">
      <sharedItems containsMixedTypes="1" containsNumber="1" containsInteger="1" minValue="0" maxValue="1"/>
    </cacheField>
    <cacheField name="QI WG" numFmtId="0">
      <sharedItems containsMixedTypes="1" containsNumber="1" containsInteger="1" minValue="0" maxValue="2"/>
    </cacheField>
    <cacheField name="QI FN" numFmtId="1">
      <sharedItems containsMixedTypes="1" containsNumber="1" containsInteger="1" minValue="0" maxValue="1"/>
    </cacheField>
    <cacheField name="TA" numFmtId="0">
      <sharedItems containsSemiMixedTypes="0" containsString="0" containsNumber="1" containsInteger="1" minValue="0" maxValue="16"/>
    </cacheField>
    <cacheField name="TP" numFmtId="1">
      <sharedItems containsSemiMixedTypes="0" containsString="0" containsNumber="1" containsInteger="1" minValue="0" maxValue="16"/>
    </cacheField>
    <cacheField name="QI Weight" numFmtId="1">
      <sharedItems containsMixedTypes="1" containsNumber="1" containsInteger="1" minValue="0" maxValue="1"/>
    </cacheField>
    <cacheField name="QI Seal" numFmtId="1">
      <sharedItems containsMixedTypes="1" containsNumber="1" containsInteger="1" minValue="1" maxValue="1"/>
    </cacheField>
    <cacheField name="QI Code" numFmtId="1">
      <sharedItems containsMixedTypes="1" containsNumber="1" containsInteger="1" minValue="1" maxValue="1"/>
    </cacheField>
    <cacheField name="TA2" numFmtId="0">
      <sharedItems containsSemiMixedTypes="0" containsString="0" containsNumber="1" containsInteger="1" minValue="0" maxValue="3"/>
    </cacheField>
    <cacheField name="TP2" numFmtId="0">
      <sharedItems containsSemiMixedTypes="0" containsString="0" containsNumber="1" containsInteger="1" minValue="0" maxValue="3"/>
    </cacheField>
    <cacheField name="TA3" numFmtId="1">
      <sharedItems containsSemiMixedTypes="0" containsString="0" containsNumber="1" containsInteger="1" minValue="0" maxValue="19"/>
    </cacheField>
    <cacheField name="TP3" numFmtId="1">
      <sharedItems containsSemiMixedTypes="0" containsString="0" containsNumber="1" containsInteger="1" minValue="0" maxValue="19"/>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00">
  <r>
    <x v="0"/>
    <x v="0"/>
    <d v="2025-12-09T00:00:00"/>
    <s v="1ST"/>
    <s v="10:00"/>
    <n v="3"/>
    <x v="0"/>
    <n v="4.0000000000000001E-3"/>
    <s v="P"/>
    <s v="P"/>
    <s v="P"/>
    <s v="+"/>
    <s v="+"/>
    <n v="12.53"/>
    <n v="12.74"/>
    <n v="0.5"/>
    <n v="62.2"/>
    <s v="-"/>
    <s v="-"/>
    <n v="35.6"/>
    <s v="-"/>
    <s v="-"/>
    <s v="P"/>
    <s v="P"/>
    <s v="-"/>
    <n v="2"/>
    <n v="1"/>
    <n v="2"/>
    <n v="1"/>
    <n v="1"/>
    <n v="2"/>
    <n v="0"/>
    <s v="-"/>
    <s v="-"/>
    <n v="2"/>
    <s v="-"/>
    <n v="11"/>
    <n v="13"/>
    <s v="-"/>
    <n v="1"/>
    <n v="1"/>
    <n v="2"/>
    <n v="2"/>
    <n v="13"/>
    <n v="15"/>
  </r>
  <r>
    <x v="0"/>
    <x v="0"/>
    <d v="2025-12-09T00:00:00"/>
    <s v="1ST"/>
    <s v="12:00"/>
    <n v="3"/>
    <x v="1"/>
    <n v="6.7000000000000002E-3"/>
    <s v="P"/>
    <s v="P"/>
    <s v="P"/>
    <s v="+"/>
    <s v="+"/>
    <n v="12.88"/>
    <s v="-"/>
    <s v="-"/>
    <s v="-"/>
    <s v="-"/>
    <s v="-"/>
    <s v="-"/>
    <s v="-"/>
    <n v="25.14"/>
    <s v="P"/>
    <s v="P"/>
    <s v="-"/>
    <n v="2"/>
    <n v="1"/>
    <n v="2"/>
    <n v="1"/>
    <s v="-"/>
    <s v="-"/>
    <s v="-"/>
    <s v="-"/>
    <s v="-"/>
    <s v="-"/>
    <s v="-"/>
    <n v="6"/>
    <n v="6"/>
    <n v="1"/>
    <n v="1"/>
    <n v="1"/>
    <n v="3"/>
    <n v="3"/>
    <n v="9"/>
    <n v="9"/>
  </r>
  <r>
    <x v="0"/>
    <x v="1"/>
    <d v="2025-12-23T00:00:00"/>
    <s v="3RD"/>
    <d v="1899-12-31T02:00:00"/>
    <n v="1"/>
    <x v="2"/>
    <n v="5.5999999999999999E-3"/>
    <s v="P"/>
    <s v="P"/>
    <s v="P"/>
    <s v="-"/>
    <s v="+"/>
    <n v="10.68"/>
    <n v="8.82"/>
    <n v="0.46"/>
    <n v="56.3"/>
    <n v="10.9"/>
    <n v="300"/>
    <n v="23.85"/>
    <s v="-"/>
    <s v="-"/>
    <s v="P"/>
    <s v="P"/>
    <s v="-"/>
    <n v="2"/>
    <n v="1"/>
    <n v="2"/>
    <n v="0"/>
    <n v="0"/>
    <n v="2"/>
    <n v="0"/>
    <n v="0"/>
    <n v="0"/>
    <n v="0"/>
    <s v="-"/>
    <n v="7"/>
    <n v="15"/>
    <s v="-"/>
    <n v="1"/>
    <n v="1"/>
    <n v="2"/>
    <n v="2"/>
    <n v="9"/>
    <n v="17"/>
  </r>
  <r>
    <x v="0"/>
    <x v="1"/>
    <d v="2025-12-23T00:00:00"/>
    <s v="3RD"/>
    <d v="1899-12-31T04:00:00"/>
    <n v="1"/>
    <x v="2"/>
    <n v="8.8999999999999999E-3"/>
    <s v="P"/>
    <s v="P"/>
    <s v="P"/>
    <s v="-"/>
    <s v="+"/>
    <n v="10.57"/>
    <s v="-"/>
    <s v="-"/>
    <s v="-"/>
    <s v="-"/>
    <s v="-"/>
    <s v="-"/>
    <s v="-"/>
    <s v="-"/>
    <s v="P"/>
    <s v="P"/>
    <s v="-"/>
    <n v="2"/>
    <n v="1"/>
    <n v="2"/>
    <n v="0"/>
    <s v="-"/>
    <s v="-"/>
    <s v="-"/>
    <s v="-"/>
    <s v="-"/>
    <s v="-"/>
    <s v="-"/>
    <n v="5"/>
    <n v="6"/>
    <s v="-"/>
    <n v="1"/>
    <n v="1"/>
    <n v="2"/>
    <n v="2"/>
    <n v="7"/>
    <n v="8"/>
  </r>
  <r>
    <x v="0"/>
    <x v="1"/>
    <d v="2026-01-03T00:00:00"/>
    <s v="2ND"/>
    <d v="1899-12-30T16:00:00"/>
    <s v="Retail"/>
    <x v="3"/>
    <s v="-"/>
    <s v="-"/>
    <s v="-"/>
    <s v="-"/>
    <s v="-"/>
    <s v="-"/>
    <n v="12.4"/>
    <s v="-"/>
    <s v="-"/>
    <s v="-"/>
    <s v="-"/>
    <s v="-"/>
    <s v="-"/>
    <s v="-"/>
    <s v="-"/>
    <s v="-"/>
    <s v="-"/>
    <s v="-"/>
    <s v="-"/>
    <s v="-"/>
    <s v="-"/>
    <n v="0"/>
    <s v="-"/>
    <s v="-"/>
    <s v="-"/>
    <s v="-"/>
    <s v="-"/>
    <s v="-"/>
    <s v="-"/>
    <n v="0"/>
    <n v="1"/>
    <s v="-"/>
    <s v="-"/>
    <s v="-"/>
    <n v="0"/>
    <n v="0"/>
    <n v="0"/>
    <n v="1"/>
  </r>
  <r>
    <x v="0"/>
    <x v="1"/>
    <d v="2025-12-09T00:00:00"/>
    <s v="1ST"/>
    <d v="1899-12-30T10:00:00"/>
    <n v="3"/>
    <x v="0"/>
    <n v="4.0000000000000001E-3"/>
    <s v="P"/>
    <s v="P"/>
    <s v="P"/>
    <s v="+"/>
    <s v="+"/>
    <n v="12.53"/>
    <n v="12.74"/>
    <n v="0.5"/>
    <n v="62.2"/>
    <n v="13"/>
    <n v="907"/>
    <n v="35.6"/>
    <s v="-"/>
    <s v="-"/>
    <s v="P"/>
    <s v="P"/>
    <s v="-"/>
    <n v="2"/>
    <n v="1"/>
    <n v="2"/>
    <n v="1"/>
    <n v="1"/>
    <n v="2"/>
    <n v="0"/>
    <n v="1"/>
    <n v="1"/>
    <n v="2"/>
    <s v="-"/>
    <n v="13"/>
    <n v="15"/>
    <s v="-"/>
    <n v="1"/>
    <n v="1"/>
    <n v="2"/>
    <n v="2"/>
    <n v="15"/>
    <n v="17"/>
  </r>
  <r>
    <x v="0"/>
    <x v="1"/>
    <d v="2025-12-09T00:00:00"/>
    <s v="1ST"/>
    <s v="12:00"/>
    <n v="3"/>
    <x v="1"/>
    <n v="6.7000000000000002E-3"/>
    <s v="P"/>
    <s v="P"/>
    <s v="P"/>
    <s v="+"/>
    <s v="+"/>
    <n v="12.88"/>
    <s v="-"/>
    <s v="-"/>
    <s v="-"/>
    <s v="-"/>
    <s v="-"/>
    <s v="-"/>
    <s v="-"/>
    <n v="25.14"/>
    <s v="P"/>
    <s v="P"/>
    <s v="-"/>
    <n v="2"/>
    <n v="1"/>
    <n v="2"/>
    <n v="1"/>
    <s v="-"/>
    <s v="-"/>
    <s v="-"/>
    <s v="-"/>
    <s v="-"/>
    <s v="-"/>
    <s v="-"/>
    <n v="6"/>
    <n v="6"/>
    <n v="1"/>
    <n v="1"/>
    <n v="1"/>
    <n v="3"/>
    <n v="3"/>
    <n v="9"/>
    <n v="9"/>
  </r>
  <r>
    <x v="0"/>
    <x v="1"/>
    <d v="2026-12-10T00:00:00"/>
    <s v="2ND"/>
    <d v="1899-12-30T14:00:00"/>
    <n v="3"/>
    <x v="1"/>
    <n v="8.6999999999999994E-3"/>
    <s v="P"/>
    <s v="P"/>
    <s v="P"/>
    <s v="+"/>
    <s v="+"/>
    <n v="12.77"/>
    <n v="12.54"/>
    <n v="0.43"/>
    <n v="64"/>
    <s v="-"/>
    <s v="-"/>
    <n v="35"/>
    <s v="-"/>
    <s v="-"/>
    <s v="P"/>
    <s v="P"/>
    <s v="9-% 5% 5%"/>
    <n v="2"/>
    <n v="1"/>
    <n v="2"/>
    <n v="1"/>
    <n v="1"/>
    <n v="2"/>
    <n v="2"/>
    <s v="-"/>
    <s v="-"/>
    <n v="2"/>
    <s v="-"/>
    <n v="13"/>
    <n v="13"/>
    <s v="-"/>
    <n v="1"/>
    <n v="1"/>
    <n v="2"/>
    <n v="2"/>
    <n v="15"/>
    <n v="15"/>
  </r>
  <r>
    <x v="0"/>
    <x v="1"/>
    <d v="2026-12-10T00:00:00"/>
    <s v="2ND"/>
    <d v="1899-12-30T15:00:00"/>
    <n v="3"/>
    <x v="1"/>
    <n v="1.6999999999999999E-3"/>
    <s v="P"/>
    <s v="P"/>
    <s v="P"/>
    <s v="+"/>
    <s v="+"/>
    <n v="13.23"/>
    <s v="-"/>
    <s v="-"/>
    <s v="-"/>
    <s v="-"/>
    <s v="-"/>
    <s v="-"/>
    <s v="-"/>
    <s v="-"/>
    <s v="P"/>
    <s v="P"/>
    <s v="-"/>
    <n v="2"/>
    <n v="1"/>
    <n v="2"/>
    <n v="1"/>
    <s v="-"/>
    <s v="-"/>
    <s v="-"/>
    <s v="-"/>
    <s v="-"/>
    <s v="-"/>
    <s v="-"/>
    <n v="6"/>
    <n v="6"/>
    <s v="-"/>
    <n v="1"/>
    <n v="1"/>
    <n v="2"/>
    <n v="2"/>
    <n v="8"/>
    <n v="8"/>
  </r>
  <r>
    <x v="0"/>
    <x v="1"/>
    <d v="2026-12-10T00:00:00"/>
    <s v="2ND"/>
    <d v="1899-12-30T16:00:00"/>
    <n v="3"/>
    <x v="1"/>
    <n v="1.5E-3"/>
    <s v="P"/>
    <s v="P"/>
    <s v="P"/>
    <s v="+"/>
    <s v="+"/>
    <n v="13.51"/>
    <s v="-"/>
    <s v="-"/>
    <s v="-"/>
    <s v="-"/>
    <s v="-"/>
    <s v="-"/>
    <s v="-"/>
    <s v="-"/>
    <s v="P"/>
    <s v="P"/>
    <s v="-"/>
    <n v="2"/>
    <n v="1"/>
    <n v="2"/>
    <n v="1"/>
    <s v="-"/>
    <s v="-"/>
    <s v="-"/>
    <s v="-"/>
    <s v="-"/>
    <s v="-"/>
    <s v="-"/>
    <n v="6"/>
    <n v="6"/>
    <s v="-"/>
    <n v="1"/>
    <n v="1"/>
    <n v="2"/>
    <n v="2"/>
    <n v="8"/>
    <n v="8"/>
  </r>
  <r>
    <x v="0"/>
    <x v="1"/>
    <d v="2026-12-15T00:00:00"/>
    <s v="2ND"/>
    <d v="1899-12-30T17:00:00"/>
    <n v="3"/>
    <x v="1"/>
    <n v="8.3999999999999995E-3"/>
    <s v="P"/>
    <s v="P"/>
    <s v="P"/>
    <s v="+"/>
    <s v="+"/>
    <n v="12.34"/>
    <n v="12.29"/>
    <n v="0.44"/>
    <n v="64.2"/>
    <s v="-"/>
    <s v="-"/>
    <n v="34.4"/>
    <s v="-"/>
    <s v="-"/>
    <s v="P"/>
    <s v="P"/>
    <s v="1-% 5% 75% 1-%"/>
    <n v="2"/>
    <n v="1"/>
    <n v="2"/>
    <n v="1"/>
    <n v="1"/>
    <n v="2"/>
    <n v="2"/>
    <s v="-"/>
    <s v="-"/>
    <n v="2"/>
    <s v="-"/>
    <n v="13"/>
    <n v="13"/>
    <s v="-"/>
    <n v="1"/>
    <n v="1"/>
    <n v="2"/>
    <n v="2"/>
    <n v="15"/>
    <n v="15"/>
  </r>
  <r>
    <x v="0"/>
    <x v="1"/>
    <d v="2026-12-15T00:00:00"/>
    <s v="2ND"/>
    <d v="1899-12-30T18:00:00"/>
    <n v="3"/>
    <x v="1"/>
    <n v="9.7000000000000003E-3"/>
    <s v="P"/>
    <s v="P"/>
    <s v="P"/>
    <s v="+"/>
    <s v="+"/>
    <n v="12.27"/>
    <s v="-"/>
    <s v="-"/>
    <s v="-"/>
    <s v="-"/>
    <s v="-"/>
    <s v="-"/>
    <s v="-"/>
    <s v="-"/>
    <s v="P"/>
    <s v="P"/>
    <s v="-"/>
    <n v="2"/>
    <n v="1"/>
    <n v="2"/>
    <n v="1"/>
    <s v="-"/>
    <s v="-"/>
    <s v="-"/>
    <s v="-"/>
    <s v="-"/>
    <s v="-"/>
    <s v="-"/>
    <n v="6"/>
    <n v="6"/>
    <s v="-"/>
    <n v="1"/>
    <n v="1"/>
    <n v="2"/>
    <n v="2"/>
    <n v="8"/>
    <n v="8"/>
  </r>
  <r>
    <x v="0"/>
    <x v="1"/>
    <d v="2026-12-15T00:00:00"/>
    <s v="2ND"/>
    <d v="1899-12-30T19:00:00"/>
    <n v="3"/>
    <x v="1"/>
    <n v="8.2000000000000007E-3"/>
    <s v="P"/>
    <s v="P"/>
    <s v="P"/>
    <s v="+"/>
    <s v="+"/>
    <n v="12.76"/>
    <s v="-"/>
    <s v="-"/>
    <s v="-"/>
    <s v="-"/>
    <s v="-"/>
    <s v="-"/>
    <s v="-"/>
    <s v="-"/>
    <s v="P"/>
    <s v="P"/>
    <s v="-"/>
    <n v="2"/>
    <n v="1"/>
    <n v="2"/>
    <n v="1"/>
    <s v="-"/>
    <s v="-"/>
    <s v="-"/>
    <s v="-"/>
    <s v="-"/>
    <s v="-"/>
    <s v="-"/>
    <n v="6"/>
    <n v="6"/>
    <s v="-"/>
    <n v="1"/>
    <n v="1"/>
    <n v="2"/>
    <n v="2"/>
    <n v="8"/>
    <n v="8"/>
  </r>
  <r>
    <x v="0"/>
    <x v="1"/>
    <d v="2026-12-15T00:00:00"/>
    <s v="2ND"/>
    <d v="1899-12-30T20:00:00"/>
    <n v="3"/>
    <x v="1"/>
    <n v="6.7000000000000002E-3"/>
    <s v="P"/>
    <s v="P"/>
    <s v="P"/>
    <s v="+"/>
    <s v="+"/>
    <n v="12.65"/>
    <s v="-"/>
    <s v="-"/>
    <s v="-"/>
    <s v="-"/>
    <s v="-"/>
    <s v="-"/>
    <s v="-"/>
    <s v="-"/>
    <s v="P"/>
    <s v="P"/>
    <s v="-"/>
    <n v="2"/>
    <n v="1"/>
    <n v="2"/>
    <n v="1"/>
    <s v="-"/>
    <s v="-"/>
    <s v="-"/>
    <s v="-"/>
    <s v="-"/>
    <s v="-"/>
    <s v="-"/>
    <n v="6"/>
    <n v="6"/>
    <s v="-"/>
    <n v="1"/>
    <n v="1"/>
    <n v="2"/>
    <n v="2"/>
    <n v="8"/>
    <n v="8"/>
  </r>
  <r>
    <x v="0"/>
    <x v="1"/>
    <d v="2026-12-15T00:00:00"/>
    <s v="2ND"/>
    <d v="1899-12-30T21:00:00"/>
    <n v="3"/>
    <x v="1"/>
    <n v="8.2000000000000007E-3"/>
    <s v="P"/>
    <s v="P"/>
    <s v="P"/>
    <s v="+"/>
    <s v="+"/>
    <n v="12.61"/>
    <s v="-"/>
    <s v="-"/>
    <s v="-"/>
    <s v="-"/>
    <s v="-"/>
    <s v="-"/>
    <s v="-"/>
    <s v="-"/>
    <s v="P"/>
    <s v="P"/>
    <s v="-"/>
    <n v="2"/>
    <n v="1"/>
    <n v="2"/>
    <n v="1"/>
    <s v="-"/>
    <s v="-"/>
    <s v="-"/>
    <s v="-"/>
    <s v="-"/>
    <s v="-"/>
    <s v="-"/>
    <n v="6"/>
    <n v="6"/>
    <s v="-"/>
    <n v="1"/>
    <n v="1"/>
    <n v="2"/>
    <n v="2"/>
    <n v="8"/>
    <n v="8"/>
  </r>
  <r>
    <x v="0"/>
    <x v="1"/>
    <d v="2025-12-15T00:00:00"/>
    <s v="3RD"/>
    <d v="1899-12-30T22:00:00"/>
    <n v="3"/>
    <x v="1"/>
    <n v="8.3000000000000001E-3"/>
    <s v="P"/>
    <s v="P"/>
    <s v="P"/>
    <s v="+"/>
    <s v="+"/>
    <n v="12.68"/>
    <n v="12.4"/>
    <n v="0.49"/>
    <s v="-"/>
    <s v="-"/>
    <s v="-"/>
    <n v="36"/>
    <s v="-"/>
    <s v="-"/>
    <s v="P"/>
    <s v="P"/>
    <s v="-"/>
    <n v="2"/>
    <n v="1"/>
    <n v="2"/>
    <n v="1"/>
    <n v="1"/>
    <n v="2"/>
    <s v="-"/>
    <s v="-"/>
    <s v="-"/>
    <n v="2"/>
    <s v="-"/>
    <n v="11"/>
    <n v="11"/>
    <s v="-"/>
    <n v="1"/>
    <n v="1"/>
    <n v="2"/>
    <n v="2"/>
    <n v="13"/>
    <n v="13"/>
  </r>
  <r>
    <x v="0"/>
    <x v="1"/>
    <d v="2025-12-15T00:00:00"/>
    <s v="3RD"/>
    <d v="1899-12-30T23:00:00"/>
    <n v="3"/>
    <x v="1"/>
    <n v="7.0000000000000001E-3"/>
    <s v="P"/>
    <s v="P"/>
    <s v="P"/>
    <s v="+"/>
    <s v="+"/>
    <n v="12.9"/>
    <s v="-"/>
    <s v="-"/>
    <s v="-"/>
    <s v="-"/>
    <s v="-"/>
    <s v="-"/>
    <s v="-"/>
    <s v="-"/>
    <s v="P"/>
    <s v="P"/>
    <s v="-"/>
    <n v="2"/>
    <n v="1"/>
    <n v="2"/>
    <n v="1"/>
    <s v="-"/>
    <s v="-"/>
    <s v="-"/>
    <s v="-"/>
    <s v="-"/>
    <s v="-"/>
    <s v="-"/>
    <n v="6"/>
    <n v="6"/>
    <s v="-"/>
    <n v="1"/>
    <n v="1"/>
    <n v="2"/>
    <n v="2"/>
    <n v="8"/>
    <n v="8"/>
  </r>
  <r>
    <x v="0"/>
    <x v="1"/>
    <d v="2025-12-10T00:00:00"/>
    <s v="3RD"/>
    <d v="1899-12-31T00:00:00"/>
    <n v="3"/>
    <x v="1"/>
    <n v="4.7000000000000002E-3"/>
    <s v="P"/>
    <s v="P"/>
    <s v="P"/>
    <s v="+"/>
    <s v="+"/>
    <n v="13.01"/>
    <n v="12.61"/>
    <n v="0.45"/>
    <s v="-"/>
    <s v="-"/>
    <s v="-"/>
    <n v="35.1"/>
    <s v="-"/>
    <s v="-"/>
    <s v="P"/>
    <s v="P"/>
    <s v="-"/>
    <n v="2"/>
    <n v="1"/>
    <n v="2"/>
    <n v="1"/>
    <n v="1"/>
    <n v="2"/>
    <s v="-"/>
    <s v="-"/>
    <s v="-"/>
    <n v="2"/>
    <s v="-"/>
    <n v="11"/>
    <n v="11"/>
    <s v="-"/>
    <n v="1"/>
    <n v="1"/>
    <n v="2"/>
    <n v="2"/>
    <n v="13"/>
    <n v="13"/>
  </r>
  <r>
    <x v="0"/>
    <x v="1"/>
    <d v="2025-12-10T00:00:00"/>
    <s v="3RD"/>
    <d v="1899-12-31T02:00:00"/>
    <n v="3"/>
    <x v="1"/>
    <n v="6.6E-3"/>
    <s v="P"/>
    <s v="P"/>
    <s v="P"/>
    <s v="+"/>
    <s v="+"/>
    <n v="13.53"/>
    <s v="-"/>
    <s v="-"/>
    <s v="-"/>
    <s v="-"/>
    <s v="-"/>
    <s v="-"/>
    <s v="-"/>
    <s v="-"/>
    <s v="P"/>
    <s v="P"/>
    <s v="-"/>
    <n v="2"/>
    <n v="1"/>
    <n v="2"/>
    <n v="1"/>
    <s v="-"/>
    <s v="-"/>
    <s v="-"/>
    <s v="-"/>
    <s v="-"/>
    <s v="-"/>
    <s v="-"/>
    <n v="6"/>
    <n v="6"/>
    <s v="-"/>
    <n v="1"/>
    <n v="1"/>
    <n v="2"/>
    <n v="2"/>
    <n v="8"/>
    <n v="8"/>
  </r>
  <r>
    <x v="0"/>
    <x v="1"/>
    <d v="2025-12-16T00:00:00"/>
    <s v="3RD"/>
    <d v="1899-12-31T04:00:00"/>
    <n v="3"/>
    <x v="1"/>
    <n v="1.83E-2"/>
    <s v="P"/>
    <s v="P"/>
    <s v="P"/>
    <s v="+"/>
    <s v="+"/>
    <n v="12.86"/>
    <n v="12.66"/>
    <n v="0.48"/>
    <n v="64.2"/>
    <s v="-"/>
    <s v="-"/>
    <n v="35.4"/>
    <s v="-"/>
    <s v="-"/>
    <s v="P"/>
    <s v="P"/>
    <s v="-"/>
    <n v="2"/>
    <n v="1"/>
    <n v="2"/>
    <n v="1"/>
    <n v="1"/>
    <n v="2"/>
    <n v="2"/>
    <s v="-"/>
    <s v="-"/>
    <n v="2"/>
    <s v="-"/>
    <n v="13"/>
    <n v="13"/>
    <s v="-"/>
    <n v="1"/>
    <n v="1"/>
    <n v="2"/>
    <n v="2"/>
    <n v="15"/>
    <n v="15"/>
  </r>
  <r>
    <x v="0"/>
    <x v="1"/>
    <d v="2026-12-22T00:00:00"/>
    <s v="2ND"/>
    <d v="1899-12-30T20:00:00"/>
    <n v="2"/>
    <x v="4"/>
    <n v="4.1000000000000003E-3"/>
    <s v="P"/>
    <s v="P"/>
    <s v="P"/>
    <s v="-"/>
    <s v="+"/>
    <n v="11.26"/>
    <s v="-"/>
    <s v="-"/>
    <s v="-"/>
    <s v="-"/>
    <s v="-"/>
    <s v="-"/>
    <s v="-"/>
    <s v="-"/>
    <s v="P"/>
    <s v="P"/>
    <s v="-"/>
    <n v="2"/>
    <n v="1"/>
    <n v="2"/>
    <n v="1"/>
    <s v="-"/>
    <s v="-"/>
    <s v="-"/>
    <s v="-"/>
    <s v="-"/>
    <s v="-"/>
    <s v="-"/>
    <n v="6"/>
    <n v="6"/>
    <s v="-"/>
    <n v="1"/>
    <n v="1"/>
    <n v="2"/>
    <n v="2"/>
    <n v="8"/>
    <n v="8"/>
  </r>
  <r>
    <x v="0"/>
    <x v="1"/>
    <d v="2025-12-22T00:00:00"/>
    <s v="3RD"/>
    <d v="1899-12-30T22:00:00"/>
    <n v="2"/>
    <x v="4"/>
    <n v="3.8E-3"/>
    <s v="P"/>
    <s v="P"/>
    <s v="P"/>
    <s v="-"/>
    <s v="+"/>
    <n v="11.19"/>
    <n v="8.67"/>
    <n v="0.48"/>
    <s v="-"/>
    <n v="12.7"/>
    <n v="374"/>
    <n v="23.36"/>
    <s v="-"/>
    <s v="-"/>
    <s v="P"/>
    <s v="P"/>
    <s v="-"/>
    <n v="2"/>
    <n v="1"/>
    <n v="2"/>
    <n v="1"/>
    <n v="1"/>
    <n v="2"/>
    <s v="-"/>
    <n v="1"/>
    <n v="1"/>
    <n v="2"/>
    <s v="-"/>
    <n v="13"/>
    <n v="13"/>
    <s v="-"/>
    <n v="1"/>
    <n v="1"/>
    <n v="2"/>
    <n v="2"/>
    <n v="15"/>
    <n v="15"/>
  </r>
  <r>
    <x v="0"/>
    <x v="1"/>
    <d v="2025-12-22T00:00:00"/>
    <s v="3RD"/>
    <d v="1899-12-31T00:00:00"/>
    <n v="2"/>
    <x v="4"/>
    <n v="3.0999999999999999E-3"/>
    <s v="P"/>
    <s v="P"/>
    <s v="P"/>
    <s v="-"/>
    <s v="+"/>
    <n v="10.96"/>
    <s v="-"/>
    <s v="-"/>
    <s v="-"/>
    <s v="-"/>
    <s v="-"/>
    <s v="-"/>
    <s v="-"/>
    <s v="-"/>
    <s v="P"/>
    <s v="P"/>
    <s v="-"/>
    <n v="2"/>
    <n v="1"/>
    <n v="2"/>
    <n v="0"/>
    <s v="-"/>
    <s v="-"/>
    <s v="-"/>
    <s v="-"/>
    <s v="-"/>
    <s v="-"/>
    <s v="-"/>
    <n v="5"/>
    <n v="6"/>
    <s v="-"/>
    <n v="1"/>
    <n v="1"/>
    <n v="2"/>
    <n v="2"/>
    <n v="7"/>
    <n v="8"/>
  </r>
  <r>
    <x v="0"/>
    <x v="1"/>
    <d v="2025-12-22T00:00:00"/>
    <s v="1ST"/>
    <s v="09:00"/>
    <n v="2"/>
    <x v="5"/>
    <n v="1.4E-3"/>
    <s v="P"/>
    <s v="P"/>
    <s v="P"/>
    <s v="-"/>
    <s v="+"/>
    <n v="11.32"/>
    <n v="8.57"/>
    <n v="0.46"/>
    <n v="53.6"/>
    <s v="-"/>
    <s v="-"/>
    <n v="23"/>
    <s v="-"/>
    <n v="25.13"/>
    <s v="P"/>
    <s v="P"/>
    <s v="-"/>
    <n v="2"/>
    <n v="1"/>
    <n v="2"/>
    <n v="1"/>
    <n v="1"/>
    <n v="2"/>
    <n v="0"/>
    <s v="-"/>
    <s v="-"/>
    <n v="2"/>
    <s v="-"/>
    <n v="11"/>
    <n v="13"/>
    <n v="1"/>
    <n v="1"/>
    <n v="1"/>
    <n v="3"/>
    <n v="3"/>
    <n v="14"/>
    <n v="16"/>
  </r>
  <r>
    <x v="0"/>
    <x v="1"/>
    <d v="2025-12-22T00:00:00"/>
    <s v="1ST"/>
    <d v="1899-12-30T11:00:00"/>
    <n v="2"/>
    <x v="5"/>
    <n v="2E-3"/>
    <s v="P"/>
    <s v="P"/>
    <s v="P"/>
    <s v="-"/>
    <s v="+"/>
    <n v="11.89"/>
    <s v="-"/>
    <s v="-"/>
    <s v="-"/>
    <s v="-"/>
    <s v="-"/>
    <s v="-"/>
    <s v="-"/>
    <s v="-"/>
    <s v="P"/>
    <s v="P"/>
    <s v="-"/>
    <n v="2"/>
    <n v="1"/>
    <n v="2"/>
    <n v="1"/>
    <s v="-"/>
    <s v="-"/>
    <s v="-"/>
    <s v="-"/>
    <s v="-"/>
    <s v="-"/>
    <s v="-"/>
    <n v="6"/>
    <n v="6"/>
    <s v="-"/>
    <n v="1"/>
    <n v="1"/>
    <n v="2"/>
    <n v="2"/>
    <n v="8"/>
    <n v="8"/>
  </r>
  <r>
    <x v="0"/>
    <x v="1"/>
    <d v="2025-12-22T00:00:00"/>
    <s v="1ST"/>
    <d v="1899-12-30T13:00:00"/>
    <n v="2"/>
    <x v="5"/>
    <n v="2.3999999999999998E-3"/>
    <s v="P"/>
    <s v="P"/>
    <s v="P"/>
    <s v="-"/>
    <s v="+"/>
    <n v="11.23"/>
    <s v="-"/>
    <s v="-"/>
    <s v="-"/>
    <s v="-"/>
    <s v="-"/>
    <s v="-"/>
    <s v="-"/>
    <s v="-"/>
    <s v="P"/>
    <s v="P"/>
    <s v="-"/>
    <n v="2"/>
    <n v="1"/>
    <n v="2"/>
    <n v="1"/>
    <s v="-"/>
    <s v="-"/>
    <s v="-"/>
    <s v="-"/>
    <s v="-"/>
    <s v="-"/>
    <s v="-"/>
    <n v="6"/>
    <n v="6"/>
    <s v="-"/>
    <n v="1"/>
    <n v="1"/>
    <n v="2"/>
    <n v="2"/>
    <n v="8"/>
    <n v="8"/>
  </r>
  <r>
    <x v="0"/>
    <x v="1"/>
    <d v="2026-12-22T00:00:00"/>
    <s v="2ND"/>
    <d v="1899-12-30T14:00:00"/>
    <n v="2"/>
    <x v="5"/>
    <n v="4.0000000000000001E-3"/>
    <s v="P"/>
    <s v="P"/>
    <s v="P"/>
    <s v="-"/>
    <s v="+"/>
    <n v="11.38"/>
    <n v="8.76"/>
    <n v="0.44"/>
    <s v="-"/>
    <s v="-"/>
    <s v="-"/>
    <n v="23.64"/>
    <s v="-"/>
    <s v="-"/>
    <s v="P"/>
    <s v="P"/>
    <s v="-"/>
    <n v="2"/>
    <n v="1"/>
    <n v="2"/>
    <n v="1"/>
    <n v="1"/>
    <n v="2"/>
    <s v="-"/>
    <s v="-"/>
    <s v="-"/>
    <n v="2"/>
    <s v="-"/>
    <n v="11"/>
    <n v="11"/>
    <s v="-"/>
    <n v="1"/>
    <n v="1"/>
    <n v="2"/>
    <n v="2"/>
    <n v="13"/>
    <n v="13"/>
  </r>
  <r>
    <x v="0"/>
    <x v="1"/>
    <d v="2026-12-22T00:00:00"/>
    <s v="2ND"/>
    <d v="1899-12-30T15:00:00"/>
    <n v="2"/>
    <x v="5"/>
    <n v="4.8999999999999998E-3"/>
    <s v="P"/>
    <s v="P"/>
    <s v="P"/>
    <s v="-"/>
    <s v="+"/>
    <n v="11.12"/>
    <s v="-"/>
    <s v="-"/>
    <s v="-"/>
    <s v="-"/>
    <s v="-"/>
    <s v="-"/>
    <s v="-"/>
    <s v="-"/>
    <s v="P"/>
    <s v="P"/>
    <s v="-"/>
    <n v="2"/>
    <n v="1"/>
    <n v="2"/>
    <n v="1"/>
    <s v="-"/>
    <s v="-"/>
    <s v="-"/>
    <s v="-"/>
    <s v="-"/>
    <s v="-"/>
    <s v="-"/>
    <n v="6"/>
    <n v="6"/>
    <s v="-"/>
    <n v="1"/>
    <n v="1"/>
    <n v="2"/>
    <n v="2"/>
    <n v="8"/>
    <n v="8"/>
  </r>
  <r>
    <x v="0"/>
    <x v="1"/>
    <d v="2026-12-22T00:00:00"/>
    <s v="2ND"/>
    <d v="1899-12-30T18:00:00"/>
    <n v="2"/>
    <x v="5"/>
    <n v="4.8999999999999998E-3"/>
    <s v="P"/>
    <s v="P"/>
    <s v="P"/>
    <s v="-"/>
    <s v="+"/>
    <n v="11.19"/>
    <s v="-"/>
    <s v="-"/>
    <s v="-"/>
    <s v="-"/>
    <s v="-"/>
    <s v="-"/>
    <s v="-"/>
    <s v="-"/>
    <s v="P"/>
    <s v="P"/>
    <s v="-"/>
    <n v="2"/>
    <n v="1"/>
    <n v="2"/>
    <n v="1"/>
    <s v="-"/>
    <s v="-"/>
    <s v="-"/>
    <s v="-"/>
    <s v="-"/>
    <s v="-"/>
    <s v="-"/>
    <n v="6"/>
    <n v="6"/>
    <s v="-"/>
    <n v="1"/>
    <n v="1"/>
    <n v="2"/>
    <n v="2"/>
    <n v="8"/>
    <n v="8"/>
  </r>
  <r>
    <x v="0"/>
    <x v="1"/>
    <d v="2026-12-22T00:00:00"/>
    <s v="2ND"/>
    <d v="1899-12-30T19:00:00"/>
    <n v="2"/>
    <x v="5"/>
    <n v="4.4999999999999997E-3"/>
    <s v="P"/>
    <s v="P"/>
    <s v="P"/>
    <s v="-"/>
    <s v="+"/>
    <n v="11.12"/>
    <s v="-"/>
    <s v="-"/>
    <s v="-"/>
    <s v="-"/>
    <s v="-"/>
    <s v="-"/>
    <s v="-"/>
    <s v="-"/>
    <s v="P"/>
    <s v="P"/>
    <s v="-"/>
    <n v="2"/>
    <n v="1"/>
    <n v="2"/>
    <n v="1"/>
    <s v="-"/>
    <s v="-"/>
    <s v="-"/>
    <s v="-"/>
    <s v="-"/>
    <s v="-"/>
    <s v="-"/>
    <n v="6"/>
    <n v="6"/>
    <s v="-"/>
    <n v="1"/>
    <n v="1"/>
    <n v="2"/>
    <n v="2"/>
    <n v="8"/>
    <n v="8"/>
  </r>
  <r>
    <x v="0"/>
    <x v="2"/>
    <d v="2025-12-16T00:00:00"/>
    <s v="1ST"/>
    <s v="09:00"/>
    <n v="3"/>
    <x v="6"/>
    <n v="4.8999999999999998E-3"/>
    <s v="P"/>
    <s v="P"/>
    <s v="P"/>
    <s v="+"/>
    <s v="+"/>
    <n v="12.43"/>
    <n v="12.52"/>
    <n v="0.47"/>
    <n v="65"/>
    <n v="14.1"/>
    <n v="879"/>
    <n v="35"/>
    <s v="-"/>
    <s v="-"/>
    <s v="P"/>
    <s v="P"/>
    <s v="7-% 2-% 1-%"/>
    <n v="2"/>
    <n v="1"/>
    <n v="2"/>
    <n v="1"/>
    <n v="1"/>
    <n v="2"/>
    <n v="2"/>
    <n v="1"/>
    <n v="1"/>
    <n v="2"/>
    <s v="-"/>
    <n v="15"/>
    <n v="15"/>
    <s v="-"/>
    <n v="1"/>
    <n v="1"/>
    <n v="2"/>
    <n v="2"/>
    <n v="17"/>
    <n v="17"/>
  </r>
  <r>
    <x v="0"/>
    <x v="2"/>
    <d v="2025-12-16T00:00:00"/>
    <s v="1ST"/>
    <s v="11:00"/>
    <n v="3"/>
    <x v="6"/>
    <n v="1.1299999999999999E-2"/>
    <s v="P"/>
    <s v="P"/>
    <s v="P"/>
    <s v="+"/>
    <s v="+"/>
    <n v="12.43"/>
    <s v="-"/>
    <s v="-"/>
    <s v="-"/>
    <s v="-"/>
    <s v="-"/>
    <s v="-"/>
    <s v="-"/>
    <s v="-"/>
    <s v="P"/>
    <s v="P"/>
    <s v="-"/>
    <n v="2"/>
    <n v="1"/>
    <n v="2"/>
    <n v="1"/>
    <s v="-"/>
    <s v="-"/>
    <s v="-"/>
    <s v="-"/>
    <s v="-"/>
    <s v="-"/>
    <s v="-"/>
    <n v="6"/>
    <n v="6"/>
    <s v="-"/>
    <n v="1"/>
    <n v="1"/>
    <n v="2"/>
    <n v="2"/>
    <n v="8"/>
    <n v="8"/>
  </r>
  <r>
    <x v="0"/>
    <x v="2"/>
    <d v="2025-12-16T00:00:00"/>
    <s v="1ST"/>
    <s v="12:00"/>
    <n v="3"/>
    <x v="6"/>
    <n v="9.2999999999999992E-3"/>
    <s v="P"/>
    <s v="P"/>
    <s v="P"/>
    <s v="+"/>
    <s v="+"/>
    <n v="12.73"/>
    <s v="-"/>
    <s v="-"/>
    <s v="-"/>
    <s v="-"/>
    <s v="-"/>
    <s v="-"/>
    <s v="-"/>
    <s v="-"/>
    <s v="P"/>
    <s v="P"/>
    <s v="-"/>
    <n v="2"/>
    <n v="1"/>
    <n v="2"/>
    <n v="1"/>
    <s v="-"/>
    <s v="-"/>
    <s v="-"/>
    <s v="-"/>
    <s v="-"/>
    <s v="-"/>
    <s v="-"/>
    <n v="6"/>
    <n v="6"/>
    <s v="-"/>
    <n v="1"/>
    <n v="1"/>
    <n v="2"/>
    <n v="2"/>
    <n v="8"/>
    <n v="8"/>
  </r>
  <r>
    <x v="0"/>
    <x v="2"/>
    <d v="2026-12-22T00:00:00"/>
    <s v="2ND"/>
    <d v="1899-12-30T20:00:00"/>
    <n v="2"/>
    <x v="7"/>
    <n v="2.0999999999999999E-3"/>
    <s v="P"/>
    <s v="P"/>
    <s v="P"/>
    <s v="-"/>
    <s v="+"/>
    <n v="11.33"/>
    <n v="9.32"/>
    <n v="0.49"/>
    <n v="54.2"/>
    <n v="12.4"/>
    <n v="474"/>
    <n v="25.36"/>
    <s v="-"/>
    <s v="-"/>
    <s v="P"/>
    <s v="P"/>
    <s v="-"/>
    <n v="2"/>
    <n v="1"/>
    <n v="2"/>
    <n v="1"/>
    <n v="1"/>
    <n v="2"/>
    <n v="0"/>
    <n v="1"/>
    <n v="1"/>
    <n v="2"/>
    <s v="-"/>
    <n v="13"/>
    <n v="15"/>
    <s v="-"/>
    <n v="1"/>
    <n v="1"/>
    <n v="2"/>
    <n v="2"/>
    <n v="15"/>
    <n v="17"/>
  </r>
  <r>
    <x v="0"/>
    <x v="2"/>
    <d v="2026-12-22T00:00:00"/>
    <s v="2ND"/>
    <d v="1899-12-30T21:00:00"/>
    <n v="2"/>
    <x v="7"/>
    <n v="2.8E-3"/>
    <s v="P"/>
    <s v="P"/>
    <s v="P"/>
    <s v="-"/>
    <s v="+"/>
    <n v="11.34"/>
    <s v="-"/>
    <s v="-"/>
    <s v="-"/>
    <s v="-"/>
    <s v="-"/>
    <s v="-"/>
    <s v="-"/>
    <s v="-"/>
    <s v="P"/>
    <s v="P"/>
    <s v="-"/>
    <n v="2"/>
    <n v="1"/>
    <n v="2"/>
    <n v="1"/>
    <s v="-"/>
    <s v="-"/>
    <s v="-"/>
    <s v="-"/>
    <s v="-"/>
    <s v="-"/>
    <s v="-"/>
    <n v="6"/>
    <n v="6"/>
    <s v="-"/>
    <n v="1"/>
    <n v="1"/>
    <n v="2"/>
    <n v="2"/>
    <n v="8"/>
    <n v="8"/>
  </r>
  <r>
    <x v="0"/>
    <x v="2"/>
    <d v="2026-12-22T00:00:00"/>
    <s v="3RD"/>
    <d v="1899-12-30T22:00:00"/>
    <m/>
    <x v="7"/>
    <n v="7.9000000000000008E-3"/>
    <s v="P"/>
    <s v="P"/>
    <s v="P"/>
    <s v="-"/>
    <s v="+"/>
    <n v="11.26"/>
    <s v="-"/>
    <s v="-"/>
    <s v="-"/>
    <s v="-"/>
    <s v="-"/>
    <s v="-"/>
    <s v="-"/>
    <s v="-"/>
    <s v="P"/>
    <s v="P"/>
    <s v="-"/>
    <n v="2"/>
    <n v="1"/>
    <n v="2"/>
    <n v="1"/>
    <s v="-"/>
    <s v="-"/>
    <s v="-"/>
    <s v="-"/>
    <s v="-"/>
    <s v="-"/>
    <s v="-"/>
    <n v="6"/>
    <n v="6"/>
    <s v="-"/>
    <n v="1"/>
    <n v="1"/>
    <n v="2"/>
    <n v="2"/>
    <n v="8"/>
    <n v="8"/>
  </r>
  <r>
    <x v="0"/>
    <x v="2"/>
    <d v="2026-01-03T00:00:00"/>
    <s v="2ND"/>
    <d v="1899-12-30T14:00:00"/>
    <n v="3"/>
    <x v="8"/>
    <n v="3.8999999999999998E-3"/>
    <s v="P"/>
    <s v="P"/>
    <s v="P"/>
    <s v="+"/>
    <s v="+"/>
    <n v="13.09"/>
    <n v="13.11"/>
    <n v="0.49"/>
    <n v="64"/>
    <s v="-"/>
    <s v="-"/>
    <n v="36.700000000000003"/>
    <s v="-"/>
    <s v="-"/>
    <s v="P"/>
    <s v="P"/>
    <s v="-"/>
    <n v="2"/>
    <n v="1"/>
    <n v="2"/>
    <n v="1"/>
    <n v="1"/>
    <n v="2"/>
    <n v="2"/>
    <s v="-"/>
    <s v="-"/>
    <s v="-"/>
    <s v="-"/>
    <n v="11"/>
    <n v="11"/>
    <s v="-"/>
    <n v="1"/>
    <n v="1"/>
    <n v="2"/>
    <n v="2"/>
    <n v="13"/>
    <n v="13"/>
  </r>
  <r>
    <x v="0"/>
    <x v="2"/>
    <d v="2026-01-03T00:00:00"/>
    <s v="2ND"/>
    <d v="1899-12-30T15:00:00"/>
    <n v="3"/>
    <x v="1"/>
    <n v="1.2800000000000001E-2"/>
    <s v="P"/>
    <s v="P"/>
    <s v="P"/>
    <s v="+"/>
    <s v="+"/>
    <n v="12.68"/>
    <n v="12.79"/>
    <n v="0.5"/>
    <n v="64.5"/>
    <n v="13.3"/>
    <n v="961"/>
    <n v="35.799999999999997"/>
    <s v="-"/>
    <s v="-"/>
    <s v="P"/>
    <s v="P"/>
    <s v="-"/>
    <n v="2"/>
    <n v="1"/>
    <n v="2"/>
    <n v="1"/>
    <n v="1"/>
    <n v="2"/>
    <n v="2"/>
    <n v="1"/>
    <n v="1"/>
    <n v="2"/>
    <s v="-"/>
    <n v="15"/>
    <n v="15"/>
    <s v="-"/>
    <n v="1"/>
    <n v="1"/>
    <n v="2"/>
    <n v="2"/>
    <n v="17"/>
    <n v="17"/>
  </r>
  <r>
    <x v="0"/>
    <x v="2"/>
    <d v="2026-01-03T00:00:00"/>
    <s v="2ND"/>
    <d v="1899-12-30T16:00:00"/>
    <n v="3"/>
    <x v="1"/>
    <n v="3.8E-3"/>
    <s v="P"/>
    <s v="P"/>
    <s v="P"/>
    <s v="+"/>
    <s v="+"/>
    <n v="12.68"/>
    <s v="-"/>
    <s v="-"/>
    <s v="-"/>
    <s v="-"/>
    <s v="-"/>
    <s v="-"/>
    <s v="-"/>
    <s v="-"/>
    <s v="P"/>
    <s v="P"/>
    <s v="-"/>
    <n v="2"/>
    <n v="1"/>
    <n v="2"/>
    <n v="1"/>
    <s v="-"/>
    <s v="-"/>
    <s v="-"/>
    <s v="-"/>
    <s v="-"/>
    <s v="-"/>
    <s v="-"/>
    <n v="6"/>
    <n v="6"/>
    <s v="-"/>
    <n v="1"/>
    <n v="1"/>
    <n v="2"/>
    <n v="2"/>
    <n v="8"/>
    <n v="8"/>
  </r>
  <r>
    <x v="0"/>
    <x v="2"/>
    <d v="2026-01-03T00:00:00"/>
    <s v="2ND"/>
    <d v="1899-12-30T17:00:00"/>
    <n v="3"/>
    <x v="1"/>
    <n v="3.0999999999999999E-3"/>
    <s v="P"/>
    <s v="P"/>
    <s v="P"/>
    <s v="+"/>
    <s v="+"/>
    <n v="12.6"/>
    <s v="-"/>
    <s v="-"/>
    <s v="-"/>
    <s v="-"/>
    <s v="-"/>
    <s v="-"/>
    <s v="-"/>
    <s v="-"/>
    <s v="P"/>
    <s v="P"/>
    <s v="-"/>
    <n v="2"/>
    <n v="1"/>
    <n v="2"/>
    <n v="1"/>
    <s v="-"/>
    <s v="-"/>
    <s v="-"/>
    <s v="-"/>
    <s v="-"/>
    <s v="-"/>
    <s v="-"/>
    <n v="6"/>
    <n v="6"/>
    <s v="-"/>
    <n v="1"/>
    <n v="1"/>
    <n v="2"/>
    <n v="2"/>
    <n v="8"/>
    <n v="8"/>
  </r>
  <r>
    <x v="0"/>
    <x v="2"/>
    <d v="2026-01-03T00:00:00"/>
    <s v="2ND"/>
    <d v="1899-12-30T18:00:00"/>
    <n v="3"/>
    <x v="1"/>
    <n v="3.7000000000000002E-3"/>
    <s v="P"/>
    <s v="P"/>
    <s v="P"/>
    <s v="+"/>
    <s v="+"/>
    <n v="12.79"/>
    <s v="-"/>
    <s v="-"/>
    <s v="-"/>
    <s v="-"/>
    <s v="-"/>
    <s v="-"/>
    <s v="-"/>
    <s v="-"/>
    <s v="P"/>
    <s v="P"/>
    <s v="-"/>
    <n v="2"/>
    <n v="1"/>
    <n v="2"/>
    <n v="1"/>
    <s v="-"/>
    <s v="-"/>
    <s v="-"/>
    <s v="-"/>
    <s v="-"/>
    <s v="-"/>
    <s v="-"/>
    <n v="6"/>
    <n v="6"/>
    <s v="-"/>
    <n v="1"/>
    <n v="1"/>
    <n v="2"/>
    <n v="2"/>
    <n v="8"/>
    <n v="8"/>
  </r>
  <r>
    <x v="0"/>
    <x v="2"/>
    <d v="2026-01-03T00:00:00"/>
    <s v="2ND"/>
    <d v="1899-12-30T19:00:00"/>
    <n v="3"/>
    <x v="1"/>
    <n v="5.4000000000000003E-3"/>
    <s v="P"/>
    <s v="P"/>
    <s v="P"/>
    <s v="+"/>
    <s v="+"/>
    <n v="12.67"/>
    <s v="-"/>
    <s v="-"/>
    <s v="-"/>
    <s v="-"/>
    <s v="-"/>
    <s v="-"/>
    <s v="-"/>
    <s v="-"/>
    <s v="P"/>
    <s v="P"/>
    <s v="-"/>
    <n v="2"/>
    <n v="1"/>
    <n v="2"/>
    <n v="1"/>
    <s v="-"/>
    <s v="-"/>
    <s v="-"/>
    <s v="-"/>
    <s v="-"/>
    <s v="-"/>
    <s v="-"/>
    <n v="6"/>
    <n v="6"/>
    <s v="-"/>
    <n v="1"/>
    <n v="1"/>
    <n v="2"/>
    <n v="2"/>
    <n v="8"/>
    <n v="8"/>
  </r>
  <r>
    <x v="0"/>
    <x v="2"/>
    <d v="2026-01-03T00:00:00"/>
    <s v="2ND"/>
    <d v="1899-12-30T20:00:00"/>
    <n v="3"/>
    <x v="1"/>
    <n v="4.4999999999999997E-3"/>
    <s v="P"/>
    <s v="P"/>
    <s v="P"/>
    <s v="+"/>
    <s v="+"/>
    <n v="12.65"/>
    <s v="-"/>
    <s v="-"/>
    <s v="-"/>
    <s v="-"/>
    <s v="-"/>
    <s v="-"/>
    <s v="-"/>
    <s v="-"/>
    <s v="P"/>
    <s v="P"/>
    <s v="-"/>
    <n v="2"/>
    <n v="1"/>
    <n v="2"/>
    <n v="1"/>
    <s v="-"/>
    <s v="-"/>
    <s v="-"/>
    <s v="-"/>
    <s v="-"/>
    <s v="-"/>
    <s v="-"/>
    <n v="6"/>
    <n v="6"/>
    <s v="-"/>
    <n v="1"/>
    <n v="1"/>
    <n v="2"/>
    <n v="2"/>
    <n v="8"/>
    <n v="8"/>
  </r>
  <r>
    <x v="0"/>
    <x v="2"/>
    <d v="2026-01-03T00:00:00"/>
    <s v="2ND"/>
    <d v="1899-12-30T21:00:00"/>
    <n v="3"/>
    <x v="1"/>
    <n v="3.8999999999999998E-3"/>
    <s v="P"/>
    <s v="P"/>
    <s v="P"/>
    <s v="+"/>
    <s v="+"/>
    <n v="12.62"/>
    <s v="-"/>
    <s v="-"/>
    <s v="-"/>
    <s v="-"/>
    <s v="-"/>
    <s v="-"/>
    <s v="-"/>
    <s v="-"/>
    <s v="P"/>
    <s v="P"/>
    <s v="-"/>
    <n v="2"/>
    <n v="1"/>
    <n v="2"/>
    <n v="1"/>
    <s v="-"/>
    <s v="-"/>
    <s v="-"/>
    <s v="-"/>
    <s v="-"/>
    <s v="-"/>
    <s v="-"/>
    <n v="6"/>
    <n v="6"/>
    <s v="-"/>
    <n v="1"/>
    <n v="1"/>
    <n v="2"/>
    <n v="2"/>
    <n v="8"/>
    <n v="8"/>
  </r>
  <r>
    <x v="0"/>
    <x v="2"/>
    <d v="2025-12-22T00:00:00"/>
    <s v="1ST"/>
    <s v="08:00"/>
    <n v="2"/>
    <x v="4"/>
    <n v="4.1999999999999997E-3"/>
    <s v="P"/>
    <s v="P"/>
    <s v="P"/>
    <s v="-"/>
    <s v="+"/>
    <n v="11.15"/>
    <n v="8.74"/>
    <n v="0.43"/>
    <n v="54.2"/>
    <n v="12.9"/>
    <n v="474"/>
    <n v="23.65"/>
    <s v="-"/>
    <s v="-"/>
    <s v="P"/>
    <s v="P"/>
    <s v="-"/>
    <n v="2"/>
    <n v="1"/>
    <n v="2"/>
    <n v="1"/>
    <n v="1"/>
    <n v="2"/>
    <n v="2"/>
    <n v="1"/>
    <n v="1"/>
    <n v="2"/>
    <s v="-"/>
    <n v="15"/>
    <n v="15"/>
    <s v="-"/>
    <n v="1"/>
    <n v="1"/>
    <n v="2"/>
    <n v="2"/>
    <n v="17"/>
    <n v="17"/>
  </r>
  <r>
    <x v="0"/>
    <x v="2"/>
    <d v="2025-12-22T00:00:00"/>
    <s v="1ST"/>
    <s v="12:00"/>
    <n v="2"/>
    <x v="5"/>
    <n v="5.4999999999999997E-3"/>
    <s v="P"/>
    <s v="P"/>
    <s v="P"/>
    <s v="-"/>
    <s v="+"/>
    <n v="11"/>
    <s v="-"/>
    <s v="-"/>
    <s v="-"/>
    <s v="-"/>
    <s v="-"/>
    <s v="-"/>
    <s v="-"/>
    <s v="-"/>
    <s v="P"/>
    <s v="P"/>
    <s v="-"/>
    <n v="2"/>
    <n v="1"/>
    <n v="2"/>
    <n v="1"/>
    <s v="-"/>
    <s v="-"/>
    <s v="-"/>
    <s v="-"/>
    <s v="-"/>
    <s v="-"/>
    <s v="-"/>
    <n v="6"/>
    <n v="6"/>
    <s v="-"/>
    <n v="1"/>
    <n v="1"/>
    <n v="2"/>
    <n v="2"/>
    <n v="8"/>
    <n v="8"/>
  </r>
  <r>
    <x v="0"/>
    <x v="2"/>
    <d v="2026-12-22T00:00:00"/>
    <s v="2ND"/>
    <d v="1899-12-30T14:00:00"/>
    <n v="2"/>
    <x v="5"/>
    <n v="3.8E-3"/>
    <s v="P"/>
    <s v="P"/>
    <s v="P"/>
    <s v="-"/>
    <s v="+"/>
    <n v="10.92"/>
    <n v="9.32"/>
    <n v="0.48"/>
    <s v="-"/>
    <s v="-"/>
    <s v="-"/>
    <n v="25.36"/>
    <s v="-"/>
    <s v="-"/>
    <s v="P"/>
    <s v="P"/>
    <s v="-"/>
    <n v="2"/>
    <n v="1"/>
    <n v="2"/>
    <n v="0"/>
    <n v="1"/>
    <n v="2"/>
    <s v="-"/>
    <s v="-"/>
    <s v="-"/>
    <n v="2"/>
    <s v="-"/>
    <n v="10"/>
    <n v="11"/>
    <s v="-"/>
    <n v="1"/>
    <n v="1"/>
    <n v="2"/>
    <n v="2"/>
    <n v="12"/>
    <n v="13"/>
  </r>
  <r>
    <x v="0"/>
    <x v="2"/>
    <d v="2026-12-22T00:00:00"/>
    <s v="2ND"/>
    <d v="1899-12-30T15:00:00"/>
    <n v="2"/>
    <x v="5"/>
    <n v="4.1999999999999997E-3"/>
    <s v="P"/>
    <s v="P"/>
    <s v="P"/>
    <s v="-"/>
    <s v="+"/>
    <n v="11.03"/>
    <s v="-"/>
    <s v="-"/>
    <s v="-"/>
    <s v="-"/>
    <s v="-"/>
    <s v="-"/>
    <s v="-"/>
    <s v="-"/>
    <s v="P"/>
    <s v="P"/>
    <s v="-"/>
    <n v="2"/>
    <n v="1"/>
    <n v="2"/>
    <n v="1"/>
    <s v="-"/>
    <s v="-"/>
    <s v="-"/>
    <s v="-"/>
    <s v="-"/>
    <s v="-"/>
    <s v="-"/>
    <n v="6"/>
    <n v="6"/>
    <s v="-"/>
    <n v="1"/>
    <n v="1"/>
    <n v="2"/>
    <n v="2"/>
    <n v="8"/>
    <n v="8"/>
  </r>
  <r>
    <x v="0"/>
    <x v="2"/>
    <d v="2026-12-22T00:00:00"/>
    <s v="2ND"/>
    <d v="1899-12-30T16:00:00"/>
    <n v="2"/>
    <x v="5"/>
    <n v="3.5000000000000001E-3"/>
    <s v="P"/>
    <s v="P"/>
    <s v="P"/>
    <s v="-"/>
    <s v="+"/>
    <n v="11.03"/>
    <s v="-"/>
    <s v="-"/>
    <s v="-"/>
    <s v="-"/>
    <s v="-"/>
    <s v="-"/>
    <s v="-"/>
    <s v="-"/>
    <s v="P"/>
    <s v="P"/>
    <s v="-"/>
    <n v="2"/>
    <n v="1"/>
    <n v="2"/>
    <n v="1"/>
    <s v="-"/>
    <s v="-"/>
    <s v="-"/>
    <s v="-"/>
    <s v="-"/>
    <s v="-"/>
    <s v="-"/>
    <n v="6"/>
    <n v="6"/>
    <s v="-"/>
    <n v="1"/>
    <n v="1"/>
    <n v="2"/>
    <n v="2"/>
    <n v="8"/>
    <n v="8"/>
  </r>
  <r>
    <x v="0"/>
    <x v="2"/>
    <d v="2026-12-22T00:00:00"/>
    <s v="2ND"/>
    <d v="1899-12-30T17:00:00"/>
    <n v="2"/>
    <x v="5"/>
    <n v="3.8E-3"/>
    <s v="P"/>
    <s v="P"/>
    <s v="P"/>
    <s v="-"/>
    <s v="+"/>
    <n v="11.25"/>
    <s v="-"/>
    <s v="-"/>
    <s v="-"/>
    <s v="-"/>
    <s v="-"/>
    <s v="-"/>
    <s v="-"/>
    <s v="-"/>
    <s v="P"/>
    <s v="P"/>
    <s v="-"/>
    <n v="2"/>
    <n v="1"/>
    <n v="2"/>
    <n v="1"/>
    <s v="-"/>
    <s v="-"/>
    <s v="-"/>
    <s v="-"/>
    <s v="-"/>
    <s v="-"/>
    <s v="-"/>
    <n v="6"/>
    <n v="6"/>
    <s v="-"/>
    <n v="1"/>
    <n v="1"/>
    <n v="2"/>
    <n v="2"/>
    <n v="8"/>
    <n v="8"/>
  </r>
  <r>
    <x v="0"/>
    <x v="2"/>
    <d v="2026-12-22T00:00:00"/>
    <s v="2ND"/>
    <d v="1899-12-30T18:00:00"/>
    <n v="2"/>
    <x v="5"/>
    <n v="1E-3"/>
    <s v="P"/>
    <s v="P"/>
    <s v="P"/>
    <s v="-"/>
    <s v="+"/>
    <n v="11.34"/>
    <s v="-"/>
    <s v="-"/>
    <s v="-"/>
    <s v="-"/>
    <s v="-"/>
    <s v="-"/>
    <s v="-"/>
    <s v="-"/>
    <s v="P"/>
    <s v="P"/>
    <s v="-"/>
    <n v="2"/>
    <n v="1"/>
    <n v="2"/>
    <n v="1"/>
    <s v="-"/>
    <s v="-"/>
    <s v="-"/>
    <s v="-"/>
    <s v="-"/>
    <s v="-"/>
    <s v="-"/>
    <n v="6"/>
    <n v="6"/>
    <s v="-"/>
    <n v="1"/>
    <n v="1"/>
    <n v="2"/>
    <n v="2"/>
    <n v="8"/>
    <n v="8"/>
  </r>
  <r>
    <x v="0"/>
    <x v="2"/>
    <d v="2026-01-05T00:00:00"/>
    <s v="2ND"/>
    <d v="1899-12-30T14:00:00"/>
    <s v="Retail"/>
    <x v="9"/>
    <s v="-"/>
    <s v="-"/>
    <s v="-"/>
    <s v="-"/>
    <s v="-"/>
    <s v="-"/>
    <n v="10.08"/>
    <s v="-"/>
    <n v="4.66"/>
    <s v="-"/>
    <s v="-"/>
    <s v="-"/>
    <s v="-"/>
    <s v="-"/>
    <s v="-"/>
    <s v="-"/>
    <s v="-"/>
    <s v="-"/>
    <s v="-"/>
    <s v="-"/>
    <s v="-"/>
    <n v="1"/>
    <s v="-"/>
    <n v="2"/>
    <s v="-"/>
    <s v="-"/>
    <s v="-"/>
    <s v="-"/>
    <s v="-"/>
    <n v="3"/>
    <n v="3"/>
    <s v="-"/>
    <s v="-"/>
    <s v="-"/>
    <n v="0"/>
    <n v="0"/>
    <n v="3"/>
    <n v="3"/>
  </r>
  <r>
    <x v="0"/>
    <x v="2"/>
    <d v="2026-01-05T00:00:00"/>
    <s v="2ND"/>
    <d v="1899-12-30T15:00:00"/>
    <s v="Retail"/>
    <x v="9"/>
    <s v="-"/>
    <s v="-"/>
    <s v="-"/>
    <s v="-"/>
    <s v="-"/>
    <s v="-"/>
    <n v="11.56"/>
    <s v="-"/>
    <n v="4.38"/>
    <s v="-"/>
    <s v="-"/>
    <s v="-"/>
    <s v="-"/>
    <s v="-"/>
    <s v="-"/>
    <s v="-"/>
    <s v="-"/>
    <s v="-"/>
    <s v="-"/>
    <s v="-"/>
    <s v="-"/>
    <n v="1"/>
    <s v="-"/>
    <n v="2"/>
    <s v="-"/>
    <s v="-"/>
    <s v="-"/>
    <s v="-"/>
    <s v="-"/>
    <n v="3"/>
    <n v="3"/>
    <s v="-"/>
    <s v="-"/>
    <s v="-"/>
    <n v="0"/>
    <n v="0"/>
    <n v="3"/>
    <n v="3"/>
  </r>
  <r>
    <x v="0"/>
    <x v="3"/>
    <d v="2026-01-05T00:00:00"/>
    <s v="3RD"/>
    <d v="1899-12-31T02:00:00"/>
    <n v="3"/>
    <x v="10"/>
    <n v="4.1000000000000003E-3"/>
    <s v="P"/>
    <s v="P"/>
    <s v="P"/>
    <s v="+"/>
    <s v="+"/>
    <n v="12.19"/>
    <n v="11.71"/>
    <n v="0.34"/>
    <n v="63"/>
    <n v="13.2"/>
    <n v="963"/>
    <n v="32.6"/>
    <s v="-"/>
    <s v="-"/>
    <s v="P"/>
    <s v="P"/>
    <s v="-"/>
    <n v="2"/>
    <n v="1"/>
    <n v="2"/>
    <n v="1"/>
    <n v="1"/>
    <n v="2"/>
    <n v="2"/>
    <n v="1"/>
    <n v="0"/>
    <n v="2"/>
    <s v="-"/>
    <n v="14"/>
    <n v="15"/>
    <s v="-"/>
    <n v="1"/>
    <n v="1"/>
    <n v="2"/>
    <n v="2"/>
    <n v="16"/>
    <n v="17"/>
  </r>
  <r>
    <x v="0"/>
    <x v="3"/>
    <d v="2026-01-05T00:00:00"/>
    <s v="3RD"/>
    <d v="1899-12-31T03:00:00"/>
    <n v="3"/>
    <x v="10"/>
    <n v="4.7999999999999996E-3"/>
    <s v="P"/>
    <s v="P"/>
    <s v="P"/>
    <s v="+"/>
    <s v="+"/>
    <n v="11.97"/>
    <s v="-"/>
    <s v="-"/>
    <n v="62.6"/>
    <s v="-"/>
    <s v="-"/>
    <s v="-"/>
    <s v="-"/>
    <s v="-"/>
    <s v="P"/>
    <s v="P"/>
    <s v="-"/>
    <n v="2"/>
    <n v="1"/>
    <n v="2"/>
    <n v="0"/>
    <s v="-"/>
    <s v="-"/>
    <n v="0"/>
    <s v="-"/>
    <s v="-"/>
    <s v="-"/>
    <s v="-"/>
    <n v="5"/>
    <n v="8"/>
    <s v="-"/>
    <n v="1"/>
    <n v="1"/>
    <n v="2"/>
    <n v="2"/>
    <n v="7"/>
    <n v="10"/>
  </r>
  <r>
    <x v="0"/>
    <x v="3"/>
    <d v="2026-01-05T00:00:00"/>
    <s v="3RD"/>
    <d v="1899-12-31T04:00:00"/>
    <n v="3"/>
    <x v="10"/>
    <n v="2.8999999999999998E-3"/>
    <s v="P"/>
    <s v="P"/>
    <s v="P"/>
    <s v="+"/>
    <s v="+"/>
    <n v="13.05"/>
    <s v="-"/>
    <s v="-"/>
    <s v="-"/>
    <s v="-"/>
    <s v="-"/>
    <s v="-"/>
    <s v="-"/>
    <s v="-"/>
    <s v="P"/>
    <s v="P"/>
    <s v="-"/>
    <n v="2"/>
    <n v="1"/>
    <n v="2"/>
    <n v="1"/>
    <s v="-"/>
    <s v="-"/>
    <s v="-"/>
    <s v="-"/>
    <s v="-"/>
    <s v="-"/>
    <s v="-"/>
    <n v="6"/>
    <n v="6"/>
    <s v="-"/>
    <n v="1"/>
    <n v="1"/>
    <n v="2"/>
    <n v="2"/>
    <n v="8"/>
    <n v="8"/>
  </r>
  <r>
    <x v="0"/>
    <x v="3"/>
    <d v="2026-01-05T00:00:00"/>
    <s v="2ND"/>
    <d v="1899-12-30T16:00:00"/>
    <n v="3"/>
    <x v="11"/>
    <n v="1.6400000000000001E-2"/>
    <s v="P"/>
    <s v="P"/>
    <s v="P"/>
    <s v="+"/>
    <s v="+"/>
    <n v="12.38"/>
    <n v="13.01"/>
    <n v="0.52"/>
    <n v="65"/>
    <n v="13.8"/>
    <n v="807"/>
    <n v="36.5"/>
    <s v="-"/>
    <s v="-"/>
    <s v="P"/>
    <s v="P"/>
    <s v="-"/>
    <n v="2"/>
    <n v="1"/>
    <n v="2"/>
    <n v="1"/>
    <n v="1"/>
    <n v="2"/>
    <n v="2"/>
    <n v="1"/>
    <n v="1"/>
    <n v="2"/>
    <s v="-"/>
    <n v="15"/>
    <n v="15"/>
    <s v="-"/>
    <n v="1"/>
    <n v="1"/>
    <n v="2"/>
    <n v="2"/>
    <n v="17"/>
    <n v="17"/>
  </r>
  <r>
    <x v="0"/>
    <x v="3"/>
    <d v="2026-01-04T00:00:00"/>
    <s v="1ST"/>
    <s v="09:00"/>
    <n v="2"/>
    <x v="12"/>
    <n v="3.0000000000000001E-3"/>
    <s v="P"/>
    <s v="P"/>
    <s v="P"/>
    <s v="+"/>
    <s v="+"/>
    <n v="13.09"/>
    <n v="12.97"/>
    <n v="0.46"/>
    <n v="64.900000000000006"/>
    <n v="12.5"/>
    <n v="547"/>
    <n v="36.299999999999997"/>
    <s v="-"/>
    <s v="-"/>
    <s v="P"/>
    <s v="P"/>
    <s v="-"/>
    <n v="2"/>
    <n v="1"/>
    <n v="2"/>
    <n v="1"/>
    <s v="-"/>
    <n v="2"/>
    <n v="2"/>
    <s v="-"/>
    <s v="-"/>
    <n v="2"/>
    <s v="-"/>
    <n v="12"/>
    <n v="12"/>
    <s v="-"/>
    <n v="1"/>
    <n v="1"/>
    <n v="2"/>
    <n v="2"/>
    <n v="14"/>
    <n v="14"/>
  </r>
  <r>
    <x v="0"/>
    <x v="3"/>
    <d v="2026-01-04T00:00:00"/>
    <s v="1ST"/>
    <s v="10:00"/>
    <n v="2"/>
    <x v="12"/>
    <n v="3.0999999999999999E-3"/>
    <s v="P"/>
    <s v="P"/>
    <s v="P"/>
    <s v="+"/>
    <s v="+"/>
    <n v="13.1"/>
    <s v="-"/>
    <s v="-"/>
    <s v="-"/>
    <s v="-"/>
    <s v="-"/>
    <s v="-"/>
    <s v="-"/>
    <s v="-"/>
    <s v="P"/>
    <s v="P"/>
    <s v="-"/>
    <n v="2"/>
    <n v="1"/>
    <n v="2"/>
    <n v="1"/>
    <s v="-"/>
    <s v="-"/>
    <s v="-"/>
    <s v="-"/>
    <s v="-"/>
    <s v="-"/>
    <s v="-"/>
    <n v="6"/>
    <n v="6"/>
    <s v="-"/>
    <n v="1"/>
    <n v="1"/>
    <n v="2"/>
    <n v="2"/>
    <n v="8"/>
    <n v="8"/>
  </r>
  <r>
    <x v="0"/>
    <x v="3"/>
    <d v="2026-01-04T00:00:00"/>
    <s v="1ST"/>
    <s v="11:00"/>
    <n v="2"/>
    <x v="12"/>
    <n v="2.8E-3"/>
    <s v="P"/>
    <s v="P"/>
    <s v="P"/>
    <s v="+"/>
    <s v="+"/>
    <n v="12.19"/>
    <s v="-"/>
    <s v="-"/>
    <s v="-"/>
    <s v="-"/>
    <s v="-"/>
    <s v="-"/>
    <s v="-"/>
    <s v="-"/>
    <s v="P"/>
    <s v="P"/>
    <s v="-"/>
    <n v="2"/>
    <n v="1"/>
    <n v="2"/>
    <n v="1"/>
    <s v="-"/>
    <s v="-"/>
    <s v="-"/>
    <s v="-"/>
    <s v="-"/>
    <s v="-"/>
    <s v="-"/>
    <n v="6"/>
    <n v="6"/>
    <s v="-"/>
    <n v="1"/>
    <n v="1"/>
    <n v="2"/>
    <n v="2"/>
    <n v="8"/>
    <n v="8"/>
  </r>
  <r>
    <x v="0"/>
    <x v="3"/>
    <d v="2026-01-04T00:00:00"/>
    <s v="1ST"/>
    <s v="12:00"/>
    <n v="2"/>
    <x v="12"/>
    <n v="3.3E-3"/>
    <s v="P"/>
    <s v="P"/>
    <s v="P"/>
    <s v="+"/>
    <s v="+"/>
    <n v="12.58"/>
    <s v="-"/>
    <s v="-"/>
    <s v="-"/>
    <s v="-"/>
    <s v="-"/>
    <s v="-"/>
    <s v="-"/>
    <s v="-"/>
    <s v="P"/>
    <s v="P"/>
    <s v="-"/>
    <n v="2"/>
    <n v="1"/>
    <n v="2"/>
    <n v="1"/>
    <s v="-"/>
    <s v="-"/>
    <s v="-"/>
    <s v="-"/>
    <s v="-"/>
    <s v="-"/>
    <s v="-"/>
    <n v="6"/>
    <n v="6"/>
    <s v="-"/>
    <n v="1"/>
    <n v="1"/>
    <n v="2"/>
    <n v="2"/>
    <n v="8"/>
    <n v="8"/>
  </r>
  <r>
    <x v="0"/>
    <x v="3"/>
    <d v="2026-01-04T00:00:00"/>
    <s v="2ND"/>
    <d v="1899-12-30T14:00:00"/>
    <n v="2"/>
    <x v="12"/>
    <n v="7.1999999999999998E-3"/>
    <s v="P"/>
    <s v="P"/>
    <s v="P"/>
    <s v="+"/>
    <s v="+"/>
    <n v="12.71"/>
    <n v="13.05"/>
    <n v="0.46"/>
    <n v="64.900000000000006"/>
    <s v="-"/>
    <s v="-"/>
    <n v="36.5"/>
    <s v="-"/>
    <s v="-"/>
    <s v="P"/>
    <s v="P"/>
    <s v="-"/>
    <n v="2"/>
    <n v="1"/>
    <n v="2"/>
    <n v="1"/>
    <s v="-"/>
    <n v="2"/>
    <n v="2"/>
    <s v="-"/>
    <s v="-"/>
    <n v="2"/>
    <s v="-"/>
    <n v="12"/>
    <n v="12"/>
    <s v="-"/>
    <n v="1"/>
    <n v="1"/>
    <n v="2"/>
    <n v="2"/>
    <n v="14"/>
    <n v="14"/>
  </r>
  <r>
    <x v="0"/>
    <x v="3"/>
    <d v="2026-01-04T00:00:00"/>
    <s v="2ND"/>
    <d v="1899-12-30T15:00:00"/>
    <n v="2"/>
    <x v="12"/>
    <n v="7.4999999999999997E-3"/>
    <s v="P"/>
    <s v="P"/>
    <s v="P"/>
    <s v="+"/>
    <s v="+"/>
    <n v="12.74"/>
    <s v="-"/>
    <s v="-"/>
    <s v="-"/>
    <s v="-"/>
    <s v="-"/>
    <s v="-"/>
    <s v="-"/>
    <s v="-"/>
    <s v="P"/>
    <s v="P"/>
    <s v="-"/>
    <n v="2"/>
    <n v="1"/>
    <n v="2"/>
    <n v="1"/>
    <s v="-"/>
    <s v="-"/>
    <s v="-"/>
    <s v="-"/>
    <s v="-"/>
    <s v="-"/>
    <s v="-"/>
    <n v="6"/>
    <n v="6"/>
    <s v="-"/>
    <n v="1"/>
    <n v="1"/>
    <n v="2"/>
    <n v="2"/>
    <n v="8"/>
    <n v="8"/>
  </r>
  <r>
    <x v="0"/>
    <x v="3"/>
    <d v="2026-01-04T00:00:00"/>
    <s v="2ND"/>
    <d v="1899-12-30T16:00:00"/>
    <n v="2"/>
    <x v="12"/>
    <n v="1.0200000000000001E-2"/>
    <s v="P"/>
    <s v="P"/>
    <s v="P"/>
    <s v="+"/>
    <s v="+"/>
    <n v="12.85"/>
    <s v="-"/>
    <s v="-"/>
    <s v="-"/>
    <s v="-"/>
    <s v="-"/>
    <s v="-"/>
    <s v="-"/>
    <s v="-"/>
    <s v="P"/>
    <s v="P"/>
    <s v="-"/>
    <n v="2"/>
    <n v="1"/>
    <n v="2"/>
    <n v="1"/>
    <s v="-"/>
    <s v="-"/>
    <s v="-"/>
    <s v="-"/>
    <s v="-"/>
    <s v="-"/>
    <s v="-"/>
    <n v="6"/>
    <n v="6"/>
    <s v="-"/>
    <n v="1"/>
    <n v="1"/>
    <n v="2"/>
    <n v="2"/>
    <n v="8"/>
    <n v="8"/>
  </r>
  <r>
    <x v="0"/>
    <x v="3"/>
    <d v="2026-01-03T00:00:00"/>
    <s v="1ST"/>
    <s v="07:00"/>
    <n v="3"/>
    <x v="8"/>
    <n v="5.1999999999999998E-3"/>
    <s v="P"/>
    <s v="P"/>
    <s v="P"/>
    <s v="+"/>
    <s v="+"/>
    <n v="12.82"/>
    <n v="12.91"/>
    <n v="0.47"/>
    <n v="63.3"/>
    <s v="-"/>
    <s v="-"/>
    <n v="36"/>
    <s v="-"/>
    <s v="-"/>
    <s v="P"/>
    <s v="P"/>
    <s v="-"/>
    <n v="2"/>
    <n v="1"/>
    <n v="2"/>
    <n v="1"/>
    <n v="1"/>
    <n v="2"/>
    <n v="0"/>
    <s v="-"/>
    <s v="-"/>
    <s v="-"/>
    <s v="-"/>
    <n v="9"/>
    <n v="11"/>
    <s v="-"/>
    <n v="1"/>
    <n v="1"/>
    <n v="2"/>
    <n v="2"/>
    <n v="11"/>
    <n v="13"/>
  </r>
  <r>
    <x v="0"/>
    <x v="3"/>
    <d v="2026-01-03T00:00:00"/>
    <s v="1ST"/>
    <s v="08:00"/>
    <n v="3"/>
    <x v="8"/>
    <n v="4.7999999999999996E-3"/>
    <s v="P"/>
    <s v="P"/>
    <s v="P"/>
    <s v="+"/>
    <s v="+"/>
    <n v="13.57"/>
    <s v="-"/>
    <s v="-"/>
    <s v="-"/>
    <s v="-"/>
    <s v="-"/>
    <s v="-"/>
    <s v="-"/>
    <s v="-"/>
    <s v="P"/>
    <s v="P"/>
    <s v="-"/>
    <n v="2"/>
    <n v="1"/>
    <n v="2"/>
    <n v="0"/>
    <s v="-"/>
    <s v="-"/>
    <s v="-"/>
    <s v="-"/>
    <s v="-"/>
    <s v="-"/>
    <s v="-"/>
    <n v="5"/>
    <n v="6"/>
    <s v="-"/>
    <n v="1"/>
    <n v="1"/>
    <n v="2"/>
    <n v="2"/>
    <n v="7"/>
    <n v="8"/>
  </r>
  <r>
    <x v="0"/>
    <x v="3"/>
    <d v="2026-01-03T00:00:00"/>
    <s v="1ST"/>
    <s v="09:00"/>
    <n v="3"/>
    <x v="8"/>
    <n v="5.8999999999999999E-3"/>
    <s v="P"/>
    <s v="P"/>
    <s v="P"/>
    <s v="+"/>
    <s v="+"/>
    <n v="13.35"/>
    <s v="-"/>
    <s v="-"/>
    <s v="-"/>
    <s v="-"/>
    <s v="-"/>
    <s v="-"/>
    <s v="-"/>
    <s v="-"/>
    <s v="P"/>
    <s v="P"/>
    <s v="-"/>
    <n v="2"/>
    <n v="1"/>
    <n v="2"/>
    <n v="1"/>
    <s v="-"/>
    <s v="-"/>
    <s v="-"/>
    <s v="-"/>
    <s v="-"/>
    <s v="-"/>
    <s v="-"/>
    <n v="6"/>
    <n v="6"/>
    <s v="-"/>
    <n v="1"/>
    <n v="1"/>
    <n v="2"/>
    <n v="2"/>
    <n v="8"/>
    <n v="8"/>
  </r>
  <r>
    <x v="0"/>
    <x v="3"/>
    <d v="2026-01-03T00:00:00"/>
    <s v="1ST"/>
    <s v="10:00"/>
    <n v="3"/>
    <x v="8"/>
    <n v="4.4999999999999997E-3"/>
    <s v="P"/>
    <s v="P"/>
    <s v="P"/>
    <s v="+"/>
    <s v="+"/>
    <n v="13.34"/>
    <s v="-"/>
    <s v="-"/>
    <s v="-"/>
    <s v="-"/>
    <s v="-"/>
    <s v="-"/>
    <s v="-"/>
    <s v="-"/>
    <s v="P"/>
    <s v="P"/>
    <s v="-"/>
    <n v="2"/>
    <n v="1"/>
    <n v="2"/>
    <n v="1"/>
    <s v="-"/>
    <s v="-"/>
    <s v="-"/>
    <s v="-"/>
    <s v="-"/>
    <s v="-"/>
    <s v="-"/>
    <n v="6"/>
    <n v="6"/>
    <s v="-"/>
    <n v="1"/>
    <n v="1"/>
    <n v="2"/>
    <n v="2"/>
    <n v="8"/>
    <n v="8"/>
  </r>
  <r>
    <x v="0"/>
    <x v="3"/>
    <d v="2026-01-03T00:00:00"/>
    <s v="1ST"/>
    <s v="11:00"/>
    <n v="3"/>
    <x v="8"/>
    <n v="5.0000000000000001E-3"/>
    <s v="P"/>
    <s v="P"/>
    <s v="P"/>
    <s v="+"/>
    <s v="+"/>
    <s v="-"/>
    <s v="-"/>
    <s v="-"/>
    <s v="-"/>
    <s v="-"/>
    <s v="-"/>
    <s v="-"/>
    <s v="-"/>
    <s v="-"/>
    <s v="P"/>
    <s v="P"/>
    <s v="-"/>
    <n v="2"/>
    <n v="1"/>
    <n v="2"/>
    <s v="-"/>
    <s v="-"/>
    <s v="-"/>
    <s v="-"/>
    <s v="-"/>
    <s v="-"/>
    <s v="-"/>
    <s v="-"/>
    <n v="5"/>
    <n v="5"/>
    <s v="-"/>
    <n v="1"/>
    <n v="1"/>
    <n v="2"/>
    <n v="2"/>
    <n v="7"/>
    <n v="7"/>
  </r>
  <r>
    <x v="0"/>
    <x v="3"/>
    <d v="2026-01-03T00:00:00"/>
    <s v="1ST"/>
    <s v="13:00"/>
    <n v="3"/>
    <x v="8"/>
    <n v="3.3E-3"/>
    <s v="P"/>
    <s v="P"/>
    <s v="P"/>
    <s v="+"/>
    <s v="+"/>
    <n v="13.25"/>
    <s v="-"/>
    <s v="-"/>
    <s v="-"/>
    <s v="-"/>
    <s v="-"/>
    <s v="-"/>
    <s v="-"/>
    <s v="-"/>
    <s v="P"/>
    <s v="P"/>
    <s v="-"/>
    <n v="2"/>
    <n v="1"/>
    <n v="2"/>
    <n v="1"/>
    <s v="-"/>
    <s v="-"/>
    <s v="-"/>
    <s v="-"/>
    <s v="-"/>
    <s v="-"/>
    <s v="-"/>
    <n v="6"/>
    <n v="6"/>
    <s v="-"/>
    <n v="1"/>
    <n v="1"/>
    <n v="2"/>
    <n v="2"/>
    <n v="8"/>
    <n v="8"/>
  </r>
  <r>
    <x v="0"/>
    <x v="3"/>
    <d v="2026-01-03T00:00:00"/>
    <s v="2ND"/>
    <d v="1899-12-30T14:00:00"/>
    <n v="3"/>
    <x v="8"/>
    <n v="5.8999999999999999E-3"/>
    <s v="P"/>
    <s v="P"/>
    <s v="P"/>
    <s v="+"/>
    <s v="+"/>
    <n v="13.34"/>
    <n v="13.09"/>
    <n v="0.51"/>
    <s v="-"/>
    <s v="-"/>
    <s v="-"/>
    <n v="36.5"/>
    <s v="-"/>
    <s v="-"/>
    <s v="P"/>
    <s v="P"/>
    <s v="-"/>
    <n v="2"/>
    <n v="1"/>
    <n v="2"/>
    <n v="1"/>
    <n v="1"/>
    <n v="2"/>
    <s v="-"/>
    <s v="-"/>
    <s v="-"/>
    <s v="-"/>
    <s v="-"/>
    <n v="9"/>
    <n v="9"/>
    <s v="-"/>
    <n v="1"/>
    <n v="1"/>
    <n v="2"/>
    <n v="2"/>
    <n v="11"/>
    <n v="11"/>
  </r>
  <r>
    <x v="0"/>
    <x v="3"/>
    <d v="2025-12-16T00:00:00"/>
    <s v="2ND"/>
    <d v="1899-12-30T18:00:00"/>
    <n v="3"/>
    <x v="0"/>
    <n v="1.3299999999999999E-2"/>
    <s v="P"/>
    <s v="P"/>
    <s v="P"/>
    <s v="+"/>
    <s v="+"/>
    <n v="12.42"/>
    <n v="12.82"/>
    <n v="0.48"/>
    <n v="63.9"/>
    <s v="-"/>
    <s v="-"/>
    <n v="35.9"/>
    <s v="-"/>
    <s v="-"/>
    <s v="P"/>
    <s v="P"/>
    <s v="-"/>
    <n v="2"/>
    <n v="1"/>
    <n v="2"/>
    <n v="1"/>
    <n v="1"/>
    <n v="2"/>
    <n v="0"/>
    <s v="-"/>
    <s v="-"/>
    <n v="2"/>
    <s v="-"/>
    <n v="11"/>
    <n v="13"/>
    <s v="-"/>
    <n v="1"/>
    <n v="1"/>
    <n v="2"/>
    <n v="2"/>
    <n v="13"/>
    <n v="15"/>
  </r>
  <r>
    <x v="0"/>
    <x v="3"/>
    <d v="2025-12-16T00:00:00"/>
    <s v="2ND"/>
    <d v="1899-12-30T20:00:00"/>
    <n v="3"/>
    <x v="0"/>
    <n v="7.1999999999999998E-3"/>
    <s v="P"/>
    <s v="P"/>
    <s v="P"/>
    <s v="+"/>
    <s v="+"/>
    <n v="12.17"/>
    <s v="-"/>
    <s v="-"/>
    <s v="-"/>
    <s v="-"/>
    <s v="-"/>
    <s v="-"/>
    <s v="-"/>
    <s v="-"/>
    <s v="P"/>
    <s v="P"/>
    <s v="-"/>
    <n v="2"/>
    <n v="1"/>
    <n v="2"/>
    <n v="1"/>
    <s v="-"/>
    <s v="-"/>
    <s v="-"/>
    <s v="-"/>
    <s v="-"/>
    <s v="-"/>
    <s v="-"/>
    <n v="6"/>
    <n v="6"/>
    <s v="-"/>
    <n v="1"/>
    <n v="1"/>
    <n v="2"/>
    <n v="2"/>
    <n v="8"/>
    <n v="8"/>
  </r>
  <r>
    <x v="0"/>
    <x v="3"/>
    <d v="2025-12-16T00:00:00"/>
    <s v="2ND"/>
    <d v="1899-12-30T21:00:00"/>
    <n v="3"/>
    <x v="1"/>
    <n v="6.1000000000000004E-3"/>
    <s v="P"/>
    <s v="P"/>
    <s v="P"/>
    <s v="+"/>
    <s v="+"/>
    <n v="11.95"/>
    <s v="-"/>
    <s v="-"/>
    <s v="-"/>
    <s v="-"/>
    <s v="-"/>
    <s v="-"/>
    <s v="-"/>
    <s v="-"/>
    <s v="P"/>
    <s v="P"/>
    <s v="-"/>
    <n v="2"/>
    <n v="1"/>
    <n v="2"/>
    <n v="0"/>
    <s v="-"/>
    <s v="-"/>
    <s v="-"/>
    <s v="-"/>
    <s v="-"/>
    <s v="-"/>
    <s v="-"/>
    <n v="5"/>
    <n v="6"/>
    <s v="-"/>
    <n v="1"/>
    <n v="1"/>
    <n v="2"/>
    <n v="2"/>
    <n v="7"/>
    <n v="8"/>
  </r>
  <r>
    <x v="0"/>
    <x v="3"/>
    <d v="2026-12-16T00:00:00"/>
    <s v="3RD"/>
    <d v="1899-12-30T22:00:00"/>
    <n v="3"/>
    <x v="1"/>
    <n v="7.4999999999999997E-3"/>
    <s v="P"/>
    <s v="P"/>
    <s v="P"/>
    <s v="+"/>
    <s v="+"/>
    <n v="11.78"/>
    <s v="-"/>
    <s v="-"/>
    <s v="-"/>
    <s v="-"/>
    <s v="-"/>
    <s v="-"/>
    <s v="-"/>
    <s v="-"/>
    <s v="P"/>
    <s v="P"/>
    <s v="-"/>
    <n v="2"/>
    <n v="1"/>
    <n v="2"/>
    <n v="0"/>
    <s v="-"/>
    <s v="-"/>
    <s v="-"/>
    <s v="-"/>
    <s v="-"/>
    <s v="-"/>
    <s v="-"/>
    <n v="5"/>
    <n v="6"/>
    <s v="-"/>
    <n v="1"/>
    <n v="1"/>
    <n v="2"/>
    <n v="2"/>
    <n v="7"/>
    <n v="8"/>
  </r>
  <r>
    <x v="0"/>
    <x v="3"/>
    <d v="2026-12-16T00:00:00"/>
    <s v="3RD"/>
    <d v="1899-12-30T23:00:00"/>
    <n v="3"/>
    <x v="1"/>
    <n v="8.0999999999999996E-3"/>
    <s v="P"/>
    <s v="P"/>
    <s v="P"/>
    <s v="+"/>
    <s v="+"/>
    <n v="12.02"/>
    <s v="-"/>
    <s v="-"/>
    <s v="-"/>
    <s v="-"/>
    <s v="-"/>
    <s v="-"/>
    <s v="-"/>
    <s v="-"/>
    <s v="P"/>
    <s v="P"/>
    <s v="-"/>
    <n v="2"/>
    <n v="1"/>
    <n v="2"/>
    <n v="1"/>
    <s v="-"/>
    <s v="-"/>
    <s v="-"/>
    <s v="-"/>
    <s v="-"/>
    <s v="-"/>
    <s v="-"/>
    <n v="6"/>
    <n v="6"/>
    <s v="-"/>
    <n v="1"/>
    <n v="1"/>
    <n v="2"/>
    <n v="2"/>
    <n v="8"/>
    <n v="8"/>
  </r>
  <r>
    <x v="0"/>
    <x v="3"/>
    <d v="2026-12-16T00:00:00"/>
    <s v="3RD"/>
    <d v="1899-12-31T00:00:00"/>
    <n v="3"/>
    <x v="1"/>
    <n v="6.7000000000000002E-3"/>
    <s v="P"/>
    <s v="P"/>
    <s v="P"/>
    <s v="+"/>
    <s v="+"/>
    <n v="12.78"/>
    <s v="-"/>
    <s v="-"/>
    <s v="-"/>
    <s v="-"/>
    <s v="-"/>
    <s v="-"/>
    <s v="-"/>
    <s v="-"/>
    <s v="P"/>
    <s v="P"/>
    <s v="-"/>
    <n v="2"/>
    <n v="1"/>
    <n v="2"/>
    <n v="1"/>
    <s v="-"/>
    <s v="-"/>
    <s v="-"/>
    <s v="-"/>
    <s v="-"/>
    <s v="-"/>
    <s v="-"/>
    <n v="6"/>
    <n v="6"/>
    <s v="-"/>
    <n v="1"/>
    <n v="1"/>
    <n v="2"/>
    <n v="2"/>
    <n v="8"/>
    <n v="8"/>
  </r>
  <r>
    <x v="0"/>
    <x v="3"/>
    <d v="1899-12-30T00:00:00"/>
    <s v="2ND"/>
    <d v="1899-12-30T14:00:00"/>
    <s v="Retail"/>
    <x v="13"/>
    <s v="-"/>
    <s v="-"/>
    <s v="-"/>
    <s v="-"/>
    <s v="-"/>
    <s v="-"/>
    <n v="11.12"/>
    <s v="-"/>
    <n v="4.62"/>
    <s v="-"/>
    <s v="-"/>
    <s v="-"/>
    <s v="-"/>
    <s v="-"/>
    <s v="-"/>
    <s v="-"/>
    <s v="-"/>
    <s v="-"/>
    <s v="-"/>
    <s v="-"/>
    <s v="-"/>
    <n v="1"/>
    <s v="-"/>
    <n v="2"/>
    <s v="-"/>
    <s v="-"/>
    <s v="-"/>
    <s v="-"/>
    <s v="-"/>
    <n v="3"/>
    <n v="3"/>
    <s v="-"/>
    <s v="-"/>
    <s v="-"/>
    <n v="0"/>
    <n v="0"/>
    <n v="3"/>
    <n v="3"/>
  </r>
  <r>
    <x v="0"/>
    <x v="3"/>
    <d v="2026-01-06T00:00:00"/>
    <s v="3RD"/>
    <d v="1899-12-31T02:00:00"/>
    <n v="2"/>
    <x v="14"/>
    <n v="3.5000000000000001E-3"/>
    <s v="P"/>
    <s v="P"/>
    <s v="P"/>
    <s v="-"/>
    <s v="+"/>
    <n v="11.54"/>
    <n v="8.61"/>
    <n v="0.49"/>
    <n v="57.8"/>
    <s v="-"/>
    <s v="-"/>
    <n v="23.29"/>
    <s v="-"/>
    <s v="-"/>
    <s v="P"/>
    <s v="P"/>
    <s v="-"/>
    <n v="2"/>
    <n v="1"/>
    <n v="2"/>
    <n v="1"/>
    <n v="1"/>
    <n v="2"/>
    <n v="2"/>
    <s v="-"/>
    <s v="-"/>
    <n v="2"/>
    <s v="-"/>
    <n v="13"/>
    <n v="13"/>
    <s v="-"/>
    <n v="1"/>
    <n v="1"/>
    <n v="2"/>
    <n v="2"/>
    <n v="15"/>
    <n v="15"/>
  </r>
  <r>
    <x v="0"/>
    <x v="3"/>
    <d v="2026-01-06T00:00:00"/>
    <s v="3RD"/>
    <d v="1899-12-31T03:00:00"/>
    <n v="2"/>
    <x v="14"/>
    <n v="3.3E-3"/>
    <s v="P"/>
    <s v="P"/>
    <s v="P"/>
    <s v="-"/>
    <s v="+"/>
    <n v="11.07"/>
    <s v="-"/>
    <s v="-"/>
    <s v="-"/>
    <s v="-"/>
    <s v="-"/>
    <s v="-"/>
    <s v="-"/>
    <s v="-"/>
    <s v="P"/>
    <s v="P"/>
    <s v="-"/>
    <n v="2"/>
    <n v="1"/>
    <n v="2"/>
    <n v="1"/>
    <s v="-"/>
    <s v="-"/>
    <s v="-"/>
    <s v="-"/>
    <s v="-"/>
    <s v="-"/>
    <s v="-"/>
    <n v="6"/>
    <n v="6"/>
    <s v="-"/>
    <n v="1"/>
    <n v="1"/>
    <n v="2"/>
    <n v="2"/>
    <n v="8"/>
    <n v="8"/>
  </r>
  <r>
    <x v="0"/>
    <x v="3"/>
    <d v="2026-01-06T00:00:00"/>
    <s v="3RD"/>
    <d v="1899-12-31T04:00:00"/>
    <n v="2"/>
    <x v="14"/>
    <n v="4.1999999999999997E-3"/>
    <s v="P"/>
    <s v="P"/>
    <s v="P"/>
    <s v="-"/>
    <s v="+"/>
    <n v="11.09"/>
    <s v="-"/>
    <s v="-"/>
    <s v="-"/>
    <s v="-"/>
    <s v="-"/>
    <s v="-"/>
    <s v="-"/>
    <s v="-"/>
    <s v="P"/>
    <s v="P"/>
    <s v="-"/>
    <n v="2"/>
    <n v="1"/>
    <n v="2"/>
    <n v="1"/>
    <s v="-"/>
    <s v="-"/>
    <s v="-"/>
    <s v="-"/>
    <s v="-"/>
    <s v="-"/>
    <s v="-"/>
    <n v="6"/>
    <n v="6"/>
    <s v="-"/>
    <n v="1"/>
    <n v="1"/>
    <n v="2"/>
    <n v="2"/>
    <n v="8"/>
    <n v="8"/>
  </r>
  <r>
    <x v="0"/>
    <x v="3"/>
    <d v="2026-01-05T00:00:00"/>
    <s v="2ND"/>
    <d v="1899-12-30T20:00:00"/>
    <n v="2"/>
    <x v="15"/>
    <n v="5.0000000000000001E-3"/>
    <s v="P"/>
    <s v="P"/>
    <s v="P"/>
    <s v="-"/>
    <s v="+"/>
    <n v="11.96"/>
    <s v="-"/>
    <n v="0.42"/>
    <n v="53.7"/>
    <n v="12.8"/>
    <n v="795"/>
    <n v="22.42"/>
    <s v="-"/>
    <s v="-"/>
    <s v="P"/>
    <s v="P"/>
    <s v="-"/>
    <n v="2"/>
    <n v="1"/>
    <n v="2"/>
    <n v="1"/>
    <s v="-"/>
    <n v="2"/>
    <n v="0"/>
    <n v="1"/>
    <n v="1"/>
    <n v="2"/>
    <s v="-"/>
    <n v="12"/>
    <n v="14"/>
    <s v="-"/>
    <n v="1"/>
    <n v="1"/>
    <n v="2"/>
    <n v="2"/>
    <n v="14"/>
    <n v="16"/>
  </r>
  <r>
    <x v="0"/>
    <x v="3"/>
    <d v="2026-01-05T00:00:00"/>
    <s v="3RD"/>
    <d v="1899-12-30T22:00:00"/>
    <n v="2"/>
    <x v="15"/>
    <n v="6.1000000000000004E-3"/>
    <s v="P"/>
    <s v="P"/>
    <s v="P"/>
    <s v="-"/>
    <s v="+"/>
    <n v="11.96"/>
    <s v="-"/>
    <s v="-"/>
    <n v="54"/>
    <s v="-"/>
    <s v="-"/>
    <s v="-"/>
    <s v="-"/>
    <s v="-"/>
    <s v="P"/>
    <s v="P"/>
    <s v="-"/>
    <n v="2"/>
    <n v="1"/>
    <n v="2"/>
    <n v="1"/>
    <s v="-"/>
    <s v="-"/>
    <n v="2"/>
    <s v="-"/>
    <s v="-"/>
    <s v="-"/>
    <s v="-"/>
    <n v="8"/>
    <n v="8"/>
    <s v="-"/>
    <n v="1"/>
    <n v="1"/>
    <n v="2"/>
    <n v="2"/>
    <n v="10"/>
    <n v="10"/>
  </r>
  <r>
    <x v="0"/>
    <x v="3"/>
    <d v="2026-01-05T00:00:00"/>
    <s v="3RD"/>
    <d v="1899-12-30T23:00:00"/>
    <n v="2"/>
    <x v="15"/>
    <n v="2E-3"/>
    <s v="P"/>
    <s v="P"/>
    <s v="P"/>
    <s v="-"/>
    <s v="+"/>
    <n v="11.72"/>
    <s v="-"/>
    <s v="-"/>
    <s v="-"/>
    <s v="-"/>
    <s v="-"/>
    <s v="-"/>
    <s v="-"/>
    <s v="-"/>
    <s v="P"/>
    <s v="P"/>
    <s v="-"/>
    <n v="2"/>
    <n v="1"/>
    <n v="2"/>
    <n v="1"/>
    <s v="-"/>
    <s v="-"/>
    <s v="-"/>
    <s v="-"/>
    <s v="-"/>
    <s v="-"/>
    <s v="-"/>
    <n v="6"/>
    <n v="6"/>
    <s v="-"/>
    <n v="1"/>
    <n v="1"/>
    <n v="2"/>
    <n v="2"/>
    <n v="8"/>
    <n v="8"/>
  </r>
  <r>
    <x v="0"/>
    <x v="3"/>
    <d v="2026-01-05T00:00:00"/>
    <s v="3RD"/>
    <d v="1899-12-31T00:00:00"/>
    <n v="2"/>
    <x v="15"/>
    <n v="2.8999999999999998E-3"/>
    <s v="P"/>
    <s v="P"/>
    <s v="P"/>
    <s v="-"/>
    <s v="+"/>
    <n v="11.54"/>
    <s v="-"/>
    <s v="-"/>
    <s v="-"/>
    <s v="-"/>
    <s v="-"/>
    <s v="-"/>
    <s v="-"/>
    <s v="-"/>
    <s v="P"/>
    <s v="P"/>
    <s v="-"/>
    <n v="2"/>
    <n v="1"/>
    <n v="2"/>
    <n v="1"/>
    <s v="-"/>
    <s v="-"/>
    <s v="-"/>
    <s v="-"/>
    <s v="-"/>
    <s v="-"/>
    <s v="-"/>
    <n v="6"/>
    <n v="6"/>
    <s v="-"/>
    <n v="1"/>
    <n v="1"/>
    <n v="2"/>
    <n v="2"/>
    <n v="8"/>
    <n v="8"/>
  </r>
  <r>
    <x v="0"/>
    <x v="3"/>
    <d v="2026-01-05T00:00:00"/>
    <s v="3RD"/>
    <d v="1899-12-31T01:00:00"/>
    <n v="2"/>
    <x v="4"/>
    <n v="2.8999999999999998E-3"/>
    <s v="P"/>
    <s v="P"/>
    <s v="P"/>
    <s v="-"/>
    <s v="+"/>
    <n v="11.54"/>
    <s v="-"/>
    <s v="-"/>
    <s v="-"/>
    <s v="-"/>
    <s v="-"/>
    <s v="-"/>
    <s v="-"/>
    <s v="-"/>
    <s v="P"/>
    <s v="P"/>
    <s v="-"/>
    <n v="2"/>
    <n v="1"/>
    <n v="2"/>
    <n v="1"/>
    <s v="-"/>
    <s v="-"/>
    <s v="-"/>
    <s v="-"/>
    <s v="-"/>
    <s v="-"/>
    <s v="-"/>
    <n v="6"/>
    <n v="6"/>
    <s v="-"/>
    <n v="1"/>
    <n v="1"/>
    <n v="2"/>
    <n v="2"/>
    <n v="8"/>
    <n v="8"/>
  </r>
  <r>
    <x v="0"/>
    <x v="3"/>
    <d v="1899-12-30T00:00:00"/>
    <s v="2ND"/>
    <d v="1899-12-30T15:00:00"/>
    <s v="Retail"/>
    <x v="9"/>
    <s v="-"/>
    <s v="-"/>
    <s v="-"/>
    <s v="-"/>
    <s v="-"/>
    <s v="-"/>
    <n v="10.47"/>
    <s v="-"/>
    <n v="4.45"/>
    <s v="-"/>
    <s v="-"/>
    <s v="-"/>
    <s v="-"/>
    <s v="-"/>
    <s v="-"/>
    <s v="-"/>
    <s v="-"/>
    <s v="-"/>
    <s v="-"/>
    <s v="-"/>
    <s v="-"/>
    <n v="1"/>
    <s v="-"/>
    <n v="2"/>
    <s v="-"/>
    <s v="-"/>
    <s v="-"/>
    <s v="-"/>
    <s v="-"/>
    <n v="3"/>
    <n v="3"/>
    <s v="-"/>
    <s v="-"/>
    <s v="-"/>
    <n v="0"/>
    <n v="0"/>
    <n v="3"/>
    <n v="3"/>
  </r>
  <r>
    <x v="0"/>
    <x v="3"/>
    <d v="2026-01-04T00:00:00"/>
    <s v="2ND"/>
    <d v="1899-12-30T17:00:00"/>
    <n v="2"/>
    <x v="16"/>
    <n v="7.1999999999999998E-3"/>
    <s v="P"/>
    <s v="P"/>
    <s v="P"/>
    <s v="+"/>
    <s v="+"/>
    <n v="12.87"/>
    <n v="13.65"/>
    <n v="0.45"/>
    <n v="64"/>
    <n v="12.2"/>
    <n v="771"/>
    <n v="38.4"/>
    <s v="-"/>
    <s v="-"/>
    <s v="P"/>
    <s v="P"/>
    <s v="-"/>
    <n v="2"/>
    <n v="1"/>
    <n v="2"/>
    <n v="1"/>
    <n v="1"/>
    <n v="2"/>
    <n v="2"/>
    <n v="1"/>
    <n v="1"/>
    <n v="2"/>
    <s v="-"/>
    <n v="15"/>
    <n v="15"/>
    <s v="-"/>
    <n v="1"/>
    <n v="1"/>
    <n v="2"/>
    <n v="2"/>
    <n v="17"/>
    <n v="17"/>
  </r>
  <r>
    <x v="0"/>
    <x v="3"/>
    <d v="2026-01-04T00:00:00"/>
    <s v="2ND"/>
    <d v="1899-12-30T19:00:00"/>
    <n v="2"/>
    <x v="16"/>
    <n v="5.3E-3"/>
    <s v="P"/>
    <s v="P"/>
    <s v="P"/>
    <s v="+"/>
    <s v="+"/>
    <n v="12.83"/>
    <s v="-"/>
    <s v="-"/>
    <s v="-"/>
    <s v="-"/>
    <s v="-"/>
    <s v="-"/>
    <s v="-"/>
    <s v="-"/>
    <s v="P"/>
    <s v="P"/>
    <s v="-"/>
    <n v="2"/>
    <n v="1"/>
    <n v="2"/>
    <n v="1"/>
    <s v="-"/>
    <s v="-"/>
    <s v="-"/>
    <s v="-"/>
    <s v="-"/>
    <s v="-"/>
    <s v="-"/>
    <n v="6"/>
    <n v="6"/>
    <s v="-"/>
    <n v="1"/>
    <n v="1"/>
    <n v="2"/>
    <n v="2"/>
    <n v="8"/>
    <n v="8"/>
  </r>
  <r>
    <x v="0"/>
    <x v="4"/>
    <d v="2026-01-03T00:00:00"/>
    <s v="2ND"/>
    <d v="1899-12-30T16:00:00"/>
    <n v="3"/>
    <x v="6"/>
    <n v="8.6999999999999994E-3"/>
    <s v="P"/>
    <s v="P"/>
    <s v="P"/>
    <s v="+"/>
    <s v="+"/>
    <n v="12.35"/>
    <n v="12.56"/>
    <n v="0.43"/>
    <n v="63.6"/>
    <s v="-"/>
    <s v="-"/>
    <n v="35.1"/>
    <s v="-"/>
    <s v="-"/>
    <s v="P"/>
    <s v="P"/>
    <s v="7-% 2-% 1-%"/>
    <n v="2"/>
    <n v="1"/>
    <n v="2"/>
    <n v="1"/>
    <n v="1"/>
    <n v="2"/>
    <n v="0"/>
    <s v="-"/>
    <s v="-"/>
    <n v="2"/>
    <s v="-"/>
    <n v="11"/>
    <n v="13"/>
    <s v="-"/>
    <n v="1"/>
    <n v="1"/>
    <n v="2"/>
    <n v="2"/>
    <n v="13"/>
    <n v="15"/>
  </r>
  <r>
    <x v="0"/>
    <x v="4"/>
    <d v="2026-01-03T00:00:00"/>
    <s v="2ND"/>
    <d v="1899-12-30T20:00:00"/>
    <n v="3"/>
    <x v="6"/>
    <n v="9.1000000000000004E-3"/>
    <s v="P"/>
    <s v="P"/>
    <s v="P"/>
    <s v="+"/>
    <s v="+"/>
    <n v="12.67"/>
    <s v="-"/>
    <s v="-"/>
    <s v="-"/>
    <s v="-"/>
    <s v="-"/>
    <s v="-"/>
    <s v="-"/>
    <s v="-"/>
    <s v="P"/>
    <s v="P"/>
    <s v="-"/>
    <n v="2"/>
    <n v="1"/>
    <n v="2"/>
    <n v="1"/>
    <s v="-"/>
    <s v="-"/>
    <s v="-"/>
    <s v="-"/>
    <s v="-"/>
    <s v="-"/>
    <s v="-"/>
    <n v="6"/>
    <n v="6"/>
    <s v="-"/>
    <n v="1"/>
    <n v="1"/>
    <n v="2"/>
    <n v="2"/>
    <n v="8"/>
    <n v="8"/>
  </r>
  <r>
    <x v="0"/>
    <x v="4"/>
    <d v="2026-01-03T00:00:00"/>
    <s v="2ND"/>
    <d v="1899-12-30T21:00:00"/>
    <n v="3"/>
    <x v="6"/>
    <n v="9.4999999999999998E-3"/>
    <s v="P"/>
    <s v="P"/>
    <s v="P"/>
    <s v="+"/>
    <s v="+"/>
    <n v="12.61"/>
    <s v="-"/>
    <s v="-"/>
    <s v="-"/>
    <s v="-"/>
    <s v="-"/>
    <s v="-"/>
    <s v="-"/>
    <s v="-"/>
    <s v="P"/>
    <s v="P"/>
    <s v="-"/>
    <n v="2"/>
    <n v="1"/>
    <n v="2"/>
    <n v="1"/>
    <s v="-"/>
    <s v="-"/>
    <s v="-"/>
    <s v="-"/>
    <s v="-"/>
    <s v="-"/>
    <s v="-"/>
    <n v="6"/>
    <n v="6"/>
    <s v="-"/>
    <n v="1"/>
    <n v="1"/>
    <n v="2"/>
    <n v="2"/>
    <n v="8"/>
    <n v="8"/>
  </r>
  <r>
    <x v="0"/>
    <x v="4"/>
    <d v="2026-01-03T00:00:00"/>
    <s v="3RD"/>
    <d v="1899-12-30T22:00:00"/>
    <n v="3"/>
    <x v="6"/>
    <n v="6.3E-3"/>
    <s v="P"/>
    <s v="P"/>
    <s v="P"/>
    <s v="+"/>
    <s v="+"/>
    <n v="12.58"/>
    <n v="12.54"/>
    <n v="0.46"/>
    <s v="-"/>
    <s v="-"/>
    <s v="-"/>
    <n v="35"/>
    <s v="-"/>
    <s v="-"/>
    <s v="P"/>
    <s v="P"/>
    <s v="-"/>
    <n v="2"/>
    <n v="1"/>
    <n v="2"/>
    <n v="1"/>
    <n v="1"/>
    <n v="2"/>
    <s v="-"/>
    <s v="-"/>
    <s v="-"/>
    <n v="2"/>
    <s v="-"/>
    <n v="11"/>
    <n v="11"/>
    <s v="-"/>
    <n v="1"/>
    <n v="1"/>
    <n v="2"/>
    <n v="2"/>
    <n v="13"/>
    <n v="13"/>
  </r>
  <r>
    <x v="0"/>
    <x v="4"/>
    <d v="2026-01-03T00:00:00"/>
    <s v="3RD"/>
    <d v="1899-12-31T00:00:00"/>
    <n v="3"/>
    <x v="6"/>
    <n v="4.7000000000000002E-3"/>
    <s v="P"/>
    <s v="P"/>
    <s v="P"/>
    <s v="+"/>
    <s v="+"/>
    <n v="12.18"/>
    <s v="-"/>
    <s v="-"/>
    <s v="-"/>
    <s v="-"/>
    <s v="-"/>
    <s v="-"/>
    <s v="-"/>
    <s v="-"/>
    <s v="P"/>
    <s v="P"/>
    <s v="-"/>
    <n v="2"/>
    <n v="1"/>
    <n v="2"/>
    <n v="1"/>
    <s v="-"/>
    <s v="-"/>
    <s v="-"/>
    <s v="-"/>
    <s v="-"/>
    <s v="-"/>
    <s v="-"/>
    <n v="6"/>
    <n v="6"/>
    <s v="-"/>
    <n v="1"/>
    <n v="1"/>
    <n v="2"/>
    <n v="2"/>
    <n v="8"/>
    <n v="8"/>
  </r>
  <r>
    <x v="0"/>
    <x v="4"/>
    <d v="2026-01-03T00:00:00"/>
    <s v="3RD"/>
    <d v="1899-12-31T01:00:00"/>
    <n v="3"/>
    <x v="6"/>
    <n v="5.3E-3"/>
    <s v="P"/>
    <s v="P"/>
    <s v="P"/>
    <s v="+"/>
    <s v="+"/>
    <n v="12"/>
    <s v="-"/>
    <s v="-"/>
    <s v="-"/>
    <s v="-"/>
    <s v="-"/>
    <s v="-"/>
    <s v="-"/>
    <s v="-"/>
    <s v="P"/>
    <s v="P"/>
    <s v="-"/>
    <n v="2"/>
    <n v="1"/>
    <n v="2"/>
    <n v="1"/>
    <s v="-"/>
    <s v="-"/>
    <s v="-"/>
    <s v="-"/>
    <s v="-"/>
    <s v="-"/>
    <s v="-"/>
    <n v="6"/>
    <n v="6"/>
    <s v="-"/>
    <n v="1"/>
    <n v="1"/>
    <n v="2"/>
    <n v="2"/>
    <n v="8"/>
    <n v="8"/>
  </r>
  <r>
    <x v="0"/>
    <x v="4"/>
    <d v="2026-01-03T00:00:00"/>
    <s v="3RD"/>
    <d v="1899-12-31T02:00:00"/>
    <n v="3"/>
    <x v="6"/>
    <n v="7.1000000000000004E-3"/>
    <s v="P"/>
    <s v="P"/>
    <s v="P"/>
    <s v="+"/>
    <s v="+"/>
    <n v="12.15"/>
    <s v="-"/>
    <s v="-"/>
    <s v="-"/>
    <s v="-"/>
    <s v="-"/>
    <s v="-"/>
    <s v="-"/>
    <s v="-"/>
    <s v="P"/>
    <s v="P"/>
    <s v="-"/>
    <n v="2"/>
    <n v="1"/>
    <n v="2"/>
    <n v="1"/>
    <s v="-"/>
    <s v="-"/>
    <s v="-"/>
    <s v="-"/>
    <s v="-"/>
    <s v="-"/>
    <s v="-"/>
    <n v="6"/>
    <n v="6"/>
    <s v="-"/>
    <n v="1"/>
    <n v="1"/>
    <n v="2"/>
    <n v="2"/>
    <n v="8"/>
    <n v="8"/>
  </r>
  <r>
    <x v="0"/>
    <x v="4"/>
    <d v="2026-01-03T00:00:00"/>
    <s v="3RD"/>
    <d v="1899-12-31T03:00:00"/>
    <n v="3"/>
    <x v="6"/>
    <n v="9.4999999999999998E-3"/>
    <s v="P"/>
    <s v="P"/>
    <s v="P"/>
    <s v="+"/>
    <s v="+"/>
    <n v="12.42"/>
    <s v="-"/>
    <s v="-"/>
    <s v="-"/>
    <s v="-"/>
    <s v="-"/>
    <s v="-"/>
    <s v="-"/>
    <s v="-"/>
    <s v="P"/>
    <s v="P"/>
    <s v="-"/>
    <n v="2"/>
    <n v="1"/>
    <n v="2"/>
    <n v="1"/>
    <s v="-"/>
    <s v="-"/>
    <s v="-"/>
    <s v="-"/>
    <s v="-"/>
    <s v="-"/>
    <s v="-"/>
    <n v="6"/>
    <n v="6"/>
    <s v="-"/>
    <n v="1"/>
    <n v="1"/>
    <n v="2"/>
    <n v="2"/>
    <n v="8"/>
    <n v="8"/>
  </r>
  <r>
    <x v="0"/>
    <x v="4"/>
    <d v="2025-12-18T00:00:00"/>
    <s v="3RD"/>
    <d v="1899-12-31T04:00:00"/>
    <n v="3"/>
    <x v="6"/>
    <n v="1.77E-2"/>
    <s v="P"/>
    <s v="P"/>
    <s v="P"/>
    <s v="+"/>
    <s v="+"/>
    <n v="12.23"/>
    <n v="12.59"/>
    <n v="0.47"/>
    <n v="65"/>
    <s v="-"/>
    <s v="-"/>
    <n v="35.299999999999997"/>
    <s v="-"/>
    <s v="-"/>
    <s v="P"/>
    <s v="P"/>
    <s v="-"/>
    <n v="2"/>
    <n v="1"/>
    <n v="2"/>
    <n v="1"/>
    <n v="1"/>
    <n v="2"/>
    <n v="2"/>
    <s v="-"/>
    <s v="-"/>
    <n v="2"/>
    <s v="-"/>
    <n v="13"/>
    <n v="13"/>
    <s v="-"/>
    <n v="1"/>
    <n v="1"/>
    <n v="2"/>
    <n v="2"/>
    <n v="15"/>
    <n v="15"/>
  </r>
  <r>
    <x v="0"/>
    <x v="4"/>
    <d v="2026-01-06T00:00:00"/>
    <s v="1ST"/>
    <s v="08:00"/>
    <n v="2"/>
    <x v="2"/>
    <n v="2.3999999999999998E-3"/>
    <s v="P"/>
    <s v="P"/>
    <s v="P"/>
    <s v="-"/>
    <s v="+"/>
    <n v="10.82"/>
    <s v="-"/>
    <s v="-"/>
    <s v="-"/>
    <s v="-"/>
    <s v="-"/>
    <s v="-"/>
    <s v="-"/>
    <s v="-"/>
    <s v="P"/>
    <s v="P"/>
    <s v="-"/>
    <n v="2"/>
    <n v="1"/>
    <n v="2"/>
    <n v="0"/>
    <s v="-"/>
    <s v="-"/>
    <s v="-"/>
    <s v="-"/>
    <s v="-"/>
    <s v="-"/>
    <s v="-"/>
    <n v="5"/>
    <n v="6"/>
    <s v="-"/>
    <n v="1"/>
    <n v="1"/>
    <n v="2"/>
    <n v="2"/>
    <n v="7"/>
    <n v="8"/>
  </r>
  <r>
    <x v="0"/>
    <x v="4"/>
    <d v="2026-01-06T00:00:00"/>
    <s v="1ST"/>
    <s v="09:00"/>
    <n v="2"/>
    <x v="2"/>
    <n v="2.0999999999999999E-3"/>
    <s v="P"/>
    <s v="P"/>
    <s v="P"/>
    <s v="-"/>
    <s v="+"/>
    <n v="10.89"/>
    <s v="-"/>
    <s v="-"/>
    <s v="-"/>
    <s v="-"/>
    <s v="-"/>
    <s v="-"/>
    <s v="-"/>
    <s v="-"/>
    <s v="P"/>
    <s v="P"/>
    <s v="-"/>
    <n v="2"/>
    <n v="1"/>
    <n v="2"/>
    <n v="0"/>
    <s v="-"/>
    <s v="-"/>
    <s v="-"/>
    <s v="-"/>
    <s v="-"/>
    <s v="-"/>
    <s v="-"/>
    <n v="5"/>
    <n v="6"/>
    <s v="-"/>
    <n v="1"/>
    <n v="1"/>
    <n v="2"/>
    <n v="2"/>
    <n v="7"/>
    <n v="8"/>
  </r>
  <r>
    <x v="0"/>
    <x v="4"/>
    <d v="2026-01-06T00:00:00"/>
    <s v="1ST"/>
    <s v="10:00"/>
    <n v="2"/>
    <x v="2"/>
    <n v="2.7000000000000001E-3"/>
    <s v="P"/>
    <s v="P"/>
    <s v="P"/>
    <s v="-"/>
    <s v="+"/>
    <n v="10.83"/>
    <s v="-"/>
    <s v="-"/>
    <s v="-"/>
    <s v="-"/>
    <s v="-"/>
    <s v="-"/>
    <s v="-"/>
    <s v="-"/>
    <s v="P"/>
    <s v="P"/>
    <s v="-"/>
    <n v="2"/>
    <n v="1"/>
    <n v="2"/>
    <n v="0"/>
    <s v="-"/>
    <s v="-"/>
    <s v="-"/>
    <s v="-"/>
    <s v="-"/>
    <s v="-"/>
    <s v="-"/>
    <n v="5"/>
    <n v="6"/>
    <s v="-"/>
    <n v="1"/>
    <n v="1"/>
    <n v="2"/>
    <n v="2"/>
    <n v="7"/>
    <n v="8"/>
  </r>
  <r>
    <x v="0"/>
    <x v="4"/>
    <d v="2026-01-06T00:00:00"/>
    <s v="1ST"/>
    <s v="11:00"/>
    <n v="2"/>
    <x v="2"/>
    <n v="2.3E-3"/>
    <s v="P"/>
    <s v="P"/>
    <s v="P"/>
    <s v="-"/>
    <s v="+"/>
    <n v="10.59"/>
    <s v="-"/>
    <s v="-"/>
    <s v="-"/>
    <s v="-"/>
    <s v="-"/>
    <s v="-"/>
    <s v="-"/>
    <s v="-"/>
    <s v="P"/>
    <s v="P"/>
    <s v="-"/>
    <n v="2"/>
    <n v="1"/>
    <n v="2"/>
    <n v="0"/>
    <s v="-"/>
    <s v="-"/>
    <s v="-"/>
    <s v="-"/>
    <s v="-"/>
    <s v="-"/>
    <s v="-"/>
    <n v="5"/>
    <n v="6"/>
    <s v="-"/>
    <n v="1"/>
    <n v="1"/>
    <n v="2"/>
    <n v="2"/>
    <n v="7"/>
    <n v="8"/>
  </r>
  <r>
    <x v="0"/>
    <x v="4"/>
    <d v="2026-01-06T00:00:00"/>
    <s v="1ST"/>
    <s v="12:00"/>
    <n v="2"/>
    <x v="2"/>
    <n v="2.7000000000000001E-3"/>
    <s v="P"/>
    <s v="P"/>
    <s v="P"/>
    <s v="-"/>
    <s v="+"/>
    <n v="10.86"/>
    <s v="-"/>
    <s v="-"/>
    <s v="-"/>
    <s v="-"/>
    <s v="-"/>
    <s v="-"/>
    <s v="-"/>
    <s v="-"/>
    <s v="P"/>
    <s v="P"/>
    <s v="-"/>
    <n v="2"/>
    <n v="1"/>
    <n v="2"/>
    <n v="0"/>
    <s v="-"/>
    <s v="-"/>
    <s v="-"/>
    <s v="-"/>
    <s v="-"/>
    <s v="-"/>
    <s v="-"/>
    <n v="5"/>
    <n v="6"/>
    <s v="-"/>
    <n v="1"/>
    <n v="1"/>
    <n v="2"/>
    <n v="2"/>
    <n v="7"/>
    <n v="8"/>
  </r>
  <r>
    <x v="0"/>
    <x v="4"/>
    <d v="2026-01-06T00:00:00"/>
    <s v="2ND"/>
    <d v="1899-12-30T16:00:00"/>
    <n v="2"/>
    <x v="2"/>
    <n v="9.2999999999999992E-3"/>
    <s v="P"/>
    <s v="P"/>
    <s v="P"/>
    <s v="-"/>
    <s v="+"/>
    <n v="10.87"/>
    <n v="8.9"/>
    <n v="0.51"/>
    <n v="58.6"/>
    <n v="11.2"/>
    <n v="256"/>
    <n v="24.28"/>
    <s v="-"/>
    <s v="-"/>
    <s v="P"/>
    <s v="P"/>
    <s v="-"/>
    <n v="2"/>
    <n v="1"/>
    <n v="2"/>
    <n v="0"/>
    <n v="0"/>
    <n v="2"/>
    <n v="0"/>
    <n v="0"/>
    <n v="0"/>
    <n v="0"/>
    <s v="-"/>
    <n v="7"/>
    <n v="15"/>
    <s v="-"/>
    <n v="1"/>
    <n v="1"/>
    <n v="2"/>
    <n v="2"/>
    <n v="9"/>
    <n v="17"/>
  </r>
  <r>
    <x v="0"/>
    <x v="4"/>
    <d v="2026-01-06T00:00:00"/>
    <s v="2ND"/>
    <d v="1899-12-30T19:00:00"/>
    <n v="2"/>
    <x v="2"/>
    <n v="1.29E-2"/>
    <s v="P"/>
    <s v="P"/>
    <s v="P"/>
    <s v="-"/>
    <s v="+"/>
    <n v="10.75"/>
    <s v="-"/>
    <s v="-"/>
    <s v="-"/>
    <s v="-"/>
    <s v="-"/>
    <s v="-"/>
    <s v="-"/>
    <s v="-"/>
    <s v="P"/>
    <s v="P"/>
    <s v="-"/>
    <n v="2"/>
    <n v="1"/>
    <n v="2"/>
    <n v="0"/>
    <s v="-"/>
    <s v="-"/>
    <s v="-"/>
    <s v="-"/>
    <s v="-"/>
    <s v="-"/>
    <s v="-"/>
    <n v="5"/>
    <n v="6"/>
    <s v="-"/>
    <n v="1"/>
    <n v="1"/>
    <n v="2"/>
    <n v="2"/>
    <n v="7"/>
    <n v="8"/>
  </r>
  <r>
    <x v="0"/>
    <x v="4"/>
    <d v="2026-01-06T00:00:00"/>
    <s v="2ND"/>
    <d v="1899-12-30T20:00:00"/>
    <n v="2"/>
    <x v="2"/>
    <n v="1.49E-2"/>
    <s v="P"/>
    <s v="P"/>
    <s v="P"/>
    <s v="-"/>
    <s v="+"/>
    <n v="10.85"/>
    <s v="-"/>
    <s v="-"/>
    <s v="-"/>
    <s v="-"/>
    <s v="-"/>
    <s v="-"/>
    <s v="-"/>
    <s v="-"/>
    <s v="P"/>
    <s v="P"/>
    <s v="-"/>
    <n v="2"/>
    <n v="1"/>
    <n v="2"/>
    <n v="0"/>
    <s v="-"/>
    <s v="-"/>
    <s v="-"/>
    <s v="-"/>
    <s v="-"/>
    <s v="-"/>
    <s v="-"/>
    <n v="5"/>
    <n v="6"/>
    <s v="-"/>
    <n v="1"/>
    <n v="1"/>
    <n v="2"/>
    <n v="2"/>
    <n v="7"/>
    <n v="8"/>
  </r>
  <r>
    <x v="0"/>
    <x v="4"/>
    <d v="2026-01-06T00:00:00"/>
    <s v="2ND"/>
    <d v="1899-12-30T21:00:00"/>
    <n v="2"/>
    <x v="2"/>
    <n v="1.24E-2"/>
    <s v="P"/>
    <s v="P"/>
    <s v="P"/>
    <s v="-"/>
    <s v="+"/>
    <n v="10.64"/>
    <s v="-"/>
    <s v="-"/>
    <s v="-"/>
    <s v="-"/>
    <s v="-"/>
    <s v="-"/>
    <s v="-"/>
    <s v="-"/>
    <s v="P"/>
    <s v="P"/>
    <s v="-"/>
    <n v="2"/>
    <n v="1"/>
    <n v="2"/>
    <n v="0"/>
    <s v="-"/>
    <s v="-"/>
    <s v="-"/>
    <s v="-"/>
    <s v="-"/>
    <s v="-"/>
    <s v="-"/>
    <n v="5"/>
    <n v="6"/>
    <s v="-"/>
    <n v="1"/>
    <n v="1"/>
    <n v="2"/>
    <n v="2"/>
    <n v="7"/>
    <n v="8"/>
  </r>
  <r>
    <x v="0"/>
    <x v="4"/>
    <d v="2026-01-06T00:00:00"/>
    <s v="3RD"/>
    <d v="1899-12-30T22:00:00"/>
    <n v="2"/>
    <x v="2"/>
    <n v="1.7399999999999999E-2"/>
    <s v="P"/>
    <s v="P"/>
    <s v="P"/>
    <s v="-"/>
    <s v="+"/>
    <n v="10.94"/>
    <n v="8.68"/>
    <n v="0.48"/>
    <s v="-"/>
    <s v="-"/>
    <s v="-"/>
    <n v="23.43"/>
    <s v="-"/>
    <s v="-"/>
    <s v="P"/>
    <s v="P"/>
    <s v="-"/>
    <n v="2"/>
    <n v="1"/>
    <n v="2"/>
    <n v="0"/>
    <n v="0"/>
    <n v="2"/>
    <s v="-"/>
    <s v="-"/>
    <s v="-"/>
    <n v="0"/>
    <s v="-"/>
    <n v="7"/>
    <n v="11"/>
    <s v="-"/>
    <n v="1"/>
    <n v="1"/>
    <n v="2"/>
    <n v="2"/>
    <n v="9"/>
    <n v="13"/>
  </r>
  <r>
    <x v="0"/>
    <x v="4"/>
    <d v="2026-01-06T00:00:00"/>
    <s v="3RD"/>
    <d v="1899-12-30T23:00:00"/>
    <n v="2"/>
    <x v="2"/>
    <n v="5.1999999999999998E-3"/>
    <s v="P"/>
    <s v="P"/>
    <s v="P"/>
    <s v="-"/>
    <s v="+"/>
    <n v="10.88"/>
    <s v="-"/>
    <s v="-"/>
    <s v="-"/>
    <s v="-"/>
    <s v="-"/>
    <s v="-"/>
    <s v="-"/>
    <s v="-"/>
    <s v="P"/>
    <s v="P"/>
    <s v="-"/>
    <n v="2"/>
    <n v="1"/>
    <n v="2"/>
    <n v="0"/>
    <s v="-"/>
    <s v="-"/>
    <s v="-"/>
    <s v="-"/>
    <s v="-"/>
    <s v="-"/>
    <s v="-"/>
    <n v="5"/>
    <n v="6"/>
    <s v="-"/>
    <n v="1"/>
    <n v="1"/>
    <n v="2"/>
    <n v="2"/>
    <n v="7"/>
    <n v="8"/>
  </r>
  <r>
    <x v="0"/>
    <x v="4"/>
    <d v="2026-01-06T00:00:00"/>
    <s v="3RD"/>
    <d v="1899-12-31T00:00:00"/>
    <n v="2"/>
    <x v="2"/>
    <n v="1.11E-2"/>
    <s v="P"/>
    <s v="P"/>
    <s v="P"/>
    <s v="-"/>
    <s v="+"/>
    <n v="10.98"/>
    <s v="-"/>
    <s v="-"/>
    <s v="-"/>
    <s v="-"/>
    <s v="-"/>
    <s v="-"/>
    <s v="-"/>
    <s v="-"/>
    <s v="P"/>
    <s v="P"/>
    <s v="-"/>
    <n v="2"/>
    <n v="1"/>
    <n v="2"/>
    <n v="0"/>
    <s v="-"/>
    <s v="-"/>
    <s v="-"/>
    <s v="-"/>
    <s v="-"/>
    <s v="-"/>
    <s v="-"/>
    <n v="5"/>
    <n v="6"/>
    <s v="-"/>
    <n v="1"/>
    <n v="1"/>
    <n v="2"/>
    <n v="2"/>
    <n v="7"/>
    <n v="8"/>
  </r>
  <r>
    <x v="0"/>
    <x v="4"/>
    <d v="2026-01-06T00:00:00"/>
    <s v="3RD"/>
    <d v="1899-12-31T01:00:00"/>
    <n v="2"/>
    <x v="2"/>
    <n v="1.2800000000000001E-2"/>
    <s v="P"/>
    <s v="P"/>
    <s v="P"/>
    <s v="-"/>
    <s v="+"/>
    <n v="10.9"/>
    <s v="-"/>
    <s v="-"/>
    <s v="-"/>
    <s v="-"/>
    <s v="-"/>
    <s v="-"/>
    <s v="-"/>
    <s v="-"/>
    <s v="P"/>
    <s v="P"/>
    <s v="-"/>
    <n v="2"/>
    <n v="1"/>
    <n v="2"/>
    <n v="0"/>
    <s v="-"/>
    <s v="-"/>
    <s v="-"/>
    <s v="-"/>
    <s v="-"/>
    <s v="-"/>
    <s v="-"/>
    <n v="5"/>
    <n v="6"/>
    <s v="-"/>
    <n v="1"/>
    <n v="1"/>
    <n v="2"/>
    <n v="2"/>
    <n v="7"/>
    <n v="8"/>
  </r>
  <r>
    <x v="0"/>
    <x v="4"/>
    <d v="2026-01-06T00:00:00"/>
    <s v="3RD"/>
    <d v="1899-12-31T02:00:00"/>
    <n v="2"/>
    <x v="2"/>
    <n v="1.43E-2"/>
    <s v="P"/>
    <s v="P"/>
    <s v="P"/>
    <s v="-"/>
    <s v="+"/>
    <n v="10.79"/>
    <s v="-"/>
    <s v="-"/>
    <s v="-"/>
    <s v="-"/>
    <s v="-"/>
    <s v="-"/>
    <s v="-"/>
    <s v="-"/>
    <s v="P"/>
    <s v="P"/>
    <s v="-"/>
    <n v="2"/>
    <n v="1"/>
    <n v="2"/>
    <n v="0"/>
    <s v="-"/>
    <s v="-"/>
    <s v="-"/>
    <s v="-"/>
    <s v="-"/>
    <s v="-"/>
    <s v="-"/>
    <n v="5"/>
    <n v="6"/>
    <s v="-"/>
    <n v="1"/>
    <n v="1"/>
    <n v="2"/>
    <n v="2"/>
    <n v="7"/>
    <n v="8"/>
  </r>
  <r>
    <x v="0"/>
    <x v="4"/>
    <d v="2026-01-06T00:00:00"/>
    <s v="3RD"/>
    <d v="1899-12-31T03:00:00"/>
    <n v="2"/>
    <x v="2"/>
    <n v="1.0999999999999999E-2"/>
    <s v="P"/>
    <s v="P"/>
    <s v="P"/>
    <s v="-"/>
    <s v="+"/>
    <n v="10.57"/>
    <s v="-"/>
    <s v="-"/>
    <s v="-"/>
    <s v="-"/>
    <s v="-"/>
    <s v="-"/>
    <s v="-"/>
    <s v="-"/>
    <s v="P"/>
    <s v="P"/>
    <s v="-"/>
    <n v="2"/>
    <n v="1"/>
    <n v="2"/>
    <n v="0"/>
    <s v="-"/>
    <s v="-"/>
    <s v="-"/>
    <s v="-"/>
    <s v="-"/>
    <s v="-"/>
    <s v="-"/>
    <n v="5"/>
    <n v="6"/>
    <s v="-"/>
    <n v="1"/>
    <n v="1"/>
    <n v="2"/>
    <n v="2"/>
    <n v="7"/>
    <n v="8"/>
  </r>
  <r>
    <x v="0"/>
    <x v="4"/>
    <d v="2026-01-05T00:00:00"/>
    <s v="1ST"/>
    <s v="08:00"/>
    <n v="3"/>
    <x v="10"/>
    <n v="2.3E-3"/>
    <s v="P"/>
    <s v="P"/>
    <s v="P"/>
    <s v="+"/>
    <s v="+"/>
    <n v="13"/>
    <n v="11.89"/>
    <n v="0.3"/>
    <n v="63.4"/>
    <s v="-"/>
    <s v="-"/>
    <n v="33"/>
    <s v="-"/>
    <s v="-"/>
    <s v="P"/>
    <s v="P"/>
    <s v="-"/>
    <n v="2"/>
    <n v="1"/>
    <n v="2"/>
    <n v="1"/>
    <n v="1"/>
    <n v="2"/>
    <n v="2"/>
    <s v="-"/>
    <s v="-"/>
    <n v="2"/>
    <s v="-"/>
    <n v="13"/>
    <n v="13"/>
    <s v="-"/>
    <n v="1"/>
    <n v="1"/>
    <n v="2"/>
    <n v="2"/>
    <n v="15"/>
    <n v="15"/>
  </r>
  <r>
    <x v="0"/>
    <x v="4"/>
    <d v="2026-01-05T00:00:00"/>
    <s v="1ST"/>
    <s v="09:00"/>
    <n v="3"/>
    <x v="10"/>
    <n v="2.5999999999999999E-3"/>
    <s v="P"/>
    <s v="P"/>
    <s v="P"/>
    <s v="+"/>
    <s v="+"/>
    <n v="12.54"/>
    <s v="-"/>
    <s v="-"/>
    <s v="-"/>
    <s v="-"/>
    <s v="-"/>
    <s v="-"/>
    <s v="-"/>
    <s v="-"/>
    <s v="P"/>
    <s v="P"/>
    <s v="-"/>
    <n v="2"/>
    <n v="1"/>
    <n v="2"/>
    <n v="1"/>
    <s v="-"/>
    <s v="-"/>
    <s v="-"/>
    <s v="-"/>
    <s v="-"/>
    <s v="-"/>
    <s v="-"/>
    <n v="6"/>
    <n v="6"/>
    <s v="-"/>
    <n v="1"/>
    <n v="1"/>
    <n v="2"/>
    <n v="2"/>
    <n v="8"/>
    <n v="8"/>
  </r>
  <r>
    <x v="0"/>
    <x v="4"/>
    <d v="2026-01-05T00:00:00"/>
    <s v="1ST"/>
    <s v="10:00"/>
    <n v="3"/>
    <x v="10"/>
    <n v="2E-3"/>
    <s v="P"/>
    <s v="P"/>
    <s v="P"/>
    <s v="+"/>
    <s v="+"/>
    <n v="12.57"/>
    <s v="-"/>
    <s v="-"/>
    <s v="-"/>
    <s v="-"/>
    <s v="-"/>
    <s v="-"/>
    <s v="-"/>
    <s v="-"/>
    <s v="P"/>
    <s v="P"/>
    <s v="-"/>
    <n v="2"/>
    <n v="1"/>
    <n v="2"/>
    <n v="1"/>
    <s v="-"/>
    <s v="-"/>
    <s v="-"/>
    <s v="-"/>
    <s v="-"/>
    <s v="-"/>
    <s v="-"/>
    <n v="6"/>
    <n v="6"/>
    <s v="-"/>
    <n v="1"/>
    <n v="1"/>
    <n v="2"/>
    <n v="2"/>
    <n v="8"/>
    <n v="8"/>
  </r>
  <r>
    <x v="0"/>
    <x v="4"/>
    <d v="2026-01-05T00:00:00"/>
    <s v="1ST"/>
    <s v="11:00"/>
    <n v="3"/>
    <x v="10"/>
    <n v="1.8E-3"/>
    <s v="P"/>
    <s v="P"/>
    <s v="P"/>
    <s v="+"/>
    <s v="+"/>
    <n v="12"/>
    <s v="-"/>
    <s v="-"/>
    <s v="-"/>
    <s v="-"/>
    <s v="-"/>
    <s v="-"/>
    <s v="-"/>
    <s v="-"/>
    <s v="P"/>
    <s v="P"/>
    <s v="-"/>
    <n v="2"/>
    <n v="1"/>
    <n v="2"/>
    <n v="1"/>
    <s v="-"/>
    <s v="-"/>
    <s v="-"/>
    <s v="-"/>
    <s v="-"/>
    <s v="-"/>
    <s v="-"/>
    <n v="6"/>
    <n v="6"/>
    <s v="-"/>
    <n v="1"/>
    <n v="1"/>
    <n v="2"/>
    <n v="2"/>
    <n v="8"/>
    <n v="8"/>
  </r>
  <r>
    <x v="0"/>
    <x v="4"/>
    <d v="2026-01-05T00:00:00"/>
    <s v="1ST"/>
    <s v="12:00"/>
    <n v="3"/>
    <x v="10"/>
    <n v="1.6999999999999999E-3"/>
    <s v="P"/>
    <s v="P"/>
    <s v="P"/>
    <s v="+"/>
    <s v="+"/>
    <n v="12.22"/>
    <s v="-"/>
    <s v="-"/>
    <s v="-"/>
    <s v="-"/>
    <s v="-"/>
    <s v="-"/>
    <s v="-"/>
    <s v="-"/>
    <s v="P"/>
    <s v="P"/>
    <s v="-"/>
    <n v="2"/>
    <n v="1"/>
    <n v="2"/>
    <n v="1"/>
    <s v="-"/>
    <s v="-"/>
    <s v="-"/>
    <s v="-"/>
    <s v="-"/>
    <s v="-"/>
    <s v="-"/>
    <n v="6"/>
    <n v="6"/>
    <s v="-"/>
    <n v="1"/>
    <n v="1"/>
    <n v="2"/>
    <n v="2"/>
    <n v="8"/>
    <n v="8"/>
  </r>
  <r>
    <x v="0"/>
    <x v="4"/>
    <d v="2026-01-03T00:00:00"/>
    <s v="2ND"/>
    <d v="1899-12-30T15:00:00"/>
    <n v="3"/>
    <x v="8"/>
    <n v="4.4000000000000003E-3"/>
    <s v="P"/>
    <s v="P"/>
    <s v="P"/>
    <s v="+"/>
    <s v="+"/>
    <n v="12.65"/>
    <n v="12.96"/>
    <n v="0.51"/>
    <n v="64.3"/>
    <s v="-"/>
    <s v="-"/>
    <n v="36.4"/>
    <s v="-"/>
    <s v="-"/>
    <s v="P"/>
    <s v="P"/>
    <n v="1"/>
    <n v="2"/>
    <n v="1"/>
    <n v="2"/>
    <n v="1"/>
    <n v="1"/>
    <n v="2"/>
    <n v="2"/>
    <s v="-"/>
    <s v="-"/>
    <s v="-"/>
    <s v="-"/>
    <n v="11"/>
    <n v="11"/>
    <s v="-"/>
    <n v="1"/>
    <n v="1"/>
    <n v="2"/>
    <n v="2"/>
    <n v="13"/>
    <n v="13"/>
  </r>
  <r>
    <x v="0"/>
    <x v="4"/>
    <d v="1899-12-30T00:00:00"/>
    <s v="2ND"/>
    <d v="1899-12-30T14:00:00"/>
    <s v="Retail"/>
    <x v="13"/>
    <s v="-"/>
    <s v="-"/>
    <s v="-"/>
    <s v="-"/>
    <s v="-"/>
    <s v="-"/>
    <n v="11.88"/>
    <s v="-"/>
    <n v="4.45"/>
    <s v="-"/>
    <s v="-"/>
    <s v="-"/>
    <s v="-"/>
    <s v="-"/>
    <s v="-"/>
    <s v="-"/>
    <s v="-"/>
    <s v="-"/>
    <s v="-"/>
    <s v="-"/>
    <s v="-"/>
    <n v="1"/>
    <s v="-"/>
    <n v="2"/>
    <s v="-"/>
    <s v="-"/>
    <s v="-"/>
    <s v="-"/>
    <s v="-"/>
    <n v="3"/>
    <n v="3"/>
    <s v="-"/>
    <s v="-"/>
    <s v="-"/>
    <n v="0"/>
    <n v="0"/>
    <n v="3"/>
    <n v="3"/>
  </r>
  <r>
    <x v="0"/>
    <x v="4"/>
    <d v="2026-01-06T00:00:00"/>
    <s v="1ST"/>
    <s v="06:00"/>
    <n v="2"/>
    <x v="14"/>
    <n v="1E-3"/>
    <s v="P"/>
    <s v="P"/>
    <s v="P"/>
    <s v="-"/>
    <s v="+"/>
    <n v="10.95"/>
    <n v="8.7799999999999994"/>
    <n v="0.48"/>
    <n v="59.5"/>
    <s v="-"/>
    <s v="-"/>
    <n v="23.8"/>
    <s v="-"/>
    <s v="-"/>
    <s v="P"/>
    <s v="P"/>
    <s v="-"/>
    <n v="2"/>
    <n v="1"/>
    <n v="2"/>
    <n v="0"/>
    <n v="1"/>
    <n v="2"/>
    <n v="2"/>
    <s v="-"/>
    <s v="-"/>
    <n v="2"/>
    <s v="-"/>
    <n v="12"/>
    <n v="13"/>
    <s v="-"/>
    <n v="1"/>
    <n v="1"/>
    <n v="2"/>
    <n v="2"/>
    <n v="14"/>
    <n v="15"/>
  </r>
  <r>
    <x v="0"/>
    <x v="4"/>
    <d v="1899-12-30T00:00:00"/>
    <s v="2ND"/>
    <d v="1899-12-30T15:00:00"/>
    <s v="Retail"/>
    <x v="9"/>
    <s v="-"/>
    <s v="-"/>
    <s v="-"/>
    <s v="-"/>
    <s v="-"/>
    <s v="-"/>
    <n v="9.84"/>
    <s v="-"/>
    <n v="4.51"/>
    <s v="-"/>
    <s v="-"/>
    <s v="-"/>
    <s v="-"/>
    <s v="-"/>
    <s v="-"/>
    <s v="-"/>
    <s v="-"/>
    <s v="-"/>
    <s v="-"/>
    <s v="-"/>
    <s v="-"/>
    <n v="0"/>
    <s v="-"/>
    <n v="2"/>
    <s v="-"/>
    <s v="-"/>
    <s v="-"/>
    <s v="-"/>
    <s v="-"/>
    <n v="2"/>
    <n v="3"/>
    <s v="-"/>
    <s v="-"/>
    <s v="-"/>
    <n v="0"/>
    <n v="0"/>
    <n v="2"/>
    <n v="3"/>
  </r>
  <r>
    <x v="0"/>
    <x v="5"/>
    <d v="2026-12-18T00:00:00"/>
    <s v="1ST"/>
    <s v="06:00"/>
    <n v="3"/>
    <x v="6"/>
    <n v="3.5999999999999999E-3"/>
    <s v="P"/>
    <s v="P"/>
    <s v="P"/>
    <s v="+"/>
    <s v="+"/>
    <n v="12.42"/>
    <n v="12.5"/>
    <n v="0.48"/>
    <n v="64.900000000000006"/>
    <s v="-"/>
    <s v="-"/>
    <n v="34.9"/>
    <s v="-"/>
    <s v="-"/>
    <s v="P"/>
    <s v="P"/>
    <s v="-"/>
    <n v="2"/>
    <n v="1"/>
    <n v="2"/>
    <n v="1"/>
    <n v="1"/>
    <n v="2"/>
    <n v="2"/>
    <s v="-"/>
    <s v="-"/>
    <n v="2"/>
    <s v="-"/>
    <n v="13"/>
    <n v="13"/>
    <s v="-"/>
    <n v="1"/>
    <n v="1"/>
    <n v="2"/>
    <n v="2"/>
    <n v="15"/>
    <n v="15"/>
  </r>
  <r>
    <x v="0"/>
    <x v="5"/>
    <d v="2026-12-18T00:00:00"/>
    <s v="1ST"/>
    <s v="07:00"/>
    <n v="3"/>
    <x v="6"/>
    <n v="3.3E-3"/>
    <s v="P"/>
    <s v="P"/>
    <s v="P"/>
    <s v="+"/>
    <s v="+"/>
    <n v="12.49"/>
    <s v="-"/>
    <s v="-"/>
    <s v="-"/>
    <s v="-"/>
    <s v="-"/>
    <s v="-"/>
    <s v="-"/>
    <s v="-"/>
    <s v="P"/>
    <s v="P"/>
    <s v="-"/>
    <n v="2"/>
    <n v="1"/>
    <n v="2"/>
    <n v="1"/>
    <s v="-"/>
    <s v="-"/>
    <s v="-"/>
    <s v="-"/>
    <s v="-"/>
    <s v="-"/>
    <s v="-"/>
    <n v="6"/>
    <n v="6"/>
    <s v="-"/>
    <n v="1"/>
    <n v="1"/>
    <n v="2"/>
    <n v="2"/>
    <n v="8"/>
    <n v="8"/>
  </r>
  <r>
    <x v="0"/>
    <x v="5"/>
    <d v="2026-12-18T00:00:00"/>
    <s v="1ST"/>
    <s v="08:00"/>
    <n v="3"/>
    <x v="6"/>
    <n v="5.9999999999999995E-4"/>
    <s v="P"/>
    <s v="P"/>
    <s v="P"/>
    <s v="+"/>
    <s v="+"/>
    <n v="12.52"/>
    <s v="-"/>
    <s v="-"/>
    <s v="-"/>
    <s v="-"/>
    <s v="-"/>
    <s v="-"/>
    <s v="-"/>
    <s v="-"/>
    <s v="P"/>
    <s v="P"/>
    <s v="-"/>
    <n v="2"/>
    <n v="1"/>
    <n v="2"/>
    <n v="1"/>
    <s v="-"/>
    <s v="-"/>
    <s v="-"/>
    <s v="-"/>
    <s v="-"/>
    <s v="-"/>
    <s v="-"/>
    <n v="6"/>
    <n v="6"/>
    <s v="-"/>
    <n v="1"/>
    <n v="1"/>
    <n v="2"/>
    <n v="2"/>
    <n v="8"/>
    <n v="8"/>
  </r>
  <r>
    <x v="0"/>
    <x v="5"/>
    <d v="2026-01-06T00:00:00"/>
    <s v="1ST"/>
    <s v="06:00"/>
    <n v="2"/>
    <x v="2"/>
    <n v="3.5000000000000001E-3"/>
    <s v="P"/>
    <s v="P"/>
    <s v="P"/>
    <s v="-"/>
    <s v="+"/>
    <n v="10.51"/>
    <n v="9.3000000000000007"/>
    <n v="0.55000000000000004"/>
    <n v="602"/>
    <s v="-"/>
    <s v="-"/>
    <n v="24.18"/>
    <s v="-"/>
    <s v="-"/>
    <s v="P"/>
    <s v="P"/>
    <s v="-"/>
    <n v="2"/>
    <n v="1"/>
    <n v="2"/>
    <n v="0"/>
    <n v="0"/>
    <n v="2"/>
    <n v="0"/>
    <s v="-"/>
    <s v="-"/>
    <n v="0"/>
    <s v="-"/>
    <n v="7"/>
    <n v="13"/>
    <s v="-"/>
    <n v="1"/>
    <n v="1"/>
    <n v="2"/>
    <n v="2"/>
    <n v="9"/>
    <n v="15"/>
  </r>
  <r>
    <x v="0"/>
    <x v="5"/>
    <d v="2026-01-03T00:00:00"/>
    <s v="1ST"/>
    <s v="10:00"/>
    <n v="3"/>
    <x v="8"/>
    <n v="1.06E-2"/>
    <s v="P"/>
    <s v="P"/>
    <s v="P"/>
    <s v="+"/>
    <s v="+"/>
    <n v="12.07"/>
    <n v="12.95"/>
    <n v="0.46"/>
    <n v="64.2"/>
    <s v="-"/>
    <s v="-"/>
    <n v="36.299999999999997"/>
    <s v="-"/>
    <s v="-"/>
    <s v="P"/>
    <s v="P"/>
    <s v="-"/>
    <n v="2"/>
    <n v="1"/>
    <n v="2"/>
    <n v="1"/>
    <n v="1"/>
    <n v="2"/>
    <n v="2"/>
    <s v="-"/>
    <s v="-"/>
    <s v="-"/>
    <s v="-"/>
    <n v="11"/>
    <n v="11"/>
    <s v="-"/>
    <n v="1"/>
    <n v="1"/>
    <n v="2"/>
    <n v="2"/>
    <n v="13"/>
    <n v="13"/>
  </r>
  <r>
    <x v="0"/>
    <x v="5"/>
    <d v="2026-01-03T00:00:00"/>
    <s v="1ST"/>
    <s v="11:00"/>
    <n v="3"/>
    <x v="8"/>
    <n v="6.1000000000000004E-3"/>
    <s v="P"/>
    <s v="P"/>
    <s v="P"/>
    <s v="+"/>
    <s v="+"/>
    <n v="12.68"/>
    <s v="-"/>
    <s v="-"/>
    <s v="-"/>
    <s v="-"/>
    <s v="-"/>
    <s v="-"/>
    <s v="-"/>
    <s v="-"/>
    <s v="P"/>
    <s v="P"/>
    <s v="-"/>
    <n v="2"/>
    <n v="1"/>
    <n v="2"/>
    <n v="1"/>
    <s v="-"/>
    <s v="-"/>
    <s v="-"/>
    <s v="-"/>
    <s v="-"/>
    <s v="-"/>
    <s v="-"/>
    <n v="6"/>
    <n v="6"/>
    <s v="-"/>
    <n v="1"/>
    <n v="1"/>
    <n v="2"/>
    <n v="2"/>
    <n v="8"/>
    <n v="8"/>
  </r>
  <r>
    <x v="0"/>
    <x v="5"/>
    <d v="2026-01-03T00:00:00"/>
    <s v="1ST"/>
    <s v="12:00"/>
    <n v="3"/>
    <x v="8"/>
    <n v="3.8E-3"/>
    <s v="P"/>
    <s v="P"/>
    <s v="P"/>
    <s v="+"/>
    <s v="+"/>
    <n v="13.07"/>
    <s v="-"/>
    <s v="-"/>
    <s v="-"/>
    <s v="-"/>
    <s v="-"/>
    <s v="-"/>
    <s v="-"/>
    <s v="-"/>
    <s v="P"/>
    <s v="P"/>
    <s v="-"/>
    <n v="2"/>
    <n v="1"/>
    <n v="2"/>
    <n v="1"/>
    <s v="-"/>
    <s v="-"/>
    <s v="-"/>
    <s v="-"/>
    <s v="-"/>
    <s v="-"/>
    <s v="-"/>
    <n v="6"/>
    <n v="6"/>
    <s v="-"/>
    <n v="1"/>
    <n v="1"/>
    <n v="2"/>
    <n v="2"/>
    <n v="8"/>
    <n v="8"/>
  </r>
  <r>
    <x v="0"/>
    <x v="5"/>
    <d v="2026-01-03T00:00:00"/>
    <s v="2ND"/>
    <d v="1899-12-30T14:00:00"/>
    <n v="3"/>
    <x v="8"/>
    <n v="1.2999999999999999E-2"/>
    <s v="P"/>
    <s v="P"/>
    <s v="P"/>
    <s v="+"/>
    <s v="+"/>
    <n v="13.43"/>
    <n v="13.43"/>
    <n v="0.46"/>
    <s v="-"/>
    <s v="-"/>
    <s v="-"/>
    <n v="36.6"/>
    <s v="-"/>
    <s v="-"/>
    <s v="P"/>
    <s v="P"/>
    <s v="-"/>
    <n v="2"/>
    <n v="1"/>
    <n v="2"/>
    <n v="1"/>
    <n v="1"/>
    <n v="2"/>
    <s v="-"/>
    <s v="-"/>
    <s v="-"/>
    <s v="-"/>
    <s v="-"/>
    <n v="9"/>
    <n v="9"/>
    <s v="-"/>
    <n v="1"/>
    <n v="1"/>
    <n v="2"/>
    <n v="2"/>
    <n v="11"/>
    <n v="11"/>
  </r>
  <r>
    <x v="0"/>
    <x v="5"/>
    <d v="2026-01-03T00:00:00"/>
    <s v="2ND"/>
    <d v="1899-12-30T15:00:00"/>
    <n v="3"/>
    <x v="8"/>
    <n v="6.3E-3"/>
    <s v="P"/>
    <s v="P"/>
    <s v="P"/>
    <s v="+"/>
    <s v="+"/>
    <n v="13.38"/>
    <s v="-"/>
    <s v="-"/>
    <s v="-"/>
    <s v="-"/>
    <s v="-"/>
    <s v="-"/>
    <s v="-"/>
    <s v="-"/>
    <s v="P"/>
    <s v="P"/>
    <s v="-"/>
    <n v="2"/>
    <n v="1"/>
    <n v="2"/>
    <n v="1"/>
    <s v="-"/>
    <s v="-"/>
    <s v="-"/>
    <s v="-"/>
    <s v="-"/>
    <s v="-"/>
    <s v="-"/>
    <n v="6"/>
    <n v="6"/>
    <s v="-"/>
    <n v="1"/>
    <n v="1"/>
    <n v="2"/>
    <n v="2"/>
    <n v="8"/>
    <n v="8"/>
  </r>
  <r>
    <x v="0"/>
    <x v="5"/>
    <d v="2026-01-03T00:00:00"/>
    <s v="2ND"/>
    <d v="1899-12-30T16:00:00"/>
    <n v="3"/>
    <x v="8"/>
    <n v="6.7999999999999996E-3"/>
    <s v="P"/>
    <s v="P"/>
    <s v="P"/>
    <s v="+"/>
    <s v="+"/>
    <n v="13.42"/>
    <s v="-"/>
    <s v="-"/>
    <s v="-"/>
    <s v="-"/>
    <s v="-"/>
    <s v="-"/>
    <s v="-"/>
    <s v="-"/>
    <s v="P"/>
    <s v="P"/>
    <s v="-"/>
    <n v="2"/>
    <n v="1"/>
    <n v="2"/>
    <n v="1"/>
    <s v="-"/>
    <s v="-"/>
    <s v="-"/>
    <s v="-"/>
    <s v="-"/>
    <s v="-"/>
    <s v="-"/>
    <n v="6"/>
    <n v="6"/>
    <s v="-"/>
    <n v="1"/>
    <n v="1"/>
    <n v="2"/>
    <n v="2"/>
    <n v="8"/>
    <n v="8"/>
  </r>
  <r>
    <x v="0"/>
    <x v="5"/>
    <d v="2026-01-03T00:00:00"/>
    <s v="2ND"/>
    <d v="1899-12-30T17:00:00"/>
    <n v="3"/>
    <x v="8"/>
    <n v="6.7999999999999996E-3"/>
    <s v="P"/>
    <s v="P"/>
    <s v="P"/>
    <s v="+"/>
    <s v="+"/>
    <n v="13.33"/>
    <s v="-"/>
    <s v="-"/>
    <s v="-"/>
    <s v="-"/>
    <s v="-"/>
    <s v="-"/>
    <s v="-"/>
    <s v="-"/>
    <s v="P"/>
    <s v="P"/>
    <s v="-"/>
    <n v="2"/>
    <n v="1"/>
    <n v="2"/>
    <n v="1"/>
    <s v="-"/>
    <s v="-"/>
    <s v="-"/>
    <s v="-"/>
    <s v="-"/>
    <s v="-"/>
    <s v="-"/>
    <n v="6"/>
    <n v="6"/>
    <s v="-"/>
    <n v="1"/>
    <n v="1"/>
    <n v="2"/>
    <n v="2"/>
    <n v="8"/>
    <n v="8"/>
  </r>
  <r>
    <x v="0"/>
    <x v="5"/>
    <d v="2025-12-18T00:00:00"/>
    <s v="2ND"/>
    <d v="1899-12-30T18:00:00"/>
    <n v="3"/>
    <x v="0"/>
    <n v="1.52E-2"/>
    <s v="P"/>
    <s v="P"/>
    <s v="P"/>
    <s v="+"/>
    <s v="+"/>
    <n v="12.38"/>
    <n v="11.43"/>
    <n v="0.49"/>
    <n v="64.7"/>
    <s v="-"/>
    <s v="-"/>
    <n v="33.200000000000003"/>
    <s v="-"/>
    <s v="-"/>
    <s v="P"/>
    <s v="P"/>
    <s v="-"/>
    <n v="2"/>
    <n v="1"/>
    <n v="2"/>
    <n v="1"/>
    <n v="0"/>
    <n v="2"/>
    <n v="2"/>
    <s v="-"/>
    <s v="-"/>
    <n v="2"/>
    <s v="-"/>
    <n v="12"/>
    <n v="13"/>
    <s v="-"/>
    <n v="1"/>
    <n v="1"/>
    <n v="2"/>
    <n v="2"/>
    <n v="14"/>
    <n v="15"/>
  </r>
  <r>
    <x v="0"/>
    <x v="5"/>
    <d v="2025-12-18T00:00:00"/>
    <s v="2ND"/>
    <d v="1899-12-30T15:00:00"/>
    <n v="1"/>
    <x v="1"/>
    <n v="5.4999999999999997E-3"/>
    <s v="P"/>
    <s v="P"/>
    <s v="P"/>
    <s v="+"/>
    <s v="+"/>
    <n v="11.91"/>
    <n v="11.94"/>
    <n v="0.49"/>
    <n v="64.7"/>
    <s v="-"/>
    <s v="-"/>
    <n v="33.200000000000003"/>
    <s v="-"/>
    <s v="-"/>
    <s v="P"/>
    <s v="P"/>
    <s v="-"/>
    <n v="2"/>
    <n v="1"/>
    <n v="2"/>
    <n v="0"/>
    <n v="0"/>
    <n v="2"/>
    <n v="2"/>
    <s v="-"/>
    <s v="-"/>
    <n v="2"/>
    <s v="-"/>
    <n v="11"/>
    <n v="13"/>
    <s v="-"/>
    <n v="1"/>
    <n v="1"/>
    <n v="2"/>
    <n v="2"/>
    <n v="13"/>
    <n v="15"/>
  </r>
  <r>
    <x v="0"/>
    <x v="5"/>
    <d v="2025-12-18T00:00:00"/>
    <s v="2ND"/>
    <d v="1899-12-30T16:00:00"/>
    <n v="1"/>
    <x v="1"/>
    <n v="9.5999999999999992E-3"/>
    <s v="P"/>
    <s v="P"/>
    <s v="P"/>
    <s v="+"/>
    <s v="+"/>
    <n v="12.07"/>
    <s v="-"/>
    <s v="-"/>
    <s v="-"/>
    <s v="-"/>
    <s v="-"/>
    <s v="-"/>
    <s v="-"/>
    <s v="-"/>
    <s v="P"/>
    <s v="P"/>
    <s v="-"/>
    <n v="2"/>
    <n v="1"/>
    <n v="2"/>
    <n v="1"/>
    <s v="-"/>
    <s v="-"/>
    <s v="-"/>
    <s v="-"/>
    <s v="-"/>
    <s v="-"/>
    <s v="-"/>
    <n v="6"/>
    <n v="6"/>
    <s v="-"/>
    <n v="1"/>
    <n v="1"/>
    <n v="2"/>
    <n v="2"/>
    <n v="8"/>
    <n v="8"/>
  </r>
  <r>
    <x v="0"/>
    <x v="5"/>
    <d v="2025-12-18T00:00:00"/>
    <s v="2ND"/>
    <d v="1899-12-30T17:00:00"/>
    <n v="1"/>
    <x v="1"/>
    <n v="9.4000000000000004E-3"/>
    <s v="P"/>
    <s v="P"/>
    <s v="P"/>
    <s v="+"/>
    <s v="+"/>
    <n v="11.99"/>
    <s v="-"/>
    <s v="-"/>
    <s v="-"/>
    <s v="-"/>
    <s v="-"/>
    <s v="-"/>
    <s v="-"/>
    <s v="-"/>
    <s v="P"/>
    <s v="P"/>
    <s v="-"/>
    <n v="2"/>
    <n v="1"/>
    <n v="2"/>
    <n v="0"/>
    <s v="-"/>
    <s v="-"/>
    <s v="-"/>
    <s v="-"/>
    <s v="-"/>
    <s v="-"/>
    <s v="-"/>
    <n v="5"/>
    <n v="6"/>
    <s v="-"/>
    <n v="1"/>
    <n v="1"/>
    <n v="2"/>
    <n v="2"/>
    <n v="7"/>
    <n v="8"/>
  </r>
  <r>
    <x v="0"/>
    <x v="5"/>
    <d v="2026-01-05T00:00:00"/>
    <s v="2ND"/>
    <d v="1899-12-30T18:00:00"/>
    <n v="1"/>
    <x v="1"/>
    <n v="8.0999999999999996E-3"/>
    <s v="P"/>
    <s v="P"/>
    <s v="P"/>
    <s v="+"/>
    <s v="+"/>
    <n v="13.12"/>
    <n v="12.02"/>
    <n v="0.53"/>
    <n v="65.3"/>
    <s v="-"/>
    <s v="-"/>
    <n v="33.6"/>
    <s v="-"/>
    <s v="-"/>
    <s v="P"/>
    <s v="P"/>
    <s v="-"/>
    <n v="2"/>
    <n v="1"/>
    <n v="2"/>
    <n v="1"/>
    <n v="1"/>
    <n v="2"/>
    <n v="2"/>
    <s v="-"/>
    <s v="-"/>
    <n v="2"/>
    <s v="-"/>
    <n v="13"/>
    <n v="13"/>
    <s v="-"/>
    <n v="1"/>
    <n v="1"/>
    <n v="2"/>
    <n v="2"/>
    <n v="15"/>
    <n v="15"/>
  </r>
  <r>
    <x v="0"/>
    <x v="5"/>
    <d v="2026-01-05T00:00:00"/>
    <s v="2ND"/>
    <d v="1899-12-30T20:00:00"/>
    <n v="1"/>
    <x v="1"/>
    <n v="1.2999999999999999E-2"/>
    <s v="P"/>
    <s v="P"/>
    <s v="P"/>
    <s v="+"/>
    <s v="+"/>
    <n v="12.13"/>
    <s v="-"/>
    <s v="-"/>
    <s v="-"/>
    <s v="-"/>
    <s v="-"/>
    <s v="-"/>
    <s v="-"/>
    <s v="-"/>
    <s v="P"/>
    <s v="P"/>
    <s v="-"/>
    <n v="2"/>
    <n v="1"/>
    <n v="2"/>
    <n v="1"/>
    <s v="-"/>
    <s v="-"/>
    <s v="-"/>
    <s v="-"/>
    <s v="-"/>
    <s v="-"/>
    <s v="-"/>
    <n v="6"/>
    <n v="6"/>
    <s v="-"/>
    <n v="1"/>
    <n v="1"/>
    <n v="2"/>
    <n v="2"/>
    <n v="8"/>
    <n v="8"/>
  </r>
  <r>
    <x v="0"/>
    <x v="5"/>
    <d v="2026-01-05T00:00:00"/>
    <s v="2ND"/>
    <d v="1899-12-30T21:00:00"/>
    <n v="1"/>
    <x v="1"/>
    <n v="1.6400000000000001E-2"/>
    <s v="P"/>
    <s v="P"/>
    <s v="P"/>
    <s v="+"/>
    <s v="+"/>
    <n v="12.44"/>
    <s v="-"/>
    <s v="-"/>
    <s v="-"/>
    <s v="-"/>
    <s v="-"/>
    <s v="-"/>
    <s v="-"/>
    <s v="-"/>
    <s v="P"/>
    <s v="P"/>
    <s v="-"/>
    <n v="2"/>
    <n v="1"/>
    <n v="2"/>
    <n v="1"/>
    <s v="-"/>
    <s v="-"/>
    <s v="-"/>
    <s v="-"/>
    <s v="-"/>
    <s v="-"/>
    <s v="-"/>
    <n v="6"/>
    <n v="6"/>
    <s v="-"/>
    <n v="1"/>
    <n v="1"/>
    <n v="2"/>
    <n v="2"/>
    <n v="8"/>
    <n v="8"/>
  </r>
  <r>
    <x v="0"/>
    <x v="5"/>
    <d v="2025-12-18T00:00:00"/>
    <s v="2ND"/>
    <d v="1899-12-30T20:00:00"/>
    <n v="3"/>
    <x v="1"/>
    <n v="9.7000000000000003E-3"/>
    <s v="P"/>
    <s v="P"/>
    <s v="P"/>
    <s v="+"/>
    <s v="+"/>
    <n v="12.32"/>
    <s v="-"/>
    <s v="-"/>
    <s v="-"/>
    <s v="-"/>
    <s v="-"/>
    <s v="-"/>
    <s v="-"/>
    <s v="-"/>
    <s v="P"/>
    <s v="P"/>
    <s v="-"/>
    <n v="2"/>
    <n v="1"/>
    <n v="2"/>
    <n v="1"/>
    <s v="-"/>
    <s v="-"/>
    <s v="-"/>
    <s v="-"/>
    <s v="-"/>
    <s v="-"/>
    <s v="-"/>
    <n v="6"/>
    <n v="6"/>
    <s v="-"/>
    <n v="1"/>
    <n v="1"/>
    <n v="2"/>
    <n v="2"/>
    <n v="8"/>
    <n v="8"/>
  </r>
  <r>
    <x v="0"/>
    <x v="5"/>
    <d v="2025-12-19T00:00:00"/>
    <s v="2ND"/>
    <d v="1899-12-30T21:00:00"/>
    <n v="3"/>
    <x v="1"/>
    <n v="1.5599999999999999E-2"/>
    <s v="P"/>
    <s v="P"/>
    <s v="P"/>
    <s v="+"/>
    <s v="+"/>
    <n v="12.96"/>
    <s v="-"/>
    <s v="-"/>
    <s v="-"/>
    <s v="-"/>
    <s v="-"/>
    <s v="-"/>
    <s v="-"/>
    <s v="-"/>
    <s v="P"/>
    <s v="P"/>
    <s v="-"/>
    <n v="2"/>
    <n v="1"/>
    <n v="2"/>
    <n v="1"/>
    <s v="-"/>
    <s v="-"/>
    <s v="-"/>
    <s v="-"/>
    <s v="-"/>
    <s v="-"/>
    <s v="-"/>
    <n v="6"/>
    <n v="6"/>
    <s v="-"/>
    <n v="1"/>
    <n v="1"/>
    <n v="2"/>
    <n v="2"/>
    <n v="8"/>
    <n v="8"/>
  </r>
  <r>
    <x v="0"/>
    <x v="5"/>
    <d v="2026-01-05T00:00:00"/>
    <s v="3RD"/>
    <d v="1899-12-30T22:00:00"/>
    <n v="1"/>
    <x v="1"/>
    <n v="1.0200000000000001E-2"/>
    <s v="P"/>
    <s v="P"/>
    <s v="P"/>
    <s v="+"/>
    <s v="+"/>
    <n v="12.39"/>
    <n v="12.96"/>
    <n v="0.49"/>
    <s v="-"/>
    <s v="-"/>
    <s v="-"/>
    <n v="36.299999999999997"/>
    <s v="-"/>
    <s v="-"/>
    <s v="P"/>
    <s v="P"/>
    <s v="-"/>
    <n v="2"/>
    <n v="1"/>
    <n v="2"/>
    <n v="1"/>
    <n v="1"/>
    <n v="2"/>
    <s v="-"/>
    <s v="-"/>
    <s v="-"/>
    <n v="2"/>
    <s v="-"/>
    <n v="11"/>
    <n v="11"/>
    <s v="-"/>
    <n v="1"/>
    <n v="1"/>
    <n v="2"/>
    <n v="2"/>
    <n v="13"/>
    <n v="13"/>
  </r>
  <r>
    <x v="0"/>
    <x v="5"/>
    <d v="2026-01-05T00:00:00"/>
    <s v="3RD"/>
    <d v="1899-12-30T23:00:00"/>
    <n v="1"/>
    <x v="1"/>
    <n v="6.8999999999999999E-3"/>
    <s v="P"/>
    <s v="P"/>
    <s v="P"/>
    <s v="+"/>
    <s v="+"/>
    <n v="12.65"/>
    <s v="-"/>
    <s v="-"/>
    <s v="-"/>
    <s v="-"/>
    <s v="-"/>
    <s v="-"/>
    <s v="-"/>
    <s v="-"/>
    <s v="P"/>
    <s v="P"/>
    <s v="-"/>
    <n v="2"/>
    <n v="1"/>
    <n v="2"/>
    <n v="1"/>
    <s v="-"/>
    <s v="-"/>
    <s v="-"/>
    <s v="-"/>
    <s v="-"/>
    <s v="-"/>
    <s v="-"/>
    <n v="6"/>
    <n v="6"/>
    <s v="-"/>
    <n v="1"/>
    <n v="1"/>
    <n v="2"/>
    <n v="2"/>
    <n v="8"/>
    <n v="8"/>
  </r>
  <r>
    <x v="0"/>
    <x v="5"/>
    <d v="2026-01-05T00:00:00"/>
    <s v="3RD"/>
    <d v="1899-12-31T00:00:00"/>
    <n v="1"/>
    <x v="1"/>
    <n v="1.5E-3"/>
    <s v="P"/>
    <s v="P"/>
    <s v="P"/>
    <s v="+"/>
    <s v="+"/>
    <n v="12.66"/>
    <s v="-"/>
    <s v="-"/>
    <s v="-"/>
    <s v="-"/>
    <s v="-"/>
    <s v="-"/>
    <s v="-"/>
    <s v="-"/>
    <s v="P"/>
    <s v="P"/>
    <s v="-"/>
    <n v="2"/>
    <n v="1"/>
    <n v="2"/>
    <n v="1"/>
    <s v="-"/>
    <s v="-"/>
    <s v="-"/>
    <s v="-"/>
    <s v="-"/>
    <s v="-"/>
    <s v="-"/>
    <n v="6"/>
    <n v="6"/>
    <s v="-"/>
    <n v="1"/>
    <n v="1"/>
    <n v="2"/>
    <n v="2"/>
    <n v="8"/>
    <n v="8"/>
  </r>
  <r>
    <x v="0"/>
    <x v="5"/>
    <d v="2026-01-05T00:00:00"/>
    <s v="3RD"/>
    <d v="1899-12-31T01:00:00"/>
    <n v="1"/>
    <x v="1"/>
    <n v="9.1999999999999998E-3"/>
    <s v="P"/>
    <s v="P"/>
    <s v="P"/>
    <s v="+"/>
    <s v="+"/>
    <n v="11.3"/>
    <s v="-"/>
    <s v="-"/>
    <s v="-"/>
    <s v="-"/>
    <s v="-"/>
    <s v="-"/>
    <s v="-"/>
    <s v="-"/>
    <s v="P"/>
    <s v="P"/>
    <s v="-"/>
    <n v="2"/>
    <n v="1"/>
    <n v="2"/>
    <n v="0"/>
    <s v="-"/>
    <s v="-"/>
    <s v="-"/>
    <s v="-"/>
    <s v="-"/>
    <s v="-"/>
    <s v="-"/>
    <n v="5"/>
    <n v="6"/>
    <s v="-"/>
    <n v="1"/>
    <n v="1"/>
    <n v="2"/>
    <n v="2"/>
    <n v="7"/>
    <n v="8"/>
  </r>
  <r>
    <x v="0"/>
    <x v="5"/>
    <d v="2026-12-19T00:00:00"/>
    <s v="3RD"/>
    <d v="1899-12-30T22:00:00"/>
    <n v="3"/>
    <x v="1"/>
    <n v="7.7999999999999996E-3"/>
    <s v="P"/>
    <s v="P"/>
    <s v="P"/>
    <s v="+"/>
    <s v="+"/>
    <n v="12.91"/>
    <n v="12.71"/>
    <n v="0.49"/>
    <n v="64"/>
    <s v="-"/>
    <s v="-"/>
    <n v="35.6"/>
    <s v="-"/>
    <s v="-"/>
    <s v="P"/>
    <s v="P"/>
    <s v="-"/>
    <n v="2"/>
    <n v="1"/>
    <n v="2"/>
    <n v="1"/>
    <n v="1"/>
    <n v="2"/>
    <n v="2"/>
    <s v="-"/>
    <s v="-"/>
    <n v="2"/>
    <s v="-"/>
    <n v="13"/>
    <n v="13"/>
    <s v="-"/>
    <n v="1"/>
    <n v="1"/>
    <n v="2"/>
    <n v="2"/>
    <n v="15"/>
    <n v="15"/>
  </r>
  <r>
    <x v="0"/>
    <x v="5"/>
    <d v="2026-12-19T00:00:00"/>
    <s v="3RD"/>
    <d v="1899-12-30T23:00:00"/>
    <n v="3"/>
    <x v="1"/>
    <n v="1.23E-2"/>
    <s v="P"/>
    <s v="P"/>
    <s v="P"/>
    <s v="+"/>
    <s v="+"/>
    <n v="12.82"/>
    <s v="-"/>
    <s v="-"/>
    <s v="-"/>
    <s v="-"/>
    <s v="-"/>
    <s v="-"/>
    <s v="-"/>
    <s v="-"/>
    <s v="P"/>
    <s v="P"/>
    <s v="-"/>
    <n v="2"/>
    <n v="1"/>
    <n v="2"/>
    <n v="1"/>
    <s v="-"/>
    <s v="-"/>
    <s v="-"/>
    <s v="-"/>
    <s v="-"/>
    <s v="-"/>
    <s v="-"/>
    <n v="6"/>
    <n v="6"/>
    <s v="-"/>
    <n v="1"/>
    <n v="1"/>
    <n v="2"/>
    <n v="2"/>
    <n v="8"/>
    <n v="8"/>
  </r>
  <r>
    <x v="0"/>
    <x v="5"/>
    <d v="2026-12-19T00:00:00"/>
    <s v="3RD"/>
    <d v="1899-12-31T00:00:00"/>
    <n v="3"/>
    <x v="1"/>
    <n v="1.2699999999999999E-2"/>
    <s v="P"/>
    <s v="P"/>
    <s v="P"/>
    <s v="+"/>
    <s v="+"/>
    <n v="12.65"/>
    <s v="-"/>
    <s v="-"/>
    <s v="-"/>
    <s v="-"/>
    <s v="-"/>
    <s v="-"/>
    <s v="-"/>
    <s v="-"/>
    <s v="P"/>
    <s v="P"/>
    <s v="-"/>
    <n v="2"/>
    <n v="1"/>
    <n v="2"/>
    <n v="1"/>
    <s v="-"/>
    <s v="-"/>
    <s v="-"/>
    <s v="-"/>
    <s v="-"/>
    <s v="-"/>
    <s v="-"/>
    <n v="6"/>
    <n v="6"/>
    <s v="-"/>
    <n v="1"/>
    <n v="1"/>
    <n v="2"/>
    <n v="2"/>
    <n v="8"/>
    <n v="8"/>
  </r>
  <r>
    <x v="0"/>
    <x v="5"/>
    <d v="2026-12-19T00:00:00"/>
    <s v="3RD"/>
    <d v="1899-12-31T01:00:00"/>
    <n v="3"/>
    <x v="1"/>
    <n v="1.8599999999999998E-2"/>
    <s v="P"/>
    <s v="P"/>
    <s v="P"/>
    <s v="+"/>
    <s v="+"/>
    <n v="12.57"/>
    <s v="-"/>
    <s v="-"/>
    <s v="-"/>
    <s v="-"/>
    <s v="-"/>
    <s v="-"/>
    <s v="-"/>
    <s v="-"/>
    <s v="P"/>
    <s v="P"/>
    <s v="-"/>
    <n v="2"/>
    <n v="1"/>
    <n v="2"/>
    <n v="1"/>
    <s v="-"/>
    <s v="-"/>
    <s v="-"/>
    <s v="-"/>
    <s v="-"/>
    <s v="-"/>
    <s v="-"/>
    <n v="6"/>
    <n v="6"/>
    <s v="-"/>
    <n v="1"/>
    <n v="1"/>
    <n v="2"/>
    <n v="2"/>
    <n v="8"/>
    <n v="8"/>
  </r>
  <r>
    <x v="0"/>
    <x v="5"/>
    <d v="2026-12-19T00:00:00"/>
    <s v="3RD"/>
    <d v="1899-12-31T02:00:00"/>
    <n v="3"/>
    <x v="1"/>
    <n v="1.7299999999999999E-2"/>
    <s v="P"/>
    <s v="P"/>
    <s v="P"/>
    <s v="+"/>
    <s v="+"/>
    <n v="12.86"/>
    <s v="-"/>
    <s v="-"/>
    <s v="-"/>
    <s v="-"/>
    <s v="-"/>
    <s v="-"/>
    <s v="-"/>
    <s v="-"/>
    <s v="P"/>
    <s v="P"/>
    <s v="-"/>
    <n v="2"/>
    <n v="1"/>
    <n v="2"/>
    <n v="1"/>
    <s v="-"/>
    <s v="-"/>
    <s v="-"/>
    <s v="-"/>
    <s v="-"/>
    <s v="-"/>
    <s v="-"/>
    <n v="6"/>
    <n v="6"/>
    <s v="-"/>
    <n v="1"/>
    <n v="1"/>
    <n v="2"/>
    <n v="2"/>
    <n v="8"/>
    <n v="8"/>
  </r>
  <r>
    <x v="0"/>
    <x v="5"/>
    <d v="2026-12-19T00:00:00"/>
    <s v="3RD"/>
    <d v="1899-12-31T03:00:00"/>
    <n v="3"/>
    <x v="1"/>
    <n v="1.6899999999999998E-2"/>
    <s v="P"/>
    <s v="P"/>
    <s v="P"/>
    <s v="+"/>
    <s v="+"/>
    <n v="11.94"/>
    <s v="-"/>
    <s v="-"/>
    <s v="-"/>
    <s v="-"/>
    <s v="-"/>
    <s v="-"/>
    <s v="-"/>
    <s v="-"/>
    <s v="P"/>
    <s v="P"/>
    <s v="-"/>
    <n v="2"/>
    <n v="1"/>
    <n v="2"/>
    <n v="0"/>
    <s v="-"/>
    <s v="-"/>
    <s v="-"/>
    <s v="-"/>
    <s v="-"/>
    <s v="-"/>
    <s v="-"/>
    <n v="5"/>
    <n v="6"/>
    <s v="-"/>
    <n v="1"/>
    <n v="1"/>
    <n v="2"/>
    <n v="2"/>
    <n v="7"/>
    <n v="8"/>
  </r>
  <r>
    <x v="0"/>
    <x v="5"/>
    <d v="2026-01-05T00:00:00"/>
    <s v="3RD"/>
    <d v="1899-12-31T04:00:00"/>
    <n v="3"/>
    <x v="1"/>
    <n v="1.37E-2"/>
    <s v="P"/>
    <s v="P"/>
    <s v="P"/>
    <s v="+"/>
    <s v="+"/>
    <n v="12.74"/>
    <n v="12.96"/>
    <n v="0.49"/>
    <s v="-"/>
    <s v="-"/>
    <s v="-"/>
    <n v="36.299999999999997"/>
    <s v="-"/>
    <s v="-"/>
    <s v="P"/>
    <s v="P"/>
    <s v="-"/>
    <n v="2"/>
    <n v="1"/>
    <n v="2"/>
    <n v="1"/>
    <n v="1"/>
    <n v="2"/>
    <s v="-"/>
    <s v="-"/>
    <s v="-"/>
    <n v="2"/>
    <s v="-"/>
    <n v="11"/>
    <n v="11"/>
    <s v="-"/>
    <n v="1"/>
    <n v="1"/>
    <n v="2"/>
    <n v="2"/>
    <n v="13"/>
    <n v="13"/>
  </r>
  <r>
    <x v="0"/>
    <x v="5"/>
    <d v="1899-12-30T00:00:00"/>
    <s v="3RD"/>
    <d v="1899-12-30T22:00:00"/>
    <s v="Retail"/>
    <x v="13"/>
    <s v="-"/>
    <s v="-"/>
    <s v="-"/>
    <s v="-"/>
    <s v="-"/>
    <s v="-"/>
    <s v="-"/>
    <s v="-"/>
    <n v="4.28"/>
    <s v="-"/>
    <s v="-"/>
    <s v="-"/>
    <s v="-"/>
    <s v="-"/>
    <s v="-"/>
    <s v="-"/>
    <s v="-"/>
    <s v="-"/>
    <s v="-"/>
    <s v="-"/>
    <s v="-"/>
    <s v="-"/>
    <s v="-"/>
    <n v="2"/>
    <s v="-"/>
    <s v="-"/>
    <s v="-"/>
    <s v="-"/>
    <s v="-"/>
    <n v="2"/>
    <n v="2"/>
    <s v="-"/>
    <s v="-"/>
    <s v="-"/>
    <n v="0"/>
    <n v="0"/>
    <n v="2"/>
    <n v="2"/>
  </r>
  <r>
    <x v="0"/>
    <x v="5"/>
    <d v="2026-01-06T00:00:00"/>
    <s v="1ST"/>
    <s v="07:00"/>
    <n v="2"/>
    <x v="14"/>
    <n v="3.0000000000000001E-3"/>
    <s v="P"/>
    <s v="P"/>
    <s v="P"/>
    <s v="-"/>
    <s v="+"/>
    <n v="10.25"/>
    <s v="-"/>
    <s v="-"/>
    <s v="-"/>
    <s v="-"/>
    <s v="-"/>
    <s v="-"/>
    <s v="-"/>
    <s v="-"/>
    <s v="P"/>
    <s v="P"/>
    <s v="-"/>
    <n v="2"/>
    <n v="1"/>
    <n v="2"/>
    <n v="0"/>
    <s v="-"/>
    <s v="-"/>
    <s v="-"/>
    <s v="-"/>
    <s v="-"/>
    <s v="-"/>
    <s v="-"/>
    <n v="5"/>
    <n v="6"/>
    <s v="-"/>
    <n v="1"/>
    <n v="1"/>
    <n v="2"/>
    <n v="2"/>
    <n v="7"/>
    <n v="8"/>
  </r>
  <r>
    <x v="0"/>
    <x v="5"/>
    <d v="2026-12-22T00:00:00"/>
    <s v="1ST"/>
    <s v="08:00"/>
    <n v="2"/>
    <x v="4"/>
    <n v="1.1999999999999999E-3"/>
    <s v="P"/>
    <s v="P"/>
    <s v="P"/>
    <s v="-"/>
    <s v="+"/>
    <n v="10.86"/>
    <s v="-"/>
    <s v="-"/>
    <s v="-"/>
    <s v="-"/>
    <s v="-"/>
    <s v="-"/>
    <s v="-"/>
    <s v="-"/>
    <s v="P"/>
    <s v="P"/>
    <s v="-"/>
    <n v="2"/>
    <n v="1"/>
    <n v="2"/>
    <n v="0"/>
    <s v="-"/>
    <s v="-"/>
    <s v="-"/>
    <s v="-"/>
    <s v="-"/>
    <s v="-"/>
    <s v="-"/>
    <n v="5"/>
    <n v="6"/>
    <s v="-"/>
    <n v="1"/>
    <n v="1"/>
    <n v="2"/>
    <n v="2"/>
    <n v="7"/>
    <n v="8"/>
  </r>
  <r>
    <x v="0"/>
    <x v="5"/>
    <d v="2026-12-22T00:00:00"/>
    <s v="1ST"/>
    <s v="10:00"/>
    <n v="2"/>
    <x v="4"/>
    <n v="3.0000000000000001E-3"/>
    <s v="P"/>
    <s v="P"/>
    <s v="P"/>
    <s v="-"/>
    <s v="+"/>
    <n v="11.09"/>
    <n v="8.57"/>
    <n v="0.46"/>
    <n v="54.7"/>
    <s v="-"/>
    <s v="-"/>
    <n v="23.14"/>
    <s v="-"/>
    <s v="-"/>
    <s v="P"/>
    <s v="P"/>
    <s v="-"/>
    <n v="2"/>
    <n v="1"/>
    <n v="2"/>
    <n v="1"/>
    <n v="1"/>
    <n v="2"/>
    <n v="2"/>
    <s v="-"/>
    <s v="-"/>
    <n v="2"/>
    <s v="-"/>
    <n v="13"/>
    <n v="13"/>
    <s v="-"/>
    <n v="1"/>
    <n v="1"/>
    <n v="2"/>
    <n v="2"/>
    <n v="15"/>
    <n v="15"/>
  </r>
  <r>
    <x v="0"/>
    <x v="5"/>
    <d v="2026-12-22T00:00:00"/>
    <s v="1ST"/>
    <s v="12:00"/>
    <n v="2"/>
    <x v="4"/>
    <n v="2.8E-3"/>
    <s v="P"/>
    <s v="P"/>
    <s v="P"/>
    <s v="-"/>
    <s v="+"/>
    <n v="11.24"/>
    <s v="-"/>
    <s v="-"/>
    <s v="-"/>
    <s v="-"/>
    <s v="-"/>
    <s v="-"/>
    <s v="-"/>
    <s v="-"/>
    <s v="P"/>
    <s v="P"/>
    <s v="-"/>
    <n v="2"/>
    <n v="1"/>
    <n v="2"/>
    <n v="1"/>
    <s v="-"/>
    <s v="-"/>
    <s v="-"/>
    <s v="-"/>
    <s v="-"/>
    <s v="-"/>
    <s v="-"/>
    <n v="6"/>
    <n v="6"/>
    <s v="-"/>
    <n v="1"/>
    <n v="1"/>
    <n v="2"/>
    <n v="2"/>
    <n v="8"/>
    <n v="8"/>
  </r>
  <r>
    <x v="0"/>
    <x v="5"/>
    <d v="2026-12-22T00:00:00"/>
    <s v="1ST"/>
    <s v="13:00"/>
    <n v="2"/>
    <x v="4"/>
    <n v="3.0999999999999999E-3"/>
    <s v="P"/>
    <s v="P"/>
    <s v="P"/>
    <s v="-"/>
    <s v="+"/>
    <n v="11.23"/>
    <s v="-"/>
    <s v="-"/>
    <s v="-"/>
    <s v="-"/>
    <s v="-"/>
    <s v="-"/>
    <s v="-"/>
    <s v="-"/>
    <s v="P"/>
    <s v="P"/>
    <s v="-"/>
    <n v="2"/>
    <n v="1"/>
    <n v="2"/>
    <n v="1"/>
    <s v="-"/>
    <s v="-"/>
    <s v="-"/>
    <s v="-"/>
    <s v="-"/>
    <s v="-"/>
    <s v="-"/>
    <n v="6"/>
    <n v="6"/>
    <s v="-"/>
    <n v="1"/>
    <n v="1"/>
    <n v="2"/>
    <n v="2"/>
    <n v="8"/>
    <n v="8"/>
  </r>
  <r>
    <x v="0"/>
    <x v="5"/>
    <d v="1899-12-30T00:00:00"/>
    <s v="2ND"/>
    <d v="1899-12-30T14:00:00"/>
    <s v="Retail"/>
    <x v="9"/>
    <s v="-"/>
    <s v="-"/>
    <s v="-"/>
    <s v="-"/>
    <s v="-"/>
    <s v="-"/>
    <n v="9.84"/>
    <s v="-"/>
    <n v="4.49"/>
    <s v="-"/>
    <s v="-"/>
    <s v="-"/>
    <s v="-"/>
    <s v="-"/>
    <s v="-"/>
    <s v="-"/>
    <s v="-"/>
    <s v="-"/>
    <s v="-"/>
    <s v="-"/>
    <s v="-"/>
    <n v="0"/>
    <s v="-"/>
    <n v="2"/>
    <s v="-"/>
    <s v="-"/>
    <s v="-"/>
    <s v="-"/>
    <s v="-"/>
    <n v="2"/>
    <n v="3"/>
    <s v="-"/>
    <s v="-"/>
    <s v="-"/>
    <n v="0"/>
    <n v="0"/>
    <n v="2"/>
    <n v="3"/>
  </r>
  <r>
    <x v="0"/>
    <x v="6"/>
    <d v="2026-01-05T00:00:00"/>
    <s v="1ST"/>
    <s v="06:00"/>
    <n v="3"/>
    <x v="1"/>
    <n v="6.1999999999999998E-3"/>
    <s v="P"/>
    <s v="P"/>
    <s v="P"/>
    <s v="+"/>
    <s v="+"/>
    <n v="12.83"/>
    <n v="12.64"/>
    <n v="0.5"/>
    <n v="63.9"/>
    <s v="-"/>
    <s v="-"/>
    <n v="35.299999999999997"/>
    <s v="-"/>
    <s v="-"/>
    <s v="P"/>
    <s v="P"/>
    <s v="-"/>
    <n v="2"/>
    <n v="1"/>
    <n v="2"/>
    <n v="1"/>
    <n v="1"/>
    <n v="2"/>
    <n v="0"/>
    <s v="-"/>
    <s v="-"/>
    <n v="2"/>
    <s v="-"/>
    <n v="11"/>
    <n v="13"/>
    <s v="-"/>
    <n v="1"/>
    <n v="1"/>
    <n v="2"/>
    <n v="2"/>
    <n v="13"/>
    <n v="15"/>
  </r>
  <r>
    <x v="0"/>
    <x v="6"/>
    <d v="2026-01-05T00:00:00"/>
    <s v="1ST"/>
    <s v="07:00"/>
    <n v="3"/>
    <x v="1"/>
    <n v="3.5000000000000001E-3"/>
    <s v="P"/>
    <s v="P"/>
    <s v="P"/>
    <s v="+"/>
    <s v="+"/>
    <n v="12.65"/>
    <s v="-"/>
    <s v="-"/>
    <s v="-"/>
    <s v="-"/>
    <s v="-"/>
    <s v="-"/>
    <s v="-"/>
    <s v="-"/>
    <s v="P"/>
    <s v="P"/>
    <s v="-"/>
    <n v="2"/>
    <n v="1"/>
    <n v="2"/>
    <n v="1"/>
    <s v="-"/>
    <s v="-"/>
    <s v="-"/>
    <s v="-"/>
    <s v="-"/>
    <s v="-"/>
    <s v="-"/>
    <n v="6"/>
    <n v="6"/>
    <s v="-"/>
    <n v="1"/>
    <n v="1"/>
    <n v="2"/>
    <n v="2"/>
    <n v="8"/>
    <n v="8"/>
  </r>
  <r>
    <x v="0"/>
    <x v="6"/>
    <d v="2026-01-05T00:00:00"/>
    <s v="1ST"/>
    <s v="09:00"/>
    <n v="3"/>
    <x v="1"/>
    <n v="3.3999999999999998E-3"/>
    <s v="P"/>
    <s v="P"/>
    <s v="P"/>
    <s v="+"/>
    <s v="+"/>
    <n v="12.89"/>
    <s v="-"/>
    <s v="-"/>
    <s v="-"/>
    <s v="-"/>
    <s v="-"/>
    <s v="-"/>
    <s v="-"/>
    <s v="-"/>
    <s v="P"/>
    <s v="P"/>
    <s v="-"/>
    <n v="2"/>
    <n v="1"/>
    <n v="2"/>
    <n v="1"/>
    <s v="-"/>
    <s v="-"/>
    <s v="-"/>
    <s v="-"/>
    <s v="-"/>
    <s v="-"/>
    <s v="-"/>
    <n v="6"/>
    <n v="6"/>
    <s v="-"/>
    <n v="1"/>
    <n v="1"/>
    <n v="2"/>
    <n v="2"/>
    <n v="8"/>
    <n v="8"/>
  </r>
  <r>
    <x v="0"/>
    <x v="6"/>
    <d v="2026-01-05T00:00:00"/>
    <s v="1ST"/>
    <s v="10:00"/>
    <n v="3"/>
    <x v="1"/>
    <n v="3.0999999999999999E-3"/>
    <s v="P"/>
    <s v="P"/>
    <s v="P"/>
    <s v="+"/>
    <s v="+"/>
    <n v="12.65"/>
    <s v="-"/>
    <s v="-"/>
    <s v="-"/>
    <s v="-"/>
    <s v="-"/>
    <s v="-"/>
    <s v="-"/>
    <s v="-"/>
    <s v="P"/>
    <s v="P"/>
    <s v="-"/>
    <n v="2"/>
    <n v="1"/>
    <n v="2"/>
    <n v="1"/>
    <s v="-"/>
    <s v="-"/>
    <s v="-"/>
    <s v="-"/>
    <s v="-"/>
    <s v="-"/>
    <s v="-"/>
    <n v="6"/>
    <n v="6"/>
    <s v="-"/>
    <n v="1"/>
    <n v="1"/>
    <n v="2"/>
    <n v="2"/>
    <n v="8"/>
    <n v="8"/>
  </r>
  <r>
    <x v="0"/>
    <x v="6"/>
    <d v="2026-01-05T00:00:00"/>
    <s v="1ST"/>
    <s v="12:00"/>
    <n v="3"/>
    <x v="1"/>
    <n v="3.2000000000000002E-3"/>
    <s v="P"/>
    <s v="P"/>
    <s v="P"/>
    <s v="+"/>
    <s v="+"/>
    <n v="12.76"/>
    <s v="-"/>
    <s v="-"/>
    <s v="-"/>
    <s v="-"/>
    <s v="-"/>
    <s v="-"/>
    <s v="-"/>
    <s v="-"/>
    <s v="P"/>
    <s v="P"/>
    <s v="-"/>
    <n v="2"/>
    <n v="1"/>
    <n v="2"/>
    <n v="1"/>
    <s v="-"/>
    <s v="-"/>
    <s v="-"/>
    <s v="-"/>
    <s v="-"/>
    <s v="-"/>
    <s v="-"/>
    <n v="6"/>
    <n v="6"/>
    <s v="-"/>
    <n v="1"/>
    <n v="1"/>
    <n v="2"/>
    <n v="2"/>
    <n v="8"/>
    <n v="8"/>
  </r>
  <r>
    <x v="0"/>
    <x v="6"/>
    <d v="2026-01-05T00:00:00"/>
    <s v="1ST"/>
    <s v="13:00"/>
    <n v="3"/>
    <x v="1"/>
    <n v="3.3999999999999998E-3"/>
    <s v="P"/>
    <s v="P"/>
    <s v="P"/>
    <s v="+"/>
    <s v="+"/>
    <n v="12.49"/>
    <s v="-"/>
    <s v="-"/>
    <s v="-"/>
    <s v="-"/>
    <s v="-"/>
    <s v="-"/>
    <s v="-"/>
    <s v="-"/>
    <s v="P"/>
    <s v="P"/>
    <s v="-"/>
    <n v="2"/>
    <n v="1"/>
    <n v="2"/>
    <n v="1"/>
    <s v="-"/>
    <s v="-"/>
    <s v="-"/>
    <s v="-"/>
    <s v="-"/>
    <s v="-"/>
    <s v="-"/>
    <n v="6"/>
    <n v="6"/>
    <s v="-"/>
    <n v="1"/>
    <n v="1"/>
    <n v="2"/>
    <n v="2"/>
    <n v="8"/>
    <n v="8"/>
  </r>
  <r>
    <x v="0"/>
    <x v="6"/>
    <d v="2026-01-05T00:00:00"/>
    <s v="2ND"/>
    <d v="1899-12-30T14:00:00"/>
    <n v="3"/>
    <x v="1"/>
    <n v="1.23E-2"/>
    <s v="P"/>
    <s v="P"/>
    <s v="P"/>
    <s v="+"/>
    <s v="+"/>
    <n v="12.58"/>
    <n v="12.58"/>
    <n v="0.53"/>
    <s v="-"/>
    <s v="-"/>
    <s v="-"/>
    <n v="35.200000000000003"/>
    <s v="-"/>
    <s v="-"/>
    <s v="P"/>
    <s v="P"/>
    <s v="55% 15%"/>
    <n v="2"/>
    <n v="1"/>
    <n v="2"/>
    <n v="1"/>
    <n v="1"/>
    <n v="2"/>
    <s v="-"/>
    <s v="-"/>
    <s v="-"/>
    <n v="2"/>
    <s v="-"/>
    <n v="11"/>
    <n v="11"/>
    <s v="-"/>
    <n v="1"/>
    <n v="1"/>
    <n v="2"/>
    <n v="2"/>
    <n v="13"/>
    <n v="13"/>
  </r>
  <r>
    <x v="0"/>
    <x v="6"/>
    <d v="1899-12-30T00:00:00"/>
    <s v="2ND"/>
    <d v="1899-12-30T14:00:00"/>
    <s v="Retail"/>
    <x v="9"/>
    <s v="-"/>
    <s v="-"/>
    <s v="-"/>
    <s v="-"/>
    <s v="-"/>
    <s v="-"/>
    <n v="9.75"/>
    <s v="-"/>
    <n v="4.38"/>
    <s v="-"/>
    <s v="-"/>
    <s v="-"/>
    <s v="-"/>
    <s v="-"/>
    <s v="-"/>
    <s v="-"/>
    <s v="-"/>
    <s v="-"/>
    <s v="-"/>
    <s v="-"/>
    <s v="-"/>
    <n v="0"/>
    <s v="-"/>
    <n v="2"/>
    <s v="-"/>
    <s v="-"/>
    <s v="-"/>
    <s v="-"/>
    <s v="-"/>
    <n v="2"/>
    <n v="3"/>
    <s v="-"/>
    <s v="-"/>
    <s v="-"/>
    <n v="0"/>
    <n v="0"/>
    <n v="2"/>
    <n v="3"/>
  </r>
  <r>
    <x v="0"/>
    <x v="7"/>
    <d v="2026-01-05T00:00:00"/>
    <s v="2ND"/>
    <d v="1899-12-30T17:00:00"/>
    <n v="3"/>
    <x v="6"/>
    <n v="4.1000000000000003E-3"/>
    <s v="P"/>
    <s v="P"/>
    <s v="P"/>
    <s v="+"/>
    <s v="+"/>
    <n v="12.44"/>
    <n v="12.28"/>
    <n v="0.51"/>
    <n v="64"/>
    <n v="13.3"/>
    <n v="780"/>
    <n v="34.1"/>
    <s v="-"/>
    <s v="-"/>
    <s v="P"/>
    <s v="P"/>
    <s v="-"/>
    <n v="2"/>
    <n v="1"/>
    <n v="2"/>
    <n v="1"/>
    <n v="1"/>
    <n v="2"/>
    <n v="2"/>
    <n v="1"/>
    <n v="1"/>
    <n v="2"/>
    <s v="-"/>
    <n v="15"/>
    <n v="15"/>
    <s v="-"/>
    <n v="1"/>
    <n v="1"/>
    <n v="2"/>
    <n v="2"/>
    <n v="17"/>
    <n v="17"/>
  </r>
  <r>
    <x v="0"/>
    <x v="7"/>
    <d v="2026-01-05T00:00:00"/>
    <s v="2ND"/>
    <d v="1899-12-30T19:00:00"/>
    <n v="3"/>
    <x v="6"/>
    <n v="6.1000000000000004E-3"/>
    <s v="P"/>
    <s v="P"/>
    <s v="P"/>
    <s v="+"/>
    <s v="+"/>
    <n v="12.03"/>
    <s v="-"/>
    <s v="-"/>
    <s v="-"/>
    <s v="-"/>
    <s v="-"/>
    <s v="-"/>
    <s v="-"/>
    <s v="-"/>
    <s v="P"/>
    <s v="P"/>
    <s v="-"/>
    <n v="2"/>
    <n v="1"/>
    <n v="2"/>
    <n v="1"/>
    <s v="-"/>
    <s v="-"/>
    <s v="-"/>
    <s v="-"/>
    <s v="-"/>
    <s v="-"/>
    <s v="-"/>
    <n v="6"/>
    <n v="6"/>
    <s v="-"/>
    <n v="1"/>
    <n v="1"/>
    <n v="2"/>
    <n v="2"/>
    <n v="8"/>
    <n v="8"/>
  </r>
  <r>
    <x v="0"/>
    <x v="7"/>
    <d v="2026-01-05T00:00:00"/>
    <s v="2ND"/>
    <d v="1899-12-30T20:00:00"/>
    <n v="3"/>
    <x v="6"/>
    <n v="1.46E-2"/>
    <s v="P"/>
    <s v="P"/>
    <s v="P"/>
    <s v="+"/>
    <s v="+"/>
    <n v="12.84"/>
    <s v="-"/>
    <s v="-"/>
    <s v="-"/>
    <s v="-"/>
    <s v="-"/>
    <s v="-"/>
    <s v="-"/>
    <s v="-"/>
    <s v="P"/>
    <s v="P"/>
    <s v="-"/>
    <n v="2"/>
    <n v="1"/>
    <n v="2"/>
    <n v="1"/>
    <s v="-"/>
    <s v="-"/>
    <s v="-"/>
    <s v="-"/>
    <s v="-"/>
    <s v="-"/>
    <s v="-"/>
    <n v="6"/>
    <n v="6"/>
    <s v="-"/>
    <n v="1"/>
    <n v="1"/>
    <n v="2"/>
    <n v="2"/>
    <n v="8"/>
    <n v="8"/>
  </r>
  <r>
    <x v="0"/>
    <x v="7"/>
    <d v="2026-01-07T00:00:00"/>
    <s v="2ND"/>
    <d v="1899-12-30T19:00:00"/>
    <n v="2"/>
    <x v="17"/>
    <n v="4.7999999999999996E-3"/>
    <s v="P"/>
    <s v="P"/>
    <s v="P"/>
    <s v="-"/>
    <s v="+"/>
    <n v="11.59"/>
    <n v="8.32"/>
    <n v="0.35"/>
    <n v="54"/>
    <n v="4.4000000000000004"/>
    <n v="470"/>
    <n v="22.35"/>
    <s v="-"/>
    <s v="-"/>
    <s v="P"/>
    <s v="P"/>
    <s v="-"/>
    <n v="2"/>
    <n v="1"/>
    <n v="2"/>
    <n v="1"/>
    <n v="1"/>
    <n v="2"/>
    <n v="2"/>
    <n v="1"/>
    <n v="1"/>
    <n v="2"/>
    <s v="-"/>
    <n v="15"/>
    <n v="15"/>
    <s v="-"/>
    <n v="1"/>
    <n v="1"/>
    <n v="2"/>
    <n v="2"/>
    <n v="17"/>
    <n v="17"/>
  </r>
  <r>
    <x v="0"/>
    <x v="7"/>
    <d v="2026-01-07T00:00:00"/>
    <s v="2ND"/>
    <d v="1899-12-30T20:00:00"/>
    <n v="2"/>
    <x v="17"/>
    <n v="5.7000000000000002E-3"/>
    <s v="P"/>
    <s v="P"/>
    <s v="P"/>
    <s v="-"/>
    <s v="+"/>
    <n v="11.15"/>
    <s v="-"/>
    <s v="-"/>
    <s v="-"/>
    <s v="-"/>
    <s v="-"/>
    <s v="-"/>
    <s v="-"/>
    <s v="-"/>
    <s v="P"/>
    <s v="P"/>
    <s v="-"/>
    <n v="2"/>
    <n v="1"/>
    <n v="2"/>
    <n v="1"/>
    <s v="-"/>
    <s v="-"/>
    <s v="-"/>
    <s v="-"/>
    <s v="-"/>
    <s v="-"/>
    <s v="-"/>
    <n v="6"/>
    <n v="6"/>
    <s v="-"/>
    <n v="1"/>
    <n v="1"/>
    <n v="2"/>
    <n v="2"/>
    <n v="8"/>
    <n v="8"/>
  </r>
  <r>
    <x v="0"/>
    <x v="7"/>
    <d v="2026-01-07T00:00:00"/>
    <s v="3RD"/>
    <d v="1899-12-30T22:00:00"/>
    <n v="2"/>
    <x v="17"/>
    <n v="2.0999999999999999E-3"/>
    <s v="P"/>
    <s v="P"/>
    <s v="P"/>
    <s v="-"/>
    <s v="+"/>
    <n v="10.84"/>
    <n v="8.48"/>
    <n v="0.33"/>
    <s v="-"/>
    <s v="-"/>
    <s v="-"/>
    <n v="22.78"/>
    <s v="-"/>
    <s v="-"/>
    <s v="P"/>
    <s v="P"/>
    <s v="-"/>
    <n v="2"/>
    <n v="1"/>
    <n v="2"/>
    <n v="0"/>
    <n v="1"/>
    <n v="2"/>
    <s v="-"/>
    <s v="-"/>
    <s v="-"/>
    <n v="2"/>
    <s v="-"/>
    <n v="10"/>
    <n v="11"/>
    <s v="-"/>
    <n v="1"/>
    <n v="1"/>
    <n v="2"/>
    <n v="2"/>
    <n v="12"/>
    <n v="13"/>
  </r>
  <r>
    <x v="0"/>
    <x v="7"/>
    <d v="2026-01-07T00:00:00"/>
    <s v="3RD"/>
    <d v="1899-12-30T23:00:00"/>
    <n v="2"/>
    <x v="17"/>
    <n v="2.5999999999999999E-3"/>
    <s v="P"/>
    <s v="P"/>
    <s v="P"/>
    <s v="-"/>
    <s v="+"/>
    <n v="10.91"/>
    <s v="-"/>
    <s v="-"/>
    <s v="-"/>
    <s v="-"/>
    <s v="-"/>
    <s v="-"/>
    <s v="-"/>
    <s v="-"/>
    <s v="P"/>
    <s v="P"/>
    <s v="-"/>
    <n v="2"/>
    <n v="1"/>
    <n v="2"/>
    <n v="0"/>
    <s v="-"/>
    <s v="-"/>
    <s v="-"/>
    <s v="-"/>
    <s v="-"/>
    <s v="-"/>
    <s v="-"/>
    <n v="5"/>
    <n v="6"/>
    <s v="-"/>
    <n v="1"/>
    <n v="1"/>
    <n v="2"/>
    <n v="2"/>
    <n v="7"/>
    <n v="8"/>
  </r>
  <r>
    <x v="0"/>
    <x v="7"/>
    <d v="2026-01-07T00:00:00"/>
    <s v="3RD"/>
    <d v="1899-12-31T00:00:00"/>
    <n v="2"/>
    <x v="17"/>
    <n v="3.5999999999999999E-3"/>
    <s v="P"/>
    <s v="P"/>
    <s v="P"/>
    <s v="-"/>
    <s v="+"/>
    <n v="10.84"/>
    <s v="-"/>
    <s v="-"/>
    <s v="-"/>
    <s v="-"/>
    <s v="-"/>
    <s v="-"/>
    <s v="-"/>
    <s v="-"/>
    <s v="P"/>
    <s v="P"/>
    <s v="-"/>
    <n v="2"/>
    <n v="1"/>
    <n v="2"/>
    <n v="0"/>
    <s v="-"/>
    <s v="-"/>
    <s v="-"/>
    <s v="-"/>
    <s v="-"/>
    <s v="-"/>
    <s v="-"/>
    <n v="5"/>
    <n v="6"/>
    <s v="-"/>
    <n v="1"/>
    <n v="1"/>
    <n v="2"/>
    <n v="2"/>
    <n v="7"/>
    <n v="8"/>
  </r>
  <r>
    <x v="0"/>
    <x v="7"/>
    <d v="2026-01-07T00:00:00"/>
    <s v="3RD"/>
    <d v="1899-12-31T01:00:00"/>
    <n v="2"/>
    <x v="17"/>
    <n v="2.8999999999999998E-3"/>
    <s v="P"/>
    <s v="P"/>
    <s v="P"/>
    <s v="-"/>
    <s v="+"/>
    <n v="10.71"/>
    <s v="-"/>
    <s v="-"/>
    <s v="-"/>
    <s v="-"/>
    <s v="-"/>
    <s v="-"/>
    <s v="-"/>
    <s v="-"/>
    <s v="P"/>
    <s v="P"/>
    <s v="-"/>
    <n v="2"/>
    <n v="1"/>
    <n v="2"/>
    <n v="0"/>
    <s v="-"/>
    <s v="-"/>
    <s v="-"/>
    <s v="-"/>
    <s v="-"/>
    <s v="-"/>
    <s v="-"/>
    <n v="5"/>
    <n v="6"/>
    <s v="-"/>
    <n v="1"/>
    <n v="1"/>
    <n v="2"/>
    <n v="2"/>
    <n v="7"/>
    <n v="8"/>
  </r>
  <r>
    <x v="0"/>
    <x v="7"/>
    <d v="2026-01-07T00:00:00"/>
    <s v="3RD"/>
    <d v="1899-12-31T02:00:00"/>
    <n v="2"/>
    <x v="17"/>
    <n v="1.9E-3"/>
    <s v="P"/>
    <s v="P"/>
    <s v="P"/>
    <s v="-"/>
    <s v="+"/>
    <n v="10.77"/>
    <s v="-"/>
    <s v="-"/>
    <s v="-"/>
    <s v="-"/>
    <s v="-"/>
    <s v="-"/>
    <s v="-"/>
    <s v="-"/>
    <s v="P"/>
    <s v="P"/>
    <s v="-"/>
    <n v="2"/>
    <n v="1"/>
    <n v="2"/>
    <n v="0"/>
    <s v="-"/>
    <s v="-"/>
    <s v="-"/>
    <s v="-"/>
    <s v="-"/>
    <s v="-"/>
    <s v="-"/>
    <n v="5"/>
    <n v="6"/>
    <s v="-"/>
    <n v="1"/>
    <n v="1"/>
    <n v="2"/>
    <n v="2"/>
    <n v="7"/>
    <n v="8"/>
  </r>
  <r>
    <x v="0"/>
    <x v="7"/>
    <d v="2026-01-07T00:00:00"/>
    <s v="3RD"/>
    <d v="1899-12-31T03:00:00"/>
    <n v="2"/>
    <x v="17"/>
    <n v="2.0999999999999999E-3"/>
    <s v="P"/>
    <s v="P"/>
    <s v="P"/>
    <s v="-"/>
    <s v="+"/>
    <n v="10.81"/>
    <s v="-"/>
    <s v="-"/>
    <s v="-"/>
    <s v="-"/>
    <s v="-"/>
    <s v="-"/>
    <s v="-"/>
    <s v="-"/>
    <s v="P"/>
    <s v="P"/>
    <s v="-"/>
    <n v="2"/>
    <n v="1"/>
    <n v="2"/>
    <n v="0"/>
    <s v="-"/>
    <s v="-"/>
    <s v="-"/>
    <s v="-"/>
    <s v="-"/>
    <s v="-"/>
    <s v="-"/>
    <n v="5"/>
    <n v="6"/>
    <s v="-"/>
    <n v="1"/>
    <n v="1"/>
    <n v="2"/>
    <n v="2"/>
    <n v="7"/>
    <n v="8"/>
  </r>
  <r>
    <x v="0"/>
    <x v="7"/>
    <d v="2026-01-07T00:00:00"/>
    <s v="3RD"/>
    <d v="1899-12-31T04:00:00"/>
    <n v="2"/>
    <x v="17"/>
    <n v="1.4E-3"/>
    <s v="P"/>
    <s v="P"/>
    <s v="P"/>
    <s v="-"/>
    <s v="+"/>
    <n v="10.77"/>
    <s v="-"/>
    <s v="-"/>
    <s v="-"/>
    <s v="-"/>
    <s v="-"/>
    <s v="-"/>
    <s v="-"/>
    <s v="-"/>
    <s v="P"/>
    <s v="P"/>
    <s v="-"/>
    <n v="2"/>
    <n v="1"/>
    <n v="2"/>
    <n v="0"/>
    <s v="-"/>
    <s v="-"/>
    <s v="-"/>
    <s v="-"/>
    <s v="-"/>
    <s v="-"/>
    <s v="-"/>
    <n v="5"/>
    <n v="6"/>
    <s v="-"/>
    <n v="1"/>
    <n v="1"/>
    <n v="2"/>
    <n v="2"/>
    <n v="7"/>
    <n v="8"/>
  </r>
  <r>
    <x v="0"/>
    <x v="7"/>
    <d v="2026-01-05T00:00:00"/>
    <s v="3RD"/>
    <d v="1899-12-31T00:00:00"/>
    <n v="3"/>
    <x v="0"/>
    <n v="7.0000000000000001E-3"/>
    <s v="P"/>
    <s v="P"/>
    <s v="P"/>
    <s v="+"/>
    <s v="+"/>
    <n v="12.76"/>
    <n v="12.72"/>
    <n v="0.49"/>
    <n v="63.5"/>
    <n v="15.8"/>
    <n v="802"/>
    <n v="35.5"/>
    <s v="-"/>
    <s v="-"/>
    <s v="P"/>
    <s v="P"/>
    <s v="-"/>
    <n v="2"/>
    <n v="1"/>
    <n v="2"/>
    <n v="1"/>
    <n v="1"/>
    <n v="2"/>
    <n v="0"/>
    <n v="1"/>
    <n v="1"/>
    <n v="2"/>
    <s v="-"/>
    <n v="13"/>
    <n v="15"/>
    <s v="-"/>
    <n v="1"/>
    <n v="1"/>
    <n v="2"/>
    <n v="2"/>
    <n v="15"/>
    <n v="17"/>
  </r>
  <r>
    <x v="0"/>
    <x v="7"/>
    <d v="2026-01-05T00:00:00"/>
    <s v="3RD"/>
    <d v="1899-12-31T01:00:00"/>
    <n v="3"/>
    <x v="0"/>
    <n v="6.4000000000000003E-3"/>
    <s v="P"/>
    <s v="P"/>
    <s v="P"/>
    <s v="+"/>
    <s v="+"/>
    <n v="13.1"/>
    <s v="-"/>
    <s v="-"/>
    <s v="-"/>
    <s v="-"/>
    <s v="-"/>
    <s v="-"/>
    <s v="-"/>
    <s v="-"/>
    <s v="P"/>
    <s v="P"/>
    <s v="-"/>
    <n v="2"/>
    <n v="1"/>
    <n v="2"/>
    <n v="1"/>
    <s v="-"/>
    <s v="-"/>
    <s v="-"/>
    <s v="-"/>
    <s v="-"/>
    <s v="-"/>
    <s v="-"/>
    <n v="6"/>
    <n v="6"/>
    <s v="-"/>
    <n v="1"/>
    <n v="1"/>
    <n v="2"/>
    <n v="2"/>
    <n v="8"/>
    <n v="8"/>
  </r>
  <r>
    <x v="0"/>
    <x v="7"/>
    <d v="2026-01-05T00:00:00"/>
    <s v="3RD"/>
    <d v="1899-12-31T02:00:00"/>
    <n v="3"/>
    <x v="0"/>
    <n v="3.0000000000000001E-3"/>
    <s v="P"/>
    <s v="P"/>
    <s v="P"/>
    <s v="+"/>
    <s v="+"/>
    <n v="13.1"/>
    <s v="-"/>
    <s v="-"/>
    <s v="-"/>
    <s v="-"/>
    <s v="-"/>
    <s v="-"/>
    <s v="-"/>
    <s v="-"/>
    <s v="P"/>
    <s v="P"/>
    <s v="-"/>
    <n v="2"/>
    <n v="1"/>
    <n v="2"/>
    <n v="1"/>
    <s v="-"/>
    <s v="-"/>
    <s v="-"/>
    <s v="-"/>
    <s v="-"/>
    <s v="-"/>
    <s v="-"/>
    <n v="6"/>
    <n v="6"/>
    <s v="-"/>
    <n v="1"/>
    <n v="1"/>
    <n v="2"/>
    <n v="2"/>
    <n v="8"/>
    <n v="8"/>
  </r>
  <r>
    <x v="0"/>
    <x v="7"/>
    <d v="2026-01-05T00:00:00"/>
    <s v="3RD"/>
    <d v="1899-12-31T03:00:00"/>
    <n v="3"/>
    <x v="1"/>
    <n v="3.7000000000000002E-3"/>
    <s v="P"/>
    <s v="P"/>
    <s v="P"/>
    <s v="+"/>
    <s v="+"/>
    <n v="12.62"/>
    <s v="-"/>
    <s v="-"/>
    <s v="-"/>
    <s v="-"/>
    <s v="-"/>
    <s v="-"/>
    <s v="-"/>
    <s v="-"/>
    <s v="P"/>
    <s v="P"/>
    <s v="-"/>
    <n v="2"/>
    <n v="1"/>
    <n v="2"/>
    <n v="1"/>
    <s v="-"/>
    <s v="-"/>
    <s v="-"/>
    <s v="-"/>
    <s v="-"/>
    <s v="-"/>
    <s v="-"/>
    <n v="6"/>
    <n v="6"/>
    <s v="-"/>
    <n v="1"/>
    <n v="1"/>
    <n v="2"/>
    <n v="2"/>
    <n v="8"/>
    <n v="8"/>
  </r>
  <r>
    <x v="0"/>
    <x v="7"/>
    <d v="2026-01-05T00:00:00"/>
    <s v="3RD"/>
    <d v="1899-12-31T04:00:00"/>
    <n v="3"/>
    <x v="1"/>
    <n v="3.8999999999999998E-3"/>
    <s v="P"/>
    <s v="P"/>
    <s v="P"/>
    <s v="+"/>
    <s v="+"/>
    <n v="12.67"/>
    <s v="-"/>
    <s v="-"/>
    <s v="-"/>
    <s v="-"/>
    <s v="-"/>
    <s v="-"/>
    <s v="-"/>
    <s v="-"/>
    <s v="P"/>
    <s v="P"/>
    <s v="-"/>
    <n v="2"/>
    <n v="1"/>
    <n v="2"/>
    <n v="1"/>
    <s v="-"/>
    <s v="-"/>
    <s v="-"/>
    <s v="-"/>
    <s v="-"/>
    <s v="-"/>
    <s v="-"/>
    <n v="6"/>
    <n v="6"/>
    <s v="-"/>
    <n v="1"/>
    <n v="1"/>
    <n v="2"/>
    <n v="2"/>
    <n v="8"/>
    <n v="8"/>
  </r>
  <r>
    <x v="0"/>
    <x v="7"/>
    <d v="1899-12-30T00:00:00"/>
    <s v="2ND"/>
    <d v="1899-12-30T14:00:00"/>
    <s v="Retail"/>
    <x v="13"/>
    <s v="-"/>
    <s v="-"/>
    <s v="-"/>
    <s v="-"/>
    <s v="-"/>
    <s v="-"/>
    <n v="11.06"/>
    <s v="-"/>
    <s v="-"/>
    <s v="-"/>
    <s v="-"/>
    <s v="-"/>
    <s v="-"/>
    <s v="-"/>
    <s v="-"/>
    <s v="-"/>
    <s v="-"/>
    <s v="-"/>
    <s v="-"/>
    <s v="-"/>
    <s v="-"/>
    <n v="1"/>
    <s v="-"/>
    <s v="-"/>
    <s v="-"/>
    <s v="-"/>
    <s v="-"/>
    <s v="-"/>
    <s v="-"/>
    <n v="1"/>
    <n v="1"/>
    <s v="-"/>
    <s v="-"/>
    <s v="-"/>
    <n v="0"/>
    <n v="0"/>
    <n v="1"/>
    <n v="1"/>
  </r>
  <r>
    <x v="0"/>
    <x v="7"/>
    <d v="2025-12-23T00:00:00"/>
    <s v="1ST"/>
    <s v="11:00"/>
    <n v="2"/>
    <x v="5"/>
    <n v="1.1000000000000001E-3"/>
    <s v="P"/>
    <s v="P"/>
    <s v="P"/>
    <s v="-"/>
    <s v="+"/>
    <n v="10.99"/>
    <n v="8.61"/>
    <n v="0.52"/>
    <n v="54.9"/>
    <n v="13"/>
    <n v="527"/>
    <n v="23.29"/>
    <s v="-"/>
    <s v="-"/>
    <s v="P"/>
    <s v="P"/>
    <s v="-"/>
    <n v="2"/>
    <n v="1"/>
    <n v="2"/>
    <n v="0"/>
    <n v="1"/>
    <n v="2"/>
    <n v="2"/>
    <s v="-"/>
    <s v="-"/>
    <n v="2"/>
    <s v="-"/>
    <n v="12"/>
    <n v="13"/>
    <s v="-"/>
    <n v="1"/>
    <n v="1"/>
    <n v="2"/>
    <n v="2"/>
    <n v="14"/>
    <n v="15"/>
  </r>
  <r>
    <x v="0"/>
    <x v="7"/>
    <d v="2025-12-23T00:00:00"/>
    <s v="1ST"/>
    <s v="12:00"/>
    <n v="2"/>
    <x v="5"/>
    <n v="7.4999999999999997E-3"/>
    <s v="P"/>
    <s v="P"/>
    <s v="P"/>
    <s v="-"/>
    <s v="+"/>
    <n v="10.89"/>
    <s v="-"/>
    <s v="-"/>
    <s v="-"/>
    <s v="-"/>
    <s v="-"/>
    <s v="-"/>
    <s v="-"/>
    <s v="-"/>
    <s v="P"/>
    <s v="P"/>
    <s v="-"/>
    <n v="2"/>
    <n v="1"/>
    <n v="2"/>
    <n v="0"/>
    <s v="-"/>
    <s v="-"/>
    <s v="-"/>
    <s v="-"/>
    <s v="-"/>
    <s v="-"/>
    <s v="-"/>
    <n v="5"/>
    <n v="6"/>
    <s v="-"/>
    <n v="1"/>
    <n v="1"/>
    <n v="2"/>
    <n v="2"/>
    <n v="7"/>
    <n v="8"/>
  </r>
  <r>
    <x v="0"/>
    <x v="7"/>
    <d v="2026-01-12T00:00:00"/>
    <s v="2ND"/>
    <d v="1899-12-30T15:00:00"/>
    <n v="2"/>
    <x v="5"/>
    <n v="5.5999999999999999E-3"/>
    <s v="P"/>
    <s v="P"/>
    <s v="P"/>
    <s v="-"/>
    <s v="+"/>
    <n v="10.99"/>
    <n v="8.76"/>
    <n v="0.49"/>
    <s v="-"/>
    <s v="-"/>
    <s v="-"/>
    <n v="23.65"/>
    <s v="-"/>
    <s v="-"/>
    <s v="P"/>
    <s v="P"/>
    <s v="-"/>
    <n v="2"/>
    <n v="1"/>
    <n v="2"/>
    <n v="0"/>
    <n v="1"/>
    <n v="2"/>
    <s v="-"/>
    <s v="-"/>
    <s v="-"/>
    <n v="2"/>
    <s v="-"/>
    <n v="10"/>
    <n v="11"/>
    <s v="-"/>
    <n v="1"/>
    <n v="1"/>
    <n v="2"/>
    <n v="2"/>
    <n v="12"/>
    <n v="13"/>
  </r>
  <r>
    <x v="0"/>
    <x v="7"/>
    <d v="2026-01-12T00:00:00"/>
    <s v="2ND"/>
    <d v="1899-12-30T16:00:00"/>
    <n v="2"/>
    <x v="5"/>
    <n v="7.1999999999999998E-3"/>
    <s v="P"/>
    <s v="P"/>
    <s v="P"/>
    <s v="-"/>
    <s v="+"/>
    <n v="12.02"/>
    <s v="-"/>
    <s v="-"/>
    <s v="-"/>
    <s v="-"/>
    <s v="-"/>
    <s v="-"/>
    <s v="-"/>
    <s v="-"/>
    <s v="P"/>
    <s v="P"/>
    <s v="-"/>
    <n v="2"/>
    <n v="1"/>
    <n v="2"/>
    <n v="1"/>
    <s v="-"/>
    <s v="-"/>
    <s v="-"/>
    <s v="-"/>
    <s v="-"/>
    <s v="-"/>
    <s v="-"/>
    <n v="6"/>
    <n v="6"/>
    <s v="-"/>
    <n v="1"/>
    <n v="1"/>
    <n v="2"/>
    <n v="2"/>
    <n v="8"/>
    <n v="8"/>
  </r>
  <r>
    <x v="0"/>
    <x v="7"/>
    <d v="2026-01-12T00:00:00"/>
    <s v="2ND"/>
    <d v="1899-12-30T17:00:00"/>
    <n v="2"/>
    <x v="5"/>
    <n v="9.7999999999999997E-3"/>
    <s v="P"/>
    <s v="P"/>
    <s v="P"/>
    <s v="-"/>
    <s v="+"/>
    <n v="11.07"/>
    <s v="-"/>
    <s v="-"/>
    <s v="-"/>
    <s v="-"/>
    <s v="-"/>
    <s v="-"/>
    <s v="-"/>
    <s v="-"/>
    <s v="P"/>
    <s v="P"/>
    <s v="-"/>
    <n v="2"/>
    <n v="1"/>
    <n v="2"/>
    <n v="1"/>
    <s v="-"/>
    <s v="-"/>
    <s v="-"/>
    <s v="-"/>
    <s v="-"/>
    <s v="-"/>
    <s v="-"/>
    <n v="6"/>
    <n v="6"/>
    <s v="-"/>
    <n v="1"/>
    <n v="1"/>
    <n v="2"/>
    <n v="2"/>
    <n v="8"/>
    <n v="8"/>
  </r>
  <r>
    <x v="0"/>
    <x v="7"/>
    <d v="1899-12-30T00:00:00"/>
    <s v="2ND"/>
    <d v="1899-12-30T15:00:00"/>
    <s v="Retail"/>
    <x v="9"/>
    <s v="-"/>
    <s v="-"/>
    <s v="-"/>
    <s v="-"/>
    <s v="-"/>
    <s v="-"/>
    <n v="10.33"/>
    <s v="-"/>
    <s v="-"/>
    <s v="-"/>
    <s v="-"/>
    <s v="-"/>
    <s v="-"/>
    <s v="-"/>
    <s v="-"/>
    <s v="-"/>
    <s v="-"/>
    <s v="-"/>
    <s v="-"/>
    <s v="-"/>
    <s v="-"/>
    <n v="1"/>
    <s v="-"/>
    <s v="-"/>
    <s v="-"/>
    <s v="-"/>
    <s v="-"/>
    <s v="-"/>
    <s v="-"/>
    <n v="1"/>
    <n v="1"/>
    <s v="-"/>
    <s v="-"/>
    <s v="-"/>
    <n v="0"/>
    <n v="0"/>
    <n v="1"/>
    <n v="1"/>
  </r>
  <r>
    <x v="0"/>
    <x v="8"/>
    <d v="2026-01-05T00:00:00"/>
    <s v="2ND"/>
    <d v="1899-12-30T18:00:00"/>
    <n v="2"/>
    <x v="7"/>
    <n v="1.67E-2"/>
    <s v="P"/>
    <s v="P"/>
    <s v="P"/>
    <s v="-"/>
    <s v="+"/>
    <n v="11.04"/>
    <n v="8.59"/>
    <n v="0.44"/>
    <n v="54.1"/>
    <n v="9.6"/>
    <n v="609"/>
    <n v="23.14"/>
    <s v="-"/>
    <s v="-"/>
    <s v="P"/>
    <s v="P"/>
    <s v="-"/>
    <n v="2"/>
    <n v="1"/>
    <n v="2"/>
    <n v="1"/>
    <n v="1"/>
    <n v="2"/>
    <n v="0"/>
    <n v="0"/>
    <n v="1"/>
    <n v="2"/>
    <s v="-"/>
    <n v="12"/>
    <n v="15"/>
    <s v="-"/>
    <n v="1"/>
    <n v="1"/>
    <n v="2"/>
    <n v="2"/>
    <n v="14"/>
    <n v="17"/>
  </r>
  <r>
    <x v="0"/>
    <x v="8"/>
    <d v="2026-01-05T00:00:00"/>
    <s v="2ND"/>
    <d v="1899-12-30T20:00:00"/>
    <n v="2"/>
    <x v="7"/>
    <n v="1.77E-2"/>
    <s v="P"/>
    <s v="P"/>
    <s v="P"/>
    <s v="-"/>
    <s v="+"/>
    <n v="11.17"/>
    <s v="-"/>
    <s v="-"/>
    <s v="-"/>
    <n v="10"/>
    <s v="-"/>
    <s v="-"/>
    <s v="-"/>
    <s v="-"/>
    <s v="P"/>
    <s v="P"/>
    <s v="-"/>
    <n v="2"/>
    <n v="1"/>
    <n v="2"/>
    <n v="1"/>
    <s v="-"/>
    <s v="-"/>
    <s v="-"/>
    <n v="1"/>
    <s v="-"/>
    <s v="-"/>
    <s v="-"/>
    <n v="7"/>
    <n v="7"/>
    <s v="-"/>
    <n v="1"/>
    <n v="1"/>
    <n v="2"/>
    <n v="2"/>
    <n v="9"/>
    <n v="9"/>
  </r>
  <r>
    <x v="0"/>
    <x v="8"/>
    <d v="2026-01-05T00:00:00"/>
    <s v="3RD"/>
    <d v="1899-12-30T22:00:00"/>
    <n v="2"/>
    <x v="7"/>
    <n v="1.9E-3"/>
    <s v="P"/>
    <s v="P"/>
    <s v="P"/>
    <s v="-"/>
    <s v="+"/>
    <n v="11.36"/>
    <n v="8.5399999999999991"/>
    <n v="0.48"/>
    <s v="-"/>
    <s v="-"/>
    <s v="-"/>
    <n v="22.92"/>
    <s v="-"/>
    <s v="-"/>
    <s v="P"/>
    <s v="P"/>
    <s v="-"/>
    <n v="2"/>
    <n v="1"/>
    <n v="2"/>
    <n v="1"/>
    <n v="1"/>
    <n v="2"/>
    <s v="-"/>
    <s v="-"/>
    <s v="-"/>
    <n v="2"/>
    <s v="-"/>
    <n v="11"/>
    <n v="11"/>
    <s v="-"/>
    <n v="1"/>
    <n v="1"/>
    <n v="2"/>
    <n v="2"/>
    <n v="13"/>
    <n v="13"/>
  </r>
  <r>
    <x v="0"/>
    <x v="8"/>
    <d v="2026-01-05T00:00:00"/>
    <s v="3RD"/>
    <d v="1899-12-30T23:00:00"/>
    <n v="2"/>
    <x v="7"/>
    <n v="2.3E-3"/>
    <s v="P"/>
    <s v="P"/>
    <s v="P"/>
    <s v="-"/>
    <s v="+"/>
    <n v="11.46"/>
    <s v="-"/>
    <s v="-"/>
    <s v="-"/>
    <s v="-"/>
    <s v="-"/>
    <s v="-"/>
    <s v="-"/>
    <s v="-"/>
    <s v="P"/>
    <s v="P"/>
    <s v="-"/>
    <n v="2"/>
    <n v="1"/>
    <n v="2"/>
    <n v="1"/>
    <s v="-"/>
    <s v="-"/>
    <s v="-"/>
    <s v="-"/>
    <s v="-"/>
    <s v="-"/>
    <s v="-"/>
    <n v="6"/>
    <n v="6"/>
    <s v="-"/>
    <n v="1"/>
    <n v="1"/>
    <n v="2"/>
    <n v="2"/>
    <n v="8"/>
    <n v="8"/>
  </r>
  <r>
    <x v="0"/>
    <x v="8"/>
    <d v="2026-01-05T00:00:00"/>
    <s v="3RD"/>
    <d v="1899-12-31T01:00:00"/>
    <n v="2"/>
    <x v="7"/>
    <n v="1.1999999999999999E-3"/>
    <s v="P"/>
    <s v="P"/>
    <s v="P"/>
    <s v="-"/>
    <s v="+"/>
    <n v="11.35"/>
    <s v="-"/>
    <s v="-"/>
    <s v="-"/>
    <s v="-"/>
    <s v="-"/>
    <s v="-"/>
    <s v="-"/>
    <s v="-"/>
    <s v="P"/>
    <s v="P"/>
    <s v="-"/>
    <n v="2"/>
    <n v="1"/>
    <n v="2"/>
    <n v="1"/>
    <s v="-"/>
    <s v="-"/>
    <s v="-"/>
    <s v="-"/>
    <s v="-"/>
    <s v="-"/>
    <s v="-"/>
    <n v="6"/>
    <n v="6"/>
    <s v="-"/>
    <n v="1"/>
    <n v="1"/>
    <n v="2"/>
    <n v="2"/>
    <n v="8"/>
    <n v="8"/>
  </r>
  <r>
    <x v="0"/>
    <x v="8"/>
    <d v="2026-01-05T00:00:00"/>
    <s v="3RD"/>
    <d v="1899-12-31T02:00:00"/>
    <n v="2"/>
    <x v="7"/>
    <n v="2.0999999999999999E-3"/>
    <s v="P"/>
    <s v="P"/>
    <s v="P"/>
    <s v="-"/>
    <s v="+"/>
    <n v="11.42"/>
    <s v="-"/>
    <s v="-"/>
    <s v="-"/>
    <s v="-"/>
    <s v="-"/>
    <s v="-"/>
    <s v="-"/>
    <s v="-"/>
    <s v="P"/>
    <s v="P"/>
    <s v="-"/>
    <n v="2"/>
    <n v="1"/>
    <n v="2"/>
    <n v="1"/>
    <s v="-"/>
    <s v="-"/>
    <s v="-"/>
    <s v="-"/>
    <s v="-"/>
    <s v="-"/>
    <s v="-"/>
    <n v="6"/>
    <n v="6"/>
    <s v="-"/>
    <n v="1"/>
    <n v="1"/>
    <n v="2"/>
    <n v="2"/>
    <n v="8"/>
    <n v="8"/>
  </r>
  <r>
    <x v="0"/>
    <x v="8"/>
    <d v="2026-01-05T00:00:00"/>
    <s v="3RD"/>
    <d v="1899-12-31T03:00:00"/>
    <n v="2"/>
    <x v="7"/>
    <n v="1.8E-3"/>
    <s v="P"/>
    <s v="P"/>
    <s v="P"/>
    <s v="-"/>
    <s v="+"/>
    <n v="11.33"/>
    <s v="-"/>
    <s v="-"/>
    <s v="-"/>
    <s v="-"/>
    <s v="-"/>
    <s v="-"/>
    <s v="-"/>
    <s v="-"/>
    <s v="P"/>
    <s v="P"/>
    <s v="-"/>
    <n v="2"/>
    <n v="1"/>
    <n v="2"/>
    <n v="1"/>
    <s v="-"/>
    <s v="-"/>
    <s v="-"/>
    <s v="-"/>
    <s v="-"/>
    <s v="-"/>
    <s v="-"/>
    <n v="6"/>
    <n v="6"/>
    <s v="-"/>
    <n v="1"/>
    <n v="1"/>
    <n v="2"/>
    <n v="2"/>
    <n v="8"/>
    <n v="8"/>
  </r>
  <r>
    <x v="0"/>
    <x v="8"/>
    <d v="2026-01-13T00:00:00"/>
    <s v="1ST"/>
    <s v="07:00"/>
    <s v="Retail"/>
    <x v="18"/>
    <s v="-"/>
    <s v="-"/>
    <s v="-"/>
    <s v="-"/>
    <s v="-"/>
    <s v="-"/>
    <n v="14.1"/>
    <s v="-"/>
    <s v="-"/>
    <s v="-"/>
    <s v="-"/>
    <s v="-"/>
    <s v="-"/>
    <s v="-"/>
    <s v="-"/>
    <s v="-"/>
    <s v="-"/>
    <s v="-"/>
    <s v="-"/>
    <s v="-"/>
    <s v="-"/>
    <s v="-"/>
    <s v="-"/>
    <s v="-"/>
    <s v="-"/>
    <s v="-"/>
    <s v="-"/>
    <s v="-"/>
    <s v="-"/>
    <n v="0"/>
    <n v="0"/>
    <s v="-"/>
    <s v="-"/>
    <s v="-"/>
    <n v="0"/>
    <n v="0"/>
    <n v="0"/>
    <n v="0"/>
  </r>
  <r>
    <x v="0"/>
    <x v="8"/>
    <d v="2026-01-07T00:00:00"/>
    <s v="1ST"/>
    <s v="06:00"/>
    <n v="2"/>
    <x v="17"/>
    <n v="3.3999999999999998E-3"/>
    <s v="P"/>
    <s v="P"/>
    <s v="P"/>
    <s v="-"/>
    <s v="+"/>
    <n v="10.64"/>
    <n v="8.61"/>
    <n v="0.4"/>
    <n v="56"/>
    <s v="-"/>
    <s v="-"/>
    <n v="23.29"/>
    <s v="-"/>
    <s v="-"/>
    <s v="P"/>
    <s v="P"/>
    <s v="-"/>
    <n v="2"/>
    <n v="1"/>
    <n v="2"/>
    <n v="0"/>
    <n v="1"/>
    <n v="2"/>
    <n v="2"/>
    <s v="-"/>
    <s v="-"/>
    <n v="2"/>
    <s v="-"/>
    <n v="12"/>
    <n v="13"/>
    <s v="-"/>
    <n v="1"/>
    <n v="1"/>
    <n v="2"/>
    <n v="2"/>
    <n v="14"/>
    <n v="15"/>
  </r>
  <r>
    <x v="0"/>
    <x v="8"/>
    <d v="2026-01-07T00:00:00"/>
    <s v="1ST"/>
    <s v="07:00"/>
    <n v="2"/>
    <x v="17"/>
    <n v="4.1999999999999997E-3"/>
    <s v="P"/>
    <s v="P"/>
    <s v="P"/>
    <s v="-"/>
    <s v="+"/>
    <n v="10.64"/>
    <s v="-"/>
    <s v="-"/>
    <s v="-"/>
    <s v="-"/>
    <s v="-"/>
    <s v="-"/>
    <s v="-"/>
    <s v="-"/>
    <s v="P"/>
    <s v="P"/>
    <s v="-"/>
    <n v="2"/>
    <n v="1"/>
    <n v="2"/>
    <n v="0"/>
    <s v="-"/>
    <s v="-"/>
    <s v="-"/>
    <s v="-"/>
    <s v="-"/>
    <s v="-"/>
    <s v="-"/>
    <n v="5"/>
    <n v="6"/>
    <s v="-"/>
    <n v="1"/>
    <n v="1"/>
    <n v="2"/>
    <n v="2"/>
    <n v="7"/>
    <n v="8"/>
  </r>
  <r>
    <x v="0"/>
    <x v="8"/>
    <d v="2026-01-05T00:00:00"/>
    <s v="1ST"/>
    <s v="12:00"/>
    <s v="Retail"/>
    <x v="19"/>
    <s v="-"/>
    <s v="-"/>
    <s v="P"/>
    <s v="P"/>
    <s v="-"/>
    <s v="-"/>
    <n v="12.22"/>
    <s v="-"/>
    <s v="-"/>
    <s v="-"/>
    <s v="-"/>
    <s v="-"/>
    <s v="-"/>
    <s v="-"/>
    <s v="-"/>
    <s v="-"/>
    <s v="-"/>
    <s v="-"/>
    <s v="-"/>
    <s v="-"/>
    <n v="2"/>
    <n v="1"/>
    <s v="-"/>
    <s v="-"/>
    <s v="-"/>
    <s v="-"/>
    <s v="-"/>
    <s v="-"/>
    <s v="-"/>
    <n v="3"/>
    <n v="3"/>
    <s v="-"/>
    <s v="-"/>
    <s v="-"/>
    <n v="0"/>
    <n v="0"/>
    <n v="3"/>
    <n v="3"/>
  </r>
  <r>
    <x v="0"/>
    <x v="8"/>
    <d v="2026-01-06T00:00:00"/>
    <s v="1ST"/>
    <s v="06:00"/>
    <n v="3"/>
    <x v="1"/>
    <n v="0.01"/>
    <s v="P"/>
    <s v="P"/>
    <s v="P"/>
    <s v="+"/>
    <s v="+"/>
    <n v="12.55"/>
    <n v="12.7"/>
    <n v="0.55000000000000004"/>
    <n v="64"/>
    <s v="-"/>
    <s v="-"/>
    <n v="35.5"/>
    <s v="-"/>
    <s v="-"/>
    <s v="P"/>
    <s v="P"/>
    <s v="85% 15%"/>
    <n v="2"/>
    <n v="1"/>
    <n v="2"/>
    <n v="1"/>
    <n v="1"/>
    <n v="2"/>
    <n v="2"/>
    <s v="-"/>
    <s v="-"/>
    <n v="2"/>
    <s v="-"/>
    <n v="13"/>
    <n v="13"/>
    <s v="-"/>
    <n v="1"/>
    <n v="1"/>
    <n v="2"/>
    <n v="2"/>
    <n v="15"/>
    <n v="15"/>
  </r>
  <r>
    <x v="0"/>
    <x v="8"/>
    <d v="2026-01-06T00:00:00"/>
    <s v="1ST"/>
    <s v="07:00"/>
    <n v="3"/>
    <x v="1"/>
    <n v="8.8000000000000005E-3"/>
    <s v="P"/>
    <s v="P"/>
    <s v="P"/>
    <s v="+"/>
    <s v="+"/>
    <n v="12.26"/>
    <s v="-"/>
    <s v="-"/>
    <s v="-"/>
    <s v="-"/>
    <s v="-"/>
    <s v="-"/>
    <s v="-"/>
    <s v="-"/>
    <s v="P"/>
    <s v="P"/>
    <s v="-"/>
    <n v="2"/>
    <n v="1"/>
    <n v="2"/>
    <n v="1"/>
    <s v="-"/>
    <s v="-"/>
    <s v="-"/>
    <s v="-"/>
    <s v="-"/>
    <s v="-"/>
    <s v="-"/>
    <n v="6"/>
    <n v="6"/>
    <s v="-"/>
    <n v="1"/>
    <n v="1"/>
    <n v="2"/>
    <n v="2"/>
    <n v="8"/>
    <n v="8"/>
  </r>
  <r>
    <x v="0"/>
    <x v="8"/>
    <d v="2026-01-06T00:00:00"/>
    <s v="1ST"/>
    <s v="08:00"/>
    <n v="3"/>
    <x v="1"/>
    <n v="9.4999999999999998E-3"/>
    <s v="P"/>
    <s v="P"/>
    <s v="P"/>
    <s v="+"/>
    <s v="+"/>
    <n v="12.1"/>
    <s v="-"/>
    <s v="-"/>
    <s v="-"/>
    <s v="-"/>
    <s v="-"/>
    <s v="-"/>
    <s v="-"/>
    <s v="-"/>
    <s v="P"/>
    <s v="P"/>
    <s v="-"/>
    <n v="2"/>
    <n v="1"/>
    <n v="2"/>
    <n v="1"/>
    <s v="-"/>
    <s v="-"/>
    <s v="-"/>
    <s v="-"/>
    <s v="-"/>
    <s v="-"/>
    <s v="-"/>
    <n v="6"/>
    <n v="6"/>
    <s v="-"/>
    <n v="1"/>
    <n v="1"/>
    <n v="2"/>
    <n v="2"/>
    <n v="8"/>
    <n v="8"/>
  </r>
  <r>
    <x v="0"/>
    <x v="8"/>
    <d v="2026-01-06T00:00:00"/>
    <s v="1ST"/>
    <s v="09:00"/>
    <n v="3"/>
    <x v="1"/>
    <n v="1.23E-2"/>
    <s v="P"/>
    <s v="P"/>
    <s v="P"/>
    <s v="+"/>
    <s v="+"/>
    <n v="12.12"/>
    <s v="-"/>
    <s v="-"/>
    <s v="-"/>
    <s v="-"/>
    <s v="-"/>
    <s v="-"/>
    <s v="-"/>
    <s v="-"/>
    <s v="P"/>
    <s v="P"/>
    <s v="-"/>
    <n v="2"/>
    <n v="1"/>
    <n v="2"/>
    <n v="1"/>
    <s v="-"/>
    <s v="-"/>
    <s v="-"/>
    <s v="-"/>
    <s v="-"/>
    <s v="-"/>
    <s v="-"/>
    <n v="6"/>
    <n v="6"/>
    <s v="-"/>
    <n v="1"/>
    <n v="1"/>
    <n v="2"/>
    <n v="2"/>
    <n v="8"/>
    <n v="8"/>
  </r>
  <r>
    <x v="0"/>
    <x v="8"/>
    <d v="2026-01-06T00:00:00"/>
    <s v="1ST"/>
    <s v="12:00"/>
    <n v="3"/>
    <x v="20"/>
    <n v="8.5000000000000006E-3"/>
    <s v="P"/>
    <s v="P"/>
    <s v="P"/>
    <s v="-"/>
    <s v="-"/>
    <n v="12.4"/>
    <s v="-"/>
    <n v="0.49"/>
    <s v="-"/>
    <n v="20.3"/>
    <n v="586"/>
    <n v="34.9"/>
    <s v="-"/>
    <s v="-"/>
    <s v="P"/>
    <s v="P"/>
    <n v="1"/>
    <n v="2"/>
    <n v="1"/>
    <n v="2"/>
    <n v="1"/>
    <s v="-"/>
    <n v="0"/>
    <s v="-"/>
    <s v="-"/>
    <s v="-"/>
    <n v="2"/>
    <s v="-"/>
    <n v="8"/>
    <n v="10"/>
    <s v="-"/>
    <n v="1"/>
    <n v="1"/>
    <n v="2"/>
    <n v="2"/>
    <n v="10"/>
    <n v="12"/>
  </r>
  <r>
    <x v="0"/>
    <x v="8"/>
    <d v="2026-01-06T00:00:00"/>
    <s v="1ST"/>
    <s v="13:00"/>
    <n v="3"/>
    <x v="20"/>
    <n v="7.6E-3"/>
    <s v="P"/>
    <s v="P"/>
    <s v="P"/>
    <s v="+"/>
    <s v="+"/>
    <n v="12.28"/>
    <s v="-"/>
    <s v="-"/>
    <s v="-"/>
    <s v="-"/>
    <s v="-"/>
    <s v="-"/>
    <s v="-"/>
    <s v="-"/>
    <s v="P"/>
    <s v="P"/>
    <s v="-"/>
    <n v="2"/>
    <n v="1"/>
    <n v="2"/>
    <n v="1"/>
    <s v="-"/>
    <s v="-"/>
    <s v="-"/>
    <s v="-"/>
    <s v="-"/>
    <s v="-"/>
    <s v="-"/>
    <n v="6"/>
    <n v="6"/>
    <s v="-"/>
    <n v="1"/>
    <n v="1"/>
    <n v="2"/>
    <n v="2"/>
    <n v="8"/>
    <n v="8"/>
  </r>
  <r>
    <x v="0"/>
    <x v="8"/>
    <d v="2026-01-06T00:00:00"/>
    <s v="2ND"/>
    <d v="1899-12-30T14:00:00"/>
    <n v="3"/>
    <x v="20"/>
    <n v="1.04E-2"/>
    <s v="P"/>
    <s v="P"/>
    <s v="P"/>
    <s v="-"/>
    <s v="-"/>
    <n v="12.89"/>
    <n v="12.96"/>
    <n v="0.54"/>
    <s v="-"/>
    <s v="-"/>
    <s v="-"/>
    <n v="36.200000000000003"/>
    <s v="-"/>
    <s v="-"/>
    <s v="P"/>
    <s v="P"/>
    <s v="-"/>
    <n v="2"/>
    <n v="1"/>
    <n v="2"/>
    <n v="1"/>
    <n v="1"/>
    <n v="2"/>
    <s v="-"/>
    <s v="-"/>
    <s v="-"/>
    <n v="2"/>
    <s v="-"/>
    <n v="11"/>
    <n v="11"/>
    <s v="-"/>
    <n v="1"/>
    <n v="1"/>
    <n v="2"/>
    <n v="2"/>
    <n v="13"/>
    <n v="13"/>
  </r>
  <r>
    <x v="0"/>
    <x v="8"/>
    <d v="2026-01-06T00:00:00"/>
    <s v="2ND"/>
    <d v="1899-12-30T15:00:00"/>
    <n v="3"/>
    <x v="20"/>
    <n v="1.12E-2"/>
    <s v="P"/>
    <s v="P"/>
    <s v="P"/>
    <s v="-"/>
    <s v="-"/>
    <n v="12.74"/>
    <s v="-"/>
    <s v="-"/>
    <s v="-"/>
    <s v="-"/>
    <s v="-"/>
    <s v="-"/>
    <s v="-"/>
    <s v="-"/>
    <s v="P"/>
    <s v="P"/>
    <s v="-"/>
    <n v="2"/>
    <n v="1"/>
    <n v="2"/>
    <n v="1"/>
    <s v="-"/>
    <s v="-"/>
    <s v="-"/>
    <s v="-"/>
    <s v="-"/>
    <s v="-"/>
    <s v="-"/>
    <n v="6"/>
    <n v="6"/>
    <s v="-"/>
    <n v="1"/>
    <n v="1"/>
    <n v="2"/>
    <n v="2"/>
    <n v="8"/>
    <n v="8"/>
  </r>
  <r>
    <x v="0"/>
    <x v="8"/>
    <d v="2026-01-06T00:00:00"/>
    <s v="2ND"/>
    <d v="1899-12-30T16:00:00"/>
    <n v="3"/>
    <x v="20"/>
    <n v="9.5999999999999992E-3"/>
    <s v="P"/>
    <s v="P"/>
    <s v="P"/>
    <s v="-"/>
    <s v="-"/>
    <n v="12.94"/>
    <s v="-"/>
    <s v="-"/>
    <s v="-"/>
    <s v="-"/>
    <s v="-"/>
    <s v="-"/>
    <s v="-"/>
    <s v="-"/>
    <s v="P"/>
    <s v="P"/>
    <s v="-"/>
    <n v="2"/>
    <n v="1"/>
    <n v="2"/>
    <n v="1"/>
    <s v="-"/>
    <s v="-"/>
    <s v="-"/>
    <s v="-"/>
    <s v="-"/>
    <s v="-"/>
    <s v="-"/>
    <n v="6"/>
    <n v="6"/>
    <s v="-"/>
    <n v="1"/>
    <n v="1"/>
    <n v="2"/>
    <n v="2"/>
    <n v="8"/>
    <n v="8"/>
  </r>
  <r>
    <x v="0"/>
    <x v="8"/>
    <d v="2026-01-06T00:00:00"/>
    <s v="2ND"/>
    <d v="1899-12-30T17:00:00"/>
    <n v="3"/>
    <x v="20"/>
    <n v="7.3000000000000001E-3"/>
    <s v="P"/>
    <s v="P"/>
    <s v="P"/>
    <s v="-"/>
    <s v="-"/>
    <n v="12.21"/>
    <s v="-"/>
    <s v="-"/>
    <s v="-"/>
    <s v="-"/>
    <s v="-"/>
    <s v="-"/>
    <s v="-"/>
    <s v="-"/>
    <s v="P"/>
    <s v="P"/>
    <s v="-"/>
    <n v="2"/>
    <n v="1"/>
    <n v="2"/>
    <n v="1"/>
    <s v="-"/>
    <s v="-"/>
    <s v="-"/>
    <s v="-"/>
    <s v="-"/>
    <s v="-"/>
    <s v="-"/>
    <n v="6"/>
    <n v="6"/>
    <s v="-"/>
    <n v="1"/>
    <n v="1"/>
    <n v="2"/>
    <n v="2"/>
    <n v="8"/>
    <n v="8"/>
  </r>
  <r>
    <x v="0"/>
    <x v="8"/>
    <d v="2026-01-06T00:00:00"/>
    <s v="2ND"/>
    <d v="1899-12-30T18:00:00"/>
    <n v="3"/>
    <x v="20"/>
    <n v="7.1000000000000004E-3"/>
    <s v="P"/>
    <s v="P"/>
    <s v="P"/>
    <s v="-"/>
    <s v="-"/>
    <n v="12.29"/>
    <s v="-"/>
    <s v="-"/>
    <s v="-"/>
    <s v="-"/>
    <s v="-"/>
    <s v="-"/>
    <s v="-"/>
    <s v="-"/>
    <s v="P"/>
    <s v="P"/>
    <s v="-"/>
    <n v="2"/>
    <n v="1"/>
    <n v="2"/>
    <n v="1"/>
    <s v="-"/>
    <s v="-"/>
    <s v="-"/>
    <s v="-"/>
    <s v="-"/>
    <s v="-"/>
    <s v="-"/>
    <n v="6"/>
    <n v="6"/>
    <s v="-"/>
    <n v="1"/>
    <n v="1"/>
    <n v="2"/>
    <n v="2"/>
    <n v="8"/>
    <n v="8"/>
  </r>
  <r>
    <x v="0"/>
    <x v="8"/>
    <d v="2026-01-06T00:00:00"/>
    <s v="2ND"/>
    <d v="1899-12-30T20:00:00"/>
    <n v="3"/>
    <x v="20"/>
    <n v="9.4000000000000004E-3"/>
    <s v="P"/>
    <s v="P"/>
    <s v="P"/>
    <s v="-"/>
    <s v="-"/>
    <n v="11.58"/>
    <s v="-"/>
    <s v="-"/>
    <s v="-"/>
    <s v="-"/>
    <s v="-"/>
    <s v="-"/>
    <s v="-"/>
    <s v="-"/>
    <s v="P"/>
    <s v="P"/>
    <s v="-"/>
    <n v="2"/>
    <n v="1"/>
    <n v="2"/>
    <n v="1"/>
    <s v="-"/>
    <s v="-"/>
    <s v="-"/>
    <s v="-"/>
    <s v="-"/>
    <s v="-"/>
    <s v="-"/>
    <n v="6"/>
    <n v="6"/>
    <s v="-"/>
    <n v="1"/>
    <n v="1"/>
    <n v="2"/>
    <n v="2"/>
    <n v="8"/>
    <n v="8"/>
  </r>
  <r>
    <x v="0"/>
    <x v="8"/>
    <d v="2026-01-06T00:00:00"/>
    <s v="3RD"/>
    <d v="1899-12-30T22:00:00"/>
    <n v="3"/>
    <x v="20"/>
    <n v="8.8999999999999999E-3"/>
    <s v="P"/>
    <s v="P"/>
    <s v="P"/>
    <s v="-"/>
    <s v="-"/>
    <n v="13.7"/>
    <n v="11.16"/>
    <n v="0.46"/>
    <s v="-"/>
    <s v="-"/>
    <s v="-"/>
    <n v="22.92"/>
    <s v="-"/>
    <s v="-"/>
    <s v="P"/>
    <s v="P"/>
    <s v="-"/>
    <n v="2"/>
    <n v="1"/>
    <n v="2"/>
    <n v="1"/>
    <n v="0"/>
    <n v="0"/>
    <s v="-"/>
    <s v="-"/>
    <s v="-"/>
    <n v="0"/>
    <s v="-"/>
    <n v="6"/>
    <n v="11"/>
    <s v="-"/>
    <n v="1"/>
    <n v="1"/>
    <n v="2"/>
    <n v="2"/>
    <n v="8"/>
    <n v="13"/>
  </r>
  <r>
    <x v="0"/>
    <x v="8"/>
    <d v="2026-01-06T00:00:00"/>
    <s v="3RD"/>
    <d v="1899-12-30T23:00:00"/>
    <n v="3"/>
    <x v="20"/>
    <n v="7.1999999999999998E-3"/>
    <s v="P"/>
    <s v="P"/>
    <s v="P"/>
    <s v="-"/>
    <s v="-"/>
    <n v="12.16"/>
    <s v="-"/>
    <s v="-"/>
    <s v="-"/>
    <s v="-"/>
    <s v="-"/>
    <s v="-"/>
    <s v="-"/>
    <s v="-"/>
    <s v="P"/>
    <s v="P"/>
    <s v="-"/>
    <n v="2"/>
    <n v="1"/>
    <n v="2"/>
    <n v="1"/>
    <s v="-"/>
    <s v="-"/>
    <s v="-"/>
    <s v="-"/>
    <s v="-"/>
    <s v="-"/>
    <s v="-"/>
    <n v="6"/>
    <n v="6"/>
    <s v="-"/>
    <n v="1"/>
    <n v="1"/>
    <n v="2"/>
    <n v="2"/>
    <n v="8"/>
    <n v="8"/>
  </r>
  <r>
    <x v="0"/>
    <x v="8"/>
    <d v="2026-01-12T00:00:00"/>
    <s v="3RD"/>
    <d v="1899-12-31T00:00:00"/>
    <n v="3"/>
    <x v="20"/>
    <n v="2.8E-3"/>
    <s v="P"/>
    <s v="P"/>
    <s v="P"/>
    <s v="-"/>
    <s v="-"/>
    <n v="12.23"/>
    <n v="13"/>
    <n v="0.5"/>
    <n v="63.9"/>
    <s v="-"/>
    <s v="-"/>
    <n v="36.4"/>
    <s v="-"/>
    <s v="-"/>
    <s v="P"/>
    <s v="P"/>
    <s v="-"/>
    <n v="2"/>
    <n v="1"/>
    <n v="2"/>
    <n v="1"/>
    <n v="1"/>
    <n v="2"/>
    <n v="2"/>
    <s v="-"/>
    <s v="-"/>
    <n v="2"/>
    <s v="-"/>
    <n v="13"/>
    <n v="13"/>
    <s v="-"/>
    <n v="1"/>
    <n v="1"/>
    <n v="2"/>
    <n v="2"/>
    <n v="15"/>
    <n v="15"/>
  </r>
  <r>
    <x v="0"/>
    <x v="8"/>
    <d v="2026-01-12T00:00:00"/>
    <s v="3RD"/>
    <d v="1899-12-31T01:00:00"/>
    <n v="3"/>
    <x v="20"/>
    <n v="7.6E-3"/>
    <s v="P"/>
    <s v="P"/>
    <s v="P"/>
    <s v="-"/>
    <s v="-"/>
    <n v="12.95"/>
    <s v="-"/>
    <s v="-"/>
    <s v="-"/>
    <s v="-"/>
    <s v="-"/>
    <s v="-"/>
    <s v="-"/>
    <s v="-"/>
    <s v="P"/>
    <s v="P"/>
    <s v="-"/>
    <n v="2"/>
    <n v="1"/>
    <n v="2"/>
    <n v="1"/>
    <s v="-"/>
    <s v="-"/>
    <s v="-"/>
    <s v="-"/>
    <s v="-"/>
    <s v="-"/>
    <s v="-"/>
    <n v="6"/>
    <n v="6"/>
    <s v="-"/>
    <n v="1"/>
    <n v="1"/>
    <n v="2"/>
    <n v="2"/>
    <n v="8"/>
    <n v="8"/>
  </r>
  <r>
    <x v="0"/>
    <x v="8"/>
    <d v="2026-01-12T00:00:00"/>
    <s v="3RD"/>
    <d v="1899-12-31T02:00:00"/>
    <n v="3"/>
    <x v="20"/>
    <n v="8.3000000000000001E-3"/>
    <s v="P"/>
    <s v="P"/>
    <s v="P"/>
    <s v="-"/>
    <s v="-"/>
    <n v="12.77"/>
    <s v="-"/>
    <s v="-"/>
    <s v="-"/>
    <s v="-"/>
    <s v="-"/>
    <s v="-"/>
    <s v="-"/>
    <s v="-"/>
    <s v="P"/>
    <s v="P"/>
    <s v="-"/>
    <n v="2"/>
    <n v="1"/>
    <n v="2"/>
    <n v="1"/>
    <s v="-"/>
    <s v="-"/>
    <s v="-"/>
    <s v="-"/>
    <s v="-"/>
    <s v="-"/>
    <s v="-"/>
    <n v="6"/>
    <n v="6"/>
    <s v="-"/>
    <n v="1"/>
    <n v="1"/>
    <n v="2"/>
    <n v="2"/>
    <n v="8"/>
    <n v="8"/>
  </r>
  <r>
    <x v="0"/>
    <x v="8"/>
    <d v="2026-01-12T00:00:00"/>
    <s v="3RD"/>
    <d v="1899-12-31T03:00:00"/>
    <n v="3"/>
    <x v="20"/>
    <n v="6.4000000000000003E-3"/>
    <s v="P"/>
    <s v="P"/>
    <s v="P"/>
    <s v="-"/>
    <s v="-"/>
    <n v="13.01"/>
    <s v="-"/>
    <s v="-"/>
    <s v="-"/>
    <s v="-"/>
    <s v="-"/>
    <s v="-"/>
    <s v="-"/>
    <s v="-"/>
    <s v="P"/>
    <s v="P"/>
    <s v="-"/>
    <n v="2"/>
    <n v="1"/>
    <n v="2"/>
    <n v="1"/>
    <s v="-"/>
    <s v="-"/>
    <s v="-"/>
    <s v="-"/>
    <s v="-"/>
    <s v="-"/>
    <s v="-"/>
    <n v="6"/>
    <n v="6"/>
    <s v="-"/>
    <n v="1"/>
    <n v="1"/>
    <n v="2"/>
    <n v="2"/>
    <n v="8"/>
    <n v="8"/>
  </r>
  <r>
    <x v="0"/>
    <x v="8"/>
    <d v="1899-12-30T00:00:00"/>
    <s v="2ND"/>
    <d v="1899-12-30T14:00:00"/>
    <s v="Retail"/>
    <x v="13"/>
    <s v="-"/>
    <s v="-"/>
    <s v="-"/>
    <s v="-"/>
    <s v="-"/>
    <s v="-"/>
    <n v="11.47"/>
    <s v="-"/>
    <s v="-"/>
    <s v="-"/>
    <s v="-"/>
    <s v="-"/>
    <s v="-"/>
    <s v="-"/>
    <s v="-"/>
    <s v="-"/>
    <s v="-"/>
    <s v="-"/>
    <s v="-"/>
    <s v="-"/>
    <s v="-"/>
    <n v="1"/>
    <s v="-"/>
    <s v="-"/>
    <s v="-"/>
    <s v="-"/>
    <s v="-"/>
    <s v="-"/>
    <s v="-"/>
    <n v="1"/>
    <n v="1"/>
    <s v="-"/>
    <s v="-"/>
    <s v="-"/>
    <n v="0"/>
    <n v="0"/>
    <n v="1"/>
    <n v="1"/>
  </r>
  <r>
    <x v="0"/>
    <x v="8"/>
    <d v="2026-01-05T00:00:00"/>
    <s v="1ST"/>
    <s v="10:00"/>
    <n v="2"/>
    <x v="21"/>
    <n v="5.5999999999999999E-3"/>
    <s v="P"/>
    <s v="P"/>
    <s v="P"/>
    <s v="-"/>
    <s v="+"/>
    <n v="11.04"/>
    <n v="8.5299999999999994"/>
    <n v="0.48"/>
    <n v="54.8"/>
    <s v="-"/>
    <s v="-"/>
    <n v="23"/>
    <s v="-"/>
    <s v="-"/>
    <s v="P"/>
    <s v="P"/>
    <s v="-"/>
    <n v="2"/>
    <n v="1"/>
    <n v="2"/>
    <n v="1"/>
    <s v="-"/>
    <n v="2"/>
    <n v="2"/>
    <s v="-"/>
    <s v="-"/>
    <n v="2"/>
    <s v="-"/>
    <n v="12"/>
    <n v="12"/>
    <s v="-"/>
    <n v="1"/>
    <n v="1"/>
    <n v="2"/>
    <n v="2"/>
    <n v="14"/>
    <n v="14"/>
  </r>
  <r>
    <x v="0"/>
    <x v="8"/>
    <d v="2026-01-05T00:00:00"/>
    <s v="1ST"/>
    <s v="11:00"/>
    <n v="2"/>
    <x v="21"/>
    <n v="6.4999999999999997E-3"/>
    <s v="P"/>
    <s v="P"/>
    <s v="P"/>
    <s v="-"/>
    <s v="+"/>
    <n v="11.1"/>
    <s v="-"/>
    <s v="-"/>
    <s v="-"/>
    <s v="-"/>
    <s v="-"/>
    <s v="-"/>
    <s v="-"/>
    <s v="-"/>
    <s v="P"/>
    <s v="P"/>
    <s v="-"/>
    <n v="2"/>
    <n v="1"/>
    <n v="2"/>
    <n v="1"/>
    <s v="-"/>
    <s v="-"/>
    <s v="-"/>
    <s v="-"/>
    <s v="-"/>
    <s v="-"/>
    <s v="-"/>
    <n v="6"/>
    <n v="6"/>
    <s v="-"/>
    <n v="1"/>
    <n v="1"/>
    <n v="2"/>
    <n v="2"/>
    <n v="8"/>
    <n v="8"/>
  </r>
  <r>
    <x v="0"/>
    <x v="8"/>
    <d v="2026-01-05T00:00:00"/>
    <s v="1ST"/>
    <s v="12:00"/>
    <n v="2"/>
    <x v="21"/>
    <n v="7.0000000000000001E-3"/>
    <s v="P"/>
    <s v="P"/>
    <s v="P"/>
    <s v="-"/>
    <s v="+"/>
    <n v="11.4"/>
    <s v="-"/>
    <s v="-"/>
    <s v="-"/>
    <s v="-"/>
    <s v="-"/>
    <s v="-"/>
    <s v="-"/>
    <s v="-"/>
    <s v="P"/>
    <s v="P"/>
    <s v="-"/>
    <n v="2"/>
    <n v="1"/>
    <n v="2"/>
    <n v="1"/>
    <s v="-"/>
    <s v="-"/>
    <s v="-"/>
    <s v="-"/>
    <s v="-"/>
    <s v="-"/>
    <s v="-"/>
    <n v="6"/>
    <n v="6"/>
    <s v="-"/>
    <n v="1"/>
    <n v="1"/>
    <n v="2"/>
    <n v="2"/>
    <n v="8"/>
    <n v="8"/>
  </r>
  <r>
    <x v="0"/>
    <x v="8"/>
    <d v="2026-01-05T00:00:00"/>
    <s v="2ND"/>
    <d v="1899-12-30T14:00:00"/>
    <n v="2"/>
    <x v="21"/>
    <n v="5.0000000000000001E-3"/>
    <s v="P"/>
    <s v="P"/>
    <s v="P"/>
    <s v="-"/>
    <s v="+"/>
    <n v="11.42"/>
    <n v="8.4600000000000009"/>
    <n v="0.46"/>
    <s v="-"/>
    <s v="-"/>
    <s v="-"/>
    <n v="22.71"/>
    <s v="-"/>
    <s v="-"/>
    <s v="P"/>
    <s v="P"/>
    <s v="-"/>
    <n v="2"/>
    <n v="1"/>
    <n v="2"/>
    <n v="1"/>
    <s v="-"/>
    <n v="2"/>
    <s v="-"/>
    <s v="-"/>
    <s v="-"/>
    <n v="2"/>
    <s v="-"/>
    <n v="10"/>
    <n v="10"/>
    <s v="-"/>
    <n v="1"/>
    <n v="1"/>
    <n v="2"/>
    <n v="2"/>
    <n v="12"/>
    <n v="12"/>
  </r>
  <r>
    <x v="0"/>
    <x v="8"/>
    <d v="2026-01-05T00:00:00"/>
    <s v="2ND"/>
    <d v="1899-12-30T15:00:00"/>
    <n v="2"/>
    <x v="21"/>
    <n v="6.3E-3"/>
    <s v="P"/>
    <s v="P"/>
    <s v="P"/>
    <s v="-"/>
    <s v="+"/>
    <n v="11.1"/>
    <s v="-"/>
    <s v="-"/>
    <s v="-"/>
    <s v="-"/>
    <s v="-"/>
    <s v="-"/>
    <s v="-"/>
    <s v="-"/>
    <s v="P"/>
    <s v="P"/>
    <s v="-"/>
    <n v="2"/>
    <n v="1"/>
    <n v="2"/>
    <n v="1"/>
    <s v="-"/>
    <s v="-"/>
    <s v="-"/>
    <s v="-"/>
    <s v="-"/>
    <s v="-"/>
    <s v="-"/>
    <n v="6"/>
    <n v="6"/>
    <s v="-"/>
    <n v="1"/>
    <n v="1"/>
    <n v="2"/>
    <n v="2"/>
    <n v="8"/>
    <n v="8"/>
  </r>
  <r>
    <x v="0"/>
    <x v="8"/>
    <d v="2026-01-05T00:00:00"/>
    <s v="2ND"/>
    <d v="1899-12-30T16:00:00"/>
    <n v="2"/>
    <x v="21"/>
    <n v="5.1000000000000004E-3"/>
    <s v="P"/>
    <s v="P"/>
    <s v="P"/>
    <s v="-"/>
    <s v="+"/>
    <n v="11.18"/>
    <s v="-"/>
    <s v="-"/>
    <s v="-"/>
    <s v="-"/>
    <s v="-"/>
    <s v="-"/>
    <s v="-"/>
    <s v="-"/>
    <s v="P"/>
    <s v="P"/>
    <s v="-"/>
    <n v="2"/>
    <n v="1"/>
    <n v="2"/>
    <n v="1"/>
    <s v="-"/>
    <s v="-"/>
    <s v="-"/>
    <s v="-"/>
    <s v="-"/>
    <s v="-"/>
    <s v="-"/>
    <n v="6"/>
    <n v="6"/>
    <s v="-"/>
    <n v="1"/>
    <n v="1"/>
    <n v="2"/>
    <n v="2"/>
    <n v="8"/>
    <n v="8"/>
  </r>
  <r>
    <x v="0"/>
    <x v="8"/>
    <d v="2026-01-05T00:00:00"/>
    <s v="2ND"/>
    <d v="1899-12-30T17:00:00"/>
    <n v="2"/>
    <x v="21"/>
    <n v="9.1999999999999998E-3"/>
    <s v="P"/>
    <s v="P"/>
    <s v="P"/>
    <s v="-"/>
    <s v="+"/>
    <n v="11.39"/>
    <s v="-"/>
    <s v="-"/>
    <s v="-"/>
    <s v="-"/>
    <s v="-"/>
    <s v="-"/>
    <s v="-"/>
    <s v="-"/>
    <s v="P"/>
    <s v="P"/>
    <s v="-"/>
    <n v="2"/>
    <n v="1"/>
    <n v="2"/>
    <n v="1"/>
    <s v="-"/>
    <s v="-"/>
    <s v="-"/>
    <s v="-"/>
    <s v="-"/>
    <s v="-"/>
    <s v="-"/>
    <n v="6"/>
    <n v="6"/>
    <s v="-"/>
    <n v="1"/>
    <n v="1"/>
    <n v="2"/>
    <n v="2"/>
    <n v="8"/>
    <n v="8"/>
  </r>
  <r>
    <x v="0"/>
    <x v="8"/>
    <d v="2026-01-07T00:00:00"/>
    <s v="3RD"/>
    <d v="1899-12-31T04:00:00"/>
    <n v="2"/>
    <x v="22"/>
    <n v="1.09E-2"/>
    <s v="P"/>
    <s v="P"/>
    <s v="P"/>
    <s v="-"/>
    <s v="-"/>
    <n v="11.33"/>
    <n v="8.65"/>
    <n v="0.46"/>
    <n v="53.4"/>
    <n v="5.03"/>
    <n v="585"/>
    <n v="23.36"/>
    <s v="-"/>
    <s v="-"/>
    <s v="P"/>
    <s v="P"/>
    <s v="-"/>
    <n v="2"/>
    <n v="1"/>
    <n v="2"/>
    <n v="1"/>
    <n v="1"/>
    <n v="0"/>
    <n v="0"/>
    <s v="-"/>
    <s v="-"/>
    <n v="2"/>
    <s v="-"/>
    <n v="9"/>
    <n v="13"/>
    <s v="-"/>
    <n v="1"/>
    <n v="1"/>
    <n v="2"/>
    <n v="2"/>
    <n v="11"/>
    <n v="15"/>
  </r>
  <r>
    <x v="0"/>
    <x v="9"/>
    <d v="2026-01-12T00:00:00"/>
    <s v="3RD"/>
    <d v="1899-12-31T00:00:00"/>
    <n v="3"/>
    <x v="23"/>
    <n v="5.8999999999999999E-3"/>
    <s v="P"/>
    <s v="P"/>
    <s v="P"/>
    <s v="-"/>
    <s v="-"/>
    <n v="12.12"/>
    <n v="12"/>
    <n v="0.35"/>
    <n v="64.400000000000006"/>
    <n v="9.4499999999999993"/>
    <n v="584"/>
    <n v="33.5"/>
    <s v="-"/>
    <s v="-"/>
    <s v="P"/>
    <s v="P"/>
    <s v="-"/>
    <n v="2"/>
    <n v="1"/>
    <n v="2"/>
    <n v="1"/>
    <n v="1"/>
    <n v="2"/>
    <n v="2"/>
    <n v="0"/>
    <n v="0"/>
    <n v="2"/>
    <s v="-"/>
    <n v="13"/>
    <n v="15"/>
    <s v="-"/>
    <n v="1"/>
    <n v="1"/>
    <n v="2"/>
    <n v="2"/>
    <n v="15"/>
    <n v="17"/>
  </r>
  <r>
    <x v="0"/>
    <x v="9"/>
    <d v="2026-01-13T00:00:00"/>
    <s v="3RD"/>
    <d v="1899-12-30T22:00:00"/>
    <n v="3"/>
    <x v="11"/>
    <n v="1.09E-2"/>
    <s v="P"/>
    <s v="P"/>
    <s v="P"/>
    <s v="+"/>
    <s v="+"/>
    <n v="12.33"/>
    <n v="13.32"/>
    <n v="0.5"/>
    <n v="65.599999999999994"/>
    <n v="14.5"/>
    <n v="832"/>
    <n v="37.5"/>
    <s v="-"/>
    <s v="-"/>
    <s v="P"/>
    <s v="P"/>
    <s v="-"/>
    <n v="2"/>
    <n v="1"/>
    <n v="2"/>
    <n v="1"/>
    <n v="1"/>
    <n v="2"/>
    <n v="2"/>
    <n v="1"/>
    <n v="1"/>
    <n v="2"/>
    <s v="-"/>
    <n v="15"/>
    <n v="15"/>
    <s v="-"/>
    <n v="1"/>
    <n v="1"/>
    <n v="2"/>
    <n v="2"/>
    <n v="17"/>
    <n v="17"/>
  </r>
  <r>
    <x v="0"/>
    <x v="9"/>
    <d v="2026-01-13T00:00:00"/>
    <s v="3RD"/>
    <d v="1899-12-30T23:00:00"/>
    <n v="3"/>
    <x v="11"/>
    <n v="9.7999999999999997E-3"/>
    <s v="P"/>
    <s v="P"/>
    <s v="P"/>
    <s v="+"/>
    <s v="+"/>
    <n v="12.31"/>
    <s v="-"/>
    <s v="-"/>
    <s v="-"/>
    <s v="-"/>
    <s v="-"/>
    <s v="-"/>
    <s v="-"/>
    <s v="-"/>
    <s v="P"/>
    <s v="P"/>
    <s v="-"/>
    <n v="2"/>
    <n v="1"/>
    <n v="2"/>
    <n v="1"/>
    <s v="-"/>
    <s v="-"/>
    <s v="-"/>
    <s v="-"/>
    <s v="-"/>
    <s v="-"/>
    <s v="-"/>
    <n v="6"/>
    <n v="6"/>
    <s v="-"/>
    <n v="1"/>
    <n v="1"/>
    <n v="2"/>
    <n v="2"/>
    <n v="8"/>
    <n v="8"/>
  </r>
  <r>
    <x v="0"/>
    <x v="9"/>
    <d v="2026-01-05T00:00:00"/>
    <s v="1ST"/>
    <s v="11:00"/>
    <s v="Retail"/>
    <x v="24"/>
    <s v="-"/>
    <s v="-"/>
    <s v="P"/>
    <s v="P"/>
    <s v="-"/>
    <s v="-"/>
    <n v="12.81"/>
    <n v="14.04"/>
    <n v="1.73"/>
    <n v="78.58"/>
    <s v="-"/>
    <s v="-"/>
    <n v="34.5"/>
    <s v="-"/>
    <s v="-"/>
    <s v="P"/>
    <s v="P"/>
    <s v="-"/>
    <s v="-"/>
    <s v="-"/>
    <n v="2"/>
    <n v="1"/>
    <n v="1"/>
    <n v="2"/>
    <s v="-"/>
    <s v="-"/>
    <s v="-"/>
    <s v="-"/>
    <s v="-"/>
    <n v="6"/>
    <n v="6"/>
    <s v="-"/>
    <n v="1"/>
    <n v="1"/>
    <n v="2"/>
    <n v="2"/>
    <n v="8"/>
    <n v="8"/>
  </r>
  <r>
    <x v="0"/>
    <x v="9"/>
    <d v="2026-01-05T00:00:00"/>
    <s v="2ND"/>
    <d v="1899-12-30T14:00:00"/>
    <s v="Retail"/>
    <x v="25"/>
    <s v="-"/>
    <s v="P"/>
    <s v="P"/>
    <s v="P"/>
    <s v="+"/>
    <s v="+"/>
    <n v="13.24"/>
    <s v="-"/>
    <s v="-"/>
    <s v="-"/>
    <s v="-"/>
    <s v="-"/>
    <s v="-"/>
    <s v="-"/>
    <s v="-"/>
    <s v="P"/>
    <s v="P"/>
    <s v="-"/>
    <s v="-"/>
    <n v="1"/>
    <n v="2"/>
    <n v="1"/>
    <s v="-"/>
    <s v="-"/>
    <s v="-"/>
    <s v="-"/>
    <s v="-"/>
    <s v="-"/>
    <s v="-"/>
    <n v="4"/>
    <n v="4"/>
    <s v="-"/>
    <n v="1"/>
    <n v="1"/>
    <n v="2"/>
    <n v="2"/>
    <n v="6"/>
    <n v="6"/>
  </r>
  <r>
    <x v="0"/>
    <x v="9"/>
    <d v="2026-01-12T00:00:00"/>
    <s v="1ST"/>
    <s v="10:00"/>
    <n v="3"/>
    <x v="0"/>
    <n v="1.7899999999999999E-2"/>
    <s v="P"/>
    <s v="P"/>
    <s v="P"/>
    <s v="+"/>
    <s v="+"/>
    <n v="12.61"/>
    <n v="12.53"/>
    <n v="0.41"/>
    <n v="63.4"/>
    <s v="-"/>
    <s v="-"/>
    <n v="35.1"/>
    <s v="-"/>
    <s v="-"/>
    <s v="P"/>
    <s v="P"/>
    <s v="85% 15%"/>
    <n v="2"/>
    <n v="1"/>
    <n v="2"/>
    <n v="1"/>
    <n v="1"/>
    <n v="2"/>
    <n v="0"/>
    <s v="-"/>
    <s v="-"/>
    <n v="2"/>
    <s v="-"/>
    <n v="11"/>
    <n v="13"/>
    <s v="-"/>
    <n v="1"/>
    <n v="1"/>
    <n v="2"/>
    <n v="2"/>
    <n v="13"/>
    <n v="15"/>
  </r>
  <r>
    <x v="0"/>
    <x v="9"/>
    <d v="2026-01-12T00:00:00"/>
    <s v="1ST"/>
    <s v="11:00"/>
    <n v="3"/>
    <x v="1"/>
    <n v="6.1999999999999998E-3"/>
    <s v="P"/>
    <s v="P"/>
    <s v="P"/>
    <s v="+"/>
    <s v="+"/>
    <n v="13.09"/>
    <s v="-"/>
    <s v="-"/>
    <s v="-"/>
    <s v="-"/>
    <s v="-"/>
    <s v="-"/>
    <s v="-"/>
    <s v="-"/>
    <s v="P"/>
    <s v="P"/>
    <s v="-"/>
    <n v="2"/>
    <n v="1"/>
    <n v="2"/>
    <n v="1"/>
    <s v="-"/>
    <s v="-"/>
    <s v="-"/>
    <s v="-"/>
    <s v="-"/>
    <s v="-"/>
    <s v="-"/>
    <n v="6"/>
    <n v="6"/>
    <s v="-"/>
    <n v="1"/>
    <n v="1"/>
    <n v="2"/>
    <n v="2"/>
    <n v="8"/>
    <n v="8"/>
  </r>
  <r>
    <x v="0"/>
    <x v="9"/>
    <d v="2026-01-12T00:00:00"/>
    <s v="2ND"/>
    <d v="1899-12-30T14:00:00"/>
    <n v="3"/>
    <x v="1"/>
    <n v="1.8800000000000001E-2"/>
    <s v="P"/>
    <s v="P"/>
    <s v="P"/>
    <s v="+"/>
    <s v="+"/>
    <n v="12.55"/>
    <n v="12.77"/>
    <n v="0.48"/>
    <n v="64"/>
    <s v="-"/>
    <s v="-"/>
    <n v="35.799999999999997"/>
    <s v="-"/>
    <s v="-"/>
    <s v="P"/>
    <s v="P"/>
    <s v="-"/>
    <n v="2"/>
    <n v="1"/>
    <n v="2"/>
    <n v="1"/>
    <n v="1"/>
    <n v="2"/>
    <n v="2"/>
    <s v="-"/>
    <s v="-"/>
    <n v="2"/>
    <s v="-"/>
    <n v="13"/>
    <n v="13"/>
    <s v="-"/>
    <n v="1"/>
    <n v="1"/>
    <n v="2"/>
    <n v="2"/>
    <n v="15"/>
    <n v="15"/>
  </r>
  <r>
    <x v="0"/>
    <x v="9"/>
    <d v="2026-01-12T00:00:00"/>
    <s v="2ND"/>
    <d v="1899-12-30T15:00:00"/>
    <n v="3"/>
    <x v="1"/>
    <n v="1.9E-2"/>
    <s v="P"/>
    <s v="P"/>
    <s v="P"/>
    <s v="+"/>
    <s v="+"/>
    <n v="12.6"/>
    <s v="-"/>
    <s v="-"/>
    <s v="-"/>
    <s v="-"/>
    <s v="-"/>
    <s v="-"/>
    <s v="-"/>
    <s v="-"/>
    <s v="P"/>
    <s v="P"/>
    <s v="-"/>
    <n v="2"/>
    <n v="1"/>
    <n v="2"/>
    <n v="1"/>
    <s v="-"/>
    <s v="-"/>
    <s v="-"/>
    <s v="-"/>
    <s v="-"/>
    <s v="-"/>
    <s v="-"/>
    <n v="6"/>
    <n v="6"/>
    <s v="-"/>
    <n v="1"/>
    <n v="1"/>
    <n v="2"/>
    <n v="2"/>
    <n v="8"/>
    <n v="8"/>
  </r>
  <r>
    <x v="0"/>
    <x v="9"/>
    <d v="2026-01-12T00:00:00"/>
    <s v="2ND"/>
    <d v="1899-12-30T16:00:00"/>
    <n v="3"/>
    <x v="1"/>
    <n v="3.7000000000000002E-3"/>
    <s v="P"/>
    <s v="P"/>
    <s v="P"/>
    <s v="+"/>
    <s v="+"/>
    <n v="12.8"/>
    <s v="-"/>
    <s v="-"/>
    <s v="-"/>
    <s v="-"/>
    <s v="-"/>
    <s v="-"/>
    <s v="-"/>
    <s v="-"/>
    <s v="P"/>
    <s v="P"/>
    <s v="-"/>
    <n v="2"/>
    <n v="1"/>
    <n v="2"/>
    <n v="1"/>
    <s v="-"/>
    <s v="-"/>
    <s v="-"/>
    <s v="-"/>
    <s v="-"/>
    <s v="-"/>
    <s v="-"/>
    <n v="6"/>
    <n v="6"/>
    <s v="-"/>
    <n v="1"/>
    <n v="1"/>
    <n v="2"/>
    <n v="2"/>
    <n v="8"/>
    <n v="8"/>
  </r>
  <r>
    <x v="0"/>
    <x v="9"/>
    <d v="2026-01-12T00:00:00"/>
    <s v="2ND"/>
    <d v="1899-12-30T17:00:00"/>
    <n v="3"/>
    <x v="1"/>
    <n v="4.1000000000000003E-3"/>
    <s v="P"/>
    <s v="P"/>
    <s v="P"/>
    <s v="+"/>
    <s v="+"/>
    <n v="12.65"/>
    <s v="-"/>
    <s v="-"/>
    <s v="-"/>
    <s v="-"/>
    <s v="-"/>
    <s v="-"/>
    <s v="-"/>
    <s v="-"/>
    <s v="P"/>
    <s v="P"/>
    <s v="-"/>
    <n v="2"/>
    <n v="1"/>
    <n v="2"/>
    <n v="1"/>
    <s v="-"/>
    <s v="-"/>
    <s v="-"/>
    <s v="-"/>
    <s v="-"/>
    <s v="-"/>
    <s v="-"/>
    <n v="6"/>
    <n v="6"/>
    <s v="-"/>
    <n v="1"/>
    <n v="1"/>
    <n v="2"/>
    <n v="2"/>
    <n v="8"/>
    <n v="8"/>
  </r>
  <r>
    <x v="0"/>
    <x v="9"/>
    <d v="2026-01-13T00:00:00"/>
    <s v="3RD"/>
    <d v="1899-12-31T03:00:00"/>
    <n v="3"/>
    <x v="1"/>
    <n v="5.0000000000000001E-3"/>
    <s v="P"/>
    <s v="P"/>
    <s v="P"/>
    <s v="-"/>
    <s v="-"/>
    <n v="12.22"/>
    <n v="12.96"/>
    <n v="0.52"/>
    <s v="-"/>
    <s v="-"/>
    <s v="-"/>
    <n v="36.299999999999997"/>
    <s v="-"/>
    <s v="-"/>
    <s v="P"/>
    <s v="P"/>
    <s v="-"/>
    <n v="2"/>
    <n v="1"/>
    <n v="2"/>
    <n v="1"/>
    <n v="1"/>
    <n v="2"/>
    <s v="-"/>
    <s v="-"/>
    <s v="-"/>
    <n v="2"/>
    <s v="-"/>
    <n v="11"/>
    <n v="11"/>
    <s v="-"/>
    <n v="1"/>
    <n v="1"/>
    <n v="2"/>
    <n v="2"/>
    <n v="13"/>
    <n v="13"/>
  </r>
  <r>
    <x v="0"/>
    <x v="9"/>
    <d v="2026-01-13T00:00:00"/>
    <s v="3RD"/>
    <d v="1899-12-31T04:00:00"/>
    <n v="3"/>
    <x v="1"/>
    <n v="2.0999999999999999E-3"/>
    <s v="P"/>
    <s v="P"/>
    <s v="P"/>
    <s v="-"/>
    <s v="-"/>
    <n v="12.3"/>
    <s v="-"/>
    <s v="-"/>
    <s v="-"/>
    <s v="-"/>
    <s v="-"/>
    <s v="-"/>
    <s v="-"/>
    <s v="-"/>
    <s v="P"/>
    <s v="P"/>
    <s v="-"/>
    <n v="2"/>
    <n v="1"/>
    <n v="2"/>
    <n v="1"/>
    <s v="-"/>
    <s v="-"/>
    <s v="-"/>
    <s v="-"/>
    <s v="-"/>
    <s v="-"/>
    <s v="-"/>
    <n v="6"/>
    <n v="6"/>
    <s v="-"/>
    <n v="1"/>
    <n v="1"/>
    <n v="2"/>
    <n v="2"/>
    <n v="8"/>
    <n v="8"/>
  </r>
  <r>
    <x v="0"/>
    <x v="9"/>
    <d v="2026-01-13T00:00:00"/>
    <s v="3RD"/>
    <d v="1899-12-31T05:00:00"/>
    <n v="3"/>
    <x v="1"/>
    <s v="-"/>
    <s v="P"/>
    <s v="P"/>
    <s v="P"/>
    <s v="-"/>
    <s v="-"/>
    <s v="-"/>
    <s v="-"/>
    <s v="-"/>
    <s v="-"/>
    <s v="-"/>
    <s v="-"/>
    <s v="-"/>
    <s v="-"/>
    <s v="-"/>
    <s v="P"/>
    <s v="P"/>
    <s v="-"/>
    <s v="-"/>
    <n v="1"/>
    <n v="2"/>
    <s v="-"/>
    <s v="-"/>
    <s v="-"/>
    <s v="-"/>
    <s v="-"/>
    <s v="-"/>
    <s v="-"/>
    <s v="-"/>
    <n v="3"/>
    <n v="3"/>
    <s v="-"/>
    <n v="1"/>
    <n v="1"/>
    <n v="2"/>
    <n v="2"/>
    <n v="5"/>
    <n v="5"/>
  </r>
  <r>
    <x v="0"/>
    <x v="9"/>
    <d v="1899-12-30T00:00:00"/>
    <s v="2ND"/>
    <d v="1899-12-30T15:00:00"/>
    <s v="Retail"/>
    <x v="13"/>
    <s v="-"/>
    <s v="-"/>
    <s v="-"/>
    <s v="-"/>
    <s v="-"/>
    <s v="-"/>
    <n v="10.039999999999999"/>
    <s v="-"/>
    <s v="-"/>
    <s v="-"/>
    <s v="-"/>
    <s v="-"/>
    <s v="-"/>
    <s v="-"/>
    <s v="-"/>
    <s v="-"/>
    <s v="-"/>
    <s v="-"/>
    <s v="-"/>
    <s v="-"/>
    <s v="-"/>
    <n v="0"/>
    <s v="-"/>
    <s v="-"/>
    <s v="-"/>
    <s v="-"/>
    <s v="-"/>
    <s v="-"/>
    <s v="-"/>
    <n v="0"/>
    <n v="1"/>
    <s v="-"/>
    <s v="-"/>
    <s v="-"/>
    <n v="0"/>
    <n v="0"/>
    <n v="0"/>
    <n v="1"/>
  </r>
  <r>
    <x v="0"/>
    <x v="9"/>
    <m/>
    <s v="2ND"/>
    <d v="1899-12-30T16:00:00"/>
    <n v="1"/>
    <x v="5"/>
    <n v="6.0000000000000001E-3"/>
    <s v="P"/>
    <s v="P"/>
    <s v="P"/>
    <s v="-"/>
    <s v="+"/>
    <n v="11.17"/>
    <n v="8.58"/>
    <n v="0.44"/>
    <n v="54.2"/>
    <s v="-"/>
    <s v="-"/>
    <n v="23.07"/>
    <s v="-"/>
    <s v="-"/>
    <s v="P"/>
    <s v="P"/>
    <s v="-"/>
    <n v="2"/>
    <n v="1"/>
    <n v="2"/>
    <n v="1"/>
    <n v="1"/>
    <n v="2"/>
    <n v="2"/>
    <s v="-"/>
    <s v="-"/>
    <n v="2"/>
    <s v="-"/>
    <n v="13"/>
    <n v="13"/>
    <s v="-"/>
    <n v="1"/>
    <n v="1"/>
    <n v="2"/>
    <n v="2"/>
    <n v="15"/>
    <n v="15"/>
  </r>
  <r>
    <x v="0"/>
    <x v="9"/>
    <m/>
    <s v="2ND"/>
    <d v="1899-12-30T19:00:00"/>
    <n v="1"/>
    <x v="5"/>
    <n v="8.5000000000000006E-3"/>
    <s v="P"/>
    <s v="P"/>
    <s v="P"/>
    <s v="-"/>
    <s v="+"/>
    <n v="10.94"/>
    <s v="-"/>
    <s v="-"/>
    <s v="-"/>
    <s v="-"/>
    <s v="-"/>
    <s v="-"/>
    <s v="-"/>
    <s v="-"/>
    <s v="P"/>
    <s v="P"/>
    <s v="-"/>
    <n v="2"/>
    <n v="1"/>
    <n v="2"/>
    <n v="0"/>
    <s v="-"/>
    <s v="-"/>
    <s v="-"/>
    <s v="-"/>
    <s v="-"/>
    <s v="-"/>
    <s v="-"/>
    <n v="5"/>
    <n v="6"/>
    <s v="-"/>
    <n v="1"/>
    <n v="1"/>
    <n v="2"/>
    <n v="2"/>
    <n v="7"/>
    <n v="8"/>
  </r>
  <r>
    <x v="0"/>
    <x v="9"/>
    <d v="2026-01-06T00:00:00"/>
    <s v="3RD"/>
    <d v="1899-12-30T22:00:00"/>
    <n v="1"/>
    <x v="5"/>
    <n v="2.5999999999999999E-3"/>
    <s v="P"/>
    <s v="P"/>
    <s v="P"/>
    <s v="-"/>
    <s v="+"/>
    <n v="11.05"/>
    <n v="8.67"/>
    <n v="0.47"/>
    <s v="-"/>
    <s v="-"/>
    <s v="-"/>
    <n v="23.36"/>
    <s v="-"/>
    <s v="-"/>
    <s v="P"/>
    <s v="P"/>
    <s v="-"/>
    <n v="2"/>
    <n v="1"/>
    <n v="2"/>
    <n v="1"/>
    <n v="1"/>
    <n v="2"/>
    <s v="-"/>
    <s v="-"/>
    <s v="-"/>
    <n v="2"/>
    <s v="-"/>
    <n v="11"/>
    <n v="11"/>
    <s v="-"/>
    <n v="1"/>
    <n v="1"/>
    <n v="2"/>
    <n v="2"/>
    <n v="13"/>
    <n v="13"/>
  </r>
  <r>
    <x v="0"/>
    <x v="9"/>
    <d v="2026-01-06T00:00:00"/>
    <s v="3RD"/>
    <d v="1899-12-31T00:00:00"/>
    <n v="1"/>
    <x v="5"/>
    <n v="4.4999999999999997E-3"/>
    <s v="P"/>
    <s v="P"/>
    <s v="P"/>
    <s v="-"/>
    <s v="+"/>
    <n v="10.92"/>
    <s v="-"/>
    <s v="-"/>
    <s v="-"/>
    <s v="-"/>
    <s v="-"/>
    <s v="-"/>
    <s v="-"/>
    <s v="-"/>
    <s v="P"/>
    <s v="P"/>
    <s v="-"/>
    <n v="2"/>
    <n v="1"/>
    <n v="2"/>
    <n v="0"/>
    <s v="-"/>
    <s v="-"/>
    <s v="-"/>
    <s v="-"/>
    <s v="-"/>
    <s v="-"/>
    <s v="-"/>
    <n v="5"/>
    <n v="6"/>
    <s v="-"/>
    <n v="1"/>
    <n v="1"/>
    <n v="2"/>
    <n v="2"/>
    <n v="7"/>
    <n v="8"/>
  </r>
  <r>
    <x v="0"/>
    <x v="9"/>
    <d v="2026-01-06T00:00:00"/>
    <s v="3RD"/>
    <d v="1899-12-31T02:00:00"/>
    <n v="1"/>
    <x v="5"/>
    <n v="3.3E-3"/>
    <s v="P"/>
    <s v="P"/>
    <s v="P"/>
    <s v="-"/>
    <s v="+"/>
    <n v="10.88"/>
    <s v="-"/>
    <s v="-"/>
    <s v="-"/>
    <s v="-"/>
    <s v="-"/>
    <s v="-"/>
    <s v="-"/>
    <s v="-"/>
    <s v="P"/>
    <s v="P"/>
    <s v="-"/>
    <n v="2"/>
    <n v="1"/>
    <n v="2"/>
    <n v="0"/>
    <s v="-"/>
    <s v="-"/>
    <s v="-"/>
    <s v="-"/>
    <s v="-"/>
    <s v="-"/>
    <s v="-"/>
    <n v="5"/>
    <n v="6"/>
    <s v="-"/>
    <n v="1"/>
    <n v="1"/>
    <n v="2"/>
    <n v="2"/>
    <n v="7"/>
    <n v="8"/>
  </r>
  <r>
    <x v="0"/>
    <x v="9"/>
    <d v="2026-01-06T00:00:00"/>
    <s v="3RD"/>
    <d v="1899-12-31T03:00:00"/>
    <n v="1"/>
    <x v="5"/>
    <n v="2.8E-3"/>
    <s v="P"/>
    <s v="P"/>
    <s v="P"/>
    <s v="-"/>
    <s v="+"/>
    <n v="10.74"/>
    <s v="-"/>
    <s v="-"/>
    <s v="-"/>
    <s v="-"/>
    <s v="-"/>
    <s v="-"/>
    <s v="-"/>
    <s v="-"/>
    <s v="P"/>
    <s v="P"/>
    <s v="-"/>
    <n v="2"/>
    <n v="1"/>
    <n v="2"/>
    <n v="0"/>
    <s v="-"/>
    <s v="-"/>
    <s v="-"/>
    <s v="-"/>
    <s v="-"/>
    <s v="-"/>
    <s v="-"/>
    <n v="5"/>
    <n v="6"/>
    <s v="-"/>
    <n v="1"/>
    <n v="1"/>
    <n v="2"/>
    <n v="2"/>
    <n v="7"/>
    <n v="8"/>
  </r>
  <r>
    <x v="0"/>
    <x v="9"/>
    <d v="2026-01-06T00:00:00"/>
    <s v="3RD"/>
    <d v="1899-12-31T04:00:00"/>
    <n v="1"/>
    <x v="5"/>
    <n v="6.1000000000000004E-3"/>
    <s v="P"/>
    <s v="P"/>
    <s v="P"/>
    <s v="-"/>
    <s v="+"/>
    <n v="10.84"/>
    <s v="-"/>
    <s v="-"/>
    <s v="-"/>
    <s v="-"/>
    <s v="-"/>
    <s v="-"/>
    <s v="-"/>
    <s v="-"/>
    <s v="P"/>
    <s v="P"/>
    <s v="-"/>
    <n v="2"/>
    <n v="1"/>
    <n v="2"/>
    <n v="0"/>
    <s v="-"/>
    <s v="-"/>
    <s v="-"/>
    <s v="-"/>
    <s v="-"/>
    <s v="-"/>
    <s v="-"/>
    <n v="5"/>
    <n v="6"/>
    <s v="-"/>
    <n v="1"/>
    <n v="1"/>
    <n v="2"/>
    <n v="2"/>
    <n v="7"/>
    <n v="8"/>
  </r>
  <r>
    <x v="0"/>
    <x v="9"/>
    <d v="2026-01-06T00:00:00"/>
    <s v="3RD"/>
    <d v="1899-12-31T05:00:00"/>
    <n v="1"/>
    <x v="5"/>
    <s v="-"/>
    <s v="P"/>
    <s v="P"/>
    <s v="P"/>
    <s v="-"/>
    <s v="+"/>
    <s v="-"/>
    <s v="-"/>
    <s v="-"/>
    <s v="-"/>
    <s v="-"/>
    <s v="-"/>
    <s v="-"/>
    <s v="-"/>
    <s v="-"/>
    <s v="P"/>
    <s v="P"/>
    <s v="-"/>
    <s v="-"/>
    <n v="1"/>
    <n v="2"/>
    <s v="-"/>
    <s v="-"/>
    <s v="-"/>
    <s v="-"/>
    <s v="-"/>
    <s v="-"/>
    <s v="-"/>
    <s v="-"/>
    <n v="3"/>
    <n v="3"/>
    <s v="-"/>
    <n v="1"/>
    <n v="1"/>
    <n v="2"/>
    <n v="2"/>
    <n v="5"/>
    <n v="5"/>
  </r>
  <r>
    <x v="0"/>
    <x v="9"/>
    <d v="1899-12-30T00:00:00"/>
    <s v="2ND"/>
    <d v="1899-12-30T16:00:00"/>
    <s v="Retail"/>
    <x v="9"/>
    <s v="-"/>
    <s v="-"/>
    <s v="-"/>
    <s v="-"/>
    <s v="-"/>
    <s v="-"/>
    <n v="11.39"/>
    <s v="-"/>
    <s v="-"/>
    <s v="-"/>
    <s v="-"/>
    <s v="-"/>
    <s v="-"/>
    <s v="-"/>
    <s v="-"/>
    <s v="-"/>
    <s v="-"/>
    <s v="-"/>
    <s v="-"/>
    <s v="-"/>
    <s v="-"/>
    <n v="1"/>
    <s v="-"/>
    <s v="-"/>
    <s v="-"/>
    <s v="-"/>
    <s v="-"/>
    <s v="-"/>
    <s v="-"/>
    <n v="1"/>
    <n v="1"/>
    <s v="-"/>
    <s v="-"/>
    <s v="-"/>
    <n v="0"/>
    <n v="0"/>
    <n v="1"/>
    <n v="1"/>
  </r>
  <r>
    <x v="0"/>
    <x v="9"/>
    <d v="2026-01-07T00:00:00"/>
    <s v="1ST"/>
    <s v="06:00"/>
    <n v="2"/>
    <x v="22"/>
    <n v="1.2999999999999999E-3"/>
    <s v="P"/>
    <s v="P"/>
    <s v="P"/>
    <s v="-"/>
    <s v="-"/>
    <n v="11.52"/>
    <n v="8.74"/>
    <n v="0.43"/>
    <n v="54"/>
    <s v="-"/>
    <s v="-"/>
    <n v="23.58"/>
    <s v="-"/>
    <s v="-"/>
    <s v="P"/>
    <s v="P"/>
    <s v="-"/>
    <n v="2"/>
    <n v="1"/>
    <n v="2"/>
    <n v="1"/>
    <n v="1"/>
    <n v="0"/>
    <n v="2"/>
    <s v="-"/>
    <s v="-"/>
    <n v="2"/>
    <s v="-"/>
    <n v="11"/>
    <n v="13"/>
    <s v="-"/>
    <n v="1"/>
    <n v="1"/>
    <n v="2"/>
    <n v="2"/>
    <n v="13"/>
    <n v="15"/>
  </r>
  <r>
    <x v="0"/>
    <x v="9"/>
    <d v="2026-01-07T00:00:00"/>
    <s v="1ST"/>
    <s v="08:00"/>
    <n v="2"/>
    <x v="22"/>
    <n v="6.7000000000000002E-3"/>
    <s v="P"/>
    <s v="P"/>
    <s v="P"/>
    <s v="-"/>
    <s v="-"/>
    <n v="11.53"/>
    <s v="-"/>
    <s v="-"/>
    <s v="-"/>
    <s v="-"/>
    <s v="-"/>
    <s v="-"/>
    <s v="-"/>
    <s v="-"/>
    <s v="P"/>
    <s v="P"/>
    <s v="-"/>
    <n v="2"/>
    <n v="1"/>
    <n v="2"/>
    <n v="1"/>
    <s v="-"/>
    <s v="-"/>
    <s v="-"/>
    <s v="-"/>
    <s v="-"/>
    <s v="-"/>
    <s v="-"/>
    <n v="6"/>
    <n v="6"/>
    <s v="-"/>
    <n v="1"/>
    <n v="1"/>
    <n v="2"/>
    <n v="2"/>
    <n v="8"/>
    <n v="8"/>
  </r>
  <r>
    <x v="0"/>
    <x v="9"/>
    <d v="2026-01-07T00:00:00"/>
    <s v="1ST"/>
    <s v="09:00"/>
    <n v="2"/>
    <x v="22"/>
    <n v="6.1999999999999998E-3"/>
    <s v="P"/>
    <s v="P"/>
    <s v="P"/>
    <s v="-"/>
    <s v="-"/>
    <n v="11.47"/>
    <s v="-"/>
    <s v="-"/>
    <s v="-"/>
    <s v="-"/>
    <s v="-"/>
    <s v="-"/>
    <s v="-"/>
    <s v="-"/>
    <s v="P"/>
    <s v="P"/>
    <s v="-"/>
    <n v="2"/>
    <n v="1"/>
    <n v="2"/>
    <n v="1"/>
    <s v="-"/>
    <s v="-"/>
    <s v="-"/>
    <s v="-"/>
    <s v="-"/>
    <s v="-"/>
    <s v="-"/>
    <n v="6"/>
    <n v="6"/>
    <s v="-"/>
    <n v="1"/>
    <n v="1"/>
    <n v="2"/>
    <n v="2"/>
    <n v="8"/>
    <n v="8"/>
  </r>
  <r>
    <x v="0"/>
    <x v="9"/>
    <d v="2026-01-07T00:00:00"/>
    <s v="1ST"/>
    <s v="11:00"/>
    <n v="2"/>
    <x v="22"/>
    <n v="8.8999999999999999E-3"/>
    <s v="P"/>
    <s v="P"/>
    <s v="P"/>
    <s v="-"/>
    <s v="-"/>
    <n v="11.23"/>
    <s v="-"/>
    <s v="-"/>
    <s v="-"/>
    <s v="-"/>
    <s v="-"/>
    <s v="-"/>
    <s v="-"/>
    <s v="-"/>
    <s v="P"/>
    <s v="P"/>
    <s v="-"/>
    <n v="2"/>
    <n v="1"/>
    <n v="2"/>
    <n v="1"/>
    <s v="-"/>
    <s v="-"/>
    <s v="-"/>
    <s v="-"/>
    <s v="-"/>
    <s v="-"/>
    <s v="-"/>
    <n v="6"/>
    <n v="6"/>
    <s v="-"/>
    <n v="1"/>
    <n v="1"/>
    <n v="2"/>
    <n v="2"/>
    <n v="8"/>
    <n v="8"/>
  </r>
  <r>
    <x v="0"/>
    <x v="9"/>
    <d v="2026-01-07T00:00:00"/>
    <s v="1ST"/>
    <s v="12:00"/>
    <n v="2"/>
    <x v="22"/>
    <n v="7.4999999999999997E-3"/>
    <s v="P"/>
    <s v="P"/>
    <s v="P"/>
    <s v="-"/>
    <s v="-"/>
    <n v="11.11"/>
    <s v="-"/>
    <s v="-"/>
    <s v="-"/>
    <s v="-"/>
    <s v="-"/>
    <s v="-"/>
    <s v="-"/>
    <s v="-"/>
    <s v="P"/>
    <s v="P"/>
    <s v="-"/>
    <n v="2"/>
    <n v="1"/>
    <n v="2"/>
    <n v="1"/>
    <s v="-"/>
    <s v="-"/>
    <s v="-"/>
    <s v="-"/>
    <s v="-"/>
    <s v="-"/>
    <s v="-"/>
    <n v="6"/>
    <n v="6"/>
    <s v="-"/>
    <n v="1"/>
    <n v="1"/>
    <n v="2"/>
    <n v="2"/>
    <n v="8"/>
    <n v="8"/>
  </r>
  <r>
    <x v="0"/>
    <x v="9"/>
    <d v="2026-01-07T00:00:00"/>
    <s v="2ND"/>
    <d v="1899-12-30T14:00:00"/>
    <n v="2"/>
    <x v="22"/>
    <n v="8.6E-3"/>
    <s v="P"/>
    <s v="P"/>
    <s v="P"/>
    <s v="-"/>
    <s v="-"/>
    <n v="11.13"/>
    <n v="8.6"/>
    <n v="0.46"/>
    <s v="-"/>
    <s v="-"/>
    <s v="-"/>
    <n v="23.14"/>
    <s v="-"/>
    <s v="-"/>
    <s v="P"/>
    <s v="P"/>
    <s v="-"/>
    <n v="2"/>
    <n v="1"/>
    <n v="2"/>
    <n v="1"/>
    <n v="1"/>
    <n v="0"/>
    <s v="-"/>
    <s v="-"/>
    <s v="-"/>
    <n v="2"/>
    <s v="-"/>
    <n v="9"/>
    <n v="11"/>
    <s v="-"/>
    <n v="1"/>
    <n v="1"/>
    <n v="2"/>
    <n v="2"/>
    <n v="11"/>
    <n v="13"/>
  </r>
  <r>
    <x v="0"/>
    <x v="9"/>
    <d v="2026-01-07T00:00:00"/>
    <s v="2ND"/>
    <d v="1899-12-30T15:00:00"/>
    <n v="2"/>
    <x v="22"/>
    <n v="8.9999999999999993E-3"/>
    <s v="P"/>
    <s v="P"/>
    <s v="P"/>
    <s v="-"/>
    <s v="-"/>
    <n v="11.01"/>
    <s v="-"/>
    <s v="-"/>
    <s v="-"/>
    <s v="-"/>
    <s v="-"/>
    <s v="-"/>
    <s v="-"/>
    <s v="-"/>
    <s v="P"/>
    <s v="P"/>
    <s v="-"/>
    <n v="2"/>
    <n v="1"/>
    <n v="2"/>
    <n v="1"/>
    <s v="-"/>
    <s v="-"/>
    <s v="-"/>
    <s v="-"/>
    <s v="-"/>
    <s v="-"/>
    <s v="-"/>
    <n v="6"/>
    <n v="6"/>
    <s v="-"/>
    <n v="1"/>
    <n v="1"/>
    <n v="2"/>
    <n v="2"/>
    <n v="8"/>
    <n v="8"/>
  </r>
  <r>
    <x v="0"/>
    <x v="9"/>
    <d v="2026-01-07T00:00:00"/>
    <s v="2ND"/>
    <d v="1899-12-30T19:00:00"/>
    <n v="2"/>
    <x v="22"/>
    <n v="1.12E-2"/>
    <s v="P"/>
    <s v="P"/>
    <s v="P"/>
    <s v="-"/>
    <s v="-"/>
    <n v="10.98"/>
    <s v="-"/>
    <s v="-"/>
    <s v="-"/>
    <s v="-"/>
    <s v="-"/>
    <s v="-"/>
    <s v="-"/>
    <s v="-"/>
    <s v="P"/>
    <s v="P"/>
    <s v="-"/>
    <n v="2"/>
    <n v="1"/>
    <n v="2"/>
    <n v="0"/>
    <s v="-"/>
    <s v="-"/>
    <s v="-"/>
    <s v="-"/>
    <s v="-"/>
    <s v="-"/>
    <s v="-"/>
    <n v="5"/>
    <n v="6"/>
    <s v="-"/>
    <n v="1"/>
    <n v="1"/>
    <n v="2"/>
    <n v="2"/>
    <n v="7"/>
    <n v="8"/>
  </r>
  <r>
    <x v="0"/>
    <x v="9"/>
    <d v="2026-01-07T00:00:00"/>
    <s v="2ND"/>
    <d v="1899-12-30T20:00:00"/>
    <n v="2"/>
    <x v="22"/>
    <s v="-"/>
    <s v="P"/>
    <s v="P"/>
    <s v="P"/>
    <s v="-"/>
    <s v="-"/>
    <s v="-"/>
    <s v="-"/>
    <s v="-"/>
    <s v="-"/>
    <s v="-"/>
    <s v="-"/>
    <s v="-"/>
    <s v="-"/>
    <s v="-"/>
    <s v="P"/>
    <s v="P"/>
    <s v="-"/>
    <s v="-"/>
    <n v="1"/>
    <n v="2"/>
    <s v="-"/>
    <s v="-"/>
    <s v="-"/>
    <s v="-"/>
    <s v="-"/>
    <s v="-"/>
    <s v="-"/>
    <s v="-"/>
    <n v="3"/>
    <n v="3"/>
    <s v="-"/>
    <n v="1"/>
    <n v="1"/>
    <n v="2"/>
    <n v="2"/>
    <n v="5"/>
    <n v="5"/>
  </r>
  <r>
    <x v="0"/>
    <x v="9"/>
    <d v="2026-01-07T00:00:00"/>
    <s v="3RD"/>
    <d v="1899-12-30T22:00:00"/>
    <n v="2"/>
    <x v="22"/>
    <n v="6.3E-3"/>
    <s v="P"/>
    <s v="P"/>
    <s v="P"/>
    <s v="-"/>
    <s v="-"/>
    <n v="11.08"/>
    <n v="8.83"/>
    <n v="0.45"/>
    <s v="-"/>
    <s v="-"/>
    <s v="-"/>
    <n v="23.88"/>
    <s v="-"/>
    <s v="-"/>
    <s v="P"/>
    <s v="P"/>
    <s v="-"/>
    <n v="2"/>
    <n v="1"/>
    <n v="2"/>
    <n v="1"/>
    <n v="1"/>
    <n v="0"/>
    <s v="-"/>
    <s v="-"/>
    <s v="-"/>
    <n v="2"/>
    <s v="-"/>
    <n v="9"/>
    <n v="11"/>
    <s v="-"/>
    <n v="1"/>
    <n v="1"/>
    <n v="2"/>
    <n v="2"/>
    <n v="11"/>
    <n v="13"/>
  </r>
  <r>
    <x v="0"/>
    <x v="9"/>
    <d v="2026-01-07T00:00:00"/>
    <s v="3RD"/>
    <d v="1899-12-31T03:00:00"/>
    <n v="2"/>
    <x v="22"/>
    <n v="5.1999999999999998E-3"/>
    <s v="P"/>
    <s v="P"/>
    <s v="P"/>
    <s v="-"/>
    <s v="-"/>
    <n v="10.91"/>
    <s v="-"/>
    <s v="-"/>
    <s v="-"/>
    <s v="-"/>
    <s v="-"/>
    <s v="-"/>
    <s v="-"/>
    <s v="-"/>
    <s v="P"/>
    <s v="P"/>
    <s v="-"/>
    <n v="2"/>
    <n v="1"/>
    <n v="2"/>
    <n v="0"/>
    <s v="-"/>
    <s v="-"/>
    <s v="-"/>
    <s v="-"/>
    <s v="-"/>
    <s v="-"/>
    <s v="-"/>
    <n v="5"/>
    <n v="6"/>
    <s v="-"/>
    <n v="1"/>
    <n v="1"/>
    <n v="2"/>
    <n v="2"/>
    <n v="7"/>
    <n v="8"/>
  </r>
  <r>
    <x v="0"/>
    <x v="9"/>
    <d v="2026-01-07T00:00:00"/>
    <s v="3RD"/>
    <d v="1899-12-31T04:00:00"/>
    <n v="2"/>
    <x v="22"/>
    <n v="5.4999999999999997E-3"/>
    <s v="P"/>
    <s v="P"/>
    <s v="P"/>
    <s v="-"/>
    <s v="-"/>
    <n v="11.24"/>
    <s v="-"/>
    <s v="-"/>
    <s v="-"/>
    <s v="-"/>
    <s v="-"/>
    <s v="-"/>
    <s v="-"/>
    <s v="-"/>
    <s v="P"/>
    <s v="P"/>
    <s v="-"/>
    <n v="2"/>
    <n v="1"/>
    <n v="2"/>
    <n v="1"/>
    <s v="-"/>
    <s v="-"/>
    <s v="-"/>
    <s v="-"/>
    <s v="-"/>
    <s v="-"/>
    <s v="-"/>
    <n v="6"/>
    <n v="6"/>
    <s v="-"/>
    <n v="1"/>
    <n v="1"/>
    <n v="2"/>
    <n v="2"/>
    <n v="8"/>
    <n v="8"/>
  </r>
  <r>
    <x v="0"/>
    <x v="9"/>
    <d v="2026-01-07T00:00:00"/>
    <s v="3RD"/>
    <d v="1899-12-31T05:00:00"/>
    <n v="2"/>
    <x v="22"/>
    <s v="-"/>
    <s v="P"/>
    <s v="P"/>
    <s v="P"/>
    <s v="-"/>
    <s v="-"/>
    <s v="-"/>
    <s v="-"/>
    <s v="-"/>
    <s v="-"/>
    <s v="-"/>
    <s v="-"/>
    <s v="-"/>
    <s v="-"/>
    <s v="-"/>
    <s v="P"/>
    <s v="P"/>
    <s v="-"/>
    <s v="-"/>
    <n v="1"/>
    <n v="2"/>
    <s v="-"/>
    <s v="-"/>
    <s v="-"/>
    <s v="-"/>
    <s v="-"/>
    <s v="-"/>
    <s v="-"/>
    <s v="-"/>
    <n v="3"/>
    <n v="3"/>
    <s v="-"/>
    <n v="1"/>
    <n v="1"/>
    <n v="2"/>
    <n v="2"/>
    <n v="5"/>
    <n v="5"/>
  </r>
  <r>
    <x v="0"/>
    <x v="10"/>
    <d v="2026-01-07T00:00:00"/>
    <s v="3RD"/>
    <d v="1899-12-31T02:00:00"/>
    <n v="1"/>
    <x v="2"/>
    <n v="7.4000000000000003E-3"/>
    <s v="P"/>
    <s v="P"/>
    <s v="P"/>
    <s v="-"/>
    <s v="+"/>
    <n v="10.52"/>
    <n v="9.2899999999999991"/>
    <n v="0.53"/>
    <n v="58.1"/>
    <n v="11.7"/>
    <n v="328"/>
    <n v="25.35"/>
    <s v="-"/>
    <s v="-"/>
    <s v="P"/>
    <s v="P"/>
    <s v="-"/>
    <n v="2"/>
    <n v="1"/>
    <n v="2"/>
    <n v="0"/>
    <n v="0"/>
    <n v="2"/>
    <n v="0"/>
    <n v="0"/>
    <n v="0"/>
    <n v="0"/>
    <s v="-"/>
    <n v="7"/>
    <n v="15"/>
    <s v="-"/>
    <n v="1"/>
    <n v="1"/>
    <n v="2"/>
    <n v="2"/>
    <n v="9"/>
    <n v="17"/>
  </r>
  <r>
    <x v="0"/>
    <x v="10"/>
    <d v="2026-01-07T00:00:00"/>
    <s v="3RD"/>
    <d v="1899-12-31T03:00:00"/>
    <n v="1"/>
    <x v="2"/>
    <n v="6.1999999999999998E-3"/>
    <s v="P"/>
    <s v="P"/>
    <s v="P"/>
    <s v="-"/>
    <s v="+"/>
    <n v="10.71"/>
    <s v="-"/>
    <s v="-"/>
    <s v="-"/>
    <s v="-"/>
    <s v="-"/>
    <s v="-"/>
    <s v="-"/>
    <s v="-"/>
    <s v="P"/>
    <s v="P"/>
    <s v="-"/>
    <n v="2"/>
    <n v="1"/>
    <n v="2"/>
    <n v="0"/>
    <s v="-"/>
    <s v="-"/>
    <s v="-"/>
    <s v="-"/>
    <s v="-"/>
    <s v="-"/>
    <s v="-"/>
    <n v="5"/>
    <n v="6"/>
    <s v="-"/>
    <n v="1"/>
    <n v="1"/>
    <n v="2"/>
    <n v="2"/>
    <n v="7"/>
    <n v="8"/>
  </r>
  <r>
    <x v="0"/>
    <x v="10"/>
    <d v="2026-01-07T00:00:00"/>
    <s v="3RD"/>
    <d v="1899-12-31T04:00:00"/>
    <n v="1"/>
    <x v="2"/>
    <n v="3.3999999999999998E-3"/>
    <s v="P"/>
    <s v="P"/>
    <s v="P"/>
    <s v="-"/>
    <s v="+"/>
    <n v="10.77"/>
    <s v="-"/>
    <s v="-"/>
    <s v="-"/>
    <s v="-"/>
    <s v="-"/>
    <s v="-"/>
    <s v="-"/>
    <s v="-"/>
    <s v="P"/>
    <s v="P"/>
    <s v="-"/>
    <n v="2"/>
    <n v="1"/>
    <n v="2"/>
    <n v="0"/>
    <s v="-"/>
    <s v="-"/>
    <s v="-"/>
    <s v="-"/>
    <s v="-"/>
    <s v="-"/>
    <s v="-"/>
    <n v="5"/>
    <n v="6"/>
    <s v="-"/>
    <n v="1"/>
    <n v="1"/>
    <n v="2"/>
    <n v="2"/>
    <n v="7"/>
    <n v="8"/>
  </r>
  <r>
    <x v="0"/>
    <x v="10"/>
    <d v="2026-01-07T00:00:00"/>
    <s v="3RD"/>
    <d v="1899-12-31T05:00:00"/>
    <n v="1"/>
    <x v="2"/>
    <n v="5.1000000000000004E-3"/>
    <s v="P"/>
    <s v="P"/>
    <s v="P"/>
    <s v="-"/>
    <s v="+"/>
    <n v="10.8"/>
    <s v="-"/>
    <s v="-"/>
    <s v="-"/>
    <s v="-"/>
    <s v="-"/>
    <s v="-"/>
    <s v="-"/>
    <s v="-"/>
    <s v="P"/>
    <s v="P"/>
    <s v="-"/>
    <n v="2"/>
    <n v="1"/>
    <n v="2"/>
    <n v="0"/>
    <s v="-"/>
    <s v="-"/>
    <s v="-"/>
    <s v="-"/>
    <s v="-"/>
    <s v="-"/>
    <s v="-"/>
    <n v="5"/>
    <n v="6"/>
    <s v="-"/>
    <n v="1"/>
    <n v="1"/>
    <n v="2"/>
    <n v="2"/>
    <n v="7"/>
    <n v="8"/>
  </r>
  <r>
    <x v="0"/>
    <x v="10"/>
    <d v="2026-01-14T00:00:00"/>
    <s v="3RD"/>
    <d v="1899-12-31T02:00:00"/>
    <n v="3"/>
    <x v="12"/>
    <n v="1.89E-2"/>
    <s v="P"/>
    <s v="P"/>
    <s v="P"/>
    <s v="+"/>
    <s v="+"/>
    <n v="12.52"/>
    <n v="13.07"/>
    <n v="0.42"/>
    <n v="64.099999999999994"/>
    <n v="14.5"/>
    <n v="815"/>
    <n v="36.6"/>
    <s v="-"/>
    <s v="-"/>
    <s v="P"/>
    <s v="P"/>
    <s v="-"/>
    <n v="2"/>
    <n v="1"/>
    <n v="2"/>
    <n v="1"/>
    <s v="-"/>
    <n v="2"/>
    <n v="2"/>
    <s v="-"/>
    <s v="-"/>
    <n v="2"/>
    <s v="-"/>
    <n v="12"/>
    <n v="12"/>
    <s v="-"/>
    <n v="1"/>
    <n v="1"/>
    <n v="2"/>
    <n v="2"/>
    <n v="14"/>
    <n v="14"/>
  </r>
  <r>
    <x v="0"/>
    <x v="10"/>
    <d v="2026-01-05T00:00:00"/>
    <s v="1ST"/>
    <s v="12:00"/>
    <s v="Retail"/>
    <x v="25"/>
    <s v="-"/>
    <s v="-"/>
    <s v="P"/>
    <s v="P"/>
    <s v="+"/>
    <s v="+"/>
    <n v="12.46"/>
    <n v="13.39"/>
    <n v="0.87"/>
    <n v="68.760000000000005"/>
    <s v="-"/>
    <s v="-"/>
    <n v="37.6"/>
    <s v="-"/>
    <s v="-"/>
    <s v="P"/>
    <s v="P"/>
    <s v="-"/>
    <s v="-"/>
    <s v="-"/>
    <n v="2"/>
    <n v="1"/>
    <n v="0"/>
    <n v="2"/>
    <n v="2"/>
    <s v="-"/>
    <s v="-"/>
    <n v="0"/>
    <s v="-"/>
    <n v="7"/>
    <n v="10"/>
    <s v="-"/>
    <n v="1"/>
    <n v="1"/>
    <n v="2"/>
    <n v="2"/>
    <n v="9"/>
    <n v="12"/>
  </r>
  <r>
    <x v="0"/>
    <x v="10"/>
    <d v="2026-01-14T00:00:00"/>
    <s v="1ST"/>
    <s v="12:00"/>
    <n v="3"/>
    <x v="8"/>
    <n v="1.24E-2"/>
    <s v="P"/>
    <s v="P"/>
    <s v="P"/>
    <s v="+"/>
    <s v="+"/>
    <n v="12.69"/>
    <n v="13.39"/>
    <n v="0.87"/>
    <n v="68.760000000000005"/>
    <s v="-"/>
    <s v="-"/>
    <n v="37.6"/>
    <s v="-"/>
    <s v="-"/>
    <s v="P"/>
    <s v="P"/>
    <n v="1"/>
    <n v="2"/>
    <n v="1"/>
    <n v="2"/>
    <n v="1"/>
    <n v="1"/>
    <n v="0"/>
    <n v="2"/>
    <s v="-"/>
    <s v="-"/>
    <s v="-"/>
    <s v="-"/>
    <n v="9"/>
    <n v="11"/>
    <s v="-"/>
    <n v="1"/>
    <n v="1"/>
    <n v="2"/>
    <n v="2"/>
    <n v="11"/>
    <n v="13"/>
  </r>
  <r>
    <x v="0"/>
    <x v="10"/>
    <d v="2026-01-14T00:00:00"/>
    <s v="1ST"/>
    <s v="13:00"/>
    <n v="3"/>
    <x v="8"/>
    <n v="1.43E-2"/>
    <s v="P"/>
    <s v="P"/>
    <s v="P"/>
    <s v="+"/>
    <s v="+"/>
    <n v="12.9"/>
    <s v="-"/>
    <s v="-"/>
    <s v="-"/>
    <s v="-"/>
    <s v="-"/>
    <s v="-"/>
    <s v="-"/>
    <s v="-"/>
    <s v="P"/>
    <s v="P"/>
    <s v="-"/>
    <n v="2"/>
    <n v="1"/>
    <n v="2"/>
    <n v="1"/>
    <s v="-"/>
    <s v="-"/>
    <s v="-"/>
    <s v="-"/>
    <s v="-"/>
    <s v="-"/>
    <s v="-"/>
    <n v="6"/>
    <n v="6"/>
    <s v="-"/>
    <n v="1"/>
    <n v="1"/>
    <n v="2"/>
    <n v="2"/>
    <n v="8"/>
    <n v="8"/>
  </r>
  <r>
    <x v="0"/>
    <x v="10"/>
    <d v="2026-01-14T00:00:00"/>
    <s v="2ND"/>
    <d v="1899-12-30T14:00:00"/>
    <n v="3"/>
    <x v="8"/>
    <n v="4.5999999999999999E-3"/>
    <s v="P"/>
    <s v="P"/>
    <s v="P"/>
    <s v="+"/>
    <s v="+"/>
    <n v="13"/>
    <n v="12.99"/>
    <n v="0.47"/>
    <s v="-"/>
    <s v="-"/>
    <s v="-"/>
    <n v="36.5"/>
    <s v="-"/>
    <s v="-"/>
    <s v="P"/>
    <s v="P"/>
    <s v="-"/>
    <n v="2"/>
    <n v="1"/>
    <n v="2"/>
    <n v="1"/>
    <n v="1"/>
    <n v="2"/>
    <s v="-"/>
    <s v="-"/>
    <s v="-"/>
    <s v="-"/>
    <s v="-"/>
    <n v="9"/>
    <n v="9"/>
    <s v="-"/>
    <n v="1"/>
    <n v="1"/>
    <n v="2"/>
    <n v="2"/>
    <n v="11"/>
    <n v="11"/>
  </r>
  <r>
    <x v="0"/>
    <x v="10"/>
    <d v="2026-01-14T00:00:00"/>
    <s v="2ND"/>
    <d v="1899-12-30T15:00:00"/>
    <n v="3"/>
    <x v="8"/>
    <n v="6.1000000000000004E-3"/>
    <s v="P"/>
    <s v="P"/>
    <s v="P"/>
    <s v="+"/>
    <s v="+"/>
    <n v="12.46"/>
    <s v="-"/>
    <s v="-"/>
    <s v="-"/>
    <s v="-"/>
    <s v="-"/>
    <s v="-"/>
    <s v="-"/>
    <s v="-"/>
    <s v="P"/>
    <s v="P"/>
    <s v="-"/>
    <n v="2"/>
    <n v="1"/>
    <n v="2"/>
    <n v="1"/>
    <s v="-"/>
    <s v="-"/>
    <s v="-"/>
    <s v="-"/>
    <s v="-"/>
    <s v="-"/>
    <s v="-"/>
    <n v="6"/>
    <n v="6"/>
    <s v="-"/>
    <n v="1"/>
    <n v="1"/>
    <n v="2"/>
    <n v="2"/>
    <n v="8"/>
    <n v="8"/>
  </r>
  <r>
    <x v="0"/>
    <x v="10"/>
    <d v="2026-01-14T00:00:00"/>
    <s v="2ND"/>
    <d v="1899-12-30T16:00:00"/>
    <n v="3"/>
    <x v="8"/>
    <n v="1.46E-2"/>
    <s v="P"/>
    <s v="P"/>
    <s v="P"/>
    <s v="+"/>
    <s v="+"/>
    <n v="12.94"/>
    <s v="-"/>
    <s v="-"/>
    <s v="-"/>
    <s v="-"/>
    <s v="-"/>
    <s v="-"/>
    <s v="-"/>
    <s v="-"/>
    <s v="P"/>
    <s v="P"/>
    <s v="-"/>
    <n v="2"/>
    <n v="1"/>
    <n v="2"/>
    <n v="1"/>
    <s v="-"/>
    <s v="-"/>
    <s v="-"/>
    <s v="-"/>
    <s v="-"/>
    <s v="-"/>
    <s v="-"/>
    <n v="6"/>
    <n v="6"/>
    <s v="-"/>
    <n v="1"/>
    <n v="1"/>
    <n v="2"/>
    <n v="2"/>
    <n v="8"/>
    <n v="8"/>
  </r>
  <r>
    <x v="0"/>
    <x v="10"/>
    <d v="2026-01-14T00:00:00"/>
    <s v="2ND"/>
    <d v="1899-12-30T17:00:00"/>
    <n v="3"/>
    <x v="8"/>
    <n v="1.55E-2"/>
    <s v="P"/>
    <s v="P"/>
    <s v="P"/>
    <s v="+"/>
    <s v="+"/>
    <n v="12.95"/>
    <s v="-"/>
    <s v="-"/>
    <s v="-"/>
    <s v="-"/>
    <s v="-"/>
    <s v="-"/>
    <s v="-"/>
    <s v="-"/>
    <s v="P"/>
    <s v="P"/>
    <s v="-"/>
    <n v="2"/>
    <n v="1"/>
    <n v="2"/>
    <n v="1"/>
    <s v="-"/>
    <s v="-"/>
    <s v="-"/>
    <s v="-"/>
    <s v="-"/>
    <s v="-"/>
    <s v="-"/>
    <n v="6"/>
    <n v="6"/>
    <s v="-"/>
    <n v="1"/>
    <n v="1"/>
    <n v="2"/>
    <n v="2"/>
    <n v="8"/>
    <n v="8"/>
  </r>
  <r>
    <x v="0"/>
    <x v="10"/>
    <d v="2026-01-14T00:00:00"/>
    <s v="3RD"/>
    <d v="1899-12-30T22:00:00"/>
    <n v="3"/>
    <x v="8"/>
    <n v="1.5299999999999999E-2"/>
    <s v="P"/>
    <s v="P"/>
    <s v="P"/>
    <s v="+"/>
    <s v="+"/>
    <n v="12.74"/>
    <n v="12.88"/>
    <n v="0.47"/>
    <s v="-"/>
    <s v="-"/>
    <s v="-"/>
    <n v="36"/>
    <s v="-"/>
    <s v="-"/>
    <s v="P"/>
    <s v="P"/>
    <s v="-"/>
    <n v="2"/>
    <n v="1"/>
    <n v="2"/>
    <n v="1"/>
    <n v="1"/>
    <n v="2"/>
    <s v="-"/>
    <s v="-"/>
    <s v="-"/>
    <s v="-"/>
    <s v="-"/>
    <n v="9"/>
    <n v="9"/>
    <s v="-"/>
    <n v="1"/>
    <n v="1"/>
    <n v="2"/>
    <n v="2"/>
    <n v="11"/>
    <n v="11"/>
  </r>
  <r>
    <x v="0"/>
    <x v="10"/>
    <d v="2026-01-14T00:00:00"/>
    <s v="3RD"/>
    <d v="1899-12-30T23:00:00"/>
    <n v="3"/>
    <x v="8"/>
    <n v="1.34E-2"/>
    <s v="P"/>
    <s v="P"/>
    <s v="P"/>
    <s v="+"/>
    <s v="+"/>
    <n v="12.96"/>
    <s v="-"/>
    <s v="-"/>
    <s v="-"/>
    <s v="-"/>
    <s v="-"/>
    <s v="-"/>
    <s v="-"/>
    <s v="-"/>
    <s v="P"/>
    <s v="P"/>
    <s v="-"/>
    <n v="2"/>
    <n v="1"/>
    <n v="2"/>
    <n v="1"/>
    <s v="-"/>
    <s v="-"/>
    <s v="-"/>
    <s v="-"/>
    <s v="-"/>
    <s v="-"/>
    <s v="-"/>
    <n v="6"/>
    <n v="6"/>
    <s v="-"/>
    <n v="1"/>
    <n v="1"/>
    <n v="2"/>
    <n v="2"/>
    <n v="8"/>
    <n v="8"/>
  </r>
  <r>
    <x v="0"/>
    <x v="10"/>
    <d v="2026-01-14T00:00:00"/>
    <s v="3RD"/>
    <d v="1899-12-31T00:00:00"/>
    <n v="3"/>
    <x v="8"/>
    <n v="8.6999999999999994E-3"/>
    <s v="P"/>
    <s v="P"/>
    <s v="P"/>
    <s v="+"/>
    <s v="+"/>
    <n v="12.57"/>
    <s v="-"/>
    <s v="-"/>
    <s v="-"/>
    <s v="-"/>
    <s v="-"/>
    <s v="-"/>
    <s v="-"/>
    <s v="-"/>
    <s v="P"/>
    <s v="P"/>
    <s v="-"/>
    <n v="2"/>
    <n v="1"/>
    <n v="2"/>
    <n v="1"/>
    <s v="-"/>
    <s v="-"/>
    <s v="-"/>
    <s v="-"/>
    <s v="-"/>
    <s v="-"/>
    <s v="-"/>
    <n v="6"/>
    <n v="6"/>
    <s v="-"/>
    <n v="1"/>
    <n v="1"/>
    <n v="2"/>
    <n v="2"/>
    <n v="8"/>
    <n v="8"/>
  </r>
  <r>
    <x v="0"/>
    <x v="10"/>
    <d v="2026-01-13T00:00:00"/>
    <s v="1ST"/>
    <s v="06:00"/>
    <n v="3"/>
    <x v="1"/>
    <n v="7.3000000000000001E-3"/>
    <s v="P"/>
    <s v="P"/>
    <s v="P"/>
    <s v="+"/>
    <s v="+"/>
    <n v="12.16"/>
    <n v="13"/>
    <n v="0.54"/>
    <n v="64.2"/>
    <s v="-"/>
    <s v="-"/>
    <n v="36.5"/>
    <s v="-"/>
    <s v="-"/>
    <s v="P"/>
    <s v="P"/>
    <s v="85% 15%"/>
    <n v="2"/>
    <n v="1"/>
    <n v="2"/>
    <n v="1"/>
    <n v="1"/>
    <n v="2"/>
    <n v="2"/>
    <s v="-"/>
    <s v="-"/>
    <n v="2"/>
    <s v="-"/>
    <n v="13"/>
    <n v="13"/>
    <s v="-"/>
    <n v="1"/>
    <n v="1"/>
    <n v="2"/>
    <n v="2"/>
    <n v="15"/>
    <n v="15"/>
  </r>
  <r>
    <x v="0"/>
    <x v="10"/>
    <d v="2026-01-13T00:00:00"/>
    <s v="1ST"/>
    <s v="07:00"/>
    <n v="3"/>
    <x v="1"/>
    <n v="7.1000000000000004E-3"/>
    <s v="P"/>
    <s v="P"/>
    <s v="P"/>
    <s v="+"/>
    <s v="+"/>
    <n v="12.54"/>
    <s v="-"/>
    <s v="-"/>
    <s v="-"/>
    <s v="-"/>
    <s v="-"/>
    <s v="-"/>
    <s v="-"/>
    <s v="-"/>
    <s v="P"/>
    <s v="P"/>
    <s v="-"/>
    <n v="2"/>
    <n v="1"/>
    <n v="2"/>
    <n v="1"/>
    <s v="-"/>
    <s v="-"/>
    <s v="-"/>
    <s v="-"/>
    <s v="-"/>
    <s v="-"/>
    <s v="-"/>
    <n v="6"/>
    <n v="6"/>
    <s v="-"/>
    <n v="1"/>
    <n v="1"/>
    <n v="2"/>
    <n v="2"/>
    <n v="8"/>
    <n v="8"/>
  </r>
  <r>
    <x v="0"/>
    <x v="10"/>
    <d v="2026-01-13T00:00:00"/>
    <s v="1ST"/>
    <s v="08:00"/>
    <n v="3"/>
    <x v="1"/>
    <n v="7.3000000000000001E-3"/>
    <s v="P"/>
    <s v="P"/>
    <s v="P"/>
    <s v="+"/>
    <s v="+"/>
    <n v="12.9"/>
    <s v="-"/>
    <s v="-"/>
    <s v="-"/>
    <s v="-"/>
    <s v="-"/>
    <s v="-"/>
    <s v="-"/>
    <s v="-"/>
    <s v="P"/>
    <s v="P"/>
    <s v="-"/>
    <n v="2"/>
    <n v="1"/>
    <n v="2"/>
    <n v="1"/>
    <s v="-"/>
    <s v="-"/>
    <s v="-"/>
    <s v="-"/>
    <s v="-"/>
    <s v="-"/>
    <s v="-"/>
    <n v="6"/>
    <n v="6"/>
    <s v="-"/>
    <n v="1"/>
    <n v="1"/>
    <n v="2"/>
    <n v="2"/>
    <n v="8"/>
    <n v="8"/>
  </r>
  <r>
    <x v="0"/>
    <x v="10"/>
    <d v="2026-01-12T00:00:00"/>
    <s v="1ST"/>
    <s v="09:00"/>
    <n v="3"/>
    <x v="1"/>
    <n v="7.7999999999999996E-3"/>
    <s v="P"/>
    <s v="P"/>
    <s v="P"/>
    <s v="+"/>
    <s v="+"/>
    <n v="12.65"/>
    <n v="12.98"/>
    <n v="0.51"/>
    <n v="63.6"/>
    <s v="-"/>
    <s v="-"/>
    <n v="36.4"/>
    <s v="-"/>
    <s v="-"/>
    <s v="P"/>
    <s v="P"/>
    <s v="85% 15%"/>
    <n v="2"/>
    <n v="1"/>
    <n v="2"/>
    <n v="1"/>
    <n v="1"/>
    <n v="2"/>
    <n v="0"/>
    <s v="-"/>
    <s v="-"/>
    <n v="2"/>
    <s v="-"/>
    <n v="11"/>
    <n v="13"/>
    <s v="-"/>
    <n v="1"/>
    <n v="1"/>
    <n v="2"/>
    <n v="2"/>
    <n v="13"/>
    <n v="15"/>
  </r>
  <r>
    <x v="0"/>
    <x v="10"/>
    <d v="1899-12-30T00:00:00"/>
    <s v="2ND"/>
    <d v="1899-12-30T14:00:00"/>
    <s v="Retail"/>
    <x v="13"/>
    <s v="-"/>
    <s v="-"/>
    <s v="-"/>
    <s v="-"/>
    <s v="-"/>
    <s v="-"/>
    <n v="11.08"/>
    <s v="-"/>
    <s v="-"/>
    <s v="-"/>
    <s v="-"/>
    <s v="-"/>
    <s v="-"/>
    <s v="-"/>
    <s v="-"/>
    <s v="-"/>
    <s v="-"/>
    <s v="-"/>
    <s v="-"/>
    <s v="-"/>
    <s v="-"/>
    <n v="1"/>
    <s v="-"/>
    <s v="-"/>
    <s v="-"/>
    <s v="-"/>
    <s v="-"/>
    <s v="-"/>
    <s v="-"/>
    <n v="1"/>
    <n v="1"/>
    <s v="-"/>
    <s v="-"/>
    <s v="-"/>
    <n v="0"/>
    <n v="0"/>
    <n v="1"/>
    <n v="1"/>
  </r>
  <r>
    <x v="0"/>
    <x v="10"/>
    <d v="2026-01-06T00:00:00"/>
    <s v="2ND"/>
    <d v="1899-12-30T14:00:00"/>
    <n v="2"/>
    <x v="5"/>
    <n v="4.3E-3"/>
    <s v="P"/>
    <s v="P"/>
    <s v="P"/>
    <s v="-"/>
    <s v="+"/>
    <n v="10.83"/>
    <n v="8.64"/>
    <n v="0.43"/>
    <n v="54.5"/>
    <s v="-"/>
    <s v="-"/>
    <n v="23.26"/>
    <s v="-"/>
    <s v="-"/>
    <s v="P"/>
    <s v="P"/>
    <s v="-"/>
    <n v="2"/>
    <n v="1"/>
    <n v="2"/>
    <n v="0"/>
    <n v="1"/>
    <n v="2"/>
    <n v="2"/>
    <s v="-"/>
    <s v="-"/>
    <n v="2"/>
    <s v="-"/>
    <n v="12"/>
    <n v="13"/>
    <s v="-"/>
    <n v="1"/>
    <n v="1"/>
    <n v="2"/>
    <n v="2"/>
    <n v="14"/>
    <n v="15"/>
  </r>
  <r>
    <x v="0"/>
    <x v="10"/>
    <d v="2026-01-06T00:00:00"/>
    <s v="2ND"/>
    <d v="1899-12-30T15:00:00"/>
    <n v="2"/>
    <x v="5"/>
    <n v="4.7000000000000002E-3"/>
    <s v="P"/>
    <s v="P"/>
    <s v="P"/>
    <s v="-"/>
    <s v="+"/>
    <n v="10.65"/>
    <s v="-"/>
    <s v="-"/>
    <s v="-"/>
    <s v="-"/>
    <s v="-"/>
    <s v="-"/>
    <s v="-"/>
    <s v="-"/>
    <s v="P"/>
    <s v="P"/>
    <s v="-"/>
    <n v="2"/>
    <n v="1"/>
    <n v="2"/>
    <n v="0"/>
    <s v="-"/>
    <s v="-"/>
    <s v="-"/>
    <s v="-"/>
    <s v="-"/>
    <s v="-"/>
    <s v="-"/>
    <n v="5"/>
    <n v="6"/>
    <s v="-"/>
    <n v="1"/>
    <n v="1"/>
    <n v="2"/>
    <n v="2"/>
    <n v="7"/>
    <n v="8"/>
  </r>
  <r>
    <x v="0"/>
    <x v="10"/>
    <d v="2026-01-06T00:00:00"/>
    <s v="2ND"/>
    <d v="1899-12-30T18:00:00"/>
    <n v="2"/>
    <x v="5"/>
    <n v="7.7000000000000002E-3"/>
    <s v="P"/>
    <s v="P"/>
    <s v="P"/>
    <s v="-"/>
    <s v="+"/>
    <n v="10.86"/>
    <s v="-"/>
    <s v="-"/>
    <s v="-"/>
    <s v="-"/>
    <s v="-"/>
    <s v="-"/>
    <s v="-"/>
    <s v="-"/>
    <s v="P"/>
    <s v="P"/>
    <s v="-"/>
    <n v="2"/>
    <n v="1"/>
    <n v="2"/>
    <n v="0"/>
    <s v="-"/>
    <s v="-"/>
    <s v="-"/>
    <s v="-"/>
    <s v="-"/>
    <s v="-"/>
    <s v="-"/>
    <n v="5"/>
    <n v="6"/>
    <s v="-"/>
    <n v="1"/>
    <n v="1"/>
    <n v="2"/>
    <n v="2"/>
    <n v="7"/>
    <n v="8"/>
  </r>
  <r>
    <x v="0"/>
    <x v="10"/>
    <d v="2026-01-06T00:00:00"/>
    <s v="2ND"/>
    <d v="1899-12-30T19:00:00"/>
    <n v="2"/>
    <x v="5"/>
    <n v="1.2500000000000001E-2"/>
    <s v="P"/>
    <s v="P"/>
    <s v="P"/>
    <s v="-"/>
    <s v="+"/>
    <n v="10.67"/>
    <s v="-"/>
    <s v="-"/>
    <s v="-"/>
    <s v="-"/>
    <s v="-"/>
    <s v="-"/>
    <s v="-"/>
    <s v="-"/>
    <s v="P"/>
    <s v="P"/>
    <s v="-"/>
    <n v="2"/>
    <n v="1"/>
    <n v="2"/>
    <n v="0"/>
    <s v="-"/>
    <s v="-"/>
    <s v="-"/>
    <s v="-"/>
    <s v="-"/>
    <s v="-"/>
    <s v="-"/>
    <n v="5"/>
    <n v="6"/>
    <s v="-"/>
    <n v="1"/>
    <n v="1"/>
    <n v="2"/>
    <n v="2"/>
    <n v="7"/>
    <n v="8"/>
  </r>
  <r>
    <x v="0"/>
    <x v="10"/>
    <d v="2026-01-15T00:00:00"/>
    <s v="3RD"/>
    <d v="1899-12-30T23:00:00"/>
    <s v="Retail"/>
    <x v="9"/>
    <s v="-"/>
    <s v="-"/>
    <s v="-"/>
    <s v="-"/>
    <s v="-"/>
    <s v="-"/>
    <n v="10.19"/>
    <s v="-"/>
    <s v="-"/>
    <s v="-"/>
    <s v="-"/>
    <s v="-"/>
    <s v="-"/>
    <s v="-"/>
    <s v="-"/>
    <s v="-"/>
    <s v="-"/>
    <s v="-"/>
    <s v="-"/>
    <s v="-"/>
    <s v="-"/>
    <n v="1"/>
    <s v="-"/>
    <s v="-"/>
    <s v="-"/>
    <s v="-"/>
    <s v="-"/>
    <s v="-"/>
    <s v="-"/>
    <n v="1"/>
    <n v="1"/>
    <s v="-"/>
    <s v="-"/>
    <s v="-"/>
    <n v="0"/>
    <n v="0"/>
    <n v="1"/>
    <n v="1"/>
  </r>
  <r>
    <x v="0"/>
    <x v="10"/>
    <d v="2026-01-14T00:00:00"/>
    <s v="3RD"/>
    <d v="1899-12-31T03:00:00"/>
    <n v="3"/>
    <x v="16"/>
    <n v="6.3E-3"/>
    <s v="P"/>
    <s v="P"/>
    <s v="P"/>
    <s v="+"/>
    <s v="+"/>
    <n v="13.2"/>
    <n v="12.98"/>
    <n v="0.43"/>
    <n v="63.5"/>
    <s v="-"/>
    <s v="-"/>
    <n v="36.200000000000003"/>
    <s v="-"/>
    <s v="-"/>
    <s v="P"/>
    <s v="P"/>
    <s v="-"/>
    <n v="2"/>
    <n v="1"/>
    <n v="2"/>
    <n v="1"/>
    <n v="1"/>
    <n v="2"/>
    <n v="0"/>
    <s v="-"/>
    <s v="-"/>
    <n v="2"/>
    <s v="-"/>
    <n v="11"/>
    <n v="13"/>
    <s v="-"/>
    <n v="1"/>
    <n v="1"/>
    <n v="2"/>
    <n v="2"/>
    <n v="13"/>
    <n v="15"/>
  </r>
  <r>
    <x v="0"/>
    <x v="10"/>
    <d v="2026-01-14T00:00:00"/>
    <s v="3RD"/>
    <d v="1899-12-31T04:00:00"/>
    <n v="3"/>
    <x v="16"/>
    <n v="5.4999999999999997E-3"/>
    <s v="P"/>
    <s v="P"/>
    <s v="P"/>
    <s v="+"/>
    <s v="+"/>
    <n v="13.33"/>
    <s v="-"/>
    <s v="-"/>
    <s v="-"/>
    <s v="-"/>
    <s v="-"/>
    <s v="-"/>
    <s v="-"/>
    <s v="-"/>
    <s v="P"/>
    <s v="P"/>
    <s v="-"/>
    <n v="2"/>
    <n v="1"/>
    <n v="2"/>
    <n v="1"/>
    <s v="-"/>
    <s v="-"/>
    <s v="-"/>
    <s v="-"/>
    <s v="-"/>
    <s v="-"/>
    <s v="-"/>
    <n v="6"/>
    <n v="6"/>
    <s v="-"/>
    <n v="1"/>
    <n v="1"/>
    <n v="2"/>
    <n v="2"/>
    <n v="8"/>
    <n v="8"/>
  </r>
  <r>
    <x v="0"/>
    <x v="10"/>
    <d v="2026-01-07T00:00:00"/>
    <s v="1ST"/>
    <s v="06:00"/>
    <n v="2"/>
    <x v="22"/>
    <n v="5.3E-3"/>
    <s v="P"/>
    <s v="P"/>
    <s v="P"/>
    <s v="-"/>
    <s v="-"/>
    <n v="11.21"/>
    <n v="8.6"/>
    <n v="0.5"/>
    <n v="54.3"/>
    <s v="-"/>
    <s v="-"/>
    <n v="23.21"/>
    <s v="-"/>
    <s v="-"/>
    <s v="P"/>
    <s v="P"/>
    <s v="-"/>
    <n v="2"/>
    <n v="1"/>
    <n v="2"/>
    <n v="1"/>
    <n v="1"/>
    <n v="2"/>
    <n v="2"/>
    <s v="-"/>
    <s v="-"/>
    <n v="2"/>
    <s v="-"/>
    <n v="13"/>
    <n v="13"/>
    <s v="-"/>
    <n v="1"/>
    <n v="1"/>
    <n v="2"/>
    <n v="2"/>
    <n v="15"/>
    <n v="15"/>
  </r>
  <r>
    <x v="0"/>
    <x v="10"/>
    <d v="2026-01-07T00:00:00"/>
    <s v="1ST"/>
    <s v="08:00"/>
    <n v="2"/>
    <x v="22"/>
    <n v="5.8999999999999999E-3"/>
    <s v="P"/>
    <s v="P"/>
    <s v="P"/>
    <s v="-"/>
    <s v="-"/>
    <n v="11.29"/>
    <s v="-"/>
    <s v="-"/>
    <s v="-"/>
    <s v="-"/>
    <s v="-"/>
    <s v="-"/>
    <s v="-"/>
    <s v="-"/>
    <s v="P"/>
    <s v="P"/>
    <s v="-"/>
    <n v="2"/>
    <n v="1"/>
    <n v="2"/>
    <n v="1"/>
    <s v="-"/>
    <s v="-"/>
    <s v="-"/>
    <s v="-"/>
    <s v="-"/>
    <s v="-"/>
    <s v="-"/>
    <n v="6"/>
    <n v="6"/>
    <s v="-"/>
    <n v="1"/>
    <n v="1"/>
    <n v="2"/>
    <n v="2"/>
    <n v="8"/>
    <n v="8"/>
  </r>
  <r>
    <x v="0"/>
    <x v="10"/>
    <d v="2026-01-07T00:00:00"/>
    <s v="1ST"/>
    <s v="10:00"/>
    <n v="2"/>
    <x v="22"/>
    <n v="4.8999999999999998E-3"/>
    <s v="P"/>
    <s v="P"/>
    <s v="P"/>
    <s v="-"/>
    <s v="-"/>
    <n v="11.23"/>
    <s v="-"/>
    <s v="-"/>
    <s v="-"/>
    <s v="-"/>
    <s v="-"/>
    <s v="-"/>
    <s v="-"/>
    <s v="-"/>
    <s v="P"/>
    <s v="P"/>
    <s v="-"/>
    <n v="2"/>
    <n v="1"/>
    <n v="2"/>
    <n v="1"/>
    <s v="-"/>
    <s v="-"/>
    <s v="-"/>
    <s v="-"/>
    <s v="-"/>
    <s v="-"/>
    <s v="-"/>
    <n v="6"/>
    <n v="6"/>
    <s v="-"/>
    <n v="1"/>
    <n v="1"/>
    <n v="2"/>
    <n v="2"/>
    <n v="8"/>
    <n v="8"/>
  </r>
  <r>
    <x v="0"/>
    <x v="10"/>
    <d v="2026-01-06T00:00:00"/>
    <s v="2ND"/>
    <d v="1899-12-30T20:00:00"/>
    <n v="2"/>
    <x v="26"/>
    <n v="7.7999999999999996E-3"/>
    <s v="P"/>
    <s v="P"/>
    <s v="P"/>
    <s v="-"/>
    <s v="+"/>
    <n v="10.81"/>
    <s v="-"/>
    <s v="-"/>
    <s v="-"/>
    <s v="-"/>
    <s v="-"/>
    <s v="-"/>
    <s v="-"/>
    <s v="-"/>
    <s v="P"/>
    <s v="P"/>
    <s v="-"/>
    <n v="2"/>
    <n v="1"/>
    <n v="2"/>
    <n v="0"/>
    <s v="-"/>
    <s v="-"/>
    <s v="-"/>
    <s v="-"/>
    <s v="-"/>
    <s v="-"/>
    <s v="-"/>
    <n v="5"/>
    <n v="6"/>
    <s v="-"/>
    <n v="1"/>
    <n v="1"/>
    <n v="2"/>
    <n v="2"/>
    <n v="7"/>
    <n v="8"/>
  </r>
  <r>
    <x v="0"/>
    <x v="11"/>
    <d v="2026-01-07T00:00:00"/>
    <s v="1ST"/>
    <d v="1899-12-30T08:00:00"/>
    <n v="1"/>
    <x v="2"/>
    <n v="1.26E-2"/>
    <s v="P"/>
    <s v="P"/>
    <s v="P"/>
    <s v="-"/>
    <s v="+"/>
    <n v="10.9"/>
    <n v="9.34"/>
    <n v="0.57999999999999996"/>
    <n v="58.6"/>
    <s v="-"/>
    <s v="-"/>
    <n v="25.59"/>
    <s v="-"/>
    <s v="-"/>
    <s v="P"/>
    <s v="P"/>
    <s v="-"/>
    <n v="2"/>
    <n v="1"/>
    <n v="2"/>
    <n v="0"/>
    <n v="0"/>
    <n v="2"/>
    <n v="0"/>
    <s v="-"/>
    <s v="-"/>
    <n v="0"/>
    <s v="-"/>
    <n v="7"/>
    <n v="13"/>
    <s v="-"/>
    <n v="1"/>
    <n v="1"/>
    <n v="2"/>
    <n v="2"/>
    <n v="9"/>
    <n v="15"/>
  </r>
  <r>
    <x v="0"/>
    <x v="11"/>
    <d v="2026-01-07T00:00:00"/>
    <s v="1ST"/>
    <d v="1899-12-30T09:00:00"/>
    <n v="1"/>
    <x v="2"/>
    <n v="1.52E-2"/>
    <s v="P"/>
    <s v="P"/>
    <s v="P"/>
    <s v="-"/>
    <s v="+"/>
    <n v="10.71"/>
    <s v="-"/>
    <s v="-"/>
    <s v="-"/>
    <s v="-"/>
    <s v="-"/>
    <s v="-"/>
    <s v="-"/>
    <s v="-"/>
    <s v="P"/>
    <s v="P"/>
    <s v="-"/>
    <n v="2"/>
    <n v="1"/>
    <n v="2"/>
    <n v="0"/>
    <s v="-"/>
    <s v="-"/>
    <s v="-"/>
    <s v="-"/>
    <s v="-"/>
    <s v="-"/>
    <s v="-"/>
    <n v="5"/>
    <n v="6"/>
    <s v="-"/>
    <n v="1"/>
    <n v="1"/>
    <n v="2"/>
    <n v="2"/>
    <n v="7"/>
    <n v="8"/>
  </r>
  <r>
    <x v="0"/>
    <x v="11"/>
    <d v="2026-01-07T00:00:00"/>
    <s v="1ST"/>
    <d v="1899-12-30T12:00:00"/>
    <n v="1"/>
    <x v="2"/>
    <n v="6.1999999999999998E-3"/>
    <s v="P"/>
    <s v="P"/>
    <s v="P"/>
    <s v="-"/>
    <s v="+"/>
    <n v="10.8"/>
    <s v="-"/>
    <s v="-"/>
    <s v="-"/>
    <s v="-"/>
    <s v="-"/>
    <s v="-"/>
    <s v="-"/>
    <s v="-"/>
    <s v="P"/>
    <s v="P"/>
    <s v="-"/>
    <n v="2"/>
    <n v="1"/>
    <n v="2"/>
    <n v="0"/>
    <s v="-"/>
    <s v="-"/>
    <s v="-"/>
    <s v="-"/>
    <s v="-"/>
    <s v="-"/>
    <s v="-"/>
    <n v="5"/>
    <n v="6"/>
    <s v="-"/>
    <n v="1"/>
    <n v="1"/>
    <n v="2"/>
    <n v="2"/>
    <n v="7"/>
    <n v="8"/>
  </r>
  <r>
    <x v="0"/>
    <x v="11"/>
    <d v="2026-01-07T00:00:00"/>
    <s v="1ST"/>
    <d v="1899-12-30T13:00:00"/>
    <n v="1"/>
    <x v="2"/>
    <n v="9.1999999999999998E-3"/>
    <s v="P"/>
    <s v="P"/>
    <s v="P"/>
    <s v="-"/>
    <s v="+"/>
    <n v="10.61"/>
    <s v="-"/>
    <s v="-"/>
    <s v="-"/>
    <s v="-"/>
    <s v="-"/>
    <s v="-"/>
    <s v="-"/>
    <s v="-"/>
    <s v="P"/>
    <s v="P"/>
    <s v="-"/>
    <n v="2"/>
    <n v="1"/>
    <n v="2"/>
    <n v="0"/>
    <s v="-"/>
    <s v="-"/>
    <s v="-"/>
    <s v="-"/>
    <s v="-"/>
    <s v="-"/>
    <s v="-"/>
    <n v="5"/>
    <n v="6"/>
    <s v="-"/>
    <n v="1"/>
    <n v="1"/>
    <n v="2"/>
    <n v="2"/>
    <n v="7"/>
    <n v="8"/>
  </r>
  <r>
    <x v="0"/>
    <x v="11"/>
    <d v="2026-01-07T00:00:00"/>
    <s v="2ND"/>
    <d v="1899-12-30T14:00:00"/>
    <n v="1"/>
    <x v="2"/>
    <n v="6.4000000000000003E-3"/>
    <s v="P"/>
    <s v="P"/>
    <s v="P"/>
    <s v="-"/>
    <s v="+"/>
    <n v="12.54"/>
    <n v="9.32"/>
    <n v="0.55000000000000004"/>
    <s v="-"/>
    <s v="-"/>
    <s v="-"/>
    <n v="25.43"/>
    <s v="-"/>
    <s v="-"/>
    <s v="P"/>
    <s v="P"/>
    <s v="-"/>
    <n v="2"/>
    <n v="1"/>
    <n v="2"/>
    <n v="1"/>
    <n v="0"/>
    <n v="2"/>
    <s v="-"/>
    <s v="-"/>
    <s v="-"/>
    <n v="0"/>
    <s v="-"/>
    <n v="8"/>
    <n v="11"/>
    <s v="-"/>
    <n v="1"/>
    <n v="1"/>
    <n v="2"/>
    <n v="2"/>
    <n v="10"/>
    <n v="13"/>
  </r>
  <r>
    <x v="0"/>
    <x v="11"/>
    <d v="2026-01-07T00:00:00"/>
    <s v="2ND"/>
    <d v="1899-12-30T15:00:00"/>
    <n v="1"/>
    <x v="2"/>
    <n v="7.1000000000000004E-3"/>
    <s v="P"/>
    <s v="P"/>
    <s v="P"/>
    <s v="-"/>
    <s v="+"/>
    <n v="10.66"/>
    <s v="-"/>
    <s v="-"/>
    <s v="-"/>
    <s v="-"/>
    <s v="-"/>
    <s v="-"/>
    <s v="-"/>
    <s v="-"/>
    <s v="P"/>
    <s v="P"/>
    <s v="-"/>
    <n v="2"/>
    <n v="1"/>
    <n v="2"/>
    <n v="0"/>
    <s v="-"/>
    <s v="-"/>
    <s v="-"/>
    <s v="-"/>
    <s v="-"/>
    <s v="-"/>
    <s v="-"/>
    <n v="5"/>
    <n v="6"/>
    <s v="-"/>
    <n v="1"/>
    <n v="1"/>
    <n v="2"/>
    <n v="2"/>
    <n v="7"/>
    <n v="8"/>
  </r>
  <r>
    <x v="0"/>
    <x v="11"/>
    <d v="2026-01-05T00:00:00"/>
    <s v="1ST"/>
    <s v="12:00"/>
    <s v="Retail"/>
    <x v="19"/>
    <s v="-"/>
    <s v="-"/>
    <s v="P"/>
    <s v="P"/>
    <s v="-"/>
    <s v="-"/>
    <n v="11.86"/>
    <s v="-"/>
    <n v="1.1000000000000001"/>
    <n v="70.599999999999994"/>
    <s v="-"/>
    <s v="-"/>
    <n v="37"/>
    <s v="-"/>
    <s v="-"/>
    <s v="P"/>
    <s v="P"/>
    <s v="-"/>
    <s v="-"/>
    <s v="-"/>
    <n v="2"/>
    <n v="0"/>
    <s v="-"/>
    <n v="2"/>
    <n v="2"/>
    <s v="-"/>
    <s v="-"/>
    <n v="0"/>
    <s v="-"/>
    <n v="6"/>
    <n v="9"/>
    <s v="-"/>
    <n v="1"/>
    <n v="1"/>
    <n v="2"/>
    <n v="2"/>
    <n v="8"/>
    <n v="11"/>
  </r>
  <r>
    <x v="0"/>
    <x v="11"/>
    <d v="2026-01-14T00:00:00"/>
    <s v="2ND"/>
    <d v="1899-12-30T14:00:00"/>
    <n v="3"/>
    <x v="8"/>
    <n v="4.3E-3"/>
    <s v="P"/>
    <s v="P"/>
    <s v="P"/>
    <s v="+"/>
    <s v="+"/>
    <n v="12.96"/>
    <n v="12.88"/>
    <n v="0.48"/>
    <n v="64"/>
    <s v="-"/>
    <s v="-"/>
    <n v="36.1"/>
    <s v="-"/>
    <s v="-"/>
    <s v="P"/>
    <s v="P"/>
    <s v="-"/>
    <n v="2"/>
    <n v="1"/>
    <n v="2"/>
    <n v="1"/>
    <n v="1"/>
    <n v="2"/>
    <n v="2"/>
    <s v="-"/>
    <s v="-"/>
    <s v="-"/>
    <s v="-"/>
    <n v="11"/>
    <n v="11"/>
    <s v="-"/>
    <n v="1"/>
    <n v="1"/>
    <n v="2"/>
    <n v="2"/>
    <n v="13"/>
    <n v="13"/>
  </r>
  <r>
    <x v="0"/>
    <x v="11"/>
    <d v="2026-01-14T00:00:00"/>
    <s v="2ND"/>
    <d v="1899-12-30T15:00:00"/>
    <n v="3"/>
    <x v="8"/>
    <n v="7.1999999999999998E-3"/>
    <s v="P"/>
    <s v="P"/>
    <s v="P"/>
    <s v="+"/>
    <s v="+"/>
    <n v="12.96"/>
    <s v="-"/>
    <s v="-"/>
    <s v="-"/>
    <s v="-"/>
    <s v="-"/>
    <s v="-"/>
    <s v="-"/>
    <s v="-"/>
    <s v="P"/>
    <s v="P"/>
    <s v="-"/>
    <n v="2"/>
    <n v="1"/>
    <n v="2"/>
    <n v="1"/>
    <s v="-"/>
    <s v="-"/>
    <s v="-"/>
    <s v="-"/>
    <s v="-"/>
    <s v="-"/>
    <s v="-"/>
    <n v="6"/>
    <n v="6"/>
    <s v="-"/>
    <n v="1"/>
    <n v="1"/>
    <n v="2"/>
    <n v="2"/>
    <n v="8"/>
    <n v="8"/>
  </r>
  <r>
    <x v="0"/>
    <x v="11"/>
    <d v="2026-01-14T00:00:00"/>
    <s v="2ND"/>
    <d v="1899-12-30T16:00:00"/>
    <n v="3"/>
    <x v="8"/>
    <n v="7.1000000000000004E-3"/>
    <s v="P"/>
    <s v="P"/>
    <s v="P"/>
    <s v="+"/>
    <s v="+"/>
    <n v="12.87"/>
    <s v="-"/>
    <s v="-"/>
    <s v="-"/>
    <s v="-"/>
    <s v="-"/>
    <s v="-"/>
    <s v="-"/>
    <s v="-"/>
    <s v="P"/>
    <s v="P"/>
    <s v="-"/>
    <n v="2"/>
    <n v="1"/>
    <n v="2"/>
    <n v="1"/>
    <s v="-"/>
    <s v="-"/>
    <s v="-"/>
    <s v="-"/>
    <s v="-"/>
    <s v="-"/>
    <s v="-"/>
    <n v="6"/>
    <n v="6"/>
    <s v="-"/>
    <n v="1"/>
    <n v="1"/>
    <n v="2"/>
    <n v="2"/>
    <n v="8"/>
    <n v="8"/>
  </r>
  <r>
    <x v="0"/>
    <x v="11"/>
    <d v="2026-01-14T00:00:00"/>
    <s v="2ND"/>
    <d v="1899-12-30T17:00:00"/>
    <n v="3"/>
    <x v="8"/>
    <n v="5.5999999999999999E-3"/>
    <s v="P"/>
    <s v="P"/>
    <s v="P"/>
    <s v="+"/>
    <s v="+"/>
    <n v="12.35"/>
    <s v="-"/>
    <s v="-"/>
    <s v="-"/>
    <s v="-"/>
    <s v="-"/>
    <s v="-"/>
    <s v="-"/>
    <s v="-"/>
    <s v="P"/>
    <s v="P"/>
    <s v="-"/>
    <n v="2"/>
    <n v="1"/>
    <n v="2"/>
    <n v="1"/>
    <s v="-"/>
    <s v="-"/>
    <s v="-"/>
    <s v="-"/>
    <s v="-"/>
    <s v="-"/>
    <s v="-"/>
    <n v="6"/>
    <n v="6"/>
    <s v="-"/>
    <n v="1"/>
    <n v="1"/>
    <n v="2"/>
    <n v="2"/>
    <n v="8"/>
    <n v="8"/>
  </r>
  <r>
    <x v="0"/>
    <x v="11"/>
    <d v="2026-01-14T00:00:00"/>
    <s v="3RD"/>
    <d v="1899-12-30T22:00:00"/>
    <n v="3"/>
    <x v="8"/>
    <n v="6.8999999999999999E-3"/>
    <s v="P"/>
    <s v="P"/>
    <s v="P"/>
    <s v="+"/>
    <s v="+"/>
    <n v="12.7"/>
    <n v="13.01"/>
    <n v="0.45"/>
    <s v="-"/>
    <s v="-"/>
    <s v="-"/>
    <n v="36.299999999999997"/>
    <s v="-"/>
    <s v="-"/>
    <s v="P"/>
    <s v="P"/>
    <s v="-"/>
    <n v="2"/>
    <n v="1"/>
    <n v="2"/>
    <n v="1"/>
    <n v="1"/>
    <n v="2"/>
    <s v="-"/>
    <s v="-"/>
    <s v="-"/>
    <s v="-"/>
    <s v="-"/>
    <n v="9"/>
    <n v="9"/>
    <s v="-"/>
    <n v="1"/>
    <n v="1"/>
    <n v="2"/>
    <n v="2"/>
    <n v="11"/>
    <n v="11"/>
  </r>
  <r>
    <x v="0"/>
    <x v="11"/>
    <d v="2026-01-14T00:00:00"/>
    <s v="3RD"/>
    <d v="1899-12-30T23:00:00"/>
    <n v="3"/>
    <x v="8"/>
    <n v="5.5999999999999999E-3"/>
    <s v="P"/>
    <s v="P"/>
    <s v="P"/>
    <s v="+"/>
    <s v="+"/>
    <n v="13.11"/>
    <s v="-"/>
    <s v="-"/>
    <s v="-"/>
    <s v="-"/>
    <s v="-"/>
    <s v="-"/>
    <s v="-"/>
    <s v="-"/>
    <s v="P"/>
    <s v="P"/>
    <s v="-"/>
    <n v="2"/>
    <n v="1"/>
    <n v="2"/>
    <n v="1"/>
    <s v="-"/>
    <s v="-"/>
    <s v="-"/>
    <s v="-"/>
    <s v="-"/>
    <s v="-"/>
    <s v="-"/>
    <n v="6"/>
    <n v="6"/>
    <s v="-"/>
    <n v="1"/>
    <n v="1"/>
    <n v="2"/>
    <n v="2"/>
    <n v="8"/>
    <n v="8"/>
  </r>
  <r>
    <x v="0"/>
    <x v="11"/>
    <d v="2026-01-14T00:00:00"/>
    <s v="3RD"/>
    <d v="1899-12-30T00:00:00"/>
    <n v="3"/>
    <x v="8"/>
    <n v="5.7000000000000002E-3"/>
    <s v="P"/>
    <s v="P"/>
    <s v="P"/>
    <s v="+"/>
    <s v="+"/>
    <n v="13.53"/>
    <s v="-"/>
    <s v="-"/>
    <s v="-"/>
    <s v="-"/>
    <s v="-"/>
    <s v="-"/>
    <s v="-"/>
    <s v="-"/>
    <s v="P"/>
    <s v="P"/>
    <s v="-"/>
    <n v="2"/>
    <n v="1"/>
    <n v="2"/>
    <n v="0"/>
    <s v="-"/>
    <s v="-"/>
    <s v="-"/>
    <s v="-"/>
    <s v="-"/>
    <s v="-"/>
    <s v="-"/>
    <n v="5"/>
    <n v="6"/>
    <s v="-"/>
    <n v="1"/>
    <n v="1"/>
    <n v="2"/>
    <n v="2"/>
    <n v="7"/>
    <n v="8"/>
  </r>
  <r>
    <x v="0"/>
    <x v="11"/>
    <d v="2026-01-13T00:00:00"/>
    <s v="3RD"/>
    <d v="1899-12-30T01:00:00"/>
    <n v="3"/>
    <x v="0"/>
    <n v="6.6E-3"/>
    <s v="P"/>
    <s v="P"/>
    <s v="P"/>
    <s v="+"/>
    <s v="+"/>
    <n v="12.46"/>
    <n v="12.96"/>
    <n v="0.46"/>
    <n v="64.7"/>
    <s v="-"/>
    <s v="-"/>
    <n v="36.299999999999997"/>
    <s v="-"/>
    <s v="-"/>
    <s v="P"/>
    <s v="P"/>
    <s v="-"/>
    <n v="2"/>
    <n v="1"/>
    <n v="2"/>
    <n v="1"/>
    <n v="1"/>
    <n v="2"/>
    <n v="2"/>
    <s v="-"/>
    <s v="-"/>
    <n v="2"/>
    <s v="-"/>
    <n v="13"/>
    <n v="13"/>
    <s v="-"/>
    <n v="1"/>
    <n v="1"/>
    <n v="2"/>
    <n v="2"/>
    <n v="15"/>
    <n v="15"/>
  </r>
  <r>
    <x v="0"/>
    <x v="11"/>
    <d v="2026-01-13T00:00:00"/>
    <s v="3RD"/>
    <d v="1899-12-30T02:00:00"/>
    <n v="3"/>
    <x v="1"/>
    <n v="4.1999999999999997E-3"/>
    <s v="P"/>
    <s v="P"/>
    <s v="P"/>
    <s v="+"/>
    <s v="+"/>
    <n v="13.02"/>
    <s v="-"/>
    <s v="-"/>
    <s v="-"/>
    <s v="-"/>
    <s v="-"/>
    <s v="-"/>
    <s v="-"/>
    <s v="-"/>
    <s v="P"/>
    <s v="P"/>
    <s v="-"/>
    <n v="2"/>
    <n v="1"/>
    <n v="2"/>
    <n v="1"/>
    <s v="-"/>
    <s v="-"/>
    <s v="-"/>
    <s v="-"/>
    <s v="-"/>
    <s v="-"/>
    <s v="-"/>
    <n v="6"/>
    <n v="6"/>
    <s v="-"/>
    <n v="1"/>
    <n v="1"/>
    <n v="2"/>
    <n v="2"/>
    <n v="8"/>
    <n v="8"/>
  </r>
  <r>
    <x v="0"/>
    <x v="11"/>
    <d v="2026-01-13T00:00:00"/>
    <s v="3RD"/>
    <d v="1899-12-30T03:00:00"/>
    <n v="3"/>
    <x v="1"/>
    <n v="5.4999999999999997E-3"/>
    <s v="P"/>
    <s v="P"/>
    <s v="P"/>
    <s v="+"/>
    <s v="+"/>
    <n v="12.52"/>
    <s v="-"/>
    <s v="-"/>
    <s v="-"/>
    <s v="-"/>
    <s v="-"/>
    <s v="-"/>
    <s v="-"/>
    <s v="-"/>
    <s v="P"/>
    <s v="P"/>
    <s v="-"/>
    <n v="2"/>
    <n v="1"/>
    <n v="2"/>
    <n v="1"/>
    <s v="-"/>
    <s v="-"/>
    <s v="-"/>
    <s v="-"/>
    <s v="-"/>
    <s v="-"/>
    <s v="-"/>
    <n v="6"/>
    <n v="6"/>
    <s v="-"/>
    <n v="1"/>
    <n v="1"/>
    <n v="2"/>
    <n v="2"/>
    <n v="8"/>
    <n v="8"/>
  </r>
  <r>
    <x v="0"/>
    <x v="11"/>
    <d v="2026-01-13T00:00:00"/>
    <s v="3RD"/>
    <d v="1899-12-30T04:00:00"/>
    <n v="3"/>
    <x v="20"/>
    <n v="7.1000000000000004E-3"/>
    <s v="P"/>
    <s v="P"/>
    <s v="P"/>
    <s v="-"/>
    <s v="-"/>
    <n v="13.09"/>
    <n v="13.06"/>
    <n v="0.44"/>
    <n v="63.7"/>
    <s v="-"/>
    <s v="-"/>
    <n v="36.700000000000003"/>
    <s v="-"/>
    <s v="-"/>
    <s v="P"/>
    <s v="P"/>
    <s v="-"/>
    <n v="2"/>
    <n v="1"/>
    <n v="2"/>
    <n v="1"/>
    <n v="1"/>
    <n v="0"/>
    <n v="2"/>
    <s v="-"/>
    <s v="-"/>
    <n v="2"/>
    <s v="-"/>
    <n v="11"/>
    <n v="13"/>
    <s v="-"/>
    <n v="1"/>
    <n v="1"/>
    <n v="2"/>
    <n v="2"/>
    <n v="13"/>
    <n v="15"/>
  </r>
  <r>
    <x v="0"/>
    <x v="11"/>
    <d v="2026-01-13T00:00:00"/>
    <s v="3RD"/>
    <d v="1899-12-30T05:00:00"/>
    <n v="3"/>
    <x v="20"/>
    <n v="6.7999999999999996E-3"/>
    <s v="P"/>
    <s v="P"/>
    <s v="P"/>
    <s v="-"/>
    <s v="-"/>
    <n v="12.82"/>
    <s v="-"/>
    <s v="-"/>
    <s v="-"/>
    <s v="-"/>
    <s v="-"/>
    <s v="-"/>
    <s v="-"/>
    <s v="-"/>
    <s v="P"/>
    <s v="P"/>
    <s v="-"/>
    <n v="2"/>
    <n v="1"/>
    <n v="2"/>
    <n v="1"/>
    <s v="-"/>
    <s v="-"/>
    <s v="-"/>
    <s v="-"/>
    <s v="-"/>
    <s v="-"/>
    <s v="-"/>
    <n v="6"/>
    <n v="6"/>
    <s v="-"/>
    <n v="1"/>
    <n v="1"/>
    <n v="2"/>
    <n v="2"/>
    <n v="8"/>
    <n v="8"/>
  </r>
  <r>
    <x v="0"/>
    <x v="11"/>
    <d v="2026-01-13T00:00:00"/>
    <s v="1ST"/>
    <s v="12:00"/>
    <n v="3"/>
    <x v="27"/>
    <n v="1.6199999999999999E-2"/>
    <s v="P"/>
    <s v="P"/>
    <s v="P"/>
    <s v="-"/>
    <s v="+"/>
    <n v="12.16"/>
    <s v="-"/>
    <s v="-"/>
    <s v="-"/>
    <s v="-"/>
    <s v="-"/>
    <s v="-"/>
    <s v="-"/>
    <s v="-"/>
    <s v="P"/>
    <s v="P"/>
    <s v="-"/>
    <n v="2"/>
    <n v="1"/>
    <n v="2"/>
    <n v="1"/>
    <s v="-"/>
    <s v="-"/>
    <s v="-"/>
    <s v="-"/>
    <s v="-"/>
    <s v="-"/>
    <s v="-"/>
    <n v="6"/>
    <n v="6"/>
    <s v="-"/>
    <n v="1"/>
    <n v="1"/>
    <n v="2"/>
    <n v="2"/>
    <n v="8"/>
    <n v="8"/>
  </r>
  <r>
    <x v="0"/>
    <x v="11"/>
    <d v="1899-12-30T00:00:00"/>
    <s v="2ND"/>
    <d v="1899-12-30T14:00:00"/>
    <s v="Retail"/>
    <x v="13"/>
    <s v="-"/>
    <s v="-"/>
    <s v="-"/>
    <s v="-"/>
    <s v="-"/>
    <s v="-"/>
    <n v="11.67"/>
    <s v="-"/>
    <n v="4.0599999999999996"/>
    <s v="-"/>
    <s v="-"/>
    <s v="-"/>
    <s v="-"/>
    <s v="-"/>
    <s v="-"/>
    <s v="-"/>
    <s v="-"/>
    <s v="-"/>
    <s v="-"/>
    <s v="-"/>
    <s v="-"/>
    <n v="1"/>
    <s v="-"/>
    <n v="2"/>
    <s v="-"/>
    <s v="-"/>
    <s v="-"/>
    <s v="-"/>
    <s v="-"/>
    <n v="3"/>
    <n v="3"/>
    <s v="-"/>
    <s v="-"/>
    <s v="-"/>
    <n v="0"/>
    <n v="0"/>
    <n v="3"/>
    <n v="3"/>
  </r>
  <r>
    <x v="0"/>
    <x v="11"/>
    <d v="2026-01-15T00:00:00"/>
    <s v="2ND"/>
    <d v="1899-12-30T16:00:00"/>
    <n v="2"/>
    <x v="28"/>
    <n v="1.6E-2"/>
    <s v="P"/>
    <s v="P"/>
    <s v="P"/>
    <s v="-"/>
    <s v="+"/>
    <n v="11.16"/>
    <n v="12.09"/>
    <n v="0.5"/>
    <n v="65.2"/>
    <n v="21.5"/>
    <n v="468"/>
    <n v="33"/>
    <s v="-"/>
    <s v="-"/>
    <s v="P"/>
    <s v="P"/>
    <s v="-"/>
    <n v="2"/>
    <n v="1"/>
    <n v="2"/>
    <n v="1"/>
    <n v="1"/>
    <n v="2"/>
    <n v="2"/>
    <s v="-"/>
    <s v="-"/>
    <n v="2"/>
    <s v="-"/>
    <n v="13"/>
    <n v="13"/>
    <s v="-"/>
    <n v="1"/>
    <n v="1"/>
    <n v="2"/>
    <n v="2"/>
    <n v="15"/>
    <n v="15"/>
  </r>
  <r>
    <x v="0"/>
    <x v="11"/>
    <d v="2026-01-15T00:00:00"/>
    <s v="2ND"/>
    <d v="1899-12-30T17:00:00"/>
    <n v="2"/>
    <x v="28"/>
    <n v="1.8800000000000001E-2"/>
    <s v="P"/>
    <s v="P"/>
    <s v="P"/>
    <s v="-"/>
    <s v="+"/>
    <n v="11.98"/>
    <n v="12.84"/>
    <n v="0.4"/>
    <n v="65.099999999999994"/>
    <n v="21.8"/>
    <n v="505"/>
    <n v="36.1"/>
    <s v="-"/>
    <s v="-"/>
    <s v="P"/>
    <s v="P"/>
    <s v="-"/>
    <n v="2"/>
    <n v="1"/>
    <n v="2"/>
    <n v="1"/>
    <n v="1"/>
    <n v="0"/>
    <n v="2"/>
    <s v="-"/>
    <s v="-"/>
    <n v="2"/>
    <s v="-"/>
    <n v="11"/>
    <n v="13"/>
    <s v="-"/>
    <n v="1"/>
    <n v="1"/>
    <n v="2"/>
    <n v="2"/>
    <n v="13"/>
    <n v="15"/>
  </r>
  <r>
    <x v="0"/>
    <x v="11"/>
    <d v="2026-01-15T00:00:00"/>
    <s v="2ND"/>
    <d v="1899-12-30T18:00:00"/>
    <n v="2"/>
    <x v="28"/>
    <n v="1.84E-2"/>
    <s v="P"/>
    <s v="P"/>
    <s v="P"/>
    <s v="-"/>
    <s v="+"/>
    <n v="12.3"/>
    <s v="-"/>
    <s v="-"/>
    <s v="-"/>
    <s v="-"/>
    <s v="-"/>
    <s v="-"/>
    <s v="-"/>
    <s v="-"/>
    <s v="P"/>
    <s v="P"/>
    <s v="-"/>
    <n v="2"/>
    <n v="1"/>
    <n v="2"/>
    <n v="1"/>
    <s v="-"/>
    <s v="-"/>
    <s v="-"/>
    <s v="-"/>
    <s v="-"/>
    <s v="-"/>
    <s v="-"/>
    <n v="6"/>
    <n v="6"/>
    <s v="-"/>
    <n v="1"/>
    <n v="1"/>
    <n v="2"/>
    <n v="2"/>
    <n v="8"/>
    <n v="8"/>
  </r>
  <r>
    <x v="0"/>
    <x v="11"/>
    <d v="2026-01-15T00:00:00"/>
    <s v="2ND"/>
    <d v="1899-12-30T19:00:00"/>
    <n v="2"/>
    <x v="28"/>
    <n v="1.6500000000000001E-2"/>
    <s v="P"/>
    <s v="P"/>
    <s v="P"/>
    <s v="-"/>
    <s v="+"/>
    <n v="12.8"/>
    <s v="-"/>
    <s v="-"/>
    <s v="-"/>
    <s v="-"/>
    <s v="-"/>
    <s v="-"/>
    <s v="-"/>
    <s v="-"/>
    <s v="P"/>
    <s v="P"/>
    <s v="-"/>
    <n v="2"/>
    <n v="1"/>
    <n v="2"/>
    <n v="1"/>
    <s v="-"/>
    <s v="-"/>
    <s v="-"/>
    <s v="-"/>
    <s v="-"/>
    <s v="-"/>
    <s v="-"/>
    <n v="6"/>
    <n v="6"/>
    <s v="-"/>
    <n v="1"/>
    <n v="1"/>
    <n v="2"/>
    <n v="2"/>
    <n v="8"/>
    <n v="8"/>
  </r>
  <r>
    <x v="0"/>
    <x v="11"/>
    <d v="2026-01-15T00:00:00"/>
    <s v="2ND"/>
    <d v="1899-12-30T20:00:00"/>
    <n v="2"/>
    <x v="28"/>
    <n v="1.06E-2"/>
    <s v="P"/>
    <s v="P"/>
    <s v="P"/>
    <s v="-"/>
    <s v="+"/>
    <n v="13.3"/>
    <s v="-"/>
    <s v="-"/>
    <s v="-"/>
    <s v="-"/>
    <s v="-"/>
    <s v="-"/>
    <s v="-"/>
    <s v="-"/>
    <s v="P"/>
    <s v="P"/>
    <s v="-"/>
    <n v="2"/>
    <n v="1"/>
    <n v="2"/>
    <n v="1"/>
    <s v="-"/>
    <s v="-"/>
    <s v="-"/>
    <s v="-"/>
    <s v="-"/>
    <s v="-"/>
    <s v="-"/>
    <n v="6"/>
    <n v="6"/>
    <s v="-"/>
    <n v="1"/>
    <n v="1"/>
    <n v="2"/>
    <n v="2"/>
    <n v="8"/>
    <n v="8"/>
  </r>
  <r>
    <x v="0"/>
    <x v="11"/>
    <d v="2026-01-15T00:00:00"/>
    <s v="3RD"/>
    <d v="1899-12-30T22:00:00"/>
    <n v="2"/>
    <x v="28"/>
    <n v="1.38E-2"/>
    <s v="P"/>
    <s v="P"/>
    <s v="P"/>
    <s v="-"/>
    <s v="-"/>
    <n v="13.25"/>
    <n v="13.02"/>
    <n v="0.35"/>
    <s v="-"/>
    <s v="-"/>
    <s v="-"/>
    <n v="36.299999999999997"/>
    <s v="-"/>
    <s v="-"/>
    <s v="P"/>
    <s v="P"/>
    <s v="-"/>
    <n v="2"/>
    <n v="1"/>
    <n v="2"/>
    <n v="1"/>
    <n v="1"/>
    <n v="0"/>
    <s v="-"/>
    <s v="-"/>
    <s v="-"/>
    <n v="2"/>
    <s v="-"/>
    <n v="9"/>
    <n v="11"/>
    <s v="-"/>
    <n v="1"/>
    <n v="1"/>
    <n v="2"/>
    <n v="2"/>
    <n v="11"/>
    <n v="13"/>
  </r>
  <r>
    <x v="0"/>
    <x v="11"/>
    <d v="2026-01-15T00:00:00"/>
    <s v="3RD"/>
    <d v="1899-12-30T23:00:00"/>
    <n v="2"/>
    <x v="28"/>
    <n v="1.4200000000000001E-2"/>
    <s v="P"/>
    <s v="P"/>
    <s v="P"/>
    <s v="-"/>
    <s v="-"/>
    <n v="13.23"/>
    <s v="-"/>
    <s v="-"/>
    <s v="-"/>
    <s v="-"/>
    <s v="-"/>
    <s v="-"/>
    <s v="-"/>
    <s v="-"/>
    <s v="P"/>
    <s v="P"/>
    <s v="-"/>
    <n v="2"/>
    <n v="1"/>
    <n v="2"/>
    <n v="1"/>
    <s v="-"/>
    <s v="-"/>
    <s v="-"/>
    <s v="-"/>
    <s v="-"/>
    <s v="-"/>
    <s v="-"/>
    <n v="6"/>
    <n v="6"/>
    <s v="-"/>
    <n v="1"/>
    <n v="1"/>
    <n v="2"/>
    <n v="2"/>
    <n v="8"/>
    <n v="8"/>
  </r>
  <r>
    <x v="0"/>
    <x v="11"/>
    <d v="2026-01-15T00:00:00"/>
    <s v="3RD"/>
    <d v="1899-12-30T00:00:00"/>
    <n v="2"/>
    <x v="28"/>
    <n v="1.0500000000000001E-2"/>
    <s v="P"/>
    <s v="P"/>
    <s v="P"/>
    <s v="-"/>
    <s v="-"/>
    <n v="13.32"/>
    <s v="-"/>
    <s v="-"/>
    <s v="-"/>
    <s v="-"/>
    <s v="-"/>
    <s v="-"/>
    <s v="-"/>
    <s v="-"/>
    <s v="P"/>
    <s v="P"/>
    <s v="-"/>
    <n v="2"/>
    <n v="1"/>
    <n v="2"/>
    <n v="1"/>
    <s v="-"/>
    <s v="-"/>
    <s v="-"/>
    <s v="-"/>
    <s v="-"/>
    <s v="-"/>
    <s v="-"/>
    <n v="6"/>
    <n v="6"/>
    <s v="-"/>
    <n v="1"/>
    <n v="1"/>
    <n v="2"/>
    <n v="2"/>
    <n v="8"/>
    <n v="8"/>
  </r>
  <r>
    <x v="0"/>
    <x v="11"/>
    <d v="2026-01-15T00:00:00"/>
    <s v="3RD"/>
    <d v="1899-12-30T01:00:00"/>
    <n v="2"/>
    <x v="28"/>
    <n v="1.12E-2"/>
    <s v="P"/>
    <s v="P"/>
    <s v="P"/>
    <s v="-"/>
    <s v="-"/>
    <n v="13.29"/>
    <s v="-"/>
    <s v="-"/>
    <s v="-"/>
    <s v="-"/>
    <s v="-"/>
    <s v="-"/>
    <s v="-"/>
    <s v="-"/>
    <s v="P"/>
    <s v="P"/>
    <s v="-"/>
    <n v="2"/>
    <n v="1"/>
    <n v="2"/>
    <n v="1"/>
    <s v="-"/>
    <s v="-"/>
    <s v="-"/>
    <s v="-"/>
    <s v="-"/>
    <s v="-"/>
    <s v="-"/>
    <n v="6"/>
    <n v="6"/>
    <s v="-"/>
    <n v="1"/>
    <n v="1"/>
    <n v="2"/>
    <n v="2"/>
    <n v="8"/>
    <n v="8"/>
  </r>
  <r>
    <x v="0"/>
    <x v="11"/>
    <d v="2026-01-15T00:00:00"/>
    <s v="3RD"/>
    <d v="1899-12-30T02:00:00"/>
    <n v="2"/>
    <x v="28"/>
    <n v="1.23E-2"/>
    <s v="P"/>
    <s v="P"/>
    <s v="P"/>
    <s v="-"/>
    <s v="-"/>
    <n v="13.16"/>
    <s v="-"/>
    <s v="-"/>
    <s v="-"/>
    <s v="-"/>
    <s v="-"/>
    <s v="-"/>
    <s v="-"/>
    <s v="-"/>
    <s v="P"/>
    <s v="P"/>
    <s v="-"/>
    <n v="2"/>
    <n v="1"/>
    <n v="2"/>
    <n v="1"/>
    <s v="-"/>
    <s v="-"/>
    <s v="-"/>
    <s v="-"/>
    <s v="-"/>
    <s v="-"/>
    <s v="-"/>
    <n v="6"/>
    <n v="6"/>
    <s v="-"/>
    <n v="1"/>
    <n v="1"/>
    <n v="2"/>
    <n v="2"/>
    <n v="8"/>
    <n v="8"/>
  </r>
  <r>
    <x v="0"/>
    <x v="11"/>
    <d v="2026-01-15T00:00:00"/>
    <s v="3RD"/>
    <d v="1899-12-30T03:00:00"/>
    <n v="2"/>
    <x v="28"/>
    <n v="1.2999999999999999E-2"/>
    <s v="P"/>
    <s v="P"/>
    <s v="P"/>
    <s v="-"/>
    <s v="-"/>
    <n v="12.51"/>
    <s v="-"/>
    <s v="-"/>
    <s v="-"/>
    <s v="-"/>
    <s v="-"/>
    <s v="-"/>
    <s v="-"/>
    <s v="-"/>
    <s v="P"/>
    <s v="P"/>
    <s v="-"/>
    <n v="2"/>
    <n v="1"/>
    <n v="2"/>
    <n v="1"/>
    <s v="-"/>
    <s v="-"/>
    <s v="-"/>
    <s v="-"/>
    <s v="-"/>
    <s v="-"/>
    <s v="-"/>
    <n v="6"/>
    <n v="6"/>
    <s v="-"/>
    <n v="1"/>
    <n v="1"/>
    <n v="2"/>
    <n v="2"/>
    <n v="8"/>
    <n v="8"/>
  </r>
  <r>
    <x v="0"/>
    <x v="11"/>
    <d v="2026-01-15T00:00:00"/>
    <s v="3RD"/>
    <d v="1899-12-30T04:00:00"/>
    <n v="2"/>
    <x v="28"/>
    <n v="1.4E-2"/>
    <s v="P"/>
    <s v="P"/>
    <s v="P"/>
    <s v="-"/>
    <s v="-"/>
    <n v="12.63"/>
    <s v="-"/>
    <s v="-"/>
    <s v="-"/>
    <s v="-"/>
    <s v="-"/>
    <s v="-"/>
    <s v="-"/>
    <s v="-"/>
    <s v="P"/>
    <s v="P"/>
    <s v="-"/>
    <n v="2"/>
    <n v="1"/>
    <n v="2"/>
    <n v="1"/>
    <s v="-"/>
    <s v="-"/>
    <s v="-"/>
    <s v="-"/>
    <s v="-"/>
    <s v="-"/>
    <s v="-"/>
    <n v="6"/>
    <n v="6"/>
    <s v="-"/>
    <n v="1"/>
    <n v="1"/>
    <n v="2"/>
    <n v="2"/>
    <n v="8"/>
    <n v="8"/>
  </r>
  <r>
    <x v="0"/>
    <x v="11"/>
    <d v="2026-01-15T00:00:00"/>
    <s v="3RD"/>
    <d v="1899-12-30T05:00:00"/>
    <n v="2"/>
    <x v="28"/>
    <n v="1.24E-2"/>
    <s v="P"/>
    <s v="P"/>
    <s v="P"/>
    <s v="-"/>
    <s v="-"/>
    <n v="12.48"/>
    <s v="-"/>
    <s v="-"/>
    <s v="-"/>
    <s v="-"/>
    <s v="-"/>
    <s v="-"/>
    <s v="-"/>
    <s v="-"/>
    <s v="P"/>
    <s v="P"/>
    <s v="-"/>
    <n v="2"/>
    <n v="1"/>
    <n v="2"/>
    <n v="1"/>
    <s v="-"/>
    <s v="-"/>
    <s v="-"/>
    <s v="-"/>
    <s v="-"/>
    <s v="-"/>
    <s v="-"/>
    <n v="6"/>
    <n v="6"/>
    <s v="-"/>
    <n v="1"/>
    <n v="1"/>
    <n v="2"/>
    <n v="2"/>
    <n v="8"/>
    <n v="8"/>
  </r>
  <r>
    <x v="0"/>
    <x v="11"/>
    <d v="2026-01-14T00:00:00"/>
    <s v="1ST"/>
    <s v="06:00"/>
    <n v="3"/>
    <x v="16"/>
    <n v="1.2E-2"/>
    <s v="P"/>
    <s v="P"/>
    <s v="P"/>
    <s v="+"/>
    <s v="+"/>
    <n v="13.32"/>
    <n v="12.92"/>
    <n v="0.47"/>
    <n v="63.7"/>
    <n v="14.6"/>
    <n v="979"/>
    <n v="36.200000000000003"/>
    <s v="-"/>
    <s v="-"/>
    <s v="P"/>
    <s v="P"/>
    <s v="-"/>
    <n v="2"/>
    <n v="1"/>
    <n v="2"/>
    <n v="1"/>
    <n v="1"/>
    <n v="2"/>
    <n v="0"/>
    <n v="1"/>
    <n v="1"/>
    <n v="2"/>
    <s v="-"/>
    <n v="13"/>
    <n v="15"/>
    <s v="-"/>
    <n v="1"/>
    <n v="1"/>
    <n v="2"/>
    <n v="2"/>
    <n v="15"/>
    <n v="17"/>
  </r>
  <r>
    <x v="0"/>
    <x v="11"/>
    <d v="2026-01-14T00:00:00"/>
    <s v="1ST"/>
    <s v="08:00"/>
    <n v="3"/>
    <x v="16"/>
    <n v="1.2200000000000001E-2"/>
    <s v="P"/>
    <s v="P"/>
    <s v="P"/>
    <s v="+"/>
    <s v="+"/>
    <n v="13.02"/>
    <s v="-"/>
    <s v="-"/>
    <s v="-"/>
    <s v="-"/>
    <s v="-"/>
    <s v="-"/>
    <s v="-"/>
    <s v="-"/>
    <s v="P"/>
    <s v="P"/>
    <s v="-"/>
    <n v="2"/>
    <n v="1"/>
    <n v="2"/>
    <n v="1"/>
    <s v="-"/>
    <s v="-"/>
    <s v="-"/>
    <s v="-"/>
    <s v="-"/>
    <s v="-"/>
    <s v="-"/>
    <n v="6"/>
    <n v="6"/>
    <s v="-"/>
    <n v="1"/>
    <n v="1"/>
    <n v="2"/>
    <n v="2"/>
    <n v="8"/>
    <n v="8"/>
  </r>
  <r>
    <x v="0"/>
    <x v="11"/>
    <d v="2026-01-14T00:00:00"/>
    <s v="1ST"/>
    <s v="09:00"/>
    <n v="3"/>
    <x v="16"/>
    <n v="1.3599999999999999E-2"/>
    <s v="P"/>
    <s v="P"/>
    <s v="P"/>
    <s v="+"/>
    <s v="+"/>
    <n v="13.34"/>
    <s v="-"/>
    <s v="-"/>
    <s v="-"/>
    <s v="-"/>
    <s v="-"/>
    <s v="-"/>
    <s v="-"/>
    <s v="-"/>
    <s v="P"/>
    <s v="P"/>
    <s v="-"/>
    <n v="2"/>
    <n v="1"/>
    <n v="2"/>
    <n v="1"/>
    <s v="-"/>
    <s v="-"/>
    <s v="-"/>
    <s v="-"/>
    <s v="-"/>
    <s v="-"/>
    <s v="-"/>
    <n v="6"/>
    <n v="6"/>
    <s v="-"/>
    <n v="1"/>
    <n v="1"/>
    <n v="2"/>
    <n v="2"/>
    <n v="8"/>
    <n v="8"/>
  </r>
  <r>
    <x v="0"/>
    <x v="11"/>
    <d v="2026-01-07T00:00:00"/>
    <s v="1ST"/>
    <d v="1899-12-30T06:00:00"/>
    <n v="2"/>
    <x v="22"/>
    <n v="1.7500000000000002E-2"/>
    <s v="P"/>
    <s v="P"/>
    <s v="P"/>
    <s v="-"/>
    <s v="-"/>
    <n v="11.01"/>
    <n v="8.67"/>
    <n v="0.5"/>
    <n v="58.6"/>
    <s v="-"/>
    <s v="-"/>
    <n v="23.43"/>
    <s v="-"/>
    <s v="-"/>
    <s v="P"/>
    <s v="P"/>
    <s v="-"/>
    <n v="2"/>
    <n v="1"/>
    <n v="2"/>
    <n v="1"/>
    <n v="1"/>
    <n v="2"/>
    <n v="0"/>
    <s v="-"/>
    <s v="-"/>
    <n v="2"/>
    <s v="-"/>
    <n v="11"/>
    <n v="13"/>
    <s v="-"/>
    <n v="1"/>
    <n v="1"/>
    <n v="2"/>
    <n v="2"/>
    <n v="13"/>
    <n v="15"/>
  </r>
  <r>
    <x v="0"/>
    <x v="12"/>
    <d v="2026-01-13T00:00:00"/>
    <s v="1ST"/>
    <d v="1899-12-30T07:00:00"/>
    <n v="3"/>
    <x v="20"/>
    <n v="9.5999999999999992E-3"/>
    <s v="P"/>
    <s v="P"/>
    <s v="P"/>
    <s v="-"/>
    <s v="-"/>
    <n v="13.02"/>
    <n v="12.71"/>
    <n v="0.45"/>
    <n v="64.599999999999994"/>
    <s v="-"/>
    <s v="-"/>
    <n v="35.5"/>
    <s v="-"/>
    <s v="-"/>
    <s v="P"/>
    <s v="P"/>
    <s v="-"/>
    <n v="2"/>
    <n v="1"/>
    <n v="2"/>
    <n v="1"/>
    <n v="1"/>
    <n v="0"/>
    <n v="2"/>
    <s v="-"/>
    <s v="-"/>
    <n v="2"/>
    <s v="-"/>
    <n v="11"/>
    <n v="13"/>
    <s v="-"/>
    <n v="1"/>
    <n v="1"/>
    <n v="2"/>
    <n v="2"/>
    <n v="13"/>
    <n v="15"/>
  </r>
  <r>
    <x v="0"/>
    <x v="12"/>
    <d v="2026-01-13T00:00:00"/>
    <s v="1ST"/>
    <d v="1899-12-30T08:00:00"/>
    <n v="3"/>
    <x v="20"/>
    <n v="1.2200000000000001E-2"/>
    <s v="P"/>
    <s v="P"/>
    <s v="P"/>
    <s v="-"/>
    <s v="-"/>
    <n v="12.82"/>
    <s v="-"/>
    <s v="-"/>
    <s v="-"/>
    <s v="-"/>
    <s v="-"/>
    <s v="-"/>
    <s v="-"/>
    <s v="-"/>
    <s v="P"/>
    <s v="P"/>
    <s v="-"/>
    <n v="2"/>
    <n v="1"/>
    <n v="2"/>
    <n v="1"/>
    <s v="-"/>
    <s v="-"/>
    <s v="-"/>
    <s v="-"/>
    <s v="-"/>
    <s v="-"/>
    <s v="-"/>
    <n v="6"/>
    <n v="6"/>
    <s v="-"/>
    <n v="1"/>
    <n v="1"/>
    <n v="2"/>
    <n v="2"/>
    <n v="8"/>
    <n v="8"/>
  </r>
  <r>
    <x v="0"/>
    <x v="12"/>
    <d v="2026-01-13T00:00:00"/>
    <s v="1ST"/>
    <d v="1899-12-30T09:00:00"/>
    <n v="3"/>
    <x v="20"/>
    <n v="1.41E-2"/>
    <s v="P"/>
    <s v="P"/>
    <s v="P"/>
    <s v="-"/>
    <s v="-"/>
    <n v="11.79"/>
    <s v="-"/>
    <s v="-"/>
    <s v="-"/>
    <s v="-"/>
    <s v="-"/>
    <s v="-"/>
    <s v="-"/>
    <s v="-"/>
    <s v="P"/>
    <s v="P"/>
    <s v="-"/>
    <n v="2"/>
    <n v="1"/>
    <n v="2"/>
    <n v="1"/>
    <s v="-"/>
    <s v="-"/>
    <s v="-"/>
    <s v="-"/>
    <s v="-"/>
    <s v="-"/>
    <s v="-"/>
    <n v="6"/>
    <n v="6"/>
    <s v="-"/>
    <n v="1"/>
    <n v="1"/>
    <n v="2"/>
    <n v="2"/>
    <n v="8"/>
    <n v="8"/>
  </r>
  <r>
    <x v="0"/>
    <x v="12"/>
    <d v="2026-01-13T00:00:00"/>
    <s v="1ST"/>
    <d v="1899-12-30T10:00:00"/>
    <n v="3"/>
    <x v="20"/>
    <n v="1.3599999999999999E-2"/>
    <s v="P"/>
    <s v="P"/>
    <s v="P"/>
    <s v="-"/>
    <s v="-"/>
    <n v="13.05"/>
    <s v="-"/>
    <s v="-"/>
    <s v="-"/>
    <s v="-"/>
    <s v="-"/>
    <s v="-"/>
    <s v="-"/>
    <s v="-"/>
    <s v="P"/>
    <s v="P"/>
    <s v="-"/>
    <n v="2"/>
    <n v="1"/>
    <n v="2"/>
    <n v="1"/>
    <s v="-"/>
    <s v="-"/>
    <s v="-"/>
    <s v="-"/>
    <s v="-"/>
    <s v="-"/>
    <s v="-"/>
    <n v="6"/>
    <n v="6"/>
    <s v="-"/>
    <n v="1"/>
    <n v="1"/>
    <n v="2"/>
    <n v="2"/>
    <n v="8"/>
    <n v="8"/>
  </r>
  <r>
    <x v="0"/>
    <x v="12"/>
    <d v="2026-01-13T00:00:00"/>
    <s v="1ST"/>
    <s v="07:00"/>
    <n v="3"/>
    <x v="20"/>
    <n v="9.5999999999999992E-3"/>
    <s v="P"/>
    <s v="P"/>
    <s v="P"/>
    <s v="-"/>
    <s v="-"/>
    <n v="13.02"/>
    <n v="12.71"/>
    <n v="0.45"/>
    <n v="64.599999999999994"/>
    <s v="-"/>
    <s v="-"/>
    <n v="35.5"/>
    <s v="-"/>
    <s v="-"/>
    <s v="P"/>
    <s v="P"/>
    <s v="-"/>
    <n v="2"/>
    <n v="1"/>
    <n v="2"/>
    <n v="1"/>
    <n v="1"/>
    <n v="0"/>
    <n v="2"/>
    <s v="-"/>
    <s v="-"/>
    <n v="2"/>
    <s v="-"/>
    <n v="11"/>
    <n v="13"/>
    <s v="-"/>
    <n v="1"/>
    <n v="1"/>
    <n v="2"/>
    <n v="2"/>
    <n v="13"/>
    <n v="15"/>
  </r>
  <r>
    <x v="0"/>
    <x v="12"/>
    <d v="2026-01-13T00:00:00"/>
    <s v="1ST"/>
    <s v="08:00"/>
    <n v="3"/>
    <x v="20"/>
    <n v="1.2200000000000001E-2"/>
    <s v="P"/>
    <s v="P"/>
    <s v="P"/>
    <s v="-"/>
    <s v="-"/>
    <n v="12.82"/>
    <s v="-"/>
    <s v="-"/>
    <s v="-"/>
    <s v="-"/>
    <s v="-"/>
    <s v="-"/>
    <s v="-"/>
    <s v="-"/>
    <s v="P"/>
    <s v="P"/>
    <s v="-"/>
    <n v="2"/>
    <n v="1"/>
    <n v="2"/>
    <n v="1"/>
    <s v="-"/>
    <s v="-"/>
    <s v="-"/>
    <s v="-"/>
    <s v="-"/>
    <s v="-"/>
    <s v="-"/>
    <n v="6"/>
    <n v="6"/>
    <s v="-"/>
    <n v="1"/>
    <n v="1"/>
    <n v="2"/>
    <n v="2"/>
    <n v="8"/>
    <n v="8"/>
  </r>
  <r>
    <x v="0"/>
    <x v="12"/>
    <d v="2026-01-13T00:00:00"/>
    <s v="1ST"/>
    <s v="09:00"/>
    <n v="3"/>
    <x v="20"/>
    <n v="1.41E-2"/>
    <s v="P"/>
    <s v="P"/>
    <s v="P"/>
    <s v="-"/>
    <s v="-"/>
    <n v="11.79"/>
    <s v="-"/>
    <s v="-"/>
    <s v="-"/>
    <s v="-"/>
    <s v="-"/>
    <s v="-"/>
    <s v="-"/>
    <s v="-"/>
    <s v="P"/>
    <s v="P"/>
    <s v="-"/>
    <n v="2"/>
    <n v="1"/>
    <n v="2"/>
    <n v="1"/>
    <s v="-"/>
    <s v="-"/>
    <s v="-"/>
    <s v="-"/>
    <s v="-"/>
    <s v="-"/>
    <s v="-"/>
    <n v="6"/>
    <n v="6"/>
    <s v="-"/>
    <n v="1"/>
    <n v="1"/>
    <n v="2"/>
    <n v="2"/>
    <n v="8"/>
    <n v="8"/>
  </r>
  <r>
    <x v="0"/>
    <x v="12"/>
    <d v="2026-01-13T00:00:00"/>
    <s v="1ST"/>
    <s v="10:00"/>
    <n v="3"/>
    <x v="20"/>
    <n v="1.3599999999999999E-2"/>
    <s v="P"/>
    <s v="P"/>
    <s v="P"/>
    <s v="-"/>
    <s v="-"/>
    <n v="13.05"/>
    <s v="-"/>
    <s v="-"/>
    <s v="-"/>
    <s v="-"/>
    <s v="-"/>
    <s v="-"/>
    <s v="-"/>
    <s v="-"/>
    <s v="P"/>
    <s v="P"/>
    <s v="-"/>
    <n v="2"/>
    <n v="1"/>
    <n v="2"/>
    <n v="1"/>
    <s v="-"/>
    <s v="-"/>
    <s v="-"/>
    <s v="-"/>
    <s v="-"/>
    <s v="-"/>
    <s v="-"/>
    <n v="6"/>
    <n v="6"/>
    <s v="-"/>
    <n v="1"/>
    <n v="1"/>
    <n v="2"/>
    <n v="2"/>
    <n v="8"/>
    <n v="8"/>
  </r>
  <r>
    <x v="0"/>
    <x v="12"/>
    <d v="2026-01-13T00:00:00"/>
    <s v="2ND"/>
    <d v="1899-12-30T14:00:00"/>
    <n v="3"/>
    <x v="20"/>
    <n v="1.49E-2"/>
    <s v="P"/>
    <s v="P"/>
    <s v="P"/>
    <s v="-"/>
    <s v="-"/>
    <n v="12.76"/>
    <n v="13.12"/>
    <n v="0.48"/>
    <s v="-"/>
    <s v="-"/>
    <s v="-"/>
    <n v="36.6"/>
    <s v="-"/>
    <s v="-"/>
    <s v="P"/>
    <s v="P"/>
    <s v="-"/>
    <n v="2"/>
    <n v="1"/>
    <n v="2"/>
    <n v="1"/>
    <n v="1"/>
    <n v="0"/>
    <s v="-"/>
    <s v="-"/>
    <s v="-"/>
    <n v="2"/>
    <s v="-"/>
    <n v="9"/>
    <n v="11"/>
    <s v="-"/>
    <n v="1"/>
    <n v="1"/>
    <n v="2"/>
    <n v="2"/>
    <n v="11"/>
    <n v="13"/>
  </r>
  <r>
    <x v="0"/>
    <x v="12"/>
    <d v="2026-01-13T00:00:00"/>
    <s v="2ND"/>
    <d v="1899-12-30T16:00:00"/>
    <n v="3"/>
    <x v="20"/>
    <n v="9.1000000000000004E-3"/>
    <s v="P"/>
    <s v="P"/>
    <s v="P"/>
    <s v="-"/>
    <s v="-"/>
    <n v="12.53"/>
    <s v="-"/>
    <s v="-"/>
    <s v="-"/>
    <s v="-"/>
    <s v="-"/>
    <s v="-"/>
    <s v="-"/>
    <s v="-"/>
    <s v="P"/>
    <s v="P"/>
    <s v="-"/>
    <n v="2"/>
    <n v="1"/>
    <n v="2"/>
    <n v="1"/>
    <s v="-"/>
    <s v="-"/>
    <s v="-"/>
    <s v="-"/>
    <s v="-"/>
    <s v="-"/>
    <s v="-"/>
    <n v="6"/>
    <n v="6"/>
    <s v="-"/>
    <n v="1"/>
    <n v="1"/>
    <n v="2"/>
    <n v="2"/>
    <n v="8"/>
    <n v="8"/>
  </r>
  <r>
    <x v="0"/>
    <x v="12"/>
    <d v="2026-01-13T00:00:00"/>
    <s v="2ND"/>
    <d v="1899-12-30T18:00:00"/>
    <n v="3"/>
    <x v="20"/>
    <n v="1.4200000000000001E-2"/>
    <s v="P"/>
    <s v="P"/>
    <s v="P"/>
    <s v="-"/>
    <s v="-"/>
    <n v="13.05"/>
    <s v="-"/>
    <s v="-"/>
    <s v="-"/>
    <s v="-"/>
    <s v="-"/>
    <s v="-"/>
    <s v="-"/>
    <s v="-"/>
    <s v="P"/>
    <s v="P"/>
    <s v="-"/>
    <n v="2"/>
    <n v="1"/>
    <n v="2"/>
    <n v="1"/>
    <s v="-"/>
    <s v="-"/>
    <s v="-"/>
    <s v="-"/>
    <s v="-"/>
    <s v="-"/>
    <s v="-"/>
    <n v="6"/>
    <n v="6"/>
    <s v="-"/>
    <n v="1"/>
    <n v="1"/>
    <n v="2"/>
    <n v="2"/>
    <n v="8"/>
    <n v="8"/>
  </r>
  <r>
    <x v="0"/>
    <x v="12"/>
    <d v="2026-01-13T00:00:00"/>
    <s v="2ND"/>
    <d v="1899-12-30T19:00:00"/>
    <n v="3"/>
    <x v="20"/>
    <n v="1.4999999999999999E-2"/>
    <s v="P"/>
    <s v="P"/>
    <s v="P"/>
    <s v="-"/>
    <s v="-"/>
    <n v="13.2"/>
    <s v="-"/>
    <s v="-"/>
    <s v="-"/>
    <s v="-"/>
    <s v="-"/>
    <s v="-"/>
    <s v="-"/>
    <s v="-"/>
    <s v="P"/>
    <s v="P"/>
    <s v="-"/>
    <n v="2"/>
    <n v="1"/>
    <n v="2"/>
    <n v="1"/>
    <s v="-"/>
    <s v="-"/>
    <s v="-"/>
    <s v="-"/>
    <s v="-"/>
    <s v="-"/>
    <s v="-"/>
    <n v="6"/>
    <n v="6"/>
    <s v="-"/>
    <n v="1"/>
    <n v="1"/>
    <n v="2"/>
    <n v="2"/>
    <n v="8"/>
    <n v="8"/>
  </r>
  <r>
    <x v="0"/>
    <x v="12"/>
    <d v="2026-01-15T00:00:00"/>
    <s v="1ST"/>
    <d v="1899-12-30T06:00:00"/>
    <n v="2"/>
    <x v="28"/>
    <n v="1.01E-2"/>
    <s v="P"/>
    <s v="P"/>
    <s v="P"/>
    <s v="-"/>
    <s v="-"/>
    <n v="13.08"/>
    <n v="12.93"/>
    <n v="0.38"/>
    <n v="64.7"/>
    <s v="-"/>
    <s v="-"/>
    <n v="36.200000000000003"/>
    <s v="-"/>
    <s v="-"/>
    <s v="P"/>
    <s v="P"/>
    <s v="-"/>
    <n v="2"/>
    <n v="1"/>
    <n v="2"/>
    <n v="1"/>
    <n v="1"/>
    <n v="0"/>
    <n v="2"/>
    <s v="-"/>
    <s v="-"/>
    <n v="2"/>
    <s v="-"/>
    <n v="11"/>
    <n v="13"/>
    <s v="-"/>
    <n v="1"/>
    <n v="1"/>
    <n v="2"/>
    <n v="2"/>
    <n v="13"/>
    <n v="15"/>
  </r>
  <r>
    <x v="0"/>
    <x v="12"/>
    <d v="2026-01-15T00:00:00"/>
    <s v="1ST"/>
    <d v="1899-12-30T07:00:00"/>
    <n v="2"/>
    <x v="28"/>
    <n v="8.8999999999999999E-3"/>
    <s v="P"/>
    <s v="P"/>
    <s v="P"/>
    <s v="-"/>
    <s v="-"/>
    <n v="12.83"/>
    <s v="-"/>
    <s v="-"/>
    <s v="-"/>
    <s v="-"/>
    <s v="-"/>
    <s v="-"/>
    <s v="-"/>
    <s v="-"/>
    <s v="P"/>
    <s v="P"/>
    <s v="-"/>
    <n v="2"/>
    <n v="1"/>
    <n v="2"/>
    <n v="1"/>
    <s v="-"/>
    <s v="-"/>
    <s v="-"/>
    <s v="-"/>
    <s v="-"/>
    <s v="-"/>
    <s v="-"/>
    <n v="6"/>
    <n v="6"/>
    <s v="-"/>
    <n v="1"/>
    <n v="1"/>
    <n v="2"/>
    <n v="2"/>
    <n v="8"/>
    <n v="8"/>
  </r>
  <r>
    <x v="0"/>
    <x v="12"/>
    <d v="2026-01-15T00:00:00"/>
    <s v="1ST"/>
    <d v="1899-12-30T08:00:00"/>
    <n v="2"/>
    <x v="28"/>
    <n v="1.6400000000000001E-2"/>
    <s v="P"/>
    <s v="P"/>
    <s v="P"/>
    <s v="-"/>
    <s v="-"/>
    <n v="12.89"/>
    <s v="-"/>
    <s v="-"/>
    <s v="-"/>
    <s v="-"/>
    <s v="-"/>
    <s v="-"/>
    <s v="-"/>
    <s v="-"/>
    <s v="P"/>
    <s v="P"/>
    <s v="-"/>
    <n v="2"/>
    <n v="1"/>
    <n v="2"/>
    <n v="1"/>
    <s v="-"/>
    <s v="-"/>
    <s v="-"/>
    <s v="-"/>
    <s v="-"/>
    <s v="-"/>
    <s v="-"/>
    <n v="6"/>
    <n v="6"/>
    <s v="-"/>
    <n v="1"/>
    <n v="1"/>
    <n v="2"/>
    <n v="2"/>
    <n v="8"/>
    <n v="8"/>
  </r>
  <r>
    <x v="0"/>
    <x v="12"/>
    <d v="2026-01-15T00:00:00"/>
    <s v="1ST"/>
    <d v="1899-12-30T10:00:00"/>
    <n v="2"/>
    <x v="28"/>
    <n v="1.7500000000000002E-2"/>
    <s v="P"/>
    <s v="P"/>
    <s v="P"/>
    <s v="-"/>
    <s v="-"/>
    <n v="12.86"/>
    <s v="-"/>
    <s v="-"/>
    <s v="-"/>
    <s v="-"/>
    <s v="-"/>
    <s v="-"/>
    <s v="-"/>
    <s v="-"/>
    <s v="P"/>
    <s v="P"/>
    <s v="-"/>
    <n v="2"/>
    <n v="1"/>
    <n v="2"/>
    <n v="1"/>
    <s v="-"/>
    <s v="-"/>
    <s v="-"/>
    <s v="-"/>
    <s v="-"/>
    <s v="-"/>
    <s v="-"/>
    <n v="6"/>
    <n v="6"/>
    <s v="-"/>
    <n v="1"/>
    <n v="1"/>
    <n v="2"/>
    <n v="2"/>
    <n v="8"/>
    <n v="8"/>
  </r>
  <r>
    <x v="0"/>
    <x v="13"/>
    <d v="2026-01-06T00:00:00"/>
    <s v="2ND"/>
    <d v="1899-12-30T20:00:00"/>
    <n v="2"/>
    <x v="7"/>
    <n v="8.9999999999999998E-4"/>
    <s v="P"/>
    <s v="P"/>
    <s v="P"/>
    <s v="-"/>
    <s v="+"/>
    <n v="10.77"/>
    <n v="8.4"/>
    <n v="0.53"/>
    <n v="56.3"/>
    <n v="13.8"/>
    <n v="319"/>
    <n v="24.18"/>
    <s v="-"/>
    <s v="-"/>
    <s v="P"/>
    <s v="P"/>
    <s v="-"/>
    <n v="2"/>
    <n v="1"/>
    <n v="2"/>
    <n v="0"/>
    <n v="0"/>
    <n v="2"/>
    <n v="2"/>
    <n v="1"/>
    <n v="1"/>
    <n v="2"/>
    <s v="-"/>
    <n v="13"/>
    <n v="15"/>
    <s v="-"/>
    <n v="1"/>
    <n v="1"/>
    <n v="2"/>
    <n v="2"/>
    <n v="15"/>
    <n v="17"/>
  </r>
  <r>
    <x v="0"/>
    <x v="13"/>
    <d v="2026-01-06T00:00:00"/>
    <s v="3RD"/>
    <d v="1899-12-30T23:00:00"/>
    <n v="2"/>
    <x v="7"/>
    <n v="5.1000000000000004E-3"/>
    <s v="P"/>
    <s v="P"/>
    <s v="P"/>
    <s v="-"/>
    <s v="+"/>
    <n v="10.91"/>
    <n v="9.0500000000000007"/>
    <n v="0.52"/>
    <s v="-"/>
    <s v="-"/>
    <s v="-"/>
    <n v="24.56"/>
    <s v="-"/>
    <s v="-"/>
    <s v="P"/>
    <s v="P"/>
    <s v="-"/>
    <n v="2"/>
    <n v="1"/>
    <n v="2"/>
    <n v="0"/>
    <n v="1"/>
    <n v="2"/>
    <s v="-"/>
    <s v="-"/>
    <s v="-"/>
    <n v="2"/>
    <s v="-"/>
    <n v="10"/>
    <n v="11"/>
    <s v="-"/>
    <n v="1"/>
    <n v="1"/>
    <n v="2"/>
    <n v="2"/>
    <n v="12"/>
    <n v="13"/>
  </r>
  <r>
    <x v="0"/>
    <x v="13"/>
    <d v="2026-01-06T00:00:00"/>
    <s v="3RD"/>
    <d v="1899-12-30T00:00:00"/>
    <n v="2"/>
    <x v="7"/>
    <n v="8.3000000000000001E-3"/>
    <s v="P"/>
    <s v="P"/>
    <s v="P"/>
    <s v="-"/>
    <s v="+"/>
    <n v="10.9"/>
    <s v="-"/>
    <s v="-"/>
    <s v="-"/>
    <s v="-"/>
    <s v="-"/>
    <s v="-"/>
    <s v="-"/>
    <s v="-"/>
    <s v="P"/>
    <s v="P"/>
    <s v="-"/>
    <n v="2"/>
    <n v="1"/>
    <n v="2"/>
    <n v="0"/>
    <s v="-"/>
    <s v="-"/>
    <s v="-"/>
    <s v="-"/>
    <s v="-"/>
    <s v="-"/>
    <s v="-"/>
    <n v="5"/>
    <n v="6"/>
    <s v="-"/>
    <n v="1"/>
    <n v="1"/>
    <n v="2"/>
    <n v="2"/>
    <n v="7"/>
    <n v="8"/>
  </r>
  <r>
    <x v="0"/>
    <x v="13"/>
    <d v="2026-01-06T00:00:00"/>
    <s v="3RD"/>
    <d v="1899-12-30T03:00:00"/>
    <n v="2"/>
    <x v="7"/>
    <n v="8.3000000000000001E-3"/>
    <s v="P"/>
    <s v="P"/>
    <s v="P"/>
    <s v="-"/>
    <s v="+"/>
    <n v="10.86"/>
    <s v="-"/>
    <s v="-"/>
    <s v="-"/>
    <s v="-"/>
    <s v="-"/>
    <s v="-"/>
    <s v="-"/>
    <s v="-"/>
    <s v="P"/>
    <s v="P"/>
    <s v="-"/>
    <n v="2"/>
    <n v="1"/>
    <n v="2"/>
    <n v="0"/>
    <s v="-"/>
    <s v="-"/>
    <s v="-"/>
    <s v="-"/>
    <s v="-"/>
    <s v="-"/>
    <s v="-"/>
    <n v="5"/>
    <n v="6"/>
    <s v="-"/>
    <n v="1"/>
    <n v="1"/>
    <n v="2"/>
    <n v="2"/>
    <n v="7"/>
    <n v="8"/>
  </r>
  <r>
    <x v="0"/>
    <x v="13"/>
    <d v="2026-01-06T00:00:00"/>
    <s v="3RD"/>
    <d v="1899-12-30T04:00:00"/>
    <n v="2"/>
    <x v="7"/>
    <n v="2.7000000000000001E-3"/>
    <s v="P"/>
    <s v="P"/>
    <s v="P"/>
    <s v="-"/>
    <s v="+"/>
    <n v="10.84"/>
    <s v="-"/>
    <s v="-"/>
    <s v="-"/>
    <s v="-"/>
    <s v="-"/>
    <s v="-"/>
    <s v="-"/>
    <s v="-"/>
    <s v="P"/>
    <s v="P"/>
    <s v="-"/>
    <n v="2"/>
    <n v="1"/>
    <n v="2"/>
    <n v="0"/>
    <s v="-"/>
    <s v="-"/>
    <s v="-"/>
    <s v="-"/>
    <s v="-"/>
    <s v="-"/>
    <s v="-"/>
    <n v="5"/>
    <n v="6"/>
    <s v="-"/>
    <n v="1"/>
    <n v="1"/>
    <n v="2"/>
    <n v="2"/>
    <n v="7"/>
    <n v="8"/>
  </r>
  <r>
    <x v="0"/>
    <x v="13"/>
    <d v="1899-12-30T00:00:00"/>
    <s v="1ST"/>
    <s v="09:00"/>
    <n v="3"/>
    <x v="10"/>
    <n v="2.0999999999999999E-3"/>
    <s v="P"/>
    <s v="P"/>
    <s v="P"/>
    <s v="+"/>
    <s v="+"/>
    <n v="12.8"/>
    <n v="11.91"/>
    <n v="0.28999999999999998"/>
    <n v="63.1"/>
    <n v="12.8"/>
    <n v="880"/>
    <n v="33.200000000000003"/>
    <s v="-"/>
    <s v="-"/>
    <s v="P"/>
    <s v="P"/>
    <s v="-"/>
    <n v="2"/>
    <n v="1"/>
    <n v="2"/>
    <n v="1"/>
    <n v="1"/>
    <n v="2"/>
    <n v="2"/>
    <n v="1"/>
    <n v="0"/>
    <n v="2"/>
    <s v="-"/>
    <n v="14"/>
    <n v="15"/>
    <s v="-"/>
    <n v="1"/>
    <n v="1"/>
    <n v="2"/>
    <n v="2"/>
    <n v="16"/>
    <n v="17"/>
  </r>
  <r>
    <x v="0"/>
    <x v="13"/>
    <d v="1899-12-30T00:00:00"/>
    <s v="1ST"/>
    <s v="10:00"/>
    <n v="3"/>
    <x v="10"/>
    <n v="3.0999999999999999E-3"/>
    <s v="P"/>
    <s v="P"/>
    <s v="P"/>
    <s v="+"/>
    <s v="+"/>
    <n v="13.08"/>
    <s v="-"/>
    <s v="-"/>
    <s v="-"/>
    <s v="-"/>
    <n v="800"/>
    <s v="-"/>
    <s v="-"/>
    <s v="-"/>
    <s v="P"/>
    <s v="P"/>
    <s v="-"/>
    <n v="2"/>
    <n v="1"/>
    <n v="2"/>
    <n v="1"/>
    <s v="-"/>
    <s v="-"/>
    <s v="-"/>
    <s v="-"/>
    <n v="1"/>
    <s v="-"/>
    <s v="-"/>
    <n v="7"/>
    <n v="7"/>
    <s v="-"/>
    <n v="1"/>
    <n v="1"/>
    <n v="2"/>
    <n v="2"/>
    <n v="9"/>
    <n v="9"/>
  </r>
  <r>
    <x v="0"/>
    <x v="13"/>
    <d v="1899-12-30T00:00:00"/>
    <s v="1ST"/>
    <s v="12:00"/>
    <n v="3"/>
    <x v="10"/>
    <n v="9.4000000000000004E-3"/>
    <s v="P"/>
    <s v="P"/>
    <s v="P"/>
    <s v="+"/>
    <s v="+"/>
    <n v="12.5"/>
    <s v="-"/>
    <s v="-"/>
    <s v="-"/>
    <s v="-"/>
    <s v="-"/>
    <s v="-"/>
    <s v="-"/>
    <s v="-"/>
    <s v="P"/>
    <s v="P"/>
    <s v="-"/>
    <n v="2"/>
    <n v="1"/>
    <n v="2"/>
    <n v="1"/>
    <s v="-"/>
    <s v="-"/>
    <s v="-"/>
    <s v="-"/>
    <s v="-"/>
    <s v="-"/>
    <s v="-"/>
    <n v="6"/>
    <n v="6"/>
    <s v="-"/>
    <n v="1"/>
    <n v="1"/>
    <n v="2"/>
    <n v="2"/>
    <n v="8"/>
    <n v="8"/>
  </r>
  <r>
    <x v="0"/>
    <x v="13"/>
    <d v="2026-01-12T00:00:00"/>
    <s v="2ND"/>
    <d v="1899-12-30T14:00:00"/>
    <n v="3"/>
    <x v="10"/>
    <n v="8.9999999999999998E-4"/>
    <s v="P"/>
    <s v="P"/>
    <s v="P"/>
    <s v="+"/>
    <s v="+"/>
    <n v="12.29"/>
    <n v="11.93"/>
    <n v="0.33"/>
    <s v="-"/>
    <s v="-"/>
    <s v="-"/>
    <n v="33.299999999999997"/>
    <s v="-"/>
    <s v="-"/>
    <s v="P"/>
    <s v="P"/>
    <s v="-"/>
    <n v="2"/>
    <n v="1"/>
    <n v="2"/>
    <n v="1"/>
    <n v="1"/>
    <n v="2"/>
    <s v="-"/>
    <s v="-"/>
    <s v="-"/>
    <n v="2"/>
    <s v="-"/>
    <n v="11"/>
    <n v="11"/>
    <s v="-"/>
    <n v="1"/>
    <n v="1"/>
    <n v="2"/>
    <n v="2"/>
    <n v="13"/>
    <n v="13"/>
  </r>
  <r>
    <x v="0"/>
    <x v="13"/>
    <d v="2026-01-12T00:00:00"/>
    <s v="2ND"/>
    <d v="1899-12-30T15:00:00"/>
    <n v="3"/>
    <x v="10"/>
    <n v="1.2999999999999999E-3"/>
    <s v="P"/>
    <s v="P"/>
    <s v="P"/>
    <s v="+"/>
    <s v="+"/>
    <n v="11.56"/>
    <s v="-"/>
    <s v="-"/>
    <s v="-"/>
    <s v="-"/>
    <s v="-"/>
    <s v="-"/>
    <s v="-"/>
    <s v="-"/>
    <s v="P"/>
    <s v="P"/>
    <s v="-"/>
    <n v="2"/>
    <n v="1"/>
    <n v="2"/>
    <n v="0"/>
    <s v="-"/>
    <s v="-"/>
    <s v="-"/>
    <s v="-"/>
    <s v="-"/>
    <s v="-"/>
    <s v="-"/>
    <n v="5"/>
    <n v="6"/>
    <s v="-"/>
    <n v="1"/>
    <n v="1"/>
    <n v="2"/>
    <n v="2"/>
    <n v="7"/>
    <n v="8"/>
  </r>
  <r>
    <x v="0"/>
    <x v="13"/>
    <d v="2026-01-12T00:00:00"/>
    <s v="2ND"/>
    <d v="1899-12-30T16:00:00"/>
    <n v="3"/>
    <x v="10"/>
    <n v="1.5E-3"/>
    <s v="P"/>
    <s v="P"/>
    <s v="P"/>
    <s v="+"/>
    <s v="+"/>
    <n v="12.47"/>
    <s v="-"/>
    <s v="-"/>
    <s v="-"/>
    <s v="-"/>
    <s v="-"/>
    <s v="-"/>
    <s v="-"/>
    <s v="-"/>
    <s v="P"/>
    <s v="P"/>
    <s v="-"/>
    <n v="2"/>
    <n v="1"/>
    <n v="2"/>
    <n v="1"/>
    <s v="-"/>
    <s v="-"/>
    <s v="-"/>
    <s v="-"/>
    <s v="-"/>
    <s v="-"/>
    <s v="-"/>
    <n v="6"/>
    <n v="6"/>
    <s v="-"/>
    <n v="1"/>
    <n v="1"/>
    <n v="2"/>
    <n v="2"/>
    <n v="8"/>
    <n v="8"/>
  </r>
  <r>
    <x v="0"/>
    <x v="13"/>
    <d v="2026-01-12T00:00:00"/>
    <s v="2ND"/>
    <d v="1899-12-30T17:00:00"/>
    <n v="3"/>
    <x v="10"/>
    <n v="1.1000000000000001E-3"/>
    <s v="P"/>
    <s v="P"/>
    <s v="P"/>
    <s v="+"/>
    <s v="+"/>
    <n v="12.2"/>
    <s v="-"/>
    <s v="-"/>
    <s v="-"/>
    <s v="-"/>
    <s v="-"/>
    <s v="-"/>
    <s v="-"/>
    <s v="-"/>
    <s v="P"/>
    <s v="P"/>
    <s v="-"/>
    <n v="2"/>
    <n v="1"/>
    <n v="2"/>
    <n v="1"/>
    <s v="-"/>
    <s v="-"/>
    <s v="-"/>
    <s v="-"/>
    <s v="-"/>
    <s v="-"/>
    <s v="-"/>
    <n v="6"/>
    <n v="6"/>
    <s v="-"/>
    <n v="1"/>
    <n v="1"/>
    <n v="2"/>
    <n v="2"/>
    <n v="8"/>
    <n v="8"/>
  </r>
  <r>
    <x v="0"/>
    <x v="13"/>
    <d v="2026-01-13T00:00:00"/>
    <s v="3RD"/>
    <d v="1899-12-30T22:00:00"/>
    <n v="3"/>
    <x v="29"/>
    <n v="5.8999999999999999E-3"/>
    <s v="P"/>
    <s v="P"/>
    <s v="P"/>
    <s v="-"/>
    <s v="+"/>
    <n v="12.87"/>
    <n v="12.59"/>
    <n v="0.51"/>
    <n v="64.599999999999994"/>
    <n v="19"/>
    <n v="681"/>
    <n v="35.200000000000003"/>
    <s v="-"/>
    <s v="-"/>
    <s v="P"/>
    <s v="P"/>
    <s v="5% 95%"/>
    <n v="2"/>
    <n v="1"/>
    <n v="2"/>
    <n v="1"/>
    <s v="-"/>
    <s v="-"/>
    <s v="-"/>
    <s v="-"/>
    <s v="-"/>
    <s v="-"/>
    <s v="-"/>
    <n v="6"/>
    <n v="6"/>
    <s v="-"/>
    <n v="1"/>
    <n v="1"/>
    <n v="2"/>
    <n v="2"/>
    <n v="8"/>
    <n v="8"/>
  </r>
  <r>
    <x v="0"/>
    <x v="13"/>
    <d v="2026-01-16T00:00:00"/>
    <s v="3RD"/>
    <d v="1899-12-31T00:00:00"/>
    <n v="3"/>
    <x v="0"/>
    <n v="1.44E-2"/>
    <s v="P"/>
    <s v="P"/>
    <s v="P"/>
    <s v="+"/>
    <s v="+"/>
    <n v="12.8"/>
    <n v="12.91"/>
    <n v="0.45"/>
    <n v="64.3"/>
    <n v="14.3"/>
    <n v="1069"/>
    <n v="36.1"/>
    <s v="-"/>
    <s v="-"/>
    <s v="P"/>
    <s v="P"/>
    <s v="85% 5% 10%"/>
    <n v="2"/>
    <n v="1"/>
    <n v="2"/>
    <n v="1"/>
    <n v="1"/>
    <n v="2"/>
    <n v="2"/>
    <n v="1"/>
    <n v="0"/>
    <n v="2"/>
    <s v="-"/>
    <n v="14"/>
    <n v="15"/>
    <s v="-"/>
    <n v="1"/>
    <n v="1"/>
    <n v="2"/>
    <n v="2"/>
    <n v="16"/>
    <n v="17"/>
  </r>
  <r>
    <x v="0"/>
    <x v="13"/>
    <d v="2026-01-16T00:00:00"/>
    <s v="3RD"/>
    <d v="1899-12-31T02:00:00"/>
    <n v="3"/>
    <x v="1"/>
    <n v="8.0000000000000002E-3"/>
    <s v="P"/>
    <s v="P"/>
    <s v="P"/>
    <s v="+"/>
    <s v="+"/>
    <n v="13.04"/>
    <s v="-"/>
    <s v="-"/>
    <s v="-"/>
    <s v="-"/>
    <s v="-"/>
    <s v="-"/>
    <s v="-"/>
    <s v="-"/>
    <s v="P"/>
    <s v="P"/>
    <s v="-"/>
    <n v="2"/>
    <n v="1"/>
    <n v="2"/>
    <n v="1"/>
    <s v="-"/>
    <s v="-"/>
    <s v="-"/>
    <s v="-"/>
    <s v="-"/>
    <s v="-"/>
    <s v="-"/>
    <n v="6"/>
    <n v="6"/>
    <s v="-"/>
    <n v="1"/>
    <n v="1"/>
    <n v="2"/>
    <n v="2"/>
    <n v="8"/>
    <n v="8"/>
  </r>
  <r>
    <x v="0"/>
    <x v="13"/>
    <d v="2026-01-16T00:00:00"/>
    <s v="3RD"/>
    <d v="1899-12-31T03:00:00"/>
    <n v="3"/>
    <x v="1"/>
    <n v="8.6E-3"/>
    <s v="P"/>
    <s v="P"/>
    <s v="P"/>
    <s v="+"/>
    <s v="+"/>
    <n v="12.99"/>
    <s v="-"/>
    <s v="-"/>
    <s v="-"/>
    <s v="-"/>
    <s v="-"/>
    <s v="-"/>
    <s v="-"/>
    <s v="-"/>
    <s v="P"/>
    <s v="P"/>
    <s v="-"/>
    <n v="2"/>
    <n v="1"/>
    <n v="2"/>
    <n v="1"/>
    <s v="-"/>
    <s v="-"/>
    <s v="-"/>
    <s v="-"/>
    <s v="-"/>
    <s v="-"/>
    <s v="-"/>
    <n v="6"/>
    <n v="6"/>
    <s v="-"/>
    <n v="1"/>
    <n v="1"/>
    <n v="2"/>
    <n v="2"/>
    <n v="8"/>
    <n v="8"/>
  </r>
  <r>
    <x v="0"/>
    <x v="13"/>
    <d v="2026-01-16T00:00:00"/>
    <s v="3RD"/>
    <d v="1899-12-31T04:00:00"/>
    <n v="3"/>
    <x v="1"/>
    <n v="8.8999999999999999E-3"/>
    <s v="P"/>
    <s v="P"/>
    <s v="P"/>
    <s v="+"/>
    <s v="+"/>
    <n v="12.77"/>
    <s v="-"/>
    <s v="-"/>
    <s v="-"/>
    <s v="-"/>
    <s v="-"/>
    <s v="-"/>
    <s v="-"/>
    <s v="-"/>
    <s v="P"/>
    <s v="P"/>
    <s v="-"/>
    <n v="2"/>
    <n v="1"/>
    <n v="2"/>
    <n v="1"/>
    <s v="-"/>
    <s v="-"/>
    <s v="-"/>
    <s v="-"/>
    <s v="-"/>
    <s v="-"/>
    <s v="-"/>
    <n v="6"/>
    <n v="6"/>
    <s v="-"/>
    <n v="1"/>
    <n v="1"/>
    <n v="2"/>
    <n v="2"/>
    <n v="8"/>
    <n v="8"/>
  </r>
  <r>
    <x v="0"/>
    <x v="13"/>
    <d v="2026-01-16T00:00:00"/>
    <s v="3RD"/>
    <d v="1899-12-31T05:00:00"/>
    <n v="3"/>
    <x v="1"/>
    <n v="1.06E-2"/>
    <s v="P"/>
    <s v="P"/>
    <s v="P"/>
    <s v="+"/>
    <s v="+"/>
    <n v="12.72"/>
    <s v="-"/>
    <s v="-"/>
    <s v="-"/>
    <s v="-"/>
    <s v="-"/>
    <s v="-"/>
    <s v="-"/>
    <s v="-"/>
    <s v="P"/>
    <s v="P"/>
    <s v="-"/>
    <n v="2"/>
    <n v="1"/>
    <n v="2"/>
    <n v="1"/>
    <s v="-"/>
    <s v="-"/>
    <s v="-"/>
    <s v="-"/>
    <s v="-"/>
    <s v="-"/>
    <s v="-"/>
    <n v="6"/>
    <n v="6"/>
    <s v="-"/>
    <n v="1"/>
    <n v="1"/>
    <n v="2"/>
    <n v="2"/>
    <n v="8"/>
    <n v="8"/>
  </r>
  <r>
    <x v="0"/>
    <x v="13"/>
    <d v="2026-01-16T00:00:00"/>
    <s v="1ST"/>
    <d v="1899-12-30T09:00:00"/>
    <n v="2"/>
    <x v="15"/>
    <n v="5.1000000000000004E-3"/>
    <s v="P"/>
    <s v="P"/>
    <s v="P"/>
    <s v="-"/>
    <s v="+"/>
    <n v="11.56"/>
    <n v="10"/>
    <n v="0.38"/>
    <n v="56"/>
    <n v="11.19"/>
    <n v="636"/>
    <n v="27.5"/>
    <s v="-"/>
    <s v="-"/>
    <s v="P"/>
    <s v="P"/>
    <s v="-"/>
    <n v="2"/>
    <n v="1"/>
    <n v="2"/>
    <n v="1"/>
    <n v="0"/>
    <n v="2"/>
    <n v="2"/>
    <n v="0"/>
    <n v="1"/>
    <n v="0"/>
    <s v="-"/>
    <n v="11"/>
    <n v="15"/>
    <s v="-"/>
    <n v="1"/>
    <n v="1"/>
    <n v="2"/>
    <n v="2"/>
    <n v="13"/>
    <n v="17"/>
  </r>
  <r>
    <x v="0"/>
    <x v="13"/>
    <d v="2026-01-16T00:00:00"/>
    <s v="1ST"/>
    <d v="1899-12-30T10:00:00"/>
    <n v="2"/>
    <x v="15"/>
    <n v="2.3999999999999998E-3"/>
    <s v="P"/>
    <s v="P"/>
    <s v="P"/>
    <s v="-"/>
    <s v="+"/>
    <n v="11.44"/>
    <s v="-"/>
    <s v="-"/>
    <s v="-"/>
    <n v="12"/>
    <s v="-"/>
    <s v="-"/>
    <s v="-"/>
    <s v="-"/>
    <s v="P"/>
    <s v="P"/>
    <s v="-"/>
    <n v="2"/>
    <n v="1"/>
    <n v="2"/>
    <n v="1"/>
    <s v="-"/>
    <s v="-"/>
    <s v="-"/>
    <n v="1"/>
    <s v="-"/>
    <s v="-"/>
    <s v="-"/>
    <n v="7"/>
    <n v="7"/>
    <s v="-"/>
    <n v="1"/>
    <n v="1"/>
    <n v="2"/>
    <n v="2"/>
    <n v="9"/>
    <n v="9"/>
  </r>
  <r>
    <x v="0"/>
    <x v="13"/>
    <d v="2026-01-16T00:00:00"/>
    <s v="1ST"/>
    <d v="1899-12-30T12:00:00"/>
    <n v="2"/>
    <x v="15"/>
    <n v="3.7000000000000002E-3"/>
    <s v="P"/>
    <s v="P"/>
    <s v="P"/>
    <s v="-"/>
    <s v="+"/>
    <n v="11.32"/>
    <s v="-"/>
    <s v="-"/>
    <s v="-"/>
    <s v="-"/>
    <s v="-"/>
    <s v="-"/>
    <s v="-"/>
    <s v="-"/>
    <s v="P"/>
    <s v="P"/>
    <s v="-"/>
    <n v="2"/>
    <n v="1"/>
    <n v="2"/>
    <n v="1"/>
    <s v="-"/>
    <s v="-"/>
    <s v="-"/>
    <s v="-"/>
    <s v="-"/>
    <s v="-"/>
    <s v="-"/>
    <n v="6"/>
    <n v="6"/>
    <s v="-"/>
    <n v="1"/>
    <n v="1"/>
    <n v="2"/>
    <n v="2"/>
    <n v="8"/>
    <n v="8"/>
  </r>
  <r>
    <x v="0"/>
    <x v="13"/>
    <d v="2026-01-16T00:00:00"/>
    <s v="2ND"/>
    <d v="1899-12-30T14:00:00"/>
    <n v="2"/>
    <x v="15"/>
    <n v="6.9999999999999999E-4"/>
    <s v="P"/>
    <s v="P"/>
    <s v="P"/>
    <s v="-"/>
    <s v="+"/>
    <n v="10.99"/>
    <n v="8.41"/>
    <n v="0.37"/>
    <n v="52"/>
    <s v="-"/>
    <s v="-"/>
    <n v="22.57"/>
    <s v="-"/>
    <s v="-"/>
    <s v="P"/>
    <s v="P"/>
    <s v="-"/>
    <n v="2"/>
    <n v="1"/>
    <n v="2"/>
    <n v="0"/>
    <n v="0"/>
    <n v="2"/>
    <n v="0"/>
    <s v="-"/>
    <s v="-"/>
    <n v="2"/>
    <s v="-"/>
    <n v="9"/>
    <n v="13"/>
    <s v="-"/>
    <n v="1"/>
    <n v="1"/>
    <n v="2"/>
    <n v="2"/>
    <n v="11"/>
    <n v="15"/>
  </r>
  <r>
    <x v="0"/>
    <x v="13"/>
    <d v="2026-01-16T00:00:00"/>
    <s v="2ND"/>
    <d v="1899-12-30T16:00:00"/>
    <n v="2"/>
    <x v="4"/>
    <n v="8.9999999999999998E-4"/>
    <s v="P"/>
    <s v="P"/>
    <s v="P"/>
    <s v="-"/>
    <s v="+"/>
    <n v="11.04"/>
    <n v="8.6"/>
    <n v="0.44"/>
    <n v="55.4"/>
    <n v="11.19"/>
    <n v="636"/>
    <s v="-"/>
    <s v="-"/>
    <s v="-"/>
    <s v="P"/>
    <s v="P"/>
    <s v="-"/>
    <n v="2"/>
    <n v="1"/>
    <n v="2"/>
    <n v="1"/>
    <n v="1"/>
    <n v="2"/>
    <n v="2"/>
    <n v="1"/>
    <n v="1"/>
    <s v="-"/>
    <s v="-"/>
    <n v="13"/>
    <n v="13"/>
    <s v="-"/>
    <n v="1"/>
    <n v="1"/>
    <n v="2"/>
    <n v="2"/>
    <n v="15"/>
    <n v="15"/>
  </r>
  <r>
    <x v="0"/>
    <x v="13"/>
    <d v="2026-01-06T00:00:00"/>
    <s v="2ND"/>
    <d v="1899-12-30T17:00:00"/>
    <n v="2"/>
    <x v="4"/>
    <n v="3.3999999999999998E-3"/>
    <s v="P"/>
    <s v="P"/>
    <s v="P"/>
    <s v="-"/>
    <s v="+"/>
    <n v="10.72"/>
    <s v="-"/>
    <s v="-"/>
    <s v="-"/>
    <s v="-"/>
    <s v="-"/>
    <s v="-"/>
    <s v="-"/>
    <s v="-"/>
    <s v="P"/>
    <s v="P"/>
    <s v="-"/>
    <n v="2"/>
    <n v="1"/>
    <n v="2"/>
    <n v="0"/>
    <s v="-"/>
    <s v="-"/>
    <s v="-"/>
    <s v="-"/>
    <s v="-"/>
    <s v="-"/>
    <s v="-"/>
    <n v="5"/>
    <n v="6"/>
    <s v="-"/>
    <n v="1"/>
    <n v="1"/>
    <n v="2"/>
    <n v="2"/>
    <n v="7"/>
    <n v="8"/>
  </r>
  <r>
    <x v="0"/>
    <x v="13"/>
    <d v="2026-01-06T00:00:00"/>
    <s v="2ND"/>
    <d v="1899-12-30T18:00:00"/>
    <n v="2"/>
    <x v="4"/>
    <n v="4.0000000000000001E-3"/>
    <s v="P"/>
    <s v="P"/>
    <s v="P"/>
    <s v="-"/>
    <s v="+"/>
    <n v="10.81"/>
    <s v="-"/>
    <s v="-"/>
    <s v="-"/>
    <s v="-"/>
    <s v="-"/>
    <s v="-"/>
    <s v="-"/>
    <s v="-"/>
    <s v="P"/>
    <s v="P"/>
    <s v="-"/>
    <n v="2"/>
    <n v="1"/>
    <n v="2"/>
    <n v="0"/>
    <s v="-"/>
    <s v="-"/>
    <s v="-"/>
    <s v="-"/>
    <s v="-"/>
    <s v="-"/>
    <s v="-"/>
    <n v="5"/>
    <n v="6"/>
    <s v="-"/>
    <n v="1"/>
    <n v="1"/>
    <n v="2"/>
    <n v="2"/>
    <n v="7"/>
    <n v="8"/>
  </r>
  <r>
    <x v="0"/>
    <x v="13"/>
    <d v="2026-01-15T00:00:00"/>
    <s v="2ND"/>
    <d v="1899-12-30T14:00:00"/>
    <n v="1"/>
    <x v="22"/>
    <n v="3.3E-3"/>
    <s v="P"/>
    <s v="P"/>
    <s v="P"/>
    <s v="-"/>
    <s v="-"/>
    <n v="11.17"/>
    <n v="9.17"/>
    <n v="0.5"/>
    <n v="56"/>
    <n v="13"/>
    <n v="460"/>
    <n v="24.95"/>
    <s v="-"/>
    <s v="-"/>
    <s v="P"/>
    <s v="P"/>
    <s v="-"/>
    <n v="2"/>
    <n v="1"/>
    <n v="2"/>
    <n v="1"/>
    <n v="1"/>
    <n v="2"/>
    <n v="2"/>
    <s v="-"/>
    <s v="-"/>
    <n v="2"/>
    <s v="-"/>
    <n v="13"/>
    <n v="13"/>
    <s v="-"/>
    <n v="1"/>
    <n v="1"/>
    <n v="2"/>
    <n v="2"/>
    <n v="15"/>
    <n v="15"/>
  </r>
  <r>
    <x v="0"/>
    <x v="13"/>
    <d v="2026-01-15T00:00:00"/>
    <s v="2ND"/>
    <d v="1899-12-30T15:00:00"/>
    <n v="1"/>
    <x v="22"/>
    <n v="3.5999999999999999E-3"/>
    <s v="P"/>
    <s v="P"/>
    <s v="P"/>
    <s v="-"/>
    <s v="-"/>
    <n v="11.09"/>
    <s v="-"/>
    <s v="-"/>
    <s v="-"/>
    <s v="-"/>
    <s v="-"/>
    <s v="-"/>
    <s v="-"/>
    <s v="-"/>
    <s v="P"/>
    <s v="P"/>
    <s v="-"/>
    <n v="2"/>
    <n v="1"/>
    <n v="2"/>
    <n v="1"/>
    <s v="-"/>
    <s v="-"/>
    <s v="-"/>
    <s v="-"/>
    <s v="-"/>
    <s v="-"/>
    <s v="-"/>
    <n v="6"/>
    <n v="6"/>
    <s v="-"/>
    <n v="1"/>
    <n v="1"/>
    <n v="2"/>
    <n v="2"/>
    <n v="8"/>
    <n v="8"/>
  </r>
  <r>
    <x v="0"/>
    <x v="13"/>
    <d v="2026-01-15T00:00:00"/>
    <s v="2ND"/>
    <d v="1899-12-30T16:00:00"/>
    <n v="1"/>
    <x v="22"/>
    <n v="3.5000000000000001E-3"/>
    <s v="P"/>
    <s v="P"/>
    <s v="P"/>
    <s v="-"/>
    <s v="-"/>
    <n v="11.55"/>
    <s v="-"/>
    <s v="-"/>
    <s v="-"/>
    <s v="-"/>
    <s v="-"/>
    <s v="-"/>
    <s v="-"/>
    <s v="-"/>
    <s v="P"/>
    <s v="P"/>
    <s v="-"/>
    <n v="2"/>
    <n v="1"/>
    <n v="2"/>
    <n v="1"/>
    <s v="-"/>
    <s v="-"/>
    <s v="-"/>
    <s v="-"/>
    <s v="-"/>
    <s v="-"/>
    <s v="-"/>
    <n v="6"/>
    <n v="6"/>
    <s v="-"/>
    <n v="1"/>
    <n v="1"/>
    <n v="2"/>
    <n v="2"/>
    <n v="8"/>
    <n v="8"/>
  </r>
  <r>
    <x v="0"/>
    <x v="13"/>
    <d v="2026-01-15T00:00:00"/>
    <s v="2ND"/>
    <d v="1899-12-30T21:00:00"/>
    <n v="1"/>
    <x v="22"/>
    <n v="4.1000000000000003E-3"/>
    <s v="P"/>
    <s v="P"/>
    <s v="P"/>
    <s v="-"/>
    <s v="-"/>
    <n v="11.51"/>
    <s v="-"/>
    <s v="-"/>
    <s v="-"/>
    <s v="-"/>
    <s v="-"/>
    <s v="-"/>
    <s v="-"/>
    <s v="-"/>
    <s v="P"/>
    <s v="P"/>
    <s v="-"/>
    <n v="2"/>
    <n v="1"/>
    <n v="2"/>
    <n v="1"/>
    <s v="-"/>
    <s v="-"/>
    <s v="-"/>
    <s v="-"/>
    <s v="-"/>
    <s v="-"/>
    <s v="-"/>
    <n v="6"/>
    <n v="6"/>
    <s v="-"/>
    <n v="1"/>
    <n v="1"/>
    <n v="2"/>
    <n v="2"/>
    <n v="8"/>
    <n v="8"/>
  </r>
  <r>
    <x v="0"/>
    <x v="13"/>
    <d v="2026-01-15T00:00:00"/>
    <s v="3RD"/>
    <d v="1899-12-30T22:00:00"/>
    <n v="1"/>
    <x v="22"/>
    <n v="4.0000000000000001E-3"/>
    <s v="P"/>
    <s v="P"/>
    <s v="P"/>
    <s v="-"/>
    <s v="-"/>
    <n v="11.65"/>
    <n v="8.75"/>
    <n v="0.41"/>
    <s v="-"/>
    <s v="-"/>
    <s v="-"/>
    <n v="23.51"/>
    <s v="-"/>
    <s v="-"/>
    <s v="P"/>
    <s v="P"/>
    <s v="-"/>
    <n v="2"/>
    <n v="1"/>
    <n v="2"/>
    <n v="1"/>
    <n v="1"/>
    <n v="0"/>
    <s v="-"/>
    <s v="-"/>
    <s v="-"/>
    <n v="2"/>
    <s v="-"/>
    <n v="9"/>
    <n v="11"/>
    <s v="-"/>
    <n v="1"/>
    <n v="1"/>
    <n v="2"/>
    <n v="2"/>
    <n v="11"/>
    <n v="13"/>
  </r>
  <r>
    <x v="0"/>
    <x v="13"/>
    <d v="2026-01-15T00:00:00"/>
    <s v="3RD"/>
    <d v="1899-12-30T23:00:00"/>
    <n v="1"/>
    <x v="22"/>
    <n v="2.3999999999999998E-3"/>
    <s v="P"/>
    <s v="P"/>
    <s v="P"/>
    <s v="-"/>
    <s v="-"/>
    <n v="11.69"/>
    <s v="-"/>
    <s v="-"/>
    <s v="-"/>
    <s v="-"/>
    <s v="-"/>
    <s v="-"/>
    <s v="-"/>
    <s v="-"/>
    <s v="P"/>
    <s v="P"/>
    <s v="-"/>
    <n v="2"/>
    <n v="1"/>
    <n v="2"/>
    <n v="1"/>
    <s v="-"/>
    <s v="-"/>
    <s v="-"/>
    <s v="-"/>
    <s v="-"/>
    <s v="-"/>
    <s v="-"/>
    <n v="6"/>
    <n v="6"/>
    <s v="-"/>
    <n v="1"/>
    <n v="1"/>
    <n v="2"/>
    <n v="2"/>
    <n v="8"/>
    <n v="8"/>
  </r>
  <r>
    <x v="0"/>
    <x v="13"/>
    <d v="2026-01-15T00:00:00"/>
    <s v="3RD"/>
    <d v="1899-12-30T00:00:00"/>
    <n v="1"/>
    <x v="22"/>
    <n v="8.2000000000000007E-3"/>
    <s v="P"/>
    <s v="P"/>
    <s v="P"/>
    <s v="-"/>
    <s v="-"/>
    <n v="11.81"/>
    <s v="-"/>
    <s v="-"/>
    <s v="-"/>
    <s v="-"/>
    <s v="-"/>
    <s v="-"/>
    <s v="-"/>
    <s v="-"/>
    <s v="P"/>
    <s v="P"/>
    <s v="-"/>
    <n v="2"/>
    <n v="1"/>
    <n v="2"/>
    <n v="1"/>
    <s v="-"/>
    <s v="-"/>
    <s v="-"/>
    <s v="-"/>
    <s v="-"/>
    <s v="-"/>
    <s v="-"/>
    <n v="6"/>
    <n v="6"/>
    <s v="-"/>
    <n v="1"/>
    <n v="1"/>
    <n v="2"/>
    <n v="2"/>
    <n v="8"/>
    <n v="8"/>
  </r>
  <r>
    <x v="0"/>
    <x v="13"/>
    <d v="2026-01-15T00:00:00"/>
    <s v="3RD"/>
    <d v="1899-12-30T01:00:00"/>
    <n v="1"/>
    <x v="22"/>
    <n v="4.7999999999999996E-3"/>
    <s v="P"/>
    <s v="P"/>
    <s v="P"/>
    <s v="-"/>
    <s v="-"/>
    <n v="11.69"/>
    <s v="-"/>
    <s v="-"/>
    <s v="-"/>
    <s v="-"/>
    <s v="-"/>
    <s v="-"/>
    <s v="-"/>
    <s v="-"/>
    <s v="P"/>
    <s v="P"/>
    <s v="-"/>
    <n v="2"/>
    <n v="1"/>
    <n v="2"/>
    <n v="1"/>
    <s v="-"/>
    <s v="-"/>
    <s v="-"/>
    <s v="-"/>
    <s v="-"/>
    <s v="-"/>
    <s v="-"/>
    <n v="6"/>
    <n v="6"/>
    <s v="-"/>
    <n v="1"/>
    <n v="1"/>
    <n v="2"/>
    <n v="2"/>
    <n v="8"/>
    <n v="8"/>
  </r>
  <r>
    <x v="0"/>
    <x v="13"/>
    <d v="2026-01-15T00:00:00"/>
    <s v="3RD"/>
    <d v="1899-12-30T02:00:00"/>
    <n v="1"/>
    <x v="22"/>
    <n v="3.3999999999999998E-3"/>
    <s v="P"/>
    <s v="P"/>
    <s v="P"/>
    <s v="-"/>
    <s v="-"/>
    <n v="11.67"/>
    <s v="-"/>
    <s v="-"/>
    <s v="-"/>
    <s v="-"/>
    <s v="-"/>
    <s v="-"/>
    <s v="-"/>
    <s v="-"/>
    <s v="P"/>
    <s v="P"/>
    <s v="-"/>
    <n v="2"/>
    <n v="1"/>
    <n v="2"/>
    <n v="1"/>
    <s v="-"/>
    <s v="-"/>
    <s v="-"/>
    <s v="-"/>
    <s v="-"/>
    <s v="-"/>
    <s v="-"/>
    <n v="6"/>
    <n v="6"/>
    <s v="-"/>
    <n v="1"/>
    <n v="1"/>
    <n v="2"/>
    <n v="2"/>
    <n v="8"/>
    <n v="8"/>
  </r>
  <r>
    <x v="0"/>
    <x v="13"/>
    <d v="2026-01-15T00:00:00"/>
    <s v="3RD"/>
    <d v="1899-12-30T03:00:00"/>
    <n v="1"/>
    <x v="22"/>
    <n v="3.8999999999999998E-3"/>
    <s v="P"/>
    <s v="P"/>
    <s v="P"/>
    <s v="-"/>
    <s v="-"/>
    <n v="11.53"/>
    <s v="-"/>
    <s v="-"/>
    <s v="-"/>
    <s v="-"/>
    <s v="-"/>
    <s v="-"/>
    <s v="-"/>
    <s v="-"/>
    <s v="P"/>
    <s v="P"/>
    <s v="-"/>
    <n v="2"/>
    <n v="1"/>
    <n v="2"/>
    <n v="1"/>
    <s v="-"/>
    <s v="-"/>
    <s v="-"/>
    <s v="-"/>
    <s v="-"/>
    <s v="-"/>
    <s v="-"/>
    <n v="6"/>
    <n v="6"/>
    <s v="-"/>
    <n v="1"/>
    <n v="1"/>
    <n v="2"/>
    <n v="2"/>
    <n v="8"/>
    <n v="8"/>
  </r>
  <r>
    <x v="0"/>
    <x v="13"/>
    <d v="2026-01-15T00:00:00"/>
    <s v="3RD"/>
    <d v="1899-12-30T04:00:00"/>
    <n v="1"/>
    <x v="22"/>
    <n v="4.1999999999999997E-3"/>
    <s v="P"/>
    <s v="P"/>
    <s v="P"/>
    <s v="-"/>
    <s v="-"/>
    <n v="11.57"/>
    <s v="-"/>
    <s v="-"/>
    <s v="-"/>
    <s v="-"/>
    <s v="-"/>
    <s v="-"/>
    <s v="-"/>
    <s v="-"/>
    <s v="P"/>
    <s v="P"/>
    <s v="-"/>
    <n v="2"/>
    <n v="1"/>
    <n v="2"/>
    <n v="1"/>
    <s v="-"/>
    <s v="-"/>
    <s v="-"/>
    <s v="-"/>
    <s v="-"/>
    <s v="-"/>
    <s v="-"/>
    <n v="6"/>
    <n v="6"/>
    <s v="-"/>
    <n v="1"/>
    <n v="1"/>
    <n v="2"/>
    <n v="2"/>
    <n v="8"/>
    <n v="8"/>
  </r>
  <r>
    <x v="0"/>
    <x v="13"/>
    <d v="2026-01-15T00:00:00"/>
    <s v="3RD"/>
    <d v="1899-12-30T05:00:00"/>
    <n v="1"/>
    <x v="22"/>
    <n v="3.5999999999999999E-3"/>
    <s v="P"/>
    <s v="P"/>
    <s v="P"/>
    <s v="-"/>
    <s v="-"/>
    <n v="11.54"/>
    <s v="-"/>
    <s v="-"/>
    <s v="-"/>
    <s v="-"/>
    <s v="-"/>
    <s v="-"/>
    <s v="-"/>
    <s v="-"/>
    <s v="P"/>
    <s v="P"/>
    <s v="-"/>
    <n v="2"/>
    <n v="1"/>
    <n v="2"/>
    <n v="1"/>
    <s v="-"/>
    <s v="-"/>
    <s v="-"/>
    <s v="-"/>
    <s v="-"/>
    <s v="-"/>
    <s v="-"/>
    <n v="6"/>
    <n v="6"/>
    <s v="-"/>
    <n v="1"/>
    <n v="1"/>
    <n v="2"/>
    <n v="2"/>
    <n v="8"/>
    <n v="8"/>
  </r>
  <r>
    <x v="0"/>
    <x v="14"/>
    <d v="2026-01-16T00:00:00"/>
    <s v="2ND"/>
    <d v="1899-12-30T19:00:00"/>
    <n v="3"/>
    <x v="6"/>
    <n v="1.24E-2"/>
    <s v="P"/>
    <s v="P"/>
    <s v="P"/>
    <s v="+"/>
    <s v="+"/>
    <n v="12.63"/>
    <n v="12.36"/>
    <n v="0.49"/>
    <n v="62.9"/>
    <n v="13.3"/>
    <n v="678"/>
    <n v="34.5"/>
    <s v="-"/>
    <s v="-"/>
    <s v="P"/>
    <s v="P"/>
    <s v="-"/>
    <n v="2"/>
    <n v="1"/>
    <n v="2"/>
    <n v="1"/>
    <n v="1"/>
    <n v="2"/>
    <n v="0"/>
    <n v="1"/>
    <n v="1"/>
    <n v="2"/>
    <s v="-"/>
    <n v="13"/>
    <n v="15"/>
    <s v="-"/>
    <n v="1"/>
    <n v="1"/>
    <n v="2"/>
    <n v="2"/>
    <n v="15"/>
    <n v="17"/>
  </r>
  <r>
    <x v="0"/>
    <x v="14"/>
    <d v="2026-01-16T00:00:00"/>
    <s v="2ND"/>
    <d v="1899-12-30T20:00:00"/>
    <n v="3"/>
    <x v="6"/>
    <n v="1.18E-2"/>
    <s v="P"/>
    <s v="P"/>
    <s v="P"/>
    <s v="+"/>
    <s v="+"/>
    <n v="12.43"/>
    <s v="-"/>
    <s v="-"/>
    <s v="-"/>
    <s v="-"/>
    <s v="-"/>
    <s v="-"/>
    <s v="-"/>
    <s v="-"/>
    <s v="P"/>
    <s v="P"/>
    <s v="-"/>
    <n v="2"/>
    <n v="1"/>
    <n v="2"/>
    <n v="1"/>
    <s v="-"/>
    <s v="-"/>
    <s v="-"/>
    <s v="-"/>
    <s v="-"/>
    <s v="-"/>
    <s v="-"/>
    <n v="6"/>
    <n v="6"/>
    <s v="-"/>
    <n v="1"/>
    <n v="1"/>
    <n v="2"/>
    <n v="2"/>
    <n v="8"/>
    <n v="8"/>
  </r>
  <r>
    <x v="0"/>
    <x v="14"/>
    <d v="2026-01-16T00:00:00"/>
    <s v="3RD"/>
    <d v="1899-12-30T22:00:00"/>
    <n v="3"/>
    <x v="6"/>
    <n v="1.5599999999999999E-2"/>
    <s v="P"/>
    <s v="P"/>
    <s v="P"/>
    <s v="+"/>
    <s v="+"/>
    <n v="12.33"/>
    <n v="12.56"/>
    <n v="0.49"/>
    <s v="-"/>
    <s v="-"/>
    <s v="-"/>
    <n v="35.1"/>
    <s v="-"/>
    <s v="-"/>
    <s v="P"/>
    <s v="P"/>
    <s v="-"/>
    <n v="2"/>
    <n v="1"/>
    <n v="2"/>
    <n v="1"/>
    <n v="1"/>
    <n v="2"/>
    <s v="-"/>
    <s v="-"/>
    <s v="-"/>
    <n v="2"/>
    <s v="-"/>
    <n v="11"/>
    <n v="11"/>
    <s v="-"/>
    <n v="1"/>
    <n v="1"/>
    <n v="2"/>
    <n v="2"/>
    <n v="13"/>
    <n v="13"/>
  </r>
  <r>
    <x v="0"/>
    <x v="14"/>
    <d v="2026-01-16T00:00:00"/>
    <s v="3RD"/>
    <d v="1899-12-31T00:00:00"/>
    <n v="3"/>
    <x v="6"/>
    <n v="1.2E-2"/>
    <s v="P"/>
    <s v="P"/>
    <s v="P"/>
    <s v="+"/>
    <s v="+"/>
    <n v="12.56"/>
    <s v="-"/>
    <s v="-"/>
    <s v="-"/>
    <s v="-"/>
    <s v="-"/>
    <s v="-"/>
    <s v="-"/>
    <s v="-"/>
    <s v="P"/>
    <s v="P"/>
    <s v="-"/>
    <n v="2"/>
    <n v="1"/>
    <n v="2"/>
    <n v="1"/>
    <s v="-"/>
    <s v="-"/>
    <s v="-"/>
    <s v="-"/>
    <s v="-"/>
    <s v="-"/>
    <s v="-"/>
    <n v="6"/>
    <n v="6"/>
    <s v="-"/>
    <n v="1"/>
    <n v="1"/>
    <n v="2"/>
    <n v="2"/>
    <n v="8"/>
    <n v="8"/>
  </r>
  <r>
    <x v="0"/>
    <x v="14"/>
    <d v="2026-01-16T00:00:00"/>
    <s v="3RD"/>
    <d v="1899-12-31T01:00:00"/>
    <n v="3"/>
    <x v="6"/>
    <n v="8.8999999999999999E-3"/>
    <s v="P"/>
    <s v="P"/>
    <s v="P"/>
    <s v="+"/>
    <s v="+"/>
    <n v="12.8"/>
    <s v="-"/>
    <s v="-"/>
    <s v="-"/>
    <s v="-"/>
    <s v="-"/>
    <s v="-"/>
    <s v="-"/>
    <s v="-"/>
    <s v="P"/>
    <s v="P"/>
    <s v="-"/>
    <n v="2"/>
    <n v="1"/>
    <n v="2"/>
    <n v="1"/>
    <s v="-"/>
    <s v="-"/>
    <s v="-"/>
    <s v="-"/>
    <s v="-"/>
    <s v="-"/>
    <s v="-"/>
    <n v="6"/>
    <n v="6"/>
    <s v="-"/>
    <n v="1"/>
    <n v="1"/>
    <n v="2"/>
    <n v="2"/>
    <n v="8"/>
    <n v="8"/>
  </r>
  <r>
    <x v="0"/>
    <x v="14"/>
    <d v="2026-01-16T00:00:00"/>
    <s v="3RD"/>
    <d v="1899-12-31T02:00:00"/>
    <n v="3"/>
    <x v="6"/>
    <n v="1.6799999999999999E-2"/>
    <s v="P"/>
    <s v="P"/>
    <s v="P"/>
    <s v="+"/>
    <s v="+"/>
    <n v="12.55"/>
    <s v="-"/>
    <s v="-"/>
    <s v="-"/>
    <s v="-"/>
    <s v="-"/>
    <s v="-"/>
    <s v="-"/>
    <s v="-"/>
    <s v="P"/>
    <s v="P"/>
    <s v="-"/>
    <n v="2"/>
    <n v="1"/>
    <n v="2"/>
    <n v="1"/>
    <s v="-"/>
    <s v="-"/>
    <s v="-"/>
    <s v="-"/>
    <s v="-"/>
    <s v="-"/>
    <s v="-"/>
    <n v="6"/>
    <n v="6"/>
    <s v="-"/>
    <n v="1"/>
    <n v="1"/>
    <n v="2"/>
    <n v="2"/>
    <n v="8"/>
    <n v="8"/>
  </r>
  <r>
    <x v="0"/>
    <x v="14"/>
    <d v="2026-01-16T00:00:00"/>
    <s v="3RD"/>
    <d v="1899-12-31T03:00:00"/>
    <n v="3"/>
    <x v="6"/>
    <n v="1.12E-2"/>
    <s v="P"/>
    <s v="P"/>
    <s v="P"/>
    <s v="+"/>
    <s v="+"/>
    <n v="12.67"/>
    <s v="-"/>
    <s v="-"/>
    <s v="-"/>
    <s v="-"/>
    <s v="-"/>
    <s v="-"/>
    <s v="-"/>
    <s v="-"/>
    <s v="P"/>
    <s v="P"/>
    <s v="-"/>
    <n v="2"/>
    <n v="1"/>
    <n v="2"/>
    <n v="1"/>
    <s v="-"/>
    <s v="-"/>
    <s v="-"/>
    <s v="-"/>
    <s v="-"/>
    <s v="-"/>
    <s v="-"/>
    <n v="6"/>
    <n v="6"/>
    <s v="-"/>
    <n v="1"/>
    <n v="1"/>
    <n v="2"/>
    <n v="2"/>
    <n v="8"/>
    <n v="8"/>
  </r>
  <r>
    <x v="0"/>
    <x v="14"/>
    <d v="2026-01-16T00:00:00"/>
    <s v="3RD"/>
    <d v="1899-12-31T04:00:00"/>
    <n v="3"/>
    <x v="6"/>
    <n v="1.09E-2"/>
    <s v="P"/>
    <s v="P"/>
    <s v="P"/>
    <s v="+"/>
    <s v="+"/>
    <n v="12.56"/>
    <s v="-"/>
    <s v="-"/>
    <s v="-"/>
    <s v="-"/>
    <s v="-"/>
    <s v="-"/>
    <s v="-"/>
    <s v="-"/>
    <s v="P"/>
    <s v="P"/>
    <s v="-"/>
    <n v="2"/>
    <n v="1"/>
    <n v="2"/>
    <n v="1"/>
    <s v="-"/>
    <s v="-"/>
    <s v="-"/>
    <s v="-"/>
    <s v="-"/>
    <s v="-"/>
    <s v="-"/>
    <n v="6"/>
    <n v="6"/>
    <s v="-"/>
    <n v="1"/>
    <n v="1"/>
    <n v="2"/>
    <n v="2"/>
    <n v="8"/>
    <n v="8"/>
  </r>
  <r>
    <x v="0"/>
    <x v="14"/>
    <d v="2026-01-16T00:00:00"/>
    <s v="3RD"/>
    <d v="1899-12-31T05:00:00"/>
    <n v="3"/>
    <x v="6"/>
    <n v="1.24E-2"/>
    <s v="P"/>
    <s v="P"/>
    <s v="P"/>
    <s v="+"/>
    <s v="+"/>
    <n v="12.51"/>
    <s v="-"/>
    <s v="-"/>
    <s v="-"/>
    <s v="-"/>
    <s v="-"/>
    <s v="-"/>
    <s v="-"/>
    <s v="-"/>
    <s v="P"/>
    <s v="P"/>
    <s v="-"/>
    <n v="2"/>
    <n v="1"/>
    <n v="2"/>
    <n v="1"/>
    <s v="-"/>
    <s v="-"/>
    <s v="-"/>
    <s v="-"/>
    <s v="-"/>
    <s v="-"/>
    <s v="-"/>
    <n v="6"/>
    <n v="6"/>
    <s v="-"/>
    <n v="1"/>
    <n v="1"/>
    <n v="2"/>
    <n v="2"/>
    <n v="8"/>
    <n v="8"/>
  </r>
  <r>
    <x v="0"/>
    <x v="14"/>
    <d v="2026-01-07T00:00:00"/>
    <s v="3RD"/>
    <d v="1899-12-30T04:00:00"/>
    <n v="2"/>
    <x v="2"/>
    <n v="3.0000000000000001E-3"/>
    <s v="P"/>
    <s v="P"/>
    <s v="P"/>
    <s v="-"/>
    <s v="+"/>
    <n v="11.06"/>
    <n v="8.61"/>
    <n v="0.46"/>
    <n v="55.4"/>
    <n v="9.3000000000000007"/>
    <n v="579"/>
    <n v="23.21"/>
    <s v="-"/>
    <s v="-"/>
    <s v="P"/>
    <s v="P"/>
    <s v="-"/>
    <n v="2"/>
    <n v="1"/>
    <n v="2"/>
    <n v="0"/>
    <n v="0"/>
    <n v="2"/>
    <n v="0"/>
    <n v="0"/>
    <n v="0"/>
    <n v="0"/>
    <s v="-"/>
    <n v="7"/>
    <n v="15"/>
    <s v="-"/>
    <n v="1"/>
    <n v="1"/>
    <n v="2"/>
    <n v="2"/>
    <n v="9"/>
    <n v="17"/>
  </r>
  <r>
    <x v="0"/>
    <x v="14"/>
    <d v="2026-01-14T00:00:00"/>
    <s v="3RD"/>
    <d v="1899-12-30T05:00:00"/>
    <n v="2"/>
    <x v="2"/>
    <n v="5.1999999999999998E-3"/>
    <s v="P"/>
    <s v="P"/>
    <s v="P"/>
    <s v="-"/>
    <s v="+"/>
    <n v="10.72"/>
    <s v="-"/>
    <s v="-"/>
    <s v="-"/>
    <s v="-"/>
    <s v="-"/>
    <s v="-"/>
    <s v="-"/>
    <s v="-"/>
    <s v="P"/>
    <s v="P"/>
    <s v="-"/>
    <n v="2"/>
    <n v="1"/>
    <n v="2"/>
    <n v="0"/>
    <s v="-"/>
    <s v="-"/>
    <s v="-"/>
    <s v="-"/>
    <s v="-"/>
    <s v="-"/>
    <s v="-"/>
    <n v="5"/>
    <n v="6"/>
    <s v="-"/>
    <n v="1"/>
    <n v="1"/>
    <n v="2"/>
    <n v="2"/>
    <n v="7"/>
    <n v="8"/>
  </r>
  <r>
    <x v="0"/>
    <x v="14"/>
    <d v="2026-01-06T00:00:00"/>
    <s v="1ST"/>
    <d v="1899-12-30T06:00:00"/>
    <n v="2"/>
    <x v="7"/>
    <n v="5.1999999999999998E-3"/>
    <s v="P"/>
    <s v="P"/>
    <s v="P"/>
    <s v="-"/>
    <s v="+"/>
    <n v="10.78"/>
    <n v="9.02"/>
    <n v="0.52"/>
    <n v="56"/>
    <s v="-"/>
    <s v="-"/>
    <n v="24.56"/>
    <s v="-"/>
    <s v="-"/>
    <s v="P"/>
    <s v="P"/>
    <s v="-"/>
    <n v="2"/>
    <n v="1"/>
    <n v="2"/>
    <n v="0"/>
    <n v="1"/>
    <n v="2"/>
    <n v="2"/>
    <s v="-"/>
    <s v="-"/>
    <n v="2"/>
    <s v="-"/>
    <n v="12"/>
    <n v="13"/>
    <s v="-"/>
    <n v="1"/>
    <n v="1"/>
    <n v="2"/>
    <n v="2"/>
    <n v="14"/>
    <n v="15"/>
  </r>
  <r>
    <x v="0"/>
    <x v="14"/>
    <d v="2026-01-06T00:00:00"/>
    <s v="1ST"/>
    <d v="1899-12-30T07:00:00"/>
    <n v="2"/>
    <x v="7"/>
    <n v="6.7999999999999996E-3"/>
    <s v="P"/>
    <s v="P"/>
    <s v="P"/>
    <s v="-"/>
    <s v="+"/>
    <n v="10.58"/>
    <s v="-"/>
    <s v="-"/>
    <s v="-"/>
    <s v="-"/>
    <s v="-"/>
    <s v="-"/>
    <s v="-"/>
    <s v="-"/>
    <s v="P"/>
    <s v="P"/>
    <s v="-"/>
    <n v="2"/>
    <n v="1"/>
    <n v="2"/>
    <n v="0"/>
    <s v="-"/>
    <s v="-"/>
    <s v="-"/>
    <s v="-"/>
    <s v="-"/>
    <s v="-"/>
    <s v="-"/>
    <n v="5"/>
    <n v="6"/>
    <s v="-"/>
    <n v="1"/>
    <n v="1"/>
    <n v="2"/>
    <n v="2"/>
    <n v="7"/>
    <n v="8"/>
  </r>
  <r>
    <x v="0"/>
    <x v="14"/>
    <d v="2026-01-06T00:00:00"/>
    <s v="1ST"/>
    <d v="1899-12-30T09:00:00"/>
    <n v="2"/>
    <x v="7"/>
    <n v="1.14E-2"/>
    <s v="P"/>
    <s v="P"/>
    <s v="P"/>
    <s v="-"/>
    <s v="+"/>
    <n v="10.81"/>
    <s v="-"/>
    <s v="-"/>
    <s v="-"/>
    <s v="-"/>
    <s v="-"/>
    <s v="-"/>
    <s v="-"/>
    <s v="-"/>
    <s v="P"/>
    <s v="P"/>
    <s v="-"/>
    <n v="2"/>
    <n v="1"/>
    <n v="2"/>
    <n v="0"/>
    <s v="-"/>
    <s v="-"/>
    <s v="-"/>
    <s v="-"/>
    <s v="-"/>
    <s v="-"/>
    <s v="-"/>
    <n v="5"/>
    <n v="6"/>
    <s v="-"/>
    <n v="1"/>
    <n v="1"/>
    <n v="2"/>
    <n v="2"/>
    <n v="7"/>
    <n v="8"/>
  </r>
  <r>
    <x v="0"/>
    <x v="14"/>
    <d v="2026-01-06T00:00:00"/>
    <s v="1ST"/>
    <d v="1899-12-30T10:00:00"/>
    <n v="2"/>
    <x v="7"/>
    <n v="4.1999999999999997E-3"/>
    <s v="P"/>
    <s v="P"/>
    <s v="P"/>
    <s v="-"/>
    <s v="+"/>
    <n v="10.83"/>
    <s v="-"/>
    <s v="-"/>
    <s v="-"/>
    <s v="-"/>
    <s v="-"/>
    <s v="-"/>
    <s v="-"/>
    <s v="-"/>
    <s v="P"/>
    <s v="P"/>
    <s v="-"/>
    <n v="2"/>
    <n v="1"/>
    <n v="2"/>
    <n v="0"/>
    <s v="-"/>
    <s v="-"/>
    <s v="-"/>
    <s v="-"/>
    <s v="-"/>
    <s v="-"/>
    <s v="-"/>
    <n v="5"/>
    <n v="6"/>
    <s v="-"/>
    <n v="1"/>
    <n v="1"/>
    <n v="2"/>
    <n v="2"/>
    <n v="7"/>
    <n v="8"/>
  </r>
  <r>
    <x v="0"/>
    <x v="14"/>
    <d v="2026-01-06T00:00:00"/>
    <s v="1ST"/>
    <d v="1899-12-30T11:00:00"/>
    <n v="2"/>
    <x v="7"/>
    <n v="4.4999999999999997E-3"/>
    <s v="P"/>
    <s v="P"/>
    <s v="P"/>
    <s v="-"/>
    <s v="+"/>
    <n v="10.75"/>
    <s v="-"/>
    <s v="-"/>
    <s v="-"/>
    <s v="-"/>
    <s v="-"/>
    <s v="-"/>
    <s v="-"/>
    <s v="-"/>
    <s v="P"/>
    <s v="P"/>
    <s v="-"/>
    <n v="2"/>
    <n v="1"/>
    <n v="2"/>
    <n v="0"/>
    <s v="-"/>
    <s v="-"/>
    <s v="-"/>
    <s v="-"/>
    <s v="-"/>
    <s v="-"/>
    <s v="-"/>
    <n v="5"/>
    <n v="6"/>
    <s v="-"/>
    <n v="1"/>
    <n v="1"/>
    <n v="2"/>
    <n v="2"/>
    <n v="7"/>
    <n v="8"/>
  </r>
  <r>
    <x v="0"/>
    <x v="14"/>
    <d v="2026-01-06T00:00:00"/>
    <s v="1ST"/>
    <d v="1899-12-30T12:00:00"/>
    <n v="2"/>
    <x v="7"/>
    <n v="7.9000000000000008E-3"/>
    <s v="P"/>
    <s v="P"/>
    <s v="P"/>
    <s v="-"/>
    <s v="+"/>
    <n v="10.62"/>
    <s v="-"/>
    <s v="-"/>
    <s v="-"/>
    <s v="-"/>
    <s v="-"/>
    <s v="-"/>
    <s v="-"/>
    <n v="25.18"/>
    <s v="P"/>
    <s v="P"/>
    <s v="-"/>
    <n v="2"/>
    <n v="1"/>
    <n v="2"/>
    <n v="0"/>
    <s v="-"/>
    <s v="-"/>
    <s v="-"/>
    <s v="-"/>
    <s v="-"/>
    <s v="-"/>
    <s v="-"/>
    <n v="5"/>
    <n v="6"/>
    <n v="1"/>
    <n v="1"/>
    <n v="1"/>
    <n v="3"/>
    <n v="3"/>
    <n v="8"/>
    <n v="9"/>
  </r>
  <r>
    <x v="0"/>
    <x v="14"/>
    <d v="2026-01-06T00:00:00"/>
    <s v="2ND"/>
    <d v="1899-12-30T14:00:00"/>
    <n v="2"/>
    <x v="7"/>
    <n v="2.5000000000000001E-3"/>
    <s v="P"/>
    <s v="P"/>
    <s v="P"/>
    <s v="-"/>
    <s v="+"/>
    <n v="10.78"/>
    <s v="-"/>
    <s v="-"/>
    <s v="-"/>
    <s v="-"/>
    <s v="-"/>
    <s v="-"/>
    <s v="-"/>
    <s v="-"/>
    <s v="P"/>
    <s v="P"/>
    <s v="-"/>
    <n v="2"/>
    <n v="1"/>
    <n v="2"/>
    <n v="0"/>
    <s v="-"/>
    <s v="-"/>
    <s v="-"/>
    <s v="-"/>
    <s v="-"/>
    <s v="-"/>
    <s v="-"/>
    <n v="5"/>
    <n v="6"/>
    <s v="-"/>
    <n v="1"/>
    <n v="1"/>
    <n v="2"/>
    <n v="2"/>
    <n v="7"/>
    <n v="8"/>
  </r>
  <r>
    <x v="0"/>
    <x v="14"/>
    <d v="2026-01-06T00:00:00"/>
    <s v="2ND"/>
    <d v="1899-12-30T15:00:00"/>
    <n v="2"/>
    <x v="7"/>
    <n v="2.8999999999999998E-3"/>
    <s v="P"/>
    <s v="P"/>
    <s v="P"/>
    <s v="-"/>
    <s v="+"/>
    <n v="10.64"/>
    <s v="-"/>
    <s v="-"/>
    <s v="-"/>
    <s v="-"/>
    <s v="-"/>
    <s v="-"/>
    <s v="-"/>
    <s v="-"/>
    <s v="P"/>
    <s v="P"/>
    <s v="-"/>
    <n v="2"/>
    <n v="1"/>
    <n v="2"/>
    <n v="0"/>
    <s v="-"/>
    <s v="-"/>
    <s v="-"/>
    <s v="-"/>
    <s v="-"/>
    <s v="-"/>
    <s v="-"/>
    <n v="5"/>
    <n v="6"/>
    <s v="-"/>
    <n v="1"/>
    <n v="1"/>
    <n v="2"/>
    <n v="2"/>
    <n v="7"/>
    <n v="8"/>
  </r>
  <r>
    <x v="0"/>
    <x v="14"/>
    <d v="2026-01-16T00:00:00"/>
    <s v="2ND"/>
    <d v="1899-12-30T15:00:00"/>
    <n v="3"/>
    <x v="0"/>
    <n v="6.1000000000000004E-3"/>
    <s v="P"/>
    <s v="P"/>
    <s v="P"/>
    <s v="+"/>
    <s v="+"/>
    <n v="12.93"/>
    <s v="-"/>
    <s v="-"/>
    <s v="-"/>
    <s v="-"/>
    <s v="-"/>
    <s v="-"/>
    <s v="-"/>
    <s v="-"/>
    <s v="P"/>
    <s v="P"/>
    <s v="-"/>
    <n v="2"/>
    <n v="1"/>
    <n v="2"/>
    <n v="1"/>
    <s v="-"/>
    <s v="-"/>
    <s v="-"/>
    <s v="-"/>
    <s v="-"/>
    <s v="-"/>
    <s v="-"/>
    <n v="6"/>
    <n v="6"/>
    <s v="-"/>
    <n v="1"/>
    <n v="1"/>
    <n v="2"/>
    <n v="2"/>
    <n v="8"/>
    <n v="8"/>
  </r>
  <r>
    <x v="0"/>
    <x v="14"/>
    <d v="2026-01-16T00:00:00"/>
    <s v="1ST"/>
    <s v="06:00"/>
    <n v="3"/>
    <x v="1"/>
    <n v="9.1000000000000004E-3"/>
    <s v="P"/>
    <s v="P"/>
    <s v="P"/>
    <s v="+"/>
    <s v="+"/>
    <n v="12.81"/>
    <n v="12.72"/>
    <n v="0.48"/>
    <n v="64"/>
    <s v="-"/>
    <s v="-"/>
    <n v="35.6"/>
    <s v="-"/>
    <s v="-"/>
    <s v="P"/>
    <s v="P"/>
    <s v="-"/>
    <n v="2"/>
    <n v="1"/>
    <n v="2"/>
    <n v="1"/>
    <n v="1"/>
    <n v="2"/>
    <n v="2"/>
    <s v="-"/>
    <s v="-"/>
    <n v="2"/>
    <s v="-"/>
    <n v="13"/>
    <n v="13"/>
    <s v="-"/>
    <n v="1"/>
    <n v="1"/>
    <n v="2"/>
    <n v="2"/>
    <n v="15"/>
    <n v="15"/>
  </r>
  <r>
    <x v="0"/>
    <x v="14"/>
    <d v="2026-01-16T00:00:00"/>
    <s v="1ST"/>
    <s v="07:00"/>
    <n v="3"/>
    <x v="1"/>
    <n v="5.5999999999999999E-3"/>
    <s v="P"/>
    <s v="P"/>
    <s v="P"/>
    <s v="+"/>
    <s v="+"/>
    <n v="11.98"/>
    <s v="-"/>
    <s v="-"/>
    <s v="-"/>
    <s v="-"/>
    <s v="-"/>
    <s v="-"/>
    <s v="-"/>
    <s v="-"/>
    <s v="P"/>
    <s v="P"/>
    <s v="-"/>
    <n v="2"/>
    <n v="1"/>
    <n v="2"/>
    <n v="0"/>
    <s v="-"/>
    <s v="-"/>
    <s v="-"/>
    <s v="-"/>
    <s v="-"/>
    <s v="-"/>
    <s v="-"/>
    <n v="5"/>
    <n v="6"/>
    <s v="-"/>
    <n v="1"/>
    <n v="1"/>
    <n v="2"/>
    <n v="2"/>
    <n v="7"/>
    <n v="8"/>
  </r>
  <r>
    <x v="0"/>
    <x v="14"/>
    <d v="2026-01-16T00:00:00"/>
    <s v="1ST"/>
    <s v="08:00"/>
    <n v="3"/>
    <x v="1"/>
    <n v="1.35E-2"/>
    <s v="P"/>
    <s v="P"/>
    <s v="P"/>
    <s v="+"/>
    <s v="+"/>
    <n v="12.45"/>
    <s v="-"/>
    <s v="-"/>
    <s v="-"/>
    <s v="-"/>
    <s v="-"/>
    <s v="-"/>
    <s v="-"/>
    <s v="-"/>
    <s v="P"/>
    <s v="P"/>
    <s v="-"/>
    <n v="2"/>
    <n v="1"/>
    <n v="2"/>
    <n v="1"/>
    <s v="-"/>
    <s v="-"/>
    <s v="-"/>
    <s v="-"/>
    <s v="-"/>
    <s v="-"/>
    <s v="-"/>
    <n v="6"/>
    <n v="6"/>
    <s v="-"/>
    <n v="1"/>
    <n v="1"/>
    <n v="2"/>
    <n v="2"/>
    <n v="8"/>
    <n v="8"/>
  </r>
  <r>
    <x v="0"/>
    <x v="14"/>
    <d v="2026-01-16T00:00:00"/>
    <s v="1ST"/>
    <s v="09:00"/>
    <n v="3"/>
    <x v="1"/>
    <n v="1.4200000000000001E-2"/>
    <s v="P"/>
    <s v="P"/>
    <s v="P"/>
    <s v="+"/>
    <s v="+"/>
    <n v="12.29"/>
    <s v="-"/>
    <s v="-"/>
    <s v="-"/>
    <s v="-"/>
    <s v="-"/>
    <s v="-"/>
    <s v="-"/>
    <s v="-"/>
    <s v="P"/>
    <s v="P"/>
    <s v="-"/>
    <n v="2"/>
    <n v="1"/>
    <n v="2"/>
    <n v="1"/>
    <s v="-"/>
    <s v="-"/>
    <s v="-"/>
    <s v="-"/>
    <s v="-"/>
    <s v="-"/>
    <s v="-"/>
    <n v="6"/>
    <n v="6"/>
    <s v="-"/>
    <n v="1"/>
    <n v="1"/>
    <n v="2"/>
    <n v="2"/>
    <n v="8"/>
    <n v="8"/>
  </r>
  <r>
    <x v="0"/>
    <x v="14"/>
    <d v="2026-01-16T00:00:00"/>
    <s v="1ST"/>
    <s v="10:00"/>
    <n v="3"/>
    <x v="1"/>
    <n v="4.7000000000000002E-3"/>
    <s v="P"/>
    <s v="P"/>
    <s v="P"/>
    <s v="+"/>
    <s v="+"/>
    <n v="12.13"/>
    <s v="-"/>
    <s v="-"/>
    <s v="-"/>
    <s v="-"/>
    <s v="-"/>
    <s v="-"/>
    <s v="-"/>
    <s v="-"/>
    <s v="P"/>
    <s v="P"/>
    <s v="-"/>
    <n v="2"/>
    <n v="1"/>
    <n v="2"/>
    <n v="1"/>
    <s v="-"/>
    <s v="-"/>
    <s v="-"/>
    <s v="-"/>
    <s v="-"/>
    <s v="-"/>
    <s v="-"/>
    <n v="6"/>
    <n v="6"/>
    <s v="-"/>
    <n v="1"/>
    <n v="1"/>
    <n v="2"/>
    <n v="2"/>
    <n v="8"/>
    <n v="8"/>
  </r>
  <r>
    <x v="0"/>
    <x v="14"/>
    <d v="2026-01-16T00:00:00"/>
    <s v="1ST"/>
    <s v="11:00"/>
    <n v="3"/>
    <x v="1"/>
    <n v="7.3000000000000001E-3"/>
    <s v="P"/>
    <s v="P"/>
    <s v="P"/>
    <s v="+"/>
    <s v="+"/>
    <n v="12.64"/>
    <s v="-"/>
    <s v="-"/>
    <s v="-"/>
    <s v="-"/>
    <s v="-"/>
    <s v="-"/>
    <s v="-"/>
    <n v="25.16"/>
    <s v="P"/>
    <s v="P"/>
    <s v="-"/>
    <n v="2"/>
    <n v="1"/>
    <n v="2"/>
    <n v="1"/>
    <s v="-"/>
    <s v="-"/>
    <s v="-"/>
    <s v="-"/>
    <s v="-"/>
    <s v="-"/>
    <s v="-"/>
    <n v="6"/>
    <n v="6"/>
    <n v="1"/>
    <n v="1"/>
    <n v="1"/>
    <n v="3"/>
    <n v="3"/>
    <n v="9"/>
    <n v="9"/>
  </r>
  <r>
    <x v="0"/>
    <x v="14"/>
    <d v="2026-01-19T00:00:00"/>
    <s v="1ST"/>
    <d v="1899-12-30T07:00:00"/>
    <n v="1"/>
    <x v="20"/>
    <n v="4.1000000000000003E-3"/>
    <s v="P"/>
    <s v="P"/>
    <s v="P"/>
    <s v="-"/>
    <s v="-"/>
    <n v="11.92"/>
    <n v="9.02"/>
    <n v="0.52"/>
    <n v="56"/>
    <n v="20"/>
    <n v="483"/>
    <n v="24.56"/>
    <s v="-"/>
    <s v="-"/>
    <s v="P"/>
    <s v="P"/>
    <s v="-"/>
    <n v="2"/>
    <n v="1"/>
    <n v="2"/>
    <n v="1"/>
    <n v="0"/>
    <n v="2"/>
    <n v="0"/>
    <s v="-"/>
    <s v="-"/>
    <n v="0"/>
    <s v="-"/>
    <n v="8"/>
    <n v="13"/>
    <s v="-"/>
    <n v="1"/>
    <n v="1"/>
    <n v="2"/>
    <n v="2"/>
    <n v="10"/>
    <n v="15"/>
  </r>
  <r>
    <x v="0"/>
    <x v="14"/>
    <d v="2026-01-19T00:00:00"/>
    <s v="1ST"/>
    <d v="1899-12-30T08:00:00"/>
    <n v="1"/>
    <x v="20"/>
    <n v="4.1999999999999997E-3"/>
    <s v="P"/>
    <s v="P"/>
    <s v="P"/>
    <s v="-"/>
    <s v="-"/>
    <n v="12.25"/>
    <s v="-"/>
    <s v="-"/>
    <s v="-"/>
    <s v="-"/>
    <s v="-"/>
    <s v="-"/>
    <s v="-"/>
    <s v="-"/>
    <s v="P"/>
    <s v="P"/>
    <s v="-"/>
    <n v="2"/>
    <n v="1"/>
    <n v="2"/>
    <n v="1"/>
    <s v="-"/>
    <s v="-"/>
    <s v="-"/>
    <s v="-"/>
    <s v="-"/>
    <s v="-"/>
    <s v="-"/>
    <n v="6"/>
    <n v="6"/>
    <s v="-"/>
    <n v="1"/>
    <n v="1"/>
    <n v="2"/>
    <n v="2"/>
    <n v="8"/>
    <n v="8"/>
  </r>
  <r>
    <x v="0"/>
    <x v="14"/>
    <d v="2026-01-19T00:00:00"/>
    <s v="1ST"/>
    <d v="1899-12-30T09:00:00"/>
    <n v="1"/>
    <x v="20"/>
    <n v="5.0000000000000001E-3"/>
    <s v="P"/>
    <s v="P"/>
    <s v="P"/>
    <s v="-"/>
    <s v="-"/>
    <n v="12.19"/>
    <s v="-"/>
    <s v="-"/>
    <s v="-"/>
    <s v="-"/>
    <s v="-"/>
    <s v="-"/>
    <s v="-"/>
    <s v="-"/>
    <s v="P"/>
    <s v="P"/>
    <s v="-"/>
    <n v="2"/>
    <n v="1"/>
    <n v="2"/>
    <n v="1"/>
    <s v="-"/>
    <s v="-"/>
    <s v="-"/>
    <s v="-"/>
    <s v="-"/>
    <s v="-"/>
    <s v="-"/>
    <n v="6"/>
    <n v="6"/>
    <s v="-"/>
    <n v="1"/>
    <n v="1"/>
    <n v="2"/>
    <n v="2"/>
    <n v="8"/>
    <n v="8"/>
  </r>
  <r>
    <x v="0"/>
    <x v="14"/>
    <d v="2026-01-19T00:00:00"/>
    <s v="1ST"/>
    <d v="1899-12-30T10:00:00"/>
    <n v="1"/>
    <x v="20"/>
    <n v="5.7000000000000002E-3"/>
    <s v="P"/>
    <s v="P"/>
    <s v="P"/>
    <s v="-"/>
    <s v="-"/>
    <n v="12.9"/>
    <s v="-"/>
    <s v="-"/>
    <s v="-"/>
    <s v="-"/>
    <s v="-"/>
    <s v="-"/>
    <s v="-"/>
    <s v="-"/>
    <s v="P"/>
    <s v="P"/>
    <s v="-"/>
    <n v="2"/>
    <n v="1"/>
    <n v="2"/>
    <n v="1"/>
    <s v="-"/>
    <s v="-"/>
    <s v="-"/>
    <s v="-"/>
    <s v="-"/>
    <s v="-"/>
    <s v="-"/>
    <n v="6"/>
    <n v="6"/>
    <s v="-"/>
    <n v="1"/>
    <n v="1"/>
    <n v="2"/>
    <n v="2"/>
    <n v="8"/>
    <n v="8"/>
  </r>
  <r>
    <x v="0"/>
    <x v="14"/>
    <d v="2026-01-19T00:00:00"/>
    <s v="1ST"/>
    <d v="1899-12-30T11:00:00"/>
    <n v="1"/>
    <x v="20"/>
    <n v="6.3E-3"/>
    <s v="P"/>
    <s v="P"/>
    <s v="P"/>
    <s v="-"/>
    <s v="-"/>
    <n v="12.95"/>
    <s v="-"/>
    <s v="-"/>
    <s v="-"/>
    <s v="-"/>
    <s v="-"/>
    <s v="-"/>
    <s v="-"/>
    <s v="-"/>
    <s v="P"/>
    <s v="P"/>
    <s v="-"/>
    <n v="2"/>
    <n v="1"/>
    <n v="2"/>
    <n v="1"/>
    <s v="-"/>
    <s v="-"/>
    <s v="-"/>
    <s v="-"/>
    <s v="-"/>
    <s v="-"/>
    <s v="-"/>
    <n v="6"/>
    <n v="6"/>
    <s v="-"/>
    <n v="1"/>
    <n v="1"/>
    <n v="2"/>
    <n v="2"/>
    <n v="8"/>
    <n v="8"/>
  </r>
  <r>
    <x v="0"/>
    <x v="14"/>
    <d v="2026-01-19T00:00:00"/>
    <s v="1ST"/>
    <d v="1899-12-30T12:00:00"/>
    <n v="1"/>
    <x v="20"/>
    <n v="4.1000000000000003E-3"/>
    <s v="P"/>
    <s v="P"/>
    <s v="P"/>
    <s v="-"/>
    <s v="-"/>
    <n v="13.12"/>
    <s v="-"/>
    <s v="-"/>
    <s v="-"/>
    <s v="-"/>
    <s v="-"/>
    <s v="-"/>
    <s v="-"/>
    <n v="25.21"/>
    <s v="P"/>
    <s v="P"/>
    <s v="-"/>
    <n v="2"/>
    <n v="1"/>
    <n v="2"/>
    <n v="1"/>
    <s v="-"/>
    <s v="-"/>
    <s v="-"/>
    <s v="-"/>
    <s v="-"/>
    <s v="-"/>
    <s v="-"/>
    <n v="6"/>
    <n v="6"/>
    <n v="1"/>
    <n v="1"/>
    <n v="1"/>
    <n v="3"/>
    <n v="3"/>
    <n v="9"/>
    <n v="9"/>
  </r>
  <r>
    <x v="0"/>
    <x v="14"/>
    <d v="2026-01-19T00:00:00"/>
    <s v="2ND"/>
    <d v="1899-12-30T14:00:00"/>
    <n v="1"/>
    <x v="20"/>
    <n v="5.8999999999999999E-3"/>
    <s v="P"/>
    <s v="P"/>
    <s v="P"/>
    <s v="-"/>
    <s v="-"/>
    <n v="13.23"/>
    <n v="12.77"/>
    <n v="0.43"/>
    <s v="-"/>
    <s v="-"/>
    <s v="-"/>
    <n v="35.5"/>
    <s v="-"/>
    <s v="-"/>
    <s v="P"/>
    <s v="P"/>
    <s v="-"/>
    <n v="2"/>
    <n v="1"/>
    <n v="2"/>
    <n v="1"/>
    <n v="1"/>
    <n v="0"/>
    <s v="-"/>
    <s v="-"/>
    <s v="-"/>
    <n v="2"/>
    <s v="-"/>
    <n v="9"/>
    <n v="11"/>
    <s v="-"/>
    <n v="1"/>
    <n v="1"/>
    <n v="2"/>
    <n v="2"/>
    <n v="11"/>
    <n v="13"/>
  </r>
  <r>
    <x v="0"/>
    <x v="14"/>
    <d v="2026-01-19T00:00:00"/>
    <s v="2ND"/>
    <d v="1899-12-30T15:00:00"/>
    <n v="1"/>
    <x v="20"/>
    <n v="5.5999999999999999E-3"/>
    <s v="P"/>
    <s v="P"/>
    <s v="P"/>
    <s v="-"/>
    <s v="-"/>
    <n v="13.17"/>
    <s v="-"/>
    <s v="-"/>
    <s v="-"/>
    <s v="-"/>
    <s v="-"/>
    <s v="-"/>
    <s v="-"/>
    <s v="-"/>
    <s v="P"/>
    <s v="P"/>
    <s v="-"/>
    <n v="2"/>
    <n v="1"/>
    <n v="2"/>
    <n v="1"/>
    <s v="-"/>
    <s v="-"/>
    <s v="-"/>
    <s v="-"/>
    <s v="-"/>
    <s v="-"/>
    <s v="-"/>
    <n v="6"/>
    <n v="6"/>
    <s v="-"/>
    <n v="1"/>
    <n v="1"/>
    <n v="2"/>
    <n v="2"/>
    <n v="8"/>
    <n v="8"/>
  </r>
  <r>
    <x v="0"/>
    <x v="14"/>
    <d v="2026-01-19T00:00:00"/>
    <s v="2ND"/>
    <d v="1899-12-30T16:00:00"/>
    <n v="1"/>
    <x v="20"/>
    <n v="5.7000000000000002E-3"/>
    <s v="P"/>
    <s v="P"/>
    <s v="P"/>
    <s v="-"/>
    <s v="-"/>
    <n v="13.33"/>
    <s v="-"/>
    <s v="-"/>
    <s v="-"/>
    <s v="-"/>
    <s v="-"/>
    <s v="-"/>
    <s v="-"/>
    <s v="-"/>
    <s v="P"/>
    <s v="P"/>
    <s v="-"/>
    <n v="2"/>
    <n v="1"/>
    <n v="2"/>
    <n v="1"/>
    <s v="-"/>
    <s v="-"/>
    <s v="-"/>
    <s v="-"/>
    <s v="-"/>
    <s v="-"/>
    <s v="-"/>
    <n v="6"/>
    <n v="6"/>
    <s v="-"/>
    <n v="1"/>
    <n v="1"/>
    <n v="2"/>
    <n v="2"/>
    <n v="8"/>
    <n v="8"/>
  </r>
  <r>
    <x v="0"/>
    <x v="14"/>
    <d v="2026-01-19T00:00:00"/>
    <s v="2ND"/>
    <d v="1899-12-30T17:00:00"/>
    <n v="1"/>
    <x v="20"/>
    <n v="6.0000000000000001E-3"/>
    <s v="P"/>
    <s v="P"/>
    <s v="P"/>
    <s v="-"/>
    <s v="-"/>
    <n v="12.94"/>
    <s v="-"/>
    <s v="-"/>
    <s v="-"/>
    <s v="-"/>
    <s v="-"/>
    <s v="-"/>
    <s v="-"/>
    <s v="-"/>
    <s v="P"/>
    <s v="P"/>
    <s v="-"/>
    <n v="2"/>
    <n v="1"/>
    <n v="2"/>
    <n v="1"/>
    <s v="-"/>
    <s v="-"/>
    <s v="-"/>
    <s v="-"/>
    <s v="-"/>
    <s v="-"/>
    <s v="-"/>
    <n v="6"/>
    <n v="6"/>
    <s v="-"/>
    <n v="1"/>
    <n v="1"/>
    <n v="2"/>
    <n v="2"/>
    <n v="8"/>
    <n v="8"/>
  </r>
  <r>
    <x v="0"/>
    <x v="14"/>
    <d v="2026-01-19T00:00:00"/>
    <s v="2ND"/>
    <d v="1899-12-30T18:00:00"/>
    <n v="1"/>
    <x v="20"/>
    <n v="2.7000000000000001E-3"/>
    <s v="P"/>
    <s v="P"/>
    <s v="P"/>
    <s v="-"/>
    <s v="-"/>
    <n v="13.01"/>
    <s v="-"/>
    <s v="-"/>
    <s v="-"/>
    <s v="-"/>
    <s v="-"/>
    <s v="-"/>
    <s v="-"/>
    <s v="-"/>
    <s v="P"/>
    <s v="P"/>
    <s v="-"/>
    <n v="2"/>
    <n v="1"/>
    <n v="2"/>
    <n v="1"/>
    <s v="-"/>
    <s v="-"/>
    <s v="-"/>
    <s v="-"/>
    <s v="-"/>
    <s v="-"/>
    <s v="-"/>
    <n v="6"/>
    <n v="6"/>
    <s v="-"/>
    <n v="1"/>
    <n v="1"/>
    <n v="2"/>
    <n v="2"/>
    <n v="8"/>
    <n v="8"/>
  </r>
  <r>
    <x v="0"/>
    <x v="14"/>
    <d v="2026-01-19T00:00:00"/>
    <s v="2ND"/>
    <d v="1899-12-30T19:00:00"/>
    <n v="1"/>
    <x v="20"/>
    <n v="3.3E-3"/>
    <s v="P"/>
    <s v="P"/>
    <s v="P"/>
    <s v="-"/>
    <s v="-"/>
    <n v="12.92"/>
    <s v="-"/>
    <s v="-"/>
    <s v="-"/>
    <s v="-"/>
    <s v="-"/>
    <s v="-"/>
    <s v="-"/>
    <s v="-"/>
    <s v="P"/>
    <s v="P"/>
    <s v="-"/>
    <n v="2"/>
    <n v="1"/>
    <n v="2"/>
    <n v="1"/>
    <s v="-"/>
    <s v="-"/>
    <s v="-"/>
    <s v="-"/>
    <s v="-"/>
    <s v="-"/>
    <s v="-"/>
    <n v="6"/>
    <n v="6"/>
    <s v="-"/>
    <n v="1"/>
    <n v="1"/>
    <n v="2"/>
    <n v="2"/>
    <n v="8"/>
    <n v="8"/>
  </r>
  <r>
    <x v="0"/>
    <x v="14"/>
    <d v="2026-01-19T00:00:00"/>
    <s v="2ND"/>
    <d v="1899-12-30T20:00:00"/>
    <n v="1"/>
    <x v="20"/>
    <n v="5.8999999999999999E-3"/>
    <s v="P"/>
    <s v="P"/>
    <s v="P"/>
    <s v="-"/>
    <s v="-"/>
    <n v="13.04"/>
    <s v="-"/>
    <s v="-"/>
    <s v="-"/>
    <s v="-"/>
    <s v="-"/>
    <s v="-"/>
    <s v="-"/>
    <s v="-"/>
    <s v="P"/>
    <s v="P"/>
    <s v="-"/>
    <n v="2"/>
    <n v="1"/>
    <n v="2"/>
    <n v="1"/>
    <s v="-"/>
    <s v="-"/>
    <s v="-"/>
    <s v="-"/>
    <s v="-"/>
    <s v="-"/>
    <s v="-"/>
    <n v="6"/>
    <n v="6"/>
    <s v="-"/>
    <n v="1"/>
    <n v="1"/>
    <n v="2"/>
    <n v="2"/>
    <n v="8"/>
    <n v="8"/>
  </r>
  <r>
    <x v="0"/>
    <x v="14"/>
    <d v="2026-01-19T00:00:00"/>
    <s v="3RD"/>
    <d v="1899-12-30T22:00:00"/>
    <n v="1"/>
    <x v="20"/>
    <n v="1.1299999999999999E-2"/>
    <s v="P"/>
    <s v="P"/>
    <s v="P"/>
    <s v="-"/>
    <s v="-"/>
    <n v="13.13"/>
    <n v="12.46"/>
    <n v="0.44"/>
    <s v="-"/>
    <s v="-"/>
    <s v="-"/>
    <n v="34.6"/>
    <s v="-"/>
    <s v="-"/>
    <s v="P"/>
    <s v="P"/>
    <s v="-"/>
    <n v="2"/>
    <n v="1"/>
    <n v="2"/>
    <n v="1"/>
    <n v="1"/>
    <n v="0"/>
    <s v="-"/>
    <s v="-"/>
    <s v="-"/>
    <n v="2"/>
    <s v="-"/>
    <n v="9"/>
    <n v="11"/>
    <s v="-"/>
    <n v="1"/>
    <n v="1"/>
    <n v="2"/>
    <n v="2"/>
    <n v="11"/>
    <n v="13"/>
  </r>
  <r>
    <x v="0"/>
    <x v="14"/>
    <d v="2026-01-19T00:00:00"/>
    <s v="3RD"/>
    <d v="1899-12-30T23:00:00"/>
    <n v="1"/>
    <x v="20"/>
    <n v="5.3E-3"/>
    <s v="P"/>
    <s v="P"/>
    <s v="P"/>
    <s v="-"/>
    <s v="-"/>
    <n v="13.24"/>
    <s v="-"/>
    <s v="-"/>
    <s v="-"/>
    <s v="-"/>
    <s v="-"/>
    <s v="-"/>
    <s v="-"/>
    <s v="-"/>
    <s v="P"/>
    <s v="P"/>
    <s v="-"/>
    <n v="2"/>
    <n v="1"/>
    <n v="2"/>
    <n v="1"/>
    <s v="-"/>
    <s v="-"/>
    <s v="-"/>
    <s v="-"/>
    <s v="-"/>
    <s v="-"/>
    <s v="-"/>
    <n v="6"/>
    <n v="6"/>
    <s v="-"/>
    <n v="1"/>
    <n v="1"/>
    <n v="2"/>
    <n v="2"/>
    <n v="8"/>
    <n v="8"/>
  </r>
  <r>
    <x v="0"/>
    <x v="14"/>
    <d v="2026-01-19T00:00:00"/>
    <s v="3RD"/>
    <d v="1899-12-30T00:00:00"/>
    <n v="1"/>
    <x v="20"/>
    <n v="1.1900000000000001E-2"/>
    <s v="P"/>
    <s v="P"/>
    <s v="P"/>
    <s v="-"/>
    <s v="-"/>
    <n v="13.19"/>
    <s v="-"/>
    <s v="-"/>
    <s v="-"/>
    <s v="-"/>
    <s v="-"/>
    <s v="-"/>
    <s v="-"/>
    <s v="-"/>
    <s v="P"/>
    <s v="P"/>
    <s v="-"/>
    <n v="2"/>
    <n v="1"/>
    <n v="2"/>
    <n v="1"/>
    <s v="-"/>
    <s v="-"/>
    <s v="-"/>
    <s v="-"/>
    <s v="-"/>
    <s v="-"/>
    <s v="-"/>
    <n v="6"/>
    <n v="6"/>
    <s v="-"/>
    <n v="1"/>
    <n v="1"/>
    <n v="2"/>
    <n v="2"/>
    <n v="8"/>
    <n v="8"/>
  </r>
  <r>
    <x v="0"/>
    <x v="14"/>
    <d v="2026-01-19T00:00:00"/>
    <s v="3RD"/>
    <d v="1899-12-30T01:00:00"/>
    <n v="1"/>
    <x v="20"/>
    <n v="9.1999999999999998E-3"/>
    <s v="P"/>
    <s v="P"/>
    <s v="P"/>
    <s v="-"/>
    <s v="-"/>
    <n v="12.99"/>
    <s v="-"/>
    <s v="-"/>
    <s v="-"/>
    <s v="-"/>
    <s v="-"/>
    <s v="-"/>
    <s v="-"/>
    <s v="-"/>
    <s v="P"/>
    <s v="P"/>
    <s v="-"/>
    <n v="2"/>
    <n v="1"/>
    <n v="2"/>
    <n v="1"/>
    <s v="-"/>
    <s v="-"/>
    <s v="-"/>
    <s v="-"/>
    <s v="-"/>
    <s v="-"/>
    <s v="-"/>
    <n v="6"/>
    <n v="6"/>
    <s v="-"/>
    <n v="1"/>
    <n v="1"/>
    <n v="2"/>
    <n v="2"/>
    <n v="8"/>
    <n v="8"/>
  </r>
  <r>
    <x v="0"/>
    <x v="14"/>
    <d v="2026-01-19T00:00:00"/>
    <s v="3RD"/>
    <d v="1899-12-30T02:00:00"/>
    <n v="1"/>
    <x v="20"/>
    <n v="8.8000000000000005E-3"/>
    <s v="P"/>
    <s v="P"/>
    <s v="P"/>
    <s v="-"/>
    <s v="-"/>
    <n v="13.09"/>
    <s v="-"/>
    <s v="-"/>
    <s v="-"/>
    <s v="-"/>
    <s v="-"/>
    <s v="-"/>
    <s v="-"/>
    <s v="-"/>
    <s v="P"/>
    <s v="P"/>
    <s v="-"/>
    <n v="2"/>
    <n v="1"/>
    <n v="2"/>
    <n v="1"/>
    <s v="-"/>
    <s v="-"/>
    <s v="-"/>
    <s v="-"/>
    <s v="-"/>
    <s v="-"/>
    <s v="-"/>
    <n v="6"/>
    <n v="6"/>
    <s v="-"/>
    <n v="1"/>
    <n v="1"/>
    <n v="2"/>
    <n v="2"/>
    <n v="8"/>
    <n v="8"/>
  </r>
  <r>
    <x v="0"/>
    <x v="14"/>
    <d v="2026-01-19T00:00:00"/>
    <s v="3RD"/>
    <d v="1899-12-30T03:00:00"/>
    <n v="1"/>
    <x v="20"/>
    <n v="1.83E-2"/>
    <s v="P"/>
    <s v="P"/>
    <s v="P"/>
    <s v="-"/>
    <s v="-"/>
    <n v="13.07"/>
    <s v="-"/>
    <s v="-"/>
    <s v="-"/>
    <s v="-"/>
    <s v="-"/>
    <s v="-"/>
    <s v="-"/>
    <s v="-"/>
    <s v="P"/>
    <s v="P"/>
    <s v="-"/>
    <n v="2"/>
    <n v="1"/>
    <n v="2"/>
    <n v="1"/>
    <s v="-"/>
    <s v="-"/>
    <s v="-"/>
    <s v="-"/>
    <s v="-"/>
    <s v="-"/>
    <s v="-"/>
    <n v="6"/>
    <n v="6"/>
    <s v="-"/>
    <n v="1"/>
    <n v="1"/>
    <n v="2"/>
    <n v="2"/>
    <n v="8"/>
    <n v="8"/>
  </r>
  <r>
    <x v="0"/>
    <x v="14"/>
    <d v="2026-01-19T00:00:00"/>
    <s v="3RD"/>
    <d v="1899-12-30T04:00:00"/>
    <n v="1"/>
    <x v="20"/>
    <n v="9.1000000000000004E-3"/>
    <s v="P"/>
    <s v="P"/>
    <s v="P"/>
    <s v="-"/>
    <s v="-"/>
    <n v="13.09"/>
    <s v="-"/>
    <s v="-"/>
    <s v="-"/>
    <s v="-"/>
    <s v="-"/>
    <s v="-"/>
    <s v="-"/>
    <s v="-"/>
    <s v="P"/>
    <s v="P"/>
    <s v="-"/>
    <n v="2"/>
    <n v="1"/>
    <n v="2"/>
    <n v="1"/>
    <s v="-"/>
    <s v="-"/>
    <s v="-"/>
    <s v="-"/>
    <s v="-"/>
    <s v="-"/>
    <s v="-"/>
    <n v="6"/>
    <n v="6"/>
    <s v="-"/>
    <n v="1"/>
    <n v="1"/>
    <n v="2"/>
    <n v="2"/>
    <n v="8"/>
    <n v="8"/>
  </r>
  <r>
    <x v="0"/>
    <x v="14"/>
    <d v="2026-01-19T00:00:00"/>
    <s v="3RD"/>
    <d v="1899-12-30T05:00:00"/>
    <n v="1"/>
    <x v="20"/>
    <n v="7.9000000000000008E-3"/>
    <s v="P"/>
    <s v="P"/>
    <s v="P"/>
    <s v="-"/>
    <s v="-"/>
    <n v="13.22"/>
    <s v="-"/>
    <s v="-"/>
    <s v="-"/>
    <s v="-"/>
    <s v="-"/>
    <s v="-"/>
    <s v="-"/>
    <s v="-"/>
    <s v="P"/>
    <s v="P"/>
    <s v="-"/>
    <n v="2"/>
    <n v="1"/>
    <n v="2"/>
    <n v="1"/>
    <s v="-"/>
    <s v="-"/>
    <s v="-"/>
    <s v="-"/>
    <s v="-"/>
    <s v="-"/>
    <s v="-"/>
    <n v="6"/>
    <n v="6"/>
    <s v="-"/>
    <n v="1"/>
    <n v="1"/>
    <n v="2"/>
    <n v="2"/>
    <n v="8"/>
    <n v="8"/>
  </r>
  <r>
    <x v="0"/>
    <x v="14"/>
    <d v="2026-01-14T00:00:00"/>
    <s v="2ND"/>
    <d v="1899-12-30T16:00:00"/>
    <n v="2"/>
    <x v="21"/>
    <n v="2.5000000000000001E-3"/>
    <s v="P"/>
    <s v="P"/>
    <s v="P"/>
    <s v="-"/>
    <s v="+"/>
    <n v="11.35"/>
    <n v="8.5500000000000007"/>
    <n v="0.45"/>
    <n v="55.4"/>
    <s v="-"/>
    <s v="-"/>
    <n v="23"/>
    <s v="-"/>
    <s v="-"/>
    <s v="P"/>
    <s v="P"/>
    <s v="-"/>
    <n v="2"/>
    <n v="1"/>
    <n v="2"/>
    <n v="1"/>
    <s v="-"/>
    <n v="2"/>
    <n v="2"/>
    <s v="-"/>
    <s v="-"/>
    <n v="2"/>
    <s v="-"/>
    <n v="12"/>
    <n v="12"/>
    <s v="-"/>
    <n v="1"/>
    <n v="1"/>
    <n v="2"/>
    <n v="2"/>
    <n v="14"/>
    <n v="14"/>
  </r>
  <r>
    <x v="0"/>
    <x v="14"/>
    <d v="2026-01-14T00:00:00"/>
    <s v="2ND"/>
    <d v="1899-12-30T17:00:00"/>
    <n v="2"/>
    <x v="21"/>
    <n v="2.2000000000000001E-3"/>
    <s v="P"/>
    <s v="P"/>
    <s v="P"/>
    <s v="-"/>
    <s v="+"/>
    <n v="11.26"/>
    <s v="-"/>
    <s v="-"/>
    <s v="-"/>
    <s v="-"/>
    <s v="-"/>
    <s v="-"/>
    <s v="-"/>
    <s v="-"/>
    <s v="P"/>
    <s v="P"/>
    <s v="-"/>
    <n v="2"/>
    <n v="1"/>
    <n v="2"/>
    <n v="1"/>
    <s v="-"/>
    <s v="-"/>
    <s v="-"/>
    <s v="-"/>
    <s v="-"/>
    <s v="-"/>
    <s v="-"/>
    <n v="6"/>
    <n v="6"/>
    <s v="-"/>
    <n v="1"/>
    <n v="1"/>
    <n v="2"/>
    <n v="2"/>
    <n v="8"/>
    <n v="8"/>
  </r>
  <r>
    <x v="0"/>
    <x v="14"/>
    <d v="2026-01-14T00:00:00"/>
    <s v="2ND"/>
    <d v="1899-12-30T18:00:00"/>
    <n v="2"/>
    <x v="21"/>
    <n v="6.9999999999999999E-4"/>
    <s v="P"/>
    <s v="P"/>
    <s v="P"/>
    <s v="-"/>
    <s v="+"/>
    <n v="11.38"/>
    <s v="-"/>
    <s v="-"/>
    <s v="-"/>
    <s v="-"/>
    <s v="-"/>
    <s v="-"/>
    <s v="-"/>
    <s v="-"/>
    <s v="P"/>
    <s v="P"/>
    <s v="-"/>
    <n v="2"/>
    <n v="1"/>
    <n v="2"/>
    <n v="1"/>
    <s v="-"/>
    <s v="-"/>
    <s v="-"/>
    <s v="-"/>
    <s v="-"/>
    <s v="-"/>
    <s v="-"/>
    <n v="6"/>
    <n v="6"/>
    <s v="-"/>
    <n v="1"/>
    <n v="1"/>
    <n v="2"/>
    <n v="2"/>
    <n v="8"/>
    <n v="8"/>
  </r>
  <r>
    <x v="0"/>
    <x v="14"/>
    <d v="2026-01-14T00:00:00"/>
    <s v="2ND"/>
    <d v="1899-12-30T19:00:00"/>
    <n v="2"/>
    <x v="21"/>
    <n v="1.6000000000000001E-3"/>
    <s v="P"/>
    <s v="P"/>
    <s v="P"/>
    <s v="-"/>
    <s v="+"/>
    <n v="11.25"/>
    <s v="-"/>
    <s v="-"/>
    <s v="-"/>
    <s v="-"/>
    <s v="-"/>
    <s v="-"/>
    <s v="-"/>
    <s v="-"/>
    <s v="P"/>
    <s v="P"/>
    <s v="-"/>
    <n v="2"/>
    <n v="1"/>
    <n v="2"/>
    <n v="1"/>
    <s v="-"/>
    <s v="-"/>
    <s v="-"/>
    <s v="-"/>
    <s v="-"/>
    <s v="-"/>
    <s v="-"/>
    <n v="6"/>
    <n v="6"/>
    <s v="-"/>
    <n v="1"/>
    <n v="1"/>
    <n v="2"/>
    <n v="2"/>
    <n v="8"/>
    <n v="8"/>
  </r>
  <r>
    <x v="0"/>
    <x v="14"/>
    <d v="2026-01-14T00:00:00"/>
    <s v="2ND"/>
    <d v="1899-12-30T20:00:00"/>
    <n v="2"/>
    <x v="21"/>
    <n v="1.4E-3"/>
    <s v="P"/>
    <s v="P"/>
    <s v="P"/>
    <s v="-"/>
    <s v="+"/>
    <n v="11.3"/>
    <s v="-"/>
    <s v="-"/>
    <s v="-"/>
    <s v="-"/>
    <s v="-"/>
    <s v="-"/>
    <s v="-"/>
    <s v="-"/>
    <s v="P"/>
    <s v="P"/>
    <s v="-"/>
    <n v="2"/>
    <n v="1"/>
    <n v="2"/>
    <n v="1"/>
    <s v="-"/>
    <s v="-"/>
    <s v="-"/>
    <s v="-"/>
    <s v="-"/>
    <s v="-"/>
    <s v="-"/>
    <n v="6"/>
    <n v="6"/>
    <s v="-"/>
    <n v="1"/>
    <n v="1"/>
    <n v="2"/>
    <n v="2"/>
    <n v="8"/>
    <n v="8"/>
  </r>
  <r>
    <x v="0"/>
    <x v="14"/>
    <d v="2026-01-14T00:00:00"/>
    <s v="3RD"/>
    <d v="1899-12-30T22:00:00"/>
    <n v="2"/>
    <x v="21"/>
    <n v="4.5999999999999999E-3"/>
    <s v="P"/>
    <s v="P"/>
    <s v="P"/>
    <s v="-"/>
    <s v="+"/>
    <n v="11.42"/>
    <n v="8.64"/>
    <n v="0.46"/>
    <s v="-"/>
    <s v="-"/>
    <s v="-"/>
    <n v="22.92"/>
    <s v="-"/>
    <s v="-"/>
    <s v="P"/>
    <s v="P"/>
    <s v="-"/>
    <n v="2"/>
    <n v="1"/>
    <n v="2"/>
    <n v="1"/>
    <s v="-"/>
    <n v="2"/>
    <s v="-"/>
    <s v="-"/>
    <s v="-"/>
    <n v="2"/>
    <s v="-"/>
    <n v="10"/>
    <n v="10"/>
    <s v="-"/>
    <n v="1"/>
    <n v="1"/>
    <n v="2"/>
    <n v="2"/>
    <n v="12"/>
    <n v="12"/>
  </r>
  <r>
    <x v="0"/>
    <x v="14"/>
    <d v="2026-01-14T00:00:00"/>
    <s v="3RD"/>
    <d v="1899-12-30T23:00:00"/>
    <n v="2"/>
    <x v="21"/>
    <n v="6.1999999999999998E-3"/>
    <s v="P"/>
    <s v="P"/>
    <s v="P"/>
    <s v="-"/>
    <s v="+"/>
    <n v="11.15"/>
    <s v="-"/>
    <s v="-"/>
    <s v="-"/>
    <s v="-"/>
    <s v="-"/>
    <s v="-"/>
    <s v="-"/>
    <s v="-"/>
    <s v="P"/>
    <s v="P"/>
    <s v="-"/>
    <n v="2"/>
    <n v="1"/>
    <n v="2"/>
    <n v="1"/>
    <s v="-"/>
    <s v="-"/>
    <s v="-"/>
    <s v="-"/>
    <s v="-"/>
    <s v="-"/>
    <s v="-"/>
    <n v="6"/>
    <n v="6"/>
    <s v="-"/>
    <n v="1"/>
    <n v="1"/>
    <n v="2"/>
    <n v="2"/>
    <n v="8"/>
    <n v="8"/>
  </r>
  <r>
    <x v="0"/>
    <x v="14"/>
    <d v="2026-01-14T00:00:00"/>
    <s v="3RD"/>
    <d v="1899-12-30T00:00:00"/>
    <n v="2"/>
    <x v="21"/>
    <n v="2.5999999999999999E-3"/>
    <s v="P"/>
    <s v="P"/>
    <s v="P"/>
    <s v="-"/>
    <s v="+"/>
    <n v="11.37"/>
    <s v="-"/>
    <s v="-"/>
    <s v="-"/>
    <s v="-"/>
    <s v="-"/>
    <s v="-"/>
    <s v="-"/>
    <s v="-"/>
    <s v="P"/>
    <s v="P"/>
    <s v="-"/>
    <n v="2"/>
    <n v="1"/>
    <n v="2"/>
    <n v="1"/>
    <s v="-"/>
    <s v="-"/>
    <s v="-"/>
    <s v="-"/>
    <s v="-"/>
    <s v="-"/>
    <s v="-"/>
    <n v="6"/>
    <n v="6"/>
    <s v="-"/>
    <n v="1"/>
    <n v="1"/>
    <n v="2"/>
    <n v="2"/>
    <n v="8"/>
    <n v="8"/>
  </r>
  <r>
    <x v="0"/>
    <x v="14"/>
    <d v="2026-01-14T00:00:00"/>
    <s v="3RD"/>
    <d v="1899-12-30T01:00:00"/>
    <n v="2"/>
    <x v="21"/>
    <n v="2.7000000000000001E-3"/>
    <s v="P"/>
    <s v="P"/>
    <s v="P"/>
    <s v="-"/>
    <s v="+"/>
    <n v="11.41"/>
    <s v="-"/>
    <s v="-"/>
    <s v="-"/>
    <s v="-"/>
    <s v="-"/>
    <s v="-"/>
    <s v="-"/>
    <s v="-"/>
    <s v="P"/>
    <s v="P"/>
    <s v="-"/>
    <n v="2"/>
    <n v="1"/>
    <n v="2"/>
    <n v="1"/>
    <s v="-"/>
    <s v="-"/>
    <s v="-"/>
    <s v="-"/>
    <s v="-"/>
    <s v="-"/>
    <s v="-"/>
    <n v="6"/>
    <n v="6"/>
    <s v="-"/>
    <n v="1"/>
    <n v="1"/>
    <n v="2"/>
    <n v="2"/>
    <n v="8"/>
    <n v="8"/>
  </r>
  <r>
    <x v="0"/>
    <x v="14"/>
    <d v="2026-01-14T00:00:00"/>
    <s v="3RD"/>
    <d v="1899-12-30T02:00:00"/>
    <n v="2"/>
    <x v="21"/>
    <n v="5.8999999999999999E-3"/>
    <s v="P"/>
    <s v="P"/>
    <s v="P"/>
    <s v="-"/>
    <s v="+"/>
    <n v="11.17"/>
    <s v="-"/>
    <s v="-"/>
    <s v="-"/>
    <s v="-"/>
    <s v="-"/>
    <s v="-"/>
    <s v="-"/>
    <s v="-"/>
    <s v="P"/>
    <s v="P"/>
    <s v="-"/>
    <n v="2"/>
    <n v="1"/>
    <n v="2"/>
    <n v="1"/>
    <s v="-"/>
    <s v="-"/>
    <s v="-"/>
    <s v="-"/>
    <s v="-"/>
    <s v="-"/>
    <s v="-"/>
    <n v="6"/>
    <n v="6"/>
    <s v="-"/>
    <n v="1"/>
    <n v="1"/>
    <n v="2"/>
    <n v="2"/>
    <n v="8"/>
    <n v="8"/>
  </r>
  <r>
    <x v="0"/>
    <x v="14"/>
    <d v="2026-01-14T00:00:00"/>
    <s v="3RD"/>
    <d v="1899-12-30T03:00:00"/>
    <n v="2"/>
    <x v="21"/>
    <n v="6.0000000000000001E-3"/>
    <s v="P"/>
    <s v="P"/>
    <s v="P"/>
    <s v="-"/>
    <s v="+"/>
    <n v="11.07"/>
    <s v="-"/>
    <s v="-"/>
    <s v="-"/>
    <s v="-"/>
    <s v="-"/>
    <s v="-"/>
    <s v="-"/>
    <s v="-"/>
    <s v="P"/>
    <s v="P"/>
    <s v="-"/>
    <n v="2"/>
    <n v="1"/>
    <n v="2"/>
    <n v="1"/>
    <s v="-"/>
    <s v="-"/>
    <s v="-"/>
    <s v="-"/>
    <s v="-"/>
    <s v="-"/>
    <s v="-"/>
    <n v="6"/>
    <n v="6"/>
    <s v="-"/>
    <n v="1"/>
    <n v="1"/>
    <n v="2"/>
    <n v="2"/>
    <n v="8"/>
    <n v="8"/>
  </r>
  <r>
    <x v="0"/>
    <x v="14"/>
    <d v="2026-01-15T00:00:00"/>
    <s v="1ST"/>
    <d v="1899-12-30T06:00:00"/>
    <n v="1"/>
    <x v="22"/>
    <n v="7.3000000000000001E-3"/>
    <s v="P"/>
    <s v="P"/>
    <s v="P"/>
    <s v="-"/>
    <s v="-"/>
    <n v="11.5"/>
    <n v="8.6999999999999993"/>
    <n v="0.41"/>
    <n v="54.1"/>
    <s v="-"/>
    <s v="-"/>
    <n v="23.51"/>
    <s v="-"/>
    <s v="-"/>
    <s v="P"/>
    <s v="P"/>
    <s v="-"/>
    <n v="2"/>
    <n v="1"/>
    <n v="2"/>
    <n v="1"/>
    <n v="1"/>
    <n v="0"/>
    <n v="2"/>
    <s v="-"/>
    <s v="-"/>
    <n v="2"/>
    <s v="-"/>
    <n v="11"/>
    <n v="13"/>
    <s v="-"/>
    <n v="1"/>
    <n v="1"/>
    <n v="2"/>
    <n v="2"/>
    <n v="13"/>
    <n v="15"/>
  </r>
  <r>
    <x v="0"/>
    <x v="15"/>
    <d v="2026-01-16T00:00:00"/>
    <s v="1ST"/>
    <s v="08:00"/>
    <n v="3"/>
    <x v="6"/>
    <n v="1.09E-2"/>
    <s v="P"/>
    <s v="P"/>
    <s v="P"/>
    <s v="+"/>
    <s v="+"/>
    <n v="12.52"/>
    <n v="12.38"/>
    <n v="0.54"/>
    <n v="64"/>
    <s v="-"/>
    <s v="-"/>
    <n v="34.6"/>
    <s v="-"/>
    <s v="-"/>
    <s v="P"/>
    <s v="P"/>
    <s v="-"/>
    <n v="2"/>
    <n v="1"/>
    <n v="2"/>
    <n v="1"/>
    <n v="1"/>
    <n v="2"/>
    <n v="2"/>
    <s v="-"/>
    <s v="-"/>
    <n v="2"/>
    <s v="-"/>
    <n v="13"/>
    <n v="13"/>
    <s v="-"/>
    <n v="1"/>
    <n v="1"/>
    <n v="2"/>
    <n v="2"/>
    <n v="15"/>
    <n v="15"/>
  </r>
  <r>
    <x v="0"/>
    <x v="15"/>
    <d v="2026-01-07T00:00:00"/>
    <s v="1ST"/>
    <d v="1899-12-30T06:00:00"/>
    <n v="2"/>
    <x v="2"/>
    <n v="6.4999999999999997E-3"/>
    <s v="P"/>
    <s v="P"/>
    <s v="P"/>
    <s v="-"/>
    <s v="-"/>
    <n v="10.78"/>
    <n v="8.64"/>
    <n v="0.45"/>
    <n v="55.8"/>
    <n v="9.3000000000000007"/>
    <n v="579"/>
    <n v="23.58"/>
    <s v="-"/>
    <s v="-"/>
    <s v="P"/>
    <s v="P"/>
    <s v="-"/>
    <n v="2"/>
    <n v="1"/>
    <n v="2"/>
    <n v="0"/>
    <n v="0"/>
    <n v="2"/>
    <n v="0"/>
    <n v="0"/>
    <n v="0"/>
    <n v="0"/>
    <s v="-"/>
    <n v="7"/>
    <n v="15"/>
    <s v="-"/>
    <n v="1"/>
    <n v="1"/>
    <n v="2"/>
    <n v="2"/>
    <n v="9"/>
    <n v="17"/>
  </r>
  <r>
    <x v="0"/>
    <x v="15"/>
    <d v="2026-01-07T00:00:00"/>
    <s v="1ST"/>
    <d v="1899-12-30T07:00:00"/>
    <n v="2"/>
    <x v="2"/>
    <n v="6.8999999999999999E-3"/>
    <s v="P"/>
    <s v="P"/>
    <s v="P"/>
    <s v="-"/>
    <s v="-"/>
    <n v="10.79"/>
    <s v="-"/>
    <s v="-"/>
    <s v="-"/>
    <s v="-"/>
    <s v="-"/>
    <s v="-"/>
    <s v="-"/>
    <s v="-"/>
    <s v="P"/>
    <s v="P"/>
    <s v="-"/>
    <n v="2"/>
    <n v="1"/>
    <n v="2"/>
    <n v="0"/>
    <s v="-"/>
    <s v="-"/>
    <s v="-"/>
    <s v="-"/>
    <s v="-"/>
    <s v="-"/>
    <s v="-"/>
    <n v="5"/>
    <n v="6"/>
    <s v="-"/>
    <n v="1"/>
    <n v="1"/>
    <n v="2"/>
    <n v="2"/>
    <n v="7"/>
    <n v="8"/>
  </r>
  <r>
    <x v="0"/>
    <x v="15"/>
    <d v="2026-01-07T00:00:00"/>
    <s v="1ST"/>
    <d v="1899-12-30T08:00:00"/>
    <n v="2"/>
    <x v="2"/>
    <n v="7.3000000000000001E-3"/>
    <s v="P"/>
    <s v="P"/>
    <s v="P"/>
    <s v="-"/>
    <s v="-"/>
    <n v="10.57"/>
    <s v="-"/>
    <s v="-"/>
    <s v="-"/>
    <s v="-"/>
    <s v="-"/>
    <s v="-"/>
    <s v="-"/>
    <s v="-"/>
    <s v="P"/>
    <s v="P"/>
    <s v="-"/>
    <n v="2"/>
    <n v="1"/>
    <n v="2"/>
    <n v="0"/>
    <s v="-"/>
    <s v="-"/>
    <s v="-"/>
    <s v="-"/>
    <s v="-"/>
    <s v="-"/>
    <s v="-"/>
    <n v="5"/>
    <n v="6"/>
    <s v="-"/>
    <n v="1"/>
    <n v="1"/>
    <n v="2"/>
    <n v="2"/>
    <n v="7"/>
    <n v="8"/>
  </r>
  <r>
    <x v="0"/>
    <x v="15"/>
    <d v="2026-01-07T00:00:00"/>
    <s v="1ST"/>
    <d v="1899-12-30T09:00:00"/>
    <n v="2"/>
    <x v="2"/>
    <n v="5.1000000000000004E-3"/>
    <s v="P"/>
    <s v="P"/>
    <s v="P"/>
    <s v="-"/>
    <s v="-"/>
    <n v="10.63"/>
    <s v="-"/>
    <s v="-"/>
    <s v="-"/>
    <s v="-"/>
    <s v="-"/>
    <s v="-"/>
    <s v="-"/>
    <s v="-"/>
    <s v="P"/>
    <s v="P"/>
    <s v="-"/>
    <n v="2"/>
    <n v="1"/>
    <n v="2"/>
    <n v="0"/>
    <s v="-"/>
    <s v="-"/>
    <s v="-"/>
    <s v="-"/>
    <s v="-"/>
    <s v="-"/>
    <s v="-"/>
    <n v="5"/>
    <n v="6"/>
    <s v="-"/>
    <n v="1"/>
    <n v="1"/>
    <n v="2"/>
    <n v="2"/>
    <n v="7"/>
    <n v="8"/>
  </r>
  <r>
    <x v="0"/>
    <x v="15"/>
    <d v="2026-01-07T00:00:00"/>
    <s v="1ST"/>
    <d v="1899-12-30T10:00:00"/>
    <n v="2"/>
    <x v="2"/>
    <n v="5.8999999999999999E-3"/>
    <s v="P"/>
    <s v="P"/>
    <s v="P"/>
    <s v="-"/>
    <s v="-"/>
    <n v="10.74"/>
    <s v="-"/>
    <s v="-"/>
    <s v="-"/>
    <s v="-"/>
    <s v="-"/>
    <s v="-"/>
    <s v="-"/>
    <s v="-"/>
    <s v="P"/>
    <s v="P"/>
    <s v="-"/>
    <n v="2"/>
    <n v="1"/>
    <n v="2"/>
    <n v="0"/>
    <s v="-"/>
    <s v="-"/>
    <s v="-"/>
    <s v="-"/>
    <s v="-"/>
    <s v="-"/>
    <s v="-"/>
    <n v="5"/>
    <n v="6"/>
    <s v="-"/>
    <n v="1"/>
    <n v="1"/>
    <n v="2"/>
    <n v="2"/>
    <n v="7"/>
    <n v="8"/>
  </r>
  <r>
    <x v="0"/>
    <x v="15"/>
    <d v="2026-01-07T00:00:00"/>
    <s v="1ST"/>
    <d v="1899-12-30T11:00:00"/>
    <n v="2"/>
    <x v="2"/>
    <n v="1.89E-2"/>
    <s v="P"/>
    <s v="P"/>
    <s v="P"/>
    <s v="-"/>
    <s v="-"/>
    <n v="10.74"/>
    <s v="-"/>
    <s v="-"/>
    <s v="-"/>
    <s v="-"/>
    <s v="-"/>
    <s v="-"/>
    <s v="-"/>
    <s v="-"/>
    <s v="P"/>
    <s v="P"/>
    <s v="-"/>
    <n v="2"/>
    <n v="1"/>
    <n v="2"/>
    <n v="0"/>
    <s v="-"/>
    <s v="-"/>
    <s v="-"/>
    <s v="-"/>
    <s v="-"/>
    <s v="-"/>
    <s v="-"/>
    <n v="5"/>
    <n v="6"/>
    <s v="-"/>
    <n v="1"/>
    <n v="1"/>
    <n v="2"/>
    <n v="2"/>
    <n v="7"/>
    <n v="8"/>
  </r>
  <r>
    <x v="0"/>
    <x v="15"/>
    <d v="2026-01-07T00:00:00"/>
    <s v="1ST"/>
    <d v="1899-12-30T12:00:00"/>
    <n v="2"/>
    <x v="2"/>
    <n v="1.7000000000000001E-2"/>
    <s v="P"/>
    <s v="P"/>
    <s v="P"/>
    <s v="-"/>
    <s v="-"/>
    <n v="10.65"/>
    <s v="-"/>
    <s v="-"/>
    <s v="-"/>
    <s v="-"/>
    <s v="-"/>
    <s v="-"/>
    <s v="-"/>
    <s v="-"/>
    <s v="P"/>
    <s v="P"/>
    <s v="-"/>
    <n v="2"/>
    <n v="1"/>
    <n v="2"/>
    <n v="0"/>
    <s v="-"/>
    <s v="-"/>
    <s v="-"/>
    <s v="-"/>
    <s v="-"/>
    <s v="-"/>
    <s v="-"/>
    <n v="5"/>
    <n v="6"/>
    <s v="-"/>
    <n v="1"/>
    <n v="1"/>
    <n v="2"/>
    <n v="2"/>
    <n v="7"/>
    <n v="8"/>
  </r>
  <r>
    <x v="0"/>
    <x v="15"/>
    <d v="2026-01-07T00:00:00"/>
    <s v="2ND"/>
    <d v="1899-12-30T14:00:00"/>
    <n v="2"/>
    <x v="2"/>
    <n v="2.5999999999999999E-3"/>
    <s v="P"/>
    <s v="P"/>
    <s v="P"/>
    <s v="-"/>
    <s v="+"/>
    <n v="10.63"/>
    <n v="9.4"/>
    <n v="0.5"/>
    <s v="-"/>
    <s v="-"/>
    <s v="-"/>
    <n v="25.1"/>
    <s v="-"/>
    <s v="-"/>
    <s v="P"/>
    <s v="P"/>
    <s v="-"/>
    <n v="2"/>
    <n v="1"/>
    <n v="2"/>
    <n v="0"/>
    <n v="0"/>
    <n v="2"/>
    <s v="-"/>
    <s v="-"/>
    <s v="-"/>
    <n v="0"/>
    <s v="-"/>
    <n v="7"/>
    <n v="11"/>
    <s v="-"/>
    <n v="1"/>
    <n v="1"/>
    <n v="2"/>
    <n v="2"/>
    <n v="9"/>
    <n v="13"/>
  </r>
  <r>
    <x v="0"/>
    <x v="15"/>
    <d v="2026-01-07T00:00:00"/>
    <s v="2ND"/>
    <d v="1899-12-30T15:00:00"/>
    <n v="2"/>
    <x v="2"/>
    <n v="3.0000000000000001E-3"/>
    <s v="P"/>
    <s v="P"/>
    <s v="P"/>
    <s v="-"/>
    <s v="+"/>
    <n v="10.48"/>
    <s v="-"/>
    <s v="-"/>
    <s v="-"/>
    <s v="-"/>
    <s v="-"/>
    <s v="-"/>
    <s v="-"/>
    <s v="-"/>
    <s v="P"/>
    <s v="P"/>
    <s v="-"/>
    <n v="2"/>
    <n v="1"/>
    <n v="2"/>
    <n v="0"/>
    <s v="-"/>
    <s v="-"/>
    <s v="-"/>
    <s v="-"/>
    <s v="-"/>
    <s v="-"/>
    <s v="-"/>
    <n v="5"/>
    <n v="6"/>
    <s v="-"/>
    <n v="1"/>
    <n v="1"/>
    <n v="2"/>
    <n v="2"/>
    <n v="7"/>
    <n v="8"/>
  </r>
  <r>
    <x v="0"/>
    <x v="15"/>
    <d v="2026-01-07T00:00:00"/>
    <s v="3RD"/>
    <d v="1899-12-30T02:00:00"/>
    <n v="2"/>
    <x v="2"/>
    <n v="1.5900000000000001E-2"/>
    <s v="P"/>
    <s v="P"/>
    <s v="P"/>
    <s v="-"/>
    <s v="+"/>
    <n v="10.08"/>
    <n v="8.9499999999999993"/>
    <n v="0.51"/>
    <s v="-"/>
    <s v="-"/>
    <s v="-"/>
    <n v="24.26"/>
    <s v="-"/>
    <s v="-"/>
    <s v="P"/>
    <s v="P"/>
    <s v="-"/>
    <n v="2"/>
    <n v="1"/>
    <n v="2"/>
    <n v="0"/>
    <n v="0"/>
    <n v="2"/>
    <s v="-"/>
    <s v="-"/>
    <s v="-"/>
    <n v="0"/>
    <s v="-"/>
    <n v="7"/>
    <n v="11"/>
    <s v="-"/>
    <n v="1"/>
    <n v="1"/>
    <n v="2"/>
    <n v="2"/>
    <n v="9"/>
    <n v="13"/>
  </r>
  <r>
    <x v="0"/>
    <x v="15"/>
    <d v="2026-01-07T00:00:00"/>
    <s v="3RD"/>
    <d v="1899-12-30T03:00:00"/>
    <n v="2"/>
    <x v="2"/>
    <n v="6.7999999999999996E-3"/>
    <s v="P"/>
    <s v="P"/>
    <s v="P"/>
    <s v="-"/>
    <s v="+"/>
    <n v="10.67"/>
    <s v="-"/>
    <s v="-"/>
    <s v="-"/>
    <s v="-"/>
    <s v="-"/>
    <s v="-"/>
    <s v="-"/>
    <s v="-"/>
    <s v="P"/>
    <s v="P"/>
    <s v="-"/>
    <n v="2"/>
    <n v="1"/>
    <n v="2"/>
    <n v="0"/>
    <s v="-"/>
    <s v="-"/>
    <s v="-"/>
    <s v="-"/>
    <s v="-"/>
    <s v="-"/>
    <s v="-"/>
    <n v="5"/>
    <n v="6"/>
    <s v="-"/>
    <n v="1"/>
    <n v="1"/>
    <n v="2"/>
    <n v="2"/>
    <n v="7"/>
    <n v="8"/>
  </r>
  <r>
    <x v="0"/>
    <x v="15"/>
    <d v="2026-01-07T00:00:00"/>
    <s v="3RD"/>
    <d v="1899-12-30T04:00:00"/>
    <n v="2"/>
    <x v="2"/>
    <n v="6.3E-3"/>
    <s v="P"/>
    <s v="P"/>
    <s v="P"/>
    <s v="-"/>
    <s v="+"/>
    <n v="10.68"/>
    <s v="-"/>
    <s v="-"/>
    <s v="-"/>
    <s v="-"/>
    <s v="-"/>
    <s v="-"/>
    <s v="-"/>
    <s v="-"/>
    <s v="P"/>
    <s v="P"/>
    <s v="-"/>
    <n v="2"/>
    <n v="1"/>
    <n v="2"/>
    <n v="0"/>
    <s v="-"/>
    <s v="-"/>
    <s v="-"/>
    <s v="-"/>
    <s v="-"/>
    <s v="-"/>
    <s v="-"/>
    <n v="5"/>
    <n v="6"/>
    <s v="-"/>
    <n v="1"/>
    <n v="1"/>
    <n v="2"/>
    <n v="2"/>
    <n v="7"/>
    <n v="8"/>
  </r>
  <r>
    <x v="0"/>
    <x v="15"/>
    <d v="2026-01-07T00:00:00"/>
    <s v="3RD"/>
    <d v="1899-12-30T05:00:00"/>
    <n v="2"/>
    <x v="2"/>
    <s v="-"/>
    <s v="P"/>
    <s v="P"/>
    <s v="P"/>
    <s v="-"/>
    <s v="+"/>
    <s v="-"/>
    <s v="-"/>
    <s v="-"/>
    <s v="-"/>
    <s v="-"/>
    <s v="-"/>
    <s v="-"/>
    <s v="-"/>
    <s v="-"/>
    <s v="P"/>
    <s v="P"/>
    <s v="-"/>
    <s v="-"/>
    <n v="1"/>
    <n v="2"/>
    <s v="-"/>
    <s v="-"/>
    <s v="-"/>
    <s v="-"/>
    <s v="-"/>
    <s v="-"/>
    <s v="-"/>
    <s v="-"/>
    <n v="3"/>
    <n v="3"/>
    <s v="-"/>
    <n v="1"/>
    <n v="1"/>
    <n v="2"/>
    <n v="2"/>
    <n v="5"/>
    <n v="5"/>
  </r>
  <r>
    <x v="0"/>
    <x v="15"/>
    <d v="2026-01-20T00:00:00"/>
    <s v="1ST"/>
    <s v="09:00"/>
    <n v="3"/>
    <x v="12"/>
    <n v="1.09E-2"/>
    <s v="P"/>
    <s v="P"/>
    <s v="P"/>
    <s v="+"/>
    <s v="+"/>
    <n v="12.52"/>
    <n v="13.37"/>
    <n v="0.47"/>
    <n v="64.400000000000006"/>
    <n v="15.3"/>
    <n v="778"/>
    <n v="37.6"/>
    <s v="-"/>
    <s v="-"/>
    <s v="P"/>
    <s v="P"/>
    <s v="-"/>
    <n v="2"/>
    <n v="1"/>
    <n v="2"/>
    <n v="1"/>
    <s v="-"/>
    <n v="2"/>
    <n v="2"/>
    <s v="-"/>
    <s v="-"/>
    <n v="2"/>
    <s v="-"/>
    <n v="12"/>
    <n v="12"/>
    <s v="-"/>
    <n v="1"/>
    <n v="1"/>
    <n v="2"/>
    <n v="2"/>
    <n v="14"/>
    <n v="14"/>
  </r>
  <r>
    <x v="0"/>
    <x v="15"/>
    <d v="2026-01-20T00:00:00"/>
    <s v="1ST"/>
    <s v="10:00"/>
    <n v="3"/>
    <x v="12"/>
    <n v="8.3999999999999995E-3"/>
    <s v="P"/>
    <s v="P"/>
    <s v="P"/>
    <s v="+"/>
    <s v="+"/>
    <n v="12.8"/>
    <s v="-"/>
    <s v="-"/>
    <s v="-"/>
    <s v="-"/>
    <s v="-"/>
    <s v="-"/>
    <s v="-"/>
    <s v="-"/>
    <s v="P"/>
    <s v="P"/>
    <s v="-"/>
    <n v="2"/>
    <n v="1"/>
    <n v="2"/>
    <n v="1"/>
    <s v="-"/>
    <s v="-"/>
    <s v="-"/>
    <s v="-"/>
    <s v="-"/>
    <s v="-"/>
    <s v="-"/>
    <n v="6"/>
    <n v="6"/>
    <s v="-"/>
    <n v="1"/>
    <n v="1"/>
    <n v="2"/>
    <n v="2"/>
    <n v="8"/>
    <n v="8"/>
  </r>
  <r>
    <x v="0"/>
    <x v="15"/>
    <d v="1899-12-30T00:00:00"/>
    <s v="1ST"/>
    <s v="07:00"/>
    <s v="Retail"/>
    <x v="25"/>
    <s v="-"/>
    <s v="-"/>
    <s v="-"/>
    <s v="-"/>
    <s v="-"/>
    <s v="-"/>
    <n v="13.37"/>
    <s v="-"/>
    <s v="-"/>
    <s v="-"/>
    <s v="-"/>
    <s v="-"/>
    <s v="-"/>
    <s v="-"/>
    <s v="-"/>
    <s v="-"/>
    <s v="-"/>
    <s v="-"/>
    <s v="-"/>
    <s v="-"/>
    <s v="-"/>
    <n v="1"/>
    <s v="-"/>
    <s v="-"/>
    <s v="-"/>
    <s v="-"/>
    <s v="-"/>
    <s v="-"/>
    <s v="-"/>
    <n v="1"/>
    <n v="1"/>
    <s v="-"/>
    <s v="-"/>
    <s v="-"/>
    <n v="0"/>
    <n v="0"/>
    <n v="1"/>
    <n v="1"/>
  </r>
  <r>
    <x v="0"/>
    <x v="15"/>
    <d v="1899-12-30T00:00:00"/>
    <s v="1ST"/>
    <s v="11:00"/>
    <s v="Retail"/>
    <x v="25"/>
    <s v="-"/>
    <s v="-"/>
    <s v="-"/>
    <s v="-"/>
    <s v="-"/>
    <s v="-"/>
    <n v="13.06"/>
    <s v="-"/>
    <s v="-"/>
    <s v="-"/>
    <s v="-"/>
    <s v="-"/>
    <s v="-"/>
    <s v="-"/>
    <s v="-"/>
    <s v="-"/>
    <s v="-"/>
    <s v="-"/>
    <s v="-"/>
    <s v="-"/>
    <s v="-"/>
    <n v="1"/>
    <s v="-"/>
    <s v="-"/>
    <s v="-"/>
    <s v="-"/>
    <s v="-"/>
    <s v="-"/>
    <s v="-"/>
    <n v="1"/>
    <n v="1"/>
    <s v="-"/>
    <s v="-"/>
    <s v="-"/>
    <n v="0"/>
    <n v="0"/>
    <n v="1"/>
    <n v="1"/>
  </r>
  <r>
    <x v="0"/>
    <x v="15"/>
    <d v="2026-01-19T00:00:00"/>
    <s v="3RD"/>
    <d v="1899-12-30T22:00:00"/>
    <n v="3"/>
    <x v="1"/>
    <n v="1.3299999999999999E-2"/>
    <s v="P"/>
    <s v="P"/>
    <s v="P"/>
    <s v="+"/>
    <s v="+"/>
    <n v="12.22"/>
    <n v="12.95"/>
    <n v="0.47"/>
    <n v="64.400000000000006"/>
    <n v="18.3"/>
    <s v="-"/>
    <n v="36.4"/>
    <s v="-"/>
    <s v="-"/>
    <s v="P"/>
    <s v="P"/>
    <s v="85% 5% 10%"/>
    <n v="2"/>
    <n v="1"/>
    <n v="2"/>
    <n v="1"/>
    <n v="1"/>
    <n v="2"/>
    <n v="2"/>
    <n v="1"/>
    <s v="-"/>
    <n v="2"/>
    <s v="-"/>
    <n v="14"/>
    <n v="14"/>
    <s v="-"/>
    <n v="1"/>
    <n v="1"/>
    <n v="2"/>
    <n v="2"/>
    <n v="16"/>
    <n v="16"/>
  </r>
  <r>
    <x v="0"/>
    <x v="15"/>
    <d v="2026-01-19T00:00:00"/>
    <s v="3RD"/>
    <d v="1899-12-30T23:00:00"/>
    <n v="3"/>
    <x v="1"/>
    <n v="1.09E-2"/>
    <s v="P"/>
    <s v="P"/>
    <s v="P"/>
    <s v="+"/>
    <s v="+"/>
    <n v="12.52"/>
    <s v="-"/>
    <s v="-"/>
    <s v="-"/>
    <s v="-"/>
    <s v="-"/>
    <s v="-"/>
    <s v="-"/>
    <s v="-"/>
    <s v="P"/>
    <s v="P"/>
    <s v="-"/>
    <n v="2"/>
    <n v="1"/>
    <n v="2"/>
    <n v="1"/>
    <s v="-"/>
    <s v="-"/>
    <s v="-"/>
    <s v="-"/>
    <s v="-"/>
    <s v="-"/>
    <s v="-"/>
    <n v="6"/>
    <n v="6"/>
    <s v="-"/>
    <n v="1"/>
    <n v="1"/>
    <n v="2"/>
    <n v="2"/>
    <n v="8"/>
    <n v="8"/>
  </r>
  <r>
    <x v="0"/>
    <x v="15"/>
    <d v="2026-01-19T00:00:00"/>
    <s v="1ST"/>
    <d v="1899-12-30T06:00:00"/>
    <n v="1"/>
    <x v="20"/>
    <n v="3.0000000000000001E-3"/>
    <s v="P"/>
    <s v="P"/>
    <s v="P"/>
    <s v="-"/>
    <s v="-"/>
    <n v="12.99"/>
    <n v="12.6"/>
    <n v="0.45"/>
    <n v="64.400000000000006"/>
    <s v="-"/>
    <s v="-"/>
    <n v="35.200000000000003"/>
    <s v="-"/>
    <s v="-"/>
    <s v="P"/>
    <s v="P"/>
    <s v="-"/>
    <n v="2"/>
    <n v="1"/>
    <n v="2"/>
    <n v="1"/>
    <n v="1"/>
    <n v="0"/>
    <n v="2"/>
    <s v="-"/>
    <s v="-"/>
    <n v="2"/>
    <s v="-"/>
    <n v="11"/>
    <n v="13"/>
    <s v="-"/>
    <n v="1"/>
    <n v="1"/>
    <n v="2"/>
    <n v="2"/>
    <n v="13"/>
    <n v="15"/>
  </r>
  <r>
    <x v="0"/>
    <x v="15"/>
    <d v="2026-01-19T00:00:00"/>
    <s v="1ST"/>
    <d v="1899-12-30T07:00:00"/>
    <n v="1"/>
    <x v="20"/>
    <n v="7.1000000000000004E-3"/>
    <s v="P"/>
    <s v="P"/>
    <s v="P"/>
    <s v="-"/>
    <s v="-"/>
    <n v="13.21"/>
    <s v="-"/>
    <s v="-"/>
    <s v="-"/>
    <s v="-"/>
    <s v="-"/>
    <s v="-"/>
    <s v="-"/>
    <s v="-"/>
    <s v="P"/>
    <s v="P"/>
    <s v="-"/>
    <n v="2"/>
    <n v="1"/>
    <n v="2"/>
    <n v="1"/>
    <s v="-"/>
    <s v="-"/>
    <s v="-"/>
    <s v="-"/>
    <s v="-"/>
    <s v="-"/>
    <s v="-"/>
    <n v="6"/>
    <n v="6"/>
    <s v="-"/>
    <n v="1"/>
    <n v="1"/>
    <n v="2"/>
    <n v="2"/>
    <n v="8"/>
    <n v="8"/>
  </r>
  <r>
    <x v="0"/>
    <x v="15"/>
    <d v="2026-01-19T00:00:00"/>
    <s v="2ND"/>
    <d v="1899-12-30T14:00:00"/>
    <n v="1"/>
    <x v="20"/>
    <n v="2.7000000000000001E-3"/>
    <s v="P"/>
    <s v="P"/>
    <s v="P"/>
    <s v="-"/>
    <s v="-"/>
    <n v="12.8"/>
    <n v="12.55"/>
    <n v="0.46"/>
    <s v="-"/>
    <s v="-"/>
    <s v="-"/>
    <n v="35"/>
    <s v="-"/>
    <n v="25.15"/>
    <s v="P"/>
    <s v="P"/>
    <s v="-"/>
    <n v="2"/>
    <n v="1"/>
    <n v="2"/>
    <n v="1"/>
    <n v="1"/>
    <n v="0"/>
    <s v="-"/>
    <s v="-"/>
    <s v="-"/>
    <n v="2"/>
    <s v="-"/>
    <n v="9"/>
    <n v="11"/>
    <n v="1"/>
    <n v="1"/>
    <n v="1"/>
    <n v="3"/>
    <n v="3"/>
    <n v="12"/>
    <n v="14"/>
  </r>
  <r>
    <x v="0"/>
    <x v="15"/>
    <d v="2026-01-19T00:00:00"/>
    <s v="2ND"/>
    <d v="1899-12-30T16:00:00"/>
    <n v="1"/>
    <x v="20"/>
    <n v="6.4000000000000003E-3"/>
    <s v="P"/>
    <s v="P"/>
    <s v="P"/>
    <s v="-"/>
    <s v="-"/>
    <n v="12.63"/>
    <s v="-"/>
    <s v="-"/>
    <s v="-"/>
    <s v="-"/>
    <s v="-"/>
    <s v="-"/>
    <s v="-"/>
    <s v="-"/>
    <s v="P"/>
    <s v="P"/>
    <s v="-"/>
    <n v="2"/>
    <n v="1"/>
    <n v="2"/>
    <n v="1"/>
    <s v="-"/>
    <s v="-"/>
    <s v="-"/>
    <s v="-"/>
    <s v="-"/>
    <s v="-"/>
    <s v="-"/>
    <n v="6"/>
    <n v="6"/>
    <s v="-"/>
    <n v="1"/>
    <n v="1"/>
    <n v="2"/>
    <n v="2"/>
    <n v="8"/>
    <n v="8"/>
  </r>
  <r>
    <x v="0"/>
    <x v="15"/>
    <d v="2026-01-19T00:00:00"/>
    <s v="2ND"/>
    <d v="1899-12-30T17:00:00"/>
    <n v="1"/>
    <x v="20"/>
    <n v="5.4999999999999997E-3"/>
    <s v="P"/>
    <s v="P"/>
    <s v="P"/>
    <s v="-"/>
    <s v="-"/>
    <n v="12.09"/>
    <s v="-"/>
    <s v="-"/>
    <s v="-"/>
    <s v="-"/>
    <s v="-"/>
    <s v="-"/>
    <s v="-"/>
    <s v="-"/>
    <s v="P"/>
    <s v="P"/>
    <s v="-"/>
    <n v="2"/>
    <n v="1"/>
    <n v="2"/>
    <n v="1"/>
    <s v="-"/>
    <s v="-"/>
    <s v="-"/>
    <s v="-"/>
    <s v="-"/>
    <s v="-"/>
    <s v="-"/>
    <n v="6"/>
    <n v="6"/>
    <s v="-"/>
    <n v="1"/>
    <n v="1"/>
    <n v="2"/>
    <n v="2"/>
    <n v="8"/>
    <n v="8"/>
  </r>
  <r>
    <x v="0"/>
    <x v="15"/>
    <d v="2026-01-19T00:00:00"/>
    <s v="2ND"/>
    <d v="1899-12-30T19:00:00"/>
    <n v="1"/>
    <x v="20"/>
    <n v="6.1999999999999998E-3"/>
    <s v="P"/>
    <s v="P"/>
    <s v="P"/>
    <s v="-"/>
    <s v="-"/>
    <n v="12.06"/>
    <s v="-"/>
    <s v="-"/>
    <s v="-"/>
    <s v="-"/>
    <s v="-"/>
    <s v="-"/>
    <s v="-"/>
    <s v="-"/>
    <s v="P"/>
    <s v="P"/>
    <s v="-"/>
    <n v="2"/>
    <n v="1"/>
    <n v="2"/>
    <n v="1"/>
    <s v="-"/>
    <s v="-"/>
    <s v="-"/>
    <s v="-"/>
    <s v="-"/>
    <s v="-"/>
    <s v="-"/>
    <n v="6"/>
    <n v="6"/>
    <s v="-"/>
    <n v="1"/>
    <n v="1"/>
    <n v="2"/>
    <n v="2"/>
    <n v="8"/>
    <n v="8"/>
  </r>
  <r>
    <x v="0"/>
    <x v="15"/>
    <d v="2026-01-19T00:00:00"/>
    <s v="2ND"/>
    <d v="1899-12-30T20:00:00"/>
    <n v="1"/>
    <x v="20"/>
    <n v="6.1000000000000004E-3"/>
    <s v="P"/>
    <s v="P"/>
    <s v="P"/>
    <s v="-"/>
    <s v="-"/>
    <n v="12.42"/>
    <s v="-"/>
    <s v="-"/>
    <s v="-"/>
    <s v="-"/>
    <s v="-"/>
    <s v="-"/>
    <s v="-"/>
    <s v="-"/>
    <s v="P"/>
    <s v="P"/>
    <s v="-"/>
    <n v="2"/>
    <n v="1"/>
    <n v="2"/>
    <n v="1"/>
    <s v="-"/>
    <s v="-"/>
    <s v="-"/>
    <s v="-"/>
    <s v="-"/>
    <s v="-"/>
    <s v="-"/>
    <n v="6"/>
    <n v="6"/>
    <s v="-"/>
    <n v="1"/>
    <n v="1"/>
    <n v="2"/>
    <n v="2"/>
    <n v="8"/>
    <n v="8"/>
  </r>
  <r>
    <x v="0"/>
    <x v="15"/>
    <d v="2026-01-19T00:00:00"/>
    <s v="3RD"/>
    <d v="1899-12-30T22:00:00"/>
    <n v="1"/>
    <x v="20"/>
    <n v="1.67E-2"/>
    <s v="P"/>
    <s v="P"/>
    <s v="P"/>
    <s v="-"/>
    <s v="-"/>
    <n v="12.5"/>
    <n v="12.71"/>
    <n v="0.44"/>
    <s v="-"/>
    <s v="-"/>
    <s v="-"/>
    <n v="35.5"/>
    <s v="-"/>
    <s v="-"/>
    <s v="P"/>
    <s v="P"/>
    <s v="-"/>
    <n v="2"/>
    <n v="1"/>
    <n v="2"/>
    <n v="1"/>
    <n v="1"/>
    <n v="0"/>
    <s v="-"/>
    <s v="-"/>
    <s v="-"/>
    <n v="2"/>
    <s v="-"/>
    <n v="9"/>
    <n v="11"/>
    <s v="-"/>
    <n v="1"/>
    <n v="1"/>
    <n v="2"/>
    <n v="2"/>
    <n v="11"/>
    <n v="13"/>
  </r>
  <r>
    <x v="0"/>
    <x v="15"/>
    <d v="2026-01-19T00:00:00"/>
    <s v="3RD"/>
    <d v="1899-12-30T23:00:00"/>
    <n v="1"/>
    <x v="20"/>
    <n v="8.2000000000000007E-3"/>
    <s v="P"/>
    <s v="P"/>
    <s v="P"/>
    <s v="-"/>
    <s v="-"/>
    <n v="11.39"/>
    <s v="-"/>
    <s v="-"/>
    <s v="-"/>
    <s v="-"/>
    <s v="-"/>
    <s v="-"/>
    <s v="-"/>
    <s v="-"/>
    <s v="P"/>
    <s v="P"/>
    <s v="-"/>
    <n v="2"/>
    <n v="1"/>
    <n v="2"/>
    <n v="1"/>
    <s v="-"/>
    <s v="-"/>
    <s v="-"/>
    <s v="-"/>
    <s v="-"/>
    <s v="-"/>
    <s v="-"/>
    <n v="6"/>
    <n v="6"/>
    <s v="-"/>
    <n v="1"/>
    <n v="1"/>
    <n v="2"/>
    <n v="2"/>
    <n v="8"/>
    <n v="8"/>
  </r>
  <r>
    <x v="0"/>
    <x v="15"/>
    <d v="2026-01-19T00:00:00"/>
    <s v="3RD"/>
    <d v="1899-12-30T00:00:00"/>
    <n v="1"/>
    <x v="20"/>
    <n v="1.23E-2"/>
    <s v="P"/>
    <s v="P"/>
    <s v="P"/>
    <s v="-"/>
    <s v="-"/>
    <n v="12.81"/>
    <s v="-"/>
    <s v="-"/>
    <s v="-"/>
    <s v="-"/>
    <s v="-"/>
    <s v="-"/>
    <s v="-"/>
    <s v="-"/>
    <s v="P"/>
    <s v="P"/>
    <s v="-"/>
    <n v="2"/>
    <n v="1"/>
    <n v="2"/>
    <n v="1"/>
    <s v="-"/>
    <s v="-"/>
    <s v="-"/>
    <s v="-"/>
    <s v="-"/>
    <s v="-"/>
    <s v="-"/>
    <n v="6"/>
    <n v="6"/>
    <s v="-"/>
    <n v="1"/>
    <n v="1"/>
    <n v="2"/>
    <n v="2"/>
    <n v="8"/>
    <n v="8"/>
  </r>
  <r>
    <x v="0"/>
    <x v="15"/>
    <d v="2026-01-21T00:00:00"/>
    <s v="2ND"/>
    <d v="1899-12-30T14:00:00"/>
    <s v="Retail"/>
    <x v="13"/>
    <s v="-"/>
    <s v="-"/>
    <s v="-"/>
    <s v="-"/>
    <s v="-"/>
    <s v="-"/>
    <n v="10.77"/>
    <s v="-"/>
    <s v="-"/>
    <s v="-"/>
    <s v="-"/>
    <s v="-"/>
    <s v="-"/>
    <s v="-"/>
    <s v="-"/>
    <s v="-"/>
    <s v="-"/>
    <s v="-"/>
    <s v="-"/>
    <s v="-"/>
    <s v="-"/>
    <n v="0"/>
    <s v="-"/>
    <s v="-"/>
    <s v="-"/>
    <s v="-"/>
    <s v="-"/>
    <s v="-"/>
    <s v="-"/>
    <n v="0"/>
    <n v="1"/>
    <s v="-"/>
    <s v="-"/>
    <s v="-"/>
    <n v="0"/>
    <n v="0"/>
    <n v="0"/>
    <n v="1"/>
  </r>
  <r>
    <x v="0"/>
    <x v="15"/>
    <d v="2026-01-14T00:00:00"/>
    <s v="3RD"/>
    <d v="1899-12-30T01:00:00"/>
    <n v="2"/>
    <x v="4"/>
    <n v="9.7000000000000003E-3"/>
    <s v="P"/>
    <s v="P"/>
    <s v="P"/>
    <s v="-"/>
    <s v="+"/>
    <n v="10.84"/>
    <s v="-"/>
    <s v="-"/>
    <s v="-"/>
    <s v="-"/>
    <s v="-"/>
    <s v="-"/>
    <s v="-"/>
    <s v="-"/>
    <s v="P"/>
    <s v="P"/>
    <s v="-"/>
    <n v="2"/>
    <n v="1"/>
    <n v="2"/>
    <n v="0"/>
    <s v="-"/>
    <s v="-"/>
    <s v="-"/>
    <s v="-"/>
    <s v="-"/>
    <s v="-"/>
    <s v="-"/>
    <n v="5"/>
    <n v="6"/>
    <s v="-"/>
    <n v="1"/>
    <n v="1"/>
    <n v="2"/>
    <n v="2"/>
    <n v="7"/>
    <n v="8"/>
  </r>
  <r>
    <x v="0"/>
    <x v="15"/>
    <d v="2026-01-14T00:00:00"/>
    <s v="2ND"/>
    <d v="1899-12-30T16:00:00"/>
    <n v="2"/>
    <x v="21"/>
    <n v="4.1000000000000003E-3"/>
    <s v="P"/>
    <s v="P"/>
    <s v="P"/>
    <s v="-"/>
    <s v="+"/>
    <n v="10.6"/>
    <n v="8.5399999999999991"/>
    <n v="0.47"/>
    <n v="54.5"/>
    <s v="-"/>
    <s v="-"/>
    <n v="23.17"/>
    <s v="-"/>
    <s v="-"/>
    <s v="P"/>
    <s v="P"/>
    <s v="-"/>
    <n v="2"/>
    <n v="1"/>
    <n v="2"/>
    <n v="0"/>
    <s v="-"/>
    <n v="2"/>
    <n v="2"/>
    <s v="-"/>
    <s v="-"/>
    <n v="2"/>
    <s v="-"/>
    <n v="11"/>
    <n v="12"/>
    <s v="-"/>
    <n v="1"/>
    <n v="1"/>
    <n v="2"/>
    <n v="2"/>
    <n v="13"/>
    <n v="14"/>
  </r>
  <r>
    <x v="0"/>
    <x v="15"/>
    <d v="2026-01-14T00:00:00"/>
    <s v="2ND"/>
    <d v="1899-12-30T17:00:00"/>
    <n v="2"/>
    <x v="21"/>
    <n v="3.7000000000000002E-3"/>
    <s v="P"/>
    <s v="P"/>
    <s v="P"/>
    <s v="-"/>
    <s v="+"/>
    <n v="10.36"/>
    <s v="-"/>
    <s v="-"/>
    <s v="-"/>
    <s v="-"/>
    <s v="-"/>
    <s v="-"/>
    <s v="-"/>
    <s v="-"/>
    <s v="P"/>
    <s v="P"/>
    <s v="-"/>
    <n v="2"/>
    <n v="1"/>
    <n v="2"/>
    <n v="0"/>
    <s v="-"/>
    <s v="-"/>
    <s v="-"/>
    <s v="-"/>
    <s v="-"/>
    <s v="-"/>
    <s v="-"/>
    <n v="5"/>
    <n v="6"/>
    <s v="-"/>
    <n v="1"/>
    <n v="1"/>
    <n v="2"/>
    <n v="2"/>
    <n v="7"/>
    <n v="8"/>
  </r>
  <r>
    <x v="0"/>
    <x v="15"/>
    <d v="2026-01-14T00:00:00"/>
    <s v="2ND"/>
    <d v="1899-12-30T19:00:00"/>
    <n v="2"/>
    <x v="21"/>
    <n v="1.8E-3"/>
    <s v="P"/>
    <s v="P"/>
    <s v="P"/>
    <s v="-"/>
    <s v="+"/>
    <n v="10.6"/>
    <s v="-"/>
    <s v="-"/>
    <s v="-"/>
    <s v="-"/>
    <s v="-"/>
    <s v="-"/>
    <s v="-"/>
    <s v="-"/>
    <s v="P"/>
    <s v="P"/>
    <s v="-"/>
    <n v="2"/>
    <n v="1"/>
    <n v="2"/>
    <n v="0"/>
    <s v="-"/>
    <s v="-"/>
    <s v="-"/>
    <s v="-"/>
    <s v="-"/>
    <s v="-"/>
    <s v="-"/>
    <n v="5"/>
    <n v="6"/>
    <s v="-"/>
    <n v="1"/>
    <n v="1"/>
    <n v="2"/>
    <n v="2"/>
    <n v="7"/>
    <n v="8"/>
  </r>
  <r>
    <x v="0"/>
    <x v="15"/>
    <d v="2026-01-14T00:00:00"/>
    <s v="2ND"/>
    <d v="1899-12-30T20:00:00"/>
    <n v="2"/>
    <x v="21"/>
    <n v="2.9999999999999997E-4"/>
    <s v="P"/>
    <s v="P"/>
    <s v="P"/>
    <s v="-"/>
    <s v="+"/>
    <n v="10.49"/>
    <s v="-"/>
    <s v="-"/>
    <s v="-"/>
    <s v="-"/>
    <s v="-"/>
    <s v="-"/>
    <s v="-"/>
    <n v="25.15"/>
    <s v="P"/>
    <s v="P"/>
    <s v="-"/>
    <n v="2"/>
    <n v="1"/>
    <n v="2"/>
    <n v="0"/>
    <s v="-"/>
    <s v="-"/>
    <s v="-"/>
    <s v="-"/>
    <s v="-"/>
    <s v="-"/>
    <s v="-"/>
    <n v="5"/>
    <n v="6"/>
    <n v="1"/>
    <n v="1"/>
    <n v="1"/>
    <n v="3"/>
    <n v="3"/>
    <n v="8"/>
    <n v="9"/>
  </r>
  <r>
    <x v="0"/>
    <x v="15"/>
    <d v="2026-01-14T00:00:00"/>
    <s v="3RD"/>
    <d v="1899-12-30T22:00:00"/>
    <n v="2"/>
    <x v="21"/>
    <n v="6.1000000000000004E-3"/>
    <s v="P"/>
    <s v="P"/>
    <s v="P"/>
    <s v="-"/>
    <s v="+"/>
    <n v="10.67"/>
    <n v="8.5399999999999991"/>
    <n v="0.49"/>
    <s v="-"/>
    <s v="-"/>
    <s v="-"/>
    <n v="23"/>
    <s v="-"/>
    <s v="-"/>
    <s v="P"/>
    <s v="P"/>
    <s v="-"/>
    <n v="2"/>
    <n v="1"/>
    <n v="2"/>
    <n v="0"/>
    <s v="-"/>
    <n v="2"/>
    <s v="-"/>
    <s v="-"/>
    <s v="-"/>
    <n v="2"/>
    <s v="-"/>
    <n v="9"/>
    <n v="10"/>
    <s v="-"/>
    <n v="1"/>
    <n v="1"/>
    <n v="2"/>
    <n v="2"/>
    <n v="11"/>
    <n v="12"/>
  </r>
  <r>
    <x v="0"/>
    <x v="15"/>
    <d v="2026-01-14T00:00:00"/>
    <s v="3RD"/>
    <d v="1899-12-30T23:00:00"/>
    <n v="2"/>
    <x v="21"/>
    <n v="9.5999999999999992E-3"/>
    <s v="P"/>
    <s v="P"/>
    <s v="P"/>
    <s v="-"/>
    <s v="+"/>
    <n v="10.8"/>
    <s v="-"/>
    <s v="-"/>
    <s v="-"/>
    <s v="-"/>
    <s v="-"/>
    <s v="-"/>
    <s v="-"/>
    <s v="-"/>
    <s v="P"/>
    <s v="P"/>
    <s v="-"/>
    <n v="2"/>
    <n v="1"/>
    <n v="2"/>
    <n v="0"/>
    <s v="-"/>
    <s v="-"/>
    <s v="-"/>
    <s v="-"/>
    <s v="-"/>
    <s v="-"/>
    <s v="-"/>
    <n v="5"/>
    <n v="6"/>
    <s v="-"/>
    <n v="1"/>
    <n v="1"/>
    <n v="2"/>
    <n v="2"/>
    <n v="7"/>
    <n v="8"/>
  </r>
  <r>
    <x v="0"/>
    <x v="15"/>
    <d v="2026-01-14T00:00:00"/>
    <s v="3RD"/>
    <d v="1899-12-30T00:00:00"/>
    <n v="2"/>
    <x v="21"/>
    <n v="9.9000000000000008E-3"/>
    <s v="P"/>
    <s v="P"/>
    <s v="P"/>
    <s v="-"/>
    <s v="+"/>
    <n v="10.84"/>
    <s v="-"/>
    <s v="-"/>
    <s v="-"/>
    <s v="-"/>
    <s v="-"/>
    <s v="-"/>
    <s v="-"/>
    <s v="-"/>
    <s v="P"/>
    <s v="P"/>
    <s v="-"/>
    <n v="2"/>
    <n v="1"/>
    <n v="2"/>
    <n v="0"/>
    <s v="-"/>
    <s v="-"/>
    <s v="-"/>
    <s v="-"/>
    <s v="-"/>
    <s v="-"/>
    <s v="-"/>
    <n v="5"/>
    <n v="6"/>
    <s v="-"/>
    <n v="1"/>
    <n v="1"/>
    <n v="2"/>
    <n v="2"/>
    <n v="7"/>
    <n v="8"/>
  </r>
  <r>
    <x v="0"/>
    <x v="15"/>
    <d v="2026-01-21T00:00:00"/>
    <s v="2ND"/>
    <d v="1899-12-30T15:00:00"/>
    <s v="Retail"/>
    <x v="9"/>
    <s v="-"/>
    <s v="-"/>
    <s v="-"/>
    <s v="-"/>
    <s v="-"/>
    <s v="-"/>
    <n v="9.9"/>
    <s v="-"/>
    <s v="-"/>
    <s v="-"/>
    <s v="-"/>
    <s v="-"/>
    <s v="-"/>
    <s v="-"/>
    <s v="-"/>
    <s v="-"/>
    <s v="-"/>
    <s v="-"/>
    <s v="-"/>
    <s v="-"/>
    <s v="-"/>
    <n v="0"/>
    <s v="-"/>
    <s v="-"/>
    <s v="-"/>
    <s v="-"/>
    <s v="-"/>
    <s v="-"/>
    <s v="-"/>
    <n v="0"/>
    <n v="1"/>
    <s v="-"/>
    <s v="-"/>
    <s v="-"/>
    <n v="0"/>
    <n v="0"/>
    <n v="0"/>
    <n v="1"/>
  </r>
  <r>
    <x v="0"/>
    <x v="15"/>
    <d v="2026-01-20T00:00:00"/>
    <s v="1ST"/>
    <s v="12:00"/>
    <n v="3"/>
    <x v="16"/>
    <n v="1.5599999999999999E-2"/>
    <s v="P"/>
    <s v="P"/>
    <s v="P"/>
    <s v="+"/>
    <s v="+"/>
    <n v="12.47"/>
    <n v="13.1"/>
    <n v="0.44"/>
    <n v="64.400000000000006"/>
    <n v="15"/>
    <n v="796"/>
    <n v="36.799999999999997"/>
    <s v="-"/>
    <s v="-"/>
    <s v="P"/>
    <s v="P"/>
    <s v="-"/>
    <n v="2"/>
    <n v="1"/>
    <n v="2"/>
    <n v="1"/>
    <n v="1"/>
    <n v="2"/>
    <n v="2"/>
    <n v="1"/>
    <n v="1"/>
    <n v="2"/>
    <s v="-"/>
    <n v="15"/>
    <n v="15"/>
    <s v="-"/>
    <n v="1"/>
    <n v="1"/>
    <n v="2"/>
    <n v="2"/>
    <n v="17"/>
    <n v="17"/>
  </r>
  <r>
    <x v="0"/>
    <x v="15"/>
    <d v="2026-01-20T00:00:00"/>
    <s v="2ND"/>
    <d v="1899-12-30T14:00:00"/>
    <n v="3"/>
    <x v="16"/>
    <n v="3.3999999999999998E-3"/>
    <s v="P"/>
    <s v="P"/>
    <s v="P"/>
    <s v="+"/>
    <s v="+"/>
    <n v="12.65"/>
    <n v="13.06"/>
    <n v="0.47"/>
    <s v="-"/>
    <s v="-"/>
    <s v="-"/>
    <n v="36.6"/>
    <s v="-"/>
    <s v="-"/>
    <s v="P"/>
    <s v="P"/>
    <s v="-"/>
    <n v="2"/>
    <n v="1"/>
    <n v="2"/>
    <n v="1"/>
    <n v="1"/>
    <n v="2"/>
    <s v="-"/>
    <s v="-"/>
    <s v="-"/>
    <n v="2"/>
    <s v="-"/>
    <n v="11"/>
    <n v="11"/>
    <s v="-"/>
    <n v="1"/>
    <n v="1"/>
    <n v="2"/>
    <n v="2"/>
    <n v="13"/>
    <n v="13"/>
  </r>
  <r>
    <x v="0"/>
    <x v="15"/>
    <d v="2026-01-20T00:00:00"/>
    <s v="2ND"/>
    <d v="1899-12-30T15:00:00"/>
    <n v="3"/>
    <x v="16"/>
    <n v="4.1000000000000003E-3"/>
    <s v="P"/>
    <s v="P"/>
    <s v="P"/>
    <s v="+"/>
    <s v="+"/>
    <n v="12.45"/>
    <s v="-"/>
    <s v="-"/>
    <s v="-"/>
    <s v="-"/>
    <s v="-"/>
    <s v="-"/>
    <s v="-"/>
    <s v="-"/>
    <s v="P"/>
    <s v="P"/>
    <s v="-"/>
    <n v="2"/>
    <n v="1"/>
    <n v="2"/>
    <n v="1"/>
    <s v="-"/>
    <s v="-"/>
    <s v="-"/>
    <s v="-"/>
    <s v="-"/>
    <s v="-"/>
    <s v="-"/>
    <n v="6"/>
    <n v="6"/>
    <s v="-"/>
    <n v="1"/>
    <n v="1"/>
    <n v="2"/>
    <n v="2"/>
    <n v="8"/>
    <n v="8"/>
  </r>
  <r>
    <x v="0"/>
    <x v="15"/>
    <d v="2026-01-20T00:00:00"/>
    <s v="3RD"/>
    <d v="1899-12-31T00:00:00"/>
    <n v="3"/>
    <x v="16"/>
    <n v="1.8100000000000002E-2"/>
    <s v="P"/>
    <s v="P"/>
    <s v="P"/>
    <s v="+"/>
    <s v="+"/>
    <n v="12.4"/>
    <n v="12.68"/>
    <n v="0.44"/>
    <s v="-"/>
    <s v="-"/>
    <s v="-"/>
    <n v="35.4"/>
    <s v="-"/>
    <s v="-"/>
    <s v="P"/>
    <s v="P"/>
    <n v="1"/>
    <n v="2"/>
    <n v="1"/>
    <n v="2"/>
    <n v="1"/>
    <n v="1"/>
    <n v="2"/>
    <s v="-"/>
    <s v="-"/>
    <s v="-"/>
    <n v="2"/>
    <s v="-"/>
    <n v="11"/>
    <n v="11"/>
    <s v="-"/>
    <n v="1"/>
    <n v="1"/>
    <n v="2"/>
    <n v="2"/>
    <n v="13"/>
    <n v="13"/>
  </r>
  <r>
    <x v="0"/>
    <x v="15"/>
    <d v="2026-01-20T00:00:00"/>
    <s v="3RD"/>
    <d v="1899-12-31T01:00:00"/>
    <n v="3"/>
    <x v="16"/>
    <n v="1.23E-2"/>
    <s v="P"/>
    <s v="P"/>
    <s v="P"/>
    <s v="+"/>
    <s v="+"/>
    <n v="12.68"/>
    <s v="-"/>
    <s v="-"/>
    <s v="-"/>
    <s v="-"/>
    <s v="-"/>
    <s v="-"/>
    <s v="-"/>
    <s v="-"/>
    <s v="P"/>
    <s v="P"/>
    <s v="-"/>
    <n v="2"/>
    <n v="1"/>
    <n v="2"/>
    <n v="1"/>
    <s v="-"/>
    <s v="-"/>
    <s v="-"/>
    <s v="-"/>
    <s v="-"/>
    <s v="-"/>
    <s v="-"/>
    <n v="6"/>
    <n v="6"/>
    <s v="-"/>
    <n v="1"/>
    <n v="1"/>
    <n v="2"/>
    <n v="2"/>
    <n v="8"/>
    <n v="8"/>
  </r>
  <r>
    <x v="0"/>
    <x v="15"/>
    <d v="2026-01-20T00:00:00"/>
    <s v="3RD"/>
    <d v="1899-12-31T02:00:00"/>
    <n v="3"/>
    <x v="16"/>
    <n v="8.3000000000000001E-3"/>
    <s v="P"/>
    <s v="P"/>
    <s v="P"/>
    <s v="+"/>
    <s v="+"/>
    <n v="12.62"/>
    <s v="-"/>
    <s v="-"/>
    <s v="-"/>
    <s v="-"/>
    <s v="-"/>
    <s v="-"/>
    <s v="-"/>
    <s v="-"/>
    <s v="P"/>
    <s v="P"/>
    <s v="-"/>
    <n v="2"/>
    <n v="1"/>
    <n v="2"/>
    <n v="1"/>
    <s v="-"/>
    <s v="-"/>
    <s v="-"/>
    <s v="-"/>
    <s v="-"/>
    <s v="-"/>
    <s v="-"/>
    <n v="6"/>
    <n v="6"/>
    <s v="-"/>
    <n v="1"/>
    <n v="1"/>
    <n v="2"/>
    <n v="2"/>
    <n v="8"/>
    <n v="8"/>
  </r>
  <r>
    <x v="0"/>
    <x v="16"/>
    <d v="2026-01-03T00:00:00"/>
    <s v="3RD"/>
    <d v="1899-12-30T22:00:00"/>
    <n v="3"/>
    <x v="6"/>
    <n v="8.0000000000000002E-3"/>
    <s v="P"/>
    <s v="P"/>
    <s v="P"/>
    <s v="+"/>
    <s v="+"/>
    <n v="12.36"/>
    <s v="-"/>
    <s v="-"/>
    <s v="-"/>
    <s v="-"/>
    <s v="-"/>
    <s v="-"/>
    <s v="-"/>
    <s v="-"/>
    <s v="P"/>
    <s v="P"/>
    <s v="70% 10% 20%"/>
    <n v="2"/>
    <n v="1"/>
    <n v="2"/>
    <n v="1"/>
    <s v="-"/>
    <s v="-"/>
    <s v="-"/>
    <s v="-"/>
    <s v="-"/>
    <s v="-"/>
    <s v="-"/>
    <n v="6"/>
    <n v="6"/>
    <s v="-"/>
    <n v="1"/>
    <n v="1"/>
    <n v="2"/>
    <n v="2"/>
    <n v="8"/>
    <n v="8"/>
  </r>
  <r>
    <x v="0"/>
    <x v="16"/>
    <d v="2026-01-16T00:00:00"/>
    <s v="3RD"/>
    <d v="1899-12-30T23:00:00"/>
    <n v="3"/>
    <x v="6"/>
    <n v="7.7999999999999996E-3"/>
    <s v="P"/>
    <s v="P"/>
    <s v="P"/>
    <s v="+"/>
    <s v="+"/>
    <n v="12.49"/>
    <n v="12.23"/>
    <n v="0.5"/>
    <n v="64.599999999999994"/>
    <s v="-"/>
    <s v="-"/>
    <n v="34.200000000000003"/>
    <s v="-"/>
    <s v="-"/>
    <s v="P"/>
    <s v="P"/>
    <s v="-"/>
    <n v="2"/>
    <n v="1"/>
    <n v="2"/>
    <n v="1"/>
    <n v="1"/>
    <n v="2"/>
    <n v="2"/>
    <s v="-"/>
    <s v="-"/>
    <n v="2"/>
    <s v="-"/>
    <n v="13"/>
    <n v="13"/>
    <s v="-"/>
    <n v="1"/>
    <n v="1"/>
    <n v="2"/>
    <n v="2"/>
    <n v="15"/>
    <n v="15"/>
  </r>
  <r>
    <x v="0"/>
    <x v="16"/>
    <d v="2026-01-16T00:00:00"/>
    <s v="3RD"/>
    <d v="1899-12-31T00:00:00"/>
    <n v="3"/>
    <x v="6"/>
    <n v="5.7999999999999996E-3"/>
    <s v="P"/>
    <s v="P"/>
    <s v="P"/>
    <s v="+"/>
    <s v="+"/>
    <n v="12.41"/>
    <s v="-"/>
    <s v="-"/>
    <s v="-"/>
    <s v="-"/>
    <s v="-"/>
    <s v="-"/>
    <s v="-"/>
    <s v="-"/>
    <s v="P"/>
    <s v="P"/>
    <s v="-"/>
    <n v="2"/>
    <n v="1"/>
    <n v="2"/>
    <n v="1"/>
    <s v="-"/>
    <s v="-"/>
    <s v="-"/>
    <s v="-"/>
    <s v="-"/>
    <s v="-"/>
    <s v="-"/>
    <n v="6"/>
    <n v="6"/>
    <s v="-"/>
    <n v="1"/>
    <n v="1"/>
    <n v="2"/>
    <n v="2"/>
    <n v="8"/>
    <n v="8"/>
  </r>
  <r>
    <x v="0"/>
    <x v="16"/>
    <d v="2026-01-16T00:00:00"/>
    <s v="3RD"/>
    <d v="1899-12-31T01:00:00"/>
    <n v="3"/>
    <x v="6"/>
    <n v="5.5999999999999999E-3"/>
    <s v="P"/>
    <s v="P"/>
    <s v="P"/>
    <s v="+"/>
    <s v="+"/>
    <n v="12.69"/>
    <s v="-"/>
    <s v="-"/>
    <s v="-"/>
    <s v="-"/>
    <s v="-"/>
    <s v="-"/>
    <s v="-"/>
    <s v="-"/>
    <s v="P"/>
    <s v="P"/>
    <s v="-"/>
    <n v="2"/>
    <n v="1"/>
    <n v="2"/>
    <n v="1"/>
    <s v="-"/>
    <s v="-"/>
    <s v="-"/>
    <s v="-"/>
    <s v="-"/>
    <s v="-"/>
    <s v="-"/>
    <n v="6"/>
    <n v="6"/>
    <s v="-"/>
    <n v="1"/>
    <n v="1"/>
    <n v="2"/>
    <n v="2"/>
    <n v="8"/>
    <n v="8"/>
  </r>
  <r>
    <x v="0"/>
    <x v="16"/>
    <d v="2026-01-16T00:00:00"/>
    <s v="3RD"/>
    <d v="1899-12-31T02:00:00"/>
    <n v="3"/>
    <x v="6"/>
    <n v="9.2999999999999992E-3"/>
    <s v="P"/>
    <s v="P"/>
    <s v="P"/>
    <s v="+"/>
    <s v="+"/>
    <n v="12.67"/>
    <s v="-"/>
    <s v="-"/>
    <s v="-"/>
    <s v="-"/>
    <s v="-"/>
    <s v="-"/>
    <s v="-"/>
    <s v="-"/>
    <s v="P"/>
    <s v="P"/>
    <s v="-"/>
    <n v="2"/>
    <n v="1"/>
    <n v="2"/>
    <n v="1"/>
    <s v="-"/>
    <s v="-"/>
    <s v="-"/>
    <s v="-"/>
    <s v="-"/>
    <s v="-"/>
    <s v="-"/>
    <n v="6"/>
    <n v="6"/>
    <s v="-"/>
    <n v="1"/>
    <n v="1"/>
    <n v="2"/>
    <n v="2"/>
    <n v="8"/>
    <n v="8"/>
  </r>
  <r>
    <x v="0"/>
    <x v="16"/>
    <d v="2026-01-16T00:00:00"/>
    <s v="3RD"/>
    <d v="1899-12-31T03:00:00"/>
    <n v="3"/>
    <x v="6"/>
    <n v="1.2200000000000001E-2"/>
    <s v="P"/>
    <s v="P"/>
    <s v="P"/>
    <s v="+"/>
    <s v="+"/>
    <n v="12.74"/>
    <s v="-"/>
    <s v="-"/>
    <s v="-"/>
    <s v="-"/>
    <s v="-"/>
    <s v="-"/>
    <s v="-"/>
    <s v="-"/>
    <s v="P"/>
    <s v="P"/>
    <s v="-"/>
    <n v="2"/>
    <n v="1"/>
    <n v="2"/>
    <n v="1"/>
    <s v="-"/>
    <s v="-"/>
    <s v="-"/>
    <s v="-"/>
    <s v="-"/>
    <s v="-"/>
    <s v="-"/>
    <n v="6"/>
    <n v="6"/>
    <s v="-"/>
    <n v="1"/>
    <n v="1"/>
    <n v="2"/>
    <n v="2"/>
    <n v="8"/>
    <n v="8"/>
  </r>
  <r>
    <x v="0"/>
    <x v="16"/>
    <d v="2026-01-07T00:00:00"/>
    <s v="1ST"/>
    <d v="1899-12-30T06:00:00"/>
    <n v="2"/>
    <x v="2"/>
    <n v="3.0999999999999999E-3"/>
    <s v="P"/>
    <s v="P"/>
    <s v="P"/>
    <s v="-"/>
    <s v="+"/>
    <n v="10.47"/>
    <n v="8.85"/>
    <n v="0.46"/>
    <n v="57.4"/>
    <s v="-"/>
    <s v="-"/>
    <n v="24.1"/>
    <s v="-"/>
    <s v="-"/>
    <s v="P"/>
    <s v="P"/>
    <s v="-"/>
    <n v="2"/>
    <n v="1"/>
    <n v="2"/>
    <n v="0"/>
    <n v="0"/>
    <n v="2"/>
    <n v="0"/>
    <s v="-"/>
    <s v="-"/>
    <n v="0"/>
    <s v="-"/>
    <n v="7"/>
    <n v="13"/>
    <s v="-"/>
    <n v="1"/>
    <n v="1"/>
    <n v="2"/>
    <n v="2"/>
    <n v="9"/>
    <n v="15"/>
  </r>
  <r>
    <x v="0"/>
    <x v="16"/>
    <d v="2026-01-07T00:00:00"/>
    <s v="1ST"/>
    <d v="1899-12-30T07:00:00"/>
    <n v="2"/>
    <x v="2"/>
    <n v="3.3999999999999998E-3"/>
    <s v="P"/>
    <s v="P"/>
    <s v="P"/>
    <s v="-"/>
    <s v="+"/>
    <n v="10.54"/>
    <s v="-"/>
    <s v="-"/>
    <s v="-"/>
    <s v="-"/>
    <s v="-"/>
    <s v="-"/>
    <s v="-"/>
    <s v="-"/>
    <s v="P"/>
    <s v="P"/>
    <s v="-"/>
    <n v="2"/>
    <n v="1"/>
    <n v="2"/>
    <n v="0"/>
    <s v="-"/>
    <s v="-"/>
    <s v="-"/>
    <s v="-"/>
    <s v="-"/>
    <s v="-"/>
    <s v="-"/>
    <n v="5"/>
    <n v="6"/>
    <s v="-"/>
    <n v="1"/>
    <n v="1"/>
    <n v="2"/>
    <n v="2"/>
    <n v="7"/>
    <n v="8"/>
  </r>
  <r>
    <x v="0"/>
    <x v="16"/>
    <d v="2026-01-07T00:00:00"/>
    <s v="1ST"/>
    <d v="1899-12-30T08:00:00"/>
    <n v="2"/>
    <x v="2"/>
    <n v="4.7999999999999996E-3"/>
    <s v="P"/>
    <s v="P"/>
    <s v="P"/>
    <s v="-"/>
    <s v="+"/>
    <n v="10.61"/>
    <s v="-"/>
    <s v="-"/>
    <s v="-"/>
    <s v="-"/>
    <s v="-"/>
    <s v="-"/>
    <s v="-"/>
    <s v="-"/>
    <s v="P"/>
    <s v="P"/>
    <s v="-"/>
    <n v="2"/>
    <n v="1"/>
    <n v="2"/>
    <n v="0"/>
    <s v="-"/>
    <s v="-"/>
    <s v="-"/>
    <s v="-"/>
    <s v="-"/>
    <s v="-"/>
    <s v="-"/>
    <n v="5"/>
    <n v="6"/>
    <s v="-"/>
    <n v="1"/>
    <n v="1"/>
    <n v="2"/>
    <n v="2"/>
    <n v="7"/>
    <n v="8"/>
  </r>
  <r>
    <x v="0"/>
    <x v="16"/>
    <d v="2026-01-07T00:00:00"/>
    <s v="1ST"/>
    <d v="1899-12-30T09:00:00"/>
    <n v="2"/>
    <x v="2"/>
    <n v="1.2E-2"/>
    <s v="P"/>
    <s v="P"/>
    <s v="P"/>
    <s v="-"/>
    <s v="+"/>
    <n v="10.39"/>
    <s v="-"/>
    <s v="-"/>
    <s v="-"/>
    <s v="-"/>
    <s v="-"/>
    <s v="-"/>
    <s v="-"/>
    <s v="-"/>
    <s v="P"/>
    <s v="P"/>
    <s v="-"/>
    <n v="2"/>
    <n v="1"/>
    <n v="2"/>
    <n v="0"/>
    <s v="-"/>
    <s v="-"/>
    <s v="-"/>
    <s v="-"/>
    <s v="-"/>
    <s v="-"/>
    <s v="-"/>
    <n v="5"/>
    <n v="6"/>
    <s v="-"/>
    <n v="1"/>
    <n v="1"/>
    <n v="2"/>
    <n v="2"/>
    <n v="7"/>
    <n v="8"/>
  </r>
  <r>
    <x v="0"/>
    <x v="16"/>
    <d v="2026-01-07T00:00:00"/>
    <s v="1ST"/>
    <d v="1899-12-30T12:00:00"/>
    <n v="2"/>
    <x v="2"/>
    <n v="5.1999999999999998E-3"/>
    <s v="P"/>
    <s v="P"/>
    <s v="P"/>
    <s v="-"/>
    <s v="+"/>
    <n v="10.49"/>
    <s v="-"/>
    <s v="-"/>
    <s v="-"/>
    <s v="-"/>
    <s v="-"/>
    <s v="-"/>
    <s v="-"/>
    <s v="-"/>
    <s v="P"/>
    <s v="P"/>
    <s v="-"/>
    <n v="2"/>
    <n v="1"/>
    <n v="2"/>
    <n v="0"/>
    <s v="-"/>
    <s v="-"/>
    <s v="-"/>
    <s v="-"/>
    <s v="-"/>
    <s v="-"/>
    <s v="-"/>
    <n v="5"/>
    <n v="6"/>
    <s v="-"/>
    <n v="1"/>
    <n v="1"/>
    <n v="2"/>
    <n v="2"/>
    <n v="7"/>
    <n v="8"/>
  </r>
  <r>
    <x v="0"/>
    <x v="16"/>
    <d v="2026-01-07T00:00:00"/>
    <s v="2ND"/>
    <d v="1899-12-30T14:00:00"/>
    <n v="2"/>
    <x v="2"/>
    <n v="2.0999999999999999E-3"/>
    <s v="P"/>
    <s v="P"/>
    <s v="P"/>
    <s v="-"/>
    <s v="+"/>
    <n v="10.61"/>
    <n v="8.44"/>
    <n v="0.46"/>
    <s v="-"/>
    <s v="-"/>
    <s v="-"/>
    <n v="24.26"/>
    <s v="-"/>
    <s v="-"/>
    <s v="P"/>
    <s v="P"/>
    <s v="-"/>
    <n v="2"/>
    <n v="1"/>
    <n v="2"/>
    <n v="0"/>
    <n v="0"/>
    <n v="2"/>
    <s v="-"/>
    <s v="-"/>
    <s v="-"/>
    <n v="0"/>
    <s v="-"/>
    <n v="7"/>
    <n v="11"/>
    <s v="-"/>
    <n v="1"/>
    <n v="1"/>
    <n v="2"/>
    <n v="2"/>
    <n v="9"/>
    <n v="13"/>
  </r>
  <r>
    <x v="0"/>
    <x v="16"/>
    <d v="2026-01-07T00:00:00"/>
    <s v="2ND"/>
    <d v="1899-12-30T15:00:00"/>
    <n v="2"/>
    <x v="2"/>
    <n v="2.5000000000000001E-3"/>
    <s v="P"/>
    <s v="P"/>
    <s v="P"/>
    <s v="-"/>
    <s v="+"/>
    <n v="11.17"/>
    <s v="-"/>
    <s v="-"/>
    <s v="-"/>
    <s v="-"/>
    <s v="-"/>
    <s v="-"/>
    <s v="-"/>
    <s v="-"/>
    <s v="P"/>
    <s v="P"/>
    <s v="-"/>
    <n v="2"/>
    <n v="1"/>
    <n v="2"/>
    <n v="0"/>
    <s v="-"/>
    <s v="-"/>
    <s v="-"/>
    <s v="-"/>
    <s v="-"/>
    <s v="-"/>
    <s v="-"/>
    <n v="5"/>
    <n v="6"/>
    <s v="-"/>
    <n v="1"/>
    <n v="1"/>
    <n v="2"/>
    <n v="2"/>
    <n v="7"/>
    <n v="8"/>
  </r>
  <r>
    <x v="0"/>
    <x v="16"/>
    <d v="2026-01-07T00:00:00"/>
    <s v="2ND"/>
    <d v="1899-12-30T16:00:00"/>
    <n v="2"/>
    <x v="2"/>
    <n v="4.0000000000000001E-3"/>
    <s v="P"/>
    <s v="P"/>
    <s v="P"/>
    <s v="-"/>
    <s v="+"/>
    <n v="10.41"/>
    <s v="-"/>
    <s v="-"/>
    <s v="-"/>
    <s v="-"/>
    <s v="-"/>
    <s v="-"/>
    <s v="-"/>
    <s v="-"/>
    <s v="P"/>
    <s v="P"/>
    <s v="-"/>
    <n v="2"/>
    <n v="1"/>
    <n v="2"/>
    <n v="0"/>
    <s v="-"/>
    <s v="-"/>
    <s v="-"/>
    <s v="-"/>
    <s v="-"/>
    <s v="-"/>
    <s v="-"/>
    <n v="5"/>
    <n v="6"/>
    <s v="-"/>
    <n v="1"/>
    <n v="1"/>
    <n v="2"/>
    <n v="2"/>
    <n v="7"/>
    <n v="8"/>
  </r>
  <r>
    <x v="0"/>
    <x v="16"/>
    <d v="2026-01-07T00:00:00"/>
    <s v="2ND"/>
    <d v="1899-12-30T17:00:00"/>
    <n v="2"/>
    <x v="2"/>
    <n v="5.4000000000000003E-3"/>
    <s v="P"/>
    <s v="P"/>
    <s v="P"/>
    <s v="-"/>
    <s v="+"/>
    <n v="10.43"/>
    <s v="-"/>
    <s v="-"/>
    <s v="-"/>
    <s v="-"/>
    <s v="-"/>
    <s v="-"/>
    <s v="-"/>
    <s v="-"/>
    <s v="P"/>
    <s v="P"/>
    <s v="-"/>
    <n v="2"/>
    <n v="1"/>
    <n v="2"/>
    <n v="0"/>
    <s v="-"/>
    <s v="-"/>
    <s v="-"/>
    <s v="-"/>
    <s v="-"/>
    <s v="-"/>
    <s v="-"/>
    <n v="5"/>
    <n v="6"/>
    <s v="-"/>
    <n v="1"/>
    <n v="1"/>
    <n v="2"/>
    <n v="2"/>
    <n v="7"/>
    <n v="8"/>
  </r>
  <r>
    <x v="0"/>
    <x v="16"/>
    <d v="2026-01-07T00:00:00"/>
    <s v="2ND"/>
    <d v="1899-12-30T18:00:00"/>
    <n v="2"/>
    <x v="2"/>
    <n v="1.52E-2"/>
    <s v="P"/>
    <s v="P"/>
    <s v="P"/>
    <s v="-"/>
    <s v="+"/>
    <n v="10.11"/>
    <n v="8.74"/>
    <n v="0.51"/>
    <n v="58.1"/>
    <s v="-"/>
    <s v="-"/>
    <n v="23.73"/>
    <s v="-"/>
    <s v="-"/>
    <s v="P"/>
    <s v="P"/>
    <s v="-"/>
    <n v="2"/>
    <n v="1"/>
    <n v="2"/>
    <n v="0"/>
    <n v="0"/>
    <n v="2"/>
    <n v="0"/>
    <s v="-"/>
    <s v="-"/>
    <n v="0"/>
    <s v="-"/>
    <n v="7"/>
    <n v="13"/>
    <s v="-"/>
    <n v="1"/>
    <n v="1"/>
    <n v="2"/>
    <n v="2"/>
    <n v="9"/>
    <n v="15"/>
  </r>
  <r>
    <x v="0"/>
    <x v="16"/>
    <d v="2026-01-07T00:00:00"/>
    <s v="2ND"/>
    <d v="1899-12-30T19:00:00"/>
    <n v="2"/>
    <x v="2"/>
    <n v="1.44E-2"/>
    <s v="P"/>
    <s v="P"/>
    <s v="P"/>
    <s v="-"/>
    <s v="+"/>
    <n v="10.28"/>
    <s v="-"/>
    <s v="-"/>
    <s v="-"/>
    <s v="-"/>
    <s v="-"/>
    <s v="-"/>
    <s v="-"/>
    <s v="-"/>
    <s v="P"/>
    <s v="P"/>
    <s v="-"/>
    <n v="2"/>
    <n v="1"/>
    <n v="2"/>
    <n v="0"/>
    <s v="-"/>
    <s v="-"/>
    <s v="-"/>
    <s v="-"/>
    <s v="-"/>
    <s v="-"/>
    <s v="-"/>
    <n v="5"/>
    <n v="6"/>
    <s v="-"/>
    <n v="1"/>
    <n v="1"/>
    <n v="2"/>
    <n v="2"/>
    <n v="7"/>
    <n v="8"/>
  </r>
  <r>
    <x v="0"/>
    <x v="16"/>
    <d v="2026-01-19T00:00:00"/>
    <s v="3RD"/>
    <d v="1899-12-30T03:00:00"/>
    <n v="1"/>
    <x v="17"/>
    <n v="4.7999999999999996E-3"/>
    <s v="P"/>
    <s v="P"/>
    <s v="P"/>
    <s v="-"/>
    <s v="-"/>
    <n v="10.69"/>
    <n v="8.49"/>
    <n v="0.33"/>
    <n v="56.8"/>
    <n v="6.7"/>
    <n v="562"/>
    <n v="22.92"/>
    <s v="-"/>
    <s v="-"/>
    <s v="P"/>
    <s v="P"/>
    <s v="-"/>
    <n v="2"/>
    <n v="1"/>
    <n v="2"/>
    <n v="0"/>
    <n v="1"/>
    <n v="2"/>
    <n v="2"/>
    <n v="1"/>
    <n v="1"/>
    <n v="2"/>
    <s v="-"/>
    <n v="14"/>
    <n v="15"/>
    <s v="-"/>
    <n v="1"/>
    <n v="1"/>
    <n v="2"/>
    <n v="2"/>
    <n v="16"/>
    <n v="17"/>
  </r>
  <r>
    <x v="0"/>
    <x v="16"/>
    <d v="2026-01-19T00:00:00"/>
    <s v="3RD"/>
    <d v="1899-12-30T04:00:00"/>
    <n v="1"/>
    <x v="17"/>
    <n v="5.3E-3"/>
    <s v="P"/>
    <s v="P"/>
    <s v="P"/>
    <s v="-"/>
    <s v="-"/>
    <n v="10.6"/>
    <s v="-"/>
    <s v="-"/>
    <s v="-"/>
    <s v="-"/>
    <s v="-"/>
    <s v="-"/>
    <s v="-"/>
    <s v="-"/>
    <s v="P"/>
    <s v="P"/>
    <s v="-"/>
    <n v="2"/>
    <n v="1"/>
    <n v="2"/>
    <n v="0"/>
    <s v="-"/>
    <s v="-"/>
    <s v="-"/>
    <s v="-"/>
    <s v="-"/>
    <s v="-"/>
    <s v="-"/>
    <n v="5"/>
    <n v="6"/>
    <s v="-"/>
    <n v="1"/>
    <n v="1"/>
    <n v="2"/>
    <n v="2"/>
    <n v="7"/>
    <n v="8"/>
  </r>
  <r>
    <x v="0"/>
    <x v="16"/>
    <d v="2026-01-19T00:00:00"/>
    <s v="3RD"/>
    <d v="1899-12-30T05:00:00"/>
    <n v="1"/>
    <x v="17"/>
    <n v="4.7999999999999996E-3"/>
    <s v="P"/>
    <s v="P"/>
    <s v="P"/>
    <s v="-"/>
    <s v="-"/>
    <n v="10.72"/>
    <s v="-"/>
    <s v="-"/>
    <s v="-"/>
    <s v="-"/>
    <s v="-"/>
    <s v="-"/>
    <s v="-"/>
    <s v="-"/>
    <s v="P"/>
    <s v="P"/>
    <s v="-"/>
    <n v="2"/>
    <n v="1"/>
    <n v="2"/>
    <n v="0"/>
    <s v="-"/>
    <s v="-"/>
    <s v="-"/>
    <s v="-"/>
    <s v="-"/>
    <s v="-"/>
    <s v="-"/>
    <n v="5"/>
    <n v="6"/>
    <s v="-"/>
    <n v="1"/>
    <n v="1"/>
    <n v="2"/>
    <n v="2"/>
    <n v="7"/>
    <n v="8"/>
  </r>
  <r>
    <x v="0"/>
    <x v="16"/>
    <d v="2026-01-03T00:00:00"/>
    <s v="2ND"/>
    <d v="1899-12-30T18:00:00"/>
    <n v="3"/>
    <x v="30"/>
    <n v="7.1000000000000004E-3"/>
    <s v="P"/>
    <s v="P"/>
    <s v="P"/>
    <s v="+"/>
    <s v="+"/>
    <n v="11.63"/>
    <n v="12.7"/>
    <n v="0.45"/>
    <n v="65.5"/>
    <n v="15.3"/>
    <n v="678"/>
    <n v="35.5"/>
    <s v="-"/>
    <s v="-"/>
    <s v="P"/>
    <s v="P"/>
    <s v="-"/>
    <n v="2"/>
    <n v="1"/>
    <n v="2"/>
    <n v="0"/>
    <n v="1"/>
    <n v="2"/>
    <n v="2"/>
    <n v="1"/>
    <n v="1"/>
    <n v="2"/>
    <s v="-"/>
    <n v="14"/>
    <n v="15"/>
    <s v="-"/>
    <n v="1"/>
    <n v="1"/>
    <n v="2"/>
    <n v="2"/>
    <n v="16"/>
    <n v="17"/>
  </r>
  <r>
    <x v="0"/>
    <x v="16"/>
    <d v="2026-01-03T00:00:00"/>
    <s v="2ND"/>
    <d v="1899-12-30T19:00:00"/>
    <n v="3"/>
    <x v="30"/>
    <n v="5.4999999999999997E-3"/>
    <s v="P"/>
    <s v="P"/>
    <s v="P"/>
    <s v="+"/>
    <s v="+"/>
    <n v="12.53"/>
    <s v="-"/>
    <s v="-"/>
    <s v="-"/>
    <s v="-"/>
    <s v="-"/>
    <s v="-"/>
    <s v="-"/>
    <s v="-"/>
    <s v="P"/>
    <s v="P"/>
    <s v="-"/>
    <n v="2"/>
    <n v="1"/>
    <n v="2"/>
    <n v="1"/>
    <s v="-"/>
    <s v="-"/>
    <s v="-"/>
    <s v="-"/>
    <s v="-"/>
    <s v="-"/>
    <s v="-"/>
    <n v="6"/>
    <n v="6"/>
    <s v="-"/>
    <n v="1"/>
    <n v="1"/>
    <n v="2"/>
    <n v="2"/>
    <n v="8"/>
    <n v="8"/>
  </r>
  <r>
    <x v="0"/>
    <x v="16"/>
    <d v="2026-01-03T00:00:00"/>
    <s v="2ND"/>
    <d v="1899-12-30T20:00:00"/>
    <n v="3"/>
    <x v="30"/>
    <n v="2.3E-3"/>
    <s v="P"/>
    <s v="P"/>
    <s v="P"/>
    <s v="+"/>
    <s v="+"/>
    <n v="12.98"/>
    <s v="-"/>
    <s v="-"/>
    <s v="-"/>
    <s v="-"/>
    <s v="-"/>
    <s v="-"/>
    <s v="-"/>
    <s v="-"/>
    <s v="P"/>
    <s v="P"/>
    <s v="-"/>
    <n v="2"/>
    <n v="1"/>
    <n v="2"/>
    <n v="1"/>
    <s v="-"/>
    <s v="-"/>
    <s v="-"/>
    <s v="-"/>
    <s v="-"/>
    <s v="-"/>
    <s v="-"/>
    <n v="6"/>
    <n v="6"/>
    <s v="-"/>
    <n v="1"/>
    <n v="1"/>
    <n v="2"/>
    <n v="2"/>
    <n v="8"/>
    <n v="8"/>
  </r>
  <r>
    <x v="0"/>
    <x v="16"/>
    <d v="2026-01-21T00:00:00"/>
    <s v="1ST"/>
    <s v="12:00"/>
    <n v="3"/>
    <x v="1"/>
    <n v="6.4000000000000003E-3"/>
    <s v="P"/>
    <s v="P"/>
    <s v="P"/>
    <s v="+"/>
    <s v="+"/>
    <n v="12.43"/>
    <s v="-"/>
    <s v="-"/>
    <s v="-"/>
    <s v="-"/>
    <s v="-"/>
    <s v="-"/>
    <s v="-"/>
    <s v="-"/>
    <s v="P"/>
    <s v="P"/>
    <s v="-"/>
    <n v="2"/>
    <n v="1"/>
    <n v="2"/>
    <n v="1"/>
    <s v="-"/>
    <s v="-"/>
    <s v="-"/>
    <s v="-"/>
    <s v="-"/>
    <s v="-"/>
    <s v="-"/>
    <n v="6"/>
    <n v="6"/>
    <s v="-"/>
    <n v="1"/>
    <n v="1"/>
    <n v="2"/>
    <n v="2"/>
    <n v="8"/>
    <n v="8"/>
  </r>
  <r>
    <x v="0"/>
    <x v="16"/>
    <d v="2026-01-22T00:00:00"/>
    <s v="2ND"/>
    <d v="1899-12-30T14:00:00"/>
    <s v="Retail"/>
    <x v="13"/>
    <s v="-"/>
    <s v="-"/>
    <s v="-"/>
    <s v="-"/>
    <s v="-"/>
    <s v="-"/>
    <n v="10.92"/>
    <s v="-"/>
    <s v="-"/>
    <s v="-"/>
    <s v="-"/>
    <s v="-"/>
    <s v="-"/>
    <s v="-"/>
    <s v="-"/>
    <s v="-"/>
    <s v="-"/>
    <s v="-"/>
    <s v="-"/>
    <s v="-"/>
    <s v="-"/>
    <n v="0"/>
    <s v="-"/>
    <s v="-"/>
    <s v="-"/>
    <s v="-"/>
    <s v="-"/>
    <s v="-"/>
    <s v="-"/>
    <n v="0"/>
    <n v="1"/>
    <s v="-"/>
    <s v="-"/>
    <s v="-"/>
    <n v="0"/>
    <n v="0"/>
    <n v="0"/>
    <n v="1"/>
  </r>
  <r>
    <x v="0"/>
    <x v="16"/>
    <d v="2026-01-22T00:00:00"/>
    <s v="2ND"/>
    <d v="1899-12-30T15:00:00"/>
    <s v="Retail"/>
    <x v="9"/>
    <s v="-"/>
    <s v="-"/>
    <s v="-"/>
    <s v="-"/>
    <s v="-"/>
    <s v="-"/>
    <n v="9.3800000000000008"/>
    <s v="-"/>
    <s v="-"/>
    <s v="-"/>
    <s v="-"/>
    <s v="-"/>
    <s v="-"/>
    <s v="-"/>
    <s v="-"/>
    <s v="-"/>
    <s v="-"/>
    <s v="-"/>
    <s v="-"/>
    <s v="-"/>
    <s v="-"/>
    <n v="0"/>
    <s v="-"/>
    <s v="-"/>
    <s v="-"/>
    <s v="-"/>
    <s v="-"/>
    <s v="-"/>
    <s v="-"/>
    <n v="0"/>
    <n v="1"/>
    <s v="-"/>
    <s v="-"/>
    <s v="-"/>
    <n v="0"/>
    <n v="0"/>
    <n v="0"/>
    <n v="1"/>
  </r>
  <r>
    <x v="0"/>
    <x v="16"/>
    <d v="2026-01-16T00:00:00"/>
    <s v="1ST"/>
    <s v="12:00"/>
    <s v="Retail"/>
    <x v="31"/>
    <n v="1.49E-2"/>
    <s v="P"/>
    <s v="P"/>
    <s v="P"/>
    <s v="+"/>
    <s v="+"/>
    <n v="12.73"/>
    <n v="12.31"/>
    <n v="0.42"/>
    <n v="63.2"/>
    <n v="11.7"/>
    <n v="529"/>
    <n v="34.299999999999997"/>
    <s v="-"/>
    <s v="-"/>
    <s v="P"/>
    <s v="P"/>
    <s v="-"/>
    <n v="2"/>
    <n v="1"/>
    <n v="2"/>
    <n v="0"/>
    <n v="1"/>
    <n v="2"/>
    <n v="2"/>
    <n v="1"/>
    <n v="0"/>
    <n v="2"/>
    <s v="-"/>
    <n v="13"/>
    <n v="15"/>
    <s v="-"/>
    <n v="1"/>
    <n v="1"/>
    <n v="2"/>
    <n v="2"/>
    <n v="15"/>
    <n v="17"/>
  </r>
  <r>
    <x v="0"/>
    <x v="16"/>
    <d v="2026-01-20T00:00:00"/>
    <s v="1ST"/>
    <s v="06:00"/>
    <n v="3"/>
    <x v="16"/>
    <n v="8.9999999999999993E-3"/>
    <s v="P"/>
    <s v="P"/>
    <s v="P"/>
    <s v="+"/>
    <s v="+"/>
    <n v="12.62"/>
    <n v="13.15"/>
    <n v="0.46"/>
    <n v="64"/>
    <s v="-"/>
    <s v="-"/>
    <n v="36.9"/>
    <s v="-"/>
    <s v="-"/>
    <s v="P"/>
    <s v="P"/>
    <s v="-"/>
    <n v="2"/>
    <n v="1"/>
    <n v="2"/>
    <n v="1"/>
    <n v="1"/>
    <n v="2"/>
    <n v="2"/>
    <s v="-"/>
    <s v="-"/>
    <n v="2"/>
    <s v="-"/>
    <n v="13"/>
    <n v="13"/>
    <s v="-"/>
    <n v="1"/>
    <n v="1"/>
    <n v="2"/>
    <n v="2"/>
    <n v="15"/>
    <n v="15"/>
  </r>
  <r>
    <x v="0"/>
    <x v="16"/>
    <d v="2026-01-20T00:00:00"/>
    <s v="1ST"/>
    <s v="08:00"/>
    <n v="3"/>
    <x v="16"/>
    <n v="7.6E-3"/>
    <s v="P"/>
    <s v="P"/>
    <s v="P"/>
    <s v="+"/>
    <s v="+"/>
    <n v="12.64"/>
    <s v="-"/>
    <s v="-"/>
    <s v="-"/>
    <s v="-"/>
    <s v="-"/>
    <s v="-"/>
    <s v="-"/>
    <s v="-"/>
    <s v="P"/>
    <s v="P"/>
    <s v="-"/>
    <n v="2"/>
    <n v="1"/>
    <n v="2"/>
    <n v="1"/>
    <s v="-"/>
    <s v="-"/>
    <s v="-"/>
    <s v="-"/>
    <s v="-"/>
    <s v="-"/>
    <s v="-"/>
    <n v="6"/>
    <n v="6"/>
    <s v="-"/>
    <n v="1"/>
    <n v="1"/>
    <n v="2"/>
    <n v="2"/>
    <n v="8"/>
    <n v="8"/>
  </r>
  <r>
    <x v="0"/>
    <x v="16"/>
    <d v="2026-01-20T00:00:00"/>
    <s v="1ST"/>
    <s v="09:00"/>
    <n v="3"/>
    <x v="16"/>
    <n v="8.0999999999999996E-3"/>
    <s v="P"/>
    <s v="P"/>
    <s v="P"/>
    <s v="+"/>
    <s v="+"/>
    <n v="12.35"/>
    <s v="-"/>
    <s v="-"/>
    <s v="-"/>
    <s v="-"/>
    <s v="-"/>
    <s v="-"/>
    <s v="-"/>
    <s v="-"/>
    <s v="P"/>
    <s v="P"/>
    <s v="-"/>
    <n v="2"/>
    <n v="1"/>
    <n v="2"/>
    <n v="1"/>
    <s v="-"/>
    <s v="-"/>
    <s v="-"/>
    <s v="-"/>
    <s v="-"/>
    <s v="-"/>
    <s v="-"/>
    <n v="6"/>
    <n v="6"/>
    <s v="-"/>
    <n v="1"/>
    <n v="1"/>
    <n v="2"/>
    <n v="2"/>
    <n v="8"/>
    <n v="8"/>
  </r>
  <r>
    <x v="0"/>
    <x v="16"/>
    <d v="2026-01-20T00:00:00"/>
    <s v="1ST"/>
    <s v="10:00"/>
    <n v="3"/>
    <x v="16"/>
    <n v="4.7999999999999996E-3"/>
    <s v="P"/>
    <s v="P"/>
    <s v="P"/>
    <s v="+"/>
    <s v="+"/>
    <n v="11.93"/>
    <s v="-"/>
    <s v="-"/>
    <s v="-"/>
    <s v="-"/>
    <s v="-"/>
    <s v="-"/>
    <s v="-"/>
    <s v="-"/>
    <s v="P"/>
    <s v="P"/>
    <s v="-"/>
    <n v="2"/>
    <n v="1"/>
    <n v="2"/>
    <n v="0"/>
    <s v="-"/>
    <s v="-"/>
    <s v="-"/>
    <s v="-"/>
    <s v="-"/>
    <s v="-"/>
    <s v="-"/>
    <n v="5"/>
    <n v="6"/>
    <s v="-"/>
    <n v="1"/>
    <n v="1"/>
    <n v="2"/>
    <n v="2"/>
    <n v="7"/>
    <n v="8"/>
  </r>
  <r>
    <x v="0"/>
    <x v="16"/>
    <d v="2026-01-20T00:00:00"/>
    <s v="1ST"/>
    <s v="12:00"/>
    <n v="3"/>
    <x v="16"/>
    <n v="1.1599999999999999E-2"/>
    <s v="P"/>
    <s v="P"/>
    <s v="P"/>
    <s v="+"/>
    <s v="+"/>
    <n v="11.48"/>
    <s v="-"/>
    <s v="-"/>
    <s v="-"/>
    <s v="-"/>
    <s v="-"/>
    <s v="-"/>
    <s v="-"/>
    <s v="-"/>
    <s v="P"/>
    <s v="P"/>
    <s v="-"/>
    <n v="2"/>
    <n v="1"/>
    <n v="2"/>
    <n v="0"/>
    <s v="-"/>
    <s v="-"/>
    <s v="-"/>
    <s v="-"/>
    <s v="-"/>
    <s v="-"/>
    <s v="-"/>
    <n v="5"/>
    <n v="6"/>
    <s v="-"/>
    <n v="1"/>
    <n v="1"/>
    <n v="2"/>
    <n v="2"/>
    <n v="7"/>
    <n v="8"/>
  </r>
  <r>
    <x v="0"/>
    <x v="16"/>
    <d v="2026-01-19T00:00:00"/>
    <s v="2ND"/>
    <d v="1899-12-30T15:00:00"/>
    <n v="1"/>
    <x v="22"/>
    <n v="4.4000000000000003E-3"/>
    <s v="P"/>
    <s v="P"/>
    <s v="P"/>
    <s v="-"/>
    <s v="-"/>
    <n v="11.07"/>
    <n v="8.7100000000000009"/>
    <n v="0.48"/>
    <n v="54.7"/>
    <s v="-"/>
    <s v="-"/>
    <n v="23.51"/>
    <s v="-"/>
    <s v="-"/>
    <s v="P"/>
    <s v="P"/>
    <s v="-"/>
    <n v="2"/>
    <n v="1"/>
    <n v="2"/>
    <n v="1"/>
    <n v="1"/>
    <n v="0"/>
    <n v="2"/>
    <s v="-"/>
    <s v="-"/>
    <n v="2"/>
    <s v="-"/>
    <n v="11"/>
    <n v="13"/>
    <s v="-"/>
    <n v="1"/>
    <n v="1"/>
    <n v="2"/>
    <n v="2"/>
    <n v="13"/>
    <n v="15"/>
  </r>
  <r>
    <x v="0"/>
    <x v="16"/>
    <d v="2026-01-19T00:00:00"/>
    <s v="2ND"/>
    <d v="1899-12-30T16:00:00"/>
    <n v="1"/>
    <x v="22"/>
    <n v="1.2999999999999999E-3"/>
    <s v="P"/>
    <s v="P"/>
    <s v="P"/>
    <s v="-"/>
    <s v="-"/>
    <n v="11.15"/>
    <s v="-"/>
    <s v="-"/>
    <s v="-"/>
    <s v="-"/>
    <s v="-"/>
    <s v="-"/>
    <s v="-"/>
    <s v="-"/>
    <s v="P"/>
    <s v="P"/>
    <s v="-"/>
    <n v="2"/>
    <n v="1"/>
    <n v="2"/>
    <n v="1"/>
    <s v="-"/>
    <s v="-"/>
    <s v="-"/>
    <s v="-"/>
    <s v="-"/>
    <s v="-"/>
    <s v="-"/>
    <n v="6"/>
    <n v="6"/>
    <s v="-"/>
    <n v="1"/>
    <n v="1"/>
    <n v="2"/>
    <n v="2"/>
    <n v="8"/>
    <n v="8"/>
  </r>
  <r>
    <x v="0"/>
    <x v="16"/>
    <d v="2026-01-19T00:00:00"/>
    <s v="2ND"/>
    <d v="1899-12-30T17:00:00"/>
    <n v="1"/>
    <x v="22"/>
    <n v="2E-3"/>
    <s v="P"/>
    <s v="P"/>
    <s v="P"/>
    <s v="-"/>
    <s v="-"/>
    <n v="11.25"/>
    <s v="-"/>
    <s v="-"/>
    <s v="-"/>
    <s v="-"/>
    <s v="-"/>
    <s v="-"/>
    <s v="-"/>
    <s v="-"/>
    <s v="P"/>
    <s v="P"/>
    <s v="-"/>
    <n v="2"/>
    <n v="1"/>
    <n v="2"/>
    <n v="1"/>
    <s v="-"/>
    <s v="-"/>
    <s v="-"/>
    <s v="-"/>
    <s v="-"/>
    <s v="-"/>
    <s v="-"/>
    <n v="6"/>
    <n v="6"/>
    <s v="-"/>
    <n v="1"/>
    <n v="1"/>
    <n v="2"/>
    <n v="2"/>
    <n v="8"/>
    <n v="8"/>
  </r>
  <r>
    <x v="0"/>
    <x v="16"/>
    <d v="2026-01-19T00:00:00"/>
    <s v="2ND"/>
    <d v="1899-12-30T18:00:00"/>
    <n v="1"/>
    <x v="22"/>
    <n v="3.3999999999999998E-3"/>
    <s v="P"/>
    <s v="P"/>
    <s v="P"/>
    <s v="-"/>
    <s v="-"/>
    <n v="11.28"/>
    <s v="-"/>
    <s v="-"/>
    <s v="-"/>
    <s v="-"/>
    <s v="-"/>
    <s v="-"/>
    <s v="-"/>
    <s v="-"/>
    <s v="P"/>
    <s v="P"/>
    <s v="-"/>
    <n v="2"/>
    <n v="1"/>
    <n v="2"/>
    <n v="1"/>
    <s v="-"/>
    <s v="-"/>
    <s v="-"/>
    <s v="-"/>
    <s v="-"/>
    <s v="-"/>
    <s v="-"/>
    <n v="6"/>
    <n v="6"/>
    <s v="-"/>
    <n v="1"/>
    <n v="1"/>
    <n v="2"/>
    <n v="2"/>
    <n v="8"/>
    <n v="8"/>
  </r>
  <r>
    <x v="0"/>
    <x v="16"/>
    <d v="2026-01-19T00:00:00"/>
    <s v="2ND"/>
    <d v="1899-12-30T19:00:00"/>
    <n v="1"/>
    <x v="22"/>
    <n v="2.3E-3"/>
    <s v="P"/>
    <s v="P"/>
    <s v="P"/>
    <s v="-"/>
    <s v="-"/>
    <n v="10.88"/>
    <s v="-"/>
    <s v="-"/>
    <s v="-"/>
    <s v="-"/>
    <s v="-"/>
    <s v="-"/>
    <s v="-"/>
    <s v="-"/>
    <s v="P"/>
    <s v="P"/>
    <s v="-"/>
    <n v="2"/>
    <n v="1"/>
    <n v="2"/>
    <n v="0"/>
    <s v="-"/>
    <s v="-"/>
    <s v="-"/>
    <s v="-"/>
    <s v="-"/>
    <s v="-"/>
    <s v="-"/>
    <n v="5"/>
    <n v="6"/>
    <s v="-"/>
    <n v="1"/>
    <n v="1"/>
    <n v="2"/>
    <n v="2"/>
    <n v="7"/>
    <n v="8"/>
  </r>
  <r>
    <x v="0"/>
    <x v="16"/>
    <d v="2026-01-19T00:00:00"/>
    <s v="2ND"/>
    <d v="1899-12-30T20:00:00"/>
    <n v="1"/>
    <x v="22"/>
    <n v="1.1999999999999999E-3"/>
    <s v="P"/>
    <s v="P"/>
    <s v="P"/>
    <s v="-"/>
    <s v="-"/>
    <n v="11.18"/>
    <s v="-"/>
    <s v="-"/>
    <s v="-"/>
    <s v="-"/>
    <s v="-"/>
    <s v="-"/>
    <s v="-"/>
    <s v="-"/>
    <s v="P"/>
    <s v="P"/>
    <s v="-"/>
    <n v="2"/>
    <n v="1"/>
    <n v="2"/>
    <n v="1"/>
    <s v="-"/>
    <s v="-"/>
    <s v="-"/>
    <s v="-"/>
    <s v="-"/>
    <s v="-"/>
    <s v="-"/>
    <n v="6"/>
    <n v="6"/>
    <s v="-"/>
    <n v="1"/>
    <n v="1"/>
    <n v="2"/>
    <n v="2"/>
    <n v="8"/>
    <n v="8"/>
  </r>
  <r>
    <x v="0"/>
    <x v="16"/>
    <d v="2026-01-19T00:00:00"/>
    <s v="2ND"/>
    <d v="1899-12-30T20:00:00"/>
    <n v="2"/>
    <x v="22"/>
    <n v="4.0000000000000001E-3"/>
    <s v="P"/>
    <s v="P"/>
    <s v="P"/>
    <s v="-"/>
    <s v="-"/>
    <n v="11.06"/>
    <n v="8.52"/>
    <n v="0.42"/>
    <s v="-"/>
    <s v="-"/>
    <s v="-"/>
    <n v="23"/>
    <s v="-"/>
    <s v="-"/>
    <s v="P"/>
    <s v="P"/>
    <s v="-"/>
    <n v="2"/>
    <n v="1"/>
    <n v="2"/>
    <n v="1"/>
    <n v="1"/>
    <n v="0"/>
    <s v="-"/>
    <s v="-"/>
    <s v="-"/>
    <n v="2"/>
    <s v="-"/>
    <n v="9"/>
    <n v="11"/>
    <s v="-"/>
    <n v="1"/>
    <n v="1"/>
    <n v="2"/>
    <n v="2"/>
    <n v="11"/>
    <n v="13"/>
  </r>
  <r>
    <x v="0"/>
    <x v="16"/>
    <d v="2026-01-19T00:00:00"/>
    <s v="3RD"/>
    <d v="1899-12-30T22:00:00"/>
    <n v="1"/>
    <x v="22"/>
    <n v="5.7999999999999996E-3"/>
    <s v="P"/>
    <s v="P"/>
    <s v="P"/>
    <s v="-"/>
    <s v="-"/>
    <n v="11.17"/>
    <n v="8.6"/>
    <n v="0.48"/>
    <s v="-"/>
    <s v="-"/>
    <s v="-"/>
    <n v="23.14"/>
    <s v="-"/>
    <s v="-"/>
    <s v="P"/>
    <s v="P"/>
    <s v="-"/>
    <n v="2"/>
    <n v="1"/>
    <n v="2"/>
    <n v="1"/>
    <n v="1"/>
    <n v="0"/>
    <s v="-"/>
    <s v="-"/>
    <s v="-"/>
    <n v="2"/>
    <s v="-"/>
    <n v="9"/>
    <n v="11"/>
    <s v="-"/>
    <n v="1"/>
    <n v="1"/>
    <n v="2"/>
    <n v="2"/>
    <n v="11"/>
    <n v="13"/>
  </r>
  <r>
    <x v="0"/>
    <x v="16"/>
    <d v="2026-01-19T00:00:00"/>
    <s v="3RD"/>
    <d v="1899-12-30T00:00:00"/>
    <n v="1"/>
    <x v="22"/>
    <n v="2.8999999999999998E-3"/>
    <s v="P"/>
    <s v="P"/>
    <s v="P"/>
    <s v="-"/>
    <s v="-"/>
    <n v="11.1"/>
    <s v="-"/>
    <s v="-"/>
    <s v="-"/>
    <s v="-"/>
    <s v="-"/>
    <s v="-"/>
    <s v="-"/>
    <s v="-"/>
    <s v="P"/>
    <s v="P"/>
    <s v="-"/>
    <n v="2"/>
    <n v="1"/>
    <n v="2"/>
    <n v="1"/>
    <s v="-"/>
    <s v="-"/>
    <s v="-"/>
    <s v="-"/>
    <s v="-"/>
    <s v="-"/>
    <s v="-"/>
    <n v="6"/>
    <n v="6"/>
    <s v="-"/>
    <n v="1"/>
    <n v="1"/>
    <n v="2"/>
    <n v="2"/>
    <n v="8"/>
    <n v="8"/>
  </r>
  <r>
    <x v="0"/>
    <x v="16"/>
    <d v="2026-01-19T00:00:00"/>
    <s v="3RD"/>
    <d v="1899-12-30T01:00:00"/>
    <n v="1"/>
    <x v="22"/>
    <n v="5.4999999999999997E-3"/>
    <s v="P"/>
    <s v="P"/>
    <s v="P"/>
    <s v="-"/>
    <s v="-"/>
    <n v="11.1"/>
    <s v="-"/>
    <s v="-"/>
    <s v="-"/>
    <s v="-"/>
    <s v="-"/>
    <s v="-"/>
    <s v="-"/>
    <s v="-"/>
    <s v="P"/>
    <s v="P"/>
    <s v="-"/>
    <n v="2"/>
    <n v="1"/>
    <n v="2"/>
    <n v="1"/>
    <s v="-"/>
    <s v="-"/>
    <s v="-"/>
    <s v="-"/>
    <s v="-"/>
    <s v="-"/>
    <s v="-"/>
    <n v="6"/>
    <n v="6"/>
    <s v="-"/>
    <n v="1"/>
    <n v="1"/>
    <n v="2"/>
    <n v="2"/>
    <n v="8"/>
    <n v="8"/>
  </r>
  <r>
    <x v="0"/>
    <x v="16"/>
    <d v="2026-01-19T00:00:00"/>
    <s v="3RD"/>
    <d v="1899-12-30T02:00:00"/>
    <n v="1"/>
    <x v="22"/>
    <n v="4.0000000000000001E-3"/>
    <s v="P"/>
    <s v="P"/>
    <s v="P"/>
    <s v="-"/>
    <s v="-"/>
    <n v="11.38"/>
    <s v="-"/>
    <s v="-"/>
    <s v="-"/>
    <s v="-"/>
    <s v="-"/>
    <s v="-"/>
    <s v="-"/>
    <s v="-"/>
    <s v="P"/>
    <s v="P"/>
    <s v="-"/>
    <n v="2"/>
    <n v="1"/>
    <n v="2"/>
    <n v="1"/>
    <s v="-"/>
    <s v="-"/>
    <s v="-"/>
    <s v="-"/>
    <s v="-"/>
    <s v="-"/>
    <s v="-"/>
    <n v="6"/>
    <n v="6"/>
    <s v="-"/>
    <n v="1"/>
    <n v="1"/>
    <n v="2"/>
    <n v="2"/>
    <n v="8"/>
    <n v="8"/>
  </r>
  <r>
    <x v="0"/>
    <x v="16"/>
    <d v="2026-01-19T00:00:00"/>
    <s v="3RD"/>
    <d v="1899-12-30T22:00:00"/>
    <n v="2"/>
    <x v="22"/>
    <n v="3.0000000000000001E-3"/>
    <s v="P"/>
    <s v="P"/>
    <s v="P"/>
    <s v="-"/>
    <s v="-"/>
    <n v="11.24"/>
    <n v="8.8000000000000007"/>
    <n v="0.44"/>
    <s v="-"/>
    <s v="-"/>
    <s v="-"/>
    <n v="23.73"/>
    <s v="-"/>
    <s v="-"/>
    <s v="P"/>
    <s v="P"/>
    <s v="-"/>
    <n v="2"/>
    <n v="1"/>
    <n v="2"/>
    <n v="1"/>
    <n v="1"/>
    <n v="0"/>
    <s v="-"/>
    <s v="-"/>
    <s v="-"/>
    <n v="2"/>
    <s v="-"/>
    <n v="9"/>
    <n v="11"/>
    <s v="-"/>
    <n v="1"/>
    <n v="1"/>
    <n v="2"/>
    <n v="2"/>
    <n v="11"/>
    <n v="13"/>
  </r>
  <r>
    <x v="0"/>
    <x v="16"/>
    <d v="2026-01-19T00:00:00"/>
    <s v="3RD"/>
    <d v="1899-12-30T23:00:00"/>
    <n v="2"/>
    <x v="22"/>
    <n v="2.3999999999999998E-3"/>
    <s v="P"/>
    <s v="P"/>
    <s v="P"/>
    <s v="-"/>
    <s v="-"/>
    <n v="11.03"/>
    <s v="-"/>
    <s v="-"/>
    <s v="-"/>
    <s v="-"/>
    <s v="-"/>
    <s v="-"/>
    <s v="-"/>
    <s v="-"/>
    <s v="P"/>
    <s v="P"/>
    <s v="-"/>
    <n v="2"/>
    <n v="1"/>
    <n v="2"/>
    <n v="1"/>
    <s v="-"/>
    <s v="-"/>
    <s v="-"/>
    <s v="-"/>
    <s v="-"/>
    <s v="-"/>
    <s v="-"/>
    <n v="6"/>
    <n v="6"/>
    <s v="-"/>
    <n v="1"/>
    <n v="1"/>
    <n v="2"/>
    <n v="2"/>
    <n v="8"/>
    <n v="8"/>
  </r>
  <r>
    <x v="0"/>
    <x v="16"/>
    <d v="2026-01-19T00:00:00"/>
    <s v="3RD"/>
    <d v="1899-12-30T00:00:00"/>
    <n v="2"/>
    <x v="22"/>
    <n v="6.0000000000000001E-3"/>
    <s v="P"/>
    <s v="P"/>
    <s v="P"/>
    <s v="-"/>
    <s v="-"/>
    <n v="10.9"/>
    <s v="-"/>
    <s v="-"/>
    <s v="-"/>
    <s v="-"/>
    <s v="-"/>
    <s v="-"/>
    <s v="-"/>
    <s v="-"/>
    <s v="P"/>
    <s v="P"/>
    <s v="-"/>
    <n v="2"/>
    <n v="1"/>
    <n v="2"/>
    <n v="0"/>
    <s v="-"/>
    <s v="-"/>
    <s v="-"/>
    <s v="-"/>
    <s v="-"/>
    <s v="-"/>
    <s v="-"/>
    <n v="5"/>
    <n v="6"/>
    <s v="-"/>
    <n v="1"/>
    <n v="1"/>
    <n v="2"/>
    <n v="2"/>
    <n v="7"/>
    <n v="8"/>
  </r>
  <r>
    <x v="0"/>
    <x v="16"/>
    <d v="2026-01-19T00:00:00"/>
    <s v="3RD"/>
    <d v="1899-12-30T01:00:00"/>
    <n v="2"/>
    <x v="22"/>
    <n v="4.7000000000000002E-3"/>
    <s v="P"/>
    <s v="P"/>
    <s v="P"/>
    <s v="-"/>
    <s v="-"/>
    <n v="10.92"/>
    <s v="-"/>
    <s v="-"/>
    <s v="-"/>
    <s v="-"/>
    <s v="-"/>
    <s v="-"/>
    <s v="-"/>
    <s v="-"/>
    <s v="P"/>
    <s v="P"/>
    <s v="-"/>
    <n v="2"/>
    <n v="1"/>
    <n v="2"/>
    <n v="0"/>
    <s v="-"/>
    <s v="-"/>
    <s v="-"/>
    <s v="-"/>
    <s v="-"/>
    <s v="-"/>
    <s v="-"/>
    <n v="5"/>
    <n v="6"/>
    <s v="-"/>
    <n v="1"/>
    <n v="1"/>
    <n v="2"/>
    <n v="2"/>
    <n v="7"/>
    <n v="8"/>
  </r>
  <r>
    <x v="0"/>
    <x v="16"/>
    <d v="2026-01-19T00:00:00"/>
    <s v="3RD"/>
    <d v="1899-12-30T02:00:00"/>
    <n v="2"/>
    <x v="22"/>
    <n v="5.1000000000000004E-3"/>
    <s v="P"/>
    <s v="P"/>
    <s v="P"/>
    <s v="-"/>
    <s v="-"/>
    <n v="10.99"/>
    <s v="-"/>
    <s v="-"/>
    <s v="-"/>
    <s v="-"/>
    <s v="-"/>
    <s v="-"/>
    <s v="-"/>
    <s v="-"/>
    <s v="P"/>
    <s v="P"/>
    <s v="-"/>
    <n v="2"/>
    <n v="1"/>
    <n v="2"/>
    <n v="0"/>
    <s v="-"/>
    <s v="-"/>
    <s v="-"/>
    <s v="-"/>
    <s v="-"/>
    <s v="-"/>
    <s v="-"/>
    <n v="5"/>
    <n v="6"/>
    <s v="-"/>
    <n v="1"/>
    <n v="1"/>
    <n v="2"/>
    <n v="2"/>
    <n v="7"/>
    <n v="8"/>
  </r>
  <r>
    <x v="0"/>
    <x v="16"/>
    <d v="2026-01-19T00:00:00"/>
    <s v="3RD"/>
    <d v="1899-12-30T03:00:00"/>
    <n v="2"/>
    <x v="22"/>
    <n v="4.7000000000000002E-3"/>
    <s v="P"/>
    <s v="P"/>
    <s v="P"/>
    <s v="-"/>
    <s v="-"/>
    <n v="11.04"/>
    <s v="-"/>
    <s v="-"/>
    <s v="-"/>
    <s v="-"/>
    <s v="-"/>
    <s v="-"/>
    <s v="-"/>
    <s v="-"/>
    <s v="P"/>
    <s v="P"/>
    <s v="-"/>
    <n v="2"/>
    <n v="1"/>
    <n v="2"/>
    <n v="1"/>
    <s v="-"/>
    <s v="-"/>
    <s v="-"/>
    <s v="-"/>
    <s v="-"/>
    <s v="-"/>
    <s v="-"/>
    <n v="6"/>
    <n v="6"/>
    <s v="-"/>
    <n v="1"/>
    <n v="1"/>
    <n v="2"/>
    <n v="2"/>
    <n v="8"/>
    <n v="8"/>
  </r>
  <r>
    <x v="0"/>
    <x v="16"/>
    <d v="2026-01-19T00:00:00"/>
    <s v="3RD"/>
    <d v="1899-12-30T04:00:00"/>
    <n v="2"/>
    <x v="22"/>
    <n v="4.3E-3"/>
    <s v="P"/>
    <s v="P"/>
    <s v="P"/>
    <s v="-"/>
    <s v="-"/>
    <n v="11.23"/>
    <s v="-"/>
    <s v="-"/>
    <s v="-"/>
    <s v="-"/>
    <s v="-"/>
    <s v="-"/>
    <s v="-"/>
    <s v="-"/>
    <s v="P"/>
    <s v="P"/>
    <s v="-"/>
    <n v="2"/>
    <n v="1"/>
    <n v="2"/>
    <n v="1"/>
    <s v="-"/>
    <s v="-"/>
    <s v="-"/>
    <s v="-"/>
    <s v="-"/>
    <s v="-"/>
    <s v="-"/>
    <n v="6"/>
    <n v="6"/>
    <s v="-"/>
    <n v="1"/>
    <n v="1"/>
    <n v="2"/>
    <n v="2"/>
    <n v="8"/>
    <n v="8"/>
  </r>
  <r>
    <x v="0"/>
    <x v="17"/>
    <d v="2026-01-16T00:00:00"/>
    <s v="1ST"/>
    <s v="06:00"/>
    <n v="3"/>
    <x v="6"/>
    <n v="3.0999999999999999E-3"/>
    <s v="P"/>
    <s v="P"/>
    <s v="P"/>
    <s v="+"/>
    <s v="+"/>
    <n v="12.29"/>
    <n v="12.74"/>
    <n v="0.55000000000000004"/>
    <n v="54"/>
    <s v="-"/>
    <s v="-"/>
    <n v="35.799999999999997"/>
    <s v="-"/>
    <s v="-"/>
    <s v="P"/>
    <s v="P"/>
    <s v="-"/>
    <n v="2"/>
    <n v="1"/>
    <n v="2"/>
    <n v="1"/>
    <n v="1"/>
    <n v="2"/>
    <n v="0"/>
    <s v="-"/>
    <s v="-"/>
    <n v="2"/>
    <s v="-"/>
    <n v="11"/>
    <n v="13"/>
    <s v="-"/>
    <n v="1"/>
    <n v="1"/>
    <n v="2"/>
    <n v="2"/>
    <n v="13"/>
    <n v="15"/>
  </r>
  <r>
    <x v="0"/>
    <x v="17"/>
    <d v="2026-01-22T00:00:00"/>
    <s v="1ST"/>
    <s v="08:00"/>
    <n v="3"/>
    <x v="11"/>
    <n v="8.2000000000000007E-3"/>
    <s v="P"/>
    <s v="P"/>
    <s v="P"/>
    <s v="+"/>
    <s v="+"/>
    <n v="11.93"/>
    <n v="12.79"/>
    <n v="0.54"/>
    <n v="65"/>
    <n v="20"/>
    <n v="803"/>
    <n v="35.9"/>
    <s v="-"/>
    <n v="25.17"/>
    <s v="P"/>
    <s v="P"/>
    <s v="-"/>
    <n v="2"/>
    <n v="1"/>
    <n v="2"/>
    <n v="1"/>
    <n v="1"/>
    <n v="2"/>
    <n v="2"/>
    <n v="1"/>
    <n v="1"/>
    <n v="2"/>
    <s v="-"/>
    <n v="15"/>
    <n v="15"/>
    <n v="1"/>
    <n v="1"/>
    <n v="1"/>
    <n v="3"/>
    <n v="3"/>
    <n v="18"/>
    <n v="18"/>
  </r>
  <r>
    <x v="0"/>
    <x v="17"/>
    <d v="2026-01-22T00:00:00"/>
    <s v="1ST"/>
    <s v="09:00"/>
    <n v="3"/>
    <x v="11"/>
    <n v="9.9000000000000008E-3"/>
    <s v="P"/>
    <s v="P"/>
    <s v="P"/>
    <s v="+"/>
    <s v="+"/>
    <n v="12.04"/>
    <s v="-"/>
    <s v="-"/>
    <s v="-"/>
    <s v="-"/>
    <s v="-"/>
    <s v="-"/>
    <s v="-"/>
    <s v="-"/>
    <s v="P"/>
    <s v="P"/>
    <s v="-"/>
    <n v="2"/>
    <n v="1"/>
    <n v="2"/>
    <n v="1"/>
    <s v="-"/>
    <s v="-"/>
    <s v="-"/>
    <s v="-"/>
    <s v="-"/>
    <s v="-"/>
    <s v="-"/>
    <n v="6"/>
    <n v="6"/>
    <s v="-"/>
    <n v="1"/>
    <n v="1"/>
    <n v="2"/>
    <n v="2"/>
    <n v="8"/>
    <n v="8"/>
  </r>
  <r>
    <x v="0"/>
    <x v="17"/>
    <d v="2026-01-19T00:00:00"/>
    <s v="1ST"/>
    <d v="1899-12-30T06:00:00"/>
    <n v="1"/>
    <x v="17"/>
    <n v="1E-3"/>
    <s v="P"/>
    <s v="P"/>
    <s v="P"/>
    <s v="-"/>
    <s v="+"/>
    <n v="10.79"/>
    <n v="11.11"/>
    <n v="0.37"/>
    <n v="56"/>
    <s v="-"/>
    <s v="-"/>
    <n v="31.09"/>
    <s v="-"/>
    <s v="-"/>
    <s v="P"/>
    <s v="P"/>
    <s v="-"/>
    <n v="2"/>
    <n v="1"/>
    <n v="2"/>
    <n v="0"/>
    <n v="1"/>
    <n v="2"/>
    <n v="2"/>
    <s v="-"/>
    <s v="-"/>
    <n v="2"/>
    <s v="-"/>
    <n v="12"/>
    <n v="13"/>
    <s v="-"/>
    <n v="1"/>
    <n v="1"/>
    <n v="2"/>
    <n v="2"/>
    <n v="14"/>
    <n v="15"/>
  </r>
  <r>
    <x v="0"/>
    <x v="17"/>
    <d v="2026-01-19T00:00:00"/>
    <s v="1ST"/>
    <d v="1899-12-30T07:00:00"/>
    <n v="1"/>
    <x v="17"/>
    <n v="2.5999999999999999E-3"/>
    <s v="P"/>
    <s v="P"/>
    <s v="P"/>
    <s v="-"/>
    <s v="+"/>
    <n v="10.53"/>
    <s v="-"/>
    <s v="-"/>
    <s v="-"/>
    <s v="-"/>
    <s v="-"/>
    <s v="-"/>
    <s v="-"/>
    <s v="-"/>
    <s v="P"/>
    <s v="P"/>
    <s v="-"/>
    <n v="2"/>
    <n v="1"/>
    <n v="2"/>
    <n v="0"/>
    <s v="-"/>
    <s v="-"/>
    <s v="-"/>
    <s v="-"/>
    <s v="-"/>
    <s v="-"/>
    <s v="-"/>
    <n v="5"/>
    <n v="6"/>
    <s v="-"/>
    <n v="1"/>
    <n v="1"/>
    <n v="2"/>
    <n v="2"/>
    <n v="7"/>
    <n v="8"/>
  </r>
  <r>
    <x v="0"/>
    <x v="17"/>
    <d v="2026-01-19T00:00:00"/>
    <s v="1ST"/>
    <d v="1899-12-30T08:00:00"/>
    <n v="1"/>
    <x v="17"/>
    <n v="3.0999999999999999E-3"/>
    <s v="P"/>
    <s v="P"/>
    <s v="P"/>
    <s v="-"/>
    <s v="+"/>
    <n v="10.61"/>
    <s v="-"/>
    <s v="-"/>
    <s v="-"/>
    <s v="-"/>
    <s v="-"/>
    <s v="-"/>
    <s v="-"/>
    <n v="25.18"/>
    <s v="P"/>
    <s v="P"/>
    <s v="-"/>
    <n v="2"/>
    <n v="1"/>
    <n v="2"/>
    <n v="0"/>
    <s v="-"/>
    <s v="-"/>
    <s v="-"/>
    <s v="-"/>
    <s v="-"/>
    <s v="-"/>
    <s v="-"/>
    <n v="5"/>
    <n v="6"/>
    <n v="1"/>
    <n v="1"/>
    <n v="1"/>
    <n v="3"/>
    <n v="3"/>
    <n v="8"/>
    <n v="9"/>
  </r>
  <r>
    <x v="0"/>
    <x v="17"/>
    <d v="2026-01-19T00:00:00"/>
    <s v="1ST"/>
    <d v="1899-12-30T09:00:00"/>
    <n v="1"/>
    <x v="17"/>
    <n v="4.5999999999999999E-3"/>
    <s v="P"/>
    <s v="P"/>
    <s v="P"/>
    <s v="-"/>
    <s v="+"/>
    <n v="10.3"/>
    <s v="-"/>
    <s v="-"/>
    <s v="-"/>
    <s v="-"/>
    <s v="-"/>
    <s v="-"/>
    <s v="-"/>
    <s v="-"/>
    <s v="P"/>
    <s v="P"/>
    <s v="-"/>
    <n v="2"/>
    <n v="1"/>
    <n v="2"/>
    <n v="0"/>
    <s v="-"/>
    <s v="-"/>
    <s v="-"/>
    <s v="-"/>
    <s v="-"/>
    <s v="-"/>
    <s v="-"/>
    <n v="5"/>
    <n v="6"/>
    <s v="-"/>
    <n v="1"/>
    <n v="1"/>
    <n v="2"/>
    <n v="2"/>
    <n v="7"/>
    <n v="8"/>
  </r>
  <r>
    <x v="0"/>
    <x v="17"/>
    <d v="2026-01-22T00:00:00"/>
    <s v="2ND"/>
    <d v="1899-12-30T17:00:00"/>
    <n v="3"/>
    <x v="8"/>
    <n v="1.2699999999999999E-2"/>
    <s v="P"/>
    <s v="P"/>
    <s v="P"/>
    <s v="+"/>
    <s v="+"/>
    <n v="12.47"/>
    <n v="13.01"/>
    <n v="0.5"/>
    <n v="65.900000000000006"/>
    <s v="-"/>
    <s v="-"/>
    <n v="36.5"/>
    <s v="-"/>
    <s v="-"/>
    <s v="P"/>
    <s v="P"/>
    <s v="-"/>
    <n v="2"/>
    <n v="1"/>
    <n v="2"/>
    <n v="1"/>
    <n v="1"/>
    <n v="2"/>
    <n v="2"/>
    <s v="-"/>
    <s v="-"/>
    <s v="-"/>
    <s v="-"/>
    <n v="11"/>
    <n v="11"/>
    <s v="-"/>
    <n v="1"/>
    <n v="1"/>
    <n v="2"/>
    <n v="2"/>
    <n v="13"/>
    <n v="13"/>
  </r>
  <r>
    <x v="0"/>
    <x v="17"/>
    <d v="2026-01-22T00:00:00"/>
    <s v="2ND"/>
    <d v="1899-12-30T18:00:00"/>
    <n v="3"/>
    <x v="8"/>
    <n v="5.4999999999999997E-3"/>
    <s v="P"/>
    <s v="P"/>
    <s v="P"/>
    <s v="+"/>
    <s v="+"/>
    <n v="12.58"/>
    <s v="-"/>
    <s v="-"/>
    <s v="-"/>
    <s v="-"/>
    <s v="-"/>
    <s v="-"/>
    <s v="-"/>
    <s v="-"/>
    <s v="P"/>
    <s v="P"/>
    <s v="-"/>
    <n v="2"/>
    <n v="1"/>
    <n v="2"/>
    <n v="1"/>
    <s v="-"/>
    <s v="-"/>
    <s v="-"/>
    <s v="-"/>
    <s v="-"/>
    <s v="-"/>
    <s v="-"/>
    <n v="6"/>
    <n v="6"/>
    <s v="-"/>
    <n v="1"/>
    <n v="1"/>
    <n v="2"/>
    <n v="2"/>
    <n v="8"/>
    <n v="8"/>
  </r>
  <r>
    <x v="0"/>
    <x v="17"/>
    <d v="2026-01-22T00:00:00"/>
    <s v="2ND"/>
    <d v="1899-12-30T19:00:00"/>
    <n v="3"/>
    <x v="8"/>
    <n v="4.5999999999999999E-3"/>
    <s v="P"/>
    <s v="P"/>
    <s v="P"/>
    <s v="+"/>
    <s v="+"/>
    <n v="13.26"/>
    <s v="-"/>
    <s v="-"/>
    <s v="-"/>
    <s v="-"/>
    <s v="-"/>
    <s v="-"/>
    <s v="-"/>
    <s v="-"/>
    <s v="P"/>
    <s v="P"/>
    <s v="-"/>
    <n v="2"/>
    <n v="1"/>
    <n v="2"/>
    <n v="1"/>
    <s v="-"/>
    <s v="-"/>
    <s v="-"/>
    <s v="-"/>
    <s v="-"/>
    <s v="-"/>
    <s v="-"/>
    <n v="6"/>
    <n v="6"/>
    <s v="-"/>
    <n v="1"/>
    <n v="1"/>
    <n v="2"/>
    <n v="2"/>
    <n v="8"/>
    <n v="8"/>
  </r>
  <r>
    <x v="0"/>
    <x v="17"/>
    <d v="2026-01-22T00:00:00"/>
    <s v="2ND"/>
    <d v="1899-12-30T20:00:00"/>
    <n v="3"/>
    <x v="8"/>
    <n v="1.4500000000000001E-2"/>
    <s v="P"/>
    <s v="P"/>
    <s v="P"/>
    <s v="+"/>
    <s v="+"/>
    <n v="13.56"/>
    <s v="-"/>
    <s v="-"/>
    <s v="-"/>
    <s v="-"/>
    <s v="-"/>
    <s v="-"/>
    <s v="-"/>
    <s v="-"/>
    <s v="P"/>
    <s v="P"/>
    <s v="-"/>
    <n v="2"/>
    <n v="1"/>
    <n v="2"/>
    <n v="0"/>
    <s v="-"/>
    <s v="-"/>
    <s v="-"/>
    <s v="-"/>
    <s v="-"/>
    <s v="-"/>
    <s v="-"/>
    <n v="5"/>
    <n v="6"/>
    <s v="-"/>
    <n v="1"/>
    <n v="1"/>
    <n v="2"/>
    <n v="2"/>
    <n v="7"/>
    <n v="8"/>
  </r>
  <r>
    <x v="0"/>
    <x v="17"/>
    <d v="2026-01-22T00:00:00"/>
    <s v="3RD"/>
    <d v="1899-12-30T22:00:00"/>
    <n v="3"/>
    <x v="8"/>
    <n v="1.8100000000000002E-2"/>
    <s v="P"/>
    <s v="P"/>
    <s v="P"/>
    <s v="+"/>
    <s v="+"/>
    <n v="13.26"/>
    <n v="12.8"/>
    <n v="0.49"/>
    <s v="-"/>
    <s v="-"/>
    <s v="-"/>
    <n v="35.6"/>
    <s v="-"/>
    <s v="-"/>
    <s v="P"/>
    <s v="P"/>
    <n v="1"/>
    <n v="2"/>
    <n v="1"/>
    <n v="2"/>
    <n v="1"/>
    <n v="1"/>
    <n v="2"/>
    <s v="-"/>
    <s v="-"/>
    <s v="-"/>
    <s v="-"/>
    <s v="-"/>
    <n v="9"/>
    <n v="9"/>
    <s v="-"/>
    <n v="1"/>
    <n v="1"/>
    <n v="2"/>
    <n v="2"/>
    <n v="11"/>
    <n v="11"/>
  </r>
  <r>
    <x v="0"/>
    <x v="17"/>
    <d v="2026-01-22T00:00:00"/>
    <s v="3RD"/>
    <d v="1899-12-30T23:00:00"/>
    <n v="3"/>
    <x v="8"/>
    <n v="1.23E-2"/>
    <s v="P"/>
    <s v="P"/>
    <s v="P"/>
    <s v="+"/>
    <s v="+"/>
    <n v="13.3"/>
    <s v="-"/>
    <s v="-"/>
    <s v="-"/>
    <s v="-"/>
    <s v="-"/>
    <s v="-"/>
    <s v="-"/>
    <s v="-"/>
    <s v="P"/>
    <s v="P"/>
    <s v="-"/>
    <n v="2"/>
    <n v="1"/>
    <n v="2"/>
    <n v="1"/>
    <s v="-"/>
    <s v="-"/>
    <s v="-"/>
    <s v="-"/>
    <s v="-"/>
    <s v="-"/>
    <s v="-"/>
    <n v="6"/>
    <n v="6"/>
    <s v="-"/>
    <n v="1"/>
    <n v="1"/>
    <n v="2"/>
    <n v="2"/>
    <n v="8"/>
    <n v="8"/>
  </r>
  <r>
    <x v="0"/>
    <x v="17"/>
    <d v="2026-01-22T00:00:00"/>
    <s v="3RD"/>
    <d v="1899-12-31T00:00:00"/>
    <n v="3"/>
    <x v="8"/>
    <n v="1.7899999999999999E-2"/>
    <s v="P"/>
    <s v="P"/>
    <s v="P"/>
    <s v="+"/>
    <s v="+"/>
    <n v="13.37"/>
    <s v="-"/>
    <s v="-"/>
    <s v="-"/>
    <s v="-"/>
    <s v="-"/>
    <s v="-"/>
    <s v="-"/>
    <s v="-"/>
    <s v="P"/>
    <s v="P"/>
    <s v="-"/>
    <n v="2"/>
    <n v="1"/>
    <n v="2"/>
    <n v="1"/>
    <s v="-"/>
    <s v="-"/>
    <s v="-"/>
    <s v="-"/>
    <s v="-"/>
    <s v="-"/>
    <s v="-"/>
    <n v="6"/>
    <n v="6"/>
    <s v="-"/>
    <n v="1"/>
    <n v="1"/>
    <n v="2"/>
    <n v="2"/>
    <n v="8"/>
    <n v="8"/>
  </r>
  <r>
    <x v="0"/>
    <x v="17"/>
    <d v="2026-01-22T00:00:00"/>
    <s v="3RD"/>
    <d v="1899-12-31T02:00:00"/>
    <n v="3"/>
    <x v="8"/>
    <n v="6.8999999999999999E-3"/>
    <s v="P"/>
    <s v="P"/>
    <s v="P"/>
    <s v="+"/>
    <s v="+"/>
    <n v="13.14"/>
    <s v="-"/>
    <s v="-"/>
    <s v="-"/>
    <s v="-"/>
    <s v="-"/>
    <s v="-"/>
    <s v="-"/>
    <s v="-"/>
    <s v="P"/>
    <s v="P"/>
    <s v="-"/>
    <n v="2"/>
    <n v="1"/>
    <n v="2"/>
    <n v="1"/>
    <s v="-"/>
    <s v="-"/>
    <s v="-"/>
    <s v="-"/>
    <s v="-"/>
    <s v="-"/>
    <s v="-"/>
    <n v="6"/>
    <n v="6"/>
    <s v="-"/>
    <n v="1"/>
    <n v="1"/>
    <n v="2"/>
    <n v="2"/>
    <n v="8"/>
    <n v="8"/>
  </r>
  <r>
    <x v="0"/>
    <x v="17"/>
    <d v="2026-01-22T00:00:00"/>
    <s v="3RD"/>
    <d v="1899-12-31T03:00:00"/>
    <n v="3"/>
    <x v="8"/>
    <n v="1.21E-2"/>
    <s v="P"/>
    <s v="P"/>
    <s v="P"/>
    <s v="+"/>
    <s v="+"/>
    <n v="13.1"/>
    <s v="-"/>
    <s v="-"/>
    <s v="-"/>
    <s v="-"/>
    <s v="-"/>
    <s v="-"/>
    <s v="-"/>
    <s v="-"/>
    <s v="P"/>
    <s v="P"/>
    <s v="-"/>
    <n v="2"/>
    <n v="1"/>
    <n v="2"/>
    <n v="1"/>
    <s v="-"/>
    <s v="-"/>
    <s v="-"/>
    <s v="-"/>
    <s v="-"/>
    <s v="-"/>
    <s v="-"/>
    <n v="6"/>
    <n v="6"/>
    <s v="-"/>
    <n v="1"/>
    <n v="1"/>
    <n v="2"/>
    <n v="2"/>
    <n v="8"/>
    <n v="8"/>
  </r>
  <r>
    <x v="0"/>
    <x v="17"/>
    <d v="2026-01-21T00:00:00"/>
    <s v="1ST"/>
    <s v="10:00"/>
    <n v="3"/>
    <x v="0"/>
    <n v="1.4200000000000001E-2"/>
    <s v="P"/>
    <s v="P"/>
    <s v="P"/>
    <s v="+"/>
    <s v="+"/>
    <n v="12.31"/>
    <n v="12.9"/>
    <n v="0.53"/>
    <n v="54.2"/>
    <s v="-"/>
    <s v="-"/>
    <n v="36.200000000000003"/>
    <s v="-"/>
    <s v="-"/>
    <s v="P"/>
    <s v="P"/>
    <s v="-"/>
    <n v="2"/>
    <n v="1"/>
    <n v="2"/>
    <n v="1"/>
    <n v="1"/>
    <n v="2"/>
    <n v="0"/>
    <s v="-"/>
    <s v="-"/>
    <n v="2"/>
    <s v="-"/>
    <n v="11"/>
    <n v="13"/>
    <s v="-"/>
    <n v="1"/>
    <n v="1"/>
    <n v="2"/>
    <n v="2"/>
    <n v="13"/>
    <n v="15"/>
  </r>
  <r>
    <x v="0"/>
    <x v="17"/>
    <d v="2026-01-21T00:00:00"/>
    <s v="2ND"/>
    <d v="1899-12-30T14:00:00"/>
    <n v="3"/>
    <x v="1"/>
    <n v="2.5000000000000001E-3"/>
    <s v="P"/>
    <s v="P"/>
    <s v="P"/>
    <s v="+"/>
    <s v="+"/>
    <n v="12.45"/>
    <n v="12.95"/>
    <n v="0.47"/>
    <s v="-"/>
    <s v="-"/>
    <s v="-"/>
    <n v="36.200000000000003"/>
    <s v="-"/>
    <s v="-"/>
    <s v="P"/>
    <s v="P"/>
    <s v="-"/>
    <n v="2"/>
    <n v="1"/>
    <n v="2"/>
    <n v="1"/>
    <n v="1"/>
    <n v="2"/>
    <s v="-"/>
    <s v="-"/>
    <s v="-"/>
    <n v="2"/>
    <s v="-"/>
    <n v="11"/>
    <n v="11"/>
    <s v="-"/>
    <n v="1"/>
    <n v="1"/>
    <n v="2"/>
    <n v="2"/>
    <n v="13"/>
    <n v="13"/>
  </r>
  <r>
    <x v="0"/>
    <x v="17"/>
    <d v="2026-01-21T00:00:00"/>
    <s v="2ND"/>
    <d v="1899-12-30T15:00:00"/>
    <n v="3"/>
    <x v="1"/>
    <n v="2.0999999999999999E-3"/>
    <s v="P"/>
    <s v="P"/>
    <s v="P"/>
    <s v="+"/>
    <s v="+"/>
    <n v="12.61"/>
    <s v="-"/>
    <s v="-"/>
    <s v="-"/>
    <s v="-"/>
    <s v="-"/>
    <s v="-"/>
    <s v="-"/>
    <s v="-"/>
    <s v="P"/>
    <s v="P"/>
    <s v="-"/>
    <n v="2"/>
    <n v="1"/>
    <n v="2"/>
    <n v="1"/>
    <s v="-"/>
    <s v="-"/>
    <s v="-"/>
    <s v="-"/>
    <s v="-"/>
    <s v="-"/>
    <s v="-"/>
    <n v="6"/>
    <n v="6"/>
    <s v="-"/>
    <n v="1"/>
    <n v="1"/>
    <n v="2"/>
    <n v="2"/>
    <n v="8"/>
    <n v="8"/>
  </r>
  <r>
    <x v="0"/>
    <x v="17"/>
    <d v="2026-01-21T00:00:00"/>
    <s v="2ND"/>
    <d v="1899-12-30T16:00:00"/>
    <n v="3"/>
    <x v="1"/>
    <n v="3.8999999999999998E-3"/>
    <s v="P"/>
    <s v="P"/>
    <s v="P"/>
    <s v="+"/>
    <s v="+"/>
    <n v="12.48"/>
    <s v="-"/>
    <s v="-"/>
    <s v="-"/>
    <s v="-"/>
    <s v="-"/>
    <s v="-"/>
    <s v="-"/>
    <s v="-"/>
    <s v="P"/>
    <s v="P"/>
    <s v="-"/>
    <n v="2"/>
    <n v="1"/>
    <n v="2"/>
    <n v="1"/>
    <s v="-"/>
    <s v="-"/>
    <s v="-"/>
    <s v="-"/>
    <s v="-"/>
    <s v="-"/>
    <s v="-"/>
    <n v="6"/>
    <n v="6"/>
    <s v="-"/>
    <n v="1"/>
    <n v="1"/>
    <n v="2"/>
    <n v="2"/>
    <n v="8"/>
    <n v="8"/>
  </r>
  <r>
    <x v="0"/>
    <x v="17"/>
    <d v="2026-01-22T00:00:00"/>
    <s v="3RD"/>
    <d v="1899-12-31T04:00:00"/>
    <n v="3"/>
    <x v="1"/>
    <n v="1.09E-2"/>
    <s v="P"/>
    <s v="P"/>
    <s v="P"/>
    <s v="+"/>
    <s v="+"/>
    <n v="12.87"/>
    <n v="12.55"/>
    <n v="0.5"/>
    <s v="-"/>
    <s v="-"/>
    <s v="-"/>
    <n v="35"/>
    <s v="-"/>
    <s v="-"/>
    <s v="P"/>
    <s v="P"/>
    <s v="85% 5% 10%"/>
    <n v="2"/>
    <n v="1"/>
    <n v="2"/>
    <n v="1"/>
    <n v="1"/>
    <n v="2"/>
    <s v="-"/>
    <s v="-"/>
    <s v="-"/>
    <n v="2"/>
    <s v="-"/>
    <n v="11"/>
    <n v="11"/>
    <s v="-"/>
    <n v="1"/>
    <n v="1"/>
    <n v="2"/>
    <n v="2"/>
    <n v="13"/>
    <n v="13"/>
  </r>
  <r>
    <x v="0"/>
    <x v="17"/>
    <d v="2026-01-21T00:00:00"/>
    <s v="3RD"/>
    <d v="1899-12-30T03:00:00"/>
    <n v="2"/>
    <x v="20"/>
    <n v="5.7999999999999996E-3"/>
    <s v="P"/>
    <s v="P"/>
    <s v="P"/>
    <s v="-"/>
    <s v="-"/>
    <n v="11.86"/>
    <n v="12.09"/>
    <n v="0.5"/>
    <n v="64.599999999999994"/>
    <s v="-"/>
    <s v="-"/>
    <n v="33.799999999999997"/>
    <s v="-"/>
    <s v="-"/>
    <s v="P"/>
    <s v="P"/>
    <s v="-"/>
    <n v="2"/>
    <n v="1"/>
    <n v="2"/>
    <n v="1"/>
    <n v="1"/>
    <n v="2"/>
    <n v="2"/>
    <s v="-"/>
    <s v="-"/>
    <n v="2"/>
    <s v="-"/>
    <n v="13"/>
    <n v="13"/>
    <s v="-"/>
    <n v="1"/>
    <n v="1"/>
    <n v="2"/>
    <n v="2"/>
    <n v="15"/>
    <n v="15"/>
  </r>
  <r>
    <x v="0"/>
    <x v="17"/>
    <d v="2026-01-21T00:00:00"/>
    <s v="3RD"/>
    <d v="1899-12-30T04:00:00"/>
    <n v="2"/>
    <x v="20"/>
    <n v="7.9000000000000008E-3"/>
    <s v="P"/>
    <s v="P"/>
    <s v="P"/>
    <s v="-"/>
    <s v="-"/>
    <n v="12.62"/>
    <s v="-"/>
    <s v="-"/>
    <s v="-"/>
    <s v="-"/>
    <s v="-"/>
    <s v="-"/>
    <s v="-"/>
    <s v="-"/>
    <s v="P"/>
    <s v="P"/>
    <s v="-"/>
    <n v="2"/>
    <n v="1"/>
    <n v="2"/>
    <n v="1"/>
    <s v="-"/>
    <s v="-"/>
    <s v="-"/>
    <s v="-"/>
    <s v="-"/>
    <s v="-"/>
    <s v="-"/>
    <n v="6"/>
    <n v="6"/>
    <s v="-"/>
    <n v="1"/>
    <n v="1"/>
    <n v="2"/>
    <n v="2"/>
    <n v="8"/>
    <n v="8"/>
  </r>
  <r>
    <x v="0"/>
    <x v="17"/>
    <d v="2026-01-19T00:00:00"/>
    <s v="1ST"/>
    <d v="1899-12-30T10:00:00"/>
    <n v="1"/>
    <x v="4"/>
    <n v="7.4999999999999997E-3"/>
    <s v="P"/>
    <s v="P"/>
    <s v="P"/>
    <s v="-"/>
    <s v="+"/>
    <n v="10.6"/>
    <n v="8.4600000000000009"/>
    <n v="0.47"/>
    <n v="54.1"/>
    <s v="-"/>
    <s v="-"/>
    <n v="22.85"/>
    <s v="-"/>
    <s v="-"/>
    <s v="P"/>
    <s v="P"/>
    <s v="-"/>
    <n v="2"/>
    <n v="1"/>
    <n v="2"/>
    <n v="0"/>
    <n v="0"/>
    <n v="2"/>
    <n v="2"/>
    <s v="-"/>
    <s v="-"/>
    <n v="2"/>
    <s v="-"/>
    <n v="11"/>
    <n v="13"/>
    <s v="-"/>
    <n v="1"/>
    <n v="1"/>
    <n v="2"/>
    <n v="2"/>
    <n v="13"/>
    <n v="15"/>
  </r>
  <r>
    <x v="0"/>
    <x v="17"/>
    <d v="2026-01-19T00:00:00"/>
    <s v="1ST"/>
    <d v="1899-12-30T11:00:00"/>
    <n v="1"/>
    <x v="4"/>
    <n v="8.3999999999999995E-3"/>
    <s v="P"/>
    <s v="P"/>
    <s v="P"/>
    <s v="-"/>
    <s v="+"/>
    <n v="10.45"/>
    <s v="-"/>
    <s v="-"/>
    <s v="-"/>
    <s v="-"/>
    <s v="-"/>
    <s v="-"/>
    <s v="-"/>
    <s v="-"/>
    <s v="P"/>
    <s v="P"/>
    <s v="-"/>
    <n v="2"/>
    <n v="1"/>
    <n v="2"/>
    <n v="0"/>
    <s v="-"/>
    <s v="-"/>
    <s v="-"/>
    <s v="-"/>
    <s v="-"/>
    <s v="-"/>
    <s v="-"/>
    <n v="5"/>
    <n v="6"/>
    <s v="-"/>
    <n v="1"/>
    <n v="1"/>
    <n v="2"/>
    <n v="2"/>
    <n v="7"/>
    <n v="8"/>
  </r>
  <r>
    <x v="0"/>
    <x v="17"/>
    <d v="2026-01-19T00:00:00"/>
    <s v="1ST"/>
    <d v="1899-12-30T12:00:00"/>
    <n v="1"/>
    <x v="4"/>
    <n v="1.17E-2"/>
    <s v="P"/>
    <s v="P"/>
    <s v="P"/>
    <s v="-"/>
    <s v="+"/>
    <n v="10.68"/>
    <s v="-"/>
    <s v="-"/>
    <s v="-"/>
    <s v="-"/>
    <s v="-"/>
    <s v="-"/>
    <s v="-"/>
    <s v="-"/>
    <s v="P"/>
    <s v="P"/>
    <s v="-"/>
    <n v="2"/>
    <n v="1"/>
    <n v="2"/>
    <n v="0"/>
    <s v="-"/>
    <s v="-"/>
    <s v="-"/>
    <s v="-"/>
    <s v="-"/>
    <s v="-"/>
    <s v="-"/>
    <n v="5"/>
    <n v="6"/>
    <s v="-"/>
    <n v="1"/>
    <n v="1"/>
    <n v="2"/>
    <n v="2"/>
    <n v="7"/>
    <n v="8"/>
  </r>
  <r>
    <x v="0"/>
    <x v="17"/>
    <d v="2026-01-19T00:00:00"/>
    <s v="2ND"/>
    <d v="1899-12-30T14:00:00"/>
    <n v="1"/>
    <x v="4"/>
    <n v="1.4E-3"/>
    <s v="P"/>
    <s v="P"/>
    <s v="P"/>
    <s v="-"/>
    <s v="+"/>
    <n v="10.57"/>
    <n v="8.61"/>
    <n v="0.51"/>
    <s v="-"/>
    <s v="-"/>
    <s v="-"/>
    <n v="23.21"/>
    <s v="-"/>
    <s v="-"/>
    <s v="P"/>
    <s v="P"/>
    <s v="-"/>
    <n v="2"/>
    <n v="1"/>
    <n v="2"/>
    <n v="0"/>
    <n v="1"/>
    <n v="2"/>
    <s v="-"/>
    <s v="-"/>
    <s v="-"/>
    <n v="2"/>
    <s v="-"/>
    <n v="10"/>
    <n v="11"/>
    <s v="-"/>
    <n v="1"/>
    <n v="1"/>
    <n v="2"/>
    <n v="2"/>
    <n v="12"/>
    <n v="13"/>
  </r>
  <r>
    <x v="0"/>
    <x v="17"/>
    <d v="2026-01-19T00:00:00"/>
    <s v="2ND"/>
    <d v="1899-12-30T15:00:00"/>
    <n v="1"/>
    <x v="4"/>
    <n v="1.1999999999999999E-3"/>
    <s v="P"/>
    <s v="P"/>
    <s v="P"/>
    <s v="-"/>
    <s v="+"/>
    <n v="10.61"/>
    <s v="-"/>
    <s v="-"/>
    <s v="-"/>
    <s v="-"/>
    <s v="-"/>
    <s v="-"/>
    <s v="-"/>
    <s v="-"/>
    <s v="P"/>
    <s v="P"/>
    <s v="-"/>
    <n v="2"/>
    <n v="1"/>
    <n v="2"/>
    <n v="0"/>
    <s v="-"/>
    <s v="-"/>
    <s v="-"/>
    <s v="-"/>
    <s v="-"/>
    <s v="-"/>
    <s v="-"/>
    <n v="5"/>
    <n v="6"/>
    <s v="-"/>
    <n v="1"/>
    <n v="1"/>
    <n v="2"/>
    <n v="2"/>
    <n v="7"/>
    <n v="8"/>
  </r>
  <r>
    <x v="0"/>
    <x v="17"/>
    <d v="2026-01-19T00:00:00"/>
    <s v="1ST"/>
    <d v="1899-12-30T06:00:00"/>
    <n v="2"/>
    <x v="22"/>
    <n v="2.7000000000000001E-3"/>
    <s v="P"/>
    <s v="P"/>
    <s v="P"/>
    <s v="-"/>
    <s v="-"/>
    <n v="11.26"/>
    <n v="8.4600000000000009"/>
    <n v="0.46"/>
    <n v="54"/>
    <s v="-"/>
    <s v="-"/>
    <n v="22.78"/>
    <s v="-"/>
    <s v="-"/>
    <s v="P"/>
    <s v="P"/>
    <s v="-"/>
    <n v="2"/>
    <n v="1"/>
    <n v="2"/>
    <n v="1"/>
    <n v="0"/>
    <n v="0"/>
    <n v="2"/>
    <s v="-"/>
    <s v="-"/>
    <n v="2"/>
    <s v="-"/>
    <n v="10"/>
    <n v="13"/>
    <s v="-"/>
    <n v="1"/>
    <n v="1"/>
    <n v="2"/>
    <n v="2"/>
    <n v="12"/>
    <n v="15"/>
  </r>
  <r>
    <x v="0"/>
    <x v="17"/>
    <d v="2026-01-19T00:00:00"/>
    <s v="1ST"/>
    <d v="1899-12-30T07:00:00"/>
    <n v="2"/>
    <x v="22"/>
    <n v="3.3999999999999998E-3"/>
    <s v="P"/>
    <s v="P"/>
    <s v="P"/>
    <s v="-"/>
    <s v="-"/>
    <n v="11.29"/>
    <s v="-"/>
    <s v="-"/>
    <s v="-"/>
    <s v="-"/>
    <s v="-"/>
    <s v="-"/>
    <s v="-"/>
    <s v="-"/>
    <s v="P"/>
    <s v="P"/>
    <s v="-"/>
    <n v="2"/>
    <n v="1"/>
    <n v="2"/>
    <n v="1"/>
    <s v="-"/>
    <s v="-"/>
    <s v="-"/>
    <s v="-"/>
    <s v="-"/>
    <s v="-"/>
    <s v="-"/>
    <n v="6"/>
    <n v="6"/>
    <s v="-"/>
    <n v="1"/>
    <n v="1"/>
    <n v="2"/>
    <n v="2"/>
    <n v="8"/>
    <n v="8"/>
  </r>
  <r>
    <x v="0"/>
    <x v="17"/>
    <d v="2026-01-19T00:00:00"/>
    <s v="1ST"/>
    <d v="1899-12-30T08:00:00"/>
    <n v="2"/>
    <x v="22"/>
    <n v="8.5000000000000006E-3"/>
    <s v="P"/>
    <s v="P"/>
    <s v="P"/>
    <s v="-"/>
    <s v="-"/>
    <n v="11.32"/>
    <s v="-"/>
    <s v="-"/>
    <s v="-"/>
    <s v="-"/>
    <s v="-"/>
    <s v="-"/>
    <s v="-"/>
    <n v="25.15"/>
    <s v="P"/>
    <s v="P"/>
    <s v="-"/>
    <n v="2"/>
    <n v="1"/>
    <n v="2"/>
    <n v="1"/>
    <s v="-"/>
    <s v="-"/>
    <s v="-"/>
    <s v="-"/>
    <s v="-"/>
    <s v="-"/>
    <s v="-"/>
    <n v="6"/>
    <n v="6"/>
    <n v="1"/>
    <n v="1"/>
    <n v="1"/>
    <n v="3"/>
    <n v="3"/>
    <n v="9"/>
    <n v="9"/>
  </r>
  <r>
    <x v="0"/>
    <x v="17"/>
    <d v="2026-01-19T00:00:00"/>
    <s v="1ST"/>
    <d v="1899-12-30T09:00:00"/>
    <n v="2"/>
    <x v="22"/>
    <n v="9.2999999999999992E-3"/>
    <s v="P"/>
    <s v="P"/>
    <s v="P"/>
    <s v="-"/>
    <s v="-"/>
    <n v="11"/>
    <s v="-"/>
    <s v="-"/>
    <s v="-"/>
    <s v="-"/>
    <s v="-"/>
    <s v="-"/>
    <s v="-"/>
    <s v="-"/>
    <s v="P"/>
    <s v="P"/>
    <s v="-"/>
    <n v="2"/>
    <n v="1"/>
    <n v="2"/>
    <n v="1"/>
    <s v="-"/>
    <s v="-"/>
    <s v="-"/>
    <s v="-"/>
    <s v="-"/>
    <s v="-"/>
    <s v="-"/>
    <n v="6"/>
    <n v="6"/>
    <s v="-"/>
    <n v="1"/>
    <n v="1"/>
    <n v="2"/>
    <n v="2"/>
    <n v="8"/>
    <n v="8"/>
  </r>
  <r>
    <x v="0"/>
    <x v="17"/>
    <d v="2026-01-19T00:00:00"/>
    <s v="1ST"/>
    <d v="1899-12-30T11:00:00"/>
    <n v="2"/>
    <x v="22"/>
    <n v="9.5999999999999992E-3"/>
    <s v="P"/>
    <s v="P"/>
    <s v="P"/>
    <s v="-"/>
    <s v="-"/>
    <n v="10.65"/>
    <s v="-"/>
    <s v="-"/>
    <s v="-"/>
    <s v="-"/>
    <s v="-"/>
    <s v="-"/>
    <s v="-"/>
    <s v="-"/>
    <s v="P"/>
    <s v="P"/>
    <s v="-"/>
    <n v="2"/>
    <n v="1"/>
    <n v="2"/>
    <n v="0"/>
    <s v="-"/>
    <s v="-"/>
    <s v="-"/>
    <s v="-"/>
    <s v="-"/>
    <s v="-"/>
    <s v="-"/>
    <n v="5"/>
    <n v="6"/>
    <s v="-"/>
    <n v="1"/>
    <n v="1"/>
    <n v="2"/>
    <n v="2"/>
    <n v="7"/>
    <n v="8"/>
  </r>
  <r>
    <x v="0"/>
    <x v="17"/>
    <d v="2026-01-19T00:00:00"/>
    <s v="1ST"/>
    <d v="1899-12-30T12:00:00"/>
    <n v="2"/>
    <x v="22"/>
    <n v="9.1000000000000004E-3"/>
    <s v="P"/>
    <s v="P"/>
    <s v="P"/>
    <s v="-"/>
    <s v="-"/>
    <n v="10.85"/>
    <s v="-"/>
    <s v="-"/>
    <s v="-"/>
    <s v="-"/>
    <s v="-"/>
    <s v="-"/>
    <s v="-"/>
    <s v="-"/>
    <s v="P"/>
    <s v="P"/>
    <s v="-"/>
    <n v="2"/>
    <n v="1"/>
    <n v="2"/>
    <n v="0"/>
    <s v="-"/>
    <s v="-"/>
    <s v="-"/>
    <s v="-"/>
    <s v="-"/>
    <s v="-"/>
    <s v="-"/>
    <n v="5"/>
    <n v="6"/>
    <s v="-"/>
    <n v="1"/>
    <n v="1"/>
    <n v="2"/>
    <n v="2"/>
    <n v="7"/>
    <n v="8"/>
  </r>
  <r>
    <x v="0"/>
    <x v="17"/>
    <d v="2026-01-19T00:00:00"/>
    <s v="2ND"/>
    <d v="1899-12-30T16:00:00"/>
    <n v="1"/>
    <x v="22"/>
    <n v="2.2000000000000001E-3"/>
    <s v="P"/>
    <s v="P"/>
    <s v="P"/>
    <s v="-"/>
    <s v="-"/>
    <n v="11.15"/>
    <n v="8.7100000000000009"/>
    <n v="0.51"/>
    <s v="-"/>
    <s v="-"/>
    <s v="-"/>
    <n v="23.51"/>
    <s v="-"/>
    <s v="-"/>
    <s v="P"/>
    <s v="P"/>
    <s v="-"/>
    <n v="2"/>
    <n v="1"/>
    <n v="2"/>
    <n v="1"/>
    <n v="1"/>
    <n v="2"/>
    <s v="-"/>
    <s v="-"/>
    <s v="-"/>
    <n v="2"/>
    <s v="-"/>
    <n v="11"/>
    <n v="11"/>
    <s v="-"/>
    <n v="1"/>
    <n v="1"/>
    <n v="2"/>
    <n v="2"/>
    <n v="13"/>
    <n v="13"/>
  </r>
  <r>
    <x v="0"/>
    <x v="17"/>
    <d v="2026-01-19T00:00:00"/>
    <s v="2ND"/>
    <d v="1899-12-30T17:00:00"/>
    <n v="1"/>
    <x v="22"/>
    <n v="2.8E-3"/>
    <s v="P"/>
    <s v="P"/>
    <s v="P"/>
    <s v="-"/>
    <s v="-"/>
    <n v="11.24"/>
    <s v="-"/>
    <s v="-"/>
    <s v="-"/>
    <s v="-"/>
    <s v="-"/>
    <s v="-"/>
    <s v="-"/>
    <s v="-"/>
    <s v="P"/>
    <s v="P"/>
    <s v="-"/>
    <n v="2"/>
    <n v="1"/>
    <n v="2"/>
    <n v="1"/>
    <s v="-"/>
    <s v="-"/>
    <s v="-"/>
    <s v="-"/>
    <s v="-"/>
    <s v="-"/>
    <s v="-"/>
    <n v="6"/>
    <n v="6"/>
    <s v="-"/>
    <n v="1"/>
    <n v="1"/>
    <n v="2"/>
    <n v="2"/>
    <n v="8"/>
    <n v="8"/>
  </r>
  <r>
    <x v="0"/>
    <x v="17"/>
    <d v="2026-01-19T00:00:00"/>
    <s v="2ND"/>
    <d v="1899-12-30T18:00:00"/>
    <n v="1"/>
    <x v="22"/>
    <n v="1.6999999999999999E-3"/>
    <s v="P"/>
    <s v="P"/>
    <s v="P"/>
    <s v="-"/>
    <s v="-"/>
    <n v="11.4"/>
    <s v="-"/>
    <s v="-"/>
    <s v="-"/>
    <s v="-"/>
    <s v="-"/>
    <s v="-"/>
    <s v="-"/>
    <s v="-"/>
    <s v="P"/>
    <s v="P"/>
    <s v="-"/>
    <n v="2"/>
    <n v="1"/>
    <n v="2"/>
    <n v="1"/>
    <s v="-"/>
    <s v="-"/>
    <s v="-"/>
    <s v="-"/>
    <s v="-"/>
    <s v="-"/>
    <s v="-"/>
    <n v="6"/>
    <n v="6"/>
    <s v="-"/>
    <n v="1"/>
    <n v="1"/>
    <n v="2"/>
    <n v="2"/>
    <n v="8"/>
    <n v="8"/>
  </r>
  <r>
    <x v="0"/>
    <x v="17"/>
    <d v="2026-01-19T00:00:00"/>
    <s v="2ND"/>
    <d v="1899-12-30T19:00:00"/>
    <n v="1"/>
    <x v="22"/>
    <n v="1.1000000000000001E-3"/>
    <s v="P"/>
    <s v="P"/>
    <s v="P"/>
    <s v="-"/>
    <s v="-"/>
    <n v="11.23"/>
    <s v="-"/>
    <s v="-"/>
    <s v="-"/>
    <s v="-"/>
    <s v="-"/>
    <s v="-"/>
    <s v="-"/>
    <s v="-"/>
    <s v="P"/>
    <s v="P"/>
    <s v="-"/>
    <n v="2"/>
    <n v="1"/>
    <n v="2"/>
    <n v="1"/>
    <s v="-"/>
    <s v="-"/>
    <s v="-"/>
    <s v="-"/>
    <s v="-"/>
    <s v="-"/>
    <s v="-"/>
    <n v="6"/>
    <n v="6"/>
    <s v="-"/>
    <n v="1"/>
    <n v="1"/>
    <n v="2"/>
    <n v="2"/>
    <n v="8"/>
    <n v="8"/>
  </r>
  <r>
    <x v="0"/>
    <x v="17"/>
    <d v="2026-01-19T00:00:00"/>
    <s v="2ND"/>
    <d v="1899-12-30T20:00:00"/>
    <n v="1"/>
    <x v="22"/>
    <n v="8.9999999999999998E-4"/>
    <s v="P"/>
    <s v="P"/>
    <s v="P"/>
    <s v="-"/>
    <s v="-"/>
    <n v="11.4"/>
    <s v="-"/>
    <s v="-"/>
    <s v="-"/>
    <s v="-"/>
    <s v="-"/>
    <s v="-"/>
    <s v="-"/>
    <s v="-"/>
    <s v="P"/>
    <s v="P"/>
    <s v="-"/>
    <n v="2"/>
    <n v="1"/>
    <n v="2"/>
    <n v="1"/>
    <s v="-"/>
    <s v="-"/>
    <s v="-"/>
    <s v="-"/>
    <s v="-"/>
    <s v="-"/>
    <s v="-"/>
    <n v="6"/>
    <n v="6"/>
    <s v="-"/>
    <n v="1"/>
    <n v="1"/>
    <n v="2"/>
    <n v="2"/>
    <n v="8"/>
    <n v="8"/>
  </r>
  <r>
    <x v="0"/>
    <x v="17"/>
    <d v="2026-01-19T00:00:00"/>
    <s v="2ND"/>
    <d v="1899-12-30T14:00:00"/>
    <n v="2"/>
    <x v="22"/>
    <n v="5.0000000000000001E-4"/>
    <s v="P"/>
    <s v="P"/>
    <s v="P"/>
    <s v="-"/>
    <s v="-"/>
    <n v="10.73"/>
    <n v="8.61"/>
    <n v="0.45"/>
    <s v="-"/>
    <s v="-"/>
    <s v="-"/>
    <n v="23.14"/>
    <s v="-"/>
    <s v="-"/>
    <s v="P"/>
    <s v="P"/>
    <s v="-"/>
    <n v="2"/>
    <n v="1"/>
    <n v="2"/>
    <n v="0"/>
    <n v="1"/>
    <n v="0"/>
    <s v="-"/>
    <s v="-"/>
    <s v="-"/>
    <n v="2"/>
    <s v="-"/>
    <n v="8"/>
    <n v="11"/>
    <s v="-"/>
    <n v="1"/>
    <n v="1"/>
    <n v="2"/>
    <n v="2"/>
    <n v="10"/>
    <n v="13"/>
  </r>
  <r>
    <x v="0"/>
    <x v="17"/>
    <d v="2026-01-19T00:00:00"/>
    <s v="2ND"/>
    <d v="1899-12-30T15:00:00"/>
    <n v="2"/>
    <x v="22"/>
    <n v="1.4E-3"/>
    <s v="P"/>
    <s v="P"/>
    <s v="P"/>
    <s v="-"/>
    <s v="-"/>
    <n v="10.81"/>
    <s v="-"/>
    <s v="-"/>
    <s v="-"/>
    <s v="-"/>
    <s v="-"/>
    <s v="-"/>
    <s v="-"/>
    <s v="-"/>
    <s v="P"/>
    <s v="P"/>
    <s v="-"/>
    <n v="2"/>
    <n v="1"/>
    <n v="2"/>
    <n v="0"/>
    <s v="-"/>
    <s v="-"/>
    <s v="-"/>
    <s v="-"/>
    <s v="-"/>
    <s v="-"/>
    <s v="-"/>
    <n v="5"/>
    <n v="6"/>
    <s v="-"/>
    <n v="1"/>
    <n v="1"/>
    <n v="2"/>
    <n v="2"/>
    <n v="7"/>
    <n v="8"/>
  </r>
  <r>
    <x v="0"/>
    <x v="17"/>
    <d v="2026-01-19T00:00:00"/>
    <s v="2ND"/>
    <d v="1899-12-30T16:00:00"/>
    <n v="2"/>
    <x v="22"/>
    <n v="2.2000000000000001E-3"/>
    <s v="P"/>
    <s v="P"/>
    <s v="P"/>
    <s v="-"/>
    <s v="-"/>
    <n v="11.12"/>
    <s v="-"/>
    <s v="-"/>
    <s v="-"/>
    <s v="-"/>
    <s v="-"/>
    <s v="-"/>
    <s v="-"/>
    <s v="-"/>
    <s v="P"/>
    <s v="P"/>
    <s v="-"/>
    <n v="2"/>
    <n v="1"/>
    <n v="2"/>
    <n v="1"/>
    <s v="-"/>
    <s v="-"/>
    <s v="-"/>
    <s v="-"/>
    <s v="-"/>
    <s v="-"/>
    <s v="-"/>
    <n v="6"/>
    <n v="6"/>
    <s v="-"/>
    <n v="1"/>
    <n v="1"/>
    <n v="2"/>
    <n v="2"/>
    <n v="8"/>
    <n v="8"/>
  </r>
  <r>
    <x v="0"/>
    <x v="17"/>
    <d v="2026-01-19T00:00:00"/>
    <s v="2ND"/>
    <d v="1899-12-30T17:00:00"/>
    <n v="2"/>
    <x v="22"/>
    <n v="2.3999999999999998E-3"/>
    <s v="P"/>
    <s v="P"/>
    <s v="P"/>
    <s v="-"/>
    <s v="-"/>
    <n v="10.87"/>
    <s v="-"/>
    <s v="-"/>
    <s v="-"/>
    <s v="-"/>
    <s v="-"/>
    <s v="-"/>
    <s v="-"/>
    <s v="-"/>
    <s v="P"/>
    <s v="P"/>
    <s v="-"/>
    <n v="2"/>
    <n v="1"/>
    <n v="2"/>
    <n v="0"/>
    <s v="-"/>
    <s v="-"/>
    <s v="-"/>
    <s v="-"/>
    <s v="-"/>
    <s v="-"/>
    <s v="-"/>
    <n v="5"/>
    <n v="6"/>
    <s v="-"/>
    <n v="1"/>
    <n v="1"/>
    <n v="2"/>
    <n v="2"/>
    <n v="7"/>
    <n v="8"/>
  </r>
  <r>
    <x v="0"/>
    <x v="17"/>
    <d v="2026-01-19T00:00:00"/>
    <s v="2ND"/>
    <d v="1899-12-30T18:00:00"/>
    <n v="2"/>
    <x v="22"/>
    <n v="3.3E-3"/>
    <s v="P"/>
    <s v="P"/>
    <s v="P"/>
    <s v="-"/>
    <s v="-"/>
    <n v="10.98"/>
    <s v="-"/>
    <s v="-"/>
    <s v="-"/>
    <s v="-"/>
    <s v="-"/>
    <s v="-"/>
    <s v="-"/>
    <s v="-"/>
    <s v="P"/>
    <s v="P"/>
    <s v="-"/>
    <n v="2"/>
    <n v="1"/>
    <n v="2"/>
    <n v="0"/>
    <s v="-"/>
    <s v="-"/>
    <s v="-"/>
    <s v="-"/>
    <s v="-"/>
    <s v="-"/>
    <s v="-"/>
    <n v="5"/>
    <n v="6"/>
    <s v="-"/>
    <n v="1"/>
    <n v="1"/>
    <n v="2"/>
    <n v="2"/>
    <n v="7"/>
    <n v="8"/>
  </r>
  <r>
    <x v="0"/>
    <x v="17"/>
    <d v="2026-01-19T00:00:00"/>
    <s v="2ND"/>
    <d v="1899-12-30T19:00:00"/>
    <n v="2"/>
    <x v="22"/>
    <n v="2.5000000000000001E-3"/>
    <s v="P"/>
    <s v="P"/>
    <s v="P"/>
    <s v="-"/>
    <s v="-"/>
    <n v="10.91"/>
    <s v="-"/>
    <s v="-"/>
    <s v="-"/>
    <s v="-"/>
    <s v="-"/>
    <s v="-"/>
    <s v="-"/>
    <s v="-"/>
    <s v="P"/>
    <s v="P"/>
    <s v="-"/>
    <n v="2"/>
    <n v="1"/>
    <n v="2"/>
    <n v="0"/>
    <s v="-"/>
    <s v="-"/>
    <s v="-"/>
    <s v="-"/>
    <s v="-"/>
    <s v="-"/>
    <s v="-"/>
    <n v="5"/>
    <n v="6"/>
    <s v="-"/>
    <n v="1"/>
    <n v="1"/>
    <n v="2"/>
    <n v="2"/>
    <n v="7"/>
    <n v="8"/>
  </r>
  <r>
    <x v="0"/>
    <x v="17"/>
    <d v="2026-01-19T00:00:00"/>
    <s v="2ND"/>
    <d v="1899-12-30T20:00:00"/>
    <n v="2"/>
    <x v="22"/>
    <n v="1.2999999999999999E-3"/>
    <s v="P"/>
    <s v="P"/>
    <s v="P"/>
    <s v="-"/>
    <s v="-"/>
    <n v="11.23"/>
    <s v="-"/>
    <s v="-"/>
    <s v="-"/>
    <s v="-"/>
    <s v="-"/>
    <s v="-"/>
    <s v="-"/>
    <s v="-"/>
    <s v="P"/>
    <s v="P"/>
    <s v="-"/>
    <n v="2"/>
    <n v="1"/>
    <n v="2"/>
    <n v="1"/>
    <s v="-"/>
    <s v="-"/>
    <s v="-"/>
    <s v="-"/>
    <s v="-"/>
    <s v="-"/>
    <s v="-"/>
    <n v="6"/>
    <n v="6"/>
    <s v="-"/>
    <n v="1"/>
    <n v="1"/>
    <n v="2"/>
    <n v="2"/>
    <n v="8"/>
    <n v="8"/>
  </r>
  <r>
    <x v="0"/>
    <x v="17"/>
    <d v="2026-01-19T00:00:00"/>
    <s v="3RD"/>
    <d v="1899-12-30T22:00:00"/>
    <n v="1"/>
    <x v="22"/>
    <n v="6.1999999999999998E-3"/>
    <s v="P"/>
    <s v="P"/>
    <s v="P"/>
    <s v="-"/>
    <s v="-"/>
    <n v="11.33"/>
    <n v="8.7799999999999994"/>
    <n v="0.41"/>
    <s v="-"/>
    <s v="-"/>
    <s v="-"/>
    <n v="23.14"/>
    <s v="-"/>
    <s v="-"/>
    <s v="P"/>
    <s v="P"/>
    <s v="-"/>
    <n v="2"/>
    <n v="1"/>
    <n v="2"/>
    <n v="1"/>
    <n v="1"/>
    <n v="0"/>
    <s v="-"/>
    <s v="-"/>
    <s v="-"/>
    <n v="2"/>
    <s v="-"/>
    <n v="9"/>
    <n v="11"/>
    <s v="-"/>
    <n v="1"/>
    <n v="1"/>
    <n v="2"/>
    <n v="2"/>
    <n v="11"/>
    <n v="13"/>
  </r>
  <r>
    <x v="0"/>
    <x v="17"/>
    <d v="2026-01-19T00:00:00"/>
    <s v="3RD"/>
    <d v="1899-12-30T23:00:00"/>
    <n v="1"/>
    <x v="22"/>
    <n v="2.8E-3"/>
    <s v="P"/>
    <s v="P"/>
    <s v="P"/>
    <s v="-"/>
    <s v="-"/>
    <n v="11.29"/>
    <s v="-"/>
    <s v="-"/>
    <s v="-"/>
    <s v="-"/>
    <s v="-"/>
    <s v="-"/>
    <s v="-"/>
    <s v="-"/>
    <s v="P"/>
    <s v="P"/>
    <s v="-"/>
    <n v="2"/>
    <n v="1"/>
    <n v="2"/>
    <n v="1"/>
    <s v="-"/>
    <s v="-"/>
    <s v="-"/>
    <s v="-"/>
    <s v="-"/>
    <s v="-"/>
    <s v="-"/>
    <n v="6"/>
    <n v="6"/>
    <s v="-"/>
    <n v="1"/>
    <n v="1"/>
    <n v="2"/>
    <n v="2"/>
    <n v="8"/>
    <n v="8"/>
  </r>
  <r>
    <x v="0"/>
    <x v="17"/>
    <d v="2026-01-19T00:00:00"/>
    <s v="3RD"/>
    <d v="1899-12-30T00:00:00"/>
    <n v="1"/>
    <x v="22"/>
    <n v="1.6999999999999999E-3"/>
    <s v="P"/>
    <s v="P"/>
    <s v="P"/>
    <s v="-"/>
    <s v="-"/>
    <n v="11.21"/>
    <s v="-"/>
    <s v="-"/>
    <s v="-"/>
    <s v="-"/>
    <s v="-"/>
    <s v="-"/>
    <s v="-"/>
    <s v="-"/>
    <s v="P"/>
    <s v="P"/>
    <s v="-"/>
    <n v="2"/>
    <n v="1"/>
    <n v="2"/>
    <n v="1"/>
    <s v="-"/>
    <s v="-"/>
    <s v="-"/>
    <s v="-"/>
    <s v="-"/>
    <s v="-"/>
    <s v="-"/>
    <n v="6"/>
    <n v="6"/>
    <s v="-"/>
    <n v="1"/>
    <n v="1"/>
    <n v="2"/>
    <n v="2"/>
    <n v="8"/>
    <n v="8"/>
  </r>
  <r>
    <x v="0"/>
    <x v="17"/>
    <d v="2026-01-19T00:00:00"/>
    <s v="3RD"/>
    <d v="1899-12-30T01:00:00"/>
    <n v="1"/>
    <x v="22"/>
    <n v="7.4999999999999997E-3"/>
    <s v="P"/>
    <s v="P"/>
    <s v="P"/>
    <s v="-"/>
    <s v="-"/>
    <n v="11.16"/>
    <s v="-"/>
    <s v="-"/>
    <s v="-"/>
    <s v="-"/>
    <s v="-"/>
    <s v="-"/>
    <s v="-"/>
    <s v="-"/>
    <s v="P"/>
    <s v="P"/>
    <s v="-"/>
    <n v="2"/>
    <n v="1"/>
    <n v="2"/>
    <n v="1"/>
    <s v="-"/>
    <s v="-"/>
    <s v="-"/>
    <s v="-"/>
    <s v="-"/>
    <s v="-"/>
    <s v="-"/>
    <n v="6"/>
    <n v="6"/>
    <s v="-"/>
    <n v="1"/>
    <n v="1"/>
    <n v="2"/>
    <n v="2"/>
    <n v="8"/>
    <n v="8"/>
  </r>
  <r>
    <x v="0"/>
    <x v="17"/>
    <d v="2026-01-19T00:00:00"/>
    <s v="3RD"/>
    <d v="1899-12-30T02:00:00"/>
    <n v="1"/>
    <x v="22"/>
    <n v="2.8999999999999998E-3"/>
    <s v="P"/>
    <s v="P"/>
    <s v="P"/>
    <s v="-"/>
    <s v="-"/>
    <n v="11.2"/>
    <s v="-"/>
    <s v="-"/>
    <s v="-"/>
    <s v="-"/>
    <s v="-"/>
    <s v="-"/>
    <s v="-"/>
    <s v="-"/>
    <s v="P"/>
    <s v="P"/>
    <s v="-"/>
    <n v="2"/>
    <n v="1"/>
    <n v="2"/>
    <n v="1"/>
    <s v="-"/>
    <s v="-"/>
    <s v="-"/>
    <s v="-"/>
    <s v="-"/>
    <s v="-"/>
    <s v="-"/>
    <n v="6"/>
    <n v="6"/>
    <s v="-"/>
    <n v="1"/>
    <n v="1"/>
    <n v="2"/>
    <n v="2"/>
    <n v="8"/>
    <n v="8"/>
  </r>
  <r>
    <x v="0"/>
    <x v="17"/>
    <d v="2026-01-19T00:00:00"/>
    <s v="3RD"/>
    <d v="1899-12-30T03:00:00"/>
    <n v="1"/>
    <x v="22"/>
    <n v="8.3000000000000001E-3"/>
    <s v="P"/>
    <s v="P"/>
    <s v="P"/>
    <s v="-"/>
    <s v="-"/>
    <n v="11.05"/>
    <s v="-"/>
    <s v="-"/>
    <s v="-"/>
    <s v="-"/>
    <s v="-"/>
    <s v="-"/>
    <s v="-"/>
    <s v="-"/>
    <s v="P"/>
    <s v="P"/>
    <s v="-"/>
    <n v="2"/>
    <n v="1"/>
    <n v="2"/>
    <n v="1"/>
    <s v="-"/>
    <s v="-"/>
    <s v="-"/>
    <s v="-"/>
    <s v="-"/>
    <s v="-"/>
    <s v="-"/>
    <n v="6"/>
    <n v="6"/>
    <s v="-"/>
    <n v="1"/>
    <n v="1"/>
    <n v="2"/>
    <n v="2"/>
    <n v="8"/>
    <n v="8"/>
  </r>
  <r>
    <x v="0"/>
    <x v="17"/>
    <d v="2026-01-19T00:00:00"/>
    <s v="3RD"/>
    <d v="1899-12-30T04:00:00"/>
    <n v="1"/>
    <x v="22"/>
    <n v="5.7999999999999996E-3"/>
    <s v="P"/>
    <s v="P"/>
    <s v="P"/>
    <s v="-"/>
    <s v="-"/>
    <n v="11.03"/>
    <s v="-"/>
    <s v="-"/>
    <s v="-"/>
    <s v="-"/>
    <s v="-"/>
    <s v="-"/>
    <s v="-"/>
    <s v="-"/>
    <s v="P"/>
    <s v="P"/>
    <s v="-"/>
    <n v="2"/>
    <n v="1"/>
    <n v="2"/>
    <n v="1"/>
    <s v="-"/>
    <s v="-"/>
    <s v="-"/>
    <s v="-"/>
    <s v="-"/>
    <s v="-"/>
    <s v="-"/>
    <n v="6"/>
    <n v="6"/>
    <s v="-"/>
    <n v="1"/>
    <n v="1"/>
    <n v="2"/>
    <n v="2"/>
    <n v="8"/>
    <n v="8"/>
  </r>
  <r>
    <x v="0"/>
    <x v="17"/>
    <d v="2026-01-19T00:00:00"/>
    <s v="3RD"/>
    <d v="1899-12-30T22:00:00"/>
    <n v="2"/>
    <x v="22"/>
    <n v="5.7999999999999996E-3"/>
    <s v="P"/>
    <s v="P"/>
    <s v="P"/>
    <s v="-"/>
    <s v="-"/>
    <n v="11.28"/>
    <s v="-"/>
    <s v="-"/>
    <s v="-"/>
    <s v="-"/>
    <s v="-"/>
    <s v="-"/>
    <s v="-"/>
    <s v="-"/>
    <s v="P"/>
    <s v="P"/>
    <s v="-"/>
    <n v="2"/>
    <n v="1"/>
    <n v="2"/>
    <n v="1"/>
    <s v="-"/>
    <s v="-"/>
    <s v="-"/>
    <s v="-"/>
    <s v="-"/>
    <s v="-"/>
    <s v="-"/>
    <n v="6"/>
    <n v="6"/>
    <s v="-"/>
    <n v="1"/>
    <n v="1"/>
    <n v="2"/>
    <n v="2"/>
    <n v="8"/>
    <n v="8"/>
  </r>
  <r>
    <x v="0"/>
    <x v="17"/>
    <d v="2026-01-19T00:00:00"/>
    <s v="3RD"/>
    <d v="1899-12-30T23:00:00"/>
    <n v="2"/>
    <x v="22"/>
    <n v="1.1999999999999999E-3"/>
    <s v="P"/>
    <s v="P"/>
    <s v="P"/>
    <s v="-"/>
    <s v="-"/>
    <n v="11.17"/>
    <s v="-"/>
    <s v="-"/>
    <s v="-"/>
    <s v="-"/>
    <s v="-"/>
    <s v="-"/>
    <s v="-"/>
    <s v="-"/>
    <s v="P"/>
    <s v="P"/>
    <s v="-"/>
    <n v="2"/>
    <n v="1"/>
    <n v="2"/>
    <n v="1"/>
    <s v="-"/>
    <s v="-"/>
    <s v="-"/>
    <s v="-"/>
    <s v="-"/>
    <s v="-"/>
    <s v="-"/>
    <n v="6"/>
    <n v="6"/>
    <s v="-"/>
    <n v="1"/>
    <n v="1"/>
    <n v="2"/>
    <n v="2"/>
    <n v="8"/>
    <n v="8"/>
  </r>
  <r>
    <x v="0"/>
    <x v="17"/>
    <d v="2026-01-19T00:00:00"/>
    <s v="3RD"/>
    <d v="1899-12-30T00:00:00"/>
    <n v="2"/>
    <x v="22"/>
    <n v="5.4000000000000003E-3"/>
    <s v="P"/>
    <s v="P"/>
    <s v="P"/>
    <s v="-"/>
    <s v="-"/>
    <n v="11.22"/>
    <s v="-"/>
    <s v="-"/>
    <s v="-"/>
    <s v="-"/>
    <s v="-"/>
    <s v="-"/>
    <s v="-"/>
    <s v="-"/>
    <s v="P"/>
    <s v="P"/>
    <s v="-"/>
    <n v="2"/>
    <n v="1"/>
    <n v="2"/>
    <n v="1"/>
    <s v="-"/>
    <s v="-"/>
    <s v="-"/>
    <s v="-"/>
    <s v="-"/>
    <s v="-"/>
    <s v="-"/>
    <n v="6"/>
    <n v="6"/>
    <s v="-"/>
    <n v="1"/>
    <n v="1"/>
    <n v="2"/>
    <n v="2"/>
    <n v="8"/>
    <n v="8"/>
  </r>
  <r>
    <x v="0"/>
    <x v="17"/>
    <d v="2026-01-19T00:00:00"/>
    <s v="3RD"/>
    <d v="1899-12-30T01:00:00"/>
    <n v="2"/>
    <x v="22"/>
    <n v="4.7000000000000002E-3"/>
    <s v="P"/>
    <s v="P"/>
    <s v="P"/>
    <s v="-"/>
    <s v="-"/>
    <n v="11.07"/>
    <s v="-"/>
    <s v="-"/>
    <s v="-"/>
    <s v="-"/>
    <s v="-"/>
    <s v="-"/>
    <s v="-"/>
    <s v="-"/>
    <s v="P"/>
    <s v="P"/>
    <s v="-"/>
    <n v="2"/>
    <n v="1"/>
    <n v="2"/>
    <n v="1"/>
    <s v="-"/>
    <s v="-"/>
    <s v="-"/>
    <s v="-"/>
    <s v="-"/>
    <s v="-"/>
    <s v="-"/>
    <n v="6"/>
    <n v="6"/>
    <s v="-"/>
    <n v="1"/>
    <n v="1"/>
    <n v="2"/>
    <n v="2"/>
    <n v="8"/>
    <n v="8"/>
  </r>
  <r>
    <x v="0"/>
    <x v="17"/>
    <d v="2026-01-19T00:00:00"/>
    <s v="3RD"/>
    <d v="1899-12-30T02:00:00"/>
    <n v="2"/>
    <x v="22"/>
    <n v="6.1000000000000004E-3"/>
    <s v="P"/>
    <s v="P"/>
    <s v="P"/>
    <s v="-"/>
    <s v="-"/>
    <n v="11.1"/>
    <s v="-"/>
    <s v="-"/>
    <s v="-"/>
    <s v="-"/>
    <s v="-"/>
    <s v="-"/>
    <s v="-"/>
    <s v="-"/>
    <s v="P"/>
    <s v="P"/>
    <s v="-"/>
    <n v="2"/>
    <n v="1"/>
    <n v="2"/>
    <n v="1"/>
    <s v="-"/>
    <s v="-"/>
    <s v="-"/>
    <s v="-"/>
    <s v="-"/>
    <s v="-"/>
    <s v="-"/>
    <n v="6"/>
    <n v="6"/>
    <s v="-"/>
    <n v="1"/>
    <n v="1"/>
    <n v="2"/>
    <n v="2"/>
    <n v="8"/>
    <n v="8"/>
  </r>
  <r>
    <x v="0"/>
    <x v="18"/>
    <d v="2026-01-16T00:00:00"/>
    <s v="1ST"/>
    <s v="08:00"/>
    <s v="Retail"/>
    <x v="19"/>
    <s v="-"/>
    <s v="P"/>
    <s v="P"/>
    <s v="P"/>
    <s v="-"/>
    <s v="-"/>
    <n v="13.06"/>
    <s v="-"/>
    <s v="-"/>
    <s v="-"/>
    <s v="-"/>
    <s v="-"/>
    <s v="-"/>
    <s v="-"/>
    <s v="-"/>
    <s v="P"/>
    <s v="P"/>
    <s v="-"/>
    <s v="-"/>
    <n v="1"/>
    <n v="2"/>
    <n v="1"/>
    <s v="-"/>
    <s v="-"/>
    <s v="-"/>
    <s v="-"/>
    <s v="-"/>
    <s v="-"/>
    <s v="-"/>
    <n v="4"/>
    <n v="4"/>
    <s v="-"/>
    <n v="1"/>
    <n v="1"/>
    <n v="2"/>
    <n v="2"/>
    <n v="6"/>
    <n v="6"/>
  </r>
  <r>
    <x v="0"/>
    <x v="18"/>
    <d v="2026-01-16T00:00:00"/>
    <s v="1ST"/>
    <s v="12:00"/>
    <s v="Retail"/>
    <x v="19"/>
    <s v="-"/>
    <s v="P"/>
    <s v="P"/>
    <s v="P"/>
    <s v="-"/>
    <s v="-"/>
    <n v="12.96"/>
    <s v="-"/>
    <s v="-"/>
    <s v="-"/>
    <s v="-"/>
    <s v="-"/>
    <s v="-"/>
    <s v="-"/>
    <s v="-"/>
    <s v="P"/>
    <s v="P"/>
    <s v="-"/>
    <s v="-"/>
    <n v="1"/>
    <n v="2"/>
    <n v="1"/>
    <s v="-"/>
    <s v="-"/>
    <s v="-"/>
    <s v="-"/>
    <s v="-"/>
    <s v="-"/>
    <s v="-"/>
    <n v="4"/>
    <n v="4"/>
    <s v="-"/>
    <n v="1"/>
    <n v="1"/>
    <n v="2"/>
    <n v="2"/>
    <n v="6"/>
    <n v="6"/>
  </r>
  <r>
    <x v="0"/>
    <x v="18"/>
    <d v="2026-01-23T00:00:00"/>
    <s v="2ND"/>
    <d v="1899-12-30T16:00:00"/>
    <n v="3"/>
    <x v="8"/>
    <n v="1.15E-2"/>
    <s v="P"/>
    <s v="P"/>
    <s v="P"/>
    <s v="+"/>
    <s v="+"/>
    <n v="13.56"/>
    <s v="-"/>
    <s v="-"/>
    <s v="-"/>
    <s v="-"/>
    <s v="-"/>
    <s v="-"/>
    <s v="-"/>
    <s v="-"/>
    <s v="P"/>
    <s v="P"/>
    <s v="-"/>
    <n v="2"/>
    <n v="1"/>
    <n v="2"/>
    <n v="0"/>
    <s v="-"/>
    <s v="-"/>
    <s v="-"/>
    <s v="-"/>
    <s v="-"/>
    <s v="-"/>
    <s v="-"/>
    <n v="5"/>
    <n v="6"/>
    <s v="-"/>
    <n v="1"/>
    <n v="1"/>
    <n v="2"/>
    <n v="2"/>
    <n v="7"/>
    <n v="8"/>
  </r>
  <r>
    <x v="0"/>
    <x v="18"/>
    <d v="2026-01-22T00:00:00"/>
    <s v="1ST"/>
    <s v="06:00"/>
    <n v="3"/>
    <x v="1"/>
    <n v="8.8999999999999999E-3"/>
    <s v="P"/>
    <s v="P"/>
    <s v="P"/>
    <s v="+"/>
    <s v="+"/>
    <n v="12.57"/>
    <n v="13.1"/>
    <n v="0.5"/>
    <n v="64"/>
    <s v="-"/>
    <s v="-"/>
    <n v="36.799999999999997"/>
    <s v="-"/>
    <n v="25.18"/>
    <s v="P"/>
    <s v="P"/>
    <s v="-"/>
    <n v="2"/>
    <n v="1"/>
    <n v="2"/>
    <n v="1"/>
    <n v="1"/>
    <n v="2"/>
    <n v="2"/>
    <s v="-"/>
    <s v="-"/>
    <n v="2"/>
    <s v="-"/>
    <n v="13"/>
    <n v="13"/>
    <n v="1"/>
    <n v="1"/>
    <n v="1"/>
    <n v="3"/>
    <n v="3"/>
    <n v="16"/>
    <n v="16"/>
  </r>
  <r>
    <x v="0"/>
    <x v="18"/>
    <d v="2026-01-22T00:00:00"/>
    <s v="1ST"/>
    <s v="07:00"/>
    <n v="3"/>
    <x v="1"/>
    <n v="9.7000000000000003E-3"/>
    <s v="P"/>
    <s v="P"/>
    <s v="P"/>
    <s v="+"/>
    <s v="+"/>
    <n v="12.4"/>
    <s v="-"/>
    <s v="-"/>
    <s v="-"/>
    <s v="-"/>
    <s v="-"/>
    <s v="-"/>
    <s v="-"/>
    <s v="-"/>
    <s v="P"/>
    <s v="P"/>
    <s v="-"/>
    <n v="2"/>
    <n v="1"/>
    <n v="2"/>
    <n v="1"/>
    <s v="-"/>
    <s v="-"/>
    <s v="-"/>
    <s v="-"/>
    <s v="-"/>
    <s v="-"/>
    <s v="-"/>
    <n v="6"/>
    <n v="6"/>
    <s v="-"/>
    <n v="1"/>
    <n v="1"/>
    <n v="2"/>
    <n v="2"/>
    <n v="8"/>
    <n v="8"/>
  </r>
  <r>
    <x v="0"/>
    <x v="18"/>
    <d v="2026-01-22T00:00:00"/>
    <s v="1ST"/>
    <s v="08:00"/>
    <n v="3"/>
    <x v="1"/>
    <n v="9.7000000000000003E-3"/>
    <s v="P"/>
    <s v="P"/>
    <s v="P"/>
    <s v="+"/>
    <s v="+"/>
    <n v="12.4"/>
    <s v="-"/>
    <s v="-"/>
    <s v="-"/>
    <s v="-"/>
    <s v="-"/>
    <s v="-"/>
    <s v="-"/>
    <s v="-"/>
    <s v="P"/>
    <s v="P"/>
    <s v="-"/>
    <n v="2"/>
    <n v="1"/>
    <n v="2"/>
    <n v="1"/>
    <s v="-"/>
    <s v="-"/>
    <s v="-"/>
    <s v="-"/>
    <s v="-"/>
    <s v="-"/>
    <s v="-"/>
    <n v="6"/>
    <n v="6"/>
    <s v="-"/>
    <n v="1"/>
    <n v="1"/>
    <n v="2"/>
    <n v="2"/>
    <n v="8"/>
    <n v="8"/>
  </r>
  <r>
    <x v="0"/>
    <x v="18"/>
    <d v="2026-01-22T00:00:00"/>
    <s v="1ST"/>
    <s v="09:00"/>
    <n v="3"/>
    <x v="1"/>
    <n v="9.7999999999999997E-3"/>
    <s v="P"/>
    <s v="P"/>
    <s v="P"/>
    <s v="+"/>
    <s v="+"/>
    <n v="12.57"/>
    <s v="-"/>
    <s v="-"/>
    <s v="-"/>
    <s v="-"/>
    <s v="-"/>
    <s v="-"/>
    <s v="-"/>
    <s v="-"/>
    <s v="P"/>
    <s v="P"/>
    <s v="-"/>
    <n v="2"/>
    <n v="1"/>
    <n v="2"/>
    <n v="1"/>
    <s v="-"/>
    <s v="-"/>
    <s v="-"/>
    <s v="-"/>
    <s v="-"/>
    <s v="-"/>
    <s v="-"/>
    <n v="6"/>
    <n v="6"/>
    <s v="-"/>
    <n v="1"/>
    <n v="1"/>
    <n v="2"/>
    <n v="2"/>
    <n v="8"/>
    <n v="8"/>
  </r>
  <r>
    <x v="0"/>
    <x v="18"/>
    <d v="2026-01-22T00:00:00"/>
    <s v="1ST"/>
    <s v="10:00"/>
    <n v="3"/>
    <x v="1"/>
    <n v="1.1599999999999999E-2"/>
    <s v="P"/>
    <s v="P"/>
    <s v="P"/>
    <s v="+"/>
    <s v="+"/>
    <n v="12.04"/>
    <s v="-"/>
    <s v="-"/>
    <s v="-"/>
    <s v="-"/>
    <s v="-"/>
    <s v="-"/>
    <s v="-"/>
    <s v="-"/>
    <s v="P"/>
    <s v="P"/>
    <s v="-"/>
    <n v="2"/>
    <n v="1"/>
    <n v="2"/>
    <n v="1"/>
    <s v="-"/>
    <s v="-"/>
    <s v="-"/>
    <s v="-"/>
    <s v="-"/>
    <s v="-"/>
    <s v="-"/>
    <n v="6"/>
    <n v="6"/>
    <s v="-"/>
    <n v="1"/>
    <n v="1"/>
    <n v="2"/>
    <n v="2"/>
    <n v="8"/>
    <n v="8"/>
  </r>
  <r>
    <x v="0"/>
    <x v="18"/>
    <d v="2026-01-22T00:00:00"/>
    <s v="1ST"/>
    <s v="11:00"/>
    <n v="3"/>
    <x v="1"/>
    <n v="1.5800000000000002E-2"/>
    <s v="P"/>
    <s v="P"/>
    <s v="P"/>
    <s v="+"/>
    <s v="+"/>
    <n v="12.09"/>
    <s v="-"/>
    <s v="-"/>
    <s v="-"/>
    <s v="-"/>
    <s v="-"/>
    <s v="-"/>
    <s v="-"/>
    <s v="-"/>
    <s v="P"/>
    <s v="P"/>
    <s v="-"/>
    <n v="2"/>
    <n v="1"/>
    <n v="2"/>
    <n v="1"/>
    <s v="-"/>
    <s v="-"/>
    <s v="-"/>
    <s v="-"/>
    <s v="-"/>
    <s v="-"/>
    <s v="-"/>
    <n v="6"/>
    <n v="6"/>
    <s v="-"/>
    <n v="1"/>
    <n v="1"/>
    <n v="2"/>
    <n v="2"/>
    <n v="8"/>
    <n v="8"/>
  </r>
  <r>
    <x v="0"/>
    <x v="18"/>
    <d v="2026-01-22T00:00:00"/>
    <s v="1ST"/>
    <s v="13:00"/>
    <n v="3"/>
    <x v="1"/>
    <n v="1.37E-2"/>
    <s v="P"/>
    <s v="P"/>
    <s v="P"/>
    <s v="+"/>
    <s v="+"/>
    <n v="11.78"/>
    <s v="-"/>
    <s v="-"/>
    <s v="-"/>
    <s v="-"/>
    <s v="-"/>
    <s v="-"/>
    <s v="-"/>
    <s v="-"/>
    <s v="P"/>
    <s v="P"/>
    <s v="-"/>
    <n v="2"/>
    <n v="1"/>
    <n v="2"/>
    <n v="0"/>
    <s v="-"/>
    <s v="-"/>
    <s v="-"/>
    <s v="-"/>
    <s v="-"/>
    <s v="-"/>
    <s v="-"/>
    <n v="5"/>
    <n v="6"/>
    <s v="-"/>
    <n v="1"/>
    <n v="1"/>
    <n v="2"/>
    <n v="2"/>
    <n v="7"/>
    <n v="8"/>
  </r>
  <r>
    <x v="0"/>
    <x v="18"/>
    <d v="2026-01-22T00:00:00"/>
    <s v="2ND"/>
    <d v="1899-12-30T15:00:00"/>
    <n v="3"/>
    <x v="1"/>
    <n v="1.3899999999999999E-2"/>
    <s v="P"/>
    <s v="P"/>
    <s v="P"/>
    <s v="+"/>
    <s v="+"/>
    <n v="11.36"/>
    <n v="12.96"/>
    <n v="0.47"/>
    <n v="64.3"/>
    <s v="-"/>
    <s v="-"/>
    <n v="36.299999999999997"/>
    <s v="-"/>
    <s v="-"/>
    <s v="P"/>
    <s v="P"/>
    <s v="85% 5% 10%"/>
    <n v="2"/>
    <n v="1"/>
    <n v="2"/>
    <n v="0"/>
    <n v="1"/>
    <n v="2"/>
    <n v="2"/>
    <s v="-"/>
    <s v="-"/>
    <n v="2"/>
    <s v="-"/>
    <n v="12"/>
    <n v="13"/>
    <s v="-"/>
    <n v="1"/>
    <n v="1"/>
    <n v="2"/>
    <n v="2"/>
    <n v="14"/>
    <n v="15"/>
  </r>
  <r>
    <x v="0"/>
    <x v="18"/>
    <d v="2026-01-21T00:00:00"/>
    <s v="1ST"/>
    <d v="1899-12-30T06:00:00"/>
    <n v="2"/>
    <x v="20"/>
    <n v="7.1999999999999998E-3"/>
    <s v="P"/>
    <s v="P"/>
    <s v="P"/>
    <s v="-"/>
    <s v="-"/>
    <n v="12.09"/>
    <n v="12.57"/>
    <n v="0.47"/>
    <n v="64.7"/>
    <s v="-"/>
    <s v="-"/>
    <n v="35.200000000000003"/>
    <s v="-"/>
    <n v="25.18"/>
    <s v="P"/>
    <s v="P"/>
    <s v="-"/>
    <n v="2"/>
    <n v="1"/>
    <n v="2"/>
    <n v="1"/>
    <n v="1"/>
    <n v="0"/>
    <n v="2"/>
    <s v="-"/>
    <s v="-"/>
    <n v="2"/>
    <s v="-"/>
    <n v="11"/>
    <n v="13"/>
    <n v="1"/>
    <n v="1"/>
    <n v="1"/>
    <n v="3"/>
    <n v="3"/>
    <n v="14"/>
    <n v="16"/>
  </r>
  <r>
    <x v="0"/>
    <x v="18"/>
    <d v="2026-01-21T00:00:00"/>
    <s v="1ST"/>
    <d v="1899-12-30T07:00:00"/>
    <n v="2"/>
    <x v="20"/>
    <n v="7.6E-3"/>
    <s v="P"/>
    <s v="P"/>
    <s v="P"/>
    <s v="-"/>
    <s v="-"/>
    <n v="12.82"/>
    <s v="-"/>
    <s v="-"/>
    <s v="-"/>
    <s v="-"/>
    <s v="-"/>
    <s v="-"/>
    <s v="-"/>
    <s v="-"/>
    <s v="P"/>
    <s v="P"/>
    <s v="-"/>
    <n v="2"/>
    <n v="1"/>
    <n v="2"/>
    <n v="1"/>
    <s v="-"/>
    <s v="-"/>
    <s v="-"/>
    <s v="-"/>
    <s v="-"/>
    <s v="-"/>
    <s v="-"/>
    <n v="6"/>
    <n v="6"/>
    <s v="-"/>
    <n v="1"/>
    <n v="1"/>
    <n v="2"/>
    <n v="2"/>
    <n v="8"/>
    <n v="8"/>
  </r>
  <r>
    <x v="0"/>
    <x v="18"/>
    <d v="2026-01-21T00:00:00"/>
    <s v="1ST"/>
    <d v="1899-12-30T08:00:00"/>
    <n v="2"/>
    <x v="20"/>
    <n v="1.04E-2"/>
    <s v="P"/>
    <s v="P"/>
    <s v="P"/>
    <s v="-"/>
    <s v="-"/>
    <n v="12.39"/>
    <s v="-"/>
    <s v="-"/>
    <s v="-"/>
    <s v="-"/>
    <s v="-"/>
    <s v="-"/>
    <s v="-"/>
    <s v="-"/>
    <s v="P"/>
    <s v="P"/>
    <s v="-"/>
    <n v="2"/>
    <n v="1"/>
    <n v="2"/>
    <n v="1"/>
    <s v="-"/>
    <s v="-"/>
    <s v="-"/>
    <s v="-"/>
    <s v="-"/>
    <s v="-"/>
    <s v="-"/>
    <n v="6"/>
    <n v="6"/>
    <s v="-"/>
    <n v="1"/>
    <n v="1"/>
    <n v="2"/>
    <n v="2"/>
    <n v="8"/>
    <n v="8"/>
  </r>
  <r>
    <x v="0"/>
    <x v="18"/>
    <d v="2026-01-21T00:00:00"/>
    <s v="1ST"/>
    <d v="1899-12-30T09:00:00"/>
    <n v="2"/>
    <x v="20"/>
    <n v="1.1299999999999999E-2"/>
    <s v="P"/>
    <s v="P"/>
    <s v="P"/>
    <s v="-"/>
    <s v="-"/>
    <n v="12.26"/>
    <s v="-"/>
    <s v="-"/>
    <s v="-"/>
    <s v="-"/>
    <s v="-"/>
    <s v="-"/>
    <s v="-"/>
    <s v="-"/>
    <s v="P"/>
    <s v="P"/>
    <s v="-"/>
    <n v="2"/>
    <n v="1"/>
    <n v="2"/>
    <n v="1"/>
    <s v="-"/>
    <s v="-"/>
    <s v="-"/>
    <s v="-"/>
    <s v="-"/>
    <s v="-"/>
    <s v="-"/>
    <n v="6"/>
    <n v="6"/>
    <s v="-"/>
    <n v="1"/>
    <n v="1"/>
    <n v="2"/>
    <n v="2"/>
    <n v="8"/>
    <n v="8"/>
  </r>
  <r>
    <x v="0"/>
    <x v="18"/>
    <d v="2026-01-21T00:00:00"/>
    <s v="1ST"/>
    <d v="1899-12-30T10:00:00"/>
    <n v="2"/>
    <x v="20"/>
    <n v="1.41E-2"/>
    <s v="P"/>
    <s v="P"/>
    <s v="P"/>
    <s v="-"/>
    <s v="-"/>
    <n v="11.65"/>
    <s v="-"/>
    <s v="-"/>
    <s v="-"/>
    <s v="-"/>
    <s v="-"/>
    <s v="-"/>
    <s v="-"/>
    <s v="-"/>
    <s v="P"/>
    <s v="P"/>
    <s v="-"/>
    <n v="2"/>
    <n v="1"/>
    <n v="2"/>
    <n v="1"/>
    <s v="-"/>
    <s v="-"/>
    <s v="-"/>
    <s v="-"/>
    <s v="-"/>
    <s v="-"/>
    <s v="-"/>
    <n v="6"/>
    <n v="6"/>
    <s v="-"/>
    <n v="1"/>
    <n v="1"/>
    <n v="2"/>
    <n v="2"/>
    <n v="8"/>
    <n v="8"/>
  </r>
  <r>
    <x v="0"/>
    <x v="18"/>
    <d v="2026-01-21T00:00:00"/>
    <s v="1ST"/>
    <d v="1899-12-30T11:00:00"/>
    <n v="2"/>
    <x v="20"/>
    <n v="1.26E-2"/>
    <s v="P"/>
    <s v="P"/>
    <s v="P"/>
    <s v="-"/>
    <s v="-"/>
    <n v="12.14"/>
    <s v="-"/>
    <s v="-"/>
    <s v="-"/>
    <s v="-"/>
    <s v="-"/>
    <s v="-"/>
    <s v="-"/>
    <s v="-"/>
    <s v="P"/>
    <s v="P"/>
    <s v="-"/>
    <n v="2"/>
    <n v="1"/>
    <n v="2"/>
    <n v="1"/>
    <s v="-"/>
    <s v="-"/>
    <s v="-"/>
    <s v="-"/>
    <s v="-"/>
    <s v="-"/>
    <s v="-"/>
    <n v="6"/>
    <n v="6"/>
    <s v="-"/>
    <n v="1"/>
    <n v="1"/>
    <n v="2"/>
    <n v="2"/>
    <n v="8"/>
    <n v="8"/>
  </r>
  <r>
    <x v="0"/>
    <x v="18"/>
    <d v="2026-01-21T00:00:00"/>
    <s v="1ST"/>
    <d v="1899-12-30T13:00:00"/>
    <n v="2"/>
    <x v="20"/>
    <n v="1.34E-2"/>
    <s v="P"/>
    <s v="P"/>
    <s v="P"/>
    <s v="-"/>
    <s v="-"/>
    <n v="12.01"/>
    <s v="-"/>
    <s v="-"/>
    <s v="-"/>
    <s v="-"/>
    <s v="-"/>
    <s v="-"/>
    <s v="-"/>
    <s v="-"/>
    <s v="P"/>
    <s v="P"/>
    <s v="-"/>
    <n v="2"/>
    <n v="1"/>
    <n v="2"/>
    <n v="1"/>
    <s v="-"/>
    <s v="-"/>
    <s v="-"/>
    <s v="-"/>
    <s v="-"/>
    <s v="-"/>
    <s v="-"/>
    <n v="6"/>
    <n v="6"/>
    <s v="-"/>
    <n v="1"/>
    <n v="1"/>
    <n v="2"/>
    <n v="2"/>
    <n v="8"/>
    <n v="8"/>
  </r>
  <r>
    <x v="0"/>
    <x v="18"/>
    <d v="2026-01-21T00:00:00"/>
    <s v="2ND"/>
    <d v="1899-12-30T15:00:00"/>
    <n v="2"/>
    <x v="20"/>
    <n v="1.5800000000000002E-2"/>
    <s v="P"/>
    <s v="P"/>
    <s v="P"/>
    <s v="-"/>
    <s v="-"/>
    <n v="11.46"/>
    <n v="12.54"/>
    <n v="0.49"/>
    <s v="-"/>
    <s v="-"/>
    <s v="-"/>
    <n v="35.200000000000003"/>
    <s v="-"/>
    <s v="-"/>
    <s v="P"/>
    <s v="P"/>
    <s v="-"/>
    <n v="2"/>
    <n v="1"/>
    <n v="2"/>
    <n v="1"/>
    <n v="1"/>
    <n v="0"/>
    <s v="-"/>
    <s v="-"/>
    <s v="-"/>
    <n v="2"/>
    <s v="-"/>
    <n v="9"/>
    <n v="11"/>
    <s v="-"/>
    <n v="1"/>
    <n v="1"/>
    <n v="2"/>
    <n v="2"/>
    <n v="11"/>
    <n v="13"/>
  </r>
  <r>
    <x v="0"/>
    <x v="18"/>
    <d v="2026-01-21T00:00:00"/>
    <s v="2ND"/>
    <d v="1899-12-30T16:00:00"/>
    <n v="2"/>
    <x v="20"/>
    <n v="1.34E-2"/>
    <s v="P"/>
    <s v="P"/>
    <s v="P"/>
    <s v="-"/>
    <s v="-"/>
    <n v="12.06"/>
    <s v="-"/>
    <s v="-"/>
    <s v="-"/>
    <s v="-"/>
    <s v="-"/>
    <s v="-"/>
    <s v="-"/>
    <s v="-"/>
    <s v="P"/>
    <s v="P"/>
    <s v="-"/>
    <n v="2"/>
    <n v="1"/>
    <n v="2"/>
    <n v="1"/>
    <s v="-"/>
    <s v="-"/>
    <s v="-"/>
    <s v="-"/>
    <s v="-"/>
    <s v="-"/>
    <s v="-"/>
    <n v="6"/>
    <n v="6"/>
    <s v="-"/>
    <n v="1"/>
    <n v="1"/>
    <n v="2"/>
    <n v="2"/>
    <n v="8"/>
    <n v="8"/>
  </r>
  <r>
    <x v="0"/>
    <x v="18"/>
    <d v="2026-01-21T00:00:00"/>
    <s v="2ND"/>
    <d v="1899-12-30T20:00:00"/>
    <n v="2"/>
    <x v="20"/>
    <n v="1.9599999999999999E-2"/>
    <s v="P"/>
    <s v="P"/>
    <s v="P"/>
    <s v="-"/>
    <s v="-"/>
    <n v="11.7"/>
    <s v="-"/>
    <s v="-"/>
    <s v="-"/>
    <s v="-"/>
    <s v="-"/>
    <s v="-"/>
    <s v="-"/>
    <s v="-"/>
    <s v="P"/>
    <s v="P"/>
    <s v="-"/>
    <n v="2"/>
    <n v="1"/>
    <n v="2"/>
    <n v="1"/>
    <s v="-"/>
    <s v="-"/>
    <s v="-"/>
    <s v="-"/>
    <s v="-"/>
    <s v="-"/>
    <s v="-"/>
    <n v="6"/>
    <n v="6"/>
    <s v="-"/>
    <n v="1"/>
    <n v="1"/>
    <n v="2"/>
    <n v="2"/>
    <n v="8"/>
    <n v="8"/>
  </r>
  <r>
    <x v="0"/>
    <x v="18"/>
    <d v="2026-01-21T00:00:00"/>
    <s v="2ND"/>
    <d v="1899-12-30T18:00:00"/>
    <n v="3"/>
    <x v="20"/>
    <n v="9.4999999999999998E-3"/>
    <s v="P"/>
    <s v="P"/>
    <s v="P"/>
    <s v="-"/>
    <s v="-"/>
    <n v="12.07"/>
    <n v="12.54"/>
    <n v="0.49"/>
    <s v="-"/>
    <s v="-"/>
    <s v="-"/>
    <n v="35.200000000000003"/>
    <s v="-"/>
    <s v="-"/>
    <s v="P"/>
    <s v="P"/>
    <s v="80% 20%"/>
    <n v="2"/>
    <n v="1"/>
    <n v="2"/>
    <n v="1"/>
    <n v="1"/>
    <n v="0"/>
    <s v="-"/>
    <s v="-"/>
    <s v="-"/>
    <n v="2"/>
    <s v="-"/>
    <n v="9"/>
    <n v="11"/>
    <s v="-"/>
    <n v="1"/>
    <n v="1"/>
    <n v="2"/>
    <n v="2"/>
    <n v="11"/>
    <n v="13"/>
  </r>
  <r>
    <x v="0"/>
    <x v="18"/>
    <d v="2026-01-21T00:00:00"/>
    <s v="2ND"/>
    <d v="1899-12-30T21:00:00"/>
    <n v="3"/>
    <x v="20"/>
    <n v="9.9000000000000008E-3"/>
    <s v="P"/>
    <s v="P"/>
    <s v="P"/>
    <s v="-"/>
    <s v="-"/>
    <n v="12.32"/>
    <s v="-"/>
    <s v="-"/>
    <s v="-"/>
    <s v="-"/>
    <s v="-"/>
    <s v="-"/>
    <s v="-"/>
    <s v="-"/>
    <s v="P"/>
    <s v="P"/>
    <s v="-"/>
    <n v="2"/>
    <n v="1"/>
    <n v="2"/>
    <n v="1"/>
    <s v="-"/>
    <s v="-"/>
    <s v="-"/>
    <s v="-"/>
    <s v="-"/>
    <s v="-"/>
    <s v="-"/>
    <n v="6"/>
    <n v="6"/>
    <s v="-"/>
    <n v="1"/>
    <n v="1"/>
    <n v="2"/>
    <n v="2"/>
    <n v="8"/>
    <n v="8"/>
  </r>
  <r>
    <x v="0"/>
    <x v="18"/>
    <d v="2026-01-21T00:00:00"/>
    <s v="3RD"/>
    <d v="1899-12-30T22:00:00"/>
    <n v="2"/>
    <x v="20"/>
    <n v="1.03E-2"/>
    <s v="P"/>
    <s v="P"/>
    <s v="P"/>
    <s v="-"/>
    <s v="-"/>
    <n v="12.05"/>
    <n v="12.63"/>
    <n v="0.49"/>
    <s v="-"/>
    <s v="-"/>
    <s v="-"/>
    <n v="35.200000000000003"/>
    <s v="-"/>
    <s v="-"/>
    <s v="P"/>
    <s v="P"/>
    <s v="-"/>
    <n v="2"/>
    <n v="1"/>
    <n v="2"/>
    <n v="1"/>
    <n v="1"/>
    <n v="0"/>
    <s v="-"/>
    <s v="-"/>
    <s v="-"/>
    <n v="2"/>
    <s v="-"/>
    <n v="9"/>
    <n v="11"/>
    <s v="-"/>
    <n v="1"/>
    <n v="1"/>
    <n v="2"/>
    <n v="2"/>
    <n v="11"/>
    <n v="13"/>
  </r>
  <r>
    <x v="0"/>
    <x v="18"/>
    <d v="2026-01-21T00:00:00"/>
    <s v="3RD"/>
    <d v="1899-12-30T23:00:00"/>
    <n v="2"/>
    <x v="20"/>
    <n v="1.04E-2"/>
    <s v="P"/>
    <s v="P"/>
    <s v="P"/>
    <s v="-"/>
    <s v="-"/>
    <n v="12.82"/>
    <s v="-"/>
    <s v="-"/>
    <s v="-"/>
    <s v="-"/>
    <s v="-"/>
    <s v="-"/>
    <s v="-"/>
    <s v="-"/>
    <s v="P"/>
    <s v="P"/>
    <s v="-"/>
    <n v="2"/>
    <n v="1"/>
    <n v="2"/>
    <n v="1"/>
    <s v="-"/>
    <s v="-"/>
    <s v="-"/>
    <s v="-"/>
    <s v="-"/>
    <s v="-"/>
    <s v="-"/>
    <n v="6"/>
    <n v="6"/>
    <s v="-"/>
    <n v="1"/>
    <n v="1"/>
    <n v="2"/>
    <n v="2"/>
    <n v="8"/>
    <n v="8"/>
  </r>
  <r>
    <x v="0"/>
    <x v="18"/>
    <d v="2026-01-21T00:00:00"/>
    <s v="3RD"/>
    <d v="1899-12-30T00:00:00"/>
    <n v="2"/>
    <x v="20"/>
    <n v="1.66E-2"/>
    <s v="P"/>
    <s v="P"/>
    <s v="P"/>
    <s v="-"/>
    <s v="-"/>
    <n v="12.85"/>
    <s v="-"/>
    <s v="-"/>
    <s v="-"/>
    <s v="-"/>
    <s v="-"/>
    <s v="-"/>
    <s v="-"/>
    <s v="-"/>
    <s v="P"/>
    <s v="P"/>
    <s v="-"/>
    <n v="2"/>
    <n v="1"/>
    <n v="2"/>
    <n v="1"/>
    <s v="-"/>
    <s v="-"/>
    <s v="-"/>
    <s v="-"/>
    <s v="-"/>
    <s v="-"/>
    <s v="-"/>
    <n v="6"/>
    <n v="6"/>
    <s v="-"/>
    <n v="1"/>
    <n v="1"/>
    <n v="2"/>
    <n v="2"/>
    <n v="8"/>
    <n v="8"/>
  </r>
  <r>
    <x v="0"/>
    <x v="18"/>
    <d v="2026-01-21T00:00:00"/>
    <s v="3RD"/>
    <d v="1899-12-30T02:00:00"/>
    <n v="2"/>
    <x v="20"/>
    <n v="1.5800000000000002E-2"/>
    <s v="P"/>
    <s v="P"/>
    <s v="P"/>
    <s v="-"/>
    <s v="-"/>
    <n v="12.62"/>
    <s v="-"/>
    <s v="-"/>
    <s v="-"/>
    <s v="-"/>
    <s v="-"/>
    <s v="-"/>
    <s v="-"/>
    <s v="-"/>
    <s v="P"/>
    <s v="P"/>
    <s v="-"/>
    <n v="2"/>
    <n v="1"/>
    <n v="2"/>
    <n v="1"/>
    <s v="-"/>
    <s v="-"/>
    <s v="-"/>
    <s v="-"/>
    <s v="-"/>
    <s v="-"/>
    <s v="-"/>
    <n v="6"/>
    <n v="6"/>
    <s v="-"/>
    <n v="1"/>
    <n v="1"/>
    <n v="2"/>
    <n v="2"/>
    <n v="8"/>
    <n v="8"/>
  </r>
  <r>
    <x v="0"/>
    <x v="18"/>
    <d v="2026-01-21T00:00:00"/>
    <s v="3RD"/>
    <d v="1899-12-30T03:00:00"/>
    <n v="2"/>
    <x v="20"/>
    <n v="1.4500000000000001E-2"/>
    <s v="P"/>
    <s v="P"/>
    <s v="P"/>
    <s v="-"/>
    <s v="-"/>
    <n v="12.81"/>
    <s v="-"/>
    <s v="-"/>
    <s v="-"/>
    <s v="-"/>
    <s v="-"/>
    <s v="-"/>
    <s v="-"/>
    <s v="-"/>
    <s v="P"/>
    <s v="P"/>
    <s v="-"/>
    <n v="2"/>
    <n v="1"/>
    <n v="2"/>
    <n v="1"/>
    <s v="-"/>
    <s v="-"/>
    <s v="-"/>
    <s v="-"/>
    <s v="-"/>
    <s v="-"/>
    <s v="-"/>
    <n v="6"/>
    <n v="6"/>
    <s v="-"/>
    <n v="1"/>
    <n v="1"/>
    <n v="2"/>
    <n v="2"/>
    <n v="8"/>
    <n v="8"/>
  </r>
  <r>
    <x v="0"/>
    <x v="18"/>
    <d v="2026-01-21T00:00:00"/>
    <s v="3RD"/>
    <d v="1899-12-30T04:00:00"/>
    <n v="2"/>
    <x v="20"/>
    <n v="1.6500000000000001E-2"/>
    <s v="P"/>
    <s v="P"/>
    <s v="P"/>
    <s v="-"/>
    <s v="-"/>
    <n v="12.73"/>
    <s v="-"/>
    <s v="-"/>
    <s v="-"/>
    <s v="-"/>
    <s v="-"/>
    <s v="-"/>
    <s v="-"/>
    <s v="-"/>
    <s v="P"/>
    <s v="P"/>
    <s v="-"/>
    <n v="2"/>
    <n v="1"/>
    <n v="2"/>
    <n v="1"/>
    <s v="-"/>
    <s v="-"/>
    <s v="-"/>
    <s v="-"/>
    <s v="-"/>
    <s v="-"/>
    <s v="-"/>
    <n v="6"/>
    <n v="6"/>
    <s v="-"/>
    <n v="1"/>
    <n v="1"/>
    <n v="2"/>
    <n v="2"/>
    <n v="8"/>
    <n v="8"/>
  </r>
  <r>
    <x v="0"/>
    <x v="18"/>
    <d v="2026-01-21T00:00:00"/>
    <s v="3RD"/>
    <d v="1899-12-30T05:00:00"/>
    <n v="2"/>
    <x v="20"/>
    <s v="-"/>
    <s v="P"/>
    <s v="P"/>
    <s v="P"/>
    <s v="-"/>
    <s v="-"/>
    <s v="-"/>
    <s v="-"/>
    <s v="-"/>
    <s v="-"/>
    <s v="-"/>
    <s v="-"/>
    <s v="-"/>
    <s v="-"/>
    <s v="-"/>
    <s v="P"/>
    <s v="P"/>
    <s v="-"/>
    <s v="-"/>
    <n v="1"/>
    <n v="2"/>
    <s v="-"/>
    <s v="-"/>
    <s v="-"/>
    <s v="-"/>
    <s v="-"/>
    <s v="-"/>
    <s v="-"/>
    <s v="-"/>
    <n v="3"/>
    <n v="3"/>
    <s v="-"/>
    <n v="1"/>
    <n v="1"/>
    <n v="2"/>
    <n v="2"/>
    <n v="5"/>
    <n v="5"/>
  </r>
  <r>
    <x v="0"/>
    <x v="18"/>
    <d v="2026-01-21T00:00:00"/>
    <s v="3RD"/>
    <d v="1899-12-30T22:00:00"/>
    <n v="3"/>
    <x v="20"/>
    <n v="9.5999999999999992E-3"/>
    <s v="P"/>
    <s v="P"/>
    <s v="P"/>
    <s v="-"/>
    <s v="-"/>
    <n v="12.72"/>
    <s v="-"/>
    <s v="-"/>
    <s v="-"/>
    <s v="-"/>
    <s v="-"/>
    <s v="-"/>
    <s v="-"/>
    <s v="-"/>
    <s v="P"/>
    <s v="P"/>
    <s v="80% 20%"/>
    <n v="2"/>
    <n v="1"/>
    <n v="2"/>
    <n v="1"/>
    <s v="-"/>
    <s v="-"/>
    <s v="-"/>
    <s v="-"/>
    <s v="-"/>
    <s v="-"/>
    <s v="-"/>
    <n v="6"/>
    <n v="6"/>
    <s v="-"/>
    <n v="1"/>
    <n v="1"/>
    <n v="2"/>
    <n v="2"/>
    <n v="8"/>
    <n v="8"/>
  </r>
  <r>
    <x v="0"/>
    <x v="18"/>
    <d v="2026-01-21T00:00:00"/>
    <s v="3RD"/>
    <d v="1899-12-30T23:00:00"/>
    <n v="3"/>
    <x v="20"/>
    <n v="1.1900000000000001E-2"/>
    <s v="P"/>
    <s v="P"/>
    <s v="P"/>
    <s v="-"/>
    <s v="-"/>
    <n v="12.69"/>
    <s v="-"/>
    <s v="-"/>
    <s v="-"/>
    <s v="-"/>
    <s v="-"/>
    <s v="-"/>
    <s v="-"/>
    <s v="-"/>
    <s v="P"/>
    <s v="P"/>
    <s v="-"/>
    <n v="2"/>
    <n v="1"/>
    <n v="2"/>
    <n v="1"/>
    <s v="-"/>
    <s v="-"/>
    <s v="-"/>
    <s v="-"/>
    <s v="-"/>
    <s v="-"/>
    <s v="-"/>
    <n v="6"/>
    <n v="6"/>
    <s v="-"/>
    <n v="1"/>
    <n v="1"/>
    <n v="2"/>
    <n v="2"/>
    <n v="8"/>
    <n v="8"/>
  </r>
  <r>
    <x v="0"/>
    <x v="18"/>
    <d v="2026-01-21T00:00:00"/>
    <s v="3RD"/>
    <d v="1899-12-31T00:00:00"/>
    <n v="3"/>
    <x v="20"/>
    <n v="1.7500000000000002E-2"/>
    <s v="P"/>
    <s v="P"/>
    <s v="P"/>
    <s v="-"/>
    <s v="-"/>
    <n v="12.12"/>
    <s v="-"/>
    <s v="-"/>
    <s v="-"/>
    <s v="-"/>
    <s v="-"/>
    <s v="-"/>
    <s v="-"/>
    <s v="-"/>
    <s v="P"/>
    <s v="P"/>
    <s v="-"/>
    <n v="2"/>
    <n v="1"/>
    <n v="2"/>
    <n v="1"/>
    <s v="-"/>
    <s v="-"/>
    <s v="-"/>
    <s v="-"/>
    <s v="-"/>
    <s v="-"/>
    <s v="-"/>
    <n v="6"/>
    <n v="6"/>
    <s v="-"/>
    <n v="1"/>
    <n v="1"/>
    <n v="2"/>
    <n v="2"/>
    <n v="8"/>
    <n v="8"/>
  </r>
  <r>
    <x v="0"/>
    <x v="18"/>
    <d v="2026-01-23T00:00:00"/>
    <s v="3RD"/>
    <d v="1899-12-31T01:00:00"/>
    <n v="3"/>
    <x v="20"/>
    <n v="1.09E-2"/>
    <s v="P"/>
    <s v="P"/>
    <s v="P"/>
    <s v="-"/>
    <s v="-"/>
    <n v="13.07"/>
    <n v="12.27"/>
    <n v="0.46"/>
    <n v="65.099999999999994"/>
    <s v="-"/>
    <s v="-"/>
    <n v="34.299999999999997"/>
    <s v="-"/>
    <s v="-"/>
    <s v="P"/>
    <s v="P"/>
    <s v="-"/>
    <n v="2"/>
    <n v="1"/>
    <n v="2"/>
    <n v="1"/>
    <n v="1"/>
    <n v="0"/>
    <n v="2"/>
    <s v="-"/>
    <s v="-"/>
    <n v="2"/>
    <s v="-"/>
    <n v="11"/>
    <n v="13"/>
    <s v="-"/>
    <n v="1"/>
    <n v="1"/>
    <n v="2"/>
    <n v="2"/>
    <n v="13"/>
    <n v="15"/>
  </r>
  <r>
    <x v="0"/>
    <x v="18"/>
    <d v="2026-01-23T00:00:00"/>
    <s v="3RD"/>
    <d v="1899-12-31T02:00:00"/>
    <n v="3"/>
    <x v="20"/>
    <n v="1.21E-2"/>
    <s v="P"/>
    <s v="P"/>
    <s v="P"/>
    <s v="-"/>
    <s v="-"/>
    <n v="12.9"/>
    <s v="-"/>
    <s v="-"/>
    <s v="-"/>
    <s v="-"/>
    <s v="-"/>
    <s v="-"/>
    <s v="-"/>
    <s v="-"/>
    <s v="P"/>
    <s v="P"/>
    <s v="-"/>
    <n v="2"/>
    <n v="1"/>
    <n v="2"/>
    <n v="1"/>
    <s v="-"/>
    <s v="-"/>
    <s v="-"/>
    <s v="-"/>
    <s v="-"/>
    <s v="-"/>
    <s v="-"/>
    <n v="6"/>
    <n v="6"/>
    <s v="-"/>
    <n v="1"/>
    <n v="1"/>
    <n v="2"/>
    <n v="2"/>
    <n v="8"/>
    <n v="8"/>
  </r>
  <r>
    <x v="0"/>
    <x v="18"/>
    <d v="2026-01-23T00:00:00"/>
    <s v="3RD"/>
    <d v="1899-12-31T03:00:00"/>
    <n v="3"/>
    <x v="20"/>
    <n v="1.0200000000000001E-2"/>
    <s v="P"/>
    <s v="P"/>
    <s v="P"/>
    <s v="-"/>
    <s v="-"/>
    <n v="12.54"/>
    <s v="-"/>
    <s v="-"/>
    <s v="-"/>
    <s v="-"/>
    <s v="-"/>
    <s v="-"/>
    <s v="-"/>
    <s v="-"/>
    <s v="P"/>
    <s v="P"/>
    <s v="-"/>
    <n v="2"/>
    <n v="1"/>
    <n v="2"/>
    <n v="1"/>
    <s v="-"/>
    <s v="-"/>
    <s v="-"/>
    <s v="-"/>
    <s v="-"/>
    <s v="-"/>
    <s v="-"/>
    <n v="6"/>
    <n v="6"/>
    <s v="-"/>
    <n v="1"/>
    <n v="1"/>
    <n v="2"/>
    <n v="2"/>
    <n v="8"/>
    <n v="8"/>
  </r>
  <r>
    <x v="0"/>
    <x v="18"/>
    <d v="2026-01-23T00:00:00"/>
    <s v="3RD"/>
    <d v="1899-12-31T04:00:00"/>
    <n v="3"/>
    <x v="20"/>
    <n v="1.2E-2"/>
    <s v="P"/>
    <s v="P"/>
    <s v="P"/>
    <s v="-"/>
    <s v="-"/>
    <n v="11.89"/>
    <s v="-"/>
    <s v="-"/>
    <s v="-"/>
    <s v="-"/>
    <s v="-"/>
    <s v="-"/>
    <s v="-"/>
    <s v="-"/>
    <s v="P"/>
    <s v="P"/>
    <s v="-"/>
    <n v="2"/>
    <n v="1"/>
    <n v="2"/>
    <n v="1"/>
    <s v="-"/>
    <s v="-"/>
    <s v="-"/>
    <s v="-"/>
    <s v="-"/>
    <s v="-"/>
    <s v="-"/>
    <n v="6"/>
    <n v="6"/>
    <s v="-"/>
    <n v="1"/>
    <n v="1"/>
    <n v="2"/>
    <n v="2"/>
    <n v="8"/>
    <n v="8"/>
  </r>
  <r>
    <x v="0"/>
    <x v="18"/>
    <d v="1899-12-30T00:00:00"/>
    <s v="2ND"/>
    <d v="1899-12-30T14:00:00"/>
    <s v="Retail"/>
    <x v="13"/>
    <s v="-"/>
    <s v="-"/>
    <s v="-"/>
    <s v="-"/>
    <s v="-"/>
    <s v="-"/>
    <n v="11.16"/>
    <s v="-"/>
    <n v="4.5999999999999996"/>
    <s v="-"/>
    <s v="-"/>
    <s v="-"/>
    <s v="-"/>
    <s v="-"/>
    <s v="-"/>
    <s v="-"/>
    <s v="-"/>
    <s v="-"/>
    <s v="-"/>
    <s v="-"/>
    <s v="-"/>
    <n v="1"/>
    <s v="-"/>
    <n v="2"/>
    <s v="-"/>
    <s v="-"/>
    <s v="-"/>
    <s v="-"/>
    <s v="-"/>
    <n v="3"/>
    <n v="3"/>
    <s v="-"/>
    <s v="-"/>
    <s v="-"/>
    <n v="0"/>
    <n v="0"/>
    <n v="3"/>
    <n v="3"/>
  </r>
  <r>
    <x v="0"/>
    <x v="18"/>
    <d v="2026-01-19T00:00:00"/>
    <s v="1ST"/>
    <d v="1899-12-30T06:00:00"/>
    <n v="1"/>
    <x v="22"/>
    <n v="8.9999999999999993E-3"/>
    <s v="P"/>
    <s v="P"/>
    <s v="P"/>
    <s v="-"/>
    <s v="-"/>
    <n v="11.01"/>
    <n v="8.6"/>
    <n v="0.46"/>
    <n v="54.2"/>
    <s v="-"/>
    <s v="-"/>
    <n v="23.25"/>
    <s v="-"/>
    <n v="25.16"/>
    <s v="P"/>
    <s v="P"/>
    <s v="-"/>
    <n v="2"/>
    <n v="1"/>
    <n v="2"/>
    <n v="1"/>
    <n v="1"/>
    <n v="0"/>
    <n v="2"/>
    <s v="-"/>
    <s v="-"/>
    <n v="2"/>
    <s v="-"/>
    <n v="11"/>
    <n v="13"/>
    <n v="1"/>
    <n v="1"/>
    <n v="1"/>
    <n v="3"/>
    <n v="3"/>
    <n v="14"/>
    <n v="16"/>
  </r>
  <r>
    <x v="0"/>
    <x v="18"/>
    <d v="2026-01-19T00:00:00"/>
    <s v="1ST"/>
    <d v="1899-12-30T07:00:00"/>
    <n v="1"/>
    <x v="22"/>
    <n v="9.2999999999999992E-3"/>
    <s v="P"/>
    <s v="P"/>
    <s v="P"/>
    <s v="-"/>
    <s v="-"/>
    <n v="11.24"/>
    <s v="-"/>
    <s v="-"/>
    <s v="-"/>
    <s v="-"/>
    <s v="-"/>
    <s v="-"/>
    <s v="-"/>
    <s v="-"/>
    <s v="P"/>
    <s v="P"/>
    <s v="-"/>
    <n v="2"/>
    <n v="1"/>
    <n v="2"/>
    <n v="1"/>
    <s v="-"/>
    <s v="-"/>
    <s v="-"/>
    <s v="-"/>
    <s v="-"/>
    <s v="-"/>
    <s v="-"/>
    <n v="6"/>
    <n v="6"/>
    <s v="-"/>
    <n v="1"/>
    <n v="1"/>
    <n v="2"/>
    <n v="2"/>
    <n v="8"/>
    <n v="8"/>
  </r>
  <r>
    <x v="0"/>
    <x v="18"/>
    <d v="2026-01-19T00:00:00"/>
    <s v="1ST"/>
    <d v="1899-12-30T08:00:00"/>
    <n v="1"/>
    <x v="22"/>
    <n v="9.4999999999999998E-3"/>
    <s v="P"/>
    <s v="P"/>
    <s v="P"/>
    <s v="-"/>
    <s v="-"/>
    <n v="10.98"/>
    <s v="-"/>
    <s v="-"/>
    <s v="-"/>
    <s v="-"/>
    <s v="-"/>
    <s v="-"/>
    <s v="-"/>
    <s v="-"/>
    <s v="P"/>
    <s v="P"/>
    <s v="-"/>
    <n v="2"/>
    <n v="1"/>
    <n v="2"/>
    <n v="0"/>
    <s v="-"/>
    <s v="-"/>
    <s v="-"/>
    <s v="-"/>
    <s v="-"/>
    <s v="-"/>
    <s v="-"/>
    <n v="5"/>
    <n v="6"/>
    <s v="-"/>
    <n v="1"/>
    <n v="1"/>
    <n v="2"/>
    <n v="2"/>
    <n v="7"/>
    <n v="8"/>
  </r>
  <r>
    <x v="0"/>
    <x v="18"/>
    <d v="2026-01-19T00:00:00"/>
    <s v="1ST"/>
    <d v="1899-12-30T09:00:00"/>
    <n v="1"/>
    <x v="22"/>
    <n v="9.9000000000000008E-3"/>
    <s v="P"/>
    <s v="P"/>
    <s v="P"/>
    <s v="-"/>
    <s v="-"/>
    <n v="11.06"/>
    <s v="-"/>
    <s v="-"/>
    <s v="-"/>
    <s v="-"/>
    <s v="-"/>
    <s v="-"/>
    <s v="-"/>
    <s v="-"/>
    <s v="P"/>
    <s v="P"/>
    <s v="-"/>
    <n v="2"/>
    <n v="1"/>
    <n v="2"/>
    <n v="1"/>
    <s v="-"/>
    <s v="-"/>
    <s v="-"/>
    <s v="-"/>
    <s v="-"/>
    <s v="-"/>
    <s v="-"/>
    <n v="6"/>
    <n v="6"/>
    <s v="-"/>
    <n v="1"/>
    <n v="1"/>
    <n v="2"/>
    <n v="2"/>
    <n v="8"/>
    <n v="8"/>
  </r>
  <r>
    <x v="0"/>
    <x v="18"/>
    <d v="2026-01-19T00:00:00"/>
    <s v="1ST"/>
    <d v="1899-12-30T10:00:00"/>
    <n v="1"/>
    <x v="22"/>
    <n v="8.8999999999999999E-3"/>
    <s v="P"/>
    <s v="P"/>
    <s v="P"/>
    <s v="-"/>
    <s v="-"/>
    <n v="10.92"/>
    <s v="-"/>
    <s v="-"/>
    <s v="-"/>
    <s v="-"/>
    <s v="-"/>
    <s v="-"/>
    <s v="-"/>
    <s v="-"/>
    <s v="P"/>
    <s v="P"/>
    <s v="-"/>
    <n v="2"/>
    <n v="1"/>
    <n v="2"/>
    <n v="0"/>
    <s v="-"/>
    <s v="-"/>
    <s v="-"/>
    <s v="-"/>
    <s v="-"/>
    <s v="-"/>
    <s v="-"/>
    <n v="5"/>
    <n v="6"/>
    <s v="-"/>
    <n v="1"/>
    <n v="1"/>
    <n v="2"/>
    <n v="2"/>
    <n v="7"/>
    <n v="8"/>
  </r>
  <r>
    <x v="0"/>
    <x v="18"/>
    <d v="2026-01-19T00:00:00"/>
    <s v="1ST"/>
    <d v="1899-12-30T11:00:00"/>
    <n v="1"/>
    <x v="22"/>
    <n v="9.2999999999999992E-3"/>
    <s v="P"/>
    <s v="P"/>
    <s v="P"/>
    <s v="-"/>
    <s v="-"/>
    <n v="10.8"/>
    <s v="-"/>
    <s v="-"/>
    <s v="-"/>
    <s v="-"/>
    <s v="-"/>
    <s v="-"/>
    <s v="-"/>
    <s v="-"/>
    <s v="P"/>
    <s v="P"/>
    <s v="-"/>
    <n v="2"/>
    <n v="1"/>
    <n v="2"/>
    <n v="0"/>
    <s v="-"/>
    <s v="-"/>
    <s v="-"/>
    <s v="-"/>
    <s v="-"/>
    <s v="-"/>
    <s v="-"/>
    <n v="5"/>
    <n v="6"/>
    <s v="-"/>
    <n v="1"/>
    <n v="1"/>
    <n v="2"/>
    <n v="2"/>
    <n v="7"/>
    <n v="8"/>
  </r>
  <r>
    <x v="0"/>
    <x v="18"/>
    <d v="2026-01-19T00:00:00"/>
    <s v="1ST"/>
    <d v="1899-12-30T13:00:00"/>
    <n v="1"/>
    <x v="22"/>
    <n v="1.2500000000000001E-2"/>
    <s v="P"/>
    <s v="P"/>
    <s v="P"/>
    <s v="-"/>
    <s v="-"/>
    <n v="11.5"/>
    <s v="-"/>
    <s v="-"/>
    <s v="-"/>
    <s v="-"/>
    <s v="-"/>
    <s v="-"/>
    <s v="-"/>
    <s v="-"/>
    <s v="P"/>
    <s v="P"/>
    <s v="-"/>
    <n v="2"/>
    <n v="1"/>
    <n v="2"/>
    <n v="1"/>
    <s v="-"/>
    <s v="-"/>
    <s v="-"/>
    <s v="-"/>
    <s v="-"/>
    <s v="-"/>
    <s v="-"/>
    <n v="6"/>
    <n v="6"/>
    <s v="-"/>
    <n v="1"/>
    <n v="1"/>
    <n v="2"/>
    <n v="2"/>
    <n v="8"/>
    <n v="8"/>
  </r>
  <r>
    <x v="0"/>
    <x v="18"/>
    <d v="2026-01-21T00:00:00"/>
    <s v="2ND"/>
    <d v="1899-12-30T15:00:00"/>
    <n v="1"/>
    <x v="22"/>
    <n v="8.8000000000000005E-3"/>
    <s v="P"/>
    <s v="P"/>
    <s v="P"/>
    <s v="-"/>
    <s v="-"/>
    <n v="10.56"/>
    <n v="8.6300000000000008"/>
    <n v="0.49"/>
    <n v="54.2"/>
    <s v="-"/>
    <s v="-"/>
    <n v="23.36"/>
    <s v="-"/>
    <s v="-"/>
    <s v="P"/>
    <s v="P"/>
    <s v="-"/>
    <n v="2"/>
    <n v="1"/>
    <n v="2"/>
    <n v="0"/>
    <n v="1"/>
    <n v="0"/>
    <n v="2"/>
    <s v="-"/>
    <s v="-"/>
    <n v="2"/>
    <s v="-"/>
    <n v="10"/>
    <n v="13"/>
    <s v="-"/>
    <n v="1"/>
    <n v="1"/>
    <n v="2"/>
    <n v="2"/>
    <n v="12"/>
    <n v="15"/>
  </r>
  <r>
    <x v="0"/>
    <x v="18"/>
    <d v="2026-01-21T00:00:00"/>
    <s v="2ND"/>
    <d v="1899-12-30T16:00:00"/>
    <n v="1"/>
    <x v="22"/>
    <n v="9.4999999999999998E-3"/>
    <s v="P"/>
    <s v="P"/>
    <s v="P"/>
    <s v="-"/>
    <s v="-"/>
    <n v="10.71"/>
    <s v="-"/>
    <s v="-"/>
    <s v="-"/>
    <s v="-"/>
    <s v="-"/>
    <s v="-"/>
    <s v="-"/>
    <s v="-"/>
    <s v="P"/>
    <s v="P"/>
    <s v="-"/>
    <n v="2"/>
    <n v="1"/>
    <n v="2"/>
    <n v="0"/>
    <s v="-"/>
    <s v="-"/>
    <s v="-"/>
    <s v="-"/>
    <s v="-"/>
    <s v="-"/>
    <s v="-"/>
    <n v="5"/>
    <n v="6"/>
    <s v="-"/>
    <n v="1"/>
    <n v="1"/>
    <n v="2"/>
    <n v="2"/>
    <n v="7"/>
    <n v="8"/>
  </r>
  <r>
    <x v="0"/>
    <x v="18"/>
    <d v="2026-01-21T00:00:00"/>
    <s v="2ND"/>
    <d v="1899-12-30T19:00:00"/>
    <n v="1"/>
    <x v="22"/>
    <n v="4.8999999999999998E-3"/>
    <s v="P"/>
    <s v="P"/>
    <s v="P"/>
    <s v="-"/>
    <s v="-"/>
    <n v="10.77"/>
    <s v="-"/>
    <s v="-"/>
    <s v="-"/>
    <s v="-"/>
    <s v="-"/>
    <s v="-"/>
    <s v="-"/>
    <s v="-"/>
    <s v="P"/>
    <s v="P"/>
    <s v="-"/>
    <n v="2"/>
    <n v="1"/>
    <n v="2"/>
    <n v="0"/>
    <s v="-"/>
    <s v="-"/>
    <s v="-"/>
    <s v="-"/>
    <s v="-"/>
    <s v="-"/>
    <s v="-"/>
    <n v="5"/>
    <n v="6"/>
    <s v="-"/>
    <n v="1"/>
    <n v="1"/>
    <n v="2"/>
    <n v="2"/>
    <n v="7"/>
    <n v="8"/>
  </r>
  <r>
    <x v="0"/>
    <x v="18"/>
    <d v="2026-01-21T00:00:00"/>
    <s v="2ND"/>
    <d v="1899-12-30T20:00:00"/>
    <n v="1"/>
    <x v="22"/>
    <n v="7.1000000000000004E-3"/>
    <s v="P"/>
    <s v="P"/>
    <s v="P"/>
    <s v="-"/>
    <s v="-"/>
    <n v="10.71"/>
    <s v="-"/>
    <s v="-"/>
    <s v="-"/>
    <s v="-"/>
    <s v="-"/>
    <s v="-"/>
    <s v="-"/>
    <s v="-"/>
    <s v="P"/>
    <s v="P"/>
    <s v="-"/>
    <n v="2"/>
    <n v="1"/>
    <n v="2"/>
    <n v="0"/>
    <s v="-"/>
    <s v="-"/>
    <s v="-"/>
    <s v="-"/>
    <s v="-"/>
    <s v="-"/>
    <s v="-"/>
    <n v="5"/>
    <n v="6"/>
    <s v="-"/>
    <n v="1"/>
    <n v="1"/>
    <n v="2"/>
    <n v="2"/>
    <n v="7"/>
    <n v="8"/>
  </r>
  <r>
    <x v="0"/>
    <x v="19"/>
    <d v="2026-01-23T00:00:00"/>
    <s v="3RD"/>
    <d v="1899-12-30T22:00:00"/>
    <n v="3"/>
    <x v="6"/>
    <n v="4.4000000000000003E-3"/>
    <s v="P"/>
    <s v="P"/>
    <s v="P"/>
    <s v="+"/>
    <s v="+"/>
    <n v="11.78"/>
    <n v="12.23"/>
    <n v="0.48"/>
    <n v="64.099999999999994"/>
    <n v="12.2"/>
    <n v="1000"/>
    <n v="34.299999999999997"/>
    <s v="-"/>
    <n v="25.16"/>
    <s v="P"/>
    <s v="P"/>
    <s v="-"/>
    <n v="2"/>
    <n v="1"/>
    <n v="2"/>
    <n v="0"/>
    <n v="1"/>
    <n v="2"/>
    <n v="2"/>
    <n v="1"/>
    <n v="1"/>
    <n v="2"/>
    <s v="-"/>
    <n v="14"/>
    <n v="15"/>
    <n v="1"/>
    <n v="1"/>
    <n v="1"/>
    <n v="3"/>
    <n v="3"/>
    <n v="17"/>
    <n v="18"/>
  </r>
  <r>
    <x v="0"/>
    <x v="19"/>
    <d v="2026-01-23T00:00:00"/>
    <s v="3RD"/>
    <d v="1899-12-30T23:00:00"/>
    <n v="3"/>
    <x v="6"/>
    <n v="5.1000000000000004E-3"/>
    <s v="P"/>
    <s v="P"/>
    <s v="P"/>
    <s v="+"/>
    <s v="+"/>
    <n v="11.6"/>
    <s v="-"/>
    <s v="-"/>
    <s v="-"/>
    <s v="-"/>
    <s v="-"/>
    <s v="-"/>
    <s v="-"/>
    <s v="-"/>
    <s v="P"/>
    <s v="P"/>
    <s v="-"/>
    <n v="2"/>
    <n v="1"/>
    <n v="2"/>
    <n v="0"/>
    <s v="-"/>
    <s v="-"/>
    <s v="-"/>
    <s v="-"/>
    <s v="-"/>
    <s v="-"/>
    <s v="-"/>
    <n v="5"/>
    <n v="6"/>
    <s v="-"/>
    <n v="1"/>
    <n v="1"/>
    <n v="2"/>
    <n v="2"/>
    <n v="7"/>
    <n v="8"/>
  </r>
  <r>
    <x v="0"/>
    <x v="19"/>
    <d v="2026-01-23T00:00:00"/>
    <s v="3RD"/>
    <d v="1899-12-30T00:00:00"/>
    <n v="3"/>
    <x v="6"/>
    <n v="5.1000000000000004E-3"/>
    <s v="P"/>
    <s v="P"/>
    <s v="P"/>
    <s v="+"/>
    <s v="+"/>
    <n v="11.6"/>
    <s v="-"/>
    <s v="-"/>
    <s v="-"/>
    <s v="-"/>
    <s v="-"/>
    <s v="-"/>
    <s v="-"/>
    <s v="-"/>
    <s v="P"/>
    <s v="P"/>
    <s v="-"/>
    <n v="2"/>
    <n v="1"/>
    <n v="2"/>
    <n v="0"/>
    <s v="-"/>
    <s v="-"/>
    <s v="-"/>
    <s v="-"/>
    <s v="-"/>
    <s v="-"/>
    <s v="-"/>
    <n v="5"/>
    <n v="6"/>
    <s v="-"/>
    <n v="1"/>
    <n v="1"/>
    <n v="2"/>
    <n v="2"/>
    <n v="7"/>
    <n v="8"/>
  </r>
  <r>
    <x v="0"/>
    <x v="19"/>
    <d v="2026-01-23T00:00:00"/>
    <s v="3RD"/>
    <d v="1899-12-30T01:00:00"/>
    <n v="3"/>
    <x v="6"/>
    <n v="6.4000000000000003E-3"/>
    <s v="P"/>
    <s v="P"/>
    <s v="P"/>
    <s v="+"/>
    <s v="+"/>
    <n v="12.17"/>
    <s v="-"/>
    <s v="-"/>
    <s v="-"/>
    <s v="-"/>
    <s v="-"/>
    <s v="-"/>
    <s v="-"/>
    <s v="-"/>
    <s v="P"/>
    <s v="P"/>
    <s v="-"/>
    <n v="2"/>
    <n v="1"/>
    <n v="2"/>
    <n v="1"/>
    <s v="-"/>
    <s v="-"/>
    <s v="-"/>
    <s v="-"/>
    <s v="-"/>
    <s v="-"/>
    <s v="-"/>
    <n v="6"/>
    <n v="6"/>
    <s v="-"/>
    <n v="1"/>
    <n v="1"/>
    <n v="2"/>
    <n v="2"/>
    <n v="8"/>
    <n v="8"/>
  </r>
  <r>
    <x v="0"/>
    <x v="19"/>
    <d v="2026-01-22T00:00:00"/>
    <s v="1ST"/>
    <d v="1899-12-30T09:00:00"/>
    <n v="2"/>
    <x v="32"/>
    <n v="7.7999999999999996E-3"/>
    <s v="P"/>
    <s v="P"/>
    <s v="P"/>
    <s v="+"/>
    <s v="+"/>
    <n v="11.6"/>
    <n v="11.7"/>
    <n v="0.4"/>
    <n v="64.099999999999994"/>
    <n v="15.6"/>
    <n v="800"/>
    <n v="32.299999999999997"/>
    <s v="-"/>
    <s v="-"/>
    <s v="P"/>
    <s v="P"/>
    <s v="-"/>
    <n v="2"/>
    <n v="1"/>
    <n v="2"/>
    <n v="0"/>
    <n v="1"/>
    <n v="2"/>
    <n v="2"/>
    <n v="1"/>
    <n v="1"/>
    <n v="2"/>
    <s v="-"/>
    <n v="14"/>
    <n v="15"/>
    <s v="-"/>
    <n v="1"/>
    <n v="1"/>
    <n v="2"/>
    <n v="2"/>
    <n v="16"/>
    <n v="17"/>
  </r>
  <r>
    <x v="0"/>
    <x v="19"/>
    <d v="2026-01-22T00:00:00"/>
    <s v="1ST"/>
    <d v="1899-12-30T10:00:00"/>
    <n v="2"/>
    <x v="32"/>
    <n v="7.4000000000000003E-3"/>
    <s v="P"/>
    <s v="P"/>
    <s v="P"/>
    <s v="+"/>
    <s v="+"/>
    <n v="11.68"/>
    <s v="-"/>
    <s v="-"/>
    <s v="-"/>
    <s v="-"/>
    <s v="-"/>
    <s v="-"/>
    <s v="-"/>
    <s v="-"/>
    <s v="P"/>
    <s v="P"/>
    <s v="-"/>
    <n v="2"/>
    <n v="1"/>
    <n v="2"/>
    <n v="0"/>
    <s v="-"/>
    <s v="-"/>
    <s v="-"/>
    <s v="-"/>
    <s v="-"/>
    <s v="-"/>
    <s v="-"/>
    <n v="5"/>
    <n v="6"/>
    <s v="-"/>
    <n v="1"/>
    <n v="1"/>
    <n v="2"/>
    <n v="2"/>
    <n v="7"/>
    <n v="8"/>
  </r>
  <r>
    <x v="0"/>
    <x v="19"/>
    <d v="2026-01-22T00:00:00"/>
    <s v="1ST"/>
    <d v="1899-12-30T12:00:00"/>
    <n v="2"/>
    <x v="32"/>
    <n v="4.8999999999999998E-3"/>
    <s v="P"/>
    <s v="P"/>
    <s v="P"/>
    <s v="+"/>
    <s v="+"/>
    <n v="11.68"/>
    <s v="-"/>
    <s v="-"/>
    <s v="-"/>
    <s v="-"/>
    <s v="-"/>
    <s v="-"/>
    <s v="-"/>
    <s v="-"/>
    <s v="P"/>
    <s v="P"/>
    <s v="-"/>
    <n v="2"/>
    <n v="1"/>
    <n v="2"/>
    <n v="0"/>
    <s v="-"/>
    <s v="-"/>
    <s v="-"/>
    <s v="-"/>
    <s v="-"/>
    <s v="-"/>
    <s v="-"/>
    <n v="5"/>
    <n v="6"/>
    <s v="-"/>
    <n v="1"/>
    <n v="1"/>
    <n v="2"/>
    <n v="2"/>
    <n v="7"/>
    <n v="8"/>
  </r>
  <r>
    <x v="0"/>
    <x v="19"/>
    <d v="2026-01-22T00:00:00"/>
    <s v="2ND"/>
    <d v="1899-12-30T14:00:00"/>
    <n v="2"/>
    <x v="10"/>
    <n v="4.5999999999999999E-3"/>
    <s v="P"/>
    <s v="P"/>
    <s v="P"/>
    <s v="+"/>
    <s v="+"/>
    <n v="11.81"/>
    <n v="11.8"/>
    <n v="0.35"/>
    <s v="-"/>
    <s v="-"/>
    <s v="-"/>
    <n v="32.799999999999997"/>
    <s v="-"/>
    <s v="-"/>
    <s v="P"/>
    <s v="P"/>
    <s v="-"/>
    <n v="2"/>
    <n v="1"/>
    <n v="2"/>
    <n v="0"/>
    <n v="1"/>
    <n v="2"/>
    <s v="-"/>
    <s v="-"/>
    <s v="-"/>
    <n v="2"/>
    <s v="-"/>
    <n v="10"/>
    <n v="11"/>
    <s v="-"/>
    <n v="1"/>
    <n v="1"/>
    <n v="2"/>
    <n v="2"/>
    <n v="12"/>
    <n v="13"/>
  </r>
  <r>
    <x v="0"/>
    <x v="19"/>
    <d v="2026-01-22T00:00:00"/>
    <s v="2ND"/>
    <d v="1899-12-30T16:00:00"/>
    <n v="2"/>
    <x v="10"/>
    <n v="8.3999999999999995E-3"/>
    <s v="P"/>
    <s v="P"/>
    <s v="P"/>
    <s v="+"/>
    <s v="+"/>
    <n v="12.21"/>
    <s v="-"/>
    <s v="-"/>
    <s v="-"/>
    <s v="-"/>
    <s v="-"/>
    <s v="-"/>
    <s v="-"/>
    <s v="-"/>
    <s v="P"/>
    <s v="P"/>
    <s v="-"/>
    <n v="2"/>
    <n v="1"/>
    <n v="2"/>
    <n v="1"/>
    <s v="-"/>
    <s v="-"/>
    <s v="-"/>
    <s v="-"/>
    <s v="-"/>
    <s v="-"/>
    <s v="-"/>
    <n v="6"/>
    <n v="6"/>
    <s v="-"/>
    <n v="1"/>
    <n v="1"/>
    <n v="2"/>
    <n v="2"/>
    <n v="8"/>
    <n v="8"/>
  </r>
  <r>
    <x v="0"/>
    <x v="19"/>
    <d v="2026-01-22T00:00:00"/>
    <s v="2ND"/>
    <d v="1899-12-30T18:00:00"/>
    <n v="2"/>
    <x v="10"/>
    <n v="2.0999999999999999E-3"/>
    <s v="P"/>
    <s v="P"/>
    <s v="P"/>
    <s v="+"/>
    <s v="+"/>
    <n v="12.11"/>
    <s v="-"/>
    <s v="-"/>
    <s v="-"/>
    <s v="-"/>
    <s v="-"/>
    <s v="-"/>
    <s v="-"/>
    <s v="-"/>
    <s v="P"/>
    <s v="P"/>
    <s v="-"/>
    <n v="2"/>
    <n v="1"/>
    <n v="2"/>
    <n v="1"/>
    <s v="-"/>
    <s v="-"/>
    <s v="-"/>
    <s v="-"/>
    <s v="-"/>
    <s v="-"/>
    <s v="-"/>
    <n v="6"/>
    <n v="6"/>
    <s v="-"/>
    <n v="1"/>
    <n v="1"/>
    <n v="2"/>
    <n v="2"/>
    <n v="8"/>
    <n v="8"/>
  </r>
  <r>
    <x v="0"/>
    <x v="19"/>
    <d v="2026-01-22T00:00:00"/>
    <s v="2ND"/>
    <d v="1899-12-30T19:00:00"/>
    <n v="2"/>
    <x v="10"/>
    <n v="4.7000000000000002E-3"/>
    <s v="P"/>
    <s v="P"/>
    <s v="P"/>
    <s v="+"/>
    <s v="+"/>
    <n v="11.84"/>
    <s v="-"/>
    <s v="-"/>
    <s v="-"/>
    <s v="-"/>
    <s v="-"/>
    <s v="-"/>
    <s v="-"/>
    <s v="-"/>
    <s v="P"/>
    <s v="P"/>
    <s v="-"/>
    <n v="2"/>
    <n v="1"/>
    <n v="2"/>
    <n v="0"/>
    <s v="-"/>
    <s v="-"/>
    <s v="-"/>
    <s v="-"/>
    <s v="-"/>
    <s v="-"/>
    <s v="-"/>
    <n v="5"/>
    <n v="6"/>
    <s v="-"/>
    <n v="1"/>
    <n v="1"/>
    <n v="2"/>
    <n v="2"/>
    <n v="7"/>
    <n v="8"/>
  </r>
  <r>
    <x v="0"/>
    <x v="19"/>
    <d v="2026-01-23T00:00:00"/>
    <s v="2ND"/>
    <d v="1899-12-30T20:00:00"/>
    <n v="3"/>
    <x v="11"/>
    <n v="1.67E-2"/>
    <s v="P"/>
    <s v="P"/>
    <s v="P"/>
    <s v="+"/>
    <s v="+"/>
    <n v="12.51"/>
    <n v="13.3"/>
    <n v="0.54"/>
    <n v="64.599999999999994"/>
    <n v="20"/>
    <n v="803"/>
    <n v="37"/>
    <s v="-"/>
    <s v="-"/>
    <s v="P"/>
    <s v="P"/>
    <s v="99.5% .5%"/>
    <n v="2"/>
    <n v="1"/>
    <n v="2"/>
    <n v="1"/>
    <n v="1"/>
    <n v="2"/>
    <n v="0"/>
    <n v="1"/>
    <n v="1"/>
    <n v="2"/>
    <s v="-"/>
    <n v="13"/>
    <n v="15"/>
    <s v="-"/>
    <n v="1"/>
    <n v="1"/>
    <n v="2"/>
    <n v="2"/>
    <n v="15"/>
    <n v="17"/>
  </r>
  <r>
    <x v="0"/>
    <x v="19"/>
    <d v="2026-01-16T00:00:00"/>
    <s v="1ST"/>
    <d v="1899-12-30T09:00:00"/>
    <s v="Retail"/>
    <x v="25"/>
    <s v="-"/>
    <s v="P"/>
    <s v="P"/>
    <s v="P"/>
    <s v="+"/>
    <s v="+"/>
    <n v="12.84"/>
    <n v="12.86"/>
    <n v="1.83"/>
    <n v="67.47"/>
    <s v="-"/>
    <s v="-"/>
    <n v="36"/>
    <s v="-"/>
    <s v="-"/>
    <s v="-"/>
    <s v="-"/>
    <s v="-"/>
    <s v="-"/>
    <n v="1"/>
    <n v="2"/>
    <n v="1"/>
    <n v="0"/>
    <n v="0"/>
    <n v="2"/>
    <s v="-"/>
    <s v="-"/>
    <n v="0"/>
    <s v="-"/>
    <n v="6"/>
    <n v="11"/>
    <s v="-"/>
    <s v="-"/>
    <s v="-"/>
    <n v="0"/>
    <n v="0"/>
    <n v="6"/>
    <n v="11"/>
  </r>
  <r>
    <x v="0"/>
    <x v="19"/>
    <d v="2026-01-16T00:00:00"/>
    <s v="1ST"/>
    <d v="1899-12-30T10:00:00"/>
    <s v="Retail"/>
    <x v="25"/>
    <s v="-"/>
    <s v="P"/>
    <s v="P"/>
    <s v="P"/>
    <s v="+"/>
    <s v="+"/>
    <n v="13.01"/>
    <s v="-"/>
    <s v="-"/>
    <s v="-"/>
    <s v="-"/>
    <s v="-"/>
    <s v="-"/>
    <s v="-"/>
    <s v="-"/>
    <s v="-"/>
    <s v="-"/>
    <s v="-"/>
    <s v="-"/>
    <n v="1"/>
    <n v="2"/>
    <n v="1"/>
    <s v="-"/>
    <s v="-"/>
    <s v="-"/>
    <s v="-"/>
    <s v="-"/>
    <s v="-"/>
    <s v="-"/>
    <n v="4"/>
    <n v="4"/>
    <s v="-"/>
    <s v="-"/>
    <s v="-"/>
    <n v="0"/>
    <n v="0"/>
    <n v="4"/>
    <n v="4"/>
  </r>
  <r>
    <x v="0"/>
    <x v="19"/>
    <d v="2026-01-16T00:00:00"/>
    <s v="1ST"/>
    <d v="1899-12-30T11:00:00"/>
    <s v="Retail"/>
    <x v="25"/>
    <s v="-"/>
    <s v="P"/>
    <s v="P"/>
    <s v="P"/>
    <s v="+"/>
    <s v="+"/>
    <n v="12.88"/>
    <s v="-"/>
    <s v="-"/>
    <s v="-"/>
    <s v="-"/>
    <s v="-"/>
    <s v="-"/>
    <s v="-"/>
    <s v="-"/>
    <s v="-"/>
    <s v="-"/>
    <s v="-"/>
    <s v="-"/>
    <n v="1"/>
    <n v="2"/>
    <n v="1"/>
    <s v="-"/>
    <s v="-"/>
    <s v="-"/>
    <s v="-"/>
    <s v="-"/>
    <s v="-"/>
    <s v="-"/>
    <n v="4"/>
    <n v="4"/>
    <s v="-"/>
    <s v="-"/>
    <s v="-"/>
    <n v="0"/>
    <n v="0"/>
    <n v="4"/>
    <n v="4"/>
  </r>
  <r>
    <x v="0"/>
    <x v="19"/>
    <d v="2026-01-22T00:00:00"/>
    <s v="1ST"/>
    <d v="1899-12-30T07:00:00"/>
    <n v="3"/>
    <x v="8"/>
    <n v="1.01E-2"/>
    <s v="P"/>
    <s v="P"/>
    <s v="P"/>
    <s v="+"/>
    <s v="+"/>
    <n v="13.06"/>
    <n v="12.58"/>
    <n v="0.44"/>
    <n v="65.400000000000006"/>
    <s v="-"/>
    <s v="-"/>
    <n v="35.1"/>
    <s v="-"/>
    <s v="-"/>
    <s v="P"/>
    <s v="P"/>
    <s v="-"/>
    <n v="2"/>
    <n v="1"/>
    <n v="2"/>
    <n v="1"/>
    <n v="1"/>
    <n v="2"/>
    <n v="2"/>
    <s v="-"/>
    <s v="-"/>
    <s v="-"/>
    <s v="-"/>
    <n v="11"/>
    <n v="11"/>
    <s v="-"/>
    <n v="1"/>
    <n v="1"/>
    <n v="2"/>
    <n v="2"/>
    <n v="13"/>
    <n v="13"/>
  </r>
  <r>
    <x v="0"/>
    <x v="19"/>
    <d v="2026-01-22T00:00:00"/>
    <s v="1ST"/>
    <d v="1899-12-30T08:00:00"/>
    <n v="3"/>
    <x v="8"/>
    <n v="8.8000000000000005E-3"/>
    <s v="P"/>
    <s v="P"/>
    <s v="P"/>
    <s v="+"/>
    <s v="+"/>
    <n v="12.77"/>
    <s v="-"/>
    <s v="-"/>
    <s v="-"/>
    <s v="-"/>
    <s v="-"/>
    <s v="-"/>
    <s v="-"/>
    <s v="-"/>
    <s v="P"/>
    <s v="P"/>
    <s v="-"/>
    <n v="2"/>
    <n v="1"/>
    <n v="2"/>
    <n v="1"/>
    <s v="-"/>
    <s v="-"/>
    <s v="-"/>
    <s v="-"/>
    <s v="-"/>
    <s v="-"/>
    <s v="-"/>
    <n v="6"/>
    <n v="6"/>
    <s v="-"/>
    <n v="1"/>
    <n v="1"/>
    <n v="2"/>
    <n v="2"/>
    <n v="8"/>
    <n v="8"/>
  </r>
  <r>
    <x v="0"/>
    <x v="19"/>
    <d v="2026-01-22T00:00:00"/>
    <s v="1ST"/>
    <d v="1899-12-30T10:00:00"/>
    <n v="3"/>
    <x v="8"/>
    <n v="8.8999999999999999E-3"/>
    <s v="P"/>
    <s v="P"/>
    <s v="P"/>
    <s v="+"/>
    <s v="+"/>
    <n v="13.24"/>
    <s v="-"/>
    <s v="-"/>
    <s v="-"/>
    <s v="-"/>
    <s v="-"/>
    <s v="-"/>
    <s v="-"/>
    <s v="-"/>
    <s v="P"/>
    <s v="P"/>
    <s v="-"/>
    <n v="2"/>
    <n v="1"/>
    <n v="2"/>
    <n v="1"/>
    <s v="-"/>
    <s v="-"/>
    <s v="-"/>
    <s v="-"/>
    <s v="-"/>
    <s v="-"/>
    <s v="-"/>
    <n v="6"/>
    <n v="6"/>
    <s v="-"/>
    <n v="1"/>
    <n v="1"/>
    <n v="2"/>
    <n v="2"/>
    <n v="8"/>
    <n v="8"/>
  </r>
  <r>
    <x v="0"/>
    <x v="19"/>
    <d v="2026-01-22T00:00:00"/>
    <s v="1ST"/>
    <d v="1899-12-30T12:00:00"/>
    <n v="3"/>
    <x v="8"/>
    <n v="3.2000000000000002E-3"/>
    <s v="P"/>
    <s v="P"/>
    <s v="P"/>
    <s v="+"/>
    <s v="+"/>
    <n v="13.28"/>
    <s v="-"/>
    <s v="-"/>
    <s v="-"/>
    <s v="-"/>
    <s v="-"/>
    <s v="-"/>
    <s v="-"/>
    <s v="-"/>
    <s v="P"/>
    <s v="P"/>
    <s v="-"/>
    <n v="2"/>
    <n v="1"/>
    <n v="2"/>
    <n v="1"/>
    <s v="-"/>
    <s v="-"/>
    <s v="-"/>
    <s v="-"/>
    <s v="-"/>
    <s v="-"/>
    <s v="-"/>
    <n v="6"/>
    <n v="6"/>
    <s v="-"/>
    <n v="1"/>
    <n v="1"/>
    <n v="2"/>
    <n v="2"/>
    <n v="8"/>
    <n v="8"/>
  </r>
  <r>
    <x v="0"/>
    <x v="19"/>
    <d v="2026-01-22T00:00:00"/>
    <s v="1ST"/>
    <d v="1899-12-30T13:00:00"/>
    <n v="3"/>
    <x v="8"/>
    <n v="2.8E-3"/>
    <s v="-"/>
    <s v="-"/>
    <s v="-"/>
    <s v="-"/>
    <s v="-"/>
    <n v="13.04"/>
    <s v="-"/>
    <s v="-"/>
    <s v="-"/>
    <s v="-"/>
    <s v="-"/>
    <s v="-"/>
    <s v="-"/>
    <s v="-"/>
    <s v="P"/>
    <s v="P"/>
    <s v="-"/>
    <n v="2"/>
    <s v="-"/>
    <s v="-"/>
    <n v="1"/>
    <s v="-"/>
    <s v="-"/>
    <s v="-"/>
    <s v="-"/>
    <s v="-"/>
    <s v="-"/>
    <s v="-"/>
    <n v="3"/>
    <n v="3"/>
    <s v="-"/>
    <n v="1"/>
    <n v="1"/>
    <n v="2"/>
    <n v="2"/>
    <n v="5"/>
    <n v="5"/>
  </r>
  <r>
    <x v="0"/>
    <x v="19"/>
    <d v="2026-01-22T00:00:00"/>
    <s v="2ND"/>
    <d v="1899-12-30T14:00:00"/>
    <n v="3"/>
    <x v="8"/>
    <n v="8.7000000000000001E-4"/>
    <s v="P"/>
    <s v="P"/>
    <s v="P"/>
    <s v="+"/>
    <s v="+"/>
    <n v="13.08"/>
    <n v="12.84"/>
    <n v="0.5"/>
    <s v="-"/>
    <s v="-"/>
    <s v="-"/>
    <n v="35.9"/>
    <s v="-"/>
    <s v="-"/>
    <s v="P"/>
    <s v="P"/>
    <n v="1"/>
    <n v="2"/>
    <n v="1"/>
    <n v="2"/>
    <n v="1"/>
    <n v="1"/>
    <n v="2"/>
    <s v="-"/>
    <s v="-"/>
    <s v="-"/>
    <s v="-"/>
    <s v="-"/>
    <n v="9"/>
    <n v="9"/>
    <s v="-"/>
    <n v="1"/>
    <n v="1"/>
    <n v="2"/>
    <n v="2"/>
    <n v="11"/>
    <n v="11"/>
  </r>
  <r>
    <x v="0"/>
    <x v="19"/>
    <d v="2026-01-22T00:00:00"/>
    <s v="2ND"/>
    <d v="1899-12-30T18:00:00"/>
    <n v="3"/>
    <x v="8"/>
    <n v="1.03E-2"/>
    <s v="P"/>
    <s v="P"/>
    <s v="P"/>
    <s v="+"/>
    <s v="+"/>
    <n v="12.77"/>
    <s v="-"/>
    <s v="-"/>
    <s v="-"/>
    <s v="-"/>
    <s v="-"/>
    <s v="-"/>
    <s v="-"/>
    <s v="-"/>
    <s v="P"/>
    <s v="P"/>
    <s v="-"/>
    <n v="2"/>
    <n v="1"/>
    <n v="2"/>
    <n v="1"/>
    <s v="-"/>
    <s v="-"/>
    <s v="-"/>
    <s v="-"/>
    <s v="-"/>
    <s v="-"/>
    <s v="-"/>
    <n v="6"/>
    <n v="6"/>
    <s v="-"/>
    <n v="1"/>
    <n v="1"/>
    <n v="2"/>
    <n v="2"/>
    <n v="8"/>
    <n v="8"/>
  </r>
  <r>
    <x v="0"/>
    <x v="19"/>
    <d v="2026-01-22T00:00:00"/>
    <s v="3RD"/>
    <d v="1899-12-30T22:00:00"/>
    <n v="3"/>
    <x v="1"/>
    <n v="7.7999999999999996E-3"/>
    <s v="P"/>
    <s v="P"/>
    <s v="P"/>
    <s v="+"/>
    <s v="+"/>
    <n v="12.44"/>
    <n v="12.85"/>
    <n v="0.48"/>
    <n v="64.2"/>
    <n v="12"/>
    <n v="634"/>
    <n v="36"/>
    <s v="-"/>
    <n v="25.17"/>
    <s v="P"/>
    <s v="P"/>
    <s v="-"/>
    <n v="2"/>
    <n v="1"/>
    <n v="2"/>
    <n v="1"/>
    <n v="1"/>
    <n v="2"/>
    <n v="2"/>
    <n v="1"/>
    <n v="1"/>
    <n v="2"/>
    <s v="-"/>
    <n v="15"/>
    <n v="15"/>
    <n v="1"/>
    <n v="1"/>
    <n v="1"/>
    <n v="3"/>
    <n v="3"/>
    <n v="18"/>
    <n v="18"/>
  </r>
  <r>
    <x v="0"/>
    <x v="19"/>
    <d v="2026-01-22T00:00:00"/>
    <s v="3RD"/>
    <d v="1899-12-30T23:00:00"/>
    <n v="3"/>
    <x v="1"/>
    <n v="9.5999999999999992E-3"/>
    <s v="P"/>
    <s v="P"/>
    <s v="P"/>
    <s v="+"/>
    <s v="+"/>
    <n v="12.26"/>
    <s v="-"/>
    <s v="-"/>
    <s v="-"/>
    <s v="-"/>
    <s v="-"/>
    <s v="-"/>
    <s v="-"/>
    <s v="-"/>
    <s v="P"/>
    <s v="P"/>
    <s v="-"/>
    <n v="2"/>
    <n v="1"/>
    <n v="2"/>
    <n v="1"/>
    <s v="-"/>
    <s v="-"/>
    <s v="-"/>
    <s v="-"/>
    <s v="-"/>
    <s v="-"/>
    <s v="-"/>
    <n v="6"/>
    <n v="6"/>
    <s v="-"/>
    <n v="1"/>
    <n v="1"/>
    <n v="2"/>
    <n v="2"/>
    <n v="8"/>
    <n v="8"/>
  </r>
  <r>
    <x v="0"/>
    <x v="19"/>
    <d v="2026-01-22T00:00:00"/>
    <s v="3RD"/>
    <d v="1899-12-31T00:00:00"/>
    <n v="3"/>
    <x v="1"/>
    <n v="9.5999999999999992E-3"/>
    <s v="P"/>
    <s v="P"/>
    <s v="P"/>
    <s v="+"/>
    <s v="+"/>
    <n v="12.26"/>
    <s v="-"/>
    <s v="-"/>
    <s v="-"/>
    <s v="-"/>
    <s v="-"/>
    <s v="-"/>
    <s v="-"/>
    <s v="-"/>
    <s v="P"/>
    <s v="P"/>
    <s v="-"/>
    <n v="2"/>
    <n v="1"/>
    <n v="2"/>
    <n v="1"/>
    <s v="-"/>
    <s v="-"/>
    <s v="-"/>
    <s v="-"/>
    <s v="-"/>
    <s v="-"/>
    <s v="-"/>
    <n v="6"/>
    <n v="6"/>
    <s v="-"/>
    <n v="1"/>
    <n v="1"/>
    <n v="2"/>
    <n v="2"/>
    <n v="8"/>
    <n v="8"/>
  </r>
  <r>
    <x v="0"/>
    <x v="19"/>
    <d v="2026-01-23T00:00:00"/>
    <s v="3RD"/>
    <d v="1899-12-31T01:00:00"/>
    <n v="3"/>
    <x v="1"/>
    <n v="1.2500000000000001E-2"/>
    <s v="P"/>
    <s v="P"/>
    <s v="P"/>
    <s v="+"/>
    <s v="+"/>
    <n v="11.89"/>
    <n v="13.17"/>
    <n v="0.54"/>
    <n v="64.8"/>
    <s v="-"/>
    <s v="-"/>
    <n v="37"/>
    <s v="-"/>
    <s v="-"/>
    <s v="P"/>
    <s v="P"/>
    <s v="-"/>
    <n v="2"/>
    <n v="1"/>
    <n v="2"/>
    <n v="0"/>
    <n v="1"/>
    <n v="2"/>
    <n v="2"/>
    <s v="-"/>
    <s v="-"/>
    <n v="2"/>
    <s v="-"/>
    <n v="12"/>
    <n v="13"/>
    <s v="-"/>
    <n v="1"/>
    <n v="1"/>
    <n v="2"/>
    <n v="2"/>
    <n v="14"/>
    <n v="15"/>
  </r>
  <r>
    <x v="0"/>
    <x v="19"/>
    <d v="2026-01-23T00:00:00"/>
    <s v="3RD"/>
    <d v="1899-12-31T02:00:00"/>
    <n v="3"/>
    <x v="1"/>
    <n v="1.5299999999999999E-2"/>
    <s v="P"/>
    <s v="P"/>
    <s v="P"/>
    <s v="+"/>
    <s v="+"/>
    <n v="12.49"/>
    <s v="-"/>
    <s v="-"/>
    <s v="-"/>
    <s v="-"/>
    <s v="-"/>
    <s v="-"/>
    <s v="-"/>
    <s v="-"/>
    <s v="P"/>
    <s v="P"/>
    <s v="-"/>
    <n v="2"/>
    <n v="1"/>
    <n v="2"/>
    <n v="1"/>
    <s v="-"/>
    <s v="-"/>
    <s v="-"/>
    <s v="-"/>
    <s v="-"/>
    <s v="-"/>
    <s v="-"/>
    <n v="6"/>
    <n v="6"/>
    <s v="-"/>
    <n v="1"/>
    <n v="1"/>
    <n v="2"/>
    <n v="2"/>
    <n v="8"/>
    <n v="8"/>
  </r>
  <r>
    <x v="0"/>
    <x v="19"/>
    <d v="2026-01-23T00:00:00"/>
    <s v="3RD"/>
    <d v="1899-12-31T04:00:00"/>
    <n v="3"/>
    <x v="1"/>
    <n v="1.2200000000000001E-2"/>
    <s v="P"/>
    <s v="P"/>
    <s v="P"/>
    <s v="+"/>
    <s v="+"/>
    <n v="12.35"/>
    <s v="-"/>
    <s v="-"/>
    <s v="-"/>
    <s v="-"/>
    <s v="-"/>
    <s v="-"/>
    <s v="-"/>
    <s v="-"/>
    <s v="P"/>
    <s v="P"/>
    <s v="-"/>
    <n v="2"/>
    <n v="1"/>
    <n v="2"/>
    <n v="1"/>
    <s v="-"/>
    <s v="-"/>
    <s v="-"/>
    <s v="-"/>
    <s v="-"/>
    <s v="-"/>
    <s v="-"/>
    <n v="6"/>
    <n v="6"/>
    <s v="-"/>
    <n v="1"/>
    <n v="1"/>
    <n v="2"/>
    <n v="2"/>
    <n v="8"/>
    <n v="8"/>
  </r>
  <r>
    <x v="0"/>
    <x v="19"/>
    <d v="1899-12-30T00:00:00"/>
    <s v="2ND"/>
    <d v="1899-12-30T14:00:00"/>
    <s v="Retail"/>
    <x v="13"/>
    <s v="-"/>
    <s v="-"/>
    <s v="-"/>
    <s v="-"/>
    <s v="-"/>
    <s v="-"/>
    <n v="12.35"/>
    <s v="-"/>
    <s v="-"/>
    <s v="-"/>
    <s v="-"/>
    <s v="-"/>
    <s v="-"/>
    <s v="-"/>
    <s v="-"/>
    <s v="-"/>
    <s v="-"/>
    <s v="-"/>
    <s v="-"/>
    <s v="-"/>
    <s v="-"/>
    <n v="1"/>
    <s v="-"/>
    <s v="-"/>
    <s v="-"/>
    <s v="-"/>
    <s v="-"/>
    <s v="-"/>
    <s v="-"/>
    <n v="1"/>
    <n v="1"/>
    <s v="-"/>
    <s v="-"/>
    <s v="-"/>
    <n v="0"/>
    <n v="0"/>
    <n v="1"/>
    <n v="1"/>
  </r>
  <r>
    <x v="0"/>
    <x v="19"/>
    <d v="1899-12-30T00:00:00"/>
    <s v="2ND"/>
    <d v="1899-12-30T15:00:00"/>
    <s v="Retail"/>
    <x v="9"/>
    <s v="-"/>
    <s v="-"/>
    <s v="-"/>
    <s v="-"/>
    <s v="-"/>
    <s v="-"/>
    <n v="10.19"/>
    <s v="-"/>
    <s v="-"/>
    <s v="-"/>
    <s v="-"/>
    <s v="-"/>
    <s v="-"/>
    <s v="-"/>
    <s v="-"/>
    <s v="-"/>
    <s v="-"/>
    <s v="-"/>
    <s v="-"/>
    <s v="-"/>
    <s v="-"/>
    <n v="1"/>
    <s v="-"/>
    <s v="-"/>
    <s v="-"/>
    <s v="-"/>
    <s v="-"/>
    <s v="-"/>
    <s v="-"/>
    <n v="1"/>
    <n v="1"/>
    <s v="-"/>
    <s v="-"/>
    <s v="-"/>
    <n v="0"/>
    <n v="0"/>
    <n v="1"/>
    <n v="1"/>
  </r>
  <r>
    <x v="0"/>
    <x v="19"/>
    <d v="2026-01-21T00:00:00"/>
    <s v="1ST"/>
    <d v="1899-12-30T07:00:00"/>
    <n v="1"/>
    <x v="22"/>
    <n v="9.1999999999999998E-3"/>
    <s v="P"/>
    <s v="P"/>
    <s v="P"/>
    <s v="-"/>
    <s v="-"/>
    <n v="10.9"/>
    <n v="8.75"/>
    <n v="0.52"/>
    <n v="55"/>
    <n v="10.1"/>
    <n v="437"/>
    <n v="23.65"/>
    <s v="-"/>
    <s v="-"/>
    <s v="P"/>
    <s v="P"/>
    <s v="-"/>
    <n v="2"/>
    <n v="1"/>
    <n v="2"/>
    <n v="0"/>
    <n v="1"/>
    <n v="2"/>
    <n v="2"/>
    <s v="-"/>
    <s v="-"/>
    <n v="2"/>
    <s v="-"/>
    <n v="12"/>
    <n v="13"/>
    <s v="-"/>
    <n v="1"/>
    <n v="1"/>
    <n v="2"/>
    <n v="2"/>
    <n v="14"/>
    <n v="15"/>
  </r>
  <r>
    <x v="0"/>
    <x v="19"/>
    <d v="2026-01-21T00:00:00"/>
    <s v="1ST"/>
    <d v="1899-12-30T09:00:00"/>
    <n v="1"/>
    <x v="22"/>
    <n v="8.8000000000000005E-3"/>
    <s v="P"/>
    <s v="P"/>
    <s v="P"/>
    <s v="-"/>
    <s v="-"/>
    <n v="10.67"/>
    <s v="-"/>
    <s v="-"/>
    <s v="-"/>
    <s v="-"/>
    <s v="-"/>
    <s v="-"/>
    <s v="-"/>
    <s v="-"/>
    <s v="P"/>
    <s v="P"/>
    <s v="-"/>
    <n v="2"/>
    <n v="1"/>
    <n v="2"/>
    <n v="0"/>
    <s v="-"/>
    <s v="-"/>
    <s v="-"/>
    <s v="-"/>
    <s v="-"/>
    <s v="-"/>
    <s v="-"/>
    <n v="5"/>
    <n v="6"/>
    <s v="-"/>
    <n v="1"/>
    <n v="1"/>
    <n v="2"/>
    <n v="2"/>
    <n v="7"/>
    <n v="8"/>
  </r>
  <r>
    <x v="0"/>
    <x v="19"/>
    <d v="2026-01-21T00:00:00"/>
    <s v="1ST"/>
    <d v="1899-12-30T10:00:00"/>
    <n v="1"/>
    <x v="22"/>
    <n v="4.7999999999999996E-3"/>
    <s v="P"/>
    <s v="P"/>
    <s v="P"/>
    <s v="-"/>
    <s v="-"/>
    <n v="10.81"/>
    <s v="-"/>
    <s v="-"/>
    <s v="-"/>
    <s v="-"/>
    <s v="-"/>
    <s v="-"/>
    <s v="-"/>
    <s v="-"/>
    <s v="P"/>
    <s v="P"/>
    <s v="-"/>
    <n v="2"/>
    <n v="1"/>
    <n v="2"/>
    <n v="0"/>
    <s v="-"/>
    <s v="-"/>
    <s v="-"/>
    <s v="-"/>
    <s v="-"/>
    <s v="-"/>
    <s v="-"/>
    <n v="5"/>
    <n v="6"/>
    <s v="-"/>
    <n v="1"/>
    <n v="1"/>
    <n v="2"/>
    <n v="2"/>
    <n v="7"/>
    <n v="8"/>
  </r>
  <r>
    <x v="0"/>
    <x v="19"/>
    <d v="2026-01-21T00:00:00"/>
    <s v="1ST"/>
    <d v="1899-12-30T12:00:00"/>
    <n v="1"/>
    <x v="22"/>
    <n v="2E-3"/>
    <s v="P"/>
    <s v="P"/>
    <s v="P"/>
    <s v="-"/>
    <s v="-"/>
    <n v="10.96"/>
    <s v="-"/>
    <s v="-"/>
    <s v="-"/>
    <s v="-"/>
    <s v="-"/>
    <s v="-"/>
    <s v="-"/>
    <s v="-"/>
    <s v="P"/>
    <s v="P"/>
    <s v="-"/>
    <n v="2"/>
    <n v="1"/>
    <n v="2"/>
    <n v="0"/>
    <s v="-"/>
    <s v="-"/>
    <s v="-"/>
    <s v="-"/>
    <s v="-"/>
    <s v="-"/>
    <s v="-"/>
    <n v="5"/>
    <n v="6"/>
    <s v="-"/>
    <n v="1"/>
    <n v="1"/>
    <n v="2"/>
    <n v="2"/>
    <n v="7"/>
    <n v="8"/>
  </r>
  <r>
    <x v="0"/>
    <x v="19"/>
    <d v="2026-01-21T00:00:00"/>
    <s v="1ST"/>
    <d v="1899-12-30T13:00:00"/>
    <n v="1"/>
    <x v="22"/>
    <n v="2.3E-3"/>
    <s v="P"/>
    <s v="P"/>
    <s v="P"/>
    <s v="-"/>
    <s v="-"/>
    <n v="11"/>
    <s v="-"/>
    <s v="-"/>
    <s v="-"/>
    <s v="-"/>
    <s v="-"/>
    <s v="-"/>
    <s v="-"/>
    <s v="-"/>
    <s v="P"/>
    <s v="P"/>
    <s v="-"/>
    <n v="2"/>
    <n v="1"/>
    <n v="2"/>
    <n v="1"/>
    <s v="-"/>
    <s v="-"/>
    <s v="-"/>
    <s v="-"/>
    <s v="-"/>
    <s v="-"/>
    <s v="-"/>
    <n v="6"/>
    <n v="6"/>
    <s v="-"/>
    <n v="1"/>
    <n v="1"/>
    <n v="2"/>
    <n v="2"/>
    <n v="8"/>
    <n v="8"/>
  </r>
  <r>
    <x v="0"/>
    <x v="19"/>
    <d v="2026-01-21T00:00:00"/>
    <s v="2ND"/>
    <d v="1899-12-30T14:00:00"/>
    <n v="1"/>
    <x v="22"/>
    <n v="3.3E-3"/>
    <s v="P"/>
    <s v="P"/>
    <s v="P"/>
    <s v="-"/>
    <s v="-"/>
    <n v="11.13"/>
    <n v="8.7200000000000006"/>
    <n v="0.48"/>
    <s v="-"/>
    <s v="-"/>
    <s v="-"/>
    <n v="23.5"/>
    <s v="-"/>
    <s v="-"/>
    <s v="P"/>
    <s v="P"/>
    <s v="-"/>
    <n v="2"/>
    <n v="1"/>
    <n v="2"/>
    <n v="1"/>
    <n v="1"/>
    <n v="0"/>
    <s v="-"/>
    <s v="-"/>
    <s v="-"/>
    <n v="2"/>
    <s v="-"/>
    <n v="9"/>
    <n v="11"/>
    <s v="-"/>
    <n v="1"/>
    <n v="1"/>
    <n v="2"/>
    <n v="2"/>
    <n v="11"/>
    <n v="13"/>
  </r>
  <r>
    <x v="0"/>
    <x v="19"/>
    <d v="2026-01-21T00:00:00"/>
    <s v="2ND"/>
    <d v="1899-12-30T16:00:00"/>
    <n v="1"/>
    <x v="22"/>
    <n v="5.5999999999999999E-3"/>
    <s v="P"/>
    <s v="P"/>
    <s v="P"/>
    <s v="-"/>
    <s v="-"/>
    <n v="11.03"/>
    <s v="-"/>
    <s v="-"/>
    <s v="-"/>
    <s v="-"/>
    <s v="-"/>
    <s v="-"/>
    <s v="-"/>
    <s v="-"/>
    <s v="P"/>
    <s v="P"/>
    <s v="-"/>
    <n v="2"/>
    <n v="1"/>
    <n v="2"/>
    <n v="1"/>
    <s v="-"/>
    <s v="-"/>
    <s v="-"/>
    <s v="-"/>
    <s v="-"/>
    <s v="-"/>
    <s v="-"/>
    <n v="6"/>
    <n v="6"/>
    <s v="-"/>
    <n v="1"/>
    <n v="1"/>
    <n v="2"/>
    <n v="2"/>
    <n v="8"/>
    <n v="8"/>
  </r>
  <r>
    <x v="0"/>
    <x v="19"/>
    <d v="2026-01-21T00:00:00"/>
    <s v="2ND"/>
    <d v="1899-12-30T17:00:00"/>
    <n v="1"/>
    <x v="22"/>
    <n v="2.2000000000000001E-3"/>
    <s v="P"/>
    <s v="P"/>
    <s v="P"/>
    <s v="-"/>
    <s v="-"/>
    <n v="11.05"/>
    <s v="-"/>
    <s v="-"/>
    <s v="-"/>
    <s v="-"/>
    <s v="-"/>
    <s v="-"/>
    <s v="-"/>
    <s v="-"/>
    <s v="P"/>
    <s v="P"/>
    <s v="-"/>
    <n v="2"/>
    <n v="1"/>
    <n v="2"/>
    <n v="1"/>
    <s v="-"/>
    <s v="-"/>
    <s v="-"/>
    <s v="-"/>
    <s v="-"/>
    <s v="-"/>
    <s v="-"/>
    <n v="6"/>
    <n v="6"/>
    <s v="-"/>
    <n v="1"/>
    <n v="1"/>
    <n v="2"/>
    <n v="2"/>
    <n v="8"/>
    <n v="8"/>
  </r>
  <r>
    <x v="0"/>
    <x v="19"/>
    <d v="2026-01-21T00:00:00"/>
    <s v="2ND"/>
    <d v="1899-12-30T19:00:00"/>
    <n v="1"/>
    <x v="22"/>
    <n v="8.9999999999999993E-3"/>
    <s v="P"/>
    <s v="P"/>
    <s v="P"/>
    <s v="-"/>
    <s v="-"/>
    <n v="10.84"/>
    <s v="-"/>
    <s v="-"/>
    <s v="-"/>
    <s v="-"/>
    <s v="-"/>
    <s v="-"/>
    <s v="-"/>
    <s v="-"/>
    <s v="P"/>
    <s v="P"/>
    <s v="-"/>
    <n v="2"/>
    <n v="1"/>
    <n v="2"/>
    <n v="0"/>
    <s v="-"/>
    <s v="-"/>
    <s v="-"/>
    <s v="-"/>
    <s v="-"/>
    <s v="-"/>
    <s v="-"/>
    <n v="5"/>
    <n v="6"/>
    <s v="-"/>
    <n v="1"/>
    <n v="1"/>
    <n v="2"/>
    <n v="2"/>
    <n v="7"/>
    <n v="8"/>
  </r>
  <r>
    <x v="0"/>
    <x v="19"/>
    <d v="2026-01-21T00:00:00"/>
    <s v="2ND"/>
    <d v="1899-12-30T20:00:00"/>
    <n v="1"/>
    <x v="22"/>
    <n v="4.5999999999999999E-3"/>
    <s v="P"/>
    <s v="P"/>
    <s v="P"/>
    <s v="-"/>
    <s v="-"/>
    <n v="11"/>
    <s v="-"/>
    <s v="-"/>
    <s v="-"/>
    <s v="-"/>
    <s v="-"/>
    <s v="-"/>
    <s v="-"/>
    <s v="-"/>
    <s v="P"/>
    <s v="P"/>
    <s v="-"/>
    <n v="2"/>
    <n v="1"/>
    <n v="2"/>
    <n v="1"/>
    <s v="-"/>
    <s v="-"/>
    <s v="-"/>
    <s v="-"/>
    <s v="-"/>
    <s v="-"/>
    <s v="-"/>
    <n v="6"/>
    <n v="6"/>
    <s v="-"/>
    <n v="1"/>
    <n v="1"/>
    <n v="2"/>
    <n v="2"/>
    <n v="8"/>
    <n v="8"/>
  </r>
  <r>
    <x v="0"/>
    <x v="19"/>
    <d v="2026-01-21T00:00:00"/>
    <s v="2ND"/>
    <d v="1899-12-30T21:00:00"/>
    <n v="1"/>
    <x v="22"/>
    <n v="2.8E-3"/>
    <s v="P"/>
    <s v="P"/>
    <s v="P"/>
    <s v="-"/>
    <s v="-"/>
    <n v="10.93"/>
    <s v="-"/>
    <s v="-"/>
    <s v="-"/>
    <s v="-"/>
    <s v="-"/>
    <s v="-"/>
    <s v="-"/>
    <s v="-"/>
    <s v="P"/>
    <s v="P"/>
    <s v="-"/>
    <n v="2"/>
    <n v="1"/>
    <n v="2"/>
    <n v="0"/>
    <s v="-"/>
    <s v="-"/>
    <s v="-"/>
    <s v="-"/>
    <s v="-"/>
    <s v="-"/>
    <s v="-"/>
    <n v="5"/>
    <n v="6"/>
    <s v="-"/>
    <n v="1"/>
    <n v="1"/>
    <n v="2"/>
    <n v="2"/>
    <n v="7"/>
    <n v="8"/>
  </r>
  <r>
    <x v="0"/>
    <x v="19"/>
    <d v="2026-01-21T00:00:00"/>
    <s v="3RD"/>
    <d v="1899-12-30T22:00:00"/>
    <n v="3"/>
    <x v="22"/>
    <n v="8.5000000000000006E-3"/>
    <s v="P"/>
    <s v="P"/>
    <s v="P"/>
    <s v="-"/>
    <s v="-"/>
    <n v="10.75"/>
    <n v="8.66"/>
    <n v="0.44"/>
    <s v="-"/>
    <s v="-"/>
    <s v="-"/>
    <n v="23.36"/>
    <s v="-"/>
    <n v="25.18"/>
    <s v="P"/>
    <s v="P"/>
    <s v="-"/>
    <n v="2"/>
    <n v="1"/>
    <n v="2"/>
    <n v="0"/>
    <n v="1"/>
    <n v="0"/>
    <s v="-"/>
    <s v="-"/>
    <s v="-"/>
    <n v="2"/>
    <s v="-"/>
    <n v="8"/>
    <n v="11"/>
    <n v="1"/>
    <n v="1"/>
    <n v="1"/>
    <n v="3"/>
    <n v="3"/>
    <n v="11"/>
    <n v="14"/>
  </r>
  <r>
    <x v="0"/>
    <x v="19"/>
    <d v="2026-01-21T00:00:00"/>
    <s v="3RD"/>
    <d v="1899-12-30T23:00:00"/>
    <n v="3"/>
    <x v="22"/>
    <n v="8.8999999999999999E-3"/>
    <s v="P"/>
    <s v="P"/>
    <s v="P"/>
    <s v="-"/>
    <s v="-"/>
    <n v="10.95"/>
    <s v="-"/>
    <s v="-"/>
    <s v="-"/>
    <s v="-"/>
    <s v="-"/>
    <s v="-"/>
    <s v="-"/>
    <s v="-"/>
    <s v="P"/>
    <s v="P"/>
    <s v="-"/>
    <n v="2"/>
    <n v="1"/>
    <n v="2"/>
    <n v="0"/>
    <s v="-"/>
    <s v="-"/>
    <s v="-"/>
    <s v="-"/>
    <s v="-"/>
    <s v="-"/>
    <s v="-"/>
    <n v="5"/>
    <n v="6"/>
    <s v="-"/>
    <n v="1"/>
    <n v="1"/>
    <n v="2"/>
    <n v="2"/>
    <n v="7"/>
    <n v="8"/>
  </r>
  <r>
    <x v="0"/>
    <x v="19"/>
    <d v="2026-01-21T00:00:00"/>
    <s v="3RD"/>
    <d v="1899-12-30T00:00:00"/>
    <n v="3"/>
    <x v="22"/>
    <n v="7.1999999999999998E-3"/>
    <s v="P"/>
    <s v="P"/>
    <s v="P"/>
    <s v="-"/>
    <s v="-"/>
    <n v="10.86"/>
    <s v="-"/>
    <s v="-"/>
    <s v="-"/>
    <s v="-"/>
    <s v="-"/>
    <s v="-"/>
    <s v="-"/>
    <s v="-"/>
    <s v="P"/>
    <s v="P"/>
    <s v="-"/>
    <n v="2"/>
    <n v="1"/>
    <n v="2"/>
    <n v="0"/>
    <s v="-"/>
    <s v="-"/>
    <s v="-"/>
    <s v="-"/>
    <s v="-"/>
    <s v="-"/>
    <s v="-"/>
    <n v="5"/>
    <n v="6"/>
    <s v="-"/>
    <n v="1"/>
    <n v="1"/>
    <n v="2"/>
    <n v="2"/>
    <n v="7"/>
    <n v="8"/>
  </r>
  <r>
    <x v="0"/>
    <x v="19"/>
    <d v="2026-01-21T00:00:00"/>
    <s v="3RD"/>
    <d v="1899-12-30T01:00:00"/>
    <n v="3"/>
    <x v="22"/>
    <n v="7.7999999999999996E-3"/>
    <s v="P"/>
    <s v="P"/>
    <s v="P"/>
    <s v="-"/>
    <s v="-"/>
    <n v="10.81"/>
    <s v="-"/>
    <s v="-"/>
    <s v="-"/>
    <s v="-"/>
    <s v="-"/>
    <s v="-"/>
    <s v="-"/>
    <s v="-"/>
    <s v="P"/>
    <s v="P"/>
    <s v="-"/>
    <n v="2"/>
    <n v="1"/>
    <n v="2"/>
    <n v="0"/>
    <s v="-"/>
    <s v="-"/>
    <s v="-"/>
    <s v="-"/>
    <s v="-"/>
    <s v="-"/>
    <s v="-"/>
    <n v="5"/>
    <n v="6"/>
    <s v="-"/>
    <n v="1"/>
    <n v="1"/>
    <n v="2"/>
    <n v="2"/>
    <n v="7"/>
    <n v="8"/>
  </r>
  <r>
    <x v="0"/>
    <x v="19"/>
    <d v="2026-01-21T00:00:00"/>
    <s v="3RD"/>
    <d v="1899-12-30T02:00:00"/>
    <n v="3"/>
    <x v="22"/>
    <n v="9.2999999999999992E-3"/>
    <s v="P"/>
    <s v="P"/>
    <s v="P"/>
    <s v="-"/>
    <s v="-"/>
    <n v="10.73"/>
    <s v="-"/>
    <s v="-"/>
    <s v="-"/>
    <s v="-"/>
    <s v="-"/>
    <s v="-"/>
    <s v="-"/>
    <s v="-"/>
    <s v="P"/>
    <s v="P"/>
    <s v="-"/>
    <n v="2"/>
    <n v="1"/>
    <n v="2"/>
    <n v="0"/>
    <s v="-"/>
    <s v="-"/>
    <s v="-"/>
    <s v="-"/>
    <s v="-"/>
    <s v="-"/>
    <s v="-"/>
    <n v="5"/>
    <n v="6"/>
    <s v="-"/>
    <n v="1"/>
    <n v="1"/>
    <n v="2"/>
    <n v="2"/>
    <n v="7"/>
    <n v="8"/>
  </r>
  <r>
    <x v="0"/>
    <x v="19"/>
    <d v="2026-01-23T00:00:00"/>
    <s v="3RD"/>
    <d v="1899-12-30T03:00:00"/>
    <n v="3"/>
    <x v="22"/>
    <n v="1.3299999999999999E-2"/>
    <s v="P"/>
    <s v="P"/>
    <s v="P"/>
    <s v="-"/>
    <s v="-"/>
    <n v="10.94"/>
    <n v="8.59"/>
    <n v="0.52"/>
    <n v="55.4"/>
    <s v="-"/>
    <s v="-"/>
    <n v="23.21"/>
    <s v="-"/>
    <s v="-"/>
    <s v="P"/>
    <s v="P"/>
    <s v="-"/>
    <n v="2"/>
    <n v="1"/>
    <n v="2"/>
    <n v="0"/>
    <n v="1"/>
    <n v="2"/>
    <n v="2"/>
    <s v="-"/>
    <s v="-"/>
    <n v="2"/>
    <s v="-"/>
    <n v="12"/>
    <n v="13"/>
    <s v="-"/>
    <n v="1"/>
    <n v="1"/>
    <n v="2"/>
    <n v="2"/>
    <n v="14"/>
    <n v="15"/>
  </r>
  <r>
    <x v="0"/>
    <x v="19"/>
    <d v="2026-01-23T00:00:00"/>
    <s v="3RD"/>
    <d v="1899-12-30T04:00:00"/>
    <n v="3"/>
    <x v="22"/>
    <n v="1.37E-2"/>
    <s v="P"/>
    <s v="P"/>
    <s v="P"/>
    <s v="-"/>
    <s v="-"/>
    <n v="11.22"/>
    <s v="-"/>
    <s v="-"/>
    <s v="-"/>
    <s v="-"/>
    <s v="-"/>
    <s v="-"/>
    <s v="-"/>
    <s v="-"/>
    <s v="P"/>
    <s v="P"/>
    <s v="-"/>
    <n v="2"/>
    <n v="1"/>
    <n v="2"/>
    <n v="1"/>
    <s v="-"/>
    <s v="-"/>
    <s v="-"/>
    <s v="-"/>
    <s v="-"/>
    <s v="-"/>
    <s v="-"/>
    <n v="6"/>
    <n v="6"/>
    <s v="-"/>
    <n v="1"/>
    <n v="1"/>
    <n v="2"/>
    <n v="2"/>
    <n v="8"/>
    <n v="8"/>
  </r>
  <r>
    <x v="0"/>
    <x v="20"/>
    <d v="1899-12-30T00:00:00"/>
    <s v="2ND"/>
    <d v="1899-12-30T14:00:00"/>
    <n v="1"/>
    <x v="33"/>
    <s v="-"/>
    <s v="-"/>
    <s v="-"/>
    <s v="-"/>
    <s v="-"/>
    <s v="-"/>
    <s v="-"/>
    <s v="-"/>
    <s v="-"/>
    <s v="-"/>
    <s v="-"/>
    <s v="-"/>
    <s v="-"/>
    <s v="-"/>
    <s v="-"/>
    <s v="-"/>
    <s v="-"/>
    <s v="-"/>
    <s v="-"/>
    <s v="-"/>
    <s v="-"/>
    <s v="-"/>
    <s v="-"/>
    <s v="-"/>
    <s v="-"/>
    <s v="-"/>
    <s v="-"/>
    <s v="-"/>
    <s v="-"/>
    <n v="0"/>
    <n v="0"/>
    <s v="-"/>
    <s v="-"/>
    <s v="-"/>
    <n v="0"/>
    <n v="0"/>
    <n v="0"/>
    <n v="0"/>
  </r>
  <r>
    <x v="0"/>
    <x v="20"/>
    <d v="1899-12-30T00:00:00"/>
    <s v="2ND"/>
    <d v="1899-12-30T15:00:00"/>
    <n v="1"/>
    <x v="33"/>
    <s v="-"/>
    <s v="-"/>
    <s v="-"/>
    <s v="-"/>
    <s v="-"/>
    <s v="-"/>
    <s v="-"/>
    <s v="-"/>
    <s v="-"/>
    <s v="-"/>
    <s v="-"/>
    <s v="-"/>
    <s v="-"/>
    <s v="-"/>
    <s v="-"/>
    <s v="-"/>
    <s v="-"/>
    <s v="-"/>
    <s v="-"/>
    <s v="-"/>
    <s v="-"/>
    <s v="-"/>
    <s v="-"/>
    <s v="-"/>
    <s v="-"/>
    <s v="-"/>
    <s v="-"/>
    <s v="-"/>
    <s v="-"/>
    <n v="0"/>
    <n v="0"/>
    <s v="-"/>
    <s v="-"/>
    <s v="-"/>
    <n v="0"/>
    <n v="0"/>
    <n v="0"/>
    <n v="0"/>
  </r>
  <r>
    <x v="0"/>
    <x v="20"/>
    <d v="1899-12-30T00:00:00"/>
    <s v="2ND"/>
    <d v="1899-12-30T16:00:00"/>
    <n v="1"/>
    <x v="33"/>
    <s v="-"/>
    <s v="-"/>
    <s v="-"/>
    <s v="-"/>
    <s v="-"/>
    <s v="-"/>
    <s v="-"/>
    <s v="-"/>
    <s v="-"/>
    <s v="-"/>
    <s v="-"/>
    <s v="-"/>
    <s v="-"/>
    <s v="-"/>
    <s v="-"/>
    <s v="-"/>
    <s v="-"/>
    <s v="-"/>
    <s v="-"/>
    <s v="-"/>
    <s v="-"/>
    <s v="-"/>
    <s v="-"/>
    <s v="-"/>
    <s v="-"/>
    <s v="-"/>
    <s v="-"/>
    <s v="-"/>
    <s v="-"/>
    <n v="0"/>
    <n v="0"/>
    <s v="-"/>
    <s v="-"/>
    <s v="-"/>
    <n v="0"/>
    <n v="0"/>
    <n v="0"/>
    <n v="0"/>
  </r>
  <r>
    <x v="0"/>
    <x v="20"/>
    <d v="1899-12-30T00:00:00"/>
    <s v="2ND"/>
    <d v="1899-12-30T17:00:00"/>
    <n v="1"/>
    <x v="33"/>
    <s v="-"/>
    <s v="-"/>
    <s v="-"/>
    <s v="-"/>
    <s v="-"/>
    <s v="-"/>
    <s v="-"/>
    <s v="-"/>
    <s v="-"/>
    <s v="-"/>
    <s v="-"/>
    <s v="-"/>
    <s v="-"/>
    <s v="-"/>
    <s v="-"/>
    <s v="-"/>
    <s v="-"/>
    <s v="-"/>
    <s v="-"/>
    <s v="-"/>
    <s v="-"/>
    <s v="-"/>
    <s v="-"/>
    <s v="-"/>
    <s v="-"/>
    <s v="-"/>
    <s v="-"/>
    <s v="-"/>
    <s v="-"/>
    <n v="0"/>
    <n v="0"/>
    <s v="-"/>
    <s v="-"/>
    <s v="-"/>
    <n v="0"/>
    <n v="0"/>
    <n v="0"/>
    <n v="0"/>
  </r>
  <r>
    <x v="0"/>
    <x v="20"/>
    <d v="1899-12-30T00:00:00"/>
    <s v="2ND"/>
    <d v="1899-12-30T18:00:00"/>
    <n v="1"/>
    <x v="33"/>
    <s v="-"/>
    <s v="-"/>
    <s v="-"/>
    <s v="-"/>
    <s v="-"/>
    <s v="-"/>
    <s v="-"/>
    <s v="-"/>
    <s v="-"/>
    <s v="-"/>
    <s v="-"/>
    <s v="-"/>
    <s v="-"/>
    <s v="-"/>
    <s v="-"/>
    <s v="-"/>
    <s v="-"/>
    <s v="-"/>
    <s v="-"/>
    <s v="-"/>
    <s v="-"/>
    <s v="-"/>
    <s v="-"/>
    <s v="-"/>
    <s v="-"/>
    <s v="-"/>
    <s v="-"/>
    <s v="-"/>
    <s v="-"/>
    <n v="0"/>
    <n v="0"/>
    <s v="-"/>
    <s v="-"/>
    <s v="-"/>
    <n v="0"/>
    <n v="0"/>
    <n v="0"/>
    <n v="0"/>
  </r>
  <r>
    <x v="0"/>
    <x v="20"/>
    <d v="1899-12-30T00:00:00"/>
    <s v="2ND"/>
    <d v="1899-12-30T19:00:00"/>
    <n v="1"/>
    <x v="33"/>
    <s v="-"/>
    <s v="-"/>
    <s v="-"/>
    <s v="-"/>
    <s v="-"/>
    <s v="-"/>
    <s v="-"/>
    <s v="-"/>
    <s v="-"/>
    <s v="-"/>
    <s v="-"/>
    <s v="-"/>
    <s v="-"/>
    <s v="-"/>
    <s v="-"/>
    <s v="-"/>
    <s v="-"/>
    <s v="-"/>
    <s v="-"/>
    <s v="-"/>
    <s v="-"/>
    <s v="-"/>
    <s v="-"/>
    <s v="-"/>
    <s v="-"/>
    <s v="-"/>
    <s v="-"/>
    <s v="-"/>
    <s v="-"/>
    <n v="0"/>
    <n v="0"/>
    <s v="-"/>
    <s v="-"/>
    <s v="-"/>
    <n v="0"/>
    <n v="0"/>
    <n v="0"/>
    <n v="0"/>
  </r>
  <r>
    <x v="0"/>
    <x v="20"/>
    <d v="1899-12-30T00:00:00"/>
    <s v="2ND"/>
    <d v="1899-12-30T20:00:00"/>
    <n v="1"/>
    <x v="33"/>
    <s v="-"/>
    <s v="-"/>
    <s v="-"/>
    <s v="-"/>
    <s v="-"/>
    <s v="-"/>
    <s v="-"/>
    <s v="-"/>
    <s v="-"/>
    <s v="-"/>
    <s v="-"/>
    <s v="-"/>
    <s v="-"/>
    <s v="-"/>
    <s v="-"/>
    <s v="-"/>
    <s v="-"/>
    <s v="-"/>
    <s v="-"/>
    <s v="-"/>
    <s v="-"/>
    <s v="-"/>
    <s v="-"/>
    <s v="-"/>
    <s v="-"/>
    <s v="-"/>
    <s v="-"/>
    <s v="-"/>
    <s v="-"/>
    <n v="0"/>
    <n v="0"/>
    <s v="-"/>
    <s v="-"/>
    <s v="-"/>
    <n v="0"/>
    <n v="0"/>
    <n v="0"/>
    <n v="0"/>
  </r>
  <r>
    <x v="0"/>
    <x v="20"/>
    <d v="1899-12-30T00:00:00"/>
    <s v="2ND"/>
    <d v="1899-12-30T21:00:00"/>
    <n v="1"/>
    <x v="33"/>
    <s v="-"/>
    <s v="-"/>
    <s v="-"/>
    <s v="-"/>
    <s v="-"/>
    <s v="-"/>
    <s v="-"/>
    <s v="-"/>
    <s v="-"/>
    <s v="-"/>
    <s v="-"/>
    <s v="-"/>
    <s v="-"/>
    <s v="-"/>
    <s v="-"/>
    <s v="-"/>
    <s v="-"/>
    <s v="-"/>
    <s v="-"/>
    <s v="-"/>
    <s v="-"/>
    <s v="-"/>
    <s v="-"/>
    <s v="-"/>
    <s v="-"/>
    <s v="-"/>
    <s v="-"/>
    <s v="-"/>
    <s v="-"/>
    <n v="0"/>
    <n v="0"/>
    <s v="-"/>
    <s v="-"/>
    <s v="-"/>
    <n v="0"/>
    <n v="0"/>
    <n v="0"/>
    <n v="0"/>
  </r>
  <r>
    <x v="0"/>
    <x v="20"/>
    <d v="2026-01-23T00:00:00"/>
    <s v="2ND"/>
    <d v="1899-12-30T20:00:00"/>
    <n v="3"/>
    <x v="34"/>
    <n v="9.1000000000000004E-3"/>
    <s v="P"/>
    <s v="P"/>
    <s v="P"/>
    <s v="+"/>
    <s v="+"/>
    <n v="12.52"/>
    <s v="-"/>
    <s v="-"/>
    <s v="-"/>
    <s v="-"/>
    <s v="-"/>
    <s v="-"/>
    <s v="-"/>
    <s v="-"/>
    <s v="P"/>
    <s v="P"/>
    <s v="-"/>
    <n v="2"/>
    <n v="1"/>
    <n v="2"/>
    <n v="1"/>
    <s v="-"/>
    <s v="-"/>
    <s v="-"/>
    <s v="-"/>
    <s v="-"/>
    <s v="-"/>
    <s v="-"/>
    <n v="6"/>
    <n v="6"/>
    <s v="-"/>
    <n v="1"/>
    <n v="1"/>
    <n v="2"/>
    <n v="2"/>
    <n v="8"/>
    <n v="8"/>
  </r>
  <r>
    <x v="0"/>
    <x v="20"/>
    <d v="2026-01-23T00:00:00"/>
    <s v="2ND"/>
    <d v="1899-12-30T21:00:00"/>
    <n v="3"/>
    <x v="6"/>
    <n v="1.15E-2"/>
    <s v="P"/>
    <s v="P"/>
    <s v="P"/>
    <s v="+"/>
    <s v="+"/>
    <n v="12.96"/>
    <s v="-"/>
    <s v="-"/>
    <s v="-"/>
    <s v="-"/>
    <s v="-"/>
    <s v="-"/>
    <s v="-"/>
    <s v="-"/>
    <s v="P"/>
    <s v="P"/>
    <s v="-"/>
    <n v="2"/>
    <n v="1"/>
    <n v="2"/>
    <n v="1"/>
    <s v="-"/>
    <s v="-"/>
    <s v="-"/>
    <s v="-"/>
    <s v="-"/>
    <s v="-"/>
    <s v="-"/>
    <n v="6"/>
    <n v="6"/>
    <s v="-"/>
    <n v="1"/>
    <n v="1"/>
    <n v="2"/>
    <n v="2"/>
    <n v="8"/>
    <n v="8"/>
  </r>
  <r>
    <x v="0"/>
    <x v="20"/>
    <d v="2026-01-23T00:00:00"/>
    <s v="3RD"/>
    <d v="1899-12-30T22:00:00"/>
    <n v="3"/>
    <x v="6"/>
    <n v="7.7000000000000002E-3"/>
    <s v="P"/>
    <s v="P"/>
    <s v="P"/>
    <s v="+"/>
    <s v="+"/>
    <n v="12.76"/>
    <n v="12.93"/>
    <n v="0.48"/>
    <s v="-"/>
    <s v="-"/>
    <s v="-"/>
    <n v="36.200000000000003"/>
    <s v="-"/>
    <s v="-"/>
    <s v="P"/>
    <s v="P"/>
    <s v="70% 10% 20%"/>
    <n v="2"/>
    <n v="1"/>
    <n v="2"/>
    <n v="1"/>
    <n v="1"/>
    <n v="2"/>
    <s v="-"/>
    <s v="-"/>
    <s v="-"/>
    <n v="2"/>
    <s v="-"/>
    <n v="11"/>
    <n v="11"/>
    <s v="-"/>
    <n v="1"/>
    <n v="1"/>
    <n v="2"/>
    <n v="2"/>
    <n v="13"/>
    <n v="13"/>
  </r>
  <r>
    <x v="0"/>
    <x v="20"/>
    <d v="2026-01-23T00:00:00"/>
    <s v="3RD"/>
    <d v="1899-12-30T23:00:00"/>
    <n v="3"/>
    <x v="6"/>
    <n v="1.6899999999999998E-2"/>
    <s v="P"/>
    <s v="P"/>
    <s v="P"/>
    <s v="+"/>
    <s v="+"/>
    <n v="12.48"/>
    <s v="-"/>
    <s v="-"/>
    <s v="-"/>
    <s v="-"/>
    <s v="-"/>
    <s v="-"/>
    <s v="-"/>
    <n v="25.18"/>
    <s v="P"/>
    <s v="P"/>
    <s v="-"/>
    <n v="2"/>
    <n v="1"/>
    <n v="2"/>
    <n v="1"/>
    <s v="-"/>
    <s v="-"/>
    <s v="-"/>
    <s v="-"/>
    <s v="-"/>
    <s v="-"/>
    <s v="-"/>
    <n v="6"/>
    <n v="6"/>
    <n v="1"/>
    <n v="1"/>
    <n v="1"/>
    <n v="3"/>
    <n v="3"/>
    <n v="9"/>
    <n v="9"/>
  </r>
  <r>
    <x v="0"/>
    <x v="20"/>
    <d v="2026-01-23T00:00:00"/>
    <s v="3RD"/>
    <d v="1899-12-31T00:00:00"/>
    <n v="3"/>
    <x v="6"/>
    <n v="1.54E-2"/>
    <s v="P"/>
    <s v="P"/>
    <s v="P"/>
    <s v="+"/>
    <s v="+"/>
    <n v="12.5"/>
    <s v="-"/>
    <s v="-"/>
    <s v="-"/>
    <s v="-"/>
    <s v="-"/>
    <s v="-"/>
    <s v="-"/>
    <s v="-"/>
    <s v="P"/>
    <s v="P"/>
    <s v="-"/>
    <n v="2"/>
    <n v="1"/>
    <n v="2"/>
    <n v="1"/>
    <s v="-"/>
    <s v="-"/>
    <s v="-"/>
    <s v="-"/>
    <s v="-"/>
    <s v="-"/>
    <s v="-"/>
    <n v="6"/>
    <n v="6"/>
    <s v="-"/>
    <n v="1"/>
    <n v="1"/>
    <n v="2"/>
    <n v="2"/>
    <n v="8"/>
    <n v="8"/>
  </r>
  <r>
    <x v="0"/>
    <x v="20"/>
    <d v="2026-01-23T00:00:00"/>
    <s v="3RD"/>
    <d v="1899-12-31T01:00:00"/>
    <n v="3"/>
    <x v="6"/>
    <n v="8.8999999999999999E-3"/>
    <s v="P"/>
    <s v="P"/>
    <s v="P"/>
    <s v="+"/>
    <s v="+"/>
    <n v="11.49"/>
    <s v="-"/>
    <s v="-"/>
    <s v="-"/>
    <s v="-"/>
    <s v="-"/>
    <s v="-"/>
    <s v="-"/>
    <s v="-"/>
    <s v="P"/>
    <s v="P"/>
    <s v="-"/>
    <n v="2"/>
    <n v="1"/>
    <n v="2"/>
    <n v="0"/>
    <s v="-"/>
    <s v="-"/>
    <s v="-"/>
    <s v="-"/>
    <s v="-"/>
    <s v="-"/>
    <s v="-"/>
    <n v="5"/>
    <n v="6"/>
    <s v="-"/>
    <n v="1"/>
    <n v="1"/>
    <n v="2"/>
    <n v="2"/>
    <n v="7"/>
    <n v="8"/>
  </r>
  <r>
    <x v="0"/>
    <x v="20"/>
    <d v="2026-01-23T00:00:00"/>
    <s v="3RD"/>
    <d v="1899-12-31T02:00:00"/>
    <n v="3"/>
    <x v="6"/>
    <n v="9.9000000000000008E-3"/>
    <s v="P"/>
    <s v="P"/>
    <s v="P"/>
    <s v="+"/>
    <s v="+"/>
    <n v="12.51"/>
    <s v="-"/>
    <s v="-"/>
    <s v="-"/>
    <s v="-"/>
    <s v="-"/>
    <s v="-"/>
    <s v="-"/>
    <s v="-"/>
    <s v="P"/>
    <s v="P"/>
    <s v="-"/>
    <n v="2"/>
    <n v="1"/>
    <n v="2"/>
    <n v="1"/>
    <s v="-"/>
    <s v="-"/>
    <s v="-"/>
    <s v="-"/>
    <s v="-"/>
    <s v="-"/>
    <s v="-"/>
    <n v="6"/>
    <n v="6"/>
    <s v="-"/>
    <n v="1"/>
    <n v="1"/>
    <n v="2"/>
    <n v="2"/>
    <n v="8"/>
    <n v="8"/>
  </r>
  <r>
    <x v="0"/>
    <x v="20"/>
    <d v="2026-01-26T00:00:00"/>
    <s v="1ST"/>
    <d v="1899-12-30T09:00:00"/>
    <n v="3"/>
    <x v="12"/>
    <n v="8.3999999999999995E-3"/>
    <s v="P"/>
    <s v="P"/>
    <s v="P"/>
    <s v="+"/>
    <s v="+"/>
    <n v="12.39"/>
    <n v="13.22"/>
    <n v="0.47"/>
    <n v="63.9"/>
    <n v="12.2"/>
    <n v="643"/>
    <n v="37"/>
    <s v="-"/>
    <s v="-"/>
    <s v="P"/>
    <s v="P"/>
    <s v="-"/>
    <n v="2"/>
    <n v="1"/>
    <n v="2"/>
    <n v="1"/>
    <s v="-"/>
    <n v="2"/>
    <n v="0"/>
    <s v="-"/>
    <s v="-"/>
    <n v="2"/>
    <s v="-"/>
    <n v="10"/>
    <n v="12"/>
    <s v="-"/>
    <n v="1"/>
    <n v="1"/>
    <n v="2"/>
    <n v="2"/>
    <n v="12"/>
    <n v="14"/>
  </r>
  <r>
    <x v="0"/>
    <x v="20"/>
    <d v="2026-01-23T00:00:00"/>
    <s v="2ND"/>
    <d v="1899-12-30T19:00:00"/>
    <n v="3"/>
    <x v="30"/>
    <n v="9.4999999999999998E-3"/>
    <s v="P"/>
    <s v="P"/>
    <s v="P"/>
    <s v="+"/>
    <s v="+"/>
    <n v="12.3"/>
    <n v="12.72"/>
    <n v="0.46"/>
    <n v="64.7"/>
    <n v="12.2"/>
    <n v="1000"/>
    <n v="35.6"/>
    <s v="-"/>
    <s v="-"/>
    <s v="P"/>
    <s v="P"/>
    <s v="70% 10% 20%"/>
    <n v="2"/>
    <n v="1"/>
    <n v="2"/>
    <n v="1"/>
    <n v="1"/>
    <n v="2"/>
    <n v="2"/>
    <n v="1"/>
    <n v="0"/>
    <n v="2"/>
    <s v="-"/>
    <n v="14"/>
    <n v="15"/>
    <s v="-"/>
    <n v="1"/>
    <n v="1"/>
    <n v="2"/>
    <n v="2"/>
    <n v="16"/>
    <n v="17"/>
  </r>
  <r>
    <x v="0"/>
    <x v="20"/>
    <d v="2026-01-27T00:00:00"/>
    <s v="3RD"/>
    <d v="1899-12-31T04:00:00"/>
    <n v="3"/>
    <x v="8"/>
    <s v="-"/>
    <s v="P"/>
    <s v="P"/>
    <s v="P"/>
    <s v="+"/>
    <s v="+"/>
    <n v="12.7"/>
    <n v="13.02"/>
    <n v="0.5"/>
    <n v="64.599999999999994"/>
    <s v="-"/>
    <s v="-"/>
    <n v="36.299999999999997"/>
    <s v="-"/>
    <s v="-"/>
    <s v="P"/>
    <s v="P"/>
    <n v="1"/>
    <s v="-"/>
    <n v="1"/>
    <n v="2"/>
    <n v="1"/>
    <n v="1"/>
    <n v="2"/>
    <n v="2"/>
    <s v="-"/>
    <s v="-"/>
    <s v="-"/>
    <s v="-"/>
    <n v="9"/>
    <n v="9"/>
    <s v="-"/>
    <n v="1"/>
    <n v="1"/>
    <n v="2"/>
    <n v="2"/>
    <n v="11"/>
    <n v="11"/>
  </r>
  <r>
    <x v="0"/>
    <x v="20"/>
    <d v="2026-01-23T00:00:00"/>
    <s v="1ST"/>
    <d v="1899-12-30T06:00:00"/>
    <n v="3"/>
    <x v="1"/>
    <n v="5.0000000000000001E-3"/>
    <s v="P"/>
    <s v="P"/>
    <s v="P"/>
    <s v="+"/>
    <s v="+"/>
    <n v="12.37"/>
    <n v="13.02"/>
    <n v="0.56000000000000005"/>
    <n v="64.7"/>
    <s v="-"/>
    <s v="-"/>
    <n v="36.6"/>
    <s v="-"/>
    <s v="-"/>
    <s v="P"/>
    <s v="P"/>
    <s v="-"/>
    <n v="2"/>
    <n v="1"/>
    <n v="2"/>
    <n v="1"/>
    <n v="1"/>
    <n v="2"/>
    <n v="2"/>
    <s v="-"/>
    <s v="-"/>
    <n v="2"/>
    <s v="-"/>
    <n v="13"/>
    <n v="13"/>
    <s v="-"/>
    <n v="1"/>
    <n v="1"/>
    <n v="2"/>
    <n v="2"/>
    <n v="15"/>
    <n v="15"/>
  </r>
  <r>
    <x v="0"/>
    <x v="20"/>
    <d v="2026-01-23T00:00:00"/>
    <s v="1ST"/>
    <d v="1899-12-30T07:00:00"/>
    <n v="3"/>
    <x v="1"/>
    <n v="4.7999999999999996E-3"/>
    <s v="P"/>
    <s v="P"/>
    <s v="P"/>
    <s v="+"/>
    <s v="+"/>
    <n v="12.05"/>
    <s v="-"/>
    <s v="-"/>
    <s v="-"/>
    <s v="-"/>
    <s v="-"/>
    <s v="-"/>
    <s v="-"/>
    <s v="-"/>
    <s v="P"/>
    <s v="P"/>
    <s v="-"/>
    <n v="2"/>
    <n v="1"/>
    <n v="2"/>
    <n v="1"/>
    <s v="-"/>
    <s v="-"/>
    <s v="-"/>
    <s v="-"/>
    <s v="-"/>
    <s v="-"/>
    <s v="-"/>
    <n v="6"/>
    <n v="6"/>
    <s v="-"/>
    <n v="1"/>
    <n v="1"/>
    <n v="2"/>
    <n v="2"/>
    <n v="8"/>
    <n v="8"/>
  </r>
  <r>
    <x v="0"/>
    <x v="20"/>
    <d v="1899-12-30T00:00:00"/>
    <s v="2ND"/>
    <d v="1899-12-30T14:00:00"/>
    <n v="3"/>
    <x v="1"/>
    <s v="-"/>
    <s v="-"/>
    <s v="-"/>
    <s v="-"/>
    <s v="-"/>
    <s v="-"/>
    <s v="-"/>
    <s v="-"/>
    <s v="-"/>
    <s v="-"/>
    <s v="-"/>
    <s v="-"/>
    <s v="-"/>
    <s v="-"/>
    <s v="-"/>
    <s v="-"/>
    <s v="-"/>
    <s v="-"/>
    <s v="-"/>
    <s v="-"/>
    <s v="-"/>
    <s v="-"/>
    <s v="-"/>
    <s v="-"/>
    <s v="-"/>
    <s v="-"/>
    <s v="-"/>
    <s v="-"/>
    <s v="-"/>
    <n v="0"/>
    <n v="0"/>
    <s v="-"/>
    <s v="-"/>
    <s v="-"/>
    <n v="0"/>
    <n v="0"/>
    <n v="0"/>
    <n v="0"/>
  </r>
  <r>
    <x v="0"/>
    <x v="20"/>
    <d v="2026-01-23T00:00:00"/>
    <s v="2ND"/>
    <d v="1899-12-30T15:00:00"/>
    <n v="3"/>
    <x v="1"/>
    <s v="-"/>
    <s v="P"/>
    <s v="P"/>
    <s v="P"/>
    <s v="+"/>
    <s v="+"/>
    <s v="-"/>
    <s v="-"/>
    <s v="-"/>
    <s v="-"/>
    <s v="-"/>
    <s v="-"/>
    <s v="-"/>
    <s v="-"/>
    <s v="-"/>
    <s v="P"/>
    <s v="P"/>
    <s v="-"/>
    <s v="-"/>
    <n v="1"/>
    <n v="2"/>
    <s v="-"/>
    <s v="-"/>
    <s v="-"/>
    <s v="-"/>
    <s v="-"/>
    <s v="-"/>
    <s v="-"/>
    <s v="-"/>
    <n v="3"/>
    <n v="3"/>
    <s v="-"/>
    <n v="1"/>
    <n v="1"/>
    <n v="2"/>
    <n v="2"/>
    <n v="5"/>
    <n v="5"/>
  </r>
  <r>
    <x v="0"/>
    <x v="20"/>
    <d v="2026-01-23T00:00:00"/>
    <s v="2ND"/>
    <d v="1899-12-30T16:00:00"/>
    <n v="3"/>
    <x v="1"/>
    <s v="-"/>
    <s v="P"/>
    <s v="P"/>
    <s v="P"/>
    <s v="+"/>
    <s v="+"/>
    <s v="-"/>
    <s v="-"/>
    <s v="-"/>
    <s v="-"/>
    <s v="-"/>
    <s v="-"/>
    <s v="-"/>
    <s v="-"/>
    <s v="-"/>
    <s v="P"/>
    <s v="P"/>
    <s v="-"/>
    <s v="-"/>
    <n v="1"/>
    <n v="2"/>
    <s v="-"/>
    <s v="-"/>
    <s v="-"/>
    <s v="-"/>
    <s v="-"/>
    <s v="-"/>
    <s v="-"/>
    <s v="-"/>
    <n v="3"/>
    <n v="3"/>
    <s v="-"/>
    <n v="1"/>
    <n v="1"/>
    <n v="2"/>
    <n v="2"/>
    <n v="5"/>
    <n v="5"/>
  </r>
  <r>
    <x v="0"/>
    <x v="20"/>
    <d v="2026-01-23T00:00:00"/>
    <s v="2ND"/>
    <d v="1899-12-30T17:00:00"/>
    <n v="3"/>
    <x v="1"/>
    <s v="-"/>
    <s v="P"/>
    <s v="P"/>
    <s v="P"/>
    <s v="+"/>
    <s v="+"/>
    <s v="-"/>
    <s v="-"/>
    <s v="-"/>
    <s v="-"/>
    <s v="-"/>
    <s v="-"/>
    <s v="-"/>
    <s v="-"/>
    <s v="-"/>
    <s v="P"/>
    <s v="P"/>
    <s v="-"/>
    <s v="-"/>
    <n v="1"/>
    <n v="2"/>
    <s v="-"/>
    <s v="-"/>
    <s v="-"/>
    <s v="-"/>
    <s v="-"/>
    <s v="-"/>
    <s v="-"/>
    <s v="-"/>
    <n v="3"/>
    <n v="3"/>
    <s v="-"/>
    <n v="1"/>
    <n v="1"/>
    <n v="2"/>
    <n v="2"/>
    <n v="5"/>
    <n v="5"/>
  </r>
  <r>
    <x v="0"/>
    <x v="20"/>
    <d v="2026-01-23T00:00:00"/>
    <s v="2ND"/>
    <d v="1899-12-30T18:00:00"/>
    <n v="3"/>
    <x v="1"/>
    <s v="-"/>
    <s v="P"/>
    <s v="P"/>
    <s v="P"/>
    <s v="+"/>
    <s v="+"/>
    <s v="-"/>
    <s v="-"/>
    <s v="-"/>
    <s v="-"/>
    <s v="-"/>
    <s v="-"/>
    <s v="-"/>
    <s v="-"/>
    <s v="-"/>
    <s v="P"/>
    <s v="P"/>
    <s v="-"/>
    <s v="-"/>
    <n v="1"/>
    <n v="2"/>
    <s v="-"/>
    <s v="-"/>
    <s v="-"/>
    <s v="-"/>
    <s v="-"/>
    <s v="-"/>
    <s v="-"/>
    <s v="-"/>
    <n v="3"/>
    <n v="3"/>
    <s v="-"/>
    <n v="1"/>
    <n v="1"/>
    <n v="2"/>
    <n v="2"/>
    <n v="5"/>
    <n v="5"/>
  </r>
  <r>
    <x v="0"/>
    <x v="20"/>
    <d v="2026-01-23T00:00:00"/>
    <s v="2ND"/>
    <d v="1899-12-30T19:00:00"/>
    <n v="3"/>
    <x v="1"/>
    <s v="-"/>
    <s v="P"/>
    <s v="P"/>
    <s v="P"/>
    <s v="+"/>
    <s v="+"/>
    <s v="-"/>
    <s v="-"/>
    <s v="-"/>
    <s v="-"/>
    <s v="-"/>
    <s v="-"/>
    <s v="-"/>
    <s v="-"/>
    <s v="-"/>
    <s v="P"/>
    <s v="P"/>
    <s v="-"/>
    <s v="-"/>
    <n v="1"/>
    <n v="2"/>
    <s v="-"/>
    <s v="-"/>
    <s v="-"/>
    <s v="-"/>
    <s v="-"/>
    <s v="-"/>
    <s v="-"/>
    <s v="-"/>
    <n v="3"/>
    <n v="3"/>
    <s v="-"/>
    <n v="1"/>
    <n v="1"/>
    <n v="2"/>
    <n v="2"/>
    <n v="5"/>
    <n v="5"/>
  </r>
  <r>
    <x v="0"/>
    <x v="20"/>
    <d v="2026-01-23T00:00:00"/>
    <s v="2ND"/>
    <d v="1899-12-30T20:00:00"/>
    <n v="3"/>
    <x v="1"/>
    <s v="-"/>
    <s v="P"/>
    <s v="P"/>
    <s v="P"/>
    <s v="+"/>
    <s v="+"/>
    <s v="-"/>
    <s v="-"/>
    <s v="-"/>
    <s v="-"/>
    <s v="-"/>
    <s v="-"/>
    <s v="-"/>
    <s v="-"/>
    <s v="-"/>
    <s v="P"/>
    <s v="P"/>
    <s v="-"/>
    <s v="-"/>
    <n v="1"/>
    <n v="2"/>
    <s v="-"/>
    <s v="-"/>
    <s v="-"/>
    <s v="-"/>
    <s v="-"/>
    <s v="-"/>
    <s v="-"/>
    <s v="-"/>
    <n v="3"/>
    <n v="3"/>
    <s v="-"/>
    <n v="1"/>
    <n v="1"/>
    <n v="2"/>
    <n v="2"/>
    <n v="5"/>
    <n v="5"/>
  </r>
  <r>
    <x v="0"/>
    <x v="20"/>
    <d v="2026-01-23T00:00:00"/>
    <s v="2ND"/>
    <d v="1899-12-30T21:00:00"/>
    <n v="3"/>
    <x v="1"/>
    <s v="-"/>
    <s v="P"/>
    <s v="P"/>
    <s v="P"/>
    <s v="+"/>
    <s v="+"/>
    <s v="-"/>
    <s v="-"/>
    <s v="-"/>
    <s v="-"/>
    <s v="-"/>
    <s v="-"/>
    <s v="-"/>
    <s v="-"/>
    <s v="-"/>
    <s v="P"/>
    <s v="P"/>
    <s v="-"/>
    <s v="-"/>
    <n v="1"/>
    <n v="2"/>
    <s v="-"/>
    <s v="-"/>
    <s v="-"/>
    <s v="-"/>
    <s v="-"/>
    <s v="-"/>
    <s v="-"/>
    <s v="-"/>
    <n v="3"/>
    <n v="3"/>
    <s v="-"/>
    <n v="1"/>
    <n v="1"/>
    <n v="2"/>
    <n v="2"/>
    <n v="5"/>
    <n v="5"/>
  </r>
  <r>
    <x v="0"/>
    <x v="20"/>
    <d v="2026-01-23T00:00:00"/>
    <s v="2ND"/>
    <d v="1899-12-30T15:00:00"/>
    <n v="3"/>
    <x v="1"/>
    <n v="1.61E-2"/>
    <s v="P"/>
    <s v="P"/>
    <s v="P"/>
    <s v="+"/>
    <s v="+"/>
    <n v="12.53"/>
    <n v="13.04"/>
    <n v="0.49"/>
    <n v="64.5"/>
    <s v="-"/>
    <s v="-"/>
    <n v="36.5"/>
    <s v="-"/>
    <s v="-"/>
    <s v="P"/>
    <s v="P"/>
    <s v="85% 5% 10%"/>
    <n v="2"/>
    <n v="1"/>
    <n v="2"/>
    <n v="1"/>
    <n v="1"/>
    <n v="2"/>
    <n v="2"/>
    <s v="-"/>
    <s v="-"/>
    <n v="2"/>
    <s v="-"/>
    <n v="13"/>
    <n v="13"/>
    <s v="-"/>
    <n v="1"/>
    <n v="1"/>
    <n v="2"/>
    <n v="2"/>
    <n v="15"/>
    <n v="15"/>
  </r>
  <r>
    <x v="0"/>
    <x v="20"/>
    <d v="1899-12-30T00:00:00"/>
    <s v="2ND"/>
    <d v="1899-12-30T14:00:00"/>
    <s v="Retail"/>
    <x v="13"/>
    <s v="-"/>
    <s v="-"/>
    <s v="-"/>
    <s v="-"/>
    <s v="-"/>
    <s v="-"/>
    <n v="11.75"/>
    <s v="-"/>
    <n v="4.82"/>
    <s v="-"/>
    <s v="-"/>
    <s v="-"/>
    <s v="-"/>
    <s v="-"/>
    <s v="-"/>
    <s v="-"/>
    <s v="-"/>
    <s v="-"/>
    <s v="-"/>
    <s v="-"/>
    <s v="-"/>
    <n v="1"/>
    <s v="-"/>
    <n v="2"/>
    <s v="-"/>
    <s v="-"/>
    <s v="-"/>
    <s v="-"/>
    <s v="-"/>
    <n v="3"/>
    <n v="3"/>
    <s v="-"/>
    <s v="-"/>
    <s v="-"/>
    <n v="0"/>
    <n v="0"/>
    <n v="3"/>
    <n v="3"/>
  </r>
  <r>
    <x v="0"/>
    <x v="20"/>
    <d v="1902-03-25T00:00:00"/>
    <s v="2ND"/>
    <d v="1899-12-30T18:00:00"/>
    <n v="2"/>
    <x v="28"/>
    <n v="1.0699999999999999E-2"/>
    <s v="P"/>
    <s v="P"/>
    <s v="P"/>
    <s v="-"/>
    <s v="-"/>
    <n v="12.5"/>
    <n v="11.97"/>
    <n v="0.41"/>
    <n v="64.099999999999994"/>
    <n v="21.4"/>
    <n v="619"/>
    <n v="33.4"/>
    <s v="-"/>
    <s v="-"/>
    <s v="P"/>
    <s v="P"/>
    <s v="-"/>
    <n v="2"/>
    <n v="1"/>
    <n v="2"/>
    <n v="1"/>
    <n v="0"/>
    <n v="0"/>
    <n v="2"/>
    <s v="-"/>
    <s v="-"/>
    <n v="2"/>
    <s v="-"/>
    <n v="10"/>
    <n v="13"/>
    <s v="-"/>
    <n v="1"/>
    <n v="1"/>
    <n v="2"/>
    <n v="2"/>
    <n v="12"/>
    <n v="15"/>
  </r>
  <r>
    <x v="0"/>
    <x v="20"/>
    <d v="1899-12-30T00:00:00"/>
    <s v="2ND"/>
    <d v="1899-12-30T19:00:00"/>
    <n v="2"/>
    <x v="28"/>
    <n v="6.3E-3"/>
    <s v="P"/>
    <s v="P"/>
    <s v="P"/>
    <s v="-"/>
    <s v="-"/>
    <n v="12.95"/>
    <s v="-"/>
    <s v="-"/>
    <s v="-"/>
    <s v="-"/>
    <s v="-"/>
    <s v="-"/>
    <s v="-"/>
    <s v="-"/>
    <s v="P"/>
    <s v="P"/>
    <s v="-"/>
    <n v="2"/>
    <n v="1"/>
    <n v="2"/>
    <n v="1"/>
    <s v="-"/>
    <s v="-"/>
    <s v="-"/>
    <s v="-"/>
    <s v="-"/>
    <s v="-"/>
    <s v="-"/>
    <n v="6"/>
    <n v="6"/>
    <s v="-"/>
    <n v="1"/>
    <n v="1"/>
    <n v="2"/>
    <n v="2"/>
    <n v="8"/>
    <n v="8"/>
  </r>
  <r>
    <x v="0"/>
    <x v="20"/>
    <d v="1899-12-30T00:00:00"/>
    <s v="2ND"/>
    <d v="1899-12-30T21:00:00"/>
    <n v="2"/>
    <x v="28"/>
    <n v="1.23E-3"/>
    <s v="P"/>
    <s v="P"/>
    <s v="P"/>
    <s v="-"/>
    <s v="-"/>
    <n v="13.51"/>
    <s v="-"/>
    <s v="-"/>
    <s v="-"/>
    <s v="-"/>
    <s v="-"/>
    <s v="-"/>
    <s v="-"/>
    <s v="-"/>
    <s v="P"/>
    <s v="P"/>
    <s v="-"/>
    <n v="2"/>
    <n v="1"/>
    <n v="2"/>
    <n v="1"/>
    <s v="-"/>
    <s v="-"/>
    <s v="-"/>
    <s v="-"/>
    <s v="-"/>
    <s v="-"/>
    <s v="-"/>
    <n v="6"/>
    <n v="6"/>
    <s v="-"/>
    <n v="1"/>
    <n v="1"/>
    <n v="2"/>
    <n v="2"/>
    <n v="8"/>
    <n v="8"/>
  </r>
  <r>
    <x v="0"/>
    <x v="20"/>
    <d v="1902-03-25T00:00:00"/>
    <s v="3RD"/>
    <d v="1899-12-30T22:00:00"/>
    <n v="2"/>
    <x v="28"/>
    <n v="7.9000000000000008E-3"/>
    <s v="P"/>
    <s v="P"/>
    <s v="P"/>
    <s v="-"/>
    <s v="-"/>
    <n v="13.59"/>
    <n v="12.92"/>
    <n v="0.37"/>
    <s v="-"/>
    <s v="-"/>
    <s v="-"/>
    <n v="35.9"/>
    <s v="-"/>
    <s v="-"/>
    <s v="P"/>
    <s v="P"/>
    <s v="-"/>
    <n v="2"/>
    <n v="1"/>
    <n v="2"/>
    <n v="1"/>
    <n v="1"/>
    <n v="0"/>
    <s v="-"/>
    <s v="-"/>
    <s v="-"/>
    <n v="2"/>
    <s v="-"/>
    <n v="9"/>
    <n v="11"/>
    <s v="-"/>
    <n v="1"/>
    <n v="1"/>
    <n v="2"/>
    <n v="2"/>
    <n v="11"/>
    <n v="13"/>
  </r>
  <r>
    <x v="0"/>
    <x v="20"/>
    <d v="1899-12-30T00:00:00"/>
    <s v="3RD"/>
    <d v="1899-12-30T23:00:00"/>
    <n v="2"/>
    <x v="28"/>
    <n v="1.44E-2"/>
    <s v="P"/>
    <s v="P"/>
    <s v="P"/>
    <s v="-"/>
    <s v="-"/>
    <n v="13.14"/>
    <s v="-"/>
    <s v="-"/>
    <s v="-"/>
    <s v="-"/>
    <s v="-"/>
    <s v="-"/>
    <s v="-"/>
    <n v="25.19"/>
    <s v="P"/>
    <s v="P"/>
    <s v="-"/>
    <n v="2"/>
    <n v="1"/>
    <n v="2"/>
    <n v="1"/>
    <s v="-"/>
    <s v="-"/>
    <s v="-"/>
    <s v="-"/>
    <s v="-"/>
    <s v="-"/>
    <s v="-"/>
    <n v="6"/>
    <n v="6"/>
    <n v="1"/>
    <n v="1"/>
    <n v="1"/>
    <n v="3"/>
    <n v="3"/>
    <n v="9"/>
    <n v="9"/>
  </r>
  <r>
    <x v="0"/>
    <x v="20"/>
    <d v="1899-12-30T00:00:00"/>
    <s v="3RD"/>
    <d v="1899-12-31T00:00:00"/>
    <n v="2"/>
    <x v="28"/>
    <n v="1.44E-2"/>
    <s v="P"/>
    <s v="P"/>
    <s v="P"/>
    <s v="-"/>
    <s v="-"/>
    <n v="13.14"/>
    <s v="-"/>
    <s v="-"/>
    <s v="-"/>
    <s v="-"/>
    <s v="-"/>
    <s v="-"/>
    <s v="-"/>
    <s v="-"/>
    <s v="P"/>
    <s v="P"/>
    <s v="-"/>
    <n v="2"/>
    <n v="1"/>
    <n v="2"/>
    <n v="1"/>
    <s v="-"/>
    <s v="-"/>
    <s v="-"/>
    <s v="-"/>
    <s v="-"/>
    <s v="-"/>
    <s v="-"/>
    <n v="6"/>
    <n v="6"/>
    <s v="-"/>
    <n v="1"/>
    <n v="1"/>
    <n v="2"/>
    <n v="2"/>
    <n v="8"/>
    <n v="8"/>
  </r>
  <r>
    <x v="0"/>
    <x v="20"/>
    <d v="1899-12-30T00:00:00"/>
    <s v="3RD"/>
    <d v="1899-12-31T01:00:00"/>
    <n v="2"/>
    <x v="28"/>
    <n v="1.1299999999999999E-2"/>
    <s v="P"/>
    <s v="P"/>
    <s v="P"/>
    <s v="-"/>
    <s v="-"/>
    <n v="12.33"/>
    <s v="-"/>
    <s v="-"/>
    <s v="-"/>
    <s v="-"/>
    <s v="-"/>
    <s v="-"/>
    <s v="-"/>
    <s v="-"/>
    <s v="P"/>
    <s v="P"/>
    <s v="-"/>
    <n v="2"/>
    <n v="1"/>
    <n v="2"/>
    <n v="1"/>
    <s v="-"/>
    <s v="-"/>
    <s v="-"/>
    <s v="-"/>
    <s v="-"/>
    <s v="-"/>
    <s v="-"/>
    <n v="6"/>
    <n v="6"/>
    <s v="-"/>
    <n v="1"/>
    <n v="1"/>
    <n v="2"/>
    <n v="2"/>
    <n v="8"/>
    <n v="8"/>
  </r>
  <r>
    <x v="0"/>
    <x v="20"/>
    <d v="1899-12-30T00:00:00"/>
    <s v="3RD"/>
    <d v="1899-12-31T02:00:00"/>
    <n v="2"/>
    <x v="28"/>
    <n v="1.29E-2"/>
    <s v="P"/>
    <s v="P"/>
    <s v="P"/>
    <s v="-"/>
    <s v="-"/>
    <n v="13.69"/>
    <s v="-"/>
    <s v="-"/>
    <s v="-"/>
    <s v="-"/>
    <s v="-"/>
    <s v="-"/>
    <s v="-"/>
    <s v="-"/>
    <s v="P"/>
    <s v="P"/>
    <s v="-"/>
    <n v="2"/>
    <n v="1"/>
    <n v="2"/>
    <n v="1"/>
    <s v="-"/>
    <s v="-"/>
    <s v="-"/>
    <s v="-"/>
    <s v="-"/>
    <s v="-"/>
    <s v="-"/>
    <n v="6"/>
    <n v="6"/>
    <s v="-"/>
    <n v="1"/>
    <n v="1"/>
    <n v="2"/>
    <n v="2"/>
    <n v="8"/>
    <n v="8"/>
  </r>
  <r>
    <x v="0"/>
    <x v="20"/>
    <d v="1899-12-30T00:00:00"/>
    <s v="3RD"/>
    <d v="1899-12-31T03:00:00"/>
    <n v="2"/>
    <x v="28"/>
    <n v="1.5699999999999999E-2"/>
    <s v="P"/>
    <s v="P"/>
    <s v="P"/>
    <s v="-"/>
    <s v="-"/>
    <n v="13.99"/>
    <s v="-"/>
    <s v="-"/>
    <s v="-"/>
    <s v="-"/>
    <s v="-"/>
    <s v="-"/>
    <s v="-"/>
    <s v="-"/>
    <s v="P"/>
    <s v="P"/>
    <s v="-"/>
    <n v="2"/>
    <n v="1"/>
    <n v="2"/>
    <n v="1"/>
    <s v="-"/>
    <s v="-"/>
    <s v="-"/>
    <s v="-"/>
    <s v="-"/>
    <s v="-"/>
    <s v="-"/>
    <n v="6"/>
    <n v="6"/>
    <s v="-"/>
    <n v="1"/>
    <n v="1"/>
    <n v="2"/>
    <n v="2"/>
    <n v="8"/>
    <n v="8"/>
  </r>
  <r>
    <x v="0"/>
    <x v="20"/>
    <d v="1899-12-30T00:00:00"/>
    <s v="3RD"/>
    <d v="1899-12-31T04:00:00"/>
    <n v="2"/>
    <x v="28"/>
    <n v="9.7999999999999997E-3"/>
    <s v="P"/>
    <s v="P"/>
    <s v="P"/>
    <s v="-"/>
    <s v="-"/>
    <n v="13.26"/>
    <s v="-"/>
    <s v="-"/>
    <s v="-"/>
    <s v="-"/>
    <s v="-"/>
    <s v="-"/>
    <s v="-"/>
    <s v="-"/>
    <s v="P"/>
    <s v="P"/>
    <s v="-"/>
    <n v="2"/>
    <n v="1"/>
    <n v="2"/>
    <n v="1"/>
    <s v="-"/>
    <s v="-"/>
    <s v="-"/>
    <s v="-"/>
    <s v="-"/>
    <s v="-"/>
    <s v="-"/>
    <n v="6"/>
    <n v="6"/>
    <s v="-"/>
    <n v="1"/>
    <n v="1"/>
    <n v="2"/>
    <n v="2"/>
    <n v="8"/>
    <n v="8"/>
  </r>
  <r>
    <x v="0"/>
    <x v="20"/>
    <d v="2026-01-26T00:00:00"/>
    <s v="1ST"/>
    <d v="1899-12-30T09:00:00"/>
    <n v="2"/>
    <x v="35"/>
    <n v="9.7999999999999997E-3"/>
    <s v="P"/>
    <s v="P"/>
    <s v="P"/>
    <s v="-"/>
    <s v="+"/>
    <n v="12.74"/>
    <n v="12.76"/>
    <n v="0.44"/>
    <n v="64.599999999999994"/>
    <n v="13.2"/>
    <n v="772"/>
    <n v="35.700000000000003"/>
    <s v="-"/>
    <s v="-"/>
    <s v="P"/>
    <s v="P"/>
    <s v="-"/>
    <n v="2"/>
    <n v="1"/>
    <n v="2"/>
    <n v="0"/>
    <n v="1"/>
    <n v="0"/>
    <n v="2"/>
    <n v="1"/>
    <n v="1"/>
    <n v="2"/>
    <s v="-"/>
    <n v="12"/>
    <n v="15"/>
    <s v="-"/>
    <n v="1"/>
    <n v="1"/>
    <n v="2"/>
    <n v="2"/>
    <n v="14"/>
    <n v="17"/>
  </r>
  <r>
    <x v="0"/>
    <x v="20"/>
    <d v="2026-01-26T00:00:00"/>
    <s v="1ST"/>
    <d v="1899-12-30T10:00:00"/>
    <n v="2"/>
    <x v="35"/>
    <n v="8.6E-3"/>
    <s v="P"/>
    <s v="P"/>
    <s v="P"/>
    <s v="-"/>
    <s v="+"/>
    <n v="12.85"/>
    <s v="-"/>
    <s v="-"/>
    <s v="-"/>
    <s v="-"/>
    <s v="-"/>
    <s v="-"/>
    <s v="-"/>
    <s v="-"/>
    <s v="P"/>
    <s v="P"/>
    <s v="-"/>
    <n v="2"/>
    <n v="1"/>
    <n v="2"/>
    <n v="0"/>
    <s v="-"/>
    <s v="-"/>
    <s v="-"/>
    <s v="-"/>
    <s v="-"/>
    <s v="-"/>
    <s v="-"/>
    <n v="5"/>
    <n v="6"/>
    <s v="-"/>
    <n v="1"/>
    <n v="1"/>
    <n v="2"/>
    <n v="2"/>
    <n v="7"/>
    <n v="8"/>
  </r>
  <r>
    <x v="0"/>
    <x v="20"/>
    <d v="2026-01-26T00:00:00"/>
    <s v="1ST"/>
    <d v="1899-12-30T11:00:00"/>
    <n v="2"/>
    <x v="35"/>
    <n v="7.7000000000000002E-3"/>
    <s v="P"/>
    <s v="P"/>
    <s v="P"/>
    <s v="-"/>
    <s v="+"/>
    <n v="13.11"/>
    <s v="-"/>
    <s v="-"/>
    <s v="-"/>
    <s v="-"/>
    <s v="-"/>
    <s v="-"/>
    <s v="-"/>
    <s v="-"/>
    <s v="P"/>
    <s v="P"/>
    <s v="-"/>
    <n v="2"/>
    <n v="1"/>
    <n v="2"/>
    <n v="1"/>
    <s v="-"/>
    <s v="-"/>
    <s v="-"/>
    <s v="-"/>
    <s v="-"/>
    <s v="-"/>
    <s v="-"/>
    <n v="6"/>
    <n v="6"/>
    <s v="-"/>
    <n v="1"/>
    <n v="1"/>
    <n v="2"/>
    <n v="2"/>
    <n v="8"/>
    <n v="8"/>
  </r>
  <r>
    <x v="0"/>
    <x v="20"/>
    <d v="2026-01-26T00:00:00"/>
    <s v="1ST"/>
    <d v="1899-12-30T12:00:00"/>
    <n v="2"/>
    <x v="35"/>
    <n v="4.4000000000000003E-3"/>
    <s v="P"/>
    <s v="P"/>
    <s v="P"/>
    <s v="-"/>
    <s v="+"/>
    <n v="13.26"/>
    <s v="-"/>
    <s v="-"/>
    <s v="-"/>
    <s v="-"/>
    <s v="-"/>
    <s v="-"/>
    <s v="-"/>
    <s v="-"/>
    <s v="P"/>
    <s v="P"/>
    <s v="-"/>
    <n v="2"/>
    <n v="1"/>
    <n v="2"/>
    <n v="1"/>
    <s v="-"/>
    <s v="-"/>
    <s v="-"/>
    <s v="-"/>
    <s v="-"/>
    <s v="-"/>
    <s v="-"/>
    <n v="6"/>
    <n v="6"/>
    <s v="-"/>
    <n v="1"/>
    <n v="1"/>
    <n v="2"/>
    <n v="2"/>
    <n v="8"/>
    <n v="8"/>
  </r>
  <r>
    <x v="0"/>
    <x v="20"/>
    <d v="1899-12-30T00:00:00"/>
    <s v="2ND"/>
    <d v="1899-12-30T14:00:00"/>
    <n v="2"/>
    <x v="35"/>
    <n v="8.6999999999999994E-3"/>
    <s v="P"/>
    <s v="P"/>
    <s v="P"/>
    <s v="+"/>
    <s v="+"/>
    <s v="-"/>
    <s v="-"/>
    <s v="-"/>
    <s v="-"/>
    <s v="-"/>
    <s v="-"/>
    <s v="-"/>
    <s v="-"/>
    <s v="-"/>
    <s v="P"/>
    <s v="P"/>
    <s v="-"/>
    <n v="2"/>
    <n v="1"/>
    <n v="2"/>
    <s v="-"/>
    <s v="-"/>
    <s v="-"/>
    <s v="-"/>
    <s v="-"/>
    <s v="-"/>
    <s v="-"/>
    <s v="-"/>
    <n v="5"/>
    <n v="5"/>
    <s v="-"/>
    <n v="1"/>
    <n v="1"/>
    <n v="2"/>
    <n v="2"/>
    <n v="7"/>
    <n v="7"/>
  </r>
  <r>
    <x v="0"/>
    <x v="20"/>
    <d v="1899-12-30T00:00:00"/>
    <s v="2ND"/>
    <d v="1899-12-30T15:00:00"/>
    <n v="2"/>
    <x v="35"/>
    <s v="-"/>
    <s v="P"/>
    <s v="P"/>
    <s v="P"/>
    <s v="+"/>
    <s v="+"/>
    <s v="-"/>
    <s v="-"/>
    <s v="-"/>
    <s v="-"/>
    <s v="-"/>
    <s v="-"/>
    <s v="-"/>
    <s v="-"/>
    <s v="-"/>
    <s v="P"/>
    <s v="P"/>
    <s v="-"/>
    <s v="-"/>
    <n v="1"/>
    <n v="2"/>
    <s v="-"/>
    <s v="-"/>
    <s v="-"/>
    <s v="-"/>
    <s v="-"/>
    <s v="-"/>
    <s v="-"/>
    <s v="-"/>
    <n v="3"/>
    <n v="3"/>
    <s v="-"/>
    <n v="1"/>
    <n v="1"/>
    <n v="2"/>
    <n v="2"/>
    <n v="5"/>
    <n v="5"/>
  </r>
  <r>
    <x v="0"/>
    <x v="20"/>
    <d v="1899-12-30T00:00:00"/>
    <s v="2ND"/>
    <d v="1899-12-30T16:00:00"/>
    <n v="2"/>
    <x v="35"/>
    <s v="-"/>
    <s v="P"/>
    <s v="P"/>
    <s v="P"/>
    <s v="+"/>
    <s v="+"/>
    <s v="-"/>
    <s v="-"/>
    <s v="-"/>
    <s v="-"/>
    <s v="-"/>
    <s v="-"/>
    <s v="-"/>
    <s v="-"/>
    <s v="-"/>
    <s v="P"/>
    <s v="P"/>
    <s v="-"/>
    <s v="-"/>
    <n v="1"/>
    <n v="2"/>
    <s v="-"/>
    <s v="-"/>
    <s v="-"/>
    <s v="-"/>
    <s v="-"/>
    <s v="-"/>
    <s v="-"/>
    <s v="-"/>
    <n v="3"/>
    <n v="3"/>
    <s v="-"/>
    <n v="1"/>
    <n v="1"/>
    <n v="2"/>
    <n v="2"/>
    <n v="5"/>
    <n v="5"/>
  </r>
  <r>
    <x v="0"/>
    <x v="20"/>
    <d v="1899-12-30T00:00:00"/>
    <s v="2ND"/>
    <d v="1899-12-30T17:00:00"/>
    <n v="2"/>
    <x v="35"/>
    <s v="-"/>
    <s v="P"/>
    <s v="P"/>
    <s v="P"/>
    <s v="+"/>
    <s v="+"/>
    <s v="-"/>
    <s v="-"/>
    <s v="-"/>
    <s v="-"/>
    <s v="-"/>
    <s v="-"/>
    <s v="-"/>
    <s v="-"/>
    <s v="-"/>
    <s v="P"/>
    <s v="P"/>
    <s v="-"/>
    <s v="-"/>
    <n v="1"/>
    <n v="2"/>
    <s v="-"/>
    <s v="-"/>
    <s v="-"/>
    <s v="-"/>
    <s v="-"/>
    <s v="-"/>
    <s v="-"/>
    <s v="-"/>
    <n v="3"/>
    <n v="3"/>
    <s v="-"/>
    <n v="1"/>
    <n v="1"/>
    <n v="2"/>
    <n v="2"/>
    <n v="5"/>
    <n v="5"/>
  </r>
  <r>
    <x v="0"/>
    <x v="20"/>
    <d v="1899-12-30T00:00:00"/>
    <s v="2ND"/>
    <d v="1899-12-30T18:00:00"/>
    <n v="2"/>
    <x v="35"/>
    <s v="-"/>
    <s v="P"/>
    <s v="P"/>
    <s v="P"/>
    <s v="+"/>
    <s v="+"/>
    <s v="-"/>
    <s v="-"/>
    <s v="-"/>
    <s v="-"/>
    <s v="-"/>
    <s v="-"/>
    <s v="-"/>
    <s v="-"/>
    <s v="-"/>
    <s v="P"/>
    <s v="P"/>
    <s v="-"/>
    <s v="-"/>
    <n v="1"/>
    <n v="2"/>
    <s v="-"/>
    <s v="-"/>
    <s v="-"/>
    <s v="-"/>
    <s v="-"/>
    <s v="-"/>
    <s v="-"/>
    <s v="-"/>
    <n v="3"/>
    <n v="3"/>
    <s v="-"/>
    <n v="1"/>
    <n v="1"/>
    <n v="2"/>
    <n v="2"/>
    <n v="5"/>
    <n v="5"/>
  </r>
  <r>
    <x v="0"/>
    <x v="20"/>
    <d v="1899-12-30T00:00:00"/>
    <s v="2ND"/>
    <d v="1899-12-30T19:00:00"/>
    <n v="2"/>
    <x v="35"/>
    <s v="-"/>
    <s v="P"/>
    <s v="P"/>
    <s v="P"/>
    <s v="+"/>
    <s v="+"/>
    <s v="-"/>
    <s v="-"/>
    <s v="-"/>
    <s v="-"/>
    <s v="-"/>
    <s v="-"/>
    <s v="-"/>
    <s v="-"/>
    <s v="-"/>
    <s v="P"/>
    <s v="P"/>
    <s v="-"/>
    <s v="-"/>
    <n v="1"/>
    <n v="2"/>
    <s v="-"/>
    <s v="-"/>
    <s v="-"/>
    <s v="-"/>
    <s v="-"/>
    <s v="-"/>
    <s v="-"/>
    <s v="-"/>
    <n v="3"/>
    <n v="3"/>
    <s v="-"/>
    <n v="1"/>
    <n v="1"/>
    <n v="2"/>
    <n v="2"/>
    <n v="5"/>
    <n v="5"/>
  </r>
  <r>
    <x v="0"/>
    <x v="20"/>
    <d v="1899-12-30T00:00:00"/>
    <s v="2ND"/>
    <d v="1899-12-30T20:00:00"/>
    <n v="2"/>
    <x v="35"/>
    <s v="-"/>
    <s v="P"/>
    <s v="P"/>
    <s v="P"/>
    <s v="+"/>
    <s v="-"/>
    <s v="-"/>
    <s v="-"/>
    <s v="-"/>
    <s v="-"/>
    <s v="-"/>
    <s v="-"/>
    <s v="-"/>
    <s v="-"/>
    <s v="-"/>
    <s v="P"/>
    <s v="P"/>
    <s v="-"/>
    <s v="-"/>
    <n v="1"/>
    <n v="2"/>
    <s v="-"/>
    <s v="-"/>
    <s v="-"/>
    <s v="-"/>
    <s v="-"/>
    <s v="-"/>
    <s v="-"/>
    <s v="-"/>
    <n v="3"/>
    <n v="3"/>
    <s v="-"/>
    <n v="1"/>
    <n v="1"/>
    <n v="2"/>
    <n v="2"/>
    <n v="5"/>
    <n v="5"/>
  </r>
  <r>
    <x v="0"/>
    <x v="20"/>
    <d v="1899-12-30T00:00:00"/>
    <s v="2ND"/>
    <d v="1899-12-30T21:00:00"/>
    <n v="2"/>
    <x v="35"/>
    <s v="-"/>
    <s v="P"/>
    <s v="P"/>
    <s v="P"/>
    <s v="+"/>
    <s v="+"/>
    <s v="-"/>
    <s v="-"/>
    <s v="-"/>
    <s v="-"/>
    <s v="-"/>
    <s v="-"/>
    <s v="-"/>
    <s v="-"/>
    <s v="-"/>
    <s v="P"/>
    <s v="P"/>
    <s v="-"/>
    <s v="-"/>
    <n v="1"/>
    <n v="2"/>
    <s v="-"/>
    <s v="-"/>
    <s v="-"/>
    <s v="-"/>
    <s v="-"/>
    <s v="-"/>
    <s v="-"/>
    <s v="-"/>
    <n v="3"/>
    <n v="3"/>
    <s v="-"/>
    <n v="1"/>
    <n v="1"/>
    <n v="2"/>
    <n v="2"/>
    <n v="5"/>
    <n v="5"/>
  </r>
  <r>
    <x v="0"/>
    <x v="20"/>
    <d v="1899-12-30T00:00:00"/>
    <s v="2ND"/>
    <d v="1899-12-30T14:00:00"/>
    <n v="2"/>
    <x v="35"/>
    <n v="8.6999999999999994E-3"/>
    <s v="P"/>
    <s v="P"/>
    <s v="P"/>
    <s v="+"/>
    <s v="+"/>
    <s v="-"/>
    <s v="-"/>
    <s v="-"/>
    <s v="-"/>
    <s v="-"/>
    <s v="-"/>
    <s v="-"/>
    <s v="-"/>
    <s v="-"/>
    <s v="P"/>
    <s v="P"/>
    <s v="-"/>
    <n v="2"/>
    <n v="1"/>
    <n v="2"/>
    <s v="-"/>
    <s v="-"/>
    <s v="-"/>
    <s v="-"/>
    <s v="-"/>
    <s v="-"/>
    <s v="-"/>
    <s v="-"/>
    <n v="5"/>
    <n v="5"/>
    <s v="-"/>
    <n v="1"/>
    <n v="1"/>
    <n v="2"/>
    <n v="2"/>
    <n v="7"/>
    <n v="7"/>
  </r>
  <r>
    <x v="0"/>
    <x v="20"/>
    <d v="1899-12-30T00:00:00"/>
    <s v="2ND"/>
    <d v="1899-12-30T15:00:00"/>
    <n v="2"/>
    <x v="35"/>
    <s v="-"/>
    <s v="P"/>
    <s v="P"/>
    <s v="P"/>
    <s v="+"/>
    <s v="+"/>
    <s v="-"/>
    <s v="-"/>
    <s v="-"/>
    <s v="-"/>
    <s v="-"/>
    <s v="-"/>
    <s v="-"/>
    <s v="-"/>
    <s v="-"/>
    <s v="P"/>
    <s v="P"/>
    <s v="-"/>
    <s v="-"/>
    <n v="1"/>
    <n v="2"/>
    <s v="-"/>
    <s v="-"/>
    <s v="-"/>
    <s v="-"/>
    <s v="-"/>
    <s v="-"/>
    <s v="-"/>
    <s v="-"/>
    <n v="3"/>
    <n v="3"/>
    <s v="-"/>
    <n v="1"/>
    <n v="1"/>
    <n v="2"/>
    <n v="2"/>
    <n v="5"/>
    <n v="5"/>
  </r>
  <r>
    <x v="0"/>
    <x v="20"/>
    <d v="1899-12-30T00:00:00"/>
    <s v="2ND"/>
    <d v="1899-12-30T16:00:00"/>
    <n v="2"/>
    <x v="35"/>
    <s v="-"/>
    <s v="P"/>
    <s v="P"/>
    <s v="P"/>
    <s v="+"/>
    <s v="+"/>
    <s v="-"/>
    <s v="-"/>
    <s v="-"/>
    <s v="-"/>
    <s v="-"/>
    <s v="-"/>
    <s v="-"/>
    <s v="-"/>
    <s v="-"/>
    <s v="P"/>
    <s v="P"/>
    <s v="-"/>
    <s v="-"/>
    <n v="1"/>
    <n v="2"/>
    <s v="-"/>
    <s v="-"/>
    <s v="-"/>
    <s v="-"/>
    <s v="-"/>
    <s v="-"/>
    <s v="-"/>
    <s v="-"/>
    <n v="3"/>
    <n v="3"/>
    <s v="-"/>
    <n v="1"/>
    <n v="1"/>
    <n v="2"/>
    <n v="2"/>
    <n v="5"/>
    <n v="5"/>
  </r>
  <r>
    <x v="0"/>
    <x v="20"/>
    <d v="1899-12-30T00:00:00"/>
    <s v="2ND"/>
    <d v="1899-12-30T17:00:00"/>
    <n v="2"/>
    <x v="35"/>
    <s v="-"/>
    <s v="P"/>
    <s v="P"/>
    <s v="P"/>
    <s v="+"/>
    <s v="+"/>
    <s v="-"/>
    <s v="-"/>
    <s v="-"/>
    <s v="-"/>
    <s v="-"/>
    <s v="-"/>
    <s v="-"/>
    <s v="-"/>
    <s v="-"/>
    <s v="P"/>
    <s v="P"/>
    <s v="-"/>
    <s v="-"/>
    <n v="1"/>
    <n v="2"/>
    <s v="-"/>
    <s v="-"/>
    <s v="-"/>
    <s v="-"/>
    <s v="-"/>
    <s v="-"/>
    <s v="-"/>
    <s v="-"/>
    <n v="3"/>
    <n v="3"/>
    <s v="-"/>
    <n v="1"/>
    <n v="1"/>
    <n v="2"/>
    <n v="2"/>
    <n v="5"/>
    <n v="5"/>
  </r>
  <r>
    <x v="0"/>
    <x v="20"/>
    <d v="1899-12-30T00:00:00"/>
    <s v="2ND"/>
    <d v="1899-12-30T18:00:00"/>
    <n v="2"/>
    <x v="35"/>
    <s v="-"/>
    <s v="P"/>
    <s v="P"/>
    <s v="P"/>
    <s v="+"/>
    <s v="+"/>
    <s v="-"/>
    <s v="-"/>
    <s v="-"/>
    <s v="-"/>
    <s v="-"/>
    <s v="-"/>
    <s v="-"/>
    <s v="-"/>
    <s v="-"/>
    <s v="P"/>
    <s v="P"/>
    <s v="-"/>
    <s v="-"/>
    <n v="1"/>
    <n v="2"/>
    <s v="-"/>
    <s v="-"/>
    <s v="-"/>
    <s v="-"/>
    <s v="-"/>
    <s v="-"/>
    <s v="-"/>
    <s v="-"/>
    <n v="3"/>
    <n v="3"/>
    <s v="-"/>
    <n v="1"/>
    <n v="1"/>
    <n v="2"/>
    <n v="2"/>
    <n v="5"/>
    <n v="5"/>
  </r>
  <r>
    <x v="0"/>
    <x v="20"/>
    <d v="1899-12-30T00:00:00"/>
    <s v="2ND"/>
    <d v="1899-12-30T19:00:00"/>
    <n v="2"/>
    <x v="35"/>
    <s v="-"/>
    <s v="P"/>
    <s v="P"/>
    <s v="P"/>
    <s v="+"/>
    <s v="+"/>
    <s v="-"/>
    <s v="-"/>
    <s v="-"/>
    <s v="-"/>
    <s v="-"/>
    <s v="-"/>
    <s v="-"/>
    <s v="-"/>
    <s v="-"/>
    <s v="P"/>
    <s v="P"/>
    <s v="-"/>
    <s v="-"/>
    <n v="1"/>
    <n v="2"/>
    <s v="-"/>
    <s v="-"/>
    <s v="-"/>
    <s v="-"/>
    <s v="-"/>
    <s v="-"/>
    <s v="-"/>
    <s v="-"/>
    <n v="3"/>
    <n v="3"/>
    <s v="-"/>
    <n v="1"/>
    <n v="1"/>
    <n v="2"/>
    <n v="2"/>
    <n v="5"/>
    <n v="5"/>
  </r>
  <r>
    <x v="0"/>
    <x v="20"/>
    <d v="1899-12-30T00:00:00"/>
    <s v="2ND"/>
    <d v="1899-12-30T20:00:00"/>
    <n v="2"/>
    <x v="35"/>
    <s v="-"/>
    <s v="P"/>
    <s v="P"/>
    <s v="P"/>
    <s v="+"/>
    <s v="+"/>
    <s v="-"/>
    <s v="-"/>
    <s v="-"/>
    <s v="-"/>
    <s v="-"/>
    <s v="-"/>
    <s v="-"/>
    <s v="-"/>
    <s v="-"/>
    <s v="P"/>
    <s v="P"/>
    <s v="-"/>
    <s v="-"/>
    <n v="1"/>
    <n v="2"/>
    <s v="-"/>
    <s v="-"/>
    <s v="-"/>
    <s v="-"/>
    <s v="-"/>
    <s v="-"/>
    <s v="-"/>
    <s v="-"/>
    <n v="3"/>
    <n v="3"/>
    <s v="-"/>
    <n v="1"/>
    <n v="1"/>
    <n v="2"/>
    <n v="2"/>
    <n v="5"/>
    <n v="5"/>
  </r>
  <r>
    <x v="0"/>
    <x v="20"/>
    <d v="1899-12-30T00:00:00"/>
    <s v="2ND"/>
    <d v="1899-12-30T21:00:00"/>
    <n v="2"/>
    <x v="35"/>
    <s v="-"/>
    <s v="P"/>
    <s v="P"/>
    <s v="P"/>
    <s v="+"/>
    <s v="+"/>
    <s v="-"/>
    <s v="-"/>
    <s v="-"/>
    <s v="-"/>
    <s v="-"/>
    <s v="-"/>
    <s v="-"/>
    <s v="-"/>
    <s v="-"/>
    <s v="P"/>
    <s v="P"/>
    <s v="-"/>
    <s v="-"/>
    <n v="1"/>
    <n v="2"/>
    <s v="-"/>
    <s v="-"/>
    <s v="-"/>
    <s v="-"/>
    <s v="-"/>
    <s v="-"/>
    <s v="-"/>
    <s v="-"/>
    <n v="3"/>
    <n v="3"/>
    <s v="-"/>
    <n v="1"/>
    <n v="1"/>
    <n v="2"/>
    <n v="2"/>
    <n v="5"/>
    <n v="5"/>
  </r>
  <r>
    <x v="0"/>
    <x v="20"/>
    <d v="1902-03-26T00:00:00"/>
    <s v="2ND"/>
    <d v="1899-12-30T14:00:00"/>
    <n v="2"/>
    <x v="35"/>
    <n v="8.6999999999999994E-3"/>
    <s v="P"/>
    <s v="P"/>
    <s v="P"/>
    <s v="+"/>
    <s v="+"/>
    <n v="13.17"/>
    <n v="12.9"/>
    <n v="0.38"/>
    <s v="-"/>
    <s v="-"/>
    <s v="-"/>
    <n v="36"/>
    <s v="-"/>
    <s v="-"/>
    <s v="P"/>
    <s v="P"/>
    <s v="-"/>
    <n v="2"/>
    <n v="1"/>
    <n v="2"/>
    <n v="1"/>
    <n v="0"/>
    <n v="0"/>
    <s v="-"/>
    <s v="-"/>
    <s v="-"/>
    <n v="2"/>
    <s v="-"/>
    <n v="8"/>
    <n v="11"/>
    <s v="-"/>
    <n v="1"/>
    <n v="1"/>
    <n v="2"/>
    <n v="2"/>
    <n v="10"/>
    <n v="13"/>
  </r>
  <r>
    <x v="0"/>
    <x v="20"/>
    <d v="1899-12-30T00:00:00"/>
    <s v="2ND"/>
    <d v="1899-12-30T15:00:00"/>
    <n v="2"/>
    <x v="35"/>
    <n v="1.12E-2"/>
    <s v="P"/>
    <s v="P"/>
    <s v="P"/>
    <s v="+"/>
    <s v="+"/>
    <n v="12.99"/>
    <s v="-"/>
    <s v="-"/>
    <s v="-"/>
    <s v="-"/>
    <s v="-"/>
    <s v="-"/>
    <s v="-"/>
    <s v="-"/>
    <s v="P"/>
    <s v="P"/>
    <s v="-"/>
    <n v="2"/>
    <n v="1"/>
    <n v="2"/>
    <n v="0"/>
    <s v="-"/>
    <s v="-"/>
    <s v="-"/>
    <s v="-"/>
    <s v="-"/>
    <s v="-"/>
    <s v="-"/>
    <n v="5"/>
    <n v="6"/>
    <s v="-"/>
    <n v="1"/>
    <n v="1"/>
    <n v="2"/>
    <n v="2"/>
    <n v="7"/>
    <n v="8"/>
  </r>
  <r>
    <x v="0"/>
    <x v="20"/>
    <d v="1899-12-30T00:00:00"/>
    <s v="2ND"/>
    <d v="1899-12-30T17:00:00"/>
    <n v="2"/>
    <x v="35"/>
    <n v="1.6500000000000001E-2"/>
    <s v="P"/>
    <s v="P"/>
    <s v="P"/>
    <s v="+"/>
    <s v="+"/>
    <n v="12.55"/>
    <s v="-"/>
    <s v="-"/>
    <s v="-"/>
    <s v="-"/>
    <s v="-"/>
    <s v="-"/>
    <s v="-"/>
    <s v="-"/>
    <s v="P"/>
    <s v="P"/>
    <n v="1"/>
    <n v="2"/>
    <n v="1"/>
    <n v="2"/>
    <n v="0"/>
    <s v="-"/>
    <s v="-"/>
    <s v="-"/>
    <s v="-"/>
    <s v="-"/>
    <s v="-"/>
    <s v="-"/>
    <n v="5"/>
    <n v="6"/>
    <s v="-"/>
    <n v="1"/>
    <n v="1"/>
    <n v="2"/>
    <n v="2"/>
    <n v="7"/>
    <n v="8"/>
  </r>
  <r>
    <x v="0"/>
    <x v="20"/>
    <d v="1899-12-30T00:00:00"/>
    <s v="2ND"/>
    <d v="1899-12-30T15:00:00"/>
    <s v="Retail"/>
    <x v="9"/>
    <s v="-"/>
    <s v="-"/>
    <s v="-"/>
    <s v="-"/>
    <s v="-"/>
    <s v="-"/>
    <n v="10.54"/>
    <s v="-"/>
    <n v="4.2699999999999996"/>
    <s v="-"/>
    <s v="-"/>
    <s v="-"/>
    <s v="-"/>
    <s v="-"/>
    <s v="-"/>
    <s v="-"/>
    <s v="-"/>
    <s v="-"/>
    <s v="-"/>
    <s v="-"/>
    <s v="-"/>
    <n v="1"/>
    <s v="-"/>
    <n v="2"/>
    <s v="-"/>
    <s v="-"/>
    <s v="-"/>
    <s v="-"/>
    <s v="-"/>
    <n v="3"/>
    <n v="3"/>
    <s v="-"/>
    <s v="-"/>
    <s v="-"/>
    <n v="0"/>
    <n v="0"/>
    <n v="3"/>
    <n v="3"/>
  </r>
  <r>
    <x v="0"/>
    <x v="20"/>
    <d v="2026-01-23T00:00:00"/>
    <s v="1ST"/>
    <d v="1899-12-30T06:00:00"/>
    <n v="1"/>
    <x v="22"/>
    <n v="1.6999999999999999E-3"/>
    <s v="P"/>
    <s v="P"/>
    <s v="P"/>
    <s v="-"/>
    <s v="-"/>
    <n v="11.37"/>
    <n v="8.5500000000000007"/>
    <n v="0.43"/>
    <n v="55.6"/>
    <s v="-"/>
    <s v="-"/>
    <n v="23"/>
    <s v="-"/>
    <s v="-"/>
    <s v="P"/>
    <s v="P"/>
    <s v="-"/>
    <n v="2"/>
    <n v="1"/>
    <n v="2"/>
    <n v="1"/>
    <n v="1"/>
    <n v="0"/>
    <n v="2"/>
    <s v="-"/>
    <s v="-"/>
    <n v="2"/>
    <s v="-"/>
    <n v="11"/>
    <n v="13"/>
    <s v="-"/>
    <n v="1"/>
    <n v="1"/>
    <n v="2"/>
    <n v="2"/>
    <n v="13"/>
    <n v="15"/>
  </r>
  <r>
    <x v="0"/>
    <x v="20"/>
    <d v="2026-01-23T00:00:00"/>
    <s v="1ST"/>
    <d v="1899-12-30T07:00:00"/>
    <n v="1"/>
    <x v="22"/>
    <n v="2.0999999999999999E-3"/>
    <s v="P"/>
    <s v="P"/>
    <s v="P"/>
    <s v="-"/>
    <s v="-"/>
    <n v="11.31"/>
    <s v="-"/>
    <s v="-"/>
    <s v="-"/>
    <s v="-"/>
    <s v="-"/>
    <s v="-"/>
    <s v="-"/>
    <s v="-"/>
    <s v="P"/>
    <s v="P"/>
    <s v="-"/>
    <n v="2"/>
    <n v="1"/>
    <n v="2"/>
    <n v="1"/>
    <s v="-"/>
    <s v="-"/>
    <s v="-"/>
    <s v="-"/>
    <s v="-"/>
    <s v="-"/>
    <s v="-"/>
    <n v="6"/>
    <n v="6"/>
    <s v="-"/>
    <n v="1"/>
    <n v="1"/>
    <n v="2"/>
    <n v="2"/>
    <n v="8"/>
    <n v="8"/>
  </r>
  <r>
    <x v="0"/>
    <x v="20"/>
    <d v="2026-01-23T00:00:00"/>
    <s v="1ST"/>
    <d v="1899-12-30T08:00:00"/>
    <n v="1"/>
    <x v="22"/>
    <n v="1.1999999999999999E-3"/>
    <s v="P"/>
    <s v="P"/>
    <s v="P"/>
    <s v="-"/>
    <s v="-"/>
    <n v="11.39"/>
    <s v="-"/>
    <s v="-"/>
    <s v="-"/>
    <s v="-"/>
    <s v="-"/>
    <s v="-"/>
    <s v="-"/>
    <s v="-"/>
    <s v="P"/>
    <s v="P"/>
    <s v="-"/>
    <n v="2"/>
    <n v="1"/>
    <n v="2"/>
    <n v="1"/>
    <s v="-"/>
    <s v="-"/>
    <s v="-"/>
    <s v="-"/>
    <s v="-"/>
    <s v="-"/>
    <s v="-"/>
    <n v="6"/>
    <n v="6"/>
    <s v="-"/>
    <n v="1"/>
    <n v="1"/>
    <n v="2"/>
    <n v="2"/>
    <n v="8"/>
    <n v="8"/>
  </r>
  <r>
    <x v="0"/>
    <x v="20"/>
    <d v="2026-01-23T00:00:00"/>
    <s v="1ST"/>
    <d v="1899-12-30T09:00:00"/>
    <n v="1"/>
    <x v="22"/>
    <n v="8.9999999999999998E-4"/>
    <s v="P"/>
    <s v="P"/>
    <s v="P"/>
    <s v="-"/>
    <s v="-"/>
    <n v="11.41"/>
    <s v="-"/>
    <s v="-"/>
    <s v="-"/>
    <s v="-"/>
    <s v="-"/>
    <s v="-"/>
    <s v="-"/>
    <s v="-"/>
    <s v="P"/>
    <s v="P"/>
    <s v="-"/>
    <n v="2"/>
    <n v="1"/>
    <n v="2"/>
    <n v="1"/>
    <s v="-"/>
    <s v="-"/>
    <s v="-"/>
    <s v="-"/>
    <s v="-"/>
    <s v="-"/>
    <s v="-"/>
    <n v="6"/>
    <n v="6"/>
    <s v="-"/>
    <n v="1"/>
    <n v="1"/>
    <n v="2"/>
    <n v="2"/>
    <n v="8"/>
    <n v="8"/>
  </r>
  <r>
    <x v="0"/>
    <x v="20"/>
    <d v="2026-01-23T00:00:00"/>
    <s v="1ST"/>
    <d v="1899-12-30T10:00:00"/>
    <n v="1"/>
    <x v="22"/>
    <n v="1.1000000000000001E-3"/>
    <s v="P"/>
    <s v="P"/>
    <s v="P"/>
    <s v="-"/>
    <s v="-"/>
    <n v="11.39"/>
    <s v="-"/>
    <s v="-"/>
    <s v="-"/>
    <s v="-"/>
    <s v="-"/>
    <s v="-"/>
    <s v="-"/>
    <s v="-"/>
    <s v="P"/>
    <s v="P"/>
    <s v="-"/>
    <n v="2"/>
    <n v="1"/>
    <n v="2"/>
    <n v="1"/>
    <s v="-"/>
    <s v="-"/>
    <s v="-"/>
    <s v="-"/>
    <s v="-"/>
    <s v="-"/>
    <s v="-"/>
    <n v="6"/>
    <n v="6"/>
    <s v="-"/>
    <n v="1"/>
    <n v="1"/>
    <n v="2"/>
    <n v="2"/>
    <n v="8"/>
    <n v="8"/>
  </r>
  <r>
    <x v="0"/>
    <x v="20"/>
    <d v="2026-01-23T00:00:00"/>
    <s v="1ST"/>
    <d v="1899-12-30T11:00:00"/>
    <n v="1"/>
    <x v="22"/>
    <n v="1.4E-3"/>
    <s v="P"/>
    <s v="P"/>
    <s v="P"/>
    <s v="-"/>
    <s v="-"/>
    <n v="11.3"/>
    <s v="-"/>
    <s v="-"/>
    <s v="-"/>
    <s v="-"/>
    <s v="-"/>
    <s v="-"/>
    <s v="-"/>
    <s v="-"/>
    <s v="P"/>
    <s v="P"/>
    <s v="-"/>
    <n v="2"/>
    <n v="1"/>
    <n v="2"/>
    <n v="1"/>
    <s v="-"/>
    <s v="-"/>
    <s v="-"/>
    <s v="-"/>
    <s v="-"/>
    <s v="-"/>
    <s v="-"/>
    <n v="6"/>
    <n v="6"/>
    <s v="-"/>
    <n v="1"/>
    <n v="1"/>
    <n v="2"/>
    <n v="2"/>
    <n v="8"/>
    <n v="8"/>
  </r>
  <r>
    <x v="0"/>
    <x v="21"/>
    <d v="1899-12-30T00:00:00"/>
    <s v="2ND"/>
    <d v="1899-12-30T15:00:00"/>
    <n v="2"/>
    <x v="7"/>
    <n v="8.9999999999999993E-3"/>
    <s v="P"/>
    <s v="P"/>
    <s v="P"/>
    <s v="-"/>
    <s v="+"/>
    <n v="10.52"/>
    <n v="8.7200000000000006"/>
    <n v="0.48"/>
    <n v="56.5"/>
    <n v="13.3"/>
    <n v="267"/>
    <n v="23.65"/>
    <s v="-"/>
    <s v="-"/>
    <s v="P"/>
    <s v="P"/>
    <s v="-"/>
    <n v="2"/>
    <n v="1"/>
    <n v="2"/>
    <n v="0"/>
    <n v="1"/>
    <n v="2"/>
    <n v="2"/>
    <n v="1"/>
    <n v="1"/>
    <n v="2"/>
    <s v="-"/>
    <n v="14"/>
    <n v="15"/>
    <s v="-"/>
    <n v="1"/>
    <n v="1"/>
    <n v="2"/>
    <n v="2"/>
    <n v="16"/>
    <n v="17"/>
  </r>
  <r>
    <x v="0"/>
    <x v="21"/>
    <d v="1899-12-30T00:00:00"/>
    <s v="2ND"/>
    <d v="1899-12-30T17:00:00"/>
    <n v="2"/>
    <x v="7"/>
    <n v="0.01"/>
    <s v="P"/>
    <s v="P"/>
    <s v="P"/>
    <s v="-"/>
    <s v="+"/>
    <n v="10.94"/>
    <s v="-"/>
    <s v="-"/>
    <s v="-"/>
    <s v="-"/>
    <s v="-"/>
    <s v="-"/>
    <s v="-"/>
    <s v="-"/>
    <s v="P"/>
    <s v="P"/>
    <s v="-"/>
    <n v="2"/>
    <n v="1"/>
    <n v="2"/>
    <n v="0"/>
    <s v="-"/>
    <s v="-"/>
    <s v="-"/>
    <s v="-"/>
    <s v="-"/>
    <s v="-"/>
    <s v="-"/>
    <n v="5"/>
    <n v="6"/>
    <s v="-"/>
    <n v="1"/>
    <n v="1"/>
    <n v="2"/>
    <n v="2"/>
    <n v="7"/>
    <n v="8"/>
  </r>
  <r>
    <x v="0"/>
    <x v="21"/>
    <d v="1899-12-30T00:00:00"/>
    <s v="2ND"/>
    <d v="1899-12-30T18:00:00"/>
    <n v="2"/>
    <x v="7"/>
    <n v="4.7000000000000002E-3"/>
    <s v="P"/>
    <s v="P"/>
    <s v="P"/>
    <s v="-"/>
    <s v="+"/>
    <n v="11.06"/>
    <s v="-"/>
    <s v="-"/>
    <s v="-"/>
    <s v="-"/>
    <s v="-"/>
    <s v="-"/>
    <s v="-"/>
    <s v="-"/>
    <s v="P"/>
    <s v="P"/>
    <s v="-"/>
    <n v="2"/>
    <n v="1"/>
    <n v="2"/>
    <n v="1"/>
    <s v="-"/>
    <s v="-"/>
    <s v="-"/>
    <s v="-"/>
    <s v="-"/>
    <s v="-"/>
    <s v="-"/>
    <n v="6"/>
    <n v="6"/>
    <s v="-"/>
    <n v="1"/>
    <n v="1"/>
    <n v="2"/>
    <n v="2"/>
    <n v="8"/>
    <n v="8"/>
  </r>
  <r>
    <x v="0"/>
    <x v="21"/>
    <d v="1899-12-30T00:00:00"/>
    <s v="2ND"/>
    <d v="1899-12-30T19:00:00"/>
    <n v="2"/>
    <x v="7"/>
    <n v="1.17E-2"/>
    <s v="P"/>
    <s v="P"/>
    <s v="P"/>
    <s v="-"/>
    <s v="+"/>
    <n v="10.82"/>
    <s v="-"/>
    <s v="-"/>
    <s v="-"/>
    <s v="-"/>
    <s v="-"/>
    <s v="-"/>
    <s v="-"/>
    <s v="-"/>
    <s v="P"/>
    <s v="P"/>
    <s v="-"/>
    <n v="2"/>
    <n v="1"/>
    <n v="2"/>
    <n v="0"/>
    <s v="-"/>
    <s v="-"/>
    <s v="-"/>
    <s v="-"/>
    <s v="-"/>
    <s v="-"/>
    <s v="-"/>
    <n v="5"/>
    <n v="6"/>
    <s v="-"/>
    <n v="1"/>
    <n v="1"/>
    <n v="2"/>
    <n v="2"/>
    <n v="7"/>
    <n v="8"/>
  </r>
  <r>
    <x v="0"/>
    <x v="21"/>
    <d v="1899-12-30T00:00:00"/>
    <s v="2ND"/>
    <d v="1899-12-30T21:00:00"/>
    <n v="2"/>
    <x v="7"/>
    <n v="1.9E-3"/>
    <s v="P"/>
    <s v="P"/>
    <s v="P"/>
    <s v="-"/>
    <s v="+"/>
    <n v="11.19"/>
    <s v="-"/>
    <s v="-"/>
    <s v="-"/>
    <s v="-"/>
    <s v="-"/>
    <s v="-"/>
    <s v="-"/>
    <s v="-"/>
    <s v="P"/>
    <s v="P"/>
    <s v="-"/>
    <n v="2"/>
    <n v="1"/>
    <n v="2"/>
    <n v="1"/>
    <s v="-"/>
    <s v="-"/>
    <s v="-"/>
    <s v="-"/>
    <s v="-"/>
    <s v="-"/>
    <s v="-"/>
    <n v="6"/>
    <n v="6"/>
    <s v="-"/>
    <n v="1"/>
    <n v="1"/>
    <n v="2"/>
    <n v="2"/>
    <n v="8"/>
    <n v="8"/>
  </r>
  <r>
    <x v="0"/>
    <x v="21"/>
    <d v="1902-03-26T00:00:00"/>
    <s v="3RD"/>
    <d v="1899-12-30T22:00:00"/>
    <n v="2"/>
    <x v="7"/>
    <n v="1.2999999999999999E-3"/>
    <s v="P"/>
    <s v="P"/>
    <s v="P"/>
    <s v="-"/>
    <s v="+"/>
    <n v="11.32"/>
    <n v="8.67"/>
    <n v="0.47"/>
    <s v="-"/>
    <s v="-"/>
    <s v="-"/>
    <n v="23.36"/>
    <s v="-"/>
    <n v="25.14"/>
    <s v="P"/>
    <s v="P"/>
    <s v="-"/>
    <n v="2"/>
    <n v="1"/>
    <n v="2"/>
    <n v="1"/>
    <n v="1"/>
    <n v="2"/>
    <s v="-"/>
    <s v="-"/>
    <s v="-"/>
    <n v="2"/>
    <s v="-"/>
    <n v="11"/>
    <n v="11"/>
    <n v="1"/>
    <n v="1"/>
    <n v="1"/>
    <n v="3"/>
    <n v="3"/>
    <n v="14"/>
    <n v="14"/>
  </r>
  <r>
    <x v="0"/>
    <x v="21"/>
    <d v="1899-12-30T00:00:00"/>
    <s v="3RD"/>
    <d v="1899-12-30T23:00:00"/>
    <n v="2"/>
    <x v="7"/>
    <n v="2.5000000000000001E-3"/>
    <s v="P"/>
    <s v="P"/>
    <s v="P"/>
    <s v="-"/>
    <s v="+"/>
    <n v="11"/>
    <s v="-"/>
    <s v="-"/>
    <s v="-"/>
    <s v="-"/>
    <s v="-"/>
    <s v="-"/>
    <s v="-"/>
    <n v="25.14"/>
    <s v="P"/>
    <s v="P"/>
    <s v="-"/>
    <n v="2"/>
    <n v="1"/>
    <n v="2"/>
    <n v="1"/>
    <s v="-"/>
    <s v="-"/>
    <s v="-"/>
    <s v="-"/>
    <s v="-"/>
    <s v="-"/>
    <s v="-"/>
    <n v="6"/>
    <n v="6"/>
    <n v="1"/>
    <n v="1"/>
    <n v="1"/>
    <n v="3"/>
    <n v="3"/>
    <n v="9"/>
    <n v="9"/>
  </r>
  <r>
    <x v="0"/>
    <x v="21"/>
    <d v="1899-12-30T00:00:00"/>
    <s v="3RD"/>
    <d v="1899-12-31T00:00:00"/>
    <n v="2"/>
    <x v="7"/>
    <n v="3.0999999999999999E-3"/>
    <s v="P"/>
    <s v="P"/>
    <s v="P"/>
    <s v="-"/>
    <s v="+"/>
    <n v="11.35"/>
    <s v="-"/>
    <s v="-"/>
    <s v="-"/>
    <s v="-"/>
    <s v="-"/>
    <s v="-"/>
    <s v="-"/>
    <n v="25.14"/>
    <s v="P"/>
    <s v="P"/>
    <s v="-"/>
    <n v="2"/>
    <n v="1"/>
    <n v="2"/>
    <n v="1"/>
    <s v="-"/>
    <s v="-"/>
    <s v="-"/>
    <s v="-"/>
    <s v="-"/>
    <s v="-"/>
    <s v="-"/>
    <n v="6"/>
    <n v="6"/>
    <n v="1"/>
    <n v="1"/>
    <n v="1"/>
    <n v="3"/>
    <n v="3"/>
    <n v="9"/>
    <n v="9"/>
  </r>
  <r>
    <x v="0"/>
    <x v="21"/>
    <d v="1899-12-30T00:00:00"/>
    <s v="3RD"/>
    <d v="1899-12-31T01:00:00"/>
    <n v="2"/>
    <x v="7"/>
    <n v="3.8999999999999998E-3"/>
    <s v="P"/>
    <s v="P"/>
    <s v="P"/>
    <s v="-"/>
    <s v="+"/>
    <n v="10.97"/>
    <s v="-"/>
    <s v="-"/>
    <s v="-"/>
    <s v="-"/>
    <s v="-"/>
    <s v="-"/>
    <s v="-"/>
    <n v="25.14"/>
    <s v="P"/>
    <s v="P"/>
    <s v="-"/>
    <n v="2"/>
    <n v="1"/>
    <n v="2"/>
    <n v="0"/>
    <s v="-"/>
    <s v="-"/>
    <s v="-"/>
    <s v="-"/>
    <s v="-"/>
    <s v="-"/>
    <s v="-"/>
    <n v="5"/>
    <n v="6"/>
    <n v="1"/>
    <n v="1"/>
    <n v="1"/>
    <n v="3"/>
    <n v="3"/>
    <n v="8"/>
    <n v="9"/>
  </r>
  <r>
    <x v="0"/>
    <x v="21"/>
    <d v="1899-12-30T00:00:00"/>
    <s v="3RD"/>
    <d v="1899-12-31T02:00:00"/>
    <n v="2"/>
    <x v="7"/>
    <n v="3.3999999999999998E-3"/>
    <s v="P"/>
    <s v="P"/>
    <s v="P"/>
    <s v="-"/>
    <s v="+"/>
    <n v="10.98"/>
    <s v="-"/>
    <s v="-"/>
    <s v="-"/>
    <s v="-"/>
    <s v="-"/>
    <s v="-"/>
    <s v="-"/>
    <n v="25.14"/>
    <s v="P"/>
    <s v="P"/>
    <s v="-"/>
    <n v="2"/>
    <n v="1"/>
    <n v="2"/>
    <n v="0"/>
    <s v="-"/>
    <s v="-"/>
    <s v="-"/>
    <s v="-"/>
    <s v="-"/>
    <s v="-"/>
    <s v="-"/>
    <n v="5"/>
    <n v="6"/>
    <n v="1"/>
    <n v="1"/>
    <n v="1"/>
    <n v="3"/>
    <n v="3"/>
    <n v="8"/>
    <n v="9"/>
  </r>
  <r>
    <x v="0"/>
    <x v="21"/>
    <d v="1899-12-30T00:00:00"/>
    <s v="3RD"/>
    <d v="1899-12-31T03:00:00"/>
    <n v="2"/>
    <x v="7"/>
    <n v="4.7999999999999996E-3"/>
    <s v="P"/>
    <s v="P"/>
    <s v="P"/>
    <s v="-"/>
    <s v="+"/>
    <n v="10.85"/>
    <s v="-"/>
    <s v="-"/>
    <s v="-"/>
    <s v="-"/>
    <s v="-"/>
    <s v="-"/>
    <s v="-"/>
    <n v="25.14"/>
    <s v="P"/>
    <s v="P"/>
    <s v="-"/>
    <n v="2"/>
    <n v="1"/>
    <n v="2"/>
    <n v="0"/>
    <s v="-"/>
    <s v="-"/>
    <s v="-"/>
    <s v="-"/>
    <s v="-"/>
    <s v="-"/>
    <s v="-"/>
    <n v="5"/>
    <n v="6"/>
    <n v="1"/>
    <n v="1"/>
    <n v="1"/>
    <n v="3"/>
    <n v="3"/>
    <n v="8"/>
    <n v="9"/>
  </r>
  <r>
    <x v="0"/>
    <x v="21"/>
    <d v="1899-12-30T00:00:00"/>
    <s v="3RD"/>
    <d v="1899-12-31T04:00:00"/>
    <n v="2"/>
    <x v="7"/>
    <n v="6.3E-3"/>
    <s v="P"/>
    <s v="P"/>
    <s v="P"/>
    <s v="-"/>
    <s v="+"/>
    <n v="11.2"/>
    <s v="-"/>
    <s v="-"/>
    <s v="-"/>
    <s v="-"/>
    <s v="-"/>
    <s v="-"/>
    <s v="-"/>
    <n v="25.14"/>
    <s v="P"/>
    <s v="P"/>
    <s v="-"/>
    <n v="2"/>
    <n v="1"/>
    <n v="2"/>
    <n v="1"/>
    <s v="-"/>
    <s v="-"/>
    <s v="-"/>
    <s v="-"/>
    <s v="-"/>
    <s v="-"/>
    <s v="-"/>
    <n v="6"/>
    <n v="6"/>
    <n v="1"/>
    <n v="1"/>
    <n v="1"/>
    <n v="3"/>
    <n v="3"/>
    <n v="9"/>
    <n v="9"/>
  </r>
  <r>
    <x v="0"/>
    <x v="21"/>
    <d v="2026-01-28T00:00:00"/>
    <s v="2ND"/>
    <d v="1899-12-30T14:00:00"/>
    <n v="3"/>
    <x v="36"/>
    <n v="8.9999999999999993E-3"/>
    <s v="P"/>
    <s v="P"/>
    <s v="P"/>
    <s v="+"/>
    <s v="+"/>
    <n v="13.06"/>
    <n v="12.65"/>
    <n v="0.47"/>
    <n v="64"/>
    <n v="13.8"/>
    <n v="683"/>
    <n v="35.299999999999997"/>
    <s v="-"/>
    <s v="-"/>
    <s v="P"/>
    <s v="P"/>
    <s v="99.5% 0.5%"/>
    <n v="2"/>
    <n v="1"/>
    <n v="2"/>
    <n v="1"/>
    <n v="0"/>
    <n v="2"/>
    <n v="2"/>
    <n v="1"/>
    <n v="1"/>
    <n v="2"/>
    <s v="-"/>
    <n v="14"/>
    <n v="15"/>
    <s v="-"/>
    <n v="1"/>
    <n v="1"/>
    <n v="2"/>
    <n v="2"/>
    <n v="16"/>
    <n v="17"/>
  </r>
  <r>
    <x v="0"/>
    <x v="21"/>
    <d v="1899-12-30T00:00:00"/>
    <s v="2ND"/>
    <d v="1899-12-30T14:00:00"/>
    <s v="Retail"/>
    <x v="13"/>
    <s v="-"/>
    <s v="-"/>
    <s v="-"/>
    <s v="-"/>
    <s v="-"/>
    <s v="-"/>
    <n v="11.02"/>
    <s v="-"/>
    <n v="5.04"/>
    <s v="-"/>
    <s v="-"/>
    <s v="-"/>
    <s v="-"/>
    <s v="-"/>
    <s v="-"/>
    <s v="-"/>
    <s v="-"/>
    <s v="-"/>
    <s v="-"/>
    <s v="-"/>
    <s v="-"/>
    <n v="1"/>
    <s v="-"/>
    <n v="2"/>
    <s v="-"/>
    <s v="-"/>
    <s v="-"/>
    <s v="-"/>
    <s v="-"/>
    <n v="3"/>
    <n v="3"/>
    <s v="-"/>
    <s v="-"/>
    <s v="-"/>
    <n v="0"/>
    <n v="0"/>
    <n v="3"/>
    <n v="3"/>
  </r>
  <r>
    <x v="0"/>
    <x v="21"/>
    <d v="1902-03-26T00:00:00"/>
    <s v="2ND"/>
    <d v="1899-12-30T14:00:00"/>
    <n v="2"/>
    <x v="4"/>
    <n v="8.2000000000000007E-3"/>
    <s v="P"/>
    <s v="P"/>
    <s v="P"/>
    <s v="-"/>
    <s v="+"/>
    <n v="11.25"/>
    <n v="8.84"/>
    <n v="0.41"/>
    <n v="57.3"/>
    <n v="13.3"/>
    <n v="402"/>
    <n v="23.88"/>
    <s v="-"/>
    <s v="-"/>
    <s v="P"/>
    <s v="P"/>
    <n v="1"/>
    <n v="2"/>
    <n v="1"/>
    <n v="2"/>
    <n v="1"/>
    <n v="1"/>
    <n v="2"/>
    <n v="2"/>
    <n v="1"/>
    <n v="1"/>
    <n v="2"/>
    <s v="-"/>
    <n v="15"/>
    <n v="15"/>
    <s v="-"/>
    <n v="1"/>
    <n v="1"/>
    <n v="2"/>
    <n v="2"/>
    <n v="17"/>
    <n v="17"/>
  </r>
  <r>
    <x v="0"/>
    <x v="21"/>
    <d v="1899-12-30T00:00:00"/>
    <s v="2ND"/>
    <d v="1899-12-30T15:00:00"/>
    <s v="Retail"/>
    <x v="9"/>
    <s v="-"/>
    <s v="-"/>
    <s v="-"/>
    <s v="-"/>
    <s v="-"/>
    <s v="-"/>
    <n v="9.6199999999999992"/>
    <s v="-"/>
    <n v="4.4800000000000004"/>
    <s v="-"/>
    <s v="-"/>
    <s v="-"/>
    <s v="-"/>
    <s v="-"/>
    <s v="-"/>
    <s v="-"/>
    <s v="-"/>
    <s v="-"/>
    <s v="-"/>
    <s v="-"/>
    <s v="-"/>
    <n v="0"/>
    <s v="-"/>
    <n v="2"/>
    <s v="-"/>
    <s v="-"/>
    <s v="-"/>
    <s v="-"/>
    <s v="-"/>
    <n v="2"/>
    <n v="3"/>
    <s v="-"/>
    <s v="-"/>
    <s v="-"/>
    <n v="0"/>
    <n v="0"/>
    <n v="2"/>
    <n v="3"/>
  </r>
  <r>
    <x v="0"/>
    <x v="21"/>
    <d v="2026-01-28T00:00:00"/>
    <s v="2ND"/>
    <d v="1899-12-30T17:00:00"/>
    <n v="3"/>
    <x v="16"/>
    <n v="1.14E-2"/>
    <s v="P"/>
    <s v="P"/>
    <s v="P"/>
    <s v="+"/>
    <s v="+"/>
    <n v="12.44"/>
    <n v="13.01"/>
    <n v="0.47"/>
    <n v="64.8"/>
    <n v="16.899999999999999"/>
    <n v="959"/>
    <n v="36.5"/>
    <s v="-"/>
    <s v="-"/>
    <s v="P"/>
    <s v="P"/>
    <n v="1"/>
    <n v="2"/>
    <n v="1"/>
    <n v="2"/>
    <n v="1"/>
    <n v="1"/>
    <n v="2"/>
    <n v="2"/>
    <n v="1"/>
    <n v="1"/>
    <n v="2"/>
    <s v="-"/>
    <n v="15"/>
    <n v="15"/>
    <s v="-"/>
    <n v="1"/>
    <n v="1"/>
    <n v="2"/>
    <n v="2"/>
    <n v="17"/>
    <n v="17"/>
  </r>
  <r>
    <x v="0"/>
    <x v="21"/>
    <d v="2026-01-28T00:00:00"/>
    <s v="2ND"/>
    <d v="1899-12-30T18:00:00"/>
    <n v="3"/>
    <x v="16"/>
    <n v="1.1900000000000001E-2"/>
    <s v="P"/>
    <s v="P"/>
    <s v="P"/>
    <s v="+"/>
    <s v="+"/>
    <n v="12.89"/>
    <s v="-"/>
    <s v="-"/>
    <s v="-"/>
    <s v="-"/>
    <s v="-"/>
    <s v="-"/>
    <s v="-"/>
    <s v="-"/>
    <s v="P"/>
    <s v="P"/>
    <s v="-"/>
    <n v="2"/>
    <n v="1"/>
    <n v="2"/>
    <n v="1"/>
    <s v="-"/>
    <s v="-"/>
    <s v="-"/>
    <s v="-"/>
    <s v="-"/>
    <s v="-"/>
    <s v="-"/>
    <n v="6"/>
    <n v="6"/>
    <s v="-"/>
    <n v="1"/>
    <n v="1"/>
    <n v="2"/>
    <n v="2"/>
    <n v="8"/>
    <n v="8"/>
  </r>
  <r>
    <x v="0"/>
    <x v="21"/>
    <d v="2026-01-28T00:00:00"/>
    <s v="2ND"/>
    <d v="1899-12-30T20:00:00"/>
    <n v="3"/>
    <x v="16"/>
    <s v="-"/>
    <s v="P"/>
    <s v="P"/>
    <s v="P"/>
    <s v="+"/>
    <s v="+"/>
    <n v="12.97"/>
    <s v="-"/>
    <s v="-"/>
    <s v="-"/>
    <s v="-"/>
    <s v="-"/>
    <s v="-"/>
    <s v="-"/>
    <s v="-"/>
    <s v="P"/>
    <s v="P"/>
    <s v="-"/>
    <s v="-"/>
    <n v="1"/>
    <n v="2"/>
    <n v="1"/>
    <s v="-"/>
    <s v="-"/>
    <s v="-"/>
    <s v="-"/>
    <s v="-"/>
    <s v="-"/>
    <s v="-"/>
    <n v="4"/>
    <n v="4"/>
    <s v="-"/>
    <n v="1"/>
    <n v="1"/>
    <n v="2"/>
    <n v="2"/>
    <n v="6"/>
    <n v="6"/>
  </r>
  <r>
    <x v="0"/>
    <x v="21"/>
    <d v="2026-01-28T00:00:00"/>
    <s v="2ND"/>
    <d v="1899-12-30T21:00:00"/>
    <n v="3"/>
    <x v="16"/>
    <n v="1.37E-2"/>
    <s v="P"/>
    <s v="P"/>
    <s v="P"/>
    <s v="+"/>
    <s v="+"/>
    <n v="13.18"/>
    <s v="-"/>
    <s v="-"/>
    <s v="-"/>
    <s v="-"/>
    <s v="-"/>
    <s v="-"/>
    <s v="-"/>
    <s v="-"/>
    <s v="P"/>
    <s v="P"/>
    <s v="-"/>
    <n v="2"/>
    <n v="1"/>
    <n v="2"/>
    <n v="1"/>
    <s v="-"/>
    <s v="-"/>
    <s v="-"/>
    <s v="-"/>
    <s v="-"/>
    <s v="-"/>
    <s v="-"/>
    <n v="6"/>
    <n v="6"/>
    <s v="-"/>
    <n v="1"/>
    <n v="1"/>
    <n v="2"/>
    <n v="2"/>
    <n v="8"/>
    <n v="8"/>
  </r>
  <r>
    <x v="0"/>
    <x v="21"/>
    <d v="2026-01-28T00:00:00"/>
    <s v="3RD"/>
    <d v="1899-12-30T22:00:00"/>
    <n v="3"/>
    <x v="16"/>
    <n v="3.5000000000000001E-3"/>
    <s v="P"/>
    <s v="P"/>
    <s v="P"/>
    <s v="+"/>
    <s v="+"/>
    <n v="13.2"/>
    <n v="13.05"/>
    <n v="0.47"/>
    <s v="-"/>
    <s v="-"/>
    <s v="-"/>
    <n v="36.4"/>
    <s v="-"/>
    <s v="-"/>
    <s v="P"/>
    <s v="P"/>
    <n v="1"/>
    <n v="2"/>
    <n v="1"/>
    <n v="2"/>
    <n v="1"/>
    <n v="1"/>
    <n v="2"/>
    <s v="-"/>
    <s v="-"/>
    <s v="-"/>
    <n v="2"/>
    <s v="-"/>
    <n v="11"/>
    <n v="11"/>
    <s v="-"/>
    <n v="1"/>
    <n v="1"/>
    <n v="2"/>
    <n v="2"/>
    <n v="13"/>
    <n v="13"/>
  </r>
  <r>
    <x v="0"/>
    <x v="21"/>
    <d v="2026-01-28T00:00:00"/>
    <s v="3RD"/>
    <d v="1899-12-31T02:00:00"/>
    <n v="3"/>
    <x v="16"/>
    <n v="8.8999999999999999E-3"/>
    <s v="P"/>
    <s v="P"/>
    <s v="P"/>
    <s v="+"/>
    <s v="+"/>
    <n v="12.74"/>
    <s v="-"/>
    <s v="-"/>
    <s v="-"/>
    <s v="-"/>
    <s v="-"/>
    <s v="-"/>
    <s v="-"/>
    <s v="-"/>
    <s v="P"/>
    <s v="P"/>
    <s v="-"/>
    <n v="2"/>
    <n v="1"/>
    <n v="2"/>
    <n v="1"/>
    <s v="-"/>
    <s v="-"/>
    <s v="-"/>
    <s v="-"/>
    <s v="-"/>
    <s v="-"/>
    <s v="-"/>
    <n v="6"/>
    <n v="6"/>
    <s v="-"/>
    <n v="1"/>
    <n v="1"/>
    <n v="2"/>
    <n v="2"/>
    <n v="8"/>
    <n v="8"/>
  </r>
  <r>
    <x v="0"/>
    <x v="21"/>
    <d v="2026-01-28T00:00:00"/>
    <s v="3RD"/>
    <d v="1899-12-31T03:00:00"/>
    <n v="3"/>
    <x v="16"/>
    <n v="1.0500000000000001E-2"/>
    <s v="P"/>
    <s v="P"/>
    <s v="P"/>
    <s v="+"/>
    <s v="+"/>
    <n v="13.16"/>
    <s v="-"/>
    <s v="-"/>
    <s v="-"/>
    <s v="-"/>
    <s v="-"/>
    <s v="-"/>
    <s v="-"/>
    <s v="-"/>
    <s v="P"/>
    <s v="P"/>
    <s v="-"/>
    <n v="2"/>
    <n v="1"/>
    <n v="2"/>
    <n v="1"/>
    <s v="-"/>
    <s v="-"/>
    <s v="-"/>
    <s v="-"/>
    <s v="-"/>
    <s v="-"/>
    <s v="-"/>
    <n v="6"/>
    <n v="6"/>
    <s v="-"/>
    <n v="1"/>
    <n v="1"/>
    <n v="2"/>
    <n v="2"/>
    <n v="8"/>
    <n v="8"/>
  </r>
  <r>
    <x v="0"/>
    <x v="21"/>
    <d v="2026-01-28T00:00:00"/>
    <s v="3RD"/>
    <d v="1899-12-31T04:00:00"/>
    <n v="3"/>
    <x v="16"/>
    <s v="-"/>
    <s v="P"/>
    <s v="P"/>
    <s v="P"/>
    <s v="+"/>
    <s v="+"/>
    <n v="13.78"/>
    <s v="-"/>
    <s v="-"/>
    <s v="-"/>
    <s v="-"/>
    <s v="-"/>
    <s v="-"/>
    <s v="-"/>
    <s v="-"/>
    <s v="P"/>
    <s v="P"/>
    <s v="-"/>
    <s v="-"/>
    <n v="1"/>
    <n v="2"/>
    <n v="1"/>
    <s v="-"/>
    <s v="-"/>
    <s v="-"/>
    <s v="-"/>
    <s v="-"/>
    <s v="-"/>
    <s v="-"/>
    <n v="4"/>
    <n v="4"/>
    <s v="-"/>
    <n v="1"/>
    <n v="1"/>
    <n v="2"/>
    <n v="2"/>
    <n v="6"/>
    <n v="6"/>
  </r>
  <r>
    <x v="0"/>
    <x v="22"/>
    <d v="2026-01-26T00:00:00"/>
    <s v="1ST"/>
    <d v="1899-12-30T06:00:00"/>
    <n v="2"/>
    <x v="7"/>
    <n v="8.8000000000000005E-3"/>
    <s v="P"/>
    <s v="P"/>
    <s v="P"/>
    <s v="-"/>
    <s v="+"/>
    <n v="11.13"/>
    <n v="8.74"/>
    <n v="0.45"/>
    <n v="56.8"/>
    <s v="-"/>
    <s v="-"/>
    <n v="23.65"/>
    <s v="-"/>
    <n v="25.2"/>
    <s v="P"/>
    <s v="P"/>
    <s v="-"/>
    <n v="2"/>
    <n v="1"/>
    <n v="2"/>
    <n v="1"/>
    <n v="1"/>
    <n v="2"/>
    <n v="2"/>
    <s v="-"/>
    <s v="-"/>
    <n v="2"/>
    <s v="-"/>
    <n v="13"/>
    <n v="13"/>
    <n v="1"/>
    <n v="1"/>
    <n v="1"/>
    <n v="3"/>
    <n v="3"/>
    <n v="16"/>
    <n v="16"/>
  </r>
  <r>
    <x v="0"/>
    <x v="22"/>
    <d v="2026-01-26T00:00:00"/>
    <s v="1ST"/>
    <d v="1899-12-30T07:00:00"/>
    <n v="2"/>
    <x v="7"/>
    <n v="7.1999999999999998E-3"/>
    <s v="P"/>
    <s v="P"/>
    <s v="P"/>
    <s v="-"/>
    <s v="+"/>
    <n v="11.24"/>
    <s v="-"/>
    <s v="-"/>
    <s v="-"/>
    <s v="-"/>
    <s v="-"/>
    <s v="-"/>
    <s v="-"/>
    <s v="-"/>
    <s v="P"/>
    <s v="P"/>
    <s v="-"/>
    <n v="2"/>
    <n v="1"/>
    <n v="2"/>
    <n v="1"/>
    <s v="-"/>
    <s v="-"/>
    <s v="-"/>
    <s v="-"/>
    <s v="-"/>
    <s v="-"/>
    <s v="-"/>
    <n v="6"/>
    <n v="6"/>
    <s v="-"/>
    <n v="1"/>
    <n v="1"/>
    <n v="2"/>
    <n v="2"/>
    <n v="8"/>
    <n v="8"/>
  </r>
  <r>
    <x v="0"/>
    <x v="22"/>
    <d v="2026-01-26T00:00:00"/>
    <s v="1ST"/>
    <d v="1899-12-30T08:00:00"/>
    <n v="2"/>
    <x v="7"/>
    <n v="5.7999999999999996E-3"/>
    <s v="P"/>
    <s v="P"/>
    <s v="P"/>
    <s v="-"/>
    <s v="+"/>
    <n v="11.11"/>
    <s v="-"/>
    <s v="-"/>
    <s v="-"/>
    <s v="-"/>
    <s v="-"/>
    <s v="-"/>
    <s v="-"/>
    <s v="-"/>
    <s v="P"/>
    <s v="P"/>
    <s v="-"/>
    <n v="2"/>
    <n v="1"/>
    <n v="2"/>
    <n v="1"/>
    <s v="-"/>
    <s v="-"/>
    <s v="-"/>
    <s v="-"/>
    <s v="-"/>
    <s v="-"/>
    <s v="-"/>
    <n v="6"/>
    <n v="6"/>
    <s v="-"/>
    <n v="1"/>
    <n v="1"/>
    <n v="2"/>
    <n v="2"/>
    <n v="8"/>
    <n v="8"/>
  </r>
  <r>
    <x v="0"/>
    <x v="22"/>
    <d v="2026-01-26T00:00:00"/>
    <s v="1ST"/>
    <d v="1899-12-30T09:00:00"/>
    <n v="2"/>
    <x v="7"/>
    <n v="5.0000000000000001E-3"/>
    <s v="P"/>
    <s v="P"/>
    <s v="P"/>
    <s v="-"/>
    <s v="+"/>
    <n v="10.89"/>
    <s v="-"/>
    <s v="-"/>
    <s v="-"/>
    <s v="-"/>
    <s v="-"/>
    <s v="-"/>
    <s v="-"/>
    <s v="-"/>
    <s v="P"/>
    <s v="P"/>
    <s v="-"/>
    <n v="2"/>
    <n v="1"/>
    <n v="2"/>
    <n v="0"/>
    <s v="-"/>
    <s v="-"/>
    <s v="-"/>
    <s v="-"/>
    <s v="-"/>
    <s v="-"/>
    <s v="-"/>
    <n v="5"/>
    <n v="6"/>
    <s v="-"/>
    <n v="1"/>
    <n v="1"/>
    <n v="2"/>
    <n v="2"/>
    <n v="7"/>
    <n v="8"/>
  </r>
  <r>
    <x v="0"/>
    <x v="22"/>
    <d v="1899-12-31T00:00:00"/>
    <s v="3RD"/>
    <d v="1899-12-31T03:00:00"/>
    <n v="3"/>
    <x v="10"/>
    <n v="4.8999999999999998E-3"/>
    <s v="P"/>
    <s v="P"/>
    <s v="P"/>
    <s v="+"/>
    <s v="+"/>
    <n v="12.39"/>
    <n v="12.34"/>
    <n v="0.39"/>
    <n v="63"/>
    <s v="-"/>
    <s v="-"/>
    <s v="-"/>
    <n v="34.4"/>
    <s v="-"/>
    <s v="-"/>
    <s v="P"/>
    <s v="-"/>
    <n v="2"/>
    <n v="1"/>
    <n v="2"/>
    <n v="1"/>
    <n v="1"/>
    <n v="2"/>
    <n v="2"/>
    <s v="-"/>
    <s v="-"/>
    <s v="-"/>
    <n v="0"/>
    <n v="11"/>
    <n v="12"/>
    <s v="-"/>
    <s v="-"/>
    <n v="1"/>
    <n v="1"/>
    <n v="1"/>
    <n v="12"/>
    <n v="13"/>
  </r>
  <r>
    <x v="0"/>
    <x v="22"/>
    <d v="1899-12-30T00:00:00"/>
    <s v="3RD"/>
    <d v="1899-12-31T04:00:00"/>
    <n v="3"/>
    <x v="10"/>
    <n v="6.3E-3"/>
    <s v="P"/>
    <s v="P"/>
    <s v="P"/>
    <s v="+"/>
    <s v="+"/>
    <n v="12.98"/>
    <s v="-"/>
    <s v="-"/>
    <s v="-"/>
    <s v="-"/>
    <s v="-"/>
    <s v="-"/>
    <s v="-"/>
    <s v="-"/>
    <s v="-"/>
    <s v="P"/>
    <s v="-"/>
    <n v="2"/>
    <n v="1"/>
    <n v="2"/>
    <n v="1"/>
    <s v="-"/>
    <s v="-"/>
    <s v="-"/>
    <s v="-"/>
    <s v="-"/>
    <s v="-"/>
    <s v="-"/>
    <n v="6"/>
    <n v="6"/>
    <s v="-"/>
    <s v="-"/>
    <n v="1"/>
    <n v="1"/>
    <n v="1"/>
    <n v="7"/>
    <n v="7"/>
  </r>
  <r>
    <x v="0"/>
    <x v="22"/>
    <d v="1902-03-25T00:00:00"/>
    <s v="3RD"/>
    <d v="1899-12-31T01:00:00"/>
    <n v="2"/>
    <x v="23"/>
    <n v="8.6999999999999994E-3"/>
    <s v="P"/>
    <s v="P"/>
    <s v="P"/>
    <s v="-"/>
    <s v="-"/>
    <n v="12.57"/>
    <n v="11.96"/>
    <n v="0.34"/>
    <n v="63.8"/>
    <n v="17.899999999999999"/>
    <n v="605"/>
    <n v="33.299999999999997"/>
    <s v="-"/>
    <n v="25.17"/>
    <s v="P"/>
    <s v="P"/>
    <s v="-"/>
    <n v="2"/>
    <n v="1"/>
    <n v="2"/>
    <n v="1"/>
    <n v="1"/>
    <n v="2"/>
    <n v="2"/>
    <n v="1"/>
    <n v="1"/>
    <n v="2"/>
    <s v="-"/>
    <n v="15"/>
    <n v="15"/>
    <n v="1"/>
    <n v="1"/>
    <n v="1"/>
    <n v="3"/>
    <n v="3"/>
    <n v="18"/>
    <n v="18"/>
  </r>
  <r>
    <x v="0"/>
    <x v="22"/>
    <d v="1899-12-30T00:00:00"/>
    <s v="3RD"/>
    <d v="1899-12-31T02:00:00"/>
    <n v="2"/>
    <x v="23"/>
    <n v="9.4000000000000004E-3"/>
    <s v="P"/>
    <s v="P"/>
    <s v="P"/>
    <s v="-"/>
    <s v="-"/>
    <n v="11.6"/>
    <s v="-"/>
    <s v="-"/>
    <s v="-"/>
    <s v="-"/>
    <s v="-"/>
    <s v="-"/>
    <s v="-"/>
    <s v="-"/>
    <s v="P"/>
    <s v="P"/>
    <s v="-"/>
    <n v="2"/>
    <n v="1"/>
    <n v="2"/>
    <n v="0"/>
    <s v="-"/>
    <s v="-"/>
    <s v="-"/>
    <s v="-"/>
    <s v="-"/>
    <s v="-"/>
    <s v="-"/>
    <n v="5"/>
    <n v="6"/>
    <s v="-"/>
    <n v="1"/>
    <n v="1"/>
    <n v="2"/>
    <n v="2"/>
    <n v="7"/>
    <n v="8"/>
  </r>
  <r>
    <x v="0"/>
    <x v="22"/>
    <d v="2026-01-23T00:00:00"/>
    <s v="2ND"/>
    <d v="1899-12-30T14:00:00"/>
    <s v="Retail"/>
    <x v="25"/>
    <s v="-"/>
    <s v="-"/>
    <s v="P"/>
    <s v="P"/>
    <s v="+"/>
    <s v="+"/>
    <n v="12.21"/>
    <n v="11.43"/>
    <n v="0.73"/>
    <n v="66.8"/>
    <s v="-"/>
    <s v="-"/>
    <n v="33.5"/>
    <s v="-"/>
    <s v="-"/>
    <s v="-"/>
    <s v="-"/>
    <s v="-"/>
    <s v="-"/>
    <s v="-"/>
    <n v="2"/>
    <n v="1"/>
    <n v="0"/>
    <n v="2"/>
    <n v="2"/>
    <s v="-"/>
    <s v="-"/>
    <n v="0"/>
    <s v="-"/>
    <n v="7"/>
    <n v="10"/>
    <s v="-"/>
    <s v="-"/>
    <s v="-"/>
    <n v="0"/>
    <n v="0"/>
    <n v="7"/>
    <n v="10"/>
  </r>
  <r>
    <x v="0"/>
    <x v="22"/>
    <d v="2026-01-28T00:00:00"/>
    <s v="1ST"/>
    <d v="1899-12-30T07:00:00"/>
    <n v="3"/>
    <x v="37"/>
    <n v="4.7999999999999996E-3"/>
    <s v="P"/>
    <s v="P"/>
    <s v="P"/>
    <s v="+"/>
    <s v="+"/>
    <n v="12.4"/>
    <n v="12.71"/>
    <n v="0.47"/>
    <n v="64.400000000000006"/>
    <s v="-"/>
    <s v="-"/>
    <n v="35.5"/>
    <s v="-"/>
    <s v="-"/>
    <s v="P"/>
    <s v="P"/>
    <s v="-"/>
    <n v="2"/>
    <n v="1"/>
    <n v="2"/>
    <n v="1"/>
    <n v="1"/>
    <n v="2"/>
    <n v="2"/>
    <s v="-"/>
    <s v="-"/>
    <s v="-"/>
    <s v="-"/>
    <n v="11"/>
    <n v="11"/>
    <s v="-"/>
    <n v="1"/>
    <n v="1"/>
    <n v="2"/>
    <n v="2"/>
    <n v="13"/>
    <n v="13"/>
  </r>
  <r>
    <x v="0"/>
    <x v="22"/>
    <d v="2026-01-28T00:00:00"/>
    <s v="1ST"/>
    <d v="1899-12-30T08:00:00"/>
    <n v="3"/>
    <x v="37"/>
    <n v="3.5000000000000001E-3"/>
    <s v="P"/>
    <s v="P"/>
    <s v="P"/>
    <s v="+"/>
    <s v="+"/>
    <n v="13.12"/>
    <s v="-"/>
    <s v="-"/>
    <s v="-"/>
    <s v="-"/>
    <s v="-"/>
    <s v="-"/>
    <s v="-"/>
    <s v="-"/>
    <s v="P"/>
    <s v="P"/>
    <s v="-"/>
    <n v="2"/>
    <n v="1"/>
    <n v="2"/>
    <n v="1"/>
    <s v="-"/>
    <s v="-"/>
    <s v="-"/>
    <s v="-"/>
    <s v="-"/>
    <s v="-"/>
    <s v="-"/>
    <n v="6"/>
    <n v="6"/>
    <s v="-"/>
    <n v="1"/>
    <n v="1"/>
    <n v="2"/>
    <n v="2"/>
    <n v="8"/>
    <n v="8"/>
  </r>
  <r>
    <x v="0"/>
    <x v="22"/>
    <d v="2026-01-28T00:00:00"/>
    <s v="1ST"/>
    <d v="1899-12-30T09:00:00"/>
    <n v="3"/>
    <x v="8"/>
    <n v="4.1999999999999997E-3"/>
    <s v="P"/>
    <s v="P"/>
    <s v="P"/>
    <s v="+"/>
    <s v="+"/>
    <n v="12.79"/>
    <n v="12.78"/>
    <n v="0.46"/>
    <n v="62.7"/>
    <s v="-"/>
    <s v="-"/>
    <n v="35.700000000000003"/>
    <s v="-"/>
    <s v="-"/>
    <s v="P"/>
    <s v="P"/>
    <s v="-"/>
    <n v="2"/>
    <n v="1"/>
    <n v="2"/>
    <n v="1"/>
    <n v="1"/>
    <n v="2"/>
    <n v="0"/>
    <s v="-"/>
    <s v="-"/>
    <s v="-"/>
    <s v="-"/>
    <n v="9"/>
    <n v="11"/>
    <s v="-"/>
    <n v="1"/>
    <n v="1"/>
    <n v="2"/>
    <n v="2"/>
    <n v="11"/>
    <n v="13"/>
  </r>
  <r>
    <x v="0"/>
    <x v="22"/>
    <d v="2026-01-28T00:00:00"/>
    <s v="1ST"/>
    <d v="1899-12-30T11:00:00"/>
    <n v="3"/>
    <x v="8"/>
    <n v="3.8E-3"/>
    <s v="P"/>
    <s v="P"/>
    <s v="P"/>
    <s v="+"/>
    <s v="+"/>
    <n v="12.71"/>
    <n v="12.91"/>
    <n v="0.47"/>
    <n v="63.4"/>
    <s v="-"/>
    <s v="-"/>
    <n v="36.1"/>
    <s v="-"/>
    <s v="-"/>
    <s v="P"/>
    <s v="P"/>
    <s v="-"/>
    <n v="2"/>
    <n v="1"/>
    <n v="2"/>
    <n v="1"/>
    <n v="1"/>
    <n v="2"/>
    <n v="0"/>
    <s v="-"/>
    <s v="-"/>
    <s v="-"/>
    <s v="-"/>
    <n v="9"/>
    <n v="11"/>
    <s v="-"/>
    <n v="1"/>
    <n v="1"/>
    <n v="2"/>
    <n v="2"/>
    <n v="11"/>
    <n v="13"/>
  </r>
  <r>
    <x v="0"/>
    <x v="22"/>
    <d v="2026-01-28T00:00:00"/>
    <s v="1ST"/>
    <d v="1899-12-30T12:00:00"/>
    <n v="3"/>
    <x v="8"/>
    <n v="4.5999999999999999E-3"/>
    <s v="P"/>
    <s v="P"/>
    <s v="P"/>
    <s v="+"/>
    <s v="+"/>
    <n v="13.16"/>
    <s v="-"/>
    <s v="-"/>
    <s v="-"/>
    <s v="-"/>
    <s v="-"/>
    <s v="-"/>
    <s v="-"/>
    <s v="-"/>
    <s v="P"/>
    <s v="P"/>
    <s v="-"/>
    <n v="2"/>
    <n v="1"/>
    <n v="2"/>
    <n v="1"/>
    <s v="-"/>
    <s v="-"/>
    <s v="-"/>
    <s v="-"/>
    <s v="-"/>
    <s v="-"/>
    <s v="-"/>
    <n v="6"/>
    <n v="6"/>
    <s v="-"/>
    <n v="1"/>
    <n v="1"/>
    <n v="2"/>
    <n v="2"/>
    <n v="8"/>
    <n v="8"/>
  </r>
  <r>
    <x v="0"/>
    <x v="22"/>
    <d v="2026-01-28T00:00:00"/>
    <s v="2ND"/>
    <d v="1899-12-30T14:00:00"/>
    <n v="3"/>
    <x v="8"/>
    <n v="1.41E-2"/>
    <s v="P"/>
    <s v="P"/>
    <s v="P"/>
    <s v="+"/>
    <s v="+"/>
    <n v="12.95"/>
    <n v="12.91"/>
    <n v="0.47"/>
    <s v="-"/>
    <s v="-"/>
    <s v="-"/>
    <n v="36.1"/>
    <s v="-"/>
    <s v="-"/>
    <s v="P"/>
    <s v="P"/>
    <n v="1"/>
    <n v="2"/>
    <n v="1"/>
    <n v="2"/>
    <n v="1"/>
    <n v="1"/>
    <n v="2"/>
    <s v="-"/>
    <s v="-"/>
    <s v="-"/>
    <s v="-"/>
    <s v="-"/>
    <n v="9"/>
    <n v="9"/>
    <s v="-"/>
    <n v="1"/>
    <n v="1"/>
    <n v="2"/>
    <n v="2"/>
    <n v="11"/>
    <n v="11"/>
  </r>
  <r>
    <x v="0"/>
    <x v="22"/>
    <d v="2026-01-28T00:00:00"/>
    <s v="2ND"/>
    <d v="1899-12-30T16:00:00"/>
    <n v="3"/>
    <x v="8"/>
    <n v="1.2699999999999999E-2"/>
    <s v="P"/>
    <s v="P"/>
    <s v="P"/>
    <s v="+"/>
    <s v="+"/>
    <n v="12.45"/>
    <s v="-"/>
    <s v="-"/>
    <s v="-"/>
    <s v="-"/>
    <s v="-"/>
    <s v="-"/>
    <s v="-"/>
    <s v="-"/>
    <s v="P"/>
    <s v="P"/>
    <s v="-"/>
    <n v="2"/>
    <n v="1"/>
    <n v="2"/>
    <n v="1"/>
    <s v="-"/>
    <s v="-"/>
    <s v="-"/>
    <s v="-"/>
    <s v="-"/>
    <s v="-"/>
    <s v="-"/>
    <n v="6"/>
    <n v="6"/>
    <s v="-"/>
    <n v="1"/>
    <n v="1"/>
    <n v="2"/>
    <n v="2"/>
    <n v="8"/>
    <n v="8"/>
  </r>
  <r>
    <x v="0"/>
    <x v="22"/>
    <d v="2026-01-23T00:00:00"/>
    <s v="2ND"/>
    <d v="1899-12-30T17:00:00"/>
    <n v="3"/>
    <x v="0"/>
    <n v="1.37E-2"/>
    <s v="P"/>
    <s v="P"/>
    <s v="P"/>
    <s v="+"/>
    <s v="+"/>
    <n v="12.14"/>
    <n v="13.16"/>
    <n v="0.49"/>
    <n v="64.099999999999994"/>
    <s v="-"/>
    <s v="-"/>
    <n v="37"/>
    <s v="-"/>
    <s v="-"/>
    <s v="P"/>
    <s v="P"/>
    <s v="85% 5% 10%"/>
    <n v="2"/>
    <n v="1"/>
    <n v="2"/>
    <n v="1"/>
    <n v="1"/>
    <n v="2"/>
    <n v="2"/>
    <s v="-"/>
    <s v="-"/>
    <n v="2"/>
    <s v="-"/>
    <n v="13"/>
    <n v="13"/>
    <s v="-"/>
    <n v="1"/>
    <n v="1"/>
    <n v="2"/>
    <n v="2"/>
    <n v="15"/>
    <n v="15"/>
  </r>
  <r>
    <x v="0"/>
    <x v="22"/>
    <d v="2026-01-23T00:00:00"/>
    <s v="2ND"/>
    <d v="1899-12-30T19:00:00"/>
    <n v="3"/>
    <x v="0"/>
    <n v="0.01"/>
    <s v="P"/>
    <s v="P"/>
    <s v="P"/>
    <s v="+"/>
    <s v="+"/>
    <n v="12.84"/>
    <s v="-"/>
    <s v="-"/>
    <s v="-"/>
    <s v="-"/>
    <s v="-"/>
    <s v="-"/>
    <s v="-"/>
    <s v="-"/>
    <s v="P"/>
    <s v="P"/>
    <s v="-"/>
    <n v="2"/>
    <n v="1"/>
    <n v="2"/>
    <n v="1"/>
    <s v="-"/>
    <s v="-"/>
    <s v="-"/>
    <s v="-"/>
    <s v="-"/>
    <s v="-"/>
    <s v="-"/>
    <n v="6"/>
    <n v="6"/>
    <s v="-"/>
    <n v="1"/>
    <n v="1"/>
    <n v="2"/>
    <n v="2"/>
    <n v="8"/>
    <n v="8"/>
  </r>
  <r>
    <x v="0"/>
    <x v="22"/>
    <d v="2026-01-03T00:00:00"/>
    <s v="2ND"/>
    <d v="1899-12-30T20:00:00"/>
    <n v="1"/>
    <x v="1"/>
    <n v="1.9800000000000002E-2"/>
    <s v="P"/>
    <s v="P"/>
    <s v="P"/>
    <s v="+"/>
    <s v="+"/>
    <n v="11.31"/>
    <n v="13.88"/>
    <n v="0.48"/>
    <s v="-"/>
    <s v="-"/>
    <s v="-"/>
    <n v="36.700000000000003"/>
    <s v="-"/>
    <s v="-"/>
    <s v="P"/>
    <s v="P"/>
    <n v="1"/>
    <n v="2"/>
    <n v="1"/>
    <n v="2"/>
    <n v="0"/>
    <n v="1"/>
    <n v="2"/>
    <s v="-"/>
    <s v="-"/>
    <s v="-"/>
    <n v="2"/>
    <s v="-"/>
    <n v="10"/>
    <n v="11"/>
    <s v="-"/>
    <n v="1"/>
    <n v="1"/>
    <n v="2"/>
    <n v="2"/>
    <n v="12"/>
    <n v="13"/>
  </r>
  <r>
    <x v="0"/>
    <x v="22"/>
    <d v="2026-01-03T00:00:00"/>
    <s v="2ND"/>
    <d v="1899-12-30T21:00:00"/>
    <n v="1"/>
    <x v="1"/>
    <n v="9.7999999999999997E-3"/>
    <s v="P"/>
    <s v="P"/>
    <s v="P"/>
    <s v="+"/>
    <s v="+"/>
    <n v="12.61"/>
    <s v="-"/>
    <s v="-"/>
    <s v="-"/>
    <s v="-"/>
    <s v="-"/>
    <s v="-"/>
    <s v="-"/>
    <s v="-"/>
    <s v="P"/>
    <s v="P"/>
    <s v="-"/>
    <n v="2"/>
    <n v="1"/>
    <n v="2"/>
    <n v="1"/>
    <s v="-"/>
    <s v="-"/>
    <s v="-"/>
    <s v="-"/>
    <s v="-"/>
    <s v="-"/>
    <s v="-"/>
    <n v="6"/>
    <n v="6"/>
    <s v="-"/>
    <n v="1"/>
    <n v="1"/>
    <n v="2"/>
    <n v="2"/>
    <n v="8"/>
    <n v="8"/>
  </r>
  <r>
    <x v="0"/>
    <x v="22"/>
    <s v="-"/>
    <s v="3RD"/>
    <d v="1899-12-30T22:00:00"/>
    <n v="1"/>
    <x v="1"/>
    <n v="9.7000000000000003E-3"/>
    <s v="P"/>
    <s v="P"/>
    <s v="P"/>
    <s v="+"/>
    <s v="+"/>
    <n v="12.74"/>
    <n v="13.15"/>
    <n v="0.5"/>
    <s v="-"/>
    <s v="-"/>
    <s v="-"/>
    <n v="36.799999999999997"/>
    <s v="-"/>
    <n v="25.15"/>
    <s v="P"/>
    <s v="P"/>
    <n v="1"/>
    <n v="2"/>
    <n v="1"/>
    <n v="2"/>
    <n v="1"/>
    <n v="1"/>
    <n v="2"/>
    <s v="-"/>
    <s v="-"/>
    <s v="-"/>
    <n v="2"/>
    <s v="-"/>
    <n v="11"/>
    <n v="11"/>
    <n v="1"/>
    <n v="1"/>
    <n v="1"/>
    <n v="3"/>
    <n v="3"/>
    <n v="14"/>
    <n v="14"/>
  </r>
  <r>
    <x v="0"/>
    <x v="22"/>
    <d v="2026-01-03T00:00:00"/>
    <s v="3RD"/>
    <d v="1899-12-30T23:00:00"/>
    <n v="1"/>
    <x v="1"/>
    <n v="1.0999999999999999E-2"/>
    <s v="P"/>
    <s v="P"/>
    <s v="P"/>
    <s v="+"/>
    <s v="+"/>
    <n v="12.84"/>
    <s v="-"/>
    <s v="-"/>
    <s v="-"/>
    <s v="-"/>
    <s v="-"/>
    <s v="-"/>
    <s v="-"/>
    <s v="-"/>
    <s v="P"/>
    <s v="P"/>
    <s v="-"/>
    <n v="2"/>
    <n v="1"/>
    <n v="2"/>
    <n v="1"/>
    <s v="-"/>
    <s v="-"/>
    <s v="-"/>
    <s v="-"/>
    <s v="-"/>
    <s v="-"/>
    <s v="-"/>
    <n v="6"/>
    <n v="6"/>
    <s v="-"/>
    <n v="1"/>
    <n v="1"/>
    <n v="2"/>
    <n v="2"/>
    <n v="8"/>
    <n v="8"/>
  </r>
  <r>
    <x v="0"/>
    <x v="22"/>
    <d v="1899-12-30T00:00:00"/>
    <s v="2ND"/>
    <d v="1899-12-30T15:00:00"/>
    <s v="Retail"/>
    <x v="13"/>
    <s v="-"/>
    <s v="-"/>
    <s v="-"/>
    <s v="-"/>
    <s v="-"/>
    <s v="-"/>
    <n v="11.32"/>
    <s v="-"/>
    <n v="4.47"/>
    <s v="-"/>
    <s v="-"/>
    <s v="-"/>
    <s v="-"/>
    <s v="-"/>
    <s v="-"/>
    <s v="-"/>
    <s v="-"/>
    <s v="-"/>
    <s v="-"/>
    <s v="-"/>
    <s v="-"/>
    <n v="1"/>
    <s v="-"/>
    <n v="2"/>
    <s v="-"/>
    <s v="-"/>
    <s v="-"/>
    <s v="-"/>
    <s v="-"/>
    <n v="3"/>
    <n v="3"/>
    <s v="-"/>
    <s v="-"/>
    <s v="-"/>
    <n v="0"/>
    <n v="0"/>
    <n v="3"/>
    <n v="3"/>
  </r>
  <r>
    <x v="0"/>
    <x v="22"/>
    <d v="1899-12-30T00:00:00"/>
    <s v="2ND"/>
    <d v="1899-12-30T16:00:00"/>
    <s v="Retail"/>
    <x v="9"/>
    <s v="-"/>
    <s v="-"/>
    <s v="-"/>
    <s v="-"/>
    <s v="-"/>
    <s v="-"/>
    <n v="10.029999999999999"/>
    <s v="-"/>
    <n v="5.04"/>
    <s v="-"/>
    <s v="-"/>
    <s v="-"/>
    <s v="-"/>
    <s v="-"/>
    <s v="-"/>
    <s v="-"/>
    <s v="-"/>
    <s v="-"/>
    <s v="-"/>
    <s v="-"/>
    <s v="-"/>
    <n v="1"/>
    <s v="-"/>
    <n v="2"/>
    <s v="-"/>
    <s v="-"/>
    <s v="-"/>
    <s v="-"/>
    <s v="-"/>
    <n v="3"/>
    <n v="3"/>
    <s v="-"/>
    <s v="-"/>
    <s v="-"/>
    <n v="0"/>
    <n v="0"/>
    <n v="3"/>
    <n v="3"/>
  </r>
  <r>
    <x v="0"/>
    <x v="22"/>
    <d v="2026-01-28T00:00:00"/>
    <s v="2ND"/>
    <d v="1899-12-30T20:00:00"/>
    <n v="3"/>
    <x v="16"/>
    <s v="-"/>
    <s v="P"/>
    <s v="P"/>
    <s v="P"/>
    <s v="+"/>
    <s v="+"/>
    <n v="12.71"/>
    <n v="12.99"/>
    <n v="0.4"/>
    <s v="-"/>
    <s v="-"/>
    <s v="-"/>
    <n v="36.5"/>
    <s v="-"/>
    <s v="-"/>
    <s v="P"/>
    <s v="P"/>
    <n v="1"/>
    <s v="-"/>
    <n v="1"/>
    <n v="2"/>
    <n v="1"/>
    <n v="1"/>
    <n v="2"/>
    <s v="-"/>
    <s v="-"/>
    <s v="-"/>
    <n v="2"/>
    <s v="-"/>
    <n v="9"/>
    <n v="9"/>
    <s v="-"/>
    <n v="1"/>
    <n v="1"/>
    <n v="2"/>
    <n v="2"/>
    <n v="11"/>
    <n v="11"/>
  </r>
  <r>
    <x v="0"/>
    <x v="22"/>
    <d v="2026-01-28T00:00:00"/>
    <s v="2ND"/>
    <d v="1899-12-30T21:00:00"/>
    <n v="3"/>
    <x v="16"/>
    <n v="1.3599999999999999E-2"/>
    <s v="P"/>
    <s v="P"/>
    <s v="P"/>
    <s v="+"/>
    <s v="+"/>
    <n v="13.16"/>
    <s v="-"/>
    <s v="-"/>
    <s v="-"/>
    <s v="-"/>
    <s v="-"/>
    <s v="-"/>
    <s v="-"/>
    <s v="-"/>
    <s v="P"/>
    <s v="P"/>
    <s v="-"/>
    <n v="2"/>
    <n v="1"/>
    <n v="2"/>
    <n v="1"/>
    <s v="-"/>
    <s v="-"/>
    <s v="-"/>
    <s v="-"/>
    <s v="-"/>
    <s v="-"/>
    <s v="-"/>
    <n v="6"/>
    <n v="6"/>
    <s v="-"/>
    <n v="1"/>
    <n v="1"/>
    <n v="2"/>
    <n v="2"/>
    <n v="8"/>
    <n v="8"/>
  </r>
  <r>
    <x v="0"/>
    <x v="22"/>
    <d v="1899-12-31T00:00:00"/>
    <s v="3RD"/>
    <d v="1899-12-30T22:00:00"/>
    <n v="3"/>
    <x v="16"/>
    <n v="6.4999999999999997E-3"/>
    <s v="P"/>
    <s v="P"/>
    <s v="P"/>
    <s v="+"/>
    <s v="+"/>
    <n v="12.75"/>
    <n v="12.87"/>
    <n v="0.49"/>
    <n v="64.2"/>
    <s v="-"/>
    <s v="-"/>
    <n v="35.9"/>
    <s v="-"/>
    <n v="25.19"/>
    <s v="P"/>
    <s v="P"/>
    <s v="-"/>
    <n v="2"/>
    <n v="1"/>
    <n v="2"/>
    <n v="1"/>
    <n v="1"/>
    <n v="2"/>
    <n v="2"/>
    <s v="-"/>
    <s v="-"/>
    <n v="2"/>
    <s v="-"/>
    <n v="13"/>
    <n v="13"/>
    <n v="1"/>
    <n v="1"/>
    <n v="1"/>
    <n v="3"/>
    <n v="3"/>
    <n v="16"/>
    <n v="16"/>
  </r>
  <r>
    <x v="0"/>
    <x v="22"/>
    <d v="1899-12-30T00:00:00"/>
    <s v="3RD"/>
    <d v="1899-12-30T23:00:00"/>
    <n v="3"/>
    <x v="16"/>
    <n v="1.18E-2"/>
    <s v="P"/>
    <s v="P"/>
    <s v="P"/>
    <s v="+"/>
    <s v="+"/>
    <n v="13.03"/>
    <s v="-"/>
    <s v="-"/>
    <s v="-"/>
    <s v="-"/>
    <s v="-"/>
    <s v="-"/>
    <s v="-"/>
    <s v="-"/>
    <s v="-"/>
    <s v="P"/>
    <s v="-"/>
    <n v="2"/>
    <n v="1"/>
    <n v="2"/>
    <n v="1"/>
    <s v="-"/>
    <s v="-"/>
    <s v="-"/>
    <s v="-"/>
    <s v="-"/>
    <s v="-"/>
    <s v="-"/>
    <n v="6"/>
    <n v="6"/>
    <s v="-"/>
    <s v="-"/>
    <n v="1"/>
    <n v="1"/>
    <n v="1"/>
    <n v="7"/>
    <n v="7"/>
  </r>
  <r>
    <x v="0"/>
    <x v="23"/>
    <d v="2026-01-23T00:00:00"/>
    <s v="1ST"/>
    <d v="1899-12-30T08:00:00"/>
    <n v="3"/>
    <x v="6"/>
    <n v="3.3999999999999998E-3"/>
    <s v="P"/>
    <s v="P"/>
    <s v="P"/>
    <s v="+"/>
    <s v="+"/>
    <n v="12.27"/>
    <n v="12.77"/>
    <n v="0.5"/>
    <n v="64.099999999999994"/>
    <s v="-"/>
    <s v="-"/>
    <n v="35.700000000000003"/>
    <s v="-"/>
    <n v="25.2"/>
    <s v="P"/>
    <s v="P"/>
    <s v="-"/>
    <n v="2"/>
    <n v="1"/>
    <n v="2"/>
    <n v="1"/>
    <n v="1"/>
    <n v="2"/>
    <n v="2"/>
    <s v="-"/>
    <s v="-"/>
    <n v="2"/>
    <s v="-"/>
    <n v="13"/>
    <n v="13"/>
    <n v="1"/>
    <n v="1"/>
    <n v="1"/>
    <n v="3"/>
    <n v="3"/>
    <n v="16"/>
    <n v="16"/>
  </r>
  <r>
    <x v="0"/>
    <x v="23"/>
    <d v="2026-01-23T00:00:00"/>
    <s v="1ST"/>
    <d v="1899-12-30T09:00:00"/>
    <n v="3"/>
    <x v="6"/>
    <n v="4.7999999999999996E-3"/>
    <s v="P"/>
    <s v="P"/>
    <s v="P"/>
    <s v="+"/>
    <s v="+"/>
    <n v="12.73"/>
    <s v="-"/>
    <s v="-"/>
    <s v="-"/>
    <s v="-"/>
    <s v="-"/>
    <s v="-"/>
    <s v="-"/>
    <s v="-"/>
    <s v="P"/>
    <s v="P"/>
    <s v="-"/>
    <n v="2"/>
    <n v="1"/>
    <n v="2"/>
    <n v="1"/>
    <s v="-"/>
    <s v="-"/>
    <s v="-"/>
    <s v="-"/>
    <s v="-"/>
    <s v="-"/>
    <s v="-"/>
    <n v="6"/>
    <n v="6"/>
    <s v="-"/>
    <n v="1"/>
    <n v="1"/>
    <n v="2"/>
    <n v="2"/>
    <n v="8"/>
    <n v="8"/>
  </r>
  <r>
    <x v="0"/>
    <x v="23"/>
    <d v="2026-01-23T00:00:00"/>
    <s v="1ST"/>
    <d v="1899-12-30T10:00:00"/>
    <n v="3"/>
    <x v="6"/>
    <n v="4.3E-3"/>
    <s v="P"/>
    <s v="P"/>
    <s v="P"/>
    <s v="+"/>
    <s v="+"/>
    <n v="12.89"/>
    <s v="-"/>
    <s v="-"/>
    <s v="-"/>
    <s v="-"/>
    <s v="-"/>
    <s v="-"/>
    <s v="-"/>
    <s v="-"/>
    <s v="P"/>
    <s v="P"/>
    <s v="-"/>
    <n v="2"/>
    <n v="1"/>
    <n v="2"/>
    <n v="1"/>
    <s v="-"/>
    <s v="-"/>
    <s v="-"/>
    <s v="-"/>
    <s v="-"/>
    <s v="-"/>
    <s v="-"/>
    <n v="6"/>
    <n v="6"/>
    <s v="-"/>
    <n v="1"/>
    <n v="1"/>
    <n v="2"/>
    <n v="2"/>
    <n v="8"/>
    <n v="8"/>
  </r>
  <r>
    <x v="0"/>
    <x v="23"/>
    <d v="2026-01-23T00:00:00"/>
    <s v="1ST"/>
    <d v="1899-12-30T11:00:00"/>
    <n v="3"/>
    <x v="6"/>
    <n v="4.4999999999999997E-3"/>
    <s v="P"/>
    <s v="P"/>
    <s v="P"/>
    <s v="+"/>
    <s v="+"/>
    <n v="12.81"/>
    <s v="-"/>
    <s v="-"/>
    <s v="-"/>
    <s v="-"/>
    <s v="-"/>
    <s v="-"/>
    <s v="-"/>
    <s v="-"/>
    <s v="P"/>
    <s v="P"/>
    <s v="-"/>
    <n v="2"/>
    <n v="1"/>
    <n v="2"/>
    <n v="1"/>
    <s v="-"/>
    <s v="-"/>
    <s v="-"/>
    <s v="-"/>
    <s v="-"/>
    <s v="-"/>
    <s v="-"/>
    <n v="6"/>
    <n v="6"/>
    <s v="-"/>
    <n v="1"/>
    <n v="1"/>
    <n v="2"/>
    <n v="2"/>
    <n v="8"/>
    <n v="8"/>
  </r>
  <r>
    <x v="0"/>
    <x v="23"/>
    <d v="2026-01-23T00:00:00"/>
    <s v="1ST"/>
    <d v="1899-12-30T12:00:00"/>
    <n v="3"/>
    <x v="6"/>
    <n v="3.0999999999999999E-3"/>
    <s v="P"/>
    <s v="P"/>
    <s v="P"/>
    <s v="+"/>
    <s v="+"/>
    <n v="12.92"/>
    <s v="-"/>
    <s v="-"/>
    <s v="-"/>
    <s v="-"/>
    <s v="-"/>
    <s v="-"/>
    <s v="-"/>
    <s v="-"/>
    <s v="P"/>
    <s v="P"/>
    <s v="-"/>
    <n v="2"/>
    <n v="1"/>
    <n v="2"/>
    <n v="1"/>
    <s v="-"/>
    <s v="-"/>
    <s v="-"/>
    <s v="-"/>
    <s v="-"/>
    <s v="-"/>
    <s v="-"/>
    <n v="6"/>
    <n v="6"/>
    <s v="-"/>
    <n v="1"/>
    <n v="1"/>
    <n v="2"/>
    <n v="2"/>
    <n v="8"/>
    <n v="8"/>
  </r>
  <r>
    <x v="0"/>
    <x v="23"/>
    <d v="2026-01-23T00:00:00"/>
    <s v="2ND"/>
    <d v="1899-12-30T14:00:00"/>
    <n v="3"/>
    <x v="6"/>
    <n v="1.24E-2"/>
    <s v="P"/>
    <s v="P"/>
    <s v="P"/>
    <s v="+"/>
    <s v="+"/>
    <n v="12.72"/>
    <n v="12.25"/>
    <n v="0.42"/>
    <s v="-"/>
    <s v="-"/>
    <s v="-"/>
    <n v="34.1"/>
    <s v="-"/>
    <s v="-"/>
    <s v="P"/>
    <s v="P"/>
    <s v="70% 20% 10%"/>
    <n v="2"/>
    <n v="1"/>
    <n v="2"/>
    <n v="1"/>
    <n v="1"/>
    <n v="2"/>
    <s v="-"/>
    <s v="-"/>
    <s v="-"/>
    <n v="2"/>
    <s v="-"/>
    <n v="11"/>
    <n v="11"/>
    <s v="-"/>
    <n v="1"/>
    <n v="1"/>
    <n v="2"/>
    <n v="2"/>
    <n v="13"/>
    <n v="13"/>
  </r>
  <r>
    <x v="0"/>
    <x v="23"/>
    <d v="2026-01-23T00:00:00"/>
    <s v="2ND"/>
    <d v="1899-12-30T16:00:00"/>
    <n v="3"/>
    <x v="6"/>
    <n v="1.5100000000000001E-2"/>
    <s v="P"/>
    <s v="P"/>
    <s v="P"/>
    <s v="+"/>
    <s v="+"/>
    <n v="12.28"/>
    <s v="-"/>
    <s v="-"/>
    <s v="-"/>
    <s v="-"/>
    <s v="-"/>
    <s v="-"/>
    <s v="-"/>
    <s v="-"/>
    <s v="P"/>
    <s v="P"/>
    <s v="-"/>
    <n v="2"/>
    <n v="1"/>
    <n v="2"/>
    <n v="1"/>
    <s v="-"/>
    <s v="-"/>
    <s v="-"/>
    <s v="-"/>
    <s v="-"/>
    <s v="-"/>
    <s v="-"/>
    <n v="6"/>
    <n v="6"/>
    <s v="-"/>
    <n v="1"/>
    <n v="1"/>
    <n v="2"/>
    <n v="2"/>
    <n v="8"/>
    <n v="8"/>
  </r>
  <r>
    <x v="0"/>
    <x v="23"/>
    <d v="2026-01-23T00:00:00"/>
    <s v="2ND"/>
    <d v="1899-12-30T20:00:00"/>
    <n v="3"/>
    <x v="6"/>
    <s v="-"/>
    <s v="P"/>
    <s v="P"/>
    <s v="P"/>
    <s v="+"/>
    <s v="+"/>
    <n v="12.52"/>
    <s v="-"/>
    <s v="-"/>
    <s v="-"/>
    <s v="-"/>
    <s v="-"/>
    <s v="-"/>
    <s v="-"/>
    <s v="-"/>
    <s v="P"/>
    <s v="P"/>
    <s v="-"/>
    <s v="-"/>
    <n v="1"/>
    <n v="2"/>
    <n v="1"/>
    <s v="-"/>
    <s v="-"/>
    <s v="-"/>
    <s v="-"/>
    <s v="-"/>
    <s v="-"/>
    <s v="-"/>
    <n v="4"/>
    <n v="4"/>
    <s v="-"/>
    <n v="1"/>
    <n v="1"/>
    <n v="2"/>
    <n v="2"/>
    <n v="6"/>
    <n v="6"/>
  </r>
  <r>
    <x v="0"/>
    <x v="23"/>
    <d v="2026-01-27T00:00:00"/>
    <s v="1ST"/>
    <d v="1899-12-30T06:00:00"/>
    <n v="3"/>
    <x v="10"/>
    <n v="1.17E-2"/>
    <s v="P"/>
    <s v="P"/>
    <s v="P"/>
    <s v="+"/>
    <s v="+"/>
    <n v="13.07"/>
    <n v="11.87"/>
    <n v="0.3"/>
    <n v="63.4"/>
    <s v="-"/>
    <s v="-"/>
    <n v="32.9"/>
    <s v="-"/>
    <s v="-"/>
    <s v="P"/>
    <s v="P"/>
    <s v="-"/>
    <n v="2"/>
    <n v="1"/>
    <n v="2"/>
    <n v="1"/>
    <n v="1"/>
    <n v="2"/>
    <n v="2"/>
    <s v="-"/>
    <s v="-"/>
    <n v="2"/>
    <s v="-"/>
    <n v="13"/>
    <n v="13"/>
    <s v="-"/>
    <n v="1"/>
    <n v="1"/>
    <n v="2"/>
    <n v="2"/>
    <n v="15"/>
    <n v="15"/>
  </r>
  <r>
    <x v="0"/>
    <x v="23"/>
    <d v="2026-01-27T00:00:00"/>
    <s v="1ST"/>
    <d v="1899-12-30T07:00:00"/>
    <n v="3"/>
    <x v="10"/>
    <n v="7.0000000000000001E-3"/>
    <s v="P"/>
    <s v="P"/>
    <s v="P"/>
    <s v="+"/>
    <s v="+"/>
    <n v="13.09"/>
    <s v="-"/>
    <s v="-"/>
    <s v="-"/>
    <s v="-"/>
    <s v="-"/>
    <s v="-"/>
    <s v="-"/>
    <s v="-"/>
    <s v="P"/>
    <s v="P"/>
    <s v="-"/>
    <n v="2"/>
    <n v="1"/>
    <n v="2"/>
    <n v="1"/>
    <s v="-"/>
    <s v="-"/>
    <s v="-"/>
    <s v="-"/>
    <s v="-"/>
    <s v="-"/>
    <s v="-"/>
    <n v="6"/>
    <n v="6"/>
    <s v="-"/>
    <n v="1"/>
    <n v="1"/>
    <n v="2"/>
    <n v="2"/>
    <n v="8"/>
    <n v="8"/>
  </r>
  <r>
    <x v="0"/>
    <x v="23"/>
    <d v="2026-01-23T00:00:00"/>
    <s v="2ND"/>
    <d v="1899-12-30T21:00:00"/>
    <n v="3"/>
    <x v="1"/>
    <n v="1.2699999999999999E-2"/>
    <s v="P"/>
    <s v="P"/>
    <s v="P"/>
    <s v="+"/>
    <s v="+"/>
    <n v="12.37"/>
    <s v="-"/>
    <s v="-"/>
    <s v="-"/>
    <s v="-"/>
    <s v="-"/>
    <s v="-"/>
    <s v="-"/>
    <s v="-"/>
    <s v="P"/>
    <s v="P"/>
    <s v="85% 5% 10%"/>
    <n v="2"/>
    <n v="1"/>
    <n v="2"/>
    <n v="1"/>
    <s v="-"/>
    <s v="-"/>
    <s v="-"/>
    <s v="-"/>
    <s v="-"/>
    <s v="-"/>
    <s v="-"/>
    <n v="6"/>
    <n v="6"/>
    <s v="-"/>
    <n v="1"/>
    <n v="1"/>
    <n v="2"/>
    <n v="2"/>
    <n v="8"/>
    <n v="8"/>
  </r>
  <r>
    <x v="0"/>
    <x v="23"/>
    <d v="2026-01-23T00:00:00"/>
    <s v="3RD"/>
    <d v="1899-12-30T22:00:00"/>
    <n v="3"/>
    <x v="1"/>
    <n v="4.5999999999999999E-3"/>
    <s v="P"/>
    <s v="P"/>
    <s v="P"/>
    <s v="+"/>
    <s v="+"/>
    <n v="12.68"/>
    <n v="12.61"/>
    <n v="0.46"/>
    <n v="65.3"/>
    <s v="-"/>
    <s v="-"/>
    <n v="35.299999999999997"/>
    <s v="-"/>
    <n v="25.14"/>
    <s v="P"/>
    <s v="P"/>
    <s v="85% 10% 5%"/>
    <n v="2"/>
    <n v="1"/>
    <n v="2"/>
    <n v="1"/>
    <n v="1"/>
    <n v="2"/>
    <n v="2"/>
    <s v="-"/>
    <s v="-"/>
    <n v="2"/>
    <s v="-"/>
    <n v="13"/>
    <n v="13"/>
    <n v="1"/>
    <n v="1"/>
    <n v="1"/>
    <n v="3"/>
    <n v="3"/>
    <n v="16"/>
    <n v="16"/>
  </r>
  <r>
    <x v="0"/>
    <x v="23"/>
    <d v="2026-01-23T00:00:00"/>
    <s v="3RD"/>
    <d v="1899-12-30T23:00:00"/>
    <n v="3"/>
    <x v="1"/>
    <n v="5.1000000000000004E-3"/>
    <s v="P"/>
    <s v="P"/>
    <s v="P"/>
    <s v="+"/>
    <s v="+"/>
    <n v="12.18"/>
    <s v="-"/>
    <s v="-"/>
    <s v="-"/>
    <s v="-"/>
    <s v="-"/>
    <s v="-"/>
    <s v="-"/>
    <s v="-"/>
    <s v="P"/>
    <s v="P"/>
    <s v="-"/>
    <n v="2"/>
    <n v="1"/>
    <n v="2"/>
    <n v="1"/>
    <s v="-"/>
    <s v="-"/>
    <s v="-"/>
    <s v="-"/>
    <s v="-"/>
    <s v="-"/>
    <s v="-"/>
    <n v="6"/>
    <n v="6"/>
    <s v="-"/>
    <n v="1"/>
    <n v="1"/>
    <n v="2"/>
    <n v="2"/>
    <n v="8"/>
    <n v="8"/>
  </r>
  <r>
    <x v="0"/>
    <x v="23"/>
    <d v="2026-01-23T00:00:00"/>
    <s v="3RD"/>
    <d v="1899-12-31T00:00:00"/>
    <n v="3"/>
    <x v="1"/>
    <n v="6.4000000000000003E-3"/>
    <s v="P"/>
    <s v="P"/>
    <s v="P"/>
    <s v="+"/>
    <s v="+"/>
    <n v="12.73"/>
    <s v="-"/>
    <s v="-"/>
    <s v="-"/>
    <s v="-"/>
    <s v="-"/>
    <s v="-"/>
    <s v="-"/>
    <s v="-"/>
    <s v="P"/>
    <s v="P"/>
    <s v="-"/>
    <n v="2"/>
    <n v="1"/>
    <n v="2"/>
    <n v="1"/>
    <s v="-"/>
    <s v="-"/>
    <s v="-"/>
    <s v="-"/>
    <s v="-"/>
    <s v="-"/>
    <s v="-"/>
    <n v="6"/>
    <n v="6"/>
    <s v="-"/>
    <n v="1"/>
    <n v="1"/>
    <n v="2"/>
    <n v="2"/>
    <n v="8"/>
    <n v="8"/>
  </r>
  <r>
    <x v="0"/>
    <x v="23"/>
    <d v="2026-01-23T00:00:00"/>
    <s v="3RD"/>
    <d v="1899-12-31T01:00:00"/>
    <n v="3"/>
    <x v="1"/>
    <n v="1.6400000000000001E-2"/>
    <s v="P"/>
    <s v="P"/>
    <s v="P"/>
    <s v="+"/>
    <s v="+"/>
    <n v="12.56"/>
    <s v="-"/>
    <s v="-"/>
    <s v="-"/>
    <s v="-"/>
    <s v="-"/>
    <s v="-"/>
    <s v="-"/>
    <s v="-"/>
    <s v="P"/>
    <s v="P"/>
    <s v="-"/>
    <n v="2"/>
    <n v="1"/>
    <n v="2"/>
    <n v="1"/>
    <s v="-"/>
    <s v="-"/>
    <s v="-"/>
    <s v="-"/>
    <s v="-"/>
    <s v="-"/>
    <s v="-"/>
    <n v="6"/>
    <n v="6"/>
    <s v="-"/>
    <n v="1"/>
    <n v="1"/>
    <n v="2"/>
    <n v="2"/>
    <n v="8"/>
    <n v="8"/>
  </r>
  <r>
    <x v="0"/>
    <x v="23"/>
    <d v="2026-01-23T00:00:00"/>
    <s v="3RD"/>
    <d v="1899-12-31T03:00:00"/>
    <n v="3"/>
    <x v="1"/>
    <n v="4.7999999999999996E-3"/>
    <s v="P"/>
    <s v="P"/>
    <s v="P"/>
    <s v="+"/>
    <s v="+"/>
    <n v="12.03"/>
    <s v="-"/>
    <s v="-"/>
    <s v="-"/>
    <s v="-"/>
    <s v="-"/>
    <s v="-"/>
    <s v="-"/>
    <s v="-"/>
    <s v="P"/>
    <s v="P"/>
    <s v="-"/>
    <n v="2"/>
    <n v="1"/>
    <n v="2"/>
    <n v="1"/>
    <s v="-"/>
    <s v="-"/>
    <s v="-"/>
    <s v="-"/>
    <s v="-"/>
    <s v="-"/>
    <s v="-"/>
    <n v="6"/>
    <n v="6"/>
    <s v="-"/>
    <n v="1"/>
    <n v="1"/>
    <n v="2"/>
    <n v="2"/>
    <n v="8"/>
    <n v="8"/>
  </r>
  <r>
    <x v="0"/>
    <x v="23"/>
    <d v="2026-01-23T00:00:00"/>
    <s v="3RD"/>
    <d v="1899-12-31T04:00:00"/>
    <n v="3"/>
    <x v="1"/>
    <s v="-"/>
    <s v="P"/>
    <s v="P"/>
    <s v="P"/>
    <s v="+"/>
    <s v="+"/>
    <n v="11.99"/>
    <s v="-"/>
    <s v="-"/>
    <s v="-"/>
    <s v="-"/>
    <s v="-"/>
    <s v="-"/>
    <s v="-"/>
    <s v="-"/>
    <s v="P"/>
    <s v="P"/>
    <s v="-"/>
    <s v="-"/>
    <n v="1"/>
    <n v="2"/>
    <n v="0"/>
    <s v="-"/>
    <s v="-"/>
    <s v="-"/>
    <s v="-"/>
    <s v="-"/>
    <s v="-"/>
    <s v="-"/>
    <n v="3"/>
    <n v="4"/>
    <s v="-"/>
    <n v="1"/>
    <n v="1"/>
    <n v="2"/>
    <n v="2"/>
    <n v="5"/>
    <n v="6"/>
  </r>
  <r>
    <x v="0"/>
    <x v="23"/>
    <d v="2026-01-29T00:00:00"/>
    <s v="1ST"/>
    <d v="1899-12-30T07:00:00"/>
    <n v="2"/>
    <x v="14"/>
    <n v="1.4E-3"/>
    <s v="P"/>
    <s v="P"/>
    <s v="P"/>
    <s v="-"/>
    <s v="+"/>
    <n v="10.54"/>
    <n v="8.41"/>
    <n v="0.51"/>
    <n v="58.7"/>
    <n v="11.5"/>
    <s v="-"/>
    <n v="22.71"/>
    <s v="-"/>
    <n v="25.08"/>
    <s v="P"/>
    <s v="P"/>
    <s v="-"/>
    <n v="2"/>
    <n v="1"/>
    <n v="2"/>
    <n v="0"/>
    <n v="0"/>
    <n v="2"/>
    <n v="2"/>
    <n v="1"/>
    <s v="-"/>
    <n v="2"/>
    <s v="-"/>
    <n v="12"/>
    <n v="14"/>
    <n v="1"/>
    <n v="1"/>
    <n v="1"/>
    <n v="3"/>
    <n v="3"/>
    <n v="15"/>
    <n v="17"/>
  </r>
  <r>
    <x v="0"/>
    <x v="23"/>
    <d v="2026-01-29T00:00:00"/>
    <s v="1ST"/>
    <d v="1899-12-30T08:00:00"/>
    <n v="2"/>
    <x v="14"/>
    <n v="1.8E-3"/>
    <s v="P"/>
    <s v="P"/>
    <s v="P"/>
    <s v="-"/>
    <s v="+"/>
    <n v="10.82"/>
    <s v="-"/>
    <s v="-"/>
    <s v="-"/>
    <s v="-"/>
    <s v="-"/>
    <s v="-"/>
    <s v="-"/>
    <s v="-"/>
    <s v="P"/>
    <s v="P"/>
    <s v="-"/>
    <n v="2"/>
    <n v="1"/>
    <n v="2"/>
    <n v="0"/>
    <s v="-"/>
    <s v="-"/>
    <s v="-"/>
    <s v="-"/>
    <s v="-"/>
    <s v="-"/>
    <s v="-"/>
    <n v="5"/>
    <n v="6"/>
    <s v="-"/>
    <n v="1"/>
    <n v="1"/>
    <n v="2"/>
    <n v="2"/>
    <n v="7"/>
    <n v="8"/>
  </r>
  <r>
    <x v="0"/>
    <x v="23"/>
    <d v="2026-01-29T00:00:00"/>
    <s v="1ST"/>
    <d v="1899-12-30T09:00:00"/>
    <n v="2"/>
    <x v="14"/>
    <n v="3.7000000000000002E-3"/>
    <s v="P"/>
    <s v="P"/>
    <s v="P"/>
    <s v="-"/>
    <s v="+"/>
    <n v="10.7"/>
    <s v="-"/>
    <s v="-"/>
    <s v="-"/>
    <s v="-"/>
    <s v="-"/>
    <s v="-"/>
    <s v="-"/>
    <s v="-"/>
    <s v="P"/>
    <s v="P"/>
    <s v="-"/>
    <n v="2"/>
    <n v="1"/>
    <n v="2"/>
    <n v="0"/>
    <s v="-"/>
    <s v="-"/>
    <s v="-"/>
    <s v="-"/>
    <s v="-"/>
    <s v="-"/>
    <s v="-"/>
    <n v="5"/>
    <n v="6"/>
    <s v="-"/>
    <n v="1"/>
    <n v="1"/>
    <n v="2"/>
    <n v="2"/>
    <n v="7"/>
    <n v="8"/>
  </r>
  <r>
    <x v="0"/>
    <x v="23"/>
    <d v="2026-01-29T00:00:00"/>
    <s v="1ST"/>
    <d v="1899-12-30T10:00:00"/>
    <n v="2"/>
    <x v="14"/>
    <n v="2.8E-3"/>
    <s v="P"/>
    <s v="P"/>
    <s v="P"/>
    <s v="-"/>
    <s v="+"/>
    <n v="10.69"/>
    <s v="-"/>
    <s v="-"/>
    <s v="-"/>
    <s v="-"/>
    <s v="-"/>
    <s v="-"/>
    <s v="-"/>
    <s v="-"/>
    <s v="P"/>
    <s v="P"/>
    <s v="-"/>
    <n v="2"/>
    <n v="1"/>
    <n v="2"/>
    <n v="0"/>
    <s v="-"/>
    <s v="-"/>
    <s v="-"/>
    <s v="-"/>
    <s v="-"/>
    <s v="-"/>
    <s v="-"/>
    <n v="5"/>
    <n v="6"/>
    <s v="-"/>
    <n v="1"/>
    <n v="1"/>
    <n v="2"/>
    <n v="2"/>
    <n v="7"/>
    <n v="8"/>
  </r>
  <r>
    <x v="0"/>
    <x v="23"/>
    <d v="2026-01-29T00:00:00"/>
    <s v="1ST"/>
    <d v="1899-12-30T11:00:00"/>
    <n v="2"/>
    <x v="14"/>
    <n v="3.2000000000000002E-3"/>
    <s v="P"/>
    <s v="P"/>
    <s v="P"/>
    <s v="-"/>
    <s v="+"/>
    <n v="10.72"/>
    <s v="-"/>
    <s v="-"/>
    <s v="-"/>
    <s v="-"/>
    <s v="-"/>
    <s v="-"/>
    <s v="-"/>
    <s v="-"/>
    <s v="P"/>
    <s v="P"/>
    <s v="-"/>
    <n v="2"/>
    <n v="1"/>
    <n v="2"/>
    <n v="0"/>
    <s v="-"/>
    <s v="-"/>
    <s v="-"/>
    <s v="-"/>
    <s v="-"/>
    <s v="-"/>
    <s v="-"/>
    <n v="5"/>
    <n v="6"/>
    <s v="-"/>
    <n v="1"/>
    <n v="1"/>
    <n v="2"/>
    <n v="2"/>
    <n v="7"/>
    <n v="8"/>
  </r>
  <r>
    <x v="0"/>
    <x v="23"/>
    <d v="2026-01-29T00:00:00"/>
    <s v="1ST"/>
    <d v="1899-12-30T12:00:00"/>
    <n v="2"/>
    <x v="14"/>
    <n v="8.6999999999999994E-3"/>
    <s v="P"/>
    <s v="P"/>
    <s v="P"/>
    <s v="-"/>
    <s v="+"/>
    <n v="10.72"/>
    <s v="-"/>
    <s v="-"/>
    <s v="-"/>
    <s v="-"/>
    <s v="-"/>
    <s v="-"/>
    <s v="-"/>
    <s v="-"/>
    <s v="P"/>
    <s v="P"/>
    <s v="-"/>
    <n v="2"/>
    <n v="1"/>
    <n v="2"/>
    <n v="0"/>
    <s v="-"/>
    <s v="-"/>
    <s v="-"/>
    <s v="-"/>
    <s v="-"/>
    <s v="-"/>
    <s v="-"/>
    <n v="5"/>
    <n v="6"/>
    <s v="-"/>
    <n v="1"/>
    <n v="1"/>
    <n v="2"/>
    <n v="2"/>
    <n v="7"/>
    <n v="8"/>
  </r>
  <r>
    <x v="0"/>
    <x v="23"/>
    <d v="1902-03-26T00:00:00"/>
    <s v="2ND"/>
    <d v="1899-12-30T14:00:00"/>
    <n v="2"/>
    <x v="14"/>
    <n v="7.1000000000000004E-3"/>
    <s v="P"/>
    <s v="P"/>
    <s v="P"/>
    <s v="-"/>
    <s v="+"/>
    <n v="10.62"/>
    <n v="8.83"/>
    <n v="0.46"/>
    <s v="-"/>
    <s v="-"/>
    <s v="-"/>
    <n v="23.83"/>
    <s v="-"/>
    <s v="-"/>
    <s v="P"/>
    <s v="P"/>
    <s v="-"/>
    <n v="2"/>
    <n v="1"/>
    <n v="2"/>
    <n v="0"/>
    <n v="1"/>
    <n v="2"/>
    <s v="-"/>
    <s v="-"/>
    <s v="-"/>
    <n v="2"/>
    <s v="-"/>
    <n v="10"/>
    <n v="11"/>
    <s v="-"/>
    <n v="1"/>
    <n v="1"/>
    <n v="2"/>
    <n v="2"/>
    <n v="12"/>
    <n v="13"/>
  </r>
  <r>
    <x v="0"/>
    <x v="23"/>
    <d v="1899-12-30T00:00:00"/>
    <s v="2ND"/>
    <d v="1899-12-30T15:00:00"/>
    <n v="2"/>
    <x v="14"/>
    <n v="8.8999999999999999E-3"/>
    <s v="P"/>
    <s v="P"/>
    <s v="P"/>
    <s v="-"/>
    <s v="+"/>
    <n v="10.53"/>
    <s v="-"/>
    <s v="-"/>
    <s v="-"/>
    <s v="-"/>
    <s v="-"/>
    <s v="-"/>
    <s v="-"/>
    <s v="-"/>
    <s v="P"/>
    <s v="P"/>
    <s v="-"/>
    <n v="2"/>
    <n v="1"/>
    <n v="2"/>
    <n v="0"/>
    <s v="-"/>
    <s v="-"/>
    <s v="-"/>
    <s v="-"/>
    <s v="-"/>
    <s v="-"/>
    <s v="-"/>
    <n v="5"/>
    <n v="6"/>
    <s v="-"/>
    <n v="1"/>
    <n v="1"/>
    <n v="2"/>
    <n v="2"/>
    <n v="7"/>
    <n v="8"/>
  </r>
  <r>
    <x v="0"/>
    <x v="23"/>
    <d v="1899-12-30T00:00:00"/>
    <s v="2ND"/>
    <d v="1899-12-30T16:00:00"/>
    <n v="2"/>
    <x v="14"/>
    <n v="8.6E-3"/>
    <s v="P"/>
    <s v="P"/>
    <s v="P"/>
    <s v="-"/>
    <s v="+"/>
    <n v="10.53"/>
    <s v="-"/>
    <s v="-"/>
    <s v="-"/>
    <s v="-"/>
    <s v="-"/>
    <s v="-"/>
    <s v="-"/>
    <s v="-"/>
    <s v="P"/>
    <s v="P"/>
    <s v="-"/>
    <n v="2"/>
    <n v="1"/>
    <n v="2"/>
    <n v="0"/>
    <s v="-"/>
    <s v="-"/>
    <s v="-"/>
    <s v="-"/>
    <s v="-"/>
    <s v="-"/>
    <s v="-"/>
    <n v="5"/>
    <n v="6"/>
    <s v="-"/>
    <n v="1"/>
    <n v="1"/>
    <n v="2"/>
    <n v="2"/>
    <n v="7"/>
    <n v="8"/>
  </r>
  <r>
    <x v="0"/>
    <x v="23"/>
    <d v="1899-12-30T00:00:00"/>
    <s v="2ND"/>
    <d v="1899-12-30T17:00:00"/>
    <n v="2"/>
    <x v="14"/>
    <n v="7.7000000000000002E-3"/>
    <s v="P"/>
    <s v="P"/>
    <s v="P"/>
    <s v="-"/>
    <s v="+"/>
    <n v="10.68"/>
    <s v="-"/>
    <s v="-"/>
    <s v="-"/>
    <s v="-"/>
    <s v="-"/>
    <s v="-"/>
    <s v="-"/>
    <s v="-"/>
    <s v="P"/>
    <s v="P"/>
    <s v="-"/>
    <n v="2"/>
    <n v="1"/>
    <n v="2"/>
    <n v="0"/>
    <s v="-"/>
    <s v="-"/>
    <s v="-"/>
    <s v="-"/>
    <s v="-"/>
    <s v="-"/>
    <s v="-"/>
    <n v="5"/>
    <n v="6"/>
    <s v="-"/>
    <n v="1"/>
    <n v="1"/>
    <n v="2"/>
    <n v="2"/>
    <n v="7"/>
    <n v="8"/>
  </r>
  <r>
    <x v="0"/>
    <x v="23"/>
    <d v="1899-12-30T00:00:00"/>
    <s v="2ND"/>
    <d v="1899-12-30T19:00:00"/>
    <n v="2"/>
    <x v="14"/>
    <n v="5.7000000000000002E-3"/>
    <s v="P"/>
    <s v="P"/>
    <s v="P"/>
    <s v="-"/>
    <s v="+"/>
    <n v="10.9"/>
    <s v="-"/>
    <s v="-"/>
    <s v="-"/>
    <s v="-"/>
    <s v="-"/>
    <s v="-"/>
    <s v="-"/>
    <s v="-"/>
    <s v="P"/>
    <s v="P"/>
    <s v="-"/>
    <n v="2"/>
    <n v="1"/>
    <n v="2"/>
    <n v="0"/>
    <s v="-"/>
    <s v="-"/>
    <s v="-"/>
    <s v="-"/>
    <s v="-"/>
    <s v="-"/>
    <s v="-"/>
    <n v="5"/>
    <n v="6"/>
    <s v="-"/>
    <n v="1"/>
    <n v="1"/>
    <n v="2"/>
    <n v="2"/>
    <n v="7"/>
    <n v="8"/>
  </r>
  <r>
    <x v="0"/>
    <x v="23"/>
    <d v="1899-12-30T00:00:00"/>
    <s v="2ND"/>
    <d v="1899-12-30T20:00:00"/>
    <n v="2"/>
    <x v="14"/>
    <n v="8.8000000000000005E-3"/>
    <s v="P"/>
    <s v="P"/>
    <s v="P"/>
    <s v="-"/>
    <s v="+"/>
    <n v="10.87"/>
    <s v="-"/>
    <s v="-"/>
    <s v="-"/>
    <s v="-"/>
    <s v="-"/>
    <s v="-"/>
    <s v="-"/>
    <s v="-"/>
    <s v="P"/>
    <s v="P"/>
    <s v="-"/>
    <n v="2"/>
    <n v="1"/>
    <n v="2"/>
    <n v="0"/>
    <s v="-"/>
    <s v="-"/>
    <s v="-"/>
    <s v="-"/>
    <s v="-"/>
    <s v="-"/>
    <s v="-"/>
    <n v="5"/>
    <n v="6"/>
    <s v="-"/>
    <n v="1"/>
    <n v="1"/>
    <n v="2"/>
    <n v="2"/>
    <n v="7"/>
    <n v="8"/>
  </r>
  <r>
    <x v="0"/>
    <x v="23"/>
    <d v="1902-03-26T00:00:00"/>
    <s v="3RD"/>
    <d v="1899-12-30T22:00:00"/>
    <n v="2"/>
    <x v="14"/>
    <n v="2.8999999999999998E-3"/>
    <s v="P"/>
    <s v="P"/>
    <s v="P"/>
    <s v="-"/>
    <s v="+"/>
    <n v="10.8"/>
    <n v="8.8699999999999992"/>
    <n v="0.51"/>
    <s v="-"/>
    <s v="-"/>
    <s v="-"/>
    <n v="24.03"/>
    <s v="-"/>
    <n v="25.12"/>
    <s v="P"/>
    <s v="P"/>
    <s v="-"/>
    <n v="2"/>
    <n v="1"/>
    <n v="2"/>
    <n v="0"/>
    <n v="1"/>
    <n v="2"/>
    <s v="-"/>
    <s v="-"/>
    <s v="-"/>
    <n v="2"/>
    <s v="-"/>
    <n v="10"/>
    <n v="11"/>
    <n v="1"/>
    <n v="1"/>
    <n v="1"/>
    <n v="3"/>
    <n v="3"/>
    <n v="13"/>
    <n v="14"/>
  </r>
  <r>
    <x v="0"/>
    <x v="23"/>
    <d v="1899-12-30T00:00:00"/>
    <s v="3RD"/>
    <d v="1899-12-30T23:00:00"/>
    <n v="2"/>
    <x v="14"/>
    <n v="4.7000000000000002E-3"/>
    <s v="P"/>
    <s v="P"/>
    <s v="P"/>
    <s v="-"/>
    <s v="+"/>
    <n v="10.75"/>
    <s v="-"/>
    <s v="-"/>
    <s v="-"/>
    <s v="-"/>
    <s v="-"/>
    <s v="-"/>
    <s v="-"/>
    <s v="-"/>
    <s v="P"/>
    <s v="P"/>
    <s v="-"/>
    <n v="2"/>
    <n v="1"/>
    <n v="2"/>
    <n v="0"/>
    <s v="-"/>
    <s v="-"/>
    <s v="-"/>
    <s v="-"/>
    <s v="-"/>
    <s v="-"/>
    <s v="-"/>
    <n v="5"/>
    <n v="6"/>
    <s v="-"/>
    <n v="1"/>
    <n v="1"/>
    <n v="2"/>
    <n v="2"/>
    <n v="7"/>
    <n v="8"/>
  </r>
  <r>
    <x v="0"/>
    <x v="23"/>
    <d v="1899-12-30T00:00:00"/>
    <s v="3RD"/>
    <d v="1899-12-31T03:00:00"/>
    <n v="2"/>
    <x v="15"/>
    <n v="7.3000000000000001E-3"/>
    <s v="P"/>
    <s v="P"/>
    <s v="P"/>
    <s v="-"/>
    <s v="+"/>
    <n v="10.89"/>
    <n v="8.0299999999999994"/>
    <n v="0.38"/>
    <n v="56.1"/>
    <n v="13.3"/>
    <n v="402"/>
    <n v="21.53"/>
    <s v="-"/>
    <s v="-"/>
    <s v="P"/>
    <s v="P"/>
    <s v="-"/>
    <n v="2"/>
    <n v="1"/>
    <n v="2"/>
    <n v="0"/>
    <n v="0"/>
    <n v="2"/>
    <n v="2"/>
    <n v="1"/>
    <n v="1"/>
    <n v="2"/>
    <s v="-"/>
    <n v="13"/>
    <n v="15"/>
    <s v="-"/>
    <n v="1"/>
    <n v="1"/>
    <n v="2"/>
    <n v="2"/>
    <n v="15"/>
    <n v="17"/>
  </r>
  <r>
    <x v="0"/>
    <x v="23"/>
    <d v="1899-12-30T00:00:00"/>
    <s v="3RD"/>
    <d v="1899-12-31T04:00:00"/>
    <n v="2"/>
    <x v="15"/>
    <n v="4.4000000000000003E-3"/>
    <s v="P"/>
    <s v="P"/>
    <s v="P"/>
    <s v="-"/>
    <s v="+"/>
    <n v="11.31"/>
    <s v="-"/>
    <s v="-"/>
    <s v="-"/>
    <s v="-"/>
    <s v="-"/>
    <s v="-"/>
    <s v="-"/>
    <s v="-"/>
    <s v="P"/>
    <s v="P"/>
    <s v="-"/>
    <n v="2"/>
    <n v="1"/>
    <n v="2"/>
    <n v="1"/>
    <s v="-"/>
    <s v="-"/>
    <s v="-"/>
    <s v="-"/>
    <s v="-"/>
    <s v="-"/>
    <s v="-"/>
    <n v="6"/>
    <n v="6"/>
    <s v="-"/>
    <n v="1"/>
    <n v="1"/>
    <n v="2"/>
    <n v="2"/>
    <n v="8"/>
    <n v="8"/>
  </r>
  <r>
    <x v="0"/>
    <x v="23"/>
    <d v="1899-12-30T00:00:00"/>
    <s v="2ND"/>
    <d v="1899-12-30T14:00:00"/>
    <s v="Retail"/>
    <x v="9"/>
    <s v="-"/>
    <s v="-"/>
    <s v="-"/>
    <s v="-"/>
    <s v="-"/>
    <s v="-"/>
    <n v="10.41"/>
    <s v="-"/>
    <n v="4.53"/>
    <s v="-"/>
    <s v="-"/>
    <s v="-"/>
    <s v="-"/>
    <s v="-"/>
    <s v="-"/>
    <s v="-"/>
    <s v="-"/>
    <s v="-"/>
    <s v="-"/>
    <s v="-"/>
    <s v="-"/>
    <n v="1"/>
    <s v="-"/>
    <n v="2"/>
    <s v="-"/>
    <s v="-"/>
    <s v="-"/>
    <s v="-"/>
    <s v="-"/>
    <n v="3"/>
    <n v="3"/>
    <s v="-"/>
    <s v="-"/>
    <s v="-"/>
    <n v="0"/>
    <n v="0"/>
    <n v="3"/>
    <n v="3"/>
  </r>
  <r>
    <x v="0"/>
    <x v="24"/>
    <d v="1899-12-30T00:00:00"/>
    <s v="2ND"/>
    <d v="1899-12-30T15:00:00"/>
    <n v="2"/>
    <x v="7"/>
    <n v="1.1000000000000001E-3"/>
    <s v="P"/>
    <s v="P"/>
    <s v="P"/>
    <s v="-"/>
    <s v="+"/>
    <n v="11.05"/>
    <n v="8.34"/>
    <n v="0.4"/>
    <n v="60.7"/>
    <s v="-"/>
    <s v="-"/>
    <n v="22.42"/>
    <s v="-"/>
    <s v="-"/>
    <s v="P"/>
    <s v="P"/>
    <s v="-"/>
    <n v="2"/>
    <n v="1"/>
    <n v="2"/>
    <n v="1"/>
    <n v="0"/>
    <n v="2"/>
    <n v="2"/>
    <s v="-"/>
    <s v="-"/>
    <n v="2"/>
    <s v="-"/>
    <n v="12"/>
    <n v="13"/>
    <s v="-"/>
    <n v="1"/>
    <n v="1"/>
    <n v="2"/>
    <n v="2"/>
    <n v="14"/>
    <n v="15"/>
  </r>
  <r>
    <x v="0"/>
    <x v="24"/>
    <d v="1899-12-30T00:00:00"/>
    <s v="2ND"/>
    <d v="1899-12-30T16:00:00"/>
    <n v="2"/>
    <x v="7"/>
    <n v="1.9E-3"/>
    <s v="P"/>
    <s v="P"/>
    <s v="P"/>
    <s v="-"/>
    <s v="+"/>
    <n v="11.09"/>
    <s v="-"/>
    <s v="-"/>
    <s v="-"/>
    <s v="-"/>
    <s v="-"/>
    <s v="-"/>
    <s v="-"/>
    <s v="-"/>
    <s v="P"/>
    <s v="P"/>
    <s v="-"/>
    <n v="2"/>
    <n v="1"/>
    <n v="2"/>
    <n v="1"/>
    <s v="-"/>
    <s v="-"/>
    <s v="-"/>
    <s v="-"/>
    <s v="-"/>
    <s v="-"/>
    <s v="-"/>
    <n v="6"/>
    <n v="6"/>
    <s v="-"/>
    <n v="1"/>
    <n v="1"/>
    <n v="2"/>
    <n v="2"/>
    <n v="8"/>
    <n v="8"/>
  </r>
  <r>
    <x v="0"/>
    <x v="24"/>
    <d v="1899-12-30T00:00:00"/>
    <s v="2ND"/>
    <d v="1899-12-30T18:00:00"/>
    <n v="2"/>
    <x v="7"/>
    <n v="2.0999999999999999E-3"/>
    <s v="P"/>
    <s v="P"/>
    <s v="P"/>
    <s v="-"/>
    <s v="+"/>
    <n v="11.04"/>
    <s v="-"/>
    <s v="-"/>
    <s v="-"/>
    <s v="-"/>
    <s v="-"/>
    <s v="-"/>
    <s v="-"/>
    <s v="-"/>
    <s v="P"/>
    <s v="P"/>
    <n v="1"/>
    <n v="2"/>
    <n v="1"/>
    <n v="2"/>
    <n v="1"/>
    <s v="-"/>
    <s v="-"/>
    <s v="-"/>
    <s v="-"/>
    <s v="-"/>
    <s v="-"/>
    <s v="-"/>
    <n v="6"/>
    <n v="6"/>
    <s v="-"/>
    <n v="1"/>
    <n v="1"/>
    <n v="2"/>
    <n v="2"/>
    <n v="8"/>
    <n v="8"/>
  </r>
  <r>
    <x v="0"/>
    <x v="24"/>
    <d v="1899-12-30T00:00:00"/>
    <s v="2ND"/>
    <d v="1899-12-30T19:00:00"/>
    <n v="2"/>
    <x v="7"/>
    <n v="1.15E-2"/>
    <s v="P"/>
    <s v="P"/>
    <s v="P"/>
    <s v="-"/>
    <s v="+"/>
    <n v="10.63"/>
    <n v="8.39"/>
    <n v="0.41"/>
    <n v="55.6"/>
    <s v="-"/>
    <s v="-"/>
    <n v="22.64"/>
    <s v="-"/>
    <s v="-"/>
    <s v="P"/>
    <s v="P"/>
    <s v="-"/>
    <n v="2"/>
    <n v="1"/>
    <n v="2"/>
    <n v="0"/>
    <n v="0"/>
    <n v="2"/>
    <n v="0"/>
    <s v="-"/>
    <s v="-"/>
    <n v="2"/>
    <s v="-"/>
    <n v="9"/>
    <n v="13"/>
    <s v="-"/>
    <n v="1"/>
    <n v="1"/>
    <n v="2"/>
    <n v="2"/>
    <n v="11"/>
    <n v="15"/>
  </r>
  <r>
    <x v="0"/>
    <x v="24"/>
    <d v="1899-12-30T00:00:00"/>
    <s v="2ND"/>
    <d v="1899-12-30T20:00:00"/>
    <n v="2"/>
    <x v="7"/>
    <n v="2.7000000000000001E-3"/>
    <s v="P"/>
    <s v="P"/>
    <s v="P"/>
    <s v="-"/>
    <s v="+"/>
    <n v="10.99"/>
    <s v="-"/>
    <s v="-"/>
    <s v="-"/>
    <s v="-"/>
    <s v="-"/>
    <s v="-"/>
    <s v="-"/>
    <s v="-"/>
    <s v="P"/>
    <s v="P"/>
    <s v="-"/>
    <n v="2"/>
    <n v="1"/>
    <n v="2"/>
    <n v="0"/>
    <s v="-"/>
    <s v="-"/>
    <s v="-"/>
    <s v="-"/>
    <s v="-"/>
    <s v="-"/>
    <s v="-"/>
    <n v="5"/>
    <n v="6"/>
    <s v="-"/>
    <n v="1"/>
    <n v="1"/>
    <n v="2"/>
    <n v="2"/>
    <n v="7"/>
    <n v="8"/>
  </r>
  <r>
    <x v="0"/>
    <x v="24"/>
    <d v="1899-12-30T00:00:00"/>
    <s v="2ND"/>
    <d v="1899-12-30T21:00:00"/>
    <n v="2"/>
    <x v="7"/>
    <n v="1.4999999999999999E-2"/>
    <s v="P"/>
    <s v="P"/>
    <s v="P"/>
    <s v="-"/>
    <s v="+"/>
    <n v="10.49"/>
    <s v="-"/>
    <s v="-"/>
    <s v="-"/>
    <s v="-"/>
    <s v="-"/>
    <s v="-"/>
    <s v="-"/>
    <s v="-"/>
    <s v="P"/>
    <s v="P"/>
    <s v="-"/>
    <n v="2"/>
    <n v="1"/>
    <n v="2"/>
    <n v="0"/>
    <s v="-"/>
    <s v="-"/>
    <s v="-"/>
    <s v="-"/>
    <s v="-"/>
    <s v="-"/>
    <s v="-"/>
    <n v="5"/>
    <n v="6"/>
    <s v="-"/>
    <n v="1"/>
    <n v="1"/>
    <n v="2"/>
    <n v="2"/>
    <n v="7"/>
    <n v="8"/>
  </r>
  <r>
    <x v="0"/>
    <x v="24"/>
    <d v="1902-03-26T00:00:00"/>
    <s v="3RD"/>
    <d v="1899-12-30T22:00:00"/>
    <n v="2"/>
    <x v="7"/>
    <n v="4.3E-3"/>
    <s v="P"/>
    <s v="P"/>
    <s v="P"/>
    <s v="-"/>
    <s v="+"/>
    <n v="10.78"/>
    <n v="8.2799999999999994"/>
    <n v="0.45"/>
    <n v="56.1"/>
    <s v="-"/>
    <s v="-"/>
    <n v="22.35"/>
    <s v="-"/>
    <n v="25.17"/>
    <s v="P"/>
    <s v="P"/>
    <s v="-"/>
    <n v="2"/>
    <n v="1"/>
    <n v="2"/>
    <n v="0"/>
    <n v="0"/>
    <n v="2"/>
    <n v="2"/>
    <s v="-"/>
    <s v="-"/>
    <n v="2"/>
    <s v="-"/>
    <n v="11"/>
    <n v="13"/>
    <n v="1"/>
    <n v="1"/>
    <n v="1"/>
    <n v="3"/>
    <n v="3"/>
    <n v="14"/>
    <n v="16"/>
  </r>
  <r>
    <x v="0"/>
    <x v="24"/>
    <d v="1899-12-30T00:00:00"/>
    <s v="3RD"/>
    <d v="1899-12-30T23:00:00"/>
    <n v="2"/>
    <x v="7"/>
    <n v="5.7999999999999996E-3"/>
    <s v="P"/>
    <s v="P"/>
    <s v="P"/>
    <s v="-"/>
    <s v="+"/>
    <n v="10.97"/>
    <s v="-"/>
    <s v="-"/>
    <s v="-"/>
    <s v="-"/>
    <s v="-"/>
    <s v="-"/>
    <s v="-"/>
    <s v="-"/>
    <s v="P"/>
    <s v="P"/>
    <s v="-"/>
    <n v="2"/>
    <n v="1"/>
    <n v="2"/>
    <n v="0"/>
    <s v="-"/>
    <s v="-"/>
    <s v="-"/>
    <s v="-"/>
    <s v="-"/>
    <s v="-"/>
    <s v="-"/>
    <n v="5"/>
    <n v="6"/>
    <s v="-"/>
    <n v="1"/>
    <n v="1"/>
    <n v="2"/>
    <n v="2"/>
    <n v="7"/>
    <n v="8"/>
  </r>
  <r>
    <x v="0"/>
    <x v="24"/>
    <d v="2026-01-29T00:00:00"/>
    <s v="2ND"/>
    <d v="1899-12-30T16:00:00"/>
    <n v="3"/>
    <x v="8"/>
    <n v="1.9699999999999999E-2"/>
    <s v="P"/>
    <s v="P"/>
    <s v="P"/>
    <s v="+"/>
    <s v="+"/>
    <n v="11.53"/>
    <n v="11.68"/>
    <n v="0.47"/>
    <n v="64.599999999999994"/>
    <s v="-"/>
    <s v="-"/>
    <n v="35.6"/>
    <s v="-"/>
    <s v="-"/>
    <s v="P"/>
    <s v="P"/>
    <n v="1"/>
    <n v="2"/>
    <n v="1"/>
    <n v="2"/>
    <n v="1"/>
    <n v="0"/>
    <n v="2"/>
    <n v="2"/>
    <s v="-"/>
    <s v="-"/>
    <s v="-"/>
    <s v="-"/>
    <n v="10"/>
    <n v="11"/>
    <s v="-"/>
    <n v="1"/>
    <n v="1"/>
    <n v="2"/>
    <n v="2"/>
    <n v="12"/>
    <n v="13"/>
  </r>
  <r>
    <x v="0"/>
    <x v="24"/>
    <d v="2026-01-29T00:00:00"/>
    <s v="2ND"/>
    <d v="1899-12-30T17:00:00"/>
    <n v="3"/>
    <x v="8"/>
    <n v="8.3999999999999995E-3"/>
    <s v="P"/>
    <s v="P"/>
    <s v="P"/>
    <s v="+"/>
    <s v="+"/>
    <n v="11.55"/>
    <s v="-"/>
    <s v="-"/>
    <s v="-"/>
    <s v="-"/>
    <s v="-"/>
    <s v="-"/>
    <s v="-"/>
    <s v="-"/>
    <s v="P"/>
    <s v="P"/>
    <s v="-"/>
    <n v="2"/>
    <n v="1"/>
    <n v="2"/>
    <n v="1"/>
    <s v="-"/>
    <s v="-"/>
    <s v="-"/>
    <s v="-"/>
    <s v="-"/>
    <s v="-"/>
    <s v="-"/>
    <n v="6"/>
    <n v="6"/>
    <s v="-"/>
    <n v="1"/>
    <n v="1"/>
    <n v="2"/>
    <n v="2"/>
    <n v="8"/>
    <n v="8"/>
  </r>
  <r>
    <x v="0"/>
    <x v="24"/>
    <d v="2026-01-29T00:00:00"/>
    <s v="2ND"/>
    <d v="1899-12-30T18:00:00"/>
    <n v="3"/>
    <x v="8"/>
    <n v="1.2200000000000001E-2"/>
    <s v="P"/>
    <s v="P"/>
    <s v="P"/>
    <s v="+"/>
    <s v="+"/>
    <n v="12.04"/>
    <s v="-"/>
    <s v="-"/>
    <s v="-"/>
    <s v="-"/>
    <s v="-"/>
    <s v="-"/>
    <s v="-"/>
    <n v="25.17"/>
    <s v="P"/>
    <s v="P"/>
    <s v="-"/>
    <n v="2"/>
    <n v="1"/>
    <n v="2"/>
    <n v="1"/>
    <s v="-"/>
    <s v="-"/>
    <s v="-"/>
    <s v="-"/>
    <s v="-"/>
    <s v="-"/>
    <s v="-"/>
    <n v="6"/>
    <n v="6"/>
    <s v="-"/>
    <n v="1"/>
    <n v="1"/>
    <n v="2"/>
    <n v="2"/>
    <n v="8"/>
    <n v="8"/>
  </r>
  <r>
    <x v="0"/>
    <x v="24"/>
    <d v="2026-01-29T00:00:00"/>
    <s v="2ND"/>
    <d v="1899-12-30T19:00:00"/>
    <n v="3"/>
    <x v="8"/>
    <n v="1.49E-2"/>
    <s v="P"/>
    <s v="P"/>
    <s v="P"/>
    <s v="+"/>
    <s v="+"/>
    <n v="12.39"/>
    <s v="-"/>
    <s v="-"/>
    <s v="-"/>
    <s v="-"/>
    <s v="-"/>
    <s v="-"/>
    <s v="-"/>
    <s v="-"/>
    <s v="P"/>
    <s v="P"/>
    <s v="-"/>
    <n v="2"/>
    <n v="1"/>
    <n v="2"/>
    <n v="1"/>
    <s v="-"/>
    <s v="-"/>
    <s v="-"/>
    <s v="-"/>
    <s v="-"/>
    <s v="-"/>
    <s v="-"/>
    <n v="6"/>
    <n v="6"/>
    <s v="-"/>
    <n v="1"/>
    <n v="1"/>
    <n v="2"/>
    <n v="2"/>
    <n v="8"/>
    <n v="8"/>
  </r>
  <r>
    <x v="0"/>
    <x v="24"/>
    <d v="2026-01-29T00:00:00"/>
    <s v="2ND"/>
    <d v="1899-12-30T20:00:00"/>
    <n v="3"/>
    <x v="8"/>
    <s v="-"/>
    <s v="P"/>
    <s v="P"/>
    <s v="P"/>
    <s v="+"/>
    <s v="+"/>
    <n v="13.18"/>
    <s v="-"/>
    <s v="-"/>
    <s v="-"/>
    <s v="-"/>
    <s v="-"/>
    <s v="-"/>
    <s v="-"/>
    <s v="-"/>
    <s v="P"/>
    <s v="P"/>
    <s v="-"/>
    <s v="-"/>
    <n v="1"/>
    <n v="2"/>
    <n v="1"/>
    <s v="-"/>
    <s v="-"/>
    <s v="-"/>
    <s v="-"/>
    <s v="-"/>
    <s v="-"/>
    <s v="-"/>
    <n v="4"/>
    <n v="4"/>
    <s v="-"/>
    <n v="1"/>
    <n v="1"/>
    <n v="2"/>
    <n v="2"/>
    <n v="6"/>
    <n v="6"/>
  </r>
  <r>
    <x v="0"/>
    <x v="24"/>
    <d v="2026-01-29T00:00:00"/>
    <s v="2ND"/>
    <d v="1899-12-30T21:00:00"/>
    <n v="3"/>
    <x v="8"/>
    <n v="9.1999999999999998E-3"/>
    <s v="P"/>
    <s v="P"/>
    <s v="P"/>
    <s v="+"/>
    <s v="+"/>
    <n v="13.36"/>
    <s v="-"/>
    <s v="-"/>
    <s v="-"/>
    <s v="-"/>
    <s v="-"/>
    <s v="-"/>
    <s v="-"/>
    <s v="-"/>
    <s v="P"/>
    <s v="P"/>
    <s v="-"/>
    <n v="2"/>
    <n v="1"/>
    <n v="2"/>
    <n v="1"/>
    <s v="-"/>
    <s v="-"/>
    <s v="-"/>
    <s v="-"/>
    <s v="-"/>
    <s v="-"/>
    <s v="-"/>
    <n v="6"/>
    <n v="6"/>
    <s v="-"/>
    <n v="1"/>
    <n v="1"/>
    <n v="2"/>
    <n v="2"/>
    <n v="8"/>
    <n v="8"/>
  </r>
  <r>
    <x v="0"/>
    <x v="24"/>
    <d v="2026-01-29T00:00:00"/>
    <s v="3RD"/>
    <d v="1899-12-30T22:00:00"/>
    <n v="3"/>
    <x v="8"/>
    <n v="6.1999999999999998E-3"/>
    <s v="P"/>
    <s v="P"/>
    <s v="P"/>
    <s v="+"/>
    <s v="+"/>
    <n v="13.2"/>
    <n v="12.91"/>
    <n v="0.44"/>
    <s v="-"/>
    <s v="-"/>
    <s v="-"/>
    <n v="36"/>
    <s v="-"/>
    <n v="25.11"/>
    <s v="P"/>
    <s v="P"/>
    <n v="1"/>
    <n v="2"/>
    <n v="1"/>
    <n v="2"/>
    <n v="1"/>
    <n v="1"/>
    <n v="2"/>
    <s v="-"/>
    <s v="-"/>
    <s v="-"/>
    <s v="-"/>
    <s v="-"/>
    <n v="9"/>
    <n v="9"/>
    <s v="-"/>
    <n v="1"/>
    <n v="1"/>
    <n v="2"/>
    <n v="2"/>
    <n v="11"/>
    <n v="11"/>
  </r>
  <r>
    <x v="0"/>
    <x v="24"/>
    <d v="2026-01-29T00:00:00"/>
    <s v="3RD"/>
    <d v="1899-12-30T23:00:00"/>
    <n v="3"/>
    <x v="8"/>
    <n v="2.8E-3"/>
    <s v="P"/>
    <s v="P"/>
    <s v="P"/>
    <s v="+"/>
    <s v="+"/>
    <n v="13.07"/>
    <s v="-"/>
    <s v="-"/>
    <s v="-"/>
    <s v="-"/>
    <s v="-"/>
    <s v="-"/>
    <s v="-"/>
    <s v="-"/>
    <s v="P"/>
    <s v="P"/>
    <s v="-"/>
    <n v="2"/>
    <n v="1"/>
    <n v="2"/>
    <n v="1"/>
    <s v="-"/>
    <s v="-"/>
    <s v="-"/>
    <s v="-"/>
    <s v="-"/>
    <s v="-"/>
    <s v="-"/>
    <n v="6"/>
    <n v="6"/>
    <s v="-"/>
    <n v="1"/>
    <n v="1"/>
    <n v="2"/>
    <n v="2"/>
    <n v="8"/>
    <n v="8"/>
  </r>
  <r>
    <x v="0"/>
    <x v="24"/>
    <d v="2026-01-29T00:00:00"/>
    <s v="3RD"/>
    <d v="1899-12-31T00:00:00"/>
    <n v="3"/>
    <x v="8"/>
    <n v="6.4000000000000003E-3"/>
    <s v="P"/>
    <s v="P"/>
    <s v="P"/>
    <s v="+"/>
    <s v="+"/>
    <n v="13.26"/>
    <s v="-"/>
    <s v="-"/>
    <s v="-"/>
    <s v="-"/>
    <s v="-"/>
    <s v="-"/>
    <s v="-"/>
    <s v="-"/>
    <s v="P"/>
    <s v="P"/>
    <s v="-"/>
    <n v="2"/>
    <n v="1"/>
    <n v="2"/>
    <n v="1"/>
    <s v="-"/>
    <s v="-"/>
    <s v="-"/>
    <s v="-"/>
    <s v="-"/>
    <s v="-"/>
    <s v="-"/>
    <n v="6"/>
    <n v="6"/>
    <s v="-"/>
    <n v="1"/>
    <n v="1"/>
    <n v="2"/>
    <n v="2"/>
    <n v="8"/>
    <n v="8"/>
  </r>
  <r>
    <x v="0"/>
    <x v="24"/>
    <d v="2026-01-29T00:00:00"/>
    <s v="3RD"/>
    <d v="1899-12-31T01:00:00"/>
    <n v="3"/>
    <x v="8"/>
    <n v="1.8100000000000002E-2"/>
    <s v="P"/>
    <s v="P"/>
    <s v="P"/>
    <s v="+"/>
    <s v="+"/>
    <n v="13.07"/>
    <s v="-"/>
    <s v="-"/>
    <s v="-"/>
    <s v="-"/>
    <s v="-"/>
    <s v="-"/>
    <s v="-"/>
    <s v="-"/>
    <s v="P"/>
    <s v="P"/>
    <s v="-"/>
    <n v="2"/>
    <n v="1"/>
    <n v="2"/>
    <n v="1"/>
    <s v="-"/>
    <s v="-"/>
    <s v="-"/>
    <s v="-"/>
    <s v="-"/>
    <s v="-"/>
    <s v="-"/>
    <n v="6"/>
    <n v="6"/>
    <s v="-"/>
    <n v="1"/>
    <n v="1"/>
    <n v="2"/>
    <n v="2"/>
    <n v="8"/>
    <n v="8"/>
  </r>
  <r>
    <x v="0"/>
    <x v="24"/>
    <d v="2026-01-29T00:00:00"/>
    <s v="3RD"/>
    <d v="1899-12-31T02:00:00"/>
    <n v="3"/>
    <x v="8"/>
    <n v="1.47E-2"/>
    <s v="P"/>
    <s v="P"/>
    <s v="P"/>
    <s v="+"/>
    <s v="+"/>
    <n v="12.49"/>
    <s v="-"/>
    <s v="-"/>
    <s v="-"/>
    <s v="-"/>
    <s v="-"/>
    <s v="-"/>
    <s v="-"/>
    <s v="-"/>
    <s v="P"/>
    <s v="P"/>
    <s v="-"/>
    <n v="2"/>
    <n v="1"/>
    <n v="2"/>
    <n v="1"/>
    <s v="-"/>
    <s v="-"/>
    <s v="-"/>
    <s v="-"/>
    <s v="-"/>
    <s v="-"/>
    <s v="-"/>
    <n v="6"/>
    <n v="6"/>
    <s v="-"/>
    <n v="1"/>
    <n v="1"/>
    <n v="2"/>
    <n v="2"/>
    <n v="8"/>
    <n v="8"/>
  </r>
  <r>
    <x v="0"/>
    <x v="24"/>
    <d v="2026-01-29T00:00:00"/>
    <s v="3RD"/>
    <d v="1899-12-31T03:00:00"/>
    <n v="3"/>
    <x v="8"/>
    <n v="1.06E-2"/>
    <s v="P"/>
    <s v="P"/>
    <s v="P"/>
    <s v="+"/>
    <s v="+"/>
    <n v="12.89"/>
    <s v="-"/>
    <s v="-"/>
    <s v="-"/>
    <s v="-"/>
    <s v="-"/>
    <s v="-"/>
    <s v="-"/>
    <s v="-"/>
    <s v="P"/>
    <s v="P"/>
    <s v="-"/>
    <n v="2"/>
    <n v="1"/>
    <n v="2"/>
    <n v="1"/>
    <s v="-"/>
    <s v="-"/>
    <s v="-"/>
    <s v="-"/>
    <s v="-"/>
    <s v="-"/>
    <s v="-"/>
    <n v="6"/>
    <n v="6"/>
    <s v="-"/>
    <n v="1"/>
    <n v="1"/>
    <n v="2"/>
    <n v="2"/>
    <n v="8"/>
    <n v="8"/>
  </r>
  <r>
    <x v="0"/>
    <x v="24"/>
    <d v="2026-01-29T00:00:00"/>
    <s v="3RD"/>
    <d v="1899-12-31T04:00:00"/>
    <n v="3"/>
    <x v="8"/>
    <s v="-"/>
    <s v="P"/>
    <s v="P"/>
    <s v="P"/>
    <s v="+"/>
    <s v="+"/>
    <n v="12.41"/>
    <s v="-"/>
    <s v="-"/>
    <s v="-"/>
    <s v="-"/>
    <s v="-"/>
    <s v="-"/>
    <s v="-"/>
    <s v="-"/>
    <s v="P"/>
    <s v="P"/>
    <s v="-"/>
    <s v="-"/>
    <n v="1"/>
    <n v="2"/>
    <n v="1"/>
    <s v="-"/>
    <s v="-"/>
    <s v="-"/>
    <s v="-"/>
    <s v="-"/>
    <s v="-"/>
    <s v="-"/>
    <n v="4"/>
    <n v="4"/>
    <s v="-"/>
    <n v="1"/>
    <n v="1"/>
    <n v="2"/>
    <n v="2"/>
    <n v="6"/>
    <n v="6"/>
  </r>
  <r>
    <x v="0"/>
    <x v="24"/>
    <d v="2026-01-23T00:00:00"/>
    <s v="2ND"/>
    <d v="1899-12-30T14:00:00"/>
    <n v="3"/>
    <x v="1"/>
    <n v="7.1999999999999998E-3"/>
    <s v="P"/>
    <s v="P"/>
    <s v="P"/>
    <s v="+"/>
    <s v="+"/>
    <n v="12.27"/>
    <n v="12.48"/>
    <n v="0.44"/>
    <n v="65.3"/>
    <s v="-"/>
    <s v="-"/>
    <n v="34.9"/>
    <s v="-"/>
    <s v="-"/>
    <s v="P"/>
    <s v="P"/>
    <s v="85% 10% 5%"/>
    <n v="2"/>
    <n v="1"/>
    <n v="2"/>
    <n v="1"/>
    <n v="1"/>
    <n v="2"/>
    <n v="2"/>
    <s v="-"/>
    <s v="-"/>
    <n v="2"/>
    <s v="-"/>
    <n v="13"/>
    <n v="13"/>
    <s v="-"/>
    <n v="1"/>
    <n v="1"/>
    <n v="2"/>
    <n v="2"/>
    <n v="15"/>
    <n v="15"/>
  </r>
  <r>
    <x v="0"/>
    <x v="24"/>
    <d v="2026-01-23T00:00:00"/>
    <s v="2ND"/>
    <d v="1899-12-30T15:00:00"/>
    <n v="3"/>
    <x v="1"/>
    <n v="6.7000000000000002E-3"/>
    <s v="P"/>
    <s v="P"/>
    <s v="P"/>
    <s v="+"/>
    <s v="+"/>
    <n v="12.31"/>
    <s v="-"/>
    <s v="-"/>
    <s v="-"/>
    <s v="-"/>
    <s v="-"/>
    <s v="-"/>
    <s v="-"/>
    <s v="-"/>
    <s v="P"/>
    <s v="P"/>
    <s v="-"/>
    <n v="2"/>
    <n v="1"/>
    <n v="2"/>
    <n v="1"/>
    <s v="-"/>
    <s v="-"/>
    <s v="-"/>
    <s v="-"/>
    <s v="-"/>
    <s v="-"/>
    <s v="-"/>
    <n v="6"/>
    <n v="6"/>
    <s v="-"/>
    <n v="1"/>
    <n v="1"/>
    <n v="2"/>
    <n v="2"/>
    <n v="8"/>
    <n v="8"/>
  </r>
  <r>
    <x v="0"/>
    <x v="24"/>
    <d v="1899-12-30T00:00:00"/>
    <s v="2ND"/>
    <d v="1899-12-30T16:00:00"/>
    <s v="Retail"/>
    <x v="13"/>
    <s v="-"/>
    <s v="-"/>
    <s v="-"/>
    <s v="-"/>
    <s v="-"/>
    <s v="-"/>
    <n v="11.02"/>
    <s v="-"/>
    <n v="4.83"/>
    <s v="-"/>
    <s v="-"/>
    <s v="-"/>
    <s v="-"/>
    <s v="-"/>
    <s v="-"/>
    <s v="-"/>
    <s v="-"/>
    <s v="-"/>
    <s v="-"/>
    <s v="-"/>
    <s v="-"/>
    <n v="1"/>
    <s v="-"/>
    <n v="2"/>
    <s v="-"/>
    <s v="-"/>
    <s v="-"/>
    <s v="-"/>
    <s v="-"/>
    <n v="3"/>
    <n v="3"/>
    <s v="-"/>
    <s v="-"/>
    <s v="-"/>
    <n v="0"/>
    <n v="0"/>
    <n v="3"/>
    <n v="3"/>
  </r>
  <r>
    <x v="0"/>
    <x v="24"/>
    <d v="1902-03-26T00:00:00"/>
    <s v="2ND"/>
    <d v="1899-12-30T14:00:00"/>
    <n v="2"/>
    <x v="4"/>
    <n v="2.3E-3"/>
    <s v="P"/>
    <s v="P"/>
    <s v="P"/>
    <s v="-"/>
    <s v="+"/>
    <n v="11.06"/>
    <n v="8.41"/>
    <n v="0.44"/>
    <n v="54.5"/>
    <s v="-"/>
    <s v="-"/>
    <n v="22.64"/>
    <s v="-"/>
    <n v="25.11"/>
    <s v="P"/>
    <s v="P"/>
    <s v="90% 10%"/>
    <n v="2"/>
    <n v="1"/>
    <n v="2"/>
    <n v="1"/>
    <n v="0"/>
    <n v="2"/>
    <n v="2"/>
    <s v="-"/>
    <s v="-"/>
    <n v="2"/>
    <s v="-"/>
    <n v="12"/>
    <n v="13"/>
    <n v="1"/>
    <n v="1"/>
    <n v="1"/>
    <n v="3"/>
    <n v="3"/>
    <n v="15"/>
    <n v="16"/>
  </r>
  <r>
    <x v="0"/>
    <x v="24"/>
    <d v="1899-12-30T00:00:00"/>
    <s v="2ND"/>
    <d v="1899-12-30T15:00:00"/>
    <s v="Retail"/>
    <x v="9"/>
    <s v="-"/>
    <s v="-"/>
    <s v="-"/>
    <s v="-"/>
    <s v="-"/>
    <s v="-"/>
    <n v="10.07"/>
    <s v="-"/>
    <n v="4.62"/>
    <s v="-"/>
    <s v="-"/>
    <s v="-"/>
    <s v="-"/>
    <s v="-"/>
    <s v="-"/>
    <s v="-"/>
    <s v="-"/>
    <s v="-"/>
    <s v="-"/>
    <s v="-"/>
    <s v="-"/>
    <n v="1"/>
    <s v="-"/>
    <n v="2"/>
    <s v="-"/>
    <s v="-"/>
    <s v="-"/>
    <s v="-"/>
    <s v="-"/>
    <n v="3"/>
    <n v="3"/>
    <s v="-"/>
    <s v="-"/>
    <s v="-"/>
    <n v="0"/>
    <n v="0"/>
    <n v="3"/>
    <n v="3"/>
  </r>
  <r>
    <x v="1"/>
    <x v="25"/>
    <d v="1902-03-26T00:00:00"/>
    <s v="1ST"/>
    <s v="07:00"/>
    <n v="2"/>
    <x v="34"/>
    <n v="4.4999999999999997E-3"/>
    <s v="P"/>
    <s v="P"/>
    <s v="P"/>
    <s v="+"/>
    <s v="+"/>
    <n v="11.74"/>
    <n v="11.53"/>
    <n v="0.51"/>
    <n v="64"/>
    <n v="11.4"/>
    <n v="408"/>
    <n v="32.299999999999997"/>
    <s v="-"/>
    <s v="-"/>
    <s v="P"/>
    <s v="P"/>
    <s v="-"/>
    <n v="2"/>
    <n v="1"/>
    <n v="2"/>
    <n v="0"/>
    <n v="1"/>
    <n v="2"/>
    <n v="2"/>
    <n v="0"/>
    <n v="0"/>
    <n v="2"/>
    <s v="-"/>
    <n v="12"/>
    <n v="15"/>
    <s v="-"/>
    <n v="1"/>
    <n v="1"/>
    <n v="2"/>
    <n v="2"/>
    <n v="14"/>
    <n v="17"/>
  </r>
  <r>
    <x v="1"/>
    <x v="25"/>
    <d v="1899-12-30T00:00:00"/>
    <s v="1ST"/>
    <s v="08:00"/>
    <n v="2"/>
    <x v="34"/>
    <n v="6.0000000000000001E-3"/>
    <s v="P"/>
    <s v="P"/>
    <s v="P"/>
    <s v="+"/>
    <s v="+"/>
    <n v="11.76"/>
    <s v="-"/>
    <s v="-"/>
    <s v="-"/>
    <s v="-"/>
    <s v="-"/>
    <s v="-"/>
    <s v="-"/>
    <s v="-"/>
    <s v="P"/>
    <s v="P"/>
    <s v="-"/>
    <n v="2"/>
    <n v="1"/>
    <n v="2"/>
    <n v="0"/>
    <s v="-"/>
    <s v="-"/>
    <s v="-"/>
    <s v="-"/>
    <s v="-"/>
    <s v="-"/>
    <s v="-"/>
    <n v="5"/>
    <n v="6"/>
    <s v="-"/>
    <n v="1"/>
    <n v="1"/>
    <n v="2"/>
    <n v="2"/>
    <n v="7"/>
    <n v="8"/>
  </r>
  <r>
    <x v="1"/>
    <x v="25"/>
    <d v="1899-12-30T00:00:00"/>
    <s v="1ST"/>
    <s v="10:00"/>
    <n v="2"/>
    <x v="6"/>
    <n v="4.0000000000000001E-3"/>
    <s v="P"/>
    <s v="P"/>
    <s v="P"/>
    <s v="+"/>
    <s v="+"/>
    <n v="12.27"/>
    <s v="-"/>
    <s v="-"/>
    <s v="-"/>
    <s v="-"/>
    <s v="-"/>
    <s v="-"/>
    <s v="-"/>
    <s v="-"/>
    <s v="P"/>
    <s v="P"/>
    <s v="-"/>
    <n v="2"/>
    <n v="1"/>
    <n v="2"/>
    <n v="1"/>
    <s v="-"/>
    <s v="-"/>
    <s v="-"/>
    <s v="-"/>
    <s v="-"/>
    <s v="-"/>
    <s v="-"/>
    <n v="6"/>
    <n v="6"/>
    <s v="-"/>
    <n v="1"/>
    <n v="1"/>
    <n v="2"/>
    <n v="2"/>
    <n v="8"/>
    <n v="8"/>
  </r>
  <r>
    <x v="1"/>
    <x v="25"/>
    <d v="1899-12-30T00:00:00"/>
    <s v="1ST"/>
    <s v="11:00"/>
    <n v="2"/>
    <x v="6"/>
    <n v="5.0000000000000001E-3"/>
    <s v="P"/>
    <s v="P"/>
    <s v="P"/>
    <s v="+"/>
    <s v="+"/>
    <n v="12.33"/>
    <s v="-"/>
    <s v="-"/>
    <s v="-"/>
    <s v="-"/>
    <s v="-"/>
    <s v="-"/>
    <s v="-"/>
    <s v="-"/>
    <s v="P"/>
    <s v="P"/>
    <s v="-"/>
    <n v="2"/>
    <n v="1"/>
    <n v="2"/>
    <n v="1"/>
    <s v="-"/>
    <s v="-"/>
    <s v="-"/>
    <s v="-"/>
    <s v="-"/>
    <s v="-"/>
    <s v="-"/>
    <n v="6"/>
    <n v="6"/>
    <s v="-"/>
    <n v="1"/>
    <n v="1"/>
    <n v="2"/>
    <n v="2"/>
    <n v="8"/>
    <n v="8"/>
  </r>
  <r>
    <x v="1"/>
    <x v="25"/>
    <d v="1899-12-30T00:00:00"/>
    <s v="1ST"/>
    <s v="12:00"/>
    <n v="2"/>
    <x v="6"/>
    <n v="7.6E-3"/>
    <s v="P"/>
    <s v="P"/>
    <s v="P"/>
    <s v="+"/>
    <s v="+"/>
    <n v="12.77"/>
    <s v="-"/>
    <s v="-"/>
    <s v="-"/>
    <s v="-"/>
    <s v="-"/>
    <s v="-"/>
    <s v="-"/>
    <s v="-"/>
    <s v="P"/>
    <s v="P"/>
    <s v="-"/>
    <n v="2"/>
    <n v="1"/>
    <n v="2"/>
    <n v="1"/>
    <s v="-"/>
    <s v="-"/>
    <s v="-"/>
    <s v="-"/>
    <s v="-"/>
    <s v="-"/>
    <s v="-"/>
    <n v="6"/>
    <n v="6"/>
    <s v="-"/>
    <n v="1"/>
    <n v="1"/>
    <n v="2"/>
    <n v="2"/>
    <n v="8"/>
    <n v="8"/>
  </r>
  <r>
    <x v="1"/>
    <x v="25"/>
    <d v="1902-03-26T00:00:00"/>
    <s v="2ND"/>
    <d v="1899-12-30T14:00:00"/>
    <n v="2"/>
    <x v="6"/>
    <n v="4.7999999999999996E-3"/>
    <s v="P"/>
    <s v="P"/>
    <s v="P"/>
    <s v="+"/>
    <s v="+"/>
    <n v="12.37"/>
    <n v="12.33"/>
    <n v="0.44"/>
    <s v="-"/>
    <s v="-"/>
    <s v="-"/>
    <n v="34.4"/>
    <s v="-"/>
    <s v="-"/>
    <s v="P"/>
    <s v="P"/>
    <s v="-"/>
    <n v="2"/>
    <n v="1"/>
    <n v="2"/>
    <n v="1"/>
    <n v="1"/>
    <n v="2"/>
    <s v="-"/>
    <s v="-"/>
    <s v="-"/>
    <n v="2"/>
    <s v="-"/>
    <n v="11"/>
    <n v="11"/>
    <s v="-"/>
    <n v="1"/>
    <n v="1"/>
    <n v="2"/>
    <n v="2"/>
    <n v="13"/>
    <n v="13"/>
  </r>
  <r>
    <x v="1"/>
    <x v="25"/>
    <d v="1899-12-30T00:00:00"/>
    <s v="2ND"/>
    <d v="1899-12-30T15:00:00"/>
    <n v="2"/>
    <x v="6"/>
    <n v="2.5000000000000001E-3"/>
    <s v="P"/>
    <s v="P"/>
    <s v="P"/>
    <s v="+"/>
    <s v="+"/>
    <n v="12.33"/>
    <s v="-"/>
    <s v="-"/>
    <s v="-"/>
    <s v="-"/>
    <s v="-"/>
    <s v="-"/>
    <s v="-"/>
    <n v="25.2"/>
    <s v="P"/>
    <s v="P"/>
    <s v="-"/>
    <n v="2"/>
    <n v="1"/>
    <n v="2"/>
    <n v="1"/>
    <s v="-"/>
    <s v="-"/>
    <s v="-"/>
    <s v="-"/>
    <s v="-"/>
    <s v="-"/>
    <s v="-"/>
    <n v="6"/>
    <n v="6"/>
    <n v="1"/>
    <n v="1"/>
    <n v="1"/>
    <n v="3"/>
    <n v="3"/>
    <n v="9"/>
    <n v="9"/>
  </r>
  <r>
    <x v="1"/>
    <x v="25"/>
    <d v="1899-12-30T00:00:00"/>
    <s v="2ND"/>
    <d v="1899-12-30T16:00:00"/>
    <n v="2"/>
    <x v="6"/>
    <n v="2.8999999999999998E-3"/>
    <s v="P"/>
    <s v="P"/>
    <s v="P"/>
    <s v="+"/>
    <s v="+"/>
    <n v="12.27"/>
    <s v="-"/>
    <s v="-"/>
    <s v="-"/>
    <s v="-"/>
    <s v="-"/>
    <s v="-"/>
    <s v="-"/>
    <s v="-"/>
    <s v="P"/>
    <s v="P"/>
    <s v="-"/>
    <n v="2"/>
    <n v="1"/>
    <n v="2"/>
    <n v="1"/>
    <s v="-"/>
    <s v="-"/>
    <s v="-"/>
    <s v="-"/>
    <s v="-"/>
    <s v="-"/>
    <s v="-"/>
    <n v="6"/>
    <n v="6"/>
    <s v="-"/>
    <n v="1"/>
    <n v="1"/>
    <n v="2"/>
    <n v="2"/>
    <n v="8"/>
    <n v="8"/>
  </r>
  <r>
    <x v="1"/>
    <x v="25"/>
    <d v="1899-12-30T00:00:00"/>
    <s v="2ND"/>
    <d v="1899-12-30T17:00:00"/>
    <n v="2"/>
    <x v="6"/>
    <n v="3.2000000000000002E-3"/>
    <s v="P"/>
    <s v="P"/>
    <s v="P"/>
    <s v="+"/>
    <s v="+"/>
    <n v="12.28"/>
    <s v="-"/>
    <s v="-"/>
    <s v="-"/>
    <s v="-"/>
    <s v="-"/>
    <s v="-"/>
    <s v="-"/>
    <s v="-"/>
    <s v="P"/>
    <s v="P"/>
    <s v="85% 15%"/>
    <n v="2"/>
    <n v="1"/>
    <n v="2"/>
    <n v="1"/>
    <s v="-"/>
    <s v="-"/>
    <s v="-"/>
    <s v="-"/>
    <s v="-"/>
    <s v="-"/>
    <s v="-"/>
    <n v="6"/>
    <n v="6"/>
    <s v="-"/>
    <n v="1"/>
    <n v="1"/>
    <n v="2"/>
    <n v="2"/>
    <n v="8"/>
    <n v="8"/>
  </r>
  <r>
    <x v="1"/>
    <x v="25"/>
    <d v="1899-12-30T00:00:00"/>
    <s v="2ND"/>
    <d v="1899-12-30T18:00:00"/>
    <n v="2"/>
    <x v="30"/>
    <n v="2.2000000000000001E-3"/>
    <s v="P"/>
    <s v="P"/>
    <s v="P"/>
    <s v="+"/>
    <s v="+"/>
    <n v="12.26"/>
    <n v="12.43"/>
    <n v="0.44"/>
    <s v="-"/>
    <n v="13"/>
    <n v="815"/>
    <n v="34.799999999999997"/>
    <s v="-"/>
    <s v="-"/>
    <s v="P"/>
    <s v="P"/>
    <s v="-"/>
    <n v="2"/>
    <n v="1"/>
    <n v="2"/>
    <n v="1"/>
    <n v="1"/>
    <n v="2"/>
    <s v="-"/>
    <n v="1"/>
    <n v="0"/>
    <n v="2"/>
    <s v="-"/>
    <n v="12"/>
    <n v="13"/>
    <s v="-"/>
    <n v="1"/>
    <n v="1"/>
    <n v="2"/>
    <n v="2"/>
    <n v="14"/>
    <n v="15"/>
  </r>
  <r>
    <x v="1"/>
    <x v="25"/>
    <d v="1899-12-30T00:00:00"/>
    <s v="2ND"/>
    <d v="1899-12-30T19:00:00"/>
    <n v="2"/>
    <x v="30"/>
    <n v="5.1000000000000004E-3"/>
    <s v="P"/>
    <s v="P"/>
    <s v="P"/>
    <s v="+"/>
    <s v="+"/>
    <n v="12.21"/>
    <s v="-"/>
    <s v="-"/>
    <s v="-"/>
    <s v="-"/>
    <s v="-"/>
    <s v="-"/>
    <s v="-"/>
    <s v="-"/>
    <s v="P"/>
    <s v="P"/>
    <s v="-"/>
    <n v="2"/>
    <n v="1"/>
    <n v="2"/>
    <n v="1"/>
    <s v="-"/>
    <s v="-"/>
    <s v="-"/>
    <s v="-"/>
    <s v="-"/>
    <s v="-"/>
    <s v="-"/>
    <n v="6"/>
    <n v="6"/>
    <s v="-"/>
    <n v="1"/>
    <n v="1"/>
    <n v="2"/>
    <n v="2"/>
    <n v="8"/>
    <n v="8"/>
  </r>
  <r>
    <x v="1"/>
    <x v="25"/>
    <d v="1899-12-30T00:00:00"/>
    <s v="2ND"/>
    <d v="1899-12-30T20:00:00"/>
    <n v="2"/>
    <x v="30"/>
    <n v="1.6400000000000001E-2"/>
    <s v="P"/>
    <s v="P"/>
    <s v="P"/>
    <s v="+"/>
    <s v="+"/>
    <n v="11.17"/>
    <s v="-"/>
    <s v="-"/>
    <s v="-"/>
    <s v="-"/>
    <s v="-"/>
    <s v="-"/>
    <s v="-"/>
    <s v="-"/>
    <s v="P"/>
    <s v="P"/>
    <s v="-"/>
    <n v="2"/>
    <n v="1"/>
    <n v="2"/>
    <n v="0"/>
    <s v="-"/>
    <s v="-"/>
    <s v="-"/>
    <s v="-"/>
    <s v="-"/>
    <s v="-"/>
    <s v="-"/>
    <n v="5"/>
    <n v="6"/>
    <s v="-"/>
    <n v="1"/>
    <n v="1"/>
    <n v="2"/>
    <n v="2"/>
    <n v="7"/>
    <n v="8"/>
  </r>
  <r>
    <x v="1"/>
    <x v="25"/>
    <d v="2026-01-23T00:00:00"/>
    <s v="1ST"/>
    <s v="07:00"/>
    <n v="3"/>
    <x v="0"/>
    <n v="5.8999999999999999E-3"/>
    <s v="P"/>
    <s v="P"/>
    <s v="P"/>
    <s v="+"/>
    <s v="+"/>
    <n v="12.43"/>
    <n v="12.62"/>
    <n v="0.5"/>
    <n v="65.8"/>
    <n v="14.5"/>
    <n v="983"/>
    <n v="35.299999999999997"/>
    <s v="-"/>
    <s v="-"/>
    <s v="P"/>
    <s v="P"/>
    <s v="85% 5% 10%"/>
    <n v="2"/>
    <n v="1"/>
    <n v="2"/>
    <n v="1"/>
    <n v="1"/>
    <n v="2"/>
    <n v="2"/>
    <n v="1"/>
    <n v="1"/>
    <n v="2"/>
    <s v="-"/>
    <n v="15"/>
    <n v="15"/>
    <s v="-"/>
    <n v="1"/>
    <n v="1"/>
    <n v="2"/>
    <n v="2"/>
    <n v="17"/>
    <n v="17"/>
  </r>
  <r>
    <x v="1"/>
    <x v="25"/>
    <d v="2026-01-23T00:00:00"/>
    <s v="1ST"/>
    <s v="08:00"/>
    <n v="3"/>
    <x v="0"/>
    <n v="8.3999999999999995E-3"/>
    <s v="P"/>
    <s v="P"/>
    <s v="P"/>
    <s v="+"/>
    <s v="+"/>
    <n v="12.26"/>
    <s v="-"/>
    <s v="-"/>
    <s v="-"/>
    <s v="-"/>
    <s v="-"/>
    <s v="-"/>
    <s v="-"/>
    <s v="-"/>
    <s v="P"/>
    <s v="P"/>
    <s v="-"/>
    <n v="2"/>
    <n v="1"/>
    <n v="2"/>
    <n v="1"/>
    <s v="-"/>
    <s v="-"/>
    <s v="-"/>
    <s v="-"/>
    <s v="-"/>
    <s v="-"/>
    <s v="-"/>
    <n v="6"/>
    <n v="6"/>
    <s v="-"/>
    <n v="1"/>
    <n v="1"/>
    <n v="2"/>
    <n v="2"/>
    <n v="8"/>
    <n v="8"/>
  </r>
  <r>
    <x v="1"/>
    <x v="25"/>
    <d v="2026-01-23T00:00:00"/>
    <s v="1ST"/>
    <s v="10:00"/>
    <n v="3"/>
    <x v="1"/>
    <n v="3.0999999999999999E-3"/>
    <s v="P"/>
    <s v="P"/>
    <s v="P"/>
    <s v="+"/>
    <s v="+"/>
    <n v="12.61"/>
    <s v="-"/>
    <s v="-"/>
    <s v="-"/>
    <s v="-"/>
    <s v="-"/>
    <s v="-"/>
    <s v="-"/>
    <s v="-"/>
    <s v="P"/>
    <s v="P"/>
    <s v="-"/>
    <n v="2"/>
    <n v="1"/>
    <n v="2"/>
    <n v="1"/>
    <s v="-"/>
    <s v="-"/>
    <s v="-"/>
    <s v="-"/>
    <s v="-"/>
    <s v="-"/>
    <s v="-"/>
    <n v="6"/>
    <n v="6"/>
    <s v="-"/>
    <n v="1"/>
    <n v="1"/>
    <n v="2"/>
    <n v="2"/>
    <n v="8"/>
    <n v="8"/>
  </r>
  <r>
    <x v="1"/>
    <x v="25"/>
    <d v="2026-01-27T00:00:00"/>
    <s v="1ST"/>
    <s v="11:00"/>
    <n v="3"/>
    <x v="1"/>
    <n v="9.2999999999999992E-3"/>
    <s v="P"/>
    <s v="P"/>
    <s v="P"/>
    <s v="+"/>
    <s v="+"/>
    <n v="12.35"/>
    <n v="12.77"/>
    <n v="0.47"/>
    <n v="65.5"/>
    <n v="14.5"/>
    <n v="983"/>
    <n v="35.700000000000003"/>
    <s v="-"/>
    <s v="-"/>
    <s v="P"/>
    <s v="P"/>
    <s v="-"/>
    <n v="2"/>
    <n v="1"/>
    <n v="2"/>
    <n v="1"/>
    <n v="1"/>
    <n v="2"/>
    <n v="2"/>
    <n v="1"/>
    <n v="1"/>
    <n v="2"/>
    <s v="-"/>
    <n v="15"/>
    <n v="15"/>
    <s v="-"/>
    <n v="1"/>
    <n v="1"/>
    <n v="2"/>
    <n v="2"/>
    <n v="17"/>
    <n v="17"/>
  </r>
  <r>
    <x v="1"/>
    <x v="25"/>
    <d v="2026-01-27T00:00:00"/>
    <s v="1ST"/>
    <s v="12:00"/>
    <n v="3"/>
    <x v="1"/>
    <n v="8.8999999999999999E-3"/>
    <s v="P"/>
    <s v="P"/>
    <s v="P"/>
    <s v="+"/>
    <s v="+"/>
    <n v="12.26"/>
    <s v="-"/>
    <s v="-"/>
    <s v="-"/>
    <s v="-"/>
    <s v="-"/>
    <s v="-"/>
    <s v="-"/>
    <s v="-"/>
    <s v="P"/>
    <s v="P"/>
    <s v="-"/>
    <n v="2"/>
    <n v="1"/>
    <n v="2"/>
    <n v="1"/>
    <s v="-"/>
    <s v="-"/>
    <s v="-"/>
    <s v="-"/>
    <s v="-"/>
    <s v="-"/>
    <s v="-"/>
    <n v="6"/>
    <n v="6"/>
    <s v="-"/>
    <n v="1"/>
    <n v="1"/>
    <n v="2"/>
    <n v="2"/>
    <n v="8"/>
    <n v="8"/>
  </r>
  <r>
    <x v="1"/>
    <x v="25"/>
    <d v="2026-01-27T00:00:00"/>
    <s v="1ST"/>
    <s v="13:00"/>
    <n v="3"/>
    <x v="1"/>
    <n v="7.4000000000000003E-3"/>
    <s v="P"/>
    <s v="P"/>
    <s v="P"/>
    <s v="+"/>
    <s v="+"/>
    <n v="13.04"/>
    <s v="-"/>
    <s v="-"/>
    <s v="-"/>
    <s v="-"/>
    <s v="-"/>
    <s v="-"/>
    <s v="-"/>
    <s v="-"/>
    <s v="P"/>
    <s v="P"/>
    <s v="-"/>
    <n v="2"/>
    <n v="1"/>
    <n v="2"/>
    <n v="1"/>
    <s v="-"/>
    <s v="-"/>
    <s v="-"/>
    <s v="-"/>
    <s v="-"/>
    <s v="-"/>
    <s v="-"/>
    <n v="6"/>
    <n v="6"/>
    <s v="-"/>
    <n v="1"/>
    <n v="1"/>
    <n v="2"/>
    <n v="2"/>
    <n v="8"/>
    <n v="8"/>
  </r>
  <r>
    <x v="1"/>
    <x v="25"/>
    <d v="2026-01-27T00:00:00"/>
    <s v="2ND"/>
    <d v="1899-12-30T14:00:00"/>
    <n v="3"/>
    <x v="1"/>
    <n v="6.4000000000000003E-3"/>
    <s v="P"/>
    <s v="P"/>
    <s v="P"/>
    <s v="+"/>
    <s v="+"/>
    <n v="12.84"/>
    <n v="12.55"/>
    <n v="0.48"/>
    <s v="-"/>
    <s v="-"/>
    <s v="-"/>
    <n v="34.9"/>
    <s v="-"/>
    <n v="25.14"/>
    <s v="P"/>
    <s v="P"/>
    <s v="85% 15% 5%"/>
    <n v="2"/>
    <n v="1"/>
    <n v="2"/>
    <n v="1"/>
    <n v="1"/>
    <n v="2"/>
    <s v="-"/>
    <s v="-"/>
    <s v="-"/>
    <n v="2"/>
    <s v="-"/>
    <n v="11"/>
    <n v="11"/>
    <n v="1"/>
    <n v="1"/>
    <n v="1"/>
    <n v="3"/>
    <n v="3"/>
    <n v="14"/>
    <n v="14"/>
  </r>
  <r>
    <x v="1"/>
    <x v="25"/>
    <d v="2026-01-27T00:00:00"/>
    <s v="2ND"/>
    <d v="1899-12-30T15:00:00"/>
    <n v="3"/>
    <x v="1"/>
    <n v="1.2999999999999999E-3"/>
    <s v="P"/>
    <s v="P"/>
    <s v="P"/>
    <s v="+"/>
    <s v="+"/>
    <n v="12.7"/>
    <s v="-"/>
    <s v="-"/>
    <s v="-"/>
    <s v="-"/>
    <s v="-"/>
    <s v="-"/>
    <s v="-"/>
    <s v="-"/>
    <s v="P"/>
    <s v="P"/>
    <s v="-"/>
    <n v="2"/>
    <n v="1"/>
    <n v="2"/>
    <n v="1"/>
    <s v="-"/>
    <s v="-"/>
    <s v="-"/>
    <s v="-"/>
    <s v="-"/>
    <s v="-"/>
    <s v="-"/>
    <n v="6"/>
    <n v="6"/>
    <s v="-"/>
    <n v="1"/>
    <n v="1"/>
    <n v="2"/>
    <n v="2"/>
    <n v="8"/>
    <n v="8"/>
  </r>
  <r>
    <x v="1"/>
    <x v="25"/>
    <d v="2026-01-27T00:00:00"/>
    <s v="2ND"/>
    <d v="1899-12-30T16:00:00"/>
    <n v="3"/>
    <x v="1"/>
    <n v="5.8999999999999999E-3"/>
    <s v="P"/>
    <s v="P"/>
    <s v="P"/>
    <s v="+"/>
    <s v="+"/>
    <n v="12.68"/>
    <s v="-"/>
    <s v="-"/>
    <s v="-"/>
    <s v="-"/>
    <s v="-"/>
    <s v="-"/>
    <s v="-"/>
    <s v="-"/>
    <s v="P"/>
    <s v="P"/>
    <s v="-"/>
    <n v="2"/>
    <n v="1"/>
    <n v="2"/>
    <n v="1"/>
    <s v="-"/>
    <s v="-"/>
    <s v="-"/>
    <s v="-"/>
    <s v="-"/>
    <s v="-"/>
    <s v="-"/>
    <n v="6"/>
    <n v="6"/>
    <s v="-"/>
    <n v="1"/>
    <n v="1"/>
    <n v="2"/>
    <n v="2"/>
    <n v="8"/>
    <n v="8"/>
  </r>
  <r>
    <x v="1"/>
    <x v="25"/>
    <d v="2026-01-27T00:00:00"/>
    <s v="2ND"/>
    <d v="1899-12-30T17:00:00"/>
    <n v="3"/>
    <x v="1"/>
    <n v="4.4999999999999997E-3"/>
    <s v="P"/>
    <s v="P"/>
    <s v="P"/>
    <s v="+"/>
    <s v="+"/>
    <n v="12.08"/>
    <s v="-"/>
    <s v="-"/>
    <s v="-"/>
    <s v="-"/>
    <s v="-"/>
    <s v="-"/>
    <s v="-"/>
    <s v="-"/>
    <s v="P"/>
    <s v="P"/>
    <s v="-"/>
    <n v="2"/>
    <n v="1"/>
    <n v="2"/>
    <n v="1"/>
    <s v="-"/>
    <s v="-"/>
    <s v="-"/>
    <s v="-"/>
    <s v="-"/>
    <s v="-"/>
    <s v="-"/>
    <n v="6"/>
    <n v="6"/>
    <s v="-"/>
    <n v="1"/>
    <n v="1"/>
    <n v="2"/>
    <n v="2"/>
    <n v="8"/>
    <n v="8"/>
  </r>
  <r>
    <x v="1"/>
    <x v="25"/>
    <d v="2026-01-27T00:00:00"/>
    <s v="2ND"/>
    <d v="1899-12-30T19:00:00"/>
    <n v="3"/>
    <x v="1"/>
    <n v="4.8999999999999998E-3"/>
    <s v="P"/>
    <s v="P"/>
    <s v="P"/>
    <s v="+"/>
    <s v="+"/>
    <n v="12.78"/>
    <s v="-"/>
    <s v="-"/>
    <s v="-"/>
    <s v="-"/>
    <s v="-"/>
    <s v="-"/>
    <s v="-"/>
    <s v="-"/>
    <s v="P"/>
    <s v="P"/>
    <s v="-"/>
    <n v="2"/>
    <n v="1"/>
    <n v="2"/>
    <n v="1"/>
    <s v="-"/>
    <s v="-"/>
    <s v="-"/>
    <s v="-"/>
    <s v="-"/>
    <s v="-"/>
    <s v="-"/>
    <n v="6"/>
    <n v="6"/>
    <s v="-"/>
    <n v="1"/>
    <n v="1"/>
    <n v="2"/>
    <n v="2"/>
    <n v="8"/>
    <n v="8"/>
  </r>
  <r>
    <x v="1"/>
    <x v="25"/>
    <d v="2026-01-27T00:00:00"/>
    <s v="2ND"/>
    <d v="1899-12-30T20:00:00"/>
    <n v="3"/>
    <x v="1"/>
    <n v="4.4999999999999997E-3"/>
    <s v="P"/>
    <s v="P"/>
    <s v="P"/>
    <s v="+"/>
    <s v="+"/>
    <n v="12.69"/>
    <s v="-"/>
    <s v="-"/>
    <s v="-"/>
    <s v="-"/>
    <s v="-"/>
    <s v="-"/>
    <s v="-"/>
    <s v="-"/>
    <s v="P"/>
    <s v="P"/>
    <s v="-"/>
    <n v="2"/>
    <n v="1"/>
    <n v="2"/>
    <n v="1"/>
    <s v="-"/>
    <s v="-"/>
    <s v="-"/>
    <s v="-"/>
    <s v="-"/>
    <s v="-"/>
    <s v="-"/>
    <n v="6"/>
    <n v="6"/>
    <s v="-"/>
    <n v="1"/>
    <n v="1"/>
    <n v="2"/>
    <n v="2"/>
    <n v="8"/>
    <n v="8"/>
  </r>
  <r>
    <x v="1"/>
    <x v="25"/>
    <d v="1899-12-30T00:00:00"/>
    <s v="2ND"/>
    <d v="1899-12-30T15:00:00"/>
    <s v="Retail"/>
    <x v="9"/>
    <s v="-"/>
    <s v="-"/>
    <s v="-"/>
    <s v="-"/>
    <s v="-"/>
    <s v="-"/>
    <n v="9.98"/>
    <s v="-"/>
    <n v="4.59"/>
    <s v="-"/>
    <s v="-"/>
    <s v="-"/>
    <s v="-"/>
    <s v="-"/>
    <s v="-"/>
    <s v="-"/>
    <s v="-"/>
    <s v="-"/>
    <s v="-"/>
    <s v="-"/>
    <s v="-"/>
    <n v="0"/>
    <s v="-"/>
    <n v="2"/>
    <s v="-"/>
    <s v="-"/>
    <s v="-"/>
    <s v="-"/>
    <s v="-"/>
    <n v="2"/>
    <n v="3"/>
    <s v="-"/>
    <s v="-"/>
    <s v="-"/>
    <n v="0"/>
    <n v="0"/>
    <n v="2"/>
    <n v="3"/>
  </r>
  <r>
    <x v="1"/>
    <x v="26"/>
    <d v="1902-03-26T00:00:00"/>
    <s v="1ST"/>
    <s v="06:00"/>
    <n v="2"/>
    <x v="7"/>
    <n v="8.6999999999999994E-3"/>
    <s v="P"/>
    <s v="P"/>
    <s v="P"/>
    <s v="-"/>
    <s v="+"/>
    <n v="11.16"/>
    <n v="8.6199999999999992"/>
    <n v="0.43"/>
    <n v="55.8"/>
    <n v="11"/>
    <n v="470"/>
    <n v="23.29"/>
    <s v="-"/>
    <s v="-"/>
    <s v="P"/>
    <s v="P"/>
    <s v="-"/>
    <n v="2"/>
    <n v="1"/>
    <n v="2"/>
    <n v="1"/>
    <n v="1"/>
    <n v="2"/>
    <n v="0"/>
    <n v="1"/>
    <n v="1"/>
    <n v="2"/>
    <s v="-"/>
    <n v="13"/>
    <n v="15"/>
    <s v="-"/>
    <n v="1"/>
    <n v="1"/>
    <n v="2"/>
    <n v="2"/>
    <n v="15"/>
    <n v="17"/>
  </r>
  <r>
    <x v="1"/>
    <x v="26"/>
    <d v="1899-12-30T00:00:00"/>
    <s v="1ST"/>
    <s v="08:00"/>
    <n v="2"/>
    <x v="7"/>
    <n v="8.9999999999999993E-3"/>
    <s v="P"/>
    <s v="P"/>
    <s v="P"/>
    <s v="-"/>
    <s v="+"/>
    <n v="11.14"/>
    <s v="-"/>
    <s v="-"/>
    <s v="-"/>
    <s v="-"/>
    <s v="-"/>
    <s v="-"/>
    <s v="-"/>
    <s v="-"/>
    <s v="P"/>
    <s v="P"/>
    <s v="-"/>
    <n v="2"/>
    <n v="1"/>
    <n v="2"/>
    <n v="1"/>
    <s v="-"/>
    <s v="-"/>
    <s v="-"/>
    <s v="-"/>
    <s v="-"/>
    <s v="-"/>
    <s v="-"/>
    <n v="6"/>
    <n v="6"/>
    <s v="-"/>
    <n v="1"/>
    <n v="1"/>
    <n v="2"/>
    <n v="2"/>
    <n v="8"/>
    <n v="8"/>
  </r>
  <r>
    <x v="1"/>
    <x v="26"/>
    <d v="1899-12-30T00:00:00"/>
    <s v="1ST"/>
    <s v="10:00"/>
    <n v="2"/>
    <x v="7"/>
    <n v="8.0999999999999996E-3"/>
    <s v="P"/>
    <s v="P"/>
    <s v="P"/>
    <s v="-"/>
    <s v="+"/>
    <n v="11.05"/>
    <s v="-"/>
    <s v="-"/>
    <s v="-"/>
    <s v="-"/>
    <s v="-"/>
    <s v="-"/>
    <s v="-"/>
    <s v="-"/>
    <s v="P"/>
    <s v="P"/>
    <s v="-"/>
    <n v="2"/>
    <n v="1"/>
    <n v="2"/>
    <n v="1"/>
    <s v="-"/>
    <s v="-"/>
    <s v="-"/>
    <s v="-"/>
    <s v="-"/>
    <s v="-"/>
    <s v="-"/>
    <n v="6"/>
    <n v="6"/>
    <s v="-"/>
    <n v="1"/>
    <n v="1"/>
    <n v="2"/>
    <n v="2"/>
    <n v="8"/>
    <n v="8"/>
  </r>
  <r>
    <x v="1"/>
    <x v="26"/>
    <d v="1899-12-30T00:00:00"/>
    <s v="1ST"/>
    <s v="12:00"/>
    <n v="2"/>
    <x v="7"/>
    <n v="8.0000000000000002E-3"/>
    <s v="P"/>
    <s v="P"/>
    <s v="P"/>
    <s v="-"/>
    <s v="+"/>
    <n v="10.99"/>
    <s v="-"/>
    <s v="-"/>
    <s v="-"/>
    <s v="-"/>
    <s v="-"/>
    <s v="-"/>
    <s v="-"/>
    <s v="-"/>
    <s v="P"/>
    <s v="P"/>
    <s v="-"/>
    <n v="2"/>
    <n v="1"/>
    <n v="2"/>
    <n v="0"/>
    <s v="-"/>
    <s v="-"/>
    <s v="-"/>
    <s v="-"/>
    <s v="-"/>
    <s v="-"/>
    <s v="-"/>
    <n v="5"/>
    <n v="6"/>
    <s v="-"/>
    <n v="1"/>
    <n v="1"/>
    <n v="2"/>
    <n v="2"/>
    <n v="7"/>
    <n v="8"/>
  </r>
  <r>
    <x v="1"/>
    <x v="26"/>
    <d v="1899-12-30T00:00:00"/>
    <s v="2ND"/>
    <d v="1899-12-30T14:00:00"/>
    <n v="2"/>
    <x v="7"/>
    <n v="3.8999999999999998E-3"/>
    <s v="P"/>
    <s v="P"/>
    <s v="P"/>
    <s v="-"/>
    <s v="+"/>
    <n v="11.01"/>
    <n v="8.74"/>
    <n v="0.45"/>
    <s v="-"/>
    <s v="-"/>
    <s v="-"/>
    <n v="23.58"/>
    <s v="-"/>
    <n v="25.16"/>
    <s v="P"/>
    <s v="P"/>
    <s v="-"/>
    <n v="2"/>
    <n v="1"/>
    <n v="2"/>
    <n v="1"/>
    <n v="1"/>
    <n v="2"/>
    <s v="-"/>
    <s v="-"/>
    <s v="-"/>
    <n v="2"/>
    <s v="-"/>
    <n v="11"/>
    <n v="11"/>
    <n v="1"/>
    <n v="1"/>
    <n v="1"/>
    <n v="3"/>
    <n v="3"/>
    <n v="14"/>
    <n v="14"/>
  </r>
  <r>
    <x v="1"/>
    <x v="26"/>
    <d v="1899-12-30T00:00:00"/>
    <s v="2ND"/>
    <d v="1899-12-30T15:00:00"/>
    <n v="2"/>
    <x v="7"/>
    <n v="5.1999999999999998E-3"/>
    <s v="P"/>
    <s v="P"/>
    <s v="P"/>
    <s v="-"/>
    <s v="+"/>
    <n v="11.65"/>
    <s v="-"/>
    <s v="-"/>
    <s v="-"/>
    <s v="-"/>
    <s v="-"/>
    <s v="-"/>
    <s v="-"/>
    <s v="-"/>
    <s v="P"/>
    <s v="P"/>
    <s v="-"/>
    <n v="2"/>
    <n v="1"/>
    <n v="2"/>
    <n v="1"/>
    <s v="-"/>
    <s v="-"/>
    <s v="-"/>
    <s v="-"/>
    <s v="-"/>
    <s v="-"/>
    <s v="-"/>
    <n v="6"/>
    <n v="6"/>
    <s v="-"/>
    <n v="1"/>
    <n v="1"/>
    <n v="2"/>
    <n v="2"/>
    <n v="8"/>
    <n v="8"/>
  </r>
  <r>
    <x v="1"/>
    <x v="26"/>
    <d v="1899-12-30T00:00:00"/>
    <s v="2ND"/>
    <d v="1899-12-30T16:00:00"/>
    <n v="2"/>
    <x v="7"/>
    <n v="2.0999999999999999E-3"/>
    <s v="P"/>
    <s v="P"/>
    <s v="P"/>
    <s v="-"/>
    <s v="+"/>
    <n v="10.92"/>
    <s v="-"/>
    <s v="-"/>
    <s v="-"/>
    <s v="-"/>
    <s v="-"/>
    <s v="-"/>
    <s v="-"/>
    <s v="-"/>
    <s v="P"/>
    <s v="P"/>
    <s v="-"/>
    <n v="2"/>
    <n v="1"/>
    <n v="2"/>
    <n v="0"/>
    <s v="-"/>
    <s v="-"/>
    <s v="-"/>
    <s v="-"/>
    <s v="-"/>
    <s v="-"/>
    <s v="-"/>
    <n v="5"/>
    <n v="6"/>
    <s v="-"/>
    <n v="1"/>
    <n v="1"/>
    <n v="2"/>
    <n v="2"/>
    <n v="7"/>
    <n v="8"/>
  </r>
  <r>
    <x v="1"/>
    <x v="26"/>
    <d v="1899-12-30T00:00:00"/>
    <s v="2ND"/>
    <d v="1899-12-30T17:00:00"/>
    <n v="2"/>
    <x v="7"/>
    <n v="8.5000000000000006E-3"/>
    <s v="P"/>
    <s v="P"/>
    <s v="P"/>
    <s v="-"/>
    <s v="+"/>
    <n v="10.88"/>
    <s v="-"/>
    <s v="-"/>
    <s v="-"/>
    <s v="-"/>
    <s v="-"/>
    <s v="-"/>
    <s v="-"/>
    <s v="-"/>
    <s v="P"/>
    <s v="P"/>
    <s v="-"/>
    <n v="2"/>
    <n v="1"/>
    <n v="2"/>
    <n v="0"/>
    <s v="-"/>
    <s v="-"/>
    <s v="-"/>
    <s v="-"/>
    <s v="-"/>
    <s v="-"/>
    <s v="-"/>
    <n v="5"/>
    <n v="6"/>
    <s v="-"/>
    <n v="1"/>
    <n v="1"/>
    <n v="2"/>
    <n v="2"/>
    <n v="7"/>
    <n v="8"/>
  </r>
  <r>
    <x v="1"/>
    <x v="26"/>
    <d v="1899-12-30T00:00:00"/>
    <s v="2ND"/>
    <d v="1899-12-30T18:00:00"/>
    <n v="2"/>
    <x v="7"/>
    <n v="3.0000000000000001E-3"/>
    <s v="P"/>
    <s v="P"/>
    <s v="P"/>
    <s v="-"/>
    <s v="+"/>
    <n v="10.91"/>
    <s v="-"/>
    <s v="-"/>
    <s v="-"/>
    <s v="-"/>
    <s v="-"/>
    <s v="-"/>
    <s v="-"/>
    <s v="-"/>
    <s v="P"/>
    <s v="P"/>
    <s v="-"/>
    <n v="2"/>
    <n v="1"/>
    <n v="2"/>
    <n v="0"/>
    <s v="-"/>
    <s v="-"/>
    <s v="-"/>
    <s v="-"/>
    <s v="-"/>
    <s v="-"/>
    <s v="-"/>
    <n v="5"/>
    <n v="6"/>
    <s v="-"/>
    <n v="1"/>
    <n v="1"/>
    <n v="2"/>
    <n v="2"/>
    <n v="7"/>
    <n v="8"/>
  </r>
  <r>
    <x v="1"/>
    <x v="26"/>
    <d v="1899-12-30T00:00:00"/>
    <s v="2ND"/>
    <d v="1899-12-30T19:00:00"/>
    <n v="2"/>
    <x v="7"/>
    <n v="3.3999999999999998E-3"/>
    <s v="P"/>
    <s v="P"/>
    <s v="P"/>
    <s v="-"/>
    <s v="+"/>
    <n v="10.51"/>
    <s v="-"/>
    <s v="-"/>
    <s v="-"/>
    <s v="-"/>
    <s v="-"/>
    <s v="-"/>
    <s v="-"/>
    <s v="-"/>
    <s v="P"/>
    <s v="P"/>
    <s v="-"/>
    <n v="2"/>
    <n v="1"/>
    <n v="2"/>
    <n v="0"/>
    <s v="-"/>
    <s v="-"/>
    <s v="-"/>
    <s v="-"/>
    <s v="-"/>
    <s v="-"/>
    <s v="-"/>
    <n v="5"/>
    <n v="6"/>
    <s v="-"/>
    <n v="1"/>
    <n v="1"/>
    <n v="2"/>
    <n v="2"/>
    <n v="7"/>
    <n v="8"/>
  </r>
  <r>
    <x v="1"/>
    <x v="26"/>
    <d v="2026-01-03T00:00:00"/>
    <s v="1ST"/>
    <s v="06:00"/>
    <n v="3"/>
    <x v="1"/>
    <n v="6.7999999999999996E-3"/>
    <s v="P"/>
    <s v="P"/>
    <s v="P"/>
    <s v="+"/>
    <s v="+"/>
    <n v="12.93"/>
    <n v="12.67"/>
    <n v="0.43"/>
    <n v="63.8"/>
    <s v="-"/>
    <s v="-"/>
    <n v="35.4"/>
    <s v="-"/>
    <s v="-"/>
    <s v="P"/>
    <s v="P"/>
    <s v="85% 15%"/>
    <n v="2"/>
    <n v="1"/>
    <n v="2"/>
    <n v="1"/>
    <n v="1"/>
    <n v="2"/>
    <n v="0"/>
    <s v="-"/>
    <s v="-"/>
    <n v="2"/>
    <s v="-"/>
    <n v="11"/>
    <n v="13"/>
    <s v="-"/>
    <n v="1"/>
    <n v="1"/>
    <n v="2"/>
    <n v="2"/>
    <n v="13"/>
    <n v="15"/>
  </r>
  <r>
    <x v="1"/>
    <x v="26"/>
    <d v="2026-01-03T00:00:00"/>
    <s v="1ST"/>
    <s v="07:00"/>
    <n v="3"/>
    <x v="1"/>
    <n v="8.0999999999999996E-3"/>
    <s v="P"/>
    <s v="P"/>
    <s v="P"/>
    <s v="+"/>
    <s v="+"/>
    <n v="13.12"/>
    <s v="-"/>
    <s v="-"/>
    <s v="-"/>
    <s v="-"/>
    <s v="-"/>
    <s v="-"/>
    <s v="-"/>
    <s v="-"/>
    <s v="P"/>
    <s v="P"/>
    <s v="-"/>
    <n v="2"/>
    <n v="1"/>
    <n v="2"/>
    <n v="1"/>
    <s v="-"/>
    <s v="-"/>
    <s v="-"/>
    <s v="-"/>
    <s v="-"/>
    <s v="-"/>
    <s v="-"/>
    <n v="6"/>
    <n v="6"/>
    <s v="-"/>
    <n v="1"/>
    <n v="1"/>
    <n v="2"/>
    <n v="2"/>
    <n v="8"/>
    <n v="8"/>
  </r>
  <r>
    <x v="1"/>
    <x v="26"/>
    <d v="2026-01-03T00:00:00"/>
    <s v="1ST"/>
    <s v="08:00"/>
    <n v="3"/>
    <x v="1"/>
    <n v="8.9999999999999993E-3"/>
    <s v="P"/>
    <s v="P"/>
    <s v="P"/>
    <s v="+"/>
    <s v="+"/>
    <n v="13.19"/>
    <s v="-"/>
    <s v="-"/>
    <s v="-"/>
    <s v="-"/>
    <s v="-"/>
    <s v="-"/>
    <s v="-"/>
    <s v="-"/>
    <s v="P"/>
    <s v="P"/>
    <s v="-"/>
    <n v="2"/>
    <n v="1"/>
    <n v="2"/>
    <n v="1"/>
    <s v="-"/>
    <s v="-"/>
    <s v="-"/>
    <s v="-"/>
    <s v="-"/>
    <s v="-"/>
    <s v="-"/>
    <n v="6"/>
    <n v="6"/>
    <s v="-"/>
    <n v="1"/>
    <n v="1"/>
    <n v="2"/>
    <n v="2"/>
    <n v="8"/>
    <n v="8"/>
  </r>
  <r>
    <x v="1"/>
    <x v="26"/>
    <d v="2026-01-03T00:00:00"/>
    <s v="1ST"/>
    <s v="10:00"/>
    <n v="3"/>
    <x v="1"/>
    <n v="7.4000000000000003E-3"/>
    <s v="P"/>
    <s v="P"/>
    <s v="P"/>
    <s v="+"/>
    <s v="+"/>
    <n v="12.91"/>
    <s v="-"/>
    <s v="-"/>
    <s v="-"/>
    <s v="-"/>
    <s v="-"/>
    <s v="-"/>
    <s v="-"/>
    <s v="-"/>
    <s v="P"/>
    <s v="P"/>
    <s v="-"/>
    <n v="2"/>
    <n v="1"/>
    <n v="2"/>
    <n v="1"/>
    <s v="-"/>
    <s v="-"/>
    <s v="-"/>
    <s v="-"/>
    <s v="-"/>
    <s v="-"/>
    <s v="-"/>
    <n v="6"/>
    <n v="6"/>
    <s v="-"/>
    <n v="1"/>
    <n v="1"/>
    <n v="2"/>
    <n v="2"/>
    <n v="8"/>
    <n v="8"/>
  </r>
  <r>
    <x v="1"/>
    <x v="26"/>
    <d v="1899-12-30T00:00:00"/>
    <s v="2ND"/>
    <d v="1899-12-30T20:00:00"/>
    <n v="2"/>
    <x v="4"/>
    <n v="1.1599999999999999E-2"/>
    <s v="P"/>
    <s v="P"/>
    <s v="P"/>
    <s v="-"/>
    <s v="+"/>
    <n v="10.16"/>
    <n v="8.58"/>
    <n v="0.49"/>
    <n v="56.3"/>
    <n v="11.4"/>
    <n v="319"/>
    <n v="23.29"/>
    <s v="-"/>
    <s v="-"/>
    <s v="P"/>
    <s v="P"/>
    <s v="-"/>
    <n v="2"/>
    <n v="1"/>
    <n v="2"/>
    <n v="0"/>
    <n v="1"/>
    <n v="2"/>
    <n v="2"/>
    <n v="1"/>
    <n v="1"/>
    <n v="2"/>
    <s v="-"/>
    <n v="14"/>
    <n v="15"/>
    <s v="-"/>
    <n v="1"/>
    <n v="1"/>
    <n v="2"/>
    <n v="2"/>
    <n v="16"/>
    <n v="17"/>
  </r>
  <r>
    <x v="1"/>
    <x v="26"/>
    <d v="1899-12-30T00:00:00"/>
    <s v="2ND"/>
    <d v="1899-12-30T15:00:00"/>
    <s v="Retail"/>
    <x v="9"/>
    <s v="-"/>
    <s v="-"/>
    <s v="-"/>
    <s v="-"/>
    <s v="-"/>
    <s v="-"/>
    <n v="9.7899999999999991"/>
    <s v="-"/>
    <s v="-"/>
    <s v="-"/>
    <s v="-"/>
    <s v="-"/>
    <s v="-"/>
    <s v="-"/>
    <s v="-"/>
    <s v="-"/>
    <s v="-"/>
    <s v="-"/>
    <s v="-"/>
    <s v="-"/>
    <s v="-"/>
    <n v="0"/>
    <s v="-"/>
    <s v="-"/>
    <s v="-"/>
    <s v="-"/>
    <s v="-"/>
    <s v="-"/>
    <s v="-"/>
    <n v="0"/>
    <n v="1"/>
    <s v="-"/>
    <s v="-"/>
    <s v="-"/>
    <n v="0"/>
    <n v="0"/>
    <n v="0"/>
    <n v="1"/>
  </r>
  <r>
    <x v="1"/>
    <x v="27"/>
    <d v="2026-01-27T00:00:00"/>
    <s v="1ST"/>
    <s v="11:00"/>
    <n v="3"/>
    <x v="6"/>
    <n v="1.3899999999999999E-2"/>
    <s v="P"/>
    <s v="P"/>
    <s v="P"/>
    <s v="+"/>
    <s v="+"/>
    <n v="13.12"/>
    <n v="12.26"/>
    <n v="0.48"/>
    <n v="65.2"/>
    <s v="-"/>
    <s v="-"/>
    <n v="34.299999999999997"/>
    <s v="-"/>
    <s v="-"/>
    <s v="P"/>
    <s v="P"/>
    <s v="70% 10% 20% "/>
    <n v="2"/>
    <n v="1"/>
    <n v="2"/>
    <n v="1"/>
    <n v="1"/>
    <n v="2"/>
    <n v="2"/>
    <s v="-"/>
    <s v="-"/>
    <n v="2"/>
    <s v="-"/>
    <n v="13"/>
    <n v="13"/>
    <s v="-"/>
    <n v="1"/>
    <n v="1"/>
    <n v="2"/>
    <n v="2"/>
    <n v="15"/>
    <n v="15"/>
  </r>
  <r>
    <x v="1"/>
    <x v="27"/>
    <d v="2026-01-27T00:00:00"/>
    <s v="1ST"/>
    <s v="12:00"/>
    <n v="3"/>
    <x v="6"/>
    <n v="6.4999999999999997E-3"/>
    <s v="P"/>
    <s v="P"/>
    <s v="P"/>
    <s v="+"/>
    <s v="+"/>
    <n v="12.85"/>
    <s v="-"/>
    <s v="-"/>
    <s v="-"/>
    <s v="-"/>
    <s v="-"/>
    <s v="-"/>
    <s v="-"/>
    <s v="-"/>
    <s v="P"/>
    <s v="P"/>
    <s v="-"/>
    <n v="2"/>
    <n v="1"/>
    <n v="2"/>
    <n v="1"/>
    <s v="-"/>
    <s v="-"/>
    <s v="-"/>
    <s v="-"/>
    <s v="-"/>
    <s v="-"/>
    <s v="-"/>
    <n v="6"/>
    <n v="6"/>
    <s v="-"/>
    <n v="1"/>
    <n v="1"/>
    <n v="2"/>
    <n v="2"/>
    <n v="8"/>
    <n v="8"/>
  </r>
  <r>
    <x v="1"/>
    <x v="27"/>
    <d v="2026-01-27T00:00:00"/>
    <s v="1ST"/>
    <s v="13:00"/>
    <n v="3"/>
    <x v="6"/>
    <n v="1.6899999999999998E-2"/>
    <s v="P"/>
    <s v="P"/>
    <s v="P"/>
    <s v="+"/>
    <s v="+"/>
    <n v="12.48"/>
    <s v="-"/>
    <s v="-"/>
    <s v="-"/>
    <s v="-"/>
    <s v="-"/>
    <s v="-"/>
    <s v="-"/>
    <s v="-"/>
    <s v="P"/>
    <s v="P"/>
    <s v="-"/>
    <n v="2"/>
    <n v="1"/>
    <n v="2"/>
    <n v="1"/>
    <s v="-"/>
    <s v="-"/>
    <s v="-"/>
    <s v="-"/>
    <s v="-"/>
    <s v="-"/>
    <s v="-"/>
    <n v="6"/>
    <n v="6"/>
    <s v="-"/>
    <n v="1"/>
    <n v="1"/>
    <n v="2"/>
    <n v="2"/>
    <n v="8"/>
    <n v="8"/>
  </r>
  <r>
    <x v="1"/>
    <x v="27"/>
    <d v="2026-01-27T00:00:00"/>
    <s v="2ND"/>
    <d v="1899-12-30T14:00:00"/>
    <n v="3"/>
    <x v="6"/>
    <n v="4.4999999999999997E-3"/>
    <s v="P"/>
    <s v="P"/>
    <s v="P"/>
    <s v="+"/>
    <s v="+"/>
    <n v="12.58"/>
    <n v="12.48"/>
    <n v="0.4"/>
    <s v="-"/>
    <s v="-"/>
    <s v="-"/>
    <n v="34.799999999999997"/>
    <s v="-"/>
    <s v="-"/>
    <s v="P"/>
    <s v="P"/>
    <s v="80% 20%"/>
    <n v="2"/>
    <n v="1"/>
    <n v="2"/>
    <n v="1"/>
    <n v="1"/>
    <n v="2"/>
    <s v="-"/>
    <s v="-"/>
    <s v="-"/>
    <n v="2"/>
    <s v="-"/>
    <n v="11"/>
    <n v="11"/>
    <s v="-"/>
    <n v="1"/>
    <n v="1"/>
    <n v="2"/>
    <n v="2"/>
    <n v="13"/>
    <n v="13"/>
  </r>
  <r>
    <x v="1"/>
    <x v="27"/>
    <d v="2026-01-27T00:00:00"/>
    <s v="2ND"/>
    <d v="1899-12-30T15:00:00"/>
    <n v="3"/>
    <x v="6"/>
    <n v="6.6E-3"/>
    <s v="P"/>
    <s v="P"/>
    <s v="P"/>
    <s v="+"/>
    <s v="+"/>
    <n v="12.56"/>
    <s v="-"/>
    <s v="-"/>
    <s v="-"/>
    <s v="-"/>
    <s v="-"/>
    <s v="-"/>
    <s v="-"/>
    <n v="25.17"/>
    <s v="P"/>
    <s v="P"/>
    <s v="-"/>
    <n v="2"/>
    <n v="1"/>
    <n v="2"/>
    <n v="1"/>
    <s v="-"/>
    <s v="-"/>
    <s v="-"/>
    <s v="-"/>
    <s v="-"/>
    <s v="-"/>
    <s v="-"/>
    <n v="6"/>
    <n v="6"/>
    <n v="1"/>
    <n v="1"/>
    <n v="1"/>
    <n v="3"/>
    <n v="3"/>
    <n v="9"/>
    <n v="9"/>
  </r>
  <r>
    <x v="1"/>
    <x v="27"/>
    <d v="2026-01-27T00:00:00"/>
    <s v="2ND"/>
    <d v="1899-12-30T16:00:00"/>
    <n v="3"/>
    <x v="6"/>
    <n v="5.7000000000000002E-3"/>
    <s v="P"/>
    <s v="P"/>
    <s v="P"/>
    <s v="+"/>
    <s v="+"/>
    <n v="12.76"/>
    <s v="-"/>
    <s v="-"/>
    <s v="-"/>
    <s v="-"/>
    <s v="-"/>
    <s v="-"/>
    <s v="-"/>
    <s v="-"/>
    <s v="P"/>
    <s v="P"/>
    <s v="-"/>
    <n v="2"/>
    <n v="1"/>
    <n v="2"/>
    <n v="1"/>
    <s v="-"/>
    <s v="-"/>
    <s v="-"/>
    <s v="-"/>
    <s v="-"/>
    <s v="-"/>
    <s v="-"/>
    <n v="6"/>
    <n v="6"/>
    <s v="-"/>
    <n v="1"/>
    <n v="1"/>
    <n v="2"/>
    <n v="2"/>
    <n v="8"/>
    <n v="8"/>
  </r>
  <r>
    <x v="1"/>
    <x v="27"/>
    <d v="2026-01-27T00:00:00"/>
    <s v="2ND"/>
    <d v="1899-12-30T17:00:00"/>
    <n v="3"/>
    <x v="6"/>
    <n v="8.8000000000000005E-3"/>
    <s v="P"/>
    <s v="P"/>
    <s v="P"/>
    <s v="+"/>
    <s v="+"/>
    <n v="12.53"/>
    <s v="-"/>
    <s v="-"/>
    <s v="-"/>
    <s v="-"/>
    <s v="-"/>
    <s v="-"/>
    <s v="-"/>
    <s v="-"/>
    <s v="P"/>
    <s v="P"/>
    <s v="-"/>
    <n v="2"/>
    <n v="1"/>
    <n v="2"/>
    <n v="1"/>
    <s v="-"/>
    <s v="-"/>
    <s v="-"/>
    <s v="-"/>
    <s v="-"/>
    <s v="-"/>
    <s v="-"/>
    <n v="6"/>
    <n v="6"/>
    <s v="-"/>
    <n v="1"/>
    <n v="1"/>
    <n v="2"/>
    <n v="2"/>
    <n v="8"/>
    <n v="8"/>
  </r>
  <r>
    <x v="1"/>
    <x v="27"/>
    <d v="2026-01-27T00:00:00"/>
    <s v="2ND"/>
    <d v="1899-12-30T19:00:00"/>
    <n v="3"/>
    <x v="6"/>
    <n v="1.9099999999999999E-2"/>
    <s v="P"/>
    <s v="P"/>
    <s v="P"/>
    <s v="+"/>
    <s v="+"/>
    <n v="12.06"/>
    <s v="-"/>
    <s v="-"/>
    <s v="-"/>
    <s v="-"/>
    <s v="-"/>
    <s v="-"/>
    <s v="-"/>
    <s v="-"/>
    <s v="P"/>
    <s v="P"/>
    <s v="-"/>
    <n v="2"/>
    <n v="1"/>
    <n v="2"/>
    <n v="1"/>
    <s v="-"/>
    <s v="-"/>
    <s v="-"/>
    <s v="-"/>
    <s v="-"/>
    <s v="-"/>
    <s v="-"/>
    <n v="6"/>
    <n v="6"/>
    <s v="-"/>
    <n v="1"/>
    <n v="1"/>
    <n v="2"/>
    <n v="2"/>
    <n v="8"/>
    <n v="8"/>
  </r>
  <r>
    <x v="1"/>
    <x v="27"/>
    <d v="2026-02-04T00:00:00"/>
    <s v="1ST"/>
    <s v="06:00"/>
    <s v="Retail"/>
    <x v="3"/>
    <s v="-"/>
    <s v="-"/>
    <s v="-"/>
    <s v="-"/>
    <s v="-"/>
    <s v="-"/>
    <n v="13.6"/>
    <s v="-"/>
    <s v="-"/>
    <s v="-"/>
    <s v="-"/>
    <s v="-"/>
    <s v="-"/>
    <s v="-"/>
    <s v="-"/>
    <s v="P"/>
    <s v="P"/>
    <s v="-"/>
    <s v="-"/>
    <s v="-"/>
    <s v="-"/>
    <n v="1"/>
    <s v="-"/>
    <s v="-"/>
    <s v="-"/>
    <s v="-"/>
    <s v="-"/>
    <s v="-"/>
    <s v="-"/>
    <n v="1"/>
    <n v="1"/>
    <s v="-"/>
    <n v="1"/>
    <n v="1"/>
    <n v="2"/>
    <n v="2"/>
    <n v="3"/>
    <n v="3"/>
  </r>
  <r>
    <x v="1"/>
    <x v="27"/>
    <d v="2026-01-27T00:00:00"/>
    <s v="1ST"/>
    <s v="09:00"/>
    <n v="3"/>
    <x v="30"/>
    <n v="6.4999999999999997E-3"/>
    <s v="P"/>
    <s v="P"/>
    <s v="P"/>
    <s v="+"/>
    <s v="+"/>
    <n v="12.62"/>
    <n v="12.71"/>
    <n v="0.5"/>
    <n v="65.3"/>
    <s v="-"/>
    <s v="-"/>
    <n v="35.6"/>
    <s v="-"/>
    <s v="-"/>
    <s v="P"/>
    <s v="P"/>
    <s v="70% 10% 20% "/>
    <n v="2"/>
    <n v="1"/>
    <n v="2"/>
    <n v="1"/>
    <n v="1"/>
    <n v="2"/>
    <n v="2"/>
    <s v="-"/>
    <s v="-"/>
    <n v="2"/>
    <s v="-"/>
    <n v="13"/>
    <n v="13"/>
    <s v="-"/>
    <n v="1"/>
    <n v="1"/>
    <n v="2"/>
    <n v="2"/>
    <n v="15"/>
    <n v="15"/>
  </r>
  <r>
    <x v="1"/>
    <x v="27"/>
    <d v="2026-01-27T00:00:00"/>
    <s v="1ST"/>
    <s v="10:00"/>
    <n v="3"/>
    <x v="30"/>
    <n v="7.1000000000000004E-3"/>
    <s v="P"/>
    <s v="P"/>
    <s v="P"/>
    <s v="+"/>
    <s v="+"/>
    <n v="12.86"/>
    <s v="-"/>
    <s v="-"/>
    <s v="-"/>
    <s v="-"/>
    <s v="-"/>
    <s v="-"/>
    <s v="-"/>
    <s v="-"/>
    <s v="P"/>
    <s v="P"/>
    <s v="-"/>
    <n v="2"/>
    <n v="1"/>
    <n v="2"/>
    <n v="1"/>
    <s v="-"/>
    <s v="-"/>
    <s v="-"/>
    <s v="-"/>
    <s v="-"/>
    <s v="-"/>
    <s v="-"/>
    <n v="6"/>
    <n v="6"/>
    <s v="-"/>
    <n v="1"/>
    <n v="1"/>
    <n v="2"/>
    <n v="2"/>
    <n v="8"/>
    <n v="8"/>
  </r>
  <r>
    <x v="1"/>
    <x v="27"/>
    <d v="2026-02-03T00:00:00"/>
    <s v="1ST"/>
    <s v="07:00"/>
    <n v="3"/>
    <x v="8"/>
    <n v="1.5699999999999999E-2"/>
    <s v="P"/>
    <s v="P"/>
    <s v="P"/>
    <s v="+"/>
    <s v="+"/>
    <n v="11.45"/>
    <n v="12.89"/>
    <n v="0.45"/>
    <n v="63.8"/>
    <s v="-"/>
    <s v="-"/>
    <n v="36.1"/>
    <s v="-"/>
    <s v="-"/>
    <s v="P"/>
    <s v="P"/>
    <n v="1"/>
    <n v="2"/>
    <n v="1"/>
    <n v="2"/>
    <n v="1"/>
    <n v="1"/>
    <n v="2"/>
    <n v="0"/>
    <s v="-"/>
    <s v="-"/>
    <s v="-"/>
    <s v="-"/>
    <n v="9"/>
    <n v="11"/>
    <s v="-"/>
    <n v="1"/>
    <n v="1"/>
    <n v="2"/>
    <n v="2"/>
    <n v="11"/>
    <n v="13"/>
  </r>
  <r>
    <x v="1"/>
    <x v="27"/>
    <d v="2026-01-26T00:00:00"/>
    <s v="2ND"/>
    <d v="1899-12-30T20:00:00"/>
    <n v="3"/>
    <x v="0"/>
    <n v="8.8000000000000005E-3"/>
    <s v="P"/>
    <s v="P"/>
    <s v="P"/>
    <s v="+"/>
    <s v="+"/>
    <n v="12.77"/>
    <n v="12.45"/>
    <n v="0.43"/>
    <n v="65.5"/>
    <s v="-"/>
    <s v="-"/>
    <n v="34.799999999999997"/>
    <s v="-"/>
    <s v="-"/>
    <s v="P"/>
    <s v="P"/>
    <s v="-"/>
    <n v="2"/>
    <n v="1"/>
    <n v="2"/>
    <n v="1"/>
    <n v="1"/>
    <n v="2"/>
    <n v="2"/>
    <s v="-"/>
    <s v="-"/>
    <n v="2"/>
    <s v="-"/>
    <n v="13"/>
    <n v="13"/>
    <s v="-"/>
    <n v="1"/>
    <n v="1"/>
    <n v="2"/>
    <n v="2"/>
    <n v="15"/>
    <n v="15"/>
  </r>
  <r>
    <x v="1"/>
    <x v="27"/>
    <d v="1899-12-30T00:00:00"/>
    <s v="2ND"/>
    <d v="1899-12-30T16:00:00"/>
    <s v="Retail"/>
    <x v="13"/>
    <s v="-"/>
    <s v="-"/>
    <s v="-"/>
    <s v="-"/>
    <s v="-"/>
    <s v="-"/>
    <n v="11.36"/>
    <s v="-"/>
    <s v="-"/>
    <s v="-"/>
    <s v="-"/>
    <s v="-"/>
    <s v="-"/>
    <s v="-"/>
    <s v="-"/>
    <s v="-"/>
    <s v="-"/>
    <s v="-"/>
    <s v="-"/>
    <s v="-"/>
    <s v="-"/>
    <n v="1"/>
    <s v="-"/>
    <s v="-"/>
    <s v="-"/>
    <s v="-"/>
    <s v="-"/>
    <s v="-"/>
    <s v="-"/>
    <n v="1"/>
    <n v="1"/>
    <s v="-"/>
    <s v="-"/>
    <s v="-"/>
    <n v="0"/>
    <n v="0"/>
    <n v="1"/>
    <n v="1"/>
  </r>
  <r>
    <x v="1"/>
    <x v="27"/>
    <d v="1899-12-30T00:00:00"/>
    <s v="2ND"/>
    <d v="1899-12-30T15:00:00"/>
    <s v="Retail"/>
    <x v="9"/>
    <s v="-"/>
    <s v="-"/>
    <s v="-"/>
    <s v="-"/>
    <s v="-"/>
    <s v="-"/>
    <n v="9.98"/>
    <s v="-"/>
    <s v="-"/>
    <s v="-"/>
    <s v="-"/>
    <s v="-"/>
    <s v="-"/>
    <s v="-"/>
    <s v="-"/>
    <s v="-"/>
    <s v="-"/>
    <s v="-"/>
    <s v="-"/>
    <s v="-"/>
    <s v="-"/>
    <n v="0"/>
    <s v="-"/>
    <s v="-"/>
    <s v="-"/>
    <s v="-"/>
    <s v="-"/>
    <s v="-"/>
    <s v="-"/>
    <n v="0"/>
    <n v="1"/>
    <s v="-"/>
    <s v="-"/>
    <s v="-"/>
    <n v="0"/>
    <n v="0"/>
    <n v="0"/>
    <n v="1"/>
  </r>
  <r>
    <x v="1"/>
    <x v="27"/>
    <d v="1902-03-25T00:00:00"/>
    <s v="1ST"/>
    <s v="06:00"/>
    <n v="2"/>
    <x v="22"/>
    <n v="4.3E-3"/>
    <s v="P"/>
    <s v="P"/>
    <s v="P"/>
    <s v="-"/>
    <s v="-"/>
    <n v="11.13"/>
    <n v="8.7899999999999991"/>
    <n v="0.41"/>
    <n v="55.9"/>
    <s v="-"/>
    <s v="-"/>
    <n v="23.8"/>
    <s v="-"/>
    <s v="-"/>
    <s v="P"/>
    <s v="P"/>
    <s v="-"/>
    <n v="2"/>
    <n v="1"/>
    <n v="2"/>
    <n v="1"/>
    <n v="1"/>
    <n v="0"/>
    <n v="2"/>
    <s v="-"/>
    <s v="-"/>
    <n v="2"/>
    <s v="-"/>
    <n v="11"/>
    <n v="13"/>
    <s v="-"/>
    <n v="1"/>
    <n v="1"/>
    <n v="2"/>
    <n v="2"/>
    <n v="13"/>
    <n v="15"/>
  </r>
  <r>
    <x v="1"/>
    <x v="27"/>
    <d v="1899-12-30T00:00:00"/>
    <s v="1ST"/>
    <s v="12:00"/>
    <n v="2"/>
    <x v="22"/>
    <n v="5.5999999999999999E-3"/>
    <s v="P"/>
    <s v="P"/>
    <s v="P"/>
    <s v="-"/>
    <s v="-"/>
    <n v="11.23"/>
    <s v="-"/>
    <s v="-"/>
    <s v="-"/>
    <s v="-"/>
    <s v="-"/>
    <s v="-"/>
    <s v="-"/>
    <s v="-"/>
    <s v="P"/>
    <s v="P"/>
    <s v="-"/>
    <n v="2"/>
    <n v="1"/>
    <n v="2"/>
    <n v="1"/>
    <s v="-"/>
    <s v="-"/>
    <s v="-"/>
    <s v="-"/>
    <s v="-"/>
    <s v="-"/>
    <s v="-"/>
    <n v="6"/>
    <n v="6"/>
    <s v="-"/>
    <n v="1"/>
    <n v="1"/>
    <n v="2"/>
    <n v="2"/>
    <n v="8"/>
    <n v="8"/>
  </r>
  <r>
    <x v="1"/>
    <x v="27"/>
    <d v="1899-12-30T00:00:00"/>
    <s v="1ST"/>
    <s v="13:00"/>
    <n v="2"/>
    <x v="22"/>
    <n v="3.3E-3"/>
    <s v="P"/>
    <s v="P"/>
    <s v="P"/>
    <s v="-"/>
    <s v="-"/>
    <n v="11.04"/>
    <s v="-"/>
    <s v="-"/>
    <s v="-"/>
    <s v="-"/>
    <s v="-"/>
    <s v="-"/>
    <s v="-"/>
    <s v="-"/>
    <s v="P"/>
    <s v="P"/>
    <s v="-"/>
    <n v="2"/>
    <n v="1"/>
    <n v="2"/>
    <n v="1"/>
    <s v="-"/>
    <s v="-"/>
    <s v="-"/>
    <s v="-"/>
    <s v="-"/>
    <s v="-"/>
    <s v="-"/>
    <n v="6"/>
    <n v="6"/>
    <s v="-"/>
    <n v="1"/>
    <n v="1"/>
    <n v="2"/>
    <n v="2"/>
    <n v="8"/>
    <n v="8"/>
  </r>
  <r>
    <x v="1"/>
    <x v="27"/>
    <d v="1902-03-25T00:00:00"/>
    <s v="2ND"/>
    <d v="1899-12-30T14:00:00"/>
    <n v="2"/>
    <x v="22"/>
    <n v="8.3999999999999995E-3"/>
    <s v="P"/>
    <s v="P"/>
    <s v="P"/>
    <s v="-"/>
    <s v="-"/>
    <n v="10.94"/>
    <n v="8.48"/>
    <n v="0.44"/>
    <s v="-"/>
    <n v="15.3"/>
    <n v="231"/>
    <n v="22.78"/>
    <s v="-"/>
    <n v="25.16"/>
    <s v="P"/>
    <s v="P"/>
    <s v="-"/>
    <n v="2"/>
    <n v="1"/>
    <n v="2"/>
    <n v="0"/>
    <n v="0"/>
    <n v="0"/>
    <s v="-"/>
    <s v="-"/>
    <s v="-"/>
    <n v="2"/>
    <s v="-"/>
    <n v="7"/>
    <n v="11"/>
    <n v="1"/>
    <n v="1"/>
    <n v="1"/>
    <n v="3"/>
    <n v="3"/>
    <n v="10"/>
    <n v="14"/>
  </r>
  <r>
    <x v="1"/>
    <x v="27"/>
    <d v="1899-12-30T00:00:00"/>
    <s v="2ND"/>
    <d v="1899-12-30T15:00:00"/>
    <n v="2"/>
    <x v="22"/>
    <n v="9.1000000000000004E-3"/>
    <s v="P"/>
    <s v="P"/>
    <s v="P"/>
    <s v="-"/>
    <s v="-"/>
    <n v="11.07"/>
    <s v="-"/>
    <s v="-"/>
    <s v="-"/>
    <s v="-"/>
    <s v="-"/>
    <s v="-"/>
    <s v="-"/>
    <s v="-"/>
    <s v="P"/>
    <s v="P"/>
    <s v="-"/>
    <n v="2"/>
    <n v="1"/>
    <n v="2"/>
    <n v="1"/>
    <s v="-"/>
    <s v="-"/>
    <s v="-"/>
    <s v="-"/>
    <s v="-"/>
    <s v="-"/>
    <s v="-"/>
    <n v="6"/>
    <n v="6"/>
    <s v="-"/>
    <n v="1"/>
    <n v="1"/>
    <n v="2"/>
    <n v="2"/>
    <n v="8"/>
    <n v="8"/>
  </r>
  <r>
    <x v="1"/>
    <x v="27"/>
    <d v="1899-12-30T00:00:00"/>
    <s v="2ND"/>
    <d v="1899-12-30T16:00:00"/>
    <n v="2"/>
    <x v="22"/>
    <n v="8.2000000000000007E-3"/>
    <s v="P"/>
    <s v="P"/>
    <s v="P"/>
    <s v="-"/>
    <s v="-"/>
    <n v="11.04"/>
    <s v="-"/>
    <s v="-"/>
    <s v="-"/>
    <s v="-"/>
    <s v="-"/>
    <s v="-"/>
    <s v="-"/>
    <s v="-"/>
    <s v="P"/>
    <s v="P"/>
    <s v="-"/>
    <n v="2"/>
    <n v="1"/>
    <n v="2"/>
    <n v="1"/>
    <s v="-"/>
    <s v="-"/>
    <s v="-"/>
    <s v="-"/>
    <s v="-"/>
    <s v="-"/>
    <s v="-"/>
    <n v="6"/>
    <n v="6"/>
    <s v="-"/>
    <n v="1"/>
    <n v="1"/>
    <n v="2"/>
    <n v="2"/>
    <n v="8"/>
    <n v="8"/>
  </r>
  <r>
    <x v="1"/>
    <x v="27"/>
    <d v="1899-12-30T00:00:00"/>
    <s v="2ND"/>
    <d v="1899-12-30T17:00:00"/>
    <n v="2"/>
    <x v="22"/>
    <n v="7.1000000000000004E-3"/>
    <s v="P"/>
    <s v="P"/>
    <s v="P"/>
    <s v="-"/>
    <s v="-"/>
    <n v="10.95"/>
    <s v="-"/>
    <s v="-"/>
    <s v="-"/>
    <s v="-"/>
    <s v="-"/>
    <s v="-"/>
    <s v="-"/>
    <s v="-"/>
    <s v="P"/>
    <s v="P"/>
    <s v="-"/>
    <n v="2"/>
    <n v="1"/>
    <n v="2"/>
    <n v="0"/>
    <s v="-"/>
    <s v="-"/>
    <s v="-"/>
    <s v="-"/>
    <s v="-"/>
    <s v="-"/>
    <s v="-"/>
    <n v="5"/>
    <n v="6"/>
    <s v="-"/>
    <n v="1"/>
    <n v="1"/>
    <n v="2"/>
    <n v="2"/>
    <n v="7"/>
    <n v="8"/>
  </r>
  <r>
    <x v="1"/>
    <x v="27"/>
    <d v="1899-12-30T00:00:00"/>
    <s v="2ND"/>
    <d v="1899-12-30T19:00:00"/>
    <n v="2"/>
    <x v="22"/>
    <n v="6.4999999999999997E-3"/>
    <s v="P"/>
    <s v="P"/>
    <s v="P"/>
    <s v="-"/>
    <s v="-"/>
    <n v="10.72"/>
    <s v="-"/>
    <s v="-"/>
    <s v="-"/>
    <s v="-"/>
    <s v="-"/>
    <s v="-"/>
    <s v="-"/>
    <s v="-"/>
    <s v="P"/>
    <s v="P"/>
    <s v="-"/>
    <n v="2"/>
    <n v="1"/>
    <n v="2"/>
    <n v="0"/>
    <s v="-"/>
    <s v="-"/>
    <s v="-"/>
    <s v="-"/>
    <s v="-"/>
    <s v="-"/>
    <s v="-"/>
    <n v="5"/>
    <n v="6"/>
    <s v="-"/>
    <n v="1"/>
    <n v="1"/>
    <n v="2"/>
    <n v="2"/>
    <n v="7"/>
    <n v="8"/>
  </r>
  <r>
    <x v="1"/>
    <x v="27"/>
    <d v="1899-12-30T00:00:00"/>
    <s v="2ND"/>
    <d v="1899-12-30T20:00:00"/>
    <n v="2"/>
    <x v="22"/>
    <s v="-"/>
    <s v="P"/>
    <s v="P"/>
    <s v="P"/>
    <s v="-"/>
    <s v="-"/>
    <s v="-"/>
    <s v="-"/>
    <s v="-"/>
    <s v="-"/>
    <s v="-"/>
    <s v="-"/>
    <s v="-"/>
    <s v="-"/>
    <s v="-"/>
    <s v="P"/>
    <s v="P"/>
    <s v="-"/>
    <s v="-"/>
    <n v="1"/>
    <n v="2"/>
    <s v="-"/>
    <s v="-"/>
    <s v="-"/>
    <s v="-"/>
    <s v="-"/>
    <s v="-"/>
    <s v="-"/>
    <s v="-"/>
    <n v="3"/>
    <n v="3"/>
    <s v="-"/>
    <n v="1"/>
    <n v="1"/>
    <n v="2"/>
    <n v="2"/>
    <n v="5"/>
    <n v="5"/>
  </r>
  <r>
    <x v="1"/>
    <x v="28"/>
    <d v="1899-12-30T00:00:00"/>
    <s v="3RD"/>
    <d v="1899-12-31T02:00:00"/>
    <n v="2"/>
    <x v="7"/>
    <n v="1.4E-3"/>
    <s v="P"/>
    <s v="P"/>
    <s v="P"/>
    <s v="-"/>
    <s v="+"/>
    <n v="10.63"/>
    <n v="8.6300000000000008"/>
    <n v="0.51"/>
    <n v="55.8"/>
    <s v="-"/>
    <s v="-"/>
    <n v="23.36"/>
    <s v="-"/>
    <s v="-"/>
    <s v="P"/>
    <s v="P"/>
    <s v="-"/>
    <n v="2"/>
    <n v="1"/>
    <n v="2"/>
    <n v="0"/>
    <n v="1"/>
    <n v="2"/>
    <n v="0"/>
    <s v="-"/>
    <s v="-"/>
    <n v="2"/>
    <s v="-"/>
    <n v="10"/>
    <n v="13"/>
    <s v="-"/>
    <n v="1"/>
    <n v="1"/>
    <n v="2"/>
    <n v="2"/>
    <n v="12"/>
    <n v="15"/>
  </r>
  <r>
    <x v="1"/>
    <x v="28"/>
    <d v="1899-12-30T00:00:00"/>
    <s v="3RD"/>
    <d v="1899-12-31T03:00:00"/>
    <n v="2"/>
    <x v="7"/>
    <n v="2.3E-3"/>
    <s v="P"/>
    <s v="P"/>
    <s v="P"/>
    <s v="-"/>
    <s v="+"/>
    <n v="10.67"/>
    <s v="-"/>
    <s v="-"/>
    <s v="-"/>
    <s v="-"/>
    <s v="-"/>
    <s v="-"/>
    <s v="-"/>
    <s v="-"/>
    <s v="P"/>
    <s v="P"/>
    <s v="-"/>
    <n v="2"/>
    <n v="1"/>
    <n v="2"/>
    <n v="0"/>
    <s v="-"/>
    <s v="-"/>
    <s v="-"/>
    <s v="-"/>
    <s v="-"/>
    <s v="-"/>
    <s v="-"/>
    <n v="5"/>
    <n v="6"/>
    <s v="-"/>
    <n v="1"/>
    <n v="1"/>
    <n v="2"/>
    <n v="2"/>
    <n v="7"/>
    <n v="8"/>
  </r>
  <r>
    <x v="1"/>
    <x v="28"/>
    <d v="1899-12-30T00:00:00"/>
    <s v="3RD"/>
    <d v="1899-12-31T04:00:00"/>
    <n v="2"/>
    <x v="7"/>
    <n v="2.7000000000000001E-3"/>
    <s v="P"/>
    <s v="P"/>
    <s v="P"/>
    <s v="-"/>
    <s v="+"/>
    <n v="10.8"/>
    <s v="-"/>
    <s v="-"/>
    <s v="-"/>
    <s v="-"/>
    <s v="-"/>
    <s v="-"/>
    <s v="-"/>
    <s v="-"/>
    <s v="P"/>
    <s v="P"/>
    <s v="-"/>
    <n v="2"/>
    <n v="1"/>
    <n v="2"/>
    <n v="0"/>
    <s v="-"/>
    <s v="-"/>
    <s v="-"/>
    <s v="-"/>
    <s v="-"/>
    <s v="-"/>
    <s v="-"/>
    <n v="5"/>
    <n v="6"/>
    <s v="-"/>
    <n v="1"/>
    <n v="1"/>
    <n v="2"/>
    <n v="2"/>
    <n v="7"/>
    <n v="8"/>
  </r>
  <r>
    <x v="1"/>
    <x v="28"/>
    <d v="2026-02-04T00:00:00"/>
    <s v="1ST"/>
    <s v="06:00"/>
    <n v="3"/>
    <x v="32"/>
    <n v="4.1999999999999997E-3"/>
    <s v="P"/>
    <s v="P"/>
    <s v="P"/>
    <s v="+"/>
    <s v="+"/>
    <n v="12.8"/>
    <n v="11.88"/>
    <n v="0.32"/>
    <n v="62.9"/>
    <n v="13.8"/>
    <n v="1076"/>
    <n v="33"/>
    <s v="-"/>
    <s v="-"/>
    <s v="P"/>
    <s v="P"/>
    <n v="1"/>
    <n v="2"/>
    <n v="1"/>
    <n v="2"/>
    <n v="1"/>
    <n v="1"/>
    <n v="2"/>
    <n v="0"/>
    <n v="1"/>
    <n v="0"/>
    <n v="2"/>
    <s v="-"/>
    <n v="12"/>
    <n v="15"/>
    <s v="-"/>
    <n v="1"/>
    <n v="1"/>
    <n v="2"/>
    <n v="2"/>
    <n v="14"/>
    <n v="17"/>
  </r>
  <r>
    <x v="1"/>
    <x v="28"/>
    <d v="2026-02-04T00:00:00"/>
    <s v="2ND"/>
    <d v="1899-12-30T19:00:00"/>
    <n v="3"/>
    <x v="11"/>
    <n v="4.7999999999999996E-3"/>
    <s v="P"/>
    <s v="P"/>
    <s v="P"/>
    <s v="+"/>
    <s v="+"/>
    <n v="12.61"/>
    <n v="13.25"/>
    <n v="0.47"/>
    <n v="65"/>
    <n v="13"/>
    <n v="892"/>
    <n v="37.200000000000003"/>
    <s v="-"/>
    <s v="-"/>
    <s v="P"/>
    <s v="P"/>
    <s v="-"/>
    <n v="2"/>
    <n v="1"/>
    <n v="2"/>
    <n v="1"/>
    <n v="1"/>
    <n v="2"/>
    <n v="2"/>
    <n v="1"/>
    <n v="1"/>
    <n v="2"/>
    <s v="-"/>
    <n v="15"/>
    <n v="15"/>
    <s v="-"/>
    <n v="1"/>
    <n v="1"/>
    <n v="2"/>
    <n v="2"/>
    <n v="17"/>
    <n v="17"/>
  </r>
  <r>
    <x v="1"/>
    <x v="28"/>
    <d v="2026-02-04T00:00:00"/>
    <s v="2ND"/>
    <d v="1899-12-30T20:00:00"/>
    <n v="3"/>
    <x v="11"/>
    <n v="6.1000000000000004E-3"/>
    <s v="P"/>
    <s v="P"/>
    <s v="P"/>
    <s v="+"/>
    <s v="+"/>
    <n v="12.37"/>
    <s v="-"/>
    <s v="-"/>
    <s v="-"/>
    <s v="-"/>
    <s v="-"/>
    <s v="-"/>
    <s v="-"/>
    <s v="-"/>
    <s v="P"/>
    <s v="P"/>
    <s v="-"/>
    <n v="2"/>
    <n v="1"/>
    <n v="2"/>
    <n v="1"/>
    <s v="-"/>
    <s v="-"/>
    <s v="-"/>
    <s v="-"/>
    <s v="-"/>
    <s v="-"/>
    <s v="-"/>
    <n v="6"/>
    <n v="6"/>
    <s v="-"/>
    <n v="1"/>
    <n v="1"/>
    <n v="2"/>
    <n v="2"/>
    <n v="8"/>
    <n v="8"/>
  </r>
  <r>
    <x v="1"/>
    <x v="28"/>
    <d v="2026-02-04T00:00:00"/>
    <s v="1ST"/>
    <s v="11:00"/>
    <s v="Retail"/>
    <x v="19"/>
    <s v="-"/>
    <s v="-"/>
    <s v="P"/>
    <s v="P"/>
    <s v="-"/>
    <s v="-"/>
    <n v="12.41"/>
    <n v="14.94"/>
    <n v="1.06"/>
    <n v="69.3"/>
    <n v="10.9"/>
    <n v="370"/>
    <n v="42.33"/>
    <s v="-"/>
    <s v="-"/>
    <s v="-"/>
    <s v="-"/>
    <s v="-"/>
    <s v="-"/>
    <s v="-"/>
    <n v="2"/>
    <n v="1"/>
    <n v="1"/>
    <n v="2"/>
    <n v="2"/>
    <n v="0"/>
    <n v="0"/>
    <n v="2"/>
    <s v="-"/>
    <n v="10"/>
    <n v="12"/>
    <s v="-"/>
    <s v="-"/>
    <s v="-"/>
    <n v="0"/>
    <n v="0"/>
    <n v="10"/>
    <n v="12"/>
  </r>
  <r>
    <x v="1"/>
    <x v="28"/>
    <d v="2026-02-04T00:00:00"/>
    <s v="1ST"/>
    <s v="12:00"/>
    <s v="Retail"/>
    <x v="19"/>
    <s v="-"/>
    <s v="-"/>
    <s v="P"/>
    <s v="P"/>
    <s v="-"/>
    <s v="-"/>
    <n v="12.44"/>
    <s v="-"/>
    <s v="-"/>
    <s v="-"/>
    <s v="-"/>
    <s v="-"/>
    <s v="-"/>
    <s v="-"/>
    <s v="-"/>
    <s v="-"/>
    <s v="-"/>
    <s v="-"/>
    <s v="-"/>
    <s v="-"/>
    <n v="2"/>
    <n v="1"/>
    <s v="-"/>
    <s v="-"/>
    <s v="-"/>
    <s v="-"/>
    <s v="-"/>
    <s v="-"/>
    <s v="-"/>
    <n v="3"/>
    <n v="3"/>
    <s v="-"/>
    <s v="-"/>
    <s v="-"/>
    <n v="0"/>
    <n v="0"/>
    <n v="3"/>
    <n v="3"/>
  </r>
  <r>
    <x v="1"/>
    <x v="28"/>
    <d v="2026-02-04T00:00:00"/>
    <s v="2ND"/>
    <d v="1899-12-30T21:00:00"/>
    <n v="3"/>
    <x v="20"/>
    <n v="2.8E-3"/>
    <s v="P"/>
    <s v="P"/>
    <s v="P"/>
    <s v="-"/>
    <s v="-"/>
    <n v="12.58"/>
    <s v="-"/>
    <s v="-"/>
    <n v="66.099999999999994"/>
    <n v="21.6"/>
    <n v="504"/>
    <s v="-"/>
    <s v="-"/>
    <s v="-"/>
    <s v="P"/>
    <s v="P"/>
    <s v="-"/>
    <n v="2"/>
    <n v="1"/>
    <n v="2"/>
    <n v="1"/>
    <s v="-"/>
    <s v="-"/>
    <n v="2"/>
    <s v="-"/>
    <s v="-"/>
    <s v="-"/>
    <s v="-"/>
    <n v="8"/>
    <n v="8"/>
    <s v="-"/>
    <n v="1"/>
    <n v="1"/>
    <n v="2"/>
    <n v="2"/>
    <n v="10"/>
    <n v="10"/>
  </r>
  <r>
    <x v="1"/>
    <x v="28"/>
    <d v="2026-04-02T00:00:00"/>
    <s v="3RD"/>
    <d v="1899-12-30T22:00:00"/>
    <n v="3"/>
    <x v="20"/>
    <n v="2.5000000000000001E-3"/>
    <s v="P"/>
    <s v="P"/>
    <s v="P"/>
    <s v="-"/>
    <s v="-"/>
    <n v="12.52"/>
    <n v="12.89"/>
    <n v="0.45"/>
    <s v="-"/>
    <s v="-"/>
    <s v="-"/>
    <n v="36"/>
    <s v="-"/>
    <n v="25.2"/>
    <s v="P"/>
    <s v="P"/>
    <s v="80% 20%"/>
    <n v="2"/>
    <n v="1"/>
    <n v="2"/>
    <n v="1"/>
    <n v="1"/>
    <n v="0"/>
    <s v="-"/>
    <s v="-"/>
    <s v="-"/>
    <n v="2"/>
    <s v="-"/>
    <n v="9"/>
    <n v="11"/>
    <n v="1"/>
    <n v="1"/>
    <n v="1"/>
    <n v="3"/>
    <n v="3"/>
    <n v="12"/>
    <n v="14"/>
  </r>
  <r>
    <x v="1"/>
    <x v="28"/>
    <d v="2026-04-02T00:00:00"/>
    <s v="3RD"/>
    <d v="1899-12-30T23:00:00"/>
    <n v="3"/>
    <x v="20"/>
    <n v="2.8E-3"/>
    <s v="P"/>
    <s v="P"/>
    <s v="P"/>
    <s v="-"/>
    <s v="-"/>
    <n v="12.31"/>
    <s v="-"/>
    <s v="-"/>
    <s v="-"/>
    <s v="-"/>
    <s v="-"/>
    <s v="-"/>
    <s v="-"/>
    <s v="-"/>
    <s v="P"/>
    <s v="P"/>
    <s v="-"/>
    <n v="2"/>
    <n v="1"/>
    <n v="2"/>
    <n v="1"/>
    <s v="-"/>
    <s v="-"/>
    <s v="-"/>
    <s v="-"/>
    <s v="-"/>
    <s v="-"/>
    <s v="-"/>
    <n v="6"/>
    <n v="6"/>
    <s v="-"/>
    <n v="1"/>
    <n v="1"/>
    <n v="2"/>
    <n v="2"/>
    <n v="8"/>
    <n v="8"/>
  </r>
  <r>
    <x v="1"/>
    <x v="28"/>
    <d v="2026-04-02T00:00:00"/>
    <s v="3RD"/>
    <d v="1899-12-31T00:00:00"/>
    <n v="3"/>
    <x v="20"/>
    <n v="3.3999999999999998E-3"/>
    <s v="P"/>
    <s v="P"/>
    <s v="P"/>
    <s v="-"/>
    <s v="-"/>
    <n v="12.89"/>
    <s v="-"/>
    <s v="-"/>
    <s v="-"/>
    <s v="-"/>
    <s v="-"/>
    <s v="-"/>
    <s v="-"/>
    <s v="-"/>
    <s v="P"/>
    <s v="P"/>
    <s v="-"/>
    <n v="2"/>
    <n v="1"/>
    <n v="2"/>
    <n v="1"/>
    <s v="-"/>
    <s v="-"/>
    <s v="-"/>
    <s v="-"/>
    <s v="-"/>
    <s v="-"/>
    <s v="-"/>
    <n v="6"/>
    <n v="6"/>
    <s v="-"/>
    <n v="1"/>
    <n v="1"/>
    <n v="2"/>
    <n v="2"/>
    <n v="8"/>
    <n v="8"/>
  </r>
  <r>
    <x v="1"/>
    <x v="28"/>
    <d v="2026-04-02T00:00:00"/>
    <s v="3RD"/>
    <d v="1899-12-31T01:00:00"/>
    <n v="3"/>
    <x v="20"/>
    <n v="4.0000000000000001E-3"/>
    <s v="P"/>
    <s v="P"/>
    <s v="P"/>
    <s v="-"/>
    <s v="-"/>
    <n v="12.61"/>
    <s v="-"/>
    <s v="-"/>
    <s v="-"/>
    <s v="-"/>
    <s v="-"/>
    <s v="-"/>
    <s v="-"/>
    <s v="-"/>
    <s v="P"/>
    <s v="P"/>
    <s v="-"/>
    <n v="2"/>
    <n v="1"/>
    <n v="2"/>
    <n v="1"/>
    <s v="-"/>
    <s v="-"/>
    <s v="-"/>
    <s v="-"/>
    <s v="-"/>
    <s v="-"/>
    <s v="-"/>
    <n v="6"/>
    <n v="6"/>
    <s v="-"/>
    <n v="1"/>
    <n v="1"/>
    <n v="2"/>
    <n v="2"/>
    <n v="8"/>
    <n v="8"/>
  </r>
  <r>
    <x v="1"/>
    <x v="28"/>
    <d v="2026-04-02T00:00:00"/>
    <s v="3RD"/>
    <d v="1899-12-31T02:00:00"/>
    <n v="3"/>
    <x v="20"/>
    <n v="4.7999999999999996E-3"/>
    <s v="P"/>
    <s v="P"/>
    <s v="P"/>
    <s v="-"/>
    <s v="-"/>
    <n v="12.84"/>
    <s v="-"/>
    <s v="-"/>
    <s v="-"/>
    <s v="-"/>
    <s v="-"/>
    <s v="-"/>
    <s v="-"/>
    <s v="-"/>
    <s v="P"/>
    <s v="P"/>
    <s v="-"/>
    <n v="2"/>
    <n v="1"/>
    <n v="2"/>
    <n v="1"/>
    <s v="-"/>
    <s v="-"/>
    <s v="-"/>
    <s v="-"/>
    <s v="-"/>
    <s v="-"/>
    <s v="-"/>
    <n v="6"/>
    <n v="6"/>
    <s v="-"/>
    <n v="1"/>
    <n v="1"/>
    <n v="2"/>
    <n v="2"/>
    <n v="8"/>
    <n v="8"/>
  </r>
  <r>
    <x v="1"/>
    <x v="28"/>
    <d v="2026-04-02T00:00:00"/>
    <s v="3RD"/>
    <d v="1899-12-31T03:00:00"/>
    <n v="3"/>
    <x v="20"/>
    <n v="3.8999999999999998E-3"/>
    <s v="P"/>
    <s v="P"/>
    <s v="P"/>
    <s v="-"/>
    <s v="-"/>
    <n v="12.72"/>
    <s v="-"/>
    <s v="-"/>
    <s v="-"/>
    <s v="-"/>
    <s v="-"/>
    <s v="-"/>
    <s v="-"/>
    <s v="-"/>
    <s v="P"/>
    <s v="P"/>
    <s v="-"/>
    <n v="2"/>
    <n v="1"/>
    <n v="2"/>
    <n v="1"/>
    <s v="-"/>
    <s v="-"/>
    <s v="-"/>
    <s v="-"/>
    <s v="-"/>
    <s v="-"/>
    <s v="-"/>
    <n v="6"/>
    <n v="6"/>
    <s v="-"/>
    <n v="1"/>
    <n v="1"/>
    <n v="2"/>
    <n v="2"/>
    <n v="8"/>
    <n v="8"/>
  </r>
  <r>
    <x v="1"/>
    <x v="28"/>
    <d v="2026-04-02T00:00:00"/>
    <s v="3RD"/>
    <d v="1899-12-31T04:00:00"/>
    <n v="3"/>
    <x v="20"/>
    <n v="4.0000000000000001E-3"/>
    <s v="P"/>
    <s v="P"/>
    <s v="P"/>
    <s v="-"/>
    <s v="-"/>
    <n v="12.85"/>
    <s v="-"/>
    <s v="-"/>
    <s v="-"/>
    <s v="-"/>
    <s v="-"/>
    <s v="-"/>
    <s v="-"/>
    <s v="-"/>
    <s v="P"/>
    <s v="P"/>
    <s v="-"/>
    <n v="2"/>
    <n v="1"/>
    <n v="2"/>
    <n v="1"/>
    <s v="-"/>
    <s v="-"/>
    <s v="-"/>
    <s v="-"/>
    <s v="-"/>
    <s v="-"/>
    <s v="-"/>
    <n v="6"/>
    <n v="6"/>
    <s v="-"/>
    <n v="1"/>
    <n v="1"/>
    <n v="2"/>
    <n v="2"/>
    <n v="8"/>
    <n v="8"/>
  </r>
  <r>
    <x v="1"/>
    <x v="28"/>
    <d v="1899-12-30T00:00:00"/>
    <s v="2ND"/>
    <d v="1899-12-30T15:00:00"/>
    <s v="Retail"/>
    <x v="13"/>
    <s v="-"/>
    <s v="-"/>
    <s v="-"/>
    <s v="-"/>
    <s v="-"/>
    <s v="-"/>
    <n v="11.42"/>
    <s v="-"/>
    <n v="4.9400000000000004"/>
    <s v="-"/>
    <s v="-"/>
    <s v="-"/>
    <s v="-"/>
    <s v="-"/>
    <s v="-"/>
    <s v="-"/>
    <s v="-"/>
    <s v="-"/>
    <s v="-"/>
    <s v="-"/>
    <s v="-"/>
    <n v="1"/>
    <s v="-"/>
    <n v="2"/>
    <s v="-"/>
    <s v="-"/>
    <s v="-"/>
    <s v="-"/>
    <s v="-"/>
    <n v="3"/>
    <n v="3"/>
    <s v="-"/>
    <s v="-"/>
    <s v="-"/>
    <n v="0"/>
    <n v="0"/>
    <n v="3"/>
    <n v="3"/>
  </r>
  <r>
    <x v="1"/>
    <x v="28"/>
    <d v="1899-12-30T00:00:00"/>
    <s v="2ND"/>
    <d v="1899-12-30T14:00:00"/>
    <s v="Retail"/>
    <x v="9"/>
    <s v="-"/>
    <s v="-"/>
    <s v="-"/>
    <s v="-"/>
    <s v="-"/>
    <s v="-"/>
    <n v="9.7100000000000009"/>
    <s v="-"/>
    <n v="4.3499999999999996"/>
    <s v="-"/>
    <s v="-"/>
    <s v="-"/>
    <s v="-"/>
    <s v="-"/>
    <s v="-"/>
    <s v="-"/>
    <s v="-"/>
    <s v="-"/>
    <s v="-"/>
    <s v="-"/>
    <s v="-"/>
    <n v="0"/>
    <s v="-"/>
    <n v="2"/>
    <s v="-"/>
    <s v="-"/>
    <s v="-"/>
    <s v="-"/>
    <s v="-"/>
    <n v="2"/>
    <n v="3"/>
    <s v="-"/>
    <s v="-"/>
    <s v="-"/>
    <n v="0"/>
    <n v="0"/>
    <n v="2"/>
    <n v="3"/>
  </r>
  <r>
    <x v="1"/>
    <x v="28"/>
    <d v="2026-02-03T00:00:00"/>
    <s v="1ST"/>
    <s v="10:00"/>
    <n v="3"/>
    <x v="16"/>
    <n v="7.6E-3"/>
    <s v="P"/>
    <s v="P"/>
    <s v="P"/>
    <s v="+"/>
    <s v="+"/>
    <n v="12.15"/>
    <n v="12.43"/>
    <n v="0.46"/>
    <n v="64.7"/>
    <n v="15.9"/>
    <n v="841"/>
    <n v="35.299999999999997"/>
    <s v="-"/>
    <s v="-"/>
    <s v="P"/>
    <s v="P"/>
    <n v="1"/>
    <n v="2"/>
    <n v="1"/>
    <n v="2"/>
    <n v="1"/>
    <n v="1"/>
    <n v="2"/>
    <n v="2"/>
    <n v="1"/>
    <n v="1"/>
    <n v="2"/>
    <s v="-"/>
    <n v="15"/>
    <n v="15"/>
    <s v="-"/>
    <n v="1"/>
    <n v="1"/>
    <n v="2"/>
    <n v="2"/>
    <n v="17"/>
    <n v="17"/>
  </r>
  <r>
    <x v="1"/>
    <x v="28"/>
    <d v="2026-02-03T00:00:00"/>
    <s v="1ST"/>
    <s v="12:00"/>
    <n v="3"/>
    <x v="16"/>
    <n v="4.1000000000000003E-3"/>
    <s v="P"/>
    <s v="P"/>
    <s v="P"/>
    <s v="+"/>
    <s v="+"/>
    <n v="12.09"/>
    <s v="-"/>
    <s v="-"/>
    <s v="-"/>
    <s v="-"/>
    <s v="-"/>
    <s v="-"/>
    <s v="-"/>
    <s v="-"/>
    <s v="P"/>
    <s v="P"/>
    <s v="-"/>
    <n v="2"/>
    <n v="1"/>
    <n v="2"/>
    <n v="1"/>
    <s v="-"/>
    <s v="-"/>
    <s v="-"/>
    <s v="-"/>
    <s v="-"/>
    <s v="-"/>
    <s v="-"/>
    <n v="6"/>
    <n v="6"/>
    <s v="-"/>
    <n v="1"/>
    <n v="1"/>
    <n v="2"/>
    <n v="2"/>
    <n v="8"/>
    <n v="8"/>
  </r>
  <r>
    <x v="1"/>
    <x v="28"/>
    <d v="2026-02-03T00:00:00"/>
    <s v="1ST"/>
    <s v="13:00"/>
    <n v="3"/>
    <x v="16"/>
    <n v="9.7000000000000003E-3"/>
    <s v="P"/>
    <s v="P"/>
    <s v="P"/>
    <s v="+"/>
    <s v="+"/>
    <n v="12.94"/>
    <s v="-"/>
    <s v="-"/>
    <s v="-"/>
    <s v="-"/>
    <s v="-"/>
    <s v="-"/>
    <s v="-"/>
    <s v="-"/>
    <s v="P"/>
    <s v="P"/>
    <s v="-"/>
    <n v="2"/>
    <n v="1"/>
    <n v="2"/>
    <n v="1"/>
    <s v="-"/>
    <s v="-"/>
    <s v="-"/>
    <s v="-"/>
    <s v="-"/>
    <s v="-"/>
    <s v="-"/>
    <n v="6"/>
    <n v="6"/>
    <s v="-"/>
    <n v="1"/>
    <n v="1"/>
    <n v="2"/>
    <n v="2"/>
    <n v="8"/>
    <n v="8"/>
  </r>
  <r>
    <x v="1"/>
    <x v="28"/>
    <d v="2026-02-03T00:00:00"/>
    <s v="2ND"/>
    <d v="1899-12-30T14:00:00"/>
    <n v="3"/>
    <x v="16"/>
    <n v="8.3000000000000001E-3"/>
    <s v="P"/>
    <s v="P"/>
    <s v="P"/>
    <s v="+"/>
    <s v="+"/>
    <n v="12.11"/>
    <n v="12.95"/>
    <n v="0.48"/>
    <s v="-"/>
    <s v="-"/>
    <s v="-"/>
    <n v="36.299999999999997"/>
    <s v="-"/>
    <s v="-"/>
    <s v="P"/>
    <s v="P"/>
    <s v="-"/>
    <n v="2"/>
    <n v="1"/>
    <n v="2"/>
    <n v="1"/>
    <n v="1"/>
    <n v="2"/>
    <s v="-"/>
    <s v="-"/>
    <s v="-"/>
    <n v="2"/>
    <s v="-"/>
    <n v="11"/>
    <n v="11"/>
    <s v="-"/>
    <n v="1"/>
    <n v="1"/>
    <n v="2"/>
    <n v="2"/>
    <n v="13"/>
    <n v="13"/>
  </r>
  <r>
    <x v="1"/>
    <x v="28"/>
    <d v="2026-02-03T00:00:00"/>
    <s v="2ND"/>
    <d v="1899-12-30T15:00:00"/>
    <n v="3"/>
    <x v="16"/>
    <n v="1.12E-2"/>
    <s v="P"/>
    <s v="P"/>
    <s v="P"/>
    <s v="+"/>
    <s v="+"/>
    <n v="12.12"/>
    <s v="-"/>
    <s v="-"/>
    <s v="-"/>
    <s v="-"/>
    <s v="-"/>
    <s v="-"/>
    <s v="-"/>
    <s v="-"/>
    <s v="P"/>
    <s v="P"/>
    <s v="-"/>
    <n v="2"/>
    <n v="1"/>
    <n v="2"/>
    <n v="1"/>
    <s v="-"/>
    <s v="-"/>
    <s v="-"/>
    <s v="-"/>
    <s v="-"/>
    <s v="-"/>
    <s v="-"/>
    <n v="6"/>
    <n v="6"/>
    <s v="-"/>
    <n v="1"/>
    <n v="1"/>
    <n v="2"/>
    <n v="2"/>
    <n v="8"/>
    <n v="8"/>
  </r>
  <r>
    <x v="1"/>
    <x v="28"/>
    <d v="2026-02-03T00:00:00"/>
    <s v="2ND"/>
    <d v="1899-12-30T16:00:00"/>
    <n v="3"/>
    <x v="16"/>
    <n v="6.1000000000000004E-3"/>
    <s v="P"/>
    <s v="P"/>
    <s v="P"/>
    <s v="+"/>
    <s v="+"/>
    <n v="12.22"/>
    <s v="-"/>
    <s v="-"/>
    <s v="-"/>
    <s v="-"/>
    <s v="-"/>
    <s v="-"/>
    <s v="-"/>
    <n v="25.18"/>
    <s v="P"/>
    <s v="P"/>
    <s v="-"/>
    <n v="2"/>
    <n v="1"/>
    <n v="2"/>
    <n v="1"/>
    <s v="-"/>
    <s v="-"/>
    <s v="-"/>
    <s v="-"/>
    <s v="-"/>
    <s v="-"/>
    <s v="-"/>
    <n v="6"/>
    <n v="6"/>
    <n v="1"/>
    <n v="1"/>
    <n v="1"/>
    <n v="3"/>
    <n v="3"/>
    <n v="9"/>
    <n v="9"/>
  </r>
  <r>
    <x v="1"/>
    <x v="28"/>
    <d v="2026-02-03T00:00:00"/>
    <s v="2ND"/>
    <d v="1899-12-30T17:00:00"/>
    <n v="3"/>
    <x v="16"/>
    <n v="6.1000000000000004E-3"/>
    <s v="P"/>
    <s v="P"/>
    <s v="P"/>
    <s v="+"/>
    <s v="+"/>
    <n v="12.38"/>
    <s v="-"/>
    <s v="-"/>
    <s v="-"/>
    <s v="-"/>
    <s v="-"/>
    <s v="-"/>
    <s v="-"/>
    <s v="-"/>
    <s v="P"/>
    <s v="P"/>
    <s v="-"/>
    <n v="2"/>
    <n v="1"/>
    <n v="2"/>
    <n v="1"/>
    <s v="-"/>
    <s v="-"/>
    <s v="-"/>
    <s v="-"/>
    <s v="-"/>
    <s v="-"/>
    <s v="-"/>
    <n v="6"/>
    <n v="6"/>
    <s v="-"/>
    <n v="1"/>
    <n v="1"/>
    <n v="2"/>
    <n v="2"/>
    <n v="8"/>
    <n v="8"/>
  </r>
  <r>
    <x v="1"/>
    <x v="28"/>
    <d v="1902-03-25T00:00:00"/>
    <s v="1ST"/>
    <s v="06:00"/>
    <n v="2"/>
    <x v="22"/>
    <n v="2.3E-3"/>
    <s v="P"/>
    <s v="P"/>
    <s v="P"/>
    <s v="-"/>
    <s v="-"/>
    <n v="10.83"/>
    <n v="8.5500000000000007"/>
    <n v="0.48"/>
    <n v="55.7"/>
    <s v="-"/>
    <s v="-"/>
    <n v="23.07"/>
    <s v="-"/>
    <s v="-"/>
    <s v="P"/>
    <s v="P"/>
    <s v="-"/>
    <n v="2"/>
    <n v="1"/>
    <n v="2"/>
    <n v="0"/>
    <n v="1"/>
    <n v="0"/>
    <n v="2"/>
    <s v="-"/>
    <s v="-"/>
    <n v="2"/>
    <s v="-"/>
    <n v="10"/>
    <n v="13"/>
    <s v="-"/>
    <n v="1"/>
    <n v="1"/>
    <n v="2"/>
    <n v="2"/>
    <n v="12"/>
    <n v="15"/>
  </r>
  <r>
    <x v="1"/>
    <x v="28"/>
    <d v="1899-12-30T00:00:00"/>
    <s v="1ST"/>
    <s v="08:00"/>
    <n v="2"/>
    <x v="22"/>
    <n v="5.4999999999999997E-3"/>
    <s v="P"/>
    <s v="P"/>
    <s v="P"/>
    <s v="-"/>
    <s v="-"/>
    <n v="11.62"/>
    <s v="-"/>
    <s v="-"/>
    <s v="-"/>
    <s v="-"/>
    <s v="-"/>
    <s v="-"/>
    <s v="-"/>
    <s v="-"/>
    <s v="P"/>
    <s v="P"/>
    <s v="-"/>
    <n v="2"/>
    <n v="1"/>
    <n v="2"/>
    <n v="1"/>
    <s v="-"/>
    <s v="-"/>
    <s v="-"/>
    <s v="-"/>
    <s v="-"/>
    <s v="-"/>
    <s v="-"/>
    <n v="6"/>
    <n v="6"/>
    <s v="-"/>
    <n v="1"/>
    <n v="1"/>
    <n v="2"/>
    <n v="2"/>
    <n v="8"/>
    <n v="8"/>
  </r>
  <r>
    <x v="1"/>
    <x v="28"/>
    <d v="1899-12-30T00:00:00"/>
    <s v="1ST"/>
    <s v="09:00"/>
    <n v="2"/>
    <x v="22"/>
    <n v="1.21E-2"/>
    <s v="P"/>
    <s v="P"/>
    <s v="P"/>
    <s v="-"/>
    <s v="-"/>
    <n v="10.7"/>
    <n v="8.67"/>
    <n v="0.49"/>
    <n v="59.2"/>
    <s v="-"/>
    <s v="-"/>
    <n v="23.36"/>
    <s v="-"/>
    <s v="-"/>
    <s v="P"/>
    <s v="P"/>
    <s v="-"/>
    <n v="2"/>
    <n v="1"/>
    <n v="2"/>
    <n v="0"/>
    <n v="1"/>
    <n v="0"/>
    <n v="0"/>
    <s v="-"/>
    <s v="-"/>
    <n v="2"/>
    <s v="-"/>
    <n v="8"/>
    <n v="13"/>
    <s v="-"/>
    <n v="1"/>
    <n v="1"/>
    <n v="2"/>
    <n v="2"/>
    <n v="10"/>
    <n v="15"/>
  </r>
  <r>
    <x v="1"/>
    <x v="28"/>
    <d v="1899-12-30T00:00:00"/>
    <s v="1ST"/>
    <s v="12:00"/>
    <n v="2"/>
    <x v="22"/>
    <n v="2.5000000000000001E-3"/>
    <s v="P"/>
    <s v="P"/>
    <s v="P"/>
    <s v="-"/>
    <s v="-"/>
    <n v="11.04"/>
    <s v="-"/>
    <s v="-"/>
    <s v="-"/>
    <s v="-"/>
    <s v="-"/>
    <s v="-"/>
    <s v="-"/>
    <s v="-"/>
    <s v="P"/>
    <s v="P"/>
    <s v="-"/>
    <n v="2"/>
    <n v="1"/>
    <n v="2"/>
    <n v="1"/>
    <s v="-"/>
    <s v="-"/>
    <s v="-"/>
    <s v="-"/>
    <s v="-"/>
    <s v="-"/>
    <s v="-"/>
    <n v="6"/>
    <n v="6"/>
    <s v="-"/>
    <n v="1"/>
    <n v="1"/>
    <n v="2"/>
    <n v="2"/>
    <n v="8"/>
    <n v="8"/>
  </r>
  <r>
    <x v="1"/>
    <x v="28"/>
    <d v="1899-12-30T00:00:00"/>
    <s v="1ST"/>
    <s v="13:00"/>
    <n v="2"/>
    <x v="22"/>
    <n v="4.0000000000000001E-3"/>
    <s v="P"/>
    <s v="P"/>
    <s v="P"/>
    <s v="-"/>
    <s v="-"/>
    <n v="11.03"/>
    <s v="-"/>
    <s v="-"/>
    <s v="-"/>
    <s v="-"/>
    <s v="-"/>
    <s v="-"/>
    <s v="-"/>
    <s v="-"/>
    <s v="P"/>
    <s v="P"/>
    <s v="-"/>
    <n v="2"/>
    <n v="1"/>
    <n v="2"/>
    <n v="1"/>
    <s v="-"/>
    <s v="-"/>
    <s v="-"/>
    <s v="-"/>
    <s v="-"/>
    <s v="-"/>
    <s v="-"/>
    <n v="6"/>
    <n v="6"/>
    <s v="-"/>
    <n v="1"/>
    <n v="1"/>
    <n v="2"/>
    <n v="2"/>
    <n v="8"/>
    <n v="8"/>
  </r>
  <r>
    <x v="1"/>
    <x v="28"/>
    <d v="1902-03-25T00:00:00"/>
    <s v="2ND"/>
    <d v="1899-12-30T14:00:00"/>
    <n v="2"/>
    <x v="22"/>
    <n v="4.7999999999999996E-3"/>
    <s v="P"/>
    <s v="P"/>
    <s v="P"/>
    <s v="-"/>
    <s v="-"/>
    <n v="11.14"/>
    <n v="8.59"/>
    <n v="0.45"/>
    <s v="-"/>
    <s v="-"/>
    <s v="-"/>
    <n v="23.14"/>
    <s v="-"/>
    <n v="25.16"/>
    <s v="P"/>
    <s v="P"/>
    <s v="-"/>
    <n v="2"/>
    <n v="1"/>
    <n v="2"/>
    <n v="1"/>
    <n v="1"/>
    <n v="0"/>
    <s v="-"/>
    <s v="-"/>
    <s v="-"/>
    <n v="2"/>
    <s v="-"/>
    <n v="9"/>
    <n v="11"/>
    <n v="1"/>
    <n v="1"/>
    <n v="1"/>
    <n v="3"/>
    <n v="3"/>
    <n v="12"/>
    <n v="14"/>
  </r>
  <r>
    <x v="1"/>
    <x v="28"/>
    <d v="1899-12-30T00:00:00"/>
    <s v="2ND"/>
    <d v="1899-12-30T15:00:00"/>
    <n v="2"/>
    <x v="22"/>
    <n v="5.1999999999999998E-3"/>
    <s v="P"/>
    <s v="P"/>
    <s v="P"/>
    <s v="-"/>
    <s v="-"/>
    <n v="10.85"/>
    <s v="-"/>
    <s v="-"/>
    <s v="-"/>
    <s v="-"/>
    <s v="-"/>
    <s v="-"/>
    <s v="-"/>
    <s v="-"/>
    <s v="P"/>
    <s v="P"/>
    <s v="-"/>
    <n v="2"/>
    <n v="1"/>
    <n v="2"/>
    <n v="0"/>
    <s v="-"/>
    <s v="-"/>
    <s v="-"/>
    <s v="-"/>
    <s v="-"/>
    <s v="-"/>
    <s v="-"/>
    <n v="5"/>
    <n v="6"/>
    <s v="-"/>
    <n v="1"/>
    <n v="1"/>
    <n v="2"/>
    <n v="2"/>
    <n v="7"/>
    <n v="8"/>
  </r>
  <r>
    <x v="1"/>
    <x v="28"/>
    <d v="1899-12-30T00:00:00"/>
    <s v="2ND"/>
    <d v="1899-12-30T16:00:00"/>
    <n v="2"/>
    <x v="22"/>
    <n v="8.0000000000000002E-3"/>
    <s v="P"/>
    <s v="P"/>
    <s v="P"/>
    <s v="-"/>
    <s v="-"/>
    <n v="10.97"/>
    <s v="-"/>
    <s v="-"/>
    <s v="-"/>
    <s v="-"/>
    <s v="-"/>
    <s v="-"/>
    <s v="-"/>
    <s v="-"/>
    <s v="P"/>
    <s v="P"/>
    <s v="-"/>
    <n v="2"/>
    <n v="1"/>
    <n v="2"/>
    <n v="0"/>
    <s v="-"/>
    <s v="-"/>
    <s v="-"/>
    <s v="-"/>
    <s v="-"/>
    <s v="-"/>
    <s v="-"/>
    <n v="5"/>
    <n v="6"/>
    <s v="-"/>
    <n v="1"/>
    <n v="1"/>
    <n v="2"/>
    <n v="2"/>
    <n v="7"/>
    <n v="8"/>
  </r>
  <r>
    <x v="1"/>
    <x v="28"/>
    <d v="1899-12-30T00:00:00"/>
    <s v="2ND"/>
    <d v="1899-12-30T17:00:00"/>
    <n v="2"/>
    <x v="22"/>
    <n v="8.6999999999999994E-3"/>
    <s v="P"/>
    <s v="P"/>
    <s v="P"/>
    <s v="-"/>
    <s v="-"/>
    <n v="10.82"/>
    <s v="-"/>
    <s v="-"/>
    <s v="-"/>
    <s v="-"/>
    <s v="-"/>
    <s v="-"/>
    <s v="-"/>
    <s v="-"/>
    <s v="P"/>
    <s v="P"/>
    <s v="-"/>
    <n v="2"/>
    <n v="1"/>
    <n v="2"/>
    <n v="0"/>
    <s v="-"/>
    <s v="-"/>
    <s v="-"/>
    <s v="-"/>
    <s v="-"/>
    <s v="-"/>
    <s v="-"/>
    <n v="5"/>
    <n v="6"/>
    <s v="-"/>
    <n v="1"/>
    <n v="1"/>
    <n v="2"/>
    <n v="2"/>
    <n v="7"/>
    <n v="8"/>
  </r>
  <r>
    <x v="1"/>
    <x v="28"/>
    <d v="1899-12-30T00:00:00"/>
    <s v="2ND"/>
    <d v="1899-12-30T19:00:00"/>
    <n v="2"/>
    <x v="22"/>
    <n v="7.4000000000000003E-3"/>
    <s v="P"/>
    <s v="P"/>
    <s v="P"/>
    <s v="-"/>
    <s v="-"/>
    <n v="10.76"/>
    <s v="-"/>
    <s v="-"/>
    <s v="-"/>
    <s v="-"/>
    <s v="-"/>
    <s v="-"/>
    <s v="-"/>
    <s v="-"/>
    <s v="P"/>
    <s v="P"/>
    <s v="-"/>
    <n v="2"/>
    <n v="1"/>
    <n v="2"/>
    <n v="0"/>
    <s v="-"/>
    <s v="-"/>
    <s v="-"/>
    <s v="-"/>
    <s v="-"/>
    <s v="-"/>
    <s v="-"/>
    <n v="5"/>
    <n v="6"/>
    <s v="-"/>
    <n v="1"/>
    <n v="1"/>
    <n v="2"/>
    <n v="2"/>
    <n v="7"/>
    <n v="8"/>
  </r>
  <r>
    <x v="1"/>
    <x v="28"/>
    <d v="1899-12-30T00:00:00"/>
    <s v="2ND"/>
    <d v="1899-12-30T20:00:00"/>
    <n v="2"/>
    <x v="22"/>
    <n v="6.3E-3"/>
    <s v="P"/>
    <s v="P"/>
    <s v="P"/>
    <s v="-"/>
    <s v="-"/>
    <n v="10.97"/>
    <s v="-"/>
    <s v="-"/>
    <s v="-"/>
    <s v="-"/>
    <s v="-"/>
    <s v="-"/>
    <s v="-"/>
    <s v="-"/>
    <s v="P"/>
    <s v="P"/>
    <s v="-"/>
    <n v="2"/>
    <n v="1"/>
    <n v="2"/>
    <n v="0"/>
    <s v="-"/>
    <s v="-"/>
    <s v="-"/>
    <s v="-"/>
    <s v="-"/>
    <s v="-"/>
    <s v="-"/>
    <n v="5"/>
    <n v="6"/>
    <s v="-"/>
    <n v="1"/>
    <n v="1"/>
    <n v="2"/>
    <n v="2"/>
    <n v="7"/>
    <n v="8"/>
  </r>
  <r>
    <x v="1"/>
    <x v="28"/>
    <d v="1902-03-26T00:00:00"/>
    <s v="3RD"/>
    <d v="1899-12-30T22:00:00"/>
    <n v="2"/>
    <x v="38"/>
    <n v="4.4999999999999997E-3"/>
    <s v="P"/>
    <s v="P"/>
    <s v="P"/>
    <s v="-"/>
    <s v="-"/>
    <n v="11.33"/>
    <n v="8.52"/>
    <n v="0.45"/>
    <s v="-"/>
    <s v="-"/>
    <s v="-"/>
    <n v="22.85"/>
    <s v="-"/>
    <n v="25.13"/>
    <s v="P"/>
    <s v="P"/>
    <s v="-"/>
    <n v="2"/>
    <n v="1"/>
    <n v="2"/>
    <n v="1"/>
    <n v="1"/>
    <n v="0"/>
    <s v="-"/>
    <s v="-"/>
    <s v="-"/>
    <n v="2"/>
    <s v="-"/>
    <n v="9"/>
    <n v="11"/>
    <n v="1"/>
    <n v="1"/>
    <n v="1"/>
    <n v="3"/>
    <n v="3"/>
    <n v="12"/>
    <n v="14"/>
  </r>
  <r>
    <x v="1"/>
    <x v="28"/>
    <d v="1899-12-30T00:00:00"/>
    <s v="3RD"/>
    <d v="1899-12-31T00:00:00"/>
    <n v="2"/>
    <x v="38"/>
    <n v="2.5999999999999999E-3"/>
    <s v="P"/>
    <s v="P"/>
    <s v="P"/>
    <s v="-"/>
    <s v="-"/>
    <n v="11.14"/>
    <s v="-"/>
    <s v="-"/>
    <s v="-"/>
    <s v="-"/>
    <s v="-"/>
    <s v="-"/>
    <s v="-"/>
    <s v="-"/>
    <s v="P"/>
    <s v="P"/>
    <s v="-"/>
    <n v="2"/>
    <n v="1"/>
    <n v="2"/>
    <n v="1"/>
    <s v="-"/>
    <s v="-"/>
    <s v="-"/>
    <s v="-"/>
    <s v="-"/>
    <s v="-"/>
    <s v="-"/>
    <n v="6"/>
    <n v="6"/>
    <s v="-"/>
    <n v="1"/>
    <n v="1"/>
    <n v="2"/>
    <n v="2"/>
    <n v="8"/>
    <n v="8"/>
  </r>
  <r>
    <x v="1"/>
    <x v="28"/>
    <d v="1899-12-30T00:00:00"/>
    <s v="3RD"/>
    <d v="1899-12-31T01:00:00"/>
    <n v="2"/>
    <x v="38"/>
    <n v="3.3999999999999998E-3"/>
    <s v="P"/>
    <s v="P"/>
    <s v="P"/>
    <s v="-"/>
    <s v="-"/>
    <n v="11.23"/>
    <s v="-"/>
    <s v="-"/>
    <s v="-"/>
    <s v="-"/>
    <s v="-"/>
    <s v="-"/>
    <s v="-"/>
    <s v="-"/>
    <s v="P"/>
    <s v="P"/>
    <s v="90% 10%"/>
    <n v="2"/>
    <n v="1"/>
    <n v="2"/>
    <n v="1"/>
    <s v="-"/>
    <s v="-"/>
    <s v="-"/>
    <s v="-"/>
    <s v="-"/>
    <s v="-"/>
    <s v="-"/>
    <n v="6"/>
    <n v="6"/>
    <s v="-"/>
    <n v="1"/>
    <n v="1"/>
    <n v="2"/>
    <n v="2"/>
    <n v="8"/>
    <n v="8"/>
  </r>
  <r>
    <x v="1"/>
    <x v="29"/>
    <d v="2026-04-02T00:00:00"/>
    <s v="3RD"/>
    <d v="1899-12-30T22:00:00"/>
    <n v="3"/>
    <x v="10"/>
    <n v="4.0000000000000001E-3"/>
    <s v="P"/>
    <s v="P"/>
    <s v="P"/>
    <s v="+"/>
    <s v="+"/>
    <n v="13.01"/>
    <n v="11.82"/>
    <n v="0.32"/>
    <s v="-"/>
    <s v="-"/>
    <s v="-"/>
    <n v="33.799999999999997"/>
    <s v="-"/>
    <n v="25.2"/>
    <s v="P"/>
    <s v="P"/>
    <n v="1"/>
    <n v="2"/>
    <n v="1"/>
    <n v="2"/>
    <n v="1"/>
    <n v="1"/>
    <n v="2"/>
    <s v="-"/>
    <s v="-"/>
    <s v="-"/>
    <n v="2"/>
    <s v="-"/>
    <n v="11"/>
    <n v="11"/>
    <n v="1"/>
    <n v="1"/>
    <n v="1"/>
    <n v="3"/>
    <n v="3"/>
    <n v="14"/>
    <n v="14"/>
  </r>
  <r>
    <x v="1"/>
    <x v="29"/>
    <d v="2026-04-02T00:00:00"/>
    <s v="3RD"/>
    <d v="1899-12-30T23:00:00"/>
    <n v="3"/>
    <x v="10"/>
    <n v="3.8E-3"/>
    <s v="P"/>
    <s v="P"/>
    <s v="P"/>
    <s v="+"/>
    <s v="+"/>
    <n v="12.51"/>
    <s v="-"/>
    <s v="-"/>
    <s v="-"/>
    <s v="-"/>
    <s v="-"/>
    <s v="-"/>
    <s v="-"/>
    <s v="-"/>
    <s v="P"/>
    <s v="P"/>
    <s v="-"/>
    <n v="2"/>
    <n v="1"/>
    <n v="2"/>
    <n v="1"/>
    <s v="-"/>
    <s v="-"/>
    <s v="-"/>
    <s v="-"/>
    <s v="-"/>
    <s v="-"/>
    <s v="-"/>
    <n v="6"/>
    <n v="6"/>
    <s v="-"/>
    <n v="1"/>
    <n v="1"/>
    <n v="2"/>
    <n v="2"/>
    <n v="8"/>
    <n v="8"/>
  </r>
  <r>
    <x v="1"/>
    <x v="29"/>
    <d v="2026-04-02T00:00:00"/>
    <s v="3RD"/>
    <d v="1899-12-31T00:00:00"/>
    <n v="3"/>
    <x v="10"/>
    <n v="4.8999999999999998E-3"/>
    <s v="P"/>
    <s v="P"/>
    <s v="P"/>
    <s v="+"/>
    <s v="+"/>
    <n v="12.89"/>
    <s v="-"/>
    <s v="-"/>
    <s v="-"/>
    <s v="-"/>
    <s v="-"/>
    <s v="-"/>
    <s v="-"/>
    <s v="-"/>
    <s v="P"/>
    <s v="P"/>
    <s v="-"/>
    <n v="2"/>
    <n v="1"/>
    <n v="2"/>
    <n v="1"/>
    <s v="-"/>
    <s v="-"/>
    <s v="-"/>
    <s v="-"/>
    <s v="-"/>
    <s v="-"/>
    <s v="-"/>
    <n v="6"/>
    <n v="6"/>
    <s v="-"/>
    <n v="1"/>
    <n v="1"/>
    <n v="2"/>
    <n v="2"/>
    <n v="8"/>
    <n v="8"/>
  </r>
  <r>
    <x v="1"/>
    <x v="29"/>
    <d v="2026-04-02T00:00:00"/>
    <s v="3RD"/>
    <d v="1899-12-31T01:00:00"/>
    <n v="3"/>
    <x v="10"/>
    <n v="2.5999999999999999E-3"/>
    <s v="P"/>
    <s v="P"/>
    <s v="P"/>
    <s v="+"/>
    <s v="+"/>
    <n v="12.95"/>
    <s v="-"/>
    <s v="-"/>
    <s v="-"/>
    <s v="-"/>
    <s v="-"/>
    <s v="-"/>
    <s v="-"/>
    <s v="-"/>
    <s v="P"/>
    <s v="P"/>
    <s v="-"/>
    <n v="2"/>
    <n v="1"/>
    <n v="2"/>
    <n v="1"/>
    <s v="-"/>
    <s v="-"/>
    <s v="-"/>
    <s v="-"/>
    <s v="-"/>
    <s v="-"/>
    <s v="-"/>
    <n v="6"/>
    <n v="6"/>
    <s v="-"/>
    <n v="1"/>
    <n v="1"/>
    <n v="2"/>
    <n v="2"/>
    <n v="8"/>
    <n v="8"/>
  </r>
  <r>
    <x v="1"/>
    <x v="29"/>
    <d v="2026-04-02T00:00:00"/>
    <s v="3RD"/>
    <d v="1899-12-31T02:00:00"/>
    <n v="3"/>
    <x v="10"/>
    <n v="1.2999999999999999E-3"/>
    <s v="P"/>
    <s v="P"/>
    <s v="P"/>
    <s v="+"/>
    <s v="+"/>
    <n v="13.03"/>
    <s v="-"/>
    <s v="-"/>
    <s v="-"/>
    <s v="-"/>
    <s v="-"/>
    <s v="-"/>
    <s v="-"/>
    <s v="-"/>
    <s v="P"/>
    <s v="P"/>
    <s v="-"/>
    <n v="2"/>
    <n v="1"/>
    <n v="2"/>
    <n v="1"/>
    <s v="-"/>
    <s v="-"/>
    <s v="-"/>
    <s v="-"/>
    <s v="-"/>
    <s v="-"/>
    <s v="-"/>
    <n v="6"/>
    <n v="6"/>
    <s v="-"/>
    <n v="1"/>
    <n v="1"/>
    <n v="2"/>
    <n v="2"/>
    <n v="8"/>
    <n v="8"/>
  </r>
  <r>
    <x v="1"/>
    <x v="29"/>
    <d v="2026-04-02T00:00:00"/>
    <s v="3RD"/>
    <d v="1899-12-31T03:00:00"/>
    <n v="3"/>
    <x v="10"/>
    <n v="2E-3"/>
    <s v="P"/>
    <s v="P"/>
    <s v="P"/>
    <s v="+"/>
    <s v="+"/>
    <n v="13.16"/>
    <s v="-"/>
    <s v="-"/>
    <s v="-"/>
    <s v="-"/>
    <s v="-"/>
    <s v="-"/>
    <s v="-"/>
    <s v="-"/>
    <s v="P"/>
    <s v="P"/>
    <s v="-"/>
    <n v="2"/>
    <n v="1"/>
    <n v="2"/>
    <n v="1"/>
    <s v="-"/>
    <s v="-"/>
    <s v="-"/>
    <s v="-"/>
    <s v="-"/>
    <s v="-"/>
    <s v="-"/>
    <n v="6"/>
    <n v="6"/>
    <s v="-"/>
    <n v="1"/>
    <n v="1"/>
    <n v="2"/>
    <n v="2"/>
    <n v="8"/>
    <n v="8"/>
  </r>
  <r>
    <x v="1"/>
    <x v="29"/>
    <d v="2026-04-02T00:00:00"/>
    <s v="3RD"/>
    <d v="1899-12-31T04:00:00"/>
    <n v="3"/>
    <x v="10"/>
    <n v="2.5999999999999999E-3"/>
    <s v="P"/>
    <s v="P"/>
    <s v="P"/>
    <s v="+"/>
    <s v="+"/>
    <n v="13.11"/>
    <s v="-"/>
    <s v="-"/>
    <s v="-"/>
    <s v="-"/>
    <s v="-"/>
    <s v="-"/>
    <s v="-"/>
    <s v="-"/>
    <s v="P"/>
    <s v="P"/>
    <s v="-"/>
    <n v="2"/>
    <n v="1"/>
    <n v="2"/>
    <n v="1"/>
    <s v="-"/>
    <s v="-"/>
    <s v="-"/>
    <s v="-"/>
    <s v="-"/>
    <s v="-"/>
    <s v="-"/>
    <n v="6"/>
    <n v="6"/>
    <s v="-"/>
    <n v="1"/>
    <n v="1"/>
    <n v="2"/>
    <n v="2"/>
    <n v="8"/>
    <n v="8"/>
  </r>
  <r>
    <x v="1"/>
    <x v="29"/>
    <d v="2026-06-02T00:00:00"/>
    <s v="3RD"/>
    <d v="1899-12-31T05:00:00"/>
    <s v="Retail"/>
    <x v="25"/>
    <s v="-"/>
    <s v="P"/>
    <s v="P"/>
    <s v="P"/>
    <s v="+"/>
    <s v="+"/>
    <n v="12.5"/>
    <n v="13.3"/>
    <n v="0.96"/>
    <n v="70.349999999999994"/>
    <n v="12.47"/>
    <n v="375"/>
    <n v="37.299999999999997"/>
    <s v="-"/>
    <s v="-"/>
    <s v="P"/>
    <s v="P"/>
    <s v="-"/>
    <s v="-"/>
    <n v="1"/>
    <n v="2"/>
    <n v="1"/>
    <n v="0"/>
    <n v="2"/>
    <n v="2"/>
    <n v="1"/>
    <n v="0"/>
    <n v="0"/>
    <s v="-"/>
    <n v="9"/>
    <n v="13"/>
    <s v="-"/>
    <n v="1"/>
    <n v="1"/>
    <n v="2"/>
    <n v="2"/>
    <n v="11"/>
    <n v="15"/>
  </r>
  <r>
    <x v="1"/>
    <x v="29"/>
    <d v="1902-03-26T00:00:00"/>
    <s v="3RD"/>
    <d v="1899-12-30T22:00:00"/>
    <n v="2"/>
    <x v="14"/>
    <n v="4.4999999999999997E-3"/>
    <s v="P"/>
    <s v="P"/>
    <s v="P"/>
    <s v="-"/>
    <s v="+"/>
    <n v="10.54"/>
    <n v="8.9499999999999993"/>
    <n v="0.52"/>
    <n v="59.2"/>
    <n v="12.4"/>
    <n v="284"/>
    <n v="24.26"/>
    <s v="-"/>
    <n v="25.18"/>
    <s v="P"/>
    <s v="P"/>
    <s v="-"/>
    <n v="2"/>
    <n v="1"/>
    <n v="2"/>
    <n v="0"/>
    <n v="1"/>
    <n v="2"/>
    <n v="2"/>
    <n v="1"/>
    <n v="1"/>
    <n v="2"/>
    <s v="-"/>
    <n v="14"/>
    <n v="15"/>
    <n v="1"/>
    <n v="1"/>
    <n v="1"/>
    <n v="3"/>
    <n v="3"/>
    <n v="17"/>
    <n v="18"/>
  </r>
  <r>
    <x v="1"/>
    <x v="29"/>
    <d v="1899-12-30T00:00:00"/>
    <s v="3RD"/>
    <d v="1899-12-31T00:00:00"/>
    <n v="2"/>
    <x v="14"/>
    <n v="5.4000000000000003E-3"/>
    <s v="P"/>
    <s v="P"/>
    <s v="P"/>
    <s v="-"/>
    <s v="+"/>
    <n v="10.81"/>
    <s v="-"/>
    <s v="-"/>
    <s v="-"/>
    <s v="-"/>
    <s v="-"/>
    <s v="-"/>
    <s v="-"/>
    <s v="-"/>
    <s v="P"/>
    <s v="P"/>
    <s v="-"/>
    <n v="2"/>
    <n v="1"/>
    <n v="2"/>
    <n v="0"/>
    <s v="-"/>
    <s v="-"/>
    <s v="-"/>
    <s v="-"/>
    <s v="-"/>
    <s v="-"/>
    <s v="-"/>
    <n v="5"/>
    <n v="6"/>
    <s v="-"/>
    <n v="1"/>
    <n v="1"/>
    <n v="2"/>
    <n v="2"/>
    <n v="7"/>
    <n v="8"/>
  </r>
  <r>
    <x v="1"/>
    <x v="29"/>
    <d v="1899-12-30T00:00:00"/>
    <s v="3RD"/>
    <d v="1899-12-31T01:00:00"/>
    <n v="2"/>
    <x v="14"/>
    <n v="4.5999999999999999E-3"/>
    <s v="P"/>
    <s v="P"/>
    <s v="P"/>
    <s v="-"/>
    <s v="+"/>
    <n v="10.77"/>
    <s v="-"/>
    <s v="-"/>
    <s v="-"/>
    <s v="-"/>
    <s v="-"/>
    <s v="-"/>
    <s v="-"/>
    <s v="-"/>
    <s v="P"/>
    <s v="P"/>
    <s v="-"/>
    <n v="2"/>
    <n v="1"/>
    <n v="2"/>
    <n v="0"/>
    <s v="-"/>
    <s v="-"/>
    <s v="-"/>
    <s v="-"/>
    <s v="-"/>
    <s v="-"/>
    <s v="-"/>
    <n v="5"/>
    <n v="6"/>
    <s v="-"/>
    <n v="1"/>
    <n v="1"/>
    <n v="2"/>
    <n v="2"/>
    <n v="7"/>
    <n v="8"/>
  </r>
  <r>
    <x v="1"/>
    <x v="30"/>
    <d v="2026-02-04T00:00:00"/>
    <s v="1ST"/>
    <s v="10:00"/>
    <n v="3"/>
    <x v="0"/>
    <n v="7.0000000000000001E-3"/>
    <s v="P"/>
    <s v="P"/>
    <s v="P"/>
    <s v="+"/>
    <s v="+"/>
    <n v="12.04"/>
    <n v="12.32"/>
    <n v="0.32"/>
    <n v="64.900000000000006"/>
    <n v="13.3"/>
    <n v="906"/>
    <n v="34.5"/>
    <s v="-"/>
    <s v="-"/>
    <s v="P"/>
    <s v="P"/>
    <s v="85% 15%"/>
    <n v="2"/>
    <n v="1"/>
    <n v="2"/>
    <n v="1"/>
    <n v="1"/>
    <n v="2"/>
    <n v="2"/>
    <n v="1"/>
    <n v="1"/>
    <n v="2"/>
    <s v="-"/>
    <n v="15"/>
    <n v="15"/>
    <s v="-"/>
    <n v="1"/>
    <n v="1"/>
    <n v="2"/>
    <n v="2"/>
    <n v="17"/>
    <n v="17"/>
  </r>
  <r>
    <x v="1"/>
    <x v="30"/>
    <d v="2026-02-04T00:00:00"/>
    <s v="1ST"/>
    <s v="12:00"/>
    <n v="3"/>
    <x v="0"/>
    <n v="7.6E-3"/>
    <s v="P"/>
    <s v="P"/>
    <s v="P"/>
    <s v="+"/>
    <s v="+"/>
    <n v="12.29"/>
    <s v="-"/>
    <s v="-"/>
    <s v="-"/>
    <s v="-"/>
    <s v="-"/>
    <s v="-"/>
    <s v="-"/>
    <n v="25.22"/>
    <s v="P"/>
    <s v="P"/>
    <s v="-"/>
    <n v="2"/>
    <n v="1"/>
    <n v="2"/>
    <n v="1"/>
    <s v="-"/>
    <s v="-"/>
    <s v="-"/>
    <s v="-"/>
    <s v="-"/>
    <s v="-"/>
    <s v="-"/>
    <n v="6"/>
    <n v="6"/>
    <n v="1"/>
    <n v="1"/>
    <n v="1"/>
    <n v="3"/>
    <n v="3"/>
    <n v="9"/>
    <n v="9"/>
  </r>
  <r>
    <x v="1"/>
    <x v="30"/>
    <d v="2026-02-04T00:00:00"/>
    <s v="1ST"/>
    <s v="13:00"/>
    <n v="3"/>
    <x v="0"/>
    <n v="5.4999999999999997E-3"/>
    <s v="P"/>
    <s v="P"/>
    <s v="P"/>
    <s v="+"/>
    <s v="+"/>
    <n v="12.7"/>
    <s v="-"/>
    <s v="-"/>
    <s v="-"/>
    <s v="-"/>
    <s v="-"/>
    <s v="-"/>
    <s v="-"/>
    <s v="-"/>
    <s v="P"/>
    <s v="P"/>
    <s v="-"/>
    <n v="2"/>
    <n v="1"/>
    <n v="2"/>
    <n v="1"/>
    <s v="-"/>
    <s v="-"/>
    <s v="-"/>
    <s v="-"/>
    <s v="-"/>
    <s v="-"/>
    <s v="-"/>
    <n v="6"/>
    <n v="6"/>
    <s v="-"/>
    <n v="1"/>
    <n v="1"/>
    <n v="2"/>
    <n v="2"/>
    <n v="8"/>
    <n v="8"/>
  </r>
  <r>
    <x v="1"/>
    <x v="30"/>
    <d v="2026-02-04T00:00:00"/>
    <s v="2ND"/>
    <d v="1899-12-30T14:00:00"/>
    <n v="3"/>
    <x v="1"/>
    <n v="4.4000000000000003E-3"/>
    <s v="P"/>
    <s v="P"/>
    <s v="P"/>
    <s v="+"/>
    <s v="+"/>
    <n v="12.66"/>
    <n v="12.88"/>
    <n v="0.32"/>
    <n v="64.2"/>
    <s v="-"/>
    <s v="-"/>
    <n v="31.1"/>
    <s v="-"/>
    <n v="25.14"/>
    <s v="P"/>
    <s v="P"/>
    <s v="85% 15%"/>
    <n v="2"/>
    <n v="1"/>
    <n v="2"/>
    <n v="1"/>
    <n v="1"/>
    <n v="2"/>
    <n v="2"/>
    <s v="-"/>
    <s v="-"/>
    <n v="0"/>
    <s v="-"/>
    <n v="11"/>
    <n v="13"/>
    <n v="1"/>
    <n v="1"/>
    <n v="1"/>
    <n v="3"/>
    <n v="3"/>
    <n v="14"/>
    <n v="16"/>
  </r>
  <r>
    <x v="1"/>
    <x v="30"/>
    <d v="2026-02-04T00:00:00"/>
    <s v="2ND"/>
    <d v="1899-12-30T15:00:00"/>
    <n v="3"/>
    <x v="1"/>
    <n v="4.0000000000000001E-3"/>
    <s v="P"/>
    <s v="P"/>
    <s v="P"/>
    <s v="+"/>
    <s v="+"/>
    <n v="12.77"/>
    <s v="-"/>
    <s v="-"/>
    <s v="-"/>
    <s v="-"/>
    <s v="-"/>
    <s v="-"/>
    <s v="-"/>
    <s v="-"/>
    <s v="P"/>
    <s v="P"/>
    <s v="-"/>
    <n v="2"/>
    <n v="1"/>
    <n v="2"/>
    <n v="1"/>
    <s v="-"/>
    <s v="-"/>
    <s v="-"/>
    <s v="-"/>
    <s v="-"/>
    <s v="-"/>
    <s v="-"/>
    <n v="6"/>
    <n v="6"/>
    <s v="-"/>
    <n v="1"/>
    <n v="1"/>
    <n v="2"/>
    <n v="2"/>
    <n v="8"/>
    <n v="8"/>
  </r>
  <r>
    <x v="1"/>
    <x v="30"/>
    <d v="2026-02-04T00:00:00"/>
    <s v="2ND"/>
    <d v="1899-12-30T16:00:00"/>
    <n v="3"/>
    <x v="1"/>
    <n v="4.1999999999999997E-3"/>
    <s v="P"/>
    <s v="P"/>
    <s v="P"/>
    <s v="+"/>
    <s v="+"/>
    <n v="12.81"/>
    <s v="-"/>
    <s v="-"/>
    <s v="-"/>
    <s v="-"/>
    <s v="-"/>
    <s v="-"/>
    <s v="-"/>
    <s v="-"/>
    <s v="P"/>
    <s v="P"/>
    <s v="-"/>
    <n v="2"/>
    <n v="1"/>
    <n v="2"/>
    <n v="1"/>
    <s v="-"/>
    <s v="-"/>
    <s v="-"/>
    <s v="-"/>
    <s v="-"/>
    <s v="-"/>
    <s v="-"/>
    <n v="6"/>
    <n v="6"/>
    <s v="-"/>
    <n v="1"/>
    <n v="1"/>
    <n v="2"/>
    <n v="2"/>
    <n v="8"/>
    <n v="8"/>
  </r>
  <r>
    <x v="1"/>
    <x v="30"/>
    <d v="2026-02-04T00:00:00"/>
    <s v="3RD"/>
    <d v="1899-12-31T01:00:00"/>
    <n v="3"/>
    <x v="1"/>
    <n v="1.1599999999999999E-2"/>
    <s v="P"/>
    <s v="P"/>
    <s v="P"/>
    <s v="+"/>
    <s v="+"/>
    <n v="12.56"/>
    <n v="13"/>
    <n v="0.49"/>
    <s v="-"/>
    <s v="-"/>
    <s v="-"/>
    <n v="36.299999999999997"/>
    <s v="-"/>
    <s v="-"/>
    <s v="P"/>
    <s v="P"/>
    <s v="85% 15%"/>
    <n v="2"/>
    <n v="1"/>
    <n v="2"/>
    <n v="1"/>
    <n v="1"/>
    <n v="2"/>
    <s v="-"/>
    <s v="-"/>
    <s v="-"/>
    <n v="2"/>
    <s v="-"/>
    <n v="11"/>
    <n v="11"/>
    <s v="-"/>
    <n v="1"/>
    <n v="1"/>
    <n v="2"/>
    <n v="2"/>
    <n v="13"/>
    <n v="13"/>
  </r>
  <r>
    <x v="1"/>
    <x v="30"/>
    <d v="2026-02-04T00:00:00"/>
    <s v="3RD"/>
    <d v="1899-12-31T04:00:00"/>
    <n v="3"/>
    <x v="1"/>
    <n v="1.1599999999999999E-2"/>
    <s v="P"/>
    <s v="P"/>
    <s v="P"/>
    <s v="+"/>
    <s v="+"/>
    <n v="12.92"/>
    <s v="-"/>
    <s v="-"/>
    <s v="-"/>
    <s v="-"/>
    <s v="-"/>
    <s v="-"/>
    <s v="-"/>
    <s v="-"/>
    <s v="P"/>
    <s v="P"/>
    <s v="-"/>
    <n v="2"/>
    <n v="1"/>
    <n v="2"/>
    <n v="1"/>
    <s v="-"/>
    <s v="-"/>
    <s v="-"/>
    <s v="-"/>
    <s v="-"/>
    <s v="-"/>
    <s v="-"/>
    <n v="6"/>
    <n v="6"/>
    <s v="-"/>
    <n v="1"/>
    <n v="1"/>
    <n v="2"/>
    <n v="2"/>
    <n v="8"/>
    <n v="8"/>
  </r>
  <r>
    <x v="1"/>
    <x v="30"/>
    <d v="2026-02-04T00:00:00"/>
    <s v="3RD"/>
    <d v="1899-12-31T05:00:00"/>
    <n v="3"/>
    <x v="1"/>
    <n v="5.8999999999999999E-3"/>
    <s v="P"/>
    <s v="P"/>
    <s v="P"/>
    <s v="+"/>
    <s v="+"/>
    <n v="12.9"/>
    <s v="-"/>
    <s v="-"/>
    <s v="-"/>
    <s v="-"/>
    <s v="-"/>
    <s v="-"/>
    <s v="-"/>
    <s v="-"/>
    <s v="P"/>
    <s v="P"/>
    <s v="-"/>
    <n v="2"/>
    <n v="1"/>
    <n v="2"/>
    <n v="1"/>
    <s v="-"/>
    <s v="-"/>
    <s v="-"/>
    <s v="-"/>
    <s v="-"/>
    <s v="-"/>
    <s v="-"/>
    <n v="6"/>
    <n v="6"/>
    <s v="-"/>
    <n v="1"/>
    <n v="1"/>
    <n v="2"/>
    <n v="2"/>
    <n v="8"/>
    <n v="8"/>
  </r>
  <r>
    <x v="1"/>
    <x v="30"/>
    <d v="2026-02-09T00:00:00"/>
    <s v="2ND"/>
    <d v="1899-12-30T16:00:00"/>
    <s v="Retail"/>
    <x v="13"/>
    <s v="-"/>
    <s v="-"/>
    <s v="-"/>
    <s v="-"/>
    <s v="-"/>
    <s v="-"/>
    <n v="10.9"/>
    <s v="-"/>
    <s v="-"/>
    <s v="-"/>
    <s v="-"/>
    <s v="-"/>
    <s v="-"/>
    <s v="-"/>
    <s v="-"/>
    <s v="-"/>
    <s v="-"/>
    <s v="-"/>
    <s v="-"/>
    <s v="-"/>
    <s v="-"/>
    <n v="0"/>
    <s v="-"/>
    <s v="-"/>
    <s v="-"/>
    <s v="-"/>
    <s v="-"/>
    <s v="-"/>
    <s v="-"/>
    <n v="0"/>
    <n v="1"/>
    <s v="-"/>
    <s v="-"/>
    <s v="-"/>
    <n v="0"/>
    <n v="0"/>
    <n v="0"/>
    <n v="1"/>
  </r>
  <r>
    <x v="1"/>
    <x v="30"/>
    <d v="1899-12-30T00:00:00"/>
    <s v="2ND"/>
    <d v="1899-12-30T15:00:00"/>
    <n v="2"/>
    <x v="4"/>
    <n v="4.0000000000000001E-3"/>
    <s v="P"/>
    <s v="P"/>
    <s v="P"/>
    <s v="-"/>
    <s v="+"/>
    <n v="11.05"/>
    <s v="-"/>
    <s v="-"/>
    <s v="-"/>
    <s v="-"/>
    <s v="-"/>
    <s v="-"/>
    <s v="-"/>
    <s v="-"/>
    <s v="P"/>
    <s v="P"/>
    <s v="-"/>
    <n v="2"/>
    <n v="1"/>
    <n v="2"/>
    <n v="1"/>
    <s v="-"/>
    <s v="-"/>
    <s v="-"/>
    <s v="-"/>
    <s v="-"/>
    <s v="-"/>
    <s v="-"/>
    <n v="6"/>
    <n v="6"/>
    <s v="-"/>
    <n v="1"/>
    <n v="1"/>
    <n v="2"/>
    <n v="2"/>
    <n v="8"/>
    <n v="8"/>
  </r>
  <r>
    <x v="1"/>
    <x v="30"/>
    <d v="1902-03-26T00:00:00"/>
    <s v="1ST"/>
    <s v="10:00"/>
    <n v="2"/>
    <x v="5"/>
    <n v="4.5999999999999999E-3"/>
    <s v="P"/>
    <s v="P"/>
    <s v="P"/>
    <s v="-"/>
    <s v="+"/>
    <n v="11.04"/>
    <n v="8.32"/>
    <n v="0.4"/>
    <n v="54.5"/>
    <n v="10.6"/>
    <n v="403"/>
    <n v="22.28"/>
    <s v="-"/>
    <n v="25.16"/>
    <s v="P"/>
    <s v="P"/>
    <s v="-"/>
    <n v="2"/>
    <n v="1"/>
    <n v="2"/>
    <n v="1"/>
    <n v="0"/>
    <n v="2"/>
    <n v="2"/>
    <s v="-"/>
    <s v="-"/>
    <n v="2"/>
    <s v="-"/>
    <n v="12"/>
    <n v="13"/>
    <n v="1"/>
    <n v="1"/>
    <n v="1"/>
    <n v="3"/>
    <n v="3"/>
    <n v="15"/>
    <n v="16"/>
  </r>
  <r>
    <x v="1"/>
    <x v="30"/>
    <d v="1899-12-30T00:00:00"/>
    <s v="1ST"/>
    <s v="13:00"/>
    <n v="2"/>
    <x v="5"/>
    <n v="3.0000000000000001E-3"/>
    <s v="P"/>
    <s v="P"/>
    <s v="P"/>
    <s v="-"/>
    <s v="+"/>
    <n v="10.69"/>
    <s v="-"/>
    <s v="-"/>
    <s v="-"/>
    <s v="-"/>
    <s v="-"/>
    <s v="-"/>
    <s v="-"/>
    <s v="-"/>
    <s v="P"/>
    <s v="P"/>
    <s v="-"/>
    <n v="2"/>
    <n v="1"/>
    <n v="2"/>
    <n v="0"/>
    <s v="-"/>
    <s v="-"/>
    <s v="-"/>
    <s v="-"/>
    <s v="-"/>
    <s v="-"/>
    <s v="-"/>
    <n v="5"/>
    <n v="6"/>
    <s v="-"/>
    <n v="1"/>
    <n v="1"/>
    <n v="2"/>
    <n v="2"/>
    <n v="7"/>
    <n v="8"/>
  </r>
  <r>
    <x v="1"/>
    <x v="30"/>
    <d v="1902-03-26T00:00:00"/>
    <s v="2ND"/>
    <d v="1899-12-30T14:00:00"/>
    <n v="2"/>
    <x v="5"/>
    <n v="3.7000000000000002E-3"/>
    <s v="P"/>
    <s v="P"/>
    <s v="P"/>
    <s v="-"/>
    <s v="+"/>
    <n v="11.06"/>
    <n v="8.24"/>
    <n v="0.4"/>
    <s v="-"/>
    <s v="-"/>
    <s v="-"/>
    <n v="22.14"/>
    <s v="-"/>
    <n v="25.13"/>
    <s v="P"/>
    <s v="P"/>
    <s v="-"/>
    <n v="2"/>
    <n v="1"/>
    <n v="2"/>
    <n v="1"/>
    <n v="0"/>
    <n v="2"/>
    <s v="-"/>
    <s v="-"/>
    <s v="-"/>
    <n v="2"/>
    <s v="-"/>
    <n v="10"/>
    <n v="11"/>
    <n v="1"/>
    <n v="1"/>
    <n v="1"/>
    <n v="3"/>
    <n v="3"/>
    <n v="13"/>
    <n v="14"/>
  </r>
  <r>
    <x v="1"/>
    <x v="30"/>
    <d v="2026-02-04T00:00:00"/>
    <s v="3RD"/>
    <d v="1899-12-31T00:00:00"/>
    <n v="3"/>
    <x v="31"/>
    <n v="9.9000000000000008E-3"/>
    <s v="P"/>
    <s v="P"/>
    <s v="P"/>
    <s v="+"/>
    <s v="+"/>
    <n v="13.06"/>
    <n v="12.47"/>
    <n v="0.55000000000000004"/>
    <n v="64.8"/>
    <n v="15.3"/>
    <n v="976"/>
    <n v="34.9"/>
    <s v="-"/>
    <s v="-"/>
    <s v="P"/>
    <s v="P"/>
    <s v="60% 40 % "/>
    <n v="2"/>
    <n v="1"/>
    <n v="2"/>
    <n v="1"/>
    <n v="0"/>
    <n v="2"/>
    <n v="0"/>
    <n v="1"/>
    <n v="1"/>
    <n v="2"/>
    <s v="-"/>
    <n v="12"/>
    <n v="15"/>
    <s v="-"/>
    <n v="1"/>
    <n v="1"/>
    <n v="2"/>
    <n v="2"/>
    <n v="14"/>
    <n v="17"/>
  </r>
  <r>
    <x v="1"/>
    <x v="30"/>
    <d v="1902-03-25T00:00:00"/>
    <s v="2ND"/>
    <d v="1899-12-30T16:00:00"/>
    <n v="2"/>
    <x v="38"/>
    <n v="2.0999999999999999E-3"/>
    <s v="P"/>
    <s v="P"/>
    <s v="P"/>
    <s v="-"/>
    <s v="-"/>
    <n v="11.12"/>
    <n v="8.42"/>
    <n v="0.57999999999999996"/>
    <n v="54.4"/>
    <n v="11.7"/>
    <n v="320"/>
    <n v="22.64"/>
    <s v="-"/>
    <s v="-"/>
    <s v="P"/>
    <s v="P"/>
    <s v="-"/>
    <n v="2"/>
    <n v="1"/>
    <n v="2"/>
    <n v="1"/>
    <n v="0"/>
    <n v="2"/>
    <n v="2"/>
    <s v="-"/>
    <s v="-"/>
    <n v="2"/>
    <s v="-"/>
    <n v="12"/>
    <n v="13"/>
    <s v="-"/>
    <n v="1"/>
    <n v="1"/>
    <n v="2"/>
    <n v="2"/>
    <n v="14"/>
    <n v="15"/>
  </r>
  <r>
    <x v="1"/>
    <x v="30"/>
    <d v="1899-12-30T00:00:00"/>
    <s v="2ND"/>
    <d v="1899-12-30T17:00:00"/>
    <n v="2"/>
    <x v="38"/>
    <s v="-"/>
    <s v="P"/>
    <s v="P"/>
    <s v="P"/>
    <s v="-"/>
    <s v="-"/>
    <s v="-"/>
    <s v="-"/>
    <s v="-"/>
    <s v="-"/>
    <s v="-"/>
    <s v="-"/>
    <s v="-"/>
    <s v="-"/>
    <s v="-"/>
    <s v="P"/>
    <s v="P"/>
    <s v="-"/>
    <s v="-"/>
    <n v="1"/>
    <n v="2"/>
    <s v="-"/>
    <s v="-"/>
    <s v="-"/>
    <s v="-"/>
    <s v="-"/>
    <s v="-"/>
    <s v="-"/>
    <s v="-"/>
    <n v="3"/>
    <n v="3"/>
    <s v="-"/>
    <n v="1"/>
    <n v="1"/>
    <n v="2"/>
    <n v="2"/>
    <n v="5"/>
    <n v="5"/>
  </r>
  <r>
    <x v="1"/>
    <x v="30"/>
    <d v="1899-12-30T00:00:00"/>
    <s v="2ND"/>
    <d v="1899-12-30T18:00:00"/>
    <n v="2"/>
    <x v="38"/>
    <n v="5.1999999999999998E-3"/>
    <s v="P"/>
    <s v="P"/>
    <s v="P"/>
    <s v="-"/>
    <s v="-"/>
    <n v="11.34"/>
    <s v="-"/>
    <s v="-"/>
    <s v="-"/>
    <s v="-"/>
    <s v="-"/>
    <s v="-"/>
    <s v="-"/>
    <s v="-"/>
    <s v="P"/>
    <s v="P"/>
    <s v="-"/>
    <n v="2"/>
    <n v="1"/>
    <n v="2"/>
    <n v="1"/>
    <s v="-"/>
    <s v="-"/>
    <s v="-"/>
    <s v="-"/>
    <s v="-"/>
    <s v="-"/>
    <s v="-"/>
    <n v="6"/>
    <n v="6"/>
    <s v="-"/>
    <n v="1"/>
    <n v="1"/>
    <n v="2"/>
    <n v="2"/>
    <n v="8"/>
    <n v="8"/>
  </r>
  <r>
    <x v="1"/>
    <x v="30"/>
    <d v="1899-12-30T00:00:00"/>
    <s v="2ND"/>
    <d v="1899-12-30T19:00:00"/>
    <n v="2"/>
    <x v="38"/>
    <n v="6.4000000000000003E-3"/>
    <s v="P"/>
    <s v="P"/>
    <s v="P"/>
    <s v="-"/>
    <s v="-"/>
    <n v="11.12"/>
    <s v="-"/>
    <s v="-"/>
    <s v="-"/>
    <s v="-"/>
    <s v="-"/>
    <s v="-"/>
    <s v="-"/>
    <s v="-"/>
    <s v="P"/>
    <s v="P"/>
    <s v="-"/>
    <n v="2"/>
    <n v="1"/>
    <n v="2"/>
    <n v="1"/>
    <s v="-"/>
    <s v="-"/>
    <s v="-"/>
    <s v="-"/>
    <s v="-"/>
    <s v="-"/>
    <s v="-"/>
    <n v="6"/>
    <n v="6"/>
    <s v="-"/>
    <n v="1"/>
    <n v="1"/>
    <n v="2"/>
    <n v="2"/>
    <n v="8"/>
    <n v="8"/>
  </r>
  <r>
    <x v="1"/>
    <x v="30"/>
    <d v="1899-12-30T00:00:00"/>
    <s v="2ND"/>
    <d v="1899-12-30T20:00:00"/>
    <n v="2"/>
    <x v="38"/>
    <n v="7.6E-3"/>
    <s v="P"/>
    <s v="P"/>
    <s v="P"/>
    <s v="-"/>
    <s v="-"/>
    <n v="11.32"/>
    <s v="-"/>
    <s v="-"/>
    <s v="-"/>
    <s v="-"/>
    <s v="-"/>
    <s v="-"/>
    <s v="-"/>
    <s v="-"/>
    <s v="P"/>
    <s v="P"/>
    <s v="-"/>
    <n v="2"/>
    <n v="1"/>
    <n v="2"/>
    <n v="1"/>
    <s v="-"/>
    <s v="-"/>
    <s v="-"/>
    <s v="-"/>
    <s v="-"/>
    <s v="-"/>
    <s v="-"/>
    <n v="6"/>
    <n v="6"/>
    <s v="-"/>
    <n v="1"/>
    <n v="1"/>
    <n v="2"/>
    <n v="2"/>
    <n v="8"/>
    <n v="8"/>
  </r>
  <r>
    <x v="1"/>
    <x v="30"/>
    <d v="1902-03-25T00:00:00"/>
    <s v="3RD"/>
    <d v="1899-12-30T22:00:00"/>
    <n v="2"/>
    <x v="38"/>
    <n v="9.4000000000000004E-3"/>
    <s v="P"/>
    <s v="P"/>
    <s v="P"/>
    <s v="-"/>
    <s v="-"/>
    <n v="11.3"/>
    <n v="8.4499999999999993"/>
    <n v="0.49"/>
    <s v="-"/>
    <s v="-"/>
    <s v="-"/>
    <n v="22.64"/>
    <s v="-"/>
    <s v="-"/>
    <s v="P"/>
    <s v="P"/>
    <s v="-"/>
    <n v="2"/>
    <n v="1"/>
    <n v="2"/>
    <n v="1"/>
    <n v="0"/>
    <n v="0"/>
    <s v="-"/>
    <s v="-"/>
    <s v="-"/>
    <n v="2"/>
    <s v="-"/>
    <n v="8"/>
    <n v="11"/>
    <s v="-"/>
    <n v="1"/>
    <n v="1"/>
    <n v="2"/>
    <n v="2"/>
    <n v="10"/>
    <n v="13"/>
  </r>
  <r>
    <x v="1"/>
    <x v="30"/>
    <d v="1899-12-30T00:00:00"/>
    <s v="3RD"/>
    <d v="1899-12-31T00:00:00"/>
    <n v="2"/>
    <x v="38"/>
    <n v="3.7000000000000002E-3"/>
    <s v="P"/>
    <s v="P"/>
    <s v="P"/>
    <s v="-"/>
    <s v="-"/>
    <n v="11.26"/>
    <s v="-"/>
    <s v="-"/>
    <s v="-"/>
    <s v="-"/>
    <s v="-"/>
    <s v="-"/>
    <s v="-"/>
    <s v="-"/>
    <s v="P"/>
    <s v="P"/>
    <s v="-"/>
    <n v="2"/>
    <n v="1"/>
    <n v="2"/>
    <n v="1"/>
    <s v="-"/>
    <s v="-"/>
    <s v="-"/>
    <s v="-"/>
    <s v="-"/>
    <s v="-"/>
    <s v="-"/>
    <n v="6"/>
    <n v="6"/>
    <s v="-"/>
    <n v="1"/>
    <n v="1"/>
    <n v="2"/>
    <n v="2"/>
    <n v="8"/>
    <n v="8"/>
  </r>
  <r>
    <x v="1"/>
    <x v="30"/>
    <d v="1899-12-30T00:00:00"/>
    <s v="3RD"/>
    <d v="1899-12-31T02:00:00"/>
    <n v="2"/>
    <x v="38"/>
    <n v="1.11E-2"/>
    <s v="P"/>
    <s v="P"/>
    <s v="P"/>
    <s v="-"/>
    <s v="-"/>
    <n v="11.07"/>
    <s v="-"/>
    <s v="-"/>
    <s v="-"/>
    <s v="-"/>
    <s v="-"/>
    <s v="-"/>
    <s v="-"/>
    <s v="-"/>
    <s v="P"/>
    <s v="P"/>
    <s v="-"/>
    <n v="2"/>
    <n v="1"/>
    <n v="2"/>
    <n v="1"/>
    <s v="-"/>
    <s v="-"/>
    <s v="-"/>
    <s v="-"/>
    <s v="-"/>
    <s v="-"/>
    <s v="-"/>
    <n v="6"/>
    <n v="6"/>
    <s v="-"/>
    <n v="1"/>
    <n v="1"/>
    <n v="2"/>
    <n v="2"/>
    <n v="8"/>
    <n v="8"/>
  </r>
  <r>
    <x v="1"/>
    <x v="30"/>
    <d v="1899-12-30T00:00:00"/>
    <s v="3RD"/>
    <d v="1899-12-31T04:00:00"/>
    <n v="2"/>
    <x v="38"/>
    <n v="8.3999999999999995E-3"/>
    <s v="P"/>
    <s v="P"/>
    <s v="P"/>
    <s v="-"/>
    <s v="-"/>
    <n v="11.41"/>
    <s v="-"/>
    <s v="-"/>
    <s v="-"/>
    <s v="-"/>
    <s v="-"/>
    <s v="-"/>
    <s v="-"/>
    <s v="-"/>
    <s v="P"/>
    <s v="P"/>
    <s v="-"/>
    <n v="2"/>
    <n v="1"/>
    <n v="2"/>
    <n v="1"/>
    <s v="-"/>
    <s v="-"/>
    <s v="-"/>
    <s v="-"/>
    <s v="-"/>
    <s v="-"/>
    <s v="-"/>
    <n v="6"/>
    <n v="6"/>
    <s v="-"/>
    <n v="1"/>
    <n v="1"/>
    <n v="2"/>
    <n v="2"/>
    <n v="8"/>
    <n v="8"/>
  </r>
  <r>
    <x v="1"/>
    <x v="30"/>
    <d v="1899-12-30T00:00:00"/>
    <s v="3RD"/>
    <d v="1899-12-31T05:00:00"/>
    <n v="2"/>
    <x v="38"/>
    <n v="4.0000000000000001E-3"/>
    <s v="P"/>
    <s v="P"/>
    <s v="P"/>
    <s v="-"/>
    <s v="-"/>
    <n v="11.28"/>
    <s v="-"/>
    <s v="-"/>
    <s v="-"/>
    <s v="-"/>
    <s v="-"/>
    <s v="-"/>
    <s v="-"/>
    <s v="-"/>
    <s v="P"/>
    <s v="P"/>
    <s v="-"/>
    <n v="2"/>
    <n v="1"/>
    <n v="2"/>
    <n v="1"/>
    <s v="-"/>
    <s v="-"/>
    <s v="-"/>
    <s v="-"/>
    <s v="-"/>
    <s v="-"/>
    <s v="-"/>
    <n v="6"/>
    <n v="6"/>
    <s v="-"/>
    <n v="1"/>
    <n v="1"/>
    <n v="2"/>
    <n v="2"/>
    <n v="8"/>
    <n v="8"/>
  </r>
  <r>
    <x v="1"/>
    <x v="31"/>
    <d v="2026-02-04T00:00:00"/>
    <s v="3RD"/>
    <d v="1899-12-31T00:00:00"/>
    <n v="3"/>
    <x v="6"/>
    <n v="8.0000000000000002E-3"/>
    <s v="P"/>
    <s v="P"/>
    <s v="P"/>
    <s v="+"/>
    <s v="+"/>
    <n v="12.87"/>
    <s v="-"/>
    <s v="-"/>
    <s v="-"/>
    <s v="-"/>
    <s v="-"/>
    <s v="-"/>
    <s v="-"/>
    <s v="-"/>
    <s v="P"/>
    <s v="P"/>
    <s v="80% 20% "/>
    <n v="2"/>
    <n v="1"/>
    <n v="2"/>
    <n v="1"/>
    <s v="-"/>
    <s v="-"/>
    <s v="-"/>
    <s v="-"/>
    <s v="-"/>
    <s v="-"/>
    <s v="-"/>
    <n v="6"/>
    <n v="6"/>
    <s v="-"/>
    <n v="1"/>
    <n v="1"/>
    <n v="2"/>
    <n v="2"/>
    <n v="8"/>
    <n v="8"/>
  </r>
  <r>
    <x v="1"/>
    <x v="31"/>
    <d v="2026-02-04T00:00:00"/>
    <s v="3RD"/>
    <d v="1899-12-31T02:00:00"/>
    <n v="3"/>
    <x v="6"/>
    <n v="9.4999999999999998E-3"/>
    <s v="P"/>
    <s v="P"/>
    <s v="P"/>
    <s v="+"/>
    <s v="+"/>
    <n v="12.74"/>
    <s v="-"/>
    <s v="-"/>
    <s v="-"/>
    <s v="-"/>
    <s v="-"/>
    <s v="-"/>
    <s v="-"/>
    <s v="-"/>
    <s v="P"/>
    <s v="P"/>
    <s v="-"/>
    <n v="2"/>
    <n v="1"/>
    <n v="2"/>
    <n v="1"/>
    <s v="-"/>
    <s v="-"/>
    <s v="-"/>
    <s v="-"/>
    <s v="-"/>
    <s v="-"/>
    <s v="-"/>
    <n v="6"/>
    <n v="6"/>
    <s v="-"/>
    <n v="1"/>
    <n v="1"/>
    <n v="2"/>
    <n v="2"/>
    <n v="8"/>
    <n v="8"/>
  </r>
  <r>
    <x v="1"/>
    <x v="31"/>
    <d v="2026-02-04T00:00:00"/>
    <s v="3RD"/>
    <d v="1899-12-31T03:00:00"/>
    <n v="3"/>
    <x v="6"/>
    <n v="7.7000000000000002E-3"/>
    <s v="P"/>
    <s v="P"/>
    <s v="P"/>
    <s v="+"/>
    <s v="+"/>
    <n v="12.7"/>
    <s v="-"/>
    <s v="-"/>
    <s v="-"/>
    <s v="-"/>
    <s v="-"/>
    <s v="-"/>
    <s v="-"/>
    <s v="-"/>
    <s v="P"/>
    <s v="P"/>
    <s v="-"/>
    <n v="2"/>
    <n v="1"/>
    <n v="2"/>
    <n v="1"/>
    <s v="-"/>
    <s v="-"/>
    <s v="-"/>
    <s v="-"/>
    <s v="-"/>
    <s v="-"/>
    <s v="-"/>
    <n v="6"/>
    <n v="6"/>
    <s v="-"/>
    <n v="1"/>
    <n v="1"/>
    <n v="2"/>
    <n v="2"/>
    <n v="8"/>
    <n v="8"/>
  </r>
  <r>
    <x v="1"/>
    <x v="31"/>
    <d v="2026-02-04T00:00:00"/>
    <s v="3RD"/>
    <d v="1899-12-31T04:00:00"/>
    <n v="3"/>
    <x v="6"/>
    <n v="7.9000000000000008E-3"/>
    <s v="P"/>
    <s v="P"/>
    <s v="P"/>
    <s v="+"/>
    <s v="+"/>
    <n v="12.62"/>
    <s v="-"/>
    <s v="-"/>
    <s v="-"/>
    <s v="-"/>
    <s v="-"/>
    <s v="-"/>
    <s v="-"/>
    <s v="-"/>
    <s v="P"/>
    <s v="P"/>
    <s v="-"/>
    <n v="2"/>
    <n v="1"/>
    <n v="2"/>
    <n v="1"/>
    <s v="-"/>
    <s v="-"/>
    <s v="-"/>
    <s v="-"/>
    <s v="-"/>
    <s v="-"/>
    <s v="-"/>
    <n v="6"/>
    <n v="6"/>
    <s v="-"/>
    <n v="1"/>
    <n v="1"/>
    <n v="2"/>
    <n v="2"/>
    <n v="8"/>
    <n v="8"/>
  </r>
  <r>
    <x v="1"/>
    <x v="31"/>
    <d v="2026-02-05T00:00:00"/>
    <s v="3RD"/>
    <d v="1899-12-31T05:00:00"/>
    <n v="3"/>
    <x v="6"/>
    <n v="1.7999999999999999E-2"/>
    <s v="P"/>
    <s v="P"/>
    <s v="P"/>
    <s v="+"/>
    <s v="+"/>
    <n v="12.13"/>
    <n v="12.52"/>
    <s v="-"/>
    <s v="-"/>
    <s v="-"/>
    <s v="-"/>
    <n v="35"/>
    <s v="-"/>
    <s v="-"/>
    <s v="P"/>
    <s v="P"/>
    <s v="-"/>
    <n v="2"/>
    <n v="1"/>
    <n v="2"/>
    <n v="1"/>
    <n v="1"/>
    <s v="-"/>
    <s v="-"/>
    <s v="-"/>
    <s v="-"/>
    <n v="2"/>
    <s v="-"/>
    <n v="9"/>
    <n v="9"/>
    <s v="-"/>
    <n v="1"/>
    <n v="1"/>
    <n v="2"/>
    <n v="2"/>
    <n v="11"/>
    <n v="11"/>
  </r>
  <r>
    <x v="1"/>
    <x v="31"/>
    <d v="2026-02-10T00:00:00"/>
    <s v="2ND"/>
    <d v="1899-12-30T17:00:00"/>
    <s v="Retail"/>
    <x v="3"/>
    <s v="-"/>
    <s v="-"/>
    <s v="-"/>
    <s v="-"/>
    <s v="-"/>
    <s v="-"/>
    <n v="13.85"/>
    <s v="-"/>
    <s v="-"/>
    <s v="-"/>
    <s v="-"/>
    <s v="-"/>
    <s v="-"/>
    <s v="-"/>
    <s v="-"/>
    <s v="-"/>
    <s v="-"/>
    <s v="-"/>
    <s v="-"/>
    <s v="-"/>
    <s v="-"/>
    <n v="1"/>
    <s v="-"/>
    <s v="-"/>
    <s v="-"/>
    <s v="-"/>
    <s v="-"/>
    <s v="-"/>
    <s v="-"/>
    <n v="1"/>
    <n v="1"/>
    <s v="-"/>
    <s v="-"/>
    <s v="-"/>
    <n v="0"/>
    <n v="0"/>
    <n v="1"/>
    <n v="1"/>
  </r>
  <r>
    <x v="1"/>
    <x v="31"/>
    <d v="2026-02-04T00:00:00"/>
    <s v="1ST"/>
    <s v="11:00"/>
    <s v="Retail"/>
    <x v="39"/>
    <n v="9.4999999999999998E-3"/>
    <s v="P"/>
    <s v="P"/>
    <s v="P"/>
    <s v="+"/>
    <s v="+"/>
    <n v="11.7"/>
    <n v="12.73"/>
    <n v="0.35"/>
    <n v="63.9"/>
    <n v="12.06"/>
    <n v="607"/>
    <n v="35.799999999999997"/>
    <s v="-"/>
    <n v="25.1"/>
    <s v="P"/>
    <s v="P"/>
    <s v="-"/>
    <n v="2"/>
    <n v="1"/>
    <n v="2"/>
    <n v="0"/>
    <n v="1"/>
    <n v="2"/>
    <n v="0"/>
    <n v="1"/>
    <n v="1"/>
    <n v="2"/>
    <s v="-"/>
    <n v="12"/>
    <n v="15"/>
    <n v="1"/>
    <n v="1"/>
    <n v="1"/>
    <n v="3"/>
    <n v="3"/>
    <n v="15"/>
    <n v="18"/>
  </r>
  <r>
    <x v="1"/>
    <x v="31"/>
    <d v="2026-02-04T00:00:00"/>
    <s v="2ND"/>
    <d v="1899-12-30T17:00:00"/>
    <n v="3"/>
    <x v="30"/>
    <n v="3.3999999999999998E-3"/>
    <s v="P"/>
    <s v="P"/>
    <s v="P"/>
    <s v="+"/>
    <s v="+"/>
    <n v="12.61"/>
    <n v="12.79"/>
    <s v="-"/>
    <n v="64.3"/>
    <n v="14.1"/>
    <n v="994"/>
    <n v="35.799999999999997"/>
    <s v="-"/>
    <s v="-"/>
    <s v="P"/>
    <s v="P"/>
    <s v="80% 20%"/>
    <n v="2"/>
    <n v="1"/>
    <n v="2"/>
    <n v="1"/>
    <n v="1"/>
    <s v="-"/>
    <n v="2"/>
    <n v="1"/>
    <n v="0"/>
    <n v="2"/>
    <s v="-"/>
    <n v="12"/>
    <n v="13"/>
    <s v="-"/>
    <n v="1"/>
    <n v="1"/>
    <n v="2"/>
    <n v="2"/>
    <n v="14"/>
    <n v="15"/>
  </r>
  <r>
    <x v="1"/>
    <x v="31"/>
    <d v="2026-02-04T00:00:00"/>
    <s v="2ND"/>
    <d v="1899-12-30T18:00:00"/>
    <n v="3"/>
    <x v="30"/>
    <n v="6.0000000000000001E-3"/>
    <s v="P"/>
    <s v="P"/>
    <s v="P"/>
    <s v="+"/>
    <s v="+"/>
    <n v="12.69"/>
    <s v="-"/>
    <s v="-"/>
    <s v="-"/>
    <s v="-"/>
    <s v="-"/>
    <s v="-"/>
    <s v="-"/>
    <s v="-"/>
    <s v="P"/>
    <s v="P"/>
    <s v="-"/>
    <n v="2"/>
    <n v="1"/>
    <n v="2"/>
    <n v="1"/>
    <s v="-"/>
    <s v="-"/>
    <s v="-"/>
    <s v="-"/>
    <s v="-"/>
    <s v="-"/>
    <s v="-"/>
    <n v="6"/>
    <n v="6"/>
    <s v="-"/>
    <n v="1"/>
    <n v="1"/>
    <n v="2"/>
    <n v="2"/>
    <n v="8"/>
    <n v="8"/>
  </r>
  <r>
    <x v="1"/>
    <x v="31"/>
    <d v="2026-02-04T00:00:00"/>
    <s v="2ND"/>
    <d v="1899-12-30T20:00:00"/>
    <n v="3"/>
    <x v="30"/>
    <n v="3.3999999999999998E-3"/>
    <s v="P"/>
    <s v="P"/>
    <s v="P"/>
    <s v="+"/>
    <s v="+"/>
    <n v="12.93"/>
    <s v="-"/>
    <s v="-"/>
    <s v="-"/>
    <s v="-"/>
    <s v="-"/>
    <s v="-"/>
    <s v="-"/>
    <s v="-"/>
    <s v="P"/>
    <s v="P"/>
    <s v="-"/>
    <n v="2"/>
    <n v="1"/>
    <n v="2"/>
    <n v="1"/>
    <s v="-"/>
    <s v="-"/>
    <s v="-"/>
    <s v="-"/>
    <s v="-"/>
    <s v="-"/>
    <s v="-"/>
    <n v="6"/>
    <n v="6"/>
    <s v="-"/>
    <n v="1"/>
    <n v="1"/>
    <n v="2"/>
    <n v="2"/>
    <n v="8"/>
    <n v="8"/>
  </r>
  <r>
    <x v="1"/>
    <x v="31"/>
    <d v="2026-02-04T00:00:00"/>
    <s v="3RD"/>
    <d v="1899-12-30T22:00:00"/>
    <n v="3"/>
    <x v="30"/>
    <n v="8.2000000000000007E-3"/>
    <s v="P"/>
    <s v="P"/>
    <s v="P"/>
    <s v="+"/>
    <s v="+"/>
    <n v="12.69"/>
    <n v="12.82"/>
    <s v="-"/>
    <s v="-"/>
    <s v="-"/>
    <s v="-"/>
    <n v="35.799999999999997"/>
    <s v="-"/>
    <s v="-"/>
    <s v="P"/>
    <s v="P"/>
    <s v="80% 20% "/>
    <n v="2"/>
    <n v="1"/>
    <n v="2"/>
    <n v="1"/>
    <n v="1"/>
    <s v="-"/>
    <s v="-"/>
    <s v="-"/>
    <s v="-"/>
    <n v="2"/>
    <s v="-"/>
    <n v="9"/>
    <n v="9"/>
    <s v="-"/>
    <n v="1"/>
    <n v="1"/>
    <n v="2"/>
    <n v="2"/>
    <n v="11"/>
    <n v="11"/>
  </r>
  <r>
    <x v="1"/>
    <x v="31"/>
    <d v="2026-04-02T00:00:00"/>
    <s v="1ST"/>
    <s v="06:00"/>
    <n v="3"/>
    <x v="1"/>
    <n v="5.0000000000000001E-3"/>
    <s v="P"/>
    <s v="P"/>
    <s v="P"/>
    <s v="+"/>
    <s v="+"/>
    <n v="12.64"/>
    <n v="12.58"/>
    <n v="0.59"/>
    <n v="64"/>
    <s v="-"/>
    <s v="-"/>
    <n v="35.200000000000003"/>
    <s v="-"/>
    <n v="25.1"/>
    <s v="P"/>
    <s v="P"/>
    <s v="85% 15%"/>
    <n v="2"/>
    <n v="1"/>
    <n v="2"/>
    <n v="1"/>
    <n v="1"/>
    <n v="2"/>
    <n v="2"/>
    <s v="-"/>
    <s v="-"/>
    <n v="2"/>
    <s v="-"/>
    <n v="13"/>
    <n v="13"/>
    <n v="1"/>
    <n v="1"/>
    <n v="1"/>
    <n v="3"/>
    <n v="3"/>
    <n v="16"/>
    <n v="16"/>
  </r>
  <r>
    <x v="1"/>
    <x v="31"/>
    <d v="2026-04-02T00:00:00"/>
    <s v="1ST"/>
    <s v="08:00"/>
    <n v="3"/>
    <x v="1"/>
    <n v="7.9000000000000008E-3"/>
    <s v="P"/>
    <s v="P"/>
    <s v="P"/>
    <s v="+"/>
    <s v="+"/>
    <n v="12.58"/>
    <s v="-"/>
    <s v="-"/>
    <s v="-"/>
    <s v="-"/>
    <s v="-"/>
    <s v="-"/>
    <s v="-"/>
    <s v="-"/>
    <s v="P"/>
    <s v="P"/>
    <s v="-"/>
    <n v="2"/>
    <n v="1"/>
    <n v="2"/>
    <n v="1"/>
    <s v="-"/>
    <s v="-"/>
    <s v="-"/>
    <s v="-"/>
    <s v="-"/>
    <s v="-"/>
    <s v="-"/>
    <n v="6"/>
    <n v="6"/>
    <s v="-"/>
    <n v="1"/>
    <n v="1"/>
    <n v="2"/>
    <n v="2"/>
    <n v="8"/>
    <n v="8"/>
  </r>
  <r>
    <x v="1"/>
    <x v="31"/>
    <d v="2026-04-02T00:00:00"/>
    <s v="1ST"/>
    <s v="09:00"/>
    <n v="3"/>
    <x v="1"/>
    <n v="1.06E-2"/>
    <s v="P"/>
    <s v="P"/>
    <s v="P"/>
    <s v="+"/>
    <s v="+"/>
    <n v="12.22"/>
    <s v="-"/>
    <s v="-"/>
    <s v="-"/>
    <s v="-"/>
    <s v="-"/>
    <s v="-"/>
    <s v="-"/>
    <s v="-"/>
    <s v="P"/>
    <s v="P"/>
    <s v="-"/>
    <n v="2"/>
    <n v="1"/>
    <n v="2"/>
    <n v="1"/>
    <s v="-"/>
    <s v="-"/>
    <s v="-"/>
    <s v="-"/>
    <s v="-"/>
    <s v="-"/>
    <s v="-"/>
    <n v="6"/>
    <n v="6"/>
    <s v="-"/>
    <n v="1"/>
    <n v="1"/>
    <n v="2"/>
    <n v="2"/>
    <n v="8"/>
    <n v="8"/>
  </r>
  <r>
    <x v="1"/>
    <x v="31"/>
    <d v="2026-04-02T00:00:00"/>
    <s v="1ST"/>
    <s v="10:00"/>
    <n v="3"/>
    <x v="1"/>
    <n v="6.1999999999999998E-3"/>
    <s v="P"/>
    <s v="P"/>
    <s v="P"/>
    <s v="+"/>
    <s v="+"/>
    <n v="12.19"/>
    <s v="-"/>
    <s v="-"/>
    <s v="-"/>
    <s v="-"/>
    <s v="-"/>
    <s v="-"/>
    <s v="-"/>
    <s v="-"/>
    <s v="P"/>
    <s v="P"/>
    <s v="-"/>
    <n v="2"/>
    <n v="1"/>
    <n v="2"/>
    <n v="1"/>
    <s v="-"/>
    <s v="-"/>
    <s v="-"/>
    <s v="-"/>
    <s v="-"/>
    <s v="-"/>
    <s v="-"/>
    <n v="6"/>
    <n v="6"/>
    <s v="-"/>
    <n v="1"/>
    <n v="1"/>
    <n v="2"/>
    <n v="2"/>
    <n v="8"/>
    <n v="8"/>
  </r>
  <r>
    <x v="1"/>
    <x v="31"/>
    <d v="2026-04-02T00:00:00"/>
    <s v="1ST"/>
    <s v="11:00"/>
    <n v="3"/>
    <x v="1"/>
    <n v="1.1900000000000001E-2"/>
    <s v="P"/>
    <s v="P"/>
    <s v="P"/>
    <s v="+"/>
    <s v="+"/>
    <n v="11.84"/>
    <s v="-"/>
    <s v="-"/>
    <s v="-"/>
    <s v="-"/>
    <s v="-"/>
    <s v="-"/>
    <s v="-"/>
    <s v="-"/>
    <s v="P"/>
    <s v="P"/>
    <s v="-"/>
    <n v="2"/>
    <n v="1"/>
    <n v="2"/>
    <n v="0"/>
    <s v="-"/>
    <s v="-"/>
    <s v="-"/>
    <s v="-"/>
    <s v="-"/>
    <s v="-"/>
    <s v="-"/>
    <n v="5"/>
    <n v="6"/>
    <s v="-"/>
    <n v="1"/>
    <n v="1"/>
    <n v="2"/>
    <n v="2"/>
    <n v="7"/>
    <n v="8"/>
  </r>
  <r>
    <x v="1"/>
    <x v="31"/>
    <d v="2026-04-02T00:00:00"/>
    <s v="1ST"/>
    <s v="12:00"/>
    <n v="3"/>
    <x v="1"/>
    <n v="1.06E-2"/>
    <s v="P"/>
    <s v="P"/>
    <s v="P"/>
    <s v="+"/>
    <s v="+"/>
    <n v="12.75"/>
    <s v="-"/>
    <s v="-"/>
    <s v="-"/>
    <s v="-"/>
    <s v="-"/>
    <s v="-"/>
    <s v="-"/>
    <s v="-"/>
    <s v="P"/>
    <s v="P"/>
    <s v="-"/>
    <n v="2"/>
    <n v="1"/>
    <n v="2"/>
    <n v="1"/>
    <s v="-"/>
    <s v="-"/>
    <s v="-"/>
    <s v="-"/>
    <s v="-"/>
    <s v="-"/>
    <s v="-"/>
    <n v="6"/>
    <n v="6"/>
    <s v="-"/>
    <n v="1"/>
    <n v="1"/>
    <n v="2"/>
    <n v="2"/>
    <n v="8"/>
    <n v="8"/>
  </r>
  <r>
    <x v="1"/>
    <x v="31"/>
    <d v="2026-04-02T00:00:00"/>
    <s v="1ST"/>
    <s v="13:00"/>
    <n v="3"/>
    <x v="1"/>
    <n v="7.7000000000000002E-3"/>
    <s v="P"/>
    <s v="P"/>
    <s v="P"/>
    <s v="+"/>
    <s v="+"/>
    <n v="12.73"/>
    <s v="-"/>
    <s v="-"/>
    <s v="-"/>
    <s v="-"/>
    <s v="-"/>
    <s v="-"/>
    <s v="-"/>
    <s v="-"/>
    <s v="P"/>
    <s v="P"/>
    <s v="-"/>
    <n v="2"/>
    <n v="1"/>
    <n v="2"/>
    <n v="1"/>
    <s v="-"/>
    <s v="-"/>
    <s v="-"/>
    <s v="-"/>
    <s v="-"/>
    <s v="-"/>
    <s v="-"/>
    <n v="6"/>
    <n v="6"/>
    <s v="-"/>
    <n v="1"/>
    <n v="1"/>
    <n v="2"/>
    <n v="2"/>
    <n v="8"/>
    <n v="8"/>
  </r>
  <r>
    <x v="1"/>
    <x v="31"/>
    <d v="2026-02-04T00:00:00"/>
    <s v="2ND"/>
    <d v="1899-12-30T14:00:00"/>
    <n v="3"/>
    <x v="1"/>
    <n v="6.1999999999999998E-3"/>
    <s v="P"/>
    <s v="P"/>
    <s v="P"/>
    <s v="+"/>
    <s v="+"/>
    <n v="12.74"/>
    <n v="12.82"/>
    <n v="0.56000000000000005"/>
    <s v="-"/>
    <s v="-"/>
    <s v="-"/>
    <n v="35.799999999999997"/>
    <s v="-"/>
    <n v="25.2"/>
    <s v="P"/>
    <s v="P"/>
    <s v="85% 15%"/>
    <n v="2"/>
    <n v="1"/>
    <n v="2"/>
    <n v="1"/>
    <n v="1"/>
    <n v="2"/>
    <s v="-"/>
    <s v="-"/>
    <s v="-"/>
    <n v="2"/>
    <s v="-"/>
    <n v="11"/>
    <n v="11"/>
    <n v="1"/>
    <n v="1"/>
    <n v="1"/>
    <n v="3"/>
    <n v="3"/>
    <n v="14"/>
    <n v="14"/>
  </r>
  <r>
    <x v="1"/>
    <x v="31"/>
    <d v="2026-02-10T00:00:00"/>
    <s v="2ND"/>
    <d v="1899-12-30T15:00:00"/>
    <s v="Retail"/>
    <x v="13"/>
    <s v="-"/>
    <s v="-"/>
    <s v="-"/>
    <s v="-"/>
    <s v="-"/>
    <s v="-"/>
    <n v="11.27"/>
    <s v="-"/>
    <s v="-"/>
    <s v="-"/>
    <s v="-"/>
    <s v="-"/>
    <s v="-"/>
    <s v="-"/>
    <s v="-"/>
    <s v="-"/>
    <s v="-"/>
    <s v="-"/>
    <s v="-"/>
    <s v="-"/>
    <s v="-"/>
    <n v="1"/>
    <s v="-"/>
    <s v="-"/>
    <s v="-"/>
    <s v="-"/>
    <s v="-"/>
    <s v="-"/>
    <s v="-"/>
    <n v="1"/>
    <n v="1"/>
    <s v="-"/>
    <s v="-"/>
    <s v="-"/>
    <n v="0"/>
    <n v="0"/>
    <n v="1"/>
    <n v="1"/>
  </r>
  <r>
    <x v="1"/>
    <x v="31"/>
    <d v="2026-02-10T00:00:00"/>
    <s v="2ND"/>
    <d v="1899-12-30T16:00:00"/>
    <s v="Retail"/>
    <x v="9"/>
    <s v="-"/>
    <s v="-"/>
    <s v="-"/>
    <s v="-"/>
    <s v="-"/>
    <s v="-"/>
    <n v="9.75"/>
    <s v="-"/>
    <s v="-"/>
    <s v="-"/>
    <s v="-"/>
    <s v="-"/>
    <s v="-"/>
    <s v="-"/>
    <s v="-"/>
    <s v="-"/>
    <s v="-"/>
    <s v="-"/>
    <s v="-"/>
    <s v="-"/>
    <s v="-"/>
    <n v="0"/>
    <s v="-"/>
    <s v="-"/>
    <s v="-"/>
    <s v="-"/>
    <s v="-"/>
    <s v="-"/>
    <s v="-"/>
    <n v="0"/>
    <n v="1"/>
    <s v="-"/>
    <s v="-"/>
    <s v="-"/>
    <n v="0"/>
    <n v="0"/>
    <n v="0"/>
    <n v="1"/>
  </r>
  <r>
    <x v="1"/>
    <x v="31"/>
    <d v="1902-03-27T00:00:00"/>
    <s v="1ST"/>
    <s v="06:00"/>
    <n v="2"/>
    <x v="22"/>
    <n v="1.03E-2"/>
    <s v="P"/>
    <s v="P"/>
    <s v="P"/>
    <s v="-"/>
    <s v="-"/>
    <n v="11.39"/>
    <n v="8.42"/>
    <n v="0.5"/>
    <n v="54.6"/>
    <s v="-"/>
    <s v="-"/>
    <n v="22.64"/>
    <s v="-"/>
    <n v="25.11"/>
    <s v="P"/>
    <s v="P"/>
    <s v="-"/>
    <n v="2"/>
    <n v="1"/>
    <n v="2"/>
    <n v="1"/>
    <n v="0"/>
    <n v="2"/>
    <n v="2"/>
    <s v="-"/>
    <s v="-"/>
    <n v="2"/>
    <s v="-"/>
    <n v="12"/>
    <n v="13"/>
    <n v="1"/>
    <n v="1"/>
    <n v="1"/>
    <n v="3"/>
    <n v="3"/>
    <n v="15"/>
    <n v="16"/>
  </r>
  <r>
    <x v="1"/>
    <x v="31"/>
    <d v="1899-12-30T00:00:00"/>
    <s v="1ST"/>
    <s v="08:00"/>
    <n v="2"/>
    <x v="22"/>
    <n v="7.4999999999999997E-3"/>
    <s v="P"/>
    <s v="P"/>
    <s v="P"/>
    <s v="-"/>
    <s v="-"/>
    <n v="11.3"/>
    <s v="-"/>
    <s v="-"/>
    <s v="-"/>
    <s v="-"/>
    <s v="-"/>
    <s v="-"/>
    <s v="-"/>
    <s v="-"/>
    <s v="P"/>
    <s v="P"/>
    <s v="-"/>
    <n v="2"/>
    <n v="1"/>
    <n v="2"/>
    <n v="1"/>
    <s v="-"/>
    <s v="-"/>
    <s v="-"/>
    <s v="-"/>
    <s v="-"/>
    <s v="-"/>
    <s v="-"/>
    <n v="6"/>
    <n v="6"/>
    <s v="-"/>
    <n v="1"/>
    <n v="1"/>
    <n v="2"/>
    <n v="2"/>
    <n v="8"/>
    <n v="8"/>
  </r>
  <r>
    <x v="1"/>
    <x v="31"/>
    <d v="1899-12-30T00:00:00"/>
    <s v="1ST"/>
    <s v="09:00"/>
    <n v="2"/>
    <x v="22"/>
    <n v="1.18E-2"/>
    <s v="P"/>
    <s v="P"/>
    <s v="P"/>
    <s v="-"/>
    <s v="-"/>
    <n v="10.98"/>
    <s v="-"/>
    <s v="-"/>
    <s v="-"/>
    <s v="-"/>
    <s v="-"/>
    <s v="-"/>
    <s v="-"/>
    <s v="-"/>
    <s v="P"/>
    <s v="P"/>
    <s v="-"/>
    <n v="2"/>
    <n v="1"/>
    <n v="2"/>
    <n v="0"/>
    <s v="-"/>
    <s v="-"/>
    <s v="-"/>
    <s v="-"/>
    <s v="-"/>
    <s v="-"/>
    <s v="-"/>
    <n v="5"/>
    <n v="6"/>
    <s v="-"/>
    <n v="1"/>
    <n v="1"/>
    <n v="2"/>
    <n v="2"/>
    <n v="7"/>
    <n v="8"/>
  </r>
  <r>
    <x v="1"/>
    <x v="31"/>
    <d v="1899-12-30T00:00:00"/>
    <s v="1ST"/>
    <s v="11:00"/>
    <n v="2"/>
    <x v="22"/>
    <n v="1.04E-2"/>
    <s v="P"/>
    <s v="P"/>
    <s v="P"/>
    <s v="-"/>
    <s v="-"/>
    <n v="10.61"/>
    <s v="-"/>
    <s v="-"/>
    <s v="-"/>
    <s v="-"/>
    <s v="-"/>
    <s v="-"/>
    <s v="-"/>
    <s v="-"/>
    <s v="P"/>
    <s v="P"/>
    <s v="-"/>
    <n v="2"/>
    <n v="1"/>
    <n v="2"/>
    <n v="0"/>
    <s v="-"/>
    <s v="-"/>
    <s v="-"/>
    <s v="-"/>
    <s v="-"/>
    <s v="-"/>
    <s v="-"/>
    <n v="5"/>
    <n v="6"/>
    <s v="-"/>
    <n v="1"/>
    <n v="1"/>
    <n v="2"/>
    <n v="2"/>
    <n v="7"/>
    <n v="8"/>
  </r>
  <r>
    <x v="1"/>
    <x v="31"/>
    <d v="1899-12-30T00:00:00"/>
    <s v="1ST"/>
    <s v="12:00"/>
    <n v="2"/>
    <x v="22"/>
    <n v="8.0000000000000002E-3"/>
    <s v="P"/>
    <s v="P"/>
    <s v="P"/>
    <s v="-"/>
    <s v="-"/>
    <n v="10.88"/>
    <s v="-"/>
    <s v="-"/>
    <s v="-"/>
    <s v="-"/>
    <s v="-"/>
    <s v="-"/>
    <s v="-"/>
    <s v="-"/>
    <s v="P"/>
    <s v="P"/>
    <s v="-"/>
    <n v="2"/>
    <n v="1"/>
    <n v="2"/>
    <n v="0"/>
    <s v="-"/>
    <s v="-"/>
    <s v="-"/>
    <s v="-"/>
    <s v="-"/>
    <s v="-"/>
    <s v="-"/>
    <n v="5"/>
    <n v="6"/>
    <s v="-"/>
    <n v="1"/>
    <n v="1"/>
    <n v="2"/>
    <n v="2"/>
    <n v="7"/>
    <n v="8"/>
  </r>
  <r>
    <x v="1"/>
    <x v="31"/>
    <d v="2026-02-02T00:00:00"/>
    <s v="2ND"/>
    <d v="1899-12-30T15:00:00"/>
    <n v="1"/>
    <x v="38"/>
    <n v="1.8E-3"/>
    <s v="P"/>
    <s v="P"/>
    <s v="P"/>
    <s v="-"/>
    <s v="-"/>
    <n v="10.76"/>
    <n v="8.52"/>
    <n v="0.5"/>
    <s v="-"/>
    <s v="-"/>
    <s v="-"/>
    <n v="22.92"/>
    <s v="-"/>
    <s v="-"/>
    <s v="P"/>
    <s v="P"/>
    <n v="1"/>
    <n v="2"/>
    <n v="1"/>
    <n v="2"/>
    <n v="0"/>
    <n v="1"/>
    <n v="2"/>
    <s v="-"/>
    <s v="-"/>
    <s v="-"/>
    <n v="2"/>
    <s v="-"/>
    <n v="10"/>
    <n v="11"/>
    <s v="-"/>
    <n v="1"/>
    <n v="1"/>
    <n v="2"/>
    <n v="2"/>
    <n v="12"/>
    <n v="13"/>
  </r>
  <r>
    <x v="1"/>
    <x v="31"/>
    <d v="2026-02-02T00:00:00"/>
    <s v="2ND"/>
    <d v="1899-12-30T17:00:00"/>
    <n v="1"/>
    <x v="38"/>
    <n v="2E-3"/>
    <s v="P"/>
    <s v="P"/>
    <s v="P"/>
    <s v="-"/>
    <s v="-"/>
    <n v="10.98"/>
    <s v="-"/>
    <s v="-"/>
    <s v="-"/>
    <s v="-"/>
    <s v="-"/>
    <s v="-"/>
    <s v="-"/>
    <s v="-"/>
    <s v="P"/>
    <s v="P"/>
    <s v="-"/>
    <n v="2"/>
    <n v="1"/>
    <n v="2"/>
    <n v="0"/>
    <s v="-"/>
    <s v="-"/>
    <s v="-"/>
    <s v="-"/>
    <s v="-"/>
    <s v="-"/>
    <s v="-"/>
    <n v="5"/>
    <n v="6"/>
    <s v="-"/>
    <n v="1"/>
    <n v="1"/>
    <n v="2"/>
    <n v="2"/>
    <n v="7"/>
    <n v="8"/>
  </r>
  <r>
    <x v="1"/>
    <x v="31"/>
    <d v="2026-02-02T00:00:00"/>
    <s v="2ND"/>
    <d v="1899-12-30T19:00:00"/>
    <n v="1"/>
    <x v="38"/>
    <n v="2.5999999999999999E-3"/>
    <s v="P"/>
    <s v="P"/>
    <s v="P"/>
    <s v="-"/>
    <s v="-"/>
    <n v="10.65"/>
    <s v="-"/>
    <s v="-"/>
    <s v="-"/>
    <s v="-"/>
    <s v="-"/>
    <s v="-"/>
    <s v="-"/>
    <s v="-"/>
    <s v="P"/>
    <s v="P"/>
    <s v="-"/>
    <n v="2"/>
    <n v="1"/>
    <n v="2"/>
    <n v="0"/>
    <s v="-"/>
    <s v="-"/>
    <s v="-"/>
    <s v="-"/>
    <s v="-"/>
    <s v="-"/>
    <s v="-"/>
    <n v="5"/>
    <n v="6"/>
    <s v="-"/>
    <n v="1"/>
    <n v="1"/>
    <n v="2"/>
    <n v="2"/>
    <n v="7"/>
    <n v="8"/>
  </r>
  <r>
    <x v="1"/>
    <x v="31"/>
    <d v="2026-02-02T00:00:00"/>
    <s v="2ND"/>
    <d v="1899-12-30T20:00:00"/>
    <n v="1"/>
    <x v="38"/>
    <n v="2.8E-3"/>
    <s v="P"/>
    <s v="P"/>
    <s v="P"/>
    <s v="-"/>
    <s v="-"/>
    <n v="11.26"/>
    <s v="-"/>
    <s v="-"/>
    <s v="-"/>
    <s v="-"/>
    <s v="-"/>
    <s v="-"/>
    <s v="-"/>
    <n v="25.12"/>
    <s v="P"/>
    <s v="P"/>
    <s v="-"/>
    <n v="2"/>
    <n v="1"/>
    <n v="2"/>
    <n v="1"/>
    <s v="-"/>
    <s v="-"/>
    <s v="-"/>
    <s v="-"/>
    <s v="-"/>
    <s v="-"/>
    <s v="-"/>
    <n v="6"/>
    <n v="6"/>
    <n v="1"/>
    <n v="1"/>
    <n v="1"/>
    <n v="3"/>
    <n v="3"/>
    <n v="9"/>
    <n v="9"/>
  </r>
  <r>
    <x v="1"/>
    <x v="31"/>
    <d v="2026-02-02T00:00:00"/>
    <s v="2ND"/>
    <d v="1899-12-30T21:00:00"/>
    <n v="1"/>
    <x v="38"/>
    <n v="2.5000000000000001E-3"/>
    <s v="P"/>
    <s v="P"/>
    <s v="P"/>
    <s v="-"/>
    <s v="-"/>
    <n v="11.22"/>
    <s v="-"/>
    <s v="-"/>
    <s v="-"/>
    <s v="-"/>
    <s v="-"/>
    <s v="-"/>
    <s v="-"/>
    <s v="-"/>
    <s v="P"/>
    <s v="P"/>
    <s v="-"/>
    <n v="2"/>
    <n v="1"/>
    <n v="2"/>
    <n v="1"/>
    <s v="-"/>
    <s v="-"/>
    <s v="-"/>
    <s v="-"/>
    <s v="-"/>
    <s v="-"/>
    <s v="-"/>
    <n v="6"/>
    <n v="6"/>
    <s v="-"/>
    <n v="1"/>
    <n v="1"/>
    <n v="2"/>
    <n v="2"/>
    <n v="8"/>
    <n v="8"/>
  </r>
  <r>
    <x v="1"/>
    <x v="31"/>
    <d v="1902-03-25T00:00:00"/>
    <s v="2ND"/>
    <d v="1899-12-30T14:00:00"/>
    <n v="2"/>
    <x v="38"/>
    <n v="7.1999999999999998E-3"/>
    <s v="P"/>
    <s v="P"/>
    <s v="P"/>
    <s v="-"/>
    <s v="-"/>
    <n v="10.86"/>
    <n v="8.3800000000000008"/>
    <n v="0.5"/>
    <s v="-"/>
    <s v="-"/>
    <s v="-"/>
    <n v="22.5"/>
    <s v="-"/>
    <n v="25.18"/>
    <s v="P"/>
    <s v="P"/>
    <s v="-"/>
    <n v="2"/>
    <n v="1"/>
    <n v="2"/>
    <n v="0"/>
    <n v="0"/>
    <n v="2"/>
    <s v="-"/>
    <s v="-"/>
    <s v="-"/>
    <n v="2"/>
    <s v="-"/>
    <n v="9"/>
    <n v="11"/>
    <n v="1"/>
    <n v="1"/>
    <n v="1"/>
    <n v="3"/>
    <n v="3"/>
    <n v="12"/>
    <n v="14"/>
  </r>
  <r>
    <x v="1"/>
    <x v="31"/>
    <d v="1899-12-30T00:00:00"/>
    <s v="2ND"/>
    <d v="1899-12-30T16:00:00"/>
    <n v="2"/>
    <x v="38"/>
    <n v="5.0000000000000001E-3"/>
    <s v="P"/>
    <s v="P"/>
    <s v="P"/>
    <s v="-"/>
    <s v="-"/>
    <n v="10.93"/>
    <s v="-"/>
    <s v="-"/>
    <s v="-"/>
    <s v="-"/>
    <s v="-"/>
    <s v="-"/>
    <s v="-"/>
    <s v="-"/>
    <s v="P"/>
    <s v="P"/>
    <s v="-"/>
    <n v="2"/>
    <n v="1"/>
    <n v="2"/>
    <n v="0"/>
    <s v="-"/>
    <s v="-"/>
    <s v="-"/>
    <s v="-"/>
    <s v="-"/>
    <s v="-"/>
    <s v="-"/>
    <n v="5"/>
    <n v="6"/>
    <s v="-"/>
    <n v="1"/>
    <n v="1"/>
    <n v="2"/>
    <n v="2"/>
    <n v="7"/>
    <n v="8"/>
  </r>
  <r>
    <x v="1"/>
    <x v="31"/>
    <d v="1899-12-30T00:00:00"/>
    <s v="2ND"/>
    <d v="1899-12-30T17:00:00"/>
    <n v="2"/>
    <x v="38"/>
    <n v="6.4999999999999997E-3"/>
    <s v="P"/>
    <s v="P"/>
    <s v="P"/>
    <s v="-"/>
    <s v="-"/>
    <n v="10.83"/>
    <s v="-"/>
    <s v="-"/>
    <s v="-"/>
    <s v="-"/>
    <s v="-"/>
    <s v="-"/>
    <s v="-"/>
    <s v="-"/>
    <s v="P"/>
    <s v="P"/>
    <s v="-"/>
    <n v="2"/>
    <n v="1"/>
    <n v="2"/>
    <n v="0"/>
    <s v="-"/>
    <s v="-"/>
    <s v="-"/>
    <s v="-"/>
    <s v="-"/>
    <s v="-"/>
    <s v="-"/>
    <n v="5"/>
    <n v="6"/>
    <s v="-"/>
    <n v="1"/>
    <n v="1"/>
    <n v="2"/>
    <n v="2"/>
    <n v="7"/>
    <n v="8"/>
  </r>
  <r>
    <x v="1"/>
    <x v="31"/>
    <d v="1899-12-30T00:00:00"/>
    <s v="2ND"/>
    <d v="1899-12-30T18:00:00"/>
    <n v="2"/>
    <x v="38"/>
    <n v="5.0000000000000001E-3"/>
    <s v="P"/>
    <s v="P"/>
    <s v="P"/>
    <s v="-"/>
    <s v="-"/>
    <n v="11.03"/>
    <s v="-"/>
    <s v="-"/>
    <s v="-"/>
    <s v="-"/>
    <s v="-"/>
    <s v="-"/>
    <s v="-"/>
    <s v="-"/>
    <s v="P"/>
    <s v="P"/>
    <s v="-"/>
    <n v="2"/>
    <n v="1"/>
    <n v="2"/>
    <n v="1"/>
    <s v="-"/>
    <s v="-"/>
    <s v="-"/>
    <s v="-"/>
    <s v="-"/>
    <s v="-"/>
    <s v="-"/>
    <n v="6"/>
    <n v="6"/>
    <s v="-"/>
    <n v="1"/>
    <n v="1"/>
    <n v="2"/>
    <n v="2"/>
    <n v="8"/>
    <n v="8"/>
  </r>
  <r>
    <x v="1"/>
    <x v="31"/>
    <d v="1899-12-30T00:00:00"/>
    <s v="2ND"/>
    <d v="1899-12-30T19:00:00"/>
    <n v="2"/>
    <x v="38"/>
    <n v="4.7999999999999996E-3"/>
    <s v="P"/>
    <s v="P"/>
    <s v="P"/>
    <s v="-"/>
    <s v="-"/>
    <n v="10.61"/>
    <s v="-"/>
    <s v="-"/>
    <s v="-"/>
    <s v="-"/>
    <s v="-"/>
    <s v="-"/>
    <s v="-"/>
    <s v="-"/>
    <s v="P"/>
    <s v="P"/>
    <s v="-"/>
    <n v="2"/>
    <n v="1"/>
    <n v="2"/>
    <n v="0"/>
    <s v="-"/>
    <s v="-"/>
    <s v="-"/>
    <s v="-"/>
    <s v="-"/>
    <s v="-"/>
    <s v="-"/>
    <n v="5"/>
    <n v="6"/>
    <s v="-"/>
    <n v="1"/>
    <n v="1"/>
    <n v="2"/>
    <n v="2"/>
    <n v="7"/>
    <n v="8"/>
  </r>
  <r>
    <x v="1"/>
    <x v="31"/>
    <d v="1899-12-30T00:00:00"/>
    <s v="2ND"/>
    <d v="1899-12-30T20:00:00"/>
    <n v="2"/>
    <x v="38"/>
    <n v="1.5E-3"/>
    <s v="P"/>
    <s v="P"/>
    <s v="P"/>
    <s v="-"/>
    <s v="-"/>
    <n v="10.84"/>
    <s v="-"/>
    <s v="-"/>
    <s v="-"/>
    <s v="-"/>
    <s v="-"/>
    <s v="-"/>
    <s v="-"/>
    <s v="-"/>
    <s v="P"/>
    <s v="P"/>
    <s v="-"/>
    <n v="2"/>
    <n v="1"/>
    <n v="2"/>
    <n v="0"/>
    <s v="-"/>
    <s v="-"/>
    <s v="-"/>
    <s v="-"/>
    <s v="-"/>
    <s v="-"/>
    <s v="-"/>
    <n v="5"/>
    <n v="6"/>
    <s v="-"/>
    <n v="1"/>
    <n v="1"/>
    <n v="2"/>
    <n v="2"/>
    <n v="7"/>
    <n v="8"/>
  </r>
  <r>
    <x v="1"/>
    <x v="31"/>
    <d v="1899-12-30T00:00:00"/>
    <s v="2ND"/>
    <d v="1899-12-30T21:00:00"/>
    <n v="2"/>
    <x v="38"/>
    <n v="2.8999999999999998E-3"/>
    <s v="P"/>
    <s v="P"/>
    <s v="P"/>
    <s v="-"/>
    <s v="-"/>
    <n v="11.2"/>
    <s v="-"/>
    <s v="-"/>
    <s v="-"/>
    <s v="-"/>
    <s v="-"/>
    <s v="-"/>
    <s v="-"/>
    <s v="-"/>
    <s v="P"/>
    <s v="P"/>
    <s v="-"/>
    <n v="2"/>
    <n v="1"/>
    <n v="2"/>
    <n v="1"/>
    <s v="-"/>
    <s v="-"/>
    <s v="-"/>
    <s v="-"/>
    <s v="-"/>
    <s v="-"/>
    <s v="-"/>
    <n v="6"/>
    <n v="6"/>
    <s v="-"/>
    <n v="1"/>
    <n v="1"/>
    <n v="2"/>
    <n v="2"/>
    <n v="8"/>
    <n v="8"/>
  </r>
  <r>
    <x v="1"/>
    <x v="31"/>
    <s v="-"/>
    <s v="3RD"/>
    <d v="1899-12-30T22:00:00"/>
    <n v="1"/>
    <x v="38"/>
    <n v="6.7000000000000002E-3"/>
    <s v="P"/>
    <s v="P"/>
    <s v="P"/>
    <s v="-"/>
    <s v="-"/>
    <n v="11.39"/>
    <n v="8.49"/>
    <s v="-"/>
    <s v="-"/>
    <s v="-"/>
    <s v="-"/>
    <n v="22.78"/>
    <s v="-"/>
    <s v="-"/>
    <s v="P"/>
    <s v="P"/>
    <n v="1"/>
    <n v="2"/>
    <n v="1"/>
    <n v="2"/>
    <n v="1"/>
    <n v="0"/>
    <s v="-"/>
    <s v="-"/>
    <s v="-"/>
    <s v="-"/>
    <n v="2"/>
    <s v="-"/>
    <n v="8"/>
    <n v="9"/>
    <s v="-"/>
    <n v="1"/>
    <n v="1"/>
    <n v="2"/>
    <n v="2"/>
    <n v="10"/>
    <n v="11"/>
  </r>
  <r>
    <x v="1"/>
    <x v="31"/>
    <d v="2026-02-02T00:00:00"/>
    <s v="3RD"/>
    <d v="1899-12-31T00:00:00"/>
    <n v="1"/>
    <x v="38"/>
    <n v="6.0000000000000001E-3"/>
    <s v="P"/>
    <s v="P"/>
    <s v="P"/>
    <s v="-"/>
    <s v="-"/>
    <n v="11.42"/>
    <s v="-"/>
    <s v="-"/>
    <s v="-"/>
    <s v="-"/>
    <s v="-"/>
    <s v="-"/>
    <s v="-"/>
    <s v="-"/>
    <s v="P"/>
    <s v="P"/>
    <s v="-"/>
    <n v="2"/>
    <n v="1"/>
    <n v="2"/>
    <n v="1"/>
    <s v="-"/>
    <s v="-"/>
    <s v="-"/>
    <s v="-"/>
    <s v="-"/>
    <s v="-"/>
    <s v="-"/>
    <n v="6"/>
    <n v="6"/>
    <s v="-"/>
    <n v="1"/>
    <n v="1"/>
    <n v="2"/>
    <n v="2"/>
    <n v="8"/>
    <n v="8"/>
  </r>
  <r>
    <x v="1"/>
    <x v="31"/>
    <d v="2026-02-03T00:00:00"/>
    <s v="3RD"/>
    <d v="1899-12-31T01:00:00"/>
    <n v="1"/>
    <x v="38"/>
    <n v="1.3100000000000001E-2"/>
    <s v="P"/>
    <s v="P"/>
    <s v="P"/>
    <s v="-"/>
    <s v="-"/>
    <n v="11.32"/>
    <s v="-"/>
    <s v="-"/>
    <s v="-"/>
    <s v="-"/>
    <s v="-"/>
    <s v="-"/>
    <s v="-"/>
    <s v="-"/>
    <s v="P"/>
    <s v="P"/>
    <s v="-"/>
    <n v="2"/>
    <n v="1"/>
    <n v="2"/>
    <n v="1"/>
    <s v="-"/>
    <s v="-"/>
    <s v="-"/>
    <s v="-"/>
    <s v="-"/>
    <s v="-"/>
    <s v="-"/>
    <n v="6"/>
    <n v="6"/>
    <s v="-"/>
    <n v="1"/>
    <n v="1"/>
    <n v="2"/>
    <n v="2"/>
    <n v="8"/>
    <n v="8"/>
  </r>
  <r>
    <x v="1"/>
    <x v="31"/>
    <d v="2026-02-03T00:00:00"/>
    <s v="3RD"/>
    <d v="1899-12-31T02:00:00"/>
    <n v="1"/>
    <x v="38"/>
    <n v="1.5800000000000002E-2"/>
    <s v="P"/>
    <s v="P"/>
    <s v="P"/>
    <s v="-"/>
    <s v="-"/>
    <n v="11.19"/>
    <s v="-"/>
    <s v="-"/>
    <s v="-"/>
    <s v="-"/>
    <s v="-"/>
    <s v="-"/>
    <s v="-"/>
    <s v="-"/>
    <s v="P"/>
    <s v="P"/>
    <s v="-"/>
    <n v="2"/>
    <n v="1"/>
    <n v="2"/>
    <n v="1"/>
    <s v="-"/>
    <s v="-"/>
    <s v="-"/>
    <s v="-"/>
    <s v="-"/>
    <s v="-"/>
    <s v="-"/>
    <n v="6"/>
    <n v="6"/>
    <s v="-"/>
    <n v="1"/>
    <n v="1"/>
    <n v="2"/>
    <n v="2"/>
    <n v="8"/>
    <n v="8"/>
  </r>
  <r>
    <x v="1"/>
    <x v="31"/>
    <d v="2026-02-03T00:00:00"/>
    <s v="3RD"/>
    <d v="1899-12-31T03:00:00"/>
    <n v="1"/>
    <x v="38"/>
    <n v="0.01"/>
    <s v="P"/>
    <s v="P"/>
    <s v="P"/>
    <s v="-"/>
    <s v="-"/>
    <n v="11.42"/>
    <s v="-"/>
    <s v="-"/>
    <s v="-"/>
    <s v="-"/>
    <s v="-"/>
    <s v="-"/>
    <s v="-"/>
    <s v="-"/>
    <s v="P"/>
    <s v="P"/>
    <s v="-"/>
    <n v="2"/>
    <n v="1"/>
    <n v="2"/>
    <n v="1"/>
    <s v="-"/>
    <s v="-"/>
    <s v="-"/>
    <s v="-"/>
    <s v="-"/>
    <s v="-"/>
    <s v="-"/>
    <n v="6"/>
    <n v="6"/>
    <s v="-"/>
    <n v="1"/>
    <n v="1"/>
    <n v="2"/>
    <n v="2"/>
    <n v="8"/>
    <n v="8"/>
  </r>
  <r>
    <x v="1"/>
    <x v="31"/>
    <d v="2026-02-03T00:00:00"/>
    <s v="3RD"/>
    <d v="1899-12-31T04:00:00"/>
    <n v="1"/>
    <x v="38"/>
    <n v="1.0699999999999999E-2"/>
    <s v="P"/>
    <s v="P"/>
    <s v="P"/>
    <s v="-"/>
    <s v="-"/>
    <n v="11.39"/>
    <s v="-"/>
    <s v="-"/>
    <s v="-"/>
    <s v="-"/>
    <s v="-"/>
    <s v="-"/>
    <s v="-"/>
    <s v="-"/>
    <s v="P"/>
    <s v="P"/>
    <s v="-"/>
    <n v="2"/>
    <n v="1"/>
    <n v="2"/>
    <n v="1"/>
    <s v="-"/>
    <s v="-"/>
    <s v="-"/>
    <s v="-"/>
    <s v="-"/>
    <s v="-"/>
    <s v="-"/>
    <n v="6"/>
    <n v="6"/>
    <s v="-"/>
    <n v="1"/>
    <n v="1"/>
    <n v="2"/>
    <n v="2"/>
    <n v="8"/>
    <n v="8"/>
  </r>
  <r>
    <x v="1"/>
    <x v="31"/>
    <d v="1902-03-25T00:00:00"/>
    <s v="3RD"/>
    <d v="1899-12-30T22:00:00"/>
    <n v="2"/>
    <x v="38"/>
    <n v="8.0000000000000002E-3"/>
    <s v="P"/>
    <s v="P"/>
    <s v="P"/>
    <s v="-"/>
    <s v="-"/>
    <n v="11.16"/>
    <s v="-"/>
    <s v="-"/>
    <s v="-"/>
    <s v="-"/>
    <s v="-"/>
    <s v="-"/>
    <s v="-"/>
    <s v="-"/>
    <s v="P"/>
    <s v="P"/>
    <s v="-"/>
    <n v="2"/>
    <n v="1"/>
    <n v="2"/>
    <n v="1"/>
    <s v="-"/>
    <s v="-"/>
    <s v="-"/>
    <s v="-"/>
    <s v="-"/>
    <s v="-"/>
    <s v="-"/>
    <n v="6"/>
    <n v="6"/>
    <s v="-"/>
    <n v="1"/>
    <n v="1"/>
    <n v="2"/>
    <n v="2"/>
    <n v="8"/>
    <n v="8"/>
  </r>
  <r>
    <x v="1"/>
    <x v="31"/>
    <d v="1899-12-30T00:00:00"/>
    <s v="3RD"/>
    <d v="1899-12-31T00:00:00"/>
    <n v="2"/>
    <x v="38"/>
    <n v="8.2000000000000007E-3"/>
    <s v="P"/>
    <s v="P"/>
    <s v="P"/>
    <s v="-"/>
    <s v="-"/>
    <n v="10.96"/>
    <n v="8.5"/>
    <n v="0.44"/>
    <n v="59.1"/>
    <s v="-"/>
    <s v="-"/>
    <n v="22.92"/>
    <s v="-"/>
    <s v="-"/>
    <s v="P"/>
    <s v="P"/>
    <s v="-"/>
    <n v="2"/>
    <n v="1"/>
    <n v="2"/>
    <n v="0"/>
    <n v="1"/>
    <n v="0"/>
    <n v="0"/>
    <s v="-"/>
    <s v="-"/>
    <n v="2"/>
    <s v="-"/>
    <n v="8"/>
    <n v="13"/>
    <s v="-"/>
    <n v="1"/>
    <n v="1"/>
    <n v="2"/>
    <n v="2"/>
    <n v="10"/>
    <n v="15"/>
  </r>
  <r>
    <x v="1"/>
    <x v="31"/>
    <d v="1899-12-30T00:00:00"/>
    <s v="3RD"/>
    <d v="1899-12-31T01:00:00"/>
    <n v="2"/>
    <x v="38"/>
    <n v="1.1299999999999999E-2"/>
    <s v="P"/>
    <s v="P"/>
    <s v="P"/>
    <s v="-"/>
    <s v="-"/>
    <n v="11.14"/>
    <s v="-"/>
    <s v="-"/>
    <s v="-"/>
    <s v="-"/>
    <s v="-"/>
    <s v="-"/>
    <s v="-"/>
    <s v="-"/>
    <s v="P"/>
    <s v="P"/>
    <s v="-"/>
    <n v="2"/>
    <n v="1"/>
    <n v="2"/>
    <n v="1"/>
    <s v="-"/>
    <s v="-"/>
    <s v="-"/>
    <s v="-"/>
    <s v="-"/>
    <s v="-"/>
    <s v="-"/>
    <n v="6"/>
    <n v="6"/>
    <s v="-"/>
    <n v="1"/>
    <n v="1"/>
    <n v="2"/>
    <n v="2"/>
    <n v="8"/>
    <n v="8"/>
  </r>
  <r>
    <x v="1"/>
    <x v="31"/>
    <d v="1899-12-30T00:00:00"/>
    <s v="3RD"/>
    <d v="1899-12-31T02:00:00"/>
    <n v="2"/>
    <x v="38"/>
    <n v="1.01E-2"/>
    <s v="P"/>
    <s v="P"/>
    <s v="P"/>
    <s v="-"/>
    <s v="-"/>
    <n v="11.31"/>
    <s v="-"/>
    <s v="-"/>
    <s v="-"/>
    <s v="-"/>
    <s v="-"/>
    <s v="-"/>
    <s v="-"/>
    <s v="-"/>
    <s v="P"/>
    <s v="P"/>
    <s v="-"/>
    <n v="2"/>
    <n v="1"/>
    <n v="2"/>
    <n v="1"/>
    <s v="-"/>
    <s v="-"/>
    <s v="-"/>
    <s v="-"/>
    <s v="-"/>
    <s v="-"/>
    <s v="-"/>
    <n v="6"/>
    <n v="6"/>
    <s v="-"/>
    <n v="1"/>
    <n v="1"/>
    <n v="2"/>
    <n v="2"/>
    <n v="8"/>
    <n v="8"/>
  </r>
  <r>
    <x v="1"/>
    <x v="31"/>
    <d v="1899-12-30T00:00:00"/>
    <s v="3RD"/>
    <d v="1899-12-31T03:00:00"/>
    <n v="2"/>
    <x v="38"/>
    <n v="0.01"/>
    <s v="P"/>
    <s v="P"/>
    <s v="P"/>
    <s v="-"/>
    <s v="-"/>
    <n v="11.26"/>
    <s v="-"/>
    <s v="-"/>
    <s v="-"/>
    <s v="-"/>
    <s v="-"/>
    <s v="-"/>
    <s v="-"/>
    <s v="-"/>
    <s v="P"/>
    <s v="P"/>
    <s v="-"/>
    <n v="2"/>
    <n v="1"/>
    <n v="2"/>
    <n v="1"/>
    <s v="-"/>
    <s v="-"/>
    <s v="-"/>
    <s v="-"/>
    <s v="-"/>
    <s v="-"/>
    <s v="-"/>
    <n v="6"/>
    <n v="6"/>
    <s v="-"/>
    <n v="1"/>
    <n v="1"/>
    <n v="2"/>
    <n v="2"/>
    <n v="8"/>
    <n v="8"/>
  </r>
  <r>
    <x v="1"/>
    <x v="31"/>
    <d v="1899-12-30T00:00:00"/>
    <s v="3RD"/>
    <d v="1899-12-31T04:00:00"/>
    <n v="2"/>
    <x v="38"/>
    <n v="8.3999999999999995E-3"/>
    <s v="P"/>
    <s v="P"/>
    <s v="P"/>
    <s v="-"/>
    <s v="-"/>
    <n v="11.05"/>
    <s v="-"/>
    <s v="-"/>
    <s v="-"/>
    <s v="-"/>
    <s v="-"/>
    <s v="-"/>
    <s v="-"/>
    <s v="-"/>
    <s v="P"/>
    <s v="P"/>
    <s v="-"/>
    <n v="2"/>
    <n v="1"/>
    <n v="2"/>
    <n v="1"/>
    <s v="-"/>
    <s v="-"/>
    <s v="-"/>
    <s v="-"/>
    <s v="-"/>
    <s v="-"/>
    <s v="-"/>
    <n v="6"/>
    <n v="6"/>
    <s v="-"/>
    <n v="1"/>
    <n v="1"/>
    <n v="2"/>
    <n v="2"/>
    <n v="8"/>
    <n v="8"/>
  </r>
  <r>
    <x v="1"/>
    <x v="31"/>
    <d v="1899-12-30T00:00:00"/>
    <s v="3RD"/>
    <d v="1899-12-31T05:00:00"/>
    <n v="2"/>
    <x v="38"/>
    <n v="9.1999999999999998E-3"/>
    <s v="P"/>
    <s v="P"/>
    <s v="P"/>
    <s v="-"/>
    <s v="-"/>
    <n v="11.34"/>
    <s v="-"/>
    <s v="-"/>
    <s v="-"/>
    <s v="-"/>
    <s v="-"/>
    <s v="-"/>
    <s v="-"/>
    <s v="-"/>
    <s v="P"/>
    <s v="P"/>
    <s v="-"/>
    <n v="2"/>
    <n v="1"/>
    <n v="2"/>
    <n v="1"/>
    <s v="-"/>
    <s v="-"/>
    <s v="-"/>
    <s v="-"/>
    <s v="-"/>
    <s v="-"/>
    <s v="-"/>
    <n v="6"/>
    <n v="6"/>
    <s v="-"/>
    <n v="1"/>
    <n v="1"/>
    <n v="2"/>
    <n v="2"/>
    <n v="8"/>
    <n v="8"/>
  </r>
  <r>
    <x v="1"/>
    <x v="32"/>
    <d v="2026-02-05T00:00:00"/>
    <s v="1ST"/>
    <s v="06:00"/>
    <n v="3"/>
    <x v="6"/>
    <n v="4.4999999999999997E-3"/>
    <s v="P"/>
    <s v="P"/>
    <s v="P"/>
    <s v="+"/>
    <s v="+"/>
    <n v="12.47"/>
    <n v="12.57"/>
    <n v="0.57999999999999996"/>
    <n v="64"/>
    <s v="-"/>
    <s v="-"/>
    <n v="35.200000000000003"/>
    <s v="-"/>
    <n v="25.12"/>
    <s v="P"/>
    <s v="P"/>
    <s v="80% 20%"/>
    <n v="2"/>
    <n v="1"/>
    <n v="2"/>
    <n v="1"/>
    <n v="1"/>
    <n v="2"/>
    <n v="2"/>
    <s v="-"/>
    <s v="-"/>
    <n v="2"/>
    <s v="-"/>
    <n v="13"/>
    <n v="13"/>
    <n v="1"/>
    <n v="1"/>
    <n v="1"/>
    <n v="3"/>
    <n v="3"/>
    <n v="16"/>
    <n v="16"/>
  </r>
  <r>
    <x v="1"/>
    <x v="32"/>
    <d v="2026-02-05T00:00:00"/>
    <s v="1ST"/>
    <s v="08:00"/>
    <n v="3"/>
    <x v="6"/>
    <n v="9.7999999999999997E-3"/>
    <s v="P"/>
    <s v="P"/>
    <s v="P"/>
    <s v="+"/>
    <s v="+"/>
    <n v="12.79"/>
    <s v="-"/>
    <s v="-"/>
    <s v="-"/>
    <s v="-"/>
    <s v="-"/>
    <s v="-"/>
    <s v="-"/>
    <s v="-"/>
    <s v="P"/>
    <s v="P"/>
    <s v="-"/>
    <n v="2"/>
    <n v="1"/>
    <n v="2"/>
    <n v="1"/>
    <s v="-"/>
    <s v="-"/>
    <s v="-"/>
    <s v="-"/>
    <s v="-"/>
    <s v="-"/>
    <s v="-"/>
    <n v="6"/>
    <n v="6"/>
    <s v="-"/>
    <n v="1"/>
    <n v="1"/>
    <n v="2"/>
    <n v="2"/>
    <n v="8"/>
    <n v="8"/>
  </r>
  <r>
    <x v="1"/>
    <x v="32"/>
    <d v="2026-01-28T00:00:00"/>
    <s v="3RD"/>
    <d v="1899-12-30T22:00:00"/>
    <n v="3"/>
    <x v="6"/>
    <n v="8.3999999999999995E-3"/>
    <s v="P"/>
    <s v="P"/>
    <s v="P"/>
    <s v="+"/>
    <s v="+"/>
    <n v="12.86"/>
    <n v="12.68"/>
    <s v="-"/>
    <n v="64.2"/>
    <s v="-"/>
    <s v="-"/>
    <n v="35.299999999999997"/>
    <s v="-"/>
    <s v="-"/>
    <s v="P"/>
    <s v="P"/>
    <s v="80% 20%"/>
    <n v="2"/>
    <n v="1"/>
    <n v="2"/>
    <n v="1"/>
    <n v="1"/>
    <s v="-"/>
    <n v="2"/>
    <s v="-"/>
    <s v="-"/>
    <n v="2"/>
    <s v="-"/>
    <n v="11"/>
    <n v="11"/>
    <s v="-"/>
    <n v="1"/>
    <n v="1"/>
    <n v="2"/>
    <n v="2"/>
    <n v="13"/>
    <n v="13"/>
  </r>
  <r>
    <x v="1"/>
    <x v="32"/>
    <d v="2026-01-28T00:00:00"/>
    <s v="3RD"/>
    <d v="1899-12-30T23:00:00"/>
    <n v="3"/>
    <x v="6"/>
    <n v="7.4000000000000003E-3"/>
    <s v="P"/>
    <s v="P"/>
    <s v="P"/>
    <s v="+"/>
    <s v="+"/>
    <n v="12.93"/>
    <s v="-"/>
    <s v="-"/>
    <s v="-"/>
    <s v="-"/>
    <s v="-"/>
    <s v="-"/>
    <s v="-"/>
    <s v="-"/>
    <s v="P"/>
    <s v="P"/>
    <s v="-"/>
    <n v="2"/>
    <n v="1"/>
    <n v="2"/>
    <n v="1"/>
    <s v="-"/>
    <s v="-"/>
    <s v="-"/>
    <s v="-"/>
    <s v="-"/>
    <s v="-"/>
    <s v="-"/>
    <n v="6"/>
    <n v="6"/>
    <s v="-"/>
    <n v="1"/>
    <n v="1"/>
    <n v="2"/>
    <n v="2"/>
    <n v="8"/>
    <n v="8"/>
  </r>
  <r>
    <x v="1"/>
    <x v="32"/>
    <d v="2026-01-28T00:00:00"/>
    <s v="3RD"/>
    <d v="1899-12-31T00:00:00"/>
    <n v="3"/>
    <x v="6"/>
    <n v="1.0200000000000001E-2"/>
    <s v="P"/>
    <s v="P"/>
    <s v="P"/>
    <s v="+"/>
    <s v="+"/>
    <n v="13.07"/>
    <s v="-"/>
    <s v="-"/>
    <s v="-"/>
    <s v="-"/>
    <s v="-"/>
    <s v="-"/>
    <s v="-"/>
    <s v="-"/>
    <s v="P"/>
    <s v="P"/>
    <s v="-"/>
    <n v="2"/>
    <n v="1"/>
    <n v="2"/>
    <n v="1"/>
    <s v="-"/>
    <s v="-"/>
    <s v="-"/>
    <s v="-"/>
    <s v="-"/>
    <s v="-"/>
    <s v="-"/>
    <n v="6"/>
    <n v="6"/>
    <s v="-"/>
    <n v="1"/>
    <n v="1"/>
    <n v="2"/>
    <n v="2"/>
    <n v="8"/>
    <n v="8"/>
  </r>
  <r>
    <x v="1"/>
    <x v="32"/>
    <d v="2026-01-28T00:00:00"/>
    <s v="3RD"/>
    <d v="1899-12-31T01:00:00"/>
    <n v="3"/>
    <x v="6"/>
    <s v="-"/>
    <s v="P"/>
    <s v="P"/>
    <s v="P"/>
    <s v="+"/>
    <s v="+"/>
    <n v="12.89"/>
    <s v="-"/>
    <s v="-"/>
    <s v="-"/>
    <s v="-"/>
    <s v="-"/>
    <s v="-"/>
    <s v="-"/>
    <s v="-"/>
    <s v="P"/>
    <s v="P"/>
    <s v="-"/>
    <s v="-"/>
    <n v="1"/>
    <n v="2"/>
    <n v="1"/>
    <s v="-"/>
    <s v="-"/>
    <s v="-"/>
    <s v="-"/>
    <s v="-"/>
    <s v="-"/>
    <s v="-"/>
    <n v="4"/>
    <n v="4"/>
    <s v="-"/>
    <n v="1"/>
    <n v="1"/>
    <n v="2"/>
    <n v="2"/>
    <n v="6"/>
    <n v="6"/>
  </r>
  <r>
    <x v="1"/>
    <x v="32"/>
    <d v="2026-01-28T00:00:00"/>
    <s v="3RD"/>
    <d v="1899-12-31T02:00:00"/>
    <n v="3"/>
    <x v="6"/>
    <n v="1.83E-2"/>
    <s v="P"/>
    <s v="P"/>
    <s v="P"/>
    <s v="+"/>
    <s v="+"/>
    <n v="12.89"/>
    <s v="-"/>
    <s v="-"/>
    <s v="-"/>
    <s v="-"/>
    <s v="-"/>
    <s v="-"/>
    <s v="-"/>
    <s v="-"/>
    <s v="P"/>
    <s v="P"/>
    <s v="-"/>
    <n v="2"/>
    <n v="1"/>
    <n v="2"/>
    <n v="1"/>
    <s v="-"/>
    <s v="-"/>
    <s v="-"/>
    <s v="-"/>
    <s v="-"/>
    <s v="-"/>
    <s v="-"/>
    <n v="6"/>
    <n v="6"/>
    <s v="-"/>
    <n v="1"/>
    <n v="1"/>
    <n v="2"/>
    <n v="2"/>
    <n v="8"/>
    <n v="8"/>
  </r>
  <r>
    <x v="1"/>
    <x v="32"/>
    <d v="2026-02-04T00:00:00"/>
    <s v="1ST"/>
    <s v="12:00"/>
    <s v="Retail"/>
    <x v="24"/>
    <s v="-"/>
    <s v="P"/>
    <s v="P"/>
    <s v="P"/>
    <s v="-"/>
    <s v="-"/>
    <n v="12.34"/>
    <n v="16.88"/>
    <s v="-"/>
    <n v="73.14"/>
    <n v="11.43"/>
    <n v="289"/>
    <n v="48.29"/>
    <s v="-"/>
    <s v="-"/>
    <s v="P"/>
    <s v="P"/>
    <s v="-"/>
    <s v="-"/>
    <n v="1"/>
    <n v="2"/>
    <n v="1"/>
    <n v="0"/>
    <s v="-"/>
    <s v="-"/>
    <s v="-"/>
    <s v="-"/>
    <s v="-"/>
    <s v="-"/>
    <n v="4"/>
    <n v="5"/>
    <s v="-"/>
    <n v="1"/>
    <n v="1"/>
    <n v="2"/>
    <n v="2"/>
    <n v="6"/>
    <n v="7"/>
  </r>
  <r>
    <x v="1"/>
    <x v="32"/>
    <d v="2026-02-04T00:00:00"/>
    <s v="1ST"/>
    <s v="09:00"/>
    <s v="Retail"/>
    <x v="19"/>
    <s v="-"/>
    <s v="P"/>
    <s v="P"/>
    <s v="P"/>
    <s v="-"/>
    <s v="-"/>
    <n v="12.09"/>
    <n v="17.600000000000001"/>
    <n v="1.68"/>
    <n v="71.56"/>
    <n v="9.89"/>
    <n v="385"/>
    <n v="50.57"/>
    <s v="-"/>
    <s v="-"/>
    <s v="P"/>
    <s v="P"/>
    <s v="-"/>
    <s v="-"/>
    <n v="1"/>
    <n v="2"/>
    <n v="1"/>
    <n v="1"/>
    <n v="0"/>
    <n v="2"/>
    <n v="0"/>
    <n v="0"/>
    <n v="2"/>
    <s v="-"/>
    <n v="9"/>
    <n v="13"/>
    <s v="-"/>
    <n v="1"/>
    <n v="1"/>
    <n v="2"/>
    <n v="2"/>
    <n v="11"/>
    <n v="15"/>
  </r>
  <r>
    <x v="1"/>
    <x v="32"/>
    <d v="2026-02-10T00:00:00"/>
    <s v="1ST"/>
    <s v="10:00"/>
    <n v="3"/>
    <x v="8"/>
    <n v="4.5999999999999999E-3"/>
    <s v="P"/>
    <s v="P"/>
    <s v="P"/>
    <s v="+"/>
    <s v="+"/>
    <n v="13.42"/>
    <n v="12.86"/>
    <n v="0.56000000000000005"/>
    <n v="64"/>
    <s v="-"/>
    <s v="-"/>
    <n v="35.9"/>
    <s v="-"/>
    <s v="-"/>
    <s v="P"/>
    <s v="P"/>
    <n v="1"/>
    <n v="2"/>
    <n v="1"/>
    <n v="2"/>
    <n v="1"/>
    <n v="1"/>
    <n v="2"/>
    <n v="2"/>
    <s v="-"/>
    <s v="-"/>
    <s v="-"/>
    <s v="-"/>
    <n v="11"/>
    <n v="11"/>
    <s v="-"/>
    <n v="1"/>
    <n v="1"/>
    <n v="2"/>
    <n v="2"/>
    <n v="13"/>
    <n v="13"/>
  </r>
  <r>
    <x v="1"/>
    <x v="32"/>
    <d v="2026-02-10T00:00:00"/>
    <s v="1ST"/>
    <s v="11:00"/>
    <n v="3"/>
    <x v="8"/>
    <n v="7.9000000000000008E-3"/>
    <s v="P"/>
    <s v="P"/>
    <s v="P"/>
    <s v="+"/>
    <s v="+"/>
    <n v="13.55"/>
    <s v="-"/>
    <s v="-"/>
    <s v="-"/>
    <s v="-"/>
    <s v="-"/>
    <s v="-"/>
    <s v="-"/>
    <s v="-"/>
    <s v="P"/>
    <s v="P"/>
    <s v="-"/>
    <n v="2"/>
    <n v="1"/>
    <n v="2"/>
    <n v="0"/>
    <s v="-"/>
    <s v="-"/>
    <s v="-"/>
    <s v="-"/>
    <s v="-"/>
    <s v="-"/>
    <s v="-"/>
    <n v="5"/>
    <n v="6"/>
    <s v="-"/>
    <n v="1"/>
    <n v="1"/>
    <n v="2"/>
    <n v="2"/>
    <n v="7"/>
    <n v="8"/>
  </r>
  <r>
    <x v="1"/>
    <x v="32"/>
    <d v="2026-02-10T00:00:00"/>
    <s v="1ST"/>
    <s v="12:00"/>
    <n v="3"/>
    <x v="8"/>
    <n v="4.4000000000000003E-3"/>
    <s v="P"/>
    <s v="P"/>
    <s v="P"/>
    <s v="+"/>
    <s v="+"/>
    <n v="13.45"/>
    <s v="-"/>
    <s v="-"/>
    <s v="-"/>
    <s v="-"/>
    <s v="-"/>
    <s v="-"/>
    <s v="-"/>
    <s v="-"/>
    <s v="P"/>
    <s v="P"/>
    <s v="-"/>
    <n v="2"/>
    <n v="1"/>
    <n v="2"/>
    <n v="1"/>
    <s v="-"/>
    <s v="-"/>
    <s v="-"/>
    <s v="-"/>
    <s v="-"/>
    <s v="-"/>
    <s v="-"/>
    <n v="6"/>
    <n v="6"/>
    <s v="-"/>
    <n v="1"/>
    <n v="1"/>
    <n v="2"/>
    <n v="2"/>
    <n v="8"/>
    <n v="8"/>
  </r>
  <r>
    <x v="1"/>
    <x v="32"/>
    <s v="-"/>
    <s v="3RD"/>
    <d v="1899-12-30T22:00:00"/>
    <n v="1"/>
    <x v="20"/>
    <n v="6.7999999999999996E-3"/>
    <s v="P"/>
    <s v="P"/>
    <s v="P"/>
    <s v="-"/>
    <s v="-"/>
    <n v="12.89"/>
    <n v="13.07"/>
    <s v="-"/>
    <s v="-"/>
    <n v="20.3"/>
    <n v="439"/>
    <n v="35.299999999999997"/>
    <s v="-"/>
    <s v="-"/>
    <s v="P"/>
    <s v="P"/>
    <s v="80% 20%"/>
    <n v="2"/>
    <n v="1"/>
    <n v="2"/>
    <n v="1"/>
    <n v="1"/>
    <s v="-"/>
    <s v="-"/>
    <s v="-"/>
    <s v="-"/>
    <n v="2"/>
    <s v="-"/>
    <n v="9"/>
    <n v="9"/>
    <s v="-"/>
    <n v="1"/>
    <n v="1"/>
    <n v="2"/>
    <n v="2"/>
    <n v="11"/>
    <n v="11"/>
  </r>
  <r>
    <x v="1"/>
    <x v="32"/>
    <d v="2026-02-05T00:00:00"/>
    <s v="3RD"/>
    <d v="1899-12-30T23:00:00"/>
    <n v="1"/>
    <x v="20"/>
    <n v="6.7999999999999996E-3"/>
    <s v="P"/>
    <s v="P"/>
    <s v="P"/>
    <s v="-"/>
    <s v="-"/>
    <n v="12.95"/>
    <s v="-"/>
    <s v="-"/>
    <s v="-"/>
    <s v="-"/>
    <s v="-"/>
    <s v="-"/>
    <s v="-"/>
    <s v="-"/>
    <s v="P"/>
    <s v="P"/>
    <s v="-"/>
    <n v="2"/>
    <n v="1"/>
    <n v="2"/>
    <n v="1"/>
    <s v="-"/>
    <s v="-"/>
    <s v="-"/>
    <s v="-"/>
    <s v="-"/>
    <s v="-"/>
    <s v="-"/>
    <n v="6"/>
    <n v="6"/>
    <s v="-"/>
    <n v="1"/>
    <n v="1"/>
    <n v="2"/>
    <n v="2"/>
    <n v="8"/>
    <n v="8"/>
  </r>
  <r>
    <x v="1"/>
    <x v="32"/>
    <d v="2026-02-05T00:00:00"/>
    <s v="3RD"/>
    <d v="1899-12-31T00:00:00"/>
    <n v="1"/>
    <x v="20"/>
    <n v="1.32E-2"/>
    <s v="P"/>
    <s v="P"/>
    <s v="P"/>
    <s v="-"/>
    <s v="-"/>
    <n v="12.91"/>
    <s v="-"/>
    <s v="-"/>
    <s v="-"/>
    <s v="-"/>
    <s v="-"/>
    <s v="-"/>
    <s v="-"/>
    <s v="-"/>
    <s v="P"/>
    <s v="P"/>
    <s v="-"/>
    <n v="2"/>
    <n v="1"/>
    <n v="2"/>
    <n v="1"/>
    <s v="-"/>
    <s v="-"/>
    <s v="-"/>
    <s v="-"/>
    <s v="-"/>
    <s v="-"/>
    <s v="-"/>
    <n v="6"/>
    <n v="6"/>
    <s v="-"/>
    <n v="1"/>
    <n v="1"/>
    <n v="2"/>
    <n v="2"/>
    <n v="8"/>
    <n v="8"/>
  </r>
  <r>
    <x v="1"/>
    <x v="32"/>
    <d v="2026-02-05T00:00:00"/>
    <s v="3RD"/>
    <d v="1899-12-31T01:00:00"/>
    <n v="1"/>
    <x v="20"/>
    <n v="1.24E-2"/>
    <s v="P"/>
    <s v="P"/>
    <s v="P"/>
    <s v="-"/>
    <s v="-"/>
    <n v="12.61"/>
    <s v="-"/>
    <s v="-"/>
    <s v="-"/>
    <s v="-"/>
    <s v="-"/>
    <s v="-"/>
    <s v="-"/>
    <s v="-"/>
    <s v="P"/>
    <s v="P"/>
    <s v="-"/>
    <n v="2"/>
    <n v="1"/>
    <n v="2"/>
    <n v="1"/>
    <s v="-"/>
    <s v="-"/>
    <s v="-"/>
    <s v="-"/>
    <s v="-"/>
    <s v="-"/>
    <s v="-"/>
    <n v="6"/>
    <n v="6"/>
    <s v="-"/>
    <n v="1"/>
    <n v="1"/>
    <n v="2"/>
    <n v="2"/>
    <n v="8"/>
    <n v="8"/>
  </r>
  <r>
    <x v="1"/>
    <x v="32"/>
    <d v="2026-02-05T00:00:00"/>
    <s v="3RD"/>
    <d v="1899-12-31T04:00:00"/>
    <n v="1"/>
    <x v="20"/>
    <n v="7.4000000000000003E-3"/>
    <s v="P"/>
    <s v="P"/>
    <s v="P"/>
    <s v="-"/>
    <s v="-"/>
    <n v="12.68"/>
    <s v="-"/>
    <s v="-"/>
    <s v="-"/>
    <s v="-"/>
    <s v="-"/>
    <s v="-"/>
    <s v="-"/>
    <s v="-"/>
    <s v="P"/>
    <s v="P"/>
    <s v="-"/>
    <n v="2"/>
    <n v="1"/>
    <n v="2"/>
    <n v="1"/>
    <s v="-"/>
    <s v="-"/>
    <s v="-"/>
    <s v="-"/>
    <s v="-"/>
    <s v="-"/>
    <s v="-"/>
    <n v="6"/>
    <n v="6"/>
    <s v="-"/>
    <n v="1"/>
    <n v="1"/>
    <n v="2"/>
    <n v="2"/>
    <n v="8"/>
    <n v="8"/>
  </r>
  <r>
    <x v="1"/>
    <x v="32"/>
    <d v="2026-02-05T00:00:00"/>
    <s v="3RD"/>
    <d v="1899-12-31T05:00:00"/>
    <n v="1"/>
    <x v="20"/>
    <n v="7.1000000000000004E-3"/>
    <s v="P"/>
    <s v="P"/>
    <s v="P"/>
    <s v="-"/>
    <s v="-"/>
    <n v="13.02"/>
    <s v="-"/>
    <s v="-"/>
    <s v="-"/>
    <s v="-"/>
    <s v="-"/>
    <s v="-"/>
    <s v="-"/>
    <s v="-"/>
    <s v="P"/>
    <s v="P"/>
    <s v="-"/>
    <n v="2"/>
    <n v="1"/>
    <n v="2"/>
    <n v="1"/>
    <s v="-"/>
    <s v="-"/>
    <s v="-"/>
    <s v="-"/>
    <s v="-"/>
    <s v="-"/>
    <s v="-"/>
    <n v="6"/>
    <n v="6"/>
    <s v="-"/>
    <n v="1"/>
    <n v="1"/>
    <n v="2"/>
    <n v="2"/>
    <n v="8"/>
    <n v="8"/>
  </r>
  <r>
    <x v="1"/>
    <x v="32"/>
    <d v="2026-02-03T00:00:00"/>
    <s v="1ST"/>
    <s v="11:00"/>
    <n v="1"/>
    <x v="22"/>
    <n v="6.7999999999999996E-3"/>
    <s v="P"/>
    <s v="P"/>
    <s v="P"/>
    <s v="-"/>
    <s v="-"/>
    <n v="11.27"/>
    <n v="8.4499999999999993"/>
    <n v="0.56000000000000005"/>
    <n v="54.9"/>
    <s v="-"/>
    <s v="-"/>
    <n v="22.78"/>
    <s v="-"/>
    <s v="-"/>
    <s v="P"/>
    <s v="P"/>
    <n v="1"/>
    <n v="2"/>
    <n v="1"/>
    <n v="2"/>
    <n v="1"/>
    <n v="0"/>
    <n v="2"/>
    <n v="2"/>
    <s v="-"/>
    <s v="-"/>
    <n v="2"/>
    <s v="-"/>
    <n v="12"/>
    <n v="13"/>
    <s v="-"/>
    <n v="1"/>
    <n v="1"/>
    <n v="2"/>
    <n v="2"/>
    <n v="14"/>
    <n v="15"/>
  </r>
  <r>
    <x v="1"/>
    <x v="32"/>
    <d v="2026-02-03T00:00:00"/>
    <s v="1ST"/>
    <s v="12:00"/>
    <n v="1"/>
    <x v="22"/>
    <n v="8.2000000000000007E-3"/>
    <s v="P"/>
    <s v="P"/>
    <s v="P"/>
    <s v="-"/>
    <s v="-"/>
    <n v="11.26"/>
    <s v="-"/>
    <s v="-"/>
    <s v="-"/>
    <s v="-"/>
    <s v="-"/>
    <s v="-"/>
    <s v="-"/>
    <s v="-"/>
    <s v="P"/>
    <s v="P"/>
    <s v="-"/>
    <n v="2"/>
    <n v="1"/>
    <n v="2"/>
    <n v="1"/>
    <s v="-"/>
    <s v="-"/>
    <s v="-"/>
    <s v="-"/>
    <s v="-"/>
    <s v="-"/>
    <s v="-"/>
    <n v="6"/>
    <n v="6"/>
    <s v="-"/>
    <n v="1"/>
    <n v="1"/>
    <n v="2"/>
    <n v="2"/>
    <n v="8"/>
    <n v="8"/>
  </r>
  <r>
    <x v="1"/>
    <x v="32"/>
    <d v="1902-03-25T00:00:00"/>
    <s v="1ST"/>
    <s v="06:00"/>
    <n v="2"/>
    <x v="38"/>
    <n v="8.6E-3"/>
    <s v="P"/>
    <s v="P"/>
    <s v="P"/>
    <s v="-"/>
    <s v="-"/>
    <n v="10.96"/>
    <n v="8.4499999999999993"/>
    <n v="0.56000000000000005"/>
    <n v="54.9"/>
    <s v="-"/>
    <s v="-"/>
    <n v="22.78"/>
    <s v="-"/>
    <n v="25.15"/>
    <s v="P"/>
    <s v="P"/>
    <s v="-"/>
    <n v="2"/>
    <n v="1"/>
    <n v="2"/>
    <n v="0"/>
    <n v="0"/>
    <n v="2"/>
    <n v="2"/>
    <s v="-"/>
    <s v="-"/>
    <n v="2"/>
    <s v="-"/>
    <n v="11"/>
    <n v="13"/>
    <n v="1"/>
    <n v="1"/>
    <n v="1"/>
    <n v="3"/>
    <n v="3"/>
    <n v="14"/>
    <n v="16"/>
  </r>
  <r>
    <x v="1"/>
    <x v="32"/>
    <d v="1899-12-30T00:00:00"/>
    <s v="1ST"/>
    <s v="07:00"/>
    <n v="2"/>
    <x v="38"/>
    <n v="9.4999999999999998E-3"/>
    <s v="P"/>
    <s v="P"/>
    <s v="P"/>
    <s v="-"/>
    <s v="-"/>
    <n v="11.01"/>
    <s v="-"/>
    <s v="-"/>
    <s v="-"/>
    <s v="-"/>
    <s v="-"/>
    <s v="-"/>
    <s v="-"/>
    <s v="-"/>
    <s v="P"/>
    <s v="P"/>
    <s v="-"/>
    <n v="2"/>
    <n v="1"/>
    <n v="2"/>
    <n v="1"/>
    <s v="-"/>
    <s v="-"/>
    <s v="-"/>
    <s v="-"/>
    <s v="-"/>
    <s v="-"/>
    <s v="-"/>
    <n v="6"/>
    <n v="6"/>
    <s v="-"/>
    <n v="1"/>
    <n v="1"/>
    <n v="2"/>
    <n v="2"/>
    <n v="8"/>
    <n v="8"/>
  </r>
  <r>
    <x v="1"/>
    <x v="32"/>
    <d v="1899-12-30T00:00:00"/>
    <s v="1ST"/>
    <s v="08:00"/>
    <n v="2"/>
    <x v="38"/>
    <n v="1.0999999999999999E-2"/>
    <s v="P"/>
    <s v="P"/>
    <s v="P"/>
    <s v="-"/>
    <s v="-"/>
    <n v="11.28"/>
    <s v="-"/>
    <s v="-"/>
    <s v="-"/>
    <s v="-"/>
    <s v="-"/>
    <s v="-"/>
    <s v="-"/>
    <s v="-"/>
    <s v="P"/>
    <s v="P"/>
    <s v="-"/>
    <n v="2"/>
    <n v="1"/>
    <n v="2"/>
    <n v="1"/>
    <s v="-"/>
    <s v="-"/>
    <s v="-"/>
    <s v="-"/>
    <s v="-"/>
    <s v="-"/>
    <s v="-"/>
    <n v="6"/>
    <n v="6"/>
    <s v="-"/>
    <n v="1"/>
    <n v="1"/>
    <n v="2"/>
    <n v="2"/>
    <n v="8"/>
    <n v="8"/>
  </r>
  <r>
    <x v="1"/>
    <x v="32"/>
    <d v="1899-12-30T00:00:00"/>
    <s v="1ST"/>
    <s v="09:00"/>
    <n v="2"/>
    <x v="38"/>
    <n v="1.26E-2"/>
    <s v="P"/>
    <s v="P"/>
    <s v="P"/>
    <s v="-"/>
    <s v="-"/>
    <n v="11.13"/>
    <s v="-"/>
    <s v="-"/>
    <s v="-"/>
    <s v="-"/>
    <s v="-"/>
    <s v="-"/>
    <s v="-"/>
    <s v="-"/>
    <s v="P"/>
    <s v="P"/>
    <s v="-"/>
    <n v="2"/>
    <n v="1"/>
    <n v="2"/>
    <n v="1"/>
    <s v="-"/>
    <s v="-"/>
    <s v="-"/>
    <s v="-"/>
    <s v="-"/>
    <s v="-"/>
    <s v="-"/>
    <n v="6"/>
    <n v="6"/>
    <s v="-"/>
    <n v="1"/>
    <n v="1"/>
    <n v="2"/>
    <n v="2"/>
    <n v="8"/>
    <n v="8"/>
  </r>
  <r>
    <x v="1"/>
    <x v="33"/>
    <d v="1902-03-26T00:00:00"/>
    <s v="3RD"/>
    <d v="1899-12-31T03:00:00"/>
    <n v="2"/>
    <x v="17"/>
    <n v="7.0000000000000001E-3"/>
    <s v="P"/>
    <s v="P"/>
    <s v="P"/>
    <s v="-"/>
    <s v="+"/>
    <n v="10.73"/>
    <n v="8.49"/>
    <s v="-"/>
    <n v="56"/>
    <n v="8.4"/>
    <n v="645"/>
    <n v="22.92"/>
    <s v="-"/>
    <s v="-"/>
    <s v="P"/>
    <s v="P"/>
    <s v="-"/>
    <n v="2"/>
    <n v="1"/>
    <n v="2"/>
    <n v="0"/>
    <n v="1"/>
    <s v="-"/>
    <n v="2"/>
    <n v="0"/>
    <n v="1"/>
    <n v="2"/>
    <s v="-"/>
    <n v="11"/>
    <n v="13"/>
    <s v="-"/>
    <n v="1"/>
    <n v="1"/>
    <n v="2"/>
    <n v="2"/>
    <n v="13"/>
    <n v="15"/>
  </r>
  <r>
    <x v="1"/>
    <x v="33"/>
    <d v="2026-02-05T00:00:00"/>
    <s v="1ST"/>
    <s v="12:00"/>
    <s v="Retail"/>
    <x v="25"/>
    <s v="-"/>
    <s v="P"/>
    <s v="P"/>
    <s v="P"/>
    <s v="+"/>
    <s v="+"/>
    <n v="12.5"/>
    <n v="17.059999999999999"/>
    <s v="-"/>
    <n v="69.13"/>
    <n v="1.81"/>
    <n v="391"/>
    <n v="48.93"/>
    <s v="-"/>
    <s v="-"/>
    <s v="P"/>
    <s v="P"/>
    <s v="-"/>
    <s v="-"/>
    <n v="1"/>
    <n v="2"/>
    <n v="1"/>
    <n v="1"/>
    <s v="-"/>
    <n v="2"/>
    <n v="0"/>
    <n v="0"/>
    <n v="2"/>
    <s v="-"/>
    <n v="9"/>
    <n v="11"/>
    <s v="-"/>
    <n v="1"/>
    <n v="1"/>
    <n v="2"/>
    <n v="2"/>
    <n v="11"/>
    <n v="13"/>
  </r>
  <r>
    <x v="1"/>
    <x v="33"/>
    <d v="2026-02-05T00:00:00"/>
    <s v="1ST"/>
    <s v="08:00"/>
    <s v="Retail"/>
    <x v="25"/>
    <s v="-"/>
    <s v="P"/>
    <s v="P"/>
    <s v="P"/>
    <s v="+"/>
    <s v="+"/>
    <n v="12.78"/>
    <s v="-"/>
    <s v="-"/>
    <s v="-"/>
    <s v="-"/>
    <s v="-"/>
    <s v="-"/>
    <s v="-"/>
    <s v="-"/>
    <s v="P"/>
    <s v="P"/>
    <s v="-"/>
    <s v="-"/>
    <n v="1"/>
    <n v="2"/>
    <n v="1"/>
    <s v="-"/>
    <s v="-"/>
    <s v="-"/>
    <s v="-"/>
    <s v="-"/>
    <s v="-"/>
    <s v="-"/>
    <n v="4"/>
    <n v="4"/>
    <s v="-"/>
    <n v="1"/>
    <n v="1"/>
    <n v="2"/>
    <n v="2"/>
    <n v="6"/>
    <n v="6"/>
  </r>
  <r>
    <x v="1"/>
    <x v="33"/>
    <d v="2026-01-28T00:00:00"/>
    <s v="1ST"/>
    <s v="09:00"/>
    <n v="3"/>
    <x v="1"/>
    <n v="1.6500000000000001E-2"/>
    <s v="P"/>
    <s v="P"/>
    <s v="P"/>
    <s v="+"/>
    <s v="+"/>
    <n v="13.18"/>
    <n v="12.43"/>
    <n v="0.38"/>
    <n v="64.599999999999994"/>
    <s v="-"/>
    <s v="-"/>
    <n v="34.700000000000003"/>
    <s v="-"/>
    <n v="25.17"/>
    <s v="P"/>
    <s v="P"/>
    <s v="-"/>
    <n v="2"/>
    <n v="1"/>
    <n v="2"/>
    <n v="1"/>
    <n v="1"/>
    <n v="2"/>
    <n v="2"/>
    <s v="-"/>
    <s v="-"/>
    <n v="2"/>
    <s v="-"/>
    <n v="13"/>
    <n v="13"/>
    <n v="1"/>
    <n v="1"/>
    <n v="1"/>
    <n v="3"/>
    <n v="3"/>
    <n v="16"/>
    <n v="16"/>
  </r>
  <r>
    <x v="1"/>
    <x v="33"/>
    <d v="2026-01-28T00:00:00"/>
    <s v="1ST"/>
    <s v="10:00"/>
    <n v="3"/>
    <x v="1"/>
    <n v="8.5000000000000006E-3"/>
    <s v="P"/>
    <s v="P"/>
    <s v="P"/>
    <s v="+"/>
    <s v="+"/>
    <n v="13.17"/>
    <s v="-"/>
    <s v="-"/>
    <s v="-"/>
    <s v="-"/>
    <s v="-"/>
    <s v="-"/>
    <s v="-"/>
    <s v="-"/>
    <s v="P"/>
    <s v="P"/>
    <s v="-"/>
    <n v="2"/>
    <n v="1"/>
    <n v="2"/>
    <n v="1"/>
    <s v="-"/>
    <s v="-"/>
    <s v="-"/>
    <s v="-"/>
    <s v="-"/>
    <s v="-"/>
    <s v="-"/>
    <n v="6"/>
    <n v="6"/>
    <s v="-"/>
    <n v="1"/>
    <n v="1"/>
    <n v="2"/>
    <n v="2"/>
    <n v="8"/>
    <n v="8"/>
  </r>
  <r>
    <x v="1"/>
    <x v="33"/>
    <d v="2026-01-28T00:00:00"/>
    <s v="1ST"/>
    <s v="11:00"/>
    <n v="3"/>
    <x v="1"/>
    <n v="1.8700000000000001E-2"/>
    <s v="P"/>
    <s v="P"/>
    <s v="P"/>
    <s v="+"/>
    <s v="+"/>
    <n v="12.66"/>
    <s v="-"/>
    <s v="-"/>
    <s v="-"/>
    <s v="-"/>
    <s v="-"/>
    <s v="-"/>
    <s v="-"/>
    <s v="-"/>
    <s v="P"/>
    <s v="P"/>
    <s v="-"/>
    <n v="2"/>
    <n v="1"/>
    <n v="2"/>
    <n v="1"/>
    <s v="-"/>
    <s v="-"/>
    <s v="-"/>
    <s v="-"/>
    <s v="-"/>
    <s v="-"/>
    <s v="-"/>
    <n v="6"/>
    <n v="6"/>
    <s v="-"/>
    <n v="1"/>
    <n v="1"/>
    <n v="2"/>
    <n v="2"/>
    <n v="8"/>
    <n v="8"/>
  </r>
  <r>
    <x v="1"/>
    <x v="33"/>
    <d v="2026-01-28T00:00:00"/>
    <s v="1ST"/>
    <s v="12:00"/>
    <n v="3"/>
    <x v="1"/>
    <n v="1.6500000000000001E-2"/>
    <s v="P"/>
    <s v="P"/>
    <s v="P"/>
    <s v="+"/>
    <s v="+"/>
    <n v="12.68"/>
    <s v="-"/>
    <s v="-"/>
    <s v="-"/>
    <s v="-"/>
    <s v="-"/>
    <s v="-"/>
    <s v="-"/>
    <s v="-"/>
    <s v="P"/>
    <s v="P"/>
    <s v="-"/>
    <n v="2"/>
    <n v="1"/>
    <n v="2"/>
    <n v="1"/>
    <s v="-"/>
    <s v="-"/>
    <s v="-"/>
    <s v="-"/>
    <s v="-"/>
    <s v="-"/>
    <s v="-"/>
    <n v="6"/>
    <n v="6"/>
    <s v="-"/>
    <n v="1"/>
    <n v="1"/>
    <n v="2"/>
    <n v="2"/>
    <n v="8"/>
    <n v="8"/>
  </r>
  <r>
    <x v="1"/>
    <x v="33"/>
    <s v="-"/>
    <s v="1ST"/>
    <s v="06:00"/>
    <n v="1"/>
    <x v="20"/>
    <n v="4.8999999999999998E-3"/>
    <s v="P"/>
    <s v="P"/>
    <s v="P"/>
    <s v="-"/>
    <s v="-"/>
    <n v="12.96"/>
    <n v="12.94"/>
    <n v="0.54"/>
    <n v="64.900000000000006"/>
    <s v="-"/>
    <s v="-"/>
    <n v="36.200000000000003"/>
    <s v="-"/>
    <n v="25.14"/>
    <s v="P"/>
    <s v="P"/>
    <s v="80% 20%"/>
    <n v="2"/>
    <n v="1"/>
    <n v="2"/>
    <n v="1"/>
    <n v="1"/>
    <n v="2"/>
    <n v="2"/>
    <s v="-"/>
    <s v="-"/>
    <n v="2"/>
    <s v="-"/>
    <n v="13"/>
    <n v="13"/>
    <n v="1"/>
    <n v="1"/>
    <n v="1"/>
    <n v="3"/>
    <n v="3"/>
    <n v="16"/>
    <n v="16"/>
  </r>
  <r>
    <x v="1"/>
    <x v="33"/>
    <d v="2026-02-05T00:00:00"/>
    <s v="1ST"/>
    <s v="07:00"/>
    <n v="1"/>
    <x v="20"/>
    <n v="8.3000000000000001E-3"/>
    <s v="P"/>
    <s v="P"/>
    <s v="P"/>
    <s v="-"/>
    <s v="-"/>
    <n v="12.83"/>
    <s v="-"/>
    <s v="-"/>
    <s v="-"/>
    <s v="-"/>
    <s v="-"/>
    <s v="-"/>
    <s v="-"/>
    <s v="-"/>
    <s v="P"/>
    <s v="P"/>
    <s v="-"/>
    <n v="2"/>
    <n v="1"/>
    <n v="2"/>
    <n v="1"/>
    <s v="-"/>
    <s v="-"/>
    <s v="-"/>
    <s v="-"/>
    <s v="-"/>
    <s v="-"/>
    <s v="-"/>
    <n v="6"/>
    <n v="6"/>
    <s v="-"/>
    <n v="1"/>
    <n v="1"/>
    <n v="2"/>
    <n v="2"/>
    <n v="8"/>
    <n v="8"/>
  </r>
  <r>
    <x v="1"/>
    <x v="33"/>
    <d v="2026-02-05T00:00:00"/>
    <s v="1ST"/>
    <s v="08:00"/>
    <n v="1"/>
    <x v="20"/>
    <n v="5.0000000000000001E-3"/>
    <s v="P"/>
    <s v="P"/>
    <s v="P"/>
    <s v="-"/>
    <s v="-"/>
    <n v="12.98"/>
    <s v="-"/>
    <s v="-"/>
    <s v="-"/>
    <s v="-"/>
    <s v="-"/>
    <s v="-"/>
    <s v="-"/>
    <s v="-"/>
    <s v="P"/>
    <s v="P"/>
    <s v="-"/>
    <n v="2"/>
    <n v="1"/>
    <n v="2"/>
    <n v="1"/>
    <s v="-"/>
    <s v="-"/>
    <s v="-"/>
    <s v="-"/>
    <s v="-"/>
    <s v="-"/>
    <s v="-"/>
    <n v="6"/>
    <n v="6"/>
    <s v="-"/>
    <n v="1"/>
    <n v="1"/>
    <n v="2"/>
    <n v="2"/>
    <n v="8"/>
    <n v="8"/>
  </r>
  <r>
    <x v="1"/>
    <x v="33"/>
    <d v="2026-02-05T00:00:00"/>
    <s v="1ST"/>
    <s v="09:00"/>
    <n v="1"/>
    <x v="20"/>
    <n v="6.4000000000000003E-3"/>
    <s v="P"/>
    <s v="P"/>
    <s v="P"/>
    <s v="-"/>
    <s v="-"/>
    <n v="12.71"/>
    <s v="-"/>
    <s v="-"/>
    <s v="-"/>
    <s v="-"/>
    <s v="-"/>
    <s v="-"/>
    <s v="-"/>
    <s v="-"/>
    <s v="P"/>
    <s v="P"/>
    <s v="-"/>
    <n v="2"/>
    <n v="1"/>
    <n v="2"/>
    <n v="1"/>
    <s v="-"/>
    <s v="-"/>
    <s v="-"/>
    <s v="-"/>
    <s v="-"/>
    <s v="-"/>
    <s v="-"/>
    <n v="6"/>
    <n v="6"/>
    <s v="-"/>
    <n v="1"/>
    <n v="1"/>
    <n v="2"/>
    <n v="2"/>
    <n v="8"/>
    <n v="8"/>
  </r>
  <r>
    <x v="1"/>
    <x v="33"/>
    <d v="2026-02-05T00:00:00"/>
    <s v="1ST"/>
    <s v="11:00"/>
    <n v="1"/>
    <x v="20"/>
    <n v="8.0999999999999996E-3"/>
    <s v="P"/>
    <s v="P"/>
    <s v="P"/>
    <s v="-"/>
    <s v="-"/>
    <n v="12.53"/>
    <s v="-"/>
    <s v="-"/>
    <s v="-"/>
    <s v="-"/>
    <s v="-"/>
    <s v="-"/>
    <s v="-"/>
    <s v="-"/>
    <s v="P"/>
    <s v="P"/>
    <s v="-"/>
    <n v="2"/>
    <n v="1"/>
    <n v="2"/>
    <n v="1"/>
    <s v="-"/>
    <s v="-"/>
    <s v="-"/>
    <s v="-"/>
    <s v="-"/>
    <s v="-"/>
    <s v="-"/>
    <n v="6"/>
    <n v="6"/>
    <s v="-"/>
    <n v="1"/>
    <n v="1"/>
    <n v="2"/>
    <n v="2"/>
    <n v="8"/>
    <n v="8"/>
  </r>
  <r>
    <x v="1"/>
    <x v="33"/>
    <d v="2026-02-05T00:00:00"/>
    <s v="1ST"/>
    <s v="12:00"/>
    <n v="1"/>
    <x v="20"/>
    <n v="5.3E-3"/>
    <s v="P"/>
    <s v="P"/>
    <s v="P"/>
    <s v="-"/>
    <s v="-"/>
    <n v="12.5"/>
    <s v="-"/>
    <s v="-"/>
    <s v="-"/>
    <s v="-"/>
    <s v="-"/>
    <s v="-"/>
    <s v="-"/>
    <s v="-"/>
    <s v="P"/>
    <s v="P"/>
    <s v="-"/>
    <n v="2"/>
    <n v="1"/>
    <n v="2"/>
    <n v="1"/>
    <s v="-"/>
    <s v="-"/>
    <s v="-"/>
    <s v="-"/>
    <s v="-"/>
    <s v="-"/>
    <s v="-"/>
    <n v="6"/>
    <n v="6"/>
    <s v="-"/>
    <n v="1"/>
    <n v="1"/>
    <n v="2"/>
    <n v="2"/>
    <n v="8"/>
    <n v="8"/>
  </r>
  <r>
    <x v="1"/>
    <x v="33"/>
    <d v="2026-02-05T00:00:00"/>
    <s v="1ST"/>
    <s v="13:00"/>
    <n v="1"/>
    <x v="20"/>
    <n v="6.7999999999999996E-3"/>
    <s v="P"/>
    <s v="P"/>
    <s v="P"/>
    <s v="-"/>
    <s v="-"/>
    <n v="12.33"/>
    <s v="-"/>
    <s v="-"/>
    <s v="-"/>
    <s v="-"/>
    <s v="-"/>
    <s v="-"/>
    <s v="-"/>
    <s v="-"/>
    <s v="P"/>
    <s v="P"/>
    <s v="-"/>
    <n v="2"/>
    <n v="1"/>
    <n v="2"/>
    <n v="1"/>
    <s v="-"/>
    <s v="-"/>
    <s v="-"/>
    <s v="-"/>
    <s v="-"/>
    <s v="-"/>
    <s v="-"/>
    <n v="6"/>
    <n v="6"/>
    <s v="-"/>
    <n v="1"/>
    <n v="1"/>
    <n v="2"/>
    <n v="2"/>
    <n v="8"/>
    <n v="8"/>
  </r>
  <r>
    <x v="1"/>
    <x v="33"/>
    <s v="-"/>
    <s v="2ND"/>
    <d v="1899-12-30T14:00:00"/>
    <n v="1"/>
    <x v="20"/>
    <n v="1.1599999999999999E-2"/>
    <s v="P"/>
    <s v="P"/>
    <s v="P"/>
    <s v="-"/>
    <s v="-"/>
    <n v="12.35"/>
    <n v="13"/>
    <n v="0.54"/>
    <s v="-"/>
    <s v="-"/>
    <s v="-"/>
    <n v="36.299999999999997"/>
    <s v="-"/>
    <n v="25.14"/>
    <s v="P"/>
    <s v="P"/>
    <s v="80% 20%"/>
    <n v="2"/>
    <n v="1"/>
    <n v="2"/>
    <n v="1"/>
    <n v="1"/>
    <n v="2"/>
    <s v="-"/>
    <s v="-"/>
    <s v="-"/>
    <n v="2"/>
    <s v="-"/>
    <n v="11"/>
    <n v="11"/>
    <n v="1"/>
    <n v="1"/>
    <n v="1"/>
    <n v="3"/>
    <n v="3"/>
    <n v="14"/>
    <n v="14"/>
  </r>
  <r>
    <x v="1"/>
    <x v="33"/>
    <d v="2026-02-05T00:00:00"/>
    <s v="2ND"/>
    <d v="1899-12-30T16:00:00"/>
    <n v="1"/>
    <x v="20"/>
    <n v="6.7000000000000002E-3"/>
    <s v="P"/>
    <s v="P"/>
    <s v="P"/>
    <s v="-"/>
    <s v="-"/>
    <n v="12.91"/>
    <s v="-"/>
    <s v="-"/>
    <s v="-"/>
    <s v="-"/>
    <s v="-"/>
    <s v="-"/>
    <s v="-"/>
    <s v="-"/>
    <s v="P"/>
    <s v="P"/>
    <s v="-"/>
    <n v="2"/>
    <n v="1"/>
    <n v="2"/>
    <n v="1"/>
    <s v="-"/>
    <s v="-"/>
    <s v="-"/>
    <s v="-"/>
    <s v="-"/>
    <s v="-"/>
    <s v="-"/>
    <n v="6"/>
    <n v="6"/>
    <s v="-"/>
    <n v="1"/>
    <n v="1"/>
    <n v="2"/>
    <n v="2"/>
    <n v="8"/>
    <n v="8"/>
  </r>
  <r>
    <x v="1"/>
    <x v="33"/>
    <d v="2026-02-05T00:00:00"/>
    <s v="2ND"/>
    <d v="1899-12-30T18:00:00"/>
    <n v="1"/>
    <x v="20"/>
    <n v="6.1000000000000004E-3"/>
    <s v="P"/>
    <s v="P"/>
    <s v="P"/>
    <s v="-"/>
    <s v="-"/>
    <n v="12.77"/>
    <s v="-"/>
    <s v="-"/>
    <s v="-"/>
    <s v="-"/>
    <s v="-"/>
    <s v="-"/>
    <s v="-"/>
    <s v="-"/>
    <s v="P"/>
    <s v="P"/>
    <s v="-"/>
    <n v="2"/>
    <n v="1"/>
    <n v="2"/>
    <n v="1"/>
    <s v="-"/>
    <s v="-"/>
    <s v="-"/>
    <s v="-"/>
    <s v="-"/>
    <s v="-"/>
    <s v="-"/>
    <n v="6"/>
    <n v="6"/>
    <s v="-"/>
    <n v="1"/>
    <n v="1"/>
    <n v="2"/>
    <n v="2"/>
    <n v="8"/>
    <n v="8"/>
  </r>
  <r>
    <x v="1"/>
    <x v="33"/>
    <d v="2026-02-05T00:00:00"/>
    <s v="2ND"/>
    <d v="1899-12-30T19:00:00"/>
    <n v="1"/>
    <x v="20"/>
    <n v="4.7999999999999996E-3"/>
    <s v="P"/>
    <s v="P"/>
    <s v="P"/>
    <s v="-"/>
    <s v="-"/>
    <n v="12.87"/>
    <s v="-"/>
    <s v="-"/>
    <s v="-"/>
    <s v="-"/>
    <s v="-"/>
    <s v="-"/>
    <s v="-"/>
    <s v="-"/>
    <s v="P"/>
    <s v="P"/>
    <s v="-"/>
    <n v="2"/>
    <n v="1"/>
    <n v="2"/>
    <n v="1"/>
    <s v="-"/>
    <s v="-"/>
    <s v="-"/>
    <s v="-"/>
    <s v="-"/>
    <s v="-"/>
    <s v="-"/>
    <n v="6"/>
    <n v="6"/>
    <s v="-"/>
    <n v="1"/>
    <n v="1"/>
    <n v="2"/>
    <n v="2"/>
    <n v="8"/>
    <n v="8"/>
  </r>
  <r>
    <x v="1"/>
    <x v="33"/>
    <d v="2026-02-05T00:00:00"/>
    <s v="2ND"/>
    <d v="1899-12-30T20:00:00"/>
    <n v="1"/>
    <x v="20"/>
    <n v="7.4999999999999997E-3"/>
    <s v="P"/>
    <s v="P"/>
    <s v="P"/>
    <s v="-"/>
    <s v="-"/>
    <n v="12.83"/>
    <s v="-"/>
    <s v="-"/>
    <s v="-"/>
    <s v="-"/>
    <s v="-"/>
    <s v="-"/>
    <s v="-"/>
    <s v="-"/>
    <s v="P"/>
    <s v="P"/>
    <s v="-"/>
    <n v="2"/>
    <n v="1"/>
    <n v="2"/>
    <n v="1"/>
    <s v="-"/>
    <s v="-"/>
    <s v="-"/>
    <s v="-"/>
    <s v="-"/>
    <s v="-"/>
    <s v="-"/>
    <n v="6"/>
    <n v="6"/>
    <s v="-"/>
    <n v="1"/>
    <n v="1"/>
    <n v="2"/>
    <n v="2"/>
    <n v="8"/>
    <n v="8"/>
  </r>
  <r>
    <x v="1"/>
    <x v="33"/>
    <d v="2026-02-05T00:00:00"/>
    <s v="2ND"/>
    <d v="1899-12-30T15:00:00"/>
    <n v="3"/>
    <x v="20"/>
    <n v="5.8999999999999999E-3"/>
    <s v="P"/>
    <s v="P"/>
    <s v="P"/>
    <s v="-"/>
    <s v="-"/>
    <n v="12.5"/>
    <n v="12.71"/>
    <n v="0.54"/>
    <s v="-"/>
    <s v="-"/>
    <s v="-"/>
    <n v="35.4"/>
    <s v="-"/>
    <n v="25.16"/>
    <s v="P"/>
    <s v="P"/>
    <s v="80% 20%"/>
    <n v="2"/>
    <n v="1"/>
    <n v="2"/>
    <n v="1"/>
    <n v="1"/>
    <n v="2"/>
    <s v="-"/>
    <s v="-"/>
    <s v="-"/>
    <n v="2"/>
    <s v="-"/>
    <n v="11"/>
    <n v="11"/>
    <n v="1"/>
    <n v="1"/>
    <n v="1"/>
    <n v="3"/>
    <n v="3"/>
    <n v="14"/>
    <n v="14"/>
  </r>
  <r>
    <x v="1"/>
    <x v="33"/>
    <d v="2026-02-05T00:00:00"/>
    <s v="2ND"/>
    <d v="1899-12-30T16:00:00"/>
    <n v="3"/>
    <x v="20"/>
    <n v="8.2000000000000007E-3"/>
    <s v="P"/>
    <s v="P"/>
    <s v="P"/>
    <s v="-"/>
    <s v="-"/>
    <n v="12.99"/>
    <s v="-"/>
    <s v="-"/>
    <s v="-"/>
    <s v="-"/>
    <s v="-"/>
    <s v="-"/>
    <s v="-"/>
    <s v="-"/>
    <s v="P"/>
    <s v="P"/>
    <s v="-"/>
    <n v="2"/>
    <n v="1"/>
    <n v="2"/>
    <n v="1"/>
    <s v="-"/>
    <s v="-"/>
    <s v="-"/>
    <s v="-"/>
    <s v="-"/>
    <s v="-"/>
    <s v="-"/>
    <n v="6"/>
    <n v="6"/>
    <s v="-"/>
    <n v="1"/>
    <n v="1"/>
    <n v="2"/>
    <n v="2"/>
    <n v="8"/>
    <n v="8"/>
  </r>
  <r>
    <x v="1"/>
    <x v="33"/>
    <d v="2026-02-05T00:00:00"/>
    <s v="2ND"/>
    <d v="1899-12-30T17:00:00"/>
    <n v="3"/>
    <x v="20"/>
    <s v="-"/>
    <s v="P"/>
    <s v="P"/>
    <s v="P"/>
    <s v="-"/>
    <s v="-"/>
    <n v="12.95"/>
    <s v="-"/>
    <s v="-"/>
    <s v="-"/>
    <s v="-"/>
    <s v="-"/>
    <s v="-"/>
    <s v="-"/>
    <s v="-"/>
    <s v="P"/>
    <s v="P"/>
    <s v="-"/>
    <s v="-"/>
    <n v="1"/>
    <n v="2"/>
    <n v="1"/>
    <s v="-"/>
    <s v="-"/>
    <s v="-"/>
    <s v="-"/>
    <s v="-"/>
    <s v="-"/>
    <s v="-"/>
    <n v="4"/>
    <n v="4"/>
    <s v="-"/>
    <n v="1"/>
    <n v="1"/>
    <n v="2"/>
    <n v="2"/>
    <n v="6"/>
    <n v="6"/>
  </r>
  <r>
    <x v="1"/>
    <x v="33"/>
    <d v="2026-02-05T00:00:00"/>
    <s v="2ND"/>
    <d v="1899-12-30T18:00:00"/>
    <n v="3"/>
    <x v="20"/>
    <n v="8.0000000000000002E-3"/>
    <s v="P"/>
    <s v="P"/>
    <s v="P"/>
    <s v="-"/>
    <s v="-"/>
    <n v="12.81"/>
    <s v="-"/>
    <s v="-"/>
    <s v="-"/>
    <s v="-"/>
    <s v="-"/>
    <s v="-"/>
    <s v="-"/>
    <s v="-"/>
    <s v="P"/>
    <s v="P"/>
    <s v="-"/>
    <n v="2"/>
    <n v="1"/>
    <n v="2"/>
    <n v="1"/>
    <s v="-"/>
    <s v="-"/>
    <s v="-"/>
    <s v="-"/>
    <s v="-"/>
    <s v="-"/>
    <s v="-"/>
    <n v="6"/>
    <n v="6"/>
    <s v="-"/>
    <n v="1"/>
    <n v="1"/>
    <n v="2"/>
    <n v="2"/>
    <n v="8"/>
    <n v="8"/>
  </r>
  <r>
    <x v="1"/>
    <x v="33"/>
    <d v="2026-02-05T00:00:00"/>
    <s v="2ND"/>
    <d v="1899-12-30T19:00:00"/>
    <n v="3"/>
    <x v="20"/>
    <n v="6.8999999999999999E-3"/>
    <s v="P"/>
    <s v="P"/>
    <s v="P"/>
    <s v="-"/>
    <s v="-"/>
    <s v="-"/>
    <s v="-"/>
    <s v="-"/>
    <s v="-"/>
    <s v="-"/>
    <s v="-"/>
    <s v="-"/>
    <s v="-"/>
    <s v="-"/>
    <s v="P"/>
    <s v="P"/>
    <s v="-"/>
    <n v="2"/>
    <n v="1"/>
    <n v="2"/>
    <s v="-"/>
    <s v="-"/>
    <s v="-"/>
    <s v="-"/>
    <s v="-"/>
    <s v="-"/>
    <s v="-"/>
    <s v="-"/>
    <n v="5"/>
    <n v="5"/>
    <s v="-"/>
    <n v="1"/>
    <n v="1"/>
    <n v="2"/>
    <n v="2"/>
    <n v="7"/>
    <n v="7"/>
  </r>
  <r>
    <x v="1"/>
    <x v="33"/>
    <s v="-"/>
    <s v="3RD"/>
    <d v="1899-12-30T22:00:00"/>
    <n v="1"/>
    <x v="20"/>
    <n v="9.4000000000000004E-3"/>
    <s v="P"/>
    <s v="P"/>
    <s v="P"/>
    <s v="-"/>
    <s v="-"/>
    <n v="12.61"/>
    <s v="-"/>
    <s v="-"/>
    <s v="-"/>
    <s v="-"/>
    <s v="-"/>
    <s v="-"/>
    <s v="-"/>
    <s v="-"/>
    <s v="P"/>
    <s v="P"/>
    <s v="80% 20%"/>
    <n v="2"/>
    <n v="1"/>
    <n v="2"/>
    <n v="1"/>
    <s v="-"/>
    <s v="-"/>
    <s v="-"/>
    <s v="-"/>
    <s v="-"/>
    <s v="-"/>
    <s v="-"/>
    <n v="6"/>
    <n v="6"/>
    <s v="-"/>
    <n v="1"/>
    <n v="1"/>
    <n v="2"/>
    <n v="2"/>
    <n v="8"/>
    <n v="8"/>
  </r>
  <r>
    <x v="1"/>
    <x v="33"/>
    <d v="2026-02-06T00:00:00"/>
    <s v="3RD"/>
    <d v="1899-12-31T00:00:00"/>
    <n v="1"/>
    <x v="20"/>
    <n v="1.83E-2"/>
    <s v="P"/>
    <s v="P"/>
    <s v="P"/>
    <s v="-"/>
    <s v="-"/>
    <n v="12.02"/>
    <n v="12.53"/>
    <n v="0.55000000000000004"/>
    <n v="65.400000000000006"/>
    <s v="-"/>
    <s v="-"/>
    <n v="35.1"/>
    <s v="-"/>
    <s v="-"/>
    <s v="P"/>
    <s v="P"/>
    <s v="-"/>
    <n v="2"/>
    <n v="1"/>
    <n v="2"/>
    <n v="1"/>
    <n v="1"/>
    <n v="2"/>
    <n v="2"/>
    <s v="-"/>
    <s v="-"/>
    <n v="2"/>
    <s v="-"/>
    <n v="13"/>
    <n v="13"/>
    <s v="-"/>
    <n v="1"/>
    <n v="1"/>
    <n v="2"/>
    <n v="2"/>
    <n v="15"/>
    <n v="15"/>
  </r>
  <r>
    <x v="1"/>
    <x v="33"/>
    <d v="2026-02-05T00:00:00"/>
    <s v="3RD"/>
    <d v="1899-12-31T02:00:00"/>
    <n v="1"/>
    <x v="20"/>
    <n v="1.24E-2"/>
    <s v="P"/>
    <s v="P"/>
    <s v="P"/>
    <s v="-"/>
    <s v="-"/>
    <n v="12.76"/>
    <s v="-"/>
    <s v="-"/>
    <s v="-"/>
    <s v="-"/>
    <s v="-"/>
    <s v="-"/>
    <s v="-"/>
    <s v="-"/>
    <s v="P"/>
    <s v="P"/>
    <s v="-"/>
    <n v="2"/>
    <n v="1"/>
    <n v="2"/>
    <n v="1"/>
    <s v="-"/>
    <s v="-"/>
    <s v="-"/>
    <s v="-"/>
    <s v="-"/>
    <s v="-"/>
    <s v="-"/>
    <n v="6"/>
    <n v="6"/>
    <s v="-"/>
    <n v="1"/>
    <n v="1"/>
    <n v="2"/>
    <n v="2"/>
    <n v="8"/>
    <n v="8"/>
  </r>
  <r>
    <x v="1"/>
    <x v="33"/>
    <d v="2026-02-12T00:00:00"/>
    <s v="2ND"/>
    <d v="1899-12-30T14:00:00"/>
    <s v="Retail"/>
    <x v="13"/>
    <s v="-"/>
    <s v="-"/>
    <s v="-"/>
    <s v="-"/>
    <s v="-"/>
    <s v="-"/>
    <n v="11.54"/>
    <s v="-"/>
    <s v="-"/>
    <s v="-"/>
    <s v="-"/>
    <s v="-"/>
    <s v="-"/>
    <s v="-"/>
    <s v="-"/>
    <s v="-"/>
    <s v="-"/>
    <s v="-"/>
    <s v="-"/>
    <s v="-"/>
    <s v="-"/>
    <n v="1"/>
    <s v="-"/>
    <s v="-"/>
    <s v="-"/>
    <s v="-"/>
    <s v="-"/>
    <s v="-"/>
    <s v="-"/>
    <n v="1"/>
    <n v="1"/>
    <s v="-"/>
    <s v="-"/>
    <s v="-"/>
    <n v="0"/>
    <n v="0"/>
    <n v="1"/>
    <n v="1"/>
  </r>
  <r>
    <x v="1"/>
    <x v="33"/>
    <d v="1902-03-26T00:00:00"/>
    <s v="3RD"/>
    <d v="1899-12-30T22:00:00"/>
    <n v="2"/>
    <x v="4"/>
    <n v="1.09E-2"/>
    <s v="P"/>
    <s v="P"/>
    <s v="P"/>
    <s v="-"/>
    <s v="+"/>
    <n v="10.61"/>
    <s v="-"/>
    <s v="-"/>
    <s v="-"/>
    <s v="-"/>
    <s v="-"/>
    <s v="-"/>
    <s v="-"/>
    <s v="-"/>
    <s v="P"/>
    <s v="P"/>
    <s v="-"/>
    <n v="2"/>
    <n v="1"/>
    <n v="2"/>
    <n v="0"/>
    <s v="-"/>
    <s v="-"/>
    <s v="-"/>
    <s v="-"/>
    <s v="-"/>
    <s v="-"/>
    <s v="-"/>
    <n v="5"/>
    <n v="6"/>
    <s v="-"/>
    <n v="1"/>
    <n v="1"/>
    <n v="2"/>
    <n v="2"/>
    <n v="7"/>
    <n v="8"/>
  </r>
  <r>
    <x v="1"/>
    <x v="33"/>
    <d v="1899-12-30T00:00:00"/>
    <s v="3RD"/>
    <d v="1899-12-30T23:00:00"/>
    <n v="2"/>
    <x v="4"/>
    <n v="9.1000000000000004E-3"/>
    <s v="P"/>
    <s v="P"/>
    <s v="P"/>
    <s v="-"/>
    <s v="+"/>
    <n v="10.81"/>
    <n v="8.4"/>
    <n v="0.52"/>
    <n v="56.2"/>
    <s v="-"/>
    <s v="-"/>
    <n v="22.64"/>
    <s v="-"/>
    <s v="-"/>
    <s v="P"/>
    <s v="P"/>
    <s v="-"/>
    <n v="2"/>
    <n v="1"/>
    <n v="2"/>
    <n v="0"/>
    <n v="0"/>
    <n v="2"/>
    <n v="2"/>
    <s v="-"/>
    <s v="-"/>
    <n v="2"/>
    <s v="-"/>
    <n v="11"/>
    <n v="13"/>
    <s v="-"/>
    <n v="1"/>
    <n v="1"/>
    <n v="2"/>
    <n v="2"/>
    <n v="13"/>
    <n v="15"/>
  </r>
  <r>
    <x v="1"/>
    <x v="33"/>
    <d v="1899-12-30T00:00:00"/>
    <s v="3RD"/>
    <d v="1899-12-31T00:00:00"/>
    <n v="2"/>
    <x v="4"/>
    <n v="1.3299999999999999E-2"/>
    <s v="P"/>
    <s v="P"/>
    <s v="P"/>
    <s v="-"/>
    <s v="+"/>
    <n v="11.32"/>
    <s v="-"/>
    <s v="-"/>
    <s v="-"/>
    <s v="-"/>
    <s v="-"/>
    <s v="-"/>
    <s v="-"/>
    <s v="-"/>
    <s v="P"/>
    <s v="P"/>
    <s v="-"/>
    <n v="2"/>
    <n v="1"/>
    <n v="2"/>
    <n v="1"/>
    <s v="-"/>
    <s v="-"/>
    <s v="-"/>
    <s v="-"/>
    <s v="-"/>
    <s v="-"/>
    <s v="-"/>
    <n v="6"/>
    <n v="6"/>
    <s v="-"/>
    <n v="1"/>
    <n v="1"/>
    <n v="2"/>
    <n v="2"/>
    <n v="8"/>
    <n v="8"/>
  </r>
  <r>
    <x v="1"/>
    <x v="33"/>
    <d v="1899-12-30T00:00:00"/>
    <s v="3RD"/>
    <d v="1899-12-31T02:00:00"/>
    <n v="2"/>
    <x v="4"/>
    <n v="5.4000000000000003E-3"/>
    <s v="P"/>
    <s v="P"/>
    <s v="P"/>
    <s v="-"/>
    <s v="+"/>
    <n v="11.22"/>
    <s v="-"/>
    <s v="-"/>
    <s v="-"/>
    <s v="-"/>
    <s v="-"/>
    <s v="-"/>
    <s v="-"/>
    <s v="-"/>
    <s v="P"/>
    <s v="P"/>
    <n v="1"/>
    <n v="2"/>
    <n v="1"/>
    <n v="2"/>
    <n v="1"/>
    <s v="-"/>
    <s v="-"/>
    <s v="-"/>
    <s v="-"/>
    <s v="-"/>
    <s v="-"/>
    <s v="-"/>
    <n v="6"/>
    <n v="6"/>
    <s v="-"/>
    <n v="1"/>
    <n v="1"/>
    <n v="2"/>
    <n v="2"/>
    <n v="8"/>
    <n v="8"/>
  </r>
  <r>
    <x v="1"/>
    <x v="33"/>
    <d v="1902-03-26T00:00:00"/>
    <s v="2ND"/>
    <d v="1899-12-30T17:00:00"/>
    <n v="2"/>
    <x v="5"/>
    <n v="3.5999999999999999E-3"/>
    <s v="P"/>
    <s v="P"/>
    <s v="P"/>
    <s v="-"/>
    <s v="+"/>
    <n v="11.03"/>
    <n v="8.3800000000000008"/>
    <n v="0.57999999999999996"/>
    <n v="54.9"/>
    <s v="-"/>
    <s v="-"/>
    <n v="22.5"/>
    <s v="-"/>
    <n v="25.13"/>
    <s v="P"/>
    <s v="P"/>
    <s v="-"/>
    <n v="2"/>
    <n v="1"/>
    <n v="2"/>
    <n v="1"/>
    <n v="0"/>
    <n v="0"/>
    <n v="2"/>
    <s v="-"/>
    <s v="-"/>
    <n v="2"/>
    <s v="-"/>
    <n v="10"/>
    <n v="13"/>
    <n v="1"/>
    <n v="1"/>
    <n v="1"/>
    <n v="3"/>
    <n v="3"/>
    <n v="13"/>
    <n v="16"/>
  </r>
  <r>
    <x v="1"/>
    <x v="33"/>
    <d v="1899-12-30T00:00:00"/>
    <s v="2ND"/>
    <d v="1899-12-30T18:00:00"/>
    <n v="2"/>
    <x v="5"/>
    <n v="4.0000000000000001E-3"/>
    <s v="P"/>
    <s v="P"/>
    <s v="P"/>
    <s v="-"/>
    <s v="+"/>
    <n v="10.54"/>
    <s v="-"/>
    <s v="-"/>
    <s v="-"/>
    <s v="-"/>
    <s v="-"/>
    <s v="-"/>
    <s v="-"/>
    <s v="-"/>
    <s v="P"/>
    <s v="P"/>
    <s v="-"/>
    <n v="2"/>
    <n v="1"/>
    <n v="2"/>
    <n v="0"/>
    <s v="-"/>
    <s v="-"/>
    <s v="-"/>
    <s v="-"/>
    <s v="-"/>
    <s v="-"/>
    <s v="-"/>
    <n v="5"/>
    <n v="6"/>
    <s v="-"/>
    <n v="1"/>
    <n v="1"/>
    <n v="2"/>
    <n v="2"/>
    <n v="7"/>
    <n v="8"/>
  </r>
  <r>
    <x v="1"/>
    <x v="33"/>
    <d v="1899-12-30T00:00:00"/>
    <s v="2ND"/>
    <d v="1899-12-30T19:00:00"/>
    <n v="2"/>
    <x v="5"/>
    <n v="7.3000000000000001E-3"/>
    <s v="P"/>
    <s v="P"/>
    <s v="P"/>
    <s v="-"/>
    <s v="+"/>
    <n v="10.55"/>
    <s v="-"/>
    <s v="-"/>
    <s v="-"/>
    <s v="-"/>
    <s v="-"/>
    <s v="-"/>
    <s v="-"/>
    <s v="-"/>
    <s v="P"/>
    <s v="P"/>
    <s v="-"/>
    <n v="2"/>
    <n v="1"/>
    <n v="2"/>
    <n v="0"/>
    <s v="-"/>
    <s v="-"/>
    <s v="-"/>
    <s v="-"/>
    <s v="-"/>
    <s v="-"/>
    <s v="-"/>
    <n v="5"/>
    <n v="6"/>
    <s v="-"/>
    <n v="1"/>
    <n v="1"/>
    <n v="2"/>
    <n v="2"/>
    <n v="7"/>
    <n v="8"/>
  </r>
  <r>
    <x v="1"/>
    <x v="33"/>
    <d v="1899-12-30T00:00:00"/>
    <s v="2ND"/>
    <d v="1899-12-30T20:00:00"/>
    <n v="2"/>
    <x v="5"/>
    <n v="6.6E-3"/>
    <s v="P"/>
    <s v="P"/>
    <s v="P"/>
    <s v="-"/>
    <s v="+"/>
    <n v="10.95"/>
    <s v="-"/>
    <s v="-"/>
    <s v="-"/>
    <s v="-"/>
    <s v="-"/>
    <s v="-"/>
    <s v="-"/>
    <s v="-"/>
    <s v="P"/>
    <s v="P"/>
    <s v="-"/>
    <n v="2"/>
    <n v="1"/>
    <n v="2"/>
    <n v="0"/>
    <s v="-"/>
    <s v="-"/>
    <s v="-"/>
    <s v="-"/>
    <s v="-"/>
    <s v="-"/>
    <s v="-"/>
    <n v="5"/>
    <n v="6"/>
    <s v="-"/>
    <n v="1"/>
    <n v="1"/>
    <n v="2"/>
    <n v="2"/>
    <n v="7"/>
    <n v="8"/>
  </r>
  <r>
    <x v="1"/>
    <x v="33"/>
    <d v="2026-02-12T00:00:00"/>
    <s v="2ND"/>
    <d v="1899-12-30T15:00:00"/>
    <s v="Retail"/>
    <x v="9"/>
    <s v="-"/>
    <s v="-"/>
    <s v="-"/>
    <s v="-"/>
    <s v="-"/>
    <s v="-"/>
    <n v="10.14"/>
    <s v="-"/>
    <s v="-"/>
    <s v="-"/>
    <s v="-"/>
    <s v="-"/>
    <s v="-"/>
    <s v="-"/>
    <s v="-"/>
    <s v="-"/>
    <s v="-"/>
    <s v="-"/>
    <s v="-"/>
    <s v="-"/>
    <s v="-"/>
    <n v="1"/>
    <s v="-"/>
    <s v="-"/>
    <s v="-"/>
    <s v="-"/>
    <s v="-"/>
    <s v="-"/>
    <s v="-"/>
    <n v="1"/>
    <n v="1"/>
    <s v="-"/>
    <s v="-"/>
    <s v="-"/>
    <n v="0"/>
    <n v="0"/>
    <n v="1"/>
    <n v="1"/>
  </r>
  <r>
    <x v="1"/>
    <x v="33"/>
    <d v="2026-02-05T00:00:00"/>
    <s v="1ST"/>
    <s v="13:00"/>
    <s v="Retail"/>
    <x v="31"/>
    <n v="1.49E-2"/>
    <s v="P"/>
    <s v="P"/>
    <s v="P"/>
    <s v="+"/>
    <s v="+"/>
    <n v="12.54"/>
    <n v="12.01"/>
    <s v="-"/>
    <n v="62.9"/>
    <n v="15"/>
    <n v="647"/>
    <n v="33.4"/>
    <s v="-"/>
    <s v="-"/>
    <s v="P"/>
    <s v="-"/>
    <s v="-"/>
    <n v="2"/>
    <n v="1"/>
    <n v="2"/>
    <n v="0"/>
    <n v="1"/>
    <s v="-"/>
    <n v="2"/>
    <n v="1"/>
    <n v="1"/>
    <n v="2"/>
    <s v="-"/>
    <n v="12"/>
    <n v="13"/>
    <s v="-"/>
    <n v="1"/>
    <s v="-"/>
    <n v="1"/>
    <n v="1"/>
    <n v="13"/>
    <n v="14"/>
  </r>
  <r>
    <x v="1"/>
    <x v="34"/>
    <d v="2026-02-10T00:00:00"/>
    <s v="3RD"/>
    <d v="1899-12-31T03:00:00"/>
    <n v="3"/>
    <x v="8"/>
    <n v="7.3000000000000001E-3"/>
    <s v="P"/>
    <s v="P"/>
    <s v="P"/>
    <s v="+"/>
    <s v="+"/>
    <n v="13.26"/>
    <n v="13.07"/>
    <s v="-"/>
    <n v="64.400000000000006"/>
    <s v="-"/>
    <s v="-"/>
    <n v="36.6"/>
    <s v="-"/>
    <s v="-"/>
    <s v="P"/>
    <s v="P"/>
    <n v="1"/>
    <n v="2"/>
    <n v="1"/>
    <n v="2"/>
    <n v="1"/>
    <n v="1"/>
    <s v="-"/>
    <n v="2"/>
    <s v="-"/>
    <s v="-"/>
    <s v="-"/>
    <s v="-"/>
    <n v="9"/>
    <n v="9"/>
    <s v="-"/>
    <n v="1"/>
    <n v="1"/>
    <n v="2"/>
    <n v="2"/>
    <n v="11"/>
    <n v="11"/>
  </r>
  <r>
    <x v="1"/>
    <x v="34"/>
    <d v="2026-02-10T00:00:00"/>
    <s v="3RD"/>
    <d v="1899-12-31T04:00:00"/>
    <n v="3"/>
    <x v="8"/>
    <n v="5.0000000000000001E-3"/>
    <s v="P"/>
    <s v="P"/>
    <s v="P"/>
    <s v="+"/>
    <s v="+"/>
    <n v="13.69"/>
    <s v="-"/>
    <s v="-"/>
    <s v="-"/>
    <s v="-"/>
    <s v="-"/>
    <s v="-"/>
    <s v="-"/>
    <s v="-"/>
    <s v="P"/>
    <s v="P"/>
    <s v="-"/>
    <n v="2"/>
    <n v="1"/>
    <n v="2"/>
    <n v="0"/>
    <s v="-"/>
    <s v="-"/>
    <s v="-"/>
    <s v="-"/>
    <s v="-"/>
    <s v="-"/>
    <s v="-"/>
    <n v="5"/>
    <n v="6"/>
    <s v="-"/>
    <n v="1"/>
    <n v="1"/>
    <n v="2"/>
    <n v="2"/>
    <n v="7"/>
    <n v="8"/>
  </r>
  <r>
    <x v="1"/>
    <x v="34"/>
    <d v="1899-12-30T00:00:00"/>
    <s v="3RD"/>
    <d v="1899-12-30T22:00:00"/>
    <s v="Retail"/>
    <x v="13"/>
    <s v="-"/>
    <s v="-"/>
    <s v="-"/>
    <s v="-"/>
    <s v="-"/>
    <s v="-"/>
    <n v="11.46"/>
    <s v="-"/>
    <n v="4.6900000000000004"/>
    <s v="-"/>
    <s v="-"/>
    <s v="-"/>
    <s v="-"/>
    <s v="-"/>
    <s v="-"/>
    <s v="-"/>
    <s v="-"/>
    <s v="-"/>
    <s v="-"/>
    <s v="-"/>
    <s v="-"/>
    <n v="1"/>
    <s v="-"/>
    <n v="2"/>
    <s v="-"/>
    <s v="-"/>
    <s v="-"/>
    <s v="-"/>
    <s v="-"/>
    <n v="3"/>
    <n v="3"/>
    <s v="-"/>
    <s v="-"/>
    <s v="-"/>
    <n v="0"/>
    <n v="0"/>
    <n v="3"/>
    <n v="3"/>
  </r>
  <r>
    <x v="1"/>
    <x v="34"/>
    <d v="1902-03-26T00:00:00"/>
    <s v="3RD"/>
    <d v="1899-12-31T03:00:00"/>
    <n v="2"/>
    <x v="4"/>
    <n v="2.5999999999999999E-3"/>
    <s v="P"/>
    <s v="P"/>
    <s v="P"/>
    <s v="-"/>
    <s v="+"/>
    <n v="11.08"/>
    <n v="8.42"/>
    <s v="-"/>
    <s v="-"/>
    <s v="-"/>
    <s v="-"/>
    <n v="22.64"/>
    <s v="-"/>
    <s v="-"/>
    <s v="P"/>
    <s v="P"/>
    <s v="-"/>
    <n v="2"/>
    <n v="1"/>
    <n v="2"/>
    <n v="1"/>
    <n v="0"/>
    <s v="-"/>
    <s v="-"/>
    <s v="-"/>
    <s v="-"/>
    <n v="2"/>
    <s v="-"/>
    <n v="8"/>
    <n v="9"/>
    <s v="-"/>
    <n v="1"/>
    <n v="1"/>
    <n v="2"/>
    <n v="2"/>
    <n v="10"/>
    <n v="11"/>
  </r>
  <r>
    <x v="1"/>
    <x v="34"/>
    <d v="1899-12-30T00:00:00"/>
    <s v="3RD"/>
    <d v="1899-12-31T04:00:00"/>
    <n v="2"/>
    <x v="4"/>
    <n v="4.8999999999999998E-3"/>
    <s v="P"/>
    <s v="P"/>
    <s v="P"/>
    <s v="-"/>
    <s v="+"/>
    <n v="11.06"/>
    <s v="-"/>
    <s v="-"/>
    <s v="-"/>
    <s v="-"/>
    <s v="-"/>
    <s v="-"/>
    <s v="-"/>
    <s v="-"/>
    <s v="P"/>
    <s v="P"/>
    <s v="-"/>
    <n v="2"/>
    <n v="1"/>
    <n v="2"/>
    <n v="1"/>
    <s v="-"/>
    <s v="-"/>
    <s v="-"/>
    <s v="-"/>
    <s v="-"/>
    <s v="-"/>
    <s v="-"/>
    <n v="6"/>
    <n v="6"/>
    <s v="-"/>
    <n v="1"/>
    <n v="1"/>
    <n v="2"/>
    <n v="2"/>
    <n v="8"/>
    <n v="8"/>
  </r>
  <r>
    <x v="1"/>
    <x v="34"/>
    <d v="2026-02-13T00:00:00"/>
    <s v="2ND"/>
    <d v="1899-12-30T15:00:00"/>
    <s v="Retail"/>
    <x v="9"/>
    <s v="-"/>
    <s v="-"/>
    <s v="-"/>
    <s v="-"/>
    <s v="-"/>
    <s v="-"/>
    <n v="10.01"/>
    <s v="-"/>
    <s v="-"/>
    <s v="-"/>
    <s v="-"/>
    <s v="-"/>
    <s v="-"/>
    <s v="-"/>
    <s v="-"/>
    <s v="-"/>
    <s v="-"/>
    <s v="-"/>
    <s v="-"/>
    <s v="-"/>
    <s v="-"/>
    <n v="1"/>
    <s v="-"/>
    <s v="-"/>
    <s v="-"/>
    <s v="-"/>
    <s v="-"/>
    <s v="-"/>
    <s v="-"/>
    <n v="1"/>
    <n v="1"/>
    <s v="-"/>
    <s v="-"/>
    <s v="-"/>
    <n v="0"/>
    <n v="0"/>
    <n v="1"/>
    <n v="1"/>
  </r>
  <r>
    <x v="1"/>
    <x v="34"/>
    <d v="2026-02-11T00:00:00"/>
    <s v="3RD"/>
    <d v="1899-12-31T03:00:00"/>
    <n v="1"/>
    <x v="22"/>
    <n v="2.0999999999999999E-3"/>
    <s v="P"/>
    <s v="P"/>
    <s v="P"/>
    <s v="-"/>
    <s v="-"/>
    <n v="11.16"/>
    <n v="8.5299999999999994"/>
    <s v="-"/>
    <s v="-"/>
    <s v="-"/>
    <s v="-"/>
    <n v="22.92"/>
    <s v="-"/>
    <s v="-"/>
    <s v="P"/>
    <s v="P"/>
    <n v="1"/>
    <n v="2"/>
    <n v="1"/>
    <n v="2"/>
    <n v="1"/>
    <n v="1"/>
    <s v="-"/>
    <s v="-"/>
    <s v="-"/>
    <s v="-"/>
    <n v="2"/>
    <s v="-"/>
    <n v="9"/>
    <n v="9"/>
    <s v="-"/>
    <n v="1"/>
    <n v="1"/>
    <n v="2"/>
    <n v="2"/>
    <n v="11"/>
    <n v="11"/>
  </r>
  <r>
    <x v="1"/>
    <x v="34"/>
    <d v="2026-02-11T00:00:00"/>
    <s v="3RD"/>
    <d v="1899-12-31T04:00:00"/>
    <n v="1"/>
    <x v="22"/>
    <n v="4.1999999999999997E-3"/>
    <s v="P"/>
    <s v="P"/>
    <s v="P"/>
    <s v="-"/>
    <s v="-"/>
    <n v="11.2"/>
    <s v="-"/>
    <s v="-"/>
    <s v="-"/>
    <s v="-"/>
    <s v="-"/>
    <s v="-"/>
    <s v="-"/>
    <s v="-"/>
    <s v="P"/>
    <s v="P"/>
    <s v="-"/>
    <n v="2"/>
    <n v="1"/>
    <n v="2"/>
    <n v="1"/>
    <s v="-"/>
    <s v="-"/>
    <s v="-"/>
    <s v="-"/>
    <s v="-"/>
    <s v="-"/>
    <s v="-"/>
    <n v="6"/>
    <n v="6"/>
    <s v="-"/>
    <n v="1"/>
    <n v="1"/>
    <n v="2"/>
    <n v="2"/>
    <n v="8"/>
    <n v="8"/>
  </r>
  <r>
    <x v="1"/>
    <x v="35"/>
    <d v="1899-12-30T00:00:00"/>
    <s v="2ND"/>
    <d v="1899-12-30T19:00:00"/>
    <n v="2"/>
    <x v="10"/>
    <n v="3.2000000000000002E-3"/>
    <s v="P"/>
    <s v="P"/>
    <s v="P"/>
    <s v="+"/>
    <s v="+"/>
    <n v="12.02"/>
    <n v="11.62"/>
    <s v="-"/>
    <n v="64.099999999999994"/>
    <n v="13.8"/>
    <n v="918"/>
    <n v="32.299999999999997"/>
    <s v="-"/>
    <s v="-"/>
    <s v="P"/>
    <s v="P"/>
    <s v="-"/>
    <n v="2"/>
    <n v="1"/>
    <n v="2"/>
    <n v="1"/>
    <n v="1"/>
    <s v="-"/>
    <n v="2"/>
    <n v="1"/>
    <n v="0"/>
    <n v="2"/>
    <s v="-"/>
    <n v="12"/>
    <n v="13"/>
    <s v="-"/>
    <n v="1"/>
    <n v="1"/>
    <n v="2"/>
    <n v="2"/>
    <n v="14"/>
    <n v="15"/>
  </r>
  <r>
    <x v="1"/>
    <x v="35"/>
    <d v="1902-03-26T00:00:00"/>
    <s v="3RD"/>
    <d v="1899-12-30T22:00:00"/>
    <n v="2"/>
    <x v="10"/>
    <n v="2.5000000000000001E-3"/>
    <s v="P"/>
    <s v="P"/>
    <s v="P"/>
    <s v="+"/>
    <s v="+"/>
    <n v="12.05"/>
    <n v="11.99"/>
    <s v="-"/>
    <s v="-"/>
    <s v="-"/>
    <s v="-"/>
    <n v="33.4"/>
    <s v="-"/>
    <s v="-"/>
    <s v="P"/>
    <s v="P"/>
    <s v="-"/>
    <n v="2"/>
    <n v="1"/>
    <n v="2"/>
    <n v="1"/>
    <n v="1"/>
    <s v="-"/>
    <s v="-"/>
    <s v="-"/>
    <s v="-"/>
    <n v="2"/>
    <s v="-"/>
    <n v="9"/>
    <n v="9"/>
    <s v="-"/>
    <n v="1"/>
    <n v="1"/>
    <n v="2"/>
    <n v="2"/>
    <n v="11"/>
    <n v="11"/>
  </r>
  <r>
    <x v="1"/>
    <x v="35"/>
    <d v="1899-12-30T00:00:00"/>
    <s v="3RD"/>
    <d v="1899-12-31T00:00:00"/>
    <n v="2"/>
    <x v="10"/>
    <n v="4.3E-3"/>
    <s v="P"/>
    <s v="P"/>
    <s v="P"/>
    <s v="+"/>
    <s v="+"/>
    <n v="12.09"/>
    <s v="-"/>
    <s v="-"/>
    <s v="-"/>
    <s v="-"/>
    <s v="-"/>
    <s v="-"/>
    <s v="-"/>
    <s v="-"/>
    <s v="P"/>
    <s v="P"/>
    <s v="-"/>
    <n v="2"/>
    <n v="1"/>
    <n v="2"/>
    <n v="1"/>
    <s v="-"/>
    <s v="-"/>
    <s v="-"/>
    <s v="-"/>
    <s v="-"/>
    <s v="-"/>
    <s v="-"/>
    <n v="6"/>
    <n v="6"/>
    <s v="-"/>
    <n v="1"/>
    <n v="1"/>
    <n v="2"/>
    <n v="2"/>
    <n v="8"/>
    <n v="8"/>
  </r>
  <r>
    <x v="1"/>
    <x v="35"/>
    <d v="1899-12-30T00:00:00"/>
    <s v="3RD"/>
    <d v="1899-12-31T02:00:00"/>
    <n v="2"/>
    <x v="10"/>
    <n v="2.2000000000000001E-3"/>
    <s v="P"/>
    <s v="P"/>
    <s v="P"/>
    <s v="+"/>
    <s v="+"/>
    <n v="12.43"/>
    <s v="-"/>
    <s v="-"/>
    <s v="-"/>
    <s v="-"/>
    <s v="-"/>
    <s v="-"/>
    <s v="-"/>
    <s v="-"/>
    <s v="P"/>
    <s v="P"/>
    <s v="-"/>
    <n v="2"/>
    <n v="1"/>
    <n v="2"/>
    <n v="1"/>
    <s v="-"/>
    <s v="-"/>
    <s v="-"/>
    <s v="-"/>
    <s v="-"/>
    <s v="-"/>
    <s v="-"/>
    <n v="6"/>
    <n v="6"/>
    <s v="-"/>
    <n v="1"/>
    <n v="1"/>
    <n v="2"/>
    <n v="2"/>
    <n v="8"/>
    <n v="8"/>
  </r>
  <r>
    <x v="1"/>
    <x v="35"/>
    <d v="1899-12-30T00:00:00"/>
    <s v="2ND"/>
    <d v="1899-12-30T15:00:00"/>
    <n v="2"/>
    <x v="23"/>
    <n v="3.0000000000000001E-3"/>
    <s v="P"/>
    <s v="P"/>
    <s v="P"/>
    <s v="-"/>
    <s v="-"/>
    <n v="12.55"/>
    <n v="11.99"/>
    <n v="0.42"/>
    <n v="65.400000000000006"/>
    <n v="21.5"/>
    <n v="630"/>
    <n v="33.4"/>
    <s v="-"/>
    <s v="-"/>
    <s v="P"/>
    <s v="P"/>
    <s v="-"/>
    <n v="2"/>
    <n v="1"/>
    <n v="2"/>
    <n v="1"/>
    <n v="1"/>
    <n v="2"/>
    <n v="2"/>
    <n v="1"/>
    <n v="1"/>
    <n v="2"/>
    <s v="-"/>
    <n v="15"/>
    <n v="15"/>
    <s v="-"/>
    <n v="1"/>
    <n v="1"/>
    <n v="2"/>
    <n v="2"/>
    <n v="17"/>
    <n v="17"/>
  </r>
  <r>
    <x v="1"/>
    <x v="35"/>
    <d v="1899-12-30T00:00:00"/>
    <s v="2ND"/>
    <d v="1899-12-30T16:00:00"/>
    <n v="2"/>
    <x v="23"/>
    <n v="1.6000000000000001E-3"/>
    <s v="P"/>
    <s v="P"/>
    <s v="P"/>
    <s v="-"/>
    <s v="-"/>
    <n v="12.26"/>
    <s v="-"/>
    <s v="-"/>
    <s v="-"/>
    <s v="-"/>
    <s v="-"/>
    <s v="-"/>
    <s v="-"/>
    <s v="-"/>
    <s v="P"/>
    <s v="P"/>
    <s v="-"/>
    <n v="2"/>
    <n v="1"/>
    <n v="2"/>
    <n v="1"/>
    <s v="-"/>
    <s v="-"/>
    <s v="-"/>
    <s v="-"/>
    <s v="-"/>
    <s v="-"/>
    <s v="-"/>
    <n v="6"/>
    <n v="6"/>
    <s v="-"/>
    <n v="1"/>
    <n v="1"/>
    <n v="2"/>
    <n v="2"/>
    <n v="8"/>
    <n v="8"/>
  </r>
  <r>
    <x v="1"/>
    <x v="35"/>
    <d v="2026-02-11T00:00:00"/>
    <s v="3RD"/>
    <d v="1899-12-31T00:00:00"/>
    <n v="3"/>
    <x v="12"/>
    <n v="1.41E-2"/>
    <s v="P"/>
    <s v="P"/>
    <s v="P"/>
    <s v="+"/>
    <s v="+"/>
    <n v="12.95"/>
    <n v="13.34"/>
    <n v="0.55000000000000004"/>
    <n v="64.400000000000006"/>
    <n v="14.8"/>
    <n v="937"/>
    <n v="13.34"/>
    <s v="-"/>
    <s v="-"/>
    <s v="P"/>
    <s v="P"/>
    <s v="99.5% .5%"/>
    <n v="2"/>
    <n v="1"/>
    <n v="2"/>
    <n v="1"/>
    <s v="-"/>
    <n v="2"/>
    <n v="2"/>
    <s v="-"/>
    <s v="-"/>
    <n v="0"/>
    <s v="-"/>
    <n v="10"/>
    <n v="12"/>
    <s v="-"/>
    <n v="1"/>
    <n v="1"/>
    <n v="2"/>
    <n v="2"/>
    <n v="12"/>
    <n v="14"/>
  </r>
  <r>
    <x v="1"/>
    <x v="35"/>
    <d v="2026-02-11T00:00:00"/>
    <s v="3RD"/>
    <d v="1899-12-31T01:00:00"/>
    <n v="3"/>
    <x v="12"/>
    <s v="-"/>
    <s v="P"/>
    <s v="P"/>
    <s v="P"/>
    <s v="+"/>
    <s v="+"/>
    <n v="13.03"/>
    <s v="-"/>
    <s v="-"/>
    <s v="-"/>
    <s v="-"/>
    <s v="-"/>
    <s v="-"/>
    <s v="-"/>
    <s v="-"/>
    <s v="P"/>
    <s v="P"/>
    <s v="-"/>
    <s v="-"/>
    <n v="1"/>
    <n v="2"/>
    <n v="1"/>
    <s v="-"/>
    <s v="-"/>
    <s v="-"/>
    <s v="-"/>
    <s v="-"/>
    <s v="-"/>
    <s v="-"/>
    <n v="4"/>
    <n v="4"/>
    <s v="-"/>
    <n v="1"/>
    <n v="1"/>
    <n v="2"/>
    <n v="2"/>
    <n v="6"/>
    <n v="6"/>
  </r>
  <r>
    <x v="1"/>
    <x v="35"/>
    <d v="2026-02-11T00:00:00"/>
    <s v="3RD"/>
    <d v="1899-12-31T02:00:00"/>
    <n v="3"/>
    <x v="12"/>
    <n v="6.7999999999999996E-3"/>
    <s v="P"/>
    <s v="P"/>
    <s v="P"/>
    <s v="+"/>
    <s v="+"/>
    <n v="13.22"/>
    <s v="-"/>
    <s v="-"/>
    <s v="-"/>
    <s v="-"/>
    <s v="-"/>
    <s v="-"/>
    <s v="-"/>
    <s v="-"/>
    <s v="P"/>
    <s v="P"/>
    <s v="-"/>
    <n v="2"/>
    <n v="1"/>
    <n v="2"/>
    <n v="1"/>
    <s v="-"/>
    <s v="-"/>
    <s v="-"/>
    <s v="-"/>
    <s v="-"/>
    <s v="-"/>
    <s v="-"/>
    <n v="6"/>
    <n v="6"/>
    <s v="-"/>
    <n v="1"/>
    <n v="1"/>
    <n v="2"/>
    <n v="2"/>
    <n v="8"/>
    <n v="8"/>
  </r>
  <r>
    <x v="1"/>
    <x v="35"/>
    <d v="2026-02-10T00:00:00"/>
    <s v="1ST"/>
    <s v="06:00"/>
    <n v="3"/>
    <x v="8"/>
    <n v="5.4000000000000003E-3"/>
    <s v="P"/>
    <s v="P"/>
    <s v="P"/>
    <s v="+"/>
    <s v="+"/>
    <n v="13.42"/>
    <s v="-"/>
    <s v="-"/>
    <s v="-"/>
    <s v="-"/>
    <s v="-"/>
    <s v="-"/>
    <s v="-"/>
    <s v="-"/>
    <s v="P"/>
    <s v="P"/>
    <n v="1"/>
    <n v="2"/>
    <n v="1"/>
    <n v="2"/>
    <n v="1"/>
    <s v="-"/>
    <s v="-"/>
    <s v="-"/>
    <s v="-"/>
    <s v="-"/>
    <s v="-"/>
    <s v="-"/>
    <n v="6"/>
    <n v="6"/>
    <s v="-"/>
    <n v="1"/>
    <n v="1"/>
    <n v="2"/>
    <n v="2"/>
    <n v="8"/>
    <n v="8"/>
  </r>
  <r>
    <x v="1"/>
    <x v="35"/>
    <d v="2026-02-10T00:00:00"/>
    <s v="1ST"/>
    <s v="07:00"/>
    <n v="3"/>
    <x v="8"/>
    <n v="4.4000000000000003E-3"/>
    <s v="P"/>
    <s v="P"/>
    <s v="P"/>
    <s v="+"/>
    <s v="+"/>
    <n v="13.183"/>
    <s v="-"/>
    <s v="-"/>
    <s v="-"/>
    <s v="-"/>
    <s v="-"/>
    <s v="-"/>
    <s v="-"/>
    <s v="-"/>
    <s v="P"/>
    <s v="P"/>
    <s v="-"/>
    <n v="2"/>
    <n v="1"/>
    <n v="2"/>
    <n v="1"/>
    <s v="-"/>
    <s v="-"/>
    <s v="-"/>
    <s v="-"/>
    <s v="-"/>
    <s v="-"/>
    <s v="-"/>
    <n v="6"/>
    <n v="6"/>
    <s v="-"/>
    <n v="1"/>
    <n v="1"/>
    <n v="2"/>
    <n v="2"/>
    <n v="8"/>
    <n v="8"/>
  </r>
  <r>
    <x v="1"/>
    <x v="35"/>
    <d v="2026-02-10T00:00:00"/>
    <s v="1ST"/>
    <s v="08:00"/>
    <n v="3"/>
    <x v="8"/>
    <n v="1.6000000000000001E-3"/>
    <s v="P"/>
    <s v="P"/>
    <s v="P"/>
    <s v="+"/>
    <s v="+"/>
    <n v="13.47"/>
    <s v="-"/>
    <s v="-"/>
    <s v="-"/>
    <s v="-"/>
    <s v="-"/>
    <s v="-"/>
    <s v="-"/>
    <s v="-"/>
    <s v="P"/>
    <s v="P"/>
    <s v="-"/>
    <n v="2"/>
    <n v="1"/>
    <n v="2"/>
    <n v="1"/>
    <s v="-"/>
    <s v="-"/>
    <s v="-"/>
    <s v="-"/>
    <s v="-"/>
    <s v="-"/>
    <s v="-"/>
    <n v="6"/>
    <n v="6"/>
    <s v="-"/>
    <n v="1"/>
    <n v="1"/>
    <n v="2"/>
    <n v="2"/>
    <n v="8"/>
    <n v="8"/>
  </r>
  <r>
    <x v="1"/>
    <x v="35"/>
    <d v="2026-02-10T00:00:00"/>
    <s v="2ND"/>
    <d v="1899-12-30T16:00:00"/>
    <n v="3"/>
    <x v="8"/>
    <n v="6.6E-3"/>
    <s v="P"/>
    <s v="P"/>
    <s v="P"/>
    <s v="+"/>
    <s v="+"/>
    <n v="13.75"/>
    <n v="13.11"/>
    <s v="-"/>
    <s v="-"/>
    <s v="-"/>
    <s v="-"/>
    <n v="35.11"/>
    <s v="-"/>
    <s v="-"/>
    <s v="P"/>
    <s v="P"/>
    <s v="-"/>
    <n v="2"/>
    <n v="1"/>
    <n v="2"/>
    <n v="0"/>
    <n v="1"/>
    <s v="-"/>
    <s v="-"/>
    <s v="-"/>
    <s v="-"/>
    <s v="-"/>
    <s v="-"/>
    <n v="6"/>
    <n v="7"/>
    <s v="-"/>
    <n v="1"/>
    <n v="1"/>
    <n v="2"/>
    <n v="2"/>
    <n v="8"/>
    <n v="9"/>
  </r>
  <r>
    <x v="1"/>
    <x v="35"/>
    <d v="2026-02-10T00:00:00"/>
    <s v="2ND"/>
    <d v="1899-12-30T18:00:00"/>
    <n v="3"/>
    <x v="8"/>
    <n v="1.32E-2"/>
    <s v="P"/>
    <s v="P"/>
    <s v="P"/>
    <s v="+"/>
    <s v="+"/>
    <n v="13.4"/>
    <s v="-"/>
    <s v="-"/>
    <s v="-"/>
    <s v="-"/>
    <s v="-"/>
    <s v="-"/>
    <s v="-"/>
    <s v="-"/>
    <s v="P"/>
    <s v="P"/>
    <s v="-"/>
    <n v="2"/>
    <n v="1"/>
    <n v="2"/>
    <n v="1"/>
    <s v="-"/>
    <s v="-"/>
    <s v="-"/>
    <s v="-"/>
    <s v="-"/>
    <s v="-"/>
    <s v="-"/>
    <n v="6"/>
    <n v="6"/>
    <s v="-"/>
    <n v="1"/>
    <n v="1"/>
    <n v="2"/>
    <n v="2"/>
    <n v="8"/>
    <n v="8"/>
  </r>
  <r>
    <x v="1"/>
    <x v="35"/>
    <d v="2026-02-10T00:00:00"/>
    <s v="2ND"/>
    <d v="1899-12-30T20:00:00"/>
    <n v="3"/>
    <x v="1"/>
    <n v="8.2000000000000007E-3"/>
    <s v="P"/>
    <s v="P"/>
    <s v="P"/>
    <s v="+"/>
    <s v="+"/>
    <n v="13.32"/>
    <n v="13.04"/>
    <s v="-"/>
    <n v="63.9"/>
    <s v="-"/>
    <s v="-"/>
    <n v="36.4"/>
    <s v="-"/>
    <s v="-"/>
    <s v="P"/>
    <s v="P"/>
    <s v="-"/>
    <n v="2"/>
    <n v="1"/>
    <n v="2"/>
    <n v="1"/>
    <n v="1"/>
    <s v="-"/>
    <n v="0"/>
    <s v="-"/>
    <s v="-"/>
    <n v="2"/>
    <s v="-"/>
    <n v="9"/>
    <n v="11"/>
    <s v="-"/>
    <n v="1"/>
    <n v="1"/>
    <n v="2"/>
    <n v="2"/>
    <n v="11"/>
    <n v="13"/>
  </r>
  <r>
    <x v="1"/>
    <x v="35"/>
    <d v="2026-02-10T00:00:00"/>
    <s v="2ND"/>
    <d v="1899-12-30T21:00:00"/>
    <n v="3"/>
    <x v="1"/>
    <n v="1.1599999999999999E-2"/>
    <s v="P"/>
    <s v="P"/>
    <s v="P"/>
    <s v="+"/>
    <s v="+"/>
    <n v="12.96"/>
    <s v="-"/>
    <s v="-"/>
    <s v="-"/>
    <s v="-"/>
    <s v="-"/>
    <s v="-"/>
    <s v="-"/>
    <s v="-"/>
    <s v="P"/>
    <s v="P"/>
    <s v="-"/>
    <n v="2"/>
    <n v="1"/>
    <n v="2"/>
    <n v="1"/>
    <s v="-"/>
    <s v="-"/>
    <s v="-"/>
    <s v="-"/>
    <s v="-"/>
    <s v="-"/>
    <s v="-"/>
    <n v="6"/>
    <n v="6"/>
    <s v="-"/>
    <n v="1"/>
    <n v="1"/>
    <n v="2"/>
    <n v="2"/>
    <n v="8"/>
    <n v="8"/>
  </r>
  <r>
    <x v="1"/>
    <x v="35"/>
    <d v="2026-02-10T00:00:00"/>
    <s v="3RD"/>
    <d v="1899-12-30T22:00:00"/>
    <n v="3"/>
    <x v="1"/>
    <n v="5.8999999999999999E-3"/>
    <s v="P"/>
    <s v="P"/>
    <s v="P"/>
    <s v="+"/>
    <s v="+"/>
    <n v="13.15"/>
    <n v="12.95"/>
    <s v="-"/>
    <s v="-"/>
    <s v="-"/>
    <s v="-"/>
    <n v="36.1"/>
    <s v="-"/>
    <s v="-"/>
    <s v="P"/>
    <s v="P"/>
    <n v="1"/>
    <n v="2"/>
    <n v="1"/>
    <n v="2"/>
    <n v="1"/>
    <n v="1"/>
    <s v="-"/>
    <s v="-"/>
    <s v="-"/>
    <s v="-"/>
    <n v="2"/>
    <s v="-"/>
    <n v="9"/>
    <n v="9"/>
    <s v="-"/>
    <n v="1"/>
    <n v="1"/>
    <n v="2"/>
    <n v="2"/>
    <n v="11"/>
    <n v="11"/>
  </r>
  <r>
    <x v="1"/>
    <x v="35"/>
    <d v="1899-12-30T00:00:00"/>
    <s v="3RD"/>
    <d v="1899-12-31T00:00:00"/>
    <s v="Retail"/>
    <x v="13"/>
    <s v="-"/>
    <s v="-"/>
    <s v="-"/>
    <s v="-"/>
    <s v="-"/>
    <s v="-"/>
    <n v="12.75"/>
    <s v="-"/>
    <n v="4.82"/>
    <s v="-"/>
    <s v="-"/>
    <s v="-"/>
    <s v="-"/>
    <s v="-"/>
    <s v="-"/>
    <s v="-"/>
    <s v="-"/>
    <s v="-"/>
    <s v="-"/>
    <s v="-"/>
    <s v="-"/>
    <n v="1"/>
    <s v="-"/>
    <n v="2"/>
    <s v="-"/>
    <s v="-"/>
    <s v="-"/>
    <s v="-"/>
    <s v="-"/>
    <n v="3"/>
    <n v="3"/>
    <s v="-"/>
    <s v="-"/>
    <s v="-"/>
    <n v="0"/>
    <n v="0"/>
    <n v="3"/>
    <n v="3"/>
  </r>
  <r>
    <x v="1"/>
    <x v="35"/>
    <d v="1902-03-26T00:00:00"/>
    <s v="1ST"/>
    <s v="06:00"/>
    <n v="2"/>
    <x v="4"/>
    <n v="2.8999999999999998E-3"/>
    <s v="P"/>
    <s v="P"/>
    <s v="P"/>
    <s v="-"/>
    <s v="+"/>
    <n v="11.05"/>
    <n v="8.5"/>
    <n v="0.55000000000000004"/>
    <n v="54.6"/>
    <s v="-"/>
    <s v="-"/>
    <n v="22.92"/>
    <s v="-"/>
    <s v="-"/>
    <s v="P"/>
    <s v="P"/>
    <s v="-"/>
    <n v="2"/>
    <n v="1"/>
    <n v="2"/>
    <n v="1"/>
    <n v="1"/>
    <n v="2"/>
    <n v="2"/>
    <s v="-"/>
    <s v="-"/>
    <n v="2"/>
    <s v="-"/>
    <n v="13"/>
    <n v="13"/>
    <s v="-"/>
    <n v="1"/>
    <n v="1"/>
    <n v="2"/>
    <n v="2"/>
    <n v="15"/>
    <n v="15"/>
  </r>
  <r>
    <x v="1"/>
    <x v="35"/>
    <d v="1899-12-30T00:00:00"/>
    <s v="1ST"/>
    <s v="08:00"/>
    <n v="2"/>
    <x v="4"/>
    <n v="4.7999999999999996E-3"/>
    <s v="P"/>
    <s v="P"/>
    <s v="P"/>
    <s v="-"/>
    <s v="+"/>
    <n v="11.07"/>
    <s v="-"/>
    <s v="-"/>
    <s v="-"/>
    <s v="-"/>
    <s v="-"/>
    <s v="-"/>
    <s v="-"/>
    <s v="-"/>
    <s v="P"/>
    <s v="P"/>
    <s v="-"/>
    <n v="2"/>
    <n v="1"/>
    <n v="2"/>
    <n v="1"/>
    <s v="-"/>
    <s v="-"/>
    <s v="-"/>
    <s v="-"/>
    <s v="-"/>
    <s v="-"/>
    <s v="-"/>
    <n v="6"/>
    <n v="6"/>
    <s v="-"/>
    <n v="1"/>
    <n v="1"/>
    <n v="2"/>
    <n v="2"/>
    <n v="8"/>
    <n v="8"/>
  </r>
  <r>
    <x v="1"/>
    <x v="35"/>
    <d v="1899-12-30T00:00:00"/>
    <s v="1ST"/>
    <s v="10:00"/>
    <n v="2"/>
    <x v="4"/>
    <n v="8.0000000000000004E-4"/>
    <s v="P"/>
    <s v="P"/>
    <s v="P"/>
    <s v="-"/>
    <s v="+"/>
    <n v="11.05"/>
    <s v="-"/>
    <s v="-"/>
    <s v="-"/>
    <s v="-"/>
    <s v="-"/>
    <s v="-"/>
    <s v="-"/>
    <s v="-"/>
    <s v="P"/>
    <s v="P"/>
    <s v="-"/>
    <n v="2"/>
    <n v="1"/>
    <n v="2"/>
    <n v="1"/>
    <s v="-"/>
    <s v="-"/>
    <s v="-"/>
    <s v="-"/>
    <s v="-"/>
    <s v="-"/>
    <s v="-"/>
    <n v="6"/>
    <n v="6"/>
    <s v="-"/>
    <n v="1"/>
    <n v="1"/>
    <n v="2"/>
    <n v="2"/>
    <n v="8"/>
    <n v="8"/>
  </r>
  <r>
    <x v="1"/>
    <x v="35"/>
    <d v="1899-12-30T00:00:00"/>
    <s v="1ST"/>
    <s v="11:00"/>
    <n v="2"/>
    <x v="4"/>
    <s v="-"/>
    <s v="P"/>
    <s v="P"/>
    <s v="P"/>
    <s v="-"/>
    <s v="+"/>
    <s v="-"/>
    <s v="-"/>
    <s v="-"/>
    <s v="-"/>
    <s v="-"/>
    <s v="-"/>
    <s v="-"/>
    <s v="-"/>
    <s v="-"/>
    <s v="P"/>
    <s v="P"/>
    <s v="-"/>
    <s v="-"/>
    <n v="1"/>
    <n v="2"/>
    <s v="-"/>
    <s v="-"/>
    <s v="-"/>
    <s v="-"/>
    <s v="-"/>
    <s v="-"/>
    <s v="-"/>
    <s v="-"/>
    <n v="3"/>
    <n v="3"/>
    <s v="-"/>
    <n v="1"/>
    <n v="1"/>
    <n v="2"/>
    <n v="2"/>
    <n v="5"/>
    <n v="5"/>
  </r>
  <r>
    <x v="1"/>
    <x v="35"/>
    <d v="1899-12-30T00:00:00"/>
    <s v="1ST"/>
    <s v="12:00"/>
    <n v="2"/>
    <x v="4"/>
    <s v="-"/>
    <s v="P"/>
    <s v="P"/>
    <s v="P"/>
    <s v="-"/>
    <s v="+"/>
    <s v="-"/>
    <s v="-"/>
    <s v="-"/>
    <s v="-"/>
    <s v="-"/>
    <s v="-"/>
    <s v="-"/>
    <s v="-"/>
    <s v="-"/>
    <s v="P"/>
    <s v="P"/>
    <s v="-"/>
    <s v="-"/>
    <n v="1"/>
    <n v="2"/>
    <s v="-"/>
    <s v="-"/>
    <s v="-"/>
    <s v="-"/>
    <s v="-"/>
    <s v="-"/>
    <s v="-"/>
    <s v="-"/>
    <n v="3"/>
    <n v="3"/>
    <s v="-"/>
    <n v="1"/>
    <n v="1"/>
    <n v="2"/>
    <n v="2"/>
    <n v="5"/>
    <n v="5"/>
  </r>
  <r>
    <x v="1"/>
    <x v="35"/>
    <d v="1899-12-30T00:00:00"/>
    <s v="1ST"/>
    <s v="13:00"/>
    <n v="2"/>
    <x v="4"/>
    <s v="-"/>
    <s v="P"/>
    <s v="P"/>
    <s v="P"/>
    <s v="-"/>
    <s v="+"/>
    <s v="-"/>
    <s v="-"/>
    <s v="-"/>
    <s v="-"/>
    <s v="-"/>
    <s v="-"/>
    <s v="-"/>
    <s v="-"/>
    <s v="-"/>
    <s v="P"/>
    <s v="P"/>
    <s v="-"/>
    <s v="-"/>
    <n v="1"/>
    <n v="2"/>
    <s v="-"/>
    <s v="-"/>
    <s v="-"/>
    <s v="-"/>
    <s v="-"/>
    <s v="-"/>
    <s v="-"/>
    <s v="-"/>
    <n v="3"/>
    <n v="3"/>
    <s v="-"/>
    <n v="1"/>
    <n v="1"/>
    <n v="2"/>
    <n v="2"/>
    <n v="5"/>
    <n v="5"/>
  </r>
  <r>
    <x v="1"/>
    <x v="35"/>
    <d v="1899-12-30T00:00:00"/>
    <s v="2ND"/>
    <d v="1899-12-30T14:00:00"/>
    <s v="Retail"/>
    <x v="9"/>
    <s v="-"/>
    <s v="-"/>
    <s v="-"/>
    <s v="-"/>
    <s v="-"/>
    <s v="-"/>
    <n v="9.8000000000000007"/>
    <s v="-"/>
    <n v="4.32"/>
    <s v="-"/>
    <s v="-"/>
    <s v="-"/>
    <s v="-"/>
    <s v="-"/>
    <s v="-"/>
    <s v="-"/>
    <s v="-"/>
    <s v="-"/>
    <s v="-"/>
    <s v="-"/>
    <s v="-"/>
    <n v="0"/>
    <s v="-"/>
    <n v="2"/>
    <s v="-"/>
    <s v="-"/>
    <s v="-"/>
    <s v="-"/>
    <s v="-"/>
    <n v="2"/>
    <n v="3"/>
    <s v="-"/>
    <s v="-"/>
    <s v="-"/>
    <n v="0"/>
    <n v="0"/>
    <n v="2"/>
    <n v="3"/>
  </r>
  <r>
    <x v="1"/>
    <x v="35"/>
    <d v="2026-02-11T00:00:00"/>
    <s v="3RD"/>
    <d v="1899-12-31T03:00:00"/>
    <n v="3"/>
    <x v="16"/>
    <n v="8.2000000000000007E-3"/>
    <s v="P"/>
    <s v="P"/>
    <s v="P"/>
    <s v="+"/>
    <s v="+"/>
    <n v="12.68"/>
    <n v="13.5"/>
    <s v="-"/>
    <n v="64.3"/>
    <n v="14"/>
    <n v="831"/>
    <n v="37.9"/>
    <s v="-"/>
    <s v="-"/>
    <s v="P"/>
    <s v="P"/>
    <n v="1"/>
    <n v="2"/>
    <n v="1"/>
    <n v="2"/>
    <n v="1"/>
    <n v="1"/>
    <s v="-"/>
    <n v="2"/>
    <n v="1"/>
    <n v="1"/>
    <n v="2"/>
    <s v="-"/>
    <n v="13"/>
    <n v="13"/>
    <s v="-"/>
    <n v="1"/>
    <n v="1"/>
    <n v="2"/>
    <n v="2"/>
    <n v="15"/>
    <n v="15"/>
  </r>
  <r>
    <x v="1"/>
    <x v="35"/>
    <s v="-"/>
    <s v="1ST"/>
    <s v="06:00"/>
    <n v="1"/>
    <x v="40"/>
    <n v="4.3E-3"/>
    <s v="P"/>
    <s v="P"/>
    <s v="P"/>
    <s v="-"/>
    <s v="-"/>
    <n v="10.94"/>
    <n v="8.65"/>
    <n v="0.56000000000000005"/>
    <n v="54.9"/>
    <s v="-"/>
    <s v="-"/>
    <n v="23.24"/>
    <s v="-"/>
    <s v="-"/>
    <s v="P"/>
    <s v="P"/>
    <n v="1"/>
    <n v="2"/>
    <n v="1"/>
    <n v="2"/>
    <n v="0"/>
    <n v="1"/>
    <n v="2"/>
    <n v="2"/>
    <s v="-"/>
    <s v="-"/>
    <n v="2"/>
    <s v="-"/>
    <n v="12"/>
    <n v="13"/>
    <s v="-"/>
    <n v="1"/>
    <n v="1"/>
    <n v="2"/>
    <n v="2"/>
    <n v="14"/>
    <n v="15"/>
  </r>
  <r>
    <x v="1"/>
    <x v="35"/>
    <d v="2026-02-11T00:00:00"/>
    <s v="1ST"/>
    <s v="07:00"/>
    <n v="1"/>
    <x v="40"/>
    <n v="4.0000000000000001E-3"/>
    <s v="P"/>
    <s v="P"/>
    <s v="P"/>
    <s v="-"/>
    <s v="-"/>
    <n v="11.28"/>
    <s v="-"/>
    <s v="-"/>
    <s v="-"/>
    <s v="-"/>
    <s v="-"/>
    <s v="-"/>
    <s v="-"/>
    <s v="-"/>
    <s v="P"/>
    <s v="P"/>
    <s v="-"/>
    <n v="2"/>
    <n v="1"/>
    <n v="2"/>
    <n v="1"/>
    <s v="-"/>
    <s v="-"/>
    <s v="-"/>
    <s v="-"/>
    <s v="-"/>
    <s v="-"/>
    <s v="-"/>
    <n v="6"/>
    <n v="6"/>
    <s v="-"/>
    <n v="1"/>
    <n v="1"/>
    <n v="2"/>
    <n v="2"/>
    <n v="8"/>
    <n v="8"/>
  </r>
  <r>
    <x v="1"/>
    <x v="35"/>
    <d v="2026-02-11T00:00:00"/>
    <s v="1ST"/>
    <s v="08:00"/>
    <n v="1"/>
    <x v="40"/>
    <n v="4.1999999999999997E-3"/>
    <s v="P"/>
    <s v="P"/>
    <s v="P"/>
    <s v="-"/>
    <s v="-"/>
    <n v="10.99"/>
    <s v="-"/>
    <s v="-"/>
    <s v="-"/>
    <s v="-"/>
    <s v="-"/>
    <s v="-"/>
    <s v="-"/>
    <s v="-"/>
    <s v="P"/>
    <s v="P"/>
    <s v="-"/>
    <n v="2"/>
    <n v="1"/>
    <n v="2"/>
    <n v="0"/>
    <s v="-"/>
    <s v="-"/>
    <s v="-"/>
    <s v="-"/>
    <s v="-"/>
    <s v="-"/>
    <s v="-"/>
    <n v="5"/>
    <n v="6"/>
    <s v="-"/>
    <n v="1"/>
    <n v="1"/>
    <n v="2"/>
    <n v="2"/>
    <n v="7"/>
    <n v="8"/>
  </r>
  <r>
    <x v="1"/>
    <x v="35"/>
    <d v="2026-02-11T00:00:00"/>
    <s v="1ST"/>
    <s v="10:00"/>
    <n v="1"/>
    <x v="40"/>
    <n v="2.3999999999999998E-3"/>
    <s v="P"/>
    <s v="P"/>
    <s v="P"/>
    <s v="-"/>
    <s v="-"/>
    <n v="11.45"/>
    <s v="-"/>
    <s v="-"/>
    <s v="-"/>
    <s v="-"/>
    <s v="-"/>
    <s v="-"/>
    <s v="-"/>
    <s v="-"/>
    <s v="P"/>
    <s v="P"/>
    <s v="-"/>
    <n v="2"/>
    <n v="1"/>
    <n v="2"/>
    <n v="1"/>
    <s v="-"/>
    <s v="-"/>
    <s v="-"/>
    <s v="-"/>
    <s v="-"/>
    <s v="-"/>
    <s v="-"/>
    <n v="6"/>
    <n v="6"/>
    <s v="-"/>
    <n v="1"/>
    <n v="1"/>
    <n v="2"/>
    <n v="2"/>
    <n v="8"/>
    <n v="8"/>
  </r>
  <r>
    <x v="1"/>
    <x v="35"/>
    <d v="2026-02-11T00:00:00"/>
    <s v="1ST"/>
    <s v="11:00"/>
    <n v="1"/>
    <x v="40"/>
    <s v="-"/>
    <s v="P"/>
    <s v="P"/>
    <s v="P"/>
    <s v="-"/>
    <s v="-"/>
    <s v="-"/>
    <s v="-"/>
    <s v="-"/>
    <s v="-"/>
    <s v="-"/>
    <s v="-"/>
    <s v="-"/>
    <s v="-"/>
    <s v="-"/>
    <s v="P"/>
    <s v="P"/>
    <s v="-"/>
    <s v="-"/>
    <n v="1"/>
    <n v="2"/>
    <s v="-"/>
    <s v="-"/>
    <s v="-"/>
    <s v="-"/>
    <s v="-"/>
    <s v="-"/>
    <s v="-"/>
    <s v="-"/>
    <n v="3"/>
    <n v="3"/>
    <s v="-"/>
    <n v="1"/>
    <n v="1"/>
    <n v="2"/>
    <n v="2"/>
    <n v="5"/>
    <n v="5"/>
  </r>
  <r>
    <x v="1"/>
    <x v="35"/>
    <d v="2026-02-11T00:00:00"/>
    <s v="1ST"/>
    <s v="12:00"/>
    <n v="1"/>
    <x v="40"/>
    <s v="-"/>
    <s v="P"/>
    <s v="P"/>
    <s v="P"/>
    <s v="-"/>
    <s v="-"/>
    <s v="-"/>
    <s v="-"/>
    <s v="-"/>
    <s v="-"/>
    <s v="-"/>
    <s v="-"/>
    <s v="-"/>
    <s v="-"/>
    <s v="-"/>
    <s v="P"/>
    <s v="P"/>
    <s v="-"/>
    <s v="-"/>
    <n v="1"/>
    <n v="2"/>
    <s v="-"/>
    <s v="-"/>
    <s v="-"/>
    <s v="-"/>
    <s v="-"/>
    <s v="-"/>
    <s v="-"/>
    <s v="-"/>
    <n v="3"/>
    <n v="3"/>
    <s v="-"/>
    <n v="1"/>
    <n v="1"/>
    <n v="2"/>
    <n v="2"/>
    <n v="5"/>
    <n v="5"/>
  </r>
  <r>
    <x v="1"/>
    <x v="35"/>
    <d v="2026-02-11T00:00:00"/>
    <s v="1ST"/>
    <s v="13:00"/>
    <n v="1"/>
    <x v="40"/>
    <s v="-"/>
    <s v="P"/>
    <s v="P"/>
    <s v="P"/>
    <s v="-"/>
    <s v="-"/>
    <s v="-"/>
    <s v="-"/>
    <s v="-"/>
    <s v="-"/>
    <s v="-"/>
    <s v="-"/>
    <s v="-"/>
    <s v="-"/>
    <s v="-"/>
    <s v="P"/>
    <s v="P"/>
    <s v="-"/>
    <s v="-"/>
    <n v="1"/>
    <n v="2"/>
    <s v="-"/>
    <s v="-"/>
    <s v="-"/>
    <s v="-"/>
    <s v="-"/>
    <s v="-"/>
    <s v="-"/>
    <s v="-"/>
    <n v="3"/>
    <n v="3"/>
    <s v="-"/>
    <n v="1"/>
    <n v="1"/>
    <n v="2"/>
    <n v="2"/>
    <n v="5"/>
    <n v="5"/>
  </r>
  <r>
    <x v="1"/>
    <x v="35"/>
    <s v="-"/>
    <s v="2ND"/>
    <d v="1899-12-30T14:00:00"/>
    <n v="1"/>
    <x v="22"/>
    <n v="3.3999999999999998E-3"/>
    <s v="P"/>
    <s v="P"/>
    <s v="P"/>
    <s v="-"/>
    <s v="-"/>
    <n v="11.43"/>
    <s v="-"/>
    <s v="-"/>
    <s v="-"/>
    <s v="-"/>
    <s v="-"/>
    <s v="-"/>
    <s v="-"/>
    <s v="-"/>
    <s v="P"/>
    <s v="P"/>
    <s v="-"/>
    <n v="2"/>
    <n v="1"/>
    <n v="2"/>
    <n v="1"/>
    <s v="-"/>
    <s v="-"/>
    <s v="-"/>
    <s v="-"/>
    <s v="-"/>
    <s v="-"/>
    <s v="-"/>
    <n v="6"/>
    <n v="6"/>
    <s v="-"/>
    <n v="1"/>
    <n v="1"/>
    <n v="2"/>
    <n v="2"/>
    <n v="8"/>
    <n v="8"/>
  </r>
  <r>
    <x v="1"/>
    <x v="35"/>
    <d v="2026-02-11T00:00:00"/>
    <s v="2ND"/>
    <d v="1899-12-30T15:00:00"/>
    <n v="1"/>
    <x v="22"/>
    <n v="3.5999999999999999E-3"/>
    <s v="P"/>
    <s v="P"/>
    <s v="P"/>
    <s v="-"/>
    <s v="-"/>
    <n v="11.48"/>
    <n v="8.65"/>
    <s v="-"/>
    <s v="-"/>
    <s v="-"/>
    <s v="-"/>
    <n v="23.29"/>
    <s v="-"/>
    <s v="-"/>
    <s v="P"/>
    <s v="P"/>
    <s v="-"/>
    <n v="2"/>
    <n v="1"/>
    <n v="2"/>
    <n v="1"/>
    <n v="1"/>
    <s v="-"/>
    <s v="-"/>
    <s v="-"/>
    <s v="-"/>
    <n v="2"/>
    <s v="-"/>
    <n v="9"/>
    <n v="9"/>
    <s v="-"/>
    <n v="1"/>
    <n v="1"/>
    <n v="2"/>
    <n v="2"/>
    <n v="11"/>
    <n v="11"/>
  </r>
  <r>
    <x v="1"/>
    <x v="35"/>
    <d v="2026-02-11T00:00:00"/>
    <s v="2ND"/>
    <d v="1899-12-30T16:00:00"/>
    <n v="1"/>
    <x v="22"/>
    <n v="4.4999999999999997E-3"/>
    <s v="P"/>
    <s v="P"/>
    <s v="P"/>
    <s v="-"/>
    <s v="-"/>
    <n v="11.45"/>
    <s v="-"/>
    <s v="-"/>
    <s v="-"/>
    <s v="-"/>
    <s v="-"/>
    <s v="-"/>
    <s v="-"/>
    <s v="-"/>
    <s v="P"/>
    <s v="P"/>
    <s v="-"/>
    <n v="2"/>
    <n v="1"/>
    <n v="2"/>
    <n v="1"/>
    <s v="-"/>
    <s v="-"/>
    <s v="-"/>
    <s v="-"/>
    <s v="-"/>
    <s v="-"/>
    <s v="-"/>
    <n v="6"/>
    <n v="6"/>
    <s v="-"/>
    <n v="1"/>
    <n v="1"/>
    <n v="2"/>
    <n v="2"/>
    <n v="8"/>
    <n v="8"/>
  </r>
  <r>
    <x v="1"/>
    <x v="35"/>
    <d v="2026-02-11T00:00:00"/>
    <s v="2ND"/>
    <d v="1899-12-30T18:00:00"/>
    <n v="1"/>
    <x v="22"/>
    <n v="7.1999999999999998E-3"/>
    <s v="P"/>
    <s v="P"/>
    <s v="P"/>
    <s v="-"/>
    <s v="-"/>
    <n v="11.36"/>
    <s v="-"/>
    <s v="-"/>
    <s v="-"/>
    <s v="-"/>
    <s v="-"/>
    <s v="-"/>
    <s v="-"/>
    <s v="-"/>
    <s v="P"/>
    <s v="P"/>
    <s v="-"/>
    <n v="2"/>
    <n v="1"/>
    <n v="2"/>
    <n v="1"/>
    <s v="-"/>
    <s v="-"/>
    <s v="-"/>
    <s v="-"/>
    <s v="-"/>
    <s v="-"/>
    <s v="-"/>
    <n v="6"/>
    <n v="6"/>
    <s v="-"/>
    <n v="1"/>
    <n v="1"/>
    <n v="2"/>
    <n v="2"/>
    <n v="8"/>
    <n v="8"/>
  </r>
  <r>
    <x v="1"/>
    <x v="35"/>
    <d v="2026-02-11T00:00:00"/>
    <s v="2ND"/>
    <d v="1899-12-30T20:00:00"/>
    <n v="1"/>
    <x v="22"/>
    <n v="6.4000000000000003E-3"/>
    <s v="P"/>
    <s v="P"/>
    <s v="P"/>
    <s v="-"/>
    <s v="-"/>
    <n v="11.41"/>
    <s v="-"/>
    <s v="-"/>
    <s v="-"/>
    <s v="-"/>
    <s v="-"/>
    <s v="-"/>
    <s v="-"/>
    <s v="-"/>
    <s v="P"/>
    <s v="P"/>
    <s v="-"/>
    <n v="2"/>
    <n v="1"/>
    <n v="2"/>
    <n v="1"/>
    <s v="-"/>
    <s v="-"/>
    <s v="-"/>
    <s v="-"/>
    <s v="-"/>
    <s v="-"/>
    <s v="-"/>
    <n v="6"/>
    <n v="6"/>
    <s v="-"/>
    <n v="1"/>
    <n v="1"/>
    <n v="2"/>
    <n v="2"/>
    <n v="8"/>
    <n v="8"/>
  </r>
  <r>
    <x v="1"/>
    <x v="36"/>
    <d v="1899-12-30T00:00:00"/>
    <s v="3RD"/>
    <d v="1899-12-31T00:00:00"/>
    <n v="2"/>
    <x v="6"/>
    <n v="4.4999999999999997E-3"/>
    <s v="P"/>
    <s v="P"/>
    <s v="P"/>
    <s v="+"/>
    <s v="+"/>
    <n v="12.69"/>
    <n v="12.56"/>
    <s v="-"/>
    <s v="-"/>
    <s v="-"/>
    <s v="-"/>
    <n v="35"/>
    <s v="-"/>
    <s v="-"/>
    <s v="P"/>
    <s v="P"/>
    <s v="-"/>
    <n v="2"/>
    <n v="1"/>
    <n v="2"/>
    <n v="1"/>
    <n v="1"/>
    <s v="-"/>
    <s v="-"/>
    <s v="-"/>
    <s v="-"/>
    <n v="2"/>
    <s v="-"/>
    <n v="9"/>
    <n v="9"/>
    <s v="-"/>
    <n v="1"/>
    <n v="1"/>
    <n v="2"/>
    <n v="2"/>
    <n v="11"/>
    <n v="11"/>
  </r>
  <r>
    <x v="1"/>
    <x v="36"/>
    <d v="1899-12-30T00:00:00"/>
    <s v="3RD"/>
    <d v="1899-12-31T01:00:00"/>
    <n v="2"/>
    <x v="6"/>
    <n v="1.1900000000000001E-2"/>
    <s v="P"/>
    <s v="P"/>
    <s v="P"/>
    <s v="+"/>
    <s v="+"/>
    <n v="12.72"/>
    <s v="-"/>
    <s v="-"/>
    <s v="-"/>
    <s v="-"/>
    <s v="-"/>
    <s v="-"/>
    <s v="-"/>
    <s v="-"/>
    <s v="P"/>
    <s v="P"/>
    <s v="-"/>
    <n v="2"/>
    <n v="1"/>
    <n v="2"/>
    <n v="1"/>
    <s v="-"/>
    <s v="-"/>
    <s v="-"/>
    <s v="-"/>
    <s v="-"/>
    <s v="-"/>
    <s v="-"/>
    <n v="6"/>
    <n v="6"/>
    <s v="-"/>
    <n v="1"/>
    <n v="1"/>
    <n v="2"/>
    <n v="2"/>
    <n v="8"/>
    <n v="8"/>
  </r>
  <r>
    <x v="1"/>
    <x v="36"/>
    <d v="1899-12-30T00:00:00"/>
    <s v="3RD"/>
    <d v="1899-12-31T03:00:00"/>
    <n v="2"/>
    <x v="6"/>
    <n v="1.6000000000000001E-3"/>
    <s v="P"/>
    <s v="P"/>
    <s v="P"/>
    <s v="+"/>
    <s v="+"/>
    <n v="12.71"/>
    <s v="-"/>
    <s v="-"/>
    <s v="-"/>
    <s v="-"/>
    <s v="-"/>
    <s v="-"/>
    <s v="-"/>
    <s v="-"/>
    <s v="P"/>
    <s v="P"/>
    <s v="-"/>
    <n v="2"/>
    <n v="1"/>
    <n v="2"/>
    <n v="1"/>
    <s v="-"/>
    <s v="-"/>
    <s v="-"/>
    <s v="-"/>
    <s v="-"/>
    <s v="-"/>
    <s v="-"/>
    <n v="6"/>
    <n v="6"/>
    <s v="-"/>
    <n v="1"/>
    <n v="1"/>
    <n v="2"/>
    <n v="2"/>
    <n v="8"/>
    <n v="8"/>
  </r>
  <r>
    <x v="1"/>
    <x v="36"/>
    <d v="1899-12-30T00:00:00"/>
    <s v="3RD"/>
    <d v="1899-12-31T04:00:00"/>
    <n v="2"/>
    <x v="6"/>
    <n v="6.8999999999999999E-3"/>
    <s v="P"/>
    <s v="P"/>
    <s v="P"/>
    <s v="+"/>
    <s v="+"/>
    <n v="12.52"/>
    <s v="-"/>
    <s v="-"/>
    <s v="-"/>
    <s v="-"/>
    <s v="-"/>
    <s v="-"/>
    <s v="-"/>
    <s v="-"/>
    <s v="P"/>
    <s v="P"/>
    <s v="-"/>
    <n v="2"/>
    <n v="1"/>
    <n v="2"/>
    <n v="1"/>
    <s v="-"/>
    <s v="-"/>
    <s v="-"/>
    <s v="-"/>
    <s v="-"/>
    <s v="-"/>
    <s v="-"/>
    <n v="6"/>
    <n v="6"/>
    <s v="-"/>
    <n v="1"/>
    <n v="1"/>
    <n v="2"/>
    <n v="2"/>
    <n v="8"/>
    <n v="8"/>
  </r>
  <r>
    <x v="1"/>
    <x v="36"/>
    <d v="1899-12-30T00:00:00"/>
    <s v="3RD"/>
    <d v="1899-12-31T05:00:00"/>
    <n v="2"/>
    <x v="6"/>
    <n v="1.11E-2"/>
    <s v="P"/>
    <s v="P"/>
    <s v="P"/>
    <s v="+"/>
    <s v="+"/>
    <n v="12.45"/>
    <s v="-"/>
    <s v="-"/>
    <s v="-"/>
    <s v="-"/>
    <s v="-"/>
    <s v="-"/>
    <s v="-"/>
    <s v="-"/>
    <s v="P"/>
    <s v="P"/>
    <s v="-"/>
    <n v="2"/>
    <n v="1"/>
    <n v="2"/>
    <n v="1"/>
    <s v="-"/>
    <s v="-"/>
    <s v="-"/>
    <s v="-"/>
    <s v="-"/>
    <s v="-"/>
    <s v="-"/>
    <n v="6"/>
    <n v="6"/>
    <s v="-"/>
    <n v="1"/>
    <n v="1"/>
    <n v="2"/>
    <n v="2"/>
    <n v="8"/>
    <n v="8"/>
  </r>
  <r>
    <x v="1"/>
    <x v="36"/>
    <d v="1902-03-26T00:00:00"/>
    <s v="2ND"/>
    <d v="1899-12-30T20:00:00"/>
    <n v="2"/>
    <x v="30"/>
    <n v="5.7000000000000002E-3"/>
    <s v="P"/>
    <s v="P"/>
    <s v="P"/>
    <s v="+"/>
    <s v="+"/>
    <n v="12.55"/>
    <n v="12.57"/>
    <n v="0.53"/>
    <n v="63.9"/>
    <s v="-"/>
    <s v="-"/>
    <n v="35.200000000000003"/>
    <s v="-"/>
    <n v="25.12"/>
    <s v="P"/>
    <s v="P"/>
    <s v="-"/>
    <n v="2"/>
    <n v="1"/>
    <n v="2"/>
    <n v="1"/>
    <n v="1"/>
    <n v="2"/>
    <n v="0"/>
    <s v="-"/>
    <s v="-"/>
    <n v="2"/>
    <s v="-"/>
    <n v="11"/>
    <n v="13"/>
    <n v="1"/>
    <n v="1"/>
    <n v="1"/>
    <n v="3"/>
    <n v="3"/>
    <n v="14"/>
    <n v="16"/>
  </r>
  <r>
    <x v="1"/>
    <x v="36"/>
    <d v="1899-12-30T00:00:00"/>
    <s v="2ND"/>
    <d v="1899-12-30T21:00:00"/>
    <n v="2"/>
    <x v="30"/>
    <n v="6.1999999999999998E-3"/>
    <s v="P"/>
    <s v="P"/>
    <s v="P"/>
    <s v="+"/>
    <s v="+"/>
    <n v="12.43"/>
    <s v="-"/>
    <s v="-"/>
    <s v="-"/>
    <s v="-"/>
    <s v="-"/>
    <s v="-"/>
    <s v="-"/>
    <s v="-"/>
    <s v="P"/>
    <s v="P"/>
    <s v="-"/>
    <n v="2"/>
    <n v="1"/>
    <n v="2"/>
    <n v="1"/>
    <s v="-"/>
    <s v="-"/>
    <s v="-"/>
    <s v="-"/>
    <s v="-"/>
    <s v="-"/>
    <s v="-"/>
    <n v="6"/>
    <n v="6"/>
    <s v="-"/>
    <n v="1"/>
    <n v="1"/>
    <n v="2"/>
    <n v="2"/>
    <n v="8"/>
    <n v="8"/>
  </r>
  <r>
    <x v="1"/>
    <x v="36"/>
    <d v="1902-03-26T00:00:00"/>
    <s v="3RD"/>
    <d v="1899-12-30T23:00:00"/>
    <n v="2"/>
    <x v="30"/>
    <n v="7.6E-3"/>
    <s v="P"/>
    <s v="P"/>
    <s v="P"/>
    <s v="+"/>
    <s v="+"/>
    <n v="12.35"/>
    <s v="-"/>
    <s v="-"/>
    <s v="-"/>
    <s v="-"/>
    <s v="-"/>
    <s v="-"/>
    <s v="-"/>
    <n v="25.14"/>
    <s v="P"/>
    <s v="P"/>
    <s v="-"/>
    <n v="2"/>
    <n v="1"/>
    <n v="2"/>
    <n v="1"/>
    <s v="-"/>
    <s v="-"/>
    <s v="-"/>
    <s v="-"/>
    <s v="-"/>
    <s v="-"/>
    <s v="-"/>
    <n v="6"/>
    <n v="6"/>
    <n v="1"/>
    <n v="1"/>
    <n v="1"/>
    <n v="3"/>
    <n v="3"/>
    <n v="9"/>
    <n v="9"/>
  </r>
  <r>
    <x v="1"/>
    <x v="36"/>
    <d v="2026-02-11T00:00:00"/>
    <s v="2ND"/>
    <d v="1899-12-30T19:00:00"/>
    <n v="3"/>
    <x v="16"/>
    <n v="7.9000000000000008E-3"/>
    <s v="P"/>
    <s v="P"/>
    <s v="P"/>
    <s v="+"/>
    <s v="+"/>
    <n v="12.02"/>
    <n v="13.09"/>
    <n v="0.55000000000000004"/>
    <n v="64.099999999999994"/>
    <s v="-"/>
    <s v="-"/>
    <n v="36.799999999999997"/>
    <s v="-"/>
    <n v="25.15"/>
    <s v="P"/>
    <s v="P"/>
    <n v="1"/>
    <n v="2"/>
    <n v="1"/>
    <n v="2"/>
    <n v="1"/>
    <n v="1"/>
    <n v="2"/>
    <n v="2"/>
    <s v="-"/>
    <s v="-"/>
    <n v="2"/>
    <s v="-"/>
    <n v="13"/>
    <n v="13"/>
    <n v="1"/>
    <n v="1"/>
    <n v="1"/>
    <n v="3"/>
    <n v="3"/>
    <n v="16"/>
    <n v="16"/>
  </r>
  <r>
    <x v="1"/>
    <x v="36"/>
    <d v="2026-02-11T00:00:00"/>
    <s v="2ND"/>
    <d v="1899-12-30T20:00:00"/>
    <n v="3"/>
    <x v="16"/>
    <n v="1.0500000000000001E-2"/>
    <s v="P"/>
    <s v="P"/>
    <s v="P"/>
    <s v="+"/>
    <s v="+"/>
    <n v="12.08"/>
    <s v="-"/>
    <s v="-"/>
    <s v="-"/>
    <s v="-"/>
    <s v="-"/>
    <s v="-"/>
    <s v="-"/>
    <n v="25.15"/>
    <s v="P"/>
    <s v="P"/>
    <s v="-"/>
    <n v="2"/>
    <n v="1"/>
    <n v="2"/>
    <n v="1"/>
    <s v="-"/>
    <s v="-"/>
    <s v="-"/>
    <s v="-"/>
    <s v="-"/>
    <s v="-"/>
    <s v="-"/>
    <n v="6"/>
    <n v="6"/>
    <n v="1"/>
    <n v="1"/>
    <n v="1"/>
    <n v="3"/>
    <n v="3"/>
    <n v="9"/>
    <n v="9"/>
  </r>
  <r>
    <x v="1"/>
    <x v="36"/>
    <d v="2026-02-11T00:00:00"/>
    <s v="2ND"/>
    <d v="1899-12-30T21:00:00"/>
    <n v="3"/>
    <x v="16"/>
    <n v="6.7999999999999996E-3"/>
    <s v="P"/>
    <s v="P"/>
    <s v="P"/>
    <s v="+"/>
    <s v="+"/>
    <n v="12.24"/>
    <s v="-"/>
    <s v="-"/>
    <s v="-"/>
    <s v="-"/>
    <s v="-"/>
    <s v="-"/>
    <s v="-"/>
    <n v="25.15"/>
    <s v="P"/>
    <s v="P"/>
    <s v="-"/>
    <n v="2"/>
    <n v="1"/>
    <n v="2"/>
    <n v="1"/>
    <s v="-"/>
    <s v="-"/>
    <s v="-"/>
    <s v="-"/>
    <s v="-"/>
    <s v="-"/>
    <s v="-"/>
    <n v="6"/>
    <n v="6"/>
    <n v="1"/>
    <n v="1"/>
    <n v="1"/>
    <n v="3"/>
    <n v="3"/>
    <n v="9"/>
    <n v="9"/>
  </r>
  <r>
    <x v="1"/>
    <x v="36"/>
    <d v="2026-02-11T00:00:00"/>
    <s v="3RD"/>
    <d v="1899-12-30T22:00:00"/>
    <n v="3"/>
    <x v="16"/>
    <n v="1.04E-2"/>
    <s v="P"/>
    <s v="P"/>
    <s v="P"/>
    <s v="+"/>
    <s v="+"/>
    <n v="12.25"/>
    <n v="12.97"/>
    <s v="-"/>
    <s v="-"/>
    <s v="-"/>
    <s v="-"/>
    <n v="36.4"/>
    <s v="-"/>
    <n v="25.15"/>
    <s v="P"/>
    <s v="P"/>
    <n v="1"/>
    <n v="2"/>
    <n v="1"/>
    <n v="2"/>
    <n v="1"/>
    <n v="1"/>
    <s v="-"/>
    <s v="-"/>
    <s v="-"/>
    <s v="-"/>
    <n v="2"/>
    <s v="-"/>
    <n v="9"/>
    <n v="9"/>
    <n v="1"/>
    <n v="1"/>
    <n v="1"/>
    <n v="3"/>
    <n v="3"/>
    <n v="12"/>
    <n v="12"/>
  </r>
  <r>
    <x v="1"/>
    <x v="36"/>
    <d v="2026-02-11T00:00:00"/>
    <s v="3RD"/>
    <d v="1899-12-30T23:00:00"/>
    <n v="3"/>
    <x v="16"/>
    <n v="8.0999999999999996E-3"/>
    <s v="P"/>
    <s v="P"/>
    <s v="P"/>
    <s v="+"/>
    <s v="+"/>
    <n v="12.1"/>
    <s v="-"/>
    <s v="-"/>
    <s v="-"/>
    <s v="-"/>
    <s v="-"/>
    <s v="-"/>
    <s v="-"/>
    <s v="-"/>
    <s v="P"/>
    <s v="P"/>
    <s v="-"/>
    <n v="2"/>
    <n v="1"/>
    <n v="2"/>
    <n v="1"/>
    <s v="-"/>
    <s v="-"/>
    <s v="-"/>
    <s v="-"/>
    <s v="-"/>
    <s v="-"/>
    <s v="-"/>
    <n v="6"/>
    <n v="6"/>
    <s v="-"/>
    <n v="1"/>
    <n v="1"/>
    <n v="2"/>
    <n v="2"/>
    <n v="8"/>
    <n v="8"/>
  </r>
  <r>
    <x v="1"/>
    <x v="36"/>
    <d v="2026-02-11T00:00:00"/>
    <s v="3RD"/>
    <d v="1899-12-31T00:00:00"/>
    <n v="3"/>
    <x v="16"/>
    <n v="4.8999999999999998E-3"/>
    <s v="P"/>
    <s v="P"/>
    <s v="P"/>
    <s v="+"/>
    <s v="+"/>
    <n v="13.09"/>
    <s v="-"/>
    <s v="-"/>
    <s v="-"/>
    <s v="-"/>
    <s v="-"/>
    <s v="-"/>
    <s v="-"/>
    <s v="-"/>
    <s v="P"/>
    <s v="P"/>
    <s v="-"/>
    <n v="2"/>
    <n v="1"/>
    <n v="2"/>
    <n v="1"/>
    <s v="-"/>
    <s v="-"/>
    <s v="-"/>
    <s v="-"/>
    <s v="-"/>
    <s v="-"/>
    <s v="-"/>
    <n v="6"/>
    <n v="6"/>
    <s v="-"/>
    <n v="1"/>
    <n v="1"/>
    <n v="2"/>
    <n v="2"/>
    <n v="8"/>
    <n v="8"/>
  </r>
  <r>
    <x v="1"/>
    <x v="36"/>
    <d v="2026-02-11T00:00:00"/>
    <s v="3RD"/>
    <d v="1899-12-31T01:00:00"/>
    <n v="3"/>
    <x v="16"/>
    <s v="-"/>
    <s v="P"/>
    <s v="P"/>
    <s v="P"/>
    <s v="+"/>
    <s v="+"/>
    <n v="12.05"/>
    <s v="-"/>
    <s v="-"/>
    <s v="-"/>
    <s v="-"/>
    <s v="-"/>
    <s v="-"/>
    <s v="-"/>
    <s v="-"/>
    <s v="P"/>
    <s v="P"/>
    <s v="-"/>
    <s v="-"/>
    <n v="1"/>
    <n v="2"/>
    <n v="1"/>
    <s v="-"/>
    <s v="-"/>
    <s v="-"/>
    <s v="-"/>
    <s v="-"/>
    <s v="-"/>
    <s v="-"/>
    <n v="4"/>
    <n v="4"/>
    <s v="-"/>
    <n v="1"/>
    <n v="1"/>
    <n v="2"/>
    <n v="2"/>
    <n v="6"/>
    <n v="6"/>
  </r>
  <r>
    <x v="1"/>
    <x v="36"/>
    <d v="2026-02-11T00:00:00"/>
    <s v="3RD"/>
    <d v="1899-12-31T03:00:00"/>
    <n v="3"/>
    <x v="16"/>
    <n v="2.8999999999999998E-3"/>
    <s v="P"/>
    <s v="P"/>
    <s v="P"/>
    <s v="+"/>
    <s v="+"/>
    <n v="12.89"/>
    <s v="-"/>
    <s v="-"/>
    <s v="-"/>
    <s v="-"/>
    <s v="-"/>
    <s v="-"/>
    <s v="-"/>
    <s v="-"/>
    <s v="P"/>
    <s v="P"/>
    <s v="-"/>
    <n v="2"/>
    <n v="1"/>
    <n v="2"/>
    <n v="1"/>
    <s v="-"/>
    <s v="-"/>
    <s v="-"/>
    <s v="-"/>
    <s v="-"/>
    <s v="-"/>
    <s v="-"/>
    <n v="6"/>
    <n v="6"/>
    <s v="-"/>
    <n v="1"/>
    <n v="1"/>
    <n v="2"/>
    <n v="2"/>
    <n v="8"/>
    <n v="8"/>
  </r>
  <r>
    <x v="1"/>
    <x v="36"/>
    <d v="2026-02-11T00:00:00"/>
    <s v="3RD"/>
    <d v="1899-12-31T05:00:00"/>
    <n v="3"/>
    <x v="16"/>
    <n v="5.7000000000000002E-3"/>
    <s v="P"/>
    <s v="P"/>
    <s v="P"/>
    <s v="+"/>
    <s v="+"/>
    <n v="12.91"/>
    <s v="-"/>
    <s v="-"/>
    <s v="-"/>
    <s v="-"/>
    <s v="-"/>
    <s v="-"/>
    <s v="-"/>
    <s v="-"/>
    <s v="P"/>
    <s v="P"/>
    <s v="-"/>
    <n v="2"/>
    <n v="1"/>
    <n v="2"/>
    <n v="1"/>
    <s v="-"/>
    <s v="-"/>
    <s v="-"/>
    <s v="-"/>
    <s v="-"/>
    <s v="-"/>
    <s v="-"/>
    <n v="6"/>
    <n v="6"/>
    <s v="-"/>
    <n v="1"/>
    <n v="1"/>
    <n v="2"/>
    <n v="2"/>
    <n v="8"/>
    <n v="8"/>
  </r>
  <r>
    <x v="1"/>
    <x v="37"/>
    <d v="1902-03-26T00:00:00"/>
    <s v="1ST"/>
    <s v="06:00"/>
    <n v="2"/>
    <x v="6"/>
    <n v="1.23E-2"/>
    <s v="P"/>
    <s v="P"/>
    <s v="P"/>
    <s v="+"/>
    <s v="+"/>
    <n v="12.35"/>
    <n v="12.15"/>
    <n v="0.53"/>
    <n v="63.3"/>
    <n v="11.5"/>
    <n v="749"/>
    <n v="34"/>
    <s v="-"/>
    <s v="-"/>
    <s v="P"/>
    <s v="P"/>
    <s v="-"/>
    <n v="2"/>
    <n v="1"/>
    <n v="2"/>
    <n v="1"/>
    <n v="1"/>
    <n v="2"/>
    <n v="0"/>
    <n v="0"/>
    <n v="1"/>
    <n v="2"/>
    <s v="-"/>
    <n v="12"/>
    <n v="15"/>
    <s v="-"/>
    <n v="1"/>
    <n v="1"/>
    <n v="2"/>
    <n v="2"/>
    <n v="14"/>
    <n v="17"/>
  </r>
  <r>
    <x v="1"/>
    <x v="37"/>
    <d v="1899-12-30T00:00:00"/>
    <s v="3RD"/>
    <d v="1899-12-31T00:00:00"/>
    <n v="2"/>
    <x v="7"/>
    <n v="6.1999999999999998E-3"/>
    <s v="P"/>
    <s v="P"/>
    <s v="P"/>
    <s v="-"/>
    <s v="+"/>
    <n v="11.06"/>
    <n v="8.5399999999999991"/>
    <n v="0.57999999999999996"/>
    <n v="56.1"/>
    <s v="-"/>
    <s v="-"/>
    <n v="23.07"/>
    <s v="-"/>
    <s v="-"/>
    <s v="P"/>
    <s v="P"/>
    <s v="-"/>
    <n v="2"/>
    <n v="1"/>
    <n v="2"/>
    <n v="1"/>
    <n v="1"/>
    <n v="2"/>
    <n v="2"/>
    <s v="-"/>
    <s v="-"/>
    <n v="2"/>
    <s v="-"/>
    <n v="13"/>
    <n v="13"/>
    <s v="-"/>
    <n v="1"/>
    <n v="1"/>
    <n v="2"/>
    <n v="2"/>
    <n v="15"/>
    <n v="15"/>
  </r>
  <r>
    <x v="1"/>
    <x v="37"/>
    <d v="1899-12-30T00:00:00"/>
    <s v="3RD"/>
    <d v="1899-12-31T01:00:00"/>
    <n v="2"/>
    <x v="7"/>
    <n v="8.6E-3"/>
    <s v="P"/>
    <s v="P"/>
    <s v="P"/>
    <s v="-"/>
    <s v="+"/>
    <n v="11"/>
    <s v="-"/>
    <s v="-"/>
    <s v="-"/>
    <s v="-"/>
    <s v="-"/>
    <s v="-"/>
    <s v="-"/>
    <s v="-"/>
    <s v="P"/>
    <s v="P"/>
    <s v="-"/>
    <n v="2"/>
    <n v="1"/>
    <n v="2"/>
    <n v="1"/>
    <s v="-"/>
    <s v="-"/>
    <s v="-"/>
    <s v="-"/>
    <s v="-"/>
    <s v="-"/>
    <s v="-"/>
    <n v="6"/>
    <n v="6"/>
    <s v="-"/>
    <n v="1"/>
    <n v="1"/>
    <n v="2"/>
    <n v="2"/>
    <n v="8"/>
    <n v="8"/>
  </r>
  <r>
    <x v="1"/>
    <x v="37"/>
    <d v="1899-12-30T00:00:00"/>
    <s v="3RD"/>
    <d v="1899-12-31T02:00:00"/>
    <n v="2"/>
    <x v="7"/>
    <n v="1.3100000000000001E-2"/>
    <s v="P"/>
    <s v="P"/>
    <s v="P"/>
    <s v="-"/>
    <s v="+"/>
    <n v="11.07"/>
    <s v="-"/>
    <s v="-"/>
    <s v="-"/>
    <s v="-"/>
    <s v="-"/>
    <s v="-"/>
    <s v="-"/>
    <s v="-"/>
    <s v="P"/>
    <s v="P"/>
    <s v="-"/>
    <n v="2"/>
    <n v="1"/>
    <n v="2"/>
    <n v="1"/>
    <s v="-"/>
    <s v="-"/>
    <s v="-"/>
    <s v="-"/>
    <s v="-"/>
    <s v="-"/>
    <s v="-"/>
    <n v="6"/>
    <n v="6"/>
    <s v="-"/>
    <n v="1"/>
    <n v="1"/>
    <n v="2"/>
    <n v="2"/>
    <n v="8"/>
    <n v="8"/>
  </r>
  <r>
    <x v="1"/>
    <x v="37"/>
    <d v="1899-12-30T00:00:00"/>
    <s v="3RD"/>
    <d v="1899-12-31T03:00:00"/>
    <n v="2"/>
    <x v="7"/>
    <n v="1.38E-2"/>
    <s v="P"/>
    <s v="P"/>
    <s v="P"/>
    <s v="-"/>
    <s v="+"/>
    <n v="11.22"/>
    <s v="-"/>
    <s v="-"/>
    <s v="-"/>
    <s v="-"/>
    <s v="-"/>
    <s v="-"/>
    <s v="-"/>
    <s v="-"/>
    <s v="P"/>
    <s v="P"/>
    <s v="-"/>
    <n v="2"/>
    <n v="1"/>
    <n v="2"/>
    <n v="1"/>
    <s v="-"/>
    <s v="-"/>
    <s v="-"/>
    <s v="-"/>
    <s v="-"/>
    <s v="-"/>
    <s v="-"/>
    <n v="6"/>
    <n v="6"/>
    <s v="-"/>
    <n v="1"/>
    <n v="1"/>
    <n v="2"/>
    <n v="2"/>
    <n v="8"/>
    <n v="8"/>
  </r>
  <r>
    <x v="1"/>
    <x v="37"/>
    <d v="1899-12-30T00:00:00"/>
    <s v="3RD"/>
    <d v="1899-12-31T04:00:00"/>
    <n v="2"/>
    <x v="7"/>
    <n v="6.0000000000000001E-3"/>
    <s v="P"/>
    <s v="P"/>
    <s v="P"/>
    <s v="-"/>
    <s v="+"/>
    <n v="11.16"/>
    <s v="-"/>
    <s v="-"/>
    <s v="-"/>
    <s v="-"/>
    <s v="-"/>
    <s v="-"/>
    <s v="-"/>
    <s v="-"/>
    <s v="P"/>
    <s v="P"/>
    <s v="-"/>
    <n v="2"/>
    <n v="1"/>
    <n v="2"/>
    <n v="1"/>
    <s v="-"/>
    <s v="-"/>
    <s v="-"/>
    <s v="-"/>
    <s v="-"/>
    <s v="-"/>
    <s v="-"/>
    <n v="6"/>
    <n v="6"/>
    <s v="-"/>
    <n v="1"/>
    <n v="1"/>
    <n v="2"/>
    <n v="2"/>
    <n v="8"/>
    <n v="8"/>
  </r>
  <r>
    <x v="1"/>
    <x v="37"/>
    <d v="2026-02-03T00:00:00"/>
    <s v="1ST"/>
    <s v="09:00"/>
    <n v="3"/>
    <x v="29"/>
    <n v="1.5900000000000001E-2"/>
    <s v="P"/>
    <s v="P"/>
    <s v="P"/>
    <s v="+"/>
    <s v="+"/>
    <n v="12.56"/>
    <n v="12.33"/>
    <n v="0.52"/>
    <n v="61"/>
    <s v="-"/>
    <s v="-"/>
    <n v="34.5"/>
    <s v="-"/>
    <s v="-"/>
    <s v="P"/>
    <s v="P"/>
    <s v="95% 5%"/>
    <n v="2"/>
    <n v="1"/>
    <n v="2"/>
    <n v="1"/>
    <s v="-"/>
    <s v="-"/>
    <s v="-"/>
    <s v="-"/>
    <s v="-"/>
    <s v="-"/>
    <s v="-"/>
    <n v="6"/>
    <n v="6"/>
    <s v="-"/>
    <n v="1"/>
    <n v="1"/>
    <n v="2"/>
    <n v="2"/>
    <n v="8"/>
    <n v="8"/>
  </r>
  <r>
    <x v="1"/>
    <x v="37"/>
    <d v="2026-02-11T00:00:00"/>
    <s v="3RD"/>
    <d v="1899-12-30T22:00:00"/>
    <n v="3"/>
    <x v="29"/>
    <n v="4.4999999999999997E-3"/>
    <s v="P"/>
    <s v="P"/>
    <s v="P"/>
    <s v="-"/>
    <s v="+"/>
    <n v="13.52"/>
    <n v="12.26"/>
    <n v="0.54"/>
    <n v="63.2"/>
    <n v="19.2"/>
    <n v="791"/>
    <n v="34.1"/>
    <s v="-"/>
    <s v="-"/>
    <s v="P"/>
    <s v="P"/>
    <s v="-"/>
    <n v="2"/>
    <n v="1"/>
    <n v="2"/>
    <n v="1"/>
    <s v="-"/>
    <s v="-"/>
    <s v="-"/>
    <s v="-"/>
    <s v="-"/>
    <s v="-"/>
    <s v="-"/>
    <n v="6"/>
    <n v="6"/>
    <s v="-"/>
    <n v="1"/>
    <n v="1"/>
    <n v="2"/>
    <n v="2"/>
    <n v="8"/>
    <n v="8"/>
  </r>
  <r>
    <x v="1"/>
    <x v="37"/>
    <d v="2026-02-15T00:00:00"/>
    <s v="1ST"/>
    <s v="08:00"/>
    <n v="3"/>
    <x v="8"/>
    <n v="9.1999999999999998E-3"/>
    <s v="P"/>
    <s v="P"/>
    <s v="P"/>
    <s v="+"/>
    <s v="+"/>
    <n v="13.47"/>
    <n v="12.7"/>
    <n v="0.55000000000000004"/>
    <n v="63"/>
    <n v="13.6"/>
    <s v="-"/>
    <n v="34.5"/>
    <s v="-"/>
    <s v="-"/>
    <s v="P"/>
    <s v="P"/>
    <n v="1"/>
    <n v="2"/>
    <n v="1"/>
    <n v="2"/>
    <n v="1"/>
    <n v="1"/>
    <n v="2"/>
    <n v="0"/>
    <s v="-"/>
    <s v="-"/>
    <s v="-"/>
    <s v="-"/>
    <n v="9"/>
    <n v="11"/>
    <s v="-"/>
    <n v="1"/>
    <n v="1"/>
    <n v="2"/>
    <n v="2"/>
    <n v="11"/>
    <n v="13"/>
  </r>
  <r>
    <x v="1"/>
    <x v="37"/>
    <d v="2026-01-23T00:00:00"/>
    <s v="1ST"/>
    <s v="12:00"/>
    <n v="3"/>
    <x v="1"/>
    <n v="1.5900000000000001E-2"/>
    <s v="P"/>
    <s v="P"/>
    <s v="P"/>
    <s v="+"/>
    <s v="+"/>
    <n v="12.81"/>
    <n v="12.86"/>
    <n v="0.51"/>
    <n v="64"/>
    <s v="-"/>
    <s v="-"/>
    <n v="36"/>
    <s v="-"/>
    <s v="-"/>
    <s v="P"/>
    <s v="P"/>
    <s v="85% 5% 10%"/>
    <n v="2"/>
    <n v="1"/>
    <n v="2"/>
    <n v="1"/>
    <n v="1"/>
    <n v="2"/>
    <n v="2"/>
    <s v="-"/>
    <s v="-"/>
    <n v="2"/>
    <s v="-"/>
    <n v="13"/>
    <n v="13"/>
    <s v="-"/>
    <n v="1"/>
    <n v="1"/>
    <n v="2"/>
    <n v="2"/>
    <n v="15"/>
    <n v="15"/>
  </r>
  <r>
    <x v="1"/>
    <x v="37"/>
    <d v="2026-01-23T00:00:00"/>
    <s v="2ND"/>
    <d v="1899-12-30T14:00:00"/>
    <n v="3"/>
    <x v="1"/>
    <n v="1.0200000000000001E-2"/>
    <s v="P"/>
    <s v="P"/>
    <s v="P"/>
    <s v="+"/>
    <s v="+"/>
    <n v="12.88"/>
    <n v="12.97"/>
    <s v="-"/>
    <s v="-"/>
    <s v="-"/>
    <s v="-"/>
    <n v="36.200000000000003"/>
    <s v="-"/>
    <s v="-"/>
    <s v="P"/>
    <s v="P"/>
    <s v="85% 5% 10%"/>
    <n v="2"/>
    <n v="1"/>
    <n v="2"/>
    <n v="1"/>
    <n v="1"/>
    <s v="-"/>
    <s v="-"/>
    <s v="-"/>
    <s v="-"/>
    <n v="2"/>
    <s v="-"/>
    <n v="9"/>
    <n v="9"/>
    <s v="-"/>
    <n v="1"/>
    <n v="1"/>
    <n v="2"/>
    <n v="2"/>
    <n v="11"/>
    <n v="11"/>
  </r>
  <r>
    <x v="1"/>
    <x v="37"/>
    <d v="2026-01-23T00:00:00"/>
    <s v="2ND"/>
    <d v="1899-12-30T15:00:00"/>
    <n v="3"/>
    <x v="1"/>
    <n v="1.38E-2"/>
    <s v="P"/>
    <s v="P"/>
    <s v="P"/>
    <s v="+"/>
    <s v="+"/>
    <n v="12.91"/>
    <s v="-"/>
    <s v="-"/>
    <s v="-"/>
    <s v="-"/>
    <s v="-"/>
    <s v="-"/>
    <s v="-"/>
    <s v="-"/>
    <s v="P"/>
    <s v="P"/>
    <s v="-"/>
    <n v="2"/>
    <n v="1"/>
    <n v="2"/>
    <n v="1"/>
    <s v="-"/>
    <s v="-"/>
    <s v="-"/>
    <s v="-"/>
    <s v="-"/>
    <s v="-"/>
    <s v="-"/>
    <n v="6"/>
    <n v="6"/>
    <s v="-"/>
    <n v="1"/>
    <n v="1"/>
    <n v="2"/>
    <n v="2"/>
    <n v="8"/>
    <n v="8"/>
  </r>
  <r>
    <x v="1"/>
    <x v="37"/>
    <d v="2026-01-23T00:00:00"/>
    <s v="2ND"/>
    <d v="1899-12-30T14:00:00"/>
    <n v="3"/>
    <x v="1"/>
    <n v="1.0200000000000001E-2"/>
    <s v="P"/>
    <s v="P"/>
    <s v="P"/>
    <s v="+"/>
    <s v="+"/>
    <n v="12.88"/>
    <n v="12.97"/>
    <s v="-"/>
    <s v="-"/>
    <s v="-"/>
    <s v="-"/>
    <n v="36.200000000000003"/>
    <s v="-"/>
    <s v="-"/>
    <s v="P"/>
    <s v="P"/>
    <s v="85% 5% 10%"/>
    <n v="2"/>
    <n v="1"/>
    <n v="2"/>
    <n v="1"/>
    <n v="1"/>
    <s v="-"/>
    <s v="-"/>
    <s v="-"/>
    <s v="-"/>
    <n v="2"/>
    <s v="-"/>
    <n v="9"/>
    <n v="9"/>
    <s v="-"/>
    <n v="1"/>
    <n v="1"/>
    <n v="2"/>
    <n v="2"/>
    <n v="11"/>
    <n v="11"/>
  </r>
  <r>
    <x v="1"/>
    <x v="37"/>
    <d v="2026-01-23T00:00:00"/>
    <s v="2ND"/>
    <d v="1899-12-30T15:00:00"/>
    <n v="3"/>
    <x v="1"/>
    <n v="1.38E-2"/>
    <s v="P"/>
    <s v="P"/>
    <s v="P"/>
    <s v="+"/>
    <s v="+"/>
    <n v="12.91"/>
    <s v="-"/>
    <s v="-"/>
    <s v="-"/>
    <s v="-"/>
    <s v="-"/>
    <s v="-"/>
    <s v="-"/>
    <s v="-"/>
    <s v="P"/>
    <s v="P"/>
    <s v="-"/>
    <n v="2"/>
    <n v="1"/>
    <n v="2"/>
    <n v="1"/>
    <s v="-"/>
    <s v="-"/>
    <s v="-"/>
    <s v="-"/>
    <s v="-"/>
    <s v="-"/>
    <s v="-"/>
    <n v="6"/>
    <n v="6"/>
    <s v="-"/>
    <n v="1"/>
    <n v="1"/>
    <n v="2"/>
    <n v="2"/>
    <n v="8"/>
    <n v="8"/>
  </r>
  <r>
    <x v="1"/>
    <x v="37"/>
    <d v="2026-01-23T00:00:00"/>
    <s v="3RD"/>
    <d v="1899-12-30T23:00:00"/>
    <n v="3"/>
    <x v="1"/>
    <n v="9.7999999999999997E-3"/>
    <s v="P"/>
    <s v="P"/>
    <s v="P"/>
    <s v="+"/>
    <s v="+"/>
    <n v="12.75"/>
    <n v="12.81"/>
    <s v="-"/>
    <s v="-"/>
    <s v="-"/>
    <s v="-"/>
    <n v="35.9"/>
    <s v="-"/>
    <s v="-"/>
    <s v="P"/>
    <s v="P"/>
    <s v="85% 5% 10%"/>
    <n v="2"/>
    <n v="1"/>
    <n v="2"/>
    <n v="1"/>
    <n v="1"/>
    <s v="-"/>
    <s v="-"/>
    <s v="-"/>
    <s v="-"/>
    <n v="2"/>
    <s v="-"/>
    <n v="9"/>
    <n v="9"/>
    <s v="-"/>
    <n v="1"/>
    <n v="1"/>
    <n v="2"/>
    <n v="2"/>
    <n v="11"/>
    <n v="11"/>
  </r>
  <r>
    <x v="1"/>
    <x v="37"/>
    <d v="2026-01-23T00:00:00"/>
    <s v="3RD"/>
    <d v="1899-12-31T00:00:00"/>
    <n v="3"/>
    <x v="1"/>
    <n v="1.0500000000000001E-2"/>
    <s v="P"/>
    <s v="P"/>
    <s v="P"/>
    <s v="+"/>
    <s v="+"/>
    <n v="12.73"/>
    <s v="-"/>
    <s v="-"/>
    <s v="-"/>
    <s v="-"/>
    <s v="-"/>
    <s v="-"/>
    <s v="-"/>
    <s v="-"/>
    <s v="P"/>
    <s v="P"/>
    <s v="-"/>
    <n v="2"/>
    <n v="1"/>
    <n v="2"/>
    <n v="1"/>
    <s v="-"/>
    <s v="-"/>
    <s v="-"/>
    <s v="-"/>
    <s v="-"/>
    <s v="-"/>
    <s v="-"/>
    <n v="6"/>
    <n v="6"/>
    <s v="-"/>
    <n v="1"/>
    <n v="1"/>
    <n v="2"/>
    <n v="2"/>
    <n v="8"/>
    <n v="8"/>
  </r>
  <r>
    <x v="1"/>
    <x v="37"/>
    <d v="2026-01-23T00:00:00"/>
    <s v="3RD"/>
    <d v="1899-12-31T01:00:00"/>
    <n v="3"/>
    <x v="1"/>
    <n v="1.1299999999999999E-2"/>
    <s v="P"/>
    <s v="P"/>
    <s v="P"/>
    <s v="+"/>
    <s v="+"/>
    <n v="12.83"/>
    <s v="-"/>
    <s v="-"/>
    <s v="-"/>
    <s v="-"/>
    <s v="-"/>
    <s v="-"/>
    <s v="-"/>
    <s v="-"/>
    <s v="P"/>
    <s v="P"/>
    <s v="-"/>
    <n v="2"/>
    <n v="1"/>
    <n v="2"/>
    <n v="1"/>
    <s v="-"/>
    <s v="-"/>
    <s v="-"/>
    <s v="-"/>
    <s v="-"/>
    <s v="-"/>
    <s v="-"/>
    <n v="6"/>
    <n v="6"/>
    <s v="-"/>
    <n v="1"/>
    <n v="1"/>
    <n v="2"/>
    <n v="2"/>
    <n v="8"/>
    <n v="8"/>
  </r>
  <r>
    <x v="1"/>
    <x v="37"/>
    <d v="2026-01-23T00:00:00"/>
    <s v="3RD"/>
    <d v="1899-12-31T02:00:00"/>
    <n v="3"/>
    <x v="1"/>
    <n v="1.44E-2"/>
    <s v="P"/>
    <s v="P"/>
    <s v="P"/>
    <s v="+"/>
    <s v="+"/>
    <n v="12.29"/>
    <s v="-"/>
    <s v="-"/>
    <s v="-"/>
    <s v="-"/>
    <s v="-"/>
    <s v="-"/>
    <s v="-"/>
    <n v="25.12"/>
    <s v="P"/>
    <s v="P"/>
    <s v="-"/>
    <n v="2"/>
    <n v="1"/>
    <n v="2"/>
    <n v="1"/>
    <s v="-"/>
    <s v="-"/>
    <s v="-"/>
    <s v="-"/>
    <s v="-"/>
    <s v="-"/>
    <s v="-"/>
    <n v="6"/>
    <n v="6"/>
    <n v="1"/>
    <n v="1"/>
    <n v="1"/>
    <n v="3"/>
    <n v="3"/>
    <n v="9"/>
    <n v="9"/>
  </r>
  <r>
    <x v="1"/>
    <x v="37"/>
    <d v="2026-01-23T00:00:00"/>
    <s v="3RD"/>
    <d v="1899-12-31T03:00:00"/>
    <n v="3"/>
    <x v="1"/>
    <n v="1.15E-2"/>
    <s v="P"/>
    <s v="P"/>
    <s v="P"/>
    <s v="+"/>
    <s v="+"/>
    <n v="12.77"/>
    <s v="-"/>
    <s v="-"/>
    <s v="-"/>
    <s v="-"/>
    <s v="-"/>
    <s v="-"/>
    <s v="-"/>
    <s v="-"/>
    <s v="P"/>
    <s v="P"/>
    <s v="-"/>
    <n v="2"/>
    <n v="1"/>
    <n v="2"/>
    <n v="1"/>
    <s v="-"/>
    <s v="-"/>
    <s v="-"/>
    <s v="-"/>
    <s v="-"/>
    <s v="-"/>
    <s v="-"/>
    <n v="6"/>
    <n v="6"/>
    <s v="-"/>
    <n v="1"/>
    <n v="1"/>
    <n v="2"/>
    <n v="2"/>
    <n v="8"/>
    <n v="8"/>
  </r>
  <r>
    <x v="1"/>
    <x v="37"/>
    <d v="2026-01-23T00:00:00"/>
    <s v="3RD"/>
    <d v="1899-12-31T04:00:00"/>
    <n v="3"/>
    <x v="1"/>
    <n v="1.1299999999999999E-2"/>
    <s v="P"/>
    <s v="P"/>
    <s v="P"/>
    <s v="+"/>
    <s v="+"/>
    <n v="12.71"/>
    <s v="-"/>
    <s v="-"/>
    <s v="-"/>
    <s v="-"/>
    <s v="-"/>
    <s v="-"/>
    <s v="-"/>
    <s v="-"/>
    <s v="P"/>
    <s v="P"/>
    <s v="-"/>
    <n v="2"/>
    <n v="1"/>
    <n v="2"/>
    <n v="1"/>
    <s v="-"/>
    <s v="-"/>
    <s v="-"/>
    <s v="-"/>
    <s v="-"/>
    <s v="-"/>
    <s v="-"/>
    <n v="6"/>
    <n v="6"/>
    <s v="-"/>
    <n v="1"/>
    <n v="1"/>
    <n v="2"/>
    <n v="2"/>
    <n v="8"/>
    <n v="8"/>
  </r>
  <r>
    <x v="1"/>
    <x v="37"/>
    <d v="1899-12-30T00:00:00"/>
    <s v="2ND"/>
    <d v="1899-12-30T14:00:00"/>
    <s v="Retail"/>
    <x v="13"/>
    <s v="-"/>
    <s v="-"/>
    <s v="-"/>
    <s v="-"/>
    <s v="-"/>
    <s v="-"/>
    <n v="12.99"/>
    <s v="-"/>
    <s v="-"/>
    <s v="-"/>
    <s v="-"/>
    <s v="-"/>
    <s v="-"/>
    <s v="-"/>
    <s v="-"/>
    <s v="-"/>
    <s v="-"/>
    <s v="-"/>
    <s v="-"/>
    <s v="-"/>
    <s v="-"/>
    <n v="1"/>
    <s v="-"/>
    <s v="-"/>
    <s v="-"/>
    <s v="-"/>
    <s v="-"/>
    <s v="-"/>
    <s v="-"/>
    <n v="1"/>
    <n v="1"/>
    <s v="-"/>
    <s v="-"/>
    <s v="-"/>
    <n v="0"/>
    <n v="0"/>
    <n v="1"/>
    <n v="1"/>
  </r>
  <r>
    <x v="1"/>
    <x v="37"/>
    <d v="1899-12-30T00:00:00"/>
    <s v="2ND"/>
    <d v="1899-12-30T16:00:00"/>
    <n v="2"/>
    <x v="15"/>
    <n v="1.18E-2"/>
    <s v="P"/>
    <s v="P"/>
    <s v="P"/>
    <s v="-"/>
    <s v="+"/>
    <n v="10.58"/>
    <n v="8.36"/>
    <n v="0.61"/>
    <n v="55"/>
    <n v="10.199999999999999"/>
    <n v="353"/>
    <n v="22.5"/>
    <s v="-"/>
    <s v="-"/>
    <s v="P"/>
    <s v="P"/>
    <s v="-"/>
    <n v="2"/>
    <n v="1"/>
    <n v="2"/>
    <n v="0"/>
    <n v="0"/>
    <n v="0"/>
    <n v="2"/>
    <n v="0"/>
    <n v="1"/>
    <n v="2"/>
    <s v="-"/>
    <n v="10"/>
    <n v="15"/>
    <s v="-"/>
    <n v="1"/>
    <n v="1"/>
    <n v="2"/>
    <n v="2"/>
    <n v="12"/>
    <n v="17"/>
  </r>
  <r>
    <x v="1"/>
    <x v="37"/>
    <d v="1899-12-30T00:00:00"/>
    <s v="2ND"/>
    <d v="1899-12-30T17:00:00"/>
    <n v="2"/>
    <x v="15"/>
    <n v="1.1599999999999999E-2"/>
    <s v="P"/>
    <s v="P"/>
    <s v="P"/>
    <s v="-"/>
    <s v="+"/>
    <n v="11.16"/>
    <s v="-"/>
    <s v="-"/>
    <s v="-"/>
    <s v="-"/>
    <s v="-"/>
    <s v="-"/>
    <s v="-"/>
    <s v="-"/>
    <s v="P"/>
    <s v="P"/>
    <s v="-"/>
    <n v="2"/>
    <n v="1"/>
    <n v="2"/>
    <n v="1"/>
    <s v="-"/>
    <s v="-"/>
    <s v="-"/>
    <s v="-"/>
    <s v="-"/>
    <s v="-"/>
    <s v="-"/>
    <n v="6"/>
    <n v="6"/>
    <s v="-"/>
    <n v="1"/>
    <n v="1"/>
    <n v="2"/>
    <n v="2"/>
    <n v="8"/>
    <n v="8"/>
  </r>
  <r>
    <x v="1"/>
    <x v="37"/>
    <d v="1899-12-30T00:00:00"/>
    <s v="2ND"/>
    <d v="1899-12-30T18:00:00"/>
    <n v="2"/>
    <x v="15"/>
    <n v="1.4500000000000001E-2"/>
    <s v="P"/>
    <s v="P"/>
    <s v="P"/>
    <s v="-"/>
    <s v="+"/>
    <n v="11.14"/>
    <s v="-"/>
    <s v="-"/>
    <s v="-"/>
    <s v="-"/>
    <s v="-"/>
    <s v="-"/>
    <s v="-"/>
    <s v="-"/>
    <s v="P"/>
    <s v="P"/>
    <s v="-"/>
    <n v="2"/>
    <n v="1"/>
    <n v="2"/>
    <n v="1"/>
    <s v="-"/>
    <s v="-"/>
    <s v="-"/>
    <s v="-"/>
    <s v="-"/>
    <s v="-"/>
    <s v="-"/>
    <n v="6"/>
    <n v="6"/>
    <s v="-"/>
    <n v="1"/>
    <n v="1"/>
    <n v="2"/>
    <n v="2"/>
    <n v="8"/>
    <n v="8"/>
  </r>
  <r>
    <x v="1"/>
    <x v="37"/>
    <d v="1899-12-30T00:00:00"/>
    <s v="2ND"/>
    <d v="1899-12-30T19:00:00"/>
    <n v="2"/>
    <x v="15"/>
    <n v="9.4000000000000004E-3"/>
    <s v="P"/>
    <s v="P"/>
    <s v="P"/>
    <s v="-"/>
    <s v="+"/>
    <n v="11.06"/>
    <s v="-"/>
    <s v="-"/>
    <s v="-"/>
    <s v="-"/>
    <s v="-"/>
    <s v="-"/>
    <s v="-"/>
    <s v="-"/>
    <s v="P"/>
    <s v="P"/>
    <s v="-"/>
    <n v="2"/>
    <n v="1"/>
    <n v="2"/>
    <n v="1"/>
    <s v="-"/>
    <s v="-"/>
    <s v="-"/>
    <s v="-"/>
    <s v="-"/>
    <s v="-"/>
    <s v="-"/>
    <n v="6"/>
    <n v="6"/>
    <s v="-"/>
    <n v="1"/>
    <n v="1"/>
    <n v="2"/>
    <n v="2"/>
    <n v="8"/>
    <n v="8"/>
  </r>
  <r>
    <x v="1"/>
    <x v="37"/>
    <d v="1899-12-30T00:00:00"/>
    <s v="2ND"/>
    <d v="1899-12-30T20:00:00"/>
    <n v="2"/>
    <x v="15"/>
    <n v="1.01E-2"/>
    <s v="P"/>
    <s v="P"/>
    <s v="P"/>
    <s v="-"/>
    <s v="+"/>
    <n v="11.16"/>
    <s v="-"/>
    <s v="-"/>
    <s v="-"/>
    <s v="-"/>
    <s v="-"/>
    <s v="-"/>
    <s v="-"/>
    <s v="-"/>
    <s v="P"/>
    <s v="P"/>
    <s v="-"/>
    <n v="2"/>
    <n v="1"/>
    <n v="2"/>
    <n v="1"/>
    <s v="-"/>
    <s v="-"/>
    <s v="-"/>
    <s v="-"/>
    <s v="-"/>
    <s v="-"/>
    <s v="-"/>
    <n v="6"/>
    <n v="6"/>
    <s v="-"/>
    <n v="1"/>
    <n v="1"/>
    <n v="2"/>
    <n v="2"/>
    <n v="8"/>
    <n v="8"/>
  </r>
  <r>
    <x v="1"/>
    <x v="37"/>
    <d v="1902-03-26T00:00:00"/>
    <s v="3RD"/>
    <d v="1899-12-30T22:00:00"/>
    <n v="2"/>
    <x v="15"/>
    <n v="2.8999999999999998E-3"/>
    <s v="P"/>
    <s v="P"/>
    <s v="P"/>
    <s v="-"/>
    <s v="+"/>
    <n v="11.67"/>
    <n v="8.2100000000000009"/>
    <s v="-"/>
    <s v="-"/>
    <s v="-"/>
    <s v="-"/>
    <n v="21.94"/>
    <s v="-"/>
    <n v="25.15"/>
    <s v="P"/>
    <s v="P"/>
    <s v="-"/>
    <n v="2"/>
    <n v="1"/>
    <n v="2"/>
    <n v="1"/>
    <n v="0"/>
    <s v="-"/>
    <s v="-"/>
    <s v="-"/>
    <s v="-"/>
    <n v="2"/>
    <s v="-"/>
    <n v="8"/>
    <n v="9"/>
    <n v="1"/>
    <n v="1"/>
    <n v="1"/>
    <n v="3"/>
    <n v="3"/>
    <n v="11"/>
    <n v="12"/>
  </r>
  <r>
    <x v="1"/>
    <x v="37"/>
    <d v="1899-12-30T00:00:00"/>
    <s v="3RD"/>
    <d v="1899-12-30T23:00:00"/>
    <n v="2"/>
    <x v="15"/>
    <n v="4.7000000000000002E-3"/>
    <s v="P"/>
    <s v="P"/>
    <s v="P"/>
    <s v="-"/>
    <s v="+"/>
    <n v="11.19"/>
    <s v="-"/>
    <s v="-"/>
    <s v="-"/>
    <s v="-"/>
    <s v="-"/>
    <s v="-"/>
    <s v="-"/>
    <s v="-"/>
    <s v="P"/>
    <s v="P"/>
    <s v="60% 10% 30%"/>
    <n v="2"/>
    <n v="1"/>
    <n v="2"/>
    <n v="1"/>
    <s v="-"/>
    <s v="-"/>
    <s v="-"/>
    <s v="-"/>
    <s v="-"/>
    <s v="-"/>
    <s v="-"/>
    <n v="6"/>
    <n v="6"/>
    <s v="-"/>
    <n v="1"/>
    <n v="1"/>
    <n v="2"/>
    <n v="2"/>
    <n v="8"/>
    <n v="8"/>
  </r>
  <r>
    <x v="1"/>
    <x v="37"/>
    <d v="1902-03-26T00:00:00"/>
    <s v="2ND"/>
    <d v="1899-12-30T14:00:00"/>
    <n v="2"/>
    <x v="4"/>
    <n v="4.4000000000000003E-3"/>
    <s v="P"/>
    <s v="P"/>
    <s v="P"/>
    <s v="-"/>
    <s v="+"/>
    <n v="11.07"/>
    <n v="8.44"/>
    <s v="-"/>
    <s v="-"/>
    <s v="-"/>
    <s v="-"/>
    <n v="22.64"/>
    <s v="-"/>
    <s v="-"/>
    <s v="P"/>
    <s v="P"/>
    <s v="-"/>
    <n v="2"/>
    <n v="1"/>
    <n v="2"/>
    <n v="1"/>
    <n v="0"/>
    <s v="-"/>
    <s v="-"/>
    <s v="-"/>
    <s v="-"/>
    <n v="2"/>
    <s v="-"/>
    <n v="8"/>
    <n v="9"/>
    <s v="-"/>
    <n v="1"/>
    <n v="1"/>
    <n v="2"/>
    <n v="2"/>
    <n v="10"/>
    <n v="11"/>
  </r>
  <r>
    <x v="1"/>
    <x v="37"/>
    <d v="1899-12-30T00:00:00"/>
    <s v="2ND"/>
    <d v="1899-12-30T15:00:00"/>
    <n v="2"/>
    <x v="4"/>
    <n v="3.3E-3"/>
    <s v="P"/>
    <s v="P"/>
    <s v="P"/>
    <s v="-"/>
    <s v="+"/>
    <n v="11.11"/>
    <s v="-"/>
    <s v="-"/>
    <s v="-"/>
    <s v="-"/>
    <s v="-"/>
    <s v="-"/>
    <s v="-"/>
    <s v="-"/>
    <s v="P"/>
    <s v="P"/>
    <s v="-"/>
    <n v="2"/>
    <n v="1"/>
    <n v="2"/>
    <n v="1"/>
    <s v="-"/>
    <s v="-"/>
    <s v="-"/>
    <s v="-"/>
    <s v="-"/>
    <s v="-"/>
    <s v="-"/>
    <n v="6"/>
    <n v="6"/>
    <s v="-"/>
    <n v="1"/>
    <n v="1"/>
    <n v="2"/>
    <n v="2"/>
    <n v="8"/>
    <n v="8"/>
  </r>
  <r>
    <x v="1"/>
    <x v="37"/>
    <d v="1902-03-26T00:00:00"/>
    <s v="1ST"/>
    <s v="10:00"/>
    <n v="2"/>
    <x v="5"/>
    <n v="7.9000000000000008E-3"/>
    <s v="P"/>
    <s v="P"/>
    <s v="P"/>
    <s v="-"/>
    <s v="+"/>
    <n v="11.31"/>
    <n v="8.3000000000000007"/>
    <n v="0.47"/>
    <n v="54.6"/>
    <n v="11.1"/>
    <n v="368"/>
    <n v="22.21"/>
    <s v="-"/>
    <s v="-"/>
    <s v="P"/>
    <s v="P"/>
    <s v="-"/>
    <n v="2"/>
    <n v="1"/>
    <n v="2"/>
    <n v="1"/>
    <n v="0"/>
    <n v="2"/>
    <n v="2"/>
    <s v="-"/>
    <s v="-"/>
    <n v="2"/>
    <s v="-"/>
    <n v="12"/>
    <n v="13"/>
    <s v="-"/>
    <n v="1"/>
    <n v="1"/>
    <n v="2"/>
    <n v="2"/>
    <n v="14"/>
    <n v="15"/>
  </r>
  <r>
    <x v="1"/>
    <x v="37"/>
    <d v="1899-12-30T00:00:00"/>
    <s v="1ST"/>
    <s v="12:00"/>
    <n v="2"/>
    <x v="5"/>
    <n v="6.3E-3"/>
    <s v="P"/>
    <s v="P"/>
    <s v="P"/>
    <s v="-"/>
    <s v="+"/>
    <n v="11.18"/>
    <s v="-"/>
    <s v="-"/>
    <s v="-"/>
    <s v="-"/>
    <s v="-"/>
    <s v="-"/>
    <s v="-"/>
    <s v="-"/>
    <s v="P"/>
    <s v="P"/>
    <s v="-"/>
    <n v="2"/>
    <n v="1"/>
    <n v="2"/>
    <n v="1"/>
    <s v="-"/>
    <s v="-"/>
    <s v="-"/>
    <s v="-"/>
    <s v="-"/>
    <s v="-"/>
    <s v="-"/>
    <n v="6"/>
    <n v="6"/>
    <s v="-"/>
    <n v="1"/>
    <n v="1"/>
    <n v="2"/>
    <n v="2"/>
    <n v="8"/>
    <n v="8"/>
  </r>
  <r>
    <x v="1"/>
    <x v="37"/>
    <d v="1899-12-30T00:00:00"/>
    <s v="1ST"/>
    <s v="13:00"/>
    <n v="2"/>
    <x v="5"/>
    <n v="3.2000000000000002E-3"/>
    <s v="P"/>
    <s v="P"/>
    <s v="P"/>
    <s v="-"/>
    <s v="+"/>
    <n v="11.2"/>
    <s v="-"/>
    <s v="-"/>
    <s v="-"/>
    <s v="-"/>
    <s v="-"/>
    <s v="-"/>
    <s v="-"/>
    <s v="-"/>
    <s v="P"/>
    <s v="P"/>
    <s v="-"/>
    <n v="2"/>
    <n v="1"/>
    <n v="2"/>
    <n v="1"/>
    <s v="-"/>
    <s v="-"/>
    <s v="-"/>
    <s v="-"/>
    <s v="-"/>
    <s v="-"/>
    <s v="-"/>
    <n v="6"/>
    <n v="6"/>
    <s v="-"/>
    <n v="1"/>
    <n v="1"/>
    <n v="2"/>
    <n v="2"/>
    <n v="8"/>
    <n v="8"/>
  </r>
  <r>
    <x v="1"/>
    <x v="37"/>
    <d v="1899-12-30T00:00:00"/>
    <s v="3RD"/>
    <d v="1899-12-30T22:00:00"/>
    <s v="Retail"/>
    <x v="9"/>
    <s v="-"/>
    <s v="-"/>
    <s v="-"/>
    <s v="-"/>
    <s v="-"/>
    <s v="-"/>
    <s v="-"/>
    <s v="-"/>
    <s v="-"/>
    <s v="-"/>
    <s v="-"/>
    <s v="-"/>
    <s v="-"/>
    <s v="-"/>
    <s v="-"/>
    <s v="-"/>
    <s v="-"/>
    <s v="-"/>
    <s v="-"/>
    <s v="-"/>
    <s v="-"/>
    <s v="-"/>
    <s v="-"/>
    <s v="-"/>
    <s v="-"/>
    <s v="-"/>
    <s v="-"/>
    <s v="-"/>
    <s v="-"/>
    <n v="0"/>
    <n v="0"/>
    <s v="-"/>
    <s v="-"/>
    <s v="-"/>
    <n v="0"/>
    <n v="0"/>
    <n v="0"/>
    <n v="0"/>
  </r>
  <r>
    <x v="1"/>
    <x v="37"/>
    <d v="2026-02-11T00:00:00"/>
    <s v="1ST"/>
    <s v="06:00"/>
    <n v="3"/>
    <x v="16"/>
    <n v="1.0200000000000001E-2"/>
    <s v="P"/>
    <s v="P"/>
    <s v="P"/>
    <s v="+"/>
    <s v="+"/>
    <n v="12.89"/>
    <n v="13"/>
    <n v="0.5"/>
    <n v="64.099999999999994"/>
    <n v="11.9"/>
    <n v="1262"/>
    <n v="36.4"/>
    <s v="-"/>
    <s v="-"/>
    <s v="P"/>
    <s v="P"/>
    <n v="1"/>
    <n v="2"/>
    <n v="1"/>
    <n v="2"/>
    <n v="1"/>
    <n v="1"/>
    <n v="2"/>
    <n v="2"/>
    <n v="0"/>
    <n v="0"/>
    <n v="2"/>
    <s v="-"/>
    <n v="13"/>
    <n v="15"/>
    <s v="-"/>
    <n v="1"/>
    <n v="1"/>
    <n v="2"/>
    <n v="2"/>
    <n v="15"/>
    <n v="17"/>
  </r>
  <r>
    <x v="1"/>
    <x v="37"/>
    <d v="2026-02-11T00:00:00"/>
    <s v="1ST"/>
    <s v="07:00"/>
    <n v="3"/>
    <x v="16"/>
    <n v="1.6199999999999999E-2"/>
    <s v="P"/>
    <s v="P"/>
    <s v="P"/>
    <s v="+"/>
    <s v="+"/>
    <n v="13"/>
    <s v="-"/>
    <s v="-"/>
    <s v="-"/>
    <s v="-"/>
    <s v="-"/>
    <s v="-"/>
    <s v="-"/>
    <s v="-"/>
    <s v="P"/>
    <s v="P"/>
    <s v="-"/>
    <n v="2"/>
    <n v="1"/>
    <n v="2"/>
    <n v="1"/>
    <s v="-"/>
    <s v="-"/>
    <s v="-"/>
    <s v="-"/>
    <s v="-"/>
    <s v="-"/>
    <s v="-"/>
    <n v="6"/>
    <n v="6"/>
    <s v="-"/>
    <n v="1"/>
    <n v="1"/>
    <n v="2"/>
    <n v="2"/>
    <n v="8"/>
    <n v="8"/>
  </r>
  <r>
    <x v="1"/>
    <x v="37"/>
    <d v="2026-02-11T00:00:00"/>
    <s v="1ST"/>
    <s v="07:00"/>
    <n v="1"/>
    <x v="22"/>
    <n v="1.1599999999999999E-2"/>
    <s v="P"/>
    <s v="P"/>
    <s v="P"/>
    <s v="-"/>
    <s v="-"/>
    <n v="11.52"/>
    <n v="9.01"/>
    <n v="0.49"/>
    <n v="54.9"/>
    <n v="12.5"/>
    <n v="373"/>
    <n v="24.41"/>
    <s v="-"/>
    <s v="-"/>
    <s v="P"/>
    <s v="P"/>
    <n v="1"/>
    <n v="2"/>
    <n v="1"/>
    <n v="2"/>
    <n v="1"/>
    <n v="1"/>
    <n v="0"/>
    <n v="2"/>
    <s v="-"/>
    <s v="-"/>
    <n v="2"/>
    <s v="-"/>
    <n v="11"/>
    <n v="13"/>
    <s v="-"/>
    <n v="1"/>
    <n v="1"/>
    <n v="2"/>
    <n v="2"/>
    <n v="13"/>
    <n v="15"/>
  </r>
  <r>
    <x v="1"/>
    <x v="37"/>
    <d v="2026-02-11T00:00:00"/>
    <s v="1ST"/>
    <s v="08:00"/>
    <n v="1"/>
    <x v="22"/>
    <n v="7.1999999999999998E-3"/>
    <s v="P"/>
    <s v="P"/>
    <s v="P"/>
    <s v="-"/>
    <s v="-"/>
    <n v="11.6"/>
    <s v="-"/>
    <s v="-"/>
    <s v="-"/>
    <s v="-"/>
    <s v="-"/>
    <s v="-"/>
    <s v="-"/>
    <s v="-"/>
    <s v="P"/>
    <s v="P"/>
    <s v="-"/>
    <n v="2"/>
    <n v="1"/>
    <n v="2"/>
    <n v="1"/>
    <s v="-"/>
    <s v="-"/>
    <s v="-"/>
    <s v="-"/>
    <s v="-"/>
    <s v="-"/>
    <s v="-"/>
    <n v="6"/>
    <n v="6"/>
    <s v="-"/>
    <n v="1"/>
    <n v="1"/>
    <n v="2"/>
    <n v="2"/>
    <n v="8"/>
    <n v="8"/>
  </r>
  <r>
    <x v="1"/>
    <x v="37"/>
    <d v="2026-02-11T00:00:00"/>
    <s v="1ST"/>
    <s v="09:00"/>
    <n v="1"/>
    <x v="22"/>
    <n v="8.3000000000000001E-3"/>
    <s v="P"/>
    <s v="P"/>
    <s v="P"/>
    <s v="-"/>
    <s v="-"/>
    <n v="11.31"/>
    <s v="-"/>
    <s v="-"/>
    <s v="-"/>
    <s v="-"/>
    <s v="-"/>
    <s v="-"/>
    <s v="-"/>
    <s v="-"/>
    <s v="P"/>
    <s v="P"/>
    <s v="-"/>
    <n v="2"/>
    <n v="1"/>
    <n v="2"/>
    <n v="1"/>
    <s v="-"/>
    <s v="-"/>
    <s v="-"/>
    <s v="-"/>
    <s v="-"/>
    <s v="-"/>
    <s v="-"/>
    <n v="6"/>
    <n v="6"/>
    <s v="-"/>
    <n v="1"/>
    <n v="1"/>
    <n v="2"/>
    <n v="2"/>
    <n v="8"/>
    <n v="8"/>
  </r>
  <r>
    <x v="1"/>
    <x v="37"/>
    <d v="2026-02-11T00:00:00"/>
    <s v="1ST"/>
    <s v="12:00"/>
    <n v="1"/>
    <x v="22"/>
    <n v="3.8999999999999998E-3"/>
    <s v="P"/>
    <s v="P"/>
    <s v="P"/>
    <s v="-"/>
    <s v="-"/>
    <n v="11.51"/>
    <s v="-"/>
    <s v="-"/>
    <s v="-"/>
    <s v="-"/>
    <s v="-"/>
    <s v="-"/>
    <s v="-"/>
    <s v="-"/>
    <s v="P"/>
    <s v="P"/>
    <s v="-"/>
    <n v="2"/>
    <n v="1"/>
    <n v="2"/>
    <n v="1"/>
    <s v="-"/>
    <s v="-"/>
    <s v="-"/>
    <s v="-"/>
    <s v="-"/>
    <s v="-"/>
    <s v="-"/>
    <n v="6"/>
    <n v="6"/>
    <s v="-"/>
    <n v="1"/>
    <n v="1"/>
    <n v="2"/>
    <n v="2"/>
    <n v="8"/>
    <n v="8"/>
  </r>
  <r>
    <x v="1"/>
    <x v="37"/>
    <s v="-"/>
    <s v="2ND"/>
    <d v="1899-12-30T14:00:00"/>
    <n v="1"/>
    <x v="22"/>
    <n v="3.8999999999999998E-3"/>
    <s v="P"/>
    <s v="P"/>
    <s v="P"/>
    <s v="-"/>
    <s v="-"/>
    <n v="11.39"/>
    <n v="8.5"/>
    <s v="-"/>
    <s v="-"/>
    <s v="-"/>
    <s v="-"/>
    <n v="22.78"/>
    <s v="-"/>
    <s v="-"/>
    <s v="P"/>
    <s v="P"/>
    <n v="1"/>
    <n v="2"/>
    <n v="1"/>
    <n v="2"/>
    <n v="1"/>
    <n v="1"/>
    <s v="-"/>
    <s v="-"/>
    <s v="-"/>
    <s v="-"/>
    <n v="2"/>
    <s v="-"/>
    <n v="9"/>
    <n v="9"/>
    <s v="-"/>
    <n v="1"/>
    <n v="1"/>
    <n v="2"/>
    <n v="2"/>
    <n v="11"/>
    <n v="11"/>
  </r>
  <r>
    <x v="1"/>
    <x v="37"/>
    <d v="2026-02-11T00:00:00"/>
    <s v="2ND"/>
    <d v="1899-12-30T15:00:00"/>
    <n v="1"/>
    <x v="22"/>
    <n v="6.3E-3"/>
    <s v="P"/>
    <s v="P"/>
    <s v="P"/>
    <s v="-"/>
    <s v="-"/>
    <n v="11.41"/>
    <s v="-"/>
    <s v="-"/>
    <s v="-"/>
    <s v="-"/>
    <s v="-"/>
    <s v="-"/>
    <s v="-"/>
    <s v="-"/>
    <s v="P"/>
    <s v="P"/>
    <s v="-"/>
    <n v="2"/>
    <n v="1"/>
    <n v="2"/>
    <n v="1"/>
    <s v="-"/>
    <s v="-"/>
    <s v="-"/>
    <s v="-"/>
    <s v="-"/>
    <s v="-"/>
    <s v="-"/>
    <n v="6"/>
    <n v="6"/>
    <s v="-"/>
    <n v="1"/>
    <n v="1"/>
    <n v="2"/>
    <n v="2"/>
    <n v="8"/>
    <n v="8"/>
  </r>
  <r>
    <x v="1"/>
    <x v="37"/>
    <d v="2026-02-11T00:00:00"/>
    <s v="2ND"/>
    <d v="1899-12-30T16:00:00"/>
    <n v="1"/>
    <x v="22"/>
    <n v="7.7999999999999996E-3"/>
    <s v="P"/>
    <s v="P"/>
    <s v="P"/>
    <s v="-"/>
    <s v="-"/>
    <n v="11.42"/>
    <s v="-"/>
    <s v="-"/>
    <s v="-"/>
    <s v="-"/>
    <s v="-"/>
    <s v="-"/>
    <s v="-"/>
    <s v="-"/>
    <s v="P"/>
    <s v="P"/>
    <s v="-"/>
    <n v="2"/>
    <n v="1"/>
    <n v="2"/>
    <n v="1"/>
    <s v="-"/>
    <s v="-"/>
    <s v="-"/>
    <s v="-"/>
    <s v="-"/>
    <s v="-"/>
    <s v="-"/>
    <n v="6"/>
    <n v="6"/>
    <s v="-"/>
    <n v="1"/>
    <n v="1"/>
    <n v="2"/>
    <n v="2"/>
    <n v="8"/>
    <n v="8"/>
  </r>
  <r>
    <x v="1"/>
    <x v="37"/>
    <d v="2026-02-11T00:00:00"/>
    <s v="2ND"/>
    <d v="1899-12-30T17:00:00"/>
    <n v="1"/>
    <x v="22"/>
    <n v="1.09E-2"/>
    <s v="P"/>
    <s v="P"/>
    <s v="P"/>
    <s v="-"/>
    <s v="-"/>
    <n v="11.19"/>
    <s v="-"/>
    <s v="-"/>
    <s v="-"/>
    <s v="-"/>
    <s v="-"/>
    <s v="-"/>
    <s v="-"/>
    <s v="-"/>
    <s v="P"/>
    <s v="P"/>
    <s v="-"/>
    <n v="2"/>
    <n v="1"/>
    <n v="2"/>
    <n v="1"/>
    <s v="-"/>
    <s v="-"/>
    <s v="-"/>
    <s v="-"/>
    <s v="-"/>
    <s v="-"/>
    <s v="-"/>
    <n v="6"/>
    <n v="6"/>
    <s v="-"/>
    <n v="1"/>
    <n v="1"/>
    <n v="2"/>
    <n v="2"/>
    <n v="8"/>
    <n v="8"/>
  </r>
  <r>
    <x v="1"/>
    <x v="37"/>
    <d v="2026-02-11T00:00:00"/>
    <s v="2ND"/>
    <d v="1899-12-30T18:00:00"/>
    <n v="1"/>
    <x v="22"/>
    <n v="1.14E-2"/>
    <s v="P"/>
    <s v="P"/>
    <s v="P"/>
    <s v="-"/>
    <s v="-"/>
    <n v="11.33"/>
    <s v="-"/>
    <s v="-"/>
    <s v="-"/>
    <s v="-"/>
    <s v="-"/>
    <s v="-"/>
    <s v="-"/>
    <s v="-"/>
    <s v="P"/>
    <s v="P"/>
    <s v="-"/>
    <n v="2"/>
    <n v="1"/>
    <n v="2"/>
    <n v="1"/>
    <s v="-"/>
    <s v="-"/>
    <s v="-"/>
    <s v="-"/>
    <s v="-"/>
    <s v="-"/>
    <s v="-"/>
    <n v="6"/>
    <n v="6"/>
    <s v="-"/>
    <n v="1"/>
    <n v="1"/>
    <n v="2"/>
    <n v="2"/>
    <n v="8"/>
    <n v="8"/>
  </r>
  <r>
    <x v="1"/>
    <x v="37"/>
    <d v="2026-02-11T00:00:00"/>
    <s v="2ND"/>
    <d v="1899-12-30T19:00:00"/>
    <n v="1"/>
    <x v="22"/>
    <n v="7.1000000000000004E-3"/>
    <s v="P"/>
    <s v="P"/>
    <s v="P"/>
    <s v="-"/>
    <s v="-"/>
    <n v="11.12"/>
    <s v="-"/>
    <s v="-"/>
    <s v="-"/>
    <s v="-"/>
    <s v="-"/>
    <s v="-"/>
    <s v="-"/>
    <s v="-"/>
    <s v="P"/>
    <s v="P"/>
    <s v="-"/>
    <n v="2"/>
    <n v="1"/>
    <n v="2"/>
    <n v="1"/>
    <s v="-"/>
    <s v="-"/>
    <s v="-"/>
    <s v="-"/>
    <s v="-"/>
    <s v="-"/>
    <s v="-"/>
    <n v="6"/>
    <n v="6"/>
    <s v="-"/>
    <n v="1"/>
    <n v="1"/>
    <n v="2"/>
    <n v="2"/>
    <n v="8"/>
    <n v="8"/>
  </r>
  <r>
    <x v="1"/>
    <x v="37"/>
    <d v="2026-02-11T00:00:00"/>
    <s v="2ND"/>
    <d v="1899-12-30T20:00:00"/>
    <n v="1"/>
    <x v="22"/>
    <n v="7.4000000000000003E-3"/>
    <s v="P"/>
    <s v="P"/>
    <s v="P"/>
    <s v="-"/>
    <s v="-"/>
    <n v="11.45"/>
    <s v="-"/>
    <s v="-"/>
    <s v="-"/>
    <s v="-"/>
    <s v="-"/>
    <s v="-"/>
    <s v="-"/>
    <s v="-"/>
    <s v="P"/>
    <s v="P"/>
    <s v="-"/>
    <n v="2"/>
    <n v="1"/>
    <n v="2"/>
    <n v="1"/>
    <s v="-"/>
    <s v="-"/>
    <s v="-"/>
    <s v="-"/>
    <s v="-"/>
    <s v="-"/>
    <s v="-"/>
    <n v="6"/>
    <n v="6"/>
    <s v="-"/>
    <n v="1"/>
    <n v="1"/>
    <n v="2"/>
    <n v="2"/>
    <n v="8"/>
    <n v="8"/>
  </r>
  <r>
    <x v="1"/>
    <x v="37"/>
    <s v="-"/>
    <s v="3RD"/>
    <d v="1899-12-30T22:00:00"/>
    <n v="1"/>
    <x v="22"/>
    <n v="4.1000000000000003E-3"/>
    <s v="P"/>
    <s v="P"/>
    <s v="P"/>
    <s v="-"/>
    <s v="-"/>
    <n v="12.1"/>
    <n v="8.35"/>
    <s v="-"/>
    <s v="-"/>
    <s v="-"/>
    <s v="-"/>
    <n v="22.35"/>
    <s v="-"/>
    <n v="25.12"/>
    <s v="P"/>
    <s v="P"/>
    <n v="1"/>
    <n v="2"/>
    <n v="1"/>
    <n v="2"/>
    <n v="1"/>
    <n v="0"/>
    <s v="-"/>
    <s v="-"/>
    <s v="-"/>
    <s v="-"/>
    <n v="2"/>
    <s v="-"/>
    <n v="8"/>
    <n v="9"/>
    <n v="1"/>
    <n v="1"/>
    <n v="1"/>
    <n v="3"/>
    <n v="3"/>
    <n v="11"/>
    <n v="12"/>
  </r>
  <r>
    <x v="1"/>
    <x v="37"/>
    <d v="2026-02-11T00:00:00"/>
    <s v="3RD"/>
    <d v="1899-12-30T23:00:00"/>
    <n v="1"/>
    <x v="22"/>
    <n v="4.5999999999999999E-3"/>
    <s v="P"/>
    <s v="P"/>
    <s v="P"/>
    <s v="-"/>
    <s v="-"/>
    <n v="11.24"/>
    <s v="-"/>
    <s v="-"/>
    <s v="-"/>
    <s v="-"/>
    <s v="-"/>
    <s v="-"/>
    <s v="-"/>
    <s v="-"/>
    <s v="P"/>
    <s v="P"/>
    <s v="-"/>
    <n v="2"/>
    <n v="1"/>
    <n v="2"/>
    <n v="1"/>
    <s v="-"/>
    <s v="-"/>
    <s v="-"/>
    <s v="-"/>
    <s v="-"/>
    <s v="-"/>
    <s v="-"/>
    <n v="6"/>
    <n v="6"/>
    <s v="-"/>
    <n v="1"/>
    <n v="1"/>
    <n v="2"/>
    <n v="2"/>
    <n v="8"/>
    <n v="8"/>
  </r>
  <r>
    <x v="1"/>
    <x v="37"/>
    <d v="2026-02-11T00:00:00"/>
    <s v="3RD"/>
    <d v="1899-12-31T01:00:00"/>
    <n v="1"/>
    <x v="22"/>
    <n v="7.3000000000000001E-3"/>
    <s v="P"/>
    <s v="P"/>
    <s v="P"/>
    <s v="-"/>
    <s v="-"/>
    <n v="11.75"/>
    <s v="-"/>
    <s v="-"/>
    <s v="-"/>
    <s v="-"/>
    <s v="-"/>
    <s v="-"/>
    <s v="-"/>
    <s v="-"/>
    <s v="P"/>
    <s v="P"/>
    <s v="-"/>
    <n v="2"/>
    <n v="1"/>
    <n v="2"/>
    <n v="1"/>
    <s v="-"/>
    <s v="-"/>
    <s v="-"/>
    <s v="-"/>
    <s v="-"/>
    <s v="-"/>
    <s v="-"/>
    <n v="6"/>
    <n v="6"/>
    <s v="-"/>
    <n v="1"/>
    <n v="1"/>
    <n v="2"/>
    <n v="2"/>
    <n v="8"/>
    <n v="8"/>
  </r>
  <r>
    <x v="1"/>
    <x v="37"/>
    <d v="2026-02-11T00:00:00"/>
    <s v="3RD"/>
    <d v="1899-12-31T02:00:00"/>
    <n v="1"/>
    <x v="22"/>
    <n v="1.6E-2"/>
    <s v="P"/>
    <s v="P"/>
    <s v="P"/>
    <s v="-"/>
    <s v="-"/>
    <n v="11.64"/>
    <s v="-"/>
    <s v="-"/>
    <s v="-"/>
    <s v="-"/>
    <s v="-"/>
    <s v="-"/>
    <s v="-"/>
    <s v="-"/>
    <s v="P"/>
    <s v="P"/>
    <s v="-"/>
    <n v="2"/>
    <n v="1"/>
    <n v="2"/>
    <n v="1"/>
    <s v="-"/>
    <s v="-"/>
    <s v="-"/>
    <s v="-"/>
    <s v="-"/>
    <s v="-"/>
    <s v="-"/>
    <n v="6"/>
    <n v="6"/>
    <s v="-"/>
    <n v="1"/>
    <n v="1"/>
    <n v="2"/>
    <n v="2"/>
    <n v="8"/>
    <n v="8"/>
  </r>
  <r>
    <x v="1"/>
    <x v="37"/>
    <d v="2026-02-11T00:00:00"/>
    <s v="3RD"/>
    <d v="1899-12-31T03:00:00"/>
    <n v="1"/>
    <x v="22"/>
    <n v="1.2200000000000001E-2"/>
    <s v="P"/>
    <s v="P"/>
    <s v="P"/>
    <s v="-"/>
    <s v="-"/>
    <n v="11.67"/>
    <s v="-"/>
    <s v="-"/>
    <s v="-"/>
    <s v="-"/>
    <s v="-"/>
    <s v="-"/>
    <s v="-"/>
    <s v="-"/>
    <s v="P"/>
    <s v="P"/>
    <s v="-"/>
    <n v="2"/>
    <n v="1"/>
    <n v="2"/>
    <n v="1"/>
    <s v="-"/>
    <s v="-"/>
    <s v="-"/>
    <s v="-"/>
    <s v="-"/>
    <s v="-"/>
    <s v="-"/>
    <n v="6"/>
    <n v="6"/>
    <s v="-"/>
    <n v="1"/>
    <n v="1"/>
    <n v="2"/>
    <n v="2"/>
    <n v="8"/>
    <n v="8"/>
  </r>
  <r>
    <x v="1"/>
    <x v="37"/>
    <d v="2026-02-11T00:00:00"/>
    <s v="3RD"/>
    <d v="1899-12-31T04:00:00"/>
    <n v="1"/>
    <x v="22"/>
    <n v="8.8999999999999999E-3"/>
    <s v="P"/>
    <s v="P"/>
    <s v="P"/>
    <s v="-"/>
    <s v="-"/>
    <n v="11.76"/>
    <s v="-"/>
    <s v="-"/>
    <s v="-"/>
    <s v="-"/>
    <s v="-"/>
    <s v="-"/>
    <s v="-"/>
    <s v="-"/>
    <s v="P"/>
    <s v="P"/>
    <s v="-"/>
    <n v="2"/>
    <n v="1"/>
    <n v="2"/>
    <n v="1"/>
    <s v="-"/>
    <s v="-"/>
    <s v="-"/>
    <s v="-"/>
    <s v="-"/>
    <s v="-"/>
    <s v="-"/>
    <n v="6"/>
    <n v="6"/>
    <s v="-"/>
    <n v="1"/>
    <n v="1"/>
    <n v="2"/>
    <n v="2"/>
    <n v="8"/>
    <n v="8"/>
  </r>
  <r>
    <x v="1"/>
    <x v="38"/>
    <d v="1902-03-26T00:00:00"/>
    <s v="1ST"/>
    <s v="06:00"/>
    <n v="2"/>
    <x v="7"/>
    <n v="3.2000000000000002E-3"/>
    <s v="P"/>
    <s v="P"/>
    <s v="P"/>
    <s v="-"/>
    <s v="+"/>
    <n v="11.19"/>
    <n v="8.6"/>
    <n v="0.62"/>
    <n v="55.5"/>
    <n v="13"/>
    <n v="367"/>
    <n v="23.21"/>
    <s v="-"/>
    <s v="-"/>
    <s v="P"/>
    <s v="P"/>
    <s v="-"/>
    <n v="2"/>
    <n v="1"/>
    <n v="2"/>
    <n v="1"/>
    <n v="1"/>
    <n v="0"/>
    <n v="0"/>
    <n v="1"/>
    <n v="1"/>
    <n v="2"/>
    <s v="-"/>
    <n v="11"/>
    <n v="15"/>
    <s v="-"/>
    <n v="1"/>
    <n v="1"/>
    <n v="2"/>
    <n v="2"/>
    <n v="13"/>
    <n v="17"/>
  </r>
  <r>
    <x v="1"/>
    <x v="38"/>
    <d v="1899-12-30T00:00:00"/>
    <s v="1ST"/>
    <s v="07:00"/>
    <n v="2"/>
    <x v="7"/>
    <n v="3.0000000000000001E-3"/>
    <s v="P"/>
    <s v="P"/>
    <s v="P"/>
    <s v="-"/>
    <s v="+"/>
    <n v="11.17"/>
    <s v="-"/>
    <s v="-"/>
    <s v="-"/>
    <s v="-"/>
    <s v="-"/>
    <s v="-"/>
    <s v="-"/>
    <s v="-"/>
    <s v="P"/>
    <s v="P"/>
    <s v="-"/>
    <n v="2"/>
    <n v="1"/>
    <n v="2"/>
    <n v="1"/>
    <s v="-"/>
    <s v="-"/>
    <s v="-"/>
    <s v="-"/>
    <s v="-"/>
    <s v="-"/>
    <s v="-"/>
    <n v="6"/>
    <n v="6"/>
    <s v="-"/>
    <n v="1"/>
    <n v="1"/>
    <n v="2"/>
    <n v="2"/>
    <n v="8"/>
    <n v="8"/>
  </r>
  <r>
    <x v="1"/>
    <x v="38"/>
    <d v="1899-12-30T00:00:00"/>
    <s v="1ST"/>
    <s v="09:00"/>
    <n v="2"/>
    <x v="7"/>
    <n v="3.0999999999999999E-3"/>
    <s v="P"/>
    <s v="P"/>
    <s v="P"/>
    <s v="-"/>
    <s v="+"/>
    <n v="11.14"/>
    <s v="-"/>
    <s v="-"/>
    <s v="-"/>
    <s v="-"/>
    <s v="-"/>
    <s v="-"/>
    <s v="-"/>
    <s v="-"/>
    <s v="P"/>
    <s v="P"/>
    <s v="-"/>
    <n v="2"/>
    <n v="1"/>
    <n v="2"/>
    <n v="1"/>
    <s v="-"/>
    <s v="-"/>
    <s v="-"/>
    <s v="-"/>
    <s v="-"/>
    <s v="-"/>
    <s v="-"/>
    <n v="6"/>
    <n v="6"/>
    <s v="-"/>
    <n v="1"/>
    <n v="1"/>
    <n v="2"/>
    <n v="2"/>
    <n v="8"/>
    <n v="8"/>
  </r>
  <r>
    <x v="1"/>
    <x v="38"/>
    <d v="2026-02-14T00:00:00"/>
    <s v="2ND"/>
    <d v="1899-12-30T14:00:00"/>
    <s v="Retail"/>
    <x v="19"/>
    <s v="-"/>
    <s v="P"/>
    <s v="P"/>
    <s v="P"/>
    <s v="-"/>
    <s v="-"/>
    <n v="13.9"/>
    <n v="18.02"/>
    <n v="1.34"/>
    <n v="69.599999999999994"/>
    <n v="14"/>
    <n v="345"/>
    <s v="-"/>
    <s v="-"/>
    <s v="-"/>
    <s v="-"/>
    <s v="-"/>
    <s v="-"/>
    <s v="-"/>
    <n v="1"/>
    <n v="2"/>
    <n v="1"/>
    <n v="1"/>
    <n v="0"/>
    <n v="2"/>
    <n v="1"/>
    <n v="0"/>
    <s v="-"/>
    <s v="-"/>
    <n v="8"/>
    <n v="11"/>
    <s v="-"/>
    <s v="-"/>
    <s v="-"/>
    <n v="0"/>
    <n v="0"/>
    <n v="8"/>
    <n v="11"/>
  </r>
  <r>
    <x v="1"/>
    <x v="38"/>
    <d v="2026-02-14T00:00:00"/>
    <s v="3RD"/>
    <d v="1899-12-30T23:00:00"/>
    <s v="Retail"/>
    <x v="19"/>
    <s v="-"/>
    <s v="P"/>
    <s v="P"/>
    <s v="P"/>
    <s v="-"/>
    <s v="-"/>
    <n v="13.96"/>
    <s v="-"/>
    <s v="-"/>
    <s v="-"/>
    <s v="-"/>
    <s v="-"/>
    <s v="-"/>
    <s v="-"/>
    <s v="-"/>
    <s v="P"/>
    <s v="P"/>
    <s v="-"/>
    <s v="-"/>
    <n v="1"/>
    <n v="2"/>
    <n v="1"/>
    <s v="-"/>
    <s v="-"/>
    <s v="-"/>
    <s v="-"/>
    <s v="-"/>
    <s v="-"/>
    <s v="-"/>
    <n v="4"/>
    <n v="4"/>
    <s v="-"/>
    <n v="1"/>
    <n v="1"/>
    <n v="2"/>
    <n v="2"/>
    <n v="6"/>
    <n v="6"/>
  </r>
  <r>
    <x v="1"/>
    <x v="38"/>
    <d v="2026-02-17T00:00:00"/>
    <s v="3RD"/>
    <d v="1899-12-31T03:00:00"/>
    <n v="3"/>
    <x v="8"/>
    <n v="8.6999999999999994E-3"/>
    <s v="P"/>
    <s v="P"/>
    <s v="P"/>
    <s v="+"/>
    <s v="+"/>
    <n v="13.09"/>
    <n v="13"/>
    <n v="0.37"/>
    <n v="64.099999999999994"/>
    <s v="-"/>
    <s v="-"/>
    <n v="36.299999999999997"/>
    <s v="-"/>
    <s v="-"/>
    <s v="P"/>
    <s v="P"/>
    <n v="1"/>
    <n v="2"/>
    <n v="1"/>
    <n v="2"/>
    <n v="1"/>
    <n v="1"/>
    <n v="2"/>
    <n v="2"/>
    <s v="-"/>
    <s v="-"/>
    <s v="-"/>
    <s v="-"/>
    <n v="11"/>
    <n v="11"/>
    <s v="-"/>
    <n v="1"/>
    <n v="1"/>
    <n v="2"/>
    <n v="2"/>
    <n v="13"/>
    <n v="13"/>
  </r>
  <r>
    <x v="1"/>
    <x v="38"/>
    <d v="2026-01-23T00:00:00"/>
    <s v="1ST"/>
    <s v="06:00"/>
    <n v="3"/>
    <x v="1"/>
    <n v="6.8999999999999999E-3"/>
    <s v="P"/>
    <s v="P"/>
    <s v="P"/>
    <s v="+"/>
    <s v="+"/>
    <n v="12.26"/>
    <n v="12.61"/>
    <n v="0.59"/>
    <n v="63.9"/>
    <s v="-"/>
    <s v="-"/>
    <n v="35.200000000000003"/>
    <s v="-"/>
    <s v="-"/>
    <s v="P"/>
    <s v="P"/>
    <s v="85% 5% 10%"/>
    <n v="2"/>
    <n v="1"/>
    <n v="2"/>
    <n v="1"/>
    <n v="1"/>
    <n v="2"/>
    <n v="0"/>
    <s v="-"/>
    <s v="-"/>
    <n v="2"/>
    <s v="-"/>
    <n v="11"/>
    <n v="13"/>
    <s v="-"/>
    <n v="1"/>
    <n v="1"/>
    <n v="2"/>
    <n v="2"/>
    <n v="13"/>
    <n v="15"/>
  </r>
  <r>
    <x v="1"/>
    <x v="38"/>
    <d v="2026-01-28T00:00:00"/>
    <s v="1ST"/>
    <s v="07:00"/>
    <n v="3"/>
    <x v="1"/>
    <n v="1.34E-2"/>
    <s v="P"/>
    <s v="P"/>
    <s v="P"/>
    <s v="+"/>
    <s v="+"/>
    <n v="12.29"/>
    <n v="13.03"/>
    <n v="0.55000000000000004"/>
    <n v="64.099999999999994"/>
    <s v="-"/>
    <s v="-"/>
    <n v="36.6"/>
    <s v="-"/>
    <s v="-"/>
    <s v="P"/>
    <s v="P"/>
    <s v="85% 5% 10%"/>
    <n v="2"/>
    <n v="1"/>
    <n v="2"/>
    <n v="1"/>
    <n v="1"/>
    <n v="2"/>
    <n v="2"/>
    <s v="-"/>
    <s v="-"/>
    <n v="2"/>
    <s v="-"/>
    <n v="13"/>
    <n v="13"/>
    <s v="-"/>
    <n v="1"/>
    <n v="1"/>
    <n v="2"/>
    <n v="2"/>
    <n v="15"/>
    <n v="15"/>
  </r>
  <r>
    <x v="1"/>
    <x v="38"/>
    <d v="2026-01-28T00:00:00"/>
    <s v="1ST"/>
    <s v="09:00"/>
    <n v="3"/>
    <x v="1"/>
    <n v="5.8999999999999999E-3"/>
    <s v="P"/>
    <s v="P"/>
    <s v="P"/>
    <s v="+"/>
    <s v="+"/>
    <n v="13.02"/>
    <s v="-"/>
    <s v="-"/>
    <s v="-"/>
    <s v="-"/>
    <s v="-"/>
    <s v="-"/>
    <s v="-"/>
    <s v="-"/>
    <s v="P"/>
    <s v="P"/>
    <s v="-"/>
    <n v="2"/>
    <n v="1"/>
    <n v="2"/>
    <n v="1"/>
    <s v="-"/>
    <s v="-"/>
    <s v="-"/>
    <s v="-"/>
    <s v="-"/>
    <s v="-"/>
    <s v="-"/>
    <n v="6"/>
    <n v="6"/>
    <s v="-"/>
    <n v="1"/>
    <n v="1"/>
    <n v="2"/>
    <n v="2"/>
    <n v="8"/>
    <n v="8"/>
  </r>
  <r>
    <x v="1"/>
    <x v="38"/>
    <d v="2026-01-28T00:00:00"/>
    <s v="1ST"/>
    <s v="11:00"/>
    <n v="3"/>
    <x v="1"/>
    <n v="7.7999999999999996E-3"/>
    <s v="P"/>
    <s v="P"/>
    <s v="P"/>
    <s v="+"/>
    <s v="+"/>
    <n v="12.5"/>
    <s v="-"/>
    <s v="-"/>
    <s v="-"/>
    <s v="-"/>
    <s v="-"/>
    <s v="-"/>
    <s v="-"/>
    <s v="-"/>
    <s v="P"/>
    <s v="P"/>
    <s v="-"/>
    <n v="2"/>
    <n v="1"/>
    <n v="2"/>
    <n v="1"/>
    <s v="-"/>
    <s v="-"/>
    <s v="-"/>
    <s v="-"/>
    <s v="-"/>
    <s v="-"/>
    <s v="-"/>
    <n v="6"/>
    <n v="6"/>
    <s v="-"/>
    <n v="1"/>
    <n v="1"/>
    <n v="2"/>
    <n v="2"/>
    <n v="8"/>
    <n v="8"/>
  </r>
  <r>
    <x v="1"/>
    <x v="38"/>
    <d v="2026-01-28T00:00:00"/>
    <s v="1ST"/>
    <s v="12:00"/>
    <n v="3"/>
    <x v="1"/>
    <n v="5.8999999999999999E-3"/>
    <s v="P"/>
    <s v="P"/>
    <s v="P"/>
    <s v="+"/>
    <s v="+"/>
    <n v="12.74"/>
    <s v="-"/>
    <s v="-"/>
    <s v="-"/>
    <s v="-"/>
    <s v="-"/>
    <s v="-"/>
    <s v="-"/>
    <s v="-"/>
    <s v="P"/>
    <s v="P"/>
    <s v="-"/>
    <n v="2"/>
    <n v="1"/>
    <n v="2"/>
    <n v="1"/>
    <s v="-"/>
    <s v="-"/>
    <s v="-"/>
    <s v="-"/>
    <s v="-"/>
    <s v="-"/>
    <s v="-"/>
    <n v="6"/>
    <n v="6"/>
    <s v="-"/>
    <n v="1"/>
    <n v="1"/>
    <n v="2"/>
    <n v="2"/>
    <n v="8"/>
    <n v="8"/>
  </r>
  <r>
    <x v="1"/>
    <x v="38"/>
    <d v="2026-01-28T00:00:00"/>
    <s v="1ST"/>
    <s v="13:00"/>
    <n v="3"/>
    <x v="1"/>
    <n v="8.6E-3"/>
    <s v="P"/>
    <s v="P"/>
    <s v="P"/>
    <s v="+"/>
    <s v="+"/>
    <n v="12.28"/>
    <s v="-"/>
    <s v="-"/>
    <s v="-"/>
    <s v="-"/>
    <s v="-"/>
    <s v="-"/>
    <s v="-"/>
    <s v="-"/>
    <s v="P"/>
    <s v="P"/>
    <s v="-"/>
    <n v="2"/>
    <n v="1"/>
    <n v="2"/>
    <n v="1"/>
    <s v="-"/>
    <s v="-"/>
    <s v="-"/>
    <s v="-"/>
    <s v="-"/>
    <s v="-"/>
    <s v="-"/>
    <n v="6"/>
    <n v="6"/>
    <s v="-"/>
    <n v="1"/>
    <n v="1"/>
    <n v="2"/>
    <n v="2"/>
    <n v="8"/>
    <n v="8"/>
  </r>
  <r>
    <x v="1"/>
    <x v="38"/>
    <d v="2026-01-23T00:00:00"/>
    <s v="2ND"/>
    <d v="1899-12-30T14:00:00"/>
    <n v="3"/>
    <x v="1"/>
    <n v="1.0200000000000001E-2"/>
    <s v="P"/>
    <s v="P"/>
    <s v="P"/>
    <s v="+"/>
    <s v="+"/>
    <n v="12.56"/>
    <n v="12.75"/>
    <s v="-"/>
    <s v="-"/>
    <s v="-"/>
    <s v="-"/>
    <n v="35.6"/>
    <s v="-"/>
    <s v="-"/>
    <s v="P"/>
    <s v="P"/>
    <s v="85% 10% 5%"/>
    <n v="2"/>
    <n v="1"/>
    <n v="2"/>
    <n v="1"/>
    <n v="1"/>
    <s v="-"/>
    <s v="-"/>
    <s v="-"/>
    <s v="-"/>
    <n v="2"/>
    <s v="-"/>
    <n v="9"/>
    <n v="9"/>
    <s v="-"/>
    <n v="1"/>
    <n v="1"/>
    <n v="2"/>
    <n v="2"/>
    <n v="11"/>
    <n v="11"/>
  </r>
  <r>
    <x v="1"/>
    <x v="38"/>
    <d v="1902-03-26T00:00:00"/>
    <s v="3RD"/>
    <d v="1899-12-30T23:00:00"/>
    <n v="2"/>
    <x v="1"/>
    <n v="9.9000000000000008E-3"/>
    <s v="P"/>
    <s v="P"/>
    <s v="P"/>
    <s v="+"/>
    <s v="+"/>
    <n v="12.93"/>
    <n v="12.8"/>
    <n v="0.56999999999999995"/>
    <n v="64"/>
    <s v="-"/>
    <s v="-"/>
    <n v="35.799999999999997"/>
    <s v="-"/>
    <n v="25.12"/>
    <s v="P"/>
    <s v="P"/>
    <s v="-"/>
    <n v="2"/>
    <n v="1"/>
    <n v="2"/>
    <n v="1"/>
    <n v="1"/>
    <n v="2"/>
    <n v="2"/>
    <s v="-"/>
    <s v="-"/>
    <n v="2"/>
    <s v="-"/>
    <n v="13"/>
    <n v="13"/>
    <n v="1"/>
    <n v="1"/>
    <n v="1"/>
    <n v="3"/>
    <n v="3"/>
    <n v="16"/>
    <n v="16"/>
  </r>
  <r>
    <x v="1"/>
    <x v="38"/>
    <d v="1899-12-30T00:00:00"/>
    <s v="3RD"/>
    <d v="1899-12-31T00:00:00"/>
    <n v="2"/>
    <x v="1"/>
    <n v="1.1299999999999999E-2"/>
    <s v="P"/>
    <s v="P"/>
    <s v="P"/>
    <s v="+"/>
    <s v="+"/>
    <n v="12.38"/>
    <s v="-"/>
    <s v="-"/>
    <s v="-"/>
    <s v="-"/>
    <s v="-"/>
    <s v="-"/>
    <s v="-"/>
    <s v="-"/>
    <s v="P"/>
    <s v="P"/>
    <s v="-"/>
    <n v="2"/>
    <n v="1"/>
    <n v="2"/>
    <n v="1"/>
    <s v="-"/>
    <s v="-"/>
    <s v="-"/>
    <s v="-"/>
    <s v="-"/>
    <s v="-"/>
    <s v="-"/>
    <n v="6"/>
    <n v="6"/>
    <s v="-"/>
    <n v="1"/>
    <n v="1"/>
    <n v="2"/>
    <n v="2"/>
    <n v="8"/>
    <n v="8"/>
  </r>
  <r>
    <x v="1"/>
    <x v="38"/>
    <d v="1899-12-30T00:00:00"/>
    <s v="3RD"/>
    <d v="1899-12-31T01:00:00"/>
    <n v="2"/>
    <x v="1"/>
    <n v="1.2999999999999999E-2"/>
    <s v="P"/>
    <s v="P"/>
    <s v="P"/>
    <s v="+"/>
    <s v="+"/>
    <n v="12.88"/>
    <s v="-"/>
    <s v="-"/>
    <s v="-"/>
    <s v="-"/>
    <s v="-"/>
    <s v="-"/>
    <s v="-"/>
    <s v="-"/>
    <s v="P"/>
    <s v="P"/>
    <s v="-"/>
    <n v="2"/>
    <n v="1"/>
    <n v="2"/>
    <n v="1"/>
    <s v="-"/>
    <s v="-"/>
    <s v="-"/>
    <s v="-"/>
    <s v="-"/>
    <s v="-"/>
    <s v="-"/>
    <n v="6"/>
    <n v="6"/>
    <s v="-"/>
    <n v="1"/>
    <n v="1"/>
    <n v="2"/>
    <n v="2"/>
    <n v="8"/>
    <n v="8"/>
  </r>
  <r>
    <x v="1"/>
    <x v="38"/>
    <d v="1899-12-30T00:00:00"/>
    <s v="3RD"/>
    <d v="1899-12-31T02:00:00"/>
    <n v="2"/>
    <x v="1"/>
    <n v="1.17E-2"/>
    <s v="P"/>
    <s v="P"/>
    <s v="P"/>
    <s v="+"/>
    <s v="+"/>
    <n v="12.86"/>
    <s v="-"/>
    <s v="-"/>
    <s v="-"/>
    <s v="-"/>
    <s v="-"/>
    <s v="-"/>
    <s v="-"/>
    <s v="-"/>
    <s v="P"/>
    <s v="P"/>
    <s v="-"/>
    <n v="2"/>
    <n v="1"/>
    <n v="2"/>
    <n v="1"/>
    <s v="-"/>
    <s v="-"/>
    <s v="-"/>
    <s v="-"/>
    <s v="-"/>
    <s v="-"/>
    <s v="-"/>
    <n v="6"/>
    <n v="6"/>
    <s v="-"/>
    <n v="1"/>
    <n v="1"/>
    <n v="2"/>
    <n v="2"/>
    <n v="8"/>
    <n v="8"/>
  </r>
  <r>
    <x v="1"/>
    <x v="38"/>
    <d v="2026-01-23T00:00:00"/>
    <s v="3RD"/>
    <d v="1899-12-31T00:00:00"/>
    <n v="3"/>
    <x v="1"/>
    <n v="5.8999999999999999E-3"/>
    <s v="P"/>
    <s v="P"/>
    <s v="P"/>
    <s v="+"/>
    <s v="+"/>
    <n v="12.83"/>
    <n v="12.63"/>
    <s v="-"/>
    <s v="-"/>
    <s v="-"/>
    <s v="-"/>
    <n v="35.700000000000003"/>
    <s v="-"/>
    <n v="25.2"/>
    <s v="P"/>
    <s v="P"/>
    <s v="85% 5% 10%"/>
    <n v="2"/>
    <n v="1"/>
    <n v="2"/>
    <n v="1"/>
    <n v="1"/>
    <s v="-"/>
    <s v="-"/>
    <s v="-"/>
    <s v="-"/>
    <n v="2"/>
    <s v="-"/>
    <n v="9"/>
    <n v="9"/>
    <n v="1"/>
    <n v="1"/>
    <n v="1"/>
    <n v="3"/>
    <n v="3"/>
    <n v="12"/>
    <n v="12"/>
  </r>
  <r>
    <x v="1"/>
    <x v="38"/>
    <d v="2026-01-23T00:00:00"/>
    <s v="3RD"/>
    <d v="1899-12-31T01:00:00"/>
    <n v="3"/>
    <x v="1"/>
    <n v="1.18E-2"/>
    <s v="P"/>
    <s v="P"/>
    <s v="P"/>
    <s v="+"/>
    <s v="+"/>
    <n v="12.41"/>
    <s v="-"/>
    <s v="-"/>
    <s v="-"/>
    <s v="-"/>
    <s v="-"/>
    <s v="-"/>
    <s v="-"/>
    <s v="-"/>
    <s v="P"/>
    <s v="P"/>
    <s v="-"/>
    <n v="2"/>
    <n v="1"/>
    <n v="2"/>
    <n v="1"/>
    <s v="-"/>
    <s v="-"/>
    <s v="-"/>
    <s v="-"/>
    <s v="-"/>
    <s v="-"/>
    <s v="-"/>
    <n v="6"/>
    <n v="6"/>
    <s v="-"/>
    <n v="1"/>
    <n v="1"/>
    <n v="2"/>
    <n v="2"/>
    <n v="8"/>
    <n v="8"/>
  </r>
  <r>
    <x v="1"/>
    <x v="38"/>
    <d v="2026-02-03T00:00:00"/>
    <s v="3RD"/>
    <d v="1899-12-31T04:00:00"/>
    <n v="3"/>
    <x v="1"/>
    <n v="1.18E-2"/>
    <s v="P"/>
    <s v="P"/>
    <s v="P"/>
    <s v="+"/>
    <s v="+"/>
    <n v="12.77"/>
    <n v="13.11"/>
    <n v="0.49"/>
    <n v="64"/>
    <s v="-"/>
    <s v="-"/>
    <n v="36.700000000000003"/>
    <s v="-"/>
    <s v="-"/>
    <s v="P"/>
    <s v="P"/>
    <s v="85% 15%"/>
    <n v="2"/>
    <n v="1"/>
    <n v="2"/>
    <n v="1"/>
    <n v="1"/>
    <n v="2"/>
    <n v="2"/>
    <s v="-"/>
    <s v="-"/>
    <n v="2"/>
    <s v="-"/>
    <n v="13"/>
    <n v="13"/>
    <s v="-"/>
    <n v="1"/>
    <n v="1"/>
    <n v="2"/>
    <n v="2"/>
    <n v="15"/>
    <n v="15"/>
  </r>
  <r>
    <x v="1"/>
    <x v="38"/>
    <d v="1899-12-30T00:00:00"/>
    <s v="2ND"/>
    <d v="1899-12-30T15:00:00"/>
    <s v="Retail"/>
    <x v="13"/>
    <s v="-"/>
    <s v="-"/>
    <s v="-"/>
    <s v="-"/>
    <s v="-"/>
    <s v="-"/>
    <s v="-"/>
    <n v="4.72"/>
    <s v="-"/>
    <s v="-"/>
    <s v="-"/>
    <s v="-"/>
    <s v="-"/>
    <s v="-"/>
    <s v="-"/>
    <s v="-"/>
    <s v="-"/>
    <s v="-"/>
    <s v="-"/>
    <s v="-"/>
    <s v="-"/>
    <s v="-"/>
    <s v="-"/>
    <s v="-"/>
    <s v="-"/>
    <s v="-"/>
    <s v="-"/>
    <s v="-"/>
    <s v="-"/>
    <n v="0"/>
    <n v="0"/>
    <s v="-"/>
    <s v="-"/>
    <s v="-"/>
    <n v="0"/>
    <n v="0"/>
    <n v="0"/>
    <n v="0"/>
  </r>
  <r>
    <x v="1"/>
    <x v="38"/>
    <d v="1902-03-23T00:00:00"/>
    <s v="1ST"/>
    <s v="11:00"/>
    <n v="2"/>
    <x v="5"/>
    <n v="2.7000000000000001E-3"/>
    <s v="P"/>
    <s v="P"/>
    <s v="P"/>
    <s v="-"/>
    <s v="+"/>
    <n v="11.2"/>
    <n v="8.3000000000000007"/>
    <s v="-"/>
    <n v="54.6"/>
    <s v="-"/>
    <s v="-"/>
    <n v="22.28"/>
    <s v="-"/>
    <s v="-"/>
    <s v="P"/>
    <s v="P"/>
    <s v="-"/>
    <n v="2"/>
    <n v="1"/>
    <n v="2"/>
    <n v="1"/>
    <n v="0"/>
    <s v="-"/>
    <n v="2"/>
    <s v="-"/>
    <s v="-"/>
    <n v="2"/>
    <s v="-"/>
    <n v="10"/>
    <n v="11"/>
    <s v="-"/>
    <n v="1"/>
    <n v="1"/>
    <n v="2"/>
    <n v="2"/>
    <n v="12"/>
    <n v="13"/>
  </r>
  <r>
    <x v="1"/>
    <x v="38"/>
    <d v="1899-12-30T00:00:00"/>
    <s v="1ST"/>
    <s v="12:00"/>
    <n v="2"/>
    <x v="5"/>
    <n v="3.0999999999999999E-3"/>
    <s v="P"/>
    <s v="P"/>
    <s v="P"/>
    <s v="-"/>
    <s v="+"/>
    <n v="11.47"/>
    <s v="-"/>
    <s v="-"/>
    <s v="-"/>
    <s v="-"/>
    <s v="-"/>
    <s v="-"/>
    <s v="-"/>
    <s v="-"/>
    <s v="P"/>
    <s v="P"/>
    <s v="-"/>
    <n v="2"/>
    <n v="1"/>
    <n v="2"/>
    <n v="1"/>
    <s v="-"/>
    <s v="-"/>
    <s v="-"/>
    <s v="-"/>
    <s v="-"/>
    <s v="-"/>
    <s v="-"/>
    <n v="6"/>
    <n v="6"/>
    <s v="-"/>
    <n v="1"/>
    <n v="1"/>
    <n v="2"/>
    <n v="2"/>
    <n v="8"/>
    <n v="8"/>
  </r>
  <r>
    <x v="1"/>
    <x v="38"/>
    <d v="1902-03-27T00:00:00"/>
    <s v="2ND"/>
    <d v="1899-12-30T14:00:00"/>
    <n v="2"/>
    <x v="5"/>
    <n v="2.5000000000000001E-3"/>
    <s v="P"/>
    <s v="P"/>
    <s v="P"/>
    <s v="-"/>
    <s v="-"/>
    <n v="11.41"/>
    <n v="8.31"/>
    <s v="-"/>
    <s v="-"/>
    <s v="-"/>
    <s v="-"/>
    <n v="22.21"/>
    <s v="-"/>
    <n v="25.13"/>
    <s v="P"/>
    <s v="P"/>
    <s v="-"/>
    <n v="2"/>
    <n v="1"/>
    <n v="2"/>
    <n v="1"/>
    <n v="0"/>
    <s v="-"/>
    <s v="-"/>
    <s v="-"/>
    <s v="-"/>
    <n v="2"/>
    <s v="-"/>
    <n v="8"/>
    <n v="9"/>
    <n v="1"/>
    <n v="1"/>
    <n v="1"/>
    <n v="3"/>
    <n v="3"/>
    <n v="11"/>
    <n v="12"/>
  </r>
  <r>
    <x v="1"/>
    <x v="38"/>
    <d v="1899-12-30T00:00:00"/>
    <s v="2ND"/>
    <d v="1899-12-30T16:00:00"/>
    <s v="Retail"/>
    <x v="9"/>
    <s v="-"/>
    <s v="-"/>
    <s v="-"/>
    <s v="-"/>
    <s v="-"/>
    <s v="-"/>
    <n v="10.08"/>
    <n v="4.1900000000000004"/>
    <s v="-"/>
    <s v="-"/>
    <s v="-"/>
    <s v="-"/>
    <s v="-"/>
    <s v="-"/>
    <s v="-"/>
    <s v="-"/>
    <s v="-"/>
    <s v="-"/>
    <s v="-"/>
    <s v="-"/>
    <s v="-"/>
    <n v="1"/>
    <s v="-"/>
    <s v="-"/>
    <s v="-"/>
    <s v="-"/>
    <s v="-"/>
    <s v="-"/>
    <s v="-"/>
    <n v="1"/>
    <n v="1"/>
    <s v="-"/>
    <s v="-"/>
    <s v="-"/>
    <n v="0"/>
    <n v="0"/>
    <n v="1"/>
    <n v="1"/>
  </r>
  <r>
    <x v="1"/>
    <x v="38"/>
    <s v="-"/>
    <s v="1ST"/>
    <s v="06:00"/>
    <n v="1"/>
    <x v="22"/>
    <n v="6.3E-3"/>
    <s v="P"/>
    <s v="P"/>
    <s v="P"/>
    <s v="-"/>
    <s v="-"/>
    <n v="11.69"/>
    <n v="8.4600000000000009"/>
    <n v="0.53"/>
    <n v="54.1"/>
    <s v="-"/>
    <s v="-"/>
    <n v="22.71"/>
    <s v="-"/>
    <s v="-"/>
    <s v="P"/>
    <s v="P"/>
    <n v="1"/>
    <n v="2"/>
    <n v="1"/>
    <n v="2"/>
    <n v="1"/>
    <n v="0"/>
    <n v="2"/>
    <n v="2"/>
    <s v="-"/>
    <s v="-"/>
    <n v="2"/>
    <s v="-"/>
    <n v="12"/>
    <n v="13"/>
    <s v="-"/>
    <n v="1"/>
    <n v="1"/>
    <n v="2"/>
    <n v="2"/>
    <n v="14"/>
    <n v="15"/>
  </r>
  <r>
    <x v="1"/>
    <x v="38"/>
    <d v="2026-02-11T00:00:00"/>
    <s v="1ST"/>
    <s v="07:00"/>
    <n v="1"/>
    <x v="22"/>
    <n v="5.1999999999999998E-3"/>
    <s v="P"/>
    <s v="P"/>
    <s v="P"/>
    <s v="-"/>
    <s v="-"/>
    <n v="11.79"/>
    <s v="-"/>
    <s v="-"/>
    <s v="-"/>
    <s v="-"/>
    <s v="-"/>
    <s v="-"/>
    <s v="-"/>
    <s v="-"/>
    <s v="P"/>
    <s v="P"/>
    <s v="-"/>
    <n v="2"/>
    <n v="1"/>
    <n v="2"/>
    <n v="1"/>
    <s v="-"/>
    <s v="-"/>
    <s v="-"/>
    <s v="-"/>
    <s v="-"/>
    <s v="-"/>
    <s v="-"/>
    <n v="6"/>
    <n v="6"/>
    <s v="-"/>
    <n v="1"/>
    <n v="1"/>
    <n v="2"/>
    <n v="2"/>
    <n v="8"/>
    <n v="8"/>
  </r>
  <r>
    <x v="1"/>
    <x v="38"/>
    <d v="2026-02-11T00:00:00"/>
    <s v="1ST"/>
    <s v="09:00"/>
    <n v="1"/>
    <x v="22"/>
    <n v="3.8999999999999998E-3"/>
    <s v="P"/>
    <s v="P"/>
    <s v="P"/>
    <s v="-"/>
    <s v="-"/>
    <n v="11.88"/>
    <s v="-"/>
    <s v="-"/>
    <s v="-"/>
    <s v="-"/>
    <s v="-"/>
    <s v="-"/>
    <s v="-"/>
    <s v="-"/>
    <s v="P"/>
    <s v="P"/>
    <s v="-"/>
    <n v="2"/>
    <n v="1"/>
    <n v="2"/>
    <n v="1"/>
    <s v="-"/>
    <s v="-"/>
    <s v="-"/>
    <s v="-"/>
    <s v="-"/>
    <s v="-"/>
    <s v="-"/>
    <n v="6"/>
    <n v="6"/>
    <s v="-"/>
    <n v="1"/>
    <n v="1"/>
    <n v="2"/>
    <n v="2"/>
    <n v="8"/>
    <n v="8"/>
  </r>
  <r>
    <x v="1"/>
    <x v="38"/>
    <d v="2026-02-11T00:00:00"/>
    <s v="1ST"/>
    <s v="11:00"/>
    <n v="1"/>
    <x v="22"/>
    <n v="2.8E-3"/>
    <s v="P"/>
    <s v="P"/>
    <s v="P"/>
    <s v="-"/>
    <s v="-"/>
    <n v="11.87"/>
    <s v="-"/>
    <s v="-"/>
    <s v="-"/>
    <s v="-"/>
    <s v="-"/>
    <s v="-"/>
    <s v="-"/>
    <s v="-"/>
    <s v="P"/>
    <s v="P"/>
    <s v="-"/>
    <n v="2"/>
    <n v="1"/>
    <n v="2"/>
    <n v="1"/>
    <s v="-"/>
    <s v="-"/>
    <s v="-"/>
    <s v="-"/>
    <s v="-"/>
    <s v="-"/>
    <s v="-"/>
    <n v="6"/>
    <n v="6"/>
    <s v="-"/>
    <n v="1"/>
    <n v="1"/>
    <n v="2"/>
    <n v="2"/>
    <n v="8"/>
    <n v="8"/>
  </r>
  <r>
    <x v="1"/>
    <x v="38"/>
    <d v="2026-02-11T00:00:00"/>
    <s v="1ST"/>
    <s v="12:00"/>
    <n v="1"/>
    <x v="22"/>
    <n v="1.5E-3"/>
    <s v="P"/>
    <s v="P"/>
    <s v="P"/>
    <s v="-"/>
    <s v="-"/>
    <n v="11.92"/>
    <s v="-"/>
    <s v="-"/>
    <s v="-"/>
    <s v="-"/>
    <s v="-"/>
    <s v="-"/>
    <s v="-"/>
    <s v="-"/>
    <s v="P"/>
    <s v="P"/>
    <s v="-"/>
    <n v="2"/>
    <n v="1"/>
    <n v="2"/>
    <n v="1"/>
    <s v="-"/>
    <s v="-"/>
    <s v="-"/>
    <s v="-"/>
    <s v="-"/>
    <s v="-"/>
    <s v="-"/>
    <n v="6"/>
    <n v="6"/>
    <s v="-"/>
    <n v="1"/>
    <n v="1"/>
    <n v="2"/>
    <n v="2"/>
    <n v="8"/>
    <n v="8"/>
  </r>
  <r>
    <x v="1"/>
    <x v="38"/>
    <d v="2026-02-11T00:00:00"/>
    <s v="2ND"/>
    <d v="1899-12-30T15:00:00"/>
    <n v="1"/>
    <x v="22"/>
    <n v="6.3E-3"/>
    <s v="P"/>
    <s v="P"/>
    <s v="P"/>
    <s v="-"/>
    <s v="-"/>
    <n v="11.94"/>
    <n v="8.36"/>
    <s v="-"/>
    <s v="-"/>
    <s v="-"/>
    <s v="-"/>
    <n v="22.28"/>
    <s v="-"/>
    <s v="-"/>
    <s v="P"/>
    <s v="P"/>
    <n v="1"/>
    <n v="2"/>
    <n v="1"/>
    <n v="2"/>
    <n v="1"/>
    <n v="0"/>
    <s v="-"/>
    <s v="-"/>
    <s v="-"/>
    <s v="-"/>
    <n v="2"/>
    <s v="-"/>
    <n v="8"/>
    <n v="9"/>
    <s v="-"/>
    <n v="1"/>
    <n v="1"/>
    <n v="2"/>
    <n v="2"/>
    <n v="10"/>
    <n v="11"/>
  </r>
  <r>
    <x v="1"/>
    <x v="38"/>
    <d v="2026-02-11T00:00:00"/>
    <s v="2ND"/>
    <d v="1899-12-30T16:00:00"/>
    <n v="1"/>
    <x v="22"/>
    <n v="6.0000000000000001E-3"/>
    <s v="P"/>
    <s v="P"/>
    <s v="P"/>
    <s v="-"/>
    <s v="-"/>
    <n v="12"/>
    <s v="-"/>
    <s v="-"/>
    <s v="-"/>
    <s v="-"/>
    <s v="-"/>
    <s v="-"/>
    <s v="-"/>
    <s v="-"/>
    <s v="P"/>
    <s v="P"/>
    <s v="-"/>
    <n v="2"/>
    <n v="1"/>
    <n v="2"/>
    <n v="1"/>
    <s v="-"/>
    <s v="-"/>
    <s v="-"/>
    <s v="-"/>
    <s v="-"/>
    <s v="-"/>
    <s v="-"/>
    <n v="6"/>
    <n v="6"/>
    <s v="-"/>
    <n v="1"/>
    <n v="1"/>
    <n v="2"/>
    <n v="2"/>
    <n v="8"/>
    <n v="8"/>
  </r>
  <r>
    <x v="1"/>
    <x v="38"/>
    <d v="2026-02-11T00:00:00"/>
    <s v="2ND"/>
    <d v="1899-12-30T18:00:00"/>
    <n v="1"/>
    <x v="22"/>
    <n v="7.4999999999999997E-3"/>
    <s v="P"/>
    <s v="P"/>
    <s v="P"/>
    <s v="-"/>
    <s v="-"/>
    <n v="11.86"/>
    <s v="-"/>
    <s v="-"/>
    <s v="-"/>
    <s v="-"/>
    <s v="-"/>
    <s v="-"/>
    <s v="-"/>
    <s v="-"/>
    <s v="P"/>
    <s v="P"/>
    <s v="-"/>
    <n v="2"/>
    <n v="1"/>
    <n v="2"/>
    <n v="1"/>
    <s v="-"/>
    <s v="-"/>
    <s v="-"/>
    <s v="-"/>
    <s v="-"/>
    <s v="-"/>
    <s v="-"/>
    <n v="6"/>
    <n v="6"/>
    <s v="-"/>
    <n v="1"/>
    <n v="1"/>
    <n v="2"/>
    <n v="2"/>
    <n v="8"/>
    <n v="8"/>
  </r>
  <r>
    <x v="1"/>
    <x v="38"/>
    <d v="2026-02-11T00:00:00"/>
    <s v="2ND"/>
    <d v="1899-12-30T19:00:00"/>
    <n v="1"/>
    <x v="22"/>
    <n v="7.9000000000000008E-3"/>
    <s v="P"/>
    <s v="P"/>
    <s v="P"/>
    <s v="-"/>
    <s v="-"/>
    <n v="11.63"/>
    <s v="-"/>
    <s v="-"/>
    <s v="-"/>
    <s v="-"/>
    <s v="-"/>
    <s v="-"/>
    <s v="-"/>
    <s v="-"/>
    <s v="P"/>
    <s v="P"/>
    <s v="-"/>
    <n v="2"/>
    <n v="1"/>
    <n v="2"/>
    <n v="1"/>
    <s v="-"/>
    <s v="-"/>
    <s v="-"/>
    <s v="-"/>
    <s v="-"/>
    <s v="-"/>
    <s v="-"/>
    <n v="6"/>
    <n v="6"/>
    <s v="-"/>
    <n v="1"/>
    <n v="1"/>
    <n v="2"/>
    <n v="2"/>
    <n v="8"/>
    <n v="8"/>
  </r>
  <r>
    <x v="1"/>
    <x v="38"/>
    <d v="2026-02-11T00:00:00"/>
    <s v="2ND"/>
    <d v="1899-12-30T20:00:00"/>
    <n v="1"/>
    <x v="22"/>
    <n v="1.12E-2"/>
    <s v="P"/>
    <s v="P"/>
    <s v="P"/>
    <s v="-"/>
    <s v="-"/>
    <n v="11.65"/>
    <s v="-"/>
    <s v="-"/>
    <s v="-"/>
    <s v="-"/>
    <s v="-"/>
    <s v="-"/>
    <s v="-"/>
    <s v="-"/>
    <s v="P"/>
    <s v="P"/>
    <s v="-"/>
    <n v="2"/>
    <n v="1"/>
    <n v="2"/>
    <n v="1"/>
    <s v="-"/>
    <s v="-"/>
    <s v="-"/>
    <s v="-"/>
    <s v="-"/>
    <s v="-"/>
    <s v="-"/>
    <n v="6"/>
    <n v="6"/>
    <s v="-"/>
    <n v="1"/>
    <n v="1"/>
    <n v="2"/>
    <n v="2"/>
    <n v="8"/>
    <n v="8"/>
  </r>
  <r>
    <x v="1"/>
    <x v="38"/>
    <s v="-"/>
    <s v="3RD"/>
    <d v="1899-12-30T22:00:00"/>
    <n v="1"/>
    <x v="22"/>
    <n v="9.1999999999999998E-3"/>
    <s v="P"/>
    <s v="P"/>
    <s v="P"/>
    <s v="-"/>
    <s v="-"/>
    <n v="11.59"/>
    <n v="8.4600000000000009"/>
    <s v="-"/>
    <s v="-"/>
    <s v="-"/>
    <s v="-"/>
    <n v="22.64"/>
    <s v="-"/>
    <n v="25.13"/>
    <s v="P"/>
    <s v="P"/>
    <n v="1"/>
    <n v="2"/>
    <n v="1"/>
    <n v="2"/>
    <n v="1"/>
    <n v="0"/>
    <s v="-"/>
    <s v="-"/>
    <s v="-"/>
    <s v="-"/>
    <n v="2"/>
    <s v="-"/>
    <n v="8"/>
    <n v="9"/>
    <n v="1"/>
    <n v="1"/>
    <n v="1"/>
    <n v="3"/>
    <n v="3"/>
    <n v="11"/>
    <n v="12"/>
  </r>
  <r>
    <x v="1"/>
    <x v="38"/>
    <d v="2026-02-11T00:00:00"/>
    <s v="3RD"/>
    <d v="1899-12-30T23:00:00"/>
    <n v="1"/>
    <x v="22"/>
    <n v="1.24E-2"/>
    <s v="P"/>
    <s v="P"/>
    <s v="P"/>
    <s v="-"/>
    <s v="-"/>
    <n v="11.47"/>
    <s v="-"/>
    <s v="-"/>
    <s v="-"/>
    <s v="-"/>
    <s v="-"/>
    <s v="-"/>
    <s v="-"/>
    <s v="-"/>
    <s v="P"/>
    <s v="P"/>
    <s v="-"/>
    <n v="2"/>
    <n v="1"/>
    <n v="2"/>
    <n v="1"/>
    <s v="-"/>
    <s v="-"/>
    <s v="-"/>
    <s v="-"/>
    <s v="-"/>
    <s v="-"/>
    <s v="-"/>
    <n v="6"/>
    <n v="6"/>
    <s v="-"/>
    <n v="1"/>
    <n v="1"/>
    <n v="2"/>
    <n v="2"/>
    <n v="8"/>
    <n v="8"/>
  </r>
  <r>
    <x v="1"/>
    <x v="38"/>
    <d v="2026-02-11T00:00:00"/>
    <s v="3RD"/>
    <d v="1899-12-31T00:00:00"/>
    <n v="1"/>
    <x v="22"/>
    <n v="1.26E-2"/>
    <s v="P"/>
    <s v="P"/>
    <s v="P"/>
    <s v="-"/>
    <s v="-"/>
    <n v="11.14"/>
    <s v="-"/>
    <s v="-"/>
    <s v="-"/>
    <s v="-"/>
    <s v="-"/>
    <s v="-"/>
    <s v="-"/>
    <s v="-"/>
    <s v="P"/>
    <s v="P"/>
    <s v="-"/>
    <n v="2"/>
    <n v="1"/>
    <n v="2"/>
    <n v="1"/>
    <s v="-"/>
    <s v="-"/>
    <s v="-"/>
    <s v="-"/>
    <s v="-"/>
    <s v="-"/>
    <s v="-"/>
    <n v="6"/>
    <n v="6"/>
    <s v="-"/>
    <n v="1"/>
    <n v="1"/>
    <n v="2"/>
    <n v="2"/>
    <n v="8"/>
    <n v="8"/>
  </r>
  <r>
    <x v="1"/>
    <x v="38"/>
    <d v="2026-02-11T00:00:00"/>
    <s v="3RD"/>
    <d v="1899-12-31T01:00:00"/>
    <n v="1"/>
    <x v="22"/>
    <n v="1.41E-2"/>
    <s v="P"/>
    <s v="P"/>
    <s v="P"/>
    <s v="-"/>
    <s v="-"/>
    <n v="11.38"/>
    <s v="-"/>
    <s v="-"/>
    <s v="-"/>
    <s v="-"/>
    <s v="-"/>
    <s v="-"/>
    <s v="-"/>
    <s v="-"/>
    <s v="P"/>
    <s v="P"/>
    <s v="-"/>
    <n v="2"/>
    <n v="1"/>
    <n v="2"/>
    <n v="1"/>
    <s v="-"/>
    <s v="-"/>
    <s v="-"/>
    <s v="-"/>
    <s v="-"/>
    <s v="-"/>
    <s v="-"/>
    <n v="6"/>
    <n v="6"/>
    <s v="-"/>
    <n v="1"/>
    <n v="1"/>
    <n v="2"/>
    <n v="2"/>
    <n v="8"/>
    <n v="8"/>
  </r>
  <r>
    <x v="1"/>
    <x v="38"/>
    <d v="2026-02-11T00:00:00"/>
    <s v="3RD"/>
    <d v="1899-12-31T02:00:00"/>
    <n v="1"/>
    <x v="22"/>
    <n v="1.4500000000000001E-2"/>
    <s v="P"/>
    <s v="P"/>
    <s v="P"/>
    <s v="-"/>
    <s v="-"/>
    <n v="11.33"/>
    <s v="-"/>
    <s v="-"/>
    <s v="-"/>
    <s v="-"/>
    <s v="-"/>
    <s v="-"/>
    <s v="-"/>
    <s v="-"/>
    <s v="P"/>
    <s v="P"/>
    <s v="-"/>
    <n v="2"/>
    <n v="1"/>
    <n v="2"/>
    <n v="1"/>
    <s v="-"/>
    <s v="-"/>
    <s v="-"/>
    <s v="-"/>
    <s v="-"/>
    <s v="-"/>
    <s v="-"/>
    <n v="6"/>
    <n v="6"/>
    <s v="-"/>
    <n v="1"/>
    <n v="1"/>
    <n v="2"/>
    <n v="2"/>
    <n v="8"/>
    <n v="8"/>
  </r>
  <r>
    <x v="1"/>
    <x v="38"/>
    <d v="2026-02-11T00:00:00"/>
    <s v="3RD"/>
    <d v="1899-12-31T03:00:00"/>
    <n v="1"/>
    <x v="22"/>
    <n v="1.2E-2"/>
    <s v="P"/>
    <s v="P"/>
    <s v="P"/>
    <s v="-"/>
    <s v="-"/>
    <n v="11"/>
    <s v="-"/>
    <s v="-"/>
    <s v="-"/>
    <s v="-"/>
    <s v="-"/>
    <s v="-"/>
    <s v="-"/>
    <s v="-"/>
    <s v="P"/>
    <s v="P"/>
    <s v="-"/>
    <n v="2"/>
    <n v="1"/>
    <n v="2"/>
    <n v="1"/>
    <s v="-"/>
    <s v="-"/>
    <s v="-"/>
    <s v="-"/>
    <s v="-"/>
    <s v="-"/>
    <s v="-"/>
    <n v="6"/>
    <n v="6"/>
    <s v="-"/>
    <n v="1"/>
    <n v="1"/>
    <n v="2"/>
    <n v="2"/>
    <n v="8"/>
    <n v="8"/>
  </r>
  <r>
    <x v="1"/>
    <x v="38"/>
    <d v="2026-02-11T00:00:00"/>
    <s v="3RD"/>
    <d v="1899-12-31T04:00:00"/>
    <n v="1"/>
    <x v="22"/>
    <n v="1.3100000000000001E-2"/>
    <s v="P"/>
    <s v="P"/>
    <s v="P"/>
    <s v="-"/>
    <s v="-"/>
    <n v="11.25"/>
    <s v="-"/>
    <s v="-"/>
    <s v="-"/>
    <s v="-"/>
    <s v="-"/>
    <s v="-"/>
    <s v="-"/>
    <s v="-"/>
    <s v="P"/>
    <s v="P"/>
    <s v="-"/>
    <n v="2"/>
    <n v="1"/>
    <n v="2"/>
    <n v="1"/>
    <s v="-"/>
    <s v="-"/>
    <s v="-"/>
    <s v="-"/>
    <s v="-"/>
    <s v="-"/>
    <s v="-"/>
    <n v="6"/>
    <n v="6"/>
    <s v="-"/>
    <n v="1"/>
    <n v="1"/>
    <n v="2"/>
    <n v="2"/>
    <n v="8"/>
    <n v="8"/>
  </r>
  <r>
    <x v="1"/>
    <x v="39"/>
    <d v="2026-02-18T00:00:00"/>
    <s v="1ST"/>
    <s v="09:00"/>
    <s v="Retail"/>
    <x v="3"/>
    <s v="-"/>
    <s v="-"/>
    <s v="-"/>
    <s v="-"/>
    <s v="-"/>
    <s v="-"/>
    <n v="12.86"/>
    <s v="-"/>
    <s v="-"/>
    <s v="-"/>
    <s v="-"/>
    <s v="-"/>
    <s v="-"/>
    <s v="-"/>
    <s v="-"/>
    <s v="-"/>
    <s v="-"/>
    <s v="-"/>
    <s v="-"/>
    <s v="-"/>
    <s v="-"/>
    <n v="0"/>
    <s v="-"/>
    <s v="-"/>
    <s v="-"/>
    <s v="-"/>
    <s v="-"/>
    <s v="-"/>
    <s v="-"/>
    <n v="0"/>
    <n v="1"/>
    <s v="-"/>
    <s v="-"/>
    <s v="-"/>
    <n v="0"/>
    <n v="0"/>
    <n v="0"/>
    <n v="1"/>
  </r>
  <r>
    <x v="1"/>
    <x v="39"/>
    <d v="2026-02-03T00:00:00"/>
    <s v="1ST"/>
    <s v="06:00"/>
    <n v="3"/>
    <x v="1"/>
    <n v="2.2000000000000001E-3"/>
    <s v="P"/>
    <s v="P"/>
    <s v="P"/>
    <s v="+"/>
    <s v="+"/>
    <n v="13.46"/>
    <n v="12.83"/>
    <n v="0.56000000000000005"/>
    <n v="63.5"/>
    <s v="-"/>
    <s v="-"/>
    <n v="35.799999999999997"/>
    <s v="-"/>
    <s v="-"/>
    <s v="P"/>
    <s v="P"/>
    <s v="85% 15%"/>
    <n v="2"/>
    <n v="1"/>
    <n v="2"/>
    <n v="1"/>
    <n v="1"/>
    <n v="2"/>
    <n v="0"/>
    <s v="-"/>
    <s v="-"/>
    <n v="2"/>
    <s v="-"/>
    <n v="11"/>
    <n v="13"/>
    <s v="-"/>
    <n v="1"/>
    <n v="1"/>
    <n v="2"/>
    <n v="2"/>
    <n v="13"/>
    <n v="15"/>
  </r>
  <r>
    <x v="1"/>
    <x v="39"/>
    <d v="2026-02-03T00:00:00"/>
    <s v="1ST"/>
    <s v="07:00"/>
    <n v="3"/>
    <x v="1"/>
    <n v="3.0000000000000001E-3"/>
    <s v="P"/>
    <s v="P"/>
    <s v="P"/>
    <s v="+"/>
    <s v="+"/>
    <n v="13.3"/>
    <s v="-"/>
    <s v="-"/>
    <s v="-"/>
    <s v="-"/>
    <s v="-"/>
    <s v="-"/>
    <s v="-"/>
    <s v="-"/>
    <s v="P"/>
    <s v="P"/>
    <s v="-"/>
    <n v="2"/>
    <n v="1"/>
    <n v="2"/>
    <n v="1"/>
    <s v="-"/>
    <s v="-"/>
    <s v="-"/>
    <s v="-"/>
    <s v="-"/>
    <s v="-"/>
    <s v="-"/>
    <n v="6"/>
    <n v="6"/>
    <s v="-"/>
    <n v="1"/>
    <n v="1"/>
    <n v="2"/>
    <n v="2"/>
    <n v="8"/>
    <n v="8"/>
  </r>
  <r>
    <x v="1"/>
    <x v="39"/>
    <d v="2026-02-03T00:00:00"/>
    <s v="1ST"/>
    <s v="08:00"/>
    <n v="3"/>
    <x v="1"/>
    <n v="4.7999999999999996E-3"/>
    <s v="P"/>
    <s v="P"/>
    <s v="P"/>
    <s v="+"/>
    <s v="+"/>
    <n v="13.61"/>
    <s v="-"/>
    <s v="-"/>
    <s v="-"/>
    <s v="-"/>
    <s v="-"/>
    <s v="-"/>
    <s v="-"/>
    <s v="-"/>
    <s v="P"/>
    <s v="P"/>
    <s v="-"/>
    <n v="2"/>
    <n v="1"/>
    <n v="2"/>
    <n v="1"/>
    <s v="-"/>
    <s v="-"/>
    <s v="-"/>
    <s v="-"/>
    <s v="-"/>
    <s v="-"/>
    <s v="-"/>
    <n v="6"/>
    <n v="6"/>
    <s v="-"/>
    <n v="1"/>
    <n v="1"/>
    <n v="2"/>
    <n v="2"/>
    <n v="8"/>
    <n v="8"/>
  </r>
  <r>
    <x v="1"/>
    <x v="39"/>
    <d v="2026-02-03T00:00:00"/>
    <s v="1ST"/>
    <s v="10:00"/>
    <n v="3"/>
    <x v="1"/>
    <n v="3.7000000000000002E-3"/>
    <s v="P"/>
    <s v="P"/>
    <s v="P"/>
    <s v="+"/>
    <s v="+"/>
    <n v="13.54"/>
    <s v="-"/>
    <s v="-"/>
    <s v="-"/>
    <s v="-"/>
    <s v="-"/>
    <s v="-"/>
    <s v="-"/>
    <s v="-"/>
    <s v="P"/>
    <s v="P"/>
    <s v="-"/>
    <n v="2"/>
    <n v="1"/>
    <n v="2"/>
    <n v="1"/>
    <s v="-"/>
    <s v="-"/>
    <s v="-"/>
    <s v="-"/>
    <s v="-"/>
    <s v="-"/>
    <s v="-"/>
    <n v="6"/>
    <n v="6"/>
    <s v="-"/>
    <n v="1"/>
    <n v="1"/>
    <n v="2"/>
    <n v="2"/>
    <n v="8"/>
    <n v="8"/>
  </r>
  <r>
    <x v="1"/>
    <x v="39"/>
    <d v="2026-02-03T00:00:00"/>
    <s v="1ST"/>
    <s v="11:00"/>
    <n v="3"/>
    <x v="1"/>
    <n v="4.0000000000000001E-3"/>
    <s v="P"/>
    <s v="P"/>
    <s v="P"/>
    <s v="+"/>
    <s v="+"/>
    <n v="12.36"/>
    <s v="-"/>
    <s v="-"/>
    <s v="-"/>
    <s v="-"/>
    <s v="-"/>
    <s v="-"/>
    <s v="-"/>
    <s v="-"/>
    <s v="P"/>
    <s v="P"/>
    <s v="-"/>
    <n v="2"/>
    <n v="1"/>
    <n v="2"/>
    <n v="1"/>
    <s v="-"/>
    <s v="-"/>
    <s v="-"/>
    <s v="-"/>
    <s v="-"/>
    <s v="-"/>
    <s v="-"/>
    <n v="6"/>
    <n v="6"/>
    <s v="-"/>
    <n v="1"/>
    <n v="1"/>
    <n v="2"/>
    <n v="2"/>
    <n v="8"/>
    <n v="8"/>
  </r>
  <r>
    <x v="1"/>
    <x v="39"/>
    <d v="2026-02-03T00:00:00"/>
    <s v="1ST"/>
    <s v="13:00"/>
    <n v="3"/>
    <x v="1"/>
    <n v="5.3E-3"/>
    <s v="P"/>
    <s v="P"/>
    <s v="P"/>
    <s v="+"/>
    <s v="+"/>
    <n v="12.78"/>
    <s v="-"/>
    <s v="-"/>
    <s v="-"/>
    <s v="-"/>
    <s v="-"/>
    <s v="-"/>
    <s v="-"/>
    <s v="-"/>
    <s v="P"/>
    <s v="P"/>
    <s v="-"/>
    <n v="2"/>
    <n v="1"/>
    <n v="2"/>
    <n v="1"/>
    <s v="-"/>
    <s v="-"/>
    <s v="-"/>
    <s v="-"/>
    <s v="-"/>
    <s v="-"/>
    <s v="-"/>
    <n v="6"/>
    <n v="6"/>
    <s v="-"/>
    <n v="1"/>
    <n v="1"/>
    <n v="2"/>
    <n v="2"/>
    <n v="8"/>
    <n v="8"/>
  </r>
  <r>
    <x v="1"/>
    <x v="39"/>
    <d v="2026-02-03T00:00:00"/>
    <s v="2ND"/>
    <d v="1899-12-30T14:00:00"/>
    <n v="3"/>
    <x v="1"/>
    <n v="8.6999999999999994E-3"/>
    <s v="P"/>
    <s v="P"/>
    <s v="P"/>
    <s v="+"/>
    <s v="+"/>
    <n v="13.06"/>
    <n v="13.01"/>
    <s v="-"/>
    <s v="-"/>
    <s v="-"/>
    <s v="-"/>
    <n v="36.299999999999997"/>
    <s v="-"/>
    <s v="-"/>
    <s v="P"/>
    <s v="P"/>
    <s v="85% 15%"/>
    <n v="2"/>
    <n v="1"/>
    <n v="2"/>
    <n v="1"/>
    <n v="1"/>
    <s v="-"/>
    <s v="-"/>
    <s v="-"/>
    <s v="-"/>
    <n v="2"/>
    <s v="-"/>
    <n v="9"/>
    <n v="9"/>
    <s v="-"/>
    <n v="1"/>
    <n v="1"/>
    <n v="2"/>
    <n v="2"/>
    <n v="11"/>
    <n v="11"/>
  </r>
  <r>
    <x v="1"/>
    <x v="39"/>
    <d v="2026-02-03T00:00:00"/>
    <s v="2ND"/>
    <d v="1899-12-30T15:00:00"/>
    <n v="3"/>
    <x v="1"/>
    <n v="6.4000000000000003E-3"/>
    <s v="P"/>
    <s v="P"/>
    <s v="P"/>
    <s v="+"/>
    <s v="+"/>
    <n v="13.26"/>
    <s v="-"/>
    <s v="-"/>
    <s v="-"/>
    <s v="-"/>
    <s v="-"/>
    <s v="-"/>
    <s v="-"/>
    <s v="-"/>
    <s v="P"/>
    <s v="P"/>
    <s v="-"/>
    <n v="2"/>
    <n v="1"/>
    <n v="2"/>
    <n v="1"/>
    <s v="-"/>
    <s v="-"/>
    <s v="-"/>
    <s v="-"/>
    <s v="-"/>
    <s v="-"/>
    <s v="-"/>
    <n v="6"/>
    <n v="6"/>
    <s v="-"/>
    <n v="1"/>
    <n v="1"/>
    <n v="2"/>
    <n v="2"/>
    <n v="8"/>
    <n v="8"/>
  </r>
  <r>
    <x v="1"/>
    <x v="39"/>
    <d v="2026-02-03T00:00:00"/>
    <s v="2ND"/>
    <d v="1899-12-30T16:00:00"/>
    <n v="3"/>
    <x v="1"/>
    <n v="7.1000000000000004E-3"/>
    <s v="P"/>
    <s v="P"/>
    <s v="P"/>
    <s v="+"/>
    <s v="+"/>
    <n v="13.33"/>
    <s v="-"/>
    <s v="-"/>
    <s v="-"/>
    <s v="-"/>
    <s v="-"/>
    <s v="-"/>
    <s v="-"/>
    <s v="-"/>
    <s v="P"/>
    <s v="P"/>
    <s v="-"/>
    <n v="2"/>
    <n v="1"/>
    <n v="2"/>
    <n v="1"/>
    <s v="-"/>
    <s v="-"/>
    <s v="-"/>
    <s v="-"/>
    <s v="-"/>
    <s v="-"/>
    <s v="-"/>
    <n v="6"/>
    <n v="6"/>
    <s v="-"/>
    <n v="1"/>
    <n v="1"/>
    <n v="2"/>
    <n v="2"/>
    <n v="8"/>
    <n v="8"/>
  </r>
  <r>
    <x v="1"/>
    <x v="39"/>
    <d v="2026-02-11T00:00:00"/>
    <s v="1ST"/>
    <s v="07:00"/>
    <n v="1"/>
    <x v="20"/>
    <n v="9.1000000000000004E-3"/>
    <s v="P"/>
    <s v="P"/>
    <s v="P"/>
    <s v="-"/>
    <s v="-"/>
    <n v="12.36"/>
    <n v="12.9"/>
    <n v="0.6"/>
    <n v="64.5"/>
    <n v="21.8"/>
    <n v="513"/>
    <n v="36.1"/>
    <s v="-"/>
    <s v="-"/>
    <s v="P"/>
    <s v="P"/>
    <s v="80% 20%"/>
    <n v="2"/>
    <n v="1"/>
    <n v="2"/>
    <n v="1"/>
    <n v="1"/>
    <n v="2"/>
    <n v="2"/>
    <s v="-"/>
    <s v="-"/>
    <n v="2"/>
    <s v="-"/>
    <n v="13"/>
    <n v="13"/>
    <s v="-"/>
    <n v="1"/>
    <n v="1"/>
    <n v="2"/>
    <n v="2"/>
    <n v="15"/>
    <n v="15"/>
  </r>
  <r>
    <x v="1"/>
    <x v="39"/>
    <d v="2026-02-11T00:00:00"/>
    <s v="1ST"/>
    <s v="08:00"/>
    <n v="1"/>
    <x v="20"/>
    <n v="5.1000000000000004E-3"/>
    <s v="P"/>
    <s v="P"/>
    <s v="P"/>
    <s v="-"/>
    <s v="-"/>
    <n v="12.92"/>
    <s v="-"/>
    <s v="-"/>
    <s v="-"/>
    <s v="-"/>
    <s v="-"/>
    <s v="-"/>
    <s v="-"/>
    <s v="-"/>
    <s v="P"/>
    <s v="P"/>
    <s v="-"/>
    <n v="2"/>
    <n v="1"/>
    <n v="2"/>
    <n v="1"/>
    <s v="-"/>
    <s v="-"/>
    <s v="-"/>
    <s v="-"/>
    <s v="-"/>
    <s v="-"/>
    <s v="-"/>
    <n v="6"/>
    <n v="6"/>
    <s v="-"/>
    <n v="1"/>
    <n v="1"/>
    <n v="2"/>
    <n v="2"/>
    <n v="8"/>
    <n v="8"/>
  </r>
  <r>
    <x v="1"/>
    <x v="39"/>
    <d v="2026-02-11T00:00:00"/>
    <s v="1ST"/>
    <s v="09:00"/>
    <n v="1"/>
    <x v="20"/>
    <n v="6.6E-3"/>
    <s v="P"/>
    <s v="P"/>
    <s v="P"/>
    <s v="-"/>
    <s v="-"/>
    <n v="12.75"/>
    <s v="-"/>
    <s v="-"/>
    <s v="-"/>
    <s v="-"/>
    <s v="-"/>
    <s v="-"/>
    <s v="-"/>
    <s v="-"/>
    <s v="P"/>
    <s v="P"/>
    <s v="-"/>
    <n v="2"/>
    <n v="1"/>
    <n v="2"/>
    <n v="1"/>
    <s v="-"/>
    <s v="-"/>
    <s v="-"/>
    <s v="-"/>
    <s v="-"/>
    <s v="-"/>
    <s v="-"/>
    <n v="6"/>
    <n v="6"/>
    <s v="-"/>
    <n v="1"/>
    <n v="1"/>
    <n v="2"/>
    <n v="2"/>
    <n v="8"/>
    <n v="8"/>
  </r>
  <r>
    <x v="1"/>
    <x v="39"/>
    <d v="2026-02-11T00:00:00"/>
    <s v="1ST"/>
    <s v="10:00"/>
    <n v="1"/>
    <x v="20"/>
    <n v="7.4999999999999997E-3"/>
    <s v="P"/>
    <s v="P"/>
    <s v="P"/>
    <s v="-"/>
    <s v="-"/>
    <n v="12.91"/>
    <s v="-"/>
    <s v="-"/>
    <s v="-"/>
    <s v="-"/>
    <s v="-"/>
    <s v="-"/>
    <s v="-"/>
    <s v="-"/>
    <s v="P"/>
    <s v="P"/>
    <s v="-"/>
    <n v="2"/>
    <n v="1"/>
    <n v="2"/>
    <n v="1"/>
    <s v="-"/>
    <s v="-"/>
    <s v="-"/>
    <s v="-"/>
    <s v="-"/>
    <s v="-"/>
    <s v="-"/>
    <n v="6"/>
    <n v="6"/>
    <s v="-"/>
    <n v="1"/>
    <n v="1"/>
    <n v="2"/>
    <n v="2"/>
    <n v="8"/>
    <n v="8"/>
  </r>
  <r>
    <x v="1"/>
    <x v="39"/>
    <d v="2026-02-11T00:00:00"/>
    <s v="1ST"/>
    <s v="11:00"/>
    <n v="1"/>
    <x v="20"/>
    <n v="7.1999999999999998E-3"/>
    <s v="P"/>
    <s v="P"/>
    <s v="P"/>
    <s v="-"/>
    <s v="-"/>
    <n v="12.96"/>
    <s v="-"/>
    <s v="-"/>
    <s v="-"/>
    <s v="-"/>
    <s v="-"/>
    <s v="-"/>
    <s v="-"/>
    <s v="-"/>
    <s v="P"/>
    <s v="P"/>
    <s v="-"/>
    <n v="2"/>
    <n v="1"/>
    <n v="2"/>
    <n v="1"/>
    <s v="-"/>
    <s v="-"/>
    <s v="-"/>
    <s v="-"/>
    <s v="-"/>
    <s v="-"/>
    <s v="-"/>
    <n v="6"/>
    <n v="6"/>
    <s v="-"/>
    <n v="1"/>
    <n v="1"/>
    <n v="2"/>
    <n v="2"/>
    <n v="8"/>
    <n v="8"/>
  </r>
  <r>
    <x v="1"/>
    <x v="39"/>
    <d v="2026-02-11T00:00:00"/>
    <s v="1ST"/>
    <s v="12:00"/>
    <n v="1"/>
    <x v="20"/>
    <n v="8.8000000000000005E-3"/>
    <s v="P"/>
    <s v="P"/>
    <s v="P"/>
    <s v="-"/>
    <s v="-"/>
    <n v="12.93"/>
    <s v="-"/>
    <s v="-"/>
    <s v="-"/>
    <s v="-"/>
    <s v="-"/>
    <s v="-"/>
    <s v="-"/>
    <s v="-"/>
    <s v="P"/>
    <s v="P"/>
    <s v="-"/>
    <n v="2"/>
    <n v="1"/>
    <n v="2"/>
    <n v="1"/>
    <s v="-"/>
    <s v="-"/>
    <s v="-"/>
    <s v="-"/>
    <s v="-"/>
    <s v="-"/>
    <s v="-"/>
    <n v="6"/>
    <n v="6"/>
    <s v="-"/>
    <n v="1"/>
    <n v="1"/>
    <n v="2"/>
    <n v="2"/>
    <n v="8"/>
    <n v="8"/>
  </r>
  <r>
    <x v="1"/>
    <x v="39"/>
    <d v="2026-02-11T00:00:00"/>
    <s v="1ST"/>
    <s v="13:00"/>
    <n v="1"/>
    <x v="20"/>
    <n v="4.5999999999999999E-3"/>
    <s v="P"/>
    <s v="P"/>
    <s v="P"/>
    <s v="-"/>
    <s v="-"/>
    <n v="12.7"/>
    <s v="-"/>
    <s v="-"/>
    <s v="-"/>
    <s v="-"/>
    <s v="-"/>
    <s v="-"/>
    <s v="-"/>
    <s v="-"/>
    <s v="P"/>
    <s v="P"/>
    <s v="-"/>
    <n v="2"/>
    <n v="1"/>
    <n v="2"/>
    <n v="1"/>
    <s v="-"/>
    <s v="-"/>
    <s v="-"/>
    <s v="-"/>
    <s v="-"/>
    <s v="-"/>
    <s v="-"/>
    <n v="6"/>
    <n v="6"/>
    <s v="-"/>
    <n v="1"/>
    <n v="1"/>
    <n v="2"/>
    <n v="2"/>
    <n v="8"/>
    <n v="8"/>
  </r>
  <r>
    <x v="1"/>
    <x v="39"/>
    <s v="-"/>
    <s v="2ND"/>
    <d v="1899-12-30T14:00:00"/>
    <n v="1"/>
    <x v="20"/>
    <n v="1.4999999999999999E-2"/>
    <s v="P"/>
    <s v="P"/>
    <s v="P"/>
    <s v="-"/>
    <s v="-"/>
    <n v="11.67"/>
    <s v="-"/>
    <s v="-"/>
    <s v="-"/>
    <s v="-"/>
    <s v="-"/>
    <s v="-"/>
    <s v="-"/>
    <s v="-"/>
    <s v="P"/>
    <s v="P"/>
    <s v="80% 20% "/>
    <n v="2"/>
    <n v="1"/>
    <n v="2"/>
    <n v="1"/>
    <s v="-"/>
    <s v="-"/>
    <s v="-"/>
    <s v="-"/>
    <s v="-"/>
    <s v="-"/>
    <s v="-"/>
    <n v="6"/>
    <n v="6"/>
    <s v="-"/>
    <n v="1"/>
    <n v="1"/>
    <n v="2"/>
    <n v="2"/>
    <n v="8"/>
    <n v="8"/>
  </r>
  <r>
    <x v="1"/>
    <x v="39"/>
    <d v="2026-02-14T00:00:00"/>
    <s v="2ND"/>
    <d v="1899-12-30T15:00:00"/>
    <n v="1"/>
    <x v="20"/>
    <n v="7.6E-3"/>
    <s v="P"/>
    <s v="P"/>
    <s v="P"/>
    <s v="-"/>
    <s v="-"/>
    <n v="12.69"/>
    <n v="12.71"/>
    <n v="0.53"/>
    <n v="65.2"/>
    <s v="-"/>
    <s v="-"/>
    <n v="35.700000000000003"/>
    <s v="-"/>
    <s v="-"/>
    <s v="P"/>
    <s v="P"/>
    <s v="-"/>
    <n v="2"/>
    <n v="1"/>
    <n v="2"/>
    <n v="1"/>
    <n v="1"/>
    <n v="2"/>
    <n v="2"/>
    <s v="-"/>
    <s v="-"/>
    <n v="2"/>
    <s v="-"/>
    <n v="13"/>
    <n v="13"/>
    <s v="-"/>
    <n v="1"/>
    <n v="1"/>
    <n v="2"/>
    <n v="2"/>
    <n v="15"/>
    <n v="15"/>
  </r>
  <r>
    <x v="1"/>
    <x v="39"/>
    <d v="2026-02-14T00:00:00"/>
    <s v="2ND"/>
    <d v="1899-12-30T16:00:00"/>
    <n v="1"/>
    <x v="20"/>
    <n v="7.1000000000000004E-3"/>
    <s v="P"/>
    <s v="P"/>
    <s v="P"/>
    <s v="-"/>
    <s v="-"/>
    <n v="13.25"/>
    <s v="-"/>
    <s v="-"/>
    <s v="-"/>
    <s v="-"/>
    <s v="-"/>
    <s v="-"/>
    <s v="-"/>
    <s v="-"/>
    <s v="P"/>
    <s v="P"/>
    <s v="-"/>
    <n v="2"/>
    <n v="1"/>
    <n v="2"/>
    <n v="1"/>
    <s v="-"/>
    <s v="-"/>
    <s v="-"/>
    <s v="-"/>
    <s v="-"/>
    <s v="-"/>
    <s v="-"/>
    <n v="6"/>
    <n v="6"/>
    <s v="-"/>
    <n v="1"/>
    <n v="1"/>
    <n v="2"/>
    <n v="2"/>
    <n v="8"/>
    <n v="8"/>
  </r>
  <r>
    <x v="1"/>
    <x v="39"/>
    <d v="2026-02-14T00:00:00"/>
    <s v="2ND"/>
    <d v="1899-12-30T17:00:00"/>
    <n v="1"/>
    <x v="20"/>
    <n v="4.4999999999999997E-3"/>
    <s v="P"/>
    <s v="P"/>
    <s v="P"/>
    <s v="-"/>
    <s v="-"/>
    <n v="13.22"/>
    <s v="-"/>
    <s v="-"/>
    <s v="-"/>
    <s v="-"/>
    <s v="-"/>
    <s v="-"/>
    <s v="-"/>
    <s v="-"/>
    <s v="P"/>
    <s v="P"/>
    <s v="-"/>
    <n v="2"/>
    <n v="1"/>
    <n v="2"/>
    <n v="1"/>
    <s v="-"/>
    <s v="-"/>
    <s v="-"/>
    <s v="-"/>
    <s v="-"/>
    <s v="-"/>
    <s v="-"/>
    <n v="6"/>
    <n v="6"/>
    <s v="-"/>
    <n v="1"/>
    <n v="1"/>
    <n v="2"/>
    <n v="2"/>
    <n v="8"/>
    <n v="8"/>
  </r>
  <r>
    <x v="1"/>
    <x v="39"/>
    <d v="2026-02-14T00:00:00"/>
    <s v="2ND"/>
    <d v="1899-12-30T19:00:00"/>
    <n v="1"/>
    <x v="20"/>
    <n v="6.4999999999999997E-3"/>
    <s v="P"/>
    <s v="P"/>
    <s v="P"/>
    <s v="-"/>
    <s v="-"/>
    <n v="13.15"/>
    <s v="-"/>
    <s v="-"/>
    <s v="-"/>
    <s v="-"/>
    <s v="-"/>
    <s v="-"/>
    <s v="-"/>
    <s v="-"/>
    <s v="P"/>
    <s v="P"/>
    <s v="-"/>
    <n v="2"/>
    <n v="1"/>
    <n v="2"/>
    <n v="1"/>
    <s v="-"/>
    <s v="-"/>
    <s v="-"/>
    <s v="-"/>
    <s v="-"/>
    <s v="-"/>
    <s v="-"/>
    <n v="6"/>
    <n v="6"/>
    <s v="-"/>
    <n v="1"/>
    <n v="1"/>
    <n v="2"/>
    <n v="2"/>
    <n v="8"/>
    <n v="8"/>
  </r>
  <r>
    <x v="1"/>
    <x v="39"/>
    <d v="2026-02-14T00:00:00"/>
    <s v="2ND"/>
    <d v="1899-12-30T20:00:00"/>
    <n v="1"/>
    <x v="20"/>
    <n v="7.0000000000000001E-3"/>
    <s v="P"/>
    <s v="P"/>
    <s v="P"/>
    <s v="-"/>
    <s v="-"/>
    <n v="13.13"/>
    <s v="-"/>
    <s v="-"/>
    <s v="-"/>
    <s v="-"/>
    <s v="-"/>
    <s v="-"/>
    <s v="-"/>
    <s v="-"/>
    <s v="P"/>
    <s v="P"/>
    <s v="-"/>
    <n v="2"/>
    <n v="1"/>
    <n v="2"/>
    <n v="1"/>
    <s v="-"/>
    <s v="-"/>
    <s v="-"/>
    <s v="-"/>
    <s v="-"/>
    <s v="-"/>
    <s v="-"/>
    <n v="6"/>
    <n v="6"/>
    <s v="-"/>
    <n v="1"/>
    <n v="1"/>
    <n v="2"/>
    <n v="2"/>
    <n v="8"/>
    <n v="8"/>
  </r>
  <r>
    <x v="1"/>
    <x v="39"/>
    <s v="-"/>
    <s v="3RD"/>
    <d v="1899-12-30T22:00:00"/>
    <n v="1"/>
    <x v="20"/>
    <n v="3.3999999999999998E-3"/>
    <s v="P"/>
    <s v="P"/>
    <s v="P"/>
    <s v="-"/>
    <s v="-"/>
    <n v="13.03"/>
    <n v="11.22"/>
    <s v="-"/>
    <s v="-"/>
    <s v="-"/>
    <s v="-"/>
    <n v="31.2"/>
    <s v="-"/>
    <n v="25.14"/>
    <s v="P"/>
    <s v="P"/>
    <s v="80% 20%"/>
    <n v="2"/>
    <n v="1"/>
    <n v="2"/>
    <n v="1"/>
    <n v="0"/>
    <s v="-"/>
    <s v="-"/>
    <s v="-"/>
    <s v="-"/>
    <n v="2"/>
    <s v="-"/>
    <n v="8"/>
    <n v="9"/>
    <n v="1"/>
    <n v="1"/>
    <n v="1"/>
    <n v="3"/>
    <n v="3"/>
    <n v="11"/>
    <n v="12"/>
  </r>
  <r>
    <x v="1"/>
    <x v="39"/>
    <d v="2026-02-14T00:00:00"/>
    <s v="3RD"/>
    <d v="1899-12-30T23:00:00"/>
    <n v="1"/>
    <x v="20"/>
    <n v="1.2699999999999999E-2"/>
    <s v="P"/>
    <s v="P"/>
    <s v="P"/>
    <s v="-"/>
    <s v="-"/>
    <n v="11.14"/>
    <s v="-"/>
    <s v="-"/>
    <s v="-"/>
    <s v="-"/>
    <s v="-"/>
    <s v="-"/>
    <s v="-"/>
    <s v="-"/>
    <s v="P"/>
    <s v="P"/>
    <s v="-"/>
    <n v="2"/>
    <n v="1"/>
    <n v="2"/>
    <n v="1"/>
    <s v="-"/>
    <s v="-"/>
    <s v="-"/>
    <s v="-"/>
    <s v="-"/>
    <s v="-"/>
    <s v="-"/>
    <n v="6"/>
    <n v="6"/>
    <s v="-"/>
    <n v="1"/>
    <n v="1"/>
    <n v="2"/>
    <n v="2"/>
    <n v="8"/>
    <n v="8"/>
  </r>
  <r>
    <x v="1"/>
    <x v="39"/>
    <d v="2026-02-14T00:00:00"/>
    <s v="3RD"/>
    <d v="1899-12-31T00:00:00"/>
    <n v="1"/>
    <x v="20"/>
    <n v="4.3E-3"/>
    <s v="P"/>
    <s v="P"/>
    <s v="P"/>
    <s v="-"/>
    <s v="-"/>
    <n v="12.75"/>
    <s v="-"/>
    <s v="-"/>
    <s v="-"/>
    <s v="-"/>
    <s v="-"/>
    <s v="-"/>
    <s v="-"/>
    <s v="-"/>
    <s v="P"/>
    <s v="P"/>
    <s v="-"/>
    <n v="2"/>
    <n v="1"/>
    <n v="2"/>
    <n v="1"/>
    <s v="-"/>
    <s v="-"/>
    <s v="-"/>
    <s v="-"/>
    <s v="-"/>
    <s v="-"/>
    <s v="-"/>
    <n v="6"/>
    <n v="6"/>
    <s v="-"/>
    <n v="1"/>
    <n v="1"/>
    <n v="2"/>
    <n v="2"/>
    <n v="8"/>
    <n v="8"/>
  </r>
  <r>
    <x v="1"/>
    <x v="39"/>
    <d v="2026-02-14T00:00:00"/>
    <s v="3RD"/>
    <d v="1899-12-31T01:00:00"/>
    <n v="1"/>
    <x v="20"/>
    <n v="5.4999999999999997E-3"/>
    <s v="P"/>
    <s v="P"/>
    <s v="P"/>
    <s v="-"/>
    <s v="-"/>
    <n v="13.37"/>
    <s v="-"/>
    <s v="-"/>
    <s v="-"/>
    <s v="-"/>
    <s v="-"/>
    <s v="-"/>
    <s v="-"/>
    <s v="-"/>
    <s v="P"/>
    <s v="P"/>
    <s v="-"/>
    <n v="2"/>
    <n v="1"/>
    <n v="2"/>
    <n v="1"/>
    <s v="-"/>
    <s v="-"/>
    <s v="-"/>
    <s v="-"/>
    <s v="-"/>
    <s v="-"/>
    <s v="-"/>
    <n v="6"/>
    <n v="6"/>
    <s v="-"/>
    <n v="1"/>
    <n v="1"/>
    <n v="2"/>
    <n v="2"/>
    <n v="8"/>
    <n v="8"/>
  </r>
  <r>
    <x v="1"/>
    <x v="39"/>
    <d v="2026-02-14T00:00:00"/>
    <s v="3RD"/>
    <d v="1899-12-31T02:00:00"/>
    <n v="1"/>
    <x v="20"/>
    <n v="7.9000000000000008E-3"/>
    <s v="P"/>
    <s v="P"/>
    <s v="P"/>
    <s v="-"/>
    <s v="-"/>
    <n v="13.5"/>
    <s v="-"/>
    <s v="-"/>
    <s v="-"/>
    <s v="-"/>
    <s v="-"/>
    <s v="-"/>
    <s v="-"/>
    <s v="-"/>
    <s v="P"/>
    <s v="P"/>
    <s v="-"/>
    <n v="2"/>
    <n v="1"/>
    <n v="2"/>
    <n v="1"/>
    <s v="-"/>
    <s v="-"/>
    <s v="-"/>
    <s v="-"/>
    <s v="-"/>
    <s v="-"/>
    <s v="-"/>
    <n v="6"/>
    <n v="6"/>
    <s v="-"/>
    <n v="1"/>
    <n v="1"/>
    <n v="2"/>
    <n v="2"/>
    <n v="8"/>
    <n v="8"/>
  </r>
  <r>
    <x v="1"/>
    <x v="39"/>
    <d v="2026-02-14T00:00:00"/>
    <s v="3RD"/>
    <d v="1899-12-31T03:00:00"/>
    <n v="1"/>
    <x v="20"/>
    <n v="7.9000000000000008E-3"/>
    <s v="P"/>
    <s v="P"/>
    <s v="P"/>
    <s v="-"/>
    <s v="-"/>
    <n v="11.79"/>
    <s v="-"/>
    <s v="-"/>
    <s v="-"/>
    <s v="-"/>
    <s v="-"/>
    <s v="-"/>
    <s v="-"/>
    <s v="-"/>
    <s v="P"/>
    <s v="P"/>
    <s v="-"/>
    <n v="2"/>
    <n v="1"/>
    <n v="2"/>
    <n v="1"/>
    <s v="-"/>
    <s v="-"/>
    <s v="-"/>
    <s v="-"/>
    <s v="-"/>
    <s v="-"/>
    <s v="-"/>
    <n v="6"/>
    <n v="6"/>
    <s v="-"/>
    <n v="1"/>
    <n v="1"/>
    <n v="2"/>
    <n v="2"/>
    <n v="8"/>
    <n v="8"/>
  </r>
  <r>
    <x v="1"/>
    <x v="39"/>
    <d v="1899-12-30T00:00:00"/>
    <s v="2ND"/>
    <d v="1899-12-30T14:00:00"/>
    <s v="Retail"/>
    <x v="13"/>
    <s v="-"/>
    <s v="-"/>
    <s v="-"/>
    <s v="-"/>
    <s v="-"/>
    <s v="-"/>
    <n v="11.51"/>
    <s v="-"/>
    <n v="4.62"/>
    <s v="-"/>
    <s v="-"/>
    <s v="-"/>
    <s v="-"/>
    <s v="-"/>
    <s v="-"/>
    <s v="-"/>
    <s v="-"/>
    <s v="-"/>
    <s v="-"/>
    <s v="-"/>
    <s v="-"/>
    <n v="1"/>
    <s v="-"/>
    <n v="2"/>
    <s v="-"/>
    <s v="-"/>
    <s v="-"/>
    <s v="-"/>
    <s v="-"/>
    <n v="3"/>
    <n v="3"/>
    <s v="-"/>
    <s v="-"/>
    <s v="-"/>
    <n v="0"/>
    <n v="0"/>
    <n v="3"/>
    <n v="3"/>
  </r>
  <r>
    <x v="1"/>
    <x v="39"/>
    <d v="1902-03-26T00:00:00"/>
    <s v="3RD"/>
    <d v="1899-12-30T22:00:00"/>
    <n v="2"/>
    <x v="4"/>
    <n v="1.44E-2"/>
    <s v="P"/>
    <s v="P"/>
    <s v="P"/>
    <s v="-"/>
    <s v="+"/>
    <n v="11.11"/>
    <n v="8.24"/>
    <n v="0.53"/>
    <n v="54.9"/>
    <s v="-"/>
    <s v="-"/>
    <n v="22.08"/>
    <s v="-"/>
    <n v="25.16"/>
    <s v="P"/>
    <s v="P"/>
    <s v="-"/>
    <n v="2"/>
    <n v="1"/>
    <n v="2"/>
    <n v="1"/>
    <n v="0"/>
    <n v="2"/>
    <n v="2"/>
    <s v="-"/>
    <s v="-"/>
    <n v="2"/>
    <s v="-"/>
    <n v="12"/>
    <n v="13"/>
    <n v="1"/>
    <n v="1"/>
    <n v="1"/>
    <n v="3"/>
    <n v="3"/>
    <n v="15"/>
    <n v="16"/>
  </r>
  <r>
    <x v="1"/>
    <x v="39"/>
    <d v="1899-12-30T00:00:00"/>
    <s v="3RD"/>
    <d v="1899-12-30T23:00:00"/>
    <n v="2"/>
    <x v="4"/>
    <n v="1.46E-2"/>
    <s v="P"/>
    <s v="P"/>
    <s v="P"/>
    <s v="-"/>
    <s v="+"/>
    <n v="10.82"/>
    <s v="-"/>
    <s v="-"/>
    <s v="-"/>
    <s v="-"/>
    <s v="-"/>
    <s v="-"/>
    <s v="-"/>
    <s v="-"/>
    <s v="P"/>
    <s v="P"/>
    <s v="-"/>
    <n v="2"/>
    <n v="1"/>
    <n v="2"/>
    <n v="0"/>
    <s v="-"/>
    <s v="-"/>
    <s v="-"/>
    <s v="-"/>
    <s v="-"/>
    <s v="-"/>
    <s v="-"/>
    <n v="5"/>
    <n v="6"/>
    <s v="-"/>
    <n v="1"/>
    <n v="1"/>
    <n v="2"/>
    <n v="2"/>
    <n v="7"/>
    <n v="8"/>
  </r>
  <r>
    <x v="1"/>
    <x v="39"/>
    <d v="1899-12-30T00:00:00"/>
    <s v="3RD"/>
    <d v="1899-12-31T00:00:00"/>
    <n v="2"/>
    <x v="4"/>
    <n v="8.6999999999999994E-3"/>
    <s v="P"/>
    <s v="P"/>
    <s v="P"/>
    <s v="-"/>
    <s v="+"/>
    <n v="11.05"/>
    <s v="-"/>
    <s v="-"/>
    <s v="-"/>
    <s v="-"/>
    <s v="-"/>
    <s v="-"/>
    <s v="-"/>
    <s v="-"/>
    <s v="P"/>
    <s v="P"/>
    <s v="-"/>
    <n v="2"/>
    <n v="1"/>
    <n v="2"/>
    <n v="1"/>
    <s v="-"/>
    <s v="-"/>
    <s v="-"/>
    <s v="-"/>
    <s v="-"/>
    <s v="-"/>
    <s v="-"/>
    <n v="6"/>
    <n v="6"/>
    <s v="-"/>
    <n v="1"/>
    <n v="1"/>
    <n v="2"/>
    <n v="2"/>
    <n v="8"/>
    <n v="8"/>
  </r>
  <r>
    <x v="1"/>
    <x v="39"/>
    <d v="1899-12-30T00:00:00"/>
    <s v="3RD"/>
    <d v="1899-12-31T01:00:00"/>
    <n v="2"/>
    <x v="4"/>
    <n v="7.4999999999999997E-3"/>
    <s v="P"/>
    <s v="P"/>
    <s v="P"/>
    <s v="-"/>
    <s v="+"/>
    <n v="11.28"/>
    <s v="-"/>
    <s v="-"/>
    <s v="-"/>
    <s v="-"/>
    <s v="-"/>
    <s v="-"/>
    <s v="-"/>
    <s v="-"/>
    <s v="P"/>
    <s v="P"/>
    <s v="-"/>
    <n v="2"/>
    <n v="1"/>
    <n v="2"/>
    <n v="1"/>
    <s v="-"/>
    <s v="-"/>
    <s v="-"/>
    <s v="-"/>
    <s v="-"/>
    <s v="-"/>
    <s v="-"/>
    <n v="6"/>
    <n v="6"/>
    <s v="-"/>
    <n v="1"/>
    <n v="1"/>
    <n v="2"/>
    <n v="2"/>
    <n v="8"/>
    <n v="8"/>
  </r>
  <r>
    <x v="1"/>
    <x v="39"/>
    <d v="1899-12-30T00:00:00"/>
    <s v="3RD"/>
    <d v="1899-12-31T02:00:00"/>
    <n v="2"/>
    <x v="4"/>
    <n v="1.0999999999999999E-2"/>
    <s v="P"/>
    <s v="P"/>
    <s v="P"/>
    <s v="-"/>
    <s v="+"/>
    <n v="11.16"/>
    <s v="-"/>
    <s v="-"/>
    <s v="-"/>
    <s v="-"/>
    <s v="-"/>
    <s v="-"/>
    <s v="-"/>
    <s v="-"/>
    <s v="P"/>
    <s v="P"/>
    <s v="-"/>
    <n v="2"/>
    <n v="1"/>
    <n v="2"/>
    <n v="1"/>
    <s v="-"/>
    <s v="-"/>
    <s v="-"/>
    <s v="-"/>
    <s v="-"/>
    <s v="-"/>
    <s v="-"/>
    <n v="6"/>
    <n v="6"/>
    <s v="-"/>
    <n v="1"/>
    <n v="1"/>
    <n v="2"/>
    <n v="2"/>
    <n v="8"/>
    <n v="8"/>
  </r>
  <r>
    <x v="1"/>
    <x v="39"/>
    <d v="1899-12-30T00:00:00"/>
    <s v="3RD"/>
    <d v="1899-12-31T03:00:00"/>
    <n v="2"/>
    <x v="4"/>
    <n v="1.32E-2"/>
    <s v="P"/>
    <s v="P"/>
    <s v="P"/>
    <s v="-"/>
    <s v="+"/>
    <n v="10.63"/>
    <s v="-"/>
    <s v="-"/>
    <s v="-"/>
    <s v="-"/>
    <s v="-"/>
    <s v="-"/>
    <s v="-"/>
    <s v="-"/>
    <s v="P"/>
    <s v="P"/>
    <s v="-"/>
    <n v="2"/>
    <n v="1"/>
    <n v="2"/>
    <n v="0"/>
    <s v="-"/>
    <s v="-"/>
    <s v="-"/>
    <s v="-"/>
    <s v="-"/>
    <s v="-"/>
    <s v="-"/>
    <n v="5"/>
    <n v="6"/>
    <s v="-"/>
    <n v="1"/>
    <n v="1"/>
    <n v="2"/>
    <n v="2"/>
    <n v="7"/>
    <n v="8"/>
  </r>
  <r>
    <x v="1"/>
    <x v="39"/>
    <d v="1899-12-30T00:00:00"/>
    <s v="3RD"/>
    <d v="1899-12-31T04:00:00"/>
    <n v="2"/>
    <x v="4"/>
    <n v="4.1000000000000003E-3"/>
    <s v="P"/>
    <s v="P"/>
    <s v="P"/>
    <s v="-"/>
    <s v="+"/>
    <n v="11.15"/>
    <s v="-"/>
    <s v="-"/>
    <s v="-"/>
    <s v="-"/>
    <s v="-"/>
    <s v="-"/>
    <s v="-"/>
    <s v="-"/>
    <s v="P"/>
    <s v="P"/>
    <s v="-"/>
    <n v="2"/>
    <n v="1"/>
    <n v="2"/>
    <n v="1"/>
    <s v="-"/>
    <s v="-"/>
    <s v="-"/>
    <s v="-"/>
    <s v="-"/>
    <s v="-"/>
    <s v="-"/>
    <n v="6"/>
    <n v="6"/>
    <s v="-"/>
    <n v="1"/>
    <n v="1"/>
    <n v="2"/>
    <n v="2"/>
    <n v="8"/>
    <n v="8"/>
  </r>
  <r>
    <x v="1"/>
    <x v="39"/>
    <d v="1899-12-30T00:00:00"/>
    <s v="2ND"/>
    <d v="1899-12-30T15:00:00"/>
    <s v="Retail"/>
    <x v="9"/>
    <s v="-"/>
    <s v="-"/>
    <s v="-"/>
    <s v="-"/>
    <s v="-"/>
    <s v="-"/>
    <n v="10.28"/>
    <s v="-"/>
    <s v="-"/>
    <s v="-"/>
    <s v="-"/>
    <s v="-"/>
    <s v="-"/>
    <s v="-"/>
    <s v="-"/>
    <s v="-"/>
    <s v="-"/>
    <s v="-"/>
    <s v="-"/>
    <s v="-"/>
    <s v="-"/>
    <n v="1"/>
    <s v="-"/>
    <s v="-"/>
    <s v="-"/>
    <s v="-"/>
    <s v="-"/>
    <s v="-"/>
    <s v="-"/>
    <n v="1"/>
    <n v="1"/>
    <s v="-"/>
    <s v="-"/>
    <s v="-"/>
    <n v="0"/>
    <n v="0"/>
    <n v="1"/>
    <n v="1"/>
  </r>
  <r>
    <x v="1"/>
    <x v="39"/>
    <d v="2026-02-17T00:00:00"/>
    <s v="2ND"/>
    <d v="1899-12-30T18:00:00"/>
    <n v="3"/>
    <x v="16"/>
    <n v="7.1999999999999998E-3"/>
    <s v="P"/>
    <s v="P"/>
    <s v="P"/>
    <s v="+"/>
    <s v="+"/>
    <n v="12.14"/>
    <n v="12.81"/>
    <s v="-"/>
    <n v="64.8"/>
    <s v="-"/>
    <s v="-"/>
    <n v="35.9"/>
    <s v="-"/>
    <s v="-"/>
    <s v="P"/>
    <s v="P"/>
    <n v="1"/>
    <n v="2"/>
    <n v="1"/>
    <n v="2"/>
    <n v="1"/>
    <n v="1"/>
    <s v="-"/>
    <n v="2"/>
    <s v="-"/>
    <s v="-"/>
    <n v="2"/>
    <s v="-"/>
    <n v="11"/>
    <n v="11"/>
    <s v="-"/>
    <n v="1"/>
    <n v="1"/>
    <n v="2"/>
    <n v="2"/>
    <n v="13"/>
    <n v="13"/>
  </r>
  <r>
    <x v="1"/>
    <x v="39"/>
    <d v="2026-02-17T00:00:00"/>
    <s v="2ND"/>
    <d v="1899-12-30T20:00:00"/>
    <n v="3"/>
    <x v="16"/>
    <n v="9.1999999999999998E-3"/>
    <s v="P"/>
    <s v="P"/>
    <s v="P"/>
    <s v="+"/>
    <s v="+"/>
    <n v="12.8"/>
    <s v="-"/>
    <s v="-"/>
    <s v="-"/>
    <s v="-"/>
    <s v="-"/>
    <s v="-"/>
    <s v="-"/>
    <s v="-"/>
    <s v="P"/>
    <s v="P"/>
    <s v="-"/>
    <n v="2"/>
    <n v="1"/>
    <n v="2"/>
    <n v="1"/>
    <s v="-"/>
    <s v="-"/>
    <s v="-"/>
    <s v="-"/>
    <s v="-"/>
    <s v="-"/>
    <s v="-"/>
    <n v="6"/>
    <n v="6"/>
    <s v="-"/>
    <n v="1"/>
    <n v="1"/>
    <n v="2"/>
    <n v="2"/>
    <n v="8"/>
    <n v="8"/>
  </r>
  <r>
    <x v="1"/>
    <x v="39"/>
    <d v="2026-02-17T00:00:00"/>
    <s v="2ND"/>
    <d v="1899-12-30T21:00:00"/>
    <n v="3"/>
    <x v="16"/>
    <n v="4.3E-3"/>
    <s v="P"/>
    <s v="P"/>
    <s v="P"/>
    <s v="+"/>
    <s v="+"/>
    <n v="13"/>
    <s v="-"/>
    <s v="-"/>
    <s v="-"/>
    <s v="-"/>
    <s v="-"/>
    <s v="-"/>
    <s v="-"/>
    <s v="-"/>
    <s v="P"/>
    <s v="P"/>
    <s v="-"/>
    <n v="2"/>
    <n v="1"/>
    <n v="2"/>
    <n v="1"/>
    <s v="-"/>
    <s v="-"/>
    <s v="-"/>
    <s v="-"/>
    <s v="-"/>
    <s v="-"/>
    <s v="-"/>
    <n v="6"/>
    <n v="6"/>
    <s v="-"/>
    <n v="1"/>
    <n v="1"/>
    <n v="2"/>
    <n v="2"/>
    <n v="8"/>
    <n v="8"/>
  </r>
  <r>
    <x v="1"/>
    <x v="39"/>
    <d v="2026-02-17T00:00:00"/>
    <s v="3RD"/>
    <d v="1899-12-30T22:00:00"/>
    <n v="3"/>
    <x v="16"/>
    <n v="7.4999999999999997E-3"/>
    <s v="P"/>
    <s v="P"/>
    <s v="P"/>
    <s v="+"/>
    <s v="+"/>
    <n v="12.94"/>
    <n v="13.13"/>
    <s v="-"/>
    <s v="-"/>
    <s v="-"/>
    <s v="-"/>
    <n v="36.700000000000003"/>
    <s v="-"/>
    <s v="-"/>
    <s v="P"/>
    <s v="P"/>
    <n v="1"/>
    <n v="2"/>
    <n v="1"/>
    <n v="2"/>
    <n v="1"/>
    <n v="1"/>
    <s v="-"/>
    <s v="-"/>
    <s v="-"/>
    <s v="-"/>
    <n v="2"/>
    <s v="-"/>
    <n v="9"/>
    <n v="9"/>
    <s v="-"/>
    <n v="1"/>
    <n v="1"/>
    <n v="2"/>
    <n v="2"/>
    <n v="11"/>
    <n v="11"/>
  </r>
  <r>
    <x v="1"/>
    <x v="39"/>
    <d v="2026-02-17T00:00:00"/>
    <s v="3RD"/>
    <d v="1899-12-31T00:00:00"/>
    <n v="3"/>
    <x v="16"/>
    <n v="7.6E-3"/>
    <s v="P"/>
    <s v="P"/>
    <s v="P"/>
    <s v="+"/>
    <s v="+"/>
    <n v="12.77"/>
    <s v="-"/>
    <s v="-"/>
    <s v="-"/>
    <s v="-"/>
    <s v="-"/>
    <s v="-"/>
    <s v="-"/>
    <n v="25.13"/>
    <s v="P"/>
    <s v="P"/>
    <s v="-"/>
    <n v="2"/>
    <n v="1"/>
    <n v="2"/>
    <n v="1"/>
    <s v="-"/>
    <s v="-"/>
    <s v="-"/>
    <s v="-"/>
    <s v="-"/>
    <s v="-"/>
    <s v="-"/>
    <n v="6"/>
    <n v="6"/>
    <n v="1"/>
    <n v="1"/>
    <n v="1"/>
    <n v="3"/>
    <n v="3"/>
    <n v="9"/>
    <n v="9"/>
  </r>
  <r>
    <x v="1"/>
    <x v="39"/>
    <d v="2026-02-17T00:00:00"/>
    <s v="3RD"/>
    <d v="1899-12-31T01:00:00"/>
    <n v="3"/>
    <x v="16"/>
    <n v="3.8E-3"/>
    <s v="P"/>
    <s v="P"/>
    <s v="P"/>
    <s v="+"/>
    <s v="+"/>
    <n v="12.68"/>
    <s v="-"/>
    <s v="-"/>
    <s v="-"/>
    <s v="-"/>
    <s v="-"/>
    <s v="-"/>
    <s v="-"/>
    <s v="-"/>
    <s v="P"/>
    <s v="P"/>
    <s v="-"/>
    <n v="2"/>
    <n v="1"/>
    <n v="2"/>
    <n v="1"/>
    <s v="-"/>
    <s v="-"/>
    <s v="-"/>
    <s v="-"/>
    <s v="-"/>
    <s v="-"/>
    <s v="-"/>
    <n v="6"/>
    <n v="6"/>
    <s v="-"/>
    <n v="1"/>
    <n v="1"/>
    <n v="2"/>
    <n v="2"/>
    <n v="8"/>
    <n v="8"/>
  </r>
  <r>
    <x v="1"/>
    <x v="39"/>
    <d v="2026-02-17T00:00:00"/>
    <s v="3RD"/>
    <d v="1899-12-31T03:00:00"/>
    <n v="3"/>
    <x v="16"/>
    <n v="9.4000000000000004E-3"/>
    <s v="P"/>
    <s v="P"/>
    <s v="P"/>
    <s v="+"/>
    <s v="+"/>
    <n v="12.03"/>
    <s v="-"/>
    <s v="-"/>
    <s v="-"/>
    <s v="-"/>
    <s v="-"/>
    <s v="-"/>
    <s v="-"/>
    <s v="-"/>
    <s v="P"/>
    <s v="P"/>
    <s v="-"/>
    <n v="2"/>
    <n v="1"/>
    <n v="2"/>
    <n v="1"/>
    <s v="-"/>
    <s v="-"/>
    <s v="-"/>
    <s v="-"/>
    <s v="-"/>
    <s v="-"/>
    <s v="-"/>
    <n v="6"/>
    <n v="6"/>
    <s v="-"/>
    <n v="1"/>
    <n v="1"/>
    <n v="2"/>
    <n v="2"/>
    <n v="8"/>
    <n v="8"/>
  </r>
  <r>
    <x v="1"/>
    <x v="39"/>
    <d v="2026-02-17T00:00:00"/>
    <s v="3RD"/>
    <d v="1899-12-31T04:00:00"/>
    <n v="3"/>
    <x v="16"/>
    <n v="3.8E-3"/>
    <s v="P"/>
    <s v="P"/>
    <s v="P"/>
    <s v="+"/>
    <s v="+"/>
    <n v="12.74"/>
    <s v="-"/>
    <s v="-"/>
    <s v="-"/>
    <s v="-"/>
    <s v="-"/>
    <s v="-"/>
    <s v="-"/>
    <s v="-"/>
    <s v="P"/>
    <s v="P"/>
    <s v="-"/>
    <n v="2"/>
    <n v="1"/>
    <n v="2"/>
    <n v="1"/>
    <s v="-"/>
    <s v="-"/>
    <s v="-"/>
    <s v="-"/>
    <s v="-"/>
    <s v="-"/>
    <s v="-"/>
    <n v="6"/>
    <n v="6"/>
    <s v="-"/>
    <n v="1"/>
    <n v="1"/>
    <n v="2"/>
    <n v="2"/>
    <n v="8"/>
    <n v="8"/>
  </r>
  <r>
    <x v="1"/>
    <x v="40"/>
    <d v="1902-03-26T00:00:00"/>
    <s v="2ND"/>
    <d v="1899-12-30T14:00:00"/>
    <n v="2"/>
    <x v="7"/>
    <n v="9.7999999999999997E-3"/>
    <s v="P"/>
    <s v="P"/>
    <s v="P"/>
    <s v="-"/>
    <s v="+"/>
    <n v="10.55"/>
    <n v="8.6300000000000008"/>
    <n v="0.59"/>
    <n v="56.2"/>
    <s v="-"/>
    <s v="-"/>
    <n v="23.29"/>
    <s v="-"/>
    <s v="-"/>
    <s v="P"/>
    <s v="P"/>
    <s v="-"/>
    <n v="2"/>
    <n v="1"/>
    <n v="2"/>
    <n v="0"/>
    <n v="1"/>
    <n v="2"/>
    <n v="2"/>
    <s v="-"/>
    <s v="-"/>
    <n v="2"/>
    <s v="-"/>
    <n v="12"/>
    <n v="13"/>
    <s v="-"/>
    <n v="1"/>
    <n v="1"/>
    <n v="2"/>
    <n v="2"/>
    <n v="14"/>
    <n v="15"/>
  </r>
  <r>
    <x v="1"/>
    <x v="40"/>
    <d v="1899-12-30T00:00:00"/>
    <s v="2ND"/>
    <d v="1899-12-30T15:00:00"/>
    <n v="2"/>
    <x v="7"/>
    <n v="9.4000000000000004E-3"/>
    <s v="P"/>
    <s v="P"/>
    <s v="P"/>
    <s v="-"/>
    <s v="+"/>
    <n v="10.87"/>
    <s v="-"/>
    <s v="-"/>
    <s v="-"/>
    <s v="-"/>
    <s v="-"/>
    <s v="-"/>
    <s v="-"/>
    <s v="-"/>
    <s v="P"/>
    <s v="P"/>
    <s v="-"/>
    <n v="2"/>
    <n v="1"/>
    <n v="2"/>
    <n v="0"/>
    <s v="-"/>
    <s v="-"/>
    <s v="-"/>
    <s v="-"/>
    <s v="-"/>
    <s v="-"/>
    <s v="-"/>
    <n v="5"/>
    <n v="6"/>
    <s v="-"/>
    <n v="1"/>
    <n v="1"/>
    <n v="2"/>
    <n v="2"/>
    <n v="7"/>
    <n v="8"/>
  </r>
  <r>
    <x v="1"/>
    <x v="40"/>
    <d v="1899-12-30T00:00:00"/>
    <s v="2ND"/>
    <d v="1899-12-30T16:00:00"/>
    <n v="2"/>
    <x v="7"/>
    <n v="1.8499999999999999E-2"/>
    <s v="P"/>
    <s v="P"/>
    <s v="P"/>
    <s v="-"/>
    <s v="+"/>
    <n v="10.98"/>
    <s v="-"/>
    <s v="-"/>
    <s v="-"/>
    <s v="-"/>
    <s v="-"/>
    <s v="-"/>
    <s v="-"/>
    <s v="-"/>
    <s v="P"/>
    <s v="P"/>
    <s v="-"/>
    <n v="2"/>
    <n v="1"/>
    <n v="2"/>
    <n v="0"/>
    <s v="-"/>
    <s v="-"/>
    <s v="-"/>
    <s v="-"/>
    <s v="-"/>
    <s v="-"/>
    <s v="-"/>
    <n v="5"/>
    <n v="6"/>
    <s v="-"/>
    <n v="1"/>
    <n v="1"/>
    <n v="2"/>
    <n v="2"/>
    <n v="7"/>
    <n v="8"/>
  </r>
  <r>
    <x v="1"/>
    <x v="40"/>
    <d v="1899-12-30T00:00:00"/>
    <s v="2ND"/>
    <d v="1899-12-30T17:00:00"/>
    <n v="2"/>
    <x v="7"/>
    <n v="8.9999999999999993E-3"/>
    <s v="P"/>
    <s v="P"/>
    <s v="P"/>
    <s v="-"/>
    <s v="+"/>
    <n v="10.89"/>
    <s v="-"/>
    <s v="-"/>
    <s v="-"/>
    <s v="-"/>
    <s v="-"/>
    <s v="-"/>
    <s v="-"/>
    <s v="-"/>
    <s v="P"/>
    <s v="P"/>
    <s v="-"/>
    <n v="2"/>
    <n v="1"/>
    <n v="2"/>
    <n v="0"/>
    <s v="-"/>
    <s v="-"/>
    <s v="-"/>
    <s v="-"/>
    <s v="-"/>
    <s v="-"/>
    <s v="-"/>
    <n v="5"/>
    <n v="6"/>
    <s v="-"/>
    <n v="1"/>
    <n v="1"/>
    <n v="2"/>
    <n v="2"/>
    <n v="7"/>
    <n v="8"/>
  </r>
  <r>
    <x v="1"/>
    <x v="40"/>
    <d v="1899-12-30T00:00:00"/>
    <s v="2ND"/>
    <d v="1899-12-30T19:00:00"/>
    <n v="2"/>
    <x v="7"/>
    <n v="8.3999999999999995E-3"/>
    <s v="P"/>
    <s v="P"/>
    <s v="P"/>
    <s v="-"/>
    <s v="+"/>
    <n v="10.91"/>
    <s v="-"/>
    <s v="-"/>
    <s v="-"/>
    <s v="-"/>
    <s v="-"/>
    <s v="-"/>
    <s v="-"/>
    <s v="-"/>
    <s v="P"/>
    <s v="P"/>
    <s v="-"/>
    <n v="2"/>
    <n v="1"/>
    <n v="2"/>
    <n v="0"/>
    <s v="-"/>
    <s v="-"/>
    <s v="-"/>
    <s v="-"/>
    <s v="-"/>
    <s v="-"/>
    <s v="-"/>
    <n v="5"/>
    <n v="6"/>
    <s v="-"/>
    <n v="1"/>
    <n v="1"/>
    <n v="2"/>
    <n v="2"/>
    <n v="7"/>
    <n v="8"/>
  </r>
  <r>
    <x v="1"/>
    <x v="40"/>
    <d v="1899-12-30T00:00:00"/>
    <s v="2ND"/>
    <d v="1899-12-30T21:00:00"/>
    <n v="2"/>
    <x v="17"/>
    <n v="1.9099999999999999E-2"/>
    <s v="P"/>
    <s v="P"/>
    <s v="P"/>
    <s v="-"/>
    <s v="+"/>
    <n v="10.31"/>
    <n v="8.35"/>
    <n v="0.4"/>
    <n v="56.7"/>
    <n v="5.7"/>
    <n v="534"/>
    <s v="-"/>
    <s v="-"/>
    <s v="-"/>
    <s v="P"/>
    <s v="P"/>
    <s v="-"/>
    <n v="2"/>
    <n v="1"/>
    <n v="2"/>
    <n v="0"/>
    <n v="1"/>
    <n v="2"/>
    <n v="2"/>
    <n v="1"/>
    <n v="1"/>
    <s v="-"/>
    <s v="-"/>
    <n v="12"/>
    <n v="13"/>
    <s v="-"/>
    <n v="1"/>
    <n v="1"/>
    <n v="2"/>
    <n v="2"/>
    <n v="14"/>
    <n v="15"/>
  </r>
  <r>
    <x v="1"/>
    <x v="40"/>
    <d v="1902-03-26T00:00:00"/>
    <s v="3RD"/>
    <d v="1899-12-30T22:00:00"/>
    <n v="2"/>
    <x v="17"/>
    <n v="2.3999999999999998E-3"/>
    <s v="P"/>
    <s v="P"/>
    <s v="P"/>
    <s v="-"/>
    <s v="+"/>
    <n v="10.6"/>
    <n v="8.35"/>
    <n v="0.4"/>
    <n v="56.7"/>
    <s v="-"/>
    <s v="-"/>
    <n v="22.57"/>
    <s v="-"/>
    <n v="25.14"/>
    <s v="P"/>
    <s v="P"/>
    <s v="-"/>
    <n v="2"/>
    <n v="1"/>
    <n v="2"/>
    <n v="0"/>
    <n v="1"/>
    <n v="2"/>
    <n v="2"/>
    <s v="-"/>
    <s v="-"/>
    <n v="2"/>
    <s v="-"/>
    <n v="12"/>
    <n v="13"/>
    <n v="1"/>
    <n v="1"/>
    <n v="1"/>
    <n v="3"/>
    <n v="3"/>
    <n v="15"/>
    <n v="16"/>
  </r>
  <r>
    <x v="1"/>
    <x v="40"/>
    <d v="1899-12-30T00:00:00"/>
    <s v="3RD"/>
    <d v="1899-12-30T23:00:00"/>
    <n v="2"/>
    <x v="17"/>
    <n v="7.1000000000000004E-3"/>
    <s v="P"/>
    <s v="P"/>
    <s v="P"/>
    <s v="-"/>
    <s v="+"/>
    <n v="10.43"/>
    <s v="-"/>
    <s v="-"/>
    <s v="-"/>
    <s v="-"/>
    <s v="-"/>
    <s v="-"/>
    <s v="-"/>
    <s v="-"/>
    <s v="P"/>
    <s v="P"/>
    <s v="-"/>
    <n v="2"/>
    <n v="1"/>
    <n v="2"/>
    <n v="0"/>
    <s v="-"/>
    <s v="-"/>
    <s v="-"/>
    <s v="-"/>
    <s v="-"/>
    <s v="-"/>
    <s v="-"/>
    <n v="5"/>
    <n v="6"/>
    <s v="-"/>
    <n v="1"/>
    <n v="1"/>
    <n v="2"/>
    <n v="2"/>
    <n v="7"/>
    <n v="8"/>
  </r>
  <r>
    <x v="1"/>
    <x v="40"/>
    <d v="1899-12-30T00:00:00"/>
    <s v="3RD"/>
    <d v="1899-12-31T00:00:00"/>
    <n v="2"/>
    <x v="17"/>
    <n v="3.2000000000000002E-3"/>
    <s v="P"/>
    <s v="P"/>
    <s v="P"/>
    <s v="-"/>
    <s v="+"/>
    <n v="10.53"/>
    <s v="-"/>
    <s v="-"/>
    <s v="-"/>
    <s v="-"/>
    <s v="-"/>
    <s v="-"/>
    <s v="-"/>
    <s v="-"/>
    <s v="P"/>
    <s v="P"/>
    <s v="-"/>
    <n v="2"/>
    <n v="1"/>
    <n v="2"/>
    <n v="0"/>
    <s v="-"/>
    <s v="-"/>
    <s v="-"/>
    <s v="-"/>
    <s v="-"/>
    <s v="-"/>
    <s v="-"/>
    <n v="5"/>
    <n v="6"/>
    <s v="-"/>
    <n v="1"/>
    <n v="1"/>
    <n v="2"/>
    <n v="2"/>
    <n v="7"/>
    <n v="8"/>
  </r>
  <r>
    <x v="1"/>
    <x v="40"/>
    <d v="1899-12-30T00:00:00"/>
    <s v="3RD"/>
    <d v="1899-12-31T01:00:00"/>
    <n v="2"/>
    <x v="17"/>
    <n v="5.5999999999999999E-3"/>
    <s v="P"/>
    <s v="P"/>
    <s v="P"/>
    <s v="-"/>
    <s v="+"/>
    <n v="10.54"/>
    <s v="-"/>
    <s v="-"/>
    <s v="-"/>
    <s v="-"/>
    <s v="-"/>
    <s v="-"/>
    <s v="-"/>
    <s v="-"/>
    <s v="P"/>
    <s v="P"/>
    <s v="-"/>
    <n v="2"/>
    <n v="1"/>
    <n v="2"/>
    <n v="0"/>
    <s v="-"/>
    <s v="-"/>
    <s v="-"/>
    <s v="-"/>
    <s v="-"/>
    <s v="-"/>
    <s v="-"/>
    <n v="5"/>
    <n v="6"/>
    <s v="-"/>
    <n v="1"/>
    <n v="1"/>
    <n v="2"/>
    <n v="2"/>
    <n v="7"/>
    <n v="8"/>
  </r>
  <r>
    <x v="1"/>
    <x v="40"/>
    <d v="1899-12-30T00:00:00"/>
    <s v="3RD"/>
    <d v="1899-12-31T03:00:00"/>
    <n v="2"/>
    <x v="17"/>
    <n v="1.4999999999999999E-2"/>
    <s v="P"/>
    <s v="P"/>
    <s v="P"/>
    <s v="-"/>
    <s v="+"/>
    <n v="10.28"/>
    <s v="-"/>
    <s v="-"/>
    <s v="-"/>
    <s v="-"/>
    <s v="-"/>
    <s v="-"/>
    <s v="-"/>
    <s v="-"/>
    <s v="P"/>
    <s v="P"/>
    <s v="-"/>
    <n v="2"/>
    <n v="1"/>
    <n v="2"/>
    <n v="0"/>
    <s v="-"/>
    <s v="-"/>
    <s v="-"/>
    <s v="-"/>
    <s v="-"/>
    <s v="-"/>
    <s v="-"/>
    <n v="5"/>
    <n v="6"/>
    <s v="-"/>
    <n v="1"/>
    <n v="1"/>
    <n v="2"/>
    <n v="2"/>
    <n v="7"/>
    <n v="8"/>
  </r>
  <r>
    <x v="1"/>
    <x v="40"/>
    <d v="2026-02-18T00:00:00"/>
    <s v="2ND"/>
    <d v="1899-12-30T18:00:00"/>
    <n v="3"/>
    <x v="8"/>
    <n v="1.4200000000000001E-2"/>
    <s v="P"/>
    <s v="P"/>
    <s v="P"/>
    <s v="+"/>
    <s v="+"/>
    <n v="12.21"/>
    <n v="12.92"/>
    <s v="-"/>
    <n v="65"/>
    <s v="-"/>
    <s v="-"/>
    <n v="36.299999999999997"/>
    <s v="-"/>
    <s v="-"/>
    <s v="P"/>
    <s v="P"/>
    <n v="1"/>
    <n v="2"/>
    <n v="1"/>
    <n v="2"/>
    <n v="1"/>
    <n v="1"/>
    <s v="-"/>
    <n v="2"/>
    <s v="-"/>
    <s v="-"/>
    <s v="-"/>
    <s v="-"/>
    <n v="9"/>
    <n v="9"/>
    <s v="-"/>
    <n v="1"/>
    <n v="1"/>
    <n v="2"/>
    <n v="2"/>
    <n v="11"/>
    <n v="11"/>
  </r>
  <r>
    <x v="1"/>
    <x v="40"/>
    <d v="2026-02-18T00:00:00"/>
    <s v="2ND"/>
    <d v="1899-12-30T20:00:00"/>
    <n v="3"/>
    <x v="8"/>
    <n v="4.5999999999999999E-3"/>
    <s v="P"/>
    <s v="P"/>
    <s v="P"/>
    <s v="+"/>
    <s v="+"/>
    <n v="12.81"/>
    <s v="-"/>
    <s v="-"/>
    <s v="-"/>
    <s v="-"/>
    <s v="-"/>
    <s v="-"/>
    <s v="-"/>
    <s v="-"/>
    <s v="P"/>
    <s v="P"/>
    <s v="-"/>
    <n v="2"/>
    <n v="1"/>
    <n v="2"/>
    <n v="1"/>
    <s v="-"/>
    <s v="-"/>
    <s v="-"/>
    <s v="-"/>
    <s v="-"/>
    <s v="-"/>
    <s v="-"/>
    <n v="6"/>
    <n v="6"/>
    <s v="-"/>
    <n v="1"/>
    <n v="1"/>
    <n v="2"/>
    <n v="2"/>
    <n v="8"/>
    <n v="8"/>
  </r>
  <r>
    <x v="1"/>
    <x v="40"/>
    <d v="2026-02-18T00:00:00"/>
    <s v="3RD"/>
    <d v="1899-12-30T22:00:00"/>
    <n v="3"/>
    <x v="8"/>
    <n v="2.5999999999999999E-3"/>
    <s v="P"/>
    <s v="P"/>
    <s v="P"/>
    <s v="+"/>
    <s v="+"/>
    <n v="12.81"/>
    <n v="12.86"/>
    <s v="-"/>
    <s v="-"/>
    <s v="-"/>
    <s v="-"/>
    <n v="35.9"/>
    <s v="-"/>
    <n v="25.14"/>
    <s v="P"/>
    <s v="P"/>
    <n v="1"/>
    <n v="2"/>
    <n v="1"/>
    <n v="2"/>
    <n v="1"/>
    <n v="1"/>
    <s v="-"/>
    <s v="-"/>
    <s v="-"/>
    <s v="-"/>
    <s v="-"/>
    <s v="-"/>
    <n v="7"/>
    <n v="7"/>
    <s v="-"/>
    <n v="1"/>
    <n v="1"/>
    <n v="2"/>
    <n v="2"/>
    <n v="9"/>
    <n v="9"/>
  </r>
  <r>
    <x v="1"/>
    <x v="40"/>
    <d v="2026-02-18T00:00:00"/>
    <s v="3RD"/>
    <d v="1899-12-30T23:00:00"/>
    <n v="3"/>
    <x v="8"/>
    <n v="2.3999999999999998E-3"/>
    <s v="P"/>
    <s v="P"/>
    <s v="P"/>
    <s v="+"/>
    <s v="+"/>
    <n v="12.94"/>
    <s v="-"/>
    <s v="-"/>
    <s v="-"/>
    <s v="-"/>
    <s v="-"/>
    <s v="-"/>
    <s v="-"/>
    <s v="-"/>
    <s v="P"/>
    <s v="P"/>
    <s v="-"/>
    <n v="2"/>
    <n v="1"/>
    <n v="2"/>
    <n v="1"/>
    <s v="-"/>
    <s v="-"/>
    <s v="-"/>
    <s v="-"/>
    <s v="-"/>
    <s v="-"/>
    <s v="-"/>
    <n v="6"/>
    <n v="6"/>
    <s v="-"/>
    <n v="1"/>
    <n v="1"/>
    <n v="2"/>
    <n v="2"/>
    <n v="8"/>
    <n v="8"/>
  </r>
  <r>
    <x v="1"/>
    <x v="40"/>
    <d v="2026-02-18T00:00:00"/>
    <s v="3RD"/>
    <d v="1899-12-31T00:00:00"/>
    <n v="3"/>
    <x v="8"/>
    <n v="2.5999999999999999E-3"/>
    <s v="P"/>
    <s v="P"/>
    <s v="P"/>
    <s v="+"/>
    <s v="+"/>
    <n v="13.41"/>
    <s v="-"/>
    <s v="-"/>
    <s v="-"/>
    <s v="-"/>
    <s v="-"/>
    <s v="-"/>
    <s v="-"/>
    <s v="-"/>
    <s v="P"/>
    <s v="P"/>
    <s v="-"/>
    <n v="2"/>
    <n v="1"/>
    <n v="2"/>
    <n v="1"/>
    <s v="-"/>
    <s v="-"/>
    <s v="-"/>
    <s v="-"/>
    <s v="-"/>
    <s v="-"/>
    <s v="-"/>
    <n v="6"/>
    <n v="6"/>
    <s v="-"/>
    <n v="1"/>
    <n v="1"/>
    <n v="2"/>
    <n v="2"/>
    <n v="8"/>
    <n v="8"/>
  </r>
  <r>
    <x v="1"/>
    <x v="40"/>
    <d v="2026-02-18T00:00:00"/>
    <s v="3RD"/>
    <d v="1899-12-31T02:00:00"/>
    <n v="3"/>
    <x v="8"/>
    <n v="2.3999999999999998E-3"/>
    <s v="P"/>
    <s v="P"/>
    <s v="P"/>
    <s v="+"/>
    <s v="+"/>
    <n v="13.48"/>
    <s v="-"/>
    <s v="-"/>
    <s v="-"/>
    <s v="-"/>
    <s v="-"/>
    <s v="-"/>
    <s v="-"/>
    <s v="-"/>
    <s v="P"/>
    <s v="P"/>
    <s v="-"/>
    <n v="2"/>
    <n v="1"/>
    <n v="2"/>
    <n v="1"/>
    <s v="-"/>
    <s v="-"/>
    <s v="-"/>
    <s v="-"/>
    <s v="-"/>
    <s v="-"/>
    <s v="-"/>
    <n v="6"/>
    <n v="6"/>
    <s v="-"/>
    <n v="1"/>
    <n v="1"/>
    <n v="2"/>
    <n v="2"/>
    <n v="8"/>
    <n v="8"/>
  </r>
  <r>
    <x v="1"/>
    <x v="40"/>
    <d v="2026-02-18T00:00:00"/>
    <s v="3RD"/>
    <d v="1899-12-31T03:00:00"/>
    <n v="3"/>
    <x v="8"/>
    <n v="5.8999999999999999E-3"/>
    <s v="P"/>
    <s v="P"/>
    <s v="P"/>
    <s v="+"/>
    <s v="+"/>
    <n v="13.15"/>
    <s v="-"/>
    <s v="-"/>
    <s v="-"/>
    <s v="-"/>
    <s v="-"/>
    <s v="-"/>
    <s v="-"/>
    <s v="-"/>
    <s v="P"/>
    <s v="P"/>
    <s v="-"/>
    <n v="2"/>
    <n v="1"/>
    <n v="2"/>
    <n v="1"/>
    <s v="-"/>
    <s v="-"/>
    <s v="-"/>
    <s v="-"/>
    <s v="-"/>
    <s v="-"/>
    <s v="-"/>
    <n v="6"/>
    <n v="6"/>
    <s v="-"/>
    <n v="1"/>
    <n v="1"/>
    <n v="2"/>
    <n v="2"/>
    <n v="8"/>
    <n v="8"/>
  </r>
  <r>
    <x v="1"/>
    <x v="40"/>
    <d v="1902-03-26T00:00:00"/>
    <s v="1ST"/>
    <s v="06:00"/>
    <n v="2"/>
    <x v="4"/>
    <n v="5.7999999999999996E-3"/>
    <s v="P"/>
    <s v="P"/>
    <s v="P"/>
    <s v="-"/>
    <s v="+"/>
    <n v="11.16"/>
    <n v="8.42"/>
    <s v="-"/>
    <n v="55.2"/>
    <s v="-"/>
    <s v="-"/>
    <n v="22.64"/>
    <s v="-"/>
    <s v="-"/>
    <s v="P"/>
    <s v="P"/>
    <n v="1"/>
    <n v="2"/>
    <n v="1"/>
    <n v="2"/>
    <n v="1"/>
    <n v="0"/>
    <s v="-"/>
    <n v="2"/>
    <s v="-"/>
    <s v="-"/>
    <n v="2"/>
    <s v="-"/>
    <n v="10"/>
    <n v="11"/>
    <s v="-"/>
    <n v="1"/>
    <n v="1"/>
    <n v="2"/>
    <n v="2"/>
    <n v="12"/>
    <n v="13"/>
  </r>
  <r>
    <x v="1"/>
    <x v="40"/>
    <d v="1899-12-30T00:00:00"/>
    <s v="1ST"/>
    <s v="07:00"/>
    <n v="2"/>
    <x v="5"/>
    <n v="5.3E-3"/>
    <s v="P"/>
    <s v="P"/>
    <s v="P"/>
    <s v="-"/>
    <s v="+"/>
    <n v="11.13"/>
    <s v="-"/>
    <s v="-"/>
    <s v="-"/>
    <s v="-"/>
    <s v="-"/>
    <s v="-"/>
    <s v="-"/>
    <n v="25.11"/>
    <s v="P"/>
    <s v="P"/>
    <s v="-"/>
    <n v="2"/>
    <n v="1"/>
    <n v="2"/>
    <n v="1"/>
    <s v="-"/>
    <s v="-"/>
    <s v="-"/>
    <s v="-"/>
    <s v="-"/>
    <s v="-"/>
    <s v="-"/>
    <n v="6"/>
    <n v="6"/>
    <n v="1"/>
    <n v="1"/>
    <n v="1"/>
    <n v="3"/>
    <n v="3"/>
    <n v="9"/>
    <n v="9"/>
  </r>
  <r>
    <x v="1"/>
    <x v="40"/>
    <d v="1899-12-30T00:00:00"/>
    <s v="1ST"/>
    <s v="08:00"/>
    <n v="2"/>
    <x v="5"/>
    <n v="5.4999999999999997E-3"/>
    <s v="P"/>
    <s v="P"/>
    <s v="P"/>
    <s v="-"/>
    <s v="+"/>
    <n v="10.85"/>
    <s v="-"/>
    <s v="-"/>
    <s v="-"/>
    <s v="-"/>
    <s v="-"/>
    <s v="-"/>
    <s v="-"/>
    <s v="-"/>
    <s v="P"/>
    <s v="P"/>
    <s v="-"/>
    <n v="2"/>
    <n v="1"/>
    <n v="2"/>
    <n v="0"/>
    <s v="-"/>
    <s v="-"/>
    <s v="-"/>
    <s v="-"/>
    <s v="-"/>
    <s v="-"/>
    <s v="-"/>
    <n v="5"/>
    <n v="6"/>
    <s v="-"/>
    <n v="1"/>
    <n v="1"/>
    <n v="2"/>
    <n v="2"/>
    <n v="7"/>
    <n v="8"/>
  </r>
  <r>
    <x v="1"/>
    <x v="40"/>
    <d v="1899-12-30T00:00:00"/>
    <s v="1ST"/>
    <s v="09:00"/>
    <n v="2"/>
    <x v="5"/>
    <n v="7.6E-3"/>
    <s v="P"/>
    <s v="P"/>
    <s v="P"/>
    <s v="-"/>
    <s v="+"/>
    <n v="11.16"/>
    <s v="-"/>
    <s v="-"/>
    <s v="-"/>
    <s v="-"/>
    <s v="-"/>
    <s v="-"/>
    <s v="-"/>
    <s v="-"/>
    <s v="P"/>
    <s v="P"/>
    <s v="-"/>
    <n v="2"/>
    <n v="1"/>
    <n v="2"/>
    <n v="1"/>
    <s v="-"/>
    <s v="-"/>
    <s v="-"/>
    <s v="-"/>
    <s v="-"/>
    <s v="-"/>
    <s v="-"/>
    <n v="6"/>
    <n v="6"/>
    <s v="-"/>
    <n v="1"/>
    <n v="1"/>
    <n v="2"/>
    <n v="2"/>
    <n v="8"/>
    <n v="8"/>
  </r>
  <r>
    <x v="1"/>
    <x v="40"/>
    <d v="1899-12-30T00:00:00"/>
    <s v="1ST"/>
    <s v="10:00"/>
    <n v="2"/>
    <x v="5"/>
    <n v="9.2999999999999992E-3"/>
    <s v="P"/>
    <s v="P"/>
    <s v="P"/>
    <s v="-"/>
    <s v="+"/>
    <n v="10.98"/>
    <s v="-"/>
    <s v="-"/>
    <s v="-"/>
    <s v="-"/>
    <s v="-"/>
    <s v="-"/>
    <s v="-"/>
    <s v="-"/>
    <s v="P"/>
    <s v="P"/>
    <s v="-"/>
    <n v="2"/>
    <n v="1"/>
    <n v="2"/>
    <n v="0"/>
    <s v="-"/>
    <s v="-"/>
    <s v="-"/>
    <s v="-"/>
    <s v="-"/>
    <s v="-"/>
    <s v="-"/>
    <n v="5"/>
    <n v="6"/>
    <s v="-"/>
    <n v="1"/>
    <n v="1"/>
    <n v="2"/>
    <n v="2"/>
    <n v="7"/>
    <n v="8"/>
  </r>
  <r>
    <x v="1"/>
    <x v="40"/>
    <d v="1899-12-30T00:00:00"/>
    <s v="1ST"/>
    <s v="11:00"/>
    <n v="2"/>
    <x v="5"/>
    <n v="8.8000000000000005E-3"/>
    <s v="P"/>
    <s v="P"/>
    <s v="P"/>
    <s v="-"/>
    <s v="+"/>
    <n v="10.91"/>
    <s v="-"/>
    <s v="-"/>
    <s v="-"/>
    <s v="-"/>
    <s v="-"/>
    <s v="-"/>
    <s v="-"/>
    <s v="-"/>
    <s v="P"/>
    <s v="P"/>
    <s v="-"/>
    <n v="2"/>
    <n v="1"/>
    <n v="2"/>
    <n v="0"/>
    <s v="-"/>
    <s v="-"/>
    <s v="-"/>
    <s v="-"/>
    <s v="-"/>
    <s v="-"/>
    <s v="-"/>
    <n v="5"/>
    <n v="6"/>
    <s v="-"/>
    <n v="1"/>
    <n v="1"/>
    <n v="2"/>
    <n v="2"/>
    <n v="7"/>
    <n v="8"/>
  </r>
  <r>
    <x v="1"/>
    <x v="40"/>
    <d v="1899-12-30T00:00:00"/>
    <s v="1ST"/>
    <s v="12:00"/>
    <n v="2"/>
    <x v="5"/>
    <n v="6.6E-3"/>
    <s v="P"/>
    <s v="P"/>
    <s v="P"/>
    <s v="-"/>
    <s v="+"/>
    <n v="11.14"/>
    <s v="-"/>
    <s v="-"/>
    <s v="-"/>
    <s v="-"/>
    <s v="-"/>
    <s v="-"/>
    <s v="-"/>
    <s v="-"/>
    <s v="P"/>
    <s v="P"/>
    <s v="-"/>
    <n v="2"/>
    <n v="1"/>
    <n v="2"/>
    <n v="1"/>
    <s v="-"/>
    <s v="-"/>
    <s v="-"/>
    <s v="-"/>
    <s v="-"/>
    <s v="-"/>
    <s v="-"/>
    <n v="6"/>
    <n v="6"/>
    <s v="-"/>
    <n v="1"/>
    <n v="1"/>
    <n v="2"/>
    <n v="2"/>
    <n v="8"/>
    <n v="8"/>
  </r>
  <r>
    <x v="1"/>
    <x v="40"/>
    <d v="2026-02-17T00:00:00"/>
    <s v="1ST"/>
    <s v="06:00"/>
    <n v="3"/>
    <x v="16"/>
    <n v="0.01"/>
    <s v="P"/>
    <s v="P"/>
    <s v="P"/>
    <s v="+"/>
    <s v="+"/>
    <n v="12.62"/>
    <n v="13.02"/>
    <n v="0.57999999999999996"/>
    <n v="63.6"/>
    <s v="-"/>
    <s v="-"/>
    <n v="36.5"/>
    <s v="-"/>
    <n v="25.16"/>
    <s v="P"/>
    <s v="P"/>
    <n v="1"/>
    <n v="2"/>
    <n v="1"/>
    <n v="2"/>
    <n v="1"/>
    <n v="1"/>
    <n v="0"/>
    <n v="0"/>
    <s v="-"/>
    <s v="-"/>
    <n v="2"/>
    <s v="-"/>
    <n v="9"/>
    <n v="13"/>
    <n v="1"/>
    <n v="1"/>
    <n v="1"/>
    <n v="3"/>
    <n v="3"/>
    <n v="12"/>
    <n v="16"/>
  </r>
  <r>
    <x v="1"/>
    <x v="40"/>
    <d v="2026-01-26T00:00:00"/>
    <s v="1ST"/>
    <s v="07:00"/>
    <n v="3"/>
    <x v="16"/>
    <n v="7.7999999999999996E-3"/>
    <s v="P"/>
    <s v="P"/>
    <s v="P"/>
    <s v="+"/>
    <s v="+"/>
    <n v="12.22"/>
    <n v="13.14"/>
    <n v="0.55000000000000004"/>
    <n v="63.8"/>
    <s v="-"/>
    <s v="-"/>
    <n v="37"/>
    <s v="-"/>
    <s v="-"/>
    <s v="P"/>
    <s v="P"/>
    <s v="-"/>
    <n v="2"/>
    <n v="1"/>
    <n v="2"/>
    <n v="1"/>
    <n v="1"/>
    <n v="2"/>
    <n v="0"/>
    <s v="-"/>
    <s v="-"/>
    <n v="2"/>
    <s v="-"/>
    <n v="11"/>
    <n v="13"/>
    <s v="-"/>
    <n v="1"/>
    <n v="1"/>
    <n v="2"/>
    <n v="2"/>
    <n v="13"/>
    <n v="15"/>
  </r>
  <r>
    <x v="1"/>
    <x v="40"/>
    <d v="2026-01-26T00:00:00"/>
    <s v="1ST"/>
    <s v="09:00"/>
    <n v="3"/>
    <x v="16"/>
    <s v="-"/>
    <s v="P"/>
    <s v="P"/>
    <s v="P"/>
    <s v="+"/>
    <s v="+"/>
    <n v="13.17"/>
    <s v="-"/>
    <s v="-"/>
    <s v="-"/>
    <s v="-"/>
    <s v="-"/>
    <s v="-"/>
    <s v="-"/>
    <s v="-"/>
    <s v="P"/>
    <s v="P"/>
    <s v="-"/>
    <s v="-"/>
    <n v="1"/>
    <n v="2"/>
    <n v="1"/>
    <s v="-"/>
    <s v="-"/>
    <s v="-"/>
    <s v="-"/>
    <s v="-"/>
    <s v="-"/>
    <s v="-"/>
    <n v="4"/>
    <n v="4"/>
    <s v="-"/>
    <n v="1"/>
    <n v="1"/>
    <n v="2"/>
    <n v="2"/>
    <n v="6"/>
    <n v="6"/>
  </r>
  <r>
    <x v="1"/>
    <x v="40"/>
    <d v="2026-01-26T00:00:00"/>
    <s v="2ND"/>
    <d v="1899-12-30T16:00:00"/>
    <n v="3"/>
    <x v="16"/>
    <n v="8.3999999999999995E-3"/>
    <s v="P"/>
    <s v="P"/>
    <s v="P"/>
    <s v="+"/>
    <s v="+"/>
    <n v="13.07"/>
    <n v="13.64"/>
    <s v="-"/>
    <s v="-"/>
    <s v="-"/>
    <s v="-"/>
    <n v="38.299999999999997"/>
    <s v="-"/>
    <s v="-"/>
    <s v="P"/>
    <s v="P"/>
    <n v="1"/>
    <n v="2"/>
    <n v="1"/>
    <n v="2"/>
    <n v="1"/>
    <n v="1"/>
    <s v="-"/>
    <s v="-"/>
    <s v="-"/>
    <s v="-"/>
    <n v="2"/>
    <s v="-"/>
    <n v="9"/>
    <n v="9"/>
    <s v="-"/>
    <n v="1"/>
    <n v="1"/>
    <n v="2"/>
    <n v="2"/>
    <n v="11"/>
    <n v="11"/>
  </r>
  <r>
    <x v="1"/>
    <x v="40"/>
    <d v="2026-01-26T00:00:00"/>
    <s v="2ND"/>
    <d v="1899-12-30T17:00:00"/>
    <n v="3"/>
    <x v="16"/>
    <n v="4.5999999999999999E-3"/>
    <s v="P"/>
    <s v="P"/>
    <s v="P"/>
    <s v="+"/>
    <s v="+"/>
    <n v="12.78"/>
    <s v="-"/>
    <s v="-"/>
    <s v="-"/>
    <s v="-"/>
    <s v="-"/>
    <s v="-"/>
    <s v="-"/>
    <s v="-"/>
    <s v="P"/>
    <s v="P"/>
    <s v="-"/>
    <n v="2"/>
    <n v="1"/>
    <n v="2"/>
    <n v="1"/>
    <s v="-"/>
    <s v="-"/>
    <s v="-"/>
    <s v="-"/>
    <s v="-"/>
    <s v="-"/>
    <s v="-"/>
    <n v="6"/>
    <n v="6"/>
    <s v="-"/>
    <n v="1"/>
    <n v="1"/>
    <n v="2"/>
    <n v="2"/>
    <n v="8"/>
    <n v="8"/>
  </r>
  <r>
    <x v="1"/>
    <x v="40"/>
    <s v="-"/>
    <s v="2ND"/>
    <d v="1899-12-30T14:00:00"/>
    <n v="1"/>
    <x v="22"/>
    <n v="0.01"/>
    <s v="P"/>
    <s v="P"/>
    <s v="P"/>
    <s v="-"/>
    <s v="-"/>
    <n v="11.05"/>
    <n v="8.6"/>
    <n v="0.56000000000000005"/>
    <n v="56.3"/>
    <s v="-"/>
    <s v="-"/>
    <n v="23.29"/>
    <s v="-"/>
    <s v="-"/>
    <s v="P"/>
    <s v="P"/>
    <n v="1"/>
    <n v="2"/>
    <n v="1"/>
    <n v="2"/>
    <n v="1"/>
    <n v="1"/>
    <n v="2"/>
    <n v="2"/>
    <s v="-"/>
    <s v="-"/>
    <n v="2"/>
    <s v="-"/>
    <n v="13"/>
    <n v="13"/>
    <s v="-"/>
    <n v="1"/>
    <n v="1"/>
    <n v="2"/>
    <n v="2"/>
    <n v="15"/>
    <n v="15"/>
  </r>
  <r>
    <x v="1"/>
    <x v="40"/>
    <d v="2026-02-16T00:00:00"/>
    <s v="2ND"/>
    <d v="1899-12-30T15:00:00"/>
    <n v="1"/>
    <x v="22"/>
    <n v="1.21E-2"/>
    <s v="P"/>
    <s v="P"/>
    <s v="P"/>
    <s v="-"/>
    <s v="-"/>
    <n v="11.35"/>
    <s v="-"/>
    <s v="-"/>
    <s v="-"/>
    <s v="-"/>
    <s v="-"/>
    <s v="-"/>
    <s v="-"/>
    <s v="-"/>
    <s v="P"/>
    <s v="P"/>
    <s v="-"/>
    <n v="2"/>
    <n v="1"/>
    <n v="2"/>
    <n v="1"/>
    <s v="-"/>
    <s v="-"/>
    <s v="-"/>
    <s v="-"/>
    <s v="-"/>
    <s v="-"/>
    <s v="-"/>
    <n v="6"/>
    <n v="6"/>
    <s v="-"/>
    <n v="1"/>
    <n v="1"/>
    <n v="2"/>
    <n v="2"/>
    <n v="8"/>
    <n v="8"/>
  </r>
  <r>
    <x v="1"/>
    <x v="40"/>
    <d v="2026-02-16T00:00:00"/>
    <s v="2ND"/>
    <d v="1899-12-30T16:00:00"/>
    <n v="1"/>
    <x v="22"/>
    <n v="1.0500000000000001E-2"/>
    <s v="P"/>
    <s v="P"/>
    <s v="P"/>
    <s v="-"/>
    <s v="-"/>
    <n v="11.35"/>
    <s v="-"/>
    <s v="-"/>
    <s v="-"/>
    <s v="-"/>
    <s v="-"/>
    <s v="-"/>
    <s v="-"/>
    <s v="-"/>
    <s v="P"/>
    <s v="P"/>
    <s v="-"/>
    <n v="2"/>
    <n v="1"/>
    <n v="2"/>
    <n v="1"/>
    <s v="-"/>
    <s v="-"/>
    <s v="-"/>
    <s v="-"/>
    <s v="-"/>
    <s v="-"/>
    <s v="-"/>
    <n v="6"/>
    <n v="6"/>
    <s v="-"/>
    <n v="1"/>
    <n v="1"/>
    <n v="2"/>
    <n v="2"/>
    <n v="8"/>
    <n v="8"/>
  </r>
  <r>
    <x v="1"/>
    <x v="40"/>
    <d v="2026-02-16T00:00:00"/>
    <s v="2ND"/>
    <d v="1899-12-30T17:00:00"/>
    <n v="1"/>
    <x v="22"/>
    <n v="9.4000000000000004E-3"/>
    <s v="P"/>
    <s v="P"/>
    <s v="P"/>
    <s v="-"/>
    <s v="-"/>
    <n v="11.41"/>
    <s v="-"/>
    <s v="-"/>
    <s v="-"/>
    <s v="-"/>
    <s v="-"/>
    <s v="-"/>
    <s v="-"/>
    <s v="-"/>
    <s v="P"/>
    <s v="P"/>
    <s v="-"/>
    <n v="2"/>
    <n v="1"/>
    <n v="2"/>
    <n v="1"/>
    <s v="-"/>
    <s v="-"/>
    <s v="-"/>
    <s v="-"/>
    <s v="-"/>
    <s v="-"/>
    <s v="-"/>
    <n v="6"/>
    <n v="6"/>
    <s v="-"/>
    <n v="1"/>
    <n v="1"/>
    <n v="2"/>
    <n v="2"/>
    <n v="8"/>
    <n v="8"/>
  </r>
  <r>
    <x v="1"/>
    <x v="40"/>
    <d v="2026-02-16T00:00:00"/>
    <s v="2ND"/>
    <d v="1899-12-30T19:00:00"/>
    <n v="1"/>
    <x v="22"/>
    <n v="4.7000000000000002E-3"/>
    <s v="P"/>
    <s v="P"/>
    <s v="P"/>
    <s v="-"/>
    <s v="-"/>
    <n v="11.57"/>
    <s v="-"/>
    <s v="-"/>
    <s v="-"/>
    <s v="-"/>
    <s v="-"/>
    <s v="-"/>
    <s v="-"/>
    <s v="-"/>
    <s v="P"/>
    <s v="P"/>
    <s v="-"/>
    <n v="2"/>
    <n v="1"/>
    <n v="2"/>
    <n v="1"/>
    <s v="-"/>
    <s v="-"/>
    <s v="-"/>
    <s v="-"/>
    <s v="-"/>
    <s v="-"/>
    <s v="-"/>
    <n v="6"/>
    <n v="6"/>
    <s v="-"/>
    <n v="1"/>
    <n v="1"/>
    <n v="2"/>
    <n v="2"/>
    <n v="8"/>
    <n v="8"/>
  </r>
  <r>
    <x v="1"/>
    <x v="40"/>
    <d v="2026-02-16T00:00:00"/>
    <s v="2ND"/>
    <d v="1899-12-30T20:00:00"/>
    <n v="1"/>
    <x v="22"/>
    <n v="1.0699999999999999E-2"/>
    <s v="P"/>
    <s v="P"/>
    <s v="P"/>
    <s v="-"/>
    <s v="-"/>
    <n v="11.38"/>
    <s v="-"/>
    <s v="-"/>
    <s v="-"/>
    <s v="-"/>
    <s v="-"/>
    <s v="-"/>
    <s v="-"/>
    <s v="-"/>
    <s v="P"/>
    <s v="P"/>
    <s v="-"/>
    <n v="2"/>
    <n v="1"/>
    <n v="2"/>
    <n v="1"/>
    <s v="-"/>
    <s v="-"/>
    <s v="-"/>
    <s v="-"/>
    <s v="-"/>
    <s v="-"/>
    <s v="-"/>
    <n v="6"/>
    <n v="6"/>
    <s v="-"/>
    <n v="1"/>
    <n v="1"/>
    <n v="2"/>
    <n v="2"/>
    <n v="8"/>
    <n v="8"/>
  </r>
  <r>
    <x v="1"/>
    <x v="40"/>
    <s v="-"/>
    <s v="3RD"/>
    <d v="1899-12-30T22:00:00"/>
    <n v="1"/>
    <x v="22"/>
    <n v="1.3100000000000001E-2"/>
    <s v="P"/>
    <s v="P"/>
    <s v="P"/>
    <s v="-"/>
    <s v="-"/>
    <n v="11.46"/>
    <n v="8.4600000000000009"/>
    <s v="-"/>
    <s v="-"/>
    <s v="-"/>
    <s v="-"/>
    <n v="22.71"/>
    <s v="-"/>
    <n v="25.11"/>
    <s v="P"/>
    <s v="P"/>
    <n v="1"/>
    <n v="2"/>
    <n v="1"/>
    <n v="2"/>
    <n v="1"/>
    <n v="0"/>
    <s v="-"/>
    <s v="-"/>
    <s v="-"/>
    <s v="-"/>
    <n v="2"/>
    <s v="-"/>
    <n v="8"/>
    <n v="9"/>
    <n v="1"/>
    <n v="1"/>
    <n v="1"/>
    <n v="3"/>
    <n v="3"/>
    <n v="11"/>
    <n v="12"/>
  </r>
  <r>
    <x v="1"/>
    <x v="40"/>
    <d v="2026-02-16T00:00:00"/>
    <s v="3RD"/>
    <d v="1899-12-30T23:00:00"/>
    <n v="1"/>
    <x v="22"/>
    <n v="1.3299999999999999E-2"/>
    <s v="P"/>
    <s v="P"/>
    <s v="P"/>
    <s v="-"/>
    <s v="-"/>
    <n v="11.09"/>
    <s v="-"/>
    <s v="-"/>
    <s v="-"/>
    <s v="-"/>
    <s v="-"/>
    <s v="-"/>
    <s v="-"/>
    <s v="-"/>
    <s v="P"/>
    <s v="P"/>
    <s v="-"/>
    <n v="2"/>
    <n v="1"/>
    <n v="2"/>
    <n v="1"/>
    <s v="-"/>
    <s v="-"/>
    <s v="-"/>
    <s v="-"/>
    <s v="-"/>
    <s v="-"/>
    <s v="-"/>
    <n v="6"/>
    <n v="6"/>
    <s v="-"/>
    <n v="1"/>
    <n v="1"/>
    <n v="2"/>
    <n v="2"/>
    <n v="8"/>
    <n v="8"/>
  </r>
  <r>
    <x v="1"/>
    <x v="40"/>
    <d v="2026-02-16T00:00:00"/>
    <s v="3RD"/>
    <d v="1899-12-31T00:00:00"/>
    <n v="1"/>
    <x v="22"/>
    <n v="1.12E-2"/>
    <s v="P"/>
    <s v="P"/>
    <s v="P"/>
    <s v="-"/>
    <s v="-"/>
    <n v="11.33"/>
    <s v="-"/>
    <s v="-"/>
    <s v="-"/>
    <s v="-"/>
    <s v="-"/>
    <s v="-"/>
    <s v="-"/>
    <s v="-"/>
    <s v="P"/>
    <s v="P"/>
    <s v="-"/>
    <n v="2"/>
    <n v="1"/>
    <n v="2"/>
    <n v="1"/>
    <s v="-"/>
    <s v="-"/>
    <s v="-"/>
    <s v="-"/>
    <s v="-"/>
    <s v="-"/>
    <s v="-"/>
    <n v="6"/>
    <n v="6"/>
    <s v="-"/>
    <n v="1"/>
    <n v="1"/>
    <n v="2"/>
    <n v="2"/>
    <n v="8"/>
    <n v="8"/>
  </r>
  <r>
    <x v="1"/>
    <x v="40"/>
    <d v="2026-02-16T00:00:00"/>
    <s v="3RD"/>
    <d v="1899-12-31T01:00:00"/>
    <n v="1"/>
    <x v="22"/>
    <n v="9.2999999999999992E-3"/>
    <s v="P"/>
    <s v="P"/>
    <s v="P"/>
    <s v="-"/>
    <s v="-"/>
    <n v="11.12"/>
    <s v="-"/>
    <s v="-"/>
    <s v="-"/>
    <s v="-"/>
    <s v="-"/>
    <s v="-"/>
    <s v="-"/>
    <s v="-"/>
    <s v="P"/>
    <s v="P"/>
    <s v="-"/>
    <n v="2"/>
    <n v="1"/>
    <n v="2"/>
    <n v="1"/>
    <s v="-"/>
    <s v="-"/>
    <s v="-"/>
    <s v="-"/>
    <s v="-"/>
    <s v="-"/>
    <s v="-"/>
    <n v="6"/>
    <n v="6"/>
    <s v="-"/>
    <n v="1"/>
    <n v="1"/>
    <n v="2"/>
    <n v="2"/>
    <n v="8"/>
    <n v="8"/>
  </r>
  <r>
    <x v="1"/>
    <x v="40"/>
    <d v="2026-02-16T00:00:00"/>
    <s v="3RD"/>
    <d v="1899-12-31T02:00:00"/>
    <n v="1"/>
    <x v="22"/>
    <n v="5.4000000000000003E-3"/>
    <s v="P"/>
    <s v="P"/>
    <s v="P"/>
    <s v="-"/>
    <s v="-"/>
    <n v="11.16"/>
    <s v="-"/>
    <s v="-"/>
    <s v="-"/>
    <s v="-"/>
    <s v="-"/>
    <s v="-"/>
    <s v="-"/>
    <s v="-"/>
    <s v="P"/>
    <s v="P"/>
    <s v="-"/>
    <n v="2"/>
    <n v="1"/>
    <n v="2"/>
    <n v="1"/>
    <s v="-"/>
    <s v="-"/>
    <s v="-"/>
    <s v="-"/>
    <s v="-"/>
    <s v="-"/>
    <s v="-"/>
    <n v="6"/>
    <n v="6"/>
    <s v="-"/>
    <n v="1"/>
    <n v="1"/>
    <n v="2"/>
    <n v="2"/>
    <n v="8"/>
    <n v="8"/>
  </r>
  <r>
    <x v="1"/>
    <x v="40"/>
    <d v="2026-02-16T00:00:00"/>
    <s v="3RD"/>
    <d v="1899-12-31T03:00:00"/>
    <n v="1"/>
    <x v="22"/>
    <n v="3.2000000000000002E-3"/>
    <s v="P"/>
    <s v="P"/>
    <s v="P"/>
    <s v="-"/>
    <s v="-"/>
    <n v="10.99"/>
    <s v="-"/>
    <s v="-"/>
    <s v="-"/>
    <s v="-"/>
    <s v="-"/>
    <s v="-"/>
    <s v="-"/>
    <s v="-"/>
    <s v="P"/>
    <s v="P"/>
    <s v="-"/>
    <n v="2"/>
    <n v="1"/>
    <n v="2"/>
    <n v="0"/>
    <s v="-"/>
    <s v="-"/>
    <s v="-"/>
    <s v="-"/>
    <s v="-"/>
    <s v="-"/>
    <s v="-"/>
    <n v="5"/>
    <n v="6"/>
    <s v="-"/>
    <n v="1"/>
    <n v="1"/>
    <n v="2"/>
    <n v="2"/>
    <n v="7"/>
    <n v="8"/>
  </r>
  <r>
    <x v="1"/>
    <x v="40"/>
    <d v="2026-02-16T00:00:00"/>
    <s v="3RD"/>
    <d v="1899-12-31T04:00:00"/>
    <n v="1"/>
    <x v="22"/>
    <n v="5.7000000000000002E-3"/>
    <s v="P"/>
    <s v="P"/>
    <s v="P"/>
    <s v="-"/>
    <s v="-"/>
    <n v="11.05"/>
    <s v="-"/>
    <s v="-"/>
    <s v="-"/>
    <s v="-"/>
    <s v="-"/>
    <s v="-"/>
    <s v="-"/>
    <s v="-"/>
    <s v="P"/>
    <s v="P"/>
    <s v="-"/>
    <n v="2"/>
    <n v="1"/>
    <n v="2"/>
    <n v="1"/>
    <s v="-"/>
    <s v="-"/>
    <s v="-"/>
    <s v="-"/>
    <s v="-"/>
    <s v="-"/>
    <s v="-"/>
    <n v="6"/>
    <n v="6"/>
    <s v="-"/>
    <n v="1"/>
    <n v="1"/>
    <n v="2"/>
    <n v="2"/>
    <n v="8"/>
    <n v="8"/>
  </r>
  <r>
    <x v="1"/>
    <x v="41"/>
    <d v="2026-02-16T00:00:00"/>
    <s v="1ST"/>
    <s v="09:00"/>
    <n v="3"/>
    <x v="11"/>
    <s v="-"/>
    <s v="P"/>
    <s v="P"/>
    <s v="P"/>
    <s v="+"/>
    <s v="+"/>
    <n v="12.91"/>
    <n v="13.45"/>
    <n v="0.57999999999999996"/>
    <n v="64.5"/>
    <n v="12.2"/>
    <n v="991"/>
    <n v="37.799999999999997"/>
    <s v="-"/>
    <s v="-"/>
    <s v="P"/>
    <s v="P"/>
    <s v="99.5% 0.5%"/>
    <s v="-"/>
    <n v="1"/>
    <n v="2"/>
    <n v="1"/>
    <n v="1"/>
    <n v="2"/>
    <n v="0"/>
    <n v="1"/>
    <n v="1"/>
    <n v="2"/>
    <s v="-"/>
    <n v="11"/>
    <n v="13"/>
    <s v="-"/>
    <n v="1"/>
    <n v="1"/>
    <n v="2"/>
    <n v="2"/>
    <n v="13"/>
    <n v="15"/>
  </r>
  <r>
    <x v="1"/>
    <x v="41"/>
    <d v="2026-02-16T00:00:00"/>
    <s v="1ST"/>
    <s v="10:00"/>
    <n v="3"/>
    <x v="11"/>
    <n v="8.8000000000000005E-3"/>
    <s v="P"/>
    <s v="P"/>
    <s v="P"/>
    <s v="+"/>
    <s v="+"/>
    <n v="12.94"/>
    <s v="-"/>
    <s v="-"/>
    <s v="-"/>
    <s v="-"/>
    <s v="-"/>
    <s v="-"/>
    <s v="-"/>
    <s v="-"/>
    <s v="P"/>
    <s v="P"/>
    <s v="-"/>
    <n v="2"/>
    <n v="1"/>
    <n v="2"/>
    <n v="1"/>
    <s v="-"/>
    <s v="-"/>
    <s v="-"/>
    <s v="-"/>
    <s v="-"/>
    <s v="-"/>
    <s v="-"/>
    <n v="6"/>
    <n v="6"/>
    <s v="-"/>
    <n v="1"/>
    <n v="1"/>
    <n v="2"/>
    <n v="2"/>
    <n v="8"/>
    <n v="8"/>
  </r>
  <r>
    <x v="1"/>
    <x v="41"/>
    <d v="2026-02-20T00:00:00"/>
    <s v="3RD"/>
    <d v="1899-12-31T03:00:00"/>
    <n v="3"/>
    <x v="12"/>
    <n v="1.15E-2"/>
    <s v="P"/>
    <s v="P"/>
    <s v="P"/>
    <s v="+"/>
    <s v="+"/>
    <n v="12.8"/>
    <n v="13.27"/>
    <n v="0.48"/>
    <n v="64.3"/>
    <s v="-"/>
    <s v="-"/>
    <n v="37.200000000000003"/>
    <s v="-"/>
    <s v="-"/>
    <s v="P"/>
    <s v="P"/>
    <n v="1"/>
    <n v="2"/>
    <n v="1"/>
    <n v="2"/>
    <n v="1"/>
    <s v="-"/>
    <n v="2"/>
    <n v="2"/>
    <s v="-"/>
    <s v="-"/>
    <n v="2"/>
    <s v="-"/>
    <n v="12"/>
    <n v="12"/>
    <s v="-"/>
    <n v="1"/>
    <n v="1"/>
    <n v="2"/>
    <n v="2"/>
    <n v="14"/>
    <n v="14"/>
  </r>
  <r>
    <x v="1"/>
    <x v="41"/>
    <d v="1902-03-26T00:00:00"/>
    <s v="1ST"/>
    <s v="06:00"/>
    <n v="2"/>
    <x v="17"/>
    <n v="5.7999999999999996E-3"/>
    <s v="P"/>
    <s v="P"/>
    <s v="P"/>
    <s v="-"/>
    <s v="+"/>
    <n v="10.47"/>
    <n v="8.35"/>
    <n v="0.39"/>
    <n v="57.3"/>
    <s v="-"/>
    <s v="-"/>
    <n v="22.57"/>
    <s v="-"/>
    <s v="-"/>
    <s v="P"/>
    <s v="P"/>
    <s v="-"/>
    <n v="2"/>
    <n v="1"/>
    <n v="2"/>
    <n v="0"/>
    <n v="1"/>
    <n v="2"/>
    <n v="2"/>
    <s v="-"/>
    <s v="-"/>
    <n v="2"/>
    <s v="-"/>
    <n v="12"/>
    <n v="13"/>
    <s v="-"/>
    <n v="1"/>
    <n v="1"/>
    <n v="2"/>
    <n v="2"/>
    <n v="14"/>
    <n v="15"/>
  </r>
  <r>
    <x v="1"/>
    <x v="41"/>
    <d v="1899-12-30T00:00:00"/>
    <s v="1ST"/>
    <s v="09:00"/>
    <n v="2"/>
    <x v="17"/>
    <n v="3.3E-3"/>
    <s v="P"/>
    <s v="P"/>
    <s v="P"/>
    <s v="-"/>
    <s v="+"/>
    <n v="10.52"/>
    <s v="-"/>
    <s v="-"/>
    <s v="-"/>
    <s v="-"/>
    <s v="-"/>
    <s v="-"/>
    <s v="-"/>
    <s v="-"/>
    <s v="P"/>
    <s v="P"/>
    <s v="-"/>
    <n v="2"/>
    <n v="1"/>
    <n v="2"/>
    <n v="0"/>
    <s v="-"/>
    <s v="-"/>
    <s v="-"/>
    <s v="-"/>
    <s v="-"/>
    <s v="-"/>
    <s v="-"/>
    <n v="5"/>
    <n v="6"/>
    <s v="-"/>
    <n v="1"/>
    <n v="1"/>
    <n v="2"/>
    <n v="2"/>
    <n v="7"/>
    <n v="8"/>
  </r>
  <r>
    <x v="1"/>
    <x v="41"/>
    <d v="1899-12-30T00:00:00"/>
    <s v="1ST"/>
    <s v="12:00"/>
    <n v="2"/>
    <x v="17"/>
    <n v="2.0999999999999999E-3"/>
    <s v="P"/>
    <s v="P"/>
    <s v="P"/>
    <s v="-"/>
    <s v="+"/>
    <n v="10.5"/>
    <s v="-"/>
    <s v="-"/>
    <s v="-"/>
    <s v="-"/>
    <s v="-"/>
    <s v="-"/>
    <s v="-"/>
    <s v="-"/>
    <s v="P"/>
    <s v="P"/>
    <s v="-"/>
    <n v="2"/>
    <n v="1"/>
    <n v="2"/>
    <n v="0"/>
    <s v="-"/>
    <s v="-"/>
    <s v="-"/>
    <s v="-"/>
    <s v="-"/>
    <s v="-"/>
    <s v="-"/>
    <n v="5"/>
    <n v="6"/>
    <s v="-"/>
    <n v="1"/>
    <n v="1"/>
    <n v="2"/>
    <n v="2"/>
    <n v="7"/>
    <n v="8"/>
  </r>
  <r>
    <x v="1"/>
    <x v="41"/>
    <d v="1899-12-30T00:00:00"/>
    <s v="2ND"/>
    <d v="1899-12-30T14:00:00"/>
    <n v="2"/>
    <x v="17"/>
    <n v="3.7000000000000002E-3"/>
    <s v="P"/>
    <s v="P"/>
    <s v="P"/>
    <s v="-"/>
    <s v="+"/>
    <n v="10.52"/>
    <n v="8.3000000000000007"/>
    <s v="-"/>
    <s v="-"/>
    <s v="-"/>
    <s v="-"/>
    <n v="22.28"/>
    <s v="-"/>
    <s v="-"/>
    <s v="P"/>
    <s v="P"/>
    <s v="-"/>
    <n v="2"/>
    <n v="1"/>
    <n v="2"/>
    <n v="0"/>
    <n v="1"/>
    <s v="-"/>
    <s v="-"/>
    <s v="-"/>
    <s v="-"/>
    <n v="2"/>
    <s v="-"/>
    <n v="8"/>
    <n v="9"/>
    <s v="-"/>
    <n v="1"/>
    <n v="1"/>
    <n v="2"/>
    <n v="2"/>
    <n v="10"/>
    <n v="11"/>
  </r>
  <r>
    <x v="1"/>
    <x v="41"/>
    <d v="1899-12-30T00:00:00"/>
    <s v="2ND"/>
    <d v="1899-12-30T15:00:00"/>
    <n v="2"/>
    <x v="17"/>
    <n v="3.7000000000000002E-3"/>
    <s v="P"/>
    <s v="P"/>
    <s v="P"/>
    <s v="-"/>
    <s v="+"/>
    <n v="10.62"/>
    <s v="-"/>
    <s v="-"/>
    <s v="-"/>
    <s v="-"/>
    <s v="-"/>
    <s v="-"/>
    <s v="-"/>
    <s v="-"/>
    <s v="P"/>
    <s v="P"/>
    <s v="-"/>
    <n v="2"/>
    <n v="1"/>
    <n v="2"/>
    <n v="0"/>
    <s v="-"/>
    <s v="-"/>
    <s v="-"/>
    <s v="-"/>
    <s v="-"/>
    <s v="-"/>
    <s v="-"/>
    <n v="5"/>
    <n v="6"/>
    <s v="-"/>
    <n v="1"/>
    <n v="1"/>
    <n v="2"/>
    <n v="2"/>
    <n v="7"/>
    <n v="8"/>
  </r>
  <r>
    <x v="1"/>
    <x v="41"/>
    <d v="1899-12-30T00:00:00"/>
    <s v="2ND"/>
    <d v="1899-12-30T16:00:00"/>
    <n v="2"/>
    <x v="17"/>
    <n v="2.5999999999999999E-3"/>
    <s v="P"/>
    <s v="P"/>
    <s v="P"/>
    <s v="-"/>
    <s v="+"/>
    <n v="10.62"/>
    <s v="-"/>
    <s v="-"/>
    <s v="-"/>
    <s v="-"/>
    <s v="-"/>
    <s v="-"/>
    <s v="-"/>
    <s v="-"/>
    <s v="P"/>
    <s v="P"/>
    <s v="-"/>
    <n v="2"/>
    <n v="1"/>
    <n v="2"/>
    <n v="0"/>
    <s v="-"/>
    <s v="-"/>
    <s v="-"/>
    <s v="-"/>
    <s v="-"/>
    <s v="-"/>
    <s v="-"/>
    <n v="5"/>
    <n v="6"/>
    <s v="-"/>
    <n v="1"/>
    <n v="1"/>
    <n v="2"/>
    <n v="2"/>
    <n v="7"/>
    <n v="8"/>
  </r>
  <r>
    <x v="1"/>
    <x v="41"/>
    <d v="2026-02-14T00:00:00"/>
    <s v="1ST"/>
    <s v="08:00"/>
    <s v="Retail"/>
    <x v="19"/>
    <s v="-"/>
    <s v="P"/>
    <s v="P"/>
    <s v="P"/>
    <s v="-"/>
    <s v="-"/>
    <n v="13.12"/>
    <n v="14.6"/>
    <n v="1.39"/>
    <n v="70"/>
    <s v="-"/>
    <s v="-"/>
    <n v="41.3"/>
    <s v="-"/>
    <s v="-"/>
    <s v="-"/>
    <s v="-"/>
    <s v="-"/>
    <s v="-"/>
    <n v="1"/>
    <n v="2"/>
    <n v="1"/>
    <n v="1"/>
    <n v="0"/>
    <n v="2"/>
    <s v="-"/>
    <s v="-"/>
    <n v="2"/>
    <s v="-"/>
    <n v="9"/>
    <n v="11"/>
    <s v="-"/>
    <s v="-"/>
    <s v="-"/>
    <n v="0"/>
    <n v="0"/>
    <n v="9"/>
    <n v="11"/>
  </r>
  <r>
    <x v="1"/>
    <x v="41"/>
    <d v="2026-02-14T00:00:00"/>
    <s v="1ST"/>
    <s v="11:00"/>
    <s v="Retail"/>
    <x v="19"/>
    <s v="-"/>
    <s v="P"/>
    <s v="P"/>
    <s v="P"/>
    <s v="-"/>
    <s v="-"/>
    <n v="13.08"/>
    <s v="-"/>
    <s v="-"/>
    <s v="-"/>
    <s v="-"/>
    <s v="-"/>
    <s v="-"/>
    <s v="-"/>
    <s v="-"/>
    <s v="-"/>
    <s v="-"/>
    <s v="-"/>
    <s v="-"/>
    <n v="1"/>
    <n v="2"/>
    <n v="1"/>
    <s v="-"/>
    <s v="-"/>
    <s v="-"/>
    <s v="-"/>
    <s v="-"/>
    <s v="-"/>
    <s v="-"/>
    <n v="4"/>
    <n v="4"/>
    <s v="-"/>
    <s v="-"/>
    <s v="-"/>
    <n v="0"/>
    <n v="0"/>
    <n v="4"/>
    <n v="4"/>
  </r>
  <r>
    <x v="1"/>
    <x v="41"/>
    <d v="2026-02-18T00:00:00"/>
    <s v="2ND"/>
    <d v="1899-12-30T14:00:00"/>
    <n v="3"/>
    <x v="8"/>
    <n v="7.9000000000000008E-3"/>
    <s v="P"/>
    <s v="P"/>
    <s v="P"/>
    <s v="+"/>
    <s v="+"/>
    <n v="12.35"/>
    <n v="12.92"/>
    <n v="0.56000000000000005"/>
    <n v="63.7"/>
    <s v="-"/>
    <s v="-"/>
    <n v="36.1"/>
    <s v="-"/>
    <s v="-"/>
    <s v="P"/>
    <s v="P"/>
    <s v="-"/>
    <n v="2"/>
    <n v="1"/>
    <n v="2"/>
    <n v="1"/>
    <n v="1"/>
    <n v="2"/>
    <n v="0"/>
    <s v="-"/>
    <s v="-"/>
    <s v="-"/>
    <s v="-"/>
    <n v="9"/>
    <n v="11"/>
    <s v="-"/>
    <n v="1"/>
    <n v="1"/>
    <n v="2"/>
    <n v="2"/>
    <n v="11"/>
    <n v="13"/>
  </r>
  <r>
    <x v="1"/>
    <x v="41"/>
    <d v="2026-02-18T00:00:00"/>
    <s v="2ND"/>
    <d v="1899-12-30T15:00:00"/>
    <n v="3"/>
    <x v="8"/>
    <n v="7.4999999999999997E-3"/>
    <s v="P"/>
    <s v="P"/>
    <s v="P"/>
    <s v="+"/>
    <s v="+"/>
    <n v="13.35"/>
    <s v="-"/>
    <s v="-"/>
    <s v="-"/>
    <s v="-"/>
    <s v="-"/>
    <s v="-"/>
    <s v="-"/>
    <s v="-"/>
    <s v="P"/>
    <s v="P"/>
    <s v="-"/>
    <n v="2"/>
    <n v="1"/>
    <n v="2"/>
    <n v="1"/>
    <s v="-"/>
    <s v="-"/>
    <s v="-"/>
    <s v="-"/>
    <s v="-"/>
    <s v="-"/>
    <s v="-"/>
    <n v="6"/>
    <n v="6"/>
    <s v="-"/>
    <n v="1"/>
    <n v="1"/>
    <n v="2"/>
    <n v="2"/>
    <n v="8"/>
    <n v="8"/>
  </r>
  <r>
    <x v="1"/>
    <x v="41"/>
    <d v="2026-02-18T00:00:00"/>
    <s v="2ND"/>
    <d v="1899-12-30T20:00:00"/>
    <n v="3"/>
    <x v="8"/>
    <n v="8.3999999999999995E-3"/>
    <s v="P"/>
    <s v="P"/>
    <s v="P"/>
    <s v="+"/>
    <s v="+"/>
    <n v="13.2"/>
    <s v="-"/>
    <s v="-"/>
    <s v="-"/>
    <s v="-"/>
    <s v="-"/>
    <s v="-"/>
    <s v="-"/>
    <s v="-"/>
    <s v="P"/>
    <s v="P"/>
    <s v="-"/>
    <n v="2"/>
    <n v="1"/>
    <n v="2"/>
    <n v="1"/>
    <s v="-"/>
    <s v="-"/>
    <s v="-"/>
    <s v="-"/>
    <s v="-"/>
    <s v="-"/>
    <s v="-"/>
    <n v="6"/>
    <n v="6"/>
    <s v="-"/>
    <n v="1"/>
    <n v="1"/>
    <n v="2"/>
    <n v="2"/>
    <n v="8"/>
    <n v="8"/>
  </r>
  <r>
    <x v="1"/>
    <x v="41"/>
    <d v="2026-02-18T00:00:00"/>
    <s v="2ND"/>
    <d v="1899-12-30T21:00:00"/>
    <n v="3"/>
    <x v="8"/>
    <s v="-"/>
    <s v="P"/>
    <s v="P"/>
    <s v="P"/>
    <s v="+"/>
    <s v="+"/>
    <s v="-"/>
    <s v="-"/>
    <s v="-"/>
    <s v="-"/>
    <s v="-"/>
    <s v="-"/>
    <s v="-"/>
    <s v="-"/>
    <s v="-"/>
    <s v="P"/>
    <s v="P"/>
    <s v="-"/>
    <s v="-"/>
    <n v="1"/>
    <n v="2"/>
    <s v="-"/>
    <s v="-"/>
    <s v="-"/>
    <s v="-"/>
    <s v="-"/>
    <s v="-"/>
    <s v="-"/>
    <s v="-"/>
    <n v="3"/>
    <n v="3"/>
    <s v="-"/>
    <n v="1"/>
    <n v="1"/>
    <n v="2"/>
    <n v="2"/>
    <n v="5"/>
    <n v="5"/>
  </r>
  <r>
    <x v="1"/>
    <x v="41"/>
    <d v="2026-02-18T00:00:00"/>
    <s v="3RD"/>
    <d v="1899-12-30T22:00:00"/>
    <n v="3"/>
    <x v="1"/>
    <n v="5.1000000000000004E-3"/>
    <s v="P"/>
    <s v="P"/>
    <s v="P"/>
    <s v="+"/>
    <s v="+"/>
    <n v="11.92"/>
    <n v="12.69"/>
    <n v="0.54"/>
    <n v="64.099999999999994"/>
    <s v="-"/>
    <s v="-"/>
    <n v="35.4"/>
    <s v="-"/>
    <n v="25.16"/>
    <s v="P"/>
    <s v="P"/>
    <n v="1"/>
    <n v="2"/>
    <n v="1"/>
    <n v="2"/>
    <n v="0"/>
    <n v="1"/>
    <n v="2"/>
    <n v="2"/>
    <s v="-"/>
    <s v="-"/>
    <n v="2"/>
    <s v="-"/>
    <n v="12"/>
    <n v="13"/>
    <n v="1"/>
    <n v="1"/>
    <n v="1"/>
    <n v="3"/>
    <n v="3"/>
    <n v="15"/>
    <n v="16"/>
  </r>
  <r>
    <x v="1"/>
    <x v="41"/>
    <d v="2026-02-18T00:00:00"/>
    <s v="3RD"/>
    <d v="1899-12-30T23:00:00"/>
    <n v="3"/>
    <x v="1"/>
    <n v="9.5999999999999992E-3"/>
    <s v="P"/>
    <s v="P"/>
    <s v="P"/>
    <s v="+"/>
    <s v="+"/>
    <n v="11.97"/>
    <s v="-"/>
    <s v="-"/>
    <s v="-"/>
    <s v="-"/>
    <s v="-"/>
    <s v="-"/>
    <s v="-"/>
    <s v="-"/>
    <s v="P"/>
    <s v="P"/>
    <s v="-"/>
    <n v="2"/>
    <n v="1"/>
    <n v="2"/>
    <n v="0"/>
    <s v="-"/>
    <s v="-"/>
    <s v="-"/>
    <s v="-"/>
    <s v="-"/>
    <s v="-"/>
    <s v="-"/>
    <n v="5"/>
    <n v="6"/>
    <s v="-"/>
    <n v="1"/>
    <n v="1"/>
    <n v="2"/>
    <n v="2"/>
    <n v="7"/>
    <n v="8"/>
  </r>
  <r>
    <x v="1"/>
    <x v="41"/>
    <d v="2026-02-18T00:00:00"/>
    <s v="3RD"/>
    <d v="1899-12-31T00:00:00"/>
    <n v="3"/>
    <x v="1"/>
    <n v="5.7000000000000002E-3"/>
    <s v="P"/>
    <s v="P"/>
    <s v="P"/>
    <s v="+"/>
    <s v="+"/>
    <n v="12.72"/>
    <s v="-"/>
    <s v="-"/>
    <s v="-"/>
    <s v="-"/>
    <s v="-"/>
    <s v="-"/>
    <s v="-"/>
    <s v="-"/>
    <s v="P"/>
    <s v="P"/>
    <s v="-"/>
    <n v="2"/>
    <n v="1"/>
    <n v="2"/>
    <n v="1"/>
    <s v="-"/>
    <s v="-"/>
    <s v="-"/>
    <s v="-"/>
    <s v="-"/>
    <s v="-"/>
    <s v="-"/>
    <n v="6"/>
    <n v="6"/>
    <s v="-"/>
    <n v="1"/>
    <n v="1"/>
    <n v="2"/>
    <n v="2"/>
    <n v="8"/>
    <n v="8"/>
  </r>
  <r>
    <x v="1"/>
    <x v="41"/>
    <d v="1899-12-30T00:00:00"/>
    <s v="2ND"/>
    <d v="1899-12-30T18:00:00"/>
    <n v="2"/>
    <x v="14"/>
    <n v="8.8000000000000005E-3"/>
    <s v="P"/>
    <s v="P"/>
    <s v="P"/>
    <s v="-"/>
    <s v="+"/>
    <n v="10.34"/>
    <n v="8.85"/>
    <s v="-"/>
    <n v="58"/>
    <s v="-"/>
    <s v="-"/>
    <n v="24.18"/>
    <s v="-"/>
    <s v="-"/>
    <s v="P"/>
    <s v="P"/>
    <s v="-"/>
    <n v="2"/>
    <n v="1"/>
    <n v="2"/>
    <n v="0"/>
    <n v="1"/>
    <s v="-"/>
    <n v="2"/>
    <s v="-"/>
    <s v="-"/>
    <n v="2"/>
    <s v="-"/>
    <n v="10"/>
    <n v="11"/>
    <s v="-"/>
    <n v="1"/>
    <n v="1"/>
    <n v="2"/>
    <n v="2"/>
    <n v="12"/>
    <n v="13"/>
  </r>
  <r>
    <x v="1"/>
    <x v="41"/>
    <d v="1899-12-30T00:00:00"/>
    <s v="2ND"/>
    <d v="1899-12-30T20:00:00"/>
    <n v="2"/>
    <x v="14"/>
    <n v="1.06E-2"/>
    <s v="P"/>
    <s v="P"/>
    <s v="P"/>
    <s v="-"/>
    <s v="+"/>
    <n v="10.72"/>
    <s v="-"/>
    <s v="-"/>
    <s v="-"/>
    <s v="-"/>
    <s v="-"/>
    <s v="-"/>
    <s v="-"/>
    <s v="-"/>
    <s v="P"/>
    <s v="P"/>
    <s v="-"/>
    <n v="2"/>
    <n v="1"/>
    <n v="2"/>
    <n v="0"/>
    <s v="-"/>
    <s v="-"/>
    <s v="-"/>
    <s v="-"/>
    <s v="-"/>
    <s v="-"/>
    <s v="-"/>
    <n v="5"/>
    <n v="6"/>
    <s v="-"/>
    <n v="1"/>
    <n v="1"/>
    <n v="2"/>
    <n v="2"/>
    <n v="7"/>
    <n v="8"/>
  </r>
  <r>
    <x v="1"/>
    <x v="41"/>
    <d v="1902-03-26T00:00:00"/>
    <s v="3RD"/>
    <d v="1899-12-30T22:00:00"/>
    <n v="2"/>
    <x v="14"/>
    <n v="8.8999999999999999E-3"/>
    <s v="P"/>
    <s v="P"/>
    <s v="P"/>
    <s v="-"/>
    <s v="+"/>
    <n v="10.55"/>
    <n v="8.8000000000000007"/>
    <s v="-"/>
    <s v="-"/>
    <s v="-"/>
    <s v="-"/>
    <n v="23.76"/>
    <s v="-"/>
    <n v="25.2"/>
    <s v="P"/>
    <s v="P"/>
    <s v="-"/>
    <n v="2"/>
    <n v="1"/>
    <n v="2"/>
    <n v="0"/>
    <n v="1"/>
    <s v="-"/>
    <s v="-"/>
    <s v="-"/>
    <s v="-"/>
    <n v="2"/>
    <s v="-"/>
    <n v="8"/>
    <n v="9"/>
    <n v="1"/>
    <n v="1"/>
    <n v="1"/>
    <n v="3"/>
    <n v="3"/>
    <n v="11"/>
    <n v="12"/>
  </r>
  <r>
    <x v="1"/>
    <x v="41"/>
    <d v="1899-12-30T00:00:00"/>
    <s v="3RD"/>
    <d v="1899-12-30T23:00:00"/>
    <n v="2"/>
    <x v="14"/>
    <n v="6.1000000000000004E-3"/>
    <s v="P"/>
    <s v="P"/>
    <s v="P"/>
    <s v="-"/>
    <s v="+"/>
    <n v="10.57"/>
    <s v="-"/>
    <s v="-"/>
    <s v="-"/>
    <s v="-"/>
    <s v="-"/>
    <s v="-"/>
    <s v="-"/>
    <s v="-"/>
    <s v="P"/>
    <s v="P"/>
    <s v="-"/>
    <n v="2"/>
    <n v="1"/>
    <n v="2"/>
    <n v="0"/>
    <s v="-"/>
    <s v="-"/>
    <s v="-"/>
    <s v="-"/>
    <s v="-"/>
    <s v="-"/>
    <s v="-"/>
    <n v="5"/>
    <n v="6"/>
    <s v="-"/>
    <n v="1"/>
    <n v="1"/>
    <n v="2"/>
    <n v="2"/>
    <n v="7"/>
    <n v="8"/>
  </r>
  <r>
    <x v="1"/>
    <x v="41"/>
    <d v="1899-12-30T00:00:00"/>
    <s v="3RD"/>
    <d v="1899-12-31T00:00:00"/>
    <n v="2"/>
    <x v="14"/>
    <n v="7.3000000000000001E-3"/>
    <s v="P"/>
    <s v="P"/>
    <s v="P"/>
    <s v="-"/>
    <s v="+"/>
    <n v="11"/>
    <s v="-"/>
    <s v="-"/>
    <s v="-"/>
    <s v="-"/>
    <s v="-"/>
    <s v="-"/>
    <s v="-"/>
    <s v="-"/>
    <s v="P"/>
    <s v="P"/>
    <s v="-"/>
    <n v="2"/>
    <n v="1"/>
    <n v="2"/>
    <n v="1"/>
    <s v="-"/>
    <s v="-"/>
    <s v="-"/>
    <s v="-"/>
    <s v="-"/>
    <s v="-"/>
    <s v="-"/>
    <n v="6"/>
    <n v="6"/>
    <s v="-"/>
    <n v="1"/>
    <n v="1"/>
    <n v="2"/>
    <n v="2"/>
    <n v="8"/>
    <n v="8"/>
  </r>
  <r>
    <x v="1"/>
    <x v="41"/>
    <d v="1899-12-30T00:00:00"/>
    <s v="3RD"/>
    <d v="1899-12-31T01:00:00"/>
    <n v="2"/>
    <x v="14"/>
    <n v="8.5000000000000006E-3"/>
    <s v="P"/>
    <s v="P"/>
    <s v="P"/>
    <s v="-"/>
    <s v="+"/>
    <n v="10.9"/>
    <s v="-"/>
    <s v="-"/>
    <s v="-"/>
    <s v="-"/>
    <s v="-"/>
    <s v="-"/>
    <s v="-"/>
    <s v="-"/>
    <s v="P"/>
    <s v="P"/>
    <s v="-"/>
    <n v="2"/>
    <n v="1"/>
    <n v="2"/>
    <n v="0"/>
    <s v="-"/>
    <s v="-"/>
    <s v="-"/>
    <s v="-"/>
    <s v="-"/>
    <s v="-"/>
    <s v="-"/>
    <n v="5"/>
    <n v="6"/>
    <s v="-"/>
    <n v="1"/>
    <n v="1"/>
    <n v="2"/>
    <n v="2"/>
    <n v="7"/>
    <n v="8"/>
  </r>
  <r>
    <x v="1"/>
    <x v="41"/>
    <d v="1899-12-30T00:00:00"/>
    <s v="3RD"/>
    <d v="1899-12-31T02:00:00"/>
    <n v="2"/>
    <x v="14"/>
    <n v="6.4000000000000003E-3"/>
    <s v="P"/>
    <s v="P"/>
    <s v="P"/>
    <s v="-"/>
    <s v="+"/>
    <n v="11.09"/>
    <s v="-"/>
    <s v="-"/>
    <s v="-"/>
    <s v="-"/>
    <s v="-"/>
    <s v="-"/>
    <s v="-"/>
    <s v="-"/>
    <s v="P"/>
    <s v="P"/>
    <s v="-"/>
    <n v="2"/>
    <n v="1"/>
    <n v="2"/>
    <n v="1"/>
    <s v="-"/>
    <s v="-"/>
    <s v="-"/>
    <s v="-"/>
    <s v="-"/>
    <s v="-"/>
    <s v="-"/>
    <n v="6"/>
    <n v="6"/>
    <s v="-"/>
    <n v="1"/>
    <n v="1"/>
    <n v="2"/>
    <n v="2"/>
    <n v="8"/>
    <n v="8"/>
  </r>
  <r>
    <x v="1"/>
    <x v="41"/>
    <d v="1899-12-30T00:00:00"/>
    <s v="3RD"/>
    <d v="1899-12-31T03:00:00"/>
    <n v="2"/>
    <x v="14"/>
    <n v="8.8000000000000005E-3"/>
    <s v="P"/>
    <s v="P"/>
    <s v="P"/>
    <s v="-"/>
    <s v="+"/>
    <n v="10.84"/>
    <s v="-"/>
    <s v="-"/>
    <s v="-"/>
    <s v="-"/>
    <s v="-"/>
    <s v="-"/>
    <s v="-"/>
    <s v="-"/>
    <s v="P"/>
    <s v="P"/>
    <s v="-"/>
    <n v="2"/>
    <n v="1"/>
    <n v="2"/>
    <n v="0"/>
    <s v="-"/>
    <s v="-"/>
    <s v="-"/>
    <s v="-"/>
    <s v="-"/>
    <s v="-"/>
    <s v="-"/>
    <n v="5"/>
    <n v="6"/>
    <s v="-"/>
    <n v="1"/>
    <n v="1"/>
    <n v="2"/>
    <n v="2"/>
    <n v="7"/>
    <n v="8"/>
  </r>
  <r>
    <x v="1"/>
    <x v="41"/>
    <d v="1899-12-30T00:00:00"/>
    <s v="3RD"/>
    <d v="1899-12-31T04:00:00"/>
    <n v="2"/>
    <x v="14"/>
    <n v="1.12E-2"/>
    <s v="P"/>
    <s v="P"/>
    <s v="P"/>
    <s v="-"/>
    <s v="+"/>
    <n v="10.74"/>
    <s v="-"/>
    <s v="-"/>
    <s v="-"/>
    <s v="-"/>
    <s v="-"/>
    <s v="-"/>
    <s v="-"/>
    <s v="-"/>
    <s v="P"/>
    <s v="P"/>
    <s v="-"/>
    <n v="2"/>
    <n v="1"/>
    <n v="2"/>
    <n v="0"/>
    <s v="-"/>
    <s v="-"/>
    <s v="-"/>
    <s v="-"/>
    <s v="-"/>
    <s v="-"/>
    <s v="-"/>
    <n v="5"/>
    <n v="6"/>
    <s v="-"/>
    <n v="1"/>
    <n v="1"/>
    <n v="2"/>
    <n v="2"/>
    <n v="7"/>
    <n v="8"/>
  </r>
  <r>
    <x v="1"/>
    <x v="41"/>
    <d v="2026-02-19T00:00:00"/>
    <s v="3RD"/>
    <d v="1899-12-31T04:00:00"/>
    <n v="3"/>
    <x v="16"/>
    <n v="1.2699999999999999E-2"/>
    <s v="P"/>
    <s v="P"/>
    <s v="P"/>
    <s v="+"/>
    <s v="+"/>
    <n v="12.9"/>
    <n v="13.3"/>
    <n v="0.52"/>
    <n v="64"/>
    <s v="-"/>
    <s v="-"/>
    <n v="37.200000000000003"/>
    <s v="-"/>
    <s v="-"/>
    <s v="P"/>
    <s v="P"/>
    <n v="1"/>
    <n v="2"/>
    <n v="1"/>
    <n v="2"/>
    <n v="1"/>
    <n v="1"/>
    <n v="2"/>
    <n v="2"/>
    <s v="-"/>
    <s v="-"/>
    <n v="2"/>
    <s v="-"/>
    <n v="13"/>
    <n v="13"/>
    <s v="-"/>
    <n v="1"/>
    <n v="1"/>
    <n v="2"/>
    <n v="2"/>
    <n v="15"/>
    <n v="15"/>
  </r>
  <r>
    <x v="1"/>
    <x v="41"/>
    <s v="-"/>
    <s v="1ST"/>
    <s v="06:00"/>
    <n v="1"/>
    <x v="22"/>
    <n v="3.0000000000000001E-3"/>
    <s v="P"/>
    <s v="P"/>
    <s v="P"/>
    <s v="-"/>
    <s v="-"/>
    <n v="11.14"/>
    <n v="8.48"/>
    <n v="0.52"/>
    <n v="55.1"/>
    <s v="-"/>
    <s v="-"/>
    <n v="22.85"/>
    <s v="-"/>
    <s v="-"/>
    <s v="P"/>
    <s v="P"/>
    <n v="1"/>
    <n v="2"/>
    <n v="1"/>
    <n v="2"/>
    <n v="1"/>
    <n v="0"/>
    <n v="2"/>
    <n v="2"/>
    <s v="-"/>
    <s v="-"/>
    <n v="2"/>
    <s v="-"/>
    <n v="12"/>
    <n v="13"/>
    <s v="-"/>
    <n v="1"/>
    <n v="1"/>
    <n v="2"/>
    <n v="2"/>
    <n v="14"/>
    <n v="15"/>
  </r>
  <r>
    <x v="1"/>
    <x v="41"/>
    <d v="2026-02-16T00:00:00"/>
    <s v="1ST"/>
    <s v="07:00"/>
    <n v="1"/>
    <x v="22"/>
    <n v="2.5999999999999999E-3"/>
    <s v="P"/>
    <s v="P"/>
    <s v="P"/>
    <s v="-"/>
    <s v="-"/>
    <n v="11.18"/>
    <s v="-"/>
    <s v="-"/>
    <s v="-"/>
    <s v="-"/>
    <s v="-"/>
    <s v="-"/>
    <s v="-"/>
    <s v="-"/>
    <s v="P"/>
    <s v="P"/>
    <s v="-"/>
    <n v="2"/>
    <n v="1"/>
    <n v="2"/>
    <n v="1"/>
    <s v="-"/>
    <s v="-"/>
    <s v="-"/>
    <s v="-"/>
    <s v="-"/>
    <s v="-"/>
    <s v="-"/>
    <n v="6"/>
    <n v="6"/>
    <s v="-"/>
    <n v="1"/>
    <n v="1"/>
    <n v="2"/>
    <n v="2"/>
    <n v="8"/>
    <n v="8"/>
  </r>
  <r>
    <x v="1"/>
    <x v="41"/>
    <d v="2026-02-16T00:00:00"/>
    <s v="1ST"/>
    <s v="08:00"/>
    <n v="1"/>
    <x v="22"/>
    <n v="2.8E-3"/>
    <s v="P"/>
    <s v="P"/>
    <s v="P"/>
    <s v="-"/>
    <s v="-"/>
    <n v="11.32"/>
    <s v="-"/>
    <s v="-"/>
    <s v="-"/>
    <s v="-"/>
    <s v="-"/>
    <s v="-"/>
    <s v="-"/>
    <s v="-"/>
    <s v="P"/>
    <s v="P"/>
    <s v="-"/>
    <n v="2"/>
    <n v="1"/>
    <n v="2"/>
    <n v="1"/>
    <s v="-"/>
    <s v="-"/>
    <s v="-"/>
    <s v="-"/>
    <s v="-"/>
    <s v="-"/>
    <s v="-"/>
    <n v="6"/>
    <n v="6"/>
    <s v="-"/>
    <n v="1"/>
    <n v="1"/>
    <n v="2"/>
    <n v="2"/>
    <n v="8"/>
    <n v="8"/>
  </r>
  <r>
    <x v="1"/>
    <x v="41"/>
    <d v="2026-02-16T00:00:00"/>
    <s v="1ST"/>
    <s v="09:00"/>
    <n v="1"/>
    <x v="22"/>
    <n v="3.0000000000000001E-3"/>
    <s v="P"/>
    <s v="P"/>
    <s v="P"/>
    <s v="-"/>
    <s v="-"/>
    <n v="11.42"/>
    <s v="-"/>
    <s v="-"/>
    <s v="-"/>
    <s v="-"/>
    <s v="-"/>
    <s v="-"/>
    <s v="-"/>
    <s v="-"/>
    <s v="P"/>
    <s v="P"/>
    <s v="-"/>
    <n v="2"/>
    <n v="1"/>
    <n v="2"/>
    <n v="1"/>
    <s v="-"/>
    <s v="-"/>
    <s v="-"/>
    <s v="-"/>
    <s v="-"/>
    <s v="-"/>
    <s v="-"/>
    <n v="6"/>
    <n v="6"/>
    <s v="-"/>
    <n v="1"/>
    <n v="1"/>
    <n v="2"/>
    <n v="2"/>
    <n v="8"/>
    <n v="8"/>
  </r>
  <r>
    <x v="1"/>
    <x v="41"/>
    <d v="2026-02-16T00:00:00"/>
    <s v="1ST"/>
    <s v="10:00"/>
    <n v="1"/>
    <x v="22"/>
    <n v="2.7000000000000001E-3"/>
    <s v="P"/>
    <s v="P"/>
    <s v="P"/>
    <s v="-"/>
    <s v="-"/>
    <s v="-"/>
    <s v="-"/>
    <s v="-"/>
    <s v="-"/>
    <s v="-"/>
    <s v="-"/>
    <s v="-"/>
    <s v="-"/>
    <s v="-"/>
    <s v="P"/>
    <s v="P"/>
    <s v="-"/>
    <n v="2"/>
    <n v="1"/>
    <n v="2"/>
    <s v="-"/>
    <s v="-"/>
    <s v="-"/>
    <s v="-"/>
    <s v="-"/>
    <s v="-"/>
    <s v="-"/>
    <s v="-"/>
    <n v="5"/>
    <n v="5"/>
    <s v="-"/>
    <n v="1"/>
    <n v="1"/>
    <n v="2"/>
    <n v="2"/>
    <n v="7"/>
    <n v="7"/>
  </r>
  <r>
    <x v="1"/>
    <x v="41"/>
    <d v="2026-02-16T00:00:00"/>
    <s v="1ST"/>
    <s v="12:00"/>
    <n v="1"/>
    <x v="22"/>
    <n v="2.3E-3"/>
    <s v="P"/>
    <s v="P"/>
    <s v="P"/>
    <s v="-"/>
    <s v="-"/>
    <n v="11.29"/>
    <s v="-"/>
    <s v="-"/>
    <s v="-"/>
    <s v="-"/>
    <s v="-"/>
    <s v="-"/>
    <s v="-"/>
    <s v="-"/>
    <s v="P"/>
    <s v="P"/>
    <s v="-"/>
    <n v="2"/>
    <n v="1"/>
    <n v="2"/>
    <n v="1"/>
    <s v="-"/>
    <s v="-"/>
    <s v="-"/>
    <s v="-"/>
    <s v="-"/>
    <s v="-"/>
    <s v="-"/>
    <n v="6"/>
    <n v="6"/>
    <s v="-"/>
    <n v="1"/>
    <n v="1"/>
    <n v="2"/>
    <n v="2"/>
    <n v="8"/>
    <n v="8"/>
  </r>
  <r>
    <x v="1"/>
    <x v="41"/>
    <d v="2026-02-16T00:00:00"/>
    <s v="2ND"/>
    <d v="1899-12-30T15:00:00"/>
    <n v="1"/>
    <x v="22"/>
    <n v="5.7000000000000002E-3"/>
    <s v="P"/>
    <s v="P"/>
    <s v="P"/>
    <s v="-"/>
    <s v="-"/>
    <n v="11.35"/>
    <n v="8.52"/>
    <s v="-"/>
    <s v="-"/>
    <s v="-"/>
    <s v="-"/>
    <n v="22.85"/>
    <s v="-"/>
    <s v="-"/>
    <s v="P"/>
    <s v="P"/>
    <s v="-"/>
    <n v="2"/>
    <n v="1"/>
    <n v="2"/>
    <n v="1"/>
    <n v="1"/>
    <s v="-"/>
    <s v="-"/>
    <s v="-"/>
    <s v="-"/>
    <n v="2"/>
    <s v="-"/>
    <n v="9"/>
    <n v="9"/>
    <s v="-"/>
    <n v="1"/>
    <n v="1"/>
    <n v="2"/>
    <n v="2"/>
    <n v="11"/>
    <n v="11"/>
  </r>
  <r>
    <x v="1"/>
    <x v="41"/>
    <d v="2026-02-16T00:00:00"/>
    <s v="2ND"/>
    <d v="1899-12-30T16:00:00"/>
    <n v="1"/>
    <x v="22"/>
    <n v="7.7000000000000002E-3"/>
    <s v="P"/>
    <s v="P"/>
    <s v="P"/>
    <s v="-"/>
    <s v="-"/>
    <n v="11.18"/>
    <s v="-"/>
    <s v="-"/>
    <s v="-"/>
    <s v="-"/>
    <s v="-"/>
    <s v="-"/>
    <s v="-"/>
    <s v="-"/>
    <s v="P"/>
    <s v="P"/>
    <s v="-"/>
    <n v="2"/>
    <n v="1"/>
    <n v="2"/>
    <n v="1"/>
    <s v="-"/>
    <s v="-"/>
    <s v="-"/>
    <s v="-"/>
    <s v="-"/>
    <s v="-"/>
    <s v="-"/>
    <n v="6"/>
    <n v="6"/>
    <s v="-"/>
    <n v="1"/>
    <n v="1"/>
    <n v="2"/>
    <n v="2"/>
    <n v="8"/>
    <n v="8"/>
  </r>
  <r>
    <x v="1"/>
    <x v="41"/>
    <d v="2026-02-16T00:00:00"/>
    <s v="2ND"/>
    <d v="1899-12-30T20:00:00"/>
    <n v="1"/>
    <x v="22"/>
    <n v="5.5999999999999999E-3"/>
    <s v="P"/>
    <s v="P"/>
    <s v="P"/>
    <s v="-"/>
    <s v="-"/>
    <n v="11.35"/>
    <s v="-"/>
    <s v="-"/>
    <s v="-"/>
    <s v="-"/>
    <s v="-"/>
    <s v="-"/>
    <s v="-"/>
    <s v="-"/>
    <s v="P"/>
    <s v="P"/>
    <s v="-"/>
    <n v="2"/>
    <n v="1"/>
    <n v="2"/>
    <n v="1"/>
    <s v="-"/>
    <s v="-"/>
    <s v="-"/>
    <s v="-"/>
    <s v="-"/>
    <s v="-"/>
    <s v="-"/>
    <n v="6"/>
    <n v="6"/>
    <s v="-"/>
    <n v="1"/>
    <n v="1"/>
    <n v="2"/>
    <n v="2"/>
    <n v="8"/>
    <n v="8"/>
  </r>
  <r>
    <x v="1"/>
    <x v="41"/>
    <s v="-"/>
    <s v="3RD"/>
    <d v="1899-12-30T22:00:00"/>
    <n v="1"/>
    <x v="22"/>
    <n v="5.0000000000000001E-3"/>
    <s v="P"/>
    <s v="P"/>
    <s v="P"/>
    <s v="-"/>
    <s v="-"/>
    <n v="11.29"/>
    <n v="8.4600000000000009"/>
    <s v="-"/>
    <s v="-"/>
    <s v="-"/>
    <s v="-"/>
    <n v="22.78"/>
    <s v="-"/>
    <n v="25.14"/>
    <s v="P"/>
    <s v="P"/>
    <n v="1"/>
    <n v="2"/>
    <n v="1"/>
    <n v="2"/>
    <n v="1"/>
    <n v="0"/>
    <s v="-"/>
    <s v="-"/>
    <s v="-"/>
    <s v="-"/>
    <n v="2"/>
    <s v="-"/>
    <n v="8"/>
    <n v="9"/>
    <n v="1"/>
    <n v="1"/>
    <n v="1"/>
    <n v="3"/>
    <n v="3"/>
    <n v="11"/>
    <n v="12"/>
  </r>
  <r>
    <x v="1"/>
    <x v="41"/>
    <d v="2026-02-16T00:00:00"/>
    <s v="3RD"/>
    <d v="1899-12-30T23:00:00"/>
    <n v="1"/>
    <x v="22"/>
    <n v="5.4000000000000003E-3"/>
    <s v="P"/>
    <s v="P"/>
    <s v="P"/>
    <s v="-"/>
    <s v="-"/>
    <n v="11.02"/>
    <s v="-"/>
    <s v="-"/>
    <s v="-"/>
    <s v="-"/>
    <s v="-"/>
    <s v="-"/>
    <s v="-"/>
    <s v="-"/>
    <s v="P"/>
    <s v="P"/>
    <s v="-"/>
    <n v="2"/>
    <n v="1"/>
    <n v="2"/>
    <n v="1"/>
    <s v="-"/>
    <s v="-"/>
    <s v="-"/>
    <s v="-"/>
    <s v="-"/>
    <s v="-"/>
    <s v="-"/>
    <n v="6"/>
    <n v="6"/>
    <s v="-"/>
    <n v="1"/>
    <n v="1"/>
    <n v="2"/>
    <n v="2"/>
    <n v="8"/>
    <n v="8"/>
  </r>
  <r>
    <x v="1"/>
    <x v="41"/>
    <d v="2026-02-16T00:00:00"/>
    <s v="3RD"/>
    <d v="1899-12-31T03:00:00"/>
    <n v="1"/>
    <x v="22"/>
    <n v="2.3E-3"/>
    <s v="P"/>
    <s v="P"/>
    <s v="P"/>
    <s v="-"/>
    <s v="-"/>
    <n v="11.04"/>
    <s v="-"/>
    <s v="-"/>
    <s v="-"/>
    <s v="-"/>
    <s v="-"/>
    <s v="-"/>
    <s v="-"/>
    <s v="-"/>
    <s v="P"/>
    <s v="P"/>
    <s v="-"/>
    <n v="2"/>
    <n v="1"/>
    <n v="2"/>
    <n v="1"/>
    <s v="-"/>
    <s v="-"/>
    <s v="-"/>
    <s v="-"/>
    <s v="-"/>
    <s v="-"/>
    <s v="-"/>
    <n v="6"/>
    <n v="6"/>
    <s v="-"/>
    <n v="1"/>
    <n v="1"/>
    <n v="2"/>
    <n v="2"/>
    <n v="8"/>
    <n v="8"/>
  </r>
  <r>
    <x v="1"/>
    <x v="41"/>
    <d v="2026-02-16T00:00:00"/>
    <s v="3RD"/>
    <d v="1899-12-31T04:00:00"/>
    <n v="1"/>
    <x v="22"/>
    <n v="7.4000000000000003E-3"/>
    <s v="P"/>
    <s v="P"/>
    <s v="P"/>
    <s v="-"/>
    <s v="-"/>
    <n v="10.99"/>
    <s v="-"/>
    <s v="-"/>
    <s v="-"/>
    <s v="-"/>
    <s v="-"/>
    <s v="-"/>
    <s v="-"/>
    <s v="-"/>
    <s v="P"/>
    <s v="P"/>
    <s v="-"/>
    <n v="2"/>
    <n v="1"/>
    <n v="2"/>
    <n v="0"/>
    <s v="-"/>
    <s v="-"/>
    <s v="-"/>
    <s v="-"/>
    <s v="-"/>
    <s v="-"/>
    <s v="-"/>
    <n v="5"/>
    <n v="6"/>
    <s v="-"/>
    <n v="1"/>
    <n v="1"/>
    <n v="2"/>
    <n v="2"/>
    <n v="7"/>
    <n v="8"/>
  </r>
  <r>
    <x v="1"/>
    <x v="42"/>
    <d v="2026-02-21T00:00:00"/>
    <s v="2ND"/>
    <d v="1899-12-30T14:00:00"/>
    <n v="3"/>
    <x v="32"/>
    <n v="4.1000000000000003E-3"/>
    <s v="P"/>
    <s v="P"/>
    <s v="P"/>
    <s v="+"/>
    <s v="+"/>
    <n v="12.38"/>
    <n v="11.98"/>
    <n v="0.37"/>
    <n v="64.599999999999994"/>
    <s v="-"/>
    <s v="-"/>
    <n v="33.200000000000003"/>
    <s v="-"/>
    <s v="-"/>
    <s v="P"/>
    <s v="P"/>
    <s v="-"/>
    <n v="2"/>
    <n v="1"/>
    <n v="2"/>
    <n v="1"/>
    <n v="1"/>
    <n v="2"/>
    <n v="2"/>
    <s v="-"/>
    <s v="-"/>
    <n v="2"/>
    <s v="-"/>
    <n v="13"/>
    <n v="13"/>
    <s v="-"/>
    <n v="1"/>
    <n v="1"/>
    <n v="2"/>
    <n v="2"/>
    <n v="15"/>
    <n v="15"/>
  </r>
  <r>
    <x v="1"/>
    <x v="42"/>
    <d v="2026-02-21T00:00:00"/>
    <s v="2ND"/>
    <d v="1899-12-30T15:00:00"/>
    <n v="3"/>
    <x v="32"/>
    <n v="1.5E-3"/>
    <s v="P"/>
    <s v="P"/>
    <s v="P"/>
    <s v="+"/>
    <s v="+"/>
    <n v="11.05"/>
    <s v="-"/>
    <s v="-"/>
    <s v="-"/>
    <s v="-"/>
    <s v="-"/>
    <s v="-"/>
    <s v="-"/>
    <s v="-"/>
    <s v="P"/>
    <s v="P"/>
    <s v="-"/>
    <n v="2"/>
    <n v="1"/>
    <n v="2"/>
    <n v="0"/>
    <s v="-"/>
    <s v="-"/>
    <s v="-"/>
    <s v="-"/>
    <s v="-"/>
    <s v="-"/>
    <s v="-"/>
    <n v="5"/>
    <n v="6"/>
    <s v="-"/>
    <n v="1"/>
    <n v="1"/>
    <n v="2"/>
    <n v="2"/>
    <n v="7"/>
    <n v="8"/>
  </r>
  <r>
    <x v="1"/>
    <x v="42"/>
    <d v="1902-03-26T00:00:00"/>
    <s v="1ST"/>
    <s v="06:00"/>
    <n v="2"/>
    <x v="14"/>
    <n v="7.7999999999999996E-3"/>
    <s v="P"/>
    <s v="P"/>
    <s v="P"/>
    <s v="-"/>
    <s v="+"/>
    <n v="10.58"/>
    <n v="8.75"/>
    <n v="0.63"/>
    <n v="59.1"/>
    <s v="-"/>
    <s v="-"/>
    <n v="23.73"/>
    <s v="-"/>
    <s v="-"/>
    <s v="P"/>
    <s v="P"/>
    <s v="-"/>
    <n v="2"/>
    <n v="1"/>
    <n v="2"/>
    <n v="0"/>
    <n v="1"/>
    <n v="0"/>
    <n v="2"/>
    <s v="-"/>
    <s v="-"/>
    <n v="2"/>
    <s v="-"/>
    <n v="10"/>
    <n v="13"/>
    <s v="-"/>
    <n v="1"/>
    <n v="1"/>
    <n v="2"/>
    <n v="2"/>
    <n v="12"/>
    <n v="15"/>
  </r>
  <r>
    <x v="1"/>
    <x v="42"/>
    <d v="1899-12-30T00:00:00"/>
    <s v="1ST"/>
    <s v="07:00"/>
    <n v="2"/>
    <x v="14"/>
    <n v="1.8200000000000001E-2"/>
    <s v="P"/>
    <s v="P"/>
    <s v="P"/>
    <s v="-"/>
    <s v="+"/>
    <n v="10.66"/>
    <s v="-"/>
    <s v="-"/>
    <s v="-"/>
    <s v="-"/>
    <s v="-"/>
    <s v="-"/>
    <s v="-"/>
    <s v="-"/>
    <s v="P"/>
    <s v="P"/>
    <s v="-"/>
    <n v="2"/>
    <n v="1"/>
    <n v="2"/>
    <n v="0"/>
    <s v="-"/>
    <s v="-"/>
    <s v="-"/>
    <s v="-"/>
    <s v="-"/>
    <s v="-"/>
    <s v="-"/>
    <n v="5"/>
    <n v="6"/>
    <s v="-"/>
    <n v="1"/>
    <n v="1"/>
    <n v="2"/>
    <n v="2"/>
    <n v="7"/>
    <n v="8"/>
  </r>
  <r>
    <x v="1"/>
    <x v="42"/>
    <d v="1899-12-30T00:00:00"/>
    <s v="1ST"/>
    <s v="08:00"/>
    <n v="2"/>
    <x v="14"/>
    <n v="1.0500000000000001E-2"/>
    <s v="P"/>
    <s v="P"/>
    <s v="P"/>
    <s v="-"/>
    <s v="+"/>
    <n v="10.68"/>
    <s v="-"/>
    <s v="-"/>
    <s v="-"/>
    <s v="-"/>
    <s v="-"/>
    <s v="-"/>
    <s v="-"/>
    <s v="-"/>
    <s v="P"/>
    <s v="P"/>
    <s v="-"/>
    <n v="2"/>
    <n v="1"/>
    <n v="2"/>
    <n v="0"/>
    <s v="-"/>
    <s v="-"/>
    <s v="-"/>
    <s v="-"/>
    <s v="-"/>
    <s v="-"/>
    <s v="-"/>
    <n v="5"/>
    <n v="6"/>
    <s v="-"/>
    <n v="1"/>
    <n v="1"/>
    <n v="2"/>
    <n v="2"/>
    <n v="7"/>
    <n v="8"/>
  </r>
  <r>
    <x v="1"/>
    <x v="42"/>
    <d v="1899-12-30T00:00:00"/>
    <s v="1ST"/>
    <s v="09:00"/>
    <n v="2"/>
    <x v="14"/>
    <n v="1.2800000000000001E-2"/>
    <s v="P"/>
    <s v="P"/>
    <s v="P"/>
    <s v="-"/>
    <s v="+"/>
    <n v="10.88"/>
    <s v="-"/>
    <s v="-"/>
    <s v="-"/>
    <s v="-"/>
    <s v="-"/>
    <s v="-"/>
    <s v="-"/>
    <s v="-"/>
    <s v="P"/>
    <s v="P"/>
    <s v="-"/>
    <n v="2"/>
    <n v="1"/>
    <n v="2"/>
    <n v="0"/>
    <s v="-"/>
    <s v="-"/>
    <s v="-"/>
    <s v="-"/>
    <s v="-"/>
    <s v="-"/>
    <s v="-"/>
    <n v="5"/>
    <n v="6"/>
    <s v="-"/>
    <n v="1"/>
    <n v="1"/>
    <n v="2"/>
    <n v="2"/>
    <n v="7"/>
    <n v="8"/>
  </r>
  <r>
    <x v="1"/>
    <x v="42"/>
    <d v="2026-02-19T00:00:00"/>
    <s v="1ST"/>
    <s v="06:00"/>
    <n v="3"/>
    <x v="16"/>
    <n v="9.5999999999999992E-3"/>
    <s v="P"/>
    <s v="P"/>
    <s v="P"/>
    <s v="+"/>
    <s v="+"/>
    <n v="12.49"/>
    <n v="12.83"/>
    <n v="0.54"/>
    <n v="63.9"/>
    <s v="-"/>
    <s v="-"/>
    <n v="36"/>
    <s v="-"/>
    <s v="-"/>
    <s v="P"/>
    <s v="P"/>
    <n v="1"/>
    <n v="2"/>
    <n v="1"/>
    <n v="2"/>
    <n v="1"/>
    <n v="1"/>
    <n v="2"/>
    <n v="0"/>
    <s v="-"/>
    <s v="-"/>
    <n v="2"/>
    <s v="-"/>
    <n v="11"/>
    <n v="13"/>
    <s v="-"/>
    <n v="1"/>
    <n v="1"/>
    <n v="2"/>
    <n v="2"/>
    <n v="13"/>
    <n v="15"/>
  </r>
  <r>
    <x v="1"/>
    <x v="42"/>
    <d v="2026-02-19T00:00:00"/>
    <s v="1ST"/>
    <s v="07:00"/>
    <n v="3"/>
    <x v="16"/>
    <n v="7.9000000000000008E-3"/>
    <s v="P"/>
    <s v="P"/>
    <s v="P"/>
    <s v="+"/>
    <s v="+"/>
    <n v="12.46"/>
    <s v="-"/>
    <s v="-"/>
    <s v="-"/>
    <s v="-"/>
    <s v="-"/>
    <s v="-"/>
    <s v="-"/>
    <s v="-"/>
    <s v="P"/>
    <s v="P"/>
    <s v="-"/>
    <n v="2"/>
    <n v="1"/>
    <n v="2"/>
    <n v="1"/>
    <s v="-"/>
    <s v="-"/>
    <s v="-"/>
    <s v="-"/>
    <s v="-"/>
    <s v="-"/>
    <s v="-"/>
    <n v="6"/>
    <n v="6"/>
    <s v="-"/>
    <n v="1"/>
    <n v="1"/>
    <n v="2"/>
    <n v="2"/>
    <n v="8"/>
    <n v="8"/>
  </r>
  <r>
    <x v="1"/>
    <x v="42"/>
    <d v="2026-02-19T00:00:00"/>
    <s v="1ST"/>
    <s v="08:00"/>
    <n v="3"/>
    <x v="16"/>
    <n v="8.9999999999999993E-3"/>
    <s v="P"/>
    <s v="P"/>
    <s v="P"/>
    <s v="+"/>
    <s v="+"/>
    <n v="12"/>
    <s v="-"/>
    <s v="-"/>
    <s v="-"/>
    <s v="-"/>
    <s v="-"/>
    <s v="-"/>
    <s v="-"/>
    <s v="-"/>
    <s v="P"/>
    <s v="P"/>
    <s v="-"/>
    <n v="2"/>
    <n v="1"/>
    <n v="2"/>
    <n v="1"/>
    <s v="-"/>
    <s v="-"/>
    <s v="-"/>
    <s v="-"/>
    <s v="-"/>
    <s v="-"/>
    <s v="-"/>
    <n v="6"/>
    <n v="6"/>
    <s v="-"/>
    <n v="1"/>
    <n v="1"/>
    <n v="2"/>
    <n v="2"/>
    <n v="8"/>
    <n v="8"/>
  </r>
  <r>
    <x v="1"/>
    <x v="42"/>
    <d v="2026-02-19T00:00:00"/>
    <s v="1ST"/>
    <s v="09:00"/>
    <n v="3"/>
    <x v="16"/>
    <s v="-"/>
    <s v="P"/>
    <s v="P"/>
    <s v="P"/>
    <s v="+"/>
    <s v="+"/>
    <n v="11.55"/>
    <s v="-"/>
    <s v="-"/>
    <s v="-"/>
    <s v="-"/>
    <s v="-"/>
    <s v="-"/>
    <s v="-"/>
    <s v="-"/>
    <s v="P"/>
    <s v="P"/>
    <s v="-"/>
    <s v="-"/>
    <n v="1"/>
    <n v="2"/>
    <n v="0"/>
    <s v="-"/>
    <s v="-"/>
    <s v="-"/>
    <s v="-"/>
    <s v="-"/>
    <s v="-"/>
    <s v="-"/>
    <n v="3"/>
    <n v="4"/>
    <s v="-"/>
    <n v="1"/>
    <n v="1"/>
    <n v="2"/>
    <n v="2"/>
    <n v="5"/>
    <n v="6"/>
  </r>
  <r>
    <x v="1"/>
    <x v="42"/>
    <d v="2026-02-19T00:00:00"/>
    <s v="1ST"/>
    <s v="10:00"/>
    <n v="3"/>
    <x v="16"/>
    <n v="1.9300000000000001E-2"/>
    <s v="P"/>
    <s v="P"/>
    <s v="P"/>
    <s v="+"/>
    <s v="+"/>
    <n v="11.75"/>
    <s v="-"/>
    <s v="-"/>
    <s v="-"/>
    <s v="-"/>
    <s v="-"/>
    <s v="-"/>
    <s v="-"/>
    <s v="-"/>
    <s v="P"/>
    <s v="P"/>
    <s v="-"/>
    <n v="2"/>
    <n v="1"/>
    <n v="2"/>
    <n v="0"/>
    <s v="-"/>
    <s v="-"/>
    <s v="-"/>
    <s v="-"/>
    <s v="-"/>
    <s v="-"/>
    <s v="-"/>
    <n v="5"/>
    <n v="6"/>
    <s v="-"/>
    <n v="1"/>
    <n v="1"/>
    <n v="2"/>
    <n v="2"/>
    <n v="7"/>
    <n v="8"/>
  </r>
  <r>
    <x v="1"/>
    <x v="42"/>
    <d v="2026-02-19T00:00:00"/>
    <s v="1ST"/>
    <s v="11:00"/>
    <n v="3"/>
    <x v="16"/>
    <n v="1.4E-2"/>
    <s v="P"/>
    <s v="P"/>
    <s v="P"/>
    <s v="+"/>
    <s v="+"/>
    <n v="12.22"/>
    <s v="-"/>
    <s v="-"/>
    <s v="-"/>
    <s v="-"/>
    <s v="-"/>
    <s v="-"/>
    <s v="-"/>
    <s v="-"/>
    <s v="P"/>
    <s v="P"/>
    <s v="-"/>
    <n v="2"/>
    <n v="1"/>
    <n v="2"/>
    <n v="1"/>
    <s v="-"/>
    <s v="-"/>
    <s v="-"/>
    <s v="-"/>
    <s v="-"/>
    <s v="-"/>
    <s v="-"/>
    <n v="6"/>
    <n v="6"/>
    <s v="-"/>
    <n v="1"/>
    <n v="1"/>
    <n v="2"/>
    <n v="2"/>
    <n v="8"/>
    <n v="8"/>
  </r>
  <r>
    <x v="1"/>
    <x v="42"/>
    <s v="-"/>
    <s v="1ST"/>
    <s v="06:00"/>
    <n v="1"/>
    <x v="22"/>
    <n v="6.1999999999999998E-3"/>
    <s v="P"/>
    <s v="P"/>
    <s v="P"/>
    <s v="-"/>
    <s v="-"/>
    <n v="11.01"/>
    <n v="8.59"/>
    <n v="0.62"/>
    <n v="55"/>
    <s v="-"/>
    <s v="-"/>
    <n v="23.21"/>
    <s v="-"/>
    <s v="-"/>
    <s v="P"/>
    <s v="P"/>
    <n v="1"/>
    <n v="2"/>
    <n v="1"/>
    <n v="2"/>
    <n v="1"/>
    <n v="1"/>
    <n v="0"/>
    <n v="2"/>
    <s v="-"/>
    <s v="-"/>
    <n v="2"/>
    <s v="-"/>
    <n v="11"/>
    <n v="13"/>
    <s v="-"/>
    <n v="1"/>
    <n v="1"/>
    <n v="2"/>
    <n v="2"/>
    <n v="13"/>
    <n v="15"/>
  </r>
  <r>
    <x v="1"/>
    <x v="42"/>
    <d v="2026-02-16T00:00:00"/>
    <s v="1ST"/>
    <s v="07:00"/>
    <n v="1"/>
    <x v="22"/>
    <n v="3.3E-3"/>
    <s v="P"/>
    <s v="P"/>
    <s v="P"/>
    <s v="-"/>
    <s v="-"/>
    <n v="10.97"/>
    <s v="-"/>
    <s v="-"/>
    <s v="-"/>
    <s v="-"/>
    <s v="-"/>
    <s v="-"/>
    <s v="-"/>
    <s v="-"/>
    <s v="P"/>
    <s v="P"/>
    <s v="-"/>
    <n v="2"/>
    <n v="1"/>
    <n v="2"/>
    <n v="0"/>
    <s v="-"/>
    <s v="-"/>
    <s v="-"/>
    <s v="-"/>
    <s v="-"/>
    <s v="-"/>
    <s v="-"/>
    <n v="5"/>
    <n v="6"/>
    <s v="-"/>
    <n v="1"/>
    <n v="1"/>
    <n v="2"/>
    <n v="2"/>
    <n v="7"/>
    <n v="8"/>
  </r>
  <r>
    <x v="1"/>
    <x v="42"/>
    <d v="2026-02-16T00:00:00"/>
    <s v="1ST"/>
    <s v="08:00"/>
    <n v="1"/>
    <x v="22"/>
    <n v="2.5999999999999999E-3"/>
    <s v="P"/>
    <s v="P"/>
    <s v="P"/>
    <s v="-"/>
    <s v="-"/>
    <n v="11.05"/>
    <s v="-"/>
    <s v="-"/>
    <s v="-"/>
    <s v="-"/>
    <s v="-"/>
    <s v="-"/>
    <s v="-"/>
    <s v="-"/>
    <s v="P"/>
    <s v="P"/>
    <s v="-"/>
    <n v="2"/>
    <n v="1"/>
    <n v="2"/>
    <n v="1"/>
    <s v="-"/>
    <s v="-"/>
    <s v="-"/>
    <s v="-"/>
    <s v="-"/>
    <s v="-"/>
    <s v="-"/>
    <n v="6"/>
    <n v="6"/>
    <s v="-"/>
    <n v="1"/>
    <n v="1"/>
    <n v="2"/>
    <n v="2"/>
    <n v="8"/>
    <n v="8"/>
  </r>
  <r>
    <x v="1"/>
    <x v="42"/>
    <d v="2026-02-16T00:00:00"/>
    <s v="1ST"/>
    <s v="09:00"/>
    <n v="1"/>
    <x v="22"/>
    <n v="2.3E-3"/>
    <s v="P"/>
    <s v="P"/>
    <s v="P"/>
    <s v="-"/>
    <s v="-"/>
    <n v="11.1"/>
    <s v="-"/>
    <s v="-"/>
    <s v="-"/>
    <s v="-"/>
    <s v="-"/>
    <s v="-"/>
    <s v="-"/>
    <s v="-"/>
    <s v="P"/>
    <s v="P"/>
    <s v="-"/>
    <n v="2"/>
    <n v="1"/>
    <n v="2"/>
    <n v="1"/>
    <s v="-"/>
    <s v="-"/>
    <s v="-"/>
    <s v="-"/>
    <s v="-"/>
    <s v="-"/>
    <s v="-"/>
    <n v="6"/>
    <n v="6"/>
    <s v="-"/>
    <n v="1"/>
    <n v="1"/>
    <n v="2"/>
    <n v="2"/>
    <n v="8"/>
    <n v="8"/>
  </r>
  <r>
    <x v="1"/>
    <x v="42"/>
    <d v="2026-02-16T00:00:00"/>
    <s v="1ST"/>
    <s v="10:00"/>
    <n v="1"/>
    <x v="22"/>
    <n v="5.3E-3"/>
    <s v="P"/>
    <s v="P"/>
    <s v="P"/>
    <s v="-"/>
    <s v="-"/>
    <n v="10.92"/>
    <s v="-"/>
    <s v="-"/>
    <s v="-"/>
    <s v="-"/>
    <s v="-"/>
    <s v="-"/>
    <s v="-"/>
    <s v="-"/>
    <s v="P"/>
    <s v="P"/>
    <s v="-"/>
    <n v="2"/>
    <n v="1"/>
    <n v="2"/>
    <n v="0"/>
    <s v="-"/>
    <s v="-"/>
    <s v="-"/>
    <s v="-"/>
    <s v="-"/>
    <s v="-"/>
    <s v="-"/>
    <n v="5"/>
    <n v="6"/>
    <s v="-"/>
    <n v="1"/>
    <n v="1"/>
    <n v="2"/>
    <n v="2"/>
    <n v="7"/>
    <n v="8"/>
  </r>
  <r>
    <x v="1"/>
    <x v="43"/>
    <d v="2026-02-15T00:00:00"/>
    <s v="3RD"/>
    <d v="1899-12-31T00:00:00"/>
    <n v="1"/>
    <x v="20"/>
    <n v="4.0000000000000001E-3"/>
    <s v="P"/>
    <s v="P"/>
    <s v="P"/>
    <s v="-"/>
    <s v="-"/>
    <n v="10.92"/>
    <n v="11.8"/>
    <n v="0.5"/>
    <n v="64.2"/>
    <s v="-"/>
    <s v="-"/>
    <n v="32.799999999999997"/>
    <s v="-"/>
    <s v="-"/>
    <s v="P"/>
    <s v="P"/>
    <s v="-"/>
    <n v="2"/>
    <n v="1"/>
    <n v="2"/>
    <n v="0"/>
    <n v="0"/>
    <n v="2"/>
    <n v="2"/>
    <s v="-"/>
    <s v="-"/>
    <n v="2"/>
    <s v="-"/>
    <n v="11"/>
    <n v="13"/>
    <s v="-"/>
    <n v="1"/>
    <n v="1"/>
    <n v="2"/>
    <n v="2"/>
    <n v="13"/>
    <n v="15"/>
  </r>
  <r>
    <x v="1"/>
    <x v="43"/>
    <d v="2026-02-15T00:00:00"/>
    <s v="3RD"/>
    <d v="1899-12-31T02:00:00"/>
    <n v="1"/>
    <x v="20"/>
    <n v="4.7000000000000002E-3"/>
    <s v="P"/>
    <s v="P"/>
    <s v="P"/>
    <s v="-"/>
    <s v="-"/>
    <n v="12.96"/>
    <s v="-"/>
    <s v="-"/>
    <s v="-"/>
    <s v="-"/>
    <s v="-"/>
    <s v="-"/>
    <s v="-"/>
    <s v="-"/>
    <s v="P"/>
    <s v="P"/>
    <s v="-"/>
    <n v="2"/>
    <n v="1"/>
    <n v="2"/>
    <n v="1"/>
    <s v="-"/>
    <s v="-"/>
    <s v="-"/>
    <s v="-"/>
    <s v="-"/>
    <s v="-"/>
    <s v="-"/>
    <n v="6"/>
    <n v="6"/>
    <s v="-"/>
    <n v="1"/>
    <n v="1"/>
    <n v="2"/>
    <n v="2"/>
    <n v="8"/>
    <n v="8"/>
  </r>
  <r>
    <x v="1"/>
    <x v="43"/>
    <d v="2026-02-15T00:00:00"/>
    <s v="3RD"/>
    <d v="1899-12-31T04:00:00"/>
    <n v="1"/>
    <x v="20"/>
    <n v="8.8000000000000005E-3"/>
    <s v="P"/>
    <s v="P"/>
    <s v="P"/>
    <s v="-"/>
    <s v="-"/>
    <n v="13.86"/>
    <s v="-"/>
    <s v="-"/>
    <s v="-"/>
    <s v="-"/>
    <s v="-"/>
    <s v="-"/>
    <s v="-"/>
    <s v="-"/>
    <s v="P"/>
    <s v="P"/>
    <s v="-"/>
    <n v="2"/>
    <n v="1"/>
    <n v="2"/>
    <n v="1"/>
    <s v="-"/>
    <s v="-"/>
    <s v="-"/>
    <s v="-"/>
    <s v="-"/>
    <s v="-"/>
    <s v="-"/>
    <n v="6"/>
    <n v="6"/>
    <s v="-"/>
    <n v="1"/>
    <n v="1"/>
    <n v="2"/>
    <n v="2"/>
    <n v="8"/>
    <n v="8"/>
  </r>
  <r>
    <x v="1"/>
    <x v="43"/>
    <d v="1899-12-30T00:00:00"/>
    <s v="2ND"/>
    <d v="1899-12-30T15:00:00"/>
    <s v="Retail"/>
    <x v="13"/>
    <s v="-"/>
    <s v="-"/>
    <s v="-"/>
    <s v="-"/>
    <s v="-"/>
    <s v="-"/>
    <n v="12.08"/>
    <s v="-"/>
    <s v="-"/>
    <s v="-"/>
    <s v="-"/>
    <s v="-"/>
    <s v="-"/>
    <s v="-"/>
    <s v="-"/>
    <s v="-"/>
    <s v="-"/>
    <s v="-"/>
    <s v="-"/>
    <s v="-"/>
    <s v="-"/>
    <n v="1"/>
    <s v="-"/>
    <s v="-"/>
    <s v="-"/>
    <s v="-"/>
    <s v="-"/>
    <s v="-"/>
    <s v="-"/>
    <n v="1"/>
    <n v="1"/>
    <s v="-"/>
    <s v="-"/>
    <s v="-"/>
    <n v="0"/>
    <n v="0"/>
    <n v="1"/>
    <n v="1"/>
  </r>
  <r>
    <x v="1"/>
    <x v="43"/>
    <d v="1902-03-26T00:00:00"/>
    <s v="1ST"/>
    <s v="10:00"/>
    <n v="2"/>
    <x v="5"/>
    <n v="1.23E-2"/>
    <s v="P"/>
    <s v="P"/>
    <s v="P"/>
    <s v="-"/>
    <s v="+"/>
    <n v="10.66"/>
    <n v="8.44"/>
    <s v="-"/>
    <n v="54.8"/>
    <s v="-"/>
    <s v="-"/>
    <n v="22.71"/>
    <s v="-"/>
    <s v="-"/>
    <s v="P"/>
    <s v="P"/>
    <s v="-"/>
    <n v="2"/>
    <n v="1"/>
    <n v="2"/>
    <n v="0"/>
    <n v="0"/>
    <s v="-"/>
    <n v="2"/>
    <s v="-"/>
    <s v="-"/>
    <n v="2"/>
    <s v="-"/>
    <n v="9"/>
    <n v="11"/>
    <s v="-"/>
    <n v="1"/>
    <n v="1"/>
    <n v="2"/>
    <n v="2"/>
    <n v="11"/>
    <n v="13"/>
  </r>
  <r>
    <x v="1"/>
    <x v="43"/>
    <d v="1899-12-30T00:00:00"/>
    <s v="1ST"/>
    <s v="13:00"/>
    <n v="2"/>
    <x v="5"/>
    <n v="1.2800000000000001E-2"/>
    <s v="P"/>
    <s v="P"/>
    <s v="P"/>
    <s v="-"/>
    <s v="+"/>
    <n v="10.63"/>
    <s v="-"/>
    <s v="-"/>
    <s v="-"/>
    <s v="-"/>
    <s v="-"/>
    <s v="-"/>
    <s v="-"/>
    <s v="-"/>
    <s v="P"/>
    <s v="P"/>
    <s v="-"/>
    <n v="2"/>
    <n v="1"/>
    <n v="2"/>
    <n v="0"/>
    <s v="-"/>
    <s v="-"/>
    <s v="-"/>
    <s v="-"/>
    <s v="-"/>
    <s v="-"/>
    <s v="-"/>
    <n v="5"/>
    <n v="6"/>
    <s v="-"/>
    <n v="1"/>
    <n v="1"/>
    <n v="2"/>
    <n v="2"/>
    <n v="7"/>
    <n v="8"/>
  </r>
  <r>
    <x v="1"/>
    <x v="43"/>
    <d v="1902-03-26T00:00:00"/>
    <s v="2ND"/>
    <d v="1899-12-30T14:00:00"/>
    <n v="2"/>
    <x v="5"/>
    <n v="5.8999999999999999E-3"/>
    <s v="P"/>
    <s v="P"/>
    <s v="P"/>
    <s v="-"/>
    <s v="+"/>
    <n v="10.73"/>
    <n v="8.5500000000000007"/>
    <s v="-"/>
    <s v="-"/>
    <s v="-"/>
    <s v="-"/>
    <n v="23.07"/>
    <s v="-"/>
    <n v="25.11"/>
    <s v="P"/>
    <s v="P"/>
    <s v="-"/>
    <n v="2"/>
    <n v="1"/>
    <n v="2"/>
    <n v="0"/>
    <n v="1"/>
    <s v="-"/>
    <s v="-"/>
    <s v="-"/>
    <s v="-"/>
    <n v="2"/>
    <s v="-"/>
    <n v="8"/>
    <n v="9"/>
    <n v="1"/>
    <n v="1"/>
    <n v="1"/>
    <n v="3"/>
    <n v="3"/>
    <n v="11"/>
    <n v="12"/>
  </r>
  <r>
    <x v="1"/>
    <x v="43"/>
    <d v="1899-12-30T00:00:00"/>
    <s v="2ND"/>
    <d v="1899-12-30T15:00:00"/>
    <n v="2"/>
    <x v="5"/>
    <n v="5.3E-3"/>
    <s v="P"/>
    <s v="P"/>
    <s v="P"/>
    <s v="-"/>
    <s v="+"/>
    <n v="10.69"/>
    <s v="-"/>
    <s v="-"/>
    <s v="-"/>
    <s v="-"/>
    <s v="-"/>
    <s v="-"/>
    <s v="-"/>
    <s v="-"/>
    <s v="P"/>
    <s v="P"/>
    <s v="-"/>
    <n v="2"/>
    <n v="1"/>
    <n v="2"/>
    <n v="0"/>
    <s v="-"/>
    <s v="-"/>
    <s v="-"/>
    <s v="-"/>
    <s v="-"/>
    <s v="-"/>
    <s v="-"/>
    <n v="5"/>
    <n v="6"/>
    <s v="-"/>
    <n v="1"/>
    <n v="1"/>
    <n v="2"/>
    <n v="2"/>
    <n v="7"/>
    <n v="8"/>
  </r>
  <r>
    <x v="1"/>
    <x v="43"/>
    <d v="1899-12-30T00:00:00"/>
    <s v="2ND"/>
    <d v="1899-12-30T16:00:00"/>
    <n v="2"/>
    <x v="5"/>
    <n v="3.0000000000000001E-3"/>
    <s v="P"/>
    <s v="P"/>
    <s v="P"/>
    <s v="-"/>
    <s v="+"/>
    <n v="10.64"/>
    <s v="-"/>
    <s v="-"/>
    <s v="-"/>
    <s v="-"/>
    <s v="-"/>
    <s v="-"/>
    <s v="-"/>
    <s v="-"/>
    <s v="P"/>
    <s v="P"/>
    <s v="-"/>
    <n v="2"/>
    <n v="1"/>
    <n v="2"/>
    <n v="0"/>
    <s v="-"/>
    <s v="-"/>
    <s v="-"/>
    <s v="-"/>
    <s v="-"/>
    <s v="-"/>
    <s v="-"/>
    <n v="5"/>
    <n v="6"/>
    <s v="-"/>
    <n v="1"/>
    <n v="1"/>
    <n v="2"/>
    <n v="2"/>
    <n v="7"/>
    <n v="8"/>
  </r>
  <r>
    <x v="1"/>
    <x v="43"/>
    <d v="1899-12-30T00:00:00"/>
    <s v="2ND"/>
    <d v="1899-12-30T17:00:00"/>
    <n v="2"/>
    <x v="5"/>
    <n v="4.7999999999999996E-3"/>
    <s v="P"/>
    <s v="P"/>
    <s v="P"/>
    <s v="-"/>
    <s v="+"/>
    <n v="10.53"/>
    <s v="-"/>
    <s v="-"/>
    <s v="-"/>
    <s v="-"/>
    <s v="-"/>
    <s v="-"/>
    <s v="-"/>
    <s v="-"/>
    <s v="P"/>
    <s v="P"/>
    <s v="-"/>
    <n v="2"/>
    <n v="1"/>
    <n v="2"/>
    <n v="0"/>
    <s v="-"/>
    <s v="-"/>
    <s v="-"/>
    <s v="-"/>
    <s v="-"/>
    <s v="-"/>
    <s v="-"/>
    <n v="5"/>
    <n v="6"/>
    <s v="-"/>
    <n v="1"/>
    <n v="1"/>
    <n v="2"/>
    <n v="2"/>
    <n v="7"/>
    <n v="8"/>
  </r>
  <r>
    <x v="1"/>
    <x v="43"/>
    <d v="1899-12-30T00:00:00"/>
    <s v="2ND"/>
    <d v="1899-12-30T18:00:00"/>
    <n v="2"/>
    <x v="21"/>
    <n v="4.1999999999999997E-3"/>
    <s v="P"/>
    <s v="P"/>
    <s v="P"/>
    <s v="-"/>
    <s v="+"/>
    <n v="10.63"/>
    <n v="8.56"/>
    <n v="0.53"/>
    <s v="-"/>
    <s v="-"/>
    <s v="-"/>
    <n v="22.7"/>
    <s v="-"/>
    <s v="-"/>
    <s v="P"/>
    <s v="P"/>
    <s v="-"/>
    <n v="2"/>
    <n v="1"/>
    <n v="2"/>
    <n v="0"/>
    <s v="-"/>
    <n v="2"/>
    <s v="-"/>
    <s v="-"/>
    <s v="-"/>
    <n v="2"/>
    <s v="-"/>
    <n v="9"/>
    <n v="10"/>
    <s v="-"/>
    <n v="1"/>
    <n v="1"/>
    <n v="2"/>
    <n v="2"/>
    <n v="11"/>
    <n v="12"/>
  </r>
  <r>
    <x v="1"/>
    <x v="43"/>
    <d v="1899-12-30T00:00:00"/>
    <s v="2ND"/>
    <d v="1899-12-30T20:00:00"/>
    <n v="2"/>
    <x v="21"/>
    <n v="2E-3"/>
    <s v="P"/>
    <s v="P"/>
    <s v="P"/>
    <s v="-"/>
    <s v="+"/>
    <n v="11.09"/>
    <s v="-"/>
    <s v="-"/>
    <s v="-"/>
    <s v="-"/>
    <s v="-"/>
    <s v="-"/>
    <s v="-"/>
    <s v="-"/>
    <s v="P"/>
    <s v="P"/>
    <s v="-"/>
    <n v="2"/>
    <n v="1"/>
    <n v="2"/>
    <n v="1"/>
    <s v="-"/>
    <s v="-"/>
    <s v="-"/>
    <s v="-"/>
    <s v="-"/>
    <s v="-"/>
    <s v="-"/>
    <n v="6"/>
    <n v="6"/>
    <s v="-"/>
    <n v="1"/>
    <n v="1"/>
    <n v="2"/>
    <n v="2"/>
    <n v="8"/>
    <n v="8"/>
  </r>
  <r>
    <x v="1"/>
    <x v="43"/>
    <d v="1902-03-26T00:00:00"/>
    <s v="3RD"/>
    <d v="1899-12-30T22:00:00"/>
    <n v="2"/>
    <x v="21"/>
    <n v="3.3E-3"/>
    <s v="P"/>
    <s v="P"/>
    <s v="P"/>
    <s v="-"/>
    <s v="+"/>
    <n v="11.88"/>
    <n v="8.34"/>
    <n v="0.52"/>
    <s v="-"/>
    <s v="-"/>
    <s v="-"/>
    <n v="22.35"/>
    <s v="-"/>
    <n v="25.11"/>
    <s v="P"/>
    <s v="P"/>
    <s v="-"/>
    <n v="2"/>
    <n v="1"/>
    <n v="2"/>
    <n v="1"/>
    <s v="-"/>
    <n v="2"/>
    <s v="-"/>
    <s v="-"/>
    <s v="-"/>
    <n v="2"/>
    <s v="-"/>
    <n v="10"/>
    <n v="10"/>
    <n v="1"/>
    <n v="1"/>
    <n v="1"/>
    <n v="3"/>
    <n v="3"/>
    <n v="13"/>
    <n v="13"/>
  </r>
  <r>
    <x v="1"/>
    <x v="43"/>
    <d v="1899-12-30T00:00:00"/>
    <s v="3RD"/>
    <d v="1899-12-31T00:00:00"/>
    <n v="2"/>
    <x v="21"/>
    <n v="2.3999999999999998E-3"/>
    <s v="P"/>
    <s v="P"/>
    <s v="P"/>
    <s v="-"/>
    <s v="+"/>
    <n v="12.72"/>
    <s v="-"/>
    <s v="-"/>
    <s v="-"/>
    <s v="-"/>
    <s v="-"/>
    <s v="-"/>
    <s v="-"/>
    <s v="-"/>
    <s v="P"/>
    <s v="P"/>
    <s v="-"/>
    <n v="2"/>
    <n v="1"/>
    <n v="2"/>
    <n v="1"/>
    <s v="-"/>
    <s v="-"/>
    <s v="-"/>
    <s v="-"/>
    <s v="-"/>
    <s v="-"/>
    <s v="-"/>
    <n v="6"/>
    <n v="6"/>
    <s v="-"/>
    <n v="1"/>
    <n v="1"/>
    <n v="2"/>
    <n v="2"/>
    <n v="8"/>
    <n v="8"/>
  </r>
  <r>
    <x v="1"/>
    <x v="43"/>
    <d v="1899-12-30T00:00:00"/>
    <s v="3RD"/>
    <d v="1899-12-31T02:00:00"/>
    <n v="2"/>
    <x v="21"/>
    <n v="3.0999999999999999E-3"/>
    <s v="P"/>
    <s v="P"/>
    <s v="P"/>
    <s v="-"/>
    <s v="+"/>
    <n v="12.89"/>
    <s v="-"/>
    <s v="-"/>
    <s v="-"/>
    <s v="-"/>
    <s v="-"/>
    <s v="-"/>
    <s v="-"/>
    <s v="-"/>
    <s v="P"/>
    <s v="P"/>
    <s v="-"/>
    <n v="2"/>
    <n v="1"/>
    <n v="2"/>
    <n v="1"/>
    <s v="-"/>
    <s v="-"/>
    <s v="-"/>
    <s v="-"/>
    <s v="-"/>
    <s v="-"/>
    <s v="-"/>
    <n v="6"/>
    <n v="6"/>
    <s v="-"/>
    <n v="1"/>
    <n v="1"/>
    <n v="2"/>
    <n v="2"/>
    <n v="8"/>
    <n v="8"/>
  </r>
  <r>
    <x v="1"/>
    <x v="43"/>
    <d v="1899-12-30T00:00:00"/>
    <s v="3RD"/>
    <d v="1899-12-31T04:00:00"/>
    <n v="2"/>
    <x v="21"/>
    <n v="2.8999999999999998E-3"/>
    <s v="P"/>
    <s v="P"/>
    <s v="P"/>
    <s v="-"/>
    <s v="+"/>
    <n v="11.42"/>
    <s v="-"/>
    <s v="-"/>
    <s v="-"/>
    <s v="-"/>
    <s v="-"/>
    <s v="-"/>
    <s v="-"/>
    <s v="-"/>
    <s v="P"/>
    <s v="P"/>
    <s v="-"/>
    <n v="2"/>
    <n v="1"/>
    <n v="2"/>
    <n v="1"/>
    <s v="-"/>
    <s v="-"/>
    <s v="-"/>
    <s v="-"/>
    <s v="-"/>
    <s v="-"/>
    <s v="-"/>
    <n v="6"/>
    <n v="6"/>
    <s v="-"/>
    <n v="1"/>
    <n v="1"/>
    <n v="2"/>
    <n v="2"/>
    <n v="8"/>
    <n v="8"/>
  </r>
  <r>
    <x v="1"/>
    <x v="43"/>
    <d v="1899-12-30T00:00:00"/>
    <s v="2ND"/>
    <d v="1899-12-30T14:00:00"/>
    <s v="Retail"/>
    <x v="9"/>
    <s v="-"/>
    <s v="-"/>
    <s v="-"/>
    <s v="-"/>
    <s v="-"/>
    <s v="-"/>
    <n v="10.16"/>
    <s v="-"/>
    <s v="-"/>
    <s v="-"/>
    <s v="-"/>
    <s v="-"/>
    <s v="-"/>
    <s v="-"/>
    <s v="-"/>
    <s v="-"/>
    <s v="-"/>
    <s v="-"/>
    <s v="-"/>
    <s v="-"/>
    <s v="-"/>
    <n v="1"/>
    <s v="-"/>
    <s v="-"/>
    <s v="-"/>
    <s v="-"/>
    <s v="-"/>
    <s v="-"/>
    <s v="-"/>
    <n v="1"/>
    <n v="1"/>
    <s v="-"/>
    <s v="-"/>
    <s v="-"/>
    <n v="0"/>
    <n v="0"/>
    <n v="1"/>
    <n v="1"/>
  </r>
  <r>
    <x v="1"/>
    <x v="43"/>
    <d v="2026-02-18T00:00:00"/>
    <s v="1ST"/>
    <s v="12:00"/>
    <n v="1"/>
    <x v="22"/>
    <n v="6.0000000000000001E-3"/>
    <s v="P"/>
    <s v="P"/>
    <s v="P"/>
    <s v="-"/>
    <s v="-"/>
    <n v="11.15"/>
    <n v="8.64"/>
    <s v="-"/>
    <n v="56.4"/>
    <s v="-"/>
    <s v="-"/>
    <n v="23.36"/>
    <s v="-"/>
    <s v="-"/>
    <s v="P"/>
    <s v="P"/>
    <n v="1"/>
    <n v="2"/>
    <n v="1"/>
    <n v="2"/>
    <n v="1"/>
    <n v="1"/>
    <s v="-"/>
    <n v="2"/>
    <s v="-"/>
    <s v="-"/>
    <n v="2"/>
    <s v="-"/>
    <n v="11"/>
    <n v="11"/>
    <s v="-"/>
    <n v="1"/>
    <n v="1"/>
    <n v="2"/>
    <n v="2"/>
    <n v="13"/>
    <n v="13"/>
  </r>
  <r>
    <x v="1"/>
    <x v="43"/>
    <d v="2026-02-18T00:00:00"/>
    <s v="1ST"/>
    <s v="13:00"/>
    <n v="1"/>
    <x v="22"/>
    <n v="5.5999999999999999E-3"/>
    <s v="P"/>
    <s v="P"/>
    <s v="P"/>
    <s v="-"/>
    <s v="-"/>
    <n v="10.99"/>
    <s v="-"/>
    <s v="-"/>
    <s v="-"/>
    <s v="-"/>
    <s v="-"/>
    <s v="-"/>
    <s v="-"/>
    <s v="-"/>
    <s v="P"/>
    <s v="P"/>
    <s v="-"/>
    <n v="2"/>
    <n v="1"/>
    <n v="2"/>
    <n v="0"/>
    <s v="-"/>
    <s v="-"/>
    <s v="-"/>
    <s v="-"/>
    <s v="-"/>
    <s v="-"/>
    <s v="-"/>
    <n v="5"/>
    <n v="6"/>
    <s v="-"/>
    <n v="1"/>
    <n v="1"/>
    <n v="2"/>
    <n v="2"/>
    <n v="7"/>
    <n v="8"/>
  </r>
  <r>
    <x v="1"/>
    <x v="43"/>
    <s v="-"/>
    <s v="2ND"/>
    <d v="1899-12-30T14:00:00"/>
    <n v="1"/>
    <x v="22"/>
    <n v="1.78E-2"/>
    <s v="P"/>
    <s v="P"/>
    <s v="P"/>
    <s v="-"/>
    <s v="-"/>
    <n v="11.11"/>
    <n v="8.5399999999999991"/>
    <s v="-"/>
    <s v="-"/>
    <s v="-"/>
    <s v="-"/>
    <n v="23"/>
    <s v="-"/>
    <n v="25.14"/>
    <s v="P"/>
    <s v="P"/>
    <n v="1"/>
    <n v="2"/>
    <n v="1"/>
    <n v="2"/>
    <n v="1"/>
    <n v="1"/>
    <s v="-"/>
    <s v="-"/>
    <s v="-"/>
    <s v="-"/>
    <n v="2"/>
    <s v="-"/>
    <n v="9"/>
    <n v="9"/>
    <n v="1"/>
    <n v="1"/>
    <n v="1"/>
    <n v="3"/>
    <n v="3"/>
    <n v="12"/>
    <n v="12"/>
  </r>
  <r>
    <x v="1"/>
    <x v="43"/>
    <d v="2026-02-18T00:00:00"/>
    <s v="2ND"/>
    <d v="1899-12-30T15:00:00"/>
    <n v="1"/>
    <x v="22"/>
    <n v="1.61E-2"/>
    <s v="P"/>
    <s v="P"/>
    <s v="P"/>
    <s v="-"/>
    <s v="-"/>
    <n v="10.91"/>
    <s v="-"/>
    <s v="-"/>
    <s v="-"/>
    <s v="-"/>
    <s v="-"/>
    <s v="-"/>
    <s v="-"/>
    <s v="-"/>
    <s v="P"/>
    <s v="P"/>
    <s v="-"/>
    <n v="2"/>
    <n v="1"/>
    <n v="2"/>
    <n v="0"/>
    <s v="-"/>
    <s v="-"/>
    <s v="-"/>
    <s v="-"/>
    <s v="-"/>
    <s v="-"/>
    <s v="-"/>
    <n v="5"/>
    <n v="6"/>
    <s v="-"/>
    <n v="1"/>
    <n v="1"/>
    <n v="2"/>
    <n v="2"/>
    <n v="7"/>
    <n v="8"/>
  </r>
  <r>
    <x v="1"/>
    <x v="43"/>
    <d v="2026-02-18T00:00:00"/>
    <s v="2ND"/>
    <d v="1899-12-30T16:00:00"/>
    <n v="1"/>
    <x v="22"/>
    <n v="1.4200000000000001E-2"/>
    <s v="P"/>
    <s v="P"/>
    <s v="P"/>
    <s v="-"/>
    <s v="-"/>
    <n v="11.11"/>
    <s v="-"/>
    <s v="-"/>
    <s v="-"/>
    <s v="-"/>
    <s v="-"/>
    <s v="-"/>
    <s v="-"/>
    <s v="-"/>
    <s v="P"/>
    <s v="P"/>
    <s v="-"/>
    <n v="2"/>
    <n v="1"/>
    <n v="2"/>
    <n v="1"/>
    <s v="-"/>
    <s v="-"/>
    <s v="-"/>
    <s v="-"/>
    <s v="-"/>
    <s v="-"/>
    <s v="-"/>
    <n v="6"/>
    <n v="6"/>
    <s v="-"/>
    <n v="1"/>
    <n v="1"/>
    <n v="2"/>
    <n v="2"/>
    <n v="8"/>
    <n v="8"/>
  </r>
  <r>
    <x v="1"/>
    <x v="43"/>
    <d v="2026-02-18T00:00:00"/>
    <s v="2ND"/>
    <d v="1899-12-30T17:00:00"/>
    <n v="1"/>
    <x v="22"/>
    <n v="1.6799999999999999E-2"/>
    <s v="P"/>
    <s v="P"/>
    <s v="P"/>
    <s v="-"/>
    <s v="-"/>
    <n v="10.82"/>
    <s v="-"/>
    <s v="-"/>
    <s v="-"/>
    <s v="-"/>
    <s v="-"/>
    <s v="-"/>
    <s v="-"/>
    <s v="-"/>
    <s v="P"/>
    <s v="P"/>
    <s v="-"/>
    <n v="2"/>
    <n v="1"/>
    <n v="2"/>
    <n v="0"/>
    <s v="-"/>
    <s v="-"/>
    <s v="-"/>
    <s v="-"/>
    <s v="-"/>
    <s v="-"/>
    <s v="-"/>
    <n v="5"/>
    <n v="6"/>
    <s v="-"/>
    <n v="1"/>
    <n v="1"/>
    <n v="2"/>
    <n v="2"/>
    <n v="7"/>
    <n v="8"/>
  </r>
  <r>
    <x v="1"/>
    <x v="43"/>
    <s v="-"/>
    <s v="3RD"/>
    <d v="1899-12-30T22:00:00"/>
    <n v="1"/>
    <x v="22"/>
    <n v="3.5999999999999999E-3"/>
    <s v="P"/>
    <s v="P"/>
    <s v="P"/>
    <s v="-"/>
    <s v="-"/>
    <n v="11.92"/>
    <n v="8.51"/>
    <n v="0.56999999999999995"/>
    <s v="-"/>
    <s v="-"/>
    <s v="-"/>
    <n v="22.71"/>
    <s v="-"/>
    <n v="25.14"/>
    <s v="P"/>
    <s v="P"/>
    <s v="80% 20%"/>
    <n v="2"/>
    <n v="1"/>
    <n v="2"/>
    <n v="1"/>
    <n v="1"/>
    <n v="2"/>
    <s v="-"/>
    <s v="-"/>
    <s v="-"/>
    <n v="2"/>
    <s v="-"/>
    <n v="11"/>
    <n v="11"/>
    <n v="1"/>
    <n v="1"/>
    <n v="1"/>
    <n v="3"/>
    <n v="3"/>
    <n v="14"/>
    <n v="14"/>
  </r>
  <r>
    <x v="1"/>
    <x v="44"/>
    <d v="2026-02-21T00:00:00"/>
    <s v="3RD"/>
    <d v="1899-12-31T02:00:00"/>
    <n v="3"/>
    <x v="10"/>
    <n v="1.8E-3"/>
    <s v="P"/>
    <s v="P"/>
    <s v="P"/>
    <s v="+"/>
    <s v="+"/>
    <n v="11.86"/>
    <n v="11.4"/>
    <s v="-"/>
    <n v="64.599999999999994"/>
    <s v="-"/>
    <s v="-"/>
    <n v="33.200000000000003"/>
    <s v="-"/>
    <s v="-"/>
    <s v="P"/>
    <s v="P"/>
    <n v="1"/>
    <n v="2"/>
    <n v="1"/>
    <n v="2"/>
    <n v="0"/>
    <n v="1"/>
    <s v="-"/>
    <n v="2"/>
    <s v="-"/>
    <s v="-"/>
    <n v="2"/>
    <s v="-"/>
    <n v="10"/>
    <n v="11"/>
    <s v="-"/>
    <n v="1"/>
    <n v="1"/>
    <n v="2"/>
    <n v="2"/>
    <n v="12"/>
    <n v="13"/>
  </r>
  <r>
    <x v="1"/>
    <x v="44"/>
    <d v="2026-02-21T00:00:00"/>
    <s v="3RD"/>
    <d v="1899-12-31T03:00:00"/>
    <n v="3"/>
    <x v="10"/>
    <n v="1.1000000000000001E-3"/>
    <s v="P"/>
    <s v="P"/>
    <s v="P"/>
    <s v="+"/>
    <s v="+"/>
    <n v="12.01"/>
    <s v="-"/>
    <s v="-"/>
    <s v="-"/>
    <s v="-"/>
    <s v="-"/>
    <s v="-"/>
    <s v="-"/>
    <s v="-"/>
    <s v="P"/>
    <s v="P"/>
    <s v="-"/>
    <n v="2"/>
    <n v="1"/>
    <n v="2"/>
    <n v="1"/>
    <s v="-"/>
    <s v="-"/>
    <s v="-"/>
    <s v="-"/>
    <s v="-"/>
    <s v="-"/>
    <s v="-"/>
    <n v="6"/>
    <n v="6"/>
    <s v="-"/>
    <n v="1"/>
    <n v="1"/>
    <n v="2"/>
    <n v="2"/>
    <n v="8"/>
    <n v="8"/>
  </r>
  <r>
    <x v="1"/>
    <x v="44"/>
    <d v="1902-03-26T00:00:00"/>
    <s v="2ND"/>
    <d v="1899-12-30T14:00:00"/>
    <n v="2"/>
    <x v="30"/>
    <n v="1.06E-2"/>
    <s v="P"/>
    <s v="P"/>
    <s v="P"/>
    <s v="+"/>
    <s v="+"/>
    <n v="12.64"/>
    <n v="12.71"/>
    <n v="0.55000000000000004"/>
    <n v="64"/>
    <n v="13.3"/>
    <s v="-"/>
    <n v="35.6"/>
    <s v="-"/>
    <n v="25.12"/>
    <s v="P"/>
    <s v="P"/>
    <s v="-"/>
    <n v="2"/>
    <n v="1"/>
    <n v="2"/>
    <n v="1"/>
    <n v="1"/>
    <n v="2"/>
    <n v="2"/>
    <n v="1"/>
    <s v="-"/>
    <n v="2"/>
    <s v="-"/>
    <n v="14"/>
    <n v="14"/>
    <n v="1"/>
    <n v="1"/>
    <n v="1"/>
    <n v="3"/>
    <n v="3"/>
    <n v="17"/>
    <n v="17"/>
  </r>
  <r>
    <x v="1"/>
    <x v="44"/>
    <d v="1899-12-30T00:00:00"/>
    <s v="2ND"/>
    <d v="1899-12-30T15:00:00"/>
    <n v="2"/>
    <x v="30"/>
    <n v="8.0999999999999996E-3"/>
    <s v="P"/>
    <s v="P"/>
    <s v="P"/>
    <s v="+"/>
    <s v="+"/>
    <n v="12.24"/>
    <s v="-"/>
    <s v="-"/>
    <s v="-"/>
    <s v="-"/>
    <s v="-"/>
    <s v="-"/>
    <s v="-"/>
    <s v="-"/>
    <s v="P"/>
    <s v="P"/>
    <s v="-"/>
    <n v="2"/>
    <n v="1"/>
    <n v="2"/>
    <n v="1"/>
    <s v="-"/>
    <s v="-"/>
    <s v="-"/>
    <s v="-"/>
    <s v="-"/>
    <s v="-"/>
    <s v="-"/>
    <n v="6"/>
    <n v="6"/>
    <s v="-"/>
    <n v="1"/>
    <n v="1"/>
    <n v="2"/>
    <n v="2"/>
    <n v="8"/>
    <n v="8"/>
  </r>
  <r>
    <x v="1"/>
    <x v="44"/>
    <d v="1899-12-30T00:00:00"/>
    <s v="2ND"/>
    <d v="1899-12-30T16:00:00"/>
    <n v="2"/>
    <x v="30"/>
    <n v="2.7000000000000001E-3"/>
    <s v="P"/>
    <s v="P"/>
    <s v="P"/>
    <s v="+"/>
    <s v="+"/>
    <n v="12.24"/>
    <s v="-"/>
    <s v="-"/>
    <s v="-"/>
    <s v="-"/>
    <s v="-"/>
    <s v="-"/>
    <s v="-"/>
    <s v="-"/>
    <s v="P"/>
    <s v="P"/>
    <s v="-"/>
    <n v="2"/>
    <n v="1"/>
    <n v="2"/>
    <n v="1"/>
    <s v="-"/>
    <s v="-"/>
    <s v="-"/>
    <s v="-"/>
    <s v="-"/>
    <s v="-"/>
    <s v="-"/>
    <n v="6"/>
    <n v="6"/>
    <s v="-"/>
    <n v="1"/>
    <n v="1"/>
    <n v="2"/>
    <n v="2"/>
    <n v="8"/>
    <n v="8"/>
  </r>
  <r>
    <x v="1"/>
    <x v="44"/>
    <d v="2026-02-15T00:00:00"/>
    <s v="2ND"/>
    <d v="1899-12-30T15:00:00"/>
    <n v="1"/>
    <x v="20"/>
    <n v="6.4999999999999997E-3"/>
    <s v="P"/>
    <s v="P"/>
    <s v="P"/>
    <s v="-"/>
    <s v="-"/>
    <n v="13.14"/>
    <n v="12.61"/>
    <s v="-"/>
    <s v="-"/>
    <s v="-"/>
    <s v="-"/>
    <n v="35.200000000000003"/>
    <s v="-"/>
    <n v="25.13"/>
    <s v="P"/>
    <s v="P"/>
    <s v="80% 20%"/>
    <n v="2"/>
    <n v="1"/>
    <n v="2"/>
    <n v="1"/>
    <n v="1"/>
    <s v="-"/>
    <s v="-"/>
    <s v="-"/>
    <s v="-"/>
    <n v="2"/>
    <s v="-"/>
    <n v="9"/>
    <n v="9"/>
    <n v="1"/>
    <n v="1"/>
    <n v="1"/>
    <n v="3"/>
    <n v="3"/>
    <n v="12"/>
    <n v="12"/>
  </r>
  <r>
    <x v="1"/>
    <x v="44"/>
    <d v="2026-02-15T00:00:00"/>
    <s v="2ND"/>
    <d v="1899-12-30T16:00:00"/>
    <n v="1"/>
    <x v="20"/>
    <n v="8.3999999999999995E-3"/>
    <s v="P"/>
    <s v="P"/>
    <s v="P"/>
    <s v="-"/>
    <s v="-"/>
    <n v="12.57"/>
    <s v="-"/>
    <s v="-"/>
    <s v="-"/>
    <s v="-"/>
    <s v="-"/>
    <s v="-"/>
    <s v="-"/>
    <s v="-"/>
    <s v="P"/>
    <s v="P"/>
    <s v="-"/>
    <n v="2"/>
    <n v="1"/>
    <n v="2"/>
    <n v="1"/>
    <s v="-"/>
    <s v="-"/>
    <s v="-"/>
    <s v="-"/>
    <s v="-"/>
    <s v="-"/>
    <s v="-"/>
    <n v="6"/>
    <n v="6"/>
    <s v="-"/>
    <n v="1"/>
    <n v="1"/>
    <n v="2"/>
    <n v="2"/>
    <n v="8"/>
    <n v="8"/>
  </r>
  <r>
    <x v="1"/>
    <x v="44"/>
    <d v="2026-02-15T00:00:00"/>
    <s v="2ND"/>
    <d v="1899-12-30T17:00:00"/>
    <n v="1"/>
    <x v="20"/>
    <n v="9.4999999999999998E-3"/>
    <s v="P"/>
    <s v="P"/>
    <s v="P"/>
    <s v="-"/>
    <s v="-"/>
    <n v="13.04"/>
    <s v="-"/>
    <s v="-"/>
    <s v="-"/>
    <s v="-"/>
    <s v="-"/>
    <s v="-"/>
    <s v="-"/>
    <s v="-"/>
    <s v="P"/>
    <s v="P"/>
    <s v="-"/>
    <n v="2"/>
    <n v="1"/>
    <n v="2"/>
    <n v="1"/>
    <s v="-"/>
    <s v="-"/>
    <s v="-"/>
    <s v="-"/>
    <s v="-"/>
    <s v="-"/>
    <s v="-"/>
    <n v="6"/>
    <n v="6"/>
    <s v="-"/>
    <n v="1"/>
    <n v="1"/>
    <n v="2"/>
    <n v="2"/>
    <n v="8"/>
    <n v="8"/>
  </r>
  <r>
    <x v="1"/>
    <x v="44"/>
    <d v="2026-02-15T00:00:00"/>
    <s v="2ND"/>
    <d v="1899-12-30T19:00:00"/>
    <n v="1"/>
    <x v="20"/>
    <n v="9.7000000000000003E-3"/>
    <s v="P"/>
    <s v="P"/>
    <s v="P"/>
    <s v="-"/>
    <s v="-"/>
    <n v="13.08"/>
    <s v="-"/>
    <s v="-"/>
    <s v="-"/>
    <s v="-"/>
    <s v="-"/>
    <s v="-"/>
    <s v="-"/>
    <s v="-"/>
    <s v="P"/>
    <s v="P"/>
    <s v="-"/>
    <n v="2"/>
    <n v="1"/>
    <n v="2"/>
    <n v="1"/>
    <s v="-"/>
    <s v="-"/>
    <s v="-"/>
    <s v="-"/>
    <s v="-"/>
    <s v="-"/>
    <s v="-"/>
    <n v="6"/>
    <n v="6"/>
    <s v="-"/>
    <n v="1"/>
    <n v="1"/>
    <n v="2"/>
    <n v="2"/>
    <n v="8"/>
    <n v="8"/>
  </r>
  <r>
    <x v="1"/>
    <x v="44"/>
    <d v="2026-02-15T00:00:00"/>
    <s v="2ND"/>
    <d v="1899-12-30T20:00:00"/>
    <n v="1"/>
    <x v="20"/>
    <n v="1.29E-2"/>
    <s v="P"/>
    <s v="P"/>
    <s v="P"/>
    <s v="-"/>
    <s v="-"/>
    <n v="12.9"/>
    <s v="-"/>
    <s v="-"/>
    <s v="-"/>
    <s v="-"/>
    <s v="-"/>
    <s v="-"/>
    <s v="-"/>
    <s v="-"/>
    <s v="P"/>
    <s v="P"/>
    <s v="-"/>
    <n v="2"/>
    <n v="1"/>
    <n v="2"/>
    <n v="1"/>
    <s v="-"/>
    <s v="-"/>
    <s v="-"/>
    <s v="-"/>
    <s v="-"/>
    <s v="-"/>
    <s v="-"/>
    <n v="6"/>
    <n v="6"/>
    <s v="-"/>
    <n v="1"/>
    <n v="1"/>
    <n v="2"/>
    <n v="2"/>
    <n v="8"/>
    <n v="8"/>
  </r>
  <r>
    <x v="1"/>
    <x v="44"/>
    <d v="2026-02-15T00:00:00"/>
    <s v="2ND"/>
    <d v="1899-12-30T21:00:00"/>
    <n v="1"/>
    <x v="20"/>
    <n v="1.3599999999999999E-2"/>
    <s v="P"/>
    <s v="P"/>
    <s v="P"/>
    <s v="-"/>
    <s v="-"/>
    <n v="13.01"/>
    <s v="-"/>
    <s v="-"/>
    <s v="-"/>
    <s v="-"/>
    <s v="-"/>
    <s v="-"/>
    <s v="-"/>
    <s v="-"/>
    <s v="P"/>
    <s v="P"/>
    <s v="-"/>
    <n v="2"/>
    <n v="1"/>
    <n v="2"/>
    <n v="1"/>
    <s v="-"/>
    <s v="-"/>
    <s v="-"/>
    <s v="-"/>
    <s v="-"/>
    <s v="-"/>
    <s v="-"/>
    <n v="6"/>
    <n v="6"/>
    <s v="-"/>
    <n v="1"/>
    <n v="1"/>
    <n v="2"/>
    <n v="2"/>
    <n v="8"/>
    <n v="8"/>
  </r>
  <r>
    <x v="1"/>
    <x v="44"/>
    <s v="-"/>
    <s v="3RD"/>
    <d v="1899-12-30T22:00:00"/>
    <n v="1"/>
    <x v="20"/>
    <n v="8.3999999999999995E-3"/>
    <s v="P"/>
    <s v="P"/>
    <s v="P"/>
    <s v="-"/>
    <s v="-"/>
    <n v="13.05"/>
    <n v="12.46"/>
    <n v="0.63"/>
    <s v="-"/>
    <s v="-"/>
    <s v="-"/>
    <n v="34.799999999999997"/>
    <s v="-"/>
    <n v="25.18"/>
    <s v="P"/>
    <s v="P"/>
    <s v="80% 20%"/>
    <n v="2"/>
    <n v="1"/>
    <n v="2"/>
    <n v="1"/>
    <n v="1"/>
    <n v="2"/>
    <s v="-"/>
    <s v="-"/>
    <s v="-"/>
    <n v="2"/>
    <s v="-"/>
    <n v="11"/>
    <n v="11"/>
    <n v="1"/>
    <n v="1"/>
    <n v="1"/>
    <n v="3"/>
    <n v="3"/>
    <n v="14"/>
    <n v="14"/>
  </r>
  <r>
    <x v="1"/>
    <x v="44"/>
    <d v="2026-02-15T00:00:00"/>
    <s v="3RD"/>
    <d v="1899-12-30T23:00:00"/>
    <n v="1"/>
    <x v="20"/>
    <n v="8.2000000000000007E-3"/>
    <s v="P"/>
    <s v="P"/>
    <s v="P"/>
    <s v="-"/>
    <s v="-"/>
    <n v="11.64"/>
    <s v="-"/>
    <s v="-"/>
    <s v="-"/>
    <s v="-"/>
    <s v="-"/>
    <s v="-"/>
    <s v="-"/>
    <s v="-"/>
    <s v="P"/>
    <s v="P"/>
    <s v="-"/>
    <n v="2"/>
    <n v="1"/>
    <n v="2"/>
    <n v="1"/>
    <s v="-"/>
    <s v="-"/>
    <s v="-"/>
    <s v="-"/>
    <s v="-"/>
    <s v="-"/>
    <s v="-"/>
    <n v="6"/>
    <n v="6"/>
    <s v="-"/>
    <n v="1"/>
    <n v="1"/>
    <n v="2"/>
    <n v="2"/>
    <n v="8"/>
    <n v="8"/>
  </r>
  <r>
    <x v="1"/>
    <x v="44"/>
    <d v="2026-02-24T00:00:00"/>
    <s v="3RD"/>
    <d v="1899-12-31T01:00:00"/>
    <n v="1"/>
    <x v="28"/>
    <n v="1.7299999999999999E-2"/>
    <s v="P"/>
    <s v="P"/>
    <s v="P"/>
    <s v="-"/>
    <s v="-"/>
    <n v="11.64"/>
    <n v="12.73"/>
    <s v="-"/>
    <n v="65.7"/>
    <s v="-"/>
    <s v="-"/>
    <n v="35.799999999999997"/>
    <s v="-"/>
    <s v="-"/>
    <s v="P"/>
    <s v="P"/>
    <n v="1"/>
    <n v="2"/>
    <n v="1"/>
    <n v="2"/>
    <n v="1"/>
    <n v="1"/>
    <s v="-"/>
    <n v="2"/>
    <s v="-"/>
    <s v="-"/>
    <n v="2"/>
    <s v="-"/>
    <n v="11"/>
    <n v="11"/>
    <s v="-"/>
    <n v="1"/>
    <n v="1"/>
    <n v="2"/>
    <n v="2"/>
    <n v="13"/>
    <n v="13"/>
  </r>
  <r>
    <x v="1"/>
    <x v="44"/>
    <d v="2026-02-24T00:00:00"/>
    <s v="3RD"/>
    <d v="1899-12-31T02:00:00"/>
    <n v="1"/>
    <x v="28"/>
    <n v="1.55E-2"/>
    <s v="P"/>
    <s v="P"/>
    <s v="P"/>
    <s v="-"/>
    <s v="-"/>
    <n v="13.38"/>
    <s v="-"/>
    <s v="-"/>
    <s v="-"/>
    <s v="-"/>
    <s v="-"/>
    <s v="-"/>
    <s v="-"/>
    <s v="-"/>
    <s v="P"/>
    <s v="P"/>
    <s v="-"/>
    <n v="2"/>
    <n v="1"/>
    <n v="2"/>
    <n v="1"/>
    <s v="-"/>
    <s v="-"/>
    <s v="-"/>
    <s v="-"/>
    <s v="-"/>
    <s v="-"/>
    <s v="-"/>
    <n v="6"/>
    <n v="6"/>
    <s v="-"/>
    <n v="1"/>
    <n v="1"/>
    <n v="2"/>
    <n v="2"/>
    <n v="8"/>
    <n v="8"/>
  </r>
  <r>
    <x v="1"/>
    <x v="44"/>
    <d v="2026-02-24T00:00:00"/>
    <s v="3RD"/>
    <d v="1899-12-31T03:00:00"/>
    <n v="1"/>
    <x v="28"/>
    <n v="1.03E-2"/>
    <s v="P"/>
    <s v="P"/>
    <s v="P"/>
    <s v="-"/>
    <s v="-"/>
    <n v="13.31"/>
    <s v="-"/>
    <s v="-"/>
    <s v="-"/>
    <s v="-"/>
    <s v="-"/>
    <s v="-"/>
    <s v="-"/>
    <s v="-"/>
    <s v="P"/>
    <s v="P"/>
    <s v="-"/>
    <n v="2"/>
    <n v="1"/>
    <n v="2"/>
    <n v="1"/>
    <s v="-"/>
    <s v="-"/>
    <s v="-"/>
    <s v="-"/>
    <s v="-"/>
    <s v="-"/>
    <s v="-"/>
    <n v="6"/>
    <n v="6"/>
    <s v="-"/>
    <n v="1"/>
    <n v="1"/>
    <n v="2"/>
    <n v="2"/>
    <n v="8"/>
    <n v="8"/>
  </r>
  <r>
    <x v="1"/>
    <x v="44"/>
    <d v="2026-02-24T00:00:00"/>
    <s v="3RD"/>
    <d v="1899-12-31T04:00:00"/>
    <n v="1"/>
    <x v="28"/>
    <n v="1.2500000000000001E-2"/>
    <s v="P"/>
    <s v="P"/>
    <s v="P"/>
    <s v="-"/>
    <s v="-"/>
    <n v="13.42"/>
    <s v="-"/>
    <s v="-"/>
    <s v="-"/>
    <s v="-"/>
    <s v="-"/>
    <s v="-"/>
    <s v="-"/>
    <s v="-"/>
    <s v="P"/>
    <s v="P"/>
    <s v="-"/>
    <n v="2"/>
    <n v="1"/>
    <n v="2"/>
    <n v="1"/>
    <s v="-"/>
    <s v="-"/>
    <s v="-"/>
    <s v="-"/>
    <s v="-"/>
    <s v="-"/>
    <s v="-"/>
    <n v="6"/>
    <n v="6"/>
    <s v="-"/>
    <n v="1"/>
    <n v="1"/>
    <n v="2"/>
    <n v="2"/>
    <n v="8"/>
    <n v="8"/>
  </r>
  <r>
    <x v="1"/>
    <x v="44"/>
    <d v="2026-02-24T00:00:00"/>
    <s v="3RD"/>
    <d v="1899-12-31T05:00:00"/>
    <n v="1"/>
    <x v="28"/>
    <n v="1.1900000000000001E-2"/>
    <s v="P"/>
    <s v="P"/>
    <s v="P"/>
    <s v="-"/>
    <s v="-"/>
    <n v="13.03"/>
    <s v="-"/>
    <s v="-"/>
    <s v="-"/>
    <s v="-"/>
    <s v="-"/>
    <s v="-"/>
    <s v="-"/>
    <s v="-"/>
    <s v="P"/>
    <s v="P"/>
    <s v="-"/>
    <n v="2"/>
    <n v="1"/>
    <n v="2"/>
    <n v="1"/>
    <s v="-"/>
    <s v="-"/>
    <s v="-"/>
    <s v="-"/>
    <s v="-"/>
    <s v="-"/>
    <s v="-"/>
    <n v="6"/>
    <n v="6"/>
    <s v="-"/>
    <n v="1"/>
    <n v="1"/>
    <n v="2"/>
    <n v="2"/>
    <n v="8"/>
    <n v="8"/>
  </r>
  <r>
    <x v="1"/>
    <x v="44"/>
    <d v="1902-03-26T00:00:00"/>
    <s v="3RD"/>
    <d v="1899-12-31T04:00:00"/>
    <n v="2"/>
    <x v="41"/>
    <n v="3.2000000000000002E-3"/>
    <s v="P"/>
    <s v="P"/>
    <s v="P"/>
    <s v="-"/>
    <s v="-"/>
    <n v="12.62"/>
    <s v="-"/>
    <s v="-"/>
    <s v="-"/>
    <s v="-"/>
    <s v="-"/>
    <s v="-"/>
    <s v="-"/>
    <s v="-"/>
    <s v="P"/>
    <s v="P"/>
    <s v="-"/>
    <n v="2"/>
    <n v="1"/>
    <n v="2"/>
    <s v="-"/>
    <s v="-"/>
    <s v="-"/>
    <s v="-"/>
    <s v="-"/>
    <s v="-"/>
    <s v="-"/>
    <s v="-"/>
    <n v="5"/>
    <n v="5"/>
    <s v="-"/>
    <n v="1"/>
    <n v="1"/>
    <n v="2"/>
    <n v="2"/>
    <n v="7"/>
    <n v="7"/>
  </r>
  <r>
    <x v="1"/>
    <x v="44"/>
    <d v="1902-03-26T00:00:00"/>
    <s v="1ST"/>
    <s v="06:00"/>
    <n v="2"/>
    <x v="4"/>
    <n v="1.1299999999999999E-2"/>
    <s v="P"/>
    <s v="P"/>
    <s v="P"/>
    <s v="-"/>
    <s v="+"/>
    <n v="10.8"/>
    <n v="8.6"/>
    <n v="0.53"/>
    <n v="56.3"/>
    <s v="-"/>
    <s v="-"/>
    <n v="23.29"/>
    <s v="-"/>
    <s v="-"/>
    <s v="P"/>
    <s v="P"/>
    <s v="-"/>
    <n v="2"/>
    <n v="1"/>
    <n v="2"/>
    <n v="0"/>
    <n v="1"/>
    <n v="2"/>
    <n v="2"/>
    <s v="-"/>
    <s v="-"/>
    <n v="2"/>
    <s v="-"/>
    <n v="12"/>
    <n v="13"/>
    <s v="-"/>
    <n v="1"/>
    <n v="1"/>
    <n v="2"/>
    <n v="2"/>
    <n v="14"/>
    <n v="15"/>
  </r>
  <r>
    <x v="1"/>
    <x v="44"/>
    <d v="1899-12-30T00:00:00"/>
    <s v="1ST"/>
    <s v="09:00"/>
    <n v="2"/>
    <x v="4"/>
    <n v="1.26E-2"/>
    <s v="P"/>
    <s v="P"/>
    <s v="P"/>
    <s v="-"/>
    <s v="+"/>
    <n v="11.28"/>
    <s v="-"/>
    <s v="-"/>
    <s v="-"/>
    <s v="-"/>
    <s v="-"/>
    <s v="-"/>
    <s v="-"/>
    <s v="-"/>
    <s v="P"/>
    <s v="P"/>
    <s v="-"/>
    <n v="2"/>
    <n v="1"/>
    <n v="2"/>
    <n v="1"/>
    <s v="-"/>
    <s v="-"/>
    <s v="-"/>
    <s v="-"/>
    <s v="-"/>
    <s v="-"/>
    <s v="-"/>
    <n v="6"/>
    <n v="6"/>
    <s v="-"/>
    <n v="1"/>
    <n v="1"/>
    <n v="2"/>
    <n v="2"/>
    <n v="8"/>
    <n v="8"/>
  </r>
  <r>
    <x v="1"/>
    <x v="44"/>
    <d v="1899-12-30T00:00:00"/>
    <s v="1ST"/>
    <s v="10:00"/>
    <n v="2"/>
    <x v="4"/>
    <n v="8.5000000000000006E-3"/>
    <s v="P"/>
    <s v="P"/>
    <s v="P"/>
    <s v="-"/>
    <s v="+"/>
    <n v="11.25"/>
    <s v="-"/>
    <s v="-"/>
    <s v="-"/>
    <s v="-"/>
    <s v="-"/>
    <s v="-"/>
    <s v="-"/>
    <s v="-"/>
    <s v="P"/>
    <s v="P"/>
    <s v="-"/>
    <n v="2"/>
    <n v="1"/>
    <n v="2"/>
    <n v="1"/>
    <s v="-"/>
    <s v="-"/>
    <s v="-"/>
    <s v="-"/>
    <s v="-"/>
    <s v="-"/>
    <s v="-"/>
    <n v="6"/>
    <n v="6"/>
    <s v="-"/>
    <n v="1"/>
    <n v="1"/>
    <n v="2"/>
    <n v="2"/>
    <n v="8"/>
    <n v="8"/>
  </r>
  <r>
    <x v="1"/>
    <x v="44"/>
    <d v="1899-12-30T00:00:00"/>
    <s v="1ST"/>
    <s v="11:00"/>
    <n v="2"/>
    <x v="4"/>
    <n v="7.6E-3"/>
    <s v="P"/>
    <s v="P"/>
    <s v="P"/>
    <s v="-"/>
    <s v="+"/>
    <n v="11.16"/>
    <s v="-"/>
    <s v="-"/>
    <s v="-"/>
    <s v="-"/>
    <s v="-"/>
    <s v="-"/>
    <s v="-"/>
    <s v="-"/>
    <s v="P"/>
    <s v="P"/>
    <s v="60% 40%"/>
    <n v="2"/>
    <n v="1"/>
    <n v="2"/>
    <n v="1"/>
    <s v="-"/>
    <s v="-"/>
    <s v="-"/>
    <s v="-"/>
    <s v="-"/>
    <s v="-"/>
    <s v="-"/>
    <n v="6"/>
    <n v="6"/>
    <s v="-"/>
    <n v="1"/>
    <n v="1"/>
    <n v="2"/>
    <n v="2"/>
    <n v="8"/>
    <n v="8"/>
  </r>
  <r>
    <x v="1"/>
    <x v="44"/>
    <d v="1902-03-26T00:00:00"/>
    <s v="1ST"/>
    <s v="12:00"/>
    <n v="2"/>
    <x v="31"/>
    <n v="3.0999999999999999E-3"/>
    <s v="P"/>
    <s v="P"/>
    <s v="P"/>
    <s v="+"/>
    <s v="+"/>
    <n v="11.8"/>
    <n v="11.56"/>
    <s v="-"/>
    <s v="-"/>
    <s v="-"/>
    <s v="-"/>
    <n v="32.200000000000003"/>
    <s v="-"/>
    <s v="-"/>
    <s v="P"/>
    <s v="P"/>
    <s v="-"/>
    <n v="2"/>
    <n v="1"/>
    <n v="2"/>
    <n v="0"/>
    <n v="1"/>
    <s v="-"/>
    <s v="-"/>
    <s v="-"/>
    <s v="-"/>
    <n v="2"/>
    <s v="-"/>
    <n v="8"/>
    <n v="9"/>
    <s v="-"/>
    <n v="1"/>
    <n v="1"/>
    <n v="2"/>
    <n v="2"/>
    <n v="10"/>
    <n v="11"/>
  </r>
  <r>
    <x v="1"/>
    <x v="45"/>
    <d v="2026-02-15T00:00:00"/>
    <s v="1ST"/>
    <s v="08:00"/>
    <s v="Retail"/>
    <x v="42"/>
    <n v="1.9199999999999998E-2"/>
    <s v="P"/>
    <s v="P"/>
    <s v="P"/>
    <s v="+"/>
    <s v="+"/>
    <n v="12.78"/>
    <n v="13.38"/>
    <n v="0.56000000000000005"/>
    <n v="65.599999999999994"/>
    <s v="-"/>
    <s v="-"/>
    <n v="37.4"/>
    <s v="-"/>
    <s v="-"/>
    <s v="P"/>
    <s v="P"/>
    <s v="-"/>
    <n v="2"/>
    <n v="1"/>
    <n v="2"/>
    <n v="1"/>
    <n v="0"/>
    <n v="0"/>
    <n v="2"/>
    <s v="-"/>
    <s v="-"/>
    <n v="2"/>
    <s v="-"/>
    <n v="10"/>
    <n v="13"/>
    <s v="-"/>
    <n v="1"/>
    <n v="1"/>
    <n v="2"/>
    <n v="2"/>
    <n v="12"/>
    <n v="15"/>
  </r>
  <r>
    <x v="1"/>
    <x v="45"/>
    <d v="2026-02-15T00:00:00"/>
    <s v="1ST"/>
    <s v="12:00"/>
    <s v="Retail"/>
    <x v="42"/>
    <n v="1.9800000000000002E-2"/>
    <s v="P"/>
    <s v="P"/>
    <s v="P"/>
    <s v="+"/>
    <s v="+"/>
    <n v="13.05"/>
    <s v="-"/>
    <s v="-"/>
    <s v="-"/>
    <s v="-"/>
    <s v="-"/>
    <s v="-"/>
    <s v="-"/>
    <s v="-"/>
    <s v="P"/>
    <s v="P"/>
    <s v="-"/>
    <n v="2"/>
    <n v="1"/>
    <n v="2"/>
    <n v="1"/>
    <s v="-"/>
    <s v="-"/>
    <s v="-"/>
    <s v="-"/>
    <s v="-"/>
    <s v="-"/>
    <s v="-"/>
    <n v="6"/>
    <n v="6"/>
    <s v="-"/>
    <n v="1"/>
    <n v="1"/>
    <n v="2"/>
    <n v="2"/>
    <n v="8"/>
    <n v="8"/>
  </r>
  <r>
    <x v="1"/>
    <x v="45"/>
    <s v="-"/>
    <s v="1ST"/>
    <s v="06:00"/>
    <n v="1"/>
    <x v="28"/>
    <n v="8.0999999999999996E-3"/>
    <s v="P"/>
    <s v="P"/>
    <s v="P"/>
    <s v="-"/>
    <s v="-"/>
    <n v="13.23"/>
    <n v="12.86"/>
    <n v="0.41"/>
    <n v="64.7"/>
    <s v="-"/>
    <s v="-"/>
    <n v="36"/>
    <s v="-"/>
    <s v="-"/>
    <s v="P"/>
    <s v="P"/>
    <n v="1"/>
    <n v="2"/>
    <n v="1"/>
    <n v="2"/>
    <n v="1"/>
    <n v="1"/>
    <n v="0"/>
    <n v="2"/>
    <s v="-"/>
    <s v="-"/>
    <n v="2"/>
    <s v="-"/>
    <n v="11"/>
    <n v="13"/>
    <s v="-"/>
    <n v="1"/>
    <n v="1"/>
    <n v="2"/>
    <n v="2"/>
    <n v="13"/>
    <n v="15"/>
  </r>
  <r>
    <x v="1"/>
    <x v="45"/>
    <d v="2026-02-24T00:00:00"/>
    <s v="1ST"/>
    <s v="07:00"/>
    <n v="1"/>
    <x v="28"/>
    <n v="3.2000000000000002E-3"/>
    <s v="P"/>
    <s v="P"/>
    <s v="P"/>
    <s v="-"/>
    <s v="-"/>
    <n v="13.31"/>
    <s v="-"/>
    <s v="-"/>
    <s v="-"/>
    <s v="-"/>
    <s v="-"/>
    <s v="-"/>
    <s v="-"/>
    <s v="-"/>
    <s v="P"/>
    <s v="P"/>
    <s v="-"/>
    <n v="2"/>
    <n v="1"/>
    <n v="2"/>
    <n v="1"/>
    <s v="-"/>
    <s v="-"/>
    <s v="-"/>
    <s v="-"/>
    <s v="-"/>
    <s v="-"/>
    <s v="-"/>
    <n v="6"/>
    <n v="6"/>
    <s v="-"/>
    <n v="1"/>
    <n v="1"/>
    <n v="2"/>
    <n v="2"/>
    <n v="8"/>
    <n v="8"/>
  </r>
  <r>
    <x v="1"/>
    <x v="45"/>
    <d v="2026-02-24T00:00:00"/>
    <s v="1ST"/>
    <s v="08:00"/>
    <n v="1"/>
    <x v="28"/>
    <n v="1.3299999999999999E-2"/>
    <s v="P"/>
    <s v="P"/>
    <s v="P"/>
    <s v="-"/>
    <s v="-"/>
    <n v="13.15"/>
    <s v="-"/>
    <s v="-"/>
    <s v="-"/>
    <s v="-"/>
    <s v="-"/>
    <s v="-"/>
    <s v="-"/>
    <s v="-"/>
    <s v="P"/>
    <s v="P"/>
    <s v="-"/>
    <n v="2"/>
    <n v="1"/>
    <n v="2"/>
    <n v="1"/>
    <s v="-"/>
    <s v="-"/>
    <s v="-"/>
    <s v="-"/>
    <s v="-"/>
    <s v="-"/>
    <s v="-"/>
    <n v="6"/>
    <n v="6"/>
    <s v="-"/>
    <n v="1"/>
    <n v="1"/>
    <n v="2"/>
    <n v="2"/>
    <n v="8"/>
    <n v="8"/>
  </r>
  <r>
    <x v="1"/>
    <x v="45"/>
    <d v="2026-02-24T00:00:00"/>
    <s v="1ST"/>
    <s v="10:00"/>
    <n v="1"/>
    <x v="28"/>
    <n v="1.03E-2"/>
    <s v="P"/>
    <s v="P"/>
    <s v="P"/>
    <s v="-"/>
    <s v="-"/>
    <n v="13.07"/>
    <s v="-"/>
    <s v="-"/>
    <s v="-"/>
    <s v="-"/>
    <s v="-"/>
    <s v="-"/>
    <s v="-"/>
    <s v="-"/>
    <s v="P"/>
    <s v="P"/>
    <s v="-"/>
    <n v="2"/>
    <n v="1"/>
    <n v="2"/>
    <n v="1"/>
    <s v="-"/>
    <s v="-"/>
    <s v="-"/>
    <s v="-"/>
    <s v="-"/>
    <s v="-"/>
    <s v="-"/>
    <n v="6"/>
    <n v="6"/>
    <s v="-"/>
    <n v="1"/>
    <n v="1"/>
    <n v="2"/>
    <n v="2"/>
    <n v="8"/>
    <n v="8"/>
  </r>
  <r>
    <x v="1"/>
    <x v="45"/>
    <d v="2026-02-24T00:00:00"/>
    <s v="1ST"/>
    <s v="11:00"/>
    <n v="1"/>
    <x v="28"/>
    <n v="1.2500000000000001E-2"/>
    <s v="P"/>
    <s v="P"/>
    <s v="P"/>
    <s v="-"/>
    <s v="-"/>
    <n v="12.92"/>
    <s v="-"/>
    <s v="-"/>
    <s v="-"/>
    <s v="-"/>
    <s v="-"/>
    <s v="-"/>
    <s v="-"/>
    <s v="-"/>
    <s v="P"/>
    <s v="P"/>
    <s v="-"/>
    <n v="2"/>
    <n v="1"/>
    <n v="2"/>
    <n v="1"/>
    <s v="-"/>
    <s v="-"/>
    <s v="-"/>
    <s v="-"/>
    <s v="-"/>
    <s v="-"/>
    <s v="-"/>
    <n v="6"/>
    <n v="6"/>
    <s v="-"/>
    <n v="1"/>
    <n v="1"/>
    <n v="2"/>
    <n v="2"/>
    <n v="8"/>
    <n v="8"/>
  </r>
  <r>
    <x v="1"/>
    <x v="45"/>
    <d v="2026-02-24T00:00:00"/>
    <s v="2ND"/>
    <d v="1899-12-30T15:00:00"/>
    <n v="1"/>
    <x v="28"/>
    <n v="8.0999999999999996E-3"/>
    <s v="P"/>
    <s v="P"/>
    <s v="P"/>
    <s v="-"/>
    <s v="-"/>
    <n v="12.88"/>
    <n v="12.9"/>
    <n v="0.41"/>
    <n v="64.7"/>
    <s v="-"/>
    <s v="-"/>
    <n v="36"/>
    <s v="-"/>
    <n v="25.2"/>
    <s v="P"/>
    <s v="P"/>
    <n v="1"/>
    <n v="2"/>
    <n v="1"/>
    <n v="2"/>
    <n v="1"/>
    <n v="1"/>
    <n v="0"/>
    <n v="2"/>
    <s v="-"/>
    <s v="-"/>
    <n v="2"/>
    <s v="-"/>
    <n v="11"/>
    <n v="13"/>
    <n v="1"/>
    <n v="1"/>
    <n v="1"/>
    <n v="3"/>
    <n v="3"/>
    <n v="14"/>
    <n v="16"/>
  </r>
  <r>
    <x v="1"/>
    <x v="45"/>
    <d v="2026-02-24T00:00:00"/>
    <s v="2ND"/>
    <d v="1899-12-30T16:00:00"/>
    <n v="1"/>
    <x v="28"/>
    <n v="9.4000000000000004E-3"/>
    <s v="P"/>
    <s v="P"/>
    <s v="P"/>
    <s v="-"/>
    <s v="-"/>
    <n v="12.86"/>
    <s v="-"/>
    <s v="-"/>
    <s v="-"/>
    <s v="-"/>
    <s v="-"/>
    <s v="-"/>
    <s v="-"/>
    <s v="-"/>
    <s v="P"/>
    <s v="P"/>
    <s v="-"/>
    <n v="2"/>
    <n v="1"/>
    <n v="2"/>
    <n v="1"/>
    <s v="-"/>
    <s v="-"/>
    <s v="-"/>
    <s v="-"/>
    <s v="-"/>
    <s v="-"/>
    <s v="-"/>
    <n v="6"/>
    <n v="6"/>
    <s v="-"/>
    <n v="1"/>
    <n v="1"/>
    <n v="2"/>
    <n v="2"/>
    <n v="8"/>
    <n v="8"/>
  </r>
  <r>
    <x v="1"/>
    <x v="45"/>
    <d v="2026-02-24T00:00:00"/>
    <s v="2ND"/>
    <d v="1899-12-30T17:00:00"/>
    <n v="1"/>
    <x v="28"/>
    <n v="4.1000000000000003E-3"/>
    <s v="P"/>
    <s v="P"/>
    <s v="P"/>
    <s v="-"/>
    <s v="-"/>
    <n v="12.81"/>
    <s v="-"/>
    <s v="-"/>
    <s v="-"/>
    <s v="-"/>
    <s v="-"/>
    <s v="-"/>
    <s v="-"/>
    <s v="-"/>
    <s v="P"/>
    <s v="P"/>
    <s v="-"/>
    <n v="2"/>
    <n v="1"/>
    <n v="2"/>
    <n v="1"/>
    <s v="-"/>
    <s v="-"/>
    <s v="-"/>
    <s v="-"/>
    <s v="-"/>
    <s v="-"/>
    <s v="-"/>
    <n v="6"/>
    <n v="6"/>
    <s v="-"/>
    <n v="1"/>
    <n v="1"/>
    <n v="2"/>
    <n v="2"/>
    <n v="8"/>
    <n v="8"/>
  </r>
  <r>
    <x v="1"/>
    <x v="45"/>
    <d v="2026-02-24T00:00:00"/>
    <s v="2ND"/>
    <d v="1899-12-30T19:00:00"/>
    <n v="1"/>
    <x v="28"/>
    <n v="4.7999999999999996E-3"/>
    <s v="P"/>
    <s v="P"/>
    <s v="P"/>
    <s v="-"/>
    <s v="-"/>
    <n v="13.09"/>
    <s v="-"/>
    <s v="-"/>
    <s v="-"/>
    <s v="-"/>
    <s v="-"/>
    <s v="-"/>
    <s v="-"/>
    <s v="-"/>
    <s v="P"/>
    <s v="P"/>
    <s v="-"/>
    <n v="2"/>
    <n v="1"/>
    <n v="2"/>
    <n v="1"/>
    <s v="-"/>
    <s v="-"/>
    <s v="-"/>
    <s v="-"/>
    <s v="-"/>
    <s v="-"/>
    <s v="-"/>
    <n v="6"/>
    <n v="6"/>
    <s v="-"/>
    <n v="1"/>
    <n v="1"/>
    <n v="2"/>
    <n v="2"/>
    <n v="8"/>
    <n v="8"/>
  </r>
  <r>
    <x v="1"/>
    <x v="45"/>
    <d v="2026-02-24T00:00:00"/>
    <s v="2ND"/>
    <d v="1899-12-30T20:00:00"/>
    <n v="1"/>
    <x v="28"/>
    <n v="5.3E-3"/>
    <s v="P"/>
    <s v="P"/>
    <s v="P"/>
    <s v="-"/>
    <s v="-"/>
    <n v="13.22"/>
    <s v="-"/>
    <s v="-"/>
    <s v="-"/>
    <s v="-"/>
    <s v="-"/>
    <s v="-"/>
    <s v="-"/>
    <s v="-"/>
    <s v="P"/>
    <s v="P"/>
    <s v="-"/>
    <n v="2"/>
    <n v="1"/>
    <n v="2"/>
    <n v="1"/>
    <s v="-"/>
    <s v="-"/>
    <s v="-"/>
    <s v="-"/>
    <s v="-"/>
    <s v="-"/>
    <s v="-"/>
    <n v="6"/>
    <n v="6"/>
    <s v="-"/>
    <n v="1"/>
    <n v="1"/>
    <n v="2"/>
    <n v="2"/>
    <n v="8"/>
    <n v="8"/>
  </r>
  <r>
    <x v="1"/>
    <x v="45"/>
    <d v="2026-02-24T00:00:00"/>
    <s v="2ND"/>
    <d v="1899-12-30T21:00:00"/>
    <n v="1"/>
    <x v="28"/>
    <n v="7.7000000000000002E-3"/>
    <s v="P"/>
    <s v="P"/>
    <s v="P"/>
    <s v="-"/>
    <s v="-"/>
    <n v="12.71"/>
    <s v="-"/>
    <s v="-"/>
    <s v="-"/>
    <s v="-"/>
    <s v="-"/>
    <s v="-"/>
    <s v="-"/>
    <s v="-"/>
    <s v="P"/>
    <s v="P"/>
    <s v="-"/>
    <n v="2"/>
    <n v="1"/>
    <n v="2"/>
    <n v="1"/>
    <s v="-"/>
    <s v="-"/>
    <s v="-"/>
    <s v="-"/>
    <s v="-"/>
    <s v="-"/>
    <s v="-"/>
    <n v="6"/>
    <n v="6"/>
    <s v="-"/>
    <n v="1"/>
    <n v="1"/>
    <n v="2"/>
    <n v="2"/>
    <n v="8"/>
    <n v="8"/>
  </r>
  <r>
    <x v="1"/>
    <x v="45"/>
    <s v="-"/>
    <s v="3RD"/>
    <d v="1899-12-30T22:00:00"/>
    <n v="1"/>
    <x v="28"/>
    <n v="8.0999999999999996E-3"/>
    <s v="P"/>
    <s v="P"/>
    <s v="P"/>
    <s v="-"/>
    <s v="-"/>
    <n v="13.18"/>
    <n v="8.5299999999999994"/>
    <n v="0.56999999999999995"/>
    <s v="-"/>
    <s v="-"/>
    <s v="-"/>
    <s v="-"/>
    <s v="-"/>
    <n v="25.17"/>
    <s v="P"/>
    <s v="P"/>
    <n v="1"/>
    <n v="2"/>
    <n v="1"/>
    <n v="2"/>
    <n v="1"/>
    <n v="0"/>
    <n v="0"/>
    <s v="-"/>
    <s v="-"/>
    <s v="-"/>
    <s v="-"/>
    <s v="-"/>
    <n v="6"/>
    <n v="9"/>
    <n v="1"/>
    <n v="1"/>
    <n v="1"/>
    <n v="3"/>
    <n v="3"/>
    <n v="9"/>
    <n v="12"/>
  </r>
  <r>
    <x v="1"/>
    <x v="45"/>
    <d v="2026-02-24T00:00:00"/>
    <s v="3RD"/>
    <d v="1899-12-30T23:00:00"/>
    <n v="1"/>
    <x v="28"/>
    <n v="7.7999999999999996E-3"/>
    <s v="P"/>
    <s v="P"/>
    <s v="P"/>
    <s v="-"/>
    <s v="-"/>
    <n v="12.34"/>
    <s v="-"/>
    <s v="-"/>
    <s v="-"/>
    <s v="-"/>
    <s v="-"/>
    <s v="-"/>
    <s v="-"/>
    <s v="-"/>
    <s v="P"/>
    <s v="P"/>
    <s v="-"/>
    <n v="2"/>
    <n v="1"/>
    <n v="2"/>
    <n v="1"/>
    <s v="-"/>
    <s v="-"/>
    <s v="-"/>
    <s v="-"/>
    <s v="-"/>
    <s v="-"/>
    <s v="-"/>
    <n v="6"/>
    <n v="6"/>
    <s v="-"/>
    <n v="1"/>
    <n v="1"/>
    <n v="2"/>
    <n v="2"/>
    <n v="8"/>
    <n v="8"/>
  </r>
  <r>
    <x v="1"/>
    <x v="45"/>
    <d v="1902-03-26T00:00:00"/>
    <s v="3RD"/>
    <d v="1899-12-31T01:00:00"/>
    <n v="2"/>
    <x v="15"/>
    <n v="6.0000000000000001E-3"/>
    <s v="P"/>
    <s v="P"/>
    <s v="P"/>
    <s v="-"/>
    <s v="+"/>
    <n v="11.2"/>
    <n v="8.27"/>
    <n v="0.55000000000000004"/>
    <n v="54.5"/>
    <s v="-"/>
    <s v="-"/>
    <n v="22.18"/>
    <s v="-"/>
    <s v="-"/>
    <s v="P"/>
    <s v="P"/>
    <s v="-"/>
    <n v="2"/>
    <n v="1"/>
    <n v="2"/>
    <n v="1"/>
    <n v="0"/>
    <n v="0"/>
    <n v="2"/>
    <s v="-"/>
    <s v="-"/>
    <n v="2"/>
    <s v="-"/>
    <n v="10"/>
    <n v="13"/>
    <s v="-"/>
    <n v="1"/>
    <n v="1"/>
    <n v="2"/>
    <n v="2"/>
    <n v="12"/>
    <n v="15"/>
  </r>
  <r>
    <x v="1"/>
    <x v="45"/>
    <d v="1899-12-30T00:00:00"/>
    <s v="3RD"/>
    <d v="1899-12-31T02:00:00"/>
    <n v="2"/>
    <x v="15"/>
    <n v="2.5000000000000001E-3"/>
    <s v="P"/>
    <s v="P"/>
    <s v="P"/>
    <s v="-"/>
    <s v="+"/>
    <n v="11.08"/>
    <s v="-"/>
    <s v="-"/>
    <s v="-"/>
    <s v="-"/>
    <s v="-"/>
    <s v="-"/>
    <s v="-"/>
    <s v="-"/>
    <s v="P"/>
    <s v="P"/>
    <s v="-"/>
    <n v="2"/>
    <n v="1"/>
    <n v="2"/>
    <n v="1"/>
    <s v="-"/>
    <s v="-"/>
    <s v="-"/>
    <s v="-"/>
    <s v="-"/>
    <s v="-"/>
    <s v="-"/>
    <n v="6"/>
    <n v="6"/>
    <s v="-"/>
    <n v="1"/>
    <n v="1"/>
    <n v="2"/>
    <n v="2"/>
    <n v="8"/>
    <n v="8"/>
  </r>
  <r>
    <x v="1"/>
    <x v="45"/>
    <d v="1899-12-30T00:00:00"/>
    <s v="3RD"/>
    <d v="1899-12-31T03:00:00"/>
    <n v="2"/>
    <x v="15"/>
    <n v="3.0000000000000001E-3"/>
    <s v="P"/>
    <s v="P"/>
    <s v="P"/>
    <s v="-"/>
    <s v="+"/>
    <n v="11.1"/>
    <s v="-"/>
    <s v="-"/>
    <s v="-"/>
    <s v="-"/>
    <s v="-"/>
    <s v="-"/>
    <s v="-"/>
    <s v="-"/>
    <s v="P"/>
    <s v="P"/>
    <s v="-"/>
    <n v="2"/>
    <n v="1"/>
    <n v="2"/>
    <n v="1"/>
    <s v="-"/>
    <s v="-"/>
    <s v="-"/>
    <s v="-"/>
    <s v="-"/>
    <s v="-"/>
    <s v="-"/>
    <n v="6"/>
    <n v="6"/>
    <s v="-"/>
    <n v="1"/>
    <n v="1"/>
    <n v="2"/>
    <n v="2"/>
    <n v="8"/>
    <n v="8"/>
  </r>
  <r>
    <x v="1"/>
    <x v="45"/>
    <d v="1899-12-30T00:00:00"/>
    <s v="3RD"/>
    <d v="1899-12-31T04:00:00"/>
    <n v="2"/>
    <x v="15"/>
    <n v="2.5999999999999999E-3"/>
    <s v="P"/>
    <s v="P"/>
    <s v="P"/>
    <s v="-"/>
    <s v="+"/>
    <n v="11"/>
    <s v="-"/>
    <s v="-"/>
    <s v="-"/>
    <s v="-"/>
    <s v="-"/>
    <s v="-"/>
    <s v="-"/>
    <s v="-"/>
    <s v="P"/>
    <s v="P"/>
    <s v="-"/>
    <n v="2"/>
    <n v="1"/>
    <n v="2"/>
    <n v="1"/>
    <s v="-"/>
    <s v="-"/>
    <s v="-"/>
    <s v="-"/>
    <s v="-"/>
    <s v="-"/>
    <s v="-"/>
    <n v="6"/>
    <n v="6"/>
    <s v="-"/>
    <n v="1"/>
    <n v="1"/>
    <n v="2"/>
    <n v="2"/>
    <n v="8"/>
    <n v="8"/>
  </r>
  <r>
    <x v="1"/>
    <x v="45"/>
    <d v="1899-12-30T00:00:00"/>
    <s v="3RD"/>
    <d v="1899-12-31T05:00:00"/>
    <n v="2"/>
    <x v="15"/>
    <n v="2.8999999999999998E-3"/>
    <s v="P"/>
    <s v="P"/>
    <s v="P"/>
    <s v="-"/>
    <s v="+"/>
    <n v="11.01"/>
    <s v="-"/>
    <s v="-"/>
    <s v="-"/>
    <s v="-"/>
    <s v="-"/>
    <s v="-"/>
    <s v="-"/>
    <s v="-"/>
    <s v="P"/>
    <s v="P"/>
    <s v="-"/>
    <n v="2"/>
    <n v="1"/>
    <n v="2"/>
    <n v="1"/>
    <s v="-"/>
    <s v="-"/>
    <s v="-"/>
    <s v="-"/>
    <s v="-"/>
    <s v="-"/>
    <s v="-"/>
    <n v="6"/>
    <n v="6"/>
    <s v="-"/>
    <n v="1"/>
    <n v="1"/>
    <n v="2"/>
    <n v="2"/>
    <n v="8"/>
    <n v="8"/>
  </r>
  <r>
    <x v="1"/>
    <x v="45"/>
    <d v="1899-12-30T00:00:00"/>
    <s v="1ST"/>
    <s v="06:00"/>
    <n v="2"/>
    <x v="35"/>
    <n v="1.5800000000000002E-2"/>
    <s v="P"/>
    <s v="P"/>
    <s v="P"/>
    <s v="+"/>
    <s v="+"/>
    <n v="11.78"/>
    <n v="12.73"/>
    <n v="0.46"/>
    <n v="65.099999999999994"/>
    <n v="17.600000000000001"/>
    <s v="-"/>
    <n v="35.700000000000003"/>
    <s v="-"/>
    <s v="-"/>
    <s v="P"/>
    <s v="P"/>
    <s v="-"/>
    <n v="2"/>
    <n v="1"/>
    <n v="2"/>
    <n v="0"/>
    <n v="1"/>
    <n v="0"/>
    <n v="2"/>
    <n v="0"/>
    <s v="-"/>
    <n v="2"/>
    <s v="-"/>
    <n v="10"/>
    <n v="14"/>
    <s v="-"/>
    <n v="1"/>
    <n v="1"/>
    <n v="2"/>
    <n v="2"/>
    <n v="12"/>
    <n v="16"/>
  </r>
  <r>
    <x v="1"/>
    <x v="45"/>
    <d v="1899-12-30T00:00:00"/>
    <s v="1ST"/>
    <s v="07:00"/>
    <n v="2"/>
    <x v="35"/>
    <n v="7.6E-3"/>
    <s v="P"/>
    <s v="P"/>
    <s v="P"/>
    <s v="+"/>
    <s v="+"/>
    <n v="12.75"/>
    <s v="-"/>
    <s v="-"/>
    <s v="-"/>
    <s v="-"/>
    <s v="-"/>
    <s v="-"/>
    <s v="-"/>
    <s v="-"/>
    <s v="P"/>
    <s v="P"/>
    <s v="-"/>
    <n v="2"/>
    <n v="1"/>
    <n v="2"/>
    <n v="0"/>
    <s v="-"/>
    <s v="-"/>
    <s v="-"/>
    <s v="-"/>
    <s v="-"/>
    <s v="-"/>
    <s v="-"/>
    <n v="5"/>
    <n v="6"/>
    <s v="-"/>
    <n v="1"/>
    <n v="1"/>
    <n v="2"/>
    <n v="2"/>
    <n v="7"/>
    <n v="8"/>
  </r>
  <r>
    <x v="1"/>
    <x v="45"/>
    <d v="1899-12-30T00:00:00"/>
    <s v="1ST"/>
    <s v="08:00"/>
    <n v="2"/>
    <x v="35"/>
    <n v="9.4999999999999998E-3"/>
    <s v="P"/>
    <s v="P"/>
    <s v="P"/>
    <s v="+"/>
    <s v="+"/>
    <n v="12.49"/>
    <s v="-"/>
    <s v="-"/>
    <s v="-"/>
    <s v="-"/>
    <s v="-"/>
    <s v="-"/>
    <s v="-"/>
    <s v="-"/>
    <s v="P"/>
    <s v="P"/>
    <s v="-"/>
    <n v="2"/>
    <n v="1"/>
    <n v="2"/>
    <n v="0"/>
    <s v="-"/>
    <s v="-"/>
    <s v="-"/>
    <s v="-"/>
    <s v="-"/>
    <s v="-"/>
    <s v="-"/>
    <n v="5"/>
    <n v="6"/>
    <s v="-"/>
    <n v="1"/>
    <n v="1"/>
    <n v="2"/>
    <n v="2"/>
    <n v="7"/>
    <n v="8"/>
  </r>
  <r>
    <x v="1"/>
    <x v="45"/>
    <d v="1899-12-30T00:00:00"/>
    <s v="1ST"/>
    <s v="10:00"/>
    <n v="2"/>
    <x v="35"/>
    <n v="1.2500000000000001E-2"/>
    <s v="P"/>
    <s v="P"/>
    <s v="P"/>
    <s v="+"/>
    <s v="+"/>
    <n v="12.45"/>
    <s v="-"/>
    <s v="-"/>
    <s v="-"/>
    <s v="-"/>
    <s v="-"/>
    <s v="-"/>
    <s v="-"/>
    <s v="-"/>
    <s v="P"/>
    <s v="P"/>
    <s v="-"/>
    <n v="2"/>
    <n v="1"/>
    <n v="2"/>
    <n v="0"/>
    <s v="-"/>
    <s v="-"/>
    <s v="-"/>
    <s v="-"/>
    <s v="-"/>
    <s v="-"/>
    <s v="-"/>
    <n v="5"/>
    <n v="6"/>
    <s v="-"/>
    <n v="1"/>
    <n v="1"/>
    <n v="2"/>
    <n v="2"/>
    <n v="7"/>
    <n v="8"/>
  </r>
  <r>
    <x v="1"/>
    <x v="45"/>
    <d v="1899-12-30T00:00:00"/>
    <s v="1ST"/>
    <s v="11:00"/>
    <n v="2"/>
    <x v="35"/>
    <n v="6.6E-3"/>
    <s v="P"/>
    <s v="P"/>
    <s v="P"/>
    <s v="+"/>
    <s v="+"/>
    <n v="12.59"/>
    <s v="-"/>
    <s v="-"/>
    <s v="-"/>
    <s v="-"/>
    <s v="-"/>
    <s v="-"/>
    <s v="-"/>
    <s v="-"/>
    <s v="P"/>
    <s v="P"/>
    <s v="-"/>
    <n v="2"/>
    <n v="1"/>
    <n v="2"/>
    <n v="0"/>
    <s v="-"/>
    <s v="-"/>
    <s v="-"/>
    <s v="-"/>
    <s v="-"/>
    <s v="-"/>
    <s v="-"/>
    <n v="5"/>
    <n v="6"/>
    <s v="-"/>
    <n v="1"/>
    <n v="1"/>
    <n v="2"/>
    <n v="2"/>
    <n v="7"/>
    <n v="8"/>
  </r>
  <r>
    <x v="1"/>
    <x v="45"/>
    <d v="1899-12-30T00:00:00"/>
    <s v="1ST"/>
    <s v="13:00"/>
    <n v="2"/>
    <x v="35"/>
    <n v="6.4000000000000003E-3"/>
    <s v="P"/>
    <s v="P"/>
    <s v="P"/>
    <s v="+"/>
    <s v="+"/>
    <n v="12.73"/>
    <s v="-"/>
    <s v="-"/>
    <s v="-"/>
    <s v="-"/>
    <s v="-"/>
    <s v="-"/>
    <s v="-"/>
    <s v="-"/>
    <s v="P"/>
    <s v="P"/>
    <s v="-"/>
    <n v="2"/>
    <n v="1"/>
    <n v="2"/>
    <n v="0"/>
    <s v="-"/>
    <s v="-"/>
    <s v="-"/>
    <s v="-"/>
    <s v="-"/>
    <s v="-"/>
    <s v="-"/>
    <n v="5"/>
    <n v="6"/>
    <s v="-"/>
    <n v="1"/>
    <n v="1"/>
    <n v="2"/>
    <n v="2"/>
    <n v="7"/>
    <n v="8"/>
  </r>
  <r>
    <x v="1"/>
    <x v="45"/>
    <d v="1902-03-26T00:00:00"/>
    <s v="2ND"/>
    <d v="1899-12-30T15:00:00"/>
    <n v="2"/>
    <x v="35"/>
    <n v="4.1999999999999997E-3"/>
    <s v="P"/>
    <s v="P"/>
    <s v="P"/>
    <s v="-"/>
    <s v="+"/>
    <n v="12.13"/>
    <n v="12.73"/>
    <n v="0.46"/>
    <s v="-"/>
    <s v="-"/>
    <s v="-"/>
    <n v="35.700000000000003"/>
    <s v="-"/>
    <n v="25.21"/>
    <s v="P"/>
    <s v="P"/>
    <s v="-"/>
    <n v="2"/>
    <n v="1"/>
    <n v="2"/>
    <n v="0"/>
    <n v="1"/>
    <n v="0"/>
    <s v="-"/>
    <s v="-"/>
    <s v="-"/>
    <n v="2"/>
    <s v="-"/>
    <n v="8"/>
    <n v="11"/>
    <n v="1"/>
    <n v="1"/>
    <n v="1"/>
    <n v="3"/>
    <n v="3"/>
    <n v="11"/>
    <n v="14"/>
  </r>
  <r>
    <x v="1"/>
    <x v="45"/>
    <d v="1899-12-30T00:00:00"/>
    <s v="2ND"/>
    <d v="1899-12-30T16:00:00"/>
    <n v="2"/>
    <x v="35"/>
    <n v="7.0000000000000001E-3"/>
    <s v="P"/>
    <s v="P"/>
    <s v="P"/>
    <s v="-"/>
    <s v="+"/>
    <n v="12.28"/>
    <s v="-"/>
    <s v="-"/>
    <s v="-"/>
    <s v="-"/>
    <s v="-"/>
    <s v="-"/>
    <s v="-"/>
    <s v="-"/>
    <s v="P"/>
    <s v="P"/>
    <s v="-"/>
    <n v="2"/>
    <n v="1"/>
    <n v="2"/>
    <n v="0"/>
    <s v="-"/>
    <s v="-"/>
    <s v="-"/>
    <s v="-"/>
    <s v="-"/>
    <s v="-"/>
    <s v="-"/>
    <n v="5"/>
    <n v="6"/>
    <s v="-"/>
    <n v="1"/>
    <n v="1"/>
    <n v="2"/>
    <n v="2"/>
    <n v="7"/>
    <n v="8"/>
  </r>
  <r>
    <x v="1"/>
    <x v="45"/>
    <d v="2026-02-20T00:00:00"/>
    <s v="3RD"/>
    <d v="1899-12-31T00:00:00"/>
    <n v="1"/>
    <x v="22"/>
    <n v="6.4999999999999997E-3"/>
    <s v="P"/>
    <s v="P"/>
    <s v="P"/>
    <s v="-"/>
    <s v="-"/>
    <n v="12.28"/>
    <s v="-"/>
    <s v="-"/>
    <s v="-"/>
    <s v="-"/>
    <s v="-"/>
    <s v="-"/>
    <s v="-"/>
    <s v="-"/>
    <s v="P"/>
    <s v="P"/>
    <n v="1"/>
    <n v="2"/>
    <n v="1"/>
    <n v="2"/>
    <n v="1"/>
    <s v="-"/>
    <s v="-"/>
    <s v="-"/>
    <s v="-"/>
    <s v="-"/>
    <s v="-"/>
    <s v="-"/>
    <n v="6"/>
    <n v="6"/>
    <s v="-"/>
    <n v="1"/>
    <n v="1"/>
    <n v="2"/>
    <n v="2"/>
    <n v="8"/>
    <n v="8"/>
  </r>
  <r>
    <x v="1"/>
    <x v="45"/>
    <d v="2026-02-20T00:00:00"/>
    <s v="3RD"/>
    <d v="1899-12-31T01:00:00"/>
    <n v="1"/>
    <x v="22"/>
    <n v="7.0000000000000001E-3"/>
    <s v="P"/>
    <s v="P"/>
    <s v="P"/>
    <s v="-"/>
    <s v="-"/>
    <n v="11.55"/>
    <s v="-"/>
    <s v="-"/>
    <s v="-"/>
    <s v="-"/>
    <s v="-"/>
    <s v="-"/>
    <s v="-"/>
    <s v="-"/>
    <s v="P"/>
    <s v="P"/>
    <s v="-"/>
    <n v="2"/>
    <n v="1"/>
    <n v="2"/>
    <n v="1"/>
    <s v="-"/>
    <s v="-"/>
    <s v="-"/>
    <s v="-"/>
    <s v="-"/>
    <s v="-"/>
    <s v="-"/>
    <n v="6"/>
    <n v="6"/>
    <s v="-"/>
    <n v="1"/>
    <n v="1"/>
    <n v="2"/>
    <n v="2"/>
    <n v="8"/>
    <n v="8"/>
  </r>
  <r>
    <x v="1"/>
    <x v="45"/>
    <d v="2026-02-20T00:00:00"/>
    <s v="3RD"/>
    <d v="1899-12-31T02:00:00"/>
    <n v="1"/>
    <x v="22"/>
    <n v="2.8E-3"/>
    <s v="P"/>
    <s v="P"/>
    <s v="P"/>
    <s v="-"/>
    <s v="-"/>
    <n v="11.72"/>
    <s v="-"/>
    <s v="-"/>
    <s v="-"/>
    <s v="-"/>
    <s v="-"/>
    <s v="-"/>
    <s v="-"/>
    <s v="-"/>
    <s v="P"/>
    <s v="P"/>
    <s v="-"/>
    <n v="2"/>
    <n v="1"/>
    <n v="2"/>
    <n v="1"/>
    <s v="-"/>
    <s v="-"/>
    <s v="-"/>
    <s v="-"/>
    <s v="-"/>
    <s v="-"/>
    <s v="-"/>
    <n v="6"/>
    <n v="6"/>
    <s v="-"/>
    <n v="1"/>
    <n v="1"/>
    <n v="2"/>
    <n v="2"/>
    <n v="8"/>
    <n v="8"/>
  </r>
  <r>
    <x v="1"/>
    <x v="45"/>
    <d v="2026-02-20T00:00:00"/>
    <s v="3RD"/>
    <d v="1899-12-31T03:00:00"/>
    <n v="1"/>
    <x v="22"/>
    <n v="3.0999999999999999E-3"/>
    <s v="P"/>
    <s v="P"/>
    <s v="P"/>
    <s v="-"/>
    <s v="-"/>
    <n v="11.6"/>
    <s v="-"/>
    <s v="-"/>
    <s v="-"/>
    <s v="-"/>
    <s v="-"/>
    <s v="-"/>
    <s v="-"/>
    <s v="-"/>
    <s v="P"/>
    <s v="P"/>
    <s v="-"/>
    <n v="2"/>
    <n v="1"/>
    <n v="2"/>
    <n v="1"/>
    <s v="-"/>
    <s v="-"/>
    <s v="-"/>
    <s v="-"/>
    <s v="-"/>
    <s v="-"/>
    <s v="-"/>
    <n v="6"/>
    <n v="6"/>
    <s v="-"/>
    <n v="1"/>
    <n v="1"/>
    <n v="2"/>
    <n v="2"/>
    <n v="8"/>
    <n v="8"/>
  </r>
  <r>
    <x v="1"/>
    <x v="45"/>
    <d v="2026-02-20T00:00:00"/>
    <s v="3RD"/>
    <d v="1899-12-31T04:00:00"/>
    <n v="1"/>
    <x v="22"/>
    <n v="3.2000000000000002E-3"/>
    <s v="P"/>
    <s v="P"/>
    <s v="P"/>
    <s v="-"/>
    <s v="-"/>
    <n v="11.66"/>
    <s v="-"/>
    <s v="-"/>
    <s v="-"/>
    <s v="-"/>
    <s v="-"/>
    <s v="-"/>
    <s v="-"/>
    <s v="-"/>
    <s v="P"/>
    <s v="P"/>
    <s v="-"/>
    <n v="2"/>
    <n v="1"/>
    <n v="2"/>
    <n v="1"/>
    <s v="-"/>
    <s v="-"/>
    <s v="-"/>
    <s v="-"/>
    <s v="-"/>
    <s v="-"/>
    <s v="-"/>
    <n v="6"/>
    <n v="6"/>
    <s v="-"/>
    <n v="1"/>
    <n v="1"/>
    <n v="2"/>
    <n v="2"/>
    <n v="8"/>
    <n v="8"/>
  </r>
  <r>
    <x v="1"/>
    <x v="45"/>
    <d v="2026-02-20T00:00:00"/>
    <s v="3RD"/>
    <d v="1899-12-31T05:00:00"/>
    <n v="1"/>
    <x v="22"/>
    <n v="3.7000000000000002E-3"/>
    <s v="P"/>
    <s v="P"/>
    <s v="P"/>
    <s v="-"/>
    <s v="-"/>
    <n v="11.61"/>
    <s v="-"/>
    <s v="-"/>
    <s v="-"/>
    <s v="-"/>
    <s v="-"/>
    <s v="-"/>
    <s v="-"/>
    <s v="-"/>
    <s v="P"/>
    <s v="P"/>
    <s v="-"/>
    <n v="2"/>
    <n v="1"/>
    <n v="2"/>
    <n v="1"/>
    <s v="-"/>
    <s v="-"/>
    <s v="-"/>
    <s v="-"/>
    <s v="-"/>
    <s v="-"/>
    <s v="-"/>
    <n v="6"/>
    <n v="6"/>
    <s v="-"/>
    <n v="1"/>
    <n v="1"/>
    <n v="2"/>
    <n v="2"/>
    <n v="8"/>
    <n v="8"/>
  </r>
  <r>
    <x v="1"/>
    <x v="46"/>
    <d v="2026-02-14T00:00:00"/>
    <s v="2ND"/>
    <d v="1899-12-30T18:00:00"/>
    <n v="3"/>
    <x v="6"/>
    <n v="6.0000000000000001E-3"/>
    <s v="P"/>
    <s v="P"/>
    <s v="P"/>
    <s v="+"/>
    <s v="+"/>
    <n v="12.88"/>
    <s v="-"/>
    <s v="-"/>
    <s v="-"/>
    <s v="-"/>
    <s v="-"/>
    <s v="-"/>
    <s v="-"/>
    <s v="-"/>
    <s v="P"/>
    <s v="P"/>
    <s v="-"/>
    <n v="2"/>
    <n v="1"/>
    <n v="2"/>
    <n v="1"/>
    <s v="-"/>
    <s v="-"/>
    <s v="-"/>
    <s v="-"/>
    <s v="-"/>
    <s v="-"/>
    <s v="-"/>
    <n v="6"/>
    <n v="6"/>
    <s v="-"/>
    <n v="1"/>
    <n v="1"/>
    <n v="2"/>
    <n v="2"/>
    <n v="8"/>
    <n v="8"/>
  </r>
  <r>
    <x v="1"/>
    <x v="46"/>
    <d v="1899-12-30T00:00:00"/>
    <s v="1ST"/>
    <s v="07:00"/>
    <n v="2"/>
    <x v="7"/>
    <n v="8.3999999999999995E-3"/>
    <s v="P"/>
    <s v="P"/>
    <s v="P"/>
    <s v="-"/>
    <s v="+"/>
    <n v="10.86"/>
    <n v="8.35"/>
    <n v="0.57999999999999996"/>
    <n v="56.1"/>
    <s v="-"/>
    <s v="-"/>
    <n v="22.5"/>
    <s v="-"/>
    <s v="-"/>
    <s v="P"/>
    <s v="P"/>
    <s v="60% 10% 30%"/>
    <n v="2"/>
    <n v="1"/>
    <n v="2"/>
    <n v="0"/>
    <n v="0"/>
    <n v="2"/>
    <n v="2"/>
    <s v="-"/>
    <s v="-"/>
    <n v="2"/>
    <s v="-"/>
    <n v="11"/>
    <n v="13"/>
    <s v="-"/>
    <n v="1"/>
    <n v="1"/>
    <n v="2"/>
    <n v="2"/>
    <n v="13"/>
    <n v="15"/>
  </r>
  <r>
    <x v="1"/>
    <x v="46"/>
    <d v="1899-12-30T00:00:00"/>
    <s v="1ST"/>
    <s v="08:00"/>
    <n v="2"/>
    <x v="7"/>
    <n v="1.9800000000000002E-2"/>
    <s v="P"/>
    <s v="P"/>
    <s v="P"/>
    <s v="-"/>
    <s v="+"/>
    <n v="10.79"/>
    <n v="8.61"/>
    <n v="0.51"/>
    <n v="55.9"/>
    <s v="-"/>
    <s v="-"/>
    <n v="23.29"/>
    <s v="-"/>
    <s v="-"/>
    <s v="P"/>
    <s v="P"/>
    <s v="-"/>
    <n v="2"/>
    <n v="1"/>
    <n v="2"/>
    <n v="0"/>
    <n v="1"/>
    <n v="2"/>
    <n v="0"/>
    <s v="-"/>
    <s v="-"/>
    <n v="2"/>
    <s v="-"/>
    <n v="10"/>
    <n v="13"/>
    <s v="-"/>
    <n v="1"/>
    <n v="1"/>
    <n v="2"/>
    <n v="2"/>
    <n v="12"/>
    <n v="15"/>
  </r>
  <r>
    <x v="1"/>
    <x v="46"/>
    <d v="1899-12-30T00:00:00"/>
    <s v="1ST"/>
    <s v="09:00"/>
    <n v="2"/>
    <x v="7"/>
    <n v="1.01E-2"/>
    <s v="P"/>
    <s v="P"/>
    <s v="P"/>
    <s v="-"/>
    <s v="+"/>
    <n v="11.15"/>
    <s v="-"/>
    <s v="-"/>
    <s v="-"/>
    <s v="-"/>
    <s v="-"/>
    <s v="-"/>
    <s v="-"/>
    <s v="-"/>
    <s v="P"/>
    <s v="P"/>
    <s v="-"/>
    <n v="2"/>
    <n v="1"/>
    <n v="2"/>
    <n v="1"/>
    <s v="-"/>
    <s v="-"/>
    <s v="-"/>
    <s v="-"/>
    <s v="-"/>
    <s v="-"/>
    <s v="-"/>
    <n v="6"/>
    <n v="6"/>
    <s v="-"/>
    <n v="1"/>
    <n v="1"/>
    <n v="2"/>
    <n v="2"/>
    <n v="8"/>
    <n v="8"/>
  </r>
  <r>
    <x v="1"/>
    <x v="46"/>
    <d v="1899-12-30T00:00:00"/>
    <s v="1ST"/>
    <s v="11:00"/>
    <n v="2"/>
    <x v="7"/>
    <n v="1.37E-2"/>
    <s v="P"/>
    <s v="P"/>
    <s v="P"/>
    <s v="-"/>
    <s v="+"/>
    <n v="11.04"/>
    <s v="-"/>
    <s v="-"/>
    <s v="-"/>
    <s v="-"/>
    <s v="-"/>
    <s v="-"/>
    <s v="-"/>
    <s v="-"/>
    <s v="P"/>
    <s v="P"/>
    <s v="-"/>
    <n v="2"/>
    <n v="1"/>
    <n v="2"/>
    <n v="1"/>
    <s v="-"/>
    <s v="-"/>
    <s v="-"/>
    <s v="-"/>
    <s v="-"/>
    <s v="-"/>
    <s v="-"/>
    <n v="6"/>
    <n v="6"/>
    <s v="-"/>
    <n v="1"/>
    <n v="1"/>
    <n v="2"/>
    <n v="2"/>
    <n v="8"/>
    <n v="8"/>
  </r>
  <r>
    <x v="1"/>
    <x v="46"/>
    <d v="1899-12-30T00:00:00"/>
    <s v="1ST"/>
    <s v="12:00"/>
    <n v="2"/>
    <x v="7"/>
    <n v="1.17E-2"/>
    <s v="P"/>
    <s v="P"/>
    <s v="P"/>
    <s v="-"/>
    <s v="+"/>
    <n v="11.11"/>
    <s v="-"/>
    <s v="-"/>
    <s v="-"/>
    <s v="-"/>
    <s v="-"/>
    <s v="-"/>
    <s v="-"/>
    <s v="-"/>
    <s v="P"/>
    <s v="P"/>
    <n v="1"/>
    <n v="2"/>
    <n v="1"/>
    <n v="2"/>
    <n v="1"/>
    <s v="-"/>
    <s v="-"/>
    <s v="-"/>
    <s v="-"/>
    <s v="-"/>
    <s v="-"/>
    <s v="-"/>
    <n v="6"/>
    <n v="6"/>
    <s v="-"/>
    <n v="1"/>
    <n v="1"/>
    <n v="2"/>
    <n v="2"/>
    <n v="8"/>
    <n v="8"/>
  </r>
  <r>
    <x v="1"/>
    <x v="46"/>
    <d v="2026-02-25T00:00:00"/>
    <s v="3RD"/>
    <d v="1899-12-31T04:00:00"/>
    <n v="3"/>
    <x v="32"/>
    <n v="5.1999999999999998E-3"/>
    <s v="P"/>
    <s v="P"/>
    <s v="P"/>
    <s v="+"/>
    <s v="+"/>
    <n v="12.69"/>
    <s v="-"/>
    <s v="-"/>
    <s v="-"/>
    <s v="-"/>
    <s v="-"/>
    <s v="-"/>
    <s v="-"/>
    <s v="-"/>
    <s v="P"/>
    <s v="P"/>
    <n v="1"/>
    <n v="2"/>
    <n v="1"/>
    <n v="2"/>
    <n v="1"/>
    <s v="-"/>
    <s v="-"/>
    <s v="-"/>
    <s v="-"/>
    <s v="-"/>
    <s v="-"/>
    <s v="-"/>
    <n v="6"/>
    <n v="6"/>
    <s v="-"/>
    <n v="1"/>
    <n v="1"/>
    <n v="2"/>
    <n v="2"/>
    <n v="8"/>
    <n v="8"/>
  </r>
  <r>
    <x v="1"/>
    <x v="46"/>
    <d v="2026-02-25T00:00:00"/>
    <s v="3RD"/>
    <d v="1899-12-31T05:00:00"/>
    <n v="3"/>
    <x v="10"/>
    <n v="1.8E-3"/>
    <s v="P"/>
    <s v="P"/>
    <s v="P"/>
    <s v="+"/>
    <s v="+"/>
    <n v="12.67"/>
    <s v="-"/>
    <s v="-"/>
    <s v="-"/>
    <s v="-"/>
    <s v="-"/>
    <s v="-"/>
    <s v="-"/>
    <s v="-"/>
    <s v="P"/>
    <s v="P"/>
    <s v="-"/>
    <n v="2"/>
    <n v="1"/>
    <n v="2"/>
    <n v="1"/>
    <s v="-"/>
    <s v="-"/>
    <s v="-"/>
    <s v="-"/>
    <s v="-"/>
    <s v="-"/>
    <s v="-"/>
    <n v="6"/>
    <n v="6"/>
    <s v="-"/>
    <n v="1"/>
    <n v="1"/>
    <n v="2"/>
    <n v="2"/>
    <n v="8"/>
    <n v="8"/>
  </r>
  <r>
    <x v="1"/>
    <x v="46"/>
    <d v="1902-03-25T00:00:00"/>
    <s v="2ND"/>
    <d v="1899-12-30T20:00:00"/>
    <n v="2"/>
    <x v="23"/>
    <n v="2.0999999999999999E-3"/>
    <s v="P"/>
    <s v="P"/>
    <s v="P"/>
    <s v="-"/>
    <s v="-"/>
    <n v="11.74"/>
    <n v="12"/>
    <s v="-"/>
    <s v="-"/>
    <s v="-"/>
    <s v="-"/>
    <n v="33.6"/>
    <s v="-"/>
    <s v="-"/>
    <s v="P"/>
    <s v="P"/>
    <s v="-"/>
    <n v="2"/>
    <n v="1"/>
    <n v="2"/>
    <n v="0"/>
    <n v="1"/>
    <s v="-"/>
    <s v="-"/>
    <s v="-"/>
    <s v="-"/>
    <n v="2"/>
    <s v="-"/>
    <n v="8"/>
    <n v="9"/>
    <s v="-"/>
    <n v="1"/>
    <n v="1"/>
    <n v="2"/>
    <n v="2"/>
    <n v="10"/>
    <n v="11"/>
  </r>
  <r>
    <x v="1"/>
    <x v="46"/>
    <d v="1902-03-25T00:00:00"/>
    <s v="3RD"/>
    <d v="1899-12-30T22:00:00"/>
    <n v="2"/>
    <x v="23"/>
    <n v="2.5999999999999999E-3"/>
    <s v="P"/>
    <s v="P"/>
    <s v="P"/>
    <s v="-"/>
    <s v="-"/>
    <n v="12.51"/>
    <n v="12.04"/>
    <n v="0.4"/>
    <s v="-"/>
    <s v="-"/>
    <s v="-"/>
    <n v="33.5"/>
    <s v="-"/>
    <n v="25.19"/>
    <s v="P"/>
    <s v="P"/>
    <s v="-"/>
    <n v="2"/>
    <n v="1"/>
    <n v="2"/>
    <n v="1"/>
    <n v="0"/>
    <n v="2"/>
    <s v="-"/>
    <s v="-"/>
    <s v="-"/>
    <n v="2"/>
    <s v="-"/>
    <n v="10"/>
    <n v="11"/>
    <n v="1"/>
    <n v="1"/>
    <n v="1"/>
    <n v="3"/>
    <n v="3"/>
    <n v="13"/>
    <n v="14"/>
  </r>
  <r>
    <x v="1"/>
    <x v="46"/>
    <d v="1899-12-30T00:00:00"/>
    <s v="3RD"/>
    <d v="1899-12-31T00:00:00"/>
    <n v="2"/>
    <x v="23"/>
    <n v="3.0000000000000001E-3"/>
    <s v="P"/>
    <s v="P"/>
    <s v="P"/>
    <s v="-"/>
    <s v="-"/>
    <s v="-"/>
    <s v="-"/>
    <s v="-"/>
    <s v="-"/>
    <s v="-"/>
    <s v="-"/>
    <s v="-"/>
    <s v="-"/>
    <s v="-"/>
    <s v="P"/>
    <s v="P"/>
    <s v="-"/>
    <n v="2"/>
    <n v="1"/>
    <n v="2"/>
    <s v="-"/>
    <s v="-"/>
    <s v="-"/>
    <s v="-"/>
    <s v="-"/>
    <s v="-"/>
    <s v="-"/>
    <s v="-"/>
    <n v="5"/>
    <n v="5"/>
    <s v="-"/>
    <n v="1"/>
    <n v="1"/>
    <n v="2"/>
    <n v="2"/>
    <n v="7"/>
    <n v="7"/>
  </r>
  <r>
    <x v="1"/>
    <x v="46"/>
    <d v="2026-02-25T00:00:00"/>
    <s v="3RD"/>
    <d v="1899-12-31T00:00:00"/>
    <n v="3"/>
    <x v="11"/>
    <n v="8.5000000000000006E-3"/>
    <s v="P"/>
    <s v="P"/>
    <s v="P"/>
    <s v="+"/>
    <s v="+"/>
    <n v="12.77"/>
    <n v="13.39"/>
    <s v="-"/>
    <n v="65.099999999999994"/>
    <s v="-"/>
    <s v="-"/>
    <n v="37.700000000000003"/>
    <s v="-"/>
    <s v="-"/>
    <s v="P"/>
    <s v="P"/>
    <n v="1"/>
    <n v="2"/>
    <n v="1"/>
    <n v="2"/>
    <n v="1"/>
    <n v="1"/>
    <s v="-"/>
    <n v="2"/>
    <s v="-"/>
    <s v="-"/>
    <n v="2"/>
    <s v="-"/>
    <n v="11"/>
    <n v="11"/>
    <s v="-"/>
    <n v="1"/>
    <n v="1"/>
    <n v="2"/>
    <n v="2"/>
    <n v="13"/>
    <n v="13"/>
  </r>
  <r>
    <x v="1"/>
    <x v="46"/>
    <d v="2026-02-14T00:00:00"/>
    <s v="1ST"/>
    <s v="08:00"/>
    <s v="Retail"/>
    <x v="24"/>
    <s v="-"/>
    <s v="-"/>
    <s v="P"/>
    <s v="P"/>
    <s v="+"/>
    <s v="+"/>
    <n v="12.79"/>
    <n v="15.72"/>
    <s v="-"/>
    <s v="-"/>
    <s v="-"/>
    <s v="-"/>
    <n v="44.68"/>
    <s v="-"/>
    <s v="-"/>
    <s v="P"/>
    <s v="P"/>
    <s v="-"/>
    <s v="-"/>
    <s v="-"/>
    <n v="2"/>
    <n v="1"/>
    <n v="1"/>
    <s v="-"/>
    <s v="-"/>
    <s v="-"/>
    <s v="-"/>
    <s v="-"/>
    <s v="-"/>
    <n v="4"/>
    <n v="4"/>
    <s v="-"/>
    <n v="1"/>
    <n v="1"/>
    <n v="2"/>
    <n v="2"/>
    <n v="6"/>
    <n v="6"/>
  </r>
  <r>
    <x v="1"/>
    <x v="46"/>
    <d v="2026-02-14T00:00:00"/>
    <s v="1ST"/>
    <s v="11:00"/>
    <s v="Retail"/>
    <x v="24"/>
    <s v="-"/>
    <s v="-"/>
    <s v="P"/>
    <s v="P"/>
    <s v="+"/>
    <s v="+"/>
    <n v="12.41"/>
    <s v="-"/>
    <s v="-"/>
    <s v="-"/>
    <s v="-"/>
    <s v="-"/>
    <s v="-"/>
    <s v="-"/>
    <s v="-"/>
    <s v="P"/>
    <s v="P"/>
    <s v="-"/>
    <s v="-"/>
    <s v="-"/>
    <n v="2"/>
    <n v="1"/>
    <s v="-"/>
    <s v="-"/>
    <s v="-"/>
    <s v="-"/>
    <s v="-"/>
    <s v="-"/>
    <s v="-"/>
    <n v="3"/>
    <n v="3"/>
    <s v="-"/>
    <n v="1"/>
    <n v="1"/>
    <n v="2"/>
    <n v="2"/>
    <n v="5"/>
    <n v="5"/>
  </r>
  <r>
    <x v="1"/>
    <x v="46"/>
    <d v="2026-02-14T00:00:00"/>
    <s v="1ST"/>
    <s v="12:00"/>
    <s v="Retail"/>
    <x v="24"/>
    <s v="-"/>
    <s v="-"/>
    <s v="P"/>
    <s v="P"/>
    <s v="+"/>
    <s v="+"/>
    <n v="12.8"/>
    <s v="-"/>
    <s v="-"/>
    <s v="-"/>
    <s v="-"/>
    <s v="-"/>
    <s v="-"/>
    <s v="-"/>
    <s v="-"/>
    <s v="-"/>
    <s v="-"/>
    <s v="-"/>
    <s v="-"/>
    <s v="-"/>
    <n v="2"/>
    <n v="1"/>
    <s v="-"/>
    <s v="-"/>
    <s v="-"/>
    <s v="-"/>
    <s v="-"/>
    <s v="-"/>
    <s v="-"/>
    <n v="3"/>
    <n v="3"/>
    <s v="-"/>
    <s v="-"/>
    <s v="-"/>
    <n v="0"/>
    <n v="0"/>
    <n v="3"/>
    <n v="3"/>
  </r>
  <r>
    <x v="1"/>
    <x v="46"/>
    <d v="2026-02-14T00:00:00"/>
    <s v="1ST"/>
    <s v="12:00"/>
    <n v="3"/>
    <x v="30"/>
    <n v="1.9E-3"/>
    <s v="P"/>
    <s v="P"/>
    <s v="P"/>
    <s v="+"/>
    <s v="+"/>
    <n v="12.45"/>
    <n v="12.56"/>
    <s v="-"/>
    <s v="-"/>
    <s v="-"/>
    <s v="-"/>
    <n v="34.9"/>
    <s v="-"/>
    <s v="-"/>
    <s v="P"/>
    <s v="P"/>
    <s v="70% 10% 20%"/>
    <n v="2"/>
    <n v="1"/>
    <n v="2"/>
    <n v="1"/>
    <n v="1"/>
    <s v="-"/>
    <s v="-"/>
    <s v="-"/>
    <s v="-"/>
    <n v="2"/>
    <s v="-"/>
    <n v="9"/>
    <n v="9"/>
    <s v="-"/>
    <n v="1"/>
    <n v="1"/>
    <n v="2"/>
    <n v="2"/>
    <n v="11"/>
    <n v="11"/>
  </r>
  <r>
    <x v="1"/>
    <x v="46"/>
    <d v="2026-02-14T00:00:00"/>
    <s v="2ND"/>
    <d v="1899-12-30T14:00:00"/>
    <n v="3"/>
    <x v="30"/>
    <n v="1.5E-3"/>
    <s v="P"/>
    <s v="P"/>
    <s v="P"/>
    <s v="+"/>
    <s v="+"/>
    <n v="12.49"/>
    <n v="12.44"/>
    <n v="0.51"/>
    <n v="64.8"/>
    <s v="-"/>
    <s v="-"/>
    <n v="34.6"/>
    <s v="-"/>
    <n v="25.2"/>
    <s v="P"/>
    <s v="P"/>
    <s v="20% 10% 20%"/>
    <n v="2"/>
    <n v="1"/>
    <n v="2"/>
    <n v="1"/>
    <n v="1"/>
    <n v="2"/>
    <n v="2"/>
    <s v="-"/>
    <s v="-"/>
    <n v="2"/>
    <s v="-"/>
    <n v="13"/>
    <n v="13"/>
    <n v="1"/>
    <n v="1"/>
    <n v="1"/>
    <n v="3"/>
    <n v="3"/>
    <n v="16"/>
    <n v="16"/>
  </r>
  <r>
    <x v="1"/>
    <x v="46"/>
    <d v="2026-02-14T00:00:00"/>
    <s v="2ND"/>
    <d v="1899-12-30T16:00:00"/>
    <n v="3"/>
    <x v="30"/>
    <n v="2.0999999999999999E-3"/>
    <s v="P"/>
    <s v="P"/>
    <s v="P"/>
    <s v="+"/>
    <s v="+"/>
    <n v="12.7"/>
    <s v="-"/>
    <s v="-"/>
    <s v="-"/>
    <s v="-"/>
    <s v="-"/>
    <s v="-"/>
    <s v="-"/>
    <s v="-"/>
    <s v="P"/>
    <s v="P"/>
    <s v="-"/>
    <n v="2"/>
    <n v="1"/>
    <n v="2"/>
    <n v="1"/>
    <s v="-"/>
    <s v="-"/>
    <s v="-"/>
    <s v="-"/>
    <s v="-"/>
    <s v="-"/>
    <s v="-"/>
    <n v="6"/>
    <n v="6"/>
    <s v="-"/>
    <n v="1"/>
    <n v="1"/>
    <n v="2"/>
    <n v="2"/>
    <n v="8"/>
    <n v="8"/>
  </r>
  <r>
    <x v="1"/>
    <x v="46"/>
    <d v="2026-02-14T00:00:00"/>
    <s v="2ND"/>
    <d v="1899-12-30T17:00:00"/>
    <n v="3"/>
    <x v="30"/>
    <n v="1.6000000000000001E-3"/>
    <s v="P"/>
    <s v="P"/>
    <s v="P"/>
    <s v="+"/>
    <s v="+"/>
    <n v="12.25"/>
    <s v="-"/>
    <s v="-"/>
    <s v="-"/>
    <s v="-"/>
    <s v="-"/>
    <s v="-"/>
    <s v="-"/>
    <s v="-"/>
    <s v="P"/>
    <s v="P"/>
    <s v="-"/>
    <n v="2"/>
    <n v="1"/>
    <n v="2"/>
    <n v="1"/>
    <s v="-"/>
    <s v="-"/>
    <s v="-"/>
    <s v="-"/>
    <s v="-"/>
    <s v="-"/>
    <s v="-"/>
    <n v="6"/>
    <n v="6"/>
    <s v="-"/>
    <n v="1"/>
    <n v="1"/>
    <n v="2"/>
    <n v="2"/>
    <n v="8"/>
    <n v="8"/>
  </r>
  <r>
    <x v="1"/>
    <x v="46"/>
    <d v="2026-02-15T00:00:00"/>
    <s v="2ND"/>
    <d v="1899-12-30T20:00:00"/>
    <n v="3"/>
    <x v="1"/>
    <n v="1.6000000000000001E-3"/>
    <s v="P"/>
    <s v="P"/>
    <s v="P"/>
    <s v="+"/>
    <s v="+"/>
    <n v="12.67"/>
    <s v="-"/>
    <s v="-"/>
    <s v="-"/>
    <s v="-"/>
    <s v="-"/>
    <s v="-"/>
    <s v="-"/>
    <s v="-"/>
    <s v="P"/>
    <s v="P"/>
    <s v="85% 5% 10%"/>
    <n v="2"/>
    <n v="1"/>
    <n v="2"/>
    <n v="1"/>
    <s v="-"/>
    <s v="-"/>
    <s v="-"/>
    <s v="-"/>
    <s v="-"/>
    <s v="-"/>
    <s v="-"/>
    <n v="6"/>
    <n v="6"/>
    <s v="-"/>
    <n v="1"/>
    <n v="1"/>
    <n v="2"/>
    <n v="2"/>
    <n v="8"/>
    <n v="8"/>
  </r>
  <r>
    <x v="1"/>
    <x v="46"/>
    <d v="2026-02-15T00:00:00"/>
    <s v="2ND"/>
    <d v="1899-12-30T21:00:00"/>
    <n v="3"/>
    <x v="1"/>
    <n v="3.5000000000000001E-3"/>
    <s v="P"/>
    <s v="P"/>
    <s v="P"/>
    <s v="+"/>
    <s v="+"/>
    <n v="12.63"/>
    <s v="-"/>
    <s v="-"/>
    <s v="-"/>
    <s v="-"/>
    <s v="-"/>
    <s v="-"/>
    <s v="-"/>
    <s v="-"/>
    <s v="P"/>
    <s v="P"/>
    <s v="-"/>
    <n v="2"/>
    <n v="1"/>
    <n v="2"/>
    <n v="1"/>
    <s v="-"/>
    <s v="-"/>
    <s v="-"/>
    <s v="-"/>
    <s v="-"/>
    <s v="-"/>
    <s v="-"/>
    <n v="6"/>
    <n v="6"/>
    <s v="-"/>
    <n v="1"/>
    <n v="1"/>
    <n v="2"/>
    <n v="2"/>
    <n v="8"/>
    <n v="8"/>
  </r>
  <r>
    <x v="1"/>
    <x v="46"/>
    <d v="2026-02-20T00:00:00"/>
    <s v="3RD"/>
    <d v="1899-12-30T22:00:00"/>
    <n v="3"/>
    <x v="1"/>
    <n v="3.3E-3"/>
    <s v="P"/>
    <s v="P"/>
    <s v="P"/>
    <s v="+"/>
    <s v="+"/>
    <n v="12.73"/>
    <n v="12.77"/>
    <s v="-"/>
    <s v="-"/>
    <s v="-"/>
    <s v="-"/>
    <n v="35.700000000000003"/>
    <s v="-"/>
    <n v="25.18"/>
    <s v="P"/>
    <s v="P"/>
    <s v="85% 5% 10%"/>
    <n v="2"/>
    <n v="1"/>
    <n v="2"/>
    <n v="1"/>
    <n v="1"/>
    <s v="-"/>
    <s v="-"/>
    <s v="-"/>
    <s v="-"/>
    <n v="2"/>
    <s v="-"/>
    <n v="9"/>
    <n v="9"/>
    <n v="1"/>
    <n v="1"/>
    <n v="1"/>
    <n v="3"/>
    <n v="3"/>
    <n v="12"/>
    <n v="12"/>
  </r>
  <r>
    <x v="1"/>
    <x v="46"/>
    <d v="2026-02-20T00:00:00"/>
    <s v="3RD"/>
    <d v="1899-12-30T23:00:00"/>
    <n v="3"/>
    <x v="1"/>
    <n v="3.5999999999999999E-3"/>
    <s v="P"/>
    <s v="P"/>
    <s v="P"/>
    <s v="+"/>
    <s v="+"/>
    <n v="12.45"/>
    <s v="-"/>
    <s v="-"/>
    <s v="-"/>
    <s v="-"/>
    <s v="-"/>
    <s v="-"/>
    <s v="-"/>
    <s v="-"/>
    <s v="P"/>
    <s v="P"/>
    <s v="-"/>
    <n v="2"/>
    <n v="1"/>
    <n v="2"/>
    <n v="1"/>
    <s v="-"/>
    <s v="-"/>
    <s v="-"/>
    <s v="-"/>
    <s v="-"/>
    <s v="-"/>
    <s v="-"/>
    <n v="6"/>
    <n v="6"/>
    <s v="-"/>
    <n v="1"/>
    <n v="1"/>
    <n v="2"/>
    <n v="2"/>
    <n v="8"/>
    <n v="8"/>
  </r>
  <r>
    <x v="1"/>
    <x v="46"/>
    <d v="1902-03-26T00:00:00"/>
    <s v="3RD"/>
    <d v="1899-12-31T02:00:00"/>
    <n v="2"/>
    <x v="14"/>
    <n v="7.6E-3"/>
    <s v="P"/>
    <s v="P"/>
    <s v="P"/>
    <s v="-"/>
    <s v="+"/>
    <n v="10.8"/>
    <n v="9"/>
    <s v="-"/>
    <n v="59.4"/>
    <s v="-"/>
    <s v="-"/>
    <n v="24.49"/>
    <s v="-"/>
    <s v="-"/>
    <s v="P"/>
    <s v="P"/>
    <s v="-"/>
    <n v="2"/>
    <n v="1"/>
    <n v="2"/>
    <n v="0"/>
    <n v="1"/>
    <s v="-"/>
    <n v="2"/>
    <s v="-"/>
    <s v="-"/>
    <n v="2"/>
    <s v="-"/>
    <n v="10"/>
    <n v="11"/>
    <s v="-"/>
    <n v="1"/>
    <n v="1"/>
    <n v="2"/>
    <n v="2"/>
    <n v="12"/>
    <n v="13"/>
  </r>
  <r>
    <x v="1"/>
    <x v="46"/>
    <d v="1899-12-30T00:00:00"/>
    <s v="3RD"/>
    <d v="1899-12-31T03:00:00"/>
    <n v="2"/>
    <x v="14"/>
    <n v="8.0000000000000002E-3"/>
    <s v="P"/>
    <s v="P"/>
    <s v="P"/>
    <s v="-"/>
    <s v="+"/>
    <n v="10.87"/>
    <s v="-"/>
    <s v="-"/>
    <s v="-"/>
    <s v="-"/>
    <s v="-"/>
    <s v="-"/>
    <s v="-"/>
    <s v="-"/>
    <s v="P"/>
    <s v="P"/>
    <s v="-"/>
    <n v="2"/>
    <n v="1"/>
    <n v="2"/>
    <n v="0"/>
    <s v="-"/>
    <s v="-"/>
    <s v="-"/>
    <s v="-"/>
    <s v="-"/>
    <s v="-"/>
    <s v="-"/>
    <n v="5"/>
    <n v="6"/>
    <s v="-"/>
    <n v="1"/>
    <n v="1"/>
    <n v="2"/>
    <n v="2"/>
    <n v="7"/>
    <n v="8"/>
  </r>
  <r>
    <x v="1"/>
    <x v="46"/>
    <d v="1899-12-30T00:00:00"/>
    <s v="3RD"/>
    <d v="1899-12-31T04:00:00"/>
    <n v="2"/>
    <x v="14"/>
    <n v="8.0999999999999996E-3"/>
    <s v="P"/>
    <s v="P"/>
    <s v="P"/>
    <s v="-"/>
    <s v="+"/>
    <n v="10.62"/>
    <s v="-"/>
    <s v="-"/>
    <s v="-"/>
    <s v="-"/>
    <s v="-"/>
    <s v="-"/>
    <s v="-"/>
    <s v="-"/>
    <s v="P"/>
    <s v="P"/>
    <s v="-"/>
    <n v="2"/>
    <n v="1"/>
    <n v="2"/>
    <n v="0"/>
    <s v="-"/>
    <s v="-"/>
    <s v="-"/>
    <s v="-"/>
    <s v="-"/>
    <s v="-"/>
    <s v="-"/>
    <n v="5"/>
    <n v="6"/>
    <s v="-"/>
    <n v="1"/>
    <n v="1"/>
    <n v="2"/>
    <n v="2"/>
    <n v="7"/>
    <n v="8"/>
  </r>
  <r>
    <x v="1"/>
    <x v="46"/>
    <d v="1899-12-30T00:00:00"/>
    <s v="3RD"/>
    <d v="1899-12-31T05:00:00"/>
    <n v="2"/>
    <x v="14"/>
    <n v="6.4000000000000003E-3"/>
    <s v="P"/>
    <s v="P"/>
    <s v="P"/>
    <s v="-"/>
    <s v="+"/>
    <n v="11.02"/>
    <s v="-"/>
    <s v="-"/>
    <s v="-"/>
    <s v="-"/>
    <s v="-"/>
    <s v="-"/>
    <s v="-"/>
    <s v="-"/>
    <s v="P"/>
    <s v="P"/>
    <s v="-"/>
    <n v="2"/>
    <n v="1"/>
    <n v="2"/>
    <n v="1"/>
    <s v="-"/>
    <s v="-"/>
    <s v="-"/>
    <s v="-"/>
    <s v="-"/>
    <s v="-"/>
    <s v="-"/>
    <n v="6"/>
    <n v="6"/>
    <s v="-"/>
    <n v="1"/>
    <n v="1"/>
    <n v="2"/>
    <n v="2"/>
    <n v="8"/>
    <n v="8"/>
  </r>
  <r>
    <x v="1"/>
    <x v="46"/>
    <d v="1902-03-26T00:00:00"/>
    <s v="1ST"/>
    <s v="06:00"/>
    <n v="2"/>
    <x v="4"/>
    <n v="1.3100000000000001E-2"/>
    <s v="P"/>
    <s v="P"/>
    <s v="P"/>
    <s v="-"/>
    <s v="+"/>
    <n v="10.98"/>
    <n v="8.16"/>
    <n v="0.55000000000000004"/>
    <n v="55.2"/>
    <s v="-"/>
    <s v="-"/>
    <n v="21.8"/>
    <s v="-"/>
    <s v="-"/>
    <s v="P"/>
    <s v="P"/>
    <s v="-"/>
    <n v="2"/>
    <n v="1"/>
    <n v="2"/>
    <n v="0"/>
    <n v="0"/>
    <n v="2"/>
    <n v="2"/>
    <s v="-"/>
    <s v="-"/>
    <n v="2"/>
    <s v="-"/>
    <n v="11"/>
    <n v="13"/>
    <s v="-"/>
    <n v="1"/>
    <n v="1"/>
    <n v="2"/>
    <n v="2"/>
    <n v="13"/>
    <n v="15"/>
  </r>
  <r>
    <x v="1"/>
    <x v="46"/>
    <d v="1899-12-30T00:00:00"/>
    <s v="1ST"/>
    <s v="13:00"/>
    <n v="2"/>
    <x v="5"/>
    <n v="1.7299999999999999E-2"/>
    <s v="P"/>
    <s v="P"/>
    <s v="P"/>
    <s v="-"/>
    <s v="+"/>
    <n v="10.78"/>
    <s v="-"/>
    <s v="-"/>
    <s v="-"/>
    <s v="-"/>
    <s v="-"/>
    <s v="-"/>
    <s v="-"/>
    <s v="-"/>
    <s v="P"/>
    <s v="P"/>
    <s v="-"/>
    <n v="2"/>
    <n v="1"/>
    <n v="2"/>
    <n v="0"/>
    <s v="-"/>
    <s v="-"/>
    <s v="-"/>
    <s v="-"/>
    <s v="-"/>
    <s v="-"/>
    <s v="-"/>
    <n v="5"/>
    <n v="6"/>
    <s v="-"/>
    <n v="1"/>
    <n v="1"/>
    <n v="2"/>
    <n v="2"/>
    <n v="7"/>
    <n v="8"/>
  </r>
  <r>
    <x v="1"/>
    <x v="46"/>
    <d v="1902-03-26T00:00:00"/>
    <s v="2ND"/>
    <d v="1899-12-30T14:00:00"/>
    <n v="2"/>
    <x v="5"/>
    <n v="5.4000000000000003E-3"/>
    <s v="P"/>
    <s v="P"/>
    <s v="P"/>
    <s v="-"/>
    <s v="+"/>
    <n v="11.07"/>
    <n v="8.34"/>
    <n v="0.55000000000000004"/>
    <n v="55.6"/>
    <s v="-"/>
    <s v="-"/>
    <n v="22.42"/>
    <s v="-"/>
    <n v="25.14"/>
    <s v="P"/>
    <s v="P"/>
    <s v="-"/>
    <n v="2"/>
    <n v="1"/>
    <n v="2"/>
    <n v="1"/>
    <n v="0"/>
    <n v="2"/>
    <n v="2"/>
    <s v="-"/>
    <s v="-"/>
    <n v="2"/>
    <s v="-"/>
    <n v="12"/>
    <n v="13"/>
    <n v="1"/>
    <n v="1"/>
    <n v="1"/>
    <n v="3"/>
    <n v="3"/>
    <n v="15"/>
    <n v="16"/>
  </r>
  <r>
    <x v="1"/>
    <x v="46"/>
    <d v="1899-12-30T00:00:00"/>
    <s v="2ND"/>
    <d v="1899-12-30T15:00:00"/>
    <n v="2"/>
    <x v="5"/>
    <n v="9.1000000000000004E-3"/>
    <s v="P"/>
    <s v="P"/>
    <s v="P"/>
    <s v="-"/>
    <s v="+"/>
    <n v="11.02"/>
    <s v="-"/>
    <s v="-"/>
    <s v="-"/>
    <s v="-"/>
    <s v="-"/>
    <s v="-"/>
    <s v="-"/>
    <s v="-"/>
    <s v="P"/>
    <s v="P"/>
    <s v="-"/>
    <n v="2"/>
    <n v="1"/>
    <n v="2"/>
    <n v="1"/>
    <s v="-"/>
    <s v="-"/>
    <s v="-"/>
    <s v="-"/>
    <s v="-"/>
    <s v="-"/>
    <s v="-"/>
    <n v="6"/>
    <n v="6"/>
    <s v="-"/>
    <n v="1"/>
    <n v="1"/>
    <n v="2"/>
    <n v="2"/>
    <n v="8"/>
    <n v="8"/>
  </r>
  <r>
    <x v="1"/>
    <x v="46"/>
    <d v="1899-12-30T00:00:00"/>
    <s v="2ND"/>
    <d v="1899-12-30T16:00:00"/>
    <n v="2"/>
    <x v="5"/>
    <n v="1.11E-2"/>
    <s v="P"/>
    <s v="P"/>
    <s v="P"/>
    <s v="-"/>
    <s v="+"/>
    <n v="11.16"/>
    <s v="-"/>
    <s v="-"/>
    <s v="-"/>
    <s v="-"/>
    <s v="-"/>
    <s v="-"/>
    <s v="-"/>
    <s v="-"/>
    <s v="P"/>
    <s v="P"/>
    <s v="-"/>
    <n v="2"/>
    <n v="1"/>
    <n v="2"/>
    <n v="1"/>
    <s v="-"/>
    <s v="-"/>
    <s v="-"/>
    <s v="-"/>
    <s v="-"/>
    <s v="-"/>
    <s v="-"/>
    <n v="6"/>
    <n v="6"/>
    <s v="-"/>
    <n v="1"/>
    <n v="1"/>
    <n v="2"/>
    <n v="2"/>
    <n v="8"/>
    <n v="8"/>
  </r>
  <r>
    <x v="1"/>
    <x v="46"/>
    <d v="1899-12-30T00:00:00"/>
    <s v="2ND"/>
    <d v="1899-12-30T17:00:00"/>
    <n v="2"/>
    <x v="5"/>
    <n v="1.29E-2"/>
    <s v="P"/>
    <s v="P"/>
    <s v="P"/>
    <s v="-"/>
    <s v="+"/>
    <n v="11.01"/>
    <s v="-"/>
    <s v="-"/>
    <s v="-"/>
    <s v="-"/>
    <s v="-"/>
    <s v="-"/>
    <s v="-"/>
    <s v="-"/>
    <s v="P"/>
    <s v="P"/>
    <s v="-"/>
    <n v="2"/>
    <n v="1"/>
    <n v="2"/>
    <n v="1"/>
    <s v="-"/>
    <s v="-"/>
    <s v="-"/>
    <s v="-"/>
    <s v="-"/>
    <s v="-"/>
    <s v="-"/>
    <n v="6"/>
    <n v="6"/>
    <s v="-"/>
    <n v="1"/>
    <n v="1"/>
    <n v="2"/>
    <n v="2"/>
    <n v="8"/>
    <n v="8"/>
  </r>
  <r>
    <x v="1"/>
    <x v="46"/>
    <s v="-"/>
    <s v="1ST"/>
    <s v="06:00"/>
    <n v="1"/>
    <x v="22"/>
    <n v="1.89E-2"/>
    <s v="P"/>
    <s v="P"/>
    <s v="P"/>
    <s v="-"/>
    <s v="-"/>
    <n v="11.44"/>
    <n v="8.39"/>
    <n v="0.55000000000000004"/>
    <n v="54.7"/>
    <s v="-"/>
    <s v="-"/>
    <n v="22.57"/>
    <s v="-"/>
    <s v="-"/>
    <s v="P"/>
    <s v="P"/>
    <n v="1"/>
    <n v="2"/>
    <n v="1"/>
    <n v="2"/>
    <n v="1"/>
    <n v="0"/>
    <n v="2"/>
    <n v="2"/>
    <s v="-"/>
    <s v="-"/>
    <n v="2"/>
    <s v="-"/>
    <n v="12"/>
    <n v="13"/>
    <s v="-"/>
    <n v="1"/>
    <n v="1"/>
    <n v="2"/>
    <n v="2"/>
    <n v="14"/>
    <n v="15"/>
  </r>
  <r>
    <x v="1"/>
    <x v="46"/>
    <d v="2026-02-20T00:00:00"/>
    <s v="1ST"/>
    <s v="08:00"/>
    <n v="1"/>
    <x v="22"/>
    <n v="8.5000000000000006E-3"/>
    <s v="P"/>
    <s v="P"/>
    <s v="P"/>
    <s v="-"/>
    <s v="-"/>
    <n v="11.8"/>
    <s v="-"/>
    <s v="-"/>
    <s v="-"/>
    <s v="-"/>
    <s v="-"/>
    <s v="-"/>
    <s v="-"/>
    <s v="-"/>
    <s v="P"/>
    <s v="P"/>
    <s v="-"/>
    <n v="2"/>
    <n v="1"/>
    <n v="2"/>
    <n v="1"/>
    <s v="-"/>
    <s v="-"/>
    <s v="-"/>
    <s v="-"/>
    <s v="-"/>
    <s v="-"/>
    <s v="-"/>
    <n v="6"/>
    <n v="6"/>
    <s v="-"/>
    <n v="1"/>
    <n v="1"/>
    <n v="2"/>
    <n v="2"/>
    <n v="8"/>
    <n v="8"/>
  </r>
  <r>
    <x v="1"/>
    <x v="46"/>
    <d v="2026-02-20T00:00:00"/>
    <s v="1ST"/>
    <s v="09:00"/>
    <n v="1"/>
    <x v="22"/>
    <n v="1.66E-2"/>
    <s v="P"/>
    <s v="P"/>
    <s v="P"/>
    <s v="-"/>
    <s v="-"/>
    <n v="11.84"/>
    <s v="-"/>
    <s v="-"/>
    <s v="-"/>
    <s v="-"/>
    <s v="-"/>
    <s v="-"/>
    <s v="-"/>
    <s v="-"/>
    <s v="P"/>
    <s v="P"/>
    <s v="-"/>
    <n v="2"/>
    <n v="1"/>
    <n v="2"/>
    <n v="1"/>
    <s v="-"/>
    <s v="-"/>
    <s v="-"/>
    <s v="-"/>
    <s v="-"/>
    <s v="-"/>
    <s v="-"/>
    <n v="6"/>
    <n v="6"/>
    <s v="-"/>
    <n v="1"/>
    <n v="1"/>
    <n v="2"/>
    <n v="2"/>
    <n v="8"/>
    <n v="8"/>
  </r>
  <r>
    <x v="1"/>
    <x v="46"/>
    <d v="2026-02-20T00:00:00"/>
    <s v="1ST"/>
    <s v="11:00"/>
    <n v="1"/>
    <x v="22"/>
    <n v="4.3E-3"/>
    <s v="P"/>
    <s v="P"/>
    <s v="P"/>
    <s v="-"/>
    <s v="-"/>
    <n v="12"/>
    <s v="-"/>
    <s v="-"/>
    <s v="-"/>
    <s v="-"/>
    <s v="-"/>
    <s v="-"/>
    <s v="-"/>
    <s v="-"/>
    <s v="P"/>
    <s v="P"/>
    <s v="-"/>
    <n v="2"/>
    <n v="1"/>
    <n v="2"/>
    <n v="1"/>
    <s v="-"/>
    <s v="-"/>
    <s v="-"/>
    <s v="-"/>
    <s v="-"/>
    <s v="-"/>
    <s v="-"/>
    <n v="6"/>
    <n v="6"/>
    <s v="-"/>
    <n v="1"/>
    <n v="1"/>
    <n v="2"/>
    <n v="2"/>
    <n v="8"/>
    <n v="8"/>
  </r>
  <r>
    <x v="1"/>
    <x v="46"/>
    <d v="2026-02-20T00:00:00"/>
    <s v="1ST"/>
    <s v="12:00"/>
    <n v="1"/>
    <x v="22"/>
    <n v="1.0999999999999999E-2"/>
    <s v="P"/>
    <s v="P"/>
    <s v="P"/>
    <s v="-"/>
    <s v="-"/>
    <n v="11.92"/>
    <s v="-"/>
    <s v="-"/>
    <s v="-"/>
    <s v="-"/>
    <s v="-"/>
    <s v="-"/>
    <s v="-"/>
    <s v="-"/>
    <s v="P"/>
    <s v="P"/>
    <s v="-"/>
    <n v="2"/>
    <n v="1"/>
    <n v="2"/>
    <n v="1"/>
    <s v="-"/>
    <s v="-"/>
    <s v="-"/>
    <s v="-"/>
    <s v="-"/>
    <s v="-"/>
    <s v="-"/>
    <n v="6"/>
    <n v="6"/>
    <s v="-"/>
    <n v="1"/>
    <n v="1"/>
    <n v="2"/>
    <n v="2"/>
    <n v="8"/>
    <n v="8"/>
  </r>
  <r>
    <x v="1"/>
    <x v="46"/>
    <s v="-"/>
    <s v="2ND"/>
    <d v="1899-12-30T14:00:00"/>
    <n v="1"/>
    <x v="22"/>
    <n v="1.8E-3"/>
    <s v="P"/>
    <s v="P"/>
    <s v="P"/>
    <s v="-"/>
    <s v="-"/>
    <n v="11.82"/>
    <n v="8.5"/>
    <n v="0.55000000000000004"/>
    <s v="-"/>
    <s v="-"/>
    <s v="-"/>
    <n v="22.75"/>
    <s v="-"/>
    <n v="25.12"/>
    <s v="P"/>
    <s v="P"/>
    <n v="1"/>
    <n v="2"/>
    <n v="1"/>
    <n v="2"/>
    <n v="1"/>
    <n v="1"/>
    <n v="2"/>
    <s v="-"/>
    <s v="-"/>
    <s v="-"/>
    <n v="2"/>
    <s v="-"/>
    <n v="11"/>
    <n v="11"/>
    <n v="1"/>
    <n v="1"/>
    <n v="1"/>
    <n v="3"/>
    <n v="3"/>
    <n v="14"/>
    <n v="14"/>
  </r>
  <r>
    <x v="1"/>
    <x v="46"/>
    <d v="2026-02-20T00:00:00"/>
    <s v="2ND"/>
    <d v="1899-12-30T15:00:00"/>
    <n v="1"/>
    <x v="22"/>
    <n v="2.3E-3"/>
    <s v="P"/>
    <s v="P"/>
    <s v="P"/>
    <s v="-"/>
    <s v="-"/>
    <n v="11.22"/>
    <s v="-"/>
    <s v="-"/>
    <s v="-"/>
    <s v="-"/>
    <s v="-"/>
    <s v="-"/>
    <s v="-"/>
    <s v="-"/>
    <s v="P"/>
    <s v="P"/>
    <s v="-"/>
    <n v="2"/>
    <n v="1"/>
    <n v="2"/>
    <n v="1"/>
    <s v="-"/>
    <s v="-"/>
    <s v="-"/>
    <s v="-"/>
    <s v="-"/>
    <s v="-"/>
    <s v="-"/>
    <n v="6"/>
    <n v="6"/>
    <s v="-"/>
    <n v="1"/>
    <n v="1"/>
    <n v="2"/>
    <n v="2"/>
    <n v="8"/>
    <n v="8"/>
  </r>
  <r>
    <x v="1"/>
    <x v="46"/>
    <d v="2026-02-20T00:00:00"/>
    <s v="2ND"/>
    <d v="1899-12-30T16:00:00"/>
    <n v="1"/>
    <x v="22"/>
    <n v="5.8999999999999999E-3"/>
    <s v="P"/>
    <s v="P"/>
    <s v="P"/>
    <s v="-"/>
    <s v="-"/>
    <n v="11.65"/>
    <s v="-"/>
    <s v="-"/>
    <s v="-"/>
    <s v="-"/>
    <s v="-"/>
    <s v="-"/>
    <s v="-"/>
    <s v="-"/>
    <s v="P"/>
    <s v="P"/>
    <s v="-"/>
    <n v="2"/>
    <n v="1"/>
    <n v="2"/>
    <n v="1"/>
    <s v="-"/>
    <s v="-"/>
    <s v="-"/>
    <s v="-"/>
    <s v="-"/>
    <s v="-"/>
    <s v="-"/>
    <n v="6"/>
    <n v="6"/>
    <s v="-"/>
    <n v="1"/>
    <n v="1"/>
    <n v="2"/>
    <n v="2"/>
    <n v="8"/>
    <n v="8"/>
  </r>
  <r>
    <x v="1"/>
    <x v="46"/>
    <d v="2026-02-20T00:00:00"/>
    <s v="2ND"/>
    <d v="1899-12-30T17:00:00"/>
    <n v="1"/>
    <x v="22"/>
    <n v="7.3000000000000001E-3"/>
    <s v="P"/>
    <s v="P"/>
    <s v="P"/>
    <s v="-"/>
    <s v="-"/>
    <n v="11.18"/>
    <s v="-"/>
    <s v="-"/>
    <s v="-"/>
    <s v="-"/>
    <s v="-"/>
    <s v="-"/>
    <s v="-"/>
    <s v="-"/>
    <s v="P"/>
    <s v="P"/>
    <s v="-"/>
    <n v="2"/>
    <n v="1"/>
    <n v="2"/>
    <n v="1"/>
    <s v="-"/>
    <s v="-"/>
    <s v="-"/>
    <s v="-"/>
    <s v="-"/>
    <s v="-"/>
    <s v="-"/>
    <n v="6"/>
    <n v="6"/>
    <s v="-"/>
    <n v="1"/>
    <n v="1"/>
    <n v="2"/>
    <n v="2"/>
    <n v="8"/>
    <n v="8"/>
  </r>
  <r>
    <x v="1"/>
    <x v="46"/>
    <d v="2026-02-20T00:00:00"/>
    <s v="2ND"/>
    <d v="1899-12-30T19:00:00"/>
    <n v="1"/>
    <x v="22"/>
    <n v="8.8999999999999999E-3"/>
    <s v="P"/>
    <s v="P"/>
    <s v="P"/>
    <s v="-"/>
    <s v="-"/>
    <n v="11.63"/>
    <s v="-"/>
    <s v="-"/>
    <s v="-"/>
    <s v="-"/>
    <s v="-"/>
    <s v="-"/>
    <s v="-"/>
    <s v="-"/>
    <s v="P"/>
    <s v="P"/>
    <s v="-"/>
    <n v="2"/>
    <n v="1"/>
    <n v="2"/>
    <n v="1"/>
    <s v="-"/>
    <s v="-"/>
    <s v="-"/>
    <s v="-"/>
    <s v="-"/>
    <s v="-"/>
    <s v="-"/>
    <n v="6"/>
    <n v="6"/>
    <s v="-"/>
    <n v="1"/>
    <n v="1"/>
    <n v="2"/>
    <n v="2"/>
    <n v="8"/>
    <n v="8"/>
  </r>
  <r>
    <x v="1"/>
    <x v="46"/>
    <d v="2026-02-20T00:00:00"/>
    <s v="2ND"/>
    <d v="1899-12-30T20:00:00"/>
    <n v="1"/>
    <x v="22"/>
    <n v="1.3599999999999999E-2"/>
    <s v="P"/>
    <s v="P"/>
    <s v="P"/>
    <s v="-"/>
    <s v="-"/>
    <n v="11.59"/>
    <s v="-"/>
    <s v="-"/>
    <s v="-"/>
    <s v="-"/>
    <s v="-"/>
    <s v="-"/>
    <s v="-"/>
    <s v="-"/>
    <s v="P"/>
    <s v="P"/>
    <s v="-"/>
    <n v="2"/>
    <n v="1"/>
    <n v="2"/>
    <n v="1"/>
    <s v="-"/>
    <s v="-"/>
    <s v="-"/>
    <s v="-"/>
    <s v="-"/>
    <s v="-"/>
    <s v="-"/>
    <n v="6"/>
    <n v="6"/>
    <s v="-"/>
    <n v="1"/>
    <n v="1"/>
    <n v="2"/>
    <n v="2"/>
    <n v="8"/>
    <n v="8"/>
  </r>
  <r>
    <x v="1"/>
    <x v="46"/>
    <s v="-"/>
    <s v="3RD"/>
    <d v="1899-12-30T22:00:00"/>
    <n v="1"/>
    <x v="22"/>
    <n v="2.3E-3"/>
    <s v="P"/>
    <s v="P"/>
    <s v="P"/>
    <s v="-"/>
    <s v="-"/>
    <n v="11.69"/>
    <n v="8.43"/>
    <n v="0.55000000000000004"/>
    <s v="-"/>
    <s v="-"/>
    <s v="-"/>
    <n v="22.57"/>
    <s v="-"/>
    <n v="25.15"/>
    <s v="P"/>
    <s v="P"/>
    <n v="1"/>
    <n v="2"/>
    <n v="1"/>
    <n v="2"/>
    <n v="1"/>
    <n v="0"/>
    <n v="2"/>
    <s v="-"/>
    <s v="-"/>
    <s v="-"/>
    <n v="2"/>
    <s v="-"/>
    <n v="10"/>
    <n v="11"/>
    <n v="1"/>
    <n v="1"/>
    <n v="1"/>
    <n v="3"/>
    <n v="3"/>
    <n v="13"/>
    <n v="14"/>
  </r>
  <r>
    <x v="1"/>
    <x v="46"/>
    <d v="2026-02-20T00:00:00"/>
    <s v="3RD"/>
    <d v="1899-12-31T00:00:00"/>
    <n v="1"/>
    <x v="22"/>
    <n v="3.3E-3"/>
    <s v="P"/>
    <s v="P"/>
    <s v="P"/>
    <s v="-"/>
    <s v="-"/>
    <n v="11.31"/>
    <s v="-"/>
    <s v="-"/>
    <s v="-"/>
    <s v="-"/>
    <s v="-"/>
    <s v="-"/>
    <s v="-"/>
    <s v="-"/>
    <s v="P"/>
    <s v="P"/>
    <s v="-"/>
    <n v="2"/>
    <n v="1"/>
    <n v="2"/>
    <n v="1"/>
    <s v="-"/>
    <s v="-"/>
    <s v="-"/>
    <s v="-"/>
    <s v="-"/>
    <s v="-"/>
    <s v="-"/>
    <n v="6"/>
    <n v="6"/>
    <s v="-"/>
    <n v="1"/>
    <n v="1"/>
    <n v="2"/>
    <n v="2"/>
    <n v="8"/>
    <n v="8"/>
  </r>
  <r>
    <x v="1"/>
    <x v="47"/>
    <d v="1899-12-30T00:00:00"/>
    <s v="2ND"/>
    <d v="1899-12-30T16:00:00"/>
    <n v="2"/>
    <x v="7"/>
    <n v="1.6500000000000001E-2"/>
    <s v="P"/>
    <s v="P"/>
    <s v="P"/>
    <s v="-"/>
    <s v="+"/>
    <n v="10.92"/>
    <s v="-"/>
    <s v="-"/>
    <s v="-"/>
    <s v="-"/>
    <s v="-"/>
    <s v="-"/>
    <s v="-"/>
    <s v="-"/>
    <s v="P"/>
    <s v="P"/>
    <s v="-"/>
    <n v="2"/>
    <n v="1"/>
    <n v="2"/>
    <n v="0"/>
    <s v="-"/>
    <s v="-"/>
    <s v="-"/>
    <s v="-"/>
    <s v="-"/>
    <s v="-"/>
    <s v="-"/>
    <n v="5"/>
    <n v="6"/>
    <s v="-"/>
    <n v="1"/>
    <n v="1"/>
    <n v="2"/>
    <n v="2"/>
    <n v="7"/>
    <n v="8"/>
  </r>
  <r>
    <x v="1"/>
    <x v="47"/>
    <d v="1899-12-30T00:00:00"/>
    <s v="2ND"/>
    <d v="1899-12-30T17:00:00"/>
    <n v="2"/>
    <x v="7"/>
    <n v="3.5999999999999999E-3"/>
    <s v="P"/>
    <s v="P"/>
    <s v="P"/>
    <s v="-"/>
    <s v="+"/>
    <n v="10.96"/>
    <s v="-"/>
    <s v="-"/>
    <s v="-"/>
    <s v="-"/>
    <s v="-"/>
    <s v="-"/>
    <s v="-"/>
    <s v="-"/>
    <s v="P"/>
    <s v="P"/>
    <s v="-"/>
    <n v="2"/>
    <n v="1"/>
    <n v="2"/>
    <n v="0"/>
    <s v="-"/>
    <s v="-"/>
    <s v="-"/>
    <s v="-"/>
    <s v="-"/>
    <s v="-"/>
    <s v="-"/>
    <n v="5"/>
    <n v="6"/>
    <s v="-"/>
    <n v="1"/>
    <n v="1"/>
    <n v="2"/>
    <n v="2"/>
    <n v="7"/>
    <n v="8"/>
  </r>
  <r>
    <x v="1"/>
    <x v="47"/>
    <d v="1899-12-30T00:00:00"/>
    <s v="2ND"/>
    <d v="1899-12-30T19:00:00"/>
    <n v="2"/>
    <x v="7"/>
    <n v="2.5000000000000001E-3"/>
    <s v="P"/>
    <s v="P"/>
    <s v="P"/>
    <s v="-"/>
    <s v="+"/>
    <n v="10.5"/>
    <s v="-"/>
    <s v="-"/>
    <s v="-"/>
    <s v="-"/>
    <s v="-"/>
    <s v="-"/>
    <s v="-"/>
    <s v="-"/>
    <s v="P"/>
    <s v="P"/>
    <s v="-"/>
    <n v="2"/>
    <n v="1"/>
    <n v="2"/>
    <n v="0"/>
    <s v="-"/>
    <s v="-"/>
    <s v="-"/>
    <s v="-"/>
    <s v="-"/>
    <s v="-"/>
    <s v="-"/>
    <n v="5"/>
    <n v="6"/>
    <s v="-"/>
    <n v="1"/>
    <n v="1"/>
    <n v="2"/>
    <n v="2"/>
    <n v="7"/>
    <n v="8"/>
  </r>
  <r>
    <x v="1"/>
    <x v="47"/>
    <d v="1899-12-30T00:00:00"/>
    <s v="2ND"/>
    <d v="1899-12-30T20:00:00"/>
    <n v="2"/>
    <x v="7"/>
    <n v="6.8999999999999999E-3"/>
    <s v="P"/>
    <s v="P"/>
    <s v="P"/>
    <s v="-"/>
    <s v="+"/>
    <n v="10.86"/>
    <s v="-"/>
    <s v="-"/>
    <s v="-"/>
    <s v="-"/>
    <s v="-"/>
    <s v="-"/>
    <s v="-"/>
    <s v="-"/>
    <s v="P"/>
    <s v="P"/>
    <s v="-"/>
    <n v="2"/>
    <n v="1"/>
    <n v="2"/>
    <n v="0"/>
    <s v="-"/>
    <s v="-"/>
    <s v="-"/>
    <s v="-"/>
    <s v="-"/>
    <s v="-"/>
    <s v="-"/>
    <n v="5"/>
    <n v="6"/>
    <s v="-"/>
    <n v="1"/>
    <n v="1"/>
    <n v="2"/>
    <n v="2"/>
    <n v="7"/>
    <n v="8"/>
  </r>
  <r>
    <x v="1"/>
    <x v="47"/>
    <d v="1902-03-26T00:00:00"/>
    <s v="3RD"/>
    <d v="1899-12-30T22:00:00"/>
    <n v="2"/>
    <x v="7"/>
    <n v="2.8999999999999998E-3"/>
    <s v="P"/>
    <s v="P"/>
    <s v="P"/>
    <s v="-"/>
    <s v="+"/>
    <n v="10.99"/>
    <n v="8.69"/>
    <n v="0.61"/>
    <s v="-"/>
    <s v="-"/>
    <s v="-"/>
    <n v="23.43"/>
    <s v="-"/>
    <s v="-"/>
    <s v="P"/>
    <s v="P"/>
    <s v="-"/>
    <n v="2"/>
    <n v="1"/>
    <n v="2"/>
    <n v="0"/>
    <n v="1"/>
    <n v="0"/>
    <s v="-"/>
    <s v="-"/>
    <s v="-"/>
    <n v="2"/>
    <s v="-"/>
    <n v="8"/>
    <n v="11"/>
    <s v="-"/>
    <n v="1"/>
    <n v="1"/>
    <n v="2"/>
    <n v="2"/>
    <n v="10"/>
    <n v="13"/>
  </r>
  <r>
    <x v="1"/>
    <x v="47"/>
    <d v="2026-02-25T00:00:00"/>
    <s v="1ST"/>
    <s v="06:00"/>
    <n v="3"/>
    <x v="10"/>
    <n v="7.7999999999999996E-3"/>
    <s v="P"/>
    <s v="P"/>
    <s v="P"/>
    <s v="+"/>
    <s v="+"/>
    <n v="12.7"/>
    <n v="11.95"/>
    <n v="0.41"/>
    <n v="64.5"/>
    <s v="-"/>
    <s v="-"/>
    <n v="33.200000000000003"/>
    <s v="-"/>
    <s v="-"/>
    <s v="P"/>
    <s v="P"/>
    <n v="1"/>
    <n v="2"/>
    <n v="1"/>
    <n v="2"/>
    <n v="1"/>
    <n v="1"/>
    <n v="2"/>
    <n v="2"/>
    <s v="-"/>
    <s v="-"/>
    <n v="2"/>
    <s v="-"/>
    <n v="13"/>
    <n v="13"/>
    <s v="-"/>
    <n v="1"/>
    <n v="1"/>
    <n v="2"/>
    <n v="2"/>
    <n v="15"/>
    <n v="15"/>
  </r>
  <r>
    <x v="1"/>
    <x v="47"/>
    <d v="2026-02-25T00:00:00"/>
    <s v="1ST"/>
    <s v="07:00"/>
    <n v="3"/>
    <x v="10"/>
    <n v="8.9999999999999993E-3"/>
    <s v="P"/>
    <s v="P"/>
    <s v="P"/>
    <s v="+"/>
    <s v="+"/>
    <n v="12.64"/>
    <s v="-"/>
    <s v="-"/>
    <s v="-"/>
    <s v="-"/>
    <s v="-"/>
    <s v="-"/>
    <s v="-"/>
    <s v="-"/>
    <s v="P"/>
    <s v="P"/>
    <s v="-"/>
    <n v="2"/>
    <n v="1"/>
    <n v="2"/>
    <n v="1"/>
    <s v="-"/>
    <s v="-"/>
    <s v="-"/>
    <s v="-"/>
    <s v="-"/>
    <s v="-"/>
    <s v="-"/>
    <n v="6"/>
    <n v="6"/>
    <s v="-"/>
    <n v="1"/>
    <n v="1"/>
    <n v="2"/>
    <n v="2"/>
    <n v="8"/>
    <n v="8"/>
  </r>
  <r>
    <x v="1"/>
    <x v="47"/>
    <d v="2026-02-25T00:00:00"/>
    <s v="1ST"/>
    <s v="08:00"/>
    <n v="3"/>
    <x v="10"/>
    <n v="2.2000000000000001E-3"/>
    <s v="P"/>
    <s v="P"/>
    <s v="P"/>
    <s v="+"/>
    <s v="+"/>
    <n v="12.89"/>
    <s v="-"/>
    <s v="-"/>
    <s v="-"/>
    <s v="-"/>
    <s v="-"/>
    <s v="-"/>
    <s v="-"/>
    <s v="-"/>
    <s v="P"/>
    <s v="P"/>
    <s v="-"/>
    <n v="2"/>
    <n v="1"/>
    <n v="2"/>
    <n v="1"/>
    <s v="-"/>
    <s v="-"/>
    <s v="-"/>
    <s v="-"/>
    <s v="-"/>
    <s v="-"/>
    <s v="-"/>
    <n v="6"/>
    <n v="6"/>
    <s v="-"/>
    <n v="1"/>
    <n v="1"/>
    <n v="2"/>
    <n v="2"/>
    <n v="8"/>
    <n v="8"/>
  </r>
  <r>
    <x v="1"/>
    <x v="47"/>
    <d v="2026-02-25T00:00:00"/>
    <s v="1ST"/>
    <s v="09:00"/>
    <n v="3"/>
    <x v="10"/>
    <s v="-"/>
    <s v="P"/>
    <s v="P"/>
    <s v="P"/>
    <s v="+"/>
    <s v="+"/>
    <n v="12.82"/>
    <s v="-"/>
    <s v="-"/>
    <s v="-"/>
    <s v="-"/>
    <s v="-"/>
    <s v="-"/>
    <s v="-"/>
    <s v="-"/>
    <s v="P"/>
    <s v="P"/>
    <s v="-"/>
    <s v="-"/>
    <n v="1"/>
    <n v="2"/>
    <n v="1"/>
    <s v="-"/>
    <s v="-"/>
    <s v="-"/>
    <s v="-"/>
    <s v="-"/>
    <s v="-"/>
    <s v="-"/>
    <n v="4"/>
    <n v="4"/>
    <s v="-"/>
    <n v="1"/>
    <n v="1"/>
    <n v="2"/>
    <n v="2"/>
    <n v="6"/>
    <n v="6"/>
  </r>
  <r>
    <x v="1"/>
    <x v="47"/>
    <d v="2026-02-25T00:00:00"/>
    <s v="1ST"/>
    <s v="13:00"/>
    <n v="3"/>
    <x v="10"/>
    <n v="6.0000000000000001E-3"/>
    <s v="P"/>
    <s v="P"/>
    <s v="P"/>
    <s v="+"/>
    <s v="+"/>
    <n v="12.4"/>
    <s v="-"/>
    <s v="-"/>
    <s v="-"/>
    <s v="-"/>
    <s v="-"/>
    <s v="-"/>
    <s v="-"/>
    <s v="-"/>
    <s v="P"/>
    <s v="P"/>
    <s v="-"/>
    <n v="2"/>
    <n v="1"/>
    <n v="2"/>
    <n v="1"/>
    <s v="-"/>
    <s v="-"/>
    <s v="-"/>
    <s v="-"/>
    <s v="-"/>
    <s v="-"/>
    <s v="-"/>
    <n v="6"/>
    <n v="6"/>
    <s v="-"/>
    <n v="1"/>
    <n v="1"/>
    <n v="2"/>
    <n v="2"/>
    <n v="8"/>
    <n v="8"/>
  </r>
  <r>
    <x v="1"/>
    <x v="47"/>
    <d v="2026-02-25T00:00:00"/>
    <s v="2ND"/>
    <d v="1899-12-30T14:00:00"/>
    <n v="3"/>
    <x v="10"/>
    <n v="1.8E-3"/>
    <s v="P"/>
    <s v="P"/>
    <s v="P"/>
    <s v="-"/>
    <s v="+"/>
    <n v="12.52"/>
    <n v="12.02"/>
    <n v="0.41"/>
    <s v="-"/>
    <s v="-"/>
    <s v="-"/>
    <n v="33.5"/>
    <s v="-"/>
    <n v="25.11"/>
    <s v="P"/>
    <s v="P"/>
    <n v="1"/>
    <n v="2"/>
    <n v="1"/>
    <n v="2"/>
    <n v="1"/>
    <n v="1"/>
    <n v="2"/>
    <s v="-"/>
    <s v="-"/>
    <s v="-"/>
    <n v="2"/>
    <s v="-"/>
    <n v="11"/>
    <n v="11"/>
    <n v="1"/>
    <n v="1"/>
    <n v="1"/>
    <n v="3"/>
    <n v="3"/>
    <n v="14"/>
    <n v="14"/>
  </r>
  <r>
    <x v="1"/>
    <x v="47"/>
    <d v="2026-02-25T00:00:00"/>
    <s v="2ND"/>
    <d v="1899-12-30T15:00:00"/>
    <n v="3"/>
    <x v="10"/>
    <n v="1.1000000000000001E-3"/>
    <s v="P"/>
    <s v="P"/>
    <s v="P"/>
    <s v="-"/>
    <s v="+"/>
    <n v="11.88"/>
    <s v="-"/>
    <s v="-"/>
    <s v="-"/>
    <s v="-"/>
    <s v="-"/>
    <s v="-"/>
    <s v="-"/>
    <s v="-"/>
    <s v="P"/>
    <s v="P"/>
    <s v="-"/>
    <n v="2"/>
    <n v="1"/>
    <n v="2"/>
    <n v="0"/>
    <s v="-"/>
    <s v="-"/>
    <s v="-"/>
    <s v="-"/>
    <s v="-"/>
    <s v="-"/>
    <s v="-"/>
    <n v="5"/>
    <n v="6"/>
    <s v="-"/>
    <n v="1"/>
    <n v="1"/>
    <n v="2"/>
    <n v="2"/>
    <n v="7"/>
    <n v="8"/>
  </r>
  <r>
    <x v="1"/>
    <x v="47"/>
    <d v="2026-02-26T00:00:00"/>
    <s v="2ND"/>
    <d v="1899-12-30T20:00:00"/>
    <n v="3"/>
    <x v="42"/>
    <n v="1.37E-2"/>
    <s v="P"/>
    <s v="P"/>
    <s v="P"/>
    <s v="+"/>
    <s v="+"/>
    <n v="11.89"/>
    <s v="-"/>
    <s v="-"/>
    <s v="-"/>
    <s v="-"/>
    <s v="-"/>
    <s v="-"/>
    <s v="-"/>
    <s v="-"/>
    <s v="P"/>
    <s v="P"/>
    <n v="1"/>
    <n v="2"/>
    <n v="1"/>
    <n v="2"/>
    <n v="0"/>
    <s v="-"/>
    <s v="-"/>
    <s v="-"/>
    <s v="-"/>
    <s v="-"/>
    <s v="-"/>
    <s v="-"/>
    <n v="5"/>
    <n v="6"/>
    <s v="-"/>
    <n v="1"/>
    <n v="1"/>
    <n v="2"/>
    <n v="2"/>
    <n v="7"/>
    <n v="8"/>
  </r>
  <r>
    <x v="1"/>
    <x v="47"/>
    <d v="2026-02-26T00:00:00"/>
    <s v="3RD"/>
    <d v="1899-12-30T22:00:00"/>
    <n v="3"/>
    <x v="42"/>
    <n v="2.2000000000000001E-3"/>
    <s v="P"/>
    <s v="P"/>
    <s v="P"/>
    <s v="+"/>
    <s v="+"/>
    <n v="12.98"/>
    <s v="-"/>
    <s v="-"/>
    <s v="-"/>
    <s v="-"/>
    <s v="-"/>
    <s v="-"/>
    <s v="-"/>
    <s v="-"/>
    <s v="P"/>
    <s v="P"/>
    <n v="1"/>
    <n v="2"/>
    <n v="1"/>
    <n v="2"/>
    <n v="1"/>
    <s v="-"/>
    <s v="-"/>
    <s v="-"/>
    <s v="-"/>
    <s v="-"/>
    <s v="-"/>
    <s v="-"/>
    <n v="6"/>
    <n v="6"/>
    <s v="-"/>
    <n v="1"/>
    <n v="1"/>
    <n v="2"/>
    <n v="2"/>
    <n v="8"/>
    <n v="8"/>
  </r>
  <r>
    <x v="1"/>
    <x v="47"/>
    <d v="2026-02-03T00:00:00"/>
    <s v="3RD"/>
    <d v="1899-12-30T23:00:00"/>
    <n v="3"/>
    <x v="1"/>
    <n v="4.1999999999999997E-3"/>
    <s v="P"/>
    <s v="P"/>
    <s v="P"/>
    <s v="+"/>
    <s v="+"/>
    <n v="12.87"/>
    <n v="12.44"/>
    <n v="0.46"/>
    <n v="65.5"/>
    <s v="-"/>
    <s v="-"/>
    <n v="34.700000000000003"/>
    <s v="-"/>
    <s v="-"/>
    <s v="P"/>
    <s v="P"/>
    <s v="85% 5% 10%"/>
    <n v="2"/>
    <n v="1"/>
    <n v="2"/>
    <n v="1"/>
    <n v="1"/>
    <n v="2"/>
    <n v="2"/>
    <s v="-"/>
    <s v="-"/>
    <n v="2"/>
    <s v="-"/>
    <n v="13"/>
    <n v="13"/>
    <s v="-"/>
    <n v="1"/>
    <n v="1"/>
    <n v="2"/>
    <n v="2"/>
    <n v="15"/>
    <n v="15"/>
  </r>
  <r>
    <x v="1"/>
    <x v="47"/>
    <d v="2026-02-03T00:00:00"/>
    <s v="3RD"/>
    <d v="1899-12-31T00:00:00"/>
    <n v="3"/>
    <x v="1"/>
    <n v="3.8E-3"/>
    <s v="P"/>
    <s v="P"/>
    <s v="P"/>
    <s v="+"/>
    <s v="+"/>
    <n v="13.23"/>
    <s v="-"/>
    <s v="-"/>
    <s v="-"/>
    <s v="-"/>
    <s v="-"/>
    <s v="-"/>
    <s v="-"/>
    <s v="-"/>
    <s v="P"/>
    <s v="P"/>
    <s v="-"/>
    <n v="2"/>
    <n v="1"/>
    <n v="2"/>
    <n v="1"/>
    <s v="-"/>
    <s v="-"/>
    <s v="-"/>
    <s v="-"/>
    <s v="-"/>
    <s v="-"/>
    <s v="-"/>
    <n v="6"/>
    <n v="6"/>
    <s v="-"/>
    <n v="1"/>
    <n v="1"/>
    <n v="2"/>
    <n v="2"/>
    <n v="8"/>
    <n v="8"/>
  </r>
  <r>
    <x v="1"/>
    <x v="47"/>
    <d v="2026-02-03T00:00:00"/>
    <s v="3RD"/>
    <d v="1899-12-31T02:00:00"/>
    <n v="3"/>
    <x v="1"/>
    <n v="1.1299999999999999E-2"/>
    <s v="P"/>
    <s v="P"/>
    <s v="P"/>
    <s v="+"/>
    <s v="+"/>
    <n v="13.29"/>
    <s v="-"/>
    <s v="-"/>
    <s v="-"/>
    <s v="-"/>
    <s v="-"/>
    <s v="-"/>
    <s v="-"/>
    <s v="-"/>
    <s v="P"/>
    <s v="P"/>
    <s v="-"/>
    <n v="2"/>
    <n v="1"/>
    <n v="2"/>
    <n v="1"/>
    <s v="-"/>
    <s v="-"/>
    <s v="-"/>
    <s v="-"/>
    <s v="-"/>
    <s v="-"/>
    <s v="-"/>
    <n v="6"/>
    <n v="6"/>
    <s v="-"/>
    <n v="1"/>
    <n v="1"/>
    <n v="2"/>
    <n v="2"/>
    <n v="8"/>
    <n v="8"/>
  </r>
  <r>
    <x v="1"/>
    <x v="47"/>
    <d v="1902-03-26T00:00:00"/>
    <s v="1ST"/>
    <s v="06:00"/>
    <n v="2"/>
    <x v="14"/>
    <n v="1.3100000000000001E-2"/>
    <s v="P"/>
    <s v="P"/>
    <s v="P"/>
    <s v="-"/>
    <s v="+"/>
    <n v="11.02"/>
    <n v="8.81"/>
    <n v="0.68"/>
    <n v="57.6"/>
    <s v="-"/>
    <s v="-"/>
    <n v="23.88"/>
    <s v="-"/>
    <s v="-"/>
    <s v="P"/>
    <s v="P"/>
    <s v="-"/>
    <n v="2"/>
    <n v="1"/>
    <n v="2"/>
    <n v="1"/>
    <n v="1"/>
    <n v="0"/>
    <n v="2"/>
    <s v="-"/>
    <s v="-"/>
    <n v="2"/>
    <s v="-"/>
    <n v="11"/>
    <n v="13"/>
    <s v="-"/>
    <n v="1"/>
    <n v="1"/>
    <n v="2"/>
    <n v="2"/>
    <n v="13"/>
    <n v="15"/>
  </r>
  <r>
    <x v="1"/>
    <x v="47"/>
    <d v="1899-12-30T00:00:00"/>
    <s v="1ST"/>
    <s v="08:00"/>
    <n v="2"/>
    <x v="14"/>
    <n v="1.9400000000000001E-2"/>
    <s v="P"/>
    <s v="P"/>
    <s v="P"/>
    <s v="-"/>
    <s v="+"/>
    <n v="11.07"/>
    <s v="-"/>
    <s v="-"/>
    <s v="-"/>
    <s v="-"/>
    <s v="-"/>
    <s v="-"/>
    <s v="-"/>
    <s v="-"/>
    <s v="P"/>
    <s v="P"/>
    <n v="1"/>
    <n v="2"/>
    <n v="1"/>
    <n v="2"/>
    <n v="1"/>
    <s v="-"/>
    <s v="-"/>
    <s v="-"/>
    <s v="-"/>
    <s v="-"/>
    <s v="-"/>
    <s v="-"/>
    <n v="6"/>
    <n v="6"/>
    <s v="-"/>
    <n v="1"/>
    <n v="1"/>
    <n v="2"/>
    <n v="2"/>
    <n v="8"/>
    <n v="8"/>
  </r>
  <r>
    <x v="1"/>
    <x v="47"/>
    <d v="1902-03-26T00:00:00"/>
    <s v="1ST"/>
    <s v="09:00"/>
    <n v="2"/>
    <x v="4"/>
    <n v="1.7100000000000001E-2"/>
    <s v="P"/>
    <s v="P"/>
    <s v="P"/>
    <s v="-"/>
    <s v="+"/>
    <n v="10.72"/>
    <n v="8.6999999999999993"/>
    <n v="0.46"/>
    <n v="57.9"/>
    <s v="-"/>
    <s v="-"/>
    <n v="23.58"/>
    <s v="-"/>
    <s v="-"/>
    <s v="P"/>
    <s v="P"/>
    <s v="-"/>
    <n v="2"/>
    <n v="1"/>
    <n v="2"/>
    <n v="0"/>
    <n v="1"/>
    <n v="2"/>
    <n v="2"/>
    <s v="-"/>
    <s v="-"/>
    <n v="2"/>
    <s v="-"/>
    <n v="12"/>
    <n v="13"/>
    <s v="-"/>
    <n v="1"/>
    <n v="1"/>
    <n v="2"/>
    <n v="2"/>
    <n v="14"/>
    <n v="15"/>
  </r>
  <r>
    <x v="1"/>
    <x v="47"/>
    <d v="1899-12-30T00:00:00"/>
    <s v="1ST"/>
    <s v="11:00"/>
    <n v="2"/>
    <x v="4"/>
    <n v="3.5999999999999999E-3"/>
    <s v="P"/>
    <s v="P"/>
    <s v="P"/>
    <s v="-"/>
    <s v="+"/>
    <n v="10.94"/>
    <s v="-"/>
    <s v="-"/>
    <s v="-"/>
    <s v="-"/>
    <s v="-"/>
    <s v="-"/>
    <s v="-"/>
    <s v="-"/>
    <s v="P"/>
    <s v="P"/>
    <s v="-"/>
    <n v="2"/>
    <n v="1"/>
    <n v="2"/>
    <n v="0"/>
    <s v="-"/>
    <s v="-"/>
    <s v="-"/>
    <s v="-"/>
    <s v="-"/>
    <s v="-"/>
    <s v="-"/>
    <n v="5"/>
    <n v="6"/>
    <s v="-"/>
    <n v="1"/>
    <n v="1"/>
    <n v="2"/>
    <n v="2"/>
    <n v="7"/>
    <n v="8"/>
  </r>
  <r>
    <x v="1"/>
    <x v="47"/>
    <d v="1899-12-30T00:00:00"/>
    <s v="1ST"/>
    <s v="12:00"/>
    <n v="2"/>
    <x v="4"/>
    <n v="4.7999999999999996E-3"/>
    <s v="P"/>
    <s v="P"/>
    <s v="P"/>
    <s v="-"/>
    <s v="+"/>
    <n v="10.83"/>
    <s v="-"/>
    <s v="-"/>
    <s v="-"/>
    <s v="-"/>
    <s v="-"/>
    <s v="-"/>
    <s v="-"/>
    <s v="-"/>
    <s v="P"/>
    <s v="P"/>
    <s v="-"/>
    <n v="2"/>
    <n v="1"/>
    <n v="2"/>
    <n v="0"/>
    <s v="-"/>
    <s v="-"/>
    <s v="-"/>
    <s v="-"/>
    <s v="-"/>
    <s v="-"/>
    <s v="-"/>
    <n v="5"/>
    <n v="6"/>
    <s v="-"/>
    <n v="1"/>
    <n v="1"/>
    <n v="2"/>
    <n v="2"/>
    <n v="7"/>
    <n v="8"/>
  </r>
  <r>
    <x v="1"/>
    <x v="47"/>
    <d v="1899-12-30T00:00:00"/>
    <s v="1ST"/>
    <s v="13:00"/>
    <n v="2"/>
    <x v="4"/>
    <n v="7.7999999999999996E-3"/>
    <s v="P"/>
    <s v="P"/>
    <s v="P"/>
    <s v="-"/>
    <s v="+"/>
    <n v="11.09"/>
    <s v="-"/>
    <s v="-"/>
    <s v="-"/>
    <s v="-"/>
    <s v="-"/>
    <s v="-"/>
    <s v="-"/>
    <s v="-"/>
    <s v="P"/>
    <s v="P"/>
    <s v="-"/>
    <n v="2"/>
    <n v="1"/>
    <n v="2"/>
    <n v="1"/>
    <s v="-"/>
    <s v="-"/>
    <s v="-"/>
    <s v="-"/>
    <s v="-"/>
    <s v="-"/>
    <s v="-"/>
    <n v="6"/>
    <n v="6"/>
    <s v="-"/>
    <n v="1"/>
    <n v="1"/>
    <n v="2"/>
    <n v="2"/>
    <n v="8"/>
    <n v="8"/>
  </r>
  <r>
    <x v="1"/>
    <x v="47"/>
    <d v="1902-03-26T00:00:00"/>
    <s v="2ND"/>
    <d v="1899-12-30T14:00:00"/>
    <n v="2"/>
    <x v="4"/>
    <n v="5.7000000000000002E-3"/>
    <s v="P"/>
    <s v="P"/>
    <s v="P"/>
    <s v="-"/>
    <s v="+"/>
    <n v="11.17"/>
    <n v="8.61"/>
    <n v="0.61"/>
    <n v="56.2"/>
    <s v="-"/>
    <s v="-"/>
    <n v="23.24"/>
    <s v="-"/>
    <n v="25.2"/>
    <s v="P"/>
    <s v="P"/>
    <s v="-"/>
    <n v="2"/>
    <n v="1"/>
    <n v="2"/>
    <n v="1"/>
    <n v="1"/>
    <n v="0"/>
    <n v="2"/>
    <s v="-"/>
    <s v="-"/>
    <n v="2"/>
    <s v="-"/>
    <n v="11"/>
    <n v="13"/>
    <n v="1"/>
    <n v="1"/>
    <n v="1"/>
    <n v="3"/>
    <n v="3"/>
    <n v="14"/>
    <n v="16"/>
  </r>
  <r>
    <x v="1"/>
    <x v="47"/>
    <d v="1899-12-30T00:00:00"/>
    <s v="2ND"/>
    <d v="1899-12-30T15:00:00"/>
    <n v="2"/>
    <x v="4"/>
    <n v="6.8999999999999999E-3"/>
    <s v="P"/>
    <s v="P"/>
    <s v="P"/>
    <s v="-"/>
    <s v="+"/>
    <n v="10.92"/>
    <s v="-"/>
    <s v="-"/>
    <s v="-"/>
    <s v="-"/>
    <s v="-"/>
    <s v="-"/>
    <s v="-"/>
    <s v="-"/>
    <s v="P"/>
    <s v="P"/>
    <s v="60% 30% 10%"/>
    <n v="2"/>
    <n v="1"/>
    <n v="2"/>
    <n v="0"/>
    <s v="-"/>
    <s v="-"/>
    <s v="-"/>
    <s v="-"/>
    <s v="-"/>
    <s v="-"/>
    <s v="-"/>
    <n v="5"/>
    <n v="6"/>
    <s v="-"/>
    <n v="1"/>
    <n v="1"/>
    <n v="2"/>
    <n v="2"/>
    <n v="7"/>
    <n v="8"/>
  </r>
  <r>
    <x v="1"/>
    <x v="47"/>
    <d v="2026-02-24T00:00:00"/>
    <s v="3RD"/>
    <d v="1899-12-31T03:00:00"/>
    <n v="3"/>
    <x v="16"/>
    <n v="1.2500000000000001E-2"/>
    <s v="P"/>
    <s v="P"/>
    <s v="P"/>
    <s v="+"/>
    <s v="+"/>
    <n v="12.93"/>
    <n v="13.13"/>
    <s v="-"/>
    <n v="65.7"/>
    <s v="-"/>
    <s v="-"/>
    <n v="36.799999999999997"/>
    <s v="-"/>
    <s v="-"/>
    <s v="P"/>
    <s v="P"/>
    <n v="1"/>
    <n v="2"/>
    <n v="1"/>
    <n v="2"/>
    <n v="1"/>
    <n v="1"/>
    <s v="-"/>
    <n v="2"/>
    <s v="-"/>
    <s v="-"/>
    <n v="2"/>
    <s v="-"/>
    <n v="11"/>
    <n v="11"/>
    <s v="-"/>
    <n v="1"/>
    <n v="1"/>
    <n v="2"/>
    <n v="2"/>
    <n v="13"/>
    <n v="13"/>
  </r>
  <r>
    <x v="1"/>
    <x v="47"/>
    <d v="2026-02-24T00:00:00"/>
    <s v="3RD"/>
    <d v="1899-12-31T04:00:00"/>
    <n v="3"/>
    <x v="16"/>
    <n v="4.8999999999999998E-3"/>
    <s v="P"/>
    <s v="P"/>
    <s v="P"/>
    <s v="+"/>
    <s v="+"/>
    <n v="13.27"/>
    <s v="-"/>
    <s v="-"/>
    <s v="-"/>
    <s v="-"/>
    <s v="-"/>
    <s v="-"/>
    <s v="-"/>
    <s v="-"/>
    <s v="P"/>
    <s v="P"/>
    <s v="-"/>
    <n v="2"/>
    <n v="1"/>
    <n v="2"/>
    <n v="1"/>
    <s v="-"/>
    <s v="-"/>
    <s v="-"/>
    <s v="-"/>
    <s v="-"/>
    <s v="-"/>
    <s v="-"/>
    <n v="6"/>
    <n v="6"/>
    <s v="-"/>
    <n v="1"/>
    <n v="1"/>
    <n v="2"/>
    <n v="2"/>
    <n v="8"/>
    <n v="8"/>
  </r>
  <r>
    <x v="1"/>
    <x v="47"/>
    <d v="2026-02-24T00:00:00"/>
    <s v="3RD"/>
    <d v="1899-12-31T05:00:00"/>
    <n v="3"/>
    <x v="16"/>
    <n v="5.4999999999999997E-3"/>
    <s v="P"/>
    <s v="P"/>
    <s v="P"/>
    <s v="+"/>
    <s v="+"/>
    <n v="13.09"/>
    <s v="-"/>
    <s v="-"/>
    <s v="-"/>
    <s v="-"/>
    <s v="-"/>
    <s v="-"/>
    <s v="-"/>
    <s v="-"/>
    <s v="P"/>
    <s v="P"/>
    <s v="-"/>
    <n v="2"/>
    <n v="1"/>
    <n v="2"/>
    <n v="1"/>
    <s v="-"/>
    <s v="-"/>
    <s v="-"/>
    <s v="-"/>
    <s v="-"/>
    <s v="-"/>
    <s v="-"/>
    <n v="6"/>
    <n v="6"/>
    <s v="-"/>
    <n v="1"/>
    <n v="1"/>
    <n v="2"/>
    <n v="2"/>
    <n v="8"/>
    <n v="8"/>
  </r>
  <r>
    <x v="1"/>
    <x v="47"/>
    <d v="2026-02-26T00:00:00"/>
    <s v="1ST"/>
    <s v="09:00"/>
    <n v="1"/>
    <x v="22"/>
    <n v="1.9400000000000001E-2"/>
    <s v="P"/>
    <s v="P"/>
    <s v="P"/>
    <s v="-"/>
    <s v="-"/>
    <n v="10.74"/>
    <n v="9.11"/>
    <n v="0.54"/>
    <n v="57.3"/>
    <s v="-"/>
    <s v="-"/>
    <n v="24.72"/>
    <s v="-"/>
    <s v="-"/>
    <s v="P"/>
    <s v="P"/>
    <n v="1"/>
    <n v="2"/>
    <n v="1"/>
    <n v="2"/>
    <n v="0"/>
    <n v="1"/>
    <n v="2"/>
    <n v="2"/>
    <s v="-"/>
    <s v="-"/>
    <n v="2"/>
    <s v="-"/>
    <n v="12"/>
    <n v="13"/>
    <s v="-"/>
    <n v="1"/>
    <n v="1"/>
    <n v="2"/>
    <n v="2"/>
    <n v="14"/>
    <n v="15"/>
  </r>
  <r>
    <x v="1"/>
    <x v="47"/>
    <d v="2026-02-26T00:00:00"/>
    <s v="1ST"/>
    <s v="11:00"/>
    <n v="1"/>
    <x v="22"/>
    <n v="5.4999999999999997E-3"/>
    <s v="P"/>
    <s v="P"/>
    <s v="P"/>
    <s v="-"/>
    <s v="-"/>
    <n v="11.32"/>
    <s v="-"/>
    <s v="-"/>
    <s v="-"/>
    <s v="-"/>
    <s v="-"/>
    <s v="-"/>
    <s v="-"/>
    <s v="-"/>
    <s v="P"/>
    <s v="P"/>
    <s v="-"/>
    <n v="2"/>
    <n v="1"/>
    <n v="2"/>
    <n v="1"/>
    <s v="-"/>
    <s v="-"/>
    <s v="-"/>
    <s v="-"/>
    <s v="-"/>
    <s v="-"/>
    <s v="-"/>
    <n v="6"/>
    <n v="6"/>
    <s v="-"/>
    <n v="1"/>
    <n v="1"/>
    <n v="2"/>
    <n v="2"/>
    <n v="8"/>
    <n v="8"/>
  </r>
  <r>
    <x v="1"/>
    <x v="47"/>
    <d v="2026-02-26T00:00:00"/>
    <s v="1ST"/>
    <s v="12:00"/>
    <n v="1"/>
    <x v="22"/>
    <n v="9.7000000000000003E-3"/>
    <s v="P"/>
    <s v="P"/>
    <s v="P"/>
    <s v="-"/>
    <s v="-"/>
    <n v="11.41"/>
    <s v="-"/>
    <s v="-"/>
    <s v="-"/>
    <s v="-"/>
    <s v="-"/>
    <s v="-"/>
    <s v="-"/>
    <s v="-"/>
    <s v="P"/>
    <s v="P"/>
    <s v="-"/>
    <n v="2"/>
    <n v="1"/>
    <n v="2"/>
    <n v="1"/>
    <s v="-"/>
    <s v="-"/>
    <s v="-"/>
    <s v="-"/>
    <s v="-"/>
    <s v="-"/>
    <s v="-"/>
    <n v="6"/>
    <n v="6"/>
    <s v="-"/>
    <n v="1"/>
    <n v="1"/>
    <n v="2"/>
    <n v="2"/>
    <n v="8"/>
    <n v="8"/>
  </r>
  <r>
    <x v="1"/>
    <x v="47"/>
    <d v="2026-02-26T00:00:00"/>
    <s v="1ST"/>
    <s v="13:00"/>
    <n v="1"/>
    <x v="22"/>
    <n v="8.3000000000000001E-3"/>
    <s v="P"/>
    <s v="P"/>
    <s v="P"/>
    <s v="-"/>
    <s v="-"/>
    <n v="11.48"/>
    <s v="-"/>
    <s v="-"/>
    <s v="-"/>
    <s v="-"/>
    <s v="-"/>
    <s v="-"/>
    <s v="-"/>
    <s v="-"/>
    <s v="P"/>
    <s v="P"/>
    <s v="-"/>
    <n v="2"/>
    <n v="1"/>
    <n v="2"/>
    <n v="1"/>
    <s v="-"/>
    <s v="-"/>
    <s v="-"/>
    <s v="-"/>
    <s v="-"/>
    <s v="-"/>
    <s v="-"/>
    <n v="6"/>
    <n v="6"/>
    <s v="-"/>
    <n v="1"/>
    <n v="1"/>
    <n v="2"/>
    <n v="2"/>
    <n v="8"/>
    <n v="8"/>
  </r>
  <r>
    <x v="1"/>
    <x v="47"/>
    <s v="-"/>
    <s v="2ND"/>
    <d v="1899-12-30T14:00:00"/>
    <n v="1"/>
    <x v="22"/>
    <n v="9.4000000000000004E-3"/>
    <s v="P"/>
    <s v="P"/>
    <s v="P"/>
    <s v="-"/>
    <s v="-"/>
    <n v="11.58"/>
    <n v="8.2799999999999994"/>
    <n v="0.54"/>
    <s v="-"/>
    <s v="-"/>
    <s v="-"/>
    <n v="22.08"/>
    <s v="-"/>
    <n v="25.12"/>
    <s v="P"/>
    <s v="P"/>
    <n v="1"/>
    <n v="2"/>
    <n v="1"/>
    <n v="2"/>
    <n v="1"/>
    <n v="0"/>
    <n v="2"/>
    <s v="-"/>
    <s v="-"/>
    <s v="-"/>
    <n v="2"/>
    <s v="-"/>
    <n v="10"/>
    <n v="11"/>
    <n v="1"/>
    <n v="1"/>
    <n v="1"/>
    <n v="3"/>
    <n v="3"/>
    <n v="13"/>
    <n v="14"/>
  </r>
  <r>
    <x v="1"/>
    <x v="47"/>
    <d v="2026-02-26T00:00:00"/>
    <s v="2ND"/>
    <d v="1899-12-30T15:00:00"/>
    <n v="1"/>
    <x v="22"/>
    <n v="5.3E-3"/>
    <s v="P"/>
    <s v="P"/>
    <s v="P"/>
    <s v="-"/>
    <s v="-"/>
    <n v="10.93"/>
    <s v="-"/>
    <s v="-"/>
    <s v="-"/>
    <s v="-"/>
    <s v="-"/>
    <s v="-"/>
    <s v="-"/>
    <s v="-"/>
    <s v="P"/>
    <s v="P"/>
    <s v="-"/>
    <n v="2"/>
    <n v="1"/>
    <n v="2"/>
    <n v="0"/>
    <s v="-"/>
    <s v="-"/>
    <s v="-"/>
    <s v="-"/>
    <s v="-"/>
    <s v="-"/>
    <s v="-"/>
    <n v="5"/>
    <n v="6"/>
    <s v="-"/>
    <n v="1"/>
    <n v="1"/>
    <n v="2"/>
    <n v="2"/>
    <n v="7"/>
    <n v="8"/>
  </r>
  <r>
    <x v="1"/>
    <x v="47"/>
    <d v="2026-02-26T00:00:00"/>
    <s v="2ND"/>
    <d v="1899-12-30T16:00:00"/>
    <n v="1"/>
    <x v="22"/>
    <n v="6.1000000000000004E-3"/>
    <s v="P"/>
    <s v="P"/>
    <s v="P"/>
    <s v="-"/>
    <s v="-"/>
    <n v="11.6"/>
    <s v="-"/>
    <s v="-"/>
    <s v="-"/>
    <s v="-"/>
    <s v="-"/>
    <s v="-"/>
    <s v="-"/>
    <s v="-"/>
    <s v="P"/>
    <s v="P"/>
    <s v="-"/>
    <n v="2"/>
    <n v="1"/>
    <n v="2"/>
    <n v="1"/>
    <s v="-"/>
    <s v="-"/>
    <s v="-"/>
    <s v="-"/>
    <s v="-"/>
    <s v="-"/>
    <s v="-"/>
    <n v="6"/>
    <n v="6"/>
    <s v="-"/>
    <n v="1"/>
    <n v="1"/>
    <n v="2"/>
    <n v="2"/>
    <n v="8"/>
    <n v="8"/>
  </r>
  <r>
    <x v="1"/>
    <x v="47"/>
    <d v="2026-02-26T00:00:00"/>
    <s v="2ND"/>
    <d v="1899-12-30T17:00:00"/>
    <n v="1"/>
    <x v="22"/>
    <n v="2.3999999999999998E-3"/>
    <s v="P"/>
    <s v="P"/>
    <s v="P"/>
    <s v="-"/>
    <s v="-"/>
    <n v="10.89"/>
    <s v="-"/>
    <s v="-"/>
    <s v="-"/>
    <s v="-"/>
    <s v="-"/>
    <s v="-"/>
    <s v="-"/>
    <s v="-"/>
    <s v="P"/>
    <s v="P"/>
    <s v="-"/>
    <n v="2"/>
    <n v="1"/>
    <n v="2"/>
    <n v="0"/>
    <s v="-"/>
    <s v="-"/>
    <s v="-"/>
    <s v="-"/>
    <s v="-"/>
    <s v="-"/>
    <s v="-"/>
    <n v="5"/>
    <n v="6"/>
    <s v="-"/>
    <n v="1"/>
    <n v="1"/>
    <n v="2"/>
    <n v="2"/>
    <n v="7"/>
    <n v="8"/>
  </r>
  <r>
    <x v="1"/>
    <x v="47"/>
    <d v="2026-02-26T00:00:00"/>
    <s v="2ND"/>
    <d v="1899-12-30T19:00:00"/>
    <n v="1"/>
    <x v="22"/>
    <n v="1.1900000000000001E-2"/>
    <s v="P"/>
    <s v="P"/>
    <s v="P"/>
    <s v="-"/>
    <s v="-"/>
    <n v="10.96"/>
    <s v="-"/>
    <s v="-"/>
    <s v="-"/>
    <s v="-"/>
    <s v="-"/>
    <s v="-"/>
    <s v="-"/>
    <s v="-"/>
    <s v="P"/>
    <s v="P"/>
    <s v="-"/>
    <n v="2"/>
    <n v="1"/>
    <n v="2"/>
    <n v="0"/>
    <s v="-"/>
    <s v="-"/>
    <s v="-"/>
    <s v="-"/>
    <s v="-"/>
    <s v="-"/>
    <s v="-"/>
    <n v="5"/>
    <n v="6"/>
    <s v="-"/>
    <n v="1"/>
    <n v="1"/>
    <n v="2"/>
    <n v="2"/>
    <n v="7"/>
    <n v="8"/>
  </r>
  <r>
    <x v="1"/>
    <x v="47"/>
    <d v="2026-02-26T00:00:00"/>
    <s v="2ND"/>
    <d v="1899-12-30T20:00:00"/>
    <n v="1"/>
    <x v="22"/>
    <n v="1.6199999999999999E-2"/>
    <s v="P"/>
    <s v="P"/>
    <s v="P"/>
    <s v="-"/>
    <s v="-"/>
    <n v="11.08"/>
    <s v="-"/>
    <s v="-"/>
    <s v="-"/>
    <s v="-"/>
    <s v="-"/>
    <s v="-"/>
    <s v="-"/>
    <s v="-"/>
    <s v="P"/>
    <s v="P"/>
    <s v="-"/>
    <n v="2"/>
    <n v="1"/>
    <n v="2"/>
    <n v="1"/>
    <s v="-"/>
    <s v="-"/>
    <s v="-"/>
    <s v="-"/>
    <s v="-"/>
    <s v="-"/>
    <s v="-"/>
    <n v="6"/>
    <n v="6"/>
    <s v="-"/>
    <n v="1"/>
    <n v="1"/>
    <n v="2"/>
    <n v="2"/>
    <n v="8"/>
    <n v="8"/>
  </r>
  <r>
    <x v="1"/>
    <x v="47"/>
    <s v="-"/>
    <s v="3RD"/>
    <d v="1899-12-30T22:00:00"/>
    <n v="1"/>
    <x v="22"/>
    <n v="6.4000000000000003E-3"/>
    <s v="P"/>
    <s v="P"/>
    <s v="P"/>
    <s v="-"/>
    <s v="-"/>
    <n v="11.85"/>
    <n v="8.69"/>
    <n v="0.54"/>
    <s v="-"/>
    <s v="-"/>
    <s v="-"/>
    <n v="27.22"/>
    <s v="-"/>
    <s v="-"/>
    <s v="P"/>
    <s v="P"/>
    <n v="1"/>
    <n v="2"/>
    <n v="1"/>
    <n v="2"/>
    <n v="1"/>
    <n v="1"/>
    <n v="2"/>
    <s v="-"/>
    <s v="-"/>
    <s v="-"/>
    <n v="2"/>
    <s v="-"/>
    <n v="11"/>
    <n v="11"/>
    <s v="-"/>
    <n v="1"/>
    <n v="1"/>
    <n v="2"/>
    <n v="2"/>
    <n v="13"/>
    <n v="13"/>
  </r>
  <r>
    <x v="1"/>
    <x v="48"/>
    <d v="1902-03-26T00:00:00"/>
    <s v="1ST"/>
    <s v="09:00"/>
    <n v="2"/>
    <x v="7"/>
    <n v="7.1000000000000004E-3"/>
    <s v="P"/>
    <s v="P"/>
    <s v="P"/>
    <s v="-"/>
    <s v="+"/>
    <n v="10.94"/>
    <n v="8.5299999999999994"/>
    <n v="0.53"/>
    <n v="56.1"/>
    <s v="-"/>
    <s v="-"/>
    <n v="23"/>
    <s v="-"/>
    <s v="-"/>
    <s v="P"/>
    <s v="P"/>
    <s v="-"/>
    <n v="2"/>
    <n v="1"/>
    <n v="2"/>
    <n v="0"/>
    <n v="1"/>
    <n v="2"/>
    <n v="2"/>
    <s v="-"/>
    <s v="-"/>
    <n v="2"/>
    <s v="-"/>
    <n v="12"/>
    <n v="13"/>
    <s v="-"/>
    <n v="1"/>
    <n v="1"/>
    <n v="2"/>
    <n v="2"/>
    <n v="14"/>
    <n v="15"/>
  </r>
  <r>
    <x v="1"/>
    <x v="48"/>
    <d v="1899-12-30T00:00:00"/>
    <s v="1ST"/>
    <s v="10:00"/>
    <n v="2"/>
    <x v="7"/>
    <n v="7.0000000000000001E-3"/>
    <s v="P"/>
    <s v="P"/>
    <s v="P"/>
    <s v="-"/>
    <s v="+"/>
    <n v="11.26"/>
    <s v="-"/>
    <s v="-"/>
    <s v="-"/>
    <s v="-"/>
    <s v="-"/>
    <s v="-"/>
    <s v="-"/>
    <s v="-"/>
    <s v="P"/>
    <s v="P"/>
    <s v="-"/>
    <n v="2"/>
    <n v="1"/>
    <n v="2"/>
    <n v="1"/>
    <s v="-"/>
    <s v="-"/>
    <s v="-"/>
    <s v="-"/>
    <s v="-"/>
    <s v="-"/>
    <s v="-"/>
    <n v="6"/>
    <n v="6"/>
    <s v="-"/>
    <n v="1"/>
    <n v="1"/>
    <n v="2"/>
    <n v="2"/>
    <n v="8"/>
    <n v="8"/>
  </r>
  <r>
    <x v="1"/>
    <x v="48"/>
    <d v="1899-12-30T00:00:00"/>
    <s v="1ST"/>
    <s v="11:00"/>
    <n v="2"/>
    <x v="7"/>
    <n v="8.8999999999999999E-3"/>
    <s v="P"/>
    <s v="P"/>
    <s v="P"/>
    <s v="-"/>
    <s v="+"/>
    <n v="11.32"/>
    <s v="-"/>
    <s v="-"/>
    <s v="-"/>
    <s v="-"/>
    <s v="-"/>
    <s v="-"/>
    <s v="-"/>
    <s v="-"/>
    <s v="P"/>
    <s v="P"/>
    <s v="-"/>
    <n v="2"/>
    <n v="1"/>
    <n v="2"/>
    <n v="1"/>
    <s v="-"/>
    <s v="-"/>
    <s v="-"/>
    <s v="-"/>
    <s v="-"/>
    <s v="-"/>
    <s v="-"/>
    <n v="6"/>
    <n v="6"/>
    <s v="-"/>
    <n v="1"/>
    <n v="1"/>
    <n v="2"/>
    <n v="2"/>
    <n v="8"/>
    <n v="8"/>
  </r>
  <r>
    <x v="1"/>
    <x v="48"/>
    <d v="1899-12-30T00:00:00"/>
    <s v="1ST"/>
    <s v="12:00"/>
    <n v="2"/>
    <x v="7"/>
    <n v="8.0999999999999996E-3"/>
    <s v="P"/>
    <s v="P"/>
    <s v="P"/>
    <s v="-"/>
    <s v="+"/>
    <n v="11.05"/>
    <s v="-"/>
    <s v="-"/>
    <s v="-"/>
    <s v="-"/>
    <s v="-"/>
    <s v="-"/>
    <s v="-"/>
    <s v="-"/>
    <s v="P"/>
    <s v="P"/>
    <s v="-"/>
    <n v="2"/>
    <n v="1"/>
    <n v="2"/>
    <n v="1"/>
    <s v="-"/>
    <s v="-"/>
    <s v="-"/>
    <s v="-"/>
    <s v="-"/>
    <s v="-"/>
    <s v="-"/>
    <n v="6"/>
    <n v="6"/>
    <s v="-"/>
    <n v="1"/>
    <n v="1"/>
    <n v="2"/>
    <n v="2"/>
    <n v="8"/>
    <n v="8"/>
  </r>
  <r>
    <x v="1"/>
    <x v="48"/>
    <d v="1902-03-26T00:00:00"/>
    <s v="2ND"/>
    <d v="1899-12-30T16:00:00"/>
    <n v="2"/>
    <x v="7"/>
    <n v="1.35E-2"/>
    <s v="P"/>
    <s v="P"/>
    <s v="P"/>
    <s v="-"/>
    <s v="+"/>
    <n v="10.92"/>
    <n v="8.74"/>
    <s v="-"/>
    <s v="-"/>
    <s v="-"/>
    <s v="-"/>
    <n v="23.58"/>
    <s v="-"/>
    <s v="-"/>
    <s v="P"/>
    <s v="P"/>
    <s v="-"/>
    <n v="2"/>
    <n v="1"/>
    <n v="2"/>
    <n v="0"/>
    <n v="1"/>
    <s v="-"/>
    <s v="-"/>
    <s v="-"/>
    <s v="-"/>
    <n v="2"/>
    <s v="-"/>
    <n v="8"/>
    <n v="9"/>
    <s v="-"/>
    <n v="1"/>
    <n v="1"/>
    <n v="2"/>
    <n v="2"/>
    <n v="10"/>
    <n v="11"/>
  </r>
  <r>
    <x v="1"/>
    <x v="48"/>
    <d v="1899-12-30T00:00:00"/>
    <s v="2ND"/>
    <d v="1899-12-30T20:00:00"/>
    <n v="2"/>
    <x v="7"/>
    <n v="8.9999999999999998E-4"/>
    <s v="P"/>
    <s v="P"/>
    <s v="P"/>
    <s v="-"/>
    <s v="+"/>
    <n v="11.06"/>
    <s v="-"/>
    <s v="-"/>
    <s v="-"/>
    <s v="-"/>
    <s v="-"/>
    <s v="-"/>
    <s v="-"/>
    <s v="-"/>
    <s v="P"/>
    <s v="P"/>
    <s v="-"/>
    <n v="2"/>
    <n v="1"/>
    <n v="2"/>
    <n v="1"/>
    <s v="-"/>
    <s v="-"/>
    <s v="-"/>
    <s v="-"/>
    <s v="-"/>
    <s v="-"/>
    <s v="-"/>
    <n v="6"/>
    <n v="6"/>
    <s v="-"/>
    <n v="1"/>
    <n v="1"/>
    <n v="2"/>
    <n v="2"/>
    <n v="8"/>
    <n v="8"/>
  </r>
  <r>
    <x v="1"/>
    <x v="48"/>
    <d v="1899-12-30T00:00:00"/>
    <s v="2ND"/>
    <d v="1899-12-30T21:00:00"/>
    <n v="2"/>
    <x v="7"/>
    <n v="1.6999999999999999E-3"/>
    <s v="P"/>
    <s v="P"/>
    <s v="P"/>
    <s v="-"/>
    <s v="+"/>
    <n v="10.83"/>
    <s v="-"/>
    <s v="-"/>
    <s v="-"/>
    <s v="-"/>
    <s v="-"/>
    <s v="-"/>
    <s v="-"/>
    <s v="-"/>
    <s v="P"/>
    <s v="P"/>
    <s v="-"/>
    <n v="2"/>
    <n v="1"/>
    <n v="2"/>
    <n v="0"/>
    <s v="-"/>
    <s v="-"/>
    <s v="-"/>
    <s v="-"/>
    <s v="-"/>
    <s v="-"/>
    <s v="-"/>
    <n v="5"/>
    <n v="6"/>
    <s v="-"/>
    <n v="1"/>
    <n v="1"/>
    <n v="2"/>
    <n v="2"/>
    <n v="7"/>
    <n v="8"/>
  </r>
  <r>
    <x v="1"/>
    <x v="48"/>
    <d v="1902-03-26T00:00:00"/>
    <s v="3RD"/>
    <d v="1899-12-30T22:00:00"/>
    <n v="2"/>
    <x v="7"/>
    <n v="2.8999999999999998E-3"/>
    <s v="P"/>
    <s v="P"/>
    <s v="P"/>
    <s v="-"/>
    <s v="+"/>
    <n v="10.92"/>
    <n v="8.73"/>
    <n v="0.57999999999999996"/>
    <s v="-"/>
    <s v="-"/>
    <s v="-"/>
    <n v="23.58"/>
    <s v="-"/>
    <s v="-"/>
    <s v="P"/>
    <s v="P"/>
    <s v="85% 15%"/>
    <n v="2"/>
    <n v="1"/>
    <n v="2"/>
    <n v="0"/>
    <n v="1"/>
    <n v="2"/>
    <s v="-"/>
    <s v="-"/>
    <s v="-"/>
    <n v="2"/>
    <s v="-"/>
    <n v="10"/>
    <n v="11"/>
    <s v="-"/>
    <n v="1"/>
    <n v="1"/>
    <n v="2"/>
    <n v="2"/>
    <n v="12"/>
    <n v="13"/>
  </r>
  <r>
    <x v="1"/>
    <x v="48"/>
    <d v="1899-12-30T00:00:00"/>
    <s v="3RD"/>
    <d v="1899-12-30T23:00:00"/>
    <n v="2"/>
    <x v="1"/>
    <n v="4.3E-3"/>
    <s v="P"/>
    <s v="P"/>
    <s v="P"/>
    <s v="+"/>
    <s v="+"/>
    <n v="11.61"/>
    <n v="12.48"/>
    <n v="0.55000000000000004"/>
    <n v="63.8"/>
    <s v="-"/>
    <s v="-"/>
    <n v="34.9"/>
    <s v="-"/>
    <s v="-"/>
    <s v="P"/>
    <s v="P"/>
    <s v="-"/>
    <n v="2"/>
    <n v="1"/>
    <n v="2"/>
    <n v="0"/>
    <n v="1"/>
    <n v="2"/>
    <n v="0"/>
    <s v="-"/>
    <s v="-"/>
    <n v="2"/>
    <s v="-"/>
    <n v="10"/>
    <n v="13"/>
    <s v="-"/>
    <n v="1"/>
    <n v="1"/>
    <n v="2"/>
    <n v="2"/>
    <n v="12"/>
    <n v="15"/>
  </r>
  <r>
    <x v="1"/>
    <x v="48"/>
    <d v="1899-12-30T00:00:00"/>
    <s v="3RD"/>
    <d v="1899-12-31T00:00:00"/>
    <n v="2"/>
    <x v="1"/>
    <n v="3.7000000000000002E-3"/>
    <s v="P"/>
    <s v="P"/>
    <s v="P"/>
    <s v="+"/>
    <s v="+"/>
    <n v="11.25"/>
    <s v="-"/>
    <s v="-"/>
    <s v="-"/>
    <s v="-"/>
    <s v="-"/>
    <s v="-"/>
    <s v="-"/>
    <s v="-"/>
    <s v="P"/>
    <s v="P"/>
    <s v="-"/>
    <n v="2"/>
    <n v="1"/>
    <n v="2"/>
    <n v="0"/>
    <s v="-"/>
    <s v="-"/>
    <s v="-"/>
    <s v="-"/>
    <s v="-"/>
    <s v="-"/>
    <s v="-"/>
    <n v="5"/>
    <n v="6"/>
    <s v="-"/>
    <n v="1"/>
    <n v="1"/>
    <n v="2"/>
    <n v="2"/>
    <n v="7"/>
    <n v="8"/>
  </r>
  <r>
    <x v="1"/>
    <x v="48"/>
    <d v="1899-12-30T00:00:00"/>
    <s v="3RD"/>
    <d v="1899-12-31T01:00:00"/>
    <n v="2"/>
    <x v="1"/>
    <n v="4.0000000000000001E-3"/>
    <s v="P"/>
    <s v="P"/>
    <s v="P"/>
    <s v="+"/>
    <s v="+"/>
    <n v="12.51"/>
    <s v="-"/>
    <s v="-"/>
    <s v="-"/>
    <s v="-"/>
    <s v="-"/>
    <s v="-"/>
    <s v="-"/>
    <s v="-"/>
    <s v="P"/>
    <s v="P"/>
    <s v="-"/>
    <n v="2"/>
    <n v="1"/>
    <n v="2"/>
    <n v="1"/>
    <s v="-"/>
    <s v="-"/>
    <s v="-"/>
    <s v="-"/>
    <s v="-"/>
    <s v="-"/>
    <s v="-"/>
    <n v="6"/>
    <n v="6"/>
    <s v="-"/>
    <n v="1"/>
    <n v="1"/>
    <n v="2"/>
    <n v="2"/>
    <n v="8"/>
    <n v="8"/>
  </r>
  <r>
    <x v="1"/>
    <x v="48"/>
    <d v="1899-12-30T00:00:00"/>
    <s v="3RD"/>
    <d v="1899-12-31T02:00:00"/>
    <n v="2"/>
    <x v="1"/>
    <n v="3.0000000000000001E-3"/>
    <s v="P"/>
    <s v="P"/>
    <s v="P"/>
    <s v="+"/>
    <s v="+"/>
    <n v="12.3"/>
    <s v="-"/>
    <s v="-"/>
    <s v="-"/>
    <s v="-"/>
    <s v="-"/>
    <s v="-"/>
    <s v="-"/>
    <s v="-"/>
    <s v="P"/>
    <s v="P"/>
    <s v="-"/>
    <n v="2"/>
    <n v="1"/>
    <n v="2"/>
    <n v="1"/>
    <s v="-"/>
    <s v="-"/>
    <s v="-"/>
    <s v="-"/>
    <s v="-"/>
    <s v="-"/>
    <s v="-"/>
    <n v="6"/>
    <n v="6"/>
    <s v="-"/>
    <n v="1"/>
    <n v="1"/>
    <n v="2"/>
    <n v="2"/>
    <n v="8"/>
    <n v="8"/>
  </r>
  <r>
    <x v="1"/>
    <x v="48"/>
    <d v="1899-12-30T00:00:00"/>
    <s v="3RD"/>
    <d v="1899-12-31T03:00:00"/>
    <n v="2"/>
    <x v="1"/>
    <n v="3.3999999999999998E-3"/>
    <s v="P"/>
    <s v="P"/>
    <s v="P"/>
    <s v="+"/>
    <s v="+"/>
    <n v="11.88"/>
    <s v="-"/>
    <s v="-"/>
    <s v="-"/>
    <s v="-"/>
    <s v="-"/>
    <s v="-"/>
    <s v="-"/>
    <s v="-"/>
    <s v="P"/>
    <s v="P"/>
    <s v="-"/>
    <n v="2"/>
    <n v="1"/>
    <n v="2"/>
    <n v="0"/>
    <s v="-"/>
    <s v="-"/>
    <s v="-"/>
    <s v="-"/>
    <s v="-"/>
    <s v="-"/>
    <s v="-"/>
    <n v="5"/>
    <n v="6"/>
    <s v="-"/>
    <n v="1"/>
    <n v="1"/>
    <n v="2"/>
    <n v="2"/>
    <n v="7"/>
    <n v="8"/>
  </r>
  <r>
    <x v="1"/>
    <x v="48"/>
    <d v="1899-12-30T00:00:00"/>
    <s v="3RD"/>
    <d v="1899-12-31T04:00:00"/>
    <n v="2"/>
    <x v="1"/>
    <n v="2.5999999999999999E-3"/>
    <s v="P"/>
    <s v="P"/>
    <s v="P"/>
    <s v="+"/>
    <s v="+"/>
    <n v="12"/>
    <s v="-"/>
    <s v="-"/>
    <s v="-"/>
    <s v="-"/>
    <s v="-"/>
    <s v="-"/>
    <s v="-"/>
    <n v="25.18"/>
    <s v="P"/>
    <s v="P"/>
    <s v="-"/>
    <n v="2"/>
    <n v="1"/>
    <n v="2"/>
    <n v="1"/>
    <s v="-"/>
    <s v="-"/>
    <s v="-"/>
    <s v="-"/>
    <s v="-"/>
    <s v="-"/>
    <s v="-"/>
    <n v="6"/>
    <n v="6"/>
    <n v="1"/>
    <n v="1"/>
    <n v="1"/>
    <n v="3"/>
    <n v="3"/>
    <n v="9"/>
    <n v="9"/>
  </r>
  <r>
    <x v="1"/>
    <x v="48"/>
    <d v="2026-02-15T00:00:00"/>
    <s v="3RD"/>
    <d v="1899-12-30T23:00:00"/>
    <n v="3"/>
    <x v="1"/>
    <n v="5.5999999999999999E-3"/>
    <s v="P"/>
    <s v="P"/>
    <s v="P"/>
    <s v="+"/>
    <s v="+"/>
    <n v="12.39"/>
    <n v="12.77"/>
    <n v="0.54"/>
    <n v="65.2"/>
    <s v="-"/>
    <s v="-"/>
    <n v="35.6"/>
    <s v="-"/>
    <s v="-"/>
    <s v="P"/>
    <s v="P"/>
    <s v="85% 10% 5%"/>
    <n v="2"/>
    <n v="1"/>
    <n v="2"/>
    <n v="1"/>
    <n v="1"/>
    <n v="2"/>
    <n v="2"/>
    <s v="-"/>
    <s v="-"/>
    <n v="2"/>
    <s v="-"/>
    <n v="13"/>
    <n v="13"/>
    <s v="-"/>
    <n v="1"/>
    <n v="1"/>
    <n v="2"/>
    <n v="2"/>
    <n v="15"/>
    <n v="15"/>
  </r>
  <r>
    <x v="1"/>
    <x v="48"/>
    <d v="2026-02-15T00:00:00"/>
    <s v="3RD"/>
    <d v="1899-12-31T00:00:00"/>
    <n v="3"/>
    <x v="1"/>
    <n v="3.3E-3"/>
    <s v="P"/>
    <s v="P"/>
    <s v="P"/>
    <s v="+"/>
    <s v="+"/>
    <n v="12.71"/>
    <s v="-"/>
    <s v="-"/>
    <s v="-"/>
    <s v="-"/>
    <s v="-"/>
    <s v="-"/>
    <s v="-"/>
    <s v="-"/>
    <s v="P"/>
    <s v="P"/>
    <s v="-"/>
    <n v="2"/>
    <n v="1"/>
    <n v="2"/>
    <n v="1"/>
    <s v="-"/>
    <s v="-"/>
    <s v="-"/>
    <s v="-"/>
    <s v="-"/>
    <s v="-"/>
    <s v="-"/>
    <n v="6"/>
    <n v="6"/>
    <s v="-"/>
    <n v="1"/>
    <n v="1"/>
    <n v="2"/>
    <n v="2"/>
    <n v="8"/>
    <n v="8"/>
  </r>
  <r>
    <x v="1"/>
    <x v="48"/>
    <d v="2026-02-15T00:00:00"/>
    <s v="3RD"/>
    <d v="1899-12-31T02:00:00"/>
    <n v="3"/>
    <x v="1"/>
    <n v="3.8999999999999998E-3"/>
    <s v="P"/>
    <s v="P"/>
    <s v="P"/>
    <s v="+"/>
    <s v="+"/>
    <n v="12.58"/>
    <s v="-"/>
    <s v="-"/>
    <s v="-"/>
    <s v="-"/>
    <s v="-"/>
    <s v="-"/>
    <s v="-"/>
    <s v="-"/>
    <s v="P"/>
    <s v="P"/>
    <s v="-"/>
    <n v="2"/>
    <n v="1"/>
    <n v="2"/>
    <n v="1"/>
    <s v="-"/>
    <s v="-"/>
    <s v="-"/>
    <s v="-"/>
    <s v="-"/>
    <s v="-"/>
    <s v="-"/>
    <n v="6"/>
    <n v="6"/>
    <s v="-"/>
    <n v="1"/>
    <n v="1"/>
    <n v="2"/>
    <n v="2"/>
    <n v="8"/>
    <n v="8"/>
  </r>
  <r>
    <x v="1"/>
    <x v="48"/>
    <d v="2026-02-15T00:00:00"/>
    <s v="3RD"/>
    <d v="1899-12-31T04:00:00"/>
    <n v="3"/>
    <x v="1"/>
    <n v="2.8999999999999998E-3"/>
    <s v="P"/>
    <s v="P"/>
    <s v="P"/>
    <s v="+"/>
    <s v="+"/>
    <n v="12.41"/>
    <s v="-"/>
    <s v="-"/>
    <s v="-"/>
    <s v="-"/>
    <s v="-"/>
    <s v="-"/>
    <s v="-"/>
    <n v="25.2"/>
    <s v="P"/>
    <s v="P"/>
    <s v="-"/>
    <n v="2"/>
    <n v="1"/>
    <n v="2"/>
    <n v="1"/>
    <s v="-"/>
    <s v="-"/>
    <s v="-"/>
    <s v="-"/>
    <s v="-"/>
    <s v="-"/>
    <s v="-"/>
    <n v="6"/>
    <n v="6"/>
    <n v="1"/>
    <n v="1"/>
    <n v="1"/>
    <n v="3"/>
    <n v="3"/>
    <n v="9"/>
    <n v="9"/>
  </r>
  <r>
    <x v="1"/>
    <x v="48"/>
    <d v="2026-02-24T00:00:00"/>
    <s v="1ST"/>
    <s v="06:00"/>
    <n v="3"/>
    <x v="16"/>
    <n v="8.6E-3"/>
    <s v="P"/>
    <s v="P"/>
    <s v="P"/>
    <s v="+"/>
    <s v="+"/>
    <n v="13.32"/>
    <n v="12.75"/>
    <n v="0.5"/>
    <n v="63.5"/>
    <s v="-"/>
    <s v="-"/>
    <n v="35.5"/>
    <s v="-"/>
    <s v="-"/>
    <s v="P"/>
    <s v="P"/>
    <n v="1"/>
    <n v="2"/>
    <n v="1"/>
    <n v="2"/>
    <n v="1"/>
    <n v="1"/>
    <n v="2"/>
    <n v="0"/>
    <s v="-"/>
    <s v="-"/>
    <n v="2"/>
    <s v="-"/>
    <n v="11"/>
    <n v="13"/>
    <s v="-"/>
    <n v="1"/>
    <n v="1"/>
    <n v="2"/>
    <n v="2"/>
    <n v="13"/>
    <n v="15"/>
  </r>
  <r>
    <x v="1"/>
    <x v="48"/>
    <d v="2026-02-24T00:00:00"/>
    <s v="1ST"/>
    <s v="08:00"/>
    <n v="3"/>
    <x v="16"/>
    <n v="8.8000000000000005E-3"/>
    <s v="P"/>
    <s v="P"/>
    <s v="P"/>
    <s v="+"/>
    <s v="+"/>
    <n v="13.22"/>
    <s v="-"/>
    <s v="-"/>
    <s v="-"/>
    <s v="-"/>
    <s v="-"/>
    <s v="-"/>
    <s v="-"/>
    <s v="-"/>
    <s v="P"/>
    <s v="P"/>
    <s v="-"/>
    <n v="2"/>
    <n v="1"/>
    <n v="2"/>
    <n v="1"/>
    <s v="-"/>
    <s v="-"/>
    <s v="-"/>
    <s v="-"/>
    <s v="-"/>
    <s v="-"/>
    <s v="-"/>
    <n v="6"/>
    <n v="6"/>
    <s v="-"/>
    <n v="1"/>
    <n v="1"/>
    <n v="2"/>
    <n v="2"/>
    <n v="8"/>
    <n v="8"/>
  </r>
  <r>
    <x v="1"/>
    <x v="48"/>
    <d v="2026-02-24T00:00:00"/>
    <s v="1ST"/>
    <s v="09:00"/>
    <n v="3"/>
    <x v="16"/>
    <n v="1.0200000000000001E-2"/>
    <s v="P"/>
    <s v="P"/>
    <s v="P"/>
    <s v="+"/>
    <s v="+"/>
    <n v="13.29"/>
    <s v="-"/>
    <s v="-"/>
    <s v="-"/>
    <s v="-"/>
    <s v="-"/>
    <s v="-"/>
    <s v="-"/>
    <s v="-"/>
    <s v="P"/>
    <s v="P"/>
    <s v="-"/>
    <n v="2"/>
    <n v="1"/>
    <n v="2"/>
    <n v="1"/>
    <s v="-"/>
    <s v="-"/>
    <s v="-"/>
    <s v="-"/>
    <s v="-"/>
    <s v="-"/>
    <s v="-"/>
    <n v="6"/>
    <n v="6"/>
    <s v="-"/>
    <n v="1"/>
    <n v="1"/>
    <n v="2"/>
    <n v="2"/>
    <n v="8"/>
    <n v="8"/>
  </r>
  <r>
    <x v="1"/>
    <x v="48"/>
    <d v="2026-02-24T00:00:00"/>
    <s v="1ST"/>
    <s v="10:00"/>
    <n v="3"/>
    <x v="16"/>
    <n v="1.4200000000000001E-2"/>
    <s v="P"/>
    <s v="P"/>
    <s v="P"/>
    <s v="+"/>
    <s v="+"/>
    <n v="12.98"/>
    <s v="-"/>
    <s v="-"/>
    <s v="-"/>
    <s v="-"/>
    <s v="-"/>
    <s v="-"/>
    <s v="-"/>
    <s v="-"/>
    <s v="P"/>
    <s v="P"/>
    <s v="-"/>
    <n v="2"/>
    <n v="1"/>
    <n v="2"/>
    <n v="1"/>
    <s v="-"/>
    <s v="-"/>
    <s v="-"/>
    <s v="-"/>
    <s v="-"/>
    <s v="-"/>
    <s v="-"/>
    <n v="6"/>
    <n v="6"/>
    <s v="-"/>
    <n v="1"/>
    <n v="1"/>
    <n v="2"/>
    <n v="2"/>
    <n v="8"/>
    <n v="8"/>
  </r>
  <r>
    <x v="1"/>
    <x v="48"/>
    <d v="2026-02-24T00:00:00"/>
    <s v="1ST"/>
    <s v="11:00"/>
    <n v="3"/>
    <x v="16"/>
    <n v="1.17E-2"/>
    <s v="P"/>
    <s v="P"/>
    <s v="P"/>
    <s v="+"/>
    <s v="+"/>
    <n v="13.15"/>
    <s v="-"/>
    <s v="-"/>
    <s v="-"/>
    <s v="-"/>
    <s v="-"/>
    <s v="-"/>
    <s v="-"/>
    <s v="-"/>
    <s v="P"/>
    <s v="P"/>
    <s v="-"/>
    <n v="2"/>
    <n v="1"/>
    <n v="2"/>
    <n v="1"/>
    <s v="-"/>
    <s v="-"/>
    <s v="-"/>
    <s v="-"/>
    <s v="-"/>
    <s v="-"/>
    <s v="-"/>
    <n v="6"/>
    <n v="6"/>
    <s v="-"/>
    <n v="1"/>
    <n v="1"/>
    <n v="2"/>
    <n v="2"/>
    <n v="8"/>
    <n v="8"/>
  </r>
  <r>
    <x v="1"/>
    <x v="48"/>
    <d v="2026-02-24T00:00:00"/>
    <s v="1ST"/>
    <s v="12:00"/>
    <n v="3"/>
    <x v="16"/>
    <n v="1.0200000000000001E-2"/>
    <s v="P"/>
    <s v="P"/>
    <s v="P"/>
    <s v="+"/>
    <s v="+"/>
    <n v="12.76"/>
    <s v="-"/>
    <s v="-"/>
    <s v="-"/>
    <s v="-"/>
    <s v="-"/>
    <s v="-"/>
    <s v="-"/>
    <s v="-"/>
    <s v="P"/>
    <s v="P"/>
    <s v="-"/>
    <n v="2"/>
    <n v="1"/>
    <n v="2"/>
    <n v="1"/>
    <s v="-"/>
    <s v="-"/>
    <s v="-"/>
    <s v="-"/>
    <s v="-"/>
    <s v="-"/>
    <s v="-"/>
    <n v="6"/>
    <n v="6"/>
    <s v="-"/>
    <n v="1"/>
    <n v="1"/>
    <n v="2"/>
    <n v="2"/>
    <n v="8"/>
    <n v="8"/>
  </r>
  <r>
    <x v="1"/>
    <x v="48"/>
    <d v="2026-02-24T00:00:00"/>
    <s v="1ST"/>
    <s v="13:00"/>
    <n v="3"/>
    <x v="16"/>
    <n v="1.21E-2"/>
    <s v="P"/>
    <s v="P"/>
    <s v="P"/>
    <s v="+"/>
    <s v="+"/>
    <n v="12.84"/>
    <s v="-"/>
    <s v="-"/>
    <s v="-"/>
    <s v="-"/>
    <s v="-"/>
    <s v="-"/>
    <s v="-"/>
    <s v="-"/>
    <s v="P"/>
    <s v="P"/>
    <s v="-"/>
    <n v="2"/>
    <n v="1"/>
    <n v="2"/>
    <n v="1"/>
    <s v="-"/>
    <s v="-"/>
    <s v="-"/>
    <s v="-"/>
    <s v="-"/>
    <s v="-"/>
    <s v="-"/>
    <n v="6"/>
    <n v="6"/>
    <s v="-"/>
    <n v="1"/>
    <n v="1"/>
    <n v="2"/>
    <n v="2"/>
    <n v="8"/>
    <n v="8"/>
  </r>
  <r>
    <x v="1"/>
    <x v="48"/>
    <d v="2026-02-24T00:00:00"/>
    <s v="2ND"/>
    <d v="1899-12-30T14:00:00"/>
    <n v="3"/>
    <x v="16"/>
    <n v="1.3899999999999999E-2"/>
    <s v="P"/>
    <s v="P"/>
    <s v="P"/>
    <s v="+"/>
    <s v="+"/>
    <n v="12.72"/>
    <n v="13.46"/>
    <s v="-"/>
    <s v="-"/>
    <s v="-"/>
    <s v="-"/>
    <n v="37.799999999999997"/>
    <s v="-"/>
    <s v="-"/>
    <s v="P"/>
    <s v="P"/>
    <n v="1"/>
    <n v="2"/>
    <n v="1"/>
    <n v="2"/>
    <n v="1"/>
    <n v="1"/>
    <s v="-"/>
    <s v="-"/>
    <s v="-"/>
    <s v="-"/>
    <n v="2"/>
    <s v="-"/>
    <n v="9"/>
    <n v="9"/>
    <s v="-"/>
    <n v="1"/>
    <n v="1"/>
    <n v="2"/>
    <n v="2"/>
    <n v="11"/>
    <n v="11"/>
  </r>
  <r>
    <x v="1"/>
    <x v="48"/>
    <d v="2026-02-24T00:00:00"/>
    <s v="2ND"/>
    <d v="1899-12-30T17:00:00"/>
    <n v="3"/>
    <x v="16"/>
    <s v="-"/>
    <s v="P"/>
    <s v="P"/>
    <s v="P"/>
    <s v="+"/>
    <s v="+"/>
    <n v="12.47"/>
    <s v="-"/>
    <s v="-"/>
    <s v="-"/>
    <s v="-"/>
    <s v="-"/>
    <s v="-"/>
    <s v="-"/>
    <s v="-"/>
    <s v="P"/>
    <s v="P"/>
    <s v="-"/>
    <s v="-"/>
    <n v="1"/>
    <n v="2"/>
    <n v="1"/>
    <s v="-"/>
    <s v="-"/>
    <s v="-"/>
    <s v="-"/>
    <s v="-"/>
    <s v="-"/>
    <s v="-"/>
    <n v="4"/>
    <n v="4"/>
    <s v="-"/>
    <n v="1"/>
    <n v="1"/>
    <n v="2"/>
    <n v="2"/>
    <n v="6"/>
    <n v="6"/>
  </r>
  <r>
    <x v="1"/>
    <x v="48"/>
    <d v="2026-02-24T00:00:00"/>
    <s v="2ND"/>
    <d v="1899-12-30T19:00:00"/>
    <n v="3"/>
    <x v="16"/>
    <n v="7.0000000000000001E-3"/>
    <s v="P"/>
    <s v="P"/>
    <s v="P"/>
    <s v="+"/>
    <s v="+"/>
    <n v="11.98"/>
    <s v="-"/>
    <s v="-"/>
    <s v="-"/>
    <s v="-"/>
    <s v="-"/>
    <s v="-"/>
    <s v="-"/>
    <s v="-"/>
    <s v="P"/>
    <s v="P"/>
    <s v="-"/>
    <n v="2"/>
    <n v="1"/>
    <n v="2"/>
    <n v="0"/>
    <s v="-"/>
    <s v="-"/>
    <s v="-"/>
    <s v="-"/>
    <s v="-"/>
    <s v="-"/>
    <s v="-"/>
    <n v="5"/>
    <n v="6"/>
    <s v="-"/>
    <n v="1"/>
    <n v="1"/>
    <n v="2"/>
    <n v="2"/>
    <n v="7"/>
    <n v="8"/>
  </r>
  <r>
    <x v="1"/>
    <x v="48"/>
    <d v="2026-02-24T00:00:00"/>
    <s v="2ND"/>
    <d v="1899-12-30T21:00:00"/>
    <n v="3"/>
    <x v="16"/>
    <n v="7.7999999999999996E-3"/>
    <s v="P"/>
    <s v="P"/>
    <s v="P"/>
    <s v="+"/>
    <s v="+"/>
    <n v="12.65"/>
    <s v="-"/>
    <s v="-"/>
    <s v="-"/>
    <s v="-"/>
    <s v="-"/>
    <s v="-"/>
    <s v="-"/>
    <s v="-"/>
    <s v="P"/>
    <s v="P"/>
    <s v="-"/>
    <n v="2"/>
    <n v="1"/>
    <n v="2"/>
    <n v="1"/>
    <s v="-"/>
    <s v="-"/>
    <s v="-"/>
    <s v="-"/>
    <s v="-"/>
    <s v="-"/>
    <s v="-"/>
    <n v="6"/>
    <n v="6"/>
    <s v="-"/>
    <n v="1"/>
    <n v="1"/>
    <n v="2"/>
    <n v="2"/>
    <n v="8"/>
    <n v="8"/>
  </r>
  <r>
    <x v="1"/>
    <x v="48"/>
    <d v="2026-02-24T00:00:00"/>
    <s v="3RD"/>
    <d v="1899-12-30T22:00:00"/>
    <n v="3"/>
    <x v="16"/>
    <n v="8.6E-3"/>
    <s v="P"/>
    <s v="P"/>
    <s v="P"/>
    <s v="+"/>
    <s v="+"/>
    <n v="12.59"/>
    <n v="12.98"/>
    <n v="0.5"/>
    <s v="-"/>
    <s v="-"/>
    <s v="-"/>
    <n v="36.299999999999997"/>
    <s v="-"/>
    <s v="-"/>
    <s v="P"/>
    <s v="P"/>
    <n v="1"/>
    <n v="2"/>
    <n v="1"/>
    <n v="2"/>
    <n v="1"/>
    <n v="1"/>
    <n v="2"/>
    <s v="-"/>
    <s v="-"/>
    <s v="-"/>
    <n v="2"/>
    <s v="-"/>
    <n v="11"/>
    <n v="11"/>
    <s v="-"/>
    <n v="1"/>
    <n v="1"/>
    <n v="2"/>
    <n v="2"/>
    <n v="13"/>
    <n v="13"/>
  </r>
  <r>
    <x v="1"/>
    <x v="48"/>
    <d v="2026-02-26T00:00:00"/>
    <s v="1ST"/>
    <s v="11:00"/>
    <n v="1"/>
    <x v="22"/>
    <n v="1.9900000000000001E-2"/>
    <s v="P"/>
    <s v="P"/>
    <s v="P"/>
    <s v="-"/>
    <s v="-"/>
    <n v="11.61"/>
    <n v="8.51"/>
    <s v="-"/>
    <n v="54.7"/>
    <s v="-"/>
    <s v="-"/>
    <n v="22.85"/>
    <s v="-"/>
    <s v="-"/>
    <s v="P"/>
    <s v="P"/>
    <n v="1"/>
    <n v="2"/>
    <n v="1"/>
    <n v="2"/>
    <n v="1"/>
    <n v="1"/>
    <s v="-"/>
    <n v="2"/>
    <s v="-"/>
    <s v="-"/>
    <n v="2"/>
    <s v="-"/>
    <n v="11"/>
    <n v="11"/>
    <s v="-"/>
    <n v="1"/>
    <n v="1"/>
    <n v="2"/>
    <n v="2"/>
    <n v="13"/>
    <n v="13"/>
  </r>
  <r>
    <x v="1"/>
    <x v="48"/>
    <d v="2026-02-26T00:00:00"/>
    <s v="1ST"/>
    <s v="12:00"/>
    <n v="1"/>
    <x v="22"/>
    <n v="1.55E-2"/>
    <s v="P"/>
    <s v="P"/>
    <s v="P"/>
    <s v="-"/>
    <s v="-"/>
    <n v="11.53"/>
    <s v="-"/>
    <s v="-"/>
    <s v="-"/>
    <s v="-"/>
    <s v="-"/>
    <s v="-"/>
    <s v="-"/>
    <s v="-"/>
    <s v="P"/>
    <s v="P"/>
    <s v="-"/>
    <n v="2"/>
    <n v="1"/>
    <n v="2"/>
    <n v="1"/>
    <s v="-"/>
    <s v="-"/>
    <s v="-"/>
    <s v="-"/>
    <s v="-"/>
    <s v="-"/>
    <s v="-"/>
    <n v="6"/>
    <n v="6"/>
    <s v="-"/>
    <n v="1"/>
    <n v="1"/>
    <n v="2"/>
    <n v="2"/>
    <n v="8"/>
    <n v="8"/>
  </r>
  <r>
    <x v="1"/>
    <x v="48"/>
    <d v="2026-02-26T00:00:00"/>
    <s v="1ST"/>
    <s v="13:00"/>
    <n v="1"/>
    <x v="22"/>
    <n v="8.8999999999999999E-3"/>
    <s v="P"/>
    <s v="P"/>
    <s v="P"/>
    <s v="-"/>
    <s v="-"/>
    <n v="11.22"/>
    <s v="-"/>
    <s v="-"/>
    <s v="-"/>
    <s v="-"/>
    <s v="-"/>
    <s v="-"/>
    <s v="-"/>
    <s v="-"/>
    <s v="P"/>
    <s v="P"/>
    <s v="-"/>
    <n v="2"/>
    <n v="1"/>
    <n v="2"/>
    <n v="1"/>
    <s v="-"/>
    <s v="-"/>
    <s v="-"/>
    <s v="-"/>
    <s v="-"/>
    <s v="-"/>
    <s v="-"/>
    <n v="6"/>
    <n v="6"/>
    <s v="-"/>
    <n v="1"/>
    <n v="1"/>
    <n v="2"/>
    <n v="2"/>
    <n v="8"/>
    <n v="8"/>
  </r>
  <r>
    <x v="1"/>
    <x v="48"/>
    <d v="2026-02-26T00:00:00"/>
    <s v="2ND"/>
    <d v="1899-12-30T16:00:00"/>
    <n v="1"/>
    <x v="22"/>
    <n v="6.3E-3"/>
    <s v="P"/>
    <s v="P"/>
    <s v="P"/>
    <s v="-"/>
    <s v="-"/>
    <n v="11.17"/>
    <n v="8.56"/>
    <s v="-"/>
    <s v="-"/>
    <s v="-"/>
    <s v="-"/>
    <n v="23"/>
    <s v="-"/>
    <s v="-"/>
    <s v="P"/>
    <s v="P"/>
    <n v="1"/>
    <n v="2"/>
    <n v="1"/>
    <n v="2"/>
    <n v="1"/>
    <n v="1"/>
    <s v="-"/>
    <s v="-"/>
    <s v="-"/>
    <s v="-"/>
    <n v="2"/>
    <s v="-"/>
    <n v="9"/>
    <n v="9"/>
    <s v="-"/>
    <n v="1"/>
    <n v="1"/>
    <n v="2"/>
    <n v="2"/>
    <n v="11"/>
    <n v="11"/>
  </r>
  <r>
    <x v="1"/>
    <x v="48"/>
    <d v="2026-02-26T00:00:00"/>
    <s v="2ND"/>
    <d v="1899-12-30T19:00:00"/>
    <n v="1"/>
    <x v="22"/>
    <n v="1.5E-3"/>
    <s v="P"/>
    <s v="P"/>
    <s v="P"/>
    <s v="-"/>
    <s v="-"/>
    <n v="11.17"/>
    <s v="-"/>
    <s v="-"/>
    <s v="-"/>
    <s v="-"/>
    <s v="-"/>
    <s v="-"/>
    <s v="-"/>
    <s v="-"/>
    <s v="P"/>
    <s v="P"/>
    <s v="-"/>
    <n v="2"/>
    <n v="1"/>
    <n v="2"/>
    <n v="1"/>
    <s v="-"/>
    <s v="-"/>
    <s v="-"/>
    <s v="-"/>
    <s v="-"/>
    <s v="-"/>
    <s v="-"/>
    <n v="6"/>
    <n v="6"/>
    <s v="-"/>
    <n v="1"/>
    <n v="1"/>
    <n v="2"/>
    <n v="2"/>
    <n v="8"/>
    <n v="8"/>
  </r>
  <r>
    <x v="1"/>
    <x v="48"/>
    <d v="2026-02-26T00:00:00"/>
    <s v="2ND"/>
    <d v="1899-12-30T20:00:00"/>
    <n v="1"/>
    <x v="22"/>
    <n v="2.7000000000000001E-3"/>
    <s v="P"/>
    <s v="P"/>
    <s v="P"/>
    <s v="-"/>
    <s v="-"/>
    <n v="11.57"/>
    <s v="-"/>
    <s v="-"/>
    <s v="-"/>
    <s v="-"/>
    <s v="-"/>
    <s v="-"/>
    <s v="-"/>
    <s v="-"/>
    <s v="P"/>
    <s v="P"/>
    <s v="-"/>
    <n v="2"/>
    <n v="1"/>
    <n v="2"/>
    <n v="1"/>
    <s v="-"/>
    <s v="-"/>
    <s v="-"/>
    <s v="-"/>
    <s v="-"/>
    <s v="-"/>
    <s v="-"/>
    <n v="6"/>
    <n v="6"/>
    <s v="-"/>
    <n v="1"/>
    <n v="1"/>
    <n v="2"/>
    <n v="2"/>
    <n v="8"/>
    <n v="8"/>
  </r>
  <r>
    <x v="1"/>
    <x v="48"/>
    <s v="-"/>
    <s v="3RD"/>
    <d v="1899-12-30T22:00:00"/>
    <n v="1"/>
    <x v="22"/>
    <n v="1.6999999999999999E-3"/>
    <s v="P"/>
    <s v="P"/>
    <s v="P"/>
    <s v="-"/>
    <s v="-"/>
    <n v="11.55"/>
    <n v="8.58"/>
    <n v="0.63"/>
    <s v="-"/>
    <s v="-"/>
    <s v="-"/>
    <n v="23"/>
    <s v="-"/>
    <s v="-"/>
    <s v="P"/>
    <s v="P"/>
    <n v="1"/>
    <n v="2"/>
    <n v="1"/>
    <n v="2"/>
    <n v="1"/>
    <n v="1"/>
    <n v="0"/>
    <s v="-"/>
    <s v="-"/>
    <s v="-"/>
    <n v="2"/>
    <s v="-"/>
    <n v="9"/>
    <n v="11"/>
    <s v="-"/>
    <n v="1"/>
    <n v="1"/>
    <n v="2"/>
    <n v="2"/>
    <n v="11"/>
    <n v="13"/>
  </r>
  <r>
    <x v="1"/>
    <x v="48"/>
    <d v="2026-02-26T00:00:00"/>
    <s v="3RD"/>
    <d v="1899-12-31T00:00:00"/>
    <n v="1"/>
    <x v="22"/>
    <n v="2E-3"/>
    <s v="P"/>
    <s v="P"/>
    <s v="P"/>
    <s v="-"/>
    <s v="-"/>
    <n v="11.39"/>
    <s v="-"/>
    <s v="-"/>
    <s v="-"/>
    <s v="-"/>
    <s v="-"/>
    <s v="-"/>
    <s v="-"/>
    <s v="-"/>
    <s v="P"/>
    <s v="P"/>
    <s v="-"/>
    <n v="2"/>
    <n v="1"/>
    <n v="2"/>
    <n v="1"/>
    <s v="-"/>
    <s v="-"/>
    <s v="-"/>
    <s v="-"/>
    <s v="-"/>
    <s v="-"/>
    <s v="-"/>
    <n v="6"/>
    <n v="6"/>
    <s v="-"/>
    <n v="1"/>
    <n v="1"/>
    <n v="2"/>
    <n v="2"/>
    <n v="8"/>
    <n v="8"/>
  </r>
  <r>
    <x v="1"/>
    <x v="48"/>
    <d v="2026-02-26T00:00:00"/>
    <s v="3RD"/>
    <d v="1899-12-31T01:00:00"/>
    <n v="1"/>
    <x v="22"/>
    <n v="2.3E-3"/>
    <s v="P"/>
    <s v="P"/>
    <s v="P"/>
    <s v="-"/>
    <s v="-"/>
    <n v="11.372999999999999"/>
    <s v="-"/>
    <s v="-"/>
    <s v="-"/>
    <s v="-"/>
    <s v="-"/>
    <s v="-"/>
    <s v="-"/>
    <s v="-"/>
    <s v="P"/>
    <s v="P"/>
    <s v="-"/>
    <n v="2"/>
    <n v="1"/>
    <n v="2"/>
    <n v="1"/>
    <s v="-"/>
    <s v="-"/>
    <s v="-"/>
    <s v="-"/>
    <s v="-"/>
    <s v="-"/>
    <s v="-"/>
    <n v="6"/>
    <n v="6"/>
    <s v="-"/>
    <n v="1"/>
    <n v="1"/>
    <n v="2"/>
    <n v="2"/>
    <n v="8"/>
    <n v="8"/>
  </r>
  <r>
    <x v="1"/>
    <x v="48"/>
    <d v="2026-02-26T00:00:00"/>
    <s v="3RD"/>
    <d v="1899-12-31T02:00:00"/>
    <n v="1"/>
    <x v="22"/>
    <n v="1.8E-3"/>
    <s v="P"/>
    <s v="P"/>
    <s v="P"/>
    <s v="-"/>
    <s v="-"/>
    <n v="11.06"/>
    <s v="-"/>
    <s v="-"/>
    <s v="-"/>
    <s v="-"/>
    <s v="-"/>
    <s v="-"/>
    <s v="-"/>
    <s v="-"/>
    <s v="P"/>
    <s v="P"/>
    <s v="-"/>
    <n v="2"/>
    <n v="1"/>
    <n v="2"/>
    <n v="1"/>
    <s v="-"/>
    <s v="-"/>
    <s v="-"/>
    <s v="-"/>
    <s v="-"/>
    <s v="-"/>
    <s v="-"/>
    <n v="6"/>
    <n v="6"/>
    <s v="-"/>
    <n v="1"/>
    <n v="1"/>
    <n v="2"/>
    <n v="2"/>
    <n v="8"/>
    <n v="8"/>
  </r>
  <r>
    <x v="2"/>
    <x v="49"/>
    <d v="2026-02-15T00:00:00"/>
    <s v="1ST"/>
    <s v="11:00"/>
    <n v="3"/>
    <x v="1"/>
    <n v="8.3999999999999995E-3"/>
    <s v="P"/>
    <s v="P"/>
    <s v="P"/>
    <s v="+"/>
    <s v="+"/>
    <n v="12.08"/>
    <n v="12.19"/>
    <n v="0.56000000000000005"/>
    <n v="65.099999999999994"/>
    <n v="16.600000000000001"/>
    <n v="985"/>
    <n v="34.049999999999997"/>
    <m/>
    <n v="25.18"/>
    <s v="P"/>
    <s v="P"/>
    <s v="85% 5% 10%"/>
    <n v="2"/>
    <n v="1"/>
    <n v="2"/>
    <n v="1"/>
    <n v="1"/>
    <n v="2"/>
    <n v="2"/>
    <n v="1"/>
    <n v="1"/>
    <n v="2"/>
    <n v="1"/>
    <n v="16"/>
    <n v="16"/>
    <n v="1"/>
    <n v="1"/>
    <n v="1"/>
    <n v="3"/>
    <n v="3"/>
    <n v="19"/>
    <n v="19"/>
  </r>
  <r>
    <x v="2"/>
    <x v="49"/>
    <d v="2026-02-15T00:00:00"/>
    <s v="1ST"/>
    <s v="12:00"/>
    <n v="3"/>
    <x v="1"/>
    <n v="9.7999999999999997E-3"/>
    <s v="P"/>
    <s v="P"/>
    <s v="P"/>
    <s v="+"/>
    <s v="+"/>
    <n v="12.57"/>
    <s v="-"/>
    <s v="-"/>
    <s v="-"/>
    <s v="-"/>
    <s v="-"/>
    <s v="-"/>
    <s v="-"/>
    <n v="25.15"/>
    <s v="P"/>
    <s v="P"/>
    <s v="-"/>
    <n v="2"/>
    <n v="1"/>
    <n v="2"/>
    <n v="1"/>
    <s v="-"/>
    <s v="-"/>
    <s v="-"/>
    <s v="-"/>
    <s v="-"/>
    <s v="-"/>
    <s v="-"/>
    <n v="6"/>
    <n v="6"/>
    <n v="1"/>
    <n v="1"/>
    <n v="1"/>
    <n v="3"/>
    <n v="3"/>
    <n v="9"/>
    <n v="9"/>
  </r>
  <r>
    <x v="2"/>
    <x v="49"/>
    <d v="2026-02-15T00:00:00"/>
    <s v="3RD"/>
    <d v="1899-12-30T22:00:00"/>
    <n v="3"/>
    <x v="1"/>
    <n v="7.3000000000000001E-3"/>
    <s v="P"/>
    <s v="P"/>
    <s v="P"/>
    <s v="+"/>
    <s v="+"/>
    <n v="12.77"/>
    <n v="13.02"/>
    <s v="-"/>
    <s v="-"/>
    <s v="-"/>
    <s v="-"/>
    <n v="36.4"/>
    <s v="-"/>
    <s v="-"/>
    <s v="P"/>
    <s v="P"/>
    <s v="85% 5% 10%"/>
    <n v="2"/>
    <n v="1"/>
    <n v="2"/>
    <n v="1"/>
    <n v="1"/>
    <s v="-"/>
    <s v="-"/>
    <s v="-"/>
    <s v="-"/>
    <n v="2"/>
    <s v="-"/>
    <n v="9"/>
    <n v="9"/>
    <s v="-"/>
    <n v="1"/>
    <n v="1"/>
    <n v="2"/>
    <n v="2"/>
    <n v="11"/>
    <n v="11"/>
  </r>
  <r>
    <x v="2"/>
    <x v="49"/>
    <d v="2026-02-15T00:00:00"/>
    <s v="3RD"/>
    <d v="1899-12-30T23:00:00"/>
    <n v="3"/>
    <x v="1"/>
    <n v="8.0000000000000002E-3"/>
    <s v="P"/>
    <s v="P"/>
    <s v="P"/>
    <s v="+"/>
    <s v="+"/>
    <n v="12.7"/>
    <s v="-"/>
    <s v="-"/>
    <s v="-"/>
    <s v="-"/>
    <s v="-"/>
    <s v="-"/>
    <s v="-"/>
    <s v="-"/>
    <s v="P"/>
    <s v="P"/>
    <s v="-"/>
    <n v="2"/>
    <n v="1"/>
    <n v="2"/>
    <n v="1"/>
    <s v="-"/>
    <s v="-"/>
    <s v="-"/>
    <s v="-"/>
    <s v="-"/>
    <s v="-"/>
    <s v="-"/>
    <n v="6"/>
    <n v="6"/>
    <s v="-"/>
    <n v="1"/>
    <n v="1"/>
    <n v="2"/>
    <n v="2"/>
    <n v="8"/>
    <n v="8"/>
  </r>
  <r>
    <x v="2"/>
    <x v="49"/>
    <d v="2026-02-15T00:00:00"/>
    <s v="3RD"/>
    <d v="1899-12-31T00:00:00"/>
    <n v="3"/>
    <x v="1"/>
    <n v="4.4999999999999997E-3"/>
    <s v="P"/>
    <s v="P"/>
    <s v="P"/>
    <s v="+"/>
    <s v="+"/>
    <n v="12.7"/>
    <s v="-"/>
    <s v="-"/>
    <s v="-"/>
    <s v="-"/>
    <s v="-"/>
    <s v="-"/>
    <s v="-"/>
    <s v="-"/>
    <s v="P"/>
    <s v="P"/>
    <s v="-"/>
    <n v="2"/>
    <n v="1"/>
    <n v="2"/>
    <n v="1"/>
    <s v="-"/>
    <s v="-"/>
    <s v="-"/>
    <s v="-"/>
    <s v="-"/>
    <s v="-"/>
    <s v="-"/>
    <n v="6"/>
    <n v="6"/>
    <s v="-"/>
    <n v="1"/>
    <n v="1"/>
    <n v="2"/>
    <n v="2"/>
    <n v="8"/>
    <n v="8"/>
  </r>
  <r>
    <x v="2"/>
    <x v="49"/>
    <d v="2026-02-15T00:00:00"/>
    <s v="3RD"/>
    <d v="1899-12-31T02:00:00"/>
    <n v="3"/>
    <x v="1"/>
    <n v="6.3E-3"/>
    <s v="P"/>
    <s v="P"/>
    <s v="P"/>
    <s v="+"/>
    <s v="+"/>
    <n v="12.93"/>
    <s v="-"/>
    <s v="-"/>
    <s v="-"/>
    <s v="-"/>
    <s v="-"/>
    <s v="-"/>
    <s v="-"/>
    <s v="-"/>
    <s v="P"/>
    <s v="P"/>
    <s v="-"/>
    <n v="2"/>
    <n v="1"/>
    <n v="2"/>
    <n v="1"/>
    <s v="-"/>
    <s v="-"/>
    <s v="-"/>
    <s v="-"/>
    <s v="-"/>
    <s v="-"/>
    <s v="-"/>
    <n v="6"/>
    <n v="6"/>
    <s v="-"/>
    <n v="1"/>
    <n v="1"/>
    <n v="2"/>
    <n v="2"/>
    <n v="8"/>
    <n v="8"/>
  </r>
  <r>
    <x v="2"/>
    <x v="49"/>
    <d v="2026-02-15T00:00:00"/>
    <s v="3RD"/>
    <d v="1899-12-31T03:00:00"/>
    <n v="3"/>
    <x v="1"/>
    <n v="5.8999999999999999E-3"/>
    <s v="P"/>
    <s v="P"/>
    <s v="P"/>
    <s v="+"/>
    <s v="+"/>
    <n v="12.41"/>
    <s v="-"/>
    <s v="-"/>
    <s v="-"/>
    <s v="-"/>
    <s v="-"/>
    <s v="-"/>
    <s v="-"/>
    <s v="-"/>
    <s v="P"/>
    <s v="P"/>
    <s v="-"/>
    <n v="2"/>
    <n v="1"/>
    <n v="2"/>
    <n v="1"/>
    <s v="-"/>
    <s v="-"/>
    <s v="-"/>
    <s v="-"/>
    <s v="-"/>
    <s v="-"/>
    <s v="-"/>
    <n v="6"/>
    <n v="6"/>
    <s v="-"/>
    <n v="1"/>
    <n v="1"/>
    <n v="2"/>
    <n v="2"/>
    <n v="8"/>
    <n v="8"/>
  </r>
  <r>
    <x v="2"/>
    <x v="49"/>
    <d v="2026-02-15T00:00:00"/>
    <s v="3RD"/>
    <d v="1899-12-31T04:00:00"/>
    <n v="3"/>
    <x v="1"/>
    <n v="5.4999999999999997E-3"/>
    <s v="P"/>
    <s v="P"/>
    <s v="P"/>
    <s v="+"/>
    <s v="+"/>
    <n v="12.91"/>
    <s v="-"/>
    <s v="-"/>
    <s v="-"/>
    <s v="-"/>
    <s v="-"/>
    <s v="-"/>
    <s v="-"/>
    <s v="-"/>
    <s v="P"/>
    <s v="P"/>
    <s v="-"/>
    <n v="2"/>
    <n v="1"/>
    <n v="2"/>
    <n v="1"/>
    <s v="-"/>
    <s v="-"/>
    <s v="-"/>
    <s v="-"/>
    <s v="-"/>
    <s v="-"/>
    <s v="-"/>
    <n v="6"/>
    <n v="6"/>
    <s v="-"/>
    <n v="1"/>
    <n v="1"/>
    <n v="2"/>
    <n v="2"/>
    <n v="8"/>
    <n v="8"/>
  </r>
  <r>
    <x v="2"/>
    <x v="49"/>
    <d v="2026-02-15T00:00:00"/>
    <s v="3RD"/>
    <d v="1899-12-31T05:00:00"/>
    <n v="3"/>
    <x v="1"/>
    <n v="9.1000000000000004E-3"/>
    <s v="P"/>
    <s v="P"/>
    <s v="P"/>
    <s v="+"/>
    <s v="+"/>
    <n v="12.83"/>
    <s v="-"/>
    <s v="-"/>
    <s v="-"/>
    <s v="-"/>
    <s v="-"/>
    <s v="-"/>
    <s v="-"/>
    <s v="-"/>
    <s v="P"/>
    <s v="P"/>
    <s v="-"/>
    <n v="2"/>
    <n v="1"/>
    <n v="2"/>
    <n v="1"/>
    <s v="-"/>
    <s v="-"/>
    <s v="-"/>
    <s v="-"/>
    <s v="-"/>
    <s v="-"/>
    <s v="-"/>
    <n v="6"/>
    <n v="6"/>
    <s v="-"/>
    <n v="1"/>
    <n v="1"/>
    <n v="2"/>
    <n v="2"/>
    <n v="8"/>
    <n v="8"/>
  </r>
  <r>
    <x v="2"/>
    <x v="49"/>
    <d v="1902-03-25T00:00:00"/>
    <s v="1ST"/>
    <s v="08:00"/>
    <n v="2"/>
    <x v="20"/>
    <n v="8.0999999999999996E-3"/>
    <s v="P"/>
    <s v="P"/>
    <s v="P"/>
    <s v="-"/>
    <s v="-"/>
    <n v="12.3"/>
    <n v="11.27"/>
    <n v="0.5"/>
    <n v="64.2"/>
    <n v="12.8"/>
    <n v="471"/>
    <n v="31.28"/>
    <s v="-"/>
    <n v="25.13"/>
    <s v="P"/>
    <s v="P"/>
    <s v="-"/>
    <n v="2"/>
    <n v="1"/>
    <n v="2"/>
    <n v="1"/>
    <n v="0"/>
    <n v="2"/>
    <n v="2"/>
    <s v="-"/>
    <s v="-"/>
    <n v="2"/>
    <s v="-"/>
    <n v="12"/>
    <n v="13"/>
    <n v="1"/>
    <n v="1"/>
    <n v="1"/>
    <n v="3"/>
    <n v="3"/>
    <n v="15"/>
    <n v="16"/>
  </r>
  <r>
    <x v="2"/>
    <x v="49"/>
    <d v="1899-12-30T00:00:00"/>
    <s v="1ST"/>
    <s v="09:00"/>
    <n v="2"/>
    <x v="20"/>
    <n v="4.3E-3"/>
    <s v="P"/>
    <s v="P"/>
    <s v="P"/>
    <s v="-"/>
    <s v="-"/>
    <n v="12.7"/>
    <s v="-"/>
    <s v="-"/>
    <s v="-"/>
    <s v="-"/>
    <s v="-"/>
    <s v="-"/>
    <s v="-"/>
    <s v="-"/>
    <s v="P"/>
    <s v="P"/>
    <s v="-"/>
    <n v="2"/>
    <n v="1"/>
    <n v="2"/>
    <n v="1"/>
    <s v="-"/>
    <s v="-"/>
    <s v="-"/>
    <s v="-"/>
    <s v="-"/>
    <s v="-"/>
    <s v="-"/>
    <n v="6"/>
    <n v="6"/>
    <s v="-"/>
    <n v="1"/>
    <n v="1"/>
    <n v="2"/>
    <n v="2"/>
    <n v="8"/>
    <n v="8"/>
  </r>
  <r>
    <x v="2"/>
    <x v="49"/>
    <d v="1899-12-30T00:00:00"/>
    <s v="1ST"/>
    <s v="11:00"/>
    <n v="2"/>
    <x v="20"/>
    <n v="2.3999999999999998E-3"/>
    <s v="P"/>
    <s v="P"/>
    <s v="P"/>
    <s v="-"/>
    <s v="-"/>
    <n v="12.48"/>
    <s v="-"/>
    <s v="-"/>
    <s v="-"/>
    <s v="-"/>
    <s v="-"/>
    <s v="-"/>
    <s v="-"/>
    <s v="-"/>
    <s v="P"/>
    <s v="P"/>
    <s v="-"/>
    <n v="2"/>
    <n v="1"/>
    <n v="2"/>
    <n v="1"/>
    <s v="-"/>
    <s v="-"/>
    <s v="-"/>
    <s v="-"/>
    <s v="-"/>
    <s v="-"/>
    <s v="-"/>
    <n v="6"/>
    <n v="6"/>
    <s v="-"/>
    <n v="1"/>
    <n v="1"/>
    <n v="2"/>
    <n v="2"/>
    <n v="8"/>
    <n v="8"/>
  </r>
  <r>
    <x v="2"/>
    <x v="49"/>
    <d v="1899-12-30T00:00:00"/>
    <s v="1ST"/>
    <s v="12:00"/>
    <n v="2"/>
    <x v="20"/>
    <n v="2E-3"/>
    <s v="P"/>
    <s v="P"/>
    <s v="P"/>
    <s v="-"/>
    <s v="-"/>
    <n v="12.23"/>
    <s v="-"/>
    <s v="-"/>
    <s v="-"/>
    <s v="-"/>
    <s v="-"/>
    <s v="-"/>
    <s v="-"/>
    <s v="-"/>
    <s v="P"/>
    <s v="P"/>
    <s v="-"/>
    <n v="2"/>
    <n v="1"/>
    <n v="2"/>
    <n v="1"/>
    <s v="-"/>
    <s v="-"/>
    <s v="-"/>
    <s v="-"/>
    <s v="-"/>
    <s v="-"/>
    <s v="-"/>
    <n v="6"/>
    <n v="6"/>
    <s v="-"/>
    <n v="1"/>
    <n v="1"/>
    <n v="2"/>
    <n v="2"/>
    <n v="8"/>
    <n v="8"/>
  </r>
  <r>
    <x v="2"/>
    <x v="49"/>
    <d v="1902-03-25T00:00:00"/>
    <s v="3RD"/>
    <d v="1899-12-30T22:00:00"/>
    <n v="2"/>
    <x v="20"/>
    <n v="1.9900000000000001E-2"/>
    <s v="P"/>
    <s v="P"/>
    <s v="P"/>
    <s v="-"/>
    <s v="-"/>
    <n v="12.8"/>
    <n v="12.96"/>
    <s v="-"/>
    <s v="-"/>
    <s v="-"/>
    <s v="-"/>
    <n v="36.200000000000003"/>
    <s v="-"/>
    <s v="-"/>
    <s v="P"/>
    <s v="P"/>
    <s v="-"/>
    <n v="2"/>
    <n v="1"/>
    <n v="2"/>
    <n v="1"/>
    <n v="1"/>
    <s v="-"/>
    <s v="-"/>
    <s v="-"/>
    <s v="-"/>
    <n v="2"/>
    <s v="-"/>
    <n v="9"/>
    <n v="9"/>
    <s v="-"/>
    <n v="1"/>
    <n v="1"/>
    <n v="2"/>
    <n v="2"/>
    <n v="11"/>
    <n v="11"/>
  </r>
  <r>
    <x v="2"/>
    <x v="49"/>
    <d v="1899-12-30T00:00:00"/>
    <s v="3RD"/>
    <d v="1899-12-30T23:00:00"/>
    <n v="2"/>
    <x v="20"/>
    <n v="1.49E-2"/>
    <s v="P"/>
    <s v="P"/>
    <s v="P"/>
    <s v="-"/>
    <s v="-"/>
    <n v="12.77"/>
    <s v="-"/>
    <s v="-"/>
    <s v="-"/>
    <s v="-"/>
    <s v="-"/>
    <s v="-"/>
    <s v="-"/>
    <s v="-"/>
    <s v="P"/>
    <s v="P"/>
    <s v="-"/>
    <n v="2"/>
    <n v="1"/>
    <n v="2"/>
    <n v="1"/>
    <s v="-"/>
    <s v="-"/>
    <s v="-"/>
    <s v="-"/>
    <s v="-"/>
    <s v="-"/>
    <s v="-"/>
    <n v="6"/>
    <n v="6"/>
    <s v="-"/>
    <n v="1"/>
    <n v="1"/>
    <n v="2"/>
    <n v="2"/>
    <n v="8"/>
    <n v="8"/>
  </r>
  <r>
    <x v="2"/>
    <x v="49"/>
    <d v="1899-12-30T00:00:00"/>
    <s v="3RD"/>
    <d v="1899-12-31T00:00:00"/>
    <n v="2"/>
    <x v="20"/>
    <n v="1.6500000000000001E-2"/>
    <s v="P"/>
    <s v="P"/>
    <s v="P"/>
    <s v="-"/>
    <s v="-"/>
    <n v="13.12"/>
    <s v="-"/>
    <s v="-"/>
    <s v="-"/>
    <s v="-"/>
    <s v="-"/>
    <s v="-"/>
    <s v="-"/>
    <s v="-"/>
    <s v="P"/>
    <s v="P"/>
    <s v="-"/>
    <n v="2"/>
    <n v="1"/>
    <n v="2"/>
    <n v="1"/>
    <s v="-"/>
    <s v="-"/>
    <s v="-"/>
    <s v="-"/>
    <s v="-"/>
    <s v="-"/>
    <s v="-"/>
    <n v="6"/>
    <n v="6"/>
    <s v="-"/>
    <n v="1"/>
    <n v="1"/>
    <n v="2"/>
    <n v="2"/>
    <n v="8"/>
    <n v="8"/>
  </r>
  <r>
    <x v="2"/>
    <x v="49"/>
    <d v="1899-12-30T00:00:00"/>
    <s v="3RD"/>
    <d v="1899-12-31T01:00:00"/>
    <n v="2"/>
    <x v="20"/>
    <n v="1.3599999999999999E-2"/>
    <s v="P"/>
    <s v="P"/>
    <s v="P"/>
    <s v="-"/>
    <s v="-"/>
    <n v="12.98"/>
    <s v="-"/>
    <s v="-"/>
    <s v="-"/>
    <s v="-"/>
    <s v="-"/>
    <s v="-"/>
    <s v="-"/>
    <s v="-"/>
    <s v="P"/>
    <s v="P"/>
    <s v="-"/>
    <n v="2"/>
    <n v="1"/>
    <n v="2"/>
    <n v="1"/>
    <s v="-"/>
    <s v="-"/>
    <s v="-"/>
    <s v="-"/>
    <s v="-"/>
    <s v="-"/>
    <s v="-"/>
    <n v="6"/>
    <n v="6"/>
    <s v="-"/>
    <n v="1"/>
    <n v="1"/>
    <n v="2"/>
    <n v="2"/>
    <n v="8"/>
    <n v="8"/>
  </r>
  <r>
    <x v="2"/>
    <x v="49"/>
    <d v="1899-12-30T00:00:00"/>
    <s v="3RD"/>
    <d v="1899-12-31T02:00:00"/>
    <n v="2"/>
    <x v="20"/>
    <n v="1.4500000000000001E-2"/>
    <s v="P"/>
    <s v="P"/>
    <s v="P"/>
    <s v="-"/>
    <s v="-"/>
    <n v="12.5"/>
    <s v="-"/>
    <s v="-"/>
    <s v="-"/>
    <s v="-"/>
    <s v="-"/>
    <s v="-"/>
    <s v="-"/>
    <s v="-"/>
    <s v="P"/>
    <s v="P"/>
    <s v="-"/>
    <n v="2"/>
    <n v="1"/>
    <n v="2"/>
    <n v="1"/>
    <s v="-"/>
    <s v="-"/>
    <s v="-"/>
    <s v="-"/>
    <s v="-"/>
    <s v="-"/>
    <s v="-"/>
    <n v="6"/>
    <n v="6"/>
    <s v="-"/>
    <n v="1"/>
    <n v="1"/>
    <n v="2"/>
    <n v="2"/>
    <n v="8"/>
    <n v="8"/>
  </r>
  <r>
    <x v="2"/>
    <x v="49"/>
    <d v="1899-12-30T00:00:00"/>
    <s v="3RD"/>
    <d v="1899-12-31T03:00:00"/>
    <n v="2"/>
    <x v="20"/>
    <n v="1.0800000000000001E-2"/>
    <s v="P"/>
    <s v="P"/>
    <s v="P"/>
    <s v="-"/>
    <s v="-"/>
    <n v="13.07"/>
    <s v="-"/>
    <s v="-"/>
    <s v="-"/>
    <s v="-"/>
    <s v="-"/>
    <s v="-"/>
    <s v="-"/>
    <s v="-"/>
    <s v="P"/>
    <s v="P"/>
    <s v="80% 20%"/>
    <n v="2"/>
    <n v="1"/>
    <n v="2"/>
    <n v="1"/>
    <s v="-"/>
    <s v="-"/>
    <s v="-"/>
    <s v="-"/>
    <s v="-"/>
    <s v="-"/>
    <s v="-"/>
    <n v="6"/>
    <n v="6"/>
    <s v="-"/>
    <n v="1"/>
    <n v="1"/>
    <n v="2"/>
    <n v="2"/>
    <n v="8"/>
    <n v="8"/>
  </r>
  <r>
    <x v="2"/>
    <x v="49"/>
    <d v="1902-03-25T00:00:00"/>
    <s v="3RD"/>
    <d v="1899-12-31T04:00:00"/>
    <n v="2"/>
    <x v="20"/>
    <n v="1.38E-2"/>
    <s v="P"/>
    <s v="P"/>
    <s v="P"/>
    <s v="-"/>
    <s v="-"/>
    <n v="12.24"/>
    <n v="12.44"/>
    <s v="-"/>
    <n v="65.3"/>
    <s v="-"/>
    <s v="-"/>
    <n v="34.799999999999997"/>
    <s v="-"/>
    <s v="-"/>
    <s v="P"/>
    <s v="P"/>
    <s v="-"/>
    <n v="2"/>
    <n v="1"/>
    <n v="2"/>
    <n v="1"/>
    <n v="1"/>
    <s v="-"/>
    <n v="2"/>
    <s v="-"/>
    <s v="-"/>
    <n v="2"/>
    <s v="-"/>
    <n v="11"/>
    <n v="11"/>
    <s v="-"/>
    <n v="1"/>
    <n v="1"/>
    <n v="2"/>
    <n v="2"/>
    <n v="13"/>
    <n v="13"/>
  </r>
  <r>
    <x v="2"/>
    <x v="49"/>
    <d v="2026-02-26T00:00:00"/>
    <s v="1ST"/>
    <s v="07:00"/>
    <n v="1"/>
    <x v="5"/>
    <n v="6.4000000000000003E-3"/>
    <s v="P"/>
    <s v="P"/>
    <s v="P"/>
    <s v="-"/>
    <s v="+"/>
    <n v="11.24"/>
    <n v="8.58"/>
    <n v="0.55000000000000004"/>
    <n v="54.5"/>
    <n v="12.8"/>
    <n v="301"/>
    <n v="22.57"/>
    <s v="-"/>
    <n v="25.16"/>
    <s v="P"/>
    <s v="P"/>
    <n v="1"/>
    <n v="2"/>
    <n v="1"/>
    <n v="2"/>
    <n v="1"/>
    <n v="1"/>
    <n v="2"/>
    <n v="2"/>
    <s v="-"/>
    <s v="-"/>
    <n v="2"/>
    <s v="-"/>
    <n v="13"/>
    <n v="13"/>
    <n v="1"/>
    <n v="1"/>
    <n v="1"/>
    <n v="3"/>
    <n v="3"/>
    <n v="16"/>
    <n v="16"/>
  </r>
  <r>
    <x v="2"/>
    <x v="49"/>
    <d v="2026-02-26T00:00:00"/>
    <s v="1ST"/>
    <s v="08:00"/>
    <n v="1"/>
    <x v="5"/>
    <n v="4.7999999999999996E-3"/>
    <s v="P"/>
    <s v="P"/>
    <s v="P"/>
    <s v="-"/>
    <s v="+"/>
    <n v="11.21"/>
    <s v="-"/>
    <s v="-"/>
    <s v="-"/>
    <s v="-"/>
    <s v="-"/>
    <s v="-"/>
    <s v="-"/>
    <s v="-"/>
    <s v="P"/>
    <s v="P"/>
    <s v="-"/>
    <n v="2"/>
    <n v="1"/>
    <n v="2"/>
    <n v="1"/>
    <s v="-"/>
    <s v="-"/>
    <s v="-"/>
    <s v="-"/>
    <s v="-"/>
    <s v="-"/>
    <s v="-"/>
    <n v="6"/>
    <n v="6"/>
    <s v="-"/>
    <n v="1"/>
    <n v="1"/>
    <n v="2"/>
    <n v="2"/>
    <n v="8"/>
    <n v="8"/>
  </r>
  <r>
    <x v="2"/>
    <x v="49"/>
    <d v="2026-02-26T00:00:00"/>
    <s v="1ST"/>
    <s v="09:00"/>
    <n v="1"/>
    <x v="5"/>
    <n v="3.8999999999999998E-3"/>
    <s v="P"/>
    <s v="P"/>
    <s v="P"/>
    <s v="-"/>
    <s v="+"/>
    <n v="11.07"/>
    <s v="-"/>
    <s v="-"/>
    <s v="-"/>
    <s v="-"/>
    <s v="-"/>
    <s v="-"/>
    <s v="-"/>
    <s v="-"/>
    <s v="P"/>
    <s v="P"/>
    <s v="-"/>
    <n v="2"/>
    <n v="1"/>
    <n v="2"/>
    <n v="1"/>
    <s v="-"/>
    <s v="-"/>
    <s v="-"/>
    <s v="-"/>
    <s v="-"/>
    <s v="-"/>
    <s v="-"/>
    <n v="6"/>
    <n v="6"/>
    <s v="-"/>
    <n v="1"/>
    <n v="1"/>
    <n v="2"/>
    <n v="2"/>
    <n v="8"/>
    <n v="8"/>
  </r>
  <r>
    <x v="2"/>
    <x v="49"/>
    <d v="2026-02-26T00:00:00"/>
    <s v="1ST"/>
    <s v="11:00"/>
    <n v="1"/>
    <x v="5"/>
    <n v="4.1999999999999997E-3"/>
    <s v="P"/>
    <s v="P"/>
    <s v="P"/>
    <s v="-"/>
    <s v="+"/>
    <n v="11"/>
    <s v="-"/>
    <s v="-"/>
    <s v="-"/>
    <s v="-"/>
    <s v="-"/>
    <s v="-"/>
    <s v="-"/>
    <s v="-"/>
    <s v="P"/>
    <s v="P"/>
    <s v="-"/>
    <n v="2"/>
    <n v="1"/>
    <n v="2"/>
    <n v="1"/>
    <s v="-"/>
    <s v="-"/>
    <s v="-"/>
    <s v="-"/>
    <s v="-"/>
    <s v="-"/>
    <s v="-"/>
    <n v="6"/>
    <n v="6"/>
    <s v="-"/>
    <n v="1"/>
    <n v="1"/>
    <n v="2"/>
    <n v="2"/>
    <n v="8"/>
    <n v="8"/>
  </r>
  <r>
    <x v="2"/>
    <x v="49"/>
    <d v="2026-02-26T00:00:00"/>
    <s v="1ST"/>
    <s v="12:00"/>
    <n v="1"/>
    <x v="5"/>
    <n v="1.15E-2"/>
    <s v="P"/>
    <s v="P"/>
    <s v="P"/>
    <s v="-"/>
    <s v="+"/>
    <n v="10.95"/>
    <s v="-"/>
    <s v="-"/>
    <s v="-"/>
    <s v="-"/>
    <s v="-"/>
    <s v="-"/>
    <s v="-"/>
    <s v="-"/>
    <s v="P"/>
    <s v="P"/>
    <s v="-"/>
    <n v="2"/>
    <n v="1"/>
    <n v="2"/>
    <n v="0"/>
    <s v="-"/>
    <s v="-"/>
    <s v="-"/>
    <s v="-"/>
    <s v="-"/>
    <s v="-"/>
    <s v="-"/>
    <n v="5"/>
    <n v="6"/>
    <s v="-"/>
    <n v="1"/>
    <n v="1"/>
    <n v="2"/>
    <n v="2"/>
    <n v="7"/>
    <n v="8"/>
  </r>
  <r>
    <x v="2"/>
    <x v="50"/>
    <d v="2026-02-15T00:00:00"/>
    <s v="1ST"/>
    <s v="12:00"/>
    <n v="1"/>
    <x v="1"/>
    <n v="1.4E-2"/>
    <s v="P"/>
    <s v="P"/>
    <s v="P"/>
    <s v="+"/>
    <s v="+"/>
    <n v="11.85"/>
    <n v="12.28"/>
    <n v="0.56999999999999995"/>
    <n v="64.099999999999994"/>
    <s v="-"/>
    <s v="-"/>
    <n v="34.26"/>
    <s v="-"/>
    <s v="-"/>
    <s v="-"/>
    <s v="-"/>
    <s v="-"/>
    <n v="2"/>
    <n v="1"/>
    <n v="2"/>
    <n v="0"/>
    <n v="1"/>
    <n v="2"/>
    <n v="2"/>
    <s v="-"/>
    <s v="-"/>
    <n v="2"/>
    <s v="-"/>
    <n v="12"/>
    <n v="13"/>
    <s v="-"/>
    <s v="-"/>
    <s v="-"/>
    <n v="0"/>
    <n v="0"/>
    <n v="12"/>
    <n v="13"/>
  </r>
  <r>
    <x v="2"/>
    <x v="50"/>
    <d v="2026-02-15T00:00:00"/>
    <s v="1ST"/>
    <s v="13:00"/>
    <n v="1"/>
    <x v="1"/>
    <n v="1.37E-2"/>
    <s v="P"/>
    <s v="P"/>
    <s v="P"/>
    <s v="+"/>
    <s v="+"/>
    <n v="11.68"/>
    <s v="-"/>
    <s v="-"/>
    <s v="-"/>
    <s v="-"/>
    <s v="-"/>
    <s v="-"/>
    <s v="-"/>
    <s v="-"/>
    <s v="-"/>
    <s v="-"/>
    <s v="-"/>
    <n v="2"/>
    <n v="1"/>
    <n v="2"/>
    <n v="0"/>
    <s v="-"/>
    <s v="-"/>
    <s v="-"/>
    <s v="-"/>
    <s v="-"/>
    <s v="-"/>
    <s v="-"/>
    <n v="5"/>
    <n v="6"/>
    <s v="-"/>
    <s v="-"/>
    <s v="-"/>
    <n v="0"/>
    <n v="0"/>
    <n v="5"/>
    <n v="6"/>
  </r>
  <r>
    <x v="2"/>
    <x v="50"/>
    <d v="2026-02-15T00:00:00"/>
    <s v="1ST"/>
    <s v="06:00"/>
    <n v="3"/>
    <x v="1"/>
    <n v="7.1999999999999998E-3"/>
    <s v="P"/>
    <s v="P"/>
    <s v="P"/>
    <s v="+"/>
    <s v="+"/>
    <n v="12.2"/>
    <n v="12.31"/>
    <n v="0.57999999999999996"/>
    <n v="64.099999999999994"/>
    <s v="-"/>
    <s v="-"/>
    <n v="34.26"/>
    <s v="-"/>
    <s v="-"/>
    <s v="P"/>
    <s v="P"/>
    <s v="-"/>
    <n v="2"/>
    <n v="1"/>
    <n v="2"/>
    <n v="1"/>
    <n v="1"/>
    <n v="2"/>
    <n v="2"/>
    <s v="-"/>
    <s v="-"/>
    <n v="2"/>
    <s v="-"/>
    <n v="13"/>
    <n v="13"/>
    <s v="-"/>
    <n v="1"/>
    <n v="1"/>
    <n v="2"/>
    <n v="2"/>
    <n v="15"/>
    <n v="15"/>
  </r>
  <r>
    <x v="2"/>
    <x v="50"/>
    <d v="2026-02-15T00:00:00"/>
    <s v="1ST"/>
    <s v="08:00"/>
    <n v="3"/>
    <x v="1"/>
    <n v="5.3E-3"/>
    <s v="P"/>
    <s v="P"/>
    <s v="P"/>
    <s v="+"/>
    <s v="+"/>
    <n v="12.56"/>
    <s v="-"/>
    <s v="-"/>
    <s v="-"/>
    <s v="-"/>
    <s v="-"/>
    <s v="-"/>
    <s v="-"/>
    <s v="-"/>
    <s v="P"/>
    <s v="P"/>
    <s v="-"/>
    <n v="2"/>
    <n v="1"/>
    <n v="2"/>
    <n v="1"/>
    <s v="-"/>
    <s v="-"/>
    <s v="-"/>
    <s v="-"/>
    <s v="-"/>
    <s v="-"/>
    <s v="-"/>
    <n v="6"/>
    <n v="6"/>
    <s v="-"/>
    <n v="1"/>
    <n v="1"/>
    <n v="2"/>
    <n v="2"/>
    <n v="8"/>
    <n v="8"/>
  </r>
  <r>
    <x v="2"/>
    <x v="50"/>
    <d v="2026-02-19T00:00:00"/>
    <s v="1ST"/>
    <s v="09:00"/>
    <n v="3"/>
    <x v="1"/>
    <s v="-"/>
    <s v="P"/>
    <s v="P"/>
    <s v="P"/>
    <s v="+"/>
    <s v="+"/>
    <n v="12.62"/>
    <s v="-"/>
    <s v="-"/>
    <s v="-"/>
    <s v="-"/>
    <s v="-"/>
    <s v="-"/>
    <s v="-"/>
    <s v="-"/>
    <s v="P"/>
    <s v="P"/>
    <s v="-"/>
    <s v="-"/>
    <n v="1"/>
    <n v="2"/>
    <n v="1"/>
    <s v="-"/>
    <s v="-"/>
    <s v="-"/>
    <s v="-"/>
    <s v="-"/>
    <s v="-"/>
    <s v="-"/>
    <n v="4"/>
    <n v="4"/>
    <s v="-"/>
    <n v="1"/>
    <n v="1"/>
    <n v="2"/>
    <n v="2"/>
    <n v="6"/>
    <n v="6"/>
  </r>
  <r>
    <x v="2"/>
    <x v="50"/>
    <d v="2026-02-19T00:00:00"/>
    <s v="1ST"/>
    <s v="10:00"/>
    <n v="3"/>
    <x v="1"/>
    <n v="1.0800000000000001E-2"/>
    <s v="P"/>
    <s v="P"/>
    <s v="P"/>
    <s v="+"/>
    <s v="+"/>
    <n v="12.64"/>
    <s v="-"/>
    <s v="-"/>
    <s v="-"/>
    <s v="-"/>
    <s v="-"/>
    <s v="-"/>
    <s v="-"/>
    <s v="-"/>
    <s v="P"/>
    <s v="P"/>
    <s v="-"/>
    <n v="2"/>
    <n v="1"/>
    <n v="2"/>
    <n v="1"/>
    <s v="-"/>
    <s v="-"/>
    <s v="-"/>
    <s v="-"/>
    <s v="-"/>
    <s v="-"/>
    <s v="-"/>
    <n v="6"/>
    <n v="6"/>
    <s v="-"/>
    <n v="1"/>
    <n v="1"/>
    <n v="2"/>
    <n v="2"/>
    <n v="8"/>
    <n v="8"/>
  </r>
  <r>
    <x v="2"/>
    <x v="50"/>
    <d v="2026-02-19T00:00:00"/>
    <s v="1ST"/>
    <s v="11:00"/>
    <n v="3"/>
    <x v="1"/>
    <n v="9.2999999999999992E-3"/>
    <s v="P"/>
    <s v="P"/>
    <s v="P"/>
    <s v="+"/>
    <s v="+"/>
    <n v="12.55"/>
    <s v="-"/>
    <s v="-"/>
    <s v="-"/>
    <s v="-"/>
    <s v="-"/>
    <s v="-"/>
    <s v="-"/>
    <s v="-"/>
    <s v="-"/>
    <s v="-"/>
    <s v="-"/>
    <n v="2"/>
    <n v="1"/>
    <n v="2"/>
    <n v="1"/>
    <s v="-"/>
    <s v="-"/>
    <s v="-"/>
    <s v="-"/>
    <s v="-"/>
    <s v="-"/>
    <s v="-"/>
    <n v="6"/>
    <n v="6"/>
    <s v="-"/>
    <s v="-"/>
    <s v="-"/>
    <n v="0"/>
    <n v="0"/>
    <n v="6"/>
    <n v="6"/>
  </r>
  <r>
    <x v="2"/>
    <x v="50"/>
    <d v="2026-02-19T00:00:00"/>
    <s v="1ST"/>
    <s v="13:00"/>
    <n v="3"/>
    <x v="1"/>
    <n v="7.4999999999999997E-3"/>
    <s v="P"/>
    <s v="P"/>
    <s v="P"/>
    <s v="+"/>
    <s v="+"/>
    <n v="12.29"/>
    <s v="-"/>
    <s v="-"/>
    <s v="-"/>
    <s v="-"/>
    <s v="-"/>
    <s v="-"/>
    <s v="-"/>
    <s v="-"/>
    <s v="-"/>
    <s v="-"/>
    <s v="-"/>
    <n v="2"/>
    <n v="1"/>
    <n v="2"/>
    <n v="1"/>
    <s v="-"/>
    <s v="-"/>
    <s v="-"/>
    <s v="-"/>
    <s v="-"/>
    <s v="-"/>
    <s v="-"/>
    <n v="6"/>
    <n v="6"/>
    <s v="-"/>
    <s v="-"/>
    <s v="-"/>
    <n v="0"/>
    <n v="0"/>
    <n v="6"/>
    <n v="6"/>
  </r>
  <r>
    <x v="2"/>
    <x v="50"/>
    <s v="-"/>
    <s v="2ND"/>
    <d v="1899-12-30T14:00:00"/>
    <n v="1"/>
    <x v="1"/>
    <n v="6.4999999999999997E-3"/>
    <s v="P"/>
    <s v="P"/>
    <s v="P"/>
    <s v="+"/>
    <s v="+"/>
    <n v="12.11"/>
    <n v="12.17"/>
    <s v="-"/>
    <s v="-"/>
    <s v="-"/>
    <s v="-"/>
    <n v="33.94"/>
    <s v="-"/>
    <n v="25.2"/>
    <s v="P"/>
    <s v="P"/>
    <s v="85% 15%"/>
    <n v="2"/>
    <n v="1"/>
    <n v="2"/>
    <n v="1"/>
    <n v="1"/>
    <s v="-"/>
    <s v="-"/>
    <s v="-"/>
    <s v="-"/>
    <n v="2"/>
    <s v="-"/>
    <n v="9"/>
    <n v="9"/>
    <n v="1"/>
    <n v="1"/>
    <n v="1"/>
    <n v="3"/>
    <n v="3"/>
    <n v="12"/>
    <n v="12"/>
  </r>
  <r>
    <x v="2"/>
    <x v="50"/>
    <d v="2026-02-15T00:00:00"/>
    <s v="2ND"/>
    <d v="1899-12-30T15:00:00"/>
    <n v="1"/>
    <x v="1"/>
    <n v="7.6E-3"/>
    <s v="P"/>
    <s v="P"/>
    <s v="P"/>
    <s v="+"/>
    <s v="+"/>
    <n v="12.15"/>
    <s v="-"/>
    <s v="-"/>
    <s v="-"/>
    <s v="-"/>
    <s v="-"/>
    <s v="-"/>
    <s v="-"/>
    <s v="-"/>
    <s v="P"/>
    <s v="P"/>
    <s v="-"/>
    <n v="2"/>
    <n v="1"/>
    <n v="2"/>
    <n v="1"/>
    <s v="-"/>
    <s v="-"/>
    <s v="-"/>
    <s v="-"/>
    <s v="-"/>
    <s v="-"/>
    <s v="-"/>
    <n v="6"/>
    <n v="6"/>
    <s v="-"/>
    <n v="1"/>
    <n v="1"/>
    <n v="2"/>
    <n v="2"/>
    <n v="8"/>
    <n v="8"/>
  </r>
  <r>
    <x v="2"/>
    <x v="50"/>
    <d v="2026-02-15T00:00:00"/>
    <s v="2ND"/>
    <d v="1899-12-30T16:00:00"/>
    <n v="1"/>
    <x v="1"/>
    <n v="1.0999999999999999E-2"/>
    <s v="P"/>
    <s v="P"/>
    <s v="P"/>
    <s v="+"/>
    <s v="+"/>
    <n v="11.42"/>
    <s v="-"/>
    <s v="-"/>
    <s v="-"/>
    <s v="-"/>
    <s v="-"/>
    <s v="-"/>
    <s v="-"/>
    <s v="-"/>
    <s v="P"/>
    <s v="P"/>
    <s v="-"/>
    <n v="2"/>
    <n v="1"/>
    <n v="2"/>
    <n v="0"/>
    <s v="-"/>
    <s v="-"/>
    <s v="-"/>
    <s v="-"/>
    <s v="-"/>
    <s v="-"/>
    <s v="-"/>
    <n v="5"/>
    <n v="6"/>
    <s v="-"/>
    <n v="1"/>
    <n v="1"/>
    <n v="2"/>
    <n v="2"/>
    <n v="7"/>
    <n v="8"/>
  </r>
  <r>
    <x v="2"/>
    <x v="50"/>
    <d v="2026-02-03T00:00:00"/>
    <s v="2ND"/>
    <d v="1899-12-30T17:00:00"/>
    <n v="1"/>
    <x v="1"/>
    <n v="1.14E-2"/>
    <s v="P"/>
    <s v="P"/>
    <s v="P"/>
    <s v="+"/>
    <s v="+"/>
    <n v="11.26"/>
    <n v="12.12"/>
    <s v="-"/>
    <s v="-"/>
    <s v="-"/>
    <s v="-"/>
    <n v="33.409999999999997"/>
    <s v="-"/>
    <s v="-"/>
    <s v="P"/>
    <s v="P"/>
    <s v="85% 15%"/>
    <n v="2"/>
    <n v="1"/>
    <n v="2"/>
    <n v="0"/>
    <n v="1"/>
    <s v="-"/>
    <s v="-"/>
    <s v="-"/>
    <s v="-"/>
    <n v="2"/>
    <s v="-"/>
    <n v="8"/>
    <n v="9"/>
    <s v="-"/>
    <n v="1"/>
    <n v="1"/>
    <n v="2"/>
    <n v="2"/>
    <n v="10"/>
    <n v="11"/>
  </r>
  <r>
    <x v="2"/>
    <x v="50"/>
    <d v="2026-02-03T00:00:00"/>
    <s v="2ND"/>
    <d v="1899-12-30T18:00:00"/>
    <n v="1"/>
    <x v="1"/>
    <n v="5.9999999999999995E-4"/>
    <s v="P"/>
    <s v="P"/>
    <s v="P"/>
    <s v="+"/>
    <s v="+"/>
    <n v="12.94"/>
    <s v="-"/>
    <s v="-"/>
    <s v="-"/>
    <s v="-"/>
    <s v="-"/>
    <s v="-"/>
    <s v="-"/>
    <s v="-"/>
    <s v="P"/>
    <s v="P"/>
    <s v="-"/>
    <n v="2"/>
    <n v="1"/>
    <n v="2"/>
    <n v="1"/>
    <s v="-"/>
    <s v="-"/>
    <s v="-"/>
    <s v="-"/>
    <s v="-"/>
    <s v="-"/>
    <s v="-"/>
    <n v="6"/>
    <n v="6"/>
    <s v="-"/>
    <n v="1"/>
    <n v="1"/>
    <n v="2"/>
    <n v="2"/>
    <n v="8"/>
    <n v="8"/>
  </r>
  <r>
    <x v="2"/>
    <x v="50"/>
    <d v="2026-02-03T00:00:00"/>
    <s v="2ND"/>
    <d v="1899-12-30T19:00:00"/>
    <n v="1"/>
    <x v="1"/>
    <n v="8.5000000000000006E-3"/>
    <s v="P"/>
    <s v="P"/>
    <s v="P"/>
    <s v="+"/>
    <s v="+"/>
    <n v="12.18"/>
    <s v="-"/>
    <s v="-"/>
    <s v="-"/>
    <s v="-"/>
    <s v="-"/>
    <s v="-"/>
    <s v="-"/>
    <s v="-"/>
    <s v="P"/>
    <s v="P"/>
    <s v="-"/>
    <n v="2"/>
    <n v="1"/>
    <n v="2"/>
    <n v="1"/>
    <s v="-"/>
    <s v="-"/>
    <s v="-"/>
    <s v="-"/>
    <s v="-"/>
    <s v="-"/>
    <s v="-"/>
    <n v="6"/>
    <n v="6"/>
    <s v="-"/>
    <n v="1"/>
    <n v="1"/>
    <n v="2"/>
    <n v="2"/>
    <n v="8"/>
    <n v="8"/>
  </r>
  <r>
    <x v="2"/>
    <x v="50"/>
    <d v="2026-02-03T00:00:00"/>
    <s v="2ND"/>
    <d v="1899-12-30T20:00:00"/>
    <n v="1"/>
    <x v="1"/>
    <n v="9.9000000000000008E-3"/>
    <s v="P"/>
    <s v="P"/>
    <s v="P"/>
    <s v="+"/>
    <s v="+"/>
    <n v="12.66"/>
    <s v="-"/>
    <s v="-"/>
    <s v="-"/>
    <s v="-"/>
    <s v="-"/>
    <s v="-"/>
    <s v="-"/>
    <s v="-"/>
    <s v="P"/>
    <s v="P"/>
    <s v="-"/>
    <n v="2"/>
    <n v="1"/>
    <n v="2"/>
    <n v="1"/>
    <s v="-"/>
    <s v="-"/>
    <s v="-"/>
    <s v="-"/>
    <s v="-"/>
    <s v="-"/>
    <s v="-"/>
    <n v="6"/>
    <n v="6"/>
    <s v="-"/>
    <n v="1"/>
    <n v="1"/>
    <n v="2"/>
    <n v="2"/>
    <n v="8"/>
    <n v="8"/>
  </r>
  <r>
    <x v="2"/>
    <x v="50"/>
    <d v="2026-02-03T00:00:00"/>
    <s v="2ND"/>
    <d v="1899-12-30T21:00:00"/>
    <n v="1"/>
    <x v="1"/>
    <n v="1.8599999999999998E-2"/>
    <s v="P"/>
    <s v="P"/>
    <s v="P"/>
    <s v="+"/>
    <s v="+"/>
    <n v="12.8"/>
    <s v="-"/>
    <s v="-"/>
    <s v="-"/>
    <s v="-"/>
    <s v="-"/>
    <s v="-"/>
    <s v="-"/>
    <s v="-"/>
    <s v="P"/>
    <s v="P"/>
    <s v="-"/>
    <n v="2"/>
    <n v="1"/>
    <n v="2"/>
    <n v="1"/>
    <s v="-"/>
    <s v="-"/>
    <s v="-"/>
    <s v="-"/>
    <s v="-"/>
    <s v="-"/>
    <s v="-"/>
    <n v="6"/>
    <n v="6"/>
    <s v="-"/>
    <n v="1"/>
    <n v="1"/>
    <n v="2"/>
    <n v="2"/>
    <n v="8"/>
    <n v="8"/>
  </r>
  <r>
    <x v="2"/>
    <x v="50"/>
    <d v="2026-02-19T00:00:00"/>
    <s v="2ND"/>
    <d v="1899-12-30T14:00:00"/>
    <n v="3"/>
    <x v="1"/>
    <n v="4.7000000000000002E-3"/>
    <s v="P"/>
    <s v="P"/>
    <s v="P"/>
    <s v="+"/>
    <s v="+"/>
    <n v="12.64"/>
    <n v="12.93"/>
    <s v="-"/>
    <s v="-"/>
    <s v="-"/>
    <s v="-"/>
    <n v="34.700000000000003"/>
    <s v="-"/>
    <s v="-"/>
    <s v="P"/>
    <s v="P"/>
    <s v="85% 5% 10%"/>
    <n v="2"/>
    <n v="1"/>
    <n v="2"/>
    <n v="1"/>
    <n v="1"/>
    <s v="-"/>
    <s v="-"/>
    <s v="-"/>
    <s v="-"/>
    <n v="2"/>
    <s v="-"/>
    <n v="9"/>
    <n v="9"/>
    <s v="-"/>
    <n v="1"/>
    <n v="1"/>
    <n v="2"/>
    <n v="2"/>
    <n v="11"/>
    <n v="11"/>
  </r>
  <r>
    <x v="2"/>
    <x v="50"/>
    <d v="2026-02-19T00:00:00"/>
    <s v="2ND"/>
    <d v="1899-12-30T15:00:00"/>
    <n v="3"/>
    <x v="1"/>
    <n v="4.7999999999999996E-3"/>
    <s v="P"/>
    <s v="P"/>
    <s v="P"/>
    <s v="+"/>
    <s v="+"/>
    <n v="12.54"/>
    <s v="-"/>
    <s v="-"/>
    <s v="-"/>
    <s v="-"/>
    <s v="-"/>
    <s v="-"/>
    <s v="-"/>
    <s v="-"/>
    <s v="P"/>
    <s v="P"/>
    <s v="-"/>
    <n v="2"/>
    <n v="1"/>
    <n v="2"/>
    <n v="1"/>
    <s v="-"/>
    <s v="-"/>
    <s v="-"/>
    <s v="-"/>
    <s v="-"/>
    <s v="-"/>
    <s v="-"/>
    <n v="6"/>
    <n v="6"/>
    <s v="-"/>
    <n v="1"/>
    <n v="1"/>
    <n v="2"/>
    <n v="2"/>
    <n v="8"/>
    <n v="8"/>
  </r>
  <r>
    <x v="2"/>
    <x v="50"/>
    <d v="2026-02-19T00:00:00"/>
    <s v="2ND"/>
    <d v="1899-12-30T17:00:00"/>
    <n v="3"/>
    <x v="1"/>
    <n v="4.7999999999999996E-3"/>
    <s v="P"/>
    <s v="P"/>
    <s v="P"/>
    <s v="+"/>
    <s v="+"/>
    <n v="12.53"/>
    <s v="-"/>
    <s v="-"/>
    <s v="-"/>
    <s v="-"/>
    <s v="-"/>
    <s v="-"/>
    <s v="-"/>
    <s v="-"/>
    <s v="P"/>
    <s v="P"/>
    <s v="-"/>
    <n v="2"/>
    <n v="1"/>
    <n v="2"/>
    <n v="1"/>
    <s v="-"/>
    <s v="-"/>
    <s v="-"/>
    <s v="-"/>
    <s v="-"/>
    <s v="-"/>
    <s v="-"/>
    <n v="6"/>
    <n v="6"/>
    <s v="-"/>
    <n v="1"/>
    <n v="1"/>
    <n v="2"/>
    <n v="2"/>
    <n v="8"/>
    <n v="8"/>
  </r>
  <r>
    <x v="2"/>
    <x v="50"/>
    <d v="2026-02-19T00:00:00"/>
    <s v="2ND"/>
    <d v="1899-12-30T18:00:00"/>
    <n v="3"/>
    <x v="1"/>
    <n v="4.4999999999999997E-3"/>
    <s v="P"/>
    <s v="P"/>
    <s v="P"/>
    <s v="+"/>
    <s v="+"/>
    <n v="12.6"/>
    <s v="-"/>
    <s v="-"/>
    <s v="-"/>
    <s v="-"/>
    <s v="-"/>
    <s v="-"/>
    <s v="-"/>
    <s v="-"/>
    <s v="P"/>
    <s v="P"/>
    <s v="-"/>
    <n v="2"/>
    <n v="1"/>
    <n v="2"/>
    <n v="1"/>
    <s v="-"/>
    <s v="-"/>
    <s v="-"/>
    <s v="-"/>
    <s v="-"/>
    <s v="-"/>
    <s v="-"/>
    <n v="6"/>
    <n v="6"/>
    <s v="-"/>
    <n v="1"/>
    <n v="1"/>
    <n v="2"/>
    <n v="2"/>
    <n v="8"/>
    <n v="8"/>
  </r>
  <r>
    <x v="2"/>
    <x v="50"/>
    <d v="2026-02-19T00:00:00"/>
    <s v="2ND"/>
    <d v="1899-12-30T20:00:00"/>
    <n v="3"/>
    <x v="1"/>
    <n v="4.7999999999999996E-3"/>
    <s v="P"/>
    <s v="P"/>
    <s v="P"/>
    <s v="+"/>
    <s v="+"/>
    <n v="12.06"/>
    <s v="-"/>
    <s v="-"/>
    <s v="-"/>
    <s v="-"/>
    <s v="-"/>
    <s v="-"/>
    <s v="-"/>
    <s v="-"/>
    <s v="P"/>
    <s v="P"/>
    <s v="-"/>
    <n v="2"/>
    <n v="1"/>
    <n v="2"/>
    <n v="1"/>
    <s v="-"/>
    <s v="-"/>
    <s v="-"/>
    <s v="-"/>
    <s v="-"/>
    <s v="-"/>
    <s v="-"/>
    <n v="6"/>
    <n v="6"/>
    <s v="-"/>
    <n v="1"/>
    <n v="1"/>
    <n v="2"/>
    <n v="2"/>
    <n v="8"/>
    <n v="8"/>
  </r>
  <r>
    <x v="2"/>
    <x v="50"/>
    <s v="-"/>
    <s v="3RD"/>
    <d v="1899-12-30T22:00:00"/>
    <n v="1"/>
    <x v="1"/>
    <n v="1.2E-2"/>
    <s v="P"/>
    <s v="P"/>
    <s v="P"/>
    <s v="+"/>
    <s v="+"/>
    <n v="12.7"/>
    <n v="12.96"/>
    <s v="-"/>
    <s v="-"/>
    <s v="-"/>
    <s v="-"/>
    <n v="36.200000000000003"/>
    <s v="-"/>
    <s v="-"/>
    <s v="P"/>
    <s v="P"/>
    <s v="85% 15%"/>
    <n v="2"/>
    <n v="1"/>
    <n v="2"/>
    <n v="1"/>
    <n v="1"/>
    <s v="-"/>
    <s v="-"/>
    <s v="-"/>
    <s v="-"/>
    <n v="2"/>
    <s v="-"/>
    <n v="9"/>
    <n v="9"/>
    <s v="-"/>
    <n v="1"/>
    <n v="1"/>
    <n v="2"/>
    <n v="2"/>
    <n v="11"/>
    <n v="11"/>
  </r>
  <r>
    <x v="2"/>
    <x v="50"/>
    <d v="2026-02-03T00:00:00"/>
    <s v="3RD"/>
    <d v="1899-12-30T23:00:00"/>
    <n v="1"/>
    <x v="1"/>
    <n v="7.9000000000000008E-3"/>
    <s v="P"/>
    <s v="P"/>
    <s v="P"/>
    <s v="+"/>
    <s v="+"/>
    <n v="12.76"/>
    <s v="-"/>
    <s v="-"/>
    <s v="-"/>
    <s v="-"/>
    <s v="-"/>
    <s v="-"/>
    <s v="-"/>
    <s v="-"/>
    <s v="P"/>
    <s v="P"/>
    <s v="-"/>
    <n v="2"/>
    <n v="1"/>
    <n v="2"/>
    <n v="1"/>
    <s v="-"/>
    <s v="-"/>
    <s v="-"/>
    <s v="-"/>
    <s v="-"/>
    <s v="-"/>
    <s v="-"/>
    <n v="6"/>
    <n v="6"/>
    <s v="-"/>
    <n v="1"/>
    <n v="1"/>
    <n v="2"/>
    <n v="2"/>
    <n v="8"/>
    <n v="8"/>
  </r>
  <r>
    <x v="2"/>
    <x v="50"/>
    <d v="2026-02-03T00:00:00"/>
    <s v="3RD"/>
    <d v="1899-12-31T00:00:00"/>
    <n v="1"/>
    <x v="1"/>
    <n v="8.8999999999999999E-3"/>
    <s v="P"/>
    <s v="P"/>
    <s v="P"/>
    <s v="+"/>
    <s v="+"/>
    <n v="12.46"/>
    <s v="-"/>
    <s v="-"/>
    <s v="-"/>
    <s v="-"/>
    <s v="-"/>
    <s v="-"/>
    <s v="-"/>
    <s v="-"/>
    <s v="P"/>
    <s v="P"/>
    <s v="-"/>
    <n v="2"/>
    <n v="1"/>
    <n v="2"/>
    <n v="1"/>
    <s v="-"/>
    <s v="-"/>
    <s v="-"/>
    <s v="-"/>
    <s v="-"/>
    <s v="-"/>
    <s v="-"/>
    <n v="6"/>
    <n v="6"/>
    <s v="-"/>
    <n v="1"/>
    <n v="1"/>
    <n v="2"/>
    <n v="2"/>
    <n v="8"/>
    <n v="8"/>
  </r>
  <r>
    <x v="2"/>
    <x v="50"/>
    <d v="2026-02-03T00:00:00"/>
    <s v="3RD"/>
    <d v="1899-12-31T01:00:00"/>
    <n v="1"/>
    <x v="1"/>
    <n v="7.0000000000000001E-3"/>
    <s v="P"/>
    <s v="P"/>
    <s v="P"/>
    <s v="+"/>
    <s v="+"/>
    <n v="12.41"/>
    <s v="-"/>
    <s v="-"/>
    <s v="-"/>
    <s v="-"/>
    <s v="-"/>
    <s v="-"/>
    <s v="-"/>
    <s v="-"/>
    <s v="P"/>
    <s v="P"/>
    <s v="-"/>
    <n v="2"/>
    <n v="1"/>
    <n v="2"/>
    <n v="1"/>
    <s v="-"/>
    <s v="-"/>
    <s v="-"/>
    <s v="-"/>
    <s v="-"/>
    <s v="-"/>
    <s v="-"/>
    <n v="6"/>
    <n v="6"/>
    <s v="-"/>
    <n v="1"/>
    <n v="1"/>
    <n v="2"/>
    <n v="2"/>
    <n v="8"/>
    <n v="8"/>
  </r>
  <r>
    <x v="2"/>
    <x v="50"/>
    <d v="2026-02-03T00:00:00"/>
    <s v="3RD"/>
    <d v="1899-12-31T02:00:00"/>
    <n v="1"/>
    <x v="1"/>
    <n v="7.7999999999999996E-3"/>
    <s v="P"/>
    <s v="P"/>
    <s v="P"/>
    <s v="+"/>
    <s v="+"/>
    <n v="12.47"/>
    <s v="-"/>
    <s v="-"/>
    <s v="-"/>
    <s v="-"/>
    <s v="-"/>
    <s v="-"/>
    <s v="-"/>
    <s v="-"/>
    <s v="P"/>
    <s v="P"/>
    <s v="-"/>
    <n v="2"/>
    <n v="1"/>
    <n v="2"/>
    <n v="1"/>
    <s v="-"/>
    <s v="-"/>
    <s v="-"/>
    <s v="-"/>
    <s v="-"/>
    <s v="-"/>
    <s v="-"/>
    <n v="6"/>
    <n v="6"/>
    <s v="-"/>
    <n v="1"/>
    <n v="1"/>
    <n v="2"/>
    <n v="2"/>
    <n v="8"/>
    <n v="8"/>
  </r>
  <r>
    <x v="2"/>
    <x v="50"/>
    <d v="2026-02-03T00:00:00"/>
    <s v="3RD"/>
    <d v="1899-12-31T03:00:00"/>
    <n v="1"/>
    <x v="1"/>
    <n v="6.6E-3"/>
    <s v="P"/>
    <s v="P"/>
    <s v="P"/>
    <s v="+"/>
    <s v="+"/>
    <n v="12.52"/>
    <s v="-"/>
    <s v="-"/>
    <s v="-"/>
    <s v="-"/>
    <s v="-"/>
    <s v="-"/>
    <s v="-"/>
    <s v="-"/>
    <s v="P"/>
    <s v="P"/>
    <s v="-"/>
    <n v="2"/>
    <n v="1"/>
    <n v="2"/>
    <n v="1"/>
    <s v="-"/>
    <s v="-"/>
    <s v="-"/>
    <s v="-"/>
    <s v="-"/>
    <s v="-"/>
    <s v="-"/>
    <n v="6"/>
    <n v="6"/>
    <s v="-"/>
    <n v="1"/>
    <n v="1"/>
    <n v="2"/>
    <n v="2"/>
    <n v="8"/>
    <n v="8"/>
  </r>
  <r>
    <x v="2"/>
    <x v="50"/>
    <d v="2026-02-03T00:00:00"/>
    <s v="3RD"/>
    <d v="1899-12-31T04:00:00"/>
    <n v="1"/>
    <x v="1"/>
    <n v="6.4999999999999997E-3"/>
    <s v="P"/>
    <s v="P"/>
    <s v="P"/>
    <s v="+"/>
    <s v="+"/>
    <n v="12.29"/>
    <s v="-"/>
    <s v="-"/>
    <s v="-"/>
    <s v="-"/>
    <s v="-"/>
    <s v="-"/>
    <s v="-"/>
    <s v="-"/>
    <s v="P"/>
    <s v="P"/>
    <s v="-"/>
    <n v="2"/>
    <n v="1"/>
    <n v="2"/>
    <n v="1"/>
    <s v="-"/>
    <s v="-"/>
    <s v="-"/>
    <s v="-"/>
    <s v="-"/>
    <s v="-"/>
    <s v="-"/>
    <n v="6"/>
    <n v="6"/>
    <s v="-"/>
    <n v="1"/>
    <n v="1"/>
    <n v="2"/>
    <n v="2"/>
    <n v="8"/>
    <n v="8"/>
  </r>
  <r>
    <x v="2"/>
    <x v="50"/>
    <d v="2026-02-03T00:00:00"/>
    <s v="3RD"/>
    <d v="1899-12-31T05:00:00"/>
    <n v="1"/>
    <x v="1"/>
    <n v="1.11E-2"/>
    <s v="P"/>
    <s v="P"/>
    <s v="P"/>
    <s v="+"/>
    <s v="+"/>
    <n v="12.29"/>
    <s v="-"/>
    <s v="-"/>
    <s v="-"/>
    <s v="-"/>
    <s v="-"/>
    <s v="-"/>
    <s v="-"/>
    <s v="-"/>
    <s v="P"/>
    <s v="P"/>
    <s v="-"/>
    <n v="2"/>
    <n v="1"/>
    <n v="2"/>
    <n v="1"/>
    <s v="-"/>
    <s v="-"/>
    <s v="-"/>
    <s v="-"/>
    <s v="-"/>
    <s v="-"/>
    <s v="-"/>
    <n v="6"/>
    <n v="6"/>
    <s v="-"/>
    <n v="1"/>
    <n v="1"/>
    <n v="2"/>
    <n v="2"/>
    <n v="8"/>
    <n v="8"/>
  </r>
  <r>
    <x v="2"/>
    <x v="50"/>
    <d v="2026-02-19T00:00:00"/>
    <s v="3RD"/>
    <d v="1899-12-30T22:00:00"/>
    <n v="3"/>
    <x v="1"/>
    <n v="7.9000000000000008E-3"/>
    <s v="P"/>
    <s v="P"/>
    <s v="P"/>
    <s v="+"/>
    <s v="+"/>
    <n v="12.58"/>
    <n v="12.97"/>
    <s v="-"/>
    <s v="-"/>
    <s v="-"/>
    <s v="-"/>
    <n v="36.299999999999997"/>
    <s v="-"/>
    <s v="-"/>
    <s v="P"/>
    <s v="P"/>
    <s v="85% 5% 10%"/>
    <n v="2"/>
    <n v="1"/>
    <n v="2"/>
    <n v="1"/>
    <n v="1"/>
    <s v="-"/>
    <s v="-"/>
    <s v="-"/>
    <s v="-"/>
    <n v="2"/>
    <s v="-"/>
    <n v="9"/>
    <n v="9"/>
    <s v="-"/>
    <n v="1"/>
    <n v="1"/>
    <n v="2"/>
    <n v="2"/>
    <n v="11"/>
    <n v="11"/>
  </r>
  <r>
    <x v="2"/>
    <x v="50"/>
    <d v="2026-02-19T00:00:00"/>
    <s v="3RD"/>
    <d v="1899-12-30T23:00:00"/>
    <n v="3"/>
    <x v="1"/>
    <n v="6.1000000000000004E-3"/>
    <s v="P"/>
    <s v="P"/>
    <s v="P"/>
    <s v="+"/>
    <s v="+"/>
    <n v="12.53"/>
    <s v="-"/>
    <s v="-"/>
    <s v="-"/>
    <s v="-"/>
    <s v="-"/>
    <s v="-"/>
    <s v="-"/>
    <s v="-"/>
    <s v="P"/>
    <s v="P"/>
    <s v="-"/>
    <n v="2"/>
    <n v="1"/>
    <n v="2"/>
    <n v="1"/>
    <s v="-"/>
    <s v="-"/>
    <s v="-"/>
    <s v="-"/>
    <s v="-"/>
    <s v="-"/>
    <s v="-"/>
    <n v="6"/>
    <n v="6"/>
    <s v="-"/>
    <n v="1"/>
    <n v="1"/>
    <n v="2"/>
    <n v="2"/>
    <n v="8"/>
    <n v="8"/>
  </r>
  <r>
    <x v="2"/>
    <x v="50"/>
    <d v="2026-02-19T00:00:00"/>
    <s v="3RD"/>
    <d v="1899-12-31T00:00:00"/>
    <n v="3"/>
    <x v="1"/>
    <n v="1.0200000000000001E-2"/>
    <s v="P"/>
    <s v="P"/>
    <s v="P"/>
    <s v="+"/>
    <s v="+"/>
    <n v="12.46"/>
    <s v="-"/>
    <s v="-"/>
    <s v="-"/>
    <s v="-"/>
    <s v="-"/>
    <s v="-"/>
    <s v="-"/>
    <s v="-"/>
    <s v="P"/>
    <s v="P"/>
    <s v="-"/>
    <n v="2"/>
    <n v="1"/>
    <n v="2"/>
    <n v="1"/>
    <s v="-"/>
    <s v="-"/>
    <s v="-"/>
    <s v="-"/>
    <s v="-"/>
    <s v="-"/>
    <s v="-"/>
    <n v="6"/>
    <n v="6"/>
    <s v="-"/>
    <n v="1"/>
    <n v="1"/>
    <n v="2"/>
    <n v="2"/>
    <n v="8"/>
    <n v="8"/>
  </r>
  <r>
    <x v="2"/>
    <x v="50"/>
    <d v="2026-02-19T00:00:00"/>
    <s v="3RD"/>
    <d v="1899-12-31T01:00:00"/>
    <n v="3"/>
    <x v="1"/>
    <n v="8.8999999999999999E-3"/>
    <s v="P"/>
    <s v="P"/>
    <s v="P"/>
    <s v="+"/>
    <s v="+"/>
    <n v="12.51"/>
    <s v="-"/>
    <s v="-"/>
    <s v="-"/>
    <s v="-"/>
    <s v="-"/>
    <s v="-"/>
    <s v="-"/>
    <s v="-"/>
    <s v="P"/>
    <s v="P"/>
    <s v="-"/>
    <n v="2"/>
    <n v="1"/>
    <n v="2"/>
    <n v="1"/>
    <s v="-"/>
    <s v="-"/>
    <s v="-"/>
    <s v="-"/>
    <s v="-"/>
    <s v="-"/>
    <s v="-"/>
    <n v="6"/>
    <n v="6"/>
    <s v="-"/>
    <n v="1"/>
    <n v="1"/>
    <n v="2"/>
    <n v="2"/>
    <n v="8"/>
    <n v="8"/>
  </r>
  <r>
    <x v="2"/>
    <x v="50"/>
    <d v="2026-02-19T00:00:00"/>
    <s v="3RD"/>
    <d v="1899-12-31T02:00:00"/>
    <n v="3"/>
    <x v="1"/>
    <n v="1.6400000000000001E-2"/>
    <s v="P"/>
    <s v="P"/>
    <s v="P"/>
    <s v="+"/>
    <s v="+"/>
    <n v="12.44"/>
    <s v="-"/>
    <s v="-"/>
    <s v="-"/>
    <s v="-"/>
    <s v="-"/>
    <s v="-"/>
    <s v="-"/>
    <s v="-"/>
    <s v="P"/>
    <s v="P"/>
    <s v="-"/>
    <n v="2"/>
    <n v="1"/>
    <n v="2"/>
    <n v="1"/>
    <s v="-"/>
    <s v="-"/>
    <s v="-"/>
    <s v="-"/>
    <s v="-"/>
    <s v="-"/>
    <s v="-"/>
    <n v="6"/>
    <n v="6"/>
    <s v="-"/>
    <n v="1"/>
    <n v="1"/>
    <n v="2"/>
    <n v="2"/>
    <n v="8"/>
    <n v="8"/>
  </r>
  <r>
    <x v="2"/>
    <x v="50"/>
    <d v="2026-02-19T00:00:00"/>
    <s v="3RD"/>
    <d v="1899-12-31T03:00:00"/>
    <n v="3"/>
    <x v="1"/>
    <n v="1.12E-2"/>
    <s v="P"/>
    <s v="P"/>
    <s v="P"/>
    <s v="+"/>
    <s v="+"/>
    <n v="12.51"/>
    <s v="-"/>
    <s v="-"/>
    <s v="-"/>
    <s v="-"/>
    <s v="-"/>
    <s v="-"/>
    <s v="-"/>
    <s v="-"/>
    <s v="P"/>
    <s v="P"/>
    <s v="-"/>
    <n v="2"/>
    <n v="1"/>
    <n v="2"/>
    <n v="1"/>
    <s v="-"/>
    <s v="-"/>
    <s v="-"/>
    <s v="-"/>
    <s v="-"/>
    <s v="-"/>
    <s v="-"/>
    <n v="6"/>
    <n v="6"/>
    <s v="-"/>
    <n v="1"/>
    <n v="1"/>
    <n v="2"/>
    <n v="2"/>
    <n v="8"/>
    <n v="8"/>
  </r>
  <r>
    <x v="2"/>
    <x v="50"/>
    <d v="2026-02-19T00:00:00"/>
    <s v="3RD"/>
    <d v="1899-12-31T04:00:00"/>
    <n v="3"/>
    <x v="1"/>
    <n v="8.8999999999999999E-3"/>
    <s v="P"/>
    <s v="P"/>
    <s v="P"/>
    <s v="+"/>
    <s v="+"/>
    <n v="12.6"/>
    <s v="-"/>
    <s v="-"/>
    <s v="-"/>
    <s v="-"/>
    <s v="-"/>
    <s v="-"/>
    <s v="-"/>
    <s v="-"/>
    <s v="P"/>
    <s v="P"/>
    <s v="-"/>
    <n v="2"/>
    <n v="1"/>
    <n v="2"/>
    <n v="1"/>
    <s v="-"/>
    <s v="-"/>
    <s v="-"/>
    <s v="-"/>
    <s v="-"/>
    <s v="-"/>
    <s v="-"/>
    <n v="6"/>
    <n v="6"/>
    <s v="-"/>
    <n v="1"/>
    <n v="1"/>
    <n v="2"/>
    <n v="2"/>
    <n v="8"/>
    <n v="8"/>
  </r>
  <r>
    <x v="2"/>
    <x v="50"/>
    <d v="2026-03-03T00:00:00"/>
    <s v="2ND"/>
    <d v="1899-12-30T15:00:00"/>
    <s v="Retail"/>
    <x v="13"/>
    <s v="-"/>
    <s v="-"/>
    <s v="-"/>
    <s v="-"/>
    <s v="-"/>
    <s v="-"/>
    <n v="10.52"/>
    <s v="-"/>
    <s v="-"/>
    <s v="-"/>
    <s v="-"/>
    <s v="-"/>
    <s v="-"/>
    <s v="-"/>
    <s v="-"/>
    <s v="-"/>
    <s v="-"/>
    <s v="-"/>
    <s v="-"/>
    <s v="-"/>
    <s v="-"/>
    <n v="0"/>
    <s v="-"/>
    <s v="-"/>
    <s v="-"/>
    <s v="-"/>
    <s v="-"/>
    <s v="-"/>
    <s v="-"/>
    <n v="0"/>
    <n v="1"/>
    <s v="-"/>
    <s v="-"/>
    <s v="-"/>
    <n v="0"/>
    <n v="0"/>
    <n v="0"/>
    <n v="1"/>
  </r>
  <r>
    <x v="2"/>
    <x v="50"/>
    <d v="1899-12-30T00:00:00"/>
    <s v="1ST"/>
    <s v="07:00"/>
    <n v="2"/>
    <x v="5"/>
    <n v="8.8999999999999999E-3"/>
    <s v="P"/>
    <s v="P"/>
    <s v="P"/>
    <s v="-"/>
    <s v="+"/>
    <n v="11.21"/>
    <n v="8.32"/>
    <n v="0.55000000000000004"/>
    <n v="55.5"/>
    <s v="-"/>
    <s v="-"/>
    <n v="23.26"/>
    <s v="-"/>
    <s v="-"/>
    <s v="P"/>
    <s v="P"/>
    <s v="-"/>
    <n v="2"/>
    <n v="1"/>
    <n v="2"/>
    <n v="1"/>
    <n v="0"/>
    <n v="2"/>
    <n v="2"/>
    <s v="-"/>
    <s v="-"/>
    <n v="2"/>
    <s v="-"/>
    <n v="12"/>
    <n v="13"/>
    <s v="-"/>
    <n v="1"/>
    <n v="1"/>
    <n v="2"/>
    <n v="2"/>
    <n v="14"/>
    <n v="15"/>
  </r>
  <r>
    <x v="2"/>
    <x v="50"/>
    <d v="1899-12-30T00:00:00"/>
    <s v="1ST"/>
    <s v="08:00"/>
    <n v="2"/>
    <x v="5"/>
    <n v="4.1999999999999997E-3"/>
    <s v="P"/>
    <s v="P"/>
    <s v="P"/>
    <s v="-"/>
    <s v="+"/>
    <n v="11.09"/>
    <s v="-"/>
    <s v="-"/>
    <s v="-"/>
    <s v="-"/>
    <s v="-"/>
    <s v="-"/>
    <s v="-"/>
    <s v="-"/>
    <s v="P"/>
    <s v="P"/>
    <s v="-"/>
    <n v="2"/>
    <n v="1"/>
    <n v="2"/>
    <n v="1"/>
    <s v="-"/>
    <s v="-"/>
    <s v="-"/>
    <s v="-"/>
    <s v="-"/>
    <s v="-"/>
    <s v="-"/>
    <n v="6"/>
    <n v="6"/>
    <s v="-"/>
    <n v="1"/>
    <n v="1"/>
    <n v="2"/>
    <n v="2"/>
    <n v="8"/>
    <n v="8"/>
  </r>
  <r>
    <x v="2"/>
    <x v="50"/>
    <d v="1899-12-30T00:00:00"/>
    <s v="1ST"/>
    <s v="10:00"/>
    <n v="2"/>
    <x v="5"/>
    <n v="5.8999999999999999E-3"/>
    <s v="P"/>
    <s v="P"/>
    <s v="P"/>
    <s v="-"/>
    <s v="+"/>
    <n v="11.15"/>
    <s v="-"/>
    <s v="-"/>
    <s v="-"/>
    <s v="-"/>
    <s v="-"/>
    <s v="-"/>
    <s v="-"/>
    <s v="-"/>
    <s v="P"/>
    <s v="P"/>
    <s v="-"/>
    <n v="2"/>
    <n v="1"/>
    <n v="2"/>
    <n v="1"/>
    <s v="-"/>
    <s v="-"/>
    <s v="-"/>
    <s v="-"/>
    <s v="-"/>
    <s v="-"/>
    <s v="-"/>
    <n v="6"/>
    <n v="6"/>
    <s v="-"/>
    <n v="1"/>
    <n v="1"/>
    <n v="2"/>
    <n v="2"/>
    <n v="8"/>
    <n v="8"/>
  </r>
  <r>
    <x v="2"/>
    <x v="51"/>
    <d v="2026-02-15T00:00:00"/>
    <s v="1ST"/>
    <s v="07:00"/>
    <n v="3"/>
    <x v="6"/>
    <n v="1.47E-2"/>
    <s v="P"/>
    <s v="P"/>
    <s v="P"/>
    <s v="+"/>
    <s v="+"/>
    <n v="12.66"/>
    <n v="11.98"/>
    <n v="0.52"/>
    <n v="64.400000000000006"/>
    <n v="12.5"/>
    <n v="647"/>
    <n v="33.31"/>
    <s v="-"/>
    <n v="25.13"/>
    <s v="P"/>
    <s v="P"/>
    <s v="-"/>
    <n v="2"/>
    <n v="1"/>
    <n v="2"/>
    <n v="1"/>
    <n v="1"/>
    <n v="2"/>
    <n v="2"/>
    <n v="1"/>
    <n v="1"/>
    <n v="2"/>
    <s v="-"/>
    <n v="15"/>
    <n v="15"/>
    <n v="1"/>
    <n v="1"/>
    <n v="1"/>
    <n v="3"/>
    <n v="3"/>
    <n v="18"/>
    <n v="18"/>
  </r>
  <r>
    <x v="2"/>
    <x v="51"/>
    <d v="2026-02-15T00:00:00"/>
    <s v="1ST"/>
    <s v="08:00"/>
    <n v="3"/>
    <x v="6"/>
    <n v="4.7000000000000002E-3"/>
    <s v="P"/>
    <s v="P"/>
    <s v="P"/>
    <s v="+"/>
    <s v="+"/>
    <n v="12.89"/>
    <s v="-"/>
    <s v="-"/>
    <s v="-"/>
    <s v="-"/>
    <s v="-"/>
    <s v="-"/>
    <s v="-"/>
    <s v="-"/>
    <s v="P"/>
    <s v="P"/>
    <s v="-"/>
    <n v="2"/>
    <n v="1"/>
    <n v="2"/>
    <n v="1"/>
    <s v="-"/>
    <s v="-"/>
    <s v="-"/>
    <s v="-"/>
    <s v="-"/>
    <s v="-"/>
    <s v="-"/>
    <n v="6"/>
    <n v="6"/>
    <s v="-"/>
    <n v="1"/>
    <n v="1"/>
    <n v="2"/>
    <n v="2"/>
    <n v="8"/>
    <n v="8"/>
  </r>
  <r>
    <x v="2"/>
    <x v="51"/>
    <d v="2026-02-15T00:00:00"/>
    <s v="1ST"/>
    <s v="11:00"/>
    <s v="Retail"/>
    <x v="24"/>
    <s v="-"/>
    <s v="-"/>
    <s v="-"/>
    <s v="-"/>
    <s v="-"/>
    <s v="-"/>
    <n v="11.99"/>
    <n v="12.78"/>
    <n v="2.11"/>
    <n v="73.5"/>
    <n v="10.1"/>
    <n v="375"/>
    <n v="35.840000000000003"/>
    <s v="-"/>
    <s v="-"/>
    <s v="-"/>
    <s v="-"/>
    <s v="-"/>
    <s v="-"/>
    <s v="-"/>
    <s v="-"/>
    <n v="1"/>
    <n v="0"/>
    <n v="0"/>
    <s v="-"/>
    <s v="-"/>
    <s v="-"/>
    <s v="-"/>
    <s v="-"/>
    <n v="1"/>
    <n v="4"/>
    <s v="-"/>
    <s v="-"/>
    <s v="-"/>
    <n v="0"/>
    <n v="0"/>
    <n v="1"/>
    <n v="4"/>
  </r>
  <r>
    <x v="2"/>
    <x v="51"/>
    <d v="2026-03-03T00:00:00"/>
    <s v="2ND"/>
    <d v="1899-12-30T17:00:00"/>
    <n v="1"/>
    <x v="37"/>
    <n v="7.3000000000000001E-3"/>
    <s v="P"/>
    <s v="P"/>
    <s v="P"/>
    <s v="+"/>
    <s v="+"/>
    <n v="11.43"/>
    <n v="13.21"/>
    <s v="-"/>
    <n v="64.599999999999994"/>
    <s v="-"/>
    <s v="-"/>
    <n v="37.200000000000003"/>
    <s v="-"/>
    <s v="-"/>
    <s v="P"/>
    <s v="P"/>
    <n v="1"/>
    <n v="2"/>
    <n v="1"/>
    <n v="2"/>
    <n v="1"/>
    <n v="1"/>
    <s v="-"/>
    <n v="2"/>
    <s v="-"/>
    <s v="-"/>
    <s v="-"/>
    <s v="-"/>
    <n v="9"/>
    <n v="9"/>
    <s v="-"/>
    <n v="1"/>
    <n v="1"/>
    <n v="2"/>
    <n v="2"/>
    <n v="11"/>
    <n v="11"/>
  </r>
  <r>
    <x v="2"/>
    <x v="51"/>
    <d v="2026-03-03T00:00:00"/>
    <s v="2ND"/>
    <d v="1899-12-30T18:00:00"/>
    <n v="1"/>
    <x v="37"/>
    <n v="8.0000000000000002E-3"/>
    <s v="P"/>
    <s v="P"/>
    <s v="P"/>
    <s v="+"/>
    <s v="+"/>
    <n v="12.2"/>
    <s v="-"/>
    <s v="-"/>
    <s v="-"/>
    <s v="-"/>
    <s v="-"/>
    <s v="-"/>
    <s v="-"/>
    <s v="-"/>
    <s v="P"/>
    <s v="P"/>
    <s v="-"/>
    <n v="2"/>
    <n v="1"/>
    <n v="2"/>
    <n v="1"/>
    <s v="-"/>
    <s v="-"/>
    <s v="-"/>
    <s v="-"/>
    <s v="-"/>
    <s v="-"/>
    <s v="-"/>
    <n v="6"/>
    <n v="6"/>
    <s v="-"/>
    <n v="1"/>
    <n v="1"/>
    <n v="2"/>
    <n v="2"/>
    <n v="8"/>
    <n v="8"/>
  </r>
  <r>
    <x v="2"/>
    <x v="51"/>
    <s v="-"/>
    <s v="1ST"/>
    <s v="06:00"/>
    <n v="1"/>
    <x v="1"/>
    <n v="7.7000000000000002E-3"/>
    <s v="P"/>
    <s v="P"/>
    <s v="P"/>
    <s v="+"/>
    <s v="+"/>
    <n v="12.06"/>
    <n v="12.45"/>
    <n v="0.56999999999999995"/>
    <n v="64.599999999999994"/>
    <s v="-"/>
    <s v="-"/>
    <n v="34.81"/>
    <s v="-"/>
    <n v="25.16"/>
    <s v="P"/>
    <s v="P"/>
    <s v="-"/>
    <n v="2"/>
    <n v="1"/>
    <n v="2"/>
    <n v="1"/>
    <n v="1"/>
    <n v="2"/>
    <n v="2"/>
    <s v="-"/>
    <s v="-"/>
    <n v="2"/>
    <s v="-"/>
    <n v="13"/>
    <n v="13"/>
    <n v="1"/>
    <n v="1"/>
    <n v="1"/>
    <n v="3"/>
    <n v="3"/>
    <n v="16"/>
    <n v="16"/>
  </r>
  <r>
    <x v="2"/>
    <x v="51"/>
    <d v="2026-02-03T00:00:00"/>
    <s v="1ST"/>
    <s v="07:00"/>
    <n v="1"/>
    <x v="1"/>
    <n v="1.04E-2"/>
    <s v="P"/>
    <s v="P"/>
    <s v="P"/>
    <s v="+"/>
    <s v="+"/>
    <n v="11.85"/>
    <s v="-"/>
    <s v="-"/>
    <s v="-"/>
    <s v="-"/>
    <s v="-"/>
    <s v="-"/>
    <s v="-"/>
    <n v="25.16"/>
    <s v="P"/>
    <s v="P"/>
    <s v="-"/>
    <n v="2"/>
    <n v="1"/>
    <n v="2"/>
    <n v="0"/>
    <s v="-"/>
    <s v="-"/>
    <s v="-"/>
    <s v="-"/>
    <s v="-"/>
    <s v="-"/>
    <s v="-"/>
    <n v="5"/>
    <n v="6"/>
    <n v="1"/>
    <n v="1"/>
    <n v="1"/>
    <n v="3"/>
    <n v="3"/>
    <n v="8"/>
    <n v="9"/>
  </r>
  <r>
    <x v="2"/>
    <x v="51"/>
    <d v="2026-02-03T00:00:00"/>
    <s v="1ST"/>
    <s v="08:00"/>
    <n v="1"/>
    <x v="1"/>
    <n v="8.0999999999999996E-3"/>
    <s v="P"/>
    <s v="P"/>
    <s v="P"/>
    <s v="+"/>
    <s v="+"/>
    <n v="11.89"/>
    <s v="-"/>
    <s v="-"/>
    <s v="-"/>
    <s v="-"/>
    <s v="-"/>
    <s v="-"/>
    <s v="-"/>
    <s v="-"/>
    <s v="P"/>
    <s v="P"/>
    <s v="-"/>
    <n v="2"/>
    <n v="1"/>
    <n v="2"/>
    <n v="0"/>
    <s v="-"/>
    <s v="-"/>
    <s v="-"/>
    <s v="-"/>
    <s v="-"/>
    <s v="-"/>
    <s v="-"/>
    <n v="5"/>
    <n v="6"/>
    <s v="-"/>
    <n v="1"/>
    <n v="1"/>
    <n v="2"/>
    <n v="2"/>
    <n v="7"/>
    <n v="8"/>
  </r>
  <r>
    <x v="2"/>
    <x v="51"/>
    <d v="2026-02-03T00:00:00"/>
    <s v="1ST"/>
    <s v="10:00"/>
    <n v="1"/>
    <x v="1"/>
    <n v="8.0000000000000002E-3"/>
    <s v="P"/>
    <s v="P"/>
    <s v="P"/>
    <s v="+"/>
    <s v="+"/>
    <n v="12.05"/>
    <s v="-"/>
    <s v="-"/>
    <s v="-"/>
    <s v="-"/>
    <s v="-"/>
    <s v="-"/>
    <s v="-"/>
    <s v="-"/>
    <s v="P"/>
    <s v="P"/>
    <s v="-"/>
    <n v="2"/>
    <n v="1"/>
    <n v="2"/>
    <n v="1"/>
    <s v="-"/>
    <s v="-"/>
    <s v="-"/>
    <s v="-"/>
    <s v="-"/>
    <s v="-"/>
    <s v="-"/>
    <n v="6"/>
    <n v="6"/>
    <s v="-"/>
    <n v="1"/>
    <n v="1"/>
    <n v="2"/>
    <n v="2"/>
    <n v="8"/>
    <n v="8"/>
  </r>
  <r>
    <x v="2"/>
    <x v="51"/>
    <d v="2026-02-03T00:00:00"/>
    <s v="2ND"/>
    <d v="1899-12-30T20:00:00"/>
    <n v="1"/>
    <x v="1"/>
    <n v="9.4000000000000004E-3"/>
    <s v="P"/>
    <s v="P"/>
    <s v="P"/>
    <s v="+"/>
    <s v="+"/>
    <n v="11.37"/>
    <n v="12.65"/>
    <s v="-"/>
    <s v="-"/>
    <s v="-"/>
    <s v="-"/>
    <n v="35.4"/>
    <s v="-"/>
    <s v="-"/>
    <s v="P"/>
    <s v="P"/>
    <s v="85% 15%"/>
    <n v="2"/>
    <n v="1"/>
    <n v="2"/>
    <n v="0"/>
    <n v="1"/>
    <s v="-"/>
    <s v="-"/>
    <s v="-"/>
    <s v="-"/>
    <n v="2"/>
    <s v="-"/>
    <n v="8"/>
    <n v="9"/>
    <s v="-"/>
    <n v="1"/>
    <n v="1"/>
    <n v="2"/>
    <n v="2"/>
    <n v="10"/>
    <n v="11"/>
  </r>
  <r>
    <x v="2"/>
    <x v="51"/>
    <d v="2026-02-03T00:00:00"/>
    <s v="2ND"/>
    <d v="1899-12-30T21:00:00"/>
    <n v="1"/>
    <x v="1"/>
    <n v="8.8000000000000005E-3"/>
    <s v="P"/>
    <s v="P"/>
    <s v="P"/>
    <s v="+"/>
    <s v="+"/>
    <n v="12.21"/>
    <s v="-"/>
    <s v="-"/>
    <s v="-"/>
    <s v="-"/>
    <s v="-"/>
    <s v="-"/>
    <s v="-"/>
    <s v="-"/>
    <s v="P"/>
    <s v="P"/>
    <s v="-"/>
    <n v="2"/>
    <n v="1"/>
    <n v="2"/>
    <n v="1"/>
    <s v="-"/>
    <s v="-"/>
    <s v="-"/>
    <s v="-"/>
    <s v="-"/>
    <s v="-"/>
    <s v="-"/>
    <n v="6"/>
    <n v="6"/>
    <s v="-"/>
    <n v="1"/>
    <n v="1"/>
    <n v="2"/>
    <n v="2"/>
    <n v="8"/>
    <n v="8"/>
  </r>
  <r>
    <x v="2"/>
    <x v="51"/>
    <d v="2026-02-15T00:00:00"/>
    <s v="2ND"/>
    <d v="1899-12-30T15:00:00"/>
    <n v="3"/>
    <x v="1"/>
    <n v="5.0000000000000001E-3"/>
    <s v="P"/>
    <s v="P"/>
    <s v="P"/>
    <s v="+"/>
    <s v="+"/>
    <n v="12.45"/>
    <n v="12.65"/>
    <s v="-"/>
    <s v="-"/>
    <s v="-"/>
    <s v="-"/>
    <n v="35.4"/>
    <s v="-"/>
    <s v="-"/>
    <s v="P"/>
    <s v="P"/>
    <s v="85% 5% 10%"/>
    <n v="2"/>
    <n v="1"/>
    <n v="2"/>
    <n v="1"/>
    <n v="1"/>
    <s v="-"/>
    <s v="-"/>
    <s v="-"/>
    <s v="-"/>
    <n v="2"/>
    <s v="-"/>
    <n v="9"/>
    <n v="9"/>
    <s v="-"/>
    <n v="1"/>
    <n v="1"/>
    <n v="2"/>
    <n v="2"/>
    <n v="11"/>
    <n v="11"/>
  </r>
  <r>
    <x v="2"/>
    <x v="51"/>
    <d v="2026-02-15T00:00:00"/>
    <s v="2ND"/>
    <d v="1899-12-30T16:00:00"/>
    <n v="3"/>
    <x v="1"/>
    <n v="6.6E-3"/>
    <s v="P"/>
    <s v="P"/>
    <s v="P"/>
    <s v="+"/>
    <s v="+"/>
    <n v="12.59"/>
    <s v="-"/>
    <s v="-"/>
    <s v="-"/>
    <s v="-"/>
    <s v="-"/>
    <s v="-"/>
    <s v="-"/>
    <s v="-"/>
    <s v="P"/>
    <s v="P"/>
    <s v="-"/>
    <n v="2"/>
    <n v="1"/>
    <n v="2"/>
    <n v="1"/>
    <s v="-"/>
    <s v="-"/>
    <s v="-"/>
    <s v="-"/>
    <s v="-"/>
    <s v="-"/>
    <s v="-"/>
    <n v="6"/>
    <n v="6"/>
    <s v="-"/>
    <n v="1"/>
    <n v="1"/>
    <n v="2"/>
    <n v="2"/>
    <n v="8"/>
    <n v="8"/>
  </r>
  <r>
    <x v="2"/>
    <x v="51"/>
    <d v="2026-02-15T00:00:00"/>
    <s v="2ND"/>
    <d v="1899-12-30T19:00:00"/>
    <n v="3"/>
    <x v="1"/>
    <n v="5.5999999999999999E-3"/>
    <s v="P"/>
    <s v="P"/>
    <s v="P"/>
    <s v="+"/>
    <s v="+"/>
    <n v="12.75"/>
    <s v="-"/>
    <s v="-"/>
    <s v="-"/>
    <s v="-"/>
    <s v="-"/>
    <s v="-"/>
    <s v="-"/>
    <s v="-"/>
    <s v="P"/>
    <s v="P"/>
    <s v="-"/>
    <n v="2"/>
    <n v="1"/>
    <n v="2"/>
    <n v="1"/>
    <s v="-"/>
    <s v="-"/>
    <s v="-"/>
    <s v="-"/>
    <s v="-"/>
    <s v="-"/>
    <s v="-"/>
    <n v="6"/>
    <n v="6"/>
    <s v="-"/>
    <n v="1"/>
    <n v="1"/>
    <n v="2"/>
    <n v="2"/>
    <n v="8"/>
    <n v="8"/>
  </r>
  <r>
    <x v="2"/>
    <x v="51"/>
    <d v="2026-02-15T00:00:00"/>
    <s v="2ND"/>
    <d v="1899-12-30T20:00:00"/>
    <n v="3"/>
    <x v="1"/>
    <n v="6.0000000000000001E-3"/>
    <s v="P"/>
    <s v="P"/>
    <s v="P"/>
    <s v="+"/>
    <s v="+"/>
    <n v="12.84"/>
    <s v="-"/>
    <s v="-"/>
    <s v="-"/>
    <s v="-"/>
    <s v="-"/>
    <s v="-"/>
    <s v="-"/>
    <n v="25.2"/>
    <s v="P"/>
    <s v="P"/>
    <s v="-"/>
    <n v="2"/>
    <n v="1"/>
    <n v="2"/>
    <n v="1"/>
    <s v="-"/>
    <s v="-"/>
    <s v="-"/>
    <s v="-"/>
    <s v="-"/>
    <s v="-"/>
    <s v="-"/>
    <n v="6"/>
    <n v="6"/>
    <n v="1"/>
    <n v="1"/>
    <n v="1"/>
    <n v="3"/>
    <n v="3"/>
    <n v="9"/>
    <n v="9"/>
  </r>
  <r>
    <x v="2"/>
    <x v="51"/>
    <d v="2026-02-15T00:00:00"/>
    <s v="2ND"/>
    <d v="1899-12-30T21:00:00"/>
    <n v="3"/>
    <x v="1"/>
    <n v="5.7999999999999996E-3"/>
    <s v="P"/>
    <s v="P"/>
    <s v="P"/>
    <s v="+"/>
    <s v="+"/>
    <n v="12.4"/>
    <s v="-"/>
    <s v="-"/>
    <s v="-"/>
    <s v="-"/>
    <s v="-"/>
    <s v="-"/>
    <s v="-"/>
    <s v="-"/>
    <s v="P"/>
    <s v="P"/>
    <s v="-"/>
    <n v="2"/>
    <n v="1"/>
    <n v="2"/>
    <n v="1"/>
    <s v="-"/>
    <s v="-"/>
    <s v="-"/>
    <s v="-"/>
    <s v="-"/>
    <s v="-"/>
    <s v="-"/>
    <n v="6"/>
    <n v="6"/>
    <s v="-"/>
    <n v="1"/>
    <n v="1"/>
    <n v="2"/>
    <n v="2"/>
    <n v="8"/>
    <n v="8"/>
  </r>
  <r>
    <x v="2"/>
    <x v="51"/>
    <s v="-"/>
    <s v="3RD"/>
    <d v="1899-12-30T22:00:00"/>
    <n v="1"/>
    <x v="1"/>
    <n v="1.7999999999999999E-2"/>
    <s v="P"/>
    <s v="P"/>
    <s v="P"/>
    <s v="+"/>
    <s v="+"/>
    <n v="11.96"/>
    <n v="12.74"/>
    <s v="-"/>
    <s v="-"/>
    <s v="-"/>
    <s v="-"/>
    <n v="35.700000000000003"/>
    <s v="-"/>
    <s v="-"/>
    <s v="P"/>
    <s v="P"/>
    <s v="85% 15%"/>
    <n v="2"/>
    <n v="1"/>
    <n v="2"/>
    <n v="0"/>
    <n v="1"/>
    <s v="-"/>
    <s v="-"/>
    <s v="-"/>
    <s v="-"/>
    <n v="2"/>
    <s v="-"/>
    <n v="8"/>
    <n v="9"/>
    <s v="-"/>
    <n v="1"/>
    <n v="1"/>
    <n v="2"/>
    <n v="2"/>
    <n v="10"/>
    <n v="11"/>
  </r>
  <r>
    <x v="2"/>
    <x v="51"/>
    <d v="2026-02-03T00:00:00"/>
    <s v="3RD"/>
    <d v="1899-12-30T23:00:00"/>
    <n v="1"/>
    <x v="1"/>
    <n v="5.7999999999999996E-3"/>
    <s v="P"/>
    <s v="P"/>
    <s v="P"/>
    <s v="+"/>
    <s v="+"/>
    <n v="12.08"/>
    <s v="-"/>
    <s v="-"/>
    <s v="-"/>
    <s v="-"/>
    <s v="-"/>
    <s v="-"/>
    <s v="-"/>
    <s v="-"/>
    <s v="P"/>
    <s v="P"/>
    <s v="-"/>
    <n v="2"/>
    <n v="1"/>
    <n v="2"/>
    <n v="1"/>
    <s v="-"/>
    <s v="-"/>
    <s v="-"/>
    <s v="-"/>
    <s v="-"/>
    <s v="-"/>
    <s v="-"/>
    <n v="6"/>
    <n v="6"/>
    <s v="-"/>
    <n v="1"/>
    <n v="1"/>
    <n v="2"/>
    <n v="2"/>
    <n v="8"/>
    <n v="8"/>
  </r>
  <r>
    <x v="2"/>
    <x v="51"/>
    <d v="2026-02-03T00:00:00"/>
    <s v="3RD"/>
    <d v="1899-12-31T00:00:00"/>
    <n v="1"/>
    <x v="1"/>
    <n v="9.9000000000000008E-3"/>
    <s v="P"/>
    <s v="P"/>
    <s v="P"/>
    <s v="+"/>
    <s v="+"/>
    <n v="12.16"/>
    <s v="-"/>
    <s v="-"/>
    <s v="-"/>
    <s v="-"/>
    <s v="-"/>
    <s v="-"/>
    <s v="-"/>
    <s v="-"/>
    <s v="P"/>
    <s v="P"/>
    <s v="-"/>
    <n v="2"/>
    <n v="1"/>
    <n v="2"/>
    <n v="1"/>
    <s v="-"/>
    <s v="-"/>
    <s v="-"/>
    <s v="-"/>
    <s v="-"/>
    <s v="-"/>
    <s v="-"/>
    <n v="6"/>
    <n v="6"/>
    <s v="-"/>
    <n v="1"/>
    <n v="1"/>
    <n v="2"/>
    <n v="2"/>
    <n v="8"/>
    <n v="8"/>
  </r>
  <r>
    <x v="2"/>
    <x v="51"/>
    <d v="2026-02-03T00:00:00"/>
    <s v="3RD"/>
    <d v="1899-12-31T01:00:00"/>
    <n v="1"/>
    <x v="1"/>
    <n v="1.06E-2"/>
    <s v="P"/>
    <s v="P"/>
    <s v="P"/>
    <s v="+"/>
    <s v="+"/>
    <n v="12.26"/>
    <s v="-"/>
    <s v="-"/>
    <s v="-"/>
    <s v="-"/>
    <s v="-"/>
    <s v="-"/>
    <s v="-"/>
    <s v="-"/>
    <s v="P"/>
    <s v="P"/>
    <s v="-"/>
    <n v="2"/>
    <n v="1"/>
    <n v="2"/>
    <n v="1"/>
    <s v="-"/>
    <s v="-"/>
    <s v="-"/>
    <s v="-"/>
    <s v="-"/>
    <s v="-"/>
    <s v="-"/>
    <n v="6"/>
    <n v="6"/>
    <s v="-"/>
    <n v="1"/>
    <n v="1"/>
    <n v="2"/>
    <n v="2"/>
    <n v="8"/>
    <n v="8"/>
  </r>
  <r>
    <x v="2"/>
    <x v="51"/>
    <d v="2026-02-03T00:00:00"/>
    <s v="3RD"/>
    <d v="1899-12-31T02:00:00"/>
    <n v="1"/>
    <x v="1"/>
    <n v="8.6E-3"/>
    <s v="P"/>
    <s v="P"/>
    <s v="P"/>
    <s v="+"/>
    <s v="+"/>
    <n v="12.22"/>
    <s v="-"/>
    <s v="-"/>
    <s v="-"/>
    <s v="-"/>
    <s v="-"/>
    <s v="-"/>
    <s v="-"/>
    <s v="-"/>
    <s v="P"/>
    <s v="P"/>
    <s v="-"/>
    <n v="2"/>
    <n v="1"/>
    <n v="2"/>
    <n v="1"/>
    <s v="-"/>
    <s v="-"/>
    <s v="-"/>
    <s v="-"/>
    <s v="-"/>
    <s v="-"/>
    <s v="-"/>
    <n v="6"/>
    <n v="6"/>
    <s v="-"/>
    <n v="1"/>
    <n v="1"/>
    <n v="2"/>
    <n v="2"/>
    <n v="8"/>
    <n v="8"/>
  </r>
  <r>
    <x v="2"/>
    <x v="51"/>
    <d v="2026-02-03T00:00:00"/>
    <s v="3RD"/>
    <d v="1899-12-31T03:00:00"/>
    <n v="1"/>
    <x v="1"/>
    <n v="1.2500000000000001E-2"/>
    <s v="P"/>
    <s v="P"/>
    <s v="P"/>
    <s v="+"/>
    <s v="+"/>
    <n v="12.02"/>
    <s v="-"/>
    <s v="-"/>
    <s v="-"/>
    <s v="-"/>
    <s v="-"/>
    <s v="-"/>
    <s v="-"/>
    <s v="-"/>
    <s v="P"/>
    <s v="P"/>
    <s v="-"/>
    <n v="2"/>
    <n v="1"/>
    <n v="2"/>
    <n v="1"/>
    <s v="-"/>
    <s v="-"/>
    <s v="-"/>
    <s v="-"/>
    <s v="-"/>
    <s v="-"/>
    <s v="-"/>
    <n v="6"/>
    <n v="6"/>
    <s v="-"/>
    <n v="1"/>
    <n v="1"/>
    <n v="2"/>
    <n v="2"/>
    <n v="8"/>
    <n v="8"/>
  </r>
  <r>
    <x v="2"/>
    <x v="51"/>
    <d v="2026-02-15T00:00:00"/>
    <s v="3RD"/>
    <d v="1899-12-31T04:00:00"/>
    <n v="1"/>
    <x v="1"/>
    <n v="1.8599999999999998E-2"/>
    <s v="P"/>
    <s v="P"/>
    <s v="P"/>
    <s v="+"/>
    <s v="+"/>
    <n v="11.11"/>
    <n v="12.75"/>
    <s v="-"/>
    <s v="-"/>
    <s v="-"/>
    <s v="-"/>
    <n v="35.6"/>
    <s v="-"/>
    <s v="-"/>
    <s v="P"/>
    <s v="P"/>
    <s v="85% 15%"/>
    <n v="2"/>
    <n v="1"/>
    <n v="2"/>
    <n v="0"/>
    <n v="1"/>
    <s v="-"/>
    <s v="-"/>
    <s v="-"/>
    <s v="-"/>
    <n v="2"/>
    <s v="-"/>
    <n v="8"/>
    <n v="9"/>
    <s v="-"/>
    <n v="1"/>
    <n v="1"/>
    <n v="2"/>
    <n v="2"/>
    <n v="10"/>
    <n v="11"/>
  </r>
  <r>
    <x v="2"/>
    <x v="51"/>
    <d v="2026-02-15T00:00:00"/>
    <s v="3RD"/>
    <d v="1899-12-31T05:00:00"/>
    <n v="1"/>
    <x v="1"/>
    <n v="1.2500000000000001E-2"/>
    <s v="P"/>
    <s v="P"/>
    <s v="P"/>
    <s v="+"/>
    <s v="+"/>
    <n v="11.65"/>
    <s v="-"/>
    <s v="-"/>
    <s v="-"/>
    <s v="-"/>
    <s v="-"/>
    <s v="-"/>
    <s v="-"/>
    <s v="-"/>
    <s v="P"/>
    <s v="P"/>
    <s v="-"/>
    <n v="2"/>
    <n v="1"/>
    <n v="2"/>
    <n v="0"/>
    <s v="-"/>
    <s v="-"/>
    <s v="-"/>
    <s v="-"/>
    <s v="-"/>
    <s v="-"/>
    <s v="-"/>
    <n v="5"/>
    <n v="6"/>
    <s v="-"/>
    <n v="1"/>
    <n v="1"/>
    <n v="2"/>
    <n v="2"/>
    <n v="7"/>
    <n v="8"/>
  </r>
  <r>
    <x v="2"/>
    <x v="51"/>
    <d v="2026-02-15T00:00:00"/>
    <s v="3RD"/>
    <d v="1899-12-30T22:00:00"/>
    <n v="3"/>
    <x v="1"/>
    <n v="7.1999999999999998E-3"/>
    <s v="P"/>
    <s v="P"/>
    <s v="P"/>
    <s v="+"/>
    <s v="+"/>
    <n v="12.83"/>
    <n v="12.75"/>
    <s v="-"/>
    <s v="-"/>
    <s v="-"/>
    <s v="-"/>
    <n v="35.6"/>
    <s v="-"/>
    <s v="-"/>
    <s v="P"/>
    <s v="P"/>
    <s v="85% 15%"/>
    <n v="2"/>
    <n v="1"/>
    <n v="2"/>
    <n v="1"/>
    <n v="1"/>
    <s v="-"/>
    <s v="-"/>
    <s v="-"/>
    <s v="-"/>
    <n v="2"/>
    <s v="-"/>
    <n v="9"/>
    <n v="9"/>
    <s v="-"/>
    <n v="1"/>
    <n v="1"/>
    <n v="2"/>
    <n v="2"/>
    <n v="11"/>
    <n v="11"/>
  </r>
  <r>
    <x v="2"/>
    <x v="51"/>
    <d v="2026-02-15T00:00:00"/>
    <s v="3RD"/>
    <d v="1899-12-30T23:00:00"/>
    <n v="3"/>
    <x v="1"/>
    <n v="1.09E-2"/>
    <s v="P"/>
    <s v="P"/>
    <s v="P"/>
    <s v="+"/>
    <s v="+"/>
    <n v="12.54"/>
    <s v="-"/>
    <s v="-"/>
    <s v="-"/>
    <s v="-"/>
    <s v="-"/>
    <s v="-"/>
    <s v="-"/>
    <s v="-"/>
    <s v="P"/>
    <s v="P"/>
    <s v="-"/>
    <n v="2"/>
    <n v="1"/>
    <n v="2"/>
    <n v="1"/>
    <s v="-"/>
    <s v="-"/>
    <s v="-"/>
    <s v="-"/>
    <s v="-"/>
    <s v="-"/>
    <s v="-"/>
    <n v="6"/>
    <n v="6"/>
    <s v="-"/>
    <n v="1"/>
    <n v="1"/>
    <n v="2"/>
    <n v="2"/>
    <n v="8"/>
    <n v="8"/>
  </r>
  <r>
    <x v="2"/>
    <x v="51"/>
    <d v="2026-02-15T00:00:00"/>
    <s v="3RD"/>
    <d v="1899-12-31T00:00:00"/>
    <n v="3"/>
    <x v="1"/>
    <n v="8.8000000000000005E-3"/>
    <s v="P"/>
    <s v="P"/>
    <s v="P"/>
    <s v="+"/>
    <s v="+"/>
    <n v="12.77"/>
    <s v="-"/>
    <s v="-"/>
    <s v="-"/>
    <s v="-"/>
    <s v="-"/>
    <s v="-"/>
    <s v="-"/>
    <s v="-"/>
    <s v="P"/>
    <s v="P"/>
    <s v="-"/>
    <n v="2"/>
    <n v="1"/>
    <n v="2"/>
    <n v="1"/>
    <s v="-"/>
    <s v="-"/>
    <s v="-"/>
    <s v="-"/>
    <s v="-"/>
    <s v="-"/>
    <s v="-"/>
    <n v="6"/>
    <n v="6"/>
    <s v="-"/>
    <n v="1"/>
    <n v="1"/>
    <n v="2"/>
    <n v="2"/>
    <n v="8"/>
    <n v="8"/>
  </r>
  <r>
    <x v="2"/>
    <x v="51"/>
    <d v="2026-02-15T00:00:00"/>
    <s v="3RD"/>
    <d v="1899-12-31T01:00:00"/>
    <n v="3"/>
    <x v="1"/>
    <n v="6.8999999999999999E-3"/>
    <s v="P"/>
    <s v="P"/>
    <s v="P"/>
    <s v="+"/>
    <s v="+"/>
    <n v="12.74"/>
    <s v="-"/>
    <s v="-"/>
    <s v="-"/>
    <s v="-"/>
    <s v="-"/>
    <s v="-"/>
    <s v="-"/>
    <s v="-"/>
    <s v="P"/>
    <s v="P"/>
    <s v="-"/>
    <n v="2"/>
    <n v="1"/>
    <n v="2"/>
    <n v="1"/>
    <s v="-"/>
    <s v="-"/>
    <s v="-"/>
    <s v="-"/>
    <s v="-"/>
    <s v="-"/>
    <s v="-"/>
    <n v="6"/>
    <n v="6"/>
    <s v="-"/>
    <n v="1"/>
    <n v="1"/>
    <n v="2"/>
    <n v="2"/>
    <n v="8"/>
    <n v="8"/>
  </r>
  <r>
    <x v="2"/>
    <x v="51"/>
    <d v="2026-02-15T00:00:00"/>
    <s v="3RD"/>
    <d v="1899-12-31T02:00:00"/>
    <n v="3"/>
    <x v="1"/>
    <n v="1.9199999999999998E-2"/>
    <s v="P"/>
    <s v="P"/>
    <s v="P"/>
    <s v="+"/>
    <s v="+"/>
    <n v="12.47"/>
    <s v="-"/>
    <s v="-"/>
    <s v="-"/>
    <s v="-"/>
    <s v="-"/>
    <s v="-"/>
    <s v="-"/>
    <s v="-"/>
    <s v="P"/>
    <s v="P"/>
    <s v="-"/>
    <n v="2"/>
    <n v="1"/>
    <n v="2"/>
    <n v="1"/>
    <s v="-"/>
    <s v="-"/>
    <s v="-"/>
    <s v="-"/>
    <s v="-"/>
    <s v="-"/>
    <s v="-"/>
    <n v="6"/>
    <n v="6"/>
    <s v="-"/>
    <n v="1"/>
    <n v="1"/>
    <n v="2"/>
    <n v="2"/>
    <n v="8"/>
    <n v="8"/>
  </r>
  <r>
    <x v="2"/>
    <x v="51"/>
    <d v="2026-02-15T00:00:00"/>
    <s v="3RD"/>
    <d v="1899-12-31T03:00:00"/>
    <n v="3"/>
    <x v="1"/>
    <n v="1.95E-2"/>
    <s v="P"/>
    <s v="P"/>
    <s v="P"/>
    <s v="+"/>
    <s v="+"/>
    <n v="12.47"/>
    <s v="-"/>
    <s v="-"/>
    <s v="-"/>
    <s v="-"/>
    <s v="-"/>
    <s v="-"/>
    <s v="-"/>
    <s v="-"/>
    <s v="P"/>
    <s v="P"/>
    <s v="-"/>
    <n v="2"/>
    <n v="1"/>
    <n v="2"/>
    <n v="1"/>
    <s v="-"/>
    <s v="-"/>
    <s v="-"/>
    <s v="-"/>
    <s v="-"/>
    <s v="-"/>
    <s v="-"/>
    <n v="6"/>
    <n v="6"/>
    <s v="-"/>
    <n v="1"/>
    <n v="1"/>
    <n v="2"/>
    <n v="2"/>
    <n v="8"/>
    <n v="8"/>
  </r>
  <r>
    <x v="2"/>
    <x v="51"/>
    <d v="2026-02-15T00:00:00"/>
    <s v="3RD"/>
    <d v="1899-12-31T04:00:00"/>
    <n v="3"/>
    <x v="1"/>
    <n v="6.8999999999999999E-3"/>
    <s v="P"/>
    <s v="P"/>
    <s v="P"/>
    <s v="+"/>
    <s v="+"/>
    <n v="12.65"/>
    <s v="-"/>
    <s v="-"/>
    <s v="-"/>
    <s v="-"/>
    <s v="-"/>
    <s v="-"/>
    <s v="-"/>
    <s v="-"/>
    <s v="P"/>
    <s v="P"/>
    <s v="-"/>
    <n v="2"/>
    <n v="1"/>
    <n v="2"/>
    <n v="1"/>
    <s v="-"/>
    <s v="-"/>
    <s v="-"/>
    <s v="-"/>
    <s v="-"/>
    <s v="-"/>
    <s v="-"/>
    <n v="6"/>
    <n v="6"/>
    <s v="-"/>
    <n v="1"/>
    <n v="1"/>
    <n v="2"/>
    <n v="2"/>
    <n v="8"/>
    <n v="8"/>
  </r>
  <r>
    <x v="2"/>
    <x v="51"/>
    <d v="2026-02-15T00:00:00"/>
    <s v="3RD"/>
    <d v="1899-12-31T05:00:00"/>
    <n v="3"/>
    <x v="1"/>
    <n v="6.1000000000000004E-3"/>
    <s v="P"/>
    <s v="P"/>
    <s v="P"/>
    <s v="+"/>
    <s v="+"/>
    <n v="12.5"/>
    <s v="-"/>
    <s v="-"/>
    <s v="-"/>
    <s v="-"/>
    <s v="-"/>
    <s v="-"/>
    <s v="-"/>
    <s v="-"/>
    <s v="P"/>
    <s v="P"/>
    <s v="-"/>
    <n v="2"/>
    <n v="1"/>
    <n v="2"/>
    <n v="1"/>
    <s v="-"/>
    <s v="-"/>
    <s v="-"/>
    <s v="-"/>
    <s v="-"/>
    <s v="-"/>
    <s v="-"/>
    <n v="6"/>
    <n v="6"/>
    <s v="-"/>
    <n v="1"/>
    <n v="1"/>
    <n v="2"/>
    <n v="2"/>
    <n v="8"/>
    <n v="8"/>
  </r>
  <r>
    <x v="2"/>
    <x v="51"/>
    <d v="1902-03-26T00:00:00"/>
    <s v="2ND"/>
    <d v="1899-12-30T14:00:00"/>
    <n v="2"/>
    <x v="4"/>
    <n v="5.0000000000000001E-3"/>
    <s v="P"/>
    <s v="P"/>
    <s v="P"/>
    <s v="-"/>
    <s v="+"/>
    <n v="10.65"/>
    <n v="8.52"/>
    <s v="-"/>
    <s v="-"/>
    <s v="-"/>
    <s v="-"/>
    <n v="22.92"/>
    <s v="-"/>
    <s v="-"/>
    <s v="P"/>
    <s v="P"/>
    <s v="-"/>
    <n v="2"/>
    <n v="1"/>
    <n v="2"/>
    <n v="0"/>
    <n v="1"/>
    <s v="-"/>
    <s v="-"/>
    <s v="-"/>
    <s v="-"/>
    <n v="2"/>
    <s v="-"/>
    <n v="8"/>
    <n v="9"/>
    <s v="-"/>
    <n v="1"/>
    <n v="1"/>
    <n v="2"/>
    <n v="2"/>
    <n v="10"/>
    <n v="11"/>
  </r>
  <r>
    <x v="2"/>
    <x v="51"/>
    <d v="1899-12-30T00:00:00"/>
    <s v="1ST"/>
    <s v="09:00"/>
    <n v="2"/>
    <x v="5"/>
    <n v="1.7500000000000002E-2"/>
    <s v="P"/>
    <s v="P"/>
    <s v="P"/>
    <s v="-"/>
    <s v="+"/>
    <n v="10.59"/>
    <n v="8.52"/>
    <n v="0.56999999999999995"/>
    <n v="56.6"/>
    <s v="-"/>
    <s v="-"/>
    <n v="22.92"/>
    <s v="-"/>
    <n v="25.13"/>
    <s v="P"/>
    <s v="P"/>
    <s v="-"/>
    <n v="2"/>
    <n v="1"/>
    <n v="2"/>
    <n v="0"/>
    <n v="1"/>
    <n v="0"/>
    <n v="2"/>
    <s v="-"/>
    <s v="-"/>
    <n v="2"/>
    <s v="-"/>
    <n v="10"/>
    <n v="13"/>
    <n v="1"/>
    <n v="1"/>
    <n v="1"/>
    <n v="3"/>
    <n v="3"/>
    <n v="13"/>
    <n v="16"/>
  </r>
  <r>
    <x v="2"/>
    <x v="51"/>
    <d v="1899-12-30T00:00:00"/>
    <s v="1ST"/>
    <s v="10:00"/>
    <n v="2"/>
    <x v="5"/>
    <n v="8.0999999999999996E-3"/>
    <s v="P"/>
    <s v="P"/>
    <s v="P"/>
    <s v="-"/>
    <s v="+"/>
    <n v="10.59"/>
    <s v="-"/>
    <s v="-"/>
    <s v="-"/>
    <s v="-"/>
    <s v="-"/>
    <s v="-"/>
    <s v="-"/>
    <s v="-"/>
    <s v="P"/>
    <s v="P"/>
    <s v="-"/>
    <n v="2"/>
    <n v="1"/>
    <n v="2"/>
    <n v="0"/>
    <s v="-"/>
    <s v="-"/>
    <s v="-"/>
    <s v="-"/>
    <s v="-"/>
    <s v="-"/>
    <s v="-"/>
    <n v="5"/>
    <n v="6"/>
    <s v="-"/>
    <n v="1"/>
    <n v="1"/>
    <n v="2"/>
    <n v="2"/>
    <n v="7"/>
    <n v="8"/>
  </r>
  <r>
    <x v="2"/>
    <x v="51"/>
    <d v="1899-12-30T00:00:00"/>
    <s v="1ST"/>
    <s v="12:00"/>
    <n v="2"/>
    <x v="5"/>
    <n v="3.5000000000000003E-2"/>
    <s v="P"/>
    <s v="P"/>
    <s v="P"/>
    <s v="-"/>
    <s v="+"/>
    <n v="11"/>
    <s v="-"/>
    <s v="-"/>
    <s v="-"/>
    <s v="-"/>
    <s v="-"/>
    <s v="-"/>
    <s v="-"/>
    <s v="-"/>
    <s v="P"/>
    <s v="P"/>
    <s v="-"/>
    <n v="0"/>
    <n v="1"/>
    <n v="2"/>
    <n v="1"/>
    <s v="-"/>
    <s v="-"/>
    <s v="-"/>
    <s v="-"/>
    <s v="-"/>
    <s v="-"/>
    <s v="-"/>
    <n v="4"/>
    <n v="6"/>
    <s v="-"/>
    <n v="1"/>
    <n v="1"/>
    <n v="2"/>
    <n v="2"/>
    <n v="6"/>
    <n v="8"/>
  </r>
  <r>
    <x v="2"/>
    <x v="51"/>
    <d v="1899-12-30T00:00:00"/>
    <s v="1ST"/>
    <s v="13:00"/>
    <n v="2"/>
    <x v="5"/>
    <n v="4.7000000000000002E-3"/>
    <s v="P"/>
    <s v="P"/>
    <s v="P"/>
    <s v="-"/>
    <s v="+"/>
    <n v="10.69"/>
    <s v="-"/>
    <s v="-"/>
    <s v="-"/>
    <s v="-"/>
    <s v="-"/>
    <s v="-"/>
    <s v="-"/>
    <s v="-"/>
    <s v="P"/>
    <s v="P"/>
    <s v="-"/>
    <n v="2"/>
    <n v="1"/>
    <n v="2"/>
    <n v="0"/>
    <s v="-"/>
    <s v="-"/>
    <s v="-"/>
    <s v="-"/>
    <s v="-"/>
    <s v="-"/>
    <s v="-"/>
    <n v="5"/>
    <n v="6"/>
    <s v="-"/>
    <n v="1"/>
    <n v="1"/>
    <n v="2"/>
    <n v="2"/>
    <n v="7"/>
    <n v="8"/>
  </r>
  <r>
    <x v="2"/>
    <x v="52"/>
    <d v="1902-03-26T00:00:00"/>
    <s v="3RD"/>
    <d v="1899-12-30T22:00:00"/>
    <n v="2"/>
    <x v="2"/>
    <n v="6.3E-3"/>
    <s v="P"/>
    <s v="P"/>
    <s v="P"/>
    <s v="-"/>
    <s v="+"/>
    <n v="10.89"/>
    <n v="8.73"/>
    <n v="0.63"/>
    <n v="58.3"/>
    <n v="14"/>
    <n v="285"/>
    <n v="23.8"/>
    <s v="-"/>
    <s v="-"/>
    <s v="P"/>
    <s v="P"/>
    <s v="-"/>
    <n v="2"/>
    <n v="1"/>
    <n v="2"/>
    <n v="0"/>
    <n v="0"/>
    <n v="0"/>
    <n v="0"/>
    <n v="1"/>
    <n v="0"/>
    <n v="0"/>
    <s v="-"/>
    <n v="6"/>
    <n v="15"/>
    <s v="-"/>
    <n v="1"/>
    <n v="1"/>
    <n v="2"/>
    <n v="2"/>
    <n v="8"/>
    <n v="17"/>
  </r>
  <r>
    <x v="2"/>
    <x v="52"/>
    <d v="1899-12-30T00:00:00"/>
    <s v="3RD"/>
    <d v="1899-12-31T00:00:00"/>
    <n v="2"/>
    <x v="2"/>
    <n v="1.03E-2"/>
    <s v="P"/>
    <s v="P"/>
    <s v="P"/>
    <s v="-"/>
    <s v="+"/>
    <n v="11"/>
    <s v="-"/>
    <s v="-"/>
    <s v="-"/>
    <s v="-"/>
    <s v="-"/>
    <s v="-"/>
    <s v="-"/>
    <s v="-"/>
    <s v="P"/>
    <s v="P"/>
    <s v="-"/>
    <n v="2"/>
    <n v="1"/>
    <n v="2"/>
    <n v="0"/>
    <s v="-"/>
    <s v="-"/>
    <s v="-"/>
    <s v="-"/>
    <s v="-"/>
    <s v="-"/>
    <s v="-"/>
    <n v="5"/>
    <n v="6"/>
    <s v="-"/>
    <n v="1"/>
    <n v="1"/>
    <n v="2"/>
    <n v="2"/>
    <n v="7"/>
    <n v="8"/>
  </r>
  <r>
    <x v="2"/>
    <x v="52"/>
    <d v="1899-12-30T00:00:00"/>
    <s v="3RD"/>
    <d v="1899-12-31T02:00:00"/>
    <n v="2"/>
    <x v="2"/>
    <n v="1.1299999999999999E-2"/>
    <s v="P"/>
    <s v="P"/>
    <s v="P"/>
    <s v="-"/>
    <s v="+"/>
    <n v="10.98"/>
    <s v="-"/>
    <s v="-"/>
    <s v="-"/>
    <s v="-"/>
    <s v="-"/>
    <s v="-"/>
    <s v="-"/>
    <s v="-"/>
    <s v="P"/>
    <s v="P"/>
    <s v="-"/>
    <n v="2"/>
    <n v="1"/>
    <n v="2"/>
    <n v="0"/>
    <s v="-"/>
    <s v="-"/>
    <s v="-"/>
    <s v="-"/>
    <s v="-"/>
    <s v="-"/>
    <s v="-"/>
    <n v="5"/>
    <n v="6"/>
    <s v="-"/>
    <n v="1"/>
    <n v="1"/>
    <n v="2"/>
    <n v="2"/>
    <n v="7"/>
    <n v="8"/>
  </r>
  <r>
    <x v="2"/>
    <x v="52"/>
    <d v="1899-12-30T00:00:00"/>
    <s v="3RD"/>
    <d v="1899-12-31T03:00:00"/>
    <n v="2"/>
    <x v="2"/>
    <n v="1.12E-2"/>
    <s v="P"/>
    <s v="P"/>
    <s v="P"/>
    <s v="-"/>
    <s v="+"/>
    <n v="11.06"/>
    <s v="-"/>
    <s v="-"/>
    <s v="-"/>
    <s v="-"/>
    <s v="-"/>
    <s v="-"/>
    <s v="-"/>
    <s v="-"/>
    <s v="P"/>
    <s v="P"/>
    <s v="-"/>
    <n v="2"/>
    <n v="1"/>
    <n v="2"/>
    <n v="0"/>
    <s v="-"/>
    <s v="-"/>
    <s v="-"/>
    <s v="-"/>
    <s v="-"/>
    <s v="-"/>
    <s v="-"/>
    <n v="5"/>
    <n v="6"/>
    <s v="-"/>
    <n v="1"/>
    <n v="1"/>
    <n v="2"/>
    <n v="2"/>
    <n v="7"/>
    <n v="8"/>
  </r>
  <r>
    <x v="2"/>
    <x v="52"/>
    <d v="1899-12-30T00:00:00"/>
    <s v="3RD"/>
    <d v="1899-12-31T04:00:00"/>
    <n v="2"/>
    <x v="2"/>
    <n v="8.3999999999999995E-3"/>
    <s v="P"/>
    <s v="P"/>
    <s v="P"/>
    <s v="-"/>
    <s v="+"/>
    <n v="11.07"/>
    <s v="-"/>
    <s v="-"/>
    <s v="-"/>
    <s v="-"/>
    <s v="-"/>
    <s v="-"/>
    <s v="-"/>
    <s v="-"/>
    <s v="P"/>
    <s v="P"/>
    <s v="-"/>
    <n v="2"/>
    <n v="1"/>
    <n v="2"/>
    <n v="0"/>
    <s v="-"/>
    <s v="-"/>
    <s v="-"/>
    <s v="-"/>
    <s v="-"/>
    <s v="-"/>
    <s v="-"/>
    <n v="5"/>
    <n v="6"/>
    <s v="-"/>
    <n v="1"/>
    <n v="1"/>
    <n v="2"/>
    <n v="2"/>
    <n v="7"/>
    <n v="8"/>
  </r>
  <r>
    <x v="2"/>
    <x v="52"/>
    <d v="2026-03-03T00:00:00"/>
    <s v="1ST"/>
    <s v="12:00"/>
    <n v="3"/>
    <x v="10"/>
    <n v="1.24E-2"/>
    <s v="P"/>
    <s v="P"/>
    <s v="P"/>
    <s v="+"/>
    <s v="+"/>
    <n v="12.71"/>
    <n v="11.94"/>
    <n v="0.39"/>
    <n v="63.6"/>
    <n v="16.2"/>
    <n v="821"/>
    <n v="33.1"/>
    <s v="-"/>
    <s v="-"/>
    <s v="P"/>
    <s v="P"/>
    <s v="-"/>
    <n v="2"/>
    <n v="1"/>
    <n v="2"/>
    <n v="1"/>
    <n v="1"/>
    <n v="2"/>
    <n v="2"/>
    <n v="1"/>
    <n v="0"/>
    <n v="2"/>
    <s v="-"/>
    <n v="14"/>
    <n v="15"/>
    <s v="-"/>
    <n v="1"/>
    <n v="1"/>
    <n v="2"/>
    <n v="2"/>
    <n v="16"/>
    <n v="17"/>
  </r>
  <r>
    <x v="2"/>
    <x v="52"/>
    <d v="2026-03-03T00:00:00"/>
    <s v="2ND"/>
    <d v="1899-12-30T14:00:00"/>
    <n v="3"/>
    <x v="10"/>
    <n v="6.4999999999999997E-3"/>
    <s v="P"/>
    <s v="P"/>
    <s v="P"/>
    <s v="+"/>
    <s v="+"/>
    <n v="13.05"/>
    <n v="11.99"/>
    <s v="-"/>
    <s v="-"/>
    <s v="-"/>
    <s v="-"/>
    <n v="33.200000000000003"/>
    <s v="-"/>
    <s v="-"/>
    <s v="P"/>
    <s v="P"/>
    <n v="1"/>
    <n v="2"/>
    <n v="1"/>
    <n v="2"/>
    <n v="1"/>
    <n v="1"/>
    <s v="-"/>
    <s v="-"/>
    <s v="-"/>
    <s v="-"/>
    <n v="2"/>
    <s v="-"/>
    <n v="9"/>
    <n v="9"/>
    <s v="-"/>
    <n v="1"/>
    <n v="1"/>
    <n v="2"/>
    <n v="2"/>
    <n v="11"/>
    <n v="11"/>
  </r>
  <r>
    <x v="2"/>
    <x v="52"/>
    <d v="2026-03-03T00:00:00"/>
    <s v="2ND"/>
    <d v="1899-12-30T15:00:00"/>
    <n v="3"/>
    <x v="10"/>
    <n v="6.6E-3"/>
    <s v="P"/>
    <s v="P"/>
    <s v="P"/>
    <s v="+"/>
    <s v="+"/>
    <n v="12.9"/>
    <s v="-"/>
    <s v="-"/>
    <s v="-"/>
    <s v="-"/>
    <s v="-"/>
    <s v="-"/>
    <s v="-"/>
    <s v="-"/>
    <s v="P"/>
    <s v="P"/>
    <s v="-"/>
    <n v="2"/>
    <n v="1"/>
    <n v="2"/>
    <n v="1"/>
    <s v="-"/>
    <s v="-"/>
    <s v="-"/>
    <s v="-"/>
    <s v="-"/>
    <s v="-"/>
    <s v="-"/>
    <n v="6"/>
    <n v="6"/>
    <s v="-"/>
    <n v="1"/>
    <n v="1"/>
    <n v="2"/>
    <n v="2"/>
    <n v="8"/>
    <n v="8"/>
  </r>
  <r>
    <x v="2"/>
    <x v="52"/>
    <d v="2026-02-15T00:00:00"/>
    <s v="1ST"/>
    <s v="12:00"/>
    <s v="Retail"/>
    <x v="19"/>
    <s v="-"/>
    <s v="P"/>
    <s v="P"/>
    <s v="P"/>
    <s v="-"/>
    <s v="-"/>
    <n v="12.1"/>
    <s v="-"/>
    <s v="-"/>
    <s v="-"/>
    <s v="-"/>
    <s v="-"/>
    <s v="-"/>
    <s v="-"/>
    <s v="-"/>
    <s v="-"/>
    <s v="-"/>
    <s v="-"/>
    <s v="-"/>
    <n v="1"/>
    <n v="2"/>
    <n v="1"/>
    <s v="-"/>
    <s v="-"/>
    <s v="-"/>
    <s v="-"/>
    <s v="-"/>
    <s v="-"/>
    <s v="-"/>
    <n v="4"/>
    <n v="4"/>
    <s v="-"/>
    <s v="-"/>
    <s v="-"/>
    <n v="0"/>
    <n v="0"/>
    <n v="4"/>
    <n v="4"/>
  </r>
  <r>
    <x v="2"/>
    <x v="52"/>
    <d v="2026-03-04T00:00:00"/>
    <s v="1ST"/>
    <s v="09:00"/>
    <n v="1"/>
    <x v="8"/>
    <n v="1.37E-2"/>
    <s v="P"/>
    <s v="P"/>
    <s v="P"/>
    <s v="+"/>
    <s v="+"/>
    <n v="11.76"/>
    <n v="12.04"/>
    <n v="0.54"/>
    <n v="65"/>
    <s v="-"/>
    <s v="-"/>
    <n v="33.520000000000003"/>
    <s v="-"/>
    <n v="25.13"/>
    <s v="P"/>
    <s v="P"/>
    <s v="-"/>
    <n v="2"/>
    <n v="1"/>
    <n v="2"/>
    <n v="1"/>
    <n v="0"/>
    <n v="2"/>
    <n v="2"/>
    <s v="-"/>
    <s v="-"/>
    <s v="-"/>
    <s v="-"/>
    <n v="10"/>
    <n v="11"/>
    <s v="-"/>
    <n v="1"/>
    <n v="1"/>
    <n v="2"/>
    <n v="2"/>
    <n v="12"/>
    <n v="13"/>
  </r>
  <r>
    <x v="2"/>
    <x v="52"/>
    <d v="2026-03-04T00:00:00"/>
    <s v="1ST"/>
    <s v="10:00"/>
    <n v="1"/>
    <x v="8"/>
    <n v="6.7999999999999996E-3"/>
    <s v="P"/>
    <s v="P"/>
    <s v="P"/>
    <s v="+"/>
    <s v="+"/>
    <n v="11.78"/>
    <s v="-"/>
    <s v="-"/>
    <s v="-"/>
    <s v="-"/>
    <s v="-"/>
    <s v="-"/>
    <s v="-"/>
    <s v="-"/>
    <s v="P"/>
    <s v="P"/>
    <s v="-"/>
    <n v="2"/>
    <n v="1"/>
    <n v="2"/>
    <n v="1"/>
    <s v="-"/>
    <s v="-"/>
    <s v="-"/>
    <s v="-"/>
    <s v="-"/>
    <s v="-"/>
    <s v="-"/>
    <n v="6"/>
    <n v="6"/>
    <s v="-"/>
    <n v="1"/>
    <n v="1"/>
    <n v="2"/>
    <n v="2"/>
    <n v="8"/>
    <n v="8"/>
  </r>
  <r>
    <x v="2"/>
    <x v="52"/>
    <d v="2026-03-04T00:00:00"/>
    <s v="1ST"/>
    <s v="11:00"/>
    <n v="1"/>
    <x v="8"/>
    <n v="8.8999999999999999E-3"/>
    <s v="P"/>
    <s v="P"/>
    <s v="P"/>
    <s v="+"/>
    <s v="+"/>
    <n v="11.98"/>
    <s v="-"/>
    <s v="-"/>
    <s v="-"/>
    <s v="-"/>
    <s v="-"/>
    <s v="-"/>
    <s v="-"/>
    <s v="-"/>
    <s v="P"/>
    <s v="P"/>
    <s v="-"/>
    <n v="2"/>
    <n v="1"/>
    <n v="2"/>
    <n v="1"/>
    <s v="-"/>
    <s v="-"/>
    <s v="-"/>
    <s v="-"/>
    <s v="-"/>
    <s v="-"/>
    <s v="-"/>
    <n v="6"/>
    <n v="6"/>
    <s v="-"/>
    <n v="1"/>
    <n v="1"/>
    <n v="2"/>
    <n v="2"/>
    <n v="8"/>
    <n v="8"/>
  </r>
  <r>
    <x v="2"/>
    <x v="52"/>
    <d v="2026-03-04T00:00:00"/>
    <s v="1ST"/>
    <s v="12:00"/>
    <n v="1"/>
    <x v="8"/>
    <n v="1.0500000000000001E-2"/>
    <s v="P"/>
    <s v="P"/>
    <s v="P"/>
    <s v="+"/>
    <s v="+"/>
    <n v="12.42"/>
    <s v="-"/>
    <s v="-"/>
    <s v="-"/>
    <s v="-"/>
    <s v="-"/>
    <s v="-"/>
    <s v="-"/>
    <s v="-"/>
    <s v="P"/>
    <s v="P"/>
    <s v="-"/>
    <n v="2"/>
    <n v="1"/>
    <n v="2"/>
    <n v="1"/>
    <s v="-"/>
    <s v="-"/>
    <s v="-"/>
    <s v="-"/>
    <s v="-"/>
    <s v="-"/>
    <s v="-"/>
    <n v="6"/>
    <n v="6"/>
    <s v="-"/>
    <n v="1"/>
    <n v="1"/>
    <n v="2"/>
    <n v="2"/>
    <n v="8"/>
    <n v="8"/>
  </r>
  <r>
    <x v="2"/>
    <x v="52"/>
    <d v="2026-03-04T00:00:00"/>
    <s v="1ST"/>
    <s v="13:00"/>
    <n v="1"/>
    <x v="8"/>
    <n v="1.37E-2"/>
    <s v="P"/>
    <s v="P"/>
    <s v="P"/>
    <s v="+"/>
    <s v="+"/>
    <n v="12.23"/>
    <s v="-"/>
    <s v="-"/>
    <s v="-"/>
    <s v="-"/>
    <s v="-"/>
    <s v="-"/>
    <s v="-"/>
    <s v="-"/>
    <s v="P"/>
    <s v="P"/>
    <s v="-"/>
    <n v="2"/>
    <n v="1"/>
    <n v="2"/>
    <n v="1"/>
    <s v="-"/>
    <s v="-"/>
    <s v="-"/>
    <s v="-"/>
    <s v="-"/>
    <s v="-"/>
    <s v="-"/>
    <n v="6"/>
    <n v="6"/>
    <s v="-"/>
    <n v="1"/>
    <n v="1"/>
    <n v="2"/>
    <n v="2"/>
    <n v="8"/>
    <n v="8"/>
  </r>
  <r>
    <x v="2"/>
    <x v="52"/>
    <s v="-"/>
    <s v="2ND"/>
    <d v="1899-12-30T14:00:00"/>
    <n v="1"/>
    <x v="8"/>
    <n v="1.0800000000000001E-2"/>
    <s v="P"/>
    <s v="P"/>
    <s v="P"/>
    <s v="+"/>
    <s v="+"/>
    <n v="12.1"/>
    <n v="13.7"/>
    <s v="-"/>
    <s v="-"/>
    <s v="-"/>
    <s v="-"/>
    <n v="38.6"/>
    <s v="-"/>
    <s v="-"/>
    <s v="P"/>
    <s v="P"/>
    <n v="1"/>
    <n v="2"/>
    <n v="1"/>
    <n v="2"/>
    <n v="1"/>
    <n v="1"/>
    <s v="-"/>
    <s v="-"/>
    <s v="-"/>
    <s v="-"/>
    <s v="-"/>
    <s v="-"/>
    <n v="7"/>
    <n v="7"/>
    <s v="-"/>
    <n v="1"/>
    <n v="1"/>
    <n v="2"/>
    <n v="2"/>
    <n v="9"/>
    <n v="9"/>
  </r>
  <r>
    <x v="2"/>
    <x v="52"/>
    <d v="2026-03-04T00:00:00"/>
    <s v="2ND"/>
    <d v="1899-12-30T15:00:00"/>
    <n v="1"/>
    <x v="8"/>
    <n v="6.6E-3"/>
    <s v="P"/>
    <s v="P"/>
    <s v="P"/>
    <s v="+"/>
    <s v="+"/>
    <n v="12.24"/>
    <s v="-"/>
    <s v="-"/>
    <s v="-"/>
    <s v="-"/>
    <s v="-"/>
    <s v="-"/>
    <s v="-"/>
    <s v="-"/>
    <s v="P"/>
    <s v="P"/>
    <s v="-"/>
    <n v="2"/>
    <n v="1"/>
    <n v="2"/>
    <n v="1"/>
    <s v="-"/>
    <s v="-"/>
    <s v="-"/>
    <s v="-"/>
    <s v="-"/>
    <s v="-"/>
    <s v="-"/>
    <n v="6"/>
    <n v="6"/>
    <s v="-"/>
    <n v="1"/>
    <n v="1"/>
    <n v="2"/>
    <n v="2"/>
    <n v="8"/>
    <n v="8"/>
  </r>
  <r>
    <x v="2"/>
    <x v="52"/>
    <d v="2026-03-04T00:00:00"/>
    <s v="2ND"/>
    <d v="1899-12-30T17:00:00"/>
    <n v="1"/>
    <x v="8"/>
    <n v="7.1999999999999998E-3"/>
    <s v="P"/>
    <s v="P"/>
    <s v="P"/>
    <s v="+"/>
    <s v="+"/>
    <n v="12.19"/>
    <s v="-"/>
    <s v="-"/>
    <s v="-"/>
    <s v="-"/>
    <s v="-"/>
    <s v="-"/>
    <s v="-"/>
    <s v="-"/>
    <s v="P"/>
    <s v="P"/>
    <s v="-"/>
    <n v="2"/>
    <n v="1"/>
    <n v="2"/>
    <n v="1"/>
    <s v="-"/>
    <s v="-"/>
    <s v="-"/>
    <s v="-"/>
    <s v="-"/>
    <s v="-"/>
    <s v="-"/>
    <n v="6"/>
    <n v="6"/>
    <s v="-"/>
    <n v="1"/>
    <n v="1"/>
    <n v="2"/>
    <n v="2"/>
    <n v="8"/>
    <n v="8"/>
  </r>
  <r>
    <x v="2"/>
    <x v="52"/>
    <d v="2026-03-04T00:00:00"/>
    <s v="2ND"/>
    <d v="1899-12-30T18:00:00"/>
    <n v="1"/>
    <x v="8"/>
    <n v="7.4999999999999997E-3"/>
    <s v="P"/>
    <s v="P"/>
    <s v="P"/>
    <s v="+"/>
    <s v="+"/>
    <n v="11.91"/>
    <s v="-"/>
    <s v="-"/>
    <s v="-"/>
    <s v="-"/>
    <s v="-"/>
    <s v="-"/>
    <s v="-"/>
    <s v="-"/>
    <s v="P"/>
    <s v="P"/>
    <s v="-"/>
    <n v="2"/>
    <n v="1"/>
    <n v="2"/>
    <n v="1"/>
    <s v="-"/>
    <s v="-"/>
    <s v="-"/>
    <s v="-"/>
    <s v="-"/>
    <s v="-"/>
    <s v="-"/>
    <n v="6"/>
    <n v="6"/>
    <s v="-"/>
    <n v="1"/>
    <n v="1"/>
    <n v="2"/>
    <n v="2"/>
    <n v="8"/>
    <n v="8"/>
  </r>
  <r>
    <x v="2"/>
    <x v="52"/>
    <d v="2026-03-04T00:00:00"/>
    <s v="2ND"/>
    <d v="1899-12-30T19:00:00"/>
    <n v="1"/>
    <x v="8"/>
    <n v="8.0999999999999996E-3"/>
    <s v="P"/>
    <s v="P"/>
    <s v="P"/>
    <s v="+"/>
    <s v="+"/>
    <n v="11.82"/>
    <s v="-"/>
    <s v="-"/>
    <s v="-"/>
    <s v="-"/>
    <s v="-"/>
    <s v="-"/>
    <s v="-"/>
    <s v="-"/>
    <s v="P"/>
    <s v="P"/>
    <s v="-"/>
    <n v="2"/>
    <n v="1"/>
    <n v="2"/>
    <n v="1"/>
    <s v="-"/>
    <s v="-"/>
    <s v="-"/>
    <s v="-"/>
    <s v="-"/>
    <s v="-"/>
    <s v="-"/>
    <n v="6"/>
    <n v="6"/>
    <s v="-"/>
    <n v="1"/>
    <n v="1"/>
    <n v="2"/>
    <n v="2"/>
    <n v="8"/>
    <n v="8"/>
  </r>
  <r>
    <x v="2"/>
    <x v="52"/>
    <s v="-"/>
    <s v="1ST"/>
    <s v="06:00"/>
    <n v="1"/>
    <x v="1"/>
    <n v="7.6E-3"/>
    <s v="P"/>
    <s v="P"/>
    <s v="P"/>
    <s v="+"/>
    <s v="+"/>
    <n v="11.69"/>
    <n v="11.99"/>
    <n v="0.55000000000000004"/>
    <n v="64.5"/>
    <s v="-"/>
    <s v="-"/>
    <n v="33.479999999999997"/>
    <s v="-"/>
    <n v="25.12"/>
    <s v="P"/>
    <s v="P"/>
    <s v="-"/>
    <n v="2"/>
    <n v="1"/>
    <n v="2"/>
    <n v="0"/>
    <n v="0"/>
    <n v="2"/>
    <n v="2"/>
    <s v="-"/>
    <s v="-"/>
    <n v="2"/>
    <s v="-"/>
    <n v="11"/>
    <n v="13"/>
    <n v="1"/>
    <n v="1"/>
    <n v="1"/>
    <n v="3"/>
    <n v="3"/>
    <n v="14"/>
    <n v="16"/>
  </r>
  <r>
    <x v="2"/>
    <x v="52"/>
    <d v="2026-02-15T00:00:00"/>
    <s v="1ST"/>
    <s v="07:00"/>
    <n v="1"/>
    <x v="1"/>
    <n v="3.0999999999999999E-3"/>
    <s v="P"/>
    <s v="P"/>
    <s v="P"/>
    <s v="+"/>
    <s v="+"/>
    <n v="11.62"/>
    <s v="-"/>
    <s v="-"/>
    <s v="-"/>
    <s v="-"/>
    <s v="-"/>
    <s v="-"/>
    <s v="-"/>
    <s v="-"/>
    <s v="P"/>
    <s v="P"/>
    <s v="-"/>
    <n v="2"/>
    <n v="1"/>
    <n v="2"/>
    <n v="0"/>
    <s v="-"/>
    <s v="-"/>
    <s v="-"/>
    <s v="-"/>
    <s v="-"/>
    <s v="-"/>
    <s v="-"/>
    <n v="5"/>
    <n v="6"/>
    <s v="-"/>
    <n v="1"/>
    <n v="1"/>
    <n v="2"/>
    <n v="2"/>
    <n v="7"/>
    <n v="8"/>
  </r>
  <r>
    <x v="2"/>
    <x v="52"/>
    <d v="2026-02-15T00:00:00"/>
    <s v="1ST"/>
    <s v="06:00"/>
    <n v="3"/>
    <x v="1"/>
    <n v="6.5000000000000002E-2"/>
    <s v="P"/>
    <s v="P"/>
    <s v="P"/>
    <s v="+"/>
    <s v="+"/>
    <n v="12.15"/>
    <s v="-"/>
    <s v="-"/>
    <s v="-"/>
    <s v="-"/>
    <s v="-"/>
    <s v="-"/>
    <s v="-"/>
    <n v="25.15"/>
    <s v="P"/>
    <s v="P"/>
    <s v="-"/>
    <n v="0"/>
    <n v="1"/>
    <n v="2"/>
    <n v="1"/>
    <s v="-"/>
    <s v="-"/>
    <s v="-"/>
    <s v="-"/>
    <s v="-"/>
    <s v="-"/>
    <s v="-"/>
    <n v="4"/>
    <n v="6"/>
    <n v="1"/>
    <n v="1"/>
    <n v="1"/>
    <n v="3"/>
    <n v="3"/>
    <n v="7"/>
    <n v="9"/>
  </r>
  <r>
    <x v="2"/>
    <x v="52"/>
    <d v="2026-02-15T00:00:00"/>
    <s v="1ST"/>
    <s v="08:00"/>
    <n v="3"/>
    <x v="1"/>
    <n v="7.1000000000000004E-3"/>
    <s v="P"/>
    <s v="P"/>
    <s v="P"/>
    <s v="+"/>
    <s v="+"/>
    <n v="11.84"/>
    <s v="-"/>
    <s v="-"/>
    <s v="-"/>
    <s v="-"/>
    <s v="-"/>
    <s v="-"/>
    <s v="-"/>
    <s v="-"/>
    <s v="P"/>
    <s v="P"/>
    <s v="-"/>
    <n v="2"/>
    <n v="1"/>
    <n v="2"/>
    <n v="0"/>
    <s v="-"/>
    <s v="-"/>
    <s v="-"/>
    <s v="-"/>
    <s v="-"/>
    <s v="-"/>
    <s v="-"/>
    <n v="5"/>
    <n v="6"/>
    <s v="-"/>
    <n v="1"/>
    <n v="1"/>
    <n v="2"/>
    <n v="2"/>
    <n v="7"/>
    <n v="8"/>
  </r>
  <r>
    <x v="2"/>
    <x v="52"/>
    <d v="2026-02-15T00:00:00"/>
    <s v="1ST"/>
    <s v="10:00"/>
    <n v="3"/>
    <x v="1"/>
    <n v="6.8999999999999999E-3"/>
    <s v="P"/>
    <s v="P"/>
    <s v="P"/>
    <s v="+"/>
    <s v="+"/>
    <n v="11.98"/>
    <s v="-"/>
    <s v="-"/>
    <s v="-"/>
    <s v="-"/>
    <s v="-"/>
    <s v="-"/>
    <s v="-"/>
    <s v="-"/>
    <s v="P"/>
    <s v="P"/>
    <s v="-"/>
    <n v="2"/>
    <n v="1"/>
    <n v="2"/>
    <n v="0"/>
    <s v="-"/>
    <s v="-"/>
    <s v="-"/>
    <s v="-"/>
    <s v="-"/>
    <s v="-"/>
    <s v="-"/>
    <n v="5"/>
    <n v="6"/>
    <s v="-"/>
    <n v="1"/>
    <n v="1"/>
    <n v="2"/>
    <n v="2"/>
    <n v="7"/>
    <n v="8"/>
  </r>
  <r>
    <x v="2"/>
    <x v="52"/>
    <d v="2026-03-04T00:00:00"/>
    <s v="2ND"/>
    <d v="1899-12-30T20:00:00"/>
    <n v="1"/>
    <x v="1"/>
    <n v="6.7999999999999996E-3"/>
    <s v="P"/>
    <s v="P"/>
    <s v="P"/>
    <s v="+"/>
    <s v="+"/>
    <n v="11.74"/>
    <s v="-"/>
    <s v="-"/>
    <s v="-"/>
    <s v="-"/>
    <s v="-"/>
    <s v="-"/>
    <s v="-"/>
    <s v="-"/>
    <s v="P"/>
    <s v="P"/>
    <n v="1"/>
    <n v="2"/>
    <n v="1"/>
    <n v="2"/>
    <n v="0"/>
    <s v="-"/>
    <s v="-"/>
    <s v="-"/>
    <s v="-"/>
    <s v="-"/>
    <s v="-"/>
    <s v="-"/>
    <n v="5"/>
    <n v="6"/>
    <s v="-"/>
    <n v="1"/>
    <n v="1"/>
    <n v="2"/>
    <n v="2"/>
    <n v="7"/>
    <n v="8"/>
  </r>
  <r>
    <x v="2"/>
    <x v="52"/>
    <d v="2026-03-04T00:00:00"/>
    <s v="2ND"/>
    <d v="1899-12-30T16:00:00"/>
    <n v="3"/>
    <x v="16"/>
    <n v="3.7000000000000002E-3"/>
    <s v="P"/>
    <s v="P"/>
    <s v="P"/>
    <s v="+"/>
    <s v="+"/>
    <n v="13.01"/>
    <n v="13.05"/>
    <n v="0.52"/>
    <n v="64.2"/>
    <n v="17.7"/>
    <n v="887"/>
    <n v="36.6"/>
    <s v="-"/>
    <s v="-"/>
    <s v="P"/>
    <s v="P"/>
    <n v="1"/>
    <n v="2"/>
    <n v="1"/>
    <n v="2"/>
    <n v="1"/>
    <n v="1"/>
    <n v="2"/>
    <n v="2"/>
    <n v="1"/>
    <n v="1"/>
    <n v="2"/>
    <s v="-"/>
    <n v="15"/>
    <n v="15"/>
    <s v="-"/>
    <n v="1"/>
    <n v="1"/>
    <n v="2"/>
    <n v="2"/>
    <n v="17"/>
    <n v="17"/>
  </r>
  <r>
    <x v="2"/>
    <x v="52"/>
    <d v="2026-03-04T00:00:00"/>
    <s v="2ND"/>
    <d v="1899-12-30T18:00:00"/>
    <n v="3"/>
    <x v="16"/>
    <n v="5.5999999999999999E-3"/>
    <s v="P"/>
    <s v="P"/>
    <s v="P"/>
    <s v="+"/>
    <s v="+"/>
    <n v="13.17"/>
    <s v="-"/>
    <s v="-"/>
    <s v="-"/>
    <s v="-"/>
    <s v="-"/>
    <s v="-"/>
    <s v="-"/>
    <s v="-"/>
    <s v="P"/>
    <s v="P"/>
    <s v="-"/>
    <n v="2"/>
    <n v="1"/>
    <n v="2"/>
    <n v="1"/>
    <s v="-"/>
    <s v="-"/>
    <s v="-"/>
    <s v="-"/>
    <s v="-"/>
    <s v="-"/>
    <s v="-"/>
    <n v="6"/>
    <n v="6"/>
    <s v="-"/>
    <n v="1"/>
    <n v="1"/>
    <n v="2"/>
    <n v="2"/>
    <n v="8"/>
    <n v="8"/>
  </r>
  <r>
    <x v="2"/>
    <x v="52"/>
    <d v="2026-03-04T00:00:00"/>
    <s v="2ND"/>
    <d v="1899-12-30T19:00:00"/>
    <n v="3"/>
    <x v="16"/>
    <n v="6.0000000000000001E-3"/>
    <s v="P"/>
    <s v="P"/>
    <s v="P"/>
    <s v="+"/>
    <s v="+"/>
    <n v="12.84"/>
    <s v="-"/>
    <s v="-"/>
    <s v="-"/>
    <s v="-"/>
    <s v="-"/>
    <s v="-"/>
    <s v="-"/>
    <s v="-"/>
    <s v="P"/>
    <s v="P"/>
    <s v="-"/>
    <n v="2"/>
    <n v="1"/>
    <n v="2"/>
    <n v="1"/>
    <s v="-"/>
    <s v="-"/>
    <s v="-"/>
    <s v="-"/>
    <s v="-"/>
    <s v="-"/>
    <s v="-"/>
    <n v="6"/>
    <n v="6"/>
    <s v="-"/>
    <n v="1"/>
    <n v="1"/>
    <n v="2"/>
    <n v="2"/>
    <n v="8"/>
    <n v="8"/>
  </r>
  <r>
    <x v="2"/>
    <x v="52"/>
    <d v="2026-03-04T00:00:00"/>
    <s v="2ND"/>
    <d v="1899-12-30T20:00:00"/>
    <n v="3"/>
    <x v="16"/>
    <n v="6.4999999999999997E-3"/>
    <s v="P"/>
    <s v="P"/>
    <s v="P"/>
    <s v="+"/>
    <s v="+"/>
    <n v="12.9"/>
    <s v="-"/>
    <s v="-"/>
    <s v="-"/>
    <s v="-"/>
    <s v="-"/>
    <s v="-"/>
    <s v="-"/>
    <s v="-"/>
    <s v="P"/>
    <s v="P"/>
    <s v="-"/>
    <n v="2"/>
    <n v="1"/>
    <n v="2"/>
    <n v="1"/>
    <s v="-"/>
    <s v="-"/>
    <s v="-"/>
    <s v="-"/>
    <s v="-"/>
    <s v="-"/>
    <s v="-"/>
    <n v="6"/>
    <n v="6"/>
    <s v="-"/>
    <n v="1"/>
    <n v="1"/>
    <n v="2"/>
    <n v="2"/>
    <n v="8"/>
    <n v="8"/>
  </r>
  <r>
    <x v="2"/>
    <x v="52"/>
    <d v="2026-03-04T00:00:00"/>
    <s v="3RD"/>
    <d v="1899-12-30T22:00:00"/>
    <n v="3"/>
    <x v="16"/>
    <n v="7.4999999999999997E-3"/>
    <s v="P"/>
    <s v="P"/>
    <s v="P"/>
    <s v="+"/>
    <s v="+"/>
    <n v="13.11"/>
    <n v="13.34"/>
    <s v="-"/>
    <s v="-"/>
    <s v="-"/>
    <s v="-"/>
    <n v="37.299999999999997"/>
    <s v="-"/>
    <s v="-"/>
    <s v="P"/>
    <s v="P"/>
    <n v="1"/>
    <n v="2"/>
    <n v="1"/>
    <n v="2"/>
    <n v="1"/>
    <n v="1"/>
    <s v="-"/>
    <s v="-"/>
    <s v="-"/>
    <s v="-"/>
    <n v="2"/>
    <s v="-"/>
    <n v="9"/>
    <n v="9"/>
    <s v="-"/>
    <n v="1"/>
    <n v="1"/>
    <n v="2"/>
    <n v="2"/>
    <n v="11"/>
    <n v="11"/>
  </r>
  <r>
    <x v="2"/>
    <x v="52"/>
    <d v="2026-03-02T00:00:00"/>
    <s v="3RD"/>
    <d v="1899-12-31T00:00:00"/>
    <n v="1"/>
    <x v="22"/>
    <n v="1.32E-2"/>
    <s v="P"/>
    <s v="P"/>
    <s v="P"/>
    <s v="-"/>
    <s v="-"/>
    <n v="11.6"/>
    <n v="8.4600000000000009"/>
    <n v="0.56999999999999995"/>
    <n v="55.2"/>
    <n v="14.1"/>
    <n v="240"/>
    <n v="22.71"/>
    <s v="-"/>
    <s v="-"/>
    <s v="P"/>
    <s v="P"/>
    <n v="1"/>
    <n v="2"/>
    <n v="1"/>
    <n v="2"/>
    <n v="1"/>
    <n v="0"/>
    <n v="2"/>
    <n v="2"/>
    <s v="-"/>
    <s v="-"/>
    <n v="2"/>
    <s v="-"/>
    <n v="12"/>
    <n v="13"/>
    <s v="-"/>
    <n v="1"/>
    <n v="1"/>
    <n v="2"/>
    <n v="2"/>
    <n v="14"/>
    <n v="15"/>
  </r>
  <r>
    <x v="2"/>
    <x v="52"/>
    <d v="2026-03-02T00:00:00"/>
    <s v="3RD"/>
    <d v="1899-12-31T02:00:00"/>
    <n v="1"/>
    <x v="22"/>
    <n v="2.7000000000000001E-3"/>
    <s v="P"/>
    <s v="P"/>
    <s v="P"/>
    <s v="-"/>
    <s v="-"/>
    <n v="11.8"/>
    <s v="-"/>
    <s v="-"/>
    <s v="-"/>
    <s v="-"/>
    <s v="-"/>
    <s v="-"/>
    <s v="-"/>
    <s v="-"/>
    <s v="P"/>
    <s v="P"/>
    <s v="-"/>
    <n v="2"/>
    <n v="1"/>
    <n v="2"/>
    <n v="1"/>
    <s v="-"/>
    <s v="-"/>
    <s v="-"/>
    <s v="-"/>
    <s v="-"/>
    <s v="-"/>
    <s v="-"/>
    <n v="6"/>
    <n v="6"/>
    <s v="-"/>
    <n v="1"/>
    <n v="1"/>
    <n v="2"/>
    <n v="2"/>
    <n v="8"/>
    <n v="8"/>
  </r>
  <r>
    <x v="2"/>
    <x v="52"/>
    <d v="2026-03-02T00:00:00"/>
    <s v="3RD"/>
    <d v="1899-12-31T03:00:00"/>
    <n v="1"/>
    <x v="22"/>
    <n v="3.8E-3"/>
    <s v="P"/>
    <s v="P"/>
    <s v="P"/>
    <s v="-"/>
    <s v="-"/>
    <n v="11.65"/>
    <s v="-"/>
    <s v="-"/>
    <s v="-"/>
    <s v="-"/>
    <s v="-"/>
    <s v="-"/>
    <s v="-"/>
    <s v="-"/>
    <s v="P"/>
    <s v="P"/>
    <s v="-"/>
    <n v="2"/>
    <n v="1"/>
    <n v="2"/>
    <n v="1"/>
    <s v="-"/>
    <s v="-"/>
    <s v="-"/>
    <s v="-"/>
    <s v="-"/>
    <s v="-"/>
    <s v="-"/>
    <n v="6"/>
    <n v="6"/>
    <s v="-"/>
    <n v="1"/>
    <n v="1"/>
    <n v="2"/>
    <n v="2"/>
    <n v="8"/>
    <n v="8"/>
  </r>
  <r>
    <x v="2"/>
    <x v="52"/>
    <d v="2026-03-02T00:00:00"/>
    <s v="3RD"/>
    <d v="1899-12-31T04:00:00"/>
    <n v="1"/>
    <x v="22"/>
    <n v="2.5999999999999999E-3"/>
    <s v="P"/>
    <s v="P"/>
    <s v="P"/>
    <s v="-"/>
    <s v="-"/>
    <n v="11.76"/>
    <s v="-"/>
    <s v="-"/>
    <s v="-"/>
    <s v="-"/>
    <s v="-"/>
    <s v="-"/>
    <s v="-"/>
    <s v="-"/>
    <s v="P"/>
    <s v="P"/>
    <s v="-"/>
    <n v="2"/>
    <n v="1"/>
    <n v="2"/>
    <n v="1"/>
    <s v="-"/>
    <s v="-"/>
    <s v="-"/>
    <s v="-"/>
    <s v="-"/>
    <s v="-"/>
    <s v="-"/>
    <n v="6"/>
    <n v="6"/>
    <s v="-"/>
    <n v="1"/>
    <n v="1"/>
    <n v="2"/>
    <n v="2"/>
    <n v="8"/>
    <n v="8"/>
  </r>
  <r>
    <x v="2"/>
    <x v="52"/>
    <d v="2026-03-02T00:00:00"/>
    <s v="3RD"/>
    <d v="1899-12-31T05:00:00"/>
    <n v="1"/>
    <x v="22"/>
    <n v="5.4000000000000003E-3"/>
    <s v="P"/>
    <s v="P"/>
    <s v="P"/>
    <s v="-"/>
    <s v="-"/>
    <n v="11.81"/>
    <s v="-"/>
    <s v="-"/>
    <s v="-"/>
    <s v="-"/>
    <s v="-"/>
    <s v="-"/>
    <s v="-"/>
    <s v="-"/>
    <s v="P"/>
    <s v="P"/>
    <s v="-"/>
    <n v="2"/>
    <n v="1"/>
    <n v="2"/>
    <n v="1"/>
    <s v="-"/>
    <s v="-"/>
    <s v="-"/>
    <s v="-"/>
    <s v="-"/>
    <s v="-"/>
    <s v="-"/>
    <n v="6"/>
    <n v="6"/>
    <s v="-"/>
    <n v="1"/>
    <n v="1"/>
    <n v="2"/>
    <n v="2"/>
    <n v="8"/>
    <n v="8"/>
  </r>
  <r>
    <x v="2"/>
    <x v="53"/>
    <d v="1899-12-30T00:00:00"/>
    <s v="1ST"/>
    <s v="06:00"/>
    <n v="2"/>
    <x v="2"/>
    <n v="4.4999999999999997E-3"/>
    <s v="P"/>
    <s v="P"/>
    <s v="P"/>
    <s v="-"/>
    <s v="+"/>
    <n v="10.45"/>
    <n v="8.5500000000000007"/>
    <n v="0.6"/>
    <n v="58.1"/>
    <s v="-"/>
    <s v="-"/>
    <n v="23.07"/>
    <s v="-"/>
    <n v="25.14"/>
    <s v="P"/>
    <s v="P"/>
    <s v="-"/>
    <n v="2"/>
    <n v="1"/>
    <n v="2"/>
    <n v="0"/>
    <n v="0"/>
    <n v="0"/>
    <n v="0"/>
    <s v="-"/>
    <s v="-"/>
    <n v="0"/>
    <s v="-"/>
    <n v="5"/>
    <n v="13"/>
    <n v="1"/>
    <n v="1"/>
    <n v="1"/>
    <n v="3"/>
    <n v="3"/>
    <n v="8"/>
    <n v="16"/>
  </r>
  <r>
    <x v="2"/>
    <x v="53"/>
    <d v="1899-12-30T00:00:00"/>
    <s v="1ST"/>
    <s v="07:00"/>
    <n v="2"/>
    <x v="2"/>
    <n v="5.5999999999999999E-3"/>
    <s v="P"/>
    <s v="P"/>
    <s v="P"/>
    <s v="-"/>
    <s v="+"/>
    <n v="10.95"/>
    <s v="-"/>
    <s v="-"/>
    <s v="-"/>
    <s v="-"/>
    <s v="-"/>
    <s v="-"/>
    <s v="-"/>
    <s v="-"/>
    <s v="P"/>
    <s v="P"/>
    <s v="-"/>
    <n v="2"/>
    <n v="1"/>
    <n v="2"/>
    <n v="0"/>
    <s v="-"/>
    <s v="-"/>
    <s v="-"/>
    <s v="-"/>
    <s v="-"/>
    <s v="-"/>
    <s v="-"/>
    <n v="5"/>
    <n v="6"/>
    <s v="-"/>
    <n v="1"/>
    <n v="1"/>
    <n v="2"/>
    <n v="2"/>
    <n v="7"/>
    <n v="8"/>
  </r>
  <r>
    <x v="2"/>
    <x v="53"/>
    <d v="1899-12-30T00:00:00"/>
    <s v="1ST"/>
    <s v="08:00"/>
    <n v="2"/>
    <x v="2"/>
    <n v="6.1000000000000004E-3"/>
    <s v="P"/>
    <s v="P"/>
    <s v="P"/>
    <s v="-"/>
    <s v="+"/>
    <n v="11.04"/>
    <s v="-"/>
    <s v="-"/>
    <s v="-"/>
    <s v="-"/>
    <s v="-"/>
    <s v="-"/>
    <s v="-"/>
    <s v="-"/>
    <s v="P"/>
    <s v="P"/>
    <s v="-"/>
    <n v="2"/>
    <n v="1"/>
    <n v="2"/>
    <n v="0"/>
    <s v="-"/>
    <s v="-"/>
    <s v="-"/>
    <s v="-"/>
    <s v="-"/>
    <s v="-"/>
    <s v="-"/>
    <n v="5"/>
    <n v="6"/>
    <s v="-"/>
    <n v="1"/>
    <n v="1"/>
    <n v="2"/>
    <n v="2"/>
    <n v="7"/>
    <n v="8"/>
  </r>
  <r>
    <x v="2"/>
    <x v="53"/>
    <d v="1899-12-30T00:00:00"/>
    <s v="1ST"/>
    <s v="09:00"/>
    <n v="2"/>
    <x v="2"/>
    <n v="8.6E-3"/>
    <s v="P"/>
    <s v="P"/>
    <s v="P"/>
    <s v="-"/>
    <s v="+"/>
    <n v="10.99"/>
    <s v="-"/>
    <s v="-"/>
    <s v="-"/>
    <s v="-"/>
    <s v="-"/>
    <s v="-"/>
    <s v="-"/>
    <s v="-"/>
    <s v="P"/>
    <s v="P"/>
    <s v="-"/>
    <n v="2"/>
    <n v="1"/>
    <n v="2"/>
    <n v="0"/>
    <s v="-"/>
    <s v="-"/>
    <s v="-"/>
    <s v="-"/>
    <s v="-"/>
    <s v="-"/>
    <s v="-"/>
    <n v="5"/>
    <n v="6"/>
    <s v="-"/>
    <n v="1"/>
    <n v="1"/>
    <n v="2"/>
    <n v="2"/>
    <n v="7"/>
    <n v="8"/>
  </r>
  <r>
    <x v="2"/>
    <x v="53"/>
    <d v="1899-12-30T00:00:00"/>
    <s v="1ST"/>
    <s v="10:00"/>
    <n v="2"/>
    <x v="2"/>
    <n v="4.3E-3"/>
    <s v="P"/>
    <s v="P"/>
    <s v="P"/>
    <s v="-"/>
    <s v="+"/>
    <n v="10.83"/>
    <s v="-"/>
    <s v="-"/>
    <s v="-"/>
    <s v="-"/>
    <s v="-"/>
    <s v="-"/>
    <s v="-"/>
    <s v="-"/>
    <s v="P"/>
    <s v="P"/>
    <s v="-"/>
    <n v="2"/>
    <n v="1"/>
    <n v="2"/>
    <n v="0"/>
    <s v="-"/>
    <s v="-"/>
    <s v="-"/>
    <s v="-"/>
    <s v="-"/>
    <s v="-"/>
    <s v="-"/>
    <n v="5"/>
    <n v="6"/>
    <s v="-"/>
    <n v="1"/>
    <n v="1"/>
    <n v="2"/>
    <n v="2"/>
    <n v="7"/>
    <n v="8"/>
  </r>
  <r>
    <x v="2"/>
    <x v="53"/>
    <d v="1899-12-30T00:00:00"/>
    <s v="1ST"/>
    <s v="12:00"/>
    <n v="2"/>
    <x v="2"/>
    <n v="7.4000000000000003E-3"/>
    <s v="P"/>
    <s v="P"/>
    <s v="P"/>
    <s v="-"/>
    <s v="+"/>
    <n v="10.83"/>
    <s v="-"/>
    <s v="-"/>
    <s v="-"/>
    <s v="-"/>
    <s v="-"/>
    <s v="-"/>
    <s v="-"/>
    <n v="25.15"/>
    <s v="P"/>
    <s v="P"/>
    <s v="-"/>
    <n v="2"/>
    <n v="1"/>
    <n v="2"/>
    <n v="0"/>
    <s v="-"/>
    <s v="-"/>
    <s v="-"/>
    <s v="-"/>
    <s v="-"/>
    <s v="-"/>
    <s v="-"/>
    <n v="5"/>
    <n v="6"/>
    <n v="1"/>
    <n v="1"/>
    <n v="1"/>
    <n v="3"/>
    <n v="3"/>
    <n v="8"/>
    <n v="9"/>
  </r>
  <r>
    <x v="2"/>
    <x v="53"/>
    <d v="1899-12-30T00:00:00"/>
    <s v="1ST"/>
    <s v="13:00"/>
    <n v="2"/>
    <x v="2"/>
    <s v="-"/>
    <s v="P"/>
    <s v="P"/>
    <s v="P"/>
    <s v="-"/>
    <s v="+"/>
    <n v="11.06"/>
    <s v="-"/>
    <s v="-"/>
    <s v="-"/>
    <s v="-"/>
    <s v="-"/>
    <s v="-"/>
    <s v="-"/>
    <s v="-"/>
    <s v="P"/>
    <s v="P"/>
    <s v="-"/>
    <s v="-"/>
    <n v="1"/>
    <n v="2"/>
    <n v="0"/>
    <s v="-"/>
    <s v="-"/>
    <s v="-"/>
    <s v="-"/>
    <s v="-"/>
    <s v="-"/>
    <s v="-"/>
    <n v="3"/>
    <n v="4"/>
    <s v="-"/>
    <n v="1"/>
    <n v="1"/>
    <n v="2"/>
    <n v="2"/>
    <n v="5"/>
    <n v="6"/>
  </r>
  <r>
    <x v="2"/>
    <x v="53"/>
    <d v="1902-03-26T00:00:00"/>
    <s v="2ND"/>
    <d v="1899-12-30T14:00:00"/>
    <n v="2"/>
    <x v="2"/>
    <n v="3.3E-3"/>
    <s v="P"/>
    <s v="P"/>
    <s v="P"/>
    <s v="-"/>
    <s v="+"/>
    <n v="11.11"/>
    <n v="8.75"/>
    <s v="-"/>
    <s v="-"/>
    <s v="-"/>
    <s v="-"/>
    <n v="23.58"/>
    <s v="-"/>
    <s v="-"/>
    <s v="P"/>
    <s v="P"/>
    <s v="-"/>
    <n v="2"/>
    <n v="1"/>
    <n v="2"/>
    <n v="0"/>
    <n v="0"/>
    <s v="-"/>
    <s v="-"/>
    <s v="-"/>
    <s v="-"/>
    <n v="0"/>
    <s v="-"/>
    <n v="5"/>
    <n v="9"/>
    <s v="-"/>
    <n v="1"/>
    <n v="1"/>
    <n v="2"/>
    <n v="2"/>
    <n v="7"/>
    <n v="11"/>
  </r>
  <r>
    <x v="2"/>
    <x v="53"/>
    <d v="1899-12-30T00:00:00"/>
    <s v="2ND"/>
    <d v="1899-12-30T16:00:00"/>
    <n v="2"/>
    <x v="2"/>
    <n v="7.7999999999999996E-3"/>
    <s v="P"/>
    <s v="P"/>
    <s v="P"/>
    <s v="-"/>
    <s v="+"/>
    <n v="11.16"/>
    <s v="-"/>
    <s v="-"/>
    <s v="-"/>
    <s v="-"/>
    <s v="-"/>
    <s v="-"/>
    <s v="-"/>
    <s v="-"/>
    <s v="P"/>
    <s v="P"/>
    <s v="-"/>
    <n v="2"/>
    <n v="1"/>
    <n v="2"/>
    <n v="0"/>
    <s v="-"/>
    <s v="-"/>
    <s v="-"/>
    <s v="-"/>
    <s v="-"/>
    <s v="-"/>
    <s v="-"/>
    <n v="5"/>
    <n v="6"/>
    <s v="-"/>
    <n v="1"/>
    <n v="1"/>
    <n v="2"/>
    <n v="2"/>
    <n v="7"/>
    <n v="8"/>
  </r>
  <r>
    <x v="2"/>
    <x v="53"/>
    <d v="2026-02-25T00:00:00"/>
    <s v="1ST"/>
    <s v="08:00"/>
    <s v="Retail"/>
    <x v="19"/>
    <s v="-"/>
    <s v="P"/>
    <s v="P"/>
    <s v="P"/>
    <s v="-"/>
    <s v="-"/>
    <n v="12.27"/>
    <n v="13.76"/>
    <n v="1.41"/>
    <n v="72.099999999999994"/>
    <s v="-"/>
    <s v="-"/>
    <n v="40.76"/>
    <s v="-"/>
    <s v="-"/>
    <s v="P"/>
    <s v="P"/>
    <s v="-"/>
    <s v="-"/>
    <n v="1"/>
    <n v="2"/>
    <n v="1"/>
    <n v="1"/>
    <n v="0"/>
    <n v="2"/>
    <s v="-"/>
    <s v="-"/>
    <n v="2"/>
    <s v="-"/>
    <n v="9"/>
    <n v="11"/>
    <s v="-"/>
    <n v="1"/>
    <n v="1"/>
    <n v="2"/>
    <n v="2"/>
    <n v="11"/>
    <n v="13"/>
  </r>
  <r>
    <x v="2"/>
    <x v="53"/>
    <d v="2026-03-04T00:00:00"/>
    <s v="1ST"/>
    <s v="12:00"/>
    <n v="3"/>
    <x v="16"/>
    <n v="7.7000000000000002E-3"/>
    <s v="P"/>
    <s v="P"/>
    <s v="P"/>
    <s v="+"/>
    <s v="+"/>
    <n v="12.64"/>
    <n v="13.17"/>
    <n v="0.53"/>
    <n v="63.2"/>
    <s v="-"/>
    <s v="-"/>
    <n v="37"/>
    <s v="-"/>
    <s v="-"/>
    <s v="P"/>
    <s v="P"/>
    <s v="-"/>
    <n v="2"/>
    <n v="1"/>
    <n v="2"/>
    <n v="1"/>
    <n v="1"/>
    <n v="2"/>
    <n v="0"/>
    <s v="-"/>
    <s v="-"/>
    <n v="2"/>
    <s v="-"/>
    <n v="11"/>
    <n v="13"/>
    <s v="-"/>
    <n v="1"/>
    <n v="1"/>
    <n v="2"/>
    <n v="2"/>
    <n v="13"/>
    <n v="15"/>
  </r>
  <r>
    <x v="2"/>
    <x v="53"/>
    <d v="2026-03-04T00:00:00"/>
    <s v="1ST"/>
    <s v="13:00"/>
    <n v="3"/>
    <x v="16"/>
    <n v="1.01E-2"/>
    <s v="P"/>
    <s v="P"/>
    <s v="P"/>
    <s v="+"/>
    <s v="+"/>
    <n v="12.89"/>
    <s v="-"/>
    <s v="-"/>
    <s v="-"/>
    <s v="-"/>
    <s v="-"/>
    <s v="-"/>
    <s v="-"/>
    <s v="-"/>
    <s v="P"/>
    <s v="P"/>
    <s v="-"/>
    <n v="2"/>
    <n v="1"/>
    <n v="2"/>
    <n v="1"/>
    <s v="-"/>
    <s v="-"/>
    <s v="-"/>
    <s v="-"/>
    <s v="-"/>
    <s v="-"/>
    <s v="-"/>
    <n v="6"/>
    <n v="6"/>
    <s v="-"/>
    <n v="1"/>
    <n v="1"/>
    <n v="2"/>
    <n v="2"/>
    <n v="8"/>
    <n v="8"/>
  </r>
  <r>
    <x v="2"/>
    <x v="53"/>
    <d v="2026-03-04T00:00:00"/>
    <s v="2ND"/>
    <d v="1899-12-30T14:00:00"/>
    <n v="3"/>
    <x v="16"/>
    <n v="8.6999999999999994E-3"/>
    <s v="P"/>
    <s v="P"/>
    <s v="P"/>
    <s v="+"/>
    <s v="+"/>
    <n v="12.95"/>
    <n v="13.42"/>
    <s v="-"/>
    <s v="-"/>
    <s v="-"/>
    <s v="-"/>
    <n v="37.200000000000003"/>
    <s v="-"/>
    <s v="-"/>
    <s v="P"/>
    <s v="P"/>
    <n v="1"/>
    <n v="2"/>
    <n v="1"/>
    <n v="2"/>
    <n v="1"/>
    <n v="1"/>
    <s v="-"/>
    <s v="-"/>
    <s v="-"/>
    <s v="-"/>
    <n v="2"/>
    <s v="-"/>
    <n v="9"/>
    <n v="9"/>
    <s v="-"/>
    <n v="1"/>
    <n v="1"/>
    <n v="2"/>
    <n v="2"/>
    <n v="11"/>
    <n v="11"/>
  </r>
  <r>
    <x v="2"/>
    <x v="53"/>
    <d v="2026-03-04T00:00:00"/>
    <s v="2ND"/>
    <d v="1899-12-30T16:00:00"/>
    <n v="3"/>
    <x v="16"/>
    <n v="1.7399999999999999E-2"/>
    <s v="P"/>
    <s v="P"/>
    <s v="P"/>
    <s v="+"/>
    <s v="+"/>
    <n v="11.55"/>
    <s v="-"/>
    <s v="-"/>
    <s v="-"/>
    <s v="-"/>
    <s v="-"/>
    <s v="-"/>
    <s v="-"/>
    <s v="-"/>
    <s v="P"/>
    <s v="P"/>
    <s v="-"/>
    <n v="2"/>
    <n v="1"/>
    <n v="2"/>
    <n v="0"/>
    <s v="-"/>
    <s v="-"/>
    <s v="-"/>
    <s v="-"/>
    <s v="-"/>
    <s v="-"/>
    <s v="-"/>
    <n v="5"/>
    <n v="6"/>
    <s v="-"/>
    <n v="1"/>
    <n v="1"/>
    <n v="2"/>
    <n v="2"/>
    <n v="7"/>
    <n v="8"/>
  </r>
  <r>
    <x v="2"/>
    <x v="53"/>
    <d v="2026-03-04T00:00:00"/>
    <s v="2ND"/>
    <d v="1899-12-30T18:00:00"/>
    <n v="3"/>
    <x v="16"/>
    <n v="1.2200000000000001E-2"/>
    <s v="P"/>
    <s v="P"/>
    <s v="P"/>
    <s v="+"/>
    <s v="+"/>
    <n v="11.97"/>
    <s v="-"/>
    <s v="-"/>
    <s v="-"/>
    <s v="-"/>
    <s v="-"/>
    <s v="-"/>
    <s v="-"/>
    <s v="-"/>
    <s v="P"/>
    <s v="P"/>
    <s v="-"/>
    <n v="2"/>
    <n v="1"/>
    <n v="2"/>
    <n v="0"/>
    <s v="-"/>
    <s v="-"/>
    <s v="-"/>
    <s v="-"/>
    <s v="-"/>
    <s v="-"/>
    <s v="-"/>
    <n v="5"/>
    <n v="6"/>
    <s v="-"/>
    <n v="1"/>
    <n v="1"/>
    <n v="2"/>
    <n v="2"/>
    <n v="7"/>
    <n v="8"/>
  </r>
  <r>
    <x v="2"/>
    <x v="53"/>
    <d v="2026-03-04T00:00:00"/>
    <s v="2ND"/>
    <d v="1899-12-30T19:00:00"/>
    <n v="3"/>
    <x v="16"/>
    <n v="8.9999999999999993E-3"/>
    <s v="P"/>
    <s v="P"/>
    <s v="P"/>
    <s v="+"/>
    <s v="+"/>
    <n v="12.99"/>
    <s v="-"/>
    <s v="-"/>
    <s v="-"/>
    <s v="-"/>
    <s v="-"/>
    <s v="-"/>
    <s v="-"/>
    <s v="-"/>
    <s v="P"/>
    <s v="P"/>
    <s v="-"/>
    <n v="2"/>
    <n v="1"/>
    <n v="2"/>
    <n v="1"/>
    <s v="-"/>
    <s v="-"/>
    <s v="-"/>
    <s v="-"/>
    <s v="-"/>
    <s v="-"/>
    <s v="-"/>
    <n v="6"/>
    <n v="6"/>
    <s v="-"/>
    <n v="1"/>
    <n v="1"/>
    <n v="2"/>
    <n v="2"/>
    <n v="8"/>
    <n v="8"/>
  </r>
  <r>
    <x v="2"/>
    <x v="53"/>
    <d v="2026-03-04T00:00:00"/>
    <s v="2ND"/>
    <d v="1899-12-30T20:00:00"/>
    <n v="3"/>
    <x v="16"/>
    <n v="8.8999999999999999E-3"/>
    <s v="P"/>
    <s v="P"/>
    <s v="P"/>
    <s v="+"/>
    <s v="+"/>
    <n v="12.82"/>
    <s v="-"/>
    <s v="-"/>
    <s v="-"/>
    <s v="-"/>
    <s v="-"/>
    <s v="-"/>
    <s v="-"/>
    <s v="-"/>
    <s v="P"/>
    <s v="P"/>
    <s v="-"/>
    <n v="2"/>
    <n v="1"/>
    <n v="2"/>
    <n v="1"/>
    <s v="-"/>
    <s v="-"/>
    <s v="-"/>
    <s v="-"/>
    <s v="-"/>
    <s v="-"/>
    <s v="-"/>
    <n v="6"/>
    <n v="6"/>
    <s v="-"/>
    <n v="1"/>
    <n v="1"/>
    <n v="2"/>
    <n v="2"/>
    <n v="8"/>
    <n v="8"/>
  </r>
  <r>
    <x v="2"/>
    <x v="53"/>
    <s v="-"/>
    <s v="1ST"/>
    <s v="06:00"/>
    <n v="1"/>
    <x v="22"/>
    <n v="7.3000000000000001E-3"/>
    <s v="P"/>
    <s v="P"/>
    <s v="P"/>
    <s v="-"/>
    <s v="-"/>
    <n v="11.52"/>
    <n v="8.3800000000000008"/>
    <n v="0.56999999999999995"/>
    <n v="54.2"/>
    <s v="-"/>
    <s v="-"/>
    <n v="22.42"/>
    <s v="-"/>
    <n v="25.11"/>
    <s v="P"/>
    <s v="P"/>
    <s v="-"/>
    <n v="2"/>
    <n v="1"/>
    <n v="2"/>
    <n v="1"/>
    <n v="0"/>
    <n v="2"/>
    <n v="2"/>
    <s v="-"/>
    <s v="-"/>
    <n v="2"/>
    <s v="-"/>
    <n v="12"/>
    <n v="13"/>
    <n v="1"/>
    <n v="1"/>
    <n v="1"/>
    <n v="3"/>
    <n v="3"/>
    <n v="15"/>
    <n v="16"/>
  </r>
  <r>
    <x v="2"/>
    <x v="53"/>
    <d v="2026-03-02T00:00:00"/>
    <s v="1ST"/>
    <s v="07:00"/>
    <n v="1"/>
    <x v="22"/>
    <n v="8.0999999999999996E-3"/>
    <s v="P"/>
    <s v="P"/>
    <s v="P"/>
    <s v="-"/>
    <s v="-"/>
    <n v="11.71"/>
    <s v="-"/>
    <s v="-"/>
    <s v="-"/>
    <s v="-"/>
    <s v="-"/>
    <s v="-"/>
    <s v="-"/>
    <s v="-"/>
    <s v="P"/>
    <s v="P"/>
    <s v="-"/>
    <n v="2"/>
    <n v="1"/>
    <n v="2"/>
    <n v="1"/>
    <s v="-"/>
    <s v="-"/>
    <s v="-"/>
    <s v="-"/>
    <s v="-"/>
    <s v="-"/>
    <s v="-"/>
    <n v="6"/>
    <n v="6"/>
    <s v="-"/>
    <n v="1"/>
    <n v="1"/>
    <n v="2"/>
    <n v="2"/>
    <n v="8"/>
    <n v="8"/>
  </r>
  <r>
    <x v="2"/>
    <x v="53"/>
    <d v="2026-03-02T00:00:00"/>
    <s v="1ST"/>
    <s v="08:00"/>
    <n v="1"/>
    <x v="22"/>
    <n v="7.4999999999999997E-3"/>
    <s v="P"/>
    <s v="P"/>
    <s v="P"/>
    <s v="-"/>
    <s v="-"/>
    <n v="11.39"/>
    <s v="-"/>
    <s v="-"/>
    <s v="-"/>
    <s v="-"/>
    <s v="-"/>
    <s v="-"/>
    <s v="-"/>
    <s v="-"/>
    <s v="P"/>
    <s v="P"/>
    <s v="-"/>
    <n v="2"/>
    <n v="1"/>
    <n v="2"/>
    <n v="1"/>
    <s v="-"/>
    <s v="-"/>
    <s v="-"/>
    <s v="-"/>
    <s v="-"/>
    <s v="-"/>
    <s v="-"/>
    <n v="6"/>
    <n v="6"/>
    <s v="-"/>
    <n v="1"/>
    <n v="1"/>
    <n v="2"/>
    <n v="2"/>
    <n v="8"/>
    <n v="8"/>
  </r>
  <r>
    <x v="2"/>
    <x v="53"/>
    <d v="2026-03-02T00:00:00"/>
    <s v="1ST"/>
    <s v="09:00"/>
    <n v="1"/>
    <x v="22"/>
    <n v="9.7999999999999997E-3"/>
    <s v="P"/>
    <s v="P"/>
    <s v="P"/>
    <s v="-"/>
    <s v="-"/>
    <n v="11.39"/>
    <s v="-"/>
    <s v="-"/>
    <s v="-"/>
    <s v="-"/>
    <s v="-"/>
    <s v="-"/>
    <s v="-"/>
    <s v="-"/>
    <s v="P"/>
    <s v="P"/>
    <s v="-"/>
    <n v="2"/>
    <n v="1"/>
    <n v="2"/>
    <n v="1"/>
    <s v="-"/>
    <s v="-"/>
    <s v="-"/>
    <s v="-"/>
    <s v="-"/>
    <s v="-"/>
    <s v="-"/>
    <n v="6"/>
    <n v="6"/>
    <s v="-"/>
    <n v="1"/>
    <n v="1"/>
    <n v="2"/>
    <n v="2"/>
    <n v="8"/>
    <n v="8"/>
  </r>
  <r>
    <x v="2"/>
    <x v="53"/>
    <d v="2026-03-02T00:00:00"/>
    <s v="1ST"/>
    <s v="10:00"/>
    <n v="1"/>
    <x v="22"/>
    <n v="8.8000000000000005E-3"/>
    <s v="P"/>
    <s v="P"/>
    <s v="P"/>
    <s v="-"/>
    <s v="-"/>
    <n v="11.1"/>
    <s v="-"/>
    <s v="-"/>
    <s v="-"/>
    <s v="-"/>
    <s v="-"/>
    <s v="-"/>
    <s v="-"/>
    <s v="-"/>
    <s v="P"/>
    <s v="P"/>
    <s v="-"/>
    <n v="2"/>
    <n v="1"/>
    <n v="2"/>
    <n v="1"/>
    <s v="-"/>
    <s v="-"/>
    <s v="-"/>
    <s v="-"/>
    <s v="-"/>
    <s v="-"/>
    <s v="-"/>
    <n v="6"/>
    <n v="6"/>
    <s v="-"/>
    <n v="1"/>
    <n v="1"/>
    <n v="2"/>
    <n v="2"/>
    <n v="8"/>
    <n v="8"/>
  </r>
  <r>
    <x v="2"/>
    <x v="53"/>
    <d v="2026-03-02T00:00:00"/>
    <s v="1ST"/>
    <s v="13:00"/>
    <n v="1"/>
    <x v="22"/>
    <n v="7.4999999999999997E-3"/>
    <s v="P"/>
    <s v="P"/>
    <s v="P"/>
    <s v="-"/>
    <s v="-"/>
    <n v="11.22"/>
    <s v="-"/>
    <s v="-"/>
    <s v="-"/>
    <s v="-"/>
    <s v="-"/>
    <s v="-"/>
    <s v="-"/>
    <s v="-"/>
    <s v="P"/>
    <s v="P"/>
    <s v="-"/>
    <n v="2"/>
    <n v="1"/>
    <n v="2"/>
    <n v="1"/>
    <s v="-"/>
    <s v="-"/>
    <s v="-"/>
    <s v="-"/>
    <s v="-"/>
    <s v="-"/>
    <s v="-"/>
    <n v="6"/>
    <n v="6"/>
    <s v="-"/>
    <n v="1"/>
    <n v="1"/>
    <n v="2"/>
    <n v="2"/>
    <n v="8"/>
    <n v="8"/>
  </r>
  <r>
    <x v="2"/>
    <x v="53"/>
    <s v="-"/>
    <s v="2ND"/>
    <d v="1899-12-30T14:00:00"/>
    <n v="1"/>
    <x v="22"/>
    <n v="9.7000000000000003E-3"/>
    <s v="P"/>
    <s v="P"/>
    <s v="P"/>
    <s v="-"/>
    <s v="-"/>
    <n v="11.13"/>
    <n v="8.4499999999999993"/>
    <s v="-"/>
    <s v="-"/>
    <s v="-"/>
    <s v="-"/>
    <n v="22.64"/>
    <s v="-"/>
    <s v="-"/>
    <s v="P"/>
    <s v="P"/>
    <n v="1"/>
    <n v="2"/>
    <n v="1"/>
    <n v="2"/>
    <n v="1"/>
    <n v="0"/>
    <s v="-"/>
    <s v="-"/>
    <s v="-"/>
    <s v="-"/>
    <n v="2"/>
    <s v="-"/>
    <n v="8"/>
    <n v="9"/>
    <s v="-"/>
    <n v="1"/>
    <n v="1"/>
    <n v="2"/>
    <n v="2"/>
    <n v="10"/>
    <n v="11"/>
  </r>
  <r>
    <x v="2"/>
    <x v="53"/>
    <d v="2026-03-02T00:00:00"/>
    <s v="2ND"/>
    <d v="1899-12-30T16:00:00"/>
    <n v="1"/>
    <x v="22"/>
    <n v="8.3000000000000001E-3"/>
    <s v="P"/>
    <s v="P"/>
    <s v="P"/>
    <s v="-"/>
    <s v="-"/>
    <n v="11.35"/>
    <s v="-"/>
    <s v="-"/>
    <s v="-"/>
    <s v="-"/>
    <s v="-"/>
    <s v="-"/>
    <s v="-"/>
    <s v="-"/>
    <s v="P"/>
    <s v="P"/>
    <s v="-"/>
    <n v="2"/>
    <n v="1"/>
    <n v="2"/>
    <n v="1"/>
    <s v="-"/>
    <s v="-"/>
    <s v="-"/>
    <s v="-"/>
    <s v="-"/>
    <s v="-"/>
    <s v="-"/>
    <n v="6"/>
    <n v="6"/>
    <s v="-"/>
    <n v="1"/>
    <n v="1"/>
    <n v="2"/>
    <n v="2"/>
    <n v="8"/>
    <n v="8"/>
  </r>
  <r>
    <x v="2"/>
    <x v="53"/>
    <d v="2026-03-02T00:00:00"/>
    <s v="2ND"/>
    <d v="1899-12-30T18:00:00"/>
    <n v="1"/>
    <x v="22"/>
    <n v="7.7999999999999996E-3"/>
    <s v="P"/>
    <s v="P"/>
    <s v="P"/>
    <s v="-"/>
    <s v="-"/>
    <n v="11.34"/>
    <s v="-"/>
    <s v="-"/>
    <s v="-"/>
    <s v="-"/>
    <s v="-"/>
    <s v="-"/>
    <s v="-"/>
    <s v="-"/>
    <s v="P"/>
    <s v="P"/>
    <s v="-"/>
    <n v="2"/>
    <n v="1"/>
    <n v="2"/>
    <n v="1"/>
    <s v="-"/>
    <s v="-"/>
    <s v="-"/>
    <s v="-"/>
    <s v="-"/>
    <s v="-"/>
    <s v="-"/>
    <n v="6"/>
    <n v="6"/>
    <s v="-"/>
    <n v="1"/>
    <n v="1"/>
    <n v="2"/>
    <n v="2"/>
    <n v="8"/>
    <n v="8"/>
  </r>
  <r>
    <x v="2"/>
    <x v="53"/>
    <d v="2026-03-02T00:00:00"/>
    <s v="2ND"/>
    <d v="1899-12-30T19:00:00"/>
    <n v="1"/>
    <x v="22"/>
    <n v="4.7000000000000002E-3"/>
    <s v="P"/>
    <s v="P"/>
    <s v="P"/>
    <s v="-"/>
    <s v="-"/>
    <n v="11.41"/>
    <s v="-"/>
    <s v="-"/>
    <s v="-"/>
    <s v="-"/>
    <s v="-"/>
    <s v="-"/>
    <s v="-"/>
    <s v="-"/>
    <s v="P"/>
    <s v="P"/>
    <s v="-"/>
    <n v="2"/>
    <n v="1"/>
    <n v="2"/>
    <n v="1"/>
    <s v="-"/>
    <s v="-"/>
    <s v="-"/>
    <s v="-"/>
    <s v="-"/>
    <s v="-"/>
    <s v="-"/>
    <n v="6"/>
    <n v="6"/>
    <s v="-"/>
    <n v="1"/>
    <n v="1"/>
    <n v="2"/>
    <n v="2"/>
    <n v="8"/>
    <n v="8"/>
  </r>
  <r>
    <x v="2"/>
    <x v="53"/>
    <d v="2026-03-02T00:00:00"/>
    <s v="2ND"/>
    <d v="1899-12-30T20:00:00"/>
    <n v="1"/>
    <x v="22"/>
    <n v="6.1999999999999998E-3"/>
    <s v="P"/>
    <s v="P"/>
    <s v="P"/>
    <s v="-"/>
    <s v="-"/>
    <n v="11.5"/>
    <s v="-"/>
    <s v="-"/>
    <s v="-"/>
    <s v="-"/>
    <s v="-"/>
    <s v="-"/>
    <s v="-"/>
    <s v="-"/>
    <s v="P"/>
    <s v="P"/>
    <s v="-"/>
    <n v="2"/>
    <n v="1"/>
    <n v="2"/>
    <n v="1"/>
    <s v="-"/>
    <s v="-"/>
    <s v="-"/>
    <s v="-"/>
    <s v="-"/>
    <s v="-"/>
    <s v="-"/>
    <n v="6"/>
    <n v="6"/>
    <s v="-"/>
    <n v="1"/>
    <n v="1"/>
    <n v="2"/>
    <n v="2"/>
    <n v="8"/>
    <n v="8"/>
  </r>
  <r>
    <x v="2"/>
    <x v="54"/>
    <d v="2026-02-15T00:00:00"/>
    <s v="1ST"/>
    <s v="10:00"/>
    <n v="3"/>
    <x v="39"/>
    <n v="1.14E-2"/>
    <s v="P"/>
    <s v="P"/>
    <s v="P"/>
    <s v="+"/>
    <s v="+"/>
    <n v="12.12"/>
    <n v="13.27"/>
    <n v="0.56000000000000005"/>
    <n v="66.7"/>
    <n v="15.2"/>
    <n v="615"/>
    <n v="37.299999999999997"/>
    <s v="-"/>
    <s v="-"/>
    <s v="P"/>
    <s v="P"/>
    <s v="-"/>
    <n v="2"/>
    <n v="1"/>
    <n v="2"/>
    <n v="1"/>
    <n v="1"/>
    <n v="2"/>
    <n v="2"/>
    <n v="1"/>
    <n v="1"/>
    <n v="2"/>
    <s v="-"/>
    <n v="15"/>
    <n v="15"/>
    <s v="-"/>
    <n v="1"/>
    <n v="1"/>
    <n v="2"/>
    <n v="2"/>
    <n v="17"/>
    <n v="17"/>
  </r>
  <r>
    <x v="2"/>
    <x v="54"/>
    <d v="2026-02-15T00:00:00"/>
    <s v="1ST"/>
    <s v="11:00"/>
    <n v="3"/>
    <x v="39"/>
    <s v="-"/>
    <s v="P"/>
    <s v="P"/>
    <s v="P"/>
    <s v="+"/>
    <s v="+"/>
    <n v="12.64"/>
    <s v="-"/>
    <s v="-"/>
    <s v="-"/>
    <s v="-"/>
    <s v="-"/>
    <s v="-"/>
    <s v="-"/>
    <s v="-"/>
    <s v="P"/>
    <s v="P"/>
    <s v="-"/>
    <s v="-"/>
    <n v="1"/>
    <n v="2"/>
    <n v="1"/>
    <s v="-"/>
    <s v="-"/>
    <s v="-"/>
    <s v="-"/>
    <s v="-"/>
    <s v="-"/>
    <s v="-"/>
    <n v="4"/>
    <n v="4"/>
    <s v="-"/>
    <n v="1"/>
    <n v="1"/>
    <n v="2"/>
    <n v="2"/>
    <n v="6"/>
    <n v="6"/>
  </r>
  <r>
    <x v="2"/>
    <x v="54"/>
    <d v="2026-02-25T00:00:00"/>
    <s v="1ST"/>
    <s v="12:00"/>
    <n v="3"/>
    <x v="39"/>
    <n v="9.2999999999999992E-3"/>
    <s v="P"/>
    <s v="P"/>
    <s v="P"/>
    <s v="+"/>
    <s v="+"/>
    <n v="12.42"/>
    <s v="-"/>
    <s v="-"/>
    <s v="-"/>
    <s v="-"/>
    <s v="-"/>
    <s v="-"/>
    <s v="-"/>
    <n v="25.13"/>
    <s v="P"/>
    <s v="P"/>
    <s v="-"/>
    <n v="2"/>
    <n v="1"/>
    <n v="2"/>
    <n v="1"/>
    <s v="-"/>
    <s v="-"/>
    <s v="-"/>
    <s v="-"/>
    <s v="-"/>
    <s v="-"/>
    <s v="-"/>
    <n v="6"/>
    <n v="6"/>
    <n v="1"/>
    <n v="1"/>
    <n v="1"/>
    <n v="3"/>
    <n v="3"/>
    <n v="9"/>
    <n v="9"/>
  </r>
  <r>
    <x v="2"/>
    <x v="54"/>
    <d v="2026-02-25T00:00:00"/>
    <s v="1ST"/>
    <s v="13:00"/>
    <n v="3"/>
    <x v="39"/>
    <n v="8.0999999999999996E-3"/>
    <s v="P"/>
    <s v="P"/>
    <s v="P"/>
    <s v="+"/>
    <s v="+"/>
    <n v="12.81"/>
    <s v="-"/>
    <s v="-"/>
    <s v="-"/>
    <s v="-"/>
    <s v="-"/>
    <s v="-"/>
    <s v="-"/>
    <s v="-"/>
    <s v="P"/>
    <s v="P"/>
    <s v="-"/>
    <n v="2"/>
    <n v="1"/>
    <n v="2"/>
    <n v="1"/>
    <s v="-"/>
    <s v="-"/>
    <s v="-"/>
    <s v="-"/>
    <s v="-"/>
    <s v="-"/>
    <s v="-"/>
    <n v="6"/>
    <n v="6"/>
    <s v="-"/>
    <n v="1"/>
    <n v="1"/>
    <n v="2"/>
    <n v="2"/>
    <n v="8"/>
    <n v="8"/>
  </r>
  <r>
    <x v="2"/>
    <x v="54"/>
    <d v="2026-02-25T00:00:00"/>
    <s v="2ND"/>
    <d v="1899-12-30T14:00:00"/>
    <n v="3"/>
    <x v="39"/>
    <n v="1.2699999999999999E-2"/>
    <s v="P"/>
    <s v="P"/>
    <s v="P"/>
    <s v="+"/>
    <s v="+"/>
    <n v="12.86"/>
    <n v="13.41"/>
    <s v="-"/>
    <s v="-"/>
    <s v="-"/>
    <s v="-"/>
    <n v="37.6"/>
    <s v="-"/>
    <n v="25.16"/>
    <s v="P"/>
    <s v="P"/>
    <s v="-"/>
    <n v="2"/>
    <n v="1"/>
    <n v="2"/>
    <n v="1"/>
    <n v="1"/>
    <s v="-"/>
    <s v="-"/>
    <s v="-"/>
    <s v="-"/>
    <n v="2"/>
    <s v="-"/>
    <n v="9"/>
    <n v="9"/>
    <n v="1"/>
    <n v="1"/>
    <n v="1"/>
    <n v="3"/>
    <n v="3"/>
    <n v="12"/>
    <n v="12"/>
  </r>
  <r>
    <x v="2"/>
    <x v="54"/>
    <d v="2026-02-25T00:00:00"/>
    <s v="2ND"/>
    <d v="1899-12-30T15:00:00"/>
    <n v="3"/>
    <x v="39"/>
    <n v="1.35E-2"/>
    <s v="P"/>
    <s v="P"/>
    <s v="P"/>
    <s v="+"/>
    <s v="+"/>
    <n v="12.75"/>
    <s v="-"/>
    <s v="-"/>
    <s v="-"/>
    <s v="-"/>
    <s v="-"/>
    <s v="-"/>
    <s v="-"/>
    <s v="-"/>
    <s v="P"/>
    <s v="P"/>
    <s v="-"/>
    <n v="2"/>
    <n v="1"/>
    <n v="2"/>
    <n v="1"/>
    <s v="-"/>
    <s v="-"/>
    <s v="-"/>
    <s v="-"/>
    <s v="-"/>
    <s v="-"/>
    <s v="-"/>
    <n v="6"/>
    <n v="6"/>
    <s v="-"/>
    <n v="1"/>
    <n v="1"/>
    <n v="2"/>
    <n v="2"/>
    <n v="8"/>
    <n v="8"/>
  </r>
  <r>
    <x v="2"/>
    <x v="54"/>
    <d v="2026-02-25T00:00:00"/>
    <s v="2ND"/>
    <d v="1899-12-30T16:00:00"/>
    <n v="3"/>
    <x v="39"/>
    <n v="1.26E-2"/>
    <s v="P"/>
    <s v="P"/>
    <s v="P"/>
    <s v="+"/>
    <s v="+"/>
    <n v="12.87"/>
    <s v="-"/>
    <s v="-"/>
    <s v="-"/>
    <s v="-"/>
    <s v="-"/>
    <s v="-"/>
    <s v="-"/>
    <s v="-"/>
    <s v="P"/>
    <s v="P"/>
    <s v="-"/>
    <n v="2"/>
    <n v="1"/>
    <n v="2"/>
    <n v="1"/>
    <s v="-"/>
    <s v="-"/>
    <s v="-"/>
    <s v="-"/>
    <s v="-"/>
    <s v="-"/>
    <s v="-"/>
    <n v="6"/>
    <n v="6"/>
    <s v="-"/>
    <n v="1"/>
    <n v="1"/>
    <n v="2"/>
    <n v="2"/>
    <n v="8"/>
    <n v="8"/>
  </r>
  <r>
    <x v="2"/>
    <x v="54"/>
    <d v="2026-02-25T00:00:00"/>
    <s v="2ND"/>
    <d v="1899-12-30T17:00:00"/>
    <n v="3"/>
    <x v="39"/>
    <s v="-"/>
    <s v="P"/>
    <s v="P"/>
    <s v="P"/>
    <s v="+"/>
    <s v="+"/>
    <n v="12.05"/>
    <s v="-"/>
    <s v="-"/>
    <s v="-"/>
    <s v="-"/>
    <s v="-"/>
    <s v="-"/>
    <s v="-"/>
    <s v="-"/>
    <s v="P"/>
    <s v="P"/>
    <s v="-"/>
    <s v="-"/>
    <n v="1"/>
    <n v="2"/>
    <n v="1"/>
    <s v="-"/>
    <s v="-"/>
    <s v="-"/>
    <s v="-"/>
    <s v="-"/>
    <s v="-"/>
    <s v="-"/>
    <n v="4"/>
    <n v="4"/>
    <s v="-"/>
    <n v="1"/>
    <n v="1"/>
    <n v="2"/>
    <n v="2"/>
    <n v="6"/>
    <n v="6"/>
  </r>
  <r>
    <x v="2"/>
    <x v="54"/>
    <d v="2026-02-25T00:00:00"/>
    <s v="2ND"/>
    <d v="1899-12-30T19:00:00"/>
    <n v="3"/>
    <x v="39"/>
    <n v="1.15E-2"/>
    <s v="P"/>
    <s v="P"/>
    <s v="P"/>
    <s v="+"/>
    <s v="+"/>
    <n v="12.3"/>
    <s v="-"/>
    <s v="-"/>
    <s v="-"/>
    <s v="-"/>
    <s v="-"/>
    <s v="-"/>
    <s v="-"/>
    <s v="-"/>
    <s v="P"/>
    <s v="P"/>
    <s v="-"/>
    <n v="2"/>
    <n v="1"/>
    <n v="2"/>
    <n v="1"/>
    <s v="-"/>
    <s v="-"/>
    <s v="-"/>
    <s v="-"/>
    <s v="-"/>
    <s v="-"/>
    <s v="-"/>
    <n v="6"/>
    <n v="6"/>
    <s v="-"/>
    <n v="1"/>
    <n v="1"/>
    <n v="2"/>
    <n v="2"/>
    <n v="8"/>
    <n v="8"/>
  </r>
  <r>
    <x v="2"/>
    <x v="54"/>
    <d v="2026-02-25T00:00:00"/>
    <s v="3RD"/>
    <d v="1899-12-30T22:00:00"/>
    <n v="3"/>
    <x v="43"/>
    <n v="1.43E-2"/>
    <s v="P"/>
    <s v="P"/>
    <s v="P"/>
    <s v="+"/>
    <s v="+"/>
    <n v="11.6"/>
    <n v="11.1"/>
    <n v="0.61"/>
    <n v="63.3"/>
    <n v="14.9"/>
    <n v="988"/>
    <n v="30.8"/>
    <s v="-"/>
    <s v="-"/>
    <s v="P"/>
    <s v="P"/>
    <s v="60%  40%"/>
    <n v="2"/>
    <n v="1"/>
    <n v="2"/>
    <n v="0"/>
    <n v="1"/>
    <n v="0"/>
    <n v="2"/>
    <n v="1"/>
    <n v="0"/>
    <n v="2"/>
    <s v="-"/>
    <n v="11"/>
    <n v="15"/>
    <s v="-"/>
    <n v="1"/>
    <n v="1"/>
    <n v="2"/>
    <n v="2"/>
    <n v="13"/>
    <n v="17"/>
  </r>
  <r>
    <x v="2"/>
    <x v="54"/>
    <d v="2026-02-25T00:00:00"/>
    <s v="3RD"/>
    <d v="1899-12-30T23:00:00"/>
    <n v="3"/>
    <x v="43"/>
    <n v="1.29E-2"/>
    <s v="P"/>
    <s v="P"/>
    <s v="P"/>
    <s v="+"/>
    <s v="+"/>
    <n v="12.12"/>
    <s v="-"/>
    <s v="-"/>
    <s v="-"/>
    <s v="-"/>
    <s v="-"/>
    <s v="-"/>
    <s v="-"/>
    <s v="-"/>
    <s v="P"/>
    <s v="P"/>
    <s v="-"/>
    <n v="2"/>
    <n v="1"/>
    <n v="2"/>
    <n v="1"/>
    <s v="-"/>
    <s v="-"/>
    <s v="-"/>
    <s v="-"/>
    <s v="-"/>
    <s v="-"/>
    <s v="-"/>
    <n v="6"/>
    <n v="6"/>
    <s v="-"/>
    <n v="1"/>
    <n v="1"/>
    <n v="2"/>
    <n v="2"/>
    <n v="8"/>
    <n v="8"/>
  </r>
  <r>
    <x v="2"/>
    <x v="54"/>
    <d v="2026-02-25T00:00:00"/>
    <s v="3RD"/>
    <d v="1899-12-31T00:00:00"/>
    <n v="3"/>
    <x v="43"/>
    <n v="1.4999999999999999E-2"/>
    <s v="P"/>
    <s v="P"/>
    <s v="P"/>
    <s v="+"/>
    <s v="+"/>
    <n v="12.17"/>
    <s v="-"/>
    <s v="-"/>
    <s v="-"/>
    <s v="-"/>
    <s v="-"/>
    <s v="-"/>
    <s v="-"/>
    <s v="-"/>
    <s v="P"/>
    <s v="P"/>
    <s v="-"/>
    <n v="2"/>
    <n v="1"/>
    <n v="2"/>
    <n v="1"/>
    <s v="-"/>
    <s v="-"/>
    <s v="-"/>
    <s v="-"/>
    <s v="-"/>
    <s v="-"/>
    <s v="-"/>
    <n v="6"/>
    <n v="6"/>
    <s v="-"/>
    <n v="1"/>
    <n v="1"/>
    <n v="2"/>
    <n v="2"/>
    <n v="8"/>
    <n v="8"/>
  </r>
  <r>
    <x v="2"/>
    <x v="54"/>
    <d v="1899-12-30T00:00:00"/>
    <s v="1ST"/>
    <s v="06:00"/>
    <n v="2"/>
    <x v="8"/>
    <n v="7.6E-3"/>
    <s v="P"/>
    <s v="P"/>
    <s v="P"/>
    <s v="+"/>
    <s v="+"/>
    <n v="12.32"/>
    <n v="13.54"/>
    <n v="0.56000000000000005"/>
    <n v="65.099999999999994"/>
    <s v="-"/>
    <s v="-"/>
    <n v="38.1"/>
    <s v="-"/>
    <n v="25.16"/>
    <s v="P"/>
    <s v="P"/>
    <s v="-"/>
    <n v="2"/>
    <n v="1"/>
    <n v="2"/>
    <n v="1"/>
    <n v="1"/>
    <n v="2"/>
    <n v="2"/>
    <s v="-"/>
    <s v="-"/>
    <s v="-"/>
    <s v="-"/>
    <n v="11"/>
    <n v="11"/>
    <s v="-"/>
    <n v="1"/>
    <n v="1"/>
    <n v="2"/>
    <n v="2"/>
    <n v="13"/>
    <n v="13"/>
  </r>
  <r>
    <x v="2"/>
    <x v="54"/>
    <d v="1899-12-30T00:00:00"/>
    <s v="1ST"/>
    <s v="07:00"/>
    <n v="2"/>
    <x v="8"/>
    <n v="8.3000000000000001E-3"/>
    <s v="P"/>
    <s v="P"/>
    <s v="P"/>
    <s v="+"/>
    <s v="+"/>
    <n v="12.13"/>
    <s v="-"/>
    <s v="-"/>
    <s v="-"/>
    <s v="-"/>
    <s v="-"/>
    <s v="-"/>
    <s v="-"/>
    <s v="-"/>
    <s v="P"/>
    <s v="P"/>
    <s v="-"/>
    <n v="2"/>
    <n v="1"/>
    <n v="2"/>
    <n v="1"/>
    <s v="-"/>
    <s v="-"/>
    <s v="-"/>
    <s v="-"/>
    <s v="-"/>
    <s v="-"/>
    <s v="-"/>
    <n v="6"/>
    <n v="6"/>
    <s v="-"/>
    <n v="1"/>
    <n v="1"/>
    <n v="2"/>
    <n v="2"/>
    <n v="8"/>
    <n v="8"/>
  </r>
  <r>
    <x v="2"/>
    <x v="54"/>
    <d v="1899-12-30T00:00:00"/>
    <s v="1ST"/>
    <s v="08:00"/>
    <n v="2"/>
    <x v="8"/>
    <n v="6.4000000000000003E-3"/>
    <s v="P"/>
    <s v="P"/>
    <s v="P"/>
    <s v="+"/>
    <s v="+"/>
    <n v="12.33"/>
    <s v="-"/>
    <s v="-"/>
    <s v="-"/>
    <s v="-"/>
    <s v="-"/>
    <s v="-"/>
    <s v="-"/>
    <s v="-"/>
    <s v="P"/>
    <s v="P"/>
    <s v="-"/>
    <n v="2"/>
    <n v="1"/>
    <n v="2"/>
    <n v="1"/>
    <s v="-"/>
    <s v="-"/>
    <s v="-"/>
    <s v="-"/>
    <s v="-"/>
    <s v="-"/>
    <s v="-"/>
    <n v="6"/>
    <n v="6"/>
    <s v="-"/>
    <n v="1"/>
    <n v="1"/>
    <n v="2"/>
    <n v="2"/>
    <n v="8"/>
    <n v="8"/>
  </r>
  <r>
    <x v="2"/>
    <x v="54"/>
    <d v="1899-12-30T00:00:00"/>
    <s v="1ST"/>
    <s v="10:00"/>
    <n v="2"/>
    <x v="8"/>
    <n v="9.1000000000000004E-3"/>
    <s v="P"/>
    <s v="P"/>
    <s v="P"/>
    <s v="+"/>
    <s v="+"/>
    <n v="12.4"/>
    <s v="-"/>
    <s v="-"/>
    <s v="-"/>
    <s v="-"/>
    <s v="-"/>
    <s v="-"/>
    <s v="-"/>
    <s v="-"/>
    <s v="P"/>
    <s v="P"/>
    <s v="-"/>
    <n v="2"/>
    <n v="1"/>
    <n v="2"/>
    <n v="1"/>
    <s v="-"/>
    <s v="-"/>
    <s v="-"/>
    <s v="-"/>
    <s v="-"/>
    <s v="-"/>
    <s v="-"/>
    <n v="6"/>
    <n v="6"/>
    <s v="-"/>
    <n v="1"/>
    <n v="1"/>
    <n v="2"/>
    <n v="2"/>
    <n v="8"/>
    <n v="8"/>
  </r>
  <r>
    <x v="2"/>
    <x v="54"/>
    <d v="1899-12-30T00:00:00"/>
    <s v="1ST"/>
    <s v="11:00"/>
    <n v="2"/>
    <x v="8"/>
    <s v="-"/>
    <s v="P"/>
    <s v="P"/>
    <s v="P"/>
    <s v="+"/>
    <s v="+"/>
    <n v="12.18"/>
    <s v="-"/>
    <s v="-"/>
    <s v="-"/>
    <s v="-"/>
    <s v="-"/>
    <s v="-"/>
    <s v="-"/>
    <s v="-"/>
    <s v="P"/>
    <s v="P"/>
    <s v="-"/>
    <s v="-"/>
    <n v="1"/>
    <n v="2"/>
    <n v="1"/>
    <s v="-"/>
    <s v="-"/>
    <s v="-"/>
    <s v="-"/>
    <s v="-"/>
    <s v="-"/>
    <s v="-"/>
    <n v="4"/>
    <n v="4"/>
    <s v="-"/>
    <n v="1"/>
    <n v="1"/>
    <n v="2"/>
    <n v="2"/>
    <n v="6"/>
    <n v="6"/>
  </r>
  <r>
    <x v="2"/>
    <x v="54"/>
    <d v="1899-12-30T00:00:00"/>
    <s v="1ST"/>
    <s v="12:00"/>
    <n v="2"/>
    <x v="8"/>
    <n v="8.0999999999999996E-3"/>
    <s v="P"/>
    <s v="P"/>
    <s v="P"/>
    <s v="+"/>
    <s v="+"/>
    <n v="10.95"/>
    <s v="-"/>
    <s v="-"/>
    <s v="-"/>
    <s v="-"/>
    <s v="-"/>
    <s v="-"/>
    <s v="-"/>
    <s v="-"/>
    <s v="P"/>
    <s v="P"/>
    <s v="-"/>
    <n v="2"/>
    <n v="1"/>
    <n v="2"/>
    <n v="1"/>
    <s v="-"/>
    <s v="-"/>
    <s v="-"/>
    <s v="-"/>
    <s v="-"/>
    <s v="-"/>
    <s v="-"/>
    <n v="6"/>
    <n v="6"/>
    <s v="-"/>
    <n v="1"/>
    <n v="1"/>
    <n v="2"/>
    <n v="2"/>
    <n v="8"/>
    <n v="8"/>
  </r>
  <r>
    <x v="2"/>
    <x v="54"/>
    <d v="2026-02-15T00:00:00"/>
    <s v="1ST"/>
    <s v="06:00"/>
    <n v="3"/>
    <x v="1"/>
    <n v="9.1000000000000004E-3"/>
    <s v="P"/>
    <s v="P"/>
    <s v="P"/>
    <s v="+"/>
    <s v="+"/>
    <n v="11.83"/>
    <n v="12.6"/>
    <n v="0.54"/>
    <n v="65.5"/>
    <s v="-"/>
    <s v="-"/>
    <n v="35.299999999999997"/>
    <s v="-"/>
    <n v="25.13"/>
    <s v="P"/>
    <s v="P"/>
    <s v="-"/>
    <n v="2"/>
    <n v="1"/>
    <n v="2"/>
    <n v="0"/>
    <n v="1"/>
    <n v="2"/>
    <n v="2"/>
    <s v="-"/>
    <s v="-"/>
    <n v="2"/>
    <s v="-"/>
    <n v="12"/>
    <n v="13"/>
    <n v="1"/>
    <n v="1"/>
    <n v="1"/>
    <n v="3"/>
    <n v="3"/>
    <n v="15"/>
    <n v="16"/>
  </r>
  <r>
    <x v="2"/>
    <x v="54"/>
    <d v="2026-02-15T00:00:00"/>
    <s v="1ST"/>
    <s v="07:00"/>
    <n v="3"/>
    <x v="1"/>
    <n v="8.6999999999999994E-3"/>
    <s v="P"/>
    <s v="P"/>
    <s v="P"/>
    <s v="+"/>
    <s v="+"/>
    <n v="11.82"/>
    <s v="-"/>
    <s v="-"/>
    <s v="-"/>
    <s v="-"/>
    <s v="-"/>
    <s v="-"/>
    <s v="-"/>
    <s v="-"/>
    <s v="P"/>
    <s v="P"/>
    <s v="-"/>
    <n v="2"/>
    <n v="1"/>
    <n v="2"/>
    <n v="0"/>
    <s v="-"/>
    <s v="-"/>
    <s v="-"/>
    <s v="-"/>
    <s v="-"/>
    <s v="-"/>
    <s v="-"/>
    <n v="5"/>
    <n v="6"/>
    <s v="-"/>
    <n v="1"/>
    <n v="1"/>
    <n v="2"/>
    <n v="2"/>
    <n v="7"/>
    <n v="8"/>
  </r>
  <r>
    <x v="2"/>
    <x v="54"/>
    <d v="2026-02-15T00:00:00"/>
    <s v="1ST"/>
    <s v="08:00"/>
    <n v="3"/>
    <x v="1"/>
    <n v="6.7999999999999996E-3"/>
    <s v="P"/>
    <s v="P"/>
    <s v="P"/>
    <s v="+"/>
    <s v="+"/>
    <n v="12.28"/>
    <s v="-"/>
    <s v="-"/>
    <s v="-"/>
    <s v="-"/>
    <s v="-"/>
    <s v="-"/>
    <s v="-"/>
    <s v="-"/>
    <s v="P"/>
    <s v="P"/>
    <s v="-"/>
    <n v="2"/>
    <n v="1"/>
    <n v="2"/>
    <n v="1"/>
    <s v="-"/>
    <s v="-"/>
    <s v="-"/>
    <s v="-"/>
    <s v="-"/>
    <s v="-"/>
    <s v="-"/>
    <n v="6"/>
    <n v="6"/>
    <s v="-"/>
    <n v="1"/>
    <n v="1"/>
    <n v="2"/>
    <n v="2"/>
    <n v="8"/>
    <n v="8"/>
  </r>
  <r>
    <x v="2"/>
    <x v="54"/>
    <d v="1902-03-26T00:00:00"/>
    <s v="2ND"/>
    <d v="1899-12-30T18:00:00"/>
    <n v="2"/>
    <x v="1"/>
    <n v="1.2999999999999999E-2"/>
    <s v="P"/>
    <s v="P"/>
    <s v="P"/>
    <s v="+"/>
    <s v="+"/>
    <n v="10.36"/>
    <n v="13.01"/>
    <s v="-"/>
    <n v="65.099999999999994"/>
    <s v="-"/>
    <s v="-"/>
    <n v="36.700000000000003"/>
    <s v="-"/>
    <n v="25.16"/>
    <s v="P"/>
    <s v="P"/>
    <s v="-"/>
    <n v="2"/>
    <n v="1"/>
    <n v="2"/>
    <n v="0"/>
    <n v="1"/>
    <s v="-"/>
    <n v="2"/>
    <s v="-"/>
    <s v="-"/>
    <n v="2"/>
    <s v="-"/>
    <n v="10"/>
    <n v="11"/>
    <n v="1"/>
    <n v="1"/>
    <n v="1"/>
    <n v="3"/>
    <n v="3"/>
    <n v="13"/>
    <n v="14"/>
  </r>
  <r>
    <x v="2"/>
    <x v="54"/>
    <d v="1899-12-30T00:00:00"/>
    <s v="2ND"/>
    <d v="1899-12-30T19:00:00"/>
    <n v="2"/>
    <x v="1"/>
    <n v="1.72E-2"/>
    <s v="P"/>
    <s v="P"/>
    <s v="P"/>
    <s v="+"/>
    <s v="+"/>
    <n v="11.34"/>
    <s v="-"/>
    <s v="-"/>
    <s v="-"/>
    <s v="-"/>
    <s v="-"/>
    <s v="-"/>
    <s v="-"/>
    <s v="-"/>
    <s v="P"/>
    <s v="P"/>
    <s v="-"/>
    <n v="2"/>
    <n v="1"/>
    <n v="2"/>
    <n v="0"/>
    <s v="-"/>
    <s v="-"/>
    <s v="-"/>
    <s v="-"/>
    <s v="-"/>
    <s v="-"/>
    <s v="-"/>
    <n v="5"/>
    <n v="6"/>
    <s v="-"/>
    <n v="1"/>
    <n v="1"/>
    <n v="2"/>
    <n v="2"/>
    <n v="7"/>
    <n v="8"/>
  </r>
  <r>
    <x v="2"/>
    <x v="54"/>
    <d v="1902-03-26T00:00:00"/>
    <s v="3RD"/>
    <d v="1899-12-31T00:00:00"/>
    <n v="2"/>
    <x v="1"/>
    <n v="1.03E-2"/>
    <s v="P"/>
    <s v="P"/>
    <s v="P"/>
    <s v="+"/>
    <s v="+"/>
    <n v="12.02"/>
    <n v="13.08"/>
    <s v="-"/>
    <s v="-"/>
    <s v="-"/>
    <s v="-"/>
    <n v="36.700000000000003"/>
    <s v="-"/>
    <s v="-"/>
    <s v="P"/>
    <s v="P"/>
    <s v="-"/>
    <n v="2"/>
    <n v="1"/>
    <n v="2"/>
    <n v="1"/>
    <n v="1"/>
    <s v="-"/>
    <s v="-"/>
    <s v="-"/>
    <s v="-"/>
    <n v="2"/>
    <s v="-"/>
    <n v="9"/>
    <n v="9"/>
    <s v="-"/>
    <n v="1"/>
    <n v="1"/>
    <n v="2"/>
    <n v="2"/>
    <n v="11"/>
    <n v="11"/>
  </r>
  <r>
    <x v="2"/>
    <x v="54"/>
    <d v="2026-02-25T00:00:00"/>
    <s v="3RD"/>
    <d v="1899-12-31T01:00:00"/>
    <n v="3"/>
    <x v="1"/>
    <s v="-"/>
    <s v="P"/>
    <s v="P"/>
    <s v="P"/>
    <s v="+"/>
    <s v="+"/>
    <n v="12.01"/>
    <n v="13.54"/>
    <n v="0.6"/>
    <n v="65.2"/>
    <s v="-"/>
    <s v="-"/>
    <n v="38.200000000000003"/>
    <s v="-"/>
    <s v="-"/>
    <s v="P"/>
    <s v="P"/>
    <s v="85% 15%"/>
    <s v="-"/>
    <n v="1"/>
    <n v="2"/>
    <n v="1"/>
    <n v="1"/>
    <n v="2"/>
    <n v="2"/>
    <s v="-"/>
    <s v="-"/>
    <n v="2"/>
    <s v="-"/>
    <n v="11"/>
    <n v="11"/>
    <s v="-"/>
    <n v="1"/>
    <n v="1"/>
    <n v="2"/>
    <n v="2"/>
    <n v="13"/>
    <n v="13"/>
  </r>
  <r>
    <x v="2"/>
    <x v="54"/>
    <s v="-"/>
    <s v="1ST"/>
    <s v="06:00"/>
    <n v="1"/>
    <x v="20"/>
    <n v="9.4000000000000004E-3"/>
    <s v="P"/>
    <s v="P"/>
    <s v="P"/>
    <s v="-"/>
    <s v="-"/>
    <n v="12.37"/>
    <n v="12.86"/>
    <n v="0.59"/>
    <n v="64.7"/>
    <s v="-"/>
    <s v="-"/>
    <n v="36"/>
    <s v="-"/>
    <s v="-"/>
    <s v="-"/>
    <s v="-"/>
    <s v="-"/>
    <n v="2"/>
    <n v="1"/>
    <n v="2"/>
    <n v="1"/>
    <n v="1"/>
    <n v="2"/>
    <n v="2"/>
    <s v="-"/>
    <s v="-"/>
    <n v="2"/>
    <s v="-"/>
    <n v="13"/>
    <n v="13"/>
    <s v="-"/>
    <s v="-"/>
    <s v="-"/>
    <n v="0"/>
    <n v="0"/>
    <n v="13"/>
    <n v="13"/>
  </r>
  <r>
    <x v="2"/>
    <x v="54"/>
    <d v="2026-03-03T00:00:00"/>
    <s v="1ST"/>
    <s v="07:00"/>
    <n v="1"/>
    <x v="20"/>
    <n v="1.03E-2"/>
    <s v="P"/>
    <s v="P"/>
    <s v="P"/>
    <s v="-"/>
    <s v="-"/>
    <n v="12.52"/>
    <s v="-"/>
    <s v="-"/>
    <s v="-"/>
    <s v="-"/>
    <s v="-"/>
    <s v="-"/>
    <s v="-"/>
    <n v="25.14"/>
    <s v="P"/>
    <s v="P"/>
    <s v="-"/>
    <n v="2"/>
    <n v="1"/>
    <n v="2"/>
    <n v="1"/>
    <s v="-"/>
    <s v="-"/>
    <s v="-"/>
    <s v="-"/>
    <s v="-"/>
    <s v="-"/>
    <s v="-"/>
    <n v="6"/>
    <n v="6"/>
    <n v="1"/>
    <n v="1"/>
    <n v="1"/>
    <n v="3"/>
    <n v="3"/>
    <n v="9"/>
    <n v="9"/>
  </r>
  <r>
    <x v="2"/>
    <x v="54"/>
    <d v="2026-03-03T00:00:00"/>
    <s v="1ST"/>
    <s v="08:00"/>
    <n v="1"/>
    <x v="20"/>
    <n v="1.09E-2"/>
    <s v="P"/>
    <s v="P"/>
    <s v="P"/>
    <s v="-"/>
    <s v="-"/>
    <n v="12.61"/>
    <s v="-"/>
    <s v="-"/>
    <s v="-"/>
    <s v="-"/>
    <s v="-"/>
    <s v="-"/>
    <s v="-"/>
    <s v="-"/>
    <s v="P"/>
    <s v="P"/>
    <s v="-"/>
    <n v="2"/>
    <n v="1"/>
    <n v="2"/>
    <n v="1"/>
    <s v="-"/>
    <s v="-"/>
    <s v="-"/>
    <s v="-"/>
    <s v="-"/>
    <s v="-"/>
    <s v="-"/>
    <n v="6"/>
    <n v="6"/>
    <s v="-"/>
    <n v="1"/>
    <n v="1"/>
    <n v="2"/>
    <n v="2"/>
    <n v="8"/>
    <n v="8"/>
  </r>
  <r>
    <x v="2"/>
    <x v="54"/>
    <d v="2026-03-03T00:00:00"/>
    <s v="1ST"/>
    <s v="10:00"/>
    <n v="1"/>
    <x v="20"/>
    <n v="1.7600000000000001E-2"/>
    <s v="P"/>
    <s v="P"/>
    <s v="P"/>
    <s v="-"/>
    <s v="-"/>
    <n v="12.35"/>
    <s v="-"/>
    <s v="-"/>
    <s v="-"/>
    <s v="-"/>
    <s v="-"/>
    <s v="-"/>
    <s v="-"/>
    <s v="-"/>
    <s v="P"/>
    <s v="P"/>
    <s v="-"/>
    <n v="2"/>
    <n v="1"/>
    <n v="2"/>
    <n v="1"/>
    <s v="-"/>
    <s v="-"/>
    <s v="-"/>
    <s v="-"/>
    <s v="-"/>
    <s v="-"/>
    <s v="-"/>
    <n v="6"/>
    <n v="6"/>
    <s v="-"/>
    <n v="1"/>
    <n v="1"/>
    <n v="2"/>
    <n v="2"/>
    <n v="8"/>
    <n v="8"/>
  </r>
  <r>
    <x v="2"/>
    <x v="54"/>
    <d v="2026-03-03T00:00:00"/>
    <s v="1ST"/>
    <s v="11:00"/>
    <n v="1"/>
    <x v="20"/>
    <s v="-"/>
    <s v="P"/>
    <s v="P"/>
    <s v="P"/>
    <s v="-"/>
    <s v="-"/>
    <n v="12.31"/>
    <s v="-"/>
    <s v="-"/>
    <s v="-"/>
    <s v="-"/>
    <s v="-"/>
    <s v="-"/>
    <s v="-"/>
    <s v="-"/>
    <s v="P"/>
    <s v="P"/>
    <s v="-"/>
    <s v="-"/>
    <n v="1"/>
    <n v="2"/>
    <n v="1"/>
    <s v="-"/>
    <s v="-"/>
    <s v="-"/>
    <s v="-"/>
    <s v="-"/>
    <s v="-"/>
    <s v="-"/>
    <n v="4"/>
    <n v="4"/>
    <s v="-"/>
    <n v="1"/>
    <n v="1"/>
    <n v="2"/>
    <n v="2"/>
    <n v="6"/>
    <n v="6"/>
  </r>
  <r>
    <x v="2"/>
    <x v="54"/>
    <d v="2026-03-03T00:00:00"/>
    <s v="1ST"/>
    <s v="12:00"/>
    <n v="1"/>
    <x v="20"/>
    <n v="1.1900000000000001E-2"/>
    <s v="P"/>
    <s v="P"/>
    <s v="P"/>
    <s v="-"/>
    <s v="-"/>
    <n v="12.19"/>
    <s v="-"/>
    <s v="-"/>
    <s v="-"/>
    <s v="-"/>
    <s v="-"/>
    <s v="-"/>
    <s v="-"/>
    <s v="-"/>
    <s v="P"/>
    <s v="P"/>
    <s v="-"/>
    <n v="2"/>
    <n v="1"/>
    <n v="2"/>
    <n v="1"/>
    <s v="-"/>
    <s v="-"/>
    <s v="-"/>
    <s v="-"/>
    <s v="-"/>
    <s v="-"/>
    <s v="-"/>
    <n v="6"/>
    <n v="6"/>
    <s v="-"/>
    <n v="1"/>
    <n v="1"/>
    <n v="2"/>
    <n v="2"/>
    <n v="8"/>
    <n v="8"/>
  </r>
  <r>
    <x v="2"/>
    <x v="54"/>
    <d v="2026-03-03T00:00:00"/>
    <s v="1ST"/>
    <s v="13:00"/>
    <n v="1"/>
    <x v="20"/>
    <n v="9.9000000000000008E-3"/>
    <s v="P"/>
    <s v="P"/>
    <s v="P"/>
    <s v="-"/>
    <s v="-"/>
    <n v="12.92"/>
    <s v="-"/>
    <s v="-"/>
    <s v="-"/>
    <s v="-"/>
    <s v="-"/>
    <s v="-"/>
    <s v="-"/>
    <s v="-"/>
    <s v="-"/>
    <s v="-"/>
    <s v="-"/>
    <n v="2"/>
    <n v="1"/>
    <n v="2"/>
    <n v="1"/>
    <s v="-"/>
    <s v="-"/>
    <s v="-"/>
    <s v="-"/>
    <s v="-"/>
    <s v="-"/>
    <s v="-"/>
    <n v="6"/>
    <n v="6"/>
    <s v="-"/>
    <s v="-"/>
    <s v="-"/>
    <n v="0"/>
    <n v="0"/>
    <n v="6"/>
    <n v="6"/>
  </r>
  <r>
    <x v="2"/>
    <x v="54"/>
    <s v="-"/>
    <s v="2ND"/>
    <d v="1899-12-30T14:00:00"/>
    <n v="1"/>
    <x v="20"/>
    <n v="5.5999999999999999E-3"/>
    <s v="P"/>
    <s v="P"/>
    <s v="P"/>
    <s v="-"/>
    <s v="-"/>
    <n v="12.68"/>
    <n v="13.1"/>
    <s v="-"/>
    <s v="-"/>
    <s v="-"/>
    <s v="-"/>
    <n v="36.799999999999997"/>
    <s v="-"/>
    <n v="25.14"/>
    <s v="P"/>
    <s v="P"/>
    <s v="-"/>
    <n v="2"/>
    <n v="1"/>
    <n v="2"/>
    <n v="1"/>
    <n v="1"/>
    <s v="-"/>
    <s v="-"/>
    <s v="-"/>
    <s v="-"/>
    <n v="2"/>
    <s v="-"/>
    <n v="9"/>
    <n v="9"/>
    <n v="1"/>
    <n v="1"/>
    <n v="1"/>
    <n v="3"/>
    <n v="3"/>
    <n v="12"/>
    <n v="12"/>
  </r>
  <r>
    <x v="2"/>
    <x v="54"/>
    <d v="2026-03-03T00:00:00"/>
    <s v="2ND"/>
    <d v="1899-12-30T15:00:00"/>
    <n v="1"/>
    <x v="20"/>
    <n v="7.7999999999999996E-3"/>
    <s v="P"/>
    <s v="P"/>
    <s v="P"/>
    <s v="-"/>
    <s v="-"/>
    <n v="12"/>
    <s v="-"/>
    <s v="-"/>
    <s v="-"/>
    <s v="-"/>
    <s v="-"/>
    <s v="-"/>
    <s v="-"/>
    <s v="-"/>
    <s v="P"/>
    <s v="P"/>
    <s v="-"/>
    <n v="2"/>
    <n v="1"/>
    <n v="2"/>
    <n v="1"/>
    <s v="-"/>
    <s v="-"/>
    <s v="-"/>
    <s v="-"/>
    <s v="-"/>
    <s v="-"/>
    <s v="-"/>
    <n v="6"/>
    <n v="6"/>
    <s v="-"/>
    <n v="1"/>
    <n v="1"/>
    <n v="2"/>
    <n v="2"/>
    <n v="8"/>
    <n v="8"/>
  </r>
  <r>
    <x v="2"/>
    <x v="54"/>
    <d v="2026-03-03T00:00:00"/>
    <s v="2ND"/>
    <d v="1899-12-30T16:00:00"/>
    <n v="1"/>
    <x v="20"/>
    <n v="1.0999999999999999E-2"/>
    <s v="P"/>
    <s v="P"/>
    <s v="P"/>
    <s v="-"/>
    <s v="-"/>
    <n v="11.9"/>
    <s v="-"/>
    <s v="-"/>
    <s v="-"/>
    <s v="-"/>
    <s v="-"/>
    <s v="-"/>
    <s v="-"/>
    <s v="-"/>
    <s v="P"/>
    <s v="P"/>
    <s v="-"/>
    <n v="2"/>
    <n v="1"/>
    <n v="2"/>
    <n v="1"/>
    <s v="-"/>
    <s v="-"/>
    <s v="-"/>
    <s v="-"/>
    <s v="-"/>
    <s v="-"/>
    <s v="-"/>
    <n v="6"/>
    <n v="6"/>
    <s v="-"/>
    <n v="1"/>
    <n v="1"/>
    <n v="2"/>
    <n v="2"/>
    <n v="8"/>
    <n v="8"/>
  </r>
  <r>
    <x v="2"/>
    <x v="54"/>
    <d v="2026-03-03T00:00:00"/>
    <s v="2ND"/>
    <d v="1899-12-30T17:00:00"/>
    <n v="1"/>
    <x v="20"/>
    <n v="7.7999999999999996E-3"/>
    <s v="P"/>
    <s v="P"/>
    <s v="P"/>
    <s v="-"/>
    <s v="-"/>
    <n v="11.9"/>
    <s v="-"/>
    <s v="-"/>
    <s v="-"/>
    <s v="-"/>
    <s v="-"/>
    <s v="-"/>
    <s v="-"/>
    <s v="-"/>
    <s v="P"/>
    <s v="P"/>
    <s v="-"/>
    <n v="2"/>
    <n v="1"/>
    <n v="2"/>
    <n v="1"/>
    <s v="-"/>
    <s v="-"/>
    <s v="-"/>
    <s v="-"/>
    <s v="-"/>
    <s v="-"/>
    <s v="-"/>
    <n v="6"/>
    <n v="6"/>
    <s v="-"/>
    <n v="1"/>
    <n v="1"/>
    <n v="2"/>
    <n v="2"/>
    <n v="8"/>
    <n v="8"/>
  </r>
  <r>
    <x v="2"/>
    <x v="54"/>
    <d v="2026-03-03T00:00:00"/>
    <s v="2ND"/>
    <d v="1899-12-30T19:00:00"/>
    <n v="1"/>
    <x v="20"/>
    <n v="9.1000000000000004E-3"/>
    <s v="P"/>
    <s v="P"/>
    <s v="P"/>
    <s v="-"/>
    <s v="-"/>
    <n v="12.38"/>
    <s v="-"/>
    <s v="-"/>
    <s v="-"/>
    <s v="-"/>
    <s v="-"/>
    <s v="-"/>
    <s v="-"/>
    <s v="-"/>
    <s v="P"/>
    <s v="P"/>
    <s v="-"/>
    <n v="2"/>
    <n v="1"/>
    <n v="2"/>
    <n v="1"/>
    <s v="-"/>
    <s v="-"/>
    <s v="-"/>
    <s v="-"/>
    <s v="-"/>
    <s v="-"/>
    <s v="-"/>
    <n v="6"/>
    <n v="6"/>
    <s v="-"/>
    <n v="1"/>
    <n v="1"/>
    <n v="2"/>
    <n v="2"/>
    <n v="8"/>
    <n v="8"/>
  </r>
  <r>
    <x v="2"/>
    <x v="54"/>
    <d v="2026-03-03T00:00:00"/>
    <s v="2ND"/>
    <d v="1899-12-30T20:00:00"/>
    <n v="1"/>
    <x v="20"/>
    <n v="8.8000000000000005E-3"/>
    <s v="P"/>
    <s v="P"/>
    <s v="P"/>
    <s v="-"/>
    <s v="-"/>
    <n v="12.52"/>
    <s v="-"/>
    <s v="-"/>
    <s v="-"/>
    <s v="-"/>
    <s v="-"/>
    <s v="-"/>
    <s v="-"/>
    <s v="-"/>
    <s v="P"/>
    <s v="P"/>
    <s v="-"/>
    <n v="2"/>
    <n v="1"/>
    <n v="2"/>
    <n v="1"/>
    <s v="-"/>
    <s v="-"/>
    <s v="-"/>
    <s v="-"/>
    <s v="-"/>
    <s v="-"/>
    <s v="-"/>
    <n v="6"/>
    <n v="6"/>
    <s v="-"/>
    <n v="1"/>
    <n v="1"/>
    <n v="2"/>
    <n v="2"/>
    <n v="8"/>
    <n v="8"/>
  </r>
  <r>
    <x v="2"/>
    <x v="54"/>
    <s v="-"/>
    <s v="3RD"/>
    <d v="1899-12-30T22:00:00"/>
    <n v="1"/>
    <x v="20"/>
    <n v="1.24E-2"/>
    <s v="P"/>
    <s v="P"/>
    <s v="P"/>
    <s v="-"/>
    <s v="-"/>
    <n v="12.42"/>
    <n v="13.04"/>
    <s v="-"/>
    <s v="-"/>
    <s v="-"/>
    <s v="-"/>
    <n v="36.1"/>
    <s v="-"/>
    <s v="-"/>
    <s v="P"/>
    <s v="P"/>
    <s v="80% 20%"/>
    <n v="2"/>
    <n v="1"/>
    <n v="2"/>
    <n v="1"/>
    <n v="1"/>
    <s v="-"/>
    <s v="-"/>
    <s v="-"/>
    <s v="-"/>
    <n v="2"/>
    <s v="-"/>
    <n v="9"/>
    <n v="9"/>
    <s v="-"/>
    <n v="1"/>
    <n v="1"/>
    <n v="2"/>
    <n v="2"/>
    <n v="11"/>
    <n v="11"/>
  </r>
  <r>
    <x v="2"/>
    <x v="54"/>
    <d v="2026-03-03T00:00:00"/>
    <s v="3RD"/>
    <d v="1899-12-30T23:00:00"/>
    <n v="1"/>
    <x v="20"/>
    <n v="1.54E-2"/>
    <s v="P"/>
    <s v="P"/>
    <s v="P"/>
    <s v="-"/>
    <s v="-"/>
    <n v="11.99"/>
    <s v="-"/>
    <s v="-"/>
    <s v="-"/>
    <s v="-"/>
    <s v="-"/>
    <s v="-"/>
    <s v="-"/>
    <s v="-"/>
    <s v="P"/>
    <s v="P"/>
    <s v="-"/>
    <n v="2"/>
    <n v="1"/>
    <n v="2"/>
    <n v="1"/>
    <s v="-"/>
    <s v="-"/>
    <s v="-"/>
    <s v="-"/>
    <s v="-"/>
    <s v="-"/>
    <s v="-"/>
    <n v="6"/>
    <n v="6"/>
    <s v="-"/>
    <n v="1"/>
    <n v="1"/>
    <n v="2"/>
    <n v="2"/>
    <n v="8"/>
    <n v="8"/>
  </r>
  <r>
    <x v="2"/>
    <x v="54"/>
    <d v="2026-03-03T00:00:00"/>
    <s v="3RD"/>
    <d v="1899-12-31T00:00:00"/>
    <n v="1"/>
    <x v="20"/>
    <n v="1.55E-2"/>
    <s v="P"/>
    <s v="P"/>
    <s v="P"/>
    <s v="-"/>
    <s v="-"/>
    <n v="12.25"/>
    <s v="-"/>
    <s v="-"/>
    <s v="-"/>
    <s v="-"/>
    <s v="-"/>
    <s v="-"/>
    <s v="-"/>
    <s v="-"/>
    <s v="P"/>
    <s v="P"/>
    <s v="-"/>
    <n v="2"/>
    <n v="1"/>
    <n v="2"/>
    <n v="1"/>
    <s v="-"/>
    <s v="-"/>
    <s v="-"/>
    <s v="-"/>
    <s v="-"/>
    <s v="-"/>
    <s v="-"/>
    <n v="6"/>
    <n v="6"/>
    <s v="-"/>
    <n v="1"/>
    <n v="1"/>
    <n v="2"/>
    <n v="2"/>
    <n v="8"/>
    <n v="8"/>
  </r>
  <r>
    <x v="2"/>
    <x v="54"/>
    <d v="2026-03-03T00:00:00"/>
    <s v="3RD"/>
    <d v="1899-12-31T02:00:00"/>
    <n v="1"/>
    <x v="20"/>
    <n v="1.8800000000000001E-2"/>
    <s v="P"/>
    <s v="P"/>
    <s v="P"/>
    <s v="-"/>
    <s v="-"/>
    <n v="11.47"/>
    <s v="-"/>
    <s v="-"/>
    <s v="-"/>
    <s v="-"/>
    <s v="-"/>
    <s v="-"/>
    <s v="-"/>
    <s v="-"/>
    <s v="P"/>
    <s v="P"/>
    <s v="-"/>
    <n v="2"/>
    <n v="1"/>
    <n v="2"/>
    <n v="1"/>
    <s v="-"/>
    <s v="-"/>
    <s v="-"/>
    <s v="-"/>
    <s v="-"/>
    <s v="-"/>
    <s v="-"/>
    <n v="6"/>
    <n v="6"/>
    <s v="-"/>
    <n v="1"/>
    <n v="1"/>
    <n v="2"/>
    <n v="2"/>
    <n v="8"/>
    <n v="8"/>
  </r>
  <r>
    <x v="2"/>
    <x v="54"/>
    <d v="2026-03-03T00:00:00"/>
    <s v="3RD"/>
    <d v="1899-12-31T03:00:00"/>
    <n v="1"/>
    <x v="20"/>
    <n v="1.9800000000000002E-2"/>
    <s v="P"/>
    <s v="P"/>
    <s v="P"/>
    <s v="-"/>
    <s v="-"/>
    <n v="11.94"/>
    <s v="-"/>
    <s v="-"/>
    <s v="-"/>
    <s v="-"/>
    <s v="-"/>
    <s v="-"/>
    <s v="-"/>
    <s v="-"/>
    <s v="P"/>
    <s v="P"/>
    <s v="-"/>
    <n v="2"/>
    <n v="1"/>
    <n v="2"/>
    <n v="1"/>
    <s v="-"/>
    <s v="-"/>
    <s v="-"/>
    <s v="-"/>
    <s v="-"/>
    <s v="-"/>
    <s v="-"/>
    <n v="6"/>
    <n v="6"/>
    <s v="-"/>
    <n v="1"/>
    <n v="1"/>
    <n v="2"/>
    <n v="2"/>
    <n v="8"/>
    <n v="8"/>
  </r>
  <r>
    <x v="2"/>
    <x v="55"/>
    <d v="2026-03-05T00:00:00"/>
    <s v="2ND"/>
    <d v="1899-12-30T19:00:00"/>
    <n v="3"/>
    <x v="10"/>
    <n v="1.1599999999999999E-2"/>
    <s v="P"/>
    <s v="P"/>
    <s v="P"/>
    <s v="+"/>
    <s v="+"/>
    <n v="12.37"/>
    <n v="12.47"/>
    <n v="0.4"/>
    <n v="64.7"/>
    <n v="14.6"/>
    <n v="867"/>
    <n v="34.9"/>
    <s v="-"/>
    <s v="-"/>
    <s v="P"/>
    <s v="P"/>
    <n v="1"/>
    <n v="2"/>
    <n v="1"/>
    <n v="2"/>
    <n v="1"/>
    <n v="1"/>
    <n v="2"/>
    <n v="2"/>
    <n v="1"/>
    <n v="0"/>
    <n v="2"/>
    <s v="-"/>
    <n v="14"/>
    <n v="15"/>
    <s v="-"/>
    <n v="1"/>
    <n v="1"/>
    <n v="2"/>
    <n v="2"/>
    <n v="16"/>
    <n v="17"/>
  </r>
  <r>
    <x v="2"/>
    <x v="55"/>
    <d v="2026-03-05T00:00:00"/>
    <s v="2ND"/>
    <d v="1899-12-30T20:00:00"/>
    <n v="3"/>
    <x v="10"/>
    <n v="3.2000000000000002E-3"/>
    <s v="P"/>
    <s v="P"/>
    <s v="P"/>
    <s v="+"/>
    <s v="+"/>
    <n v="12.36"/>
    <s v="-"/>
    <s v="-"/>
    <s v="-"/>
    <s v="-"/>
    <s v="-"/>
    <s v="-"/>
    <s v="-"/>
    <s v="-"/>
    <s v="P"/>
    <s v="P"/>
    <s v="-"/>
    <n v="2"/>
    <n v="1"/>
    <n v="2"/>
    <n v="1"/>
    <s v="-"/>
    <s v="-"/>
    <s v="-"/>
    <s v="-"/>
    <s v="-"/>
    <s v="-"/>
    <s v="-"/>
    <n v="6"/>
    <n v="6"/>
    <s v="-"/>
    <n v="1"/>
    <n v="1"/>
    <n v="2"/>
    <n v="2"/>
    <n v="8"/>
    <n v="8"/>
  </r>
  <r>
    <x v="2"/>
    <x v="55"/>
    <d v="2026-03-06T00:00:00"/>
    <s v="1ST"/>
    <s v="10:00"/>
    <n v="3"/>
    <x v="42"/>
    <n v="1.9599999999999999E-2"/>
    <s v="P"/>
    <s v="P"/>
    <s v="P"/>
    <s v="+"/>
    <s v="+"/>
    <n v="11.413"/>
    <n v="12.27"/>
    <n v="0.37"/>
    <n v="65.7"/>
    <s v="-"/>
    <s v="-"/>
    <n v="34.200000000000003"/>
    <s v="-"/>
    <s v="-"/>
    <s v="P"/>
    <s v="P"/>
    <s v="-"/>
    <n v="2"/>
    <n v="1"/>
    <n v="2"/>
    <n v="0"/>
    <n v="0"/>
    <n v="2"/>
    <n v="2"/>
    <s v="-"/>
    <s v="-"/>
    <n v="2"/>
    <s v="-"/>
    <n v="11"/>
    <n v="13"/>
    <s v="-"/>
    <n v="1"/>
    <n v="1"/>
    <n v="2"/>
    <n v="2"/>
    <n v="13"/>
    <n v="15"/>
  </r>
  <r>
    <x v="2"/>
    <x v="55"/>
    <d v="2026-03-06T00:00:00"/>
    <s v="1ST"/>
    <s v="11:00"/>
    <n v="3"/>
    <x v="42"/>
    <n v="8.3000000000000001E-3"/>
    <s v="P"/>
    <s v="P"/>
    <s v="P"/>
    <s v="+"/>
    <s v="+"/>
    <n v="11.37"/>
    <s v="-"/>
    <s v="-"/>
    <s v="-"/>
    <s v="-"/>
    <s v="-"/>
    <s v="-"/>
    <s v="-"/>
    <s v="-"/>
    <s v="P"/>
    <s v="P"/>
    <s v="-"/>
    <n v="2"/>
    <n v="1"/>
    <n v="2"/>
    <n v="0"/>
    <s v="-"/>
    <s v="-"/>
    <s v="-"/>
    <s v="-"/>
    <s v="-"/>
    <s v="-"/>
    <s v="-"/>
    <n v="5"/>
    <n v="6"/>
    <s v="-"/>
    <n v="1"/>
    <n v="1"/>
    <n v="2"/>
    <n v="2"/>
    <n v="7"/>
    <n v="8"/>
  </r>
  <r>
    <x v="2"/>
    <x v="55"/>
    <d v="2026-03-06T00:00:00"/>
    <s v="1ST"/>
    <s v="12:00"/>
    <n v="3"/>
    <x v="42"/>
    <n v="1.01E-2"/>
    <s v="P"/>
    <s v="P"/>
    <s v="P"/>
    <s v="+"/>
    <s v="+"/>
    <n v="11.66"/>
    <s v="-"/>
    <s v="-"/>
    <s v="-"/>
    <s v="-"/>
    <s v="-"/>
    <s v="-"/>
    <s v="-"/>
    <s v="-"/>
    <s v="P"/>
    <s v="P"/>
    <s v="-"/>
    <n v="2"/>
    <n v="1"/>
    <n v="2"/>
    <n v="0"/>
    <s v="-"/>
    <s v="-"/>
    <s v="-"/>
    <s v="-"/>
    <s v="-"/>
    <s v="-"/>
    <s v="-"/>
    <n v="5"/>
    <n v="6"/>
    <s v="-"/>
    <n v="1"/>
    <n v="1"/>
    <n v="2"/>
    <n v="2"/>
    <n v="7"/>
    <n v="8"/>
  </r>
  <r>
    <x v="2"/>
    <x v="55"/>
    <d v="2026-03-06T00:00:00"/>
    <s v="1ST"/>
    <s v="13:00"/>
    <n v="3"/>
    <x v="42"/>
    <n v="2.8999999999999998E-3"/>
    <s v="P"/>
    <s v="P"/>
    <s v="P"/>
    <s v="+"/>
    <s v="+"/>
    <n v="11.84"/>
    <s v="-"/>
    <s v="-"/>
    <s v="-"/>
    <s v="-"/>
    <s v="-"/>
    <s v="-"/>
    <s v="-"/>
    <s v="-"/>
    <s v="-"/>
    <s v="-"/>
    <s v="-"/>
    <n v="2"/>
    <n v="1"/>
    <n v="2"/>
    <n v="0"/>
    <s v="-"/>
    <s v="-"/>
    <s v="-"/>
    <s v="-"/>
    <s v="-"/>
    <s v="-"/>
    <s v="-"/>
    <n v="5"/>
    <n v="6"/>
    <s v="-"/>
    <s v="-"/>
    <s v="-"/>
    <n v="0"/>
    <n v="0"/>
    <n v="5"/>
    <n v="6"/>
  </r>
  <r>
    <x v="2"/>
    <x v="55"/>
    <d v="2026-03-06T00:00:00"/>
    <s v="2ND"/>
    <d v="1899-12-30T14:00:00"/>
    <n v="3"/>
    <x v="42"/>
    <n v="9.1000000000000004E-3"/>
    <s v="P"/>
    <s v="P"/>
    <s v="P"/>
    <s v="+"/>
    <s v="+"/>
    <n v="11.79"/>
    <n v="12.7"/>
    <s v="-"/>
    <s v="-"/>
    <s v="-"/>
    <s v="-"/>
    <n v="35.6"/>
    <s v="-"/>
    <s v="-"/>
    <s v="P"/>
    <s v="P"/>
    <n v="1"/>
    <n v="2"/>
    <n v="1"/>
    <n v="2"/>
    <n v="0"/>
    <n v="0"/>
    <s v="-"/>
    <s v="-"/>
    <s v="-"/>
    <s v="-"/>
    <n v="2"/>
    <s v="-"/>
    <n v="7"/>
    <n v="9"/>
    <s v="-"/>
    <n v="1"/>
    <n v="1"/>
    <n v="2"/>
    <n v="2"/>
    <n v="9"/>
    <n v="11"/>
  </r>
  <r>
    <x v="2"/>
    <x v="55"/>
    <d v="2026-03-06T00:00:00"/>
    <s v="2ND"/>
    <d v="1899-12-30T15:00:00"/>
    <n v="3"/>
    <x v="42"/>
    <n v="2.7000000000000001E-3"/>
    <s v="P"/>
    <s v="P"/>
    <s v="P"/>
    <s v="+"/>
    <s v="+"/>
    <n v="11.92"/>
    <s v="-"/>
    <s v="-"/>
    <s v="-"/>
    <s v="-"/>
    <s v="-"/>
    <s v="-"/>
    <s v="-"/>
    <s v="-"/>
    <s v="P"/>
    <s v="P"/>
    <s v="-"/>
    <n v="2"/>
    <n v="1"/>
    <n v="2"/>
    <n v="0"/>
    <s v="-"/>
    <s v="-"/>
    <s v="-"/>
    <s v="-"/>
    <s v="-"/>
    <s v="-"/>
    <s v="-"/>
    <n v="5"/>
    <n v="6"/>
    <s v="-"/>
    <n v="1"/>
    <n v="1"/>
    <n v="2"/>
    <n v="2"/>
    <n v="7"/>
    <n v="8"/>
  </r>
  <r>
    <x v="2"/>
    <x v="55"/>
    <d v="2026-02-25T00:00:00"/>
    <s v="3RD"/>
    <d v="1899-12-30T23:00:00"/>
    <n v="3"/>
    <x v="1"/>
    <n v="1.0999999999999999E-2"/>
    <s v="P"/>
    <s v="P"/>
    <s v="P"/>
    <s v="+"/>
    <s v="+"/>
    <n v="12.1"/>
    <n v="13.06"/>
    <n v="0.57999999999999996"/>
    <n v="64.599999999999994"/>
    <n v="16.399999999999999"/>
    <n v="1058"/>
    <n v="36.700000000000003"/>
    <s v="-"/>
    <n v="25.17"/>
    <s v="P"/>
    <s v="P"/>
    <s v="85% 15%"/>
    <n v="2"/>
    <n v="1"/>
    <n v="2"/>
    <n v="1"/>
    <n v="1"/>
    <n v="2"/>
    <n v="2"/>
    <n v="1"/>
    <n v="0"/>
    <n v="2"/>
    <s v="-"/>
    <n v="14"/>
    <n v="15"/>
    <n v="1"/>
    <n v="1"/>
    <n v="1"/>
    <n v="3"/>
    <n v="3"/>
    <n v="17"/>
    <n v="18"/>
  </r>
  <r>
    <x v="2"/>
    <x v="55"/>
    <d v="2026-02-25T00:00:00"/>
    <s v="3RD"/>
    <d v="1899-12-31T00:00:00"/>
    <n v="3"/>
    <x v="1"/>
    <n v="1.2500000000000001E-2"/>
    <s v="P"/>
    <s v="P"/>
    <s v="P"/>
    <s v="+"/>
    <s v="+"/>
    <n v="12.35"/>
    <s v="-"/>
    <s v="-"/>
    <s v="-"/>
    <s v="-"/>
    <s v="-"/>
    <s v="-"/>
    <s v="-"/>
    <s v="-"/>
    <s v="P"/>
    <s v="P"/>
    <s v="-"/>
    <n v="2"/>
    <n v="1"/>
    <n v="2"/>
    <n v="1"/>
    <s v="-"/>
    <s v="-"/>
    <s v="-"/>
    <s v="-"/>
    <s v="-"/>
    <s v="-"/>
    <s v="-"/>
    <n v="6"/>
    <n v="6"/>
    <s v="-"/>
    <n v="1"/>
    <n v="1"/>
    <n v="2"/>
    <n v="2"/>
    <n v="8"/>
    <n v="8"/>
  </r>
  <r>
    <x v="2"/>
    <x v="55"/>
    <d v="2026-02-25T00:00:00"/>
    <s v="3RD"/>
    <d v="1899-12-31T01:00:00"/>
    <n v="3"/>
    <x v="1"/>
    <s v="-"/>
    <s v="P"/>
    <s v="P"/>
    <s v="P"/>
    <s v="+"/>
    <s v="+"/>
    <n v="12.42"/>
    <s v="-"/>
    <s v="-"/>
    <s v="-"/>
    <s v="-"/>
    <s v="-"/>
    <s v="-"/>
    <s v="-"/>
    <s v="-"/>
    <s v="P"/>
    <s v="P"/>
    <s v="-"/>
    <s v="-"/>
    <n v="1"/>
    <n v="2"/>
    <n v="1"/>
    <s v="-"/>
    <s v="-"/>
    <s v="-"/>
    <s v="-"/>
    <s v="-"/>
    <s v="-"/>
    <s v="-"/>
    <n v="4"/>
    <n v="4"/>
    <s v="-"/>
    <n v="1"/>
    <n v="1"/>
    <n v="2"/>
    <n v="2"/>
    <n v="6"/>
    <n v="6"/>
  </r>
  <r>
    <x v="2"/>
    <x v="55"/>
    <d v="2026-03-02T00:00:00"/>
    <s v="1ST"/>
    <s v="08:00"/>
    <n v="1"/>
    <x v="20"/>
    <n v="8.8999999999999999E-3"/>
    <s v="P"/>
    <s v="P"/>
    <s v="P"/>
    <s v="-"/>
    <s v="-"/>
    <n v="12.15"/>
    <n v="12.26"/>
    <s v="-"/>
    <n v="65.900000000000006"/>
    <n v="22.9"/>
    <n v="551"/>
    <n v="34.200000000000003"/>
    <s v="-"/>
    <n v="25.15"/>
    <s v="P"/>
    <s v="P"/>
    <s v="-"/>
    <n v="2"/>
    <n v="1"/>
    <n v="2"/>
    <n v="1"/>
    <n v="1"/>
    <s v="-"/>
    <n v="2"/>
    <s v="-"/>
    <s v="-"/>
    <n v="2"/>
    <s v="-"/>
    <n v="11"/>
    <n v="11"/>
    <n v="1"/>
    <n v="1"/>
    <n v="1"/>
    <n v="3"/>
    <n v="3"/>
    <n v="14"/>
    <n v="14"/>
  </r>
  <r>
    <x v="2"/>
    <x v="55"/>
    <d v="2026-03-02T00:00:00"/>
    <s v="1ST"/>
    <s v="11:00"/>
    <n v="1"/>
    <x v="20"/>
    <n v="7.4999999999999997E-3"/>
    <s v="P"/>
    <s v="P"/>
    <s v="P"/>
    <s v="-"/>
    <s v="-"/>
    <n v="12.21"/>
    <s v="-"/>
    <s v="-"/>
    <s v="-"/>
    <s v="-"/>
    <s v="-"/>
    <s v="-"/>
    <s v="-"/>
    <s v="-"/>
    <s v="-"/>
    <s v="-"/>
    <s v="-"/>
    <n v="2"/>
    <n v="1"/>
    <n v="2"/>
    <n v="1"/>
    <s v="-"/>
    <s v="-"/>
    <s v="-"/>
    <s v="-"/>
    <s v="-"/>
    <s v="-"/>
    <s v="-"/>
    <n v="6"/>
    <n v="6"/>
    <s v="-"/>
    <s v="-"/>
    <s v="-"/>
    <n v="0"/>
    <n v="0"/>
    <n v="6"/>
    <n v="6"/>
  </r>
  <r>
    <x v="2"/>
    <x v="55"/>
    <d v="2026-03-02T00:00:00"/>
    <s v="1ST"/>
    <s v="12:00"/>
    <n v="1"/>
    <x v="20"/>
    <n v="1.1599999999999999E-2"/>
    <s v="P"/>
    <s v="P"/>
    <s v="P"/>
    <s v="-"/>
    <s v="-"/>
    <n v="11.23"/>
    <s v="-"/>
    <s v="-"/>
    <s v="-"/>
    <s v="-"/>
    <s v="-"/>
    <s v="-"/>
    <s v="-"/>
    <s v="-"/>
    <s v="-"/>
    <s v="-"/>
    <s v="-"/>
    <n v="2"/>
    <n v="1"/>
    <n v="2"/>
    <n v="1"/>
    <s v="-"/>
    <s v="-"/>
    <s v="-"/>
    <s v="-"/>
    <s v="-"/>
    <s v="-"/>
    <s v="-"/>
    <n v="6"/>
    <n v="6"/>
    <s v="-"/>
    <s v="-"/>
    <s v="-"/>
    <n v="0"/>
    <n v="0"/>
    <n v="6"/>
    <n v="6"/>
  </r>
  <r>
    <x v="2"/>
    <x v="55"/>
    <d v="2026-03-02T00:00:00"/>
    <s v="1ST"/>
    <s v="13:00"/>
    <n v="1"/>
    <x v="20"/>
    <n v="1.2E-2"/>
    <s v="P"/>
    <s v="P"/>
    <s v="P"/>
    <s v="-"/>
    <s v="-"/>
    <n v="12.49"/>
    <s v="-"/>
    <s v="-"/>
    <s v="-"/>
    <s v="-"/>
    <s v="-"/>
    <s v="-"/>
    <s v="-"/>
    <s v="-"/>
    <s v="-"/>
    <s v="-"/>
    <s v="-"/>
    <n v="2"/>
    <n v="1"/>
    <n v="2"/>
    <n v="1"/>
    <s v="-"/>
    <s v="-"/>
    <s v="-"/>
    <s v="-"/>
    <s v="-"/>
    <s v="-"/>
    <s v="-"/>
    <n v="6"/>
    <n v="6"/>
    <s v="-"/>
    <s v="-"/>
    <s v="-"/>
    <n v="0"/>
    <n v="0"/>
    <n v="6"/>
    <n v="6"/>
  </r>
  <r>
    <x v="2"/>
    <x v="55"/>
    <s v="-"/>
    <s v="2ND"/>
    <d v="1899-12-30T14:00:00"/>
    <n v="1"/>
    <x v="20"/>
    <n v="8.3000000000000001E-3"/>
    <s v="P"/>
    <s v="P"/>
    <s v="P"/>
    <s v="-"/>
    <s v="-"/>
    <n v="12.54"/>
    <n v="12.88"/>
    <s v="-"/>
    <s v="-"/>
    <s v="-"/>
    <s v="-"/>
    <n v="36"/>
    <s v="-"/>
    <s v="-"/>
    <s v="P"/>
    <s v="P"/>
    <s v="80% 20%"/>
    <n v="2"/>
    <n v="1"/>
    <n v="2"/>
    <n v="1"/>
    <n v="1"/>
    <s v="-"/>
    <s v="-"/>
    <s v="-"/>
    <s v="-"/>
    <n v="2"/>
    <s v="-"/>
    <n v="9"/>
    <n v="9"/>
    <s v="-"/>
    <n v="1"/>
    <n v="1"/>
    <n v="2"/>
    <n v="2"/>
    <n v="11"/>
    <n v="11"/>
  </r>
  <r>
    <x v="2"/>
    <x v="55"/>
    <d v="2026-03-02T00:00:00"/>
    <s v="2ND"/>
    <d v="1899-12-30T15:00:00"/>
    <n v="1"/>
    <x v="20"/>
    <n v="1.1599999999999999E-2"/>
    <s v="P"/>
    <s v="P"/>
    <s v="P"/>
    <s v="-"/>
    <s v="-"/>
    <n v="12.61"/>
    <s v="-"/>
    <s v="-"/>
    <s v="-"/>
    <s v="-"/>
    <s v="-"/>
    <s v="-"/>
    <s v="-"/>
    <s v="-"/>
    <s v="P"/>
    <s v="P"/>
    <s v="-"/>
    <n v="2"/>
    <n v="1"/>
    <n v="2"/>
    <n v="1"/>
    <s v="-"/>
    <s v="-"/>
    <s v="-"/>
    <s v="-"/>
    <s v="-"/>
    <s v="-"/>
    <s v="-"/>
    <n v="6"/>
    <n v="6"/>
    <s v="-"/>
    <n v="1"/>
    <n v="1"/>
    <n v="2"/>
    <n v="2"/>
    <n v="8"/>
    <n v="8"/>
  </r>
  <r>
    <x v="2"/>
    <x v="55"/>
    <d v="2026-03-02T00:00:00"/>
    <s v="2ND"/>
    <d v="1899-12-30T16:00:00"/>
    <n v="1"/>
    <x v="20"/>
    <n v="1.34E-2"/>
    <s v="P"/>
    <s v="P"/>
    <s v="P"/>
    <s v="-"/>
    <s v="-"/>
    <n v="12.65"/>
    <s v="-"/>
    <s v="-"/>
    <s v="-"/>
    <s v="-"/>
    <s v="-"/>
    <s v="-"/>
    <s v="-"/>
    <s v="-"/>
    <s v="P"/>
    <s v="P"/>
    <s v="-"/>
    <n v="2"/>
    <n v="1"/>
    <n v="2"/>
    <n v="1"/>
    <s v="-"/>
    <s v="-"/>
    <s v="-"/>
    <s v="-"/>
    <s v="-"/>
    <s v="-"/>
    <s v="-"/>
    <n v="6"/>
    <n v="6"/>
    <s v="-"/>
    <n v="1"/>
    <n v="1"/>
    <n v="2"/>
    <n v="2"/>
    <n v="8"/>
    <n v="8"/>
  </r>
  <r>
    <x v="2"/>
    <x v="55"/>
    <d v="2026-03-06T00:00:00"/>
    <s v="2ND"/>
    <d v="1899-12-30T19:00:00"/>
    <n v="1"/>
    <x v="20"/>
    <n v="1.32E-2"/>
    <s v="P"/>
    <s v="P"/>
    <s v="P"/>
    <s v="-"/>
    <s v="-"/>
    <n v="10.71"/>
    <n v="12.9"/>
    <s v="-"/>
    <s v="-"/>
    <s v="-"/>
    <s v="-"/>
    <n v="35.9"/>
    <s v="-"/>
    <s v="-"/>
    <s v="P"/>
    <s v="P"/>
    <s v="80% 20%"/>
    <n v="2"/>
    <n v="1"/>
    <n v="2"/>
    <n v="0"/>
    <n v="1"/>
    <s v="-"/>
    <s v="-"/>
    <s v="-"/>
    <s v="-"/>
    <n v="2"/>
    <s v="-"/>
    <n v="8"/>
    <n v="9"/>
    <s v="-"/>
    <n v="1"/>
    <n v="1"/>
    <n v="2"/>
    <n v="2"/>
    <n v="10"/>
    <n v="11"/>
  </r>
  <r>
    <x v="2"/>
    <x v="55"/>
    <d v="2026-03-06T00:00:00"/>
    <s v="2ND"/>
    <d v="1899-12-30T20:00:00"/>
    <n v="1"/>
    <x v="20"/>
    <n v="1.23E-2"/>
    <s v="P"/>
    <s v="P"/>
    <s v="P"/>
    <s v="-"/>
    <s v="-"/>
    <n v="12.58"/>
    <s v="-"/>
    <s v="-"/>
    <s v="-"/>
    <s v="-"/>
    <s v="-"/>
    <s v="-"/>
    <s v="-"/>
    <s v="-"/>
    <s v="P"/>
    <s v="P"/>
    <s v="-"/>
    <n v="2"/>
    <n v="1"/>
    <n v="2"/>
    <n v="1"/>
    <s v="-"/>
    <s v="-"/>
    <s v="-"/>
    <s v="-"/>
    <s v="-"/>
    <s v="-"/>
    <s v="-"/>
    <n v="6"/>
    <n v="6"/>
    <s v="-"/>
    <n v="1"/>
    <n v="1"/>
    <n v="2"/>
    <n v="2"/>
    <n v="8"/>
    <n v="8"/>
  </r>
  <r>
    <x v="2"/>
    <x v="55"/>
    <s v="-"/>
    <s v="3RD"/>
    <d v="1899-12-30T22:00:00"/>
    <n v="1"/>
    <x v="20"/>
    <n v="4.8999999999999998E-3"/>
    <s v="P"/>
    <s v="P"/>
    <s v="P"/>
    <s v="-"/>
    <s v="-"/>
    <n v="12.13"/>
    <n v="12.32"/>
    <s v="-"/>
    <s v="-"/>
    <s v="-"/>
    <s v="-"/>
    <n v="34.4"/>
    <s v="-"/>
    <n v="25.14"/>
    <s v="P"/>
    <s v="P"/>
    <s v="80% 20%"/>
    <n v="2"/>
    <n v="1"/>
    <n v="2"/>
    <n v="1"/>
    <n v="1"/>
    <s v="-"/>
    <s v="-"/>
    <s v="-"/>
    <s v="-"/>
    <n v="2"/>
    <s v="-"/>
    <n v="9"/>
    <n v="9"/>
    <n v="1"/>
    <n v="1"/>
    <n v="1"/>
    <n v="3"/>
    <n v="3"/>
    <n v="12"/>
    <n v="12"/>
  </r>
  <r>
    <x v="2"/>
    <x v="55"/>
    <d v="2026-03-06T00:00:00"/>
    <s v="3RD"/>
    <d v="1899-12-30T23:00:00"/>
    <n v="1"/>
    <x v="20"/>
    <n v="2.5000000000000001E-3"/>
    <s v="P"/>
    <s v="P"/>
    <s v="P"/>
    <s v="-"/>
    <s v="-"/>
    <n v="12.17"/>
    <s v="-"/>
    <s v="-"/>
    <s v="-"/>
    <s v="-"/>
    <s v="-"/>
    <s v="-"/>
    <s v="-"/>
    <s v="-"/>
    <s v="P"/>
    <s v="P"/>
    <s v="-"/>
    <n v="2"/>
    <n v="1"/>
    <n v="2"/>
    <n v="1"/>
    <s v="-"/>
    <s v="-"/>
    <s v="-"/>
    <s v="-"/>
    <s v="-"/>
    <s v="-"/>
    <s v="-"/>
    <n v="6"/>
    <n v="6"/>
    <s v="-"/>
    <n v="1"/>
    <n v="1"/>
    <n v="2"/>
    <n v="2"/>
    <n v="8"/>
    <n v="8"/>
  </r>
  <r>
    <x v="2"/>
    <x v="55"/>
    <d v="2026-03-06T00:00:00"/>
    <s v="3RD"/>
    <d v="1899-12-31T00:00:00"/>
    <n v="1"/>
    <x v="20"/>
    <n v="2.2000000000000001E-3"/>
    <s v="P"/>
    <s v="P"/>
    <s v="P"/>
    <s v="-"/>
    <s v="-"/>
    <n v="12.28"/>
    <s v="-"/>
    <s v="-"/>
    <s v="-"/>
    <s v="-"/>
    <s v="-"/>
    <s v="-"/>
    <s v="-"/>
    <s v="-"/>
    <s v="P"/>
    <s v="P"/>
    <s v="-"/>
    <n v="2"/>
    <n v="1"/>
    <n v="2"/>
    <n v="1"/>
    <s v="-"/>
    <s v="-"/>
    <s v="-"/>
    <s v="-"/>
    <s v="-"/>
    <s v="-"/>
    <s v="-"/>
    <n v="6"/>
    <n v="6"/>
    <s v="-"/>
    <n v="1"/>
    <n v="1"/>
    <n v="2"/>
    <n v="2"/>
    <n v="8"/>
    <n v="8"/>
  </r>
  <r>
    <x v="2"/>
    <x v="55"/>
    <d v="2026-03-06T00:00:00"/>
    <s v="3RD"/>
    <d v="1899-12-31T01:00:00"/>
    <n v="1"/>
    <x v="20"/>
    <n v="7.9000000000000008E-3"/>
    <s v="P"/>
    <s v="P"/>
    <s v="P"/>
    <s v="-"/>
    <s v="-"/>
    <n v="12.17"/>
    <s v="-"/>
    <s v="-"/>
    <s v="-"/>
    <s v="-"/>
    <s v="-"/>
    <s v="-"/>
    <s v="-"/>
    <s v="-"/>
    <s v="P"/>
    <s v="P"/>
    <s v="-"/>
    <n v="2"/>
    <n v="1"/>
    <n v="2"/>
    <n v="1"/>
    <s v="-"/>
    <s v="-"/>
    <s v="-"/>
    <s v="-"/>
    <s v="-"/>
    <s v="-"/>
    <s v="-"/>
    <n v="6"/>
    <n v="6"/>
    <s v="-"/>
    <n v="1"/>
    <n v="1"/>
    <n v="2"/>
    <n v="2"/>
    <n v="8"/>
    <n v="8"/>
  </r>
  <r>
    <x v="2"/>
    <x v="55"/>
    <d v="2026-03-06T00:00:00"/>
    <s v="3RD"/>
    <d v="1899-12-31T02:00:00"/>
    <n v="1"/>
    <x v="20"/>
    <n v="7.0000000000000001E-3"/>
    <s v="P"/>
    <s v="P"/>
    <s v="P"/>
    <s v="-"/>
    <s v="-"/>
    <n v="12.28"/>
    <s v="-"/>
    <s v="-"/>
    <s v="-"/>
    <s v="-"/>
    <s v="-"/>
    <s v="-"/>
    <s v="-"/>
    <s v="-"/>
    <s v="P"/>
    <s v="P"/>
    <s v="-"/>
    <n v="2"/>
    <n v="1"/>
    <n v="2"/>
    <n v="1"/>
    <s v="-"/>
    <s v="-"/>
    <s v="-"/>
    <s v="-"/>
    <s v="-"/>
    <s v="-"/>
    <s v="-"/>
    <n v="6"/>
    <n v="6"/>
    <s v="-"/>
    <n v="1"/>
    <n v="1"/>
    <n v="2"/>
    <n v="2"/>
    <n v="8"/>
    <n v="8"/>
  </r>
  <r>
    <x v="2"/>
    <x v="55"/>
    <d v="2026-03-06T00:00:00"/>
    <s v="3RD"/>
    <d v="1899-12-31T03:00:00"/>
    <n v="1"/>
    <x v="20"/>
    <n v="6.1999999999999998E-3"/>
    <s v="P"/>
    <s v="P"/>
    <s v="P"/>
    <s v="-"/>
    <s v="-"/>
    <n v="11.38"/>
    <s v="-"/>
    <s v="-"/>
    <s v="-"/>
    <s v="-"/>
    <s v="-"/>
    <s v="-"/>
    <s v="-"/>
    <s v="-"/>
    <s v="P"/>
    <s v="P"/>
    <s v="-"/>
    <n v="2"/>
    <n v="1"/>
    <n v="2"/>
    <n v="1"/>
    <s v="-"/>
    <s v="-"/>
    <s v="-"/>
    <s v="-"/>
    <s v="-"/>
    <s v="-"/>
    <s v="-"/>
    <n v="6"/>
    <n v="6"/>
    <s v="-"/>
    <n v="1"/>
    <n v="1"/>
    <n v="2"/>
    <n v="2"/>
    <n v="8"/>
    <n v="8"/>
  </r>
  <r>
    <x v="2"/>
    <x v="55"/>
    <d v="2026-03-06T00:00:00"/>
    <s v="3RD"/>
    <d v="1899-12-31T04:00:00"/>
    <n v="1"/>
    <x v="20"/>
    <n v="6.4999999999999997E-3"/>
    <s v="P"/>
    <s v="P"/>
    <s v="P"/>
    <s v="-"/>
    <s v="-"/>
    <n v="11.83"/>
    <s v="-"/>
    <s v="-"/>
    <s v="-"/>
    <s v="-"/>
    <s v="-"/>
    <s v="-"/>
    <s v="-"/>
    <s v="-"/>
    <s v="P"/>
    <s v="P"/>
    <s v="-"/>
    <n v="2"/>
    <n v="1"/>
    <n v="2"/>
    <n v="1"/>
    <s v="-"/>
    <s v="-"/>
    <s v="-"/>
    <s v="-"/>
    <s v="-"/>
    <s v="-"/>
    <s v="-"/>
    <n v="6"/>
    <n v="6"/>
    <s v="-"/>
    <n v="1"/>
    <n v="1"/>
    <n v="2"/>
    <n v="2"/>
    <n v="8"/>
    <n v="8"/>
  </r>
  <r>
    <x v="2"/>
    <x v="55"/>
    <d v="1899-12-30T00:00:00"/>
    <s v="3RD"/>
    <d v="1899-12-31T00:00:00"/>
    <n v="2"/>
    <x v="15"/>
    <n v="1.9E-3"/>
    <s v="P"/>
    <s v="P"/>
    <s v="P"/>
    <s v="-"/>
    <s v="+"/>
    <n v="10.82"/>
    <n v="8.3000000000000007"/>
    <n v="0.46"/>
    <n v="55.9"/>
    <n v="14.1"/>
    <n v="338"/>
    <n v="22.35"/>
    <s v="-"/>
    <s v="-"/>
    <s v="P"/>
    <s v="P"/>
    <s v="-"/>
    <n v="2"/>
    <n v="1"/>
    <n v="2"/>
    <n v="0"/>
    <n v="0"/>
    <n v="2"/>
    <n v="2"/>
    <n v="1"/>
    <n v="1"/>
    <n v="2"/>
    <s v="-"/>
    <n v="13"/>
    <n v="15"/>
    <s v="-"/>
    <n v="1"/>
    <n v="1"/>
    <n v="2"/>
    <n v="2"/>
    <n v="15"/>
    <n v="17"/>
  </r>
  <r>
    <x v="2"/>
    <x v="55"/>
    <d v="1899-12-30T00:00:00"/>
    <s v="3RD"/>
    <d v="1899-12-31T01:00:00"/>
    <n v="2"/>
    <x v="15"/>
    <n v="2.3E-3"/>
    <s v="P"/>
    <s v="P"/>
    <s v="P"/>
    <s v="-"/>
    <s v="+"/>
    <n v="10.89"/>
    <s v="-"/>
    <s v="-"/>
    <s v="-"/>
    <s v="-"/>
    <s v="-"/>
    <s v="-"/>
    <s v="-"/>
    <s v="-"/>
    <s v="P"/>
    <s v="P"/>
    <s v="-"/>
    <n v="2"/>
    <n v="1"/>
    <n v="2"/>
    <n v="0"/>
    <s v="-"/>
    <s v="-"/>
    <s v="-"/>
    <s v="-"/>
    <s v="-"/>
    <s v="-"/>
    <s v="-"/>
    <n v="5"/>
    <n v="6"/>
    <s v="-"/>
    <n v="1"/>
    <n v="1"/>
    <n v="2"/>
    <n v="2"/>
    <n v="7"/>
    <n v="8"/>
  </r>
  <r>
    <x v="2"/>
    <x v="55"/>
    <d v="1899-12-30T00:00:00"/>
    <s v="3RD"/>
    <d v="1899-12-31T02:00:00"/>
    <n v="2"/>
    <x v="15"/>
    <n v="5.7999999999999996E-3"/>
    <s v="P"/>
    <s v="P"/>
    <s v="P"/>
    <s v="-"/>
    <s v="+"/>
    <n v="11.05"/>
    <s v="-"/>
    <s v="-"/>
    <s v="-"/>
    <s v="-"/>
    <s v="-"/>
    <s v="-"/>
    <s v="-"/>
    <s v="-"/>
    <s v="P"/>
    <s v="P"/>
    <s v="-"/>
    <n v="2"/>
    <n v="1"/>
    <n v="2"/>
    <n v="1"/>
    <s v="-"/>
    <s v="-"/>
    <s v="-"/>
    <s v="-"/>
    <s v="-"/>
    <s v="-"/>
    <s v="-"/>
    <n v="6"/>
    <n v="6"/>
    <s v="-"/>
    <n v="1"/>
    <n v="1"/>
    <n v="2"/>
    <n v="2"/>
    <n v="8"/>
    <n v="8"/>
  </r>
  <r>
    <x v="2"/>
    <x v="55"/>
    <d v="1899-12-30T00:00:00"/>
    <s v="3RD"/>
    <d v="1899-12-31T03:00:00"/>
    <n v="2"/>
    <x v="15"/>
    <n v="5.4999999999999997E-3"/>
    <s v="P"/>
    <s v="P"/>
    <s v="P"/>
    <s v="-"/>
    <s v="+"/>
    <n v="10.98"/>
    <s v="-"/>
    <s v="-"/>
    <s v="-"/>
    <s v="-"/>
    <s v="-"/>
    <s v="-"/>
    <s v="-"/>
    <s v="-"/>
    <s v="P"/>
    <s v="P"/>
    <s v="-"/>
    <n v="2"/>
    <n v="1"/>
    <n v="2"/>
    <n v="0"/>
    <s v="-"/>
    <s v="-"/>
    <s v="-"/>
    <s v="-"/>
    <s v="-"/>
    <s v="-"/>
    <s v="-"/>
    <n v="5"/>
    <n v="6"/>
    <s v="-"/>
    <n v="1"/>
    <n v="1"/>
    <n v="2"/>
    <n v="2"/>
    <n v="7"/>
    <n v="8"/>
  </r>
  <r>
    <x v="2"/>
    <x v="55"/>
    <d v="1899-12-30T00:00:00"/>
    <s v="3RD"/>
    <d v="1899-12-31T04:00:00"/>
    <n v="2"/>
    <x v="15"/>
    <n v="3.2000000000000002E-3"/>
    <s v="P"/>
    <s v="P"/>
    <s v="P"/>
    <s v="-"/>
    <s v="+"/>
    <n v="10.93"/>
    <s v="-"/>
    <s v="-"/>
    <s v="-"/>
    <s v="-"/>
    <s v="-"/>
    <s v="-"/>
    <s v="-"/>
    <s v="-"/>
    <s v="P"/>
    <s v="P"/>
    <s v="-"/>
    <n v="2"/>
    <n v="1"/>
    <n v="2"/>
    <n v="0"/>
    <s v="-"/>
    <s v="-"/>
    <s v="-"/>
    <s v="-"/>
    <s v="-"/>
    <s v="-"/>
    <s v="-"/>
    <n v="5"/>
    <n v="6"/>
    <s v="-"/>
    <n v="1"/>
    <n v="1"/>
    <n v="2"/>
    <n v="2"/>
    <n v="7"/>
    <n v="8"/>
  </r>
  <r>
    <x v="2"/>
    <x v="55"/>
    <d v="1899-12-30T00:00:00"/>
    <s v="2ND"/>
    <d v="1899-12-30T19:00:00"/>
    <n v="2"/>
    <x v="4"/>
    <n v="7.1000000000000004E-3"/>
    <s v="P"/>
    <s v="P"/>
    <s v="P"/>
    <s v="-"/>
    <s v="+"/>
    <n v="11.24"/>
    <s v="-"/>
    <s v="-"/>
    <s v="-"/>
    <s v="-"/>
    <s v="-"/>
    <s v="-"/>
    <s v="-"/>
    <s v="-"/>
    <s v="P"/>
    <s v="P"/>
    <s v="-"/>
    <n v="2"/>
    <n v="1"/>
    <n v="2"/>
    <n v="1"/>
    <s v="-"/>
    <s v="-"/>
    <s v="-"/>
    <s v="-"/>
    <s v="-"/>
    <s v="-"/>
    <s v="-"/>
    <n v="6"/>
    <n v="6"/>
    <s v="-"/>
    <n v="1"/>
    <n v="1"/>
    <n v="2"/>
    <n v="2"/>
    <n v="8"/>
    <n v="8"/>
  </r>
  <r>
    <x v="2"/>
    <x v="55"/>
    <d v="1899-12-30T00:00:00"/>
    <s v="2ND"/>
    <d v="1899-12-30T20:00:00"/>
    <n v="2"/>
    <x v="4"/>
    <n v="5.8999999999999999E-3"/>
    <s v="P"/>
    <s v="P"/>
    <s v="P"/>
    <s v="-"/>
    <s v="+"/>
    <n v="11.08"/>
    <s v="-"/>
    <s v="-"/>
    <s v="-"/>
    <s v="-"/>
    <s v="-"/>
    <s v="-"/>
    <s v="-"/>
    <s v="-"/>
    <s v="P"/>
    <s v="P"/>
    <s v="-"/>
    <n v="2"/>
    <n v="1"/>
    <n v="2"/>
    <n v="1"/>
    <s v="-"/>
    <s v="-"/>
    <s v="-"/>
    <s v="-"/>
    <s v="-"/>
    <s v="-"/>
    <s v="-"/>
    <n v="6"/>
    <n v="6"/>
    <s v="-"/>
    <n v="1"/>
    <n v="1"/>
    <n v="2"/>
    <n v="2"/>
    <n v="8"/>
    <n v="8"/>
  </r>
  <r>
    <x v="2"/>
    <x v="55"/>
    <d v="1899-12-30T00:00:00"/>
    <s v="2ND"/>
    <d v="1899-12-30T21:00:00"/>
    <n v="2"/>
    <x v="4"/>
    <n v="2.3E-3"/>
    <s v="P"/>
    <s v="P"/>
    <s v="P"/>
    <s v="-"/>
    <s v="+"/>
    <n v="11.24"/>
    <s v="-"/>
    <s v="-"/>
    <s v="-"/>
    <s v="-"/>
    <s v="-"/>
    <s v="-"/>
    <s v="-"/>
    <s v="-"/>
    <s v="P"/>
    <s v="P"/>
    <s v="-"/>
    <n v="2"/>
    <n v="1"/>
    <n v="2"/>
    <n v="1"/>
    <s v="-"/>
    <s v="-"/>
    <s v="-"/>
    <s v="-"/>
    <s v="-"/>
    <s v="-"/>
    <s v="-"/>
    <n v="6"/>
    <n v="6"/>
    <s v="-"/>
    <n v="1"/>
    <n v="1"/>
    <n v="2"/>
    <n v="2"/>
    <n v="8"/>
    <n v="8"/>
  </r>
  <r>
    <x v="2"/>
    <x v="55"/>
    <d v="1902-03-26T00:00:00"/>
    <s v="3RD"/>
    <d v="1899-12-30T22:00:00"/>
    <n v="2"/>
    <x v="4"/>
    <n v="8.5000000000000006E-3"/>
    <s v="P"/>
    <s v="P"/>
    <s v="P"/>
    <s v="-"/>
    <s v="+"/>
    <n v="11.83"/>
    <n v="8.5"/>
    <s v="-"/>
    <s v="-"/>
    <s v="-"/>
    <s v="-"/>
    <n v="22.85"/>
    <s v="-"/>
    <n v="25.13"/>
    <s v="P"/>
    <s v="P"/>
    <s v="-"/>
    <n v="2"/>
    <n v="1"/>
    <n v="2"/>
    <n v="1"/>
    <n v="1"/>
    <s v="-"/>
    <s v="-"/>
    <s v="-"/>
    <s v="-"/>
    <n v="2"/>
    <s v="-"/>
    <n v="9"/>
    <n v="9"/>
    <n v="1"/>
    <n v="1"/>
    <n v="1"/>
    <n v="3"/>
    <n v="3"/>
    <n v="12"/>
    <n v="12"/>
  </r>
  <r>
    <x v="2"/>
    <x v="55"/>
    <d v="1899-12-30T00:00:00"/>
    <s v="1ST"/>
    <s v="10:00"/>
    <n v="2"/>
    <x v="21"/>
    <n v="3.8E-3"/>
    <s v="P"/>
    <s v="P"/>
    <s v="P"/>
    <s v="-"/>
    <s v="+"/>
    <n v="11.11"/>
    <n v="8.39"/>
    <n v="0.56999999999999995"/>
    <n v="54.3"/>
    <n v="11.7"/>
    <n v="390"/>
    <n v="22.5"/>
    <s v="-"/>
    <n v="25.14"/>
    <s v="P"/>
    <s v="P"/>
    <s v="-"/>
    <n v="2"/>
    <n v="1"/>
    <n v="2"/>
    <n v="1"/>
    <s v="-"/>
    <n v="0"/>
    <n v="2"/>
    <n v="1"/>
    <n v="1"/>
    <n v="2"/>
    <s v="-"/>
    <n v="12"/>
    <n v="14"/>
    <n v="1"/>
    <n v="1"/>
    <n v="1"/>
    <n v="3"/>
    <n v="3"/>
    <n v="15"/>
    <n v="17"/>
  </r>
  <r>
    <x v="2"/>
    <x v="55"/>
    <d v="1899-12-30T00:00:00"/>
    <s v="1ST"/>
    <s v="11:00"/>
    <n v="2"/>
    <x v="21"/>
    <n v="5.1000000000000004E-3"/>
    <s v="P"/>
    <s v="P"/>
    <s v="P"/>
    <s v="-"/>
    <s v="+"/>
    <n v="11"/>
    <s v="-"/>
    <s v="-"/>
    <s v="-"/>
    <s v="-"/>
    <s v="-"/>
    <s v="-"/>
    <s v="-"/>
    <s v="-"/>
    <s v="P"/>
    <s v="P"/>
    <s v="-"/>
    <n v="2"/>
    <n v="1"/>
    <n v="2"/>
    <n v="1"/>
    <s v="-"/>
    <s v="-"/>
    <s v="-"/>
    <s v="-"/>
    <s v="-"/>
    <s v="-"/>
    <s v="-"/>
    <n v="6"/>
    <n v="6"/>
    <s v="-"/>
    <n v="1"/>
    <n v="1"/>
    <n v="2"/>
    <n v="2"/>
    <n v="8"/>
    <n v="8"/>
  </r>
  <r>
    <x v="2"/>
    <x v="55"/>
    <d v="1899-12-30T00:00:00"/>
    <s v="1ST"/>
    <s v="12:00"/>
    <n v="2"/>
    <x v="21"/>
    <n v="7.3000000000000001E-3"/>
    <s v="P"/>
    <s v="P"/>
    <s v="P"/>
    <s v="-"/>
    <s v="+"/>
    <n v="11.18"/>
    <s v="-"/>
    <s v="-"/>
    <s v="-"/>
    <s v="-"/>
    <s v="-"/>
    <s v="-"/>
    <s v="-"/>
    <s v="-"/>
    <s v="P"/>
    <s v="P"/>
    <s v="-"/>
    <n v="2"/>
    <n v="1"/>
    <n v="2"/>
    <n v="1"/>
    <s v="-"/>
    <s v="-"/>
    <s v="-"/>
    <s v="-"/>
    <s v="-"/>
    <s v="-"/>
    <s v="-"/>
    <n v="6"/>
    <n v="6"/>
    <s v="-"/>
    <n v="1"/>
    <n v="1"/>
    <n v="2"/>
    <n v="2"/>
    <n v="8"/>
    <n v="8"/>
  </r>
  <r>
    <x v="2"/>
    <x v="55"/>
    <d v="1899-12-30T00:00:00"/>
    <s v="1ST"/>
    <s v="13:00"/>
    <n v="2"/>
    <x v="21"/>
    <n v="8.5000000000000006E-3"/>
    <s v="P"/>
    <s v="P"/>
    <s v="P"/>
    <s v="-"/>
    <s v="+"/>
    <n v="11.59"/>
    <s v="-"/>
    <s v="-"/>
    <s v="-"/>
    <s v="-"/>
    <s v="-"/>
    <s v="-"/>
    <s v="-"/>
    <s v="-"/>
    <s v="-"/>
    <s v="-"/>
    <s v="-"/>
    <n v="2"/>
    <n v="1"/>
    <n v="2"/>
    <n v="1"/>
    <s v="-"/>
    <s v="-"/>
    <s v="-"/>
    <s v="-"/>
    <s v="-"/>
    <s v="-"/>
    <s v="-"/>
    <n v="6"/>
    <n v="6"/>
    <s v="-"/>
    <s v="-"/>
    <s v="-"/>
    <n v="0"/>
    <n v="0"/>
    <n v="6"/>
    <n v="6"/>
  </r>
  <r>
    <x v="2"/>
    <x v="55"/>
    <d v="1902-03-26T00:00:00"/>
    <s v="2ND"/>
    <d v="1899-12-30T14:00:00"/>
    <n v="2"/>
    <x v="21"/>
    <n v="3.0999999999999999E-3"/>
    <s v="P"/>
    <s v="P"/>
    <s v="P"/>
    <s v="-"/>
    <s v="+"/>
    <n v="10.93"/>
    <n v="8.4"/>
    <s v="-"/>
    <s v="-"/>
    <s v="-"/>
    <s v="-"/>
    <n v="22.5"/>
    <s v="-"/>
    <s v="-"/>
    <s v="P"/>
    <s v="P"/>
    <s v="-"/>
    <n v="2"/>
    <n v="1"/>
    <n v="2"/>
    <n v="0"/>
    <s v="-"/>
    <s v="-"/>
    <s v="-"/>
    <s v="-"/>
    <s v="-"/>
    <n v="2"/>
    <s v="-"/>
    <n v="7"/>
    <n v="8"/>
    <s v="-"/>
    <n v="1"/>
    <n v="1"/>
    <n v="2"/>
    <n v="2"/>
    <n v="9"/>
    <n v="10"/>
  </r>
  <r>
    <x v="2"/>
    <x v="55"/>
    <d v="1899-12-30T00:00:00"/>
    <s v="2ND"/>
    <d v="1899-12-30T15:00:00"/>
    <n v="2"/>
    <x v="21"/>
    <n v="2.3999999999999998E-3"/>
    <s v="P"/>
    <s v="P"/>
    <s v="P"/>
    <s v="-"/>
    <s v="+"/>
    <n v="10.84"/>
    <s v="-"/>
    <s v="-"/>
    <s v="-"/>
    <s v="-"/>
    <s v="-"/>
    <s v="-"/>
    <s v="-"/>
    <s v="-"/>
    <s v="P"/>
    <s v="P"/>
    <s v="-"/>
    <n v="2"/>
    <n v="1"/>
    <n v="2"/>
    <n v="0"/>
    <s v="-"/>
    <s v="-"/>
    <s v="-"/>
    <s v="-"/>
    <s v="-"/>
    <s v="-"/>
    <s v="-"/>
    <n v="5"/>
    <n v="6"/>
    <s v="-"/>
    <n v="1"/>
    <n v="1"/>
    <n v="2"/>
    <n v="2"/>
    <n v="7"/>
    <n v="8"/>
  </r>
  <r>
    <x v="2"/>
    <x v="55"/>
    <d v="1899-12-30T00:00:00"/>
    <s v="2ND"/>
    <d v="1899-12-30T14:00:00"/>
    <s v="Retail"/>
    <x v="9"/>
    <s v="-"/>
    <s v="-"/>
    <s v="-"/>
    <s v="-"/>
    <s v="-"/>
    <s v="-"/>
    <n v="10.18"/>
    <s v="-"/>
    <s v="-"/>
    <s v="-"/>
    <s v="-"/>
    <s v="-"/>
    <s v="-"/>
    <s v="-"/>
    <s v="-"/>
    <s v="-"/>
    <s v="-"/>
    <s v="-"/>
    <s v="-"/>
    <s v="-"/>
    <s v="-"/>
    <n v="1"/>
    <s v="-"/>
    <s v="-"/>
    <s v="-"/>
    <s v="-"/>
    <s v="-"/>
    <s v="-"/>
    <s v="-"/>
    <n v="1"/>
    <n v="1"/>
    <s v="-"/>
    <s v="-"/>
    <s v="-"/>
    <n v="0"/>
    <n v="0"/>
    <n v="1"/>
    <n v="1"/>
  </r>
  <r>
    <x v="2"/>
    <x v="56"/>
    <d v="1902-03-26T00:00:00"/>
    <s v="2ND"/>
    <d v="1899-12-30T18:00:00"/>
    <n v="2"/>
    <x v="2"/>
    <n v="1.9699999999999999E-2"/>
    <s v="P"/>
    <s v="P"/>
    <s v="P"/>
    <s v="-"/>
    <s v="+"/>
    <n v="10.220000000000001"/>
    <n v="8.4700000000000006"/>
    <n v="0.61"/>
    <n v="56.7"/>
    <n v="13.6"/>
    <n v="232"/>
    <n v="22.92"/>
    <s v="-"/>
    <s v="-"/>
    <s v="P"/>
    <s v="P"/>
    <s v="-"/>
    <n v="2"/>
    <n v="1"/>
    <n v="2"/>
    <n v="0"/>
    <n v="0"/>
    <n v="0"/>
    <n v="0"/>
    <n v="1"/>
    <n v="0"/>
    <n v="0"/>
    <s v="-"/>
    <n v="6"/>
    <n v="15"/>
    <s v="-"/>
    <n v="1"/>
    <n v="1"/>
    <n v="2"/>
    <n v="2"/>
    <n v="8"/>
    <n v="17"/>
  </r>
  <r>
    <x v="2"/>
    <x v="56"/>
    <d v="1899-12-30T00:00:00"/>
    <s v="2ND"/>
    <d v="1899-12-30T20:00:00"/>
    <n v="2"/>
    <x v="2"/>
    <n v="8.6999999999999994E-3"/>
    <s v="P"/>
    <s v="P"/>
    <s v="P"/>
    <s v="-"/>
    <s v="+"/>
    <n v="10.99"/>
    <s v="-"/>
    <s v="-"/>
    <s v="-"/>
    <s v="-"/>
    <s v="-"/>
    <s v="-"/>
    <s v="-"/>
    <s v="-"/>
    <s v="P"/>
    <s v="P"/>
    <s v="-"/>
    <n v="2"/>
    <n v="1"/>
    <n v="2"/>
    <n v="0"/>
    <s v="-"/>
    <s v="-"/>
    <s v="-"/>
    <s v="-"/>
    <s v="-"/>
    <s v="-"/>
    <s v="-"/>
    <n v="5"/>
    <n v="6"/>
    <s v="-"/>
    <n v="1"/>
    <n v="1"/>
    <n v="2"/>
    <n v="2"/>
    <n v="7"/>
    <n v="8"/>
  </r>
  <r>
    <x v="2"/>
    <x v="56"/>
    <d v="1899-12-30T00:00:00"/>
    <s v="2ND"/>
    <d v="1899-12-30T21:00:00"/>
    <n v="2"/>
    <x v="2"/>
    <n v="7.6E-3"/>
    <s v="P"/>
    <s v="P"/>
    <s v="P"/>
    <s v="-"/>
    <s v="+"/>
    <n v="11.18"/>
    <s v="-"/>
    <s v="-"/>
    <s v="-"/>
    <s v="-"/>
    <s v="-"/>
    <s v="-"/>
    <s v="-"/>
    <s v="-"/>
    <s v="P"/>
    <s v="P"/>
    <s v="-"/>
    <n v="2"/>
    <n v="1"/>
    <n v="2"/>
    <n v="0"/>
    <s v="-"/>
    <s v="-"/>
    <s v="-"/>
    <s v="-"/>
    <s v="-"/>
    <s v="-"/>
    <s v="-"/>
    <n v="5"/>
    <n v="6"/>
    <s v="-"/>
    <n v="1"/>
    <n v="1"/>
    <n v="2"/>
    <n v="2"/>
    <n v="7"/>
    <n v="8"/>
  </r>
  <r>
    <x v="2"/>
    <x v="56"/>
    <d v="1902-03-26T00:00:00"/>
    <s v="3RD"/>
    <d v="1899-12-30T22:00:00"/>
    <n v="2"/>
    <x v="2"/>
    <n v="7.4999999999999997E-3"/>
    <s v="P"/>
    <s v="P"/>
    <s v="P"/>
    <s v="-"/>
    <s v="+"/>
    <n v="11.03"/>
    <n v="8.6999999999999993"/>
    <s v="-"/>
    <s v="-"/>
    <s v="-"/>
    <s v="-"/>
    <n v="23.51"/>
    <s v="-"/>
    <n v="25.17"/>
    <s v="P"/>
    <s v="P"/>
    <s v="-"/>
    <n v="2"/>
    <n v="1"/>
    <n v="2"/>
    <n v="0"/>
    <n v="0"/>
    <s v="-"/>
    <s v="-"/>
    <s v="-"/>
    <s v="-"/>
    <n v="0"/>
    <s v="-"/>
    <n v="5"/>
    <n v="9"/>
    <n v="1"/>
    <n v="1"/>
    <n v="1"/>
    <n v="3"/>
    <n v="3"/>
    <n v="8"/>
    <n v="12"/>
  </r>
  <r>
    <x v="2"/>
    <x v="56"/>
    <d v="1899-12-30T00:00:00"/>
    <s v="3RD"/>
    <d v="1899-12-30T23:00:00"/>
    <n v="2"/>
    <x v="2"/>
    <n v="7.0000000000000001E-3"/>
    <s v="P"/>
    <s v="P"/>
    <s v="P"/>
    <s v="-"/>
    <s v="+"/>
    <n v="10.61"/>
    <s v="-"/>
    <s v="-"/>
    <s v="-"/>
    <s v="-"/>
    <s v="-"/>
    <s v="-"/>
    <s v="-"/>
    <s v="-"/>
    <s v="P"/>
    <s v="P"/>
    <s v="-"/>
    <n v="2"/>
    <n v="1"/>
    <n v="2"/>
    <n v="0"/>
    <s v="-"/>
    <s v="-"/>
    <s v="-"/>
    <s v="-"/>
    <s v="-"/>
    <s v="-"/>
    <s v="-"/>
    <n v="5"/>
    <n v="6"/>
    <s v="-"/>
    <n v="1"/>
    <n v="1"/>
    <n v="2"/>
    <n v="2"/>
    <n v="7"/>
    <n v="8"/>
  </r>
  <r>
    <x v="2"/>
    <x v="56"/>
    <d v="1899-12-30T00:00:00"/>
    <s v="3RD"/>
    <d v="1899-12-31T01:00:00"/>
    <n v="2"/>
    <x v="2"/>
    <n v="9.1000000000000004E-3"/>
    <s v="P"/>
    <s v="P"/>
    <s v="P"/>
    <s v="-"/>
    <s v="+"/>
    <n v="10.96"/>
    <s v="-"/>
    <s v="-"/>
    <s v="-"/>
    <s v="-"/>
    <s v="-"/>
    <s v="-"/>
    <s v="-"/>
    <s v="-"/>
    <s v="P"/>
    <s v="P"/>
    <s v="-"/>
    <n v="2"/>
    <n v="1"/>
    <n v="2"/>
    <n v="0"/>
    <s v="-"/>
    <s v="-"/>
    <s v="-"/>
    <s v="-"/>
    <s v="-"/>
    <s v="-"/>
    <s v="-"/>
    <n v="5"/>
    <n v="6"/>
    <s v="-"/>
    <n v="1"/>
    <n v="1"/>
    <n v="2"/>
    <n v="2"/>
    <n v="7"/>
    <n v="8"/>
  </r>
  <r>
    <x v="2"/>
    <x v="56"/>
    <d v="1899-12-30T00:00:00"/>
    <s v="3RD"/>
    <d v="1899-12-31T02:00:00"/>
    <n v="2"/>
    <x v="2"/>
    <n v="7.3000000000000001E-3"/>
    <s v="P"/>
    <s v="P"/>
    <s v="P"/>
    <s v="-"/>
    <s v="+"/>
    <n v="10.85"/>
    <s v="-"/>
    <s v="-"/>
    <s v="-"/>
    <s v="-"/>
    <s v="-"/>
    <s v="-"/>
    <s v="-"/>
    <s v="-"/>
    <s v="P"/>
    <s v="P"/>
    <s v="-"/>
    <n v="2"/>
    <n v="1"/>
    <n v="2"/>
    <n v="0"/>
    <s v="-"/>
    <s v="-"/>
    <s v="-"/>
    <s v="-"/>
    <s v="-"/>
    <s v="-"/>
    <s v="-"/>
    <n v="5"/>
    <n v="6"/>
    <s v="-"/>
    <n v="1"/>
    <n v="1"/>
    <n v="2"/>
    <n v="2"/>
    <n v="7"/>
    <n v="8"/>
  </r>
  <r>
    <x v="2"/>
    <x v="56"/>
    <d v="1899-12-30T00:00:00"/>
    <s v="3RD"/>
    <d v="1899-12-31T04:00:00"/>
    <n v="2"/>
    <x v="2"/>
    <n v="8.8999999999999999E-3"/>
    <s v="P"/>
    <s v="P"/>
    <s v="P"/>
    <s v="-"/>
    <s v="+"/>
    <n v="10.77"/>
    <s v="-"/>
    <s v="-"/>
    <s v="-"/>
    <s v="-"/>
    <s v="-"/>
    <s v="-"/>
    <s v="-"/>
    <s v="-"/>
    <s v="P"/>
    <s v="P"/>
    <s v="-"/>
    <n v="2"/>
    <n v="1"/>
    <n v="2"/>
    <n v="0"/>
    <s v="-"/>
    <s v="-"/>
    <s v="-"/>
    <s v="-"/>
    <s v="-"/>
    <s v="-"/>
    <s v="-"/>
    <n v="5"/>
    <n v="6"/>
    <s v="-"/>
    <n v="1"/>
    <n v="1"/>
    <n v="2"/>
    <n v="2"/>
    <n v="7"/>
    <n v="8"/>
  </r>
  <r>
    <x v="2"/>
    <x v="56"/>
    <d v="2026-03-06T00:00:00"/>
    <s v="3RD"/>
    <d v="1899-12-31T02:00:00"/>
    <n v="3"/>
    <x v="11"/>
    <n v="4.4999999999999997E-3"/>
    <s v="P"/>
    <s v="P"/>
    <s v="P"/>
    <s v="+"/>
    <s v="+"/>
    <n v="12.29"/>
    <n v="13.92"/>
    <n v="0.59"/>
    <n v="65.5"/>
    <n v="14.6"/>
    <n v="1091"/>
    <n v="39.4"/>
    <s v="-"/>
    <n v="25.16"/>
    <s v="P"/>
    <s v="P"/>
    <s v="-"/>
    <n v="2"/>
    <n v="1"/>
    <n v="2"/>
    <n v="1"/>
    <n v="0"/>
    <n v="2"/>
    <n v="2"/>
    <n v="1"/>
    <n v="1"/>
    <n v="2"/>
    <s v="-"/>
    <n v="14"/>
    <n v="15"/>
    <n v="1"/>
    <n v="1"/>
    <n v="1"/>
    <n v="3"/>
    <n v="3"/>
    <n v="17"/>
    <n v="18"/>
  </r>
  <r>
    <x v="2"/>
    <x v="56"/>
    <d v="2026-03-06T00:00:00"/>
    <s v="3RD"/>
    <d v="1899-12-31T03:00:00"/>
    <n v="3"/>
    <x v="11"/>
    <n v="4.7000000000000002E-3"/>
    <s v="P"/>
    <s v="P"/>
    <s v="P"/>
    <s v="+"/>
    <s v="+"/>
    <n v="12.2"/>
    <s v="-"/>
    <s v="-"/>
    <s v="-"/>
    <s v="-"/>
    <s v="-"/>
    <s v="-"/>
    <s v="-"/>
    <s v="-"/>
    <s v="P"/>
    <s v="P"/>
    <s v="-"/>
    <n v="2"/>
    <n v="1"/>
    <n v="2"/>
    <n v="1"/>
    <s v="-"/>
    <s v="-"/>
    <s v="-"/>
    <s v="-"/>
    <s v="-"/>
    <s v="-"/>
    <s v="-"/>
    <n v="6"/>
    <n v="6"/>
    <s v="-"/>
    <n v="1"/>
    <n v="1"/>
    <n v="2"/>
    <n v="2"/>
    <n v="8"/>
    <n v="8"/>
  </r>
  <r>
    <x v="2"/>
    <x v="56"/>
    <d v="2026-02-25T00:00:00"/>
    <s v="3RD"/>
    <d v="1899-12-31T05:00:00"/>
    <n v="3"/>
    <x v="30"/>
    <n v="5.3E-3"/>
    <s v="P"/>
    <s v="P"/>
    <s v="P"/>
    <s v="+"/>
    <s v="+"/>
    <n v="11.69"/>
    <n v="12.72"/>
    <n v="0.6"/>
    <n v="64.099999999999994"/>
    <n v="13.6"/>
    <n v="1012"/>
    <s v="-"/>
    <s v="-"/>
    <s v="-"/>
    <s v="P"/>
    <s v="P"/>
    <s v="80% 20%"/>
    <n v="2"/>
    <n v="1"/>
    <n v="2"/>
    <n v="0"/>
    <n v="1"/>
    <n v="2"/>
    <n v="2"/>
    <n v="1"/>
    <n v="0"/>
    <s v="-"/>
    <s v="-"/>
    <n v="11"/>
    <n v="13"/>
    <s v="-"/>
    <n v="1"/>
    <n v="1"/>
    <n v="2"/>
    <n v="2"/>
    <n v="13"/>
    <n v="15"/>
  </r>
  <r>
    <x v="2"/>
    <x v="56"/>
    <d v="2026-03-06T00:00:00"/>
    <s v="1ST"/>
    <s v="07:00"/>
    <n v="1"/>
    <x v="20"/>
    <n v="9.7000000000000003E-3"/>
    <s v="P"/>
    <s v="P"/>
    <s v="P"/>
    <s v="-"/>
    <s v="-"/>
    <n v="11.42"/>
    <n v="12.7"/>
    <n v="0.53"/>
    <n v="65.599999999999994"/>
    <s v="-"/>
    <s v="-"/>
    <n v="35.700000000000003"/>
    <s v="-"/>
    <s v="-"/>
    <s v="P"/>
    <s v="P"/>
    <s v="80% 20%"/>
    <n v="2"/>
    <n v="1"/>
    <n v="2"/>
    <n v="1"/>
    <n v="1"/>
    <n v="2"/>
    <n v="2"/>
    <s v="-"/>
    <s v="-"/>
    <n v="2"/>
    <s v="-"/>
    <n v="13"/>
    <n v="13"/>
    <s v="-"/>
    <n v="1"/>
    <n v="1"/>
    <n v="2"/>
    <n v="2"/>
    <n v="15"/>
    <n v="15"/>
  </r>
  <r>
    <x v="2"/>
    <x v="56"/>
    <d v="2026-03-06T00:00:00"/>
    <s v="1ST"/>
    <s v="08:00"/>
    <n v="1"/>
    <x v="20"/>
    <n v="8.0000000000000002E-3"/>
    <s v="P"/>
    <s v="P"/>
    <s v="P"/>
    <s v="-"/>
    <s v="-"/>
    <n v="11.8"/>
    <s v="-"/>
    <s v="-"/>
    <s v="-"/>
    <s v="-"/>
    <s v="-"/>
    <s v="-"/>
    <s v="-"/>
    <s v="-"/>
    <s v="P"/>
    <s v="P"/>
    <s v="-"/>
    <n v="2"/>
    <n v="1"/>
    <n v="2"/>
    <n v="1"/>
    <s v="-"/>
    <s v="-"/>
    <s v="-"/>
    <s v="-"/>
    <s v="-"/>
    <s v="-"/>
    <s v="-"/>
    <n v="6"/>
    <n v="6"/>
    <s v="-"/>
    <n v="1"/>
    <n v="1"/>
    <n v="2"/>
    <n v="2"/>
    <n v="8"/>
    <n v="8"/>
  </r>
  <r>
    <x v="2"/>
    <x v="56"/>
    <d v="2026-03-06T00:00:00"/>
    <s v="1ST"/>
    <s v="10:00"/>
    <n v="1"/>
    <x v="20"/>
    <n v="9.9000000000000008E-3"/>
    <s v="P"/>
    <s v="P"/>
    <s v="P"/>
    <s v="-"/>
    <s v="-"/>
    <n v="12.02"/>
    <s v="-"/>
    <s v="-"/>
    <s v="-"/>
    <s v="-"/>
    <s v="-"/>
    <s v="-"/>
    <s v="-"/>
    <s v="-"/>
    <s v="P"/>
    <s v="P"/>
    <s v="-"/>
    <n v="2"/>
    <n v="1"/>
    <n v="2"/>
    <n v="1"/>
    <s v="-"/>
    <s v="-"/>
    <s v="-"/>
    <s v="-"/>
    <s v="-"/>
    <s v="-"/>
    <s v="-"/>
    <n v="6"/>
    <n v="6"/>
    <s v="-"/>
    <n v="1"/>
    <n v="1"/>
    <n v="2"/>
    <n v="2"/>
    <n v="8"/>
    <n v="8"/>
  </r>
  <r>
    <x v="2"/>
    <x v="56"/>
    <d v="2026-03-06T00:00:00"/>
    <s v="1ST"/>
    <s v="11:00"/>
    <n v="1"/>
    <x v="20"/>
    <n v="1.09E-2"/>
    <s v="P"/>
    <s v="P"/>
    <s v="P"/>
    <s v="-"/>
    <s v="-"/>
    <n v="12.17"/>
    <s v="-"/>
    <s v="-"/>
    <s v="-"/>
    <s v="-"/>
    <s v="-"/>
    <s v="-"/>
    <s v="-"/>
    <s v="-"/>
    <s v="P"/>
    <s v="P"/>
    <s v="-"/>
    <n v="2"/>
    <n v="1"/>
    <n v="2"/>
    <n v="1"/>
    <s v="-"/>
    <s v="-"/>
    <s v="-"/>
    <s v="-"/>
    <s v="-"/>
    <s v="-"/>
    <s v="-"/>
    <n v="6"/>
    <n v="6"/>
    <s v="-"/>
    <n v="1"/>
    <n v="1"/>
    <n v="2"/>
    <n v="2"/>
    <n v="8"/>
    <n v="8"/>
  </r>
  <r>
    <x v="2"/>
    <x v="56"/>
    <d v="2026-03-06T00:00:00"/>
    <s v="1ST"/>
    <s v="12:00"/>
    <n v="1"/>
    <x v="20"/>
    <n v="8.3999999999999995E-3"/>
    <s v="P"/>
    <s v="P"/>
    <s v="P"/>
    <s v="-"/>
    <s v="-"/>
    <n v="11.79"/>
    <s v="-"/>
    <s v="-"/>
    <s v="-"/>
    <s v="-"/>
    <s v="-"/>
    <s v="-"/>
    <s v="-"/>
    <n v="25.13"/>
    <s v="P"/>
    <s v="P"/>
    <s v="-"/>
    <n v="2"/>
    <n v="1"/>
    <n v="2"/>
    <n v="1"/>
    <s v="-"/>
    <s v="-"/>
    <s v="-"/>
    <s v="-"/>
    <s v="-"/>
    <s v="-"/>
    <s v="-"/>
    <n v="6"/>
    <n v="6"/>
    <n v="1"/>
    <n v="1"/>
    <n v="1"/>
    <n v="3"/>
    <n v="3"/>
    <n v="9"/>
    <n v="9"/>
  </r>
  <r>
    <x v="2"/>
    <x v="56"/>
    <d v="2026-03-06T00:00:00"/>
    <s v="1ST"/>
    <s v="13:00"/>
    <n v="1"/>
    <x v="20"/>
    <n v="9.1999999999999998E-3"/>
    <s v="P"/>
    <s v="P"/>
    <s v="P"/>
    <s v="-"/>
    <s v="-"/>
    <n v="12"/>
    <s v="-"/>
    <s v="-"/>
    <s v="-"/>
    <s v="-"/>
    <s v="-"/>
    <s v="-"/>
    <s v="-"/>
    <s v="-"/>
    <s v="P"/>
    <s v="P"/>
    <s v="-"/>
    <n v="2"/>
    <n v="1"/>
    <n v="2"/>
    <n v="1"/>
    <s v="-"/>
    <s v="-"/>
    <s v="-"/>
    <s v="-"/>
    <s v="-"/>
    <s v="-"/>
    <s v="-"/>
    <n v="6"/>
    <n v="6"/>
    <s v="-"/>
    <n v="1"/>
    <n v="1"/>
    <n v="2"/>
    <n v="2"/>
    <n v="8"/>
    <n v="8"/>
  </r>
  <r>
    <x v="2"/>
    <x v="56"/>
    <s v="-"/>
    <s v="2ND"/>
    <d v="1899-12-30T14:00:00"/>
    <n v="1"/>
    <x v="20"/>
    <n v="1.2200000000000001E-2"/>
    <s v="P"/>
    <s v="P"/>
    <s v="P"/>
    <s v="-"/>
    <s v="-"/>
    <n v="12.14"/>
    <n v="12.84"/>
    <s v="-"/>
    <s v="-"/>
    <s v="-"/>
    <s v="-"/>
    <n v="36"/>
    <s v="-"/>
    <s v="-"/>
    <s v="P"/>
    <s v="P"/>
    <s v="80% 20%"/>
    <n v="2"/>
    <n v="1"/>
    <n v="2"/>
    <n v="1"/>
    <n v="1"/>
    <s v="-"/>
    <s v="-"/>
    <s v="-"/>
    <s v="-"/>
    <n v="2"/>
    <s v="-"/>
    <n v="9"/>
    <n v="9"/>
    <s v="-"/>
    <n v="1"/>
    <n v="1"/>
    <n v="2"/>
    <n v="2"/>
    <n v="11"/>
    <n v="11"/>
  </r>
  <r>
    <x v="2"/>
    <x v="56"/>
    <d v="2026-03-06T00:00:00"/>
    <s v="2ND"/>
    <d v="1899-12-30T15:00:00"/>
    <n v="1"/>
    <x v="20"/>
    <n v="1.2500000000000001E-2"/>
    <s v="P"/>
    <s v="P"/>
    <s v="P"/>
    <s v="-"/>
    <s v="-"/>
    <n v="12.11"/>
    <s v="-"/>
    <s v="-"/>
    <s v="-"/>
    <s v="-"/>
    <s v="-"/>
    <s v="-"/>
    <s v="-"/>
    <s v="-"/>
    <s v="P"/>
    <s v="P"/>
    <s v="-"/>
    <n v="2"/>
    <n v="1"/>
    <n v="2"/>
    <n v="1"/>
    <s v="-"/>
    <s v="-"/>
    <s v="-"/>
    <s v="-"/>
    <s v="-"/>
    <s v="-"/>
    <s v="-"/>
    <n v="6"/>
    <n v="6"/>
    <s v="-"/>
    <n v="1"/>
    <n v="1"/>
    <n v="2"/>
    <n v="2"/>
    <n v="8"/>
    <n v="8"/>
  </r>
  <r>
    <x v="2"/>
    <x v="56"/>
    <d v="2026-03-06T00:00:00"/>
    <s v="2ND"/>
    <d v="1899-12-30T17:00:00"/>
    <n v="1"/>
    <x v="20"/>
    <n v="1.15E-2"/>
    <s v="P"/>
    <s v="P"/>
    <s v="P"/>
    <s v="-"/>
    <s v="-"/>
    <n v="12.14"/>
    <s v="-"/>
    <s v="-"/>
    <s v="-"/>
    <s v="-"/>
    <s v="-"/>
    <s v="-"/>
    <s v="-"/>
    <s v="-"/>
    <s v="P"/>
    <s v="P"/>
    <s v="-"/>
    <n v="2"/>
    <n v="1"/>
    <n v="2"/>
    <n v="1"/>
    <s v="-"/>
    <s v="-"/>
    <s v="-"/>
    <s v="-"/>
    <s v="-"/>
    <s v="-"/>
    <s v="-"/>
    <n v="6"/>
    <n v="6"/>
    <s v="-"/>
    <n v="1"/>
    <n v="1"/>
    <n v="2"/>
    <n v="2"/>
    <n v="8"/>
    <n v="8"/>
  </r>
  <r>
    <x v="2"/>
    <x v="56"/>
    <d v="2026-03-06T00:00:00"/>
    <s v="2ND"/>
    <d v="1899-12-30T19:00:00"/>
    <n v="1"/>
    <x v="20"/>
    <n v="1.26E-2"/>
    <s v="P"/>
    <s v="P"/>
    <s v="P"/>
    <s v="-"/>
    <s v="-"/>
    <n v="12.04"/>
    <s v="-"/>
    <s v="-"/>
    <s v="-"/>
    <s v="-"/>
    <s v="-"/>
    <s v="-"/>
    <s v="-"/>
    <s v="-"/>
    <s v="P"/>
    <s v="P"/>
    <s v="-"/>
    <n v="2"/>
    <n v="1"/>
    <n v="2"/>
    <n v="1"/>
    <s v="-"/>
    <s v="-"/>
    <s v="-"/>
    <s v="-"/>
    <s v="-"/>
    <s v="-"/>
    <s v="-"/>
    <n v="6"/>
    <n v="6"/>
    <s v="-"/>
    <n v="1"/>
    <n v="1"/>
    <n v="2"/>
    <n v="2"/>
    <n v="8"/>
    <n v="8"/>
  </r>
  <r>
    <x v="2"/>
    <x v="56"/>
    <d v="2026-03-06T00:00:00"/>
    <s v="2ND"/>
    <d v="1899-12-30T20:00:00"/>
    <n v="1"/>
    <x v="20"/>
    <n v="1.14E-2"/>
    <s v="P"/>
    <s v="P"/>
    <s v="P"/>
    <s v="-"/>
    <s v="-"/>
    <n v="12.24"/>
    <s v="-"/>
    <s v="-"/>
    <s v="-"/>
    <s v="-"/>
    <s v="-"/>
    <s v="-"/>
    <s v="-"/>
    <s v="-"/>
    <s v="P"/>
    <s v="P"/>
    <s v="-"/>
    <n v="2"/>
    <n v="1"/>
    <n v="2"/>
    <n v="1"/>
    <s v="-"/>
    <s v="-"/>
    <s v="-"/>
    <s v="-"/>
    <s v="-"/>
    <s v="-"/>
    <s v="-"/>
    <n v="6"/>
    <n v="6"/>
    <s v="-"/>
    <n v="1"/>
    <n v="1"/>
    <n v="2"/>
    <n v="2"/>
    <n v="8"/>
    <n v="8"/>
  </r>
  <r>
    <x v="2"/>
    <x v="56"/>
    <d v="2026-03-06T00:00:00"/>
    <s v="2ND"/>
    <d v="1899-12-30T21:00:00"/>
    <n v="1"/>
    <x v="20"/>
    <n v="1.2500000000000001E-2"/>
    <s v="P"/>
    <s v="P"/>
    <s v="P"/>
    <s v="-"/>
    <s v="-"/>
    <n v="11.49"/>
    <s v="-"/>
    <s v="-"/>
    <s v="-"/>
    <s v="-"/>
    <s v="-"/>
    <s v="-"/>
    <s v="-"/>
    <s v="-"/>
    <s v="P"/>
    <s v="P"/>
    <s v="-"/>
    <n v="2"/>
    <n v="1"/>
    <n v="2"/>
    <n v="1"/>
    <s v="-"/>
    <s v="-"/>
    <s v="-"/>
    <s v="-"/>
    <s v="-"/>
    <s v="-"/>
    <s v="-"/>
    <n v="6"/>
    <n v="6"/>
    <s v="-"/>
    <n v="1"/>
    <n v="1"/>
    <n v="2"/>
    <n v="2"/>
    <n v="8"/>
    <n v="8"/>
  </r>
  <r>
    <x v="2"/>
    <x v="56"/>
    <s v="-"/>
    <s v="3RD"/>
    <d v="1899-12-30T22:00:00"/>
    <n v="1"/>
    <x v="20"/>
    <n v="1.0800000000000001E-2"/>
    <s v="P"/>
    <s v="P"/>
    <s v="P"/>
    <s v="-"/>
    <s v="-"/>
    <n v="12"/>
    <n v="13.25"/>
    <s v="-"/>
    <s v="-"/>
    <s v="-"/>
    <s v="-"/>
    <n v="37.200000000000003"/>
    <s v="-"/>
    <n v="25.14"/>
    <s v="P"/>
    <s v="P"/>
    <s v="80% 20%"/>
    <n v="2"/>
    <n v="1"/>
    <n v="2"/>
    <n v="1"/>
    <n v="1"/>
    <s v="-"/>
    <s v="-"/>
    <s v="-"/>
    <s v="-"/>
    <n v="2"/>
    <s v="-"/>
    <n v="9"/>
    <n v="9"/>
    <n v="1"/>
    <n v="1"/>
    <n v="1"/>
    <n v="3"/>
    <n v="3"/>
    <n v="12"/>
    <n v="12"/>
  </r>
  <r>
    <x v="2"/>
    <x v="56"/>
    <d v="2026-03-06T00:00:00"/>
    <s v="3RD"/>
    <d v="1899-12-30T23:00:00"/>
    <n v="1"/>
    <x v="20"/>
    <n v="8.8999999999999999E-3"/>
    <s v="P"/>
    <s v="P"/>
    <s v="P"/>
    <s v="-"/>
    <s v="-"/>
    <n v="12.3"/>
    <s v="-"/>
    <s v="-"/>
    <s v="-"/>
    <s v="-"/>
    <s v="-"/>
    <s v="-"/>
    <s v="-"/>
    <s v="-"/>
    <s v="P"/>
    <s v="P"/>
    <s v="-"/>
    <n v="2"/>
    <n v="1"/>
    <n v="2"/>
    <n v="1"/>
    <s v="-"/>
    <s v="-"/>
    <s v="-"/>
    <s v="-"/>
    <s v="-"/>
    <s v="-"/>
    <s v="-"/>
    <n v="6"/>
    <n v="6"/>
    <s v="-"/>
    <n v="1"/>
    <n v="1"/>
    <n v="2"/>
    <n v="2"/>
    <n v="8"/>
    <n v="8"/>
  </r>
  <r>
    <x v="2"/>
    <x v="56"/>
    <d v="2026-03-06T00:00:00"/>
    <s v="3RD"/>
    <d v="1899-12-31T00:00:00"/>
    <n v="1"/>
    <x v="20"/>
    <n v="9.4000000000000004E-3"/>
    <s v="P"/>
    <s v="P"/>
    <s v="P"/>
    <s v="-"/>
    <s v="-"/>
    <n v="12.46"/>
    <s v="-"/>
    <s v="-"/>
    <s v="-"/>
    <s v="-"/>
    <s v="-"/>
    <s v="-"/>
    <s v="-"/>
    <s v="-"/>
    <s v="P"/>
    <s v="P"/>
    <s v="-"/>
    <n v="2"/>
    <n v="1"/>
    <n v="2"/>
    <n v="1"/>
    <s v="-"/>
    <s v="-"/>
    <s v="-"/>
    <s v="-"/>
    <s v="-"/>
    <s v="-"/>
    <s v="-"/>
    <n v="6"/>
    <n v="6"/>
    <s v="-"/>
    <n v="1"/>
    <n v="1"/>
    <n v="2"/>
    <n v="2"/>
    <n v="8"/>
    <n v="8"/>
  </r>
  <r>
    <x v="2"/>
    <x v="56"/>
    <d v="2026-03-06T00:00:00"/>
    <s v="3RD"/>
    <d v="1899-12-31T01:00:00"/>
    <n v="1"/>
    <x v="20"/>
    <n v="1.8599999999999998E-2"/>
    <s v="P"/>
    <s v="P"/>
    <s v="P"/>
    <s v="-"/>
    <s v="-"/>
    <n v="12.44"/>
    <s v="-"/>
    <s v="-"/>
    <s v="-"/>
    <s v="-"/>
    <s v="-"/>
    <s v="-"/>
    <s v="-"/>
    <s v="-"/>
    <s v="P"/>
    <s v="P"/>
    <s v="-"/>
    <n v="2"/>
    <n v="1"/>
    <n v="2"/>
    <n v="1"/>
    <s v="-"/>
    <s v="-"/>
    <s v="-"/>
    <s v="-"/>
    <s v="-"/>
    <s v="-"/>
    <s v="-"/>
    <n v="6"/>
    <n v="6"/>
    <s v="-"/>
    <n v="1"/>
    <n v="1"/>
    <n v="2"/>
    <n v="2"/>
    <n v="8"/>
    <n v="8"/>
  </r>
  <r>
    <x v="2"/>
    <x v="56"/>
    <d v="2026-03-06T00:00:00"/>
    <s v="3RD"/>
    <d v="1899-12-31T02:00:00"/>
    <n v="1"/>
    <x v="20"/>
    <n v="5.1999999999999998E-3"/>
    <s v="P"/>
    <s v="P"/>
    <s v="P"/>
    <s v="-"/>
    <s v="-"/>
    <n v="12.08"/>
    <s v="-"/>
    <s v="-"/>
    <s v="-"/>
    <s v="-"/>
    <s v="-"/>
    <s v="-"/>
    <s v="-"/>
    <s v="-"/>
    <s v="P"/>
    <s v="P"/>
    <s v="-"/>
    <n v="2"/>
    <n v="1"/>
    <n v="2"/>
    <n v="1"/>
    <s v="-"/>
    <s v="-"/>
    <s v="-"/>
    <s v="-"/>
    <s v="-"/>
    <s v="-"/>
    <s v="-"/>
    <n v="6"/>
    <n v="6"/>
    <s v="-"/>
    <n v="1"/>
    <n v="1"/>
    <n v="2"/>
    <n v="2"/>
    <n v="8"/>
    <n v="8"/>
  </r>
  <r>
    <x v="2"/>
    <x v="56"/>
    <d v="2026-03-06T00:00:00"/>
    <s v="3RD"/>
    <d v="1899-12-31T04:00:00"/>
    <n v="1"/>
    <x v="20"/>
    <n v="5.7000000000000002E-3"/>
    <s v="P"/>
    <s v="P"/>
    <s v="P"/>
    <s v="-"/>
    <s v="-"/>
    <n v="11.61"/>
    <s v="-"/>
    <s v="-"/>
    <s v="-"/>
    <s v="-"/>
    <s v="-"/>
    <s v="-"/>
    <s v="-"/>
    <s v="-"/>
    <s v="P"/>
    <s v="P"/>
    <s v="-"/>
    <n v="2"/>
    <n v="1"/>
    <n v="2"/>
    <n v="1"/>
    <s v="-"/>
    <s v="-"/>
    <s v="-"/>
    <s v="-"/>
    <s v="-"/>
    <s v="-"/>
    <s v="-"/>
    <n v="6"/>
    <n v="6"/>
    <s v="-"/>
    <n v="1"/>
    <n v="1"/>
    <n v="2"/>
    <n v="2"/>
    <n v="8"/>
    <n v="8"/>
  </r>
  <r>
    <x v="2"/>
    <x v="56"/>
    <d v="1899-12-30T00:00:00"/>
    <s v="3RD"/>
    <d v="1899-12-30T22:00:00"/>
    <s v="Retail"/>
    <x v="13"/>
    <s v="-"/>
    <s v="-"/>
    <s v="-"/>
    <s v="-"/>
    <s v="-"/>
    <s v="-"/>
    <n v="10.31"/>
    <s v="-"/>
    <s v="-"/>
    <s v="-"/>
    <s v="-"/>
    <s v="-"/>
    <s v="-"/>
    <s v="-"/>
    <s v="-"/>
    <s v="-"/>
    <s v="-"/>
    <s v="-"/>
    <s v="-"/>
    <s v="-"/>
    <s v="-"/>
    <n v="0"/>
    <s v="-"/>
    <s v="-"/>
    <s v="-"/>
    <s v="-"/>
    <s v="-"/>
    <s v="-"/>
    <s v="-"/>
    <n v="0"/>
    <n v="1"/>
    <s v="-"/>
    <s v="-"/>
    <s v="-"/>
    <n v="0"/>
    <n v="0"/>
    <n v="0"/>
    <n v="1"/>
  </r>
  <r>
    <x v="2"/>
    <x v="56"/>
    <d v="1902-03-26T00:00:00"/>
    <s v="1ST"/>
    <s v="07:00"/>
    <n v="2"/>
    <x v="4"/>
    <n v="9.9000000000000008E-3"/>
    <s v="P"/>
    <s v="P"/>
    <s v="P"/>
    <s v="-"/>
    <s v="+"/>
    <n v="10.28"/>
    <n v="8.51"/>
    <n v="0.59"/>
    <n v="54.3"/>
    <s v="-"/>
    <s v="-"/>
    <n v="22.42"/>
    <s v="-"/>
    <s v="-"/>
    <s v="P"/>
    <s v="P"/>
    <s v="-"/>
    <n v="2"/>
    <n v="1"/>
    <n v="2"/>
    <n v="0"/>
    <n v="1"/>
    <n v="0"/>
    <n v="2"/>
    <s v="-"/>
    <s v="-"/>
    <n v="2"/>
    <s v="-"/>
    <n v="10"/>
    <n v="13"/>
    <s v="-"/>
    <n v="1"/>
    <n v="1"/>
    <n v="2"/>
    <n v="2"/>
    <n v="12"/>
    <n v="15"/>
  </r>
  <r>
    <x v="2"/>
    <x v="56"/>
    <d v="1899-12-30T00:00:00"/>
    <s v="1ST"/>
    <s v="08:00"/>
    <n v="2"/>
    <x v="4"/>
    <n v="4.1000000000000003E-3"/>
    <s v="P"/>
    <s v="P"/>
    <s v="P"/>
    <s v="-"/>
    <s v="+"/>
    <n v="10.54"/>
    <s v="-"/>
    <s v="-"/>
    <s v="-"/>
    <s v="-"/>
    <s v="-"/>
    <s v="-"/>
    <s v="-"/>
    <s v="-"/>
    <s v="P"/>
    <s v="P"/>
    <s v="-"/>
    <n v="2"/>
    <n v="1"/>
    <n v="2"/>
    <n v="0"/>
    <s v="-"/>
    <s v="-"/>
    <s v="-"/>
    <s v="-"/>
    <s v="-"/>
    <s v="-"/>
    <s v="-"/>
    <n v="5"/>
    <n v="6"/>
    <s v="-"/>
    <n v="1"/>
    <n v="1"/>
    <n v="2"/>
    <n v="2"/>
    <n v="7"/>
    <n v="8"/>
  </r>
  <r>
    <x v="2"/>
    <x v="56"/>
    <d v="1899-12-30T00:00:00"/>
    <s v="1ST"/>
    <s v="10:00"/>
    <n v="2"/>
    <x v="4"/>
    <n v="4.4999999999999997E-3"/>
    <s v="P"/>
    <s v="P"/>
    <s v="P"/>
    <s v="-"/>
    <s v="+"/>
    <n v="10.64"/>
    <s v="-"/>
    <s v="-"/>
    <s v="-"/>
    <s v="-"/>
    <s v="-"/>
    <s v="-"/>
    <s v="-"/>
    <s v="-"/>
    <s v="P"/>
    <s v="P"/>
    <s v="-"/>
    <n v="2"/>
    <n v="1"/>
    <n v="2"/>
    <n v="0"/>
    <s v="-"/>
    <s v="-"/>
    <s v="-"/>
    <s v="-"/>
    <s v="-"/>
    <s v="-"/>
    <s v="-"/>
    <n v="5"/>
    <n v="6"/>
    <s v="-"/>
    <n v="1"/>
    <n v="1"/>
    <n v="2"/>
    <n v="2"/>
    <n v="7"/>
    <n v="8"/>
  </r>
  <r>
    <x v="2"/>
    <x v="56"/>
    <d v="1899-12-30T00:00:00"/>
    <s v="1ST"/>
    <s v="11:00"/>
    <n v="2"/>
    <x v="4"/>
    <n v="3.8999999999999998E-3"/>
    <s v="P"/>
    <s v="P"/>
    <s v="P"/>
    <s v="-"/>
    <s v="+"/>
    <n v="10.91"/>
    <s v="-"/>
    <s v="-"/>
    <s v="-"/>
    <s v="-"/>
    <s v="-"/>
    <s v="-"/>
    <s v="-"/>
    <s v="-"/>
    <s v="P"/>
    <s v="P"/>
    <s v="-"/>
    <n v="2"/>
    <n v="1"/>
    <n v="2"/>
    <n v="0"/>
    <s v="-"/>
    <s v="-"/>
    <s v="-"/>
    <s v="-"/>
    <s v="-"/>
    <s v="-"/>
    <s v="-"/>
    <n v="5"/>
    <n v="6"/>
    <s v="-"/>
    <n v="1"/>
    <n v="1"/>
    <n v="2"/>
    <n v="2"/>
    <n v="7"/>
    <n v="8"/>
  </r>
  <r>
    <x v="2"/>
    <x v="56"/>
    <d v="1899-12-30T00:00:00"/>
    <s v="1ST"/>
    <s v="12:00"/>
    <n v="2"/>
    <x v="4"/>
    <n v="2.8999999999999998E-3"/>
    <s v="P"/>
    <s v="P"/>
    <s v="P"/>
    <s v="-"/>
    <s v="+"/>
    <n v="10.72"/>
    <s v="-"/>
    <s v="-"/>
    <s v="-"/>
    <s v="-"/>
    <s v="-"/>
    <s v="-"/>
    <s v="-"/>
    <n v="25.19"/>
    <s v="P"/>
    <s v="P"/>
    <s v="-"/>
    <n v="2"/>
    <n v="1"/>
    <n v="2"/>
    <n v="0"/>
    <s v="-"/>
    <s v="-"/>
    <s v="-"/>
    <s v="-"/>
    <s v="-"/>
    <s v="-"/>
    <s v="-"/>
    <n v="5"/>
    <n v="6"/>
    <n v="1"/>
    <n v="1"/>
    <n v="1"/>
    <n v="3"/>
    <n v="3"/>
    <n v="8"/>
    <n v="9"/>
  </r>
  <r>
    <x v="2"/>
    <x v="56"/>
    <d v="1899-12-30T00:00:00"/>
    <s v="1ST"/>
    <s v="13:00"/>
    <n v="2"/>
    <x v="4"/>
    <n v="3.0999999999999999E-3"/>
    <s v="P"/>
    <s v="P"/>
    <s v="P"/>
    <s v="-"/>
    <s v="+"/>
    <n v="10.8"/>
    <s v="-"/>
    <s v="-"/>
    <s v="-"/>
    <s v="-"/>
    <s v="-"/>
    <s v="-"/>
    <s v="-"/>
    <s v="-"/>
    <s v="P"/>
    <s v="P"/>
    <s v="-"/>
    <n v="2"/>
    <n v="1"/>
    <n v="2"/>
    <n v="0"/>
    <s v="-"/>
    <s v="-"/>
    <s v="-"/>
    <s v="-"/>
    <s v="-"/>
    <s v="-"/>
    <s v="-"/>
    <n v="5"/>
    <n v="6"/>
    <s v="-"/>
    <n v="1"/>
    <n v="1"/>
    <n v="2"/>
    <n v="2"/>
    <n v="7"/>
    <n v="8"/>
  </r>
  <r>
    <x v="2"/>
    <x v="56"/>
    <d v="1902-03-26T00:00:00"/>
    <s v="2ND"/>
    <d v="1899-12-30T14:00:00"/>
    <n v="2"/>
    <x v="4"/>
    <n v="5.4999999999999997E-3"/>
    <s v="P"/>
    <s v="P"/>
    <s v="P"/>
    <s v="-"/>
    <s v="+"/>
    <n v="10.8"/>
    <n v="8.3800000000000008"/>
    <s v="-"/>
    <s v="-"/>
    <s v="-"/>
    <s v="-"/>
    <n v="22.5"/>
    <s v="-"/>
    <s v="-"/>
    <s v="P"/>
    <s v="P"/>
    <s v="-"/>
    <n v="2"/>
    <n v="1"/>
    <n v="2"/>
    <n v="0"/>
    <n v="0"/>
    <s v="-"/>
    <s v="-"/>
    <s v="-"/>
    <s v="-"/>
    <n v="2"/>
    <s v="-"/>
    <n v="7"/>
    <n v="9"/>
    <s v="-"/>
    <n v="1"/>
    <n v="1"/>
    <n v="2"/>
    <n v="2"/>
    <n v="9"/>
    <n v="11"/>
  </r>
  <r>
    <x v="2"/>
    <x v="57"/>
    <d v="2026-02-25T00:00:00"/>
    <s v="2ND"/>
    <d v="1899-12-30T19:00:00"/>
    <n v="3"/>
    <x v="34"/>
    <n v="1.9400000000000001E-2"/>
    <s v="P"/>
    <s v="P"/>
    <s v="P"/>
    <s v="+"/>
    <s v="+"/>
    <n v="12.12"/>
    <n v="12.89"/>
    <n v="0.6"/>
    <n v="66.7"/>
    <n v="13.6"/>
    <n v="1012"/>
    <n v="36.200000000000003"/>
    <s v="-"/>
    <s v="-"/>
    <s v="P"/>
    <s v="P"/>
    <s v="80% 20%"/>
    <n v="2"/>
    <n v="1"/>
    <n v="2"/>
    <n v="1"/>
    <n v="1"/>
    <n v="2"/>
    <n v="2"/>
    <n v="1"/>
    <n v="0"/>
    <n v="2"/>
    <s v="-"/>
    <n v="14"/>
    <n v="15"/>
    <s v="-"/>
    <n v="1"/>
    <n v="1"/>
    <n v="2"/>
    <n v="2"/>
    <n v="16"/>
    <n v="17"/>
  </r>
  <r>
    <x v="2"/>
    <x v="57"/>
    <d v="2026-02-25T00:00:00"/>
    <s v="3RD"/>
    <d v="1899-12-30T23:00:00"/>
    <n v="3"/>
    <x v="34"/>
    <n v="6.8999999999999999E-3"/>
    <s v="P"/>
    <s v="P"/>
    <s v="P"/>
    <s v="+"/>
    <s v="+"/>
    <n v="12.22"/>
    <n v="12.65"/>
    <s v="-"/>
    <s v="-"/>
    <s v="-"/>
    <s v="-"/>
    <n v="35.4"/>
    <s v="-"/>
    <n v="25.17"/>
    <s v="P"/>
    <s v="P"/>
    <s v="80% 20%"/>
    <n v="2"/>
    <n v="1"/>
    <n v="2"/>
    <n v="1"/>
    <n v="1"/>
    <s v="-"/>
    <s v="-"/>
    <s v="-"/>
    <s v="-"/>
    <n v="2"/>
    <s v="-"/>
    <n v="9"/>
    <n v="9"/>
    <n v="1"/>
    <n v="1"/>
    <n v="1"/>
    <n v="3"/>
    <n v="3"/>
    <n v="12"/>
    <n v="12"/>
  </r>
  <r>
    <x v="2"/>
    <x v="57"/>
    <d v="1899-12-30T00:00:00"/>
    <s v="1ST"/>
    <s v="06:00"/>
    <n v="2"/>
    <x v="2"/>
    <n v="7.4999999999999997E-3"/>
    <s v="P"/>
    <s v="P"/>
    <s v="P"/>
    <s v="-"/>
    <s v="+"/>
    <n v="10.41"/>
    <n v="8.5"/>
    <n v="0.62"/>
    <n v="58"/>
    <s v="-"/>
    <s v="-"/>
    <n v="22.92"/>
    <s v="-"/>
    <n v="25.18"/>
    <s v="P"/>
    <s v="P"/>
    <s v="-"/>
    <n v="2"/>
    <n v="1"/>
    <n v="2"/>
    <n v="0"/>
    <n v="0"/>
    <n v="0"/>
    <n v="0"/>
    <s v="-"/>
    <s v="-"/>
    <n v="0"/>
    <s v="-"/>
    <n v="5"/>
    <n v="13"/>
    <n v="1"/>
    <n v="1"/>
    <n v="1"/>
    <n v="3"/>
    <n v="3"/>
    <n v="8"/>
    <n v="16"/>
  </r>
  <r>
    <x v="2"/>
    <x v="57"/>
    <d v="1899-12-30T00:00:00"/>
    <s v="1ST"/>
    <s v="07:00"/>
    <n v="2"/>
    <x v="2"/>
    <n v="8.0000000000000002E-3"/>
    <s v="P"/>
    <s v="P"/>
    <s v="P"/>
    <s v="-"/>
    <s v="+"/>
    <n v="11.13"/>
    <s v="-"/>
    <s v="-"/>
    <s v="-"/>
    <s v="-"/>
    <s v="-"/>
    <s v="-"/>
    <s v="-"/>
    <s v="-"/>
    <s v="P"/>
    <s v="P"/>
    <s v="-"/>
    <n v="2"/>
    <n v="1"/>
    <n v="2"/>
    <n v="0"/>
    <s v="-"/>
    <s v="-"/>
    <s v="-"/>
    <s v="-"/>
    <s v="-"/>
    <s v="-"/>
    <s v="-"/>
    <n v="5"/>
    <n v="6"/>
    <s v="-"/>
    <n v="1"/>
    <n v="1"/>
    <n v="2"/>
    <n v="2"/>
    <n v="7"/>
    <n v="8"/>
  </r>
  <r>
    <x v="2"/>
    <x v="57"/>
    <d v="2026-02-25T00:00:00"/>
    <s v="2ND"/>
    <d v="1899-12-30T16:00:00"/>
    <n v="3"/>
    <x v="30"/>
    <n v="0.108"/>
    <s v="P"/>
    <s v="P"/>
    <s v="P"/>
    <s v="+"/>
    <s v="+"/>
    <n v="11.8"/>
    <n v="12.89"/>
    <n v="0.6"/>
    <n v="66.7"/>
    <n v="13.6"/>
    <n v="1012"/>
    <n v="36.200000000000003"/>
    <s v="-"/>
    <s v="-"/>
    <s v="P"/>
    <s v="P"/>
    <s v="80% 20%"/>
    <n v="0"/>
    <n v="1"/>
    <n v="2"/>
    <n v="0"/>
    <n v="1"/>
    <n v="2"/>
    <n v="2"/>
    <n v="1"/>
    <n v="0"/>
    <n v="2"/>
    <s v="-"/>
    <n v="11"/>
    <n v="15"/>
    <s v="-"/>
    <n v="1"/>
    <n v="1"/>
    <n v="2"/>
    <n v="2"/>
    <n v="13"/>
    <n v="17"/>
  </r>
  <r>
    <x v="2"/>
    <x v="57"/>
    <d v="2026-02-25T00:00:00"/>
    <s v="3RD"/>
    <d v="1899-12-31T04:00:00"/>
    <n v="3"/>
    <x v="1"/>
    <n v="1.4E-2"/>
    <s v="P"/>
    <s v="P"/>
    <s v="P"/>
    <s v="+"/>
    <s v="+"/>
    <n v="12.22"/>
    <n v="12.79"/>
    <s v="-"/>
    <s v="-"/>
    <s v="-"/>
    <s v="-"/>
    <n v="36"/>
    <s v="-"/>
    <s v="-"/>
    <s v="P"/>
    <s v="P"/>
    <s v="85% 15%"/>
    <n v="2"/>
    <n v="1"/>
    <n v="2"/>
    <n v="1"/>
    <n v="1"/>
    <s v="-"/>
    <s v="-"/>
    <s v="-"/>
    <s v="-"/>
    <n v="2"/>
    <s v="-"/>
    <n v="9"/>
    <n v="9"/>
    <s v="-"/>
    <n v="1"/>
    <n v="1"/>
    <n v="2"/>
    <n v="2"/>
    <n v="11"/>
    <n v="11"/>
  </r>
  <r>
    <x v="2"/>
    <x v="57"/>
    <s v="-"/>
    <s v="1ST"/>
    <s v="06:00"/>
    <n v="1"/>
    <x v="20"/>
    <n v="1.3100000000000001E-2"/>
    <s v="P"/>
    <s v="P"/>
    <s v="P"/>
    <s v="-"/>
    <s v="-"/>
    <n v="11.72"/>
    <n v="13.03"/>
    <n v="0.53"/>
    <n v="68.599999999999994"/>
    <s v="-"/>
    <s v="-"/>
    <n v="39.1"/>
    <s v="-"/>
    <n v="25.13"/>
    <s v="P"/>
    <s v="P"/>
    <s v="-"/>
    <n v="2"/>
    <n v="1"/>
    <n v="2"/>
    <n v="1"/>
    <n v="1"/>
    <n v="2"/>
    <n v="0"/>
    <s v="-"/>
    <s v="-"/>
    <n v="2"/>
    <s v="-"/>
    <n v="11"/>
    <n v="13"/>
    <n v="1"/>
    <n v="1"/>
    <n v="1"/>
    <n v="3"/>
    <n v="3"/>
    <n v="14"/>
    <n v="16"/>
  </r>
  <r>
    <x v="2"/>
    <x v="57"/>
    <d v="2026-03-07T00:00:00"/>
    <s v="1ST"/>
    <s v="07:00"/>
    <n v="1"/>
    <x v="20"/>
    <n v="1.14E-2"/>
    <s v="P"/>
    <s v="P"/>
    <s v="P"/>
    <s v="-"/>
    <s v="-"/>
    <n v="11.09"/>
    <s v="-"/>
    <s v="-"/>
    <s v="-"/>
    <s v="-"/>
    <s v="-"/>
    <s v="-"/>
    <s v="-"/>
    <s v="-"/>
    <s v="P"/>
    <s v="P"/>
    <s v="-"/>
    <n v="2"/>
    <n v="1"/>
    <n v="2"/>
    <n v="1"/>
    <s v="-"/>
    <s v="-"/>
    <s v="-"/>
    <s v="-"/>
    <s v="-"/>
    <s v="-"/>
    <s v="-"/>
    <n v="6"/>
    <n v="6"/>
    <s v="-"/>
    <n v="1"/>
    <n v="1"/>
    <n v="2"/>
    <n v="2"/>
    <n v="8"/>
    <n v="8"/>
  </r>
  <r>
    <x v="2"/>
    <x v="57"/>
    <d v="2026-03-07T00:00:00"/>
    <s v="1ST"/>
    <s v="08:00"/>
    <n v="1"/>
    <x v="20"/>
    <n v="9.2999999999999992E-3"/>
    <s v="P"/>
    <s v="P"/>
    <s v="P"/>
    <s v="-"/>
    <s v="-"/>
    <n v="10.91"/>
    <s v="-"/>
    <s v="-"/>
    <s v="-"/>
    <s v="-"/>
    <s v="-"/>
    <s v="-"/>
    <s v="-"/>
    <s v="-"/>
    <s v="P"/>
    <s v="P"/>
    <s v="-"/>
    <n v="2"/>
    <n v="1"/>
    <n v="2"/>
    <n v="0"/>
    <s v="-"/>
    <s v="-"/>
    <s v="-"/>
    <s v="-"/>
    <s v="-"/>
    <s v="-"/>
    <s v="-"/>
    <n v="5"/>
    <n v="6"/>
    <s v="-"/>
    <n v="1"/>
    <n v="1"/>
    <n v="2"/>
    <n v="2"/>
    <n v="7"/>
    <n v="8"/>
  </r>
  <r>
    <x v="2"/>
    <x v="57"/>
    <d v="2026-03-07T00:00:00"/>
    <s v="1ST"/>
    <s v="09:00"/>
    <n v="1"/>
    <x v="20"/>
    <n v="1.01E-2"/>
    <s v="P"/>
    <s v="P"/>
    <s v="P"/>
    <s v="-"/>
    <s v="-"/>
    <n v="12.42"/>
    <s v="-"/>
    <s v="-"/>
    <s v="-"/>
    <s v="-"/>
    <s v="-"/>
    <s v="-"/>
    <s v="-"/>
    <s v="-"/>
    <s v="P"/>
    <s v="P"/>
    <s v="-"/>
    <n v="2"/>
    <n v="1"/>
    <n v="2"/>
    <n v="1"/>
    <s v="-"/>
    <s v="-"/>
    <s v="-"/>
    <s v="-"/>
    <s v="-"/>
    <s v="-"/>
    <s v="-"/>
    <n v="6"/>
    <n v="6"/>
    <s v="-"/>
    <n v="1"/>
    <n v="1"/>
    <n v="2"/>
    <n v="2"/>
    <n v="8"/>
    <n v="8"/>
  </r>
  <r>
    <x v="2"/>
    <x v="57"/>
    <d v="2026-03-07T00:00:00"/>
    <s v="1ST"/>
    <s v="11:00"/>
    <n v="1"/>
    <x v="20"/>
    <n v="8.3000000000000001E-3"/>
    <s v="P"/>
    <s v="P"/>
    <s v="P"/>
    <s v="-"/>
    <s v="-"/>
    <n v="11.99"/>
    <s v="-"/>
    <s v="-"/>
    <s v="-"/>
    <s v="-"/>
    <s v="-"/>
    <s v="-"/>
    <s v="-"/>
    <s v="-"/>
    <s v="P"/>
    <s v="P"/>
    <s v="-"/>
    <n v="2"/>
    <n v="1"/>
    <n v="2"/>
    <n v="1"/>
    <s v="-"/>
    <s v="-"/>
    <s v="-"/>
    <s v="-"/>
    <s v="-"/>
    <s v="-"/>
    <s v="-"/>
    <n v="6"/>
    <n v="6"/>
    <s v="-"/>
    <n v="1"/>
    <n v="1"/>
    <n v="2"/>
    <n v="2"/>
    <n v="8"/>
    <n v="8"/>
  </r>
  <r>
    <x v="2"/>
    <x v="57"/>
    <d v="2026-03-07T00:00:00"/>
    <s v="1ST"/>
    <s v="12:00"/>
    <n v="1"/>
    <x v="20"/>
    <n v="7.1000000000000004E-3"/>
    <s v="P"/>
    <s v="P"/>
    <s v="P"/>
    <s v="-"/>
    <s v="-"/>
    <n v="12.12"/>
    <s v="-"/>
    <s v="-"/>
    <s v="-"/>
    <s v="-"/>
    <s v="-"/>
    <s v="-"/>
    <s v="-"/>
    <s v="-"/>
    <s v="P"/>
    <s v="P"/>
    <s v="-"/>
    <n v="2"/>
    <n v="1"/>
    <n v="2"/>
    <n v="1"/>
    <s v="-"/>
    <s v="-"/>
    <s v="-"/>
    <s v="-"/>
    <s v="-"/>
    <s v="-"/>
    <s v="-"/>
    <n v="6"/>
    <n v="6"/>
    <s v="-"/>
    <n v="1"/>
    <n v="1"/>
    <n v="2"/>
    <n v="2"/>
    <n v="8"/>
    <n v="8"/>
  </r>
  <r>
    <x v="2"/>
    <x v="57"/>
    <d v="2026-03-07T00:00:00"/>
    <s v="1ST"/>
    <s v="13:00"/>
    <n v="1"/>
    <x v="20"/>
    <s v="-"/>
    <s v="P"/>
    <s v="P"/>
    <s v="P"/>
    <s v="-"/>
    <s v="-"/>
    <n v="12.14"/>
    <s v="-"/>
    <s v="-"/>
    <s v="-"/>
    <s v="-"/>
    <s v="-"/>
    <s v="-"/>
    <s v="-"/>
    <s v="-"/>
    <s v="P"/>
    <s v="P"/>
    <s v="-"/>
    <s v="-"/>
    <n v="1"/>
    <n v="2"/>
    <n v="1"/>
    <s v="-"/>
    <s v="-"/>
    <s v="-"/>
    <s v="-"/>
    <s v="-"/>
    <s v="-"/>
    <s v="-"/>
    <n v="4"/>
    <n v="4"/>
    <s v="-"/>
    <n v="1"/>
    <n v="1"/>
    <n v="2"/>
    <n v="2"/>
    <n v="6"/>
    <n v="6"/>
  </r>
  <r>
    <x v="2"/>
    <x v="57"/>
    <s v="-"/>
    <s v="2ND"/>
    <d v="1899-12-30T14:00:00"/>
    <n v="1"/>
    <x v="20"/>
    <n v="1.9400000000000001E-2"/>
    <s v="P"/>
    <s v="P"/>
    <s v="P"/>
    <s v="-"/>
    <s v="-"/>
    <n v="11.66"/>
    <n v="13.35"/>
    <s v="-"/>
    <s v="-"/>
    <s v="-"/>
    <s v="-"/>
    <n v="37.5"/>
    <s v="-"/>
    <s v="-"/>
    <s v="P"/>
    <s v="P"/>
    <s v="80% 20%"/>
    <n v="2"/>
    <n v="1"/>
    <n v="2"/>
    <n v="1"/>
    <n v="1"/>
    <s v="-"/>
    <s v="-"/>
    <s v="-"/>
    <s v="-"/>
    <n v="2"/>
    <s v="-"/>
    <n v="9"/>
    <n v="9"/>
    <s v="-"/>
    <n v="1"/>
    <n v="1"/>
    <n v="2"/>
    <n v="2"/>
    <n v="11"/>
    <n v="11"/>
  </r>
  <r>
    <x v="2"/>
    <x v="57"/>
    <d v="2026-03-07T00:00:00"/>
    <s v="2ND"/>
    <d v="1899-12-30T15:00:00"/>
    <n v="1"/>
    <x v="20"/>
    <n v="1.1299999999999999E-2"/>
    <s v="P"/>
    <s v="P"/>
    <s v="P"/>
    <s v="-"/>
    <s v="-"/>
    <n v="12.33"/>
    <s v="-"/>
    <s v="-"/>
    <s v="-"/>
    <s v="-"/>
    <s v="-"/>
    <s v="-"/>
    <s v="-"/>
    <s v="-"/>
    <s v="P"/>
    <s v="P"/>
    <s v="-"/>
    <n v="2"/>
    <n v="1"/>
    <n v="2"/>
    <n v="1"/>
    <s v="-"/>
    <s v="-"/>
    <s v="-"/>
    <s v="-"/>
    <s v="-"/>
    <s v="-"/>
    <s v="-"/>
    <n v="6"/>
    <n v="6"/>
    <s v="-"/>
    <n v="1"/>
    <n v="1"/>
    <n v="2"/>
    <n v="2"/>
    <n v="8"/>
    <n v="8"/>
  </r>
  <r>
    <x v="2"/>
    <x v="57"/>
    <d v="2026-03-06T00:00:00"/>
    <s v="2ND"/>
    <d v="1899-12-30T16:00:00"/>
    <n v="1"/>
    <x v="20"/>
    <n v="1.09E-2"/>
    <s v="P"/>
    <s v="P"/>
    <s v="P"/>
    <s v="-"/>
    <s v="-"/>
    <n v="11.12"/>
    <n v="12.97"/>
    <s v="-"/>
    <s v="-"/>
    <s v="-"/>
    <s v="-"/>
    <n v="36.4"/>
    <s v="-"/>
    <s v="-"/>
    <s v="P"/>
    <s v="P"/>
    <s v="80% 20%"/>
    <n v="2"/>
    <n v="1"/>
    <n v="2"/>
    <n v="1"/>
    <n v="1"/>
    <s v="-"/>
    <s v="-"/>
    <s v="-"/>
    <s v="-"/>
    <n v="2"/>
    <s v="-"/>
    <n v="9"/>
    <n v="9"/>
    <s v="-"/>
    <n v="1"/>
    <n v="1"/>
    <n v="2"/>
    <n v="2"/>
    <n v="11"/>
    <n v="11"/>
  </r>
  <r>
    <x v="2"/>
    <x v="57"/>
    <d v="2026-03-06T00:00:00"/>
    <s v="2ND"/>
    <d v="1899-12-30T17:00:00"/>
    <n v="1"/>
    <x v="20"/>
    <n v="1.14E-2"/>
    <s v="P"/>
    <s v="P"/>
    <s v="P"/>
    <s v="-"/>
    <s v="-"/>
    <n v="12.21"/>
    <s v="-"/>
    <s v="-"/>
    <s v="-"/>
    <s v="-"/>
    <s v="-"/>
    <s v="-"/>
    <s v="-"/>
    <s v="-"/>
    <s v="P"/>
    <s v="P"/>
    <s v="-"/>
    <n v="2"/>
    <n v="1"/>
    <n v="2"/>
    <n v="1"/>
    <s v="-"/>
    <s v="-"/>
    <s v="-"/>
    <s v="-"/>
    <s v="-"/>
    <s v="-"/>
    <s v="-"/>
    <n v="6"/>
    <n v="6"/>
    <s v="-"/>
    <n v="1"/>
    <n v="1"/>
    <n v="2"/>
    <n v="2"/>
    <n v="8"/>
    <n v="8"/>
  </r>
  <r>
    <x v="2"/>
    <x v="57"/>
    <d v="2026-03-06T00:00:00"/>
    <s v="2ND"/>
    <d v="1899-12-30T19:00:00"/>
    <n v="1"/>
    <x v="20"/>
    <n v="1.2999999999999999E-2"/>
    <s v="P"/>
    <s v="P"/>
    <s v="P"/>
    <s v="-"/>
    <s v="-"/>
    <n v="12.04"/>
    <s v="-"/>
    <s v="-"/>
    <s v="-"/>
    <s v="-"/>
    <s v="-"/>
    <s v="-"/>
    <s v="-"/>
    <s v="-"/>
    <s v="P"/>
    <s v="P"/>
    <s v="-"/>
    <n v="2"/>
    <n v="1"/>
    <n v="2"/>
    <n v="1"/>
    <s v="-"/>
    <s v="-"/>
    <s v="-"/>
    <s v="-"/>
    <s v="-"/>
    <s v="-"/>
    <s v="-"/>
    <n v="6"/>
    <n v="6"/>
    <s v="-"/>
    <n v="1"/>
    <n v="1"/>
    <n v="2"/>
    <n v="2"/>
    <n v="8"/>
    <n v="8"/>
  </r>
  <r>
    <x v="2"/>
    <x v="57"/>
    <d v="2026-03-06T00:00:00"/>
    <s v="2ND"/>
    <d v="1899-12-30T20:00:00"/>
    <n v="1"/>
    <x v="20"/>
    <n v="1.5699999999999999E-2"/>
    <s v="P"/>
    <s v="P"/>
    <s v="P"/>
    <s v="-"/>
    <s v="-"/>
    <n v="12.27"/>
    <s v="-"/>
    <s v="-"/>
    <s v="-"/>
    <s v="-"/>
    <s v="-"/>
    <s v="-"/>
    <s v="-"/>
    <s v="-"/>
    <s v="P"/>
    <s v="P"/>
    <s v="-"/>
    <n v="2"/>
    <n v="1"/>
    <n v="2"/>
    <n v="1"/>
    <s v="-"/>
    <s v="-"/>
    <s v="-"/>
    <s v="-"/>
    <s v="-"/>
    <s v="-"/>
    <s v="-"/>
    <n v="6"/>
    <n v="6"/>
    <s v="-"/>
    <n v="1"/>
    <n v="1"/>
    <n v="2"/>
    <n v="2"/>
    <n v="8"/>
    <n v="8"/>
  </r>
  <r>
    <x v="2"/>
    <x v="57"/>
    <d v="2026-03-06T00:00:00"/>
    <s v="2ND"/>
    <d v="1899-12-30T21:00:00"/>
    <n v="1"/>
    <x v="20"/>
    <n v="1.9199999999999998E-2"/>
    <s v="P"/>
    <s v="P"/>
    <s v="P"/>
    <s v="-"/>
    <s v="-"/>
    <n v="12.04"/>
    <s v="-"/>
    <s v="-"/>
    <s v="-"/>
    <s v="-"/>
    <s v="-"/>
    <s v="-"/>
    <s v="-"/>
    <s v="-"/>
    <s v="P"/>
    <s v="P"/>
    <s v="-"/>
    <n v="2"/>
    <n v="1"/>
    <n v="2"/>
    <n v="1"/>
    <s v="-"/>
    <s v="-"/>
    <s v="-"/>
    <s v="-"/>
    <s v="-"/>
    <s v="-"/>
    <s v="-"/>
    <n v="6"/>
    <n v="6"/>
    <s v="-"/>
    <n v="1"/>
    <n v="1"/>
    <n v="2"/>
    <n v="2"/>
    <n v="8"/>
    <n v="8"/>
  </r>
  <r>
    <x v="2"/>
    <x v="57"/>
    <s v="-"/>
    <s v="3RD"/>
    <d v="1899-12-30T22:00:00"/>
    <n v="1"/>
    <x v="20"/>
    <n v="1.0500000000000001E-2"/>
    <s v="P"/>
    <s v="P"/>
    <s v="P"/>
    <s v="-"/>
    <s v="-"/>
    <n v="10.85"/>
    <n v="12.08"/>
    <s v="-"/>
    <s v="-"/>
    <s v="-"/>
    <s v="-"/>
    <n v="33.9"/>
    <s v="-"/>
    <n v="25.17"/>
    <s v="P"/>
    <s v="P"/>
    <s v="80% 20%"/>
    <n v="2"/>
    <n v="1"/>
    <n v="2"/>
    <n v="0"/>
    <n v="1"/>
    <s v="-"/>
    <s v="-"/>
    <s v="-"/>
    <s v="-"/>
    <n v="2"/>
    <s v="-"/>
    <n v="8"/>
    <n v="9"/>
    <n v="1"/>
    <n v="1"/>
    <n v="1"/>
    <n v="3"/>
    <n v="3"/>
    <n v="11"/>
    <n v="12"/>
  </r>
  <r>
    <x v="2"/>
    <x v="57"/>
    <d v="2026-03-10T00:00:00"/>
    <s v="3RD"/>
    <d v="1899-12-31T02:00:00"/>
    <n v="1"/>
    <x v="20"/>
    <n v="1.7999999999999999E-2"/>
    <s v="P"/>
    <s v="P"/>
    <s v="P"/>
    <s v="-"/>
    <s v="-"/>
    <n v="10.37"/>
    <n v="10.89"/>
    <n v="0.56000000000000005"/>
    <n v="63.9"/>
    <s v="-"/>
    <s v="-"/>
    <n v="30.2"/>
    <s v="-"/>
    <s v="-"/>
    <s v="P"/>
    <s v="P"/>
    <s v="-"/>
    <n v="2"/>
    <n v="1"/>
    <n v="2"/>
    <n v="0"/>
    <n v="0"/>
    <n v="2"/>
    <n v="2"/>
    <s v="-"/>
    <s v="-"/>
    <n v="2"/>
    <s v="-"/>
    <n v="11"/>
    <n v="13"/>
    <s v="-"/>
    <n v="1"/>
    <n v="1"/>
    <n v="2"/>
    <n v="2"/>
    <n v="13"/>
    <n v="15"/>
  </r>
  <r>
    <x v="2"/>
    <x v="57"/>
    <d v="2026-03-10T00:00:00"/>
    <s v="3RD"/>
    <d v="1899-12-31T03:00:00"/>
    <n v="1"/>
    <x v="20"/>
    <n v="8.3000000000000001E-3"/>
    <s v="P"/>
    <s v="P"/>
    <s v="P"/>
    <s v="-"/>
    <s v="-"/>
    <n v="10.93"/>
    <s v="-"/>
    <s v="-"/>
    <s v="-"/>
    <s v="-"/>
    <s v="-"/>
    <s v="-"/>
    <s v="-"/>
    <s v="-"/>
    <s v="P"/>
    <s v="P"/>
    <s v="-"/>
    <n v="2"/>
    <n v="1"/>
    <n v="2"/>
    <n v="0"/>
    <s v="-"/>
    <s v="-"/>
    <s v="-"/>
    <s v="-"/>
    <s v="-"/>
    <s v="-"/>
    <s v="-"/>
    <n v="5"/>
    <n v="6"/>
    <s v="-"/>
    <n v="1"/>
    <n v="1"/>
    <n v="2"/>
    <n v="2"/>
    <n v="7"/>
    <n v="8"/>
  </r>
  <r>
    <x v="2"/>
    <x v="57"/>
    <d v="2026-03-10T00:00:00"/>
    <s v="3RD"/>
    <d v="1899-12-31T04:00:00"/>
    <n v="1"/>
    <x v="20"/>
    <n v="1.0200000000000001E-2"/>
    <s v="P"/>
    <s v="P"/>
    <s v="P"/>
    <s v="-"/>
    <s v="-"/>
    <n v="12.05"/>
    <s v="-"/>
    <s v="-"/>
    <s v="-"/>
    <s v="-"/>
    <s v="-"/>
    <s v="-"/>
    <s v="-"/>
    <s v="-"/>
    <s v="P"/>
    <s v="P"/>
    <s v="-"/>
    <n v="2"/>
    <n v="1"/>
    <n v="2"/>
    <n v="1"/>
    <s v="-"/>
    <s v="-"/>
    <s v="-"/>
    <s v="-"/>
    <s v="-"/>
    <s v="-"/>
    <s v="-"/>
    <n v="6"/>
    <n v="6"/>
    <s v="-"/>
    <n v="1"/>
    <n v="1"/>
    <n v="2"/>
    <n v="2"/>
    <n v="8"/>
    <n v="8"/>
  </r>
  <r>
    <x v="2"/>
    <x v="57"/>
    <d v="1899-12-30T00:00:00"/>
    <s v="1ST"/>
    <s v="08:00"/>
    <n v="2"/>
    <x v="14"/>
    <n v="1.1900000000000001E-2"/>
    <s v="P"/>
    <s v="P"/>
    <s v="P"/>
    <s v="-"/>
    <s v="+"/>
    <n v="10.47"/>
    <n v="8.8699999999999992"/>
    <n v="0.63"/>
    <n v="56.8"/>
    <n v="11.4"/>
    <n v="445"/>
    <n v="24.1"/>
    <s v="-"/>
    <s v="-"/>
    <s v="P"/>
    <s v="P"/>
    <s v="-"/>
    <n v="2"/>
    <n v="1"/>
    <n v="2"/>
    <n v="0"/>
    <n v="1"/>
    <n v="0"/>
    <n v="2"/>
    <n v="1"/>
    <n v="1"/>
    <n v="2"/>
    <s v="-"/>
    <n v="12"/>
    <n v="15"/>
    <s v="-"/>
    <n v="1"/>
    <n v="1"/>
    <n v="2"/>
    <n v="2"/>
    <n v="14"/>
    <n v="17"/>
  </r>
  <r>
    <x v="2"/>
    <x v="57"/>
    <d v="1899-12-30T00:00:00"/>
    <s v="1ST"/>
    <s v="09:00"/>
    <n v="2"/>
    <x v="14"/>
    <n v="9.4999999999999998E-3"/>
    <s v="P"/>
    <s v="P"/>
    <s v="P"/>
    <s v="-"/>
    <s v="+"/>
    <n v="10.68"/>
    <s v="-"/>
    <s v="-"/>
    <s v="-"/>
    <s v="-"/>
    <s v="-"/>
    <s v="-"/>
    <s v="-"/>
    <s v="-"/>
    <s v="P"/>
    <s v="P"/>
    <s v="-"/>
    <n v="2"/>
    <n v="1"/>
    <n v="2"/>
    <n v="0"/>
    <s v="-"/>
    <s v="-"/>
    <s v="-"/>
    <s v="-"/>
    <s v="-"/>
    <s v="-"/>
    <s v="-"/>
    <n v="5"/>
    <n v="6"/>
    <s v="-"/>
    <n v="1"/>
    <n v="1"/>
    <n v="2"/>
    <n v="2"/>
    <n v="7"/>
    <n v="8"/>
  </r>
  <r>
    <x v="2"/>
    <x v="57"/>
    <d v="1899-12-30T00:00:00"/>
    <s v="1ST"/>
    <s v="12:00"/>
    <n v="2"/>
    <x v="14"/>
    <n v="5.5999999999999999E-3"/>
    <s v="P"/>
    <s v="P"/>
    <s v="P"/>
    <s v="-"/>
    <s v="+"/>
    <n v="10.49"/>
    <s v="-"/>
    <s v="-"/>
    <s v="-"/>
    <s v="-"/>
    <s v="-"/>
    <s v="-"/>
    <s v="-"/>
    <s v="-"/>
    <s v="P"/>
    <s v="P"/>
    <s v="-"/>
    <n v="2"/>
    <n v="1"/>
    <n v="2"/>
    <n v="0"/>
    <s v="-"/>
    <s v="-"/>
    <s v="-"/>
    <s v="-"/>
    <s v="-"/>
    <s v="-"/>
    <s v="-"/>
    <n v="5"/>
    <n v="6"/>
    <s v="-"/>
    <n v="1"/>
    <n v="1"/>
    <n v="2"/>
    <n v="2"/>
    <n v="7"/>
    <n v="8"/>
  </r>
  <r>
    <x v="2"/>
    <x v="57"/>
    <d v="1899-12-30T00:00:00"/>
    <s v="1ST"/>
    <s v="13:00"/>
    <n v="2"/>
    <x v="14"/>
    <s v="-"/>
    <s v="P"/>
    <s v="P"/>
    <s v="P"/>
    <s v="-"/>
    <s v="+"/>
    <n v="10.35"/>
    <s v="-"/>
    <s v="-"/>
    <s v="-"/>
    <s v="-"/>
    <s v="-"/>
    <s v="-"/>
    <s v="-"/>
    <s v="-"/>
    <s v="P"/>
    <s v="P"/>
    <s v="-"/>
    <s v="-"/>
    <n v="1"/>
    <n v="2"/>
    <n v="0"/>
    <s v="-"/>
    <s v="-"/>
    <s v="-"/>
    <s v="-"/>
    <s v="-"/>
    <s v="-"/>
    <s v="-"/>
    <n v="3"/>
    <n v="4"/>
    <s v="-"/>
    <n v="1"/>
    <n v="1"/>
    <n v="2"/>
    <n v="2"/>
    <n v="5"/>
    <n v="6"/>
  </r>
  <r>
    <x v="2"/>
    <x v="57"/>
    <d v="1902-03-26T00:00:00"/>
    <s v="2ND"/>
    <d v="1899-12-30T14:00:00"/>
    <n v="2"/>
    <x v="14"/>
    <n v="7.4999999999999997E-3"/>
    <s v="P"/>
    <s v="P"/>
    <s v="P"/>
    <s v="-"/>
    <s v="+"/>
    <n v="10.62"/>
    <n v="8.91"/>
    <s v="-"/>
    <s v="-"/>
    <s v="-"/>
    <s v="-"/>
    <n v="24.18"/>
    <s v="-"/>
    <s v="-"/>
    <s v="P"/>
    <s v="P"/>
    <s v="-"/>
    <n v="2"/>
    <n v="1"/>
    <n v="2"/>
    <n v="0"/>
    <n v="1"/>
    <s v="-"/>
    <s v="-"/>
    <s v="-"/>
    <s v="-"/>
    <n v="2"/>
    <s v="-"/>
    <n v="8"/>
    <n v="9"/>
    <s v="-"/>
    <n v="1"/>
    <n v="1"/>
    <n v="2"/>
    <n v="2"/>
    <n v="10"/>
    <n v="11"/>
  </r>
  <r>
    <x v="2"/>
    <x v="57"/>
    <d v="1899-12-30T00:00:00"/>
    <s v="2ND"/>
    <d v="1899-12-30T15:00:00"/>
    <n v="2"/>
    <x v="14"/>
    <n v="1.1599999999999999E-2"/>
    <s v="P"/>
    <s v="P"/>
    <s v="P"/>
    <s v="-"/>
    <s v="+"/>
    <n v="10.39"/>
    <s v="-"/>
    <s v="-"/>
    <s v="-"/>
    <s v="-"/>
    <s v="-"/>
    <s v="-"/>
    <s v="-"/>
    <s v="-"/>
    <s v="P"/>
    <s v="P"/>
    <s v="-"/>
    <n v="2"/>
    <n v="1"/>
    <n v="2"/>
    <n v="0"/>
    <s v="-"/>
    <s v="-"/>
    <s v="-"/>
    <s v="-"/>
    <s v="-"/>
    <s v="-"/>
    <s v="-"/>
    <n v="5"/>
    <n v="6"/>
    <s v="-"/>
    <n v="1"/>
    <n v="1"/>
    <n v="2"/>
    <n v="2"/>
    <n v="7"/>
    <n v="8"/>
  </r>
  <r>
    <x v="2"/>
    <x v="57"/>
    <d v="1899-12-30T00:00:00"/>
    <s v="2ND"/>
    <d v="1899-12-30T16:00:00"/>
    <n v="2"/>
    <x v="14"/>
    <n v="1.4999999999999999E-2"/>
    <s v="P"/>
    <s v="P"/>
    <s v="P"/>
    <s v="-"/>
    <s v="+"/>
    <n v="10.48"/>
    <s v="-"/>
    <s v="-"/>
    <s v="-"/>
    <s v="-"/>
    <s v="-"/>
    <s v="-"/>
    <s v="-"/>
    <s v="-"/>
    <s v="P"/>
    <s v="P"/>
    <s v="-"/>
    <n v="2"/>
    <n v="1"/>
    <n v="2"/>
    <n v="0"/>
    <s v="-"/>
    <s v="-"/>
    <s v="-"/>
    <s v="-"/>
    <s v="-"/>
    <s v="-"/>
    <s v="-"/>
    <n v="5"/>
    <n v="6"/>
    <s v="-"/>
    <n v="1"/>
    <n v="1"/>
    <n v="2"/>
    <n v="2"/>
    <n v="7"/>
    <n v="8"/>
  </r>
  <r>
    <x v="2"/>
    <x v="57"/>
    <d v="1899-12-30T00:00:00"/>
    <s v="2ND"/>
    <d v="1899-12-30T19:00:00"/>
    <n v="2"/>
    <x v="14"/>
    <n v="1.15E-2"/>
    <s v="P"/>
    <s v="P"/>
    <s v="P"/>
    <s v="-"/>
    <s v="+"/>
    <n v="10.4"/>
    <s v="-"/>
    <s v="-"/>
    <s v="-"/>
    <s v="-"/>
    <s v="-"/>
    <s v="-"/>
    <s v="-"/>
    <s v="-"/>
    <s v="P"/>
    <s v="P"/>
    <s v="-"/>
    <n v="2"/>
    <n v="1"/>
    <n v="2"/>
    <n v="0"/>
    <s v="-"/>
    <s v="-"/>
    <s v="-"/>
    <s v="-"/>
    <s v="-"/>
    <s v="-"/>
    <s v="-"/>
    <n v="5"/>
    <n v="6"/>
    <s v="-"/>
    <n v="1"/>
    <n v="1"/>
    <n v="2"/>
    <n v="2"/>
    <n v="7"/>
    <n v="8"/>
  </r>
  <r>
    <x v="2"/>
    <x v="57"/>
    <d v="1899-12-30T00:00:00"/>
    <s v="2ND"/>
    <d v="1899-12-30T20:00:00"/>
    <n v="2"/>
    <x v="14"/>
    <n v="4.5999999999999999E-3"/>
    <s v="P"/>
    <s v="P"/>
    <s v="P"/>
    <s v="-"/>
    <s v="+"/>
    <n v="10.39"/>
    <s v="-"/>
    <s v="-"/>
    <s v="-"/>
    <s v="-"/>
    <s v="-"/>
    <s v="-"/>
    <s v="-"/>
    <s v="-"/>
    <s v="P"/>
    <s v="P"/>
    <s v="-"/>
    <n v="2"/>
    <n v="1"/>
    <n v="2"/>
    <n v="0"/>
    <s v="-"/>
    <s v="-"/>
    <s v="-"/>
    <s v="-"/>
    <s v="-"/>
    <s v="-"/>
    <s v="-"/>
    <n v="5"/>
    <n v="6"/>
    <s v="-"/>
    <n v="1"/>
    <n v="1"/>
    <n v="2"/>
    <n v="2"/>
    <n v="7"/>
    <n v="8"/>
  </r>
  <r>
    <x v="2"/>
    <x v="57"/>
    <d v="1899-12-30T00:00:00"/>
    <s v="2ND"/>
    <d v="1899-12-30T21:00:00"/>
    <n v="2"/>
    <x v="14"/>
    <n v="1.6199999999999999E-2"/>
    <s v="P"/>
    <s v="P"/>
    <s v="P"/>
    <s v="-"/>
    <s v="+"/>
    <n v="10.27"/>
    <s v="-"/>
    <s v="-"/>
    <s v="-"/>
    <s v="-"/>
    <s v="-"/>
    <s v="-"/>
    <s v="-"/>
    <s v="-"/>
    <s v="P"/>
    <s v="P"/>
    <s v="-"/>
    <n v="2"/>
    <n v="1"/>
    <n v="2"/>
    <n v="0"/>
    <s v="-"/>
    <s v="-"/>
    <s v="-"/>
    <s v="-"/>
    <s v="-"/>
    <s v="-"/>
    <s v="-"/>
    <n v="5"/>
    <n v="6"/>
    <s v="-"/>
    <n v="1"/>
    <n v="1"/>
    <n v="2"/>
    <n v="2"/>
    <n v="7"/>
    <n v="8"/>
  </r>
  <r>
    <x v="2"/>
    <x v="57"/>
    <d v="1902-03-26T00:00:00"/>
    <s v="3RD"/>
    <d v="1899-12-30T22:00:00"/>
    <n v="2"/>
    <x v="14"/>
    <n v="9.9000000000000008E-3"/>
    <s v="P"/>
    <s v="P"/>
    <s v="P"/>
    <s v="-"/>
    <s v="+"/>
    <n v="10.39"/>
    <n v="8.82"/>
    <s v="-"/>
    <s v="-"/>
    <s v="-"/>
    <s v="-"/>
    <n v="23.88"/>
    <s v="-"/>
    <n v="25.3"/>
    <s v="P"/>
    <s v="P"/>
    <s v="-"/>
    <n v="2"/>
    <n v="1"/>
    <n v="2"/>
    <n v="0"/>
    <n v="1"/>
    <s v="-"/>
    <s v="-"/>
    <s v="-"/>
    <s v="-"/>
    <n v="2"/>
    <s v="-"/>
    <n v="8"/>
    <n v="9"/>
    <n v="0"/>
    <n v="1"/>
    <n v="1"/>
    <n v="2"/>
    <n v="3"/>
    <n v="10"/>
    <n v="12"/>
  </r>
  <r>
    <x v="2"/>
    <x v="57"/>
    <d v="1899-12-30T00:00:00"/>
    <s v="3RD"/>
    <d v="1899-12-30T23:00:00"/>
    <n v="2"/>
    <x v="14"/>
    <n v="9.1000000000000004E-3"/>
    <s v="P"/>
    <s v="P"/>
    <s v="P"/>
    <s v="-"/>
    <s v="+"/>
    <n v="10.35"/>
    <s v="-"/>
    <s v="-"/>
    <s v="-"/>
    <s v="-"/>
    <s v="-"/>
    <s v="-"/>
    <s v="-"/>
    <s v="-"/>
    <s v="P"/>
    <s v="P"/>
    <s v="-"/>
    <n v="2"/>
    <n v="1"/>
    <n v="2"/>
    <n v="0"/>
    <s v="-"/>
    <s v="-"/>
    <s v="-"/>
    <s v="-"/>
    <s v="-"/>
    <s v="-"/>
    <s v="-"/>
    <n v="5"/>
    <n v="6"/>
    <s v="-"/>
    <n v="1"/>
    <n v="1"/>
    <n v="2"/>
    <n v="2"/>
    <n v="7"/>
    <n v="8"/>
  </r>
  <r>
    <x v="2"/>
    <x v="57"/>
    <d v="1899-12-30T00:00:00"/>
    <s v="3RD"/>
    <d v="1899-12-31T00:00:00"/>
    <n v="2"/>
    <x v="14"/>
    <n v="4.4999999999999997E-3"/>
    <s v="P"/>
    <s v="P"/>
    <s v="P"/>
    <s v="-"/>
    <s v="+"/>
    <n v="10.67"/>
    <s v="-"/>
    <s v="-"/>
    <s v="-"/>
    <s v="-"/>
    <s v="-"/>
    <s v="-"/>
    <s v="-"/>
    <s v="-"/>
    <s v="P"/>
    <s v="P"/>
    <s v="-"/>
    <n v="2"/>
    <n v="1"/>
    <n v="2"/>
    <n v="0"/>
    <s v="-"/>
    <s v="-"/>
    <s v="-"/>
    <s v="-"/>
    <s v="-"/>
    <s v="-"/>
    <s v="-"/>
    <n v="5"/>
    <n v="6"/>
    <s v="-"/>
    <n v="1"/>
    <n v="1"/>
    <n v="2"/>
    <n v="2"/>
    <n v="7"/>
    <n v="8"/>
  </r>
  <r>
    <x v="2"/>
    <x v="57"/>
    <d v="1899-12-30T00:00:00"/>
    <s v="3RD"/>
    <d v="1899-12-31T01:00:00"/>
    <n v="2"/>
    <x v="14"/>
    <n v="7.1999999999999998E-3"/>
    <s v="P"/>
    <s v="P"/>
    <s v="P"/>
    <s v="-"/>
    <s v="+"/>
    <n v="10.47"/>
    <s v="-"/>
    <s v="-"/>
    <s v="-"/>
    <s v="-"/>
    <s v="-"/>
    <s v="-"/>
    <s v="-"/>
    <s v="-"/>
    <s v="P"/>
    <s v="P"/>
    <s v="-"/>
    <n v="2"/>
    <n v="1"/>
    <n v="2"/>
    <n v="0"/>
    <s v="-"/>
    <s v="-"/>
    <s v="-"/>
    <s v="-"/>
    <s v="-"/>
    <s v="-"/>
    <s v="-"/>
    <n v="5"/>
    <n v="6"/>
    <s v="-"/>
    <n v="1"/>
    <n v="1"/>
    <n v="2"/>
    <n v="2"/>
    <n v="7"/>
    <n v="8"/>
  </r>
  <r>
    <x v="2"/>
    <x v="57"/>
    <d v="1899-12-30T00:00:00"/>
    <s v="3RD"/>
    <d v="1899-12-31T02:00:00"/>
    <n v="2"/>
    <x v="14"/>
    <n v="7.9000000000000008E-3"/>
    <s v="P"/>
    <s v="P"/>
    <s v="P"/>
    <s v="-"/>
    <s v="+"/>
    <n v="10.69"/>
    <s v="-"/>
    <s v="-"/>
    <s v="-"/>
    <s v="-"/>
    <s v="-"/>
    <s v="-"/>
    <s v="-"/>
    <s v="-"/>
    <s v="P"/>
    <s v="P"/>
    <s v="-"/>
    <n v="2"/>
    <n v="1"/>
    <n v="2"/>
    <n v="0"/>
    <s v="-"/>
    <s v="-"/>
    <s v="-"/>
    <s v="-"/>
    <s v="-"/>
    <s v="-"/>
    <s v="-"/>
    <n v="5"/>
    <n v="6"/>
    <s v="-"/>
    <n v="1"/>
    <n v="1"/>
    <n v="2"/>
    <n v="2"/>
    <n v="7"/>
    <n v="8"/>
  </r>
  <r>
    <x v="2"/>
    <x v="57"/>
    <d v="1899-12-30T00:00:00"/>
    <s v="3RD"/>
    <d v="1899-12-31T03:00:00"/>
    <n v="2"/>
    <x v="14"/>
    <n v="5.7999999999999996E-3"/>
    <s v="P"/>
    <s v="P"/>
    <s v="P"/>
    <s v="-"/>
    <s v="+"/>
    <n v="10.67"/>
    <s v="-"/>
    <s v="-"/>
    <s v="-"/>
    <s v="-"/>
    <s v="-"/>
    <s v="-"/>
    <s v="-"/>
    <s v="-"/>
    <s v="P"/>
    <s v="P"/>
    <s v="-"/>
    <n v="2"/>
    <n v="1"/>
    <n v="2"/>
    <n v="0"/>
    <s v="-"/>
    <s v="-"/>
    <s v="-"/>
    <s v="-"/>
    <s v="-"/>
    <s v="-"/>
    <s v="-"/>
    <n v="5"/>
    <n v="6"/>
    <s v="-"/>
    <n v="1"/>
    <n v="1"/>
    <n v="2"/>
    <n v="2"/>
    <n v="7"/>
    <n v="8"/>
  </r>
  <r>
    <x v="2"/>
    <x v="57"/>
    <d v="1899-12-30T00:00:00"/>
    <s v="3RD"/>
    <d v="1899-12-31T04:00:00"/>
    <n v="2"/>
    <x v="22"/>
    <n v="4.4000000000000003E-3"/>
    <s v="P"/>
    <s v="P"/>
    <s v="P"/>
    <s v="-"/>
    <s v="-"/>
    <n v="10.99"/>
    <n v="8.4600000000000009"/>
    <n v="0.59"/>
    <n v="55.3"/>
    <n v="12.5"/>
    <n v="277"/>
    <n v="22.85"/>
    <s v="-"/>
    <s v="-"/>
    <s v="P"/>
    <s v="P"/>
    <s v="-"/>
    <n v="2"/>
    <n v="1"/>
    <n v="2"/>
    <n v="0"/>
    <n v="0"/>
    <n v="2"/>
    <n v="2"/>
    <s v="-"/>
    <s v="-"/>
    <n v="2"/>
    <s v="-"/>
    <n v="11"/>
    <n v="13"/>
    <s v="-"/>
    <n v="1"/>
    <n v="1"/>
    <n v="2"/>
    <n v="2"/>
    <n v="13"/>
    <n v="15"/>
  </r>
  <r>
    <x v="2"/>
    <x v="58"/>
    <d v="1902-03-26T00:00:00"/>
    <s v="2ND"/>
    <d v="1899-12-30T19:00:00"/>
    <n v="2"/>
    <x v="7"/>
    <n v="1.6799999999999999E-2"/>
    <s v="P"/>
    <s v="P"/>
    <s v="P"/>
    <s v="-"/>
    <s v="+"/>
    <n v="10.4"/>
    <n v="8.7200000000000006"/>
    <n v="0.66"/>
    <n v="57.2"/>
    <n v="13.8"/>
    <n v="320"/>
    <n v="23.73"/>
    <s v="-"/>
    <s v="-"/>
    <s v="P"/>
    <s v="P"/>
    <s v="-"/>
    <n v="2"/>
    <n v="1"/>
    <n v="2"/>
    <n v="0"/>
    <n v="1"/>
    <n v="0"/>
    <n v="2"/>
    <n v="1"/>
    <n v="1"/>
    <n v="2"/>
    <s v="-"/>
    <n v="12"/>
    <n v="15"/>
    <s v="-"/>
    <n v="1"/>
    <n v="1"/>
    <n v="2"/>
    <n v="2"/>
    <n v="14"/>
    <n v="17"/>
  </r>
  <r>
    <x v="2"/>
    <x v="58"/>
    <d v="1899-12-30T00:00:00"/>
    <s v="2ND"/>
    <d v="1899-12-30T20:00:00"/>
    <n v="2"/>
    <x v="7"/>
    <n v="1.2699999999999999E-2"/>
    <s v="P"/>
    <s v="P"/>
    <s v="P"/>
    <s v="-"/>
    <s v="+"/>
    <n v="10.74"/>
    <s v="-"/>
    <s v="-"/>
    <s v="-"/>
    <s v="-"/>
    <s v="-"/>
    <s v="-"/>
    <s v="-"/>
    <s v="-"/>
    <s v="P"/>
    <s v="P"/>
    <s v="-"/>
    <n v="2"/>
    <n v="1"/>
    <n v="2"/>
    <n v="0"/>
    <s v="-"/>
    <s v="-"/>
    <s v="-"/>
    <s v="-"/>
    <s v="-"/>
    <s v="-"/>
    <s v="-"/>
    <n v="5"/>
    <n v="6"/>
    <s v="-"/>
    <n v="1"/>
    <n v="1"/>
    <n v="2"/>
    <n v="2"/>
    <n v="7"/>
    <n v="8"/>
  </r>
  <r>
    <x v="2"/>
    <x v="58"/>
    <d v="1902-03-26T00:00:00"/>
    <s v="3RD"/>
    <d v="1899-12-30T22:00:00"/>
    <n v="2"/>
    <x v="7"/>
    <n v="6.1000000000000004E-3"/>
    <s v="P"/>
    <s v="P"/>
    <s v="P"/>
    <s v="-"/>
    <s v="+"/>
    <n v="10.92"/>
    <n v="8.6199999999999992"/>
    <s v="-"/>
    <s v="-"/>
    <s v="-"/>
    <s v="-"/>
    <n v="23.21"/>
    <s v="-"/>
    <n v="25.14"/>
    <s v="P"/>
    <s v="P"/>
    <s v="-"/>
    <n v="2"/>
    <n v="1"/>
    <n v="2"/>
    <n v="0"/>
    <n v="1"/>
    <s v="-"/>
    <s v="-"/>
    <s v="-"/>
    <s v="-"/>
    <n v="2"/>
    <s v="-"/>
    <n v="8"/>
    <n v="9"/>
    <n v="1"/>
    <n v="1"/>
    <n v="1"/>
    <n v="3"/>
    <n v="3"/>
    <n v="11"/>
    <n v="12"/>
  </r>
  <r>
    <x v="2"/>
    <x v="58"/>
    <d v="1899-12-30T00:00:00"/>
    <s v="3RD"/>
    <d v="1899-12-30T23:00:00"/>
    <n v="2"/>
    <x v="7"/>
    <n v="5.4999999999999997E-3"/>
    <s v="P"/>
    <s v="P"/>
    <s v="P"/>
    <s v="-"/>
    <s v="+"/>
    <n v="10.99"/>
    <s v="-"/>
    <s v="-"/>
    <s v="-"/>
    <s v="-"/>
    <s v="-"/>
    <s v="-"/>
    <s v="-"/>
    <s v="-"/>
    <s v="P"/>
    <s v="P"/>
    <s v="-"/>
    <n v="2"/>
    <n v="1"/>
    <n v="2"/>
    <n v="0"/>
    <s v="-"/>
    <s v="-"/>
    <s v="-"/>
    <s v="-"/>
    <s v="-"/>
    <s v="-"/>
    <s v="-"/>
    <n v="5"/>
    <n v="6"/>
    <s v="-"/>
    <n v="1"/>
    <n v="1"/>
    <n v="2"/>
    <n v="2"/>
    <n v="7"/>
    <n v="8"/>
  </r>
  <r>
    <x v="2"/>
    <x v="58"/>
    <d v="1899-12-30T00:00:00"/>
    <s v="3RD"/>
    <d v="1899-12-31T00:00:00"/>
    <n v="2"/>
    <x v="7"/>
    <n v="5.7000000000000002E-3"/>
    <s v="P"/>
    <s v="P"/>
    <s v="P"/>
    <s v="-"/>
    <s v="+"/>
    <n v="10.94"/>
    <s v="-"/>
    <s v="-"/>
    <s v="-"/>
    <s v="-"/>
    <s v="-"/>
    <s v="-"/>
    <s v="-"/>
    <s v="-"/>
    <s v="P"/>
    <s v="P"/>
    <s v="-"/>
    <n v="2"/>
    <n v="1"/>
    <n v="2"/>
    <n v="0"/>
    <s v="-"/>
    <s v="-"/>
    <s v="-"/>
    <s v="-"/>
    <s v="-"/>
    <s v="-"/>
    <s v="-"/>
    <n v="5"/>
    <n v="6"/>
    <s v="-"/>
    <n v="1"/>
    <n v="1"/>
    <n v="2"/>
    <n v="2"/>
    <n v="7"/>
    <n v="8"/>
  </r>
  <r>
    <x v="2"/>
    <x v="58"/>
    <d v="1899-12-30T00:00:00"/>
    <s v="3RD"/>
    <d v="1899-12-31T01:00:00"/>
    <n v="2"/>
    <x v="7"/>
    <n v="8.3999999999999995E-3"/>
    <s v="P"/>
    <s v="P"/>
    <s v="P"/>
    <s v="-"/>
    <s v="+"/>
    <n v="10.87"/>
    <s v="-"/>
    <s v="-"/>
    <s v="-"/>
    <s v="-"/>
    <s v="-"/>
    <s v="-"/>
    <s v="-"/>
    <s v="-"/>
    <s v="P"/>
    <s v="P"/>
    <s v="-"/>
    <n v="2"/>
    <n v="1"/>
    <n v="2"/>
    <n v="0"/>
    <s v="-"/>
    <s v="-"/>
    <s v="-"/>
    <s v="-"/>
    <s v="-"/>
    <s v="-"/>
    <s v="-"/>
    <n v="5"/>
    <n v="6"/>
    <s v="-"/>
    <n v="1"/>
    <n v="1"/>
    <n v="2"/>
    <n v="2"/>
    <n v="7"/>
    <n v="8"/>
  </r>
  <r>
    <x v="2"/>
    <x v="58"/>
    <d v="1899-12-30T00:00:00"/>
    <s v="3RD"/>
    <d v="1899-12-31T02:00:00"/>
    <n v="2"/>
    <x v="7"/>
    <n v="5.1000000000000004E-3"/>
    <s v="P"/>
    <s v="P"/>
    <s v="P"/>
    <s v="-"/>
    <s v="+"/>
    <n v="10.98"/>
    <s v="-"/>
    <s v="-"/>
    <s v="-"/>
    <s v="-"/>
    <s v="-"/>
    <s v="-"/>
    <s v="-"/>
    <s v="-"/>
    <s v="P"/>
    <s v="P"/>
    <s v="-"/>
    <n v="2"/>
    <n v="1"/>
    <n v="2"/>
    <n v="0"/>
    <s v="-"/>
    <s v="-"/>
    <s v="-"/>
    <s v="-"/>
    <s v="-"/>
    <s v="-"/>
    <s v="-"/>
    <n v="5"/>
    <n v="6"/>
    <s v="-"/>
    <n v="1"/>
    <n v="1"/>
    <n v="2"/>
    <n v="2"/>
    <n v="7"/>
    <n v="8"/>
  </r>
  <r>
    <x v="2"/>
    <x v="58"/>
    <d v="1899-12-30T00:00:00"/>
    <s v="3RD"/>
    <d v="1899-12-31T03:00:00"/>
    <n v="2"/>
    <x v="7"/>
    <n v="6.8999999999999999E-3"/>
    <s v="P"/>
    <s v="P"/>
    <s v="P"/>
    <s v="-"/>
    <s v="+"/>
    <n v="10.73"/>
    <s v="-"/>
    <s v="-"/>
    <s v="-"/>
    <s v="-"/>
    <s v="-"/>
    <s v="-"/>
    <s v="-"/>
    <s v="-"/>
    <s v="P"/>
    <s v="P"/>
    <s v="-"/>
    <n v="2"/>
    <n v="1"/>
    <n v="2"/>
    <n v="0"/>
    <s v="-"/>
    <s v="-"/>
    <s v="-"/>
    <s v="-"/>
    <s v="-"/>
    <s v="-"/>
    <s v="-"/>
    <n v="5"/>
    <n v="6"/>
    <s v="-"/>
    <n v="1"/>
    <n v="1"/>
    <n v="2"/>
    <n v="2"/>
    <n v="7"/>
    <n v="8"/>
  </r>
  <r>
    <x v="2"/>
    <x v="58"/>
    <d v="1899-12-30T00:00:00"/>
    <s v="3RD"/>
    <d v="1899-12-31T04:00:00"/>
    <n v="2"/>
    <x v="7"/>
    <n v="4.5999999999999999E-3"/>
    <s v="P"/>
    <s v="P"/>
    <s v="P"/>
    <s v="-"/>
    <s v="+"/>
    <n v="10.75"/>
    <s v="-"/>
    <s v="-"/>
    <s v="-"/>
    <s v="-"/>
    <s v="-"/>
    <s v="-"/>
    <s v="-"/>
    <s v="-"/>
    <s v="P"/>
    <s v="P"/>
    <s v="-"/>
    <n v="2"/>
    <n v="1"/>
    <n v="2"/>
    <n v="0"/>
    <s v="-"/>
    <s v="-"/>
    <s v="-"/>
    <s v="-"/>
    <s v="-"/>
    <s v="-"/>
    <s v="-"/>
    <n v="5"/>
    <n v="6"/>
    <s v="-"/>
    <n v="1"/>
    <n v="1"/>
    <n v="2"/>
    <n v="2"/>
    <n v="7"/>
    <n v="8"/>
  </r>
  <r>
    <x v="2"/>
    <x v="58"/>
    <d v="2026-02-25T00:00:00"/>
    <s v="1ST"/>
    <s v="06:00"/>
    <n v="3"/>
    <x v="0"/>
    <n v="7.7999999999999996E-3"/>
    <s v="P"/>
    <s v="P"/>
    <s v="P"/>
    <s v="+"/>
    <s v="+"/>
    <n v="11.84"/>
    <n v="12.86"/>
    <n v="0.56999999999999995"/>
    <n v="64.400000000000006"/>
    <s v="-"/>
    <s v="-"/>
    <n v="36.1"/>
    <s v="-"/>
    <s v="-"/>
    <s v="P"/>
    <s v="P"/>
    <s v="-"/>
    <n v="2"/>
    <n v="1"/>
    <n v="2"/>
    <n v="0"/>
    <n v="1"/>
    <n v="2"/>
    <n v="2"/>
    <s v="-"/>
    <s v="-"/>
    <n v="2"/>
    <s v="-"/>
    <n v="12"/>
    <n v="13"/>
    <s v="-"/>
    <n v="1"/>
    <n v="1"/>
    <n v="2"/>
    <n v="2"/>
    <n v="14"/>
    <n v="15"/>
  </r>
  <r>
    <x v="2"/>
    <x v="58"/>
    <d v="2026-02-25T00:00:00"/>
    <s v="1ST"/>
    <s v="07:00"/>
    <n v="3"/>
    <x v="0"/>
    <n v="1.03E-2"/>
    <s v="P"/>
    <s v="P"/>
    <s v="P"/>
    <s v="+"/>
    <s v="+"/>
    <n v="12.09"/>
    <s v="-"/>
    <s v="-"/>
    <s v="-"/>
    <s v="-"/>
    <s v="-"/>
    <s v="-"/>
    <s v="-"/>
    <s v="-"/>
    <s v="P"/>
    <s v="P"/>
    <s v="-"/>
    <n v="2"/>
    <n v="1"/>
    <n v="2"/>
    <n v="1"/>
    <s v="-"/>
    <s v="-"/>
    <s v="-"/>
    <s v="-"/>
    <s v="-"/>
    <s v="-"/>
    <s v="-"/>
    <n v="6"/>
    <n v="6"/>
    <s v="-"/>
    <n v="1"/>
    <n v="1"/>
    <n v="2"/>
    <n v="2"/>
    <n v="8"/>
    <n v="8"/>
  </r>
  <r>
    <x v="2"/>
    <x v="58"/>
    <s v="-"/>
    <s v="1ST"/>
    <s v="06:00"/>
    <n v="1"/>
    <x v="20"/>
    <n v="9.1999999999999998E-3"/>
    <s v="P"/>
    <s v="P"/>
    <s v="P"/>
    <s v="-"/>
    <s v="-"/>
    <n v="11.69"/>
    <n v="12.46"/>
    <n v="0.55000000000000004"/>
    <n v="65.8"/>
    <s v="-"/>
    <s v="-"/>
    <n v="34.9"/>
    <s v="-"/>
    <n v="25.13"/>
    <s v="P"/>
    <s v="P"/>
    <s v="-"/>
    <n v="2"/>
    <n v="1"/>
    <n v="2"/>
    <n v="1"/>
    <n v="1"/>
    <n v="2"/>
    <n v="2"/>
    <s v="-"/>
    <s v="-"/>
    <n v="2"/>
    <s v="-"/>
    <n v="13"/>
    <n v="13"/>
    <n v="1"/>
    <n v="1"/>
    <n v="1"/>
    <n v="3"/>
    <n v="3"/>
    <n v="16"/>
    <n v="16"/>
  </r>
  <r>
    <x v="2"/>
    <x v="58"/>
    <d v="2026-03-10T00:00:00"/>
    <s v="1ST"/>
    <s v="07:00"/>
    <n v="1"/>
    <x v="20"/>
    <n v="8.5000000000000006E-3"/>
    <s v="P"/>
    <s v="P"/>
    <s v="P"/>
    <s v="-"/>
    <s v="-"/>
    <n v="12.56"/>
    <s v="-"/>
    <s v="-"/>
    <s v="-"/>
    <s v="-"/>
    <s v="-"/>
    <s v="-"/>
    <s v="-"/>
    <s v="-"/>
    <s v="P"/>
    <s v="P"/>
    <s v="-"/>
    <n v="2"/>
    <n v="1"/>
    <n v="2"/>
    <n v="1"/>
    <s v="-"/>
    <s v="-"/>
    <s v="-"/>
    <s v="-"/>
    <s v="-"/>
    <s v="-"/>
    <s v="-"/>
    <n v="6"/>
    <n v="6"/>
    <s v="-"/>
    <n v="1"/>
    <n v="1"/>
    <n v="2"/>
    <n v="2"/>
    <n v="8"/>
    <n v="8"/>
  </r>
  <r>
    <x v="2"/>
    <x v="58"/>
    <d v="2026-03-10T00:00:00"/>
    <s v="1ST"/>
    <s v="08:00"/>
    <n v="1"/>
    <x v="20"/>
    <n v="5.7000000000000002E-3"/>
    <s v="P"/>
    <s v="P"/>
    <s v="P"/>
    <s v="-"/>
    <s v="-"/>
    <n v="12.98"/>
    <s v="-"/>
    <s v="-"/>
    <s v="-"/>
    <s v="-"/>
    <s v="-"/>
    <s v="-"/>
    <s v="-"/>
    <s v="-"/>
    <s v="P"/>
    <s v="P"/>
    <s v="-"/>
    <n v="2"/>
    <n v="1"/>
    <n v="2"/>
    <n v="1"/>
    <s v="-"/>
    <s v="-"/>
    <s v="-"/>
    <s v="-"/>
    <s v="-"/>
    <s v="-"/>
    <s v="-"/>
    <n v="6"/>
    <n v="6"/>
    <s v="-"/>
    <n v="1"/>
    <n v="1"/>
    <n v="2"/>
    <n v="2"/>
    <n v="8"/>
    <n v="8"/>
  </r>
  <r>
    <x v="2"/>
    <x v="58"/>
    <d v="2026-03-10T00:00:00"/>
    <s v="1ST"/>
    <s v="09:00"/>
    <n v="1"/>
    <x v="20"/>
    <n v="8.0999999999999996E-3"/>
    <s v="P"/>
    <s v="P"/>
    <s v="P"/>
    <s v="-"/>
    <s v="-"/>
    <n v="13.01"/>
    <s v="-"/>
    <s v="-"/>
    <s v="-"/>
    <s v="-"/>
    <s v="-"/>
    <s v="-"/>
    <s v="-"/>
    <s v="-"/>
    <s v="P"/>
    <s v="P"/>
    <s v="-"/>
    <n v="2"/>
    <n v="1"/>
    <n v="2"/>
    <n v="1"/>
    <s v="-"/>
    <s v="-"/>
    <s v="-"/>
    <s v="-"/>
    <s v="-"/>
    <s v="-"/>
    <s v="-"/>
    <n v="6"/>
    <n v="6"/>
    <s v="-"/>
    <n v="1"/>
    <n v="1"/>
    <n v="2"/>
    <n v="2"/>
    <n v="8"/>
    <n v="8"/>
  </r>
  <r>
    <x v="2"/>
    <x v="58"/>
    <d v="2026-02-25T00:00:00"/>
    <s v="1ST"/>
    <s v="09:00"/>
    <n v="3"/>
    <x v="31"/>
    <n v="8.0000000000000002E-3"/>
    <s v="P"/>
    <s v="P"/>
    <s v="P"/>
    <s v="+"/>
    <s v="+"/>
    <n v="12.05"/>
    <n v="12.51"/>
    <n v="0.52"/>
    <n v="64.2"/>
    <n v="13.2"/>
    <n v="743"/>
    <n v="35"/>
    <s v="-"/>
    <s v="-"/>
    <s v="P"/>
    <s v="P"/>
    <s v="-"/>
    <n v="2"/>
    <n v="1"/>
    <n v="2"/>
    <n v="0"/>
    <n v="0"/>
    <n v="2"/>
    <n v="0"/>
    <n v="1"/>
    <n v="1"/>
    <n v="2"/>
    <s v="-"/>
    <n v="11"/>
    <n v="15"/>
    <s v="-"/>
    <n v="1"/>
    <n v="1"/>
    <n v="2"/>
    <n v="2"/>
    <n v="13"/>
    <n v="17"/>
  </r>
  <r>
    <x v="2"/>
    <x v="58"/>
    <d v="2026-02-25T00:00:00"/>
    <s v="1ST"/>
    <s v="11:00"/>
    <n v="3"/>
    <x v="31"/>
    <n v="9.7000000000000003E-3"/>
    <s v="P"/>
    <s v="P"/>
    <s v="P"/>
    <s v="+"/>
    <s v="+"/>
    <n v="11.88"/>
    <s v="-"/>
    <s v="-"/>
    <s v="-"/>
    <s v="-"/>
    <s v="-"/>
    <s v="-"/>
    <s v="-"/>
    <s v="-"/>
    <s v="P"/>
    <s v="P"/>
    <s v="-"/>
    <n v="2"/>
    <n v="1"/>
    <n v="2"/>
    <n v="0"/>
    <s v="-"/>
    <s v="-"/>
    <s v="-"/>
    <s v="-"/>
    <s v="-"/>
    <s v="-"/>
    <s v="-"/>
    <n v="5"/>
    <n v="6"/>
    <s v="-"/>
    <n v="1"/>
    <n v="1"/>
    <n v="2"/>
    <n v="2"/>
    <n v="7"/>
    <n v="8"/>
  </r>
  <r>
    <x v="2"/>
    <x v="58"/>
    <d v="2026-02-25T00:00:00"/>
    <s v="1ST"/>
    <s v="12:00"/>
    <n v="3"/>
    <x v="31"/>
    <n v="8.0000000000000002E-3"/>
    <s v="P"/>
    <s v="P"/>
    <s v="P"/>
    <s v="+"/>
    <s v="+"/>
    <s v="-"/>
    <s v="-"/>
    <s v="-"/>
    <s v="-"/>
    <s v="-"/>
    <s v="-"/>
    <s v="-"/>
    <s v="-"/>
    <s v="-"/>
    <s v="-"/>
    <s v="-"/>
    <s v="-"/>
    <n v="2"/>
    <n v="1"/>
    <n v="2"/>
    <s v="-"/>
    <s v="-"/>
    <s v="-"/>
    <s v="-"/>
    <s v="-"/>
    <s v="-"/>
    <s v="-"/>
    <s v="-"/>
    <n v="5"/>
    <n v="5"/>
    <s v="-"/>
    <s v="-"/>
    <s v="-"/>
    <n v="0"/>
    <n v="0"/>
    <n v="5"/>
    <n v="5"/>
  </r>
  <r>
    <x v="2"/>
    <x v="58"/>
    <d v="2026-02-25T00:00:00"/>
    <s v="1ST"/>
    <s v="13:00"/>
    <n v="3"/>
    <x v="31"/>
    <n v="1.09E-2"/>
    <s v="P"/>
    <s v="P"/>
    <s v="P"/>
    <s v="+"/>
    <s v="+"/>
    <n v="12.85"/>
    <s v="-"/>
    <s v="-"/>
    <s v="-"/>
    <s v="-"/>
    <s v="-"/>
    <s v="-"/>
    <s v="-"/>
    <s v="-"/>
    <s v="P"/>
    <s v="P"/>
    <s v="-"/>
    <n v="2"/>
    <n v="1"/>
    <n v="2"/>
    <n v="0"/>
    <s v="-"/>
    <s v="-"/>
    <s v="-"/>
    <s v="-"/>
    <s v="-"/>
    <s v="-"/>
    <s v="-"/>
    <n v="5"/>
    <n v="6"/>
    <s v="-"/>
    <n v="1"/>
    <n v="1"/>
    <n v="2"/>
    <n v="2"/>
    <n v="7"/>
    <n v="8"/>
  </r>
  <r>
    <x v="2"/>
    <x v="58"/>
    <d v="2026-02-25T00:00:00"/>
    <s v="2ND"/>
    <d v="1899-12-30T14:00:00"/>
    <n v="3"/>
    <x v="31"/>
    <n v="1.6199999999999999E-2"/>
    <s v="P"/>
    <s v="P"/>
    <s v="P"/>
    <s v="+"/>
    <s v="+"/>
    <n v="12.21"/>
    <n v="12.27"/>
    <s v="-"/>
    <s v="-"/>
    <s v="-"/>
    <s v="-"/>
    <n v="34.200000000000003"/>
    <s v="-"/>
    <s v="-"/>
    <s v="P"/>
    <s v="P"/>
    <s v="60% 40%"/>
    <n v="2"/>
    <n v="1"/>
    <n v="2"/>
    <n v="0"/>
    <n v="1"/>
    <s v="-"/>
    <s v="-"/>
    <s v="-"/>
    <s v="-"/>
    <n v="2"/>
    <s v="-"/>
    <n v="8"/>
    <n v="9"/>
    <s v="-"/>
    <n v="1"/>
    <n v="1"/>
    <n v="2"/>
    <n v="2"/>
    <n v="10"/>
    <n v="11"/>
  </r>
  <r>
    <x v="2"/>
    <x v="58"/>
    <d v="2026-03-09T00:00:00"/>
    <s v="1ST"/>
    <s v="12:00"/>
    <n v="1"/>
    <x v="22"/>
    <n v="4.1999999999999997E-3"/>
    <s v="P"/>
    <s v="P"/>
    <s v="P"/>
    <s v="-"/>
    <s v="-"/>
    <n v="10.95"/>
    <n v="8.39"/>
    <n v="0.62"/>
    <s v="-"/>
    <s v="-"/>
    <s v="-"/>
    <n v="22.5"/>
    <s v="-"/>
    <n v="25.19"/>
    <s v="P"/>
    <s v="P"/>
    <s v="-"/>
    <n v="2"/>
    <n v="1"/>
    <n v="2"/>
    <n v="0"/>
    <n v="0"/>
    <n v="0"/>
    <s v="-"/>
    <s v="-"/>
    <s v="-"/>
    <n v="2"/>
    <s v="-"/>
    <n v="7"/>
    <n v="11"/>
    <n v="1"/>
    <n v="1"/>
    <n v="1"/>
    <n v="3"/>
    <n v="3"/>
    <n v="10"/>
    <n v="14"/>
  </r>
  <r>
    <x v="2"/>
    <x v="58"/>
    <d v="2026-03-09T00:00:00"/>
    <s v="1ST"/>
    <s v="13:00"/>
    <n v="1"/>
    <x v="22"/>
    <n v="5.5999999999999999E-3"/>
    <s v="P"/>
    <s v="P"/>
    <s v="P"/>
    <s v="-"/>
    <s v="-"/>
    <n v="11.17"/>
    <s v="-"/>
    <s v="-"/>
    <s v="-"/>
    <s v="-"/>
    <s v="-"/>
    <s v="-"/>
    <s v="-"/>
    <s v="-"/>
    <s v="P"/>
    <s v="P"/>
    <s v="-"/>
    <n v="2"/>
    <n v="1"/>
    <n v="2"/>
    <n v="1"/>
    <s v="-"/>
    <s v="-"/>
    <s v="-"/>
    <s v="-"/>
    <s v="-"/>
    <s v="-"/>
    <s v="-"/>
    <n v="6"/>
    <n v="6"/>
    <s v="-"/>
    <n v="1"/>
    <n v="1"/>
    <n v="2"/>
    <n v="2"/>
    <n v="8"/>
    <n v="8"/>
  </r>
  <r>
    <x v="2"/>
    <x v="58"/>
    <d v="1899-12-30T00:00:00"/>
    <s v="1ST"/>
    <s v="06:00"/>
    <n v="2"/>
    <x v="22"/>
    <n v="7.4000000000000003E-3"/>
    <s v="P"/>
    <s v="P"/>
    <s v="P"/>
    <s v="-"/>
    <s v="-"/>
    <n v="10.26"/>
    <n v="8.4499999999999993"/>
    <n v="0.62"/>
    <n v="54.5"/>
    <s v="-"/>
    <s v="-"/>
    <n v="22.18"/>
    <s v="-"/>
    <n v="25.16"/>
    <s v="P"/>
    <s v="P"/>
    <s v="-"/>
    <n v="2"/>
    <n v="1"/>
    <n v="2"/>
    <n v="0"/>
    <n v="0"/>
    <n v="0"/>
    <n v="2"/>
    <s v="-"/>
    <s v="-"/>
    <n v="2"/>
    <s v="-"/>
    <n v="9"/>
    <n v="13"/>
    <n v="1"/>
    <n v="1"/>
    <n v="1"/>
    <n v="3"/>
    <n v="3"/>
    <n v="12"/>
    <n v="16"/>
  </r>
  <r>
    <x v="2"/>
    <x v="58"/>
    <d v="1899-12-30T00:00:00"/>
    <s v="1ST"/>
    <s v="07:00"/>
    <n v="2"/>
    <x v="22"/>
    <n v="5.4000000000000003E-3"/>
    <s v="P"/>
    <s v="P"/>
    <s v="P"/>
    <s v="-"/>
    <s v="-"/>
    <n v="10.95"/>
    <s v="-"/>
    <s v="-"/>
    <s v="-"/>
    <s v="-"/>
    <s v="-"/>
    <s v="-"/>
    <s v="-"/>
    <s v="-"/>
    <s v="P"/>
    <s v="P"/>
    <s v="-"/>
    <n v="2"/>
    <n v="1"/>
    <n v="2"/>
    <n v="0"/>
    <s v="-"/>
    <s v="-"/>
    <s v="-"/>
    <s v="-"/>
    <s v="-"/>
    <s v="-"/>
    <s v="-"/>
    <n v="5"/>
    <n v="6"/>
    <s v="-"/>
    <n v="1"/>
    <n v="1"/>
    <n v="2"/>
    <n v="2"/>
    <n v="7"/>
    <n v="8"/>
  </r>
  <r>
    <x v="2"/>
    <x v="58"/>
    <d v="1899-12-30T00:00:00"/>
    <s v="1ST"/>
    <s v="08:00"/>
    <n v="2"/>
    <x v="22"/>
    <n v="2.8E-3"/>
    <s v="P"/>
    <s v="P"/>
    <s v="P"/>
    <s v="-"/>
    <s v="-"/>
    <n v="11"/>
    <s v="-"/>
    <s v="-"/>
    <s v="-"/>
    <s v="-"/>
    <s v="-"/>
    <s v="-"/>
    <s v="-"/>
    <s v="-"/>
    <s v="P"/>
    <s v="P"/>
    <s v="-"/>
    <n v="2"/>
    <n v="1"/>
    <n v="2"/>
    <n v="1"/>
    <s v="-"/>
    <s v="-"/>
    <s v="-"/>
    <s v="-"/>
    <s v="-"/>
    <s v="-"/>
    <s v="-"/>
    <n v="6"/>
    <n v="6"/>
    <s v="-"/>
    <n v="1"/>
    <n v="1"/>
    <n v="2"/>
    <n v="2"/>
    <n v="8"/>
    <n v="8"/>
  </r>
  <r>
    <x v="2"/>
    <x v="58"/>
    <d v="1899-12-30T00:00:00"/>
    <s v="1ST"/>
    <s v="09:00"/>
    <n v="2"/>
    <x v="22"/>
    <n v="5.1000000000000004E-3"/>
    <s v="P"/>
    <s v="P"/>
    <s v="P"/>
    <s v="-"/>
    <s v="-"/>
    <n v="11"/>
    <s v="-"/>
    <s v="-"/>
    <s v="-"/>
    <s v="-"/>
    <s v="-"/>
    <s v="-"/>
    <s v="-"/>
    <s v="-"/>
    <s v="P"/>
    <s v="P"/>
    <s v="-"/>
    <n v="2"/>
    <n v="1"/>
    <n v="2"/>
    <n v="1"/>
    <s v="-"/>
    <s v="-"/>
    <s v="-"/>
    <s v="-"/>
    <s v="-"/>
    <s v="-"/>
    <s v="-"/>
    <n v="6"/>
    <n v="6"/>
    <s v="-"/>
    <n v="1"/>
    <n v="1"/>
    <n v="2"/>
    <n v="2"/>
    <n v="8"/>
    <n v="8"/>
  </r>
  <r>
    <x v="2"/>
    <x v="58"/>
    <d v="1899-12-30T00:00:00"/>
    <s v="1ST"/>
    <s v="11:00"/>
    <n v="2"/>
    <x v="22"/>
    <n v="4.3E-3"/>
    <s v="P"/>
    <s v="P"/>
    <s v="P"/>
    <s v="-"/>
    <s v="-"/>
    <n v="10.98"/>
    <s v="-"/>
    <s v="-"/>
    <s v="-"/>
    <s v="-"/>
    <s v="-"/>
    <s v="-"/>
    <s v="-"/>
    <s v="-"/>
    <s v="P"/>
    <s v="P"/>
    <s v="-"/>
    <n v="2"/>
    <n v="1"/>
    <n v="2"/>
    <n v="0"/>
    <s v="-"/>
    <s v="-"/>
    <s v="-"/>
    <s v="-"/>
    <s v="-"/>
    <s v="-"/>
    <s v="-"/>
    <n v="5"/>
    <n v="6"/>
    <s v="-"/>
    <n v="1"/>
    <n v="1"/>
    <n v="2"/>
    <n v="2"/>
    <n v="7"/>
    <n v="8"/>
  </r>
  <r>
    <x v="2"/>
    <x v="58"/>
    <d v="1899-12-30T00:00:00"/>
    <s v="1ST"/>
    <s v="12:00"/>
    <n v="2"/>
    <x v="22"/>
    <n v="8.5000000000000006E-3"/>
    <s v="P"/>
    <s v="P"/>
    <s v="P"/>
    <s v="-"/>
    <s v="-"/>
    <n v="10.87"/>
    <s v="-"/>
    <s v="-"/>
    <s v="-"/>
    <s v="-"/>
    <s v="-"/>
    <s v="-"/>
    <s v="-"/>
    <s v="-"/>
    <s v="P"/>
    <s v="P"/>
    <s v="-"/>
    <n v="2"/>
    <n v="1"/>
    <n v="2"/>
    <n v="0"/>
    <s v="-"/>
    <s v="-"/>
    <s v="-"/>
    <s v="-"/>
    <s v="-"/>
    <s v="-"/>
    <s v="-"/>
    <n v="5"/>
    <n v="6"/>
    <s v="-"/>
    <n v="1"/>
    <n v="1"/>
    <n v="2"/>
    <n v="2"/>
    <n v="7"/>
    <n v="8"/>
  </r>
  <r>
    <x v="2"/>
    <x v="58"/>
    <d v="1899-12-30T00:00:00"/>
    <s v="1ST"/>
    <s v="13:00"/>
    <n v="2"/>
    <x v="22"/>
    <n v="6.1000000000000004E-3"/>
    <s v="P"/>
    <s v="P"/>
    <s v="P"/>
    <s v="-"/>
    <s v="-"/>
    <n v="10.95"/>
    <s v="-"/>
    <s v="-"/>
    <s v="-"/>
    <s v="-"/>
    <s v="-"/>
    <s v="-"/>
    <s v="-"/>
    <s v="-"/>
    <s v="P"/>
    <s v="P"/>
    <s v="-"/>
    <n v="2"/>
    <n v="1"/>
    <n v="2"/>
    <n v="0"/>
    <s v="-"/>
    <s v="-"/>
    <s v="-"/>
    <s v="-"/>
    <s v="-"/>
    <s v="-"/>
    <s v="-"/>
    <n v="5"/>
    <n v="6"/>
    <s v="-"/>
    <n v="1"/>
    <n v="1"/>
    <n v="2"/>
    <n v="2"/>
    <n v="7"/>
    <n v="8"/>
  </r>
  <r>
    <x v="2"/>
    <x v="58"/>
    <s v="-"/>
    <s v="2ND"/>
    <d v="1899-12-30T14:00:00"/>
    <n v="1"/>
    <x v="22"/>
    <n v="8.3999999999999995E-3"/>
    <s v="P"/>
    <s v="P"/>
    <s v="P"/>
    <s v="-"/>
    <s v="-"/>
    <n v="11.14"/>
    <n v="8.59"/>
    <s v="-"/>
    <s v="-"/>
    <s v="-"/>
    <s v="-"/>
    <n v="23"/>
    <s v="-"/>
    <s v="-"/>
    <s v="P"/>
    <s v="P"/>
    <n v="1"/>
    <n v="2"/>
    <n v="1"/>
    <n v="2"/>
    <n v="1"/>
    <n v="1"/>
    <s v="-"/>
    <s v="-"/>
    <s v="-"/>
    <s v="-"/>
    <n v="2"/>
    <s v="-"/>
    <n v="9"/>
    <n v="9"/>
    <s v="-"/>
    <n v="1"/>
    <n v="1"/>
    <n v="2"/>
    <n v="2"/>
    <n v="11"/>
    <n v="11"/>
  </r>
  <r>
    <x v="2"/>
    <x v="58"/>
    <d v="2026-03-09T00:00:00"/>
    <s v="2ND"/>
    <d v="1899-12-30T15:00:00"/>
    <n v="1"/>
    <x v="22"/>
    <n v="5.4000000000000003E-3"/>
    <s v="P"/>
    <s v="P"/>
    <s v="P"/>
    <s v="-"/>
    <s v="-"/>
    <n v="11.09"/>
    <s v="-"/>
    <s v="-"/>
    <s v="-"/>
    <s v="-"/>
    <s v="-"/>
    <s v="-"/>
    <s v="-"/>
    <s v="-"/>
    <s v="P"/>
    <s v="P"/>
    <s v="-"/>
    <n v="2"/>
    <n v="1"/>
    <n v="2"/>
    <n v="1"/>
    <s v="-"/>
    <s v="-"/>
    <s v="-"/>
    <s v="-"/>
    <s v="-"/>
    <s v="-"/>
    <s v="-"/>
    <n v="6"/>
    <n v="6"/>
    <s v="-"/>
    <n v="1"/>
    <n v="1"/>
    <n v="2"/>
    <n v="2"/>
    <n v="8"/>
    <n v="8"/>
  </r>
  <r>
    <x v="2"/>
    <x v="58"/>
    <d v="2026-03-09T00:00:00"/>
    <s v="2ND"/>
    <d v="1899-12-30T16:00:00"/>
    <n v="1"/>
    <x v="22"/>
    <n v="5.8999999999999999E-3"/>
    <s v="P"/>
    <s v="P"/>
    <s v="P"/>
    <s v="-"/>
    <s v="-"/>
    <n v="11.2"/>
    <s v="-"/>
    <s v="-"/>
    <s v="-"/>
    <s v="-"/>
    <s v="-"/>
    <s v="-"/>
    <s v="-"/>
    <s v="-"/>
    <s v="P"/>
    <s v="P"/>
    <s v="-"/>
    <n v="2"/>
    <n v="1"/>
    <n v="2"/>
    <n v="1"/>
    <s v="-"/>
    <s v="-"/>
    <s v="-"/>
    <s v="-"/>
    <s v="-"/>
    <s v="-"/>
    <s v="-"/>
    <n v="6"/>
    <n v="6"/>
    <s v="-"/>
    <n v="1"/>
    <n v="1"/>
    <n v="2"/>
    <n v="2"/>
    <n v="8"/>
    <n v="8"/>
  </r>
  <r>
    <x v="2"/>
    <x v="58"/>
    <d v="2026-03-09T00:00:00"/>
    <s v="2ND"/>
    <d v="1899-12-30T17:00:00"/>
    <n v="1"/>
    <x v="22"/>
    <n v="1.4E-2"/>
    <s v="P"/>
    <s v="P"/>
    <s v="P"/>
    <s v="-"/>
    <s v="-"/>
    <n v="11.16"/>
    <s v="-"/>
    <s v="-"/>
    <s v="-"/>
    <s v="-"/>
    <s v="-"/>
    <s v="-"/>
    <s v="-"/>
    <s v="-"/>
    <s v="P"/>
    <s v="P"/>
    <s v="-"/>
    <n v="2"/>
    <n v="1"/>
    <n v="2"/>
    <n v="1"/>
    <s v="-"/>
    <s v="-"/>
    <s v="-"/>
    <s v="-"/>
    <s v="-"/>
    <s v="-"/>
    <s v="-"/>
    <n v="6"/>
    <n v="6"/>
    <s v="-"/>
    <n v="1"/>
    <n v="1"/>
    <n v="2"/>
    <n v="2"/>
    <n v="8"/>
    <n v="8"/>
  </r>
  <r>
    <x v="2"/>
    <x v="58"/>
    <d v="2026-03-09T00:00:00"/>
    <s v="2ND"/>
    <d v="1899-12-30T20:00:00"/>
    <n v="1"/>
    <x v="22"/>
    <n v="4.1999999999999997E-3"/>
    <s v="P"/>
    <s v="P"/>
    <s v="P"/>
    <s v="-"/>
    <s v="-"/>
    <n v="11.19"/>
    <s v="-"/>
    <s v="-"/>
    <s v="-"/>
    <s v="-"/>
    <s v="-"/>
    <s v="-"/>
    <s v="-"/>
    <s v="-"/>
    <s v="P"/>
    <s v="P"/>
    <s v="-"/>
    <n v="2"/>
    <n v="1"/>
    <n v="2"/>
    <n v="1"/>
    <s v="-"/>
    <s v="-"/>
    <s v="-"/>
    <s v="-"/>
    <s v="-"/>
    <s v="-"/>
    <s v="-"/>
    <n v="6"/>
    <n v="6"/>
    <s v="-"/>
    <n v="1"/>
    <n v="1"/>
    <n v="2"/>
    <n v="2"/>
    <n v="8"/>
    <n v="8"/>
  </r>
  <r>
    <x v="2"/>
    <x v="58"/>
    <d v="1902-03-23T00:00:00"/>
    <s v="2ND"/>
    <d v="1899-12-30T16:00:00"/>
    <n v="2"/>
    <x v="22"/>
    <n v="3.0000000000000001E-3"/>
    <s v="P"/>
    <s v="P"/>
    <s v="P"/>
    <s v="-"/>
    <s v="-"/>
    <n v="10.74"/>
    <n v="8.31"/>
    <s v="-"/>
    <s v="-"/>
    <s v="-"/>
    <s v="-"/>
    <n v="22.28"/>
    <s v="-"/>
    <s v="-"/>
    <s v="P"/>
    <s v="P"/>
    <s v="-"/>
    <n v="2"/>
    <n v="1"/>
    <n v="2"/>
    <n v="0"/>
    <n v="0"/>
    <s v="-"/>
    <s v="-"/>
    <s v="-"/>
    <s v="-"/>
    <n v="2"/>
    <s v="-"/>
    <n v="7"/>
    <n v="9"/>
    <s v="-"/>
    <n v="1"/>
    <n v="1"/>
    <n v="2"/>
    <n v="2"/>
    <n v="9"/>
    <n v="11"/>
  </r>
  <r>
    <x v="2"/>
    <x v="58"/>
    <s v="-"/>
    <s v="3RD"/>
    <d v="1899-12-30T22:00:00"/>
    <n v="1"/>
    <x v="22"/>
    <n v="4.7999999999999996E-3"/>
    <s v="P"/>
    <s v="P"/>
    <s v="P"/>
    <s v="-"/>
    <s v="-"/>
    <n v="11.28"/>
    <n v="8.4499999999999993"/>
    <s v="-"/>
    <s v="-"/>
    <s v="-"/>
    <s v="-"/>
    <n v="22.64"/>
    <s v="-"/>
    <n v="25.19"/>
    <s v="P"/>
    <s v="P"/>
    <n v="1"/>
    <n v="2"/>
    <n v="1"/>
    <n v="2"/>
    <n v="1"/>
    <n v="0"/>
    <s v="-"/>
    <s v="-"/>
    <s v="-"/>
    <s v="-"/>
    <n v="2"/>
    <s v="-"/>
    <n v="8"/>
    <n v="9"/>
    <n v="1"/>
    <n v="1"/>
    <n v="1"/>
    <n v="3"/>
    <n v="3"/>
    <n v="11"/>
    <n v="12"/>
  </r>
  <r>
    <x v="2"/>
    <x v="58"/>
    <d v="2026-03-09T00:00:00"/>
    <s v="3RD"/>
    <d v="1899-12-30T23:00:00"/>
    <n v="1"/>
    <x v="22"/>
    <n v="5.3E-3"/>
    <s v="P"/>
    <s v="P"/>
    <s v="P"/>
    <s v="-"/>
    <s v="-"/>
    <n v="11.3"/>
    <s v="-"/>
    <s v="-"/>
    <s v="-"/>
    <s v="-"/>
    <s v="-"/>
    <s v="-"/>
    <s v="-"/>
    <s v="-"/>
    <s v="P"/>
    <s v="P"/>
    <s v="-"/>
    <n v="2"/>
    <n v="1"/>
    <n v="2"/>
    <n v="1"/>
    <s v="-"/>
    <s v="-"/>
    <s v="-"/>
    <s v="-"/>
    <s v="-"/>
    <s v="-"/>
    <s v="-"/>
    <n v="6"/>
    <n v="6"/>
    <s v="-"/>
    <n v="1"/>
    <n v="1"/>
    <n v="2"/>
    <n v="2"/>
    <n v="8"/>
    <n v="8"/>
  </r>
  <r>
    <x v="2"/>
    <x v="58"/>
    <d v="2026-03-09T00:00:00"/>
    <s v="3RD"/>
    <d v="1899-12-31T00:00:00"/>
    <n v="1"/>
    <x v="22"/>
    <n v="7.6E-3"/>
    <s v="P"/>
    <s v="P"/>
    <s v="P"/>
    <s v="-"/>
    <s v="-"/>
    <n v="11.01"/>
    <s v="-"/>
    <s v="-"/>
    <s v="-"/>
    <s v="-"/>
    <s v="-"/>
    <s v="-"/>
    <s v="-"/>
    <s v="-"/>
    <s v="P"/>
    <s v="P"/>
    <s v="-"/>
    <n v="2"/>
    <n v="1"/>
    <n v="2"/>
    <n v="1"/>
    <s v="-"/>
    <s v="-"/>
    <s v="-"/>
    <s v="-"/>
    <s v="-"/>
    <s v="-"/>
    <s v="-"/>
    <n v="6"/>
    <n v="6"/>
    <s v="-"/>
    <n v="1"/>
    <n v="1"/>
    <n v="2"/>
    <n v="2"/>
    <n v="8"/>
    <n v="8"/>
  </r>
  <r>
    <x v="2"/>
    <x v="58"/>
    <d v="2026-03-09T00:00:00"/>
    <s v="3RD"/>
    <d v="1899-12-31T01:00:00"/>
    <n v="1"/>
    <x v="22"/>
    <n v="6.1000000000000004E-3"/>
    <s v="P"/>
    <s v="P"/>
    <s v="P"/>
    <s v="-"/>
    <s v="-"/>
    <n v="11.26"/>
    <s v="-"/>
    <s v="-"/>
    <s v="-"/>
    <s v="-"/>
    <s v="-"/>
    <s v="-"/>
    <s v="-"/>
    <s v="-"/>
    <s v="P"/>
    <s v="P"/>
    <s v="-"/>
    <n v="2"/>
    <n v="1"/>
    <n v="2"/>
    <n v="1"/>
    <s v="-"/>
    <s v="-"/>
    <s v="-"/>
    <s v="-"/>
    <s v="-"/>
    <s v="-"/>
    <s v="-"/>
    <n v="6"/>
    <n v="6"/>
    <s v="-"/>
    <n v="1"/>
    <n v="1"/>
    <n v="2"/>
    <n v="2"/>
    <n v="8"/>
    <n v="8"/>
  </r>
  <r>
    <x v="2"/>
    <x v="58"/>
    <d v="2026-03-09T00:00:00"/>
    <s v="3RD"/>
    <d v="1899-12-31T02:00:00"/>
    <n v="1"/>
    <x v="22"/>
    <n v="7.4999999999999997E-3"/>
    <s v="P"/>
    <s v="P"/>
    <s v="P"/>
    <s v="-"/>
    <s v="-"/>
    <n v="11.42"/>
    <s v="-"/>
    <s v="-"/>
    <s v="-"/>
    <s v="-"/>
    <s v="-"/>
    <s v="-"/>
    <s v="-"/>
    <s v="-"/>
    <s v="P"/>
    <s v="P"/>
    <s v="-"/>
    <n v="2"/>
    <n v="1"/>
    <n v="2"/>
    <n v="1"/>
    <s v="-"/>
    <s v="-"/>
    <s v="-"/>
    <s v="-"/>
    <s v="-"/>
    <s v="-"/>
    <s v="-"/>
    <n v="6"/>
    <n v="6"/>
    <s v="-"/>
    <n v="1"/>
    <n v="1"/>
    <n v="2"/>
    <n v="2"/>
    <n v="8"/>
    <n v="8"/>
  </r>
  <r>
    <x v="2"/>
    <x v="58"/>
    <d v="2026-03-09T00:00:00"/>
    <s v="3RD"/>
    <d v="1899-12-31T03:00:00"/>
    <n v="1"/>
    <x v="22"/>
    <n v="7.7999999999999996E-3"/>
    <s v="P"/>
    <s v="P"/>
    <s v="P"/>
    <s v="-"/>
    <s v="-"/>
    <n v="10.89"/>
    <s v="-"/>
    <s v="-"/>
    <s v="-"/>
    <s v="-"/>
    <s v="-"/>
    <s v="-"/>
    <s v="-"/>
    <s v="-"/>
    <s v="P"/>
    <s v="P"/>
    <s v="-"/>
    <n v="2"/>
    <n v="1"/>
    <n v="2"/>
    <n v="0"/>
    <s v="-"/>
    <s v="-"/>
    <s v="-"/>
    <s v="-"/>
    <s v="-"/>
    <s v="-"/>
    <s v="-"/>
    <n v="5"/>
    <n v="6"/>
    <s v="-"/>
    <n v="1"/>
    <n v="1"/>
    <n v="2"/>
    <n v="2"/>
    <n v="7"/>
    <n v="8"/>
  </r>
  <r>
    <x v="2"/>
    <x v="58"/>
    <d v="2026-03-09T00:00:00"/>
    <s v="3RD"/>
    <d v="1899-12-31T04:00:00"/>
    <n v="1"/>
    <x v="22"/>
    <n v="9.4999999999999998E-3"/>
    <s v="P"/>
    <s v="P"/>
    <s v="P"/>
    <s v="-"/>
    <s v="-"/>
    <n v="11.06"/>
    <s v="-"/>
    <s v="-"/>
    <s v="-"/>
    <s v="-"/>
    <s v="-"/>
    <s v="-"/>
    <s v="-"/>
    <s v="-"/>
    <s v="P"/>
    <s v="P"/>
    <s v="-"/>
    <n v="2"/>
    <n v="1"/>
    <n v="2"/>
    <n v="1"/>
    <s v="-"/>
    <s v="-"/>
    <s v="-"/>
    <s v="-"/>
    <s v="-"/>
    <s v="-"/>
    <s v="-"/>
    <n v="6"/>
    <n v="6"/>
    <s v="-"/>
    <n v="1"/>
    <n v="1"/>
    <n v="2"/>
    <n v="2"/>
    <n v="8"/>
    <n v="8"/>
  </r>
  <r>
    <x v="2"/>
    <x v="59"/>
    <d v="1902-03-26T00:00:00"/>
    <s v="1ST"/>
    <s v="06:00"/>
    <n v="2"/>
    <x v="7"/>
    <n v="2.7000000000000001E-3"/>
    <s v="P"/>
    <s v="P"/>
    <s v="P"/>
    <s v="-"/>
    <s v="+"/>
    <n v="10.4"/>
    <n v="8.4600000000000009"/>
    <n v="0.63"/>
    <n v="55.6"/>
    <s v="-"/>
    <s v="-"/>
    <n v="22.75"/>
    <s v="-"/>
    <n v="25.19"/>
    <s v="P"/>
    <s v="P"/>
    <s v="-"/>
    <n v="2"/>
    <n v="1"/>
    <n v="2"/>
    <n v="0"/>
    <n v="0"/>
    <n v="0"/>
    <n v="0"/>
    <s v="-"/>
    <s v="-"/>
    <n v="2"/>
    <s v="-"/>
    <n v="7"/>
    <n v="13"/>
    <n v="1"/>
    <n v="1"/>
    <n v="1"/>
    <n v="3"/>
    <n v="3"/>
    <n v="10"/>
    <n v="16"/>
  </r>
  <r>
    <x v="2"/>
    <x v="59"/>
    <d v="1902-03-26T00:00:00"/>
    <s v="1ST"/>
    <s v="07:00"/>
    <n v="2"/>
    <x v="7"/>
    <n v="4.5999999999999999E-3"/>
    <s v="P"/>
    <s v="P"/>
    <s v="P"/>
    <s v="-"/>
    <s v="+"/>
    <n v="10.83"/>
    <s v="-"/>
    <s v="-"/>
    <s v="-"/>
    <s v="-"/>
    <s v="-"/>
    <s v="-"/>
    <s v="-"/>
    <s v="-"/>
    <s v="P"/>
    <s v="P"/>
    <s v="-"/>
    <n v="2"/>
    <n v="1"/>
    <n v="2"/>
    <n v="0"/>
    <s v="-"/>
    <s v="-"/>
    <s v="-"/>
    <s v="-"/>
    <s v="-"/>
    <s v="-"/>
    <s v="-"/>
    <n v="5"/>
    <n v="6"/>
    <s v="-"/>
    <n v="1"/>
    <n v="1"/>
    <n v="2"/>
    <n v="2"/>
    <n v="7"/>
    <n v="8"/>
  </r>
  <r>
    <x v="2"/>
    <x v="59"/>
    <d v="1902-03-26T00:00:00"/>
    <s v="1ST"/>
    <s v="09:00"/>
    <n v="2"/>
    <x v="7"/>
    <n v="5.4999999999999997E-3"/>
    <s v="P"/>
    <s v="P"/>
    <s v="P"/>
    <s v="-"/>
    <s v="+"/>
    <n v="10.88"/>
    <s v="-"/>
    <s v="-"/>
    <s v="-"/>
    <s v="-"/>
    <s v="-"/>
    <s v="-"/>
    <s v="-"/>
    <s v="-"/>
    <s v="P"/>
    <s v="P"/>
    <s v="-"/>
    <n v="2"/>
    <n v="1"/>
    <n v="2"/>
    <n v="0"/>
    <s v="-"/>
    <s v="-"/>
    <s v="-"/>
    <s v="-"/>
    <s v="-"/>
    <s v="-"/>
    <s v="-"/>
    <n v="5"/>
    <n v="6"/>
    <s v="-"/>
    <n v="1"/>
    <n v="1"/>
    <n v="2"/>
    <n v="2"/>
    <n v="7"/>
    <n v="8"/>
  </r>
  <r>
    <x v="2"/>
    <x v="59"/>
    <d v="1902-03-26T00:00:00"/>
    <s v="2ND"/>
    <d v="1899-12-30T14:00:00"/>
    <n v="2"/>
    <x v="7"/>
    <n v="1.24E-2"/>
    <s v="P"/>
    <s v="P"/>
    <s v="P"/>
    <s v="-"/>
    <s v="+"/>
    <n v="10.42"/>
    <n v="8.7200000000000006"/>
    <s v="-"/>
    <s v="-"/>
    <s v="-"/>
    <s v="-"/>
    <n v="23.51"/>
    <s v="-"/>
    <s v="-"/>
    <s v="P"/>
    <s v="P"/>
    <s v="-"/>
    <n v="2"/>
    <n v="1"/>
    <n v="2"/>
    <n v="0"/>
    <n v="1"/>
    <s v="-"/>
    <s v="-"/>
    <s v="-"/>
    <s v="-"/>
    <n v="2"/>
    <s v="-"/>
    <n v="8"/>
    <n v="9"/>
    <s v="-"/>
    <n v="1"/>
    <n v="1"/>
    <n v="2"/>
    <n v="2"/>
    <n v="10"/>
    <n v="11"/>
  </r>
  <r>
    <x v="2"/>
    <x v="59"/>
    <d v="1899-12-30T00:00:00"/>
    <s v="2ND"/>
    <d v="1899-12-30T16:00:00"/>
    <n v="2"/>
    <x v="7"/>
    <n v="1.44E-2"/>
    <s v="P"/>
    <s v="P"/>
    <s v="P"/>
    <s v="-"/>
    <s v="+"/>
    <n v="10.88"/>
    <s v="-"/>
    <s v="-"/>
    <s v="-"/>
    <s v="-"/>
    <s v="-"/>
    <s v="-"/>
    <s v="-"/>
    <s v="-"/>
    <s v="P"/>
    <s v="P"/>
    <s v="-"/>
    <n v="2"/>
    <n v="1"/>
    <n v="2"/>
    <n v="0"/>
    <s v="-"/>
    <s v="-"/>
    <s v="-"/>
    <s v="-"/>
    <s v="-"/>
    <s v="-"/>
    <s v="-"/>
    <n v="5"/>
    <n v="6"/>
    <s v="-"/>
    <n v="1"/>
    <n v="1"/>
    <n v="2"/>
    <n v="2"/>
    <n v="7"/>
    <n v="8"/>
  </r>
  <r>
    <x v="2"/>
    <x v="59"/>
    <d v="1899-12-30T00:00:00"/>
    <s v="2ND"/>
    <d v="1899-12-30T20:00:00"/>
    <n v="2"/>
    <x v="7"/>
    <n v="1.03E-2"/>
    <s v="P"/>
    <s v="P"/>
    <s v="P"/>
    <s v="-"/>
    <s v="+"/>
    <n v="10.89"/>
    <s v="-"/>
    <s v="-"/>
    <s v="-"/>
    <s v="-"/>
    <s v="-"/>
    <s v="-"/>
    <s v="-"/>
    <s v="-"/>
    <s v="P"/>
    <s v="P"/>
    <s v="-"/>
    <n v="2"/>
    <n v="1"/>
    <n v="2"/>
    <n v="0"/>
    <s v="-"/>
    <s v="-"/>
    <s v="-"/>
    <s v="-"/>
    <s v="-"/>
    <s v="-"/>
    <s v="-"/>
    <n v="5"/>
    <n v="6"/>
    <s v="-"/>
    <n v="1"/>
    <n v="1"/>
    <n v="2"/>
    <n v="2"/>
    <n v="7"/>
    <n v="8"/>
  </r>
  <r>
    <x v="2"/>
    <x v="59"/>
    <d v="2026-03-12T00:00:00"/>
    <s v="2ND"/>
    <d v="1899-12-30T18:00:00"/>
    <n v="3"/>
    <x v="32"/>
    <n v="1.04E-2"/>
    <s v="P"/>
    <s v="P"/>
    <s v="P"/>
    <s v="+"/>
    <s v="+"/>
    <n v="11.11"/>
    <n v="12.08"/>
    <s v="-"/>
    <n v="65.900000000000006"/>
    <s v="-"/>
    <s v="-"/>
    <n v="33.9"/>
    <s v="-"/>
    <s v="-"/>
    <s v="P"/>
    <s v="P"/>
    <n v="1"/>
    <n v="2"/>
    <n v="1"/>
    <n v="2"/>
    <n v="0"/>
    <n v="1"/>
    <s v="-"/>
    <n v="2"/>
    <s v="-"/>
    <s v="-"/>
    <n v="2"/>
    <s v="-"/>
    <n v="10"/>
    <n v="11"/>
    <s v="-"/>
    <n v="1"/>
    <n v="1"/>
    <n v="2"/>
    <n v="2"/>
    <n v="12"/>
    <n v="13"/>
  </r>
  <r>
    <x v="2"/>
    <x v="59"/>
    <d v="2026-03-12T00:00:00"/>
    <s v="2ND"/>
    <d v="1899-12-30T20:00:00"/>
    <n v="3"/>
    <x v="32"/>
    <n v="3.2000000000000002E-3"/>
    <s v="P"/>
    <s v="P"/>
    <s v="P"/>
    <s v="+"/>
    <s v="+"/>
    <n v="12.54"/>
    <s v="-"/>
    <s v="-"/>
    <s v="-"/>
    <s v="-"/>
    <s v="-"/>
    <s v="-"/>
    <s v="-"/>
    <s v="-"/>
    <s v="P"/>
    <s v="P"/>
    <s v="-"/>
    <n v="2"/>
    <n v="1"/>
    <n v="2"/>
    <n v="1"/>
    <s v="-"/>
    <s v="-"/>
    <s v="-"/>
    <s v="-"/>
    <s v="-"/>
    <s v="-"/>
    <s v="-"/>
    <n v="6"/>
    <n v="6"/>
    <s v="-"/>
    <n v="1"/>
    <n v="1"/>
    <n v="2"/>
    <n v="2"/>
    <n v="8"/>
    <n v="8"/>
  </r>
  <r>
    <x v="2"/>
    <x v="59"/>
    <d v="2026-03-12T00:00:00"/>
    <s v="2ND"/>
    <d v="1899-12-30T21:00:00"/>
    <n v="3"/>
    <x v="32"/>
    <n v="4.8999999999999998E-3"/>
    <s v="P"/>
    <s v="P"/>
    <s v="P"/>
    <s v="+"/>
    <s v="+"/>
    <n v="12.23"/>
    <s v="-"/>
    <s v="-"/>
    <s v="-"/>
    <s v="-"/>
    <s v="-"/>
    <s v="-"/>
    <s v="-"/>
    <s v="-"/>
    <s v="P"/>
    <s v="P"/>
    <s v="-"/>
    <n v="2"/>
    <n v="1"/>
    <n v="2"/>
    <n v="1"/>
    <s v="-"/>
    <s v="-"/>
    <s v="-"/>
    <s v="-"/>
    <s v="-"/>
    <s v="-"/>
    <s v="-"/>
    <n v="6"/>
    <n v="6"/>
    <s v="-"/>
    <n v="1"/>
    <n v="1"/>
    <n v="2"/>
    <n v="2"/>
    <n v="8"/>
    <n v="8"/>
  </r>
  <r>
    <x v="2"/>
    <x v="59"/>
    <d v="2026-03-12T00:00:00"/>
    <s v="3RD"/>
    <d v="1899-12-30T22:00:00"/>
    <n v="3"/>
    <x v="10"/>
    <n v="6.4999999999999997E-3"/>
    <s v="P"/>
    <s v="P"/>
    <s v="P"/>
    <s v="+"/>
    <s v="+"/>
    <n v="12.09"/>
    <n v="12.06"/>
    <n v="0.43"/>
    <n v="65.900000000000006"/>
    <s v="-"/>
    <s v="-"/>
    <n v="33.6"/>
    <s v="-"/>
    <n v="25.16"/>
    <s v="P"/>
    <s v="P"/>
    <n v="1"/>
    <n v="2"/>
    <n v="1"/>
    <n v="2"/>
    <n v="1"/>
    <n v="1"/>
    <n v="0"/>
    <n v="2"/>
    <s v="-"/>
    <s v="-"/>
    <n v="2"/>
    <s v="-"/>
    <n v="11"/>
    <n v="13"/>
    <n v="1"/>
    <n v="1"/>
    <n v="1"/>
    <n v="3"/>
    <n v="3"/>
    <n v="14"/>
    <n v="16"/>
  </r>
  <r>
    <x v="2"/>
    <x v="59"/>
    <d v="2026-03-12T00:00:00"/>
    <s v="3RD"/>
    <d v="1899-12-31T00:00:00"/>
    <n v="3"/>
    <x v="10"/>
    <n v="3.0999999999999999E-3"/>
    <s v="P"/>
    <s v="P"/>
    <s v="P"/>
    <s v="+"/>
    <s v="+"/>
    <n v="11.79"/>
    <s v="-"/>
    <s v="-"/>
    <s v="-"/>
    <s v="-"/>
    <s v="-"/>
    <s v="-"/>
    <s v="-"/>
    <s v="-"/>
    <s v="P"/>
    <s v="P"/>
    <s v="-"/>
    <n v="2"/>
    <n v="1"/>
    <n v="2"/>
    <n v="0"/>
    <s v="-"/>
    <s v="-"/>
    <s v="-"/>
    <s v="-"/>
    <s v="-"/>
    <s v="-"/>
    <s v="-"/>
    <n v="5"/>
    <n v="6"/>
    <s v="-"/>
    <n v="1"/>
    <n v="1"/>
    <n v="2"/>
    <n v="2"/>
    <n v="7"/>
    <n v="8"/>
  </r>
  <r>
    <x v="2"/>
    <x v="59"/>
    <d v="2026-03-12T00:00:00"/>
    <s v="3RD"/>
    <d v="1899-12-31T02:00:00"/>
    <n v="3"/>
    <x v="10"/>
    <n v="1.0699999999999999E-2"/>
    <s v="P"/>
    <s v="P"/>
    <s v="P"/>
    <s v="+"/>
    <s v="+"/>
    <n v="11.84"/>
    <s v="-"/>
    <s v="-"/>
    <s v="-"/>
    <s v="-"/>
    <s v="-"/>
    <s v="-"/>
    <s v="-"/>
    <s v="-"/>
    <s v="P"/>
    <s v="P"/>
    <s v="-"/>
    <n v="2"/>
    <n v="1"/>
    <n v="2"/>
    <n v="0"/>
    <s v="-"/>
    <s v="-"/>
    <s v="-"/>
    <s v="-"/>
    <s v="-"/>
    <s v="-"/>
    <s v="-"/>
    <n v="5"/>
    <n v="6"/>
    <s v="-"/>
    <n v="1"/>
    <n v="1"/>
    <n v="2"/>
    <n v="2"/>
    <n v="7"/>
    <n v="8"/>
  </r>
  <r>
    <x v="2"/>
    <x v="59"/>
    <d v="2026-02-25T00:00:00"/>
    <s v="2ND"/>
    <d v="1899-12-30T14:00:00"/>
    <n v="3"/>
    <x v="43"/>
    <n v="1.52E-2"/>
    <s v="P"/>
    <s v="P"/>
    <s v="P"/>
    <s v="+"/>
    <s v="+"/>
    <n v="11.53"/>
    <n v="13.11"/>
    <n v="0.54"/>
    <n v="61.8"/>
    <n v="12.3"/>
    <n v="800"/>
    <n v="30.9"/>
    <s v="-"/>
    <s v="-"/>
    <s v="P"/>
    <s v="P"/>
    <s v="60% 40%"/>
    <n v="2"/>
    <n v="1"/>
    <n v="2"/>
    <n v="0"/>
    <n v="0"/>
    <n v="2"/>
    <n v="2"/>
    <n v="1"/>
    <n v="1"/>
    <n v="2"/>
    <s v="-"/>
    <n v="13"/>
    <n v="15"/>
    <s v="-"/>
    <n v="1"/>
    <n v="1"/>
    <n v="2"/>
    <n v="2"/>
    <n v="15"/>
    <n v="17"/>
  </r>
  <r>
    <x v="2"/>
    <x v="59"/>
    <d v="2026-02-25T00:00:00"/>
    <s v="2ND"/>
    <d v="1899-12-30T16:00:00"/>
    <n v="3"/>
    <x v="43"/>
    <n v="7.7999999999999996E-3"/>
    <s v="P"/>
    <s v="P"/>
    <s v="P"/>
    <s v="+"/>
    <s v="+"/>
    <n v="11.98"/>
    <s v="-"/>
    <s v="-"/>
    <s v="-"/>
    <s v="-"/>
    <s v="-"/>
    <s v="-"/>
    <s v="-"/>
    <s v="-"/>
    <s v="P"/>
    <s v="P"/>
    <s v="-"/>
    <n v="2"/>
    <n v="1"/>
    <n v="2"/>
    <n v="0"/>
    <s v="-"/>
    <s v="-"/>
    <s v="-"/>
    <s v="-"/>
    <s v="-"/>
    <s v="-"/>
    <s v="-"/>
    <n v="5"/>
    <n v="6"/>
    <s v="-"/>
    <n v="1"/>
    <n v="1"/>
    <n v="2"/>
    <n v="2"/>
    <n v="7"/>
    <n v="8"/>
  </r>
  <r>
    <x v="2"/>
    <x v="59"/>
    <d v="1902-03-26T00:00:00"/>
    <s v="3RD"/>
    <d v="1899-12-30T22:00:00"/>
    <n v="2"/>
    <x v="17"/>
    <n v="4.8999999999999998E-3"/>
    <s v="P"/>
    <s v="P"/>
    <s v="P"/>
    <s v="-"/>
    <s v="+"/>
    <n v="10.39"/>
    <n v="8.2799999999999994"/>
    <n v="0.43"/>
    <n v="57"/>
    <n v="7.2"/>
    <n v="538"/>
    <n v="22.35"/>
    <s v="-"/>
    <n v="25.17"/>
    <s v="P"/>
    <s v="P"/>
    <s v="-"/>
    <n v="2"/>
    <n v="1"/>
    <n v="2"/>
    <n v="0"/>
    <n v="1"/>
    <n v="0"/>
    <n v="2"/>
    <n v="0"/>
    <n v="1"/>
    <n v="2"/>
    <s v="-"/>
    <n v="11"/>
    <n v="15"/>
    <n v="1"/>
    <n v="1"/>
    <n v="1"/>
    <n v="3"/>
    <n v="3"/>
    <n v="14"/>
    <n v="18"/>
  </r>
  <r>
    <x v="2"/>
    <x v="59"/>
    <d v="1899-12-30T00:00:00"/>
    <s v="3RD"/>
    <d v="1899-12-30T23:00:00"/>
    <n v="2"/>
    <x v="17"/>
    <n v="6.6E-3"/>
    <s v="P"/>
    <s v="P"/>
    <s v="P"/>
    <s v="-"/>
    <s v="+"/>
    <n v="10.27"/>
    <s v="-"/>
    <s v="-"/>
    <s v="-"/>
    <s v="-"/>
    <s v="-"/>
    <s v="-"/>
    <s v="-"/>
    <s v="-"/>
    <s v="P"/>
    <s v="P"/>
    <s v="-"/>
    <n v="2"/>
    <n v="1"/>
    <n v="2"/>
    <n v="0"/>
    <s v="-"/>
    <s v="-"/>
    <s v="-"/>
    <s v="-"/>
    <s v="-"/>
    <s v="-"/>
    <s v="-"/>
    <n v="5"/>
    <n v="6"/>
    <s v="-"/>
    <n v="1"/>
    <n v="1"/>
    <n v="2"/>
    <n v="2"/>
    <n v="7"/>
    <n v="8"/>
  </r>
  <r>
    <x v="2"/>
    <x v="59"/>
    <d v="1899-12-30T00:00:00"/>
    <s v="3RD"/>
    <d v="1899-12-31T00:00:00"/>
    <n v="2"/>
    <x v="17"/>
    <n v="2.8E-3"/>
    <s v="P"/>
    <s v="P"/>
    <s v="P"/>
    <s v="-"/>
    <s v="+"/>
    <n v="10.5"/>
    <s v="-"/>
    <s v="-"/>
    <s v="-"/>
    <s v="-"/>
    <s v="-"/>
    <s v="-"/>
    <s v="-"/>
    <s v="-"/>
    <s v="P"/>
    <s v="P"/>
    <s v="-"/>
    <n v="2"/>
    <n v="1"/>
    <n v="2"/>
    <n v="0"/>
    <s v="-"/>
    <s v="-"/>
    <s v="-"/>
    <s v="-"/>
    <s v="-"/>
    <s v="-"/>
    <s v="-"/>
    <n v="5"/>
    <n v="6"/>
    <s v="-"/>
    <n v="1"/>
    <n v="1"/>
    <n v="2"/>
    <n v="2"/>
    <n v="7"/>
    <n v="8"/>
  </r>
  <r>
    <x v="2"/>
    <x v="59"/>
    <d v="1899-12-30T00:00:00"/>
    <s v="3RD"/>
    <d v="1899-12-31T02:00:00"/>
    <n v="2"/>
    <x v="17"/>
    <n v="3.5000000000000001E-3"/>
    <s v="P"/>
    <s v="P"/>
    <s v="P"/>
    <s v="-"/>
    <s v="+"/>
    <n v="10.43"/>
    <s v="-"/>
    <s v="-"/>
    <s v="-"/>
    <s v="-"/>
    <s v="-"/>
    <s v="-"/>
    <s v="-"/>
    <s v="-"/>
    <s v="P"/>
    <s v="P"/>
    <s v="-"/>
    <n v="2"/>
    <n v="1"/>
    <n v="2"/>
    <n v="0"/>
    <s v="-"/>
    <s v="-"/>
    <s v="-"/>
    <s v="-"/>
    <s v="-"/>
    <s v="-"/>
    <s v="-"/>
    <n v="5"/>
    <n v="6"/>
    <s v="-"/>
    <n v="1"/>
    <n v="1"/>
    <n v="2"/>
    <n v="2"/>
    <n v="7"/>
    <n v="8"/>
  </r>
  <r>
    <x v="2"/>
    <x v="59"/>
    <d v="2026-03-10T00:00:00"/>
    <s v="2ND"/>
    <d v="1899-12-30T16:00:00"/>
    <s v="Retail"/>
    <x v="19"/>
    <s v="-"/>
    <s v="-"/>
    <s v="P"/>
    <s v="P"/>
    <s v="-"/>
    <s v="-"/>
    <n v="12.2"/>
    <n v="14.73"/>
    <n v="1.45"/>
    <n v="72.2"/>
    <n v="14.1"/>
    <n v="402"/>
    <n v="41.85"/>
    <s v="-"/>
    <s v="-"/>
    <s v="P"/>
    <s v="P"/>
    <s v="-"/>
    <s v="-"/>
    <s v="-"/>
    <n v="2"/>
    <n v="1"/>
    <n v="1"/>
    <n v="0"/>
    <n v="2"/>
    <n v="1"/>
    <n v="0"/>
    <n v="2"/>
    <s v="-"/>
    <n v="9"/>
    <n v="12"/>
    <s v="-"/>
    <n v="1"/>
    <n v="1"/>
    <n v="2"/>
    <n v="2"/>
    <n v="11"/>
    <n v="14"/>
  </r>
  <r>
    <x v="2"/>
    <x v="59"/>
    <d v="2026-03-03T00:00:00"/>
    <s v="3RD"/>
    <d v="1899-12-31T05:00:00"/>
    <n v="3"/>
    <x v="1"/>
    <n v="1.6999999999999999E-3"/>
    <s v="P"/>
    <s v="P"/>
    <s v="P"/>
    <s v="+"/>
    <s v="+"/>
    <n v="11.78"/>
    <n v="12.69"/>
    <n v="0.54"/>
    <n v="64.400000000000006"/>
    <s v="-"/>
    <s v="-"/>
    <n v="35.700000000000003"/>
    <s v="-"/>
    <s v="-"/>
    <s v="P"/>
    <s v="P"/>
    <s v="85% 15%"/>
    <n v="2"/>
    <n v="1"/>
    <n v="2"/>
    <n v="0"/>
    <n v="1"/>
    <n v="2"/>
    <n v="2"/>
    <s v="-"/>
    <s v="-"/>
    <n v="2"/>
    <s v="-"/>
    <n v="12"/>
    <n v="13"/>
    <s v="-"/>
    <n v="1"/>
    <n v="1"/>
    <n v="2"/>
    <n v="2"/>
    <n v="14"/>
    <n v="15"/>
  </r>
  <r>
    <x v="2"/>
    <x v="59"/>
    <d v="2026-03-12T00:00:00"/>
    <s v="1ST"/>
    <s v="10:00"/>
    <n v="1"/>
    <x v="20"/>
    <n v="1.21E-2"/>
    <s v="P"/>
    <s v="P"/>
    <s v="P"/>
    <s v="-"/>
    <s v="-"/>
    <n v="10.96"/>
    <n v="13.01"/>
    <n v="0.62"/>
    <n v="68"/>
    <s v="-"/>
    <s v="-"/>
    <n v="38.299999999999997"/>
    <s v="-"/>
    <n v="25.16"/>
    <s v="P"/>
    <s v="P"/>
    <s v="-"/>
    <n v="2"/>
    <n v="1"/>
    <n v="2"/>
    <n v="0"/>
    <n v="1"/>
    <n v="2"/>
    <n v="2"/>
    <s v="-"/>
    <s v="-"/>
    <n v="2"/>
    <s v="-"/>
    <n v="12"/>
    <n v="13"/>
    <n v="1"/>
    <n v="1"/>
    <n v="1"/>
    <n v="3"/>
    <n v="3"/>
    <n v="15"/>
    <n v="16"/>
  </r>
  <r>
    <x v="2"/>
    <x v="59"/>
    <d v="2026-03-12T00:00:00"/>
    <s v="1ST"/>
    <s v="12:00"/>
    <n v="1"/>
    <x v="20"/>
    <n v="1.7899999999999999E-2"/>
    <s v="P"/>
    <s v="P"/>
    <s v="P"/>
    <s v="-"/>
    <s v="-"/>
    <n v="12.51"/>
    <s v="-"/>
    <s v="-"/>
    <s v="-"/>
    <s v="-"/>
    <s v="-"/>
    <s v="-"/>
    <s v="-"/>
    <s v="-"/>
    <s v="P"/>
    <s v="P"/>
    <s v="-"/>
    <n v="2"/>
    <n v="1"/>
    <n v="2"/>
    <n v="1"/>
    <s v="-"/>
    <s v="-"/>
    <s v="-"/>
    <s v="-"/>
    <s v="-"/>
    <s v="-"/>
    <s v="-"/>
    <n v="6"/>
    <n v="6"/>
    <s v="-"/>
    <n v="1"/>
    <n v="1"/>
    <n v="2"/>
    <n v="2"/>
    <n v="8"/>
    <n v="8"/>
  </r>
  <r>
    <x v="2"/>
    <x v="59"/>
    <d v="2026-03-12T00:00:00"/>
    <s v="1ST"/>
    <s v="13:00"/>
    <n v="1"/>
    <x v="20"/>
    <n v="1.49E-2"/>
    <s v="P"/>
    <s v="P"/>
    <s v="P"/>
    <s v="-"/>
    <s v="-"/>
    <n v="12.4"/>
    <s v="-"/>
    <s v="-"/>
    <s v="-"/>
    <s v="-"/>
    <s v="-"/>
    <s v="-"/>
    <s v="-"/>
    <s v="-"/>
    <s v="P"/>
    <s v="P"/>
    <s v="-"/>
    <n v="2"/>
    <n v="1"/>
    <n v="2"/>
    <n v="1"/>
    <s v="-"/>
    <s v="-"/>
    <s v="-"/>
    <s v="-"/>
    <s v="-"/>
    <s v="-"/>
    <s v="-"/>
    <n v="6"/>
    <n v="6"/>
    <s v="-"/>
    <n v="1"/>
    <n v="1"/>
    <n v="2"/>
    <n v="2"/>
    <n v="8"/>
    <n v="8"/>
  </r>
  <r>
    <x v="2"/>
    <x v="59"/>
    <s v="-"/>
    <s v="2ND"/>
    <d v="1899-12-30T14:00:00"/>
    <n v="1"/>
    <x v="20"/>
    <n v="8.3999999999999995E-3"/>
    <s v="P"/>
    <s v="P"/>
    <s v="P"/>
    <s v="-"/>
    <s v="-"/>
    <n v="12.22"/>
    <n v="12.95"/>
    <s v="-"/>
    <s v="-"/>
    <s v="-"/>
    <s v="-"/>
    <n v="36.299999999999997"/>
    <s v="-"/>
    <s v="-"/>
    <s v="P"/>
    <s v="P"/>
    <s v="80% 20%"/>
    <n v="2"/>
    <n v="1"/>
    <n v="2"/>
    <n v="1"/>
    <n v="1"/>
    <s v="-"/>
    <s v="-"/>
    <s v="-"/>
    <s v="-"/>
    <n v="2"/>
    <s v="-"/>
    <n v="9"/>
    <n v="9"/>
    <s v="-"/>
    <n v="1"/>
    <n v="1"/>
    <n v="2"/>
    <n v="2"/>
    <n v="11"/>
    <n v="11"/>
  </r>
  <r>
    <x v="2"/>
    <x v="59"/>
    <d v="2026-03-12T00:00:00"/>
    <s v="2ND"/>
    <d v="1899-12-30T15:00:00"/>
    <n v="1"/>
    <x v="20"/>
    <n v="1.8599999999999998E-2"/>
    <s v="P"/>
    <s v="P"/>
    <s v="P"/>
    <s v="-"/>
    <s v="-"/>
    <n v="12.41"/>
    <s v="-"/>
    <s v="-"/>
    <s v="-"/>
    <s v="-"/>
    <s v="-"/>
    <s v="-"/>
    <s v="-"/>
    <s v="-"/>
    <s v="P"/>
    <s v="P"/>
    <s v="-"/>
    <n v="2"/>
    <n v="1"/>
    <n v="2"/>
    <n v="1"/>
    <s v="-"/>
    <s v="-"/>
    <s v="-"/>
    <s v="-"/>
    <s v="-"/>
    <s v="-"/>
    <s v="-"/>
    <n v="6"/>
    <n v="6"/>
    <s v="-"/>
    <n v="1"/>
    <n v="1"/>
    <n v="2"/>
    <n v="2"/>
    <n v="8"/>
    <n v="8"/>
  </r>
  <r>
    <x v="2"/>
    <x v="59"/>
    <d v="2026-03-12T00:00:00"/>
    <s v="2ND"/>
    <d v="1899-12-30T16:00:00"/>
    <n v="1"/>
    <x v="20"/>
    <n v="9.1999999999999998E-3"/>
    <s v="P"/>
    <s v="P"/>
    <s v="P"/>
    <s v="-"/>
    <s v="-"/>
    <n v="11.73"/>
    <s v="-"/>
    <s v="-"/>
    <s v="-"/>
    <s v="-"/>
    <s v="-"/>
    <s v="-"/>
    <s v="-"/>
    <s v="-"/>
    <s v="P"/>
    <s v="P"/>
    <s v="-"/>
    <n v="2"/>
    <n v="1"/>
    <n v="2"/>
    <n v="1"/>
    <s v="-"/>
    <s v="-"/>
    <s v="-"/>
    <s v="-"/>
    <s v="-"/>
    <s v="-"/>
    <s v="-"/>
    <n v="6"/>
    <n v="6"/>
    <s v="-"/>
    <n v="1"/>
    <n v="1"/>
    <n v="2"/>
    <n v="2"/>
    <n v="8"/>
    <n v="8"/>
  </r>
  <r>
    <x v="2"/>
    <x v="59"/>
    <d v="2026-03-12T00:00:00"/>
    <s v="2ND"/>
    <d v="1899-12-30T17:00:00"/>
    <n v="1"/>
    <x v="20"/>
    <n v="1.8200000000000001E-2"/>
    <s v="P"/>
    <s v="P"/>
    <s v="P"/>
    <s v="-"/>
    <s v="-"/>
    <n v="12.25"/>
    <s v="-"/>
    <s v="-"/>
    <s v="-"/>
    <s v="-"/>
    <s v="-"/>
    <s v="-"/>
    <s v="-"/>
    <s v="-"/>
    <s v="P"/>
    <s v="P"/>
    <s v="-"/>
    <n v="2"/>
    <n v="1"/>
    <n v="2"/>
    <n v="1"/>
    <s v="-"/>
    <s v="-"/>
    <s v="-"/>
    <s v="-"/>
    <s v="-"/>
    <s v="-"/>
    <s v="-"/>
    <n v="6"/>
    <n v="6"/>
    <s v="-"/>
    <n v="1"/>
    <n v="1"/>
    <n v="2"/>
    <n v="2"/>
    <n v="8"/>
    <n v="8"/>
  </r>
  <r>
    <x v="2"/>
    <x v="59"/>
    <d v="2026-02-25T00:00:00"/>
    <s v="1ST"/>
    <s v="07:00"/>
    <n v="3"/>
    <x v="31"/>
    <n v="6.1999999999999998E-3"/>
    <s v="P"/>
    <s v="P"/>
    <s v="P"/>
    <s v="+"/>
    <s v="+"/>
    <n v="12.42"/>
    <n v="12.39"/>
    <n v="0.54"/>
    <n v="63.7"/>
    <s v="-"/>
    <s v="-"/>
    <n v="34.6"/>
    <s v="-"/>
    <n v="25.16"/>
    <s v="P"/>
    <s v="P"/>
    <s v="-"/>
    <n v="2"/>
    <n v="1"/>
    <n v="2"/>
    <n v="0"/>
    <n v="1"/>
    <n v="2"/>
    <n v="2"/>
    <s v="-"/>
    <s v="-"/>
    <n v="2"/>
    <s v="-"/>
    <n v="12"/>
    <n v="13"/>
    <n v="1"/>
    <n v="1"/>
    <n v="1"/>
    <n v="3"/>
    <n v="3"/>
    <n v="15"/>
    <n v="16"/>
  </r>
  <r>
    <x v="2"/>
    <x v="59"/>
    <d v="2026-02-25T00:00:00"/>
    <s v="1ST"/>
    <s v="08:00"/>
    <n v="3"/>
    <x v="31"/>
    <n v="9.2999999999999992E-3"/>
    <s v="P"/>
    <s v="P"/>
    <s v="P"/>
    <s v="+"/>
    <s v="+"/>
    <n v="12.2"/>
    <s v="-"/>
    <s v="-"/>
    <s v="-"/>
    <s v="-"/>
    <s v="-"/>
    <s v="-"/>
    <s v="-"/>
    <s v="-"/>
    <s v="P"/>
    <s v="P"/>
    <s v="-"/>
    <n v="2"/>
    <n v="1"/>
    <n v="2"/>
    <n v="0"/>
    <s v="-"/>
    <s v="-"/>
    <s v="-"/>
    <s v="-"/>
    <s v="-"/>
    <s v="-"/>
    <s v="-"/>
    <n v="5"/>
    <n v="6"/>
    <s v="-"/>
    <n v="1"/>
    <n v="1"/>
    <n v="2"/>
    <n v="2"/>
    <n v="7"/>
    <n v="8"/>
  </r>
  <r>
    <x v="2"/>
    <x v="59"/>
    <d v="2026-02-25T00:00:00"/>
    <s v="1ST"/>
    <s v="09:00"/>
    <n v="3"/>
    <x v="31"/>
    <n v="8.6999999999999994E-3"/>
    <s v="P"/>
    <s v="P"/>
    <s v="P"/>
    <s v="+"/>
    <s v="+"/>
    <n v="12.52"/>
    <s v="-"/>
    <s v="-"/>
    <s v="-"/>
    <s v="-"/>
    <s v="-"/>
    <s v="-"/>
    <s v="-"/>
    <s v="-"/>
    <s v="P"/>
    <s v="P"/>
    <s v="-"/>
    <n v="2"/>
    <n v="1"/>
    <n v="2"/>
    <n v="0"/>
    <s v="-"/>
    <s v="-"/>
    <s v="-"/>
    <s v="-"/>
    <s v="-"/>
    <s v="-"/>
    <s v="-"/>
    <n v="5"/>
    <n v="6"/>
    <s v="-"/>
    <n v="1"/>
    <n v="1"/>
    <n v="2"/>
    <n v="2"/>
    <n v="7"/>
    <n v="8"/>
  </r>
  <r>
    <x v="2"/>
    <x v="59"/>
    <d v="2026-02-25T00:00:00"/>
    <s v="1ST"/>
    <s v="10:00"/>
    <n v="3"/>
    <x v="31"/>
    <n v="4.0000000000000001E-3"/>
    <s v="P"/>
    <s v="P"/>
    <s v="P"/>
    <s v="+"/>
    <s v="+"/>
    <n v="12.31"/>
    <s v="-"/>
    <s v="-"/>
    <s v="-"/>
    <s v="-"/>
    <s v="-"/>
    <s v="-"/>
    <s v="-"/>
    <s v="-"/>
    <s v="P"/>
    <s v="P"/>
    <s v="-"/>
    <n v="2"/>
    <n v="1"/>
    <n v="2"/>
    <n v="0"/>
    <s v="-"/>
    <s v="-"/>
    <s v="-"/>
    <s v="-"/>
    <s v="-"/>
    <s v="-"/>
    <s v="-"/>
    <n v="5"/>
    <n v="6"/>
    <s v="-"/>
    <n v="1"/>
    <n v="1"/>
    <n v="2"/>
    <n v="2"/>
    <n v="7"/>
    <n v="8"/>
  </r>
  <r>
    <x v="2"/>
    <x v="59"/>
    <d v="2026-02-25T00:00:00"/>
    <s v="1ST"/>
    <s v="12:00"/>
    <n v="3"/>
    <x v="31"/>
    <n v="8.6999999999999994E-3"/>
    <s v="P"/>
    <s v="P"/>
    <s v="P"/>
    <s v="+"/>
    <s v="+"/>
    <n v="12.56"/>
    <s v="-"/>
    <s v="-"/>
    <s v="-"/>
    <s v="-"/>
    <s v="-"/>
    <s v="-"/>
    <s v="-"/>
    <s v="-"/>
    <s v="P"/>
    <s v="P"/>
    <s v="-"/>
    <n v="2"/>
    <n v="1"/>
    <n v="2"/>
    <n v="0"/>
    <s v="-"/>
    <s v="-"/>
    <s v="-"/>
    <s v="-"/>
    <s v="-"/>
    <s v="-"/>
    <s v="-"/>
    <n v="5"/>
    <n v="6"/>
    <s v="-"/>
    <n v="1"/>
    <n v="1"/>
    <n v="2"/>
    <n v="2"/>
    <n v="7"/>
    <n v="8"/>
  </r>
  <r>
    <x v="2"/>
    <x v="59"/>
    <s v="-"/>
    <s v="1ST"/>
    <s v="06:00"/>
    <n v="1"/>
    <x v="22"/>
    <n v="8.3999999999999995E-3"/>
    <s v="P"/>
    <s v="P"/>
    <s v="P"/>
    <s v="-"/>
    <s v="-"/>
    <n v="10.34"/>
    <n v="8.4600000000000009"/>
    <n v="0.62"/>
    <n v="55.2"/>
    <s v="-"/>
    <s v="-"/>
    <n v="22.78"/>
    <s v="-"/>
    <n v="25.13"/>
    <s v="P"/>
    <s v="P"/>
    <s v="-"/>
    <n v="2"/>
    <n v="1"/>
    <n v="2"/>
    <n v="0"/>
    <n v="0"/>
    <n v="0"/>
    <n v="2"/>
    <s v="-"/>
    <s v="-"/>
    <n v="2"/>
    <s v="-"/>
    <n v="9"/>
    <n v="13"/>
    <n v="1"/>
    <n v="1"/>
    <n v="1"/>
    <n v="3"/>
    <n v="3"/>
    <n v="12"/>
    <n v="16"/>
  </r>
  <r>
    <x v="2"/>
    <x v="59"/>
    <d v="2026-03-09T00:00:00"/>
    <s v="1ST"/>
    <s v="07:00"/>
    <n v="1"/>
    <x v="22"/>
    <n v="7.1000000000000004E-3"/>
    <s v="P"/>
    <s v="P"/>
    <s v="P"/>
    <s v="-"/>
    <s v="-"/>
    <n v="11.31"/>
    <s v="-"/>
    <s v="-"/>
    <s v="-"/>
    <s v="-"/>
    <s v="-"/>
    <s v="-"/>
    <s v="-"/>
    <s v="-"/>
    <s v="P"/>
    <s v="P"/>
    <s v="-"/>
    <n v="2"/>
    <n v="1"/>
    <n v="2"/>
    <n v="1"/>
    <s v="-"/>
    <s v="-"/>
    <s v="-"/>
    <s v="-"/>
    <s v="-"/>
    <s v="-"/>
    <s v="-"/>
    <n v="6"/>
    <n v="6"/>
    <s v="-"/>
    <n v="1"/>
    <n v="1"/>
    <n v="2"/>
    <n v="2"/>
    <n v="8"/>
    <n v="8"/>
  </r>
  <r>
    <x v="2"/>
    <x v="59"/>
    <d v="2026-03-09T00:00:00"/>
    <s v="1ST"/>
    <s v="08:00"/>
    <n v="1"/>
    <x v="22"/>
    <n v="7.3000000000000001E-3"/>
    <s v="P"/>
    <s v="P"/>
    <s v="P"/>
    <s v="-"/>
    <s v="-"/>
    <n v="11"/>
    <s v="-"/>
    <s v="-"/>
    <s v="-"/>
    <s v="-"/>
    <s v="-"/>
    <s v="-"/>
    <s v="-"/>
    <s v="-"/>
    <s v="P"/>
    <s v="P"/>
    <s v="-"/>
    <n v="2"/>
    <n v="1"/>
    <n v="2"/>
    <n v="1"/>
    <s v="-"/>
    <s v="-"/>
    <s v="-"/>
    <s v="-"/>
    <s v="-"/>
    <s v="-"/>
    <s v="-"/>
    <n v="6"/>
    <n v="6"/>
    <s v="-"/>
    <n v="1"/>
    <n v="1"/>
    <n v="2"/>
    <n v="2"/>
    <n v="8"/>
    <n v="8"/>
  </r>
  <r>
    <x v="2"/>
    <x v="59"/>
    <d v="2026-03-09T00:00:00"/>
    <s v="2ND"/>
    <d v="1899-12-30T20:00:00"/>
    <n v="1"/>
    <x v="22"/>
    <n v="1.4800000000000001E-2"/>
    <s v="P"/>
    <s v="P"/>
    <s v="P"/>
    <s v="-"/>
    <s v="-"/>
    <n v="10.95"/>
    <n v="8.6199999999999992"/>
    <s v="-"/>
    <s v="-"/>
    <s v="-"/>
    <s v="-"/>
    <n v="23.21"/>
    <s v="-"/>
    <s v="-"/>
    <s v="P"/>
    <s v="P"/>
    <n v="1"/>
    <n v="2"/>
    <n v="1"/>
    <n v="2"/>
    <n v="0"/>
    <n v="1"/>
    <s v="-"/>
    <s v="-"/>
    <s v="-"/>
    <s v="-"/>
    <n v="2"/>
    <s v="-"/>
    <n v="8"/>
    <n v="9"/>
    <s v="-"/>
    <n v="1"/>
    <n v="1"/>
    <n v="2"/>
    <n v="2"/>
    <n v="10"/>
    <n v="11"/>
  </r>
  <r>
    <x v="2"/>
    <x v="59"/>
    <s v="-"/>
    <s v="3RD"/>
    <d v="1899-12-30T22:00:00"/>
    <n v="1"/>
    <x v="22"/>
    <n v="3.3999999999999998E-3"/>
    <s v="P"/>
    <s v="P"/>
    <s v="P"/>
    <s v="-"/>
    <s v="-"/>
    <n v="11.13"/>
    <n v="8.3699999999999992"/>
    <s v="-"/>
    <s v="-"/>
    <s v="-"/>
    <s v="-"/>
    <n v="22.42"/>
    <s v="-"/>
    <n v="25.14"/>
    <s v="P"/>
    <s v="P"/>
    <n v="1"/>
    <n v="2"/>
    <n v="1"/>
    <n v="2"/>
    <n v="1"/>
    <n v="0"/>
    <s v="-"/>
    <s v="-"/>
    <s v="-"/>
    <s v="-"/>
    <n v="2"/>
    <s v="-"/>
    <n v="8"/>
    <n v="9"/>
    <n v="1"/>
    <n v="1"/>
    <n v="1"/>
    <n v="3"/>
    <n v="3"/>
    <n v="11"/>
    <n v="12"/>
  </r>
  <r>
    <x v="2"/>
    <x v="59"/>
    <d v="2026-03-09T00:00:00"/>
    <s v="3RD"/>
    <d v="1899-12-30T23:00:00"/>
    <n v="1"/>
    <x v="22"/>
    <n v="5.1000000000000004E-3"/>
    <s v="P"/>
    <s v="P"/>
    <s v="P"/>
    <s v="-"/>
    <s v="-"/>
    <n v="11.18"/>
    <s v="-"/>
    <s v="-"/>
    <s v="-"/>
    <s v="-"/>
    <s v="-"/>
    <s v="-"/>
    <s v="-"/>
    <s v="-"/>
    <s v="P"/>
    <s v="P"/>
    <s v="-"/>
    <n v="2"/>
    <n v="1"/>
    <n v="2"/>
    <n v="1"/>
    <s v="-"/>
    <s v="-"/>
    <s v="-"/>
    <s v="-"/>
    <s v="-"/>
    <s v="-"/>
    <s v="-"/>
    <n v="6"/>
    <n v="6"/>
    <s v="-"/>
    <n v="1"/>
    <n v="1"/>
    <n v="2"/>
    <n v="2"/>
    <n v="8"/>
    <n v="8"/>
  </r>
  <r>
    <x v="2"/>
    <x v="59"/>
    <d v="2026-03-09T00:00:00"/>
    <s v="3RD"/>
    <d v="1899-12-31T00:00:00"/>
    <n v="1"/>
    <x v="22"/>
    <n v="2.3E-3"/>
    <s v="P"/>
    <s v="P"/>
    <s v="P"/>
    <s v="-"/>
    <s v="-"/>
    <n v="11.25"/>
    <s v="-"/>
    <s v="-"/>
    <s v="-"/>
    <s v="-"/>
    <s v="-"/>
    <s v="-"/>
    <s v="-"/>
    <s v="-"/>
    <s v="P"/>
    <s v="P"/>
    <s v="-"/>
    <n v="2"/>
    <n v="1"/>
    <n v="2"/>
    <n v="1"/>
    <s v="-"/>
    <s v="-"/>
    <s v="-"/>
    <s v="-"/>
    <s v="-"/>
    <s v="-"/>
    <s v="-"/>
    <n v="6"/>
    <n v="6"/>
    <s v="-"/>
    <n v="1"/>
    <n v="1"/>
    <n v="2"/>
    <n v="2"/>
    <n v="8"/>
    <n v="8"/>
  </r>
  <r>
    <x v="2"/>
    <x v="59"/>
    <d v="2026-03-09T00:00:00"/>
    <s v="3RD"/>
    <d v="1899-12-31T01:00:00"/>
    <n v="1"/>
    <x v="22"/>
    <n v="6.8999999999999999E-3"/>
    <s v="P"/>
    <s v="P"/>
    <s v="P"/>
    <s v="-"/>
    <s v="-"/>
    <n v="11.08"/>
    <s v="-"/>
    <s v="-"/>
    <s v="-"/>
    <s v="-"/>
    <s v="-"/>
    <s v="-"/>
    <s v="-"/>
    <s v="-"/>
    <s v="P"/>
    <s v="P"/>
    <s v="-"/>
    <n v="2"/>
    <n v="1"/>
    <n v="2"/>
    <n v="1"/>
    <s v="-"/>
    <s v="-"/>
    <s v="-"/>
    <s v="-"/>
    <s v="-"/>
    <s v="-"/>
    <s v="-"/>
    <n v="6"/>
    <n v="6"/>
    <s v="-"/>
    <n v="1"/>
    <n v="1"/>
    <n v="2"/>
    <n v="2"/>
    <n v="8"/>
    <n v="8"/>
  </r>
  <r>
    <x v="2"/>
    <x v="59"/>
    <d v="2026-03-09T00:00:00"/>
    <s v="3RD"/>
    <d v="1899-12-31T02:00:00"/>
    <n v="1"/>
    <x v="22"/>
    <n v="3.3999999999999998E-3"/>
    <s v="P"/>
    <s v="P"/>
    <s v="P"/>
    <s v="-"/>
    <s v="-"/>
    <n v="11.3"/>
    <s v="-"/>
    <s v="-"/>
    <s v="-"/>
    <s v="-"/>
    <s v="-"/>
    <s v="-"/>
    <s v="-"/>
    <s v="-"/>
    <s v="P"/>
    <s v="P"/>
    <s v="-"/>
    <n v="2"/>
    <n v="1"/>
    <n v="2"/>
    <n v="1"/>
    <s v="-"/>
    <s v="-"/>
    <s v="-"/>
    <s v="-"/>
    <s v="-"/>
    <s v="-"/>
    <s v="-"/>
    <n v="6"/>
    <n v="6"/>
    <s v="-"/>
    <n v="1"/>
    <n v="1"/>
    <n v="2"/>
    <n v="2"/>
    <n v="8"/>
    <n v="8"/>
  </r>
  <r>
    <x v="2"/>
    <x v="59"/>
    <d v="2026-03-09T00:00:00"/>
    <s v="3RD"/>
    <d v="1899-12-31T03:00:00"/>
    <n v="1"/>
    <x v="22"/>
    <n v="3.3E-3"/>
    <s v="P"/>
    <s v="P"/>
    <s v="P"/>
    <s v="-"/>
    <s v="-"/>
    <n v="11.28"/>
    <s v="-"/>
    <s v="-"/>
    <s v="-"/>
    <s v="-"/>
    <s v="-"/>
    <s v="-"/>
    <s v="-"/>
    <s v="-"/>
    <s v="P"/>
    <s v="P"/>
    <s v="-"/>
    <n v="2"/>
    <n v="1"/>
    <n v="2"/>
    <n v="1"/>
    <s v="-"/>
    <s v="-"/>
    <s v="-"/>
    <s v="-"/>
    <s v="-"/>
    <s v="-"/>
    <s v="-"/>
    <n v="6"/>
    <n v="6"/>
    <s v="-"/>
    <n v="1"/>
    <n v="1"/>
    <n v="2"/>
    <n v="2"/>
    <n v="8"/>
    <n v="8"/>
  </r>
  <r>
    <x v="2"/>
    <x v="59"/>
    <d v="2026-03-09T00:00:00"/>
    <s v="3RD"/>
    <d v="1899-12-31T04:00:00"/>
    <n v="1"/>
    <x v="22"/>
    <s v="-"/>
    <s v="P"/>
    <s v="P"/>
    <s v="P"/>
    <s v="-"/>
    <s v="-"/>
    <s v="-"/>
    <s v="-"/>
    <s v="-"/>
    <s v="-"/>
    <s v="-"/>
    <s v="-"/>
    <s v="-"/>
    <s v="-"/>
    <s v="-"/>
    <s v="P"/>
    <s v="P"/>
    <s v="-"/>
    <s v="-"/>
    <n v="1"/>
    <n v="2"/>
    <s v="-"/>
    <s v="-"/>
    <s v="-"/>
    <s v="-"/>
    <s v="-"/>
    <s v="-"/>
    <s v="-"/>
    <s v="-"/>
    <n v="3"/>
    <n v="3"/>
    <s v="-"/>
    <n v="1"/>
    <n v="1"/>
    <n v="2"/>
    <n v="2"/>
    <n v="5"/>
    <n v="5"/>
  </r>
  <r>
    <x v="2"/>
    <x v="60"/>
    <d v="2026-03-03T00:00:00"/>
    <s v="1ST"/>
    <s v="12:00"/>
    <n v="3"/>
    <x v="6"/>
    <n v="6.4000000000000003E-3"/>
    <s v="P"/>
    <s v="P"/>
    <s v="P"/>
    <s v="+"/>
    <s v="+"/>
    <n v="11.78"/>
    <n v="12.74"/>
    <n v="0.56999999999999995"/>
    <n v="64.099999999999994"/>
    <s v="-"/>
    <s v="-"/>
    <n v="35.700000000000003"/>
    <s v="-"/>
    <s v="-"/>
    <s v="P"/>
    <s v="P"/>
    <s v="70% 20% 10%"/>
    <n v="2"/>
    <n v="1"/>
    <n v="2"/>
    <n v="0"/>
    <n v="1"/>
    <n v="2"/>
    <n v="2"/>
    <s v="-"/>
    <s v="-"/>
    <n v="2"/>
    <s v="-"/>
    <n v="12"/>
    <n v="13"/>
    <s v="-"/>
    <n v="1"/>
    <n v="1"/>
    <n v="2"/>
    <n v="2"/>
    <n v="14"/>
    <n v="15"/>
  </r>
  <r>
    <x v="2"/>
    <x v="60"/>
    <d v="2026-03-03T00:00:00"/>
    <s v="2ND"/>
    <d v="1899-12-30T14:00:00"/>
    <n v="3"/>
    <x v="6"/>
    <n v="4.1999999999999997E-3"/>
    <s v="P"/>
    <s v="P"/>
    <s v="P"/>
    <s v="+"/>
    <s v="+"/>
    <n v="12.47"/>
    <n v="12.59"/>
    <n v="0.56999999999999995"/>
    <n v="64.099999999999994"/>
    <s v="-"/>
    <s v="-"/>
    <n v="35.299999999999997"/>
    <s v="-"/>
    <s v="-"/>
    <s v="P"/>
    <s v="P"/>
    <s v="70% 20% 10%"/>
    <n v="2"/>
    <n v="1"/>
    <n v="2"/>
    <n v="1"/>
    <n v="1"/>
    <n v="2"/>
    <n v="2"/>
    <s v="-"/>
    <s v="-"/>
    <n v="2"/>
    <s v="-"/>
    <n v="13"/>
    <n v="13"/>
    <s v="-"/>
    <n v="1"/>
    <n v="1"/>
    <n v="2"/>
    <n v="2"/>
    <n v="15"/>
    <n v="15"/>
  </r>
  <r>
    <x v="2"/>
    <x v="60"/>
    <d v="2026-03-03T00:00:00"/>
    <s v="2ND"/>
    <d v="1899-12-30T16:00:00"/>
    <n v="3"/>
    <x v="6"/>
    <n v="8.8999999999999999E-3"/>
    <s v="P"/>
    <s v="P"/>
    <s v="P"/>
    <s v="+"/>
    <s v="+"/>
    <n v="12.46"/>
    <s v="-"/>
    <s v="-"/>
    <s v="-"/>
    <s v="-"/>
    <s v="-"/>
    <s v="-"/>
    <s v="-"/>
    <s v="-"/>
    <s v="P"/>
    <s v="P"/>
    <s v="-"/>
    <n v="2"/>
    <n v="1"/>
    <n v="2"/>
    <n v="1"/>
    <s v="-"/>
    <s v="-"/>
    <s v="-"/>
    <s v="-"/>
    <s v="-"/>
    <s v="-"/>
    <s v="-"/>
    <n v="6"/>
    <n v="6"/>
    <s v="-"/>
    <n v="1"/>
    <n v="1"/>
    <n v="2"/>
    <n v="2"/>
    <n v="8"/>
    <n v="8"/>
  </r>
  <r>
    <x v="2"/>
    <x v="60"/>
    <d v="2026-03-03T00:00:00"/>
    <s v="2ND"/>
    <d v="1899-12-30T18:00:00"/>
    <n v="3"/>
    <x v="6"/>
    <n v="1.5599999999999999E-2"/>
    <s v="P"/>
    <s v="P"/>
    <s v="P"/>
    <s v="+"/>
    <s v="+"/>
    <n v="12.58"/>
    <s v="-"/>
    <s v="-"/>
    <s v="-"/>
    <s v="-"/>
    <s v="-"/>
    <s v="-"/>
    <s v="-"/>
    <s v="-"/>
    <s v="P"/>
    <s v="P"/>
    <s v="-"/>
    <n v="2"/>
    <n v="1"/>
    <n v="2"/>
    <n v="1"/>
    <s v="-"/>
    <s v="-"/>
    <s v="-"/>
    <s v="-"/>
    <s v="-"/>
    <s v="-"/>
    <s v="-"/>
    <n v="6"/>
    <n v="6"/>
    <s v="-"/>
    <n v="1"/>
    <n v="1"/>
    <n v="2"/>
    <n v="2"/>
    <n v="8"/>
    <n v="8"/>
  </r>
  <r>
    <x v="2"/>
    <x v="60"/>
    <d v="2026-03-03T00:00:00"/>
    <s v="2ND"/>
    <d v="1899-12-30T20:00:00"/>
    <n v="3"/>
    <x v="6"/>
    <n v="1.2999999999999999E-2"/>
    <s v="P"/>
    <s v="P"/>
    <s v="P"/>
    <s v="+"/>
    <s v="+"/>
    <n v="12.3"/>
    <s v="-"/>
    <s v="-"/>
    <s v="-"/>
    <s v="-"/>
    <s v="-"/>
    <s v="-"/>
    <s v="-"/>
    <s v="-"/>
    <s v="P"/>
    <s v="P"/>
    <s v="-"/>
    <n v="2"/>
    <n v="1"/>
    <n v="2"/>
    <n v="1"/>
    <s v="-"/>
    <s v="-"/>
    <s v="-"/>
    <s v="-"/>
    <s v="-"/>
    <s v="-"/>
    <s v="-"/>
    <n v="6"/>
    <n v="6"/>
    <s v="-"/>
    <n v="1"/>
    <n v="1"/>
    <n v="2"/>
    <n v="2"/>
    <n v="8"/>
    <n v="8"/>
  </r>
  <r>
    <x v="2"/>
    <x v="60"/>
    <d v="2026-03-03T00:00:00"/>
    <s v="2ND"/>
    <d v="1899-12-30T21:00:00"/>
    <n v="3"/>
    <x v="6"/>
    <n v="1.8599999999999998E-2"/>
    <s v="P"/>
    <s v="P"/>
    <s v="P"/>
    <s v="+"/>
    <s v="+"/>
    <n v="12.5"/>
    <s v="-"/>
    <s v="-"/>
    <s v="-"/>
    <s v="-"/>
    <s v="-"/>
    <s v="-"/>
    <s v="-"/>
    <s v="-"/>
    <s v="P"/>
    <s v="P"/>
    <s v="-"/>
    <n v="2"/>
    <n v="1"/>
    <n v="2"/>
    <n v="1"/>
    <s v="-"/>
    <s v="-"/>
    <s v="-"/>
    <s v="-"/>
    <s v="-"/>
    <s v="-"/>
    <s v="-"/>
    <n v="6"/>
    <n v="6"/>
    <s v="-"/>
    <n v="1"/>
    <n v="1"/>
    <n v="2"/>
    <n v="2"/>
    <n v="8"/>
    <n v="8"/>
  </r>
  <r>
    <x v="2"/>
    <x v="60"/>
    <d v="2026-03-03T00:00:00"/>
    <s v="3RD"/>
    <d v="1899-12-31T00:00:00"/>
    <n v="3"/>
    <x v="6"/>
    <n v="1.14E-2"/>
    <s v="P"/>
    <s v="P"/>
    <s v="P"/>
    <s v="+"/>
    <s v="+"/>
    <n v="12.63"/>
    <n v="12.6"/>
    <s v="-"/>
    <s v="-"/>
    <s v="-"/>
    <s v="-"/>
    <n v="35.200000000000003"/>
    <s v="-"/>
    <s v="-"/>
    <s v="P"/>
    <s v="P"/>
    <s v="70% 20% 10%"/>
    <n v="2"/>
    <n v="1"/>
    <n v="2"/>
    <n v="1"/>
    <n v="1"/>
    <s v="-"/>
    <s v="-"/>
    <s v="-"/>
    <s v="-"/>
    <n v="2"/>
    <s v="-"/>
    <n v="9"/>
    <n v="9"/>
    <s v="-"/>
    <n v="1"/>
    <n v="1"/>
    <n v="2"/>
    <n v="2"/>
    <n v="11"/>
    <n v="11"/>
  </r>
  <r>
    <x v="2"/>
    <x v="60"/>
    <d v="2026-03-03T00:00:00"/>
    <s v="3RD"/>
    <d v="1899-12-31T02:00:00"/>
    <n v="3"/>
    <x v="6"/>
    <n v="1.1599999999999999E-2"/>
    <s v="P"/>
    <s v="P"/>
    <s v="P"/>
    <s v="+"/>
    <s v="+"/>
    <n v="12.46"/>
    <s v="-"/>
    <s v="-"/>
    <s v="-"/>
    <s v="-"/>
    <s v="-"/>
    <s v="-"/>
    <s v="-"/>
    <s v="-"/>
    <s v="P"/>
    <s v="P"/>
    <s v="-"/>
    <n v="2"/>
    <n v="1"/>
    <n v="2"/>
    <n v="1"/>
    <s v="-"/>
    <s v="-"/>
    <s v="-"/>
    <s v="-"/>
    <s v="-"/>
    <s v="-"/>
    <s v="-"/>
    <n v="6"/>
    <n v="6"/>
    <s v="-"/>
    <n v="1"/>
    <n v="1"/>
    <n v="2"/>
    <n v="2"/>
    <n v="8"/>
    <n v="8"/>
  </r>
  <r>
    <x v="2"/>
    <x v="60"/>
    <d v="2026-03-03T00:00:00"/>
    <s v="3RD"/>
    <d v="1899-12-31T04:00:00"/>
    <n v="3"/>
    <x v="6"/>
    <n v="1.46E-2"/>
    <s v="P"/>
    <s v="P"/>
    <s v="P"/>
    <s v="+"/>
    <s v="+"/>
    <n v="12.62"/>
    <s v="-"/>
    <s v="-"/>
    <s v="-"/>
    <s v="-"/>
    <s v="-"/>
    <s v="-"/>
    <s v="-"/>
    <s v="-"/>
    <s v="P"/>
    <s v="P"/>
    <s v="-"/>
    <n v="2"/>
    <n v="1"/>
    <n v="2"/>
    <n v="1"/>
    <s v="-"/>
    <s v="-"/>
    <s v="-"/>
    <s v="-"/>
    <s v="-"/>
    <s v="-"/>
    <s v="-"/>
    <n v="6"/>
    <n v="6"/>
    <s v="-"/>
    <n v="1"/>
    <n v="1"/>
    <n v="2"/>
    <n v="2"/>
    <n v="8"/>
    <n v="8"/>
  </r>
  <r>
    <x v="2"/>
    <x v="60"/>
    <d v="2026-03-03T00:00:00"/>
    <s v="3RD"/>
    <d v="1899-12-31T05:00:00"/>
    <n v="3"/>
    <x v="6"/>
    <s v="-"/>
    <s v="P"/>
    <s v="P"/>
    <s v="P"/>
    <s v="+"/>
    <s v="+"/>
    <s v="-"/>
    <s v="-"/>
    <s v="-"/>
    <s v="-"/>
    <s v="-"/>
    <s v="-"/>
    <s v="-"/>
    <s v="-"/>
    <s v="-"/>
    <s v="P"/>
    <s v="P"/>
    <s v="-"/>
    <s v="-"/>
    <n v="1"/>
    <n v="2"/>
    <s v="-"/>
    <s v="-"/>
    <s v="-"/>
    <s v="-"/>
    <s v="-"/>
    <s v="-"/>
    <s v="-"/>
    <s v="-"/>
    <n v="3"/>
    <n v="3"/>
    <s v="-"/>
    <n v="1"/>
    <n v="1"/>
    <n v="2"/>
    <n v="2"/>
    <n v="5"/>
    <n v="5"/>
  </r>
  <r>
    <x v="2"/>
    <x v="60"/>
    <d v="1902-03-26T00:00:00"/>
    <s v="2ND"/>
    <d v="1899-12-30T20:00:00"/>
    <n v="2"/>
    <x v="7"/>
    <n v="1.21E-2"/>
    <s v="P"/>
    <s v="P"/>
    <s v="P"/>
    <s v="-"/>
    <s v="+"/>
    <n v="10.48"/>
    <n v="8.61"/>
    <n v="0.46"/>
    <n v="56.9"/>
    <s v="-"/>
    <s v="-"/>
    <n v="23.26"/>
    <s v="-"/>
    <s v="-"/>
    <s v="P"/>
    <s v="P"/>
    <s v="-"/>
    <n v="2"/>
    <n v="1"/>
    <n v="2"/>
    <n v="0"/>
    <n v="1"/>
    <n v="2"/>
    <n v="2"/>
    <s v="-"/>
    <s v="-"/>
    <n v="2"/>
    <s v="-"/>
    <n v="12"/>
    <n v="13"/>
    <s v="-"/>
    <n v="1"/>
    <n v="1"/>
    <n v="2"/>
    <n v="2"/>
    <n v="14"/>
    <n v="15"/>
  </r>
  <r>
    <x v="2"/>
    <x v="60"/>
    <d v="1899-12-30T00:00:00"/>
    <s v="2ND"/>
    <d v="1899-12-30T21:00:00"/>
    <n v="2"/>
    <x v="7"/>
    <n v="9.1000000000000004E-3"/>
    <s v="P"/>
    <s v="P"/>
    <s v="P"/>
    <s v="-"/>
    <s v="+"/>
    <n v="10.29"/>
    <s v="-"/>
    <s v="-"/>
    <s v="-"/>
    <s v="-"/>
    <s v="-"/>
    <s v="-"/>
    <s v="-"/>
    <s v="-"/>
    <s v="P"/>
    <s v="P"/>
    <s v="-"/>
    <n v="2"/>
    <n v="1"/>
    <n v="2"/>
    <n v="0"/>
    <s v="-"/>
    <s v="-"/>
    <s v="-"/>
    <s v="-"/>
    <s v="-"/>
    <s v="-"/>
    <s v="-"/>
    <n v="5"/>
    <n v="6"/>
    <s v="-"/>
    <n v="1"/>
    <n v="1"/>
    <n v="2"/>
    <n v="2"/>
    <n v="7"/>
    <n v="8"/>
  </r>
  <r>
    <x v="2"/>
    <x v="60"/>
    <d v="1902-03-26T00:00:00"/>
    <s v="3RD"/>
    <d v="1899-12-30T22:00:00"/>
    <n v="2"/>
    <x v="7"/>
    <n v="1.46E-2"/>
    <s v="P"/>
    <s v="P"/>
    <s v="P"/>
    <s v="-"/>
    <s v="+"/>
    <n v="10.98"/>
    <n v="8.86"/>
    <s v="-"/>
    <s v="-"/>
    <s v="-"/>
    <s v="-"/>
    <n v="23.95"/>
    <s v="-"/>
    <s v="-"/>
    <s v="P"/>
    <s v="P"/>
    <s v="-"/>
    <n v="2"/>
    <n v="1"/>
    <n v="2"/>
    <n v="0"/>
    <n v="1"/>
    <s v="-"/>
    <s v="-"/>
    <s v="-"/>
    <s v="-"/>
    <n v="2"/>
    <s v="-"/>
    <n v="8"/>
    <n v="9"/>
    <s v="-"/>
    <n v="1"/>
    <n v="1"/>
    <n v="2"/>
    <n v="2"/>
    <n v="10"/>
    <n v="11"/>
  </r>
  <r>
    <x v="2"/>
    <x v="60"/>
    <d v="1899-12-30T00:00:00"/>
    <s v="3RD"/>
    <d v="1899-12-30T23:00:00"/>
    <n v="2"/>
    <x v="7"/>
    <n v="1.7100000000000001E-2"/>
    <s v="P"/>
    <s v="P"/>
    <s v="P"/>
    <s v="-"/>
    <s v="+"/>
    <n v="10.78"/>
    <s v="-"/>
    <s v="-"/>
    <s v="-"/>
    <s v="-"/>
    <s v="-"/>
    <s v="-"/>
    <s v="-"/>
    <s v="-"/>
    <s v="P"/>
    <s v="P"/>
    <s v="-"/>
    <n v="2"/>
    <n v="1"/>
    <n v="2"/>
    <n v="0"/>
    <s v="-"/>
    <s v="-"/>
    <s v="-"/>
    <s v="-"/>
    <s v="-"/>
    <s v="-"/>
    <s v="-"/>
    <n v="5"/>
    <n v="6"/>
    <s v="-"/>
    <n v="1"/>
    <n v="1"/>
    <n v="2"/>
    <n v="2"/>
    <n v="7"/>
    <n v="8"/>
  </r>
  <r>
    <x v="2"/>
    <x v="60"/>
    <d v="1899-12-30T00:00:00"/>
    <s v="3RD"/>
    <d v="1899-12-31T00:00:00"/>
    <n v="2"/>
    <x v="7"/>
    <n v="1.3599999999999999E-2"/>
    <s v="P"/>
    <s v="P"/>
    <s v="P"/>
    <s v="-"/>
    <s v="+"/>
    <n v="10.71"/>
    <s v="-"/>
    <s v="-"/>
    <s v="-"/>
    <s v="-"/>
    <s v="-"/>
    <s v="-"/>
    <s v="-"/>
    <s v="-"/>
    <s v="P"/>
    <s v="P"/>
    <s v="-"/>
    <n v="2"/>
    <n v="1"/>
    <n v="2"/>
    <n v="0"/>
    <s v="-"/>
    <s v="-"/>
    <s v="-"/>
    <s v="-"/>
    <s v="-"/>
    <s v="-"/>
    <s v="-"/>
    <n v="5"/>
    <n v="6"/>
    <s v="-"/>
    <n v="1"/>
    <n v="1"/>
    <n v="2"/>
    <n v="2"/>
    <n v="7"/>
    <n v="8"/>
  </r>
  <r>
    <x v="2"/>
    <x v="60"/>
    <d v="1899-12-30T00:00:00"/>
    <s v="3RD"/>
    <d v="1899-12-31T02:00:00"/>
    <n v="2"/>
    <x v="7"/>
    <n v="1.1299999999999999E-2"/>
    <s v="P"/>
    <s v="P"/>
    <s v="P"/>
    <s v="-"/>
    <s v="+"/>
    <n v="10.88"/>
    <s v="-"/>
    <s v="-"/>
    <s v="-"/>
    <s v="-"/>
    <s v="-"/>
    <s v="-"/>
    <s v="-"/>
    <s v="-"/>
    <s v="P"/>
    <s v="P"/>
    <s v="-"/>
    <n v="2"/>
    <n v="1"/>
    <n v="2"/>
    <n v="0"/>
    <s v="-"/>
    <s v="-"/>
    <s v="-"/>
    <s v="-"/>
    <s v="-"/>
    <s v="-"/>
    <s v="-"/>
    <n v="5"/>
    <n v="6"/>
    <s v="-"/>
    <n v="1"/>
    <n v="1"/>
    <n v="2"/>
    <n v="2"/>
    <n v="7"/>
    <n v="8"/>
  </r>
  <r>
    <x v="2"/>
    <x v="60"/>
    <d v="1899-12-30T00:00:00"/>
    <s v="3RD"/>
    <d v="1899-12-31T04:00:00"/>
    <n v="2"/>
    <x v="7"/>
    <n v="5.1000000000000004E-3"/>
    <s v="P"/>
    <s v="P"/>
    <s v="P"/>
    <s v="-"/>
    <s v="+"/>
    <n v="10.9"/>
    <s v="-"/>
    <s v="-"/>
    <s v="-"/>
    <s v="-"/>
    <s v="-"/>
    <s v="-"/>
    <s v="-"/>
    <s v="-"/>
    <s v="P"/>
    <s v="P"/>
    <s v="-"/>
    <n v="2"/>
    <n v="1"/>
    <n v="2"/>
    <n v="0"/>
    <s v="-"/>
    <s v="-"/>
    <s v="-"/>
    <s v="-"/>
    <s v="-"/>
    <s v="-"/>
    <s v="-"/>
    <n v="5"/>
    <n v="6"/>
    <s v="-"/>
    <n v="1"/>
    <n v="1"/>
    <n v="2"/>
    <n v="2"/>
    <n v="7"/>
    <n v="8"/>
  </r>
  <r>
    <x v="2"/>
    <x v="60"/>
    <d v="1902-03-26T00:00:00"/>
    <s v="1ST"/>
    <s v="06:00"/>
    <n v="2"/>
    <x v="17"/>
    <n v="2.3999999999999998E-3"/>
    <s v="P"/>
    <s v="P"/>
    <s v="P"/>
    <s v="-"/>
    <s v="+"/>
    <n v="10.07"/>
    <n v="8.39"/>
    <n v="0.39"/>
    <n v="56.2"/>
    <s v="-"/>
    <s v="-"/>
    <n v="22.71"/>
    <s v="-"/>
    <s v="-"/>
    <s v="P"/>
    <s v="P"/>
    <s v="-"/>
    <n v="2"/>
    <n v="1"/>
    <n v="2"/>
    <n v="0"/>
    <n v="1"/>
    <n v="2"/>
    <n v="2"/>
    <s v="-"/>
    <s v="-"/>
    <n v="2"/>
    <s v="-"/>
    <n v="12"/>
    <n v="13"/>
    <s v="-"/>
    <n v="1"/>
    <n v="1"/>
    <n v="2"/>
    <n v="2"/>
    <n v="14"/>
    <n v="15"/>
  </r>
  <r>
    <x v="2"/>
    <x v="60"/>
    <d v="1899-12-30T00:00:00"/>
    <s v="1ST"/>
    <s v="07:00"/>
    <n v="2"/>
    <x v="17"/>
    <n v="3.0000000000000001E-3"/>
    <s v="P"/>
    <s v="P"/>
    <s v="P"/>
    <s v="-"/>
    <s v="+"/>
    <n v="10.07"/>
    <s v="-"/>
    <s v="-"/>
    <s v="-"/>
    <s v="-"/>
    <s v="-"/>
    <s v="-"/>
    <s v="-"/>
    <s v="-"/>
    <s v="P"/>
    <s v="P"/>
    <s v="-"/>
    <n v="2"/>
    <n v="1"/>
    <n v="2"/>
    <n v="0"/>
    <s v="-"/>
    <s v="-"/>
    <s v="-"/>
    <s v="-"/>
    <s v="-"/>
    <s v="-"/>
    <s v="-"/>
    <n v="5"/>
    <n v="6"/>
    <s v="-"/>
    <n v="1"/>
    <n v="1"/>
    <n v="2"/>
    <n v="2"/>
    <n v="7"/>
    <n v="8"/>
  </r>
  <r>
    <x v="2"/>
    <x v="60"/>
    <d v="1899-12-30T00:00:00"/>
    <s v="1ST"/>
    <s v="09:00"/>
    <n v="2"/>
    <x v="17"/>
    <n v="3.7000000000000002E-3"/>
    <s v="P"/>
    <s v="P"/>
    <s v="P"/>
    <s v="-"/>
    <s v="+"/>
    <n v="10.33"/>
    <s v="-"/>
    <s v="-"/>
    <s v="-"/>
    <s v="-"/>
    <s v="-"/>
    <s v="-"/>
    <s v="-"/>
    <s v="-"/>
    <s v="P"/>
    <s v="P"/>
    <s v="-"/>
    <n v="2"/>
    <n v="1"/>
    <n v="2"/>
    <n v="0"/>
    <s v="-"/>
    <s v="-"/>
    <s v="-"/>
    <s v="-"/>
    <s v="-"/>
    <s v="-"/>
    <s v="-"/>
    <n v="5"/>
    <n v="6"/>
    <s v="-"/>
    <n v="1"/>
    <n v="1"/>
    <n v="2"/>
    <n v="2"/>
    <n v="7"/>
    <n v="8"/>
  </r>
  <r>
    <x v="2"/>
    <x v="60"/>
    <d v="1899-12-30T00:00:00"/>
    <s v="1ST"/>
    <s v="11:00"/>
    <n v="2"/>
    <x v="17"/>
    <n v="3.5999999999999999E-3"/>
    <s v="P"/>
    <s v="P"/>
    <s v="P"/>
    <s v="-"/>
    <s v="+"/>
    <n v="10.35"/>
    <s v="-"/>
    <s v="-"/>
    <s v="-"/>
    <s v="-"/>
    <s v="-"/>
    <s v="-"/>
    <s v="-"/>
    <s v="-"/>
    <s v="P"/>
    <s v="P"/>
    <s v="-"/>
    <n v="2"/>
    <n v="1"/>
    <n v="2"/>
    <n v="0"/>
    <s v="-"/>
    <s v="-"/>
    <s v="-"/>
    <s v="-"/>
    <s v="-"/>
    <s v="-"/>
    <s v="-"/>
    <n v="5"/>
    <n v="6"/>
    <s v="-"/>
    <n v="1"/>
    <n v="1"/>
    <n v="2"/>
    <n v="2"/>
    <n v="7"/>
    <n v="8"/>
  </r>
  <r>
    <x v="2"/>
    <x v="60"/>
    <d v="1899-12-30T00:00:00"/>
    <s v="1ST"/>
    <s v="12:00"/>
    <n v="2"/>
    <x v="17"/>
    <n v="4.0000000000000001E-3"/>
    <s v="P"/>
    <s v="P"/>
    <s v="P"/>
    <s v="-"/>
    <s v="+"/>
    <n v="10.24"/>
    <s v="-"/>
    <s v="-"/>
    <s v="-"/>
    <s v="-"/>
    <s v="-"/>
    <s v="-"/>
    <s v="-"/>
    <s v="-"/>
    <s v="P"/>
    <s v="P"/>
    <s v="-"/>
    <n v="2"/>
    <n v="1"/>
    <n v="2"/>
    <n v="0"/>
    <s v="-"/>
    <s v="-"/>
    <s v="-"/>
    <s v="-"/>
    <s v="-"/>
    <s v="-"/>
    <s v="-"/>
    <n v="5"/>
    <n v="6"/>
    <s v="-"/>
    <n v="1"/>
    <n v="1"/>
    <n v="2"/>
    <n v="2"/>
    <n v="7"/>
    <n v="8"/>
  </r>
  <r>
    <x v="2"/>
    <x v="60"/>
    <d v="2026-03-10T00:00:00"/>
    <s v="1ST"/>
    <s v="07:00"/>
    <s v="Retail"/>
    <x v="19"/>
    <s v="-"/>
    <s v="P"/>
    <s v="P"/>
    <s v="P"/>
    <s v="-"/>
    <s v="-"/>
    <n v="12.67"/>
    <n v="14.72"/>
    <n v="1.44"/>
    <n v="72.400000000000006"/>
    <n v="14.1"/>
    <n v="602"/>
    <n v="41.73"/>
    <s v="-"/>
    <s v="-"/>
    <s v="-"/>
    <s v="-"/>
    <s v="-"/>
    <s v="-"/>
    <n v="1"/>
    <n v="2"/>
    <n v="1"/>
    <n v="1"/>
    <n v="0"/>
    <n v="2"/>
    <n v="1"/>
    <n v="1"/>
    <n v="2"/>
    <s v="-"/>
    <n v="11"/>
    <n v="13"/>
    <s v="-"/>
    <s v="-"/>
    <s v="-"/>
    <n v="0"/>
    <n v="0"/>
    <n v="11"/>
    <n v="13"/>
  </r>
  <r>
    <x v="2"/>
    <x v="60"/>
    <d v="2026-03-10T00:00:00"/>
    <s v="1ST"/>
    <s v="11:00"/>
    <s v="Retail"/>
    <x v="25"/>
    <s v="-"/>
    <s v="P"/>
    <s v="P"/>
    <s v="P"/>
    <s v="+"/>
    <s v="+"/>
    <n v="12.75"/>
    <n v="14.18"/>
    <s v="-"/>
    <n v="70.2"/>
    <n v="15"/>
    <n v="624"/>
    <n v="40.1"/>
    <s v="-"/>
    <s v="-"/>
    <s v="-"/>
    <s v="-"/>
    <s v="-"/>
    <s v="-"/>
    <n v="1"/>
    <n v="2"/>
    <n v="1"/>
    <n v="1"/>
    <s v="-"/>
    <n v="2"/>
    <n v="1"/>
    <n v="1"/>
    <n v="2"/>
    <s v="-"/>
    <n v="11"/>
    <n v="11"/>
    <s v="-"/>
    <s v="-"/>
    <s v="-"/>
    <n v="0"/>
    <n v="0"/>
    <n v="11"/>
    <n v="11"/>
  </r>
  <r>
    <x v="2"/>
    <x v="60"/>
    <d v="2026-03-03T00:00:00"/>
    <s v="1ST"/>
    <s v="06:00"/>
    <n v="3"/>
    <x v="0"/>
    <n v="8.0999999999999996E-3"/>
    <s v="P"/>
    <s v="P"/>
    <s v="P"/>
    <s v="+"/>
    <s v="+"/>
    <n v="12.56"/>
    <n v="12.96"/>
    <n v="0.53"/>
    <n v="64.3"/>
    <s v="-"/>
    <s v="-"/>
    <n v="36.299999999999997"/>
    <s v="-"/>
    <s v="-"/>
    <s v="P"/>
    <s v="P"/>
    <s v="85% 5% 10%"/>
    <n v="2"/>
    <n v="1"/>
    <n v="2"/>
    <n v="1"/>
    <n v="1"/>
    <n v="2"/>
    <n v="2"/>
    <s v="-"/>
    <s v="-"/>
    <n v="2"/>
    <s v="-"/>
    <n v="13"/>
    <n v="13"/>
    <s v="-"/>
    <n v="1"/>
    <n v="1"/>
    <n v="2"/>
    <n v="2"/>
    <n v="15"/>
    <n v="15"/>
  </r>
  <r>
    <x v="2"/>
    <x v="60"/>
    <d v="2026-03-03T00:00:00"/>
    <s v="1ST"/>
    <s v="07:00"/>
    <n v="3"/>
    <x v="1"/>
    <n v="7.6E-3"/>
    <s v="P"/>
    <s v="P"/>
    <s v="P"/>
    <s v="+"/>
    <s v="+"/>
    <n v="12.34"/>
    <s v="-"/>
    <s v="-"/>
    <s v="-"/>
    <s v="-"/>
    <s v="-"/>
    <s v="-"/>
    <s v="-"/>
    <s v="-"/>
    <s v="P"/>
    <s v="P"/>
    <s v="-"/>
    <n v="2"/>
    <n v="1"/>
    <n v="2"/>
    <n v="1"/>
    <s v="-"/>
    <s v="-"/>
    <s v="-"/>
    <s v="-"/>
    <s v="-"/>
    <s v="-"/>
    <s v="-"/>
    <n v="6"/>
    <n v="6"/>
    <s v="-"/>
    <n v="1"/>
    <n v="1"/>
    <n v="2"/>
    <n v="2"/>
    <n v="8"/>
    <n v="8"/>
  </r>
  <r>
    <x v="2"/>
    <x v="60"/>
    <d v="2026-03-03T00:00:00"/>
    <s v="1ST"/>
    <s v="08:00"/>
    <n v="3"/>
    <x v="1"/>
    <n v="8.3999999999999995E-3"/>
    <s v="P"/>
    <s v="P"/>
    <s v="P"/>
    <s v="+"/>
    <s v="+"/>
    <n v="12.84"/>
    <s v="-"/>
    <s v="-"/>
    <s v="-"/>
    <s v="-"/>
    <s v="-"/>
    <s v="-"/>
    <s v="-"/>
    <s v="-"/>
    <s v="P"/>
    <s v="P"/>
    <s v="-"/>
    <n v="2"/>
    <n v="1"/>
    <n v="2"/>
    <n v="1"/>
    <s v="-"/>
    <s v="-"/>
    <s v="-"/>
    <s v="-"/>
    <s v="-"/>
    <s v="-"/>
    <s v="-"/>
    <n v="6"/>
    <n v="6"/>
    <s v="-"/>
    <n v="1"/>
    <n v="1"/>
    <n v="2"/>
    <n v="2"/>
    <n v="8"/>
    <n v="8"/>
  </r>
  <r>
    <x v="2"/>
    <x v="60"/>
    <d v="2026-03-03T00:00:00"/>
    <s v="1ST"/>
    <s v="09:00"/>
    <n v="3"/>
    <x v="1"/>
    <n v="6.4000000000000003E-3"/>
    <s v="P"/>
    <s v="P"/>
    <s v="P"/>
    <s v="+"/>
    <s v="+"/>
    <n v="12.27"/>
    <s v="-"/>
    <s v="-"/>
    <s v="-"/>
    <s v="-"/>
    <s v="-"/>
    <s v="-"/>
    <s v="-"/>
    <s v="-"/>
    <s v="P"/>
    <s v="P"/>
    <s v="-"/>
    <n v="2"/>
    <n v="1"/>
    <n v="2"/>
    <n v="1"/>
    <s v="-"/>
    <s v="-"/>
    <s v="-"/>
    <s v="-"/>
    <s v="-"/>
    <s v="-"/>
    <s v="-"/>
    <n v="6"/>
    <n v="6"/>
    <s v="-"/>
    <n v="1"/>
    <n v="1"/>
    <n v="2"/>
    <n v="2"/>
    <n v="8"/>
    <n v="8"/>
  </r>
  <r>
    <x v="2"/>
    <x v="60"/>
    <d v="2026-03-03T00:00:00"/>
    <s v="1ST"/>
    <s v="10:00"/>
    <n v="3"/>
    <x v="1"/>
    <n v="3.5999999999999999E-3"/>
    <s v="P"/>
    <s v="P"/>
    <s v="P"/>
    <s v="+"/>
    <s v="+"/>
    <n v="12.7"/>
    <s v="-"/>
    <s v="-"/>
    <s v="-"/>
    <s v="-"/>
    <s v="-"/>
    <s v="-"/>
    <s v="-"/>
    <s v="-"/>
    <s v="P"/>
    <s v="P"/>
    <s v="-"/>
    <n v="2"/>
    <n v="1"/>
    <n v="2"/>
    <n v="1"/>
    <s v="-"/>
    <s v="-"/>
    <s v="-"/>
    <s v="-"/>
    <s v="-"/>
    <s v="-"/>
    <s v="-"/>
    <n v="6"/>
    <n v="6"/>
    <s v="-"/>
    <n v="1"/>
    <n v="1"/>
    <n v="2"/>
    <n v="2"/>
    <n v="8"/>
    <n v="8"/>
  </r>
  <r>
    <x v="2"/>
    <x v="60"/>
    <d v="2026-03-03T00:00:00"/>
    <s v="1ST"/>
    <s v="11:00"/>
    <n v="3"/>
    <x v="1"/>
    <n v="4.4999999999999997E-3"/>
    <s v="P"/>
    <s v="P"/>
    <s v="P"/>
    <s v="+"/>
    <s v="+"/>
    <n v="12.3"/>
    <s v="-"/>
    <s v="-"/>
    <s v="-"/>
    <s v="-"/>
    <s v="-"/>
    <s v="-"/>
    <s v="-"/>
    <s v="-"/>
    <s v="P"/>
    <s v="P"/>
    <s v="-"/>
    <n v="2"/>
    <n v="1"/>
    <n v="2"/>
    <n v="1"/>
    <s v="-"/>
    <s v="-"/>
    <s v="-"/>
    <s v="-"/>
    <s v="-"/>
    <s v="-"/>
    <s v="-"/>
    <n v="6"/>
    <n v="6"/>
    <s v="-"/>
    <n v="1"/>
    <n v="1"/>
    <n v="2"/>
    <n v="2"/>
    <n v="8"/>
    <n v="8"/>
  </r>
  <r>
    <x v="2"/>
    <x v="60"/>
    <d v="2026-03-12T00:00:00"/>
    <s v="1ST"/>
    <s v="12:00"/>
    <n v="1"/>
    <x v="20"/>
    <n v="1.78E-2"/>
    <s v="P"/>
    <s v="P"/>
    <s v="P"/>
    <s v="-"/>
    <s v="-"/>
    <n v="11.72"/>
    <n v="12.57"/>
    <n v="0.52"/>
    <n v="65.599999999999994"/>
    <s v="-"/>
    <s v="-"/>
    <n v="35.299999999999997"/>
    <s v="-"/>
    <s v="-"/>
    <s v="P"/>
    <s v="P"/>
    <s v="80% 20%"/>
    <n v="2"/>
    <n v="1"/>
    <n v="2"/>
    <n v="1"/>
    <n v="1"/>
    <n v="2"/>
    <n v="2"/>
    <s v="-"/>
    <s v="-"/>
    <n v="2"/>
    <s v="-"/>
    <n v="13"/>
    <n v="13"/>
    <s v="-"/>
    <n v="1"/>
    <n v="1"/>
    <n v="2"/>
    <n v="2"/>
    <n v="15"/>
    <n v="15"/>
  </r>
  <r>
    <x v="2"/>
    <x v="60"/>
    <s v="-"/>
    <s v="2ND"/>
    <d v="1899-12-30T14:00:00"/>
    <n v="1"/>
    <x v="20"/>
    <n v="1.3899999999999999E-2"/>
    <s v="P"/>
    <s v="P"/>
    <s v="P"/>
    <s v="-"/>
    <s v="-"/>
    <n v="11.66"/>
    <n v="13.9"/>
    <s v="-"/>
    <s v="-"/>
    <s v="-"/>
    <s v="-"/>
    <n v="32.1"/>
    <s v="-"/>
    <s v="-"/>
    <s v="P"/>
    <s v="P"/>
    <s v="80% 20%"/>
    <n v="2"/>
    <n v="1"/>
    <n v="2"/>
    <n v="1"/>
    <n v="0"/>
    <s v="-"/>
    <s v="-"/>
    <s v="-"/>
    <s v="-"/>
    <n v="2"/>
    <s v="-"/>
    <n v="8"/>
    <n v="9"/>
    <s v="-"/>
    <n v="1"/>
    <n v="1"/>
    <n v="2"/>
    <n v="2"/>
    <n v="10"/>
    <n v="11"/>
  </r>
  <r>
    <x v="2"/>
    <x v="60"/>
    <d v="2026-03-12T00:00:00"/>
    <s v="2ND"/>
    <d v="1899-12-30T15:00:00"/>
    <n v="1"/>
    <x v="20"/>
    <n v="1.46E-2"/>
    <s v="P"/>
    <s v="P"/>
    <s v="P"/>
    <s v="-"/>
    <s v="-"/>
    <n v="11.73"/>
    <s v="-"/>
    <s v="-"/>
    <s v="-"/>
    <s v="-"/>
    <s v="-"/>
    <s v="-"/>
    <s v="-"/>
    <s v="-"/>
    <s v="P"/>
    <s v="P"/>
    <s v="-"/>
    <n v="2"/>
    <n v="1"/>
    <n v="2"/>
    <n v="1"/>
    <s v="-"/>
    <s v="-"/>
    <s v="-"/>
    <s v="-"/>
    <s v="-"/>
    <s v="-"/>
    <s v="-"/>
    <n v="6"/>
    <n v="6"/>
    <s v="-"/>
    <n v="1"/>
    <n v="1"/>
    <n v="2"/>
    <n v="2"/>
    <n v="8"/>
    <n v="8"/>
  </r>
  <r>
    <x v="2"/>
    <x v="60"/>
    <d v="2026-03-12T00:00:00"/>
    <s v="2ND"/>
    <d v="1899-12-30T16:00:00"/>
    <n v="1"/>
    <x v="20"/>
    <n v="1.5299999999999999E-2"/>
    <s v="P"/>
    <s v="P"/>
    <s v="P"/>
    <s v="-"/>
    <s v="-"/>
    <n v="11.9"/>
    <s v="-"/>
    <s v="-"/>
    <s v="-"/>
    <s v="-"/>
    <s v="-"/>
    <s v="-"/>
    <s v="-"/>
    <s v="-"/>
    <s v="P"/>
    <s v="P"/>
    <s v="-"/>
    <n v="2"/>
    <n v="1"/>
    <n v="2"/>
    <n v="1"/>
    <s v="-"/>
    <s v="-"/>
    <s v="-"/>
    <s v="-"/>
    <s v="-"/>
    <s v="-"/>
    <s v="-"/>
    <n v="6"/>
    <n v="6"/>
    <s v="-"/>
    <n v="1"/>
    <n v="1"/>
    <n v="2"/>
    <n v="2"/>
    <n v="8"/>
    <n v="8"/>
  </r>
  <r>
    <x v="2"/>
    <x v="60"/>
    <d v="2026-03-12T00:00:00"/>
    <s v="2ND"/>
    <d v="1899-12-30T18:00:00"/>
    <n v="1"/>
    <x v="20"/>
    <n v="1.8599999999999998E-2"/>
    <s v="P"/>
    <s v="P"/>
    <s v="P"/>
    <s v="-"/>
    <s v="-"/>
    <n v="11.83"/>
    <s v="-"/>
    <s v="-"/>
    <s v="-"/>
    <s v="-"/>
    <s v="-"/>
    <s v="-"/>
    <s v="-"/>
    <s v="-"/>
    <s v="P"/>
    <s v="P"/>
    <s v="-"/>
    <n v="2"/>
    <n v="1"/>
    <n v="2"/>
    <n v="1"/>
    <s v="-"/>
    <s v="-"/>
    <s v="-"/>
    <s v="-"/>
    <s v="-"/>
    <s v="-"/>
    <s v="-"/>
    <n v="6"/>
    <n v="6"/>
    <s v="-"/>
    <n v="1"/>
    <n v="1"/>
    <n v="2"/>
    <n v="2"/>
    <n v="8"/>
    <n v="8"/>
  </r>
  <r>
    <x v="2"/>
    <x v="60"/>
    <d v="2026-03-12T00:00:00"/>
    <s v="2ND"/>
    <d v="1899-12-30T19:00:00"/>
    <n v="1"/>
    <x v="20"/>
    <n v="1.01E-2"/>
    <s v="P"/>
    <s v="P"/>
    <s v="P"/>
    <s v="-"/>
    <s v="-"/>
    <n v="11.99"/>
    <s v="-"/>
    <s v="-"/>
    <s v="-"/>
    <s v="-"/>
    <s v="-"/>
    <s v="-"/>
    <s v="-"/>
    <s v="-"/>
    <s v="P"/>
    <s v="P"/>
    <s v="-"/>
    <n v="2"/>
    <n v="1"/>
    <n v="2"/>
    <n v="1"/>
    <s v="-"/>
    <s v="-"/>
    <s v="-"/>
    <s v="-"/>
    <s v="-"/>
    <s v="-"/>
    <s v="-"/>
    <n v="6"/>
    <n v="6"/>
    <s v="-"/>
    <n v="1"/>
    <n v="1"/>
    <n v="2"/>
    <n v="2"/>
    <n v="8"/>
    <n v="8"/>
  </r>
  <r>
    <x v="2"/>
    <x v="60"/>
    <d v="2026-03-12T00:00:00"/>
    <s v="2ND"/>
    <d v="1899-12-30T20:00:00"/>
    <n v="1"/>
    <x v="20"/>
    <n v="1.9699999999999999E-2"/>
    <s v="P"/>
    <s v="P"/>
    <s v="P"/>
    <s v="-"/>
    <s v="-"/>
    <n v="11.22"/>
    <s v="-"/>
    <s v="-"/>
    <s v="-"/>
    <s v="-"/>
    <s v="-"/>
    <s v="-"/>
    <s v="-"/>
    <s v="-"/>
    <s v="P"/>
    <s v="P"/>
    <s v="-"/>
    <n v="2"/>
    <n v="1"/>
    <n v="2"/>
    <n v="1"/>
    <s v="-"/>
    <s v="-"/>
    <s v="-"/>
    <s v="-"/>
    <s v="-"/>
    <s v="-"/>
    <s v="-"/>
    <n v="6"/>
    <n v="6"/>
    <s v="-"/>
    <n v="1"/>
    <n v="1"/>
    <n v="2"/>
    <n v="2"/>
    <n v="8"/>
    <n v="8"/>
  </r>
  <r>
    <x v="2"/>
    <x v="60"/>
    <s v="-"/>
    <s v="3RD"/>
    <d v="1899-12-30T22:00:00"/>
    <n v="1"/>
    <x v="20"/>
    <n v="1.52E-2"/>
    <s v="P"/>
    <s v="P"/>
    <s v="P"/>
    <s v="-"/>
    <s v="-"/>
    <n v="12.05"/>
    <n v="13.24"/>
    <s v="-"/>
    <s v="-"/>
    <s v="-"/>
    <s v="-"/>
    <n v="37.200000000000003"/>
    <s v="-"/>
    <s v="-"/>
    <s v="P"/>
    <s v="P"/>
    <s v="80% 20%"/>
    <n v="2"/>
    <n v="1"/>
    <n v="2"/>
    <n v="1"/>
    <n v="1"/>
    <s v="-"/>
    <s v="-"/>
    <s v="-"/>
    <s v="-"/>
    <n v="2"/>
    <s v="-"/>
    <n v="9"/>
    <n v="9"/>
    <s v="-"/>
    <n v="1"/>
    <n v="1"/>
    <n v="2"/>
    <n v="2"/>
    <n v="11"/>
    <n v="11"/>
  </r>
  <r>
    <x v="2"/>
    <x v="60"/>
    <d v="2026-03-12T00:00:00"/>
    <s v="3RD"/>
    <d v="1899-12-30T23:00:00"/>
    <n v="1"/>
    <x v="20"/>
    <n v="1.2999999999999999E-2"/>
    <s v="P"/>
    <s v="P"/>
    <s v="P"/>
    <s v="-"/>
    <s v="-"/>
    <n v="12.15"/>
    <s v="-"/>
    <s v="-"/>
    <s v="-"/>
    <s v="-"/>
    <s v="-"/>
    <s v="-"/>
    <s v="-"/>
    <s v="-"/>
    <s v="P"/>
    <s v="P"/>
    <s v="-"/>
    <n v="2"/>
    <n v="1"/>
    <n v="2"/>
    <n v="1"/>
    <s v="-"/>
    <s v="-"/>
    <s v="-"/>
    <s v="-"/>
    <s v="-"/>
    <s v="-"/>
    <s v="-"/>
    <n v="6"/>
    <n v="6"/>
    <s v="-"/>
    <n v="1"/>
    <n v="1"/>
    <n v="2"/>
    <n v="2"/>
    <n v="8"/>
    <n v="8"/>
  </r>
  <r>
    <x v="2"/>
    <x v="60"/>
    <d v="1899-12-30T00:00:00"/>
    <s v="1ST"/>
    <s v="13:00"/>
    <n v="2"/>
    <x v="4"/>
    <n v="2.5000000000000001E-3"/>
    <s v="P"/>
    <s v="P"/>
    <s v="P"/>
    <s v="-"/>
    <s v="+"/>
    <n v="10.38"/>
    <n v="8.39"/>
    <n v="0.56999999999999995"/>
    <n v="55.4"/>
    <s v="-"/>
    <s v="-"/>
    <n v="22.71"/>
    <s v="-"/>
    <s v="-"/>
    <s v="P"/>
    <s v="P"/>
    <s v="-"/>
    <n v="2"/>
    <n v="1"/>
    <n v="2"/>
    <n v="0"/>
    <n v="0"/>
    <n v="0"/>
    <n v="2"/>
    <s v="-"/>
    <s v="-"/>
    <n v="2"/>
    <s v="-"/>
    <n v="9"/>
    <n v="13"/>
    <s v="-"/>
    <n v="1"/>
    <n v="1"/>
    <n v="2"/>
    <n v="2"/>
    <n v="11"/>
    <n v="15"/>
  </r>
  <r>
    <x v="2"/>
    <x v="60"/>
    <d v="1902-03-26T00:00:00"/>
    <s v="2ND"/>
    <d v="1899-12-30T14:00:00"/>
    <n v="2"/>
    <x v="4"/>
    <n v="1.8E-3"/>
    <s v="P"/>
    <s v="P"/>
    <s v="P"/>
    <s v="-"/>
    <s v="+"/>
    <n v="10.56"/>
    <n v="8.51"/>
    <n v="0.56999999999999995"/>
    <n v="55.4"/>
    <s v="-"/>
    <s v="-"/>
    <n v="23"/>
    <s v="-"/>
    <s v="-"/>
    <s v="P"/>
    <s v="P"/>
    <s v="-"/>
    <n v="2"/>
    <n v="1"/>
    <n v="2"/>
    <n v="0"/>
    <n v="1"/>
    <n v="0"/>
    <n v="2"/>
    <s v="-"/>
    <s v="-"/>
    <n v="2"/>
    <s v="-"/>
    <n v="10"/>
    <n v="13"/>
    <s v="-"/>
    <n v="1"/>
    <n v="1"/>
    <n v="2"/>
    <n v="2"/>
    <n v="12"/>
    <n v="15"/>
  </r>
  <r>
    <x v="2"/>
    <x v="60"/>
    <d v="1899-12-30T00:00:00"/>
    <s v="2ND"/>
    <d v="1899-12-30T15:00:00"/>
    <n v="2"/>
    <x v="4"/>
    <n v="3.0000000000000001E-3"/>
    <s v="P"/>
    <s v="P"/>
    <s v="P"/>
    <s v="-"/>
    <s v="+"/>
    <n v="10.6"/>
    <s v="-"/>
    <s v="-"/>
    <s v="-"/>
    <s v="-"/>
    <s v="-"/>
    <s v="-"/>
    <s v="-"/>
    <s v="-"/>
    <s v="P"/>
    <s v="P"/>
    <s v="-"/>
    <n v="2"/>
    <n v="1"/>
    <n v="2"/>
    <n v="0"/>
    <s v="-"/>
    <s v="-"/>
    <s v="-"/>
    <s v="-"/>
    <s v="-"/>
    <s v="-"/>
    <s v="-"/>
    <n v="5"/>
    <n v="6"/>
    <s v="-"/>
    <n v="1"/>
    <n v="1"/>
    <n v="2"/>
    <n v="2"/>
    <n v="7"/>
    <n v="8"/>
  </r>
  <r>
    <x v="2"/>
    <x v="60"/>
    <d v="1899-12-30T00:00:00"/>
    <s v="2ND"/>
    <d v="1899-12-30T16:00:00"/>
    <n v="2"/>
    <x v="4"/>
    <n v="5.1000000000000004E-3"/>
    <s v="P"/>
    <s v="P"/>
    <s v="P"/>
    <s v="-"/>
    <s v="+"/>
    <n v="10.8"/>
    <s v="-"/>
    <s v="-"/>
    <s v="-"/>
    <s v="-"/>
    <s v="-"/>
    <s v="-"/>
    <s v="-"/>
    <s v="-"/>
    <s v="P"/>
    <s v="P"/>
    <s v="-"/>
    <n v="2"/>
    <n v="1"/>
    <n v="2"/>
    <n v="0"/>
    <s v="-"/>
    <s v="-"/>
    <s v="-"/>
    <s v="-"/>
    <s v="-"/>
    <s v="-"/>
    <s v="-"/>
    <n v="5"/>
    <n v="6"/>
    <s v="-"/>
    <n v="1"/>
    <n v="1"/>
    <n v="2"/>
    <n v="2"/>
    <n v="7"/>
    <n v="8"/>
  </r>
  <r>
    <x v="2"/>
    <x v="60"/>
    <d v="1899-12-30T00:00:00"/>
    <s v="2ND"/>
    <d v="1899-12-30T18:00:00"/>
    <n v="2"/>
    <x v="4"/>
    <n v="9.1000000000000004E-3"/>
    <s v="P"/>
    <s v="P"/>
    <s v="P"/>
    <s v="-"/>
    <s v="+"/>
    <n v="10.8"/>
    <s v="-"/>
    <s v="-"/>
    <s v="-"/>
    <s v="-"/>
    <s v="-"/>
    <s v="-"/>
    <s v="-"/>
    <s v="-"/>
    <s v="P"/>
    <s v="P"/>
    <s v="-"/>
    <n v="2"/>
    <n v="1"/>
    <n v="2"/>
    <n v="0"/>
    <s v="-"/>
    <s v="-"/>
    <s v="-"/>
    <s v="-"/>
    <s v="-"/>
    <s v="-"/>
    <s v="-"/>
    <n v="5"/>
    <n v="6"/>
    <s v="-"/>
    <n v="1"/>
    <n v="1"/>
    <n v="2"/>
    <n v="2"/>
    <n v="7"/>
    <n v="8"/>
  </r>
  <r>
    <x v="2"/>
    <x v="60"/>
    <d v="1899-12-30T00:00:00"/>
    <s v="2ND"/>
    <d v="1899-12-30T19:00:00"/>
    <n v="2"/>
    <x v="4"/>
    <n v="4.4000000000000003E-3"/>
    <s v="P"/>
    <s v="P"/>
    <s v="P"/>
    <s v="-"/>
    <s v="+"/>
    <n v="10.78"/>
    <s v="-"/>
    <s v="-"/>
    <s v="-"/>
    <s v="-"/>
    <s v="-"/>
    <s v="-"/>
    <s v="-"/>
    <s v="-"/>
    <s v="P"/>
    <s v="P"/>
    <s v="90% 10%"/>
    <n v="2"/>
    <n v="1"/>
    <n v="2"/>
    <n v="0"/>
    <s v="-"/>
    <s v="-"/>
    <s v="-"/>
    <s v="-"/>
    <s v="-"/>
    <s v="-"/>
    <s v="-"/>
    <n v="5"/>
    <n v="6"/>
    <s v="-"/>
    <n v="1"/>
    <n v="1"/>
    <n v="2"/>
    <n v="2"/>
    <n v="7"/>
    <n v="8"/>
  </r>
  <r>
    <x v="2"/>
    <x v="61"/>
    <d v="2026-03-03T00:00:00"/>
    <s v="1ST"/>
    <s v="07:00"/>
    <n v="3"/>
    <x v="6"/>
    <n v="7.3000000000000001E-3"/>
    <s v="P"/>
    <s v="P"/>
    <s v="P"/>
    <s v="+"/>
    <s v="+"/>
    <n v="12.47"/>
    <n v="12.65"/>
    <n v="0.53"/>
    <n v="64"/>
    <n v="9.3000000000000007"/>
    <n v="508"/>
    <n v="35.4"/>
    <s v="-"/>
    <s v="-"/>
    <s v="P"/>
    <s v="P"/>
    <s v="70% 20% 10%"/>
    <n v="2"/>
    <n v="1"/>
    <n v="2"/>
    <n v="1"/>
    <n v="1"/>
    <n v="2"/>
    <n v="2"/>
    <n v="0"/>
    <n v="0"/>
    <n v="2"/>
    <s v="-"/>
    <n v="13"/>
    <n v="15"/>
    <s v="-"/>
    <n v="1"/>
    <n v="1"/>
    <n v="2"/>
    <n v="2"/>
    <n v="15"/>
    <n v="17"/>
  </r>
  <r>
    <x v="2"/>
    <x v="61"/>
    <d v="2026-03-03T00:00:00"/>
    <s v="1ST"/>
    <s v="09:00"/>
    <n v="3"/>
    <x v="6"/>
    <n v="6.7999999999999996E-3"/>
    <s v="P"/>
    <s v="P"/>
    <s v="P"/>
    <s v="+"/>
    <s v="+"/>
    <n v="12.53"/>
    <s v="-"/>
    <s v="-"/>
    <s v="-"/>
    <s v="-"/>
    <s v="-"/>
    <s v="-"/>
    <s v="-"/>
    <s v="-"/>
    <s v="P"/>
    <s v="P"/>
    <s v="-"/>
    <n v="2"/>
    <n v="1"/>
    <n v="2"/>
    <n v="1"/>
    <s v="-"/>
    <s v="-"/>
    <s v="-"/>
    <s v="-"/>
    <s v="-"/>
    <s v="-"/>
    <s v="-"/>
    <n v="6"/>
    <n v="6"/>
    <s v="-"/>
    <n v="1"/>
    <n v="1"/>
    <n v="2"/>
    <n v="2"/>
    <n v="8"/>
    <n v="8"/>
  </r>
  <r>
    <x v="2"/>
    <x v="61"/>
    <d v="2026-03-03T00:00:00"/>
    <s v="1ST"/>
    <s v="10:00"/>
    <n v="3"/>
    <x v="6"/>
    <n v="1.2500000000000001E-2"/>
    <s v="P"/>
    <s v="P"/>
    <s v="P"/>
    <s v="+"/>
    <s v="+"/>
    <n v="12.4"/>
    <s v="-"/>
    <s v="-"/>
    <s v="-"/>
    <s v="-"/>
    <s v="-"/>
    <s v="-"/>
    <s v="-"/>
    <s v="-"/>
    <s v="P"/>
    <s v="P"/>
    <s v="-"/>
    <n v="2"/>
    <n v="1"/>
    <n v="2"/>
    <n v="1"/>
    <s v="-"/>
    <s v="-"/>
    <s v="-"/>
    <s v="-"/>
    <s v="-"/>
    <s v="-"/>
    <s v="-"/>
    <n v="6"/>
    <n v="6"/>
    <s v="-"/>
    <n v="1"/>
    <n v="1"/>
    <n v="2"/>
    <n v="2"/>
    <n v="8"/>
    <n v="8"/>
  </r>
  <r>
    <x v="2"/>
    <x v="61"/>
    <d v="2026-03-03T00:00:00"/>
    <s v="1ST"/>
    <s v="12:00"/>
    <n v="3"/>
    <x v="6"/>
    <n v="6.7999999999999996E-3"/>
    <s v="P"/>
    <s v="P"/>
    <s v="P"/>
    <s v="+"/>
    <s v="+"/>
    <n v="12.38"/>
    <s v="-"/>
    <s v="-"/>
    <s v="-"/>
    <s v="-"/>
    <s v="-"/>
    <s v="-"/>
    <s v="-"/>
    <s v="-"/>
    <s v="P"/>
    <s v="P"/>
    <s v="-"/>
    <n v="2"/>
    <n v="1"/>
    <n v="2"/>
    <n v="1"/>
    <s v="-"/>
    <s v="-"/>
    <s v="-"/>
    <s v="-"/>
    <s v="-"/>
    <s v="-"/>
    <s v="-"/>
    <n v="6"/>
    <n v="6"/>
    <s v="-"/>
    <n v="1"/>
    <n v="1"/>
    <n v="2"/>
    <n v="2"/>
    <n v="8"/>
    <n v="8"/>
  </r>
  <r>
    <x v="2"/>
    <x v="61"/>
    <d v="2026-03-03T00:00:00"/>
    <s v="1ST"/>
    <s v="13:00"/>
    <n v="3"/>
    <x v="6"/>
    <n v="1.12E-2"/>
    <s v="P"/>
    <s v="P"/>
    <s v="P"/>
    <s v="+"/>
    <s v="+"/>
    <n v="12.06"/>
    <s v="-"/>
    <s v="-"/>
    <s v="-"/>
    <s v="-"/>
    <s v="-"/>
    <s v="-"/>
    <s v="-"/>
    <s v="-"/>
    <s v="P"/>
    <s v="P"/>
    <s v="-"/>
    <n v="2"/>
    <n v="1"/>
    <n v="2"/>
    <n v="1"/>
    <s v="-"/>
    <s v="-"/>
    <s v="-"/>
    <s v="-"/>
    <s v="-"/>
    <s v="-"/>
    <s v="-"/>
    <n v="6"/>
    <n v="6"/>
    <s v="-"/>
    <n v="1"/>
    <n v="1"/>
    <n v="2"/>
    <n v="2"/>
    <n v="8"/>
    <n v="8"/>
  </r>
  <r>
    <x v="2"/>
    <x v="61"/>
    <d v="1899-12-30T00:00:00"/>
    <s v="3RD"/>
    <d v="1899-12-30T23:00:00"/>
    <n v="2"/>
    <x v="2"/>
    <n v="5.5999999999999999E-3"/>
    <s v="P"/>
    <s v="P"/>
    <s v="P"/>
    <s v="-"/>
    <s v="+"/>
    <n v="10.5"/>
    <n v="8.7799999999999994"/>
    <n v="0.62"/>
    <n v="55.7"/>
    <n v="12"/>
    <n v="393"/>
    <n v="23.8"/>
    <s v="-"/>
    <s v="-"/>
    <s v="P"/>
    <s v="P"/>
    <s v="-"/>
    <n v="2"/>
    <n v="1"/>
    <n v="2"/>
    <n v="0"/>
    <n v="0"/>
    <n v="0"/>
    <n v="0"/>
    <n v="0"/>
    <n v="0"/>
    <n v="0"/>
    <s v="-"/>
    <n v="5"/>
    <n v="15"/>
    <s v="-"/>
    <n v="1"/>
    <n v="1"/>
    <n v="2"/>
    <n v="2"/>
    <n v="7"/>
    <n v="17"/>
  </r>
  <r>
    <x v="2"/>
    <x v="61"/>
    <d v="1899-12-30T00:00:00"/>
    <s v="3RD"/>
    <d v="1899-12-31T00:00:00"/>
    <n v="2"/>
    <x v="2"/>
    <n v="7.7999999999999996E-3"/>
    <s v="P"/>
    <s v="P"/>
    <s v="P"/>
    <s v="-"/>
    <s v="+"/>
    <n v="10.3"/>
    <s v="-"/>
    <s v="-"/>
    <s v="-"/>
    <s v="-"/>
    <s v="-"/>
    <s v="-"/>
    <s v="-"/>
    <s v="-"/>
    <s v="P"/>
    <s v="P"/>
    <s v="-"/>
    <n v="2"/>
    <n v="1"/>
    <n v="2"/>
    <n v="0"/>
    <s v="-"/>
    <s v="-"/>
    <s v="-"/>
    <s v="-"/>
    <s v="-"/>
    <s v="-"/>
    <s v="-"/>
    <n v="5"/>
    <n v="6"/>
    <s v="-"/>
    <n v="1"/>
    <n v="1"/>
    <n v="2"/>
    <n v="2"/>
    <n v="7"/>
    <n v="8"/>
  </r>
  <r>
    <x v="2"/>
    <x v="61"/>
    <d v="1899-12-30T00:00:00"/>
    <s v="3RD"/>
    <d v="1899-12-31T02:00:00"/>
    <n v="2"/>
    <x v="2"/>
    <n v="5.1000000000000004E-3"/>
    <s v="P"/>
    <s v="P"/>
    <s v="P"/>
    <s v="-"/>
    <s v="+"/>
    <n v="10.68"/>
    <s v="-"/>
    <s v="-"/>
    <s v="-"/>
    <s v="-"/>
    <s v="-"/>
    <s v="-"/>
    <s v="-"/>
    <s v="-"/>
    <s v="P"/>
    <s v="P"/>
    <s v="-"/>
    <n v="2"/>
    <n v="1"/>
    <n v="2"/>
    <n v="0"/>
    <s v="-"/>
    <s v="-"/>
    <s v="-"/>
    <s v="-"/>
    <s v="-"/>
    <s v="-"/>
    <s v="-"/>
    <n v="5"/>
    <n v="6"/>
    <s v="-"/>
    <n v="1"/>
    <n v="1"/>
    <n v="2"/>
    <n v="2"/>
    <n v="7"/>
    <n v="8"/>
  </r>
  <r>
    <x v="2"/>
    <x v="61"/>
    <d v="1899-12-30T00:00:00"/>
    <s v="3RD"/>
    <d v="1899-12-31T04:00:00"/>
    <n v="2"/>
    <x v="2"/>
    <n v="4.4999999999999997E-3"/>
    <s v="P"/>
    <s v="P"/>
    <s v="P"/>
    <s v="-"/>
    <s v="+"/>
    <n v="10.82"/>
    <s v="-"/>
    <s v="-"/>
    <s v="-"/>
    <s v="-"/>
    <s v="-"/>
    <s v="-"/>
    <s v="-"/>
    <s v="-"/>
    <s v="P"/>
    <s v="P"/>
    <s v="-"/>
    <n v="2"/>
    <n v="1"/>
    <n v="2"/>
    <n v="0"/>
    <s v="-"/>
    <s v="-"/>
    <s v="-"/>
    <s v="-"/>
    <s v="-"/>
    <s v="-"/>
    <s v="-"/>
    <n v="5"/>
    <n v="6"/>
    <s v="-"/>
    <n v="1"/>
    <n v="1"/>
    <n v="2"/>
    <n v="2"/>
    <n v="7"/>
    <n v="8"/>
  </r>
  <r>
    <x v="2"/>
    <x v="61"/>
    <d v="1899-12-30T00:00:00"/>
    <s v="3RD"/>
    <d v="1899-12-31T05:00:00"/>
    <n v="2"/>
    <x v="2"/>
    <s v="-"/>
    <s v="P"/>
    <s v="P"/>
    <s v="P"/>
    <s v="-"/>
    <s v="+"/>
    <n v="10.73"/>
    <s v="-"/>
    <s v="-"/>
    <s v="-"/>
    <s v="-"/>
    <s v="-"/>
    <s v="-"/>
    <s v="-"/>
    <s v="-"/>
    <s v="P"/>
    <s v="P"/>
    <s v="-"/>
    <s v="-"/>
    <n v="1"/>
    <n v="2"/>
    <n v="0"/>
    <s v="-"/>
    <s v="-"/>
    <s v="-"/>
    <s v="-"/>
    <s v="-"/>
    <s v="-"/>
    <s v="-"/>
    <n v="3"/>
    <n v="4"/>
    <s v="-"/>
    <n v="1"/>
    <n v="1"/>
    <n v="2"/>
    <n v="2"/>
    <n v="5"/>
    <n v="6"/>
  </r>
  <r>
    <x v="2"/>
    <x v="61"/>
    <d v="2026-03-13T00:00:00"/>
    <s v="2ND"/>
    <d v="1899-12-30T19:00:00"/>
    <n v="3"/>
    <x v="36"/>
    <n v="9.5999999999999992E-3"/>
    <s v="P"/>
    <s v="P"/>
    <s v="P"/>
    <s v="+"/>
    <s v="+"/>
    <n v="11.57"/>
    <n v="12.95"/>
    <n v="0.53"/>
    <n v="64.3"/>
    <n v="13.8"/>
    <n v="1029"/>
    <n v="36.5"/>
    <s v="-"/>
    <s v="-"/>
    <s v="P"/>
    <s v="P"/>
    <s v="-"/>
    <n v="2"/>
    <n v="1"/>
    <n v="2"/>
    <n v="0"/>
    <n v="0"/>
    <n v="2"/>
    <n v="2"/>
    <n v="1"/>
    <n v="1"/>
    <n v="2"/>
    <s v="-"/>
    <n v="13"/>
    <n v="15"/>
    <s v="-"/>
    <n v="1"/>
    <n v="1"/>
    <n v="2"/>
    <n v="2"/>
    <n v="15"/>
    <n v="17"/>
  </r>
  <r>
    <x v="2"/>
    <x v="61"/>
    <d v="2026-03-14T00:00:00"/>
    <s v="2ND"/>
    <d v="1899-12-30T15:00:00"/>
    <n v="3"/>
    <x v="11"/>
    <n v="1.95E-2"/>
    <s v="P"/>
    <s v="P"/>
    <s v="P"/>
    <s v="+"/>
    <s v="+"/>
    <n v="12.24"/>
    <n v="13.16"/>
    <n v="0.56000000000000005"/>
    <n v="64.599999999999994"/>
    <n v="14.5"/>
    <n v="946"/>
    <n v="37"/>
    <s v="-"/>
    <s v="-"/>
    <s v="P"/>
    <s v="P"/>
    <s v="-"/>
    <n v="2"/>
    <n v="1"/>
    <n v="2"/>
    <n v="1"/>
    <n v="1"/>
    <n v="2"/>
    <n v="0"/>
    <n v="1"/>
    <n v="1"/>
    <n v="2"/>
    <s v="-"/>
    <n v="13"/>
    <n v="15"/>
    <s v="-"/>
    <n v="1"/>
    <n v="1"/>
    <n v="2"/>
    <n v="2"/>
    <n v="15"/>
    <n v="17"/>
  </r>
  <r>
    <x v="2"/>
    <x v="61"/>
    <d v="2026-03-14T00:00:00"/>
    <s v="2ND"/>
    <d v="1899-12-30T16:00:00"/>
    <n v="3"/>
    <x v="11"/>
    <n v="1.83E-2"/>
    <s v="P"/>
    <s v="P"/>
    <s v="P"/>
    <s v="+"/>
    <s v="+"/>
    <n v="12.45"/>
    <s v="-"/>
    <s v="-"/>
    <s v="-"/>
    <s v="-"/>
    <s v="-"/>
    <s v="-"/>
    <s v="-"/>
    <s v="-"/>
    <s v="P"/>
    <s v="P"/>
    <s v="-"/>
    <n v="2"/>
    <n v="1"/>
    <n v="2"/>
    <n v="1"/>
    <s v="-"/>
    <s v="-"/>
    <s v="-"/>
    <s v="-"/>
    <s v="-"/>
    <s v="-"/>
    <s v="-"/>
    <n v="6"/>
    <n v="6"/>
    <s v="-"/>
    <n v="1"/>
    <n v="1"/>
    <n v="2"/>
    <n v="2"/>
    <n v="8"/>
    <n v="8"/>
  </r>
  <r>
    <x v="2"/>
    <x v="61"/>
    <d v="2026-03-10T00:00:00"/>
    <s v="1ST"/>
    <s v="08:00"/>
    <s v="Retail"/>
    <x v="25"/>
    <s v="-"/>
    <s v="-"/>
    <s v="P"/>
    <s v="P"/>
    <s v="+"/>
    <s v="+"/>
    <n v="12.54"/>
    <s v="-"/>
    <s v="-"/>
    <s v="-"/>
    <s v="-"/>
    <s v="-"/>
    <s v="-"/>
    <s v="-"/>
    <s v="-"/>
    <s v="P"/>
    <s v="P"/>
    <s v="-"/>
    <s v="-"/>
    <s v="-"/>
    <n v="2"/>
    <n v="1"/>
    <s v="-"/>
    <s v="-"/>
    <s v="-"/>
    <s v="-"/>
    <s v="-"/>
    <s v="-"/>
    <s v="-"/>
    <n v="3"/>
    <n v="3"/>
    <s v="-"/>
    <n v="1"/>
    <n v="1"/>
    <n v="2"/>
    <n v="2"/>
    <n v="5"/>
    <n v="5"/>
  </r>
  <r>
    <x v="2"/>
    <x v="61"/>
    <d v="1902-03-26T00:00:00"/>
    <s v="1ST"/>
    <s v="08:00"/>
    <n v="2"/>
    <x v="8"/>
    <n v="1.23E-2"/>
    <s v="P"/>
    <s v="P"/>
    <s v="P"/>
    <s v="+"/>
    <s v="+"/>
    <n v="10.18"/>
    <n v="12.66"/>
    <n v="0.64"/>
    <n v="64.099999999999994"/>
    <n v="14"/>
    <n v="1000"/>
    <n v="35.799999999999997"/>
    <s v="-"/>
    <s v="-"/>
    <s v="P"/>
    <s v="P"/>
    <s v="-"/>
    <n v="2"/>
    <n v="1"/>
    <n v="2"/>
    <n v="1"/>
    <n v="1"/>
    <n v="0"/>
    <n v="2"/>
    <s v="-"/>
    <s v="-"/>
    <s v="-"/>
    <s v="-"/>
    <n v="9"/>
    <n v="11"/>
    <s v="-"/>
    <n v="1"/>
    <n v="1"/>
    <n v="2"/>
    <n v="2"/>
    <n v="11"/>
    <n v="13"/>
  </r>
  <r>
    <x v="2"/>
    <x v="61"/>
    <d v="2026-03-07T00:00:00"/>
    <s v="1ST"/>
    <s v="11:00"/>
    <n v="1"/>
    <x v="20"/>
    <n v="1.09E-2"/>
    <s v="P"/>
    <s v="P"/>
    <s v="P"/>
    <s v="-"/>
    <s v="-"/>
    <n v="12.42"/>
    <n v="12.89"/>
    <n v="0.61"/>
    <n v="64.099999999999994"/>
    <n v="23.2"/>
    <n v="657"/>
    <n v="36.200000000000003"/>
    <s v="-"/>
    <s v="-"/>
    <s v="P"/>
    <s v="P"/>
    <s v="95% 5%"/>
    <n v="2"/>
    <n v="1"/>
    <n v="2"/>
    <n v="1"/>
    <n v="1"/>
    <n v="2"/>
    <n v="2"/>
    <s v="-"/>
    <s v="-"/>
    <n v="2"/>
    <s v="-"/>
    <n v="13"/>
    <n v="13"/>
    <s v="-"/>
    <n v="1"/>
    <n v="1"/>
    <n v="2"/>
    <n v="2"/>
    <n v="15"/>
    <n v="15"/>
  </r>
  <r>
    <x v="2"/>
    <x v="61"/>
    <s v="-"/>
    <s v="2ND"/>
    <d v="1899-12-30T14:00:00"/>
    <n v="1"/>
    <x v="20"/>
    <n v="1.0500000000000001E-2"/>
    <s v="P"/>
    <s v="P"/>
    <s v="P"/>
    <s v="-"/>
    <s v="-"/>
    <n v="12.47"/>
    <n v="12.57"/>
    <n v="0.61"/>
    <n v="64.099999999999994"/>
    <s v="-"/>
    <s v="-"/>
    <n v="35.1"/>
    <s v="-"/>
    <n v="25.14"/>
    <s v="P"/>
    <s v="P"/>
    <s v="-"/>
    <n v="2"/>
    <n v="1"/>
    <n v="2"/>
    <n v="1"/>
    <n v="1"/>
    <n v="2"/>
    <n v="2"/>
    <s v="-"/>
    <s v="-"/>
    <n v="2"/>
    <s v="-"/>
    <n v="13"/>
    <n v="13"/>
    <n v="1"/>
    <n v="1"/>
    <n v="1"/>
    <n v="3"/>
    <n v="3"/>
    <n v="16"/>
    <n v="16"/>
  </r>
  <r>
    <x v="2"/>
    <x v="61"/>
    <d v="2026-03-07T00:00:00"/>
    <s v="2ND"/>
    <d v="1899-12-30T16:00:00"/>
    <n v="1"/>
    <x v="20"/>
    <n v="7.7999999999999996E-3"/>
    <s v="P"/>
    <s v="P"/>
    <s v="P"/>
    <s v="-"/>
    <s v="-"/>
    <n v="12.61"/>
    <s v="-"/>
    <s v="-"/>
    <s v="-"/>
    <s v="-"/>
    <s v="-"/>
    <s v="-"/>
    <s v="-"/>
    <s v="-"/>
    <s v="P"/>
    <s v="P"/>
    <s v="-"/>
    <n v="2"/>
    <n v="1"/>
    <n v="2"/>
    <n v="1"/>
    <s v="-"/>
    <s v="-"/>
    <s v="-"/>
    <s v="-"/>
    <s v="-"/>
    <s v="-"/>
    <s v="-"/>
    <n v="6"/>
    <n v="6"/>
    <s v="-"/>
    <n v="1"/>
    <n v="1"/>
    <n v="2"/>
    <n v="2"/>
    <n v="8"/>
    <n v="8"/>
  </r>
  <r>
    <x v="2"/>
    <x v="61"/>
    <d v="2026-03-07T00:00:00"/>
    <s v="2ND"/>
    <d v="1899-12-30T18:00:00"/>
    <n v="1"/>
    <x v="20"/>
    <n v="6.4999999999999997E-3"/>
    <s v="P"/>
    <s v="P"/>
    <s v="P"/>
    <s v="-"/>
    <s v="-"/>
    <n v="12.41"/>
    <s v="-"/>
    <s v="-"/>
    <s v="-"/>
    <s v="-"/>
    <s v="-"/>
    <s v="-"/>
    <s v="-"/>
    <s v="-"/>
    <s v="P"/>
    <s v="P"/>
    <s v="-"/>
    <n v="2"/>
    <n v="1"/>
    <n v="2"/>
    <n v="1"/>
    <s v="-"/>
    <s v="-"/>
    <s v="-"/>
    <s v="-"/>
    <s v="-"/>
    <s v="-"/>
    <s v="-"/>
    <n v="6"/>
    <n v="6"/>
    <s v="-"/>
    <n v="1"/>
    <n v="1"/>
    <n v="2"/>
    <n v="2"/>
    <n v="8"/>
    <n v="8"/>
  </r>
  <r>
    <x v="2"/>
    <x v="61"/>
    <d v="2026-03-07T00:00:00"/>
    <s v="2ND"/>
    <d v="1899-12-30T19:00:00"/>
    <n v="1"/>
    <x v="20"/>
    <n v="7.3000000000000001E-3"/>
    <s v="P"/>
    <s v="P"/>
    <s v="P"/>
    <s v="-"/>
    <s v="-"/>
    <n v="12.39"/>
    <s v="-"/>
    <s v="-"/>
    <s v="-"/>
    <s v="-"/>
    <s v="-"/>
    <s v="-"/>
    <s v="-"/>
    <s v="-"/>
    <s v="P"/>
    <s v="P"/>
    <s v="-"/>
    <n v="2"/>
    <n v="1"/>
    <n v="2"/>
    <n v="1"/>
    <s v="-"/>
    <s v="-"/>
    <s v="-"/>
    <s v="-"/>
    <s v="-"/>
    <s v="-"/>
    <s v="-"/>
    <n v="6"/>
    <n v="6"/>
    <s v="-"/>
    <n v="1"/>
    <n v="1"/>
    <n v="2"/>
    <n v="2"/>
    <n v="8"/>
    <n v="8"/>
  </r>
  <r>
    <x v="2"/>
    <x v="61"/>
    <d v="2026-03-07T00:00:00"/>
    <s v="2ND"/>
    <d v="1899-12-30T21:00:00"/>
    <n v="1"/>
    <x v="20"/>
    <n v="8.6E-3"/>
    <s v="P"/>
    <s v="P"/>
    <s v="P"/>
    <s v="-"/>
    <s v="-"/>
    <n v="11.96"/>
    <s v="-"/>
    <s v="-"/>
    <s v="-"/>
    <s v="-"/>
    <s v="-"/>
    <s v="-"/>
    <s v="-"/>
    <s v="-"/>
    <s v="P"/>
    <s v="P"/>
    <s v="-"/>
    <n v="2"/>
    <n v="1"/>
    <n v="2"/>
    <n v="1"/>
    <s v="-"/>
    <s v="-"/>
    <s v="-"/>
    <s v="-"/>
    <s v="-"/>
    <s v="-"/>
    <s v="-"/>
    <n v="6"/>
    <n v="6"/>
    <s v="-"/>
    <n v="1"/>
    <n v="1"/>
    <n v="2"/>
    <n v="2"/>
    <n v="8"/>
    <n v="8"/>
  </r>
  <r>
    <x v="2"/>
    <x v="61"/>
    <d v="2026-03-07T00:00:00"/>
    <s v="3RD"/>
    <d v="1899-12-30T23:00:00"/>
    <n v="1"/>
    <x v="20"/>
    <n v="1.34E-2"/>
    <s v="P"/>
    <s v="P"/>
    <s v="P"/>
    <s v="-"/>
    <s v="-"/>
    <n v="11.05"/>
    <n v="13"/>
    <n v="0.61"/>
    <s v="-"/>
    <s v="-"/>
    <s v="-"/>
    <n v="37"/>
    <s v="-"/>
    <n v="25.15"/>
    <s v="P"/>
    <s v="P"/>
    <s v="-"/>
    <n v="2"/>
    <n v="1"/>
    <n v="2"/>
    <n v="1"/>
    <n v="1"/>
    <n v="2"/>
    <s v="-"/>
    <s v="-"/>
    <s v="-"/>
    <n v="2"/>
    <s v="-"/>
    <n v="11"/>
    <n v="11"/>
    <n v="1"/>
    <n v="1"/>
    <n v="1"/>
    <n v="3"/>
    <n v="3"/>
    <n v="14"/>
    <n v="14"/>
  </r>
  <r>
    <x v="2"/>
    <x v="61"/>
    <d v="2026-03-07T00:00:00"/>
    <s v="3RD"/>
    <d v="1899-12-31T00:00:00"/>
    <n v="1"/>
    <x v="20"/>
    <n v="9.2999999999999992E-3"/>
    <s v="P"/>
    <s v="P"/>
    <s v="P"/>
    <s v="-"/>
    <s v="-"/>
    <n v="10.99"/>
    <s v="-"/>
    <s v="-"/>
    <s v="-"/>
    <s v="-"/>
    <s v="-"/>
    <s v="-"/>
    <s v="-"/>
    <s v="-"/>
    <s v="P"/>
    <s v="P"/>
    <s v="-"/>
    <n v="2"/>
    <n v="1"/>
    <n v="2"/>
    <n v="0"/>
    <s v="-"/>
    <s v="-"/>
    <s v="-"/>
    <s v="-"/>
    <s v="-"/>
    <s v="-"/>
    <s v="-"/>
    <n v="5"/>
    <n v="6"/>
    <s v="-"/>
    <n v="1"/>
    <n v="1"/>
    <n v="2"/>
    <n v="2"/>
    <n v="7"/>
    <n v="8"/>
  </r>
  <r>
    <x v="2"/>
    <x v="61"/>
    <d v="2026-03-07T00:00:00"/>
    <s v="3RD"/>
    <d v="1899-12-31T02:00:00"/>
    <n v="1"/>
    <x v="20"/>
    <n v="7.4999999999999997E-3"/>
    <s v="P"/>
    <s v="P"/>
    <s v="P"/>
    <s v="-"/>
    <s v="-"/>
    <n v="11.99"/>
    <s v="-"/>
    <s v="-"/>
    <s v="-"/>
    <s v="-"/>
    <s v="-"/>
    <s v="-"/>
    <s v="-"/>
    <s v="-"/>
    <s v="P"/>
    <s v="P"/>
    <s v="-"/>
    <n v="2"/>
    <n v="1"/>
    <n v="2"/>
    <n v="1"/>
    <s v="-"/>
    <s v="-"/>
    <s v="-"/>
    <s v="-"/>
    <s v="-"/>
    <s v="-"/>
    <s v="-"/>
    <n v="6"/>
    <n v="6"/>
    <s v="-"/>
    <n v="1"/>
    <n v="1"/>
    <n v="2"/>
    <n v="2"/>
    <n v="8"/>
    <n v="8"/>
  </r>
  <r>
    <x v="2"/>
    <x v="61"/>
    <d v="2026-03-07T00:00:00"/>
    <s v="3RD"/>
    <d v="1899-12-31T04:00:00"/>
    <n v="1"/>
    <x v="20"/>
    <n v="8.8999999999999999E-3"/>
    <s v="P"/>
    <s v="P"/>
    <s v="P"/>
    <s v="-"/>
    <s v="-"/>
    <n v="12.25"/>
    <s v="-"/>
    <s v="-"/>
    <s v="-"/>
    <s v="-"/>
    <s v="-"/>
    <s v="-"/>
    <s v="-"/>
    <s v="-"/>
    <s v="P"/>
    <s v="P"/>
    <s v="-"/>
    <n v="2"/>
    <n v="1"/>
    <n v="2"/>
    <n v="1"/>
    <s v="-"/>
    <s v="-"/>
    <s v="-"/>
    <s v="-"/>
    <s v="-"/>
    <s v="-"/>
    <s v="-"/>
    <n v="6"/>
    <n v="6"/>
    <s v="-"/>
    <n v="1"/>
    <n v="1"/>
    <n v="2"/>
    <n v="2"/>
    <n v="8"/>
    <n v="8"/>
  </r>
  <r>
    <x v="2"/>
    <x v="61"/>
    <d v="2026-03-07T00:00:00"/>
    <s v="3RD"/>
    <d v="1899-12-31T05:00:00"/>
    <n v="1"/>
    <x v="20"/>
    <s v="-"/>
    <s v="P"/>
    <s v="P"/>
    <s v="P"/>
    <s v="-"/>
    <s v="-"/>
    <n v="11.95"/>
    <s v="-"/>
    <s v="-"/>
    <s v="-"/>
    <s v="-"/>
    <s v="-"/>
    <s v="-"/>
    <s v="-"/>
    <s v="-"/>
    <s v="P"/>
    <s v="P"/>
    <s v="-"/>
    <s v="-"/>
    <n v="1"/>
    <n v="2"/>
    <n v="1"/>
    <s v="-"/>
    <s v="-"/>
    <s v="-"/>
    <s v="-"/>
    <s v="-"/>
    <s v="-"/>
    <s v="-"/>
    <n v="4"/>
    <n v="4"/>
    <s v="-"/>
    <n v="1"/>
    <n v="1"/>
    <n v="2"/>
    <n v="2"/>
    <n v="6"/>
    <n v="6"/>
  </r>
  <r>
    <x v="2"/>
    <x v="61"/>
    <d v="1899-12-30T00:00:00"/>
    <s v="2ND"/>
    <d v="1899-12-30T15:00:00"/>
    <s v="Retail"/>
    <x v="13"/>
    <s v="-"/>
    <s v="-"/>
    <s v="-"/>
    <s v="-"/>
    <s v="-"/>
    <s v="-"/>
    <n v="11.17"/>
    <s v="-"/>
    <s v="-"/>
    <s v="-"/>
    <s v="-"/>
    <s v="-"/>
    <s v="-"/>
    <s v="-"/>
    <s v="-"/>
    <s v="-"/>
    <s v="-"/>
    <s v="-"/>
    <s v="-"/>
    <s v="-"/>
    <s v="-"/>
    <n v="1"/>
    <s v="-"/>
    <s v="-"/>
    <s v="-"/>
    <s v="-"/>
    <s v="-"/>
    <s v="-"/>
    <s v="-"/>
    <n v="1"/>
    <n v="1"/>
    <s v="-"/>
    <s v="-"/>
    <s v="-"/>
    <n v="0"/>
    <n v="0"/>
    <n v="1"/>
    <n v="1"/>
  </r>
  <r>
    <x v="2"/>
    <x v="61"/>
    <d v="1902-03-26T00:00:00"/>
    <s v="3RD"/>
    <d v="1899-12-30T22:00:00"/>
    <n v="2"/>
    <x v="4"/>
    <n v="9.1000000000000004E-3"/>
    <s v="P"/>
    <s v="P"/>
    <s v="P"/>
    <s v="-"/>
    <s v="+"/>
    <n v="10.56"/>
    <n v="8.44"/>
    <n v="0.53"/>
    <s v="-"/>
    <s v="-"/>
    <s v="-"/>
    <n v="22.71"/>
    <s v="-"/>
    <n v="25.19"/>
    <s v="P"/>
    <s v="P"/>
    <s v="-"/>
    <n v="2"/>
    <n v="1"/>
    <n v="2"/>
    <n v="0"/>
    <n v="0"/>
    <n v="2"/>
    <s v="-"/>
    <s v="-"/>
    <s v="-"/>
    <n v="2"/>
    <s v="-"/>
    <n v="9"/>
    <n v="11"/>
    <n v="1"/>
    <n v="1"/>
    <n v="1"/>
    <n v="3"/>
    <n v="3"/>
    <n v="12"/>
    <n v="14"/>
  </r>
  <r>
    <x v="2"/>
    <x v="61"/>
    <d v="1902-03-26T00:00:00"/>
    <s v="1ST"/>
    <s v="12:00"/>
    <n v="2"/>
    <x v="5"/>
    <n v="8.3000000000000001E-3"/>
    <s v="P"/>
    <s v="P"/>
    <s v="P"/>
    <s v="-"/>
    <s v="+"/>
    <n v="10.74"/>
    <n v="8.68"/>
    <n v="0.53"/>
    <n v="55.2"/>
    <n v="10.9"/>
    <n v="554"/>
    <n v="23.51"/>
    <s v="-"/>
    <s v="-"/>
    <s v="P"/>
    <s v="P"/>
    <s v="-"/>
    <n v="2"/>
    <n v="1"/>
    <n v="2"/>
    <n v="0"/>
    <n v="1"/>
    <n v="2"/>
    <n v="2"/>
    <s v="-"/>
    <s v="-"/>
    <n v="2"/>
    <s v="-"/>
    <n v="12"/>
    <n v="13"/>
    <s v="-"/>
    <n v="1"/>
    <n v="1"/>
    <n v="2"/>
    <n v="2"/>
    <n v="14"/>
    <n v="15"/>
  </r>
  <r>
    <x v="2"/>
    <x v="61"/>
    <d v="1899-12-30T00:00:00"/>
    <s v="1ST"/>
    <s v="13:00"/>
    <n v="2"/>
    <x v="5"/>
    <n v="1.0800000000000001E-2"/>
    <s v="P"/>
    <s v="P"/>
    <s v="P"/>
    <s v="-"/>
    <s v="+"/>
    <n v="10.88"/>
    <s v="-"/>
    <s v="-"/>
    <s v="-"/>
    <s v="-"/>
    <s v="-"/>
    <s v="-"/>
    <s v="-"/>
    <s v="-"/>
    <s v="P"/>
    <s v="P"/>
    <s v="-"/>
    <n v="2"/>
    <n v="1"/>
    <n v="2"/>
    <n v="0"/>
    <s v="-"/>
    <s v="-"/>
    <s v="-"/>
    <s v="-"/>
    <s v="-"/>
    <s v="-"/>
    <s v="-"/>
    <n v="5"/>
    <n v="6"/>
    <s v="-"/>
    <n v="1"/>
    <n v="1"/>
    <n v="2"/>
    <n v="2"/>
    <n v="7"/>
    <n v="8"/>
  </r>
  <r>
    <x v="2"/>
    <x v="61"/>
    <d v="1899-12-30T00:00:00"/>
    <s v="2ND"/>
    <d v="1899-12-30T14:00:00"/>
    <n v="2"/>
    <x v="5"/>
    <n v="5.4000000000000003E-3"/>
    <s v="P"/>
    <s v="P"/>
    <s v="P"/>
    <s v="-"/>
    <s v="+"/>
    <n v="10.82"/>
    <n v="8.5399999999999991"/>
    <n v="0.53"/>
    <n v="55.2"/>
    <s v="-"/>
    <s v="-"/>
    <n v="23.14"/>
    <s v="-"/>
    <n v="25.19"/>
    <s v="P"/>
    <s v="P"/>
    <s v="-"/>
    <n v="2"/>
    <n v="1"/>
    <n v="2"/>
    <n v="0"/>
    <n v="1"/>
    <n v="2"/>
    <n v="2"/>
    <s v="-"/>
    <s v="-"/>
    <n v="2"/>
    <s v="-"/>
    <n v="12"/>
    <n v="13"/>
    <n v="1"/>
    <n v="1"/>
    <n v="1"/>
    <n v="3"/>
    <n v="3"/>
    <n v="15"/>
    <n v="16"/>
  </r>
  <r>
    <x v="2"/>
    <x v="61"/>
    <d v="1899-12-30T00:00:00"/>
    <s v="2ND"/>
    <d v="1899-12-30T19:00:00"/>
    <n v="2"/>
    <x v="5"/>
    <n v="6.1000000000000004E-3"/>
    <s v="P"/>
    <s v="P"/>
    <s v="P"/>
    <s v="-"/>
    <s v="+"/>
    <n v="10.83"/>
    <s v="-"/>
    <s v="-"/>
    <s v="-"/>
    <s v="-"/>
    <s v="-"/>
    <s v="-"/>
    <s v="-"/>
    <s v="-"/>
    <s v="P"/>
    <s v="P"/>
    <s v="-"/>
    <n v="2"/>
    <n v="1"/>
    <n v="2"/>
    <n v="0"/>
    <s v="-"/>
    <s v="-"/>
    <s v="-"/>
    <s v="-"/>
    <s v="-"/>
    <s v="-"/>
    <s v="-"/>
    <n v="5"/>
    <n v="6"/>
    <s v="-"/>
    <n v="1"/>
    <n v="1"/>
    <n v="2"/>
    <n v="2"/>
    <n v="7"/>
    <n v="8"/>
  </r>
  <r>
    <x v="2"/>
    <x v="61"/>
    <d v="1899-12-30T00:00:00"/>
    <s v="2ND"/>
    <d v="1899-12-30T21:00:00"/>
    <n v="2"/>
    <x v="5"/>
    <n v="5.1999999999999998E-3"/>
    <s v="P"/>
    <s v="P"/>
    <s v="P"/>
    <s v="-"/>
    <s v="+"/>
    <n v="10.59"/>
    <s v="-"/>
    <s v="-"/>
    <s v="-"/>
    <s v="-"/>
    <s v="-"/>
    <s v="-"/>
    <s v="-"/>
    <s v="-"/>
    <s v="P"/>
    <s v="P"/>
    <s v="-"/>
    <n v="2"/>
    <n v="1"/>
    <n v="2"/>
    <n v="0"/>
    <s v="-"/>
    <s v="-"/>
    <s v="-"/>
    <s v="-"/>
    <s v="-"/>
    <s v="-"/>
    <s v="-"/>
    <n v="5"/>
    <n v="6"/>
    <s v="-"/>
    <n v="1"/>
    <n v="1"/>
    <n v="2"/>
    <n v="2"/>
    <n v="7"/>
    <n v="8"/>
  </r>
  <r>
    <x v="2"/>
    <x v="61"/>
    <d v="2026-03-13T00:00:00"/>
    <s v="2ND"/>
    <d v="1899-12-30T20:00:00"/>
    <n v="3"/>
    <x v="44"/>
    <n v="7.4999999999999997E-3"/>
    <s v="P"/>
    <s v="P"/>
    <s v="P"/>
    <s v="+"/>
    <s v="+"/>
    <n v="11.21"/>
    <n v="13.24"/>
    <n v="0.5"/>
    <n v="64.5"/>
    <n v="12"/>
    <n v="839"/>
    <n v="37.299999999999997"/>
    <s v="-"/>
    <s v="-"/>
    <s v="P"/>
    <s v="P"/>
    <s v="-"/>
    <n v="2"/>
    <n v="1"/>
    <n v="2"/>
    <n v="0"/>
    <n v="1"/>
    <n v="2"/>
    <n v="2"/>
    <n v="1"/>
    <n v="1"/>
    <n v="2"/>
    <s v="-"/>
    <n v="14"/>
    <n v="15"/>
    <s v="-"/>
    <n v="1"/>
    <n v="1"/>
    <n v="2"/>
    <n v="2"/>
    <n v="16"/>
    <n v="17"/>
  </r>
  <r>
    <x v="2"/>
    <x v="61"/>
    <d v="2026-03-13T00:00:00"/>
    <s v="3RD"/>
    <d v="1899-12-31T00:00:00"/>
    <n v="3"/>
    <x v="16"/>
    <n v="1.23E-2"/>
    <s v="P"/>
    <s v="P"/>
    <s v="P"/>
    <s v="+"/>
    <s v="+"/>
    <n v="11.65"/>
    <n v="13.72"/>
    <n v="0.5"/>
    <s v="-"/>
    <s v="-"/>
    <s v="-"/>
    <n v="37.299999999999997"/>
    <s v="-"/>
    <n v="25.21"/>
    <s v="P"/>
    <s v="P"/>
    <s v="-"/>
    <n v="2"/>
    <n v="1"/>
    <n v="2"/>
    <n v="0"/>
    <n v="1"/>
    <n v="2"/>
    <s v="-"/>
    <s v="-"/>
    <s v="-"/>
    <n v="2"/>
    <s v="-"/>
    <n v="10"/>
    <n v="11"/>
    <n v="1"/>
    <n v="1"/>
    <n v="1"/>
    <n v="3"/>
    <n v="3"/>
    <n v="13"/>
    <n v="14"/>
  </r>
  <r>
    <x v="2"/>
    <x v="61"/>
    <d v="2026-03-13T00:00:00"/>
    <s v="3RD"/>
    <d v="1899-12-31T02:00:00"/>
    <n v="3"/>
    <x v="16"/>
    <n v="1.09E-2"/>
    <s v="P"/>
    <s v="P"/>
    <s v="P"/>
    <s v="+"/>
    <s v="+"/>
    <n v="11.73"/>
    <s v="-"/>
    <s v="-"/>
    <s v="-"/>
    <s v="-"/>
    <s v="-"/>
    <s v="-"/>
    <s v="-"/>
    <s v="-"/>
    <s v="P"/>
    <s v="P"/>
    <s v="-"/>
    <n v="2"/>
    <n v="1"/>
    <n v="2"/>
    <n v="0"/>
    <s v="-"/>
    <s v="-"/>
    <s v="-"/>
    <s v="-"/>
    <s v="-"/>
    <s v="-"/>
    <s v="-"/>
    <n v="5"/>
    <n v="6"/>
    <s v="-"/>
    <n v="1"/>
    <n v="1"/>
    <n v="2"/>
    <n v="2"/>
    <n v="7"/>
    <n v="8"/>
  </r>
  <r>
    <x v="2"/>
    <x v="62"/>
    <d v="2026-03-09T00:00:00"/>
    <s v="1ST"/>
    <s v="11:00"/>
    <s v="Retail"/>
    <x v="45"/>
    <n v="4.7000000000000002E-3"/>
    <s v="P"/>
    <s v="P"/>
    <s v="P"/>
    <s v="+"/>
    <s v="+"/>
    <n v="11.18"/>
    <n v="8.4600000000000009"/>
    <n v="0.61"/>
    <n v="55.2"/>
    <n v="9.6"/>
    <n v="656"/>
    <n v="22.71"/>
    <s v="-"/>
    <s v="-"/>
    <s v="-"/>
    <s v="-"/>
    <s v="-"/>
    <n v="2"/>
    <n v="1"/>
    <n v="2"/>
    <s v="-"/>
    <s v="-"/>
    <s v="-"/>
    <s v="-"/>
    <s v="-"/>
    <s v="-"/>
    <s v="-"/>
    <s v="-"/>
    <n v="5"/>
    <n v="5"/>
    <s v="-"/>
    <s v="-"/>
    <s v="-"/>
    <n v="0"/>
    <n v="0"/>
    <n v="5"/>
    <n v="5"/>
  </r>
  <r>
    <x v="2"/>
    <x v="62"/>
    <d v="1902-03-26T00:00:00"/>
    <s v="2ND"/>
    <d v="1899-12-30T20:00:00"/>
    <n v="2"/>
    <x v="8"/>
    <n v="8.8000000000000005E-3"/>
    <s v="P"/>
    <s v="P"/>
    <s v="P"/>
    <s v="+"/>
    <s v="+"/>
    <n v="11.64"/>
    <s v="-"/>
    <s v="-"/>
    <s v="-"/>
    <s v="-"/>
    <s v="-"/>
    <s v="-"/>
    <s v="-"/>
    <s v="-"/>
    <s v="P"/>
    <s v="P"/>
    <s v="-"/>
    <n v="2"/>
    <n v="1"/>
    <n v="2"/>
    <n v="1"/>
    <s v="-"/>
    <s v="-"/>
    <s v="-"/>
    <s v="-"/>
    <s v="-"/>
    <s v="-"/>
    <s v="-"/>
    <n v="6"/>
    <n v="6"/>
    <s v="-"/>
    <n v="1"/>
    <n v="1"/>
    <n v="2"/>
    <n v="2"/>
    <n v="8"/>
    <n v="8"/>
  </r>
  <r>
    <x v="2"/>
    <x v="62"/>
    <d v="1899-12-30T00:00:00"/>
    <s v="2ND"/>
    <d v="1899-12-30T21:00:00"/>
    <n v="2"/>
    <x v="8"/>
    <n v="1.11E-2"/>
    <s v="P"/>
    <s v="P"/>
    <s v="P"/>
    <s v="+"/>
    <s v="+"/>
    <n v="11.92"/>
    <s v="-"/>
    <s v="-"/>
    <s v="-"/>
    <s v="-"/>
    <s v="-"/>
    <s v="-"/>
    <s v="-"/>
    <s v="-"/>
    <s v="P"/>
    <s v="P"/>
    <s v="-"/>
    <n v="2"/>
    <n v="1"/>
    <n v="2"/>
    <n v="1"/>
    <s v="-"/>
    <s v="-"/>
    <s v="-"/>
    <s v="-"/>
    <s v="-"/>
    <s v="-"/>
    <s v="-"/>
    <n v="6"/>
    <n v="6"/>
    <s v="-"/>
    <n v="1"/>
    <n v="1"/>
    <n v="2"/>
    <n v="2"/>
    <n v="8"/>
    <n v="8"/>
  </r>
  <r>
    <x v="2"/>
    <x v="62"/>
    <d v="1899-12-30T00:00:00"/>
    <s v="3RD"/>
    <d v="1899-12-30T23:00:00"/>
    <n v="2"/>
    <x v="8"/>
    <n v="1.17E-2"/>
    <s v="P"/>
    <s v="P"/>
    <s v="P"/>
    <s v="+"/>
    <s v="+"/>
    <n v="12.75"/>
    <n v="12.41"/>
    <n v="0.61"/>
    <n v="64"/>
    <s v="-"/>
    <s v="-"/>
    <n v="34.299999999999997"/>
    <s v="-"/>
    <n v="25.19"/>
    <s v="-"/>
    <s v="-"/>
    <s v="-"/>
    <n v="2"/>
    <n v="1"/>
    <n v="2"/>
    <n v="1"/>
    <n v="0"/>
    <n v="0"/>
    <n v="2"/>
    <s v="-"/>
    <s v="-"/>
    <s v="-"/>
    <s v="-"/>
    <n v="8"/>
    <n v="11"/>
    <s v="-"/>
    <s v="-"/>
    <s v="-"/>
    <n v="0"/>
    <n v="0"/>
    <n v="8"/>
    <n v="11"/>
  </r>
  <r>
    <x v="2"/>
    <x v="62"/>
    <d v="1899-12-30T00:00:00"/>
    <s v="3RD"/>
    <d v="1899-12-31T00:00:00"/>
    <n v="2"/>
    <x v="8"/>
    <n v="1.2200000000000001E-2"/>
    <s v="P"/>
    <s v="P"/>
    <s v="P"/>
    <s v="+"/>
    <s v="+"/>
    <n v="14.02"/>
    <s v="-"/>
    <s v="-"/>
    <s v="-"/>
    <s v="-"/>
    <s v="-"/>
    <s v="-"/>
    <s v="-"/>
    <s v="-"/>
    <s v="-"/>
    <s v="-"/>
    <s v="-"/>
    <n v="2"/>
    <n v="1"/>
    <n v="2"/>
    <n v="0"/>
    <s v="-"/>
    <s v="-"/>
    <s v="-"/>
    <s v="-"/>
    <s v="-"/>
    <s v="-"/>
    <s v="-"/>
    <n v="5"/>
    <n v="6"/>
    <s v="-"/>
    <s v="-"/>
    <s v="-"/>
    <n v="0"/>
    <n v="0"/>
    <n v="5"/>
    <n v="6"/>
  </r>
  <r>
    <x v="2"/>
    <x v="62"/>
    <d v="1899-12-30T00:00:00"/>
    <s v="3RD"/>
    <d v="1899-12-31T01:00:00"/>
    <n v="2"/>
    <x v="8"/>
    <n v="9.9000000000000008E-3"/>
    <s v="P"/>
    <s v="P"/>
    <s v="P"/>
    <s v="+"/>
    <s v="+"/>
    <n v="12.71"/>
    <s v="-"/>
    <s v="-"/>
    <s v="-"/>
    <s v="-"/>
    <s v="-"/>
    <s v="-"/>
    <s v="-"/>
    <s v="-"/>
    <s v="-"/>
    <s v="-"/>
    <s v="-"/>
    <n v="2"/>
    <n v="1"/>
    <n v="2"/>
    <n v="1"/>
    <s v="-"/>
    <s v="-"/>
    <s v="-"/>
    <s v="-"/>
    <s v="-"/>
    <s v="-"/>
    <s v="-"/>
    <n v="6"/>
    <n v="6"/>
    <s v="-"/>
    <s v="-"/>
    <s v="-"/>
    <n v="0"/>
    <n v="0"/>
    <n v="6"/>
    <n v="6"/>
  </r>
  <r>
    <x v="2"/>
    <x v="62"/>
    <d v="1899-12-30T00:00:00"/>
    <s v="3RD"/>
    <d v="1899-12-31T02:00:00"/>
    <n v="2"/>
    <x v="8"/>
    <n v="1.04E-2"/>
    <s v="P"/>
    <s v="P"/>
    <s v="P"/>
    <s v="+"/>
    <s v="+"/>
    <n v="12.74"/>
    <s v="-"/>
    <s v="-"/>
    <s v="-"/>
    <s v="-"/>
    <s v="-"/>
    <s v="-"/>
    <s v="-"/>
    <s v="-"/>
    <s v="-"/>
    <s v="-"/>
    <s v="-"/>
    <n v="2"/>
    <n v="1"/>
    <n v="2"/>
    <n v="1"/>
    <s v="-"/>
    <s v="-"/>
    <s v="-"/>
    <s v="-"/>
    <s v="-"/>
    <s v="-"/>
    <s v="-"/>
    <n v="6"/>
    <n v="6"/>
    <s v="-"/>
    <s v="-"/>
    <s v="-"/>
    <n v="0"/>
    <n v="0"/>
    <n v="6"/>
    <n v="6"/>
  </r>
  <r>
    <x v="2"/>
    <x v="62"/>
    <d v="1899-12-30T00:00:00"/>
    <s v="3RD"/>
    <d v="1899-12-31T04:00:00"/>
    <n v="2"/>
    <x v="8"/>
    <n v="8.9999999999999993E-3"/>
    <s v="P"/>
    <s v="P"/>
    <s v="P"/>
    <s v="+"/>
    <s v="+"/>
    <n v="12.62"/>
    <s v="-"/>
    <s v="-"/>
    <s v="-"/>
    <s v="-"/>
    <s v="-"/>
    <s v="-"/>
    <s v="-"/>
    <s v="-"/>
    <s v="-"/>
    <s v="-"/>
    <s v="-"/>
    <n v="2"/>
    <n v="1"/>
    <n v="2"/>
    <n v="1"/>
    <s v="-"/>
    <s v="-"/>
    <s v="-"/>
    <s v="-"/>
    <s v="-"/>
    <s v="-"/>
    <s v="-"/>
    <n v="6"/>
    <n v="6"/>
    <s v="-"/>
    <s v="-"/>
    <s v="-"/>
    <n v="0"/>
    <n v="0"/>
    <n v="6"/>
    <n v="6"/>
  </r>
  <r>
    <x v="2"/>
    <x v="62"/>
    <d v="1899-12-30T00:00:00"/>
    <s v="3RD"/>
    <d v="1899-12-31T05:00:00"/>
    <n v="2"/>
    <x v="8"/>
    <n v="8.9999999999999993E-3"/>
    <s v="P"/>
    <s v="P"/>
    <s v="P"/>
    <s v="+"/>
    <s v="+"/>
    <n v="12.39"/>
    <s v="-"/>
    <s v="-"/>
    <s v="-"/>
    <s v="-"/>
    <s v="-"/>
    <s v="-"/>
    <s v="-"/>
    <s v="-"/>
    <s v="-"/>
    <s v="-"/>
    <s v="-"/>
    <n v="2"/>
    <n v="1"/>
    <n v="2"/>
    <n v="1"/>
    <s v="-"/>
    <s v="-"/>
    <s v="-"/>
    <s v="-"/>
    <s v="-"/>
    <s v="-"/>
    <s v="-"/>
    <n v="6"/>
    <n v="6"/>
    <s v="-"/>
    <s v="-"/>
    <s v="-"/>
    <n v="0"/>
    <n v="0"/>
    <n v="6"/>
    <n v="6"/>
  </r>
  <r>
    <x v="2"/>
    <x v="62"/>
    <d v="1902-03-26T00:00:00"/>
    <s v="1ST"/>
    <s v="08:00"/>
    <n v="2"/>
    <x v="1"/>
    <n v="9.7999999999999997E-3"/>
    <s v="P"/>
    <s v="P"/>
    <s v="P"/>
    <s v="+"/>
    <s v="+"/>
    <n v="11.87"/>
    <n v="12.47"/>
    <n v="0.54"/>
    <n v="64"/>
    <s v="-"/>
    <s v="-"/>
    <n v="34.9"/>
    <s v="-"/>
    <s v="-"/>
    <s v="P"/>
    <s v="P"/>
    <s v="-"/>
    <n v="2"/>
    <n v="1"/>
    <n v="2"/>
    <n v="0"/>
    <n v="1"/>
    <n v="2"/>
    <n v="2"/>
    <s v="-"/>
    <s v="-"/>
    <n v="2"/>
    <s v="-"/>
    <n v="12"/>
    <n v="13"/>
    <s v="-"/>
    <n v="1"/>
    <n v="1"/>
    <n v="2"/>
    <n v="2"/>
    <n v="14"/>
    <n v="15"/>
  </r>
  <r>
    <x v="2"/>
    <x v="62"/>
    <d v="1899-12-30T00:00:00"/>
    <s v="1ST"/>
    <s v="09:00"/>
    <n v="2"/>
    <x v="1"/>
    <n v="6.4000000000000003E-3"/>
    <s v="P"/>
    <s v="P"/>
    <s v="P"/>
    <s v="+"/>
    <s v="+"/>
    <n v="11.27"/>
    <s v="-"/>
    <s v="-"/>
    <s v="-"/>
    <s v="-"/>
    <s v="-"/>
    <s v="-"/>
    <s v="-"/>
    <s v="-"/>
    <s v="P"/>
    <s v="P"/>
    <s v="-"/>
    <n v="2"/>
    <n v="1"/>
    <n v="2"/>
    <n v="0"/>
    <s v="-"/>
    <s v="-"/>
    <s v="-"/>
    <s v="-"/>
    <s v="-"/>
    <s v="-"/>
    <s v="-"/>
    <n v="5"/>
    <n v="6"/>
    <s v="-"/>
    <n v="1"/>
    <n v="1"/>
    <n v="2"/>
    <n v="2"/>
    <n v="7"/>
    <n v="8"/>
  </r>
  <r>
    <x v="2"/>
    <x v="62"/>
    <d v="1899-12-30T00:00:00"/>
    <s v="1ST"/>
    <s v="10:00"/>
    <n v="2"/>
    <x v="1"/>
    <n v="4.7999999999999996E-3"/>
    <s v="P"/>
    <s v="P"/>
    <s v="P"/>
    <s v="+"/>
    <s v="+"/>
    <n v="12.34"/>
    <s v="-"/>
    <s v="-"/>
    <s v="-"/>
    <s v="-"/>
    <s v="-"/>
    <s v="-"/>
    <s v="-"/>
    <n v="25.17"/>
    <s v="P"/>
    <s v="P"/>
    <s v="-"/>
    <n v="2"/>
    <n v="1"/>
    <n v="2"/>
    <n v="1"/>
    <s v="-"/>
    <s v="-"/>
    <s v="-"/>
    <s v="-"/>
    <s v="-"/>
    <s v="-"/>
    <s v="-"/>
    <n v="6"/>
    <n v="6"/>
    <n v="1"/>
    <n v="1"/>
    <n v="1"/>
    <n v="3"/>
    <n v="3"/>
    <n v="9"/>
    <n v="9"/>
  </r>
  <r>
    <x v="2"/>
    <x v="62"/>
    <d v="1899-12-30T00:00:00"/>
    <s v="1ST"/>
    <s v="13:00"/>
    <n v="2"/>
    <x v="1"/>
    <n v="5.4999999999999997E-3"/>
    <s v="P"/>
    <s v="P"/>
    <s v="P"/>
    <s v="+"/>
    <s v="+"/>
    <n v="12.36"/>
    <s v="-"/>
    <s v="-"/>
    <s v="-"/>
    <s v="-"/>
    <s v="-"/>
    <s v="-"/>
    <s v="-"/>
    <s v="-"/>
    <s v="P"/>
    <s v="P"/>
    <s v="-"/>
    <n v="2"/>
    <n v="1"/>
    <n v="2"/>
    <n v="1"/>
    <s v="-"/>
    <s v="-"/>
    <s v="-"/>
    <s v="-"/>
    <s v="-"/>
    <s v="-"/>
    <s v="-"/>
    <n v="6"/>
    <n v="6"/>
    <s v="-"/>
    <n v="1"/>
    <n v="1"/>
    <n v="2"/>
    <n v="2"/>
    <n v="8"/>
    <n v="8"/>
  </r>
  <r>
    <x v="2"/>
    <x v="62"/>
    <d v="1902-03-26T00:00:00"/>
    <s v="2ND"/>
    <d v="1899-12-30T14:00:00"/>
    <n v="2"/>
    <x v="1"/>
    <n v="1.21E-2"/>
    <s v="P"/>
    <s v="P"/>
    <s v="P"/>
    <s v="+"/>
    <s v="+"/>
    <n v="12.23"/>
    <n v="12.43"/>
    <n v="0.54"/>
    <n v="64"/>
    <s v="-"/>
    <s v="-"/>
    <n v="34.700000000000003"/>
    <s v="-"/>
    <n v="25.15"/>
    <s v="P"/>
    <s v="P"/>
    <s v="-"/>
    <n v="2"/>
    <n v="1"/>
    <n v="2"/>
    <n v="1"/>
    <n v="1"/>
    <n v="2"/>
    <n v="2"/>
    <s v="-"/>
    <s v="-"/>
    <n v="2"/>
    <s v="-"/>
    <n v="13"/>
    <n v="13"/>
    <n v="1"/>
    <n v="1"/>
    <n v="1"/>
    <n v="3"/>
    <n v="3"/>
    <n v="16"/>
    <n v="16"/>
  </r>
  <r>
    <x v="2"/>
    <x v="62"/>
    <d v="1899-12-30T00:00:00"/>
    <s v="2ND"/>
    <d v="1899-12-30T16:00:00"/>
    <n v="2"/>
    <x v="1"/>
    <n v="3.0000000000000001E-3"/>
    <s v="P"/>
    <s v="P"/>
    <s v="P"/>
    <s v="+"/>
    <s v="+"/>
    <n v="12.35"/>
    <s v="-"/>
    <s v="-"/>
    <s v="-"/>
    <s v="-"/>
    <s v="-"/>
    <s v="-"/>
    <s v="-"/>
    <s v="-"/>
    <s v="P"/>
    <s v="P"/>
    <s v="-"/>
    <n v="2"/>
    <n v="1"/>
    <n v="2"/>
    <n v="1"/>
    <s v="-"/>
    <s v="-"/>
    <s v="-"/>
    <s v="-"/>
    <s v="-"/>
    <s v="-"/>
    <s v="-"/>
    <n v="6"/>
    <n v="6"/>
    <s v="-"/>
    <n v="1"/>
    <n v="1"/>
    <n v="2"/>
    <n v="2"/>
    <n v="8"/>
    <n v="8"/>
  </r>
  <r>
    <x v="2"/>
    <x v="62"/>
    <d v="1899-12-30T00:00:00"/>
    <s v="2ND"/>
    <d v="1899-12-30T17:00:00"/>
    <n v="2"/>
    <x v="1"/>
    <n v="4.7000000000000002E-3"/>
    <s v="P"/>
    <s v="P"/>
    <s v="P"/>
    <s v="+"/>
    <s v="+"/>
    <n v="11.76"/>
    <s v="-"/>
    <s v="-"/>
    <s v="-"/>
    <s v="-"/>
    <s v="-"/>
    <s v="-"/>
    <s v="-"/>
    <s v="-"/>
    <s v="P"/>
    <s v="P"/>
    <s v="-"/>
    <n v="2"/>
    <n v="1"/>
    <n v="2"/>
    <n v="0"/>
    <s v="-"/>
    <s v="-"/>
    <s v="-"/>
    <s v="-"/>
    <s v="-"/>
    <s v="-"/>
    <s v="-"/>
    <n v="5"/>
    <n v="6"/>
    <s v="-"/>
    <n v="1"/>
    <n v="1"/>
    <n v="2"/>
    <n v="2"/>
    <n v="7"/>
    <n v="8"/>
  </r>
  <r>
    <x v="2"/>
    <x v="62"/>
    <d v="1899-12-30T00:00:00"/>
    <s v="2ND"/>
    <d v="1899-12-30T18:00:00"/>
    <n v="2"/>
    <x v="1"/>
    <n v="5.8999999999999999E-3"/>
    <s v="P"/>
    <s v="P"/>
    <s v="P"/>
    <s v="+"/>
    <s v="+"/>
    <n v="11.91"/>
    <s v="-"/>
    <s v="-"/>
    <s v="-"/>
    <s v="-"/>
    <s v="-"/>
    <s v="-"/>
    <s v="-"/>
    <s v="-"/>
    <s v="P"/>
    <s v="P"/>
    <s v="-"/>
    <n v="2"/>
    <n v="1"/>
    <n v="2"/>
    <n v="0"/>
    <s v="-"/>
    <s v="-"/>
    <s v="-"/>
    <s v="-"/>
    <s v="-"/>
    <s v="-"/>
    <s v="-"/>
    <n v="5"/>
    <n v="6"/>
    <s v="-"/>
    <n v="1"/>
    <n v="1"/>
    <n v="2"/>
    <n v="2"/>
    <n v="7"/>
    <n v="8"/>
  </r>
  <r>
    <x v="2"/>
    <x v="62"/>
    <d v="1899-12-30T00:00:00"/>
    <s v="2ND"/>
    <d v="1899-12-30T19:00:00"/>
    <n v="2"/>
    <x v="1"/>
    <n v="1.12E-2"/>
    <s v="P"/>
    <s v="P"/>
    <s v="P"/>
    <s v="+"/>
    <s v="+"/>
    <n v="11.97"/>
    <s v="-"/>
    <s v="-"/>
    <s v="-"/>
    <s v="-"/>
    <s v="-"/>
    <s v="-"/>
    <s v="-"/>
    <s v="-"/>
    <s v="P"/>
    <s v="P"/>
    <n v="1"/>
    <n v="2"/>
    <n v="1"/>
    <n v="2"/>
    <n v="0"/>
    <s v="-"/>
    <s v="-"/>
    <s v="-"/>
    <s v="-"/>
    <s v="-"/>
    <s v="-"/>
    <s v="-"/>
    <n v="5"/>
    <n v="6"/>
    <s v="-"/>
    <n v="1"/>
    <n v="1"/>
    <n v="2"/>
    <n v="2"/>
    <n v="7"/>
    <n v="8"/>
  </r>
  <r>
    <x v="2"/>
    <x v="62"/>
    <s v="-"/>
    <s v="1ST"/>
    <s v="06:00"/>
    <n v="1"/>
    <x v="20"/>
    <n v="6.8999999999999999E-3"/>
    <s v="P"/>
    <s v="P"/>
    <s v="P"/>
    <s v="-"/>
    <s v="-"/>
    <n v="12.03"/>
    <n v="12.58"/>
    <n v="0.54"/>
    <n v="67.2"/>
    <s v="-"/>
    <s v="-"/>
    <n v="35.299999999999997"/>
    <s v="-"/>
    <s v="-"/>
    <s v="P"/>
    <s v="P"/>
    <s v="95% 5%"/>
    <n v="2"/>
    <n v="1"/>
    <n v="2"/>
    <n v="1"/>
    <n v="1"/>
    <n v="2"/>
    <n v="2"/>
    <s v="-"/>
    <s v="-"/>
    <n v="2"/>
    <s v="-"/>
    <n v="13"/>
    <n v="13"/>
    <s v="-"/>
    <n v="1"/>
    <n v="1"/>
    <n v="2"/>
    <n v="2"/>
    <n v="15"/>
    <n v="15"/>
  </r>
  <r>
    <x v="2"/>
    <x v="62"/>
    <d v="2026-03-07T00:00:00"/>
    <s v="1ST"/>
    <s v="07:00"/>
    <n v="1"/>
    <x v="20"/>
    <n v="7.4000000000000003E-3"/>
    <s v="P"/>
    <s v="P"/>
    <s v="P"/>
    <s v="-"/>
    <s v="-"/>
    <n v="11.8"/>
    <s v="-"/>
    <s v="-"/>
    <s v="-"/>
    <s v="-"/>
    <s v="-"/>
    <s v="-"/>
    <s v="-"/>
    <s v="-"/>
    <s v="P"/>
    <s v="P"/>
    <s v="-"/>
    <n v="2"/>
    <n v="1"/>
    <n v="2"/>
    <n v="1"/>
    <s v="-"/>
    <s v="-"/>
    <s v="-"/>
    <s v="-"/>
    <s v="-"/>
    <s v="-"/>
    <s v="-"/>
    <n v="6"/>
    <n v="6"/>
    <s v="-"/>
    <n v="1"/>
    <n v="1"/>
    <n v="2"/>
    <n v="2"/>
    <n v="8"/>
    <n v="8"/>
  </r>
  <r>
    <x v="2"/>
    <x v="62"/>
    <d v="2026-03-07T00:00:00"/>
    <s v="1ST"/>
    <s v="08:00"/>
    <n v="1"/>
    <x v="20"/>
    <n v="8.2000000000000007E-3"/>
    <s v="P"/>
    <s v="P"/>
    <s v="P"/>
    <s v="-"/>
    <s v="-"/>
    <n v="11.74"/>
    <s v="-"/>
    <s v="-"/>
    <s v="-"/>
    <s v="-"/>
    <s v="-"/>
    <s v="-"/>
    <s v="-"/>
    <s v="-"/>
    <s v="P"/>
    <s v="P"/>
    <s v="-"/>
    <n v="2"/>
    <n v="1"/>
    <n v="2"/>
    <n v="1"/>
    <s v="-"/>
    <s v="-"/>
    <s v="-"/>
    <s v="-"/>
    <s v="-"/>
    <s v="-"/>
    <s v="-"/>
    <n v="6"/>
    <n v="6"/>
    <s v="-"/>
    <n v="1"/>
    <n v="1"/>
    <n v="2"/>
    <n v="2"/>
    <n v="8"/>
    <n v="8"/>
  </r>
  <r>
    <x v="2"/>
    <x v="62"/>
    <d v="2026-03-07T00:00:00"/>
    <s v="1ST"/>
    <s v="09:00"/>
    <n v="1"/>
    <x v="20"/>
    <n v="5.4999999999999997E-3"/>
    <s v="P"/>
    <s v="P"/>
    <s v="P"/>
    <s v="-"/>
    <s v="-"/>
    <n v="11.96"/>
    <s v="-"/>
    <s v="-"/>
    <s v="-"/>
    <s v="-"/>
    <s v="-"/>
    <s v="-"/>
    <s v="-"/>
    <s v="-"/>
    <s v="P"/>
    <s v="P"/>
    <s v="-"/>
    <n v="2"/>
    <n v="1"/>
    <n v="2"/>
    <n v="1"/>
    <s v="-"/>
    <s v="-"/>
    <s v="-"/>
    <s v="-"/>
    <s v="-"/>
    <s v="-"/>
    <s v="-"/>
    <n v="6"/>
    <n v="6"/>
    <s v="-"/>
    <n v="1"/>
    <n v="1"/>
    <n v="2"/>
    <n v="2"/>
    <n v="8"/>
    <n v="8"/>
  </r>
  <r>
    <x v="2"/>
    <x v="62"/>
    <d v="2026-03-07T00:00:00"/>
    <s v="1ST"/>
    <s v="10:00"/>
    <n v="1"/>
    <x v="20"/>
    <n v="6.1999999999999998E-3"/>
    <s v="P"/>
    <s v="P"/>
    <s v="P"/>
    <s v="-"/>
    <s v="-"/>
    <n v="11.97"/>
    <s v="-"/>
    <s v="-"/>
    <s v="-"/>
    <s v="-"/>
    <s v="-"/>
    <s v="-"/>
    <s v="-"/>
    <n v="25.18"/>
    <s v="P"/>
    <s v="P"/>
    <s v="-"/>
    <n v="2"/>
    <n v="1"/>
    <n v="2"/>
    <n v="1"/>
    <s v="-"/>
    <s v="-"/>
    <s v="-"/>
    <s v="-"/>
    <s v="-"/>
    <s v="-"/>
    <s v="-"/>
    <n v="6"/>
    <n v="6"/>
    <n v="1"/>
    <n v="1"/>
    <n v="1"/>
    <n v="3"/>
    <n v="3"/>
    <n v="9"/>
    <n v="9"/>
  </r>
  <r>
    <x v="2"/>
    <x v="62"/>
    <d v="2026-03-07T00:00:00"/>
    <s v="1ST"/>
    <s v="12:00"/>
    <n v="1"/>
    <x v="20"/>
    <n v="6.7999999999999996E-3"/>
    <s v="P"/>
    <s v="P"/>
    <s v="P"/>
    <s v="-"/>
    <s v="-"/>
    <n v="11.99"/>
    <s v="-"/>
    <s v="-"/>
    <s v="-"/>
    <s v="-"/>
    <s v="-"/>
    <s v="-"/>
    <s v="-"/>
    <s v="-"/>
    <s v="P"/>
    <s v="P"/>
    <s v="-"/>
    <n v="2"/>
    <n v="1"/>
    <n v="2"/>
    <n v="1"/>
    <s v="-"/>
    <s v="-"/>
    <s v="-"/>
    <s v="-"/>
    <s v="-"/>
    <s v="-"/>
    <s v="-"/>
    <n v="6"/>
    <n v="6"/>
    <s v="-"/>
    <n v="1"/>
    <n v="1"/>
    <n v="2"/>
    <n v="2"/>
    <n v="8"/>
    <n v="8"/>
  </r>
  <r>
    <x v="2"/>
    <x v="62"/>
    <s v="-"/>
    <s v="2ND"/>
    <d v="1899-12-30T14:00:00"/>
    <n v="1"/>
    <x v="20"/>
    <n v="5.8999999999999999E-3"/>
    <s v="P"/>
    <s v="P"/>
    <s v="P"/>
    <s v="-"/>
    <s v="-"/>
    <n v="11.83"/>
    <n v="12.56"/>
    <n v="0.6"/>
    <n v="65.2"/>
    <s v="-"/>
    <s v="-"/>
    <n v="35.299999999999997"/>
    <s v="-"/>
    <n v="25.13"/>
    <s v="P"/>
    <s v="P"/>
    <s v="95% 5%"/>
    <n v="2"/>
    <n v="1"/>
    <n v="2"/>
    <n v="1"/>
    <n v="1"/>
    <n v="2"/>
    <n v="2"/>
    <s v="-"/>
    <s v="-"/>
    <n v="2"/>
    <s v="-"/>
    <n v="13"/>
    <n v="13"/>
    <n v="1"/>
    <n v="1"/>
    <n v="1"/>
    <n v="3"/>
    <n v="3"/>
    <n v="16"/>
    <n v="16"/>
  </r>
  <r>
    <x v="2"/>
    <x v="62"/>
    <d v="2026-03-12T00:00:00"/>
    <s v="2ND"/>
    <d v="1899-12-30T17:00:00"/>
    <n v="1"/>
    <x v="20"/>
    <n v="1.8200000000000001E-2"/>
    <s v="P"/>
    <s v="P"/>
    <s v="P"/>
    <s v="-"/>
    <s v="-"/>
    <n v="11.89"/>
    <s v="-"/>
    <s v="-"/>
    <s v="-"/>
    <s v="-"/>
    <s v="-"/>
    <s v="-"/>
    <s v="-"/>
    <s v="-"/>
    <s v="P"/>
    <s v="P"/>
    <s v="-"/>
    <n v="2"/>
    <n v="1"/>
    <n v="2"/>
    <n v="1"/>
    <s v="-"/>
    <s v="-"/>
    <s v="-"/>
    <s v="-"/>
    <s v="-"/>
    <s v="-"/>
    <s v="-"/>
    <n v="6"/>
    <n v="6"/>
    <s v="-"/>
    <n v="1"/>
    <n v="1"/>
    <n v="2"/>
    <n v="2"/>
    <n v="8"/>
    <n v="8"/>
  </r>
  <r>
    <x v="2"/>
    <x v="62"/>
    <d v="2026-03-12T00:00:00"/>
    <s v="2ND"/>
    <d v="1899-12-30T18:00:00"/>
    <n v="1"/>
    <x v="20"/>
    <n v="1.8499999999999999E-2"/>
    <s v="P"/>
    <s v="P"/>
    <s v="P"/>
    <s v="-"/>
    <s v="-"/>
    <n v="12.18"/>
    <s v="-"/>
    <s v="-"/>
    <s v="-"/>
    <s v="-"/>
    <s v="-"/>
    <s v="-"/>
    <s v="-"/>
    <s v="-"/>
    <s v="P"/>
    <s v="P"/>
    <s v="-"/>
    <n v="2"/>
    <n v="1"/>
    <n v="2"/>
    <n v="1"/>
    <s v="-"/>
    <s v="-"/>
    <s v="-"/>
    <s v="-"/>
    <s v="-"/>
    <s v="-"/>
    <s v="-"/>
    <n v="6"/>
    <n v="6"/>
    <s v="-"/>
    <n v="1"/>
    <n v="1"/>
    <n v="2"/>
    <n v="2"/>
    <n v="8"/>
    <n v="8"/>
  </r>
  <r>
    <x v="2"/>
    <x v="62"/>
    <d v="2026-03-12T00:00:00"/>
    <s v="2ND"/>
    <d v="1899-12-30T19:00:00"/>
    <n v="1"/>
    <x v="20"/>
    <n v="1.23E-2"/>
    <s v="P"/>
    <s v="P"/>
    <s v="P"/>
    <s v="-"/>
    <s v="-"/>
    <n v="11.68"/>
    <s v="-"/>
    <s v="-"/>
    <s v="-"/>
    <s v="-"/>
    <s v="-"/>
    <s v="-"/>
    <s v="-"/>
    <s v="-"/>
    <s v="P"/>
    <s v="P"/>
    <s v="-"/>
    <n v="2"/>
    <n v="1"/>
    <n v="2"/>
    <n v="1"/>
    <s v="-"/>
    <s v="-"/>
    <s v="-"/>
    <s v="-"/>
    <s v="-"/>
    <s v="-"/>
    <s v="-"/>
    <n v="6"/>
    <n v="6"/>
    <s v="-"/>
    <n v="1"/>
    <n v="1"/>
    <n v="2"/>
    <n v="2"/>
    <n v="8"/>
    <n v="8"/>
  </r>
  <r>
    <x v="2"/>
    <x v="62"/>
    <d v="2026-03-12T00:00:00"/>
    <s v="2ND"/>
    <d v="1899-12-30T21:00:00"/>
    <n v="1"/>
    <x v="20"/>
    <n v="1.2699999999999999E-2"/>
    <s v="P"/>
    <s v="P"/>
    <s v="P"/>
    <s v="-"/>
    <s v="-"/>
    <n v="12.46"/>
    <s v="-"/>
    <s v="-"/>
    <s v="-"/>
    <s v="-"/>
    <s v="-"/>
    <s v="-"/>
    <s v="-"/>
    <s v="-"/>
    <s v="P"/>
    <s v="P"/>
    <s v="-"/>
    <n v="2"/>
    <n v="1"/>
    <n v="2"/>
    <n v="1"/>
    <s v="-"/>
    <s v="-"/>
    <s v="-"/>
    <s v="-"/>
    <s v="-"/>
    <s v="-"/>
    <s v="-"/>
    <n v="6"/>
    <n v="6"/>
    <s v="-"/>
    <n v="1"/>
    <n v="1"/>
    <n v="2"/>
    <n v="2"/>
    <n v="8"/>
    <n v="8"/>
  </r>
  <r>
    <x v="2"/>
    <x v="62"/>
    <d v="2026-03-12T00:00:00"/>
    <s v="3RD"/>
    <d v="1899-12-30T23:00:00"/>
    <n v="1"/>
    <x v="20"/>
    <n v="9.2999999999999992E-3"/>
    <s v="P"/>
    <s v="P"/>
    <s v="P"/>
    <s v="-"/>
    <s v="-"/>
    <n v="12.21"/>
    <n v="13.38"/>
    <n v="0.6"/>
    <s v="-"/>
    <s v="-"/>
    <s v="-"/>
    <n v="37.6"/>
    <s v="-"/>
    <n v="25.14"/>
    <s v="-"/>
    <s v="-"/>
    <s v="-"/>
    <n v="2"/>
    <n v="1"/>
    <n v="2"/>
    <n v="1"/>
    <n v="1"/>
    <n v="2"/>
    <s v="-"/>
    <s v="-"/>
    <s v="-"/>
    <n v="2"/>
    <s v="-"/>
    <n v="11"/>
    <n v="11"/>
    <n v="1"/>
    <s v="-"/>
    <s v="-"/>
    <n v="1"/>
    <n v="1"/>
    <n v="12"/>
    <n v="12"/>
  </r>
  <r>
    <x v="2"/>
    <x v="62"/>
    <d v="2026-03-12T00:00:00"/>
    <s v="3RD"/>
    <d v="1899-12-31T00:00:00"/>
    <n v="1"/>
    <x v="20"/>
    <s v="-"/>
    <s v="P"/>
    <s v="P"/>
    <s v="P"/>
    <s v="-"/>
    <s v="-"/>
    <s v="-"/>
    <s v="-"/>
    <s v="-"/>
    <s v="-"/>
    <s v="-"/>
    <s v="-"/>
    <s v="-"/>
    <s v="-"/>
    <s v="-"/>
    <s v="-"/>
    <s v="-"/>
    <s v="-"/>
    <s v="-"/>
    <n v="1"/>
    <n v="2"/>
    <s v="-"/>
    <s v="-"/>
    <s v="-"/>
    <s v="-"/>
    <s v="-"/>
    <s v="-"/>
    <s v="-"/>
    <s v="-"/>
    <n v="3"/>
    <n v="3"/>
    <s v="-"/>
    <s v="-"/>
    <s v="-"/>
    <n v="0"/>
    <n v="0"/>
    <n v="3"/>
    <n v="3"/>
  </r>
  <r>
    <x v="2"/>
    <x v="62"/>
    <d v="2026-03-12T00:00:00"/>
    <s v="3RD"/>
    <d v="1899-12-31T01:00:00"/>
    <n v="1"/>
    <x v="20"/>
    <n v="1.0800000000000001E-2"/>
    <s v="P"/>
    <s v="P"/>
    <s v="P"/>
    <s v="-"/>
    <s v="-"/>
    <n v="11.18"/>
    <s v="-"/>
    <s v="-"/>
    <s v="-"/>
    <s v="-"/>
    <s v="-"/>
    <s v="-"/>
    <s v="-"/>
    <s v="-"/>
    <s v="-"/>
    <s v="-"/>
    <s v="-"/>
    <n v="2"/>
    <n v="1"/>
    <n v="2"/>
    <n v="1"/>
    <s v="-"/>
    <s v="-"/>
    <s v="-"/>
    <s v="-"/>
    <s v="-"/>
    <s v="-"/>
    <s v="-"/>
    <n v="6"/>
    <n v="6"/>
    <s v="-"/>
    <s v="-"/>
    <s v="-"/>
    <n v="0"/>
    <n v="0"/>
    <n v="6"/>
    <n v="6"/>
  </r>
  <r>
    <x v="2"/>
    <x v="62"/>
    <d v="2026-03-12T00:00:00"/>
    <s v="3RD"/>
    <d v="1899-12-31T02:00:00"/>
    <n v="1"/>
    <x v="20"/>
    <n v="1.09E-2"/>
    <s v="P"/>
    <s v="P"/>
    <s v="P"/>
    <s v="-"/>
    <s v="-"/>
    <n v="11.78"/>
    <s v="-"/>
    <s v="-"/>
    <s v="-"/>
    <s v="-"/>
    <s v="-"/>
    <s v="-"/>
    <s v="-"/>
    <s v="-"/>
    <s v="-"/>
    <s v="-"/>
    <s v="-"/>
    <n v="2"/>
    <n v="1"/>
    <n v="2"/>
    <n v="1"/>
    <s v="-"/>
    <s v="-"/>
    <s v="-"/>
    <s v="-"/>
    <s v="-"/>
    <s v="-"/>
    <s v="-"/>
    <n v="6"/>
    <n v="6"/>
    <s v="-"/>
    <s v="-"/>
    <s v="-"/>
    <n v="0"/>
    <n v="0"/>
    <n v="6"/>
    <n v="6"/>
  </r>
  <r>
    <x v="2"/>
    <x v="62"/>
    <d v="2026-03-12T00:00:00"/>
    <s v="3RD"/>
    <d v="1899-12-31T04:00:00"/>
    <n v="1"/>
    <x v="20"/>
    <n v="1.17E-2"/>
    <s v="P"/>
    <s v="P"/>
    <s v="P"/>
    <s v="-"/>
    <s v="-"/>
    <n v="11.69"/>
    <s v="-"/>
    <s v="-"/>
    <s v="-"/>
    <s v="-"/>
    <s v="-"/>
    <s v="-"/>
    <s v="-"/>
    <s v="-"/>
    <s v="-"/>
    <s v="-"/>
    <s v="-"/>
    <n v="2"/>
    <n v="1"/>
    <n v="2"/>
    <n v="1"/>
    <s v="-"/>
    <s v="-"/>
    <s v="-"/>
    <s v="-"/>
    <s v="-"/>
    <s v="-"/>
    <s v="-"/>
    <n v="6"/>
    <n v="6"/>
    <s v="-"/>
    <s v="-"/>
    <s v="-"/>
    <n v="0"/>
    <n v="0"/>
    <n v="6"/>
    <n v="6"/>
  </r>
  <r>
    <x v="2"/>
    <x v="62"/>
    <d v="2026-03-12T00:00:00"/>
    <s v="3RD"/>
    <d v="1899-12-31T05:00:00"/>
    <n v="1"/>
    <x v="20"/>
    <n v="1.17E-2"/>
    <s v="P"/>
    <s v="P"/>
    <s v="P"/>
    <s v="-"/>
    <s v="-"/>
    <n v="11.94"/>
    <s v="-"/>
    <s v="-"/>
    <s v="-"/>
    <s v="-"/>
    <s v="-"/>
    <s v="-"/>
    <s v="-"/>
    <s v="-"/>
    <s v="-"/>
    <s v="-"/>
    <s v="-"/>
    <n v="2"/>
    <n v="1"/>
    <n v="2"/>
    <n v="1"/>
    <s v="-"/>
    <s v="-"/>
    <s v="-"/>
    <s v="-"/>
    <s v="-"/>
    <s v="-"/>
    <s v="-"/>
    <n v="6"/>
    <n v="6"/>
    <s v="-"/>
    <s v="-"/>
    <s v="-"/>
    <n v="0"/>
    <n v="0"/>
    <n v="6"/>
    <n v="6"/>
  </r>
  <r>
    <x v="2"/>
    <x v="62"/>
    <d v="2026-03-13T00:00:00"/>
    <s v="1ST"/>
    <s v="06:00"/>
    <n v="3"/>
    <x v="16"/>
    <n v="6.7000000000000002E-3"/>
    <s v="P"/>
    <s v="P"/>
    <s v="P"/>
    <s v="+"/>
    <s v="+"/>
    <n v="11.99"/>
    <n v="13.04"/>
    <n v="0.53"/>
    <n v="64.2"/>
    <s v="-"/>
    <s v="-"/>
    <n v="36.799999999999997"/>
    <s v="-"/>
    <s v="-"/>
    <s v="P"/>
    <s v="P"/>
    <n v="1"/>
    <n v="2"/>
    <n v="1"/>
    <n v="2"/>
    <n v="0"/>
    <n v="1"/>
    <n v="2"/>
    <n v="2"/>
    <s v="-"/>
    <s v="-"/>
    <n v="2"/>
    <s v="-"/>
    <n v="12"/>
    <n v="13"/>
    <s v="-"/>
    <n v="1"/>
    <n v="1"/>
    <n v="2"/>
    <n v="2"/>
    <n v="14"/>
    <n v="15"/>
  </r>
  <r>
    <x v="2"/>
    <x v="62"/>
    <d v="2026-03-13T00:00:00"/>
    <s v="1ST"/>
    <s v="07:00"/>
    <n v="3"/>
    <x v="16"/>
    <n v="8.8999999999999999E-3"/>
    <s v="P"/>
    <s v="P"/>
    <s v="P"/>
    <s v="+"/>
    <s v="+"/>
    <n v="12.01"/>
    <s v="-"/>
    <s v="-"/>
    <s v="-"/>
    <s v="-"/>
    <s v="-"/>
    <s v="-"/>
    <s v="-"/>
    <s v="-"/>
    <s v="P"/>
    <s v="P"/>
    <s v="-"/>
    <n v="2"/>
    <n v="1"/>
    <n v="2"/>
    <n v="1"/>
    <s v="-"/>
    <s v="-"/>
    <s v="-"/>
    <s v="-"/>
    <s v="-"/>
    <s v="-"/>
    <s v="-"/>
    <n v="6"/>
    <n v="6"/>
    <s v="-"/>
    <n v="1"/>
    <n v="1"/>
    <n v="2"/>
    <n v="2"/>
    <n v="8"/>
    <n v="8"/>
  </r>
  <r>
    <x v="2"/>
    <x v="62"/>
    <d v="2026-03-13T00:00:00"/>
    <s v="1ST"/>
    <s v="08:00"/>
    <n v="3"/>
    <x v="16"/>
    <n v="7.1999999999999998E-3"/>
    <s v="P"/>
    <s v="P"/>
    <s v="P"/>
    <s v="+"/>
    <s v="+"/>
    <n v="12.38"/>
    <s v="-"/>
    <s v="-"/>
    <s v="-"/>
    <s v="-"/>
    <s v="-"/>
    <s v="-"/>
    <s v="-"/>
    <n v="25.18"/>
    <s v="P"/>
    <s v="P"/>
    <s v="-"/>
    <n v="2"/>
    <n v="1"/>
    <n v="2"/>
    <n v="1"/>
    <s v="-"/>
    <s v="-"/>
    <s v="-"/>
    <s v="-"/>
    <s v="-"/>
    <s v="-"/>
    <s v="-"/>
    <n v="6"/>
    <n v="6"/>
    <n v="1"/>
    <n v="1"/>
    <n v="1"/>
    <n v="3"/>
    <n v="3"/>
    <n v="9"/>
    <n v="9"/>
  </r>
  <r>
    <x v="2"/>
    <x v="62"/>
    <d v="2026-03-13T00:00:00"/>
    <s v="1ST"/>
    <s v="10:00"/>
    <n v="3"/>
    <x v="16"/>
    <n v="1.15E-2"/>
    <s v="P"/>
    <s v="P"/>
    <s v="P"/>
    <s v="+"/>
    <s v="+"/>
    <n v="12.16"/>
    <s v="-"/>
    <s v="-"/>
    <s v="-"/>
    <s v="-"/>
    <s v="-"/>
    <s v="-"/>
    <s v="-"/>
    <s v="-"/>
    <s v="P"/>
    <s v="P"/>
    <s v="-"/>
    <n v="2"/>
    <n v="1"/>
    <n v="2"/>
    <n v="1"/>
    <s v="-"/>
    <s v="-"/>
    <s v="-"/>
    <s v="-"/>
    <s v="-"/>
    <s v="-"/>
    <s v="-"/>
    <n v="6"/>
    <n v="6"/>
    <s v="-"/>
    <n v="1"/>
    <n v="1"/>
    <n v="2"/>
    <n v="2"/>
    <n v="8"/>
    <n v="8"/>
  </r>
  <r>
    <x v="2"/>
    <x v="62"/>
    <d v="2026-03-13T00:00:00"/>
    <s v="1ST"/>
    <s v="12:00"/>
    <n v="3"/>
    <x v="16"/>
    <n v="1.66E-2"/>
    <s v="P"/>
    <s v="P"/>
    <s v="P"/>
    <s v="+"/>
    <s v="+"/>
    <n v="12.19"/>
    <s v="-"/>
    <s v="-"/>
    <s v="-"/>
    <s v="-"/>
    <s v="-"/>
    <s v="-"/>
    <s v="-"/>
    <s v="-"/>
    <s v="P"/>
    <s v="P"/>
    <s v="-"/>
    <n v="2"/>
    <n v="1"/>
    <n v="2"/>
    <n v="1"/>
    <s v="-"/>
    <s v="-"/>
    <s v="-"/>
    <s v="-"/>
    <s v="-"/>
    <s v="-"/>
    <s v="-"/>
    <n v="6"/>
    <n v="6"/>
    <s v="-"/>
    <n v="1"/>
    <n v="1"/>
    <n v="2"/>
    <n v="2"/>
    <n v="8"/>
    <n v="8"/>
  </r>
  <r>
    <x v="2"/>
    <x v="62"/>
    <d v="2026-03-13T00:00:00"/>
    <s v="2ND"/>
    <d v="1899-12-30T14:00:00"/>
    <n v="3"/>
    <x v="16"/>
    <n v="1.8700000000000001E-2"/>
    <s v="P"/>
    <s v="P"/>
    <s v="P"/>
    <s v="+"/>
    <s v="+"/>
    <n v="12.14"/>
    <n v="13.09"/>
    <n v="0.53"/>
    <n v="64.2"/>
    <s v="-"/>
    <s v="-"/>
    <n v="36.799999999999997"/>
    <s v="-"/>
    <n v="25.16"/>
    <s v="P"/>
    <s v="P"/>
    <n v="1"/>
    <n v="2"/>
    <n v="1"/>
    <n v="2"/>
    <n v="1"/>
    <n v="1"/>
    <n v="2"/>
    <n v="2"/>
    <s v="-"/>
    <s v="-"/>
    <n v="2"/>
    <s v="-"/>
    <n v="13"/>
    <n v="13"/>
    <n v="1"/>
    <n v="1"/>
    <n v="1"/>
    <n v="3"/>
    <n v="3"/>
    <n v="16"/>
    <n v="16"/>
  </r>
  <r>
    <x v="2"/>
    <x v="62"/>
    <d v="2026-03-13T00:00:00"/>
    <s v="2ND"/>
    <d v="1899-12-30T15:00:00"/>
    <n v="3"/>
    <x v="16"/>
    <n v="8.0999999999999996E-3"/>
    <s v="P"/>
    <s v="P"/>
    <s v="P"/>
    <s v="+"/>
    <s v="+"/>
    <n v="11.88"/>
    <s v="-"/>
    <s v="-"/>
    <s v="-"/>
    <s v="-"/>
    <s v="-"/>
    <s v="-"/>
    <s v="-"/>
    <s v="-"/>
    <s v="P"/>
    <s v="P"/>
    <s v="-"/>
    <n v="2"/>
    <n v="1"/>
    <n v="2"/>
    <n v="0"/>
    <s v="-"/>
    <s v="-"/>
    <s v="-"/>
    <s v="-"/>
    <s v="-"/>
    <s v="-"/>
    <s v="-"/>
    <n v="5"/>
    <n v="6"/>
    <s v="-"/>
    <n v="1"/>
    <n v="1"/>
    <n v="2"/>
    <n v="2"/>
    <n v="7"/>
    <n v="8"/>
  </r>
  <r>
    <x v="2"/>
    <x v="62"/>
    <d v="2026-03-13T00:00:00"/>
    <s v="2ND"/>
    <d v="1899-12-30T16:00:00"/>
    <n v="3"/>
    <x v="16"/>
    <n v="6.4000000000000003E-3"/>
    <s v="P"/>
    <s v="P"/>
    <s v="P"/>
    <s v="+"/>
    <s v="+"/>
    <n v="12.01"/>
    <s v="-"/>
    <s v="-"/>
    <s v="-"/>
    <s v="-"/>
    <s v="-"/>
    <s v="-"/>
    <s v="-"/>
    <s v="-"/>
    <s v="P"/>
    <s v="P"/>
    <s v="-"/>
    <n v="2"/>
    <n v="1"/>
    <n v="2"/>
    <n v="1"/>
    <s v="-"/>
    <s v="-"/>
    <s v="-"/>
    <s v="-"/>
    <s v="-"/>
    <s v="-"/>
    <s v="-"/>
    <n v="6"/>
    <n v="6"/>
    <s v="-"/>
    <n v="1"/>
    <n v="1"/>
    <n v="2"/>
    <n v="2"/>
    <n v="8"/>
    <n v="8"/>
  </r>
  <r>
    <x v="2"/>
    <x v="62"/>
    <d v="2026-03-13T00:00:00"/>
    <s v="2ND"/>
    <d v="1899-12-30T18:00:00"/>
    <n v="3"/>
    <x v="16"/>
    <n v="7.3000000000000001E-3"/>
    <s v="P"/>
    <s v="P"/>
    <s v="P"/>
    <s v="+"/>
    <s v="+"/>
    <n v="11.82"/>
    <s v="-"/>
    <s v="-"/>
    <s v="-"/>
    <s v="-"/>
    <s v="-"/>
    <s v="-"/>
    <s v="-"/>
    <s v="-"/>
    <s v="P"/>
    <s v="P"/>
    <s v="-"/>
    <n v="2"/>
    <n v="1"/>
    <n v="2"/>
    <n v="0"/>
    <s v="-"/>
    <s v="-"/>
    <s v="-"/>
    <s v="-"/>
    <s v="-"/>
    <s v="-"/>
    <s v="-"/>
    <n v="5"/>
    <n v="6"/>
    <s v="-"/>
    <n v="1"/>
    <n v="1"/>
    <n v="2"/>
    <n v="2"/>
    <n v="7"/>
    <n v="8"/>
  </r>
  <r>
    <x v="2"/>
    <x v="62"/>
    <d v="2026-03-13T00:00:00"/>
    <s v="2ND"/>
    <d v="1899-12-30T19:00:00"/>
    <n v="3"/>
    <x v="16"/>
    <n v="8.0999999999999996E-3"/>
    <s v="P"/>
    <s v="P"/>
    <s v="P"/>
    <s v="+"/>
    <s v="+"/>
    <n v="11.46"/>
    <s v="-"/>
    <s v="-"/>
    <s v="-"/>
    <s v="-"/>
    <s v="-"/>
    <s v="-"/>
    <s v="-"/>
    <s v="-"/>
    <s v="P"/>
    <s v="P"/>
    <s v="-"/>
    <n v="2"/>
    <n v="1"/>
    <n v="2"/>
    <n v="0"/>
    <s v="-"/>
    <s v="-"/>
    <s v="-"/>
    <s v="-"/>
    <s v="-"/>
    <s v="-"/>
    <s v="-"/>
    <n v="5"/>
    <n v="6"/>
    <s v="-"/>
    <n v="1"/>
    <n v="1"/>
    <n v="2"/>
    <n v="2"/>
    <n v="7"/>
    <n v="8"/>
  </r>
  <r>
    <x v="2"/>
    <x v="62"/>
    <d v="2026-03-13T00:00:00"/>
    <s v="2ND"/>
    <d v="1899-12-30T21:00:00"/>
    <n v="3"/>
    <x v="16"/>
    <n v="8.3999999999999995E-3"/>
    <s v="P"/>
    <s v="P"/>
    <s v="P"/>
    <s v="+"/>
    <s v="+"/>
    <n v="12.41"/>
    <s v="-"/>
    <s v="-"/>
    <s v="-"/>
    <s v="-"/>
    <s v="-"/>
    <s v="-"/>
    <s v="-"/>
    <s v="-"/>
    <s v="P"/>
    <s v="P"/>
    <s v="-"/>
    <n v="2"/>
    <n v="1"/>
    <n v="2"/>
    <n v="1"/>
    <s v="-"/>
    <s v="-"/>
    <s v="-"/>
    <s v="-"/>
    <s v="-"/>
    <s v="-"/>
    <s v="-"/>
    <n v="6"/>
    <n v="6"/>
    <s v="-"/>
    <n v="1"/>
    <n v="1"/>
    <n v="2"/>
    <n v="2"/>
    <n v="8"/>
    <n v="8"/>
  </r>
  <r>
    <x v="2"/>
    <x v="62"/>
    <d v="2026-03-13T00:00:00"/>
    <s v="3RD"/>
    <d v="1899-12-30T23:00:00"/>
    <n v="3"/>
    <x v="16"/>
    <n v="1.3299999999999999E-2"/>
    <s v="P"/>
    <s v="P"/>
    <s v="P"/>
    <s v="+"/>
    <s v="+"/>
    <n v="12.36"/>
    <n v="13"/>
    <n v="0.53"/>
    <s v="-"/>
    <s v="-"/>
    <s v="-"/>
    <n v="36.299999999999997"/>
    <s v="-"/>
    <n v="25.19"/>
    <s v="-"/>
    <s v="-"/>
    <s v="-"/>
    <n v="2"/>
    <n v="1"/>
    <n v="2"/>
    <n v="1"/>
    <n v="1"/>
    <n v="2"/>
    <s v="-"/>
    <s v="-"/>
    <s v="-"/>
    <n v="2"/>
    <s v="-"/>
    <n v="11"/>
    <n v="11"/>
    <n v="1"/>
    <s v="-"/>
    <s v="-"/>
    <n v="1"/>
    <n v="1"/>
    <n v="12"/>
    <n v="12"/>
  </r>
  <r>
    <x v="2"/>
    <x v="62"/>
    <d v="2026-03-13T00:00:00"/>
    <s v="3RD"/>
    <d v="1899-12-31T00:00:00"/>
    <n v="3"/>
    <x v="16"/>
    <n v="1.5699999999999999E-2"/>
    <s v="P"/>
    <s v="P"/>
    <s v="P"/>
    <s v="+"/>
    <s v="+"/>
    <n v="12.96"/>
    <s v="-"/>
    <s v="-"/>
    <s v="-"/>
    <s v="-"/>
    <s v="-"/>
    <s v="-"/>
    <s v="-"/>
    <s v="-"/>
    <s v="-"/>
    <s v="-"/>
    <s v="-"/>
    <n v="2"/>
    <n v="1"/>
    <n v="2"/>
    <n v="1"/>
    <s v="-"/>
    <s v="-"/>
    <s v="-"/>
    <s v="-"/>
    <s v="-"/>
    <s v="-"/>
    <s v="-"/>
    <n v="6"/>
    <n v="6"/>
    <s v="-"/>
    <s v="-"/>
    <s v="-"/>
    <n v="0"/>
    <n v="0"/>
    <n v="6"/>
    <n v="6"/>
  </r>
  <r>
    <x v="2"/>
    <x v="62"/>
    <d v="2026-03-13T00:00:00"/>
    <s v="3RD"/>
    <d v="1899-12-31T01:00:00"/>
    <n v="3"/>
    <x v="16"/>
    <s v="-"/>
    <s v="P"/>
    <s v="P"/>
    <s v="P"/>
    <s v="+"/>
    <s v="+"/>
    <n v="12.74"/>
    <s v="-"/>
    <s v="-"/>
    <s v="-"/>
    <s v="-"/>
    <s v="-"/>
    <s v="-"/>
    <s v="-"/>
    <s v="-"/>
    <s v="-"/>
    <s v="-"/>
    <s v="-"/>
    <s v="-"/>
    <n v="1"/>
    <n v="2"/>
    <n v="1"/>
    <s v="-"/>
    <s v="-"/>
    <s v="-"/>
    <s v="-"/>
    <s v="-"/>
    <s v="-"/>
    <s v="-"/>
    <n v="4"/>
    <n v="4"/>
    <s v="-"/>
    <s v="-"/>
    <s v="-"/>
    <n v="0"/>
    <n v="0"/>
    <n v="4"/>
    <n v="4"/>
  </r>
  <r>
    <x v="2"/>
    <x v="62"/>
    <d v="2026-03-13T00:00:00"/>
    <s v="3RD"/>
    <d v="1899-12-31T02:00:00"/>
    <n v="3"/>
    <x v="16"/>
    <n v="1.2699999999999999E-2"/>
    <s v="P"/>
    <s v="P"/>
    <s v="P"/>
    <s v="+"/>
    <s v="+"/>
    <n v="12.57"/>
    <s v="-"/>
    <s v="-"/>
    <s v="-"/>
    <s v="-"/>
    <s v="-"/>
    <s v="-"/>
    <s v="-"/>
    <s v="-"/>
    <s v="-"/>
    <s v="-"/>
    <s v="-"/>
    <n v="2"/>
    <n v="1"/>
    <n v="2"/>
    <n v="1"/>
    <s v="-"/>
    <s v="-"/>
    <s v="-"/>
    <s v="-"/>
    <s v="-"/>
    <s v="-"/>
    <s v="-"/>
    <n v="6"/>
    <n v="6"/>
    <s v="-"/>
    <s v="-"/>
    <s v="-"/>
    <n v="0"/>
    <n v="0"/>
    <n v="6"/>
    <n v="6"/>
  </r>
  <r>
    <x v="2"/>
    <x v="62"/>
    <d v="2026-03-13T00:00:00"/>
    <s v="3RD"/>
    <d v="1899-12-31T03:00:00"/>
    <n v="3"/>
    <x v="16"/>
    <n v="1.09E-2"/>
    <s v="P"/>
    <s v="P"/>
    <s v="P"/>
    <s v="+"/>
    <s v="+"/>
    <n v="12.54"/>
    <s v="-"/>
    <s v="-"/>
    <s v="-"/>
    <s v="-"/>
    <s v="-"/>
    <s v="-"/>
    <s v="-"/>
    <s v="-"/>
    <s v="-"/>
    <s v="-"/>
    <s v="-"/>
    <n v="2"/>
    <n v="1"/>
    <n v="2"/>
    <n v="1"/>
    <s v="-"/>
    <s v="-"/>
    <s v="-"/>
    <s v="-"/>
    <s v="-"/>
    <s v="-"/>
    <s v="-"/>
    <n v="6"/>
    <n v="6"/>
    <s v="-"/>
    <s v="-"/>
    <s v="-"/>
    <n v="0"/>
    <n v="0"/>
    <n v="6"/>
    <n v="6"/>
  </r>
  <r>
    <x v="2"/>
    <x v="62"/>
    <d v="2026-03-13T00:00:00"/>
    <s v="3RD"/>
    <d v="1899-12-31T05:00:00"/>
    <n v="3"/>
    <x v="16"/>
    <n v="1.09E-2"/>
    <s v="P"/>
    <s v="P"/>
    <s v="P"/>
    <s v="+"/>
    <s v="+"/>
    <n v="12.48"/>
    <s v="-"/>
    <s v="-"/>
    <s v="-"/>
    <s v="-"/>
    <s v="-"/>
    <s v="-"/>
    <s v="-"/>
    <s v="-"/>
    <s v="-"/>
    <s v="-"/>
    <s v="-"/>
    <n v="2"/>
    <n v="1"/>
    <n v="2"/>
    <n v="1"/>
    <s v="-"/>
    <s v="-"/>
    <s v="-"/>
    <s v="-"/>
    <s v="-"/>
    <s v="-"/>
    <s v="-"/>
    <n v="6"/>
    <n v="6"/>
    <s v="-"/>
    <s v="-"/>
    <s v="-"/>
    <n v="0"/>
    <n v="0"/>
    <n v="6"/>
    <n v="6"/>
  </r>
  <r>
    <x v="2"/>
    <x v="63"/>
    <d v="2026-03-07T00:00:00"/>
    <s v="1ST"/>
    <s v="09:00"/>
    <n v="3"/>
    <x v="6"/>
    <n v="1.2999999999999999E-2"/>
    <s v="P"/>
    <s v="P"/>
    <s v="P"/>
    <s v="+"/>
    <s v="+"/>
    <n v="12.31"/>
    <n v="12.82"/>
    <n v="0.36"/>
    <n v="64.900000000000006"/>
    <s v="-"/>
    <s v="-"/>
    <n v="36"/>
    <s v="-"/>
    <s v="-"/>
    <s v="P"/>
    <s v="P"/>
    <s v="-"/>
    <n v="2"/>
    <n v="1"/>
    <n v="2"/>
    <n v="1"/>
    <n v="1"/>
    <n v="2"/>
    <n v="2"/>
    <s v="-"/>
    <s v="-"/>
    <n v="2"/>
    <s v="-"/>
    <n v="13"/>
    <n v="13"/>
    <s v="-"/>
    <n v="1"/>
    <n v="1"/>
    <n v="2"/>
    <n v="2"/>
    <n v="15"/>
    <n v="15"/>
  </r>
  <r>
    <x v="2"/>
    <x v="63"/>
    <d v="2026-03-07T00:00:00"/>
    <s v="1ST"/>
    <s v="11:00"/>
    <n v="3"/>
    <x v="6"/>
    <n v="1.26E-2"/>
    <s v="P"/>
    <s v="P"/>
    <s v="P"/>
    <s v="+"/>
    <s v="+"/>
    <n v="12.14"/>
    <s v="-"/>
    <s v="-"/>
    <s v="-"/>
    <s v="-"/>
    <s v="-"/>
    <s v="-"/>
    <s v="-"/>
    <s v="-"/>
    <s v="P"/>
    <s v="P"/>
    <s v="-"/>
    <n v="2"/>
    <n v="1"/>
    <n v="2"/>
    <n v="1"/>
    <s v="-"/>
    <s v="-"/>
    <s v="-"/>
    <s v="-"/>
    <s v="-"/>
    <s v="-"/>
    <s v="-"/>
    <n v="6"/>
    <n v="6"/>
    <s v="-"/>
    <n v="1"/>
    <n v="1"/>
    <n v="2"/>
    <n v="2"/>
    <n v="8"/>
    <n v="8"/>
  </r>
  <r>
    <x v="2"/>
    <x v="63"/>
    <d v="2026-03-07T00:00:00"/>
    <s v="1ST"/>
    <s v="12:00"/>
    <n v="3"/>
    <x v="6"/>
    <n v="1.2999999999999999E-2"/>
    <s v="P"/>
    <s v="P"/>
    <s v="P"/>
    <s v="+"/>
    <s v="+"/>
    <n v="12.35"/>
    <s v="-"/>
    <s v="-"/>
    <s v="-"/>
    <s v="-"/>
    <s v="-"/>
    <s v="-"/>
    <s v="-"/>
    <s v="-"/>
    <s v="P"/>
    <s v="P"/>
    <s v="-"/>
    <n v="2"/>
    <n v="1"/>
    <n v="2"/>
    <n v="1"/>
    <s v="-"/>
    <s v="-"/>
    <s v="-"/>
    <s v="-"/>
    <s v="-"/>
    <s v="-"/>
    <s v="-"/>
    <n v="6"/>
    <n v="6"/>
    <s v="-"/>
    <n v="1"/>
    <n v="1"/>
    <n v="2"/>
    <n v="2"/>
    <n v="8"/>
    <n v="8"/>
  </r>
  <r>
    <x v="2"/>
    <x v="63"/>
    <d v="2026-03-07T00:00:00"/>
    <s v="1ST"/>
    <s v="13:00"/>
    <n v="3"/>
    <x v="6"/>
    <n v="1.4200000000000001E-2"/>
    <s v="P"/>
    <s v="P"/>
    <s v="P"/>
    <s v="+"/>
    <s v="+"/>
    <n v="12.62"/>
    <s v="-"/>
    <s v="-"/>
    <s v="-"/>
    <s v="-"/>
    <s v="-"/>
    <s v="-"/>
    <s v="-"/>
    <s v="-"/>
    <s v="P"/>
    <s v="P"/>
    <s v="-"/>
    <n v="2"/>
    <n v="1"/>
    <n v="2"/>
    <n v="1"/>
    <s v="-"/>
    <s v="-"/>
    <s v="-"/>
    <s v="-"/>
    <s v="-"/>
    <s v="-"/>
    <s v="-"/>
    <n v="6"/>
    <n v="6"/>
    <s v="-"/>
    <n v="1"/>
    <n v="1"/>
    <n v="2"/>
    <n v="2"/>
    <n v="8"/>
    <n v="8"/>
  </r>
  <r>
    <x v="2"/>
    <x v="63"/>
    <d v="2026-03-07T00:00:00"/>
    <s v="2ND"/>
    <d v="1899-12-30T14:00:00"/>
    <n v="3"/>
    <x v="6"/>
    <n v="4.5999999999999999E-3"/>
    <s v="P"/>
    <s v="P"/>
    <s v="P"/>
    <s v="+"/>
    <s v="+"/>
    <n v="12.41"/>
    <n v="12.51"/>
    <n v="0.56000000000000005"/>
    <s v="-"/>
    <s v="-"/>
    <s v="-"/>
    <n v="35.6"/>
    <s v="-"/>
    <n v="25.17"/>
    <s v="P"/>
    <s v="P"/>
    <s v="70% 20% 10%"/>
    <n v="2"/>
    <n v="1"/>
    <n v="2"/>
    <n v="1"/>
    <n v="1"/>
    <n v="2"/>
    <s v="-"/>
    <s v="-"/>
    <s v="-"/>
    <n v="2"/>
    <s v="-"/>
    <n v="11"/>
    <n v="11"/>
    <n v="1"/>
    <n v="1"/>
    <n v="1"/>
    <n v="3"/>
    <n v="3"/>
    <n v="14"/>
    <n v="14"/>
  </r>
  <r>
    <x v="2"/>
    <x v="63"/>
    <d v="2026-03-07T00:00:00"/>
    <s v="2ND"/>
    <d v="1899-12-30T15:00:00"/>
    <n v="3"/>
    <x v="6"/>
    <n v="4.8999999999999998E-3"/>
    <s v="P"/>
    <s v="P"/>
    <s v="P"/>
    <s v="+"/>
    <s v="+"/>
    <n v="12.66"/>
    <s v="-"/>
    <s v="-"/>
    <s v="-"/>
    <s v="-"/>
    <s v="-"/>
    <s v="-"/>
    <s v="-"/>
    <s v="-"/>
    <s v="P"/>
    <s v="P"/>
    <s v="-"/>
    <n v="2"/>
    <n v="1"/>
    <n v="2"/>
    <n v="1"/>
    <s v="-"/>
    <s v="-"/>
    <s v="-"/>
    <s v="-"/>
    <s v="-"/>
    <s v="-"/>
    <s v="-"/>
    <n v="6"/>
    <n v="6"/>
    <s v="-"/>
    <n v="1"/>
    <n v="1"/>
    <n v="2"/>
    <n v="2"/>
    <n v="8"/>
    <n v="8"/>
  </r>
  <r>
    <x v="2"/>
    <x v="63"/>
    <d v="2026-03-07T00:00:00"/>
    <s v="2ND"/>
    <d v="1899-12-30T17:00:00"/>
    <n v="3"/>
    <x v="6"/>
    <s v="-"/>
    <s v="P"/>
    <s v="P"/>
    <s v="P"/>
    <s v="+"/>
    <s v="+"/>
    <n v="12.64"/>
    <s v="-"/>
    <s v="-"/>
    <s v="-"/>
    <s v="-"/>
    <s v="-"/>
    <s v="-"/>
    <s v="-"/>
    <s v="-"/>
    <s v="P"/>
    <s v="P"/>
    <s v="-"/>
    <s v="-"/>
    <n v="1"/>
    <n v="2"/>
    <n v="1"/>
    <s v="-"/>
    <s v="-"/>
    <s v="-"/>
    <s v="-"/>
    <s v="-"/>
    <s v="-"/>
    <s v="-"/>
    <n v="4"/>
    <n v="4"/>
    <s v="-"/>
    <n v="1"/>
    <n v="1"/>
    <n v="2"/>
    <n v="2"/>
    <n v="6"/>
    <n v="6"/>
  </r>
  <r>
    <x v="2"/>
    <x v="63"/>
    <d v="2026-03-07T00:00:00"/>
    <s v="2ND"/>
    <d v="1899-12-30T19:00:00"/>
    <n v="3"/>
    <x v="6"/>
    <n v="6.7000000000000002E-3"/>
    <s v="P"/>
    <s v="P"/>
    <s v="P"/>
    <s v="+"/>
    <s v="+"/>
    <n v="11.99"/>
    <s v="-"/>
    <s v="-"/>
    <s v="-"/>
    <s v="-"/>
    <s v="-"/>
    <s v="-"/>
    <s v="-"/>
    <s v="-"/>
    <s v="P"/>
    <s v="P"/>
    <s v="-"/>
    <n v="2"/>
    <n v="1"/>
    <n v="2"/>
    <n v="0"/>
    <s v="-"/>
    <s v="-"/>
    <s v="-"/>
    <s v="-"/>
    <s v="-"/>
    <s v="-"/>
    <s v="-"/>
    <n v="5"/>
    <n v="6"/>
    <s v="-"/>
    <n v="1"/>
    <n v="1"/>
    <n v="2"/>
    <n v="2"/>
    <n v="7"/>
    <n v="8"/>
  </r>
  <r>
    <x v="2"/>
    <x v="63"/>
    <d v="2026-03-07T00:00:00"/>
    <s v="2ND"/>
    <d v="1899-12-30T20:00:00"/>
    <n v="3"/>
    <x v="6"/>
    <s v="-"/>
    <s v="P"/>
    <s v="P"/>
    <s v="P"/>
    <s v="+"/>
    <s v="+"/>
    <s v="-"/>
    <s v="-"/>
    <s v="-"/>
    <s v="-"/>
    <s v="-"/>
    <s v="-"/>
    <s v="-"/>
    <s v="-"/>
    <s v="-"/>
    <s v="P"/>
    <s v="P"/>
    <s v="-"/>
    <s v="-"/>
    <n v="1"/>
    <n v="2"/>
    <s v="-"/>
    <s v="-"/>
    <s v="-"/>
    <s v="-"/>
    <s v="-"/>
    <s v="-"/>
    <s v="-"/>
    <s v="-"/>
    <n v="3"/>
    <n v="3"/>
    <s v="-"/>
    <n v="1"/>
    <n v="1"/>
    <n v="2"/>
    <n v="2"/>
    <n v="5"/>
    <n v="5"/>
  </r>
  <r>
    <x v="2"/>
    <x v="63"/>
    <d v="2026-03-14T00:00:00"/>
    <s v="2ND"/>
    <d v="1899-12-30T14:00:00"/>
    <n v="3"/>
    <x v="10"/>
    <n v="5.8999999999999999E-3"/>
    <s v="P"/>
    <s v="P"/>
    <s v="P"/>
    <s v="+"/>
    <s v="+"/>
    <n v="12.01"/>
    <n v="11.79"/>
    <n v="0.41"/>
    <n v="63.3"/>
    <n v="13.3"/>
    <n v="681"/>
    <n v="32.799999999999997"/>
    <s v="-"/>
    <s v="-"/>
    <s v="P"/>
    <s v="P"/>
    <s v="-"/>
    <n v="2"/>
    <n v="1"/>
    <n v="2"/>
    <n v="1"/>
    <n v="1"/>
    <n v="2"/>
    <n v="2"/>
    <n v="1"/>
    <n v="1"/>
    <n v="2"/>
    <s v="-"/>
    <n v="15"/>
    <n v="15"/>
    <s v="-"/>
    <n v="1"/>
    <n v="1"/>
    <n v="2"/>
    <n v="2"/>
    <n v="17"/>
    <n v="17"/>
  </r>
  <r>
    <x v="2"/>
    <x v="63"/>
    <d v="1902-03-26T00:00:00"/>
    <s v="1ST"/>
    <s v="06:00"/>
    <n v="2"/>
    <x v="8"/>
    <n v="1.24E-2"/>
    <s v="P"/>
    <s v="P"/>
    <s v="P"/>
    <s v="+"/>
    <s v="+"/>
    <n v="12.45"/>
    <n v="12.74"/>
    <n v="0.59"/>
    <n v="64"/>
    <s v="-"/>
    <s v="-"/>
    <n v="35.799999999999997"/>
    <s v="-"/>
    <n v="25.12"/>
    <s v="P"/>
    <s v="P"/>
    <s v="-"/>
    <n v="2"/>
    <n v="1"/>
    <n v="2"/>
    <n v="1"/>
    <n v="1"/>
    <n v="2"/>
    <n v="2"/>
    <s v="-"/>
    <s v="-"/>
    <s v="-"/>
    <s v="-"/>
    <n v="11"/>
    <n v="11"/>
    <s v="-"/>
    <n v="1"/>
    <n v="1"/>
    <n v="2"/>
    <n v="2"/>
    <n v="13"/>
    <n v="13"/>
  </r>
  <r>
    <x v="2"/>
    <x v="63"/>
    <d v="1899-12-30T00:00:00"/>
    <s v="1ST"/>
    <s v="07:00"/>
    <n v="2"/>
    <x v="8"/>
    <n v="1.21E-2"/>
    <s v="P"/>
    <s v="P"/>
    <s v="P"/>
    <s v="+"/>
    <s v="+"/>
    <n v="12.27"/>
    <s v="-"/>
    <s v="-"/>
    <s v="-"/>
    <s v="-"/>
    <s v="-"/>
    <s v="-"/>
    <s v="-"/>
    <s v="-"/>
    <s v="P"/>
    <s v="P"/>
    <s v="-"/>
    <n v="2"/>
    <n v="1"/>
    <n v="2"/>
    <n v="1"/>
    <s v="-"/>
    <s v="-"/>
    <s v="-"/>
    <s v="-"/>
    <s v="-"/>
    <s v="-"/>
    <s v="-"/>
    <n v="6"/>
    <n v="6"/>
    <s v="-"/>
    <n v="1"/>
    <n v="1"/>
    <n v="2"/>
    <n v="2"/>
    <n v="8"/>
    <n v="8"/>
  </r>
  <r>
    <x v="2"/>
    <x v="63"/>
    <d v="1899-12-30T00:00:00"/>
    <s v="1ST"/>
    <s v="09:00"/>
    <n v="2"/>
    <x v="8"/>
    <n v="1.21E-2"/>
    <s v="P"/>
    <s v="P"/>
    <s v="P"/>
    <s v="+"/>
    <s v="+"/>
    <n v="11.9"/>
    <s v="-"/>
    <s v="-"/>
    <s v="-"/>
    <s v="-"/>
    <s v="-"/>
    <s v="-"/>
    <s v="-"/>
    <s v="-"/>
    <s v="P"/>
    <s v="P"/>
    <s v="-"/>
    <n v="2"/>
    <n v="1"/>
    <n v="2"/>
    <n v="1"/>
    <s v="-"/>
    <s v="-"/>
    <s v="-"/>
    <s v="-"/>
    <s v="-"/>
    <s v="-"/>
    <s v="-"/>
    <n v="6"/>
    <n v="6"/>
    <s v="-"/>
    <n v="1"/>
    <n v="1"/>
    <n v="2"/>
    <n v="2"/>
    <n v="8"/>
    <n v="8"/>
  </r>
  <r>
    <x v="2"/>
    <x v="63"/>
    <d v="1899-12-30T00:00:00"/>
    <s v="1ST"/>
    <s v="11:00"/>
    <n v="2"/>
    <x v="8"/>
    <n v="1.3599999999999999E-2"/>
    <s v="P"/>
    <s v="P"/>
    <s v="P"/>
    <s v="+"/>
    <s v="+"/>
    <n v="12.08"/>
    <s v="-"/>
    <s v="-"/>
    <s v="-"/>
    <s v="-"/>
    <s v="-"/>
    <s v="-"/>
    <s v="-"/>
    <s v="-"/>
    <s v="P"/>
    <s v="P"/>
    <s v="-"/>
    <n v="2"/>
    <n v="1"/>
    <n v="2"/>
    <n v="1"/>
    <s v="-"/>
    <s v="-"/>
    <s v="-"/>
    <s v="-"/>
    <s v="-"/>
    <s v="-"/>
    <s v="-"/>
    <n v="6"/>
    <n v="6"/>
    <s v="-"/>
    <n v="1"/>
    <n v="1"/>
    <n v="2"/>
    <n v="2"/>
    <n v="8"/>
    <n v="8"/>
  </r>
  <r>
    <x v="2"/>
    <x v="63"/>
    <d v="1899-12-30T00:00:00"/>
    <s v="1ST"/>
    <s v="12:00"/>
    <n v="2"/>
    <x v="8"/>
    <n v="1.5100000000000001E-2"/>
    <s v="P"/>
    <s v="P"/>
    <s v="P"/>
    <s v="+"/>
    <s v="+"/>
    <n v="12.22"/>
    <s v="-"/>
    <s v="-"/>
    <s v="-"/>
    <s v="-"/>
    <s v="-"/>
    <s v="-"/>
    <s v="-"/>
    <s v="-"/>
    <s v="P"/>
    <s v="P"/>
    <s v="-"/>
    <n v="2"/>
    <n v="1"/>
    <n v="2"/>
    <n v="1"/>
    <s v="-"/>
    <s v="-"/>
    <s v="-"/>
    <s v="-"/>
    <s v="-"/>
    <s v="-"/>
    <s v="-"/>
    <n v="6"/>
    <n v="6"/>
    <s v="-"/>
    <n v="1"/>
    <n v="1"/>
    <n v="2"/>
    <n v="2"/>
    <n v="8"/>
    <n v="8"/>
  </r>
  <r>
    <x v="2"/>
    <x v="63"/>
    <d v="1899-12-30T00:00:00"/>
    <s v="1ST"/>
    <s v="13:00"/>
    <n v="2"/>
    <x v="8"/>
    <n v="1.49E-2"/>
    <s v="P"/>
    <s v="P"/>
    <s v="P"/>
    <s v="+"/>
    <s v="+"/>
    <n v="12.11"/>
    <s v="-"/>
    <s v="-"/>
    <s v="-"/>
    <s v="-"/>
    <s v="-"/>
    <s v="-"/>
    <s v="-"/>
    <s v="-"/>
    <s v="P"/>
    <s v="P"/>
    <s v="-"/>
    <n v="2"/>
    <n v="1"/>
    <n v="2"/>
    <n v="1"/>
    <s v="-"/>
    <s v="-"/>
    <s v="-"/>
    <s v="-"/>
    <s v="-"/>
    <s v="-"/>
    <s v="-"/>
    <n v="6"/>
    <n v="6"/>
    <s v="-"/>
    <n v="1"/>
    <n v="1"/>
    <n v="2"/>
    <n v="2"/>
    <n v="8"/>
    <n v="8"/>
  </r>
  <r>
    <x v="2"/>
    <x v="63"/>
    <d v="1902-03-26T00:00:00"/>
    <s v="2ND"/>
    <d v="1899-12-30T15:00:00"/>
    <n v="2"/>
    <x v="8"/>
    <n v="1.9099999999999999E-2"/>
    <s v="P"/>
    <s v="P"/>
    <s v="P"/>
    <s v="+"/>
    <s v="+"/>
    <n v="12.43"/>
    <n v="12.81"/>
    <n v="0.59"/>
    <s v="-"/>
    <s v="-"/>
    <s v="-"/>
    <n v="35.799999999999997"/>
    <s v="-"/>
    <n v="25.15"/>
    <s v="P"/>
    <s v="P"/>
    <s v="-"/>
    <n v="2"/>
    <n v="1"/>
    <n v="2"/>
    <n v="1"/>
    <n v="1"/>
    <n v="2"/>
    <s v="-"/>
    <s v="-"/>
    <s v="-"/>
    <s v="-"/>
    <s v="-"/>
    <n v="9"/>
    <n v="9"/>
    <s v="-"/>
    <n v="1"/>
    <n v="1"/>
    <n v="2"/>
    <n v="2"/>
    <n v="11"/>
    <n v="11"/>
  </r>
  <r>
    <x v="2"/>
    <x v="63"/>
    <d v="1899-12-30T00:00:00"/>
    <s v="2ND"/>
    <d v="1899-12-30T16:00:00"/>
    <n v="2"/>
    <x v="8"/>
    <n v="1.04E-2"/>
    <s v="P"/>
    <s v="P"/>
    <s v="P"/>
    <s v="+"/>
    <s v="+"/>
    <n v="12.59"/>
    <s v="-"/>
    <s v="-"/>
    <s v="-"/>
    <s v="-"/>
    <s v="-"/>
    <s v="-"/>
    <s v="-"/>
    <s v="-"/>
    <s v="P"/>
    <s v="P"/>
    <s v="-"/>
    <n v="2"/>
    <n v="1"/>
    <n v="2"/>
    <n v="1"/>
    <s v="-"/>
    <s v="-"/>
    <s v="-"/>
    <s v="-"/>
    <s v="-"/>
    <s v="-"/>
    <s v="-"/>
    <n v="6"/>
    <n v="6"/>
    <s v="-"/>
    <n v="1"/>
    <n v="1"/>
    <n v="2"/>
    <n v="2"/>
    <n v="8"/>
    <n v="8"/>
  </r>
  <r>
    <x v="2"/>
    <x v="63"/>
    <d v="1899-12-30T00:00:00"/>
    <s v="2ND"/>
    <d v="1899-12-30T17:00:00"/>
    <n v="2"/>
    <x v="8"/>
    <n v="1.0500000000000001E-2"/>
    <s v="P"/>
    <s v="P"/>
    <s v="P"/>
    <s v="+"/>
    <s v="+"/>
    <n v="12.47"/>
    <s v="-"/>
    <s v="-"/>
    <s v="-"/>
    <s v="-"/>
    <s v="-"/>
    <s v="-"/>
    <s v="-"/>
    <s v="-"/>
    <s v="P"/>
    <s v="P"/>
    <s v="-"/>
    <n v="2"/>
    <n v="1"/>
    <n v="2"/>
    <n v="1"/>
    <s v="-"/>
    <s v="-"/>
    <s v="-"/>
    <s v="-"/>
    <s v="-"/>
    <s v="-"/>
    <s v="-"/>
    <n v="6"/>
    <n v="6"/>
    <s v="-"/>
    <n v="1"/>
    <n v="1"/>
    <n v="2"/>
    <n v="2"/>
    <n v="8"/>
    <n v="8"/>
  </r>
  <r>
    <x v="2"/>
    <x v="63"/>
    <d v="1899-12-30T00:00:00"/>
    <s v="2ND"/>
    <d v="1899-12-30T19:00:00"/>
    <n v="2"/>
    <x v="1"/>
    <n v="9.2999999999999992E-3"/>
    <s v="P"/>
    <s v="P"/>
    <s v="P"/>
    <s v="+"/>
    <s v="+"/>
    <n v="12.12"/>
    <s v="-"/>
    <s v="-"/>
    <s v="-"/>
    <s v="-"/>
    <s v="-"/>
    <s v="-"/>
    <s v="-"/>
    <s v="-"/>
    <s v="P"/>
    <s v="P"/>
    <s v="-"/>
    <n v="2"/>
    <n v="1"/>
    <n v="2"/>
    <n v="1"/>
    <s v="-"/>
    <s v="-"/>
    <s v="-"/>
    <s v="-"/>
    <s v="-"/>
    <s v="-"/>
    <s v="-"/>
    <n v="6"/>
    <n v="6"/>
    <s v="-"/>
    <n v="1"/>
    <n v="1"/>
    <n v="2"/>
    <n v="2"/>
    <n v="8"/>
    <n v="8"/>
  </r>
  <r>
    <x v="2"/>
    <x v="63"/>
    <s v="-"/>
    <s v="1ST"/>
    <s v="06:00"/>
    <n v="1"/>
    <x v="20"/>
    <n v="1.41E-2"/>
    <s v="P"/>
    <s v="P"/>
    <s v="P"/>
    <s v="-"/>
    <s v="-"/>
    <n v="12.02"/>
    <n v="13.13"/>
    <n v="0.66"/>
    <n v="65.7"/>
    <s v="-"/>
    <s v="-"/>
    <n v="37"/>
    <s v="-"/>
    <s v="-"/>
    <s v="P"/>
    <s v="P"/>
    <s v="95% 5%"/>
    <n v="2"/>
    <n v="1"/>
    <n v="2"/>
    <n v="1"/>
    <n v="1"/>
    <n v="0"/>
    <n v="2"/>
    <s v="-"/>
    <s v="-"/>
    <n v="2"/>
    <s v="-"/>
    <n v="11"/>
    <n v="13"/>
    <s v="-"/>
    <n v="1"/>
    <n v="1"/>
    <n v="2"/>
    <n v="2"/>
    <n v="13"/>
    <n v="15"/>
  </r>
  <r>
    <x v="2"/>
    <x v="63"/>
    <d v="2026-03-14T00:00:00"/>
    <s v="1ST"/>
    <s v="07:00"/>
    <n v="1"/>
    <x v="20"/>
    <n v="1.32E-2"/>
    <s v="P"/>
    <s v="P"/>
    <s v="P"/>
    <s v="-"/>
    <s v="-"/>
    <n v="11.86"/>
    <s v="-"/>
    <s v="-"/>
    <s v="-"/>
    <s v="-"/>
    <s v="-"/>
    <s v="-"/>
    <s v="-"/>
    <s v="-"/>
    <s v="P"/>
    <s v="P"/>
    <s v="-"/>
    <n v="2"/>
    <n v="1"/>
    <n v="2"/>
    <n v="1"/>
    <s v="-"/>
    <s v="-"/>
    <s v="-"/>
    <s v="-"/>
    <s v="-"/>
    <s v="-"/>
    <s v="-"/>
    <n v="6"/>
    <n v="6"/>
    <s v="-"/>
    <n v="1"/>
    <n v="1"/>
    <n v="2"/>
    <n v="2"/>
    <n v="8"/>
    <n v="8"/>
  </r>
  <r>
    <x v="2"/>
    <x v="63"/>
    <d v="2026-03-14T00:00:00"/>
    <s v="1ST"/>
    <s v="08:00"/>
    <n v="1"/>
    <x v="20"/>
    <n v="1.9900000000000001E-2"/>
    <s v="P"/>
    <s v="P"/>
    <s v="P"/>
    <s v="-"/>
    <s v="-"/>
    <n v="12.15"/>
    <s v="-"/>
    <s v="-"/>
    <s v="-"/>
    <s v="-"/>
    <s v="-"/>
    <s v="-"/>
    <s v="-"/>
    <n v="25.15"/>
    <s v="P"/>
    <s v="P"/>
    <s v="-"/>
    <n v="2"/>
    <n v="1"/>
    <n v="2"/>
    <n v="1"/>
    <s v="-"/>
    <s v="-"/>
    <s v="-"/>
    <s v="-"/>
    <s v="-"/>
    <s v="-"/>
    <s v="-"/>
    <n v="6"/>
    <n v="6"/>
    <n v="1"/>
    <n v="1"/>
    <n v="1"/>
    <n v="3"/>
    <n v="3"/>
    <n v="9"/>
    <n v="9"/>
  </r>
  <r>
    <x v="2"/>
    <x v="63"/>
    <d v="2026-03-14T00:00:00"/>
    <s v="1ST"/>
    <s v="09:00"/>
    <n v="1"/>
    <x v="20"/>
    <n v="1.3599999999999999E-2"/>
    <s v="P"/>
    <s v="P"/>
    <s v="P"/>
    <s v="-"/>
    <s v="-"/>
    <n v="11.75"/>
    <s v="-"/>
    <s v="-"/>
    <s v="-"/>
    <s v="-"/>
    <s v="-"/>
    <s v="-"/>
    <s v="-"/>
    <s v="-"/>
    <s v="P"/>
    <s v="P"/>
    <s v="-"/>
    <n v="2"/>
    <n v="1"/>
    <n v="2"/>
    <n v="1"/>
    <s v="-"/>
    <s v="-"/>
    <s v="-"/>
    <s v="-"/>
    <s v="-"/>
    <s v="-"/>
    <s v="-"/>
    <n v="6"/>
    <n v="6"/>
    <s v="-"/>
    <n v="1"/>
    <n v="1"/>
    <n v="2"/>
    <n v="2"/>
    <n v="8"/>
    <n v="8"/>
  </r>
  <r>
    <x v="2"/>
    <x v="63"/>
    <d v="2026-03-14T00:00:00"/>
    <s v="1ST"/>
    <s v="11:00"/>
    <n v="1"/>
    <x v="20"/>
    <n v="1.5800000000000002E-2"/>
    <s v="P"/>
    <s v="P"/>
    <s v="P"/>
    <s v="-"/>
    <s v="-"/>
    <n v="11.73"/>
    <s v="-"/>
    <s v="-"/>
    <s v="-"/>
    <s v="-"/>
    <s v="-"/>
    <s v="-"/>
    <s v="-"/>
    <s v="-"/>
    <s v="P"/>
    <s v="P"/>
    <s v="-"/>
    <n v="2"/>
    <n v="1"/>
    <n v="2"/>
    <n v="1"/>
    <s v="-"/>
    <s v="-"/>
    <s v="-"/>
    <s v="-"/>
    <s v="-"/>
    <s v="-"/>
    <s v="-"/>
    <n v="6"/>
    <n v="6"/>
    <s v="-"/>
    <n v="1"/>
    <n v="1"/>
    <n v="2"/>
    <n v="2"/>
    <n v="8"/>
    <n v="8"/>
  </r>
  <r>
    <x v="2"/>
    <x v="63"/>
    <d v="2026-03-14T00:00:00"/>
    <s v="1ST"/>
    <s v="12:00"/>
    <n v="1"/>
    <x v="20"/>
    <n v="1.24E-2"/>
    <s v="P"/>
    <s v="P"/>
    <s v="P"/>
    <s v="-"/>
    <s v="-"/>
    <n v="11.77"/>
    <s v="-"/>
    <s v="-"/>
    <s v="-"/>
    <s v="-"/>
    <s v="-"/>
    <s v="-"/>
    <s v="-"/>
    <s v="-"/>
    <s v="P"/>
    <s v="P"/>
    <s v="-"/>
    <n v="2"/>
    <n v="1"/>
    <n v="2"/>
    <n v="1"/>
    <s v="-"/>
    <s v="-"/>
    <s v="-"/>
    <s v="-"/>
    <s v="-"/>
    <s v="-"/>
    <s v="-"/>
    <n v="6"/>
    <n v="6"/>
    <s v="-"/>
    <n v="1"/>
    <n v="1"/>
    <n v="2"/>
    <n v="2"/>
    <n v="8"/>
    <n v="8"/>
  </r>
  <r>
    <x v="2"/>
    <x v="63"/>
    <d v="2026-03-14T00:00:00"/>
    <s v="1ST"/>
    <s v="13:00"/>
    <n v="1"/>
    <x v="20"/>
    <n v="1.2500000000000001E-2"/>
    <s v="P"/>
    <s v="P"/>
    <s v="P"/>
    <s v="-"/>
    <s v="-"/>
    <n v="11.8"/>
    <s v="-"/>
    <s v="-"/>
    <s v="-"/>
    <s v="-"/>
    <s v="-"/>
    <s v="-"/>
    <s v="-"/>
    <s v="-"/>
    <s v="P"/>
    <s v="P"/>
    <s v="-"/>
    <n v="2"/>
    <n v="1"/>
    <n v="2"/>
    <n v="1"/>
    <s v="-"/>
    <s v="-"/>
    <s v="-"/>
    <s v="-"/>
    <s v="-"/>
    <s v="-"/>
    <s v="-"/>
    <n v="6"/>
    <n v="6"/>
    <s v="-"/>
    <n v="1"/>
    <n v="1"/>
    <n v="2"/>
    <n v="2"/>
    <n v="8"/>
    <n v="8"/>
  </r>
  <r>
    <x v="2"/>
    <x v="63"/>
    <s v="-"/>
    <s v="2ND"/>
    <d v="1899-12-30T14:00:00"/>
    <n v="1"/>
    <x v="20"/>
    <n v="1.23E-2"/>
    <s v="P"/>
    <s v="P"/>
    <s v="P"/>
    <s v="-"/>
    <s v="-"/>
    <n v="12.11"/>
    <n v="13.34"/>
    <n v="0.66"/>
    <s v="-"/>
    <s v="-"/>
    <s v="-"/>
    <n v="37.4"/>
    <s v="-"/>
    <n v="25.14"/>
    <s v="P"/>
    <s v="P"/>
    <s v="95% 5%"/>
    <n v="2"/>
    <n v="1"/>
    <n v="2"/>
    <n v="1"/>
    <n v="1"/>
    <n v="0"/>
    <s v="-"/>
    <s v="-"/>
    <s v="-"/>
    <n v="2"/>
    <s v="-"/>
    <n v="9"/>
    <n v="11"/>
    <n v="1"/>
    <n v="1"/>
    <n v="1"/>
    <n v="3"/>
    <n v="3"/>
    <n v="12"/>
    <n v="14"/>
  </r>
  <r>
    <x v="2"/>
    <x v="63"/>
    <d v="2026-03-14T00:00:00"/>
    <s v="2ND"/>
    <d v="1899-12-30T15:00:00"/>
    <n v="1"/>
    <x v="20"/>
    <n v="1.8499999999999999E-2"/>
    <s v="P"/>
    <s v="P"/>
    <s v="P"/>
    <s v="-"/>
    <s v="-"/>
    <n v="11.89"/>
    <s v="-"/>
    <s v="-"/>
    <s v="-"/>
    <s v="-"/>
    <s v="-"/>
    <s v="-"/>
    <s v="-"/>
    <s v="-"/>
    <s v="P"/>
    <s v="P"/>
    <s v="-"/>
    <n v="2"/>
    <n v="1"/>
    <n v="2"/>
    <n v="1"/>
    <s v="-"/>
    <s v="-"/>
    <s v="-"/>
    <s v="-"/>
    <s v="-"/>
    <s v="-"/>
    <s v="-"/>
    <n v="6"/>
    <n v="6"/>
    <s v="-"/>
    <n v="1"/>
    <n v="1"/>
    <n v="2"/>
    <n v="2"/>
    <n v="8"/>
    <n v="8"/>
  </r>
  <r>
    <x v="2"/>
    <x v="63"/>
    <d v="2026-03-14T00:00:00"/>
    <s v="2ND"/>
    <d v="1899-12-30T16:00:00"/>
    <n v="1"/>
    <x v="20"/>
    <n v="1.67E-2"/>
    <s v="P"/>
    <s v="P"/>
    <s v="P"/>
    <s v="-"/>
    <s v="-"/>
    <n v="11.97"/>
    <s v="-"/>
    <s v="-"/>
    <s v="-"/>
    <s v="-"/>
    <s v="-"/>
    <s v="-"/>
    <s v="-"/>
    <s v="-"/>
    <s v="P"/>
    <s v="P"/>
    <s v="-"/>
    <n v="2"/>
    <n v="1"/>
    <n v="2"/>
    <n v="1"/>
    <s v="-"/>
    <s v="-"/>
    <s v="-"/>
    <s v="-"/>
    <s v="-"/>
    <s v="-"/>
    <s v="-"/>
    <n v="6"/>
    <n v="6"/>
    <s v="-"/>
    <n v="1"/>
    <n v="1"/>
    <n v="2"/>
    <n v="2"/>
    <n v="8"/>
    <n v="8"/>
  </r>
  <r>
    <x v="2"/>
    <x v="63"/>
    <d v="2026-03-14T00:00:00"/>
    <s v="2ND"/>
    <d v="1899-12-30T17:00:00"/>
    <n v="1"/>
    <x v="20"/>
    <n v="1.7399999999999999E-2"/>
    <s v="P"/>
    <s v="P"/>
    <s v="P"/>
    <s v="-"/>
    <s v="-"/>
    <n v="12.05"/>
    <s v="-"/>
    <s v="-"/>
    <s v="-"/>
    <s v="-"/>
    <s v="-"/>
    <s v="-"/>
    <s v="-"/>
    <s v="-"/>
    <s v="P"/>
    <s v="P"/>
    <s v="-"/>
    <n v="2"/>
    <n v="1"/>
    <n v="2"/>
    <n v="1"/>
    <s v="-"/>
    <s v="-"/>
    <s v="-"/>
    <s v="-"/>
    <s v="-"/>
    <s v="-"/>
    <s v="-"/>
    <n v="6"/>
    <n v="6"/>
    <s v="-"/>
    <n v="1"/>
    <n v="1"/>
    <n v="2"/>
    <n v="2"/>
    <n v="8"/>
    <n v="8"/>
  </r>
  <r>
    <x v="2"/>
    <x v="63"/>
    <d v="2026-03-14T00:00:00"/>
    <s v="2ND"/>
    <d v="1899-12-30T19:00:00"/>
    <n v="1"/>
    <x v="20"/>
    <n v="9.1000000000000004E-3"/>
    <s v="P"/>
    <s v="P"/>
    <s v="P"/>
    <s v="-"/>
    <s v="-"/>
    <n v="12.04"/>
    <s v="-"/>
    <s v="-"/>
    <s v="-"/>
    <s v="-"/>
    <s v="-"/>
    <s v="-"/>
    <s v="-"/>
    <s v="-"/>
    <s v="P"/>
    <s v="P"/>
    <s v="-"/>
    <n v="2"/>
    <n v="1"/>
    <n v="2"/>
    <n v="1"/>
    <s v="-"/>
    <s v="-"/>
    <s v="-"/>
    <s v="-"/>
    <s v="-"/>
    <s v="-"/>
    <s v="-"/>
    <n v="6"/>
    <n v="6"/>
    <s v="-"/>
    <n v="1"/>
    <n v="1"/>
    <n v="2"/>
    <n v="2"/>
    <n v="8"/>
    <n v="8"/>
  </r>
  <r>
    <x v="2"/>
    <x v="63"/>
    <d v="2026-03-14T00:00:00"/>
    <s v="2ND"/>
    <d v="1899-12-30T20:00:00"/>
    <n v="1"/>
    <x v="20"/>
    <s v="-"/>
    <s v="P"/>
    <s v="P"/>
    <s v="P"/>
    <s v="-"/>
    <s v="-"/>
    <s v="-"/>
    <s v="-"/>
    <s v="-"/>
    <s v="-"/>
    <s v="-"/>
    <s v="-"/>
    <s v="-"/>
    <s v="-"/>
    <s v="-"/>
    <s v="P"/>
    <s v="P"/>
    <s v="-"/>
    <s v="-"/>
    <n v="1"/>
    <n v="2"/>
    <s v="-"/>
    <s v="-"/>
    <s v="-"/>
    <s v="-"/>
    <s v="-"/>
    <s v="-"/>
    <s v="-"/>
    <s v="-"/>
    <n v="3"/>
    <n v="3"/>
    <s v="-"/>
    <n v="1"/>
    <n v="1"/>
    <n v="2"/>
    <n v="2"/>
    <n v="5"/>
    <n v="5"/>
  </r>
  <r>
    <x v="2"/>
    <x v="63"/>
    <d v="1902-03-26T00:00:00"/>
    <s v="2ND"/>
    <d v="1899-12-30T14:00:00"/>
    <n v="2"/>
    <x v="14"/>
    <n v="6.0000000000000001E-3"/>
    <s v="P"/>
    <s v="P"/>
    <s v="P"/>
    <s v="-"/>
    <s v="-"/>
    <n v="10.55"/>
    <n v="9.25"/>
    <n v="0.6"/>
    <n v="57.8"/>
    <n v="12"/>
    <n v="471"/>
    <n v="25.2"/>
    <s v="-"/>
    <s v="-"/>
    <s v="P"/>
    <s v="P"/>
    <s v="-"/>
    <n v="2"/>
    <n v="1"/>
    <n v="2"/>
    <n v="0"/>
    <n v="1"/>
    <n v="2"/>
    <n v="2"/>
    <n v="1"/>
    <n v="1"/>
    <n v="2"/>
    <s v="-"/>
    <n v="14"/>
    <n v="15"/>
    <s v="-"/>
    <n v="1"/>
    <n v="1"/>
    <n v="2"/>
    <n v="2"/>
    <n v="16"/>
    <n v="17"/>
  </r>
  <r>
    <x v="2"/>
    <x v="63"/>
    <d v="1899-12-30T00:00:00"/>
    <s v="2ND"/>
    <d v="1899-12-30T16:00:00"/>
    <n v="2"/>
    <x v="14"/>
    <n v="6.4000000000000003E-3"/>
    <s v="P"/>
    <s v="P"/>
    <s v="P"/>
    <s v="-"/>
    <s v="-"/>
    <n v="10.61"/>
    <s v="-"/>
    <s v="-"/>
    <s v="-"/>
    <s v="-"/>
    <s v="-"/>
    <s v="-"/>
    <s v="-"/>
    <s v="-"/>
    <s v="P"/>
    <s v="P"/>
    <s v="-"/>
    <n v="2"/>
    <n v="1"/>
    <n v="2"/>
    <n v="0"/>
    <s v="-"/>
    <s v="-"/>
    <s v="-"/>
    <s v="-"/>
    <s v="-"/>
    <s v="-"/>
    <s v="-"/>
    <n v="5"/>
    <n v="6"/>
    <s v="-"/>
    <n v="1"/>
    <n v="1"/>
    <n v="2"/>
    <n v="2"/>
    <n v="7"/>
    <n v="8"/>
  </r>
  <r>
    <x v="2"/>
    <x v="63"/>
    <d v="1899-12-30T00:00:00"/>
    <s v="2ND"/>
    <d v="1899-12-30T18:00:00"/>
    <n v="2"/>
    <x v="14"/>
    <n v="8.3000000000000001E-3"/>
    <s v="P"/>
    <s v="P"/>
    <s v="P"/>
    <s v="-"/>
    <s v="-"/>
    <n v="10.6"/>
    <s v="-"/>
    <s v="-"/>
    <s v="-"/>
    <s v="-"/>
    <s v="-"/>
    <s v="-"/>
    <s v="-"/>
    <n v="25.15"/>
    <s v="P"/>
    <s v="P"/>
    <s v="-"/>
    <n v="2"/>
    <n v="1"/>
    <n v="2"/>
    <n v="0"/>
    <s v="-"/>
    <s v="-"/>
    <s v="-"/>
    <s v="-"/>
    <s v="-"/>
    <s v="-"/>
    <s v="-"/>
    <n v="5"/>
    <n v="6"/>
    <n v="1"/>
    <n v="1"/>
    <n v="1"/>
    <n v="3"/>
    <n v="3"/>
    <n v="8"/>
    <n v="9"/>
  </r>
  <r>
    <x v="2"/>
    <x v="63"/>
    <d v="1899-12-30T00:00:00"/>
    <s v="2ND"/>
    <d v="1899-12-30T20:00:00"/>
    <n v="2"/>
    <x v="14"/>
    <n v="6.4999999999999997E-3"/>
    <s v="P"/>
    <s v="P"/>
    <s v="P"/>
    <s v="-"/>
    <s v="-"/>
    <n v="10.72"/>
    <s v="-"/>
    <s v="-"/>
    <s v="-"/>
    <s v="-"/>
    <s v="-"/>
    <s v="-"/>
    <s v="-"/>
    <s v="-"/>
    <s v="P"/>
    <s v="P"/>
    <s v="-"/>
    <n v="2"/>
    <n v="1"/>
    <n v="2"/>
    <n v="0"/>
    <s v="-"/>
    <s v="-"/>
    <s v="-"/>
    <s v="-"/>
    <s v="-"/>
    <s v="-"/>
    <s v="-"/>
    <n v="5"/>
    <n v="6"/>
    <s v="-"/>
    <n v="1"/>
    <n v="1"/>
    <n v="2"/>
    <n v="2"/>
    <n v="7"/>
    <n v="8"/>
  </r>
  <r>
    <x v="2"/>
    <x v="63"/>
    <d v="2026-03-13T00:00:00"/>
    <s v="1ST"/>
    <s v="06:00"/>
    <n v="3"/>
    <x v="16"/>
    <n v="1.72E-2"/>
    <s v="P"/>
    <s v="P"/>
    <s v="P"/>
    <s v="+"/>
    <s v="+"/>
    <n v="12.22"/>
    <n v="13.23"/>
    <n v="0.55000000000000004"/>
    <n v="64"/>
    <s v="-"/>
    <s v="-"/>
    <n v="37.200000000000003"/>
    <s v="-"/>
    <n v="25.18"/>
    <s v="P"/>
    <s v="P"/>
    <n v="1"/>
    <n v="2"/>
    <n v="1"/>
    <n v="2"/>
    <n v="1"/>
    <n v="1"/>
    <n v="2"/>
    <n v="2"/>
    <s v="-"/>
    <s v="-"/>
    <n v="2"/>
    <s v="-"/>
    <n v="13"/>
    <n v="13"/>
    <n v="1"/>
    <n v="1"/>
    <n v="1"/>
    <n v="3"/>
    <n v="3"/>
    <n v="16"/>
    <n v="16"/>
  </r>
  <r>
    <x v="2"/>
    <x v="63"/>
    <d v="2026-03-13T00:00:00"/>
    <s v="1ST"/>
    <s v="08:00"/>
    <n v="3"/>
    <x v="16"/>
    <n v="1.2500000000000001E-2"/>
    <s v="P"/>
    <s v="P"/>
    <s v="P"/>
    <s v="+"/>
    <s v="+"/>
    <n v="12.28"/>
    <s v="-"/>
    <s v="-"/>
    <s v="-"/>
    <s v="-"/>
    <s v="-"/>
    <s v="-"/>
    <s v="-"/>
    <s v="-"/>
    <s v="P"/>
    <s v="P"/>
    <s v="70% 20% 10%"/>
    <n v="2"/>
    <n v="1"/>
    <n v="2"/>
    <n v="1"/>
    <s v="-"/>
    <s v="-"/>
    <s v="-"/>
    <s v="-"/>
    <s v="-"/>
    <s v="-"/>
    <s v="-"/>
    <n v="6"/>
    <n v="6"/>
    <s v="-"/>
    <n v="1"/>
    <n v="1"/>
    <n v="2"/>
    <n v="2"/>
    <n v="8"/>
    <n v="8"/>
  </r>
  <r>
    <x v="2"/>
    <x v="63"/>
    <s v="-"/>
    <s v="2ND"/>
    <d v="1899-12-30T14:00:00"/>
    <n v="1"/>
    <x v="22"/>
    <n v="8.3999999999999995E-3"/>
    <s v="P"/>
    <s v="P"/>
    <s v="P"/>
    <s v="-"/>
    <s v="-"/>
    <n v="10.31"/>
    <n v="8.7200000000000006"/>
    <n v="0.62"/>
    <n v="55.9"/>
    <n v="5.39"/>
    <n v="547"/>
    <n v="23.65"/>
    <s v="-"/>
    <s v="-"/>
    <s v="P"/>
    <s v="P"/>
    <s v="-"/>
    <n v="2"/>
    <n v="1"/>
    <n v="2"/>
    <n v="0"/>
    <n v="1"/>
    <n v="0"/>
    <n v="2"/>
    <s v="-"/>
    <s v="-"/>
    <n v="2"/>
    <s v="-"/>
    <n v="10"/>
    <n v="13"/>
    <s v="-"/>
    <n v="1"/>
    <n v="1"/>
    <n v="2"/>
    <n v="2"/>
    <n v="12"/>
    <n v="15"/>
  </r>
  <r>
    <x v="2"/>
    <x v="63"/>
    <d v="2026-03-13T00:00:00"/>
    <s v="2ND"/>
    <d v="1899-12-30T16:00:00"/>
    <n v="1"/>
    <x v="22"/>
    <n v="7.4000000000000003E-3"/>
    <s v="P"/>
    <s v="P"/>
    <s v="P"/>
    <s v="-"/>
    <s v="-"/>
    <n v="11.28"/>
    <s v="-"/>
    <s v="-"/>
    <s v="-"/>
    <s v="-"/>
    <s v="-"/>
    <s v="-"/>
    <s v="-"/>
    <s v="-"/>
    <s v="P"/>
    <s v="P"/>
    <s v="-"/>
    <n v="2"/>
    <n v="1"/>
    <n v="2"/>
    <n v="1"/>
    <s v="-"/>
    <s v="-"/>
    <s v="-"/>
    <s v="-"/>
    <s v="-"/>
    <s v="-"/>
    <s v="-"/>
    <n v="6"/>
    <n v="6"/>
    <s v="-"/>
    <n v="1"/>
    <n v="1"/>
    <n v="2"/>
    <n v="2"/>
    <n v="8"/>
    <n v="8"/>
  </r>
  <r>
    <x v="2"/>
    <x v="63"/>
    <d v="2026-03-13T00:00:00"/>
    <s v="2ND"/>
    <d v="1899-12-30T18:00:00"/>
    <n v="1"/>
    <x v="22"/>
    <n v="5.3E-3"/>
    <s v="P"/>
    <s v="P"/>
    <s v="P"/>
    <s v="-"/>
    <s v="-"/>
    <n v="11.08"/>
    <s v="-"/>
    <s v="-"/>
    <s v="-"/>
    <s v="-"/>
    <s v="-"/>
    <s v="-"/>
    <s v="-"/>
    <n v="25.14"/>
    <s v="P"/>
    <s v="P"/>
    <s v="-"/>
    <n v="2"/>
    <n v="1"/>
    <n v="2"/>
    <n v="1"/>
    <s v="-"/>
    <s v="-"/>
    <s v="-"/>
    <s v="-"/>
    <s v="-"/>
    <s v="-"/>
    <s v="-"/>
    <n v="6"/>
    <n v="6"/>
    <n v="1"/>
    <n v="1"/>
    <n v="1"/>
    <n v="3"/>
    <n v="3"/>
    <n v="9"/>
    <n v="9"/>
  </r>
  <r>
    <x v="2"/>
    <x v="63"/>
    <d v="2026-03-13T00:00:00"/>
    <s v="2ND"/>
    <d v="1899-12-30T19:00:00"/>
    <n v="1"/>
    <x v="22"/>
    <n v="6.8999999999999999E-3"/>
    <s v="P"/>
    <s v="P"/>
    <s v="P"/>
    <s v="-"/>
    <s v="-"/>
    <n v="11.01"/>
    <s v="-"/>
    <s v="-"/>
    <s v="-"/>
    <s v="-"/>
    <s v="-"/>
    <s v="-"/>
    <s v="-"/>
    <s v="-"/>
    <s v="P"/>
    <s v="P"/>
    <s v="-"/>
    <n v="2"/>
    <n v="1"/>
    <n v="2"/>
    <n v="1"/>
    <s v="-"/>
    <s v="-"/>
    <s v="-"/>
    <s v="-"/>
    <s v="-"/>
    <s v="-"/>
    <s v="-"/>
    <n v="6"/>
    <n v="6"/>
    <s v="-"/>
    <n v="1"/>
    <n v="1"/>
    <n v="2"/>
    <n v="2"/>
    <n v="8"/>
    <n v="8"/>
  </r>
  <r>
    <x v="2"/>
    <x v="63"/>
    <d v="2026-03-13T00:00:00"/>
    <s v="2ND"/>
    <d v="1899-12-30T20:00:00"/>
    <n v="1"/>
    <x v="22"/>
    <n v="6.8999999999999999E-3"/>
    <s v="P"/>
    <s v="P"/>
    <s v="P"/>
    <s v="-"/>
    <s v="-"/>
    <n v="11.01"/>
    <s v="-"/>
    <s v="-"/>
    <s v="-"/>
    <s v="-"/>
    <s v="-"/>
    <s v="-"/>
    <s v="-"/>
    <s v="-"/>
    <s v="P"/>
    <s v="P"/>
    <s v="-"/>
    <n v="2"/>
    <n v="1"/>
    <n v="2"/>
    <n v="1"/>
    <s v="-"/>
    <s v="-"/>
    <s v="-"/>
    <s v="-"/>
    <s v="-"/>
    <s v="-"/>
    <s v="-"/>
    <n v="6"/>
    <n v="6"/>
    <s v="-"/>
    <n v="1"/>
    <n v="1"/>
    <n v="2"/>
    <n v="2"/>
    <n v="8"/>
    <n v="8"/>
  </r>
  <r>
    <x v="2"/>
    <x v="64"/>
    <d v="2026-03-14T00:00:00"/>
    <s v="3RD"/>
    <d v="1899-12-30T23:00:00"/>
    <n v="3"/>
    <x v="10"/>
    <n v="2.0999999999999999E-3"/>
    <s v="P"/>
    <s v="P"/>
    <s v="P"/>
    <s v="+"/>
    <s v="+"/>
    <n v="12.16"/>
    <n v="12.07"/>
    <n v="0.41"/>
    <n v="63.3"/>
    <s v="-"/>
    <s v="-"/>
    <n v="33.6"/>
    <s v="-"/>
    <n v="25.18"/>
    <s v="P"/>
    <s v="P"/>
    <n v="1"/>
    <n v="2"/>
    <n v="1"/>
    <n v="2"/>
    <n v="1"/>
    <n v="1"/>
    <n v="2"/>
    <n v="2"/>
    <s v="-"/>
    <s v="-"/>
    <n v="2"/>
    <s v="-"/>
    <n v="13"/>
    <n v="13"/>
    <n v="1"/>
    <n v="1"/>
    <n v="1"/>
    <n v="3"/>
    <n v="3"/>
    <n v="16"/>
    <n v="16"/>
  </r>
  <r>
    <x v="2"/>
    <x v="64"/>
    <d v="2026-03-14T00:00:00"/>
    <s v="3RD"/>
    <d v="1899-12-31T00:00:00"/>
    <n v="3"/>
    <x v="10"/>
    <n v="5.7999999999999996E-3"/>
    <s v="P"/>
    <s v="P"/>
    <s v="P"/>
    <s v="+"/>
    <s v="+"/>
    <n v="11.97"/>
    <s v="-"/>
    <s v="-"/>
    <s v="-"/>
    <s v="-"/>
    <s v="-"/>
    <s v="-"/>
    <s v="-"/>
    <s v="-"/>
    <s v="P"/>
    <s v="P"/>
    <s v="-"/>
    <n v="2"/>
    <n v="1"/>
    <n v="2"/>
    <n v="0"/>
    <s v="-"/>
    <s v="-"/>
    <s v="-"/>
    <s v="-"/>
    <s v="-"/>
    <s v="-"/>
    <s v="-"/>
    <n v="5"/>
    <n v="6"/>
    <s v="-"/>
    <n v="1"/>
    <n v="1"/>
    <n v="2"/>
    <n v="2"/>
    <n v="7"/>
    <n v="8"/>
  </r>
  <r>
    <x v="2"/>
    <x v="64"/>
    <d v="2026-03-19T00:00:00"/>
    <s v="3RD"/>
    <d v="1899-12-31T02:00:00"/>
    <n v="3"/>
    <x v="1"/>
    <n v="4.1999999999999997E-3"/>
    <s v="P"/>
    <s v="P"/>
    <s v="P"/>
    <s v="+"/>
    <s v="+"/>
    <n v="12.64"/>
    <n v="12.89"/>
    <n v="0.57999999999999996"/>
    <n v="64.099999999999994"/>
    <s v="-"/>
    <s v="-"/>
    <n v="36.1"/>
    <s v="-"/>
    <s v="-"/>
    <s v="P"/>
    <s v="P"/>
    <s v="85% 15%"/>
    <n v="2"/>
    <n v="1"/>
    <n v="2"/>
    <n v="1"/>
    <n v="1"/>
    <n v="2"/>
    <n v="2"/>
    <s v="-"/>
    <s v="-"/>
    <n v="2"/>
    <s v="-"/>
    <n v="13"/>
    <n v="13"/>
    <s v="-"/>
    <n v="1"/>
    <n v="1"/>
    <n v="2"/>
    <n v="2"/>
    <n v="15"/>
    <n v="15"/>
  </r>
  <r>
    <x v="2"/>
    <x v="64"/>
    <d v="2026-03-19T00:00:00"/>
    <s v="3RD"/>
    <d v="1899-12-31T03:00:00"/>
    <n v="3"/>
    <x v="1"/>
    <n v="4.4000000000000003E-3"/>
    <s v="P"/>
    <s v="P"/>
    <s v="P"/>
    <s v="+"/>
    <s v="+"/>
    <n v="12.65"/>
    <s v="-"/>
    <s v="-"/>
    <s v="-"/>
    <s v="-"/>
    <s v="-"/>
    <s v="-"/>
    <s v="-"/>
    <s v="-"/>
    <s v="P"/>
    <s v="P"/>
    <s v="-"/>
    <n v="2"/>
    <n v="1"/>
    <n v="2"/>
    <n v="1"/>
    <s v="-"/>
    <s v="-"/>
    <s v="-"/>
    <s v="-"/>
    <s v="-"/>
    <s v="-"/>
    <s v="-"/>
    <n v="6"/>
    <n v="6"/>
    <s v="-"/>
    <n v="1"/>
    <n v="1"/>
    <n v="2"/>
    <n v="2"/>
    <n v="8"/>
    <n v="8"/>
  </r>
  <r>
    <x v="2"/>
    <x v="64"/>
    <d v="2026-03-19T00:00:00"/>
    <s v="3RD"/>
    <d v="1899-12-31T04:00:00"/>
    <n v="3"/>
    <x v="1"/>
    <n v="9.1999999999999998E-3"/>
    <s v="P"/>
    <s v="P"/>
    <s v="P"/>
    <s v="+"/>
    <s v="+"/>
    <n v="12.98"/>
    <s v="-"/>
    <s v="-"/>
    <s v="-"/>
    <s v="-"/>
    <s v="-"/>
    <s v="-"/>
    <s v="-"/>
    <s v="-"/>
    <s v="P"/>
    <s v="P"/>
    <s v="-"/>
    <n v="2"/>
    <n v="1"/>
    <n v="2"/>
    <n v="1"/>
    <s v="-"/>
    <s v="-"/>
    <s v="-"/>
    <s v="-"/>
    <s v="-"/>
    <s v="-"/>
    <s v="-"/>
    <n v="6"/>
    <n v="6"/>
    <s v="-"/>
    <n v="1"/>
    <n v="1"/>
    <n v="2"/>
    <n v="2"/>
    <n v="8"/>
    <n v="8"/>
  </r>
  <r>
    <x v="2"/>
    <x v="64"/>
    <d v="1902-03-26T00:00:00"/>
    <s v="3RD"/>
    <d v="1899-12-30T22:00:00"/>
    <n v="2"/>
    <x v="14"/>
    <n v="5.7000000000000002E-3"/>
    <s v="P"/>
    <s v="P"/>
    <s v="P"/>
    <s v="-"/>
    <s v="+"/>
    <n v="10.7"/>
    <n v="8.56"/>
    <n v="0.67"/>
    <n v="58.6"/>
    <s v="-"/>
    <s v="-"/>
    <n v="23.07"/>
    <s v="-"/>
    <n v="25.15"/>
    <s v="P"/>
    <s v="P"/>
    <s v="-"/>
    <n v="2"/>
    <n v="1"/>
    <n v="2"/>
    <n v="0"/>
    <n v="1"/>
    <n v="0"/>
    <n v="2"/>
    <s v="-"/>
    <s v="-"/>
    <n v="2"/>
    <s v="-"/>
    <n v="10"/>
    <n v="13"/>
    <n v="1"/>
    <n v="1"/>
    <n v="1"/>
    <n v="3"/>
    <n v="3"/>
    <n v="13"/>
    <n v="16"/>
  </r>
  <r>
    <x v="2"/>
    <x v="64"/>
    <d v="1899-12-30T00:00:00"/>
    <s v="3RD"/>
    <d v="1899-12-30T23:00:00"/>
    <n v="2"/>
    <x v="14"/>
    <n v="4.8999999999999998E-3"/>
    <s v="P"/>
    <s v="P"/>
    <s v="P"/>
    <s v="-"/>
    <s v="+"/>
    <n v="10.61"/>
    <s v="-"/>
    <s v="-"/>
    <s v="-"/>
    <s v="-"/>
    <s v="-"/>
    <s v="-"/>
    <s v="-"/>
    <s v="-"/>
    <s v="P"/>
    <s v="P"/>
    <s v="-"/>
    <n v="2"/>
    <n v="1"/>
    <n v="2"/>
    <n v="0"/>
    <s v="-"/>
    <s v="-"/>
    <s v="-"/>
    <s v="-"/>
    <s v="-"/>
    <s v="-"/>
    <s v="-"/>
    <n v="5"/>
    <n v="6"/>
    <s v="-"/>
    <n v="1"/>
    <n v="1"/>
    <n v="2"/>
    <n v="2"/>
    <n v="7"/>
    <n v="8"/>
  </r>
  <r>
    <x v="2"/>
    <x v="64"/>
    <d v="1899-12-30T00:00:00"/>
    <s v="3RD"/>
    <d v="1899-12-31T00:00:00"/>
    <n v="2"/>
    <x v="14"/>
    <n v="6.1999999999999998E-3"/>
    <s v="P"/>
    <s v="P"/>
    <s v="P"/>
    <s v="-"/>
    <s v="+"/>
    <n v="10.51"/>
    <s v="-"/>
    <s v="-"/>
    <s v="-"/>
    <s v="-"/>
    <s v="-"/>
    <s v="-"/>
    <s v="-"/>
    <s v="-"/>
    <s v="P"/>
    <s v="P"/>
    <s v="-"/>
    <n v="2"/>
    <n v="1"/>
    <n v="2"/>
    <n v="0"/>
    <s v="-"/>
    <s v="-"/>
    <s v="-"/>
    <s v="-"/>
    <s v="-"/>
    <s v="-"/>
    <s v="-"/>
    <n v="5"/>
    <n v="6"/>
    <s v="-"/>
    <n v="1"/>
    <n v="1"/>
    <n v="2"/>
    <n v="2"/>
    <n v="7"/>
    <n v="8"/>
  </r>
  <r>
    <x v="2"/>
    <x v="64"/>
    <d v="1899-12-30T00:00:00"/>
    <s v="3RD"/>
    <d v="1899-12-31T01:00:00"/>
    <n v="2"/>
    <x v="14"/>
    <n v="5.8999999999999999E-3"/>
    <s v="P"/>
    <s v="P"/>
    <s v="P"/>
    <s v="-"/>
    <s v="+"/>
    <n v="10.35"/>
    <s v="-"/>
    <s v="-"/>
    <s v="-"/>
    <s v="-"/>
    <s v="-"/>
    <s v="-"/>
    <s v="-"/>
    <s v="-"/>
    <s v="P"/>
    <s v="P"/>
    <s v="-"/>
    <n v="2"/>
    <n v="1"/>
    <n v="2"/>
    <n v="0"/>
    <s v="-"/>
    <s v="-"/>
    <s v="-"/>
    <s v="-"/>
    <s v="-"/>
    <s v="-"/>
    <s v="-"/>
    <n v="5"/>
    <n v="6"/>
    <s v="-"/>
    <n v="1"/>
    <n v="1"/>
    <n v="2"/>
    <n v="2"/>
    <n v="7"/>
    <n v="8"/>
  </r>
  <r>
    <x v="2"/>
    <x v="64"/>
    <d v="1899-12-30T00:00:00"/>
    <s v="3RD"/>
    <d v="1899-12-31T03:00:00"/>
    <n v="2"/>
    <x v="14"/>
    <n v="7.1999999999999998E-3"/>
    <s v="P"/>
    <s v="P"/>
    <s v="P"/>
    <s v="-"/>
    <s v="+"/>
    <n v="10.54"/>
    <s v="-"/>
    <s v="-"/>
    <s v="-"/>
    <s v="-"/>
    <s v="-"/>
    <s v="-"/>
    <s v="-"/>
    <s v="-"/>
    <s v="P"/>
    <s v="P"/>
    <s v="-"/>
    <n v="2"/>
    <n v="1"/>
    <n v="2"/>
    <n v="0"/>
    <s v="-"/>
    <s v="-"/>
    <s v="-"/>
    <s v="-"/>
    <s v="-"/>
    <s v="-"/>
    <s v="-"/>
    <n v="5"/>
    <n v="6"/>
    <s v="-"/>
    <n v="1"/>
    <n v="1"/>
    <n v="2"/>
    <n v="2"/>
    <n v="7"/>
    <n v="8"/>
  </r>
  <r>
    <x v="2"/>
    <x v="64"/>
    <d v="1899-12-30T00:00:00"/>
    <s v="3RD"/>
    <d v="1899-12-31T04:00:00"/>
    <n v="2"/>
    <x v="14"/>
    <n v="7.0000000000000001E-3"/>
    <s v="P"/>
    <s v="P"/>
    <s v="P"/>
    <s v="-"/>
    <s v="+"/>
    <n v="10.8"/>
    <s v="-"/>
    <s v="-"/>
    <s v="-"/>
    <s v="-"/>
    <s v="-"/>
    <s v="-"/>
    <s v="-"/>
    <s v="-"/>
    <s v="P"/>
    <s v="P"/>
    <s v="-"/>
    <n v="2"/>
    <n v="1"/>
    <n v="2"/>
    <n v="0"/>
    <s v="-"/>
    <s v="-"/>
    <s v="-"/>
    <s v="-"/>
    <s v="-"/>
    <s v="-"/>
    <s v="-"/>
    <n v="5"/>
    <n v="6"/>
    <s v="-"/>
    <n v="1"/>
    <n v="1"/>
    <n v="2"/>
    <n v="2"/>
    <n v="7"/>
    <n v="8"/>
  </r>
  <r>
    <x v="2"/>
    <x v="64"/>
    <s v="-"/>
    <s v="3RD"/>
    <d v="1899-12-30T22:00:00"/>
    <n v="1"/>
    <x v="22"/>
    <n v="3.5000000000000001E-3"/>
    <s v="P"/>
    <s v="P"/>
    <s v="P"/>
    <s v="-"/>
    <s v="-"/>
    <n v="11.24"/>
    <n v="11.73"/>
    <n v="0.62"/>
    <s v="-"/>
    <s v="-"/>
    <s v="-"/>
    <n v="23.07"/>
    <s v="-"/>
    <n v="25.14"/>
    <s v="P"/>
    <s v="P"/>
    <n v="1"/>
    <n v="2"/>
    <n v="1"/>
    <n v="2"/>
    <n v="1"/>
    <n v="0"/>
    <n v="0"/>
    <s v="-"/>
    <s v="-"/>
    <s v="-"/>
    <n v="2"/>
    <s v="-"/>
    <n v="8"/>
    <n v="11"/>
    <n v="1"/>
    <n v="1"/>
    <n v="1"/>
    <n v="3"/>
    <n v="3"/>
    <n v="11"/>
    <n v="14"/>
  </r>
  <r>
    <x v="2"/>
    <x v="64"/>
    <d v="2026-03-13T00:00:00"/>
    <s v="3RD"/>
    <d v="1899-12-30T23:00:00"/>
    <n v="1"/>
    <x v="22"/>
    <n v="3.8E-3"/>
    <s v="P"/>
    <s v="P"/>
    <s v="P"/>
    <s v="-"/>
    <s v="-"/>
    <n v="11.31"/>
    <s v="-"/>
    <s v="-"/>
    <s v="-"/>
    <s v="-"/>
    <s v="-"/>
    <s v="-"/>
    <s v="-"/>
    <s v="-"/>
    <s v="P"/>
    <s v="P"/>
    <s v="-"/>
    <n v="2"/>
    <n v="1"/>
    <n v="2"/>
    <n v="1"/>
    <s v="-"/>
    <s v="-"/>
    <s v="-"/>
    <s v="-"/>
    <s v="-"/>
    <s v="-"/>
    <s v="-"/>
    <n v="6"/>
    <n v="6"/>
    <s v="-"/>
    <n v="1"/>
    <n v="1"/>
    <n v="2"/>
    <n v="2"/>
    <n v="8"/>
    <n v="8"/>
  </r>
  <r>
    <x v="2"/>
    <x v="64"/>
    <d v="2026-03-16T00:00:00"/>
    <s v="3RD"/>
    <d v="1899-12-31T00:00:00"/>
    <n v="1"/>
    <x v="22"/>
    <n v="1.32E-2"/>
    <s v="P"/>
    <s v="P"/>
    <s v="P"/>
    <s v="-"/>
    <s v="-"/>
    <n v="11.06"/>
    <n v="8.48"/>
    <n v="0.56999999999999995"/>
    <n v="54.8"/>
    <s v="-"/>
    <s v="-"/>
    <n v="22.85"/>
    <s v="-"/>
    <s v="-"/>
    <s v="P"/>
    <s v="P"/>
    <s v="-"/>
    <n v="2"/>
    <n v="1"/>
    <n v="2"/>
    <n v="1"/>
    <n v="0"/>
    <n v="2"/>
    <n v="2"/>
    <s v="-"/>
    <s v="-"/>
    <n v="2"/>
    <s v="-"/>
    <n v="12"/>
    <n v="13"/>
    <s v="-"/>
    <n v="1"/>
    <n v="1"/>
    <n v="2"/>
    <n v="2"/>
    <n v="14"/>
    <n v="15"/>
  </r>
  <r>
    <x v="2"/>
    <x v="64"/>
    <d v="2026-03-16T00:00:00"/>
    <s v="3RD"/>
    <d v="1899-12-31T01:00:00"/>
    <n v="1"/>
    <x v="22"/>
    <n v="1.2500000000000001E-2"/>
    <s v="P"/>
    <s v="P"/>
    <s v="P"/>
    <s v="-"/>
    <s v="-"/>
    <n v="11.34"/>
    <s v="-"/>
    <s v="-"/>
    <s v="-"/>
    <s v="-"/>
    <s v="-"/>
    <s v="-"/>
    <s v="-"/>
    <s v="-"/>
    <s v="P"/>
    <s v="P"/>
    <s v="-"/>
    <n v="2"/>
    <n v="1"/>
    <n v="2"/>
    <n v="1"/>
    <s v="-"/>
    <s v="-"/>
    <s v="-"/>
    <s v="-"/>
    <s v="-"/>
    <s v="-"/>
    <s v="-"/>
    <n v="6"/>
    <n v="6"/>
    <s v="-"/>
    <n v="1"/>
    <n v="1"/>
    <n v="2"/>
    <n v="2"/>
    <n v="8"/>
    <n v="8"/>
  </r>
  <r>
    <x v="2"/>
    <x v="64"/>
    <d v="2026-03-16T00:00:00"/>
    <s v="3RD"/>
    <d v="1899-12-31T03:00:00"/>
    <n v="1"/>
    <x v="22"/>
    <n v="1.3299999999999999E-2"/>
    <s v="P"/>
    <s v="P"/>
    <s v="P"/>
    <s v="-"/>
    <s v="-"/>
    <n v="11.42"/>
    <s v="-"/>
    <s v="-"/>
    <s v="-"/>
    <s v="-"/>
    <s v="-"/>
    <s v="-"/>
    <s v="-"/>
    <s v="-"/>
    <s v="P"/>
    <s v="P"/>
    <s v="-"/>
    <n v="2"/>
    <n v="1"/>
    <n v="2"/>
    <n v="1"/>
    <s v="-"/>
    <s v="-"/>
    <s v="-"/>
    <s v="-"/>
    <s v="-"/>
    <s v="-"/>
    <s v="-"/>
    <n v="6"/>
    <n v="6"/>
    <s v="-"/>
    <n v="1"/>
    <n v="1"/>
    <n v="2"/>
    <n v="2"/>
    <n v="8"/>
    <n v="8"/>
  </r>
  <r>
    <x v="2"/>
    <x v="64"/>
    <d v="2026-03-16T00:00:00"/>
    <s v="3RD"/>
    <d v="1899-12-31T04:00:00"/>
    <n v="1"/>
    <x v="22"/>
    <n v="1.4200000000000001E-2"/>
    <s v="P"/>
    <s v="P"/>
    <s v="P"/>
    <s v="-"/>
    <s v="-"/>
    <n v="11.43"/>
    <s v="-"/>
    <s v="-"/>
    <s v="-"/>
    <s v="-"/>
    <s v="-"/>
    <s v="-"/>
    <s v="-"/>
    <s v="-"/>
    <s v="P"/>
    <s v="P"/>
    <s v="-"/>
    <n v="2"/>
    <n v="1"/>
    <n v="2"/>
    <n v="1"/>
    <s v="-"/>
    <s v="-"/>
    <s v="-"/>
    <s v="-"/>
    <s v="-"/>
    <s v="-"/>
    <s v="-"/>
    <n v="6"/>
    <n v="6"/>
    <s v="-"/>
    <n v="1"/>
    <n v="1"/>
    <n v="2"/>
    <n v="2"/>
    <n v="8"/>
    <n v="8"/>
  </r>
  <r>
    <x v="2"/>
    <x v="65"/>
    <d v="1899-12-30T00:00:00"/>
    <s v="1ST"/>
    <s v="11:00"/>
    <n v="2"/>
    <x v="2"/>
    <n v="7.4999999999999997E-3"/>
    <s v="P"/>
    <s v="P"/>
    <s v="P"/>
    <s v="-"/>
    <s v="+"/>
    <n v="10.24"/>
    <n v="9.06"/>
    <n v="0.63"/>
    <n v="56.7"/>
    <s v="-"/>
    <s v="-"/>
    <n v="24.7"/>
    <s v="-"/>
    <s v="-"/>
    <s v="P"/>
    <s v="P"/>
    <s v="-"/>
    <n v="2"/>
    <n v="1"/>
    <n v="2"/>
    <n v="0"/>
    <n v="0"/>
    <n v="0"/>
    <n v="0"/>
    <s v="-"/>
    <s v="-"/>
    <n v="0"/>
    <s v="-"/>
    <n v="5"/>
    <n v="13"/>
    <s v="-"/>
    <n v="1"/>
    <n v="1"/>
    <n v="2"/>
    <n v="2"/>
    <n v="7"/>
    <n v="15"/>
  </r>
  <r>
    <x v="2"/>
    <x v="65"/>
    <d v="1899-12-30T00:00:00"/>
    <s v="1ST"/>
    <s v="12:00"/>
    <n v="2"/>
    <x v="2"/>
    <n v="1.34E-2"/>
    <s v="P"/>
    <s v="P"/>
    <s v="P"/>
    <s v="-"/>
    <s v="+"/>
    <n v="10.82"/>
    <s v="-"/>
    <s v="-"/>
    <s v="-"/>
    <s v="-"/>
    <s v="-"/>
    <s v="-"/>
    <s v="-"/>
    <s v="-"/>
    <s v="P"/>
    <s v="P"/>
    <s v="-"/>
    <n v="2"/>
    <n v="1"/>
    <n v="2"/>
    <n v="0"/>
    <s v="-"/>
    <s v="-"/>
    <s v="-"/>
    <s v="-"/>
    <s v="-"/>
    <s v="-"/>
    <s v="-"/>
    <n v="5"/>
    <n v="6"/>
    <s v="-"/>
    <n v="1"/>
    <n v="1"/>
    <n v="2"/>
    <n v="2"/>
    <n v="7"/>
    <n v="8"/>
  </r>
  <r>
    <x v="2"/>
    <x v="65"/>
    <d v="1902-03-26T00:00:00"/>
    <s v="3RD"/>
    <d v="1899-12-30T23:00:00"/>
    <n v="2"/>
    <x v="2"/>
    <n v="1.34E-2"/>
    <s v="P"/>
    <s v="P"/>
    <s v="P"/>
    <s v="-"/>
    <s v="+"/>
    <n v="11.08"/>
    <n v="9"/>
    <n v="0.63"/>
    <s v="-"/>
    <s v="-"/>
    <s v="-"/>
    <n v="24.33"/>
    <s v="-"/>
    <n v="25.15"/>
    <s v="P"/>
    <s v="P"/>
    <s v="-"/>
    <n v="2"/>
    <n v="1"/>
    <n v="2"/>
    <n v="0"/>
    <n v="0"/>
    <n v="0"/>
    <s v="-"/>
    <s v="-"/>
    <s v="-"/>
    <n v="0"/>
    <s v="-"/>
    <n v="5"/>
    <n v="11"/>
    <n v="1"/>
    <n v="1"/>
    <n v="1"/>
    <n v="3"/>
    <n v="3"/>
    <n v="8"/>
    <n v="14"/>
  </r>
  <r>
    <x v="2"/>
    <x v="65"/>
    <d v="1899-12-30T00:00:00"/>
    <s v="3RD"/>
    <d v="1899-12-31T00:00:00"/>
    <n v="2"/>
    <x v="2"/>
    <n v="1.3899999999999999E-2"/>
    <s v="P"/>
    <s v="P"/>
    <s v="P"/>
    <s v="-"/>
    <s v="+"/>
    <n v="11.1"/>
    <s v="-"/>
    <s v="-"/>
    <s v="-"/>
    <s v="-"/>
    <s v="-"/>
    <s v="-"/>
    <s v="-"/>
    <s v="-"/>
    <s v="P"/>
    <s v="P"/>
    <s v="-"/>
    <n v="2"/>
    <n v="1"/>
    <n v="2"/>
    <n v="0"/>
    <s v="-"/>
    <s v="-"/>
    <s v="-"/>
    <s v="-"/>
    <s v="-"/>
    <s v="-"/>
    <s v="-"/>
    <n v="5"/>
    <n v="6"/>
    <s v="-"/>
    <n v="1"/>
    <n v="1"/>
    <n v="2"/>
    <n v="2"/>
    <n v="7"/>
    <n v="8"/>
  </r>
  <r>
    <x v="2"/>
    <x v="65"/>
    <d v="1899-12-30T00:00:00"/>
    <s v="3RD"/>
    <d v="1899-12-31T02:00:00"/>
    <n v="2"/>
    <x v="2"/>
    <n v="5.1999999999999998E-3"/>
    <s v="P"/>
    <s v="P"/>
    <s v="P"/>
    <s v="-"/>
    <s v="+"/>
    <n v="11.02"/>
    <s v="-"/>
    <s v="-"/>
    <s v="-"/>
    <s v="-"/>
    <s v="-"/>
    <s v="-"/>
    <s v="-"/>
    <s v="-"/>
    <s v="P"/>
    <s v="P"/>
    <s v="-"/>
    <n v="2"/>
    <n v="1"/>
    <n v="2"/>
    <n v="0"/>
    <s v="-"/>
    <s v="-"/>
    <s v="-"/>
    <s v="-"/>
    <s v="-"/>
    <s v="-"/>
    <s v="-"/>
    <n v="5"/>
    <n v="6"/>
    <s v="-"/>
    <n v="1"/>
    <n v="1"/>
    <n v="2"/>
    <n v="2"/>
    <n v="7"/>
    <n v="8"/>
  </r>
  <r>
    <x v="2"/>
    <x v="65"/>
    <d v="1899-12-30T00:00:00"/>
    <s v="3RD"/>
    <d v="1899-12-31T03:00:00"/>
    <n v="2"/>
    <x v="2"/>
    <n v="1.1299999999999999E-2"/>
    <s v="P"/>
    <s v="P"/>
    <s v="P"/>
    <s v="-"/>
    <s v="+"/>
    <n v="10.99"/>
    <s v="-"/>
    <s v="-"/>
    <s v="-"/>
    <s v="-"/>
    <s v="-"/>
    <s v="-"/>
    <s v="-"/>
    <s v="-"/>
    <s v="P"/>
    <s v="P"/>
    <s v="-"/>
    <n v="2"/>
    <n v="1"/>
    <n v="2"/>
    <n v="0"/>
    <s v="-"/>
    <s v="-"/>
    <s v="-"/>
    <s v="-"/>
    <s v="-"/>
    <s v="-"/>
    <s v="-"/>
    <n v="5"/>
    <n v="6"/>
    <s v="-"/>
    <n v="1"/>
    <n v="1"/>
    <n v="2"/>
    <n v="2"/>
    <n v="7"/>
    <n v="8"/>
  </r>
  <r>
    <x v="2"/>
    <x v="65"/>
    <d v="1899-12-30T00:00:00"/>
    <s v="3RD"/>
    <d v="1899-12-31T04:00:00"/>
    <n v="2"/>
    <x v="2"/>
    <n v="7.4000000000000003E-3"/>
    <s v="P"/>
    <s v="P"/>
    <s v="P"/>
    <s v="-"/>
    <s v="+"/>
    <n v="11.01"/>
    <s v="-"/>
    <s v="-"/>
    <s v="-"/>
    <s v="-"/>
    <s v="-"/>
    <s v="-"/>
    <s v="-"/>
    <s v="-"/>
    <s v="P"/>
    <s v="P"/>
    <s v="-"/>
    <n v="2"/>
    <n v="1"/>
    <n v="2"/>
    <n v="0"/>
    <s v="-"/>
    <s v="-"/>
    <s v="-"/>
    <s v="-"/>
    <s v="-"/>
    <s v="-"/>
    <s v="-"/>
    <n v="5"/>
    <n v="6"/>
    <s v="-"/>
    <n v="1"/>
    <n v="1"/>
    <n v="2"/>
    <n v="2"/>
    <n v="7"/>
    <n v="8"/>
  </r>
  <r>
    <x v="2"/>
    <x v="65"/>
    <d v="1902-03-26T00:00:00"/>
    <s v="3RD"/>
    <d v="1899-12-30T23:00:00"/>
    <n v="2"/>
    <x v="2"/>
    <n v="1.34E-2"/>
    <s v="P"/>
    <s v="P"/>
    <s v="P"/>
    <s v="-"/>
    <s v="+"/>
    <n v="11.08"/>
    <n v="9"/>
    <n v="0.63"/>
    <s v="-"/>
    <s v="-"/>
    <s v="-"/>
    <n v="24.33"/>
    <s v="-"/>
    <n v="25.15"/>
    <s v="P"/>
    <s v="P"/>
    <s v="-"/>
    <n v="2"/>
    <n v="1"/>
    <n v="2"/>
    <n v="0"/>
    <n v="0"/>
    <n v="0"/>
    <s v="-"/>
    <s v="-"/>
    <s v="-"/>
    <n v="0"/>
    <s v="-"/>
    <n v="5"/>
    <n v="11"/>
    <n v="1"/>
    <n v="1"/>
    <n v="1"/>
    <n v="3"/>
    <n v="3"/>
    <n v="8"/>
    <n v="14"/>
  </r>
  <r>
    <x v="2"/>
    <x v="65"/>
    <d v="1899-12-30T00:00:00"/>
    <s v="3RD"/>
    <d v="1899-12-31T00:00:00"/>
    <n v="2"/>
    <x v="2"/>
    <n v="1.3899999999999999E-2"/>
    <s v="P"/>
    <s v="P"/>
    <s v="P"/>
    <s v="-"/>
    <s v="+"/>
    <n v="11.1"/>
    <s v="-"/>
    <s v="-"/>
    <s v="-"/>
    <s v="-"/>
    <s v="-"/>
    <s v="-"/>
    <s v="-"/>
    <s v="-"/>
    <s v="P"/>
    <s v="P"/>
    <s v="-"/>
    <n v="2"/>
    <n v="1"/>
    <n v="2"/>
    <n v="0"/>
    <s v="-"/>
    <s v="-"/>
    <s v="-"/>
    <s v="-"/>
    <s v="-"/>
    <s v="-"/>
    <s v="-"/>
    <n v="5"/>
    <n v="6"/>
    <s v="-"/>
    <n v="1"/>
    <n v="1"/>
    <n v="2"/>
    <n v="2"/>
    <n v="7"/>
    <n v="8"/>
  </r>
  <r>
    <x v="2"/>
    <x v="65"/>
    <d v="1899-12-30T00:00:00"/>
    <s v="3RD"/>
    <d v="1899-12-31T02:00:00"/>
    <n v="2"/>
    <x v="2"/>
    <n v="5.1999999999999998E-3"/>
    <s v="P"/>
    <s v="P"/>
    <s v="P"/>
    <s v="-"/>
    <s v="+"/>
    <n v="11.02"/>
    <s v="-"/>
    <s v="-"/>
    <s v="-"/>
    <s v="-"/>
    <s v="-"/>
    <s v="-"/>
    <s v="-"/>
    <s v="-"/>
    <s v="P"/>
    <s v="P"/>
    <s v="-"/>
    <n v="2"/>
    <n v="1"/>
    <n v="2"/>
    <n v="0"/>
    <s v="-"/>
    <s v="-"/>
    <s v="-"/>
    <s v="-"/>
    <s v="-"/>
    <s v="-"/>
    <s v="-"/>
    <n v="5"/>
    <n v="6"/>
    <s v="-"/>
    <n v="1"/>
    <n v="1"/>
    <n v="2"/>
    <n v="2"/>
    <n v="7"/>
    <n v="8"/>
  </r>
  <r>
    <x v="2"/>
    <x v="65"/>
    <d v="1899-12-30T00:00:00"/>
    <s v="3RD"/>
    <d v="1899-12-31T03:00:00"/>
    <n v="2"/>
    <x v="2"/>
    <n v="1.1299999999999999E-2"/>
    <s v="P"/>
    <s v="P"/>
    <s v="P"/>
    <s v="-"/>
    <s v="+"/>
    <n v="10.99"/>
    <s v="-"/>
    <s v="-"/>
    <s v="-"/>
    <s v="-"/>
    <s v="-"/>
    <s v="-"/>
    <s v="-"/>
    <s v="-"/>
    <s v="P"/>
    <s v="P"/>
    <s v="-"/>
    <n v="2"/>
    <n v="1"/>
    <n v="2"/>
    <n v="0"/>
    <s v="-"/>
    <s v="-"/>
    <s v="-"/>
    <s v="-"/>
    <s v="-"/>
    <s v="-"/>
    <s v="-"/>
    <n v="5"/>
    <n v="6"/>
    <s v="-"/>
    <n v="1"/>
    <n v="1"/>
    <n v="2"/>
    <n v="2"/>
    <n v="7"/>
    <n v="8"/>
  </r>
  <r>
    <x v="2"/>
    <x v="65"/>
    <d v="1899-12-30T00:00:00"/>
    <s v="3RD"/>
    <d v="1899-12-31T04:00:00"/>
    <n v="2"/>
    <x v="2"/>
    <n v="7.4000000000000003E-3"/>
    <s v="P"/>
    <s v="P"/>
    <s v="P"/>
    <s v="-"/>
    <s v="+"/>
    <n v="11.01"/>
    <s v="-"/>
    <s v="-"/>
    <s v="-"/>
    <s v="-"/>
    <s v="-"/>
    <s v="-"/>
    <s v="-"/>
    <s v="-"/>
    <s v="P"/>
    <s v="P"/>
    <s v="-"/>
    <n v="2"/>
    <n v="1"/>
    <n v="2"/>
    <n v="0"/>
    <s v="-"/>
    <s v="-"/>
    <s v="-"/>
    <s v="-"/>
    <s v="-"/>
    <s v="-"/>
    <s v="-"/>
    <n v="5"/>
    <n v="6"/>
    <s v="-"/>
    <n v="1"/>
    <n v="1"/>
    <n v="2"/>
    <n v="2"/>
    <n v="7"/>
    <n v="8"/>
  </r>
  <r>
    <x v="2"/>
    <x v="65"/>
    <d v="2026-03-19T00:00:00"/>
    <s v="1ST"/>
    <s v="12:00"/>
    <s v="Retail"/>
    <x v="19"/>
    <s v="-"/>
    <s v="P"/>
    <s v="P"/>
    <s v="P"/>
    <s v="-"/>
    <s v="-"/>
    <n v="13.12"/>
    <n v="14.31"/>
    <n v="1.5"/>
    <n v="71.3"/>
    <n v="16.600000000000001"/>
    <n v="297"/>
    <n v="40.36"/>
    <s v="-"/>
    <s v="-"/>
    <s v="-"/>
    <s v="-"/>
    <s v="-"/>
    <s v="-"/>
    <n v="1"/>
    <n v="2"/>
    <n v="1"/>
    <n v="1"/>
    <n v="0"/>
    <n v="2"/>
    <n v="1"/>
    <n v="0"/>
    <n v="2"/>
    <s v="-"/>
    <n v="10"/>
    <n v="13"/>
    <s v="-"/>
    <s v="-"/>
    <s v="-"/>
    <n v="0"/>
    <n v="0"/>
    <n v="10"/>
    <n v="13"/>
  </r>
  <r>
    <x v="2"/>
    <x v="65"/>
    <d v="1902-03-26T00:00:00"/>
    <s v="1ST"/>
    <s v="06:00"/>
    <n v="2"/>
    <x v="14"/>
    <n v="4.8999999999999998E-3"/>
    <s v="P"/>
    <s v="P"/>
    <s v="P"/>
    <s v="-"/>
    <s v="+"/>
    <n v="10.55"/>
    <n v="9.5"/>
    <n v="0.6"/>
    <n v="58.5"/>
    <s v="-"/>
    <s v="-"/>
    <n v="26.1"/>
    <s v="-"/>
    <s v="-"/>
    <s v="P"/>
    <s v="P"/>
    <s v="-"/>
    <n v="2"/>
    <n v="1"/>
    <n v="2"/>
    <n v="0"/>
    <n v="1"/>
    <n v="2"/>
    <n v="2"/>
    <s v="-"/>
    <s v="-"/>
    <n v="0"/>
    <s v="-"/>
    <n v="10"/>
    <n v="13"/>
    <s v="-"/>
    <n v="1"/>
    <n v="1"/>
    <n v="2"/>
    <n v="2"/>
    <n v="12"/>
    <n v="15"/>
  </r>
  <r>
    <x v="2"/>
    <x v="65"/>
    <d v="1899-12-30T00:00:00"/>
    <s v="1ST"/>
    <s v="07:00"/>
    <n v="2"/>
    <x v="14"/>
    <n v="5.1999999999999998E-3"/>
    <s v="P"/>
    <s v="P"/>
    <s v="P"/>
    <s v="-"/>
    <s v="+"/>
    <n v="10.58"/>
    <s v="-"/>
    <s v="-"/>
    <s v="-"/>
    <s v="-"/>
    <s v="-"/>
    <s v="-"/>
    <s v="-"/>
    <s v="-"/>
    <s v="P"/>
    <s v="P"/>
    <s v="-"/>
    <n v="2"/>
    <n v="1"/>
    <n v="2"/>
    <n v="0"/>
    <s v="-"/>
    <s v="-"/>
    <s v="-"/>
    <s v="-"/>
    <s v="-"/>
    <s v="-"/>
    <s v="-"/>
    <n v="5"/>
    <n v="6"/>
    <s v="-"/>
    <n v="1"/>
    <n v="1"/>
    <n v="2"/>
    <n v="2"/>
    <n v="7"/>
    <n v="8"/>
  </r>
  <r>
    <x v="2"/>
    <x v="65"/>
    <d v="1899-12-30T00:00:00"/>
    <s v="1ST"/>
    <s v="08:00"/>
    <n v="2"/>
    <x v="14"/>
    <n v="6.3E-3"/>
    <s v="P"/>
    <s v="P"/>
    <s v="P"/>
    <s v="-"/>
    <s v="+"/>
    <n v="10.59"/>
    <s v="-"/>
    <s v="-"/>
    <s v="-"/>
    <s v="-"/>
    <s v="-"/>
    <s v="-"/>
    <s v="-"/>
    <n v="25.08"/>
    <s v="P"/>
    <s v="P"/>
    <s v="-"/>
    <n v="2"/>
    <n v="1"/>
    <n v="2"/>
    <n v="0"/>
    <s v="-"/>
    <s v="-"/>
    <s v="-"/>
    <s v="-"/>
    <s v="-"/>
    <s v="-"/>
    <s v="-"/>
    <n v="5"/>
    <n v="6"/>
    <n v="1"/>
    <n v="1"/>
    <n v="1"/>
    <n v="3"/>
    <n v="3"/>
    <n v="8"/>
    <n v="9"/>
  </r>
  <r>
    <x v="2"/>
    <x v="65"/>
    <d v="1899-12-30T00:00:00"/>
    <s v="1ST"/>
    <s v="10:00"/>
    <n v="2"/>
    <x v="14"/>
    <n v="8.3000000000000001E-3"/>
    <s v="P"/>
    <s v="P"/>
    <s v="P"/>
    <s v="-"/>
    <s v="+"/>
    <n v="10.52"/>
    <s v="-"/>
    <s v="-"/>
    <s v="-"/>
    <s v="-"/>
    <s v="-"/>
    <s v="-"/>
    <s v="-"/>
    <s v="-"/>
    <s v="P"/>
    <s v="P"/>
    <s v="80% 20%"/>
    <n v="2"/>
    <n v="1"/>
    <n v="2"/>
    <n v="0"/>
    <s v="-"/>
    <s v="-"/>
    <s v="-"/>
    <s v="-"/>
    <s v="-"/>
    <s v="-"/>
    <s v="-"/>
    <n v="5"/>
    <n v="6"/>
    <s v="-"/>
    <n v="1"/>
    <n v="1"/>
    <n v="2"/>
    <n v="2"/>
    <n v="7"/>
    <n v="8"/>
  </r>
  <r>
    <x v="2"/>
    <x v="65"/>
    <d v="2026-03-15T00:00:00"/>
    <s v="1ST"/>
    <s v="09:00"/>
    <n v="3"/>
    <x v="35"/>
    <s v="-"/>
    <s v="P"/>
    <s v="P"/>
    <s v="P"/>
    <s v="-"/>
    <s v="+"/>
    <n v="12.99"/>
    <n v="12.87"/>
    <n v="0.47299999999999998"/>
    <n v="63.2"/>
    <n v="22.1"/>
    <n v="616"/>
    <n v="36"/>
    <s v="-"/>
    <s v="-"/>
    <s v="P"/>
    <s v="P"/>
    <n v="1"/>
    <s v="-"/>
    <n v="1"/>
    <n v="2"/>
    <n v="0"/>
    <n v="0"/>
    <n v="0"/>
    <n v="2"/>
    <n v="0"/>
    <n v="0"/>
    <n v="2"/>
    <s v="-"/>
    <n v="7"/>
    <n v="13"/>
    <s v="-"/>
    <n v="1"/>
    <n v="1"/>
    <n v="2"/>
    <n v="2"/>
    <n v="9"/>
    <n v="15"/>
  </r>
  <r>
    <x v="2"/>
    <x v="65"/>
    <d v="2026-03-15T00:00:00"/>
    <s v="1ST"/>
    <s v="10:00"/>
    <n v="3"/>
    <x v="35"/>
    <n v="8.0000000000000002E-3"/>
    <s v="P"/>
    <s v="P"/>
    <s v="P"/>
    <s v="-"/>
    <s v="+"/>
    <n v="13.17"/>
    <s v="-"/>
    <s v="-"/>
    <s v="-"/>
    <s v="-"/>
    <s v="-"/>
    <s v="-"/>
    <s v="-"/>
    <n v="25.16"/>
    <s v="P"/>
    <s v="P"/>
    <s v="-"/>
    <n v="2"/>
    <n v="1"/>
    <n v="2"/>
    <n v="1"/>
    <s v="-"/>
    <s v="-"/>
    <s v="-"/>
    <s v="-"/>
    <s v="-"/>
    <s v="-"/>
    <s v="-"/>
    <n v="6"/>
    <n v="6"/>
    <n v="1"/>
    <n v="1"/>
    <n v="1"/>
    <n v="3"/>
    <n v="3"/>
    <n v="9"/>
    <n v="9"/>
  </r>
  <r>
    <x v="2"/>
    <x v="65"/>
    <d v="2026-03-15T00:00:00"/>
    <s v="1ST"/>
    <s v="13:00"/>
    <n v="3"/>
    <x v="35"/>
    <n v="7.7000000000000002E-3"/>
    <s v="P"/>
    <s v="P"/>
    <s v="P"/>
    <s v="-"/>
    <s v="+"/>
    <n v="13.11"/>
    <s v="-"/>
    <s v="-"/>
    <s v="-"/>
    <s v="-"/>
    <s v="-"/>
    <s v="-"/>
    <s v="-"/>
    <s v="-"/>
    <s v="P"/>
    <s v="P"/>
    <s v="-"/>
    <n v="2"/>
    <n v="1"/>
    <n v="2"/>
    <n v="1"/>
    <s v="-"/>
    <s v="-"/>
    <s v="-"/>
    <s v="-"/>
    <s v="-"/>
    <s v="-"/>
    <s v="-"/>
    <n v="6"/>
    <n v="6"/>
    <s v="-"/>
    <n v="1"/>
    <n v="1"/>
    <n v="2"/>
    <n v="2"/>
    <n v="8"/>
    <n v="8"/>
  </r>
  <r>
    <x v="2"/>
    <x v="65"/>
    <d v="2026-03-18T00:00:00"/>
    <s v="3RD"/>
    <d v="1899-12-30T22:00:00"/>
    <n v="3"/>
    <x v="35"/>
    <n v="7.7000000000000002E-3"/>
    <s v="P"/>
    <s v="P"/>
    <s v="P"/>
    <s v="+"/>
    <s v="+"/>
    <n v="12.81"/>
    <n v="12.36"/>
    <n v="0.47"/>
    <s v="-"/>
    <s v="-"/>
    <s v="-"/>
    <n v="35.700000000000003"/>
    <s v="-"/>
    <n v="25.18"/>
    <s v="P"/>
    <s v="P"/>
    <n v="1"/>
    <n v="2"/>
    <n v="1"/>
    <n v="2"/>
    <n v="0"/>
    <n v="0"/>
    <n v="0"/>
    <s v="-"/>
    <s v="-"/>
    <s v="-"/>
    <n v="2"/>
    <s v="-"/>
    <n v="7"/>
    <n v="11"/>
    <n v="1"/>
    <n v="1"/>
    <n v="1"/>
    <n v="3"/>
    <n v="3"/>
    <n v="10"/>
    <n v="14"/>
  </r>
  <r>
    <x v="2"/>
    <x v="65"/>
    <d v="2026-03-18T00:00:00"/>
    <s v="3RD"/>
    <d v="1899-12-30T23:00:00"/>
    <n v="3"/>
    <x v="35"/>
    <n v="8.0000000000000002E-3"/>
    <s v="P"/>
    <s v="P"/>
    <s v="P"/>
    <s v="+"/>
    <s v="+"/>
    <n v="12.35"/>
    <s v="-"/>
    <s v="-"/>
    <s v="-"/>
    <s v="-"/>
    <s v="-"/>
    <s v="-"/>
    <s v="-"/>
    <s v="-"/>
    <s v="P"/>
    <s v="P"/>
    <s v="-"/>
    <n v="2"/>
    <n v="1"/>
    <n v="2"/>
    <n v="0"/>
    <s v="-"/>
    <s v="-"/>
    <s v="-"/>
    <s v="-"/>
    <s v="-"/>
    <s v="-"/>
    <s v="-"/>
    <n v="5"/>
    <n v="6"/>
    <s v="-"/>
    <n v="1"/>
    <n v="1"/>
    <n v="2"/>
    <n v="2"/>
    <n v="7"/>
    <n v="8"/>
  </r>
  <r>
    <x v="2"/>
    <x v="65"/>
    <d v="2026-03-18T00:00:00"/>
    <s v="3RD"/>
    <d v="1899-12-31T03:00:00"/>
    <n v="3"/>
    <x v="46"/>
    <n v="4.0000000000000001E-3"/>
    <s v="P"/>
    <s v="P"/>
    <s v="P"/>
    <s v="+"/>
    <s v="+"/>
    <n v="12.9"/>
    <n v="11.79"/>
    <n v="0.55000000000000004"/>
    <n v="63.4"/>
    <n v="11.5"/>
    <n v="1045"/>
    <n v="32.799999999999997"/>
    <s v="-"/>
    <s v="-"/>
    <s v="P"/>
    <s v="P"/>
    <s v="50% 50%"/>
    <n v="2"/>
    <n v="1"/>
    <n v="2"/>
    <n v="1"/>
    <s v="-"/>
    <n v="2"/>
    <n v="0"/>
    <n v="1"/>
    <n v="0"/>
    <n v="0"/>
    <s v="-"/>
    <n v="9"/>
    <n v="14"/>
    <s v="-"/>
    <n v="1"/>
    <n v="1"/>
    <n v="2"/>
    <n v="2"/>
    <n v="11"/>
    <n v="16"/>
  </r>
  <r>
    <x v="2"/>
    <x v="65"/>
    <d v="2026-03-18T00:00:00"/>
    <s v="3RD"/>
    <d v="1899-12-31T05:00:00"/>
    <n v="3"/>
    <x v="46"/>
    <n v="5.4000000000000003E-3"/>
    <s v="P"/>
    <s v="P"/>
    <s v="P"/>
    <s v="+"/>
    <s v="+"/>
    <n v="13.23"/>
    <s v="-"/>
    <s v="-"/>
    <s v="-"/>
    <s v="-"/>
    <s v="-"/>
    <s v="-"/>
    <s v="-"/>
    <s v="-"/>
    <s v="P"/>
    <s v="P"/>
    <s v="-"/>
    <n v="2"/>
    <n v="1"/>
    <n v="2"/>
    <n v="0"/>
    <s v="-"/>
    <s v="-"/>
    <s v="-"/>
    <s v="-"/>
    <s v="-"/>
    <s v="-"/>
    <s v="-"/>
    <n v="5"/>
    <n v="6"/>
    <s v="-"/>
    <n v="1"/>
    <n v="1"/>
    <n v="2"/>
    <n v="2"/>
    <n v="7"/>
    <n v="8"/>
  </r>
  <r>
    <x v="2"/>
    <x v="65"/>
    <s v="-"/>
    <s v="1ST"/>
    <s v="06:00"/>
    <n v="1"/>
    <x v="22"/>
    <n v="1.61E-2"/>
    <s v="P"/>
    <s v="P"/>
    <s v="P"/>
    <s v="-"/>
    <s v="-"/>
    <n v="11.22"/>
    <n v="8.6999999999999993"/>
    <n v="0.56999999999999995"/>
    <n v="54.5"/>
    <s v="-"/>
    <s v="-"/>
    <n v="23.5"/>
    <s v="-"/>
    <s v="-"/>
    <s v="P"/>
    <s v="P"/>
    <n v="1"/>
    <n v="2"/>
    <n v="1"/>
    <n v="2"/>
    <n v="1"/>
    <n v="1"/>
    <n v="2"/>
    <n v="2"/>
    <s v="-"/>
    <s v="-"/>
    <n v="2"/>
    <s v="-"/>
    <n v="13"/>
    <n v="13"/>
    <s v="-"/>
    <n v="1"/>
    <n v="1"/>
    <n v="2"/>
    <n v="2"/>
    <n v="15"/>
    <n v="15"/>
  </r>
  <r>
    <x v="2"/>
    <x v="65"/>
    <d v="2026-03-16T00:00:00"/>
    <s v="1ST"/>
    <s v="07:00"/>
    <n v="1"/>
    <x v="22"/>
    <n v="1.55E-2"/>
    <s v="P"/>
    <s v="P"/>
    <s v="P"/>
    <s v="-"/>
    <s v="-"/>
    <n v="11.28"/>
    <s v="-"/>
    <s v="-"/>
    <s v="-"/>
    <s v="-"/>
    <s v="-"/>
    <s v="-"/>
    <s v="-"/>
    <s v="-"/>
    <s v="P"/>
    <s v="P"/>
    <s v="-"/>
    <n v="2"/>
    <n v="1"/>
    <n v="2"/>
    <n v="1"/>
    <s v="-"/>
    <s v="-"/>
    <s v="-"/>
    <s v="-"/>
    <s v="-"/>
    <s v="-"/>
    <s v="-"/>
    <n v="6"/>
    <n v="6"/>
    <s v="-"/>
    <n v="1"/>
    <n v="1"/>
    <n v="2"/>
    <n v="2"/>
    <n v="8"/>
    <n v="8"/>
  </r>
  <r>
    <x v="2"/>
    <x v="65"/>
    <d v="2026-03-16T00:00:00"/>
    <s v="1ST"/>
    <s v="08:00"/>
    <n v="1"/>
    <x v="22"/>
    <n v="1.09E-2"/>
    <s v="P"/>
    <s v="P"/>
    <s v="P"/>
    <s v="-"/>
    <s v="-"/>
    <n v="11.33"/>
    <s v="-"/>
    <s v="-"/>
    <s v="-"/>
    <s v="-"/>
    <s v="-"/>
    <s v="-"/>
    <s v="-"/>
    <n v="25.1"/>
    <s v="P"/>
    <s v="P"/>
    <s v="-"/>
    <n v="2"/>
    <n v="1"/>
    <n v="2"/>
    <n v="1"/>
    <s v="-"/>
    <s v="-"/>
    <s v="-"/>
    <s v="-"/>
    <s v="-"/>
    <s v="-"/>
    <s v="-"/>
    <n v="6"/>
    <n v="6"/>
    <n v="1"/>
    <n v="1"/>
    <n v="1"/>
    <n v="3"/>
    <n v="3"/>
    <n v="9"/>
    <n v="9"/>
  </r>
  <r>
    <x v="2"/>
    <x v="65"/>
    <d v="2026-03-16T00:00:00"/>
    <s v="1ST"/>
    <s v="09:00"/>
    <n v="1"/>
    <x v="22"/>
    <n v="1.2200000000000001E-2"/>
    <s v="P"/>
    <s v="P"/>
    <s v="P"/>
    <s v="-"/>
    <s v="-"/>
    <n v="10.86"/>
    <s v="-"/>
    <s v="-"/>
    <s v="-"/>
    <s v="-"/>
    <s v="-"/>
    <s v="-"/>
    <s v="-"/>
    <s v="-"/>
    <s v="P"/>
    <s v="P"/>
    <s v="-"/>
    <n v="2"/>
    <n v="1"/>
    <n v="2"/>
    <n v="0"/>
    <s v="-"/>
    <s v="-"/>
    <s v="-"/>
    <s v="-"/>
    <s v="-"/>
    <s v="-"/>
    <s v="-"/>
    <n v="5"/>
    <n v="6"/>
    <s v="-"/>
    <n v="1"/>
    <n v="1"/>
    <n v="2"/>
    <n v="2"/>
    <n v="7"/>
    <n v="8"/>
  </r>
  <r>
    <x v="2"/>
    <x v="65"/>
    <d v="2026-03-16T00:00:00"/>
    <s v="1ST"/>
    <s v="10:00"/>
    <n v="1"/>
    <x v="22"/>
    <n v="1.46E-2"/>
    <s v="P"/>
    <s v="P"/>
    <s v="P"/>
    <s v="-"/>
    <s v="-"/>
    <n v="11.15"/>
    <s v="-"/>
    <s v="-"/>
    <s v="-"/>
    <s v="-"/>
    <s v="-"/>
    <s v="-"/>
    <s v="-"/>
    <s v="-"/>
    <s v="P"/>
    <s v="P"/>
    <s v="-"/>
    <n v="2"/>
    <n v="1"/>
    <n v="2"/>
    <n v="1"/>
    <s v="-"/>
    <s v="-"/>
    <s v="-"/>
    <s v="-"/>
    <s v="-"/>
    <s v="-"/>
    <s v="-"/>
    <n v="6"/>
    <n v="6"/>
    <s v="-"/>
    <n v="1"/>
    <n v="1"/>
    <n v="2"/>
    <n v="2"/>
    <n v="8"/>
    <n v="8"/>
  </r>
  <r>
    <x v="2"/>
    <x v="65"/>
    <d v="2026-03-16T00:00:00"/>
    <s v="1ST"/>
    <s v="11:00"/>
    <n v="1"/>
    <x v="22"/>
    <n v="1.3299999999999999E-2"/>
    <s v="P"/>
    <s v="P"/>
    <s v="P"/>
    <s v="-"/>
    <s v="-"/>
    <n v="11.09"/>
    <s v="-"/>
    <s v="-"/>
    <s v="-"/>
    <s v="-"/>
    <s v="-"/>
    <s v="-"/>
    <s v="-"/>
    <s v="-"/>
    <s v="P"/>
    <s v="P"/>
    <s v="-"/>
    <n v="2"/>
    <n v="1"/>
    <n v="2"/>
    <n v="1"/>
    <s v="-"/>
    <s v="-"/>
    <s v="-"/>
    <s v="-"/>
    <s v="-"/>
    <s v="-"/>
    <s v="-"/>
    <n v="6"/>
    <n v="6"/>
    <s v="-"/>
    <n v="1"/>
    <n v="1"/>
    <n v="2"/>
    <n v="2"/>
    <n v="8"/>
    <n v="8"/>
  </r>
  <r>
    <x v="2"/>
    <x v="65"/>
    <d v="2026-03-16T00:00:00"/>
    <s v="1ST"/>
    <s v="12:00"/>
    <n v="1"/>
    <x v="22"/>
    <n v="1.1900000000000001E-2"/>
    <s v="P"/>
    <s v="P"/>
    <s v="P"/>
    <s v="-"/>
    <s v="-"/>
    <n v="11.02"/>
    <s v="-"/>
    <s v="-"/>
    <s v="-"/>
    <s v="-"/>
    <s v="-"/>
    <s v="-"/>
    <s v="-"/>
    <s v="-"/>
    <s v="P"/>
    <s v="P"/>
    <s v="-"/>
    <n v="2"/>
    <n v="1"/>
    <n v="2"/>
    <n v="1"/>
    <s v="-"/>
    <s v="-"/>
    <s v="-"/>
    <s v="-"/>
    <s v="-"/>
    <s v="-"/>
    <s v="-"/>
    <n v="6"/>
    <n v="6"/>
    <s v="-"/>
    <n v="1"/>
    <n v="1"/>
    <n v="2"/>
    <n v="2"/>
    <n v="8"/>
    <n v="8"/>
  </r>
  <r>
    <x v="2"/>
    <x v="65"/>
    <s v="-"/>
    <s v="3RD"/>
    <d v="1899-12-30T22:00:00"/>
    <n v="1"/>
    <x v="22"/>
    <n v="6.4999999999999997E-3"/>
    <s v="P"/>
    <s v="P"/>
    <s v="P"/>
    <s v="-"/>
    <s v="-"/>
    <n v="11.26"/>
    <n v="8.6300000000000008"/>
    <n v="0.56999999999999995"/>
    <s v="-"/>
    <s v="-"/>
    <s v="-"/>
    <n v="23.21"/>
    <s v="-"/>
    <n v="25.13"/>
    <s v="P"/>
    <s v="P"/>
    <n v="1"/>
    <n v="2"/>
    <n v="1"/>
    <n v="2"/>
    <n v="1"/>
    <n v="1"/>
    <n v="2"/>
    <s v="-"/>
    <s v="-"/>
    <s v="-"/>
    <n v="2"/>
    <s v="-"/>
    <n v="11"/>
    <n v="11"/>
    <n v="1"/>
    <n v="1"/>
    <n v="1"/>
    <n v="3"/>
    <n v="3"/>
    <n v="14"/>
    <n v="14"/>
  </r>
  <r>
    <x v="2"/>
    <x v="65"/>
    <d v="2026-03-16T00:00:00"/>
    <s v="3RD"/>
    <d v="1899-12-30T23:00:00"/>
    <n v="1"/>
    <x v="22"/>
    <n v="1.1599999999999999E-2"/>
    <s v="P"/>
    <s v="P"/>
    <s v="P"/>
    <s v="-"/>
    <s v="-"/>
    <n v="11.35"/>
    <s v="-"/>
    <s v="-"/>
    <s v="-"/>
    <s v="-"/>
    <s v="-"/>
    <s v="-"/>
    <s v="-"/>
    <s v="-"/>
    <s v="P"/>
    <s v="P"/>
    <s v="-"/>
    <n v="2"/>
    <n v="1"/>
    <n v="2"/>
    <n v="1"/>
    <s v="-"/>
    <s v="-"/>
    <s v="-"/>
    <s v="-"/>
    <s v="-"/>
    <s v="-"/>
    <s v="-"/>
    <n v="6"/>
    <n v="6"/>
    <s v="-"/>
    <n v="1"/>
    <n v="1"/>
    <n v="2"/>
    <n v="2"/>
    <n v="8"/>
    <n v="8"/>
  </r>
  <r>
    <x v="2"/>
    <x v="65"/>
    <d v="2026-03-16T00:00:00"/>
    <s v="3RD"/>
    <d v="1899-12-31T00:00:00"/>
    <n v="1"/>
    <x v="22"/>
    <n v="5.1999999999999998E-3"/>
    <s v="P"/>
    <s v="P"/>
    <s v="P"/>
    <s v="-"/>
    <s v="-"/>
    <n v="11.27"/>
    <s v="-"/>
    <s v="-"/>
    <s v="-"/>
    <s v="-"/>
    <s v="-"/>
    <s v="-"/>
    <s v="-"/>
    <s v="-"/>
    <s v="P"/>
    <s v="P"/>
    <s v="-"/>
    <n v="2"/>
    <n v="1"/>
    <n v="2"/>
    <n v="1"/>
    <s v="-"/>
    <s v="-"/>
    <s v="-"/>
    <s v="-"/>
    <s v="-"/>
    <s v="-"/>
    <s v="-"/>
    <n v="6"/>
    <n v="6"/>
    <s v="-"/>
    <n v="1"/>
    <n v="1"/>
    <n v="2"/>
    <n v="2"/>
    <n v="8"/>
    <n v="8"/>
  </r>
  <r>
    <x v="2"/>
    <x v="65"/>
    <d v="2026-03-16T00:00:00"/>
    <s v="3RD"/>
    <d v="1899-12-31T02:00:00"/>
    <n v="1"/>
    <x v="22"/>
    <n v="8.5000000000000006E-3"/>
    <s v="P"/>
    <s v="P"/>
    <s v="P"/>
    <s v="-"/>
    <s v="-"/>
    <n v="11.26"/>
    <s v="-"/>
    <s v="-"/>
    <s v="-"/>
    <s v="-"/>
    <s v="-"/>
    <s v="-"/>
    <s v="-"/>
    <s v="-"/>
    <s v="P"/>
    <s v="P"/>
    <s v="-"/>
    <n v="2"/>
    <n v="1"/>
    <n v="2"/>
    <n v="1"/>
    <s v="-"/>
    <s v="-"/>
    <s v="-"/>
    <s v="-"/>
    <s v="-"/>
    <s v="-"/>
    <s v="-"/>
    <n v="6"/>
    <n v="6"/>
    <s v="-"/>
    <n v="1"/>
    <n v="1"/>
    <n v="2"/>
    <n v="2"/>
    <n v="8"/>
    <n v="8"/>
  </r>
  <r>
    <x v="2"/>
    <x v="65"/>
    <d v="2026-03-16T00:00:00"/>
    <s v="3RD"/>
    <d v="1899-12-31T03:00:00"/>
    <n v="1"/>
    <x v="22"/>
    <n v="8.8999999999999999E-3"/>
    <s v="P"/>
    <s v="P"/>
    <s v="P"/>
    <s v="-"/>
    <s v="-"/>
    <n v="11.25"/>
    <s v="-"/>
    <s v="-"/>
    <s v="-"/>
    <s v="-"/>
    <s v="-"/>
    <s v="-"/>
    <s v="-"/>
    <s v="-"/>
    <s v="P"/>
    <s v="P"/>
    <s v="-"/>
    <n v="2"/>
    <n v="1"/>
    <n v="2"/>
    <n v="1"/>
    <s v="-"/>
    <s v="-"/>
    <s v="-"/>
    <s v="-"/>
    <s v="-"/>
    <s v="-"/>
    <s v="-"/>
    <n v="6"/>
    <n v="6"/>
    <s v="-"/>
    <n v="1"/>
    <n v="1"/>
    <n v="2"/>
    <n v="2"/>
    <n v="8"/>
    <n v="8"/>
  </r>
  <r>
    <x v="2"/>
    <x v="65"/>
    <d v="2026-03-16T00:00:00"/>
    <s v="3RD"/>
    <d v="1899-12-31T04:00:00"/>
    <n v="1"/>
    <x v="22"/>
    <n v="1.1599999999999999E-2"/>
    <s v="P"/>
    <s v="P"/>
    <s v="P"/>
    <s v="-"/>
    <s v="-"/>
    <n v="11.4"/>
    <s v="-"/>
    <s v="-"/>
    <s v="-"/>
    <s v="-"/>
    <s v="-"/>
    <s v="-"/>
    <s v="-"/>
    <s v="-"/>
    <s v="P"/>
    <s v="P"/>
    <s v="-"/>
    <n v="2"/>
    <n v="1"/>
    <n v="2"/>
    <n v="1"/>
    <s v="-"/>
    <s v="-"/>
    <s v="-"/>
    <s v="-"/>
    <s v="-"/>
    <s v="-"/>
    <s v="-"/>
    <n v="6"/>
    <n v="6"/>
    <s v="-"/>
    <n v="1"/>
    <n v="1"/>
    <n v="2"/>
    <n v="2"/>
    <n v="8"/>
    <n v="8"/>
  </r>
  <r>
    <x v="2"/>
    <x v="65"/>
    <s v="-"/>
    <s v="3RD"/>
    <d v="1899-12-30T22:00:00"/>
    <n v="1"/>
    <x v="22"/>
    <n v="6.4999999999999997E-3"/>
    <s v="P"/>
    <s v="P"/>
    <s v="P"/>
    <s v="-"/>
    <s v="-"/>
    <n v="11.26"/>
    <n v="8.6300000000000008"/>
    <n v="0.56999999999999995"/>
    <s v="-"/>
    <s v="-"/>
    <s v="-"/>
    <n v="23.21"/>
    <s v="-"/>
    <n v="25.13"/>
    <s v="P"/>
    <s v="P"/>
    <n v="1"/>
    <n v="2"/>
    <n v="1"/>
    <n v="2"/>
    <n v="1"/>
    <n v="1"/>
    <n v="2"/>
    <s v="-"/>
    <s v="-"/>
    <s v="-"/>
    <n v="2"/>
    <s v="-"/>
    <n v="11"/>
    <n v="11"/>
    <n v="1"/>
    <n v="1"/>
    <n v="1"/>
    <n v="3"/>
    <n v="3"/>
    <n v="14"/>
    <n v="14"/>
  </r>
  <r>
    <x v="2"/>
    <x v="65"/>
    <d v="2026-03-16T00:00:00"/>
    <s v="3RD"/>
    <d v="1899-12-30T23:00:00"/>
    <n v="1"/>
    <x v="22"/>
    <n v="1.1599999999999999E-2"/>
    <s v="P"/>
    <s v="P"/>
    <s v="P"/>
    <s v="-"/>
    <s v="-"/>
    <n v="11.35"/>
    <s v="-"/>
    <s v="-"/>
    <s v="-"/>
    <s v="-"/>
    <s v="-"/>
    <s v="-"/>
    <s v="-"/>
    <s v="-"/>
    <s v="P"/>
    <s v="P"/>
    <s v="-"/>
    <n v="2"/>
    <n v="1"/>
    <n v="2"/>
    <n v="1"/>
    <s v="-"/>
    <s v="-"/>
    <s v="-"/>
    <s v="-"/>
    <s v="-"/>
    <s v="-"/>
    <s v="-"/>
    <n v="6"/>
    <n v="6"/>
    <s v="-"/>
    <n v="1"/>
    <n v="1"/>
    <n v="2"/>
    <n v="2"/>
    <n v="8"/>
    <n v="8"/>
  </r>
  <r>
    <x v="2"/>
    <x v="65"/>
    <d v="2026-03-16T00:00:00"/>
    <s v="3RD"/>
    <d v="1899-12-31T00:00:00"/>
    <n v="1"/>
    <x v="22"/>
    <n v="5.1999999999999998E-3"/>
    <s v="P"/>
    <s v="P"/>
    <s v="P"/>
    <s v="-"/>
    <s v="-"/>
    <n v="11.27"/>
    <s v="-"/>
    <s v="-"/>
    <s v="-"/>
    <s v="-"/>
    <s v="-"/>
    <s v="-"/>
    <s v="-"/>
    <s v="-"/>
    <s v="P"/>
    <s v="P"/>
    <s v="-"/>
    <n v="2"/>
    <n v="1"/>
    <n v="2"/>
    <n v="1"/>
    <s v="-"/>
    <s v="-"/>
    <s v="-"/>
    <s v="-"/>
    <s v="-"/>
    <s v="-"/>
    <s v="-"/>
    <n v="6"/>
    <n v="6"/>
    <s v="-"/>
    <n v="1"/>
    <n v="1"/>
    <n v="2"/>
    <n v="2"/>
    <n v="8"/>
    <n v="8"/>
  </r>
  <r>
    <x v="2"/>
    <x v="65"/>
    <d v="2026-03-16T00:00:00"/>
    <s v="3RD"/>
    <d v="1899-12-31T02:00:00"/>
    <n v="1"/>
    <x v="22"/>
    <n v="8.5000000000000006E-3"/>
    <s v="P"/>
    <s v="P"/>
    <s v="P"/>
    <s v="-"/>
    <s v="-"/>
    <n v="11.26"/>
    <s v="-"/>
    <s v="-"/>
    <s v="-"/>
    <s v="-"/>
    <s v="-"/>
    <s v="-"/>
    <s v="-"/>
    <s v="-"/>
    <s v="P"/>
    <s v="P"/>
    <s v="-"/>
    <n v="2"/>
    <n v="1"/>
    <n v="2"/>
    <n v="1"/>
    <s v="-"/>
    <s v="-"/>
    <s v="-"/>
    <s v="-"/>
    <s v="-"/>
    <s v="-"/>
    <s v="-"/>
    <n v="6"/>
    <n v="6"/>
    <s v="-"/>
    <n v="1"/>
    <n v="1"/>
    <n v="2"/>
    <n v="2"/>
    <n v="8"/>
    <n v="8"/>
  </r>
  <r>
    <x v="2"/>
    <x v="65"/>
    <d v="2026-03-16T00:00:00"/>
    <s v="3RD"/>
    <d v="1899-12-31T03:00:00"/>
    <n v="1"/>
    <x v="22"/>
    <n v="8.8999999999999999E-3"/>
    <s v="P"/>
    <s v="P"/>
    <s v="P"/>
    <s v="-"/>
    <s v="-"/>
    <n v="11.25"/>
    <s v="-"/>
    <s v="-"/>
    <s v="-"/>
    <s v="-"/>
    <s v="-"/>
    <s v="-"/>
    <s v="-"/>
    <s v="-"/>
    <s v="P"/>
    <s v="P"/>
    <s v="-"/>
    <n v="2"/>
    <n v="1"/>
    <n v="2"/>
    <n v="1"/>
    <s v="-"/>
    <s v="-"/>
    <s v="-"/>
    <s v="-"/>
    <s v="-"/>
    <s v="-"/>
    <s v="-"/>
    <n v="6"/>
    <n v="6"/>
    <s v="-"/>
    <n v="1"/>
    <n v="1"/>
    <n v="2"/>
    <n v="2"/>
    <n v="8"/>
    <n v="8"/>
  </r>
  <r>
    <x v="2"/>
    <x v="65"/>
    <d v="2026-03-16T00:00:00"/>
    <s v="3RD"/>
    <d v="1899-12-31T04:00:00"/>
    <n v="1"/>
    <x v="22"/>
    <n v="1.1599999999999999E-2"/>
    <s v="P"/>
    <s v="P"/>
    <s v="P"/>
    <s v="-"/>
    <s v="-"/>
    <n v="11.4"/>
    <s v="-"/>
    <s v="-"/>
    <s v="-"/>
    <s v="-"/>
    <s v="-"/>
    <s v="-"/>
    <s v="-"/>
    <s v="-"/>
    <s v="P"/>
    <s v="P"/>
    <s v="-"/>
    <n v="2"/>
    <n v="1"/>
    <n v="2"/>
    <n v="1"/>
    <s v="-"/>
    <s v="-"/>
    <s v="-"/>
    <s v="-"/>
    <s v="-"/>
    <s v="-"/>
    <s v="-"/>
    <n v="6"/>
    <n v="6"/>
    <s v="-"/>
    <n v="1"/>
    <n v="1"/>
    <n v="2"/>
    <n v="2"/>
    <n v="8"/>
    <n v="8"/>
  </r>
  <r>
    <x v="2"/>
    <x v="66"/>
    <d v="1902-03-26T00:00:00"/>
    <s v="1ST"/>
    <s v="06:00"/>
    <n v="2"/>
    <x v="2"/>
    <n v="8.8999999999999999E-3"/>
    <s v="P"/>
    <s v="P"/>
    <s v="P"/>
    <s v="-"/>
    <s v="+"/>
    <n v="11.09"/>
    <n v="8.98"/>
    <n v="0.67"/>
    <n v="55.7"/>
    <s v="-"/>
    <s v="-"/>
    <n v="24.41"/>
    <s v="-"/>
    <s v="-"/>
    <s v="P"/>
    <s v="P"/>
    <s v="-"/>
    <n v="2"/>
    <n v="1"/>
    <n v="2"/>
    <n v="0"/>
    <n v="0"/>
    <n v="0"/>
    <n v="0"/>
    <s v="-"/>
    <s v="-"/>
    <n v="0"/>
    <s v="-"/>
    <n v="5"/>
    <n v="13"/>
    <s v="-"/>
    <n v="1"/>
    <n v="1"/>
    <n v="2"/>
    <n v="2"/>
    <n v="7"/>
    <n v="15"/>
  </r>
  <r>
    <x v="2"/>
    <x v="66"/>
    <d v="1899-12-30T00:00:00"/>
    <s v="1ST"/>
    <s v="07:00"/>
    <n v="2"/>
    <x v="2"/>
    <n v="1.47E-2"/>
    <s v="P"/>
    <s v="P"/>
    <s v="P"/>
    <s v="-"/>
    <s v="+"/>
    <n v="11.08"/>
    <s v="-"/>
    <s v="-"/>
    <s v="-"/>
    <s v="-"/>
    <s v="-"/>
    <s v="-"/>
    <s v="-"/>
    <s v="-"/>
    <s v="P"/>
    <s v="P"/>
    <s v="-"/>
    <n v="2"/>
    <n v="1"/>
    <n v="2"/>
    <n v="0"/>
    <s v="-"/>
    <s v="-"/>
    <s v="-"/>
    <s v="-"/>
    <s v="-"/>
    <s v="-"/>
    <s v="-"/>
    <n v="5"/>
    <n v="6"/>
    <s v="-"/>
    <n v="1"/>
    <n v="1"/>
    <n v="2"/>
    <n v="2"/>
    <n v="7"/>
    <n v="8"/>
  </r>
  <r>
    <x v="2"/>
    <x v="66"/>
    <d v="1899-12-30T00:00:00"/>
    <s v="1ST"/>
    <s v="08:00"/>
    <n v="2"/>
    <x v="2"/>
    <n v="7.7000000000000002E-3"/>
    <s v="P"/>
    <s v="P"/>
    <s v="P"/>
    <s v="-"/>
    <s v="+"/>
    <n v="11.07"/>
    <s v="-"/>
    <s v="-"/>
    <s v="-"/>
    <s v="-"/>
    <s v="-"/>
    <s v="-"/>
    <s v="-"/>
    <s v="-"/>
    <s v="P"/>
    <s v="P"/>
    <s v="-"/>
    <n v="2"/>
    <n v="1"/>
    <n v="2"/>
    <n v="0"/>
    <s v="-"/>
    <s v="-"/>
    <s v="-"/>
    <s v="-"/>
    <s v="-"/>
    <s v="-"/>
    <s v="-"/>
    <n v="5"/>
    <n v="6"/>
    <s v="-"/>
    <n v="1"/>
    <n v="1"/>
    <n v="2"/>
    <n v="2"/>
    <n v="7"/>
    <n v="8"/>
  </r>
  <r>
    <x v="2"/>
    <x v="66"/>
    <d v="1899-12-30T00:00:00"/>
    <s v="1ST"/>
    <s v="09:00"/>
    <n v="2"/>
    <x v="2"/>
    <n v="7.6E-3"/>
    <s v="P"/>
    <s v="P"/>
    <s v="P"/>
    <s v="-"/>
    <s v="+"/>
    <n v="11.03"/>
    <s v="-"/>
    <s v="-"/>
    <s v="-"/>
    <s v="-"/>
    <s v="-"/>
    <s v="-"/>
    <s v="-"/>
    <s v="-"/>
    <s v="P"/>
    <s v="P"/>
    <s v="-"/>
    <n v="2"/>
    <n v="1"/>
    <n v="2"/>
    <n v="0"/>
    <s v="-"/>
    <s v="-"/>
    <s v="-"/>
    <s v="-"/>
    <s v="-"/>
    <s v="-"/>
    <s v="-"/>
    <n v="5"/>
    <n v="6"/>
    <s v="-"/>
    <n v="1"/>
    <n v="1"/>
    <n v="2"/>
    <n v="2"/>
    <n v="7"/>
    <n v="8"/>
  </r>
  <r>
    <x v="2"/>
    <x v="66"/>
    <d v="1899-12-30T00:00:00"/>
    <s v="1ST"/>
    <s v="12:00"/>
    <n v="2"/>
    <x v="2"/>
    <n v="1.3100000000000001E-2"/>
    <s v="P"/>
    <s v="P"/>
    <s v="P"/>
    <s v="-"/>
    <s v="+"/>
    <n v="10.96"/>
    <s v="-"/>
    <s v="-"/>
    <s v="-"/>
    <s v="-"/>
    <s v="-"/>
    <s v="-"/>
    <s v="-"/>
    <s v="-"/>
    <s v="P"/>
    <s v="P"/>
    <s v="-"/>
    <n v="2"/>
    <n v="1"/>
    <n v="2"/>
    <n v="0"/>
    <s v="-"/>
    <s v="-"/>
    <s v="-"/>
    <s v="-"/>
    <s v="-"/>
    <s v="-"/>
    <s v="-"/>
    <n v="5"/>
    <n v="6"/>
    <s v="-"/>
    <n v="1"/>
    <n v="1"/>
    <n v="2"/>
    <n v="2"/>
    <n v="7"/>
    <n v="8"/>
  </r>
  <r>
    <x v="2"/>
    <x v="66"/>
    <d v="1902-03-26T00:00:00"/>
    <s v="2ND"/>
    <d v="1899-12-30T14:00:00"/>
    <n v="2"/>
    <x v="2"/>
    <n v="1.89E-2"/>
    <s v="P"/>
    <s v="P"/>
    <s v="P"/>
    <s v="-"/>
    <s v="+"/>
    <n v="10.76"/>
    <n v="8.9600000000000009"/>
    <n v="0.67"/>
    <s v="-"/>
    <s v="-"/>
    <s v="-"/>
    <n v="24.33"/>
    <s v="-"/>
    <s v="-"/>
    <s v="P"/>
    <s v="P"/>
    <s v="-"/>
    <n v="2"/>
    <n v="1"/>
    <n v="2"/>
    <n v="0"/>
    <n v="0"/>
    <n v="0"/>
    <s v="-"/>
    <s v="-"/>
    <s v="-"/>
    <n v="0"/>
    <s v="-"/>
    <n v="5"/>
    <n v="11"/>
    <s v="-"/>
    <n v="1"/>
    <n v="1"/>
    <n v="2"/>
    <n v="2"/>
    <n v="7"/>
    <n v="13"/>
  </r>
  <r>
    <x v="2"/>
    <x v="66"/>
    <d v="1899-12-30T00:00:00"/>
    <s v="2ND"/>
    <d v="1899-12-30T15:00:00"/>
    <n v="2"/>
    <x v="2"/>
    <n v="1.9300000000000001E-2"/>
    <s v="P"/>
    <s v="P"/>
    <s v="P"/>
    <s v="-"/>
    <s v="+"/>
    <n v="10.83"/>
    <s v="-"/>
    <s v="-"/>
    <s v="-"/>
    <s v="-"/>
    <s v="-"/>
    <s v="-"/>
    <s v="-"/>
    <s v="-"/>
    <s v="P"/>
    <s v="P"/>
    <s v="-"/>
    <n v="2"/>
    <n v="1"/>
    <n v="2"/>
    <n v="0"/>
    <s v="-"/>
    <s v="-"/>
    <s v="-"/>
    <s v="-"/>
    <s v="-"/>
    <s v="-"/>
    <s v="-"/>
    <n v="5"/>
    <n v="6"/>
    <s v="-"/>
    <n v="1"/>
    <n v="1"/>
    <n v="2"/>
    <n v="2"/>
    <n v="7"/>
    <n v="8"/>
  </r>
  <r>
    <x v="2"/>
    <x v="66"/>
    <d v="1899-12-30T00:00:00"/>
    <s v="2ND"/>
    <d v="1899-12-30T16:00:00"/>
    <n v="2"/>
    <x v="2"/>
    <n v="1.7899999999999999E-2"/>
    <s v="P"/>
    <s v="P"/>
    <s v="P"/>
    <s v="-"/>
    <s v="+"/>
    <n v="10.72"/>
    <s v="-"/>
    <s v="-"/>
    <s v="-"/>
    <s v="-"/>
    <s v="-"/>
    <s v="-"/>
    <s v="-"/>
    <s v="-"/>
    <s v="P"/>
    <s v="P"/>
    <s v="-"/>
    <n v="2"/>
    <n v="1"/>
    <n v="2"/>
    <n v="0"/>
    <s v="-"/>
    <s v="-"/>
    <s v="-"/>
    <s v="-"/>
    <s v="-"/>
    <s v="-"/>
    <s v="-"/>
    <n v="5"/>
    <n v="6"/>
    <s v="-"/>
    <n v="1"/>
    <n v="1"/>
    <n v="2"/>
    <n v="2"/>
    <n v="7"/>
    <n v="8"/>
  </r>
  <r>
    <x v="2"/>
    <x v="66"/>
    <d v="1899-12-30T00:00:00"/>
    <s v="2ND"/>
    <d v="1899-12-30T18:00:00"/>
    <n v="2"/>
    <x v="2"/>
    <n v="1.55E-2"/>
    <s v="P"/>
    <s v="P"/>
    <s v="P"/>
    <s v="-"/>
    <s v="+"/>
    <n v="10.66"/>
    <s v="-"/>
    <s v="-"/>
    <s v="-"/>
    <s v="-"/>
    <s v="-"/>
    <s v="-"/>
    <s v="-"/>
    <s v="-"/>
    <s v="P"/>
    <s v="P"/>
    <s v="-"/>
    <n v="2"/>
    <n v="1"/>
    <n v="2"/>
    <n v="0"/>
    <s v="-"/>
    <s v="-"/>
    <s v="-"/>
    <s v="-"/>
    <s v="-"/>
    <s v="-"/>
    <s v="-"/>
    <n v="5"/>
    <n v="6"/>
    <s v="-"/>
    <n v="1"/>
    <n v="1"/>
    <n v="2"/>
    <n v="2"/>
    <n v="7"/>
    <n v="8"/>
  </r>
  <r>
    <x v="2"/>
    <x v="66"/>
    <d v="1899-12-30T00:00:00"/>
    <s v="2ND"/>
    <d v="1899-12-30T19:00:00"/>
    <n v="2"/>
    <x v="2"/>
    <n v="1.5699999999999999E-2"/>
    <s v="P"/>
    <s v="P"/>
    <s v="P"/>
    <s v="-"/>
    <s v="+"/>
    <n v="10.53"/>
    <s v="-"/>
    <s v="-"/>
    <s v="-"/>
    <s v="-"/>
    <s v="-"/>
    <s v="-"/>
    <s v="-"/>
    <n v="25.17"/>
    <s v="P"/>
    <s v="P"/>
    <s v="-"/>
    <n v="2"/>
    <n v="1"/>
    <n v="2"/>
    <n v="0"/>
    <s v="-"/>
    <s v="-"/>
    <s v="-"/>
    <s v="-"/>
    <s v="-"/>
    <s v="-"/>
    <s v="-"/>
    <n v="5"/>
    <n v="6"/>
    <n v="1"/>
    <n v="1"/>
    <n v="1"/>
    <n v="3"/>
    <n v="3"/>
    <n v="8"/>
    <n v="9"/>
  </r>
  <r>
    <x v="2"/>
    <x v="66"/>
    <d v="1899-12-30T00:00:00"/>
    <s v="2ND"/>
    <d v="1899-12-30T21:00:00"/>
    <n v="2"/>
    <x v="2"/>
    <n v="1.77E-2"/>
    <s v="P"/>
    <s v="P"/>
    <s v="P"/>
    <s v="-"/>
    <s v="+"/>
    <n v="10.44"/>
    <s v="-"/>
    <s v="-"/>
    <s v="-"/>
    <s v="-"/>
    <s v="-"/>
    <s v="-"/>
    <s v="-"/>
    <s v="-"/>
    <s v="P"/>
    <s v="P"/>
    <s v="-"/>
    <n v="2"/>
    <n v="1"/>
    <n v="2"/>
    <n v="0"/>
    <s v="-"/>
    <s v="-"/>
    <s v="-"/>
    <s v="-"/>
    <s v="-"/>
    <s v="-"/>
    <s v="-"/>
    <n v="5"/>
    <n v="6"/>
    <s v="-"/>
    <n v="1"/>
    <n v="1"/>
    <n v="2"/>
    <n v="2"/>
    <n v="7"/>
    <n v="8"/>
  </r>
  <r>
    <x v="2"/>
    <x v="66"/>
    <d v="1902-03-26T00:00:00"/>
    <s v="3RD"/>
    <d v="1899-12-30T23:00:00"/>
    <n v="2"/>
    <x v="2"/>
    <n v="1.1900000000000001E-2"/>
    <s v="P"/>
    <s v="P"/>
    <s v="P"/>
    <s v="-"/>
    <s v="+"/>
    <n v="10.49"/>
    <n v="9.11"/>
    <n v="0.67"/>
    <s v="-"/>
    <s v="-"/>
    <s v="-"/>
    <n v="24.8"/>
    <s v="-"/>
    <n v="25.13"/>
    <s v="P"/>
    <s v="P"/>
    <s v="-"/>
    <n v="2"/>
    <n v="1"/>
    <n v="2"/>
    <n v="0"/>
    <n v="0"/>
    <n v="0"/>
    <s v="-"/>
    <s v="-"/>
    <s v="-"/>
    <n v="0"/>
    <s v="-"/>
    <n v="5"/>
    <n v="11"/>
    <n v="1"/>
    <n v="1"/>
    <n v="1"/>
    <n v="3"/>
    <n v="3"/>
    <n v="8"/>
    <n v="14"/>
  </r>
  <r>
    <x v="2"/>
    <x v="66"/>
    <d v="1899-12-30T00:00:00"/>
    <s v="3RD"/>
    <d v="1899-12-31T00:00:00"/>
    <n v="2"/>
    <x v="2"/>
    <n v="1.8700000000000001E-2"/>
    <s v="P"/>
    <s v="P"/>
    <s v="P"/>
    <s v="-"/>
    <s v="+"/>
    <n v="10.39"/>
    <s v="-"/>
    <s v="-"/>
    <s v="-"/>
    <s v="-"/>
    <s v="-"/>
    <s v="-"/>
    <s v="-"/>
    <s v="-"/>
    <s v="P"/>
    <s v="P"/>
    <s v="-"/>
    <n v="2"/>
    <n v="1"/>
    <n v="2"/>
    <n v="0"/>
    <s v="-"/>
    <s v="-"/>
    <s v="-"/>
    <s v="-"/>
    <s v="-"/>
    <s v="-"/>
    <s v="-"/>
    <n v="5"/>
    <n v="6"/>
    <s v="-"/>
    <n v="1"/>
    <n v="1"/>
    <n v="2"/>
    <n v="2"/>
    <n v="7"/>
    <n v="8"/>
  </r>
  <r>
    <x v="2"/>
    <x v="66"/>
    <d v="1899-12-30T00:00:00"/>
    <s v="3RD"/>
    <d v="1899-12-31T01:00:00"/>
    <n v="2"/>
    <x v="2"/>
    <n v="1.9E-2"/>
    <s v="P"/>
    <s v="P"/>
    <s v="P"/>
    <s v="-"/>
    <s v="+"/>
    <n v="10.46"/>
    <s v="-"/>
    <s v="-"/>
    <s v="-"/>
    <s v="-"/>
    <s v="-"/>
    <s v="-"/>
    <s v="-"/>
    <s v="-"/>
    <s v="P"/>
    <s v="P"/>
    <s v="-"/>
    <n v="2"/>
    <n v="1"/>
    <n v="2"/>
    <n v="0"/>
    <s v="-"/>
    <s v="-"/>
    <s v="-"/>
    <s v="-"/>
    <s v="-"/>
    <s v="-"/>
    <s v="-"/>
    <n v="5"/>
    <n v="6"/>
    <s v="-"/>
    <n v="1"/>
    <n v="1"/>
    <n v="2"/>
    <n v="2"/>
    <n v="7"/>
    <n v="8"/>
  </r>
  <r>
    <x v="2"/>
    <x v="66"/>
    <d v="1899-12-30T00:00:00"/>
    <s v="3RD"/>
    <d v="1899-12-31T03:00:00"/>
    <n v="2"/>
    <x v="2"/>
    <n v="9.5999999999999992E-3"/>
    <s v="P"/>
    <s v="P"/>
    <s v="P"/>
    <s v="-"/>
    <s v="+"/>
    <n v="10.51"/>
    <s v="-"/>
    <s v="-"/>
    <s v="-"/>
    <s v="-"/>
    <s v="-"/>
    <s v="-"/>
    <s v="-"/>
    <s v="-"/>
    <s v="P"/>
    <s v="P"/>
    <s v="-"/>
    <n v="2"/>
    <n v="1"/>
    <n v="2"/>
    <n v="0"/>
    <s v="-"/>
    <s v="-"/>
    <s v="-"/>
    <s v="-"/>
    <s v="-"/>
    <s v="-"/>
    <s v="-"/>
    <n v="5"/>
    <n v="6"/>
    <s v="-"/>
    <n v="1"/>
    <n v="1"/>
    <n v="2"/>
    <n v="2"/>
    <n v="7"/>
    <n v="8"/>
  </r>
  <r>
    <x v="2"/>
    <x v="66"/>
    <d v="1899-12-30T00:00:00"/>
    <s v="3RD"/>
    <d v="1899-12-31T04:00:00"/>
    <n v="2"/>
    <x v="2"/>
    <n v="1.35E-2"/>
    <s v="P"/>
    <s v="P"/>
    <s v="P"/>
    <s v="-"/>
    <s v="+"/>
    <n v="10.77"/>
    <s v="-"/>
    <s v="-"/>
    <s v="-"/>
    <s v="-"/>
    <s v="-"/>
    <s v="-"/>
    <s v="-"/>
    <s v="-"/>
    <s v="P"/>
    <s v="P"/>
    <s v="-"/>
    <n v="2"/>
    <n v="1"/>
    <n v="2"/>
    <n v="0"/>
    <s v="-"/>
    <s v="-"/>
    <s v="-"/>
    <s v="-"/>
    <s v="-"/>
    <s v="-"/>
    <s v="-"/>
    <n v="5"/>
    <n v="6"/>
    <s v="-"/>
    <n v="1"/>
    <n v="1"/>
    <n v="2"/>
    <n v="2"/>
    <n v="7"/>
    <n v="8"/>
  </r>
  <r>
    <x v="2"/>
    <x v="66"/>
    <d v="2026-03-19T00:00:00"/>
    <s v="3RD"/>
    <d v="1899-12-31T02:00:00"/>
    <n v="3"/>
    <x v="1"/>
    <n v="1.6799999999999999E-2"/>
    <s v="P"/>
    <s v="P"/>
    <s v="P"/>
    <s v="+"/>
    <s v="+"/>
    <n v="12.97"/>
    <n v="12.62"/>
    <s v="-"/>
    <n v="63.8"/>
    <s v="-"/>
    <s v="-"/>
    <n v="35.299999999999997"/>
    <s v="-"/>
    <s v="-"/>
    <s v="P"/>
    <s v="P"/>
    <s v="70% 20% 10%"/>
    <n v="2"/>
    <n v="1"/>
    <n v="2"/>
    <n v="1"/>
    <n v="1"/>
    <s v="-"/>
    <n v="0"/>
    <s v="-"/>
    <s v="-"/>
    <n v="2"/>
    <s v="-"/>
    <n v="9"/>
    <n v="11"/>
    <s v="-"/>
    <n v="1"/>
    <n v="1"/>
    <n v="2"/>
    <n v="2"/>
    <n v="11"/>
    <n v="13"/>
  </r>
  <r>
    <x v="2"/>
    <x v="66"/>
    <d v="2026-03-19T00:00:00"/>
    <s v="3RD"/>
    <d v="1899-12-31T03:00:00"/>
    <n v="3"/>
    <x v="1"/>
    <n v="1.7299999999999999E-2"/>
    <s v="P"/>
    <s v="P"/>
    <s v="P"/>
    <s v="+"/>
    <s v="+"/>
    <n v="12.32"/>
    <s v="-"/>
    <s v="-"/>
    <s v="-"/>
    <s v="-"/>
    <s v="-"/>
    <s v="-"/>
    <s v="-"/>
    <s v="-"/>
    <s v="P"/>
    <s v="P"/>
    <s v="-"/>
    <n v="2"/>
    <n v="1"/>
    <n v="2"/>
    <n v="1"/>
    <s v="-"/>
    <s v="-"/>
    <s v="-"/>
    <s v="-"/>
    <s v="-"/>
    <s v="-"/>
    <s v="-"/>
    <n v="6"/>
    <n v="6"/>
    <s v="-"/>
    <n v="1"/>
    <n v="1"/>
    <n v="2"/>
    <n v="2"/>
    <n v="8"/>
    <n v="8"/>
  </r>
  <r>
    <x v="2"/>
    <x v="66"/>
    <d v="2026-03-19T00:00:00"/>
    <s v="3RD"/>
    <d v="1899-12-31T04:00:00"/>
    <n v="3"/>
    <x v="1"/>
    <n v="1.7600000000000001E-2"/>
    <s v="P"/>
    <s v="P"/>
    <s v="P"/>
    <s v="+"/>
    <s v="+"/>
    <n v="12.36"/>
    <s v="-"/>
    <s v="-"/>
    <s v="-"/>
    <s v="-"/>
    <s v="-"/>
    <s v="-"/>
    <s v="-"/>
    <s v="-"/>
    <s v="P"/>
    <s v="P"/>
    <s v="-"/>
    <n v="2"/>
    <n v="1"/>
    <n v="2"/>
    <n v="1"/>
    <s v="-"/>
    <s v="-"/>
    <s v="-"/>
    <s v="-"/>
    <s v="-"/>
    <s v="-"/>
    <s v="-"/>
    <n v="6"/>
    <n v="6"/>
    <s v="-"/>
    <n v="1"/>
    <n v="1"/>
    <n v="2"/>
    <n v="2"/>
    <n v="8"/>
    <n v="8"/>
  </r>
  <r>
    <x v="2"/>
    <x v="66"/>
    <d v="2026-03-20T00:00:00"/>
    <s v="2ND"/>
    <d v="1899-12-30T18:00:00"/>
    <n v="1"/>
    <x v="20"/>
    <n v="4.1999999999999997E-3"/>
    <s v="P"/>
    <s v="P"/>
    <s v="P"/>
    <s v="-"/>
    <s v="-"/>
    <n v="11.84"/>
    <n v="12.22"/>
    <n v="0.55000000000000004"/>
    <n v="65.3"/>
    <s v="-"/>
    <s v="-"/>
    <n v="34.200000000000003"/>
    <s v="-"/>
    <n v="25.14"/>
    <s v="P"/>
    <s v="P"/>
    <s v="80% 20%"/>
    <n v="2"/>
    <n v="1"/>
    <n v="2"/>
    <n v="1"/>
    <n v="1"/>
    <n v="2"/>
    <n v="2"/>
    <s v="-"/>
    <s v="-"/>
    <n v="2"/>
    <s v="-"/>
    <n v="13"/>
    <n v="13"/>
    <n v="1"/>
    <n v="1"/>
    <n v="1"/>
    <n v="3"/>
    <n v="3"/>
    <n v="16"/>
    <n v="16"/>
  </r>
  <r>
    <x v="2"/>
    <x v="66"/>
    <d v="2026-03-20T00:00:00"/>
    <s v="2ND"/>
    <d v="1899-12-30T19:00:00"/>
    <n v="1"/>
    <x v="20"/>
    <n v="7.4000000000000003E-3"/>
    <s v="P"/>
    <s v="P"/>
    <s v="P"/>
    <s v="-"/>
    <s v="-"/>
    <n v="11.54"/>
    <s v="-"/>
    <s v="-"/>
    <s v="-"/>
    <s v="-"/>
    <s v="-"/>
    <s v="-"/>
    <s v="-"/>
    <s v="-"/>
    <s v="P"/>
    <s v="P"/>
    <s v="-"/>
    <n v="2"/>
    <n v="1"/>
    <n v="2"/>
    <n v="1"/>
    <s v="-"/>
    <s v="-"/>
    <s v="-"/>
    <s v="-"/>
    <s v="-"/>
    <s v="-"/>
    <s v="-"/>
    <n v="6"/>
    <n v="6"/>
    <s v="-"/>
    <n v="1"/>
    <n v="1"/>
    <n v="2"/>
    <n v="2"/>
    <n v="8"/>
    <n v="8"/>
  </r>
  <r>
    <x v="2"/>
    <x v="66"/>
    <d v="2026-03-20T00:00:00"/>
    <s v="2ND"/>
    <d v="1899-12-30T21:00:00"/>
    <n v="1"/>
    <x v="20"/>
    <n v="6.1000000000000004E-3"/>
    <s v="P"/>
    <s v="P"/>
    <s v="P"/>
    <s v="-"/>
    <s v="-"/>
    <n v="12.83"/>
    <s v="-"/>
    <s v="-"/>
    <s v="-"/>
    <s v="-"/>
    <s v="-"/>
    <s v="-"/>
    <s v="-"/>
    <s v="-"/>
    <s v="P"/>
    <s v="P"/>
    <s v="-"/>
    <n v="2"/>
    <n v="1"/>
    <n v="2"/>
    <n v="1"/>
    <s v="-"/>
    <s v="-"/>
    <s v="-"/>
    <s v="-"/>
    <s v="-"/>
    <s v="-"/>
    <s v="-"/>
    <n v="6"/>
    <n v="6"/>
    <s v="-"/>
    <n v="1"/>
    <n v="1"/>
    <n v="2"/>
    <n v="2"/>
    <n v="8"/>
    <n v="8"/>
  </r>
  <r>
    <x v="2"/>
    <x v="66"/>
    <d v="2026-03-20T00:00:00"/>
    <s v="3RD"/>
    <d v="1899-12-30T23:00:00"/>
    <n v="1"/>
    <x v="20"/>
    <n v="5.8999999999999999E-3"/>
    <s v="P"/>
    <s v="P"/>
    <s v="P"/>
    <s v="-"/>
    <s v="-"/>
    <n v="12.86"/>
    <n v="12.68"/>
    <n v="0.55000000000000004"/>
    <s v="-"/>
    <s v="-"/>
    <s v="-"/>
    <n v="35.299999999999997"/>
    <s v="-"/>
    <n v="25.14"/>
    <s v="P"/>
    <s v="P"/>
    <s v="80% 20%"/>
    <n v="2"/>
    <n v="1"/>
    <n v="2"/>
    <n v="1"/>
    <n v="1"/>
    <n v="2"/>
    <s v="-"/>
    <s v="-"/>
    <s v="-"/>
    <n v="2"/>
    <s v="-"/>
    <n v="11"/>
    <n v="11"/>
    <n v="1"/>
    <n v="1"/>
    <n v="1"/>
    <n v="3"/>
    <n v="3"/>
    <n v="14"/>
    <n v="14"/>
  </r>
  <r>
    <x v="2"/>
    <x v="66"/>
    <d v="2026-03-20T00:00:00"/>
    <s v="3RD"/>
    <d v="1899-12-31T00:00:00"/>
    <n v="1"/>
    <x v="20"/>
    <n v="3.3E-3"/>
    <s v="P"/>
    <s v="P"/>
    <s v="P"/>
    <s v="-"/>
    <s v="-"/>
    <n v="13.13"/>
    <s v="-"/>
    <s v="-"/>
    <s v="-"/>
    <s v="-"/>
    <s v="-"/>
    <s v="-"/>
    <s v="-"/>
    <s v="-"/>
    <s v="P"/>
    <s v="P"/>
    <s v="-"/>
    <n v="2"/>
    <n v="1"/>
    <n v="2"/>
    <n v="1"/>
    <s v="-"/>
    <s v="-"/>
    <s v="-"/>
    <s v="-"/>
    <s v="-"/>
    <s v="-"/>
    <s v="-"/>
    <n v="6"/>
    <n v="6"/>
    <s v="-"/>
    <n v="1"/>
    <n v="1"/>
    <n v="2"/>
    <n v="2"/>
    <n v="8"/>
    <n v="8"/>
  </r>
  <r>
    <x v="2"/>
    <x v="66"/>
    <d v="2026-03-20T00:00:00"/>
    <s v="3RD"/>
    <d v="1899-12-31T01:00:00"/>
    <n v="1"/>
    <x v="20"/>
    <n v="8.0999999999999996E-3"/>
    <s v="P"/>
    <s v="P"/>
    <s v="P"/>
    <s v="-"/>
    <s v="-"/>
    <n v="12.77"/>
    <s v="-"/>
    <s v="-"/>
    <s v="-"/>
    <s v="-"/>
    <s v="-"/>
    <s v="-"/>
    <s v="-"/>
    <s v="-"/>
    <s v="P"/>
    <s v="P"/>
    <s v="-"/>
    <n v="2"/>
    <n v="1"/>
    <n v="2"/>
    <n v="1"/>
    <s v="-"/>
    <s v="-"/>
    <s v="-"/>
    <s v="-"/>
    <s v="-"/>
    <s v="-"/>
    <s v="-"/>
    <n v="6"/>
    <n v="6"/>
    <s v="-"/>
    <n v="1"/>
    <n v="1"/>
    <n v="2"/>
    <n v="2"/>
    <n v="8"/>
    <n v="8"/>
  </r>
  <r>
    <x v="2"/>
    <x v="66"/>
    <d v="2026-03-20T00:00:00"/>
    <s v="3RD"/>
    <d v="1899-12-31T03:00:00"/>
    <n v="1"/>
    <x v="20"/>
    <n v="3.8999999999999998E-3"/>
    <s v="P"/>
    <s v="P"/>
    <s v="P"/>
    <s v="-"/>
    <s v="-"/>
    <n v="12.6"/>
    <s v="-"/>
    <s v="-"/>
    <s v="-"/>
    <s v="-"/>
    <s v="-"/>
    <s v="-"/>
    <s v="-"/>
    <s v="-"/>
    <s v="P"/>
    <s v="P"/>
    <s v="-"/>
    <n v="2"/>
    <n v="1"/>
    <n v="2"/>
    <n v="1"/>
    <s v="-"/>
    <s v="-"/>
    <s v="-"/>
    <s v="-"/>
    <s v="-"/>
    <s v="-"/>
    <s v="-"/>
    <n v="6"/>
    <n v="6"/>
    <s v="-"/>
    <n v="1"/>
    <n v="1"/>
    <n v="2"/>
    <n v="2"/>
    <n v="8"/>
    <n v="8"/>
  </r>
  <r>
    <x v="2"/>
    <x v="66"/>
    <d v="2026-03-20T00:00:00"/>
    <s v="3RD"/>
    <d v="1899-12-31T04:00:00"/>
    <n v="1"/>
    <x v="20"/>
    <n v="4.1999999999999997E-3"/>
    <s v="P"/>
    <s v="P"/>
    <s v="P"/>
    <s v="-"/>
    <s v="-"/>
    <n v="12.73"/>
    <s v="-"/>
    <s v="-"/>
    <s v="-"/>
    <s v="-"/>
    <s v="-"/>
    <s v="-"/>
    <s v="-"/>
    <s v="-"/>
    <s v="P"/>
    <s v="P"/>
    <s v="-"/>
    <n v="2"/>
    <n v="1"/>
    <n v="2"/>
    <n v="1"/>
    <s v="-"/>
    <s v="-"/>
    <s v="-"/>
    <s v="-"/>
    <s v="-"/>
    <s v="-"/>
    <s v="-"/>
    <n v="6"/>
    <n v="6"/>
    <s v="-"/>
    <n v="1"/>
    <n v="1"/>
    <n v="2"/>
    <n v="2"/>
    <n v="8"/>
    <n v="8"/>
  </r>
  <r>
    <x v="2"/>
    <x v="66"/>
    <d v="2026-03-18T00:00:00"/>
    <s v="1ST"/>
    <s v="06:00"/>
    <n v="3"/>
    <x v="46"/>
    <n v="7.1000000000000004E-3"/>
    <s v="P"/>
    <s v="P"/>
    <s v="P"/>
    <s v="+"/>
    <s v="+"/>
    <n v="13.14"/>
    <n v="11.81"/>
    <n v="0.55000000000000004"/>
    <n v="63.2"/>
    <s v="-"/>
    <s v="-"/>
    <n v="32.799999999999997"/>
    <s v="-"/>
    <s v="-"/>
    <s v="P"/>
    <s v="P"/>
    <s v="50% 50%"/>
    <n v="2"/>
    <n v="1"/>
    <n v="2"/>
    <n v="0"/>
    <s v="-"/>
    <n v="2"/>
    <n v="0"/>
    <s v="-"/>
    <s v="-"/>
    <n v="0"/>
    <s v="-"/>
    <n v="7"/>
    <n v="12"/>
    <s v="-"/>
    <n v="1"/>
    <n v="1"/>
    <n v="2"/>
    <n v="2"/>
    <n v="9"/>
    <n v="14"/>
  </r>
  <r>
    <x v="2"/>
    <x v="66"/>
    <d v="2026-03-18T00:00:00"/>
    <s v="1ST"/>
    <s v="07:00"/>
    <n v="3"/>
    <x v="46"/>
    <n v="1.6400000000000001E-2"/>
    <s v="P"/>
    <s v="P"/>
    <s v="P"/>
    <s v="+"/>
    <s v="+"/>
    <n v="13.23"/>
    <s v="-"/>
    <s v="-"/>
    <s v="-"/>
    <s v="-"/>
    <s v="-"/>
    <s v="-"/>
    <s v="-"/>
    <s v="-"/>
    <s v="P"/>
    <s v="P"/>
    <s v="-"/>
    <n v="2"/>
    <n v="1"/>
    <n v="2"/>
    <n v="0"/>
    <s v="-"/>
    <s v="-"/>
    <s v="-"/>
    <s v="-"/>
    <s v="-"/>
    <s v="-"/>
    <s v="-"/>
    <n v="5"/>
    <n v="6"/>
    <s v="-"/>
    <n v="1"/>
    <n v="1"/>
    <n v="2"/>
    <n v="2"/>
    <n v="7"/>
    <n v="8"/>
  </r>
  <r>
    <x v="2"/>
    <x v="66"/>
    <d v="2026-03-18T00:00:00"/>
    <s v="1ST"/>
    <s v="08:00"/>
    <n v="3"/>
    <x v="46"/>
    <n v="5.1000000000000004E-3"/>
    <s v="P"/>
    <s v="P"/>
    <s v="P"/>
    <s v="+"/>
    <s v="+"/>
    <n v="13.03"/>
    <s v="-"/>
    <s v="-"/>
    <s v="-"/>
    <s v="-"/>
    <s v="-"/>
    <s v="-"/>
    <s v="-"/>
    <s v="-"/>
    <s v="P"/>
    <s v="P"/>
    <s v="-"/>
    <n v="2"/>
    <n v="1"/>
    <n v="2"/>
    <n v="0"/>
    <s v="-"/>
    <s v="-"/>
    <s v="-"/>
    <s v="-"/>
    <s v="-"/>
    <s v="-"/>
    <s v="-"/>
    <n v="5"/>
    <n v="6"/>
    <s v="-"/>
    <n v="1"/>
    <n v="1"/>
    <n v="2"/>
    <n v="2"/>
    <n v="7"/>
    <n v="8"/>
  </r>
  <r>
    <x v="2"/>
    <x v="66"/>
    <d v="2026-03-18T00:00:00"/>
    <s v="1ST"/>
    <s v="09:00"/>
    <n v="3"/>
    <x v="46"/>
    <n v="1.2800000000000001E-2"/>
    <s v="P"/>
    <s v="P"/>
    <s v="P"/>
    <s v="+"/>
    <s v="+"/>
    <n v="13.2"/>
    <s v="-"/>
    <s v="-"/>
    <s v="-"/>
    <s v="-"/>
    <s v="-"/>
    <s v="-"/>
    <s v="-"/>
    <s v="-"/>
    <s v="P"/>
    <s v="P"/>
    <s v="-"/>
    <n v="2"/>
    <n v="1"/>
    <n v="2"/>
    <n v="0"/>
    <s v="-"/>
    <s v="-"/>
    <s v="-"/>
    <s v="-"/>
    <s v="-"/>
    <s v="-"/>
    <s v="-"/>
    <n v="5"/>
    <n v="6"/>
    <s v="-"/>
    <n v="1"/>
    <n v="1"/>
    <n v="2"/>
    <n v="2"/>
    <n v="7"/>
    <n v="8"/>
  </r>
  <r>
    <x v="2"/>
    <x v="66"/>
    <d v="2026-03-18T00:00:00"/>
    <s v="1ST"/>
    <s v="10:00"/>
    <n v="3"/>
    <x v="16"/>
    <n v="1.4200000000000001E-2"/>
    <s v="P"/>
    <s v="P"/>
    <s v="P"/>
    <s v="+"/>
    <s v="+"/>
    <n v="13.16"/>
    <n v="13.16"/>
    <n v="0.5"/>
    <n v="64"/>
    <s v="-"/>
    <s v="-"/>
    <n v="36.9"/>
    <s v="-"/>
    <s v="-"/>
    <s v="P"/>
    <s v="P"/>
    <n v="1"/>
    <n v="2"/>
    <n v="1"/>
    <n v="2"/>
    <n v="1"/>
    <n v="1"/>
    <n v="2"/>
    <n v="2"/>
    <s v="-"/>
    <s v="-"/>
    <n v="2"/>
    <s v="-"/>
    <n v="13"/>
    <n v="13"/>
    <s v="-"/>
    <n v="1"/>
    <n v="1"/>
    <n v="2"/>
    <n v="2"/>
    <n v="15"/>
    <n v="15"/>
  </r>
  <r>
    <x v="2"/>
    <x v="66"/>
    <d v="2026-03-18T00:00:00"/>
    <s v="1ST"/>
    <s v="11:00"/>
    <n v="3"/>
    <x v="16"/>
    <n v="7.9000000000000008E-3"/>
    <s v="P"/>
    <s v="P"/>
    <s v="P"/>
    <s v="+"/>
    <s v="+"/>
    <n v="12.96"/>
    <s v="-"/>
    <s v="-"/>
    <s v="-"/>
    <s v="-"/>
    <s v="-"/>
    <s v="-"/>
    <s v="-"/>
    <s v="-"/>
    <s v="P"/>
    <s v="P"/>
    <s v="-"/>
    <n v="2"/>
    <n v="1"/>
    <n v="2"/>
    <n v="1"/>
    <s v="-"/>
    <s v="-"/>
    <s v="-"/>
    <s v="-"/>
    <s v="-"/>
    <s v="-"/>
    <s v="-"/>
    <n v="6"/>
    <n v="6"/>
    <s v="-"/>
    <n v="1"/>
    <n v="1"/>
    <n v="2"/>
    <n v="2"/>
    <n v="8"/>
    <n v="8"/>
  </r>
  <r>
    <x v="2"/>
    <x v="66"/>
    <d v="2026-03-18T00:00:00"/>
    <s v="1ST"/>
    <s v="12:00"/>
    <n v="3"/>
    <x v="16"/>
    <n v="1.2800000000000001E-2"/>
    <s v="P"/>
    <s v="P"/>
    <s v="P"/>
    <s v="+"/>
    <s v="+"/>
    <n v="13.11"/>
    <s v="-"/>
    <s v="-"/>
    <s v="-"/>
    <s v="-"/>
    <s v="-"/>
    <s v="-"/>
    <s v="-"/>
    <s v="-"/>
    <s v="P"/>
    <s v="P"/>
    <s v="-"/>
    <n v="2"/>
    <n v="1"/>
    <n v="2"/>
    <n v="1"/>
    <s v="-"/>
    <s v="-"/>
    <s v="-"/>
    <s v="-"/>
    <s v="-"/>
    <s v="-"/>
    <s v="-"/>
    <n v="6"/>
    <n v="6"/>
    <s v="-"/>
    <n v="1"/>
    <n v="1"/>
    <n v="2"/>
    <n v="2"/>
    <n v="8"/>
    <n v="8"/>
  </r>
  <r>
    <x v="2"/>
    <x v="66"/>
    <d v="2026-03-18T00:00:00"/>
    <s v="1ST"/>
    <s v="13:00"/>
    <n v="3"/>
    <x v="16"/>
    <n v="1.3899999999999999E-2"/>
    <s v="P"/>
    <s v="P"/>
    <s v="P"/>
    <s v="+"/>
    <s v="+"/>
    <n v="12.97"/>
    <s v="-"/>
    <s v="-"/>
    <s v="-"/>
    <s v="-"/>
    <s v="-"/>
    <s v="-"/>
    <s v="-"/>
    <s v="-"/>
    <s v="P"/>
    <s v="P"/>
    <s v="-"/>
    <n v="2"/>
    <n v="1"/>
    <n v="2"/>
    <n v="1"/>
    <s v="-"/>
    <s v="-"/>
    <s v="-"/>
    <s v="-"/>
    <s v="-"/>
    <s v="-"/>
    <s v="-"/>
    <n v="6"/>
    <n v="6"/>
    <s v="-"/>
    <n v="1"/>
    <n v="1"/>
    <n v="2"/>
    <n v="2"/>
    <n v="8"/>
    <n v="8"/>
  </r>
  <r>
    <x v="2"/>
    <x v="66"/>
    <d v="2026-03-18T00:00:00"/>
    <s v="2ND"/>
    <d v="1899-12-30T14:00:00"/>
    <n v="3"/>
    <x v="16"/>
    <n v="9.5999999999999992E-3"/>
    <s v="P"/>
    <s v="P"/>
    <s v="P"/>
    <s v="+"/>
    <s v="+"/>
    <n v="12.84"/>
    <n v="13.4"/>
    <n v="0.5"/>
    <n v="64"/>
    <s v="-"/>
    <s v="-"/>
    <n v="36.9"/>
    <s v="-"/>
    <s v="-"/>
    <s v="P"/>
    <s v="P"/>
    <n v="1"/>
    <n v="2"/>
    <n v="1"/>
    <n v="2"/>
    <n v="1"/>
    <n v="1"/>
    <n v="2"/>
    <n v="2"/>
    <s v="-"/>
    <s v="-"/>
    <n v="2"/>
    <s v="-"/>
    <n v="13"/>
    <n v="13"/>
    <s v="-"/>
    <n v="1"/>
    <n v="1"/>
    <n v="2"/>
    <n v="2"/>
    <n v="15"/>
    <n v="15"/>
  </r>
  <r>
    <x v="2"/>
    <x v="66"/>
    <d v="2026-03-18T00:00:00"/>
    <s v="2ND"/>
    <d v="1899-12-30T15:00:00"/>
    <n v="3"/>
    <x v="16"/>
    <n v="1.6799999999999999E-2"/>
    <s v="P"/>
    <s v="P"/>
    <s v="P"/>
    <s v="+"/>
    <s v="+"/>
    <n v="12.71"/>
    <s v="-"/>
    <s v="-"/>
    <s v="-"/>
    <s v="-"/>
    <s v="-"/>
    <s v="-"/>
    <s v="-"/>
    <s v="-"/>
    <s v="P"/>
    <s v="P"/>
    <s v="-"/>
    <n v="2"/>
    <n v="1"/>
    <n v="2"/>
    <n v="1"/>
    <s v="-"/>
    <s v="-"/>
    <s v="-"/>
    <s v="-"/>
    <s v="-"/>
    <s v="-"/>
    <s v="-"/>
    <n v="6"/>
    <n v="6"/>
    <s v="-"/>
    <n v="1"/>
    <n v="1"/>
    <n v="2"/>
    <n v="2"/>
    <n v="8"/>
    <n v="8"/>
  </r>
  <r>
    <x v="2"/>
    <x v="66"/>
    <d v="2026-03-18T00:00:00"/>
    <s v="2ND"/>
    <d v="1899-12-30T16:00:00"/>
    <n v="3"/>
    <x v="16"/>
    <n v="1.6199999999999999E-2"/>
    <s v="P"/>
    <s v="P"/>
    <s v="P"/>
    <s v="+"/>
    <s v="+"/>
    <n v="12.88"/>
    <s v="-"/>
    <s v="-"/>
    <s v="-"/>
    <s v="-"/>
    <s v="-"/>
    <s v="-"/>
    <s v="-"/>
    <s v="-"/>
    <s v="P"/>
    <s v="P"/>
    <s v="-"/>
    <n v="2"/>
    <n v="1"/>
    <n v="2"/>
    <n v="1"/>
    <s v="-"/>
    <s v="-"/>
    <s v="-"/>
    <s v="-"/>
    <s v="-"/>
    <s v="-"/>
    <s v="-"/>
    <n v="6"/>
    <n v="6"/>
    <s v="-"/>
    <n v="1"/>
    <n v="1"/>
    <n v="2"/>
    <n v="2"/>
    <n v="8"/>
    <n v="8"/>
  </r>
  <r>
    <x v="2"/>
    <x v="66"/>
    <d v="2026-03-18T00:00:00"/>
    <s v="2ND"/>
    <d v="1899-12-30T18:00:00"/>
    <n v="3"/>
    <x v="16"/>
    <n v="3.8E-3"/>
    <s v="P"/>
    <s v="P"/>
    <s v="P"/>
    <s v="+"/>
    <s v="+"/>
    <n v="12.62"/>
    <s v="-"/>
    <s v="-"/>
    <s v="-"/>
    <s v="-"/>
    <s v="-"/>
    <s v="-"/>
    <s v="-"/>
    <n v="25.2"/>
    <s v="P"/>
    <s v="P"/>
    <s v="-"/>
    <n v="2"/>
    <n v="1"/>
    <n v="2"/>
    <n v="1"/>
    <s v="-"/>
    <s v="-"/>
    <s v="-"/>
    <s v="-"/>
    <s v="-"/>
    <s v="-"/>
    <s v="-"/>
    <n v="6"/>
    <n v="6"/>
    <n v="1"/>
    <n v="1"/>
    <n v="1"/>
    <n v="3"/>
    <n v="3"/>
    <n v="9"/>
    <n v="9"/>
  </r>
  <r>
    <x v="2"/>
    <x v="66"/>
    <d v="2026-03-18T00:00:00"/>
    <s v="2ND"/>
    <d v="1899-12-30T19:00:00"/>
    <n v="3"/>
    <x v="16"/>
    <n v="4.1999999999999997E-3"/>
    <s v="P"/>
    <s v="P"/>
    <s v="P"/>
    <s v="+"/>
    <s v="+"/>
    <n v="13.06"/>
    <s v="-"/>
    <s v="-"/>
    <s v="-"/>
    <s v="-"/>
    <s v="-"/>
    <s v="-"/>
    <s v="-"/>
    <s v="-"/>
    <s v="P"/>
    <s v="P"/>
    <s v="-"/>
    <n v="2"/>
    <n v="1"/>
    <n v="2"/>
    <n v="1"/>
    <s v="-"/>
    <s v="-"/>
    <s v="-"/>
    <s v="-"/>
    <s v="-"/>
    <s v="-"/>
    <s v="-"/>
    <n v="6"/>
    <n v="6"/>
    <s v="-"/>
    <n v="1"/>
    <n v="1"/>
    <n v="2"/>
    <n v="2"/>
    <n v="8"/>
    <n v="8"/>
  </r>
  <r>
    <x v="2"/>
    <x v="66"/>
    <d v="2026-03-18T00:00:00"/>
    <s v="2ND"/>
    <d v="1899-12-30T21:00:00"/>
    <n v="3"/>
    <x v="16"/>
    <n v="9.9000000000000008E-3"/>
    <s v="P"/>
    <s v="P"/>
    <s v="P"/>
    <s v="+"/>
    <s v="+"/>
    <n v="13.06"/>
    <s v="-"/>
    <s v="-"/>
    <s v="-"/>
    <s v="-"/>
    <s v="-"/>
    <s v="-"/>
    <s v="-"/>
    <s v="-"/>
    <s v="P"/>
    <s v="P"/>
    <s v="-"/>
    <n v="2"/>
    <n v="1"/>
    <n v="2"/>
    <n v="1"/>
    <s v="-"/>
    <s v="-"/>
    <s v="-"/>
    <s v="-"/>
    <s v="-"/>
    <s v="-"/>
    <s v="-"/>
    <n v="6"/>
    <n v="6"/>
    <s v="-"/>
    <n v="1"/>
    <n v="1"/>
    <n v="2"/>
    <n v="2"/>
    <n v="8"/>
    <n v="8"/>
  </r>
  <r>
    <x v="2"/>
    <x v="66"/>
    <d v="2026-03-18T00:00:00"/>
    <s v="3RD"/>
    <d v="1899-12-30T23:00:00"/>
    <n v="3"/>
    <x v="16"/>
    <n v="5.7999999999999996E-3"/>
    <s v="P"/>
    <s v="P"/>
    <s v="P"/>
    <s v="+"/>
    <s v="+"/>
    <n v="12.07"/>
    <n v="12.95"/>
    <n v="0.5"/>
    <s v="-"/>
    <s v="-"/>
    <s v="-"/>
    <n v="36.200000000000003"/>
    <s v="-"/>
    <n v="25.18"/>
    <s v="P"/>
    <s v="P"/>
    <n v="1"/>
    <n v="2"/>
    <n v="1"/>
    <n v="2"/>
    <n v="1"/>
    <n v="1"/>
    <n v="2"/>
    <s v="-"/>
    <s v="-"/>
    <s v="-"/>
    <n v="2"/>
    <s v="-"/>
    <n v="11"/>
    <n v="11"/>
    <n v="1"/>
    <n v="1"/>
    <n v="1"/>
    <n v="3"/>
    <n v="3"/>
    <n v="14"/>
    <n v="14"/>
  </r>
  <r>
    <x v="2"/>
    <x v="66"/>
    <d v="2026-03-18T00:00:00"/>
    <s v="3RD"/>
    <d v="1899-12-31T00:00:00"/>
    <n v="3"/>
    <x v="16"/>
    <n v="7.4000000000000003E-3"/>
    <s v="P"/>
    <s v="P"/>
    <s v="P"/>
    <s v="+"/>
    <s v="+"/>
    <n v="12.68"/>
    <s v="-"/>
    <s v="-"/>
    <s v="-"/>
    <s v="-"/>
    <s v="-"/>
    <s v="-"/>
    <s v="-"/>
    <s v="-"/>
    <s v="P"/>
    <s v="P"/>
    <s v="-"/>
    <n v="2"/>
    <n v="1"/>
    <n v="2"/>
    <n v="1"/>
    <s v="-"/>
    <s v="-"/>
    <s v="-"/>
    <s v="-"/>
    <s v="-"/>
    <s v="-"/>
    <s v="-"/>
    <n v="6"/>
    <n v="6"/>
    <s v="-"/>
    <n v="1"/>
    <n v="1"/>
    <n v="2"/>
    <n v="2"/>
    <n v="8"/>
    <n v="8"/>
  </r>
  <r>
    <x v="2"/>
    <x v="66"/>
    <d v="2026-03-18T00:00:00"/>
    <s v="3RD"/>
    <d v="1899-12-31T01:00:00"/>
    <n v="3"/>
    <x v="16"/>
    <n v="1.7600000000000001E-2"/>
    <s v="P"/>
    <s v="P"/>
    <s v="P"/>
    <s v="+"/>
    <s v="+"/>
    <n v="12.18"/>
    <s v="-"/>
    <s v="-"/>
    <s v="-"/>
    <s v="-"/>
    <s v="-"/>
    <s v="-"/>
    <s v="-"/>
    <s v="-"/>
    <s v="P"/>
    <s v="P"/>
    <s v="-"/>
    <n v="2"/>
    <n v="1"/>
    <n v="2"/>
    <n v="1"/>
    <s v="-"/>
    <s v="-"/>
    <s v="-"/>
    <s v="-"/>
    <s v="-"/>
    <s v="-"/>
    <s v="-"/>
    <n v="6"/>
    <n v="6"/>
    <s v="-"/>
    <n v="1"/>
    <n v="1"/>
    <n v="2"/>
    <n v="2"/>
    <n v="8"/>
    <n v="8"/>
  </r>
  <r>
    <x v="2"/>
    <x v="67"/>
    <d v="2026-03-19T00:00:00"/>
    <s v="1ST"/>
    <s v="06:00"/>
    <n v="3"/>
    <x v="6"/>
    <n v="1.8499999999999999E-2"/>
    <s v="P"/>
    <s v="P"/>
    <s v="P"/>
    <s v="+"/>
    <s v="+"/>
    <n v="12.72"/>
    <n v="12.39"/>
    <n v="0.61"/>
    <n v="63.8"/>
    <s v="-"/>
    <s v="-"/>
    <n v="34.6"/>
    <s v="-"/>
    <s v="-"/>
    <s v="P"/>
    <s v="P"/>
    <s v="80% 20%"/>
    <n v="2"/>
    <n v="1"/>
    <n v="2"/>
    <n v="1"/>
    <n v="1"/>
    <n v="0"/>
    <n v="0"/>
    <s v="-"/>
    <s v="-"/>
    <n v="2"/>
    <s v="-"/>
    <n v="9"/>
    <n v="13"/>
    <s v="-"/>
    <n v="1"/>
    <n v="1"/>
    <n v="2"/>
    <n v="2"/>
    <n v="11"/>
    <n v="15"/>
  </r>
  <r>
    <x v="2"/>
    <x v="67"/>
    <d v="2026-03-19T00:00:00"/>
    <s v="1ST"/>
    <s v="08:00"/>
    <n v="3"/>
    <x v="6"/>
    <n v="1.52E-2"/>
    <s v="P"/>
    <s v="P"/>
    <s v="P"/>
    <s v="+"/>
    <s v="+"/>
    <n v="12.74"/>
    <s v="-"/>
    <s v="-"/>
    <s v="-"/>
    <s v="-"/>
    <s v="-"/>
    <s v="-"/>
    <s v="-"/>
    <s v="-"/>
    <s v="P"/>
    <s v="P"/>
    <s v="-"/>
    <n v="2"/>
    <n v="1"/>
    <n v="2"/>
    <n v="1"/>
    <s v="-"/>
    <s v="-"/>
    <s v="-"/>
    <s v="-"/>
    <s v="-"/>
    <s v="-"/>
    <s v="-"/>
    <n v="6"/>
    <n v="6"/>
    <s v="-"/>
    <n v="1"/>
    <n v="1"/>
    <n v="2"/>
    <n v="2"/>
    <n v="8"/>
    <n v="8"/>
  </r>
  <r>
    <x v="2"/>
    <x v="67"/>
    <d v="2026-03-19T00:00:00"/>
    <s v="1ST"/>
    <s v="09:00"/>
    <n v="3"/>
    <x v="6"/>
    <s v="-"/>
    <s v="P"/>
    <s v="P"/>
    <s v="P"/>
    <s v="+"/>
    <s v="+"/>
    <n v="12.37"/>
    <s v="-"/>
    <s v="-"/>
    <s v="-"/>
    <s v="-"/>
    <s v="-"/>
    <s v="-"/>
    <s v="-"/>
    <s v="-"/>
    <s v="P"/>
    <s v="P"/>
    <s v="-"/>
    <s v="-"/>
    <n v="1"/>
    <n v="2"/>
    <n v="1"/>
    <s v="-"/>
    <s v="-"/>
    <s v="-"/>
    <s v="-"/>
    <s v="-"/>
    <s v="-"/>
    <s v="-"/>
    <n v="4"/>
    <n v="4"/>
    <s v="-"/>
    <n v="1"/>
    <n v="1"/>
    <n v="2"/>
    <n v="2"/>
    <n v="6"/>
    <n v="6"/>
  </r>
  <r>
    <x v="2"/>
    <x v="67"/>
    <d v="2026-03-19T00:00:00"/>
    <s v="1ST"/>
    <s v="10:00"/>
    <n v="3"/>
    <x v="6"/>
    <n v="1.0500000000000001E-2"/>
    <s v="P"/>
    <s v="P"/>
    <s v="P"/>
    <s v="+"/>
    <s v="+"/>
    <n v="12.85"/>
    <s v="-"/>
    <s v="-"/>
    <s v="-"/>
    <s v="-"/>
    <s v="-"/>
    <s v="-"/>
    <s v="-"/>
    <s v="-"/>
    <s v="P"/>
    <s v="P"/>
    <s v="-"/>
    <n v="2"/>
    <n v="1"/>
    <n v="2"/>
    <n v="1"/>
    <s v="-"/>
    <s v="-"/>
    <s v="-"/>
    <s v="-"/>
    <s v="-"/>
    <s v="-"/>
    <s v="-"/>
    <n v="6"/>
    <n v="6"/>
    <s v="-"/>
    <n v="1"/>
    <n v="1"/>
    <n v="2"/>
    <n v="2"/>
    <n v="8"/>
    <n v="8"/>
  </r>
  <r>
    <x v="2"/>
    <x v="67"/>
    <d v="1902-03-26T00:00:00"/>
    <s v="1ST"/>
    <s v="06:00"/>
    <n v="2"/>
    <x v="2"/>
    <n v="1.14E-2"/>
    <s v="P"/>
    <s v="P"/>
    <s v="P"/>
    <s v="-"/>
    <s v="+"/>
    <n v="10.56"/>
    <n v="9.02"/>
    <n v="0.69"/>
    <n v="57.5"/>
    <s v="-"/>
    <s v="-"/>
    <n v="24.56"/>
    <s v="-"/>
    <s v="-"/>
    <s v="P"/>
    <s v="P"/>
    <s v="-"/>
    <n v="2"/>
    <n v="1"/>
    <n v="2"/>
    <n v="0"/>
    <n v="0"/>
    <n v="0"/>
    <n v="0"/>
    <s v="-"/>
    <s v="-"/>
    <n v="0"/>
    <s v="-"/>
    <n v="5"/>
    <n v="13"/>
    <s v="-"/>
    <n v="1"/>
    <n v="1"/>
    <n v="2"/>
    <n v="2"/>
    <n v="7"/>
    <n v="15"/>
  </r>
  <r>
    <x v="2"/>
    <x v="67"/>
    <d v="1899-12-30T00:00:00"/>
    <s v="1ST"/>
    <s v="07:00"/>
    <n v="2"/>
    <x v="2"/>
    <n v="1.3899999999999999E-2"/>
    <s v="P"/>
    <s v="P"/>
    <s v="P"/>
    <s v="-"/>
    <s v="+"/>
    <n v="10.61"/>
    <s v="-"/>
    <s v="-"/>
    <s v="-"/>
    <s v="-"/>
    <s v="-"/>
    <s v="-"/>
    <s v="-"/>
    <s v="-"/>
    <s v="P"/>
    <s v="P"/>
    <s v="-"/>
    <n v="2"/>
    <n v="1"/>
    <n v="2"/>
    <n v="0"/>
    <s v="-"/>
    <s v="-"/>
    <s v="-"/>
    <s v="-"/>
    <s v="-"/>
    <s v="-"/>
    <s v="-"/>
    <n v="5"/>
    <n v="6"/>
    <s v="-"/>
    <n v="1"/>
    <n v="1"/>
    <n v="2"/>
    <n v="2"/>
    <n v="7"/>
    <n v="8"/>
  </r>
  <r>
    <x v="2"/>
    <x v="67"/>
    <d v="1899-12-30T00:00:00"/>
    <s v="1ST"/>
    <s v="08:00"/>
    <n v="2"/>
    <x v="2"/>
    <n v="1.4200000000000001E-2"/>
    <s v="P"/>
    <s v="P"/>
    <s v="P"/>
    <s v="-"/>
    <s v="+"/>
    <n v="10.71"/>
    <s v="-"/>
    <s v="-"/>
    <s v="-"/>
    <s v="-"/>
    <s v="-"/>
    <s v="-"/>
    <s v="-"/>
    <s v="-"/>
    <s v="P"/>
    <s v="P"/>
    <s v="-"/>
    <n v="2"/>
    <n v="1"/>
    <n v="2"/>
    <n v="0"/>
    <s v="-"/>
    <s v="-"/>
    <s v="-"/>
    <s v="-"/>
    <s v="-"/>
    <s v="-"/>
    <s v="-"/>
    <n v="5"/>
    <n v="6"/>
    <s v="-"/>
    <n v="1"/>
    <n v="1"/>
    <n v="2"/>
    <n v="2"/>
    <n v="7"/>
    <n v="8"/>
  </r>
  <r>
    <x v="2"/>
    <x v="67"/>
    <d v="1899-12-30T00:00:00"/>
    <s v="1ST"/>
    <s v="09:00"/>
    <n v="2"/>
    <x v="2"/>
    <n v="7.1999999999999998E-3"/>
    <s v="P"/>
    <s v="P"/>
    <s v="P"/>
    <s v="-"/>
    <s v="+"/>
    <n v="10.8"/>
    <s v="-"/>
    <s v="-"/>
    <s v="-"/>
    <s v="-"/>
    <s v="-"/>
    <s v="-"/>
    <s v="-"/>
    <s v="-"/>
    <s v="P"/>
    <s v="P"/>
    <s v="-"/>
    <n v="2"/>
    <n v="1"/>
    <n v="2"/>
    <n v="0"/>
    <s v="-"/>
    <s v="-"/>
    <s v="-"/>
    <s v="-"/>
    <s v="-"/>
    <s v="-"/>
    <s v="-"/>
    <n v="5"/>
    <n v="6"/>
    <s v="-"/>
    <n v="1"/>
    <n v="1"/>
    <n v="2"/>
    <n v="2"/>
    <n v="7"/>
    <n v="8"/>
  </r>
  <r>
    <x v="2"/>
    <x v="67"/>
    <d v="1899-12-30T00:00:00"/>
    <s v="1ST"/>
    <s v="10:00"/>
    <n v="2"/>
    <x v="2"/>
    <n v="1.03E-2"/>
    <s v="P"/>
    <s v="P"/>
    <s v="P"/>
    <s v="-"/>
    <s v="+"/>
    <n v="10.91"/>
    <s v="-"/>
    <s v="-"/>
    <s v="-"/>
    <s v="-"/>
    <s v="-"/>
    <s v="-"/>
    <s v="-"/>
    <s v="-"/>
    <s v="P"/>
    <s v="P"/>
    <s v="-"/>
    <n v="2"/>
    <n v="1"/>
    <n v="2"/>
    <n v="0"/>
    <s v="-"/>
    <s v="-"/>
    <s v="-"/>
    <s v="-"/>
    <s v="-"/>
    <s v="-"/>
    <s v="-"/>
    <n v="5"/>
    <n v="6"/>
    <s v="-"/>
    <n v="1"/>
    <n v="1"/>
    <n v="2"/>
    <n v="2"/>
    <n v="7"/>
    <n v="8"/>
  </r>
  <r>
    <x v="2"/>
    <x v="67"/>
    <d v="1899-12-30T00:00:00"/>
    <s v="1ST"/>
    <s v="12:00"/>
    <n v="2"/>
    <x v="2"/>
    <n v="1.7600000000000001E-2"/>
    <s v="P"/>
    <s v="P"/>
    <s v="P"/>
    <s v="-"/>
    <s v="+"/>
    <n v="10.8"/>
    <s v="-"/>
    <s v="-"/>
    <s v="-"/>
    <s v="-"/>
    <s v="-"/>
    <s v="-"/>
    <s v="-"/>
    <s v="-"/>
    <s v="P"/>
    <s v="P"/>
    <s v="-"/>
    <n v="2"/>
    <n v="1"/>
    <n v="2"/>
    <n v="0"/>
    <s v="-"/>
    <s v="-"/>
    <s v="-"/>
    <s v="-"/>
    <s v="-"/>
    <s v="-"/>
    <s v="-"/>
    <n v="5"/>
    <n v="6"/>
    <s v="-"/>
    <n v="1"/>
    <n v="1"/>
    <n v="2"/>
    <n v="2"/>
    <n v="7"/>
    <n v="8"/>
  </r>
  <r>
    <x v="2"/>
    <x v="67"/>
    <d v="1902-03-26T00:00:00"/>
    <s v="2ND"/>
    <d v="1899-12-30T14:00:00"/>
    <n v="2"/>
    <x v="2"/>
    <n v="1.5900000000000001E-2"/>
    <s v="P"/>
    <s v="P"/>
    <s v="P"/>
    <s v="-"/>
    <s v="+"/>
    <n v="10.91"/>
    <n v="9.11"/>
    <n v="0.6"/>
    <s v="-"/>
    <s v="-"/>
    <s v="-"/>
    <n v="29.72"/>
    <s v="-"/>
    <s v="-"/>
    <s v="P"/>
    <s v="P"/>
    <s v="-"/>
    <n v="2"/>
    <n v="1"/>
    <n v="2"/>
    <n v="0"/>
    <n v="0"/>
    <n v="0"/>
    <s v="-"/>
    <s v="-"/>
    <s v="-"/>
    <n v="0"/>
    <s v="-"/>
    <n v="5"/>
    <n v="11"/>
    <s v="-"/>
    <n v="1"/>
    <n v="1"/>
    <n v="2"/>
    <n v="2"/>
    <n v="7"/>
    <n v="13"/>
  </r>
  <r>
    <x v="2"/>
    <x v="67"/>
    <d v="1899-12-30T00:00:00"/>
    <s v="2ND"/>
    <d v="1899-12-30T16:00:00"/>
    <n v="2"/>
    <x v="2"/>
    <n v="1.11E-2"/>
    <s v="P"/>
    <s v="P"/>
    <s v="P"/>
    <s v="-"/>
    <s v="+"/>
    <n v="10.98"/>
    <s v="-"/>
    <s v="-"/>
    <s v="-"/>
    <s v="-"/>
    <s v="-"/>
    <s v="-"/>
    <s v="-"/>
    <s v="-"/>
    <s v="P"/>
    <s v="P"/>
    <s v="-"/>
    <n v="2"/>
    <n v="1"/>
    <n v="2"/>
    <n v="0"/>
    <s v="-"/>
    <s v="-"/>
    <s v="-"/>
    <s v="-"/>
    <s v="-"/>
    <s v="-"/>
    <s v="-"/>
    <n v="5"/>
    <n v="6"/>
    <s v="-"/>
    <n v="1"/>
    <n v="1"/>
    <n v="2"/>
    <n v="2"/>
    <n v="7"/>
    <n v="8"/>
  </r>
  <r>
    <x v="2"/>
    <x v="67"/>
    <d v="1899-12-30T00:00:00"/>
    <s v="2ND"/>
    <d v="1899-12-30T18:00:00"/>
    <n v="2"/>
    <x v="2"/>
    <n v="9.1999999999999998E-3"/>
    <s v="P"/>
    <s v="P"/>
    <s v="P"/>
    <s v="-"/>
    <s v="+"/>
    <n v="10.75"/>
    <s v="-"/>
    <s v="-"/>
    <s v="-"/>
    <s v="-"/>
    <s v="-"/>
    <s v="-"/>
    <s v="-"/>
    <s v="-"/>
    <s v="P"/>
    <s v="P"/>
    <s v="-"/>
    <n v="2"/>
    <n v="1"/>
    <n v="2"/>
    <n v="0"/>
    <s v="-"/>
    <s v="-"/>
    <s v="-"/>
    <s v="-"/>
    <s v="-"/>
    <s v="-"/>
    <s v="-"/>
    <n v="5"/>
    <n v="6"/>
    <s v="-"/>
    <n v="1"/>
    <n v="1"/>
    <n v="2"/>
    <n v="2"/>
    <n v="7"/>
    <n v="8"/>
  </r>
  <r>
    <x v="2"/>
    <x v="67"/>
    <d v="1899-12-30T00:00:00"/>
    <s v="2ND"/>
    <d v="1899-12-30T19:00:00"/>
    <n v="2"/>
    <x v="2"/>
    <n v="1.0800000000000001E-2"/>
    <s v="P"/>
    <s v="P"/>
    <s v="P"/>
    <s v="-"/>
    <s v="+"/>
    <n v="10.72"/>
    <s v="-"/>
    <s v="-"/>
    <s v="-"/>
    <s v="-"/>
    <s v="-"/>
    <s v="-"/>
    <s v="-"/>
    <s v="-"/>
    <s v="P"/>
    <s v="P"/>
    <s v="-"/>
    <n v="2"/>
    <n v="1"/>
    <n v="2"/>
    <n v="0"/>
    <s v="-"/>
    <s v="-"/>
    <s v="-"/>
    <s v="-"/>
    <s v="-"/>
    <s v="-"/>
    <s v="-"/>
    <n v="5"/>
    <n v="6"/>
    <s v="-"/>
    <n v="1"/>
    <n v="1"/>
    <n v="2"/>
    <n v="2"/>
    <n v="7"/>
    <n v="8"/>
  </r>
  <r>
    <x v="2"/>
    <x v="67"/>
    <d v="1899-12-30T00:00:00"/>
    <s v="2ND"/>
    <d v="1899-12-30T20:00:00"/>
    <n v="2"/>
    <x v="2"/>
    <n v="9.4999999999999998E-3"/>
    <s v="P"/>
    <s v="P"/>
    <s v="P"/>
    <s v="-"/>
    <s v="+"/>
    <n v="11.61"/>
    <s v="-"/>
    <s v="-"/>
    <s v="-"/>
    <s v="-"/>
    <s v="-"/>
    <s v="-"/>
    <s v="-"/>
    <n v="25.11"/>
    <s v="P"/>
    <s v="P"/>
    <s v="-"/>
    <n v="2"/>
    <n v="1"/>
    <n v="2"/>
    <n v="0"/>
    <s v="-"/>
    <s v="-"/>
    <s v="-"/>
    <s v="-"/>
    <s v="-"/>
    <s v="-"/>
    <s v="-"/>
    <n v="5"/>
    <n v="6"/>
    <n v="1"/>
    <n v="1"/>
    <n v="1"/>
    <n v="3"/>
    <n v="3"/>
    <n v="8"/>
    <n v="9"/>
  </r>
  <r>
    <x v="2"/>
    <x v="67"/>
    <d v="1902-03-26T00:00:00"/>
    <s v="3RD"/>
    <d v="1899-12-30T22:00:00"/>
    <n v="2"/>
    <x v="2"/>
    <n v="1.6999999999999999E-3"/>
    <s v="P"/>
    <s v="P"/>
    <s v="P"/>
    <s v="-"/>
    <s v="+"/>
    <n v="10.64"/>
    <n v="9.02"/>
    <n v="0.6"/>
    <s v="-"/>
    <s v="-"/>
    <s v="-"/>
    <n v="24.49"/>
    <s v="-"/>
    <s v="-"/>
    <s v="P"/>
    <s v="P"/>
    <s v="-"/>
    <n v="2"/>
    <n v="1"/>
    <n v="2"/>
    <n v="0"/>
    <n v="0"/>
    <n v="0"/>
    <s v="-"/>
    <s v="-"/>
    <s v="-"/>
    <n v="0"/>
    <s v="-"/>
    <n v="5"/>
    <n v="11"/>
    <s v="-"/>
    <n v="1"/>
    <n v="1"/>
    <n v="2"/>
    <n v="2"/>
    <n v="7"/>
    <n v="13"/>
  </r>
  <r>
    <x v="2"/>
    <x v="67"/>
    <d v="2026-03-19T00:00:00"/>
    <s v="2ND"/>
    <d v="1899-12-30T17:00:00"/>
    <n v="3"/>
    <x v="43"/>
    <s v="-"/>
    <s v="P"/>
    <s v="P"/>
    <s v="P"/>
    <s v="+"/>
    <s v="+"/>
    <n v="11.88"/>
    <n v="11.2"/>
    <n v="0.62"/>
    <n v="61.9"/>
    <n v="12.7"/>
    <n v="851"/>
    <n v="31.1"/>
    <s v="-"/>
    <s v="-"/>
    <s v="P"/>
    <s v="P"/>
    <s v="60% 40%"/>
    <s v="-"/>
    <n v="1"/>
    <n v="2"/>
    <n v="0"/>
    <n v="1"/>
    <n v="0"/>
    <n v="2"/>
    <n v="1"/>
    <n v="0"/>
    <n v="2"/>
    <s v="-"/>
    <n v="9"/>
    <n v="13"/>
    <s v="-"/>
    <n v="1"/>
    <n v="1"/>
    <n v="2"/>
    <n v="2"/>
    <n v="11"/>
    <n v="15"/>
  </r>
  <r>
    <x v="2"/>
    <x v="67"/>
    <d v="2026-03-19T00:00:00"/>
    <s v="2ND"/>
    <d v="1899-12-30T18:00:00"/>
    <n v="3"/>
    <x v="43"/>
    <n v="9.2999999999999992E-3"/>
    <s v="P"/>
    <s v="P"/>
    <s v="P"/>
    <s v="+"/>
    <s v="+"/>
    <n v="11.96"/>
    <s v="-"/>
    <s v="-"/>
    <s v="-"/>
    <s v="-"/>
    <s v="-"/>
    <s v="-"/>
    <s v="-"/>
    <s v="-"/>
    <s v="P"/>
    <s v="P"/>
    <s v="-"/>
    <n v="2"/>
    <n v="1"/>
    <n v="2"/>
    <n v="0"/>
    <s v="-"/>
    <s v="-"/>
    <s v="-"/>
    <s v="-"/>
    <s v="-"/>
    <s v="-"/>
    <s v="-"/>
    <n v="5"/>
    <n v="6"/>
    <s v="-"/>
    <n v="1"/>
    <n v="1"/>
    <n v="2"/>
    <n v="2"/>
    <n v="7"/>
    <n v="8"/>
  </r>
  <r>
    <x v="2"/>
    <x v="67"/>
    <d v="2026-03-19T00:00:00"/>
    <s v="2ND"/>
    <d v="1899-12-30T19:00:00"/>
    <n v="3"/>
    <x v="43"/>
    <n v="1.01E-2"/>
    <s v="P"/>
    <s v="P"/>
    <s v="P"/>
    <s v="+"/>
    <s v="+"/>
    <n v="12.12"/>
    <s v="-"/>
    <s v="-"/>
    <s v="-"/>
    <s v="-"/>
    <s v="-"/>
    <s v="-"/>
    <s v="-"/>
    <s v="-"/>
    <s v="P"/>
    <s v="P"/>
    <s v="-"/>
    <n v="2"/>
    <n v="1"/>
    <n v="2"/>
    <n v="1"/>
    <s v="-"/>
    <s v="-"/>
    <s v="-"/>
    <s v="-"/>
    <s v="-"/>
    <s v="-"/>
    <s v="-"/>
    <n v="6"/>
    <n v="6"/>
    <s v="-"/>
    <n v="1"/>
    <n v="1"/>
    <n v="2"/>
    <n v="2"/>
    <n v="8"/>
    <n v="8"/>
  </r>
  <r>
    <x v="2"/>
    <x v="67"/>
    <d v="2026-03-19T00:00:00"/>
    <s v="2ND"/>
    <d v="1899-12-30T21:00:00"/>
    <n v="3"/>
    <x v="1"/>
    <n v="1.83E-2"/>
    <s v="P"/>
    <s v="P"/>
    <s v="P"/>
    <s v="+"/>
    <s v="+"/>
    <n v="12.62"/>
    <n v="12.8"/>
    <n v="0.61"/>
    <n v="62"/>
    <s v="-"/>
    <s v="-"/>
    <n v="35.799999999999997"/>
    <s v="-"/>
    <s v="-"/>
    <s v="P"/>
    <s v="P"/>
    <s v="-"/>
    <n v="2"/>
    <n v="1"/>
    <n v="2"/>
    <n v="1"/>
    <n v="1"/>
    <n v="2"/>
    <n v="0"/>
    <s v="-"/>
    <s v="-"/>
    <n v="2"/>
    <s v="-"/>
    <n v="11"/>
    <n v="13"/>
    <s v="-"/>
    <n v="1"/>
    <n v="1"/>
    <n v="2"/>
    <n v="2"/>
    <n v="13"/>
    <n v="15"/>
  </r>
  <r>
    <x v="2"/>
    <x v="67"/>
    <d v="2026-03-19T00:00:00"/>
    <s v="2ND"/>
    <d v="1899-12-30T21:00:00"/>
    <n v="3"/>
    <x v="1"/>
    <s v="-"/>
    <s v="P"/>
    <s v="P"/>
    <s v="P"/>
    <s v="+"/>
    <s v="+"/>
    <s v="-"/>
    <s v="-"/>
    <s v="-"/>
    <n v="63.1"/>
    <s v="-"/>
    <s v="-"/>
    <s v="-"/>
    <s v="-"/>
    <s v="-"/>
    <s v="P"/>
    <s v="P"/>
    <s v="-"/>
    <s v="-"/>
    <n v="1"/>
    <n v="2"/>
    <s v="-"/>
    <s v="-"/>
    <s v="-"/>
    <n v="0"/>
    <s v="-"/>
    <s v="-"/>
    <s v="-"/>
    <s v="-"/>
    <n v="3"/>
    <n v="5"/>
    <s v="-"/>
    <n v="1"/>
    <n v="1"/>
    <n v="2"/>
    <n v="2"/>
    <n v="5"/>
    <n v="7"/>
  </r>
  <r>
    <x v="2"/>
    <x v="67"/>
    <d v="2026-03-19T00:00:00"/>
    <s v="2ND"/>
    <d v="1899-12-30T21:00:00"/>
    <n v="3"/>
    <x v="1"/>
    <s v="-"/>
    <s v="P"/>
    <s v="P"/>
    <s v="P"/>
    <s v="+"/>
    <s v="+"/>
    <s v="-"/>
    <s v="-"/>
    <s v="-"/>
    <n v="62.6"/>
    <s v="-"/>
    <s v="-"/>
    <s v="-"/>
    <s v="-"/>
    <s v="-"/>
    <s v="P"/>
    <s v="P"/>
    <s v="-"/>
    <s v="-"/>
    <n v="1"/>
    <n v="2"/>
    <s v="-"/>
    <s v="-"/>
    <s v="-"/>
    <n v="0"/>
    <s v="-"/>
    <s v="-"/>
    <s v="-"/>
    <s v="-"/>
    <n v="3"/>
    <n v="5"/>
    <s v="-"/>
    <n v="1"/>
    <n v="1"/>
    <n v="2"/>
    <n v="2"/>
    <n v="5"/>
    <n v="7"/>
  </r>
  <r>
    <x v="2"/>
    <x v="67"/>
    <d v="2026-03-19T00:00:00"/>
    <s v="2ND"/>
    <d v="1899-12-30T21:00:00"/>
    <n v="3"/>
    <x v="1"/>
    <s v="-"/>
    <s v="P"/>
    <s v="P"/>
    <s v="P"/>
    <s v="+"/>
    <s v="+"/>
    <s v="-"/>
    <s v="-"/>
    <s v="-"/>
    <n v="64.8"/>
    <s v="-"/>
    <s v="-"/>
    <s v="-"/>
    <s v="-"/>
    <s v="-"/>
    <s v="P"/>
    <s v="P"/>
    <s v="-"/>
    <s v="-"/>
    <n v="1"/>
    <n v="2"/>
    <s v="-"/>
    <s v="-"/>
    <s v="-"/>
    <n v="2"/>
    <s v="-"/>
    <s v="-"/>
    <s v="-"/>
    <s v="-"/>
    <n v="5"/>
    <n v="5"/>
    <s v="-"/>
    <n v="1"/>
    <n v="1"/>
    <n v="2"/>
    <n v="2"/>
    <n v="7"/>
    <n v="7"/>
  </r>
  <r>
    <x v="2"/>
    <x v="67"/>
    <d v="2026-03-19T00:00:00"/>
    <s v="3RD"/>
    <d v="1899-12-30T22:00:00"/>
    <n v="3"/>
    <x v="1"/>
    <n v="3.3999999999999998E-3"/>
    <s v="P"/>
    <s v="P"/>
    <s v="P"/>
    <s v="+"/>
    <s v="+"/>
    <n v="12.67"/>
    <n v="12.8"/>
    <n v="0.61"/>
    <n v="62"/>
    <s v="-"/>
    <s v="-"/>
    <n v="35.799999999999997"/>
    <s v="-"/>
    <s v="-"/>
    <s v="P"/>
    <s v="P"/>
    <s v="-"/>
    <n v="2"/>
    <n v="1"/>
    <n v="2"/>
    <n v="1"/>
    <n v="1"/>
    <n v="2"/>
    <n v="0"/>
    <s v="-"/>
    <s v="-"/>
    <n v="2"/>
    <s v="-"/>
    <n v="11"/>
    <n v="13"/>
    <s v="-"/>
    <n v="1"/>
    <n v="1"/>
    <n v="2"/>
    <n v="2"/>
    <n v="13"/>
    <n v="15"/>
  </r>
  <r>
    <x v="2"/>
    <x v="67"/>
    <d v="2026-03-19T00:00:00"/>
    <s v="3RD"/>
    <d v="1899-12-30T23:00:00"/>
    <n v="3"/>
    <x v="1"/>
    <n v="4.0000000000000001E-3"/>
    <s v="P"/>
    <s v="P"/>
    <s v="P"/>
    <s v="+"/>
    <s v="+"/>
    <n v="13.07"/>
    <s v="-"/>
    <s v="-"/>
    <s v="-"/>
    <s v="-"/>
    <s v="-"/>
    <s v="-"/>
    <s v="-"/>
    <s v="-"/>
    <s v="P"/>
    <s v="P"/>
    <s v="-"/>
    <n v="2"/>
    <n v="1"/>
    <n v="2"/>
    <n v="1"/>
    <s v="-"/>
    <s v="-"/>
    <s v="-"/>
    <s v="-"/>
    <s v="-"/>
    <s v="-"/>
    <s v="-"/>
    <n v="6"/>
    <n v="6"/>
    <s v="-"/>
    <n v="1"/>
    <n v="1"/>
    <n v="2"/>
    <n v="2"/>
    <n v="8"/>
    <n v="8"/>
  </r>
  <r>
    <x v="2"/>
    <x v="67"/>
    <d v="2026-03-19T00:00:00"/>
    <s v="3RD"/>
    <d v="1899-12-31T00:00:00"/>
    <n v="3"/>
    <x v="1"/>
    <n v="6.4000000000000003E-3"/>
    <s v="P"/>
    <s v="P"/>
    <s v="P"/>
    <s v="+"/>
    <s v="+"/>
    <n v="13.15"/>
    <s v="-"/>
    <s v="-"/>
    <s v="-"/>
    <s v="-"/>
    <s v="-"/>
    <s v="-"/>
    <s v="-"/>
    <s v="-"/>
    <s v="P"/>
    <s v="P"/>
    <s v="-"/>
    <n v="2"/>
    <n v="1"/>
    <n v="2"/>
    <n v="1"/>
    <s v="-"/>
    <s v="-"/>
    <s v="-"/>
    <s v="-"/>
    <s v="-"/>
    <s v="-"/>
    <s v="-"/>
    <n v="6"/>
    <n v="6"/>
    <s v="-"/>
    <n v="1"/>
    <n v="1"/>
    <n v="2"/>
    <n v="2"/>
    <n v="8"/>
    <n v="8"/>
  </r>
  <r>
    <x v="2"/>
    <x v="67"/>
    <d v="2026-03-19T00:00:00"/>
    <s v="3RD"/>
    <d v="1899-12-31T01:00:00"/>
    <n v="3"/>
    <x v="1"/>
    <n v="4.0000000000000001E-3"/>
    <s v="P"/>
    <s v="P"/>
    <s v="P"/>
    <s v="+"/>
    <s v="+"/>
    <n v="13.2"/>
    <s v="-"/>
    <s v="-"/>
    <s v="-"/>
    <s v="-"/>
    <s v="-"/>
    <s v="-"/>
    <s v="-"/>
    <s v="-"/>
    <s v="P"/>
    <s v="P"/>
    <s v="-"/>
    <n v="2"/>
    <n v="1"/>
    <n v="2"/>
    <n v="1"/>
    <s v="-"/>
    <s v="-"/>
    <s v="-"/>
    <s v="-"/>
    <s v="-"/>
    <s v="-"/>
    <s v="-"/>
    <n v="6"/>
    <n v="6"/>
    <s v="-"/>
    <n v="1"/>
    <n v="1"/>
    <n v="2"/>
    <n v="2"/>
    <n v="8"/>
    <n v="8"/>
  </r>
  <r>
    <x v="2"/>
    <x v="67"/>
    <d v="2026-03-20T00:00:00"/>
    <s v="3RD"/>
    <d v="1899-12-31T03:00:00"/>
    <n v="3"/>
    <x v="1"/>
    <n v="1.3299999999999999E-2"/>
    <s v="P"/>
    <s v="P"/>
    <s v="P"/>
    <s v="+"/>
    <s v="+"/>
    <n v="12.33"/>
    <n v="12.89"/>
    <s v="-"/>
    <n v="64.8"/>
    <s v="-"/>
    <s v="-"/>
    <n v="36.200000000000003"/>
    <s v="-"/>
    <s v="-"/>
    <s v="P"/>
    <s v="P"/>
    <s v="-"/>
    <n v="2"/>
    <n v="1"/>
    <n v="2"/>
    <n v="1"/>
    <n v="1"/>
    <s v="-"/>
    <n v="2"/>
    <s v="-"/>
    <s v="-"/>
    <n v="2"/>
    <s v="-"/>
    <n v="11"/>
    <n v="11"/>
    <s v="-"/>
    <n v="1"/>
    <n v="1"/>
    <n v="2"/>
    <n v="2"/>
    <n v="13"/>
    <n v="13"/>
  </r>
  <r>
    <x v="2"/>
    <x v="67"/>
    <d v="2026-03-20T00:00:00"/>
    <s v="3RD"/>
    <d v="1899-12-31T04:00:00"/>
    <n v="3"/>
    <x v="1"/>
    <n v="4.0000000000000001E-3"/>
    <s v="P"/>
    <s v="P"/>
    <s v="P"/>
    <s v="+"/>
    <s v="+"/>
    <n v="12.88"/>
    <s v="-"/>
    <s v="-"/>
    <s v="-"/>
    <s v="-"/>
    <s v="-"/>
    <s v="-"/>
    <s v="-"/>
    <s v="-"/>
    <s v="P"/>
    <s v="P"/>
    <s v="-"/>
    <n v="2"/>
    <n v="1"/>
    <n v="2"/>
    <n v="1"/>
    <s v="-"/>
    <s v="-"/>
    <s v="-"/>
    <s v="-"/>
    <s v="-"/>
    <s v="-"/>
    <s v="-"/>
    <n v="6"/>
    <n v="6"/>
    <s v="-"/>
    <n v="1"/>
    <n v="1"/>
    <n v="2"/>
    <n v="2"/>
    <n v="8"/>
    <n v="8"/>
  </r>
  <r>
    <x v="2"/>
    <x v="67"/>
    <s v="-"/>
    <s v="1ST"/>
    <s v="06:00"/>
    <n v="1"/>
    <x v="20"/>
    <n v="1.4E-2"/>
    <s v="P"/>
    <s v="P"/>
    <s v="P"/>
    <s v="-"/>
    <s v="-"/>
    <n v="13.02"/>
    <n v="12.64"/>
    <n v="0.56999999999999995"/>
    <n v="65.2"/>
    <s v="-"/>
    <s v="-"/>
    <n v="35.299999999999997"/>
    <s v="-"/>
    <s v="-"/>
    <s v="P"/>
    <s v="P"/>
    <s v="80% 20%"/>
    <n v="2"/>
    <n v="1"/>
    <n v="2"/>
    <n v="1"/>
    <n v="1"/>
    <n v="2"/>
    <n v="2"/>
    <s v="-"/>
    <s v="-"/>
    <n v="2"/>
    <s v="-"/>
    <n v="13"/>
    <n v="13"/>
    <s v="-"/>
    <n v="1"/>
    <n v="1"/>
    <n v="2"/>
    <n v="2"/>
    <n v="15"/>
    <n v="15"/>
  </r>
  <r>
    <x v="2"/>
    <x v="67"/>
    <d v="2026-03-20T00:00:00"/>
    <s v="1ST"/>
    <s v="07:00"/>
    <n v="1"/>
    <x v="20"/>
    <n v="7.1000000000000004E-3"/>
    <s v="P"/>
    <s v="P"/>
    <s v="P"/>
    <s v="-"/>
    <s v="-"/>
    <n v="13.24"/>
    <s v="-"/>
    <s v="-"/>
    <s v="-"/>
    <s v="-"/>
    <s v="-"/>
    <s v="-"/>
    <s v="-"/>
    <s v="-"/>
    <s v="P"/>
    <s v="P"/>
    <s v="-"/>
    <n v="2"/>
    <n v="1"/>
    <n v="2"/>
    <n v="1"/>
    <s v="-"/>
    <s v="-"/>
    <s v="-"/>
    <s v="-"/>
    <s v="-"/>
    <s v="-"/>
    <s v="-"/>
    <n v="6"/>
    <n v="6"/>
    <s v="-"/>
    <n v="1"/>
    <n v="1"/>
    <n v="2"/>
    <n v="2"/>
    <n v="8"/>
    <n v="8"/>
  </r>
  <r>
    <x v="2"/>
    <x v="67"/>
    <d v="2026-03-20T00:00:00"/>
    <s v="1ST"/>
    <s v="08:00"/>
    <n v="1"/>
    <x v="20"/>
    <n v="1.43E-2"/>
    <s v="P"/>
    <s v="P"/>
    <s v="P"/>
    <s v="-"/>
    <s v="-"/>
    <n v="13.18"/>
    <s v="-"/>
    <s v="-"/>
    <s v="-"/>
    <s v="-"/>
    <s v="-"/>
    <s v="-"/>
    <s v="-"/>
    <s v="-"/>
    <s v="P"/>
    <s v="P"/>
    <s v="-"/>
    <n v="2"/>
    <n v="1"/>
    <n v="2"/>
    <n v="1"/>
    <s v="-"/>
    <s v="-"/>
    <s v="-"/>
    <s v="-"/>
    <s v="-"/>
    <s v="-"/>
    <s v="-"/>
    <n v="6"/>
    <n v="6"/>
    <s v="-"/>
    <n v="1"/>
    <n v="1"/>
    <n v="2"/>
    <n v="2"/>
    <n v="8"/>
    <n v="8"/>
  </r>
  <r>
    <x v="2"/>
    <x v="67"/>
    <d v="2026-03-20T00:00:00"/>
    <s v="1ST"/>
    <s v="09:00"/>
    <n v="1"/>
    <x v="20"/>
    <n v="1.4200000000000001E-2"/>
    <s v="P"/>
    <s v="P"/>
    <s v="P"/>
    <s v="-"/>
    <s v="-"/>
    <n v="12.84"/>
    <s v="-"/>
    <s v="-"/>
    <s v="-"/>
    <s v="-"/>
    <s v="-"/>
    <s v="-"/>
    <s v="-"/>
    <s v="-"/>
    <s v="P"/>
    <s v="P"/>
    <s v="-"/>
    <n v="2"/>
    <n v="1"/>
    <n v="2"/>
    <n v="1"/>
    <s v="-"/>
    <s v="-"/>
    <s v="-"/>
    <s v="-"/>
    <s v="-"/>
    <s v="-"/>
    <s v="-"/>
    <n v="6"/>
    <n v="6"/>
    <s v="-"/>
    <n v="1"/>
    <n v="1"/>
    <n v="2"/>
    <n v="2"/>
    <n v="8"/>
    <n v="8"/>
  </r>
  <r>
    <x v="2"/>
    <x v="67"/>
    <d v="2026-03-20T00:00:00"/>
    <s v="1ST"/>
    <s v="10:00"/>
    <n v="1"/>
    <x v="20"/>
    <n v="1.5800000000000002E-2"/>
    <s v="P"/>
    <s v="P"/>
    <s v="P"/>
    <s v="-"/>
    <s v="-"/>
    <n v="13"/>
    <s v="-"/>
    <s v="-"/>
    <s v="-"/>
    <s v="-"/>
    <s v="-"/>
    <s v="-"/>
    <s v="-"/>
    <s v="-"/>
    <s v="P"/>
    <s v="P"/>
    <s v="-"/>
    <n v="2"/>
    <n v="1"/>
    <n v="2"/>
    <n v="1"/>
    <s v="-"/>
    <s v="-"/>
    <s v="-"/>
    <s v="-"/>
    <s v="-"/>
    <s v="-"/>
    <s v="-"/>
    <n v="6"/>
    <n v="6"/>
    <s v="-"/>
    <n v="1"/>
    <n v="1"/>
    <n v="2"/>
    <n v="2"/>
    <n v="8"/>
    <n v="8"/>
  </r>
  <r>
    <x v="2"/>
    <x v="67"/>
    <d v="2026-03-20T00:00:00"/>
    <s v="1ST"/>
    <s v="12:00"/>
    <n v="1"/>
    <x v="20"/>
    <n v="1.0500000000000001E-2"/>
    <s v="P"/>
    <s v="P"/>
    <s v="P"/>
    <s v="-"/>
    <s v="-"/>
    <n v="13.21"/>
    <s v="-"/>
    <s v="-"/>
    <s v="-"/>
    <s v="-"/>
    <s v="-"/>
    <s v="-"/>
    <s v="-"/>
    <s v="-"/>
    <s v="P"/>
    <s v="P"/>
    <s v="-"/>
    <n v="2"/>
    <n v="1"/>
    <n v="2"/>
    <n v="1"/>
    <s v="-"/>
    <s v="-"/>
    <s v="-"/>
    <s v="-"/>
    <s v="-"/>
    <s v="-"/>
    <s v="-"/>
    <n v="6"/>
    <n v="6"/>
    <s v="-"/>
    <n v="1"/>
    <n v="1"/>
    <n v="2"/>
    <n v="2"/>
    <n v="8"/>
    <n v="8"/>
  </r>
  <r>
    <x v="2"/>
    <x v="67"/>
    <d v="2026-03-20T00:00:00"/>
    <s v="1ST"/>
    <s v="13:00"/>
    <n v="1"/>
    <x v="20"/>
    <n v="1.41E-2"/>
    <s v="P"/>
    <s v="P"/>
    <s v="P"/>
    <s v="-"/>
    <s v="-"/>
    <n v="12.98"/>
    <s v="-"/>
    <s v="-"/>
    <s v="-"/>
    <s v="-"/>
    <s v="-"/>
    <s v="-"/>
    <s v="-"/>
    <s v="-"/>
    <s v="P"/>
    <s v="P"/>
    <s v="-"/>
    <n v="2"/>
    <n v="1"/>
    <n v="2"/>
    <n v="1"/>
    <s v="-"/>
    <s v="-"/>
    <s v="-"/>
    <s v="-"/>
    <s v="-"/>
    <s v="-"/>
    <s v="-"/>
    <n v="6"/>
    <n v="6"/>
    <s v="-"/>
    <n v="1"/>
    <n v="1"/>
    <n v="2"/>
    <n v="2"/>
    <n v="8"/>
    <n v="8"/>
  </r>
  <r>
    <x v="2"/>
    <x v="67"/>
    <s v="-"/>
    <s v="2ND"/>
    <d v="1899-12-30T14:00:00"/>
    <n v="1"/>
    <x v="20"/>
    <n v="8.5000000000000006E-3"/>
    <s v="P"/>
    <s v="P"/>
    <s v="P"/>
    <s v="-"/>
    <s v="-"/>
    <n v="13.18"/>
    <n v="12.85"/>
    <n v="0.56999999999999995"/>
    <s v="-"/>
    <s v="-"/>
    <s v="-"/>
    <n v="35.799999999999997"/>
    <s v="-"/>
    <s v="-"/>
    <s v="P"/>
    <s v="P"/>
    <s v="80% 20%"/>
    <n v="2"/>
    <n v="1"/>
    <n v="2"/>
    <n v="1"/>
    <n v="1"/>
    <n v="2"/>
    <s v="-"/>
    <s v="-"/>
    <s v="-"/>
    <n v="2"/>
    <s v="-"/>
    <n v="11"/>
    <n v="11"/>
    <s v="-"/>
    <n v="1"/>
    <n v="1"/>
    <n v="2"/>
    <n v="2"/>
    <n v="13"/>
    <n v="13"/>
  </r>
  <r>
    <x v="2"/>
    <x v="67"/>
    <d v="2026-03-20T00:00:00"/>
    <s v="2ND"/>
    <d v="1899-12-30T16:00:00"/>
    <n v="1"/>
    <x v="20"/>
    <n v="1.34E-2"/>
    <s v="P"/>
    <s v="P"/>
    <s v="P"/>
    <s v="-"/>
    <s v="-"/>
    <n v="12.12"/>
    <s v="-"/>
    <s v="-"/>
    <s v="-"/>
    <s v="-"/>
    <s v="-"/>
    <s v="-"/>
    <s v="-"/>
    <s v="-"/>
    <s v="P"/>
    <s v="P"/>
    <s v="-"/>
    <n v="2"/>
    <n v="1"/>
    <n v="2"/>
    <n v="1"/>
    <s v="-"/>
    <s v="-"/>
    <s v="-"/>
    <s v="-"/>
    <s v="-"/>
    <s v="-"/>
    <s v="-"/>
    <n v="6"/>
    <n v="6"/>
    <s v="-"/>
    <n v="1"/>
    <n v="1"/>
    <n v="2"/>
    <n v="2"/>
    <n v="8"/>
    <n v="8"/>
  </r>
  <r>
    <x v="2"/>
    <x v="67"/>
    <d v="2026-03-20T00:00:00"/>
    <s v="2ND"/>
    <d v="1899-12-30T18:00:00"/>
    <n v="1"/>
    <x v="20"/>
    <n v="7.3000000000000001E-3"/>
    <s v="P"/>
    <s v="P"/>
    <s v="P"/>
    <s v="-"/>
    <s v="-"/>
    <n v="12.54"/>
    <s v="-"/>
    <s v="-"/>
    <s v="-"/>
    <s v="-"/>
    <s v="-"/>
    <s v="-"/>
    <s v="-"/>
    <s v="-"/>
    <s v="P"/>
    <s v="P"/>
    <s v="-"/>
    <n v="2"/>
    <n v="1"/>
    <n v="2"/>
    <n v="1"/>
    <s v="-"/>
    <s v="-"/>
    <s v="-"/>
    <s v="-"/>
    <s v="-"/>
    <s v="-"/>
    <s v="-"/>
    <n v="6"/>
    <n v="6"/>
    <s v="-"/>
    <n v="1"/>
    <n v="1"/>
    <n v="2"/>
    <n v="2"/>
    <n v="8"/>
    <n v="8"/>
  </r>
  <r>
    <x v="2"/>
    <x v="67"/>
    <d v="2026-03-20T00:00:00"/>
    <s v="2ND"/>
    <d v="1899-12-30T19:00:00"/>
    <n v="1"/>
    <x v="20"/>
    <n v="8.8999999999999999E-3"/>
    <s v="P"/>
    <s v="P"/>
    <s v="P"/>
    <s v="-"/>
    <s v="-"/>
    <n v="12.49"/>
    <s v="-"/>
    <s v="-"/>
    <s v="-"/>
    <s v="-"/>
    <s v="-"/>
    <s v="-"/>
    <s v="-"/>
    <s v="-"/>
    <s v="P"/>
    <s v="P"/>
    <s v="-"/>
    <n v="2"/>
    <n v="1"/>
    <n v="2"/>
    <n v="1"/>
    <s v="-"/>
    <s v="-"/>
    <s v="-"/>
    <s v="-"/>
    <s v="-"/>
    <s v="-"/>
    <s v="-"/>
    <n v="6"/>
    <n v="6"/>
    <s v="-"/>
    <n v="1"/>
    <n v="1"/>
    <n v="2"/>
    <n v="2"/>
    <n v="8"/>
    <n v="8"/>
  </r>
  <r>
    <x v="2"/>
    <x v="67"/>
    <d v="2026-03-20T00:00:00"/>
    <s v="2ND"/>
    <d v="1899-12-30T20:00:00"/>
    <n v="1"/>
    <x v="20"/>
    <n v="9.9000000000000008E-3"/>
    <s v="P"/>
    <s v="P"/>
    <s v="P"/>
    <s v="-"/>
    <s v="-"/>
    <n v="11.65"/>
    <s v="-"/>
    <s v="-"/>
    <s v="-"/>
    <s v="-"/>
    <s v="-"/>
    <s v="-"/>
    <s v="-"/>
    <n v="25.16"/>
    <s v="P"/>
    <s v="P"/>
    <s v="-"/>
    <n v="2"/>
    <n v="1"/>
    <n v="2"/>
    <n v="1"/>
    <s v="-"/>
    <s v="-"/>
    <s v="-"/>
    <s v="-"/>
    <s v="-"/>
    <s v="-"/>
    <s v="-"/>
    <n v="6"/>
    <n v="6"/>
    <n v="1"/>
    <n v="1"/>
    <n v="1"/>
    <n v="3"/>
    <n v="3"/>
    <n v="9"/>
    <n v="9"/>
  </r>
  <r>
    <x v="2"/>
    <x v="67"/>
    <d v="2026-03-20T00:00:00"/>
    <s v="2ND"/>
    <d v="1899-12-30T21:00:00"/>
    <n v="1"/>
    <x v="20"/>
    <n v="8.6E-3"/>
    <s v="P"/>
    <s v="P"/>
    <s v="P"/>
    <s v="-"/>
    <s v="-"/>
    <n v="12.76"/>
    <s v="-"/>
    <s v="-"/>
    <s v="-"/>
    <s v="-"/>
    <s v="-"/>
    <s v="-"/>
    <s v="-"/>
    <s v="-"/>
    <s v="P"/>
    <s v="P"/>
    <s v="-"/>
    <n v="2"/>
    <n v="1"/>
    <n v="2"/>
    <n v="1"/>
    <s v="-"/>
    <s v="-"/>
    <s v="-"/>
    <s v="-"/>
    <s v="-"/>
    <s v="-"/>
    <s v="-"/>
    <n v="6"/>
    <n v="6"/>
    <s v="-"/>
    <n v="1"/>
    <n v="1"/>
    <n v="2"/>
    <n v="2"/>
    <n v="8"/>
    <n v="8"/>
  </r>
  <r>
    <x v="2"/>
    <x v="67"/>
    <s v="-"/>
    <s v="3RD"/>
    <d v="1899-12-30T22:00:00"/>
    <n v="1"/>
    <x v="20"/>
    <n v="8.8999999999999999E-3"/>
    <s v="P"/>
    <s v="P"/>
    <s v="P"/>
    <s v="-"/>
    <s v="-"/>
    <n v="12.53"/>
    <n v="12.34"/>
    <n v="0.56999999999999995"/>
    <s v="-"/>
    <s v="-"/>
    <s v="-"/>
    <n v="35.6"/>
    <s v="-"/>
    <s v="-"/>
    <s v="P"/>
    <s v="P"/>
    <s v="80% 20%"/>
    <n v="2"/>
    <n v="1"/>
    <n v="2"/>
    <n v="1"/>
    <n v="1"/>
    <n v="2"/>
    <s v="-"/>
    <s v="-"/>
    <s v="-"/>
    <n v="2"/>
    <s v="-"/>
    <n v="11"/>
    <n v="11"/>
    <s v="-"/>
    <n v="1"/>
    <n v="1"/>
    <n v="2"/>
    <n v="2"/>
    <n v="13"/>
    <n v="13"/>
  </r>
  <r>
    <x v="2"/>
    <x v="67"/>
    <d v="2026-03-20T00:00:00"/>
    <s v="3RD"/>
    <d v="1899-12-30T23:00:00"/>
    <n v="1"/>
    <x v="20"/>
    <n v="9.1999999999999998E-3"/>
    <s v="P"/>
    <s v="P"/>
    <s v="P"/>
    <s v="-"/>
    <s v="-"/>
    <n v="12.59"/>
    <s v="-"/>
    <s v="-"/>
    <s v="-"/>
    <s v="-"/>
    <s v="-"/>
    <s v="-"/>
    <s v="-"/>
    <s v="-"/>
    <s v="P"/>
    <s v="P"/>
    <s v="-"/>
    <n v="2"/>
    <n v="1"/>
    <n v="2"/>
    <n v="1"/>
    <s v="-"/>
    <s v="-"/>
    <s v="-"/>
    <s v="-"/>
    <s v="-"/>
    <s v="-"/>
    <s v="-"/>
    <n v="6"/>
    <n v="6"/>
    <s v="-"/>
    <n v="1"/>
    <n v="1"/>
    <n v="2"/>
    <n v="2"/>
    <n v="8"/>
    <n v="8"/>
  </r>
  <r>
    <x v="2"/>
    <x v="67"/>
    <d v="2026-03-20T00:00:00"/>
    <s v="3RD"/>
    <d v="1899-12-31T00:00:00"/>
    <n v="1"/>
    <x v="20"/>
    <n v="9.1000000000000004E-3"/>
    <s v="P"/>
    <s v="P"/>
    <s v="P"/>
    <s v="-"/>
    <s v="-"/>
    <n v="12.64"/>
    <s v="-"/>
    <s v="-"/>
    <s v="-"/>
    <s v="-"/>
    <s v="-"/>
    <s v="-"/>
    <s v="-"/>
    <s v="-"/>
    <s v="P"/>
    <s v="P"/>
    <s v="-"/>
    <n v="2"/>
    <n v="1"/>
    <n v="2"/>
    <n v="1"/>
    <s v="-"/>
    <s v="-"/>
    <s v="-"/>
    <s v="-"/>
    <s v="-"/>
    <s v="-"/>
    <s v="-"/>
    <n v="6"/>
    <n v="6"/>
    <s v="-"/>
    <n v="1"/>
    <n v="1"/>
    <n v="2"/>
    <n v="2"/>
    <n v="8"/>
    <n v="8"/>
  </r>
  <r>
    <x v="2"/>
    <x v="67"/>
    <d v="2026-03-20T00:00:00"/>
    <s v="3RD"/>
    <d v="1899-12-31T01:00:00"/>
    <n v="1"/>
    <x v="20"/>
    <n v="8.8000000000000005E-3"/>
    <s v="P"/>
    <s v="P"/>
    <s v="P"/>
    <s v="-"/>
    <s v="-"/>
    <n v="13.53"/>
    <s v="-"/>
    <s v="-"/>
    <s v="-"/>
    <s v="-"/>
    <s v="-"/>
    <s v="-"/>
    <s v="-"/>
    <s v="-"/>
    <s v="P"/>
    <s v="P"/>
    <s v="-"/>
    <n v="2"/>
    <n v="1"/>
    <n v="2"/>
    <n v="1"/>
    <s v="-"/>
    <s v="-"/>
    <s v="-"/>
    <s v="-"/>
    <s v="-"/>
    <s v="-"/>
    <s v="-"/>
    <n v="6"/>
    <n v="6"/>
    <s v="-"/>
    <n v="1"/>
    <n v="1"/>
    <n v="2"/>
    <n v="2"/>
    <n v="8"/>
    <n v="8"/>
  </r>
  <r>
    <x v="2"/>
    <x v="67"/>
    <d v="2026-03-19T00:00:00"/>
    <s v="1ST"/>
    <s v="13:00"/>
    <n v="3"/>
    <x v="31"/>
    <n v="1.44E-2"/>
    <s v="P"/>
    <s v="P"/>
    <s v="P"/>
    <s v="+"/>
    <s v="+"/>
    <n v="12.14"/>
    <n v="12.39"/>
    <n v="0.61"/>
    <n v="63.8"/>
    <s v="-"/>
    <s v="-"/>
    <s v="-"/>
    <s v="-"/>
    <s v="-"/>
    <s v="P"/>
    <s v="P"/>
    <s v="-"/>
    <n v="2"/>
    <n v="1"/>
    <n v="2"/>
    <n v="0"/>
    <n v="1"/>
    <n v="0"/>
    <n v="2"/>
    <s v="-"/>
    <s v="-"/>
    <s v="-"/>
    <s v="-"/>
    <n v="8"/>
    <n v="11"/>
    <s v="-"/>
    <n v="1"/>
    <n v="1"/>
    <n v="2"/>
    <n v="2"/>
    <n v="10"/>
    <n v="13"/>
  </r>
  <r>
    <x v="2"/>
    <x v="67"/>
    <d v="2026-03-19T00:00:00"/>
    <s v="2ND"/>
    <d v="1899-12-30T14:00:00"/>
    <n v="3"/>
    <x v="31"/>
    <n v="1.2200000000000001E-2"/>
    <s v="P"/>
    <s v="P"/>
    <s v="P"/>
    <s v="+"/>
    <s v="+"/>
    <n v="12.05"/>
    <n v="11.96"/>
    <n v="0.61"/>
    <s v="-"/>
    <s v="-"/>
    <s v="-"/>
    <n v="33.299999999999997"/>
    <s v="-"/>
    <s v="-"/>
    <s v="P"/>
    <s v="P"/>
    <s v="60% 40%"/>
    <n v="2"/>
    <n v="1"/>
    <n v="2"/>
    <n v="0"/>
    <n v="1"/>
    <n v="0"/>
    <s v="-"/>
    <s v="-"/>
    <s v="-"/>
    <n v="2"/>
    <s v="-"/>
    <n v="8"/>
    <n v="11"/>
    <s v="-"/>
    <n v="1"/>
    <n v="1"/>
    <n v="2"/>
    <n v="2"/>
    <n v="10"/>
    <n v="13"/>
  </r>
  <r>
    <x v="2"/>
    <x v="67"/>
    <d v="2026-03-19T00:00:00"/>
    <s v="2ND"/>
    <d v="1899-12-30T16:00:00"/>
    <n v="3"/>
    <x v="31"/>
    <n v="1.2999999999999999E-2"/>
    <s v="P"/>
    <s v="P"/>
    <s v="P"/>
    <s v="+"/>
    <s v="+"/>
    <n v="13.54"/>
    <s v="-"/>
    <s v="-"/>
    <s v="-"/>
    <s v="-"/>
    <s v="-"/>
    <s v="-"/>
    <s v="-"/>
    <s v="-"/>
    <s v="P"/>
    <s v="P"/>
    <s v="-"/>
    <n v="2"/>
    <n v="1"/>
    <n v="2"/>
    <n v="0"/>
    <s v="-"/>
    <s v="-"/>
    <s v="-"/>
    <s v="-"/>
    <s v="-"/>
    <s v="-"/>
    <s v="-"/>
    <n v="5"/>
    <n v="6"/>
    <s v="-"/>
    <n v="1"/>
    <n v="1"/>
    <n v="2"/>
    <n v="2"/>
    <n v="7"/>
    <n v="8"/>
  </r>
  <r>
    <x v="2"/>
    <x v="68"/>
    <d v="2026-03-19T00:00:00"/>
    <s v="1ST"/>
    <s v="12:00"/>
    <n v="3"/>
    <x v="6"/>
    <n v="1.52E-2"/>
    <s v="P"/>
    <s v="P"/>
    <s v="P"/>
    <s v="+"/>
    <s v="+"/>
    <n v="9.73"/>
    <n v="12.44"/>
    <n v="0.75"/>
    <n v="65.2"/>
    <n v="19.3"/>
    <n v="726"/>
    <n v="35.200000000000003"/>
    <s v="-"/>
    <s v="-"/>
    <s v="P"/>
    <s v="P"/>
    <s v="80% 20%"/>
    <n v="2"/>
    <n v="1"/>
    <n v="2"/>
    <n v="0"/>
    <n v="1"/>
    <n v="0"/>
    <n v="2"/>
    <n v="1"/>
    <n v="1"/>
    <n v="2"/>
    <s v="-"/>
    <n v="12"/>
    <n v="15"/>
    <s v="-"/>
    <n v="1"/>
    <n v="1"/>
    <n v="2"/>
    <n v="2"/>
    <n v="14"/>
    <n v="17"/>
  </r>
  <r>
    <x v="2"/>
    <x v="68"/>
    <d v="1902-03-26T00:00:00"/>
    <s v="1ST"/>
    <s v="08:00"/>
    <n v="2"/>
    <x v="2"/>
    <n v="1.44E-2"/>
    <s v="P"/>
    <s v="P"/>
    <s v="P"/>
    <s v="-"/>
    <s v="+"/>
    <n v="10.72"/>
    <n v="9"/>
    <n v="0.62"/>
    <n v="57.1"/>
    <n v="14.5"/>
    <n v="228"/>
    <n v="24.33"/>
    <s v="-"/>
    <s v="-"/>
    <s v="P"/>
    <s v="P"/>
    <s v="-"/>
    <n v="2"/>
    <n v="1"/>
    <n v="2"/>
    <n v="0"/>
    <n v="0"/>
    <n v="0"/>
    <n v="0"/>
    <n v="1"/>
    <n v="0"/>
    <n v="0"/>
    <s v="-"/>
    <n v="6"/>
    <n v="15"/>
    <s v="-"/>
    <n v="1"/>
    <n v="1"/>
    <n v="2"/>
    <n v="2"/>
    <n v="8"/>
    <n v="17"/>
  </r>
  <r>
    <x v="2"/>
    <x v="68"/>
    <d v="1899-12-30T00:00:00"/>
    <s v="1ST"/>
    <s v="09:00"/>
    <n v="2"/>
    <x v="2"/>
    <n v="1.4E-2"/>
    <s v="P"/>
    <s v="P"/>
    <s v="P"/>
    <s v="-"/>
    <s v="+"/>
    <n v="10.83"/>
    <s v="-"/>
    <s v="-"/>
    <s v="-"/>
    <s v="-"/>
    <s v="-"/>
    <s v="-"/>
    <s v="-"/>
    <s v="-"/>
    <s v="P"/>
    <s v="P"/>
    <s v="-"/>
    <n v="2"/>
    <n v="1"/>
    <n v="2"/>
    <n v="0"/>
    <s v="-"/>
    <s v="-"/>
    <s v="-"/>
    <s v="-"/>
    <s v="-"/>
    <s v="-"/>
    <s v="-"/>
    <n v="5"/>
    <n v="6"/>
    <s v="-"/>
    <n v="1"/>
    <n v="1"/>
    <n v="2"/>
    <n v="2"/>
    <n v="7"/>
    <n v="8"/>
  </r>
  <r>
    <x v="2"/>
    <x v="68"/>
    <d v="1899-12-30T00:00:00"/>
    <s v="1ST"/>
    <s v="10:00"/>
    <n v="2"/>
    <x v="2"/>
    <n v="6.7999999999999996E-3"/>
    <s v="P"/>
    <s v="P"/>
    <s v="P"/>
    <s v="-"/>
    <s v="+"/>
    <n v="10.79"/>
    <s v="-"/>
    <s v="-"/>
    <s v="-"/>
    <s v="-"/>
    <s v="-"/>
    <s v="-"/>
    <s v="-"/>
    <s v="-"/>
    <s v="P"/>
    <s v="P"/>
    <s v="-"/>
    <n v="2"/>
    <n v="1"/>
    <n v="2"/>
    <n v="0"/>
    <s v="-"/>
    <s v="-"/>
    <s v="-"/>
    <s v="-"/>
    <s v="-"/>
    <s v="-"/>
    <s v="-"/>
    <n v="5"/>
    <n v="6"/>
    <s v="-"/>
    <n v="1"/>
    <n v="1"/>
    <n v="2"/>
    <n v="2"/>
    <n v="7"/>
    <n v="8"/>
  </r>
  <r>
    <x v="2"/>
    <x v="68"/>
    <d v="1902-03-26T00:00:00"/>
    <s v="2ND"/>
    <d v="1899-12-30T14:00:00"/>
    <n v="2"/>
    <x v="2"/>
    <n v="1.26E-2"/>
    <s v="P"/>
    <s v="P"/>
    <s v="P"/>
    <s v="-"/>
    <s v="+"/>
    <n v="10.61"/>
    <s v="-"/>
    <s v="-"/>
    <s v="-"/>
    <s v="-"/>
    <s v="-"/>
    <s v="-"/>
    <s v="-"/>
    <n v="25.15"/>
    <s v="P"/>
    <s v="P"/>
    <s v="-"/>
    <n v="2"/>
    <n v="1"/>
    <n v="2"/>
    <n v="0"/>
    <s v="-"/>
    <s v="-"/>
    <s v="-"/>
    <s v="-"/>
    <s v="-"/>
    <s v="-"/>
    <s v="-"/>
    <n v="5"/>
    <n v="6"/>
    <n v="1"/>
    <n v="1"/>
    <n v="1"/>
    <n v="3"/>
    <n v="3"/>
    <n v="8"/>
    <n v="9"/>
  </r>
  <r>
    <x v="2"/>
    <x v="68"/>
    <d v="1899-12-30T00:00:00"/>
    <s v="2ND"/>
    <d v="1899-12-30T15:00:00"/>
    <n v="2"/>
    <x v="2"/>
    <n v="1.2200000000000001E-2"/>
    <s v="P"/>
    <s v="P"/>
    <s v="P"/>
    <s v="-"/>
    <s v="+"/>
    <n v="10.68"/>
    <s v="-"/>
    <s v="-"/>
    <s v="-"/>
    <s v="-"/>
    <s v="-"/>
    <s v="-"/>
    <s v="-"/>
    <s v="-"/>
    <s v="P"/>
    <s v="P"/>
    <s v="-"/>
    <n v="2"/>
    <n v="1"/>
    <n v="2"/>
    <n v="0"/>
    <s v="-"/>
    <s v="-"/>
    <s v="-"/>
    <s v="-"/>
    <s v="-"/>
    <s v="-"/>
    <s v="-"/>
    <n v="5"/>
    <n v="6"/>
    <s v="-"/>
    <n v="1"/>
    <n v="1"/>
    <n v="2"/>
    <n v="2"/>
    <n v="7"/>
    <n v="8"/>
  </r>
  <r>
    <x v="2"/>
    <x v="68"/>
    <d v="2026-03-19T00:00:00"/>
    <s v="1ST"/>
    <s v="13:00"/>
    <n v="3"/>
    <x v="32"/>
    <n v="1.34E-2"/>
    <s v="P"/>
    <s v="P"/>
    <s v="P"/>
    <s v="+"/>
    <s v="+"/>
    <n v="12.03"/>
    <n v="11.91"/>
    <n v="0.52"/>
    <n v="63.6"/>
    <n v="15"/>
    <n v="1170"/>
    <n v="33.200000000000003"/>
    <s v="-"/>
    <s v="-"/>
    <s v="P"/>
    <s v="P"/>
    <n v="1"/>
    <n v="2"/>
    <n v="1"/>
    <n v="2"/>
    <n v="1"/>
    <n v="1"/>
    <n v="0"/>
    <n v="2"/>
    <n v="1"/>
    <n v="0"/>
    <n v="2"/>
    <s v="-"/>
    <n v="12"/>
    <n v="15"/>
    <s v="-"/>
    <n v="1"/>
    <n v="1"/>
    <n v="2"/>
    <n v="2"/>
    <n v="14"/>
    <n v="17"/>
  </r>
  <r>
    <x v="2"/>
    <x v="68"/>
    <d v="2026-03-19T00:00:00"/>
    <s v="2ND"/>
    <d v="1899-12-30T14:00:00"/>
    <n v="3"/>
    <x v="10"/>
    <n v="9.7000000000000003E-3"/>
    <s v="P"/>
    <s v="P"/>
    <s v="P"/>
    <s v="+"/>
    <s v="+"/>
    <n v="11.94"/>
    <n v="11.84"/>
    <s v="-"/>
    <s v="-"/>
    <s v="-"/>
    <s v="-"/>
    <n v="32.9"/>
    <s v="-"/>
    <n v="25.17"/>
    <s v="P"/>
    <s v="P"/>
    <n v="1"/>
    <n v="2"/>
    <n v="1"/>
    <n v="2"/>
    <n v="0"/>
    <n v="1"/>
    <s v="-"/>
    <s v="-"/>
    <s v="-"/>
    <s v="-"/>
    <n v="2"/>
    <s v="-"/>
    <n v="8"/>
    <n v="9"/>
    <n v="1"/>
    <n v="1"/>
    <n v="1"/>
    <n v="3"/>
    <n v="3"/>
    <n v="11"/>
    <n v="12"/>
  </r>
  <r>
    <x v="2"/>
    <x v="68"/>
    <d v="2026-03-19T00:00:00"/>
    <s v="2ND"/>
    <d v="1899-12-30T17:00:00"/>
    <n v="3"/>
    <x v="10"/>
    <n v="1.8E-3"/>
    <s v="P"/>
    <s v="P"/>
    <s v="P"/>
    <s v="+"/>
    <s v="+"/>
    <n v="12.23"/>
    <s v="-"/>
    <s v="-"/>
    <s v="-"/>
    <s v="-"/>
    <s v="-"/>
    <s v="-"/>
    <s v="-"/>
    <n v="25.17"/>
    <s v="P"/>
    <s v="P"/>
    <s v="-"/>
    <n v="2"/>
    <n v="1"/>
    <n v="2"/>
    <n v="1"/>
    <s v="-"/>
    <s v="-"/>
    <s v="-"/>
    <s v="-"/>
    <s v="-"/>
    <s v="-"/>
    <s v="-"/>
    <n v="6"/>
    <n v="6"/>
    <n v="1"/>
    <n v="1"/>
    <n v="1"/>
    <n v="3"/>
    <n v="3"/>
    <n v="9"/>
    <n v="9"/>
  </r>
  <r>
    <x v="2"/>
    <x v="68"/>
    <d v="2026-03-19T00:00:00"/>
    <s v="2ND"/>
    <d v="1899-12-30T20:00:00"/>
    <n v="3"/>
    <x v="10"/>
    <n v="1.8E-3"/>
    <s v="P"/>
    <s v="P"/>
    <s v="P"/>
    <s v="+"/>
    <s v="+"/>
    <n v="12.53"/>
    <s v="-"/>
    <s v="-"/>
    <s v="-"/>
    <s v="-"/>
    <s v="-"/>
    <s v="-"/>
    <s v="-"/>
    <n v="25.17"/>
    <s v="P"/>
    <s v="P"/>
    <s v="-"/>
    <n v="2"/>
    <n v="1"/>
    <n v="2"/>
    <n v="1"/>
    <s v="-"/>
    <s v="-"/>
    <s v="-"/>
    <s v="-"/>
    <s v="-"/>
    <s v="-"/>
    <s v="-"/>
    <n v="6"/>
    <n v="6"/>
    <n v="1"/>
    <n v="1"/>
    <n v="1"/>
    <n v="3"/>
    <n v="3"/>
    <n v="9"/>
    <n v="9"/>
  </r>
  <r>
    <x v="2"/>
    <x v="68"/>
    <d v="2026-03-19T00:00:00"/>
    <s v="3RD"/>
    <d v="1899-12-30T22:00:00"/>
    <n v="3"/>
    <x v="10"/>
    <n v="4.8999999999999998E-3"/>
    <s v="P"/>
    <s v="P"/>
    <s v="P"/>
    <s v="+"/>
    <s v="+"/>
    <n v="12.55"/>
    <n v="11.84"/>
    <s v="-"/>
    <s v="-"/>
    <s v="-"/>
    <s v="-"/>
    <n v="32.9"/>
    <s v="-"/>
    <n v="25.1"/>
    <s v="P"/>
    <s v="P"/>
    <n v="1"/>
    <n v="2"/>
    <n v="1"/>
    <n v="2"/>
    <n v="1"/>
    <n v="1"/>
    <s v="-"/>
    <s v="-"/>
    <s v="-"/>
    <s v="-"/>
    <n v="2"/>
    <s v="-"/>
    <n v="9"/>
    <n v="9"/>
    <n v="1"/>
    <n v="1"/>
    <n v="1"/>
    <n v="3"/>
    <n v="3"/>
    <n v="12"/>
    <n v="12"/>
  </r>
  <r>
    <x v="2"/>
    <x v="68"/>
    <d v="2026-03-19T00:00:00"/>
    <s v="3RD"/>
    <d v="1899-12-30T23:00:00"/>
    <n v="3"/>
    <x v="10"/>
    <n v="3.3E-3"/>
    <s v="P"/>
    <s v="P"/>
    <s v="P"/>
    <s v="+"/>
    <s v="+"/>
    <n v="12.22"/>
    <s v="-"/>
    <s v="-"/>
    <s v="-"/>
    <s v="-"/>
    <s v="-"/>
    <s v="-"/>
    <s v="-"/>
    <s v="-"/>
    <s v="P"/>
    <s v="P"/>
    <s v="-"/>
    <n v="2"/>
    <n v="1"/>
    <n v="2"/>
    <n v="1"/>
    <s v="-"/>
    <s v="-"/>
    <s v="-"/>
    <s v="-"/>
    <s v="-"/>
    <s v="-"/>
    <s v="-"/>
    <n v="6"/>
    <n v="6"/>
    <s v="-"/>
    <n v="1"/>
    <n v="1"/>
    <n v="2"/>
    <n v="2"/>
    <n v="8"/>
    <n v="8"/>
  </r>
  <r>
    <x v="2"/>
    <x v="68"/>
    <d v="2026-03-19T00:00:00"/>
    <s v="3RD"/>
    <d v="1899-12-31T00:00:00"/>
    <n v="3"/>
    <x v="10"/>
    <n v="2.8E-3"/>
    <s v="P"/>
    <s v="P"/>
    <s v="P"/>
    <s v="+"/>
    <s v="+"/>
    <n v="12.66"/>
    <s v="-"/>
    <s v="-"/>
    <s v="-"/>
    <s v="-"/>
    <s v="-"/>
    <s v="-"/>
    <s v="-"/>
    <s v="-"/>
    <s v="P"/>
    <s v="P"/>
    <s v="-"/>
    <n v="2"/>
    <n v="1"/>
    <n v="2"/>
    <n v="1"/>
    <s v="-"/>
    <s v="-"/>
    <s v="-"/>
    <s v="-"/>
    <s v="-"/>
    <s v="-"/>
    <s v="-"/>
    <n v="6"/>
    <n v="6"/>
    <s v="-"/>
    <n v="1"/>
    <n v="1"/>
    <n v="2"/>
    <n v="2"/>
    <n v="8"/>
    <n v="8"/>
  </r>
  <r>
    <x v="2"/>
    <x v="68"/>
    <d v="2026-03-19T00:00:00"/>
    <s v="3RD"/>
    <d v="1899-12-31T01:00:00"/>
    <n v="3"/>
    <x v="10"/>
    <s v="-"/>
    <s v="P"/>
    <s v="P"/>
    <s v="P"/>
    <s v="+"/>
    <s v="+"/>
    <n v="12.69"/>
    <s v="-"/>
    <s v="-"/>
    <s v="-"/>
    <s v="-"/>
    <s v="-"/>
    <s v="-"/>
    <s v="-"/>
    <s v="-"/>
    <s v="P"/>
    <s v="P"/>
    <s v="-"/>
    <s v="-"/>
    <n v="1"/>
    <n v="2"/>
    <n v="1"/>
    <s v="-"/>
    <s v="-"/>
    <s v="-"/>
    <s v="-"/>
    <s v="-"/>
    <s v="-"/>
    <s v="-"/>
    <n v="4"/>
    <n v="4"/>
    <s v="-"/>
    <n v="1"/>
    <n v="1"/>
    <n v="2"/>
    <n v="2"/>
    <n v="6"/>
    <n v="6"/>
  </r>
  <r>
    <x v="2"/>
    <x v="68"/>
    <d v="1899-12-30T00:00:00"/>
    <s v="2ND"/>
    <d v="1899-12-30T17:00:00"/>
    <n v="2"/>
    <x v="17"/>
    <n v="4.4999999999999997E-3"/>
    <s v="P"/>
    <s v="P"/>
    <s v="P"/>
    <s v="-"/>
    <s v="+"/>
    <n v="10.48"/>
    <n v="8.3000000000000007"/>
    <n v="0.32"/>
    <n v="56.3"/>
    <n v="6.2"/>
    <n v="627"/>
    <n v="22.28"/>
    <s v="-"/>
    <s v="-"/>
    <s v="P"/>
    <s v="P"/>
    <s v="-"/>
    <n v="2"/>
    <n v="1"/>
    <n v="2"/>
    <n v="0"/>
    <n v="1"/>
    <n v="2"/>
    <n v="2"/>
    <n v="1"/>
    <n v="1"/>
    <n v="2"/>
    <s v="-"/>
    <n v="14"/>
    <n v="15"/>
    <s v="-"/>
    <n v="1"/>
    <n v="1"/>
    <n v="2"/>
    <n v="2"/>
    <n v="16"/>
    <n v="17"/>
  </r>
  <r>
    <x v="2"/>
    <x v="68"/>
    <d v="1899-12-30T00:00:00"/>
    <s v="2ND"/>
    <d v="1899-12-30T18:00:00"/>
    <n v="2"/>
    <x v="17"/>
    <n v="7.7000000000000002E-3"/>
    <s v="P"/>
    <s v="P"/>
    <s v="P"/>
    <s v="-"/>
    <s v="+"/>
    <n v="10.62"/>
    <s v="-"/>
    <s v="-"/>
    <s v="-"/>
    <s v="-"/>
    <s v="-"/>
    <s v="-"/>
    <s v="-"/>
    <s v="-"/>
    <s v="P"/>
    <s v="P"/>
    <s v="-"/>
    <n v="2"/>
    <n v="1"/>
    <n v="2"/>
    <n v="0"/>
    <s v="-"/>
    <s v="-"/>
    <s v="-"/>
    <s v="-"/>
    <s v="-"/>
    <s v="-"/>
    <s v="-"/>
    <n v="5"/>
    <n v="6"/>
    <s v="-"/>
    <n v="1"/>
    <n v="1"/>
    <n v="2"/>
    <n v="2"/>
    <n v="7"/>
    <n v="8"/>
  </r>
  <r>
    <x v="2"/>
    <x v="68"/>
    <d v="1899-12-30T00:00:00"/>
    <s v="2ND"/>
    <d v="1899-12-30T20:00:00"/>
    <n v="2"/>
    <x v="17"/>
    <n v="9.2999999999999992E-3"/>
    <s v="P"/>
    <s v="P"/>
    <s v="P"/>
    <s v="-"/>
    <s v="+"/>
    <n v="10.78"/>
    <s v="-"/>
    <s v="-"/>
    <s v="-"/>
    <s v="-"/>
    <s v="-"/>
    <s v="-"/>
    <s v="-"/>
    <s v="-"/>
    <s v="P"/>
    <s v="P"/>
    <s v="-"/>
    <n v="2"/>
    <n v="1"/>
    <n v="2"/>
    <n v="0"/>
    <s v="-"/>
    <s v="-"/>
    <s v="-"/>
    <s v="-"/>
    <s v="-"/>
    <s v="-"/>
    <s v="-"/>
    <n v="5"/>
    <n v="6"/>
    <s v="-"/>
    <n v="1"/>
    <n v="1"/>
    <n v="2"/>
    <n v="2"/>
    <n v="7"/>
    <n v="8"/>
  </r>
  <r>
    <x v="2"/>
    <x v="68"/>
    <d v="1902-03-26T00:00:00"/>
    <s v="3RD"/>
    <d v="1899-12-30T22:00:00"/>
    <n v="2"/>
    <x v="17"/>
    <n v="3.2000000000000002E-3"/>
    <s v="P"/>
    <s v="P"/>
    <s v="P"/>
    <s v="-"/>
    <s v="+"/>
    <n v="10.7"/>
    <n v="8.1300000000000008"/>
    <n v="0.32"/>
    <n v="56.3"/>
    <s v="-"/>
    <s v="-"/>
    <n v="21.87"/>
    <s v="-"/>
    <n v="25.08"/>
    <s v="P"/>
    <s v="P"/>
    <s v="-"/>
    <n v="2"/>
    <n v="1"/>
    <n v="2"/>
    <n v="0"/>
    <n v="1"/>
    <n v="2"/>
    <n v="2"/>
    <s v="-"/>
    <s v="-"/>
    <n v="2"/>
    <s v="-"/>
    <n v="12"/>
    <n v="13"/>
    <n v="0"/>
    <n v="1"/>
    <n v="1"/>
    <n v="2"/>
    <n v="3"/>
    <n v="14"/>
    <n v="16"/>
  </r>
  <r>
    <x v="2"/>
    <x v="68"/>
    <d v="1899-12-30T00:00:00"/>
    <s v="3RD"/>
    <d v="1899-12-30T23:00:00"/>
    <n v="2"/>
    <x v="17"/>
    <n v="4.4999999999999997E-3"/>
    <s v="P"/>
    <s v="P"/>
    <s v="P"/>
    <s v="-"/>
    <s v="+"/>
    <n v="10.61"/>
    <s v="-"/>
    <s v="-"/>
    <s v="-"/>
    <s v="-"/>
    <s v="-"/>
    <s v="-"/>
    <s v="-"/>
    <s v="-"/>
    <s v="P"/>
    <s v="P"/>
    <s v="-"/>
    <n v="2"/>
    <n v="1"/>
    <n v="2"/>
    <n v="0"/>
    <s v="-"/>
    <s v="-"/>
    <s v="-"/>
    <s v="-"/>
    <s v="-"/>
    <s v="-"/>
    <s v="-"/>
    <n v="5"/>
    <n v="6"/>
    <s v="-"/>
    <n v="1"/>
    <n v="1"/>
    <n v="2"/>
    <n v="2"/>
    <n v="7"/>
    <n v="8"/>
  </r>
  <r>
    <x v="2"/>
    <x v="68"/>
    <d v="1899-12-30T00:00:00"/>
    <s v="3RD"/>
    <d v="1899-12-31T00:00:00"/>
    <n v="2"/>
    <x v="17"/>
    <n v="3.8999999999999998E-3"/>
    <s v="P"/>
    <s v="P"/>
    <s v="P"/>
    <s v="-"/>
    <s v="+"/>
    <n v="10.66"/>
    <s v="-"/>
    <s v="-"/>
    <s v="-"/>
    <s v="-"/>
    <s v="-"/>
    <s v="-"/>
    <s v="-"/>
    <s v="-"/>
    <s v="P"/>
    <s v="P"/>
    <s v="-"/>
    <n v="2"/>
    <n v="1"/>
    <n v="2"/>
    <n v="0"/>
    <s v="-"/>
    <s v="-"/>
    <s v="-"/>
    <s v="-"/>
    <s v="-"/>
    <s v="-"/>
    <s v="-"/>
    <n v="5"/>
    <n v="6"/>
    <s v="-"/>
    <n v="1"/>
    <n v="1"/>
    <n v="2"/>
    <n v="2"/>
    <n v="7"/>
    <n v="8"/>
  </r>
  <r>
    <x v="2"/>
    <x v="68"/>
    <d v="1899-12-30T00:00:00"/>
    <s v="3RD"/>
    <d v="1899-12-31T01:00:00"/>
    <n v="2"/>
    <x v="17"/>
    <n v="4.1000000000000003E-3"/>
    <s v="P"/>
    <s v="P"/>
    <s v="P"/>
    <s v="-"/>
    <s v="+"/>
    <n v="10.68"/>
    <s v="-"/>
    <s v="-"/>
    <s v="-"/>
    <s v="-"/>
    <s v="-"/>
    <s v="-"/>
    <s v="-"/>
    <s v="-"/>
    <s v="P"/>
    <s v="P"/>
    <s v="-"/>
    <n v="2"/>
    <n v="1"/>
    <n v="2"/>
    <n v="0"/>
    <s v="-"/>
    <s v="-"/>
    <s v="-"/>
    <s v="-"/>
    <s v="-"/>
    <s v="-"/>
    <s v="-"/>
    <n v="5"/>
    <n v="6"/>
    <s v="-"/>
    <n v="1"/>
    <n v="1"/>
    <n v="2"/>
    <n v="2"/>
    <n v="7"/>
    <n v="8"/>
  </r>
  <r>
    <x v="2"/>
    <x v="68"/>
    <d v="1899-12-30T00:00:00"/>
    <s v="3RD"/>
    <d v="1899-12-31T02:00:00"/>
    <n v="2"/>
    <x v="17"/>
    <n v="3.2000000000000002E-3"/>
    <s v="P"/>
    <s v="P"/>
    <s v="P"/>
    <s v="-"/>
    <s v="+"/>
    <n v="10.69"/>
    <s v="-"/>
    <s v="-"/>
    <s v="-"/>
    <s v="-"/>
    <s v="-"/>
    <s v="-"/>
    <s v="-"/>
    <s v="-"/>
    <s v="P"/>
    <s v="P"/>
    <s v="-"/>
    <n v="2"/>
    <n v="1"/>
    <n v="2"/>
    <n v="0"/>
    <s v="-"/>
    <s v="-"/>
    <s v="-"/>
    <s v="-"/>
    <s v="-"/>
    <s v="-"/>
    <s v="-"/>
    <n v="5"/>
    <n v="6"/>
    <s v="-"/>
    <n v="1"/>
    <n v="1"/>
    <n v="2"/>
    <n v="2"/>
    <n v="7"/>
    <n v="8"/>
  </r>
  <r>
    <x v="2"/>
    <x v="68"/>
    <d v="1899-12-30T00:00:00"/>
    <s v="3RD"/>
    <d v="1899-12-31T03:00:00"/>
    <n v="2"/>
    <x v="17"/>
    <n v="2.5000000000000001E-3"/>
    <s v="P"/>
    <s v="P"/>
    <s v="P"/>
    <s v="-"/>
    <s v="+"/>
    <n v="10.59"/>
    <s v="-"/>
    <s v="-"/>
    <s v="-"/>
    <s v="-"/>
    <s v="-"/>
    <s v="-"/>
    <s v="-"/>
    <s v="-"/>
    <s v="P"/>
    <s v="P"/>
    <s v="-"/>
    <n v="2"/>
    <n v="1"/>
    <n v="2"/>
    <n v="0"/>
    <s v="-"/>
    <s v="-"/>
    <s v="-"/>
    <s v="-"/>
    <s v="-"/>
    <s v="-"/>
    <s v="-"/>
    <n v="5"/>
    <n v="6"/>
    <s v="-"/>
    <n v="1"/>
    <n v="1"/>
    <n v="2"/>
    <n v="2"/>
    <n v="7"/>
    <n v="8"/>
  </r>
  <r>
    <x v="2"/>
    <x v="68"/>
    <d v="2026-03-20T00:00:00"/>
    <s v="1ST"/>
    <s v="08:00"/>
    <n v="3"/>
    <x v="1"/>
    <n v="1.9300000000000001E-2"/>
    <s v="P"/>
    <s v="P"/>
    <s v="P"/>
    <s v="+"/>
    <s v="+"/>
    <n v="12.61"/>
    <n v="12.68"/>
    <n v="0.59"/>
    <n v="64"/>
    <n v="13.5"/>
    <n v="1096"/>
    <n v="35.5"/>
    <s v="-"/>
    <s v="-"/>
    <s v="P"/>
    <s v="P"/>
    <s v="85% 15%"/>
    <n v="2"/>
    <n v="1"/>
    <n v="2"/>
    <n v="1"/>
    <n v="1"/>
    <n v="2"/>
    <n v="2"/>
    <n v="1"/>
    <n v="0"/>
    <n v="2"/>
    <s v="-"/>
    <n v="14"/>
    <n v="15"/>
    <s v="-"/>
    <n v="1"/>
    <n v="1"/>
    <n v="2"/>
    <n v="2"/>
    <n v="16"/>
    <n v="17"/>
  </r>
  <r>
    <x v="2"/>
    <x v="68"/>
    <d v="2026-03-20T00:00:00"/>
    <s v="1ST"/>
    <s v="08:00"/>
    <n v="1"/>
    <x v="20"/>
    <n v="1.6299999999999999E-2"/>
    <s v="P"/>
    <s v="P"/>
    <s v="P"/>
    <s v="-"/>
    <s v="-"/>
    <n v="12.81"/>
    <n v="12.75"/>
    <n v="0.56999999999999995"/>
    <n v="65.400000000000006"/>
    <n v="23.7"/>
    <n v="358"/>
    <n v="35.700000000000003"/>
    <s v="-"/>
    <s v="-"/>
    <s v="P"/>
    <s v="P"/>
    <s v="80% 20%"/>
    <n v="2"/>
    <n v="1"/>
    <n v="2"/>
    <n v="1"/>
    <n v="1"/>
    <n v="2"/>
    <n v="2"/>
    <s v="-"/>
    <s v="-"/>
    <n v="2"/>
    <s v="-"/>
    <n v="13"/>
    <n v="13"/>
    <s v="-"/>
    <n v="1"/>
    <n v="1"/>
    <n v="2"/>
    <n v="2"/>
    <n v="15"/>
    <n v="15"/>
  </r>
  <r>
    <x v="2"/>
    <x v="68"/>
    <d v="2026-03-20T00:00:00"/>
    <s v="1ST"/>
    <s v="09:00"/>
    <n v="1"/>
    <x v="20"/>
    <n v="1.54E-2"/>
    <s v="P"/>
    <s v="P"/>
    <s v="P"/>
    <s v="-"/>
    <s v="-"/>
    <n v="13.08"/>
    <s v="-"/>
    <s v="-"/>
    <s v="-"/>
    <s v="-"/>
    <s v="-"/>
    <s v="-"/>
    <s v="-"/>
    <s v="-"/>
    <s v="P"/>
    <s v="P"/>
    <s v="-"/>
    <n v="2"/>
    <n v="1"/>
    <n v="2"/>
    <n v="1"/>
    <s v="-"/>
    <s v="-"/>
    <s v="-"/>
    <s v="-"/>
    <s v="-"/>
    <s v="-"/>
    <s v="-"/>
    <n v="6"/>
    <n v="6"/>
    <s v="-"/>
    <n v="1"/>
    <n v="1"/>
    <n v="2"/>
    <n v="2"/>
    <n v="8"/>
    <n v="8"/>
  </r>
  <r>
    <x v="2"/>
    <x v="68"/>
    <d v="2026-03-20T00:00:00"/>
    <s v="1ST"/>
    <s v="10:00"/>
    <n v="1"/>
    <x v="20"/>
    <n v="1.8499999999999999E-2"/>
    <s v="P"/>
    <s v="P"/>
    <s v="P"/>
    <s v="-"/>
    <s v="-"/>
    <n v="13.16"/>
    <s v="-"/>
    <s v="-"/>
    <s v="-"/>
    <s v="-"/>
    <s v="-"/>
    <s v="-"/>
    <s v="-"/>
    <s v="-"/>
    <s v="P"/>
    <s v="P"/>
    <s v="-"/>
    <n v="2"/>
    <n v="1"/>
    <n v="2"/>
    <n v="1"/>
    <s v="-"/>
    <s v="-"/>
    <s v="-"/>
    <s v="-"/>
    <s v="-"/>
    <s v="-"/>
    <s v="-"/>
    <n v="6"/>
    <n v="6"/>
    <s v="-"/>
    <n v="1"/>
    <n v="1"/>
    <n v="2"/>
    <n v="2"/>
    <n v="8"/>
    <n v="8"/>
  </r>
  <r>
    <x v="2"/>
    <x v="68"/>
    <s v="-"/>
    <s v="2ND"/>
    <d v="1899-12-30T14:00:00"/>
    <n v="1"/>
    <x v="20"/>
    <n v="5.1000000000000004E-3"/>
    <s v="P"/>
    <s v="P"/>
    <s v="P"/>
    <s v="-"/>
    <s v="-"/>
    <n v="12.58"/>
    <n v="12.68"/>
    <s v="-"/>
    <s v="-"/>
    <s v="-"/>
    <s v="-"/>
    <n v="35.4"/>
    <s v="-"/>
    <n v="25.18"/>
    <s v="P"/>
    <s v="P"/>
    <s v="80% 20%"/>
    <n v="2"/>
    <n v="1"/>
    <n v="2"/>
    <n v="1"/>
    <n v="1"/>
    <s v="-"/>
    <s v="-"/>
    <s v="-"/>
    <s v="-"/>
    <n v="2"/>
    <s v="-"/>
    <n v="9"/>
    <n v="9"/>
    <n v="1"/>
    <n v="1"/>
    <n v="1"/>
    <n v="3"/>
    <n v="3"/>
    <n v="12"/>
    <n v="12"/>
  </r>
  <r>
    <x v="2"/>
    <x v="68"/>
    <d v="2026-03-20T00:00:00"/>
    <s v="2ND"/>
    <d v="1899-12-30T15:00:00"/>
    <n v="1"/>
    <x v="20"/>
    <n v="5.4000000000000003E-3"/>
    <s v="P"/>
    <s v="P"/>
    <s v="P"/>
    <s v="-"/>
    <s v="-"/>
    <n v="12.62"/>
    <s v="-"/>
    <s v="-"/>
    <s v="-"/>
    <s v="-"/>
    <s v="-"/>
    <s v="-"/>
    <s v="-"/>
    <s v="-"/>
    <s v="P"/>
    <s v="P"/>
    <s v="-"/>
    <n v="2"/>
    <n v="1"/>
    <n v="2"/>
    <n v="1"/>
    <s v="-"/>
    <s v="-"/>
    <s v="-"/>
    <s v="-"/>
    <s v="-"/>
    <s v="-"/>
    <s v="-"/>
    <n v="6"/>
    <n v="6"/>
    <s v="-"/>
    <n v="1"/>
    <n v="1"/>
    <n v="2"/>
    <n v="2"/>
    <n v="8"/>
    <n v="8"/>
  </r>
  <r>
    <x v="2"/>
    <x v="68"/>
    <d v="2026-03-17T00:00:00"/>
    <s v="3RD"/>
    <d v="1899-12-31T04:00:00"/>
    <n v="1"/>
    <x v="4"/>
    <n v="2.3999999999999998E-3"/>
    <s v="P"/>
    <s v="P"/>
    <s v="P"/>
    <s v="-"/>
    <s v="+"/>
    <n v="11.07"/>
    <n v="8.35"/>
    <n v="0.54"/>
    <n v="55.2"/>
    <n v="11.9"/>
    <n v="314"/>
    <n v="22.5"/>
    <s v="-"/>
    <s v="-"/>
    <s v="P"/>
    <s v="P"/>
    <s v="-"/>
    <n v="2"/>
    <n v="1"/>
    <n v="2"/>
    <n v="1"/>
    <n v="0"/>
    <n v="2"/>
    <n v="2"/>
    <n v="1"/>
    <n v="1"/>
    <n v="2"/>
    <s v="-"/>
    <n v="14"/>
    <n v="15"/>
    <s v="-"/>
    <n v="1"/>
    <n v="1"/>
    <n v="2"/>
    <n v="2"/>
    <n v="16"/>
    <n v="17"/>
  </r>
  <r>
    <x v="2"/>
    <x v="68"/>
    <d v="2026-03-17T00:00:00"/>
    <s v="3RD"/>
    <d v="1899-12-31T05:00:00"/>
    <n v="1"/>
    <x v="4"/>
    <n v="2.8E-3"/>
    <s v="P"/>
    <s v="P"/>
    <s v="P"/>
    <s v="-"/>
    <s v="+"/>
    <n v="11.05"/>
    <s v="-"/>
    <s v="-"/>
    <s v="-"/>
    <s v="-"/>
    <s v="-"/>
    <s v="-"/>
    <s v="-"/>
    <s v="-"/>
    <s v="P"/>
    <s v="P"/>
    <s v="-"/>
    <n v="2"/>
    <n v="1"/>
    <n v="2"/>
    <n v="1"/>
    <s v="-"/>
    <s v="-"/>
    <s v="-"/>
    <s v="-"/>
    <s v="-"/>
    <s v="-"/>
    <s v="-"/>
    <n v="6"/>
    <n v="6"/>
    <s v="-"/>
    <n v="1"/>
    <n v="1"/>
    <n v="2"/>
    <n v="2"/>
    <n v="8"/>
    <n v="8"/>
  </r>
  <r>
    <x v="2"/>
    <x v="69"/>
    <d v="2026-03-17T00:00:00"/>
    <s v="2ND"/>
    <d v="1899-12-30T19:00:00"/>
    <n v="1"/>
    <x v="7"/>
    <n v="9.5999999999999992E-3"/>
    <s v="P"/>
    <s v="P"/>
    <s v="P"/>
    <s v="-"/>
    <s v="+"/>
    <n v="10.23"/>
    <n v="8.6"/>
    <n v="0.59"/>
    <n v="55.4"/>
    <n v="12.8"/>
    <n v="410"/>
    <n v="23.29"/>
    <s v="-"/>
    <s v="-"/>
    <s v="P"/>
    <s v="P"/>
    <s v="90% 10%"/>
    <n v="2"/>
    <n v="1"/>
    <n v="2"/>
    <n v="0"/>
    <n v="1"/>
    <n v="2"/>
    <n v="0"/>
    <n v="1"/>
    <n v="1"/>
    <n v="2"/>
    <s v="-"/>
    <n v="12"/>
    <n v="15"/>
    <s v="-"/>
    <n v="1"/>
    <n v="1"/>
    <n v="2"/>
    <n v="2"/>
    <n v="14"/>
    <n v="17"/>
  </r>
  <r>
    <x v="2"/>
    <x v="69"/>
    <d v="2026-03-17T00:00:00"/>
    <s v="2ND"/>
    <d v="1899-12-30T20:00:00"/>
    <n v="1"/>
    <x v="7"/>
    <n v="7.7000000000000002E-3"/>
    <s v="P"/>
    <s v="P"/>
    <s v="P"/>
    <s v="-"/>
    <s v="+"/>
    <n v="10.67"/>
    <s v="-"/>
    <s v="-"/>
    <s v="-"/>
    <s v="-"/>
    <s v="-"/>
    <s v="-"/>
    <s v="-"/>
    <s v="-"/>
    <s v="P"/>
    <s v="P"/>
    <s v="-"/>
    <n v="2"/>
    <n v="1"/>
    <n v="2"/>
    <n v="0"/>
    <s v="-"/>
    <s v="-"/>
    <s v="-"/>
    <s v="-"/>
    <s v="-"/>
    <s v="-"/>
    <s v="-"/>
    <n v="5"/>
    <n v="6"/>
    <s v="-"/>
    <n v="1"/>
    <n v="1"/>
    <n v="2"/>
    <n v="2"/>
    <n v="7"/>
    <n v="8"/>
  </r>
  <r>
    <x v="2"/>
    <x v="69"/>
    <d v="2026-03-17T00:00:00"/>
    <s v="2ND"/>
    <d v="1899-12-30T21:00:00"/>
    <n v="1"/>
    <x v="7"/>
    <n v="6.8999999999999999E-3"/>
    <s v="P"/>
    <s v="P"/>
    <s v="P"/>
    <s v="-"/>
    <s v="+"/>
    <n v="11.06"/>
    <s v="-"/>
    <s v="-"/>
    <s v="-"/>
    <s v="-"/>
    <s v="-"/>
    <s v="-"/>
    <s v="-"/>
    <s v="-"/>
    <s v="P"/>
    <s v="P"/>
    <s v="-"/>
    <n v="2"/>
    <n v="1"/>
    <n v="2"/>
    <n v="1"/>
    <s v="-"/>
    <s v="-"/>
    <s v="-"/>
    <s v="-"/>
    <s v="-"/>
    <s v="-"/>
    <s v="-"/>
    <n v="6"/>
    <n v="6"/>
    <s v="-"/>
    <n v="1"/>
    <n v="1"/>
    <n v="2"/>
    <n v="2"/>
    <n v="8"/>
    <n v="8"/>
  </r>
  <r>
    <x v="2"/>
    <x v="69"/>
    <s v="-"/>
    <s v="3RD"/>
    <d v="1899-12-30T22:00:00"/>
    <n v="1"/>
    <x v="7"/>
    <n v="2E-3"/>
    <s v="P"/>
    <s v="P"/>
    <s v="P"/>
    <s v="-"/>
    <s v="+"/>
    <n v="11.06"/>
    <n v="8.7100000000000009"/>
    <s v="-"/>
    <s v="-"/>
    <s v="-"/>
    <s v="-"/>
    <n v="23.51"/>
    <s v="-"/>
    <s v="-"/>
    <s v="P"/>
    <s v="P"/>
    <s v="90% 10%"/>
    <n v="2"/>
    <n v="1"/>
    <n v="2"/>
    <n v="1"/>
    <n v="1"/>
    <s v="-"/>
    <s v="-"/>
    <s v="-"/>
    <s v="-"/>
    <n v="2"/>
    <s v="-"/>
    <n v="9"/>
    <n v="9"/>
    <s v="-"/>
    <n v="1"/>
    <n v="1"/>
    <n v="2"/>
    <n v="2"/>
    <n v="11"/>
    <n v="11"/>
  </r>
  <r>
    <x v="2"/>
    <x v="69"/>
    <d v="2026-03-14T00:00:00"/>
    <s v="3RD"/>
    <d v="1899-12-30T23:00:00"/>
    <n v="1"/>
    <x v="7"/>
    <n v="2.0999999999999999E-3"/>
    <s v="P"/>
    <s v="P"/>
    <s v="P"/>
    <s v="-"/>
    <s v="+"/>
    <n v="10.95"/>
    <s v="-"/>
    <s v="-"/>
    <s v="-"/>
    <s v="-"/>
    <s v="-"/>
    <s v="-"/>
    <s v="-"/>
    <s v="-"/>
    <s v="P"/>
    <s v="P"/>
    <s v="-"/>
    <n v="2"/>
    <n v="1"/>
    <n v="2"/>
    <n v="0"/>
    <s v="-"/>
    <s v="-"/>
    <s v="-"/>
    <s v="-"/>
    <s v="-"/>
    <s v="-"/>
    <s v="-"/>
    <n v="5"/>
    <n v="6"/>
    <s v="-"/>
    <n v="1"/>
    <n v="1"/>
    <n v="2"/>
    <n v="2"/>
    <n v="7"/>
    <n v="8"/>
  </r>
  <r>
    <x v="2"/>
    <x v="69"/>
    <d v="2026-03-14T00:00:00"/>
    <s v="3RD"/>
    <d v="1899-12-31T00:00:00"/>
    <n v="1"/>
    <x v="7"/>
    <n v="2.3999999999999998E-3"/>
    <s v="P"/>
    <s v="P"/>
    <s v="P"/>
    <s v="-"/>
    <s v="+"/>
    <n v="11.01"/>
    <s v="-"/>
    <s v="-"/>
    <s v="-"/>
    <s v="-"/>
    <s v="-"/>
    <s v="-"/>
    <s v="-"/>
    <s v="-"/>
    <s v="P"/>
    <s v="P"/>
    <s v="-"/>
    <n v="2"/>
    <n v="1"/>
    <n v="2"/>
    <n v="1"/>
    <s v="-"/>
    <s v="-"/>
    <s v="-"/>
    <s v="-"/>
    <s v="-"/>
    <s v="-"/>
    <s v="-"/>
    <n v="6"/>
    <n v="6"/>
    <s v="-"/>
    <n v="1"/>
    <n v="1"/>
    <n v="2"/>
    <n v="2"/>
    <n v="8"/>
    <n v="8"/>
  </r>
  <r>
    <x v="2"/>
    <x v="69"/>
    <d v="2026-03-14T00:00:00"/>
    <s v="3RD"/>
    <d v="1899-12-31T01:00:00"/>
    <n v="1"/>
    <x v="7"/>
    <n v="2.8E-3"/>
    <s v="P"/>
    <s v="P"/>
    <s v="P"/>
    <s v="-"/>
    <s v="+"/>
    <n v="10.8"/>
    <s v="-"/>
    <s v="-"/>
    <s v="-"/>
    <s v="-"/>
    <s v="-"/>
    <s v="-"/>
    <s v="-"/>
    <s v="-"/>
    <s v="P"/>
    <s v="P"/>
    <s v="-"/>
    <n v="2"/>
    <n v="1"/>
    <n v="2"/>
    <n v="0"/>
    <s v="-"/>
    <s v="-"/>
    <s v="-"/>
    <s v="-"/>
    <s v="-"/>
    <s v="-"/>
    <s v="-"/>
    <n v="5"/>
    <n v="6"/>
    <s v="-"/>
    <n v="1"/>
    <n v="1"/>
    <n v="2"/>
    <n v="2"/>
    <n v="7"/>
    <n v="8"/>
  </r>
  <r>
    <x v="2"/>
    <x v="69"/>
    <d v="2026-03-14T00:00:00"/>
    <s v="3RD"/>
    <d v="1899-12-31T02:00:00"/>
    <n v="1"/>
    <x v="7"/>
    <n v="3.0000000000000001E-3"/>
    <s v="P"/>
    <s v="P"/>
    <s v="P"/>
    <s v="-"/>
    <s v="+"/>
    <n v="10.91"/>
    <s v="-"/>
    <s v="-"/>
    <s v="-"/>
    <s v="-"/>
    <s v="-"/>
    <s v="-"/>
    <s v="-"/>
    <s v="-"/>
    <s v="P"/>
    <s v="P"/>
    <s v="-"/>
    <n v="2"/>
    <n v="1"/>
    <n v="2"/>
    <n v="0"/>
    <s v="-"/>
    <s v="-"/>
    <s v="-"/>
    <s v="-"/>
    <s v="-"/>
    <s v="-"/>
    <s v="-"/>
    <n v="5"/>
    <n v="6"/>
    <s v="-"/>
    <n v="1"/>
    <n v="1"/>
    <n v="2"/>
    <n v="2"/>
    <n v="7"/>
    <n v="8"/>
  </r>
  <r>
    <x v="2"/>
    <x v="69"/>
    <d v="2026-03-14T00:00:00"/>
    <s v="3RD"/>
    <d v="1899-12-31T03:00:00"/>
    <n v="1"/>
    <x v="7"/>
    <n v="2.2000000000000001E-3"/>
    <s v="P"/>
    <s v="P"/>
    <s v="P"/>
    <s v="-"/>
    <s v="+"/>
    <n v="10.91"/>
    <s v="-"/>
    <s v="-"/>
    <s v="-"/>
    <s v="-"/>
    <s v="-"/>
    <s v="-"/>
    <s v="-"/>
    <s v="-"/>
    <s v="P"/>
    <s v="P"/>
    <s v="-"/>
    <n v="2"/>
    <n v="1"/>
    <n v="2"/>
    <n v="0"/>
    <s v="-"/>
    <s v="-"/>
    <s v="-"/>
    <s v="-"/>
    <s v="-"/>
    <s v="-"/>
    <s v="-"/>
    <n v="5"/>
    <n v="6"/>
    <s v="-"/>
    <n v="1"/>
    <n v="1"/>
    <n v="2"/>
    <n v="2"/>
    <n v="7"/>
    <n v="8"/>
  </r>
  <r>
    <x v="2"/>
    <x v="69"/>
    <d v="2026-03-14T00:00:00"/>
    <s v="3RD"/>
    <d v="1899-12-31T04:00:00"/>
    <n v="1"/>
    <x v="7"/>
    <n v="1.2999999999999999E-3"/>
    <s v="P"/>
    <s v="P"/>
    <s v="P"/>
    <s v="-"/>
    <s v="+"/>
    <n v="10.98"/>
    <s v="-"/>
    <s v="-"/>
    <s v="-"/>
    <s v="-"/>
    <s v="-"/>
    <s v="-"/>
    <s v="-"/>
    <s v="-"/>
    <s v="P"/>
    <s v="P"/>
    <s v="-"/>
    <n v="2"/>
    <n v="1"/>
    <n v="2"/>
    <n v="0"/>
    <s v="-"/>
    <s v="-"/>
    <s v="-"/>
    <s v="-"/>
    <s v="-"/>
    <s v="-"/>
    <s v="-"/>
    <n v="5"/>
    <n v="6"/>
    <s v="-"/>
    <n v="1"/>
    <n v="1"/>
    <n v="2"/>
    <n v="2"/>
    <n v="7"/>
    <n v="8"/>
  </r>
  <r>
    <x v="2"/>
    <x v="69"/>
    <d v="2026-03-14T00:00:00"/>
    <s v="3RD"/>
    <d v="1899-12-31T05:00:00"/>
    <n v="1"/>
    <x v="7"/>
    <n v="2E-3"/>
    <s v="P"/>
    <s v="P"/>
    <s v="P"/>
    <s v="-"/>
    <s v="+"/>
    <n v="10.97"/>
    <s v="-"/>
    <s v="-"/>
    <s v="-"/>
    <s v="-"/>
    <s v="-"/>
    <s v="-"/>
    <s v="-"/>
    <s v="-"/>
    <s v="P"/>
    <s v="P"/>
    <s v="-"/>
    <n v="2"/>
    <n v="1"/>
    <n v="2"/>
    <n v="0"/>
    <s v="-"/>
    <s v="-"/>
    <s v="-"/>
    <s v="-"/>
    <s v="-"/>
    <s v="-"/>
    <s v="-"/>
    <n v="5"/>
    <n v="6"/>
    <s v="-"/>
    <n v="1"/>
    <n v="1"/>
    <n v="2"/>
    <n v="2"/>
    <n v="7"/>
    <n v="8"/>
  </r>
  <r>
    <x v="2"/>
    <x v="69"/>
    <d v="2026-03-20T00:00:00"/>
    <s v="3RD"/>
    <d v="1899-12-30T22:00:00"/>
    <n v="3"/>
    <x v="1"/>
    <n v="1.7999999999999999E-2"/>
    <s v="P"/>
    <s v="P"/>
    <s v="P"/>
    <s v="+"/>
    <s v="+"/>
    <n v="12.43"/>
    <n v="12.59"/>
    <n v="0.62"/>
    <n v="64"/>
    <s v="-"/>
    <s v="-"/>
    <n v="35.299999999999997"/>
    <s v="-"/>
    <s v="-"/>
    <s v="P"/>
    <s v="P"/>
    <s v="85% 15%"/>
    <n v="2"/>
    <n v="1"/>
    <n v="2"/>
    <n v="1"/>
    <n v="1"/>
    <n v="2"/>
    <n v="2"/>
    <s v="-"/>
    <s v="-"/>
    <n v="2"/>
    <s v="-"/>
    <n v="13"/>
    <n v="13"/>
    <s v="-"/>
    <n v="1"/>
    <n v="1"/>
    <n v="2"/>
    <n v="2"/>
    <n v="15"/>
    <n v="15"/>
  </r>
  <r>
    <x v="2"/>
    <x v="69"/>
    <d v="2026-03-20T00:00:00"/>
    <s v="3RD"/>
    <d v="1899-12-31T00:00:00"/>
    <n v="3"/>
    <x v="1"/>
    <n v="8.8999999999999999E-3"/>
    <s v="P"/>
    <s v="P"/>
    <s v="P"/>
    <s v="+"/>
    <s v="+"/>
    <n v="12.69"/>
    <s v="-"/>
    <s v="-"/>
    <s v="-"/>
    <s v="-"/>
    <s v="-"/>
    <s v="-"/>
    <s v="-"/>
    <s v="-"/>
    <s v="P"/>
    <s v="P"/>
    <s v="-"/>
    <n v="2"/>
    <n v="1"/>
    <n v="2"/>
    <n v="1"/>
    <s v="-"/>
    <s v="-"/>
    <s v="-"/>
    <s v="-"/>
    <s v="-"/>
    <s v="-"/>
    <s v="-"/>
    <n v="6"/>
    <n v="6"/>
    <s v="-"/>
    <n v="1"/>
    <n v="1"/>
    <n v="2"/>
    <n v="2"/>
    <n v="8"/>
    <n v="8"/>
  </r>
  <r>
    <x v="2"/>
    <x v="69"/>
    <d v="2026-03-20T00:00:00"/>
    <s v="3RD"/>
    <d v="1899-12-31T01:00:00"/>
    <n v="3"/>
    <x v="1"/>
    <n v="2.8E-3"/>
    <s v="P"/>
    <s v="P"/>
    <s v="P"/>
    <s v="+"/>
    <s v="+"/>
    <n v="12.82"/>
    <s v="-"/>
    <s v="-"/>
    <s v="-"/>
    <s v="-"/>
    <s v="-"/>
    <s v="-"/>
    <s v="-"/>
    <s v="-"/>
    <s v="P"/>
    <s v="P"/>
    <s v="-"/>
    <n v="2"/>
    <n v="1"/>
    <n v="2"/>
    <n v="1"/>
    <s v="-"/>
    <s v="-"/>
    <s v="-"/>
    <s v="-"/>
    <s v="-"/>
    <s v="-"/>
    <s v="-"/>
    <n v="6"/>
    <n v="6"/>
    <s v="-"/>
    <n v="1"/>
    <n v="1"/>
    <n v="2"/>
    <n v="2"/>
    <n v="8"/>
    <n v="8"/>
  </r>
  <r>
    <x v="2"/>
    <x v="69"/>
    <d v="2026-03-20T00:00:00"/>
    <s v="3RD"/>
    <d v="1899-12-31T02:00:00"/>
    <n v="3"/>
    <x v="1"/>
    <n v="7.1999999999999998E-3"/>
    <s v="P"/>
    <s v="P"/>
    <s v="P"/>
    <s v="+"/>
    <s v="+"/>
    <n v="12.69"/>
    <s v="-"/>
    <s v="-"/>
    <s v="-"/>
    <s v="-"/>
    <s v="-"/>
    <s v="-"/>
    <s v="-"/>
    <s v="-"/>
    <s v="P"/>
    <s v="P"/>
    <s v="-"/>
    <n v="2"/>
    <n v="1"/>
    <n v="2"/>
    <n v="1"/>
    <s v="-"/>
    <s v="-"/>
    <s v="-"/>
    <s v="-"/>
    <s v="-"/>
    <s v="-"/>
    <s v="-"/>
    <n v="6"/>
    <n v="6"/>
    <s v="-"/>
    <n v="1"/>
    <n v="1"/>
    <n v="2"/>
    <n v="2"/>
    <n v="8"/>
    <n v="8"/>
  </r>
  <r>
    <x v="2"/>
    <x v="69"/>
    <d v="2026-03-20T00:00:00"/>
    <s v="3RD"/>
    <d v="1899-12-31T03:00:00"/>
    <n v="3"/>
    <x v="1"/>
    <n v="3.5999999999999999E-3"/>
    <s v="P"/>
    <s v="P"/>
    <s v="P"/>
    <s v="+"/>
    <s v="+"/>
    <n v="12.73"/>
    <s v="-"/>
    <s v="-"/>
    <s v="-"/>
    <s v="-"/>
    <s v="-"/>
    <s v="-"/>
    <s v="-"/>
    <s v="-"/>
    <s v="P"/>
    <s v="P"/>
    <s v="-"/>
    <n v="2"/>
    <n v="1"/>
    <n v="2"/>
    <n v="1"/>
    <s v="-"/>
    <s v="-"/>
    <s v="-"/>
    <s v="-"/>
    <s v="-"/>
    <s v="-"/>
    <s v="-"/>
    <n v="6"/>
    <n v="6"/>
    <s v="-"/>
    <n v="1"/>
    <n v="1"/>
    <n v="2"/>
    <n v="2"/>
    <n v="8"/>
    <n v="8"/>
  </r>
  <r>
    <x v="2"/>
    <x v="69"/>
    <d v="2026-03-20T00:00:00"/>
    <s v="3RD"/>
    <d v="1899-12-31T04:00:00"/>
    <n v="3"/>
    <x v="1"/>
    <n v="2.8E-3"/>
    <s v="P"/>
    <s v="P"/>
    <s v="P"/>
    <s v="+"/>
    <s v="+"/>
    <n v="12.92"/>
    <s v="-"/>
    <s v="-"/>
    <s v="-"/>
    <s v="-"/>
    <s v="-"/>
    <s v="-"/>
    <s v="-"/>
    <s v="-"/>
    <s v="P"/>
    <s v="P"/>
    <s v="-"/>
    <n v="2"/>
    <n v="1"/>
    <n v="2"/>
    <n v="1"/>
    <s v="-"/>
    <s v="-"/>
    <s v="-"/>
    <s v="-"/>
    <s v="-"/>
    <s v="-"/>
    <s v="-"/>
    <n v="6"/>
    <n v="6"/>
    <s v="-"/>
    <n v="1"/>
    <n v="1"/>
    <n v="2"/>
    <n v="2"/>
    <n v="8"/>
    <n v="8"/>
  </r>
  <r>
    <x v="2"/>
    <x v="69"/>
    <d v="1899-12-30T00:00:00"/>
    <s v="2ND"/>
    <d v="1899-12-30T16:00:00"/>
    <s v="Retail"/>
    <x v="13"/>
    <s v="-"/>
    <s v="-"/>
    <s v="-"/>
    <s v="-"/>
    <s v="-"/>
    <s v="-"/>
    <n v="11.58"/>
    <s v="-"/>
    <s v="-"/>
    <s v="-"/>
    <s v="-"/>
    <s v="-"/>
    <s v="-"/>
    <s v="-"/>
    <s v="-"/>
    <s v="-"/>
    <s v="-"/>
    <s v="-"/>
    <s v="-"/>
    <s v="-"/>
    <s v="-"/>
    <n v="1"/>
    <s v="-"/>
    <s v="-"/>
    <s v="-"/>
    <s v="-"/>
    <s v="-"/>
    <s v="-"/>
    <s v="-"/>
    <n v="1"/>
    <n v="1"/>
    <s v="-"/>
    <s v="-"/>
    <s v="-"/>
    <n v="0"/>
    <n v="0"/>
    <n v="1"/>
    <n v="1"/>
  </r>
  <r>
    <x v="2"/>
    <x v="69"/>
    <s v="-"/>
    <s v="1ST"/>
    <s v="06:00"/>
    <n v="1"/>
    <x v="5"/>
    <n v="8.0000000000000002E-3"/>
    <s v="P"/>
    <s v="P"/>
    <s v="P"/>
    <s v="-"/>
    <s v="+"/>
    <n v="11.01"/>
    <n v="8.4"/>
    <n v="0.54"/>
    <n v="55.2"/>
    <n v="11.9"/>
    <n v="314"/>
    <n v="22.71"/>
    <s v="-"/>
    <s v="-"/>
    <s v="P"/>
    <s v="P"/>
    <n v="1"/>
    <n v="2"/>
    <n v="1"/>
    <n v="2"/>
    <n v="1"/>
    <n v="0"/>
    <n v="2"/>
    <n v="2"/>
    <s v="-"/>
    <s v="-"/>
    <n v="2"/>
    <s v="-"/>
    <n v="12"/>
    <n v="13"/>
    <s v="-"/>
    <n v="1"/>
    <n v="1"/>
    <n v="2"/>
    <n v="2"/>
    <n v="14"/>
    <n v="15"/>
  </r>
  <r>
    <x v="2"/>
    <x v="69"/>
    <d v="2026-03-17T00:00:00"/>
    <s v="1ST"/>
    <s v="08:00"/>
    <n v="1"/>
    <x v="5"/>
    <n v="6.0000000000000001E-3"/>
    <s v="P"/>
    <s v="P"/>
    <s v="P"/>
    <s v="-"/>
    <s v="+"/>
    <n v="10.95"/>
    <s v="-"/>
    <s v="-"/>
    <s v="-"/>
    <s v="-"/>
    <s v="-"/>
    <s v="-"/>
    <s v="-"/>
    <s v="-"/>
    <s v="P"/>
    <s v="P"/>
    <s v="-"/>
    <n v="2"/>
    <n v="1"/>
    <n v="2"/>
    <n v="0"/>
    <s v="-"/>
    <s v="-"/>
    <s v="-"/>
    <s v="-"/>
    <s v="-"/>
    <s v="-"/>
    <s v="-"/>
    <n v="5"/>
    <n v="6"/>
    <s v="-"/>
    <n v="1"/>
    <n v="1"/>
    <n v="2"/>
    <n v="2"/>
    <n v="7"/>
    <n v="8"/>
  </r>
  <r>
    <x v="2"/>
    <x v="69"/>
    <d v="2026-03-17T00:00:00"/>
    <s v="1ST"/>
    <s v="09:00"/>
    <n v="1"/>
    <x v="5"/>
    <n v="8.6999999999999994E-3"/>
    <s v="P"/>
    <s v="P"/>
    <s v="P"/>
    <s v="-"/>
    <s v="+"/>
    <n v="11.01"/>
    <s v="-"/>
    <s v="-"/>
    <s v="-"/>
    <s v="-"/>
    <s v="-"/>
    <s v="-"/>
    <s v="-"/>
    <s v="-"/>
    <s v="P"/>
    <s v="P"/>
    <s v="-"/>
    <n v="2"/>
    <n v="1"/>
    <n v="2"/>
    <n v="1"/>
    <s v="-"/>
    <s v="-"/>
    <s v="-"/>
    <s v="-"/>
    <s v="-"/>
    <s v="-"/>
    <s v="-"/>
    <n v="6"/>
    <n v="6"/>
    <s v="-"/>
    <n v="1"/>
    <n v="1"/>
    <n v="2"/>
    <n v="2"/>
    <n v="8"/>
    <n v="8"/>
  </r>
  <r>
    <x v="2"/>
    <x v="69"/>
    <d v="2026-03-17T00:00:00"/>
    <s v="1ST"/>
    <s v="10:00"/>
    <n v="1"/>
    <x v="5"/>
    <n v="6.7999999999999996E-3"/>
    <s v="P"/>
    <s v="P"/>
    <s v="P"/>
    <s v="-"/>
    <s v="+"/>
    <n v="11.03"/>
    <s v="-"/>
    <s v="-"/>
    <s v="-"/>
    <s v="-"/>
    <s v="-"/>
    <s v="-"/>
    <s v="-"/>
    <s v="-"/>
    <s v="P"/>
    <s v="P"/>
    <s v="-"/>
    <n v="2"/>
    <n v="1"/>
    <n v="2"/>
    <n v="1"/>
    <s v="-"/>
    <s v="-"/>
    <s v="-"/>
    <s v="-"/>
    <s v="-"/>
    <s v="-"/>
    <s v="-"/>
    <n v="6"/>
    <n v="6"/>
    <s v="-"/>
    <n v="1"/>
    <n v="1"/>
    <n v="2"/>
    <n v="2"/>
    <n v="8"/>
    <n v="8"/>
  </r>
  <r>
    <x v="2"/>
    <x v="69"/>
    <d v="2026-03-17T00:00:00"/>
    <s v="1ST"/>
    <s v="11:00"/>
    <n v="1"/>
    <x v="5"/>
    <n v="1.44E-2"/>
    <s v="P"/>
    <s v="P"/>
    <s v="P"/>
    <s v="-"/>
    <s v="+"/>
    <n v="10.95"/>
    <s v="-"/>
    <s v="-"/>
    <s v="-"/>
    <s v="-"/>
    <s v="-"/>
    <s v="-"/>
    <s v="-"/>
    <s v="-"/>
    <s v="P"/>
    <s v="P"/>
    <s v="-"/>
    <n v="2"/>
    <n v="1"/>
    <n v="2"/>
    <n v="0"/>
    <s v="-"/>
    <s v="-"/>
    <s v="-"/>
    <s v="-"/>
    <s v="-"/>
    <s v="-"/>
    <s v="-"/>
    <n v="5"/>
    <n v="6"/>
    <s v="-"/>
    <n v="1"/>
    <n v="1"/>
    <n v="2"/>
    <n v="2"/>
    <n v="7"/>
    <n v="8"/>
  </r>
  <r>
    <x v="2"/>
    <x v="69"/>
    <d v="2026-03-17T00:00:00"/>
    <s v="1ST"/>
    <s v="12:00"/>
    <n v="1"/>
    <x v="5"/>
    <n v="6.4999999999999997E-3"/>
    <s v="P"/>
    <s v="P"/>
    <s v="P"/>
    <s v="-"/>
    <s v="+"/>
    <n v="10.92"/>
    <s v="-"/>
    <s v="-"/>
    <s v="-"/>
    <s v="-"/>
    <s v="-"/>
    <s v="-"/>
    <s v="-"/>
    <s v="-"/>
    <s v="P"/>
    <s v="P"/>
    <s v="-"/>
    <n v="2"/>
    <n v="1"/>
    <n v="2"/>
    <n v="0"/>
    <s v="-"/>
    <s v="-"/>
    <s v="-"/>
    <s v="-"/>
    <s v="-"/>
    <s v="-"/>
    <s v="-"/>
    <n v="5"/>
    <n v="6"/>
    <s v="-"/>
    <n v="1"/>
    <n v="1"/>
    <n v="2"/>
    <n v="2"/>
    <n v="7"/>
    <n v="8"/>
  </r>
  <r>
    <x v="2"/>
    <x v="69"/>
    <d v="2026-03-17T00:00:00"/>
    <s v="2ND"/>
    <d v="1899-12-30T15:00:00"/>
    <n v="1"/>
    <x v="5"/>
    <n v="4.8999999999999998E-3"/>
    <s v="P"/>
    <s v="P"/>
    <s v="P"/>
    <s v="-"/>
    <s v="+"/>
    <n v="10.95"/>
    <n v="8.18"/>
    <s v="-"/>
    <s v="-"/>
    <s v="-"/>
    <s v="-"/>
    <n v="21.8"/>
    <s v="-"/>
    <n v="25.17"/>
    <s v="P"/>
    <s v="P"/>
    <n v="1"/>
    <n v="2"/>
    <n v="1"/>
    <n v="2"/>
    <n v="0"/>
    <n v="0"/>
    <s v="-"/>
    <s v="-"/>
    <s v="-"/>
    <s v="-"/>
    <n v="2"/>
    <s v="-"/>
    <n v="7"/>
    <n v="9"/>
    <n v="1"/>
    <n v="1"/>
    <n v="1"/>
    <n v="3"/>
    <n v="3"/>
    <n v="10"/>
    <n v="12"/>
  </r>
  <r>
    <x v="2"/>
    <x v="69"/>
    <d v="2026-03-17T00:00:00"/>
    <s v="2ND"/>
    <d v="1899-12-30T16:00:00"/>
    <n v="1"/>
    <x v="5"/>
    <n v="7.3000000000000001E-3"/>
    <s v="P"/>
    <s v="P"/>
    <s v="P"/>
    <s v="-"/>
    <s v="+"/>
    <n v="10.88"/>
    <s v="-"/>
    <s v="-"/>
    <s v="-"/>
    <s v="-"/>
    <s v="-"/>
    <s v="-"/>
    <s v="-"/>
    <s v="-"/>
    <s v="P"/>
    <s v="P"/>
    <s v="-"/>
    <n v="2"/>
    <n v="1"/>
    <n v="2"/>
    <n v="0"/>
    <s v="-"/>
    <s v="-"/>
    <s v="-"/>
    <s v="-"/>
    <s v="-"/>
    <s v="-"/>
    <s v="-"/>
    <n v="5"/>
    <n v="6"/>
    <s v="-"/>
    <n v="1"/>
    <n v="1"/>
    <n v="2"/>
    <n v="2"/>
    <n v="7"/>
    <n v="8"/>
  </r>
  <r>
    <x v="2"/>
    <x v="69"/>
    <d v="2026-03-17T00:00:00"/>
    <s v="2ND"/>
    <d v="1899-12-30T17:00:00"/>
    <n v="1"/>
    <x v="5"/>
    <n v="7.3000000000000001E-3"/>
    <s v="P"/>
    <s v="P"/>
    <s v="P"/>
    <s v="-"/>
    <s v="+"/>
    <n v="10.88"/>
    <s v="-"/>
    <s v="-"/>
    <s v="-"/>
    <s v="-"/>
    <s v="-"/>
    <s v="-"/>
    <s v="-"/>
    <s v="-"/>
    <s v="P"/>
    <s v="P"/>
    <s v="-"/>
    <n v="2"/>
    <n v="1"/>
    <n v="2"/>
    <n v="0"/>
    <s v="-"/>
    <s v="-"/>
    <s v="-"/>
    <s v="-"/>
    <s v="-"/>
    <s v="-"/>
    <s v="-"/>
    <n v="5"/>
    <n v="6"/>
    <s v="-"/>
    <n v="1"/>
    <n v="1"/>
    <n v="2"/>
    <n v="2"/>
    <n v="7"/>
    <n v="8"/>
  </r>
  <r>
    <x v="2"/>
    <x v="69"/>
    <d v="1899-12-30T00:00:00"/>
    <s v="2ND"/>
    <d v="1899-12-30T15:00:00"/>
    <s v="Retail"/>
    <x v="9"/>
    <s v="-"/>
    <s v="-"/>
    <s v="-"/>
    <s v="-"/>
    <s v="-"/>
    <s v="-"/>
    <n v="9.77"/>
    <s v="-"/>
    <s v="-"/>
    <s v="-"/>
    <s v="-"/>
    <s v="-"/>
    <s v="-"/>
    <s v="-"/>
    <s v="-"/>
    <s v="-"/>
    <s v="-"/>
    <s v="-"/>
    <s v="-"/>
    <s v="-"/>
    <s v="-"/>
    <n v="0"/>
    <s v="-"/>
    <s v="-"/>
    <s v="-"/>
    <s v="-"/>
    <s v="-"/>
    <s v="-"/>
    <s v="-"/>
    <n v="0"/>
    <n v="1"/>
    <s v="-"/>
    <s v="-"/>
    <s v="-"/>
    <n v="0"/>
    <n v="0"/>
    <n v="0"/>
    <n v="1"/>
  </r>
  <r>
    <x v="2"/>
    <x v="70"/>
    <s v="-"/>
    <s v="1ST"/>
    <s v="06:00"/>
    <n v="1"/>
    <x v="7"/>
    <n v="6.1999999999999998E-3"/>
    <s v="P"/>
    <s v="P"/>
    <s v="P"/>
    <s v="-"/>
    <s v="+"/>
    <n v="10.9"/>
    <n v="8.67"/>
    <n v="0.68"/>
    <n v="57.3"/>
    <s v="-"/>
    <s v="-"/>
    <n v="23.51"/>
    <s v="-"/>
    <s v="-"/>
    <s v="P"/>
    <s v="P"/>
    <s v="90% 10%"/>
    <n v="2"/>
    <n v="1"/>
    <n v="2"/>
    <n v="0"/>
    <n v="1"/>
    <n v="0"/>
    <n v="2"/>
    <s v="-"/>
    <s v="-"/>
    <n v="2"/>
    <s v="-"/>
    <n v="10"/>
    <n v="13"/>
    <s v="-"/>
    <n v="1"/>
    <n v="1"/>
    <n v="2"/>
    <n v="2"/>
    <n v="12"/>
    <n v="15"/>
  </r>
  <r>
    <x v="2"/>
    <x v="70"/>
    <d v="2026-03-17T00:00:00"/>
    <s v="1ST"/>
    <s v="08:00"/>
    <n v="1"/>
    <x v="7"/>
    <n v="1.1900000000000001E-2"/>
    <s v="P"/>
    <s v="P"/>
    <s v="P"/>
    <s v="-"/>
    <s v="+"/>
    <n v="10.97"/>
    <s v="-"/>
    <s v="-"/>
    <s v="-"/>
    <s v="-"/>
    <s v="-"/>
    <s v="-"/>
    <s v="-"/>
    <s v="-"/>
    <s v="P"/>
    <s v="P"/>
    <s v="-"/>
    <n v="2"/>
    <n v="1"/>
    <n v="2"/>
    <n v="0"/>
    <s v="-"/>
    <s v="-"/>
    <s v="-"/>
    <s v="-"/>
    <s v="-"/>
    <s v="-"/>
    <s v="-"/>
    <n v="5"/>
    <n v="6"/>
    <s v="-"/>
    <n v="1"/>
    <n v="1"/>
    <n v="2"/>
    <n v="2"/>
    <n v="7"/>
    <n v="8"/>
  </r>
  <r>
    <x v="2"/>
    <x v="70"/>
    <d v="2026-03-17T00:00:00"/>
    <s v="1ST"/>
    <s v="09:00"/>
    <n v="1"/>
    <x v="7"/>
    <n v="3.0999999999999999E-3"/>
    <s v="P"/>
    <s v="P"/>
    <s v="P"/>
    <s v="-"/>
    <s v="+"/>
    <n v="10.96"/>
    <s v="-"/>
    <s v="-"/>
    <s v="-"/>
    <s v="-"/>
    <s v="-"/>
    <s v="-"/>
    <s v="-"/>
    <s v="-"/>
    <s v="P"/>
    <s v="P"/>
    <s v="-"/>
    <n v="2"/>
    <n v="1"/>
    <n v="2"/>
    <n v="0"/>
    <s v="-"/>
    <s v="-"/>
    <s v="-"/>
    <s v="-"/>
    <s v="-"/>
    <s v="-"/>
    <s v="-"/>
    <n v="5"/>
    <n v="6"/>
    <s v="-"/>
    <n v="1"/>
    <n v="1"/>
    <n v="2"/>
    <n v="2"/>
    <n v="7"/>
    <n v="8"/>
  </r>
  <r>
    <x v="2"/>
    <x v="70"/>
    <d v="2026-03-17T00:00:00"/>
    <s v="1ST"/>
    <s v="10:00"/>
    <n v="1"/>
    <x v="7"/>
    <n v="5.0000000000000001E-3"/>
    <s v="P"/>
    <s v="P"/>
    <s v="P"/>
    <s v="-"/>
    <s v="+"/>
    <n v="10.98"/>
    <s v="-"/>
    <s v="-"/>
    <s v="-"/>
    <s v="-"/>
    <s v="-"/>
    <s v="-"/>
    <s v="-"/>
    <s v="-"/>
    <s v="P"/>
    <s v="P"/>
    <s v="-"/>
    <n v="2"/>
    <n v="1"/>
    <n v="2"/>
    <n v="0"/>
    <s v="-"/>
    <s v="-"/>
    <s v="-"/>
    <s v="-"/>
    <s v="-"/>
    <s v="-"/>
    <s v="-"/>
    <n v="5"/>
    <n v="6"/>
    <s v="-"/>
    <n v="1"/>
    <n v="1"/>
    <n v="2"/>
    <n v="2"/>
    <n v="7"/>
    <n v="8"/>
  </r>
  <r>
    <x v="2"/>
    <x v="70"/>
    <d v="2026-03-17T00:00:00"/>
    <s v="1ST"/>
    <s v="11:00"/>
    <n v="1"/>
    <x v="7"/>
    <n v="5.7000000000000002E-3"/>
    <s v="P"/>
    <s v="P"/>
    <s v="P"/>
    <s v="-"/>
    <s v="+"/>
    <n v="10.82"/>
    <s v="-"/>
    <s v="-"/>
    <s v="-"/>
    <s v="-"/>
    <s v="-"/>
    <s v="-"/>
    <s v="-"/>
    <s v="-"/>
    <s v="P"/>
    <s v="P"/>
    <s v="-"/>
    <n v="2"/>
    <n v="1"/>
    <n v="2"/>
    <n v="0"/>
    <s v="-"/>
    <s v="-"/>
    <s v="-"/>
    <s v="-"/>
    <s v="-"/>
    <s v="-"/>
    <s v="-"/>
    <n v="5"/>
    <n v="6"/>
    <s v="-"/>
    <n v="1"/>
    <n v="1"/>
    <n v="2"/>
    <n v="2"/>
    <n v="7"/>
    <n v="8"/>
  </r>
  <r>
    <x v="2"/>
    <x v="70"/>
    <d v="2026-03-19T00:00:00"/>
    <s v="1ST"/>
    <s v="12:00"/>
    <n v="1"/>
    <x v="7"/>
    <n v="1.6899999999999998E-2"/>
    <s v="P"/>
    <s v="P"/>
    <s v="P"/>
    <s v="-"/>
    <s v="+"/>
    <n v="10.199999999999999"/>
    <s v="-"/>
    <s v="-"/>
    <s v="-"/>
    <s v="-"/>
    <s v="-"/>
    <s v="-"/>
    <s v="-"/>
    <s v="-"/>
    <s v="P"/>
    <s v="P"/>
    <s v="-"/>
    <n v="2"/>
    <n v="1"/>
    <n v="2"/>
    <n v="0"/>
    <s v="-"/>
    <s v="-"/>
    <s v="-"/>
    <s v="-"/>
    <s v="-"/>
    <s v="-"/>
    <s v="-"/>
    <n v="5"/>
    <n v="6"/>
    <s v="-"/>
    <n v="1"/>
    <n v="1"/>
    <n v="2"/>
    <n v="2"/>
    <n v="7"/>
    <n v="8"/>
  </r>
  <r>
    <x v="2"/>
    <x v="70"/>
    <s v="-"/>
    <s v="2ND"/>
    <d v="1899-12-30T14:00:00"/>
    <n v="1"/>
    <x v="7"/>
    <n v="4.5999999999999999E-3"/>
    <s v="P"/>
    <s v="P"/>
    <s v="P"/>
    <s v="-"/>
    <s v="+"/>
    <n v="10.38"/>
    <n v="8.74"/>
    <n v="0.68"/>
    <s v="-"/>
    <s v="-"/>
    <s v="-"/>
    <n v="23.58"/>
    <s v="-"/>
    <n v="25.19"/>
    <s v="P"/>
    <s v="P"/>
    <s v="-"/>
    <n v="2"/>
    <n v="1"/>
    <n v="2"/>
    <n v="0"/>
    <n v="1"/>
    <n v="0"/>
    <s v="-"/>
    <s v="-"/>
    <s v="-"/>
    <n v="2"/>
    <s v="-"/>
    <n v="8"/>
    <n v="11"/>
    <n v="1"/>
    <n v="1"/>
    <n v="1"/>
    <n v="3"/>
    <n v="3"/>
    <n v="11"/>
    <n v="14"/>
  </r>
  <r>
    <x v="2"/>
    <x v="70"/>
    <d v="2026-03-19T00:00:00"/>
    <s v="2ND"/>
    <d v="1899-12-30T16:00:00"/>
    <n v="1"/>
    <x v="7"/>
    <n v="3.8999999999999998E-3"/>
    <s v="P"/>
    <s v="P"/>
    <s v="P"/>
    <s v="-"/>
    <s v="+"/>
    <n v="10.87"/>
    <s v="-"/>
    <s v="-"/>
    <s v="-"/>
    <s v="-"/>
    <s v="-"/>
    <s v="-"/>
    <s v="-"/>
    <s v="-"/>
    <s v="P"/>
    <s v="P"/>
    <s v="-"/>
    <n v="2"/>
    <n v="1"/>
    <n v="2"/>
    <n v="0"/>
    <s v="-"/>
    <s v="-"/>
    <s v="-"/>
    <s v="-"/>
    <s v="-"/>
    <s v="-"/>
    <s v="-"/>
    <n v="5"/>
    <n v="6"/>
    <s v="-"/>
    <n v="1"/>
    <n v="1"/>
    <n v="2"/>
    <n v="2"/>
    <n v="7"/>
    <n v="8"/>
  </r>
  <r>
    <x v="2"/>
    <x v="70"/>
    <d v="2026-03-19T00:00:00"/>
    <s v="2ND"/>
    <d v="1899-12-30T18:00:00"/>
    <n v="1"/>
    <x v="7"/>
    <n v="7.1000000000000004E-3"/>
    <s v="P"/>
    <s v="P"/>
    <s v="P"/>
    <s v="-"/>
    <s v="+"/>
    <n v="10.4"/>
    <s v="-"/>
    <s v="-"/>
    <s v="-"/>
    <s v="-"/>
    <s v="-"/>
    <s v="-"/>
    <s v="-"/>
    <s v="-"/>
    <s v="P"/>
    <s v="P"/>
    <s v="-"/>
    <n v="2"/>
    <n v="1"/>
    <n v="2"/>
    <n v="0"/>
    <s v="-"/>
    <s v="-"/>
    <s v="-"/>
    <s v="-"/>
    <s v="-"/>
    <s v="-"/>
    <s v="-"/>
    <n v="5"/>
    <n v="6"/>
    <s v="-"/>
    <n v="1"/>
    <n v="1"/>
    <n v="2"/>
    <n v="2"/>
    <n v="7"/>
    <n v="8"/>
  </r>
  <r>
    <x v="2"/>
    <x v="70"/>
    <d v="2026-03-19T00:00:00"/>
    <s v="2ND"/>
    <d v="1899-12-30T19:00:00"/>
    <n v="1"/>
    <x v="7"/>
    <n v="5.0000000000000001E-3"/>
    <s v="P"/>
    <s v="P"/>
    <s v="P"/>
    <s v="-"/>
    <s v="+"/>
    <n v="10.91"/>
    <s v="-"/>
    <s v="-"/>
    <s v="-"/>
    <s v="-"/>
    <s v="-"/>
    <s v="-"/>
    <s v="-"/>
    <s v="-"/>
    <s v="P"/>
    <s v="P"/>
    <s v="-"/>
    <n v="2"/>
    <n v="1"/>
    <n v="2"/>
    <n v="0"/>
    <s v="-"/>
    <s v="-"/>
    <s v="-"/>
    <s v="-"/>
    <s v="-"/>
    <s v="-"/>
    <s v="-"/>
    <n v="5"/>
    <n v="6"/>
    <s v="-"/>
    <n v="1"/>
    <n v="1"/>
    <n v="2"/>
    <n v="2"/>
    <n v="7"/>
    <n v="8"/>
  </r>
  <r>
    <x v="2"/>
    <x v="70"/>
    <d v="2026-03-19T00:00:00"/>
    <s v="2ND"/>
    <d v="1899-12-30T20:00:00"/>
    <n v="1"/>
    <x v="7"/>
    <n v="7.1000000000000004E-3"/>
    <s v="P"/>
    <s v="P"/>
    <s v="P"/>
    <s v="-"/>
    <s v="+"/>
    <n v="10.79"/>
    <s v="-"/>
    <s v="-"/>
    <s v="-"/>
    <s v="-"/>
    <s v="-"/>
    <s v="-"/>
    <s v="-"/>
    <s v="-"/>
    <s v="P"/>
    <s v="P"/>
    <s v="-"/>
    <n v="2"/>
    <n v="1"/>
    <n v="2"/>
    <n v="0"/>
    <s v="-"/>
    <s v="-"/>
    <s v="-"/>
    <s v="-"/>
    <s v="-"/>
    <s v="-"/>
    <s v="-"/>
    <n v="5"/>
    <n v="6"/>
    <s v="-"/>
    <n v="1"/>
    <n v="1"/>
    <n v="2"/>
    <n v="2"/>
    <n v="7"/>
    <n v="8"/>
  </r>
  <r>
    <x v="2"/>
    <x v="70"/>
    <d v="2026-03-20T00:00:00"/>
    <s v="3RD"/>
    <d v="1899-12-31T03:00:00"/>
    <n v="1"/>
    <x v="7"/>
    <n v="5.8999999999999999E-3"/>
    <s v="P"/>
    <s v="P"/>
    <s v="P"/>
    <s v="-"/>
    <s v="+"/>
    <n v="10.71"/>
    <n v="8.6"/>
    <n v="0.6"/>
    <n v="54.9"/>
    <s v="-"/>
    <s v="-"/>
    <n v="23.29"/>
    <s v="-"/>
    <s v="-"/>
    <s v="P"/>
    <s v="P"/>
    <s v="-"/>
    <n v="2"/>
    <n v="1"/>
    <n v="2"/>
    <n v="0"/>
    <n v="1"/>
    <n v="2"/>
    <n v="0"/>
    <s v="-"/>
    <s v="-"/>
    <n v="2"/>
    <s v="-"/>
    <n v="10"/>
    <n v="13"/>
    <s v="-"/>
    <n v="1"/>
    <n v="1"/>
    <n v="2"/>
    <n v="2"/>
    <n v="12"/>
    <n v="15"/>
  </r>
  <r>
    <x v="2"/>
    <x v="70"/>
    <d v="2026-03-20T00:00:00"/>
    <s v="3RD"/>
    <d v="1899-12-31T04:00:00"/>
    <n v="1"/>
    <x v="7"/>
    <n v="6.0000000000000001E-3"/>
    <s v="P"/>
    <s v="P"/>
    <s v="P"/>
    <s v="-"/>
    <s v="+"/>
    <n v="10.75"/>
    <s v="-"/>
    <s v="-"/>
    <s v="-"/>
    <s v="-"/>
    <s v="-"/>
    <s v="-"/>
    <s v="-"/>
    <s v="-"/>
    <s v="P"/>
    <s v="P"/>
    <s v="-"/>
    <n v="2"/>
    <n v="1"/>
    <n v="2"/>
    <n v="0"/>
    <s v="-"/>
    <s v="-"/>
    <s v="-"/>
    <s v="-"/>
    <s v="-"/>
    <s v="-"/>
    <s v="-"/>
    <n v="5"/>
    <n v="6"/>
    <s v="-"/>
    <n v="1"/>
    <n v="1"/>
    <n v="2"/>
    <n v="2"/>
    <n v="7"/>
    <n v="8"/>
  </r>
  <r>
    <x v="2"/>
    <x v="70"/>
    <d v="2026-03-20T00:00:00"/>
    <s v="3RD"/>
    <d v="1899-12-31T05:00:00"/>
    <n v="1"/>
    <x v="7"/>
    <n v="4.5999999999999999E-3"/>
    <s v="P"/>
    <s v="P"/>
    <s v="P"/>
    <s v="-"/>
    <s v="+"/>
    <n v="10.86"/>
    <s v="-"/>
    <s v="-"/>
    <s v="-"/>
    <s v="-"/>
    <s v="-"/>
    <s v="-"/>
    <s v="-"/>
    <s v="-"/>
    <s v="P"/>
    <s v="P"/>
    <s v="-"/>
    <n v="2"/>
    <n v="1"/>
    <n v="2"/>
    <n v="0"/>
    <s v="-"/>
    <s v="-"/>
    <s v="-"/>
    <s v="-"/>
    <s v="-"/>
    <s v="-"/>
    <s v="-"/>
    <n v="5"/>
    <n v="6"/>
    <s v="-"/>
    <n v="1"/>
    <n v="1"/>
    <n v="2"/>
    <n v="2"/>
    <n v="7"/>
    <n v="8"/>
  </r>
  <r>
    <x v="2"/>
    <x v="70"/>
    <d v="2026-03-21T00:00:00"/>
    <s v="1ST"/>
    <s v="09:00"/>
    <n v="3"/>
    <x v="36"/>
    <s v="-"/>
    <s v="P"/>
    <s v="P"/>
    <s v="P"/>
    <s v="+"/>
    <s v="+"/>
    <n v="12.49"/>
    <n v="12.76"/>
    <n v="0.56000000000000005"/>
    <n v="64.7"/>
    <n v="12.8"/>
    <n v="1446"/>
    <n v="35.799999999999997"/>
    <s v="-"/>
    <s v="-"/>
    <s v="P"/>
    <s v="P"/>
    <s v="50% 50%"/>
    <s v="-"/>
    <n v="1"/>
    <n v="2"/>
    <n v="1"/>
    <n v="0"/>
    <n v="2"/>
    <n v="2"/>
    <n v="1"/>
    <n v="1"/>
    <n v="2"/>
    <s v="-"/>
    <n v="12"/>
    <n v="13"/>
    <s v="-"/>
    <n v="1"/>
    <n v="1"/>
    <n v="2"/>
    <n v="2"/>
    <n v="14"/>
    <n v="15"/>
  </r>
  <r>
    <x v="2"/>
    <x v="70"/>
    <d v="2026-03-21T00:00:00"/>
    <s v="1ST"/>
    <s v="13:00"/>
    <n v="3"/>
    <x v="12"/>
    <n v="1.6199999999999999E-2"/>
    <s v="P"/>
    <s v="P"/>
    <s v="P"/>
    <s v="+"/>
    <s v="+"/>
    <n v="13.16"/>
    <n v="13.02"/>
    <n v="0.54"/>
    <n v="64.7"/>
    <n v="21.6"/>
    <n v="629"/>
    <n v="36.5"/>
    <s v="-"/>
    <s v="-"/>
    <s v="P"/>
    <s v="P"/>
    <s v="50% 50%"/>
    <n v="2"/>
    <n v="1"/>
    <n v="2"/>
    <n v="1"/>
    <s v="-"/>
    <n v="2"/>
    <n v="2"/>
    <s v="-"/>
    <s v="-"/>
    <n v="2"/>
    <s v="-"/>
    <n v="12"/>
    <n v="12"/>
    <s v="-"/>
    <n v="1"/>
    <n v="1"/>
    <n v="2"/>
    <n v="2"/>
    <n v="14"/>
    <n v="14"/>
  </r>
  <r>
    <x v="2"/>
    <x v="70"/>
    <d v="2026-03-21T00:00:00"/>
    <s v="2ND"/>
    <d v="1899-12-30T14:00:00"/>
    <n v="3"/>
    <x v="12"/>
    <n v="3.8E-3"/>
    <s v="P"/>
    <s v="P"/>
    <s v="P"/>
    <s v="+"/>
    <s v="+"/>
    <n v="12.8"/>
    <n v="13.02"/>
    <n v="0.54"/>
    <n v="64.7"/>
    <s v="-"/>
    <s v="-"/>
    <n v="36.5"/>
    <s v="-"/>
    <s v="-"/>
    <s v="P"/>
    <s v="P"/>
    <s v="-"/>
    <n v="2"/>
    <n v="1"/>
    <n v="2"/>
    <n v="1"/>
    <s v="-"/>
    <n v="2"/>
    <n v="2"/>
    <s v="-"/>
    <s v="-"/>
    <n v="2"/>
    <s v="-"/>
    <n v="12"/>
    <n v="12"/>
    <s v="-"/>
    <n v="1"/>
    <n v="1"/>
    <n v="2"/>
    <n v="2"/>
    <n v="14"/>
    <n v="14"/>
  </r>
  <r>
    <x v="2"/>
    <x v="70"/>
    <d v="2026-03-21T00:00:00"/>
    <s v="2ND"/>
    <d v="1899-12-30T15:00:00"/>
    <n v="3"/>
    <x v="12"/>
    <n v="5.1000000000000004E-3"/>
    <s v="P"/>
    <s v="P"/>
    <s v="P"/>
    <s v="+"/>
    <s v="+"/>
    <n v="12.74"/>
    <s v="-"/>
    <s v="-"/>
    <s v="-"/>
    <s v="-"/>
    <s v="-"/>
    <s v="-"/>
    <s v="-"/>
    <s v="-"/>
    <s v="P"/>
    <s v="P"/>
    <s v="-"/>
    <n v="2"/>
    <n v="1"/>
    <n v="2"/>
    <n v="1"/>
    <s v="-"/>
    <s v="-"/>
    <s v="-"/>
    <s v="-"/>
    <s v="-"/>
    <s v="-"/>
    <s v="-"/>
    <n v="6"/>
    <n v="6"/>
    <s v="-"/>
    <n v="1"/>
    <n v="1"/>
    <n v="2"/>
    <n v="2"/>
    <n v="8"/>
    <n v="8"/>
  </r>
  <r>
    <x v="2"/>
    <x v="70"/>
    <d v="2026-03-21T00:00:00"/>
    <s v="2ND"/>
    <d v="1899-12-30T16:00:00"/>
    <n v="3"/>
    <x v="12"/>
    <n v="8.6E-3"/>
    <s v="P"/>
    <s v="P"/>
    <s v="P"/>
    <s v="+"/>
    <s v="+"/>
    <n v="12.74"/>
    <s v="-"/>
    <s v="-"/>
    <s v="-"/>
    <s v="-"/>
    <s v="-"/>
    <s v="-"/>
    <s v="-"/>
    <s v="-"/>
    <s v="P"/>
    <s v="P"/>
    <s v="-"/>
    <n v="2"/>
    <n v="1"/>
    <n v="2"/>
    <n v="1"/>
    <s v="-"/>
    <s v="-"/>
    <s v="-"/>
    <s v="-"/>
    <s v="-"/>
    <s v="-"/>
    <s v="-"/>
    <n v="6"/>
    <n v="6"/>
    <s v="-"/>
    <n v="1"/>
    <n v="1"/>
    <n v="2"/>
    <n v="2"/>
    <n v="8"/>
    <n v="8"/>
  </r>
  <r>
    <x v="2"/>
    <x v="70"/>
    <d v="2026-03-21T00:00:00"/>
    <s v="2ND"/>
    <d v="1899-12-30T17:00:00"/>
    <n v="3"/>
    <x v="12"/>
    <n v="1.83E-2"/>
    <s v="P"/>
    <s v="P"/>
    <s v="P"/>
    <s v="+"/>
    <s v="+"/>
    <n v="12.4"/>
    <s v="-"/>
    <s v="-"/>
    <s v="-"/>
    <s v="-"/>
    <s v="-"/>
    <s v="-"/>
    <s v="-"/>
    <s v="-"/>
    <s v="P"/>
    <s v="P"/>
    <s v="-"/>
    <n v="2"/>
    <n v="1"/>
    <n v="2"/>
    <n v="1"/>
    <s v="-"/>
    <s v="-"/>
    <s v="-"/>
    <s v="-"/>
    <s v="-"/>
    <s v="-"/>
    <s v="-"/>
    <n v="6"/>
    <n v="6"/>
    <s v="-"/>
    <n v="1"/>
    <n v="1"/>
    <n v="2"/>
    <n v="2"/>
    <n v="8"/>
    <n v="8"/>
  </r>
  <r>
    <x v="2"/>
    <x v="70"/>
    <d v="2026-03-21T00:00:00"/>
    <s v="2ND"/>
    <d v="1899-12-30T20:00:00"/>
    <n v="3"/>
    <x v="12"/>
    <n v="1.83E-2"/>
    <s v="P"/>
    <s v="P"/>
    <s v="P"/>
    <s v="+"/>
    <s v="+"/>
    <n v="12.36"/>
    <s v="-"/>
    <s v="-"/>
    <s v="-"/>
    <s v="-"/>
    <s v="-"/>
    <s v="-"/>
    <s v="-"/>
    <s v="-"/>
    <s v="P"/>
    <s v="P"/>
    <s v="-"/>
    <n v="2"/>
    <n v="1"/>
    <n v="2"/>
    <n v="1"/>
    <s v="-"/>
    <s v="-"/>
    <s v="-"/>
    <s v="-"/>
    <s v="-"/>
    <s v="-"/>
    <s v="-"/>
    <n v="6"/>
    <n v="6"/>
    <s v="-"/>
    <n v="1"/>
    <n v="1"/>
    <n v="2"/>
    <n v="2"/>
    <n v="8"/>
    <n v="8"/>
  </r>
  <r>
    <x v="2"/>
    <x v="70"/>
    <d v="2026-03-21T00:00:00"/>
    <s v="2ND"/>
    <d v="1899-12-30T21:00:00"/>
    <n v="3"/>
    <x v="12"/>
    <n v="1.14E-2"/>
    <s v="P"/>
    <s v="P"/>
    <s v="P"/>
    <s v="+"/>
    <s v="+"/>
    <n v="12.46"/>
    <s v="-"/>
    <s v="-"/>
    <s v="-"/>
    <s v="-"/>
    <s v="-"/>
    <s v="-"/>
    <s v="-"/>
    <s v="-"/>
    <s v="P"/>
    <s v="P"/>
    <s v="-"/>
    <n v="2"/>
    <n v="1"/>
    <n v="2"/>
    <n v="1"/>
    <s v="-"/>
    <s v="-"/>
    <s v="-"/>
    <s v="-"/>
    <s v="-"/>
    <s v="-"/>
    <s v="-"/>
    <n v="6"/>
    <n v="6"/>
    <s v="-"/>
    <n v="1"/>
    <n v="1"/>
    <n v="2"/>
    <n v="2"/>
    <n v="8"/>
    <n v="8"/>
  </r>
  <r>
    <x v="2"/>
    <x v="70"/>
    <d v="2026-03-21T00:00:00"/>
    <s v="3RD"/>
    <d v="1899-12-30T22:00:00"/>
    <n v="3"/>
    <x v="12"/>
    <n v="8.0000000000000002E-3"/>
    <s v="P"/>
    <s v="P"/>
    <s v="P"/>
    <s v="+"/>
    <s v="+"/>
    <n v="12.3"/>
    <n v="13.28"/>
    <s v="-"/>
    <s v="-"/>
    <s v="-"/>
    <s v="-"/>
    <n v="37.299999999999997"/>
    <s v="-"/>
    <s v="-"/>
    <s v="P"/>
    <s v="P"/>
    <s v="99.5% 0.50"/>
    <n v="2"/>
    <n v="1"/>
    <n v="2"/>
    <n v="1"/>
    <s v="-"/>
    <s v="-"/>
    <s v="-"/>
    <s v="-"/>
    <s v="-"/>
    <n v="2"/>
    <s v="-"/>
    <n v="8"/>
    <n v="8"/>
    <s v="-"/>
    <n v="1"/>
    <n v="1"/>
    <n v="2"/>
    <n v="2"/>
    <n v="10"/>
    <n v="10"/>
  </r>
  <r>
    <x v="2"/>
    <x v="70"/>
    <d v="2026-03-20T00:00:00"/>
    <s v="1ST"/>
    <s v="06:00"/>
    <n v="3"/>
    <x v="1"/>
    <n v="1.17E-2"/>
    <s v="P"/>
    <s v="P"/>
    <s v="P"/>
    <s v="+"/>
    <s v="+"/>
    <n v="12.7"/>
    <n v="35.4"/>
    <n v="0.56999999999999995"/>
    <n v="63.7"/>
    <s v="-"/>
    <s v="-"/>
    <n v="35.4"/>
    <s v="-"/>
    <s v="-"/>
    <s v="P"/>
    <s v="P"/>
    <s v="85% 15%"/>
    <n v="2"/>
    <n v="1"/>
    <n v="2"/>
    <n v="1"/>
    <n v="1"/>
    <n v="2"/>
    <n v="0"/>
    <s v="-"/>
    <s v="-"/>
    <n v="2"/>
    <s v="-"/>
    <n v="11"/>
    <n v="13"/>
    <s v="-"/>
    <n v="1"/>
    <n v="1"/>
    <n v="2"/>
    <n v="2"/>
    <n v="13"/>
    <n v="15"/>
  </r>
  <r>
    <x v="2"/>
    <x v="70"/>
    <d v="2026-03-20T00:00:00"/>
    <s v="1ST"/>
    <s v="08:00"/>
    <n v="3"/>
    <x v="1"/>
    <n v="1.01E-2"/>
    <s v="P"/>
    <s v="P"/>
    <s v="P"/>
    <s v="+"/>
    <s v="+"/>
    <n v="12.62"/>
    <s v="-"/>
    <s v="-"/>
    <s v="-"/>
    <s v="-"/>
    <s v="-"/>
    <s v="-"/>
    <s v="-"/>
    <s v="-"/>
    <s v="P"/>
    <s v="P"/>
    <s v="-"/>
    <n v="2"/>
    <n v="1"/>
    <n v="2"/>
    <n v="1"/>
    <s v="-"/>
    <s v="-"/>
    <s v="-"/>
    <s v="-"/>
    <s v="-"/>
    <s v="-"/>
    <s v="-"/>
    <n v="6"/>
    <n v="6"/>
    <s v="-"/>
    <n v="1"/>
    <n v="1"/>
    <n v="2"/>
    <n v="2"/>
    <n v="8"/>
    <n v="8"/>
  </r>
  <r>
    <x v="2"/>
    <x v="70"/>
    <d v="2026-03-19T00:00:00"/>
    <s v="3RD"/>
    <d v="1899-12-31T02:00:00"/>
    <n v="1"/>
    <x v="4"/>
    <n v="4.7999999999999996E-3"/>
    <s v="P"/>
    <s v="P"/>
    <s v="P"/>
    <s v="-"/>
    <s v="+"/>
    <n v="10.71"/>
    <s v="-"/>
    <s v="-"/>
    <s v="-"/>
    <s v="-"/>
    <s v="-"/>
    <s v="-"/>
    <s v="-"/>
    <s v="-"/>
    <s v="P"/>
    <s v="P"/>
    <s v="90% 10%"/>
    <n v="2"/>
    <n v="1"/>
    <n v="2"/>
    <n v="0"/>
    <s v="-"/>
    <s v="-"/>
    <s v="-"/>
    <s v="-"/>
    <s v="-"/>
    <s v="-"/>
    <s v="-"/>
    <n v="5"/>
    <n v="6"/>
    <s v="-"/>
    <n v="1"/>
    <n v="1"/>
    <n v="2"/>
    <n v="2"/>
    <n v="7"/>
    <n v="8"/>
  </r>
  <r>
    <x v="2"/>
    <x v="70"/>
    <d v="2026-03-19T00:00:00"/>
    <s v="2ND"/>
    <d v="1899-12-30T21:00:00"/>
    <n v="1"/>
    <x v="5"/>
    <n v="1.01E-2"/>
    <s v="P"/>
    <s v="P"/>
    <s v="P"/>
    <s v="-"/>
    <s v="+"/>
    <n v="9"/>
    <n v="8.43"/>
    <n v="0.51"/>
    <n v="54.6"/>
    <s v="-"/>
    <s v="-"/>
    <n v="22.64"/>
    <s v="-"/>
    <s v="-"/>
    <s v="P"/>
    <s v="P"/>
    <s v="-"/>
    <n v="2"/>
    <n v="1"/>
    <n v="2"/>
    <n v="0"/>
    <n v="0"/>
    <n v="2"/>
    <n v="2"/>
    <s v="-"/>
    <s v="-"/>
    <n v="2"/>
    <s v="-"/>
    <n v="11"/>
    <n v="13"/>
    <s v="-"/>
    <n v="1"/>
    <n v="1"/>
    <n v="2"/>
    <n v="2"/>
    <n v="13"/>
    <n v="15"/>
  </r>
  <r>
    <x v="2"/>
    <x v="70"/>
    <s v="-"/>
    <s v="3RD"/>
    <d v="1899-12-30T22:00:00"/>
    <n v="1"/>
    <x v="5"/>
    <n v="3.2000000000000002E-3"/>
    <s v="P"/>
    <s v="P"/>
    <s v="P"/>
    <s v="-"/>
    <s v="+"/>
    <n v="10.87"/>
    <n v="8.43"/>
    <n v="0.51"/>
    <n v="54.6"/>
    <s v="-"/>
    <s v="-"/>
    <n v="22.64"/>
    <s v="-"/>
    <s v="-"/>
    <s v="P"/>
    <s v="P"/>
    <n v="1"/>
    <n v="2"/>
    <n v="1"/>
    <n v="2"/>
    <n v="0"/>
    <n v="0"/>
    <n v="2"/>
    <n v="2"/>
    <s v="-"/>
    <s v="-"/>
    <n v="2"/>
    <s v="-"/>
    <n v="11"/>
    <n v="13"/>
    <s v="-"/>
    <n v="1"/>
    <n v="1"/>
    <n v="2"/>
    <n v="2"/>
    <n v="13"/>
    <n v="15"/>
  </r>
  <r>
    <x v="2"/>
    <x v="70"/>
    <d v="2026-03-19T00:00:00"/>
    <s v="3RD"/>
    <d v="1899-12-30T23:00:00"/>
    <n v="1"/>
    <x v="5"/>
    <n v="2.8E-3"/>
    <s v="P"/>
    <s v="P"/>
    <s v="P"/>
    <s v="-"/>
    <s v="+"/>
    <n v="10.92"/>
    <s v="-"/>
    <s v="-"/>
    <s v="-"/>
    <s v="-"/>
    <s v="-"/>
    <s v="-"/>
    <s v="-"/>
    <s v="-"/>
    <s v="P"/>
    <s v="P"/>
    <s v="-"/>
    <n v="2"/>
    <n v="1"/>
    <n v="2"/>
    <n v="0"/>
    <s v="-"/>
    <s v="-"/>
    <s v="-"/>
    <s v="-"/>
    <s v="-"/>
    <s v="-"/>
    <s v="-"/>
    <n v="5"/>
    <n v="6"/>
    <s v="-"/>
    <n v="1"/>
    <n v="1"/>
    <n v="2"/>
    <n v="2"/>
    <n v="7"/>
    <n v="8"/>
  </r>
  <r>
    <x v="2"/>
    <x v="70"/>
    <d v="2026-03-19T00:00:00"/>
    <s v="3RD"/>
    <d v="1899-12-31T00:00:00"/>
    <n v="1"/>
    <x v="5"/>
    <n v="2.7000000000000001E-3"/>
    <s v="P"/>
    <s v="P"/>
    <s v="P"/>
    <s v="-"/>
    <s v="+"/>
    <n v="10.98"/>
    <s v="-"/>
    <s v="-"/>
    <s v="-"/>
    <s v="-"/>
    <s v="-"/>
    <s v="-"/>
    <s v="-"/>
    <n v="25.15"/>
    <s v="P"/>
    <s v="P"/>
    <s v="-"/>
    <n v="2"/>
    <n v="1"/>
    <n v="2"/>
    <n v="0"/>
    <s v="-"/>
    <s v="-"/>
    <s v="-"/>
    <s v="-"/>
    <s v="-"/>
    <s v="-"/>
    <s v="-"/>
    <n v="5"/>
    <n v="6"/>
    <n v="1"/>
    <n v="1"/>
    <n v="1"/>
    <n v="3"/>
    <n v="3"/>
    <n v="8"/>
    <n v="9"/>
  </r>
  <r>
    <x v="2"/>
    <x v="70"/>
    <d v="2026-03-19T00:00:00"/>
    <s v="3RD"/>
    <d v="1899-12-31T01:00:00"/>
    <n v="1"/>
    <x v="5"/>
    <n v="2.5000000000000001E-3"/>
    <s v="P"/>
    <s v="P"/>
    <s v="P"/>
    <s v="-"/>
    <s v="+"/>
    <n v="10.76"/>
    <s v="-"/>
    <s v="-"/>
    <s v="-"/>
    <s v="-"/>
    <s v="-"/>
    <s v="-"/>
    <s v="-"/>
    <s v="-"/>
    <s v="P"/>
    <s v="P"/>
    <s v="-"/>
    <n v="2"/>
    <n v="1"/>
    <n v="2"/>
    <n v="0"/>
    <s v="-"/>
    <s v="-"/>
    <s v="-"/>
    <s v="-"/>
    <s v="-"/>
    <s v="-"/>
    <s v="-"/>
    <n v="5"/>
    <n v="6"/>
    <s v="-"/>
    <n v="1"/>
    <n v="1"/>
    <n v="2"/>
    <n v="2"/>
    <n v="7"/>
    <n v="8"/>
  </r>
  <r>
    <x v="2"/>
    <x v="70"/>
    <d v="2026-03-21T00:00:00"/>
    <s v="3RD"/>
    <d v="1899-12-31T00:00:00"/>
    <n v="3"/>
    <x v="44"/>
    <n v="5.1000000000000004E-3"/>
    <s v="P"/>
    <s v="P"/>
    <s v="P"/>
    <s v="+"/>
    <s v="+"/>
    <n v="12.38"/>
    <n v="13.01"/>
    <n v="0.57999999999999996"/>
    <n v="63.9"/>
    <n v="12.8"/>
    <n v="1043"/>
    <n v="36.6"/>
    <s v="-"/>
    <n v="25.16"/>
    <s v="P"/>
    <s v="P"/>
    <n v="1"/>
    <n v="2"/>
    <n v="1"/>
    <n v="2"/>
    <n v="1"/>
    <n v="1"/>
    <n v="0"/>
    <n v="0"/>
    <n v="1"/>
    <n v="0"/>
    <n v="2"/>
    <s v="-"/>
    <n v="10"/>
    <n v="15"/>
    <n v="1"/>
    <n v="1"/>
    <n v="1"/>
    <n v="3"/>
    <n v="3"/>
    <n v="13"/>
    <n v="18"/>
  </r>
  <r>
    <x v="2"/>
    <x v="70"/>
    <d v="2026-03-21T00:00:00"/>
    <s v="3RD"/>
    <d v="1899-12-31T01:00:00"/>
    <n v="3"/>
    <x v="16"/>
    <n v="7.4000000000000003E-3"/>
    <s v="P"/>
    <s v="P"/>
    <s v="P"/>
    <s v="+"/>
    <s v="+"/>
    <n v="12.26"/>
    <s v="-"/>
    <s v="-"/>
    <s v="-"/>
    <s v="-"/>
    <s v="-"/>
    <s v="-"/>
    <s v="-"/>
    <s v="-"/>
    <s v="P"/>
    <s v="P"/>
    <s v="-"/>
    <n v="2"/>
    <n v="1"/>
    <n v="2"/>
    <n v="1"/>
    <s v="-"/>
    <s v="-"/>
    <s v="-"/>
    <s v="-"/>
    <s v="-"/>
    <s v="-"/>
    <s v="-"/>
    <n v="6"/>
    <n v="6"/>
    <s v="-"/>
    <n v="1"/>
    <n v="1"/>
    <n v="2"/>
    <n v="2"/>
    <n v="8"/>
    <n v="8"/>
  </r>
  <r>
    <x v="2"/>
    <x v="70"/>
    <d v="2026-03-21T00:00:00"/>
    <s v="3RD"/>
    <d v="1899-12-31T02:00:00"/>
    <n v="3"/>
    <x v="16"/>
    <n v="6.3E-3"/>
    <s v="P"/>
    <s v="P"/>
    <s v="P"/>
    <s v="+"/>
    <s v="+"/>
    <n v="12.39"/>
    <s v="-"/>
    <s v="-"/>
    <s v="-"/>
    <s v="-"/>
    <s v="-"/>
    <s v="-"/>
    <s v="-"/>
    <s v="-"/>
    <s v="P"/>
    <s v="P"/>
    <s v="-"/>
    <n v="2"/>
    <n v="1"/>
    <n v="2"/>
    <n v="1"/>
    <s v="-"/>
    <s v="-"/>
    <s v="-"/>
    <s v="-"/>
    <s v="-"/>
    <s v="-"/>
    <s v="-"/>
    <n v="6"/>
    <n v="6"/>
    <s v="-"/>
    <n v="1"/>
    <n v="1"/>
    <n v="2"/>
    <n v="2"/>
    <n v="8"/>
    <n v="8"/>
  </r>
  <r>
    <x v="2"/>
    <x v="70"/>
    <d v="2026-03-21T00:00:00"/>
    <s v="3RD"/>
    <d v="1899-12-31T03:00:00"/>
    <n v="3"/>
    <x v="16"/>
    <n v="6.7999999999999996E-3"/>
    <s v="P"/>
    <s v="P"/>
    <s v="P"/>
    <s v="+"/>
    <s v="+"/>
    <n v="12.61"/>
    <s v="-"/>
    <s v="-"/>
    <s v="-"/>
    <s v="-"/>
    <s v="-"/>
    <s v="-"/>
    <s v="-"/>
    <s v="-"/>
    <s v="P"/>
    <s v="P"/>
    <s v="-"/>
    <n v="2"/>
    <n v="1"/>
    <n v="2"/>
    <n v="1"/>
    <s v="-"/>
    <s v="-"/>
    <s v="-"/>
    <s v="-"/>
    <s v="-"/>
    <s v="-"/>
    <s v="-"/>
    <n v="6"/>
    <n v="6"/>
    <s v="-"/>
    <n v="1"/>
    <n v="1"/>
    <n v="2"/>
    <n v="2"/>
    <n v="8"/>
    <n v="8"/>
  </r>
  <r>
    <x v="2"/>
    <x v="70"/>
    <d v="2026-03-21T00:00:00"/>
    <s v="3RD"/>
    <d v="1899-12-31T04:00:00"/>
    <n v="3"/>
    <x v="16"/>
    <n v="7.4000000000000003E-3"/>
    <s v="P"/>
    <s v="P"/>
    <s v="P"/>
    <s v="+"/>
    <s v="+"/>
    <n v="12.39"/>
    <s v="-"/>
    <s v="-"/>
    <s v="-"/>
    <s v="-"/>
    <s v="-"/>
    <s v="-"/>
    <s v="-"/>
    <s v="-"/>
    <s v="P"/>
    <s v="P"/>
    <s v="-"/>
    <n v="2"/>
    <n v="1"/>
    <n v="2"/>
    <n v="1"/>
    <s v="-"/>
    <s v="-"/>
    <s v="-"/>
    <s v="-"/>
    <s v="-"/>
    <s v="-"/>
    <s v="-"/>
    <n v="6"/>
    <n v="6"/>
    <s v="-"/>
    <n v="1"/>
    <n v="1"/>
    <n v="2"/>
    <n v="2"/>
    <n v="8"/>
    <n v="8"/>
  </r>
  <r>
    <x v="2"/>
    <x v="70"/>
    <d v="2026-03-21T00:00:00"/>
    <s v="3RD"/>
    <d v="1899-12-31T05:00:00"/>
    <n v="3"/>
    <x v="16"/>
    <n v="6.1999999999999998E-3"/>
    <s v="P"/>
    <s v="P"/>
    <s v="P"/>
    <s v="+"/>
    <s v="+"/>
    <n v="11.39"/>
    <s v="-"/>
    <s v="-"/>
    <s v="-"/>
    <s v="-"/>
    <s v="-"/>
    <s v="-"/>
    <s v="-"/>
    <s v="-"/>
    <s v="P"/>
    <s v="P"/>
    <s v="-"/>
    <n v="2"/>
    <n v="1"/>
    <n v="2"/>
    <n v="0"/>
    <s v="-"/>
    <s v="-"/>
    <s v="-"/>
    <s v="-"/>
    <s v="-"/>
    <s v="-"/>
    <s v="-"/>
    <n v="5"/>
    <n v="6"/>
    <s v="-"/>
    <n v="1"/>
    <n v="1"/>
    <n v="2"/>
    <n v="2"/>
    <n v="7"/>
    <n v="8"/>
  </r>
  <r>
    <x v="2"/>
    <x v="70"/>
    <d v="1902-03-25T00:00:00"/>
    <s v="1ST"/>
    <s v="07:00"/>
    <n v="2"/>
    <x v="22"/>
    <n v="1.0699999999999999E-2"/>
    <s v="P"/>
    <s v="P"/>
    <s v="P"/>
    <s v="-"/>
    <s v="-"/>
    <n v="11.08"/>
    <n v="8.67"/>
    <n v="0.6"/>
    <n v="55.5"/>
    <s v="-"/>
    <s v="-"/>
    <n v="23.43"/>
    <s v="-"/>
    <s v="-"/>
    <s v="P"/>
    <s v="P"/>
    <s v="-"/>
    <n v="2"/>
    <n v="1"/>
    <n v="2"/>
    <n v="1"/>
    <n v="1"/>
    <n v="2"/>
    <n v="2"/>
    <s v="-"/>
    <s v="-"/>
    <n v="2"/>
    <s v="-"/>
    <n v="13"/>
    <n v="13"/>
    <s v="-"/>
    <n v="1"/>
    <n v="1"/>
    <n v="2"/>
    <n v="2"/>
    <n v="15"/>
    <n v="15"/>
  </r>
  <r>
    <x v="2"/>
    <x v="70"/>
    <d v="1899-12-30T00:00:00"/>
    <s v="1ST"/>
    <s v="08:00"/>
    <n v="2"/>
    <x v="22"/>
    <n v="1.1299999999999999E-2"/>
    <s v="P"/>
    <s v="P"/>
    <s v="P"/>
    <s v="-"/>
    <s v="-"/>
    <n v="10.99"/>
    <s v="-"/>
    <s v="-"/>
    <s v="-"/>
    <s v="-"/>
    <s v="-"/>
    <s v="-"/>
    <s v="-"/>
    <s v="-"/>
    <s v="P"/>
    <s v="P"/>
    <s v="-"/>
    <n v="2"/>
    <n v="1"/>
    <n v="2"/>
    <n v="0"/>
    <s v="-"/>
    <s v="-"/>
    <s v="-"/>
    <s v="-"/>
    <s v="-"/>
    <s v="-"/>
    <s v="-"/>
    <n v="5"/>
    <n v="6"/>
    <s v="-"/>
    <n v="1"/>
    <n v="1"/>
    <n v="2"/>
    <n v="2"/>
    <n v="7"/>
    <n v="8"/>
  </r>
  <r>
    <x v="2"/>
    <x v="70"/>
    <d v="1899-12-30T00:00:00"/>
    <s v="1ST"/>
    <s v="09:00"/>
    <n v="2"/>
    <x v="22"/>
    <n v="1.3100000000000001E-2"/>
    <s v="P"/>
    <s v="P"/>
    <s v="P"/>
    <s v="-"/>
    <s v="-"/>
    <n v="11.24"/>
    <s v="-"/>
    <s v="-"/>
    <s v="-"/>
    <s v="-"/>
    <s v="-"/>
    <s v="-"/>
    <s v="-"/>
    <s v="-"/>
    <s v="P"/>
    <s v="P"/>
    <s v="-"/>
    <n v="2"/>
    <n v="1"/>
    <n v="2"/>
    <n v="1"/>
    <s v="-"/>
    <s v="-"/>
    <s v="-"/>
    <s v="-"/>
    <s v="-"/>
    <s v="-"/>
    <s v="-"/>
    <n v="6"/>
    <n v="6"/>
    <s v="-"/>
    <n v="1"/>
    <n v="1"/>
    <n v="2"/>
    <n v="2"/>
    <n v="8"/>
    <n v="8"/>
  </r>
  <r>
    <x v="2"/>
    <x v="70"/>
    <d v="1899-12-30T00:00:00"/>
    <s v="1ST"/>
    <s v="10:00"/>
    <n v="2"/>
    <x v="22"/>
    <n v="1.37E-2"/>
    <s v="P"/>
    <s v="P"/>
    <s v="P"/>
    <s v="-"/>
    <s v="-"/>
    <n v="11.13"/>
    <s v="-"/>
    <s v="-"/>
    <s v="-"/>
    <s v="-"/>
    <s v="-"/>
    <s v="-"/>
    <s v="-"/>
    <s v="-"/>
    <s v="P"/>
    <s v="P"/>
    <s v="-"/>
    <n v="2"/>
    <n v="1"/>
    <n v="2"/>
    <n v="1"/>
    <s v="-"/>
    <s v="-"/>
    <s v="-"/>
    <s v="-"/>
    <s v="-"/>
    <s v="-"/>
    <s v="-"/>
    <n v="6"/>
    <n v="6"/>
    <s v="-"/>
    <n v="1"/>
    <n v="1"/>
    <n v="2"/>
    <n v="2"/>
    <n v="8"/>
    <n v="8"/>
  </r>
  <r>
    <x v="2"/>
    <x v="70"/>
    <d v="1899-12-30T00:00:00"/>
    <s v="1ST"/>
    <s v="11:00"/>
    <n v="2"/>
    <x v="22"/>
    <n v="4.4999999999999997E-3"/>
    <s v="P"/>
    <s v="P"/>
    <s v="P"/>
    <s v="-"/>
    <s v="-"/>
    <n v="11.14"/>
    <s v="-"/>
    <s v="-"/>
    <s v="-"/>
    <s v="-"/>
    <s v="-"/>
    <s v="-"/>
    <s v="-"/>
    <s v="-"/>
    <s v="P"/>
    <s v="P"/>
    <s v="-"/>
    <n v="2"/>
    <n v="1"/>
    <n v="2"/>
    <n v="1"/>
    <s v="-"/>
    <s v="-"/>
    <s v="-"/>
    <s v="-"/>
    <s v="-"/>
    <s v="-"/>
    <s v="-"/>
    <n v="6"/>
    <n v="6"/>
    <s v="-"/>
    <n v="1"/>
    <n v="1"/>
    <n v="2"/>
    <n v="2"/>
    <n v="8"/>
    <n v="8"/>
  </r>
  <r>
    <x v="2"/>
    <x v="70"/>
    <d v="1899-12-30T00:00:00"/>
    <s v="1ST"/>
    <s v="12:00"/>
    <n v="2"/>
    <x v="22"/>
    <n v="7.9000000000000008E-3"/>
    <s v="P"/>
    <s v="P"/>
    <s v="P"/>
    <s v="-"/>
    <s v="-"/>
    <n v="11.19"/>
    <s v="-"/>
    <s v="-"/>
    <s v="-"/>
    <s v="-"/>
    <s v="-"/>
    <s v="-"/>
    <s v="-"/>
    <s v="-"/>
    <s v="P"/>
    <s v="P"/>
    <s v="-"/>
    <n v="2"/>
    <n v="1"/>
    <n v="2"/>
    <n v="1"/>
    <s v="-"/>
    <s v="-"/>
    <s v="-"/>
    <s v="-"/>
    <s v="-"/>
    <s v="-"/>
    <s v="-"/>
    <n v="6"/>
    <n v="6"/>
    <s v="-"/>
    <n v="1"/>
    <n v="1"/>
    <n v="2"/>
    <n v="2"/>
    <n v="8"/>
    <n v="8"/>
  </r>
  <r>
    <x v="2"/>
    <x v="70"/>
    <d v="1902-03-25T00:00:00"/>
    <s v="2ND"/>
    <d v="1899-12-30T14:00:00"/>
    <n v="2"/>
    <x v="22"/>
    <n v="7.0000000000000001E-3"/>
    <s v="P"/>
    <s v="P"/>
    <s v="P"/>
    <s v="-"/>
    <s v="-"/>
    <n v="9.81"/>
    <n v="8.48"/>
    <n v="0.6"/>
    <s v="-"/>
    <s v="-"/>
    <s v="-"/>
    <n v="22.78"/>
    <s v="-"/>
    <n v="25.16"/>
    <s v="P"/>
    <s v="P"/>
    <s v="-"/>
    <n v="2"/>
    <n v="1"/>
    <n v="2"/>
    <n v="0"/>
    <n v="0"/>
    <n v="2"/>
    <s v="-"/>
    <s v="-"/>
    <s v="-"/>
    <n v="2"/>
    <s v="-"/>
    <n v="9"/>
    <n v="11"/>
    <n v="1"/>
    <n v="1"/>
    <n v="1"/>
    <n v="3"/>
    <n v="3"/>
    <n v="12"/>
    <n v="14"/>
  </r>
  <r>
    <x v="2"/>
    <x v="70"/>
    <d v="1902-03-25T00:00:00"/>
    <s v="2ND"/>
    <d v="1899-12-30T16:00:00"/>
    <n v="2"/>
    <x v="22"/>
    <n v="5.4999999999999997E-3"/>
    <s v="P"/>
    <s v="P"/>
    <s v="P"/>
    <s v="-"/>
    <s v="-"/>
    <n v="11.19"/>
    <s v="-"/>
    <s v="-"/>
    <s v="-"/>
    <s v="-"/>
    <s v="-"/>
    <s v="-"/>
    <s v="-"/>
    <s v="-"/>
    <s v="P"/>
    <s v="P"/>
    <s v="-"/>
    <n v="2"/>
    <n v="1"/>
    <n v="2"/>
    <n v="1"/>
    <s v="-"/>
    <s v="-"/>
    <s v="-"/>
    <s v="-"/>
    <s v="-"/>
    <s v="-"/>
    <s v="-"/>
    <n v="6"/>
    <n v="6"/>
    <s v="-"/>
    <n v="1"/>
    <n v="1"/>
    <n v="2"/>
    <n v="2"/>
    <n v="8"/>
    <n v="8"/>
  </r>
  <r>
    <x v="2"/>
    <x v="70"/>
    <d v="1902-03-25T00:00:00"/>
    <s v="2ND"/>
    <d v="1899-12-30T18:00:00"/>
    <n v="2"/>
    <x v="22"/>
    <n v="8.8000000000000005E-3"/>
    <s v="P"/>
    <s v="P"/>
    <s v="P"/>
    <s v="-"/>
    <s v="-"/>
    <n v="11.15"/>
    <s v="-"/>
    <s v="-"/>
    <s v="-"/>
    <s v="-"/>
    <s v="-"/>
    <s v="-"/>
    <s v="-"/>
    <s v="-"/>
    <s v="P"/>
    <s v="P"/>
    <s v="-"/>
    <n v="2"/>
    <n v="1"/>
    <n v="2"/>
    <n v="1"/>
    <s v="-"/>
    <s v="-"/>
    <s v="-"/>
    <s v="-"/>
    <s v="-"/>
    <s v="-"/>
    <s v="-"/>
    <n v="6"/>
    <n v="6"/>
    <s v="-"/>
    <n v="1"/>
    <n v="1"/>
    <n v="2"/>
    <n v="2"/>
    <n v="8"/>
    <n v="8"/>
  </r>
  <r>
    <x v="2"/>
    <x v="70"/>
    <d v="1902-03-25T00:00:00"/>
    <s v="2ND"/>
    <d v="1899-12-30T19:00:00"/>
    <n v="2"/>
    <x v="22"/>
    <n v="4.3E-3"/>
    <s v="P"/>
    <s v="P"/>
    <s v="P"/>
    <s v="-"/>
    <s v="-"/>
    <n v="11"/>
    <s v="-"/>
    <s v="-"/>
    <s v="-"/>
    <s v="-"/>
    <s v="-"/>
    <s v="-"/>
    <s v="-"/>
    <s v="-"/>
    <s v="P"/>
    <s v="P"/>
    <s v="-"/>
    <n v="2"/>
    <n v="1"/>
    <n v="2"/>
    <n v="1"/>
    <s v="-"/>
    <s v="-"/>
    <s v="-"/>
    <s v="-"/>
    <s v="-"/>
    <s v="-"/>
    <s v="-"/>
    <n v="6"/>
    <n v="6"/>
    <s v="-"/>
    <n v="1"/>
    <n v="1"/>
    <n v="2"/>
    <n v="2"/>
    <n v="8"/>
    <n v="8"/>
  </r>
  <r>
    <x v="2"/>
    <x v="70"/>
    <d v="1902-03-25T00:00:00"/>
    <s v="2ND"/>
    <d v="1899-12-30T20:00:00"/>
    <n v="2"/>
    <x v="22"/>
    <n v="5.5999999999999999E-3"/>
    <s v="P"/>
    <s v="P"/>
    <s v="P"/>
    <s v="-"/>
    <s v="-"/>
    <n v="11.16"/>
    <s v="-"/>
    <s v="-"/>
    <s v="-"/>
    <s v="-"/>
    <s v="-"/>
    <s v="-"/>
    <s v="-"/>
    <s v="-"/>
    <s v="P"/>
    <s v="P"/>
    <s v="-"/>
    <n v="2"/>
    <n v="1"/>
    <n v="2"/>
    <n v="1"/>
    <s v="-"/>
    <s v="-"/>
    <s v="-"/>
    <s v="-"/>
    <s v="-"/>
    <s v="-"/>
    <s v="-"/>
    <n v="6"/>
    <n v="6"/>
    <s v="-"/>
    <n v="1"/>
    <n v="1"/>
    <n v="2"/>
    <n v="2"/>
    <n v="8"/>
    <n v="8"/>
  </r>
  <r>
    <x v="2"/>
    <x v="70"/>
    <d v="1902-03-25T00:00:00"/>
    <s v="2ND"/>
    <d v="1899-12-30T21:00:00"/>
    <n v="2"/>
    <x v="22"/>
    <s v="-"/>
    <s v="P"/>
    <s v="P"/>
    <s v="P"/>
    <s v="-"/>
    <s v="-"/>
    <s v="-"/>
    <s v="-"/>
    <s v="-"/>
    <s v="-"/>
    <s v="-"/>
    <s v="-"/>
    <s v="-"/>
    <s v="-"/>
    <s v="-"/>
    <s v="P"/>
    <s v="P"/>
    <s v="-"/>
    <s v="-"/>
    <n v="1"/>
    <n v="2"/>
    <s v="-"/>
    <s v="-"/>
    <s v="-"/>
    <s v="-"/>
    <s v="-"/>
    <s v="-"/>
    <s v="-"/>
    <s v="-"/>
    <n v="3"/>
    <n v="3"/>
    <s v="-"/>
    <n v="1"/>
    <n v="1"/>
    <n v="2"/>
    <n v="2"/>
    <n v="5"/>
    <n v="5"/>
  </r>
  <r>
    <x v="2"/>
    <x v="70"/>
    <d v="1902-03-25T00:00:00"/>
    <s v="3RD"/>
    <d v="1899-12-30T22:00:00"/>
    <n v="2"/>
    <x v="22"/>
    <n v="3.3E-3"/>
    <s v="P"/>
    <s v="P"/>
    <s v="P"/>
    <s v="-"/>
    <s v="-"/>
    <n v="11.34"/>
    <n v="8.4499999999999993"/>
    <s v="-"/>
    <s v="-"/>
    <s v="-"/>
    <s v="-"/>
    <n v="22.64"/>
    <s v="-"/>
    <s v="-"/>
    <s v="P"/>
    <s v="P"/>
    <s v="-"/>
    <n v="2"/>
    <n v="1"/>
    <n v="2"/>
    <n v="1"/>
    <n v="0"/>
    <s v="-"/>
    <s v="-"/>
    <s v="-"/>
    <s v="-"/>
    <n v="2"/>
    <s v="-"/>
    <n v="8"/>
    <n v="9"/>
    <s v="-"/>
    <n v="1"/>
    <n v="1"/>
    <n v="2"/>
    <n v="2"/>
    <n v="10"/>
    <n v="11"/>
  </r>
  <r>
    <x v="2"/>
    <x v="70"/>
    <d v="1899-12-30T00:00:00"/>
    <s v="3RD"/>
    <d v="1899-12-31T00:00:00"/>
    <n v="2"/>
    <x v="22"/>
    <n v="2.3E-3"/>
    <s v="P"/>
    <s v="P"/>
    <s v="P"/>
    <s v="-"/>
    <s v="-"/>
    <n v="11.42"/>
    <s v="-"/>
    <s v="-"/>
    <s v="-"/>
    <s v="-"/>
    <s v="-"/>
    <s v="-"/>
    <s v="-"/>
    <n v="25.1"/>
    <s v="P"/>
    <s v="P"/>
    <s v="-"/>
    <n v="2"/>
    <n v="1"/>
    <n v="2"/>
    <n v="1"/>
    <s v="-"/>
    <s v="-"/>
    <s v="-"/>
    <s v="-"/>
    <s v="-"/>
    <s v="-"/>
    <s v="-"/>
    <n v="6"/>
    <n v="6"/>
    <n v="1"/>
    <n v="1"/>
    <n v="1"/>
    <n v="3"/>
    <n v="3"/>
    <n v="9"/>
    <n v="9"/>
  </r>
  <r>
    <x v="2"/>
    <x v="70"/>
    <d v="1899-12-30T00:00:00"/>
    <s v="3RD"/>
    <d v="1899-12-31T01:00:00"/>
    <n v="2"/>
    <x v="22"/>
    <n v="2.8E-3"/>
    <s v="P"/>
    <s v="P"/>
    <s v="P"/>
    <s v="-"/>
    <s v="-"/>
    <n v="11.38"/>
    <s v="-"/>
    <s v="-"/>
    <s v="-"/>
    <s v="-"/>
    <s v="-"/>
    <s v="-"/>
    <s v="-"/>
    <s v="-"/>
    <s v="P"/>
    <s v="P"/>
    <s v="-"/>
    <n v="2"/>
    <n v="1"/>
    <n v="2"/>
    <n v="1"/>
    <s v="-"/>
    <s v="-"/>
    <s v="-"/>
    <s v="-"/>
    <s v="-"/>
    <s v="-"/>
    <s v="-"/>
    <n v="6"/>
    <n v="6"/>
    <s v="-"/>
    <n v="1"/>
    <n v="1"/>
    <n v="2"/>
    <n v="2"/>
    <n v="8"/>
    <n v="8"/>
  </r>
  <r>
    <x v="2"/>
    <x v="70"/>
    <d v="1899-12-30T00:00:00"/>
    <s v="3RD"/>
    <d v="1899-12-31T02:00:00"/>
    <n v="2"/>
    <x v="22"/>
    <n v="3.2000000000000002E-3"/>
    <s v="P"/>
    <s v="P"/>
    <s v="P"/>
    <s v="-"/>
    <s v="-"/>
    <n v="11.37"/>
    <s v="-"/>
    <s v="-"/>
    <s v="-"/>
    <s v="-"/>
    <s v="-"/>
    <s v="-"/>
    <s v="-"/>
    <s v="-"/>
    <s v="P"/>
    <s v="P"/>
    <s v="-"/>
    <n v="2"/>
    <n v="1"/>
    <n v="2"/>
    <n v="1"/>
    <s v="-"/>
    <s v="-"/>
    <s v="-"/>
    <s v="-"/>
    <s v="-"/>
    <s v="-"/>
    <s v="-"/>
    <n v="6"/>
    <n v="6"/>
    <s v="-"/>
    <n v="1"/>
    <n v="1"/>
    <n v="2"/>
    <n v="2"/>
    <n v="8"/>
    <n v="8"/>
  </r>
  <r>
    <x v="2"/>
    <x v="70"/>
    <d v="1899-12-30T00:00:00"/>
    <s v="3RD"/>
    <d v="1899-12-31T04:00:00"/>
    <n v="2"/>
    <x v="22"/>
    <n v="3.7000000000000002E-3"/>
    <s v="P"/>
    <s v="P"/>
    <s v="P"/>
    <s v="-"/>
    <s v="-"/>
    <n v="11.06"/>
    <s v="-"/>
    <s v="-"/>
    <s v="-"/>
    <s v="-"/>
    <s v="-"/>
    <s v="-"/>
    <s v="-"/>
    <s v="-"/>
    <s v="P"/>
    <s v="P"/>
    <s v="-"/>
    <n v="2"/>
    <n v="1"/>
    <n v="2"/>
    <n v="1"/>
    <s v="-"/>
    <s v="-"/>
    <s v="-"/>
    <s v="-"/>
    <s v="-"/>
    <s v="-"/>
    <s v="-"/>
    <n v="6"/>
    <n v="6"/>
    <s v="-"/>
    <n v="1"/>
    <n v="1"/>
    <n v="2"/>
    <n v="2"/>
    <n v="8"/>
    <n v="8"/>
  </r>
  <r>
    <x v="2"/>
    <x v="71"/>
    <s v="-"/>
    <s v="1ST"/>
    <s v="06:00"/>
    <n v="1"/>
    <x v="7"/>
    <n v="1.9699999999999999E-2"/>
    <s v="P"/>
    <s v="P"/>
    <s v="P"/>
    <s v="-"/>
    <s v="+"/>
    <n v="10.27"/>
    <n v="8.6300000000000008"/>
    <n v="0.63"/>
    <n v="55.8"/>
    <s v="-"/>
    <s v="-"/>
    <n v="23.36"/>
    <s v="-"/>
    <s v="-"/>
    <s v="P"/>
    <s v="P"/>
    <s v="90% 10%"/>
    <n v="2"/>
    <n v="1"/>
    <n v="2"/>
    <n v="0"/>
    <n v="1"/>
    <n v="0"/>
    <n v="0"/>
    <s v="-"/>
    <s v="-"/>
    <n v="2"/>
    <s v="-"/>
    <n v="8"/>
    <n v="13"/>
    <s v="-"/>
    <n v="1"/>
    <n v="1"/>
    <n v="2"/>
    <n v="2"/>
    <n v="10"/>
    <n v="15"/>
  </r>
  <r>
    <x v="2"/>
    <x v="71"/>
    <d v="2026-03-20T00:00:00"/>
    <s v="1ST"/>
    <s v="08:00"/>
    <n v="1"/>
    <x v="7"/>
    <n v="1.5599999999999999E-2"/>
    <s v="P"/>
    <s v="P"/>
    <s v="P"/>
    <s v="-"/>
    <s v="+"/>
    <n v="10.77"/>
    <s v="-"/>
    <s v="-"/>
    <s v="-"/>
    <s v="-"/>
    <s v="-"/>
    <s v="-"/>
    <s v="-"/>
    <s v="-"/>
    <s v="P"/>
    <s v="P"/>
    <s v="-"/>
    <n v="2"/>
    <n v="1"/>
    <n v="2"/>
    <n v="0"/>
    <s v="-"/>
    <s v="-"/>
    <s v="-"/>
    <s v="-"/>
    <s v="-"/>
    <s v="-"/>
    <s v="-"/>
    <n v="5"/>
    <n v="6"/>
    <s v="-"/>
    <n v="1"/>
    <n v="1"/>
    <n v="2"/>
    <n v="2"/>
    <n v="7"/>
    <n v="8"/>
  </r>
  <r>
    <x v="2"/>
    <x v="71"/>
    <d v="2026-03-20T00:00:00"/>
    <s v="1ST"/>
    <s v="09:00"/>
    <n v="1"/>
    <x v="7"/>
    <n v="9.1999999999999998E-3"/>
    <s v="P"/>
    <s v="P"/>
    <s v="P"/>
    <s v="-"/>
    <s v="+"/>
    <n v="10.76"/>
    <s v="-"/>
    <s v="-"/>
    <s v="-"/>
    <s v="-"/>
    <s v="-"/>
    <s v="-"/>
    <s v="-"/>
    <s v="-"/>
    <s v="P"/>
    <s v="P"/>
    <s v="-"/>
    <n v="2"/>
    <n v="1"/>
    <n v="2"/>
    <n v="0"/>
    <s v="-"/>
    <s v="-"/>
    <s v="-"/>
    <s v="-"/>
    <s v="-"/>
    <s v="-"/>
    <s v="-"/>
    <n v="5"/>
    <n v="6"/>
    <s v="-"/>
    <n v="1"/>
    <n v="1"/>
    <n v="2"/>
    <n v="2"/>
    <n v="7"/>
    <n v="8"/>
  </r>
  <r>
    <x v="2"/>
    <x v="71"/>
    <d v="2026-03-20T00:00:00"/>
    <s v="1ST"/>
    <s v="10:00"/>
    <n v="1"/>
    <x v="7"/>
    <n v="1.41E-2"/>
    <s v="P"/>
    <s v="P"/>
    <s v="P"/>
    <s v="-"/>
    <s v="+"/>
    <n v="10.75"/>
    <s v="-"/>
    <s v="-"/>
    <s v="-"/>
    <s v="-"/>
    <s v="-"/>
    <s v="-"/>
    <s v="-"/>
    <s v="-"/>
    <s v="P"/>
    <s v="P"/>
    <s v="-"/>
    <n v="2"/>
    <n v="1"/>
    <n v="2"/>
    <n v="0"/>
    <s v="-"/>
    <s v="-"/>
    <s v="-"/>
    <s v="-"/>
    <s v="-"/>
    <s v="-"/>
    <s v="-"/>
    <n v="5"/>
    <n v="6"/>
    <s v="-"/>
    <n v="1"/>
    <n v="1"/>
    <n v="2"/>
    <n v="2"/>
    <n v="7"/>
    <n v="8"/>
  </r>
  <r>
    <x v="2"/>
    <x v="71"/>
    <d v="2026-03-20T00:00:00"/>
    <s v="1ST"/>
    <s v="12:00"/>
    <n v="1"/>
    <x v="7"/>
    <n v="1.78E-2"/>
    <s v="P"/>
    <s v="P"/>
    <s v="P"/>
    <s v="-"/>
    <s v="+"/>
    <n v="10.98"/>
    <s v="-"/>
    <s v="-"/>
    <s v="-"/>
    <s v="-"/>
    <s v="-"/>
    <s v="-"/>
    <s v="-"/>
    <s v="-"/>
    <s v="P"/>
    <s v="P"/>
    <s v="-"/>
    <n v="2"/>
    <n v="1"/>
    <n v="2"/>
    <n v="0"/>
    <s v="-"/>
    <s v="-"/>
    <s v="-"/>
    <s v="-"/>
    <s v="-"/>
    <s v="-"/>
    <s v="-"/>
    <n v="5"/>
    <n v="6"/>
    <s v="-"/>
    <n v="1"/>
    <n v="1"/>
    <n v="2"/>
    <n v="2"/>
    <n v="7"/>
    <n v="8"/>
  </r>
  <r>
    <x v="2"/>
    <x v="71"/>
    <d v="2026-03-20T00:00:00"/>
    <s v="2ND"/>
    <d v="1899-12-30T15:00:00"/>
    <n v="1"/>
    <x v="7"/>
    <n v="8.3000000000000001E-3"/>
    <s v="P"/>
    <s v="P"/>
    <s v="P"/>
    <s v="-"/>
    <s v="+"/>
    <n v="10.87"/>
    <n v="8.6300000000000008"/>
    <n v="0.63"/>
    <s v="-"/>
    <s v="-"/>
    <s v="-"/>
    <n v="23.29"/>
    <s v="-"/>
    <n v="25.16"/>
    <s v="P"/>
    <s v="P"/>
    <s v="-"/>
    <n v="2"/>
    <n v="1"/>
    <n v="2"/>
    <n v="0"/>
    <n v="1"/>
    <n v="0"/>
    <s v="-"/>
    <s v="-"/>
    <s v="-"/>
    <n v="2"/>
    <s v="-"/>
    <n v="8"/>
    <n v="11"/>
    <n v="1"/>
    <n v="1"/>
    <n v="1"/>
    <n v="3"/>
    <n v="3"/>
    <n v="11"/>
    <n v="14"/>
  </r>
  <r>
    <x v="2"/>
    <x v="71"/>
    <d v="2026-03-20T00:00:00"/>
    <s v="2ND"/>
    <d v="1899-12-30T16:00:00"/>
    <n v="1"/>
    <x v="7"/>
    <n v="5.5999999999999999E-3"/>
    <s v="P"/>
    <s v="P"/>
    <s v="P"/>
    <s v="-"/>
    <s v="+"/>
    <n v="10.71"/>
    <s v="-"/>
    <s v="-"/>
    <s v="-"/>
    <s v="-"/>
    <s v="-"/>
    <s v="-"/>
    <s v="-"/>
    <s v="-"/>
    <s v="P"/>
    <s v="P"/>
    <s v="-"/>
    <n v="2"/>
    <n v="1"/>
    <n v="2"/>
    <n v="0"/>
    <s v="-"/>
    <s v="-"/>
    <s v="-"/>
    <s v="-"/>
    <s v="-"/>
    <s v="-"/>
    <s v="-"/>
    <n v="5"/>
    <n v="6"/>
    <s v="-"/>
    <n v="1"/>
    <n v="1"/>
    <n v="2"/>
    <n v="2"/>
    <n v="7"/>
    <n v="8"/>
  </r>
  <r>
    <x v="2"/>
    <x v="71"/>
    <d v="1899-12-30T00:00:00"/>
    <s v="2ND"/>
    <d v="1899-12-30T17:00:00"/>
    <n v="1"/>
    <x v="7"/>
    <s v="-"/>
    <s v="-"/>
    <s v="-"/>
    <s v="-"/>
    <s v="-"/>
    <s v="-"/>
    <s v="-"/>
    <s v="-"/>
    <s v="-"/>
    <s v="-"/>
    <s v="-"/>
    <s v="-"/>
    <s v="-"/>
    <s v="-"/>
    <s v="-"/>
    <s v="-"/>
    <s v="-"/>
    <s v="-"/>
    <s v="-"/>
    <s v="-"/>
    <s v="-"/>
    <s v="-"/>
    <s v="-"/>
    <s v="-"/>
    <s v="-"/>
    <s v="-"/>
    <s v="-"/>
    <s v="-"/>
    <s v="-"/>
    <n v="0"/>
    <n v="0"/>
    <s v="-"/>
    <s v="-"/>
    <s v="-"/>
    <n v="0"/>
    <n v="0"/>
    <n v="0"/>
    <n v="0"/>
  </r>
  <r>
    <x v="2"/>
    <x v="71"/>
    <d v="2026-03-20T00:00:00"/>
    <s v="2ND"/>
    <d v="1899-12-30T18:00:00"/>
    <n v="1"/>
    <x v="7"/>
    <n v="6.0000000000000001E-3"/>
    <s v="P"/>
    <s v="P"/>
    <s v="P"/>
    <s v="-"/>
    <s v="+"/>
    <n v="10.71"/>
    <s v="-"/>
    <s v="-"/>
    <s v="-"/>
    <s v="-"/>
    <s v="-"/>
    <s v="-"/>
    <s v="-"/>
    <s v="-"/>
    <s v="P"/>
    <s v="P"/>
    <s v="-"/>
    <n v="2"/>
    <n v="1"/>
    <n v="2"/>
    <n v="0"/>
    <s v="-"/>
    <s v="-"/>
    <s v="-"/>
    <s v="-"/>
    <s v="-"/>
    <s v="-"/>
    <s v="-"/>
    <n v="5"/>
    <n v="6"/>
    <s v="-"/>
    <n v="1"/>
    <n v="1"/>
    <n v="2"/>
    <n v="2"/>
    <n v="7"/>
    <n v="8"/>
  </r>
  <r>
    <x v="2"/>
    <x v="71"/>
    <d v="2026-03-20T00:00:00"/>
    <s v="2ND"/>
    <d v="1899-12-30T20:00:00"/>
    <n v="1"/>
    <x v="7"/>
    <n v="7.4999999999999997E-3"/>
    <s v="P"/>
    <s v="P"/>
    <s v="P"/>
    <s v="-"/>
    <s v="+"/>
    <s v="-"/>
    <s v="-"/>
    <s v="-"/>
    <s v="-"/>
    <s v="-"/>
    <s v="-"/>
    <s v="-"/>
    <s v="-"/>
    <s v="-"/>
    <s v="P"/>
    <s v="P"/>
    <s v="-"/>
    <n v="2"/>
    <n v="1"/>
    <n v="2"/>
    <s v="-"/>
    <s v="-"/>
    <s v="-"/>
    <s v="-"/>
    <s v="-"/>
    <s v="-"/>
    <s v="-"/>
    <s v="-"/>
    <n v="5"/>
    <n v="5"/>
    <s v="-"/>
    <n v="1"/>
    <n v="1"/>
    <n v="2"/>
    <n v="2"/>
    <n v="7"/>
    <n v="7"/>
  </r>
  <r>
    <x v="2"/>
    <x v="71"/>
    <d v="2026-03-20T00:00:00"/>
    <s v="2ND"/>
    <d v="1899-12-30T21:00:00"/>
    <n v="1"/>
    <x v="7"/>
    <s v="-"/>
    <s v="P"/>
    <s v="P"/>
    <s v="P"/>
    <s v="-"/>
    <s v="+"/>
    <n v="10.65"/>
    <s v="-"/>
    <s v="-"/>
    <s v="-"/>
    <s v="-"/>
    <s v="-"/>
    <s v="-"/>
    <s v="-"/>
    <s v="-"/>
    <s v="P"/>
    <s v="P"/>
    <s v="-"/>
    <s v="-"/>
    <n v="1"/>
    <n v="2"/>
    <n v="0"/>
    <s v="-"/>
    <s v="-"/>
    <s v="-"/>
    <s v="-"/>
    <s v="-"/>
    <s v="-"/>
    <s v="-"/>
    <n v="3"/>
    <n v="4"/>
    <s v="-"/>
    <n v="1"/>
    <n v="1"/>
    <n v="2"/>
    <n v="2"/>
    <n v="5"/>
    <n v="6"/>
  </r>
  <r>
    <x v="2"/>
    <x v="71"/>
    <s v="-"/>
    <s v="3RD"/>
    <d v="1899-12-30T22:00:00"/>
    <n v="1"/>
    <x v="7"/>
    <n v="2.5000000000000001E-3"/>
    <s v="P"/>
    <s v="P"/>
    <s v="P"/>
    <s v="-"/>
    <s v="+"/>
    <n v="10.69"/>
    <n v="8.73"/>
    <s v="-"/>
    <s v="-"/>
    <s v="-"/>
    <s v="-"/>
    <n v="23.58"/>
    <s v="-"/>
    <s v="-"/>
    <s v="P"/>
    <s v="P"/>
    <s v="90% 10%"/>
    <n v="2"/>
    <n v="1"/>
    <n v="2"/>
    <n v="0"/>
    <n v="1"/>
    <s v="-"/>
    <s v="-"/>
    <s v="-"/>
    <s v="-"/>
    <n v="2"/>
    <s v="-"/>
    <n v="8"/>
    <n v="9"/>
    <s v="-"/>
    <n v="1"/>
    <n v="1"/>
    <n v="2"/>
    <n v="2"/>
    <n v="10"/>
    <n v="11"/>
  </r>
  <r>
    <x v="2"/>
    <x v="71"/>
    <d v="2026-03-20T00:00:00"/>
    <s v="3RD"/>
    <d v="1899-12-30T23:00:00"/>
    <n v="1"/>
    <x v="7"/>
    <n v="2.2000000000000001E-3"/>
    <s v="P"/>
    <s v="P"/>
    <s v="P"/>
    <s v="-"/>
    <s v="+"/>
    <n v="10.74"/>
    <s v="-"/>
    <s v="-"/>
    <s v="-"/>
    <s v="-"/>
    <s v="-"/>
    <s v="-"/>
    <s v="-"/>
    <s v="-"/>
    <s v="P"/>
    <s v="P"/>
    <s v="-"/>
    <n v="2"/>
    <n v="1"/>
    <n v="2"/>
    <n v="0"/>
    <s v="-"/>
    <s v="-"/>
    <s v="-"/>
    <s v="-"/>
    <s v="-"/>
    <s v="-"/>
    <s v="-"/>
    <n v="5"/>
    <n v="6"/>
    <s v="-"/>
    <n v="1"/>
    <n v="1"/>
    <n v="2"/>
    <n v="2"/>
    <n v="7"/>
    <n v="8"/>
  </r>
  <r>
    <x v="2"/>
    <x v="71"/>
    <d v="2026-03-20T00:00:00"/>
    <s v="3RD"/>
    <d v="1899-12-31T01:00:00"/>
    <n v="1"/>
    <x v="7"/>
    <n v="2.0999999999999999E-3"/>
    <s v="P"/>
    <s v="P"/>
    <s v="P"/>
    <s v="-"/>
    <s v="+"/>
    <n v="10.67"/>
    <s v="-"/>
    <s v="-"/>
    <s v="-"/>
    <s v="-"/>
    <s v="-"/>
    <s v="-"/>
    <s v="-"/>
    <s v="-"/>
    <s v="P"/>
    <s v="P"/>
    <s v="-"/>
    <n v="2"/>
    <n v="1"/>
    <n v="2"/>
    <n v="0"/>
    <s v="-"/>
    <s v="-"/>
    <s v="-"/>
    <s v="-"/>
    <s v="-"/>
    <s v="-"/>
    <s v="-"/>
    <n v="5"/>
    <n v="6"/>
    <s v="-"/>
    <n v="1"/>
    <n v="1"/>
    <n v="2"/>
    <n v="2"/>
    <n v="7"/>
    <n v="8"/>
  </r>
  <r>
    <x v="2"/>
    <x v="71"/>
    <d v="2026-03-20T00:00:00"/>
    <s v="3RD"/>
    <d v="1899-12-31T02:00:00"/>
    <n v="1"/>
    <x v="7"/>
    <n v="1.9E-3"/>
    <s v="P"/>
    <s v="P"/>
    <s v="P"/>
    <s v="-"/>
    <s v="+"/>
    <n v="10.78"/>
    <s v="-"/>
    <s v="-"/>
    <s v="-"/>
    <s v="-"/>
    <s v="-"/>
    <s v="-"/>
    <s v="-"/>
    <s v="-"/>
    <s v="P"/>
    <s v="P"/>
    <s v="-"/>
    <n v="2"/>
    <n v="1"/>
    <n v="2"/>
    <n v="0"/>
    <s v="-"/>
    <s v="-"/>
    <s v="-"/>
    <s v="-"/>
    <s v="-"/>
    <s v="-"/>
    <s v="-"/>
    <n v="5"/>
    <n v="6"/>
    <s v="-"/>
    <n v="1"/>
    <n v="1"/>
    <n v="2"/>
    <n v="2"/>
    <n v="7"/>
    <n v="8"/>
  </r>
  <r>
    <x v="2"/>
    <x v="71"/>
    <d v="2026-03-20T00:00:00"/>
    <s v="3RD"/>
    <d v="1899-12-31T03:00:00"/>
    <n v="1"/>
    <x v="7"/>
    <n v="2.5999999999999999E-3"/>
    <s v="P"/>
    <s v="P"/>
    <s v="P"/>
    <s v="-"/>
    <s v="+"/>
    <n v="10.76"/>
    <s v="-"/>
    <s v="-"/>
    <s v="-"/>
    <s v="-"/>
    <s v="-"/>
    <s v="-"/>
    <s v="-"/>
    <s v="-"/>
    <s v="P"/>
    <s v="P"/>
    <s v="-"/>
    <n v="2"/>
    <n v="1"/>
    <n v="2"/>
    <n v="0"/>
    <s v="-"/>
    <s v="-"/>
    <s v="-"/>
    <s v="-"/>
    <s v="-"/>
    <s v="-"/>
    <s v="-"/>
    <n v="5"/>
    <n v="6"/>
    <s v="-"/>
    <n v="1"/>
    <n v="1"/>
    <n v="2"/>
    <n v="2"/>
    <n v="7"/>
    <n v="8"/>
  </r>
  <r>
    <x v="2"/>
    <x v="71"/>
    <d v="2026-03-20T00:00:00"/>
    <s v="3RD"/>
    <d v="1899-12-31T04:00:00"/>
    <n v="1"/>
    <x v="7"/>
    <n v="3.0000000000000001E-3"/>
    <s v="P"/>
    <s v="P"/>
    <s v="P"/>
    <s v="-"/>
    <s v="+"/>
    <n v="11.19"/>
    <s v="-"/>
    <s v="-"/>
    <s v="-"/>
    <s v="-"/>
    <s v="-"/>
    <s v="-"/>
    <s v="-"/>
    <s v="-"/>
    <s v="P"/>
    <s v="P"/>
    <s v="-"/>
    <n v="2"/>
    <n v="1"/>
    <n v="2"/>
    <n v="1"/>
    <s v="-"/>
    <s v="-"/>
    <s v="-"/>
    <s v="-"/>
    <s v="-"/>
    <s v="-"/>
    <s v="-"/>
    <n v="6"/>
    <n v="6"/>
    <s v="-"/>
    <n v="1"/>
    <n v="1"/>
    <n v="2"/>
    <n v="2"/>
    <n v="8"/>
    <n v="8"/>
  </r>
  <r>
    <x v="2"/>
    <x v="71"/>
    <d v="2026-03-20T00:00:00"/>
    <s v="3RD"/>
    <d v="1899-12-31T05:00:00"/>
    <n v="1"/>
    <x v="7"/>
    <n v="2.8E-3"/>
    <s v="P"/>
    <s v="P"/>
    <s v="P"/>
    <s v="-"/>
    <s v="+"/>
    <n v="10.95"/>
    <s v="-"/>
    <s v="-"/>
    <s v="-"/>
    <s v="-"/>
    <s v="-"/>
    <s v="-"/>
    <s v="-"/>
    <s v="-"/>
    <s v="P"/>
    <s v="P"/>
    <s v="-"/>
    <n v="2"/>
    <n v="1"/>
    <n v="2"/>
    <n v="0"/>
    <s v="-"/>
    <s v="-"/>
    <s v="-"/>
    <s v="-"/>
    <s v="-"/>
    <s v="-"/>
    <s v="-"/>
    <n v="5"/>
    <n v="6"/>
    <s v="-"/>
    <n v="1"/>
    <n v="1"/>
    <n v="2"/>
    <n v="2"/>
    <n v="7"/>
    <n v="8"/>
  </r>
  <r>
    <x v="2"/>
    <x v="71"/>
    <d v="2026-03-14T00:00:00"/>
    <s v="2ND"/>
    <d v="1899-12-30T17:00:00"/>
    <n v="3"/>
    <x v="1"/>
    <n v="1.0800000000000001E-2"/>
    <s v="P"/>
    <s v="P"/>
    <s v="P"/>
    <s v="+"/>
    <s v="+"/>
    <n v="12.57"/>
    <n v="12.58"/>
    <n v="0.63"/>
    <n v="64.099999999999994"/>
    <s v="-"/>
    <s v="-"/>
    <n v="35.1"/>
    <s v="-"/>
    <s v="-"/>
    <s v="P"/>
    <s v="P"/>
    <s v="-"/>
    <n v="2"/>
    <n v="1"/>
    <n v="2"/>
    <n v="1"/>
    <n v="1"/>
    <n v="2"/>
    <n v="2"/>
    <s v="-"/>
    <s v="-"/>
    <n v="2"/>
    <s v="-"/>
    <n v="13"/>
    <n v="13"/>
    <s v="-"/>
    <n v="1"/>
    <n v="1"/>
    <n v="2"/>
    <n v="2"/>
    <n v="15"/>
    <n v="15"/>
  </r>
  <r>
    <x v="2"/>
    <x v="71"/>
    <d v="2026-03-14T00:00:00"/>
    <s v="2ND"/>
    <d v="1899-12-30T18:00:00"/>
    <n v="3"/>
    <x v="1"/>
    <n v="9.2999999999999992E-3"/>
    <s v="P"/>
    <s v="P"/>
    <s v="P"/>
    <s v="+"/>
    <s v="+"/>
    <n v="12.51"/>
    <s v="-"/>
    <s v="-"/>
    <s v="-"/>
    <s v="-"/>
    <s v="-"/>
    <s v="-"/>
    <s v="-"/>
    <s v="-"/>
    <s v="P"/>
    <s v="P"/>
    <s v="-"/>
    <n v="2"/>
    <n v="1"/>
    <n v="2"/>
    <n v="1"/>
    <s v="-"/>
    <s v="-"/>
    <s v="-"/>
    <s v="-"/>
    <s v="-"/>
    <s v="-"/>
    <s v="-"/>
    <n v="6"/>
    <n v="6"/>
    <s v="-"/>
    <n v="1"/>
    <n v="1"/>
    <n v="2"/>
    <n v="2"/>
    <n v="8"/>
    <n v="8"/>
  </r>
  <r>
    <x v="2"/>
    <x v="71"/>
    <d v="2026-03-14T00:00:00"/>
    <s v="2ND"/>
    <d v="1899-12-30T19:00:00"/>
    <n v="3"/>
    <x v="1"/>
    <n v="7.7000000000000002E-3"/>
    <s v="P"/>
    <s v="P"/>
    <s v="P"/>
    <s v="+"/>
    <s v="+"/>
    <n v="12.74"/>
    <s v="-"/>
    <s v="-"/>
    <s v="-"/>
    <s v="-"/>
    <s v="-"/>
    <s v="-"/>
    <s v="-"/>
    <s v="-"/>
    <s v="P"/>
    <s v="P"/>
    <s v="-"/>
    <n v="2"/>
    <n v="1"/>
    <n v="2"/>
    <n v="1"/>
    <s v="-"/>
    <s v="-"/>
    <s v="-"/>
    <s v="-"/>
    <s v="-"/>
    <s v="-"/>
    <s v="-"/>
    <n v="6"/>
    <n v="6"/>
    <s v="-"/>
    <n v="1"/>
    <n v="1"/>
    <n v="2"/>
    <n v="2"/>
    <n v="8"/>
    <n v="8"/>
  </r>
  <r>
    <x v="2"/>
    <x v="71"/>
    <d v="2026-03-14T00:00:00"/>
    <s v="2ND"/>
    <d v="1899-12-30T20:00:00"/>
    <n v="3"/>
    <x v="1"/>
    <n v="1.0800000000000001E-2"/>
    <s v="P"/>
    <s v="P"/>
    <s v="P"/>
    <s v="+"/>
    <s v="+"/>
    <n v="12.6"/>
    <s v="-"/>
    <s v="-"/>
    <s v="-"/>
    <s v="-"/>
    <s v="-"/>
    <s v="-"/>
    <s v="-"/>
    <s v="-"/>
    <s v="P"/>
    <s v="P"/>
    <s v="-"/>
    <n v="2"/>
    <n v="1"/>
    <n v="2"/>
    <n v="1"/>
    <s v="-"/>
    <s v="-"/>
    <s v="-"/>
    <s v="-"/>
    <s v="-"/>
    <s v="-"/>
    <s v="-"/>
    <n v="6"/>
    <n v="6"/>
    <s v="-"/>
    <n v="1"/>
    <n v="1"/>
    <n v="2"/>
    <n v="2"/>
    <n v="8"/>
    <n v="8"/>
  </r>
  <r>
    <x v="2"/>
    <x v="71"/>
    <d v="2026-03-14T00:00:00"/>
    <s v="2ND"/>
    <d v="1899-12-30T21:00:00"/>
    <n v="3"/>
    <x v="1"/>
    <n v="1.8800000000000001E-2"/>
    <s v="P"/>
    <s v="P"/>
    <s v="P"/>
    <s v="+"/>
    <s v="+"/>
    <n v="12.75"/>
    <s v="-"/>
    <s v="-"/>
    <s v="-"/>
    <s v="-"/>
    <s v="-"/>
    <s v="-"/>
    <s v="-"/>
    <s v="-"/>
    <s v="P"/>
    <s v="P"/>
    <s v="-"/>
    <n v="2"/>
    <n v="1"/>
    <n v="2"/>
    <n v="1"/>
    <s v="-"/>
    <s v="-"/>
    <s v="-"/>
    <s v="-"/>
    <s v="-"/>
    <s v="-"/>
    <s v="-"/>
    <n v="6"/>
    <n v="6"/>
    <s v="-"/>
    <n v="1"/>
    <n v="1"/>
    <n v="2"/>
    <n v="2"/>
    <n v="8"/>
    <n v="8"/>
  </r>
  <r>
    <x v="2"/>
    <x v="71"/>
    <d v="2026-03-14T00:00:00"/>
    <s v="3RD"/>
    <d v="1899-12-30T22:00:00"/>
    <n v="3"/>
    <x v="1"/>
    <n v="1.6400000000000001E-2"/>
    <s v="P"/>
    <s v="P"/>
    <s v="P"/>
    <s v="+"/>
    <s v="+"/>
    <n v="12.59"/>
    <n v="12.75"/>
    <s v="-"/>
    <s v="-"/>
    <s v="-"/>
    <s v="-"/>
    <n v="35.6"/>
    <s v="-"/>
    <s v="-"/>
    <s v="P"/>
    <s v="P"/>
    <s v="85% 15%"/>
    <n v="2"/>
    <n v="1"/>
    <n v="2"/>
    <n v="1"/>
    <n v="1"/>
    <s v="-"/>
    <s v="-"/>
    <s v="-"/>
    <s v="-"/>
    <n v="2"/>
    <s v="-"/>
    <n v="9"/>
    <n v="9"/>
    <s v="-"/>
    <n v="1"/>
    <n v="1"/>
    <n v="2"/>
    <n v="2"/>
    <n v="11"/>
    <n v="11"/>
  </r>
  <r>
    <x v="2"/>
    <x v="71"/>
    <d v="2026-03-14T00:00:00"/>
    <s v="3RD"/>
    <d v="1899-12-30T23:00:00"/>
    <n v="3"/>
    <x v="1"/>
    <n v="9.1999999999999998E-3"/>
    <s v="P"/>
    <s v="P"/>
    <s v="P"/>
    <s v="+"/>
    <s v="+"/>
    <n v="12.56"/>
    <s v="-"/>
    <s v="-"/>
    <s v="-"/>
    <s v="-"/>
    <s v="-"/>
    <s v="-"/>
    <s v="-"/>
    <s v="-"/>
    <s v="P"/>
    <s v="P"/>
    <s v="-"/>
    <n v="2"/>
    <n v="1"/>
    <n v="2"/>
    <n v="1"/>
    <s v="-"/>
    <s v="-"/>
    <s v="-"/>
    <s v="-"/>
    <s v="-"/>
    <s v="-"/>
    <s v="-"/>
    <n v="6"/>
    <n v="6"/>
    <s v="-"/>
    <n v="1"/>
    <n v="1"/>
    <n v="2"/>
    <n v="2"/>
    <n v="8"/>
    <n v="8"/>
  </r>
  <r>
    <x v="2"/>
    <x v="71"/>
    <d v="2026-03-14T00:00:00"/>
    <s v="3RD"/>
    <d v="1899-12-31T01:00:00"/>
    <n v="3"/>
    <x v="1"/>
    <s v="-"/>
    <s v="P"/>
    <s v="P"/>
    <s v="P"/>
    <s v="+"/>
    <s v="+"/>
    <n v="12.49"/>
    <s v="-"/>
    <s v="-"/>
    <s v="-"/>
    <s v="-"/>
    <s v="-"/>
    <s v="-"/>
    <s v="-"/>
    <s v="-"/>
    <s v="P"/>
    <s v="P"/>
    <s v="-"/>
    <s v="-"/>
    <n v="1"/>
    <n v="2"/>
    <n v="1"/>
    <s v="-"/>
    <s v="-"/>
    <s v="-"/>
    <s v="-"/>
    <s v="-"/>
    <s v="-"/>
    <s v="-"/>
    <n v="4"/>
    <n v="4"/>
    <s v="-"/>
    <n v="1"/>
    <n v="1"/>
    <n v="2"/>
    <n v="2"/>
    <n v="6"/>
    <n v="6"/>
  </r>
  <r>
    <x v="2"/>
    <x v="71"/>
    <d v="2026-03-14T00:00:00"/>
    <s v="3RD"/>
    <d v="1899-12-31T02:00:00"/>
    <n v="3"/>
    <x v="1"/>
    <n v="1.23E-2"/>
    <s v="P"/>
    <s v="P"/>
    <s v="P"/>
    <s v="+"/>
    <s v="+"/>
    <n v="12.65"/>
    <s v="-"/>
    <s v="-"/>
    <s v="-"/>
    <s v="-"/>
    <s v="-"/>
    <s v="-"/>
    <s v="-"/>
    <s v="-"/>
    <s v="P"/>
    <s v="P"/>
    <s v="-"/>
    <n v="2"/>
    <n v="1"/>
    <n v="2"/>
    <n v="1"/>
    <s v="-"/>
    <s v="-"/>
    <s v="-"/>
    <s v="-"/>
    <s v="-"/>
    <s v="-"/>
    <s v="-"/>
    <n v="6"/>
    <n v="6"/>
    <s v="-"/>
    <n v="1"/>
    <n v="1"/>
    <n v="2"/>
    <n v="2"/>
    <n v="8"/>
    <n v="8"/>
  </r>
  <r>
    <x v="2"/>
    <x v="71"/>
    <d v="2026-03-21T00:00:00"/>
    <s v="1ST"/>
    <s v="06:00"/>
    <n v="3"/>
    <x v="16"/>
    <n v="1.4E-2"/>
    <s v="P"/>
    <s v="P"/>
    <s v="P"/>
    <s v="+"/>
    <s v="+"/>
    <n v="12.38"/>
    <n v="12.91"/>
    <n v="0.56000000000000005"/>
    <n v="63.9"/>
    <s v="-"/>
    <s v="-"/>
    <n v="36.200000000000003"/>
    <s v="-"/>
    <s v="-"/>
    <s v="P"/>
    <s v="P"/>
    <s v="50% 50%"/>
    <n v="2"/>
    <n v="1"/>
    <n v="2"/>
    <n v="1"/>
    <n v="1"/>
    <n v="0"/>
    <n v="0"/>
    <s v="-"/>
    <s v="-"/>
    <n v="2"/>
    <s v="-"/>
    <n v="9"/>
    <n v="13"/>
    <s v="-"/>
    <n v="1"/>
    <n v="1"/>
    <n v="2"/>
    <n v="2"/>
    <n v="11"/>
    <n v="15"/>
  </r>
  <r>
    <x v="2"/>
    <x v="71"/>
    <d v="2026-03-21T00:00:00"/>
    <s v="1ST"/>
    <s v="08:00"/>
    <n v="3"/>
    <x v="16"/>
    <n v="8.8000000000000005E-3"/>
    <s v="P"/>
    <s v="P"/>
    <s v="P"/>
    <s v="+"/>
    <s v="+"/>
    <n v="12.58"/>
    <s v="-"/>
    <s v="-"/>
    <s v="-"/>
    <s v="-"/>
    <s v="-"/>
    <s v="-"/>
    <s v="-"/>
    <s v="-"/>
    <s v="P"/>
    <s v="P"/>
    <s v="-"/>
    <n v="2"/>
    <n v="1"/>
    <n v="2"/>
    <n v="1"/>
    <s v="-"/>
    <s v="-"/>
    <s v="-"/>
    <s v="-"/>
    <s v="-"/>
    <s v="-"/>
    <s v="-"/>
    <n v="6"/>
    <n v="6"/>
    <s v="-"/>
    <n v="1"/>
    <n v="1"/>
    <n v="2"/>
    <n v="2"/>
    <n v="8"/>
    <n v="8"/>
  </r>
  <r>
    <x v="2"/>
    <x v="71"/>
    <d v="2026-03-21T00:00:00"/>
    <s v="1ST"/>
    <s v="10:00"/>
    <n v="3"/>
    <x v="16"/>
    <n v="8.5000000000000006E-3"/>
    <s v="P"/>
    <s v="P"/>
    <s v="P"/>
    <s v="+"/>
    <s v="+"/>
    <n v="12.71"/>
    <s v="-"/>
    <s v="-"/>
    <s v="-"/>
    <s v="-"/>
    <s v="-"/>
    <s v="-"/>
    <s v="-"/>
    <s v="-"/>
    <s v="P"/>
    <s v="P"/>
    <s v="-"/>
    <n v="2"/>
    <n v="1"/>
    <n v="2"/>
    <n v="1"/>
    <s v="-"/>
    <s v="-"/>
    <s v="-"/>
    <s v="-"/>
    <s v="-"/>
    <s v="-"/>
    <s v="-"/>
    <n v="6"/>
    <n v="6"/>
    <s v="-"/>
    <n v="1"/>
    <n v="1"/>
    <n v="2"/>
    <n v="2"/>
    <n v="8"/>
    <n v="8"/>
  </r>
  <r>
    <x v="2"/>
    <x v="71"/>
    <d v="2026-03-21T00:00:00"/>
    <s v="2ND"/>
    <d v="1899-12-30T15:00:00"/>
    <n v="3"/>
    <x v="16"/>
    <n v="9.2999999999999992E-3"/>
    <s v="P"/>
    <s v="P"/>
    <s v="P"/>
    <s v="+"/>
    <s v="+"/>
    <n v="12.85"/>
    <s v="-"/>
    <s v="-"/>
    <s v="-"/>
    <s v="-"/>
    <s v="-"/>
    <s v="-"/>
    <s v="-"/>
    <n v="25.16"/>
    <s v="P"/>
    <s v="P"/>
    <s v="-"/>
    <n v="2"/>
    <n v="1"/>
    <n v="2"/>
    <n v="1"/>
    <s v="-"/>
    <s v="-"/>
    <s v="-"/>
    <s v="-"/>
    <s v="-"/>
    <s v="-"/>
    <s v="-"/>
    <n v="6"/>
    <n v="6"/>
    <n v="1"/>
    <n v="1"/>
    <n v="1"/>
    <n v="3"/>
    <n v="3"/>
    <n v="9"/>
    <n v="9"/>
  </r>
  <r>
    <x v="2"/>
    <x v="71"/>
    <d v="2026-03-21T00:00:00"/>
    <s v="2ND"/>
    <d v="1899-12-30T16:00:00"/>
    <n v="3"/>
    <x v="16"/>
    <n v="4.1999999999999997E-3"/>
    <s v="P"/>
    <s v="P"/>
    <s v="P"/>
    <s v="+"/>
    <s v="+"/>
    <n v="12.78"/>
    <n v="12.96"/>
    <n v="0.56000000000000005"/>
    <s v="-"/>
    <s v="-"/>
    <s v="-"/>
    <n v="36.200000000000003"/>
    <s v="-"/>
    <s v="-"/>
    <s v="P"/>
    <s v="P"/>
    <s v="-"/>
    <n v="2"/>
    <n v="1"/>
    <n v="2"/>
    <n v="1"/>
    <n v="1"/>
    <n v="0"/>
    <s v="-"/>
    <s v="-"/>
    <s v="-"/>
    <n v="2"/>
    <s v="-"/>
    <n v="9"/>
    <n v="11"/>
    <s v="-"/>
    <n v="1"/>
    <n v="1"/>
    <n v="2"/>
    <n v="2"/>
    <n v="11"/>
    <n v="13"/>
  </r>
  <r>
    <x v="2"/>
    <x v="71"/>
    <d v="1902-03-25T00:00:00"/>
    <s v="1ST"/>
    <s v="06:00"/>
    <n v="2"/>
    <x v="22"/>
    <n v="1.3599999999999999E-2"/>
    <s v="P"/>
    <s v="P"/>
    <s v="P"/>
    <s v="-"/>
    <s v="-"/>
    <n v="11.38"/>
    <n v="8.48"/>
    <n v="0.56000000000000005"/>
    <n v="54.5"/>
    <s v="-"/>
    <s v="-"/>
    <n v="22.85"/>
    <s v="-"/>
    <s v="-"/>
    <s v="P"/>
    <s v="P"/>
    <s v="-"/>
    <n v="2"/>
    <n v="1"/>
    <n v="2"/>
    <n v="1"/>
    <n v="0"/>
    <n v="2"/>
    <n v="2"/>
    <s v="-"/>
    <s v="-"/>
    <n v="2"/>
    <s v="-"/>
    <n v="12"/>
    <n v="13"/>
    <s v="-"/>
    <n v="1"/>
    <n v="1"/>
    <n v="2"/>
    <n v="2"/>
    <n v="14"/>
    <n v="15"/>
  </r>
  <r>
    <x v="2"/>
    <x v="71"/>
    <d v="1899-12-30T00:00:00"/>
    <s v="1ST"/>
    <s v="08:00"/>
    <n v="2"/>
    <x v="22"/>
    <n v="6.4999999999999997E-3"/>
    <s v="P"/>
    <s v="P"/>
    <s v="P"/>
    <s v="-"/>
    <s v="-"/>
    <n v="11.26"/>
    <s v="-"/>
    <s v="-"/>
    <s v="-"/>
    <s v="-"/>
    <s v="-"/>
    <s v="-"/>
    <s v="-"/>
    <s v="-"/>
    <s v="P"/>
    <s v="P"/>
    <s v="-"/>
    <n v="2"/>
    <n v="1"/>
    <n v="2"/>
    <n v="1"/>
    <s v="-"/>
    <s v="-"/>
    <s v="-"/>
    <s v="-"/>
    <s v="-"/>
    <s v="-"/>
    <s v="-"/>
    <n v="6"/>
    <n v="6"/>
    <s v="-"/>
    <n v="1"/>
    <n v="1"/>
    <n v="2"/>
    <n v="2"/>
    <n v="8"/>
    <n v="8"/>
  </r>
  <r>
    <x v="2"/>
    <x v="71"/>
    <d v="1899-12-30T00:00:00"/>
    <s v="1ST"/>
    <s v="09:00"/>
    <n v="2"/>
    <x v="22"/>
    <n v="1.41E-2"/>
    <s v="P"/>
    <s v="P"/>
    <s v="P"/>
    <s v="-"/>
    <s v="-"/>
    <n v="11.16"/>
    <s v="-"/>
    <s v="-"/>
    <s v="-"/>
    <s v="-"/>
    <s v="-"/>
    <s v="-"/>
    <s v="-"/>
    <s v="-"/>
    <s v="P"/>
    <s v="P"/>
    <s v="-"/>
    <n v="2"/>
    <n v="1"/>
    <n v="2"/>
    <n v="1"/>
    <s v="-"/>
    <s v="-"/>
    <s v="-"/>
    <s v="-"/>
    <s v="-"/>
    <s v="-"/>
    <s v="-"/>
    <n v="6"/>
    <n v="6"/>
    <s v="-"/>
    <n v="1"/>
    <n v="1"/>
    <n v="2"/>
    <n v="2"/>
    <n v="8"/>
    <n v="8"/>
  </r>
  <r>
    <x v="2"/>
    <x v="71"/>
    <d v="1899-12-30T00:00:00"/>
    <s v="1ST"/>
    <s v="10:00"/>
    <n v="2"/>
    <x v="22"/>
    <n v="7.4000000000000003E-3"/>
    <s v="P"/>
    <s v="P"/>
    <s v="P"/>
    <s v="-"/>
    <s v="-"/>
    <n v="11.04"/>
    <s v="-"/>
    <s v="-"/>
    <s v="-"/>
    <s v="-"/>
    <s v="-"/>
    <s v="-"/>
    <s v="-"/>
    <s v="-"/>
    <s v="P"/>
    <s v="P"/>
    <s v="-"/>
    <n v="2"/>
    <n v="1"/>
    <n v="2"/>
    <n v="1"/>
    <s v="-"/>
    <s v="-"/>
    <s v="-"/>
    <s v="-"/>
    <s v="-"/>
    <s v="-"/>
    <s v="-"/>
    <n v="6"/>
    <n v="6"/>
    <s v="-"/>
    <n v="1"/>
    <n v="1"/>
    <n v="2"/>
    <n v="2"/>
    <n v="8"/>
    <n v="8"/>
  </r>
  <r>
    <x v="2"/>
    <x v="71"/>
    <d v="1902-03-25T00:00:00"/>
    <s v="2ND"/>
    <d v="1899-12-30T15:00:00"/>
    <n v="2"/>
    <x v="22"/>
    <n v="4.5999999999999999E-3"/>
    <s v="P"/>
    <s v="P"/>
    <s v="P"/>
    <s v="-"/>
    <s v="-"/>
    <n v="10.95"/>
    <n v="8.4600000000000009"/>
    <n v="0.56000000000000005"/>
    <s v="-"/>
    <s v="-"/>
    <s v="-"/>
    <n v="22.71"/>
    <s v="-"/>
    <n v="25.19"/>
    <s v="P"/>
    <s v="P"/>
    <s v="-"/>
    <n v="2"/>
    <n v="1"/>
    <n v="2"/>
    <n v="0"/>
    <n v="0"/>
    <n v="2"/>
    <s v="-"/>
    <s v="-"/>
    <s v="-"/>
    <n v="2"/>
    <s v="-"/>
    <n v="9"/>
    <n v="11"/>
    <n v="1"/>
    <n v="1"/>
    <n v="1"/>
    <n v="3"/>
    <n v="3"/>
    <n v="12"/>
    <n v="14"/>
  </r>
  <r>
    <x v="2"/>
    <x v="71"/>
    <d v="1902-03-25T00:00:00"/>
    <s v="2ND"/>
    <d v="1899-12-30T16:00:00"/>
    <n v="2"/>
    <x v="22"/>
    <n v="2.8999999999999998E-3"/>
    <s v="P"/>
    <s v="P"/>
    <s v="P"/>
    <s v="-"/>
    <s v="-"/>
    <n v="10.9"/>
    <s v="-"/>
    <s v="-"/>
    <s v="-"/>
    <s v="-"/>
    <s v="-"/>
    <s v="-"/>
    <s v="-"/>
    <s v="-"/>
    <s v="P"/>
    <s v="P"/>
    <s v="-"/>
    <n v="2"/>
    <n v="1"/>
    <n v="2"/>
    <n v="0"/>
    <s v="-"/>
    <s v="-"/>
    <s v="-"/>
    <s v="-"/>
    <s v="-"/>
    <s v="-"/>
    <s v="-"/>
    <n v="5"/>
    <n v="6"/>
    <s v="-"/>
    <n v="1"/>
    <n v="1"/>
    <n v="2"/>
    <n v="2"/>
    <n v="7"/>
    <n v="8"/>
  </r>
  <r>
    <x v="2"/>
    <x v="71"/>
    <d v="1902-03-25T00:00:00"/>
    <s v="2ND"/>
    <d v="1899-12-30T18:00:00"/>
    <n v="2"/>
    <x v="22"/>
    <n v="3.7000000000000002E-3"/>
    <s v="P"/>
    <s v="P"/>
    <s v="P"/>
    <s v="-"/>
    <s v="-"/>
    <n v="11.03"/>
    <s v="-"/>
    <s v="-"/>
    <s v="-"/>
    <s v="-"/>
    <s v="-"/>
    <s v="-"/>
    <s v="-"/>
    <s v="-"/>
    <s v="P"/>
    <s v="P"/>
    <s v="-"/>
    <n v="2"/>
    <n v="1"/>
    <n v="2"/>
    <n v="1"/>
    <s v="-"/>
    <s v="-"/>
    <s v="-"/>
    <s v="-"/>
    <s v="-"/>
    <s v="-"/>
    <s v="-"/>
    <n v="6"/>
    <n v="6"/>
    <s v="-"/>
    <n v="1"/>
    <n v="1"/>
    <n v="2"/>
    <n v="2"/>
    <n v="8"/>
    <n v="8"/>
  </r>
  <r>
    <x v="2"/>
    <x v="71"/>
    <d v="1902-03-25T00:00:00"/>
    <s v="2ND"/>
    <d v="1899-12-30T19:00:00"/>
    <n v="2"/>
    <x v="22"/>
    <n v="5.1000000000000004E-3"/>
    <s v="P"/>
    <s v="P"/>
    <s v="P"/>
    <s v="-"/>
    <s v="-"/>
    <n v="11.07"/>
    <s v="-"/>
    <s v="-"/>
    <s v="-"/>
    <s v="-"/>
    <s v="-"/>
    <s v="-"/>
    <s v="-"/>
    <s v="-"/>
    <s v="P"/>
    <s v="P"/>
    <s v="-"/>
    <n v="2"/>
    <n v="1"/>
    <n v="2"/>
    <n v="1"/>
    <s v="-"/>
    <s v="-"/>
    <s v="-"/>
    <s v="-"/>
    <s v="-"/>
    <s v="-"/>
    <s v="-"/>
    <n v="6"/>
    <n v="6"/>
    <s v="-"/>
    <n v="1"/>
    <n v="1"/>
    <n v="2"/>
    <n v="2"/>
    <n v="8"/>
    <n v="8"/>
  </r>
  <r>
    <x v="2"/>
    <x v="71"/>
    <d v="1902-03-25T00:00:00"/>
    <s v="2ND"/>
    <d v="1899-12-30T20:00:00"/>
    <n v="2"/>
    <x v="22"/>
    <n v="6.7999999999999996E-3"/>
    <s v="P"/>
    <s v="P"/>
    <s v="P"/>
    <s v="-"/>
    <s v="-"/>
    <n v="10.81"/>
    <s v="-"/>
    <s v="-"/>
    <s v="-"/>
    <s v="-"/>
    <s v="-"/>
    <s v="-"/>
    <s v="-"/>
    <s v="-"/>
    <s v="P"/>
    <s v="P"/>
    <s v="-"/>
    <n v="2"/>
    <n v="1"/>
    <n v="2"/>
    <n v="0"/>
    <s v="-"/>
    <s v="-"/>
    <s v="-"/>
    <s v="-"/>
    <s v="-"/>
    <s v="-"/>
    <s v="-"/>
    <n v="5"/>
    <n v="6"/>
    <s v="-"/>
    <n v="1"/>
    <n v="1"/>
    <n v="2"/>
    <n v="2"/>
    <n v="7"/>
    <n v="8"/>
  </r>
  <r>
    <x v="2"/>
    <x v="71"/>
    <d v="1902-03-25T00:00:00"/>
    <s v="2ND"/>
    <d v="1899-12-30T21:00:00"/>
    <n v="2"/>
    <x v="22"/>
    <n v="3.8999999999999998E-3"/>
    <s v="P"/>
    <s v="P"/>
    <s v="P"/>
    <s v="-"/>
    <s v="-"/>
    <n v="10.76"/>
    <s v="-"/>
    <s v="-"/>
    <s v="-"/>
    <s v="-"/>
    <s v="-"/>
    <s v="-"/>
    <s v="-"/>
    <s v="-"/>
    <s v="P"/>
    <s v="P"/>
    <s v="-"/>
    <n v="2"/>
    <n v="1"/>
    <n v="2"/>
    <n v="0"/>
    <s v="-"/>
    <s v="-"/>
    <s v="-"/>
    <s v="-"/>
    <s v="-"/>
    <s v="-"/>
    <s v="-"/>
    <n v="5"/>
    <n v="6"/>
    <s v="-"/>
    <n v="1"/>
    <n v="1"/>
    <n v="2"/>
    <n v="2"/>
    <n v="7"/>
    <n v="8"/>
  </r>
  <r>
    <x v="2"/>
    <x v="71"/>
    <d v="1902-03-25T00:00:00"/>
    <s v="3RD"/>
    <d v="1899-12-30T22:00:00"/>
    <n v="2"/>
    <x v="22"/>
    <n v="1.0699999999999999E-2"/>
    <s v="P"/>
    <s v="P"/>
    <s v="P"/>
    <s v="-"/>
    <s v="-"/>
    <n v="11.05"/>
    <n v="8.64"/>
    <s v="-"/>
    <s v="-"/>
    <s v="-"/>
    <s v="-"/>
    <n v="23.25"/>
    <s v="-"/>
    <s v="-"/>
    <s v="P"/>
    <s v="P"/>
    <s v="-"/>
    <n v="2"/>
    <n v="1"/>
    <n v="2"/>
    <n v="1"/>
    <n v="1"/>
    <s v="-"/>
    <s v="-"/>
    <s v="-"/>
    <s v="-"/>
    <n v="2"/>
    <s v="-"/>
    <n v="9"/>
    <n v="9"/>
    <s v="-"/>
    <n v="1"/>
    <n v="1"/>
    <n v="2"/>
    <n v="2"/>
    <n v="11"/>
    <n v="11"/>
  </r>
  <r>
    <x v="2"/>
    <x v="71"/>
    <d v="1899-12-30T00:00:00"/>
    <s v="3RD"/>
    <d v="1899-12-31T01:00:00"/>
    <n v="2"/>
    <x v="22"/>
    <n v="4.8999999999999998E-3"/>
    <s v="P"/>
    <s v="P"/>
    <s v="P"/>
    <s v="-"/>
    <s v="-"/>
    <n v="11.03"/>
    <s v="-"/>
    <s v="-"/>
    <s v="-"/>
    <s v="-"/>
    <s v="-"/>
    <s v="-"/>
    <s v="-"/>
    <s v="-"/>
    <s v="P"/>
    <s v="P"/>
    <s v="-"/>
    <n v="2"/>
    <n v="1"/>
    <n v="2"/>
    <n v="1"/>
    <s v="-"/>
    <s v="-"/>
    <s v="-"/>
    <s v="-"/>
    <s v="-"/>
    <s v="-"/>
    <s v="-"/>
    <n v="6"/>
    <n v="6"/>
    <s v="-"/>
    <n v="1"/>
    <n v="1"/>
    <n v="2"/>
    <n v="2"/>
    <n v="8"/>
    <n v="8"/>
  </r>
  <r>
    <x v="2"/>
    <x v="71"/>
    <d v="1899-12-30T00:00:00"/>
    <s v="3RD"/>
    <d v="1899-12-31T02:00:00"/>
    <n v="2"/>
    <x v="22"/>
    <n v="3.3E-3"/>
    <s v="P"/>
    <s v="P"/>
    <s v="P"/>
    <s v="-"/>
    <s v="-"/>
    <n v="11.28"/>
    <s v="-"/>
    <s v="-"/>
    <s v="-"/>
    <s v="-"/>
    <s v="-"/>
    <s v="-"/>
    <s v="-"/>
    <s v="-"/>
    <s v="P"/>
    <s v="P"/>
    <s v="-"/>
    <n v="2"/>
    <n v="1"/>
    <n v="2"/>
    <n v="1"/>
    <s v="-"/>
    <s v="-"/>
    <s v="-"/>
    <s v="-"/>
    <s v="-"/>
    <s v="-"/>
    <s v="-"/>
    <n v="6"/>
    <n v="6"/>
    <s v="-"/>
    <n v="1"/>
    <n v="1"/>
    <n v="2"/>
    <n v="2"/>
    <n v="8"/>
    <n v="8"/>
  </r>
  <r>
    <x v="2"/>
    <x v="72"/>
    <s v="-"/>
    <s v="1ST"/>
    <s v="06:00"/>
    <n v="1"/>
    <x v="7"/>
    <n v="1.3599999999999999E-2"/>
    <s v="P"/>
    <s v="P"/>
    <s v="P"/>
    <s v="-"/>
    <s v="+"/>
    <n v="11.13"/>
    <n v="8.59"/>
    <n v="0.64"/>
    <n v="56.3"/>
    <s v="-"/>
    <s v="-"/>
    <n v="23.2"/>
    <s v="-"/>
    <s v="-"/>
    <s v="P"/>
    <s v="P"/>
    <s v="90% 10%"/>
    <n v="2"/>
    <n v="1"/>
    <n v="2"/>
    <n v="1"/>
    <n v="1"/>
    <n v="0"/>
    <n v="2"/>
    <s v="-"/>
    <s v="-"/>
    <n v="2"/>
    <s v="-"/>
    <n v="11"/>
    <n v="13"/>
    <s v="-"/>
    <n v="1"/>
    <n v="1"/>
    <n v="2"/>
    <n v="2"/>
    <n v="13"/>
    <n v="15"/>
  </r>
  <r>
    <x v="2"/>
    <x v="72"/>
    <d v="2026-03-22T00:00:00"/>
    <s v="1ST"/>
    <s v="07:00"/>
    <n v="1"/>
    <x v="7"/>
    <n v="1.7500000000000002E-2"/>
    <s v="P"/>
    <s v="P"/>
    <s v="P"/>
    <s v="-"/>
    <s v="+"/>
    <n v="10.47"/>
    <n v="8.51"/>
    <n v="0.63"/>
    <n v="55.7"/>
    <s v="-"/>
    <s v="-"/>
    <n v="23"/>
    <s v="-"/>
    <s v="-"/>
    <s v="P"/>
    <s v="P"/>
    <s v="-"/>
    <n v="2"/>
    <n v="1"/>
    <n v="2"/>
    <n v="0"/>
    <n v="1"/>
    <n v="0"/>
    <n v="0"/>
    <s v="-"/>
    <s v="-"/>
    <n v="2"/>
    <s v="-"/>
    <n v="8"/>
    <n v="13"/>
    <s v="-"/>
    <n v="1"/>
    <n v="1"/>
    <n v="2"/>
    <n v="2"/>
    <n v="10"/>
    <n v="15"/>
  </r>
  <r>
    <x v="2"/>
    <x v="72"/>
    <d v="2026-03-22T00:00:00"/>
    <s v="1ST"/>
    <s v="08:00"/>
    <n v="1"/>
    <x v="7"/>
    <n v="1.35E-2"/>
    <s v="P"/>
    <s v="P"/>
    <s v="P"/>
    <s v="-"/>
    <s v="+"/>
    <n v="11.15"/>
    <s v="-"/>
    <s v="-"/>
    <s v="-"/>
    <s v="-"/>
    <s v="-"/>
    <s v="-"/>
    <s v="-"/>
    <s v="-"/>
    <s v="P"/>
    <s v="P"/>
    <s v="-"/>
    <n v="2"/>
    <n v="1"/>
    <n v="2"/>
    <n v="1"/>
    <s v="-"/>
    <s v="-"/>
    <s v="-"/>
    <s v="-"/>
    <s v="-"/>
    <s v="-"/>
    <s v="-"/>
    <n v="6"/>
    <n v="6"/>
    <s v="-"/>
    <n v="1"/>
    <n v="1"/>
    <n v="2"/>
    <n v="2"/>
    <n v="8"/>
    <n v="8"/>
  </r>
  <r>
    <x v="2"/>
    <x v="72"/>
    <d v="2026-03-22T00:00:00"/>
    <s v="1ST"/>
    <s v="09:00"/>
    <n v="1"/>
    <x v="7"/>
    <n v="1.1900000000000001E-2"/>
    <s v="P"/>
    <s v="P"/>
    <s v="P"/>
    <s v="-"/>
    <s v="+"/>
    <n v="10.98"/>
    <s v="-"/>
    <s v="-"/>
    <s v="-"/>
    <s v="-"/>
    <s v="-"/>
    <s v="-"/>
    <s v="-"/>
    <s v="-"/>
    <s v="P"/>
    <s v="P"/>
    <s v="-"/>
    <n v="2"/>
    <n v="1"/>
    <n v="2"/>
    <n v="0"/>
    <s v="-"/>
    <s v="-"/>
    <s v="-"/>
    <s v="-"/>
    <s v="-"/>
    <s v="-"/>
    <s v="-"/>
    <n v="5"/>
    <n v="6"/>
    <s v="-"/>
    <n v="1"/>
    <n v="1"/>
    <n v="2"/>
    <n v="2"/>
    <n v="7"/>
    <n v="8"/>
  </r>
  <r>
    <x v="2"/>
    <x v="72"/>
    <d v="2026-03-22T00:00:00"/>
    <s v="1ST"/>
    <s v="11:00"/>
    <n v="1"/>
    <x v="7"/>
    <n v="1.24E-2"/>
    <s v="P"/>
    <s v="P"/>
    <s v="P"/>
    <s v="-"/>
    <s v="+"/>
    <n v="10.84"/>
    <s v="-"/>
    <s v="-"/>
    <s v="-"/>
    <s v="-"/>
    <s v="-"/>
    <s v="-"/>
    <s v="-"/>
    <s v="-"/>
    <s v="P"/>
    <s v="P"/>
    <s v="-"/>
    <n v="2"/>
    <n v="1"/>
    <n v="2"/>
    <n v="0"/>
    <s v="-"/>
    <s v="-"/>
    <s v="-"/>
    <s v="-"/>
    <s v="-"/>
    <s v="-"/>
    <s v="-"/>
    <n v="5"/>
    <n v="6"/>
    <s v="-"/>
    <n v="1"/>
    <n v="1"/>
    <n v="2"/>
    <n v="2"/>
    <n v="7"/>
    <n v="8"/>
  </r>
  <r>
    <x v="2"/>
    <x v="72"/>
    <d v="2026-03-22T00:00:00"/>
    <s v="1ST"/>
    <s v="12:00"/>
    <n v="1"/>
    <x v="7"/>
    <n v="1.6E-2"/>
    <s v="P"/>
    <s v="P"/>
    <s v="P"/>
    <s v="-"/>
    <s v="+"/>
    <n v="10.58"/>
    <s v="-"/>
    <s v="-"/>
    <s v="-"/>
    <s v="-"/>
    <s v="-"/>
    <s v="-"/>
    <s v="-"/>
    <s v="-"/>
    <s v="P"/>
    <s v="P"/>
    <s v="-"/>
    <n v="2"/>
    <n v="1"/>
    <n v="2"/>
    <n v="0"/>
    <s v="-"/>
    <s v="-"/>
    <s v="-"/>
    <s v="-"/>
    <s v="-"/>
    <s v="-"/>
    <s v="-"/>
    <n v="5"/>
    <n v="6"/>
    <s v="-"/>
    <n v="1"/>
    <n v="1"/>
    <n v="2"/>
    <n v="2"/>
    <n v="7"/>
    <n v="8"/>
  </r>
  <r>
    <x v="2"/>
    <x v="72"/>
    <s v="-"/>
    <s v="2ND"/>
    <d v="1899-12-30T14:00:00"/>
    <n v="1"/>
    <x v="7"/>
    <n v="7.9000000000000008E-3"/>
    <s v="P"/>
    <s v="P"/>
    <s v="P"/>
    <s v="-"/>
    <s v="+"/>
    <n v="10.11"/>
    <n v="8.81"/>
    <s v="-"/>
    <n v="57.3"/>
    <s v="-"/>
    <s v="-"/>
    <n v="23.95"/>
    <s v="-"/>
    <n v="25.16"/>
    <s v="P"/>
    <s v="P"/>
    <s v="-"/>
    <n v="2"/>
    <n v="1"/>
    <n v="2"/>
    <n v="0"/>
    <n v="1"/>
    <s v="-"/>
    <n v="2"/>
    <s v="-"/>
    <s v="-"/>
    <n v="2"/>
    <s v="-"/>
    <n v="10"/>
    <n v="11"/>
    <n v="1"/>
    <n v="1"/>
    <n v="1"/>
    <n v="3"/>
    <n v="3"/>
    <n v="13"/>
    <n v="14"/>
  </r>
  <r>
    <x v="2"/>
    <x v="72"/>
    <d v="2026-03-22T00:00:00"/>
    <s v="2ND"/>
    <d v="1899-12-30T16:00:00"/>
    <n v="1"/>
    <x v="7"/>
    <n v="1.35E-2"/>
    <s v="P"/>
    <s v="P"/>
    <s v="P"/>
    <s v="-"/>
    <s v="+"/>
    <n v="9.93"/>
    <s v="-"/>
    <s v="-"/>
    <s v="-"/>
    <s v="-"/>
    <s v="-"/>
    <s v="-"/>
    <s v="-"/>
    <s v="-"/>
    <s v="P"/>
    <s v="P"/>
    <s v="-"/>
    <n v="2"/>
    <n v="1"/>
    <n v="2"/>
    <n v="0"/>
    <s v="-"/>
    <s v="-"/>
    <s v="-"/>
    <s v="-"/>
    <s v="-"/>
    <s v="-"/>
    <s v="-"/>
    <n v="5"/>
    <n v="6"/>
    <s v="-"/>
    <n v="1"/>
    <n v="1"/>
    <n v="2"/>
    <n v="2"/>
    <n v="7"/>
    <n v="8"/>
  </r>
  <r>
    <x v="2"/>
    <x v="72"/>
    <d v="2026-03-22T00:00:00"/>
    <s v="2ND"/>
    <d v="1899-12-30T17:00:00"/>
    <n v="1"/>
    <x v="7"/>
    <n v="1.17E-2"/>
    <s v="P"/>
    <s v="P"/>
    <s v="P"/>
    <s v="-"/>
    <s v="+"/>
    <n v="10.42"/>
    <s v="-"/>
    <s v="-"/>
    <s v="-"/>
    <s v="-"/>
    <s v="-"/>
    <s v="-"/>
    <s v="-"/>
    <s v="-"/>
    <s v="P"/>
    <s v="P"/>
    <s v="-"/>
    <n v="2"/>
    <n v="1"/>
    <n v="2"/>
    <n v="0"/>
    <s v="-"/>
    <s v="-"/>
    <s v="-"/>
    <s v="-"/>
    <s v="-"/>
    <s v="-"/>
    <s v="-"/>
    <n v="5"/>
    <n v="6"/>
    <s v="-"/>
    <n v="1"/>
    <n v="1"/>
    <n v="2"/>
    <n v="2"/>
    <n v="7"/>
    <n v="8"/>
  </r>
  <r>
    <x v="2"/>
    <x v="72"/>
    <d v="2026-03-22T00:00:00"/>
    <s v="2ND"/>
    <d v="1899-12-30T19:00:00"/>
    <n v="1"/>
    <x v="7"/>
    <n v="1.2999999999999999E-2"/>
    <s v="P"/>
    <s v="P"/>
    <s v="P"/>
    <s v="-"/>
    <s v="+"/>
    <n v="10.59"/>
    <s v="-"/>
    <s v="-"/>
    <s v="-"/>
    <s v="-"/>
    <s v="-"/>
    <s v="-"/>
    <s v="-"/>
    <s v="-"/>
    <s v="P"/>
    <s v="P"/>
    <s v="-"/>
    <n v="2"/>
    <n v="1"/>
    <n v="2"/>
    <n v="0"/>
    <s v="-"/>
    <s v="-"/>
    <s v="-"/>
    <s v="-"/>
    <s v="-"/>
    <s v="-"/>
    <s v="-"/>
    <n v="5"/>
    <n v="6"/>
    <s v="-"/>
    <n v="1"/>
    <n v="1"/>
    <n v="2"/>
    <n v="2"/>
    <n v="7"/>
    <n v="8"/>
  </r>
  <r>
    <x v="2"/>
    <x v="72"/>
    <d v="2026-03-22T00:00:00"/>
    <s v="2ND"/>
    <d v="1899-12-30T20:00:00"/>
    <n v="1"/>
    <x v="7"/>
    <n v="9.4999999999999998E-3"/>
    <s v="P"/>
    <s v="P"/>
    <s v="P"/>
    <s v="-"/>
    <s v="+"/>
    <n v="10.65"/>
    <s v="-"/>
    <s v="-"/>
    <s v="-"/>
    <s v="-"/>
    <s v="-"/>
    <s v="-"/>
    <s v="-"/>
    <s v="-"/>
    <s v="P"/>
    <s v="P"/>
    <s v="-"/>
    <n v="2"/>
    <n v="1"/>
    <n v="2"/>
    <n v="0"/>
    <s v="-"/>
    <s v="-"/>
    <s v="-"/>
    <s v="-"/>
    <s v="-"/>
    <s v="-"/>
    <s v="-"/>
    <n v="5"/>
    <n v="6"/>
    <s v="-"/>
    <n v="1"/>
    <n v="1"/>
    <n v="2"/>
    <n v="2"/>
    <n v="7"/>
    <n v="8"/>
  </r>
  <r>
    <x v="2"/>
    <x v="72"/>
    <d v="2026-03-22T00:00:00"/>
    <s v="2ND"/>
    <d v="1899-12-30T21:00:00"/>
    <n v="1"/>
    <x v="7"/>
    <n v="1.15E-2"/>
    <s v="P"/>
    <s v="P"/>
    <s v="P"/>
    <s v="-"/>
    <s v="+"/>
    <n v="10.67"/>
    <s v="-"/>
    <s v="-"/>
    <s v="-"/>
    <s v="-"/>
    <s v="-"/>
    <s v="-"/>
    <s v="-"/>
    <s v="-"/>
    <s v="P"/>
    <s v="P"/>
    <s v="-"/>
    <n v="2"/>
    <n v="1"/>
    <n v="2"/>
    <n v="0"/>
    <s v="-"/>
    <s v="-"/>
    <s v="-"/>
    <s v="-"/>
    <s v="-"/>
    <s v="-"/>
    <s v="-"/>
    <n v="5"/>
    <n v="6"/>
    <s v="-"/>
    <n v="1"/>
    <n v="1"/>
    <n v="2"/>
    <n v="2"/>
    <n v="7"/>
    <n v="8"/>
  </r>
  <r>
    <x v="2"/>
    <x v="72"/>
    <s v="-"/>
    <s v="1ST"/>
    <s v="06:00"/>
    <n v="1"/>
    <x v="7"/>
    <n v="3.8E-3"/>
    <s v="P"/>
    <s v="P"/>
    <s v="P"/>
    <s v="-"/>
    <s v="+"/>
    <n v="10.71"/>
    <n v="8.68"/>
    <n v="0.68"/>
    <s v="-"/>
    <s v="-"/>
    <s v="-"/>
    <n v="23.43"/>
    <s v="-"/>
    <s v="-"/>
    <s v="P"/>
    <s v="P"/>
    <s v="60% 10% 30%"/>
    <n v="2"/>
    <n v="1"/>
    <n v="2"/>
    <n v="0"/>
    <n v="1"/>
    <n v="0"/>
    <s v="-"/>
    <s v="-"/>
    <s v="-"/>
    <n v="2"/>
    <s v="-"/>
    <n v="8"/>
    <n v="11"/>
    <s v="-"/>
    <n v="1"/>
    <n v="1"/>
    <n v="2"/>
    <n v="2"/>
    <n v="10"/>
    <n v="13"/>
  </r>
  <r>
    <x v="2"/>
    <x v="72"/>
    <d v="2026-03-22T00:00:00"/>
    <s v="1ST"/>
    <s v="07:00"/>
    <n v="1"/>
    <x v="7"/>
    <n v="4.0000000000000001E-3"/>
    <s v="P"/>
    <s v="P"/>
    <s v="P"/>
    <s v="-"/>
    <s v="+"/>
    <n v="10.8"/>
    <s v="-"/>
    <s v="-"/>
    <s v="-"/>
    <s v="-"/>
    <s v="-"/>
    <s v="-"/>
    <s v="-"/>
    <s v="-"/>
    <s v="P"/>
    <s v="P"/>
    <s v="-"/>
    <n v="2"/>
    <n v="1"/>
    <n v="2"/>
    <n v="0"/>
    <s v="-"/>
    <s v="-"/>
    <s v="-"/>
    <s v="-"/>
    <s v="-"/>
    <s v="-"/>
    <s v="-"/>
    <n v="5"/>
    <n v="6"/>
    <s v="-"/>
    <n v="1"/>
    <n v="1"/>
    <n v="2"/>
    <n v="2"/>
    <n v="7"/>
    <n v="8"/>
  </r>
  <r>
    <x v="2"/>
    <x v="72"/>
    <d v="2026-03-22T00:00:00"/>
    <s v="1ST"/>
    <s v="08:00"/>
    <n v="1"/>
    <x v="7"/>
    <n v="3.2000000000000002E-3"/>
    <s v="P"/>
    <s v="P"/>
    <s v="P"/>
    <s v="-"/>
    <s v="+"/>
    <n v="10.82"/>
    <s v="-"/>
    <s v="-"/>
    <s v="-"/>
    <s v="-"/>
    <s v="-"/>
    <s v="-"/>
    <s v="-"/>
    <s v="-"/>
    <s v="P"/>
    <s v="P"/>
    <s v="-"/>
    <n v="2"/>
    <n v="1"/>
    <n v="2"/>
    <n v="0"/>
    <s v="-"/>
    <s v="-"/>
    <s v="-"/>
    <s v="-"/>
    <s v="-"/>
    <s v="-"/>
    <s v="-"/>
    <n v="5"/>
    <n v="6"/>
    <s v="-"/>
    <n v="1"/>
    <n v="1"/>
    <n v="2"/>
    <n v="2"/>
    <n v="7"/>
    <n v="8"/>
  </r>
  <r>
    <x v="2"/>
    <x v="72"/>
    <d v="2026-03-22T00:00:00"/>
    <s v="1ST"/>
    <s v="09:00"/>
    <n v="1"/>
    <x v="7"/>
    <n v="3.8E-3"/>
    <s v="P"/>
    <s v="P"/>
    <s v="P"/>
    <s v="-"/>
    <s v="+"/>
    <n v="10.65"/>
    <s v="-"/>
    <s v="-"/>
    <s v="-"/>
    <s v="-"/>
    <s v="-"/>
    <s v="-"/>
    <s v="-"/>
    <s v="-"/>
    <s v="P"/>
    <s v="P"/>
    <s v="-"/>
    <n v="2"/>
    <n v="1"/>
    <n v="2"/>
    <n v="0"/>
    <s v="-"/>
    <s v="-"/>
    <s v="-"/>
    <s v="-"/>
    <s v="-"/>
    <s v="-"/>
    <s v="-"/>
    <n v="5"/>
    <n v="6"/>
    <s v="-"/>
    <n v="1"/>
    <n v="1"/>
    <n v="2"/>
    <n v="2"/>
    <n v="7"/>
    <n v="8"/>
  </r>
  <r>
    <x v="2"/>
    <x v="72"/>
    <d v="2026-03-22T00:00:00"/>
    <s v="1ST"/>
    <s v="10:00"/>
    <n v="1"/>
    <x v="7"/>
    <n v="4.4999999999999997E-3"/>
    <s v="P"/>
    <s v="P"/>
    <s v="P"/>
    <s v="-"/>
    <s v="+"/>
    <n v="10.69"/>
    <s v="-"/>
    <s v="-"/>
    <s v="-"/>
    <s v="-"/>
    <s v="-"/>
    <s v="-"/>
    <s v="-"/>
    <s v="-"/>
    <s v="P"/>
    <s v="P"/>
    <s v="-"/>
    <n v="2"/>
    <n v="1"/>
    <n v="2"/>
    <n v="0"/>
    <s v="-"/>
    <s v="-"/>
    <s v="-"/>
    <s v="-"/>
    <s v="-"/>
    <s v="-"/>
    <s v="-"/>
    <n v="5"/>
    <n v="6"/>
    <s v="-"/>
    <n v="1"/>
    <n v="1"/>
    <n v="2"/>
    <n v="2"/>
    <n v="7"/>
    <n v="8"/>
  </r>
  <r>
    <x v="2"/>
    <x v="72"/>
    <d v="2026-03-22T00:00:00"/>
    <s v="1ST"/>
    <s v="11:00"/>
    <n v="1"/>
    <x v="7"/>
    <n v="3.7000000000000002E-3"/>
    <s v="P"/>
    <s v="P"/>
    <s v="P"/>
    <s v="-"/>
    <s v="+"/>
    <n v="10.66"/>
    <s v="-"/>
    <s v="-"/>
    <s v="-"/>
    <s v="-"/>
    <s v="-"/>
    <s v="-"/>
    <s v="-"/>
    <s v="-"/>
    <s v="P"/>
    <s v="P"/>
    <s v="-"/>
    <n v="2"/>
    <n v="1"/>
    <n v="2"/>
    <n v="0"/>
    <s v="-"/>
    <s v="-"/>
    <s v="-"/>
    <s v="-"/>
    <s v="-"/>
    <s v="-"/>
    <s v="-"/>
    <n v="5"/>
    <n v="6"/>
    <s v="-"/>
    <n v="1"/>
    <n v="1"/>
    <n v="2"/>
    <n v="2"/>
    <n v="7"/>
    <n v="8"/>
  </r>
  <r>
    <x v="2"/>
    <x v="72"/>
    <d v="2026-03-22T00:00:00"/>
    <s v="1ST"/>
    <s v="12:00"/>
    <n v="1"/>
    <x v="7"/>
    <n v="3.0999999999999999E-3"/>
    <s v="P"/>
    <s v="P"/>
    <s v="P"/>
    <s v="-"/>
    <s v="+"/>
    <n v="10.87"/>
    <s v="-"/>
    <s v="-"/>
    <s v="-"/>
    <s v="-"/>
    <s v="-"/>
    <s v="-"/>
    <s v="-"/>
    <s v="-"/>
    <s v="P"/>
    <s v="P"/>
    <s v="-"/>
    <n v="2"/>
    <n v="1"/>
    <n v="2"/>
    <n v="0"/>
    <s v="-"/>
    <s v="-"/>
    <s v="-"/>
    <s v="-"/>
    <s v="-"/>
    <s v="-"/>
    <s v="-"/>
    <n v="5"/>
    <n v="6"/>
    <s v="-"/>
    <n v="1"/>
    <n v="1"/>
    <n v="2"/>
    <n v="2"/>
    <n v="7"/>
    <n v="8"/>
  </r>
  <r>
    <x v="2"/>
    <x v="72"/>
    <d v="2026-03-22T00:00:00"/>
    <s v="1ST"/>
    <s v="13:00"/>
    <n v="1"/>
    <x v="7"/>
    <n v="4.0000000000000001E-3"/>
    <s v="P"/>
    <s v="P"/>
    <s v="P"/>
    <s v="-"/>
    <s v="+"/>
    <n v="10.76"/>
    <s v="-"/>
    <s v="-"/>
    <s v="-"/>
    <s v="-"/>
    <s v="-"/>
    <s v="-"/>
    <s v="-"/>
    <s v="-"/>
    <s v="P"/>
    <s v="P"/>
    <s v="-"/>
    <n v="2"/>
    <n v="1"/>
    <n v="2"/>
    <n v="0"/>
    <s v="-"/>
    <s v="-"/>
    <s v="-"/>
    <s v="-"/>
    <s v="-"/>
    <s v="-"/>
    <s v="-"/>
    <n v="5"/>
    <n v="6"/>
    <s v="-"/>
    <n v="1"/>
    <n v="1"/>
    <n v="2"/>
    <n v="2"/>
    <n v="7"/>
    <n v="8"/>
  </r>
  <r>
    <x v="2"/>
    <x v="72"/>
    <s v="-"/>
    <s v="1ST"/>
    <s v="06:00"/>
    <n v="1"/>
    <x v="7"/>
    <n v="3.8E-3"/>
    <s v="P"/>
    <s v="P"/>
    <s v="P"/>
    <s v="-"/>
    <s v="+"/>
    <n v="10"/>
    <n v="8.65"/>
    <s v="-"/>
    <n v="57.6"/>
    <s v="-"/>
    <s v="-"/>
    <n v="23.43"/>
    <s v="-"/>
    <n v="25.12"/>
    <s v="-"/>
    <s v="P"/>
    <s v="-"/>
    <n v="2"/>
    <n v="1"/>
    <n v="2"/>
    <n v="0"/>
    <n v="1"/>
    <s v="-"/>
    <n v="2"/>
    <s v="-"/>
    <s v="-"/>
    <n v="2"/>
    <s v="-"/>
    <n v="10"/>
    <n v="11"/>
    <n v="1"/>
    <s v="-"/>
    <n v="1"/>
    <n v="2"/>
    <n v="2"/>
    <n v="12"/>
    <n v="13"/>
  </r>
  <r>
    <x v="2"/>
    <x v="72"/>
    <d v="2026-03-22T00:00:00"/>
    <s v="1ST"/>
    <s v="07:00"/>
    <n v="1"/>
    <x v="7"/>
    <n v="5.4999999999999997E-3"/>
    <s v="P"/>
    <s v="P"/>
    <s v="P"/>
    <s v="-"/>
    <s v="+"/>
    <n v="10.82"/>
    <s v="-"/>
    <s v="-"/>
    <s v="-"/>
    <s v="-"/>
    <s v="-"/>
    <s v="-"/>
    <s v="-"/>
    <s v="-"/>
    <s v="-"/>
    <s v="P"/>
    <s v="-"/>
    <n v="2"/>
    <n v="1"/>
    <n v="2"/>
    <n v="0"/>
    <s v="-"/>
    <s v="-"/>
    <s v="-"/>
    <s v="-"/>
    <s v="-"/>
    <s v="-"/>
    <s v="-"/>
    <n v="5"/>
    <n v="6"/>
    <s v="-"/>
    <s v="-"/>
    <n v="1"/>
    <n v="1"/>
    <n v="1"/>
    <n v="6"/>
    <n v="7"/>
  </r>
  <r>
    <x v="2"/>
    <x v="72"/>
    <d v="2026-03-22T00:00:00"/>
    <s v="1ST"/>
    <s v="08:00"/>
    <n v="1"/>
    <x v="7"/>
    <n v="6.4000000000000003E-3"/>
    <s v="P"/>
    <s v="P"/>
    <s v="P"/>
    <s v="-"/>
    <s v="+"/>
    <n v="10.77"/>
    <s v="-"/>
    <s v="-"/>
    <s v="-"/>
    <s v="-"/>
    <s v="-"/>
    <s v="-"/>
    <s v="-"/>
    <s v="-"/>
    <s v="-"/>
    <s v="P"/>
    <s v="-"/>
    <n v="2"/>
    <n v="1"/>
    <n v="2"/>
    <n v="0"/>
    <s v="-"/>
    <s v="-"/>
    <s v="-"/>
    <s v="-"/>
    <s v="-"/>
    <s v="-"/>
    <s v="-"/>
    <n v="5"/>
    <n v="6"/>
    <s v="-"/>
    <s v="-"/>
    <n v="1"/>
    <n v="1"/>
    <n v="1"/>
    <n v="6"/>
    <n v="7"/>
  </r>
  <r>
    <x v="2"/>
    <x v="72"/>
    <d v="2026-03-22T00:00:00"/>
    <s v="1ST"/>
    <s v="09:00"/>
    <n v="1"/>
    <x v="7"/>
    <n v="3.0999999999999999E-3"/>
    <s v="P"/>
    <s v="P"/>
    <s v="P"/>
    <s v="-"/>
    <s v="+"/>
    <n v="10.59"/>
    <s v="-"/>
    <s v="-"/>
    <s v="-"/>
    <s v="-"/>
    <s v="-"/>
    <s v="-"/>
    <s v="-"/>
    <s v="-"/>
    <s v="-"/>
    <s v="P"/>
    <s v="-"/>
    <n v="2"/>
    <n v="1"/>
    <n v="2"/>
    <n v="0"/>
    <s v="-"/>
    <s v="-"/>
    <s v="-"/>
    <s v="-"/>
    <s v="-"/>
    <s v="-"/>
    <s v="-"/>
    <n v="5"/>
    <n v="6"/>
    <s v="-"/>
    <s v="-"/>
    <n v="1"/>
    <n v="1"/>
    <n v="1"/>
    <n v="6"/>
    <n v="7"/>
  </r>
  <r>
    <x v="2"/>
    <x v="72"/>
    <d v="2026-03-22T00:00:00"/>
    <s v="1ST"/>
    <s v="11:00"/>
    <n v="1"/>
    <x v="7"/>
    <n v="5.4999999999999997E-3"/>
    <s v="P"/>
    <s v="P"/>
    <s v="P"/>
    <s v="-"/>
    <s v="+"/>
    <n v="10.6"/>
    <s v="-"/>
    <s v="-"/>
    <s v="-"/>
    <s v="-"/>
    <s v="-"/>
    <s v="-"/>
    <s v="-"/>
    <s v="-"/>
    <s v="-"/>
    <s v="P"/>
    <s v="-"/>
    <n v="2"/>
    <n v="1"/>
    <n v="2"/>
    <n v="0"/>
    <s v="-"/>
    <s v="-"/>
    <s v="-"/>
    <s v="-"/>
    <s v="-"/>
    <s v="-"/>
    <s v="-"/>
    <n v="5"/>
    <n v="6"/>
    <s v="-"/>
    <s v="-"/>
    <n v="1"/>
    <n v="1"/>
    <n v="1"/>
    <n v="6"/>
    <n v="7"/>
  </r>
  <r>
    <x v="2"/>
    <x v="72"/>
    <d v="1902-03-25T00:00:00"/>
    <s v="1ST"/>
    <s v="06:00"/>
    <n v="2"/>
    <x v="22"/>
    <n v="6.7999999999999996E-3"/>
    <s v="P"/>
    <s v="P"/>
    <s v="P"/>
    <s v="-"/>
    <s v="-"/>
    <n v="11.14"/>
    <n v="8.49"/>
    <n v="0.59"/>
    <n v="54.5"/>
    <s v="-"/>
    <s v="-"/>
    <n v="22.85"/>
    <s v="-"/>
    <s v="-"/>
    <s v="P"/>
    <s v="P"/>
    <s v="-"/>
    <n v="2"/>
    <n v="1"/>
    <n v="2"/>
    <n v="1"/>
    <n v="0"/>
    <n v="2"/>
    <n v="2"/>
    <s v="-"/>
    <s v="-"/>
    <n v="2"/>
    <s v="-"/>
    <n v="12"/>
    <n v="13"/>
    <s v="-"/>
    <n v="1"/>
    <n v="1"/>
    <n v="2"/>
    <n v="2"/>
    <n v="14"/>
    <n v="15"/>
  </r>
  <r>
    <x v="2"/>
    <x v="72"/>
    <d v="1899-12-30T00:00:00"/>
    <s v="1ST"/>
    <s v="07:00"/>
    <n v="2"/>
    <x v="22"/>
    <n v="3.8999999999999998E-3"/>
    <s v="P"/>
    <s v="P"/>
    <s v="P"/>
    <s v="-"/>
    <s v="-"/>
    <n v="11.29"/>
    <s v="-"/>
    <s v="-"/>
    <s v="-"/>
    <s v="-"/>
    <s v="-"/>
    <s v="-"/>
    <s v="-"/>
    <s v="-"/>
    <s v="P"/>
    <s v="P"/>
    <s v="-"/>
    <n v="2"/>
    <n v="1"/>
    <n v="2"/>
    <n v="1"/>
    <s v="-"/>
    <s v="-"/>
    <s v="-"/>
    <s v="-"/>
    <s v="-"/>
    <s v="-"/>
    <s v="-"/>
    <n v="6"/>
    <n v="6"/>
    <s v="-"/>
    <n v="1"/>
    <n v="1"/>
    <n v="2"/>
    <n v="2"/>
    <n v="8"/>
    <n v="8"/>
  </r>
  <r>
    <x v="2"/>
    <x v="72"/>
    <d v="1899-12-30T00:00:00"/>
    <s v="1ST"/>
    <s v="08:00"/>
    <n v="2"/>
    <x v="22"/>
    <n v="5.0000000000000001E-3"/>
    <s v="P"/>
    <s v="P"/>
    <s v="P"/>
    <s v="-"/>
    <s v="-"/>
    <n v="11.27"/>
    <s v="-"/>
    <s v="-"/>
    <s v="-"/>
    <s v="-"/>
    <s v="-"/>
    <s v="-"/>
    <s v="-"/>
    <s v="-"/>
    <s v="P"/>
    <s v="P"/>
    <s v="-"/>
    <n v="2"/>
    <n v="1"/>
    <n v="2"/>
    <n v="1"/>
    <s v="-"/>
    <s v="-"/>
    <s v="-"/>
    <s v="-"/>
    <s v="-"/>
    <s v="-"/>
    <s v="-"/>
    <n v="6"/>
    <n v="6"/>
    <s v="-"/>
    <n v="1"/>
    <n v="1"/>
    <n v="2"/>
    <n v="2"/>
    <n v="8"/>
    <n v="8"/>
  </r>
  <r>
    <x v="2"/>
    <x v="72"/>
    <d v="1899-12-30T00:00:00"/>
    <s v="1ST"/>
    <s v="09:00"/>
    <n v="2"/>
    <x v="22"/>
    <n v="5.3E-3"/>
    <s v="P"/>
    <s v="P"/>
    <s v="P"/>
    <s v="-"/>
    <s v="-"/>
    <n v="11.42"/>
    <s v="-"/>
    <s v="-"/>
    <s v="-"/>
    <s v="-"/>
    <s v="-"/>
    <s v="-"/>
    <s v="-"/>
    <s v="-"/>
    <s v="P"/>
    <s v="P"/>
    <s v="-"/>
    <n v="2"/>
    <n v="1"/>
    <n v="2"/>
    <n v="1"/>
    <s v="-"/>
    <s v="-"/>
    <s v="-"/>
    <s v="-"/>
    <s v="-"/>
    <s v="-"/>
    <s v="-"/>
    <n v="6"/>
    <n v="6"/>
    <s v="-"/>
    <n v="1"/>
    <n v="1"/>
    <n v="2"/>
    <n v="2"/>
    <n v="8"/>
    <n v="8"/>
  </r>
  <r>
    <x v="2"/>
    <x v="72"/>
    <d v="1899-12-30T00:00:00"/>
    <s v="1ST"/>
    <s v="11:00"/>
    <n v="2"/>
    <x v="22"/>
    <n v="1.46E-2"/>
    <s v="P"/>
    <s v="P"/>
    <s v="P"/>
    <s v="-"/>
    <s v="-"/>
    <n v="11.42"/>
    <s v="-"/>
    <s v="-"/>
    <s v="-"/>
    <s v="-"/>
    <s v="-"/>
    <s v="-"/>
    <s v="-"/>
    <s v="-"/>
    <s v="P"/>
    <s v="P"/>
    <s v="-"/>
    <n v="2"/>
    <n v="1"/>
    <n v="2"/>
    <n v="1"/>
    <s v="-"/>
    <s v="-"/>
    <s v="-"/>
    <s v="-"/>
    <s v="-"/>
    <s v="-"/>
    <s v="-"/>
    <n v="6"/>
    <n v="6"/>
    <s v="-"/>
    <n v="1"/>
    <n v="1"/>
    <n v="2"/>
    <n v="2"/>
    <n v="8"/>
    <n v="8"/>
  </r>
  <r>
    <x v="2"/>
    <x v="72"/>
    <d v="1899-12-30T00:00:00"/>
    <s v="1ST"/>
    <s v="12:00"/>
    <n v="2"/>
    <x v="22"/>
    <n v="1.9199999999999998E-2"/>
    <s v="P"/>
    <s v="P"/>
    <s v="P"/>
    <s v="-"/>
    <s v="-"/>
    <n v="10.76"/>
    <n v="8.4"/>
    <s v="-"/>
    <n v="55.7"/>
    <s v="-"/>
    <s v="-"/>
    <n v="22.64"/>
    <s v="-"/>
    <s v="-"/>
    <s v="P"/>
    <s v="P"/>
    <s v="-"/>
    <n v="2"/>
    <n v="1"/>
    <n v="2"/>
    <n v="0"/>
    <n v="0"/>
    <s v="-"/>
    <n v="2"/>
    <s v="-"/>
    <s v="-"/>
    <n v="2"/>
    <s v="-"/>
    <n v="9"/>
    <n v="11"/>
    <s v="-"/>
    <n v="1"/>
    <n v="1"/>
    <n v="2"/>
    <n v="2"/>
    <n v="11"/>
    <n v="13"/>
  </r>
  <r>
    <x v="2"/>
    <x v="72"/>
    <d v="1902-03-25T00:00:00"/>
    <s v="1ST"/>
    <s v="08:00"/>
    <n v="2"/>
    <x v="22"/>
    <n v="4.7000000000000002E-3"/>
    <s v="P"/>
    <s v="P"/>
    <s v="P"/>
    <s v="-"/>
    <s v="-"/>
    <n v="11.12"/>
    <n v="8.4600000000000009"/>
    <s v="-"/>
    <n v="56.5"/>
    <s v="-"/>
    <s v="-"/>
    <n v="22.71"/>
    <s v="-"/>
    <n v="25.11"/>
    <s v="-"/>
    <s v="P"/>
    <s v="-"/>
    <n v="2"/>
    <n v="1"/>
    <n v="2"/>
    <n v="1"/>
    <n v="0"/>
    <s v="-"/>
    <n v="2"/>
    <s v="-"/>
    <s v="-"/>
    <n v="2"/>
    <s v="-"/>
    <n v="10"/>
    <n v="11"/>
    <n v="1"/>
    <s v="-"/>
    <n v="1"/>
    <n v="2"/>
    <n v="2"/>
    <n v="12"/>
    <n v="13"/>
  </r>
  <r>
    <x v="2"/>
    <x v="72"/>
    <d v="1902-03-25T00:00:00"/>
    <s v="1ST"/>
    <s v="09:00"/>
    <n v="2"/>
    <x v="22"/>
    <n v="5.1000000000000004E-3"/>
    <s v="P"/>
    <s v="P"/>
    <s v="P"/>
    <s v="-"/>
    <s v="-"/>
    <n v="11.3"/>
    <s v="-"/>
    <s v="-"/>
    <s v="-"/>
    <s v="-"/>
    <s v="-"/>
    <s v="-"/>
    <s v="-"/>
    <s v="-"/>
    <s v="-"/>
    <s v="P"/>
    <s v="-"/>
    <n v="2"/>
    <n v="1"/>
    <n v="2"/>
    <n v="1"/>
    <s v="-"/>
    <s v="-"/>
    <s v="-"/>
    <s v="-"/>
    <s v="-"/>
    <s v="-"/>
    <s v="-"/>
    <n v="6"/>
    <n v="6"/>
    <s v="-"/>
    <s v="-"/>
    <n v="1"/>
    <n v="1"/>
    <n v="1"/>
    <n v="7"/>
    <n v="7"/>
  </r>
  <r>
    <x v="2"/>
    <x v="72"/>
    <d v="1902-03-25T00:00:00"/>
    <s v="1ST"/>
    <s v="11:00"/>
    <n v="2"/>
    <x v="22"/>
    <n v="6.4000000000000003E-3"/>
    <s v="P"/>
    <s v="P"/>
    <s v="P"/>
    <s v="-"/>
    <s v="-"/>
    <n v="11.2"/>
    <s v="-"/>
    <s v="-"/>
    <s v="-"/>
    <s v="-"/>
    <s v="-"/>
    <s v="-"/>
    <s v="-"/>
    <s v="-"/>
    <s v="-"/>
    <s v="P"/>
    <s v="-"/>
    <n v="2"/>
    <n v="1"/>
    <n v="2"/>
    <n v="1"/>
    <s v="-"/>
    <s v="-"/>
    <s v="-"/>
    <s v="-"/>
    <s v="-"/>
    <s v="-"/>
    <s v="-"/>
    <n v="6"/>
    <n v="6"/>
    <s v="-"/>
    <s v="-"/>
    <n v="1"/>
    <n v="1"/>
    <n v="1"/>
    <n v="7"/>
    <n v="7"/>
  </r>
  <r>
    <x v="3"/>
    <x v="73"/>
    <d v="1902-03-26T00:00:00"/>
    <s v="2ND"/>
    <d v="1899-12-30T18:00:00"/>
    <n v="2"/>
    <x v="5"/>
    <n v="1.8499999999999999E-2"/>
    <s v="P"/>
    <s v="P"/>
    <s v="P"/>
    <s v="-"/>
    <s v="+"/>
    <n v="10.94"/>
    <n v="9.1199999999999992"/>
    <n v="0.56000000000000005"/>
    <n v="54.2"/>
    <n v="8.8000000000000007"/>
    <n v="489"/>
    <n v="24.9"/>
    <s v="-"/>
    <s v="-"/>
    <s v="P"/>
    <s v="P"/>
    <s v="-"/>
    <n v="2"/>
    <n v="1"/>
    <n v="2"/>
    <n v="0"/>
    <n v="1"/>
    <n v="0"/>
    <n v="2"/>
    <s v="-"/>
    <s v="-"/>
    <n v="2"/>
    <s v="-"/>
    <n v="10"/>
    <n v="13"/>
    <s v="-"/>
    <n v="1"/>
    <n v="1"/>
    <n v="2"/>
    <n v="2"/>
    <n v="12"/>
    <n v="15"/>
  </r>
  <r>
    <x v="3"/>
    <x v="73"/>
    <d v="1902-03-26T00:00:00"/>
    <s v="2ND"/>
    <d v="1899-12-30T20:00:00"/>
    <n v="2"/>
    <x v="5"/>
    <n v="1.77E-2"/>
    <s v="P"/>
    <s v="P"/>
    <s v="P"/>
    <s v="-"/>
    <s v="+"/>
    <n v="10.89"/>
    <s v="-"/>
    <s v="-"/>
    <s v="-"/>
    <s v="-"/>
    <s v="-"/>
    <s v="-"/>
    <s v="-"/>
    <s v="-"/>
    <s v="P"/>
    <s v="P"/>
    <s v="-"/>
    <n v="2"/>
    <n v="1"/>
    <n v="2"/>
    <n v="0"/>
    <s v="-"/>
    <s v="-"/>
    <s v="-"/>
    <s v="-"/>
    <s v="-"/>
    <s v="-"/>
    <s v="-"/>
    <n v="5"/>
    <n v="6"/>
    <s v="-"/>
    <n v="1"/>
    <n v="1"/>
    <n v="2"/>
    <n v="2"/>
    <n v="7"/>
    <n v="8"/>
  </r>
  <r>
    <x v="3"/>
    <x v="73"/>
    <d v="1902-03-26T00:00:00"/>
    <s v="2ND"/>
    <d v="1899-12-30T21:00:00"/>
    <n v="2"/>
    <x v="5"/>
    <n v="1.7999999999999999E-2"/>
    <s v="P"/>
    <s v="P"/>
    <s v="P"/>
    <s v="-"/>
    <s v="+"/>
    <n v="11.02"/>
    <s v="-"/>
    <s v="-"/>
    <s v="-"/>
    <s v="-"/>
    <s v="-"/>
    <s v="-"/>
    <s v="-"/>
    <s v="-"/>
    <s v="P"/>
    <s v="P"/>
    <s v="-"/>
    <n v="2"/>
    <n v="1"/>
    <n v="2"/>
    <n v="1"/>
    <s v="-"/>
    <s v="-"/>
    <s v="-"/>
    <s v="-"/>
    <s v="-"/>
    <s v="-"/>
    <s v="-"/>
    <n v="6"/>
    <n v="6"/>
    <s v="-"/>
    <n v="1"/>
    <n v="1"/>
    <n v="2"/>
    <n v="2"/>
    <n v="8"/>
    <n v="8"/>
  </r>
  <r>
    <x v="3"/>
    <x v="73"/>
    <d v="1899-12-30T00:00:00"/>
    <s v="3RD"/>
    <d v="1899-12-30T22:00:00"/>
    <n v="2"/>
    <x v="5"/>
    <n v="1.6500000000000001E-2"/>
    <s v="P"/>
    <s v="P"/>
    <s v="P"/>
    <s v="-"/>
    <s v="+"/>
    <n v="10.29"/>
    <s v="-"/>
    <s v="-"/>
    <s v="-"/>
    <s v="-"/>
    <s v="-"/>
    <s v="-"/>
    <s v="-"/>
    <s v="-"/>
    <s v="-"/>
    <s v="-"/>
    <s v="-"/>
    <n v="2"/>
    <n v="1"/>
    <n v="2"/>
    <n v="0"/>
    <s v="-"/>
    <s v="-"/>
    <s v="-"/>
    <s v="-"/>
    <s v="-"/>
    <s v="-"/>
    <s v="-"/>
    <n v="5"/>
    <n v="6"/>
    <s v="-"/>
    <s v="-"/>
    <s v="-"/>
    <n v="0"/>
    <n v="0"/>
    <n v="5"/>
    <n v="6"/>
  </r>
  <r>
    <x v="3"/>
    <x v="73"/>
    <d v="1899-12-30T00:00:00"/>
    <s v="3RD"/>
    <d v="1899-12-31T00:00:00"/>
    <n v="2"/>
    <x v="21"/>
    <n v="1.37E-2"/>
    <s v="P"/>
    <s v="P"/>
    <s v="P"/>
    <s v="-"/>
    <s v="+"/>
    <n v="10.66"/>
    <n v="8.77"/>
    <n v="0.55000000000000004"/>
    <n v="54.1"/>
    <s v="-"/>
    <s v="-"/>
    <n v="23.8"/>
    <s v="-"/>
    <n v="25.16"/>
    <s v="P"/>
    <s v="P"/>
    <s v="-"/>
    <n v="2"/>
    <n v="1"/>
    <n v="2"/>
    <n v="0"/>
    <s v="-"/>
    <n v="2"/>
    <n v="2"/>
    <s v="-"/>
    <s v="-"/>
    <n v="2"/>
    <s v="-"/>
    <n v="11"/>
    <n v="12"/>
    <n v="1"/>
    <n v="1"/>
    <n v="1"/>
    <n v="3"/>
    <n v="3"/>
    <n v="14"/>
    <n v="15"/>
  </r>
  <r>
    <x v="3"/>
    <x v="73"/>
    <d v="1899-12-30T00:00:00"/>
    <s v="3RD"/>
    <d v="1899-12-31T01:00:00"/>
    <n v="2"/>
    <x v="21"/>
    <n v="1.6799999999999999E-2"/>
    <s v="P"/>
    <s v="P"/>
    <s v="P"/>
    <s v="-"/>
    <s v="+"/>
    <n v="10.06"/>
    <s v="-"/>
    <s v="-"/>
    <s v="-"/>
    <s v="-"/>
    <s v="-"/>
    <s v="-"/>
    <s v="-"/>
    <s v="-"/>
    <s v="P"/>
    <s v="P"/>
    <s v="-"/>
    <n v="2"/>
    <n v="1"/>
    <n v="2"/>
    <n v="0"/>
    <s v="-"/>
    <s v="-"/>
    <s v="-"/>
    <s v="-"/>
    <s v="-"/>
    <s v="-"/>
    <s v="-"/>
    <n v="5"/>
    <n v="6"/>
    <s v="-"/>
    <n v="1"/>
    <n v="1"/>
    <n v="2"/>
    <n v="2"/>
    <n v="7"/>
    <n v="8"/>
  </r>
  <r>
    <x v="3"/>
    <x v="73"/>
    <d v="1899-12-30T00:00:00"/>
    <s v="3RD"/>
    <d v="1899-12-31T03:00:00"/>
    <n v="2"/>
    <x v="21"/>
    <n v="1.5599999999999999E-2"/>
    <s v="P"/>
    <s v="P"/>
    <s v="P"/>
    <s v="-"/>
    <s v="+"/>
    <n v="10.54"/>
    <s v="-"/>
    <s v="-"/>
    <s v="-"/>
    <s v="-"/>
    <s v="-"/>
    <s v="-"/>
    <s v="-"/>
    <s v="-"/>
    <s v="P"/>
    <s v="P"/>
    <s v="-"/>
    <n v="2"/>
    <n v="1"/>
    <n v="2"/>
    <n v="0"/>
    <s v="-"/>
    <s v="-"/>
    <s v="-"/>
    <s v="-"/>
    <s v="-"/>
    <s v="-"/>
    <s v="-"/>
    <n v="5"/>
    <n v="6"/>
    <s v="-"/>
    <n v="1"/>
    <n v="1"/>
    <n v="2"/>
    <n v="2"/>
    <n v="7"/>
    <n v="8"/>
  </r>
  <r>
    <x v="3"/>
    <x v="73"/>
    <d v="1899-12-30T00:00:00"/>
    <s v="3RD"/>
    <d v="1899-12-31T04:00:00"/>
    <n v="2"/>
    <x v="21"/>
    <s v="-"/>
    <s v="P"/>
    <s v="P"/>
    <s v="P"/>
    <s v="-"/>
    <s v="+"/>
    <n v="10.55"/>
    <s v="-"/>
    <s v="-"/>
    <s v="-"/>
    <s v="-"/>
    <s v="-"/>
    <s v="-"/>
    <s v="-"/>
    <s v="-"/>
    <s v="P"/>
    <s v="P"/>
    <s v="-"/>
    <s v="-"/>
    <n v="1"/>
    <n v="2"/>
    <n v="0"/>
    <s v="-"/>
    <s v="-"/>
    <s v="-"/>
    <s v="-"/>
    <s v="-"/>
    <s v="-"/>
    <s v="-"/>
    <n v="3"/>
    <n v="4"/>
    <s v="-"/>
    <n v="1"/>
    <n v="1"/>
    <n v="2"/>
    <n v="2"/>
    <n v="5"/>
    <n v="6"/>
  </r>
  <r>
    <x v="3"/>
    <x v="73"/>
    <d v="1899-12-30T00:00:00"/>
    <s v="3RD"/>
    <d v="1899-12-31T05:00:00"/>
    <n v="2"/>
    <x v="21"/>
    <s v="-"/>
    <s v="P"/>
    <s v="P"/>
    <s v="P"/>
    <s v="-"/>
    <s v="+"/>
    <n v="10.84"/>
    <s v="-"/>
    <s v="-"/>
    <s v="-"/>
    <s v="-"/>
    <s v="-"/>
    <s v="-"/>
    <s v="-"/>
    <s v="-"/>
    <s v="P"/>
    <s v="P"/>
    <s v="-"/>
    <s v="-"/>
    <n v="1"/>
    <n v="2"/>
    <n v="0"/>
    <s v="-"/>
    <s v="-"/>
    <s v="-"/>
    <s v="-"/>
    <s v="-"/>
    <s v="-"/>
    <s v="-"/>
    <n v="3"/>
    <n v="4"/>
    <s v="-"/>
    <n v="1"/>
    <n v="1"/>
    <n v="2"/>
    <n v="2"/>
    <n v="5"/>
    <n v="6"/>
  </r>
  <r>
    <x v="3"/>
    <x v="73"/>
    <d v="2026-04-09T00:00:00"/>
    <s v="2ND"/>
    <d v="1899-12-30T20:00:00"/>
    <n v="1"/>
    <x v="22"/>
    <n v="1.2800000000000001E-2"/>
    <s v="P"/>
    <s v="P"/>
    <s v="P"/>
    <s v="-"/>
    <s v="-"/>
    <n v="11.45"/>
    <n v="8.76"/>
    <n v="0.54"/>
    <n v="54.6"/>
    <n v="9.3000000000000007"/>
    <n v="234"/>
    <n v="23.8"/>
    <s v="-"/>
    <n v="23.15"/>
    <s v="P"/>
    <s v="P"/>
    <s v="-"/>
    <n v="2"/>
    <n v="1"/>
    <n v="2"/>
    <n v="1"/>
    <n v="1"/>
    <n v="2"/>
    <n v="2"/>
    <s v="-"/>
    <s v="-"/>
    <n v="2"/>
    <s v="-"/>
    <n v="13"/>
    <n v="13"/>
    <n v="0"/>
    <n v="1"/>
    <n v="1"/>
    <n v="2"/>
    <n v="3"/>
    <n v="15"/>
    <n v="16"/>
  </r>
  <r>
    <x v="3"/>
    <x v="73"/>
    <d v="2026-04-09T00:00:00"/>
    <s v="2ND"/>
    <d v="1899-12-30T21:00:00"/>
    <n v="1"/>
    <x v="22"/>
    <n v="1.5699999999999999E-2"/>
    <s v="P"/>
    <s v="P"/>
    <s v="P"/>
    <s v="-"/>
    <s v="-"/>
    <n v="11.33"/>
    <s v="-"/>
    <s v="-"/>
    <s v="-"/>
    <s v="-"/>
    <s v="-"/>
    <s v="-"/>
    <s v="-"/>
    <s v="-"/>
    <s v="P"/>
    <s v="P"/>
    <s v="-"/>
    <n v="2"/>
    <n v="1"/>
    <n v="2"/>
    <n v="1"/>
    <s v="-"/>
    <s v="-"/>
    <s v="-"/>
    <s v="-"/>
    <s v="-"/>
    <s v="-"/>
    <s v="-"/>
    <n v="6"/>
    <n v="6"/>
    <s v="-"/>
    <n v="1"/>
    <n v="1"/>
    <n v="2"/>
    <n v="2"/>
    <n v="8"/>
    <n v="8"/>
  </r>
  <r>
    <x v="3"/>
    <x v="73"/>
    <d v="1902-03-26T00:00:00"/>
    <s v="2ND"/>
    <d v="1899-12-30T17:00:00"/>
    <n v="2"/>
    <x v="22"/>
    <n v="1.8700000000000001E-2"/>
    <s v="P"/>
    <s v="P"/>
    <s v="P"/>
    <s v="-"/>
    <s v="+"/>
    <n v="10.73"/>
    <s v="-"/>
    <s v="-"/>
    <s v="-"/>
    <s v="-"/>
    <s v="-"/>
    <s v="-"/>
    <s v="-"/>
    <n v="25.16"/>
    <s v="P"/>
    <s v="P"/>
    <s v="-"/>
    <n v="2"/>
    <n v="1"/>
    <n v="2"/>
    <n v="0"/>
    <s v="-"/>
    <s v="-"/>
    <s v="-"/>
    <s v="-"/>
    <s v="-"/>
    <s v="-"/>
    <s v="-"/>
    <n v="5"/>
    <n v="6"/>
    <n v="1"/>
    <n v="1"/>
    <n v="1"/>
    <n v="3"/>
    <n v="3"/>
    <n v="8"/>
    <n v="9"/>
  </r>
  <r>
    <x v="3"/>
    <x v="73"/>
    <s v="-"/>
    <s v="3RD"/>
    <d v="1899-12-30T22:00:00"/>
    <n v="1"/>
    <x v="22"/>
    <n v="1.49E-2"/>
    <s v="P"/>
    <s v="P"/>
    <s v="P"/>
    <s v="-"/>
    <s v="-"/>
    <n v="11.11"/>
    <n v="8.85"/>
    <s v="-"/>
    <s v="-"/>
    <s v="-"/>
    <s v="-"/>
    <n v="23.9"/>
    <s v="-"/>
    <n v="25.19"/>
    <s v="-"/>
    <s v="-"/>
    <s v="-"/>
    <n v="2"/>
    <n v="1"/>
    <n v="2"/>
    <n v="1"/>
    <n v="1"/>
    <s v="-"/>
    <s v="-"/>
    <s v="-"/>
    <s v="-"/>
    <n v="2"/>
    <s v="-"/>
    <n v="9"/>
    <n v="9"/>
    <n v="1"/>
    <s v="-"/>
    <s v="-"/>
    <n v="1"/>
    <n v="1"/>
    <n v="10"/>
    <n v="10"/>
  </r>
  <r>
    <x v="3"/>
    <x v="73"/>
    <d v="2026-04-09T00:00:00"/>
    <s v="3RD"/>
    <d v="1899-12-31T00:00:00"/>
    <n v="1"/>
    <x v="22"/>
    <n v="1.23E-2"/>
    <s v="P"/>
    <s v="P"/>
    <s v="P"/>
    <s v="-"/>
    <s v="-"/>
    <n v="11.03"/>
    <s v="-"/>
    <s v="-"/>
    <s v="-"/>
    <s v="-"/>
    <s v="-"/>
    <s v="-"/>
    <s v="-"/>
    <s v="-"/>
    <s v="-"/>
    <s v="-"/>
    <s v="-"/>
    <n v="2"/>
    <n v="1"/>
    <n v="2"/>
    <n v="1"/>
    <s v="-"/>
    <s v="-"/>
    <s v="-"/>
    <s v="-"/>
    <s v="-"/>
    <s v="-"/>
    <s v="-"/>
    <n v="6"/>
    <n v="6"/>
    <s v="-"/>
    <s v="-"/>
    <s v="-"/>
    <n v="0"/>
    <n v="0"/>
    <n v="6"/>
    <n v="6"/>
  </r>
  <r>
    <x v="3"/>
    <x v="73"/>
    <d v="2026-04-09T00:00:00"/>
    <s v="3RD"/>
    <d v="1899-12-31T01:00:00"/>
    <n v="1"/>
    <x v="22"/>
    <n v="1.55E-2"/>
    <s v="P"/>
    <s v="P"/>
    <s v="P"/>
    <s v="-"/>
    <s v="-"/>
    <n v="11.07"/>
    <s v="-"/>
    <s v="-"/>
    <s v="-"/>
    <s v="-"/>
    <s v="-"/>
    <s v="-"/>
    <s v="-"/>
    <s v="-"/>
    <s v="-"/>
    <s v="-"/>
    <s v="-"/>
    <n v="2"/>
    <n v="1"/>
    <n v="2"/>
    <n v="1"/>
    <s v="-"/>
    <s v="-"/>
    <s v="-"/>
    <s v="-"/>
    <s v="-"/>
    <s v="-"/>
    <s v="-"/>
    <n v="6"/>
    <n v="6"/>
    <s v="-"/>
    <s v="-"/>
    <s v="-"/>
    <n v="0"/>
    <n v="0"/>
    <n v="6"/>
    <n v="6"/>
  </r>
  <r>
    <x v="3"/>
    <x v="73"/>
    <d v="2026-04-09T00:00:00"/>
    <s v="3RD"/>
    <d v="1899-12-31T03:00:00"/>
    <n v="1"/>
    <x v="22"/>
    <n v="1.49E-2"/>
    <s v="P"/>
    <s v="P"/>
    <s v="P"/>
    <s v="-"/>
    <s v="-"/>
    <n v="11.11"/>
    <s v="-"/>
    <s v="-"/>
    <s v="-"/>
    <s v="-"/>
    <s v="-"/>
    <s v="-"/>
    <s v="-"/>
    <s v="-"/>
    <s v="-"/>
    <s v="-"/>
    <s v="-"/>
    <n v="2"/>
    <n v="1"/>
    <n v="2"/>
    <n v="1"/>
    <s v="-"/>
    <s v="-"/>
    <s v="-"/>
    <s v="-"/>
    <s v="-"/>
    <s v="-"/>
    <s v="-"/>
    <n v="6"/>
    <n v="6"/>
    <s v="-"/>
    <s v="-"/>
    <s v="-"/>
    <n v="0"/>
    <n v="0"/>
    <n v="6"/>
    <n v="6"/>
  </r>
  <r>
    <x v="3"/>
    <x v="73"/>
    <d v="2026-04-09T00:00:00"/>
    <s v="3RD"/>
    <d v="1899-12-31T04:00:00"/>
    <n v="1"/>
    <x v="22"/>
    <s v="-"/>
    <s v="P"/>
    <s v="P"/>
    <s v="P"/>
    <s v="-"/>
    <s v="-"/>
    <n v="11.12"/>
    <s v="-"/>
    <s v="-"/>
    <s v="-"/>
    <s v="-"/>
    <s v="-"/>
    <s v="-"/>
    <s v="-"/>
    <s v="-"/>
    <s v="-"/>
    <s v="-"/>
    <s v="-"/>
    <s v="-"/>
    <n v="1"/>
    <n v="2"/>
    <n v="1"/>
    <s v="-"/>
    <s v="-"/>
    <s v="-"/>
    <s v="-"/>
    <s v="-"/>
    <s v="-"/>
    <s v="-"/>
    <n v="4"/>
    <n v="4"/>
    <s v="-"/>
    <s v="-"/>
    <s v="-"/>
    <n v="0"/>
    <n v="0"/>
    <n v="4"/>
    <n v="4"/>
  </r>
  <r>
    <x v="3"/>
    <x v="73"/>
    <d v="2026-04-09T00:00:00"/>
    <s v="3RD"/>
    <d v="1899-12-31T05:00:00"/>
    <n v="1"/>
    <x v="22"/>
    <s v="-"/>
    <s v="P"/>
    <s v="P"/>
    <s v="P"/>
    <s v="-"/>
    <s v="-"/>
    <n v="11.57"/>
    <s v="-"/>
    <s v="-"/>
    <s v="-"/>
    <s v="-"/>
    <s v="-"/>
    <s v="-"/>
    <s v="-"/>
    <s v="-"/>
    <s v="-"/>
    <s v="-"/>
    <s v="-"/>
    <s v="-"/>
    <n v="1"/>
    <n v="2"/>
    <n v="1"/>
    <s v="-"/>
    <s v="-"/>
    <s v="-"/>
    <s v="-"/>
    <s v="-"/>
    <s v="-"/>
    <s v="-"/>
    <n v="4"/>
    <n v="4"/>
    <s v="-"/>
    <s v="-"/>
    <s v="-"/>
    <n v="0"/>
    <n v="0"/>
    <n v="4"/>
    <n v="4"/>
  </r>
  <r>
    <x v="3"/>
    <x v="74"/>
    <d v="1899-12-30T00:00:00"/>
    <s v="1ST"/>
    <s v="11:00"/>
    <n v="2"/>
    <x v="4"/>
    <n v="6.4000000000000003E-3"/>
    <s v="P"/>
    <s v="P"/>
    <s v="P"/>
    <s v="-"/>
    <s v="+"/>
    <n v="11.1"/>
    <s v="-"/>
    <s v="-"/>
    <s v="-"/>
    <s v="-"/>
    <s v="-"/>
    <s v="-"/>
    <s v="-"/>
    <s v="-"/>
    <s v="P"/>
    <s v="P"/>
    <s v="-"/>
    <n v="2"/>
    <n v="1"/>
    <n v="2"/>
    <n v="1"/>
    <s v="-"/>
    <s v="-"/>
    <s v="-"/>
    <s v="-"/>
    <s v="-"/>
    <s v="-"/>
    <s v="-"/>
    <n v="6"/>
    <n v="6"/>
    <s v="-"/>
    <n v="1"/>
    <n v="1"/>
    <n v="2"/>
    <n v="2"/>
    <n v="8"/>
    <n v="8"/>
  </r>
  <r>
    <x v="3"/>
    <x v="74"/>
    <d v="1899-12-30T00:00:00"/>
    <s v="1ST"/>
    <s v="13:00"/>
    <n v="2"/>
    <x v="4"/>
    <s v="-"/>
    <s v="P"/>
    <s v="P"/>
    <s v="P"/>
    <s v="-"/>
    <s v="+"/>
    <s v="-"/>
    <s v="-"/>
    <s v="-"/>
    <s v="-"/>
    <s v="-"/>
    <s v="-"/>
    <s v="-"/>
    <s v="-"/>
    <s v="-"/>
    <s v="P"/>
    <s v="P"/>
    <s v="-"/>
    <s v="-"/>
    <n v="1"/>
    <n v="2"/>
    <s v="-"/>
    <s v="-"/>
    <s v="-"/>
    <s v="-"/>
    <s v="-"/>
    <s v="-"/>
    <s v="-"/>
    <s v="-"/>
    <n v="3"/>
    <n v="3"/>
    <s v="-"/>
    <n v="1"/>
    <n v="1"/>
    <n v="2"/>
    <n v="2"/>
    <n v="5"/>
    <n v="5"/>
  </r>
  <r>
    <x v="3"/>
    <x v="74"/>
    <d v="1902-03-26T00:00:00"/>
    <s v="1ST"/>
    <s v="06:00"/>
    <n v="2"/>
    <x v="21"/>
    <n v="4.1000000000000003E-3"/>
    <s v="P"/>
    <s v="P"/>
    <s v="P"/>
    <s v="-"/>
    <s v="+"/>
    <n v="11.02"/>
    <n v="8.77"/>
    <n v="0.55000000000000004"/>
    <n v="54.1"/>
    <s v="-"/>
    <s v="-"/>
    <n v="23.8"/>
    <s v="-"/>
    <s v="-"/>
    <s v="P"/>
    <s v="P"/>
    <s v="-"/>
    <n v="2"/>
    <n v="1"/>
    <n v="2"/>
    <n v="1"/>
    <s v="-"/>
    <n v="2"/>
    <n v="2"/>
    <s v="-"/>
    <s v="-"/>
    <n v="2"/>
    <s v="-"/>
    <n v="12"/>
    <n v="12"/>
    <s v="-"/>
    <n v="1"/>
    <n v="1"/>
    <n v="2"/>
    <n v="2"/>
    <n v="14"/>
    <n v="14"/>
  </r>
  <r>
    <x v="3"/>
    <x v="74"/>
    <d v="1899-12-30T00:00:00"/>
    <s v="1ST"/>
    <s v="08:00"/>
    <n v="2"/>
    <x v="21"/>
    <n v="5.1000000000000004E-3"/>
    <s v="P"/>
    <s v="P"/>
    <s v="P"/>
    <s v="-"/>
    <s v="+"/>
    <n v="11.11"/>
    <s v="-"/>
    <s v="-"/>
    <s v="-"/>
    <s v="-"/>
    <s v="-"/>
    <s v="-"/>
    <s v="-"/>
    <s v="-"/>
    <s v="P"/>
    <s v="P"/>
    <s v="-"/>
    <n v="2"/>
    <n v="1"/>
    <n v="2"/>
    <n v="1"/>
    <s v="-"/>
    <s v="-"/>
    <s v="-"/>
    <s v="-"/>
    <s v="-"/>
    <s v="-"/>
    <s v="-"/>
    <n v="6"/>
    <n v="6"/>
    <s v="-"/>
    <n v="1"/>
    <n v="1"/>
    <n v="2"/>
    <n v="2"/>
    <n v="8"/>
    <n v="8"/>
  </r>
  <r>
    <x v="3"/>
    <x v="74"/>
    <s v="-"/>
    <s v="1ST"/>
    <s v="06:00"/>
    <n v="1"/>
    <x v="22"/>
    <n v="8.0000000000000002E-3"/>
    <s v="P"/>
    <s v="P"/>
    <s v="P"/>
    <s v="-"/>
    <s v="-"/>
    <n v="11.7"/>
    <n v="8.5500000000000007"/>
    <n v="0.49"/>
    <n v="55.5"/>
    <s v="-"/>
    <s v="-"/>
    <n v="23.6"/>
    <s v="-"/>
    <s v="-"/>
    <s v="P"/>
    <s v="P"/>
    <n v="1"/>
    <n v="2"/>
    <n v="1"/>
    <n v="2"/>
    <n v="1"/>
    <n v="1"/>
    <n v="0"/>
    <n v="2"/>
    <s v="-"/>
    <s v="-"/>
    <n v="2"/>
    <s v="-"/>
    <n v="11"/>
    <n v="13"/>
    <s v="-"/>
    <n v="1"/>
    <n v="1"/>
    <n v="2"/>
    <n v="2"/>
    <n v="13"/>
    <n v="15"/>
  </r>
  <r>
    <x v="3"/>
    <x v="74"/>
    <d v="2026-04-09T00:00:00"/>
    <s v="1ST"/>
    <s v="08:00"/>
    <n v="1"/>
    <x v="22"/>
    <n v="1.2500000000000001E-2"/>
    <s v="P"/>
    <s v="P"/>
    <s v="P"/>
    <s v="-"/>
    <s v="-"/>
    <n v="11.45"/>
    <s v="-"/>
    <s v="-"/>
    <s v="-"/>
    <s v="-"/>
    <s v="-"/>
    <s v="-"/>
    <s v="-"/>
    <s v="-"/>
    <s v="P"/>
    <s v="P"/>
    <s v="-"/>
    <n v="2"/>
    <n v="1"/>
    <n v="2"/>
    <n v="1"/>
    <s v="-"/>
    <s v="-"/>
    <s v="-"/>
    <s v="-"/>
    <s v="-"/>
    <s v="-"/>
    <s v="-"/>
    <n v="6"/>
    <n v="6"/>
    <s v="-"/>
    <n v="1"/>
    <n v="1"/>
    <n v="2"/>
    <n v="2"/>
    <n v="8"/>
    <n v="8"/>
  </r>
  <r>
    <x v="3"/>
    <x v="74"/>
    <d v="2026-04-09T00:00:00"/>
    <s v="1ST"/>
    <s v="09:00"/>
    <n v="1"/>
    <x v="22"/>
    <n v="1.01E-2"/>
    <s v="P"/>
    <s v="P"/>
    <s v="P"/>
    <s v="-"/>
    <s v="-"/>
    <n v="11.31"/>
    <s v="-"/>
    <s v="-"/>
    <s v="-"/>
    <s v="-"/>
    <s v="-"/>
    <s v="-"/>
    <s v="-"/>
    <s v="-"/>
    <s v="P"/>
    <s v="P"/>
    <s v="-"/>
    <n v="2"/>
    <n v="1"/>
    <n v="2"/>
    <n v="1"/>
    <s v="-"/>
    <s v="-"/>
    <s v="-"/>
    <s v="-"/>
    <s v="-"/>
    <s v="-"/>
    <s v="-"/>
    <n v="6"/>
    <n v="6"/>
    <s v="-"/>
    <n v="1"/>
    <n v="1"/>
    <n v="2"/>
    <n v="2"/>
    <n v="8"/>
    <n v="8"/>
  </r>
  <r>
    <x v="3"/>
    <x v="74"/>
    <d v="2026-04-09T00:00:00"/>
    <s v="1ST"/>
    <s v="11:00"/>
    <n v="1"/>
    <x v="22"/>
    <n v="5.8999999999999999E-3"/>
    <s v="P"/>
    <s v="P"/>
    <s v="P"/>
    <s v="-"/>
    <s v="-"/>
    <n v="11.33"/>
    <s v="-"/>
    <s v="-"/>
    <s v="-"/>
    <s v="-"/>
    <s v="-"/>
    <s v="-"/>
    <s v="-"/>
    <s v="-"/>
    <s v="P"/>
    <s v="P"/>
    <s v="-"/>
    <n v="2"/>
    <n v="1"/>
    <n v="2"/>
    <n v="1"/>
    <s v="-"/>
    <s v="-"/>
    <s v="-"/>
    <s v="-"/>
    <s v="-"/>
    <s v="-"/>
    <s v="-"/>
    <n v="6"/>
    <n v="6"/>
    <s v="-"/>
    <n v="1"/>
    <n v="1"/>
    <n v="2"/>
    <n v="2"/>
    <n v="8"/>
    <n v="8"/>
  </r>
  <r>
    <x v="3"/>
    <x v="74"/>
    <d v="2026-04-09T00:00:00"/>
    <s v="1ST"/>
    <s v="12:00"/>
    <n v="1"/>
    <x v="22"/>
    <n v="6.8999999999999999E-3"/>
    <s v="P"/>
    <s v="P"/>
    <s v="P"/>
    <s v="-"/>
    <s v="-"/>
    <n v="11.52"/>
    <s v="-"/>
    <s v="-"/>
    <s v="-"/>
    <s v="-"/>
    <s v="-"/>
    <s v="-"/>
    <s v="-"/>
    <s v="-"/>
    <s v="P"/>
    <s v="P"/>
    <s v="-"/>
    <n v="2"/>
    <n v="1"/>
    <n v="2"/>
    <n v="1"/>
    <s v="-"/>
    <s v="-"/>
    <s v="-"/>
    <s v="-"/>
    <s v="-"/>
    <s v="-"/>
    <s v="-"/>
    <n v="6"/>
    <n v="6"/>
    <s v="-"/>
    <n v="1"/>
    <n v="1"/>
    <n v="2"/>
    <n v="2"/>
    <n v="8"/>
    <n v="8"/>
  </r>
  <r>
    <x v="3"/>
    <x v="74"/>
    <d v="2026-04-09T00:00:00"/>
    <s v="1ST"/>
    <s v="13:00"/>
    <n v="1"/>
    <x v="22"/>
    <n v="5.4000000000000003E-3"/>
    <s v="P"/>
    <s v="P"/>
    <s v="P"/>
    <s v="-"/>
    <s v="-"/>
    <n v="11.62"/>
    <s v="-"/>
    <s v="-"/>
    <s v="-"/>
    <s v="-"/>
    <s v="-"/>
    <s v="-"/>
    <s v="-"/>
    <s v="-"/>
    <s v="P"/>
    <s v="P"/>
    <s v="-"/>
    <n v="2"/>
    <n v="1"/>
    <n v="2"/>
    <n v="1"/>
    <s v="-"/>
    <s v="-"/>
    <s v="-"/>
    <s v="-"/>
    <s v="-"/>
    <s v="-"/>
    <s v="-"/>
    <n v="6"/>
    <n v="6"/>
    <s v="-"/>
    <n v="1"/>
    <n v="1"/>
    <n v="2"/>
    <n v="2"/>
    <n v="8"/>
    <n v="8"/>
  </r>
  <r>
    <x v="3"/>
    <x v="74"/>
    <s v="-"/>
    <s v="2ND"/>
    <d v="1899-12-30T14:00:00"/>
    <n v="1"/>
    <x v="22"/>
    <n v="3.0999999999999999E-3"/>
    <s v="P"/>
    <s v="P"/>
    <s v="P"/>
    <s v="-"/>
    <s v="-"/>
    <n v="11.51"/>
    <n v="8.84"/>
    <n v="0.5"/>
    <n v="55.5"/>
    <s v="-"/>
    <s v="-"/>
    <n v="23.9"/>
    <s v="-"/>
    <n v="25.16"/>
    <s v="P"/>
    <s v="P"/>
    <s v="-"/>
    <n v="2"/>
    <n v="1"/>
    <n v="2"/>
    <n v="1"/>
    <n v="1"/>
    <n v="2"/>
    <n v="2"/>
    <s v="-"/>
    <s v="-"/>
    <n v="2"/>
    <s v="-"/>
    <n v="13"/>
    <n v="13"/>
    <n v="1"/>
    <n v="1"/>
    <n v="1"/>
    <n v="3"/>
    <n v="3"/>
    <n v="16"/>
    <n v="16"/>
  </r>
  <r>
    <x v="3"/>
    <x v="74"/>
    <d v="2026-04-09T00:00:00"/>
    <s v="2ND"/>
    <d v="1899-12-30T15:00:00"/>
    <n v="1"/>
    <x v="22"/>
    <n v="4.7000000000000002E-3"/>
    <s v="P"/>
    <s v="P"/>
    <s v="P"/>
    <s v="-"/>
    <s v="-"/>
    <n v="11.31"/>
    <s v="-"/>
    <s v="-"/>
    <s v="-"/>
    <s v="-"/>
    <s v="-"/>
    <s v="-"/>
    <s v="-"/>
    <s v="-"/>
    <s v="P"/>
    <s v="P"/>
    <s v="-"/>
    <n v="2"/>
    <n v="1"/>
    <n v="2"/>
    <n v="1"/>
    <s v="-"/>
    <s v="-"/>
    <s v="-"/>
    <s v="-"/>
    <s v="-"/>
    <s v="-"/>
    <s v="-"/>
    <n v="6"/>
    <n v="6"/>
    <s v="-"/>
    <n v="1"/>
    <n v="1"/>
    <n v="2"/>
    <n v="2"/>
    <n v="8"/>
    <n v="8"/>
  </r>
  <r>
    <x v="3"/>
    <x v="74"/>
    <d v="2026-04-09T00:00:00"/>
    <s v="2ND"/>
    <d v="1899-12-30T16:00:00"/>
    <n v="1"/>
    <x v="22"/>
    <n v="9.4999999999999998E-3"/>
    <s v="P"/>
    <s v="P"/>
    <s v="P"/>
    <s v="-"/>
    <s v="-"/>
    <n v="11.42"/>
    <s v="-"/>
    <s v="-"/>
    <s v="-"/>
    <s v="-"/>
    <s v="-"/>
    <s v="-"/>
    <s v="-"/>
    <s v="-"/>
    <s v="P"/>
    <s v="P"/>
    <s v="-"/>
    <n v="2"/>
    <n v="1"/>
    <n v="2"/>
    <n v="1"/>
    <s v="-"/>
    <s v="-"/>
    <s v="-"/>
    <s v="-"/>
    <s v="-"/>
    <s v="-"/>
    <s v="-"/>
    <n v="6"/>
    <n v="6"/>
    <s v="-"/>
    <n v="1"/>
    <n v="1"/>
    <n v="2"/>
    <n v="2"/>
    <n v="8"/>
    <n v="8"/>
  </r>
  <r>
    <x v="3"/>
    <x v="74"/>
    <d v="2026-04-09T00:00:00"/>
    <s v="2ND"/>
    <d v="1899-12-30T17:00:00"/>
    <n v="1"/>
    <x v="22"/>
    <n v="5.1000000000000004E-3"/>
    <s v="P"/>
    <s v="P"/>
    <s v="P"/>
    <s v="-"/>
    <s v="-"/>
    <n v="11.56"/>
    <s v="-"/>
    <s v="-"/>
    <s v="-"/>
    <s v="-"/>
    <s v="-"/>
    <s v="-"/>
    <s v="-"/>
    <s v="-"/>
    <s v="P"/>
    <s v="P"/>
    <s v="-"/>
    <n v="2"/>
    <n v="1"/>
    <n v="2"/>
    <n v="1"/>
    <s v="-"/>
    <s v="-"/>
    <s v="-"/>
    <s v="-"/>
    <s v="-"/>
    <s v="-"/>
    <s v="-"/>
    <n v="6"/>
    <n v="6"/>
    <s v="-"/>
    <n v="1"/>
    <n v="1"/>
    <n v="2"/>
    <n v="2"/>
    <n v="8"/>
    <n v="8"/>
  </r>
  <r>
    <x v="3"/>
    <x v="74"/>
    <d v="2026-04-09T00:00:00"/>
    <s v="2ND"/>
    <d v="1899-12-30T19:00:00"/>
    <n v="1"/>
    <x v="22"/>
    <n v="8.3999999999999995E-3"/>
    <s v="P"/>
    <s v="P"/>
    <s v="P"/>
    <s v="-"/>
    <s v="-"/>
    <n v="11.36"/>
    <s v="-"/>
    <s v="-"/>
    <s v="-"/>
    <s v="-"/>
    <s v="-"/>
    <s v="-"/>
    <s v="-"/>
    <n v="25.19"/>
    <s v="P"/>
    <s v="P"/>
    <s v="-"/>
    <n v="2"/>
    <n v="1"/>
    <n v="2"/>
    <n v="1"/>
    <s v="-"/>
    <s v="-"/>
    <s v="-"/>
    <s v="-"/>
    <s v="-"/>
    <s v="-"/>
    <s v="-"/>
    <n v="6"/>
    <n v="6"/>
    <n v="1"/>
    <n v="1"/>
    <n v="1"/>
    <n v="3"/>
    <n v="3"/>
    <n v="9"/>
    <n v="9"/>
  </r>
  <r>
    <x v="3"/>
    <x v="74"/>
    <d v="2026-04-09T00:00:00"/>
    <s v="2ND"/>
    <d v="1899-12-30T20:00:00"/>
    <n v="1"/>
    <x v="22"/>
    <n v="5.5999999999999999E-3"/>
    <s v="P"/>
    <s v="P"/>
    <s v="P"/>
    <s v="-"/>
    <s v="-"/>
    <n v="10.85"/>
    <s v="-"/>
    <s v="-"/>
    <s v="-"/>
    <s v="-"/>
    <s v="-"/>
    <s v="-"/>
    <s v="-"/>
    <s v="-"/>
    <s v="P"/>
    <s v="P"/>
    <s v="-"/>
    <n v="2"/>
    <n v="1"/>
    <n v="2"/>
    <n v="0"/>
    <s v="-"/>
    <s v="-"/>
    <s v="-"/>
    <s v="-"/>
    <s v="-"/>
    <s v="-"/>
    <s v="-"/>
    <n v="5"/>
    <n v="6"/>
    <s v="-"/>
    <n v="1"/>
    <n v="1"/>
    <n v="2"/>
    <n v="2"/>
    <n v="7"/>
    <n v="8"/>
  </r>
  <r>
    <x v="3"/>
    <x v="74"/>
    <d v="2026-04-09T00:00:00"/>
    <s v="2ND"/>
    <d v="1899-12-30T21:00:00"/>
    <n v="1"/>
    <x v="22"/>
    <n v="8.6999999999999994E-3"/>
    <s v="P"/>
    <s v="P"/>
    <s v="P"/>
    <s v="-"/>
    <s v="-"/>
    <n v="10.98"/>
    <s v="-"/>
    <s v="-"/>
    <s v="-"/>
    <s v="-"/>
    <s v="-"/>
    <s v="-"/>
    <s v="-"/>
    <s v="-"/>
    <s v="P"/>
    <s v="P"/>
    <s v="-"/>
    <n v="2"/>
    <n v="1"/>
    <n v="2"/>
    <n v="0"/>
    <s v="-"/>
    <s v="-"/>
    <s v="-"/>
    <s v="-"/>
    <s v="-"/>
    <s v="-"/>
    <s v="-"/>
    <n v="5"/>
    <n v="6"/>
    <s v="-"/>
    <n v="1"/>
    <n v="1"/>
    <n v="2"/>
    <n v="2"/>
    <n v="7"/>
    <n v="8"/>
  </r>
  <r>
    <x v="3"/>
    <x v="74"/>
    <d v="1899-12-30T00:00:00"/>
    <s v="2ND"/>
    <d v="1899-12-30T14:00:00"/>
    <n v="2"/>
    <x v="22"/>
    <n v="1.06E-2"/>
    <s v="P"/>
    <s v="P"/>
    <s v="P"/>
    <s v="-"/>
    <s v="-"/>
    <n v="10.82"/>
    <n v="9.17"/>
    <n v="0.5"/>
    <n v="55.5"/>
    <s v="-"/>
    <s v="-"/>
    <n v="24.9"/>
    <s v="-"/>
    <s v="-"/>
    <s v="P"/>
    <s v="P"/>
    <s v="-"/>
    <n v="2"/>
    <n v="1"/>
    <n v="2"/>
    <n v="0"/>
    <n v="1"/>
    <n v="2"/>
    <n v="2"/>
    <s v="-"/>
    <s v="-"/>
    <n v="2"/>
    <s v="-"/>
    <n v="12"/>
    <n v="13"/>
    <s v="-"/>
    <n v="1"/>
    <n v="1"/>
    <n v="2"/>
    <n v="2"/>
    <n v="14"/>
    <n v="15"/>
  </r>
  <r>
    <x v="3"/>
    <x v="74"/>
    <d v="1899-12-30T00:00:00"/>
    <s v="2ND"/>
    <d v="1899-12-30T15:00:00"/>
    <n v="2"/>
    <x v="22"/>
    <n v="1.15E-2"/>
    <s v="P"/>
    <s v="P"/>
    <s v="P"/>
    <s v="-"/>
    <s v="-"/>
    <n v="10.83"/>
    <s v="-"/>
    <s v="-"/>
    <s v="-"/>
    <s v="-"/>
    <s v="-"/>
    <s v="-"/>
    <s v="-"/>
    <s v="-"/>
    <s v="P"/>
    <s v="P"/>
    <s v="-"/>
    <n v="2"/>
    <n v="1"/>
    <n v="2"/>
    <n v="0"/>
    <s v="-"/>
    <s v="-"/>
    <s v="-"/>
    <s v="-"/>
    <s v="-"/>
    <s v="-"/>
    <s v="-"/>
    <n v="5"/>
    <n v="6"/>
    <s v="-"/>
    <n v="1"/>
    <n v="1"/>
    <n v="2"/>
    <n v="2"/>
    <n v="7"/>
    <n v="8"/>
  </r>
  <r>
    <x v="3"/>
    <x v="74"/>
    <d v="1899-12-30T00:00:00"/>
    <s v="2ND"/>
    <d v="1899-12-30T16:00:00"/>
    <n v="2"/>
    <x v="22"/>
    <n v="1.32E-2"/>
    <s v="P"/>
    <s v="P"/>
    <s v="P"/>
    <s v="-"/>
    <s v="-"/>
    <n v="10.98"/>
    <s v="-"/>
    <s v="-"/>
    <s v="-"/>
    <s v="-"/>
    <s v="-"/>
    <s v="-"/>
    <s v="-"/>
    <s v="-"/>
    <s v="P"/>
    <s v="P"/>
    <s v="-"/>
    <n v="2"/>
    <n v="1"/>
    <n v="2"/>
    <n v="0"/>
    <s v="-"/>
    <s v="-"/>
    <s v="-"/>
    <s v="-"/>
    <s v="-"/>
    <s v="-"/>
    <s v="-"/>
    <n v="5"/>
    <n v="6"/>
    <s v="-"/>
    <n v="1"/>
    <n v="1"/>
    <n v="2"/>
    <n v="2"/>
    <n v="7"/>
    <n v="8"/>
  </r>
  <r>
    <x v="3"/>
    <x v="74"/>
    <d v="1899-12-30T00:00:00"/>
    <s v="2ND"/>
    <d v="1899-12-30T19:00:00"/>
    <n v="2"/>
    <x v="22"/>
    <n v="1.7600000000000001E-2"/>
    <s v="P"/>
    <s v="P"/>
    <s v="P"/>
    <s v="-"/>
    <s v="-"/>
    <n v="11.19"/>
    <s v="-"/>
    <s v="-"/>
    <s v="-"/>
    <s v="-"/>
    <s v="-"/>
    <s v="-"/>
    <s v="-"/>
    <n v="25.16"/>
    <s v="P"/>
    <s v="P"/>
    <s v="-"/>
    <n v="2"/>
    <n v="1"/>
    <n v="2"/>
    <n v="1"/>
    <s v="-"/>
    <s v="-"/>
    <s v="-"/>
    <s v="-"/>
    <s v="-"/>
    <s v="-"/>
    <s v="-"/>
    <n v="6"/>
    <n v="6"/>
    <n v="1"/>
    <n v="1"/>
    <n v="1"/>
    <n v="3"/>
    <n v="3"/>
    <n v="9"/>
    <n v="9"/>
  </r>
  <r>
    <x v="3"/>
    <x v="74"/>
    <d v="1899-12-30T00:00:00"/>
    <s v="2ND"/>
    <d v="1899-12-30T20:00:00"/>
    <n v="2"/>
    <x v="22"/>
    <n v="1.3899999999999999E-2"/>
    <s v="P"/>
    <s v="P"/>
    <s v="P"/>
    <s v="-"/>
    <s v="-"/>
    <n v="11.02"/>
    <s v="-"/>
    <s v="-"/>
    <s v="-"/>
    <s v="-"/>
    <s v="-"/>
    <s v="-"/>
    <s v="-"/>
    <s v="-"/>
    <s v="P"/>
    <s v="P"/>
    <s v="-"/>
    <n v="2"/>
    <n v="1"/>
    <n v="2"/>
    <n v="1"/>
    <s v="-"/>
    <s v="-"/>
    <s v="-"/>
    <s v="-"/>
    <s v="-"/>
    <s v="-"/>
    <s v="-"/>
    <n v="6"/>
    <n v="6"/>
    <s v="-"/>
    <n v="1"/>
    <n v="1"/>
    <n v="2"/>
    <n v="2"/>
    <n v="8"/>
    <n v="8"/>
  </r>
  <r>
    <x v="3"/>
    <x v="74"/>
    <d v="1899-12-30T00:00:00"/>
    <s v="2ND"/>
    <d v="1899-12-30T21:00:00"/>
    <n v="2"/>
    <x v="22"/>
    <n v="1.61E-2"/>
    <s v="P"/>
    <s v="P"/>
    <s v="P"/>
    <s v="-"/>
    <s v="-"/>
    <n v="10.99"/>
    <s v="-"/>
    <s v="-"/>
    <s v="-"/>
    <s v="-"/>
    <s v="-"/>
    <s v="-"/>
    <s v="-"/>
    <s v="-"/>
    <s v="P"/>
    <s v="P"/>
    <s v="-"/>
    <n v="2"/>
    <n v="1"/>
    <n v="2"/>
    <n v="0"/>
    <s v="-"/>
    <s v="-"/>
    <s v="-"/>
    <s v="-"/>
    <s v="-"/>
    <s v="-"/>
    <s v="-"/>
    <n v="5"/>
    <n v="6"/>
    <s v="-"/>
    <n v="1"/>
    <n v="1"/>
    <n v="2"/>
    <n v="2"/>
    <n v="7"/>
    <n v="8"/>
  </r>
  <r>
    <x v="3"/>
    <x v="74"/>
    <s v="-"/>
    <s v="3RD"/>
    <d v="1899-12-30T22:00:00"/>
    <n v="1"/>
    <x v="22"/>
    <n v="9.2999999999999992E-3"/>
    <s v="P"/>
    <s v="P"/>
    <s v="P"/>
    <s v="-"/>
    <s v="-"/>
    <n v="10.78"/>
    <n v="8.82"/>
    <n v="0.49"/>
    <s v="-"/>
    <s v="-"/>
    <s v="-"/>
    <n v="23.8"/>
    <s v="-"/>
    <n v="25.16"/>
    <s v="P"/>
    <s v="P"/>
    <s v="-"/>
    <n v="2"/>
    <n v="1"/>
    <n v="2"/>
    <n v="0"/>
    <n v="1"/>
    <n v="0"/>
    <s v="-"/>
    <s v="-"/>
    <s v="-"/>
    <n v="2"/>
    <s v="-"/>
    <n v="8"/>
    <n v="11"/>
    <n v="1"/>
    <n v="1"/>
    <n v="1"/>
    <n v="3"/>
    <n v="3"/>
    <n v="11"/>
    <n v="14"/>
  </r>
  <r>
    <x v="3"/>
    <x v="74"/>
    <d v="2026-04-09T00:00:00"/>
    <s v="3RD"/>
    <d v="1899-12-30T23:00:00"/>
    <n v="1"/>
    <x v="22"/>
    <n v="7.7000000000000002E-3"/>
    <s v="P"/>
    <s v="P"/>
    <s v="P"/>
    <s v="-"/>
    <s v="-"/>
    <n v="10.89"/>
    <s v="-"/>
    <s v="-"/>
    <s v="-"/>
    <s v="-"/>
    <s v="-"/>
    <s v="-"/>
    <s v="-"/>
    <s v="-"/>
    <s v="P"/>
    <s v="P"/>
    <s v="-"/>
    <n v="2"/>
    <n v="1"/>
    <n v="2"/>
    <n v="0"/>
    <s v="-"/>
    <s v="-"/>
    <s v="-"/>
    <s v="-"/>
    <s v="-"/>
    <s v="-"/>
    <s v="-"/>
    <n v="5"/>
    <n v="6"/>
    <s v="-"/>
    <n v="1"/>
    <n v="1"/>
    <n v="2"/>
    <n v="2"/>
    <n v="7"/>
    <n v="8"/>
  </r>
  <r>
    <x v="3"/>
    <x v="74"/>
    <d v="2026-04-09T00:00:00"/>
    <s v="3RD"/>
    <d v="1899-12-31T00:00:00"/>
    <n v="1"/>
    <x v="22"/>
    <n v="1.01E-2"/>
    <s v="P"/>
    <s v="P"/>
    <s v="P"/>
    <s v="-"/>
    <s v="-"/>
    <n v="11.29"/>
    <s v="-"/>
    <s v="-"/>
    <s v="-"/>
    <s v="-"/>
    <s v="-"/>
    <s v="-"/>
    <s v="-"/>
    <s v="-"/>
    <s v="P"/>
    <s v="P"/>
    <s v="-"/>
    <n v="2"/>
    <n v="1"/>
    <n v="2"/>
    <n v="1"/>
    <s v="-"/>
    <s v="-"/>
    <s v="-"/>
    <s v="-"/>
    <s v="-"/>
    <s v="-"/>
    <s v="-"/>
    <n v="6"/>
    <n v="6"/>
    <s v="-"/>
    <n v="1"/>
    <n v="1"/>
    <n v="2"/>
    <n v="2"/>
    <n v="8"/>
    <n v="8"/>
  </r>
  <r>
    <x v="3"/>
    <x v="74"/>
    <d v="2026-04-09T00:00:00"/>
    <s v="3RD"/>
    <d v="1899-12-31T01:00:00"/>
    <n v="1"/>
    <x v="22"/>
    <n v="5.7999999999999996E-3"/>
    <s v="P"/>
    <s v="P"/>
    <s v="P"/>
    <s v="-"/>
    <s v="-"/>
    <n v="11.27"/>
    <s v="-"/>
    <s v="-"/>
    <s v="-"/>
    <s v="-"/>
    <s v="-"/>
    <s v="-"/>
    <s v="-"/>
    <s v="-"/>
    <s v="P"/>
    <s v="P"/>
    <s v="-"/>
    <n v="2"/>
    <n v="1"/>
    <n v="2"/>
    <n v="1"/>
    <s v="-"/>
    <s v="-"/>
    <s v="-"/>
    <s v="-"/>
    <s v="-"/>
    <s v="-"/>
    <s v="-"/>
    <n v="6"/>
    <n v="6"/>
    <s v="-"/>
    <n v="1"/>
    <n v="1"/>
    <n v="2"/>
    <n v="2"/>
    <n v="8"/>
    <n v="8"/>
  </r>
  <r>
    <x v="3"/>
    <x v="74"/>
    <d v="2026-04-09T00:00:00"/>
    <s v="3RD"/>
    <d v="1899-12-31T02:00:00"/>
    <n v="1"/>
    <x v="22"/>
    <n v="1.0699999999999999E-2"/>
    <s v="P"/>
    <s v="P"/>
    <s v="P"/>
    <s v="-"/>
    <s v="-"/>
    <n v="11.19"/>
    <s v="-"/>
    <s v="-"/>
    <s v="-"/>
    <s v="-"/>
    <s v="-"/>
    <s v="-"/>
    <s v="-"/>
    <s v="-"/>
    <s v="P"/>
    <s v="P"/>
    <s v="-"/>
    <n v="2"/>
    <n v="1"/>
    <n v="2"/>
    <n v="1"/>
    <s v="-"/>
    <s v="-"/>
    <s v="-"/>
    <s v="-"/>
    <s v="-"/>
    <s v="-"/>
    <s v="-"/>
    <n v="6"/>
    <n v="6"/>
    <s v="-"/>
    <n v="1"/>
    <n v="1"/>
    <n v="2"/>
    <n v="2"/>
    <n v="8"/>
    <n v="8"/>
  </r>
  <r>
    <x v="3"/>
    <x v="74"/>
    <d v="1902-03-25T00:00:00"/>
    <s v="3RD"/>
    <d v="1899-12-31T00:00:00"/>
    <n v="2"/>
    <x v="22"/>
    <n v="1.8700000000000001E-2"/>
    <s v="P"/>
    <s v="P"/>
    <s v="P"/>
    <s v="-"/>
    <s v="-"/>
    <n v="11.35"/>
    <n v="9.19"/>
    <n v="0.49"/>
    <s v="-"/>
    <s v="-"/>
    <s v="-"/>
    <n v="24.9"/>
    <s v="-"/>
    <n v="25.16"/>
    <s v="P"/>
    <s v="P"/>
    <s v="-"/>
    <n v="2"/>
    <n v="1"/>
    <n v="2"/>
    <n v="1"/>
    <n v="1"/>
    <n v="0"/>
    <s v="-"/>
    <s v="-"/>
    <s v="-"/>
    <n v="2"/>
    <s v="-"/>
    <n v="9"/>
    <n v="11"/>
    <n v="1"/>
    <n v="1"/>
    <n v="1"/>
    <n v="3"/>
    <n v="3"/>
    <n v="12"/>
    <n v="14"/>
  </r>
  <r>
    <x v="3"/>
    <x v="74"/>
    <d v="1902-03-25T00:00:00"/>
    <s v="3RD"/>
    <d v="1899-12-31T01:00:00"/>
    <n v="2"/>
    <x v="22"/>
    <n v="1.7299999999999999E-2"/>
    <s v="P"/>
    <s v="P"/>
    <s v="P"/>
    <s v="-"/>
    <s v="-"/>
    <n v="11.15"/>
    <s v="-"/>
    <s v="-"/>
    <s v="-"/>
    <s v="-"/>
    <s v="-"/>
    <s v="-"/>
    <s v="-"/>
    <s v="-"/>
    <s v="P"/>
    <s v="P"/>
    <s v="-"/>
    <n v="2"/>
    <n v="1"/>
    <n v="2"/>
    <n v="1"/>
    <s v="-"/>
    <s v="-"/>
    <s v="-"/>
    <s v="-"/>
    <s v="-"/>
    <s v="-"/>
    <s v="-"/>
    <n v="6"/>
    <n v="6"/>
    <s v="-"/>
    <n v="1"/>
    <n v="1"/>
    <n v="2"/>
    <n v="2"/>
    <n v="8"/>
    <n v="8"/>
  </r>
  <r>
    <x v="3"/>
    <x v="74"/>
    <d v="1902-03-25T00:00:00"/>
    <s v="3RD"/>
    <d v="1899-12-31T02:00:00"/>
    <n v="2"/>
    <x v="22"/>
    <n v="1.6899999999999998E-2"/>
    <s v="P"/>
    <s v="P"/>
    <s v="P"/>
    <s v="-"/>
    <s v="-"/>
    <n v="11.27"/>
    <s v="-"/>
    <s v="-"/>
    <s v="-"/>
    <s v="-"/>
    <s v="-"/>
    <s v="-"/>
    <s v="-"/>
    <s v="-"/>
    <s v="P"/>
    <s v="P"/>
    <s v="-"/>
    <n v="2"/>
    <n v="1"/>
    <n v="2"/>
    <n v="1"/>
    <s v="-"/>
    <s v="-"/>
    <s v="-"/>
    <s v="-"/>
    <s v="-"/>
    <s v="-"/>
    <s v="-"/>
    <n v="6"/>
    <n v="6"/>
    <s v="-"/>
    <n v="1"/>
    <n v="1"/>
    <n v="2"/>
    <n v="2"/>
    <n v="8"/>
    <n v="8"/>
  </r>
  <r>
    <x v="3"/>
    <x v="74"/>
    <d v="1902-03-25T00:00:00"/>
    <s v="3RD"/>
    <d v="1899-12-31T04:00:00"/>
    <n v="2"/>
    <x v="22"/>
    <n v="1.54E-2"/>
    <s v="P"/>
    <s v="P"/>
    <s v="P"/>
    <s v="-"/>
    <s v="-"/>
    <n v="11.62"/>
    <s v="-"/>
    <s v="-"/>
    <s v="-"/>
    <s v="-"/>
    <s v="-"/>
    <s v="-"/>
    <s v="-"/>
    <s v="-"/>
    <s v="P"/>
    <s v="P"/>
    <s v="-"/>
    <n v="2"/>
    <n v="1"/>
    <n v="2"/>
    <n v="1"/>
    <s v="-"/>
    <s v="-"/>
    <s v="-"/>
    <s v="-"/>
    <s v="-"/>
    <s v="-"/>
    <s v="-"/>
    <n v="6"/>
    <n v="6"/>
    <s v="-"/>
    <n v="1"/>
    <n v="1"/>
    <n v="2"/>
    <n v="2"/>
    <n v="8"/>
    <n v="8"/>
  </r>
  <r>
    <x v="3"/>
    <x v="74"/>
    <d v="1902-03-25T00:00:00"/>
    <s v="3RD"/>
    <d v="1899-12-31T05:00:00"/>
    <n v="2"/>
    <x v="22"/>
    <n v="1.7000000000000001E-2"/>
    <s v="P"/>
    <s v="P"/>
    <s v="P"/>
    <s v="-"/>
    <s v="-"/>
    <n v="10.11"/>
    <s v="-"/>
    <s v="-"/>
    <s v="-"/>
    <s v="-"/>
    <s v="-"/>
    <s v="-"/>
    <s v="-"/>
    <s v="-"/>
    <s v="P"/>
    <s v="P"/>
    <s v="-"/>
    <n v="2"/>
    <n v="1"/>
    <n v="2"/>
    <n v="0"/>
    <s v="-"/>
    <s v="-"/>
    <s v="-"/>
    <s v="-"/>
    <s v="-"/>
    <s v="-"/>
    <s v="-"/>
    <n v="5"/>
    <n v="6"/>
    <s v="-"/>
    <n v="1"/>
    <n v="1"/>
    <n v="2"/>
    <n v="2"/>
    <n v="7"/>
    <n v="8"/>
  </r>
  <r>
    <x v="3"/>
    <x v="75"/>
    <s v="-"/>
    <s v="3RD"/>
    <d v="1899-12-30T22:00:00"/>
    <n v="1"/>
    <x v="7"/>
    <n v="1.21E-2"/>
    <s v="P"/>
    <s v="P"/>
    <s v="P"/>
    <s v="-"/>
    <s v="+"/>
    <n v="10.64"/>
    <n v="9.2899999999999991"/>
    <n v="0.61"/>
    <n v="56.9"/>
    <n v="23.1"/>
    <n v="207"/>
    <n v="25.4"/>
    <s v="-"/>
    <s v="-"/>
    <s v="P"/>
    <s v="P"/>
    <s v="90% 10%"/>
    <n v="2"/>
    <n v="1"/>
    <n v="2"/>
    <n v="0"/>
    <n v="1"/>
    <n v="0"/>
    <n v="2"/>
    <n v="1"/>
    <n v="1"/>
    <n v="2"/>
    <s v="-"/>
    <n v="12"/>
    <n v="15"/>
    <s v="-"/>
    <n v="1"/>
    <n v="1"/>
    <n v="2"/>
    <n v="2"/>
    <n v="14"/>
    <n v="17"/>
  </r>
  <r>
    <x v="3"/>
    <x v="75"/>
    <d v="2026-04-10T00:00:00"/>
    <s v="3RD"/>
    <d v="1899-12-30T23:00:00"/>
    <n v="1"/>
    <x v="7"/>
    <s v="-"/>
    <s v="P"/>
    <s v="P"/>
    <s v="P"/>
    <s v="-"/>
    <s v="+"/>
    <s v="-"/>
    <s v="-"/>
    <s v="-"/>
    <s v="-"/>
    <s v="-"/>
    <s v="-"/>
    <s v="-"/>
    <s v="-"/>
    <s v="-"/>
    <s v="P"/>
    <s v="P"/>
    <s v="-"/>
    <s v="-"/>
    <n v="1"/>
    <n v="2"/>
    <s v="-"/>
    <s v="-"/>
    <s v="-"/>
    <s v="-"/>
    <s v="-"/>
    <s v="-"/>
    <s v="-"/>
    <s v="-"/>
    <n v="3"/>
    <n v="3"/>
    <s v="-"/>
    <n v="1"/>
    <n v="1"/>
    <n v="2"/>
    <n v="2"/>
    <n v="5"/>
    <n v="5"/>
  </r>
  <r>
    <x v="3"/>
    <x v="75"/>
    <d v="2026-04-10T00:00:00"/>
    <s v="3RD"/>
    <d v="1899-12-31T00:00:00"/>
    <n v="1"/>
    <x v="7"/>
    <n v="5.5999999999999999E-3"/>
    <s v="P"/>
    <s v="P"/>
    <s v="P"/>
    <s v="-"/>
    <s v="+"/>
    <n v="10.89"/>
    <s v="-"/>
    <s v="-"/>
    <s v="-"/>
    <s v="-"/>
    <s v="-"/>
    <s v="-"/>
    <s v="-"/>
    <s v="-"/>
    <s v="P"/>
    <s v="P"/>
    <s v="-"/>
    <n v="2"/>
    <n v="1"/>
    <n v="2"/>
    <n v="0"/>
    <s v="-"/>
    <s v="-"/>
    <s v="-"/>
    <s v="-"/>
    <s v="-"/>
    <s v="-"/>
    <s v="-"/>
    <n v="5"/>
    <n v="6"/>
    <s v="-"/>
    <n v="1"/>
    <n v="1"/>
    <n v="2"/>
    <n v="2"/>
    <n v="7"/>
    <n v="8"/>
  </r>
  <r>
    <x v="3"/>
    <x v="75"/>
    <d v="2026-04-10T00:00:00"/>
    <s v="3RD"/>
    <d v="1899-12-31T01:00:00"/>
    <n v="1"/>
    <x v="7"/>
    <n v="7.1999999999999998E-3"/>
    <s v="P"/>
    <s v="P"/>
    <s v="P"/>
    <s v="-"/>
    <s v="+"/>
    <n v="10.71"/>
    <s v="-"/>
    <s v="-"/>
    <s v="-"/>
    <s v="-"/>
    <s v="-"/>
    <s v="-"/>
    <s v="-"/>
    <s v="-"/>
    <s v="P"/>
    <s v="P"/>
    <s v="-"/>
    <n v="2"/>
    <n v="1"/>
    <n v="2"/>
    <n v="0"/>
    <s v="-"/>
    <s v="-"/>
    <s v="-"/>
    <s v="-"/>
    <s v="-"/>
    <s v="-"/>
    <s v="-"/>
    <n v="5"/>
    <n v="6"/>
    <s v="-"/>
    <n v="1"/>
    <n v="1"/>
    <n v="2"/>
    <n v="2"/>
    <n v="7"/>
    <n v="8"/>
  </r>
  <r>
    <x v="3"/>
    <x v="75"/>
    <d v="2026-04-10T00:00:00"/>
    <s v="3RD"/>
    <d v="1899-12-31T02:00:00"/>
    <n v="1"/>
    <x v="7"/>
    <n v="8.6E-3"/>
    <s v="P"/>
    <s v="P"/>
    <s v="P"/>
    <s v="-"/>
    <s v="+"/>
    <n v="11.06"/>
    <s v="-"/>
    <s v="-"/>
    <s v="-"/>
    <s v="-"/>
    <s v="-"/>
    <s v="-"/>
    <s v="-"/>
    <s v="-"/>
    <s v="P"/>
    <s v="P"/>
    <s v="-"/>
    <n v="2"/>
    <n v="1"/>
    <n v="2"/>
    <n v="1"/>
    <s v="-"/>
    <s v="-"/>
    <s v="-"/>
    <s v="-"/>
    <s v="-"/>
    <s v="-"/>
    <s v="-"/>
    <n v="6"/>
    <n v="6"/>
    <s v="-"/>
    <n v="1"/>
    <n v="1"/>
    <n v="2"/>
    <n v="2"/>
    <n v="8"/>
    <n v="8"/>
  </r>
  <r>
    <x v="3"/>
    <x v="75"/>
    <d v="2026-04-10T00:00:00"/>
    <s v="3RD"/>
    <d v="1899-12-31T03:00:00"/>
    <n v="1"/>
    <x v="7"/>
    <n v="9.4999999999999998E-3"/>
    <s v="P"/>
    <s v="P"/>
    <s v="P"/>
    <s v="-"/>
    <s v="+"/>
    <n v="10.98"/>
    <s v="-"/>
    <s v="-"/>
    <s v="-"/>
    <s v="-"/>
    <s v="-"/>
    <s v="-"/>
    <s v="-"/>
    <s v="-"/>
    <s v="P"/>
    <s v="P"/>
    <s v="-"/>
    <n v="2"/>
    <n v="1"/>
    <n v="2"/>
    <n v="0"/>
    <s v="-"/>
    <s v="-"/>
    <s v="-"/>
    <s v="-"/>
    <s v="-"/>
    <s v="-"/>
    <s v="-"/>
    <n v="5"/>
    <n v="6"/>
    <s v="-"/>
    <n v="1"/>
    <n v="1"/>
    <n v="2"/>
    <n v="2"/>
    <n v="7"/>
    <n v="8"/>
  </r>
  <r>
    <x v="3"/>
    <x v="75"/>
    <d v="2026-04-10T00:00:00"/>
    <s v="3RD"/>
    <d v="1899-12-31T04:00:00"/>
    <n v="1"/>
    <x v="7"/>
    <n v="1.2200000000000001E-2"/>
    <s v="P"/>
    <s v="P"/>
    <s v="P"/>
    <s v="-"/>
    <s v="+"/>
    <n v="10.89"/>
    <s v="-"/>
    <s v="-"/>
    <s v="-"/>
    <s v="-"/>
    <s v="-"/>
    <s v="-"/>
    <s v="-"/>
    <s v="-"/>
    <s v="P"/>
    <s v="P"/>
    <s v="-"/>
    <n v="2"/>
    <n v="1"/>
    <n v="2"/>
    <n v="0"/>
    <s v="-"/>
    <s v="-"/>
    <s v="-"/>
    <s v="-"/>
    <s v="-"/>
    <s v="-"/>
    <s v="-"/>
    <n v="5"/>
    <n v="6"/>
    <s v="-"/>
    <n v="1"/>
    <n v="1"/>
    <n v="2"/>
    <n v="2"/>
    <n v="7"/>
    <n v="8"/>
  </r>
  <r>
    <x v="3"/>
    <x v="75"/>
    <d v="2026-04-12T00:00:00"/>
    <s v="3RD"/>
    <d v="1899-12-31T01:00:00"/>
    <n v="3"/>
    <x v="36"/>
    <n v="1.38E-2"/>
    <s v="P"/>
    <s v="P"/>
    <s v="P"/>
    <s v="+"/>
    <s v="+"/>
    <n v="12.66"/>
    <n v="13.71"/>
    <n v="0.5"/>
    <n v="63.7"/>
    <n v="18.28"/>
    <n v="1083"/>
    <n v="38.6"/>
    <s v="-"/>
    <s v="-"/>
    <s v="P"/>
    <s v="P"/>
    <n v="1"/>
    <n v="2"/>
    <n v="1"/>
    <n v="2"/>
    <n v="1"/>
    <n v="1"/>
    <n v="2"/>
    <n v="0"/>
    <n v="1"/>
    <n v="1"/>
    <n v="2"/>
    <s v="-"/>
    <n v="13"/>
    <n v="15"/>
    <s v="-"/>
    <n v="1"/>
    <n v="1"/>
    <n v="2"/>
    <n v="2"/>
    <n v="15"/>
    <n v="17"/>
  </r>
  <r>
    <x v="3"/>
    <x v="75"/>
    <d v="2026-04-12T00:00:00"/>
    <s v="3RD"/>
    <d v="1899-12-31T00:00:00"/>
    <n v="3"/>
    <x v="12"/>
    <n v="1.2500000000000001E-2"/>
    <s v="P"/>
    <s v="P"/>
    <s v="P"/>
    <s v="+"/>
    <s v="+"/>
    <n v="12.15"/>
    <n v="14.29"/>
    <n v="0.51"/>
    <n v="64"/>
    <n v="13.8"/>
    <n v="1149"/>
    <n v="40.4"/>
    <s v="-"/>
    <s v="-"/>
    <s v="P"/>
    <s v="P"/>
    <s v="99.5% 0.5%"/>
    <n v="2"/>
    <n v="1"/>
    <n v="2"/>
    <n v="1"/>
    <s v="-"/>
    <n v="2"/>
    <n v="2"/>
    <s v="-"/>
    <s v="-"/>
    <n v="0"/>
    <s v="-"/>
    <n v="10"/>
    <n v="12"/>
    <s v="-"/>
    <n v="1"/>
    <n v="1"/>
    <n v="2"/>
    <n v="2"/>
    <n v="12"/>
    <n v="14"/>
  </r>
  <r>
    <x v="3"/>
    <x v="75"/>
    <d v="1899-12-30T00:00:00"/>
    <s v="3RD"/>
    <d v="1899-12-31T04:00:00"/>
    <n v="2"/>
    <x v="20"/>
    <n v="7.1000000000000004E-3"/>
    <s v="P"/>
    <s v="P"/>
    <s v="P"/>
    <s v="-"/>
    <s v="-"/>
    <n v="11.39"/>
    <n v="12.81"/>
    <n v="0.56999999999999995"/>
    <n v="67"/>
    <n v="23.2"/>
    <n v="440"/>
    <n v="35.700000000000003"/>
    <s v="-"/>
    <s v="-"/>
    <s v="P"/>
    <s v="P"/>
    <s v="-"/>
    <n v="2"/>
    <n v="1"/>
    <n v="2"/>
    <n v="1"/>
    <n v="1"/>
    <n v="2"/>
    <n v="2"/>
    <s v="-"/>
    <s v="-"/>
    <n v="2"/>
    <s v="-"/>
    <n v="13"/>
    <n v="13"/>
    <s v="-"/>
    <n v="1"/>
    <n v="1"/>
    <n v="2"/>
    <n v="2"/>
    <n v="15"/>
    <n v="15"/>
  </r>
  <r>
    <x v="3"/>
    <x v="75"/>
    <d v="1899-12-30T00:00:00"/>
    <s v="3RD"/>
    <d v="1899-12-31T05:00:00"/>
    <n v="2"/>
    <x v="20"/>
    <n v="8.2000000000000007E-3"/>
    <s v="P"/>
    <s v="P"/>
    <s v="P"/>
    <s v="-"/>
    <s v="-"/>
    <n v="11.46"/>
    <s v="-"/>
    <s v="-"/>
    <s v="-"/>
    <s v="-"/>
    <s v="-"/>
    <s v="-"/>
    <s v="-"/>
    <s v="-"/>
    <s v="P"/>
    <s v="P"/>
    <s v="-"/>
    <n v="2"/>
    <n v="1"/>
    <n v="2"/>
    <n v="1"/>
    <s v="-"/>
    <s v="-"/>
    <s v="-"/>
    <s v="-"/>
    <s v="-"/>
    <s v="-"/>
    <s v="-"/>
    <n v="6"/>
    <n v="6"/>
    <s v="-"/>
    <n v="1"/>
    <n v="1"/>
    <n v="2"/>
    <n v="2"/>
    <n v="8"/>
    <n v="8"/>
  </r>
  <r>
    <x v="3"/>
    <x v="75"/>
    <d v="2026-04-12T00:00:00"/>
    <s v="3RD"/>
    <d v="1899-12-31T02:00:00"/>
    <n v="3"/>
    <x v="16"/>
    <n v="1.9599999999999999E-2"/>
    <s v="P"/>
    <s v="P"/>
    <s v="P"/>
    <s v="+"/>
    <s v="+"/>
    <n v="12.98"/>
    <n v="12.97"/>
    <n v="0.55000000000000004"/>
    <n v="63.5"/>
    <n v="12.7"/>
    <n v="1000"/>
    <n v="36.299999999999997"/>
    <s v="-"/>
    <s v="-"/>
    <s v="P"/>
    <s v="P"/>
    <n v="1"/>
    <n v="2"/>
    <n v="1"/>
    <n v="2"/>
    <n v="1"/>
    <n v="1"/>
    <n v="2"/>
    <n v="0"/>
    <n v="1"/>
    <n v="1"/>
    <n v="2"/>
    <s v="-"/>
    <n v="13"/>
    <n v="15"/>
    <s v="-"/>
    <n v="1"/>
    <n v="1"/>
    <n v="2"/>
    <n v="2"/>
    <n v="15"/>
    <n v="17"/>
  </r>
  <r>
    <x v="3"/>
    <x v="75"/>
    <d v="2026-04-12T00:00:00"/>
    <s v="3RD"/>
    <d v="1899-12-31T03:00:00"/>
    <n v="3"/>
    <x v="16"/>
    <n v="1.8800000000000001E-2"/>
    <s v="P"/>
    <s v="P"/>
    <s v="P"/>
    <s v="+"/>
    <s v="+"/>
    <n v="12.99"/>
    <s v="-"/>
    <s v="-"/>
    <s v="-"/>
    <s v="-"/>
    <s v="-"/>
    <s v="-"/>
    <s v="-"/>
    <s v="-"/>
    <s v="P"/>
    <s v="P"/>
    <s v="-"/>
    <n v="2"/>
    <n v="1"/>
    <n v="2"/>
    <n v="1"/>
    <s v="-"/>
    <s v="-"/>
    <s v="-"/>
    <s v="-"/>
    <s v="-"/>
    <s v="-"/>
    <s v="-"/>
    <n v="6"/>
    <n v="6"/>
    <s v="-"/>
    <n v="1"/>
    <n v="1"/>
    <n v="2"/>
    <n v="2"/>
    <n v="8"/>
    <n v="8"/>
  </r>
  <r>
    <x v="3"/>
    <x v="75"/>
    <d v="2026-04-12T00:00:00"/>
    <s v="3RD"/>
    <d v="1899-12-31T04:00:00"/>
    <n v="3"/>
    <x v="16"/>
    <n v="1.38E-2"/>
    <s v="P"/>
    <s v="P"/>
    <s v="P"/>
    <s v="+"/>
    <s v="+"/>
    <n v="12.96"/>
    <s v="-"/>
    <s v="-"/>
    <s v="-"/>
    <s v="-"/>
    <s v="-"/>
    <s v="-"/>
    <s v="-"/>
    <s v="-"/>
    <s v="P"/>
    <s v="P"/>
    <s v="-"/>
    <n v="2"/>
    <n v="1"/>
    <n v="2"/>
    <n v="1"/>
    <s v="-"/>
    <s v="-"/>
    <s v="-"/>
    <s v="-"/>
    <s v="-"/>
    <s v="-"/>
    <s v="-"/>
    <n v="6"/>
    <n v="6"/>
    <s v="-"/>
    <n v="1"/>
    <n v="1"/>
    <n v="2"/>
    <n v="2"/>
    <n v="8"/>
    <n v="8"/>
  </r>
  <r>
    <x v="3"/>
    <x v="75"/>
    <d v="2026-04-09T00:00:00"/>
    <s v="1ST"/>
    <s v="12:00"/>
    <n v="1"/>
    <x v="22"/>
    <n v="1.35E-2"/>
    <s v="P"/>
    <s v="P"/>
    <s v="P"/>
    <s v="-"/>
    <s v="-"/>
    <n v="11.14"/>
    <n v="8.49"/>
    <n v="0.6"/>
    <n v="58"/>
    <s v="-"/>
    <s v="-"/>
    <n v="22.8"/>
    <s v="-"/>
    <s v="-"/>
    <s v="P"/>
    <s v="P"/>
    <n v="1"/>
    <n v="2"/>
    <n v="1"/>
    <n v="2"/>
    <n v="1"/>
    <n v="0"/>
    <n v="2"/>
    <n v="2"/>
    <s v="-"/>
    <s v="-"/>
    <n v="2"/>
    <s v="-"/>
    <n v="12"/>
    <n v="13"/>
    <s v="-"/>
    <n v="1"/>
    <n v="1"/>
    <n v="2"/>
    <n v="2"/>
    <n v="14"/>
    <n v="15"/>
  </r>
  <r>
    <x v="3"/>
    <x v="75"/>
    <d v="1902-03-25T00:00:00"/>
    <s v="1ST"/>
    <s v="06:00"/>
    <n v="2"/>
    <x v="22"/>
    <n v="1.2699999999999999E-2"/>
    <s v="P"/>
    <s v="P"/>
    <s v="P"/>
    <s v="-"/>
    <s v="-"/>
    <n v="10.14"/>
    <s v="-"/>
    <s v="-"/>
    <s v="-"/>
    <s v="-"/>
    <s v="-"/>
    <s v="-"/>
    <s v="-"/>
    <s v="-"/>
    <s v="P"/>
    <s v="P"/>
    <s v="-"/>
    <n v="2"/>
    <n v="1"/>
    <n v="2"/>
    <n v="0"/>
    <s v="-"/>
    <s v="-"/>
    <s v="-"/>
    <s v="-"/>
    <s v="-"/>
    <s v="-"/>
    <s v="-"/>
    <n v="5"/>
    <n v="6"/>
    <s v="-"/>
    <n v="1"/>
    <n v="1"/>
    <n v="2"/>
    <n v="2"/>
    <n v="7"/>
    <n v="8"/>
  </r>
  <r>
    <x v="3"/>
    <x v="75"/>
    <d v="1899-12-30T00:00:00"/>
    <s v="1ST"/>
    <s v="07:00"/>
    <n v="2"/>
    <x v="22"/>
    <n v="1.11E-2"/>
    <s v="P"/>
    <s v="P"/>
    <s v="P"/>
    <s v="-"/>
    <s v="-"/>
    <n v="10.4"/>
    <s v="-"/>
    <s v="-"/>
    <s v="-"/>
    <s v="-"/>
    <s v="-"/>
    <s v="-"/>
    <s v="-"/>
    <s v="-"/>
    <s v="P"/>
    <s v="P"/>
    <s v="-"/>
    <n v="2"/>
    <n v="1"/>
    <n v="2"/>
    <n v="0"/>
    <s v="-"/>
    <s v="-"/>
    <s v="-"/>
    <s v="-"/>
    <s v="-"/>
    <s v="-"/>
    <s v="-"/>
    <n v="5"/>
    <n v="6"/>
    <s v="-"/>
    <n v="1"/>
    <n v="1"/>
    <n v="2"/>
    <n v="2"/>
    <n v="7"/>
    <n v="8"/>
  </r>
  <r>
    <x v="3"/>
    <x v="75"/>
    <d v="1899-12-30T00:00:00"/>
    <s v="1ST"/>
    <s v="08:00"/>
    <n v="2"/>
    <x v="22"/>
    <n v="1.6E-2"/>
    <s v="P"/>
    <s v="P"/>
    <s v="P"/>
    <s v="-"/>
    <s v="-"/>
    <n v="10.86"/>
    <s v="-"/>
    <s v="-"/>
    <s v="-"/>
    <s v="-"/>
    <s v="-"/>
    <s v="-"/>
    <s v="-"/>
    <s v="-"/>
    <s v="P"/>
    <s v="P"/>
    <s v="-"/>
    <n v="2"/>
    <n v="1"/>
    <n v="2"/>
    <n v="0"/>
    <s v="-"/>
    <s v="-"/>
    <s v="-"/>
    <s v="-"/>
    <s v="-"/>
    <s v="-"/>
    <s v="-"/>
    <n v="5"/>
    <n v="6"/>
    <s v="-"/>
    <n v="1"/>
    <n v="1"/>
    <n v="2"/>
    <n v="2"/>
    <n v="7"/>
    <n v="8"/>
  </r>
  <r>
    <x v="3"/>
    <x v="75"/>
    <d v="1899-12-30T00:00:00"/>
    <s v="1ST"/>
    <s v="09:00"/>
    <n v="2"/>
    <x v="22"/>
    <n v="1.6400000000000001E-2"/>
    <s v="P"/>
    <s v="P"/>
    <s v="P"/>
    <s v="-"/>
    <s v="-"/>
    <n v="11.04"/>
    <s v="-"/>
    <s v="-"/>
    <s v="-"/>
    <s v="-"/>
    <s v="-"/>
    <s v="-"/>
    <s v="-"/>
    <s v="-"/>
    <s v="P"/>
    <s v="P"/>
    <s v="-"/>
    <n v="2"/>
    <n v="1"/>
    <n v="2"/>
    <n v="1"/>
    <s v="-"/>
    <s v="-"/>
    <s v="-"/>
    <s v="-"/>
    <s v="-"/>
    <s v="-"/>
    <s v="-"/>
    <n v="6"/>
    <n v="6"/>
    <s v="-"/>
    <n v="1"/>
    <n v="1"/>
    <n v="2"/>
    <n v="2"/>
    <n v="8"/>
    <n v="8"/>
  </r>
  <r>
    <x v="3"/>
    <x v="75"/>
    <d v="1899-12-30T00:00:00"/>
    <s v="1ST"/>
    <s v="11:00"/>
    <n v="2"/>
    <x v="22"/>
    <n v="1.78E-2"/>
    <s v="P"/>
    <s v="P"/>
    <s v="P"/>
    <s v="-"/>
    <s v="-"/>
    <n v="10.98"/>
    <s v="-"/>
    <s v="-"/>
    <s v="-"/>
    <s v="-"/>
    <s v="-"/>
    <s v="-"/>
    <s v="-"/>
    <s v="-"/>
    <s v="P"/>
    <s v="P"/>
    <s v="-"/>
    <n v="2"/>
    <n v="1"/>
    <n v="2"/>
    <n v="0"/>
    <s v="-"/>
    <s v="-"/>
    <s v="-"/>
    <s v="-"/>
    <s v="-"/>
    <s v="-"/>
    <s v="-"/>
    <n v="5"/>
    <n v="6"/>
    <s v="-"/>
    <n v="1"/>
    <n v="1"/>
    <n v="2"/>
    <n v="2"/>
    <n v="7"/>
    <n v="8"/>
  </r>
  <r>
    <x v="3"/>
    <x v="75"/>
    <d v="1899-12-30T00:00:00"/>
    <s v="1ST"/>
    <s v="12:00"/>
    <n v="2"/>
    <x v="22"/>
    <n v="1.35E-2"/>
    <s v="P"/>
    <s v="P"/>
    <s v="P"/>
    <s v="-"/>
    <s v="-"/>
    <n v="11.14"/>
    <s v="-"/>
    <s v="-"/>
    <s v="-"/>
    <s v="-"/>
    <s v="-"/>
    <s v="-"/>
    <s v="-"/>
    <s v="-"/>
    <s v="P"/>
    <s v="P"/>
    <s v="-"/>
    <n v="2"/>
    <n v="1"/>
    <n v="2"/>
    <n v="1"/>
    <s v="-"/>
    <s v="-"/>
    <s v="-"/>
    <s v="-"/>
    <s v="-"/>
    <s v="-"/>
    <s v="-"/>
    <n v="6"/>
    <n v="6"/>
    <s v="-"/>
    <n v="1"/>
    <n v="1"/>
    <n v="2"/>
    <n v="2"/>
    <n v="8"/>
    <n v="8"/>
  </r>
  <r>
    <x v="3"/>
    <x v="75"/>
    <d v="1899-12-30T00:00:00"/>
    <s v="1ST"/>
    <s v="13:00"/>
    <n v="2"/>
    <x v="22"/>
    <n v="1.78E-2"/>
    <s v="P"/>
    <s v="P"/>
    <s v="P"/>
    <s v="-"/>
    <s v="-"/>
    <n v="10.97"/>
    <s v="-"/>
    <s v="-"/>
    <s v="-"/>
    <s v="-"/>
    <s v="-"/>
    <s v="-"/>
    <s v="-"/>
    <s v="-"/>
    <s v="P"/>
    <s v="P"/>
    <s v="-"/>
    <n v="2"/>
    <n v="1"/>
    <n v="2"/>
    <n v="0"/>
    <s v="-"/>
    <s v="-"/>
    <s v="-"/>
    <s v="-"/>
    <s v="-"/>
    <s v="-"/>
    <s v="-"/>
    <n v="5"/>
    <n v="6"/>
    <s v="-"/>
    <n v="1"/>
    <n v="1"/>
    <n v="2"/>
    <n v="2"/>
    <n v="7"/>
    <n v="8"/>
  </r>
  <r>
    <x v="3"/>
    <x v="75"/>
    <s v="-"/>
    <s v="2ND"/>
    <d v="1899-12-30T14:00:00"/>
    <n v="1"/>
    <x v="22"/>
    <n v="2.7000000000000001E-3"/>
    <s v="P"/>
    <s v="P"/>
    <s v="P"/>
    <s v="-"/>
    <s v="-"/>
    <n v="10.68"/>
    <n v="9.2899999999999991"/>
    <s v="-"/>
    <s v="-"/>
    <s v="-"/>
    <s v="-"/>
    <n v="25.3"/>
    <s v="-"/>
    <s v="-"/>
    <s v="P"/>
    <s v="P"/>
    <s v="-"/>
    <n v="2"/>
    <n v="1"/>
    <n v="2"/>
    <n v="0"/>
    <n v="1"/>
    <s v="-"/>
    <s v="-"/>
    <s v="-"/>
    <s v="-"/>
    <n v="2"/>
    <s v="-"/>
    <n v="8"/>
    <n v="9"/>
    <s v="-"/>
    <n v="1"/>
    <n v="1"/>
    <n v="2"/>
    <n v="2"/>
    <n v="10"/>
    <n v="11"/>
  </r>
  <r>
    <x v="3"/>
    <x v="75"/>
    <d v="1899-12-30T00:00:00"/>
    <s v="2ND"/>
    <d v="1899-12-30T14:00:00"/>
    <n v="2"/>
    <x v="22"/>
    <n v="1.8200000000000001E-2"/>
    <s v="P"/>
    <s v="P"/>
    <s v="P"/>
    <s v="-"/>
    <s v="-"/>
    <n v="10.76"/>
    <s v="-"/>
    <s v="-"/>
    <s v="-"/>
    <s v="-"/>
    <s v="-"/>
    <s v="-"/>
    <s v="-"/>
    <s v="-"/>
    <s v="P"/>
    <s v="P"/>
    <s v="-"/>
    <n v="2"/>
    <n v="1"/>
    <n v="2"/>
    <n v="0"/>
    <s v="-"/>
    <s v="-"/>
    <s v="-"/>
    <s v="-"/>
    <s v="-"/>
    <s v="-"/>
    <s v="-"/>
    <n v="5"/>
    <n v="6"/>
    <s v="-"/>
    <n v="1"/>
    <n v="1"/>
    <n v="2"/>
    <n v="2"/>
    <n v="7"/>
    <n v="8"/>
  </r>
  <r>
    <x v="3"/>
    <x v="75"/>
    <d v="1899-12-30T00:00:00"/>
    <s v="2ND"/>
    <d v="1899-12-30T15:00:00"/>
    <n v="2"/>
    <x v="22"/>
    <n v="1.5299999999999999E-2"/>
    <s v="P"/>
    <s v="P"/>
    <s v="P"/>
    <s v="-"/>
    <s v="-"/>
    <n v="10.91"/>
    <s v="-"/>
    <s v="-"/>
    <s v="-"/>
    <s v="-"/>
    <s v="-"/>
    <s v="-"/>
    <s v="-"/>
    <s v="-"/>
    <s v="P"/>
    <s v="P"/>
    <s v="-"/>
    <n v="2"/>
    <n v="1"/>
    <n v="2"/>
    <n v="0"/>
    <s v="-"/>
    <s v="-"/>
    <s v="-"/>
    <s v="-"/>
    <s v="-"/>
    <s v="-"/>
    <s v="-"/>
    <n v="5"/>
    <n v="6"/>
    <s v="-"/>
    <n v="1"/>
    <n v="1"/>
    <n v="2"/>
    <n v="2"/>
    <n v="7"/>
    <n v="8"/>
  </r>
  <r>
    <x v="3"/>
    <x v="75"/>
    <d v="1899-12-30T00:00:00"/>
    <s v="2ND"/>
    <d v="1899-12-30T16:00:00"/>
    <n v="2"/>
    <x v="22"/>
    <n v="8.0000000000000002E-3"/>
    <s v="P"/>
    <s v="P"/>
    <s v="P"/>
    <s v="-"/>
    <s v="-"/>
    <n v="11.26"/>
    <n v="8.1"/>
    <s v="-"/>
    <n v="56"/>
    <s v="-"/>
    <s v="-"/>
    <n v="21.7"/>
    <s v="-"/>
    <s v="-"/>
    <s v="P"/>
    <s v="P"/>
    <s v="-"/>
    <n v="2"/>
    <n v="1"/>
    <n v="2"/>
    <n v="1"/>
    <n v="0"/>
    <s v="-"/>
    <n v="2"/>
    <s v="-"/>
    <s v="-"/>
    <n v="2"/>
    <s v="-"/>
    <n v="10"/>
    <n v="11"/>
    <s v="-"/>
    <n v="1"/>
    <n v="1"/>
    <n v="2"/>
    <n v="2"/>
    <n v="12"/>
    <n v="13"/>
  </r>
  <r>
    <x v="3"/>
    <x v="75"/>
    <d v="1899-12-30T00:00:00"/>
    <s v="2ND"/>
    <d v="1899-12-30T17:00:00"/>
    <n v="2"/>
    <x v="22"/>
    <n v="1.26E-2"/>
    <s v="P"/>
    <s v="P"/>
    <s v="P"/>
    <s v="-"/>
    <s v="-"/>
    <n v="11.49"/>
    <s v="-"/>
    <s v="-"/>
    <s v="-"/>
    <s v="-"/>
    <s v="-"/>
    <s v="-"/>
    <s v="-"/>
    <s v="-"/>
    <s v="P"/>
    <s v="P"/>
    <s v="-"/>
    <n v="2"/>
    <n v="1"/>
    <n v="2"/>
    <n v="1"/>
    <s v="-"/>
    <s v="-"/>
    <s v="-"/>
    <s v="-"/>
    <s v="-"/>
    <s v="-"/>
    <s v="-"/>
    <n v="6"/>
    <n v="6"/>
    <s v="-"/>
    <n v="1"/>
    <n v="1"/>
    <n v="2"/>
    <n v="2"/>
    <n v="8"/>
    <n v="8"/>
  </r>
  <r>
    <x v="3"/>
    <x v="75"/>
    <d v="1899-12-30T00:00:00"/>
    <s v="2ND"/>
    <d v="1899-12-30T18:00:00"/>
    <n v="2"/>
    <x v="22"/>
    <n v="1.2500000000000001E-2"/>
    <s v="P"/>
    <s v="P"/>
    <s v="P"/>
    <s v="-"/>
    <s v="-"/>
    <n v="11.52"/>
    <s v="-"/>
    <s v="-"/>
    <s v="-"/>
    <s v="-"/>
    <s v="-"/>
    <s v="-"/>
    <s v="-"/>
    <s v="-"/>
    <s v="P"/>
    <s v="P"/>
    <s v="-"/>
    <n v="2"/>
    <n v="1"/>
    <n v="2"/>
    <n v="1"/>
    <s v="-"/>
    <s v="-"/>
    <s v="-"/>
    <s v="-"/>
    <s v="-"/>
    <s v="-"/>
    <s v="-"/>
    <n v="6"/>
    <n v="6"/>
    <s v="-"/>
    <n v="1"/>
    <n v="1"/>
    <n v="2"/>
    <n v="2"/>
    <n v="8"/>
    <n v="8"/>
  </r>
  <r>
    <x v="3"/>
    <x v="75"/>
    <d v="1899-12-30T00:00:00"/>
    <s v="2ND"/>
    <d v="1899-12-30T19:00:00"/>
    <n v="2"/>
    <x v="22"/>
    <n v="1.4999999999999999E-2"/>
    <s v="P"/>
    <s v="P"/>
    <s v="P"/>
    <s v="-"/>
    <s v="-"/>
    <n v="11.9"/>
    <s v="-"/>
    <s v="-"/>
    <s v="-"/>
    <s v="-"/>
    <s v="-"/>
    <s v="-"/>
    <s v="-"/>
    <s v="-"/>
    <s v="P"/>
    <s v="P"/>
    <s v="-"/>
    <n v="2"/>
    <n v="1"/>
    <n v="2"/>
    <n v="1"/>
    <s v="-"/>
    <s v="-"/>
    <s v="-"/>
    <s v="-"/>
    <s v="-"/>
    <s v="-"/>
    <s v="-"/>
    <n v="6"/>
    <n v="6"/>
    <s v="-"/>
    <n v="1"/>
    <n v="1"/>
    <n v="2"/>
    <n v="2"/>
    <n v="8"/>
    <n v="8"/>
  </r>
  <r>
    <x v="3"/>
    <x v="75"/>
    <d v="1899-12-30T00:00:00"/>
    <s v="2ND"/>
    <d v="1899-12-30T20:00:00"/>
    <n v="2"/>
    <x v="22"/>
    <n v="1.7100000000000001E-2"/>
    <s v="P"/>
    <s v="P"/>
    <s v="P"/>
    <s v="-"/>
    <s v="-"/>
    <n v="11.43"/>
    <s v="-"/>
    <s v="-"/>
    <s v="-"/>
    <s v="-"/>
    <s v="-"/>
    <s v="-"/>
    <s v="-"/>
    <s v="-"/>
    <s v="P"/>
    <s v="P"/>
    <s v="-"/>
    <n v="2"/>
    <n v="1"/>
    <n v="2"/>
    <n v="1"/>
    <s v="-"/>
    <s v="-"/>
    <s v="-"/>
    <s v="-"/>
    <s v="-"/>
    <s v="-"/>
    <s v="-"/>
    <n v="6"/>
    <n v="6"/>
    <s v="-"/>
    <n v="1"/>
    <n v="1"/>
    <n v="2"/>
    <n v="2"/>
    <n v="8"/>
    <n v="8"/>
  </r>
  <r>
    <x v="3"/>
    <x v="75"/>
    <d v="1899-12-30T00:00:00"/>
    <s v="2ND"/>
    <d v="1899-12-30T21:00:00"/>
    <n v="2"/>
    <x v="22"/>
    <n v="1.66E-2"/>
    <s v="P"/>
    <s v="P"/>
    <s v="P"/>
    <s v="-"/>
    <s v="-"/>
    <n v="11.29"/>
    <s v="-"/>
    <s v="-"/>
    <s v="-"/>
    <s v="-"/>
    <s v="-"/>
    <s v="-"/>
    <s v="-"/>
    <s v="-"/>
    <s v="P"/>
    <s v="P"/>
    <s v="-"/>
    <n v="2"/>
    <n v="1"/>
    <n v="2"/>
    <n v="1"/>
    <s v="-"/>
    <s v="-"/>
    <s v="-"/>
    <s v="-"/>
    <s v="-"/>
    <s v="-"/>
    <s v="-"/>
    <n v="6"/>
    <n v="6"/>
    <s v="-"/>
    <n v="1"/>
    <n v="1"/>
    <n v="2"/>
    <n v="2"/>
    <n v="8"/>
    <n v="8"/>
  </r>
  <r>
    <x v="3"/>
    <x v="75"/>
    <d v="1902-03-25T00:00:00"/>
    <s v="3RD"/>
    <d v="1899-12-30T22:00:00"/>
    <n v="2"/>
    <x v="22"/>
    <n v="7.3000000000000001E-3"/>
    <s v="P"/>
    <s v="P"/>
    <s v="P"/>
    <s v="-"/>
    <s v="-"/>
    <n v="11.36"/>
    <n v="23.8"/>
    <s v="-"/>
    <s v="-"/>
    <s v="-"/>
    <s v="-"/>
    <n v="21.8"/>
    <s v="-"/>
    <s v="-"/>
    <s v="P"/>
    <s v="P"/>
    <s v="-"/>
    <n v="2"/>
    <n v="1"/>
    <n v="2"/>
    <n v="1"/>
    <n v="0"/>
    <s v="-"/>
    <s v="-"/>
    <s v="-"/>
    <s v="-"/>
    <n v="2"/>
    <s v="-"/>
    <n v="8"/>
    <n v="9"/>
    <s v="-"/>
    <n v="1"/>
    <n v="1"/>
    <n v="2"/>
    <n v="2"/>
    <n v="10"/>
    <n v="11"/>
  </r>
  <r>
    <x v="3"/>
    <x v="75"/>
    <d v="1899-12-30T00:00:00"/>
    <s v="3RD"/>
    <d v="1899-12-31T00:00:00"/>
    <n v="2"/>
    <x v="22"/>
    <n v="1.5100000000000001E-2"/>
    <s v="P"/>
    <s v="P"/>
    <s v="P"/>
    <s v="-"/>
    <s v="-"/>
    <n v="11.16"/>
    <s v="-"/>
    <s v="-"/>
    <s v="-"/>
    <s v="-"/>
    <s v="-"/>
    <s v="-"/>
    <s v="-"/>
    <s v="-"/>
    <s v="P"/>
    <s v="P"/>
    <s v="-"/>
    <n v="2"/>
    <n v="1"/>
    <n v="2"/>
    <n v="1"/>
    <s v="-"/>
    <s v="-"/>
    <s v="-"/>
    <s v="-"/>
    <s v="-"/>
    <s v="-"/>
    <s v="-"/>
    <n v="6"/>
    <n v="6"/>
    <s v="-"/>
    <n v="1"/>
    <n v="1"/>
    <n v="2"/>
    <n v="2"/>
    <n v="8"/>
    <n v="8"/>
  </r>
  <r>
    <x v="3"/>
    <x v="76"/>
    <s v="-"/>
    <s v="1ST"/>
    <s v="06:00"/>
    <n v="1"/>
    <x v="7"/>
    <n v="3.0999999999999999E-3"/>
    <s v="P"/>
    <s v="P"/>
    <s v="P"/>
    <s v="-"/>
    <s v="+"/>
    <n v="10.79"/>
    <n v="9.4600000000000009"/>
    <n v="0.56000000000000005"/>
    <n v="55.7"/>
    <n v="23.1"/>
    <n v="207"/>
    <n v="21.9"/>
    <s v="-"/>
    <s v="-"/>
    <s v="P"/>
    <s v="P"/>
    <s v="90% 10%"/>
    <n v="2"/>
    <n v="1"/>
    <n v="2"/>
    <n v="0"/>
    <n v="1"/>
    <n v="2"/>
    <n v="0"/>
    <n v="1"/>
    <n v="1"/>
    <n v="2"/>
    <s v="-"/>
    <n v="12"/>
    <n v="15"/>
    <s v="-"/>
    <n v="1"/>
    <n v="1"/>
    <n v="2"/>
    <n v="2"/>
    <n v="14"/>
    <n v="17"/>
  </r>
  <r>
    <x v="3"/>
    <x v="76"/>
    <d v="2026-04-10T00:00:00"/>
    <s v="1ST"/>
    <s v="09:00"/>
    <n v="1"/>
    <x v="7"/>
    <n v="1.09E-2"/>
    <s v="P"/>
    <s v="P"/>
    <s v="P"/>
    <s v="-"/>
    <s v="+"/>
    <n v="10.82"/>
    <s v="-"/>
    <s v="-"/>
    <s v="-"/>
    <s v="-"/>
    <s v="-"/>
    <s v="-"/>
    <s v="-"/>
    <s v="-"/>
    <s v="P"/>
    <s v="P"/>
    <s v="-"/>
    <n v="2"/>
    <n v="1"/>
    <n v="2"/>
    <n v="0"/>
    <s v="-"/>
    <s v="-"/>
    <s v="-"/>
    <s v="-"/>
    <s v="-"/>
    <s v="-"/>
    <s v="-"/>
    <n v="5"/>
    <n v="6"/>
    <s v="-"/>
    <n v="1"/>
    <n v="1"/>
    <n v="2"/>
    <n v="2"/>
    <n v="7"/>
    <n v="8"/>
  </r>
  <r>
    <x v="3"/>
    <x v="76"/>
    <d v="2026-04-10T00:00:00"/>
    <s v="2ND"/>
    <d v="1899-12-30T18:00:00"/>
    <n v="3"/>
    <x v="29"/>
    <n v="1.3899999999999999E-2"/>
    <s v="P"/>
    <s v="P"/>
    <s v="P"/>
    <s v="-"/>
    <s v="+"/>
    <n v="11.75"/>
    <n v="12.99"/>
    <n v="0.56000000000000005"/>
    <n v="65.7"/>
    <n v="21.3"/>
    <n v="668"/>
    <n v="36.6"/>
    <s v="-"/>
    <n v="25.19"/>
    <s v="P"/>
    <s v="P"/>
    <s v="-"/>
    <n v="2"/>
    <n v="1"/>
    <n v="2"/>
    <n v="0"/>
    <s v="-"/>
    <s v="-"/>
    <s v="-"/>
    <s v="-"/>
    <s v="-"/>
    <s v="-"/>
    <s v="-"/>
    <n v="5"/>
    <n v="6"/>
    <s v="-"/>
    <n v="1"/>
    <n v="1"/>
    <n v="2"/>
    <n v="2"/>
    <n v="7"/>
    <n v="8"/>
  </r>
  <r>
    <x v="3"/>
    <x v="76"/>
    <d v="2026-04-10T00:00:00"/>
    <s v="2ND"/>
    <d v="1899-12-30T19:00:00"/>
    <n v="3"/>
    <x v="29"/>
    <n v="1.14E-2"/>
    <s v="P"/>
    <s v="P"/>
    <s v="P"/>
    <s v="-"/>
    <s v="+"/>
    <n v="11.87"/>
    <s v="-"/>
    <s v="-"/>
    <s v="-"/>
    <s v="-"/>
    <s v="-"/>
    <s v="-"/>
    <s v="-"/>
    <s v="-"/>
    <s v="P"/>
    <s v="P"/>
    <s v="-"/>
    <n v="2"/>
    <n v="1"/>
    <n v="2"/>
    <n v="0"/>
    <s v="-"/>
    <s v="-"/>
    <s v="-"/>
    <s v="-"/>
    <s v="-"/>
    <s v="-"/>
    <s v="-"/>
    <n v="5"/>
    <n v="6"/>
    <s v="-"/>
    <n v="1"/>
    <n v="1"/>
    <n v="2"/>
    <n v="2"/>
    <n v="7"/>
    <n v="8"/>
  </r>
  <r>
    <x v="3"/>
    <x v="76"/>
    <d v="2026-04-12T00:00:00"/>
    <s v="1ST"/>
    <s v="10:00"/>
    <n v="3"/>
    <x v="8"/>
    <n v="0.01"/>
    <s v="P"/>
    <s v="P"/>
    <s v="P"/>
    <s v="+"/>
    <s v="+"/>
    <n v="13.58"/>
    <n v="12.51"/>
    <n v="0.62"/>
    <n v="65.2"/>
    <n v="14.1"/>
    <n v="533"/>
    <n v="35.200000000000003"/>
    <s v="-"/>
    <s v="-"/>
    <s v="P"/>
    <s v="P"/>
    <n v="1"/>
    <n v="2"/>
    <n v="1"/>
    <n v="2"/>
    <n v="0"/>
    <n v="1"/>
    <n v="0"/>
    <n v="2"/>
    <s v="-"/>
    <s v="-"/>
    <s v="-"/>
    <s v="-"/>
    <n v="8"/>
    <n v="11"/>
    <s v="-"/>
    <n v="1"/>
    <n v="1"/>
    <n v="2"/>
    <n v="2"/>
    <n v="10"/>
    <n v="13"/>
  </r>
  <r>
    <x v="3"/>
    <x v="76"/>
    <d v="2026-04-10T00:00:00"/>
    <s v="2ND"/>
    <d v="1899-12-30T21:00:00"/>
    <n v="3"/>
    <x v="0"/>
    <n v="1.8599999999999998E-2"/>
    <s v="P"/>
    <s v="P"/>
    <s v="P"/>
    <s v="+"/>
    <s v="+"/>
    <n v="11.31"/>
    <n v="12.73"/>
    <n v="0.56000000000000005"/>
    <n v="64.400000000000006"/>
    <n v="14.1"/>
    <n v="533"/>
    <n v="35.9"/>
    <s v="-"/>
    <s v="-"/>
    <s v="P"/>
    <s v="P"/>
    <s v="-"/>
    <n v="2"/>
    <n v="1"/>
    <n v="2"/>
    <n v="0"/>
    <n v="1"/>
    <n v="2"/>
    <n v="2"/>
    <n v="1"/>
    <n v="0"/>
    <n v="2"/>
    <s v="-"/>
    <n v="13"/>
    <n v="15"/>
    <s v="-"/>
    <n v="1"/>
    <n v="1"/>
    <n v="2"/>
    <n v="2"/>
    <n v="15"/>
    <n v="17"/>
  </r>
  <r>
    <x v="3"/>
    <x v="76"/>
    <d v="2026-04-10T00:00:00"/>
    <s v="3RD"/>
    <d v="1899-12-30T22:00:00"/>
    <n v="3"/>
    <x v="1"/>
    <n v="1.4500000000000001E-2"/>
    <s v="P"/>
    <s v="P"/>
    <s v="P"/>
    <s v="+"/>
    <s v="+"/>
    <n v="11.5"/>
    <n v="12.73"/>
    <n v="0.56000000000000005"/>
    <n v="64.400000000000006"/>
    <s v="-"/>
    <s v="-"/>
    <n v="35.9"/>
    <s v="-"/>
    <s v="-"/>
    <s v="P"/>
    <s v="P"/>
    <s v="85% 15%"/>
    <n v="2"/>
    <n v="1"/>
    <n v="2"/>
    <n v="0"/>
    <n v="1"/>
    <n v="2"/>
    <n v="2"/>
    <s v="-"/>
    <s v="-"/>
    <n v="2"/>
    <s v="-"/>
    <n v="12"/>
    <n v="13"/>
    <s v="-"/>
    <n v="1"/>
    <n v="1"/>
    <n v="2"/>
    <n v="2"/>
    <n v="14"/>
    <n v="15"/>
  </r>
  <r>
    <x v="3"/>
    <x v="76"/>
    <d v="2026-04-10T00:00:00"/>
    <s v="3RD"/>
    <d v="1899-12-30T23:00:00"/>
    <n v="3"/>
    <x v="1"/>
    <n v="9.4000000000000004E-3"/>
    <s v="P"/>
    <s v="P"/>
    <s v="P"/>
    <s v="+"/>
    <s v="+"/>
    <n v="11.48"/>
    <s v="-"/>
    <s v="-"/>
    <s v="-"/>
    <s v="-"/>
    <s v="-"/>
    <s v="-"/>
    <s v="-"/>
    <s v="-"/>
    <s v="P"/>
    <s v="P"/>
    <s v="-"/>
    <n v="2"/>
    <n v="1"/>
    <n v="2"/>
    <n v="0"/>
    <s v="-"/>
    <s v="-"/>
    <s v="-"/>
    <s v="-"/>
    <s v="-"/>
    <s v="-"/>
    <s v="-"/>
    <n v="5"/>
    <n v="6"/>
    <s v="-"/>
    <n v="1"/>
    <n v="1"/>
    <n v="2"/>
    <n v="2"/>
    <n v="7"/>
    <n v="8"/>
  </r>
  <r>
    <x v="3"/>
    <x v="76"/>
    <d v="2026-04-10T00:00:00"/>
    <s v="3RD"/>
    <d v="1899-12-31T00:00:00"/>
    <n v="3"/>
    <x v="1"/>
    <n v="1.5299999999999999E-2"/>
    <s v="P"/>
    <s v="P"/>
    <s v="P"/>
    <s v="+"/>
    <s v="+"/>
    <n v="11.97"/>
    <s v="-"/>
    <s v="-"/>
    <s v="-"/>
    <s v="-"/>
    <s v="-"/>
    <s v="-"/>
    <s v="-"/>
    <s v="-"/>
    <s v="P"/>
    <s v="P"/>
    <s v="-"/>
    <n v="2"/>
    <n v="1"/>
    <n v="2"/>
    <n v="0"/>
    <s v="-"/>
    <s v="-"/>
    <s v="-"/>
    <s v="-"/>
    <s v="-"/>
    <s v="-"/>
    <s v="-"/>
    <n v="5"/>
    <n v="6"/>
    <s v="-"/>
    <n v="1"/>
    <n v="1"/>
    <n v="2"/>
    <n v="2"/>
    <n v="7"/>
    <n v="8"/>
  </r>
  <r>
    <x v="3"/>
    <x v="76"/>
    <d v="1902-03-26T00:00:00"/>
    <s v="1ST"/>
    <s v="06:00"/>
    <n v="2"/>
    <x v="20"/>
    <n v="1.1599999999999999E-2"/>
    <s v="P"/>
    <s v="P"/>
    <s v="P"/>
    <s v="-"/>
    <s v="-"/>
    <n v="11.64"/>
    <n v="12.01"/>
    <n v="0.57999999999999996"/>
    <n v="68.3"/>
    <n v="23.2"/>
    <n v="440"/>
    <n v="36.1"/>
    <s v="-"/>
    <s v="-"/>
    <s v="P"/>
    <s v="P"/>
    <s v="-"/>
    <n v="2"/>
    <n v="1"/>
    <n v="2"/>
    <n v="1"/>
    <n v="1"/>
    <n v="2"/>
    <n v="2"/>
    <s v="-"/>
    <s v="-"/>
    <n v="2"/>
    <s v="-"/>
    <n v="13"/>
    <n v="13"/>
    <s v="-"/>
    <n v="1"/>
    <n v="1"/>
    <n v="2"/>
    <n v="2"/>
    <n v="15"/>
    <n v="15"/>
  </r>
  <r>
    <x v="3"/>
    <x v="76"/>
    <d v="1899-12-30T00:00:00"/>
    <s v="1ST"/>
    <s v="08:00"/>
    <n v="2"/>
    <x v="20"/>
    <n v="1.21E-2"/>
    <s v="P"/>
    <s v="P"/>
    <s v="P"/>
    <s v="-"/>
    <s v="-"/>
    <n v="11.57"/>
    <s v="-"/>
    <s v="-"/>
    <s v="-"/>
    <s v="-"/>
    <s v="-"/>
    <s v="-"/>
    <s v="-"/>
    <s v="-"/>
    <s v="P"/>
    <s v="P"/>
    <s v="-"/>
    <n v="2"/>
    <n v="1"/>
    <n v="2"/>
    <n v="1"/>
    <s v="-"/>
    <s v="-"/>
    <s v="-"/>
    <s v="-"/>
    <s v="-"/>
    <s v="-"/>
    <s v="-"/>
    <n v="6"/>
    <n v="6"/>
    <s v="-"/>
    <n v="1"/>
    <n v="1"/>
    <n v="2"/>
    <n v="2"/>
    <n v="8"/>
    <n v="8"/>
  </r>
  <r>
    <x v="3"/>
    <x v="76"/>
    <d v="1899-12-30T00:00:00"/>
    <s v="3RD"/>
    <d v="1899-12-31T00:00:00"/>
    <n v="2"/>
    <x v="20"/>
    <n v="1.06E-2"/>
    <s v="P"/>
    <s v="P"/>
    <s v="P"/>
    <s v="-"/>
    <s v="-"/>
    <n v="11.57"/>
    <n v="12.52"/>
    <s v="-"/>
    <s v="-"/>
    <s v="-"/>
    <s v="-"/>
    <n v="35.1"/>
    <s v="-"/>
    <s v="-"/>
    <s v="P"/>
    <s v="P"/>
    <s v="-"/>
    <n v="2"/>
    <n v="1"/>
    <n v="2"/>
    <n v="1"/>
    <n v="1"/>
    <s v="-"/>
    <s v="-"/>
    <s v="-"/>
    <s v="-"/>
    <n v="2"/>
    <s v="-"/>
    <n v="9"/>
    <n v="9"/>
    <s v="-"/>
    <n v="1"/>
    <n v="1"/>
    <n v="2"/>
    <n v="2"/>
    <n v="11"/>
    <n v="11"/>
  </r>
  <r>
    <x v="3"/>
    <x v="76"/>
    <d v="1899-12-30T00:00:00"/>
    <s v="3RD"/>
    <d v="1899-12-31T02:00:00"/>
    <n v="2"/>
    <x v="20"/>
    <n v="6.1000000000000004E-3"/>
    <s v="P"/>
    <s v="P"/>
    <s v="P"/>
    <s v="-"/>
    <s v="-"/>
    <n v="11.86"/>
    <s v="-"/>
    <s v="-"/>
    <s v="-"/>
    <s v="-"/>
    <s v="-"/>
    <s v="-"/>
    <s v="-"/>
    <s v="-"/>
    <s v="P"/>
    <s v="P"/>
    <s v="-"/>
    <n v="2"/>
    <n v="1"/>
    <n v="2"/>
    <n v="1"/>
    <s v="-"/>
    <s v="-"/>
    <s v="-"/>
    <s v="-"/>
    <s v="-"/>
    <s v="-"/>
    <s v="-"/>
    <n v="6"/>
    <n v="6"/>
    <s v="-"/>
    <n v="1"/>
    <n v="1"/>
    <n v="2"/>
    <n v="2"/>
    <n v="8"/>
    <n v="8"/>
  </r>
  <r>
    <x v="3"/>
    <x v="76"/>
    <d v="1899-12-30T00:00:00"/>
    <s v="3RD"/>
    <d v="1899-12-31T04:00:00"/>
    <n v="2"/>
    <x v="20"/>
    <n v="7.0000000000000001E-3"/>
    <s v="P"/>
    <s v="P"/>
    <s v="P"/>
    <s v="-"/>
    <s v="-"/>
    <n v="11.75"/>
    <s v="-"/>
    <s v="-"/>
    <s v="-"/>
    <s v="-"/>
    <s v="-"/>
    <s v="-"/>
    <s v="-"/>
    <s v="-"/>
    <s v="P"/>
    <s v="P"/>
    <s v="-"/>
    <n v="2"/>
    <n v="1"/>
    <n v="2"/>
    <n v="1"/>
    <s v="-"/>
    <s v="-"/>
    <s v="-"/>
    <s v="-"/>
    <s v="-"/>
    <s v="-"/>
    <s v="-"/>
    <n v="6"/>
    <n v="6"/>
    <s v="-"/>
    <n v="1"/>
    <n v="1"/>
    <n v="2"/>
    <n v="2"/>
    <n v="8"/>
    <n v="8"/>
  </r>
  <r>
    <x v="3"/>
    <x v="76"/>
    <d v="1899-12-30T00:00:00"/>
    <s v="3RD"/>
    <d v="1899-12-31T05:00:00"/>
    <n v="2"/>
    <x v="20"/>
    <n v="8.2000000000000007E-3"/>
    <s v="P"/>
    <s v="P"/>
    <s v="P"/>
    <s v="-"/>
    <s v="-"/>
    <n v="11.73"/>
    <s v="-"/>
    <s v="-"/>
    <s v="-"/>
    <s v="-"/>
    <s v="-"/>
    <s v="-"/>
    <s v="-"/>
    <s v="-"/>
    <s v="P"/>
    <s v="P"/>
    <s v="-"/>
    <n v="2"/>
    <n v="1"/>
    <n v="2"/>
    <n v="1"/>
    <s v="-"/>
    <s v="-"/>
    <s v="-"/>
    <s v="-"/>
    <s v="-"/>
    <s v="-"/>
    <s v="-"/>
    <n v="6"/>
    <n v="6"/>
    <s v="-"/>
    <n v="1"/>
    <n v="1"/>
    <n v="2"/>
    <n v="2"/>
    <n v="8"/>
    <n v="8"/>
  </r>
  <r>
    <x v="3"/>
    <x v="76"/>
    <d v="1902-03-26T00:00:00"/>
    <s v="2ND"/>
    <d v="1899-12-30T16:00:00"/>
    <n v="2"/>
    <x v="4"/>
    <n v="1.09E-2"/>
    <s v="P"/>
    <s v="P"/>
    <s v="P"/>
    <s v="-"/>
    <s v="+"/>
    <n v="11.09"/>
    <s v="-"/>
    <s v="-"/>
    <s v="-"/>
    <s v="-"/>
    <s v="-"/>
    <s v="-"/>
    <s v="-"/>
    <s v="-"/>
    <s v="P"/>
    <s v="P"/>
    <s v="-"/>
    <n v="2"/>
    <n v="1"/>
    <n v="2"/>
    <n v="1"/>
    <s v="-"/>
    <s v="-"/>
    <s v="-"/>
    <s v="-"/>
    <s v="-"/>
    <s v="-"/>
    <s v="-"/>
    <n v="6"/>
    <n v="6"/>
    <s v="-"/>
    <n v="1"/>
    <n v="1"/>
    <n v="2"/>
    <n v="2"/>
    <n v="8"/>
    <n v="8"/>
  </r>
  <r>
    <x v="3"/>
    <x v="76"/>
    <d v="1899-12-30T00:00:00"/>
    <s v="2ND"/>
    <d v="1899-12-30T18:00:00"/>
    <n v="2"/>
    <x v="4"/>
    <s v="-"/>
    <s v="P"/>
    <s v="P"/>
    <s v="P"/>
    <s v="-"/>
    <s v="+"/>
    <s v="-"/>
    <s v="-"/>
    <s v="-"/>
    <s v="-"/>
    <s v="-"/>
    <s v="-"/>
    <s v="-"/>
    <s v="-"/>
    <s v="-"/>
    <s v="P"/>
    <s v="P"/>
    <s v="-"/>
    <s v="-"/>
    <n v="1"/>
    <n v="2"/>
    <s v="-"/>
    <s v="-"/>
    <s v="-"/>
    <s v="-"/>
    <s v="-"/>
    <s v="-"/>
    <s v="-"/>
    <s v="-"/>
    <n v="3"/>
    <n v="3"/>
    <s v="-"/>
    <n v="1"/>
    <n v="1"/>
    <n v="2"/>
    <n v="2"/>
    <n v="5"/>
    <n v="5"/>
  </r>
  <r>
    <x v="3"/>
    <x v="76"/>
    <d v="1899-12-30T00:00:00"/>
    <s v="2ND"/>
    <d v="1899-12-30T20:00:00"/>
    <n v="2"/>
    <x v="4"/>
    <n v="8.3000000000000001E-3"/>
    <s v="P"/>
    <s v="P"/>
    <s v="P"/>
    <s v="-"/>
    <s v="+"/>
    <n v="10.96"/>
    <s v="-"/>
    <s v="-"/>
    <s v="-"/>
    <s v="-"/>
    <s v="-"/>
    <s v="-"/>
    <s v="-"/>
    <s v="-"/>
    <s v="P"/>
    <s v="P"/>
    <s v="-"/>
    <n v="2"/>
    <n v="1"/>
    <n v="2"/>
    <n v="0"/>
    <s v="-"/>
    <s v="-"/>
    <s v="-"/>
    <s v="-"/>
    <s v="-"/>
    <s v="-"/>
    <s v="-"/>
    <n v="5"/>
    <n v="6"/>
    <s v="-"/>
    <n v="1"/>
    <n v="1"/>
    <n v="2"/>
    <n v="2"/>
    <n v="7"/>
    <n v="8"/>
  </r>
  <r>
    <x v="3"/>
    <x v="76"/>
    <d v="1899-12-30T00:00:00"/>
    <s v="2ND"/>
    <d v="1899-12-30T21:00:00"/>
    <n v="2"/>
    <x v="4"/>
    <n v="7.1000000000000004E-3"/>
    <s v="P"/>
    <s v="P"/>
    <s v="P"/>
    <s v="-"/>
    <s v="+"/>
    <n v="10.76"/>
    <s v="-"/>
    <s v="-"/>
    <s v="-"/>
    <s v="-"/>
    <s v="-"/>
    <s v="-"/>
    <s v="-"/>
    <s v="-"/>
    <s v="P"/>
    <s v="P"/>
    <s v="-"/>
    <n v="2"/>
    <n v="1"/>
    <n v="2"/>
    <n v="0"/>
    <s v="-"/>
    <s v="-"/>
    <s v="-"/>
    <s v="-"/>
    <s v="-"/>
    <s v="-"/>
    <s v="-"/>
    <n v="5"/>
    <n v="6"/>
    <s v="-"/>
    <n v="1"/>
    <n v="1"/>
    <n v="2"/>
    <n v="2"/>
    <n v="7"/>
    <n v="8"/>
  </r>
  <r>
    <x v="3"/>
    <x v="76"/>
    <d v="1902-03-27T00:00:00"/>
    <s v="3RD"/>
    <d v="1899-12-30T22:00:00"/>
    <n v="2"/>
    <x v="4"/>
    <n v="1.5599999999999999E-2"/>
    <s v="P"/>
    <s v="P"/>
    <s v="P"/>
    <s v="-"/>
    <s v="+"/>
    <n v="10.65"/>
    <n v="8.9700000000000006"/>
    <s v="-"/>
    <s v="-"/>
    <s v="-"/>
    <s v="-"/>
    <n v="24.3"/>
    <s v="-"/>
    <s v="-"/>
    <s v="P"/>
    <s v="P"/>
    <s v="-"/>
    <n v="2"/>
    <n v="1"/>
    <n v="2"/>
    <n v="0"/>
    <n v="1"/>
    <s v="-"/>
    <s v="-"/>
    <s v="-"/>
    <s v="-"/>
    <n v="2"/>
    <s v="-"/>
    <n v="8"/>
    <n v="9"/>
    <s v="-"/>
    <n v="1"/>
    <n v="1"/>
    <n v="2"/>
    <n v="2"/>
    <n v="10"/>
    <n v="11"/>
  </r>
  <r>
    <x v="3"/>
    <x v="76"/>
    <d v="1899-12-30T00:00:00"/>
    <s v="3RD"/>
    <d v="1899-12-30T23:00:00"/>
    <n v="2"/>
    <x v="4"/>
    <n v="1.4800000000000001E-2"/>
    <s v="P"/>
    <s v="P"/>
    <s v="P"/>
    <s v="-"/>
    <s v="+"/>
    <n v="10.78"/>
    <s v="-"/>
    <s v="-"/>
    <s v="-"/>
    <s v="-"/>
    <s v="-"/>
    <s v="-"/>
    <s v="-"/>
    <s v="-"/>
    <s v="P"/>
    <s v="P"/>
    <s v="-"/>
    <n v="2"/>
    <n v="1"/>
    <n v="2"/>
    <n v="0"/>
    <s v="-"/>
    <s v="-"/>
    <s v="-"/>
    <s v="-"/>
    <s v="-"/>
    <s v="-"/>
    <s v="-"/>
    <n v="5"/>
    <n v="6"/>
    <s v="-"/>
    <n v="1"/>
    <n v="1"/>
    <n v="2"/>
    <n v="2"/>
    <n v="7"/>
    <n v="8"/>
  </r>
  <r>
    <x v="3"/>
    <x v="76"/>
    <d v="1902-03-26T00:00:00"/>
    <s v="1ST"/>
    <s v="10:00"/>
    <n v="2"/>
    <x v="5"/>
    <n v="1.1599999999999999E-2"/>
    <s v="P"/>
    <s v="P"/>
    <s v="P"/>
    <s v="-"/>
    <s v="+"/>
    <n v="10.89"/>
    <n v="8.49"/>
    <n v="0.59"/>
    <n v="56"/>
    <n v="8.8000000000000007"/>
    <n v="489"/>
    <n v="22.9"/>
    <s v="-"/>
    <s v="-"/>
    <s v="P"/>
    <s v="P"/>
    <s v="-"/>
    <n v="2"/>
    <n v="1"/>
    <n v="2"/>
    <n v="0"/>
    <n v="0"/>
    <n v="0"/>
    <n v="2"/>
    <s v="-"/>
    <s v="-"/>
    <n v="2"/>
    <s v="-"/>
    <n v="9"/>
    <n v="13"/>
    <s v="-"/>
    <n v="1"/>
    <n v="1"/>
    <n v="2"/>
    <n v="2"/>
    <n v="11"/>
    <n v="15"/>
  </r>
  <r>
    <x v="3"/>
    <x v="76"/>
    <d v="1899-12-30T00:00:00"/>
    <s v="1ST"/>
    <s v="12:00"/>
    <n v="2"/>
    <x v="5"/>
    <n v="8.9999999999999993E-3"/>
    <s v="P"/>
    <s v="P"/>
    <s v="P"/>
    <s v="-"/>
    <s v="+"/>
    <n v="11.14"/>
    <s v="-"/>
    <s v="-"/>
    <s v="-"/>
    <s v="-"/>
    <s v="-"/>
    <s v="-"/>
    <s v="-"/>
    <s v="-"/>
    <s v="P"/>
    <s v="P"/>
    <s v="-"/>
    <n v="2"/>
    <n v="1"/>
    <n v="2"/>
    <n v="1"/>
    <s v="-"/>
    <s v="-"/>
    <s v="-"/>
    <s v="-"/>
    <s v="-"/>
    <s v="-"/>
    <s v="-"/>
    <n v="6"/>
    <n v="6"/>
    <s v="-"/>
    <n v="1"/>
    <n v="1"/>
    <n v="2"/>
    <n v="2"/>
    <n v="8"/>
    <n v="8"/>
  </r>
  <r>
    <x v="3"/>
    <x v="76"/>
    <d v="1902-03-26T00:00:00"/>
    <s v="2ND"/>
    <d v="1899-12-30T14:00:00"/>
    <n v="2"/>
    <x v="5"/>
    <n v="1.14E-2"/>
    <s v="P"/>
    <s v="P"/>
    <s v="P"/>
    <s v="-"/>
    <s v="+"/>
    <n v="11.14"/>
    <n v="8.33"/>
    <n v="0.59"/>
    <s v="-"/>
    <s v="-"/>
    <s v="-"/>
    <n v="22.31"/>
    <s v="-"/>
    <n v="25.16"/>
    <s v="P"/>
    <s v="P"/>
    <s v="-"/>
    <n v="2"/>
    <n v="1"/>
    <n v="2"/>
    <n v="1"/>
    <n v="0"/>
    <n v="0"/>
    <s v="-"/>
    <s v="-"/>
    <s v="-"/>
    <n v="2"/>
    <s v="-"/>
    <n v="8"/>
    <n v="11"/>
    <n v="1"/>
    <n v="1"/>
    <n v="1"/>
    <n v="3"/>
    <n v="3"/>
    <n v="11"/>
    <n v="14"/>
  </r>
  <r>
    <x v="3"/>
    <x v="76"/>
    <d v="2026-04-10T00:00:00"/>
    <s v="2ND"/>
    <d v="1899-12-30T20:00:00"/>
    <n v="3"/>
    <x v="31"/>
    <n v="1.26E-2"/>
    <s v="P"/>
    <s v="P"/>
    <s v="P"/>
    <s v="+"/>
    <s v="+"/>
    <n v="11.33"/>
    <n v="12.45"/>
    <n v="0.55000000000000004"/>
    <n v="64.2"/>
    <n v="15.4"/>
    <n v="629"/>
    <n v="35"/>
    <s v="-"/>
    <s v="-"/>
    <s v="P"/>
    <s v="P"/>
    <s v="-"/>
    <n v="2"/>
    <n v="1"/>
    <n v="2"/>
    <n v="0"/>
    <n v="0"/>
    <n v="2"/>
    <n v="0"/>
    <n v="1"/>
    <n v="1"/>
    <n v="2"/>
    <s v="-"/>
    <n v="11"/>
    <n v="15"/>
    <s v="-"/>
    <n v="1"/>
    <n v="1"/>
    <n v="2"/>
    <n v="2"/>
    <n v="13"/>
    <n v="17"/>
  </r>
  <r>
    <x v="3"/>
    <x v="76"/>
    <d v="2026-04-12T00:00:00"/>
    <s v="1ST"/>
    <s v="06:00"/>
    <n v="3"/>
    <x v="16"/>
    <n v="1.26E-2"/>
    <s v="P"/>
    <s v="P"/>
    <s v="P"/>
    <s v="+"/>
    <s v="+"/>
    <n v="12.92"/>
    <n v="12.83"/>
    <n v="0.46"/>
    <n v="63.6"/>
    <n v="12.7"/>
    <n v="1000"/>
    <n v="35.9"/>
    <s v="-"/>
    <s v="-"/>
    <s v="P"/>
    <s v="P"/>
    <n v="1"/>
    <n v="2"/>
    <n v="1"/>
    <n v="2"/>
    <n v="1"/>
    <n v="1"/>
    <n v="2"/>
    <n v="0"/>
    <n v="1"/>
    <n v="1"/>
    <n v="2"/>
    <s v="-"/>
    <n v="13"/>
    <n v="15"/>
    <s v="-"/>
    <n v="1"/>
    <n v="1"/>
    <n v="2"/>
    <n v="2"/>
    <n v="15"/>
    <n v="17"/>
  </r>
  <r>
    <x v="3"/>
    <x v="76"/>
    <d v="2026-04-12T00:00:00"/>
    <s v="1ST"/>
    <s v="07:00"/>
    <n v="3"/>
    <x v="16"/>
    <n v="1.1299999999999999E-2"/>
    <s v="P"/>
    <s v="P"/>
    <s v="P"/>
    <s v="+"/>
    <s v="+"/>
    <n v="12.94"/>
    <s v="-"/>
    <s v="-"/>
    <s v="-"/>
    <s v="-"/>
    <s v="-"/>
    <s v="-"/>
    <s v="-"/>
    <s v="-"/>
    <s v="P"/>
    <s v="P"/>
    <s v="-"/>
    <n v="2"/>
    <n v="1"/>
    <n v="2"/>
    <n v="1"/>
    <s v="-"/>
    <s v="-"/>
    <s v="-"/>
    <s v="-"/>
    <s v="-"/>
    <s v="-"/>
    <s v="-"/>
    <n v="6"/>
    <n v="6"/>
    <s v="-"/>
    <n v="1"/>
    <n v="1"/>
    <n v="2"/>
    <n v="2"/>
    <n v="8"/>
    <n v="8"/>
  </r>
  <r>
    <x v="3"/>
    <x v="76"/>
    <d v="2026-04-12T00:00:00"/>
    <s v="1ST"/>
    <s v="08:00"/>
    <n v="3"/>
    <x v="16"/>
    <n v="8.2000000000000007E-3"/>
    <s v="P"/>
    <s v="P"/>
    <s v="P"/>
    <s v="+"/>
    <s v="+"/>
    <n v="13.03"/>
    <s v="-"/>
    <s v="-"/>
    <s v="-"/>
    <s v="-"/>
    <s v="-"/>
    <s v="-"/>
    <s v="-"/>
    <s v="-"/>
    <s v="P"/>
    <s v="P"/>
    <s v="-"/>
    <n v="2"/>
    <n v="1"/>
    <n v="2"/>
    <n v="1"/>
    <s v="-"/>
    <s v="-"/>
    <s v="-"/>
    <s v="-"/>
    <s v="-"/>
    <s v="-"/>
    <s v="-"/>
    <n v="6"/>
    <n v="6"/>
    <s v="-"/>
    <n v="1"/>
    <n v="1"/>
    <n v="2"/>
    <n v="2"/>
    <n v="8"/>
    <n v="8"/>
  </r>
  <r>
    <x v="3"/>
    <x v="76"/>
    <d v="2026-04-12T00:00:00"/>
    <s v="1ST"/>
    <s v="09:00"/>
    <n v="3"/>
    <x v="16"/>
    <s v="-"/>
    <s v="P"/>
    <s v="P"/>
    <s v="P"/>
    <s v="+"/>
    <s v="+"/>
    <n v="12.8"/>
    <s v="-"/>
    <s v="-"/>
    <s v="-"/>
    <s v="-"/>
    <s v="-"/>
    <s v="-"/>
    <s v="-"/>
    <s v="-"/>
    <s v="P"/>
    <s v="P"/>
    <s v="-"/>
    <s v="-"/>
    <n v="1"/>
    <n v="2"/>
    <n v="1"/>
    <s v="-"/>
    <s v="-"/>
    <s v="-"/>
    <s v="-"/>
    <s v="-"/>
    <s v="-"/>
    <s v="-"/>
    <n v="4"/>
    <n v="4"/>
    <s v="-"/>
    <n v="1"/>
    <n v="1"/>
    <n v="2"/>
    <n v="2"/>
    <n v="6"/>
    <n v="6"/>
  </r>
  <r>
    <x v="3"/>
    <x v="77"/>
    <d v="2026-04-13T00:00:00"/>
    <s v="2ND"/>
    <d v="1899-12-30T19:00:00"/>
    <n v="3"/>
    <x v="11"/>
    <n v="1.6899999999999998E-2"/>
    <s v="P"/>
    <s v="P"/>
    <s v="P"/>
    <s v="-"/>
    <s v="+"/>
    <n v="11.94"/>
    <n v="12.49"/>
    <n v="0.63"/>
    <n v="66.5"/>
    <n v="14.3"/>
    <n v="1037"/>
    <n v="34.700000000000003"/>
    <s v="-"/>
    <n v="25.19"/>
    <s v="P"/>
    <s v="P"/>
    <s v="-"/>
    <n v="2"/>
    <n v="1"/>
    <n v="2"/>
    <n v="1"/>
    <n v="0"/>
    <n v="0"/>
    <n v="2"/>
    <n v="1"/>
    <n v="1"/>
    <n v="0"/>
    <s v="-"/>
    <n v="10"/>
    <n v="15"/>
    <n v="1"/>
    <n v="1"/>
    <n v="1"/>
    <n v="3"/>
    <n v="3"/>
    <n v="13"/>
    <n v="18"/>
  </r>
  <r>
    <x v="3"/>
    <x v="77"/>
    <d v="2026-04-13T00:00:00"/>
    <s v="2ND"/>
    <d v="1899-12-30T20:00:00"/>
    <n v="3"/>
    <x v="11"/>
    <n v="1.23E-2"/>
    <s v="P"/>
    <s v="P"/>
    <s v="P"/>
    <s v="-"/>
    <s v="+"/>
    <n v="12.21"/>
    <s v="-"/>
    <s v="-"/>
    <s v="-"/>
    <s v="-"/>
    <s v="-"/>
    <s v="-"/>
    <s v="-"/>
    <s v="-"/>
    <s v="P"/>
    <s v="P"/>
    <s v="-"/>
    <n v="2"/>
    <n v="1"/>
    <n v="2"/>
    <n v="1"/>
    <s v="-"/>
    <s v="-"/>
    <s v="-"/>
    <s v="-"/>
    <s v="-"/>
    <s v="-"/>
    <s v="-"/>
    <n v="6"/>
    <n v="6"/>
    <s v="-"/>
    <n v="1"/>
    <n v="1"/>
    <n v="2"/>
    <n v="2"/>
    <n v="8"/>
    <n v="8"/>
  </r>
  <r>
    <x v="3"/>
    <x v="77"/>
    <d v="2026-04-13T00:00:00"/>
    <s v="1ST"/>
    <s v="11:00"/>
    <s v="Retail"/>
    <x v="19"/>
    <s v="-"/>
    <s v="-"/>
    <s v="P"/>
    <s v="P"/>
    <s v="-"/>
    <s v="-"/>
    <n v="12.36"/>
    <n v="15.22"/>
    <n v="1.59"/>
    <n v="72.2"/>
    <n v="16.100000000000001"/>
    <n v="281"/>
    <n v="43.4"/>
    <s v="-"/>
    <s v="-"/>
    <s v="P"/>
    <s v="P"/>
    <s v="-"/>
    <s v="-"/>
    <s v="-"/>
    <n v="2"/>
    <n v="1"/>
    <n v="1"/>
    <n v="0"/>
    <n v="2"/>
    <n v="1"/>
    <n v="0"/>
    <n v="2"/>
    <s v="-"/>
    <n v="9"/>
    <n v="12"/>
    <s v="-"/>
    <n v="1"/>
    <n v="1"/>
    <n v="2"/>
    <n v="2"/>
    <n v="11"/>
    <n v="14"/>
  </r>
  <r>
    <x v="3"/>
    <x v="77"/>
    <d v="2026-04-13T00:00:00"/>
    <s v="2ND"/>
    <d v="1899-12-30T16:00:00"/>
    <s v="Retail"/>
    <x v="19"/>
    <s v="-"/>
    <s v="P"/>
    <s v="P"/>
    <s v="P"/>
    <s v="-"/>
    <s v="+"/>
    <n v="12.43"/>
    <n v="15.22"/>
    <n v="1.59"/>
    <n v="72.2"/>
    <s v="-"/>
    <s v="-"/>
    <n v="43.4"/>
    <s v="-"/>
    <s v="-"/>
    <s v="-"/>
    <s v="-"/>
    <s v="-"/>
    <s v="-"/>
    <n v="1"/>
    <n v="2"/>
    <n v="1"/>
    <n v="1"/>
    <n v="0"/>
    <n v="2"/>
    <s v="-"/>
    <s v="-"/>
    <n v="2"/>
    <s v="-"/>
    <n v="9"/>
    <n v="11"/>
    <s v="-"/>
    <s v="-"/>
    <s v="-"/>
    <n v="0"/>
    <n v="0"/>
    <n v="9"/>
    <n v="11"/>
  </r>
  <r>
    <x v="3"/>
    <x v="77"/>
    <d v="2026-04-13T00:00:00"/>
    <s v="2ND"/>
    <d v="1899-12-30T21:00:00"/>
    <n v="3"/>
    <x v="1"/>
    <n v="1.1900000000000001E-2"/>
    <s v="P"/>
    <s v="P"/>
    <s v="P"/>
    <s v="-"/>
    <s v="+"/>
    <n v="11.55"/>
    <n v="12.58"/>
    <n v="0.61"/>
    <n v="65"/>
    <s v="-"/>
    <s v="-"/>
    <n v="35.299999999999997"/>
    <s v="-"/>
    <s v="-"/>
    <s v="P"/>
    <s v="P"/>
    <s v="-"/>
    <n v="2"/>
    <n v="1"/>
    <n v="2"/>
    <n v="0"/>
    <n v="1"/>
    <n v="2"/>
    <n v="2"/>
    <s v="-"/>
    <s v="-"/>
    <n v="2"/>
    <s v="-"/>
    <n v="12"/>
    <n v="13"/>
    <s v="-"/>
    <n v="1"/>
    <n v="1"/>
    <n v="2"/>
    <n v="2"/>
    <n v="14"/>
    <n v="15"/>
  </r>
  <r>
    <x v="3"/>
    <x v="77"/>
    <d v="2026-04-13T00:00:00"/>
    <s v="3RD"/>
    <d v="1899-12-30T22:00:00"/>
    <n v="3"/>
    <x v="1"/>
    <n v="1.72E-2"/>
    <s v="P"/>
    <s v="P"/>
    <s v="P"/>
    <s v="+"/>
    <s v="+"/>
    <n v="11.98"/>
    <n v="12.58"/>
    <n v="0.61"/>
    <s v="-"/>
    <s v="-"/>
    <s v="-"/>
    <n v="35.299999999999997"/>
    <s v="-"/>
    <s v="-"/>
    <s v="P"/>
    <s v="P"/>
    <s v="85% 15%"/>
    <n v="2"/>
    <n v="1"/>
    <n v="2"/>
    <n v="0"/>
    <n v="1"/>
    <n v="2"/>
    <s v="-"/>
    <s v="-"/>
    <s v="-"/>
    <n v="2"/>
    <s v="-"/>
    <n v="10"/>
    <n v="11"/>
    <s v="-"/>
    <n v="1"/>
    <n v="1"/>
    <n v="2"/>
    <n v="2"/>
    <n v="12"/>
    <n v="13"/>
  </r>
  <r>
    <x v="3"/>
    <x v="77"/>
    <d v="1902-03-26T00:00:00"/>
    <s v="1ST"/>
    <s v="06:00"/>
    <n v="2"/>
    <x v="20"/>
    <n v="1.44E-2"/>
    <s v="P"/>
    <s v="P"/>
    <s v="P"/>
    <s v="-"/>
    <s v="-"/>
    <n v="11.82"/>
    <n v="12.37"/>
    <n v="0.41"/>
    <n v="66.099999999999994"/>
    <s v="-"/>
    <s v="-"/>
    <n v="34.700000000000003"/>
    <s v="-"/>
    <s v="-"/>
    <s v="P"/>
    <s v="P"/>
    <s v="-"/>
    <n v="2"/>
    <n v="1"/>
    <n v="2"/>
    <n v="1"/>
    <n v="1"/>
    <n v="0"/>
    <n v="2"/>
    <s v="-"/>
    <s v="-"/>
    <n v="2"/>
    <s v="-"/>
    <n v="11"/>
    <n v="13"/>
    <s v="-"/>
    <n v="1"/>
    <n v="1"/>
    <n v="2"/>
    <n v="2"/>
    <n v="13"/>
    <n v="15"/>
  </r>
  <r>
    <x v="3"/>
    <x v="78"/>
    <d v="1899-12-30T00:00:00"/>
    <s v="2ND"/>
    <d v="1899-12-30T17:00:00"/>
    <n v="2"/>
    <x v="2"/>
    <n v="8.8999999999999999E-3"/>
    <s v="P"/>
    <s v="P"/>
    <s v="P"/>
    <s v="-"/>
    <s v="+"/>
    <n v="10.19"/>
    <n v="9.82"/>
    <n v="0.62"/>
    <n v="57.1"/>
    <n v="15.6"/>
    <n v="310"/>
    <n v="27"/>
    <s v="-"/>
    <s v="-"/>
    <s v="P"/>
    <s v="P"/>
    <s v="-"/>
    <n v="2"/>
    <n v="1"/>
    <n v="2"/>
    <n v="0"/>
    <n v="1"/>
    <n v="0"/>
    <n v="0"/>
    <n v="1"/>
    <n v="0"/>
    <n v="2"/>
    <s v="-"/>
    <n v="9"/>
    <n v="15"/>
    <s v="-"/>
    <n v="1"/>
    <n v="1"/>
    <n v="2"/>
    <n v="2"/>
    <n v="11"/>
    <n v="17"/>
  </r>
  <r>
    <x v="3"/>
    <x v="78"/>
    <d v="1899-12-30T00:00:00"/>
    <s v="2ND"/>
    <d v="1899-12-30T18:00:00"/>
    <n v="2"/>
    <x v="2"/>
    <n v="1.15E-2"/>
    <s v="P"/>
    <s v="P"/>
    <s v="P"/>
    <s v="-"/>
    <s v="+"/>
    <n v="10.98"/>
    <s v="-"/>
    <s v="-"/>
    <s v="-"/>
    <s v="-"/>
    <s v="-"/>
    <s v="-"/>
    <s v="-"/>
    <s v="-"/>
    <s v="-"/>
    <s v="-"/>
    <s v="-"/>
    <n v="2"/>
    <n v="1"/>
    <n v="2"/>
    <n v="0"/>
    <s v="-"/>
    <s v="-"/>
    <s v="-"/>
    <s v="-"/>
    <s v="-"/>
    <s v="-"/>
    <s v="-"/>
    <n v="5"/>
    <n v="6"/>
    <s v="-"/>
    <s v="-"/>
    <s v="-"/>
    <n v="0"/>
    <n v="0"/>
    <n v="5"/>
    <n v="6"/>
  </r>
  <r>
    <x v="3"/>
    <x v="78"/>
    <d v="1899-12-30T00:00:00"/>
    <s v="2ND"/>
    <d v="1899-12-30T19:00:00"/>
    <n v="2"/>
    <x v="2"/>
    <n v="1.9599999999999999E-2"/>
    <s v="P"/>
    <s v="P"/>
    <s v="P"/>
    <s v="-"/>
    <s v="+"/>
    <n v="10.98"/>
    <s v="-"/>
    <s v="-"/>
    <s v="-"/>
    <s v="-"/>
    <s v="-"/>
    <s v="-"/>
    <s v="-"/>
    <s v="-"/>
    <s v="-"/>
    <s v="-"/>
    <s v="-"/>
    <n v="2"/>
    <n v="1"/>
    <n v="2"/>
    <n v="0"/>
    <s v="-"/>
    <s v="-"/>
    <s v="-"/>
    <s v="-"/>
    <s v="-"/>
    <s v="-"/>
    <s v="-"/>
    <n v="5"/>
    <n v="6"/>
    <s v="-"/>
    <s v="-"/>
    <s v="-"/>
    <n v="0"/>
    <n v="0"/>
    <n v="5"/>
    <n v="6"/>
  </r>
  <r>
    <x v="3"/>
    <x v="78"/>
    <d v="1899-12-30T00:00:00"/>
    <s v="2ND"/>
    <d v="1899-12-30T20:00:00"/>
    <n v="2"/>
    <x v="2"/>
    <n v="1.84E-2"/>
    <s v="P"/>
    <s v="P"/>
    <s v="P"/>
    <s v="-"/>
    <s v="+"/>
    <n v="11.03"/>
    <s v="-"/>
    <s v="-"/>
    <s v="-"/>
    <s v="-"/>
    <s v="-"/>
    <s v="-"/>
    <s v="-"/>
    <s v="-"/>
    <s v="-"/>
    <s v="-"/>
    <s v="-"/>
    <n v="2"/>
    <n v="1"/>
    <n v="2"/>
    <n v="0"/>
    <s v="-"/>
    <s v="-"/>
    <s v="-"/>
    <s v="-"/>
    <s v="-"/>
    <s v="-"/>
    <s v="-"/>
    <n v="5"/>
    <n v="6"/>
    <s v="-"/>
    <s v="-"/>
    <s v="-"/>
    <n v="0"/>
    <n v="0"/>
    <n v="5"/>
    <n v="6"/>
  </r>
  <r>
    <x v="3"/>
    <x v="78"/>
    <d v="1899-12-30T00:00:00"/>
    <s v="2ND"/>
    <d v="1899-12-30T21:00:00"/>
    <n v="2"/>
    <x v="2"/>
    <n v="1.7899999999999999E-2"/>
    <s v="P"/>
    <s v="P"/>
    <s v="P"/>
    <s v="-"/>
    <s v="+"/>
    <n v="10.89"/>
    <s v="-"/>
    <s v="-"/>
    <s v="-"/>
    <s v="-"/>
    <s v="-"/>
    <s v="-"/>
    <s v="-"/>
    <s v="-"/>
    <s v="-"/>
    <s v="-"/>
    <s v="-"/>
    <n v="2"/>
    <n v="1"/>
    <n v="2"/>
    <n v="0"/>
    <s v="-"/>
    <s v="-"/>
    <s v="-"/>
    <s v="-"/>
    <s v="-"/>
    <s v="-"/>
    <s v="-"/>
    <n v="5"/>
    <n v="6"/>
    <s v="-"/>
    <s v="-"/>
    <s v="-"/>
    <n v="0"/>
    <n v="0"/>
    <n v="5"/>
    <n v="6"/>
  </r>
  <r>
    <x v="3"/>
    <x v="78"/>
    <d v="1902-03-27T00:00:00"/>
    <s v="3RD"/>
    <d v="1899-12-30T22:00:00"/>
    <n v="2"/>
    <x v="2"/>
    <n v="1.6899999999999998E-2"/>
    <s v="P"/>
    <s v="P"/>
    <s v="P"/>
    <s v="-"/>
    <s v="+"/>
    <n v="10.9"/>
    <n v="9.61"/>
    <s v="-"/>
    <s v="-"/>
    <s v="-"/>
    <s v="-"/>
    <n v="26.3"/>
    <s v="-"/>
    <s v="-"/>
    <s v="P"/>
    <s v="P"/>
    <s v="-"/>
    <n v="2"/>
    <n v="1"/>
    <n v="2"/>
    <n v="0"/>
    <n v="0"/>
    <s v="-"/>
    <s v="-"/>
    <s v="-"/>
    <s v="-"/>
    <n v="0"/>
    <s v="-"/>
    <n v="5"/>
    <n v="9"/>
    <s v="-"/>
    <n v="1"/>
    <n v="1"/>
    <n v="2"/>
    <n v="2"/>
    <n v="7"/>
    <n v="11"/>
  </r>
  <r>
    <x v="3"/>
    <x v="78"/>
    <d v="1899-12-30T00:00:00"/>
    <s v="3RD"/>
    <d v="1899-12-30T23:00:00"/>
    <n v="2"/>
    <x v="2"/>
    <n v="1.52E-2"/>
    <s v="P"/>
    <s v="P"/>
    <s v="P"/>
    <s v="-"/>
    <s v="+"/>
    <n v="10.69"/>
    <s v="-"/>
    <s v="-"/>
    <s v="-"/>
    <s v="-"/>
    <s v="-"/>
    <s v="-"/>
    <s v="-"/>
    <s v="-"/>
    <s v="P"/>
    <s v="P"/>
    <s v="-"/>
    <n v="2"/>
    <n v="1"/>
    <n v="2"/>
    <n v="0"/>
    <s v="-"/>
    <s v="-"/>
    <s v="-"/>
    <s v="-"/>
    <s v="-"/>
    <s v="-"/>
    <s v="-"/>
    <n v="5"/>
    <n v="6"/>
    <s v="-"/>
    <n v="1"/>
    <n v="1"/>
    <n v="2"/>
    <n v="2"/>
    <n v="7"/>
    <n v="8"/>
  </r>
  <r>
    <x v="3"/>
    <x v="78"/>
    <d v="1899-12-30T00:00:00"/>
    <s v="3RD"/>
    <d v="1899-12-31T00:00:00"/>
    <n v="2"/>
    <x v="2"/>
    <n v="1.3899999999999999E-2"/>
    <s v="P"/>
    <s v="P"/>
    <s v="P"/>
    <s v="-"/>
    <s v="+"/>
    <n v="10.78"/>
    <s v="-"/>
    <s v="-"/>
    <s v="-"/>
    <s v="-"/>
    <s v="-"/>
    <s v="-"/>
    <s v="-"/>
    <s v="-"/>
    <s v="P"/>
    <s v="P"/>
    <s v="90% 10%"/>
    <n v="2"/>
    <n v="1"/>
    <n v="2"/>
    <n v="0"/>
    <s v="-"/>
    <s v="-"/>
    <s v="-"/>
    <s v="-"/>
    <s v="-"/>
    <s v="-"/>
    <s v="-"/>
    <n v="5"/>
    <n v="6"/>
    <s v="-"/>
    <n v="1"/>
    <n v="1"/>
    <n v="2"/>
    <n v="2"/>
    <n v="7"/>
    <n v="8"/>
  </r>
  <r>
    <x v="3"/>
    <x v="78"/>
    <d v="1902-03-27T00:00:00"/>
    <s v="3RD"/>
    <d v="1899-12-31T01:00:00"/>
    <n v="2"/>
    <x v="7"/>
    <n v="1.9300000000000001E-2"/>
    <s v="P"/>
    <s v="P"/>
    <s v="P"/>
    <s v="-"/>
    <s v="+"/>
    <n v="10.76"/>
    <n v="9"/>
    <n v="0.61"/>
    <n v="56.7"/>
    <s v="-"/>
    <s v="-"/>
    <n v="24.5"/>
    <s v="-"/>
    <s v="-"/>
    <s v="P"/>
    <s v="P"/>
    <s v="-"/>
    <n v="2"/>
    <n v="1"/>
    <n v="2"/>
    <n v="0"/>
    <n v="1"/>
    <n v="0"/>
    <n v="2"/>
    <s v="-"/>
    <s v="-"/>
    <n v="2"/>
    <s v="-"/>
    <n v="10"/>
    <n v="13"/>
    <s v="-"/>
    <n v="1"/>
    <n v="1"/>
    <n v="2"/>
    <n v="2"/>
    <n v="12"/>
    <n v="15"/>
  </r>
  <r>
    <x v="3"/>
    <x v="78"/>
    <d v="1899-12-30T00:00:00"/>
    <s v="3RD"/>
    <d v="1899-12-31T02:00:00"/>
    <n v="2"/>
    <x v="7"/>
    <n v="1.6199999999999999E-2"/>
    <s v="P"/>
    <s v="P"/>
    <s v="P"/>
    <s v="-"/>
    <s v="+"/>
    <n v="10.92"/>
    <s v="-"/>
    <s v="-"/>
    <s v="-"/>
    <s v="-"/>
    <s v="-"/>
    <s v="-"/>
    <s v="-"/>
    <s v="-"/>
    <s v="P"/>
    <s v="P"/>
    <s v="-"/>
    <n v="2"/>
    <n v="1"/>
    <n v="2"/>
    <n v="0"/>
    <s v="-"/>
    <s v="-"/>
    <s v="-"/>
    <s v="-"/>
    <s v="-"/>
    <s v="-"/>
    <s v="-"/>
    <n v="5"/>
    <n v="6"/>
    <s v="-"/>
    <n v="1"/>
    <n v="1"/>
    <n v="2"/>
    <n v="2"/>
    <n v="7"/>
    <n v="8"/>
  </r>
  <r>
    <x v="3"/>
    <x v="78"/>
    <d v="1899-12-30T00:00:00"/>
    <s v="3RD"/>
    <d v="1899-12-31T03:00:00"/>
    <n v="2"/>
    <x v="7"/>
    <n v="1.2999999999999999E-2"/>
    <s v="P"/>
    <s v="P"/>
    <s v="P"/>
    <s v="-"/>
    <s v="+"/>
    <n v="10.84"/>
    <s v="-"/>
    <s v="-"/>
    <s v="-"/>
    <s v="-"/>
    <s v="-"/>
    <s v="-"/>
    <s v="-"/>
    <s v="-"/>
    <s v="P"/>
    <s v="P"/>
    <s v="-"/>
    <n v="2"/>
    <n v="1"/>
    <n v="2"/>
    <n v="0"/>
    <s v="-"/>
    <s v="-"/>
    <s v="-"/>
    <s v="-"/>
    <s v="-"/>
    <s v="-"/>
    <s v="-"/>
    <n v="5"/>
    <n v="6"/>
    <s v="-"/>
    <n v="1"/>
    <n v="1"/>
    <n v="2"/>
    <n v="2"/>
    <n v="7"/>
    <n v="8"/>
  </r>
  <r>
    <x v="3"/>
    <x v="78"/>
    <d v="1899-12-30T00:00:00"/>
    <s v="3RD"/>
    <d v="1899-12-31T04:00:00"/>
    <n v="2"/>
    <x v="7"/>
    <n v="1.3599999999999999E-2"/>
    <s v="P"/>
    <s v="P"/>
    <s v="P"/>
    <s v="-"/>
    <s v="+"/>
    <n v="10.81"/>
    <s v="-"/>
    <s v="-"/>
    <s v="-"/>
    <s v="-"/>
    <s v="-"/>
    <s v="-"/>
    <s v="-"/>
    <s v="-"/>
    <s v="P"/>
    <s v="P"/>
    <s v="-"/>
    <n v="2"/>
    <n v="1"/>
    <n v="2"/>
    <n v="0"/>
    <s v="-"/>
    <s v="-"/>
    <s v="-"/>
    <s v="-"/>
    <s v="-"/>
    <s v="-"/>
    <s v="-"/>
    <n v="5"/>
    <n v="6"/>
    <s v="-"/>
    <n v="1"/>
    <n v="1"/>
    <n v="2"/>
    <n v="2"/>
    <n v="7"/>
    <n v="8"/>
  </r>
  <r>
    <x v="3"/>
    <x v="78"/>
    <d v="1899-12-30T00:00:00"/>
    <s v="3RD"/>
    <d v="1899-12-31T05:00:00"/>
    <n v="2"/>
    <x v="7"/>
    <n v="1.6400000000000001E-2"/>
    <s v="P"/>
    <s v="P"/>
    <s v="P"/>
    <s v="-"/>
    <s v="+"/>
    <n v="10.93"/>
    <s v="-"/>
    <s v="-"/>
    <s v="-"/>
    <s v="-"/>
    <s v="-"/>
    <s v="-"/>
    <s v="-"/>
    <s v="-"/>
    <s v="P"/>
    <s v="P"/>
    <s v="-"/>
    <n v="2"/>
    <n v="1"/>
    <n v="2"/>
    <n v="0"/>
    <s v="-"/>
    <s v="-"/>
    <s v="-"/>
    <s v="-"/>
    <s v="-"/>
    <s v="-"/>
    <s v="-"/>
    <n v="5"/>
    <n v="6"/>
    <s v="-"/>
    <n v="1"/>
    <n v="1"/>
    <n v="2"/>
    <n v="2"/>
    <n v="7"/>
    <n v="8"/>
  </r>
  <r>
    <x v="3"/>
    <x v="78"/>
    <d v="2026-04-11T00:00:00"/>
    <s v="2ND"/>
    <d v="1899-12-30T18:00:00"/>
    <n v="3"/>
    <x v="12"/>
    <n v="1.9800000000000002E-2"/>
    <s v="P"/>
    <s v="P"/>
    <s v="P"/>
    <s v="+"/>
    <s v="+"/>
    <n v="12.13"/>
    <n v="13.13"/>
    <n v="0.49"/>
    <n v="64.900000000000006"/>
    <n v="13.8"/>
    <n v="1149"/>
    <n v="36.9"/>
    <s v="-"/>
    <s v="-"/>
    <s v="P"/>
    <s v="P"/>
    <s v="-"/>
    <n v="2"/>
    <n v="1"/>
    <n v="2"/>
    <n v="1"/>
    <s v="-"/>
    <n v="2"/>
    <n v="2"/>
    <s v="-"/>
    <s v="-"/>
    <n v="2"/>
    <s v="-"/>
    <n v="12"/>
    <n v="12"/>
    <s v="-"/>
    <n v="1"/>
    <n v="1"/>
    <n v="2"/>
    <n v="2"/>
    <n v="14"/>
    <n v="14"/>
  </r>
  <r>
    <x v="3"/>
    <x v="78"/>
    <d v="2026-04-11T00:00:00"/>
    <s v="2ND"/>
    <d v="1899-12-30T20:00:00"/>
    <n v="3"/>
    <x v="12"/>
    <n v="1.95E-2"/>
    <s v="P"/>
    <s v="P"/>
    <s v="P"/>
    <s v="+"/>
    <s v="+"/>
    <n v="11.91"/>
    <s v="-"/>
    <s v="-"/>
    <s v="-"/>
    <s v="-"/>
    <s v="-"/>
    <s v="-"/>
    <s v="-"/>
    <s v="-"/>
    <s v="-"/>
    <s v="-"/>
    <s v="-"/>
    <n v="2"/>
    <n v="1"/>
    <n v="2"/>
    <n v="1"/>
    <s v="-"/>
    <s v="-"/>
    <s v="-"/>
    <s v="-"/>
    <s v="-"/>
    <s v="-"/>
    <s v="-"/>
    <n v="6"/>
    <n v="6"/>
    <s v="-"/>
    <s v="-"/>
    <s v="-"/>
    <n v="0"/>
    <n v="0"/>
    <n v="6"/>
    <n v="6"/>
  </r>
  <r>
    <x v="3"/>
    <x v="78"/>
    <d v="2026-04-11T00:00:00"/>
    <s v="2ND"/>
    <d v="1899-12-30T21:00:00"/>
    <n v="3"/>
    <x v="12"/>
    <n v="1.7600000000000001E-2"/>
    <s v="P"/>
    <s v="P"/>
    <s v="P"/>
    <s v="+"/>
    <s v="+"/>
    <n v="11.92"/>
    <s v="-"/>
    <s v="-"/>
    <s v="-"/>
    <s v="-"/>
    <s v="-"/>
    <s v="-"/>
    <s v="-"/>
    <s v="-"/>
    <s v="-"/>
    <s v="-"/>
    <s v="-"/>
    <n v="2"/>
    <n v="1"/>
    <n v="2"/>
    <n v="1"/>
    <s v="-"/>
    <s v="-"/>
    <s v="-"/>
    <s v="-"/>
    <s v="-"/>
    <s v="-"/>
    <s v="-"/>
    <n v="6"/>
    <n v="6"/>
    <s v="-"/>
    <s v="-"/>
    <s v="-"/>
    <n v="0"/>
    <n v="0"/>
    <n v="6"/>
    <n v="6"/>
  </r>
  <r>
    <x v="3"/>
    <x v="78"/>
    <d v="2026-04-11T00:00:00"/>
    <s v="3RD"/>
    <d v="1899-12-30T22:00:00"/>
    <n v="3"/>
    <x v="12"/>
    <n v="1.5100000000000001E-2"/>
    <s v="P"/>
    <s v="P"/>
    <s v="P"/>
    <s v="+"/>
    <s v="+"/>
    <n v="11.98"/>
    <n v="13.13"/>
    <n v="0.49"/>
    <s v="-"/>
    <s v="-"/>
    <s v="-"/>
    <n v="36.9"/>
    <s v="-"/>
    <s v="-"/>
    <s v="P"/>
    <s v="P"/>
    <n v="1"/>
    <n v="2"/>
    <n v="1"/>
    <n v="2"/>
    <n v="1"/>
    <s v="-"/>
    <n v="2"/>
    <s v="-"/>
    <s v="-"/>
    <s v="-"/>
    <n v="2"/>
    <s v="-"/>
    <n v="10"/>
    <n v="10"/>
    <s v="-"/>
    <n v="1"/>
    <n v="1"/>
    <n v="2"/>
    <n v="2"/>
    <n v="12"/>
    <n v="12"/>
  </r>
  <r>
    <x v="3"/>
    <x v="78"/>
    <d v="2026-04-11T00:00:00"/>
    <s v="3RD"/>
    <d v="1899-12-30T23:00:00"/>
    <n v="3"/>
    <x v="12"/>
    <n v="1.89E-2"/>
    <s v="P"/>
    <s v="P"/>
    <s v="P"/>
    <s v="+"/>
    <s v="+"/>
    <n v="11.94"/>
    <s v="-"/>
    <s v="-"/>
    <s v="-"/>
    <s v="-"/>
    <s v="-"/>
    <s v="-"/>
    <s v="-"/>
    <s v="-"/>
    <s v="P"/>
    <s v="P"/>
    <s v="-"/>
    <n v="2"/>
    <n v="1"/>
    <n v="2"/>
    <n v="1"/>
    <s v="-"/>
    <s v="-"/>
    <s v="-"/>
    <s v="-"/>
    <s v="-"/>
    <s v="-"/>
    <s v="-"/>
    <n v="6"/>
    <n v="6"/>
    <s v="-"/>
    <n v="1"/>
    <n v="1"/>
    <n v="2"/>
    <n v="2"/>
    <n v="8"/>
    <n v="8"/>
  </r>
  <r>
    <x v="3"/>
    <x v="78"/>
    <d v="2026-04-11T00:00:00"/>
    <s v="3RD"/>
    <d v="1899-12-31T00:00:00"/>
    <n v="3"/>
    <x v="12"/>
    <n v="1.6E-2"/>
    <s v="P"/>
    <s v="P"/>
    <s v="P"/>
    <s v="+"/>
    <s v="+"/>
    <n v="12.06"/>
    <s v="-"/>
    <s v="-"/>
    <s v="-"/>
    <s v="-"/>
    <s v="-"/>
    <s v="-"/>
    <s v="-"/>
    <s v="-"/>
    <s v="P"/>
    <s v="P"/>
    <s v="-"/>
    <n v="2"/>
    <n v="1"/>
    <n v="2"/>
    <n v="1"/>
    <s v="-"/>
    <s v="-"/>
    <s v="-"/>
    <s v="-"/>
    <s v="-"/>
    <s v="-"/>
    <s v="-"/>
    <n v="6"/>
    <n v="6"/>
    <s v="-"/>
    <n v="1"/>
    <n v="1"/>
    <n v="2"/>
    <n v="2"/>
    <n v="8"/>
    <n v="8"/>
  </r>
  <r>
    <x v="3"/>
    <x v="78"/>
    <d v="2026-04-11T00:00:00"/>
    <s v="3RD"/>
    <d v="1899-12-31T01:00:00"/>
    <n v="3"/>
    <x v="12"/>
    <n v="1.55E-2"/>
    <s v="P"/>
    <s v="P"/>
    <s v="P"/>
    <s v="+"/>
    <s v="+"/>
    <n v="11.82"/>
    <s v="-"/>
    <s v="-"/>
    <s v="-"/>
    <s v="-"/>
    <s v="-"/>
    <s v="-"/>
    <s v="-"/>
    <s v="-"/>
    <s v="P"/>
    <s v="P"/>
    <s v="-"/>
    <n v="2"/>
    <n v="1"/>
    <n v="2"/>
    <n v="1"/>
    <s v="-"/>
    <s v="-"/>
    <s v="-"/>
    <s v="-"/>
    <s v="-"/>
    <s v="-"/>
    <s v="-"/>
    <n v="6"/>
    <n v="6"/>
    <s v="-"/>
    <n v="1"/>
    <n v="1"/>
    <n v="2"/>
    <n v="2"/>
    <n v="8"/>
    <n v="8"/>
  </r>
  <r>
    <x v="3"/>
    <x v="78"/>
    <d v="2026-04-11T00:00:00"/>
    <s v="3RD"/>
    <d v="1899-12-31T02:00:00"/>
    <n v="3"/>
    <x v="12"/>
    <n v="9.9000000000000008E-3"/>
    <s v="P"/>
    <s v="P"/>
    <s v="P"/>
    <s v="+"/>
    <s v="+"/>
    <n v="12.11"/>
    <s v="-"/>
    <s v="-"/>
    <s v="-"/>
    <s v="-"/>
    <s v="-"/>
    <s v="-"/>
    <s v="-"/>
    <s v="-"/>
    <s v="P"/>
    <s v="P"/>
    <s v="-"/>
    <n v="2"/>
    <n v="1"/>
    <n v="2"/>
    <n v="1"/>
    <s v="-"/>
    <s v="-"/>
    <s v="-"/>
    <s v="-"/>
    <s v="-"/>
    <s v="-"/>
    <s v="-"/>
    <n v="6"/>
    <n v="6"/>
    <s v="-"/>
    <n v="1"/>
    <n v="1"/>
    <n v="2"/>
    <n v="2"/>
    <n v="8"/>
    <n v="8"/>
  </r>
  <r>
    <x v="3"/>
    <x v="78"/>
    <d v="2026-04-11T00:00:00"/>
    <s v="3RD"/>
    <d v="1899-12-31T03:00:00"/>
    <n v="3"/>
    <x v="12"/>
    <n v="1.12E-2"/>
    <s v="P"/>
    <s v="P"/>
    <s v="P"/>
    <s v="+"/>
    <s v="+"/>
    <n v="12.04"/>
    <s v="-"/>
    <s v="-"/>
    <s v="-"/>
    <s v="-"/>
    <s v="-"/>
    <s v="-"/>
    <s v="-"/>
    <s v="-"/>
    <s v="P"/>
    <s v="P"/>
    <s v="-"/>
    <n v="2"/>
    <n v="1"/>
    <n v="2"/>
    <n v="1"/>
    <s v="-"/>
    <s v="-"/>
    <s v="-"/>
    <s v="-"/>
    <s v="-"/>
    <s v="-"/>
    <s v="-"/>
    <n v="6"/>
    <n v="6"/>
    <s v="-"/>
    <n v="1"/>
    <n v="1"/>
    <n v="2"/>
    <n v="2"/>
    <n v="8"/>
    <n v="8"/>
  </r>
  <r>
    <x v="3"/>
    <x v="78"/>
    <d v="2026-04-11T00:00:00"/>
    <s v="3RD"/>
    <d v="1899-12-31T04:00:00"/>
    <n v="3"/>
    <x v="12"/>
    <n v="1.55E-2"/>
    <s v="P"/>
    <s v="P"/>
    <s v="P"/>
    <s v="+"/>
    <s v="+"/>
    <n v="11.9"/>
    <s v="-"/>
    <s v="-"/>
    <s v="-"/>
    <s v="-"/>
    <s v="-"/>
    <s v="-"/>
    <s v="-"/>
    <s v="-"/>
    <s v="P"/>
    <s v="P"/>
    <s v="-"/>
    <n v="2"/>
    <n v="1"/>
    <n v="2"/>
    <n v="1"/>
    <s v="-"/>
    <s v="-"/>
    <s v="-"/>
    <s v="-"/>
    <s v="-"/>
    <s v="-"/>
    <s v="-"/>
    <n v="6"/>
    <n v="6"/>
    <s v="-"/>
    <n v="1"/>
    <n v="1"/>
    <n v="2"/>
    <n v="2"/>
    <n v="8"/>
    <n v="8"/>
  </r>
  <r>
    <x v="3"/>
    <x v="78"/>
    <d v="1902-03-26T00:00:00"/>
    <s v="1ST"/>
    <s v="10:00"/>
    <n v="2"/>
    <x v="17"/>
    <n v="7.9000000000000008E-3"/>
    <s v="P"/>
    <s v="P"/>
    <s v="P"/>
    <s v="-"/>
    <s v="+"/>
    <n v="9.44"/>
    <n v="8.14"/>
    <n v="0.4"/>
    <n v="57.9"/>
    <n v="5.5"/>
    <n v="295"/>
    <n v="21.7"/>
    <s v="-"/>
    <s v="-"/>
    <s v="P"/>
    <s v="P"/>
    <s v="-"/>
    <n v="2"/>
    <n v="1"/>
    <n v="2"/>
    <n v="0"/>
    <n v="1"/>
    <n v="2"/>
    <n v="2"/>
    <n v="1"/>
    <n v="0"/>
    <n v="2"/>
    <s v="-"/>
    <n v="13"/>
    <n v="15"/>
    <s v="-"/>
    <n v="1"/>
    <n v="1"/>
    <n v="2"/>
    <n v="2"/>
    <n v="15"/>
    <n v="17"/>
  </r>
  <r>
    <x v="3"/>
    <x v="78"/>
    <d v="1899-12-30T00:00:00"/>
    <s v="1ST"/>
    <s v="12:00"/>
    <n v="2"/>
    <x v="17"/>
    <n v="9.4000000000000004E-3"/>
    <s v="P"/>
    <s v="P"/>
    <s v="P"/>
    <s v="-"/>
    <s v="+"/>
    <n v="10.11"/>
    <s v="-"/>
    <s v="-"/>
    <s v="-"/>
    <s v="-"/>
    <s v="-"/>
    <s v="-"/>
    <s v="-"/>
    <s v="-"/>
    <s v="P"/>
    <s v="P"/>
    <s v="-"/>
    <n v="2"/>
    <n v="1"/>
    <n v="2"/>
    <n v="0"/>
    <s v="-"/>
    <s v="-"/>
    <s v="-"/>
    <s v="-"/>
    <s v="-"/>
    <s v="-"/>
    <s v="-"/>
    <n v="5"/>
    <n v="6"/>
    <s v="-"/>
    <n v="1"/>
    <n v="1"/>
    <n v="2"/>
    <n v="2"/>
    <n v="7"/>
    <n v="8"/>
  </r>
  <r>
    <x v="3"/>
    <x v="78"/>
    <d v="1899-12-30T00:00:00"/>
    <s v="2ND"/>
    <d v="1899-12-30T15:00:00"/>
    <n v="2"/>
    <x v="17"/>
    <n v="3.5000000000000001E-3"/>
    <s v="P"/>
    <s v="P"/>
    <s v="P"/>
    <s v="-"/>
    <s v="+"/>
    <n v="10.199999999999999"/>
    <n v="7.64"/>
    <s v="-"/>
    <s v="-"/>
    <s v="-"/>
    <s v="-"/>
    <n v="20.3"/>
    <s v="-"/>
    <n v="25.16"/>
    <s v="P"/>
    <s v="P"/>
    <s v="-"/>
    <n v="2"/>
    <n v="1"/>
    <n v="2"/>
    <n v="0"/>
    <n v="1"/>
    <s v="-"/>
    <s v="-"/>
    <s v="-"/>
    <s v="-"/>
    <n v="2"/>
    <s v="-"/>
    <n v="8"/>
    <n v="9"/>
    <n v="1"/>
    <n v="1"/>
    <n v="1"/>
    <n v="3"/>
    <n v="3"/>
    <n v="11"/>
    <n v="12"/>
  </r>
  <r>
    <x v="3"/>
    <x v="78"/>
    <d v="1899-12-30T00:00:00"/>
    <s v="2ND"/>
    <d v="1899-12-30T16:00:00"/>
    <n v="2"/>
    <x v="17"/>
    <n v="2.8999999999999998E-3"/>
    <s v="P"/>
    <s v="P"/>
    <s v="P"/>
    <s v="-"/>
    <s v="+"/>
    <n v="10.06"/>
    <s v="-"/>
    <s v="-"/>
    <s v="-"/>
    <s v="-"/>
    <s v="-"/>
    <s v="-"/>
    <s v="-"/>
    <s v="-"/>
    <s v="-"/>
    <s v="-"/>
    <s v="-"/>
    <n v="2"/>
    <n v="1"/>
    <n v="2"/>
    <n v="0"/>
    <s v="-"/>
    <s v="-"/>
    <s v="-"/>
    <s v="-"/>
    <s v="-"/>
    <s v="-"/>
    <s v="-"/>
    <n v="5"/>
    <n v="6"/>
    <s v="-"/>
    <s v="-"/>
    <s v="-"/>
    <n v="0"/>
    <n v="0"/>
    <n v="5"/>
    <n v="6"/>
  </r>
  <r>
    <x v="3"/>
    <x v="78"/>
    <d v="2026-04-13T00:00:00"/>
    <s v="1ST"/>
    <s v="08:00"/>
    <s v="Retail"/>
    <x v="19"/>
    <s v="-"/>
    <s v="-"/>
    <s v="P"/>
    <s v="P"/>
    <s v="-"/>
    <s v="-"/>
    <n v="12.69"/>
    <n v="15.63"/>
    <n v="1.18"/>
    <n v="71.8"/>
    <s v="-"/>
    <s v="-"/>
    <n v="44.4"/>
    <s v="-"/>
    <s v="-"/>
    <s v="P"/>
    <s v="P"/>
    <s v="-"/>
    <s v="-"/>
    <s v="-"/>
    <n v="2"/>
    <n v="1"/>
    <n v="1"/>
    <n v="2"/>
    <n v="2"/>
    <s v="-"/>
    <s v="-"/>
    <n v="2"/>
    <s v="-"/>
    <n v="10"/>
    <n v="10"/>
    <s v="-"/>
    <n v="1"/>
    <n v="1"/>
    <n v="2"/>
    <n v="2"/>
    <n v="12"/>
    <n v="12"/>
  </r>
  <r>
    <x v="3"/>
    <x v="78"/>
    <d v="2026-04-13T00:00:00"/>
    <s v="1ST"/>
    <s v="11:00"/>
    <s v="Retail"/>
    <x v="19"/>
    <s v="-"/>
    <s v="-"/>
    <s v="P"/>
    <s v="P"/>
    <s v="-"/>
    <s v="-"/>
    <n v="12.35"/>
    <s v="-"/>
    <s v="-"/>
    <s v="-"/>
    <s v="-"/>
    <s v="-"/>
    <s v="-"/>
    <s v="-"/>
    <s v="-"/>
    <s v="P"/>
    <s v="P"/>
    <s v="-"/>
    <s v="-"/>
    <s v="-"/>
    <n v="2"/>
    <n v="1"/>
    <s v="-"/>
    <s v="-"/>
    <s v="-"/>
    <s v="-"/>
    <s v="-"/>
    <s v="-"/>
    <s v="-"/>
    <n v="3"/>
    <n v="3"/>
    <s v="-"/>
    <n v="1"/>
    <n v="1"/>
    <n v="2"/>
    <n v="2"/>
    <n v="5"/>
    <n v="5"/>
  </r>
  <r>
    <x v="3"/>
    <x v="78"/>
    <d v="2026-04-13T00:00:00"/>
    <s v="1ST"/>
    <s v="09:00"/>
    <n v="3"/>
    <x v="0"/>
    <n v="9.2999999999999992E-3"/>
    <s v="P"/>
    <s v="P"/>
    <s v="P"/>
    <s v="+"/>
    <s v="+"/>
    <n v="12.27"/>
    <n v="12.84"/>
    <n v="0.66"/>
    <n v="66"/>
    <s v="-"/>
    <s v="-"/>
    <n v="35.700000000000003"/>
    <s v="-"/>
    <s v="-"/>
    <s v="P"/>
    <s v="P"/>
    <s v="95% 5%"/>
    <n v="2"/>
    <n v="1"/>
    <n v="2"/>
    <n v="1"/>
    <n v="1"/>
    <n v="0"/>
    <n v="2"/>
    <s v="-"/>
    <s v="-"/>
    <n v="2"/>
    <s v="-"/>
    <n v="11"/>
    <n v="13"/>
    <s v="-"/>
    <n v="1"/>
    <n v="1"/>
    <n v="2"/>
    <n v="2"/>
    <n v="13"/>
    <n v="15"/>
  </r>
  <r>
    <x v="3"/>
    <x v="78"/>
    <d v="2026-04-13T00:00:00"/>
    <s v="1ST"/>
    <s v="12:00"/>
    <n v="3"/>
    <x v="1"/>
    <n v="9.2999999999999992E-3"/>
    <s v="P"/>
    <s v="P"/>
    <s v="P"/>
    <s v="+"/>
    <s v="+"/>
    <n v="12.46"/>
    <s v="-"/>
    <s v="-"/>
    <s v="-"/>
    <s v="-"/>
    <s v="-"/>
    <s v="-"/>
    <s v="-"/>
    <s v="-"/>
    <s v="P"/>
    <s v="P"/>
    <s v="-"/>
    <n v="2"/>
    <n v="1"/>
    <n v="2"/>
    <n v="1"/>
    <s v="-"/>
    <s v="-"/>
    <s v="-"/>
    <s v="-"/>
    <s v="-"/>
    <s v="-"/>
    <s v="-"/>
    <n v="6"/>
    <n v="6"/>
    <s v="-"/>
    <n v="1"/>
    <n v="1"/>
    <n v="2"/>
    <n v="2"/>
    <n v="8"/>
    <n v="8"/>
  </r>
  <r>
    <x v="3"/>
    <x v="78"/>
    <d v="2026-04-13T00:00:00"/>
    <s v="1ST"/>
    <s v="13:00"/>
    <n v="3"/>
    <x v="1"/>
    <n v="1.5900000000000001E-2"/>
    <s v="P"/>
    <s v="P"/>
    <s v="P"/>
    <s v="+"/>
    <s v="+"/>
    <n v="12.37"/>
    <s v="-"/>
    <s v="-"/>
    <s v="-"/>
    <s v="-"/>
    <s v="-"/>
    <s v="-"/>
    <s v="-"/>
    <s v="-"/>
    <s v="P"/>
    <s v="P"/>
    <s v="-"/>
    <n v="2"/>
    <n v="1"/>
    <n v="2"/>
    <n v="1"/>
    <s v="-"/>
    <s v="-"/>
    <s v="-"/>
    <s v="-"/>
    <s v="-"/>
    <s v="-"/>
    <s v="-"/>
    <n v="6"/>
    <n v="6"/>
    <s v="-"/>
    <n v="1"/>
    <n v="1"/>
    <n v="2"/>
    <n v="2"/>
    <n v="8"/>
    <n v="8"/>
  </r>
  <r>
    <x v="3"/>
    <x v="78"/>
    <d v="2026-04-13T00:00:00"/>
    <s v="2ND"/>
    <d v="1899-12-30T14:00:00"/>
    <n v="3"/>
    <x v="1"/>
    <n v="1.6299999999999999E-2"/>
    <s v="P"/>
    <s v="P"/>
    <s v="P"/>
    <s v="+"/>
    <s v="+"/>
    <n v="11.91"/>
    <n v="13"/>
    <s v="-"/>
    <s v="-"/>
    <s v="-"/>
    <s v="-"/>
    <n v="36.5"/>
    <s v="-"/>
    <s v="-"/>
    <s v="P"/>
    <s v="P"/>
    <s v="-"/>
    <n v="2"/>
    <n v="1"/>
    <n v="2"/>
    <n v="0"/>
    <n v="1"/>
    <s v="-"/>
    <s v="-"/>
    <s v="-"/>
    <s v="-"/>
    <n v="2"/>
    <s v="-"/>
    <n v="8"/>
    <n v="9"/>
    <s v="-"/>
    <n v="1"/>
    <n v="1"/>
    <n v="2"/>
    <n v="2"/>
    <n v="10"/>
    <n v="11"/>
  </r>
  <r>
    <x v="3"/>
    <x v="78"/>
    <d v="2026-04-13T00:00:00"/>
    <s v="2ND"/>
    <d v="1899-12-30T15:00:00"/>
    <n v="3"/>
    <x v="1"/>
    <n v="1.5699999999999999E-2"/>
    <s v="P"/>
    <s v="P"/>
    <s v="P"/>
    <s v="+"/>
    <s v="+"/>
    <n v="11.88"/>
    <s v="-"/>
    <s v="-"/>
    <s v="-"/>
    <s v="-"/>
    <s v="-"/>
    <s v="-"/>
    <s v="-"/>
    <s v="-"/>
    <s v="-"/>
    <s v="-"/>
    <s v="-"/>
    <n v="2"/>
    <n v="1"/>
    <n v="2"/>
    <n v="0"/>
    <s v="-"/>
    <s v="-"/>
    <s v="-"/>
    <s v="-"/>
    <s v="-"/>
    <s v="-"/>
    <s v="-"/>
    <n v="5"/>
    <n v="6"/>
    <s v="-"/>
    <s v="-"/>
    <s v="-"/>
    <n v="0"/>
    <n v="0"/>
    <n v="5"/>
    <n v="6"/>
  </r>
  <r>
    <x v="3"/>
    <x v="78"/>
    <d v="2026-04-13T00:00:00"/>
    <s v="2ND"/>
    <d v="1899-12-30T16:00:00"/>
    <n v="3"/>
    <x v="1"/>
    <n v="1.9800000000000002E-2"/>
    <s v="P"/>
    <s v="P"/>
    <s v="P"/>
    <s v="+"/>
    <s v="+"/>
    <n v="11.99"/>
    <s v="-"/>
    <s v="-"/>
    <s v="-"/>
    <s v="-"/>
    <s v="-"/>
    <s v="-"/>
    <s v="-"/>
    <s v="-"/>
    <s v="-"/>
    <s v="-"/>
    <s v="-"/>
    <n v="2"/>
    <n v="1"/>
    <n v="2"/>
    <n v="0"/>
    <s v="-"/>
    <s v="-"/>
    <s v="-"/>
    <s v="-"/>
    <s v="-"/>
    <s v="-"/>
    <s v="-"/>
    <n v="5"/>
    <n v="6"/>
    <s v="-"/>
    <s v="-"/>
    <s v="-"/>
    <n v="0"/>
    <n v="0"/>
    <n v="5"/>
    <n v="6"/>
  </r>
  <r>
    <x v="3"/>
    <x v="78"/>
    <d v="1902-03-26T00:00:00"/>
    <s v="1ST"/>
    <s v="07:00"/>
    <n v="2"/>
    <x v="20"/>
    <n v="9.9000000000000008E-3"/>
    <s v="P"/>
    <s v="P"/>
    <s v="P"/>
    <s v="-"/>
    <s v="-"/>
    <n v="10.77"/>
    <n v="12.66"/>
    <n v="0.51"/>
    <n v="66.099999999999994"/>
    <s v="-"/>
    <s v="-"/>
    <n v="35.6"/>
    <s v="-"/>
    <s v="-"/>
    <s v="P"/>
    <s v="P"/>
    <s v="-"/>
    <n v="2"/>
    <n v="1"/>
    <n v="2"/>
    <n v="0"/>
    <n v="1"/>
    <n v="2"/>
    <n v="2"/>
    <s v="-"/>
    <s v="-"/>
    <n v="2"/>
    <s v="-"/>
    <n v="12"/>
    <n v="13"/>
    <s v="-"/>
    <n v="1"/>
    <n v="1"/>
    <n v="2"/>
    <n v="2"/>
    <n v="14"/>
    <n v="15"/>
  </r>
  <r>
    <x v="3"/>
    <x v="78"/>
    <d v="1899-12-30T00:00:00"/>
    <s v="1ST"/>
    <s v="08:00"/>
    <n v="2"/>
    <x v="20"/>
    <n v="1.1599999999999999E-2"/>
    <s v="P"/>
    <s v="P"/>
    <s v="P"/>
    <s v="-"/>
    <s v="-"/>
    <n v="11.67"/>
    <s v="-"/>
    <s v="-"/>
    <s v="-"/>
    <s v="-"/>
    <s v="-"/>
    <s v="-"/>
    <s v="-"/>
    <s v="-"/>
    <s v="P"/>
    <s v="P"/>
    <s v="-"/>
    <n v="2"/>
    <n v="1"/>
    <n v="2"/>
    <n v="1"/>
    <s v="-"/>
    <s v="-"/>
    <s v="-"/>
    <s v="-"/>
    <s v="-"/>
    <s v="-"/>
    <s v="-"/>
    <n v="6"/>
    <n v="6"/>
    <s v="-"/>
    <n v="1"/>
    <n v="1"/>
    <n v="2"/>
    <n v="2"/>
    <n v="8"/>
    <n v="8"/>
  </r>
  <r>
    <x v="3"/>
    <x v="78"/>
    <d v="1899-12-30T00:00:00"/>
    <s v="1ST"/>
    <s v="09:00"/>
    <n v="2"/>
    <x v="20"/>
    <n v="1.04E-2"/>
    <s v="P"/>
    <s v="P"/>
    <s v="P"/>
    <s v="-"/>
    <s v="-"/>
    <n v="11.74"/>
    <s v="-"/>
    <s v="-"/>
    <s v="-"/>
    <s v="-"/>
    <s v="-"/>
    <s v="-"/>
    <s v="-"/>
    <s v="-"/>
    <s v="P"/>
    <s v="P"/>
    <n v="1"/>
    <n v="2"/>
    <n v="1"/>
    <n v="2"/>
    <n v="1"/>
    <s v="-"/>
    <s v="-"/>
    <s v="-"/>
    <s v="-"/>
    <s v="-"/>
    <s v="-"/>
    <s v="-"/>
    <n v="6"/>
    <n v="6"/>
    <s v="-"/>
    <n v="1"/>
    <n v="1"/>
    <n v="2"/>
    <n v="2"/>
    <n v="8"/>
    <n v="8"/>
  </r>
  <r>
    <x v="3"/>
    <x v="79"/>
    <d v="2026-04-13T00:00:00"/>
    <s v="3RD"/>
    <d v="1899-12-30T04:00:00"/>
    <n v="3"/>
    <x v="10"/>
    <n v="1.23E-2"/>
    <s v="P"/>
    <s v="P"/>
    <s v="P"/>
    <s v="+"/>
    <s v="+"/>
    <n v="11.79"/>
    <n v="11.98"/>
    <n v="0.37"/>
    <n v="63.5"/>
    <n v="14.3"/>
    <n v="1261"/>
    <n v="33.4"/>
    <s v="-"/>
    <s v="-"/>
    <s v="P"/>
    <s v="P"/>
    <m/>
    <n v="2"/>
    <n v="1"/>
    <n v="2"/>
    <n v="0"/>
    <n v="1"/>
    <n v="2"/>
    <n v="2"/>
    <n v="1"/>
    <n v="0"/>
    <n v="2"/>
    <s v="-"/>
    <n v="13"/>
    <n v="15"/>
    <s v="-"/>
    <n v="1"/>
    <n v="1"/>
    <n v="2"/>
    <n v="2"/>
    <n v="15"/>
    <n v="17"/>
  </r>
  <r>
    <x v="3"/>
    <x v="80"/>
    <d v="2026-04-15T00:00:00"/>
    <s v="1ST"/>
    <s v="06:00"/>
    <n v="3"/>
    <x v="8"/>
    <n v="9.9000000000000008E-3"/>
    <s v="P"/>
    <s v="P"/>
    <s v="P"/>
    <s v="+"/>
    <s v="+"/>
    <n v="12.53"/>
    <n v="12.19"/>
    <n v="0.65"/>
    <n v="64.400000000000006"/>
    <s v="-"/>
    <s v="-"/>
    <n v="37"/>
    <s v="-"/>
    <s v="-"/>
    <s v="P"/>
    <s v="P"/>
    <n v="1"/>
    <n v="2"/>
    <n v="1"/>
    <n v="2"/>
    <n v="1"/>
    <n v="0"/>
    <n v="0"/>
    <n v="2"/>
    <s v="-"/>
    <s v="-"/>
    <s v="-"/>
    <s v="-"/>
    <n v="8"/>
    <n v="11"/>
    <s v="-"/>
    <n v="1"/>
    <n v="1"/>
    <n v="2"/>
    <n v="2"/>
    <n v="10"/>
    <n v="13"/>
  </r>
  <r>
    <x v="3"/>
    <x v="80"/>
    <d v="2026-04-15T00:00:00"/>
    <s v="1ST"/>
    <s v="08:00"/>
    <n v="3"/>
    <x v="8"/>
    <n v="1.67E-2"/>
    <s v="P"/>
    <s v="P"/>
    <s v="P"/>
    <s v="+"/>
    <s v="+"/>
    <n v="12.45"/>
    <s v="-"/>
    <s v="-"/>
    <s v="-"/>
    <s v="-"/>
    <s v="-"/>
    <s v="-"/>
    <s v="-"/>
    <s v="-"/>
    <s v="P"/>
    <s v="P"/>
    <s v="-"/>
    <n v="2"/>
    <n v="1"/>
    <n v="2"/>
    <n v="1"/>
    <s v="-"/>
    <s v="-"/>
    <s v="-"/>
    <s v="-"/>
    <s v="-"/>
    <s v="-"/>
    <s v="-"/>
    <n v="6"/>
    <n v="6"/>
    <s v="-"/>
    <n v="1"/>
    <n v="1"/>
    <n v="2"/>
    <n v="2"/>
    <n v="8"/>
    <n v="8"/>
  </r>
  <r>
    <x v="3"/>
    <x v="80"/>
    <d v="2026-04-15T00:00:00"/>
    <s v="1ST"/>
    <s v="09:00"/>
    <n v="3"/>
    <x v="8"/>
    <n v="1.9300000000000001E-2"/>
    <s v="P"/>
    <s v="P"/>
    <s v="P"/>
    <s v="+"/>
    <s v="+"/>
    <n v="12.88"/>
    <s v="-"/>
    <s v="-"/>
    <s v="-"/>
    <s v="-"/>
    <s v="-"/>
    <s v="-"/>
    <s v="-"/>
    <s v="-"/>
    <s v="P"/>
    <s v="P"/>
    <s v="-"/>
    <n v="2"/>
    <n v="1"/>
    <n v="2"/>
    <n v="1"/>
    <s v="-"/>
    <s v="-"/>
    <s v="-"/>
    <s v="-"/>
    <s v="-"/>
    <s v="-"/>
    <s v="-"/>
    <n v="6"/>
    <n v="6"/>
    <s v="-"/>
    <n v="1"/>
    <n v="1"/>
    <n v="2"/>
    <n v="2"/>
    <n v="8"/>
    <n v="8"/>
  </r>
  <r>
    <x v="3"/>
    <x v="80"/>
    <d v="2026-04-15T00:00:00"/>
    <s v="1ST"/>
    <s v="11:00"/>
    <n v="3"/>
    <x v="8"/>
    <n v="1.7000000000000001E-2"/>
    <s v="P"/>
    <s v="P"/>
    <s v="P"/>
    <s v="+"/>
    <s v="+"/>
    <n v="12.88"/>
    <s v="-"/>
    <s v="-"/>
    <s v="-"/>
    <s v="-"/>
    <s v="-"/>
    <s v="-"/>
    <s v="-"/>
    <s v="-"/>
    <s v="P"/>
    <s v="P"/>
    <s v="-"/>
    <n v="2"/>
    <n v="1"/>
    <n v="2"/>
    <n v="1"/>
    <s v="-"/>
    <s v="-"/>
    <s v="-"/>
    <s v="-"/>
    <s v="-"/>
    <s v="-"/>
    <s v="-"/>
    <n v="6"/>
    <n v="6"/>
    <s v="-"/>
    <n v="1"/>
    <n v="1"/>
    <n v="2"/>
    <n v="2"/>
    <n v="8"/>
    <n v="8"/>
  </r>
  <r>
    <x v="3"/>
    <x v="80"/>
    <d v="2026-04-15T00:00:00"/>
    <s v="1ST"/>
    <s v="12:00"/>
    <n v="3"/>
    <x v="8"/>
    <n v="1.9300000000000001E-2"/>
    <s v="P"/>
    <s v="P"/>
    <s v="P"/>
    <s v="+"/>
    <s v="+"/>
    <n v="13"/>
    <s v="-"/>
    <s v="-"/>
    <s v="-"/>
    <s v="-"/>
    <s v="-"/>
    <s v="-"/>
    <s v="-"/>
    <s v="-"/>
    <s v="P"/>
    <s v="P"/>
    <s v="-"/>
    <n v="2"/>
    <n v="1"/>
    <n v="2"/>
    <n v="1"/>
    <s v="-"/>
    <s v="-"/>
    <s v="-"/>
    <s v="-"/>
    <s v="-"/>
    <s v="-"/>
    <s v="-"/>
    <n v="6"/>
    <n v="6"/>
    <s v="-"/>
    <n v="1"/>
    <n v="1"/>
    <n v="2"/>
    <n v="2"/>
    <n v="8"/>
    <n v="8"/>
  </r>
  <r>
    <x v="3"/>
    <x v="80"/>
    <d v="2026-04-15T00:00:00"/>
    <s v="1ST"/>
    <s v="13:00"/>
    <n v="3"/>
    <x v="8"/>
    <n v="1.1299999999999999E-2"/>
    <s v="P"/>
    <s v="P"/>
    <s v="P"/>
    <s v="+"/>
    <s v="+"/>
    <n v="13.12"/>
    <s v="-"/>
    <s v="-"/>
    <s v="-"/>
    <s v="-"/>
    <s v="-"/>
    <s v="-"/>
    <s v="-"/>
    <s v="-"/>
    <s v="P"/>
    <s v="P"/>
    <s v="-"/>
    <n v="2"/>
    <n v="1"/>
    <n v="2"/>
    <n v="1"/>
    <s v="-"/>
    <s v="-"/>
    <s v="-"/>
    <s v="-"/>
    <s v="-"/>
    <s v="-"/>
    <s v="-"/>
    <n v="6"/>
    <n v="6"/>
    <s v="-"/>
    <n v="1"/>
    <n v="1"/>
    <n v="2"/>
    <n v="2"/>
    <n v="8"/>
    <n v="8"/>
  </r>
  <r>
    <x v="3"/>
    <x v="80"/>
    <d v="1902-03-26T00:00:00"/>
    <s v="3RD"/>
    <d v="1899-12-30T22:00:00"/>
    <n v="2"/>
    <x v="20"/>
    <n v="8.3999999999999995E-3"/>
    <s v="P"/>
    <s v="P"/>
    <s v="P"/>
    <s v="-"/>
    <s v="-"/>
    <n v="11.55"/>
    <n v="13.37"/>
    <n v="0.62"/>
    <n v="67.900000000000006"/>
    <s v="-"/>
    <s v="-"/>
    <n v="37.700000000000003"/>
    <s v="-"/>
    <s v="-"/>
    <s v="P"/>
    <s v="P"/>
    <s v="-"/>
    <n v="2"/>
    <n v="1"/>
    <n v="2"/>
    <n v="1"/>
    <n v="1"/>
    <n v="2"/>
    <n v="2"/>
    <s v="-"/>
    <s v="-"/>
    <n v="2"/>
    <s v="-"/>
    <n v="13"/>
    <n v="13"/>
    <s v="-"/>
    <n v="1"/>
    <n v="1"/>
    <n v="2"/>
    <n v="2"/>
    <n v="15"/>
    <n v="15"/>
  </r>
  <r>
    <x v="3"/>
    <x v="80"/>
    <d v="1899-12-30T00:00:00"/>
    <s v="3RD"/>
    <d v="1899-12-30T23:00:00"/>
    <n v="2"/>
    <x v="20"/>
    <n v="9.9000000000000008E-3"/>
    <s v="P"/>
    <s v="P"/>
    <s v="P"/>
    <s v="-"/>
    <s v="-"/>
    <n v="11.47"/>
    <s v="-"/>
    <s v="-"/>
    <s v="-"/>
    <s v="-"/>
    <s v="-"/>
    <s v="-"/>
    <s v="-"/>
    <s v="-"/>
    <s v="P"/>
    <s v="P"/>
    <s v="-"/>
    <n v="2"/>
    <n v="1"/>
    <n v="2"/>
    <n v="1"/>
    <s v="-"/>
    <s v="-"/>
    <s v="-"/>
    <s v="-"/>
    <s v="-"/>
    <s v="-"/>
    <s v="-"/>
    <n v="6"/>
    <n v="6"/>
    <s v="-"/>
    <n v="1"/>
    <n v="1"/>
    <n v="2"/>
    <n v="2"/>
    <n v="8"/>
    <n v="8"/>
  </r>
  <r>
    <x v="3"/>
    <x v="80"/>
    <d v="1899-12-30T00:00:00"/>
    <s v="3RD"/>
    <d v="1899-12-31T00:00:00"/>
    <n v="2"/>
    <x v="20"/>
    <n v="1.32E-2"/>
    <s v="P"/>
    <s v="P"/>
    <s v="P"/>
    <s v="-"/>
    <s v="-"/>
    <n v="11.73"/>
    <s v="-"/>
    <s v="-"/>
    <s v="-"/>
    <s v="-"/>
    <s v="-"/>
    <s v="-"/>
    <s v="-"/>
    <s v="-"/>
    <s v="P"/>
    <s v="P"/>
    <s v="-"/>
    <n v="2"/>
    <n v="1"/>
    <n v="2"/>
    <n v="1"/>
    <s v="-"/>
    <s v="-"/>
    <s v="-"/>
    <s v="-"/>
    <s v="-"/>
    <s v="-"/>
    <s v="-"/>
    <n v="6"/>
    <n v="6"/>
    <s v="-"/>
    <n v="1"/>
    <n v="1"/>
    <n v="2"/>
    <n v="2"/>
    <n v="8"/>
    <n v="8"/>
  </r>
  <r>
    <x v="3"/>
    <x v="80"/>
    <s v="-"/>
    <s v="1ST"/>
    <s v="06:00"/>
    <n v="1"/>
    <x v="22"/>
    <n v="1.23E-2"/>
    <s v="P"/>
    <s v="P"/>
    <s v="P"/>
    <s v="-"/>
    <s v="-"/>
    <n v="11.3"/>
    <n v="8.11"/>
    <n v="0.57999999999999996"/>
    <n v="55.8"/>
    <s v="-"/>
    <s v="-"/>
    <n v="21.7"/>
    <s v="-"/>
    <s v="-"/>
    <s v="P"/>
    <s v="P"/>
    <n v="1"/>
    <n v="2"/>
    <n v="1"/>
    <n v="2"/>
    <n v="1"/>
    <n v="0"/>
    <n v="2"/>
    <n v="2"/>
    <s v="-"/>
    <s v="-"/>
    <n v="2"/>
    <s v="-"/>
    <n v="12"/>
    <n v="13"/>
    <s v="-"/>
    <n v="1"/>
    <n v="1"/>
    <n v="2"/>
    <n v="2"/>
    <n v="14"/>
    <n v="15"/>
  </r>
  <r>
    <x v="3"/>
    <x v="80"/>
    <d v="2026-04-15T00:00:00"/>
    <s v="1ST"/>
    <s v="07:00"/>
    <n v="1"/>
    <x v="22"/>
    <n v="1.8599999999999998E-2"/>
    <s v="P"/>
    <s v="P"/>
    <s v="P"/>
    <s v="-"/>
    <s v="-"/>
    <n v="11.33"/>
    <s v="-"/>
    <s v="-"/>
    <s v="-"/>
    <s v="-"/>
    <s v="-"/>
    <s v="-"/>
    <s v="-"/>
    <s v="-"/>
    <s v="P"/>
    <s v="P"/>
    <s v="-"/>
    <n v="2"/>
    <n v="1"/>
    <n v="2"/>
    <n v="1"/>
    <s v="-"/>
    <s v="-"/>
    <s v="-"/>
    <s v="-"/>
    <s v="-"/>
    <s v="-"/>
    <s v="-"/>
    <n v="6"/>
    <n v="6"/>
    <s v="-"/>
    <n v="1"/>
    <n v="1"/>
    <n v="2"/>
    <n v="2"/>
    <n v="8"/>
    <n v="8"/>
  </r>
  <r>
    <x v="3"/>
    <x v="80"/>
    <d v="2026-04-15T00:00:00"/>
    <s v="1ST"/>
    <s v="08:00"/>
    <n v="1"/>
    <x v="22"/>
    <n v="1.17E-2"/>
    <s v="P"/>
    <s v="P"/>
    <s v="P"/>
    <s v="-"/>
    <s v="-"/>
    <n v="11.49"/>
    <s v="-"/>
    <s v="-"/>
    <s v="-"/>
    <s v="-"/>
    <s v="-"/>
    <s v="-"/>
    <s v="-"/>
    <s v="-"/>
    <s v="P"/>
    <s v="P"/>
    <s v="-"/>
    <n v="2"/>
    <n v="1"/>
    <n v="2"/>
    <n v="1"/>
    <s v="-"/>
    <s v="-"/>
    <s v="-"/>
    <s v="-"/>
    <s v="-"/>
    <s v="-"/>
    <s v="-"/>
    <n v="6"/>
    <n v="6"/>
    <s v="-"/>
    <n v="1"/>
    <n v="1"/>
    <n v="2"/>
    <n v="2"/>
    <n v="8"/>
    <n v="8"/>
  </r>
  <r>
    <x v="3"/>
    <x v="80"/>
    <d v="2026-04-15T00:00:00"/>
    <s v="1ST"/>
    <s v="09:00"/>
    <n v="1"/>
    <x v="22"/>
    <n v="1.21E-2"/>
    <s v="P"/>
    <s v="P"/>
    <s v="P"/>
    <s v="-"/>
    <s v="-"/>
    <n v="11.27"/>
    <s v="-"/>
    <s v="-"/>
    <s v="-"/>
    <s v="-"/>
    <s v="-"/>
    <s v="-"/>
    <s v="-"/>
    <s v="-"/>
    <s v="P"/>
    <s v="P"/>
    <s v="-"/>
    <n v="2"/>
    <n v="1"/>
    <n v="2"/>
    <n v="1"/>
    <s v="-"/>
    <s v="-"/>
    <s v="-"/>
    <s v="-"/>
    <s v="-"/>
    <s v="-"/>
    <s v="-"/>
    <n v="6"/>
    <n v="6"/>
    <s v="-"/>
    <n v="1"/>
    <n v="1"/>
    <n v="2"/>
    <n v="2"/>
    <n v="8"/>
    <n v="8"/>
  </r>
  <r>
    <x v="3"/>
    <x v="80"/>
    <d v="2026-04-15T00:00:00"/>
    <s v="1ST"/>
    <s v="12:00"/>
    <n v="1"/>
    <x v="22"/>
    <n v="1.2200000000000001E-2"/>
    <s v="P"/>
    <s v="P"/>
    <s v="P"/>
    <s v="-"/>
    <s v="-"/>
    <n v="11.32"/>
    <s v="-"/>
    <s v="-"/>
    <s v="-"/>
    <s v="-"/>
    <s v="-"/>
    <s v="-"/>
    <s v="-"/>
    <s v="-"/>
    <s v="P"/>
    <s v="P"/>
    <s v="-"/>
    <n v="2"/>
    <n v="1"/>
    <n v="2"/>
    <n v="1"/>
    <s v="-"/>
    <s v="-"/>
    <s v="-"/>
    <s v="-"/>
    <s v="-"/>
    <s v="-"/>
    <s v="-"/>
    <n v="6"/>
    <n v="6"/>
    <s v="-"/>
    <n v="1"/>
    <n v="1"/>
    <n v="2"/>
    <n v="2"/>
    <n v="8"/>
    <n v="8"/>
  </r>
  <r>
    <x v="3"/>
    <x v="80"/>
    <d v="2026-04-15T00:00:00"/>
    <s v="1ST"/>
    <s v="13:00"/>
    <n v="1"/>
    <x v="22"/>
    <n v="9.2999999999999992E-3"/>
    <s v="P"/>
    <s v="P"/>
    <s v="P"/>
    <s v="-"/>
    <s v="-"/>
    <n v="11.51"/>
    <s v="-"/>
    <s v="-"/>
    <s v="-"/>
    <s v="-"/>
    <s v="-"/>
    <s v="-"/>
    <s v="-"/>
    <s v="-"/>
    <s v="P"/>
    <s v="P"/>
    <s v="-"/>
    <n v="2"/>
    <n v="1"/>
    <n v="2"/>
    <n v="1"/>
    <s v="-"/>
    <s v="-"/>
    <s v="-"/>
    <s v="-"/>
    <s v="-"/>
    <s v="-"/>
    <s v="-"/>
    <n v="6"/>
    <n v="6"/>
    <s v="-"/>
    <n v="1"/>
    <n v="1"/>
    <n v="2"/>
    <n v="2"/>
    <n v="8"/>
    <n v="8"/>
  </r>
  <r>
    <x v="3"/>
    <x v="80"/>
    <s v="-"/>
    <s v="3RD"/>
    <d v="1899-12-30T22:00:00"/>
    <n v="1"/>
    <x v="22"/>
    <n v="1.7000000000000001E-2"/>
    <s v="P"/>
    <s v="P"/>
    <s v="P"/>
    <s v="-"/>
    <s v="-"/>
    <n v="11"/>
    <n v="9.82"/>
    <s v="-"/>
    <s v="-"/>
    <s v="-"/>
    <s v="-"/>
    <n v="26.9"/>
    <s v="-"/>
    <s v="-"/>
    <s v="P"/>
    <s v="P"/>
    <n v="1"/>
    <n v="2"/>
    <n v="1"/>
    <n v="2"/>
    <n v="1"/>
    <n v="1"/>
    <s v="-"/>
    <s v="-"/>
    <s v="-"/>
    <s v="-"/>
    <n v="2"/>
    <s v="-"/>
    <n v="9"/>
    <n v="9"/>
    <s v="-"/>
    <n v="1"/>
    <n v="1"/>
    <n v="2"/>
    <n v="2"/>
    <n v="11"/>
    <n v="11"/>
  </r>
  <r>
    <x v="3"/>
    <x v="80"/>
    <d v="2026-04-15T00:00:00"/>
    <s v="3RD"/>
    <d v="1899-12-30T23:00:00"/>
    <n v="1"/>
    <x v="22"/>
    <n v="1.55E-2"/>
    <s v="P"/>
    <s v="P"/>
    <s v="P"/>
    <s v="-"/>
    <s v="-"/>
    <n v="10.76"/>
    <s v="-"/>
    <s v="-"/>
    <s v="-"/>
    <s v="-"/>
    <s v="-"/>
    <s v="-"/>
    <s v="-"/>
    <s v="-"/>
    <s v="P"/>
    <s v="P"/>
    <s v="-"/>
    <n v="2"/>
    <n v="1"/>
    <n v="2"/>
    <n v="0"/>
    <s v="-"/>
    <s v="-"/>
    <s v="-"/>
    <s v="-"/>
    <s v="-"/>
    <s v="-"/>
    <s v="-"/>
    <n v="5"/>
    <n v="6"/>
    <s v="-"/>
    <n v="1"/>
    <n v="1"/>
    <n v="2"/>
    <n v="2"/>
    <n v="7"/>
    <n v="8"/>
  </r>
  <r>
    <x v="3"/>
    <x v="80"/>
    <d v="2026-04-15T00:00:00"/>
    <s v="3RD"/>
    <d v="1899-12-31T00:00:00"/>
    <n v="1"/>
    <x v="22"/>
    <n v="1.3100000000000001E-2"/>
    <s v="P"/>
    <s v="P"/>
    <s v="P"/>
    <s v="-"/>
    <s v="-"/>
    <n v="10.69"/>
    <s v="-"/>
    <s v="-"/>
    <s v="-"/>
    <s v="-"/>
    <s v="-"/>
    <s v="-"/>
    <s v="-"/>
    <s v="-"/>
    <s v="P"/>
    <s v="P"/>
    <s v="-"/>
    <n v="2"/>
    <n v="1"/>
    <n v="2"/>
    <n v="0"/>
    <s v="-"/>
    <s v="-"/>
    <s v="-"/>
    <s v="-"/>
    <s v="-"/>
    <s v="-"/>
    <s v="-"/>
    <n v="5"/>
    <n v="6"/>
    <s v="-"/>
    <n v="1"/>
    <n v="1"/>
    <n v="2"/>
    <n v="2"/>
    <n v="7"/>
    <n v="8"/>
  </r>
  <r>
    <x v="3"/>
    <x v="80"/>
    <d v="2026-04-15T00:00:00"/>
    <s v="3RD"/>
    <d v="1899-12-31T02:00:00"/>
    <n v="1"/>
    <x v="22"/>
    <n v="1.95E-2"/>
    <s v="P"/>
    <s v="P"/>
    <s v="P"/>
    <s v="-"/>
    <s v="-"/>
    <n v="11.04"/>
    <s v="-"/>
    <s v="-"/>
    <s v="-"/>
    <s v="-"/>
    <s v="-"/>
    <s v="-"/>
    <s v="-"/>
    <s v="-"/>
    <s v="P"/>
    <s v="P"/>
    <s v="-"/>
    <n v="2"/>
    <n v="1"/>
    <n v="2"/>
    <n v="1"/>
    <s v="-"/>
    <s v="-"/>
    <s v="-"/>
    <s v="-"/>
    <s v="-"/>
    <s v="-"/>
    <s v="-"/>
    <n v="6"/>
    <n v="6"/>
    <s v="-"/>
    <n v="1"/>
    <n v="1"/>
    <n v="2"/>
    <n v="2"/>
    <n v="8"/>
    <n v="8"/>
  </r>
  <r>
    <x v="3"/>
    <x v="81"/>
    <d v="2026-03-14T00:00:00"/>
    <s v="1ST"/>
    <s v="08:00"/>
    <n v="1"/>
    <x v="20"/>
    <n v="1.9400000000000001E-2"/>
    <s v="P"/>
    <s v="P"/>
    <s v="P"/>
    <s v="-"/>
    <s v="-"/>
    <n v="11.24"/>
    <n v="12.89"/>
    <n v="0.63"/>
    <n v="60.7"/>
    <s v="-"/>
    <s v="-"/>
    <n v="36.299999999999997"/>
    <s v="-"/>
    <s v="-"/>
    <s v="P"/>
    <s v="P"/>
    <s v="-"/>
    <n v="2"/>
    <n v="1"/>
    <n v="2"/>
    <n v="1"/>
    <n v="1"/>
    <n v="2"/>
    <n v="2"/>
    <s v="-"/>
    <s v="-"/>
    <n v="2"/>
    <s v="-"/>
    <n v="13"/>
    <n v="13"/>
    <s v="-"/>
    <n v="1"/>
    <n v="1"/>
    <n v="2"/>
    <n v="2"/>
    <n v="15"/>
    <n v="15"/>
  </r>
  <r>
    <x v="3"/>
    <x v="81"/>
    <d v="2026-03-14T00:00:00"/>
    <s v="1ST"/>
    <s v="09:00"/>
    <n v="1"/>
    <x v="20"/>
    <n v="1.6E-2"/>
    <s v="P"/>
    <s v="P"/>
    <s v="P"/>
    <s v="-"/>
    <s v="-"/>
    <n v="11.28"/>
    <s v="-"/>
    <s v="-"/>
    <s v="-"/>
    <s v="-"/>
    <s v="-"/>
    <s v="-"/>
    <s v="-"/>
    <s v="-"/>
    <s v="P"/>
    <s v="P"/>
    <s v="-"/>
    <n v="2"/>
    <n v="1"/>
    <n v="2"/>
    <n v="1"/>
    <s v="-"/>
    <s v="-"/>
    <s v="-"/>
    <s v="-"/>
    <s v="-"/>
    <s v="-"/>
    <s v="-"/>
    <n v="6"/>
    <n v="6"/>
    <s v="-"/>
    <n v="1"/>
    <n v="1"/>
    <n v="2"/>
    <n v="2"/>
    <n v="8"/>
    <n v="8"/>
  </r>
  <r>
    <x v="3"/>
    <x v="81"/>
    <d v="2026-03-14T00:00:00"/>
    <s v="1ST"/>
    <s v="10:00"/>
    <n v="1"/>
    <x v="20"/>
    <n v="7.4000000000000003E-3"/>
    <s v="P"/>
    <s v="P"/>
    <s v="P"/>
    <s v="-"/>
    <s v="-"/>
    <n v="11.95"/>
    <s v="-"/>
    <s v="-"/>
    <s v="-"/>
    <s v="-"/>
    <s v="-"/>
    <s v="-"/>
    <s v="-"/>
    <s v="-"/>
    <s v="P"/>
    <s v="P"/>
    <s v="-"/>
    <n v="2"/>
    <n v="1"/>
    <n v="2"/>
    <n v="1"/>
    <s v="-"/>
    <s v="-"/>
    <s v="-"/>
    <s v="-"/>
    <s v="-"/>
    <s v="-"/>
    <s v="-"/>
    <n v="6"/>
    <n v="6"/>
    <s v="-"/>
    <n v="1"/>
    <n v="1"/>
    <n v="2"/>
    <n v="2"/>
    <n v="8"/>
    <n v="8"/>
  </r>
  <r>
    <x v="3"/>
    <x v="81"/>
    <d v="2026-03-14T00:00:00"/>
    <s v="1ST"/>
    <s v="11:00"/>
    <n v="1"/>
    <x v="20"/>
    <n v="1.2200000000000001E-2"/>
    <s v="P"/>
    <s v="P"/>
    <s v="P"/>
    <s v="-"/>
    <s v="-"/>
    <n v="11.78"/>
    <s v="-"/>
    <s v="-"/>
    <s v="-"/>
    <s v="-"/>
    <s v="-"/>
    <s v="-"/>
    <s v="-"/>
    <s v="-"/>
    <s v="P"/>
    <s v="P"/>
    <s v="-"/>
    <n v="2"/>
    <n v="1"/>
    <n v="2"/>
    <n v="1"/>
    <s v="-"/>
    <s v="-"/>
    <s v="-"/>
    <s v="-"/>
    <s v="-"/>
    <s v="-"/>
    <s v="-"/>
    <n v="6"/>
    <n v="6"/>
    <s v="-"/>
    <n v="1"/>
    <n v="1"/>
    <n v="2"/>
    <n v="2"/>
    <n v="8"/>
    <n v="8"/>
  </r>
  <r>
    <x v="3"/>
    <x v="81"/>
    <d v="2026-03-14T00:00:00"/>
    <s v="1ST"/>
    <s v="12:00"/>
    <n v="1"/>
    <x v="20"/>
    <n v="1.3100000000000001E-2"/>
    <s v="P"/>
    <s v="P"/>
    <s v="P"/>
    <s v="-"/>
    <s v="-"/>
    <n v="11.91"/>
    <s v="-"/>
    <s v="-"/>
    <s v="-"/>
    <s v="-"/>
    <s v="-"/>
    <s v="-"/>
    <s v="-"/>
    <s v="-"/>
    <s v="P"/>
    <s v="P"/>
    <s v="-"/>
    <n v="2"/>
    <n v="1"/>
    <n v="2"/>
    <n v="1"/>
    <s v="-"/>
    <s v="-"/>
    <s v="-"/>
    <s v="-"/>
    <s v="-"/>
    <s v="-"/>
    <s v="-"/>
    <n v="6"/>
    <n v="6"/>
    <s v="-"/>
    <n v="1"/>
    <n v="1"/>
    <n v="2"/>
    <n v="2"/>
    <n v="8"/>
    <n v="8"/>
  </r>
  <r>
    <x v="3"/>
    <x v="81"/>
    <d v="2026-03-14T00:00:00"/>
    <s v="1ST"/>
    <s v="13:00"/>
    <n v="1"/>
    <x v="20"/>
    <s v="-"/>
    <s v="P"/>
    <s v="P"/>
    <s v="P"/>
    <s v="-"/>
    <s v="-"/>
    <s v="-"/>
    <s v="-"/>
    <s v="-"/>
    <s v="-"/>
    <s v="-"/>
    <s v="-"/>
    <s v="-"/>
    <s v="-"/>
    <s v="-"/>
    <s v="P"/>
    <s v="P"/>
    <s v="-"/>
    <s v="-"/>
    <n v="1"/>
    <n v="2"/>
    <s v="-"/>
    <s v="-"/>
    <s v="-"/>
    <s v="-"/>
    <s v="-"/>
    <s v="-"/>
    <s v="-"/>
    <s v="-"/>
    <n v="3"/>
    <n v="3"/>
    <s v="-"/>
    <n v="1"/>
    <n v="1"/>
    <n v="2"/>
    <n v="2"/>
    <n v="5"/>
    <n v="5"/>
  </r>
  <r>
    <x v="3"/>
    <x v="81"/>
    <d v="2026-04-15T00:00:00"/>
    <s v="1ST"/>
    <s v="07:00"/>
    <n v="1"/>
    <x v="22"/>
    <n v="1.89E-2"/>
    <s v="P"/>
    <s v="P"/>
    <s v="P"/>
    <s v="-"/>
    <s v="-"/>
    <n v="11.19"/>
    <n v="9.2100000000000009"/>
    <n v="0.54"/>
    <n v="54.2"/>
    <s v="-"/>
    <s v="-"/>
    <n v="25.1"/>
    <s v="-"/>
    <s v="-"/>
    <s v="P"/>
    <s v="P"/>
    <n v="1"/>
    <n v="2"/>
    <n v="1"/>
    <n v="2"/>
    <n v="1"/>
    <n v="1"/>
    <n v="2"/>
    <n v="2"/>
    <s v="-"/>
    <s v="-"/>
    <n v="2"/>
    <s v="-"/>
    <n v="13"/>
    <n v="13"/>
    <s v="-"/>
    <n v="1"/>
    <n v="1"/>
    <n v="2"/>
    <n v="2"/>
    <n v="15"/>
    <n v="15"/>
  </r>
  <r>
    <x v="3"/>
    <x v="82"/>
    <d v="1902-03-26T00:00:00"/>
    <s v="3RD"/>
    <d v="1899-12-31T00:00:00"/>
    <n v="2"/>
    <x v="2"/>
    <n v="1.23E-2"/>
    <s v="P"/>
    <s v="P"/>
    <s v="P"/>
    <s v="-"/>
    <s v="+"/>
    <n v="10.25"/>
    <n v="10.35"/>
    <n v="0.59"/>
    <n v="58.7"/>
    <n v="19"/>
    <n v="389"/>
    <n v="28.7"/>
    <s v="-"/>
    <s v="-"/>
    <s v="P"/>
    <s v="P"/>
    <s v="-"/>
    <n v="2"/>
    <n v="1"/>
    <n v="2"/>
    <n v="0"/>
    <n v="1"/>
    <n v="2"/>
    <n v="0"/>
    <n v="1"/>
    <n v="0"/>
    <n v="2"/>
    <s v="-"/>
    <n v="11"/>
    <n v="15"/>
    <s v="-"/>
    <n v="1"/>
    <n v="1"/>
    <n v="2"/>
    <n v="2"/>
    <n v="13"/>
    <n v="17"/>
  </r>
  <r>
    <x v="3"/>
    <x v="82"/>
    <d v="1899-12-30T00:00:00"/>
    <s v="3RD"/>
    <d v="1899-12-31T01:00:00"/>
    <n v="2"/>
    <x v="2"/>
    <n v="1.2699999999999999E-2"/>
    <s v="P"/>
    <s v="P"/>
    <s v="P"/>
    <s v="-"/>
    <s v="+"/>
    <n v="10.91"/>
    <s v="-"/>
    <s v="-"/>
    <s v="-"/>
    <s v="-"/>
    <s v="-"/>
    <s v="-"/>
    <s v="-"/>
    <s v="-"/>
    <s v="P"/>
    <s v="P"/>
    <s v="-"/>
    <n v="2"/>
    <n v="1"/>
    <n v="2"/>
    <n v="0"/>
    <s v="-"/>
    <s v="-"/>
    <s v="-"/>
    <s v="-"/>
    <s v="-"/>
    <s v="-"/>
    <s v="-"/>
    <n v="5"/>
    <n v="6"/>
    <s v="-"/>
    <n v="1"/>
    <n v="1"/>
    <n v="2"/>
    <n v="2"/>
    <n v="7"/>
    <n v="8"/>
  </r>
  <r>
    <x v="3"/>
    <x v="82"/>
    <d v="1899-12-30T00:00:00"/>
    <s v="3RD"/>
    <d v="1899-12-31T02:00:00"/>
    <n v="2"/>
    <x v="2"/>
    <n v="1.14E-2"/>
    <s v="P"/>
    <s v="P"/>
    <s v="P"/>
    <s v="-"/>
    <s v="+"/>
    <n v="10.83"/>
    <s v="-"/>
    <s v="-"/>
    <s v="-"/>
    <s v="-"/>
    <s v="-"/>
    <s v="-"/>
    <s v="-"/>
    <s v="-"/>
    <s v="P"/>
    <s v="P"/>
    <s v="-"/>
    <n v="2"/>
    <n v="1"/>
    <n v="2"/>
    <n v="0"/>
    <s v="-"/>
    <s v="-"/>
    <s v="-"/>
    <s v="-"/>
    <s v="-"/>
    <s v="-"/>
    <s v="-"/>
    <n v="5"/>
    <n v="6"/>
    <s v="-"/>
    <n v="1"/>
    <n v="1"/>
    <n v="2"/>
    <n v="2"/>
    <n v="7"/>
    <n v="8"/>
  </r>
  <r>
    <x v="3"/>
    <x v="82"/>
    <d v="1899-12-30T00:00:00"/>
    <s v="3RD"/>
    <d v="1899-12-31T03:00:00"/>
    <n v="2"/>
    <x v="2"/>
    <n v="1.06E-2"/>
    <s v="P"/>
    <s v="P"/>
    <s v="P"/>
    <s v="-"/>
    <s v="+"/>
    <n v="10.79"/>
    <s v="-"/>
    <s v="-"/>
    <s v="-"/>
    <s v="-"/>
    <s v="-"/>
    <s v="-"/>
    <s v="-"/>
    <s v="-"/>
    <s v="P"/>
    <s v="P"/>
    <s v="-"/>
    <n v="2"/>
    <n v="1"/>
    <n v="2"/>
    <n v="0"/>
    <s v="-"/>
    <s v="-"/>
    <s v="-"/>
    <s v="-"/>
    <s v="-"/>
    <s v="-"/>
    <s v="-"/>
    <n v="5"/>
    <n v="6"/>
    <s v="-"/>
    <n v="1"/>
    <n v="1"/>
    <n v="2"/>
    <n v="2"/>
    <n v="7"/>
    <n v="8"/>
  </r>
  <r>
    <x v="3"/>
    <x v="82"/>
    <d v="1899-12-30T00:00:00"/>
    <s v="3RD"/>
    <d v="1899-12-31T04:00:00"/>
    <n v="2"/>
    <x v="2"/>
    <n v="8.8999999999999999E-3"/>
    <s v="P"/>
    <s v="P"/>
    <s v="P"/>
    <s v="-"/>
    <s v="+"/>
    <n v="10.97"/>
    <s v="-"/>
    <s v="-"/>
    <s v="-"/>
    <s v="-"/>
    <s v="-"/>
    <s v="-"/>
    <s v="-"/>
    <s v="-"/>
    <s v="P"/>
    <s v="P"/>
    <s v="-"/>
    <n v="2"/>
    <n v="1"/>
    <n v="2"/>
    <n v="0"/>
    <s v="-"/>
    <s v="-"/>
    <s v="-"/>
    <s v="-"/>
    <s v="-"/>
    <s v="-"/>
    <s v="-"/>
    <n v="5"/>
    <n v="6"/>
    <s v="-"/>
    <n v="1"/>
    <n v="1"/>
    <n v="2"/>
    <n v="2"/>
    <n v="7"/>
    <n v="8"/>
  </r>
  <r>
    <x v="3"/>
    <x v="82"/>
    <d v="2026-03-12T00:00:00"/>
    <s v="2ND"/>
    <d v="1899-12-30T15:00:00"/>
    <s v="Retail"/>
    <x v="19"/>
    <s v="-"/>
    <s v="P"/>
    <s v="P"/>
    <s v="P"/>
    <s v="-"/>
    <s v="-"/>
    <n v="11.64"/>
    <n v="13.52"/>
    <n v="1.2"/>
    <n v="72.900000000000006"/>
    <n v="15"/>
    <n v="378"/>
    <n v="38.200000000000003"/>
    <s v="-"/>
    <s v="-"/>
    <s v="-"/>
    <s v="-"/>
    <s v="-"/>
    <s v="-"/>
    <n v="1"/>
    <n v="2"/>
    <n v="0"/>
    <n v="1"/>
    <n v="2"/>
    <n v="2"/>
    <n v="1"/>
    <n v="0"/>
    <n v="0"/>
    <s v="-"/>
    <n v="9"/>
    <n v="13"/>
    <s v="-"/>
    <s v="-"/>
    <s v="-"/>
    <n v="0"/>
    <n v="0"/>
    <n v="9"/>
    <n v="13"/>
  </r>
  <r>
    <x v="3"/>
    <x v="82"/>
    <d v="2026-04-16T00:00:00"/>
    <s v="2ND"/>
    <d v="1899-12-30T15:00:00"/>
    <n v="3"/>
    <x v="1"/>
    <n v="1.17E-2"/>
    <s v="P"/>
    <s v="P"/>
    <s v="P"/>
    <s v="+"/>
    <s v="+"/>
    <n v="12.25"/>
    <n v="12.92"/>
    <n v="0.65"/>
    <n v="64.63"/>
    <n v="13.8"/>
    <n v="1232"/>
    <n v="36.200000000000003"/>
    <s v="-"/>
    <s v="-"/>
    <s v="P"/>
    <s v="P"/>
    <s v="85% 5% 10%"/>
    <n v="2"/>
    <n v="1"/>
    <n v="2"/>
    <n v="1"/>
    <n v="1"/>
    <n v="2"/>
    <n v="2"/>
    <n v="1"/>
    <n v="0"/>
    <n v="2"/>
    <s v="-"/>
    <n v="14"/>
    <n v="15"/>
    <s v="-"/>
    <n v="1"/>
    <n v="1"/>
    <n v="2"/>
    <n v="2"/>
    <n v="16"/>
    <n v="17"/>
  </r>
  <r>
    <x v="3"/>
    <x v="82"/>
    <d v="2026-04-13T00:00:00"/>
    <s v="2ND"/>
    <d v="1899-12-30T16:00:00"/>
    <n v="3"/>
    <x v="1"/>
    <n v="1.35E-2"/>
    <s v="P"/>
    <s v="P"/>
    <s v="P"/>
    <s v="+"/>
    <s v="+"/>
    <n v="12.17"/>
    <n v="12.72"/>
    <s v="-"/>
    <s v="-"/>
    <s v="-"/>
    <s v="-"/>
    <n v="35.6"/>
    <s v="-"/>
    <s v="-"/>
    <s v="P"/>
    <s v="P"/>
    <s v="-"/>
    <n v="2"/>
    <n v="1"/>
    <n v="2"/>
    <n v="1"/>
    <n v="1"/>
    <s v="-"/>
    <s v="-"/>
    <s v="-"/>
    <s v="-"/>
    <n v="2"/>
    <s v="-"/>
    <n v="9"/>
    <n v="9"/>
    <s v="-"/>
    <n v="1"/>
    <n v="1"/>
    <n v="2"/>
    <n v="2"/>
    <n v="11"/>
    <n v="11"/>
  </r>
  <r>
    <x v="3"/>
    <x v="82"/>
    <d v="2026-04-13T00:00:00"/>
    <s v="2ND"/>
    <d v="1899-12-30T18:00:00"/>
    <n v="3"/>
    <x v="1"/>
    <n v="1.9900000000000001E-2"/>
    <s v="P"/>
    <s v="P"/>
    <s v="P"/>
    <s v="+"/>
    <s v="+"/>
    <n v="12.6"/>
    <s v="-"/>
    <s v="-"/>
    <s v="-"/>
    <s v="-"/>
    <s v="-"/>
    <s v="-"/>
    <s v="-"/>
    <s v="-"/>
    <s v="P"/>
    <s v="P"/>
    <s v="-"/>
    <n v="2"/>
    <n v="1"/>
    <n v="2"/>
    <n v="1"/>
    <s v="-"/>
    <s v="-"/>
    <s v="-"/>
    <s v="-"/>
    <s v="-"/>
    <s v="-"/>
    <s v="-"/>
    <n v="6"/>
    <n v="6"/>
    <s v="-"/>
    <n v="1"/>
    <n v="1"/>
    <n v="2"/>
    <n v="2"/>
    <n v="8"/>
    <n v="8"/>
  </r>
  <r>
    <x v="3"/>
    <x v="82"/>
    <s v="-"/>
    <s v="2ND"/>
    <d v="1899-12-30T14:00:00"/>
    <n v="1"/>
    <x v="20"/>
    <n v="1.1900000000000001E-2"/>
    <s v="P"/>
    <s v="P"/>
    <s v="P"/>
    <s v="-"/>
    <s v="-"/>
    <n v="11.81"/>
    <n v="12.95"/>
    <n v="0.42"/>
    <n v="66.5"/>
    <n v="29.4"/>
    <n v="471"/>
    <n v="36.4"/>
    <s v="-"/>
    <s v="-"/>
    <s v="P"/>
    <s v="P"/>
    <n v="1"/>
    <n v="2"/>
    <n v="1"/>
    <n v="2"/>
    <n v="1"/>
    <n v="1"/>
    <n v="0"/>
    <n v="2"/>
    <s v="-"/>
    <s v="-"/>
    <n v="2"/>
    <s v="-"/>
    <n v="11"/>
    <n v="13"/>
    <s v="-"/>
    <n v="1"/>
    <n v="1"/>
    <n v="2"/>
    <n v="2"/>
    <n v="13"/>
    <n v="15"/>
  </r>
  <r>
    <x v="3"/>
    <x v="82"/>
    <d v="2026-03-14T00:00:00"/>
    <s v="2ND"/>
    <d v="1899-12-30T15:00:00"/>
    <n v="1"/>
    <x v="20"/>
    <n v="1.2E-2"/>
    <s v="P"/>
    <s v="P"/>
    <s v="P"/>
    <s v="-"/>
    <s v="-"/>
    <n v="11.72"/>
    <s v="-"/>
    <s v="-"/>
    <s v="-"/>
    <s v="-"/>
    <s v="-"/>
    <s v="-"/>
    <s v="-"/>
    <s v="-"/>
    <s v="P"/>
    <s v="P"/>
    <s v="-"/>
    <n v="2"/>
    <n v="1"/>
    <n v="2"/>
    <n v="1"/>
    <s v="-"/>
    <s v="-"/>
    <s v="-"/>
    <s v="-"/>
    <s v="-"/>
    <s v="-"/>
    <s v="-"/>
    <n v="6"/>
    <n v="6"/>
    <s v="-"/>
    <n v="1"/>
    <n v="1"/>
    <n v="2"/>
    <n v="2"/>
    <n v="8"/>
    <n v="8"/>
  </r>
  <r>
    <x v="3"/>
    <x v="82"/>
    <d v="2026-03-14T00:00:00"/>
    <s v="2ND"/>
    <d v="1899-12-30T16:00:00"/>
    <n v="1"/>
    <x v="20"/>
    <n v="1.3599999999999999E-2"/>
    <s v="P"/>
    <s v="P"/>
    <s v="P"/>
    <s v="-"/>
    <s v="-"/>
    <n v="11.5"/>
    <s v="-"/>
    <s v="-"/>
    <s v="-"/>
    <s v="-"/>
    <s v="-"/>
    <s v="-"/>
    <s v="-"/>
    <s v="-"/>
    <s v="P"/>
    <s v="P"/>
    <s v="-"/>
    <n v="2"/>
    <n v="1"/>
    <n v="2"/>
    <n v="1"/>
    <s v="-"/>
    <s v="-"/>
    <s v="-"/>
    <s v="-"/>
    <s v="-"/>
    <s v="-"/>
    <s v="-"/>
    <n v="6"/>
    <n v="6"/>
    <s v="-"/>
    <n v="1"/>
    <n v="1"/>
    <n v="2"/>
    <n v="2"/>
    <n v="8"/>
    <n v="8"/>
  </r>
  <r>
    <x v="3"/>
    <x v="82"/>
    <d v="2026-03-14T00:00:00"/>
    <s v="2ND"/>
    <d v="1899-12-30T18:00:00"/>
    <n v="1"/>
    <x v="20"/>
    <n v="6.1000000000000004E-3"/>
    <s v="P"/>
    <s v="P"/>
    <s v="P"/>
    <s v="-"/>
    <s v="-"/>
    <n v="12.35"/>
    <s v="-"/>
    <s v="-"/>
    <s v="-"/>
    <s v="-"/>
    <s v="-"/>
    <s v="-"/>
    <s v="-"/>
    <s v="-"/>
    <s v="P"/>
    <s v="P"/>
    <s v="-"/>
    <n v="2"/>
    <n v="1"/>
    <n v="2"/>
    <n v="1"/>
    <s v="-"/>
    <s v="-"/>
    <s v="-"/>
    <s v="-"/>
    <s v="-"/>
    <s v="-"/>
    <s v="-"/>
    <n v="6"/>
    <n v="6"/>
    <s v="-"/>
    <n v="1"/>
    <n v="1"/>
    <n v="2"/>
    <n v="2"/>
    <n v="8"/>
    <n v="8"/>
  </r>
  <r>
    <x v="3"/>
    <x v="82"/>
    <d v="2026-03-14T00:00:00"/>
    <s v="2ND"/>
    <d v="1899-12-30T20:00:00"/>
    <n v="1"/>
    <x v="20"/>
    <n v="5.3E-3"/>
    <s v="P"/>
    <s v="P"/>
    <s v="P"/>
    <s v="-"/>
    <s v="-"/>
    <n v="12.31"/>
    <s v="-"/>
    <s v="-"/>
    <s v="-"/>
    <s v="-"/>
    <s v="-"/>
    <s v="-"/>
    <s v="-"/>
    <s v="-"/>
    <s v="P"/>
    <s v="P"/>
    <s v="-"/>
    <n v="2"/>
    <n v="1"/>
    <n v="2"/>
    <n v="1"/>
    <s v="-"/>
    <s v="-"/>
    <s v="-"/>
    <s v="-"/>
    <s v="-"/>
    <s v="-"/>
    <s v="-"/>
    <n v="6"/>
    <n v="6"/>
    <s v="-"/>
    <n v="1"/>
    <n v="1"/>
    <n v="2"/>
    <n v="2"/>
    <n v="8"/>
    <n v="8"/>
  </r>
  <r>
    <x v="3"/>
    <x v="82"/>
    <d v="2026-04-20T00:00:00"/>
    <s v="2ND"/>
    <d v="1899-12-30T20:00:00"/>
    <s v="Retail"/>
    <x v="13"/>
    <s v="-"/>
    <s v="-"/>
    <s v="-"/>
    <s v="-"/>
    <s v="-"/>
    <s v="-"/>
    <n v="12.19"/>
    <s v="-"/>
    <n v="4.62"/>
    <s v="-"/>
    <s v="-"/>
    <s v="-"/>
    <s v="-"/>
    <s v="-"/>
    <s v="-"/>
    <s v="-"/>
    <s v="-"/>
    <s v="-"/>
    <s v="-"/>
    <s v="-"/>
    <s v="-"/>
    <n v="1"/>
    <s v="-"/>
    <n v="2"/>
    <s v="-"/>
    <s v="-"/>
    <s v="-"/>
    <s v="-"/>
    <s v="-"/>
    <n v="3"/>
    <n v="3"/>
    <s v="-"/>
    <s v="-"/>
    <s v="-"/>
    <n v="0"/>
    <n v="0"/>
    <n v="3"/>
    <n v="3"/>
  </r>
  <r>
    <x v="3"/>
    <x v="82"/>
    <d v="1902-03-26T00:00:00"/>
    <s v="3RD"/>
    <d v="1899-12-30T22:00:00"/>
    <n v="2"/>
    <x v="4"/>
    <n v="4.0000000000000001E-3"/>
    <s v="P"/>
    <s v="P"/>
    <s v="P"/>
    <s v="-"/>
    <s v="+"/>
    <n v="10.92"/>
    <s v="-"/>
    <s v="-"/>
    <s v="-"/>
    <s v="-"/>
    <s v="-"/>
    <s v="-"/>
    <s v="-"/>
    <s v="-"/>
    <s v="P"/>
    <s v="P"/>
    <s v="-"/>
    <n v="2"/>
    <n v="1"/>
    <n v="2"/>
    <n v="0"/>
    <s v="-"/>
    <s v="-"/>
    <s v="-"/>
    <s v="-"/>
    <s v="-"/>
    <s v="-"/>
    <s v="-"/>
    <n v="5"/>
    <n v="6"/>
    <s v="-"/>
    <n v="1"/>
    <n v="1"/>
    <n v="2"/>
    <n v="2"/>
    <n v="7"/>
    <n v="8"/>
  </r>
  <r>
    <x v="3"/>
    <x v="82"/>
    <d v="1902-03-26T00:00:00"/>
    <s v="2ND"/>
    <d v="1899-12-30T14:00:00"/>
    <n v="2"/>
    <x v="21"/>
    <n v="2.0999999999999999E-3"/>
    <s v="P"/>
    <s v="P"/>
    <s v="P"/>
    <s v="-"/>
    <s v="+"/>
    <n v="11.18"/>
    <n v="9.08"/>
    <n v="0.56000000000000005"/>
    <n v="53"/>
    <n v="11.9"/>
    <n v="463"/>
    <n v="25.6"/>
    <s v="-"/>
    <s v="-"/>
    <s v="P"/>
    <s v="P"/>
    <s v="-"/>
    <n v="2"/>
    <n v="1"/>
    <n v="2"/>
    <n v="1"/>
    <s v="-"/>
    <n v="0"/>
    <n v="0"/>
    <n v="1"/>
    <n v="1"/>
    <n v="2"/>
    <s v="-"/>
    <n v="10"/>
    <n v="14"/>
    <s v="-"/>
    <n v="1"/>
    <n v="1"/>
    <n v="2"/>
    <n v="2"/>
    <n v="12"/>
    <n v="16"/>
  </r>
  <r>
    <x v="3"/>
    <x v="82"/>
    <d v="1899-12-30T00:00:00"/>
    <s v="2ND"/>
    <d v="1899-12-30T15:00:00"/>
    <n v="2"/>
    <x v="21"/>
    <n v="2.8999999999999998E-3"/>
    <s v="P"/>
    <s v="P"/>
    <s v="P"/>
    <s v="-"/>
    <s v="+"/>
    <n v="11.24"/>
    <s v="-"/>
    <s v="-"/>
    <s v="-"/>
    <s v="-"/>
    <s v="-"/>
    <n v="24.8"/>
    <s v="-"/>
    <s v="-"/>
    <s v="P"/>
    <s v="P"/>
    <s v="-"/>
    <n v="2"/>
    <n v="1"/>
    <n v="2"/>
    <n v="1"/>
    <s v="-"/>
    <s v="-"/>
    <s v="-"/>
    <s v="-"/>
    <s v="-"/>
    <n v="2"/>
    <s v="-"/>
    <n v="8"/>
    <n v="8"/>
    <s v="-"/>
    <n v="1"/>
    <n v="1"/>
    <n v="2"/>
    <n v="2"/>
    <n v="10"/>
    <n v="10"/>
  </r>
  <r>
    <x v="3"/>
    <x v="82"/>
    <d v="1899-12-30T00:00:00"/>
    <s v="2ND"/>
    <d v="1899-12-30T16:00:00"/>
    <n v="2"/>
    <x v="21"/>
    <n v="6.0000000000000001E-3"/>
    <s v="P"/>
    <s v="P"/>
    <s v="P"/>
    <s v="-"/>
    <s v="+"/>
    <n v="11.16"/>
    <s v="-"/>
    <s v="-"/>
    <s v="-"/>
    <s v="-"/>
    <s v="-"/>
    <s v="-"/>
    <s v="-"/>
    <s v="-"/>
    <s v="P"/>
    <s v="P"/>
    <s v="-"/>
    <n v="2"/>
    <n v="1"/>
    <n v="2"/>
    <n v="1"/>
    <s v="-"/>
    <s v="-"/>
    <s v="-"/>
    <s v="-"/>
    <s v="-"/>
    <s v="-"/>
    <s v="-"/>
    <n v="6"/>
    <n v="6"/>
    <s v="-"/>
    <n v="1"/>
    <n v="1"/>
    <n v="2"/>
    <n v="2"/>
    <n v="8"/>
    <n v="8"/>
  </r>
  <r>
    <x v="3"/>
    <x v="82"/>
    <d v="1899-12-30T00:00:00"/>
    <s v="2ND"/>
    <d v="1899-12-30T18:00:00"/>
    <n v="2"/>
    <x v="21"/>
    <n v="8.3000000000000001E-3"/>
    <s v="P"/>
    <s v="P"/>
    <s v="P"/>
    <s v="-"/>
    <s v="+"/>
    <n v="11.08"/>
    <s v="-"/>
    <s v="-"/>
    <s v="-"/>
    <s v="-"/>
    <s v="-"/>
    <s v="-"/>
    <s v="-"/>
    <s v="-"/>
    <s v="P"/>
    <s v="P"/>
    <s v="-"/>
    <n v="2"/>
    <n v="1"/>
    <n v="2"/>
    <n v="1"/>
    <s v="-"/>
    <s v="-"/>
    <s v="-"/>
    <s v="-"/>
    <s v="-"/>
    <s v="-"/>
    <s v="-"/>
    <n v="6"/>
    <n v="6"/>
    <s v="-"/>
    <n v="1"/>
    <n v="1"/>
    <n v="2"/>
    <n v="2"/>
    <n v="8"/>
    <n v="8"/>
  </r>
  <r>
    <x v="3"/>
    <x v="82"/>
    <d v="1899-12-30T00:00:00"/>
    <s v="2ND"/>
    <d v="1899-12-30T20:00:00"/>
    <n v="2"/>
    <x v="21"/>
    <n v="6.3E-3"/>
    <s v="P"/>
    <s v="P"/>
    <s v="P"/>
    <s v="-"/>
    <s v="+"/>
    <n v="10.84"/>
    <s v="-"/>
    <s v="-"/>
    <s v="-"/>
    <s v="-"/>
    <s v="-"/>
    <s v="-"/>
    <s v="-"/>
    <s v="-"/>
    <s v="P"/>
    <s v="P"/>
    <s v="-"/>
    <n v="2"/>
    <n v="1"/>
    <n v="2"/>
    <n v="0"/>
    <s v="-"/>
    <s v="-"/>
    <s v="-"/>
    <s v="-"/>
    <s v="-"/>
    <s v="-"/>
    <s v="-"/>
    <n v="5"/>
    <n v="6"/>
    <s v="-"/>
    <n v="1"/>
    <n v="1"/>
    <n v="2"/>
    <n v="2"/>
    <n v="7"/>
    <n v="8"/>
  </r>
  <r>
    <x v="3"/>
    <x v="82"/>
    <d v="2026-04-16T00:00:00"/>
    <s v="2ND"/>
    <d v="1899-12-30T21:00:00"/>
    <n v="1"/>
    <x v="22"/>
    <n v="5.4000000000000003E-3"/>
    <s v="P"/>
    <s v="P"/>
    <s v="P"/>
    <s v="-"/>
    <s v="-"/>
    <n v="11.41"/>
    <n v="9.6"/>
    <n v="0.57999999999999996"/>
    <n v="56.2"/>
    <n v="13"/>
    <n v="405"/>
    <n v="26.3"/>
    <s v="-"/>
    <s v="-"/>
    <s v="P"/>
    <s v="P"/>
    <s v="-"/>
    <n v="2"/>
    <n v="1"/>
    <n v="2"/>
    <n v="1"/>
    <n v="1"/>
    <n v="2"/>
    <n v="2"/>
    <s v="-"/>
    <s v="-"/>
    <n v="2"/>
    <s v="-"/>
    <n v="13"/>
    <n v="13"/>
    <s v="-"/>
    <n v="1"/>
    <n v="1"/>
    <n v="2"/>
    <n v="2"/>
    <n v="15"/>
    <n v="15"/>
  </r>
  <r>
    <x v="3"/>
    <x v="82"/>
    <s v="-"/>
    <s v="3RD"/>
    <d v="1899-12-30T22:00:00"/>
    <n v="1"/>
    <x v="22"/>
    <n v="8.2000000000000007E-3"/>
    <s v="P"/>
    <s v="P"/>
    <s v="P"/>
    <s v="-"/>
    <s v="-"/>
    <n v="11.43"/>
    <n v="9.65"/>
    <n v="0.57999999999999996"/>
    <s v="-"/>
    <s v="-"/>
    <s v="-"/>
    <n v="26.31"/>
    <s v="-"/>
    <s v="-"/>
    <s v="P"/>
    <s v="P"/>
    <n v="1"/>
    <n v="2"/>
    <n v="1"/>
    <n v="2"/>
    <n v="1"/>
    <n v="1"/>
    <n v="2"/>
    <s v="-"/>
    <s v="-"/>
    <s v="-"/>
    <n v="2"/>
    <s v="-"/>
    <n v="11"/>
    <n v="11"/>
    <s v="-"/>
    <n v="1"/>
    <n v="1"/>
    <n v="2"/>
    <n v="2"/>
    <n v="13"/>
    <n v="13"/>
  </r>
  <r>
    <x v="3"/>
    <x v="82"/>
    <d v="2026-04-16T00:00:00"/>
    <s v="3RD"/>
    <d v="1899-12-31T00:00:00"/>
    <n v="1"/>
    <x v="22"/>
    <n v="4.8999999999999998E-3"/>
    <s v="P"/>
    <s v="P"/>
    <s v="P"/>
    <s v="-"/>
    <s v="-"/>
    <n v="11.59"/>
    <s v="-"/>
    <s v="-"/>
    <s v="-"/>
    <s v="-"/>
    <s v="-"/>
    <s v="-"/>
    <s v="-"/>
    <s v="-"/>
    <s v="P"/>
    <s v="P"/>
    <s v="-"/>
    <n v="2"/>
    <n v="1"/>
    <n v="2"/>
    <n v="1"/>
    <s v="-"/>
    <s v="-"/>
    <s v="-"/>
    <s v="-"/>
    <s v="-"/>
    <s v="-"/>
    <s v="-"/>
    <n v="6"/>
    <n v="6"/>
    <s v="-"/>
    <n v="1"/>
    <n v="1"/>
    <n v="2"/>
    <n v="2"/>
    <n v="8"/>
    <n v="8"/>
  </r>
  <r>
    <x v="3"/>
    <x v="82"/>
    <d v="2026-04-16T00:00:00"/>
    <s v="3RD"/>
    <d v="1899-12-31T01:00:00"/>
    <n v="1"/>
    <x v="22"/>
    <n v="1.01E-2"/>
    <s v="P"/>
    <s v="P"/>
    <s v="P"/>
    <s v="-"/>
    <s v="-"/>
    <n v="11.52"/>
    <s v="-"/>
    <s v="-"/>
    <s v="-"/>
    <s v="-"/>
    <s v="-"/>
    <s v="-"/>
    <s v="-"/>
    <s v="-"/>
    <s v="P"/>
    <s v="P"/>
    <s v="-"/>
    <n v="2"/>
    <n v="1"/>
    <n v="2"/>
    <n v="1"/>
    <s v="-"/>
    <s v="-"/>
    <s v="-"/>
    <s v="-"/>
    <s v="-"/>
    <s v="-"/>
    <s v="-"/>
    <n v="6"/>
    <n v="6"/>
    <s v="-"/>
    <n v="1"/>
    <n v="1"/>
    <n v="2"/>
    <n v="2"/>
    <n v="8"/>
    <n v="8"/>
  </r>
  <r>
    <x v="3"/>
    <x v="82"/>
    <d v="2026-04-16T00:00:00"/>
    <s v="3RD"/>
    <d v="1899-12-31T02:00:00"/>
    <n v="1"/>
    <x v="22"/>
    <n v="5.5999999999999999E-3"/>
    <s v="P"/>
    <s v="P"/>
    <s v="P"/>
    <s v="-"/>
    <s v="-"/>
    <n v="11.6"/>
    <s v="-"/>
    <s v="-"/>
    <s v="-"/>
    <s v="-"/>
    <s v="-"/>
    <s v="-"/>
    <s v="-"/>
    <s v="-"/>
    <s v="P"/>
    <s v="P"/>
    <s v="-"/>
    <n v="2"/>
    <n v="1"/>
    <n v="2"/>
    <n v="1"/>
    <s v="-"/>
    <s v="-"/>
    <s v="-"/>
    <s v="-"/>
    <s v="-"/>
    <s v="-"/>
    <s v="-"/>
    <n v="6"/>
    <n v="6"/>
    <s v="-"/>
    <n v="1"/>
    <n v="1"/>
    <n v="2"/>
    <n v="2"/>
    <n v="8"/>
    <n v="8"/>
  </r>
  <r>
    <x v="3"/>
    <x v="82"/>
    <d v="2026-04-16T00:00:00"/>
    <s v="3RD"/>
    <d v="1899-12-31T03:00:00"/>
    <n v="1"/>
    <x v="22"/>
    <n v="4.1999999999999997E-3"/>
    <s v="P"/>
    <s v="P"/>
    <s v="P"/>
    <s v="-"/>
    <s v="-"/>
    <n v="11.33"/>
    <s v="-"/>
    <s v="-"/>
    <s v="-"/>
    <s v="-"/>
    <s v="-"/>
    <s v="-"/>
    <s v="-"/>
    <s v="-"/>
    <s v="P"/>
    <s v="P"/>
    <s v="-"/>
    <n v="2"/>
    <n v="1"/>
    <n v="2"/>
    <n v="1"/>
    <s v="-"/>
    <s v="-"/>
    <s v="-"/>
    <s v="-"/>
    <s v="-"/>
    <s v="-"/>
    <s v="-"/>
    <n v="6"/>
    <n v="6"/>
    <s v="-"/>
    <n v="1"/>
    <n v="1"/>
    <n v="2"/>
    <n v="2"/>
    <n v="8"/>
    <n v="8"/>
  </r>
  <r>
    <x v="3"/>
    <x v="82"/>
    <d v="2026-04-16T00:00:00"/>
    <s v="3RD"/>
    <d v="1899-12-31T04:00:00"/>
    <n v="1"/>
    <x v="22"/>
    <n v="4.5999999999999999E-3"/>
    <s v="P"/>
    <s v="P"/>
    <s v="P"/>
    <s v="-"/>
    <s v="-"/>
    <n v="11.75"/>
    <s v="-"/>
    <s v="-"/>
    <s v="-"/>
    <s v="-"/>
    <s v="-"/>
    <s v="-"/>
    <s v="-"/>
    <s v="-"/>
    <s v="P"/>
    <s v="P"/>
    <s v="-"/>
    <n v="2"/>
    <n v="1"/>
    <n v="2"/>
    <n v="1"/>
    <s v="-"/>
    <s v="-"/>
    <s v="-"/>
    <s v="-"/>
    <s v="-"/>
    <s v="-"/>
    <s v="-"/>
    <n v="6"/>
    <n v="6"/>
    <s v="-"/>
    <n v="1"/>
    <n v="1"/>
    <n v="2"/>
    <n v="2"/>
    <n v="8"/>
    <n v="8"/>
  </r>
  <r>
    <x v="3"/>
    <x v="82"/>
    <d v="2026-04-16T00:00:00"/>
    <s v="3RD"/>
    <d v="1899-12-31T05:00:00"/>
    <n v="1"/>
    <x v="22"/>
    <n v="1.0800000000000001E-2"/>
    <s v="P"/>
    <s v="P"/>
    <s v="P"/>
    <s v="-"/>
    <s v="-"/>
    <n v="11.49"/>
    <s v="-"/>
    <s v="-"/>
    <s v="-"/>
    <s v="-"/>
    <s v="-"/>
    <s v="-"/>
    <s v="-"/>
    <s v="-"/>
    <s v="P"/>
    <s v="P"/>
    <s v="-"/>
    <n v="2"/>
    <n v="1"/>
    <n v="2"/>
    <n v="1"/>
    <s v="-"/>
    <s v="-"/>
    <s v="-"/>
    <s v="-"/>
    <s v="-"/>
    <s v="-"/>
    <s v="-"/>
    <n v="6"/>
    <n v="6"/>
    <s v="-"/>
    <n v="1"/>
    <n v="1"/>
    <n v="2"/>
    <n v="2"/>
    <n v="8"/>
    <n v="8"/>
  </r>
  <r>
    <x v="3"/>
    <x v="83"/>
    <d v="1902-03-26T00:00:00"/>
    <s v="2ND"/>
    <d v="1899-12-30T14:00:00"/>
    <n v="2"/>
    <x v="2"/>
    <n v="1.1900000000000001E-2"/>
    <s v="P"/>
    <s v="P"/>
    <s v="P"/>
    <s v="-"/>
    <s v="+"/>
    <n v="11.1"/>
    <n v="9.36"/>
    <n v="0.63"/>
    <n v="57.5"/>
    <s v="-"/>
    <s v="-"/>
    <n v="25.5"/>
    <s v="-"/>
    <n v="25.13"/>
    <s v="P"/>
    <s v="P"/>
    <s v="-"/>
    <n v="2"/>
    <n v="1"/>
    <n v="2"/>
    <n v="0"/>
    <n v="0"/>
    <n v="0"/>
    <n v="0"/>
    <s v="-"/>
    <s v="-"/>
    <n v="0"/>
    <s v="-"/>
    <n v="5"/>
    <n v="13"/>
    <n v="1"/>
    <n v="1"/>
    <n v="1"/>
    <n v="3"/>
    <n v="3"/>
    <n v="8"/>
    <n v="16"/>
  </r>
  <r>
    <x v="3"/>
    <x v="83"/>
    <d v="1899-12-30T00:00:00"/>
    <s v="2ND"/>
    <d v="1899-12-30T15:00:00"/>
    <n v="2"/>
    <x v="2"/>
    <n v="1.32E-2"/>
    <s v="P"/>
    <s v="P"/>
    <s v="P"/>
    <s v="-"/>
    <s v="+"/>
    <n v="11.45"/>
    <s v="-"/>
    <s v="-"/>
    <s v="-"/>
    <s v="-"/>
    <s v="-"/>
    <n v="27.3"/>
    <s v="-"/>
    <s v="-"/>
    <s v="P"/>
    <s v="P"/>
    <s v="-"/>
    <n v="2"/>
    <n v="1"/>
    <n v="2"/>
    <n v="0"/>
    <s v="-"/>
    <s v="-"/>
    <s v="-"/>
    <s v="-"/>
    <s v="-"/>
    <n v="2"/>
    <s v="-"/>
    <n v="7"/>
    <n v="8"/>
    <s v="-"/>
    <n v="1"/>
    <n v="1"/>
    <n v="2"/>
    <n v="2"/>
    <n v="9"/>
    <n v="10"/>
  </r>
  <r>
    <x v="3"/>
    <x v="83"/>
    <d v="1899-12-30T00:00:00"/>
    <s v="2ND"/>
    <d v="1899-12-30T16:00:00"/>
    <n v="2"/>
    <x v="2"/>
    <n v="1.5900000000000001E-2"/>
    <s v="P"/>
    <s v="P"/>
    <s v="P"/>
    <s v="-"/>
    <s v="+"/>
    <n v="10.99"/>
    <s v="-"/>
    <s v="-"/>
    <s v="-"/>
    <s v="-"/>
    <s v="-"/>
    <s v="-"/>
    <s v="-"/>
    <s v="-"/>
    <s v="P"/>
    <s v="P"/>
    <s v="-"/>
    <n v="2"/>
    <n v="1"/>
    <n v="2"/>
    <n v="0"/>
    <s v="-"/>
    <s v="-"/>
    <s v="-"/>
    <s v="-"/>
    <s v="-"/>
    <s v="-"/>
    <s v="-"/>
    <n v="5"/>
    <n v="6"/>
    <s v="-"/>
    <n v="1"/>
    <n v="1"/>
    <n v="2"/>
    <n v="2"/>
    <n v="7"/>
    <n v="8"/>
  </r>
  <r>
    <x v="3"/>
    <x v="83"/>
    <d v="1899-12-30T00:00:00"/>
    <s v="2ND"/>
    <d v="1899-12-30T21:00:00"/>
    <n v="2"/>
    <x v="5"/>
    <n v="6.1999999999999998E-3"/>
    <s v="P"/>
    <s v="P"/>
    <s v="P"/>
    <s v="-"/>
    <s v="+"/>
    <n v="10.99"/>
    <n v="8.69"/>
    <n v="0.55000000000000004"/>
    <n v="56.1"/>
    <s v="-"/>
    <s v="-"/>
    <n v="23.5"/>
    <s v="-"/>
    <s v="-"/>
    <s v="P"/>
    <s v="P"/>
    <s v="-"/>
    <n v="2"/>
    <n v="1"/>
    <n v="2"/>
    <n v="0"/>
    <n v="1"/>
    <n v="2"/>
    <n v="2"/>
    <s v="-"/>
    <s v="-"/>
    <n v="2"/>
    <s v="-"/>
    <n v="12"/>
    <n v="13"/>
    <s v="-"/>
    <n v="1"/>
    <n v="1"/>
    <n v="2"/>
    <n v="2"/>
    <n v="14"/>
    <n v="15"/>
  </r>
  <r>
    <x v="3"/>
    <x v="83"/>
    <d v="1902-03-26T00:00:00"/>
    <s v="3RD"/>
    <d v="1899-12-30T22:00:00"/>
    <n v="2"/>
    <x v="5"/>
    <n v="8.0999999999999996E-3"/>
    <s v="P"/>
    <s v="P"/>
    <s v="P"/>
    <s v="-"/>
    <s v="+"/>
    <n v="11.02"/>
    <n v="8.69"/>
    <n v="0.55000000000000004"/>
    <n v="55.1"/>
    <s v="-"/>
    <s v="-"/>
    <n v="23.5"/>
    <s v="-"/>
    <s v="-"/>
    <s v="P"/>
    <s v="P"/>
    <s v="-"/>
    <n v="2"/>
    <n v="1"/>
    <n v="2"/>
    <n v="1"/>
    <n v="1"/>
    <n v="2"/>
    <n v="2"/>
    <s v="-"/>
    <s v="-"/>
    <n v="2"/>
    <s v="-"/>
    <n v="13"/>
    <n v="13"/>
    <s v="-"/>
    <n v="1"/>
    <n v="1"/>
    <n v="2"/>
    <n v="2"/>
    <n v="15"/>
    <n v="15"/>
  </r>
  <r>
    <x v="3"/>
    <x v="83"/>
    <d v="1899-12-30T00:00:00"/>
    <s v="3RD"/>
    <d v="1899-12-30T23:00:00"/>
    <n v="2"/>
    <x v="5"/>
    <n v="1.61E-2"/>
    <s v="P"/>
    <s v="P"/>
    <s v="P"/>
    <s v="-"/>
    <s v="+"/>
    <n v="11.21"/>
    <s v="-"/>
    <s v="-"/>
    <s v="-"/>
    <s v="-"/>
    <s v="-"/>
    <s v="-"/>
    <s v="-"/>
    <s v="-"/>
    <s v="P"/>
    <s v="P"/>
    <s v="-"/>
    <n v="2"/>
    <n v="1"/>
    <n v="2"/>
    <n v="1"/>
    <s v="-"/>
    <s v="-"/>
    <s v="-"/>
    <s v="-"/>
    <s v="-"/>
    <s v="-"/>
    <s v="-"/>
    <n v="6"/>
    <n v="6"/>
    <s v="-"/>
    <n v="1"/>
    <n v="1"/>
    <n v="2"/>
    <n v="2"/>
    <n v="8"/>
    <n v="8"/>
  </r>
  <r>
    <x v="3"/>
    <x v="83"/>
    <d v="1899-12-30T00:00:00"/>
    <s v="3RD"/>
    <d v="1899-12-31T00:00:00"/>
    <n v="2"/>
    <x v="5"/>
    <n v="1.11E-2"/>
    <s v="P"/>
    <s v="P"/>
    <s v="P"/>
    <s v="-"/>
    <s v="+"/>
    <n v="11.01"/>
    <s v="-"/>
    <s v="-"/>
    <s v="-"/>
    <s v="-"/>
    <s v="-"/>
    <s v="-"/>
    <s v="-"/>
    <s v="-"/>
    <s v="P"/>
    <s v="P"/>
    <s v="-"/>
    <n v="2"/>
    <n v="1"/>
    <n v="2"/>
    <n v="1"/>
    <s v="-"/>
    <s v="-"/>
    <s v="-"/>
    <s v="-"/>
    <s v="-"/>
    <s v="-"/>
    <s v="-"/>
    <n v="6"/>
    <n v="6"/>
    <s v="-"/>
    <n v="1"/>
    <n v="1"/>
    <n v="2"/>
    <n v="2"/>
    <n v="8"/>
    <n v="8"/>
  </r>
  <r>
    <x v="3"/>
    <x v="83"/>
    <d v="1899-12-30T00:00:00"/>
    <s v="3RD"/>
    <d v="1899-12-31T04:00:00"/>
    <n v="2"/>
    <x v="5"/>
    <n v="8.5000000000000006E-3"/>
    <s v="P"/>
    <s v="P"/>
    <s v="P"/>
    <s v="-"/>
    <s v="+"/>
    <n v="10.83"/>
    <s v="-"/>
    <s v="-"/>
    <s v="-"/>
    <s v="-"/>
    <s v="-"/>
    <s v="-"/>
    <s v="-"/>
    <s v="-"/>
    <s v="P"/>
    <s v="P"/>
    <s v="-"/>
    <n v="2"/>
    <n v="1"/>
    <n v="2"/>
    <n v="0"/>
    <s v="-"/>
    <s v="-"/>
    <s v="-"/>
    <s v="-"/>
    <s v="-"/>
    <s v="-"/>
    <s v="-"/>
    <n v="5"/>
    <n v="6"/>
    <s v="-"/>
    <n v="1"/>
    <n v="1"/>
    <n v="2"/>
    <n v="2"/>
    <n v="7"/>
    <n v="8"/>
  </r>
  <r>
    <x v="3"/>
    <x v="83"/>
    <d v="1899-12-30T00:00:00"/>
    <s v="3RD"/>
    <d v="1899-12-31T05:00:00"/>
    <n v="2"/>
    <x v="5"/>
    <n v="3.5999999999999999E-3"/>
    <s v="P"/>
    <s v="P"/>
    <s v="P"/>
    <s v="-"/>
    <s v="+"/>
    <n v="10.93"/>
    <s v="-"/>
    <s v="-"/>
    <s v="-"/>
    <s v="-"/>
    <s v="-"/>
    <s v="-"/>
    <s v="-"/>
    <s v="-"/>
    <s v="P"/>
    <s v="P"/>
    <s v="-"/>
    <n v="2"/>
    <n v="1"/>
    <n v="2"/>
    <n v="0"/>
    <s v="-"/>
    <s v="-"/>
    <s v="-"/>
    <s v="-"/>
    <s v="-"/>
    <s v="-"/>
    <s v="-"/>
    <n v="5"/>
    <n v="6"/>
    <s v="-"/>
    <n v="1"/>
    <n v="1"/>
    <n v="2"/>
    <n v="2"/>
    <n v="7"/>
    <n v="8"/>
  </r>
  <r>
    <x v="3"/>
    <x v="83"/>
    <d v="1899-12-30T00:00:00"/>
    <s v="3RD"/>
    <d v="1899-12-30T22:00:00"/>
    <s v="Retail"/>
    <x v="9"/>
    <s v="-"/>
    <s v="-"/>
    <s v="-"/>
    <s v="-"/>
    <s v="-"/>
    <s v="-"/>
    <n v="9.65"/>
    <s v="-"/>
    <n v="4.3600000000000003"/>
    <s v="-"/>
    <s v="-"/>
    <s v="-"/>
    <s v="-"/>
    <s v="-"/>
    <s v="-"/>
    <s v="-"/>
    <s v="-"/>
    <s v="-"/>
    <s v="-"/>
    <s v="-"/>
    <s v="-"/>
    <n v="0"/>
    <s v="-"/>
    <n v="2"/>
    <s v="-"/>
    <s v="-"/>
    <s v="-"/>
    <s v="-"/>
    <s v="-"/>
    <n v="2"/>
    <n v="3"/>
    <s v="-"/>
    <s v="-"/>
    <s v="-"/>
    <n v="0"/>
    <n v="0"/>
    <n v="2"/>
    <n v="3"/>
  </r>
  <r>
    <x v="3"/>
    <x v="83"/>
    <d v="2026-04-16T00:00:00"/>
    <s v="2ND"/>
    <d v="1899-12-30T16:00:00"/>
    <n v="1"/>
    <x v="22"/>
    <n v="1.9599999999999999E-2"/>
    <s v="P"/>
    <s v="P"/>
    <s v="P"/>
    <s v="-"/>
    <s v="-"/>
    <n v="11.46"/>
    <n v="9.67"/>
    <n v="0.56999999999999995"/>
    <n v="57.2"/>
    <s v="-"/>
    <s v="-"/>
    <n v="26.4"/>
    <s v="-"/>
    <n v="25.16"/>
    <s v="P"/>
    <s v="P"/>
    <n v="1"/>
    <n v="2"/>
    <n v="1"/>
    <n v="2"/>
    <n v="1"/>
    <n v="1"/>
    <n v="2"/>
    <n v="2"/>
    <s v="-"/>
    <s v="-"/>
    <n v="2"/>
    <s v="-"/>
    <n v="13"/>
    <n v="13"/>
    <n v="1"/>
    <n v="1"/>
    <n v="1"/>
    <n v="3"/>
    <n v="3"/>
    <n v="16"/>
    <n v="16"/>
  </r>
  <r>
    <x v="3"/>
    <x v="83"/>
    <d v="2026-04-16T00:00:00"/>
    <s v="2ND"/>
    <d v="1899-12-30T17:00:00"/>
    <n v="1"/>
    <x v="22"/>
    <n v="1.9E-2"/>
    <s v="P"/>
    <s v="P"/>
    <s v="P"/>
    <s v="-"/>
    <s v="-"/>
    <n v="11.12"/>
    <s v="-"/>
    <s v="-"/>
    <s v="-"/>
    <s v="-"/>
    <s v="-"/>
    <n v="25.8"/>
    <s v="-"/>
    <s v="-"/>
    <s v="P"/>
    <s v="P"/>
    <s v="-"/>
    <n v="2"/>
    <n v="1"/>
    <n v="2"/>
    <n v="1"/>
    <s v="-"/>
    <s v="-"/>
    <s v="-"/>
    <s v="-"/>
    <s v="-"/>
    <n v="2"/>
    <s v="-"/>
    <n v="8"/>
    <n v="8"/>
    <s v="-"/>
    <n v="1"/>
    <n v="1"/>
    <n v="2"/>
    <n v="2"/>
    <n v="10"/>
    <n v="10"/>
  </r>
  <r>
    <x v="3"/>
    <x v="83"/>
    <d v="2026-04-16T00:00:00"/>
    <s v="2ND"/>
    <d v="1899-12-30T18:00:00"/>
    <n v="1"/>
    <x v="22"/>
    <n v="1.8100000000000002E-2"/>
    <s v="P"/>
    <s v="P"/>
    <s v="P"/>
    <s v="-"/>
    <s v="-"/>
    <n v="11.39"/>
    <s v="-"/>
    <s v="-"/>
    <s v="-"/>
    <s v="-"/>
    <s v="-"/>
    <s v="-"/>
    <s v="-"/>
    <s v="-"/>
    <s v="P"/>
    <s v="P"/>
    <s v="-"/>
    <n v="2"/>
    <n v="1"/>
    <n v="2"/>
    <n v="1"/>
    <s v="-"/>
    <s v="-"/>
    <s v="-"/>
    <s v="-"/>
    <s v="-"/>
    <s v="-"/>
    <s v="-"/>
    <n v="6"/>
    <n v="6"/>
    <s v="-"/>
    <n v="1"/>
    <n v="1"/>
    <n v="2"/>
    <n v="2"/>
    <n v="8"/>
    <n v="8"/>
  </r>
  <r>
    <x v="3"/>
    <x v="83"/>
    <d v="2026-04-16T00:00:00"/>
    <s v="2ND"/>
    <d v="1899-12-30T19:00:00"/>
    <n v="1"/>
    <x v="22"/>
    <n v="1.55E-2"/>
    <s v="P"/>
    <s v="P"/>
    <s v="P"/>
    <s v="-"/>
    <s v="-"/>
    <n v="10.9"/>
    <s v="-"/>
    <s v="-"/>
    <s v="-"/>
    <s v="-"/>
    <s v="-"/>
    <s v="-"/>
    <s v="-"/>
    <s v="-"/>
    <s v="P"/>
    <s v="P"/>
    <s v="-"/>
    <n v="2"/>
    <n v="1"/>
    <n v="2"/>
    <n v="0"/>
    <s v="-"/>
    <s v="-"/>
    <s v="-"/>
    <s v="-"/>
    <s v="-"/>
    <s v="-"/>
    <s v="-"/>
    <n v="5"/>
    <n v="6"/>
    <s v="-"/>
    <n v="1"/>
    <n v="1"/>
    <n v="2"/>
    <n v="2"/>
    <n v="7"/>
    <n v="8"/>
  </r>
  <r>
    <x v="3"/>
    <x v="83"/>
    <d v="2026-04-16T00:00:00"/>
    <s v="2ND"/>
    <d v="1899-12-30T20:00:00"/>
    <n v="1"/>
    <x v="22"/>
    <n v="1.41E-2"/>
    <s v="P"/>
    <s v="P"/>
    <s v="P"/>
    <s v="-"/>
    <s v="-"/>
    <n v="11.3"/>
    <s v="-"/>
    <s v="-"/>
    <s v="-"/>
    <s v="-"/>
    <s v="-"/>
    <s v="-"/>
    <s v="-"/>
    <s v="-"/>
    <s v="P"/>
    <s v="P"/>
    <s v="-"/>
    <n v="2"/>
    <n v="1"/>
    <n v="2"/>
    <n v="1"/>
    <s v="-"/>
    <s v="-"/>
    <s v="-"/>
    <s v="-"/>
    <s v="-"/>
    <s v="-"/>
    <s v="-"/>
    <n v="6"/>
    <n v="6"/>
    <s v="-"/>
    <n v="1"/>
    <n v="1"/>
    <n v="2"/>
    <n v="2"/>
    <n v="8"/>
    <n v="8"/>
  </r>
  <r>
    <x v="3"/>
    <x v="83"/>
    <d v="2026-04-16T00:00:00"/>
    <s v="2ND"/>
    <d v="1899-12-30T21:00:00"/>
    <n v="1"/>
    <x v="22"/>
    <n v="1.6E-2"/>
    <s v="P"/>
    <s v="P"/>
    <s v="P"/>
    <s v="-"/>
    <s v="-"/>
    <n v="11.09"/>
    <s v="-"/>
    <s v="-"/>
    <s v="-"/>
    <s v="-"/>
    <s v="-"/>
    <s v="-"/>
    <s v="-"/>
    <s v="-"/>
    <s v="P"/>
    <s v="P"/>
    <s v="-"/>
    <n v="2"/>
    <n v="1"/>
    <n v="2"/>
    <n v="1"/>
    <s v="-"/>
    <s v="-"/>
    <s v="-"/>
    <s v="-"/>
    <s v="-"/>
    <s v="-"/>
    <s v="-"/>
    <n v="6"/>
    <n v="6"/>
    <s v="-"/>
    <n v="1"/>
    <n v="1"/>
    <n v="2"/>
    <n v="2"/>
    <n v="8"/>
    <n v="8"/>
  </r>
  <r>
    <x v="3"/>
    <x v="83"/>
    <s v="-"/>
    <s v="3RD"/>
    <d v="1899-12-30T22:00:00"/>
    <n v="1"/>
    <x v="22"/>
    <n v="7.1999999999999998E-3"/>
    <s v="P"/>
    <s v="P"/>
    <s v="P"/>
    <s v="-"/>
    <s v="-"/>
    <n v="11.32"/>
    <n v="9.51"/>
    <n v="0.56999999999999995"/>
    <s v="-"/>
    <s v="-"/>
    <s v="-"/>
    <n v="25.9"/>
    <s v="-"/>
    <s v="-"/>
    <s v="P"/>
    <s v="P"/>
    <n v="1"/>
    <n v="2"/>
    <n v="1"/>
    <n v="2"/>
    <n v="1"/>
    <n v="1"/>
    <n v="2"/>
    <s v="-"/>
    <s v="-"/>
    <s v="-"/>
    <n v="2"/>
    <s v="-"/>
    <n v="11"/>
    <n v="11"/>
    <s v="-"/>
    <n v="1"/>
    <n v="1"/>
    <n v="2"/>
    <n v="2"/>
    <n v="13"/>
    <n v="13"/>
  </r>
  <r>
    <x v="3"/>
    <x v="83"/>
    <d v="2026-04-16T00:00:00"/>
    <s v="3RD"/>
    <d v="1899-12-30T23:00:00"/>
    <n v="1"/>
    <x v="22"/>
    <n v="8.8999999999999999E-3"/>
    <s v="P"/>
    <s v="P"/>
    <s v="P"/>
    <s v="-"/>
    <s v="-"/>
    <n v="11.35"/>
    <s v="-"/>
    <s v="-"/>
    <s v="-"/>
    <s v="-"/>
    <s v="-"/>
    <s v="-"/>
    <s v="-"/>
    <s v="-"/>
    <s v="P"/>
    <s v="P"/>
    <s v="-"/>
    <n v="2"/>
    <n v="1"/>
    <n v="2"/>
    <n v="1"/>
    <s v="-"/>
    <s v="-"/>
    <s v="-"/>
    <s v="-"/>
    <s v="-"/>
    <s v="-"/>
    <s v="-"/>
    <n v="6"/>
    <n v="6"/>
    <s v="-"/>
    <n v="1"/>
    <n v="1"/>
    <n v="2"/>
    <n v="2"/>
    <n v="8"/>
    <n v="8"/>
  </r>
  <r>
    <x v="3"/>
    <x v="83"/>
    <d v="2026-04-16T00:00:00"/>
    <s v="3RD"/>
    <d v="1899-12-31T00:00:00"/>
    <n v="1"/>
    <x v="22"/>
    <n v="8.0999999999999996E-3"/>
    <s v="P"/>
    <s v="P"/>
    <s v="P"/>
    <s v="-"/>
    <s v="-"/>
    <n v="11.4"/>
    <s v="-"/>
    <s v="-"/>
    <s v="-"/>
    <s v="-"/>
    <s v="-"/>
    <s v="-"/>
    <s v="-"/>
    <s v="-"/>
    <s v="P"/>
    <s v="P"/>
    <s v="-"/>
    <n v="2"/>
    <n v="1"/>
    <n v="2"/>
    <n v="1"/>
    <s v="-"/>
    <s v="-"/>
    <s v="-"/>
    <s v="-"/>
    <s v="-"/>
    <s v="-"/>
    <s v="-"/>
    <n v="6"/>
    <n v="6"/>
    <s v="-"/>
    <n v="1"/>
    <n v="1"/>
    <n v="2"/>
    <n v="2"/>
    <n v="8"/>
    <n v="8"/>
  </r>
  <r>
    <x v="3"/>
    <x v="83"/>
    <d v="2026-04-16T00:00:00"/>
    <s v="3RD"/>
    <d v="1899-12-31T01:00:00"/>
    <n v="1"/>
    <x v="22"/>
    <n v="8.8999999999999999E-3"/>
    <s v="P"/>
    <s v="P"/>
    <s v="P"/>
    <s v="-"/>
    <s v="-"/>
    <n v="11.29"/>
    <s v="-"/>
    <s v="-"/>
    <s v="-"/>
    <s v="-"/>
    <s v="-"/>
    <s v="-"/>
    <s v="-"/>
    <s v="-"/>
    <s v="P"/>
    <s v="P"/>
    <s v="-"/>
    <n v="2"/>
    <n v="1"/>
    <n v="2"/>
    <n v="1"/>
    <s v="-"/>
    <s v="-"/>
    <s v="-"/>
    <s v="-"/>
    <s v="-"/>
    <s v="-"/>
    <s v="-"/>
    <n v="6"/>
    <n v="6"/>
    <s v="-"/>
    <n v="1"/>
    <n v="1"/>
    <n v="2"/>
    <n v="2"/>
    <n v="8"/>
    <n v="8"/>
  </r>
  <r>
    <x v="3"/>
    <x v="83"/>
    <d v="2026-04-16T00:00:00"/>
    <s v="3RD"/>
    <d v="1899-12-31T02:00:00"/>
    <n v="1"/>
    <x v="22"/>
    <n v="1.01E-2"/>
    <s v="P"/>
    <s v="P"/>
    <s v="P"/>
    <s v="-"/>
    <s v="-"/>
    <n v="11.35"/>
    <s v="-"/>
    <s v="-"/>
    <s v="-"/>
    <s v="-"/>
    <s v="-"/>
    <s v="-"/>
    <s v="-"/>
    <s v="-"/>
    <s v="P"/>
    <s v="P"/>
    <s v="-"/>
    <n v="2"/>
    <n v="1"/>
    <n v="2"/>
    <n v="1"/>
    <s v="-"/>
    <s v="-"/>
    <s v="-"/>
    <s v="-"/>
    <s v="-"/>
    <s v="-"/>
    <s v="-"/>
    <n v="6"/>
    <n v="6"/>
    <s v="-"/>
    <n v="1"/>
    <n v="1"/>
    <n v="2"/>
    <n v="2"/>
    <n v="8"/>
    <n v="8"/>
  </r>
  <r>
    <x v="3"/>
    <x v="83"/>
    <d v="2026-04-16T00:00:00"/>
    <s v="3RD"/>
    <d v="1899-12-31T03:00:00"/>
    <n v="1"/>
    <x v="22"/>
    <n v="9.4999999999999998E-3"/>
    <s v="P"/>
    <s v="P"/>
    <s v="P"/>
    <s v="-"/>
    <s v="-"/>
    <n v="11.21"/>
    <s v="-"/>
    <s v="-"/>
    <s v="-"/>
    <s v="-"/>
    <s v="-"/>
    <s v="-"/>
    <s v="-"/>
    <s v="-"/>
    <s v="P"/>
    <s v="P"/>
    <s v="-"/>
    <n v="2"/>
    <n v="1"/>
    <n v="2"/>
    <n v="1"/>
    <s v="-"/>
    <s v="-"/>
    <s v="-"/>
    <s v="-"/>
    <s v="-"/>
    <s v="-"/>
    <s v="-"/>
    <n v="6"/>
    <n v="6"/>
    <s v="-"/>
    <n v="1"/>
    <n v="1"/>
    <n v="2"/>
    <n v="2"/>
    <n v="8"/>
    <n v="8"/>
  </r>
  <r>
    <x v="3"/>
    <x v="83"/>
    <d v="2026-04-16T00:00:00"/>
    <s v="3RD"/>
    <d v="1899-12-31T04:00:00"/>
    <n v="1"/>
    <x v="22"/>
    <n v="1.09E-2"/>
    <s v="P"/>
    <s v="P"/>
    <s v="P"/>
    <s v="-"/>
    <s v="-"/>
    <n v="11.32"/>
    <s v="-"/>
    <s v="-"/>
    <s v="-"/>
    <s v="-"/>
    <s v="-"/>
    <s v="-"/>
    <s v="-"/>
    <s v="-"/>
    <s v="P"/>
    <s v="P"/>
    <s v="-"/>
    <n v="2"/>
    <n v="1"/>
    <n v="2"/>
    <n v="1"/>
    <s v="-"/>
    <s v="-"/>
    <s v="-"/>
    <s v="-"/>
    <s v="-"/>
    <s v="-"/>
    <s v="-"/>
    <n v="6"/>
    <n v="6"/>
    <s v="-"/>
    <n v="1"/>
    <n v="1"/>
    <n v="2"/>
    <n v="2"/>
    <n v="8"/>
    <n v="8"/>
  </r>
  <r>
    <x v="3"/>
    <x v="83"/>
    <d v="2026-04-16T00:00:00"/>
    <s v="3RD"/>
    <d v="1899-12-31T05:00:00"/>
    <n v="1"/>
    <x v="22"/>
    <n v="9.5999999999999992E-3"/>
    <s v="P"/>
    <s v="P"/>
    <s v="P"/>
    <s v="-"/>
    <s v="-"/>
    <n v="11.08"/>
    <s v="-"/>
    <s v="-"/>
    <s v="-"/>
    <s v="-"/>
    <s v="-"/>
    <s v="-"/>
    <s v="-"/>
    <s v="-"/>
    <s v="P"/>
    <s v="P"/>
    <s v="-"/>
    <n v="2"/>
    <n v="1"/>
    <n v="2"/>
    <n v="1"/>
    <s v="-"/>
    <s v="-"/>
    <s v="-"/>
    <s v="-"/>
    <s v="-"/>
    <s v="-"/>
    <s v="-"/>
    <n v="6"/>
    <n v="6"/>
    <s v="-"/>
    <n v="1"/>
    <n v="1"/>
    <n v="2"/>
    <n v="2"/>
    <n v="8"/>
    <n v="8"/>
  </r>
  <r>
    <x v="3"/>
    <x v="84"/>
    <d v="1902-03-26T00:00:00"/>
    <s v="3RD"/>
    <d v="1899-12-30T22:00:00"/>
    <n v="2"/>
    <x v="7"/>
    <n v="1.5100000000000001E-2"/>
    <s v="P"/>
    <s v="P"/>
    <s v="P"/>
    <s v="-"/>
    <s v="+"/>
    <n v="10.54"/>
    <s v="-"/>
    <s v="-"/>
    <s v="-"/>
    <s v="-"/>
    <s v="-"/>
    <s v="-"/>
    <s v="-"/>
    <s v="-"/>
    <s v="P"/>
    <s v="P"/>
    <s v="-"/>
    <n v="2"/>
    <n v="1"/>
    <n v="2"/>
    <n v="0"/>
    <s v="-"/>
    <s v="-"/>
    <s v="-"/>
    <s v="-"/>
    <s v="-"/>
    <s v="-"/>
    <s v="-"/>
    <n v="5"/>
    <n v="6"/>
    <s v="-"/>
    <n v="1"/>
    <n v="1"/>
    <n v="2"/>
    <n v="2"/>
    <n v="7"/>
    <n v="8"/>
  </r>
  <r>
    <x v="3"/>
    <x v="84"/>
    <d v="1899-12-30T00:00:00"/>
    <s v="3RD"/>
    <d v="1899-12-30T23:00:00"/>
    <n v="2"/>
    <x v="7"/>
    <n v="1.9800000000000002E-2"/>
    <s v="P"/>
    <s v="P"/>
    <s v="P"/>
    <s v="-"/>
    <s v="+"/>
    <n v="10.47"/>
    <n v="9.93"/>
    <n v="0.62"/>
    <n v="57.6"/>
    <n v="15.4"/>
    <n v="361"/>
    <n v="27.4"/>
    <s v="-"/>
    <s v="-"/>
    <s v="P"/>
    <s v="P"/>
    <s v="-"/>
    <n v="2"/>
    <n v="1"/>
    <n v="2"/>
    <n v="0"/>
    <n v="1"/>
    <n v="0"/>
    <n v="2"/>
    <n v="1"/>
    <n v="1"/>
    <n v="2"/>
    <s v="-"/>
    <n v="12"/>
    <n v="15"/>
    <s v="-"/>
    <n v="1"/>
    <n v="1"/>
    <n v="2"/>
    <n v="2"/>
    <n v="14"/>
    <n v="17"/>
  </r>
  <r>
    <x v="3"/>
    <x v="84"/>
    <d v="1899-12-30T00:00:00"/>
    <s v="3RD"/>
    <d v="1899-12-31T01:00:00"/>
    <n v="2"/>
    <x v="7"/>
    <n v="1.8599999999999998E-2"/>
    <s v="P"/>
    <s v="P"/>
    <s v="P"/>
    <s v="-"/>
    <s v="+"/>
    <n v="10.75"/>
    <s v="-"/>
    <s v="-"/>
    <s v="-"/>
    <s v="-"/>
    <s v="-"/>
    <s v="-"/>
    <s v="-"/>
    <s v="-"/>
    <s v="P"/>
    <s v="P"/>
    <s v="-"/>
    <n v="2"/>
    <n v="1"/>
    <n v="2"/>
    <n v="0"/>
    <s v="-"/>
    <s v="-"/>
    <s v="-"/>
    <s v="-"/>
    <s v="-"/>
    <s v="-"/>
    <s v="-"/>
    <n v="5"/>
    <n v="6"/>
    <s v="-"/>
    <n v="1"/>
    <n v="1"/>
    <n v="2"/>
    <n v="2"/>
    <n v="7"/>
    <n v="8"/>
  </r>
  <r>
    <x v="3"/>
    <x v="84"/>
    <d v="1899-12-30T00:00:00"/>
    <s v="3RD"/>
    <d v="1899-12-31T02:00:00"/>
    <n v="2"/>
    <x v="7"/>
    <n v="1.9199999999999998E-2"/>
    <s v="P"/>
    <s v="P"/>
    <s v="P"/>
    <s v="-"/>
    <s v="+"/>
    <n v="10.72"/>
    <s v="-"/>
    <s v="-"/>
    <s v="-"/>
    <s v="-"/>
    <s v="-"/>
    <s v="-"/>
    <s v="-"/>
    <s v="-"/>
    <s v="P"/>
    <s v="P"/>
    <s v="-"/>
    <n v="2"/>
    <n v="1"/>
    <n v="2"/>
    <n v="0"/>
    <s v="-"/>
    <s v="-"/>
    <s v="-"/>
    <s v="-"/>
    <s v="-"/>
    <s v="-"/>
    <s v="-"/>
    <n v="5"/>
    <n v="6"/>
    <s v="-"/>
    <n v="1"/>
    <n v="1"/>
    <n v="2"/>
    <n v="2"/>
    <n v="7"/>
    <n v="8"/>
  </r>
  <r>
    <x v="3"/>
    <x v="84"/>
    <d v="1899-12-30T00:00:00"/>
    <s v="3RD"/>
    <d v="1899-12-31T03:00:00"/>
    <n v="2"/>
    <x v="7"/>
    <n v="1.7000000000000001E-2"/>
    <s v="P"/>
    <s v="P"/>
    <s v="P"/>
    <s v="-"/>
    <s v="+"/>
    <n v="10.68"/>
    <s v="-"/>
    <s v="-"/>
    <s v="-"/>
    <s v="-"/>
    <s v="-"/>
    <s v="-"/>
    <s v="-"/>
    <s v="-"/>
    <s v="P"/>
    <s v="P"/>
    <s v="-"/>
    <n v="2"/>
    <n v="1"/>
    <n v="2"/>
    <n v="0"/>
    <s v="-"/>
    <s v="-"/>
    <s v="-"/>
    <s v="-"/>
    <s v="-"/>
    <s v="-"/>
    <s v="-"/>
    <n v="5"/>
    <n v="6"/>
    <s v="-"/>
    <n v="1"/>
    <n v="1"/>
    <n v="2"/>
    <n v="2"/>
    <n v="7"/>
    <n v="8"/>
  </r>
  <r>
    <x v="3"/>
    <x v="84"/>
    <d v="1899-12-30T00:00:00"/>
    <s v="3RD"/>
    <d v="1899-12-31T04:00:00"/>
    <n v="2"/>
    <x v="7"/>
    <n v="1.7500000000000002E-2"/>
    <s v="P"/>
    <s v="P"/>
    <s v="P"/>
    <s v="-"/>
    <s v="+"/>
    <n v="10.52"/>
    <s v="-"/>
    <s v="-"/>
    <s v="-"/>
    <s v="-"/>
    <s v="-"/>
    <s v="-"/>
    <s v="-"/>
    <s v="-"/>
    <s v="P"/>
    <s v="P"/>
    <s v="-"/>
    <n v="2"/>
    <n v="1"/>
    <n v="2"/>
    <n v="0"/>
    <s v="-"/>
    <s v="-"/>
    <s v="-"/>
    <s v="-"/>
    <s v="-"/>
    <s v="-"/>
    <s v="-"/>
    <n v="5"/>
    <n v="6"/>
    <s v="-"/>
    <n v="1"/>
    <n v="1"/>
    <n v="2"/>
    <n v="2"/>
    <n v="7"/>
    <n v="8"/>
  </r>
  <r>
    <x v="3"/>
    <x v="85"/>
    <d v="1902-03-26T00:00:00"/>
    <s v="2ND"/>
    <d v="1899-12-30T14:00:00"/>
    <n v="2"/>
    <x v="7"/>
    <n v="1.8100000000000002E-2"/>
    <s v="P"/>
    <s v="P"/>
    <s v="P"/>
    <s v="-"/>
    <s v="+"/>
    <n v="10.26"/>
    <n v="9.85"/>
    <s v="-"/>
    <s v="-"/>
    <s v="-"/>
    <s v="-"/>
    <n v="27.1"/>
    <s v="-"/>
    <s v="-"/>
    <s v="P"/>
    <s v="P"/>
    <s v="-"/>
    <n v="2"/>
    <n v="1"/>
    <n v="2"/>
    <n v="0"/>
    <n v="1"/>
    <s v="-"/>
    <s v="-"/>
    <s v="-"/>
    <s v="-"/>
    <n v="2"/>
    <s v="-"/>
    <n v="8"/>
    <n v="9"/>
    <s v="-"/>
    <n v="1"/>
    <n v="1"/>
    <n v="2"/>
    <n v="2"/>
    <n v="10"/>
    <n v="11"/>
  </r>
  <r>
    <x v="3"/>
    <x v="85"/>
    <d v="2026-04-21T00:00:00"/>
    <s v="2ND"/>
    <d v="1899-12-30T14:00:00"/>
    <n v="3"/>
    <x v="12"/>
    <n v="1.6299999999999999E-2"/>
    <s v="P"/>
    <s v="P"/>
    <s v="P"/>
    <s v="+"/>
    <s v="+"/>
    <n v="12.83"/>
    <n v="13.16"/>
    <n v="0.51"/>
    <s v="63..7"/>
    <s v="-"/>
    <s v="-"/>
    <n v="37.200000000000003"/>
    <s v="-"/>
    <s v="-"/>
    <s v="P"/>
    <s v="P"/>
    <n v="1"/>
    <n v="2"/>
    <n v="1"/>
    <n v="2"/>
    <n v="1"/>
    <s v="-"/>
    <n v="2"/>
    <n v="0"/>
    <s v="-"/>
    <s v="-"/>
    <n v="2"/>
    <s v="-"/>
    <n v="10"/>
    <n v="12"/>
    <s v="-"/>
    <n v="1"/>
    <n v="1"/>
    <n v="2"/>
    <n v="2"/>
    <n v="12"/>
    <n v="14"/>
  </r>
  <r>
    <x v="3"/>
    <x v="85"/>
    <d v="2026-04-21T00:00:00"/>
    <s v="2ND"/>
    <d v="1899-12-30T16:00:00"/>
    <n v="3"/>
    <x v="12"/>
    <n v="4.5999999999999999E-3"/>
    <s v="P"/>
    <s v="P"/>
    <s v="P"/>
    <s v="+"/>
    <s v="+"/>
    <n v="13"/>
    <s v="-"/>
    <s v="-"/>
    <s v="-"/>
    <s v="-"/>
    <s v="-"/>
    <s v="-"/>
    <s v="-"/>
    <s v="-"/>
    <s v="P"/>
    <s v="P"/>
    <s v="-"/>
    <n v="2"/>
    <n v="1"/>
    <n v="2"/>
    <n v="1"/>
    <s v="-"/>
    <s v="-"/>
    <s v="-"/>
    <s v="-"/>
    <s v="-"/>
    <s v="-"/>
    <s v="-"/>
    <n v="6"/>
    <n v="6"/>
    <s v="-"/>
    <n v="1"/>
    <n v="1"/>
    <n v="2"/>
    <n v="2"/>
    <n v="8"/>
    <n v="8"/>
  </r>
  <r>
    <x v="3"/>
    <x v="85"/>
    <d v="2026-04-21T00:00:00"/>
    <s v="2ND"/>
    <d v="1899-12-30T17:00:00"/>
    <n v="3"/>
    <x v="12"/>
    <s v="-"/>
    <s v="P"/>
    <s v="P"/>
    <s v="P"/>
    <s v="+"/>
    <s v="+"/>
    <n v="13.06"/>
    <s v="-"/>
    <s v="-"/>
    <s v="-"/>
    <s v="-"/>
    <s v="-"/>
    <s v="-"/>
    <s v="-"/>
    <s v="-"/>
    <s v="P"/>
    <s v="P"/>
    <s v="-"/>
    <s v="-"/>
    <n v="1"/>
    <n v="2"/>
    <n v="1"/>
    <s v="-"/>
    <s v="-"/>
    <s v="-"/>
    <s v="-"/>
    <s v="-"/>
    <s v="-"/>
    <s v="-"/>
    <n v="4"/>
    <n v="4"/>
    <s v="-"/>
    <n v="1"/>
    <n v="1"/>
    <n v="2"/>
    <n v="2"/>
    <n v="6"/>
    <n v="6"/>
  </r>
  <r>
    <x v="3"/>
    <x v="85"/>
    <d v="2026-04-21T00:00:00"/>
    <s v="2ND"/>
    <d v="1899-12-30T19:00:00"/>
    <n v="3"/>
    <x v="12"/>
    <n v="5.8999999999999999E-3"/>
    <s v="P"/>
    <s v="P"/>
    <s v="P"/>
    <s v="+"/>
    <s v="+"/>
    <n v="13.21"/>
    <s v="-"/>
    <s v="-"/>
    <s v="-"/>
    <s v="-"/>
    <s v="-"/>
    <s v="-"/>
    <s v="-"/>
    <s v="-"/>
    <s v="P"/>
    <s v="P"/>
    <s v="-"/>
    <n v="2"/>
    <n v="1"/>
    <n v="2"/>
    <n v="1"/>
    <s v="-"/>
    <s v="-"/>
    <s v="-"/>
    <s v="-"/>
    <s v="-"/>
    <s v="-"/>
    <s v="-"/>
    <n v="6"/>
    <n v="6"/>
    <s v="-"/>
    <n v="1"/>
    <n v="1"/>
    <n v="2"/>
    <n v="2"/>
    <n v="8"/>
    <n v="8"/>
  </r>
  <r>
    <x v="3"/>
    <x v="85"/>
    <d v="2026-04-17T00:00:00"/>
    <s v="2ND"/>
    <d v="1899-12-30T15:00:00"/>
    <s v="Retail"/>
    <x v="24"/>
    <s v="-"/>
    <s v="P"/>
    <s v="P"/>
    <s v="P"/>
    <s v="+"/>
    <s v="+"/>
    <n v="13.07"/>
    <n v="13.16"/>
    <n v="1.34"/>
    <n v="71.099999999999994"/>
    <s v="-"/>
    <s v="-"/>
    <n v="37.200000000000003"/>
    <s v="-"/>
    <s v="-"/>
    <s v="P"/>
    <s v="P"/>
    <s v="-"/>
    <s v="-"/>
    <n v="1"/>
    <n v="2"/>
    <n v="1"/>
    <n v="0"/>
    <n v="2"/>
    <s v="-"/>
    <s v="-"/>
    <s v="-"/>
    <s v="-"/>
    <s v="-"/>
    <n v="6"/>
    <n v="7"/>
    <s v="-"/>
    <n v="1"/>
    <n v="1"/>
    <n v="2"/>
    <n v="2"/>
    <n v="8"/>
    <n v="9"/>
  </r>
  <r>
    <x v="3"/>
    <x v="85"/>
    <d v="2026-04-17T00:00:00"/>
    <s v="2ND"/>
    <d v="1899-12-30T17:00:00"/>
    <s v="Retail"/>
    <x v="24"/>
    <s v="-"/>
    <s v="P"/>
    <s v="P"/>
    <s v="P"/>
    <s v="+"/>
    <s v="+"/>
    <n v="11.21"/>
    <s v="-"/>
    <s v="-"/>
    <s v="-"/>
    <s v="-"/>
    <s v="-"/>
    <s v="-"/>
    <s v="-"/>
    <s v="-"/>
    <s v="P"/>
    <s v="P"/>
    <s v="-"/>
    <s v="-"/>
    <n v="1"/>
    <n v="2"/>
    <n v="1"/>
    <s v="-"/>
    <s v="-"/>
    <s v="-"/>
    <s v="-"/>
    <s v="-"/>
    <s v="-"/>
    <s v="-"/>
    <n v="4"/>
    <n v="4"/>
    <s v="-"/>
    <n v="1"/>
    <n v="1"/>
    <n v="2"/>
    <n v="2"/>
    <n v="6"/>
    <n v="6"/>
  </r>
  <r>
    <x v="3"/>
    <x v="85"/>
    <d v="2026-04-21T00:00:00"/>
    <s v="2ND"/>
    <d v="1899-12-30T15:00:00"/>
    <n v="1"/>
    <x v="5"/>
    <n v="1.6899999999999998E-2"/>
    <s v="P"/>
    <s v="P"/>
    <s v="P"/>
    <s v="-"/>
    <s v="+"/>
    <n v="10.29"/>
    <n v="10.27"/>
    <n v="0.57999999999999996"/>
    <n v="56"/>
    <s v="-"/>
    <s v="-"/>
    <n v="28.5"/>
    <s v="-"/>
    <s v="-"/>
    <s v="P"/>
    <s v="P"/>
    <n v="1"/>
    <n v="2"/>
    <n v="1"/>
    <n v="2"/>
    <n v="0"/>
    <n v="0"/>
    <n v="0"/>
    <n v="2"/>
    <s v="-"/>
    <s v="-"/>
    <n v="0"/>
    <s v="-"/>
    <n v="7"/>
    <n v="13"/>
    <s v="-"/>
    <n v="1"/>
    <n v="1"/>
    <n v="2"/>
    <n v="2"/>
    <n v="9"/>
    <n v="15"/>
  </r>
  <r>
    <x v="3"/>
    <x v="85"/>
    <d v="2026-04-21T00:00:00"/>
    <s v="2ND"/>
    <d v="1899-12-30T16:00:00"/>
    <n v="1"/>
    <x v="5"/>
    <n v="1.55E-2"/>
    <s v="P"/>
    <s v="P"/>
    <s v="P"/>
    <s v="-"/>
    <s v="+"/>
    <n v="10.199999999999999"/>
    <s v="-"/>
    <s v="-"/>
    <s v="-"/>
    <s v="-"/>
    <s v="-"/>
    <s v="-"/>
    <s v="-"/>
    <s v="-"/>
    <s v="P"/>
    <s v="P"/>
    <s v="-"/>
    <n v="2"/>
    <n v="1"/>
    <n v="2"/>
    <n v="0"/>
    <s v="-"/>
    <s v="-"/>
    <s v="-"/>
    <s v="-"/>
    <s v="-"/>
    <s v="-"/>
    <s v="-"/>
    <n v="5"/>
    <n v="6"/>
    <s v="-"/>
    <n v="1"/>
    <n v="1"/>
    <n v="2"/>
    <n v="2"/>
    <n v="7"/>
    <n v="8"/>
  </r>
  <r>
    <x v="3"/>
    <x v="85"/>
    <d v="2026-04-21T00:00:00"/>
    <s v="2ND"/>
    <d v="1899-12-30T19:00:00"/>
    <n v="1"/>
    <x v="5"/>
    <n v="1.15E-2"/>
    <s v="P"/>
    <s v="P"/>
    <s v="P"/>
    <s v="-"/>
    <s v="+"/>
    <n v="10.210000000000001"/>
    <s v="-"/>
    <s v="-"/>
    <s v="-"/>
    <s v="-"/>
    <s v="-"/>
    <s v="-"/>
    <s v="-"/>
    <s v="-"/>
    <s v="P"/>
    <s v="P"/>
    <s v="-"/>
    <n v="2"/>
    <n v="1"/>
    <n v="2"/>
    <n v="0"/>
    <s v="-"/>
    <s v="-"/>
    <s v="-"/>
    <s v="-"/>
    <s v="-"/>
    <s v="-"/>
    <s v="-"/>
    <n v="5"/>
    <n v="6"/>
    <s v="-"/>
    <n v="1"/>
    <n v="1"/>
    <n v="2"/>
    <n v="2"/>
    <n v="7"/>
    <n v="8"/>
  </r>
  <r>
    <x v="3"/>
    <x v="85"/>
    <d v="2026-04-21T00:00:00"/>
    <s v="2ND"/>
    <d v="1899-12-30T20:00:00"/>
    <n v="1"/>
    <x v="5"/>
    <n v="1.3100000000000001E-2"/>
    <s v="P"/>
    <s v="P"/>
    <s v="P"/>
    <s v="-"/>
    <s v="+"/>
    <n v="10.61"/>
    <s v="-"/>
    <s v="-"/>
    <s v="-"/>
    <s v="-"/>
    <s v="-"/>
    <s v="-"/>
    <s v="-"/>
    <s v="-"/>
    <s v="P"/>
    <s v="P"/>
    <s v="-"/>
    <n v="2"/>
    <n v="1"/>
    <n v="2"/>
    <n v="0"/>
    <s v="-"/>
    <s v="-"/>
    <s v="-"/>
    <s v="-"/>
    <s v="-"/>
    <s v="-"/>
    <s v="-"/>
    <n v="5"/>
    <n v="6"/>
    <s v="-"/>
    <n v="1"/>
    <n v="1"/>
    <n v="2"/>
    <n v="2"/>
    <n v="7"/>
    <n v="8"/>
  </r>
  <r>
    <x v="3"/>
    <x v="85"/>
    <s v="-"/>
    <s v="3RD"/>
    <d v="1899-12-30T22:00:00"/>
    <n v="1"/>
    <x v="5"/>
    <n v="1.52E-2"/>
    <s v="P"/>
    <s v="P"/>
    <s v="P"/>
    <s v="-"/>
    <s v="+"/>
    <n v="10.66"/>
    <n v="8.99"/>
    <n v="0.57999999999999996"/>
    <s v="-"/>
    <s v="-"/>
    <s v="-"/>
    <n v="22.6"/>
    <s v="-"/>
    <s v="-"/>
    <s v="P"/>
    <s v="P"/>
    <n v="1"/>
    <n v="2"/>
    <n v="1"/>
    <n v="2"/>
    <n v="0"/>
    <n v="1"/>
    <n v="0"/>
    <s v="-"/>
    <s v="-"/>
    <s v="-"/>
    <n v="2"/>
    <s v="-"/>
    <n v="8"/>
    <n v="11"/>
    <s v="-"/>
    <n v="1"/>
    <n v="1"/>
    <n v="2"/>
    <n v="2"/>
    <n v="10"/>
    <n v="13"/>
  </r>
  <r>
    <x v="3"/>
    <x v="85"/>
    <d v="2026-04-21T00:00:00"/>
    <s v="3RD"/>
    <d v="1899-12-30T23:00:00"/>
    <n v="1"/>
    <x v="5"/>
    <n v="1.21E-2"/>
    <s v="P"/>
    <s v="P"/>
    <s v="P"/>
    <s v="-"/>
    <s v="+"/>
    <n v="10.64"/>
    <s v="-"/>
    <s v="-"/>
    <s v="-"/>
    <s v="-"/>
    <s v="-"/>
    <s v="-"/>
    <s v="-"/>
    <s v="-"/>
    <s v="P"/>
    <s v="P"/>
    <s v="-"/>
    <n v="2"/>
    <n v="1"/>
    <n v="2"/>
    <n v="0"/>
    <s v="-"/>
    <s v="-"/>
    <s v="-"/>
    <s v="-"/>
    <s v="-"/>
    <s v="-"/>
    <s v="-"/>
    <n v="5"/>
    <n v="6"/>
    <s v="-"/>
    <n v="1"/>
    <n v="1"/>
    <n v="2"/>
    <n v="2"/>
    <n v="7"/>
    <n v="8"/>
  </r>
  <r>
    <x v="3"/>
    <x v="85"/>
    <d v="2026-04-21T00:00:00"/>
    <s v="3RD"/>
    <d v="1899-12-31T00:00:00"/>
    <n v="1"/>
    <x v="5"/>
    <n v="1.15E-2"/>
    <s v="P"/>
    <s v="P"/>
    <s v="P"/>
    <s v="-"/>
    <s v="+"/>
    <n v="10.62"/>
    <s v="-"/>
    <s v="-"/>
    <s v="-"/>
    <s v="-"/>
    <s v="-"/>
    <s v="-"/>
    <s v="-"/>
    <s v="-"/>
    <s v="P"/>
    <s v="P"/>
    <s v="-"/>
    <n v="2"/>
    <n v="1"/>
    <n v="2"/>
    <n v="0"/>
    <s v="-"/>
    <s v="-"/>
    <s v="-"/>
    <s v="-"/>
    <s v="-"/>
    <s v="-"/>
    <s v="-"/>
    <n v="5"/>
    <n v="6"/>
    <s v="-"/>
    <n v="1"/>
    <n v="1"/>
    <n v="2"/>
    <n v="2"/>
    <n v="7"/>
    <n v="8"/>
  </r>
  <r>
    <x v="3"/>
    <x v="85"/>
    <d v="2026-04-21T00:00:00"/>
    <s v="3RD"/>
    <d v="1899-12-31T01:00:00"/>
    <n v="1"/>
    <x v="5"/>
    <n v="1.47E-2"/>
    <s v="P"/>
    <s v="P"/>
    <s v="P"/>
    <s v="-"/>
    <s v="+"/>
    <n v="10.61"/>
    <s v="-"/>
    <s v="-"/>
    <s v="-"/>
    <s v="-"/>
    <s v="-"/>
    <s v="-"/>
    <s v="-"/>
    <s v="-"/>
    <s v="P"/>
    <s v="P"/>
    <s v="-"/>
    <n v="2"/>
    <n v="1"/>
    <n v="2"/>
    <n v="0"/>
    <s v="-"/>
    <s v="-"/>
    <s v="-"/>
    <s v="-"/>
    <s v="-"/>
    <s v="-"/>
    <s v="-"/>
    <n v="5"/>
    <n v="6"/>
    <s v="-"/>
    <n v="1"/>
    <n v="1"/>
    <n v="2"/>
    <n v="2"/>
    <n v="7"/>
    <n v="8"/>
  </r>
  <r>
    <x v="3"/>
    <x v="85"/>
    <d v="2026-04-21T00:00:00"/>
    <s v="3RD"/>
    <d v="1899-12-31T02:00:00"/>
    <n v="1"/>
    <x v="5"/>
    <n v="1.9400000000000001E-2"/>
    <s v="P"/>
    <s v="P"/>
    <s v="P"/>
    <s v="-"/>
    <s v="+"/>
    <n v="10.5"/>
    <s v="-"/>
    <s v="-"/>
    <s v="-"/>
    <s v="-"/>
    <s v="-"/>
    <s v="-"/>
    <s v="-"/>
    <s v="-"/>
    <s v="P"/>
    <s v="P"/>
    <s v="-"/>
    <n v="2"/>
    <n v="1"/>
    <n v="2"/>
    <n v="0"/>
    <s v="-"/>
    <s v="-"/>
    <s v="-"/>
    <s v="-"/>
    <s v="-"/>
    <s v="-"/>
    <s v="-"/>
    <n v="5"/>
    <n v="6"/>
    <s v="-"/>
    <n v="1"/>
    <n v="1"/>
    <n v="2"/>
    <n v="2"/>
    <n v="7"/>
    <n v="8"/>
  </r>
  <r>
    <x v="3"/>
    <x v="85"/>
    <d v="2026-04-21T00:00:00"/>
    <s v="3RD"/>
    <d v="1899-12-31T03:00:00"/>
    <n v="1"/>
    <x v="5"/>
    <n v="1.8599999999999998E-2"/>
    <s v="P"/>
    <s v="P"/>
    <s v="P"/>
    <s v="-"/>
    <s v="+"/>
    <n v="10.57"/>
    <s v="-"/>
    <s v="-"/>
    <s v="-"/>
    <s v="-"/>
    <s v="-"/>
    <s v="-"/>
    <s v="-"/>
    <s v="-"/>
    <s v="P"/>
    <s v="P"/>
    <s v="-"/>
    <n v="2"/>
    <n v="1"/>
    <n v="2"/>
    <n v="0"/>
    <s v="-"/>
    <s v="-"/>
    <s v="-"/>
    <s v="-"/>
    <s v="-"/>
    <s v="-"/>
    <s v="-"/>
    <n v="5"/>
    <n v="6"/>
    <s v="-"/>
    <n v="1"/>
    <n v="1"/>
    <n v="2"/>
    <n v="2"/>
    <n v="7"/>
    <n v="8"/>
  </r>
  <r>
    <x v="3"/>
    <x v="85"/>
    <d v="2026-04-21T00:00:00"/>
    <s v="3RD"/>
    <d v="1899-12-31T00:00:00"/>
    <n v="3"/>
    <x v="16"/>
    <n v="1.8499999999999999E-2"/>
    <s v="P"/>
    <s v="P"/>
    <s v="P"/>
    <s v="+"/>
    <s v="+"/>
    <n v="13.15"/>
    <n v="12.52"/>
    <n v="0.52"/>
    <s v="-"/>
    <n v="12.4"/>
    <n v="893"/>
    <n v="34.9"/>
    <s v="-"/>
    <s v="-"/>
    <s v="P"/>
    <s v="P"/>
    <n v="1"/>
    <n v="2"/>
    <n v="1"/>
    <n v="2"/>
    <n v="1"/>
    <n v="1"/>
    <n v="2"/>
    <s v="-"/>
    <n v="1"/>
    <n v="1"/>
    <n v="2"/>
    <s v="-"/>
    <n v="13"/>
    <n v="13"/>
    <s v="-"/>
    <n v="1"/>
    <n v="1"/>
    <n v="2"/>
    <n v="2"/>
    <n v="15"/>
    <n v="15"/>
  </r>
  <r>
    <x v="3"/>
    <x v="85"/>
    <d v="2026-04-21T00:00:00"/>
    <s v="3RD"/>
    <d v="1899-12-31T02:00:00"/>
    <n v="3"/>
    <x v="16"/>
    <n v="8.9999999999999993E-3"/>
    <s v="P"/>
    <s v="P"/>
    <s v="P"/>
    <s v="+"/>
    <s v="+"/>
    <n v="13.2"/>
    <s v="-"/>
    <s v="-"/>
    <n v="63.1"/>
    <s v="-"/>
    <s v="-"/>
    <s v="-"/>
    <s v="-"/>
    <s v="-"/>
    <s v="P"/>
    <s v="P"/>
    <s v="-"/>
    <n v="2"/>
    <n v="1"/>
    <n v="2"/>
    <n v="1"/>
    <s v="-"/>
    <s v="-"/>
    <n v="0"/>
    <s v="-"/>
    <s v="-"/>
    <s v="-"/>
    <s v="-"/>
    <n v="6"/>
    <n v="8"/>
    <s v="-"/>
    <n v="1"/>
    <n v="1"/>
    <n v="2"/>
    <n v="2"/>
    <n v="8"/>
    <n v="10"/>
  </r>
  <r>
    <x v="3"/>
    <x v="85"/>
    <d v="2026-04-21T00:00:00"/>
    <s v="3RD"/>
    <d v="1899-12-31T03:00:00"/>
    <n v="3"/>
    <x v="16"/>
    <n v="9.7000000000000003E-3"/>
    <s v="P"/>
    <s v="P"/>
    <s v="P"/>
    <s v="+"/>
    <s v="+"/>
    <n v="12.99"/>
    <s v="-"/>
    <s v="-"/>
    <s v="-"/>
    <s v="-"/>
    <s v="-"/>
    <s v="-"/>
    <s v="-"/>
    <s v="-"/>
    <s v="P"/>
    <s v="P"/>
    <s v="-"/>
    <n v="2"/>
    <n v="1"/>
    <n v="2"/>
    <n v="1"/>
    <s v="-"/>
    <s v="-"/>
    <s v="-"/>
    <s v="-"/>
    <s v="-"/>
    <s v="-"/>
    <s v="-"/>
    <n v="6"/>
    <n v="6"/>
    <s v="-"/>
    <n v="1"/>
    <n v="1"/>
    <n v="2"/>
    <n v="2"/>
    <n v="8"/>
    <n v="8"/>
  </r>
  <r>
    <x v="3"/>
    <x v="86"/>
    <s v="-"/>
    <s v="2ND"/>
    <d v="1899-12-30T14:00:00"/>
    <n v="1"/>
    <x v="2"/>
    <n v="1.0699999999999999E-2"/>
    <s v="P"/>
    <s v="P"/>
    <s v="P"/>
    <s v="-"/>
    <s v="+"/>
    <n v="10.67"/>
    <n v="8.4499999999999993"/>
    <n v="0.63"/>
    <n v="56.4"/>
    <s v="-"/>
    <s v="-"/>
    <n v="23"/>
    <s v="-"/>
    <s v="-"/>
    <s v="P"/>
    <s v="P"/>
    <s v="50% 50%"/>
    <n v="2"/>
    <n v="1"/>
    <n v="2"/>
    <n v="0"/>
    <n v="0"/>
    <n v="0"/>
    <n v="0"/>
    <s v="-"/>
    <s v="-"/>
    <n v="0"/>
    <s v="-"/>
    <n v="5"/>
    <n v="13"/>
    <s v="-"/>
    <n v="1"/>
    <n v="1"/>
    <n v="2"/>
    <n v="2"/>
    <n v="7"/>
    <n v="15"/>
  </r>
  <r>
    <x v="3"/>
    <x v="86"/>
    <d v="2026-04-21T00:00:00"/>
    <s v="2ND"/>
    <d v="1899-12-30T16:00:00"/>
    <n v="1"/>
    <x v="2"/>
    <n v="6.1000000000000004E-3"/>
    <s v="P"/>
    <s v="P"/>
    <s v="P"/>
    <s v="-"/>
    <s v="+"/>
    <n v="10.69"/>
    <s v="-"/>
    <s v="-"/>
    <s v="-"/>
    <s v="-"/>
    <s v="-"/>
    <n v="23.3"/>
    <s v="-"/>
    <s v="-"/>
    <s v="P"/>
    <s v="P"/>
    <s v="-"/>
    <n v="2"/>
    <n v="1"/>
    <n v="2"/>
    <n v="0"/>
    <s v="-"/>
    <s v="-"/>
    <s v="-"/>
    <s v="-"/>
    <s v="-"/>
    <n v="0"/>
    <s v="-"/>
    <n v="5"/>
    <n v="8"/>
    <s v="-"/>
    <n v="1"/>
    <n v="1"/>
    <n v="2"/>
    <n v="2"/>
    <n v="7"/>
    <n v="10"/>
  </r>
  <r>
    <x v="3"/>
    <x v="86"/>
    <d v="2026-04-21T00:00:00"/>
    <s v="2ND"/>
    <d v="1899-12-30T17:00:00"/>
    <n v="1"/>
    <x v="2"/>
    <n v="7.7999999999999996E-3"/>
    <s v="P"/>
    <s v="P"/>
    <s v="P"/>
    <s v="-"/>
    <s v="+"/>
    <n v="10.59"/>
    <s v="-"/>
    <s v="-"/>
    <s v="-"/>
    <s v="-"/>
    <s v="-"/>
    <s v="-"/>
    <s v="-"/>
    <s v="-"/>
    <s v="P"/>
    <s v="P"/>
    <s v="-"/>
    <n v="2"/>
    <n v="1"/>
    <n v="2"/>
    <n v="0"/>
    <s v="-"/>
    <s v="-"/>
    <s v="-"/>
    <s v="-"/>
    <s v="-"/>
    <s v="-"/>
    <s v="-"/>
    <n v="5"/>
    <n v="6"/>
    <s v="-"/>
    <n v="1"/>
    <n v="1"/>
    <n v="2"/>
    <n v="2"/>
    <n v="7"/>
    <n v="8"/>
  </r>
  <r>
    <x v="3"/>
    <x v="86"/>
    <d v="2026-04-17T00:00:00"/>
    <s v="2ND"/>
    <d v="1899-12-30T17:00:00"/>
    <s v="Retail"/>
    <x v="19"/>
    <s v="-"/>
    <s v="P"/>
    <s v="P"/>
    <s v="P"/>
    <s v="-"/>
    <s v="-"/>
    <n v="13.15"/>
    <n v="13.48"/>
    <n v="1.2"/>
    <n v="71.2"/>
    <s v="-"/>
    <s v="-"/>
    <n v="37.9"/>
    <s v="-"/>
    <s v="-"/>
    <s v="P"/>
    <s v="P"/>
    <s v="-"/>
    <s v="-"/>
    <n v="1"/>
    <n v="2"/>
    <n v="1"/>
    <n v="0"/>
    <n v="2"/>
    <n v="2"/>
    <s v="-"/>
    <s v="-"/>
    <n v="0"/>
    <s v="-"/>
    <n v="8"/>
    <n v="11"/>
    <s v="-"/>
    <n v="1"/>
    <n v="1"/>
    <n v="2"/>
    <n v="2"/>
    <n v="10"/>
    <n v="13"/>
  </r>
  <r>
    <x v="3"/>
    <x v="86"/>
    <d v="2026-04-17T00:00:00"/>
    <s v="2ND"/>
    <d v="1899-12-30T14:00:00"/>
    <n v="3"/>
    <x v="1"/>
    <n v="1.3100000000000001E-2"/>
    <s v="P"/>
    <s v="P"/>
    <s v="P"/>
    <s v="+"/>
    <s v="+"/>
    <n v="12.55"/>
    <n v="12.76"/>
    <n v="0.6"/>
    <n v="65.900000000000006"/>
    <s v="-"/>
    <s v="-"/>
    <n v="35.200000000000003"/>
    <s v="-"/>
    <s v="-"/>
    <s v="P"/>
    <s v="P"/>
    <s v="85% 5% 10%"/>
    <n v="2"/>
    <n v="1"/>
    <n v="2"/>
    <n v="1"/>
    <n v="1"/>
    <n v="2"/>
    <n v="2"/>
    <s v="-"/>
    <s v="-"/>
    <n v="2"/>
    <s v="-"/>
    <n v="13"/>
    <n v="13"/>
    <s v="-"/>
    <n v="1"/>
    <n v="1"/>
    <n v="2"/>
    <n v="2"/>
    <n v="15"/>
    <n v="15"/>
  </r>
  <r>
    <x v="3"/>
    <x v="86"/>
    <d v="2026-04-17T00:00:00"/>
    <s v="2ND"/>
    <d v="1899-12-30T16:00:00"/>
    <n v="3"/>
    <x v="1"/>
    <n v="1.1299999999999999E-2"/>
    <s v="P"/>
    <s v="P"/>
    <s v="P"/>
    <s v="+"/>
    <s v="+"/>
    <n v="12.41"/>
    <s v="-"/>
    <n v="0.56000000000000005"/>
    <n v="65.239999999999995"/>
    <s v="-"/>
    <s v="-"/>
    <n v="35.700000000000003"/>
    <s v="-"/>
    <s v="-"/>
    <s v="P"/>
    <s v="P"/>
    <s v="-"/>
    <n v="2"/>
    <n v="1"/>
    <n v="2"/>
    <n v="1"/>
    <s v="-"/>
    <n v="2"/>
    <n v="2"/>
    <s v="-"/>
    <s v="-"/>
    <n v="2"/>
    <s v="-"/>
    <n v="12"/>
    <n v="12"/>
    <s v="-"/>
    <n v="1"/>
    <n v="1"/>
    <n v="2"/>
    <n v="2"/>
    <n v="14"/>
    <n v="14"/>
  </r>
  <r>
    <x v="3"/>
    <x v="86"/>
    <d v="2026-04-17T00:00:00"/>
    <s v="2ND"/>
    <d v="1899-12-30T17:00:00"/>
    <n v="3"/>
    <x v="1"/>
    <n v="1.32E-2"/>
    <s v="P"/>
    <s v="P"/>
    <s v="P"/>
    <s v="+"/>
    <s v="+"/>
    <n v="12.07"/>
    <s v="-"/>
    <s v="-"/>
    <s v="-"/>
    <s v="-"/>
    <s v="-"/>
    <s v="-"/>
    <s v="-"/>
    <s v="-"/>
    <s v="P"/>
    <s v="P"/>
    <s v="-"/>
    <n v="2"/>
    <n v="1"/>
    <n v="2"/>
    <n v="1"/>
    <s v="-"/>
    <s v="-"/>
    <s v="-"/>
    <s v="-"/>
    <s v="-"/>
    <s v="-"/>
    <s v="-"/>
    <n v="6"/>
    <n v="6"/>
    <s v="-"/>
    <n v="1"/>
    <n v="1"/>
    <n v="2"/>
    <n v="2"/>
    <n v="8"/>
    <n v="8"/>
  </r>
  <r>
    <x v="3"/>
    <x v="86"/>
    <d v="2026-04-17T00:00:00"/>
    <s v="2ND"/>
    <d v="1899-12-30T18:00:00"/>
    <n v="3"/>
    <x v="1"/>
    <n v="1.9800000000000002E-2"/>
    <s v="P"/>
    <s v="P"/>
    <s v="P"/>
    <s v="+"/>
    <s v="+"/>
    <n v="11.07"/>
    <s v="-"/>
    <s v="-"/>
    <s v="-"/>
    <s v="-"/>
    <s v="-"/>
    <s v="-"/>
    <s v="-"/>
    <s v="-"/>
    <s v="P"/>
    <s v="P"/>
    <s v="-"/>
    <n v="2"/>
    <n v="1"/>
    <n v="2"/>
    <n v="0"/>
    <s v="-"/>
    <s v="-"/>
    <s v="-"/>
    <s v="-"/>
    <s v="-"/>
    <s v="-"/>
    <s v="-"/>
    <n v="5"/>
    <n v="6"/>
    <s v="-"/>
    <n v="1"/>
    <n v="1"/>
    <n v="2"/>
    <n v="2"/>
    <n v="7"/>
    <n v="8"/>
  </r>
  <r>
    <x v="3"/>
    <x v="86"/>
    <d v="2026-04-17T00:00:00"/>
    <s v="2ND"/>
    <d v="1899-12-30T19:00:00"/>
    <n v="3"/>
    <x v="1"/>
    <n v="1.0500000000000001E-2"/>
    <s v="P"/>
    <s v="P"/>
    <s v="P"/>
    <s v="+"/>
    <s v="+"/>
    <n v="12.76"/>
    <s v="-"/>
    <s v="-"/>
    <s v="-"/>
    <s v="-"/>
    <s v="-"/>
    <s v="-"/>
    <s v="-"/>
    <s v="-"/>
    <s v="P"/>
    <s v="P"/>
    <s v="-"/>
    <n v="2"/>
    <n v="1"/>
    <n v="2"/>
    <n v="1"/>
    <s v="-"/>
    <s v="-"/>
    <s v="-"/>
    <s v="-"/>
    <s v="-"/>
    <s v="-"/>
    <s v="-"/>
    <n v="6"/>
    <n v="6"/>
    <s v="-"/>
    <n v="1"/>
    <n v="1"/>
    <n v="2"/>
    <n v="2"/>
    <n v="8"/>
    <n v="8"/>
  </r>
  <r>
    <x v="3"/>
    <x v="86"/>
    <d v="2026-04-17T00:00:00"/>
    <s v="2ND"/>
    <d v="1899-12-30T20:00:00"/>
    <n v="3"/>
    <x v="1"/>
    <n v="1.32E-2"/>
    <s v="P"/>
    <s v="P"/>
    <s v="P"/>
    <s v="+"/>
    <s v="+"/>
    <n v="12.65"/>
    <s v="-"/>
    <s v="-"/>
    <s v="-"/>
    <s v="-"/>
    <s v="-"/>
    <s v="-"/>
    <s v="-"/>
    <s v="-"/>
    <s v="P"/>
    <s v="P"/>
    <s v="-"/>
    <n v="2"/>
    <n v="1"/>
    <n v="2"/>
    <n v="1"/>
    <s v="-"/>
    <s v="-"/>
    <s v="-"/>
    <s v="-"/>
    <s v="-"/>
    <s v="-"/>
    <s v="-"/>
    <n v="6"/>
    <n v="6"/>
    <s v="-"/>
    <n v="1"/>
    <n v="1"/>
    <n v="2"/>
    <n v="2"/>
    <n v="8"/>
    <n v="8"/>
  </r>
  <r>
    <x v="3"/>
    <x v="86"/>
    <d v="2026-04-17T00:00:00"/>
    <s v="2ND"/>
    <d v="1899-12-30T21:00:00"/>
    <n v="3"/>
    <x v="1"/>
    <s v="-"/>
    <s v="P"/>
    <s v="P"/>
    <s v="P"/>
    <s v="+"/>
    <s v="+"/>
    <s v="-"/>
    <s v="-"/>
    <s v="-"/>
    <s v="-"/>
    <s v="-"/>
    <s v="-"/>
    <s v="-"/>
    <s v="-"/>
    <s v="-"/>
    <s v="P"/>
    <s v="P"/>
    <s v="-"/>
    <s v="-"/>
    <n v="1"/>
    <n v="2"/>
    <s v="-"/>
    <s v="-"/>
    <s v="-"/>
    <s v="-"/>
    <s v="-"/>
    <s v="-"/>
    <s v="-"/>
    <s v="-"/>
    <n v="3"/>
    <n v="3"/>
    <s v="-"/>
    <n v="1"/>
    <n v="1"/>
    <n v="2"/>
    <n v="2"/>
    <n v="5"/>
    <n v="5"/>
  </r>
  <r>
    <x v="3"/>
    <x v="86"/>
    <d v="2026-04-17T00:00:00"/>
    <s v="3RD"/>
    <d v="1899-12-31T00:00:00"/>
    <n v="3"/>
    <x v="1"/>
    <n v="1.2E-2"/>
    <s v="P"/>
    <s v="P"/>
    <s v="P"/>
    <s v="+"/>
    <s v="+"/>
    <n v="12.86"/>
    <n v="12.92"/>
    <n v="0.6"/>
    <s v="-"/>
    <s v="-"/>
    <s v="-"/>
    <n v="36.1"/>
    <s v="-"/>
    <s v="-"/>
    <s v="P"/>
    <s v="P"/>
    <s v="85% 5% 10%"/>
    <n v="2"/>
    <n v="1"/>
    <n v="2"/>
    <n v="1"/>
    <n v="1"/>
    <n v="2"/>
    <s v="-"/>
    <s v="-"/>
    <s v="-"/>
    <n v="2"/>
    <s v="-"/>
    <n v="11"/>
    <n v="11"/>
    <s v="-"/>
    <n v="1"/>
    <n v="1"/>
    <n v="2"/>
    <n v="2"/>
    <n v="13"/>
    <n v="13"/>
  </r>
  <r>
    <x v="3"/>
    <x v="86"/>
    <d v="2026-04-17T00:00:00"/>
    <s v="3RD"/>
    <d v="1899-12-31T01:00:00"/>
    <n v="3"/>
    <x v="1"/>
    <s v="-"/>
    <s v="P"/>
    <s v="P"/>
    <s v="P"/>
    <s v="+"/>
    <s v="+"/>
    <n v="12.64"/>
    <s v="-"/>
    <s v="-"/>
    <s v="-"/>
    <s v="-"/>
    <s v="-"/>
    <s v="-"/>
    <s v="-"/>
    <s v="-"/>
    <s v="P"/>
    <s v="P"/>
    <s v="-"/>
    <s v="-"/>
    <n v="1"/>
    <n v="2"/>
    <n v="1"/>
    <s v="-"/>
    <s v="-"/>
    <s v="-"/>
    <s v="-"/>
    <s v="-"/>
    <s v="-"/>
    <s v="-"/>
    <n v="4"/>
    <n v="4"/>
    <s v="-"/>
    <n v="1"/>
    <n v="1"/>
    <n v="2"/>
    <n v="2"/>
    <n v="6"/>
    <n v="6"/>
  </r>
  <r>
    <x v="3"/>
    <x v="86"/>
    <d v="2026-04-17T00:00:00"/>
    <s v="3RD"/>
    <d v="1899-12-31T02:00:00"/>
    <n v="3"/>
    <x v="1"/>
    <n v="1.5900000000000001E-2"/>
    <s v="P"/>
    <s v="P"/>
    <s v="P"/>
    <s v="+"/>
    <s v="+"/>
    <n v="13.01"/>
    <s v="-"/>
    <s v="-"/>
    <s v="-"/>
    <s v="-"/>
    <s v="-"/>
    <s v="-"/>
    <s v="-"/>
    <s v="-"/>
    <s v="P"/>
    <s v="P"/>
    <s v="-"/>
    <n v="2"/>
    <n v="1"/>
    <n v="2"/>
    <n v="1"/>
    <s v="-"/>
    <s v="-"/>
    <s v="-"/>
    <s v="-"/>
    <s v="-"/>
    <s v="-"/>
    <s v="-"/>
    <n v="6"/>
    <n v="6"/>
    <s v="-"/>
    <n v="1"/>
    <n v="1"/>
    <n v="2"/>
    <n v="2"/>
    <n v="8"/>
    <n v="8"/>
  </r>
  <r>
    <x v="3"/>
    <x v="86"/>
    <d v="2026-04-17T00:00:00"/>
    <s v="3RD"/>
    <d v="1899-12-31T03:00:00"/>
    <n v="3"/>
    <x v="1"/>
    <n v="1.8200000000000001E-2"/>
    <s v="P"/>
    <s v="P"/>
    <s v="P"/>
    <s v="+"/>
    <s v="+"/>
    <n v="13.13"/>
    <s v="-"/>
    <s v="-"/>
    <s v="-"/>
    <s v="-"/>
    <s v="-"/>
    <s v="-"/>
    <s v="-"/>
    <s v="-"/>
    <s v="P"/>
    <s v="P"/>
    <s v="-"/>
    <n v="2"/>
    <n v="1"/>
    <n v="2"/>
    <n v="1"/>
    <s v="-"/>
    <s v="-"/>
    <s v="-"/>
    <s v="-"/>
    <s v="-"/>
    <s v="-"/>
    <s v="-"/>
    <n v="6"/>
    <n v="6"/>
    <s v="-"/>
    <n v="1"/>
    <n v="1"/>
    <n v="2"/>
    <n v="2"/>
    <n v="8"/>
    <n v="8"/>
  </r>
  <r>
    <x v="3"/>
    <x v="86"/>
    <d v="2026-04-17T00:00:00"/>
    <s v="3RD"/>
    <d v="1899-12-31T05:00:00"/>
    <n v="3"/>
    <x v="1"/>
    <n v="1.2800000000000001E-2"/>
    <s v="P"/>
    <s v="P"/>
    <s v="P"/>
    <s v="+"/>
    <s v="+"/>
    <n v="12.75"/>
    <s v="-"/>
    <s v="-"/>
    <s v="-"/>
    <s v="-"/>
    <s v="-"/>
    <s v="-"/>
    <s v="-"/>
    <s v="-"/>
    <s v="P"/>
    <s v="P"/>
    <s v="-"/>
    <n v="2"/>
    <n v="1"/>
    <n v="2"/>
    <n v="1"/>
    <s v="-"/>
    <s v="-"/>
    <s v="-"/>
    <s v="-"/>
    <s v="-"/>
    <s v="-"/>
    <s v="-"/>
    <n v="6"/>
    <n v="6"/>
    <s v="-"/>
    <n v="1"/>
    <n v="1"/>
    <n v="2"/>
    <n v="2"/>
    <n v="8"/>
    <n v="8"/>
  </r>
  <r>
    <x v="3"/>
    <x v="86"/>
    <d v="2026-04-23T00:00:00"/>
    <s v="3RD"/>
    <d v="1899-12-31T03:00:00"/>
    <n v="1"/>
    <x v="15"/>
    <n v="8.9999999999999993E-3"/>
    <s v="P"/>
    <s v="P"/>
    <s v="P"/>
    <s v="-"/>
    <s v="+"/>
    <n v="10.32"/>
    <n v="9.35"/>
    <n v="0.51"/>
    <n v="55.8"/>
    <n v="12.8"/>
    <n v="512"/>
    <n v="25.6"/>
    <s v="-"/>
    <s v="-"/>
    <s v="P"/>
    <s v="P"/>
    <n v="1"/>
    <n v="2"/>
    <n v="1"/>
    <n v="2"/>
    <n v="0"/>
    <n v="0"/>
    <n v="0"/>
    <n v="2"/>
    <n v="1"/>
    <n v="1"/>
    <n v="2"/>
    <s v="-"/>
    <n v="11"/>
    <n v="15"/>
    <s v="-"/>
    <n v="1"/>
    <n v="1"/>
    <n v="2"/>
    <n v="2"/>
    <n v="13"/>
    <n v="17"/>
  </r>
  <r>
    <x v="3"/>
    <x v="86"/>
    <d v="2026-04-23T00:00:00"/>
    <s v="3RD"/>
    <d v="1899-12-31T05:00:00"/>
    <n v="1"/>
    <x v="15"/>
    <n v="6.7999999999999996E-3"/>
    <s v="P"/>
    <s v="P"/>
    <s v="P"/>
    <s v="-"/>
    <s v="+"/>
    <n v="10.96"/>
    <s v="-"/>
    <s v="-"/>
    <s v="-"/>
    <s v="-"/>
    <s v="-"/>
    <s v="-"/>
    <s v="-"/>
    <s v="-"/>
    <s v="P"/>
    <s v="P"/>
    <s v="-"/>
    <n v="2"/>
    <n v="1"/>
    <n v="2"/>
    <n v="0"/>
    <s v="-"/>
    <s v="-"/>
    <s v="-"/>
    <s v="-"/>
    <s v="-"/>
    <s v="-"/>
    <s v="-"/>
    <n v="5"/>
    <n v="6"/>
    <s v="-"/>
    <n v="1"/>
    <n v="1"/>
    <n v="2"/>
    <n v="2"/>
    <n v="7"/>
    <n v="8"/>
  </r>
  <r>
    <x v="3"/>
    <x v="86"/>
    <d v="2026-04-21T00:00:00"/>
    <s v="2ND"/>
    <d v="1899-12-30T21:00:00"/>
    <n v="1"/>
    <x v="5"/>
    <n v="1.44E-2"/>
    <s v="P"/>
    <s v="P"/>
    <s v="P"/>
    <s v="-"/>
    <s v="+"/>
    <n v="10.74"/>
    <n v="9.34"/>
    <n v="0.56000000000000005"/>
    <n v="55"/>
    <s v="-"/>
    <s v="-"/>
    <n v="25.6"/>
    <s v="-"/>
    <s v="-"/>
    <s v="P"/>
    <s v="P"/>
    <s v="-"/>
    <n v="2"/>
    <n v="1"/>
    <n v="2"/>
    <n v="0"/>
    <n v="1"/>
    <n v="0"/>
    <n v="2"/>
    <s v="-"/>
    <s v="-"/>
    <n v="2"/>
    <s v="-"/>
    <n v="10"/>
    <n v="13"/>
    <s v="-"/>
    <n v="1"/>
    <n v="1"/>
    <n v="2"/>
    <n v="2"/>
    <n v="12"/>
    <n v="15"/>
  </r>
  <r>
    <x v="3"/>
    <x v="86"/>
    <d v="2026-04-21T00:00:00"/>
    <s v="3RD"/>
    <d v="1899-12-30T23:00:00"/>
    <n v="1"/>
    <x v="5"/>
    <n v="1.24E-2"/>
    <s v="P"/>
    <s v="P"/>
    <s v="P"/>
    <s v="-"/>
    <s v="+"/>
    <n v="10.54"/>
    <n v="9.34"/>
    <n v="0.56000000000000005"/>
    <n v="55"/>
    <s v="-"/>
    <s v="-"/>
    <n v="25.6"/>
    <s v="-"/>
    <s v="-"/>
    <s v="P"/>
    <s v="P"/>
    <n v="1"/>
    <n v="2"/>
    <n v="1"/>
    <n v="2"/>
    <n v="0"/>
    <n v="1"/>
    <n v="0"/>
    <n v="2"/>
    <s v="-"/>
    <s v="-"/>
    <n v="2"/>
    <s v="-"/>
    <n v="10"/>
    <n v="13"/>
    <s v="-"/>
    <n v="1"/>
    <n v="1"/>
    <n v="2"/>
    <n v="2"/>
    <n v="12"/>
    <n v="15"/>
  </r>
  <r>
    <x v="3"/>
    <x v="86"/>
    <d v="2026-04-21T00:00:00"/>
    <s v="3RD"/>
    <d v="1899-12-31T01:00:00"/>
    <n v="1"/>
    <x v="5"/>
    <n v="1.0500000000000001E-2"/>
    <s v="P"/>
    <s v="P"/>
    <s v="P"/>
    <s v="-"/>
    <s v="+"/>
    <n v="10.71"/>
    <s v="-"/>
    <s v="-"/>
    <s v="-"/>
    <s v="-"/>
    <s v="-"/>
    <s v="-"/>
    <s v="-"/>
    <s v="-"/>
    <s v="P"/>
    <s v="P"/>
    <s v="-"/>
    <n v="2"/>
    <n v="1"/>
    <n v="2"/>
    <n v="0"/>
    <s v="-"/>
    <s v="-"/>
    <s v="-"/>
    <s v="-"/>
    <s v="-"/>
    <s v="-"/>
    <s v="-"/>
    <n v="5"/>
    <n v="6"/>
    <s v="-"/>
    <n v="1"/>
    <n v="1"/>
    <n v="2"/>
    <n v="2"/>
    <n v="7"/>
    <n v="8"/>
  </r>
  <r>
    <x v="3"/>
    <x v="86"/>
    <d v="2026-04-21T00:00:00"/>
    <s v="3RD"/>
    <d v="1899-12-31T02:00:00"/>
    <n v="1"/>
    <x v="5"/>
    <n v="6.6E-3"/>
    <s v="P"/>
    <s v="P"/>
    <s v="P"/>
    <s v="-"/>
    <s v="+"/>
    <n v="10.55"/>
    <s v="-"/>
    <s v="-"/>
    <s v="-"/>
    <s v="-"/>
    <s v="-"/>
    <s v="-"/>
    <s v="-"/>
    <s v="-"/>
    <s v="P"/>
    <s v="P"/>
    <s v="-"/>
    <n v="2"/>
    <n v="1"/>
    <n v="2"/>
    <n v="0"/>
    <s v="-"/>
    <s v="-"/>
    <s v="-"/>
    <s v="-"/>
    <s v="-"/>
    <s v="-"/>
    <s v="-"/>
    <n v="5"/>
    <n v="6"/>
    <s v="-"/>
    <n v="1"/>
    <n v="1"/>
    <n v="2"/>
    <n v="2"/>
    <n v="7"/>
    <n v="8"/>
  </r>
  <r>
    <x v="3"/>
    <x v="87"/>
    <d v="2026-04-17T00:00:00"/>
    <s v="1ST"/>
    <s v="10:00"/>
    <s v="Retail"/>
    <x v="39"/>
    <n v="1.8100000000000002E-2"/>
    <s v="P"/>
    <s v="P"/>
    <s v="P"/>
    <s v="+"/>
    <s v="+"/>
    <n v="11.78"/>
    <n v="13.54"/>
    <n v="0.6"/>
    <n v="64.8"/>
    <n v="14.5"/>
    <n v="1113"/>
    <n v="38.22"/>
    <s v="-"/>
    <s v="-"/>
    <s v="-"/>
    <s v="-"/>
    <s v="-"/>
    <n v="2"/>
    <n v="1"/>
    <n v="2"/>
    <n v="0"/>
    <n v="0"/>
    <n v="2"/>
    <n v="2"/>
    <n v="1"/>
    <n v="0"/>
    <n v="2"/>
    <s v="-"/>
    <n v="12"/>
    <n v="15"/>
    <s v="-"/>
    <s v="-"/>
    <s v="-"/>
    <n v="0"/>
    <n v="0"/>
    <n v="12"/>
    <n v="15"/>
  </r>
  <r>
    <x v="3"/>
    <x v="87"/>
    <d v="2026-04-17T00:00:00"/>
    <s v="1ST"/>
    <s v="13:00"/>
    <s v="Retail"/>
    <x v="39"/>
    <s v="-"/>
    <s v="-"/>
    <s v="-"/>
    <s v="-"/>
    <s v="-"/>
    <s v="-"/>
    <s v="-"/>
    <s v="-"/>
    <s v="-"/>
    <s v="-"/>
    <s v="-"/>
    <s v="-"/>
    <s v="-"/>
    <s v="-"/>
    <s v="-"/>
    <s v="-"/>
    <s v="-"/>
    <s v="-"/>
    <s v="-"/>
    <s v="-"/>
    <s v="-"/>
    <s v="-"/>
    <s v="-"/>
    <s v="-"/>
    <s v="-"/>
    <s v="-"/>
    <s v="-"/>
    <s v="-"/>
    <s v="-"/>
    <n v="0"/>
    <n v="0"/>
    <s v="-"/>
    <s v="-"/>
    <s v="-"/>
    <n v="0"/>
    <n v="0"/>
    <n v="0"/>
    <n v="0"/>
  </r>
  <r>
    <x v="3"/>
    <x v="87"/>
    <d v="2026-04-21T00:00:00"/>
    <s v="1ST"/>
    <s v="10:00"/>
    <n v="1"/>
    <x v="17"/>
    <n v="7.1000000000000004E-3"/>
    <s v="P"/>
    <s v="P"/>
    <s v="P"/>
    <s v="-"/>
    <s v="+"/>
    <n v="9.35"/>
    <n v="8"/>
    <n v="0.42"/>
    <n v="58.2"/>
    <n v="6.2"/>
    <n v="473"/>
    <n v="21.5"/>
    <s v="-"/>
    <s v="-"/>
    <s v="-"/>
    <s v="-"/>
    <s v="-"/>
    <n v="2"/>
    <n v="1"/>
    <n v="2"/>
    <n v="0"/>
    <n v="1"/>
    <n v="0"/>
    <n v="0"/>
    <n v="1"/>
    <n v="1"/>
    <n v="2"/>
    <s v="-"/>
    <n v="10"/>
    <n v="15"/>
    <s v="-"/>
    <s v="-"/>
    <s v="-"/>
    <n v="0"/>
    <n v="0"/>
    <n v="10"/>
    <n v="15"/>
  </r>
  <r>
    <x v="3"/>
    <x v="87"/>
    <d v="2026-04-21T00:00:00"/>
    <s v="1ST"/>
    <s v="12:00"/>
    <n v="1"/>
    <x v="17"/>
    <n v="5.5999999999999999E-3"/>
    <s v="P"/>
    <s v="P"/>
    <s v="P"/>
    <s v="-"/>
    <s v="+"/>
    <n v="9.81"/>
    <s v="-"/>
    <s v="-"/>
    <s v="-"/>
    <s v="-"/>
    <s v="-"/>
    <s v="-"/>
    <s v="-"/>
    <s v="-"/>
    <s v="-"/>
    <s v="-"/>
    <s v="-"/>
    <n v="2"/>
    <n v="1"/>
    <n v="2"/>
    <n v="0"/>
    <s v="-"/>
    <s v="-"/>
    <s v="-"/>
    <s v="-"/>
    <s v="-"/>
    <s v="-"/>
    <s v="-"/>
    <n v="5"/>
    <n v="6"/>
    <s v="-"/>
    <s v="-"/>
    <s v="-"/>
    <n v="0"/>
    <n v="0"/>
    <n v="5"/>
    <n v="6"/>
  </r>
  <r>
    <x v="3"/>
    <x v="87"/>
    <d v="2026-04-21T00:00:00"/>
    <s v="1ST"/>
    <s v="13:00"/>
    <n v="1"/>
    <x v="17"/>
    <n v="7.9000000000000008E-3"/>
    <s v="P"/>
    <s v="P"/>
    <s v="P"/>
    <s v="-"/>
    <s v="+"/>
    <n v="9.56"/>
    <s v="-"/>
    <s v="-"/>
    <s v="-"/>
    <s v="-"/>
    <s v="-"/>
    <s v="-"/>
    <s v="-"/>
    <s v="-"/>
    <s v="-"/>
    <s v="-"/>
    <s v="-"/>
    <n v="2"/>
    <n v="1"/>
    <n v="2"/>
    <n v="0"/>
    <s v="-"/>
    <s v="-"/>
    <s v="-"/>
    <s v="-"/>
    <s v="-"/>
    <s v="-"/>
    <s v="-"/>
    <n v="5"/>
    <n v="6"/>
    <s v="-"/>
    <s v="-"/>
    <s v="-"/>
    <n v="0"/>
    <n v="0"/>
    <n v="5"/>
    <n v="6"/>
  </r>
  <r>
    <x v="3"/>
    <x v="87"/>
    <d v="2026-04-17T00:00:00"/>
    <s v="1ST"/>
    <s v="07:00"/>
    <n v="3"/>
    <x v="1"/>
    <n v="1.52E-2"/>
    <s v="P"/>
    <s v="P"/>
    <s v="P"/>
    <s v="+"/>
    <s v="+"/>
    <n v="12.72"/>
    <n v="12.69"/>
    <n v="0.43"/>
    <n v="64.5"/>
    <s v="-"/>
    <s v="-"/>
    <n v="35.4"/>
    <s v="-"/>
    <s v="-"/>
    <s v="-"/>
    <s v="-"/>
    <s v="-"/>
    <n v="2"/>
    <n v="1"/>
    <n v="2"/>
    <n v="1"/>
    <n v="1"/>
    <n v="2"/>
    <n v="2"/>
    <s v="-"/>
    <s v="-"/>
    <n v="2"/>
    <s v="-"/>
    <n v="13"/>
    <n v="13"/>
    <s v="-"/>
    <s v="-"/>
    <s v="-"/>
    <n v="0"/>
    <n v="0"/>
    <n v="13"/>
    <n v="13"/>
  </r>
  <r>
    <x v="3"/>
    <x v="87"/>
    <d v="2026-04-17T00:00:00"/>
    <s v="1ST"/>
    <s v="08:00"/>
    <n v="3"/>
    <x v="1"/>
    <n v="1.61E-2"/>
    <s v="P"/>
    <s v="P"/>
    <s v="P"/>
    <s v="+"/>
    <s v="+"/>
    <n v="12.82"/>
    <s v="-"/>
    <s v="-"/>
    <s v="-"/>
    <s v="-"/>
    <s v="-"/>
    <s v="-"/>
    <s v="-"/>
    <s v="-"/>
    <s v="-"/>
    <s v="-"/>
    <s v="-"/>
    <n v="2"/>
    <n v="1"/>
    <n v="2"/>
    <n v="1"/>
    <s v="-"/>
    <s v="-"/>
    <s v="-"/>
    <s v="-"/>
    <s v="-"/>
    <s v="-"/>
    <s v="-"/>
    <n v="6"/>
    <n v="6"/>
    <s v="-"/>
    <s v="-"/>
    <s v="-"/>
    <n v="0"/>
    <n v="0"/>
    <n v="6"/>
    <n v="6"/>
  </r>
  <r>
    <x v="3"/>
    <x v="87"/>
    <d v="2026-04-17T00:00:00"/>
    <s v="1ST"/>
    <s v="09:00"/>
    <n v="3"/>
    <x v="1"/>
    <s v="-"/>
    <s v="P"/>
    <s v="P"/>
    <s v="P"/>
    <s v="+"/>
    <s v="+"/>
    <n v="12.79"/>
    <s v="-"/>
    <s v="-"/>
    <s v="-"/>
    <s v="-"/>
    <s v="-"/>
    <s v="-"/>
    <s v="-"/>
    <s v="-"/>
    <s v="-"/>
    <s v="-"/>
    <s v="-"/>
    <s v="-"/>
    <n v="1"/>
    <n v="2"/>
    <n v="1"/>
    <s v="-"/>
    <s v="-"/>
    <s v="-"/>
    <s v="-"/>
    <s v="-"/>
    <s v="-"/>
    <s v="-"/>
    <n v="4"/>
    <n v="4"/>
    <s v="-"/>
    <s v="-"/>
    <s v="-"/>
    <n v="0"/>
    <n v="0"/>
    <n v="4"/>
    <n v="4"/>
  </r>
  <r>
    <x v="3"/>
    <x v="87"/>
    <d v="2026-04-17T00:00:00"/>
    <s v="1ST"/>
    <s v="10:00"/>
    <n v="3"/>
    <x v="1"/>
    <n v="1.37E-2"/>
    <s v="P"/>
    <s v="P"/>
    <s v="P"/>
    <s v="+"/>
    <s v="+"/>
    <n v="12.31"/>
    <n v="12.71"/>
    <s v="-"/>
    <n v="64.3"/>
    <s v="-"/>
    <s v="-"/>
    <n v="38.6"/>
    <s v="-"/>
    <s v="-"/>
    <s v="-"/>
    <s v="-"/>
    <s v="-"/>
    <n v="2"/>
    <n v="1"/>
    <n v="2"/>
    <n v="1"/>
    <n v="1"/>
    <s v="-"/>
    <n v="2"/>
    <s v="-"/>
    <s v="-"/>
    <n v="2"/>
    <s v="-"/>
    <n v="11"/>
    <n v="11"/>
    <s v="-"/>
    <s v="-"/>
    <s v="-"/>
    <n v="0"/>
    <n v="0"/>
    <n v="11"/>
    <n v="11"/>
  </r>
  <r>
    <x v="3"/>
    <x v="87"/>
    <d v="2026-04-17T00:00:00"/>
    <s v="1ST"/>
    <s v="11:00"/>
    <n v="3"/>
    <x v="1"/>
    <n v="1.03E-2"/>
    <s v="P"/>
    <s v="P"/>
    <s v="P"/>
    <s v="+"/>
    <s v="+"/>
    <n v="12.75"/>
    <s v="-"/>
    <s v="-"/>
    <s v="-"/>
    <s v="-"/>
    <s v="-"/>
    <s v="-"/>
    <s v="-"/>
    <s v="-"/>
    <s v="-"/>
    <s v="-"/>
    <s v="-"/>
    <n v="2"/>
    <n v="1"/>
    <n v="2"/>
    <n v="1"/>
    <s v="-"/>
    <s v="-"/>
    <s v="-"/>
    <s v="-"/>
    <s v="-"/>
    <s v="-"/>
    <s v="-"/>
    <n v="6"/>
    <n v="6"/>
    <s v="-"/>
    <s v="-"/>
    <s v="-"/>
    <n v="0"/>
    <n v="0"/>
    <n v="6"/>
    <n v="6"/>
  </r>
  <r>
    <x v="3"/>
    <x v="87"/>
    <d v="2026-04-17T00:00:00"/>
    <s v="1ST"/>
    <s v="13:00"/>
    <n v="3"/>
    <x v="1"/>
    <n v="9.7999999999999997E-3"/>
    <s v="P"/>
    <s v="P"/>
    <s v="P"/>
    <s v="+"/>
    <s v="+"/>
    <n v="12.52"/>
    <s v="-"/>
    <s v="-"/>
    <s v="-"/>
    <s v="-"/>
    <s v="-"/>
    <s v="-"/>
    <s v="-"/>
    <s v="-"/>
    <s v="-"/>
    <s v="-"/>
    <s v="-"/>
    <n v="2"/>
    <n v="1"/>
    <n v="2"/>
    <n v="1"/>
    <s v="-"/>
    <s v="-"/>
    <s v="-"/>
    <s v="-"/>
    <s v="-"/>
    <s v="-"/>
    <s v="-"/>
    <n v="6"/>
    <n v="6"/>
    <s v="-"/>
    <s v="-"/>
    <s v="-"/>
    <n v="0"/>
    <n v="0"/>
    <n v="6"/>
    <n v="6"/>
  </r>
  <r>
    <x v="3"/>
    <x v="88"/>
    <d v="2026-04-23T00:00:00"/>
    <s v="2ND"/>
    <d v="1899-12-30T14:00:00"/>
    <n v="3"/>
    <x v="1"/>
    <n v="5.8999999999999999E-3"/>
    <s v="P"/>
    <s v="P"/>
    <s v="P"/>
    <s v="+"/>
    <s v="+"/>
    <n v="13.28"/>
    <n v="12.77"/>
    <n v="0.54"/>
    <n v="64.5"/>
    <n v="14.6"/>
    <n v="1416"/>
    <n v="35.6"/>
    <s v="-"/>
    <s v="-"/>
    <s v="-"/>
    <s v="-"/>
    <s v="-"/>
    <n v="2"/>
    <n v="1"/>
    <n v="2"/>
    <n v="1"/>
    <n v="1"/>
    <n v="2"/>
    <n v="2"/>
    <n v="1"/>
    <n v="0"/>
    <n v="2"/>
    <s v="-"/>
    <n v="14"/>
    <n v="15"/>
    <s v="-"/>
    <s v="-"/>
    <s v="-"/>
    <n v="0"/>
    <n v="0"/>
    <n v="14"/>
    <n v="15"/>
  </r>
  <r>
    <x v="3"/>
    <x v="88"/>
    <d v="2026-04-23T00:00:00"/>
    <s v="2ND"/>
    <d v="1899-12-30T16:00:00"/>
    <n v="3"/>
    <x v="1"/>
    <n v="6.4999999999999997E-3"/>
    <s v="P"/>
    <s v="P"/>
    <s v="P"/>
    <s v="+"/>
    <s v="+"/>
    <n v="13.44"/>
    <s v="-"/>
    <s v="-"/>
    <s v="-"/>
    <s v="-"/>
    <s v="-"/>
    <s v="-"/>
    <s v="-"/>
    <s v="-"/>
    <s v="-"/>
    <s v="-"/>
    <s v="-"/>
    <n v="2"/>
    <n v="1"/>
    <n v="2"/>
    <n v="1"/>
    <s v="-"/>
    <s v="-"/>
    <s v="-"/>
    <s v="-"/>
    <s v="-"/>
    <s v="-"/>
    <s v="-"/>
    <n v="6"/>
    <n v="6"/>
    <s v="-"/>
    <s v="-"/>
    <s v="-"/>
    <n v="0"/>
    <n v="0"/>
    <n v="6"/>
    <n v="6"/>
  </r>
  <r>
    <x v="3"/>
    <x v="88"/>
    <d v="2026-04-23T00:00:00"/>
    <s v="2ND"/>
    <d v="1899-12-30T17:00:00"/>
    <n v="3"/>
    <x v="1"/>
    <n v="1.17E-2"/>
    <s v="P"/>
    <s v="P"/>
    <s v="P"/>
    <s v="+"/>
    <s v="+"/>
    <n v="12.6"/>
    <s v="-"/>
    <s v="-"/>
    <s v="-"/>
    <s v="-"/>
    <s v="-"/>
    <s v="-"/>
    <s v="-"/>
    <s v="-"/>
    <s v="-"/>
    <s v="-"/>
    <s v="-"/>
    <n v="2"/>
    <n v="1"/>
    <n v="2"/>
    <n v="1"/>
    <s v="-"/>
    <s v="-"/>
    <s v="-"/>
    <s v="-"/>
    <s v="-"/>
    <s v="-"/>
    <s v="-"/>
    <n v="6"/>
    <n v="6"/>
    <s v="-"/>
    <s v="-"/>
    <s v="-"/>
    <n v="0"/>
    <n v="0"/>
    <n v="6"/>
    <n v="6"/>
  </r>
  <r>
    <x v="3"/>
    <x v="88"/>
    <d v="2026-04-12T00:00:00"/>
    <s v="2ND"/>
    <d v="1899-12-30T21:00:00"/>
    <n v="3"/>
    <x v="1"/>
    <n v="1.4800000000000001E-2"/>
    <s v="P"/>
    <s v="P"/>
    <s v="P"/>
    <s v="+"/>
    <s v="+"/>
    <n v="11.79"/>
    <n v="12.73"/>
    <n v="0.54"/>
    <n v="66.7"/>
    <s v="-"/>
    <s v="-"/>
    <n v="35.5"/>
    <s v="-"/>
    <s v="-"/>
    <s v="-"/>
    <s v="-"/>
    <s v="-"/>
    <n v="2"/>
    <n v="1"/>
    <n v="2"/>
    <n v="0"/>
    <n v="1"/>
    <n v="2"/>
    <n v="2"/>
    <s v="-"/>
    <s v="-"/>
    <n v="2"/>
    <s v="-"/>
    <n v="12"/>
    <n v="13"/>
    <s v="-"/>
    <s v="-"/>
    <s v="-"/>
    <n v="0"/>
    <n v="0"/>
    <n v="12"/>
    <n v="13"/>
  </r>
  <r>
    <x v="3"/>
    <x v="88"/>
    <d v="2026-04-12T00:00:00"/>
    <s v="3RD"/>
    <d v="1899-12-30T22:00:00"/>
    <n v="3"/>
    <x v="1"/>
    <n v="1.29E-2"/>
    <s v="P"/>
    <s v="P"/>
    <s v="P"/>
    <s v="+"/>
    <s v="+"/>
    <n v="12.83"/>
    <n v="12.13"/>
    <n v="0.54"/>
    <n v="66.7"/>
    <s v="-"/>
    <s v="-"/>
    <n v="35.5"/>
    <s v="-"/>
    <s v="-"/>
    <s v="-"/>
    <s v="-"/>
    <n v="1"/>
    <n v="2"/>
    <n v="1"/>
    <n v="2"/>
    <n v="1"/>
    <n v="1"/>
    <n v="2"/>
    <n v="2"/>
    <s v="-"/>
    <s v="-"/>
    <n v="2"/>
    <s v="-"/>
    <n v="13"/>
    <n v="13"/>
    <s v="-"/>
    <s v="-"/>
    <s v="-"/>
    <n v="0"/>
    <n v="0"/>
    <n v="13"/>
    <n v="13"/>
  </r>
  <r>
    <x v="3"/>
    <x v="88"/>
    <d v="2026-04-12T00:00:00"/>
    <s v="3RD"/>
    <d v="1899-12-31T00:00:00"/>
    <n v="3"/>
    <x v="1"/>
    <n v="1.1599999999999999E-2"/>
    <s v="P"/>
    <s v="P"/>
    <s v="P"/>
    <s v="+"/>
    <s v="+"/>
    <n v="13.37"/>
    <s v="-"/>
    <s v="-"/>
    <s v="-"/>
    <s v="-"/>
    <s v="-"/>
    <s v="-"/>
    <s v="-"/>
    <s v="-"/>
    <s v="-"/>
    <s v="-"/>
    <s v="-"/>
    <n v="2"/>
    <n v="1"/>
    <n v="2"/>
    <n v="1"/>
    <s v="-"/>
    <s v="-"/>
    <s v="-"/>
    <s v="-"/>
    <s v="-"/>
    <s v="-"/>
    <s v="-"/>
    <n v="6"/>
    <n v="6"/>
    <s v="-"/>
    <s v="-"/>
    <s v="-"/>
    <n v="0"/>
    <n v="0"/>
    <n v="6"/>
    <n v="6"/>
  </r>
  <r>
    <x v="3"/>
    <x v="88"/>
    <d v="2026-04-12T00:00:00"/>
    <s v="3RD"/>
    <d v="1899-12-31T03:00:00"/>
    <n v="3"/>
    <x v="1"/>
    <n v="1.5599999999999999E-2"/>
    <s v="P"/>
    <s v="P"/>
    <s v="P"/>
    <s v="+"/>
    <s v="+"/>
    <n v="12.93"/>
    <s v="-"/>
    <s v="-"/>
    <s v="-"/>
    <s v="-"/>
    <s v="-"/>
    <s v="-"/>
    <s v="-"/>
    <s v="-"/>
    <s v="-"/>
    <s v="-"/>
    <s v="-"/>
    <n v="2"/>
    <n v="1"/>
    <n v="2"/>
    <n v="1"/>
    <s v="-"/>
    <s v="-"/>
    <s v="-"/>
    <s v="-"/>
    <s v="-"/>
    <s v="-"/>
    <s v="-"/>
    <n v="6"/>
    <n v="6"/>
    <s v="-"/>
    <s v="-"/>
    <s v="-"/>
    <n v="0"/>
    <n v="0"/>
    <n v="6"/>
    <n v="6"/>
  </r>
  <r>
    <x v="3"/>
    <x v="88"/>
    <d v="2026-04-12T00:00:00"/>
    <s v="3RD"/>
    <d v="1899-12-31T04:00:00"/>
    <n v="3"/>
    <x v="1"/>
    <n v="1.3899999999999999E-2"/>
    <s v="P"/>
    <s v="P"/>
    <s v="P"/>
    <s v="+"/>
    <s v="+"/>
    <n v="12.38"/>
    <s v="-"/>
    <s v="-"/>
    <s v="-"/>
    <s v="-"/>
    <s v="-"/>
    <s v="-"/>
    <s v="-"/>
    <s v="-"/>
    <s v="-"/>
    <s v="-"/>
    <s v="-"/>
    <n v="2"/>
    <n v="1"/>
    <n v="2"/>
    <n v="1"/>
    <s v="-"/>
    <s v="-"/>
    <s v="-"/>
    <s v="-"/>
    <s v="-"/>
    <s v="-"/>
    <s v="-"/>
    <n v="6"/>
    <n v="6"/>
    <s v="-"/>
    <s v="-"/>
    <s v="-"/>
    <n v="0"/>
    <n v="0"/>
    <n v="6"/>
    <n v="6"/>
  </r>
  <r>
    <x v="3"/>
    <x v="88"/>
    <d v="2026-04-21T00:00:00"/>
    <s v="2ND"/>
    <d v="1899-12-30T20:00:00"/>
    <n v="3"/>
    <x v="20"/>
    <n v="1.17E-2"/>
    <s v="P"/>
    <s v="P"/>
    <s v="P"/>
    <s v="+"/>
    <s v="+"/>
    <n v="11.91"/>
    <n v="12.83"/>
    <n v="0.57999999999999996"/>
    <n v="65.400000000000006"/>
    <n v="14.9"/>
    <n v="748"/>
    <n v="36.1"/>
    <s v="-"/>
    <s v="-"/>
    <s v="-"/>
    <s v="-"/>
    <s v="-"/>
    <n v="2"/>
    <n v="1"/>
    <n v="2"/>
    <n v="1"/>
    <n v="1"/>
    <n v="2"/>
    <n v="2"/>
    <s v="-"/>
    <s v="-"/>
    <n v="2"/>
    <s v="-"/>
    <n v="13"/>
    <n v="13"/>
    <s v="-"/>
    <s v="-"/>
    <s v="-"/>
    <n v="0"/>
    <n v="0"/>
    <n v="13"/>
    <n v="13"/>
  </r>
  <r>
    <x v="3"/>
    <x v="88"/>
    <s v="-"/>
    <s v="3RD"/>
    <d v="1899-12-30T22:00:00"/>
    <n v="1"/>
    <x v="4"/>
    <n v="3.5000000000000001E-3"/>
    <s v="P"/>
    <s v="P"/>
    <s v="P"/>
    <s v="-"/>
    <s v="+"/>
    <n v="10.68"/>
    <n v="10.050000000000001"/>
    <n v="0.49"/>
    <n v="54.9"/>
    <s v="-"/>
    <s v="-"/>
    <n v="27.7"/>
    <s v="-"/>
    <s v="-"/>
    <s v="-"/>
    <s v="-"/>
    <n v="1"/>
    <n v="2"/>
    <n v="1"/>
    <n v="2"/>
    <n v="0"/>
    <n v="0"/>
    <n v="2"/>
    <n v="2"/>
    <s v="-"/>
    <s v="-"/>
    <n v="2"/>
    <s v="-"/>
    <n v="11"/>
    <n v="13"/>
    <s v="-"/>
    <s v="-"/>
    <s v="-"/>
    <n v="0"/>
    <n v="0"/>
    <n v="11"/>
    <n v="13"/>
  </r>
  <r>
    <x v="3"/>
    <x v="88"/>
    <d v="2026-04-21T00:00:00"/>
    <s v="3RD"/>
    <d v="1899-12-31T00:00:00"/>
    <n v="1"/>
    <x v="4"/>
    <n v="5.0000000000000001E-3"/>
    <s v="P"/>
    <s v="P"/>
    <s v="P"/>
    <s v="-"/>
    <s v="+"/>
    <n v="10.48"/>
    <s v="-"/>
    <s v="-"/>
    <s v="-"/>
    <s v="-"/>
    <s v="-"/>
    <s v="-"/>
    <s v="-"/>
    <s v="-"/>
    <s v="-"/>
    <s v="-"/>
    <s v="-"/>
    <n v="2"/>
    <n v="1"/>
    <n v="2"/>
    <n v="0"/>
    <s v="-"/>
    <s v="-"/>
    <s v="-"/>
    <s v="-"/>
    <s v="-"/>
    <s v="-"/>
    <s v="-"/>
    <n v="5"/>
    <n v="6"/>
    <s v="-"/>
    <s v="-"/>
    <s v="-"/>
    <n v="0"/>
    <n v="0"/>
    <n v="5"/>
    <n v="6"/>
  </r>
  <r>
    <x v="3"/>
    <x v="88"/>
    <d v="1902-03-26T00:00:00"/>
    <s v="3RD"/>
    <d v="1899-12-31T00:00:00"/>
    <n v="2"/>
    <x v="5"/>
    <n v="4.4999999999999997E-3"/>
    <s v="P"/>
    <s v="P"/>
    <s v="P"/>
    <s v="-"/>
    <s v="+"/>
    <n v="10.79"/>
    <n v="10.050000000000001"/>
    <n v="0.49"/>
    <n v="54.9"/>
    <s v="-"/>
    <s v="-"/>
    <n v="27.7"/>
    <s v="-"/>
    <s v="-"/>
    <s v="-"/>
    <s v="-"/>
    <s v="-"/>
    <n v="2"/>
    <n v="1"/>
    <n v="2"/>
    <n v="0"/>
    <n v="0"/>
    <n v="2"/>
    <n v="2"/>
    <s v="-"/>
    <s v="-"/>
    <n v="2"/>
    <s v="-"/>
    <n v="11"/>
    <n v="13"/>
    <s v="-"/>
    <s v="-"/>
    <s v="-"/>
    <n v="0"/>
    <n v="0"/>
    <n v="11"/>
    <n v="13"/>
  </r>
  <r>
    <x v="3"/>
    <x v="88"/>
    <d v="1899-12-30T00:00:00"/>
    <s v="3RD"/>
    <d v="1899-12-31T02:00:00"/>
    <n v="2"/>
    <x v="5"/>
    <n v="5.1000000000000004E-3"/>
    <s v="P"/>
    <s v="P"/>
    <s v="P"/>
    <s v="-"/>
    <s v="+"/>
    <n v="11.05"/>
    <s v="-"/>
    <s v="-"/>
    <s v="-"/>
    <s v="-"/>
    <s v="-"/>
    <s v="-"/>
    <s v="-"/>
    <s v="-"/>
    <s v="-"/>
    <s v="-"/>
    <s v="-"/>
    <n v="2"/>
    <n v="1"/>
    <n v="2"/>
    <n v="1"/>
    <s v="-"/>
    <s v="-"/>
    <s v="-"/>
    <s v="-"/>
    <s v="-"/>
    <s v="-"/>
    <s v="-"/>
    <n v="6"/>
    <n v="6"/>
    <s v="-"/>
    <s v="-"/>
    <s v="-"/>
    <n v="0"/>
    <n v="0"/>
    <n v="6"/>
    <n v="6"/>
  </r>
  <r>
    <x v="3"/>
    <x v="88"/>
    <d v="1899-12-30T00:00:00"/>
    <s v="3RD"/>
    <d v="1899-12-31T03:00:00"/>
    <n v="2"/>
    <x v="5"/>
    <n v="6.3E-3"/>
    <s v="P"/>
    <s v="P"/>
    <s v="P"/>
    <s v="-"/>
    <s v="+"/>
    <n v="10.8"/>
    <s v="-"/>
    <s v="-"/>
    <s v="-"/>
    <s v="-"/>
    <s v="-"/>
    <s v="-"/>
    <s v="-"/>
    <s v="-"/>
    <s v="-"/>
    <s v="-"/>
    <s v="-"/>
    <n v="2"/>
    <n v="1"/>
    <n v="2"/>
    <n v="0"/>
    <s v="-"/>
    <s v="-"/>
    <s v="-"/>
    <s v="-"/>
    <s v="-"/>
    <s v="-"/>
    <s v="-"/>
    <n v="5"/>
    <n v="6"/>
    <s v="-"/>
    <s v="-"/>
    <s v="-"/>
    <n v="0"/>
    <n v="0"/>
    <n v="5"/>
    <n v="6"/>
  </r>
  <r>
    <x v="3"/>
    <x v="88"/>
    <d v="1899-12-30T00:00:00"/>
    <s v="3RD"/>
    <d v="1899-12-31T04:00:00"/>
    <n v="2"/>
    <x v="5"/>
    <n v="2.8999999999999998E-3"/>
    <s v="P"/>
    <s v="P"/>
    <s v="P"/>
    <s v="-"/>
    <s v="+"/>
    <n v="10.81"/>
    <s v="-"/>
    <s v="-"/>
    <s v="-"/>
    <s v="-"/>
    <s v="-"/>
    <s v="-"/>
    <s v="-"/>
    <s v="-"/>
    <s v="-"/>
    <s v="-"/>
    <s v="-"/>
    <n v="2"/>
    <n v="1"/>
    <n v="2"/>
    <n v="0"/>
    <s v="-"/>
    <s v="-"/>
    <s v="-"/>
    <s v="-"/>
    <s v="-"/>
    <s v="-"/>
    <s v="-"/>
    <n v="5"/>
    <n v="6"/>
    <s v="-"/>
    <s v="-"/>
    <s v="-"/>
    <n v="0"/>
    <n v="0"/>
    <n v="5"/>
    <n v="6"/>
  </r>
  <r>
    <x v="3"/>
    <x v="88"/>
    <s v="-"/>
    <s v="2ND"/>
    <d v="1899-12-30T14:00:00"/>
    <n v="1"/>
    <x v="21"/>
    <n v="1.3100000000000001E-2"/>
    <s v="P"/>
    <s v="P"/>
    <s v="P"/>
    <s v="-"/>
    <s v="+"/>
    <n v="10.88"/>
    <n v="9.32"/>
    <n v="0.49"/>
    <n v="54.9"/>
    <n v="10.9"/>
    <n v="495"/>
    <n v="28.4"/>
    <s v="-"/>
    <s v="-"/>
    <s v="-"/>
    <s v="-"/>
    <s v="-"/>
    <n v="2"/>
    <n v="1"/>
    <n v="2"/>
    <n v="0"/>
    <s v="-"/>
    <n v="2"/>
    <n v="2"/>
    <n v="1"/>
    <n v="1"/>
    <n v="0"/>
    <s v="-"/>
    <n v="11"/>
    <n v="14"/>
    <s v="-"/>
    <s v="-"/>
    <s v="-"/>
    <n v="0"/>
    <n v="0"/>
    <n v="11"/>
    <n v="14"/>
  </r>
  <r>
    <x v="3"/>
    <x v="88"/>
    <d v="2026-04-21T00:00:00"/>
    <s v="2ND"/>
    <d v="1899-12-30T15:00:00"/>
    <n v="1"/>
    <x v="21"/>
    <n v="1.2E-2"/>
    <s v="P"/>
    <s v="P"/>
    <s v="P"/>
    <s v="-"/>
    <s v="+"/>
    <n v="10.74"/>
    <s v="-"/>
    <s v="-"/>
    <s v="-"/>
    <s v="-"/>
    <s v="-"/>
    <s v="-"/>
    <s v="-"/>
    <s v="-"/>
    <s v="-"/>
    <s v="-"/>
    <s v="-"/>
    <n v="2"/>
    <n v="1"/>
    <n v="2"/>
    <n v="0"/>
    <s v="-"/>
    <s v="-"/>
    <s v="-"/>
    <s v="-"/>
    <s v="-"/>
    <s v="-"/>
    <s v="-"/>
    <n v="5"/>
    <n v="6"/>
    <s v="-"/>
    <s v="-"/>
    <s v="-"/>
    <n v="0"/>
    <n v="0"/>
    <n v="5"/>
    <n v="6"/>
  </r>
  <r>
    <x v="3"/>
    <x v="88"/>
    <d v="2026-04-21T00:00:00"/>
    <s v="2ND"/>
    <d v="1899-12-30T16:00:00"/>
    <n v="1"/>
    <x v="21"/>
    <n v="1.2999999999999999E-2"/>
    <s v="P"/>
    <s v="P"/>
    <s v="P"/>
    <s v="-"/>
    <s v="+"/>
    <n v="10.7"/>
    <s v="-"/>
    <s v="-"/>
    <s v="-"/>
    <s v="-"/>
    <s v="-"/>
    <s v="-"/>
    <s v="-"/>
    <s v="-"/>
    <s v="-"/>
    <s v="-"/>
    <s v="-"/>
    <n v="2"/>
    <n v="1"/>
    <n v="2"/>
    <n v="0"/>
    <s v="-"/>
    <s v="-"/>
    <s v="-"/>
    <s v="-"/>
    <s v="-"/>
    <s v="-"/>
    <s v="-"/>
    <n v="5"/>
    <n v="6"/>
    <s v="-"/>
    <s v="-"/>
    <s v="-"/>
    <n v="0"/>
    <n v="0"/>
    <n v="5"/>
    <n v="6"/>
  </r>
  <r>
    <x v="3"/>
    <x v="88"/>
    <d v="2026-04-21T00:00:00"/>
    <s v="2ND"/>
    <d v="1899-12-30T17:00:00"/>
    <n v="1"/>
    <x v="21"/>
    <n v="9.5999999999999992E-3"/>
    <s v="P"/>
    <s v="P"/>
    <s v="P"/>
    <s v="-"/>
    <s v="+"/>
    <n v="10.55"/>
    <s v="-"/>
    <s v="-"/>
    <s v="-"/>
    <s v="-"/>
    <s v="-"/>
    <s v="-"/>
    <s v="-"/>
    <s v="-"/>
    <s v="-"/>
    <s v="-"/>
    <s v="-"/>
    <n v="2"/>
    <n v="1"/>
    <n v="2"/>
    <n v="0"/>
    <s v="-"/>
    <s v="-"/>
    <s v="-"/>
    <s v="-"/>
    <s v="-"/>
    <s v="-"/>
    <s v="-"/>
    <n v="5"/>
    <n v="6"/>
    <s v="-"/>
    <s v="-"/>
    <s v="-"/>
    <n v="0"/>
    <n v="0"/>
    <n v="5"/>
    <n v="6"/>
  </r>
  <r>
    <x v="3"/>
    <x v="88"/>
    <d v="2026-04-21T00:00:00"/>
    <s v="2ND"/>
    <d v="1899-12-30T19:00:00"/>
    <n v="1"/>
    <x v="21"/>
    <n v="8.3000000000000001E-3"/>
    <s v="P"/>
    <s v="P"/>
    <s v="P"/>
    <s v="-"/>
    <s v="+"/>
    <n v="10.77"/>
    <s v="-"/>
    <s v="-"/>
    <s v="-"/>
    <s v="-"/>
    <s v="-"/>
    <s v="-"/>
    <s v="-"/>
    <s v="-"/>
    <s v="-"/>
    <s v="-"/>
    <s v="-"/>
    <n v="2"/>
    <n v="1"/>
    <n v="2"/>
    <n v="0"/>
    <s v="-"/>
    <s v="-"/>
    <s v="-"/>
    <s v="-"/>
    <s v="-"/>
    <s v="-"/>
    <s v="-"/>
    <n v="5"/>
    <n v="6"/>
    <s v="-"/>
    <s v="-"/>
    <s v="-"/>
    <n v="0"/>
    <n v="0"/>
    <n v="5"/>
    <n v="6"/>
  </r>
  <r>
    <x v="3"/>
    <x v="88"/>
    <d v="2026-04-21T00:00:00"/>
    <s v="2ND"/>
    <d v="1899-12-30T21:00:00"/>
    <n v="1"/>
    <x v="21"/>
    <n v="5.1000000000000004E-3"/>
    <s v="P"/>
    <s v="P"/>
    <s v="P"/>
    <s v="-"/>
    <s v="+"/>
    <n v="10.32"/>
    <s v="-"/>
    <s v="-"/>
    <s v="-"/>
    <s v="-"/>
    <s v="-"/>
    <s v="-"/>
    <s v="-"/>
    <s v="-"/>
    <s v="-"/>
    <s v="-"/>
    <s v="-"/>
    <n v="2"/>
    <n v="1"/>
    <n v="2"/>
    <n v="0"/>
    <s v="-"/>
    <s v="-"/>
    <s v="-"/>
    <s v="-"/>
    <s v="-"/>
    <s v="-"/>
    <s v="-"/>
    <n v="5"/>
    <n v="6"/>
    <s v="-"/>
    <s v="-"/>
    <s v="-"/>
    <n v="0"/>
    <n v="0"/>
    <n v="5"/>
    <n v="6"/>
  </r>
  <r>
    <x v="3"/>
    <x v="89"/>
    <d v="2026-04-21T00:00:00"/>
    <s v="3RD"/>
    <d v="1899-12-31T02:00:00"/>
    <n v="1"/>
    <x v="2"/>
    <n v="1.1900000000000001E-2"/>
    <s v="P"/>
    <s v="P"/>
    <s v="P"/>
    <s v="-"/>
    <s v="+"/>
    <n v="10.130000000000001"/>
    <n v="9.65"/>
    <n v="0.55000000000000004"/>
    <n v="51.3"/>
    <n v="13.3"/>
    <n v="439"/>
    <n v="26.5"/>
    <s v="-"/>
    <n v="25.16"/>
    <s v="P"/>
    <s v="P"/>
    <s v="80% 20%"/>
    <n v="2"/>
    <n v="1"/>
    <n v="2"/>
    <n v="0"/>
    <n v="0"/>
    <n v="2"/>
    <n v="0"/>
    <n v="1"/>
    <n v="0"/>
    <n v="0"/>
    <s v="-"/>
    <n v="8"/>
    <n v="15"/>
    <n v="1"/>
    <n v="1"/>
    <n v="1"/>
    <n v="3"/>
    <n v="3"/>
    <n v="11"/>
    <n v="18"/>
  </r>
  <r>
    <x v="3"/>
    <x v="89"/>
    <d v="2026-04-21T00:00:00"/>
    <s v="3RD"/>
    <d v="1899-12-31T04:00:00"/>
    <n v="1"/>
    <x v="2"/>
    <n v="1.5800000000000002E-2"/>
    <s v="P"/>
    <s v="P"/>
    <s v="P"/>
    <s v="-"/>
    <s v="+"/>
    <n v="10.74"/>
    <s v="-"/>
    <s v="-"/>
    <s v="-"/>
    <s v="-"/>
    <s v="-"/>
    <s v="-"/>
    <s v="-"/>
    <s v="-"/>
    <s v="P"/>
    <s v="P"/>
    <s v="-"/>
    <n v="2"/>
    <n v="1"/>
    <n v="2"/>
    <n v="0"/>
    <s v="-"/>
    <s v="-"/>
    <s v="-"/>
    <s v="-"/>
    <s v="-"/>
    <s v="-"/>
    <s v="-"/>
    <n v="5"/>
    <n v="6"/>
    <s v="-"/>
    <n v="1"/>
    <n v="1"/>
    <n v="2"/>
    <n v="2"/>
    <n v="7"/>
    <n v="8"/>
  </r>
  <r>
    <x v="3"/>
    <x v="89"/>
    <d v="2026-04-21T00:00:00"/>
    <s v="3RD"/>
    <d v="1899-12-31T05:00:00"/>
    <n v="1"/>
    <x v="2"/>
    <n v="1.49E-2"/>
    <s v="P"/>
    <s v="P"/>
    <s v="P"/>
    <s v="-"/>
    <s v="+"/>
    <n v="10.69"/>
    <s v="-"/>
    <s v="-"/>
    <s v="-"/>
    <s v="-"/>
    <s v="-"/>
    <s v="-"/>
    <s v="-"/>
    <s v="-"/>
    <s v="P"/>
    <s v="P"/>
    <s v="-"/>
    <n v="2"/>
    <n v="1"/>
    <n v="2"/>
    <n v="0"/>
    <s v="-"/>
    <s v="-"/>
    <s v="-"/>
    <s v="-"/>
    <s v="-"/>
    <s v="-"/>
    <s v="-"/>
    <n v="5"/>
    <n v="6"/>
    <s v="-"/>
    <n v="1"/>
    <n v="1"/>
    <n v="2"/>
    <n v="2"/>
    <n v="7"/>
    <n v="8"/>
  </r>
  <r>
    <x v="3"/>
    <x v="89"/>
    <d v="2026-04-23T00:00:00"/>
    <s v="1ST"/>
    <s v="07:00"/>
    <n v="3"/>
    <x v="8"/>
    <n v="1.84E-2"/>
    <s v="P"/>
    <s v="P"/>
    <s v="P"/>
    <s v="+"/>
    <s v="+"/>
    <n v="13.08"/>
    <n v="12.8"/>
    <n v="0.54"/>
    <n v="64.3"/>
    <s v="-"/>
    <s v="-"/>
    <n v="35.799999999999997"/>
    <s v="-"/>
    <s v="-"/>
    <s v="P"/>
    <s v="P"/>
    <s v="-"/>
    <n v="2"/>
    <n v="1"/>
    <n v="2"/>
    <n v="1"/>
    <n v="1"/>
    <n v="2"/>
    <n v="2"/>
    <s v="-"/>
    <s v="-"/>
    <s v="-"/>
    <s v="-"/>
    <n v="11"/>
    <n v="11"/>
    <s v="-"/>
    <n v="1"/>
    <n v="1"/>
    <n v="2"/>
    <n v="2"/>
    <n v="13"/>
    <n v="13"/>
  </r>
  <r>
    <x v="3"/>
    <x v="89"/>
    <d v="2026-04-23T00:00:00"/>
    <s v="1ST"/>
    <s v="08:00"/>
    <n v="3"/>
    <x v="8"/>
    <n v="4.1999999999999997E-3"/>
    <s v="P"/>
    <s v="P"/>
    <s v="P"/>
    <s v="+"/>
    <s v="+"/>
    <n v="13.12"/>
    <s v="-"/>
    <s v="-"/>
    <s v="-"/>
    <s v="-"/>
    <s v="-"/>
    <s v="-"/>
    <s v="-"/>
    <s v="-"/>
    <s v="P"/>
    <s v="P"/>
    <s v="-"/>
    <n v="2"/>
    <n v="1"/>
    <n v="2"/>
    <n v="1"/>
    <s v="-"/>
    <s v="-"/>
    <s v="-"/>
    <s v="-"/>
    <s v="-"/>
    <s v="-"/>
    <s v="-"/>
    <n v="6"/>
    <n v="6"/>
    <s v="-"/>
    <n v="1"/>
    <n v="1"/>
    <n v="2"/>
    <n v="2"/>
    <n v="8"/>
    <n v="8"/>
  </r>
  <r>
    <x v="3"/>
    <x v="89"/>
    <d v="2026-04-23T00:00:00"/>
    <s v="1ST"/>
    <s v="10:00"/>
    <n v="3"/>
    <x v="8"/>
    <n v="5.7999999999999996E-3"/>
    <s v="P"/>
    <s v="P"/>
    <s v="P"/>
    <s v="+"/>
    <s v="+"/>
    <n v="13.11"/>
    <s v="-"/>
    <s v="-"/>
    <s v="-"/>
    <s v="-"/>
    <s v="-"/>
    <s v="-"/>
    <s v="-"/>
    <s v="-"/>
    <s v="P"/>
    <s v="P"/>
    <s v="-"/>
    <n v="2"/>
    <n v="1"/>
    <n v="2"/>
    <n v="1"/>
    <s v="-"/>
    <s v="-"/>
    <s v="-"/>
    <s v="-"/>
    <s v="-"/>
    <s v="-"/>
    <s v="-"/>
    <n v="6"/>
    <n v="6"/>
    <s v="-"/>
    <n v="1"/>
    <n v="1"/>
    <n v="2"/>
    <n v="2"/>
    <n v="8"/>
    <n v="8"/>
  </r>
  <r>
    <x v="3"/>
    <x v="89"/>
    <d v="2026-04-23T00:00:00"/>
    <s v="1ST"/>
    <s v="11:00"/>
    <n v="3"/>
    <x v="8"/>
    <n v="5.1000000000000004E-3"/>
    <s v="P"/>
    <s v="P"/>
    <s v="P"/>
    <s v="+"/>
    <s v="+"/>
    <n v="13.01"/>
    <s v="-"/>
    <s v="-"/>
    <s v="-"/>
    <s v="-"/>
    <s v="-"/>
    <s v="-"/>
    <s v="-"/>
    <s v="-"/>
    <s v="P"/>
    <s v="P"/>
    <s v="-"/>
    <n v="2"/>
    <n v="1"/>
    <n v="2"/>
    <n v="1"/>
    <s v="-"/>
    <s v="-"/>
    <s v="-"/>
    <s v="-"/>
    <s v="-"/>
    <s v="-"/>
    <s v="-"/>
    <n v="6"/>
    <n v="6"/>
    <s v="-"/>
    <n v="1"/>
    <n v="1"/>
    <n v="2"/>
    <n v="2"/>
    <n v="8"/>
    <n v="8"/>
  </r>
  <r>
    <x v="3"/>
    <x v="89"/>
    <d v="2026-04-23T00:00:00"/>
    <s v="1ST"/>
    <s v="12:00"/>
    <n v="3"/>
    <x v="8"/>
    <n v="5.5999999999999999E-3"/>
    <s v="P"/>
    <s v="P"/>
    <s v="P"/>
    <s v="+"/>
    <s v="+"/>
    <n v="12.95"/>
    <s v="-"/>
    <s v="-"/>
    <s v="-"/>
    <s v="-"/>
    <s v="-"/>
    <s v="-"/>
    <s v="-"/>
    <s v="-"/>
    <s v="P"/>
    <s v="P"/>
    <s v="-"/>
    <n v="2"/>
    <n v="1"/>
    <n v="2"/>
    <n v="1"/>
    <s v="-"/>
    <s v="-"/>
    <s v="-"/>
    <s v="-"/>
    <s v="-"/>
    <s v="-"/>
    <s v="-"/>
    <n v="6"/>
    <n v="6"/>
    <s v="-"/>
    <n v="1"/>
    <n v="1"/>
    <n v="2"/>
    <n v="2"/>
    <n v="8"/>
    <n v="8"/>
  </r>
  <r>
    <x v="3"/>
    <x v="89"/>
    <d v="2026-04-23T00:00:00"/>
    <s v="2ND"/>
    <d v="1899-12-30T14:00:00"/>
    <n v="3"/>
    <x v="8"/>
    <n v="1.17E-2"/>
    <s v="P"/>
    <s v="P"/>
    <s v="P"/>
    <s v="+"/>
    <s v="+"/>
    <n v="12.82"/>
    <n v="12.72"/>
    <n v="0.54"/>
    <n v="64.3"/>
    <s v="-"/>
    <s v="-"/>
    <n v="35.5"/>
    <s v="-"/>
    <s v="-"/>
    <s v="P"/>
    <s v="P"/>
    <n v="1"/>
    <n v="2"/>
    <n v="1"/>
    <n v="2"/>
    <n v="1"/>
    <n v="1"/>
    <n v="2"/>
    <n v="2"/>
    <s v="-"/>
    <s v="-"/>
    <s v="-"/>
    <s v="-"/>
    <n v="11"/>
    <n v="11"/>
    <s v="-"/>
    <n v="1"/>
    <n v="1"/>
    <n v="2"/>
    <n v="2"/>
    <n v="13"/>
    <n v="13"/>
  </r>
  <r>
    <x v="3"/>
    <x v="89"/>
    <d v="2026-04-23T00:00:00"/>
    <s v="2ND"/>
    <d v="1899-12-30T16:00:00"/>
    <n v="3"/>
    <x v="8"/>
    <n v="1.06E-2"/>
    <s v="P"/>
    <s v="P"/>
    <s v="P"/>
    <s v="+"/>
    <s v="+"/>
    <n v="12.28"/>
    <s v="-"/>
    <s v="-"/>
    <s v="-"/>
    <s v="-"/>
    <s v="-"/>
    <s v="-"/>
    <s v="-"/>
    <s v="-"/>
    <s v="P"/>
    <s v="P"/>
    <s v="-"/>
    <n v="2"/>
    <n v="1"/>
    <n v="2"/>
    <n v="1"/>
    <s v="-"/>
    <s v="-"/>
    <s v="-"/>
    <s v="-"/>
    <s v="-"/>
    <s v="-"/>
    <s v="-"/>
    <n v="6"/>
    <n v="6"/>
    <s v="-"/>
    <n v="1"/>
    <n v="1"/>
    <n v="2"/>
    <n v="2"/>
    <n v="8"/>
    <n v="8"/>
  </r>
  <r>
    <x v="3"/>
    <x v="89"/>
    <d v="2026-04-12T00:00:00"/>
    <s v="1ST"/>
    <s v="06:00"/>
    <n v="3"/>
    <x v="1"/>
    <n v="1.2E-2"/>
    <s v="P"/>
    <s v="P"/>
    <s v="P"/>
    <s v="+"/>
    <s v="+"/>
    <n v="12.88"/>
    <n v="12.57"/>
    <n v="0.54"/>
    <n v="64.599999999999994"/>
    <s v="-"/>
    <s v="-"/>
    <n v="35.1"/>
    <s v="-"/>
    <s v="-"/>
    <s v="P"/>
    <s v="P"/>
    <n v="1"/>
    <n v="2"/>
    <n v="1"/>
    <n v="2"/>
    <n v="1"/>
    <n v="1"/>
    <n v="2"/>
    <n v="2"/>
    <s v="-"/>
    <s v="-"/>
    <n v="2"/>
    <s v="-"/>
    <n v="13"/>
    <n v="13"/>
    <s v="-"/>
    <n v="1"/>
    <n v="1"/>
    <n v="2"/>
    <n v="2"/>
    <n v="15"/>
    <n v="15"/>
  </r>
  <r>
    <x v="3"/>
    <x v="89"/>
    <d v="2026-04-23T00:00:00"/>
    <s v="2ND"/>
    <d v="1899-12-30T20:00:00"/>
    <n v="3"/>
    <x v="1"/>
    <n v="1.0999999999999999E-2"/>
    <s v="P"/>
    <s v="P"/>
    <s v="P"/>
    <s v="+"/>
    <s v="+"/>
    <n v="12.64"/>
    <s v="-"/>
    <s v="-"/>
    <s v="-"/>
    <s v="-"/>
    <s v="-"/>
    <s v="-"/>
    <s v="-"/>
    <s v="-"/>
    <s v="P"/>
    <s v="P"/>
    <n v="1"/>
    <n v="2"/>
    <n v="1"/>
    <n v="2"/>
    <n v="1"/>
    <s v="-"/>
    <s v="-"/>
    <s v="-"/>
    <s v="-"/>
    <s v="-"/>
    <s v="-"/>
    <s v="-"/>
    <n v="6"/>
    <n v="6"/>
    <s v="-"/>
    <n v="1"/>
    <n v="1"/>
    <n v="2"/>
    <n v="2"/>
    <n v="8"/>
    <n v="8"/>
  </r>
  <r>
    <x v="3"/>
    <x v="89"/>
    <d v="2026-04-12T00:00:00"/>
    <s v="3RD"/>
    <d v="1899-12-31T00:00:00"/>
    <n v="3"/>
    <x v="1"/>
    <n v="7.4000000000000003E-3"/>
    <s v="P"/>
    <s v="P"/>
    <s v="P"/>
    <s v="+"/>
    <s v="+"/>
    <n v="13.19"/>
    <n v="12.32"/>
    <n v="0.54"/>
    <n v="64.599999999999994"/>
    <s v="-"/>
    <s v="-"/>
    <n v="34.299999999999997"/>
    <s v="-"/>
    <n v="25.16"/>
    <s v="P"/>
    <s v="P"/>
    <n v="1"/>
    <n v="2"/>
    <n v="1"/>
    <n v="2"/>
    <n v="1"/>
    <n v="1"/>
    <n v="2"/>
    <n v="2"/>
    <s v="-"/>
    <s v="-"/>
    <n v="2"/>
    <s v="-"/>
    <n v="13"/>
    <n v="13"/>
    <n v="1"/>
    <n v="1"/>
    <n v="1"/>
    <n v="3"/>
    <n v="3"/>
    <n v="16"/>
    <n v="16"/>
  </r>
  <r>
    <x v="3"/>
    <x v="89"/>
    <d v="2026-04-12T00:00:00"/>
    <s v="3RD"/>
    <d v="1899-12-31T01:00:00"/>
    <n v="3"/>
    <x v="1"/>
    <n v="1.7600000000000001E-2"/>
    <s v="P"/>
    <s v="P"/>
    <s v="P"/>
    <s v="+"/>
    <s v="+"/>
    <n v="13.29"/>
    <s v="-"/>
    <s v="-"/>
    <s v="-"/>
    <s v="-"/>
    <s v="-"/>
    <s v="-"/>
    <s v="-"/>
    <s v="-"/>
    <s v="P"/>
    <s v="P"/>
    <s v="-"/>
    <n v="2"/>
    <n v="1"/>
    <n v="2"/>
    <n v="1"/>
    <s v="-"/>
    <s v="-"/>
    <s v="-"/>
    <s v="-"/>
    <s v="-"/>
    <s v="-"/>
    <s v="-"/>
    <n v="6"/>
    <n v="6"/>
    <s v="-"/>
    <n v="1"/>
    <n v="1"/>
    <n v="2"/>
    <n v="2"/>
    <n v="8"/>
    <n v="8"/>
  </r>
  <r>
    <x v="3"/>
    <x v="89"/>
    <d v="2026-04-12T00:00:00"/>
    <s v="3RD"/>
    <d v="1899-12-31T03:00:00"/>
    <n v="3"/>
    <x v="1"/>
    <n v="4.4000000000000003E-3"/>
    <s v="P"/>
    <s v="P"/>
    <s v="P"/>
    <s v="+"/>
    <s v="+"/>
    <n v="13.45"/>
    <s v="-"/>
    <s v="-"/>
    <s v="-"/>
    <s v="-"/>
    <s v="-"/>
    <s v="-"/>
    <s v="-"/>
    <s v="-"/>
    <s v="P"/>
    <s v="P"/>
    <s v="-"/>
    <n v="2"/>
    <n v="1"/>
    <n v="2"/>
    <n v="1"/>
    <s v="-"/>
    <s v="-"/>
    <s v="-"/>
    <s v="-"/>
    <s v="-"/>
    <s v="-"/>
    <s v="-"/>
    <n v="6"/>
    <n v="6"/>
    <s v="-"/>
    <n v="1"/>
    <n v="1"/>
    <n v="2"/>
    <n v="2"/>
    <n v="8"/>
    <n v="8"/>
  </r>
  <r>
    <x v="3"/>
    <x v="89"/>
    <d v="2026-04-12T00:00:00"/>
    <s v="3RD"/>
    <d v="1899-12-31T04:00:00"/>
    <n v="3"/>
    <x v="1"/>
    <n v="1.7600000000000001E-2"/>
    <s v="P"/>
    <s v="P"/>
    <s v="P"/>
    <s v="+"/>
    <s v="+"/>
    <n v="13.44"/>
    <s v="-"/>
    <s v="-"/>
    <s v="-"/>
    <s v="-"/>
    <s v="-"/>
    <s v="-"/>
    <s v="-"/>
    <s v="-"/>
    <s v="P"/>
    <s v="P"/>
    <s v="-"/>
    <n v="2"/>
    <n v="1"/>
    <n v="2"/>
    <n v="1"/>
    <s v="-"/>
    <s v="-"/>
    <s v="-"/>
    <s v="-"/>
    <s v="-"/>
    <s v="-"/>
    <s v="-"/>
    <n v="6"/>
    <n v="6"/>
    <s v="-"/>
    <n v="1"/>
    <n v="1"/>
    <n v="2"/>
    <n v="2"/>
    <n v="8"/>
    <n v="8"/>
  </r>
  <r>
    <x v="3"/>
    <x v="89"/>
    <d v="2026-04-12T00:00:00"/>
    <s v="3RD"/>
    <d v="1899-12-31T05:00:00"/>
    <n v="3"/>
    <x v="1"/>
    <n v="1.55E-2"/>
    <s v="P"/>
    <s v="P"/>
    <s v="P"/>
    <s v="+"/>
    <s v="+"/>
    <n v="12.9"/>
    <s v="-"/>
    <s v="-"/>
    <s v="-"/>
    <s v="-"/>
    <s v="-"/>
    <s v="-"/>
    <s v="-"/>
    <s v="-"/>
    <s v="P"/>
    <s v="P"/>
    <s v="-"/>
    <n v="2"/>
    <n v="1"/>
    <n v="2"/>
    <n v="1"/>
    <s v="-"/>
    <s v="-"/>
    <s v="-"/>
    <s v="-"/>
    <s v="-"/>
    <s v="-"/>
    <s v="-"/>
    <n v="6"/>
    <n v="6"/>
    <s v="-"/>
    <n v="1"/>
    <n v="1"/>
    <n v="2"/>
    <n v="2"/>
    <n v="8"/>
    <n v="8"/>
  </r>
  <r>
    <x v="3"/>
    <x v="89"/>
    <d v="1899-12-30T00:00:00"/>
    <s v="2ND"/>
    <d v="1899-12-30T14:00:00"/>
    <s v="Retail"/>
    <x v="13"/>
    <s v="-"/>
    <s v="-"/>
    <s v="-"/>
    <s v="-"/>
    <s v="-"/>
    <s v="-"/>
    <n v="10.199999999999999"/>
    <s v="-"/>
    <n v="4.29"/>
    <s v="-"/>
    <s v="-"/>
    <s v="-"/>
    <s v="-"/>
    <s v="-"/>
    <s v="-"/>
    <s v="-"/>
    <s v="-"/>
    <s v="-"/>
    <s v="-"/>
    <s v="-"/>
    <s v="-"/>
    <n v="0"/>
    <s v="-"/>
    <n v="2"/>
    <s v="-"/>
    <s v="-"/>
    <s v="-"/>
    <s v="-"/>
    <s v="-"/>
    <n v="2"/>
    <n v="3"/>
    <s v="-"/>
    <s v="-"/>
    <s v="-"/>
    <n v="0"/>
    <n v="0"/>
    <n v="2"/>
    <n v="3"/>
  </r>
  <r>
    <x v="3"/>
    <x v="89"/>
    <d v="1902-03-26T00:00:00"/>
    <s v="1ST"/>
    <s v="06:00"/>
    <n v="2"/>
    <x v="4"/>
    <n v="8.8000000000000005E-3"/>
    <s v="P"/>
    <s v="P"/>
    <s v="P"/>
    <s v="-"/>
    <s v="+"/>
    <n v="10.8"/>
    <n v="9.07"/>
    <n v="0.54"/>
    <n v="55.4"/>
    <s v="-"/>
    <s v="-"/>
    <n v="24.7"/>
    <s v="-"/>
    <s v="-"/>
    <s v="P"/>
    <s v="P"/>
    <s v="-"/>
    <n v="2"/>
    <n v="1"/>
    <n v="2"/>
    <n v="0"/>
    <n v="1"/>
    <n v="2"/>
    <n v="2"/>
    <s v="-"/>
    <s v="-"/>
    <n v="2"/>
    <s v="-"/>
    <n v="12"/>
    <n v="13"/>
    <s v="-"/>
    <n v="1"/>
    <n v="1"/>
    <n v="2"/>
    <n v="2"/>
    <n v="14"/>
    <n v="15"/>
  </r>
  <r>
    <x v="3"/>
    <x v="89"/>
    <d v="1899-12-30T00:00:00"/>
    <s v="1ST"/>
    <s v="07:00"/>
    <n v="2"/>
    <x v="4"/>
    <n v="9.1999999999999998E-3"/>
    <s v="P"/>
    <s v="P"/>
    <s v="P"/>
    <s v="-"/>
    <s v="+"/>
    <n v="10.75"/>
    <s v="-"/>
    <s v="-"/>
    <s v="-"/>
    <s v="-"/>
    <s v="-"/>
    <s v="-"/>
    <s v="-"/>
    <s v="-"/>
    <s v="P"/>
    <s v="P"/>
    <s v="-"/>
    <n v="2"/>
    <n v="1"/>
    <n v="2"/>
    <n v="0"/>
    <s v="-"/>
    <s v="-"/>
    <s v="-"/>
    <s v="-"/>
    <s v="-"/>
    <s v="-"/>
    <s v="-"/>
    <n v="5"/>
    <n v="6"/>
    <s v="-"/>
    <n v="1"/>
    <n v="1"/>
    <n v="2"/>
    <n v="2"/>
    <n v="7"/>
    <n v="8"/>
  </r>
  <r>
    <x v="3"/>
    <x v="89"/>
    <d v="1899-12-30T00:00:00"/>
    <s v="1ST"/>
    <s v="08:00"/>
    <n v="2"/>
    <x v="4"/>
    <n v="6.6E-3"/>
    <s v="P"/>
    <s v="P"/>
    <s v="P"/>
    <s v="-"/>
    <s v="+"/>
    <n v="10.97"/>
    <s v="-"/>
    <s v="-"/>
    <s v="-"/>
    <s v="-"/>
    <s v="-"/>
    <s v="-"/>
    <s v="-"/>
    <s v="-"/>
    <s v="P"/>
    <s v="P"/>
    <s v="-"/>
    <n v="2"/>
    <n v="1"/>
    <n v="2"/>
    <n v="0"/>
    <s v="-"/>
    <s v="-"/>
    <s v="-"/>
    <s v="-"/>
    <s v="-"/>
    <s v="-"/>
    <s v="-"/>
    <n v="5"/>
    <n v="6"/>
    <s v="-"/>
    <n v="1"/>
    <n v="1"/>
    <n v="2"/>
    <n v="2"/>
    <n v="7"/>
    <n v="8"/>
  </r>
  <r>
    <x v="3"/>
    <x v="89"/>
    <d v="1899-12-30T00:00:00"/>
    <s v="1ST"/>
    <s v="09:00"/>
    <n v="2"/>
    <x v="4"/>
    <n v="5.7999999999999996E-3"/>
    <s v="P"/>
    <s v="P"/>
    <s v="P"/>
    <s v="-"/>
    <s v="+"/>
    <n v="10.89"/>
    <s v="-"/>
    <s v="-"/>
    <s v="-"/>
    <s v="-"/>
    <s v="-"/>
    <s v="-"/>
    <s v="-"/>
    <s v="-"/>
    <s v="P"/>
    <s v="P"/>
    <s v="-"/>
    <n v="2"/>
    <n v="1"/>
    <n v="2"/>
    <n v="0"/>
    <s v="-"/>
    <s v="-"/>
    <s v="-"/>
    <s v="-"/>
    <s v="-"/>
    <s v="-"/>
    <s v="-"/>
    <n v="5"/>
    <n v="6"/>
    <s v="-"/>
    <n v="1"/>
    <n v="1"/>
    <n v="2"/>
    <n v="2"/>
    <n v="7"/>
    <n v="8"/>
  </r>
  <r>
    <x v="3"/>
    <x v="89"/>
    <d v="1899-12-30T00:00:00"/>
    <s v="1ST"/>
    <s v="10:00"/>
    <n v="2"/>
    <x v="4"/>
    <n v="6.7000000000000002E-3"/>
    <s v="P"/>
    <s v="P"/>
    <s v="P"/>
    <s v="-"/>
    <s v="+"/>
    <n v="10.9"/>
    <s v="-"/>
    <s v="-"/>
    <s v="-"/>
    <s v="-"/>
    <s v="-"/>
    <s v="-"/>
    <s v="-"/>
    <s v="-"/>
    <s v="P"/>
    <s v="P"/>
    <s v="-"/>
    <n v="2"/>
    <n v="1"/>
    <n v="2"/>
    <n v="0"/>
    <s v="-"/>
    <s v="-"/>
    <s v="-"/>
    <s v="-"/>
    <s v="-"/>
    <s v="-"/>
    <s v="-"/>
    <n v="5"/>
    <n v="6"/>
    <s v="-"/>
    <n v="1"/>
    <n v="1"/>
    <n v="2"/>
    <n v="2"/>
    <n v="7"/>
    <n v="8"/>
  </r>
  <r>
    <x v="3"/>
    <x v="89"/>
    <d v="1899-12-30T00:00:00"/>
    <s v="1ST"/>
    <s v="11:00"/>
    <n v="2"/>
    <x v="4"/>
    <n v="7.1000000000000004E-3"/>
    <s v="P"/>
    <s v="P"/>
    <s v="P"/>
    <s v="-"/>
    <s v="+"/>
    <n v="10.89"/>
    <s v="-"/>
    <s v="-"/>
    <s v="-"/>
    <s v="-"/>
    <s v="-"/>
    <s v="-"/>
    <s v="-"/>
    <s v="-"/>
    <s v="P"/>
    <s v="P"/>
    <s v="-"/>
    <n v="2"/>
    <n v="1"/>
    <n v="2"/>
    <n v="0"/>
    <s v="-"/>
    <s v="-"/>
    <s v="-"/>
    <s v="-"/>
    <s v="-"/>
    <s v="-"/>
    <s v="-"/>
    <n v="5"/>
    <n v="6"/>
    <s v="-"/>
    <n v="1"/>
    <n v="1"/>
    <n v="2"/>
    <n v="2"/>
    <n v="7"/>
    <n v="8"/>
  </r>
  <r>
    <x v="3"/>
    <x v="89"/>
    <d v="1899-12-30T00:00:00"/>
    <s v="1ST"/>
    <s v="12:00"/>
    <n v="2"/>
    <x v="4"/>
    <n v="7.4000000000000003E-3"/>
    <s v="P"/>
    <s v="P"/>
    <s v="P"/>
    <s v="-"/>
    <s v="+"/>
    <n v="10.86"/>
    <s v="-"/>
    <s v="-"/>
    <s v="-"/>
    <s v="-"/>
    <s v="-"/>
    <s v="-"/>
    <s v="-"/>
    <s v="-"/>
    <s v="P"/>
    <s v="P"/>
    <s v="-"/>
    <n v="2"/>
    <n v="1"/>
    <n v="2"/>
    <n v="0"/>
    <s v="-"/>
    <s v="-"/>
    <s v="-"/>
    <s v="-"/>
    <s v="-"/>
    <s v="-"/>
    <s v="-"/>
    <n v="5"/>
    <n v="6"/>
    <s v="-"/>
    <n v="1"/>
    <n v="1"/>
    <n v="2"/>
    <n v="2"/>
    <n v="7"/>
    <n v="8"/>
  </r>
  <r>
    <x v="3"/>
    <x v="89"/>
    <d v="1902-03-26T00:00:00"/>
    <s v="3RD"/>
    <d v="1899-12-30T22:00:00"/>
    <n v="2"/>
    <x v="4"/>
    <n v="5.5999999999999999E-3"/>
    <s v="P"/>
    <s v="P"/>
    <s v="P"/>
    <s v="-"/>
    <s v="+"/>
    <n v="10.52"/>
    <n v="8.01"/>
    <n v="0.54"/>
    <n v="55.4"/>
    <s v="-"/>
    <s v="-"/>
    <n v="25.4"/>
    <s v="-"/>
    <n v="25.19"/>
    <s v="P"/>
    <s v="P"/>
    <s v="-"/>
    <n v="2"/>
    <n v="1"/>
    <n v="2"/>
    <n v="0"/>
    <n v="0"/>
    <n v="2"/>
    <n v="2"/>
    <s v="-"/>
    <s v="-"/>
    <n v="2"/>
    <s v="-"/>
    <n v="11"/>
    <n v="13"/>
    <n v="1"/>
    <n v="1"/>
    <n v="1"/>
    <n v="3"/>
    <n v="3"/>
    <n v="14"/>
    <n v="16"/>
  </r>
  <r>
    <x v="3"/>
    <x v="89"/>
    <d v="1899-12-30T00:00:00"/>
    <s v="3RD"/>
    <d v="1899-12-31T00:00:00"/>
    <n v="2"/>
    <x v="4"/>
    <n v="6.0000000000000001E-3"/>
    <s v="P"/>
    <s v="P"/>
    <s v="P"/>
    <s v="-"/>
    <s v="+"/>
    <n v="10.37"/>
    <s v="-"/>
    <s v="-"/>
    <n v="56"/>
    <s v="-"/>
    <s v="-"/>
    <s v="-"/>
    <s v="-"/>
    <s v="-"/>
    <s v="P"/>
    <s v="P"/>
    <s v="-"/>
    <n v="2"/>
    <n v="1"/>
    <n v="2"/>
    <n v="0"/>
    <s v="-"/>
    <s v="-"/>
    <n v="2"/>
    <s v="-"/>
    <s v="-"/>
    <s v="-"/>
    <s v="-"/>
    <n v="7"/>
    <n v="8"/>
    <s v="-"/>
    <n v="1"/>
    <n v="1"/>
    <n v="2"/>
    <n v="2"/>
    <n v="9"/>
    <n v="10"/>
  </r>
  <r>
    <x v="3"/>
    <x v="89"/>
    <d v="1899-12-30T00:00:00"/>
    <s v="3RD"/>
    <d v="1899-12-31T01:00:00"/>
    <n v="2"/>
    <x v="4"/>
    <n v="5.4000000000000003E-3"/>
    <s v="P"/>
    <s v="P"/>
    <s v="P"/>
    <s v="-"/>
    <s v="+"/>
    <n v="10.32"/>
    <s v="-"/>
    <s v="-"/>
    <s v="-"/>
    <s v="-"/>
    <s v="-"/>
    <s v="-"/>
    <s v="-"/>
    <s v="-"/>
    <s v="P"/>
    <s v="P"/>
    <s v="-"/>
    <n v="2"/>
    <n v="1"/>
    <n v="2"/>
    <n v="0"/>
    <s v="-"/>
    <s v="-"/>
    <s v="-"/>
    <s v="-"/>
    <s v="-"/>
    <s v="-"/>
    <s v="-"/>
    <n v="5"/>
    <n v="6"/>
    <s v="-"/>
    <n v="1"/>
    <n v="1"/>
    <n v="2"/>
    <n v="2"/>
    <n v="7"/>
    <n v="8"/>
  </r>
  <r>
    <x v="3"/>
    <x v="89"/>
    <d v="1902-03-26T00:00:00"/>
    <s v="2ND"/>
    <d v="1899-12-30T14:00:00"/>
    <n v="2"/>
    <x v="5"/>
    <n v="5.1999999999999998E-3"/>
    <s v="P"/>
    <s v="P"/>
    <s v="P"/>
    <s v="-"/>
    <s v="+"/>
    <n v="10.62"/>
    <n v="9.61"/>
    <n v="0.54"/>
    <n v="56"/>
    <s v="-"/>
    <s v="-"/>
    <n v="26.3"/>
    <s v="-"/>
    <s v="-"/>
    <s v="P"/>
    <s v="P"/>
    <s v="-"/>
    <n v="2"/>
    <n v="1"/>
    <n v="2"/>
    <n v="0"/>
    <n v="0"/>
    <n v="2"/>
    <n v="2"/>
    <s v="-"/>
    <s v="-"/>
    <n v="2"/>
    <s v="-"/>
    <n v="11"/>
    <n v="13"/>
    <s v="-"/>
    <n v="1"/>
    <n v="1"/>
    <n v="2"/>
    <n v="2"/>
    <n v="13"/>
    <n v="15"/>
  </r>
  <r>
    <x v="3"/>
    <x v="89"/>
    <d v="1899-12-30T00:00:00"/>
    <s v="2ND"/>
    <d v="1899-12-30T15:00:00"/>
    <n v="2"/>
    <x v="5"/>
    <n v="3.8999999999999998E-3"/>
    <s v="P"/>
    <s v="P"/>
    <s v="P"/>
    <s v="-"/>
    <s v="+"/>
    <n v="10.54"/>
    <s v="-"/>
    <s v="-"/>
    <s v="-"/>
    <s v="-"/>
    <s v="-"/>
    <s v="-"/>
    <s v="-"/>
    <s v="-"/>
    <s v="P"/>
    <s v="P"/>
    <s v="-"/>
    <n v="2"/>
    <n v="1"/>
    <n v="2"/>
    <n v="0"/>
    <s v="-"/>
    <s v="-"/>
    <s v="-"/>
    <s v="-"/>
    <s v="-"/>
    <s v="-"/>
    <s v="-"/>
    <n v="5"/>
    <n v="6"/>
    <s v="-"/>
    <n v="1"/>
    <n v="1"/>
    <n v="2"/>
    <n v="2"/>
    <n v="7"/>
    <n v="8"/>
  </r>
  <r>
    <x v="3"/>
    <x v="89"/>
    <d v="1899-12-30T00:00:00"/>
    <s v="2ND"/>
    <d v="1899-12-30T17:00:00"/>
    <n v="2"/>
    <x v="5"/>
    <n v="4.7999999999999996E-3"/>
    <s v="P"/>
    <s v="P"/>
    <s v="P"/>
    <s v="-"/>
    <s v="+"/>
    <n v="10.4"/>
    <s v="-"/>
    <s v="-"/>
    <s v="-"/>
    <s v="-"/>
    <s v="-"/>
    <s v="-"/>
    <s v="-"/>
    <s v="-"/>
    <s v="P"/>
    <s v="P"/>
    <s v="-"/>
    <n v="2"/>
    <n v="1"/>
    <n v="2"/>
    <n v="0"/>
    <s v="-"/>
    <s v="-"/>
    <s v="-"/>
    <s v="-"/>
    <s v="-"/>
    <s v="-"/>
    <s v="-"/>
    <n v="5"/>
    <n v="6"/>
    <s v="-"/>
    <n v="1"/>
    <n v="1"/>
    <n v="2"/>
    <n v="2"/>
    <n v="7"/>
    <n v="8"/>
  </r>
  <r>
    <x v="3"/>
    <x v="89"/>
    <d v="1899-12-30T00:00:00"/>
    <s v="2ND"/>
    <d v="1899-12-30T19:00:00"/>
    <n v="2"/>
    <x v="5"/>
    <n v="1.4E-3"/>
    <s v="P"/>
    <s v="P"/>
    <s v="P"/>
    <s v="-"/>
    <s v="+"/>
    <n v="10.66"/>
    <s v="-"/>
    <s v="-"/>
    <s v="-"/>
    <s v="-"/>
    <s v="-"/>
    <s v="-"/>
    <s v="-"/>
    <s v="-"/>
    <s v="P"/>
    <s v="P"/>
    <s v="-"/>
    <n v="2"/>
    <n v="1"/>
    <n v="2"/>
    <n v="0"/>
    <s v="-"/>
    <s v="-"/>
    <s v="-"/>
    <s v="-"/>
    <s v="-"/>
    <s v="-"/>
    <s v="-"/>
    <n v="5"/>
    <n v="6"/>
    <s v="-"/>
    <n v="1"/>
    <n v="1"/>
    <n v="2"/>
    <n v="2"/>
    <n v="7"/>
    <n v="8"/>
  </r>
  <r>
    <x v="3"/>
    <x v="89"/>
    <d v="1899-12-30T00:00:00"/>
    <s v="2ND"/>
    <d v="1899-12-30T20:00:00"/>
    <n v="2"/>
    <x v="5"/>
    <n v="6.0000000000000001E-3"/>
    <s v="P"/>
    <s v="P"/>
    <s v="P"/>
    <s v="-"/>
    <s v="+"/>
    <n v="10.67"/>
    <s v="-"/>
    <s v="-"/>
    <s v="-"/>
    <s v="-"/>
    <s v="-"/>
    <s v="-"/>
    <s v="-"/>
    <s v="-"/>
    <s v="P"/>
    <s v="P"/>
    <s v="-"/>
    <n v="2"/>
    <n v="1"/>
    <n v="2"/>
    <n v="0"/>
    <s v="-"/>
    <s v="-"/>
    <s v="-"/>
    <s v="-"/>
    <s v="-"/>
    <s v="-"/>
    <s v="-"/>
    <n v="5"/>
    <n v="6"/>
    <s v="-"/>
    <n v="1"/>
    <n v="1"/>
    <n v="2"/>
    <n v="2"/>
    <n v="7"/>
    <n v="8"/>
  </r>
  <r>
    <x v="3"/>
    <x v="89"/>
    <d v="1899-12-30T00:00:00"/>
    <s v="2ND"/>
    <d v="1899-12-30T21:00:00"/>
    <n v="2"/>
    <x v="5"/>
    <n v="3.3E-3"/>
    <s v="P"/>
    <s v="P"/>
    <s v="P"/>
    <s v="-"/>
    <s v="+"/>
    <n v="10.5"/>
    <s v="-"/>
    <s v="-"/>
    <s v="-"/>
    <s v="-"/>
    <s v="-"/>
    <s v="-"/>
    <s v="-"/>
    <s v="-"/>
    <s v="P"/>
    <s v="P"/>
    <s v="-"/>
    <n v="2"/>
    <n v="1"/>
    <n v="2"/>
    <n v="0"/>
    <s v="-"/>
    <s v="-"/>
    <s v="-"/>
    <s v="-"/>
    <s v="-"/>
    <s v="-"/>
    <s v="-"/>
    <n v="5"/>
    <n v="6"/>
    <s v="-"/>
    <n v="1"/>
    <n v="1"/>
    <n v="2"/>
    <n v="2"/>
    <n v="7"/>
    <n v="8"/>
  </r>
  <r>
    <x v="3"/>
    <x v="89"/>
    <d v="1899-12-30T00:00:00"/>
    <s v="2ND"/>
    <d v="1899-12-30T15:00:00"/>
    <s v="Retail"/>
    <x v="9"/>
    <s v="-"/>
    <s v="-"/>
    <s v="-"/>
    <s v="-"/>
    <s v="-"/>
    <s v="-"/>
    <n v="9.58"/>
    <s v="-"/>
    <n v="4.21"/>
    <s v="-"/>
    <s v="-"/>
    <s v="-"/>
    <s v="-"/>
    <s v="-"/>
    <s v="-"/>
    <s v="-"/>
    <s v="-"/>
    <s v="-"/>
    <s v="-"/>
    <s v="-"/>
    <s v="-"/>
    <n v="0"/>
    <s v="-"/>
    <n v="2"/>
    <s v="-"/>
    <s v="-"/>
    <s v="-"/>
    <s v="-"/>
    <s v="-"/>
    <n v="2"/>
    <n v="3"/>
    <s v="-"/>
    <s v="-"/>
    <s v="-"/>
    <n v="0"/>
    <n v="0"/>
    <n v="2"/>
    <n v="3"/>
  </r>
  <r>
    <x v="3"/>
    <x v="90"/>
    <s v="-"/>
    <s v="1ST"/>
    <s v="06:00"/>
    <n v="1"/>
    <x v="2"/>
    <n v="7.1999999999999998E-3"/>
    <s v="P"/>
    <s v="P"/>
    <s v="P"/>
    <s v="-"/>
    <s v="+"/>
    <n v="10.7"/>
    <n v="10.36"/>
    <n v="0.65"/>
    <n v="58.5"/>
    <s v="-"/>
    <s v="-"/>
    <n v="28.7"/>
    <s v="-"/>
    <s v="-"/>
    <s v="P"/>
    <s v="P"/>
    <s v="80% 20%"/>
    <n v="2"/>
    <n v="1"/>
    <n v="2"/>
    <n v="0"/>
    <n v="1"/>
    <n v="0"/>
    <n v="0"/>
    <s v="-"/>
    <s v="-"/>
    <n v="2"/>
    <s v="-"/>
    <n v="8"/>
    <n v="13"/>
    <s v="-"/>
    <n v="1"/>
    <n v="1"/>
    <n v="2"/>
    <n v="2"/>
    <n v="10"/>
    <n v="15"/>
  </r>
  <r>
    <x v="3"/>
    <x v="90"/>
    <d v="2026-04-21T00:00:00"/>
    <s v="1ST"/>
    <s v="07:00"/>
    <n v="1"/>
    <x v="2"/>
    <n v="7.7999999999999996E-3"/>
    <s v="P"/>
    <s v="P"/>
    <s v="P"/>
    <s v="-"/>
    <s v="+"/>
    <n v="10.74"/>
    <s v="-"/>
    <s v="-"/>
    <s v="-"/>
    <s v="-"/>
    <s v="-"/>
    <s v="-"/>
    <s v="-"/>
    <s v="-"/>
    <s v="P"/>
    <s v="P"/>
    <s v="-"/>
    <n v="2"/>
    <n v="1"/>
    <n v="2"/>
    <n v="0"/>
    <s v="-"/>
    <s v="-"/>
    <s v="-"/>
    <s v="-"/>
    <s v="-"/>
    <s v="-"/>
    <s v="-"/>
    <n v="5"/>
    <n v="6"/>
    <s v="-"/>
    <n v="1"/>
    <n v="1"/>
    <n v="2"/>
    <n v="2"/>
    <n v="7"/>
    <n v="8"/>
  </r>
  <r>
    <x v="3"/>
    <x v="90"/>
    <d v="2026-04-21T00:00:00"/>
    <s v="1ST"/>
    <s v="08:00"/>
    <n v="1"/>
    <x v="2"/>
    <n v="1.23E-2"/>
    <s v="P"/>
    <s v="P"/>
    <s v="P"/>
    <s v="-"/>
    <s v="+"/>
    <n v="10.73"/>
    <s v="-"/>
    <s v="-"/>
    <s v="-"/>
    <s v="-"/>
    <s v="-"/>
    <s v="-"/>
    <s v="-"/>
    <s v="-"/>
    <s v="P"/>
    <s v="P"/>
    <s v="-"/>
    <n v="2"/>
    <n v="1"/>
    <n v="2"/>
    <n v="0"/>
    <s v="-"/>
    <s v="-"/>
    <s v="-"/>
    <s v="-"/>
    <s v="-"/>
    <s v="-"/>
    <s v="-"/>
    <n v="5"/>
    <n v="6"/>
    <s v="-"/>
    <n v="1"/>
    <n v="1"/>
    <n v="2"/>
    <n v="2"/>
    <n v="7"/>
    <n v="8"/>
  </r>
  <r>
    <x v="3"/>
    <x v="90"/>
    <d v="2026-04-21T00:00:00"/>
    <s v="1ST"/>
    <s v="10:00"/>
    <n v="1"/>
    <x v="2"/>
    <n v="1.0999999999999999E-2"/>
    <s v="P"/>
    <s v="P"/>
    <s v="P"/>
    <s v="-"/>
    <s v="+"/>
    <n v="10.76"/>
    <s v="-"/>
    <s v="-"/>
    <s v="-"/>
    <s v="-"/>
    <s v="-"/>
    <s v="-"/>
    <s v="-"/>
    <s v="-"/>
    <s v="P"/>
    <s v="P"/>
    <s v="-"/>
    <n v="2"/>
    <n v="1"/>
    <n v="2"/>
    <n v="0"/>
    <s v="-"/>
    <s v="-"/>
    <s v="-"/>
    <s v="-"/>
    <s v="-"/>
    <s v="-"/>
    <s v="-"/>
    <n v="5"/>
    <n v="6"/>
    <s v="-"/>
    <n v="1"/>
    <n v="1"/>
    <n v="2"/>
    <n v="2"/>
    <n v="7"/>
    <n v="8"/>
  </r>
  <r>
    <x v="3"/>
    <x v="90"/>
    <d v="2026-04-21T00:00:00"/>
    <s v="1ST"/>
    <s v="11:00"/>
    <n v="1"/>
    <x v="2"/>
    <n v="1.4999999999999999E-2"/>
    <s v="P"/>
    <s v="P"/>
    <s v="P"/>
    <s v="-"/>
    <s v="+"/>
    <n v="10.76"/>
    <s v="-"/>
    <s v="-"/>
    <s v="-"/>
    <s v="-"/>
    <s v="-"/>
    <s v="-"/>
    <s v="-"/>
    <s v="-"/>
    <s v="P"/>
    <s v="P"/>
    <s v="-"/>
    <n v="2"/>
    <n v="1"/>
    <n v="2"/>
    <n v="0"/>
    <s v="-"/>
    <s v="-"/>
    <s v="-"/>
    <s v="-"/>
    <s v="-"/>
    <s v="-"/>
    <s v="-"/>
    <n v="5"/>
    <n v="6"/>
    <s v="-"/>
    <n v="1"/>
    <n v="1"/>
    <n v="2"/>
    <n v="2"/>
    <n v="7"/>
    <n v="8"/>
  </r>
  <r>
    <x v="3"/>
    <x v="90"/>
    <d v="2026-04-21T00:00:00"/>
    <s v="1ST"/>
    <s v="12:00"/>
    <n v="1"/>
    <x v="2"/>
    <n v="1.35E-2"/>
    <s v="P"/>
    <s v="P"/>
    <s v="P"/>
    <s v="-"/>
    <s v="+"/>
    <n v="10.62"/>
    <s v="-"/>
    <s v="-"/>
    <s v="-"/>
    <s v="-"/>
    <s v="-"/>
    <s v="-"/>
    <s v="-"/>
    <s v="-"/>
    <s v="P"/>
    <s v="P"/>
    <s v="-"/>
    <n v="2"/>
    <n v="1"/>
    <n v="2"/>
    <n v="0"/>
    <s v="-"/>
    <s v="-"/>
    <s v="-"/>
    <s v="-"/>
    <s v="-"/>
    <s v="-"/>
    <s v="-"/>
    <n v="5"/>
    <n v="6"/>
    <s v="-"/>
    <n v="1"/>
    <n v="1"/>
    <n v="2"/>
    <n v="2"/>
    <n v="7"/>
    <n v="8"/>
  </r>
  <r>
    <x v="3"/>
    <x v="90"/>
    <d v="2026-04-17T00:00:00"/>
    <s v="1ST"/>
    <s v="12:00"/>
    <s v="Retail"/>
    <x v="19"/>
    <s v="-"/>
    <s v="P"/>
    <s v="P"/>
    <s v="P"/>
    <s v="-"/>
    <s v="-"/>
    <n v="11.93"/>
    <n v="13.08"/>
    <s v="-"/>
    <s v="-"/>
    <s v="-"/>
    <s v="-"/>
    <n v="36.799999999999997"/>
    <s v="-"/>
    <s v="-"/>
    <s v="P"/>
    <s v="P"/>
    <s v="-"/>
    <s v="-"/>
    <n v="1"/>
    <n v="2"/>
    <n v="0"/>
    <n v="0"/>
    <s v="-"/>
    <s v="-"/>
    <s v="-"/>
    <s v="-"/>
    <n v="0"/>
    <s v="-"/>
    <n v="3"/>
    <n v="7"/>
    <s v="-"/>
    <n v="1"/>
    <n v="1"/>
    <n v="2"/>
    <n v="2"/>
    <n v="5"/>
    <n v="9"/>
  </r>
  <r>
    <x v="3"/>
    <x v="90"/>
    <d v="2026-04-12T00:00:00"/>
    <s v="1ST"/>
    <s v="06:00"/>
    <n v="3"/>
    <x v="1"/>
    <n v="9.2999999999999992E-3"/>
    <s v="P"/>
    <s v="P"/>
    <s v="P"/>
    <s v="+"/>
    <s v="+"/>
    <n v="13.22"/>
    <n v="12.72"/>
    <n v="0.53"/>
    <n v="63.9"/>
    <s v="-"/>
    <s v="-"/>
    <n v="34.6"/>
    <s v="-"/>
    <s v="-"/>
    <s v="P"/>
    <s v="P"/>
    <n v="1"/>
    <n v="2"/>
    <n v="1"/>
    <n v="2"/>
    <n v="1"/>
    <n v="1"/>
    <n v="2"/>
    <n v="0"/>
    <s v="-"/>
    <s v="-"/>
    <n v="2"/>
    <s v="-"/>
    <n v="11"/>
    <n v="13"/>
    <s v="-"/>
    <n v="1"/>
    <n v="1"/>
    <n v="2"/>
    <n v="2"/>
    <n v="13"/>
    <n v="15"/>
  </r>
  <r>
    <x v="3"/>
    <x v="90"/>
    <d v="2026-04-12T00:00:00"/>
    <s v="1ST"/>
    <s v="07:00"/>
    <n v="3"/>
    <x v="1"/>
    <n v="8.8999999999999999E-3"/>
    <s v="P"/>
    <s v="P"/>
    <s v="P"/>
    <s v="+"/>
    <s v="+"/>
    <n v="12.13"/>
    <s v="-"/>
    <s v="-"/>
    <s v="-"/>
    <s v="-"/>
    <s v="-"/>
    <s v="-"/>
    <s v="-"/>
    <s v="-"/>
    <s v="P"/>
    <s v="P"/>
    <s v="-"/>
    <n v="2"/>
    <n v="1"/>
    <n v="2"/>
    <n v="1"/>
    <s v="-"/>
    <s v="-"/>
    <s v="-"/>
    <s v="-"/>
    <s v="-"/>
    <s v="-"/>
    <s v="-"/>
    <n v="6"/>
    <n v="6"/>
    <s v="-"/>
    <n v="1"/>
    <n v="1"/>
    <n v="2"/>
    <n v="2"/>
    <n v="8"/>
    <n v="8"/>
  </r>
  <r>
    <x v="3"/>
    <x v="90"/>
    <d v="2026-04-12T00:00:00"/>
    <s v="1ST"/>
    <s v="08:00"/>
    <n v="3"/>
    <x v="1"/>
    <n v="9.1999999999999998E-3"/>
    <s v="P"/>
    <s v="P"/>
    <s v="P"/>
    <s v="+"/>
    <s v="+"/>
    <n v="13.1"/>
    <s v="-"/>
    <s v="-"/>
    <s v="-"/>
    <s v="-"/>
    <s v="-"/>
    <s v="-"/>
    <s v="-"/>
    <s v="-"/>
    <s v="P"/>
    <s v="P"/>
    <s v="-"/>
    <n v="2"/>
    <n v="1"/>
    <n v="2"/>
    <n v="1"/>
    <s v="-"/>
    <s v="-"/>
    <s v="-"/>
    <s v="-"/>
    <s v="-"/>
    <s v="-"/>
    <s v="-"/>
    <n v="6"/>
    <n v="6"/>
    <s v="-"/>
    <n v="1"/>
    <n v="1"/>
    <n v="2"/>
    <n v="2"/>
    <n v="8"/>
    <n v="8"/>
  </r>
  <r>
    <x v="3"/>
    <x v="90"/>
    <d v="2026-04-12T00:00:00"/>
    <s v="1ST"/>
    <s v="09:00"/>
    <n v="3"/>
    <x v="1"/>
    <s v="-"/>
    <s v="P"/>
    <s v="P"/>
    <s v="P"/>
    <s v="+"/>
    <s v="+"/>
    <n v="13.26"/>
    <s v="-"/>
    <s v="-"/>
    <s v="-"/>
    <s v="-"/>
    <s v="-"/>
    <s v="-"/>
    <s v="-"/>
    <s v="-"/>
    <s v="P"/>
    <s v="P"/>
    <s v="-"/>
    <s v="-"/>
    <n v="1"/>
    <n v="2"/>
    <n v="1"/>
    <s v="-"/>
    <s v="-"/>
    <s v="-"/>
    <s v="-"/>
    <s v="-"/>
    <s v="-"/>
    <s v="-"/>
    <n v="4"/>
    <n v="4"/>
    <s v="-"/>
    <n v="1"/>
    <n v="1"/>
    <n v="2"/>
    <n v="2"/>
    <n v="6"/>
    <n v="6"/>
  </r>
  <r>
    <x v="3"/>
    <x v="90"/>
    <d v="2026-04-12T00:00:00"/>
    <s v="1ST"/>
    <s v="10:00"/>
    <n v="3"/>
    <x v="1"/>
    <n v="9.9000000000000008E-3"/>
    <s v="P"/>
    <s v="P"/>
    <s v="P"/>
    <s v="+"/>
    <s v="+"/>
    <n v="13.1"/>
    <s v="-"/>
    <s v="-"/>
    <s v="-"/>
    <s v="-"/>
    <s v="-"/>
    <s v="-"/>
    <s v="-"/>
    <s v="-"/>
    <s v="P"/>
    <s v="P"/>
    <s v="-"/>
    <n v="2"/>
    <n v="1"/>
    <n v="2"/>
    <n v="1"/>
    <s v="-"/>
    <s v="-"/>
    <s v="-"/>
    <s v="-"/>
    <s v="-"/>
    <s v="-"/>
    <s v="-"/>
    <n v="6"/>
    <n v="6"/>
    <s v="-"/>
    <n v="1"/>
    <n v="1"/>
    <n v="2"/>
    <n v="2"/>
    <n v="8"/>
    <n v="8"/>
  </r>
  <r>
    <x v="3"/>
    <x v="90"/>
    <d v="2026-04-12T00:00:00"/>
    <s v="1ST"/>
    <s v="11:00"/>
    <n v="3"/>
    <x v="1"/>
    <n v="6.7000000000000002E-3"/>
    <s v="P"/>
    <s v="P"/>
    <s v="P"/>
    <s v="+"/>
    <s v="+"/>
    <n v="12.5"/>
    <s v="-"/>
    <s v="-"/>
    <s v="-"/>
    <s v="-"/>
    <s v="-"/>
    <s v="-"/>
    <s v="-"/>
    <s v="-"/>
    <s v="P"/>
    <s v="P"/>
    <s v="-"/>
    <n v="2"/>
    <n v="1"/>
    <n v="2"/>
    <n v="1"/>
    <s v="-"/>
    <s v="-"/>
    <s v="-"/>
    <s v="-"/>
    <s v="-"/>
    <s v="-"/>
    <s v="-"/>
    <n v="6"/>
    <n v="6"/>
    <s v="-"/>
    <n v="1"/>
    <n v="1"/>
    <n v="2"/>
    <n v="2"/>
    <n v="8"/>
    <n v="8"/>
  </r>
  <r>
    <x v="3"/>
    <x v="90"/>
    <s v="-"/>
    <s v="2ND"/>
    <d v="1899-12-30T14:00:00"/>
    <n v="1"/>
    <x v="2"/>
    <n v="1.52E-2"/>
    <s v="P"/>
    <s v="P"/>
    <s v="P"/>
    <s v="-"/>
    <s v="+"/>
    <n v="10.64"/>
    <n v="8.83"/>
    <n v="0.65"/>
    <s v="-"/>
    <s v="-"/>
    <s v="-"/>
    <n v="23.9"/>
    <s v="-"/>
    <s v="-"/>
    <s v="P"/>
    <s v="P"/>
    <s v="80% 20%"/>
    <n v="2"/>
    <n v="1"/>
    <n v="2"/>
    <n v="0"/>
    <n v="0"/>
    <n v="0"/>
    <s v="-"/>
    <s v="-"/>
    <s v="-"/>
    <n v="0"/>
    <s v="-"/>
    <n v="5"/>
    <n v="11"/>
    <s v="-"/>
    <n v="1"/>
    <n v="1"/>
    <n v="2"/>
    <n v="2"/>
    <n v="7"/>
    <n v="13"/>
  </r>
  <r>
    <x v="3"/>
    <x v="90"/>
    <d v="2026-04-21T00:00:00"/>
    <s v="2ND"/>
    <d v="1899-12-30T17:00:00"/>
    <n v="1"/>
    <x v="2"/>
    <n v="3.0999999999999999E-3"/>
    <s v="P"/>
    <s v="P"/>
    <s v="P"/>
    <s v="-"/>
    <s v="+"/>
    <n v="10.64"/>
    <s v="-"/>
    <s v="-"/>
    <s v="-"/>
    <s v="-"/>
    <s v="-"/>
    <s v="-"/>
    <s v="-"/>
    <s v="-"/>
    <s v="P"/>
    <s v="P"/>
    <s v="-"/>
    <n v="2"/>
    <n v="1"/>
    <n v="2"/>
    <n v="0"/>
    <s v="-"/>
    <s v="-"/>
    <s v="-"/>
    <s v="-"/>
    <s v="-"/>
    <s v="-"/>
    <s v="-"/>
    <n v="5"/>
    <n v="6"/>
    <s v="-"/>
    <n v="1"/>
    <n v="1"/>
    <n v="2"/>
    <n v="2"/>
    <n v="7"/>
    <n v="8"/>
  </r>
  <r>
    <x v="3"/>
    <x v="90"/>
    <d v="2026-04-21T00:00:00"/>
    <s v="2ND"/>
    <d v="1899-12-30T19:00:00"/>
    <n v="1"/>
    <x v="2"/>
    <n v="9.9000000000000008E-3"/>
    <s v="P"/>
    <s v="P"/>
    <s v="P"/>
    <s v="-"/>
    <s v="+"/>
    <n v="10.61"/>
    <s v="-"/>
    <s v="-"/>
    <s v="-"/>
    <s v="-"/>
    <s v="-"/>
    <s v="-"/>
    <s v="-"/>
    <s v="-"/>
    <s v="P"/>
    <s v="P"/>
    <s v="-"/>
    <n v="2"/>
    <n v="1"/>
    <n v="2"/>
    <n v="0"/>
    <s v="-"/>
    <s v="-"/>
    <s v="-"/>
    <s v="-"/>
    <s v="-"/>
    <s v="-"/>
    <s v="-"/>
    <n v="5"/>
    <n v="6"/>
    <s v="-"/>
    <n v="1"/>
    <n v="1"/>
    <n v="2"/>
    <n v="2"/>
    <n v="7"/>
    <n v="8"/>
  </r>
  <r>
    <x v="3"/>
    <x v="90"/>
    <d v="2026-04-21T00:00:00"/>
    <s v="2ND"/>
    <d v="1899-12-30T20:00:00"/>
    <n v="1"/>
    <x v="2"/>
    <n v="1.49E-2"/>
    <s v="P"/>
    <s v="P"/>
    <s v="P"/>
    <s v="-"/>
    <s v="+"/>
    <n v="10.68"/>
    <s v="-"/>
    <s v="-"/>
    <s v="-"/>
    <s v="-"/>
    <s v="-"/>
    <s v="-"/>
    <s v="-"/>
    <s v="-"/>
    <s v="P"/>
    <s v="P"/>
    <s v="-"/>
    <n v="2"/>
    <n v="1"/>
    <n v="2"/>
    <n v="0"/>
    <s v="-"/>
    <s v="-"/>
    <s v="-"/>
    <s v="-"/>
    <s v="-"/>
    <s v="-"/>
    <s v="-"/>
    <n v="5"/>
    <n v="6"/>
    <s v="-"/>
    <n v="1"/>
    <n v="1"/>
    <n v="2"/>
    <n v="2"/>
    <n v="7"/>
    <n v="8"/>
  </r>
  <r>
    <x v="3"/>
    <x v="90"/>
    <d v="2026-04-21T00:00:00"/>
    <s v="2ND"/>
    <d v="1899-12-30T21:00:00"/>
    <n v="1"/>
    <x v="2"/>
    <n v="1.18E-2"/>
    <s v="P"/>
    <s v="P"/>
    <s v="P"/>
    <s v="-"/>
    <s v="+"/>
    <n v="10.48"/>
    <s v="-"/>
    <s v="-"/>
    <s v="-"/>
    <s v="-"/>
    <s v="-"/>
    <s v="-"/>
    <s v="-"/>
    <s v="-"/>
    <s v="P"/>
    <s v="P"/>
    <s v="-"/>
    <n v="2"/>
    <n v="1"/>
    <n v="2"/>
    <n v="0"/>
    <s v="-"/>
    <s v="-"/>
    <s v="-"/>
    <s v="-"/>
    <s v="-"/>
    <s v="-"/>
    <s v="-"/>
    <n v="5"/>
    <n v="6"/>
    <s v="-"/>
    <n v="1"/>
    <n v="1"/>
    <n v="2"/>
    <n v="2"/>
    <n v="7"/>
    <n v="8"/>
  </r>
  <r>
    <x v="3"/>
    <x v="90"/>
    <d v="2026-04-28T00:00:00"/>
    <s v="2ND"/>
    <d v="1899-12-30T15:00:00"/>
    <n v="3"/>
    <x v="12"/>
    <n v="1.5900000000000001E-2"/>
    <s v="P"/>
    <s v="P"/>
    <s v="P"/>
    <s v="+"/>
    <s v="+"/>
    <n v="11.53"/>
    <n v="12.63"/>
    <n v="0.59"/>
    <n v="65.3"/>
    <s v="-"/>
    <s v="-"/>
    <n v="35.5"/>
    <s v="-"/>
    <s v="-"/>
    <s v="P"/>
    <s v="P"/>
    <n v="1"/>
    <n v="2"/>
    <n v="1"/>
    <n v="2"/>
    <n v="1"/>
    <s v="-"/>
    <n v="0"/>
    <n v="2"/>
    <s v="-"/>
    <s v="-"/>
    <n v="2"/>
    <s v="-"/>
    <n v="10"/>
    <n v="12"/>
    <s v="-"/>
    <n v="1"/>
    <n v="1"/>
    <n v="2"/>
    <n v="2"/>
    <n v="12"/>
    <n v="14"/>
  </r>
  <r>
    <x v="3"/>
    <x v="90"/>
    <d v="2026-04-28T00:00:00"/>
    <s v="2ND"/>
    <d v="1899-12-30T16:00:00"/>
    <n v="3"/>
    <x v="12"/>
    <n v="1.6E-2"/>
    <s v="P"/>
    <s v="P"/>
    <s v="P"/>
    <s v="+"/>
    <s v="+"/>
    <n v="11.91"/>
    <s v="-"/>
    <s v="-"/>
    <s v="-"/>
    <s v="-"/>
    <s v="-"/>
    <s v="-"/>
    <s v="-"/>
    <s v="-"/>
    <s v="P"/>
    <s v="P"/>
    <s v="-"/>
    <n v="2"/>
    <n v="1"/>
    <n v="2"/>
    <n v="1"/>
    <s v="-"/>
    <s v="-"/>
    <s v="-"/>
    <s v="-"/>
    <s v="-"/>
    <s v="-"/>
    <s v="-"/>
    <n v="6"/>
    <n v="6"/>
    <s v="-"/>
    <n v="1"/>
    <n v="1"/>
    <n v="2"/>
    <n v="2"/>
    <n v="8"/>
    <n v="8"/>
  </r>
  <r>
    <x v="3"/>
    <x v="90"/>
    <d v="2026-04-28T00:00:00"/>
    <s v="2ND"/>
    <d v="1899-12-30T19:00:00"/>
    <n v="3"/>
    <x v="12"/>
    <n v="1.78E-2"/>
    <s v="P"/>
    <s v="P"/>
    <s v="P"/>
    <s v="+"/>
    <s v="+"/>
    <n v="12.09"/>
    <s v="-"/>
    <s v="-"/>
    <s v="-"/>
    <s v="-"/>
    <s v="-"/>
    <s v="-"/>
    <s v="-"/>
    <s v="-"/>
    <s v="P"/>
    <s v="P"/>
    <s v="-"/>
    <n v="2"/>
    <n v="1"/>
    <n v="2"/>
    <n v="1"/>
    <s v="-"/>
    <s v="-"/>
    <s v="-"/>
    <s v="-"/>
    <s v="-"/>
    <s v="-"/>
    <s v="-"/>
    <n v="6"/>
    <n v="6"/>
    <s v="-"/>
    <n v="1"/>
    <n v="1"/>
    <n v="2"/>
    <n v="2"/>
    <n v="8"/>
    <n v="8"/>
  </r>
  <r>
    <x v="3"/>
    <x v="90"/>
    <d v="2026-04-28T00:00:00"/>
    <s v="2ND"/>
    <d v="1899-12-30T20:00:00"/>
    <n v="3"/>
    <x v="12"/>
    <n v="1.03E-2"/>
    <s v="P"/>
    <s v="P"/>
    <s v="P"/>
    <s v="+"/>
    <s v="+"/>
    <n v="13.08"/>
    <s v="-"/>
    <s v="-"/>
    <s v="-"/>
    <s v="-"/>
    <s v="-"/>
    <s v="-"/>
    <s v="-"/>
    <s v="-"/>
    <s v="P"/>
    <s v="P"/>
    <s v="-"/>
    <n v="2"/>
    <n v="1"/>
    <n v="2"/>
    <n v="1"/>
    <s v="-"/>
    <s v="-"/>
    <s v="-"/>
    <s v="-"/>
    <s v="-"/>
    <s v="-"/>
    <s v="-"/>
    <n v="6"/>
    <n v="6"/>
    <s v="-"/>
    <n v="1"/>
    <n v="1"/>
    <n v="2"/>
    <n v="2"/>
    <n v="8"/>
    <n v="8"/>
  </r>
  <r>
    <x v="3"/>
    <x v="90"/>
    <d v="2026-04-28T00:00:00"/>
    <s v="2ND"/>
    <d v="1899-12-30T21:00:00"/>
    <n v="3"/>
    <x v="12"/>
    <n v="8.8999999999999999E-3"/>
    <s v="P"/>
    <s v="P"/>
    <s v="P"/>
    <s v="+"/>
    <s v="+"/>
    <n v="12.91"/>
    <s v="-"/>
    <s v="-"/>
    <s v="-"/>
    <s v="-"/>
    <s v="-"/>
    <s v="-"/>
    <s v="-"/>
    <s v="-"/>
    <s v="P"/>
    <s v="P"/>
    <s v="-"/>
    <n v="2"/>
    <n v="1"/>
    <n v="2"/>
    <n v="1"/>
    <s v="-"/>
    <s v="-"/>
    <s v="-"/>
    <s v="-"/>
    <s v="-"/>
    <s v="-"/>
    <s v="-"/>
    <n v="6"/>
    <n v="6"/>
    <s v="-"/>
    <n v="1"/>
    <n v="1"/>
    <n v="2"/>
    <n v="2"/>
    <n v="8"/>
    <n v="8"/>
  </r>
  <r>
    <x v="3"/>
    <x v="90"/>
    <s v="-"/>
    <s v="3RD"/>
    <d v="1899-12-30T22:00:00"/>
    <n v="1"/>
    <x v="2"/>
    <n v="1.1599999999999999E-2"/>
    <s v="P"/>
    <s v="P"/>
    <s v="P"/>
    <s v="-"/>
    <s v="+"/>
    <n v="10.49"/>
    <n v="9.57"/>
    <n v="0.6"/>
    <n v="58.5"/>
    <s v="-"/>
    <s v="-"/>
    <n v="26.2"/>
    <s v="-"/>
    <n v="25.19"/>
    <s v="P"/>
    <s v="P"/>
    <s v="80% 20%"/>
    <n v="2"/>
    <n v="1"/>
    <n v="2"/>
    <n v="0"/>
    <n v="0"/>
    <n v="0"/>
    <n v="0"/>
    <s v="-"/>
    <s v="-"/>
    <n v="0"/>
    <s v="-"/>
    <n v="5"/>
    <n v="13"/>
    <n v="1"/>
    <n v="1"/>
    <n v="1"/>
    <n v="3"/>
    <n v="3"/>
    <n v="8"/>
    <n v="16"/>
  </r>
  <r>
    <x v="3"/>
    <x v="90"/>
    <d v="2026-04-21T00:00:00"/>
    <s v="3RD"/>
    <d v="1899-12-31T00:00:00"/>
    <n v="1"/>
    <x v="2"/>
    <n v="1.6199999999999999E-2"/>
    <s v="P"/>
    <s v="P"/>
    <s v="P"/>
    <s v="-"/>
    <s v="+"/>
    <n v="10.51"/>
    <s v="-"/>
    <s v="-"/>
    <s v="-"/>
    <s v="-"/>
    <s v="-"/>
    <s v="-"/>
    <s v="-"/>
    <s v="-"/>
    <s v="P"/>
    <s v="P"/>
    <s v="-"/>
    <n v="2"/>
    <n v="1"/>
    <n v="2"/>
    <n v="0"/>
    <s v="-"/>
    <s v="-"/>
    <s v="-"/>
    <s v="-"/>
    <s v="-"/>
    <s v="-"/>
    <s v="-"/>
    <n v="5"/>
    <n v="6"/>
    <s v="-"/>
    <n v="1"/>
    <n v="1"/>
    <n v="2"/>
    <n v="2"/>
    <n v="7"/>
    <n v="8"/>
  </r>
  <r>
    <x v="3"/>
    <x v="90"/>
    <d v="1902-03-26T00:00:00"/>
    <s v="3RD"/>
    <d v="1899-12-31T01:00:00"/>
    <n v="2"/>
    <x v="5"/>
    <n v="1.18E-2"/>
    <s v="P"/>
    <s v="P"/>
    <s v="P"/>
    <s v="-"/>
    <s v="+"/>
    <n v="10.49"/>
    <n v="7.94"/>
    <n v="0.53"/>
    <n v="55.8"/>
    <s v="-"/>
    <s v="-"/>
    <n v="21.2"/>
    <s v="-"/>
    <n v="25.19"/>
    <s v="P"/>
    <s v="P"/>
    <s v="-"/>
    <n v="2"/>
    <n v="1"/>
    <n v="2"/>
    <n v="0"/>
    <n v="0"/>
    <n v="2"/>
    <n v="2"/>
    <s v="-"/>
    <s v="-"/>
    <n v="2"/>
    <s v="-"/>
    <n v="11"/>
    <n v="13"/>
    <n v="1"/>
    <n v="1"/>
    <n v="1"/>
    <n v="3"/>
    <n v="3"/>
    <n v="14"/>
    <n v="16"/>
  </r>
  <r>
    <x v="3"/>
    <x v="90"/>
    <d v="1899-12-30T00:00:00"/>
    <s v="3RD"/>
    <d v="1899-12-31T02:00:00"/>
    <n v="2"/>
    <x v="5"/>
    <n v="9.2999999999999992E-3"/>
    <s v="P"/>
    <s v="P"/>
    <s v="P"/>
    <s v="-"/>
    <s v="+"/>
    <n v="10.92"/>
    <s v="-"/>
    <s v="-"/>
    <s v="-"/>
    <s v="-"/>
    <s v="-"/>
    <s v="-"/>
    <s v="-"/>
    <s v="-"/>
    <s v="P"/>
    <s v="P"/>
    <s v="-"/>
    <n v="2"/>
    <n v="1"/>
    <n v="2"/>
    <n v="0"/>
    <s v="-"/>
    <s v="-"/>
    <s v="-"/>
    <s v="-"/>
    <s v="-"/>
    <s v="-"/>
    <s v="-"/>
    <n v="5"/>
    <n v="6"/>
    <s v="-"/>
    <n v="1"/>
    <n v="1"/>
    <n v="2"/>
    <n v="2"/>
    <n v="7"/>
    <n v="8"/>
  </r>
  <r>
    <x v="3"/>
    <x v="90"/>
    <d v="1899-12-30T00:00:00"/>
    <s v="3RD"/>
    <d v="1899-12-31T03:00:00"/>
    <n v="2"/>
    <x v="5"/>
    <n v="7.4999999999999997E-3"/>
    <s v="P"/>
    <s v="P"/>
    <s v="P"/>
    <s v="-"/>
    <s v="+"/>
    <n v="10.95"/>
    <s v="-"/>
    <s v="-"/>
    <s v="-"/>
    <s v="-"/>
    <s v="-"/>
    <s v="-"/>
    <s v="-"/>
    <s v="-"/>
    <s v="P"/>
    <s v="P"/>
    <s v="-"/>
    <n v="2"/>
    <n v="1"/>
    <n v="2"/>
    <n v="0"/>
    <s v="-"/>
    <s v="-"/>
    <s v="-"/>
    <s v="-"/>
    <s v="-"/>
    <s v="-"/>
    <s v="-"/>
    <n v="5"/>
    <n v="6"/>
    <s v="-"/>
    <n v="1"/>
    <n v="1"/>
    <n v="2"/>
    <n v="2"/>
    <n v="7"/>
    <n v="8"/>
  </r>
  <r>
    <x v="3"/>
    <x v="90"/>
    <d v="1899-12-30T00:00:00"/>
    <s v="3RD"/>
    <d v="1899-12-31T05:00:00"/>
    <n v="2"/>
    <x v="5"/>
    <n v="6.8999999999999999E-3"/>
    <s v="P"/>
    <s v="P"/>
    <s v="P"/>
    <s v="-"/>
    <s v="+"/>
    <n v="10.63"/>
    <s v="-"/>
    <s v="-"/>
    <s v="-"/>
    <s v="-"/>
    <s v="-"/>
    <s v="-"/>
    <s v="-"/>
    <s v="-"/>
    <s v="P"/>
    <s v="P"/>
    <s v="-"/>
    <n v="2"/>
    <n v="1"/>
    <n v="2"/>
    <n v="0"/>
    <s v="-"/>
    <s v="-"/>
    <s v="-"/>
    <s v="-"/>
    <s v="-"/>
    <s v="-"/>
    <s v="-"/>
    <n v="5"/>
    <n v="6"/>
    <s v="-"/>
    <n v="1"/>
    <n v="1"/>
    <n v="2"/>
    <n v="2"/>
    <n v="7"/>
    <n v="8"/>
  </r>
  <r>
    <x v="3"/>
    <x v="90"/>
    <d v="2026-04-28T00:00:00"/>
    <s v="3RD"/>
    <d v="1899-12-30T22:00:00"/>
    <n v="3"/>
    <x v="12"/>
    <n v="1.3899999999999999E-2"/>
    <s v="P"/>
    <s v="P"/>
    <s v="P"/>
    <s v="+"/>
    <s v="+"/>
    <n v="12.09"/>
    <n v="12.68"/>
    <n v="0.56999999999999995"/>
    <n v="65.3"/>
    <s v="-"/>
    <s v="-"/>
    <n v="35.5"/>
    <s v="-"/>
    <n v="25.16"/>
    <s v="P"/>
    <s v="P"/>
    <n v="1"/>
    <n v="2"/>
    <n v="1"/>
    <n v="2"/>
    <n v="1"/>
    <s v="-"/>
    <n v="2"/>
    <n v="2"/>
    <s v="-"/>
    <s v="-"/>
    <n v="2"/>
    <s v="-"/>
    <n v="12"/>
    <n v="12"/>
    <n v="1"/>
    <n v="1"/>
    <n v="1"/>
    <n v="3"/>
    <n v="3"/>
    <n v="15"/>
    <n v="15"/>
  </r>
  <r>
    <x v="3"/>
    <x v="90"/>
    <d v="2026-04-28T00:00:00"/>
    <s v="3RD"/>
    <d v="1899-12-31T00:00:00"/>
    <n v="3"/>
    <x v="36"/>
    <n v="1.17E-2"/>
    <s v="P"/>
    <s v="P"/>
    <s v="P"/>
    <s v="+"/>
    <s v="+"/>
    <n v="12.05"/>
    <n v="12.63"/>
    <n v="0.59"/>
    <s v="-"/>
    <s v="-"/>
    <s v="-"/>
    <n v="35.5"/>
    <s v="-"/>
    <s v="-"/>
    <s v="P"/>
    <s v="P"/>
    <n v="1"/>
    <n v="2"/>
    <n v="1"/>
    <n v="2"/>
    <n v="1"/>
    <n v="0"/>
    <n v="0"/>
    <s v="-"/>
    <s v="-"/>
    <s v="-"/>
    <n v="2"/>
    <s v="-"/>
    <n v="8"/>
    <n v="11"/>
    <s v="-"/>
    <n v="1"/>
    <n v="1"/>
    <n v="2"/>
    <n v="2"/>
    <n v="10"/>
    <n v="13"/>
  </r>
  <r>
    <x v="3"/>
    <x v="90"/>
    <d v="2026-04-28T00:00:00"/>
    <s v="3RD"/>
    <d v="1899-12-31T01:00:00"/>
    <n v="3"/>
    <x v="16"/>
    <s v="-"/>
    <s v="P"/>
    <s v="P"/>
    <s v="P"/>
    <s v="+"/>
    <s v="+"/>
    <n v="11.64"/>
    <n v="13.38"/>
    <s v="-"/>
    <n v="67.099999999999994"/>
    <s v="-"/>
    <s v="-"/>
    <n v="37.9"/>
    <s v="-"/>
    <s v="-"/>
    <s v="P"/>
    <s v="P"/>
    <s v="-"/>
    <s v="-"/>
    <n v="1"/>
    <n v="2"/>
    <n v="0"/>
    <n v="1"/>
    <s v="-"/>
    <n v="2"/>
    <s v="-"/>
    <s v="-"/>
    <n v="2"/>
    <s v="-"/>
    <n v="8"/>
    <n v="9"/>
    <s v="-"/>
    <n v="1"/>
    <n v="1"/>
    <n v="2"/>
    <n v="2"/>
    <n v="10"/>
    <n v="11"/>
  </r>
  <r>
    <x v="3"/>
    <x v="90"/>
    <d v="2026-04-28T00:00:00"/>
    <s v="3RD"/>
    <d v="1899-12-31T02:00:00"/>
    <n v="3"/>
    <x v="16"/>
    <n v="7.9000000000000008E-3"/>
    <s v="P"/>
    <s v="P"/>
    <s v="P"/>
    <s v="+"/>
    <s v="+"/>
    <n v="11.61"/>
    <s v="-"/>
    <s v="-"/>
    <s v="-"/>
    <s v="-"/>
    <s v="-"/>
    <s v="-"/>
    <s v="-"/>
    <s v="-"/>
    <s v="P"/>
    <s v="P"/>
    <s v="-"/>
    <n v="2"/>
    <n v="1"/>
    <n v="2"/>
    <n v="0"/>
    <s v="-"/>
    <s v="-"/>
    <s v="-"/>
    <s v="-"/>
    <s v="-"/>
    <s v="-"/>
    <s v="-"/>
    <n v="5"/>
    <n v="6"/>
    <s v="-"/>
    <n v="1"/>
    <n v="1"/>
    <n v="2"/>
    <n v="2"/>
    <n v="7"/>
    <n v="8"/>
  </r>
  <r>
    <x v="3"/>
    <x v="90"/>
    <d v="2026-04-28T00:00:00"/>
    <s v="3RD"/>
    <d v="1899-12-31T03:00:00"/>
    <n v="3"/>
    <x v="16"/>
    <n v="8.0999999999999996E-3"/>
    <s v="P"/>
    <s v="P"/>
    <s v="P"/>
    <s v="+"/>
    <s v="+"/>
    <n v="10.89"/>
    <s v="-"/>
    <s v="-"/>
    <s v="-"/>
    <s v="-"/>
    <s v="-"/>
    <s v="-"/>
    <s v="-"/>
    <s v="-"/>
    <s v="P"/>
    <s v="P"/>
    <s v="-"/>
    <n v="2"/>
    <n v="1"/>
    <n v="2"/>
    <n v="0"/>
    <s v="-"/>
    <s v="-"/>
    <s v="-"/>
    <s v="-"/>
    <s v="-"/>
    <s v="-"/>
    <s v="-"/>
    <n v="5"/>
    <n v="6"/>
    <s v="-"/>
    <n v="1"/>
    <n v="1"/>
    <n v="2"/>
    <n v="2"/>
    <n v="7"/>
    <n v="8"/>
  </r>
  <r>
    <x v="3"/>
    <x v="90"/>
    <d v="2026-04-28T00:00:00"/>
    <s v="3RD"/>
    <d v="1899-12-31T05:00:00"/>
    <n v="3"/>
    <x v="16"/>
    <n v="1.01E-2"/>
    <s v="P"/>
    <s v="P"/>
    <s v="P"/>
    <s v="+"/>
    <s v="+"/>
    <n v="11.73"/>
    <s v="-"/>
    <s v="-"/>
    <s v="-"/>
    <s v="-"/>
    <s v="-"/>
    <s v="-"/>
    <s v="-"/>
    <s v="-"/>
    <s v="P"/>
    <s v="P"/>
    <s v="-"/>
    <n v="2"/>
    <n v="1"/>
    <n v="2"/>
    <n v="0"/>
    <s v="-"/>
    <s v="-"/>
    <s v="-"/>
    <s v="-"/>
    <s v="-"/>
    <s v="-"/>
    <s v="-"/>
    <n v="5"/>
    <n v="6"/>
    <s v="-"/>
    <n v="1"/>
    <n v="1"/>
    <n v="2"/>
    <n v="2"/>
    <n v="7"/>
    <n v="8"/>
  </r>
  <r>
    <x v="3"/>
    <x v="91"/>
    <d v="1902-03-26T00:00:00"/>
    <s v="1ST"/>
    <s v="06:00"/>
    <n v="2"/>
    <x v="4"/>
    <n v="1.29E-2"/>
    <s v="P"/>
    <s v="P"/>
    <s v="P"/>
    <s v="-"/>
    <s v="+"/>
    <n v="10.58"/>
    <n v="8.74"/>
    <n v="0.54"/>
    <n v="56"/>
    <s v="-"/>
    <s v="-"/>
    <n v="23.7"/>
    <s v="-"/>
    <s v="-"/>
    <s v="P"/>
    <s v="P"/>
    <s v="-"/>
    <n v="2"/>
    <n v="1"/>
    <n v="2"/>
    <n v="0"/>
    <n v="1"/>
    <n v="2"/>
    <n v="2"/>
    <s v="-"/>
    <s v="-"/>
    <n v="2"/>
    <s v="-"/>
    <n v="12"/>
    <n v="13"/>
    <s v="-"/>
    <n v="1"/>
    <n v="1"/>
    <n v="2"/>
    <n v="2"/>
    <n v="14"/>
    <n v="15"/>
  </r>
  <r>
    <x v="3"/>
    <x v="91"/>
    <d v="1899-12-30T00:00:00"/>
    <s v="1ST"/>
    <s v="07:00"/>
    <n v="2"/>
    <x v="4"/>
    <n v="1.1299999999999999E-2"/>
    <s v="P"/>
    <s v="P"/>
    <s v="P"/>
    <s v="-"/>
    <s v="+"/>
    <n v="10.06"/>
    <s v="-"/>
    <s v="-"/>
    <s v="-"/>
    <s v="-"/>
    <s v="-"/>
    <s v="-"/>
    <s v="-"/>
    <s v="-"/>
    <s v="P"/>
    <s v="P"/>
    <s v="-"/>
    <n v="2"/>
    <n v="1"/>
    <n v="2"/>
    <n v="0"/>
    <s v="-"/>
    <s v="-"/>
    <s v="-"/>
    <s v="-"/>
    <s v="-"/>
    <s v="-"/>
    <s v="-"/>
    <n v="5"/>
    <n v="6"/>
    <s v="-"/>
    <n v="1"/>
    <n v="1"/>
    <n v="2"/>
    <n v="2"/>
    <n v="7"/>
    <n v="8"/>
  </r>
  <r>
    <x v="3"/>
    <x v="91"/>
    <d v="1899-12-30T00:00:00"/>
    <s v="1ST"/>
    <s v="10:00"/>
    <n v="2"/>
    <x v="1"/>
    <n v="1.17E-2"/>
    <s v="P"/>
    <s v="P"/>
    <s v="P"/>
    <s v="+"/>
    <s v="+"/>
    <n v="11.65"/>
    <n v="12.68"/>
    <s v="-"/>
    <n v="64.400000000000006"/>
    <s v="-"/>
    <s v="-"/>
    <n v="34.200000000000003"/>
    <s v="-"/>
    <s v="-"/>
    <s v="P"/>
    <s v="P"/>
    <s v="-"/>
    <n v="2"/>
    <n v="1"/>
    <n v="2"/>
    <n v="0"/>
    <n v="1"/>
    <s v="-"/>
    <n v="2"/>
    <s v="-"/>
    <s v="-"/>
    <n v="2"/>
    <s v="-"/>
    <n v="10"/>
    <n v="11"/>
    <s v="-"/>
    <n v="1"/>
    <n v="1"/>
    <n v="2"/>
    <n v="2"/>
    <n v="12"/>
    <n v="13"/>
  </r>
  <r>
    <x v="3"/>
    <x v="91"/>
    <d v="1899-12-30T00:00:00"/>
    <s v="1ST"/>
    <s v="11:00"/>
    <n v="2"/>
    <x v="1"/>
    <n v="1.2800000000000001E-2"/>
    <s v="P"/>
    <s v="P"/>
    <s v="P"/>
    <s v="+"/>
    <s v="+"/>
    <n v="11.6"/>
    <s v="-"/>
    <s v="-"/>
    <s v="-"/>
    <s v="-"/>
    <s v="-"/>
    <s v="-"/>
    <s v="-"/>
    <s v="-"/>
    <s v="P"/>
    <s v="P"/>
    <s v="-"/>
    <n v="2"/>
    <n v="1"/>
    <n v="2"/>
    <n v="0"/>
    <s v="-"/>
    <s v="-"/>
    <s v="-"/>
    <s v="-"/>
    <s v="-"/>
    <s v="-"/>
    <s v="-"/>
    <n v="5"/>
    <n v="6"/>
    <s v="-"/>
    <n v="1"/>
    <n v="1"/>
    <n v="2"/>
    <n v="2"/>
    <n v="7"/>
    <n v="8"/>
  </r>
  <r>
    <x v="3"/>
    <x v="91"/>
    <d v="1899-12-30T00:00:00"/>
    <s v="1ST"/>
    <s v="12:00"/>
    <n v="2"/>
    <x v="1"/>
    <n v="1.49E-2"/>
    <s v="P"/>
    <s v="P"/>
    <s v="P"/>
    <s v="+"/>
    <s v="+"/>
    <n v="12.19"/>
    <s v="-"/>
    <s v="-"/>
    <s v="-"/>
    <s v="-"/>
    <s v="-"/>
    <s v="-"/>
    <s v="-"/>
    <s v="-"/>
    <s v="P"/>
    <s v="P"/>
    <s v="-"/>
    <n v="2"/>
    <n v="1"/>
    <n v="2"/>
    <n v="1"/>
    <s v="-"/>
    <s v="-"/>
    <s v="-"/>
    <s v="-"/>
    <s v="-"/>
    <s v="-"/>
    <s v="-"/>
    <n v="6"/>
    <n v="6"/>
    <s v="-"/>
    <n v="1"/>
    <n v="1"/>
    <n v="2"/>
    <n v="2"/>
    <n v="8"/>
    <n v="8"/>
  </r>
  <r>
    <x v="3"/>
    <x v="91"/>
    <d v="2026-04-28T00:00:00"/>
    <s v="1ST"/>
    <s v="06:00"/>
    <n v="3"/>
    <x v="16"/>
    <n v="7.0000000000000001E-3"/>
    <s v="P"/>
    <s v="P"/>
    <s v="P"/>
    <s v="+"/>
    <s v="+"/>
    <n v="11.93"/>
    <n v="12.68"/>
    <n v="0.59"/>
    <n v="65.400000000000006"/>
    <s v="-"/>
    <s v="-"/>
    <n v="35.6"/>
    <s v="-"/>
    <s v="-"/>
    <s v="P"/>
    <s v="P"/>
    <n v="1"/>
    <n v="2"/>
    <n v="1"/>
    <n v="2"/>
    <n v="0"/>
    <n v="1"/>
    <n v="0"/>
    <n v="2"/>
    <s v="-"/>
    <s v="-"/>
    <n v="2"/>
    <s v="-"/>
    <n v="10"/>
    <n v="13"/>
    <s v="-"/>
    <n v="1"/>
    <n v="1"/>
    <n v="2"/>
    <n v="2"/>
    <n v="12"/>
    <n v="15"/>
  </r>
  <r>
    <x v="3"/>
    <x v="91"/>
    <d v="2026-04-28T00:00:00"/>
    <s v="1ST"/>
    <s v="08:00"/>
    <n v="3"/>
    <x v="16"/>
    <n v="5.8999999999999999E-3"/>
    <s v="P"/>
    <s v="P"/>
    <s v="P"/>
    <s v="+"/>
    <s v="+"/>
    <n v="12.59"/>
    <s v="-"/>
    <s v="-"/>
    <s v="-"/>
    <s v="-"/>
    <s v="-"/>
    <s v="-"/>
    <s v="-"/>
    <s v="-"/>
    <s v="P"/>
    <s v="P"/>
    <s v="-"/>
    <n v="2"/>
    <n v="1"/>
    <n v="2"/>
    <n v="1"/>
    <s v="-"/>
    <s v="-"/>
    <s v="-"/>
    <s v="-"/>
    <s v="-"/>
    <s v="-"/>
    <s v="-"/>
    <n v="6"/>
    <n v="6"/>
    <s v="-"/>
    <n v="1"/>
    <n v="1"/>
    <n v="2"/>
    <n v="2"/>
    <n v="8"/>
    <n v="8"/>
  </r>
  <r>
    <x v="3"/>
    <x v="91"/>
    <d v="2026-04-28T00:00:00"/>
    <s v="1ST"/>
    <s v="09:00"/>
    <n v="3"/>
    <x v="16"/>
    <n v="1.11E-2"/>
    <s v="P"/>
    <s v="P"/>
    <s v="P"/>
    <s v="+"/>
    <s v="+"/>
    <n v="12.45"/>
    <s v="-"/>
    <s v="-"/>
    <s v="-"/>
    <s v="-"/>
    <s v="-"/>
    <s v="-"/>
    <s v="-"/>
    <s v="-"/>
    <s v="P"/>
    <s v="P"/>
    <s v="-"/>
    <n v="2"/>
    <n v="1"/>
    <n v="2"/>
    <n v="1"/>
    <s v="-"/>
    <s v="-"/>
    <s v="-"/>
    <s v="-"/>
    <s v="-"/>
    <s v="-"/>
    <s v="-"/>
    <n v="6"/>
    <n v="6"/>
    <s v="-"/>
    <n v="1"/>
    <n v="1"/>
    <n v="2"/>
    <n v="2"/>
    <n v="8"/>
    <n v="8"/>
  </r>
  <r>
    <x v="3"/>
    <x v="91"/>
    <d v="2026-04-28T00:00:00"/>
    <s v="1ST"/>
    <s v="11:00"/>
    <n v="3"/>
    <x v="16"/>
    <n v="1.24E-2"/>
    <s v="P"/>
    <s v="P"/>
    <s v="P"/>
    <s v="+"/>
    <s v="+"/>
    <n v="12.02"/>
    <s v="-"/>
    <s v="-"/>
    <s v="-"/>
    <s v="-"/>
    <s v="-"/>
    <s v="-"/>
    <s v="-"/>
    <s v="-"/>
    <s v="P"/>
    <s v="P"/>
    <s v="-"/>
    <n v="2"/>
    <n v="1"/>
    <n v="2"/>
    <n v="1"/>
    <s v="-"/>
    <s v="-"/>
    <s v="-"/>
    <s v="-"/>
    <s v="-"/>
    <s v="-"/>
    <s v="-"/>
    <n v="6"/>
    <n v="6"/>
    <s v="-"/>
    <n v="1"/>
    <n v="1"/>
    <n v="2"/>
    <n v="2"/>
    <n v="8"/>
    <n v="8"/>
  </r>
  <r>
    <x v="3"/>
    <x v="91"/>
    <d v="2026-04-28T00:00:00"/>
    <s v="1ST"/>
    <s v="12:00"/>
    <n v="3"/>
    <x v="16"/>
    <n v="1.11E-2"/>
    <s v="P"/>
    <s v="P"/>
    <s v="P"/>
    <s v="+"/>
    <s v="+"/>
    <n v="12.32"/>
    <s v="-"/>
    <s v="-"/>
    <s v="-"/>
    <s v="-"/>
    <s v="-"/>
    <s v="-"/>
    <s v="-"/>
    <s v="-"/>
    <s v="P"/>
    <s v="P"/>
    <s v="-"/>
    <n v="2"/>
    <n v="1"/>
    <n v="2"/>
    <n v="1"/>
    <s v="-"/>
    <s v="-"/>
    <s v="-"/>
    <s v="-"/>
    <s v="-"/>
    <s v="-"/>
    <s v="-"/>
    <n v="6"/>
    <n v="6"/>
    <s v="-"/>
    <n v="1"/>
    <n v="1"/>
    <n v="2"/>
    <n v="2"/>
    <n v="8"/>
    <n v="8"/>
  </r>
  <r>
    <x v="3"/>
    <x v="91"/>
    <d v="2026-04-17T00:00:00"/>
    <s v="2ND"/>
    <d v="1899-12-30T15:00:00"/>
    <n v="1"/>
    <x v="1"/>
    <n v="1.6799999999999999E-2"/>
    <s v="P"/>
    <s v="P"/>
    <s v="P"/>
    <s v="+"/>
    <s v="+"/>
    <n v="11.62"/>
    <n v="12.09"/>
    <n v="0.48"/>
    <s v="-"/>
    <s v="-"/>
    <s v="-"/>
    <n v="33.799999999999997"/>
    <s v="-"/>
    <s v="-"/>
    <s v="P"/>
    <s v="P"/>
    <s v="95% 5%"/>
    <n v="2"/>
    <n v="1"/>
    <n v="2"/>
    <n v="0"/>
    <n v="1"/>
    <n v="2"/>
    <s v="-"/>
    <s v="-"/>
    <s v="-"/>
    <n v="2"/>
    <s v="-"/>
    <n v="10"/>
    <n v="11"/>
    <s v="-"/>
    <n v="1"/>
    <n v="1"/>
    <n v="2"/>
    <n v="2"/>
    <n v="12"/>
    <n v="13"/>
  </r>
  <r>
    <x v="3"/>
    <x v="91"/>
    <d v="2026-04-17T00:00:00"/>
    <s v="2ND"/>
    <d v="1899-12-30T16:00:00"/>
    <n v="1"/>
    <x v="1"/>
    <n v="1.24E-2"/>
    <s v="P"/>
    <s v="P"/>
    <s v="P"/>
    <s v="+"/>
    <s v="+"/>
    <n v="12.25"/>
    <s v="-"/>
    <s v="-"/>
    <s v="-"/>
    <s v="-"/>
    <s v="-"/>
    <s v="-"/>
    <s v="-"/>
    <s v="-"/>
    <s v="P"/>
    <s v="P"/>
    <s v="-"/>
    <n v="2"/>
    <n v="1"/>
    <n v="2"/>
    <n v="1"/>
    <s v="-"/>
    <s v="-"/>
    <s v="-"/>
    <s v="-"/>
    <s v="-"/>
    <s v="-"/>
    <s v="-"/>
    <n v="6"/>
    <n v="6"/>
    <s v="-"/>
    <n v="1"/>
    <n v="1"/>
    <n v="2"/>
    <n v="2"/>
    <n v="8"/>
    <n v="8"/>
  </r>
  <r>
    <x v="3"/>
    <x v="91"/>
    <d v="2026-04-17T00:00:00"/>
    <s v="2ND"/>
    <d v="1899-12-30T17:00:00"/>
    <n v="1"/>
    <x v="1"/>
    <n v="1.7500000000000002E-2"/>
    <s v="P"/>
    <s v="P"/>
    <s v="P"/>
    <s v="+"/>
    <s v="+"/>
    <n v="12.24"/>
    <s v="-"/>
    <s v="-"/>
    <s v="-"/>
    <s v="-"/>
    <s v="-"/>
    <s v="-"/>
    <s v="-"/>
    <s v="-"/>
    <s v="P"/>
    <s v="P"/>
    <s v="-"/>
    <n v="2"/>
    <n v="1"/>
    <n v="2"/>
    <n v="1"/>
    <s v="-"/>
    <s v="-"/>
    <s v="-"/>
    <s v="-"/>
    <s v="-"/>
    <s v="-"/>
    <s v="-"/>
    <n v="6"/>
    <n v="6"/>
    <s v="-"/>
    <n v="1"/>
    <n v="1"/>
    <n v="2"/>
    <n v="2"/>
    <n v="8"/>
    <n v="8"/>
  </r>
  <r>
    <x v="3"/>
    <x v="91"/>
    <d v="1902-03-26T00:00:00"/>
    <s v="2ND"/>
    <d v="1899-12-30T14:00:00"/>
    <n v="2"/>
    <x v="1"/>
    <n v="1.1299999999999999E-2"/>
    <s v="P"/>
    <s v="P"/>
    <s v="P"/>
    <s v="+"/>
    <s v="+"/>
    <n v="12.11"/>
    <n v="12.14"/>
    <n v="0.48"/>
    <s v="-"/>
    <s v="-"/>
    <s v="-"/>
    <n v="33.799999999999997"/>
    <s v="-"/>
    <s v="-"/>
    <s v="P"/>
    <s v="P"/>
    <s v="-"/>
    <n v="2"/>
    <n v="1"/>
    <n v="2"/>
    <n v="1"/>
    <n v="1"/>
    <n v="2"/>
    <s v="-"/>
    <s v="-"/>
    <s v="-"/>
    <n v="2"/>
    <s v="-"/>
    <n v="11"/>
    <n v="11"/>
    <s v="-"/>
    <n v="1"/>
    <n v="1"/>
    <n v="2"/>
    <n v="2"/>
    <n v="13"/>
    <n v="13"/>
  </r>
  <r>
    <x v="3"/>
    <x v="91"/>
    <d v="1899-12-30T00:00:00"/>
    <s v="2ND"/>
    <d v="1899-12-30T16:00:00"/>
    <n v="2"/>
    <x v="1"/>
    <n v="1.8599999999999998E-2"/>
    <s v="P"/>
    <s v="P"/>
    <s v="P"/>
    <s v="+"/>
    <s v="+"/>
    <n v="11.82"/>
    <s v="-"/>
    <s v="-"/>
    <s v="-"/>
    <s v="-"/>
    <s v="-"/>
    <s v="-"/>
    <s v="-"/>
    <s v="-"/>
    <s v="P"/>
    <s v="P"/>
    <s v="-"/>
    <n v="2"/>
    <n v="1"/>
    <n v="2"/>
    <n v="0"/>
    <s v="-"/>
    <s v="-"/>
    <s v="-"/>
    <s v="-"/>
    <s v="-"/>
    <s v="-"/>
    <s v="-"/>
    <n v="5"/>
    <n v="6"/>
    <s v="-"/>
    <n v="1"/>
    <n v="1"/>
    <n v="2"/>
    <n v="2"/>
    <n v="7"/>
    <n v="8"/>
  </r>
  <r>
    <x v="3"/>
    <x v="91"/>
    <d v="1899-12-30T00:00:00"/>
    <s v="2ND"/>
    <d v="1899-12-30T17:00:00"/>
    <n v="2"/>
    <x v="1"/>
    <n v="1.6400000000000001E-2"/>
    <s v="P"/>
    <s v="P"/>
    <s v="P"/>
    <s v="+"/>
    <s v="+"/>
    <n v="11.94"/>
    <s v="-"/>
    <s v="-"/>
    <s v="-"/>
    <s v="-"/>
    <s v="-"/>
    <s v="-"/>
    <s v="-"/>
    <s v="-"/>
    <s v="P"/>
    <s v="P"/>
    <s v="-"/>
    <n v="2"/>
    <n v="1"/>
    <n v="2"/>
    <n v="0"/>
    <s v="-"/>
    <s v="-"/>
    <s v="-"/>
    <s v="-"/>
    <s v="-"/>
    <s v="-"/>
    <s v="-"/>
    <n v="5"/>
    <n v="6"/>
    <s v="-"/>
    <n v="1"/>
    <n v="1"/>
    <n v="2"/>
    <n v="2"/>
    <n v="7"/>
    <n v="8"/>
  </r>
  <r>
    <x v="3"/>
    <x v="91"/>
    <d v="1899-12-30T00:00:00"/>
    <s v="2ND"/>
    <d v="1899-12-30T19:00:00"/>
    <n v="2"/>
    <x v="1"/>
    <n v="1.8700000000000001E-2"/>
    <s v="P"/>
    <s v="P"/>
    <s v="P"/>
    <s v="+"/>
    <s v="+"/>
    <n v="12.11"/>
    <s v="-"/>
    <s v="-"/>
    <s v="-"/>
    <s v="-"/>
    <s v="-"/>
    <s v="-"/>
    <s v="-"/>
    <s v="-"/>
    <s v="P"/>
    <s v="P"/>
    <s v="-"/>
    <n v="2"/>
    <n v="1"/>
    <n v="2"/>
    <n v="1"/>
    <s v="-"/>
    <s v="-"/>
    <s v="-"/>
    <s v="-"/>
    <s v="-"/>
    <s v="-"/>
    <s v="-"/>
    <n v="6"/>
    <n v="6"/>
    <s v="-"/>
    <n v="1"/>
    <n v="1"/>
    <n v="2"/>
    <n v="2"/>
    <n v="8"/>
    <n v="8"/>
  </r>
  <r>
    <x v="3"/>
    <x v="91"/>
    <d v="1899-12-30T00:00:00"/>
    <s v="2ND"/>
    <d v="1899-12-30T20:00:00"/>
    <n v="2"/>
    <x v="1"/>
    <n v="1.61E-2"/>
    <s v="P"/>
    <s v="P"/>
    <s v="P"/>
    <s v="+"/>
    <s v="+"/>
    <n v="12.28"/>
    <s v="-"/>
    <s v="-"/>
    <s v="-"/>
    <s v="-"/>
    <s v="-"/>
    <s v="-"/>
    <s v="-"/>
    <s v="-"/>
    <s v="P"/>
    <s v="P"/>
    <s v="-"/>
    <n v="2"/>
    <n v="1"/>
    <n v="2"/>
    <n v="1"/>
    <s v="-"/>
    <s v="-"/>
    <s v="-"/>
    <s v="-"/>
    <s v="-"/>
    <s v="-"/>
    <s v="-"/>
    <n v="6"/>
    <n v="6"/>
    <s v="-"/>
    <n v="1"/>
    <n v="1"/>
    <n v="2"/>
    <n v="2"/>
    <n v="8"/>
    <n v="8"/>
  </r>
  <r>
    <x v="3"/>
    <x v="91"/>
    <d v="2026-04-12T00:00:00"/>
    <s v="2ND"/>
    <d v="1899-12-30T16:00:00"/>
    <n v="3"/>
    <x v="16"/>
    <n v="1.7600000000000001E-2"/>
    <s v="P"/>
    <s v="P"/>
    <s v="P"/>
    <s v="+"/>
    <s v="+"/>
    <n v="11.99"/>
    <n v="12.75"/>
    <n v="0.61"/>
    <s v="-"/>
    <s v="-"/>
    <s v="-"/>
    <n v="35.4"/>
    <s v="-"/>
    <s v="-"/>
    <s v="P"/>
    <s v="P"/>
    <n v="1"/>
    <n v="2"/>
    <n v="1"/>
    <n v="2"/>
    <n v="0"/>
    <n v="1"/>
    <n v="0"/>
    <s v="-"/>
    <s v="-"/>
    <s v="-"/>
    <n v="2"/>
    <s v="-"/>
    <n v="8"/>
    <n v="11"/>
    <s v="-"/>
    <n v="1"/>
    <n v="1"/>
    <n v="2"/>
    <n v="2"/>
    <n v="10"/>
    <n v="13"/>
  </r>
  <r>
    <x v="3"/>
    <x v="91"/>
    <d v="2026-04-12T00:00:00"/>
    <s v="2ND"/>
    <d v="1899-12-30T17:00:00"/>
    <n v="3"/>
    <x v="16"/>
    <s v="-"/>
    <s v="P"/>
    <s v="P"/>
    <s v="P"/>
    <s v="+"/>
    <s v="+"/>
    <n v="13.04"/>
    <s v="-"/>
    <s v="-"/>
    <s v="-"/>
    <s v="-"/>
    <s v="-"/>
    <s v="-"/>
    <s v="-"/>
    <s v="-"/>
    <s v="P"/>
    <s v="P"/>
    <s v="-"/>
    <s v="-"/>
    <n v="1"/>
    <n v="2"/>
    <n v="1"/>
    <s v="-"/>
    <s v="-"/>
    <s v="-"/>
    <s v="-"/>
    <s v="-"/>
    <s v="-"/>
    <s v="-"/>
    <n v="4"/>
    <n v="4"/>
    <s v="-"/>
    <n v="1"/>
    <n v="1"/>
    <n v="2"/>
    <n v="2"/>
    <n v="6"/>
    <n v="6"/>
  </r>
  <r>
    <x v="3"/>
    <x v="91"/>
    <s v="-"/>
    <s v="3RD"/>
    <d v="1899-12-30T22:00:00"/>
    <n v="1"/>
    <x v="1"/>
    <n v="1.1599999999999999E-2"/>
    <s v="P"/>
    <s v="P"/>
    <s v="P"/>
    <s v="+"/>
    <s v="+"/>
    <n v="12.28"/>
    <n v="12.4"/>
    <s v="-"/>
    <s v="-"/>
    <s v="-"/>
    <s v="-"/>
    <n v="34.6"/>
    <s v="-"/>
    <n v="25.19"/>
    <s v="P"/>
    <s v="P"/>
    <s v="95% 5%"/>
    <n v="2"/>
    <n v="1"/>
    <n v="2"/>
    <n v="1"/>
    <n v="1"/>
    <s v="-"/>
    <s v="-"/>
    <s v="-"/>
    <s v="-"/>
    <n v="2"/>
    <s v="-"/>
    <n v="9"/>
    <n v="9"/>
    <n v="1"/>
    <n v="1"/>
    <n v="1"/>
    <n v="3"/>
    <n v="3"/>
    <n v="12"/>
    <n v="12"/>
  </r>
  <r>
    <x v="3"/>
    <x v="91"/>
    <d v="1899-12-30T00:00:00"/>
    <s v="3RD"/>
    <d v="1899-12-30T23:00:00"/>
    <n v="1"/>
    <x v="1"/>
    <s v="-"/>
    <s v="-"/>
    <s v="-"/>
    <s v="-"/>
    <s v="-"/>
    <s v="-"/>
    <s v="-"/>
    <s v="-"/>
    <s v="-"/>
    <s v="-"/>
    <s v="-"/>
    <s v="-"/>
    <s v="-"/>
    <s v="-"/>
    <s v="-"/>
    <s v="-"/>
    <s v="-"/>
    <s v="-"/>
    <s v="-"/>
    <s v="-"/>
    <s v="-"/>
    <s v="-"/>
    <s v="-"/>
    <s v="-"/>
    <s v="-"/>
    <s v="-"/>
    <s v="-"/>
    <s v="-"/>
    <s v="-"/>
    <n v="0"/>
    <n v="0"/>
    <s v="-"/>
    <s v="-"/>
    <s v="-"/>
    <n v="0"/>
    <n v="0"/>
    <n v="0"/>
    <n v="0"/>
  </r>
  <r>
    <x v="3"/>
    <x v="91"/>
    <d v="2026-04-17T00:00:00"/>
    <s v="3RD"/>
    <d v="1899-12-31T00:00:00"/>
    <n v="1"/>
    <x v="1"/>
    <n v="1.09E-2"/>
    <s v="P"/>
    <s v="P"/>
    <s v="P"/>
    <s v="+"/>
    <s v="+"/>
    <n v="12.28"/>
    <s v="-"/>
    <s v="-"/>
    <s v="-"/>
    <s v="-"/>
    <s v="-"/>
    <s v="-"/>
    <s v="-"/>
    <s v="-"/>
    <s v="P"/>
    <s v="P"/>
    <s v="-"/>
    <n v="2"/>
    <n v="1"/>
    <n v="2"/>
    <n v="1"/>
    <s v="-"/>
    <s v="-"/>
    <s v="-"/>
    <s v="-"/>
    <s v="-"/>
    <s v="-"/>
    <s v="-"/>
    <n v="6"/>
    <n v="6"/>
    <s v="-"/>
    <n v="1"/>
    <n v="1"/>
    <n v="2"/>
    <n v="2"/>
    <n v="8"/>
    <n v="8"/>
  </r>
  <r>
    <x v="3"/>
    <x v="91"/>
    <d v="1899-12-30T00:00:00"/>
    <s v="3RD"/>
    <d v="1899-12-31T01:00:00"/>
    <n v="1"/>
    <x v="1"/>
    <s v="-"/>
    <s v="-"/>
    <s v="-"/>
    <s v="-"/>
    <s v="-"/>
    <s v="-"/>
    <s v="-"/>
    <s v="-"/>
    <s v="-"/>
    <s v="-"/>
    <s v="-"/>
    <s v="-"/>
    <s v="-"/>
    <s v="-"/>
    <s v="-"/>
    <s v="-"/>
    <s v="-"/>
    <s v="-"/>
    <s v="-"/>
    <s v="-"/>
    <s v="-"/>
    <s v="-"/>
    <s v="-"/>
    <s v="-"/>
    <s v="-"/>
    <s v="-"/>
    <s v="-"/>
    <s v="-"/>
    <s v="-"/>
    <n v="0"/>
    <n v="0"/>
    <s v="-"/>
    <s v="-"/>
    <s v="-"/>
    <n v="0"/>
    <n v="0"/>
    <n v="0"/>
    <n v="0"/>
  </r>
  <r>
    <x v="3"/>
    <x v="91"/>
    <d v="2026-04-17T00:00:00"/>
    <s v="3RD"/>
    <d v="1899-12-31T02:00:00"/>
    <n v="1"/>
    <x v="1"/>
    <n v="1.11E-2"/>
    <s v="P"/>
    <s v="P"/>
    <s v="P"/>
    <s v="+"/>
    <s v="+"/>
    <n v="12.51"/>
    <s v="-"/>
    <s v="-"/>
    <s v="-"/>
    <s v="-"/>
    <s v="-"/>
    <s v="-"/>
    <s v="-"/>
    <s v="-"/>
    <s v="P"/>
    <s v="P"/>
    <s v="-"/>
    <n v="2"/>
    <n v="1"/>
    <n v="2"/>
    <n v="1"/>
    <s v="-"/>
    <s v="-"/>
    <s v="-"/>
    <s v="-"/>
    <s v="-"/>
    <s v="-"/>
    <s v="-"/>
    <n v="6"/>
    <n v="6"/>
    <s v="-"/>
    <n v="1"/>
    <n v="1"/>
    <n v="2"/>
    <n v="2"/>
    <n v="8"/>
    <n v="8"/>
  </r>
  <r>
    <x v="3"/>
    <x v="91"/>
    <d v="1899-12-30T00:00:00"/>
    <s v="3RD"/>
    <d v="1899-12-30T22:00:00"/>
    <n v="2"/>
    <x v="1"/>
    <n v="1.34E-2"/>
    <s v="P"/>
    <s v="P"/>
    <s v="P"/>
    <s v="+"/>
    <s v="+"/>
    <n v="11.93"/>
    <n v="12.31"/>
    <s v="-"/>
    <s v="-"/>
    <s v="-"/>
    <s v="-"/>
    <n v="34.4"/>
    <s v="-"/>
    <n v="25.19"/>
    <s v="P"/>
    <s v="P"/>
    <s v="-"/>
    <n v="2"/>
    <n v="1"/>
    <n v="2"/>
    <n v="0"/>
    <n v="1"/>
    <s v="-"/>
    <s v="-"/>
    <s v="-"/>
    <s v="-"/>
    <n v="2"/>
    <s v="-"/>
    <n v="8"/>
    <n v="9"/>
    <n v="1"/>
    <n v="1"/>
    <n v="1"/>
    <n v="3"/>
    <n v="3"/>
    <n v="11"/>
    <n v="12"/>
  </r>
  <r>
    <x v="3"/>
    <x v="91"/>
    <d v="1899-12-30T00:00:00"/>
    <s v="3RD"/>
    <d v="1899-12-30T23:00:00"/>
    <n v="2"/>
    <x v="1"/>
    <s v="-"/>
    <s v="-"/>
    <s v="-"/>
    <s v="-"/>
    <s v="-"/>
    <s v="-"/>
    <s v="-"/>
    <s v="-"/>
    <s v="-"/>
    <s v="-"/>
    <s v="-"/>
    <s v="-"/>
    <s v="-"/>
    <s v="-"/>
    <s v="-"/>
    <s v="-"/>
    <s v="-"/>
    <s v="-"/>
    <s v="-"/>
    <s v="-"/>
    <s v="-"/>
    <s v="-"/>
    <s v="-"/>
    <s v="-"/>
    <s v="-"/>
    <s v="-"/>
    <s v="-"/>
    <s v="-"/>
    <s v="-"/>
    <n v="0"/>
    <n v="0"/>
    <s v="-"/>
    <s v="-"/>
    <s v="-"/>
    <n v="0"/>
    <n v="0"/>
    <n v="0"/>
    <n v="0"/>
  </r>
  <r>
    <x v="3"/>
    <x v="91"/>
    <d v="1899-12-30T00:00:00"/>
    <s v="3RD"/>
    <d v="1899-12-31T00:00:00"/>
    <n v="2"/>
    <x v="1"/>
    <n v="1.9E-2"/>
    <s v="P"/>
    <s v="P"/>
    <s v="P"/>
    <s v="+"/>
    <s v="+"/>
    <n v="12.04"/>
    <s v="-"/>
    <s v="-"/>
    <s v="-"/>
    <s v="-"/>
    <s v="-"/>
    <s v="-"/>
    <s v="-"/>
    <s v="-"/>
    <s v="P"/>
    <s v="P"/>
    <s v="-"/>
    <n v="2"/>
    <n v="1"/>
    <n v="2"/>
    <n v="1"/>
    <s v="-"/>
    <s v="-"/>
    <s v="-"/>
    <s v="-"/>
    <s v="-"/>
    <s v="-"/>
    <s v="-"/>
    <n v="6"/>
    <n v="6"/>
    <s v="-"/>
    <n v="1"/>
    <n v="1"/>
    <n v="2"/>
    <n v="2"/>
    <n v="8"/>
    <n v="8"/>
  </r>
  <r>
    <x v="3"/>
    <x v="91"/>
    <d v="1899-12-30T00:00:00"/>
    <s v="3RD"/>
    <d v="1899-12-31T01:00:00"/>
    <n v="2"/>
    <x v="1"/>
    <n v="1.5699999999999999E-2"/>
    <s v="P"/>
    <s v="P"/>
    <s v="P"/>
    <s v="+"/>
    <s v="+"/>
    <n v="12.01"/>
    <s v="-"/>
    <s v="-"/>
    <s v="-"/>
    <s v="-"/>
    <s v="-"/>
    <s v="-"/>
    <s v="-"/>
    <s v="-"/>
    <s v="P"/>
    <s v="P"/>
    <s v="-"/>
    <n v="2"/>
    <n v="1"/>
    <n v="2"/>
    <n v="1"/>
    <s v="-"/>
    <s v="-"/>
    <s v="-"/>
    <s v="-"/>
    <s v="-"/>
    <s v="-"/>
    <s v="-"/>
    <n v="6"/>
    <n v="6"/>
    <s v="-"/>
    <n v="1"/>
    <n v="1"/>
    <n v="2"/>
    <n v="2"/>
    <n v="8"/>
    <n v="8"/>
  </r>
  <r>
    <x v="3"/>
    <x v="91"/>
    <d v="1899-12-30T00:00:00"/>
    <s v="3RD"/>
    <d v="1899-12-31T02:00:00"/>
    <n v="2"/>
    <x v="1"/>
    <n v="1.43E-2"/>
    <s v="P"/>
    <s v="P"/>
    <s v="P"/>
    <s v="+"/>
    <s v="+"/>
    <n v="11.71"/>
    <s v="-"/>
    <s v="-"/>
    <s v="-"/>
    <s v="-"/>
    <s v="-"/>
    <s v="-"/>
    <s v="-"/>
    <s v="-"/>
    <s v="P"/>
    <s v="P"/>
    <s v="-"/>
    <n v="2"/>
    <n v="1"/>
    <n v="2"/>
    <n v="0"/>
    <s v="-"/>
    <s v="-"/>
    <s v="-"/>
    <s v="-"/>
    <s v="-"/>
    <s v="-"/>
    <s v="-"/>
    <n v="5"/>
    <n v="6"/>
    <s v="-"/>
    <n v="1"/>
    <n v="1"/>
    <n v="2"/>
    <n v="2"/>
    <n v="7"/>
    <n v="8"/>
  </r>
  <r>
    <x v="3"/>
    <x v="91"/>
    <d v="2026-04-12T00:00:00"/>
    <s v="3RD"/>
    <d v="1899-12-30T22:00:00"/>
    <n v="3"/>
    <x v="16"/>
    <n v="1.06E-2"/>
    <s v="P"/>
    <s v="P"/>
    <s v="P"/>
    <s v="+"/>
    <s v="+"/>
    <n v="12.87"/>
    <n v="12.08"/>
    <s v="-"/>
    <s v="-"/>
    <s v="-"/>
    <s v="-"/>
    <n v="33.5"/>
    <s v="-"/>
    <s v="-"/>
    <s v="P"/>
    <s v="P"/>
    <n v="1"/>
    <n v="2"/>
    <n v="1"/>
    <n v="2"/>
    <n v="1"/>
    <n v="1"/>
    <s v="-"/>
    <s v="-"/>
    <s v="-"/>
    <s v="-"/>
    <n v="2"/>
    <s v="-"/>
    <n v="9"/>
    <n v="9"/>
    <s v="-"/>
    <n v="1"/>
    <n v="1"/>
    <n v="2"/>
    <n v="2"/>
    <n v="11"/>
    <n v="11"/>
  </r>
  <r>
    <x v="3"/>
    <x v="91"/>
    <d v="1899-12-30T00:00:00"/>
    <s v="3RD"/>
    <d v="1899-12-30T23:00:00"/>
    <n v="3"/>
    <x v="16"/>
    <s v="-"/>
    <s v="-"/>
    <s v="-"/>
    <s v="-"/>
    <s v="-"/>
    <s v="-"/>
    <s v="-"/>
    <s v="-"/>
    <s v="-"/>
    <s v="-"/>
    <s v="-"/>
    <s v="-"/>
    <s v="-"/>
    <s v="-"/>
    <s v="-"/>
    <s v="-"/>
    <s v="-"/>
    <s v="-"/>
    <s v="-"/>
    <s v="-"/>
    <s v="-"/>
    <s v="-"/>
    <s v="-"/>
    <s v="-"/>
    <s v="-"/>
    <s v="-"/>
    <s v="-"/>
    <s v="-"/>
    <s v="-"/>
    <n v="0"/>
    <n v="0"/>
    <s v="-"/>
    <s v="-"/>
    <s v="-"/>
    <n v="0"/>
    <n v="0"/>
    <n v="0"/>
    <n v="0"/>
  </r>
  <r>
    <x v="3"/>
    <x v="91"/>
    <d v="2026-04-12T00:00:00"/>
    <s v="3RD"/>
    <d v="1899-12-31T00:00:00"/>
    <n v="3"/>
    <x v="16"/>
    <n v="1.5599999999999999E-2"/>
    <s v="P"/>
    <s v="P"/>
    <s v="P"/>
    <s v="+"/>
    <s v="+"/>
    <n v="12.82"/>
    <s v="-"/>
    <s v="-"/>
    <s v="-"/>
    <s v="-"/>
    <s v="-"/>
    <s v="-"/>
    <s v="-"/>
    <s v="-"/>
    <s v="P"/>
    <s v="P"/>
    <s v="-"/>
    <n v="2"/>
    <n v="1"/>
    <n v="2"/>
    <n v="1"/>
    <s v="-"/>
    <s v="-"/>
    <s v="-"/>
    <s v="-"/>
    <s v="-"/>
    <s v="-"/>
    <s v="-"/>
    <n v="6"/>
    <n v="6"/>
    <s v="-"/>
    <n v="1"/>
    <n v="1"/>
    <n v="2"/>
    <n v="2"/>
    <n v="8"/>
    <n v="8"/>
  </r>
  <r>
    <x v="3"/>
    <x v="91"/>
    <d v="2026-04-12T00:00:00"/>
    <s v="3RD"/>
    <d v="1899-12-31T01:00:00"/>
    <n v="3"/>
    <x v="16"/>
    <s v="-"/>
    <s v="P"/>
    <s v="P"/>
    <s v="P"/>
    <s v="+"/>
    <s v="+"/>
    <n v="12.52"/>
    <s v="-"/>
    <s v="-"/>
    <s v="-"/>
    <s v="-"/>
    <s v="-"/>
    <s v="-"/>
    <s v="-"/>
    <s v="-"/>
    <s v="P"/>
    <s v="P"/>
    <s v="-"/>
    <s v="-"/>
    <n v="1"/>
    <n v="2"/>
    <n v="1"/>
    <s v="-"/>
    <s v="-"/>
    <s v="-"/>
    <s v="-"/>
    <s v="-"/>
    <s v="-"/>
    <s v="-"/>
    <n v="4"/>
    <n v="4"/>
    <s v="-"/>
    <n v="1"/>
    <n v="1"/>
    <n v="2"/>
    <n v="2"/>
    <n v="6"/>
    <n v="6"/>
  </r>
  <r>
    <x v="3"/>
    <x v="91"/>
    <d v="2026-04-12T00:00:00"/>
    <s v="3RD"/>
    <d v="1899-12-31T02:00:00"/>
    <n v="3"/>
    <x v="16"/>
    <n v="1.5100000000000001E-2"/>
    <s v="P"/>
    <s v="P"/>
    <s v="P"/>
    <s v="+"/>
    <s v="+"/>
    <n v="12.95"/>
    <s v="-"/>
    <s v="-"/>
    <s v="-"/>
    <s v="-"/>
    <s v="-"/>
    <s v="-"/>
    <s v="-"/>
    <s v="-"/>
    <s v="P"/>
    <s v="P"/>
    <s v="-"/>
    <n v="2"/>
    <n v="1"/>
    <n v="2"/>
    <n v="1"/>
    <s v="-"/>
    <s v="-"/>
    <s v="-"/>
    <s v="-"/>
    <s v="-"/>
    <s v="-"/>
    <s v="-"/>
    <n v="6"/>
    <n v="6"/>
    <s v="-"/>
    <n v="1"/>
    <n v="1"/>
    <n v="2"/>
    <n v="2"/>
    <n v="8"/>
    <n v="8"/>
  </r>
  <r>
    <x v="3"/>
    <x v="91"/>
    <d v="2026-04-29T00:00:00"/>
    <s v="3RD"/>
    <d v="1899-12-31T03:00:00"/>
    <n v="3"/>
    <x v="11"/>
    <n v="1.7399999999999999E-2"/>
    <s v="P"/>
    <s v="P"/>
    <s v="P"/>
    <s v="+"/>
    <s v="+"/>
    <n v="12.07"/>
    <n v="12.99"/>
    <s v="-"/>
    <n v="66.099999999999994"/>
    <s v="-"/>
    <s v="-"/>
    <n v="36.5"/>
    <s v="-"/>
    <s v="-"/>
    <s v="P"/>
    <s v="P"/>
    <n v="1"/>
    <n v="2"/>
    <n v="1"/>
    <n v="2"/>
    <n v="1"/>
    <n v="1"/>
    <s v="-"/>
    <n v="2"/>
    <s v="-"/>
    <s v="-"/>
    <n v="2"/>
    <s v="-"/>
    <n v="11"/>
    <n v="11"/>
    <s v="-"/>
    <n v="1"/>
    <n v="1"/>
    <n v="2"/>
    <n v="2"/>
    <n v="13"/>
    <n v="13"/>
  </r>
  <r>
    <x v="4"/>
    <x v="92"/>
    <d v="1902-03-25T00:00:00"/>
    <s v="1ST"/>
    <s v="08:00"/>
    <n v="2"/>
    <x v="22"/>
    <n v="5.7000000000000002E-3"/>
    <s v="P"/>
    <s v="P"/>
    <s v="P"/>
    <s v="-"/>
    <s v="-"/>
    <n v="10.56"/>
    <n v="9.07"/>
    <n v="0.53"/>
    <n v="51"/>
    <n v="13"/>
    <s v="-"/>
    <n v="24.7"/>
    <s v="-"/>
    <s v="-"/>
    <s v="P"/>
    <s v="P"/>
    <s v="-"/>
    <n v="2"/>
    <n v="1"/>
    <n v="2"/>
    <n v="0"/>
    <n v="1"/>
    <n v="2"/>
    <n v="0"/>
    <s v="-"/>
    <s v="-"/>
    <n v="2"/>
    <s v="-"/>
    <n v="10"/>
    <n v="13"/>
    <s v="-"/>
    <n v="1"/>
    <n v="1"/>
    <n v="2"/>
    <n v="2"/>
    <n v="12"/>
    <n v="15"/>
  </r>
  <r>
    <x v="4"/>
    <x v="92"/>
    <d v="1899-12-30T00:00:00"/>
    <s v="1ST"/>
    <s v="11:00"/>
    <n v="2"/>
    <x v="22"/>
    <n v="8.3000000000000001E-3"/>
    <s v="P"/>
    <s v="P"/>
    <s v="P"/>
    <s v="-"/>
    <s v="-"/>
    <n v="10.43"/>
    <s v="-"/>
    <s v="-"/>
    <s v="-"/>
    <s v="-"/>
    <s v="-"/>
    <s v="-"/>
    <s v="-"/>
    <s v="-"/>
    <s v="P"/>
    <s v="P"/>
    <s v="-"/>
    <n v="2"/>
    <n v="1"/>
    <n v="2"/>
    <n v="0"/>
    <s v="-"/>
    <s v="-"/>
    <s v="-"/>
    <s v="-"/>
    <s v="-"/>
    <s v="-"/>
    <s v="-"/>
    <n v="5"/>
    <n v="6"/>
    <s v="-"/>
    <n v="1"/>
    <n v="1"/>
    <n v="2"/>
    <n v="2"/>
    <n v="7"/>
    <n v="8"/>
  </r>
  <r>
    <x v="4"/>
    <x v="92"/>
    <d v="1899-12-30T00:00:00"/>
    <s v="1ST"/>
    <s v="12:00"/>
    <n v="2"/>
    <x v="22"/>
    <n v="7.1000000000000004E-3"/>
    <s v="P"/>
    <s v="P"/>
    <s v="P"/>
    <s v="-"/>
    <s v="-"/>
    <n v="10.54"/>
    <s v="-"/>
    <s v="-"/>
    <s v="-"/>
    <s v="-"/>
    <s v="-"/>
    <s v="-"/>
    <s v="-"/>
    <s v="-"/>
    <s v="P"/>
    <s v="P"/>
    <s v="-"/>
    <n v="2"/>
    <n v="1"/>
    <n v="2"/>
    <n v="0"/>
    <s v="-"/>
    <s v="-"/>
    <s v="-"/>
    <s v="-"/>
    <s v="-"/>
    <s v="-"/>
    <s v="-"/>
    <n v="5"/>
    <n v="6"/>
    <s v="-"/>
    <n v="1"/>
    <n v="1"/>
    <n v="2"/>
    <n v="2"/>
    <n v="7"/>
    <n v="8"/>
  </r>
  <r>
    <x v="4"/>
    <x v="92"/>
    <d v="1899-12-30T00:00:00"/>
    <s v="1ST"/>
    <s v="13:00"/>
    <n v="2"/>
    <x v="22"/>
    <n v="9.2999999999999992E-3"/>
    <s v="P"/>
    <s v="P"/>
    <s v="P"/>
    <s v="-"/>
    <s v="-"/>
    <n v="10.61"/>
    <s v="-"/>
    <s v="-"/>
    <s v="-"/>
    <s v="-"/>
    <s v="-"/>
    <s v="-"/>
    <s v="-"/>
    <s v="-"/>
    <s v="P"/>
    <s v="P"/>
    <s v="-"/>
    <n v="2"/>
    <n v="1"/>
    <n v="2"/>
    <n v="0"/>
    <s v="-"/>
    <s v="-"/>
    <s v="-"/>
    <s v="-"/>
    <s v="-"/>
    <s v="-"/>
    <s v="-"/>
    <n v="5"/>
    <n v="6"/>
    <s v="-"/>
    <n v="1"/>
    <n v="1"/>
    <n v="2"/>
    <n v="2"/>
    <n v="7"/>
    <n v="8"/>
  </r>
  <r>
    <x v="4"/>
    <x v="92"/>
    <d v="2026-04-21T00:00:00"/>
    <s v="1ST"/>
    <s v="09:00"/>
    <n v="3"/>
    <x v="6"/>
    <n v="1.52E-2"/>
    <s v="P"/>
    <s v="P"/>
    <s v="P"/>
    <s v="+"/>
    <s v="+"/>
    <n v="11.99"/>
    <n v="12.03"/>
    <n v="0.56000000000000005"/>
    <n v="64.599999999999994"/>
    <n v="19.3"/>
    <s v="-"/>
    <n v="33.5"/>
    <s v="-"/>
    <s v="-"/>
    <s v="P"/>
    <s v="P"/>
    <s v="70% 20% 10%"/>
    <n v="2"/>
    <n v="1"/>
    <n v="2"/>
    <n v="0"/>
    <n v="1"/>
    <n v="2"/>
    <n v="2"/>
    <n v="1"/>
    <s v="-"/>
    <n v="2"/>
    <s v="-"/>
    <n v="13"/>
    <n v="14"/>
    <s v="-"/>
    <n v="1"/>
    <n v="1"/>
    <n v="2"/>
    <n v="2"/>
    <n v="15"/>
    <n v="16"/>
  </r>
  <r>
    <x v="4"/>
    <x v="92"/>
    <d v="2026-04-21T00:00:00"/>
    <s v="1ST"/>
    <s v="12:00"/>
    <n v="3"/>
    <x v="0"/>
    <n v="1.52E-2"/>
    <s v="P"/>
    <s v="P"/>
    <s v="P"/>
    <s v="+"/>
    <s v="+"/>
    <n v="12.17"/>
    <n v="12.27"/>
    <n v="0.54"/>
    <n v="63.7"/>
    <n v="15.3"/>
    <s v="-"/>
    <n v="34.200000000000003"/>
    <s v="-"/>
    <s v="-"/>
    <s v="P"/>
    <s v="P"/>
    <s v="85% 5% 10%"/>
    <n v="2"/>
    <n v="1"/>
    <n v="2"/>
    <n v="1"/>
    <n v="1"/>
    <n v="2"/>
    <n v="0"/>
    <n v="1"/>
    <s v="-"/>
    <n v="2"/>
    <s v="-"/>
    <n v="12"/>
    <n v="14"/>
    <s v="-"/>
    <n v="1"/>
    <n v="1"/>
    <n v="2"/>
    <n v="2"/>
    <n v="14"/>
    <n v="16"/>
  </r>
  <r>
    <x v="4"/>
    <x v="92"/>
    <d v="2026-04-21T00:00:00"/>
    <s v="1ST"/>
    <s v="13:00"/>
    <n v="3"/>
    <x v="1"/>
    <n v="1.0800000000000001E-2"/>
    <s v="P"/>
    <s v="P"/>
    <s v="P"/>
    <s v="+"/>
    <s v="+"/>
    <n v="12.76"/>
    <s v="-"/>
    <s v="-"/>
    <s v="-"/>
    <s v="-"/>
    <s v="-"/>
    <s v="-"/>
    <s v="-"/>
    <s v="-"/>
    <s v="P"/>
    <s v="P"/>
    <s v="-"/>
    <n v="2"/>
    <n v="1"/>
    <n v="2"/>
    <n v="1"/>
    <s v="-"/>
    <s v="-"/>
    <s v="-"/>
    <s v="-"/>
    <s v="-"/>
    <s v="-"/>
    <s v="-"/>
    <n v="6"/>
    <n v="6"/>
    <s v="-"/>
    <n v="1"/>
    <n v="1"/>
    <n v="2"/>
    <n v="2"/>
    <n v="8"/>
    <n v="8"/>
  </r>
  <r>
    <x v="4"/>
    <x v="92"/>
    <d v="1902-03-25T00:00:00"/>
    <s v="2ND"/>
    <d v="1899-12-30T15:00:00"/>
    <n v="2"/>
    <x v="22"/>
    <n v="1.7100000000000001E-2"/>
    <s v="P"/>
    <s v="P"/>
    <s v="P"/>
    <s v="-"/>
    <s v="-"/>
    <n v="10.57"/>
    <n v="8.34"/>
    <n v="0.53"/>
    <n v="56"/>
    <s v="-"/>
    <s v="-"/>
    <n v="22.4"/>
    <s v="-"/>
    <s v="-"/>
    <s v="P"/>
    <s v="P"/>
    <s v="-"/>
    <n v="2"/>
    <n v="1"/>
    <n v="2"/>
    <n v="0"/>
    <n v="0"/>
    <n v="2"/>
    <n v="2"/>
    <s v="-"/>
    <s v="-"/>
    <n v="2"/>
    <s v="-"/>
    <n v="11"/>
    <n v="13"/>
    <s v="-"/>
    <n v="1"/>
    <n v="1"/>
    <n v="2"/>
    <n v="2"/>
    <n v="13"/>
    <n v="15"/>
  </r>
  <r>
    <x v="4"/>
    <x v="92"/>
    <d v="1899-12-30T00:00:00"/>
    <s v="2ND"/>
    <d v="1899-12-30T16:00:00"/>
    <n v="2"/>
    <x v="22"/>
    <n v="1.8599999999999998E-2"/>
    <s v="P"/>
    <s v="P"/>
    <s v="P"/>
    <s v="-"/>
    <s v="-"/>
    <n v="10.48"/>
    <s v="-"/>
    <s v="-"/>
    <s v="-"/>
    <s v="-"/>
    <s v="-"/>
    <s v="-"/>
    <s v="-"/>
    <s v="-"/>
    <s v="P"/>
    <s v="P"/>
    <s v="-"/>
    <n v="2"/>
    <n v="1"/>
    <n v="2"/>
    <n v="0"/>
    <s v="-"/>
    <s v="-"/>
    <s v="-"/>
    <s v="-"/>
    <s v="-"/>
    <s v="-"/>
    <s v="-"/>
    <n v="5"/>
    <n v="6"/>
    <s v="-"/>
    <n v="1"/>
    <n v="1"/>
    <n v="2"/>
    <n v="2"/>
    <n v="7"/>
    <n v="8"/>
  </r>
  <r>
    <x v="4"/>
    <x v="92"/>
    <d v="1899-12-30T00:00:00"/>
    <s v="2ND"/>
    <d v="1899-12-30T18:00:00"/>
    <n v="2"/>
    <x v="22"/>
    <n v="1.5100000000000001E-2"/>
    <s v="P"/>
    <s v="P"/>
    <s v="P"/>
    <s v="-"/>
    <s v="-"/>
    <n v="10.57"/>
    <s v="-"/>
    <s v="-"/>
    <s v="-"/>
    <s v="-"/>
    <s v="-"/>
    <s v="-"/>
    <s v="-"/>
    <s v="-"/>
    <s v="P"/>
    <s v="P"/>
    <s v="-"/>
    <n v="2"/>
    <n v="1"/>
    <n v="2"/>
    <n v="0"/>
    <s v="-"/>
    <s v="-"/>
    <s v="-"/>
    <s v="-"/>
    <s v="-"/>
    <s v="-"/>
    <s v="-"/>
    <n v="5"/>
    <n v="6"/>
    <s v="-"/>
    <n v="1"/>
    <n v="1"/>
    <n v="2"/>
    <n v="2"/>
    <n v="7"/>
    <n v="8"/>
  </r>
  <r>
    <x v="4"/>
    <x v="92"/>
    <d v="1899-12-30T00:00:00"/>
    <s v="2ND"/>
    <d v="1899-12-30T20:00:00"/>
    <n v="2"/>
    <x v="22"/>
    <n v="1.4500000000000001E-2"/>
    <s v="P"/>
    <s v="P"/>
    <s v="P"/>
    <s v="-"/>
    <s v="-"/>
    <n v="10.42"/>
    <s v="-"/>
    <s v="-"/>
    <s v="-"/>
    <s v="-"/>
    <s v="-"/>
    <s v="-"/>
    <s v="-"/>
    <s v="-"/>
    <s v="P"/>
    <s v="P"/>
    <s v="-"/>
    <n v="2"/>
    <n v="1"/>
    <n v="2"/>
    <n v="0"/>
    <s v="-"/>
    <s v="-"/>
    <s v="-"/>
    <s v="-"/>
    <s v="-"/>
    <s v="-"/>
    <s v="-"/>
    <n v="5"/>
    <n v="6"/>
    <s v="-"/>
    <n v="1"/>
    <n v="1"/>
    <n v="2"/>
    <n v="2"/>
    <n v="7"/>
    <n v="8"/>
  </r>
  <r>
    <x v="4"/>
    <x v="92"/>
    <d v="1899-12-30T00:00:00"/>
    <s v="2ND"/>
    <d v="1899-12-30T21:00:00"/>
    <n v="2"/>
    <x v="22"/>
    <n v="2.07E-2"/>
    <s v="P"/>
    <s v="P"/>
    <s v="P"/>
    <s v="-"/>
    <s v="-"/>
    <n v="11.1"/>
    <s v="-"/>
    <s v="-"/>
    <s v="-"/>
    <s v="-"/>
    <s v="-"/>
    <s v="-"/>
    <s v="-"/>
    <s v="-"/>
    <s v="P"/>
    <s v="P"/>
    <s v="-"/>
    <n v="0"/>
    <n v="1"/>
    <n v="2"/>
    <n v="1"/>
    <s v="-"/>
    <s v="-"/>
    <s v="-"/>
    <s v="-"/>
    <s v="-"/>
    <s v="-"/>
    <s v="-"/>
    <n v="4"/>
    <n v="6"/>
    <s v="-"/>
    <n v="1"/>
    <n v="1"/>
    <n v="2"/>
    <n v="2"/>
    <n v="6"/>
    <n v="8"/>
  </r>
  <r>
    <x v="4"/>
    <x v="92"/>
    <d v="2026-04-21T00:00:00"/>
    <s v="2ND"/>
    <d v="1899-12-30T15:00:00"/>
    <n v="3"/>
    <x v="1"/>
    <n v="1.2999999999999999E-2"/>
    <s v="P"/>
    <s v="P"/>
    <s v="P"/>
    <s v="+"/>
    <s v="+"/>
    <n v="12.5"/>
    <n v="12.02"/>
    <n v="0.54"/>
    <n v="64.400000000000006"/>
    <s v="-"/>
    <s v="-"/>
    <n v="33.4"/>
    <s v="-"/>
    <s v="-"/>
    <s v="P"/>
    <s v="P"/>
    <s v="-"/>
    <n v="2"/>
    <n v="1"/>
    <n v="2"/>
    <n v="1"/>
    <n v="1"/>
    <n v="2"/>
    <n v="2"/>
    <s v="-"/>
    <s v="-"/>
    <n v="2"/>
    <s v="-"/>
    <n v="13"/>
    <n v="13"/>
    <s v="-"/>
    <n v="1"/>
    <n v="1"/>
    <n v="2"/>
    <n v="2"/>
    <n v="15"/>
    <n v="15"/>
  </r>
  <r>
    <x v="4"/>
    <x v="92"/>
    <d v="2026-04-21T00:00:00"/>
    <s v="2ND"/>
    <d v="1899-12-30T16:00:00"/>
    <n v="3"/>
    <x v="1"/>
    <n v="1.29E-2"/>
    <s v="P"/>
    <s v="P"/>
    <s v="P"/>
    <s v="+"/>
    <s v="+"/>
    <n v="12.9"/>
    <s v="-"/>
    <s v="-"/>
    <n v="64.900000000000006"/>
    <s v="-"/>
    <s v="-"/>
    <s v="-"/>
    <s v="-"/>
    <s v="-"/>
    <s v="P"/>
    <s v="P"/>
    <s v="-"/>
    <n v="2"/>
    <n v="1"/>
    <n v="2"/>
    <n v="1"/>
    <s v="-"/>
    <s v="-"/>
    <n v="2"/>
    <s v="-"/>
    <s v="-"/>
    <s v="-"/>
    <s v="-"/>
    <n v="8"/>
    <n v="8"/>
    <s v="-"/>
    <n v="1"/>
    <n v="1"/>
    <n v="2"/>
    <n v="2"/>
    <n v="10"/>
    <n v="10"/>
  </r>
  <r>
    <x v="4"/>
    <x v="92"/>
    <d v="2026-04-21T00:00:00"/>
    <s v="2ND"/>
    <d v="1899-12-30T18:00:00"/>
    <n v="3"/>
    <x v="1"/>
    <n v="1.17E-2"/>
    <s v="P"/>
    <s v="P"/>
    <s v="P"/>
    <s v="+"/>
    <s v="+"/>
    <n v="12.52"/>
    <s v="-"/>
    <s v="-"/>
    <s v="-"/>
    <s v="-"/>
    <s v="-"/>
    <s v="-"/>
    <s v="-"/>
    <s v="-"/>
    <s v="P"/>
    <s v="P"/>
    <s v="-"/>
    <n v="2"/>
    <n v="1"/>
    <n v="2"/>
    <n v="1"/>
    <s v="-"/>
    <s v="-"/>
    <s v="-"/>
    <s v="-"/>
    <s v="-"/>
    <s v="-"/>
    <s v="-"/>
    <n v="6"/>
    <n v="6"/>
    <s v="-"/>
    <n v="1"/>
    <n v="1"/>
    <n v="2"/>
    <n v="2"/>
    <n v="8"/>
    <n v="8"/>
  </r>
  <r>
    <x v="4"/>
    <x v="92"/>
    <d v="2026-04-28T00:00:00"/>
    <s v="3RD"/>
    <d v="1899-12-31T04:00:00"/>
    <n v="1"/>
    <x v="5"/>
    <n v="5.7999999999999996E-3"/>
    <s v="P"/>
    <s v="P"/>
    <s v="P"/>
    <s v="-"/>
    <s v="+"/>
    <n v="10.57"/>
    <n v="7.94"/>
    <n v="0.57999999999999996"/>
    <n v="55.9"/>
    <n v="12.7"/>
    <s v="-"/>
    <n v="21.2"/>
    <s v="-"/>
    <s v="-"/>
    <s v="P"/>
    <s v="P"/>
    <s v="-"/>
    <n v="2"/>
    <n v="1"/>
    <n v="2"/>
    <n v="0"/>
    <n v="0"/>
    <n v="0"/>
    <n v="2"/>
    <s v="-"/>
    <s v="-"/>
    <n v="2"/>
    <s v="-"/>
    <n v="9"/>
    <n v="13"/>
    <s v="-"/>
    <n v="1"/>
    <n v="1"/>
    <n v="2"/>
    <n v="2"/>
    <n v="11"/>
    <n v="15"/>
  </r>
  <r>
    <x v="4"/>
    <x v="92"/>
    <d v="1899-12-30T00:00:00"/>
    <s v="3RD"/>
    <d v="1899-12-30T22:00:00"/>
    <n v="2"/>
    <x v="22"/>
    <n v="1.0200000000000001E-2"/>
    <s v="P"/>
    <s v="P"/>
    <s v="P"/>
    <s v="-"/>
    <s v="-"/>
    <n v="11.1"/>
    <n v="9.1999999999999993"/>
    <s v="-"/>
    <s v="-"/>
    <s v="-"/>
    <s v="-"/>
    <n v="25"/>
    <s v="-"/>
    <s v="-"/>
    <s v="P"/>
    <s v="P"/>
    <s v="-"/>
    <n v="2"/>
    <n v="1"/>
    <n v="2"/>
    <n v="1"/>
    <n v="1"/>
    <s v="-"/>
    <s v="-"/>
    <s v="-"/>
    <s v="-"/>
    <n v="2"/>
    <s v="-"/>
    <n v="9"/>
    <n v="9"/>
    <s v="-"/>
    <n v="1"/>
    <n v="1"/>
    <n v="2"/>
    <n v="2"/>
    <n v="11"/>
    <n v="11"/>
  </r>
  <r>
    <x v="4"/>
    <x v="92"/>
    <d v="1899-12-30T00:00:00"/>
    <s v="3RD"/>
    <d v="1899-12-30T23:00:00"/>
    <n v="2"/>
    <x v="22"/>
    <n v="7.4999999999999997E-3"/>
    <s v="P"/>
    <s v="P"/>
    <s v="P"/>
    <s v="-"/>
    <s v="-"/>
    <n v="10.59"/>
    <s v="-"/>
    <s v="-"/>
    <s v="-"/>
    <s v="-"/>
    <s v="-"/>
    <s v="-"/>
    <s v="-"/>
    <s v="-"/>
    <s v="P"/>
    <s v="P"/>
    <s v="-"/>
    <n v="2"/>
    <n v="1"/>
    <n v="2"/>
    <n v="0"/>
    <s v="-"/>
    <s v="-"/>
    <s v="-"/>
    <s v="-"/>
    <s v="-"/>
    <s v="-"/>
    <s v="-"/>
    <n v="5"/>
    <n v="6"/>
    <s v="-"/>
    <n v="1"/>
    <n v="1"/>
    <n v="2"/>
    <n v="2"/>
    <n v="7"/>
    <n v="8"/>
  </r>
  <r>
    <x v="4"/>
    <x v="92"/>
    <d v="1899-12-30T00:00:00"/>
    <s v="3RD"/>
    <d v="1899-12-31T00:00:00"/>
    <n v="2"/>
    <x v="22"/>
    <n v="5.7999999999999996E-3"/>
    <s v="P"/>
    <s v="P"/>
    <s v="P"/>
    <s v="-"/>
    <s v="-"/>
    <n v="10.65"/>
    <s v="-"/>
    <s v="-"/>
    <s v="-"/>
    <s v="-"/>
    <s v="-"/>
    <s v="-"/>
    <s v="-"/>
    <s v="-"/>
    <s v="P"/>
    <s v="P"/>
    <s v="-"/>
    <n v="2"/>
    <n v="1"/>
    <n v="2"/>
    <n v="0"/>
    <s v="-"/>
    <s v="-"/>
    <s v="-"/>
    <s v="-"/>
    <s v="-"/>
    <s v="-"/>
    <s v="-"/>
    <n v="5"/>
    <n v="6"/>
    <s v="-"/>
    <n v="1"/>
    <n v="1"/>
    <n v="2"/>
    <n v="2"/>
    <n v="7"/>
    <n v="8"/>
  </r>
  <r>
    <x v="4"/>
    <x v="92"/>
    <d v="1899-12-30T00:00:00"/>
    <s v="3RD"/>
    <d v="1899-12-31T01:00:00"/>
    <n v="2"/>
    <x v="22"/>
    <n v="1.3100000000000001E-2"/>
    <s v="P"/>
    <s v="P"/>
    <s v="P"/>
    <s v="-"/>
    <s v="-"/>
    <n v="10.62"/>
    <s v="-"/>
    <s v="-"/>
    <s v="-"/>
    <s v="-"/>
    <s v="-"/>
    <s v="-"/>
    <s v="-"/>
    <s v="-"/>
    <s v="P"/>
    <s v="P"/>
    <s v="-"/>
    <n v="2"/>
    <n v="1"/>
    <n v="2"/>
    <n v="0"/>
    <s v="-"/>
    <s v="-"/>
    <s v="-"/>
    <s v="-"/>
    <s v="-"/>
    <s v="-"/>
    <s v="-"/>
    <n v="5"/>
    <n v="6"/>
    <s v="-"/>
    <n v="1"/>
    <n v="1"/>
    <n v="2"/>
    <n v="2"/>
    <n v="7"/>
    <n v="8"/>
  </r>
  <r>
    <x v="4"/>
    <x v="92"/>
    <d v="1899-12-30T00:00:00"/>
    <s v="3RD"/>
    <d v="1899-12-31T02:00:00"/>
    <n v="2"/>
    <x v="22"/>
    <n v="1.29E-2"/>
    <s v="P"/>
    <s v="P"/>
    <s v="P"/>
    <s v="-"/>
    <s v="-"/>
    <n v="10.57"/>
    <s v="-"/>
    <s v="-"/>
    <s v="-"/>
    <s v="-"/>
    <s v="-"/>
    <s v="-"/>
    <s v="-"/>
    <s v="-"/>
    <s v="P"/>
    <s v="P"/>
    <s v="-"/>
    <n v="2"/>
    <n v="1"/>
    <n v="2"/>
    <n v="0"/>
    <s v="-"/>
    <s v="-"/>
    <s v="-"/>
    <s v="-"/>
    <s v="-"/>
    <s v="-"/>
    <s v="-"/>
    <n v="5"/>
    <n v="6"/>
    <s v="-"/>
    <n v="1"/>
    <n v="1"/>
    <n v="2"/>
    <n v="2"/>
    <n v="7"/>
    <n v="8"/>
  </r>
  <r>
    <x v="4"/>
    <x v="92"/>
    <d v="1899-12-30T00:00:00"/>
    <s v="3RD"/>
    <d v="1899-12-31T03:00:00"/>
    <n v="2"/>
    <x v="22"/>
    <n v="8.6E-3"/>
    <s v="P"/>
    <s v="P"/>
    <s v="P"/>
    <s v="-"/>
    <s v="-"/>
    <n v="10.55"/>
    <s v="-"/>
    <s v="-"/>
    <s v="-"/>
    <s v="-"/>
    <s v="-"/>
    <s v="-"/>
    <s v="-"/>
    <s v="-"/>
    <s v="P"/>
    <s v="P"/>
    <s v="-"/>
    <n v="2"/>
    <n v="1"/>
    <n v="2"/>
    <n v="0"/>
    <s v="-"/>
    <s v="-"/>
    <s v="-"/>
    <s v="-"/>
    <s v="-"/>
    <s v="-"/>
    <s v="-"/>
    <n v="5"/>
    <n v="6"/>
    <s v="-"/>
    <n v="1"/>
    <n v="1"/>
    <n v="2"/>
    <n v="2"/>
    <n v="7"/>
    <n v="8"/>
  </r>
  <r>
    <x v="4"/>
    <x v="92"/>
    <d v="1899-12-30T00:00:00"/>
    <s v="3RD"/>
    <d v="1899-12-31T04:00:00"/>
    <n v="2"/>
    <x v="22"/>
    <n v="4.7000000000000002E-3"/>
    <s v="P"/>
    <s v="P"/>
    <s v="P"/>
    <s v="-"/>
    <s v="-"/>
    <n v="10.91"/>
    <s v="-"/>
    <s v="-"/>
    <s v="-"/>
    <s v="-"/>
    <s v="-"/>
    <s v="-"/>
    <s v="-"/>
    <s v="-"/>
    <s v="P"/>
    <s v="P"/>
    <s v="-"/>
    <n v="2"/>
    <n v="1"/>
    <n v="2"/>
    <n v="0"/>
    <s v="-"/>
    <s v="-"/>
    <s v="-"/>
    <s v="-"/>
    <s v="-"/>
    <s v="-"/>
    <s v="-"/>
    <n v="5"/>
    <n v="6"/>
    <s v="-"/>
    <n v="1"/>
    <n v="1"/>
    <n v="2"/>
    <n v="2"/>
    <n v="7"/>
    <n v="8"/>
  </r>
  <r>
    <x v="4"/>
    <x v="92"/>
    <d v="1899-12-30T00:00:00"/>
    <s v="3RD"/>
    <d v="1899-12-31T05:00:00"/>
    <n v="2"/>
    <x v="22"/>
    <n v="1.06E-2"/>
    <s v="P"/>
    <s v="P"/>
    <s v="P"/>
    <s v="-"/>
    <s v="-"/>
    <n v="10.81"/>
    <s v="-"/>
    <s v="-"/>
    <s v="-"/>
    <s v="-"/>
    <s v="-"/>
    <s v="-"/>
    <s v="-"/>
    <s v="-"/>
    <s v="P"/>
    <s v="P"/>
    <s v="-"/>
    <n v="2"/>
    <n v="1"/>
    <n v="2"/>
    <n v="0"/>
    <s v="-"/>
    <s v="-"/>
    <s v="-"/>
    <s v="-"/>
    <s v="-"/>
    <s v="-"/>
    <s v="-"/>
    <n v="5"/>
    <n v="6"/>
    <s v="-"/>
    <n v="1"/>
    <n v="1"/>
    <n v="2"/>
    <n v="2"/>
    <n v="7"/>
    <n v="8"/>
  </r>
  <r>
    <x v="4"/>
    <x v="92"/>
    <d v="2026-05-04T00:00:00"/>
    <s v="3RD"/>
    <d v="1899-12-31T03:00:00"/>
    <s v="Retail"/>
    <x v="9"/>
    <s v="-"/>
    <s v="-"/>
    <s v="-"/>
    <s v="-"/>
    <s v="-"/>
    <s v="-"/>
    <n v="9.6"/>
    <s v="-"/>
    <s v="-"/>
    <s v="-"/>
    <s v="-"/>
    <s v="-"/>
    <s v="-"/>
    <s v="-"/>
    <s v="-"/>
    <s v="-"/>
    <s v="-"/>
    <s v="-"/>
    <s v="-"/>
    <s v="-"/>
    <s v="-"/>
    <n v="0"/>
    <s v="-"/>
    <s v="-"/>
    <s v="-"/>
    <s v="-"/>
    <s v="-"/>
    <s v="-"/>
    <s v="-"/>
    <n v="0"/>
    <n v="1"/>
    <s v="-"/>
    <s v="-"/>
    <s v="-"/>
    <n v="0"/>
    <n v="0"/>
    <n v="0"/>
    <n v="1"/>
  </r>
  <r>
    <x v="4"/>
    <x v="93"/>
    <s v="-"/>
    <s v="1ST"/>
    <s v="06:00"/>
    <n v="1"/>
    <x v="4"/>
    <n v="1.1299999999999999E-2"/>
    <s v="P"/>
    <s v="P"/>
    <s v="P"/>
    <s v="-"/>
    <s v="+"/>
    <n v="10.59"/>
    <n v="7.94"/>
    <n v="0.57999999999999996"/>
    <n v="55.9"/>
    <s v="-"/>
    <s v="-"/>
    <n v="21.2"/>
    <s v="-"/>
    <s v="-"/>
    <s v="P"/>
    <s v="P"/>
    <n v="1"/>
    <n v="2"/>
    <n v="1"/>
    <n v="2"/>
    <n v="0"/>
    <n v="0"/>
    <n v="0"/>
    <n v="2"/>
    <s v="-"/>
    <s v="-"/>
    <n v="2"/>
    <s v="-"/>
    <n v="9"/>
    <n v="13"/>
    <s v="-"/>
    <n v="1"/>
    <n v="1"/>
    <n v="2"/>
    <n v="2"/>
    <n v="11"/>
    <n v="15"/>
  </r>
  <r>
    <x v="4"/>
    <x v="93"/>
    <d v="2026-04-28T00:00:00"/>
    <s v="1ST"/>
    <s v="07:00"/>
    <n v="1"/>
    <x v="4"/>
    <n v="9.2999999999999992E-3"/>
    <s v="P"/>
    <s v="P"/>
    <s v="P"/>
    <s v="-"/>
    <s v="+"/>
    <n v="10.33"/>
    <s v="-"/>
    <s v="-"/>
    <s v="-"/>
    <s v="-"/>
    <s v="-"/>
    <s v="-"/>
    <s v="-"/>
    <s v="-"/>
    <s v="P"/>
    <s v="P"/>
    <s v="-"/>
    <n v="2"/>
    <n v="1"/>
    <n v="2"/>
    <n v="0"/>
    <s v="-"/>
    <s v="-"/>
    <s v="-"/>
    <s v="-"/>
    <s v="-"/>
    <s v="-"/>
    <s v="-"/>
    <n v="5"/>
    <n v="6"/>
    <s v="-"/>
    <n v="1"/>
    <n v="1"/>
    <n v="2"/>
    <n v="2"/>
    <n v="7"/>
    <n v="8"/>
  </r>
  <r>
    <x v="4"/>
    <x v="93"/>
    <d v="2026-04-28T00:00:00"/>
    <s v="1ST"/>
    <s v="08:00"/>
    <n v="1"/>
    <x v="4"/>
    <n v="1.18E-2"/>
    <s v="P"/>
    <s v="P"/>
    <s v="P"/>
    <s v="-"/>
    <s v="+"/>
    <n v="10.38"/>
    <s v="-"/>
    <s v="-"/>
    <s v="-"/>
    <s v="-"/>
    <s v="-"/>
    <s v="-"/>
    <s v="-"/>
    <s v="-"/>
    <s v="P"/>
    <s v="P"/>
    <s v="-"/>
    <n v="2"/>
    <n v="1"/>
    <n v="2"/>
    <n v="0"/>
    <s v="-"/>
    <s v="-"/>
    <s v="-"/>
    <s v="-"/>
    <s v="-"/>
    <s v="-"/>
    <s v="-"/>
    <n v="5"/>
    <n v="6"/>
    <s v="-"/>
    <n v="1"/>
    <n v="1"/>
    <n v="2"/>
    <n v="2"/>
    <n v="7"/>
    <n v="8"/>
  </r>
  <r>
    <x v="4"/>
    <x v="93"/>
    <d v="2026-04-28T00:00:00"/>
    <s v="1ST"/>
    <s v="11:00"/>
    <n v="1"/>
    <x v="4"/>
    <n v="1.2500000000000001E-2"/>
    <s v="P"/>
    <s v="P"/>
    <s v="P"/>
    <s v="-"/>
    <s v="+"/>
    <n v="10.220000000000001"/>
    <s v="-"/>
    <s v="-"/>
    <s v="-"/>
    <s v="-"/>
    <s v="-"/>
    <s v="-"/>
    <s v="-"/>
    <s v="-"/>
    <s v="P"/>
    <s v="P"/>
    <s v="-"/>
    <n v="2"/>
    <n v="1"/>
    <n v="2"/>
    <n v="0"/>
    <s v="-"/>
    <s v="-"/>
    <s v="-"/>
    <s v="-"/>
    <s v="-"/>
    <s v="-"/>
    <s v="-"/>
    <n v="5"/>
    <n v="6"/>
    <s v="-"/>
    <n v="1"/>
    <n v="1"/>
    <n v="2"/>
    <n v="2"/>
    <n v="7"/>
    <n v="8"/>
  </r>
  <r>
    <x v="4"/>
    <x v="93"/>
    <d v="2026-04-28T00:00:00"/>
    <s v="1ST"/>
    <s v="13:00"/>
    <n v="1"/>
    <x v="4"/>
    <s v="-"/>
    <s v="P"/>
    <s v="P"/>
    <s v="P"/>
    <s v="-"/>
    <s v="+"/>
    <n v="10.3"/>
    <s v="-"/>
    <s v="-"/>
    <s v="-"/>
    <s v="-"/>
    <s v="-"/>
    <s v="-"/>
    <s v="-"/>
    <s v="-"/>
    <s v="P"/>
    <s v="P"/>
    <s v="-"/>
    <s v="-"/>
    <n v="1"/>
    <n v="2"/>
    <n v="0"/>
    <s v="-"/>
    <s v="-"/>
    <s v="-"/>
    <s v="-"/>
    <s v="-"/>
    <s v="-"/>
    <s v="-"/>
    <n v="3"/>
    <n v="4"/>
    <s v="-"/>
    <n v="1"/>
    <n v="1"/>
    <n v="2"/>
    <n v="2"/>
    <n v="5"/>
    <n v="6"/>
  </r>
  <r>
    <x v="4"/>
    <x v="93"/>
    <d v="1902-03-28T00:00:00"/>
    <s v="1ST"/>
    <s v="06:00"/>
    <n v="2"/>
    <x v="22"/>
    <s v="-"/>
    <s v="P"/>
    <s v="P"/>
    <s v="P"/>
    <s v="-"/>
    <s v="+"/>
    <n v="10.74"/>
    <n v="8.31"/>
    <n v="0.52"/>
    <n v="55.1"/>
    <s v="-"/>
    <s v="-"/>
    <n v="22.3"/>
    <s v="-"/>
    <s v="-"/>
    <s v="P"/>
    <s v="P"/>
    <s v="-"/>
    <s v="-"/>
    <n v="1"/>
    <n v="2"/>
    <n v="0"/>
    <n v="0"/>
    <n v="2"/>
    <n v="2"/>
    <s v="-"/>
    <s v="-"/>
    <n v="2"/>
    <s v="-"/>
    <n v="9"/>
    <n v="11"/>
    <s v="-"/>
    <n v="1"/>
    <n v="1"/>
    <n v="2"/>
    <n v="2"/>
    <n v="11"/>
    <n v="13"/>
  </r>
  <r>
    <x v="4"/>
    <x v="93"/>
    <d v="1899-12-30T00:00:00"/>
    <s v="1ST"/>
    <s v="07:00"/>
    <n v="2"/>
    <x v="22"/>
    <n v="1.5100000000000001E-2"/>
    <s v="P"/>
    <s v="P"/>
    <s v="P"/>
    <s v="-"/>
    <s v="+"/>
    <n v="10.36"/>
    <s v="-"/>
    <s v="-"/>
    <s v="-"/>
    <s v="-"/>
    <s v="-"/>
    <s v="-"/>
    <s v="-"/>
    <s v="-"/>
    <s v="P"/>
    <s v="P"/>
    <s v="-"/>
    <n v="2"/>
    <n v="1"/>
    <n v="2"/>
    <n v="0"/>
    <s v="-"/>
    <s v="-"/>
    <s v="-"/>
    <s v="-"/>
    <s v="-"/>
    <s v="-"/>
    <s v="-"/>
    <n v="5"/>
    <n v="6"/>
    <s v="-"/>
    <n v="1"/>
    <n v="1"/>
    <n v="2"/>
    <n v="2"/>
    <n v="7"/>
    <n v="8"/>
  </r>
  <r>
    <x v="4"/>
    <x v="93"/>
    <d v="1899-12-30T00:00:00"/>
    <s v="1ST"/>
    <s v="08:00"/>
    <n v="2"/>
    <x v="22"/>
    <n v="1.38E-2"/>
    <s v="P"/>
    <s v="P"/>
    <s v="P"/>
    <s v="-"/>
    <s v="+"/>
    <n v="10.53"/>
    <s v="-"/>
    <s v="-"/>
    <s v="-"/>
    <s v="-"/>
    <s v="-"/>
    <s v="-"/>
    <s v="-"/>
    <s v="-"/>
    <s v="P"/>
    <s v="P"/>
    <s v="-"/>
    <n v="2"/>
    <n v="1"/>
    <n v="2"/>
    <n v="0"/>
    <s v="-"/>
    <s v="-"/>
    <s v="-"/>
    <s v="-"/>
    <s v="-"/>
    <s v="-"/>
    <s v="-"/>
    <n v="5"/>
    <n v="6"/>
    <s v="-"/>
    <n v="1"/>
    <n v="1"/>
    <n v="2"/>
    <n v="2"/>
    <n v="7"/>
    <n v="8"/>
  </r>
  <r>
    <x v="4"/>
    <x v="93"/>
    <d v="1899-12-30T00:00:00"/>
    <s v="1ST"/>
    <s v="09:00"/>
    <n v="2"/>
    <x v="22"/>
    <n v="1.17E-2"/>
    <s v="P"/>
    <s v="P"/>
    <s v="P"/>
    <s v="-"/>
    <s v="+"/>
    <n v="10.75"/>
    <s v="-"/>
    <s v="-"/>
    <s v="-"/>
    <s v="-"/>
    <s v="-"/>
    <s v="-"/>
    <s v="-"/>
    <s v="-"/>
    <s v="P"/>
    <s v="P"/>
    <s v="-"/>
    <n v="2"/>
    <n v="1"/>
    <n v="2"/>
    <n v="0"/>
    <s v="-"/>
    <s v="-"/>
    <s v="-"/>
    <s v="-"/>
    <s v="-"/>
    <s v="-"/>
    <s v="-"/>
    <n v="5"/>
    <n v="6"/>
    <s v="-"/>
    <n v="1"/>
    <n v="1"/>
    <n v="2"/>
    <n v="2"/>
    <n v="7"/>
    <n v="8"/>
  </r>
  <r>
    <x v="4"/>
    <x v="93"/>
    <d v="1899-12-30T00:00:00"/>
    <s v="1ST"/>
    <s v="10:00"/>
    <n v="2"/>
    <x v="22"/>
    <n v="1.29E-2"/>
    <s v="P"/>
    <s v="P"/>
    <s v="P"/>
    <s v="-"/>
    <s v="+"/>
    <n v="10.24"/>
    <s v="-"/>
    <s v="-"/>
    <s v="-"/>
    <s v="-"/>
    <s v="-"/>
    <s v="-"/>
    <s v="-"/>
    <s v="-"/>
    <s v="P"/>
    <s v="P"/>
    <s v="-"/>
    <n v="2"/>
    <n v="1"/>
    <n v="2"/>
    <n v="0"/>
    <s v="-"/>
    <s v="-"/>
    <s v="-"/>
    <s v="-"/>
    <s v="-"/>
    <s v="-"/>
    <s v="-"/>
    <n v="5"/>
    <n v="6"/>
    <s v="-"/>
    <n v="1"/>
    <n v="1"/>
    <n v="2"/>
    <n v="2"/>
    <n v="7"/>
    <n v="8"/>
  </r>
  <r>
    <x v="4"/>
    <x v="93"/>
    <d v="1899-12-30T00:00:00"/>
    <s v="1ST"/>
    <s v="11:00"/>
    <n v="2"/>
    <x v="22"/>
    <n v="1.0699999999999999E-2"/>
    <s v="P"/>
    <s v="P"/>
    <s v="P"/>
    <s v="-"/>
    <s v="+"/>
    <n v="10.58"/>
    <s v="-"/>
    <s v="-"/>
    <s v="-"/>
    <s v="-"/>
    <s v="-"/>
    <s v="-"/>
    <s v="-"/>
    <s v="-"/>
    <s v="P"/>
    <s v="P"/>
    <s v="-"/>
    <n v="2"/>
    <n v="1"/>
    <n v="2"/>
    <n v="0"/>
    <s v="-"/>
    <s v="-"/>
    <s v="-"/>
    <s v="-"/>
    <s v="-"/>
    <s v="-"/>
    <s v="-"/>
    <n v="5"/>
    <n v="6"/>
    <s v="-"/>
    <n v="1"/>
    <n v="1"/>
    <n v="2"/>
    <n v="2"/>
    <n v="7"/>
    <n v="8"/>
  </r>
  <r>
    <x v="4"/>
    <x v="93"/>
    <d v="1899-12-30T00:00:00"/>
    <s v="1ST"/>
    <s v="13:00"/>
    <n v="2"/>
    <x v="22"/>
    <s v="-"/>
    <s v="P"/>
    <s v="P"/>
    <s v="P"/>
    <s v="-"/>
    <s v="+"/>
    <n v="10.58"/>
    <s v="-"/>
    <s v="-"/>
    <s v="-"/>
    <s v="-"/>
    <s v="-"/>
    <s v="-"/>
    <s v="-"/>
    <s v="-"/>
    <s v="P"/>
    <s v="P"/>
    <s v="-"/>
    <s v="-"/>
    <n v="1"/>
    <n v="2"/>
    <n v="0"/>
    <s v="-"/>
    <s v="-"/>
    <s v="-"/>
    <s v="-"/>
    <s v="-"/>
    <s v="-"/>
    <s v="-"/>
    <n v="3"/>
    <n v="4"/>
    <s v="-"/>
    <n v="1"/>
    <n v="1"/>
    <n v="2"/>
    <n v="2"/>
    <n v="5"/>
    <n v="6"/>
  </r>
  <r>
    <x v="4"/>
    <x v="93"/>
    <s v="-"/>
    <s v="2ND"/>
    <d v="1899-12-30T14:00:00"/>
    <n v="1"/>
    <x v="5"/>
    <n v="9.1000000000000004E-3"/>
    <s v="P"/>
    <s v="P"/>
    <s v="P"/>
    <s v="-"/>
    <s v="+"/>
    <n v="10.42"/>
    <n v="8.9"/>
    <n v="0.55000000000000004"/>
    <n v="56"/>
    <s v="-"/>
    <s v="-"/>
    <n v="24.2"/>
    <s v="-"/>
    <s v="-"/>
    <s v="P"/>
    <s v="P"/>
    <n v="1"/>
    <n v="2"/>
    <n v="1"/>
    <n v="2"/>
    <n v="0"/>
    <n v="1"/>
    <n v="2"/>
    <n v="2"/>
    <s v="-"/>
    <s v="-"/>
    <n v="2"/>
    <s v="-"/>
    <n v="12"/>
    <n v="13"/>
    <s v="-"/>
    <n v="1"/>
    <n v="1"/>
    <n v="2"/>
    <n v="2"/>
    <n v="14"/>
    <n v="15"/>
  </r>
  <r>
    <x v="4"/>
    <x v="93"/>
    <d v="2026-04-28T00:00:00"/>
    <s v="2ND"/>
    <d v="1899-12-30T16:00:00"/>
    <n v="1"/>
    <x v="21"/>
    <n v="1.29E-2"/>
    <s v="-"/>
    <s v="-"/>
    <s v="-"/>
    <s v="-"/>
    <s v="-"/>
    <s v="-"/>
    <s v="-"/>
    <s v="-"/>
    <s v="-"/>
    <s v="-"/>
    <s v="-"/>
    <s v="-"/>
    <s v="-"/>
    <s v="-"/>
    <s v="-"/>
    <s v="-"/>
    <s v="-"/>
    <n v="2"/>
    <s v="-"/>
    <s v="-"/>
    <s v="-"/>
    <s v="-"/>
    <s v="-"/>
    <s v="-"/>
    <s v="-"/>
    <s v="-"/>
    <s v="-"/>
    <s v="-"/>
    <n v="2"/>
    <n v="2"/>
    <s v="-"/>
    <s v="-"/>
    <s v="-"/>
    <n v="0"/>
    <n v="0"/>
    <n v="2"/>
    <n v="2"/>
  </r>
  <r>
    <x v="4"/>
    <x v="93"/>
    <d v="2026-04-28T00:00:00"/>
    <s v="2ND"/>
    <d v="1899-12-30T17:00:00"/>
    <n v="1"/>
    <x v="21"/>
    <n v="1.0999999999999999E-2"/>
    <s v="P"/>
    <s v="P"/>
    <s v="P"/>
    <s v="-"/>
    <s v="+"/>
    <n v="10.39"/>
    <n v="8.9"/>
    <n v="0.55000000000000004"/>
    <n v="56"/>
    <s v="-"/>
    <s v="-"/>
    <n v="24.2"/>
    <s v="-"/>
    <s v="-"/>
    <s v="P"/>
    <s v="P"/>
    <s v="-"/>
    <n v="2"/>
    <n v="1"/>
    <n v="2"/>
    <n v="0"/>
    <s v="-"/>
    <n v="2"/>
    <n v="2"/>
    <s v="-"/>
    <s v="-"/>
    <n v="2"/>
    <s v="-"/>
    <n v="11"/>
    <n v="12"/>
    <s v="-"/>
    <n v="1"/>
    <n v="1"/>
    <n v="2"/>
    <n v="2"/>
    <n v="13"/>
    <n v="14"/>
  </r>
  <r>
    <x v="4"/>
    <x v="93"/>
    <d v="1902-03-25T00:00:00"/>
    <s v="2ND"/>
    <d v="1899-12-30T14:00:00"/>
    <n v="2"/>
    <x v="22"/>
    <n v="1.35E-2"/>
    <s v="P"/>
    <s v="P"/>
    <s v="P"/>
    <s v="-"/>
    <s v="-"/>
    <n v="10.94"/>
    <n v="10.94"/>
    <n v="0.52"/>
    <n v="56.1"/>
    <s v="-"/>
    <s v="-"/>
    <n v="24.2"/>
    <s v="-"/>
    <s v="-"/>
    <s v="P"/>
    <s v="P"/>
    <s v="-"/>
    <n v="2"/>
    <n v="1"/>
    <n v="2"/>
    <n v="0"/>
    <n v="0"/>
    <n v="2"/>
    <n v="2"/>
    <s v="-"/>
    <s v="-"/>
    <n v="2"/>
    <s v="-"/>
    <n v="11"/>
    <n v="13"/>
    <s v="-"/>
    <n v="1"/>
    <n v="1"/>
    <n v="2"/>
    <n v="2"/>
    <n v="13"/>
    <n v="15"/>
  </r>
  <r>
    <x v="4"/>
    <x v="93"/>
    <s v="-"/>
    <s v="3RD"/>
    <d v="1899-12-30T22:00:00"/>
    <n v="1"/>
    <x v="21"/>
    <n v="1.2500000000000001E-2"/>
    <s v="P"/>
    <s v="P"/>
    <s v="P"/>
    <s v="-"/>
    <s v="+"/>
    <n v="10.81"/>
    <n v="9.0500000000000007"/>
    <s v="-"/>
    <s v="-"/>
    <s v="-"/>
    <s v="-"/>
    <n v="25.5"/>
    <s v="-"/>
    <s v="-"/>
    <s v="P"/>
    <s v="P"/>
    <n v="1"/>
    <n v="2"/>
    <n v="1"/>
    <n v="2"/>
    <n v="0"/>
    <s v="-"/>
    <s v="-"/>
    <s v="-"/>
    <s v="-"/>
    <s v="-"/>
    <n v="2"/>
    <s v="-"/>
    <n v="7"/>
    <n v="8"/>
    <s v="-"/>
    <n v="1"/>
    <n v="1"/>
    <n v="2"/>
    <n v="2"/>
    <n v="9"/>
    <n v="10"/>
  </r>
  <r>
    <x v="4"/>
    <x v="93"/>
    <d v="2026-04-28T00:00:00"/>
    <s v="3RD"/>
    <d v="1899-12-30T23:00:00"/>
    <n v="1"/>
    <x v="21"/>
    <n v="1.11E-2"/>
    <s v="P"/>
    <s v="P"/>
    <s v="P"/>
    <s v="-"/>
    <s v="+"/>
    <n v="10.76"/>
    <s v="-"/>
    <s v="-"/>
    <s v="-"/>
    <s v="-"/>
    <s v="-"/>
    <s v="-"/>
    <s v="-"/>
    <s v="-"/>
    <s v="P"/>
    <s v="P"/>
    <s v="-"/>
    <n v="2"/>
    <n v="1"/>
    <n v="2"/>
    <n v="0"/>
    <s v="-"/>
    <s v="-"/>
    <s v="-"/>
    <s v="-"/>
    <s v="-"/>
    <s v="-"/>
    <s v="-"/>
    <n v="5"/>
    <n v="6"/>
    <s v="-"/>
    <n v="1"/>
    <n v="1"/>
    <n v="2"/>
    <n v="2"/>
    <n v="7"/>
    <n v="8"/>
  </r>
  <r>
    <x v="4"/>
    <x v="93"/>
    <d v="2026-04-28T00:00:00"/>
    <s v="3RD"/>
    <d v="1899-12-31T00:00:00"/>
    <n v="1"/>
    <x v="21"/>
    <n v="1.2E-2"/>
    <s v="-"/>
    <s v="-"/>
    <s v="-"/>
    <s v="-"/>
    <s v="-"/>
    <s v="-"/>
    <s v="-"/>
    <s v="-"/>
    <s v="-"/>
    <s v="-"/>
    <s v="-"/>
    <s v="-"/>
    <s v="-"/>
    <s v="-"/>
    <s v="-"/>
    <s v="-"/>
    <s v="-"/>
    <n v="2"/>
    <s v="-"/>
    <s v="-"/>
    <s v="-"/>
    <s v="-"/>
    <s v="-"/>
    <s v="-"/>
    <s v="-"/>
    <s v="-"/>
    <s v="-"/>
    <s v="-"/>
    <n v="2"/>
    <n v="2"/>
    <s v="-"/>
    <s v="-"/>
    <s v="-"/>
    <n v="0"/>
    <n v="0"/>
    <n v="2"/>
    <n v="2"/>
  </r>
  <r>
    <x v="4"/>
    <x v="93"/>
    <d v="2026-04-28T00:00:00"/>
    <s v="3RD"/>
    <d v="1899-12-31T01:00:00"/>
    <n v="1"/>
    <x v="21"/>
    <n v="1.1299999999999999E-2"/>
    <s v="P"/>
    <s v="P"/>
    <s v="P"/>
    <s v="-"/>
    <s v="+"/>
    <n v="10.65"/>
    <s v="-"/>
    <s v="-"/>
    <s v="-"/>
    <s v="-"/>
    <s v="-"/>
    <s v="-"/>
    <s v="-"/>
    <s v="-"/>
    <s v="P"/>
    <s v="P"/>
    <s v="-"/>
    <n v="2"/>
    <n v="1"/>
    <n v="2"/>
    <n v="0"/>
    <s v="-"/>
    <s v="-"/>
    <s v="-"/>
    <s v="-"/>
    <s v="-"/>
    <s v="-"/>
    <s v="-"/>
    <n v="5"/>
    <n v="6"/>
    <s v="-"/>
    <n v="1"/>
    <n v="1"/>
    <n v="2"/>
    <n v="2"/>
    <n v="7"/>
    <n v="8"/>
  </r>
  <r>
    <x v="4"/>
    <x v="93"/>
    <d v="1902-03-26T00:00:00"/>
    <s v="3RD"/>
    <d v="1899-12-30T23:00:00"/>
    <n v="2"/>
    <x v="20"/>
    <n v="7.1000000000000004E-3"/>
    <s v="P"/>
    <s v="P"/>
    <s v="P"/>
    <s v="-"/>
    <s v="-"/>
    <n v="11.79"/>
    <n v="11.91"/>
    <n v="0.52"/>
    <n v="65.5"/>
    <n v="22.1"/>
    <s v="-"/>
    <n v="33.299999999999997"/>
    <s v="-"/>
    <s v="-"/>
    <s v="P"/>
    <s v="P"/>
    <s v="-"/>
    <n v="2"/>
    <n v="1"/>
    <n v="2"/>
    <n v="1"/>
    <n v="0"/>
    <n v="2"/>
    <n v="2"/>
    <s v="-"/>
    <s v="-"/>
    <n v="2"/>
    <s v="-"/>
    <n v="12"/>
    <n v="13"/>
    <s v="-"/>
    <n v="1"/>
    <n v="1"/>
    <n v="2"/>
    <n v="2"/>
    <n v="14"/>
    <n v="15"/>
  </r>
  <r>
    <x v="4"/>
    <x v="93"/>
    <d v="1899-12-30T00:00:00"/>
    <s v="3RD"/>
    <d v="1899-12-31T00:00:00"/>
    <n v="2"/>
    <x v="20"/>
    <n v="5.7000000000000002E-3"/>
    <s v="P"/>
    <s v="P"/>
    <s v="P"/>
    <s v="-"/>
    <s v="-"/>
    <n v="11.89"/>
    <s v="-"/>
    <s v="-"/>
    <s v="-"/>
    <s v="-"/>
    <s v="-"/>
    <s v="-"/>
    <s v="-"/>
    <s v="-"/>
    <s v="P"/>
    <s v="P"/>
    <s v="-"/>
    <n v="2"/>
    <n v="1"/>
    <n v="2"/>
    <n v="1"/>
    <s v="-"/>
    <s v="-"/>
    <s v="-"/>
    <s v="-"/>
    <s v="-"/>
    <s v="-"/>
    <s v="-"/>
    <n v="6"/>
    <n v="6"/>
    <s v="-"/>
    <n v="1"/>
    <n v="1"/>
    <n v="2"/>
    <n v="2"/>
    <n v="8"/>
    <n v="8"/>
  </r>
  <r>
    <x v="4"/>
    <x v="93"/>
    <d v="1899-12-30T00:00:00"/>
    <s v="3RD"/>
    <d v="1899-12-31T02:00:00"/>
    <n v="2"/>
    <x v="20"/>
    <n v="1.26E-2"/>
    <s v="P"/>
    <s v="P"/>
    <s v="P"/>
    <s v="-"/>
    <s v="-"/>
    <n v="11.67"/>
    <s v="-"/>
    <s v="-"/>
    <s v="-"/>
    <s v="-"/>
    <s v="-"/>
    <s v="-"/>
    <s v="-"/>
    <s v="-"/>
    <s v="P"/>
    <s v="P"/>
    <s v="-"/>
    <n v="2"/>
    <n v="1"/>
    <n v="2"/>
    <n v="1"/>
    <s v="-"/>
    <s v="-"/>
    <s v="-"/>
    <s v="-"/>
    <s v="-"/>
    <s v="-"/>
    <s v="-"/>
    <n v="6"/>
    <n v="6"/>
    <s v="-"/>
    <n v="1"/>
    <n v="1"/>
    <n v="2"/>
    <n v="2"/>
    <n v="8"/>
    <n v="8"/>
  </r>
  <r>
    <x v="4"/>
    <x v="93"/>
    <d v="1899-12-30T00:00:00"/>
    <s v="3RD"/>
    <d v="1899-12-31T03:00:00"/>
    <n v="2"/>
    <x v="20"/>
    <n v="9.7999999999999997E-3"/>
    <s v="P"/>
    <s v="P"/>
    <s v="P"/>
    <s v="-"/>
    <s v="-"/>
    <n v="11.78"/>
    <s v="-"/>
    <s v="-"/>
    <s v="-"/>
    <s v="-"/>
    <s v="-"/>
    <s v="-"/>
    <s v="-"/>
    <s v="-"/>
    <s v="P"/>
    <s v="P"/>
    <s v="-"/>
    <n v="2"/>
    <n v="1"/>
    <n v="2"/>
    <n v="1"/>
    <s v="-"/>
    <s v="-"/>
    <s v="-"/>
    <s v="-"/>
    <s v="-"/>
    <s v="-"/>
    <s v="-"/>
    <n v="6"/>
    <n v="6"/>
    <s v="-"/>
    <n v="1"/>
    <n v="1"/>
    <n v="2"/>
    <n v="2"/>
    <n v="8"/>
    <n v="8"/>
  </r>
  <r>
    <x v="4"/>
    <x v="94"/>
    <s v="-"/>
    <s v="1ST"/>
    <s v="06:00"/>
    <n v="1"/>
    <x v="7"/>
    <n v="8.0999999999999996E-3"/>
    <s v="P"/>
    <s v="P"/>
    <s v="P"/>
    <s v="-"/>
    <s v="+"/>
    <n v="10.49"/>
    <n v="7.96"/>
    <n v="0.62"/>
    <n v="56.5"/>
    <n v="13"/>
    <s v="-"/>
    <n v="24.1"/>
    <s v="-"/>
    <s v="-"/>
    <s v="P"/>
    <s v="P"/>
    <s v="60% 10% 30%"/>
    <n v="2"/>
    <n v="1"/>
    <n v="2"/>
    <n v="0"/>
    <n v="0"/>
    <n v="0"/>
    <n v="2"/>
    <n v="1"/>
    <s v="-"/>
    <n v="2"/>
    <s v="-"/>
    <n v="10"/>
    <n v="14"/>
    <s v="-"/>
    <n v="1"/>
    <n v="1"/>
    <n v="2"/>
    <n v="2"/>
    <n v="12"/>
    <n v="16"/>
  </r>
  <r>
    <x v="4"/>
    <x v="94"/>
    <d v="2026-05-05T00:00:00"/>
    <s v="1ST"/>
    <s v="07:00"/>
    <n v="3"/>
    <x v="12"/>
    <n v="1.8200000000000001E-2"/>
    <s v="P"/>
    <s v="P"/>
    <s v="P"/>
    <s v="+"/>
    <s v="+"/>
    <n v="12.1"/>
    <n v="12.58"/>
    <n v="0.59"/>
    <n v="65"/>
    <n v="15.9"/>
    <s v="-"/>
    <n v="34.9"/>
    <s v="-"/>
    <s v="-"/>
    <s v="P"/>
    <s v="P"/>
    <n v="1"/>
    <n v="2"/>
    <n v="1"/>
    <n v="2"/>
    <n v="1"/>
    <s v="-"/>
    <n v="0"/>
    <n v="2"/>
    <s v="-"/>
    <s v="-"/>
    <n v="0"/>
    <s v="-"/>
    <n v="8"/>
    <n v="12"/>
    <s v="-"/>
    <n v="1"/>
    <n v="1"/>
    <n v="2"/>
    <n v="2"/>
    <n v="10"/>
    <n v="14"/>
  </r>
  <r>
    <x v="4"/>
    <x v="94"/>
    <d v="2026-04-22T00:00:00"/>
    <s v="1ST"/>
    <s v="08:00"/>
    <n v="3"/>
    <x v="12"/>
    <n v="1.9400000000000001E-2"/>
    <s v="P"/>
    <s v="P"/>
    <s v="P"/>
    <s v="+"/>
    <s v="+"/>
    <n v="11.99"/>
    <s v="-"/>
    <s v="-"/>
    <s v="-"/>
    <s v="-"/>
    <s v="-"/>
    <n v="35.04"/>
    <s v="-"/>
    <s v="-"/>
    <s v="P"/>
    <s v="P"/>
    <n v="1"/>
    <n v="2"/>
    <n v="1"/>
    <n v="2"/>
    <n v="1"/>
    <s v="-"/>
    <s v="-"/>
    <s v="-"/>
    <s v="-"/>
    <s v="-"/>
    <n v="2"/>
    <s v="-"/>
    <n v="8"/>
    <n v="8"/>
    <s v="-"/>
    <n v="1"/>
    <n v="1"/>
    <n v="2"/>
    <n v="2"/>
    <n v="10"/>
    <n v="10"/>
  </r>
  <r>
    <x v="4"/>
    <x v="94"/>
    <d v="2026-04-22T00:00:00"/>
    <s v="1ST"/>
    <s v="12:00"/>
    <n v="3"/>
    <x v="36"/>
    <n v="9.9000000000000008E-3"/>
    <s v="P"/>
    <s v="P"/>
    <s v="P"/>
    <s v="+"/>
    <s v="+"/>
    <n v="12.95"/>
    <n v="12.43"/>
    <n v="0.56999999999999995"/>
    <n v="65.2"/>
    <n v="13"/>
    <s v="-"/>
    <n v="34.700000000000003"/>
    <s v="-"/>
    <s v="-"/>
    <s v="P"/>
    <s v="P"/>
    <n v="1"/>
    <n v="2"/>
    <n v="1"/>
    <n v="2"/>
    <n v="1"/>
    <n v="0"/>
    <n v="2"/>
    <n v="2"/>
    <n v="1"/>
    <s v="-"/>
    <n v="0"/>
    <s v="-"/>
    <n v="11"/>
    <n v="14"/>
    <s v="-"/>
    <n v="1"/>
    <n v="1"/>
    <n v="2"/>
    <n v="2"/>
    <n v="13"/>
    <n v="16"/>
  </r>
  <r>
    <x v="4"/>
    <x v="94"/>
    <d v="2026-04-28T00:00:00"/>
    <s v="2ND"/>
    <d v="1899-12-30T15:00:00"/>
    <n v="1"/>
    <x v="7"/>
    <n v="1.0699999999999999E-2"/>
    <s v="P"/>
    <s v="P"/>
    <s v="P"/>
    <s v="-"/>
    <s v="+"/>
    <n v="10.57"/>
    <n v="8.6300000000000008"/>
    <s v="-"/>
    <s v="-"/>
    <s v="-"/>
    <s v="-"/>
    <n v="23.3"/>
    <s v="-"/>
    <s v="-"/>
    <s v="-"/>
    <s v="-"/>
    <s v="-"/>
    <n v="2"/>
    <n v="1"/>
    <n v="2"/>
    <n v="0"/>
    <n v="1"/>
    <s v="-"/>
    <s v="-"/>
    <s v="-"/>
    <s v="-"/>
    <n v="2"/>
    <s v="-"/>
    <n v="8"/>
    <n v="9"/>
    <s v="-"/>
    <s v="-"/>
    <s v="-"/>
    <n v="0"/>
    <n v="0"/>
    <n v="8"/>
    <n v="9"/>
  </r>
  <r>
    <x v="4"/>
    <x v="94"/>
    <d v="2026-04-22T00:00:00"/>
    <s v="2ND"/>
    <d v="1899-12-30T16:00:00"/>
    <n v="3"/>
    <x v="16"/>
    <n v="8.6E-3"/>
    <s v="P"/>
    <s v="P"/>
    <s v="P"/>
    <s v="+"/>
    <s v="+"/>
    <n v="12.77"/>
    <n v="12.51"/>
    <n v="0.56999999999999995"/>
    <n v="64.5"/>
    <n v="12.5"/>
    <s v="-"/>
    <n v="34.9"/>
    <s v="-"/>
    <s v="-"/>
    <s v="-"/>
    <s v="-"/>
    <s v="-"/>
    <n v="2"/>
    <n v="1"/>
    <n v="2"/>
    <n v="1"/>
    <n v="1"/>
    <n v="0"/>
    <n v="2"/>
    <n v="1"/>
    <s v="-"/>
    <n v="2"/>
    <s v="-"/>
    <n v="12"/>
    <n v="14"/>
    <s v="-"/>
    <s v="-"/>
    <s v="-"/>
    <n v="0"/>
    <n v="0"/>
    <n v="12"/>
    <n v="14"/>
  </r>
  <r>
    <x v="4"/>
    <x v="94"/>
    <d v="2026-04-22T00:00:00"/>
    <s v="2ND"/>
    <d v="1899-12-30T18:00:00"/>
    <n v="3"/>
    <x v="16"/>
    <n v="1.17E-2"/>
    <s v="P"/>
    <s v="P"/>
    <s v="P"/>
    <s v="+"/>
    <s v="+"/>
    <n v="12.36"/>
    <s v="-"/>
    <s v="-"/>
    <s v="-"/>
    <s v="-"/>
    <s v="-"/>
    <s v="-"/>
    <s v="-"/>
    <s v="-"/>
    <s v="-"/>
    <s v="-"/>
    <s v="-"/>
    <n v="2"/>
    <n v="1"/>
    <n v="2"/>
    <n v="1"/>
    <s v="-"/>
    <s v="-"/>
    <s v="-"/>
    <s v="-"/>
    <s v="-"/>
    <s v="-"/>
    <s v="-"/>
    <n v="6"/>
    <n v="6"/>
    <s v="-"/>
    <s v="-"/>
    <s v="-"/>
    <n v="0"/>
    <n v="0"/>
    <n v="6"/>
    <n v="6"/>
  </r>
  <r>
    <x v="4"/>
    <x v="94"/>
    <d v="2026-04-22T00:00:00"/>
    <s v="2ND"/>
    <d v="1899-12-30T19:00:00"/>
    <n v="3"/>
    <x v="16"/>
    <n v="6.8999999999999999E-3"/>
    <s v="P"/>
    <s v="P"/>
    <s v="P"/>
    <s v="+"/>
    <s v="+"/>
    <n v="13.18"/>
    <s v="-"/>
    <s v="-"/>
    <s v="-"/>
    <s v="-"/>
    <s v="-"/>
    <s v="-"/>
    <s v="-"/>
    <s v="-"/>
    <s v="-"/>
    <s v="-"/>
    <s v="-"/>
    <n v="2"/>
    <n v="1"/>
    <n v="2"/>
    <n v="1"/>
    <s v="-"/>
    <s v="-"/>
    <s v="-"/>
    <s v="-"/>
    <s v="-"/>
    <s v="-"/>
    <s v="-"/>
    <n v="6"/>
    <n v="6"/>
    <s v="-"/>
    <s v="-"/>
    <s v="-"/>
    <n v="0"/>
    <n v="0"/>
    <n v="6"/>
    <n v="6"/>
  </r>
  <r>
    <x v="4"/>
    <x v="94"/>
    <d v="1899-12-30T00:00:00"/>
    <s v="2ND"/>
    <d v="1899-12-30T18:00:00"/>
    <n v="2"/>
    <x v="20"/>
    <n v="1.1299999999999999E-2"/>
    <s v="P"/>
    <s v="P"/>
    <s v="P"/>
    <s v="-"/>
    <s v="-"/>
    <n v="11.67"/>
    <n v="12.53"/>
    <n v="0.57999999999999996"/>
    <n v="65.900000000000006"/>
    <s v="-"/>
    <s v="-"/>
    <n v="35.1"/>
    <s v="-"/>
    <s v="-"/>
    <s v="-"/>
    <s v="-"/>
    <s v="-"/>
    <n v="2"/>
    <n v="1"/>
    <n v="2"/>
    <n v="1"/>
    <n v="1"/>
    <n v="2"/>
    <n v="2"/>
    <s v="-"/>
    <s v="-"/>
    <n v="2"/>
    <s v="-"/>
    <n v="13"/>
    <n v="13"/>
    <s v="-"/>
    <s v="-"/>
    <s v="-"/>
    <n v="0"/>
    <n v="0"/>
    <n v="13"/>
    <n v="13"/>
  </r>
  <r>
    <x v="4"/>
    <x v="94"/>
    <d v="1899-12-30T00:00:00"/>
    <s v="2ND"/>
    <d v="1899-12-30T19:00:00"/>
    <n v="2"/>
    <x v="20"/>
    <n v="7.4999999999999997E-3"/>
    <s v="P"/>
    <s v="P"/>
    <s v="P"/>
    <s v="-"/>
    <s v="-"/>
    <n v="11.82"/>
    <s v="-"/>
    <s v="-"/>
    <s v="-"/>
    <s v="-"/>
    <s v="-"/>
    <s v="-"/>
    <s v="-"/>
    <s v="-"/>
    <s v="-"/>
    <s v="-"/>
    <s v="-"/>
    <n v="2"/>
    <n v="1"/>
    <n v="2"/>
    <n v="1"/>
    <s v="-"/>
    <s v="-"/>
    <s v="-"/>
    <s v="-"/>
    <s v="-"/>
    <s v="-"/>
    <s v="-"/>
    <n v="6"/>
    <n v="6"/>
    <s v="-"/>
    <s v="-"/>
    <s v="-"/>
    <n v="0"/>
    <n v="0"/>
    <n v="6"/>
    <n v="6"/>
  </r>
  <r>
    <x v="4"/>
    <x v="94"/>
    <d v="1899-12-30T00:00:00"/>
    <s v="2ND"/>
    <d v="1899-12-30T20:00:00"/>
    <n v="2"/>
    <x v="20"/>
    <s v="-"/>
    <s v="P"/>
    <s v="P"/>
    <s v="P"/>
    <s v="-"/>
    <s v="-"/>
    <s v="-"/>
    <s v="-"/>
    <s v="-"/>
    <s v="-"/>
    <s v="-"/>
    <s v="-"/>
    <s v="-"/>
    <s v="-"/>
    <s v="-"/>
    <s v="-"/>
    <s v="-"/>
    <s v="-"/>
    <s v="-"/>
    <n v="1"/>
    <n v="2"/>
    <s v="-"/>
    <s v="-"/>
    <s v="-"/>
    <s v="-"/>
    <s v="-"/>
    <s v="-"/>
    <s v="-"/>
    <s v="-"/>
    <n v="3"/>
    <n v="3"/>
    <s v="-"/>
    <s v="-"/>
    <s v="-"/>
    <n v="0"/>
    <n v="0"/>
    <n v="3"/>
    <n v="3"/>
  </r>
  <r>
    <x v="4"/>
    <x v="94"/>
    <d v="1899-12-30T00:00:00"/>
    <s v="2ND"/>
    <d v="1899-12-30T21:00:00"/>
    <n v="2"/>
    <x v="20"/>
    <s v="-"/>
    <s v="P"/>
    <s v="P"/>
    <s v="P"/>
    <s v="-"/>
    <s v="-"/>
    <s v="-"/>
    <s v="-"/>
    <s v="-"/>
    <s v="-"/>
    <s v="-"/>
    <s v="-"/>
    <s v="-"/>
    <s v="-"/>
    <s v="-"/>
    <s v="-"/>
    <s v="-"/>
    <s v="-"/>
    <s v="-"/>
    <n v="1"/>
    <n v="2"/>
    <s v="-"/>
    <s v="-"/>
    <s v="-"/>
    <s v="-"/>
    <s v="-"/>
    <s v="-"/>
    <s v="-"/>
    <s v="-"/>
    <n v="3"/>
    <n v="3"/>
    <s v="-"/>
    <s v="-"/>
    <s v="-"/>
    <n v="0"/>
    <n v="0"/>
    <n v="3"/>
    <n v="3"/>
  </r>
  <r>
    <x v="4"/>
    <x v="94"/>
    <s v="-"/>
    <s v="3RD"/>
    <d v="1899-12-30T22:00:00"/>
    <n v="1"/>
    <x v="17"/>
    <n v="8.3999999999999995E-3"/>
    <s v="P"/>
    <s v="P"/>
    <s v="P"/>
    <s v="-"/>
    <s v="+"/>
    <n v="10.039999999999999"/>
    <n v="8.6199999999999992"/>
    <n v="0.48"/>
    <n v="57.6"/>
    <n v="6.2"/>
    <s v="-"/>
    <n v="23.4"/>
    <s v="-"/>
    <s v="-"/>
    <s v="P"/>
    <s v="P"/>
    <n v="1"/>
    <n v="2"/>
    <n v="1"/>
    <n v="2"/>
    <n v="0"/>
    <n v="1"/>
    <n v="0"/>
    <n v="2"/>
    <n v="1"/>
    <s v="-"/>
    <n v="2"/>
    <s v="-"/>
    <n v="11"/>
    <n v="14"/>
    <s v="-"/>
    <n v="1"/>
    <n v="1"/>
    <n v="2"/>
    <n v="2"/>
    <n v="13"/>
    <n v="16"/>
  </r>
  <r>
    <x v="4"/>
    <x v="94"/>
    <d v="2026-04-22T00:00:00"/>
    <s v="3RD"/>
    <d v="1899-12-30T22:00:00"/>
    <n v="3"/>
    <x v="16"/>
    <n v="7.1999999999999998E-3"/>
    <s v="P"/>
    <s v="P"/>
    <s v="P"/>
    <s v="+"/>
    <s v="+"/>
    <n v="12.83"/>
    <s v="-"/>
    <s v="-"/>
    <s v="-"/>
    <s v="-"/>
    <s v="-"/>
    <s v="-"/>
    <s v="-"/>
    <s v="-"/>
    <s v="P"/>
    <s v="P"/>
    <n v="1"/>
    <n v="2"/>
    <n v="1"/>
    <n v="2"/>
    <n v="1"/>
    <s v="-"/>
    <s v="-"/>
    <s v="-"/>
    <s v="-"/>
    <s v="-"/>
    <s v="-"/>
    <s v="-"/>
    <n v="6"/>
    <n v="6"/>
    <s v="-"/>
    <n v="1"/>
    <n v="1"/>
    <n v="2"/>
    <n v="2"/>
    <n v="8"/>
    <n v="8"/>
  </r>
  <r>
    <x v="4"/>
    <x v="94"/>
    <d v="2026-04-22T00:00:00"/>
    <s v="3RD"/>
    <d v="1899-12-30T23:00:00"/>
    <n v="3"/>
    <x v="16"/>
    <n v="6.7999999999999996E-3"/>
    <s v="P"/>
    <s v="P"/>
    <s v="P"/>
    <s v="+"/>
    <s v="+"/>
    <n v="12.86"/>
    <s v="-"/>
    <s v="-"/>
    <s v="-"/>
    <s v="-"/>
    <s v="-"/>
    <s v="-"/>
    <s v="-"/>
    <s v="-"/>
    <s v="P"/>
    <s v="P"/>
    <s v="-"/>
    <n v="2"/>
    <n v="1"/>
    <n v="2"/>
    <n v="1"/>
    <s v="-"/>
    <s v="-"/>
    <s v="-"/>
    <s v="-"/>
    <s v="-"/>
    <s v="-"/>
    <s v="-"/>
    <n v="6"/>
    <n v="6"/>
    <s v="-"/>
    <n v="1"/>
    <n v="1"/>
    <n v="2"/>
    <n v="2"/>
    <n v="8"/>
    <n v="8"/>
  </r>
  <r>
    <x v="4"/>
    <x v="94"/>
    <d v="2026-04-22T00:00:00"/>
    <s v="3RD"/>
    <d v="1899-12-31T00:00:00"/>
    <n v="3"/>
    <x v="16"/>
    <n v="7.9000000000000008E-3"/>
    <s v="P"/>
    <s v="P"/>
    <s v="P"/>
    <s v="+"/>
    <s v="+"/>
    <n v="13.06"/>
    <s v="-"/>
    <s v="-"/>
    <s v="-"/>
    <s v="-"/>
    <s v="-"/>
    <s v="-"/>
    <s v="-"/>
    <s v="-"/>
    <s v="P"/>
    <s v="P"/>
    <s v="-"/>
    <n v="2"/>
    <n v="1"/>
    <n v="2"/>
    <n v="1"/>
    <s v="-"/>
    <s v="-"/>
    <s v="-"/>
    <s v="-"/>
    <s v="-"/>
    <s v="-"/>
    <s v="-"/>
    <n v="6"/>
    <n v="6"/>
    <s v="-"/>
    <n v="1"/>
    <n v="1"/>
    <n v="2"/>
    <n v="2"/>
    <n v="8"/>
    <n v="8"/>
  </r>
  <r>
    <x v="4"/>
    <x v="94"/>
    <d v="2026-04-22T00:00:00"/>
    <s v="3RD"/>
    <d v="1899-12-31T02:00:00"/>
    <n v="3"/>
    <x v="16"/>
    <n v="1.49E-2"/>
    <s v="P"/>
    <s v="P"/>
    <s v="P"/>
    <s v="+"/>
    <s v="+"/>
    <n v="13.12"/>
    <s v="-"/>
    <s v="-"/>
    <s v="-"/>
    <s v="-"/>
    <s v="-"/>
    <s v="-"/>
    <s v="-"/>
    <s v="-"/>
    <s v="P"/>
    <s v="P"/>
    <s v="-"/>
    <n v="2"/>
    <n v="1"/>
    <n v="2"/>
    <n v="1"/>
    <s v="-"/>
    <s v="-"/>
    <s v="-"/>
    <s v="-"/>
    <s v="-"/>
    <s v="-"/>
    <s v="-"/>
    <n v="6"/>
    <n v="6"/>
    <s v="-"/>
    <n v="1"/>
    <n v="1"/>
    <n v="2"/>
    <n v="2"/>
    <n v="8"/>
    <n v="8"/>
  </r>
  <r>
    <x v="4"/>
    <x v="94"/>
    <d v="2026-04-22T00:00:00"/>
    <s v="3RD"/>
    <d v="1899-12-31T03:00:00"/>
    <n v="3"/>
    <x v="16"/>
    <n v="8.0000000000000002E-3"/>
    <s v="P"/>
    <s v="P"/>
    <s v="P"/>
    <s v="+"/>
    <s v="+"/>
    <n v="13.26"/>
    <s v="-"/>
    <s v="-"/>
    <s v="-"/>
    <s v="-"/>
    <s v="-"/>
    <s v="-"/>
    <s v="-"/>
    <s v="-"/>
    <s v="P"/>
    <s v="P"/>
    <s v="-"/>
    <n v="2"/>
    <n v="1"/>
    <n v="2"/>
    <n v="1"/>
    <s v="-"/>
    <s v="-"/>
    <s v="-"/>
    <s v="-"/>
    <s v="-"/>
    <s v="-"/>
    <s v="-"/>
    <n v="6"/>
    <n v="6"/>
    <s v="-"/>
    <n v="1"/>
    <n v="1"/>
    <n v="2"/>
    <n v="2"/>
    <n v="8"/>
    <n v="8"/>
  </r>
  <r>
    <x v="4"/>
    <x v="94"/>
    <d v="2026-04-22T00:00:00"/>
    <s v="3RD"/>
    <d v="1899-12-31T04:00:00"/>
    <n v="3"/>
    <x v="16"/>
    <n v="4.8999999999999998E-3"/>
    <s v="P"/>
    <s v="P"/>
    <s v="P"/>
    <s v="+"/>
    <s v="+"/>
    <n v="13.23"/>
    <s v="-"/>
    <s v="-"/>
    <s v="-"/>
    <s v="-"/>
    <s v="-"/>
    <s v="-"/>
    <s v="-"/>
    <s v="-"/>
    <s v="P"/>
    <s v="P"/>
    <s v="-"/>
    <n v="2"/>
    <n v="1"/>
    <n v="2"/>
    <n v="1"/>
    <s v="-"/>
    <s v="-"/>
    <s v="-"/>
    <s v="-"/>
    <s v="-"/>
    <s v="-"/>
    <s v="-"/>
    <n v="6"/>
    <n v="6"/>
    <s v="-"/>
    <n v="1"/>
    <n v="1"/>
    <n v="2"/>
    <n v="2"/>
    <n v="8"/>
    <n v="8"/>
  </r>
  <r>
    <x v="4"/>
    <x v="95"/>
    <s v="-"/>
    <s v="1ST"/>
    <s v="06:00"/>
    <n v="1"/>
    <x v="14"/>
    <n v="1.6E-2"/>
    <s v="P"/>
    <s v="P"/>
    <s v="P"/>
    <s v="-"/>
    <s v="+"/>
    <n v="9.58"/>
    <n v="9.07"/>
    <n v="0.66"/>
    <n v="58.3"/>
    <n v="10.7"/>
    <n v="451"/>
    <n v="24.8"/>
    <s v="-"/>
    <s v="-"/>
    <s v="P"/>
    <s v="P"/>
    <s v="-"/>
    <n v="2"/>
    <n v="1"/>
    <n v="2"/>
    <n v="0"/>
    <n v="1"/>
    <n v="0"/>
    <n v="2"/>
    <n v="1"/>
    <n v="1"/>
    <n v="2"/>
    <s v="-"/>
    <n v="12"/>
    <n v="15"/>
    <s v="-"/>
    <n v="1"/>
    <n v="1"/>
    <n v="2"/>
    <n v="2"/>
    <n v="14"/>
    <n v="17"/>
  </r>
  <r>
    <x v="4"/>
    <x v="95"/>
    <d v="2026-05-06T00:00:00"/>
    <s v="1ST"/>
    <s v="08:00"/>
    <n v="1"/>
    <x v="14"/>
    <n v="1.41E-2"/>
    <s v="P"/>
    <s v="P"/>
    <s v="P"/>
    <s v="-"/>
    <s v="+"/>
    <n v="10.59"/>
    <s v="-"/>
    <s v="-"/>
    <s v="-"/>
    <s v="-"/>
    <s v="-"/>
    <s v="-"/>
    <s v="-"/>
    <s v="-"/>
    <s v="P"/>
    <s v="P"/>
    <s v="-"/>
    <n v="2"/>
    <n v="1"/>
    <n v="2"/>
    <n v="0"/>
    <s v="-"/>
    <s v="-"/>
    <s v="-"/>
    <s v="-"/>
    <s v="-"/>
    <s v="-"/>
    <s v="-"/>
    <n v="5"/>
    <n v="6"/>
    <s v="-"/>
    <n v="1"/>
    <n v="1"/>
    <n v="2"/>
    <n v="2"/>
    <n v="7"/>
    <n v="8"/>
  </r>
  <r>
    <x v="4"/>
    <x v="95"/>
    <d v="2026-04-22T00:00:00"/>
    <s v="1ST"/>
    <s v="06:00"/>
    <n v="3"/>
    <x v="16"/>
    <n v="1.21E-2"/>
    <s v="P"/>
    <s v="P"/>
    <s v="P"/>
    <s v="+"/>
    <s v="+"/>
    <n v="13.12"/>
    <n v="12.48"/>
    <n v="0.55400000000000005"/>
    <n v="64.3"/>
    <s v="-"/>
    <s v="-"/>
    <n v="34.799999999999997"/>
    <s v="-"/>
    <s v="-"/>
    <s v="P"/>
    <s v="P"/>
    <s v="-"/>
    <n v="2"/>
    <n v="1"/>
    <n v="2"/>
    <n v="1"/>
    <n v="1"/>
    <n v="0"/>
    <n v="2"/>
    <s v="-"/>
    <s v="-"/>
    <n v="2"/>
    <s v="-"/>
    <n v="11"/>
    <n v="13"/>
    <s v="-"/>
    <n v="1"/>
    <n v="1"/>
    <n v="2"/>
    <n v="2"/>
    <n v="13"/>
    <n v="15"/>
  </r>
  <r>
    <x v="4"/>
    <x v="95"/>
    <d v="2026-04-22T00:00:00"/>
    <s v="1ST"/>
    <s v="07:00"/>
    <n v="3"/>
    <x v="16"/>
    <n v="9.9000000000000008E-3"/>
    <s v="P"/>
    <s v="P"/>
    <s v="P"/>
    <s v="+"/>
    <s v="+"/>
    <n v="13.11"/>
    <s v="-"/>
    <s v="-"/>
    <s v="-"/>
    <s v="-"/>
    <s v="-"/>
    <s v="-"/>
    <s v="-"/>
    <s v="-"/>
    <s v="P"/>
    <s v="P"/>
    <s v="-"/>
    <n v="2"/>
    <n v="1"/>
    <n v="2"/>
    <n v="1"/>
    <s v="-"/>
    <s v="-"/>
    <s v="-"/>
    <s v="-"/>
    <s v="-"/>
    <s v="-"/>
    <s v="-"/>
    <n v="6"/>
    <n v="6"/>
    <s v="-"/>
    <n v="1"/>
    <n v="1"/>
    <n v="2"/>
    <n v="2"/>
    <n v="8"/>
    <n v="8"/>
  </r>
  <r>
    <x v="4"/>
    <x v="95"/>
    <d v="2026-04-22T00:00:00"/>
    <s v="1ST"/>
    <s v="08:00"/>
    <n v="3"/>
    <x v="16"/>
    <n v="7.7000000000000002E-3"/>
    <s v="P"/>
    <s v="P"/>
    <s v="P"/>
    <s v="+"/>
    <s v="+"/>
    <n v="12.65"/>
    <s v="-"/>
    <s v="-"/>
    <s v="-"/>
    <s v="-"/>
    <s v="-"/>
    <s v="-"/>
    <s v="-"/>
    <s v="-"/>
    <s v="P"/>
    <s v="P"/>
    <s v="-"/>
    <n v="2"/>
    <n v="1"/>
    <n v="2"/>
    <n v="1"/>
    <s v="-"/>
    <s v="-"/>
    <s v="-"/>
    <s v="-"/>
    <s v="-"/>
    <s v="-"/>
    <s v="-"/>
    <n v="6"/>
    <n v="6"/>
    <s v="-"/>
    <n v="1"/>
    <n v="1"/>
    <n v="2"/>
    <n v="2"/>
    <n v="8"/>
    <n v="8"/>
  </r>
  <r>
    <x v="4"/>
    <x v="95"/>
    <d v="2026-04-21T00:00:00"/>
    <s v="1ST"/>
    <s v="09:00"/>
    <n v="3"/>
    <x v="10"/>
    <s v="-"/>
    <s v="P"/>
    <s v="P"/>
    <s v="P"/>
    <s v="+"/>
    <s v="+"/>
    <n v="11.74"/>
    <n v="11.66"/>
    <n v="0.44"/>
    <n v="64.400000000000006"/>
    <n v="10.7"/>
    <s v="-"/>
    <n v="32.5"/>
    <s v="-"/>
    <s v="-"/>
    <s v="P"/>
    <s v="P"/>
    <s v="-"/>
    <s v="-"/>
    <n v="1"/>
    <n v="2"/>
    <n v="0"/>
    <n v="1"/>
    <n v="0"/>
    <n v="2"/>
    <n v="0"/>
    <s v="-"/>
    <n v="2"/>
    <s v="-"/>
    <n v="8"/>
    <n v="12"/>
    <s v="-"/>
    <n v="1"/>
    <n v="1"/>
    <n v="2"/>
    <n v="2"/>
    <n v="10"/>
    <n v="14"/>
  </r>
  <r>
    <x v="4"/>
    <x v="95"/>
    <s v="-"/>
    <s v="2ND"/>
    <d v="1899-12-30T14:00:00"/>
    <n v="1"/>
    <x v="14"/>
    <n v="9.9000000000000008E-3"/>
    <s v="P"/>
    <s v="P"/>
    <s v="P"/>
    <s v="-"/>
    <s v="+"/>
    <n v="10.4"/>
    <n v="9.18"/>
    <n v="0.6"/>
    <n v="58.3"/>
    <s v="-"/>
    <s v="-"/>
    <n v="25"/>
    <s v="-"/>
    <s v="-"/>
    <s v="P"/>
    <s v="P"/>
    <s v="90% 10%"/>
    <n v="2"/>
    <n v="1"/>
    <n v="2"/>
    <n v="0"/>
    <n v="1"/>
    <n v="2"/>
    <n v="2"/>
    <s v="-"/>
    <s v="-"/>
    <n v="2"/>
    <s v="-"/>
    <n v="12"/>
    <n v="13"/>
    <s v="-"/>
    <n v="1"/>
    <n v="1"/>
    <n v="2"/>
    <n v="2"/>
    <n v="14"/>
    <n v="15"/>
  </r>
  <r>
    <x v="4"/>
    <x v="95"/>
    <d v="2026-05-06T00:00:00"/>
    <s v="2ND"/>
    <d v="1899-12-30T15:00:00"/>
    <n v="1"/>
    <x v="14"/>
    <n v="1.1299999999999999E-2"/>
    <s v="P"/>
    <s v="P"/>
    <s v="P"/>
    <s v="-"/>
    <s v="+"/>
    <n v="10.32"/>
    <s v="-"/>
    <s v="-"/>
    <s v="-"/>
    <s v="-"/>
    <s v="-"/>
    <s v="-"/>
    <s v="-"/>
    <s v="-"/>
    <s v="P"/>
    <s v="P"/>
    <s v="-"/>
    <n v="2"/>
    <n v="1"/>
    <n v="2"/>
    <n v="0"/>
    <s v="-"/>
    <s v="-"/>
    <s v="-"/>
    <s v="-"/>
    <s v="-"/>
    <s v="-"/>
    <s v="-"/>
    <n v="5"/>
    <n v="6"/>
    <s v="-"/>
    <n v="1"/>
    <n v="1"/>
    <n v="2"/>
    <n v="2"/>
    <n v="7"/>
    <n v="8"/>
  </r>
  <r>
    <x v="4"/>
    <x v="95"/>
    <d v="2026-05-06T00:00:00"/>
    <s v="2ND"/>
    <d v="1899-12-30T17:00:00"/>
    <n v="1"/>
    <x v="14"/>
    <n v="1.29E-2"/>
    <s v="-"/>
    <s v="-"/>
    <s v="-"/>
    <s v="-"/>
    <s v="-"/>
    <s v="-"/>
    <s v="-"/>
    <s v="-"/>
    <s v="-"/>
    <s v="-"/>
    <s v="-"/>
    <s v="-"/>
    <s v="-"/>
    <s v="-"/>
    <s v="-"/>
    <s v="-"/>
    <s v="-"/>
    <n v="2"/>
    <s v="-"/>
    <s v="-"/>
    <s v="-"/>
    <s v="-"/>
    <s v="-"/>
    <s v="-"/>
    <s v="-"/>
    <s v="-"/>
    <s v="-"/>
    <s v="-"/>
    <n v="2"/>
    <n v="2"/>
    <s v="-"/>
    <s v="-"/>
    <s v="-"/>
    <n v="0"/>
    <n v="0"/>
    <n v="2"/>
    <n v="2"/>
  </r>
  <r>
    <x v="4"/>
    <x v="95"/>
    <d v="2026-04-21T00:00:00"/>
    <s v="2ND"/>
    <d v="1899-12-30T16:00:00"/>
    <n v="3"/>
    <x v="0"/>
    <n v="1.09E-2"/>
    <s v="P"/>
    <s v="P"/>
    <s v="P"/>
    <s v="+"/>
    <s v="+"/>
    <n v="13.12"/>
    <n v="12"/>
    <n v="0.51"/>
    <n v="64.3"/>
    <s v="-"/>
    <s v="-"/>
    <n v="33.4"/>
    <s v="-"/>
    <s v="-"/>
    <s v="P"/>
    <s v="P"/>
    <s v="85% 10% 5%"/>
    <n v="2"/>
    <n v="1"/>
    <n v="2"/>
    <n v="1"/>
    <n v="1"/>
    <n v="2"/>
    <n v="2"/>
    <s v="-"/>
    <s v="-"/>
    <n v="2"/>
    <s v="-"/>
    <n v="13"/>
    <n v="13"/>
    <s v="-"/>
    <n v="1"/>
    <n v="1"/>
    <n v="2"/>
    <n v="2"/>
    <n v="15"/>
    <n v="15"/>
  </r>
  <r>
    <x v="4"/>
    <x v="95"/>
    <d v="2026-04-21T00:00:00"/>
    <s v="2ND"/>
    <d v="1899-12-30T17:00:00"/>
    <n v="3"/>
    <x v="1"/>
    <s v="-"/>
    <s v="P"/>
    <s v="P"/>
    <s v="P"/>
    <s v="+"/>
    <s v="+"/>
    <n v="12.54"/>
    <s v="-"/>
    <s v="-"/>
    <s v="-"/>
    <s v="-"/>
    <s v="-"/>
    <s v="-"/>
    <s v="-"/>
    <s v="-"/>
    <s v="P"/>
    <s v="P"/>
    <s v="-"/>
    <s v="-"/>
    <n v="1"/>
    <n v="2"/>
    <n v="1"/>
    <s v="-"/>
    <s v="-"/>
    <s v="-"/>
    <s v="-"/>
    <s v="-"/>
    <s v="-"/>
    <s v="-"/>
    <n v="4"/>
    <n v="4"/>
    <s v="-"/>
    <n v="1"/>
    <n v="1"/>
    <n v="2"/>
    <n v="2"/>
    <n v="6"/>
    <n v="6"/>
  </r>
  <r>
    <x v="4"/>
    <x v="95"/>
    <d v="2026-04-21T00:00:00"/>
    <s v="2ND"/>
    <d v="1899-12-30T18:00:00"/>
    <n v="3"/>
    <x v="1"/>
    <n v="1.2E-2"/>
    <s v="P"/>
    <s v="P"/>
    <s v="P"/>
    <s v="+"/>
    <s v="+"/>
    <n v="12.31"/>
    <s v="-"/>
    <s v="-"/>
    <s v="-"/>
    <s v="-"/>
    <s v="-"/>
    <s v="-"/>
    <s v="-"/>
    <s v="-"/>
    <s v="P"/>
    <s v="P"/>
    <s v="-"/>
    <n v="2"/>
    <n v="1"/>
    <n v="2"/>
    <n v="1"/>
    <s v="-"/>
    <s v="-"/>
    <s v="-"/>
    <s v="-"/>
    <s v="-"/>
    <s v="-"/>
    <s v="-"/>
    <n v="6"/>
    <n v="6"/>
    <s v="-"/>
    <n v="1"/>
    <n v="1"/>
    <n v="2"/>
    <n v="2"/>
    <n v="8"/>
    <n v="8"/>
  </r>
  <r>
    <x v="4"/>
    <x v="95"/>
    <d v="2026-04-21T00:00:00"/>
    <s v="2ND"/>
    <d v="1899-12-30T19:00:00"/>
    <n v="3"/>
    <x v="1"/>
    <n v="8.6999999999999994E-3"/>
    <s v="P"/>
    <s v="P"/>
    <s v="P"/>
    <s v="+"/>
    <s v="+"/>
    <n v="12.62"/>
    <s v="-"/>
    <s v="-"/>
    <s v="-"/>
    <s v="-"/>
    <s v="-"/>
    <s v="-"/>
    <s v="-"/>
    <s v="-"/>
    <s v="P"/>
    <s v="P"/>
    <s v="-"/>
    <n v="2"/>
    <n v="1"/>
    <n v="2"/>
    <n v="1"/>
    <s v="-"/>
    <s v="-"/>
    <s v="-"/>
    <s v="-"/>
    <s v="-"/>
    <s v="-"/>
    <s v="-"/>
    <n v="6"/>
    <n v="6"/>
    <s v="-"/>
    <n v="1"/>
    <n v="1"/>
    <n v="2"/>
    <n v="2"/>
    <n v="8"/>
    <n v="8"/>
  </r>
  <r>
    <x v="4"/>
    <x v="95"/>
    <s v="-"/>
    <s v="3RD"/>
    <d v="1899-12-30T22:00:00"/>
    <n v="1"/>
    <x v="14"/>
    <n v="1.4800000000000001E-2"/>
    <s v="P"/>
    <s v="P"/>
    <s v="P"/>
    <s v="-"/>
    <s v="+"/>
    <n v="10.16"/>
    <n v="8.98"/>
    <s v="-"/>
    <s v="-"/>
    <s v="-"/>
    <s v="-"/>
    <n v="24.2"/>
    <s v="-"/>
    <s v="-"/>
    <s v="P"/>
    <s v="P"/>
    <s v="50% 20% 30%"/>
    <n v="2"/>
    <n v="1"/>
    <n v="2"/>
    <n v="0"/>
    <n v="1"/>
    <s v="-"/>
    <s v="-"/>
    <s v="-"/>
    <s v="-"/>
    <n v="2"/>
    <s v="-"/>
    <n v="8"/>
    <n v="9"/>
    <s v="-"/>
    <n v="1"/>
    <n v="1"/>
    <n v="2"/>
    <n v="2"/>
    <n v="10"/>
    <n v="11"/>
  </r>
  <r>
    <x v="4"/>
    <x v="95"/>
    <d v="2026-05-06T00:00:00"/>
    <s v="3RD"/>
    <d v="1899-12-31T00:00:00"/>
    <n v="1"/>
    <x v="14"/>
    <n v="9.4999999999999998E-3"/>
    <s v="P"/>
    <s v="P"/>
    <s v="P"/>
    <s v="-"/>
    <s v="+"/>
    <n v="10.5"/>
    <s v="-"/>
    <s v="-"/>
    <s v="-"/>
    <s v="-"/>
    <s v="-"/>
    <s v="-"/>
    <s v="-"/>
    <s v="-"/>
    <s v="P"/>
    <s v="P"/>
    <s v="-"/>
    <n v="2"/>
    <n v="1"/>
    <n v="2"/>
    <n v="0"/>
    <s v="-"/>
    <s v="-"/>
    <s v="-"/>
    <s v="-"/>
    <s v="-"/>
    <s v="-"/>
    <s v="-"/>
    <n v="5"/>
    <n v="6"/>
    <s v="-"/>
    <n v="1"/>
    <n v="1"/>
    <n v="2"/>
    <n v="2"/>
    <n v="7"/>
    <n v="8"/>
  </r>
  <r>
    <x v="4"/>
    <x v="95"/>
    <d v="2026-05-06T00:00:00"/>
    <s v="3RD"/>
    <d v="1899-12-31T01:00:00"/>
    <n v="1"/>
    <x v="14"/>
    <n v="1.0999999999999999E-2"/>
    <s v="P"/>
    <s v="P"/>
    <s v="P"/>
    <s v="-"/>
    <s v="+"/>
    <n v="10.37"/>
    <s v="-"/>
    <s v="-"/>
    <s v="-"/>
    <s v="-"/>
    <s v="-"/>
    <s v="-"/>
    <s v="-"/>
    <s v="-"/>
    <s v="P"/>
    <s v="P"/>
    <s v="-"/>
    <n v="2"/>
    <n v="1"/>
    <n v="2"/>
    <n v="0"/>
    <s v="-"/>
    <s v="-"/>
    <s v="-"/>
    <s v="-"/>
    <s v="-"/>
    <s v="-"/>
    <s v="-"/>
    <n v="5"/>
    <n v="6"/>
    <s v="-"/>
    <n v="1"/>
    <n v="1"/>
    <n v="2"/>
    <n v="2"/>
    <n v="7"/>
    <n v="8"/>
  </r>
  <r>
    <x v="4"/>
    <x v="95"/>
    <d v="2026-04-21T00:00:00"/>
    <s v="3RD"/>
    <d v="1899-12-31T00:00:00"/>
    <n v="3"/>
    <x v="6"/>
    <n v="9.7999999999999997E-3"/>
    <s v="P"/>
    <s v="P"/>
    <s v="P"/>
    <s v="+"/>
    <s v="+"/>
    <n v="12.57"/>
    <n v="12.17"/>
    <n v="0.55000000000000004"/>
    <n v="64.2"/>
    <s v="-"/>
    <s v="-"/>
    <n v="33.9"/>
    <s v="-"/>
    <s v="-"/>
    <s v="P"/>
    <s v="P"/>
    <s v="50% 20% 20% 10%"/>
    <n v="2"/>
    <n v="1"/>
    <n v="2"/>
    <n v="1"/>
    <n v="1"/>
    <n v="2"/>
    <n v="2"/>
    <s v="-"/>
    <s v="-"/>
    <n v="2"/>
    <s v="-"/>
    <n v="13"/>
    <n v="13"/>
    <s v="-"/>
    <n v="1"/>
    <n v="1"/>
    <n v="2"/>
    <n v="2"/>
    <n v="15"/>
    <n v="15"/>
  </r>
  <r>
    <x v="4"/>
    <x v="95"/>
    <d v="2026-04-21T00:00:00"/>
    <s v="3RD"/>
    <d v="1899-12-31T01:00:00"/>
    <n v="3"/>
    <x v="6"/>
    <n v="1.18E-2"/>
    <s v="P"/>
    <s v="P"/>
    <s v="P"/>
    <s v="+"/>
    <s v="+"/>
    <n v="12.63"/>
    <s v="-"/>
    <s v="-"/>
    <s v="-"/>
    <s v="-"/>
    <s v="-"/>
    <s v="-"/>
    <s v="-"/>
    <s v="-"/>
    <s v="P"/>
    <s v="P"/>
    <s v="-"/>
    <n v="2"/>
    <n v="1"/>
    <n v="2"/>
    <n v="1"/>
    <s v="-"/>
    <s v="-"/>
    <s v="-"/>
    <s v="-"/>
    <s v="-"/>
    <s v="-"/>
    <s v="-"/>
    <n v="6"/>
    <n v="6"/>
    <s v="-"/>
    <n v="1"/>
    <n v="1"/>
    <n v="2"/>
    <n v="2"/>
    <n v="8"/>
    <n v="8"/>
  </r>
  <r>
    <x v="4"/>
    <x v="95"/>
    <d v="2026-04-21T00:00:00"/>
    <s v="3RD"/>
    <d v="1899-12-31T02:00:00"/>
    <n v="3"/>
    <x v="6"/>
    <n v="9.4999999999999998E-3"/>
    <s v="P"/>
    <s v="P"/>
    <s v="P"/>
    <s v="+"/>
    <s v="+"/>
    <n v="12.88"/>
    <s v="-"/>
    <s v="-"/>
    <s v="-"/>
    <s v="-"/>
    <s v="-"/>
    <s v="-"/>
    <s v="-"/>
    <s v="-"/>
    <s v="P"/>
    <s v="P"/>
    <s v="-"/>
    <n v="2"/>
    <n v="1"/>
    <n v="2"/>
    <n v="1"/>
    <s v="-"/>
    <s v="-"/>
    <s v="-"/>
    <s v="-"/>
    <s v="-"/>
    <s v="-"/>
    <s v="-"/>
    <n v="6"/>
    <n v="6"/>
    <s v="-"/>
    <n v="1"/>
    <n v="1"/>
    <n v="2"/>
    <n v="2"/>
    <n v="8"/>
    <n v="8"/>
  </r>
  <r>
    <x v="4"/>
    <x v="95"/>
    <d v="2026-04-21T00:00:00"/>
    <s v="3RD"/>
    <d v="1899-12-31T03:00:00"/>
    <n v="3"/>
    <x v="6"/>
    <n v="1.0999999999999999E-2"/>
    <s v="P"/>
    <s v="P"/>
    <s v="P"/>
    <s v="+"/>
    <s v="+"/>
    <n v="12.91"/>
    <s v="-"/>
    <s v="-"/>
    <s v="-"/>
    <s v="-"/>
    <s v="-"/>
    <s v="-"/>
    <s v="-"/>
    <s v="-"/>
    <s v="P"/>
    <s v="P"/>
    <s v="-"/>
    <n v="2"/>
    <n v="1"/>
    <n v="2"/>
    <n v="1"/>
    <s v="-"/>
    <s v="-"/>
    <s v="-"/>
    <s v="-"/>
    <s v="-"/>
    <s v="-"/>
    <s v="-"/>
    <n v="6"/>
    <n v="6"/>
    <s v="-"/>
    <n v="1"/>
    <n v="1"/>
    <n v="2"/>
    <n v="2"/>
    <n v="8"/>
    <n v="8"/>
  </r>
  <r>
    <x v="4"/>
    <x v="95"/>
    <d v="2026-04-21T00:00:00"/>
    <s v="3RD"/>
    <d v="1899-12-31T04:00:00"/>
    <n v="3"/>
    <x v="6"/>
    <n v="1.18E-2"/>
    <s v="P"/>
    <s v="P"/>
    <s v="P"/>
    <s v="+"/>
    <s v="+"/>
    <n v="12.84"/>
    <s v="-"/>
    <s v="-"/>
    <s v="-"/>
    <s v="-"/>
    <s v="-"/>
    <s v="-"/>
    <s v="-"/>
    <s v="-"/>
    <s v="P"/>
    <s v="P"/>
    <s v="-"/>
    <n v="2"/>
    <n v="1"/>
    <n v="2"/>
    <n v="1"/>
    <s v="-"/>
    <s v="-"/>
    <s v="-"/>
    <s v="-"/>
    <s v="-"/>
    <s v="-"/>
    <s v="-"/>
    <n v="6"/>
    <n v="6"/>
    <s v="-"/>
    <n v="1"/>
    <n v="1"/>
    <n v="2"/>
    <n v="2"/>
    <n v="8"/>
    <n v="8"/>
  </r>
  <r>
    <x v="4"/>
    <x v="95"/>
    <d v="2026-04-21T00:00:00"/>
    <s v="3RD"/>
    <d v="1899-12-31T05:00:00"/>
    <n v="3"/>
    <x v="6"/>
    <n v="9.2999999999999992E-3"/>
    <s v="P"/>
    <s v="P"/>
    <s v="P"/>
    <s v="+"/>
    <s v="+"/>
    <n v="12.65"/>
    <s v="-"/>
    <s v="-"/>
    <s v="-"/>
    <s v="-"/>
    <s v="-"/>
    <s v="-"/>
    <s v="-"/>
    <s v="-"/>
    <s v="P"/>
    <s v="P"/>
    <s v="-"/>
    <n v="2"/>
    <n v="1"/>
    <n v="2"/>
    <n v="1"/>
    <s v="-"/>
    <s v="-"/>
    <s v="-"/>
    <s v="-"/>
    <s v="-"/>
    <s v="-"/>
    <s v="-"/>
    <n v="6"/>
    <n v="6"/>
    <s v="-"/>
    <n v="1"/>
    <n v="1"/>
    <n v="2"/>
    <n v="2"/>
    <n v="8"/>
    <n v="8"/>
  </r>
  <r>
    <x v="4"/>
    <x v="96"/>
    <s v="-"/>
    <s v="1ST"/>
    <s v="06:00"/>
    <n v="1"/>
    <x v="47"/>
    <n v="9.4999999999999998E-3"/>
    <s v="P"/>
    <s v="P"/>
    <s v="P"/>
    <s v="-"/>
    <s v="+"/>
    <n v="10.47"/>
    <n v="9.77"/>
    <n v="0.62"/>
    <n v="58"/>
    <s v="-"/>
    <s v="-"/>
    <n v="26.9"/>
    <s v="-"/>
    <s v="-"/>
    <s v="P"/>
    <s v="P"/>
    <s v="40% 20% 40%"/>
    <n v="2"/>
    <n v="1"/>
    <n v="2"/>
    <n v="0"/>
    <n v="1"/>
    <n v="0"/>
    <n v="2"/>
    <s v="-"/>
    <s v="-"/>
    <n v="0"/>
    <s v="-"/>
    <n v="8"/>
    <n v="13"/>
    <s v="-"/>
    <n v="1"/>
    <n v="1"/>
    <n v="2"/>
    <n v="2"/>
    <n v="10"/>
    <n v="15"/>
  </r>
  <r>
    <x v="4"/>
    <x v="96"/>
    <d v="2026-05-04T00:00:00"/>
    <s v="1ST"/>
    <s v="07:00"/>
    <n v="1"/>
    <x v="47"/>
    <n v="9.7000000000000003E-3"/>
    <s v="P"/>
    <s v="P"/>
    <s v="P"/>
    <s v="-"/>
    <s v="+"/>
    <n v="10.53"/>
    <s v="-"/>
    <s v="-"/>
    <s v="-"/>
    <s v="-"/>
    <s v="-"/>
    <s v="-"/>
    <s v="-"/>
    <s v="-"/>
    <s v="P"/>
    <s v="P"/>
    <s v="-"/>
    <n v="2"/>
    <n v="1"/>
    <n v="2"/>
    <n v="0"/>
    <s v="-"/>
    <s v="-"/>
    <s v="-"/>
    <s v="-"/>
    <s v="-"/>
    <s v="-"/>
    <s v="-"/>
    <n v="5"/>
    <n v="6"/>
    <s v="-"/>
    <n v="1"/>
    <n v="1"/>
    <n v="2"/>
    <n v="2"/>
    <n v="7"/>
    <n v="8"/>
  </r>
  <r>
    <x v="4"/>
    <x v="96"/>
    <d v="1902-03-25T00:00:00"/>
    <s v="1ST"/>
    <s v="08:00"/>
    <n v="2"/>
    <x v="22"/>
    <n v="1.01E-2"/>
    <s v="P"/>
    <s v="P"/>
    <s v="P"/>
    <s v="-"/>
    <s v="-"/>
    <n v="10.91"/>
    <n v="8.41"/>
    <n v="0.53"/>
    <n v="56.3"/>
    <s v="-"/>
    <s v="-"/>
    <n v="22.7"/>
    <s v="-"/>
    <s v="-"/>
    <s v="P"/>
    <s v="P"/>
    <s v="-"/>
    <n v="2"/>
    <n v="1"/>
    <n v="2"/>
    <n v="0"/>
    <n v="0"/>
    <n v="2"/>
    <n v="2"/>
    <s v="-"/>
    <s v="-"/>
    <n v="2"/>
    <s v="-"/>
    <n v="11"/>
    <n v="13"/>
    <s v="-"/>
    <n v="1"/>
    <n v="1"/>
    <n v="2"/>
    <n v="2"/>
    <n v="13"/>
    <n v="15"/>
  </r>
  <r>
    <x v="4"/>
    <x v="96"/>
    <d v="1899-12-30T00:00:00"/>
    <s v="1ST"/>
    <s v="09:00"/>
    <n v="2"/>
    <x v="22"/>
    <n v="9.9000000000000008E-3"/>
    <s v="P"/>
    <s v="P"/>
    <s v="P"/>
    <s v="-"/>
    <s v="-"/>
    <n v="11.15"/>
    <s v="-"/>
    <s v="-"/>
    <s v="-"/>
    <s v="-"/>
    <s v="-"/>
    <s v="-"/>
    <s v="-"/>
    <s v="-"/>
    <s v="P"/>
    <s v="P"/>
    <s v="-"/>
    <n v="2"/>
    <n v="1"/>
    <n v="2"/>
    <n v="1"/>
    <s v="-"/>
    <s v="-"/>
    <s v="-"/>
    <s v="-"/>
    <s v="-"/>
    <s v="-"/>
    <s v="-"/>
    <n v="6"/>
    <n v="6"/>
    <s v="-"/>
    <n v="1"/>
    <n v="1"/>
    <n v="2"/>
    <n v="2"/>
    <n v="8"/>
    <n v="8"/>
  </r>
  <r>
    <x v="4"/>
    <x v="96"/>
    <d v="1899-12-30T00:00:00"/>
    <s v="1ST"/>
    <s v="12:00"/>
    <n v="2"/>
    <x v="22"/>
    <n v="1.6299999999999999E-2"/>
    <s v="P"/>
    <s v="P"/>
    <s v="P"/>
    <s v="-"/>
    <s v="-"/>
    <n v="11"/>
    <s v="-"/>
    <s v="-"/>
    <s v="-"/>
    <s v="-"/>
    <s v="-"/>
    <s v="-"/>
    <s v="-"/>
    <s v="-"/>
    <s v="P"/>
    <s v="P"/>
    <s v="-"/>
    <n v="2"/>
    <n v="1"/>
    <n v="2"/>
    <n v="1"/>
    <s v="-"/>
    <s v="-"/>
    <s v="-"/>
    <s v="-"/>
    <s v="-"/>
    <s v="-"/>
    <s v="-"/>
    <n v="6"/>
    <n v="6"/>
    <s v="-"/>
    <n v="1"/>
    <n v="1"/>
    <n v="2"/>
    <n v="2"/>
    <n v="8"/>
    <n v="8"/>
  </r>
  <r>
    <x v="4"/>
    <x v="96"/>
    <d v="1899-12-30T00:00:00"/>
    <s v="1ST"/>
    <s v="13:00"/>
    <n v="2"/>
    <x v="22"/>
    <n v="1.32E-2"/>
    <s v="P"/>
    <s v="P"/>
    <s v="P"/>
    <s v="-"/>
    <s v="-"/>
    <n v="11"/>
    <s v="-"/>
    <s v="-"/>
    <s v="-"/>
    <s v="-"/>
    <s v="-"/>
    <s v="-"/>
    <s v="-"/>
    <s v="-"/>
    <s v="P"/>
    <s v="P"/>
    <s v="-"/>
    <n v="2"/>
    <n v="1"/>
    <n v="2"/>
    <n v="1"/>
    <s v="-"/>
    <s v="-"/>
    <s v="-"/>
    <s v="-"/>
    <s v="-"/>
    <s v="-"/>
    <s v="-"/>
    <n v="6"/>
    <n v="6"/>
    <s v="-"/>
    <n v="1"/>
    <n v="1"/>
    <n v="2"/>
    <n v="2"/>
    <n v="8"/>
    <n v="8"/>
  </r>
  <r>
    <x v="4"/>
    <x v="96"/>
    <d v="2026-05-06T00:00:00"/>
    <s v="1ST"/>
    <s v="08:00"/>
    <n v="3"/>
    <x v="28"/>
    <n v="8.3999999999999995E-3"/>
    <s v="P"/>
    <s v="P"/>
    <s v="P"/>
    <s v="-"/>
    <s v="-"/>
    <n v="11.78"/>
    <n v="12.07"/>
    <n v="0.47"/>
    <n v="64.5"/>
    <n v="21.8"/>
    <n v="688"/>
    <n v="33.700000000000003"/>
    <s v="-"/>
    <s v="-"/>
    <s v="P"/>
    <s v="P"/>
    <n v="1"/>
    <n v="2"/>
    <n v="1"/>
    <n v="2"/>
    <n v="1"/>
    <n v="1"/>
    <n v="2"/>
    <n v="2"/>
    <s v="-"/>
    <s v="-"/>
    <n v="2"/>
    <s v="-"/>
    <n v="13"/>
    <n v="13"/>
    <s v="-"/>
    <n v="1"/>
    <n v="1"/>
    <n v="2"/>
    <n v="2"/>
    <n v="15"/>
    <n v="15"/>
  </r>
  <r>
    <x v="4"/>
    <x v="96"/>
    <d v="2026-05-06T00:00:00"/>
    <s v="1ST"/>
    <s v="09:00"/>
    <n v="3"/>
    <x v="28"/>
    <n v="1.8599999999999998E-2"/>
    <s v="P"/>
    <s v="P"/>
    <s v="P"/>
    <s v="-"/>
    <s v="-"/>
    <n v="12.96"/>
    <s v="-"/>
    <s v="-"/>
    <s v="-"/>
    <s v="-"/>
    <s v="-"/>
    <s v="-"/>
    <s v="-"/>
    <s v="-"/>
    <s v="P"/>
    <s v="P"/>
    <s v="-"/>
    <n v="2"/>
    <n v="1"/>
    <n v="2"/>
    <n v="1"/>
    <s v="-"/>
    <s v="-"/>
    <s v="-"/>
    <s v="-"/>
    <s v="-"/>
    <s v="-"/>
    <s v="-"/>
    <n v="6"/>
    <n v="6"/>
    <s v="-"/>
    <n v="1"/>
    <n v="1"/>
    <n v="2"/>
    <n v="2"/>
    <n v="8"/>
    <n v="8"/>
  </r>
  <r>
    <x v="4"/>
    <x v="96"/>
    <d v="2026-05-06T00:00:00"/>
    <s v="1ST"/>
    <s v="11:00"/>
    <n v="3"/>
    <x v="28"/>
    <n v="1.9199999999999998E-2"/>
    <s v="P"/>
    <s v="P"/>
    <s v="P"/>
    <s v="-"/>
    <s v="-"/>
    <n v="12.77"/>
    <s v="-"/>
    <s v="-"/>
    <s v="-"/>
    <s v="-"/>
    <s v="-"/>
    <s v="-"/>
    <s v="-"/>
    <s v="-"/>
    <s v="P"/>
    <s v="P"/>
    <s v="-"/>
    <n v="2"/>
    <n v="1"/>
    <n v="2"/>
    <n v="1"/>
    <s v="-"/>
    <s v="-"/>
    <s v="-"/>
    <s v="-"/>
    <s v="-"/>
    <s v="-"/>
    <s v="-"/>
    <n v="6"/>
    <n v="6"/>
    <s v="-"/>
    <n v="1"/>
    <n v="1"/>
    <n v="2"/>
    <n v="2"/>
    <n v="8"/>
    <n v="8"/>
  </r>
  <r>
    <x v="4"/>
    <x v="96"/>
    <d v="2026-05-06T00:00:00"/>
    <s v="1ST"/>
    <s v="12:00"/>
    <n v="3"/>
    <x v="28"/>
    <n v="1.8599999999999998E-2"/>
    <s v="P"/>
    <s v="P"/>
    <s v="P"/>
    <s v="-"/>
    <s v="-"/>
    <n v="12.88"/>
    <s v="-"/>
    <s v="-"/>
    <s v="-"/>
    <s v="-"/>
    <s v="-"/>
    <s v="-"/>
    <s v="-"/>
    <s v="-"/>
    <s v="P"/>
    <s v="P"/>
    <s v="-"/>
    <n v="2"/>
    <n v="1"/>
    <n v="2"/>
    <n v="1"/>
    <s v="-"/>
    <s v="-"/>
    <s v="-"/>
    <s v="-"/>
    <s v="-"/>
    <s v="-"/>
    <s v="-"/>
    <n v="6"/>
    <n v="6"/>
    <s v="-"/>
    <n v="1"/>
    <n v="1"/>
    <n v="2"/>
    <n v="2"/>
    <n v="8"/>
    <n v="8"/>
  </r>
  <r>
    <x v="4"/>
    <x v="96"/>
    <s v="-"/>
    <s v="2ND"/>
    <d v="1899-12-30T14:00:00"/>
    <n v="1"/>
    <x v="2"/>
    <n v="1.12E-2"/>
    <s v="P"/>
    <s v="P"/>
    <s v="P"/>
    <s v="-"/>
    <s v="+"/>
    <n v="10.41"/>
    <n v="9.4"/>
    <n v="0.59"/>
    <n v="58"/>
    <s v="-"/>
    <s v="-"/>
    <n v="25.7"/>
    <s v="-"/>
    <s v="-"/>
    <s v="-"/>
    <s v="-"/>
    <s v="40% 20% 40%"/>
    <n v="2"/>
    <n v="1"/>
    <n v="2"/>
    <n v="0"/>
    <n v="0"/>
    <n v="2"/>
    <n v="0"/>
    <s v="-"/>
    <s v="-"/>
    <n v="0"/>
    <s v="-"/>
    <n v="7"/>
    <n v="13"/>
    <s v="-"/>
    <s v="-"/>
    <s v="-"/>
    <n v="0"/>
    <n v="0"/>
    <n v="7"/>
    <n v="13"/>
  </r>
  <r>
    <x v="4"/>
    <x v="96"/>
    <d v="2026-05-04T00:00:00"/>
    <s v="2ND"/>
    <d v="1899-12-30T15:00:00"/>
    <n v="1"/>
    <x v="2"/>
    <n v="1.2E-2"/>
    <s v="P"/>
    <s v="P"/>
    <s v="P"/>
    <s v="-"/>
    <s v="+"/>
    <n v="10.42"/>
    <s v="-"/>
    <s v="-"/>
    <s v="-"/>
    <s v="-"/>
    <s v="-"/>
    <s v="-"/>
    <s v="-"/>
    <s v="-"/>
    <s v="-"/>
    <s v="-"/>
    <s v="-"/>
    <n v="2"/>
    <n v="1"/>
    <n v="2"/>
    <n v="0"/>
    <s v="-"/>
    <s v="-"/>
    <s v="-"/>
    <s v="-"/>
    <s v="-"/>
    <s v="-"/>
    <s v="-"/>
    <n v="5"/>
    <n v="6"/>
    <s v="-"/>
    <s v="-"/>
    <s v="-"/>
    <n v="0"/>
    <n v="0"/>
    <n v="5"/>
    <n v="6"/>
  </r>
  <r>
    <x v="4"/>
    <x v="96"/>
    <d v="2026-05-04T00:00:00"/>
    <s v="2ND"/>
    <d v="1899-12-30T17:00:00"/>
    <n v="1"/>
    <x v="2"/>
    <n v="8.5000000000000006E-3"/>
    <s v="-"/>
    <s v="-"/>
    <s v="-"/>
    <s v="-"/>
    <s v="-"/>
    <s v="-"/>
    <s v="-"/>
    <s v="-"/>
    <s v="-"/>
    <s v="-"/>
    <s v="-"/>
    <s v="-"/>
    <s v="-"/>
    <s v="-"/>
    <s v="-"/>
    <s v="-"/>
    <s v="-"/>
    <n v="2"/>
    <s v="-"/>
    <s v="-"/>
    <s v="-"/>
    <s v="-"/>
    <s v="-"/>
    <s v="-"/>
    <s v="-"/>
    <s v="-"/>
    <s v="-"/>
    <s v="-"/>
    <n v="2"/>
    <n v="2"/>
    <s v="-"/>
    <s v="-"/>
    <s v="-"/>
    <n v="0"/>
    <n v="0"/>
    <n v="2"/>
    <n v="2"/>
  </r>
  <r>
    <x v="4"/>
    <x v="96"/>
    <d v="1902-03-25T00:00:00"/>
    <s v="2ND"/>
    <d v="1899-12-30T14:00:00"/>
    <n v="2"/>
    <x v="22"/>
    <n v="7.9000000000000008E-3"/>
    <s v="P"/>
    <s v="P"/>
    <s v="P"/>
    <s v="-"/>
    <s v="-"/>
    <n v="10.99"/>
    <n v="8.8699999999999992"/>
    <n v="0.51"/>
    <n v="56.3"/>
    <s v="-"/>
    <s v="-"/>
    <n v="24"/>
    <s v="-"/>
    <s v="-"/>
    <s v="-"/>
    <s v="-"/>
    <s v="-"/>
    <n v="2"/>
    <n v="1"/>
    <n v="2"/>
    <n v="0"/>
    <n v="1"/>
    <n v="2"/>
    <n v="2"/>
    <s v="-"/>
    <s v="-"/>
    <n v="2"/>
    <s v="-"/>
    <n v="12"/>
    <n v="13"/>
    <s v="-"/>
    <s v="-"/>
    <s v="-"/>
    <n v="0"/>
    <n v="0"/>
    <n v="12"/>
    <n v="13"/>
  </r>
  <r>
    <x v="4"/>
    <x v="96"/>
    <d v="1899-12-30T00:00:00"/>
    <s v="2ND"/>
    <d v="1899-12-30T15:00:00"/>
    <n v="2"/>
    <x v="22"/>
    <n v="8.9999999999999993E-3"/>
    <s v="P"/>
    <s v="P"/>
    <s v="P"/>
    <s v="-"/>
    <s v="-"/>
    <n v="11"/>
    <s v="-"/>
    <s v="-"/>
    <s v="-"/>
    <s v="-"/>
    <s v="-"/>
    <s v="-"/>
    <s v="-"/>
    <s v="-"/>
    <s v="-"/>
    <s v="-"/>
    <s v="-"/>
    <n v="2"/>
    <n v="1"/>
    <n v="2"/>
    <n v="1"/>
    <s v="-"/>
    <s v="-"/>
    <s v="-"/>
    <s v="-"/>
    <s v="-"/>
    <s v="-"/>
    <s v="-"/>
    <n v="6"/>
    <n v="6"/>
    <s v="-"/>
    <s v="-"/>
    <s v="-"/>
    <n v="0"/>
    <n v="0"/>
    <n v="6"/>
    <n v="6"/>
  </r>
  <r>
    <x v="4"/>
    <x v="96"/>
    <d v="1899-12-30T00:00:00"/>
    <s v="2ND"/>
    <d v="1899-12-30T16:00:00"/>
    <n v="2"/>
    <x v="22"/>
    <n v="1.0500000000000001E-2"/>
    <s v="P"/>
    <s v="P"/>
    <s v="P"/>
    <s v="-"/>
    <s v="-"/>
    <n v="10.98"/>
    <s v="-"/>
    <s v="-"/>
    <s v="-"/>
    <s v="-"/>
    <s v="-"/>
    <s v="-"/>
    <s v="-"/>
    <s v="-"/>
    <s v="-"/>
    <s v="-"/>
    <s v="-"/>
    <n v="2"/>
    <n v="1"/>
    <n v="2"/>
    <n v="0"/>
    <s v="-"/>
    <s v="-"/>
    <s v="-"/>
    <s v="-"/>
    <s v="-"/>
    <s v="-"/>
    <s v="-"/>
    <n v="5"/>
    <n v="6"/>
    <s v="-"/>
    <s v="-"/>
    <s v="-"/>
    <n v="0"/>
    <n v="0"/>
    <n v="5"/>
    <n v="6"/>
  </r>
  <r>
    <x v="4"/>
    <x v="96"/>
    <d v="1899-12-30T00:00:00"/>
    <s v="2ND"/>
    <d v="1899-12-30T20:00:00"/>
    <n v="2"/>
    <x v="22"/>
    <s v="-"/>
    <s v="P"/>
    <s v="P"/>
    <s v="P"/>
    <s v="-"/>
    <s v="-"/>
    <s v="-"/>
    <s v="-"/>
    <s v="-"/>
    <s v="-"/>
    <s v="-"/>
    <s v="-"/>
    <s v="-"/>
    <s v="-"/>
    <s v="-"/>
    <s v="-"/>
    <s v="-"/>
    <s v="-"/>
    <s v="-"/>
    <n v="1"/>
    <n v="2"/>
    <s v="-"/>
    <s v="-"/>
    <s v="-"/>
    <s v="-"/>
    <s v="-"/>
    <s v="-"/>
    <s v="-"/>
    <s v="-"/>
    <n v="3"/>
    <n v="3"/>
    <s v="-"/>
    <s v="-"/>
    <s v="-"/>
    <n v="0"/>
    <n v="0"/>
    <n v="3"/>
    <n v="3"/>
  </r>
  <r>
    <x v="4"/>
    <x v="96"/>
    <d v="1899-12-30T00:00:00"/>
    <s v="2ND"/>
    <d v="1899-12-30T21:00:00"/>
    <n v="2"/>
    <x v="22"/>
    <s v="-"/>
    <s v="-"/>
    <s v="-"/>
    <s v="-"/>
    <s v="-"/>
    <s v="-"/>
    <s v="-"/>
    <s v="-"/>
    <s v="-"/>
    <s v="-"/>
    <s v="-"/>
    <s v="-"/>
    <s v="-"/>
    <s v="-"/>
    <s v="-"/>
    <s v="-"/>
    <s v="-"/>
    <s v="-"/>
    <s v="-"/>
    <s v="-"/>
    <s v="-"/>
    <s v="-"/>
    <s v="-"/>
    <s v="-"/>
    <s v="-"/>
    <s v="-"/>
    <s v="-"/>
    <s v="-"/>
    <s v="-"/>
    <n v="0"/>
    <n v="0"/>
    <s v="-"/>
    <s v="-"/>
    <s v="-"/>
    <n v="0"/>
    <n v="0"/>
    <n v="0"/>
    <n v="0"/>
  </r>
  <r>
    <x v="4"/>
    <x v="96"/>
    <d v="2026-05-06T00:00:00"/>
    <s v="2ND"/>
    <d v="1899-12-30T14:00:00"/>
    <n v="3"/>
    <x v="28"/>
    <n v="7.1000000000000004E-3"/>
    <s v="P"/>
    <s v="P"/>
    <s v="P"/>
    <s v="-"/>
    <s v="-"/>
    <n v="12.27"/>
    <n v="12.66"/>
    <n v="0.46"/>
    <n v="64.5"/>
    <s v="-"/>
    <s v="-"/>
    <n v="35.4"/>
    <s v="-"/>
    <s v="-"/>
    <s v="-"/>
    <s v="-"/>
    <n v="1"/>
    <n v="2"/>
    <n v="1"/>
    <n v="2"/>
    <n v="1"/>
    <n v="1"/>
    <n v="2"/>
    <n v="2"/>
    <s v="-"/>
    <s v="-"/>
    <n v="2"/>
    <s v="-"/>
    <n v="13"/>
    <n v="13"/>
    <s v="-"/>
    <s v="-"/>
    <s v="-"/>
    <n v="0"/>
    <n v="0"/>
    <n v="13"/>
    <n v="13"/>
  </r>
  <r>
    <x v="4"/>
    <x v="96"/>
    <s v="-"/>
    <s v="3RD"/>
    <d v="1899-12-30T22:00:00"/>
    <n v="1"/>
    <x v="2"/>
    <n v="7.7999999999999996E-3"/>
    <s v="P"/>
    <s v="P"/>
    <s v="P"/>
    <s v="-"/>
    <s v="+"/>
    <n v="10.32"/>
    <n v="9.2100000000000009"/>
    <s v="-"/>
    <s v="-"/>
    <s v="-"/>
    <s v="-"/>
    <n v="25.1"/>
    <s v="-"/>
    <s v="-"/>
    <s v="P"/>
    <s v="P"/>
    <s v="40% 20% 40%"/>
    <n v="2"/>
    <n v="1"/>
    <n v="2"/>
    <n v="0"/>
    <n v="0"/>
    <s v="-"/>
    <s v="-"/>
    <s v="-"/>
    <s v="-"/>
    <n v="0"/>
    <s v="-"/>
    <n v="5"/>
    <n v="9"/>
    <s v="-"/>
    <n v="1"/>
    <n v="1"/>
    <n v="2"/>
    <n v="2"/>
    <n v="7"/>
    <n v="11"/>
  </r>
  <r>
    <x v="4"/>
    <x v="96"/>
    <d v="2026-05-04T00:00:00"/>
    <s v="3RD"/>
    <d v="1899-12-30T23:00:00"/>
    <n v="1"/>
    <x v="2"/>
    <n v="9.9000000000000008E-3"/>
    <s v="P"/>
    <s v="P"/>
    <s v="P"/>
    <s v="-"/>
    <s v="+"/>
    <n v="10.49"/>
    <s v="-"/>
    <s v="-"/>
    <s v="-"/>
    <s v="-"/>
    <s v="-"/>
    <s v="-"/>
    <s v="-"/>
    <s v="-"/>
    <s v="P"/>
    <s v="P"/>
    <s v="-"/>
    <n v="2"/>
    <n v="1"/>
    <n v="2"/>
    <n v="0"/>
    <s v="-"/>
    <s v="-"/>
    <s v="-"/>
    <s v="-"/>
    <s v="-"/>
    <s v="-"/>
    <s v="-"/>
    <n v="5"/>
    <n v="6"/>
    <s v="-"/>
    <n v="1"/>
    <n v="1"/>
    <n v="2"/>
    <n v="2"/>
    <n v="7"/>
    <n v="8"/>
  </r>
  <r>
    <x v="4"/>
    <x v="96"/>
    <d v="2026-05-05T00:00:00"/>
    <s v="3RD"/>
    <d v="1899-12-31T00:00:00"/>
    <n v="1"/>
    <x v="4"/>
    <n v="5.5999999999999999E-3"/>
    <s v="P"/>
    <s v="P"/>
    <s v="P"/>
    <s v="-"/>
    <s v="+"/>
    <n v="10.53"/>
    <s v="-"/>
    <s v="-"/>
    <s v="-"/>
    <s v="-"/>
    <s v="-"/>
    <s v="-"/>
    <s v="-"/>
    <s v="-"/>
    <s v="P"/>
    <s v="P"/>
    <n v="1"/>
    <n v="2"/>
    <n v="1"/>
    <n v="2"/>
    <n v="0"/>
    <s v="-"/>
    <s v="-"/>
    <s v="-"/>
    <s v="-"/>
    <s v="-"/>
    <s v="-"/>
    <s v="-"/>
    <n v="5"/>
    <n v="6"/>
    <s v="-"/>
    <n v="1"/>
    <n v="1"/>
    <n v="2"/>
    <n v="2"/>
    <n v="7"/>
    <n v="8"/>
  </r>
  <r>
    <x v="4"/>
    <x v="96"/>
    <d v="2026-05-05T00:00:00"/>
    <s v="3RD"/>
    <d v="1899-12-31T01:00:00"/>
    <n v="1"/>
    <x v="4"/>
    <n v="8.0000000000000002E-3"/>
    <s v="P"/>
    <s v="P"/>
    <s v="P"/>
    <s v="-"/>
    <s v="+"/>
    <n v="10.96"/>
    <n v="9.76"/>
    <n v="0.51"/>
    <n v="56.5"/>
    <s v="-"/>
    <s v="-"/>
    <n v="26.9"/>
    <s v="-"/>
    <s v="-"/>
    <s v="P"/>
    <s v="P"/>
    <s v="-"/>
    <n v="2"/>
    <n v="1"/>
    <n v="2"/>
    <n v="0"/>
    <n v="0"/>
    <n v="2"/>
    <n v="2"/>
    <s v="-"/>
    <s v="-"/>
    <n v="2"/>
    <s v="-"/>
    <n v="11"/>
    <n v="13"/>
    <s v="-"/>
    <n v="1"/>
    <n v="1"/>
    <n v="2"/>
    <n v="2"/>
    <n v="13"/>
    <n v="15"/>
  </r>
  <r>
    <x v="4"/>
    <x v="96"/>
    <d v="1902-03-25T00:00:00"/>
    <s v="3RD"/>
    <d v="1899-12-30T22:00:00"/>
    <n v="2"/>
    <x v="40"/>
    <n v="1.5299999999999999E-2"/>
    <s v="P"/>
    <s v="P"/>
    <s v="P"/>
    <s v="-"/>
    <s v="-"/>
    <n v="11.09"/>
    <n v="8.8800000000000008"/>
    <s v="-"/>
    <s v="-"/>
    <s v="-"/>
    <s v="-"/>
    <n v="24"/>
    <s v="-"/>
    <s v="-"/>
    <s v="P"/>
    <s v="P"/>
    <s v="-"/>
    <n v="2"/>
    <n v="1"/>
    <n v="2"/>
    <n v="1"/>
    <n v="1"/>
    <s v="-"/>
    <s v="-"/>
    <s v="-"/>
    <s v="-"/>
    <n v="2"/>
    <s v="-"/>
    <n v="9"/>
    <n v="9"/>
    <s v="-"/>
    <n v="1"/>
    <n v="1"/>
    <n v="2"/>
    <n v="2"/>
    <n v="11"/>
    <n v="11"/>
  </r>
  <r>
    <x v="4"/>
    <x v="96"/>
    <d v="1899-12-30T00:00:00"/>
    <s v="3RD"/>
    <d v="1899-12-30T23:00:00"/>
    <n v="2"/>
    <x v="40"/>
    <n v="1.0500000000000001E-2"/>
    <s v="P"/>
    <s v="P"/>
    <s v="P"/>
    <s v="-"/>
    <s v="-"/>
    <n v="11.1"/>
    <s v="-"/>
    <s v="-"/>
    <s v="-"/>
    <s v="-"/>
    <s v="-"/>
    <s v="-"/>
    <s v="-"/>
    <s v="-"/>
    <s v="P"/>
    <s v="P"/>
    <s v="-"/>
    <n v="2"/>
    <n v="1"/>
    <n v="2"/>
    <n v="1"/>
    <s v="-"/>
    <s v="-"/>
    <s v="-"/>
    <s v="-"/>
    <s v="-"/>
    <s v="-"/>
    <s v="-"/>
    <n v="6"/>
    <n v="6"/>
    <s v="-"/>
    <n v="1"/>
    <n v="1"/>
    <n v="2"/>
    <n v="2"/>
    <n v="8"/>
    <n v="8"/>
  </r>
  <r>
    <x v="4"/>
    <x v="96"/>
    <d v="1899-12-30T00:00:00"/>
    <s v="3RD"/>
    <d v="1899-12-31T00:00:00"/>
    <n v="2"/>
    <x v="40"/>
    <n v="1.14E-2"/>
    <s v="P"/>
    <s v="P"/>
    <s v="P"/>
    <s v="-"/>
    <s v="-"/>
    <n v="10.98"/>
    <s v="-"/>
    <s v="-"/>
    <s v="-"/>
    <s v="-"/>
    <s v="-"/>
    <s v="-"/>
    <s v="-"/>
    <s v="-"/>
    <s v="P"/>
    <s v="P"/>
    <s v="-"/>
    <n v="2"/>
    <n v="1"/>
    <n v="2"/>
    <n v="0"/>
    <s v="-"/>
    <s v="-"/>
    <s v="-"/>
    <s v="-"/>
    <s v="-"/>
    <s v="-"/>
    <s v="-"/>
    <n v="5"/>
    <n v="6"/>
    <s v="-"/>
    <n v="1"/>
    <n v="1"/>
    <n v="2"/>
    <n v="2"/>
    <n v="7"/>
    <n v="8"/>
  </r>
  <r>
    <x v="4"/>
    <x v="96"/>
    <d v="1899-12-30T00:00:00"/>
    <s v="3RD"/>
    <d v="1899-12-31T01:00:00"/>
    <n v="2"/>
    <x v="40"/>
    <n v="1.2E-2"/>
    <s v="P"/>
    <s v="P"/>
    <s v="P"/>
    <s v="-"/>
    <s v="-"/>
    <n v="10.92"/>
    <s v="-"/>
    <s v="-"/>
    <s v="-"/>
    <s v="-"/>
    <s v="-"/>
    <s v="-"/>
    <s v="-"/>
    <s v="-"/>
    <s v="P"/>
    <s v="P"/>
    <s v="-"/>
    <n v="2"/>
    <n v="1"/>
    <n v="2"/>
    <n v="0"/>
    <s v="-"/>
    <s v="-"/>
    <s v="-"/>
    <s v="-"/>
    <s v="-"/>
    <s v="-"/>
    <s v="-"/>
    <n v="5"/>
    <n v="6"/>
    <s v="-"/>
    <n v="1"/>
    <n v="1"/>
    <n v="2"/>
    <n v="2"/>
    <n v="7"/>
    <n v="8"/>
  </r>
  <r>
    <x v="4"/>
    <x v="96"/>
    <d v="1899-12-30T00:00:00"/>
    <s v="3RD"/>
    <d v="1899-12-31T02:00:00"/>
    <n v="2"/>
    <x v="40"/>
    <n v="1.1299999999999999E-2"/>
    <s v="P"/>
    <s v="P"/>
    <s v="P"/>
    <s v="-"/>
    <s v="-"/>
    <n v="10.86"/>
    <s v="-"/>
    <s v="-"/>
    <s v="-"/>
    <s v="-"/>
    <s v="-"/>
    <s v="-"/>
    <s v="-"/>
    <s v="-"/>
    <s v="P"/>
    <s v="P"/>
    <s v="-"/>
    <n v="2"/>
    <n v="1"/>
    <n v="2"/>
    <n v="0"/>
    <s v="-"/>
    <s v="-"/>
    <s v="-"/>
    <s v="-"/>
    <s v="-"/>
    <s v="-"/>
    <s v="-"/>
    <n v="5"/>
    <n v="6"/>
    <s v="-"/>
    <n v="1"/>
    <n v="1"/>
    <n v="2"/>
    <n v="2"/>
    <n v="7"/>
    <n v="8"/>
  </r>
  <r>
    <x v="4"/>
    <x v="96"/>
    <d v="1899-12-30T00:00:00"/>
    <s v="3RD"/>
    <d v="1899-12-31T03:00:00"/>
    <n v="2"/>
    <x v="40"/>
    <n v="1.5800000000000002E-2"/>
    <s v="P"/>
    <s v="P"/>
    <s v="P"/>
    <s v="-"/>
    <s v="-"/>
    <n v="10.73"/>
    <s v="-"/>
    <s v="-"/>
    <s v="-"/>
    <s v="-"/>
    <s v="-"/>
    <s v="-"/>
    <s v="-"/>
    <s v="-"/>
    <s v="P"/>
    <s v="P"/>
    <s v="-"/>
    <n v="2"/>
    <n v="1"/>
    <n v="2"/>
    <n v="0"/>
    <s v="-"/>
    <s v="-"/>
    <s v="-"/>
    <s v="-"/>
    <s v="-"/>
    <s v="-"/>
    <s v="-"/>
    <n v="5"/>
    <n v="6"/>
    <s v="-"/>
    <n v="1"/>
    <n v="1"/>
    <n v="2"/>
    <n v="2"/>
    <n v="7"/>
    <n v="8"/>
  </r>
  <r>
    <x v="4"/>
    <x v="96"/>
    <d v="1899-12-30T00:00:00"/>
    <s v="3RD"/>
    <d v="1899-12-31T04:00:00"/>
    <n v="2"/>
    <x v="40"/>
    <n v="1.9199999999999998E-2"/>
    <s v="P"/>
    <s v="P"/>
    <s v="P"/>
    <s v="-"/>
    <s v="-"/>
    <n v="11"/>
    <s v="-"/>
    <s v="-"/>
    <s v="-"/>
    <s v="-"/>
    <s v="-"/>
    <s v="-"/>
    <s v="-"/>
    <s v="-"/>
    <s v="P"/>
    <s v="P"/>
    <s v="-"/>
    <n v="2"/>
    <n v="1"/>
    <n v="2"/>
    <n v="1"/>
    <s v="-"/>
    <s v="-"/>
    <s v="-"/>
    <s v="-"/>
    <s v="-"/>
    <s v="-"/>
    <s v="-"/>
    <n v="6"/>
    <n v="6"/>
    <s v="-"/>
    <n v="1"/>
    <n v="1"/>
    <n v="2"/>
    <n v="2"/>
    <n v="8"/>
    <n v="8"/>
  </r>
  <r>
    <x v="4"/>
    <x v="96"/>
    <d v="1899-12-30T00:00:00"/>
    <s v="3RD"/>
    <d v="1899-12-31T05:00:00"/>
    <n v="2"/>
    <x v="40"/>
    <s v="-"/>
    <s v="P"/>
    <s v="P"/>
    <s v="P"/>
    <s v="-"/>
    <s v="-"/>
    <s v="-"/>
    <s v="-"/>
    <s v="-"/>
    <s v="-"/>
    <s v="-"/>
    <s v="-"/>
    <s v="-"/>
    <s v="-"/>
    <s v="-"/>
    <s v="P"/>
    <s v="P"/>
    <s v="-"/>
    <s v="-"/>
    <n v="1"/>
    <n v="2"/>
    <s v="-"/>
    <s v="-"/>
    <s v="-"/>
    <s v="-"/>
    <s v="-"/>
    <s v="-"/>
    <s v="-"/>
    <s v="-"/>
    <n v="3"/>
    <n v="3"/>
    <s v="-"/>
    <n v="1"/>
    <n v="1"/>
    <n v="2"/>
    <n v="2"/>
    <n v="5"/>
    <n v="5"/>
  </r>
  <r>
    <x v="4"/>
    <x v="96"/>
    <d v="2026-04-21T00:00:00"/>
    <s v="3RD"/>
    <d v="1899-12-31T00:00:00"/>
    <n v="3"/>
    <x v="1"/>
    <n v="1.37E-2"/>
    <s v="P"/>
    <s v="P"/>
    <s v="P"/>
    <s v="+"/>
    <s v="+"/>
    <n v="12.48"/>
    <n v="12.17"/>
    <n v="0.59"/>
    <n v="64.900000000000006"/>
    <s v="-"/>
    <s v="-"/>
    <n v="33.9"/>
    <s v="-"/>
    <s v="-"/>
    <s v="P"/>
    <s v="P"/>
    <s v="85% 5% 10%"/>
    <n v="2"/>
    <n v="1"/>
    <n v="2"/>
    <n v="1"/>
    <n v="1"/>
    <n v="2"/>
    <n v="2"/>
    <s v="-"/>
    <s v="-"/>
    <n v="2"/>
    <s v="-"/>
    <n v="13"/>
    <n v="13"/>
    <s v="-"/>
    <n v="1"/>
    <n v="1"/>
    <n v="2"/>
    <n v="2"/>
    <n v="15"/>
    <n v="15"/>
  </r>
  <r>
    <x v="4"/>
    <x v="96"/>
    <d v="2026-04-21T00:00:00"/>
    <s v="3RD"/>
    <d v="1899-12-31T01:00:00"/>
    <n v="3"/>
    <x v="1"/>
    <n v="1.5800000000000002E-2"/>
    <s v="P"/>
    <s v="P"/>
    <s v="P"/>
    <s v="+"/>
    <s v="+"/>
    <n v="12.68"/>
    <s v="-"/>
    <s v="-"/>
    <s v="-"/>
    <s v="-"/>
    <s v="-"/>
    <s v="-"/>
    <s v="-"/>
    <s v="-"/>
    <s v="P"/>
    <s v="P"/>
    <s v="-"/>
    <n v="2"/>
    <n v="1"/>
    <n v="2"/>
    <n v="1"/>
    <s v="-"/>
    <s v="-"/>
    <s v="-"/>
    <s v="-"/>
    <s v="-"/>
    <s v="-"/>
    <s v="-"/>
    <n v="6"/>
    <n v="6"/>
    <s v="-"/>
    <n v="1"/>
    <n v="1"/>
    <n v="2"/>
    <n v="2"/>
    <n v="8"/>
    <n v="8"/>
  </r>
  <r>
    <x v="4"/>
    <x v="96"/>
    <d v="2026-04-21T00:00:00"/>
    <s v="3RD"/>
    <d v="1899-12-31T02:00:00"/>
    <n v="3"/>
    <x v="39"/>
    <n v="1.0699999999999999E-2"/>
    <s v="P"/>
    <s v="P"/>
    <s v="P"/>
    <s v="+"/>
    <s v="+"/>
    <n v="12.72"/>
    <n v="12.63"/>
    <n v="0.66"/>
    <n v="64.900000000000006"/>
    <s v="-"/>
    <s v="-"/>
    <n v="35.299999999999997"/>
    <s v="-"/>
    <s v="-"/>
    <s v="P"/>
    <s v="P"/>
    <s v="70% 30%"/>
    <n v="2"/>
    <n v="1"/>
    <n v="2"/>
    <n v="1"/>
    <n v="1"/>
    <n v="0"/>
    <n v="2"/>
    <s v="-"/>
    <s v="-"/>
    <n v="2"/>
    <s v="-"/>
    <n v="11"/>
    <n v="13"/>
    <s v="-"/>
    <n v="1"/>
    <n v="1"/>
    <n v="2"/>
    <n v="2"/>
    <n v="13"/>
    <n v="15"/>
  </r>
  <r>
    <x v="4"/>
    <x v="96"/>
    <d v="2026-04-21T00:00:00"/>
    <s v="3RD"/>
    <d v="1899-12-31T03:00:00"/>
    <n v="3"/>
    <x v="39"/>
    <n v="1.3299999999999999E-2"/>
    <s v="P"/>
    <s v="P"/>
    <s v="P"/>
    <s v="+"/>
    <s v="+"/>
    <n v="12.72"/>
    <s v="-"/>
    <s v="-"/>
    <s v="-"/>
    <s v="-"/>
    <s v="-"/>
    <s v="-"/>
    <s v="-"/>
    <s v="-"/>
    <s v="P"/>
    <s v="P"/>
    <s v="-"/>
    <n v="2"/>
    <n v="1"/>
    <n v="2"/>
    <n v="1"/>
    <s v="-"/>
    <s v="-"/>
    <s v="-"/>
    <s v="-"/>
    <s v="-"/>
    <s v="-"/>
    <s v="-"/>
    <n v="6"/>
    <n v="6"/>
    <s v="-"/>
    <n v="1"/>
    <n v="1"/>
    <n v="2"/>
    <n v="2"/>
    <n v="8"/>
    <n v="8"/>
  </r>
  <r>
    <x v="4"/>
    <x v="96"/>
    <d v="2026-04-21T00:00:00"/>
    <s v="3RD"/>
    <d v="1899-12-31T04:00:00"/>
    <n v="3"/>
    <x v="39"/>
    <n v="1.5800000000000002E-2"/>
    <s v="P"/>
    <s v="P"/>
    <s v="P"/>
    <s v="+"/>
    <s v="+"/>
    <n v="12.82"/>
    <s v="-"/>
    <s v="-"/>
    <s v="-"/>
    <s v="-"/>
    <s v="-"/>
    <s v="-"/>
    <s v="-"/>
    <s v="-"/>
    <s v="P"/>
    <s v="P"/>
    <s v="-"/>
    <n v="2"/>
    <n v="1"/>
    <n v="2"/>
    <n v="1"/>
    <s v="-"/>
    <s v="-"/>
    <s v="-"/>
    <s v="-"/>
    <s v="-"/>
    <s v="-"/>
    <s v="-"/>
    <n v="6"/>
    <n v="6"/>
    <s v="-"/>
    <n v="1"/>
    <n v="1"/>
    <n v="2"/>
    <n v="2"/>
    <n v="8"/>
    <n v="8"/>
  </r>
  <r>
    <x v="4"/>
    <x v="97"/>
    <d v="2026-03-20T00:00:00"/>
    <s v="1ST"/>
    <s v="07:00"/>
    <n v="1"/>
    <x v="20"/>
    <n v="1.5699999999999999E-2"/>
    <s v="P"/>
    <s v="P"/>
    <s v="P"/>
    <s v="-"/>
    <s v="-"/>
    <n v="11.49"/>
    <n v="12.06"/>
    <n v="0.54"/>
    <n v="65.8"/>
    <s v="-"/>
    <s v="-"/>
    <n v="33.799999999999997"/>
    <s v="-"/>
    <s v="-"/>
    <s v="P"/>
    <s v="P"/>
    <n v="1"/>
    <n v="2"/>
    <n v="1"/>
    <n v="2"/>
    <n v="1"/>
    <n v="1"/>
    <n v="2"/>
    <n v="2"/>
    <s v="-"/>
    <s v="-"/>
    <n v="2"/>
    <s v="-"/>
    <n v="13"/>
    <n v="13"/>
    <s v="-"/>
    <n v="1"/>
    <n v="1"/>
    <n v="2"/>
    <n v="2"/>
    <n v="15"/>
    <n v="15"/>
  </r>
  <r>
    <x v="4"/>
    <x v="97"/>
    <d v="2026-03-20T00:00:00"/>
    <s v="1ST"/>
    <s v="09:00"/>
    <n v="1"/>
    <x v="20"/>
    <n v="9.1999999999999998E-3"/>
    <s v="-"/>
    <s v="-"/>
    <s v="-"/>
    <s v="-"/>
    <s v="-"/>
    <s v="-"/>
    <s v="-"/>
    <s v="-"/>
    <s v="-"/>
    <s v="-"/>
    <s v="-"/>
    <s v="-"/>
    <s v="-"/>
    <s v="-"/>
    <s v="-"/>
    <s v="-"/>
    <s v="-"/>
    <n v="2"/>
    <s v="-"/>
    <s v="-"/>
    <s v="-"/>
    <s v="-"/>
    <s v="-"/>
    <s v="-"/>
    <s v="-"/>
    <s v="-"/>
    <s v="-"/>
    <s v="-"/>
    <n v="2"/>
    <n v="2"/>
    <s v="-"/>
    <s v="-"/>
    <s v="-"/>
    <n v="0"/>
    <n v="0"/>
    <n v="2"/>
    <n v="2"/>
  </r>
  <r>
    <x v="4"/>
    <x v="97"/>
    <d v="1902-03-25T00:00:00"/>
    <s v="1ST"/>
    <s v="06:00"/>
    <n v="2"/>
    <x v="22"/>
    <n v="1.95E-2"/>
    <s v="P"/>
    <s v="P"/>
    <s v="P"/>
    <s v="-"/>
    <s v="-"/>
    <n v="10.3"/>
    <n v="9.3800000000000008"/>
    <n v="0.53"/>
    <n v="56.4"/>
    <s v="-"/>
    <s v="-"/>
    <n v="25.7"/>
    <s v="-"/>
    <s v="-"/>
    <s v="P"/>
    <s v="P"/>
    <s v="-"/>
    <n v="2"/>
    <n v="1"/>
    <n v="2"/>
    <n v="0"/>
    <n v="1"/>
    <n v="2"/>
    <n v="2"/>
    <s v="-"/>
    <s v="-"/>
    <n v="2"/>
    <s v="-"/>
    <n v="12"/>
    <n v="13"/>
    <s v="-"/>
    <n v="1"/>
    <n v="1"/>
    <n v="2"/>
    <n v="2"/>
    <n v="14"/>
    <n v="15"/>
  </r>
  <r>
    <x v="4"/>
    <x v="97"/>
    <d v="1899-12-30T00:00:00"/>
    <s v="1ST"/>
    <s v="08:00"/>
    <n v="2"/>
    <x v="22"/>
    <n v="1.2E-2"/>
    <s v="P"/>
    <s v="P"/>
    <s v="P"/>
    <s v="-"/>
    <s v="-"/>
    <n v="10.77"/>
    <s v="-"/>
    <s v="-"/>
    <s v="-"/>
    <s v="-"/>
    <s v="-"/>
    <s v="-"/>
    <s v="-"/>
    <s v="-"/>
    <s v="P"/>
    <s v="P"/>
    <s v="-"/>
    <n v="2"/>
    <n v="1"/>
    <n v="2"/>
    <n v="0"/>
    <s v="-"/>
    <s v="-"/>
    <s v="-"/>
    <s v="-"/>
    <s v="-"/>
    <s v="-"/>
    <s v="-"/>
    <n v="5"/>
    <n v="6"/>
    <s v="-"/>
    <n v="1"/>
    <n v="1"/>
    <n v="2"/>
    <n v="2"/>
    <n v="7"/>
    <n v="8"/>
  </r>
  <r>
    <x v="4"/>
    <x v="97"/>
    <d v="1899-12-30T00:00:00"/>
    <s v="1ST"/>
    <s v="10:00"/>
    <n v="2"/>
    <x v="22"/>
    <n v="1.5900000000000001E-2"/>
    <s v="P"/>
    <s v="P"/>
    <s v="P"/>
    <s v="-"/>
    <s v="-"/>
    <n v="10.37"/>
    <s v="-"/>
    <s v="-"/>
    <s v="-"/>
    <s v="-"/>
    <s v="-"/>
    <s v="-"/>
    <s v="-"/>
    <s v="-"/>
    <s v="P"/>
    <s v="P"/>
    <s v="-"/>
    <n v="2"/>
    <n v="1"/>
    <n v="2"/>
    <n v="0"/>
    <s v="-"/>
    <s v="-"/>
    <s v="-"/>
    <s v="-"/>
    <s v="-"/>
    <s v="-"/>
    <s v="-"/>
    <n v="5"/>
    <n v="6"/>
    <s v="-"/>
    <n v="1"/>
    <n v="1"/>
    <n v="2"/>
    <n v="2"/>
    <n v="7"/>
    <n v="8"/>
  </r>
  <r>
    <x v="4"/>
    <x v="97"/>
    <d v="2026-04-21T00:00:00"/>
    <s v="1ST"/>
    <s v="06:00"/>
    <n v="3"/>
    <x v="39"/>
    <n v="1.66E-2"/>
    <s v="P"/>
    <s v="P"/>
    <s v="P"/>
    <s v="+"/>
    <s v="+"/>
    <n v="12.97"/>
    <n v="12.72"/>
    <n v="0.56000000000000005"/>
    <n v="65"/>
    <s v="-"/>
    <s v="-"/>
    <n v="35.5"/>
    <s v="-"/>
    <s v="-"/>
    <s v="P"/>
    <s v="P"/>
    <n v="1"/>
    <n v="2"/>
    <n v="1"/>
    <n v="2"/>
    <n v="1"/>
    <n v="1"/>
    <n v="2"/>
    <n v="2"/>
    <s v="-"/>
    <s v="-"/>
    <n v="2"/>
    <s v="-"/>
    <n v="13"/>
    <n v="13"/>
    <s v="-"/>
    <n v="1"/>
    <n v="1"/>
    <n v="2"/>
    <n v="2"/>
    <n v="15"/>
    <n v="15"/>
  </r>
  <r>
    <x v="4"/>
    <x v="97"/>
    <d v="2026-04-21T00:00:00"/>
    <s v="1ST"/>
    <s v="07:00"/>
    <n v="3"/>
    <x v="39"/>
    <n v="1.49E-2"/>
    <s v="P"/>
    <s v="P"/>
    <s v="P"/>
    <s v="+"/>
    <s v="+"/>
    <n v="12.42"/>
    <s v="-"/>
    <s v="-"/>
    <s v="-"/>
    <s v="-"/>
    <s v="-"/>
    <s v="-"/>
    <s v="-"/>
    <s v="-"/>
    <s v="P"/>
    <s v="P"/>
    <s v="-"/>
    <n v="2"/>
    <n v="1"/>
    <n v="2"/>
    <n v="1"/>
    <s v="-"/>
    <s v="-"/>
    <s v="-"/>
    <s v="-"/>
    <s v="-"/>
    <s v="-"/>
    <s v="-"/>
    <n v="6"/>
    <n v="6"/>
    <s v="-"/>
    <n v="1"/>
    <n v="1"/>
    <n v="2"/>
    <n v="2"/>
    <n v="8"/>
    <n v="8"/>
  </r>
  <r>
    <x v="4"/>
    <x v="97"/>
    <d v="2026-04-21T00:00:00"/>
    <s v="1ST"/>
    <s v="08:00"/>
    <n v="3"/>
    <x v="39"/>
    <n v="1.2E-2"/>
    <s v="P"/>
    <s v="P"/>
    <s v="P"/>
    <s v="+"/>
    <s v="+"/>
    <n v="13.11"/>
    <s v="-"/>
    <s v="-"/>
    <s v="-"/>
    <s v="-"/>
    <s v="-"/>
    <s v="-"/>
    <s v="-"/>
    <s v="-"/>
    <s v="P"/>
    <s v="P"/>
    <s v="-"/>
    <n v="2"/>
    <n v="1"/>
    <n v="2"/>
    <n v="1"/>
    <s v="-"/>
    <s v="-"/>
    <s v="-"/>
    <s v="-"/>
    <s v="-"/>
    <s v="-"/>
    <s v="-"/>
    <n v="6"/>
    <n v="6"/>
    <s v="-"/>
    <n v="1"/>
    <n v="1"/>
    <n v="2"/>
    <n v="2"/>
    <n v="8"/>
    <n v="8"/>
  </r>
  <r>
    <x v="4"/>
    <x v="97"/>
    <d v="2026-04-21T00:00:00"/>
    <s v="1ST"/>
    <s v="10:00"/>
    <n v="3"/>
    <x v="30"/>
    <n v="1.5299999999999999E-2"/>
    <s v="P"/>
    <s v="P"/>
    <s v="P"/>
    <s v="+"/>
    <s v="+"/>
    <n v="11.73"/>
    <n v="12.05"/>
    <n v="0.57999999999999996"/>
    <n v="64.599999999999994"/>
    <s v="-"/>
    <s v="-"/>
    <n v="33.6"/>
    <s v="-"/>
    <s v="-"/>
    <s v="P"/>
    <s v="P"/>
    <s v="70% 20% 10%"/>
    <n v="2"/>
    <n v="1"/>
    <n v="2"/>
    <n v="0"/>
    <n v="1"/>
    <n v="2"/>
    <n v="2"/>
    <s v="-"/>
    <s v="-"/>
    <n v="2"/>
    <s v="-"/>
    <n v="12"/>
    <n v="13"/>
    <s v="-"/>
    <n v="1"/>
    <n v="1"/>
    <n v="2"/>
    <n v="2"/>
    <n v="14"/>
    <n v="15"/>
  </r>
  <r>
    <x v="4"/>
    <x v="97"/>
    <d v="2026-04-21T00:00:00"/>
    <s v="1ST"/>
    <s v="11:00"/>
    <n v="3"/>
    <x v="30"/>
    <n v="1.6400000000000001E-2"/>
    <s v="P"/>
    <s v="P"/>
    <s v="P"/>
    <s v="+"/>
    <s v="+"/>
    <n v="12.48"/>
    <s v="-"/>
    <s v="-"/>
    <s v="-"/>
    <s v="-"/>
    <s v="-"/>
    <s v="-"/>
    <s v="-"/>
    <s v="-"/>
    <s v="P"/>
    <s v="P"/>
    <s v="-"/>
    <n v="2"/>
    <n v="1"/>
    <n v="2"/>
    <n v="1"/>
    <s v="-"/>
    <s v="-"/>
    <s v="-"/>
    <s v="-"/>
    <s v="-"/>
    <s v="-"/>
    <s v="-"/>
    <n v="6"/>
    <n v="6"/>
    <s v="-"/>
    <n v="1"/>
    <n v="1"/>
    <n v="2"/>
    <n v="2"/>
    <n v="8"/>
    <n v="8"/>
  </r>
  <r>
    <x v="4"/>
    <x v="97"/>
    <d v="2026-04-21T00:00:00"/>
    <s v="1ST"/>
    <s v="12:00"/>
    <n v="3"/>
    <x v="6"/>
    <n v="1.46E-2"/>
    <s v="P"/>
    <s v="P"/>
    <s v="P"/>
    <s v="+"/>
    <s v="+"/>
    <n v="12.41"/>
    <n v="12.38"/>
    <n v="0.57999999999999996"/>
    <n v="64.599999999999994"/>
    <s v="-"/>
    <s v="-"/>
    <n v="34.5"/>
    <s v="-"/>
    <s v="-"/>
    <s v="P"/>
    <s v="P"/>
    <s v="70% 20% 10%"/>
    <n v="2"/>
    <n v="1"/>
    <n v="2"/>
    <n v="1"/>
    <n v="1"/>
    <n v="2"/>
    <n v="2"/>
    <s v="-"/>
    <s v="-"/>
    <n v="2"/>
    <s v="-"/>
    <n v="13"/>
    <n v="13"/>
    <s v="-"/>
    <n v="1"/>
    <n v="1"/>
    <n v="2"/>
    <n v="2"/>
    <n v="15"/>
    <n v="15"/>
  </r>
  <r>
    <x v="4"/>
    <x v="97"/>
    <d v="2026-04-21T00:00:00"/>
    <s v="1ST"/>
    <s v="13:00"/>
    <n v="3"/>
    <x v="6"/>
    <n v="1.4999999999999999E-2"/>
    <s v="P"/>
    <s v="P"/>
    <s v="P"/>
    <s v="+"/>
    <s v="+"/>
    <n v="12.76"/>
    <s v="-"/>
    <s v="-"/>
    <s v="-"/>
    <s v="-"/>
    <s v="-"/>
    <s v="-"/>
    <s v="-"/>
    <s v="-"/>
    <s v="P"/>
    <s v="P"/>
    <s v="-"/>
    <n v="2"/>
    <n v="1"/>
    <n v="2"/>
    <n v="1"/>
    <s v="-"/>
    <s v="-"/>
    <s v="-"/>
    <s v="-"/>
    <s v="-"/>
    <s v="-"/>
    <s v="-"/>
    <n v="6"/>
    <n v="6"/>
    <s v="-"/>
    <n v="1"/>
    <n v="1"/>
    <n v="2"/>
    <n v="2"/>
    <n v="8"/>
    <n v="8"/>
  </r>
  <r>
    <x v="4"/>
    <x v="97"/>
    <s v="-"/>
    <s v="2ND"/>
    <d v="1899-12-30T14:00:00"/>
    <n v="1"/>
    <x v="2"/>
    <n v="1.7000000000000001E-2"/>
    <s v="P"/>
    <s v="P"/>
    <s v="P"/>
    <s v="-"/>
    <s v="+"/>
    <n v="10.38"/>
    <n v="9.66"/>
    <n v="0.65"/>
    <n v="58"/>
    <s v="-"/>
    <s v="-"/>
    <n v="26.5"/>
    <s v="-"/>
    <s v="-"/>
    <s v="P"/>
    <s v="P"/>
    <s v="40% 20% 40%"/>
    <n v="2"/>
    <n v="1"/>
    <n v="2"/>
    <n v="0"/>
    <n v="0"/>
    <n v="0"/>
    <n v="0"/>
    <s v="-"/>
    <s v="-"/>
    <n v="0"/>
    <s v="-"/>
    <n v="5"/>
    <n v="13"/>
    <s v="-"/>
    <n v="1"/>
    <n v="1"/>
    <n v="2"/>
    <n v="2"/>
    <n v="7"/>
    <n v="15"/>
  </r>
  <r>
    <x v="4"/>
    <x v="97"/>
    <d v="2026-05-05T00:00:00"/>
    <s v="2ND"/>
    <d v="1899-12-30T15:00:00"/>
    <n v="1"/>
    <x v="2"/>
    <n v="1.35E-2"/>
    <s v="P"/>
    <s v="P"/>
    <s v="P"/>
    <s v="-"/>
    <s v="+"/>
    <n v="10.51"/>
    <s v="-"/>
    <s v="-"/>
    <s v="-"/>
    <s v="-"/>
    <s v="-"/>
    <s v="-"/>
    <s v="-"/>
    <s v="-"/>
    <s v="P"/>
    <s v="P"/>
    <s v="-"/>
    <n v="2"/>
    <n v="1"/>
    <n v="2"/>
    <n v="0"/>
    <s v="-"/>
    <s v="-"/>
    <s v="-"/>
    <s v="-"/>
    <s v="-"/>
    <s v="-"/>
    <s v="-"/>
    <n v="5"/>
    <n v="6"/>
    <s v="-"/>
    <n v="1"/>
    <n v="1"/>
    <n v="2"/>
    <n v="2"/>
    <n v="7"/>
    <n v="8"/>
  </r>
  <r>
    <x v="4"/>
    <x v="97"/>
    <d v="2026-05-05T00:00:00"/>
    <s v="2ND"/>
    <d v="1899-12-30T16:00:00"/>
    <n v="1"/>
    <x v="2"/>
    <n v="1.2E-2"/>
    <s v="P"/>
    <s v="P"/>
    <s v="P"/>
    <s v="-"/>
    <s v="+"/>
    <n v="10.64"/>
    <s v="-"/>
    <s v="-"/>
    <s v="-"/>
    <s v="-"/>
    <s v="-"/>
    <s v="-"/>
    <s v="-"/>
    <s v="-"/>
    <s v="P"/>
    <s v="P"/>
    <s v="-"/>
    <n v="2"/>
    <n v="1"/>
    <n v="2"/>
    <n v="0"/>
    <s v="-"/>
    <s v="-"/>
    <s v="-"/>
    <s v="-"/>
    <s v="-"/>
    <s v="-"/>
    <s v="-"/>
    <n v="5"/>
    <n v="6"/>
    <s v="-"/>
    <n v="1"/>
    <n v="1"/>
    <n v="2"/>
    <n v="2"/>
    <n v="7"/>
    <n v="8"/>
  </r>
  <r>
    <x v="4"/>
    <x v="97"/>
    <d v="1902-03-26T00:00:00"/>
    <s v="2ND"/>
    <d v="1899-12-30T14:00:00"/>
    <n v="2"/>
    <x v="20"/>
    <n v="8.9999999999999993E-3"/>
    <s v="P"/>
    <s v="P"/>
    <s v="P"/>
    <s v="-"/>
    <s v="-"/>
    <n v="11.7"/>
    <n v="12.33"/>
    <n v="0.57999999999999996"/>
    <n v="65.8"/>
    <s v="-"/>
    <s v="-"/>
    <n v="34.5"/>
    <s v="-"/>
    <s v="-"/>
    <s v="P"/>
    <s v="P"/>
    <s v="-"/>
    <n v="2"/>
    <n v="1"/>
    <n v="2"/>
    <n v="1"/>
    <n v="1"/>
    <n v="2"/>
    <n v="2"/>
    <s v="-"/>
    <s v="-"/>
    <n v="2"/>
    <s v="-"/>
    <n v="13"/>
    <n v="13"/>
    <s v="-"/>
    <n v="1"/>
    <n v="1"/>
    <n v="2"/>
    <n v="2"/>
    <n v="15"/>
    <n v="15"/>
  </r>
  <r>
    <x v="4"/>
    <x v="97"/>
    <d v="1899-12-30T00:00:00"/>
    <s v="2ND"/>
    <d v="1899-12-30T15:00:00"/>
    <n v="2"/>
    <x v="20"/>
    <n v="7.7999999999999996E-3"/>
    <s v="P"/>
    <s v="P"/>
    <s v="P"/>
    <s v="-"/>
    <s v="-"/>
    <n v="11.75"/>
    <s v="-"/>
    <s v="-"/>
    <s v="-"/>
    <s v="-"/>
    <s v="-"/>
    <s v="-"/>
    <s v="-"/>
    <s v="-"/>
    <s v="P"/>
    <s v="P"/>
    <s v="-"/>
    <n v="2"/>
    <n v="1"/>
    <n v="2"/>
    <n v="1"/>
    <s v="-"/>
    <s v="-"/>
    <s v="-"/>
    <s v="-"/>
    <s v="-"/>
    <s v="-"/>
    <s v="-"/>
    <n v="6"/>
    <n v="6"/>
    <s v="-"/>
    <n v="1"/>
    <n v="1"/>
    <n v="2"/>
    <n v="2"/>
    <n v="8"/>
    <n v="8"/>
  </r>
  <r>
    <x v="4"/>
    <x v="97"/>
    <d v="1899-12-30T00:00:00"/>
    <s v="2ND"/>
    <d v="1899-12-30T16:00:00"/>
    <n v="2"/>
    <x v="20"/>
    <n v="5.7000000000000002E-3"/>
    <s v="P"/>
    <s v="P"/>
    <s v="P"/>
    <s v="-"/>
    <s v="-"/>
    <n v="11.95"/>
    <s v="-"/>
    <s v="-"/>
    <s v="-"/>
    <s v="-"/>
    <s v="-"/>
    <s v="-"/>
    <s v="-"/>
    <s v="-"/>
    <s v="P"/>
    <s v="P"/>
    <s v="-"/>
    <n v="2"/>
    <n v="1"/>
    <n v="2"/>
    <n v="1"/>
    <s v="-"/>
    <s v="-"/>
    <s v="-"/>
    <s v="-"/>
    <s v="-"/>
    <s v="-"/>
    <s v="-"/>
    <n v="6"/>
    <n v="6"/>
    <s v="-"/>
    <n v="1"/>
    <n v="1"/>
    <n v="2"/>
    <n v="2"/>
    <n v="8"/>
    <n v="8"/>
  </r>
  <r>
    <x v="4"/>
    <x v="97"/>
    <d v="2026-04-21T00:00:00"/>
    <s v="2ND"/>
    <d v="1899-12-30T14:00:00"/>
    <n v="3"/>
    <x v="6"/>
    <n v="1.6500000000000001E-2"/>
    <s v="P"/>
    <s v="P"/>
    <s v="P"/>
    <s v="+"/>
    <s v="+"/>
    <n v="12.39"/>
    <n v="12.38"/>
    <n v="0.56999999999999995"/>
    <n v="64.599999999999994"/>
    <s v="-"/>
    <s v="-"/>
    <n v="34.5"/>
    <s v="-"/>
    <s v="-"/>
    <s v="P"/>
    <s v="P"/>
    <s v="85% 15%"/>
    <n v="2"/>
    <n v="1"/>
    <n v="2"/>
    <n v="1"/>
    <n v="1"/>
    <n v="2"/>
    <n v="2"/>
    <s v="-"/>
    <s v="-"/>
    <n v="2"/>
    <s v="-"/>
    <n v="13"/>
    <n v="13"/>
    <s v="-"/>
    <n v="1"/>
    <n v="1"/>
    <n v="2"/>
    <n v="2"/>
    <n v="15"/>
    <n v="15"/>
  </r>
  <r>
    <x v="4"/>
    <x v="97"/>
    <d v="2026-04-21T00:00:00"/>
    <s v="2ND"/>
    <d v="1899-12-30T16:00:00"/>
    <n v="3"/>
    <x v="6"/>
    <n v="1.9900000000000001E-2"/>
    <s v="P"/>
    <s v="P"/>
    <s v="P"/>
    <s v="+"/>
    <s v="+"/>
    <n v="11.56"/>
    <s v="-"/>
    <s v="-"/>
    <s v="-"/>
    <s v="-"/>
    <s v="-"/>
    <s v="-"/>
    <s v="-"/>
    <s v="-"/>
    <s v="P"/>
    <s v="P"/>
    <s v="-"/>
    <n v="2"/>
    <n v="1"/>
    <n v="2"/>
    <n v="0"/>
    <s v="-"/>
    <s v="-"/>
    <s v="-"/>
    <s v="-"/>
    <s v="-"/>
    <s v="-"/>
    <s v="-"/>
    <n v="5"/>
    <n v="6"/>
    <s v="-"/>
    <n v="1"/>
    <n v="1"/>
    <n v="2"/>
    <n v="2"/>
    <n v="7"/>
    <n v="8"/>
  </r>
  <r>
    <x v="4"/>
    <x v="98"/>
    <s v="-"/>
    <s v="2ND"/>
    <d v="1899-12-30T14:00:00"/>
    <n v="1"/>
    <x v="2"/>
    <n v="1.66E-2"/>
    <s v="P"/>
    <s v="P"/>
    <s v="P"/>
    <s v="-"/>
    <s v="+"/>
    <n v="10.61"/>
    <n v="9.85"/>
    <n v="0.63"/>
    <n v="57.8"/>
    <n v="18.399999999999999"/>
    <s v="-"/>
    <n v="27.1"/>
    <s v="-"/>
    <s v="-"/>
    <s v="P"/>
    <s v="P"/>
    <s v="80% 20%"/>
    <n v="2"/>
    <n v="1"/>
    <n v="2"/>
    <n v="0"/>
    <n v="1"/>
    <n v="0"/>
    <n v="0"/>
    <n v="1"/>
    <s v="-"/>
    <n v="2"/>
    <s v="-"/>
    <n v="9"/>
    <n v="14"/>
    <s v="-"/>
    <n v="1"/>
    <n v="1"/>
    <n v="2"/>
    <n v="2"/>
    <n v="11"/>
    <n v="16"/>
  </r>
  <r>
    <x v="4"/>
    <x v="98"/>
    <d v="2026-05-05T00:00:00"/>
    <s v="2ND"/>
    <d v="1899-12-30T16:00:00"/>
    <n v="1"/>
    <x v="2"/>
    <n v="1.35E-2"/>
    <s v="P"/>
    <s v="P"/>
    <s v="P"/>
    <s v="-"/>
    <s v="+"/>
    <n v="10.52"/>
    <s v="-"/>
    <s v="-"/>
    <s v="-"/>
    <s v="-"/>
    <s v="-"/>
    <s v="-"/>
    <s v="-"/>
    <s v="-"/>
    <s v="P"/>
    <s v="P"/>
    <s v="-"/>
    <n v="2"/>
    <n v="1"/>
    <n v="2"/>
    <n v="0"/>
    <s v="-"/>
    <s v="-"/>
    <s v="-"/>
    <s v="-"/>
    <s v="-"/>
    <s v="-"/>
    <s v="-"/>
    <n v="5"/>
    <n v="6"/>
    <s v="-"/>
    <n v="1"/>
    <n v="1"/>
    <n v="2"/>
    <n v="2"/>
    <n v="7"/>
    <n v="8"/>
  </r>
  <r>
    <x v="4"/>
    <x v="98"/>
    <d v="2026-05-05T00:00:00"/>
    <s v="2ND"/>
    <d v="1899-12-30T17:00:00"/>
    <n v="1"/>
    <x v="2"/>
    <n v="1.3100000000000001E-2"/>
    <s v="P"/>
    <s v="P"/>
    <s v="P"/>
    <s v="-"/>
    <s v="+"/>
    <n v="10.56"/>
    <s v="-"/>
    <s v="-"/>
    <s v="-"/>
    <s v="-"/>
    <s v="-"/>
    <s v="-"/>
    <s v="-"/>
    <s v="-"/>
    <s v="P"/>
    <s v="P"/>
    <s v="-"/>
    <n v="2"/>
    <n v="1"/>
    <n v="2"/>
    <n v="0"/>
    <s v="-"/>
    <s v="-"/>
    <s v="-"/>
    <s v="-"/>
    <s v="-"/>
    <s v="-"/>
    <s v="-"/>
    <n v="5"/>
    <n v="6"/>
    <s v="-"/>
    <n v="1"/>
    <n v="1"/>
    <n v="2"/>
    <n v="2"/>
    <n v="7"/>
    <n v="8"/>
  </r>
  <r>
    <x v="4"/>
    <x v="98"/>
    <d v="2026-04-21T00:00:00"/>
    <s v="2ND"/>
    <d v="1899-12-30T17:00:00"/>
    <n v="3"/>
    <x v="1"/>
    <n v="8.3999999999999995E-3"/>
    <s v="P"/>
    <s v="P"/>
    <s v="P"/>
    <s v="+"/>
    <s v="+"/>
    <n v="13.24"/>
    <n v="12.38"/>
    <n v="0.54"/>
    <n v="63.9"/>
    <n v="14.1"/>
    <s v="-"/>
    <n v="34.5"/>
    <s v="-"/>
    <s v="-"/>
    <s v="P"/>
    <s v="P"/>
    <s v="90% 10%"/>
    <n v="2"/>
    <n v="1"/>
    <n v="2"/>
    <n v="1"/>
    <n v="1"/>
    <n v="2"/>
    <n v="0"/>
    <n v="1"/>
    <s v="-"/>
    <n v="2"/>
    <s v="-"/>
    <n v="12"/>
    <n v="14"/>
    <s v="-"/>
    <n v="1"/>
    <n v="1"/>
    <n v="2"/>
    <n v="2"/>
    <n v="14"/>
    <n v="16"/>
  </r>
  <r>
    <x v="4"/>
    <x v="98"/>
    <d v="2026-04-21T00:00:00"/>
    <s v="2ND"/>
    <d v="1899-12-30T18:00:00"/>
    <n v="3"/>
    <x v="1"/>
    <n v="9.5999999999999992E-3"/>
    <s v="P"/>
    <s v="P"/>
    <s v="P"/>
    <s v="+"/>
    <s v="+"/>
    <n v="13.39"/>
    <s v="-"/>
    <s v="-"/>
    <n v="64"/>
    <s v="-"/>
    <s v="-"/>
    <s v="-"/>
    <s v="-"/>
    <s v="-"/>
    <s v="P"/>
    <s v="P"/>
    <s v="-"/>
    <n v="2"/>
    <n v="1"/>
    <n v="2"/>
    <n v="1"/>
    <s v="-"/>
    <s v="-"/>
    <n v="2"/>
    <s v="-"/>
    <s v="-"/>
    <s v="-"/>
    <s v="-"/>
    <n v="8"/>
    <n v="8"/>
    <s v="-"/>
    <n v="1"/>
    <n v="1"/>
    <n v="2"/>
    <n v="2"/>
    <n v="10"/>
    <n v="10"/>
  </r>
  <r>
    <x v="4"/>
    <x v="98"/>
    <d v="2026-04-21T00:00:00"/>
    <s v="2ND"/>
    <d v="1899-12-30T19:00:00"/>
    <n v="3"/>
    <x v="1"/>
    <n v="9.2999999999999992E-3"/>
    <s v="P"/>
    <s v="P"/>
    <s v="P"/>
    <s v="+"/>
    <s v="+"/>
    <n v="13.08"/>
    <s v="-"/>
    <s v="-"/>
    <s v="-"/>
    <s v="-"/>
    <s v="-"/>
    <s v="-"/>
    <s v="-"/>
    <s v="-"/>
    <s v="P"/>
    <s v="P"/>
    <s v="-"/>
    <n v="2"/>
    <n v="1"/>
    <n v="2"/>
    <n v="1"/>
    <s v="-"/>
    <s v="-"/>
    <s v="-"/>
    <s v="-"/>
    <s v="-"/>
    <s v="-"/>
    <s v="-"/>
    <n v="6"/>
    <n v="6"/>
    <s v="-"/>
    <n v="1"/>
    <n v="1"/>
    <n v="2"/>
    <n v="2"/>
    <n v="8"/>
    <n v="8"/>
  </r>
  <r>
    <x v="4"/>
    <x v="98"/>
    <d v="2026-04-21T00:00:00"/>
    <s v="2ND"/>
    <d v="1899-12-30T20:00:00"/>
    <n v="3"/>
    <x v="1"/>
    <n v="8.3999999999999995E-3"/>
    <s v="P"/>
    <s v="P"/>
    <s v="P"/>
    <s v="+"/>
    <s v="+"/>
    <n v="13.38"/>
    <s v="-"/>
    <s v="-"/>
    <s v="-"/>
    <s v="-"/>
    <s v="-"/>
    <s v="-"/>
    <s v="-"/>
    <s v="-"/>
    <s v="P"/>
    <s v="P"/>
    <s v="-"/>
    <n v="2"/>
    <n v="1"/>
    <n v="2"/>
    <n v="1"/>
    <s v="-"/>
    <s v="-"/>
    <s v="-"/>
    <s v="-"/>
    <s v="-"/>
    <s v="-"/>
    <s v="-"/>
    <n v="6"/>
    <n v="6"/>
    <s v="-"/>
    <n v="1"/>
    <n v="1"/>
    <n v="2"/>
    <n v="2"/>
    <n v="8"/>
    <n v="8"/>
  </r>
  <r>
    <x v="4"/>
    <x v="98"/>
    <d v="2026-05-11T00:00:00"/>
    <s v="2ND"/>
    <d v="1899-12-30T15:00:00"/>
    <s v="Retail"/>
    <x v="19"/>
    <s v="-"/>
    <s v="-"/>
    <s v="P"/>
    <s v="P"/>
    <s v="-"/>
    <s v="-"/>
    <n v="11"/>
    <n v="16.66"/>
    <n v="1.1399999999999999"/>
    <n v="73.5"/>
    <n v="14.3"/>
    <n v="441"/>
    <n v="48.1"/>
    <s v="-"/>
    <s v="-"/>
    <s v="P"/>
    <s v="P"/>
    <s v="-"/>
    <s v="-"/>
    <s v="-"/>
    <n v="2"/>
    <n v="0"/>
    <n v="1"/>
    <n v="2"/>
    <n v="2"/>
    <n v="1"/>
    <n v="0"/>
    <n v="2"/>
    <s v="-"/>
    <n v="10"/>
    <n v="12"/>
    <s v="-"/>
    <n v="1"/>
    <n v="1"/>
    <n v="2"/>
    <n v="2"/>
    <n v="12"/>
    <n v="14"/>
  </r>
  <r>
    <x v="4"/>
    <x v="98"/>
    <s v="-"/>
    <s v="3RD"/>
    <d v="1899-12-30T22:00:00"/>
    <n v="1"/>
    <x v="7"/>
    <n v="1.9199999999999998E-2"/>
    <s v="P"/>
    <s v="P"/>
    <s v="P"/>
    <s v="-"/>
    <s v="+"/>
    <n v="10.28"/>
    <n v="8.57"/>
    <n v="0.64"/>
    <n v="56.2"/>
    <n v="11.7"/>
    <s v="-"/>
    <n v="23.2"/>
    <s v="-"/>
    <s v="-"/>
    <s v="P"/>
    <s v="P"/>
    <s v="90% 10%"/>
    <n v="2"/>
    <n v="1"/>
    <n v="2"/>
    <n v="0"/>
    <n v="1"/>
    <n v="0"/>
    <n v="2"/>
    <n v="1"/>
    <s v="-"/>
    <n v="2"/>
    <s v="-"/>
    <n v="11"/>
    <n v="14"/>
    <s v="-"/>
    <n v="1"/>
    <n v="1"/>
    <n v="2"/>
    <n v="2"/>
    <n v="13"/>
    <n v="16"/>
  </r>
  <r>
    <x v="4"/>
    <x v="98"/>
    <d v="2026-05-05T00:00:00"/>
    <s v="3RD"/>
    <d v="1899-12-31T00:00:00"/>
    <n v="1"/>
    <x v="7"/>
    <n v="1.7000000000000001E-2"/>
    <s v="P"/>
    <s v="P"/>
    <s v="P"/>
    <s v="-"/>
    <s v="+"/>
    <n v="10.64"/>
    <s v="-"/>
    <s v="-"/>
    <s v="-"/>
    <s v="-"/>
    <s v="-"/>
    <s v="-"/>
    <s v="-"/>
    <s v="-"/>
    <s v="P"/>
    <s v="P"/>
    <s v="-"/>
    <n v="2"/>
    <n v="1"/>
    <n v="2"/>
    <n v="0"/>
    <s v="-"/>
    <s v="-"/>
    <s v="-"/>
    <s v="-"/>
    <s v="-"/>
    <s v="-"/>
    <s v="-"/>
    <n v="5"/>
    <n v="6"/>
    <s v="-"/>
    <n v="1"/>
    <n v="1"/>
    <n v="2"/>
    <n v="2"/>
    <n v="7"/>
    <n v="8"/>
  </r>
  <r>
    <x v="4"/>
    <x v="98"/>
    <d v="2026-05-05T00:00:00"/>
    <s v="3RD"/>
    <d v="1899-12-31T01:00:00"/>
    <n v="1"/>
    <x v="7"/>
    <n v="1.9400000000000001E-2"/>
    <s v="P"/>
    <s v="P"/>
    <s v="P"/>
    <s v="-"/>
    <s v="+"/>
    <n v="10.36"/>
    <s v="-"/>
    <s v="-"/>
    <s v="-"/>
    <s v="-"/>
    <s v="-"/>
    <s v="-"/>
    <s v="-"/>
    <s v="-"/>
    <s v="P"/>
    <s v="P"/>
    <s v="-"/>
    <n v="2"/>
    <n v="1"/>
    <n v="2"/>
    <n v="0"/>
    <s v="-"/>
    <s v="-"/>
    <s v="-"/>
    <s v="-"/>
    <s v="-"/>
    <s v="-"/>
    <s v="-"/>
    <n v="5"/>
    <n v="6"/>
    <s v="-"/>
    <n v="1"/>
    <n v="1"/>
    <n v="2"/>
    <n v="2"/>
    <n v="7"/>
    <n v="8"/>
  </r>
  <r>
    <x v="4"/>
    <x v="98"/>
    <d v="2026-04-29T00:00:00"/>
    <s v="3RD"/>
    <d v="1899-12-31T00:00:00"/>
    <n v="3"/>
    <x v="1"/>
    <n v="1.7899999999999999E-2"/>
    <s v="P"/>
    <s v="P"/>
    <s v="P"/>
    <s v="+"/>
    <s v="+"/>
    <n v="12.05"/>
    <n v="12.73"/>
    <n v="0.53"/>
    <s v="-"/>
    <s v="-"/>
    <s v="-"/>
    <n v="35.700000000000003"/>
    <s v="-"/>
    <s v="-"/>
    <s v="P"/>
    <s v="P"/>
    <s v="85% 5% 10%"/>
    <n v="2"/>
    <n v="1"/>
    <n v="2"/>
    <n v="1"/>
    <n v="1"/>
    <n v="2"/>
    <s v="-"/>
    <s v="-"/>
    <s v="-"/>
    <n v="2"/>
    <s v="-"/>
    <n v="11"/>
    <n v="11"/>
    <s v="-"/>
    <n v="1"/>
    <n v="1"/>
    <n v="2"/>
    <n v="2"/>
    <n v="13"/>
    <n v="13"/>
  </r>
  <r>
    <x v="4"/>
    <x v="98"/>
    <d v="2026-04-29T00:00:00"/>
    <s v="3RD"/>
    <d v="1899-12-31T01:00:00"/>
    <n v="3"/>
    <x v="1"/>
    <n v="1.5900000000000001E-2"/>
    <s v="P"/>
    <s v="P"/>
    <s v="P"/>
    <s v="+"/>
    <s v="+"/>
    <n v="12.32"/>
    <s v="-"/>
    <s v="-"/>
    <s v="-"/>
    <s v="-"/>
    <s v="-"/>
    <s v="-"/>
    <s v="-"/>
    <s v="-"/>
    <s v="P"/>
    <s v="P"/>
    <s v="-"/>
    <n v="2"/>
    <n v="1"/>
    <n v="2"/>
    <n v="1"/>
    <s v="-"/>
    <s v="-"/>
    <s v="-"/>
    <s v="-"/>
    <s v="-"/>
    <s v="-"/>
    <s v="-"/>
    <n v="6"/>
    <n v="6"/>
    <s v="-"/>
    <n v="1"/>
    <n v="1"/>
    <n v="2"/>
    <n v="2"/>
    <n v="8"/>
    <n v="8"/>
  </r>
  <r>
    <x v="4"/>
    <x v="98"/>
    <d v="2026-04-29T00:00:00"/>
    <s v="3RD"/>
    <d v="1899-12-31T03:00:00"/>
    <n v="3"/>
    <x v="1"/>
    <n v="1.9199999999999998E-2"/>
    <s v="P"/>
    <s v="P"/>
    <s v="P"/>
    <s v="+"/>
    <s v="+"/>
    <n v="12.26"/>
    <s v="-"/>
    <s v="-"/>
    <s v="-"/>
    <s v="-"/>
    <s v="-"/>
    <s v="-"/>
    <s v="-"/>
    <s v="-"/>
    <s v="P"/>
    <s v="P"/>
    <s v="-"/>
    <n v="2"/>
    <n v="1"/>
    <n v="2"/>
    <n v="1"/>
    <s v="-"/>
    <s v="-"/>
    <s v="-"/>
    <s v="-"/>
    <s v="-"/>
    <s v="-"/>
    <s v="-"/>
    <n v="6"/>
    <n v="6"/>
    <s v="-"/>
    <n v="1"/>
    <n v="1"/>
    <n v="2"/>
    <n v="2"/>
    <n v="8"/>
    <n v="8"/>
  </r>
  <r>
    <x v="4"/>
    <x v="98"/>
    <d v="2026-04-29T00:00:00"/>
    <s v="3RD"/>
    <d v="1899-12-31T04:00:00"/>
    <n v="3"/>
    <x v="1"/>
    <n v="1.5900000000000001E-2"/>
    <s v="P"/>
    <s v="P"/>
    <s v="P"/>
    <s v="+"/>
    <s v="+"/>
    <n v="12.28"/>
    <s v="-"/>
    <s v="-"/>
    <s v="-"/>
    <s v="-"/>
    <s v="-"/>
    <s v="-"/>
    <s v="-"/>
    <s v="-"/>
    <s v="P"/>
    <s v="P"/>
    <s v="-"/>
    <n v="2"/>
    <n v="1"/>
    <n v="2"/>
    <n v="1"/>
    <s v="-"/>
    <s v="-"/>
    <s v="-"/>
    <s v="-"/>
    <s v="-"/>
    <s v="-"/>
    <s v="-"/>
    <n v="6"/>
    <n v="6"/>
    <s v="-"/>
    <n v="1"/>
    <n v="1"/>
    <n v="2"/>
    <n v="2"/>
    <n v="8"/>
    <n v="8"/>
  </r>
  <r>
    <x v="4"/>
    <x v="98"/>
    <d v="2026-04-29T00:00:00"/>
    <s v="3RD"/>
    <d v="1899-12-31T05:00:00"/>
    <n v="3"/>
    <x v="1"/>
    <n v="1.34E-2"/>
    <s v="P"/>
    <s v="P"/>
    <s v="P"/>
    <s v="+"/>
    <s v="+"/>
    <n v="12.39"/>
    <s v="-"/>
    <s v="-"/>
    <s v="-"/>
    <s v="-"/>
    <s v="-"/>
    <s v="-"/>
    <s v="-"/>
    <s v="-"/>
    <s v="P"/>
    <s v="P"/>
    <s v="-"/>
    <n v="2"/>
    <n v="1"/>
    <n v="2"/>
    <n v="1"/>
    <s v="-"/>
    <s v="-"/>
    <s v="-"/>
    <s v="-"/>
    <s v="-"/>
    <s v="-"/>
    <s v="-"/>
    <n v="6"/>
    <n v="6"/>
    <s v="-"/>
    <n v="1"/>
    <n v="1"/>
    <n v="2"/>
    <n v="2"/>
    <n v="8"/>
    <n v="8"/>
  </r>
  <r>
    <x v="4"/>
    <x v="98"/>
    <d v="1899-12-30T00:00:00"/>
    <s v="3RD"/>
    <d v="1899-12-31T01:00:00"/>
    <s v="Retail"/>
    <x v="13"/>
    <s v="-"/>
    <s v="-"/>
    <s v="-"/>
    <s v="-"/>
    <s v="-"/>
    <s v="-"/>
    <n v="12.05"/>
    <s v="-"/>
    <s v="-"/>
    <s v="-"/>
    <s v="-"/>
    <s v="-"/>
    <s v="-"/>
    <s v="-"/>
    <s v="-"/>
    <s v="-"/>
    <s v="-"/>
    <s v="-"/>
    <s v="-"/>
    <s v="-"/>
    <s v="-"/>
    <n v="1"/>
    <s v="-"/>
    <s v="-"/>
    <s v="-"/>
    <s v="-"/>
    <s v="-"/>
    <s v="-"/>
    <s v="-"/>
    <n v="1"/>
    <n v="1"/>
    <s v="-"/>
    <s v="-"/>
    <s v="-"/>
    <n v="0"/>
    <n v="0"/>
    <n v="1"/>
    <n v="1"/>
  </r>
  <r>
    <x v="4"/>
    <x v="99"/>
    <s v="-"/>
    <s v="1ST"/>
    <s v="06:00"/>
    <n v="1"/>
    <x v="7"/>
    <n v="1.67E-2"/>
    <s v="P"/>
    <s v="P"/>
    <s v="P"/>
    <s v="-"/>
    <s v="+"/>
    <n v="10.82"/>
    <n v="9.36"/>
    <n v="0.6"/>
    <n v="57.4"/>
    <s v="-"/>
    <s v="-"/>
    <n v="25.55"/>
    <s v="-"/>
    <s v="-"/>
    <s v="P"/>
    <s v="P"/>
    <n v="1"/>
    <n v="2"/>
    <n v="1"/>
    <n v="2"/>
    <n v="0"/>
    <n v="1"/>
    <n v="2"/>
    <n v="2"/>
    <s v="-"/>
    <s v="-"/>
    <n v="2"/>
    <s v="-"/>
    <n v="12"/>
    <n v="13"/>
    <s v="-"/>
    <n v="1"/>
    <n v="1"/>
    <n v="2"/>
    <n v="2"/>
    <n v="14"/>
    <n v="15"/>
  </r>
  <r>
    <x v="4"/>
    <x v="99"/>
    <d v="2026-05-05T00:00:00"/>
    <s v="1ST"/>
    <s v="07:00"/>
    <n v="1"/>
    <x v="7"/>
    <n v="1.4999999999999999E-2"/>
    <s v="P"/>
    <s v="P"/>
    <s v="P"/>
    <s v="-"/>
    <s v="+"/>
    <n v="10.89"/>
    <s v="-"/>
    <s v="-"/>
    <s v="-"/>
    <s v="-"/>
    <s v="-"/>
    <s v="-"/>
    <s v="-"/>
    <s v="-"/>
    <s v="P"/>
    <s v="P"/>
    <s v="-"/>
    <n v="2"/>
    <n v="1"/>
    <n v="2"/>
    <n v="0"/>
    <s v="-"/>
    <s v="-"/>
    <s v="-"/>
    <s v="-"/>
    <s v="-"/>
    <s v="-"/>
    <s v="-"/>
    <n v="5"/>
    <n v="6"/>
    <s v="-"/>
    <n v="1"/>
    <n v="1"/>
    <n v="2"/>
    <n v="2"/>
    <n v="7"/>
    <n v="8"/>
  </r>
  <r>
    <x v="4"/>
    <x v="99"/>
    <d v="1902-03-26T00:00:00"/>
    <s v="1ST"/>
    <s v="07:00"/>
    <n v="2"/>
    <x v="21"/>
    <n v="6.8999999999999999E-3"/>
    <s v="P"/>
    <s v="P"/>
    <s v="P"/>
    <s v="-"/>
    <s v="+"/>
    <n v="11.11"/>
    <n v="9.5"/>
    <n v="0.56000000000000005"/>
    <n v="56.2"/>
    <n v="15.8"/>
    <s v="-"/>
    <n v="26"/>
    <s v="-"/>
    <s v="-"/>
    <s v="P"/>
    <s v="P"/>
    <s v="-"/>
    <n v="2"/>
    <n v="1"/>
    <n v="2"/>
    <n v="1"/>
    <s v="-"/>
    <n v="0"/>
    <n v="2"/>
    <n v="1"/>
    <s v="-"/>
    <n v="2"/>
    <s v="-"/>
    <n v="11"/>
    <n v="13"/>
    <s v="-"/>
    <n v="1"/>
    <n v="1"/>
    <n v="2"/>
    <n v="2"/>
    <n v="13"/>
    <n v="15"/>
  </r>
  <r>
    <x v="4"/>
    <x v="99"/>
    <d v="1899-12-30T00:00:00"/>
    <s v="1ST"/>
    <s v="08:00"/>
    <n v="2"/>
    <x v="21"/>
    <n v="1.4E-3"/>
    <s v="P"/>
    <s v="P"/>
    <s v="P"/>
    <s v="-"/>
    <s v="+"/>
    <n v="11.23"/>
    <s v="-"/>
    <s v="-"/>
    <s v="-"/>
    <s v="-"/>
    <s v="-"/>
    <s v="-"/>
    <s v="-"/>
    <s v="-"/>
    <s v="P"/>
    <s v="P"/>
    <s v="-"/>
    <n v="2"/>
    <n v="1"/>
    <n v="2"/>
    <n v="1"/>
    <s v="-"/>
    <s v="-"/>
    <s v="-"/>
    <s v="-"/>
    <s v="-"/>
    <s v="-"/>
    <s v="-"/>
    <n v="6"/>
    <n v="6"/>
    <s v="-"/>
    <n v="1"/>
    <n v="1"/>
    <n v="2"/>
    <n v="2"/>
    <n v="8"/>
    <n v="8"/>
  </r>
  <r>
    <x v="4"/>
    <x v="99"/>
    <d v="1899-12-30T00:00:00"/>
    <s v="1ST"/>
    <s v="09:00"/>
    <n v="2"/>
    <x v="21"/>
    <n v="2.5000000000000001E-3"/>
    <s v="P"/>
    <s v="P"/>
    <s v="P"/>
    <s v="-"/>
    <s v="+"/>
    <n v="11.15"/>
    <s v="-"/>
    <s v="-"/>
    <s v="-"/>
    <s v="-"/>
    <s v="-"/>
    <s v="-"/>
    <s v="-"/>
    <s v="-"/>
    <s v="P"/>
    <s v="P"/>
    <s v="-"/>
    <n v="2"/>
    <n v="1"/>
    <n v="2"/>
    <n v="1"/>
    <s v="-"/>
    <s v="-"/>
    <s v="-"/>
    <s v="-"/>
    <s v="-"/>
    <s v="-"/>
    <s v="-"/>
    <n v="6"/>
    <n v="6"/>
    <s v="-"/>
    <n v="1"/>
    <n v="1"/>
    <n v="2"/>
    <n v="2"/>
    <n v="8"/>
    <n v="8"/>
  </r>
  <r>
    <x v="4"/>
    <x v="99"/>
    <d v="1899-12-30T00:00:00"/>
    <s v="1ST"/>
    <s v="10:00"/>
    <n v="2"/>
    <x v="21"/>
    <n v="3.3E-3"/>
    <s v="P"/>
    <s v="P"/>
    <s v="P"/>
    <s v="-"/>
    <s v="+"/>
    <n v="11.2"/>
    <s v="-"/>
    <s v="-"/>
    <s v="-"/>
    <s v="-"/>
    <s v="-"/>
    <s v="-"/>
    <s v="-"/>
    <s v="-"/>
    <s v="P"/>
    <s v="P"/>
    <s v="-"/>
    <n v="2"/>
    <n v="1"/>
    <n v="2"/>
    <n v="1"/>
    <s v="-"/>
    <s v="-"/>
    <s v="-"/>
    <s v="-"/>
    <s v="-"/>
    <s v="-"/>
    <s v="-"/>
    <n v="6"/>
    <n v="6"/>
    <s v="-"/>
    <n v="1"/>
    <n v="1"/>
    <n v="2"/>
    <n v="2"/>
    <n v="8"/>
    <n v="8"/>
  </r>
  <r>
    <x v="4"/>
    <x v="99"/>
    <d v="1899-12-30T00:00:00"/>
    <s v="1ST"/>
    <s v="11:00"/>
    <n v="2"/>
    <x v="21"/>
    <n v="2.8E-3"/>
    <s v="P"/>
    <s v="P"/>
    <s v="P"/>
    <s v="-"/>
    <s v="+"/>
    <n v="10.97"/>
    <s v="-"/>
    <s v="-"/>
    <s v="-"/>
    <s v="-"/>
    <s v="-"/>
    <s v="-"/>
    <s v="-"/>
    <s v="-"/>
    <s v="P"/>
    <s v="P"/>
    <s v="-"/>
    <n v="2"/>
    <n v="1"/>
    <n v="2"/>
    <n v="0"/>
    <s v="-"/>
    <s v="-"/>
    <s v="-"/>
    <s v="-"/>
    <s v="-"/>
    <s v="-"/>
    <s v="-"/>
    <n v="5"/>
    <n v="6"/>
    <s v="-"/>
    <n v="1"/>
    <n v="1"/>
    <n v="2"/>
    <n v="2"/>
    <n v="7"/>
    <n v="8"/>
  </r>
  <r>
    <x v="4"/>
    <x v="99"/>
    <d v="1899-12-30T00:00:00"/>
    <s v="1ST"/>
    <s v="12:00"/>
    <n v="2"/>
    <x v="21"/>
    <n v="1.9E-3"/>
    <s v="P"/>
    <s v="P"/>
    <s v="P"/>
    <s v="-"/>
    <s v="+"/>
    <n v="10.88"/>
    <s v="-"/>
    <s v="-"/>
    <s v="-"/>
    <s v="-"/>
    <s v="-"/>
    <s v="-"/>
    <s v="-"/>
    <s v="-"/>
    <s v="P"/>
    <s v="P"/>
    <s v="-"/>
    <n v="2"/>
    <n v="1"/>
    <n v="2"/>
    <n v="0"/>
    <s v="-"/>
    <s v="-"/>
    <s v="-"/>
    <s v="-"/>
    <s v="-"/>
    <s v="-"/>
    <s v="-"/>
    <n v="5"/>
    <n v="6"/>
    <s v="-"/>
    <n v="1"/>
    <n v="1"/>
    <n v="2"/>
    <n v="2"/>
    <n v="7"/>
    <n v="8"/>
  </r>
  <r>
    <x v="4"/>
    <x v="99"/>
    <d v="1899-12-30T00:00:00"/>
    <s v="1ST"/>
    <s v="13:00"/>
    <n v="2"/>
    <x v="21"/>
    <n v="2.5000000000000001E-3"/>
    <s v="P"/>
    <s v="P"/>
    <s v="P"/>
    <s v="-"/>
    <s v="+"/>
    <n v="10.9"/>
    <s v="-"/>
    <s v="-"/>
    <s v="-"/>
    <s v="-"/>
    <s v="-"/>
    <s v="-"/>
    <s v="-"/>
    <s v="-"/>
    <s v="P"/>
    <s v="P"/>
    <s v="-"/>
    <n v="2"/>
    <n v="1"/>
    <n v="2"/>
    <n v="0"/>
    <s v="-"/>
    <s v="-"/>
    <s v="-"/>
    <s v="-"/>
    <s v="-"/>
    <s v="-"/>
    <s v="-"/>
    <n v="5"/>
    <n v="6"/>
    <s v="-"/>
    <n v="1"/>
    <n v="1"/>
    <n v="2"/>
    <n v="2"/>
    <n v="7"/>
    <n v="8"/>
  </r>
  <r>
    <x v="4"/>
    <x v="99"/>
    <d v="2026-04-29T00:00:00"/>
    <s v="1ST"/>
    <s v="06:00"/>
    <n v="3"/>
    <x v="1"/>
    <n v="1.8800000000000001E-2"/>
    <s v="P"/>
    <s v="P"/>
    <s v="P"/>
    <s v="+"/>
    <s v="+"/>
    <n v="12.25"/>
    <n v="12.64"/>
    <n v="0.55000000000000004"/>
    <n v="64.7"/>
    <s v="-"/>
    <s v="-"/>
    <n v="35.4"/>
    <s v="-"/>
    <s v="-"/>
    <s v="P"/>
    <s v="P"/>
    <s v="85% 5% 10%"/>
    <n v="2"/>
    <n v="1"/>
    <n v="2"/>
    <n v="1"/>
    <n v="1"/>
    <n v="2"/>
    <n v="2"/>
    <s v="-"/>
    <s v="-"/>
    <n v="2"/>
    <s v="-"/>
    <n v="13"/>
    <n v="13"/>
    <s v="-"/>
    <n v="1"/>
    <n v="1"/>
    <n v="2"/>
    <n v="2"/>
    <n v="15"/>
    <n v="15"/>
  </r>
  <r>
    <x v="4"/>
    <x v="99"/>
    <d v="2026-04-29T00:00:00"/>
    <s v="1ST"/>
    <s v="07:00"/>
    <n v="3"/>
    <x v="1"/>
    <n v="1.46E-2"/>
    <s v="P"/>
    <s v="P"/>
    <s v="P"/>
    <s v="+"/>
    <s v="+"/>
    <n v="12.36"/>
    <s v="-"/>
    <s v="-"/>
    <s v="-"/>
    <s v="-"/>
    <s v="-"/>
    <s v="-"/>
    <s v="-"/>
    <s v="-"/>
    <s v="P"/>
    <s v="P"/>
    <s v="-"/>
    <n v="2"/>
    <n v="1"/>
    <n v="2"/>
    <n v="1"/>
    <s v="-"/>
    <s v="-"/>
    <s v="-"/>
    <s v="-"/>
    <s v="-"/>
    <s v="-"/>
    <s v="-"/>
    <n v="6"/>
    <n v="6"/>
    <s v="-"/>
    <n v="1"/>
    <n v="1"/>
    <n v="2"/>
    <n v="2"/>
    <n v="8"/>
    <n v="8"/>
  </r>
  <r>
    <x v="4"/>
    <x v="99"/>
    <d v="2026-04-29T00:00:00"/>
    <s v="1ST"/>
    <s v="08:00"/>
    <n v="3"/>
    <x v="1"/>
    <n v="1.1299999999999999E-2"/>
    <s v="P"/>
    <s v="P"/>
    <s v="P"/>
    <s v="+"/>
    <s v="+"/>
    <n v="12.49"/>
    <s v="-"/>
    <s v="-"/>
    <s v="-"/>
    <s v="-"/>
    <s v="-"/>
    <s v="-"/>
    <s v="-"/>
    <s v="-"/>
    <s v="P"/>
    <s v="P"/>
    <s v="-"/>
    <n v="2"/>
    <n v="1"/>
    <n v="2"/>
    <n v="1"/>
    <s v="-"/>
    <s v="-"/>
    <s v="-"/>
    <s v="-"/>
    <s v="-"/>
    <s v="-"/>
    <s v="-"/>
    <n v="6"/>
    <n v="6"/>
    <s v="-"/>
    <n v="1"/>
    <n v="1"/>
    <n v="2"/>
    <n v="2"/>
    <n v="8"/>
    <n v="8"/>
  </r>
  <r>
    <x v="4"/>
    <x v="99"/>
    <d v="2026-04-29T00:00:00"/>
    <s v="1ST"/>
    <s v="09:00"/>
    <n v="3"/>
    <x v="1"/>
    <s v="-"/>
    <s v="P"/>
    <s v="P"/>
    <s v="P"/>
    <s v="+"/>
    <s v="+"/>
    <n v="12.21"/>
    <s v="-"/>
    <s v="-"/>
    <s v="-"/>
    <s v="-"/>
    <s v="-"/>
    <s v="-"/>
    <s v="-"/>
    <s v="-"/>
    <s v="P"/>
    <s v="P"/>
    <s v="-"/>
    <s v="-"/>
    <n v="1"/>
    <n v="2"/>
    <n v="1"/>
    <s v="-"/>
    <s v="-"/>
    <s v="-"/>
    <s v="-"/>
    <s v="-"/>
    <s v="-"/>
    <s v="-"/>
    <n v="4"/>
    <n v="4"/>
    <s v="-"/>
    <n v="1"/>
    <n v="1"/>
    <n v="2"/>
    <n v="2"/>
    <n v="6"/>
    <n v="6"/>
  </r>
  <r>
    <x v="4"/>
    <x v="99"/>
    <d v="2026-05-11T00:00:00"/>
    <s v="1ST"/>
    <s v="13:00"/>
    <n v="3"/>
    <x v="12"/>
    <n v="1.9400000000000001E-2"/>
    <s v="P"/>
    <s v="P"/>
    <s v="P"/>
    <s v="+"/>
    <s v="+"/>
    <n v="12.58"/>
    <n v="12.96"/>
    <n v="0.52"/>
    <n v="64.599999999999994"/>
    <n v="13.6"/>
    <s v="-"/>
    <n v="36.299999999999997"/>
    <s v="-"/>
    <s v="-"/>
    <s v="P"/>
    <s v="P"/>
    <s v="-"/>
    <n v="2"/>
    <n v="1"/>
    <n v="2"/>
    <n v="1"/>
    <s v="-"/>
    <n v="2"/>
    <n v="2"/>
    <s v="-"/>
    <s v="-"/>
    <n v="2"/>
    <s v="-"/>
    <n v="12"/>
    <n v="12"/>
    <s v="-"/>
    <n v="1"/>
    <n v="1"/>
    <n v="2"/>
    <n v="2"/>
    <n v="14"/>
    <n v="14"/>
  </r>
  <r>
    <x v="4"/>
    <x v="99"/>
    <d v="1902-03-26T00:00:00"/>
    <s v="2ND"/>
    <d v="1899-12-30T14:00:00"/>
    <n v="2"/>
    <x v="21"/>
    <n v="2.8E-3"/>
    <s v="P"/>
    <s v="P"/>
    <s v="P"/>
    <s v="-"/>
    <s v="+"/>
    <n v="10.8"/>
    <n v="8.7100000000000009"/>
    <n v="0.36"/>
    <s v="-"/>
    <s v="-"/>
    <s v="-"/>
    <n v="23.5"/>
    <s v="-"/>
    <s v="-"/>
    <s v="P"/>
    <s v="P"/>
    <s v="-"/>
    <n v="2"/>
    <n v="1"/>
    <n v="2"/>
    <n v="0"/>
    <s v="-"/>
    <n v="2"/>
    <s v="-"/>
    <s v="-"/>
    <s v="-"/>
    <n v="2"/>
    <s v="-"/>
    <n v="9"/>
    <n v="10"/>
    <s v="-"/>
    <n v="1"/>
    <n v="1"/>
    <n v="2"/>
    <n v="2"/>
    <n v="11"/>
    <n v="12"/>
  </r>
  <r>
    <x v="4"/>
    <x v="99"/>
    <d v="1899-12-30T00:00:00"/>
    <s v="2ND"/>
    <d v="1899-12-30T16:00:00"/>
    <n v="2"/>
    <x v="21"/>
    <n v="5.0000000000000001E-3"/>
    <s v="P"/>
    <s v="P"/>
    <s v="P"/>
    <s v="-"/>
    <s v="+"/>
    <n v="10.94"/>
    <s v="-"/>
    <s v="-"/>
    <s v="-"/>
    <s v="-"/>
    <s v="-"/>
    <s v="-"/>
    <s v="-"/>
    <s v="-"/>
    <s v="P"/>
    <s v="P"/>
    <s v="-"/>
    <n v="2"/>
    <n v="1"/>
    <n v="2"/>
    <n v="0"/>
    <s v="-"/>
    <s v="-"/>
    <s v="-"/>
    <s v="-"/>
    <s v="-"/>
    <s v="-"/>
    <s v="-"/>
    <n v="5"/>
    <n v="6"/>
    <s v="-"/>
    <n v="1"/>
    <n v="1"/>
    <n v="2"/>
    <n v="2"/>
    <n v="7"/>
    <n v="8"/>
  </r>
  <r>
    <x v="4"/>
    <x v="99"/>
    <d v="1899-12-30T00:00:00"/>
    <s v="2ND"/>
    <d v="1899-12-30T17:00:00"/>
    <n v="2"/>
    <x v="21"/>
    <n v="3.5000000000000001E-3"/>
    <s v="P"/>
    <s v="P"/>
    <s v="P"/>
    <s v="-"/>
    <s v="+"/>
    <n v="10.73"/>
    <s v="-"/>
    <s v="-"/>
    <s v="-"/>
    <s v="-"/>
    <s v="-"/>
    <s v="-"/>
    <s v="-"/>
    <s v="-"/>
    <s v="P"/>
    <s v="P"/>
    <s v="-"/>
    <n v="2"/>
    <n v="1"/>
    <n v="2"/>
    <n v="0"/>
    <s v="-"/>
    <s v="-"/>
    <s v="-"/>
    <s v="-"/>
    <s v="-"/>
    <s v="-"/>
    <s v="-"/>
    <n v="5"/>
    <n v="6"/>
    <s v="-"/>
    <n v="1"/>
    <n v="1"/>
    <n v="2"/>
    <n v="2"/>
    <n v="7"/>
    <n v="8"/>
  </r>
  <r>
    <x v="4"/>
    <x v="99"/>
    <d v="1902-03-26T00:00:00"/>
    <s v="2ND"/>
    <d v="1899-12-30T20:00:00"/>
    <n v="2"/>
    <x v="7"/>
    <n v="5.4999999999999997E-3"/>
    <s v="P"/>
    <s v="P"/>
    <s v="P"/>
    <s v="-"/>
    <s v="+"/>
    <n v="10.66"/>
    <n v="8.4700000000000006"/>
    <s v="-"/>
    <n v="56.5"/>
    <s v="-"/>
    <s v="-"/>
    <n v="22.4"/>
    <s v="-"/>
    <s v="-"/>
    <s v="P"/>
    <s v="P"/>
    <s v="-"/>
    <n v="2"/>
    <n v="1"/>
    <n v="2"/>
    <n v="0"/>
    <n v="0"/>
    <s v="-"/>
    <n v="2"/>
    <s v="-"/>
    <s v="-"/>
    <n v="2"/>
    <s v="-"/>
    <n v="9"/>
    <n v="11"/>
    <s v="-"/>
    <n v="1"/>
    <n v="1"/>
    <n v="2"/>
    <n v="2"/>
    <n v="11"/>
    <n v="13"/>
  </r>
  <r>
    <x v="4"/>
    <x v="99"/>
    <d v="1899-12-30T00:00:00"/>
    <s v="2ND"/>
    <d v="1899-12-30T21:00:00"/>
    <n v="2"/>
    <x v="7"/>
    <n v="1.6899999999999998E-2"/>
    <s v="P"/>
    <s v="P"/>
    <s v="P"/>
    <s v="-"/>
    <s v="+"/>
    <n v="10.79"/>
    <s v="-"/>
    <s v="-"/>
    <s v="-"/>
    <s v="-"/>
    <s v="-"/>
    <s v="-"/>
    <s v="-"/>
    <s v="-"/>
    <s v="P"/>
    <s v="P"/>
    <s v="-"/>
    <n v="2"/>
    <n v="1"/>
    <n v="2"/>
    <n v="0"/>
    <s v="-"/>
    <s v="-"/>
    <s v="-"/>
    <s v="-"/>
    <s v="-"/>
    <s v="-"/>
    <s v="-"/>
    <n v="5"/>
    <n v="6"/>
    <s v="-"/>
    <n v="1"/>
    <n v="1"/>
    <n v="2"/>
    <n v="2"/>
    <n v="7"/>
    <n v="8"/>
  </r>
  <r>
    <x v="4"/>
    <x v="99"/>
    <d v="2026-05-11T00:00:00"/>
    <s v="2ND"/>
    <d v="1899-12-30T14:00:00"/>
    <n v="3"/>
    <x v="12"/>
    <n v="1.43E-2"/>
    <s v="P"/>
    <s v="P"/>
    <s v="P"/>
    <s v="+"/>
    <s v="+"/>
    <n v="12.68"/>
    <n v="12.55"/>
    <n v="0.52"/>
    <s v="-"/>
    <s v="-"/>
    <s v="-"/>
    <n v="34.909999999999997"/>
    <s v="-"/>
    <s v="-"/>
    <s v="P"/>
    <s v="P"/>
    <n v="1"/>
    <n v="2"/>
    <n v="1"/>
    <n v="2"/>
    <n v="1"/>
    <s v="-"/>
    <n v="2"/>
    <s v="-"/>
    <s v="-"/>
    <s v="-"/>
    <n v="0"/>
    <s v="-"/>
    <n v="8"/>
    <n v="10"/>
    <s v="-"/>
    <n v="1"/>
    <n v="1"/>
    <n v="2"/>
    <n v="2"/>
    <n v="10"/>
    <n v="12"/>
  </r>
  <r>
    <x v="4"/>
    <x v="99"/>
    <d v="2026-05-11T00:00:00"/>
    <s v="2ND"/>
    <d v="1899-12-30T15:00:00"/>
    <n v="3"/>
    <x v="12"/>
    <n v="1.32E-2"/>
    <s v="P"/>
    <s v="P"/>
    <s v="P"/>
    <s v="+"/>
    <s v="+"/>
    <n v="12.76"/>
    <s v="-"/>
    <s v="-"/>
    <s v="-"/>
    <s v="-"/>
    <s v="-"/>
    <s v="-"/>
    <s v="-"/>
    <s v="-"/>
    <s v="P"/>
    <s v="P"/>
    <s v="-"/>
    <n v="2"/>
    <n v="1"/>
    <n v="2"/>
    <n v="1"/>
    <s v="-"/>
    <s v="-"/>
    <s v="-"/>
    <s v="-"/>
    <s v="-"/>
    <s v="-"/>
    <s v="-"/>
    <n v="6"/>
    <n v="6"/>
    <s v="-"/>
    <n v="1"/>
    <n v="1"/>
    <n v="2"/>
    <n v="2"/>
    <n v="8"/>
    <n v="8"/>
  </r>
  <r>
    <x v="4"/>
    <x v="99"/>
    <d v="2026-05-11T00:00:00"/>
    <s v="2ND"/>
    <d v="1899-12-30T16:00:00"/>
    <n v="3"/>
    <x v="12"/>
    <n v="9.4000000000000004E-3"/>
    <s v="P"/>
    <s v="P"/>
    <s v="P"/>
    <s v="+"/>
    <s v="+"/>
    <n v="13.08"/>
    <s v="-"/>
    <s v="-"/>
    <s v="-"/>
    <s v="-"/>
    <s v="-"/>
    <s v="-"/>
    <s v="-"/>
    <s v="-"/>
    <s v="P"/>
    <s v="P"/>
    <s v="-"/>
    <n v="2"/>
    <n v="1"/>
    <n v="2"/>
    <n v="1"/>
    <s v="-"/>
    <s v="-"/>
    <s v="-"/>
    <s v="-"/>
    <s v="-"/>
    <s v="-"/>
    <s v="-"/>
    <n v="6"/>
    <n v="6"/>
    <s v="-"/>
    <n v="1"/>
    <n v="1"/>
    <n v="2"/>
    <n v="2"/>
    <n v="8"/>
    <n v="8"/>
  </r>
  <r>
    <x v="4"/>
    <x v="99"/>
    <d v="2026-05-12T00:00:00"/>
    <s v="2ND"/>
    <d v="1899-12-30T19:00:00"/>
    <n v="3"/>
    <x v="16"/>
    <n v="1.54E-2"/>
    <s v="P"/>
    <s v="P"/>
    <s v="P"/>
    <s v="+"/>
    <s v="+"/>
    <n v="12.52"/>
    <n v="12.94"/>
    <n v="0.56000000000000005"/>
    <n v="64.2"/>
    <n v="12.7"/>
    <s v="-"/>
    <n v="36.299999999999997"/>
    <s v="-"/>
    <s v="-"/>
    <s v="P"/>
    <s v="P"/>
    <n v="1"/>
    <n v="2"/>
    <n v="1"/>
    <n v="2"/>
    <n v="1"/>
    <n v="1"/>
    <n v="0"/>
    <n v="2"/>
    <n v="1"/>
    <s v="-"/>
    <n v="2"/>
    <s v="-"/>
    <n v="12"/>
    <n v="14"/>
    <s v="-"/>
    <n v="1"/>
    <n v="1"/>
    <n v="2"/>
    <n v="2"/>
    <n v="14"/>
    <n v="16"/>
  </r>
  <r>
    <x v="4"/>
    <x v="99"/>
    <d v="2026-05-12T00:00:00"/>
    <s v="2ND"/>
    <d v="1899-12-30T21:00:00"/>
    <n v="3"/>
    <x v="16"/>
    <n v="1.89E-2"/>
    <s v="P"/>
    <s v="P"/>
    <s v="P"/>
    <s v="+"/>
    <s v="+"/>
    <n v="11.72"/>
    <s v="-"/>
    <s v="-"/>
    <s v="-"/>
    <s v="-"/>
    <s v="-"/>
    <s v="-"/>
    <s v="-"/>
    <s v="-"/>
    <s v="P"/>
    <s v="P"/>
    <s v="-"/>
    <n v="2"/>
    <n v="1"/>
    <n v="2"/>
    <n v="0"/>
    <s v="-"/>
    <s v="-"/>
    <s v="-"/>
    <s v="-"/>
    <s v="-"/>
    <s v="-"/>
    <s v="-"/>
    <n v="5"/>
    <n v="6"/>
    <s v="-"/>
    <n v="1"/>
    <n v="1"/>
    <n v="2"/>
    <n v="2"/>
    <n v="7"/>
    <n v="8"/>
  </r>
  <r>
    <x v="4"/>
    <x v="99"/>
    <d v="1902-03-26T00:00:00"/>
    <s v="3RD"/>
    <d v="1899-12-30T22:00:00"/>
    <n v="2"/>
    <x v="7"/>
    <n v="1.89E-2"/>
    <s v="P"/>
    <s v="P"/>
    <s v="P"/>
    <s v="-"/>
    <s v="+"/>
    <n v="10.54"/>
    <n v="8.68"/>
    <n v="0.52"/>
    <n v="56.5"/>
    <s v="-"/>
    <s v="-"/>
    <n v="23.6"/>
    <s v="-"/>
    <s v="-"/>
    <s v="P"/>
    <s v="P"/>
    <s v="-"/>
    <n v="2"/>
    <n v="1"/>
    <n v="2"/>
    <n v="0"/>
    <n v="1"/>
    <n v="2"/>
    <n v="2"/>
    <s v="-"/>
    <s v="-"/>
    <n v="2"/>
    <s v="-"/>
    <n v="12"/>
    <n v="13"/>
    <s v="-"/>
    <n v="1"/>
    <n v="1"/>
    <n v="2"/>
    <n v="2"/>
    <n v="14"/>
    <n v="15"/>
  </r>
  <r>
    <x v="4"/>
    <x v="99"/>
    <d v="1899-12-30T00:00:00"/>
    <s v="3RD"/>
    <d v="1899-12-30T23:00:00"/>
    <n v="2"/>
    <x v="7"/>
    <n v="1.7500000000000002E-2"/>
    <s v="P"/>
    <s v="P"/>
    <s v="P"/>
    <s v="-"/>
    <s v="+"/>
    <n v="10.63"/>
    <s v="-"/>
    <s v="-"/>
    <s v="-"/>
    <s v="-"/>
    <s v="-"/>
    <s v="-"/>
    <s v="-"/>
    <s v="-"/>
    <s v="P"/>
    <s v="P"/>
    <s v="-"/>
    <n v="2"/>
    <n v="1"/>
    <n v="2"/>
    <n v="0"/>
    <s v="-"/>
    <s v="-"/>
    <s v="-"/>
    <s v="-"/>
    <s v="-"/>
    <s v="-"/>
    <s v="-"/>
    <n v="5"/>
    <n v="6"/>
    <s v="-"/>
    <n v="1"/>
    <n v="1"/>
    <n v="2"/>
    <n v="2"/>
    <n v="7"/>
    <n v="8"/>
  </r>
  <r>
    <x v="4"/>
    <x v="99"/>
    <d v="1899-12-30T00:00:00"/>
    <s v="3RD"/>
    <d v="1899-12-31T00:00:00"/>
    <n v="2"/>
    <x v="7"/>
    <n v="1.2200000000000001E-2"/>
    <s v="P"/>
    <s v="P"/>
    <s v="P"/>
    <s v="-"/>
    <s v="+"/>
    <n v="10.58"/>
    <s v="-"/>
    <s v="-"/>
    <s v="-"/>
    <s v="-"/>
    <s v="-"/>
    <s v="-"/>
    <s v="-"/>
    <s v="-"/>
    <s v="P"/>
    <s v="P"/>
    <s v="-"/>
    <n v="2"/>
    <n v="1"/>
    <n v="2"/>
    <n v="0"/>
    <s v="-"/>
    <s v="-"/>
    <s v="-"/>
    <s v="-"/>
    <s v="-"/>
    <s v="-"/>
    <s v="-"/>
    <n v="5"/>
    <n v="6"/>
    <s v="-"/>
    <n v="1"/>
    <n v="1"/>
    <n v="2"/>
    <n v="2"/>
    <n v="7"/>
    <n v="8"/>
  </r>
  <r>
    <x v="4"/>
    <x v="99"/>
    <d v="1899-12-30T00:00:00"/>
    <s v="3RD"/>
    <d v="1899-12-31T01:00:00"/>
    <n v="2"/>
    <x v="7"/>
    <n v="1.32E-2"/>
    <s v="P"/>
    <s v="P"/>
    <s v="P"/>
    <s v="-"/>
    <s v="+"/>
    <n v="10.74"/>
    <s v="-"/>
    <s v="-"/>
    <s v="-"/>
    <s v="-"/>
    <s v="-"/>
    <s v="-"/>
    <s v="-"/>
    <s v="-"/>
    <s v="P"/>
    <s v="P"/>
    <s v="-"/>
    <n v="2"/>
    <n v="1"/>
    <n v="2"/>
    <n v="0"/>
    <s v="-"/>
    <s v="-"/>
    <s v="-"/>
    <s v="-"/>
    <s v="-"/>
    <s v="-"/>
    <s v="-"/>
    <n v="5"/>
    <n v="6"/>
    <s v="-"/>
    <n v="1"/>
    <n v="1"/>
    <n v="2"/>
    <n v="2"/>
    <n v="7"/>
    <n v="8"/>
  </r>
  <r>
    <x v="4"/>
    <x v="99"/>
    <d v="1899-12-30T00:00:00"/>
    <s v="3RD"/>
    <d v="1899-12-31T03:00:00"/>
    <n v="2"/>
    <x v="7"/>
    <n v="8.8000000000000005E-3"/>
    <s v="P"/>
    <s v="P"/>
    <s v="P"/>
    <s v="-"/>
    <s v="+"/>
    <n v="10.71"/>
    <s v="-"/>
    <s v="-"/>
    <s v="-"/>
    <s v="-"/>
    <s v="-"/>
    <s v="-"/>
    <s v="-"/>
    <s v="-"/>
    <s v="P"/>
    <s v="P"/>
    <s v="-"/>
    <n v="2"/>
    <n v="1"/>
    <n v="2"/>
    <n v="0"/>
    <s v="-"/>
    <s v="-"/>
    <s v="-"/>
    <s v="-"/>
    <s v="-"/>
    <s v="-"/>
    <s v="-"/>
    <n v="5"/>
    <n v="6"/>
    <s v="-"/>
    <n v="1"/>
    <n v="1"/>
    <n v="2"/>
    <n v="2"/>
    <n v="7"/>
    <n v="8"/>
  </r>
  <r>
    <x v="4"/>
    <x v="99"/>
    <d v="1899-12-30T00:00:00"/>
    <s v="3RD"/>
    <d v="1899-12-31T04:00:00"/>
    <n v="2"/>
    <x v="7"/>
    <n v="1.2800000000000001E-2"/>
    <s v="P"/>
    <s v="P"/>
    <s v="P"/>
    <s v="-"/>
    <s v="+"/>
    <n v="10.87"/>
    <s v="-"/>
    <s v="-"/>
    <s v="-"/>
    <s v="-"/>
    <s v="-"/>
    <s v="-"/>
    <s v="-"/>
    <s v="-"/>
    <s v="P"/>
    <s v="P"/>
    <s v="-"/>
    <n v="2"/>
    <n v="1"/>
    <n v="2"/>
    <n v="0"/>
    <s v="-"/>
    <s v="-"/>
    <s v="-"/>
    <s v="-"/>
    <s v="-"/>
    <s v="-"/>
    <s v="-"/>
    <n v="5"/>
    <n v="6"/>
    <s v="-"/>
    <n v="1"/>
    <n v="1"/>
    <n v="2"/>
    <n v="2"/>
    <n v="7"/>
    <n v="8"/>
  </r>
  <r>
    <x v="4"/>
    <x v="99"/>
    <d v="2026-05-12T00:00:00"/>
    <s v="3RD"/>
    <d v="1899-12-30T22:00:00"/>
    <n v="3"/>
    <x v="16"/>
    <n v="1.8100000000000002E-2"/>
    <s v="P"/>
    <s v="P"/>
    <s v="P"/>
    <s v="+"/>
    <s v="+"/>
    <n v="12.8"/>
    <s v="-"/>
    <s v="-"/>
    <s v="-"/>
    <s v="-"/>
    <s v="-"/>
    <s v="-"/>
    <s v="-"/>
    <s v="-"/>
    <s v="P"/>
    <s v="P"/>
    <n v="1"/>
    <n v="2"/>
    <n v="1"/>
    <n v="2"/>
    <n v="1"/>
    <s v="-"/>
    <s v="-"/>
    <s v="-"/>
    <s v="-"/>
    <s v="-"/>
    <s v="-"/>
    <s v="-"/>
    <n v="6"/>
    <n v="6"/>
    <s v="-"/>
    <n v="1"/>
    <n v="1"/>
    <n v="2"/>
    <n v="2"/>
    <n v="8"/>
    <n v="8"/>
  </r>
  <r>
    <x v="4"/>
    <x v="99"/>
    <d v="2026-05-12T00:00:00"/>
    <s v="3RD"/>
    <d v="1899-12-30T23:00:00"/>
    <n v="3"/>
    <x v="16"/>
    <n v="1.7899999999999999E-2"/>
    <s v="P"/>
    <s v="P"/>
    <s v="P"/>
    <s v="+"/>
    <s v="+"/>
    <n v="12.43"/>
    <s v="-"/>
    <s v="-"/>
    <s v="-"/>
    <s v="-"/>
    <s v="-"/>
    <s v="-"/>
    <s v="-"/>
    <s v="-"/>
    <s v="P"/>
    <s v="P"/>
    <s v="-"/>
    <n v="2"/>
    <n v="1"/>
    <n v="2"/>
    <n v="1"/>
    <s v="-"/>
    <s v="-"/>
    <s v="-"/>
    <s v="-"/>
    <s v="-"/>
    <s v="-"/>
    <s v="-"/>
    <n v="6"/>
    <n v="6"/>
    <s v="-"/>
    <n v="1"/>
    <n v="1"/>
    <n v="2"/>
    <n v="2"/>
    <n v="8"/>
    <n v="8"/>
  </r>
  <r>
    <x v="4"/>
    <x v="99"/>
    <d v="2026-05-12T00:00:00"/>
    <s v="3RD"/>
    <d v="1899-12-31T00:00:00"/>
    <n v="3"/>
    <x v="16"/>
    <n v="1.7299999999999999E-2"/>
    <s v="P"/>
    <s v="P"/>
    <s v="P"/>
    <s v="+"/>
    <s v="+"/>
    <n v="12.71"/>
    <s v="-"/>
    <s v="-"/>
    <s v="-"/>
    <s v="-"/>
    <s v="-"/>
    <s v="-"/>
    <s v="-"/>
    <s v="-"/>
    <s v="P"/>
    <s v="P"/>
    <s v="-"/>
    <n v="2"/>
    <n v="1"/>
    <n v="2"/>
    <n v="1"/>
    <s v="-"/>
    <s v="-"/>
    <s v="-"/>
    <s v="-"/>
    <s v="-"/>
    <s v="-"/>
    <s v="-"/>
    <n v="6"/>
    <n v="6"/>
    <s v="-"/>
    <n v="1"/>
    <n v="1"/>
    <n v="2"/>
    <n v="2"/>
    <n v="8"/>
    <n v="8"/>
  </r>
  <r>
    <x v="4"/>
    <x v="100"/>
    <d v="1902-03-26T00:00:00"/>
    <s v="1ST"/>
    <s v="06:00"/>
    <n v="2"/>
    <x v="7"/>
    <n v="4.3E-3"/>
    <s v="P"/>
    <s v="P"/>
    <s v="P"/>
    <s v="-"/>
    <s v="+"/>
    <n v="10.87"/>
    <n v="9.26"/>
    <n v="0.56000000000000005"/>
    <n v="54.2"/>
    <s v="-"/>
    <s v="-"/>
    <n v="25.3"/>
    <s v="-"/>
    <s v="-"/>
    <s v="P"/>
    <s v="P"/>
    <s v="-"/>
    <n v="2"/>
    <n v="1"/>
    <n v="2"/>
    <n v="0"/>
    <n v="1"/>
    <n v="2"/>
    <n v="0"/>
    <s v="-"/>
    <s v="-"/>
    <n v="2"/>
    <s v="-"/>
    <n v="10"/>
    <n v="13"/>
    <s v="-"/>
    <n v="1"/>
    <n v="1"/>
    <n v="2"/>
    <n v="2"/>
    <n v="12"/>
    <n v="15"/>
  </r>
  <r>
    <x v="4"/>
    <x v="100"/>
    <d v="1899-12-30T00:00:00"/>
    <s v="1ST"/>
    <s v="08:00"/>
    <n v="2"/>
    <x v="7"/>
    <n v="1.3599999999999999E-2"/>
    <s v="P"/>
    <s v="P"/>
    <s v="P"/>
    <s v="-"/>
    <s v="+"/>
    <n v="10.9"/>
    <s v="-"/>
    <s v="-"/>
    <s v="-"/>
    <s v="-"/>
    <s v="-"/>
    <s v="-"/>
    <s v="-"/>
    <s v="-"/>
    <s v="P"/>
    <s v="P"/>
    <s v="-"/>
    <n v="2"/>
    <n v="1"/>
    <n v="2"/>
    <n v="0"/>
    <s v="-"/>
    <s v="-"/>
    <s v="-"/>
    <s v="-"/>
    <s v="-"/>
    <s v="-"/>
    <s v="-"/>
    <n v="5"/>
    <n v="6"/>
    <s v="-"/>
    <n v="1"/>
    <n v="1"/>
    <n v="2"/>
    <n v="2"/>
    <n v="7"/>
    <n v="8"/>
  </r>
  <r>
    <x v="4"/>
    <x v="100"/>
    <d v="1899-12-30T00:00:00"/>
    <s v="1ST"/>
    <s v="09:00"/>
    <n v="2"/>
    <x v="7"/>
    <n v="1.2800000000000001E-2"/>
    <s v="P"/>
    <s v="P"/>
    <s v="P"/>
    <s v="-"/>
    <s v="+"/>
    <n v="10.62"/>
    <s v="-"/>
    <s v="-"/>
    <s v="-"/>
    <s v="-"/>
    <s v="-"/>
    <s v="-"/>
    <s v="-"/>
    <s v="-"/>
    <s v="P"/>
    <s v="P"/>
    <s v="-"/>
    <n v="2"/>
    <n v="1"/>
    <n v="2"/>
    <n v="0"/>
    <s v="-"/>
    <s v="-"/>
    <s v="-"/>
    <s v="-"/>
    <s v="-"/>
    <s v="-"/>
    <s v="-"/>
    <n v="5"/>
    <n v="6"/>
    <s v="-"/>
    <n v="1"/>
    <n v="1"/>
    <n v="2"/>
    <n v="2"/>
    <n v="7"/>
    <n v="8"/>
  </r>
  <r>
    <x v="4"/>
    <x v="100"/>
    <d v="2026-05-12T00:00:00"/>
    <s v="1ST"/>
    <s v="08:00"/>
    <n v="3"/>
    <x v="11"/>
    <n v="1.8700000000000001E-2"/>
    <s v="P"/>
    <s v="P"/>
    <s v="P"/>
    <s v="+"/>
    <s v="+"/>
    <n v="12.76"/>
    <n v="13.27"/>
    <n v="0.61"/>
    <n v="64.3"/>
    <n v="12.8"/>
    <s v="-"/>
    <n v="37.299999999999997"/>
    <s v="-"/>
    <s v="-"/>
    <s v="P"/>
    <s v="P"/>
    <n v="1"/>
    <n v="2"/>
    <n v="1"/>
    <n v="2"/>
    <n v="1"/>
    <n v="1"/>
    <n v="2"/>
    <n v="0"/>
    <n v="1"/>
    <s v="-"/>
    <n v="2"/>
    <s v="-"/>
    <n v="12"/>
    <n v="14"/>
    <s v="-"/>
    <n v="1"/>
    <n v="1"/>
    <n v="2"/>
    <n v="2"/>
    <n v="14"/>
    <n v="16"/>
  </r>
  <r>
    <x v="4"/>
    <x v="100"/>
    <d v="2026-04-29T00:00:00"/>
    <s v="1ST"/>
    <s v="11:00"/>
    <n v="3"/>
    <x v="1"/>
    <n v="1.55E-2"/>
    <s v="P"/>
    <s v="P"/>
    <s v="P"/>
    <s v="+"/>
    <s v="+"/>
    <n v="12.61"/>
    <n v="12.16"/>
    <n v="0.59"/>
    <n v="64.8"/>
    <s v="-"/>
    <s v="-"/>
    <n v="35.799999999999997"/>
    <s v="-"/>
    <s v="-"/>
    <s v="P"/>
    <s v="P"/>
    <s v="85% 5% 10%"/>
    <n v="2"/>
    <n v="1"/>
    <n v="2"/>
    <n v="1"/>
    <n v="1"/>
    <n v="2"/>
    <n v="2"/>
    <s v="-"/>
    <s v="-"/>
    <n v="2"/>
    <s v="-"/>
    <n v="13"/>
    <n v="13"/>
    <s v="-"/>
    <n v="1"/>
    <n v="1"/>
    <n v="2"/>
    <n v="2"/>
    <n v="15"/>
    <n v="15"/>
  </r>
  <r>
    <x v="4"/>
    <x v="100"/>
    <d v="2026-04-29T00:00:00"/>
    <s v="1ST"/>
    <s v="12:00"/>
    <n v="3"/>
    <x v="1"/>
    <n v="1.3599999999999999E-2"/>
    <s v="P"/>
    <s v="P"/>
    <s v="P"/>
    <s v="+"/>
    <s v="+"/>
    <n v="12.45"/>
    <s v="-"/>
    <s v="-"/>
    <s v="-"/>
    <s v="-"/>
    <s v="-"/>
    <s v="-"/>
    <s v="-"/>
    <s v="-"/>
    <s v="P"/>
    <s v="P"/>
    <s v="-"/>
    <n v="2"/>
    <n v="1"/>
    <n v="2"/>
    <n v="1"/>
    <s v="-"/>
    <s v="-"/>
    <s v="-"/>
    <s v="-"/>
    <s v="-"/>
    <s v="-"/>
    <s v="-"/>
    <n v="6"/>
    <n v="6"/>
    <s v="-"/>
    <n v="1"/>
    <n v="1"/>
    <n v="2"/>
    <n v="2"/>
    <n v="8"/>
    <n v="8"/>
  </r>
  <r>
    <x v="4"/>
    <x v="100"/>
    <d v="2026-04-29T00:00:00"/>
    <s v="1ST"/>
    <s v="13:00"/>
    <n v="3"/>
    <x v="6"/>
    <n v="1.5299999999999999E-2"/>
    <s v="P"/>
    <s v="P"/>
    <s v="P"/>
    <s v="+"/>
    <s v="+"/>
    <n v="12.17"/>
    <n v="12.3"/>
    <n v="0.64"/>
    <n v="65.599999999999994"/>
    <n v="11.7"/>
    <s v="-"/>
    <n v="34.4"/>
    <s v="-"/>
    <s v="-"/>
    <s v="P"/>
    <s v="P"/>
    <s v="-"/>
    <n v="2"/>
    <n v="1"/>
    <n v="2"/>
    <n v="1"/>
    <n v="1"/>
    <n v="0"/>
    <n v="2"/>
    <n v="0"/>
    <s v="-"/>
    <n v="2"/>
    <s v="-"/>
    <n v="11"/>
    <n v="14"/>
    <s v="-"/>
    <n v="1"/>
    <n v="1"/>
    <n v="2"/>
    <n v="2"/>
    <n v="13"/>
    <n v="16"/>
  </r>
  <r>
    <x v="4"/>
    <x v="100"/>
    <d v="1902-03-26T00:00:00"/>
    <s v="2ND"/>
    <d v="1899-12-30T16:00:00"/>
    <n v="2"/>
    <x v="21"/>
    <n v="1.9599999999999999E-2"/>
    <s v="P"/>
    <s v="P"/>
    <s v="P"/>
    <s v="-"/>
    <s v="+"/>
    <n v="11.02"/>
    <n v="9.35"/>
    <n v="0.55000000000000004"/>
    <n v="56.5"/>
    <s v="-"/>
    <s v="-"/>
    <n v="25.6"/>
    <s v="-"/>
    <s v="-"/>
    <s v="P"/>
    <s v="P"/>
    <s v="-"/>
    <n v="2"/>
    <n v="1"/>
    <n v="2"/>
    <n v="1"/>
    <s v="-"/>
    <n v="2"/>
    <n v="2"/>
    <s v="-"/>
    <s v="-"/>
    <n v="2"/>
    <s v="-"/>
    <n v="12"/>
    <n v="12"/>
    <s v="-"/>
    <n v="1"/>
    <n v="1"/>
    <n v="2"/>
    <n v="2"/>
    <n v="14"/>
    <n v="14"/>
  </r>
  <r>
    <x v="4"/>
    <x v="100"/>
    <d v="1899-12-30T00:00:00"/>
    <s v="2ND"/>
    <d v="1899-12-30T17:00:00"/>
    <n v="2"/>
    <x v="21"/>
    <n v="1.4E-2"/>
    <s v="P"/>
    <s v="P"/>
    <s v="P"/>
    <s v="-"/>
    <s v="+"/>
    <n v="10.83"/>
    <s v="-"/>
    <s v="-"/>
    <s v="-"/>
    <s v="-"/>
    <s v="-"/>
    <s v="-"/>
    <s v="-"/>
    <s v="-"/>
    <s v="P"/>
    <s v="P"/>
    <s v="-"/>
    <n v="2"/>
    <n v="1"/>
    <n v="2"/>
    <n v="0"/>
    <s v="-"/>
    <s v="-"/>
    <s v="-"/>
    <s v="-"/>
    <s v="-"/>
    <s v="-"/>
    <s v="-"/>
    <n v="5"/>
    <n v="6"/>
    <s v="-"/>
    <n v="1"/>
    <n v="1"/>
    <n v="2"/>
    <n v="2"/>
    <n v="7"/>
    <n v="8"/>
  </r>
  <r>
    <x v="4"/>
    <x v="100"/>
    <d v="1899-12-30T00:00:00"/>
    <s v="2ND"/>
    <d v="1899-12-30T19:00:00"/>
    <n v="2"/>
    <x v="21"/>
    <n v="1.8200000000000001E-2"/>
    <s v="P"/>
    <s v="P"/>
    <s v="P"/>
    <s v="-"/>
    <s v="+"/>
    <n v="10.84"/>
    <s v="-"/>
    <s v="-"/>
    <s v="-"/>
    <s v="-"/>
    <s v="-"/>
    <s v="-"/>
    <s v="-"/>
    <s v="-"/>
    <s v="P"/>
    <s v="P"/>
    <s v="-"/>
    <n v="2"/>
    <n v="1"/>
    <n v="2"/>
    <n v="0"/>
    <s v="-"/>
    <s v="-"/>
    <s v="-"/>
    <s v="-"/>
    <s v="-"/>
    <s v="-"/>
    <s v="-"/>
    <n v="5"/>
    <n v="6"/>
    <s v="-"/>
    <n v="1"/>
    <n v="1"/>
    <n v="2"/>
    <n v="2"/>
    <n v="7"/>
    <n v="8"/>
  </r>
  <r>
    <x v="4"/>
    <x v="100"/>
    <d v="1899-12-30T00:00:00"/>
    <s v="2ND"/>
    <d v="1899-12-30T20:00:00"/>
    <n v="2"/>
    <x v="21"/>
    <n v="1.66E-2"/>
    <s v="P"/>
    <s v="P"/>
    <s v="P"/>
    <s v="-"/>
    <s v="+"/>
    <n v="10.9"/>
    <s v="-"/>
    <s v="-"/>
    <s v="-"/>
    <s v="-"/>
    <s v="-"/>
    <s v="-"/>
    <s v="-"/>
    <s v="-"/>
    <s v="P"/>
    <s v="P"/>
    <s v="-"/>
    <n v="2"/>
    <n v="1"/>
    <n v="2"/>
    <n v="0"/>
    <s v="-"/>
    <s v="-"/>
    <s v="-"/>
    <s v="-"/>
    <s v="-"/>
    <s v="-"/>
    <s v="-"/>
    <n v="5"/>
    <n v="6"/>
    <s v="-"/>
    <n v="1"/>
    <n v="1"/>
    <n v="2"/>
    <n v="2"/>
    <n v="7"/>
    <n v="8"/>
  </r>
  <r>
    <x v="4"/>
    <x v="100"/>
    <d v="1899-12-30T00:00:00"/>
    <s v="2ND"/>
    <d v="1899-12-30T21:00:00"/>
    <n v="2"/>
    <x v="21"/>
    <n v="6.4000000000000003E-3"/>
    <s v="P"/>
    <s v="P"/>
    <s v="P"/>
    <s v="-"/>
    <s v="+"/>
    <n v="11.1"/>
    <s v="-"/>
    <s v="-"/>
    <s v="-"/>
    <s v="-"/>
    <s v="-"/>
    <s v="-"/>
    <s v="-"/>
    <s v="-"/>
    <s v="P"/>
    <s v="P"/>
    <s v="-"/>
    <n v="2"/>
    <n v="1"/>
    <n v="2"/>
    <n v="1"/>
    <s v="-"/>
    <s v="-"/>
    <s v="-"/>
    <s v="-"/>
    <s v="-"/>
    <s v="-"/>
    <s v="-"/>
    <n v="6"/>
    <n v="6"/>
    <s v="-"/>
    <n v="1"/>
    <n v="1"/>
    <n v="2"/>
    <n v="2"/>
    <n v="8"/>
    <n v="8"/>
  </r>
  <r>
    <x v="4"/>
    <x v="100"/>
    <d v="2026-04-29T00:00:00"/>
    <s v="2ND"/>
    <d v="1899-12-30T14:00:00"/>
    <n v="3"/>
    <x v="6"/>
    <n v="1.09E-2"/>
    <s v="P"/>
    <s v="P"/>
    <s v="P"/>
    <s v="+"/>
    <s v="+"/>
    <n v="12.33"/>
    <n v="12.3"/>
    <n v="0.64"/>
    <n v="65.599999999999994"/>
    <s v="-"/>
    <s v="-"/>
    <n v="34.4"/>
    <s v="-"/>
    <s v="-"/>
    <s v="P"/>
    <s v="P"/>
    <s v="70% 20% 10%"/>
    <n v="2"/>
    <n v="1"/>
    <n v="2"/>
    <n v="1"/>
    <n v="1"/>
    <n v="0"/>
    <n v="2"/>
    <s v="-"/>
    <s v="-"/>
    <n v="2"/>
    <s v="-"/>
    <n v="11"/>
    <n v="13"/>
    <s v="-"/>
    <n v="1"/>
    <n v="1"/>
    <n v="2"/>
    <n v="2"/>
    <n v="13"/>
    <n v="15"/>
  </r>
  <r>
    <x v="4"/>
    <x v="100"/>
    <d v="2026-04-29T00:00:00"/>
    <s v="2ND"/>
    <d v="1899-12-30T15:00:00"/>
    <n v="3"/>
    <x v="6"/>
    <n v="1.15E-2"/>
    <s v="P"/>
    <s v="P"/>
    <s v="P"/>
    <s v="+"/>
    <s v="+"/>
    <n v="12.4"/>
    <s v="-"/>
    <s v="-"/>
    <s v="-"/>
    <s v="-"/>
    <s v="-"/>
    <s v="-"/>
    <s v="-"/>
    <s v="-"/>
    <s v="P"/>
    <s v="P"/>
    <s v="-"/>
    <n v="2"/>
    <n v="1"/>
    <n v="2"/>
    <n v="1"/>
    <s v="-"/>
    <s v="-"/>
    <s v="-"/>
    <s v="-"/>
    <s v="-"/>
    <s v="-"/>
    <s v="-"/>
    <n v="6"/>
    <n v="6"/>
    <s v="-"/>
    <n v="1"/>
    <n v="1"/>
    <n v="2"/>
    <n v="2"/>
    <n v="8"/>
    <n v="8"/>
  </r>
  <r>
    <x v="4"/>
    <x v="100"/>
    <d v="2026-04-29T00:00:00"/>
    <s v="2ND"/>
    <d v="1899-12-30T16:00:00"/>
    <n v="3"/>
    <x v="6"/>
    <n v="1.52E-2"/>
    <s v="P"/>
    <s v="P"/>
    <s v="P"/>
    <s v="+"/>
    <s v="+"/>
    <n v="12.45"/>
    <s v="-"/>
    <s v="-"/>
    <s v="-"/>
    <s v="-"/>
    <s v="-"/>
    <s v="-"/>
    <s v="-"/>
    <s v="-"/>
    <s v="P"/>
    <s v="P"/>
    <s v="-"/>
    <n v="2"/>
    <n v="1"/>
    <n v="2"/>
    <n v="1"/>
    <s v="-"/>
    <s v="-"/>
    <s v="-"/>
    <s v="-"/>
    <s v="-"/>
    <s v="-"/>
    <s v="-"/>
    <n v="6"/>
    <n v="6"/>
    <s v="-"/>
    <n v="1"/>
    <n v="1"/>
    <n v="2"/>
    <n v="2"/>
    <n v="8"/>
    <n v="8"/>
  </r>
  <r>
    <x v="4"/>
    <x v="100"/>
    <d v="2026-05-12T00:00:00"/>
    <s v="2ND"/>
    <d v="1899-12-30T14:00:00"/>
    <s v="Retail"/>
    <x v="19"/>
    <s v="-"/>
    <s v="-"/>
    <s v="P"/>
    <s v="P"/>
    <s v="-"/>
    <s v="-"/>
    <n v="12.1"/>
    <n v="14.1"/>
    <n v="1.34"/>
    <n v="73.7"/>
    <s v="-"/>
    <s v="-"/>
    <n v="40"/>
    <s v="-"/>
    <s v="-"/>
    <s v="P"/>
    <s v="P"/>
    <s v="-"/>
    <s v="-"/>
    <s v="-"/>
    <n v="2"/>
    <n v="1"/>
    <n v="1"/>
    <n v="0"/>
    <n v="2"/>
    <s v="-"/>
    <s v="-"/>
    <n v="2"/>
    <s v="-"/>
    <n v="8"/>
    <n v="10"/>
    <s v="-"/>
    <n v="1"/>
    <n v="1"/>
    <n v="2"/>
    <n v="2"/>
    <n v="10"/>
    <n v="12"/>
  </r>
  <r>
    <x v="4"/>
    <x v="100"/>
    <d v="1902-03-26T00:00:00"/>
    <s v="3RD"/>
    <d v="1899-12-30T22:00:00"/>
    <n v="2"/>
    <x v="21"/>
    <n v="1.0200000000000001E-2"/>
    <s v="P"/>
    <s v="P"/>
    <s v="P"/>
    <s v="-"/>
    <s v="+"/>
    <n v="10.99"/>
    <n v="8.58"/>
    <n v="0.55000000000000004"/>
    <s v="-"/>
    <s v="-"/>
    <s v="-"/>
    <n v="23.07"/>
    <s v="-"/>
    <s v="-"/>
    <s v="P"/>
    <s v="P"/>
    <s v="-"/>
    <n v="2"/>
    <n v="1"/>
    <n v="2"/>
    <n v="0"/>
    <s v="-"/>
    <n v="2"/>
    <s v="-"/>
    <s v="-"/>
    <s v="-"/>
    <n v="2"/>
    <s v="-"/>
    <n v="9"/>
    <n v="10"/>
    <s v="-"/>
    <n v="1"/>
    <n v="1"/>
    <n v="2"/>
    <n v="2"/>
    <n v="11"/>
    <n v="12"/>
  </r>
  <r>
    <x v="4"/>
    <x v="100"/>
    <d v="1899-12-30T00:00:00"/>
    <s v="3RD"/>
    <d v="1899-12-30T23:00:00"/>
    <n v="2"/>
    <x v="21"/>
    <n v="8.3999999999999995E-3"/>
    <s v="P"/>
    <s v="P"/>
    <s v="P"/>
    <s v="-"/>
    <s v="+"/>
    <n v="11.25"/>
    <s v="-"/>
    <s v="-"/>
    <s v="-"/>
    <s v="-"/>
    <s v="-"/>
    <s v="-"/>
    <s v="-"/>
    <s v="-"/>
    <s v="P"/>
    <s v="P"/>
    <s v="-"/>
    <n v="2"/>
    <n v="1"/>
    <n v="2"/>
    <n v="1"/>
    <s v="-"/>
    <s v="-"/>
    <s v="-"/>
    <s v="-"/>
    <s v="-"/>
    <s v="-"/>
    <s v="-"/>
    <n v="6"/>
    <n v="6"/>
    <s v="-"/>
    <n v="1"/>
    <n v="1"/>
    <n v="2"/>
    <n v="2"/>
    <n v="8"/>
    <n v="8"/>
  </r>
  <r>
    <x v="4"/>
    <x v="100"/>
    <d v="1899-12-30T00:00:00"/>
    <s v="3RD"/>
    <d v="1899-12-31T00:00:00"/>
    <n v="2"/>
    <x v="21"/>
    <n v="8.5000000000000006E-3"/>
    <s v="P"/>
    <s v="P"/>
    <s v="P"/>
    <s v="-"/>
    <s v="+"/>
    <n v="11.07"/>
    <s v="-"/>
    <s v="-"/>
    <s v="-"/>
    <s v="-"/>
    <s v="-"/>
    <s v="-"/>
    <s v="-"/>
    <s v="-"/>
    <s v="P"/>
    <s v="P"/>
    <s v="-"/>
    <n v="2"/>
    <n v="1"/>
    <n v="2"/>
    <n v="1"/>
    <s v="-"/>
    <s v="-"/>
    <s v="-"/>
    <s v="-"/>
    <s v="-"/>
    <s v="-"/>
    <s v="-"/>
    <n v="6"/>
    <n v="6"/>
    <s v="-"/>
    <n v="1"/>
    <n v="1"/>
    <n v="2"/>
    <n v="2"/>
    <n v="8"/>
    <n v="8"/>
  </r>
  <r>
    <x v="4"/>
    <x v="100"/>
    <d v="1899-12-30T00:00:00"/>
    <s v="3RD"/>
    <d v="1899-12-31T01:00:00"/>
    <n v="2"/>
    <x v="21"/>
    <n v="9.1999999999999998E-3"/>
    <s v="P"/>
    <s v="P"/>
    <s v="P"/>
    <s v="-"/>
    <s v="+"/>
    <n v="10.92"/>
    <s v="-"/>
    <s v="-"/>
    <s v="-"/>
    <s v="-"/>
    <s v="-"/>
    <s v="-"/>
    <s v="-"/>
    <s v="-"/>
    <s v="P"/>
    <s v="P"/>
    <s v="-"/>
    <n v="2"/>
    <n v="1"/>
    <n v="2"/>
    <n v="0"/>
    <s v="-"/>
    <s v="-"/>
    <s v="-"/>
    <s v="-"/>
    <s v="-"/>
    <s v="-"/>
    <s v="-"/>
    <n v="5"/>
    <n v="6"/>
    <s v="-"/>
    <n v="1"/>
    <n v="1"/>
    <n v="2"/>
    <n v="2"/>
    <n v="7"/>
    <n v="8"/>
  </r>
  <r>
    <x v="4"/>
    <x v="100"/>
    <d v="1899-12-30T00:00:00"/>
    <s v="3RD"/>
    <d v="1899-12-31T02:00:00"/>
    <n v="2"/>
    <x v="21"/>
    <n v="8.2000000000000007E-3"/>
    <s v="P"/>
    <s v="P"/>
    <s v="P"/>
    <s v="-"/>
    <s v="+"/>
    <n v="11.05"/>
    <s v="-"/>
    <s v="-"/>
    <s v="-"/>
    <s v="-"/>
    <s v="-"/>
    <s v="-"/>
    <s v="-"/>
    <s v="-"/>
    <s v="P"/>
    <s v="P"/>
    <n v="1"/>
    <n v="2"/>
    <n v="1"/>
    <n v="2"/>
    <n v="1"/>
    <s v="-"/>
    <s v="-"/>
    <s v="-"/>
    <s v="-"/>
    <s v="-"/>
    <s v="-"/>
    <s v="-"/>
    <n v="6"/>
    <n v="6"/>
    <s v="-"/>
    <n v="1"/>
    <n v="1"/>
    <n v="2"/>
    <n v="2"/>
    <n v="8"/>
    <n v="8"/>
  </r>
  <r>
    <x v="4"/>
    <x v="100"/>
    <d v="1902-03-26T00:00:00"/>
    <s v="3RD"/>
    <d v="1899-12-31T03:00:00"/>
    <n v="2"/>
    <x v="4"/>
    <n v="1.5299999999999999E-2"/>
    <s v="P"/>
    <s v="P"/>
    <s v="P"/>
    <s v="-"/>
    <s v="+"/>
    <n v="10.88"/>
    <s v="-"/>
    <s v="-"/>
    <s v="-"/>
    <s v="-"/>
    <s v="-"/>
    <s v="-"/>
    <s v="-"/>
    <s v="-"/>
    <s v="P"/>
    <s v="P"/>
    <s v="-"/>
    <n v="2"/>
    <n v="1"/>
    <n v="2"/>
    <n v="0"/>
    <s v="-"/>
    <s v="-"/>
    <s v="-"/>
    <s v="-"/>
    <s v="-"/>
    <s v="-"/>
    <s v="-"/>
    <n v="5"/>
    <n v="6"/>
    <s v="-"/>
    <n v="1"/>
    <n v="1"/>
    <n v="2"/>
    <n v="2"/>
    <n v="7"/>
    <n v="8"/>
  </r>
  <r>
    <x v="4"/>
    <x v="100"/>
    <d v="2026-05-12T00:00:00"/>
    <s v="3RD"/>
    <d v="1899-12-31T03:00:00"/>
    <n v="3"/>
    <x v="10"/>
    <n v="1.77E-2"/>
    <s v="P"/>
    <s v="P"/>
    <s v="P"/>
    <s v="+"/>
    <s v="+"/>
    <n v="12.29"/>
    <n v="11.83"/>
    <n v="0.39"/>
    <n v="65.099999999999994"/>
    <n v="13.2"/>
    <s v="-"/>
    <n v="32.9"/>
    <s v="-"/>
    <s v="-"/>
    <s v="P"/>
    <s v="P"/>
    <n v="1"/>
    <n v="2"/>
    <n v="1"/>
    <n v="2"/>
    <n v="1"/>
    <n v="1"/>
    <n v="2"/>
    <n v="2"/>
    <n v="1"/>
    <s v="-"/>
    <n v="2"/>
    <s v="-"/>
    <n v="14"/>
    <n v="14"/>
    <s v="-"/>
    <n v="1"/>
    <n v="1"/>
    <n v="2"/>
    <n v="2"/>
    <n v="16"/>
    <n v="16"/>
  </r>
  <r>
    <x v="4"/>
    <x v="100"/>
    <d v="2026-05-12T00:00:00"/>
    <s v="3RD"/>
    <d v="1899-12-31T04:00:00"/>
    <n v="3"/>
    <x v="10"/>
    <n v="6.7999999999999996E-3"/>
    <s v="P"/>
    <s v="P"/>
    <s v="P"/>
    <s v="+"/>
    <s v="+"/>
    <n v="12.31"/>
    <s v="-"/>
    <s v="-"/>
    <s v="-"/>
    <s v="-"/>
    <s v="-"/>
    <s v="-"/>
    <s v="-"/>
    <s v="-"/>
    <s v="P"/>
    <s v="P"/>
    <s v="-"/>
    <n v="2"/>
    <n v="1"/>
    <n v="2"/>
    <n v="1"/>
    <s v="-"/>
    <s v="-"/>
    <s v="-"/>
    <s v="-"/>
    <s v="-"/>
    <s v="-"/>
    <s v="-"/>
    <n v="6"/>
    <n v="6"/>
    <s v="-"/>
    <n v="1"/>
    <n v="1"/>
    <n v="2"/>
    <n v="2"/>
    <n v="8"/>
    <n v="8"/>
  </r>
  <r>
    <x v="4"/>
    <x v="100"/>
    <d v="2026-05-12T00:00:00"/>
    <s v="3RD"/>
    <d v="1899-12-31T05:00:00"/>
    <n v="3"/>
    <x v="10"/>
    <n v="1.7600000000000001E-2"/>
    <s v="P"/>
    <s v="P"/>
    <s v="P"/>
    <s v="+"/>
    <s v="+"/>
    <n v="12.25"/>
    <s v="-"/>
    <s v="-"/>
    <s v="-"/>
    <s v="-"/>
    <s v="-"/>
    <s v="-"/>
    <s v="-"/>
    <s v="-"/>
    <s v="P"/>
    <s v="P"/>
    <s v="-"/>
    <n v="2"/>
    <n v="1"/>
    <n v="2"/>
    <n v="1"/>
    <s v="-"/>
    <s v="-"/>
    <s v="-"/>
    <s v="-"/>
    <s v="-"/>
    <s v="-"/>
    <s v="-"/>
    <n v="6"/>
    <n v="6"/>
    <s v="-"/>
    <n v="1"/>
    <n v="1"/>
    <n v="2"/>
    <n v="2"/>
    <n v="8"/>
    <n v="8"/>
  </r>
  <r>
    <x v="4"/>
    <x v="100"/>
    <d v="1899-12-30T00:00:00"/>
    <s v="3RD"/>
    <d v="1899-12-30T22:00:00"/>
    <s v="Retail"/>
    <x v="9"/>
    <s v="-"/>
    <s v="-"/>
    <s v="-"/>
    <s v="-"/>
    <s v="-"/>
    <s v="-"/>
    <n v="10.220000000000001"/>
    <s v="-"/>
    <s v="-"/>
    <s v="-"/>
    <s v="-"/>
    <s v="-"/>
    <s v="-"/>
    <s v="-"/>
    <s v="-"/>
    <s v="-"/>
    <s v="-"/>
    <s v="-"/>
    <s v="-"/>
    <s v="-"/>
    <s v="-"/>
    <n v="1"/>
    <s v="-"/>
    <s v="-"/>
    <s v="-"/>
    <s v="-"/>
    <s v="-"/>
    <s v="-"/>
    <s v="-"/>
    <n v="1"/>
    <n v="1"/>
    <s v="-"/>
    <s v="-"/>
    <s v="-"/>
    <n v="0"/>
    <n v="0"/>
    <n v="1"/>
    <n v="1"/>
  </r>
  <r>
    <x v="4"/>
    <x v="101"/>
    <s v="-"/>
    <s v="1ST"/>
    <s v="06:00"/>
    <n v="1"/>
    <x v="20"/>
    <n v="8.6E-3"/>
    <s v="P"/>
    <s v="P"/>
    <s v="P"/>
    <s v="-"/>
    <s v="-"/>
    <n v="12.12"/>
    <n v="11.9"/>
    <n v="0.5"/>
    <n v="65.599999999999994"/>
    <s v="-"/>
    <s v="-"/>
    <n v="37.200000000000003"/>
    <s v="-"/>
    <s v="-"/>
    <s v="P"/>
    <s v="P"/>
    <n v="1"/>
    <n v="2"/>
    <n v="1"/>
    <n v="2"/>
    <n v="1"/>
    <n v="0"/>
    <n v="2"/>
    <n v="2"/>
    <s v="-"/>
    <s v="-"/>
    <n v="2"/>
    <s v="-"/>
    <n v="12"/>
    <n v="13"/>
    <s v="-"/>
    <n v="1"/>
    <n v="1"/>
    <n v="2"/>
    <n v="2"/>
    <n v="14"/>
    <n v="15"/>
  </r>
  <r>
    <x v="4"/>
    <x v="101"/>
    <d v="2026-03-20T00:00:00"/>
    <s v="1ST"/>
    <s v="07:00"/>
    <n v="1"/>
    <x v="20"/>
    <n v="7.1999999999999998E-3"/>
    <s v="P"/>
    <s v="P"/>
    <s v="P"/>
    <s v="-"/>
    <s v="-"/>
    <n v="12.41"/>
    <s v="-"/>
    <s v="-"/>
    <s v="-"/>
    <s v="-"/>
    <s v="-"/>
    <s v="-"/>
    <s v="-"/>
    <s v="-"/>
    <s v="P"/>
    <s v="P"/>
    <s v="-"/>
    <n v="2"/>
    <n v="1"/>
    <n v="2"/>
    <n v="1"/>
    <s v="-"/>
    <s v="-"/>
    <s v="-"/>
    <s v="-"/>
    <s v="-"/>
    <s v="-"/>
    <s v="-"/>
    <n v="6"/>
    <n v="6"/>
    <s v="-"/>
    <n v="1"/>
    <n v="1"/>
    <n v="2"/>
    <n v="2"/>
    <n v="8"/>
    <n v="8"/>
  </r>
  <r>
    <x v="4"/>
    <x v="101"/>
    <d v="2026-03-20T00:00:00"/>
    <s v="1ST"/>
    <s v="08:00"/>
    <n v="1"/>
    <x v="20"/>
    <n v="6.1000000000000004E-3"/>
    <s v="P"/>
    <s v="P"/>
    <s v="P"/>
    <s v="-"/>
    <s v="-"/>
    <n v="12.28"/>
    <s v="-"/>
    <s v="-"/>
    <s v="-"/>
    <s v="-"/>
    <s v="-"/>
    <s v="-"/>
    <s v="-"/>
    <s v="-"/>
    <s v="P"/>
    <s v="P"/>
    <s v="-"/>
    <n v="2"/>
    <n v="1"/>
    <n v="2"/>
    <n v="1"/>
    <s v="-"/>
    <s v="-"/>
    <s v="-"/>
    <s v="-"/>
    <s v="-"/>
    <s v="-"/>
    <s v="-"/>
    <n v="6"/>
    <n v="6"/>
    <s v="-"/>
    <n v="1"/>
    <n v="1"/>
    <n v="2"/>
    <n v="2"/>
    <n v="8"/>
    <n v="8"/>
  </r>
  <r>
    <x v="4"/>
    <x v="101"/>
    <d v="2026-05-12T00:00:00"/>
    <s v="1ST"/>
    <s v="09:00"/>
    <n v="1"/>
    <x v="22"/>
    <n v="1.2800000000000001E-2"/>
    <s v="P"/>
    <s v="P"/>
    <s v="P"/>
    <s v="-"/>
    <s v="-"/>
    <n v="12.15"/>
    <n v="9.7100000000000009"/>
    <n v="0.48"/>
    <n v="56"/>
    <n v="15"/>
    <s v="-"/>
    <n v="26.7"/>
    <s v="-"/>
    <s v="-"/>
    <s v="P"/>
    <s v="P"/>
    <n v="1"/>
    <n v="2"/>
    <n v="1"/>
    <n v="2"/>
    <n v="1"/>
    <n v="1"/>
    <n v="0"/>
    <n v="2"/>
    <s v="-"/>
    <s v="-"/>
    <n v="2"/>
    <s v="-"/>
    <n v="11"/>
    <n v="13"/>
    <s v="-"/>
    <n v="1"/>
    <n v="1"/>
    <n v="2"/>
    <n v="2"/>
    <n v="13"/>
    <n v="15"/>
  </r>
  <r>
    <x v="4"/>
    <x v="101"/>
    <d v="1902-03-26T00:00:00"/>
    <s v="1ST"/>
    <s v="06:00"/>
    <n v="2"/>
    <x v="2"/>
    <n v="5.4000000000000003E-3"/>
    <s v="P"/>
    <s v="P"/>
    <s v="P"/>
    <s v="-"/>
    <s v="+"/>
    <n v="11.08"/>
    <n v="9.7100000000000009"/>
    <n v="0.49"/>
    <n v="58.1"/>
    <s v="-"/>
    <s v="-"/>
    <n v="28.6"/>
    <s v="-"/>
    <s v="-"/>
    <s v="P"/>
    <s v="P"/>
    <s v="-"/>
    <n v="2"/>
    <n v="1"/>
    <n v="2"/>
    <n v="0"/>
    <n v="0"/>
    <n v="2"/>
    <n v="0"/>
    <s v="-"/>
    <s v="-"/>
    <n v="2"/>
    <s v="-"/>
    <n v="9"/>
    <n v="13"/>
    <s v="-"/>
    <n v="1"/>
    <n v="1"/>
    <n v="2"/>
    <n v="2"/>
    <n v="11"/>
    <n v="15"/>
  </r>
  <r>
    <x v="4"/>
    <x v="101"/>
    <d v="1899-12-30T00:00:00"/>
    <s v="1ST"/>
    <s v="08:00"/>
    <n v="2"/>
    <x v="2"/>
    <n v="1.9300000000000001E-2"/>
    <s v="P"/>
    <s v="P"/>
    <s v="P"/>
    <s v="-"/>
    <s v="+"/>
    <n v="11.04"/>
    <s v="-"/>
    <s v="-"/>
    <s v="-"/>
    <s v="-"/>
    <s v="-"/>
    <s v="-"/>
    <s v="-"/>
    <s v="-"/>
    <s v="P"/>
    <s v="P"/>
    <s v="-"/>
    <n v="2"/>
    <n v="1"/>
    <n v="2"/>
    <n v="0"/>
    <s v="-"/>
    <s v="-"/>
    <s v="-"/>
    <s v="-"/>
    <s v="-"/>
    <s v="-"/>
    <s v="-"/>
    <n v="5"/>
    <n v="6"/>
    <s v="-"/>
    <n v="1"/>
    <n v="1"/>
    <n v="2"/>
    <n v="2"/>
    <n v="7"/>
    <n v="8"/>
  </r>
  <r>
    <x v="4"/>
    <x v="101"/>
    <d v="1899-12-30T00:00:00"/>
    <s v="1ST"/>
    <s v="09:00"/>
    <n v="2"/>
    <x v="2"/>
    <n v="1.8800000000000001E-2"/>
    <s v="P"/>
    <s v="P"/>
    <s v="P"/>
    <s v="-"/>
    <s v="+"/>
    <n v="11.13"/>
    <s v="-"/>
    <s v="-"/>
    <s v="-"/>
    <s v="-"/>
    <s v="-"/>
    <s v="-"/>
    <s v="-"/>
    <s v="-"/>
    <s v="P"/>
    <s v="P"/>
    <s v="-"/>
    <n v="2"/>
    <n v="1"/>
    <n v="2"/>
    <n v="0"/>
    <s v="-"/>
    <s v="-"/>
    <s v="-"/>
    <s v="-"/>
    <s v="-"/>
    <s v="-"/>
    <s v="-"/>
    <n v="5"/>
    <n v="6"/>
    <s v="-"/>
    <n v="1"/>
    <n v="1"/>
    <n v="2"/>
    <n v="2"/>
    <n v="7"/>
    <n v="8"/>
  </r>
  <r>
    <x v="4"/>
    <x v="101"/>
    <d v="1899-12-30T00:00:00"/>
    <s v="1ST"/>
    <s v="10:00"/>
    <n v="2"/>
    <x v="2"/>
    <n v="7.4999999999999997E-3"/>
    <s v="P"/>
    <s v="P"/>
    <s v="P"/>
    <s v="-"/>
    <s v="+"/>
    <n v="11.26"/>
    <s v="-"/>
    <s v="-"/>
    <s v="-"/>
    <s v="-"/>
    <s v="-"/>
    <s v="-"/>
    <s v="-"/>
    <s v="-"/>
    <s v="P"/>
    <s v="P"/>
    <s v="-"/>
    <n v="2"/>
    <n v="1"/>
    <n v="2"/>
    <n v="0"/>
    <s v="-"/>
    <s v="-"/>
    <s v="-"/>
    <s v="-"/>
    <s v="-"/>
    <s v="-"/>
    <s v="-"/>
    <n v="5"/>
    <n v="6"/>
    <s v="-"/>
    <n v="1"/>
    <n v="1"/>
    <n v="2"/>
    <n v="2"/>
    <n v="7"/>
    <n v="8"/>
  </r>
  <r>
    <x v="4"/>
    <x v="101"/>
    <d v="1899-12-30T00:00:00"/>
    <s v="1ST"/>
    <s v="11:00"/>
    <n v="2"/>
    <x v="2"/>
    <n v="1.8499999999999999E-2"/>
    <s v="P"/>
    <s v="P"/>
    <s v="P"/>
    <s v="-"/>
    <s v="+"/>
    <n v="11.19"/>
    <s v="-"/>
    <s v="-"/>
    <s v="-"/>
    <s v="-"/>
    <s v="-"/>
    <s v="-"/>
    <s v="-"/>
    <s v="-"/>
    <s v="P"/>
    <s v="P"/>
    <s v="-"/>
    <n v="2"/>
    <n v="1"/>
    <n v="2"/>
    <n v="0"/>
    <s v="-"/>
    <s v="-"/>
    <s v="-"/>
    <s v="-"/>
    <s v="-"/>
    <s v="-"/>
    <s v="-"/>
    <n v="5"/>
    <n v="6"/>
    <s v="-"/>
    <n v="1"/>
    <n v="1"/>
    <n v="2"/>
    <n v="2"/>
    <n v="7"/>
    <n v="8"/>
  </r>
  <r>
    <x v="4"/>
    <x v="101"/>
    <d v="1899-12-30T00:00:00"/>
    <s v="1ST"/>
    <s v="13:00"/>
    <n v="2"/>
    <x v="31"/>
    <n v="7.0000000000000001E-3"/>
    <s v="P"/>
    <s v="P"/>
    <s v="P"/>
    <s v="+"/>
    <s v="+"/>
    <n v="11.97"/>
    <n v="11.19"/>
    <n v="0.52"/>
    <n v="64.099999999999994"/>
    <n v="12.7"/>
    <s v="-"/>
    <n v="31.1"/>
    <s v="-"/>
    <s v="-"/>
    <s v="P"/>
    <s v="P"/>
    <s v="-"/>
    <n v="2"/>
    <n v="1"/>
    <n v="2"/>
    <n v="0"/>
    <n v="1"/>
    <n v="2"/>
    <n v="0"/>
    <n v="1"/>
    <s v="-"/>
    <n v="2"/>
    <s v="-"/>
    <n v="11"/>
    <n v="14"/>
    <s v="-"/>
    <n v="1"/>
    <n v="1"/>
    <n v="2"/>
    <n v="2"/>
    <n v="13"/>
    <n v="16"/>
  </r>
  <r>
    <x v="4"/>
    <x v="101"/>
    <d v="2026-05-12T00:00:00"/>
    <s v="1ST"/>
    <s v="06:00"/>
    <n v="3"/>
    <x v="10"/>
    <n v="1.1999999999999999E-3"/>
    <s v="P"/>
    <s v="P"/>
    <s v="P"/>
    <s v="+"/>
    <s v="+"/>
    <n v="12.7"/>
    <n v="11.96"/>
    <n v="0.39"/>
    <n v="64.400000000000006"/>
    <s v="-"/>
    <s v="-"/>
    <n v="31.8"/>
    <s v="-"/>
    <s v="-"/>
    <s v="P"/>
    <s v="P"/>
    <n v="1"/>
    <n v="2"/>
    <n v="1"/>
    <n v="2"/>
    <n v="1"/>
    <n v="1"/>
    <n v="2"/>
    <n v="2"/>
    <s v="-"/>
    <s v="-"/>
    <n v="2"/>
    <s v="-"/>
    <n v="13"/>
    <n v="13"/>
    <s v="-"/>
    <n v="1"/>
    <n v="1"/>
    <n v="2"/>
    <n v="2"/>
    <n v="15"/>
    <n v="15"/>
  </r>
  <r>
    <x v="4"/>
    <x v="101"/>
    <d v="2026-05-12T00:00:00"/>
    <s v="1ST"/>
    <s v="08:00"/>
    <n v="3"/>
    <x v="10"/>
    <n v="4.8999999999999998E-3"/>
    <s v="P"/>
    <s v="P"/>
    <s v="P"/>
    <s v="+"/>
    <s v="+"/>
    <n v="12.21"/>
    <s v="-"/>
    <s v="-"/>
    <s v="-"/>
    <s v="-"/>
    <s v="-"/>
    <s v="-"/>
    <s v="-"/>
    <s v="-"/>
    <s v="P"/>
    <s v="P"/>
    <s v="-"/>
    <n v="2"/>
    <n v="1"/>
    <n v="2"/>
    <n v="1"/>
    <s v="-"/>
    <s v="-"/>
    <s v="-"/>
    <s v="-"/>
    <s v="-"/>
    <s v="-"/>
    <s v="-"/>
    <n v="6"/>
    <n v="6"/>
    <s v="-"/>
    <n v="1"/>
    <n v="1"/>
    <n v="2"/>
    <n v="2"/>
    <n v="8"/>
    <n v="8"/>
  </r>
  <r>
    <x v="4"/>
    <x v="101"/>
    <d v="2026-05-12T00:00:00"/>
    <s v="1ST"/>
    <s v="09:00"/>
    <s v="Retail"/>
    <x v="19"/>
    <s v="-"/>
    <s v="P"/>
    <s v="P"/>
    <s v="P"/>
    <s v="-"/>
    <s v="-"/>
    <n v="12.72"/>
    <n v="13.21"/>
    <n v="1.32"/>
    <n v="72.7"/>
    <s v="-"/>
    <s v="-"/>
    <n v="37.299999999999997"/>
    <s v="-"/>
    <s v="-"/>
    <s v="P"/>
    <s v="P"/>
    <s v="-"/>
    <s v="-"/>
    <n v="1"/>
    <n v="2"/>
    <n v="1"/>
    <n v="0"/>
    <n v="0"/>
    <n v="2"/>
    <s v="-"/>
    <s v="-"/>
    <n v="0"/>
    <s v="-"/>
    <n v="6"/>
    <n v="11"/>
    <s v="-"/>
    <n v="1"/>
    <n v="1"/>
    <n v="2"/>
    <n v="2"/>
    <n v="8"/>
    <n v="13"/>
  </r>
  <r>
    <x v="4"/>
    <x v="101"/>
    <s v="-"/>
    <s v="2ND"/>
    <d v="1899-12-30T14:00:00"/>
    <n v="1"/>
    <x v="22"/>
    <n v="6.7000000000000002E-3"/>
    <s v="P"/>
    <s v="P"/>
    <s v="P"/>
    <s v="-"/>
    <s v="-"/>
    <n v="11.51"/>
    <n v="9.34"/>
    <n v="0.48"/>
    <n v="56"/>
    <s v="-"/>
    <s v="-"/>
    <n v="25.4"/>
    <s v="-"/>
    <s v="-"/>
    <s v="P"/>
    <s v="P"/>
    <n v="1"/>
    <n v="2"/>
    <n v="1"/>
    <n v="2"/>
    <n v="1"/>
    <n v="1"/>
    <n v="0"/>
    <n v="2"/>
    <s v="-"/>
    <s v="-"/>
    <n v="2"/>
    <s v="-"/>
    <n v="11"/>
    <n v="13"/>
    <s v="-"/>
    <n v="1"/>
    <n v="1"/>
    <n v="2"/>
    <n v="2"/>
    <n v="13"/>
    <n v="15"/>
  </r>
  <r>
    <x v="4"/>
    <x v="101"/>
    <d v="2026-05-12T00:00:00"/>
    <s v="2ND"/>
    <d v="1899-12-30T15:00:00"/>
    <n v="1"/>
    <x v="22"/>
    <n v="7.1999999999999998E-3"/>
    <s v="P"/>
    <s v="P"/>
    <s v="P"/>
    <s v="-"/>
    <s v="-"/>
    <n v="11.44"/>
    <s v="-"/>
    <s v="-"/>
    <s v="-"/>
    <s v="-"/>
    <s v="-"/>
    <s v="-"/>
    <s v="-"/>
    <s v="-"/>
    <s v="P"/>
    <s v="P"/>
    <s v="-"/>
    <n v="2"/>
    <n v="1"/>
    <n v="2"/>
    <n v="1"/>
    <s v="-"/>
    <s v="-"/>
    <s v="-"/>
    <s v="-"/>
    <s v="-"/>
    <s v="-"/>
    <s v="-"/>
    <n v="6"/>
    <n v="6"/>
    <s v="-"/>
    <n v="1"/>
    <n v="1"/>
    <n v="2"/>
    <n v="2"/>
    <n v="8"/>
    <n v="8"/>
  </r>
  <r>
    <x v="4"/>
    <x v="101"/>
    <d v="2026-05-12T00:00:00"/>
    <s v="2ND"/>
    <d v="1899-12-30T16:00:00"/>
    <n v="1"/>
    <x v="22"/>
    <n v="7.7999999999999996E-3"/>
    <s v="P"/>
    <s v="P"/>
    <s v="P"/>
    <s v="-"/>
    <s v="-"/>
    <n v="11.46"/>
    <s v="-"/>
    <s v="-"/>
    <s v="-"/>
    <s v="-"/>
    <s v="-"/>
    <s v="-"/>
    <s v="-"/>
    <s v="-"/>
    <s v="P"/>
    <s v="P"/>
    <s v="-"/>
    <n v="2"/>
    <n v="1"/>
    <n v="2"/>
    <n v="1"/>
    <s v="-"/>
    <s v="-"/>
    <s v="-"/>
    <s v="-"/>
    <s v="-"/>
    <s v="-"/>
    <s v="-"/>
    <n v="6"/>
    <n v="6"/>
    <s v="-"/>
    <n v="1"/>
    <n v="1"/>
    <n v="2"/>
    <n v="2"/>
    <n v="8"/>
    <n v="8"/>
  </r>
  <r>
    <x v="4"/>
    <x v="101"/>
    <d v="1902-03-24T00:00:00"/>
    <s v="2ND"/>
    <d v="1899-12-30T14:00:00"/>
    <n v="2"/>
    <x v="31"/>
    <n v="1.0699999999999999E-2"/>
    <s v="P"/>
    <s v="P"/>
    <s v="P"/>
    <s v="+"/>
    <s v="+"/>
    <n v="11.98"/>
    <n v="11.19"/>
    <n v="0.54"/>
    <s v="-"/>
    <s v="-"/>
    <s v="-"/>
    <n v="31.1"/>
    <s v="-"/>
    <s v="-"/>
    <s v="P"/>
    <s v="P"/>
    <s v="-"/>
    <n v="2"/>
    <n v="1"/>
    <n v="2"/>
    <n v="0"/>
    <n v="1"/>
    <n v="2"/>
    <s v="-"/>
    <s v="-"/>
    <s v="-"/>
    <n v="2"/>
    <s v="-"/>
    <n v="10"/>
    <n v="11"/>
    <s v="-"/>
    <n v="1"/>
    <n v="1"/>
    <n v="2"/>
    <n v="2"/>
    <n v="12"/>
    <n v="13"/>
  </r>
  <r>
    <x v="4"/>
    <x v="101"/>
    <d v="1899-12-30T00:00:00"/>
    <s v="2ND"/>
    <d v="1899-12-30T15:00:00"/>
    <n v="2"/>
    <x v="31"/>
    <n v="1.2500000000000001E-2"/>
    <s v="P"/>
    <s v="P"/>
    <s v="P"/>
    <s v="+"/>
    <s v="+"/>
    <n v="12.08"/>
    <s v="-"/>
    <s v="-"/>
    <s v="-"/>
    <s v="-"/>
    <s v="-"/>
    <s v="-"/>
    <s v="-"/>
    <s v="-"/>
    <s v="P"/>
    <s v="P"/>
    <s v="-"/>
    <n v="2"/>
    <n v="1"/>
    <n v="2"/>
    <n v="0"/>
    <s v="-"/>
    <s v="-"/>
    <s v="-"/>
    <s v="-"/>
    <s v="-"/>
    <s v="-"/>
    <s v="-"/>
    <n v="5"/>
    <n v="6"/>
    <s v="-"/>
    <n v="1"/>
    <n v="1"/>
    <n v="2"/>
    <n v="2"/>
    <n v="7"/>
    <n v="8"/>
  </r>
  <r>
    <x v="4"/>
    <x v="101"/>
    <d v="1899-12-30T00:00:00"/>
    <s v="2ND"/>
    <d v="1899-12-30T16:00:00"/>
    <n v="2"/>
    <x v="31"/>
    <n v="1.34E-2"/>
    <s v="P"/>
    <s v="P"/>
    <s v="P"/>
    <s v="+"/>
    <s v="+"/>
    <n v="12.11"/>
    <s v="-"/>
    <s v="-"/>
    <s v="-"/>
    <s v="-"/>
    <s v="-"/>
    <s v="-"/>
    <s v="-"/>
    <s v="-"/>
    <s v="P"/>
    <s v="P"/>
    <s v="-"/>
    <n v="2"/>
    <n v="1"/>
    <n v="2"/>
    <n v="0"/>
    <s v="-"/>
    <s v="-"/>
    <s v="-"/>
    <s v="-"/>
    <s v="-"/>
    <s v="-"/>
    <s v="-"/>
    <n v="5"/>
    <n v="6"/>
    <s v="-"/>
    <n v="1"/>
    <n v="1"/>
    <n v="2"/>
    <n v="2"/>
    <n v="7"/>
    <n v="8"/>
  </r>
  <r>
    <x v="4"/>
    <x v="101"/>
    <d v="1899-12-30T00:00:00"/>
    <s v="2ND"/>
    <d v="1899-12-30T20:00:00"/>
    <n v="2"/>
    <x v="31"/>
    <n v="1.7099999999999999E-3"/>
    <s v="P"/>
    <s v="P"/>
    <s v="P"/>
    <s v="+"/>
    <s v="+"/>
    <n v="12.06"/>
    <s v="-"/>
    <s v="-"/>
    <s v="-"/>
    <s v="-"/>
    <s v="-"/>
    <s v="-"/>
    <s v="-"/>
    <s v="-"/>
    <s v="P"/>
    <s v="P"/>
    <s v="-"/>
    <n v="2"/>
    <n v="1"/>
    <n v="2"/>
    <n v="0"/>
    <s v="-"/>
    <s v="-"/>
    <s v="-"/>
    <s v="-"/>
    <s v="-"/>
    <s v="-"/>
    <s v="-"/>
    <n v="5"/>
    <n v="6"/>
    <s v="-"/>
    <n v="1"/>
    <n v="1"/>
    <n v="2"/>
    <n v="2"/>
    <n v="7"/>
    <n v="8"/>
  </r>
  <r>
    <x v="4"/>
    <x v="101"/>
    <d v="1899-12-30T00:00:00"/>
    <s v="2ND"/>
    <d v="1899-12-30T21:00:00"/>
    <n v="2"/>
    <x v="31"/>
    <n v="1.89E-2"/>
    <s v="P"/>
    <s v="P"/>
    <s v="P"/>
    <s v="+"/>
    <s v="+"/>
    <n v="12.12"/>
    <s v="-"/>
    <s v="-"/>
    <s v="-"/>
    <s v="-"/>
    <s v="-"/>
    <s v="-"/>
    <s v="-"/>
    <s v="-"/>
    <s v="P"/>
    <s v="P"/>
    <s v="-"/>
    <n v="2"/>
    <n v="1"/>
    <n v="2"/>
    <n v="0"/>
    <s v="-"/>
    <s v="-"/>
    <s v="-"/>
    <s v="-"/>
    <s v="-"/>
    <s v="-"/>
    <s v="-"/>
    <n v="5"/>
    <n v="6"/>
    <s v="-"/>
    <n v="1"/>
    <n v="1"/>
    <n v="2"/>
    <n v="2"/>
    <n v="7"/>
    <n v="8"/>
  </r>
  <r>
    <x v="4"/>
    <x v="101"/>
    <s v="-"/>
    <s v="3RD"/>
    <d v="1899-12-30T22:00:00"/>
    <n v="1"/>
    <x v="22"/>
    <n v="7.0000000000000001E-3"/>
    <s v="P"/>
    <s v="P"/>
    <s v="P"/>
    <s v="-"/>
    <s v="-"/>
    <n v="11.17"/>
    <n v="8.6199999999999992"/>
    <n v="0.48"/>
    <s v="-"/>
    <s v="-"/>
    <s v="-"/>
    <n v="23.2"/>
    <s v="-"/>
    <s v="-"/>
    <s v="P"/>
    <s v="P"/>
    <n v="1"/>
    <n v="2"/>
    <n v="1"/>
    <n v="2"/>
    <n v="1"/>
    <n v="1"/>
    <n v="0"/>
    <s v="-"/>
    <s v="-"/>
    <s v="-"/>
    <n v="2"/>
    <s v="-"/>
    <n v="9"/>
    <n v="11"/>
    <s v="-"/>
    <n v="1"/>
    <n v="1"/>
    <n v="2"/>
    <n v="2"/>
    <n v="11"/>
    <n v="13"/>
  </r>
  <r>
    <x v="4"/>
    <x v="101"/>
    <d v="2026-05-12T00:00:00"/>
    <s v="3RD"/>
    <d v="1899-12-30T23:00:00"/>
    <n v="1"/>
    <x v="22"/>
    <n v="1.0800000000000001E-2"/>
    <s v="P"/>
    <s v="P"/>
    <s v="P"/>
    <s v="-"/>
    <s v="-"/>
    <n v="11.32"/>
    <s v="-"/>
    <s v="-"/>
    <s v="-"/>
    <s v="-"/>
    <s v="-"/>
    <s v="-"/>
    <s v="-"/>
    <s v="-"/>
    <s v="P"/>
    <s v="P"/>
    <s v="-"/>
    <n v="2"/>
    <n v="1"/>
    <n v="2"/>
    <n v="1"/>
    <s v="-"/>
    <s v="-"/>
    <s v="-"/>
    <s v="-"/>
    <s v="-"/>
    <s v="-"/>
    <s v="-"/>
    <n v="6"/>
    <n v="6"/>
    <s v="-"/>
    <n v="1"/>
    <n v="1"/>
    <n v="2"/>
    <n v="2"/>
    <n v="8"/>
    <n v="8"/>
  </r>
  <r>
    <x v="4"/>
    <x v="101"/>
    <d v="2026-05-12T00:00:00"/>
    <s v="3RD"/>
    <d v="1899-12-31T00:00:00"/>
    <n v="1"/>
    <x v="22"/>
    <n v="6.1000000000000004E-3"/>
    <s v="P"/>
    <s v="P"/>
    <s v="P"/>
    <s v="-"/>
    <s v="-"/>
    <n v="11.23"/>
    <s v="-"/>
    <s v="-"/>
    <s v="-"/>
    <s v="-"/>
    <s v="-"/>
    <s v="-"/>
    <s v="-"/>
    <s v="-"/>
    <s v="P"/>
    <s v="P"/>
    <s v="-"/>
    <n v="2"/>
    <n v="1"/>
    <n v="2"/>
    <n v="1"/>
    <s v="-"/>
    <s v="-"/>
    <s v="-"/>
    <s v="-"/>
    <s v="-"/>
    <s v="-"/>
    <s v="-"/>
    <n v="6"/>
    <n v="6"/>
    <s v="-"/>
    <n v="1"/>
    <n v="1"/>
    <n v="2"/>
    <n v="2"/>
    <n v="8"/>
    <n v="8"/>
  </r>
  <r>
    <x v="4"/>
    <x v="101"/>
    <d v="2026-05-12T00:00:00"/>
    <s v="3RD"/>
    <d v="1899-12-31T01:00:00"/>
    <n v="1"/>
    <x v="22"/>
    <n v="5.3E-3"/>
    <s v="P"/>
    <s v="P"/>
    <s v="P"/>
    <s v="-"/>
    <s v="-"/>
    <n v="11.03"/>
    <s v="-"/>
    <s v="-"/>
    <s v="-"/>
    <s v="-"/>
    <s v="-"/>
    <s v="-"/>
    <s v="-"/>
    <s v="-"/>
    <s v="P"/>
    <s v="P"/>
    <s v="-"/>
    <n v="2"/>
    <n v="1"/>
    <n v="2"/>
    <n v="1"/>
    <s v="-"/>
    <s v="-"/>
    <s v="-"/>
    <s v="-"/>
    <s v="-"/>
    <s v="-"/>
    <s v="-"/>
    <n v="6"/>
    <n v="6"/>
    <s v="-"/>
    <n v="1"/>
    <n v="1"/>
    <n v="2"/>
    <n v="2"/>
    <n v="8"/>
    <n v="8"/>
  </r>
  <r>
    <x v="4"/>
    <x v="101"/>
    <d v="1902-03-26T00:00:00"/>
    <s v="3RD"/>
    <d v="1899-12-30T22:00:00"/>
    <n v="2"/>
    <x v="31"/>
    <n v="1.3599999999999999E-2"/>
    <s v="P"/>
    <s v="P"/>
    <s v="P"/>
    <s v="+"/>
    <s v="+"/>
    <n v="11.8"/>
    <n v="11.76"/>
    <n v="0.52"/>
    <s v="-"/>
    <s v="-"/>
    <s v="-"/>
    <n v="32.700000000000003"/>
    <s v="-"/>
    <s v="-"/>
    <s v="P"/>
    <s v="P"/>
    <s v="-"/>
    <n v="2"/>
    <n v="1"/>
    <n v="2"/>
    <n v="0"/>
    <n v="1"/>
    <n v="2"/>
    <s v="-"/>
    <s v="-"/>
    <s v="-"/>
    <n v="2"/>
    <s v="-"/>
    <n v="10"/>
    <n v="11"/>
    <s v="-"/>
    <n v="1"/>
    <n v="1"/>
    <n v="2"/>
    <n v="2"/>
    <n v="12"/>
    <n v="13"/>
  </r>
  <r>
    <x v="4"/>
    <x v="101"/>
    <d v="1899-12-30T00:00:00"/>
    <s v="3RD"/>
    <d v="1899-12-30T23:00:00"/>
    <n v="2"/>
    <x v="31"/>
    <n v="1.89E-2"/>
    <s v="P"/>
    <s v="P"/>
    <s v="P"/>
    <s v="+"/>
    <s v="+"/>
    <n v="11.94"/>
    <s v="-"/>
    <s v="-"/>
    <s v="-"/>
    <s v="-"/>
    <s v="-"/>
    <s v="-"/>
    <s v="-"/>
    <s v="-"/>
    <s v="P"/>
    <s v="P"/>
    <s v="-"/>
    <n v="2"/>
    <n v="1"/>
    <n v="2"/>
    <n v="0"/>
    <s v="-"/>
    <s v="-"/>
    <s v="-"/>
    <s v="-"/>
    <s v="-"/>
    <s v="-"/>
    <s v="-"/>
    <n v="5"/>
    <n v="6"/>
    <s v="-"/>
    <n v="1"/>
    <n v="1"/>
    <n v="2"/>
    <n v="2"/>
    <n v="7"/>
    <n v="8"/>
  </r>
  <r>
    <x v="4"/>
    <x v="101"/>
    <d v="1899-12-30T00:00:00"/>
    <s v="3RD"/>
    <d v="1899-12-31T00:00:00"/>
    <n v="2"/>
    <x v="31"/>
    <n v="1.52E-2"/>
    <s v="P"/>
    <s v="P"/>
    <s v="P"/>
    <s v="+"/>
    <s v="+"/>
    <n v="11.73"/>
    <s v="-"/>
    <s v="-"/>
    <s v="-"/>
    <s v="-"/>
    <s v="-"/>
    <s v="-"/>
    <s v="-"/>
    <s v="-"/>
    <s v="P"/>
    <s v="P"/>
    <s v="-"/>
    <n v="2"/>
    <n v="1"/>
    <n v="2"/>
    <n v="0"/>
    <s v="-"/>
    <s v="-"/>
    <s v="-"/>
    <s v="-"/>
    <s v="-"/>
    <s v="-"/>
    <s v="-"/>
    <n v="5"/>
    <n v="6"/>
    <s v="-"/>
    <n v="1"/>
    <n v="1"/>
    <n v="2"/>
    <n v="2"/>
    <n v="7"/>
    <n v="8"/>
  </r>
  <r>
    <x v="4"/>
    <x v="101"/>
    <d v="1899-12-30T00:00:00"/>
    <s v="3RD"/>
    <d v="1899-12-31T01:00:00"/>
    <n v="2"/>
    <x v="31"/>
    <n v="1.3899999999999999E-2"/>
    <s v="P"/>
    <s v="P"/>
    <s v="P"/>
    <s v="+"/>
    <s v="+"/>
    <n v="11.92"/>
    <s v="-"/>
    <s v="-"/>
    <s v="-"/>
    <s v="-"/>
    <s v="-"/>
    <s v="-"/>
    <s v="-"/>
    <s v="-"/>
    <s v="P"/>
    <s v="P"/>
    <s v="-"/>
    <n v="2"/>
    <n v="1"/>
    <n v="2"/>
    <n v="0"/>
    <s v="-"/>
    <s v="-"/>
    <s v="-"/>
    <s v="-"/>
    <s v="-"/>
    <s v="-"/>
    <s v="-"/>
    <n v="5"/>
    <n v="6"/>
    <s v="-"/>
    <n v="1"/>
    <n v="1"/>
    <n v="2"/>
    <n v="2"/>
    <n v="7"/>
    <n v="8"/>
  </r>
  <r>
    <x v="4"/>
    <x v="101"/>
    <d v="1899-12-30T00:00:00"/>
    <s v="3RD"/>
    <d v="1899-12-31T02:00:00"/>
    <n v="2"/>
    <x v="31"/>
    <n v="1.0699999999999999E-2"/>
    <s v="P"/>
    <s v="P"/>
    <s v="P"/>
    <s v="+"/>
    <s v="+"/>
    <n v="11.97"/>
    <s v="-"/>
    <s v="-"/>
    <s v="-"/>
    <s v="-"/>
    <s v="-"/>
    <s v="-"/>
    <s v="-"/>
    <s v="-"/>
    <s v="P"/>
    <s v="P"/>
    <s v="-"/>
    <n v="2"/>
    <n v="1"/>
    <n v="2"/>
    <n v="0"/>
    <s v="-"/>
    <s v="-"/>
    <s v="-"/>
    <s v="-"/>
    <s v="-"/>
    <s v="-"/>
    <s v="-"/>
    <n v="5"/>
    <n v="6"/>
    <s v="-"/>
    <n v="1"/>
    <n v="1"/>
    <n v="2"/>
    <n v="2"/>
    <n v="7"/>
    <n v="8"/>
  </r>
  <r>
    <x v="4"/>
    <x v="101"/>
    <d v="1899-12-30T00:00:00"/>
    <s v="3RD"/>
    <d v="1899-12-31T04:00:00"/>
    <n v="2"/>
    <x v="31"/>
    <n v="1.6E-2"/>
    <s v="P"/>
    <s v="P"/>
    <s v="P"/>
    <s v="+"/>
    <s v="+"/>
    <n v="12.13"/>
    <s v="-"/>
    <s v="-"/>
    <s v="-"/>
    <s v="-"/>
    <s v="-"/>
    <s v="-"/>
    <s v="-"/>
    <s v="-"/>
    <s v="P"/>
    <s v="P"/>
    <s v="-"/>
    <n v="2"/>
    <n v="1"/>
    <n v="2"/>
    <n v="0"/>
    <s v="-"/>
    <s v="-"/>
    <s v="-"/>
    <s v="-"/>
    <s v="-"/>
    <s v="-"/>
    <s v="-"/>
    <n v="5"/>
    <n v="6"/>
    <s v="-"/>
    <n v="1"/>
    <n v="1"/>
    <n v="2"/>
    <n v="2"/>
    <n v="7"/>
    <n v="8"/>
  </r>
  <r>
    <x v="4"/>
    <x v="101"/>
    <d v="1899-12-30T00:00:00"/>
    <s v="3RD"/>
    <d v="1899-12-31T05:00:00"/>
    <n v="2"/>
    <x v="31"/>
    <n v="8.2000000000000007E-3"/>
    <s v="P"/>
    <s v="P"/>
    <s v="P"/>
    <s v="+"/>
    <s v="+"/>
    <n v="11.98"/>
    <s v="-"/>
    <s v="-"/>
    <s v="-"/>
    <s v="-"/>
    <s v="-"/>
    <s v="-"/>
    <s v="-"/>
    <s v="-"/>
    <s v="P"/>
    <s v="P"/>
    <s v="-"/>
    <n v="2"/>
    <n v="1"/>
    <n v="2"/>
    <n v="0"/>
    <s v="-"/>
    <s v="-"/>
    <s v="-"/>
    <s v="-"/>
    <s v="-"/>
    <s v="-"/>
    <s v="-"/>
    <n v="5"/>
    <n v="6"/>
    <s v="-"/>
    <n v="1"/>
    <n v="1"/>
    <n v="2"/>
    <n v="2"/>
    <n v="7"/>
    <n v="8"/>
  </r>
  <r>
    <x v="4"/>
    <x v="101"/>
    <d v="2026-04-29T00:00:00"/>
    <s v="3RD"/>
    <d v="1899-12-31T00:00:00"/>
    <n v="3"/>
    <x v="31"/>
    <n v="1.8700000000000001E-2"/>
    <s v="P"/>
    <s v="P"/>
    <s v="P"/>
    <s v="+"/>
    <s v="+"/>
    <n v="12.13"/>
    <n v="11.23"/>
    <n v="0.5"/>
    <s v="-"/>
    <s v="-"/>
    <s v="-"/>
    <n v="32"/>
    <s v="-"/>
    <s v="-"/>
    <s v="P"/>
    <s v="P"/>
    <s v="50% 40% 10%"/>
    <n v="2"/>
    <n v="1"/>
    <n v="2"/>
    <n v="0"/>
    <n v="1"/>
    <n v="2"/>
    <s v="-"/>
    <s v="-"/>
    <s v="-"/>
    <n v="2"/>
    <s v="-"/>
    <n v="10"/>
    <n v="11"/>
    <s v="-"/>
    <n v="1"/>
    <n v="1"/>
    <n v="2"/>
    <n v="2"/>
    <n v="12"/>
    <n v="13"/>
  </r>
  <r>
    <x v="4"/>
    <x v="101"/>
    <d v="2026-04-29T00:00:00"/>
    <s v="3RD"/>
    <d v="1899-12-31T01:00:00"/>
    <n v="3"/>
    <x v="31"/>
    <n v="1.77E-2"/>
    <s v="P"/>
    <s v="P"/>
    <s v="P"/>
    <s v="+"/>
    <s v="+"/>
    <n v="12.22"/>
    <s v="-"/>
    <s v="-"/>
    <s v="-"/>
    <s v="-"/>
    <s v="-"/>
    <s v="-"/>
    <s v="-"/>
    <s v="-"/>
    <s v="P"/>
    <s v="P"/>
    <s v="-"/>
    <n v="2"/>
    <n v="1"/>
    <n v="2"/>
    <n v="0"/>
    <s v="-"/>
    <s v="-"/>
    <s v="-"/>
    <s v="-"/>
    <s v="-"/>
    <s v="-"/>
    <s v="-"/>
    <n v="5"/>
    <n v="6"/>
    <s v="-"/>
    <n v="1"/>
    <n v="1"/>
    <n v="2"/>
    <n v="2"/>
    <n v="7"/>
    <n v="8"/>
  </r>
  <r>
    <x v="4"/>
    <x v="101"/>
    <d v="2026-04-29T00:00:00"/>
    <s v="3RD"/>
    <d v="1899-12-31T02:00:00"/>
    <n v="3"/>
    <x v="31"/>
    <n v="1.8200000000000001E-2"/>
    <s v="P"/>
    <s v="P"/>
    <s v="P"/>
    <s v="+"/>
    <s v="+"/>
    <n v="12.38"/>
    <s v="-"/>
    <s v="-"/>
    <s v="-"/>
    <s v="-"/>
    <s v="-"/>
    <s v="-"/>
    <s v="-"/>
    <s v="-"/>
    <s v="P"/>
    <s v="P"/>
    <s v="-"/>
    <n v="2"/>
    <n v="1"/>
    <n v="2"/>
    <n v="0"/>
    <s v="-"/>
    <s v="-"/>
    <s v="-"/>
    <s v="-"/>
    <s v="-"/>
    <s v="-"/>
    <s v="-"/>
    <n v="5"/>
    <n v="6"/>
    <s v="-"/>
    <n v="1"/>
    <n v="1"/>
    <n v="2"/>
    <n v="2"/>
    <n v="7"/>
    <n v="8"/>
  </r>
  <r>
    <x v="4"/>
    <x v="101"/>
    <d v="2026-04-29T00:00:00"/>
    <s v="3RD"/>
    <d v="1899-12-31T04:00:00"/>
    <n v="3"/>
    <x v="31"/>
    <n v="1.77E-2"/>
    <s v="P"/>
    <s v="P"/>
    <s v="P"/>
    <s v="+"/>
    <s v="+"/>
    <n v="11.91"/>
    <s v="-"/>
    <s v="-"/>
    <s v="-"/>
    <s v="-"/>
    <s v="-"/>
    <s v="-"/>
    <s v="-"/>
    <s v="-"/>
    <s v="P"/>
    <s v="P"/>
    <s v="-"/>
    <n v="2"/>
    <n v="1"/>
    <n v="2"/>
    <n v="0"/>
    <s v="-"/>
    <s v="-"/>
    <s v="-"/>
    <s v="-"/>
    <s v="-"/>
    <s v="-"/>
    <s v="-"/>
    <n v="5"/>
    <n v="6"/>
    <s v="-"/>
    <n v="1"/>
    <n v="1"/>
    <n v="2"/>
    <n v="2"/>
    <n v="7"/>
    <n v="8"/>
  </r>
  <r>
    <x v="4"/>
    <x v="101"/>
    <d v="2026-04-29T00:00:00"/>
    <s v="3RD"/>
    <d v="1899-12-31T05:00:00"/>
    <n v="3"/>
    <x v="31"/>
    <n v="1.95E-2"/>
    <s v="P"/>
    <s v="P"/>
    <s v="P"/>
    <s v="+"/>
    <s v="+"/>
    <n v="12.05"/>
    <s v="-"/>
    <s v="-"/>
    <s v="-"/>
    <s v="-"/>
    <s v="-"/>
    <s v="-"/>
    <s v="-"/>
    <s v="-"/>
    <s v="P"/>
    <s v="P"/>
    <s v="-"/>
    <n v="2"/>
    <n v="1"/>
    <n v="2"/>
    <n v="0"/>
    <s v="-"/>
    <s v="-"/>
    <s v="-"/>
    <s v="-"/>
    <s v="-"/>
    <s v="-"/>
    <s v="-"/>
    <n v="5"/>
    <n v="6"/>
    <s v="-"/>
    <n v="1"/>
    <n v="1"/>
    <n v="2"/>
    <n v="2"/>
    <n v="7"/>
    <n v="8"/>
  </r>
  <r>
    <x v="4"/>
    <x v="102"/>
    <s v="-"/>
    <s v="1ST"/>
    <s v="06:00"/>
    <n v="1"/>
    <x v="22"/>
    <n v="9.5999999999999992E-3"/>
    <s v="P"/>
    <s v="P"/>
    <s v="P"/>
    <s v="-"/>
    <s v="-"/>
    <n v="10.8"/>
    <n v="9.27"/>
    <n v="0.52"/>
    <n v="56.1"/>
    <s v="-"/>
    <s v="-"/>
    <n v="25.3"/>
    <s v="-"/>
    <s v="-"/>
    <s v="P"/>
    <s v="P"/>
    <n v="1"/>
    <n v="2"/>
    <n v="1"/>
    <n v="2"/>
    <n v="0"/>
    <n v="1"/>
    <n v="2"/>
    <n v="2"/>
    <s v="-"/>
    <s v="-"/>
    <n v="2"/>
    <s v="-"/>
    <n v="12"/>
    <n v="13"/>
    <s v="-"/>
    <n v="1"/>
    <n v="1"/>
    <n v="2"/>
    <n v="2"/>
    <n v="14"/>
    <n v="15"/>
  </r>
  <r>
    <x v="4"/>
    <x v="102"/>
    <d v="2026-05-12T00:00:00"/>
    <s v="1ST"/>
    <s v="07:00"/>
    <n v="1"/>
    <x v="22"/>
    <n v="8.0000000000000002E-3"/>
    <s v="P"/>
    <s v="P"/>
    <s v="P"/>
    <s v="-"/>
    <s v="-"/>
    <n v="10.86"/>
    <s v="-"/>
    <s v="-"/>
    <s v="-"/>
    <s v="-"/>
    <s v="-"/>
    <s v="-"/>
    <s v="-"/>
    <s v="-"/>
    <s v="P"/>
    <s v="P"/>
    <s v="-"/>
    <n v="2"/>
    <n v="1"/>
    <n v="2"/>
    <n v="0"/>
    <s v="-"/>
    <s v="-"/>
    <s v="-"/>
    <s v="-"/>
    <s v="-"/>
    <s v="-"/>
    <s v="-"/>
    <n v="5"/>
    <n v="6"/>
    <s v="-"/>
    <n v="1"/>
    <n v="1"/>
    <n v="2"/>
    <n v="2"/>
    <n v="7"/>
    <n v="8"/>
  </r>
  <r>
    <x v="4"/>
    <x v="102"/>
    <d v="2026-05-12T00:00:00"/>
    <s v="1ST"/>
    <s v="08:00"/>
    <n v="1"/>
    <x v="22"/>
    <n v="7.7999999999999996E-3"/>
    <s v="P"/>
    <s v="P"/>
    <s v="P"/>
    <s v="-"/>
    <s v="-"/>
    <n v="11.15"/>
    <s v="-"/>
    <s v="-"/>
    <s v="-"/>
    <s v="-"/>
    <s v="-"/>
    <s v="-"/>
    <s v="-"/>
    <s v="-"/>
    <s v="P"/>
    <s v="P"/>
    <s v="-"/>
    <n v="2"/>
    <n v="1"/>
    <n v="2"/>
    <n v="1"/>
    <s v="-"/>
    <s v="-"/>
    <s v="-"/>
    <s v="-"/>
    <s v="-"/>
    <s v="-"/>
    <s v="-"/>
    <n v="6"/>
    <n v="6"/>
    <s v="-"/>
    <n v="1"/>
    <n v="1"/>
    <n v="2"/>
    <n v="2"/>
    <n v="8"/>
    <n v="8"/>
  </r>
  <r>
    <x v="4"/>
    <x v="102"/>
    <d v="1902-03-26T00:00:00"/>
    <s v="1ST"/>
    <s v="06:00"/>
    <n v="2"/>
    <x v="31"/>
    <n v="1.11E-2"/>
    <s v="P"/>
    <s v="P"/>
    <s v="P"/>
    <s v="+"/>
    <s v="+"/>
    <n v="12.06"/>
    <n v="11.79"/>
    <n v="0.57999999999999996"/>
    <n v="64.7"/>
    <s v="-"/>
    <s v="-"/>
    <n v="32.9"/>
    <s v="-"/>
    <s v="-"/>
    <s v="P"/>
    <s v="P"/>
    <s v="-"/>
    <n v="2"/>
    <n v="1"/>
    <n v="2"/>
    <n v="0"/>
    <n v="1"/>
    <n v="2"/>
    <n v="0"/>
    <s v="-"/>
    <s v="-"/>
    <n v="2"/>
    <s v="-"/>
    <n v="10"/>
    <n v="13"/>
    <s v="-"/>
    <n v="1"/>
    <n v="1"/>
    <n v="2"/>
    <n v="2"/>
    <n v="12"/>
    <n v="15"/>
  </r>
  <r>
    <x v="4"/>
    <x v="102"/>
    <d v="1899-12-30T00:00:00"/>
    <s v="1ST"/>
    <s v="07:00"/>
    <n v="2"/>
    <x v="31"/>
    <n v="1.6500000000000001E-2"/>
    <s v="P"/>
    <s v="P"/>
    <s v="P"/>
    <s v="+"/>
    <s v="+"/>
    <n v="11.93"/>
    <s v="-"/>
    <s v="-"/>
    <s v="-"/>
    <s v="-"/>
    <s v="-"/>
    <s v="-"/>
    <s v="-"/>
    <s v="-"/>
    <s v="P"/>
    <s v="P"/>
    <s v="-"/>
    <n v="2"/>
    <n v="1"/>
    <n v="2"/>
    <n v="0"/>
    <s v="-"/>
    <s v="-"/>
    <s v="-"/>
    <s v="-"/>
    <s v="-"/>
    <s v="-"/>
    <s v="-"/>
    <n v="5"/>
    <n v="6"/>
    <s v="-"/>
    <n v="1"/>
    <n v="1"/>
    <n v="2"/>
    <n v="2"/>
    <n v="7"/>
    <n v="8"/>
  </r>
  <r>
    <x v="4"/>
    <x v="102"/>
    <d v="1899-12-30T00:00:00"/>
    <s v="1ST"/>
    <s v="08:00"/>
    <n v="2"/>
    <x v="31"/>
    <n v="1.8100000000000002E-2"/>
    <s v="P"/>
    <s v="P"/>
    <s v="P"/>
    <s v="+"/>
    <s v="+"/>
    <n v="12.09"/>
    <s v="-"/>
    <s v="-"/>
    <s v="-"/>
    <s v="-"/>
    <s v="-"/>
    <s v="-"/>
    <s v="-"/>
    <s v="-"/>
    <s v="P"/>
    <s v="P"/>
    <s v="-"/>
    <n v="2"/>
    <n v="1"/>
    <n v="2"/>
    <n v="0"/>
    <s v="-"/>
    <s v="-"/>
    <s v="-"/>
    <s v="-"/>
    <s v="-"/>
    <s v="-"/>
    <s v="-"/>
    <n v="5"/>
    <n v="6"/>
    <s v="-"/>
    <n v="1"/>
    <n v="1"/>
    <n v="2"/>
    <n v="2"/>
    <n v="7"/>
    <n v="8"/>
  </r>
  <r>
    <x v="4"/>
    <x v="102"/>
    <d v="1899-12-30T00:00:00"/>
    <s v="1ST"/>
    <s v="09:00"/>
    <n v="2"/>
    <x v="31"/>
    <n v="1.4500000000000001E-2"/>
    <s v="P"/>
    <s v="P"/>
    <s v="P"/>
    <s v="+"/>
    <s v="+"/>
    <n v="11.95"/>
    <s v="-"/>
    <s v="-"/>
    <s v="-"/>
    <s v="-"/>
    <s v="-"/>
    <s v="-"/>
    <s v="-"/>
    <s v="-"/>
    <s v="P"/>
    <s v="P"/>
    <s v="-"/>
    <n v="2"/>
    <n v="1"/>
    <n v="2"/>
    <n v="0"/>
    <s v="-"/>
    <s v="-"/>
    <s v="-"/>
    <s v="-"/>
    <s v="-"/>
    <s v="-"/>
    <s v="-"/>
    <n v="5"/>
    <n v="6"/>
    <s v="-"/>
    <n v="1"/>
    <n v="1"/>
    <n v="2"/>
    <n v="2"/>
    <n v="7"/>
    <n v="8"/>
  </r>
  <r>
    <x v="4"/>
    <x v="102"/>
    <d v="1899-12-30T00:00:00"/>
    <s v="1ST"/>
    <s v="11:00"/>
    <n v="2"/>
    <x v="31"/>
    <n v="1.5599999999999999E-2"/>
    <s v="P"/>
    <s v="P"/>
    <s v="P"/>
    <s v="+"/>
    <s v="+"/>
    <n v="11.29"/>
    <s v="-"/>
    <s v="-"/>
    <s v="-"/>
    <s v="-"/>
    <s v="-"/>
    <s v="-"/>
    <s v="-"/>
    <s v="-"/>
    <s v="P"/>
    <s v="P"/>
    <s v="-"/>
    <n v="2"/>
    <n v="1"/>
    <n v="2"/>
    <n v="0"/>
    <s v="-"/>
    <s v="-"/>
    <s v="-"/>
    <s v="-"/>
    <s v="-"/>
    <s v="-"/>
    <s v="-"/>
    <n v="5"/>
    <n v="6"/>
    <s v="-"/>
    <n v="1"/>
    <n v="1"/>
    <n v="2"/>
    <n v="2"/>
    <n v="7"/>
    <n v="8"/>
  </r>
  <r>
    <x v="4"/>
    <x v="102"/>
    <d v="1899-12-30T00:00:00"/>
    <s v="1ST"/>
    <s v="12:00"/>
    <n v="2"/>
    <x v="21"/>
    <n v="1.6299999999999999E-2"/>
    <s v="P"/>
    <s v="P"/>
    <s v="P"/>
    <s v="-"/>
    <s v="+"/>
    <n v="10.84"/>
    <n v="9.5"/>
    <n v="0.48"/>
    <n v="58.3"/>
    <s v="-"/>
    <s v="-"/>
    <n v="26.6"/>
    <s v="-"/>
    <s v="-"/>
    <s v="P"/>
    <s v="P"/>
    <s v="-"/>
    <n v="2"/>
    <n v="1"/>
    <n v="2"/>
    <n v="0"/>
    <s v="-"/>
    <n v="2"/>
    <n v="0"/>
    <s v="-"/>
    <s v="-"/>
    <n v="2"/>
    <s v="-"/>
    <n v="9"/>
    <n v="12"/>
    <s v="-"/>
    <n v="1"/>
    <n v="1"/>
    <n v="2"/>
    <n v="2"/>
    <n v="11"/>
    <n v="14"/>
  </r>
  <r>
    <x v="4"/>
    <x v="102"/>
    <d v="1899-12-30T00:00:00"/>
    <s v="1ST"/>
    <s v="13:00"/>
    <n v="2"/>
    <x v="21"/>
    <n v="1.2800000000000001E-2"/>
    <s v="P"/>
    <s v="P"/>
    <s v="P"/>
    <s v="-"/>
    <s v="+"/>
    <n v="10.85"/>
    <s v="-"/>
    <s v="-"/>
    <s v="-"/>
    <s v="-"/>
    <s v="-"/>
    <s v="-"/>
    <s v="-"/>
    <s v="-"/>
    <s v="P"/>
    <s v="P"/>
    <s v="-"/>
    <n v="2"/>
    <n v="1"/>
    <n v="2"/>
    <n v="0"/>
    <s v="-"/>
    <s v="-"/>
    <s v="-"/>
    <s v="-"/>
    <s v="-"/>
    <s v="-"/>
    <s v="-"/>
    <n v="5"/>
    <n v="6"/>
    <s v="-"/>
    <n v="1"/>
    <n v="1"/>
    <n v="2"/>
    <n v="2"/>
    <n v="7"/>
    <n v="8"/>
  </r>
  <r>
    <x v="4"/>
    <x v="102"/>
    <d v="2026-04-29T00:00:00"/>
    <s v="1ST"/>
    <s v="06:00"/>
    <n v="3"/>
    <x v="31"/>
    <n v="9.2999999999999992E-3"/>
    <s v="P"/>
    <s v="P"/>
    <s v="P"/>
    <s v="+"/>
    <s v="+"/>
    <n v="12.14"/>
    <n v="12.01"/>
    <n v="0.54"/>
    <n v="63.4"/>
    <s v="-"/>
    <s v="-"/>
    <n v="33.51"/>
    <s v="-"/>
    <s v="-"/>
    <s v="P"/>
    <s v="P"/>
    <s v="50% 40% 10%"/>
    <n v="2"/>
    <n v="1"/>
    <n v="2"/>
    <n v="0"/>
    <n v="1"/>
    <n v="2"/>
    <n v="2"/>
    <s v="-"/>
    <s v="-"/>
    <n v="2"/>
    <s v="-"/>
    <n v="12"/>
    <n v="13"/>
    <s v="-"/>
    <n v="1"/>
    <n v="1"/>
    <n v="2"/>
    <n v="2"/>
    <n v="14"/>
    <n v="15"/>
  </r>
  <r>
    <x v="4"/>
    <x v="102"/>
    <d v="2026-04-29T00:00:00"/>
    <s v="1ST"/>
    <s v="07:00"/>
    <n v="3"/>
    <x v="31"/>
    <n v="1.24E-2"/>
    <s v="P"/>
    <s v="P"/>
    <s v="P"/>
    <s v="+"/>
    <s v="+"/>
    <n v="12.32"/>
    <s v="-"/>
    <s v="-"/>
    <s v="-"/>
    <s v="-"/>
    <s v="-"/>
    <s v="-"/>
    <s v="-"/>
    <s v="-"/>
    <s v="P"/>
    <s v="P"/>
    <s v="-"/>
    <n v="2"/>
    <n v="1"/>
    <n v="2"/>
    <n v="0"/>
    <s v="-"/>
    <s v="-"/>
    <s v="-"/>
    <s v="-"/>
    <s v="-"/>
    <s v="-"/>
    <s v="-"/>
    <n v="5"/>
    <n v="6"/>
    <s v="-"/>
    <n v="1"/>
    <n v="1"/>
    <n v="2"/>
    <n v="2"/>
    <n v="7"/>
    <n v="8"/>
  </r>
  <r>
    <x v="4"/>
    <x v="102"/>
    <d v="2026-04-29T00:00:00"/>
    <s v="1ST"/>
    <s v="08:00"/>
    <n v="3"/>
    <x v="31"/>
    <n v="1.6E-2"/>
    <s v="P"/>
    <s v="P"/>
    <s v="P"/>
    <s v="+"/>
    <s v="+"/>
    <n v="12.4"/>
    <s v="-"/>
    <s v="-"/>
    <s v="-"/>
    <s v="-"/>
    <s v="-"/>
    <s v="-"/>
    <s v="-"/>
    <s v="-"/>
    <s v="P"/>
    <s v="P"/>
    <s v="-"/>
    <n v="2"/>
    <n v="1"/>
    <n v="2"/>
    <n v="0"/>
    <s v="-"/>
    <s v="-"/>
    <s v="-"/>
    <s v="-"/>
    <s v="-"/>
    <s v="-"/>
    <s v="-"/>
    <n v="5"/>
    <n v="6"/>
    <s v="-"/>
    <n v="1"/>
    <n v="1"/>
    <n v="2"/>
    <n v="2"/>
    <n v="7"/>
    <n v="8"/>
  </r>
  <r>
    <x v="4"/>
    <x v="102"/>
    <d v="2026-04-29T00:00:00"/>
    <s v="1ST"/>
    <s v="09:00"/>
    <n v="3"/>
    <x v="31"/>
    <s v="-"/>
    <s v="P"/>
    <s v="P"/>
    <s v="P"/>
    <s v="+"/>
    <s v="+"/>
    <n v="12.29"/>
    <s v="-"/>
    <s v="-"/>
    <s v="-"/>
    <s v="-"/>
    <s v="-"/>
    <s v="-"/>
    <s v="-"/>
    <s v="-"/>
    <s v="P"/>
    <s v="P"/>
    <s v="-"/>
    <s v="-"/>
    <n v="1"/>
    <n v="2"/>
    <n v="0"/>
    <s v="-"/>
    <s v="-"/>
    <s v="-"/>
    <s v="-"/>
    <s v="-"/>
    <s v="-"/>
    <s v="-"/>
    <n v="3"/>
    <n v="4"/>
    <s v="-"/>
    <n v="1"/>
    <n v="1"/>
    <n v="2"/>
    <n v="2"/>
    <n v="5"/>
    <n v="6"/>
  </r>
  <r>
    <x v="4"/>
    <x v="102"/>
    <d v="2026-04-29T00:00:00"/>
    <s v="2ND"/>
    <d v="1899-12-30T14:00:00"/>
    <n v="1"/>
    <x v="22"/>
    <n v="2.5999999999999999E-3"/>
    <s v="P"/>
    <s v="P"/>
    <s v="P"/>
    <s v="-"/>
    <s v="-"/>
    <n v="10.91"/>
    <n v="9.2200000000000006"/>
    <s v="-"/>
    <s v="-"/>
    <s v="-"/>
    <s v="-"/>
    <n v="25.2"/>
    <s v="-"/>
    <s v="-"/>
    <s v="P"/>
    <s v="P"/>
    <n v="1"/>
    <n v="2"/>
    <n v="1"/>
    <n v="2"/>
    <n v="0"/>
    <n v="1"/>
    <s v="-"/>
    <s v="-"/>
    <s v="-"/>
    <s v="-"/>
    <n v="2"/>
    <s v="-"/>
    <n v="8"/>
    <n v="9"/>
    <s v="-"/>
    <n v="1"/>
    <n v="1"/>
    <n v="2"/>
    <n v="2"/>
    <n v="10"/>
    <n v="11"/>
  </r>
  <r>
    <x v="4"/>
    <x v="102"/>
    <d v="1902-03-26T00:00:00"/>
    <s v="2ND"/>
    <d v="1899-12-30T14:00:00"/>
    <n v="2"/>
    <x v="21"/>
    <n v="8.8999999999999999E-3"/>
    <s v="P"/>
    <s v="P"/>
    <s v="P"/>
    <s v="-"/>
    <s v="+"/>
    <n v="10.73"/>
    <n v="9.67"/>
    <n v="0.48"/>
    <n v="58.3"/>
    <s v="-"/>
    <s v="-"/>
    <n v="26.6"/>
    <s v="-"/>
    <s v="-"/>
    <s v="P"/>
    <s v="P"/>
    <s v="-"/>
    <n v="2"/>
    <n v="1"/>
    <n v="2"/>
    <n v="0"/>
    <s v="-"/>
    <n v="2"/>
    <n v="0"/>
    <s v="-"/>
    <s v="-"/>
    <n v="2"/>
    <s v="-"/>
    <n v="9"/>
    <n v="12"/>
    <s v="-"/>
    <n v="1"/>
    <n v="1"/>
    <n v="2"/>
    <n v="2"/>
    <n v="11"/>
    <n v="14"/>
  </r>
  <r>
    <x v="4"/>
    <x v="102"/>
    <d v="1899-12-30T00:00:00"/>
    <s v="2ND"/>
    <d v="1899-12-30T16:00:00"/>
    <n v="2"/>
    <x v="21"/>
    <n v="1.01E-2"/>
    <s v="P"/>
    <s v="P"/>
    <s v="P"/>
    <s v="-"/>
    <s v="+"/>
    <n v="10.81"/>
    <s v="-"/>
    <s v="-"/>
    <s v="-"/>
    <s v="-"/>
    <s v="-"/>
    <s v="-"/>
    <s v="-"/>
    <s v="-"/>
    <s v="P"/>
    <s v="P"/>
    <s v="-"/>
    <n v="2"/>
    <n v="1"/>
    <n v="2"/>
    <n v="0"/>
    <s v="-"/>
    <s v="-"/>
    <s v="-"/>
    <s v="-"/>
    <s v="-"/>
    <s v="-"/>
    <s v="-"/>
    <n v="5"/>
    <n v="6"/>
    <s v="-"/>
    <n v="1"/>
    <n v="1"/>
    <n v="2"/>
    <n v="2"/>
    <n v="7"/>
    <n v="8"/>
  </r>
  <r>
    <x v="4"/>
    <x v="102"/>
    <d v="1899-12-30T00:00:00"/>
    <s v="2ND"/>
    <d v="1899-12-30T20:00:00"/>
    <n v="2"/>
    <x v="21"/>
    <n v="1.0200000000000001E-2"/>
    <s v="P"/>
    <s v="P"/>
    <s v="P"/>
    <s v="-"/>
    <s v="+"/>
    <n v="10.68"/>
    <s v="-"/>
    <s v="-"/>
    <s v="-"/>
    <s v="-"/>
    <s v="-"/>
    <s v="-"/>
    <s v="-"/>
    <s v="-"/>
    <s v="P"/>
    <s v="P"/>
    <s v="-"/>
    <n v="2"/>
    <n v="1"/>
    <n v="2"/>
    <n v="0"/>
    <s v="-"/>
    <s v="-"/>
    <s v="-"/>
    <s v="-"/>
    <s v="-"/>
    <s v="-"/>
    <s v="-"/>
    <n v="5"/>
    <n v="6"/>
    <s v="-"/>
    <n v="1"/>
    <n v="1"/>
    <n v="2"/>
    <n v="2"/>
    <n v="7"/>
    <n v="8"/>
  </r>
  <r>
    <x v="4"/>
    <x v="102"/>
    <d v="2026-05-12T00:00:00"/>
    <s v="2ND"/>
    <d v="1899-12-30T18:00:00"/>
    <n v="3"/>
    <x v="12"/>
    <n v="1.24E-2"/>
    <s v="P"/>
    <s v="P"/>
    <s v="P"/>
    <s v="+"/>
    <s v="+"/>
    <n v="12.19"/>
    <n v="12.58"/>
    <n v="0.52"/>
    <n v="64.5"/>
    <s v="-"/>
    <s v="-"/>
    <n v="35.200000000000003"/>
    <s v="-"/>
    <s v="-"/>
    <s v="P"/>
    <s v="P"/>
    <n v="1"/>
    <n v="2"/>
    <n v="1"/>
    <n v="2"/>
    <n v="1"/>
    <s v="-"/>
    <n v="2"/>
    <n v="2"/>
    <s v="-"/>
    <s v="-"/>
    <n v="2"/>
    <s v="-"/>
    <n v="12"/>
    <n v="12"/>
    <s v="-"/>
    <n v="1"/>
    <n v="1"/>
    <n v="2"/>
    <n v="2"/>
    <n v="14"/>
    <n v="14"/>
  </r>
  <r>
    <x v="4"/>
    <x v="102"/>
    <d v="2026-05-12T00:00:00"/>
    <s v="2ND"/>
    <d v="1899-12-30T20:00:00"/>
    <n v="3"/>
    <x v="12"/>
    <n v="1.6500000000000001E-2"/>
    <s v="P"/>
    <s v="P"/>
    <s v="P"/>
    <s v="+"/>
    <s v="+"/>
    <n v="12.13"/>
    <s v="-"/>
    <s v="-"/>
    <s v="-"/>
    <s v="-"/>
    <s v="-"/>
    <s v="-"/>
    <s v="-"/>
    <s v="-"/>
    <s v="P"/>
    <s v="P"/>
    <s v="-"/>
    <n v="2"/>
    <n v="1"/>
    <n v="2"/>
    <n v="1"/>
    <s v="-"/>
    <s v="-"/>
    <s v="-"/>
    <s v="-"/>
    <s v="-"/>
    <s v="-"/>
    <s v="-"/>
    <n v="6"/>
    <n v="6"/>
    <s v="-"/>
    <n v="1"/>
    <n v="1"/>
    <n v="2"/>
    <n v="2"/>
    <n v="8"/>
    <n v="8"/>
  </r>
  <r>
    <x v="4"/>
    <x v="102"/>
    <d v="2026-05-12T00:00:00"/>
    <s v="2ND"/>
    <d v="1899-12-30T21:00:00"/>
    <n v="3"/>
    <x v="12"/>
    <n v="1.2E-2"/>
    <s v="P"/>
    <s v="P"/>
    <s v="P"/>
    <s v="+"/>
    <s v="+"/>
    <n v="12.72"/>
    <s v="-"/>
    <s v="-"/>
    <s v="-"/>
    <s v="-"/>
    <s v="-"/>
    <s v="-"/>
    <s v="-"/>
    <s v="-"/>
    <s v="P"/>
    <s v="P"/>
    <s v="-"/>
    <n v="2"/>
    <n v="1"/>
    <n v="2"/>
    <n v="1"/>
    <s v="-"/>
    <s v="-"/>
    <s v="-"/>
    <s v="-"/>
    <s v="-"/>
    <s v="-"/>
    <s v="-"/>
    <n v="6"/>
    <n v="6"/>
    <s v="-"/>
    <n v="1"/>
    <n v="1"/>
    <n v="2"/>
    <n v="2"/>
    <n v="8"/>
    <n v="8"/>
  </r>
  <r>
    <x v="4"/>
    <x v="102"/>
    <d v="2026-05-15T00:00:00"/>
    <s v="2ND"/>
    <d v="1899-12-30T15:00:00"/>
    <s v="Retail"/>
    <x v="19"/>
    <s v="-"/>
    <s v="-"/>
    <s v="P"/>
    <s v="P"/>
    <s v="-"/>
    <s v="-"/>
    <n v="12.81"/>
    <n v="16.89"/>
    <n v="1.25"/>
    <n v="72.400000000000006"/>
    <s v="-"/>
    <s v="-"/>
    <n v="48.4"/>
    <s v="-"/>
    <s v="-"/>
    <s v="P"/>
    <s v="P"/>
    <s v="-"/>
    <s v="-"/>
    <s v="-"/>
    <n v="2"/>
    <n v="1"/>
    <n v="1"/>
    <n v="0"/>
    <n v="2"/>
    <s v="-"/>
    <s v="-"/>
    <n v="2"/>
    <s v="-"/>
    <n v="8"/>
    <n v="10"/>
    <s v="-"/>
    <n v="1"/>
    <n v="1"/>
    <n v="2"/>
    <n v="2"/>
    <n v="10"/>
    <n v="12"/>
  </r>
  <r>
    <x v="4"/>
    <x v="102"/>
    <s v="-"/>
    <s v="3RD"/>
    <d v="1899-12-30T22:00:00"/>
    <n v="1"/>
    <x v="22"/>
    <n v="7.4999999999999997E-3"/>
    <s v="P"/>
    <s v="P"/>
    <s v="P"/>
    <s v="-"/>
    <s v="-"/>
    <n v="11"/>
    <n v="9.0500000000000007"/>
    <n v="0.54"/>
    <s v="-"/>
    <s v="-"/>
    <s v="-"/>
    <n v="24.5"/>
    <s v="-"/>
    <s v="-"/>
    <s v="P"/>
    <s v="P"/>
    <n v="1"/>
    <n v="2"/>
    <n v="1"/>
    <n v="2"/>
    <n v="1"/>
    <n v="1"/>
    <n v="2"/>
    <s v="-"/>
    <s v="-"/>
    <s v="-"/>
    <n v="2"/>
    <s v="-"/>
    <n v="11"/>
    <n v="11"/>
    <s v="-"/>
    <n v="1"/>
    <n v="1"/>
    <n v="2"/>
    <n v="2"/>
    <n v="13"/>
    <n v="13"/>
  </r>
  <r>
    <x v="4"/>
    <x v="102"/>
    <d v="2026-05-12T00:00:00"/>
    <s v="3RD"/>
    <d v="1899-12-31T00:00:00"/>
    <n v="1"/>
    <x v="22"/>
    <n v="8.6E-3"/>
    <s v="P"/>
    <s v="P"/>
    <s v="P"/>
    <s v="-"/>
    <s v="-"/>
    <n v="11.18"/>
    <s v="-"/>
    <s v="-"/>
    <s v="-"/>
    <s v="-"/>
    <s v="-"/>
    <s v="-"/>
    <s v="-"/>
    <s v="-"/>
    <s v="P"/>
    <s v="P"/>
    <s v="-"/>
    <n v="2"/>
    <n v="1"/>
    <n v="2"/>
    <n v="1"/>
    <s v="-"/>
    <s v="-"/>
    <s v="-"/>
    <s v="-"/>
    <s v="-"/>
    <s v="-"/>
    <s v="-"/>
    <n v="6"/>
    <n v="6"/>
    <s v="-"/>
    <n v="1"/>
    <n v="1"/>
    <n v="2"/>
    <n v="2"/>
    <n v="8"/>
    <n v="8"/>
  </r>
  <r>
    <x v="4"/>
    <x v="102"/>
    <d v="2026-05-12T00:00:00"/>
    <s v="3RD"/>
    <d v="1899-12-31T01:00:00"/>
    <n v="1"/>
    <x v="22"/>
    <n v="1.4999999999999999E-2"/>
    <s v="P"/>
    <s v="P"/>
    <s v="P"/>
    <s v="-"/>
    <s v="-"/>
    <n v="11.43"/>
    <s v="-"/>
    <s v="-"/>
    <s v="-"/>
    <s v="-"/>
    <s v="-"/>
    <s v="-"/>
    <s v="-"/>
    <s v="-"/>
    <s v="P"/>
    <s v="P"/>
    <s v="-"/>
    <n v="2"/>
    <n v="1"/>
    <n v="2"/>
    <n v="1"/>
    <s v="-"/>
    <s v="-"/>
    <s v="-"/>
    <s v="-"/>
    <s v="-"/>
    <s v="-"/>
    <s v="-"/>
    <n v="6"/>
    <n v="6"/>
    <s v="-"/>
    <n v="1"/>
    <n v="1"/>
    <n v="2"/>
    <n v="2"/>
    <n v="8"/>
    <n v="8"/>
  </r>
  <r>
    <x v="4"/>
    <x v="102"/>
    <d v="1902-03-26T00:00:00"/>
    <s v="3RD"/>
    <d v="1899-12-30T22:00:00"/>
    <n v="2"/>
    <x v="21"/>
    <n v="7.9000000000000008E-3"/>
    <s v="P"/>
    <s v="P"/>
    <s v="P"/>
    <s v="-"/>
    <s v="+"/>
    <n v="10.81"/>
    <n v="8.7799999999999994"/>
    <n v="0.48"/>
    <s v="-"/>
    <s v="-"/>
    <s v="-"/>
    <n v="23.7"/>
    <s v="-"/>
    <s v="-"/>
    <s v="P"/>
    <s v="P"/>
    <s v="-"/>
    <n v="2"/>
    <n v="1"/>
    <n v="2"/>
    <n v="0"/>
    <s v="-"/>
    <n v="2"/>
    <s v="-"/>
    <s v="-"/>
    <s v="-"/>
    <n v="2"/>
    <s v="-"/>
    <n v="9"/>
    <n v="10"/>
    <s v="-"/>
    <n v="1"/>
    <n v="1"/>
    <n v="2"/>
    <n v="2"/>
    <n v="11"/>
    <n v="12"/>
  </r>
  <r>
    <x v="4"/>
    <x v="102"/>
    <d v="1899-12-30T00:00:00"/>
    <s v="3RD"/>
    <d v="1899-12-30T23:00:00"/>
    <n v="2"/>
    <x v="21"/>
    <n v="7.0000000000000001E-3"/>
    <s v="P"/>
    <s v="P"/>
    <s v="P"/>
    <s v="-"/>
    <s v="+"/>
    <n v="11.05"/>
    <s v="-"/>
    <s v="-"/>
    <s v="-"/>
    <s v="-"/>
    <s v="-"/>
    <s v="-"/>
    <s v="-"/>
    <s v="-"/>
    <s v="P"/>
    <s v="P"/>
    <s v="-"/>
    <n v="2"/>
    <n v="1"/>
    <n v="2"/>
    <n v="1"/>
    <s v="-"/>
    <s v="-"/>
    <s v="-"/>
    <s v="-"/>
    <s v="-"/>
    <s v="-"/>
    <s v="-"/>
    <n v="6"/>
    <n v="6"/>
    <s v="-"/>
    <n v="1"/>
    <n v="1"/>
    <n v="2"/>
    <n v="2"/>
    <n v="8"/>
    <n v="8"/>
  </r>
  <r>
    <x v="4"/>
    <x v="102"/>
    <d v="1899-12-30T00:00:00"/>
    <s v="3RD"/>
    <d v="1899-12-31T00:00:00"/>
    <n v="2"/>
    <x v="21"/>
    <n v="7.3000000000000001E-3"/>
    <s v="P"/>
    <s v="P"/>
    <s v="P"/>
    <s v="-"/>
    <s v="+"/>
    <n v="10.84"/>
    <s v="-"/>
    <s v="-"/>
    <s v="-"/>
    <s v="-"/>
    <s v="-"/>
    <s v="-"/>
    <s v="-"/>
    <s v="-"/>
    <s v="P"/>
    <s v="P"/>
    <s v="-"/>
    <n v="2"/>
    <n v="1"/>
    <n v="2"/>
    <n v="0"/>
    <s v="-"/>
    <s v="-"/>
    <s v="-"/>
    <s v="-"/>
    <s v="-"/>
    <s v="-"/>
    <s v="-"/>
    <n v="5"/>
    <n v="6"/>
    <s v="-"/>
    <n v="1"/>
    <n v="1"/>
    <n v="2"/>
    <n v="2"/>
    <n v="7"/>
    <n v="8"/>
  </r>
  <r>
    <x v="4"/>
    <x v="102"/>
    <d v="1899-12-30T00:00:00"/>
    <s v="3RD"/>
    <d v="1899-12-31T01:00:00"/>
    <n v="2"/>
    <x v="21"/>
    <n v="1.6899999999999998E-2"/>
    <s v="P"/>
    <s v="P"/>
    <s v="P"/>
    <s v="-"/>
    <s v="+"/>
    <n v="10.93"/>
    <s v="-"/>
    <s v="-"/>
    <s v="-"/>
    <s v="-"/>
    <s v="-"/>
    <s v="-"/>
    <s v="-"/>
    <s v="-"/>
    <s v="P"/>
    <s v="P"/>
    <s v="-"/>
    <n v="2"/>
    <n v="1"/>
    <n v="2"/>
    <n v="0"/>
    <s v="-"/>
    <s v="-"/>
    <s v="-"/>
    <s v="-"/>
    <s v="-"/>
    <s v="-"/>
    <s v="-"/>
    <n v="5"/>
    <n v="6"/>
    <s v="-"/>
    <n v="1"/>
    <n v="1"/>
    <n v="2"/>
    <n v="2"/>
    <n v="7"/>
    <n v="8"/>
  </r>
  <r>
    <x v="4"/>
    <x v="102"/>
    <d v="1899-12-30T00:00:00"/>
    <s v="3RD"/>
    <d v="1899-12-31T02:00:00"/>
    <n v="2"/>
    <x v="21"/>
    <n v="1.8700000000000001E-2"/>
    <s v="P"/>
    <s v="P"/>
    <s v="P"/>
    <s v="-"/>
    <s v="+"/>
    <n v="11.07"/>
    <s v="-"/>
    <s v="-"/>
    <s v="-"/>
    <s v="-"/>
    <s v="-"/>
    <s v="-"/>
    <s v="-"/>
    <s v="-"/>
    <s v="P"/>
    <s v="P"/>
    <s v="-"/>
    <n v="2"/>
    <n v="1"/>
    <n v="2"/>
    <n v="1"/>
    <s v="-"/>
    <s v="-"/>
    <s v="-"/>
    <s v="-"/>
    <s v="-"/>
    <s v="-"/>
    <s v="-"/>
    <n v="6"/>
    <n v="6"/>
    <s v="-"/>
    <n v="1"/>
    <n v="1"/>
    <n v="2"/>
    <n v="2"/>
    <n v="8"/>
    <n v="8"/>
  </r>
  <r>
    <x v="4"/>
    <x v="102"/>
    <d v="1899-12-30T00:00:00"/>
    <s v="3RD"/>
    <d v="1899-12-31T04:00:00"/>
    <n v="2"/>
    <x v="21"/>
    <n v="1.34E-2"/>
    <s v="P"/>
    <s v="P"/>
    <s v="P"/>
    <s v="-"/>
    <s v="+"/>
    <n v="10.99"/>
    <s v="-"/>
    <s v="-"/>
    <s v="-"/>
    <s v="-"/>
    <s v="-"/>
    <s v="-"/>
    <s v="-"/>
    <s v="-"/>
    <s v="P"/>
    <s v="P"/>
    <s v="-"/>
    <n v="2"/>
    <n v="1"/>
    <n v="2"/>
    <n v="0"/>
    <s v="-"/>
    <s v="-"/>
    <s v="-"/>
    <s v="-"/>
    <s v="-"/>
    <s v="-"/>
    <s v="-"/>
    <n v="5"/>
    <n v="6"/>
    <s v="-"/>
    <n v="1"/>
    <n v="1"/>
    <n v="2"/>
    <n v="2"/>
    <n v="7"/>
    <n v="8"/>
  </r>
  <r>
    <x v="4"/>
    <x v="102"/>
    <d v="2026-05-12T00:00:00"/>
    <s v="3RD"/>
    <d v="1899-12-30T22:00:00"/>
    <n v="3"/>
    <x v="12"/>
    <n v="8.3999999999999995E-3"/>
    <s v="P"/>
    <s v="P"/>
    <s v="P"/>
    <s v="+"/>
    <s v="+"/>
    <n v="12.37"/>
    <s v="-"/>
    <s v="-"/>
    <s v="-"/>
    <s v="-"/>
    <s v="-"/>
    <s v="-"/>
    <s v="-"/>
    <s v="-"/>
    <s v="P"/>
    <s v="P"/>
    <n v="1"/>
    <n v="2"/>
    <n v="1"/>
    <n v="2"/>
    <n v="1"/>
    <s v="-"/>
    <s v="-"/>
    <s v="-"/>
    <s v="-"/>
    <s v="-"/>
    <s v="-"/>
    <s v="-"/>
    <n v="6"/>
    <n v="6"/>
    <s v="-"/>
    <n v="1"/>
    <n v="1"/>
    <n v="2"/>
    <n v="2"/>
    <n v="8"/>
    <n v="8"/>
  </r>
  <r>
    <x v="4"/>
    <x v="102"/>
    <d v="2026-05-12T00:00:00"/>
    <s v="3RD"/>
    <d v="1899-12-30T23:00:00"/>
    <n v="3"/>
    <x v="12"/>
    <n v="1.7600000000000001E-2"/>
    <s v="P"/>
    <s v="P"/>
    <s v="P"/>
    <s v="+"/>
    <s v="+"/>
    <n v="12.38"/>
    <s v="-"/>
    <s v="-"/>
    <s v="-"/>
    <s v="-"/>
    <s v="-"/>
    <s v="-"/>
    <s v="-"/>
    <s v="-"/>
    <s v="P"/>
    <s v="P"/>
    <s v="-"/>
    <n v="2"/>
    <n v="1"/>
    <n v="2"/>
    <n v="1"/>
    <s v="-"/>
    <s v="-"/>
    <s v="-"/>
    <s v="-"/>
    <s v="-"/>
    <s v="-"/>
    <s v="-"/>
    <n v="6"/>
    <n v="6"/>
    <s v="-"/>
    <n v="1"/>
    <n v="1"/>
    <n v="2"/>
    <n v="2"/>
    <n v="8"/>
    <n v="8"/>
  </r>
  <r>
    <x v="4"/>
    <x v="102"/>
    <d v="2026-05-12T00:00:00"/>
    <s v="3RD"/>
    <d v="1899-12-31T00:00:00"/>
    <n v="3"/>
    <x v="0"/>
    <n v="1.9599999999999999E-2"/>
    <s v="P"/>
    <s v="P"/>
    <s v="P"/>
    <s v="+"/>
    <s v="+"/>
    <n v="12.17"/>
    <n v="12.55"/>
    <n v="0.49"/>
    <n v="64.3"/>
    <s v="-"/>
    <s v="-"/>
    <n v="35.1"/>
    <s v="-"/>
    <s v="-"/>
    <s v="P"/>
    <s v="P"/>
    <s v="85% 5% 10%"/>
    <n v="2"/>
    <n v="1"/>
    <n v="2"/>
    <n v="1"/>
    <n v="1"/>
    <n v="2"/>
    <n v="2"/>
    <s v="-"/>
    <s v="-"/>
    <n v="2"/>
    <s v="-"/>
    <n v="13"/>
    <n v="13"/>
    <s v="-"/>
    <n v="1"/>
    <n v="1"/>
    <n v="2"/>
    <n v="2"/>
    <n v="15"/>
    <n v="15"/>
  </r>
  <r>
    <x v="4"/>
    <x v="102"/>
    <d v="2026-05-12T00:00:00"/>
    <s v="3RD"/>
    <d v="1899-12-31T02:00:00"/>
    <n v="3"/>
    <x v="1"/>
    <n v="1.9400000000000001E-2"/>
    <s v="P"/>
    <s v="P"/>
    <s v="P"/>
    <s v="+"/>
    <s v="+"/>
    <n v="12.44"/>
    <s v="-"/>
    <s v="-"/>
    <s v="-"/>
    <s v="-"/>
    <s v="-"/>
    <s v="-"/>
    <s v="-"/>
    <s v="-"/>
    <s v="P"/>
    <s v="P"/>
    <s v="85% 5% 10%"/>
    <n v="2"/>
    <n v="1"/>
    <n v="2"/>
    <n v="1"/>
    <s v="-"/>
    <s v="-"/>
    <s v="-"/>
    <s v="-"/>
    <s v="-"/>
    <s v="-"/>
    <s v="-"/>
    <n v="6"/>
    <n v="6"/>
    <s v="-"/>
    <n v="1"/>
    <n v="1"/>
    <n v="2"/>
    <n v="2"/>
    <n v="8"/>
    <n v="8"/>
  </r>
  <r>
    <x v="4"/>
    <x v="102"/>
    <d v="2026-05-12T00:00:00"/>
    <s v="3RD"/>
    <d v="1899-12-31T04:00:00"/>
    <n v="3"/>
    <x v="1"/>
    <n v="1.78E-2"/>
    <s v="P"/>
    <s v="P"/>
    <s v="P"/>
    <s v="+"/>
    <s v="+"/>
    <n v="12.56"/>
    <s v="-"/>
    <s v="-"/>
    <s v="-"/>
    <s v="-"/>
    <s v="-"/>
    <s v="-"/>
    <s v="-"/>
    <s v="-"/>
    <s v="P"/>
    <s v="P"/>
    <s v="-"/>
    <n v="2"/>
    <n v="1"/>
    <n v="2"/>
    <n v="1"/>
    <s v="-"/>
    <s v="-"/>
    <s v="-"/>
    <s v="-"/>
    <s v="-"/>
    <s v="-"/>
    <s v="-"/>
    <n v="6"/>
    <n v="6"/>
    <s v="-"/>
    <n v="1"/>
    <n v="1"/>
    <n v="2"/>
    <n v="2"/>
    <n v="8"/>
    <n v="8"/>
  </r>
  <r>
    <x v="4"/>
    <x v="102"/>
    <d v="2026-05-12T00:00:00"/>
    <s v="3RD"/>
    <d v="1899-12-31T05:00:00"/>
    <n v="3"/>
    <x v="1"/>
    <n v="1.84E-2"/>
    <s v="P"/>
    <s v="P"/>
    <s v="P"/>
    <s v="+"/>
    <s v="+"/>
    <n v="12.44"/>
    <s v="-"/>
    <s v="-"/>
    <s v="-"/>
    <s v="-"/>
    <s v="-"/>
    <s v="-"/>
    <s v="-"/>
    <s v="-"/>
    <s v="P"/>
    <s v="P"/>
    <s v="-"/>
    <n v="2"/>
    <n v="1"/>
    <n v="2"/>
    <n v="1"/>
    <s v="-"/>
    <s v="-"/>
    <s v="-"/>
    <s v="-"/>
    <s v="-"/>
    <s v="-"/>
    <s v="-"/>
    <n v="6"/>
    <n v="6"/>
    <s v="-"/>
    <n v="1"/>
    <n v="1"/>
    <n v="2"/>
    <n v="2"/>
    <n v="8"/>
    <n v="8"/>
  </r>
  <r>
    <x v="4"/>
    <x v="103"/>
    <d v="2026-03-20T00:00:00"/>
    <s v="1ST"/>
    <s v="08:00"/>
    <n v="1"/>
    <x v="20"/>
    <n v="5.8999999999999999E-3"/>
    <s v="-"/>
    <s v="-"/>
    <s v="-"/>
    <s v="-"/>
    <s v="-"/>
    <s v="-"/>
    <s v="-"/>
    <s v="-"/>
    <s v="-"/>
    <s v="-"/>
    <s v="-"/>
    <s v="-"/>
    <s v="-"/>
    <s v="-"/>
    <s v="-"/>
    <s v="-"/>
    <n v="1"/>
    <n v="2"/>
    <s v="-"/>
    <s v="-"/>
    <s v="-"/>
    <s v="-"/>
    <s v="-"/>
    <s v="-"/>
    <s v="-"/>
    <s v="-"/>
    <s v="-"/>
    <s v="-"/>
    <n v="2"/>
    <n v="2"/>
    <s v="-"/>
    <s v="-"/>
    <s v="-"/>
    <n v="0"/>
    <n v="0"/>
    <n v="2"/>
    <n v="2"/>
  </r>
  <r>
    <x v="4"/>
    <x v="103"/>
    <d v="2026-03-20T00:00:00"/>
    <s v="1ST"/>
    <s v="09:00"/>
    <n v="1"/>
    <x v="20"/>
    <n v="7.6E-3"/>
    <s v="P"/>
    <s v="P"/>
    <s v="P"/>
    <s v="-"/>
    <s v="-"/>
    <n v="12.02"/>
    <n v="12.19"/>
    <n v="0.6"/>
    <n v="65.900000000000006"/>
    <s v="-"/>
    <s v="-"/>
    <n v="33.9"/>
    <s v="-"/>
    <s v="-"/>
    <s v="P"/>
    <s v="P"/>
    <s v="-"/>
    <n v="2"/>
    <n v="1"/>
    <n v="2"/>
    <n v="1"/>
    <n v="1"/>
    <n v="2"/>
    <n v="2"/>
    <s v="-"/>
    <s v="-"/>
    <n v="2"/>
    <s v="-"/>
    <n v="13"/>
    <n v="13"/>
    <s v="-"/>
    <n v="1"/>
    <n v="1"/>
    <n v="2"/>
    <n v="2"/>
    <n v="15"/>
    <n v="15"/>
  </r>
  <r>
    <x v="4"/>
    <x v="103"/>
    <d v="1902-03-26T00:00:00"/>
    <s v="1ST"/>
    <s v="09:00"/>
    <n v="2"/>
    <x v="17"/>
    <n v="5.7999999999999996E-3"/>
    <s v="P"/>
    <s v="P"/>
    <s v="P"/>
    <s v="-"/>
    <s v="+"/>
    <n v="10.97"/>
    <n v="8.4499999999999993"/>
    <n v="0.39"/>
    <n v="57.1"/>
    <n v="6.5"/>
    <s v="-"/>
    <n v="22.8"/>
    <s v="-"/>
    <s v="-"/>
    <s v="P"/>
    <s v="P"/>
    <s v="-"/>
    <n v="2"/>
    <n v="1"/>
    <n v="2"/>
    <n v="0"/>
    <n v="1"/>
    <n v="2"/>
    <n v="2"/>
    <n v="1"/>
    <s v="-"/>
    <n v="2"/>
    <s v="-"/>
    <n v="13"/>
    <n v="14"/>
    <s v="-"/>
    <n v="1"/>
    <n v="1"/>
    <n v="2"/>
    <n v="2"/>
    <n v="15"/>
    <n v="16"/>
  </r>
  <r>
    <x v="4"/>
    <x v="103"/>
    <d v="1899-12-30T00:00:00"/>
    <s v="1ST"/>
    <s v="10:00"/>
    <n v="2"/>
    <x v="17"/>
    <n v="5.4000000000000003E-3"/>
    <s v="P"/>
    <s v="P"/>
    <s v="P"/>
    <s v="-"/>
    <s v="+"/>
    <n v="10.97"/>
    <s v="-"/>
    <s v="-"/>
    <s v="-"/>
    <s v="-"/>
    <s v="-"/>
    <s v="-"/>
    <s v="-"/>
    <s v="-"/>
    <s v="P"/>
    <s v="P"/>
    <s v="-"/>
    <n v="2"/>
    <n v="1"/>
    <n v="2"/>
    <n v="0"/>
    <s v="-"/>
    <s v="-"/>
    <s v="-"/>
    <s v="-"/>
    <s v="-"/>
    <s v="-"/>
    <s v="-"/>
    <n v="5"/>
    <n v="6"/>
    <s v="-"/>
    <n v="1"/>
    <n v="1"/>
    <n v="2"/>
    <n v="2"/>
    <n v="7"/>
    <n v="8"/>
  </r>
  <r>
    <x v="4"/>
    <x v="103"/>
    <d v="1899-12-30T00:00:00"/>
    <s v="1ST"/>
    <s v="12:00"/>
    <n v="2"/>
    <x v="17"/>
    <n v="6.6E-3"/>
    <s v="P"/>
    <s v="P"/>
    <s v="P"/>
    <s v="-"/>
    <s v="+"/>
    <n v="10.89"/>
    <s v="-"/>
    <s v="-"/>
    <s v="-"/>
    <s v="-"/>
    <s v="-"/>
    <s v="-"/>
    <s v="-"/>
    <s v="-"/>
    <s v="P"/>
    <s v="P"/>
    <s v="-"/>
    <n v="2"/>
    <n v="1"/>
    <n v="2"/>
    <n v="0"/>
    <s v="-"/>
    <s v="-"/>
    <s v="-"/>
    <s v="-"/>
    <s v="-"/>
    <s v="-"/>
    <s v="-"/>
    <n v="5"/>
    <n v="6"/>
    <s v="-"/>
    <n v="1"/>
    <n v="1"/>
    <n v="2"/>
    <n v="2"/>
    <n v="7"/>
    <n v="8"/>
  </r>
  <r>
    <x v="4"/>
    <x v="103"/>
    <s v="-"/>
    <s v="2ND"/>
    <d v="1899-12-30T14:00:00"/>
    <n v="1"/>
    <x v="20"/>
    <n v="7.4999999999999997E-3"/>
    <s v="P"/>
    <s v="P"/>
    <s v="P"/>
    <s v="-"/>
    <s v="-"/>
    <n v="12.21"/>
    <s v="-"/>
    <s v="-"/>
    <s v="-"/>
    <s v="-"/>
    <s v="-"/>
    <s v="-"/>
    <s v="-"/>
    <s v="-"/>
    <s v="P"/>
    <s v="P"/>
    <n v="1"/>
    <n v="2"/>
    <n v="1"/>
    <n v="2"/>
    <n v="1"/>
    <s v="-"/>
    <s v="-"/>
    <s v="-"/>
    <s v="-"/>
    <s v="-"/>
    <s v="-"/>
    <s v="-"/>
    <n v="6"/>
    <n v="6"/>
    <s v="-"/>
    <n v="1"/>
    <n v="1"/>
    <n v="2"/>
    <n v="2"/>
    <n v="8"/>
    <n v="8"/>
  </r>
  <r>
    <x v="4"/>
    <x v="103"/>
    <d v="1902-03-26T00:00:00"/>
    <s v="2ND"/>
    <d v="1899-12-30T14:00:00"/>
    <n v="2"/>
    <x v="17"/>
    <n v="6.3E-3"/>
    <s v="P"/>
    <s v="P"/>
    <s v="P"/>
    <s v="-"/>
    <s v="+"/>
    <n v="11.24"/>
    <s v="-"/>
    <s v="-"/>
    <s v="-"/>
    <s v="-"/>
    <s v="-"/>
    <s v="-"/>
    <s v="-"/>
    <s v="-"/>
    <s v="P"/>
    <s v="P"/>
    <s v="-"/>
    <n v="2"/>
    <n v="1"/>
    <n v="2"/>
    <n v="1"/>
    <s v="-"/>
    <s v="-"/>
    <s v="-"/>
    <s v="-"/>
    <s v="-"/>
    <s v="-"/>
    <s v="-"/>
    <n v="6"/>
    <n v="6"/>
    <s v="-"/>
    <n v="1"/>
    <n v="1"/>
    <n v="2"/>
    <n v="2"/>
    <n v="8"/>
    <n v="8"/>
  </r>
  <r>
    <x v="4"/>
    <x v="103"/>
    <d v="1902-03-26T00:00:00"/>
    <s v="2ND"/>
    <d v="1899-12-30T20:00:00"/>
    <n v="2"/>
    <x v="6"/>
    <n v="1.18E-2"/>
    <s v="P"/>
    <s v="P"/>
    <s v="P"/>
    <s v="+"/>
    <s v="+"/>
    <n v="12.27"/>
    <n v="12.2"/>
    <n v="0.57999999999999996"/>
    <n v="67.8"/>
    <s v="-"/>
    <s v="-"/>
    <n v="34.299999999999997"/>
    <s v="-"/>
    <s v="-"/>
    <s v="P"/>
    <s v="P"/>
    <s v="-"/>
    <n v="2"/>
    <n v="1"/>
    <n v="2"/>
    <n v="1"/>
    <n v="1"/>
    <n v="2"/>
    <n v="2"/>
    <s v="-"/>
    <s v="-"/>
    <n v="2"/>
    <s v="-"/>
    <n v="13"/>
    <n v="13"/>
    <s v="-"/>
    <n v="1"/>
    <n v="1"/>
    <n v="2"/>
    <n v="2"/>
    <n v="15"/>
    <n v="15"/>
  </r>
  <r>
    <x v="4"/>
    <x v="103"/>
    <d v="1899-12-30T00:00:00"/>
    <s v="2ND"/>
    <d v="1899-12-30T21:00:00"/>
    <n v="2"/>
    <x v="6"/>
    <n v="1.7899999999999999E-2"/>
    <s v="P"/>
    <s v="P"/>
    <s v="P"/>
    <s v="+"/>
    <s v="+"/>
    <n v="12.2"/>
    <s v="-"/>
    <s v="-"/>
    <s v="-"/>
    <s v="-"/>
    <s v="-"/>
    <s v="-"/>
    <s v="-"/>
    <s v="-"/>
    <s v="P"/>
    <s v="P"/>
    <s v="-"/>
    <n v="2"/>
    <n v="1"/>
    <n v="2"/>
    <n v="1"/>
    <s v="-"/>
    <s v="-"/>
    <s v="-"/>
    <s v="-"/>
    <s v="-"/>
    <s v="-"/>
    <s v="-"/>
    <n v="6"/>
    <n v="6"/>
    <s v="-"/>
    <n v="1"/>
    <n v="1"/>
    <n v="2"/>
    <n v="2"/>
    <n v="8"/>
    <n v="8"/>
  </r>
  <r>
    <x v="4"/>
    <x v="103"/>
    <d v="2026-05-12T00:00:00"/>
    <s v="2ND"/>
    <d v="1899-12-30T20:00:00"/>
    <n v="3"/>
    <x v="31"/>
    <n v="1.9599999999999999E-2"/>
    <s v="P"/>
    <s v="P"/>
    <s v="P"/>
    <s v="+"/>
    <s v="+"/>
    <n v="12.52"/>
    <n v="11.85"/>
    <n v="0.6"/>
    <n v="63.1"/>
    <s v="-"/>
    <s v="-"/>
    <n v="33"/>
    <s v="-"/>
    <s v="-"/>
    <s v="P"/>
    <s v="P"/>
    <s v="50% 40% 10%"/>
    <n v="2"/>
    <n v="1"/>
    <n v="2"/>
    <n v="0"/>
    <n v="1"/>
    <n v="2"/>
    <n v="2"/>
    <s v="-"/>
    <s v="-"/>
    <n v="2"/>
    <s v="-"/>
    <n v="12"/>
    <n v="13"/>
    <s v="-"/>
    <n v="1"/>
    <n v="1"/>
    <n v="2"/>
    <n v="2"/>
    <n v="14"/>
    <n v="15"/>
  </r>
  <r>
    <x v="4"/>
    <x v="103"/>
    <d v="2026-05-12T00:00:00"/>
    <s v="2ND"/>
    <d v="1899-12-30T21:00:00"/>
    <n v="3"/>
    <x v="31"/>
    <n v="1.2999999999999999E-2"/>
    <s v="P"/>
    <s v="P"/>
    <s v="P"/>
    <s v="+"/>
    <s v="+"/>
    <n v="12.54"/>
    <s v="-"/>
    <s v="-"/>
    <s v="-"/>
    <s v="-"/>
    <s v="-"/>
    <s v="-"/>
    <s v="-"/>
    <s v="-"/>
    <s v="P"/>
    <s v="P"/>
    <s v="-"/>
    <n v="2"/>
    <n v="1"/>
    <n v="2"/>
    <n v="0"/>
    <s v="-"/>
    <s v="-"/>
    <s v="-"/>
    <s v="-"/>
    <s v="-"/>
    <s v="-"/>
    <s v="-"/>
    <n v="5"/>
    <n v="6"/>
    <s v="-"/>
    <n v="1"/>
    <n v="1"/>
    <n v="2"/>
    <n v="2"/>
    <n v="7"/>
    <n v="8"/>
  </r>
  <r>
    <x v="4"/>
    <x v="103"/>
    <d v="2026-05-12T00:00:00"/>
    <s v="2ND"/>
    <d v="1899-12-30T14:00:00"/>
    <s v="Retail"/>
    <x v="19"/>
    <s v="-"/>
    <s v="-"/>
    <s v="P"/>
    <s v="P"/>
    <s v="-"/>
    <s v="-"/>
    <n v="12.77"/>
    <s v="-"/>
    <s v="-"/>
    <s v="-"/>
    <s v="-"/>
    <s v="-"/>
    <s v="-"/>
    <s v="-"/>
    <s v="-"/>
    <s v="P"/>
    <s v="P"/>
    <s v="-"/>
    <s v="-"/>
    <s v="-"/>
    <n v="2"/>
    <n v="1"/>
    <s v="-"/>
    <s v="-"/>
    <s v="-"/>
    <s v="-"/>
    <s v="-"/>
    <s v="-"/>
    <s v="-"/>
    <n v="3"/>
    <n v="3"/>
    <s v="-"/>
    <n v="1"/>
    <n v="1"/>
    <n v="2"/>
    <n v="2"/>
    <n v="5"/>
    <n v="5"/>
  </r>
  <r>
    <x v="4"/>
    <x v="103"/>
    <d v="1902-03-26T00:00:00"/>
    <s v="3RD"/>
    <d v="1899-12-30T22:00:00"/>
    <n v="2"/>
    <x v="6"/>
    <n v="1.34E-2"/>
    <s v="P"/>
    <s v="P"/>
    <s v="P"/>
    <s v="+"/>
    <s v="+"/>
    <n v="12.13"/>
    <n v="12.3"/>
    <s v="-"/>
    <s v="-"/>
    <s v="-"/>
    <s v="-"/>
    <n v="34.299999999999997"/>
    <s v="-"/>
    <s v="-"/>
    <s v="P"/>
    <s v="P"/>
    <s v="-"/>
    <n v="2"/>
    <n v="1"/>
    <n v="2"/>
    <n v="1"/>
    <n v="1"/>
    <s v="-"/>
    <s v="-"/>
    <s v="-"/>
    <s v="-"/>
    <n v="2"/>
    <s v="-"/>
    <n v="9"/>
    <n v="9"/>
    <s v="-"/>
    <n v="1"/>
    <n v="1"/>
    <n v="2"/>
    <n v="2"/>
    <n v="11"/>
    <n v="11"/>
  </r>
  <r>
    <x v="4"/>
    <x v="103"/>
    <d v="1899-12-30T00:00:00"/>
    <s v="3RD"/>
    <d v="1899-12-31T00:00:00"/>
    <n v="2"/>
    <x v="6"/>
    <n v="1.35E-2"/>
    <s v="P"/>
    <s v="P"/>
    <s v="P"/>
    <s v="+"/>
    <s v="+"/>
    <n v="12.18"/>
    <s v="-"/>
    <s v="-"/>
    <s v="-"/>
    <s v="-"/>
    <s v="-"/>
    <s v="-"/>
    <s v="-"/>
    <s v="-"/>
    <s v="P"/>
    <s v="P"/>
    <s v="-"/>
    <n v="2"/>
    <n v="1"/>
    <n v="2"/>
    <n v="1"/>
    <s v="-"/>
    <s v="-"/>
    <s v="-"/>
    <s v="-"/>
    <s v="-"/>
    <s v="-"/>
    <s v="-"/>
    <n v="6"/>
    <n v="6"/>
    <s v="-"/>
    <n v="1"/>
    <n v="1"/>
    <n v="2"/>
    <n v="2"/>
    <n v="8"/>
    <n v="8"/>
  </r>
  <r>
    <x v="4"/>
    <x v="103"/>
    <d v="1899-12-30T00:00:00"/>
    <s v="3RD"/>
    <d v="1899-12-31T01:00:00"/>
    <n v="2"/>
    <x v="6"/>
    <n v="1.24E-2"/>
    <s v="P"/>
    <s v="P"/>
    <s v="P"/>
    <s v="+"/>
    <s v="+"/>
    <n v="12.06"/>
    <s v="-"/>
    <s v="-"/>
    <s v="-"/>
    <s v="-"/>
    <s v="-"/>
    <s v="-"/>
    <s v="-"/>
    <s v="-"/>
    <s v="P"/>
    <s v="P"/>
    <s v="-"/>
    <n v="2"/>
    <n v="1"/>
    <n v="2"/>
    <n v="1"/>
    <s v="-"/>
    <s v="-"/>
    <s v="-"/>
    <s v="-"/>
    <s v="-"/>
    <s v="-"/>
    <s v="-"/>
    <n v="6"/>
    <n v="6"/>
    <s v="-"/>
    <n v="1"/>
    <n v="1"/>
    <n v="2"/>
    <n v="2"/>
    <n v="8"/>
    <n v="8"/>
  </r>
  <r>
    <x v="4"/>
    <x v="103"/>
    <d v="1899-12-30T00:00:00"/>
    <s v="3RD"/>
    <d v="1899-12-31T02:00:00"/>
    <n v="2"/>
    <x v="6"/>
    <n v="1.4500000000000001E-2"/>
    <s v="P"/>
    <s v="P"/>
    <s v="P"/>
    <s v="+"/>
    <s v="+"/>
    <n v="12.21"/>
    <s v="-"/>
    <s v="-"/>
    <s v="-"/>
    <s v="-"/>
    <s v="-"/>
    <s v="-"/>
    <s v="-"/>
    <s v="-"/>
    <s v="P"/>
    <s v="P"/>
    <s v="-"/>
    <n v="2"/>
    <n v="1"/>
    <n v="2"/>
    <n v="1"/>
    <s v="-"/>
    <s v="-"/>
    <s v="-"/>
    <s v="-"/>
    <s v="-"/>
    <s v="-"/>
    <s v="-"/>
    <n v="6"/>
    <n v="6"/>
    <s v="-"/>
    <n v="1"/>
    <n v="1"/>
    <n v="2"/>
    <n v="2"/>
    <n v="8"/>
    <n v="8"/>
  </r>
  <r>
    <x v="4"/>
    <x v="103"/>
    <d v="1899-12-30T00:00:00"/>
    <s v="3RD"/>
    <d v="1899-12-31T04:00:00"/>
    <n v="2"/>
    <x v="6"/>
    <n v="1.54E-2"/>
    <s v="P"/>
    <s v="P"/>
    <s v="P"/>
    <s v="+"/>
    <s v="+"/>
    <n v="12.17"/>
    <s v="-"/>
    <s v="-"/>
    <s v="-"/>
    <s v="-"/>
    <s v="-"/>
    <s v="-"/>
    <s v="-"/>
    <s v="-"/>
    <s v="P"/>
    <s v="P"/>
    <s v="-"/>
    <n v="2"/>
    <n v="1"/>
    <n v="2"/>
    <n v="1"/>
    <s v="-"/>
    <s v="-"/>
    <s v="-"/>
    <s v="-"/>
    <s v="-"/>
    <s v="-"/>
    <s v="-"/>
    <n v="6"/>
    <n v="6"/>
    <s v="-"/>
    <n v="1"/>
    <n v="1"/>
    <n v="2"/>
    <n v="2"/>
    <n v="8"/>
    <n v="8"/>
  </r>
  <r>
    <x v="4"/>
    <x v="103"/>
    <d v="2026-05-12T00:00:00"/>
    <s v="3RD"/>
    <d v="1899-12-31T00:00:00"/>
    <n v="3"/>
    <x v="31"/>
    <n v="1.46E-2"/>
    <s v="P"/>
    <s v="P"/>
    <s v="P"/>
    <s v="+"/>
    <s v="+"/>
    <n v="12.39"/>
    <n v="11.89"/>
    <n v="0.6"/>
    <s v="-"/>
    <s v="-"/>
    <s v="-"/>
    <n v="33"/>
    <s v="-"/>
    <s v="-"/>
    <s v="P"/>
    <s v="P"/>
    <s v="50% 40% 10%"/>
    <n v="2"/>
    <n v="1"/>
    <n v="2"/>
    <n v="0"/>
    <n v="1"/>
    <n v="2"/>
    <s v="-"/>
    <s v="-"/>
    <s v="-"/>
    <n v="2"/>
    <s v="-"/>
    <n v="10"/>
    <n v="11"/>
    <s v="-"/>
    <n v="1"/>
    <n v="1"/>
    <n v="2"/>
    <n v="2"/>
    <n v="12"/>
    <n v="13"/>
  </r>
  <r>
    <x v="4"/>
    <x v="103"/>
    <d v="2026-05-12T00:00:00"/>
    <s v="3RD"/>
    <d v="1899-12-31T01:00:00"/>
    <n v="3"/>
    <x v="31"/>
    <s v="-"/>
    <s v="P"/>
    <s v="P"/>
    <s v="P"/>
    <s v="+"/>
    <s v="+"/>
    <n v="12.55"/>
    <s v="-"/>
    <s v="-"/>
    <s v="-"/>
    <s v="-"/>
    <s v="-"/>
    <s v="-"/>
    <s v="-"/>
    <s v="-"/>
    <s v="P"/>
    <s v="P"/>
    <s v="-"/>
    <s v="-"/>
    <n v="1"/>
    <n v="2"/>
    <n v="0"/>
    <s v="-"/>
    <s v="-"/>
    <s v="-"/>
    <s v="-"/>
    <s v="-"/>
    <s v="-"/>
    <s v="-"/>
    <n v="3"/>
    <n v="4"/>
    <s v="-"/>
    <n v="1"/>
    <n v="1"/>
    <n v="2"/>
    <n v="2"/>
    <n v="5"/>
    <n v="6"/>
  </r>
  <r>
    <x v="4"/>
    <x v="103"/>
    <d v="2026-05-12T00:00:00"/>
    <s v="3RD"/>
    <d v="1899-12-31T02:00:00"/>
    <n v="3"/>
    <x v="31"/>
    <n v="1.29E-2"/>
    <s v="P"/>
    <s v="P"/>
    <s v="P"/>
    <s v="+"/>
    <s v="+"/>
    <n v="12.52"/>
    <s v="-"/>
    <s v="-"/>
    <s v="-"/>
    <s v="-"/>
    <s v="-"/>
    <s v="-"/>
    <s v="-"/>
    <s v="-"/>
    <s v="P"/>
    <s v="P"/>
    <s v="-"/>
    <n v="2"/>
    <n v="1"/>
    <n v="2"/>
    <n v="0"/>
    <s v="-"/>
    <s v="-"/>
    <s v="-"/>
    <s v="-"/>
    <s v="-"/>
    <s v="-"/>
    <s v="-"/>
    <n v="5"/>
    <n v="6"/>
    <s v="-"/>
    <n v="1"/>
    <n v="1"/>
    <n v="2"/>
    <n v="2"/>
    <n v="7"/>
    <n v="8"/>
  </r>
  <r>
    <x v="4"/>
    <x v="104"/>
    <d v="1902-03-26T00:00:00"/>
    <s v="1ST"/>
    <s v="12:00"/>
    <n v="2"/>
    <x v="7"/>
    <n v="1.7100000000000001E-2"/>
    <s v="P"/>
    <s v="P"/>
    <s v="P"/>
    <s v="-"/>
    <s v="+"/>
    <n v="10.97"/>
    <n v="10.07"/>
    <n v="0.56000000000000005"/>
    <n v="58"/>
    <n v="17.899999999999999"/>
    <s v="-"/>
    <n v="28.1"/>
    <s v="-"/>
    <s v="-"/>
    <s v="P"/>
    <s v="P"/>
    <s v="-"/>
    <n v="2"/>
    <n v="1"/>
    <n v="2"/>
    <n v="0"/>
    <n v="1"/>
    <n v="2"/>
    <n v="2"/>
    <n v="1"/>
    <s v="-"/>
    <n v="0"/>
    <s v="-"/>
    <n v="11"/>
    <n v="14"/>
    <s v="-"/>
    <n v="1"/>
    <n v="1"/>
    <n v="2"/>
    <n v="2"/>
    <n v="13"/>
    <n v="16"/>
  </r>
  <r>
    <x v="4"/>
    <x v="104"/>
    <d v="1899-12-30T00:00:00"/>
    <s v="1ST"/>
    <s v="13:00"/>
    <n v="2"/>
    <x v="7"/>
    <n v="6.0000000000000001E-3"/>
    <s v="P"/>
    <s v="P"/>
    <s v="P"/>
    <s v="-"/>
    <s v="+"/>
    <n v="10.89"/>
    <s v="-"/>
    <s v="-"/>
    <s v="-"/>
    <s v="-"/>
    <s v="-"/>
    <s v="-"/>
    <s v="-"/>
    <s v="-"/>
    <s v="P"/>
    <s v="P"/>
    <s v="-"/>
    <n v="2"/>
    <n v="1"/>
    <n v="2"/>
    <n v="0"/>
    <s v="-"/>
    <s v="-"/>
    <s v="-"/>
    <s v="-"/>
    <s v="-"/>
    <s v="-"/>
    <s v="-"/>
    <n v="5"/>
    <n v="6"/>
    <s v="-"/>
    <n v="1"/>
    <n v="1"/>
    <n v="2"/>
    <n v="2"/>
    <n v="7"/>
    <n v="8"/>
  </r>
  <r>
    <x v="4"/>
    <x v="104"/>
    <d v="2026-05-12T00:00:00"/>
    <s v="1ST"/>
    <s v="08:00"/>
    <n v="3"/>
    <x v="31"/>
    <n v="1.38E-2"/>
    <s v="P"/>
    <s v="P"/>
    <s v="P"/>
    <s v="+"/>
    <s v="+"/>
    <n v="12.32"/>
    <n v="11.88"/>
    <n v="0.59"/>
    <n v="63.6"/>
    <n v="13.5"/>
    <s v="-"/>
    <n v="33.1"/>
    <s v="-"/>
    <s v="-"/>
    <s v="P"/>
    <s v="P"/>
    <s v="50% 40% 10%"/>
    <n v="2"/>
    <n v="1"/>
    <n v="2"/>
    <n v="0"/>
    <n v="1"/>
    <n v="2"/>
    <n v="2"/>
    <n v="1"/>
    <s v="-"/>
    <n v="2"/>
    <s v="-"/>
    <n v="13"/>
    <n v="14"/>
    <s v="-"/>
    <n v="1"/>
    <n v="1"/>
    <n v="2"/>
    <n v="2"/>
    <n v="15"/>
    <n v="16"/>
  </r>
  <r>
    <x v="4"/>
    <x v="104"/>
    <d v="2026-05-12T00:00:00"/>
    <s v="1ST"/>
    <s v="09:00"/>
    <n v="3"/>
    <x v="31"/>
    <s v="-"/>
    <s v="P"/>
    <s v="P"/>
    <s v="P"/>
    <s v="+"/>
    <s v="+"/>
    <n v="12.46"/>
    <s v="-"/>
    <s v="-"/>
    <s v="-"/>
    <s v="-"/>
    <s v="-"/>
    <s v="-"/>
    <s v="-"/>
    <s v="-"/>
    <s v="P"/>
    <s v="P"/>
    <s v="-"/>
    <s v="-"/>
    <n v="1"/>
    <n v="2"/>
    <n v="0"/>
    <s v="-"/>
    <s v="-"/>
    <s v="-"/>
    <s v="-"/>
    <s v="-"/>
    <s v="-"/>
    <s v="-"/>
    <n v="3"/>
    <n v="4"/>
    <s v="-"/>
    <n v="1"/>
    <n v="1"/>
    <n v="2"/>
    <n v="2"/>
    <n v="5"/>
    <n v="6"/>
  </r>
  <r>
    <x v="4"/>
    <x v="104"/>
    <d v="2026-05-12T00:00:00"/>
    <s v="1ST"/>
    <s v="10:00"/>
    <n v="3"/>
    <x v="31"/>
    <n v="7.1999999999999998E-3"/>
    <s v="P"/>
    <s v="P"/>
    <s v="P"/>
    <s v="+"/>
    <s v="+"/>
    <n v="12.5"/>
    <s v="-"/>
    <s v="-"/>
    <s v="-"/>
    <s v="-"/>
    <s v="-"/>
    <s v="-"/>
    <s v="-"/>
    <s v="-"/>
    <s v="P"/>
    <s v="P"/>
    <s v="-"/>
    <n v="2"/>
    <n v="1"/>
    <n v="2"/>
    <n v="0"/>
    <s v="-"/>
    <s v="-"/>
    <s v="-"/>
    <s v="-"/>
    <s v="-"/>
    <s v="-"/>
    <s v="-"/>
    <n v="5"/>
    <n v="6"/>
    <s v="-"/>
    <n v="1"/>
    <n v="1"/>
    <n v="2"/>
    <n v="2"/>
    <n v="7"/>
    <n v="8"/>
  </r>
  <r>
    <x v="4"/>
    <x v="104"/>
    <d v="2026-05-12T00:00:00"/>
    <s v="1ST"/>
    <s v="13:00"/>
    <n v="3"/>
    <x v="31"/>
    <n v="1.46E-2"/>
    <s v="P"/>
    <s v="P"/>
    <s v="P"/>
    <s v="+"/>
    <s v="+"/>
    <n v="12.17"/>
    <s v="-"/>
    <s v="-"/>
    <s v="-"/>
    <s v="-"/>
    <s v="-"/>
    <s v="-"/>
    <s v="-"/>
    <s v="-"/>
    <s v="P"/>
    <s v="P"/>
    <s v="-"/>
    <n v="2"/>
    <n v="1"/>
    <n v="2"/>
    <n v="0"/>
    <s v="-"/>
    <s v="-"/>
    <s v="-"/>
    <s v="-"/>
    <s v="-"/>
    <s v="-"/>
    <s v="-"/>
    <n v="5"/>
    <n v="6"/>
    <s v="-"/>
    <n v="1"/>
    <n v="1"/>
    <n v="2"/>
    <n v="2"/>
    <n v="7"/>
    <n v="8"/>
  </r>
  <r>
    <x v="4"/>
    <x v="104"/>
    <d v="2026-05-12T00:00:00"/>
    <s v="1ST"/>
    <s v="08:00"/>
    <s v="Retail"/>
    <x v="19"/>
    <s v="-"/>
    <s v="-"/>
    <s v="P"/>
    <s v="P"/>
    <s v="-"/>
    <s v="-"/>
    <n v="12.21"/>
    <n v="14.23"/>
    <n v="1.33"/>
    <n v="72.3"/>
    <n v="16.899999999999999"/>
    <s v="-"/>
    <n v="46.5"/>
    <s v="-"/>
    <s v="-"/>
    <s v="P"/>
    <s v="P"/>
    <s v="-"/>
    <s v="-"/>
    <s v="-"/>
    <n v="2"/>
    <n v="1"/>
    <n v="1"/>
    <n v="0"/>
    <n v="2"/>
    <n v="1"/>
    <s v="-"/>
    <n v="2"/>
    <s v="-"/>
    <n v="9"/>
    <n v="11"/>
    <s v="-"/>
    <n v="1"/>
    <n v="1"/>
    <n v="2"/>
    <n v="2"/>
    <n v="11"/>
    <n v="13"/>
  </r>
  <r>
    <x v="4"/>
    <x v="104"/>
    <d v="1902-03-26T00:00:00"/>
    <s v="2ND"/>
    <d v="1899-12-30T14:00:00"/>
    <n v="2"/>
    <x v="7"/>
    <n v="6.8999999999999999E-3"/>
    <s v="P"/>
    <s v="P"/>
    <s v="P"/>
    <s v="-"/>
    <s v="+"/>
    <n v="10.95"/>
    <n v="8.98"/>
    <n v="0.56000000000000005"/>
    <n v="58"/>
    <s v="-"/>
    <s v="-"/>
    <n v="24.33"/>
    <s v="-"/>
    <s v="-"/>
    <s v="P"/>
    <s v="P"/>
    <s v="-"/>
    <n v="2"/>
    <n v="1"/>
    <n v="2"/>
    <n v="0"/>
    <n v="1"/>
    <n v="2"/>
    <n v="2"/>
    <s v="-"/>
    <s v="-"/>
    <n v="2"/>
    <s v="-"/>
    <n v="12"/>
    <n v="13"/>
    <s v="-"/>
    <n v="1"/>
    <n v="1"/>
    <n v="2"/>
    <n v="2"/>
    <n v="14"/>
    <n v="15"/>
  </r>
  <r>
    <x v="4"/>
    <x v="104"/>
    <d v="1899-12-30T00:00:00"/>
    <s v="2ND"/>
    <d v="1899-12-30T15:00:00"/>
    <n v="2"/>
    <x v="7"/>
    <n v="8.8000000000000005E-3"/>
    <s v="P"/>
    <s v="P"/>
    <s v="P"/>
    <s v="-"/>
    <s v="+"/>
    <n v="10.943"/>
    <s v="-"/>
    <s v="-"/>
    <s v="-"/>
    <s v="-"/>
    <s v="-"/>
    <s v="-"/>
    <s v="-"/>
    <s v="-"/>
    <s v="P"/>
    <s v="P"/>
    <s v="-"/>
    <n v="2"/>
    <n v="1"/>
    <n v="2"/>
    <n v="0"/>
    <s v="-"/>
    <s v="-"/>
    <s v="-"/>
    <s v="-"/>
    <s v="-"/>
    <s v="-"/>
    <s v="-"/>
    <n v="5"/>
    <n v="6"/>
    <s v="-"/>
    <n v="1"/>
    <n v="1"/>
    <n v="2"/>
    <n v="2"/>
    <n v="7"/>
    <n v="8"/>
  </r>
  <r>
    <x v="4"/>
    <x v="104"/>
    <d v="1899-12-30T00:00:00"/>
    <s v="2ND"/>
    <d v="1899-12-30T16:00:00"/>
    <n v="2"/>
    <x v="7"/>
    <n v="1.03E-2"/>
    <s v="P"/>
    <s v="P"/>
    <s v="P"/>
    <s v="-"/>
    <s v="+"/>
    <n v="11.02"/>
    <s v="-"/>
    <s v="-"/>
    <s v="-"/>
    <s v="-"/>
    <s v="-"/>
    <s v="-"/>
    <s v="-"/>
    <s v="-"/>
    <s v="P"/>
    <s v="P"/>
    <s v="-"/>
    <n v="2"/>
    <n v="1"/>
    <n v="2"/>
    <n v="1"/>
    <s v="-"/>
    <s v="-"/>
    <s v="-"/>
    <s v="-"/>
    <s v="-"/>
    <s v="-"/>
    <s v="-"/>
    <n v="6"/>
    <n v="6"/>
    <s v="-"/>
    <n v="1"/>
    <n v="1"/>
    <n v="2"/>
    <n v="2"/>
    <n v="8"/>
    <n v="8"/>
  </r>
  <r>
    <x v="4"/>
    <x v="104"/>
    <d v="1899-12-30T00:00:00"/>
    <s v="2ND"/>
    <d v="1899-12-30T17:00:00"/>
    <n v="2"/>
    <x v="7"/>
    <n v="1.0800000000000001E-2"/>
    <s v="P"/>
    <s v="P"/>
    <s v="P"/>
    <s v="-"/>
    <s v="+"/>
    <n v="10.79"/>
    <s v="-"/>
    <s v="-"/>
    <s v="-"/>
    <s v="-"/>
    <s v="-"/>
    <s v="-"/>
    <s v="-"/>
    <s v="-"/>
    <s v="P"/>
    <s v="P"/>
    <s v="-"/>
    <n v="2"/>
    <n v="1"/>
    <n v="2"/>
    <n v="0"/>
    <s v="-"/>
    <s v="-"/>
    <s v="-"/>
    <s v="-"/>
    <s v="-"/>
    <s v="-"/>
    <s v="-"/>
    <n v="5"/>
    <n v="6"/>
    <s v="-"/>
    <n v="1"/>
    <n v="1"/>
    <n v="2"/>
    <n v="2"/>
    <n v="7"/>
    <n v="8"/>
  </r>
  <r>
    <x v="4"/>
    <x v="104"/>
    <d v="1899-12-30T00:00:00"/>
    <s v="2ND"/>
    <d v="1899-12-30T18:00:00"/>
    <n v="2"/>
    <x v="7"/>
    <n v="1.12E-2"/>
    <s v="P"/>
    <s v="P"/>
    <s v="P"/>
    <s v="-"/>
    <s v="+"/>
    <n v="10.8"/>
    <s v="-"/>
    <s v="-"/>
    <s v="-"/>
    <s v="-"/>
    <s v="-"/>
    <s v="-"/>
    <s v="-"/>
    <s v="-"/>
    <s v="P"/>
    <s v="P"/>
    <s v="-"/>
    <n v="2"/>
    <n v="1"/>
    <n v="2"/>
    <n v="0"/>
    <s v="-"/>
    <s v="-"/>
    <s v="-"/>
    <s v="-"/>
    <s v="-"/>
    <s v="-"/>
    <s v="-"/>
    <n v="5"/>
    <n v="6"/>
    <s v="-"/>
    <n v="1"/>
    <n v="1"/>
    <n v="2"/>
    <n v="2"/>
    <n v="7"/>
    <n v="8"/>
  </r>
  <r>
    <x v="4"/>
    <x v="104"/>
    <d v="1899-12-30T00:00:00"/>
    <s v="2ND"/>
    <d v="1899-12-30T19:00:00"/>
    <n v="2"/>
    <x v="7"/>
    <n v="1.3299999999999999E-2"/>
    <s v="P"/>
    <s v="P"/>
    <s v="P"/>
    <s v="-"/>
    <s v="+"/>
    <n v="10.72"/>
    <s v="-"/>
    <s v="-"/>
    <s v="-"/>
    <s v="-"/>
    <s v="-"/>
    <s v="-"/>
    <s v="-"/>
    <s v="-"/>
    <s v="P"/>
    <s v="P"/>
    <s v="-"/>
    <n v="2"/>
    <n v="1"/>
    <n v="2"/>
    <n v="0"/>
    <s v="-"/>
    <s v="-"/>
    <s v="-"/>
    <s v="-"/>
    <s v="-"/>
    <s v="-"/>
    <s v="-"/>
    <n v="5"/>
    <n v="6"/>
    <s v="-"/>
    <n v="1"/>
    <n v="1"/>
    <n v="2"/>
    <n v="2"/>
    <n v="7"/>
    <n v="8"/>
  </r>
  <r>
    <x v="4"/>
    <x v="104"/>
    <d v="1899-12-30T00:00:00"/>
    <s v="2ND"/>
    <d v="1899-12-30T20:00:00"/>
    <n v="2"/>
    <x v="7"/>
    <n v="1.0999999999999999E-2"/>
    <s v="P"/>
    <s v="P"/>
    <s v="P"/>
    <s v="-"/>
    <s v="+"/>
    <n v="11.13"/>
    <s v="-"/>
    <s v="-"/>
    <s v="-"/>
    <s v="-"/>
    <s v="-"/>
    <s v="-"/>
    <s v="-"/>
    <s v="-"/>
    <s v="P"/>
    <s v="P"/>
    <s v="-"/>
    <n v="2"/>
    <n v="1"/>
    <n v="2"/>
    <n v="1"/>
    <s v="-"/>
    <s v="-"/>
    <s v="-"/>
    <s v="-"/>
    <s v="-"/>
    <s v="-"/>
    <s v="-"/>
    <n v="6"/>
    <n v="6"/>
    <s v="-"/>
    <n v="1"/>
    <n v="1"/>
    <n v="2"/>
    <n v="2"/>
    <n v="8"/>
    <n v="8"/>
  </r>
  <r>
    <x v="4"/>
    <x v="104"/>
    <d v="1899-12-30T00:00:00"/>
    <s v="2ND"/>
    <d v="1899-12-30T21:00:00"/>
    <n v="2"/>
    <x v="7"/>
    <n v="1.38E-2"/>
    <s v="P"/>
    <s v="P"/>
    <s v="P"/>
    <s v="-"/>
    <s v="+"/>
    <n v="11.13"/>
    <s v="-"/>
    <s v="-"/>
    <s v="-"/>
    <s v="-"/>
    <s v="-"/>
    <s v="-"/>
    <s v="-"/>
    <s v="-"/>
    <s v="P"/>
    <s v="P"/>
    <s v="-"/>
    <n v="2"/>
    <n v="1"/>
    <n v="2"/>
    <n v="1"/>
    <s v="-"/>
    <s v="-"/>
    <s v="-"/>
    <s v="-"/>
    <s v="-"/>
    <s v="-"/>
    <s v="-"/>
    <n v="6"/>
    <n v="6"/>
    <s v="-"/>
    <n v="1"/>
    <n v="1"/>
    <n v="2"/>
    <n v="2"/>
    <n v="8"/>
    <n v="8"/>
  </r>
  <r>
    <x v="4"/>
    <x v="104"/>
    <d v="2026-05-12T00:00:00"/>
    <s v="2ND"/>
    <d v="1899-12-30T14:00:00"/>
    <n v="3"/>
    <x v="31"/>
    <n v="1.9800000000000002E-2"/>
    <s v="P"/>
    <s v="P"/>
    <s v="P"/>
    <s v="+"/>
    <s v="+"/>
    <n v="12.22"/>
    <n v="12.14"/>
    <n v="0.59"/>
    <s v="-"/>
    <s v="-"/>
    <s v="-"/>
    <n v="33.9"/>
    <s v="-"/>
    <s v="-"/>
    <s v="P"/>
    <s v="P"/>
    <s v="50% 40% 10%"/>
    <n v="2"/>
    <n v="1"/>
    <n v="2"/>
    <n v="0"/>
    <n v="1"/>
    <n v="2"/>
    <s v="-"/>
    <s v="-"/>
    <s v="-"/>
    <n v="2"/>
    <s v="-"/>
    <n v="10"/>
    <n v="11"/>
    <s v="-"/>
    <n v="1"/>
    <n v="1"/>
    <n v="2"/>
    <n v="2"/>
    <n v="12"/>
    <n v="13"/>
  </r>
  <r>
    <x v="4"/>
    <x v="104"/>
    <d v="2026-05-12T00:00:00"/>
    <s v="2ND"/>
    <d v="1899-12-30T15:00:00"/>
    <n v="3"/>
    <x v="31"/>
    <n v="1.49E-2"/>
    <s v="P"/>
    <s v="P"/>
    <s v="P"/>
    <s v="+"/>
    <s v="+"/>
    <n v="12.2"/>
    <s v="-"/>
    <s v="-"/>
    <s v="-"/>
    <s v="-"/>
    <s v="-"/>
    <s v="-"/>
    <s v="-"/>
    <s v="-"/>
    <s v="P"/>
    <s v="P"/>
    <s v="-"/>
    <n v="2"/>
    <n v="1"/>
    <n v="2"/>
    <n v="0"/>
    <s v="-"/>
    <s v="-"/>
    <s v="-"/>
    <s v="-"/>
    <s v="-"/>
    <s v="-"/>
    <s v="-"/>
    <n v="5"/>
    <n v="6"/>
    <s v="-"/>
    <n v="1"/>
    <n v="1"/>
    <n v="2"/>
    <n v="2"/>
    <n v="7"/>
    <n v="8"/>
  </r>
  <r>
    <x v="4"/>
    <x v="104"/>
    <d v="2026-05-12T00:00:00"/>
    <s v="2ND"/>
    <d v="1899-12-30T16:00:00"/>
    <n v="3"/>
    <x v="31"/>
    <n v="1.61E-2"/>
    <s v="P"/>
    <s v="P"/>
    <s v="P"/>
    <s v="+"/>
    <s v="+"/>
    <n v="11.84"/>
    <s v="-"/>
    <s v="-"/>
    <s v="-"/>
    <s v="-"/>
    <s v="-"/>
    <s v="-"/>
    <s v="-"/>
    <s v="-"/>
    <s v="P"/>
    <s v="P"/>
    <s v="-"/>
    <n v="2"/>
    <n v="1"/>
    <n v="2"/>
    <n v="0"/>
    <s v="-"/>
    <s v="-"/>
    <s v="-"/>
    <s v="-"/>
    <s v="-"/>
    <s v="-"/>
    <s v="-"/>
    <n v="5"/>
    <n v="6"/>
    <s v="-"/>
    <n v="1"/>
    <n v="1"/>
    <n v="2"/>
    <n v="2"/>
    <n v="7"/>
    <n v="8"/>
  </r>
  <r>
    <x v="4"/>
    <x v="104"/>
    <d v="2026-05-16T00:00:00"/>
    <s v="2ND"/>
    <d v="1899-12-30T21:00:00"/>
    <n v="3"/>
    <x v="8"/>
    <n v="1.0200000000000001E-2"/>
    <s v="P"/>
    <s v="P"/>
    <s v="P"/>
    <s v="+"/>
    <s v="+"/>
    <n v="12.28"/>
    <n v="12.51"/>
    <n v="0.56000000000000005"/>
    <n v="65.8"/>
    <n v="17.2"/>
    <s v="-"/>
    <n v="35.1"/>
    <s v="-"/>
    <s v="-"/>
    <s v="P"/>
    <s v="P"/>
    <s v="-"/>
    <n v="2"/>
    <n v="1"/>
    <n v="2"/>
    <n v="1"/>
    <n v="1"/>
    <n v="2"/>
    <n v="2"/>
    <s v="-"/>
    <s v="-"/>
    <s v="-"/>
    <s v="-"/>
    <n v="11"/>
    <n v="11"/>
    <s v="-"/>
    <n v="1"/>
    <n v="1"/>
    <n v="2"/>
    <n v="2"/>
    <n v="13"/>
    <n v="13"/>
  </r>
  <r>
    <x v="4"/>
    <x v="104"/>
    <d v="1902-03-26T00:00:00"/>
    <s v="3RD"/>
    <d v="1899-12-30T22:00:00"/>
    <n v="2"/>
    <x v="7"/>
    <n v="7.7999999999999996E-3"/>
    <s v="P"/>
    <s v="P"/>
    <s v="P"/>
    <s v="-"/>
    <s v="+"/>
    <n v="11.32"/>
    <n v="9.1"/>
    <n v="0.51"/>
    <n v="57.1"/>
    <s v="-"/>
    <s v="-"/>
    <n v="24.8"/>
    <s v="-"/>
    <n v="25.16"/>
    <s v="P"/>
    <s v="P"/>
    <s v="-"/>
    <n v="2"/>
    <n v="1"/>
    <n v="2"/>
    <n v="1"/>
    <n v="1"/>
    <n v="2"/>
    <n v="2"/>
    <s v="-"/>
    <s v="-"/>
    <n v="2"/>
    <s v="-"/>
    <n v="13"/>
    <n v="13"/>
    <n v="1"/>
    <n v="1"/>
    <n v="1"/>
    <n v="3"/>
    <n v="3"/>
    <n v="16"/>
    <n v="16"/>
  </r>
  <r>
    <x v="4"/>
    <x v="104"/>
    <d v="1899-12-30T00:00:00"/>
    <s v="3RD"/>
    <d v="1899-12-30T23:00:00"/>
    <n v="2"/>
    <x v="7"/>
    <n v="9.7000000000000003E-3"/>
    <s v="P"/>
    <s v="P"/>
    <s v="P"/>
    <s v="-"/>
    <s v="+"/>
    <n v="11.34"/>
    <s v="-"/>
    <s v="-"/>
    <s v="-"/>
    <s v="-"/>
    <s v="-"/>
    <s v="-"/>
    <s v="-"/>
    <s v="-"/>
    <s v="P"/>
    <s v="P"/>
    <s v="-"/>
    <n v="2"/>
    <n v="1"/>
    <n v="2"/>
    <n v="1"/>
    <s v="-"/>
    <s v="-"/>
    <s v="-"/>
    <s v="-"/>
    <s v="-"/>
    <s v="-"/>
    <s v="-"/>
    <n v="6"/>
    <n v="6"/>
    <s v="-"/>
    <n v="1"/>
    <n v="1"/>
    <n v="2"/>
    <n v="2"/>
    <n v="8"/>
    <n v="8"/>
  </r>
  <r>
    <x v="4"/>
    <x v="104"/>
    <d v="1899-12-30T00:00:00"/>
    <s v="3RD"/>
    <d v="1899-12-31T00:00:00"/>
    <n v="2"/>
    <x v="7"/>
    <n v="1.4800000000000001E-2"/>
    <s v="P"/>
    <s v="P"/>
    <s v="P"/>
    <s v="-"/>
    <s v="+"/>
    <n v="11.36"/>
    <s v="-"/>
    <s v="-"/>
    <s v="-"/>
    <s v="-"/>
    <s v="-"/>
    <s v="-"/>
    <s v="-"/>
    <s v="-"/>
    <s v="P"/>
    <s v="P"/>
    <s v="-"/>
    <n v="2"/>
    <n v="1"/>
    <n v="2"/>
    <n v="1"/>
    <s v="-"/>
    <s v="-"/>
    <s v="-"/>
    <s v="-"/>
    <s v="-"/>
    <s v="-"/>
    <s v="-"/>
    <n v="6"/>
    <n v="6"/>
    <s v="-"/>
    <n v="1"/>
    <n v="1"/>
    <n v="2"/>
    <n v="2"/>
    <n v="8"/>
    <n v="8"/>
  </r>
  <r>
    <x v="4"/>
    <x v="104"/>
    <d v="1899-12-30T00:00:00"/>
    <s v="3RD"/>
    <d v="1899-12-31T01:00:00"/>
    <n v="2"/>
    <x v="7"/>
    <n v="1.12E-2"/>
    <s v="P"/>
    <s v="P"/>
    <s v="P"/>
    <s v="-"/>
    <s v="+"/>
    <n v="11.44"/>
    <s v="-"/>
    <s v="-"/>
    <s v="-"/>
    <s v="-"/>
    <s v="-"/>
    <s v="-"/>
    <s v="-"/>
    <s v="-"/>
    <s v="P"/>
    <s v="P"/>
    <s v="-"/>
    <n v="2"/>
    <n v="1"/>
    <n v="2"/>
    <n v="1"/>
    <s v="-"/>
    <s v="-"/>
    <s v="-"/>
    <s v="-"/>
    <s v="-"/>
    <s v="-"/>
    <s v="-"/>
    <n v="6"/>
    <n v="6"/>
    <s v="-"/>
    <n v="1"/>
    <n v="1"/>
    <n v="2"/>
    <n v="2"/>
    <n v="8"/>
    <n v="8"/>
  </r>
  <r>
    <x v="4"/>
    <x v="104"/>
    <d v="1899-12-30T00:00:00"/>
    <s v="3RD"/>
    <d v="1899-12-31T04:00:00"/>
    <n v="2"/>
    <x v="7"/>
    <n v="8.8000000000000005E-3"/>
    <s v="P"/>
    <s v="P"/>
    <s v="P"/>
    <s v="-"/>
    <s v="+"/>
    <n v="10.98"/>
    <s v="-"/>
    <s v="-"/>
    <s v="-"/>
    <s v="-"/>
    <s v="-"/>
    <s v="-"/>
    <s v="-"/>
    <s v="-"/>
    <s v="P"/>
    <s v="P"/>
    <s v="-"/>
    <n v="2"/>
    <n v="1"/>
    <n v="2"/>
    <n v="0"/>
    <s v="-"/>
    <s v="-"/>
    <s v="-"/>
    <s v="-"/>
    <s v="-"/>
    <s v="-"/>
    <s v="-"/>
    <n v="5"/>
    <n v="6"/>
    <s v="-"/>
    <n v="1"/>
    <n v="1"/>
    <n v="2"/>
    <n v="2"/>
    <n v="7"/>
    <n v="8"/>
  </r>
  <r>
    <x v="4"/>
    <x v="104"/>
    <d v="1899-12-30T00:00:00"/>
    <s v="3RD"/>
    <d v="1899-12-31T05:00:00"/>
    <n v="2"/>
    <x v="7"/>
    <n v="1.0999999999999999E-2"/>
    <s v="P"/>
    <s v="P"/>
    <s v="P"/>
    <s v="-"/>
    <s v="+"/>
    <n v="11.05"/>
    <s v="-"/>
    <s v="-"/>
    <s v="-"/>
    <s v="-"/>
    <s v="-"/>
    <s v="-"/>
    <s v="-"/>
    <s v="-"/>
    <s v="P"/>
    <s v="P"/>
    <s v="-"/>
    <n v="2"/>
    <n v="1"/>
    <n v="2"/>
    <n v="1"/>
    <s v="-"/>
    <s v="-"/>
    <s v="-"/>
    <s v="-"/>
    <s v="-"/>
    <s v="-"/>
    <s v="-"/>
    <n v="6"/>
    <n v="6"/>
    <s v="-"/>
    <n v="1"/>
    <n v="1"/>
    <n v="2"/>
    <n v="2"/>
    <n v="8"/>
    <n v="8"/>
  </r>
  <r>
    <x v="4"/>
    <x v="104"/>
    <d v="2026-05-16T00:00:00"/>
    <s v="3RD"/>
    <d v="1899-12-30T22:00:00"/>
    <n v="3"/>
    <x v="8"/>
    <n v="7.9000000000000008E-3"/>
    <s v="P"/>
    <s v="P"/>
    <s v="P"/>
    <s v="+"/>
    <s v="+"/>
    <n v="12.48"/>
    <n v="12.51"/>
    <n v="0.56000000000000005"/>
    <n v="65.8"/>
    <s v="-"/>
    <s v="-"/>
    <s v="-"/>
    <s v="-"/>
    <n v="25.19"/>
    <s v="P"/>
    <s v="P"/>
    <n v="1"/>
    <n v="2"/>
    <n v="1"/>
    <n v="2"/>
    <n v="1"/>
    <n v="1"/>
    <n v="2"/>
    <n v="2"/>
    <s v="-"/>
    <s v="-"/>
    <s v="-"/>
    <s v="-"/>
    <n v="11"/>
    <n v="11"/>
    <s v="-"/>
    <n v="1"/>
    <n v="1"/>
    <n v="2"/>
    <n v="2"/>
    <n v="13"/>
    <n v="13"/>
  </r>
  <r>
    <x v="4"/>
    <x v="104"/>
    <d v="2026-05-16T00:00:00"/>
    <s v="3RD"/>
    <d v="1899-12-30T23:00:00"/>
    <n v="3"/>
    <x v="8"/>
    <n v="8.8000000000000005E-3"/>
    <s v="P"/>
    <s v="P"/>
    <s v="P"/>
    <s v="+"/>
    <s v="+"/>
    <n v="12.4"/>
    <s v="-"/>
    <s v="-"/>
    <s v="-"/>
    <s v="-"/>
    <s v="-"/>
    <s v="-"/>
    <s v="-"/>
    <s v="-"/>
    <s v="P"/>
    <s v="P"/>
    <s v="-"/>
    <n v="2"/>
    <n v="1"/>
    <n v="2"/>
    <n v="1"/>
    <s v="-"/>
    <s v="-"/>
    <s v="-"/>
    <s v="-"/>
    <s v="-"/>
    <s v="-"/>
    <s v="-"/>
    <n v="6"/>
    <n v="6"/>
    <s v="-"/>
    <n v="1"/>
    <n v="1"/>
    <n v="2"/>
    <n v="2"/>
    <n v="8"/>
    <n v="8"/>
  </r>
  <r>
    <x v="4"/>
    <x v="104"/>
    <d v="2026-05-16T00:00:00"/>
    <s v="3RD"/>
    <d v="1899-12-31T00:00:00"/>
    <n v="3"/>
    <x v="8"/>
    <n v="1.12E-2"/>
    <s v="P"/>
    <s v="P"/>
    <s v="P"/>
    <s v="+"/>
    <s v="+"/>
    <n v="12.97"/>
    <s v="-"/>
    <s v="-"/>
    <s v="-"/>
    <s v="-"/>
    <s v="-"/>
    <s v="-"/>
    <s v="-"/>
    <s v="-"/>
    <s v="P"/>
    <s v="P"/>
    <s v="-"/>
    <n v="2"/>
    <n v="1"/>
    <n v="2"/>
    <n v="1"/>
    <s v="-"/>
    <s v="-"/>
    <s v="-"/>
    <s v="-"/>
    <s v="-"/>
    <s v="-"/>
    <s v="-"/>
    <n v="6"/>
    <n v="6"/>
    <s v="-"/>
    <n v="1"/>
    <n v="1"/>
    <n v="2"/>
    <n v="2"/>
    <n v="8"/>
    <n v="8"/>
  </r>
  <r>
    <x v="4"/>
    <x v="104"/>
    <d v="2026-05-16T00:00:00"/>
    <s v="3RD"/>
    <d v="1899-12-31T01:00:00"/>
    <n v="3"/>
    <x v="8"/>
    <n v="1.5599999999999999E-2"/>
    <s v="P"/>
    <s v="P"/>
    <s v="P"/>
    <s v="+"/>
    <s v="+"/>
    <n v="13.02"/>
    <s v="-"/>
    <s v="-"/>
    <s v="-"/>
    <s v="-"/>
    <s v="-"/>
    <s v="-"/>
    <s v="-"/>
    <s v="-"/>
    <s v="P"/>
    <s v="P"/>
    <s v="-"/>
    <n v="2"/>
    <n v="1"/>
    <n v="2"/>
    <n v="1"/>
    <s v="-"/>
    <s v="-"/>
    <s v="-"/>
    <s v="-"/>
    <s v="-"/>
    <s v="-"/>
    <s v="-"/>
    <n v="6"/>
    <n v="6"/>
    <s v="-"/>
    <n v="1"/>
    <n v="1"/>
    <n v="2"/>
    <n v="2"/>
    <n v="8"/>
    <n v="8"/>
  </r>
  <r>
    <x v="4"/>
    <x v="104"/>
    <d v="2026-05-16T00:00:00"/>
    <s v="3RD"/>
    <d v="1899-12-31T02:00:00"/>
    <n v="3"/>
    <x v="8"/>
    <n v="1.9199999999999998E-2"/>
    <s v="P"/>
    <s v="P"/>
    <s v="P"/>
    <s v="+"/>
    <s v="+"/>
    <n v="12.98"/>
    <s v="-"/>
    <s v="-"/>
    <s v="-"/>
    <s v="-"/>
    <s v="-"/>
    <s v="-"/>
    <s v="-"/>
    <s v="-"/>
    <s v="P"/>
    <s v="P"/>
    <s v="-"/>
    <n v="2"/>
    <n v="1"/>
    <n v="2"/>
    <n v="1"/>
    <s v="-"/>
    <s v="-"/>
    <s v="-"/>
    <s v="-"/>
    <s v="-"/>
    <s v="-"/>
    <s v="-"/>
    <n v="6"/>
    <n v="6"/>
    <s v="-"/>
    <n v="1"/>
    <n v="1"/>
    <n v="2"/>
    <n v="2"/>
    <n v="8"/>
    <n v="8"/>
  </r>
  <r>
    <x v="4"/>
    <x v="104"/>
    <d v="2026-05-16T00:00:00"/>
    <s v="3RD"/>
    <d v="1899-12-31T04:00:00"/>
    <n v="3"/>
    <x v="8"/>
    <n v="1.5599999999999999E-2"/>
    <s v="P"/>
    <s v="P"/>
    <s v="P"/>
    <s v="+"/>
    <s v="+"/>
    <n v="12.48"/>
    <s v="-"/>
    <s v="-"/>
    <s v="-"/>
    <s v="-"/>
    <s v="-"/>
    <s v="-"/>
    <s v="-"/>
    <s v="-"/>
    <s v="P"/>
    <s v="P"/>
    <s v="-"/>
    <n v="2"/>
    <n v="1"/>
    <n v="2"/>
    <n v="1"/>
    <s v="-"/>
    <s v="-"/>
    <s v="-"/>
    <s v="-"/>
    <s v="-"/>
    <s v="-"/>
    <s v="-"/>
    <n v="6"/>
    <n v="6"/>
    <s v="-"/>
    <n v="1"/>
    <n v="1"/>
    <n v="2"/>
    <n v="2"/>
    <n v="8"/>
    <n v="8"/>
  </r>
  <r>
    <x v="4"/>
    <x v="104"/>
    <d v="2026-05-16T00:00:00"/>
    <s v="3RD"/>
    <d v="1899-12-31T05:00:00"/>
    <n v="3"/>
    <x v="8"/>
    <n v="1.9900000000000001E-2"/>
    <s v="P"/>
    <s v="P"/>
    <s v="P"/>
    <s v="+"/>
    <s v="+"/>
    <n v="13.02"/>
    <s v="-"/>
    <s v="-"/>
    <s v="-"/>
    <s v="-"/>
    <s v="-"/>
    <s v="-"/>
    <s v="-"/>
    <s v="-"/>
    <s v="P"/>
    <s v="P"/>
    <s v="-"/>
    <n v="2"/>
    <n v="1"/>
    <n v="2"/>
    <n v="1"/>
    <s v="-"/>
    <s v="-"/>
    <s v="-"/>
    <s v="-"/>
    <s v="-"/>
    <s v="-"/>
    <s v="-"/>
    <n v="6"/>
    <n v="6"/>
    <s v="-"/>
    <n v="1"/>
    <n v="1"/>
    <n v="2"/>
    <n v="2"/>
    <n v="8"/>
    <n v="8"/>
  </r>
  <r>
    <x v="4"/>
    <x v="105"/>
    <d v="1902-03-26T00:00:00"/>
    <s v="1ST"/>
    <s v="06:00"/>
    <n v="2"/>
    <x v="7"/>
    <n v="1.3899999999999999E-2"/>
    <s v="P"/>
    <s v="P"/>
    <s v="P"/>
    <s v="-"/>
    <s v="+"/>
    <n v="11.03"/>
    <n v="9.8000000000000007"/>
    <n v="0.56999999999999995"/>
    <n v="58.1"/>
    <s v="-"/>
    <s v="-"/>
    <n v="26.9"/>
    <s v="-"/>
    <s v="-"/>
    <s v="P"/>
    <s v="P"/>
    <s v="-"/>
    <n v="2"/>
    <n v="1"/>
    <n v="2"/>
    <n v="1"/>
    <n v="1"/>
    <n v="2"/>
    <n v="2"/>
    <s v="-"/>
    <s v="-"/>
    <n v="2"/>
    <s v="-"/>
    <n v="13"/>
    <n v="13"/>
    <s v="-"/>
    <n v="1"/>
    <n v="1"/>
    <n v="2"/>
    <n v="2"/>
    <n v="15"/>
    <n v="15"/>
  </r>
  <r>
    <x v="4"/>
    <x v="105"/>
    <d v="1899-12-30T00:00:00"/>
    <s v="1ST"/>
    <s v="08:00"/>
    <n v="2"/>
    <x v="7"/>
    <n v="1.21E-2"/>
    <s v="P"/>
    <s v="P"/>
    <s v="P"/>
    <s v="-"/>
    <s v="+"/>
    <n v="10.92"/>
    <s v="-"/>
    <s v="-"/>
    <s v="-"/>
    <s v="-"/>
    <s v="-"/>
    <s v="-"/>
    <s v="-"/>
    <s v="-"/>
    <s v="P"/>
    <s v="P"/>
    <s v="-"/>
    <n v="2"/>
    <n v="1"/>
    <n v="2"/>
    <n v="0"/>
    <s v="-"/>
    <s v="-"/>
    <s v="-"/>
    <s v="-"/>
    <s v="-"/>
    <s v="-"/>
    <s v="-"/>
    <n v="5"/>
    <n v="6"/>
    <s v="-"/>
    <n v="1"/>
    <n v="1"/>
    <n v="2"/>
    <n v="2"/>
    <n v="7"/>
    <n v="8"/>
  </r>
  <r>
    <x v="4"/>
    <x v="105"/>
    <d v="1899-12-30T00:00:00"/>
    <s v="1ST"/>
    <s v="10:00"/>
    <n v="2"/>
    <x v="7"/>
    <n v="9.7000000000000003E-3"/>
    <s v="P"/>
    <s v="P"/>
    <s v="P"/>
    <s v="-"/>
    <s v="+"/>
    <n v="10.95"/>
    <s v="-"/>
    <s v="-"/>
    <s v="-"/>
    <s v="-"/>
    <s v="-"/>
    <s v="-"/>
    <s v="-"/>
    <s v="-"/>
    <s v="P"/>
    <s v="P"/>
    <s v="-"/>
    <n v="2"/>
    <n v="1"/>
    <n v="2"/>
    <n v="0"/>
    <s v="-"/>
    <s v="-"/>
    <s v="-"/>
    <s v="-"/>
    <s v="-"/>
    <s v="-"/>
    <s v="-"/>
    <n v="5"/>
    <n v="6"/>
    <s v="-"/>
    <n v="1"/>
    <n v="1"/>
    <n v="2"/>
    <n v="2"/>
    <n v="7"/>
    <n v="8"/>
  </r>
  <r>
    <x v="4"/>
    <x v="105"/>
    <d v="2026-05-16T00:00:00"/>
    <s v="1ST"/>
    <s v="06:00"/>
    <n v="3"/>
    <x v="8"/>
    <n v="1.8800000000000001E-2"/>
    <s v="P"/>
    <s v="P"/>
    <s v="P"/>
    <s v="+"/>
    <s v="+"/>
    <n v="12.97"/>
    <n v="12.87"/>
    <n v="0.56999999999999995"/>
    <n v="64.7"/>
    <s v="-"/>
    <s v="-"/>
    <n v="36.1"/>
    <s v="-"/>
    <s v="-"/>
    <s v="P"/>
    <s v="P"/>
    <n v="1"/>
    <n v="2"/>
    <n v="1"/>
    <n v="2"/>
    <n v="1"/>
    <n v="1"/>
    <n v="2"/>
    <n v="2"/>
    <s v="-"/>
    <s v="-"/>
    <s v="-"/>
    <s v="-"/>
    <n v="11"/>
    <n v="11"/>
    <s v="-"/>
    <n v="1"/>
    <n v="1"/>
    <n v="2"/>
    <n v="2"/>
    <n v="13"/>
    <n v="13"/>
  </r>
  <r>
    <x v="4"/>
    <x v="105"/>
    <d v="2026-05-16T00:00:00"/>
    <s v="1ST"/>
    <s v="08:00"/>
    <n v="3"/>
    <x v="8"/>
    <n v="1.8100000000000002E-2"/>
    <s v="P"/>
    <s v="P"/>
    <s v="P"/>
    <s v="+"/>
    <s v="+"/>
    <n v="13.14"/>
    <s v="-"/>
    <s v="-"/>
    <s v="-"/>
    <s v="-"/>
    <s v="-"/>
    <s v="-"/>
    <s v="-"/>
    <s v="-"/>
    <s v="P"/>
    <s v="P"/>
    <s v="-"/>
    <n v="2"/>
    <n v="1"/>
    <n v="2"/>
    <n v="1"/>
    <s v="-"/>
    <s v="-"/>
    <s v="-"/>
    <s v="-"/>
    <s v="-"/>
    <s v="-"/>
    <s v="-"/>
    <n v="6"/>
    <n v="6"/>
    <s v="-"/>
    <n v="1"/>
    <n v="1"/>
    <n v="2"/>
    <n v="2"/>
    <n v="8"/>
    <n v="8"/>
  </r>
  <r>
    <x v="4"/>
    <x v="105"/>
    <d v="2026-05-16T00:00:00"/>
    <s v="1ST"/>
    <s v="10:00"/>
    <n v="3"/>
    <x v="8"/>
    <n v="1.7000000000000001E-2"/>
    <s v="P"/>
    <s v="P"/>
    <s v="P"/>
    <s v="+"/>
    <s v="+"/>
    <n v="13.11"/>
    <s v="-"/>
    <s v="-"/>
    <s v="-"/>
    <s v="-"/>
    <s v="-"/>
    <s v="-"/>
    <s v="-"/>
    <s v="-"/>
    <s v="P"/>
    <s v="P"/>
    <s v="-"/>
    <n v="2"/>
    <n v="1"/>
    <n v="2"/>
    <n v="1"/>
    <s v="-"/>
    <s v="-"/>
    <s v="-"/>
    <s v="-"/>
    <s v="-"/>
    <s v="-"/>
    <s v="-"/>
    <n v="6"/>
    <n v="6"/>
    <s v="-"/>
    <n v="1"/>
    <n v="1"/>
    <n v="2"/>
    <n v="2"/>
    <n v="8"/>
    <n v="8"/>
  </r>
  <r>
    <x v="4"/>
    <x v="105"/>
    <d v="2026-05-12T00:00:00"/>
    <s v="2ND"/>
    <d v="1899-12-30T17:00:00"/>
    <n v="1"/>
    <x v="5"/>
    <n v="1.29E-2"/>
    <s v="-"/>
    <s v="-"/>
    <s v="-"/>
    <s v="-"/>
    <s v="-"/>
    <s v="-"/>
    <s v="-"/>
    <s v="-"/>
    <s v="-"/>
    <s v="-"/>
    <s v="-"/>
    <s v="-"/>
    <s v="-"/>
    <s v="-"/>
    <s v="-"/>
    <s v="-"/>
    <n v="1"/>
    <n v="2"/>
    <s v="-"/>
    <s v="-"/>
    <s v="-"/>
    <s v="-"/>
    <s v="-"/>
    <s v="-"/>
    <s v="-"/>
    <s v="-"/>
    <s v="-"/>
    <s v="-"/>
    <n v="2"/>
    <n v="2"/>
    <s v="-"/>
    <s v="-"/>
    <s v="-"/>
    <n v="0"/>
    <n v="0"/>
    <n v="2"/>
    <n v="2"/>
  </r>
  <r>
    <x v="4"/>
    <x v="105"/>
    <d v="2026-05-12T00:00:00"/>
    <s v="2ND"/>
    <d v="1899-12-30T14:00:00"/>
    <n v="3"/>
    <x v="0"/>
    <n v="1.8800000000000001E-2"/>
    <s v="P"/>
    <s v="P"/>
    <s v="P"/>
    <s v="+"/>
    <s v="+"/>
    <n v="11.86"/>
    <n v="12.97"/>
    <n v="0.56999999999999995"/>
    <n v="65.2"/>
    <s v="-"/>
    <s v="-"/>
    <n v="36.4"/>
    <s v="-"/>
    <s v="-"/>
    <s v="P"/>
    <s v="P"/>
    <s v="-"/>
    <n v="2"/>
    <n v="1"/>
    <n v="2"/>
    <n v="0"/>
    <n v="1"/>
    <n v="2"/>
    <n v="2"/>
    <s v="-"/>
    <s v="-"/>
    <n v="2"/>
    <s v="-"/>
    <n v="12"/>
    <n v="13"/>
    <s v="-"/>
    <n v="1"/>
    <n v="1"/>
    <n v="2"/>
    <n v="2"/>
    <n v="14"/>
    <n v="15"/>
  </r>
  <r>
    <x v="4"/>
    <x v="105"/>
    <s v="-"/>
    <s v="3RD"/>
    <d v="1899-12-30T22:00:00"/>
    <n v="1"/>
    <x v="21"/>
    <n v="1.2500000000000001E-2"/>
    <s v="P"/>
    <s v="P"/>
    <s v="P"/>
    <s v="-"/>
    <s v="+"/>
    <n v="10.56"/>
    <n v="9.86"/>
    <n v="0.54"/>
    <n v="57.6"/>
    <n v="14.3"/>
    <s v="-"/>
    <n v="26.9"/>
    <s v="-"/>
    <n v="25.16"/>
    <s v="P"/>
    <s v="P"/>
    <n v="1"/>
    <n v="2"/>
    <n v="1"/>
    <n v="2"/>
    <n v="0"/>
    <s v="-"/>
    <n v="2"/>
    <n v="2"/>
    <n v="1"/>
    <s v="-"/>
    <n v="2"/>
    <s v="-"/>
    <n v="12"/>
    <n v="13"/>
    <n v="1"/>
    <n v="1"/>
    <n v="1"/>
    <n v="3"/>
    <n v="3"/>
    <n v="15"/>
    <n v="16"/>
  </r>
  <r>
    <x v="4"/>
    <x v="105"/>
    <d v="2026-05-12T00:00:00"/>
    <s v="3RD"/>
    <d v="1899-12-30T23:00:00"/>
    <n v="1"/>
    <x v="21"/>
    <n v="8.3999999999999995E-3"/>
    <s v="P"/>
    <s v="P"/>
    <s v="P"/>
    <s v="-"/>
    <s v="+"/>
    <n v="11.73"/>
    <s v="-"/>
    <s v="-"/>
    <s v="-"/>
    <s v="-"/>
    <s v="-"/>
    <s v="-"/>
    <s v="-"/>
    <s v="-"/>
    <s v="P"/>
    <s v="P"/>
    <s v="-"/>
    <n v="2"/>
    <n v="1"/>
    <n v="2"/>
    <n v="1"/>
    <s v="-"/>
    <s v="-"/>
    <s v="-"/>
    <s v="-"/>
    <s v="-"/>
    <s v="-"/>
    <s v="-"/>
    <n v="6"/>
    <n v="6"/>
    <s v="-"/>
    <n v="1"/>
    <n v="1"/>
    <n v="2"/>
    <n v="2"/>
    <n v="8"/>
    <n v="8"/>
  </r>
  <r>
    <x v="4"/>
    <x v="105"/>
    <d v="2026-05-12T00:00:00"/>
    <s v="3RD"/>
    <d v="1899-12-31T00:00:00"/>
    <n v="1"/>
    <x v="21"/>
    <n v="1.3100000000000001E-2"/>
    <s v="P"/>
    <s v="P"/>
    <s v="P"/>
    <s v="-"/>
    <s v="+"/>
    <n v="10.84"/>
    <s v="-"/>
    <s v="-"/>
    <s v="-"/>
    <s v="-"/>
    <s v="-"/>
    <s v="-"/>
    <s v="-"/>
    <s v="-"/>
    <s v="P"/>
    <s v="P"/>
    <s v="-"/>
    <n v="2"/>
    <n v="1"/>
    <n v="2"/>
    <n v="0"/>
    <s v="-"/>
    <s v="-"/>
    <s v="-"/>
    <s v="-"/>
    <s v="-"/>
    <s v="-"/>
    <s v="-"/>
    <n v="5"/>
    <n v="6"/>
    <s v="-"/>
    <n v="1"/>
    <n v="1"/>
    <n v="2"/>
    <n v="2"/>
    <n v="7"/>
    <n v="8"/>
  </r>
  <r>
    <x v="4"/>
    <x v="106"/>
    <s v="-"/>
    <s v="1ST"/>
    <s v="06:00"/>
    <n v="1"/>
    <x v="21"/>
    <n v="8.2000000000000007E-3"/>
    <s v="P"/>
    <s v="P"/>
    <s v="P"/>
    <s v="-"/>
    <s v="+"/>
    <n v="10.97"/>
    <n v="9.93"/>
    <n v="0.53"/>
    <n v="56.2"/>
    <s v="-"/>
    <s v="-"/>
    <n v="27.4"/>
    <s v="-"/>
    <s v="-"/>
    <s v="P"/>
    <s v="P"/>
    <n v="1"/>
    <n v="2"/>
    <n v="1"/>
    <n v="2"/>
    <n v="0"/>
    <s v="-"/>
    <n v="2"/>
    <n v="2"/>
    <s v="-"/>
    <s v="-"/>
    <n v="2"/>
    <s v="-"/>
    <n v="11"/>
    <n v="12"/>
    <s v="-"/>
    <n v="1"/>
    <n v="1"/>
    <n v="2"/>
    <n v="2"/>
    <n v="13"/>
    <n v="14"/>
  </r>
  <r>
    <x v="4"/>
    <x v="106"/>
    <d v="2026-05-12T00:00:00"/>
    <s v="1ST"/>
    <s v="07:00"/>
    <n v="1"/>
    <x v="21"/>
    <n v="8.5000000000000006E-3"/>
    <s v="P"/>
    <s v="P"/>
    <s v="P"/>
    <s v="-"/>
    <s v="+"/>
    <n v="10.94"/>
    <s v="-"/>
    <s v="-"/>
    <s v="-"/>
    <s v="-"/>
    <s v="-"/>
    <s v="-"/>
    <s v="-"/>
    <s v="-"/>
    <s v="P"/>
    <s v="P"/>
    <s v="-"/>
    <n v="2"/>
    <n v="1"/>
    <n v="2"/>
    <n v="0"/>
    <s v="-"/>
    <s v="-"/>
    <s v="-"/>
    <s v="-"/>
    <s v="-"/>
    <s v="-"/>
    <s v="-"/>
    <n v="5"/>
    <n v="6"/>
    <s v="-"/>
    <n v="1"/>
    <n v="1"/>
    <n v="2"/>
    <n v="2"/>
    <n v="7"/>
    <n v="8"/>
  </r>
  <r>
    <x v="4"/>
    <x v="106"/>
    <d v="2026-05-12T00:00:00"/>
    <s v="1ST"/>
    <s v="08:00"/>
    <n v="3"/>
    <x v="0"/>
    <n v="1.47E-2"/>
    <s v="P"/>
    <s v="P"/>
    <s v="P"/>
    <s v="+"/>
    <s v="+"/>
    <n v="12.06"/>
    <n v="13.06"/>
    <n v="0.68"/>
    <n v="65.2"/>
    <s v="-"/>
    <s v="-"/>
    <n v="36.799999999999997"/>
    <s v="-"/>
    <s v="-"/>
    <s v="P"/>
    <s v="P"/>
    <s v="85% 5% 10%"/>
    <n v="2"/>
    <n v="1"/>
    <n v="2"/>
    <n v="1"/>
    <n v="1"/>
    <n v="0"/>
    <n v="2"/>
    <s v="-"/>
    <s v="-"/>
    <n v="2"/>
    <s v="-"/>
    <n v="11"/>
    <n v="13"/>
    <s v="-"/>
    <n v="1"/>
    <n v="1"/>
    <n v="2"/>
    <n v="2"/>
    <n v="13"/>
    <n v="15"/>
  </r>
  <r>
    <x v="4"/>
    <x v="106"/>
    <d v="2026-05-12T00:00:00"/>
    <s v="1ST"/>
    <s v="13:00"/>
    <n v="3"/>
    <x v="1"/>
    <n v="1.7299999999999999E-2"/>
    <s v="P"/>
    <s v="P"/>
    <s v="P"/>
    <s v="+"/>
    <s v="+"/>
    <n v="12.06"/>
    <s v="-"/>
    <s v="-"/>
    <s v="-"/>
    <s v="-"/>
    <s v="-"/>
    <s v="-"/>
    <s v="-"/>
    <s v="-"/>
    <s v="P"/>
    <s v="P"/>
    <s v="85% 5% 10%"/>
    <n v="2"/>
    <n v="1"/>
    <n v="2"/>
    <n v="1"/>
    <s v="-"/>
    <s v="-"/>
    <s v="-"/>
    <s v="-"/>
    <s v="-"/>
    <s v="-"/>
    <s v="-"/>
    <n v="6"/>
    <n v="6"/>
    <s v="-"/>
    <n v="1"/>
    <n v="1"/>
    <n v="2"/>
    <n v="2"/>
    <n v="8"/>
    <n v="8"/>
  </r>
  <r>
    <x v="4"/>
    <x v="106"/>
    <d v="2026-05-20T00:00:00"/>
    <s v="1ST"/>
    <s v="08:00"/>
    <s v="Retail"/>
    <x v="3"/>
    <s v="-"/>
    <s v="-"/>
    <s v="-"/>
    <s v="-"/>
    <s v="-"/>
    <s v="-"/>
    <n v="14"/>
    <n v="5.41"/>
    <s v="-"/>
    <s v="-"/>
    <s v="-"/>
    <s v="-"/>
    <s v="-"/>
    <s v="-"/>
    <s v="-"/>
    <s v="-"/>
    <s v="-"/>
    <s v="-"/>
    <s v="-"/>
    <s v="-"/>
    <s v="-"/>
    <n v="1"/>
    <n v="0"/>
    <s v="-"/>
    <s v="-"/>
    <s v="-"/>
    <s v="-"/>
    <s v="-"/>
    <s v="-"/>
    <n v="1"/>
    <n v="2"/>
    <s v="-"/>
    <s v="-"/>
    <s v="-"/>
    <n v="0"/>
    <n v="0"/>
    <n v="1"/>
    <n v="2"/>
  </r>
  <r>
    <x v="4"/>
    <x v="106"/>
    <d v="2026-05-16T00:00:00"/>
    <s v="2ND"/>
    <d v="1899-12-30T15:00:00"/>
    <n v="1"/>
    <x v="21"/>
    <n v="1.9E-2"/>
    <s v="P"/>
    <s v="P"/>
    <s v="P"/>
    <s v="-"/>
    <s v="+"/>
    <n v="10.86"/>
    <n v="8.35"/>
    <s v="-"/>
    <n v="55.9"/>
    <s v="-"/>
    <s v="-"/>
    <n v="22.6"/>
    <s v="-"/>
    <s v="-"/>
    <s v="P"/>
    <s v="P"/>
    <n v="1"/>
    <n v="2"/>
    <n v="1"/>
    <n v="2"/>
    <n v="0"/>
    <s v="-"/>
    <s v="-"/>
    <n v="2"/>
    <s v="-"/>
    <s v="-"/>
    <n v="2"/>
    <s v="-"/>
    <n v="9"/>
    <n v="10"/>
    <s v="-"/>
    <n v="1"/>
    <n v="1"/>
    <n v="2"/>
    <n v="2"/>
    <n v="11"/>
    <n v="12"/>
  </r>
  <r>
    <x v="4"/>
    <x v="106"/>
    <d v="2026-05-16T00:00:00"/>
    <s v="2ND"/>
    <d v="1899-12-30T16:00:00"/>
    <n v="1"/>
    <x v="21"/>
    <n v="0.10199999999999999"/>
    <s v="P"/>
    <s v="P"/>
    <s v="P"/>
    <s v="-"/>
    <s v="+"/>
    <n v="11.02"/>
    <s v="-"/>
    <s v="-"/>
    <s v="-"/>
    <s v="-"/>
    <s v="-"/>
    <s v="-"/>
    <s v="-"/>
    <s v="-"/>
    <s v="P"/>
    <s v="P"/>
    <s v="-"/>
    <n v="0"/>
    <n v="1"/>
    <n v="2"/>
    <n v="1"/>
    <s v="-"/>
    <s v="-"/>
    <s v="-"/>
    <s v="-"/>
    <s v="-"/>
    <s v="-"/>
    <s v="-"/>
    <n v="4"/>
    <n v="6"/>
    <s v="-"/>
    <n v="1"/>
    <n v="1"/>
    <n v="2"/>
    <n v="2"/>
    <n v="6"/>
    <n v="8"/>
  </r>
  <r>
    <x v="4"/>
    <x v="106"/>
    <d v="2026-05-16T00:00:00"/>
    <s v="2ND"/>
    <d v="1899-12-30T17:00:00"/>
    <n v="1"/>
    <x v="21"/>
    <n v="9.1000000000000004E-3"/>
    <s v="P"/>
    <s v="P"/>
    <s v="P"/>
    <s v="-"/>
    <s v="+"/>
    <n v="10.74"/>
    <s v="-"/>
    <s v="-"/>
    <s v="-"/>
    <s v="-"/>
    <s v="-"/>
    <s v="-"/>
    <s v="-"/>
    <s v="-"/>
    <s v="P"/>
    <s v="P"/>
    <s v="-"/>
    <n v="2"/>
    <n v="1"/>
    <n v="2"/>
    <n v="0"/>
    <s v="-"/>
    <s v="-"/>
    <s v="-"/>
    <s v="-"/>
    <s v="-"/>
    <s v="-"/>
    <s v="-"/>
    <n v="5"/>
    <n v="6"/>
    <s v="-"/>
    <n v="1"/>
    <n v="1"/>
    <n v="2"/>
    <n v="2"/>
    <n v="7"/>
    <n v="8"/>
  </r>
  <r>
    <x v="4"/>
    <x v="106"/>
    <d v="2026-05-12T00:00:00"/>
    <s v="2ND"/>
    <d v="1899-12-30T14:00:00"/>
    <n v="3"/>
    <x v="1"/>
    <n v="1.9800000000000002E-2"/>
    <s v="P"/>
    <s v="P"/>
    <s v="P"/>
    <s v="+"/>
    <s v="+"/>
    <n v="12.41"/>
    <n v="12.87"/>
    <n v="0.68"/>
    <s v="-"/>
    <s v="-"/>
    <s v="-"/>
    <n v="36.1"/>
    <s v="-"/>
    <s v="-"/>
    <s v="P"/>
    <s v="P"/>
    <s v="85% 5% 10%"/>
    <n v="2"/>
    <n v="1"/>
    <n v="2"/>
    <n v="1"/>
    <n v="1"/>
    <n v="0"/>
    <s v="-"/>
    <s v="-"/>
    <s v="-"/>
    <n v="2"/>
    <s v="-"/>
    <n v="9"/>
    <n v="11"/>
    <s v="-"/>
    <n v="1"/>
    <n v="1"/>
    <n v="2"/>
    <n v="2"/>
    <n v="11"/>
    <n v="13"/>
  </r>
  <r>
    <x v="4"/>
    <x v="106"/>
    <d v="2026-05-12T00:00:00"/>
    <s v="2ND"/>
    <d v="1899-12-30T15:00:00"/>
    <n v="3"/>
    <x v="1"/>
    <n v="1.49E-2"/>
    <s v="P"/>
    <s v="P"/>
    <s v="P"/>
    <s v="+"/>
    <s v="+"/>
    <n v="12.05"/>
    <s v="-"/>
    <s v="-"/>
    <s v="-"/>
    <s v="-"/>
    <s v="-"/>
    <s v="-"/>
    <s v="-"/>
    <s v="-"/>
    <s v="P"/>
    <s v="P"/>
    <s v="-"/>
    <n v="2"/>
    <n v="1"/>
    <n v="2"/>
    <n v="1"/>
    <s v="-"/>
    <s v="-"/>
    <s v="-"/>
    <s v="-"/>
    <s v="-"/>
    <s v="-"/>
    <s v="-"/>
    <n v="6"/>
    <n v="6"/>
    <s v="-"/>
    <n v="1"/>
    <n v="1"/>
    <n v="2"/>
    <n v="2"/>
    <n v="8"/>
    <n v="8"/>
  </r>
  <r>
    <x v="4"/>
    <x v="106"/>
    <d v="2026-05-19T00:00:00"/>
    <s v="2ND"/>
    <d v="1899-12-30T19:00:00"/>
    <n v="3"/>
    <x v="12"/>
    <n v="1.72E-2"/>
    <s v="P"/>
    <s v="P"/>
    <s v="P"/>
    <s v="+"/>
    <s v="+"/>
    <n v="12.02"/>
    <n v="12.98"/>
    <n v="0.52"/>
    <n v="65.8"/>
    <n v="14.1"/>
    <s v="-"/>
    <n v="36.6"/>
    <s v="-"/>
    <s v="-"/>
    <s v="P"/>
    <s v="P"/>
    <n v="1"/>
    <n v="2"/>
    <n v="1"/>
    <n v="2"/>
    <n v="1"/>
    <s v="-"/>
    <n v="2"/>
    <n v="2"/>
    <s v="-"/>
    <s v="-"/>
    <n v="2"/>
    <s v="-"/>
    <n v="12"/>
    <n v="12"/>
    <s v="-"/>
    <n v="1"/>
    <n v="1"/>
    <n v="2"/>
    <n v="2"/>
    <n v="14"/>
    <n v="14"/>
  </r>
  <r>
    <x v="4"/>
    <x v="106"/>
    <d v="2026-05-12T00:00:00"/>
    <s v="2ND"/>
    <d v="1899-12-30T20:00:00"/>
    <n v="3"/>
    <x v="1"/>
    <n v="8.9999999999999993E-3"/>
    <s v="P"/>
    <s v="P"/>
    <s v="P"/>
    <s v="+"/>
    <s v="+"/>
    <n v="12.05"/>
    <s v="-"/>
    <s v="-"/>
    <s v="-"/>
    <s v="-"/>
    <s v="-"/>
    <s v="-"/>
    <s v="-"/>
    <s v="-"/>
    <s v="P"/>
    <s v="P"/>
    <s v="85% 5% 10%"/>
    <n v="2"/>
    <n v="1"/>
    <n v="2"/>
    <n v="1"/>
    <s v="-"/>
    <s v="-"/>
    <s v="-"/>
    <s v="-"/>
    <s v="-"/>
    <s v="-"/>
    <s v="-"/>
    <n v="6"/>
    <n v="6"/>
    <s v="-"/>
    <n v="1"/>
    <n v="1"/>
    <n v="2"/>
    <n v="2"/>
    <n v="8"/>
    <n v="8"/>
  </r>
  <r>
    <x v="4"/>
    <x v="106"/>
    <d v="2026-05-12T00:00:00"/>
    <s v="2ND"/>
    <d v="1899-12-30T21:00:00"/>
    <n v="3"/>
    <x v="1"/>
    <n v="1.0800000000000001E-2"/>
    <s v="P"/>
    <s v="P"/>
    <s v="P"/>
    <s v="+"/>
    <s v="+"/>
    <n v="12.09"/>
    <s v="-"/>
    <s v="-"/>
    <s v="-"/>
    <s v="-"/>
    <s v="-"/>
    <s v="-"/>
    <s v="-"/>
    <s v="-"/>
    <s v="P"/>
    <s v="P"/>
    <s v="-"/>
    <n v="2"/>
    <n v="1"/>
    <n v="2"/>
    <n v="1"/>
    <s v="-"/>
    <s v="-"/>
    <s v="-"/>
    <s v="-"/>
    <s v="-"/>
    <s v="-"/>
    <s v="-"/>
    <n v="6"/>
    <n v="6"/>
    <s v="-"/>
    <n v="1"/>
    <n v="1"/>
    <n v="2"/>
    <n v="2"/>
    <n v="8"/>
    <n v="8"/>
  </r>
  <r>
    <x v="4"/>
    <x v="106"/>
    <s v="-"/>
    <s v="3RD"/>
    <d v="1899-12-30T22:00:00"/>
    <n v="1"/>
    <x v="21"/>
    <n v="1.5800000000000002E-2"/>
    <s v="P"/>
    <s v="P"/>
    <s v="P"/>
    <s v="-"/>
    <s v="+"/>
    <n v="9.85"/>
    <n v="8.7100000000000009"/>
    <n v="0.51"/>
    <s v="-"/>
    <s v="-"/>
    <s v="-"/>
    <n v="23.5"/>
    <s v="-"/>
    <n v="25.16"/>
    <s v="P"/>
    <s v="P"/>
    <n v="1"/>
    <n v="2"/>
    <n v="1"/>
    <n v="2"/>
    <n v="0"/>
    <s v="-"/>
    <n v="2"/>
    <s v="-"/>
    <s v="-"/>
    <s v="-"/>
    <n v="2"/>
    <s v="-"/>
    <n v="9"/>
    <n v="10"/>
    <n v="1"/>
    <n v="1"/>
    <n v="1"/>
    <n v="3"/>
    <n v="3"/>
    <n v="12"/>
    <n v="13"/>
  </r>
  <r>
    <x v="4"/>
    <x v="106"/>
    <d v="2026-05-16T00:00:00"/>
    <s v="3RD"/>
    <d v="1899-12-30T23:00:00"/>
    <n v="1"/>
    <x v="21"/>
    <n v="1.4500000000000001E-2"/>
    <s v="P"/>
    <s v="P"/>
    <s v="P"/>
    <s v="-"/>
    <s v="+"/>
    <n v="10.91"/>
    <s v="-"/>
    <s v="-"/>
    <s v="-"/>
    <s v="-"/>
    <s v="-"/>
    <s v="-"/>
    <s v="-"/>
    <s v="-"/>
    <s v="P"/>
    <s v="P"/>
    <s v="-"/>
    <n v="2"/>
    <n v="1"/>
    <n v="2"/>
    <n v="0"/>
    <s v="-"/>
    <s v="-"/>
    <s v="-"/>
    <s v="-"/>
    <s v="-"/>
    <s v="-"/>
    <s v="-"/>
    <n v="5"/>
    <n v="6"/>
    <s v="-"/>
    <n v="1"/>
    <n v="1"/>
    <n v="2"/>
    <n v="2"/>
    <n v="7"/>
    <n v="8"/>
  </r>
  <r>
    <x v="4"/>
    <x v="106"/>
    <d v="2026-05-16T00:00:00"/>
    <s v="3RD"/>
    <d v="1899-12-31T01:00:00"/>
    <n v="1"/>
    <x v="21"/>
    <n v="1.29E-2"/>
    <s v="-"/>
    <s v="-"/>
    <s v="-"/>
    <s v="-"/>
    <s v="-"/>
    <s v="-"/>
    <s v="-"/>
    <s v="-"/>
    <s v="-"/>
    <s v="-"/>
    <s v="-"/>
    <s v="-"/>
    <s v="-"/>
    <s v="-"/>
    <s v="-"/>
    <s v="-"/>
    <s v="-"/>
    <n v="2"/>
    <s v="-"/>
    <s v="-"/>
    <s v="-"/>
    <s v="-"/>
    <s v="-"/>
    <s v="-"/>
    <s v="-"/>
    <s v="-"/>
    <s v="-"/>
    <s v="-"/>
    <n v="2"/>
    <n v="2"/>
    <s v="-"/>
    <s v="-"/>
    <s v="-"/>
    <n v="0"/>
    <n v="0"/>
    <n v="2"/>
    <n v="2"/>
  </r>
  <r>
    <x v="4"/>
    <x v="106"/>
    <d v="2026-05-12T00:00:00"/>
    <s v="3RD"/>
    <d v="1899-12-30T22:00:00"/>
    <n v="3"/>
    <x v="1"/>
    <n v="1.84E-2"/>
    <s v="P"/>
    <s v="P"/>
    <s v="P"/>
    <s v="+"/>
    <s v="+"/>
    <n v="11.62"/>
    <n v="12.39"/>
    <s v="-"/>
    <s v="-"/>
    <s v="-"/>
    <s v="-"/>
    <n v="34.700000000000003"/>
    <s v="-"/>
    <n v="25.19"/>
    <s v="P"/>
    <s v="P"/>
    <s v="85% 5% 10%"/>
    <n v="2"/>
    <n v="1"/>
    <n v="2"/>
    <n v="0"/>
    <n v="1"/>
    <s v="-"/>
    <s v="-"/>
    <s v="-"/>
    <s v="-"/>
    <n v="2"/>
    <s v="-"/>
    <n v="8"/>
    <n v="9"/>
    <n v="1"/>
    <n v="1"/>
    <n v="1"/>
    <n v="3"/>
    <n v="3"/>
    <n v="11"/>
    <n v="12"/>
  </r>
  <r>
    <x v="4"/>
    <x v="106"/>
    <d v="2026-05-15T00:00:00"/>
    <s v="3RD"/>
    <d v="1899-12-31T03:00:00"/>
    <n v="3"/>
    <x v="1"/>
    <n v="1.2699999999999999E-2"/>
    <s v="P"/>
    <s v="P"/>
    <s v="P"/>
    <s v="+"/>
    <s v="+"/>
    <n v="11.89"/>
    <n v="13.5"/>
    <s v="-"/>
    <n v="64.599999999999994"/>
    <s v="-"/>
    <s v="-"/>
    <n v="36.5"/>
    <s v="-"/>
    <n v="25.19"/>
    <s v="P"/>
    <s v="P"/>
    <s v="85% 5% 10%"/>
    <n v="2"/>
    <n v="1"/>
    <n v="2"/>
    <n v="0"/>
    <n v="1"/>
    <s v="-"/>
    <n v="2"/>
    <s v="-"/>
    <s v="-"/>
    <n v="2"/>
    <s v="-"/>
    <n v="10"/>
    <n v="11"/>
    <n v="1"/>
    <n v="1"/>
    <n v="1"/>
    <n v="3"/>
    <n v="3"/>
    <n v="13"/>
    <n v="14"/>
  </r>
  <r>
    <x v="4"/>
    <x v="106"/>
    <d v="2026-05-15T00:00:00"/>
    <s v="3RD"/>
    <d v="1899-12-31T04:00:00"/>
    <n v="3"/>
    <x v="1"/>
    <n v="1.3599999999999999E-2"/>
    <s v="P"/>
    <s v="P"/>
    <s v="P"/>
    <s v="+"/>
    <s v="+"/>
    <n v="11.76"/>
    <s v="-"/>
    <s v="-"/>
    <s v="-"/>
    <s v="-"/>
    <s v="-"/>
    <s v="-"/>
    <s v="-"/>
    <s v="-"/>
    <s v="-"/>
    <s v="-"/>
    <s v="-"/>
    <n v="2"/>
    <n v="1"/>
    <n v="2"/>
    <n v="0"/>
    <s v="-"/>
    <s v="-"/>
    <s v="-"/>
    <s v="-"/>
    <s v="-"/>
    <s v="-"/>
    <s v="-"/>
    <n v="5"/>
    <n v="6"/>
    <s v="-"/>
    <s v="-"/>
    <s v="-"/>
    <n v="0"/>
    <n v="0"/>
    <n v="5"/>
    <n v="6"/>
  </r>
  <r>
    <x v="4"/>
    <x v="107"/>
    <s v="-"/>
    <s v="1ST"/>
    <s v="06:00"/>
    <n v="1"/>
    <x v="4"/>
    <n v="7.0000000000000001E-3"/>
    <s v="P"/>
    <s v="P"/>
    <s v="P"/>
    <s v="-"/>
    <s v="+"/>
    <n v="11.01"/>
    <n v="8.81"/>
    <n v="0.53"/>
    <n v="55.7"/>
    <s v="-"/>
    <s v="-"/>
    <n v="23.8"/>
    <s v="-"/>
    <s v="-"/>
    <s v="P"/>
    <s v="P"/>
    <n v="1"/>
    <n v="2"/>
    <n v="1"/>
    <n v="2"/>
    <n v="1"/>
    <n v="1"/>
    <n v="2"/>
    <n v="2"/>
    <s v="-"/>
    <s v="-"/>
    <n v="2"/>
    <s v="-"/>
    <n v="13"/>
    <n v="13"/>
    <s v="-"/>
    <n v="1"/>
    <n v="1"/>
    <n v="2"/>
    <n v="2"/>
    <n v="15"/>
    <n v="15"/>
  </r>
  <r>
    <x v="4"/>
    <x v="107"/>
    <d v="2026-05-18T00:00:00"/>
    <s v="1ST"/>
    <s v="08:00"/>
    <n v="1"/>
    <x v="5"/>
    <n v="1.4500000000000001E-2"/>
    <s v="-"/>
    <s v="-"/>
    <s v="-"/>
    <s v="-"/>
    <s v="-"/>
    <s v="-"/>
    <s v="-"/>
    <s v="-"/>
    <s v="-"/>
    <s v="-"/>
    <s v="-"/>
    <s v="-"/>
    <s v="-"/>
    <s v="-"/>
    <s v="-"/>
    <s v="-"/>
    <n v="1"/>
    <n v="2"/>
    <s v="-"/>
    <s v="-"/>
    <s v="-"/>
    <s v="-"/>
    <s v="-"/>
    <s v="-"/>
    <s v="-"/>
    <s v="-"/>
    <s v="-"/>
    <s v="-"/>
    <n v="2"/>
    <n v="2"/>
    <s v="-"/>
    <s v="-"/>
    <s v="-"/>
    <n v="0"/>
    <n v="0"/>
    <n v="2"/>
    <n v="2"/>
  </r>
  <r>
    <x v="4"/>
    <x v="107"/>
    <d v="1902-03-26T00:00:00"/>
    <s v="1ST"/>
    <s v="08:00"/>
    <n v="2"/>
    <x v="20"/>
    <n v="9.7999999999999997E-3"/>
    <s v="P"/>
    <s v="P"/>
    <s v="P"/>
    <s v="-"/>
    <s v="-"/>
    <n v="11.99"/>
    <n v="12.7"/>
    <n v="0.61"/>
    <n v="65.5"/>
    <n v="21"/>
    <s v="-"/>
    <n v="35.700000000000003"/>
    <s v="-"/>
    <s v="-"/>
    <s v="P"/>
    <s v="P"/>
    <s v="-"/>
    <n v="2"/>
    <n v="1"/>
    <n v="2"/>
    <n v="1"/>
    <n v="1"/>
    <n v="2"/>
    <n v="2"/>
    <s v="-"/>
    <s v="-"/>
    <n v="2"/>
    <s v="-"/>
    <n v="13"/>
    <n v="13"/>
    <s v="-"/>
    <n v="1"/>
    <n v="1"/>
    <n v="2"/>
    <n v="2"/>
    <n v="15"/>
    <n v="15"/>
  </r>
  <r>
    <x v="4"/>
    <x v="107"/>
    <s v="-"/>
    <s v="2ND"/>
    <d v="1899-12-30T14:00:00"/>
    <n v="1"/>
    <x v="5"/>
    <n v="5.7000000000000002E-3"/>
    <s v="P"/>
    <s v="P"/>
    <s v="P"/>
    <s v="-"/>
    <s v="+"/>
    <n v="11.5"/>
    <n v="8.49"/>
    <n v="0.51"/>
    <n v="55.7"/>
    <s v="-"/>
    <s v="-"/>
    <n v="22.8"/>
    <s v="-"/>
    <s v="-"/>
    <s v="P"/>
    <s v="P"/>
    <n v="1"/>
    <n v="2"/>
    <n v="1"/>
    <n v="2"/>
    <n v="1"/>
    <n v="0"/>
    <n v="2"/>
    <n v="2"/>
    <s v="-"/>
    <s v="-"/>
    <n v="2"/>
    <s v="-"/>
    <n v="12"/>
    <n v="13"/>
    <s v="-"/>
    <n v="1"/>
    <n v="1"/>
    <n v="2"/>
    <n v="2"/>
    <n v="14"/>
    <n v="15"/>
  </r>
  <r>
    <x v="4"/>
    <x v="107"/>
    <d v="2026-05-18T00:00:00"/>
    <s v="2ND"/>
    <d v="1899-12-30T15:00:00"/>
    <n v="1"/>
    <x v="5"/>
    <n v="6.1000000000000004E-3"/>
    <s v="P"/>
    <s v="P"/>
    <s v="P"/>
    <s v="-"/>
    <s v="+"/>
    <n v="11.03"/>
    <s v="-"/>
    <s v="-"/>
    <s v="-"/>
    <s v="-"/>
    <s v="-"/>
    <s v="-"/>
    <s v="-"/>
    <s v="-"/>
    <s v="P"/>
    <s v="P"/>
    <s v="-"/>
    <n v="2"/>
    <n v="1"/>
    <n v="2"/>
    <n v="1"/>
    <s v="-"/>
    <s v="-"/>
    <s v="-"/>
    <s v="-"/>
    <s v="-"/>
    <s v="-"/>
    <s v="-"/>
    <n v="6"/>
    <n v="6"/>
    <s v="-"/>
    <n v="1"/>
    <n v="1"/>
    <n v="2"/>
    <n v="2"/>
    <n v="8"/>
    <n v="8"/>
  </r>
  <r>
    <x v="4"/>
    <x v="107"/>
    <d v="2026-05-18T00:00:00"/>
    <s v="2ND"/>
    <d v="1899-12-30T16:00:00"/>
    <n v="1"/>
    <x v="5"/>
    <n v="6.4999999999999997E-3"/>
    <s v="P"/>
    <s v="P"/>
    <s v="P"/>
    <s v="-"/>
    <s v="+"/>
    <n v="11.18"/>
    <s v="-"/>
    <s v="-"/>
    <s v="-"/>
    <s v="-"/>
    <s v="-"/>
    <s v="-"/>
    <s v="-"/>
    <s v="-"/>
    <s v="P"/>
    <s v="P"/>
    <s v="-"/>
    <n v="2"/>
    <n v="1"/>
    <n v="2"/>
    <n v="1"/>
    <s v="-"/>
    <s v="-"/>
    <s v="-"/>
    <s v="-"/>
    <s v="-"/>
    <s v="-"/>
    <s v="-"/>
    <n v="6"/>
    <n v="6"/>
    <s v="-"/>
    <n v="1"/>
    <n v="1"/>
    <n v="2"/>
    <n v="2"/>
    <n v="8"/>
    <n v="8"/>
  </r>
  <r>
    <x v="4"/>
    <x v="107"/>
    <d v="2026-05-18T00:00:00"/>
    <s v="2ND"/>
    <d v="1899-12-30T17:00:00"/>
    <n v="1"/>
    <x v="5"/>
    <n v="5.7999999999999996E-3"/>
    <s v="P"/>
    <s v="P"/>
    <s v="P"/>
    <s v="-"/>
    <s v="+"/>
    <n v="11.31"/>
    <s v="-"/>
    <s v="-"/>
    <s v="-"/>
    <s v="-"/>
    <s v="-"/>
    <s v="-"/>
    <s v="-"/>
    <s v="-"/>
    <s v="P"/>
    <s v="P"/>
    <s v="-"/>
    <n v="2"/>
    <n v="1"/>
    <n v="2"/>
    <n v="1"/>
    <s v="-"/>
    <s v="-"/>
    <s v="-"/>
    <s v="-"/>
    <s v="-"/>
    <s v="-"/>
    <s v="-"/>
    <n v="6"/>
    <n v="6"/>
    <s v="-"/>
    <n v="1"/>
    <n v="1"/>
    <n v="2"/>
    <n v="2"/>
    <n v="8"/>
    <n v="8"/>
  </r>
  <r>
    <x v="4"/>
    <x v="107"/>
    <d v="1902-03-25T00:00:00"/>
    <s v="2ND"/>
    <d v="1899-12-30T15:00:00"/>
    <n v="2"/>
    <x v="20"/>
    <n v="8.6999999999999994E-3"/>
    <s v="P"/>
    <s v="P"/>
    <s v="P"/>
    <s v="-"/>
    <s v="-"/>
    <n v="11.27"/>
    <n v="12.11"/>
    <n v="0.61"/>
    <s v="-"/>
    <s v="-"/>
    <s v="-"/>
    <n v="33.700000000000003"/>
    <s v="-"/>
    <s v="-"/>
    <s v="P"/>
    <s v="P"/>
    <s v="-"/>
    <n v="2"/>
    <n v="1"/>
    <n v="2"/>
    <n v="1"/>
    <n v="1"/>
    <n v="2"/>
    <s v="-"/>
    <s v="-"/>
    <s v="-"/>
    <n v="2"/>
    <s v="-"/>
    <n v="11"/>
    <n v="11"/>
    <s v="-"/>
    <n v="1"/>
    <n v="1"/>
    <n v="2"/>
    <n v="2"/>
    <n v="13"/>
    <n v="13"/>
  </r>
  <r>
    <x v="4"/>
    <x v="107"/>
    <d v="1899-12-30T00:00:00"/>
    <s v="2ND"/>
    <d v="1899-12-30T16:00:00"/>
    <n v="2"/>
    <x v="20"/>
    <s v="-"/>
    <s v="P"/>
    <s v="P"/>
    <s v="P"/>
    <s v="-"/>
    <s v="-"/>
    <s v="-"/>
    <s v="-"/>
    <s v="-"/>
    <s v="-"/>
    <s v="-"/>
    <s v="-"/>
    <s v="-"/>
    <s v="-"/>
    <s v="-"/>
    <s v="P"/>
    <s v="P"/>
    <s v="-"/>
    <s v="-"/>
    <n v="1"/>
    <n v="2"/>
    <s v="-"/>
    <s v="-"/>
    <s v="-"/>
    <s v="-"/>
    <s v="-"/>
    <s v="-"/>
    <s v="-"/>
    <s v="-"/>
    <n v="3"/>
    <n v="3"/>
    <s v="-"/>
    <n v="1"/>
    <n v="1"/>
    <n v="2"/>
    <n v="2"/>
    <n v="5"/>
    <n v="5"/>
  </r>
  <r>
    <x v="4"/>
    <x v="107"/>
    <d v="1899-12-30T00:00:00"/>
    <s v="2ND"/>
    <d v="1899-12-30T17:00:00"/>
    <n v="2"/>
    <x v="20"/>
    <n v="1.09E-2"/>
    <s v="P"/>
    <s v="P"/>
    <s v="P"/>
    <s v="-"/>
    <s v="-"/>
    <n v="12.12"/>
    <s v="-"/>
    <s v="-"/>
    <s v="-"/>
    <s v="-"/>
    <s v="-"/>
    <s v="-"/>
    <s v="-"/>
    <s v="-"/>
    <s v="P"/>
    <s v="P"/>
    <s v="-"/>
    <n v="2"/>
    <n v="1"/>
    <n v="2"/>
    <n v="1"/>
    <s v="-"/>
    <s v="-"/>
    <s v="-"/>
    <s v="-"/>
    <s v="-"/>
    <s v="-"/>
    <s v="-"/>
    <n v="6"/>
    <n v="6"/>
    <s v="-"/>
    <n v="1"/>
    <n v="1"/>
    <n v="2"/>
    <n v="2"/>
    <n v="8"/>
    <n v="8"/>
  </r>
  <r>
    <x v="4"/>
    <x v="107"/>
    <d v="1899-12-30T00:00:00"/>
    <s v="2ND"/>
    <d v="1899-12-30T18:00:00"/>
    <n v="2"/>
    <x v="20"/>
    <n v="9.1000000000000004E-3"/>
    <s v="P"/>
    <s v="P"/>
    <s v="P"/>
    <s v="-"/>
    <s v="-"/>
    <n v="12.31"/>
    <s v="-"/>
    <s v="-"/>
    <s v="-"/>
    <s v="-"/>
    <s v="-"/>
    <s v="-"/>
    <s v="-"/>
    <s v="-"/>
    <s v="P"/>
    <s v="P"/>
    <s v="-"/>
    <n v="2"/>
    <n v="1"/>
    <n v="2"/>
    <n v="1"/>
    <s v="-"/>
    <s v="-"/>
    <s v="-"/>
    <s v="-"/>
    <s v="-"/>
    <s v="-"/>
    <s v="-"/>
    <n v="6"/>
    <n v="6"/>
    <s v="-"/>
    <n v="1"/>
    <n v="1"/>
    <n v="2"/>
    <n v="2"/>
    <n v="8"/>
    <n v="8"/>
  </r>
  <r>
    <x v="4"/>
    <x v="107"/>
    <d v="1899-12-30T00:00:00"/>
    <s v="2ND"/>
    <d v="1899-12-30T19:00:00"/>
    <n v="2"/>
    <x v="20"/>
    <n v="8.8000000000000005E-3"/>
    <s v="P"/>
    <s v="P"/>
    <s v="P"/>
    <s v="-"/>
    <s v="-"/>
    <n v="12.02"/>
    <s v="-"/>
    <s v="-"/>
    <s v="-"/>
    <s v="-"/>
    <s v="-"/>
    <s v="-"/>
    <s v="-"/>
    <s v="-"/>
    <s v="P"/>
    <s v="P"/>
    <s v="-"/>
    <n v="2"/>
    <n v="1"/>
    <n v="2"/>
    <n v="1"/>
    <s v="-"/>
    <s v="-"/>
    <s v="-"/>
    <s v="-"/>
    <s v="-"/>
    <s v="-"/>
    <s v="-"/>
    <n v="6"/>
    <n v="6"/>
    <s v="-"/>
    <n v="1"/>
    <n v="1"/>
    <n v="2"/>
    <n v="2"/>
    <n v="8"/>
    <n v="8"/>
  </r>
  <r>
    <x v="4"/>
    <x v="107"/>
    <d v="1899-12-30T00:00:00"/>
    <s v="2ND"/>
    <d v="1899-12-30T20:00:00"/>
    <n v="2"/>
    <x v="20"/>
    <n v="1.77E-2"/>
    <s v="P"/>
    <s v="P"/>
    <s v="P"/>
    <s v="-"/>
    <s v="-"/>
    <n v="12.32"/>
    <s v="-"/>
    <s v="-"/>
    <s v="-"/>
    <s v="-"/>
    <s v="-"/>
    <s v="-"/>
    <s v="-"/>
    <s v="-"/>
    <s v="P"/>
    <s v="P"/>
    <s v="-"/>
    <n v="2"/>
    <n v="1"/>
    <n v="2"/>
    <n v="1"/>
    <s v="-"/>
    <s v="-"/>
    <s v="-"/>
    <s v="-"/>
    <s v="-"/>
    <s v="-"/>
    <s v="-"/>
    <n v="6"/>
    <n v="6"/>
    <s v="-"/>
    <n v="1"/>
    <n v="1"/>
    <n v="2"/>
    <n v="2"/>
    <n v="8"/>
    <n v="8"/>
  </r>
  <r>
    <x v="4"/>
    <x v="107"/>
    <d v="2026-05-15T00:00:00"/>
    <s v="2ND"/>
    <d v="1899-12-30T16:00:00"/>
    <n v="3"/>
    <x v="6"/>
    <n v="2.3E-2"/>
    <s v="F"/>
    <s v="P"/>
    <s v="P"/>
    <s v="+"/>
    <s v="+"/>
    <n v="11.75"/>
    <n v="12"/>
    <n v="0.53"/>
    <n v="64.599999999999994"/>
    <n v="13.3"/>
    <s v="-"/>
    <n v="33.5"/>
    <s v="-"/>
    <s v="-"/>
    <s v="P"/>
    <s v="P"/>
    <s v="70% 10% 20%"/>
    <n v="0"/>
    <n v="0"/>
    <n v="2"/>
    <n v="0"/>
    <n v="1"/>
    <n v="2"/>
    <n v="2"/>
    <n v="1"/>
    <s v="-"/>
    <n v="2"/>
    <s v="-"/>
    <n v="10"/>
    <n v="14"/>
    <s v="-"/>
    <n v="1"/>
    <n v="1"/>
    <n v="2"/>
    <n v="2"/>
    <n v="12"/>
    <n v="16"/>
  </r>
  <r>
    <x v="4"/>
    <x v="107"/>
    <d v="2026-05-15T00:00:00"/>
    <s v="2ND"/>
    <d v="1899-12-30T17:00:00"/>
    <n v="3"/>
    <x v="6"/>
    <s v="-"/>
    <s v="F"/>
    <s v="P"/>
    <s v="P"/>
    <s v="+"/>
    <s v="+"/>
    <s v="-"/>
    <s v="-"/>
    <s v="-"/>
    <s v="-"/>
    <s v="-"/>
    <s v="-"/>
    <s v="-"/>
    <s v="-"/>
    <s v="-"/>
    <s v="P"/>
    <s v="P"/>
    <s v="-"/>
    <s v="-"/>
    <n v="0"/>
    <n v="2"/>
    <s v="-"/>
    <s v="-"/>
    <s v="-"/>
    <s v="-"/>
    <s v="-"/>
    <s v="-"/>
    <s v="-"/>
    <s v="-"/>
    <n v="2"/>
    <n v="3"/>
    <s v="-"/>
    <n v="1"/>
    <n v="1"/>
    <n v="2"/>
    <n v="2"/>
    <n v="4"/>
    <n v="5"/>
  </r>
  <r>
    <x v="4"/>
    <x v="107"/>
    <d v="2026-05-15T00:00:00"/>
    <s v="2ND"/>
    <d v="1899-12-30T18:00:00"/>
    <n v="3"/>
    <x v="6"/>
    <n v="7.7499999999999999E-2"/>
    <s v="F"/>
    <s v="P"/>
    <s v="P"/>
    <s v="+"/>
    <s v="+"/>
    <s v="-"/>
    <s v="-"/>
    <s v="-"/>
    <s v="-"/>
    <s v="-"/>
    <s v="-"/>
    <s v="-"/>
    <s v="-"/>
    <s v="-"/>
    <s v="P"/>
    <s v="P"/>
    <s v="-"/>
    <n v="0"/>
    <n v="0"/>
    <n v="2"/>
    <s v="-"/>
    <s v="-"/>
    <s v="-"/>
    <s v="-"/>
    <s v="-"/>
    <s v="-"/>
    <s v="-"/>
    <s v="-"/>
    <n v="2"/>
    <n v="5"/>
    <s v="-"/>
    <n v="1"/>
    <n v="1"/>
    <n v="2"/>
    <n v="2"/>
    <n v="4"/>
    <n v="7"/>
  </r>
  <r>
    <x v="4"/>
    <x v="107"/>
    <d v="2026-05-15T00:00:00"/>
    <s v="2ND"/>
    <d v="1899-12-30T19:00:00"/>
    <n v="3"/>
    <x v="6"/>
    <n v="6.3299999999999995E-2"/>
    <s v="F"/>
    <s v="P"/>
    <s v="P"/>
    <s v="+"/>
    <s v="+"/>
    <s v="-"/>
    <s v="-"/>
    <s v="-"/>
    <s v="-"/>
    <s v="-"/>
    <s v="-"/>
    <s v="-"/>
    <s v="-"/>
    <s v="-"/>
    <s v="P"/>
    <s v="P"/>
    <s v="-"/>
    <n v="0"/>
    <n v="0"/>
    <n v="2"/>
    <s v="-"/>
    <s v="-"/>
    <s v="-"/>
    <s v="-"/>
    <s v="-"/>
    <s v="-"/>
    <s v="-"/>
    <s v="-"/>
    <n v="2"/>
    <n v="5"/>
    <s v="-"/>
    <n v="1"/>
    <n v="1"/>
    <n v="2"/>
    <n v="2"/>
    <n v="4"/>
    <n v="7"/>
  </r>
  <r>
    <x v="4"/>
    <x v="107"/>
    <d v="2026-05-15T00:00:00"/>
    <s v="2ND"/>
    <d v="1899-12-30T21:00:00"/>
    <n v="3"/>
    <x v="6"/>
    <n v="1.6199999999999999E-2"/>
    <s v="P"/>
    <s v="P"/>
    <s v="P"/>
    <s v="+"/>
    <s v="+"/>
    <n v="12.09"/>
    <s v="-"/>
    <s v="-"/>
    <s v="-"/>
    <s v="-"/>
    <s v="-"/>
    <s v="-"/>
    <s v="-"/>
    <s v="-"/>
    <s v="P"/>
    <s v="P"/>
    <s v="-"/>
    <n v="2"/>
    <n v="1"/>
    <n v="2"/>
    <n v="1"/>
    <s v="-"/>
    <s v="-"/>
    <s v="-"/>
    <s v="-"/>
    <s v="-"/>
    <s v="-"/>
    <s v="-"/>
    <n v="6"/>
    <n v="6"/>
    <s v="-"/>
    <n v="1"/>
    <n v="1"/>
    <n v="2"/>
    <n v="2"/>
    <n v="8"/>
    <n v="8"/>
  </r>
  <r>
    <x v="4"/>
    <x v="107"/>
    <s v="-"/>
    <s v="3RD"/>
    <d v="1899-12-30T22:00:00"/>
    <n v="1"/>
    <x v="4"/>
    <n v="7.3000000000000001E-3"/>
    <s v="P"/>
    <s v="P"/>
    <s v="P"/>
    <s v="-"/>
    <s v="+"/>
    <n v="10.89"/>
    <n v="9.2799999999999994"/>
    <s v="-"/>
    <s v="-"/>
    <s v="-"/>
    <s v="-"/>
    <n v="25.3"/>
    <s v="-"/>
    <n v="25.19"/>
    <s v="P"/>
    <s v="P"/>
    <s v="-"/>
    <n v="2"/>
    <n v="1"/>
    <n v="2"/>
    <n v="0"/>
    <n v="1"/>
    <s v="-"/>
    <s v="-"/>
    <s v="-"/>
    <s v="-"/>
    <n v="2"/>
    <s v="-"/>
    <n v="8"/>
    <n v="9"/>
    <n v="1"/>
    <n v="1"/>
    <n v="1"/>
    <n v="3"/>
    <n v="3"/>
    <n v="11"/>
    <n v="12"/>
  </r>
  <r>
    <x v="4"/>
    <x v="107"/>
    <d v="2026-05-18T00:00:00"/>
    <s v="3RD"/>
    <d v="1899-12-30T23:00:00"/>
    <n v="1"/>
    <x v="4"/>
    <n v="7.9000000000000008E-3"/>
    <s v="P"/>
    <s v="P"/>
    <s v="P"/>
    <s v="-"/>
    <s v="+"/>
    <n v="10.69"/>
    <s v="-"/>
    <s v="-"/>
    <s v="-"/>
    <s v="-"/>
    <s v="-"/>
    <s v="-"/>
    <s v="-"/>
    <s v="-"/>
    <s v="P"/>
    <s v="P"/>
    <s v="-"/>
    <n v="2"/>
    <n v="1"/>
    <n v="2"/>
    <n v="0"/>
    <s v="-"/>
    <s v="-"/>
    <s v="-"/>
    <s v="-"/>
    <s v="-"/>
    <s v="-"/>
    <s v="-"/>
    <n v="5"/>
    <n v="6"/>
    <s v="-"/>
    <n v="1"/>
    <n v="1"/>
    <n v="2"/>
    <n v="2"/>
    <n v="7"/>
    <n v="8"/>
  </r>
  <r>
    <x v="4"/>
    <x v="107"/>
    <d v="2026-05-13T00:00:00"/>
    <s v="3RD"/>
    <d v="1899-12-31T00:00:00"/>
    <n v="1"/>
    <x v="35"/>
    <n v="6.8999999999999999E-3"/>
    <s v="P"/>
    <s v="P"/>
    <s v="P"/>
    <s v="-"/>
    <s v="+"/>
    <n v="10.94"/>
    <s v="-"/>
    <s v="-"/>
    <s v="-"/>
    <s v="-"/>
    <s v="-"/>
    <s v="-"/>
    <s v="-"/>
    <s v="-"/>
    <s v="P"/>
    <s v="P"/>
    <s v="-"/>
    <n v="2"/>
    <n v="1"/>
    <n v="2"/>
    <n v="0"/>
    <s v="-"/>
    <s v="-"/>
    <s v="-"/>
    <s v="-"/>
    <s v="-"/>
    <s v="-"/>
    <s v="-"/>
    <n v="5"/>
    <n v="6"/>
    <s v="-"/>
    <n v="1"/>
    <n v="1"/>
    <n v="2"/>
    <n v="2"/>
    <n v="7"/>
    <n v="8"/>
  </r>
  <r>
    <x v="4"/>
    <x v="107"/>
    <d v="2026-05-13T00:00:00"/>
    <s v="3RD"/>
    <d v="1899-12-31T01:00:00"/>
    <n v="1"/>
    <x v="35"/>
    <n v="1.3599999999999999E-2"/>
    <s v="P"/>
    <s v="P"/>
    <s v="P"/>
    <s v="-"/>
    <s v="+"/>
    <n v="11.05"/>
    <n v="13.3"/>
    <n v="0.49"/>
    <n v="64.599999999999994"/>
    <n v="19.8"/>
    <s v="-"/>
    <n v="37.6"/>
    <s v="-"/>
    <n v="25.19"/>
    <s v="P"/>
    <s v="P"/>
    <s v="-"/>
    <n v="2"/>
    <n v="1"/>
    <n v="2"/>
    <n v="0"/>
    <n v="0"/>
    <n v="2"/>
    <n v="2"/>
    <n v="0"/>
    <s v="-"/>
    <n v="2"/>
    <s v="-"/>
    <n v="11"/>
    <n v="14"/>
    <n v="1"/>
    <n v="1"/>
    <n v="1"/>
    <n v="3"/>
    <n v="3"/>
    <n v="14"/>
    <n v="17"/>
  </r>
  <r>
    <x v="4"/>
    <x v="107"/>
    <d v="1899-12-30T00:00:00"/>
    <s v="3RD"/>
    <d v="1899-12-30T22:00:00"/>
    <n v="2"/>
    <x v="20"/>
    <n v="1.3599999999999999E-2"/>
    <s v="P"/>
    <s v="P"/>
    <s v="P"/>
    <s v="-"/>
    <s v="-"/>
    <n v="12.36"/>
    <s v="-"/>
    <s v="-"/>
    <s v="-"/>
    <s v="-"/>
    <s v="-"/>
    <s v="-"/>
    <s v="-"/>
    <s v="-"/>
    <s v="P"/>
    <s v="P"/>
    <s v="-"/>
    <n v="2"/>
    <n v="1"/>
    <n v="2"/>
    <n v="1"/>
    <s v="-"/>
    <s v="-"/>
    <s v="-"/>
    <s v="-"/>
    <s v="-"/>
    <s v="-"/>
    <s v="-"/>
    <n v="6"/>
    <n v="6"/>
    <s v="-"/>
    <n v="1"/>
    <n v="1"/>
    <n v="2"/>
    <n v="2"/>
    <n v="8"/>
    <n v="8"/>
  </r>
  <r>
    <x v="4"/>
    <x v="107"/>
    <d v="1899-12-30T00:00:00"/>
    <s v="3RD"/>
    <d v="1899-12-30T23:00:00"/>
    <n v="2"/>
    <x v="20"/>
    <n v="1.7600000000000001E-2"/>
    <s v="P"/>
    <s v="P"/>
    <s v="P"/>
    <s v="-"/>
    <s v="-"/>
    <n v="12.24"/>
    <s v="-"/>
    <s v="-"/>
    <s v="-"/>
    <s v="-"/>
    <s v="-"/>
    <s v="-"/>
    <s v="-"/>
    <s v="-"/>
    <s v="P"/>
    <s v="P"/>
    <s v="-"/>
    <n v="2"/>
    <n v="1"/>
    <n v="2"/>
    <n v="1"/>
    <s v="-"/>
    <s v="-"/>
    <s v="-"/>
    <s v="-"/>
    <s v="-"/>
    <s v="-"/>
    <s v="-"/>
    <n v="6"/>
    <n v="6"/>
    <s v="-"/>
    <n v="1"/>
    <n v="1"/>
    <n v="2"/>
    <n v="2"/>
    <n v="8"/>
    <n v="8"/>
  </r>
  <r>
    <x v="4"/>
    <x v="107"/>
    <d v="1899-12-30T00:00:00"/>
    <s v="3RD"/>
    <d v="1899-12-31T00:00:00"/>
    <n v="2"/>
    <x v="20"/>
    <n v="2.0299999999999999E-2"/>
    <s v="P"/>
    <s v="P"/>
    <s v="P"/>
    <s v="-"/>
    <s v="-"/>
    <n v="12.32"/>
    <s v="-"/>
    <s v="-"/>
    <s v="-"/>
    <s v="-"/>
    <s v="-"/>
    <s v="-"/>
    <s v="-"/>
    <s v="-"/>
    <s v="P"/>
    <s v="P"/>
    <s v="-"/>
    <n v="0"/>
    <n v="1"/>
    <n v="2"/>
    <n v="1"/>
    <s v="-"/>
    <s v="-"/>
    <s v="-"/>
    <s v="-"/>
    <s v="-"/>
    <s v="-"/>
    <s v="-"/>
    <n v="4"/>
    <n v="6"/>
    <s v="-"/>
    <n v="1"/>
    <n v="1"/>
    <n v="2"/>
    <n v="2"/>
    <n v="6"/>
    <n v="8"/>
  </r>
  <r>
    <x v="4"/>
    <x v="107"/>
    <d v="1899-12-30T00:00:00"/>
    <s v="3RD"/>
    <d v="1899-12-31T02:00:00"/>
    <n v="2"/>
    <x v="20"/>
    <n v="1.8700000000000001E-2"/>
    <s v="P"/>
    <s v="P"/>
    <s v="P"/>
    <s v="-"/>
    <s v="-"/>
    <n v="12.32"/>
    <s v="-"/>
    <s v="-"/>
    <s v="-"/>
    <s v="-"/>
    <s v="-"/>
    <s v="-"/>
    <s v="-"/>
    <s v="-"/>
    <s v="-"/>
    <s v="-"/>
    <s v="-"/>
    <n v="2"/>
    <n v="1"/>
    <n v="2"/>
    <n v="1"/>
    <s v="-"/>
    <s v="-"/>
    <s v="-"/>
    <s v="-"/>
    <s v="-"/>
    <s v="-"/>
    <s v="-"/>
    <n v="6"/>
    <n v="6"/>
    <s v="-"/>
    <s v="-"/>
    <s v="-"/>
    <n v="0"/>
    <n v="0"/>
    <n v="6"/>
    <n v="6"/>
  </r>
  <r>
    <x v="4"/>
    <x v="107"/>
    <d v="2026-05-15T00:00:00"/>
    <s v="3RD"/>
    <d v="1899-12-30T22:00:00"/>
    <n v="3"/>
    <x v="6"/>
    <n v="1.9599999999999999E-2"/>
    <s v="P"/>
    <s v="P"/>
    <s v="P"/>
    <s v="+"/>
    <s v="+"/>
    <s v="-"/>
    <s v="-"/>
    <s v="-"/>
    <s v="-"/>
    <s v="-"/>
    <s v="-"/>
    <s v="-"/>
    <s v="-"/>
    <s v="-"/>
    <s v="P"/>
    <s v="P"/>
    <s v="-"/>
    <n v="2"/>
    <n v="1"/>
    <n v="2"/>
    <s v="-"/>
    <s v="-"/>
    <s v="-"/>
    <s v="-"/>
    <s v="-"/>
    <s v="-"/>
    <s v="-"/>
    <s v="-"/>
    <n v="5"/>
    <n v="5"/>
    <s v="-"/>
    <n v="1"/>
    <n v="1"/>
    <n v="2"/>
    <n v="2"/>
    <n v="7"/>
    <n v="7"/>
  </r>
  <r>
    <x v="4"/>
    <x v="107"/>
    <d v="2026-05-15T00:00:00"/>
    <s v="3RD"/>
    <d v="1899-12-30T23:00:00"/>
    <n v="3"/>
    <x v="6"/>
    <n v="8.4099999999999994E-2"/>
    <s v="F"/>
    <s v="P"/>
    <s v="P"/>
    <s v="+"/>
    <s v="+"/>
    <n v="11.81"/>
    <s v="-"/>
    <s v="-"/>
    <s v="-"/>
    <s v="-"/>
    <s v="-"/>
    <s v="-"/>
    <s v="-"/>
    <s v="-"/>
    <s v="P"/>
    <s v="P"/>
    <s v="-"/>
    <n v="0"/>
    <n v="0"/>
    <n v="2"/>
    <n v="0"/>
    <s v="-"/>
    <s v="-"/>
    <s v="-"/>
    <s v="-"/>
    <s v="-"/>
    <s v="-"/>
    <s v="-"/>
    <n v="2"/>
    <n v="6"/>
    <s v="-"/>
    <n v="1"/>
    <n v="1"/>
    <n v="2"/>
    <n v="2"/>
    <n v="4"/>
    <n v="8"/>
  </r>
  <r>
    <x v="4"/>
    <x v="107"/>
    <d v="2026-05-15T00:00:00"/>
    <s v="3RD"/>
    <d v="1899-12-31T05:00:00"/>
    <n v="3"/>
    <x v="6"/>
    <n v="2.0299999999999999E-2"/>
    <s v="P"/>
    <s v="P"/>
    <s v="P"/>
    <s v="+"/>
    <s v="+"/>
    <n v="12.05"/>
    <s v="-"/>
    <s v="-"/>
    <s v="-"/>
    <s v="-"/>
    <s v="-"/>
    <s v="-"/>
    <s v="-"/>
    <s v="-"/>
    <s v="P"/>
    <s v="P"/>
    <s v="-"/>
    <n v="0"/>
    <n v="1"/>
    <n v="2"/>
    <n v="1"/>
    <s v="-"/>
    <s v="-"/>
    <s v="-"/>
    <s v="-"/>
    <s v="-"/>
    <s v="-"/>
    <s v="-"/>
    <n v="4"/>
    <n v="6"/>
    <s v="-"/>
    <n v="1"/>
    <n v="1"/>
    <n v="2"/>
    <n v="2"/>
    <n v="6"/>
    <n v="8"/>
  </r>
  <r>
    <x v="4"/>
    <x v="108"/>
    <s v="-"/>
    <s v="1ST"/>
    <s v="06:00"/>
    <n v="1"/>
    <x v="35"/>
    <n v="1.5599999999999999E-2"/>
    <s v="P"/>
    <s v="P"/>
    <s v="P"/>
    <s v="-"/>
    <s v="+"/>
    <n v="11.98"/>
    <n v="12.5"/>
    <n v="0.45"/>
    <n v="64.7"/>
    <s v="-"/>
    <s v="-"/>
    <n v="35.1"/>
    <s v="-"/>
    <s v="-"/>
    <s v="P"/>
    <s v="P"/>
    <n v="1"/>
    <n v="2"/>
    <n v="1"/>
    <n v="2"/>
    <n v="0"/>
    <n v="1"/>
    <n v="0"/>
    <n v="2"/>
    <s v="-"/>
    <s v="-"/>
    <n v="2"/>
    <s v="-"/>
    <n v="10"/>
    <n v="13"/>
    <s v="-"/>
    <n v="1"/>
    <n v="1"/>
    <n v="2"/>
    <n v="2"/>
    <n v="12"/>
    <n v="15"/>
  </r>
  <r>
    <x v="4"/>
    <x v="108"/>
    <d v="2026-05-13T00:00:00"/>
    <s v="1ST"/>
    <s v="07:00"/>
    <n v="1"/>
    <x v="35"/>
    <n v="1.83E-2"/>
    <s v="P"/>
    <s v="P"/>
    <s v="P"/>
    <s v="-"/>
    <s v="+"/>
    <n v="12.03"/>
    <s v="-"/>
    <s v="-"/>
    <s v="-"/>
    <s v="-"/>
    <s v="-"/>
    <s v="-"/>
    <s v="-"/>
    <s v="-"/>
    <s v="P"/>
    <s v="P"/>
    <n v="1"/>
    <n v="2"/>
    <n v="1"/>
    <n v="2"/>
    <n v="0"/>
    <s v="-"/>
    <s v="-"/>
    <s v="-"/>
    <s v="-"/>
    <s v="-"/>
    <s v="-"/>
    <s v="-"/>
    <n v="5"/>
    <n v="6"/>
    <s v="-"/>
    <n v="1"/>
    <n v="1"/>
    <n v="2"/>
    <n v="2"/>
    <n v="7"/>
    <n v="8"/>
  </r>
  <r>
    <x v="4"/>
    <x v="108"/>
    <d v="2026-05-15T00:00:00"/>
    <s v="1ST"/>
    <s v="07:00"/>
    <n v="3"/>
    <x v="6"/>
    <n v="1.84E-2"/>
    <s v="P"/>
    <s v="P"/>
    <s v="P"/>
    <s v="+"/>
    <s v="+"/>
    <n v="12.48"/>
    <n v="12"/>
    <n v="0.53"/>
    <n v="64.599999999999994"/>
    <s v="-"/>
    <s v="-"/>
    <n v="33.5"/>
    <s v="-"/>
    <s v="-"/>
    <s v="P"/>
    <s v="P"/>
    <s v="70% 10% 20%"/>
    <n v="2"/>
    <n v="1"/>
    <n v="2"/>
    <n v="1"/>
    <n v="1"/>
    <n v="2"/>
    <n v="2"/>
    <s v="-"/>
    <s v="-"/>
    <n v="2"/>
    <s v="-"/>
    <n v="13"/>
    <n v="13"/>
    <s v="-"/>
    <n v="1"/>
    <n v="1"/>
    <n v="2"/>
    <n v="2"/>
    <n v="15"/>
    <n v="15"/>
  </r>
  <r>
    <x v="4"/>
    <x v="108"/>
    <d v="2026-05-15T00:00:00"/>
    <s v="1ST"/>
    <s v="08:00"/>
    <n v="3"/>
    <x v="6"/>
    <n v="1.78E-2"/>
    <s v="P"/>
    <s v="P"/>
    <s v="P"/>
    <s v="+"/>
    <s v="+"/>
    <n v="12.65"/>
    <n v="12"/>
    <n v="0.53"/>
    <s v="-"/>
    <s v="-"/>
    <s v="-"/>
    <n v="33.5"/>
    <s v="-"/>
    <s v="-"/>
    <s v="P"/>
    <s v="P"/>
    <s v="70% 10% 20%"/>
    <n v="2"/>
    <n v="1"/>
    <n v="2"/>
    <n v="1"/>
    <n v="1"/>
    <n v="2"/>
    <s v="-"/>
    <s v="-"/>
    <s v="-"/>
    <n v="2"/>
    <s v="-"/>
    <n v="11"/>
    <n v="11"/>
    <s v="-"/>
    <n v="1"/>
    <n v="1"/>
    <n v="2"/>
    <n v="2"/>
    <n v="13"/>
    <n v="13"/>
  </r>
  <r>
    <x v="4"/>
    <x v="108"/>
    <d v="2026-05-15T00:00:00"/>
    <s v="1ST"/>
    <s v="11:00"/>
    <n v="3"/>
    <x v="6"/>
    <n v="1.6299999999999999E-2"/>
    <s v="P"/>
    <s v="P"/>
    <s v="P"/>
    <s v="+"/>
    <s v="+"/>
    <n v="12.47"/>
    <s v="-"/>
    <s v="-"/>
    <s v="-"/>
    <s v="-"/>
    <s v="-"/>
    <s v="-"/>
    <s v="-"/>
    <s v="-"/>
    <s v="P"/>
    <s v="P"/>
    <s v="70% 10% 20%"/>
    <n v="2"/>
    <n v="1"/>
    <n v="2"/>
    <n v="1"/>
    <s v="-"/>
    <s v="-"/>
    <s v="-"/>
    <s v="-"/>
    <s v="-"/>
    <s v="-"/>
    <s v="-"/>
    <n v="6"/>
    <n v="6"/>
    <s v="-"/>
    <n v="1"/>
    <n v="1"/>
    <n v="2"/>
    <n v="2"/>
    <n v="8"/>
    <n v="8"/>
  </r>
  <r>
    <x v="4"/>
    <x v="108"/>
    <s v="-"/>
    <s v="2ND"/>
    <d v="1899-12-30T14:00:00"/>
    <n v="1"/>
    <x v="35"/>
    <n v="1.83E-2"/>
    <s v="P"/>
    <s v="P"/>
    <s v="P"/>
    <s v="-"/>
    <s v="+"/>
    <n v="11.71"/>
    <s v="-"/>
    <s v="-"/>
    <s v="-"/>
    <s v="-"/>
    <s v="-"/>
    <s v="-"/>
    <s v="-"/>
    <s v="-"/>
    <s v="P"/>
    <s v="P"/>
    <n v="1"/>
    <n v="2"/>
    <n v="1"/>
    <n v="2"/>
    <n v="0"/>
    <s v="-"/>
    <s v="-"/>
    <s v="-"/>
    <s v="-"/>
    <s v="-"/>
    <s v="-"/>
    <s v="-"/>
    <n v="5"/>
    <n v="6"/>
    <s v="-"/>
    <n v="1"/>
    <n v="1"/>
    <n v="2"/>
    <n v="2"/>
    <n v="7"/>
    <n v="8"/>
  </r>
  <r>
    <x v="4"/>
    <x v="108"/>
    <d v="2026-05-13T00:00:00"/>
    <s v="2ND"/>
    <d v="1899-12-30T15:00:00"/>
    <n v="1"/>
    <x v="35"/>
    <n v="1.9E-2"/>
    <s v="P"/>
    <s v="P"/>
    <s v="P"/>
    <s v="-"/>
    <s v="+"/>
    <n v="11.77"/>
    <s v="-"/>
    <s v="-"/>
    <s v="-"/>
    <s v="-"/>
    <s v="-"/>
    <s v="-"/>
    <s v="-"/>
    <s v="-"/>
    <s v="P"/>
    <s v="P"/>
    <s v="-"/>
    <n v="2"/>
    <n v="1"/>
    <n v="2"/>
    <n v="0"/>
    <s v="-"/>
    <s v="-"/>
    <s v="-"/>
    <s v="-"/>
    <s v="-"/>
    <s v="-"/>
    <s v="-"/>
    <n v="5"/>
    <n v="6"/>
    <s v="-"/>
    <n v="1"/>
    <n v="1"/>
    <n v="2"/>
    <n v="2"/>
    <n v="7"/>
    <n v="8"/>
  </r>
  <r>
    <x v="4"/>
    <x v="108"/>
    <d v="2026-05-15T00:00:00"/>
    <s v="2ND"/>
    <d v="1899-12-30T15:00:00"/>
    <n v="3"/>
    <x v="6"/>
    <n v="1.37E-2"/>
    <s v="P"/>
    <s v="P"/>
    <s v="P"/>
    <s v="+"/>
    <s v="+"/>
    <n v="12.54"/>
    <s v="-"/>
    <s v="-"/>
    <s v="-"/>
    <s v="-"/>
    <s v="-"/>
    <s v="-"/>
    <s v="-"/>
    <s v="-"/>
    <s v="P"/>
    <s v="P"/>
    <s v="70% 20% 10%"/>
    <n v="2"/>
    <n v="1"/>
    <n v="2"/>
    <n v="1"/>
    <s v="-"/>
    <s v="-"/>
    <s v="-"/>
    <s v="-"/>
    <s v="-"/>
    <s v="-"/>
    <s v="-"/>
    <n v="6"/>
    <n v="6"/>
    <s v="-"/>
    <n v="1"/>
    <n v="1"/>
    <n v="2"/>
    <n v="2"/>
    <n v="8"/>
    <n v="8"/>
  </r>
  <r>
    <x v="4"/>
    <x v="108"/>
    <d v="2026-05-22T00:00:00"/>
    <s v="3RD"/>
    <d v="1899-12-30T22:00:00"/>
    <n v="3"/>
    <x v="6"/>
    <n v="4.6100000000000002E-2"/>
    <s v="P"/>
    <s v="P"/>
    <s v="P"/>
    <s v="+"/>
    <s v="+"/>
    <s v="-"/>
    <s v="-"/>
    <s v="-"/>
    <s v="-"/>
    <s v="-"/>
    <s v="-"/>
    <s v="-"/>
    <s v="-"/>
    <s v="-"/>
    <s v="P"/>
    <s v="P"/>
    <s v="70% 20% 10%"/>
    <n v="0"/>
    <n v="1"/>
    <n v="2"/>
    <s v="-"/>
    <s v="-"/>
    <s v="-"/>
    <s v="-"/>
    <s v="-"/>
    <s v="-"/>
    <s v="-"/>
    <s v="-"/>
    <n v="3"/>
    <n v="5"/>
    <s v="-"/>
    <n v="1"/>
    <n v="1"/>
    <n v="2"/>
    <n v="2"/>
    <n v="5"/>
    <n v="7"/>
  </r>
  <r>
    <x v="4"/>
    <x v="108"/>
    <d v="2026-05-22T00:00:00"/>
    <s v="3RD"/>
    <d v="1899-12-30T23:00:00"/>
    <n v="3"/>
    <x v="6"/>
    <n v="1.7500000000000002E-2"/>
    <s v="P"/>
    <s v="P"/>
    <s v="P"/>
    <s v="+"/>
    <s v="+"/>
    <n v="12.21"/>
    <n v="11.77"/>
    <s v="-"/>
    <s v="-"/>
    <s v="-"/>
    <s v="-"/>
    <n v="32.700000000000003"/>
    <s v="-"/>
    <s v="-"/>
    <s v="P"/>
    <s v="P"/>
    <s v="-"/>
    <n v="2"/>
    <n v="1"/>
    <n v="2"/>
    <n v="1"/>
    <n v="1"/>
    <s v="-"/>
    <s v="-"/>
    <s v="-"/>
    <s v="-"/>
    <n v="2"/>
    <s v="-"/>
    <n v="9"/>
    <n v="9"/>
    <s v="-"/>
    <n v="1"/>
    <n v="1"/>
    <n v="2"/>
    <n v="2"/>
    <n v="11"/>
    <n v="11"/>
  </r>
  <r>
    <x v="4"/>
    <x v="108"/>
    <d v="2026-05-22T00:00:00"/>
    <s v="3RD"/>
    <d v="1899-12-31T00:00:00"/>
    <n v="3"/>
    <x v="6"/>
    <n v="1.9900000000000001E-2"/>
    <s v="P"/>
    <s v="P"/>
    <s v="P"/>
    <s v="+"/>
    <s v="+"/>
    <n v="12.21"/>
    <s v="-"/>
    <s v="-"/>
    <s v="-"/>
    <s v="-"/>
    <s v="-"/>
    <s v="-"/>
    <s v="-"/>
    <s v="-"/>
    <s v="P"/>
    <s v="P"/>
    <s v="-"/>
    <n v="2"/>
    <n v="1"/>
    <n v="2"/>
    <n v="1"/>
    <s v="-"/>
    <s v="-"/>
    <s v="-"/>
    <s v="-"/>
    <s v="-"/>
    <s v="-"/>
    <s v="-"/>
    <n v="6"/>
    <n v="6"/>
    <s v="-"/>
    <n v="1"/>
    <n v="1"/>
    <n v="2"/>
    <n v="2"/>
    <n v="8"/>
    <n v="8"/>
  </r>
  <r>
    <x v="4"/>
    <x v="108"/>
    <d v="2026-05-22T00:00:00"/>
    <s v="3RD"/>
    <d v="1899-12-31T01:00:00"/>
    <n v="3"/>
    <x v="6"/>
    <n v="2.0400000000000001E-2"/>
    <s v="P"/>
    <s v="P"/>
    <s v="P"/>
    <s v="+"/>
    <s v="+"/>
    <n v="12.43"/>
    <s v="-"/>
    <s v="-"/>
    <s v="-"/>
    <s v="-"/>
    <s v="-"/>
    <s v="-"/>
    <s v="-"/>
    <s v="-"/>
    <s v="P"/>
    <s v="P"/>
    <s v="-"/>
    <n v="0"/>
    <n v="1"/>
    <n v="2"/>
    <n v="1"/>
    <s v="-"/>
    <s v="-"/>
    <s v="-"/>
    <s v="-"/>
    <s v="-"/>
    <s v="-"/>
    <s v="-"/>
    <n v="4"/>
    <n v="6"/>
    <s v="-"/>
    <n v="1"/>
    <n v="1"/>
    <n v="2"/>
    <n v="2"/>
    <n v="6"/>
    <n v="8"/>
  </r>
  <r>
    <x v="4"/>
    <x v="108"/>
    <d v="2026-05-22T00:00:00"/>
    <s v="3RD"/>
    <d v="1899-12-31T03:00:00"/>
    <n v="3"/>
    <x v="6"/>
    <n v="1.89E-2"/>
    <s v="P"/>
    <s v="P"/>
    <s v="P"/>
    <s v="+"/>
    <s v="+"/>
    <n v="12.12"/>
    <s v="-"/>
    <s v="-"/>
    <s v="-"/>
    <s v="-"/>
    <s v="-"/>
    <s v="-"/>
    <s v="-"/>
    <s v="-"/>
    <s v="P"/>
    <s v="P"/>
    <s v="-"/>
    <n v="2"/>
    <n v="1"/>
    <n v="2"/>
    <n v="1"/>
    <s v="-"/>
    <s v="-"/>
    <s v="-"/>
    <s v="-"/>
    <s v="-"/>
    <s v="-"/>
    <s v="-"/>
    <n v="6"/>
    <n v="6"/>
    <s v="-"/>
    <n v="1"/>
    <n v="1"/>
    <n v="2"/>
    <n v="2"/>
    <n v="8"/>
    <n v="8"/>
  </r>
  <r>
    <x v="4"/>
    <x v="108"/>
    <d v="2026-05-22T00:00:00"/>
    <s v="3RD"/>
    <d v="1899-12-31T04:00:00"/>
    <n v="3"/>
    <x v="6"/>
    <n v="2.0400000000000001E-2"/>
    <s v="P"/>
    <s v="P"/>
    <s v="P"/>
    <s v="+"/>
    <s v="+"/>
    <n v="11.12"/>
    <s v="-"/>
    <s v="-"/>
    <s v="-"/>
    <s v="-"/>
    <s v="-"/>
    <s v="-"/>
    <s v="-"/>
    <s v="-"/>
    <s v="P"/>
    <s v="P"/>
    <s v="-"/>
    <n v="0"/>
    <n v="1"/>
    <n v="2"/>
    <n v="0"/>
    <s v="-"/>
    <s v="-"/>
    <s v="-"/>
    <s v="-"/>
    <s v="-"/>
    <s v="-"/>
    <s v="-"/>
    <n v="3"/>
    <n v="6"/>
    <s v="-"/>
    <n v="1"/>
    <n v="1"/>
    <n v="2"/>
    <n v="2"/>
    <n v="5"/>
    <n v="8"/>
  </r>
  <r>
    <x v="4"/>
    <x v="108"/>
    <d v="2026-05-22T00:00:00"/>
    <s v="3RD"/>
    <d v="1899-12-31T05:00:00"/>
    <n v="3"/>
    <x v="6"/>
    <n v="1.95E-2"/>
    <s v="P"/>
    <s v="P"/>
    <s v="P"/>
    <s v="+"/>
    <s v="+"/>
    <n v="11.74"/>
    <s v="-"/>
    <s v="-"/>
    <s v="-"/>
    <s v="-"/>
    <s v="-"/>
    <s v="-"/>
    <s v="-"/>
    <s v="-"/>
    <s v="P"/>
    <s v="P"/>
    <s v="-"/>
    <n v="2"/>
    <n v="1"/>
    <n v="2"/>
    <n v="0"/>
    <s v="-"/>
    <s v="-"/>
    <s v="-"/>
    <s v="-"/>
    <s v="-"/>
    <s v="-"/>
    <s v="-"/>
    <n v="5"/>
    <n v="6"/>
    <s v="-"/>
    <n v="1"/>
    <n v="1"/>
    <n v="2"/>
    <n v="2"/>
    <n v="7"/>
    <n v="8"/>
  </r>
  <r>
    <x v="4"/>
    <x v="109"/>
    <s v="-"/>
    <s v="1ST"/>
    <s v="06:00"/>
    <n v="1"/>
    <x v="7"/>
    <n v="1.35E-2"/>
    <s v="P"/>
    <s v="P"/>
    <s v="P"/>
    <s v="-"/>
    <s v="+"/>
    <n v="10.91"/>
    <n v="9.65"/>
    <n v="0.54"/>
    <n v="57.1"/>
    <s v="-"/>
    <s v="-"/>
    <n v="26.5"/>
    <s v="-"/>
    <s v="-"/>
    <s v="P"/>
    <s v="P"/>
    <s v="60% 10% 30%"/>
    <n v="2"/>
    <n v="1"/>
    <n v="2"/>
    <n v="0"/>
    <n v="1"/>
    <n v="2"/>
    <n v="2"/>
    <s v="-"/>
    <s v="-"/>
    <n v="2"/>
    <s v="-"/>
    <n v="12"/>
    <n v="13"/>
    <s v="-"/>
    <n v="1"/>
    <n v="1"/>
    <n v="2"/>
    <n v="2"/>
    <n v="14"/>
    <n v="15"/>
  </r>
  <r>
    <x v="4"/>
    <x v="109"/>
    <d v="2026-05-16T00:00:00"/>
    <s v="1ST"/>
    <s v="08:00"/>
    <n v="1"/>
    <x v="7"/>
    <n v="1.9300000000000001E-2"/>
    <s v="P"/>
    <s v="P"/>
    <s v="P"/>
    <s v="-"/>
    <s v="+"/>
    <n v="11.14"/>
    <s v="-"/>
    <s v="-"/>
    <s v="-"/>
    <s v="-"/>
    <s v="-"/>
    <s v="-"/>
    <s v="-"/>
    <s v="-"/>
    <s v="P"/>
    <s v="P"/>
    <s v="60% 10% 30%"/>
    <n v="2"/>
    <n v="1"/>
    <n v="2"/>
    <n v="1"/>
    <s v="-"/>
    <s v="-"/>
    <s v="-"/>
    <s v="-"/>
    <s v="-"/>
    <s v="-"/>
    <s v="-"/>
    <n v="6"/>
    <n v="6"/>
    <s v="-"/>
    <n v="1"/>
    <n v="1"/>
    <n v="2"/>
    <n v="2"/>
    <n v="8"/>
    <n v="8"/>
  </r>
  <r>
    <x v="4"/>
    <x v="109"/>
    <d v="2026-05-16T00:00:00"/>
    <s v="1ST"/>
    <s v="09:00"/>
    <n v="1"/>
    <x v="7"/>
    <n v="1.44E-2"/>
    <s v="P"/>
    <s v="P"/>
    <s v="P"/>
    <s v="-"/>
    <s v="+"/>
    <n v="10.9"/>
    <s v="-"/>
    <s v="-"/>
    <s v="-"/>
    <s v="-"/>
    <s v="-"/>
    <s v="-"/>
    <s v="-"/>
    <s v="-"/>
    <s v="P"/>
    <s v="P"/>
    <s v="60% 10% 30%"/>
    <n v="2"/>
    <n v="1"/>
    <n v="2"/>
    <n v="0"/>
    <s v="-"/>
    <s v="-"/>
    <s v="-"/>
    <s v="-"/>
    <s v="-"/>
    <s v="-"/>
    <s v="-"/>
    <n v="5"/>
    <n v="6"/>
    <s v="-"/>
    <n v="1"/>
    <n v="1"/>
    <n v="2"/>
    <n v="2"/>
    <n v="7"/>
    <n v="8"/>
  </r>
  <r>
    <x v="4"/>
    <x v="109"/>
    <d v="2026-05-21T00:00:00"/>
    <s v="1ST"/>
    <s v="11:00"/>
    <n v="3"/>
    <x v="42"/>
    <n v="7.3000000000000001E-3"/>
    <s v="P"/>
    <s v="P"/>
    <s v="P"/>
    <s v="+"/>
    <s v="+"/>
    <n v="11.28"/>
    <n v="11.83"/>
    <n v="0.4"/>
    <n v="67.3"/>
    <n v="8.9"/>
    <s v="-"/>
    <n v="33.1"/>
    <s v="-"/>
    <s v="-"/>
    <s v="P"/>
    <s v="P"/>
    <n v="1"/>
    <n v="2"/>
    <n v="1"/>
    <n v="2"/>
    <n v="0"/>
    <n v="0"/>
    <n v="2"/>
    <n v="0"/>
    <s v="-"/>
    <s v="-"/>
    <n v="2"/>
    <s v="-"/>
    <n v="9"/>
    <n v="13"/>
    <s v="-"/>
    <n v="1"/>
    <n v="1"/>
    <n v="2"/>
    <n v="2"/>
    <n v="11"/>
    <n v="15"/>
  </r>
  <r>
    <x v="4"/>
    <x v="109"/>
    <d v="2026-05-21T00:00:00"/>
    <s v="1ST"/>
    <s v="12:00"/>
    <n v="3"/>
    <x v="42"/>
    <n v="9.4000000000000004E-3"/>
    <s v="P"/>
    <s v="P"/>
    <s v="P"/>
    <s v="+"/>
    <s v="+"/>
    <n v="11.1"/>
    <s v="-"/>
    <s v="-"/>
    <s v="-"/>
    <s v="-"/>
    <s v="-"/>
    <s v="-"/>
    <s v="-"/>
    <s v="-"/>
    <s v="P"/>
    <s v="P"/>
    <n v="1"/>
    <n v="2"/>
    <n v="1"/>
    <n v="2"/>
    <n v="0"/>
    <s v="-"/>
    <s v="-"/>
    <s v="-"/>
    <s v="-"/>
    <s v="-"/>
    <s v="-"/>
    <s v="-"/>
    <n v="5"/>
    <n v="6"/>
    <s v="-"/>
    <n v="1"/>
    <n v="1"/>
    <n v="2"/>
    <n v="2"/>
    <n v="7"/>
    <n v="8"/>
  </r>
  <r>
    <x v="4"/>
    <x v="109"/>
    <d v="2026-05-21T00:00:00"/>
    <s v="1ST"/>
    <s v="13:00"/>
    <n v="3"/>
    <x v="42"/>
    <n v="4.7000000000000002E-3"/>
    <s v="P"/>
    <s v="P"/>
    <s v="P"/>
    <s v="+"/>
    <s v="+"/>
    <n v="11.01"/>
    <s v="-"/>
    <s v="-"/>
    <s v="-"/>
    <s v="-"/>
    <s v="-"/>
    <s v="-"/>
    <s v="-"/>
    <s v="-"/>
    <s v="P"/>
    <s v="P"/>
    <n v="1"/>
    <n v="2"/>
    <n v="1"/>
    <n v="2"/>
    <n v="0"/>
    <s v="-"/>
    <s v="-"/>
    <s v="-"/>
    <s v="-"/>
    <s v="-"/>
    <s v="-"/>
    <s v="-"/>
    <n v="5"/>
    <n v="6"/>
    <s v="-"/>
    <n v="1"/>
    <n v="1"/>
    <n v="2"/>
    <n v="2"/>
    <n v="7"/>
    <n v="8"/>
  </r>
  <r>
    <x v="4"/>
    <x v="109"/>
    <s v="-"/>
    <s v="2ND"/>
    <d v="1899-12-30T14:00:00"/>
    <n v="1"/>
    <x v="7"/>
    <n v="1.67E-2"/>
    <s v="P"/>
    <s v="P"/>
    <s v="P"/>
    <s v="-"/>
    <s v="+"/>
    <n v="10.96"/>
    <n v="9.65"/>
    <n v="0.54"/>
    <n v="57.1"/>
    <s v="-"/>
    <s v="-"/>
    <n v="26.5"/>
    <s v="-"/>
    <n v="25.16"/>
    <s v="P"/>
    <s v="P"/>
    <s v="60% 10% 30%"/>
    <n v="2"/>
    <n v="1"/>
    <n v="2"/>
    <n v="0"/>
    <n v="1"/>
    <n v="2"/>
    <n v="2"/>
    <s v="-"/>
    <s v="-"/>
    <n v="2"/>
    <s v="-"/>
    <n v="12"/>
    <n v="13"/>
    <n v="1"/>
    <n v="1"/>
    <n v="1"/>
    <n v="3"/>
    <n v="3"/>
    <n v="15"/>
    <n v="16"/>
  </r>
  <r>
    <x v="4"/>
    <x v="109"/>
    <d v="2026-05-16T00:00:00"/>
    <s v="2ND"/>
    <d v="1899-12-30T17:00:00"/>
    <n v="1"/>
    <x v="7"/>
    <n v="1.55E-2"/>
    <s v="-"/>
    <s v="-"/>
    <s v="-"/>
    <s v="-"/>
    <s v="-"/>
    <s v="-"/>
    <s v="-"/>
    <s v="-"/>
    <s v="-"/>
    <s v="-"/>
    <s v="-"/>
    <s v="-"/>
    <s v="-"/>
    <s v="-"/>
    <s v="-"/>
    <s v="-"/>
    <s v="-"/>
    <n v="2"/>
    <s v="-"/>
    <s v="-"/>
    <s v="-"/>
    <s v="-"/>
    <s v="-"/>
    <s v="-"/>
    <s v="-"/>
    <s v="-"/>
    <s v="-"/>
    <s v="-"/>
    <n v="2"/>
    <n v="2"/>
    <s v="-"/>
    <s v="-"/>
    <s v="-"/>
    <n v="0"/>
    <n v="0"/>
    <n v="2"/>
    <n v="2"/>
  </r>
  <r>
    <x v="4"/>
    <x v="109"/>
    <d v="2026-05-21T00:00:00"/>
    <s v="2ND"/>
    <d v="1899-12-30T14:00:00"/>
    <n v="3"/>
    <x v="42"/>
    <n v="5.5999999999999999E-3"/>
    <s v="P"/>
    <s v="P"/>
    <s v="P"/>
    <s v="+"/>
    <s v="+"/>
    <n v="10.88"/>
    <n v="11.83"/>
    <n v="0.4"/>
    <n v="67.3"/>
    <s v="-"/>
    <s v="-"/>
    <n v="33.1"/>
    <s v="-"/>
    <n v="25.19"/>
    <s v="P"/>
    <s v="P"/>
    <n v="1"/>
    <n v="2"/>
    <n v="1"/>
    <n v="2"/>
    <n v="0"/>
    <n v="0"/>
    <n v="2"/>
    <n v="0"/>
    <s v="-"/>
    <s v="-"/>
    <n v="2"/>
    <s v="-"/>
    <n v="9"/>
    <n v="13"/>
    <n v="1"/>
    <n v="1"/>
    <n v="1"/>
    <n v="3"/>
    <n v="3"/>
    <n v="12"/>
    <n v="16"/>
  </r>
  <r>
    <x v="4"/>
    <x v="109"/>
    <d v="2026-05-20T00:00:00"/>
    <s v="2ND"/>
    <d v="1899-12-30T15:00:00"/>
    <n v="3"/>
    <x v="16"/>
    <n v="1.9199999999999998E-2"/>
    <s v="P"/>
    <s v="P"/>
    <s v="P"/>
    <s v="+"/>
    <s v="+"/>
    <n v="13.25"/>
    <n v="12.93"/>
    <n v="0.54"/>
    <n v="65.900000000000006"/>
    <n v="12.8"/>
    <s v="-"/>
    <n v="36.4"/>
    <s v="-"/>
    <n v="25.19"/>
    <s v="P"/>
    <s v="P"/>
    <n v="1"/>
    <n v="2"/>
    <n v="1"/>
    <n v="2"/>
    <n v="1"/>
    <n v="1"/>
    <n v="2"/>
    <n v="2"/>
    <n v="1"/>
    <s v="-"/>
    <n v="2"/>
    <s v="-"/>
    <n v="14"/>
    <n v="14"/>
    <n v="1"/>
    <n v="1"/>
    <n v="1"/>
    <n v="3"/>
    <n v="3"/>
    <n v="17"/>
    <n v="17"/>
  </r>
  <r>
    <x v="4"/>
    <x v="109"/>
    <d v="2026-05-20T00:00:00"/>
    <s v="2ND"/>
    <d v="1899-12-30T16:00:00"/>
    <n v="3"/>
    <x v="16"/>
    <n v="1.9599999999999999E-2"/>
    <s v="P"/>
    <s v="P"/>
    <s v="P"/>
    <s v="+"/>
    <s v="+"/>
    <n v="11.19"/>
    <s v="-"/>
    <s v="-"/>
    <s v="-"/>
    <s v="-"/>
    <s v="-"/>
    <s v="-"/>
    <s v="-"/>
    <s v="-"/>
    <s v="P"/>
    <s v="P"/>
    <s v="-"/>
    <n v="2"/>
    <n v="1"/>
    <n v="2"/>
    <n v="0"/>
    <s v="-"/>
    <s v="-"/>
    <s v="-"/>
    <s v="-"/>
    <s v="-"/>
    <s v="-"/>
    <s v="-"/>
    <n v="5"/>
    <n v="6"/>
    <s v="-"/>
    <n v="1"/>
    <n v="1"/>
    <n v="2"/>
    <n v="2"/>
    <n v="7"/>
    <n v="8"/>
  </r>
  <r>
    <x v="4"/>
    <x v="109"/>
    <s v="-"/>
    <s v="3RD"/>
    <d v="1899-12-30T22:00:00"/>
    <n v="1"/>
    <x v="7"/>
    <n v="1.4E-2"/>
    <s v="P"/>
    <s v="P"/>
    <s v="P"/>
    <s v="-"/>
    <s v="+"/>
    <n v="11.14"/>
    <n v="9.3699999999999992"/>
    <s v="-"/>
    <s v="-"/>
    <s v="-"/>
    <s v="-"/>
    <n v="25.5"/>
    <s v="-"/>
    <n v="25.16"/>
    <s v="P"/>
    <s v="P"/>
    <s v="60% 30% 10%"/>
    <n v="2"/>
    <n v="1"/>
    <n v="2"/>
    <n v="1"/>
    <n v="1"/>
    <s v="-"/>
    <s v="-"/>
    <s v="-"/>
    <s v="-"/>
    <n v="2"/>
    <s v="-"/>
    <n v="9"/>
    <n v="9"/>
    <n v="1"/>
    <n v="1"/>
    <n v="1"/>
    <n v="3"/>
    <n v="3"/>
    <n v="12"/>
    <n v="12"/>
  </r>
  <r>
    <x v="4"/>
    <x v="109"/>
    <d v="2026-05-15T00:00:00"/>
    <s v="3RD"/>
    <d v="1899-12-31T00:00:00"/>
    <n v="1"/>
    <x v="1"/>
    <n v="1.37E-2"/>
    <s v="P"/>
    <s v="P"/>
    <s v="P"/>
    <s v="-"/>
    <s v="+"/>
    <n v="10.91"/>
    <s v="-"/>
    <s v="-"/>
    <s v="-"/>
    <s v="-"/>
    <s v="-"/>
    <s v="-"/>
    <s v="-"/>
    <s v="-"/>
    <s v="P"/>
    <s v="P"/>
    <s v="85% 15%"/>
    <n v="2"/>
    <n v="1"/>
    <n v="2"/>
    <n v="0"/>
    <s v="-"/>
    <s v="-"/>
    <s v="-"/>
    <s v="-"/>
    <s v="-"/>
    <s v="-"/>
    <s v="-"/>
    <n v="5"/>
    <n v="6"/>
    <s v="-"/>
    <n v="1"/>
    <n v="1"/>
    <n v="2"/>
    <n v="2"/>
    <n v="7"/>
    <n v="8"/>
  </r>
  <r>
    <x v="4"/>
    <x v="109"/>
    <d v="2026-05-15T00:00:00"/>
    <s v="3RD"/>
    <d v="1899-12-31T01:00:00"/>
    <n v="1"/>
    <x v="1"/>
    <n v="1.38E-2"/>
    <s v="P"/>
    <s v="P"/>
    <s v="P"/>
    <s v="+"/>
    <s v="+"/>
    <n v="11.46"/>
    <n v="12.35"/>
    <n v="0.44"/>
    <n v="66"/>
    <s v="-"/>
    <s v="-"/>
    <n v="34.6"/>
    <s v="-"/>
    <n v="25.16"/>
    <s v="P"/>
    <s v="P"/>
    <s v="-"/>
    <n v="2"/>
    <n v="1"/>
    <n v="2"/>
    <n v="0"/>
    <n v="1"/>
    <n v="2"/>
    <n v="2"/>
    <s v="-"/>
    <s v="-"/>
    <n v="2"/>
    <s v="-"/>
    <n v="12"/>
    <n v="13"/>
    <n v="1"/>
    <n v="1"/>
    <n v="1"/>
    <n v="3"/>
    <n v="3"/>
    <n v="15"/>
    <n v="16"/>
  </r>
  <r>
    <x v="4"/>
    <x v="110"/>
    <d v="1902-03-26T00:00:00"/>
    <s v="1ST"/>
    <s v="11:00"/>
    <n v="2"/>
    <x v="5"/>
    <n v="2.2000000000000001E-3"/>
    <s v="P"/>
    <s v="P"/>
    <s v="P"/>
    <s v="-"/>
    <s v="+"/>
    <n v="11.08"/>
    <s v="7. 96"/>
    <n v="0.45"/>
    <n v="56.1"/>
    <n v="13.8"/>
    <s v="-"/>
    <n v="21.3"/>
    <s v="-"/>
    <s v="-"/>
    <s v="P"/>
    <s v="P"/>
    <s v="-"/>
    <n v="2"/>
    <n v="1"/>
    <n v="2"/>
    <n v="1"/>
    <n v="0"/>
    <n v="2"/>
    <n v="2"/>
    <s v="-"/>
    <s v="-"/>
    <n v="2"/>
    <s v="-"/>
    <n v="12"/>
    <n v="13"/>
    <s v="-"/>
    <n v="1"/>
    <n v="1"/>
    <n v="2"/>
    <n v="2"/>
    <n v="14"/>
    <n v="15"/>
  </r>
  <r>
    <x v="4"/>
    <x v="110"/>
    <d v="1899-12-30T00:00:00"/>
    <s v="1ST"/>
    <s v="12:00"/>
    <n v="2"/>
    <x v="5"/>
    <n v="4.4000000000000003E-3"/>
    <s v="P"/>
    <s v="P"/>
    <s v="P"/>
    <s v="-"/>
    <s v="+"/>
    <n v="10.86"/>
    <s v="-"/>
    <s v="-"/>
    <s v="-"/>
    <s v="-"/>
    <s v="-"/>
    <s v="-"/>
    <s v="-"/>
    <s v="-"/>
    <s v="P"/>
    <s v="P"/>
    <s v="-"/>
    <n v="2"/>
    <n v="1"/>
    <n v="2"/>
    <n v="0"/>
    <s v="-"/>
    <s v="-"/>
    <s v="-"/>
    <s v="-"/>
    <s v="-"/>
    <s v="-"/>
    <s v="-"/>
    <n v="5"/>
    <n v="6"/>
    <s v="-"/>
    <n v="1"/>
    <n v="1"/>
    <n v="2"/>
    <n v="2"/>
    <n v="7"/>
    <n v="8"/>
  </r>
  <r>
    <x v="4"/>
    <x v="110"/>
    <d v="1899-12-30T00:00:00"/>
    <s v="1ST"/>
    <s v="13:00"/>
    <n v="2"/>
    <x v="5"/>
    <n v="3.5999999999999999E-3"/>
    <s v="P"/>
    <s v="P"/>
    <s v="P"/>
    <s v="-"/>
    <s v="+"/>
    <n v="10.78"/>
    <s v="-"/>
    <s v="-"/>
    <s v="-"/>
    <s v="-"/>
    <s v="-"/>
    <s v="-"/>
    <s v="-"/>
    <s v="-"/>
    <s v="P"/>
    <s v="P"/>
    <s v="-"/>
    <n v="2"/>
    <n v="1"/>
    <n v="2"/>
    <n v="0"/>
    <s v="-"/>
    <s v="-"/>
    <s v="-"/>
    <s v="-"/>
    <s v="-"/>
    <s v="-"/>
    <s v="-"/>
    <n v="5"/>
    <n v="6"/>
    <s v="-"/>
    <n v="1"/>
    <n v="1"/>
    <n v="2"/>
    <n v="2"/>
    <n v="7"/>
    <n v="8"/>
  </r>
  <r>
    <x v="4"/>
    <x v="110"/>
    <d v="2026-05-15T00:00:00"/>
    <s v="1ST"/>
    <s v="11:00"/>
    <n v="3"/>
    <x v="0"/>
    <n v="1.52E-2"/>
    <s v="P"/>
    <s v="P"/>
    <s v="P"/>
    <s v="+"/>
    <s v="+"/>
    <n v="11.75"/>
    <n v="13.01"/>
    <n v="0.44"/>
    <n v="65"/>
    <n v="13"/>
    <s v="-"/>
    <n v="36.700000000000003"/>
    <s v="-"/>
    <s v="-"/>
    <s v="P"/>
    <s v="P"/>
    <s v="85% 5% 10%"/>
    <n v="2"/>
    <n v="1"/>
    <n v="2"/>
    <n v="0"/>
    <n v="1"/>
    <n v="2"/>
    <n v="2"/>
    <n v="1"/>
    <s v="-"/>
    <n v="2"/>
    <s v="-"/>
    <n v="13"/>
    <n v="14"/>
    <s v="-"/>
    <n v="1"/>
    <n v="1"/>
    <n v="2"/>
    <n v="2"/>
    <n v="15"/>
    <n v="16"/>
  </r>
  <r>
    <x v="4"/>
    <x v="110"/>
    <d v="2026-05-15T00:00:00"/>
    <s v="1ST"/>
    <s v="12:00"/>
    <n v="3"/>
    <x v="1"/>
    <n v="1.3299999999999999E-2"/>
    <s v="P"/>
    <s v="P"/>
    <s v="P"/>
    <s v="+"/>
    <s v="+"/>
    <n v="11.78"/>
    <s v="-"/>
    <s v="-"/>
    <s v="-"/>
    <s v="-"/>
    <s v="-"/>
    <s v="-"/>
    <s v="-"/>
    <s v="-"/>
    <s v="P"/>
    <s v="P"/>
    <s v="-"/>
    <n v="2"/>
    <n v="1"/>
    <n v="2"/>
    <n v="0"/>
    <s v="-"/>
    <s v="-"/>
    <s v="-"/>
    <s v="-"/>
    <s v="-"/>
    <s v="-"/>
    <s v="-"/>
    <n v="5"/>
    <n v="6"/>
    <s v="-"/>
    <n v="1"/>
    <n v="1"/>
    <n v="2"/>
    <n v="2"/>
    <n v="7"/>
    <n v="8"/>
  </r>
  <r>
    <x v="4"/>
    <x v="110"/>
    <d v="2026-05-15T00:00:00"/>
    <s v="1ST"/>
    <s v="13:00"/>
    <n v="3"/>
    <x v="1"/>
    <n v="1.4200000000000001E-2"/>
    <s v="P"/>
    <s v="P"/>
    <s v="P"/>
    <s v="+"/>
    <s v="+"/>
    <n v="11.63"/>
    <s v="-"/>
    <s v="-"/>
    <s v="-"/>
    <s v="-"/>
    <s v="-"/>
    <s v="-"/>
    <s v="-"/>
    <s v="-"/>
    <s v="P"/>
    <s v="P"/>
    <s v="-"/>
    <n v="2"/>
    <n v="1"/>
    <n v="2"/>
    <n v="0"/>
    <s v="-"/>
    <s v="-"/>
    <s v="-"/>
    <s v="-"/>
    <s v="-"/>
    <s v="-"/>
    <s v="-"/>
    <n v="5"/>
    <n v="6"/>
    <s v="-"/>
    <n v="1"/>
    <n v="1"/>
    <n v="2"/>
    <n v="2"/>
    <n v="7"/>
    <n v="8"/>
  </r>
  <r>
    <x v="4"/>
    <x v="110"/>
    <d v="1899-12-30T00:00:00"/>
    <s v="2ND"/>
    <d v="1899-12-30T14:00:00"/>
    <n v="2"/>
    <x v="5"/>
    <n v="6.1000000000000004E-3"/>
    <s v="P"/>
    <s v="P"/>
    <s v="P"/>
    <s v="-"/>
    <s v="+"/>
    <n v="10.91"/>
    <n v="9.36"/>
    <n v="0.45"/>
    <s v="-"/>
    <s v="-"/>
    <s v="-"/>
    <n v="25.5"/>
    <s v="-"/>
    <n v="25.16"/>
    <s v="P"/>
    <s v="P"/>
    <s v="-"/>
    <n v="2"/>
    <n v="1"/>
    <n v="2"/>
    <n v="0"/>
    <n v="1"/>
    <n v="2"/>
    <s v="-"/>
    <s v="-"/>
    <s v="-"/>
    <n v="2"/>
    <s v="-"/>
    <n v="10"/>
    <n v="11"/>
    <n v="1"/>
    <n v="1"/>
    <n v="1"/>
    <n v="3"/>
    <n v="3"/>
    <n v="13"/>
    <n v="14"/>
  </r>
  <r>
    <x v="4"/>
    <x v="110"/>
    <d v="1899-12-30T00:00:00"/>
    <s v="2ND"/>
    <d v="1899-12-30T15:00:00"/>
    <n v="2"/>
    <x v="5"/>
    <n v="5.7000000000000002E-3"/>
    <s v="P"/>
    <s v="P"/>
    <s v="P"/>
    <s v="-"/>
    <s v="+"/>
    <n v="10.77"/>
    <s v="-"/>
    <s v="-"/>
    <s v="-"/>
    <s v="-"/>
    <s v="-"/>
    <s v="-"/>
    <s v="-"/>
    <s v="-"/>
    <s v="P"/>
    <s v="P"/>
    <s v="-"/>
    <n v="2"/>
    <n v="1"/>
    <n v="2"/>
    <n v="0"/>
    <s v="-"/>
    <s v="-"/>
    <s v="-"/>
    <s v="-"/>
    <s v="-"/>
    <s v="-"/>
    <s v="-"/>
    <n v="5"/>
    <n v="6"/>
    <s v="-"/>
    <n v="1"/>
    <n v="1"/>
    <n v="2"/>
    <n v="2"/>
    <n v="7"/>
    <n v="8"/>
  </r>
  <r>
    <x v="4"/>
    <x v="110"/>
    <d v="1899-12-30T00:00:00"/>
    <s v="2ND"/>
    <d v="1899-12-30T16:00:00"/>
    <n v="2"/>
    <x v="5"/>
    <n v="1.15E-2"/>
    <s v="P"/>
    <s v="P"/>
    <s v="P"/>
    <s v="-"/>
    <s v="+"/>
    <n v="10.85"/>
    <s v="-"/>
    <s v="-"/>
    <s v="-"/>
    <s v="-"/>
    <s v="-"/>
    <s v="-"/>
    <s v="-"/>
    <s v="-"/>
    <s v="P"/>
    <s v="P"/>
    <s v="-"/>
    <n v="2"/>
    <n v="1"/>
    <n v="2"/>
    <n v="0"/>
    <s v="-"/>
    <s v="-"/>
    <s v="-"/>
    <s v="-"/>
    <s v="-"/>
    <s v="-"/>
    <s v="-"/>
    <n v="5"/>
    <n v="6"/>
    <s v="-"/>
    <n v="1"/>
    <n v="1"/>
    <n v="2"/>
    <n v="2"/>
    <n v="7"/>
    <n v="8"/>
  </r>
  <r>
    <x v="4"/>
    <x v="110"/>
    <d v="1899-12-30T00:00:00"/>
    <s v="2ND"/>
    <d v="1899-12-30T17:00:00"/>
    <n v="2"/>
    <x v="5"/>
    <n v="8.6999999999999994E-3"/>
    <s v="P"/>
    <s v="P"/>
    <s v="P"/>
    <s v="-"/>
    <s v="+"/>
    <n v="10.78"/>
    <s v="-"/>
    <s v="-"/>
    <s v="-"/>
    <s v="-"/>
    <s v="-"/>
    <s v="-"/>
    <s v="-"/>
    <s v="-"/>
    <s v="P"/>
    <s v="P"/>
    <s v="-"/>
    <n v="2"/>
    <n v="1"/>
    <n v="2"/>
    <n v="0"/>
    <s v="-"/>
    <s v="-"/>
    <s v="-"/>
    <s v="-"/>
    <s v="-"/>
    <s v="-"/>
    <s v="-"/>
    <n v="5"/>
    <n v="6"/>
    <s v="-"/>
    <n v="1"/>
    <n v="1"/>
    <n v="2"/>
    <n v="2"/>
    <n v="7"/>
    <n v="8"/>
  </r>
  <r>
    <x v="4"/>
    <x v="110"/>
    <d v="1899-12-30T00:00:00"/>
    <s v="2ND"/>
    <d v="1899-12-30T19:00:00"/>
    <n v="2"/>
    <x v="5"/>
    <n v="9.2999999999999992E-3"/>
    <s v="P"/>
    <s v="P"/>
    <s v="P"/>
    <s v="-"/>
    <s v="+"/>
    <n v="10.93"/>
    <s v="-"/>
    <s v="-"/>
    <s v="-"/>
    <s v="-"/>
    <s v="-"/>
    <s v="-"/>
    <s v="-"/>
    <s v="-"/>
    <s v="P"/>
    <s v="P"/>
    <s v="-"/>
    <n v="2"/>
    <n v="1"/>
    <n v="2"/>
    <n v="0"/>
    <s v="-"/>
    <s v="-"/>
    <s v="-"/>
    <s v="-"/>
    <s v="-"/>
    <s v="-"/>
    <s v="-"/>
    <n v="5"/>
    <n v="6"/>
    <s v="-"/>
    <n v="1"/>
    <n v="1"/>
    <n v="2"/>
    <n v="2"/>
    <n v="7"/>
    <n v="8"/>
  </r>
  <r>
    <x v="4"/>
    <x v="110"/>
    <d v="1899-12-30T00:00:00"/>
    <s v="2ND"/>
    <d v="1899-12-30T20:00:00"/>
    <n v="2"/>
    <x v="5"/>
    <n v="1.0699999999999999E-2"/>
    <s v="P"/>
    <s v="P"/>
    <s v="P"/>
    <s v="-"/>
    <s v="+"/>
    <n v="10.93"/>
    <s v="-"/>
    <s v="-"/>
    <s v="-"/>
    <s v="-"/>
    <s v="-"/>
    <s v="-"/>
    <s v="-"/>
    <s v="-"/>
    <s v="P"/>
    <s v="P"/>
    <s v="-"/>
    <n v="2"/>
    <n v="1"/>
    <n v="2"/>
    <n v="0"/>
    <s v="-"/>
    <s v="-"/>
    <s v="-"/>
    <s v="-"/>
    <s v="-"/>
    <s v="-"/>
    <s v="-"/>
    <n v="5"/>
    <n v="6"/>
    <s v="-"/>
    <n v="1"/>
    <n v="1"/>
    <n v="2"/>
    <n v="2"/>
    <n v="7"/>
    <n v="8"/>
  </r>
  <r>
    <x v="4"/>
    <x v="110"/>
    <d v="2026-05-15T00:00:00"/>
    <s v="2ND"/>
    <d v="1899-12-30T14:00:00"/>
    <n v="3"/>
    <x v="1"/>
    <n v="1.9300000000000001E-2"/>
    <s v="P"/>
    <s v="P"/>
    <s v="P"/>
    <s v="+"/>
    <s v="+"/>
    <n v="11.52"/>
    <n v="12.35"/>
    <n v="0.44"/>
    <s v="-"/>
    <s v="-"/>
    <s v="-"/>
    <n v="34.6"/>
    <s v="-"/>
    <n v="25.19"/>
    <s v="P"/>
    <s v="P"/>
    <s v="-"/>
    <n v="2"/>
    <n v="1"/>
    <n v="2"/>
    <n v="0"/>
    <n v="1"/>
    <n v="2"/>
    <s v="-"/>
    <s v="-"/>
    <s v="-"/>
    <n v="2"/>
    <s v="-"/>
    <n v="10"/>
    <n v="11"/>
    <n v="1"/>
    <n v="1"/>
    <n v="1"/>
    <n v="3"/>
    <n v="3"/>
    <n v="13"/>
    <n v="14"/>
  </r>
  <r>
    <x v="4"/>
    <x v="110"/>
    <d v="2026-05-15T00:00:00"/>
    <s v="2ND"/>
    <d v="1899-12-30T15:00:00"/>
    <n v="3"/>
    <x v="1"/>
    <n v="1.95E-2"/>
    <s v="P"/>
    <s v="P"/>
    <s v="P"/>
    <s v="+"/>
    <s v="+"/>
    <n v="11.6"/>
    <s v="-"/>
    <s v="-"/>
    <s v="-"/>
    <s v="-"/>
    <s v="-"/>
    <s v="-"/>
    <s v="-"/>
    <s v="-"/>
    <s v="-"/>
    <s v="-"/>
    <s v="-"/>
    <n v="2"/>
    <n v="1"/>
    <n v="2"/>
    <n v="0"/>
    <s v="-"/>
    <s v="-"/>
    <s v="-"/>
    <s v="-"/>
    <s v="-"/>
    <s v="-"/>
    <s v="-"/>
    <n v="5"/>
    <n v="6"/>
    <s v="-"/>
    <s v="-"/>
    <s v="-"/>
    <n v="0"/>
    <n v="0"/>
    <n v="5"/>
    <n v="6"/>
  </r>
  <r>
    <x v="4"/>
    <x v="110"/>
    <d v="2026-05-15T00:00:00"/>
    <s v="2ND"/>
    <d v="1899-12-30T18:00:00"/>
    <n v="3"/>
    <x v="1"/>
    <n v="2.07E-2"/>
    <s v="P"/>
    <s v="P"/>
    <s v="P"/>
    <s v="+"/>
    <s v="+"/>
    <n v="12"/>
    <s v="-"/>
    <s v="-"/>
    <s v="-"/>
    <s v="-"/>
    <s v="-"/>
    <s v="-"/>
    <s v="-"/>
    <s v="-"/>
    <s v="P"/>
    <s v="P"/>
    <s v="-"/>
    <n v="0"/>
    <n v="1"/>
    <n v="2"/>
    <n v="1"/>
    <s v="-"/>
    <s v="-"/>
    <s v="-"/>
    <s v="-"/>
    <s v="-"/>
    <s v="-"/>
    <s v="-"/>
    <n v="4"/>
    <n v="6"/>
    <s v="-"/>
    <n v="1"/>
    <n v="1"/>
    <n v="2"/>
    <n v="2"/>
    <n v="6"/>
    <n v="8"/>
  </r>
  <r>
    <x v="4"/>
    <x v="110"/>
    <d v="2026-04-28T00:00:00"/>
    <s v="2ND"/>
    <d v="1899-12-30T19:00:00"/>
    <n v="3"/>
    <x v="1"/>
    <n v="1.01E-2"/>
    <s v="P"/>
    <s v="P"/>
    <s v="P"/>
    <s v="+"/>
    <s v="+"/>
    <n v="11.59"/>
    <n v="12.44"/>
    <s v="-"/>
    <n v="64"/>
    <s v="-"/>
    <s v="-"/>
    <n v="34.799999999999997"/>
    <s v="-"/>
    <n v="25.19"/>
    <s v="P"/>
    <s v="P"/>
    <s v="-"/>
    <n v="2"/>
    <n v="1"/>
    <n v="2"/>
    <n v="0"/>
    <n v="1"/>
    <s v="-"/>
    <n v="2"/>
    <s v="-"/>
    <s v="-"/>
    <n v="2"/>
    <s v="-"/>
    <n v="10"/>
    <n v="11"/>
    <n v="1"/>
    <n v="1"/>
    <n v="1"/>
    <n v="3"/>
    <n v="3"/>
    <n v="13"/>
    <n v="14"/>
  </r>
  <r>
    <x v="4"/>
    <x v="110"/>
    <d v="2026-04-28T00:00:00"/>
    <s v="2ND"/>
    <d v="1899-12-30T20:00:00"/>
    <n v="3"/>
    <x v="1"/>
    <n v="1.18E-2"/>
    <s v="P"/>
    <s v="P"/>
    <s v="P"/>
    <s v="+"/>
    <s v="+"/>
    <n v="12.81"/>
    <s v="-"/>
    <s v="-"/>
    <s v="-"/>
    <s v="-"/>
    <s v="-"/>
    <s v="-"/>
    <s v="-"/>
    <s v="-"/>
    <s v="P"/>
    <s v="P"/>
    <s v="-"/>
    <n v="2"/>
    <n v="1"/>
    <n v="2"/>
    <n v="1"/>
    <s v="-"/>
    <s v="-"/>
    <s v="-"/>
    <s v="-"/>
    <s v="-"/>
    <s v="-"/>
    <s v="-"/>
    <n v="6"/>
    <n v="6"/>
    <s v="-"/>
    <n v="1"/>
    <n v="1"/>
    <n v="2"/>
    <n v="2"/>
    <n v="8"/>
    <n v="8"/>
  </r>
  <r>
    <x v="4"/>
    <x v="110"/>
    <d v="2026-04-28T00:00:00"/>
    <s v="2ND"/>
    <d v="1899-12-30T21:00:00"/>
    <n v="3"/>
    <x v="1"/>
    <n v="7.7000000000000002E-3"/>
    <s v="P"/>
    <s v="P"/>
    <s v="P"/>
    <s v="+"/>
    <s v="+"/>
    <n v="12.67"/>
    <s v="-"/>
    <s v="-"/>
    <s v="-"/>
    <s v="-"/>
    <s v="-"/>
    <s v="-"/>
    <s v="-"/>
    <s v="-"/>
    <s v="P"/>
    <s v="P"/>
    <s v="-"/>
    <n v="2"/>
    <n v="1"/>
    <n v="2"/>
    <n v="1"/>
    <s v="-"/>
    <s v="-"/>
    <s v="-"/>
    <s v="-"/>
    <s v="-"/>
    <s v="-"/>
    <s v="-"/>
    <n v="6"/>
    <n v="6"/>
    <s v="-"/>
    <n v="1"/>
    <n v="1"/>
    <n v="2"/>
    <n v="2"/>
    <n v="8"/>
    <n v="8"/>
  </r>
  <r>
    <x v="4"/>
    <x v="110"/>
    <d v="2026-05-15T00:00:00"/>
    <s v="2ND"/>
    <d v="1899-12-30T14:00:00"/>
    <n v="3"/>
    <x v="1"/>
    <n v="1.9300000000000001E-2"/>
    <s v="P"/>
    <s v="P"/>
    <s v="P"/>
    <s v="+"/>
    <s v="+"/>
    <n v="11.52"/>
    <n v="12.35"/>
    <n v="0.44"/>
    <s v="-"/>
    <s v="-"/>
    <s v="-"/>
    <n v="34.6"/>
    <s v="-"/>
    <n v="25.19"/>
    <s v="P"/>
    <s v="P"/>
    <s v="-"/>
    <n v="2"/>
    <n v="1"/>
    <n v="2"/>
    <n v="0"/>
    <n v="1"/>
    <n v="2"/>
    <s v="-"/>
    <s v="-"/>
    <s v="-"/>
    <n v="2"/>
    <s v="-"/>
    <n v="10"/>
    <n v="11"/>
    <n v="1"/>
    <n v="1"/>
    <n v="1"/>
    <n v="3"/>
    <n v="3"/>
    <n v="13"/>
    <n v="14"/>
  </r>
  <r>
    <x v="4"/>
    <x v="110"/>
    <d v="2026-05-15T00:00:00"/>
    <s v="2ND"/>
    <d v="1899-12-30T15:00:00"/>
    <n v="3"/>
    <x v="1"/>
    <n v="1.95E-2"/>
    <s v="P"/>
    <s v="P"/>
    <s v="P"/>
    <s v="+"/>
    <s v="+"/>
    <n v="11.6"/>
    <s v="-"/>
    <s v="-"/>
    <s v="-"/>
    <s v="-"/>
    <s v="-"/>
    <s v="-"/>
    <s v="-"/>
    <s v="-"/>
    <s v="-"/>
    <s v="-"/>
    <s v="-"/>
    <n v="2"/>
    <n v="1"/>
    <n v="2"/>
    <n v="0"/>
    <s v="-"/>
    <s v="-"/>
    <s v="-"/>
    <s v="-"/>
    <s v="-"/>
    <s v="-"/>
    <s v="-"/>
    <n v="5"/>
    <n v="6"/>
    <s v="-"/>
    <s v="-"/>
    <s v="-"/>
    <n v="0"/>
    <n v="0"/>
    <n v="5"/>
    <n v="6"/>
  </r>
  <r>
    <x v="4"/>
    <x v="110"/>
    <d v="2026-05-15T00:00:00"/>
    <s v="2ND"/>
    <d v="1899-12-30T18:00:00"/>
    <n v="3"/>
    <x v="1"/>
    <n v="2.07E-2"/>
    <s v="P"/>
    <s v="P"/>
    <s v="P"/>
    <s v="+"/>
    <s v="+"/>
    <n v="12"/>
    <s v="-"/>
    <s v="-"/>
    <s v="-"/>
    <s v="-"/>
    <s v="-"/>
    <s v="-"/>
    <s v="-"/>
    <s v="-"/>
    <s v="P"/>
    <s v="P"/>
    <s v="-"/>
    <n v="0"/>
    <n v="1"/>
    <n v="2"/>
    <n v="1"/>
    <s v="-"/>
    <s v="-"/>
    <s v="-"/>
    <s v="-"/>
    <s v="-"/>
    <s v="-"/>
    <s v="-"/>
    <n v="4"/>
    <n v="6"/>
    <s v="-"/>
    <n v="1"/>
    <n v="1"/>
    <n v="2"/>
    <n v="2"/>
    <n v="6"/>
    <n v="8"/>
  </r>
  <r>
    <x v="4"/>
    <x v="110"/>
    <d v="2026-04-28T00:00:00"/>
    <s v="2ND"/>
    <d v="1899-12-30T19:00:00"/>
    <n v="3"/>
    <x v="1"/>
    <n v="1.01E-2"/>
    <s v="P"/>
    <s v="P"/>
    <s v="P"/>
    <s v="+"/>
    <s v="+"/>
    <n v="11.59"/>
    <n v="12.44"/>
    <s v="-"/>
    <n v="64"/>
    <s v="-"/>
    <s v="-"/>
    <n v="34.799999999999997"/>
    <s v="-"/>
    <n v="25.19"/>
    <s v="P"/>
    <s v="P"/>
    <s v="-"/>
    <n v="2"/>
    <n v="1"/>
    <n v="2"/>
    <n v="0"/>
    <n v="1"/>
    <s v="-"/>
    <n v="2"/>
    <s v="-"/>
    <s v="-"/>
    <n v="2"/>
    <s v="-"/>
    <n v="10"/>
    <n v="11"/>
    <n v="1"/>
    <n v="1"/>
    <n v="1"/>
    <n v="3"/>
    <n v="3"/>
    <n v="13"/>
    <n v="14"/>
  </r>
  <r>
    <x v="4"/>
    <x v="110"/>
    <d v="2026-04-28T00:00:00"/>
    <s v="2ND"/>
    <d v="1899-12-30T20:00:00"/>
    <n v="3"/>
    <x v="1"/>
    <n v="1.18E-2"/>
    <s v="P"/>
    <s v="P"/>
    <s v="P"/>
    <s v="+"/>
    <s v="+"/>
    <n v="12.81"/>
    <s v="-"/>
    <s v="-"/>
    <s v="-"/>
    <s v="-"/>
    <s v="-"/>
    <s v="-"/>
    <s v="-"/>
    <s v="-"/>
    <s v="P"/>
    <s v="P"/>
    <s v="-"/>
    <n v="2"/>
    <n v="1"/>
    <n v="2"/>
    <n v="1"/>
    <s v="-"/>
    <s v="-"/>
    <s v="-"/>
    <s v="-"/>
    <s v="-"/>
    <s v="-"/>
    <s v="-"/>
    <n v="6"/>
    <n v="6"/>
    <s v="-"/>
    <n v="1"/>
    <n v="1"/>
    <n v="2"/>
    <n v="2"/>
    <n v="8"/>
    <n v="8"/>
  </r>
  <r>
    <x v="4"/>
    <x v="110"/>
    <d v="2026-04-28T00:00:00"/>
    <s v="2ND"/>
    <d v="1899-12-30T21:00:00"/>
    <n v="3"/>
    <x v="1"/>
    <n v="7.7000000000000002E-3"/>
    <s v="P"/>
    <s v="P"/>
    <s v="P"/>
    <s v="+"/>
    <s v="+"/>
    <n v="12.67"/>
    <s v="-"/>
    <s v="-"/>
    <s v="-"/>
    <s v="-"/>
    <s v="-"/>
    <s v="-"/>
    <s v="-"/>
    <s v="-"/>
    <s v="P"/>
    <s v="P"/>
    <s v="-"/>
    <n v="2"/>
    <n v="1"/>
    <n v="2"/>
    <n v="1"/>
    <s v="-"/>
    <s v="-"/>
    <s v="-"/>
    <s v="-"/>
    <s v="-"/>
    <s v="-"/>
    <s v="-"/>
    <n v="6"/>
    <n v="6"/>
    <s v="-"/>
    <n v="1"/>
    <n v="1"/>
    <n v="2"/>
    <n v="2"/>
    <n v="8"/>
    <n v="8"/>
  </r>
  <r>
    <x v="4"/>
    <x v="110"/>
    <d v="1902-03-26T00:00:00"/>
    <s v="3RD"/>
    <d v="1899-12-30T22:00:00"/>
    <n v="2"/>
    <x v="4"/>
    <n v="6.8999999999999999E-3"/>
    <s v="P"/>
    <s v="P"/>
    <s v="P"/>
    <s v="-"/>
    <s v="+"/>
    <n v="11.07"/>
    <n v="8.69"/>
    <s v="-"/>
    <s v="-"/>
    <s v="-"/>
    <s v="-"/>
    <n v="23.4"/>
    <s v="-"/>
    <s v="-"/>
    <s v="P"/>
    <s v="P"/>
    <s v="-"/>
    <n v="2"/>
    <n v="1"/>
    <n v="2"/>
    <n v="1"/>
    <n v="1"/>
    <s v="-"/>
    <s v="-"/>
    <s v="-"/>
    <s v="-"/>
    <n v="2"/>
    <s v="-"/>
    <n v="9"/>
    <n v="9"/>
    <s v="-"/>
    <n v="1"/>
    <n v="1"/>
    <n v="2"/>
    <n v="2"/>
    <n v="11"/>
    <n v="11"/>
  </r>
  <r>
    <x v="4"/>
    <x v="110"/>
    <d v="1902-03-26T00:00:00"/>
    <s v="3RD"/>
    <d v="1899-12-31T00:00:00"/>
    <n v="2"/>
    <x v="4"/>
    <n v="3.0999999999999999E-3"/>
    <s v="P"/>
    <s v="P"/>
    <s v="P"/>
    <s v="-"/>
    <s v="+"/>
    <n v="11.01"/>
    <s v="-"/>
    <s v="-"/>
    <s v="-"/>
    <s v="-"/>
    <s v="-"/>
    <s v="-"/>
    <s v="-"/>
    <s v="-"/>
    <s v="P"/>
    <s v="P"/>
    <n v="1"/>
    <n v="2"/>
    <n v="1"/>
    <n v="2"/>
    <n v="1"/>
    <s v="-"/>
    <s v="-"/>
    <s v="-"/>
    <s v="-"/>
    <s v="-"/>
    <s v="-"/>
    <s v="-"/>
    <n v="6"/>
    <n v="6"/>
    <s v="-"/>
    <n v="1"/>
    <n v="1"/>
    <n v="2"/>
    <n v="2"/>
    <n v="8"/>
    <n v="8"/>
  </r>
  <r>
    <x v="4"/>
    <x v="110"/>
    <d v="1902-03-26T00:00:00"/>
    <s v="3RD"/>
    <d v="1899-12-31T01:00:00"/>
    <n v="2"/>
    <x v="4"/>
    <n v="5.4999999999999997E-3"/>
    <s v="P"/>
    <s v="P"/>
    <s v="P"/>
    <s v="-"/>
    <s v="+"/>
    <n v="11.11"/>
    <s v="-"/>
    <s v="-"/>
    <s v="-"/>
    <s v="-"/>
    <s v="-"/>
    <s v="-"/>
    <s v="-"/>
    <s v="-"/>
    <s v="P"/>
    <s v="P"/>
    <n v="1"/>
    <n v="2"/>
    <n v="1"/>
    <n v="2"/>
    <n v="1"/>
    <s v="-"/>
    <s v="-"/>
    <s v="-"/>
    <s v="-"/>
    <s v="-"/>
    <s v="-"/>
    <s v="-"/>
    <n v="6"/>
    <n v="6"/>
    <s v="-"/>
    <n v="1"/>
    <n v="1"/>
    <n v="2"/>
    <n v="2"/>
    <n v="8"/>
    <n v="8"/>
  </r>
  <r>
    <x v="4"/>
    <x v="110"/>
    <d v="1902-03-26T00:00:00"/>
    <s v="3RD"/>
    <d v="1899-12-31T02:00:00"/>
    <n v="2"/>
    <x v="4"/>
    <n v="9.4000000000000004E-3"/>
    <s v="P"/>
    <s v="P"/>
    <s v="P"/>
    <s v="-"/>
    <s v="+"/>
    <n v="11.17"/>
    <s v="-"/>
    <s v="-"/>
    <s v="-"/>
    <s v="-"/>
    <s v="-"/>
    <s v="-"/>
    <s v="-"/>
    <s v="-"/>
    <s v="P"/>
    <s v="P"/>
    <s v="60% 10% 30%"/>
    <n v="2"/>
    <n v="1"/>
    <n v="2"/>
    <n v="1"/>
    <s v="-"/>
    <s v="-"/>
    <s v="-"/>
    <s v="-"/>
    <s v="-"/>
    <s v="-"/>
    <s v="-"/>
    <n v="6"/>
    <n v="6"/>
    <s v="-"/>
    <n v="1"/>
    <n v="1"/>
    <n v="2"/>
    <n v="2"/>
    <n v="8"/>
    <n v="8"/>
  </r>
  <r>
    <x v="4"/>
    <x v="110"/>
    <d v="1902-03-26T00:00:00"/>
    <s v="3RD"/>
    <d v="1899-12-31T03:00:00"/>
    <n v="2"/>
    <x v="7"/>
    <n v="1.6299999999999999E-2"/>
    <s v="P"/>
    <s v="P"/>
    <s v="P"/>
    <s v="-"/>
    <s v="+"/>
    <n v="10.79"/>
    <n v="9.74"/>
    <n v="0.51"/>
    <n v="56.7"/>
    <n v="12"/>
    <s v="-"/>
    <n v="26.8"/>
    <s v="-"/>
    <s v="-"/>
    <s v="P"/>
    <s v="P"/>
    <s v="60% 10% 30%"/>
    <n v="2"/>
    <n v="1"/>
    <n v="2"/>
    <n v="0"/>
    <n v="1"/>
    <n v="2"/>
    <n v="2"/>
    <n v="1"/>
    <s v="-"/>
    <n v="2"/>
    <s v="-"/>
    <n v="13"/>
    <n v="14"/>
    <s v="-"/>
    <n v="1"/>
    <n v="1"/>
    <n v="2"/>
    <n v="2"/>
    <n v="15"/>
    <n v="16"/>
  </r>
  <r>
    <x v="4"/>
    <x v="110"/>
    <d v="1902-03-26T00:00:00"/>
    <s v="3RD"/>
    <d v="1899-12-31T04:00:00"/>
    <n v="2"/>
    <x v="7"/>
    <n v="9.1000000000000004E-3"/>
    <s v="P"/>
    <s v="P"/>
    <s v="P"/>
    <s v="-"/>
    <s v="+"/>
    <n v="11.17"/>
    <s v="-"/>
    <s v="-"/>
    <s v="-"/>
    <s v="-"/>
    <s v="-"/>
    <s v="-"/>
    <s v="-"/>
    <s v="-"/>
    <s v="P"/>
    <s v="P"/>
    <s v="60% 10% 30%"/>
    <n v="2"/>
    <n v="1"/>
    <n v="2"/>
    <n v="1"/>
    <s v="-"/>
    <s v="-"/>
    <s v="-"/>
    <s v="-"/>
    <s v="-"/>
    <s v="-"/>
    <s v="-"/>
    <n v="6"/>
    <n v="6"/>
    <s v="-"/>
    <n v="1"/>
    <n v="1"/>
    <n v="2"/>
    <n v="2"/>
    <n v="8"/>
    <n v="8"/>
  </r>
  <r>
    <x v="4"/>
    <x v="110"/>
    <d v="1902-03-26T00:00:00"/>
    <s v="3RD"/>
    <d v="1899-12-31T05:00:00"/>
    <n v="2"/>
    <x v="7"/>
    <n v="1.7000000000000001E-2"/>
    <s v="P"/>
    <s v="P"/>
    <s v="P"/>
    <s v="-"/>
    <s v="+"/>
    <n v="11.11"/>
    <s v="-"/>
    <s v="-"/>
    <s v="-"/>
    <s v="-"/>
    <s v="-"/>
    <s v="-"/>
    <s v="-"/>
    <s v="-"/>
    <s v="P"/>
    <s v="P"/>
    <s v="-"/>
    <n v="2"/>
    <n v="1"/>
    <n v="2"/>
    <n v="1"/>
    <s v="-"/>
    <s v="-"/>
    <s v="-"/>
    <s v="-"/>
    <s v="-"/>
    <s v="-"/>
    <s v="-"/>
    <n v="6"/>
    <n v="6"/>
    <s v="-"/>
    <n v="1"/>
    <n v="1"/>
    <n v="2"/>
    <n v="2"/>
    <n v="8"/>
    <n v="8"/>
  </r>
  <r>
    <x v="4"/>
    <x v="110"/>
    <d v="2026-04-28T00:00:00"/>
    <s v="3RD"/>
    <d v="1899-12-30T23:00:00"/>
    <n v="3"/>
    <x v="1"/>
    <n v="1.01E-2"/>
    <s v="P"/>
    <s v="P"/>
    <s v="P"/>
    <s v="+"/>
    <s v="+"/>
    <n v="12.48"/>
    <n v="12.44"/>
    <s v="-"/>
    <s v="-"/>
    <s v="-"/>
    <s v="-"/>
    <n v="34.700000000000003"/>
    <s v="-"/>
    <s v="-"/>
    <s v="P"/>
    <s v="P"/>
    <s v="90% 10%"/>
    <n v="2"/>
    <n v="1"/>
    <n v="2"/>
    <n v="1"/>
    <n v="1"/>
    <s v="-"/>
    <s v="-"/>
    <s v="-"/>
    <s v="-"/>
    <n v="2"/>
    <s v="-"/>
    <n v="9"/>
    <n v="9"/>
    <s v="-"/>
    <n v="1"/>
    <n v="1"/>
    <n v="2"/>
    <n v="2"/>
    <n v="11"/>
    <n v="11"/>
  </r>
  <r>
    <x v="4"/>
    <x v="110"/>
    <d v="2026-04-28T00:00:00"/>
    <s v="3RD"/>
    <d v="1899-12-31T00:00:00"/>
    <n v="3"/>
    <x v="1"/>
    <n v="9.4000000000000004E-3"/>
    <s v="P"/>
    <s v="P"/>
    <s v="P"/>
    <s v="+"/>
    <s v="+"/>
    <n v="12.15"/>
    <s v="-"/>
    <s v="-"/>
    <s v="-"/>
    <s v="-"/>
    <s v="-"/>
    <s v="-"/>
    <s v="-"/>
    <s v="-"/>
    <s v="P"/>
    <s v="P"/>
    <s v="90% 10%"/>
    <n v="2"/>
    <n v="1"/>
    <n v="2"/>
    <n v="1"/>
    <s v="-"/>
    <s v="-"/>
    <s v="-"/>
    <s v="-"/>
    <s v="-"/>
    <s v="-"/>
    <s v="-"/>
    <n v="6"/>
    <n v="6"/>
    <s v="-"/>
    <n v="1"/>
    <n v="1"/>
    <n v="2"/>
    <n v="2"/>
    <n v="8"/>
    <n v="8"/>
  </r>
  <r>
    <x v="4"/>
    <x v="110"/>
    <d v="2026-05-15T00:00:00"/>
    <s v="3RD"/>
    <d v="1899-12-31T02:00:00"/>
    <n v="3"/>
    <x v="6"/>
    <n v="1.5299999999999999E-2"/>
    <s v="P"/>
    <s v="P"/>
    <s v="P"/>
    <s v="+"/>
    <s v="+"/>
    <n v="11.57"/>
    <n v="11.57"/>
    <n v="0.56000000000000005"/>
    <n v="64.8"/>
    <n v="10.6"/>
    <s v="-"/>
    <n v="35.5"/>
    <s v="-"/>
    <s v="-"/>
    <s v="P"/>
    <s v="P"/>
    <s v="70% 20% 10%"/>
    <n v="2"/>
    <n v="1"/>
    <n v="2"/>
    <n v="0"/>
    <n v="1"/>
    <n v="2"/>
    <n v="2"/>
    <n v="0"/>
    <s v="-"/>
    <n v="2"/>
    <s v="-"/>
    <n v="12"/>
    <n v="14"/>
    <s v="-"/>
    <n v="1"/>
    <n v="1"/>
    <n v="2"/>
    <n v="2"/>
    <n v="14"/>
    <n v="16"/>
  </r>
  <r>
    <x v="4"/>
    <x v="110"/>
    <d v="2026-05-15T00:00:00"/>
    <s v="3RD"/>
    <d v="1899-12-31T04:00:00"/>
    <n v="3"/>
    <x v="6"/>
    <n v="1.44E-2"/>
    <s v="P"/>
    <s v="P"/>
    <s v="P"/>
    <s v="+"/>
    <s v="+"/>
    <n v="12.26"/>
    <n v="12.67"/>
    <s v="-"/>
    <n v="64.8"/>
    <s v="-"/>
    <s v="-"/>
    <n v="35.5"/>
    <s v="-"/>
    <s v="-"/>
    <s v="P"/>
    <s v="P"/>
    <s v="70% 20% 10%"/>
    <n v="2"/>
    <n v="1"/>
    <n v="2"/>
    <n v="1"/>
    <n v="1"/>
    <s v="-"/>
    <n v="2"/>
    <s v="-"/>
    <s v="-"/>
    <n v="2"/>
    <s v="-"/>
    <n v="11"/>
    <n v="11"/>
    <s v="-"/>
    <n v="1"/>
    <n v="1"/>
    <n v="2"/>
    <n v="2"/>
    <n v="13"/>
    <n v="13"/>
  </r>
  <r>
    <x v="4"/>
    <x v="111"/>
    <d v="1902-03-26T00:00:00"/>
    <s v="1ST"/>
    <s v="06:00"/>
    <n v="2"/>
    <x v="7"/>
    <n v="1.12E-2"/>
    <s v="P"/>
    <s v="P"/>
    <s v="P"/>
    <s v="-"/>
    <s v="+"/>
    <n v="11.12"/>
    <n v="8.5299999999999994"/>
    <n v="0.56999999999999995"/>
    <n v="52.1"/>
    <s v="-"/>
    <s v="-"/>
    <n v="23"/>
    <s v="-"/>
    <s v="-"/>
    <s v="P"/>
    <s v="P"/>
    <s v="-"/>
    <n v="2"/>
    <n v="1"/>
    <n v="2"/>
    <n v="1"/>
    <n v="1"/>
    <n v="2"/>
    <n v="0"/>
    <s v="-"/>
    <s v="-"/>
    <n v="2"/>
    <s v="-"/>
    <n v="11"/>
    <n v="13"/>
    <s v="-"/>
    <n v="1"/>
    <n v="1"/>
    <n v="2"/>
    <n v="2"/>
    <n v="13"/>
    <n v="15"/>
  </r>
  <r>
    <x v="4"/>
    <x v="111"/>
    <d v="1899-12-30T00:00:00"/>
    <s v="1ST"/>
    <s v="07:00"/>
    <n v="2"/>
    <x v="7"/>
    <n v="5.4999999999999997E-3"/>
    <s v="P"/>
    <s v="P"/>
    <s v="P"/>
    <s v="-"/>
    <s v="+"/>
    <n v="11.12"/>
    <s v="-"/>
    <s v="-"/>
    <s v="-"/>
    <s v="-"/>
    <s v="-"/>
    <s v="-"/>
    <s v="-"/>
    <s v="-"/>
    <s v="P"/>
    <s v="P"/>
    <s v="-"/>
    <n v="2"/>
    <n v="1"/>
    <n v="2"/>
    <n v="1"/>
    <s v="-"/>
    <s v="-"/>
    <s v="-"/>
    <s v="-"/>
    <s v="-"/>
    <s v="-"/>
    <s v="-"/>
    <n v="6"/>
    <n v="6"/>
    <s v="-"/>
    <n v="1"/>
    <n v="1"/>
    <n v="2"/>
    <n v="2"/>
    <n v="8"/>
    <n v="8"/>
  </r>
  <r>
    <x v="4"/>
    <x v="111"/>
    <d v="1899-12-30T00:00:00"/>
    <s v="1ST"/>
    <s v="08:00"/>
    <n v="2"/>
    <x v="7"/>
    <n v="3.2000000000000002E-3"/>
    <s v="P"/>
    <s v="P"/>
    <s v="P"/>
    <s v="-"/>
    <s v="+"/>
    <n v="11.08"/>
    <s v="-"/>
    <s v="-"/>
    <s v="-"/>
    <s v="-"/>
    <s v="-"/>
    <s v="-"/>
    <s v="-"/>
    <s v="-"/>
    <s v="P"/>
    <s v="P"/>
    <s v="-"/>
    <n v="2"/>
    <n v="1"/>
    <n v="2"/>
    <n v="1"/>
    <s v="-"/>
    <s v="-"/>
    <s v="-"/>
    <s v="-"/>
    <s v="-"/>
    <s v="-"/>
    <s v="-"/>
    <n v="6"/>
    <n v="6"/>
    <s v="-"/>
    <n v="1"/>
    <n v="1"/>
    <n v="2"/>
    <n v="2"/>
    <n v="8"/>
    <n v="8"/>
  </r>
  <r>
    <x v="4"/>
    <x v="111"/>
    <d v="1899-12-30T00:00:00"/>
    <s v="1ST"/>
    <s v="09:00"/>
    <n v="2"/>
    <x v="7"/>
    <n v="4.5999999999999999E-3"/>
    <s v="P"/>
    <s v="P"/>
    <s v="P"/>
    <s v="-"/>
    <s v="+"/>
    <n v="10.92"/>
    <s v="-"/>
    <s v="-"/>
    <s v="-"/>
    <s v="-"/>
    <s v="-"/>
    <s v="-"/>
    <s v="-"/>
    <s v="-"/>
    <s v="P"/>
    <s v="P"/>
    <s v="-"/>
    <n v="2"/>
    <n v="1"/>
    <n v="2"/>
    <n v="0"/>
    <s v="-"/>
    <s v="-"/>
    <s v="-"/>
    <s v="-"/>
    <s v="-"/>
    <s v="-"/>
    <s v="-"/>
    <n v="5"/>
    <n v="6"/>
    <s v="-"/>
    <n v="1"/>
    <n v="1"/>
    <n v="2"/>
    <n v="2"/>
    <n v="7"/>
    <n v="8"/>
  </r>
  <r>
    <x v="4"/>
    <x v="111"/>
    <d v="1899-12-30T00:00:00"/>
    <s v="1ST"/>
    <s v="12:00"/>
    <n v="2"/>
    <x v="7"/>
    <n v="1.03E-2"/>
    <s v="P"/>
    <s v="P"/>
    <s v="P"/>
    <s v="-"/>
    <s v="+"/>
    <n v="11.93"/>
    <s v="-"/>
    <s v="-"/>
    <s v="-"/>
    <s v="-"/>
    <s v="-"/>
    <s v="-"/>
    <s v="-"/>
    <s v="-"/>
    <s v="P"/>
    <s v="P"/>
    <s v="-"/>
    <n v="2"/>
    <n v="1"/>
    <n v="2"/>
    <n v="1"/>
    <s v="-"/>
    <s v="-"/>
    <s v="-"/>
    <s v="-"/>
    <s v="-"/>
    <s v="-"/>
    <s v="-"/>
    <n v="6"/>
    <n v="6"/>
    <s v="-"/>
    <n v="1"/>
    <n v="1"/>
    <n v="2"/>
    <n v="2"/>
    <n v="8"/>
    <n v="8"/>
  </r>
  <r>
    <x v="4"/>
    <x v="111"/>
    <d v="1899-12-30T00:00:00"/>
    <s v="1ST"/>
    <s v="13:00"/>
    <n v="2"/>
    <x v="7"/>
    <n v="1.2200000000000001E-2"/>
    <s v="P"/>
    <s v="P"/>
    <s v="P"/>
    <s v="-"/>
    <s v="+"/>
    <n v="10.93"/>
    <s v="-"/>
    <s v="-"/>
    <s v="-"/>
    <s v="-"/>
    <s v="-"/>
    <s v="-"/>
    <s v="-"/>
    <s v="-"/>
    <s v="P"/>
    <s v="P"/>
    <s v="-"/>
    <n v="2"/>
    <n v="1"/>
    <n v="2"/>
    <n v="0"/>
    <s v="-"/>
    <s v="-"/>
    <s v="-"/>
    <s v="-"/>
    <s v="-"/>
    <s v="-"/>
    <s v="-"/>
    <n v="5"/>
    <n v="6"/>
    <s v="-"/>
    <n v="1"/>
    <n v="1"/>
    <n v="2"/>
    <n v="2"/>
    <n v="7"/>
    <n v="8"/>
  </r>
  <r>
    <x v="4"/>
    <x v="111"/>
    <d v="2026-05-15T00:00:00"/>
    <s v="1ST"/>
    <s v="06:00"/>
    <n v="3"/>
    <x v="6"/>
    <n v="1.7000000000000001E-2"/>
    <s v="P"/>
    <s v="P"/>
    <s v="P"/>
    <s v="+"/>
    <s v="+"/>
    <n v="12.17"/>
    <n v="11.88"/>
    <n v="0.47"/>
    <n v="64.900000000000006"/>
    <s v="-"/>
    <s v="-"/>
    <n v="33.15"/>
    <s v="-"/>
    <s v="-"/>
    <s v="P"/>
    <s v="P"/>
    <s v="70% 20% 10%"/>
    <n v="2"/>
    <n v="1"/>
    <n v="2"/>
    <n v="1"/>
    <n v="1"/>
    <n v="2"/>
    <n v="2"/>
    <s v="-"/>
    <s v="-"/>
    <n v="2"/>
    <s v="-"/>
    <n v="13"/>
    <n v="13"/>
    <s v="-"/>
    <n v="1"/>
    <n v="1"/>
    <n v="2"/>
    <n v="2"/>
    <n v="15"/>
    <n v="15"/>
  </r>
  <r>
    <x v="4"/>
    <x v="111"/>
    <d v="2026-05-15T00:00:00"/>
    <s v="1ST"/>
    <s v="08:00"/>
    <n v="3"/>
    <x v="6"/>
    <n v="3.2000000000000002E-3"/>
    <s v="P"/>
    <s v="P"/>
    <s v="P"/>
    <s v="+"/>
    <s v="+"/>
    <n v="12.08"/>
    <s v="-"/>
    <s v="-"/>
    <s v="-"/>
    <s v="-"/>
    <s v="-"/>
    <s v="-"/>
    <s v="-"/>
    <s v="-"/>
    <s v="P"/>
    <s v="P"/>
    <s v="-"/>
    <n v="2"/>
    <n v="1"/>
    <n v="2"/>
    <n v="1"/>
    <s v="-"/>
    <s v="-"/>
    <s v="-"/>
    <s v="-"/>
    <s v="-"/>
    <s v="-"/>
    <s v="-"/>
    <n v="6"/>
    <n v="6"/>
    <s v="-"/>
    <n v="1"/>
    <n v="1"/>
    <n v="2"/>
    <n v="2"/>
    <n v="8"/>
    <n v="8"/>
  </r>
  <r>
    <x v="4"/>
    <x v="111"/>
    <d v="2026-05-15T00:00:00"/>
    <s v="1ST"/>
    <s v="09:00"/>
    <n v="3"/>
    <x v="6"/>
    <n v="8.6999999999999994E-3"/>
    <s v="P"/>
    <s v="P"/>
    <s v="P"/>
    <s v="+"/>
    <s v="+"/>
    <n v="11.7"/>
    <s v="-"/>
    <s v="-"/>
    <s v="-"/>
    <s v="-"/>
    <s v="-"/>
    <s v="-"/>
    <s v="-"/>
    <s v="-"/>
    <s v="P"/>
    <s v="P"/>
    <s v="-"/>
    <n v="2"/>
    <n v="1"/>
    <n v="2"/>
    <n v="0"/>
    <s v="-"/>
    <s v="-"/>
    <s v="-"/>
    <s v="-"/>
    <s v="-"/>
    <s v="-"/>
    <s v="-"/>
    <n v="5"/>
    <n v="6"/>
    <s v="-"/>
    <n v="1"/>
    <n v="1"/>
    <n v="2"/>
    <n v="2"/>
    <n v="7"/>
    <n v="8"/>
  </r>
  <r>
    <x v="4"/>
    <x v="111"/>
    <d v="2026-05-15T00:00:00"/>
    <s v="1ST"/>
    <s v="10:00"/>
    <n v="3"/>
    <x v="6"/>
    <n v="1.5100000000000001E-2"/>
    <s v="P"/>
    <s v="P"/>
    <s v="P"/>
    <s v="+"/>
    <s v="+"/>
    <n v="12.35"/>
    <s v="-"/>
    <s v="-"/>
    <s v="-"/>
    <s v="-"/>
    <s v="-"/>
    <s v="-"/>
    <s v="-"/>
    <s v="-"/>
    <s v="P"/>
    <s v="P"/>
    <s v="-"/>
    <n v="2"/>
    <n v="1"/>
    <n v="2"/>
    <n v="1"/>
    <s v="-"/>
    <s v="-"/>
    <s v="-"/>
    <s v="-"/>
    <s v="-"/>
    <s v="-"/>
    <s v="-"/>
    <n v="6"/>
    <n v="6"/>
    <s v="-"/>
    <n v="1"/>
    <n v="1"/>
    <n v="2"/>
    <n v="2"/>
    <n v="8"/>
    <n v="8"/>
  </r>
  <r>
    <x v="4"/>
    <x v="111"/>
    <d v="2026-05-15T00:00:00"/>
    <s v="1ST"/>
    <s v="12:00"/>
    <n v="3"/>
    <x v="6"/>
    <n v="8.6999999999999994E-3"/>
    <s v="P"/>
    <s v="P"/>
    <s v="P"/>
    <s v="+"/>
    <s v="+"/>
    <n v="12.14"/>
    <s v="-"/>
    <s v="-"/>
    <s v="-"/>
    <s v="-"/>
    <s v="-"/>
    <s v="-"/>
    <s v="-"/>
    <s v="-"/>
    <s v="P"/>
    <s v="P"/>
    <s v="-"/>
    <n v="2"/>
    <n v="1"/>
    <n v="2"/>
    <n v="1"/>
    <s v="-"/>
    <s v="-"/>
    <s v="-"/>
    <s v="-"/>
    <s v="-"/>
    <s v="-"/>
    <s v="-"/>
    <n v="6"/>
    <n v="6"/>
    <s v="-"/>
    <n v="1"/>
    <n v="1"/>
    <n v="2"/>
    <n v="2"/>
    <n v="8"/>
    <n v="8"/>
  </r>
  <r>
    <x v="4"/>
    <x v="111"/>
    <d v="2026-05-15T00:00:00"/>
    <s v="1ST"/>
    <s v="13:00"/>
    <n v="3"/>
    <x v="6"/>
    <n v="1.0200000000000001E-2"/>
    <s v="P"/>
    <s v="P"/>
    <s v="P"/>
    <s v="+"/>
    <s v="+"/>
    <n v="11.88"/>
    <s v="-"/>
    <s v="-"/>
    <s v="-"/>
    <s v="-"/>
    <s v="-"/>
    <s v="-"/>
    <s v="-"/>
    <s v="-"/>
    <s v="P"/>
    <s v="P"/>
    <s v="-"/>
    <n v="2"/>
    <n v="1"/>
    <n v="2"/>
    <n v="0"/>
    <s v="-"/>
    <s v="-"/>
    <s v="-"/>
    <s v="-"/>
    <s v="-"/>
    <s v="-"/>
    <s v="-"/>
    <n v="5"/>
    <n v="6"/>
    <s v="-"/>
    <n v="1"/>
    <n v="1"/>
    <n v="2"/>
    <n v="2"/>
    <n v="7"/>
    <n v="8"/>
  </r>
  <r>
    <x v="4"/>
    <x v="111"/>
    <d v="1899-12-30T00:00:00"/>
    <s v="2ND"/>
    <d v="1899-12-30T14:00:00"/>
    <n v="2"/>
    <x v="7"/>
    <n v="8.8999999999999999E-3"/>
    <s v="P"/>
    <s v="P"/>
    <s v="P"/>
    <s v="-"/>
    <s v="+"/>
    <n v="10.71"/>
    <n v="9.2200000000000006"/>
    <s v="-"/>
    <s v="-"/>
    <s v="-"/>
    <s v="-"/>
    <n v="25.1"/>
    <s v="-"/>
    <n v="25.16"/>
    <s v="P"/>
    <s v="P"/>
    <s v="-"/>
    <n v="2"/>
    <n v="1"/>
    <n v="2"/>
    <n v="0"/>
    <n v="1"/>
    <s v="-"/>
    <s v="-"/>
    <s v="-"/>
    <s v="-"/>
    <n v="2"/>
    <s v="-"/>
    <n v="8"/>
    <n v="9"/>
    <n v="1"/>
    <n v="1"/>
    <n v="1"/>
    <n v="3"/>
    <n v="3"/>
    <n v="11"/>
    <n v="12"/>
  </r>
  <r>
    <x v="4"/>
    <x v="111"/>
    <d v="1899-12-30T00:00:00"/>
    <s v="2ND"/>
    <d v="1899-12-30T15:00:00"/>
    <n v="2"/>
    <x v="7"/>
    <n v="1.2699999999999999E-2"/>
    <s v="P"/>
    <s v="P"/>
    <s v="P"/>
    <s v="-"/>
    <s v="+"/>
    <n v="10.96"/>
    <s v="-"/>
    <s v="-"/>
    <s v="-"/>
    <s v="-"/>
    <s v="-"/>
    <s v="-"/>
    <s v="-"/>
    <s v="-"/>
    <s v="P"/>
    <s v="P"/>
    <s v="-"/>
    <n v="2"/>
    <n v="1"/>
    <n v="2"/>
    <n v="0"/>
    <s v="-"/>
    <s v="-"/>
    <s v="-"/>
    <s v="-"/>
    <s v="-"/>
    <s v="-"/>
    <s v="-"/>
    <n v="5"/>
    <n v="6"/>
    <s v="-"/>
    <n v="1"/>
    <n v="1"/>
    <n v="2"/>
    <n v="2"/>
    <n v="7"/>
    <n v="8"/>
  </r>
  <r>
    <x v="4"/>
    <x v="111"/>
    <d v="1899-12-30T00:00:00"/>
    <s v="2ND"/>
    <d v="1899-12-30T16:00:00"/>
    <n v="2"/>
    <x v="7"/>
    <n v="1.12E-2"/>
    <s v="P"/>
    <s v="P"/>
    <s v="P"/>
    <s v="-"/>
    <s v="+"/>
    <n v="10.76"/>
    <s v="-"/>
    <s v="-"/>
    <s v="-"/>
    <s v="-"/>
    <s v="-"/>
    <s v="-"/>
    <s v="-"/>
    <s v="-"/>
    <s v="P"/>
    <s v="P"/>
    <s v="-"/>
    <n v="2"/>
    <n v="1"/>
    <n v="2"/>
    <n v="0"/>
    <s v="-"/>
    <s v="-"/>
    <s v="-"/>
    <s v="-"/>
    <s v="-"/>
    <s v="-"/>
    <s v="-"/>
    <n v="5"/>
    <n v="6"/>
    <s v="-"/>
    <n v="1"/>
    <n v="1"/>
    <n v="2"/>
    <n v="2"/>
    <n v="7"/>
    <n v="8"/>
  </r>
  <r>
    <x v="4"/>
    <x v="111"/>
    <d v="1899-12-30T00:00:00"/>
    <s v="2ND"/>
    <d v="1899-12-30T18:00:00"/>
    <n v="2"/>
    <x v="21"/>
    <n v="1.03E-2"/>
    <s v="P"/>
    <s v="P"/>
    <s v="P"/>
    <s v="-"/>
    <s v="+"/>
    <n v="11.2"/>
    <n v="9.51"/>
    <n v="0.6"/>
    <n v="55.2"/>
    <s v="-"/>
    <s v="-"/>
    <n v="26"/>
    <s v="-"/>
    <s v="-"/>
    <s v="P"/>
    <s v="P"/>
    <s v="-"/>
    <n v="2"/>
    <n v="1"/>
    <n v="2"/>
    <n v="1"/>
    <s v="-"/>
    <n v="0"/>
    <n v="2"/>
    <s v="-"/>
    <s v="-"/>
    <n v="2"/>
    <s v="-"/>
    <n v="10"/>
    <n v="12"/>
    <s v="-"/>
    <n v="1"/>
    <n v="1"/>
    <n v="2"/>
    <n v="2"/>
    <n v="12"/>
    <n v="14"/>
  </r>
  <r>
    <x v="4"/>
    <x v="111"/>
    <d v="1899-12-30T00:00:00"/>
    <s v="2ND"/>
    <d v="1899-12-30T19:00:00"/>
    <n v="2"/>
    <x v="21"/>
    <n v="8.9999999999999993E-3"/>
    <s v="P"/>
    <s v="P"/>
    <s v="P"/>
    <s v="-"/>
    <s v="+"/>
    <n v="10.96"/>
    <s v="-"/>
    <s v="-"/>
    <s v="-"/>
    <s v="-"/>
    <s v="-"/>
    <s v="-"/>
    <s v="-"/>
    <s v="-"/>
    <s v="P"/>
    <s v="P"/>
    <s v="-"/>
    <n v="2"/>
    <n v="1"/>
    <n v="2"/>
    <n v="0"/>
    <s v="-"/>
    <s v="-"/>
    <s v="-"/>
    <s v="-"/>
    <s v="-"/>
    <s v="-"/>
    <s v="-"/>
    <n v="5"/>
    <n v="6"/>
    <s v="-"/>
    <n v="1"/>
    <n v="1"/>
    <n v="2"/>
    <n v="2"/>
    <n v="7"/>
    <n v="8"/>
  </r>
  <r>
    <x v="4"/>
    <x v="111"/>
    <d v="1899-12-30T00:00:00"/>
    <s v="2ND"/>
    <d v="1899-12-30T20:00:00"/>
    <n v="2"/>
    <x v="21"/>
    <n v="1.15E-2"/>
    <s v="P"/>
    <s v="P"/>
    <s v="P"/>
    <s v="-"/>
    <s v="+"/>
    <n v="11.19"/>
    <s v="-"/>
    <s v="-"/>
    <s v="-"/>
    <s v="-"/>
    <s v="-"/>
    <s v="-"/>
    <s v="-"/>
    <s v="-"/>
    <s v="P"/>
    <s v="P"/>
    <s v="-"/>
    <n v="2"/>
    <n v="1"/>
    <n v="2"/>
    <n v="1"/>
    <s v="-"/>
    <s v="-"/>
    <s v="-"/>
    <s v="-"/>
    <s v="-"/>
    <s v="-"/>
    <s v="-"/>
    <n v="6"/>
    <n v="6"/>
    <s v="-"/>
    <n v="1"/>
    <n v="1"/>
    <n v="2"/>
    <n v="2"/>
    <n v="8"/>
    <n v="8"/>
  </r>
  <r>
    <x v="4"/>
    <x v="111"/>
    <d v="1899-12-30T00:00:00"/>
    <s v="2ND"/>
    <d v="1899-12-30T21:00:00"/>
    <n v="2"/>
    <x v="21"/>
    <n v="4.3E-3"/>
    <s v="P"/>
    <s v="P"/>
    <s v="P"/>
    <s v="-"/>
    <s v="+"/>
    <n v="10.97"/>
    <s v="-"/>
    <s v="-"/>
    <s v="-"/>
    <s v="-"/>
    <s v="-"/>
    <s v="-"/>
    <s v="-"/>
    <s v="-"/>
    <s v="P"/>
    <s v="P"/>
    <s v="-"/>
    <n v="2"/>
    <n v="1"/>
    <n v="2"/>
    <n v="0"/>
    <s v="-"/>
    <s v="-"/>
    <s v="-"/>
    <s v="-"/>
    <s v="-"/>
    <s v="-"/>
    <s v="-"/>
    <n v="5"/>
    <n v="6"/>
    <s v="-"/>
    <n v="1"/>
    <n v="1"/>
    <n v="2"/>
    <n v="2"/>
    <n v="7"/>
    <n v="8"/>
  </r>
  <r>
    <x v="4"/>
    <x v="111"/>
    <d v="2026-05-15T00:00:00"/>
    <s v="2ND"/>
    <d v="1899-12-30T14:00:00"/>
    <n v="3"/>
    <x v="6"/>
    <n v="1.9099999999999999E-2"/>
    <s v="P"/>
    <s v="P"/>
    <s v="P"/>
    <s v="+"/>
    <s v="+"/>
    <n v="11.3"/>
    <n v="12.47"/>
    <n v="0.47"/>
    <n v="64.900000000000006"/>
    <s v="-"/>
    <s v="-"/>
    <n v="35"/>
    <s v="-"/>
    <n v="25.19"/>
    <s v="P"/>
    <s v="P"/>
    <s v="-"/>
    <n v="2"/>
    <n v="1"/>
    <n v="2"/>
    <n v="0"/>
    <n v="1"/>
    <n v="2"/>
    <n v="2"/>
    <s v="-"/>
    <s v="-"/>
    <n v="2"/>
    <s v="-"/>
    <n v="12"/>
    <n v="13"/>
    <n v="1"/>
    <n v="1"/>
    <n v="1"/>
    <n v="3"/>
    <n v="3"/>
    <n v="15"/>
    <n v="16"/>
  </r>
  <r>
    <x v="4"/>
    <x v="111"/>
    <d v="2026-05-20T00:00:00"/>
    <s v="2ND"/>
    <d v="1899-12-30T21:00:00"/>
    <n v="3"/>
    <x v="16"/>
    <n v="1.83E-2"/>
    <s v="P"/>
    <s v="P"/>
    <s v="P"/>
    <s v="+"/>
    <s v="+"/>
    <n v="11.12"/>
    <n v="13.12"/>
    <n v="0.51"/>
    <n v="66"/>
    <n v="12"/>
    <s v="-"/>
    <n v="37.1"/>
    <s v="-"/>
    <s v="-"/>
    <s v="P"/>
    <s v="P"/>
    <s v="-"/>
    <n v="2"/>
    <n v="1"/>
    <n v="2"/>
    <n v="0"/>
    <n v="1"/>
    <n v="2"/>
    <n v="2"/>
    <n v="1"/>
    <s v="-"/>
    <n v="2"/>
    <s v="-"/>
    <n v="13"/>
    <n v="14"/>
    <s v="-"/>
    <n v="1"/>
    <n v="1"/>
    <n v="2"/>
    <n v="2"/>
    <n v="15"/>
    <n v="16"/>
  </r>
  <r>
    <x v="4"/>
    <x v="111"/>
    <d v="1902-03-26T00:00:00"/>
    <s v="3RD"/>
    <d v="1899-12-30T22:00:00"/>
    <n v="2"/>
    <x v="21"/>
    <n v="3.2000000000000002E-3"/>
    <s v="P"/>
    <s v="P"/>
    <s v="P"/>
    <s v="-"/>
    <s v="+"/>
    <n v="11.15"/>
    <n v="9.49"/>
    <s v="-"/>
    <s v="-"/>
    <s v="-"/>
    <s v="-"/>
    <n v="26"/>
    <s v="-"/>
    <s v="-"/>
    <s v="P"/>
    <s v="P"/>
    <n v="1"/>
    <n v="2"/>
    <n v="1"/>
    <n v="2"/>
    <n v="1"/>
    <s v="-"/>
    <s v="-"/>
    <s v="-"/>
    <s v="-"/>
    <s v="-"/>
    <n v="2"/>
    <s v="-"/>
    <n v="8"/>
    <n v="8"/>
    <s v="-"/>
    <n v="1"/>
    <n v="1"/>
    <n v="2"/>
    <n v="2"/>
    <n v="10"/>
    <n v="10"/>
  </r>
  <r>
    <x v="4"/>
    <x v="111"/>
    <d v="1902-03-26T00:00:00"/>
    <s v="3RD"/>
    <d v="1899-12-30T23:00:00"/>
    <n v="2"/>
    <x v="21"/>
    <n v="8.2000000000000007E-3"/>
    <s v="P"/>
    <s v="P"/>
    <s v="P"/>
    <s v="-"/>
    <s v="+"/>
    <n v="11.16"/>
    <s v="-"/>
    <s v="-"/>
    <s v="-"/>
    <s v="-"/>
    <s v="-"/>
    <s v="-"/>
    <s v="-"/>
    <s v="-"/>
    <s v="P"/>
    <s v="P"/>
    <n v="1"/>
    <n v="2"/>
    <n v="1"/>
    <n v="2"/>
    <n v="1"/>
    <s v="-"/>
    <s v="-"/>
    <s v="-"/>
    <s v="-"/>
    <s v="-"/>
    <s v="-"/>
    <s v="-"/>
    <n v="6"/>
    <n v="6"/>
    <s v="-"/>
    <n v="1"/>
    <n v="1"/>
    <n v="2"/>
    <n v="2"/>
    <n v="8"/>
    <n v="8"/>
  </r>
  <r>
    <x v="4"/>
    <x v="111"/>
    <d v="1902-03-26T00:00:00"/>
    <s v="3RD"/>
    <d v="1899-12-31T00:00:00"/>
    <n v="2"/>
    <x v="21"/>
    <n v="5.8999999999999999E-3"/>
    <s v="P"/>
    <s v="P"/>
    <s v="P"/>
    <s v="-"/>
    <s v="+"/>
    <n v="10.95"/>
    <s v="-"/>
    <s v="-"/>
    <s v="-"/>
    <s v="-"/>
    <s v="-"/>
    <s v="-"/>
    <s v="-"/>
    <s v="-"/>
    <s v="P"/>
    <s v="P"/>
    <n v="1"/>
    <n v="2"/>
    <n v="1"/>
    <n v="2"/>
    <n v="0"/>
    <s v="-"/>
    <s v="-"/>
    <s v="-"/>
    <s v="-"/>
    <s v="-"/>
    <s v="-"/>
    <s v="-"/>
    <n v="5"/>
    <n v="6"/>
    <s v="-"/>
    <n v="1"/>
    <n v="1"/>
    <n v="2"/>
    <n v="2"/>
    <n v="7"/>
    <n v="8"/>
  </r>
  <r>
    <x v="4"/>
    <x v="111"/>
    <d v="1902-03-26T00:00:00"/>
    <s v="3RD"/>
    <d v="1899-12-31T01:00:00"/>
    <n v="2"/>
    <x v="21"/>
    <n v="3.0999999999999999E-3"/>
    <s v="P"/>
    <s v="P"/>
    <s v="P"/>
    <s v="-"/>
    <s v="+"/>
    <n v="11.15"/>
    <s v="-"/>
    <s v="-"/>
    <s v="-"/>
    <s v="-"/>
    <s v="-"/>
    <s v="-"/>
    <s v="-"/>
    <s v="-"/>
    <s v="P"/>
    <s v="P"/>
    <n v="1"/>
    <n v="2"/>
    <n v="1"/>
    <n v="2"/>
    <n v="1"/>
    <s v="-"/>
    <s v="-"/>
    <s v="-"/>
    <s v="-"/>
    <s v="-"/>
    <s v="-"/>
    <s v="-"/>
    <n v="6"/>
    <n v="6"/>
    <s v="-"/>
    <n v="1"/>
    <n v="1"/>
    <n v="2"/>
    <n v="2"/>
    <n v="8"/>
    <n v="8"/>
  </r>
  <r>
    <x v="4"/>
    <x v="111"/>
    <d v="1902-03-26T00:00:00"/>
    <s v="3RD"/>
    <d v="1899-12-31T02:00:00"/>
    <n v="2"/>
    <x v="21"/>
    <n v="6.8999999999999999E-3"/>
    <s v="P"/>
    <s v="P"/>
    <s v="P"/>
    <s v="-"/>
    <s v="+"/>
    <n v="10.89"/>
    <s v="-"/>
    <s v="-"/>
    <s v="-"/>
    <s v="-"/>
    <s v="-"/>
    <s v="-"/>
    <s v="-"/>
    <s v="-"/>
    <s v="P"/>
    <s v="P"/>
    <n v="1"/>
    <n v="2"/>
    <n v="1"/>
    <n v="2"/>
    <n v="0"/>
    <s v="-"/>
    <s v="-"/>
    <s v="-"/>
    <s v="-"/>
    <s v="-"/>
    <s v="-"/>
    <s v="-"/>
    <n v="5"/>
    <n v="6"/>
    <s v="-"/>
    <n v="1"/>
    <n v="1"/>
    <n v="2"/>
    <n v="2"/>
    <n v="7"/>
    <n v="8"/>
  </r>
  <r>
    <x v="4"/>
    <x v="111"/>
    <d v="1902-03-26T00:00:00"/>
    <s v="3RD"/>
    <d v="1899-12-31T03:00:00"/>
    <n v="2"/>
    <x v="21"/>
    <n v="4.7999999999999996E-3"/>
    <s v="P"/>
    <s v="P"/>
    <s v="P"/>
    <s v="-"/>
    <s v="+"/>
    <n v="10.94"/>
    <s v="-"/>
    <s v="-"/>
    <s v="-"/>
    <s v="-"/>
    <s v="-"/>
    <s v="-"/>
    <s v="-"/>
    <s v="-"/>
    <s v="P"/>
    <s v="P"/>
    <n v="1"/>
    <n v="2"/>
    <n v="1"/>
    <n v="2"/>
    <n v="0"/>
    <s v="-"/>
    <s v="-"/>
    <s v="-"/>
    <s v="-"/>
    <s v="-"/>
    <s v="-"/>
    <s v="-"/>
    <n v="5"/>
    <n v="6"/>
    <s v="-"/>
    <n v="1"/>
    <n v="1"/>
    <n v="2"/>
    <n v="2"/>
    <n v="7"/>
    <n v="8"/>
  </r>
  <r>
    <x v="4"/>
    <x v="111"/>
    <d v="1902-03-26T00:00:00"/>
    <s v="3RD"/>
    <d v="1899-12-31T04:00:00"/>
    <n v="2"/>
    <x v="21"/>
    <n v="1.1900000000000001E-2"/>
    <s v="P"/>
    <s v="P"/>
    <s v="P"/>
    <s v="-"/>
    <s v="+"/>
    <n v="10.95"/>
    <s v="-"/>
    <s v="-"/>
    <s v="-"/>
    <s v="-"/>
    <s v="-"/>
    <s v="-"/>
    <s v="-"/>
    <s v="-"/>
    <s v="P"/>
    <s v="P"/>
    <n v="1"/>
    <n v="2"/>
    <n v="1"/>
    <n v="2"/>
    <n v="0"/>
    <s v="-"/>
    <s v="-"/>
    <s v="-"/>
    <s v="-"/>
    <s v="-"/>
    <s v="-"/>
    <s v="-"/>
    <n v="5"/>
    <n v="6"/>
    <s v="-"/>
    <n v="1"/>
    <n v="1"/>
    <n v="2"/>
    <n v="2"/>
    <n v="7"/>
    <n v="8"/>
  </r>
  <r>
    <x v="4"/>
    <x v="111"/>
    <d v="1902-03-26T00:00:00"/>
    <s v="3RD"/>
    <d v="1899-12-31T05:00:00"/>
    <n v="2"/>
    <x v="21"/>
    <n v="6.1000000000000004E-3"/>
    <s v="P"/>
    <s v="P"/>
    <s v="P"/>
    <s v="-"/>
    <s v="+"/>
    <n v="10.89"/>
    <s v="-"/>
    <s v="-"/>
    <s v="-"/>
    <s v="-"/>
    <s v="-"/>
    <s v="-"/>
    <s v="-"/>
    <s v="-"/>
    <s v="P"/>
    <s v="P"/>
    <s v="-"/>
    <n v="2"/>
    <n v="1"/>
    <n v="2"/>
    <n v="0"/>
    <s v="-"/>
    <s v="-"/>
    <s v="-"/>
    <s v="-"/>
    <s v="-"/>
    <s v="-"/>
    <s v="-"/>
    <n v="5"/>
    <n v="6"/>
    <s v="-"/>
    <n v="1"/>
    <n v="1"/>
    <n v="2"/>
    <n v="2"/>
    <n v="7"/>
    <n v="8"/>
  </r>
  <r>
    <x v="4"/>
    <x v="111"/>
    <d v="2026-05-20T00:00:00"/>
    <s v="3RD"/>
    <d v="1899-12-30T23:00:00"/>
    <n v="3"/>
    <x v="16"/>
    <n v="1.3899999999999999E-2"/>
    <s v="P"/>
    <s v="P"/>
    <s v="P"/>
    <s v="+"/>
    <s v="+"/>
    <n v="11.31"/>
    <n v="12.87"/>
    <n v="0.53"/>
    <n v="66"/>
    <s v="-"/>
    <s v="-"/>
    <n v="36.299999999999997"/>
    <s v="-"/>
    <s v="-"/>
    <s v="P"/>
    <s v="P"/>
    <n v="1"/>
    <n v="2"/>
    <n v="1"/>
    <n v="2"/>
    <n v="0"/>
    <n v="1"/>
    <n v="2"/>
    <n v="2"/>
    <s v="-"/>
    <s v="-"/>
    <n v="2"/>
    <s v="-"/>
    <n v="12"/>
    <n v="13"/>
    <s v="-"/>
    <n v="1"/>
    <n v="1"/>
    <n v="2"/>
    <n v="2"/>
    <n v="14"/>
    <n v="15"/>
  </r>
  <r>
    <x v="4"/>
    <x v="111"/>
    <d v="2026-05-20T00:00:00"/>
    <s v="3RD"/>
    <d v="1899-12-31T00:00:00"/>
    <n v="3"/>
    <x v="16"/>
    <n v="1.5599999999999999E-2"/>
    <s v="P"/>
    <s v="P"/>
    <s v="P"/>
    <s v="+"/>
    <s v="+"/>
    <n v="11.43"/>
    <s v="-"/>
    <s v="-"/>
    <s v="-"/>
    <s v="-"/>
    <s v="-"/>
    <s v="-"/>
    <s v="-"/>
    <s v="-"/>
    <s v="P"/>
    <s v="P"/>
    <n v="1"/>
    <n v="2"/>
    <n v="1"/>
    <n v="2"/>
    <n v="0"/>
    <s v="-"/>
    <s v="-"/>
    <s v="-"/>
    <s v="-"/>
    <s v="-"/>
    <s v="-"/>
    <s v="-"/>
    <n v="5"/>
    <n v="6"/>
    <s v="-"/>
    <n v="1"/>
    <n v="1"/>
    <n v="2"/>
    <n v="2"/>
    <n v="7"/>
    <n v="8"/>
  </r>
  <r>
    <x v="4"/>
    <x v="111"/>
    <d v="2026-05-20T00:00:00"/>
    <s v="3RD"/>
    <d v="1899-12-31T02:00:00"/>
    <n v="3"/>
    <x v="16"/>
    <n v="1.8700000000000001E-2"/>
    <s v="P"/>
    <s v="P"/>
    <s v="P"/>
    <s v="+"/>
    <s v="+"/>
    <n v="11.38"/>
    <s v="-"/>
    <s v="-"/>
    <s v="-"/>
    <s v="-"/>
    <s v="-"/>
    <s v="-"/>
    <s v="-"/>
    <s v="-"/>
    <s v="P"/>
    <s v="P"/>
    <n v="1"/>
    <n v="2"/>
    <n v="1"/>
    <n v="2"/>
    <n v="0"/>
    <s v="-"/>
    <s v="-"/>
    <s v="-"/>
    <s v="-"/>
    <s v="-"/>
    <s v="-"/>
    <s v="-"/>
    <n v="5"/>
    <n v="6"/>
    <s v="-"/>
    <n v="1"/>
    <n v="1"/>
    <n v="2"/>
    <n v="2"/>
    <n v="7"/>
    <n v="8"/>
  </r>
  <r>
    <x v="4"/>
    <x v="111"/>
    <d v="2026-05-20T00:00:00"/>
    <s v="3RD"/>
    <d v="1899-12-31T03:00:00"/>
    <n v="3"/>
    <x v="16"/>
    <n v="1.8100000000000002E-2"/>
    <s v="P"/>
    <s v="P"/>
    <s v="P"/>
    <s v="+"/>
    <s v="+"/>
    <n v="11.38"/>
    <s v="-"/>
    <s v="-"/>
    <s v="-"/>
    <s v="-"/>
    <s v="-"/>
    <s v="-"/>
    <s v="-"/>
    <s v="-"/>
    <s v="P"/>
    <s v="P"/>
    <n v="1"/>
    <n v="2"/>
    <n v="1"/>
    <n v="2"/>
    <n v="0"/>
    <s v="-"/>
    <s v="-"/>
    <s v="-"/>
    <s v="-"/>
    <s v="-"/>
    <s v="-"/>
    <s v="-"/>
    <n v="5"/>
    <n v="6"/>
    <s v="-"/>
    <n v="1"/>
    <n v="1"/>
    <n v="2"/>
    <n v="2"/>
    <n v="7"/>
    <n v="8"/>
  </r>
  <r>
    <x v="4"/>
    <x v="111"/>
    <d v="2026-05-20T00:00:00"/>
    <s v="3RD"/>
    <d v="1899-12-31T04:00:00"/>
    <n v="3"/>
    <x v="16"/>
    <n v="1.46E-2"/>
    <s v="P"/>
    <s v="P"/>
    <s v="P"/>
    <s v="+"/>
    <s v="+"/>
    <n v="11.1"/>
    <s v="-"/>
    <s v="-"/>
    <s v="-"/>
    <s v="-"/>
    <s v="-"/>
    <s v="-"/>
    <s v="-"/>
    <s v="-"/>
    <s v="P"/>
    <s v="P"/>
    <n v="1"/>
    <n v="2"/>
    <n v="1"/>
    <n v="2"/>
    <n v="0"/>
    <s v="-"/>
    <s v="-"/>
    <s v="-"/>
    <s v="-"/>
    <s v="-"/>
    <s v="-"/>
    <s v="-"/>
    <n v="5"/>
    <n v="6"/>
    <s v="-"/>
    <n v="1"/>
    <n v="1"/>
    <n v="2"/>
    <n v="2"/>
    <n v="7"/>
    <n v="8"/>
  </r>
  <r>
    <x v="4"/>
    <x v="111"/>
    <d v="2026-05-20T00:00:00"/>
    <s v="3RD"/>
    <d v="1899-12-31T05:00:00"/>
    <n v="3"/>
    <x v="16"/>
    <n v="1.84E-2"/>
    <s v="P"/>
    <s v="P"/>
    <s v="P"/>
    <s v="+"/>
    <s v="+"/>
    <n v="11.38"/>
    <s v="-"/>
    <s v="-"/>
    <s v="-"/>
    <s v="-"/>
    <s v="-"/>
    <s v="-"/>
    <s v="-"/>
    <s v="-"/>
    <s v="P"/>
    <s v="P"/>
    <n v="1"/>
    <n v="2"/>
    <n v="1"/>
    <n v="2"/>
    <n v="0"/>
    <s v="-"/>
    <s v="-"/>
    <s v="-"/>
    <s v="-"/>
    <s v="-"/>
    <s v="-"/>
    <s v="-"/>
    <n v="5"/>
    <n v="6"/>
    <s v="-"/>
    <n v="1"/>
    <n v="1"/>
    <n v="2"/>
    <n v="2"/>
    <n v="7"/>
    <n v="8"/>
  </r>
  <r>
    <x v="4"/>
    <x v="112"/>
    <d v="1902-03-26T00:00:00"/>
    <s v="1ST"/>
    <s v="06:00"/>
    <n v="2"/>
    <x v="21"/>
    <n v="5.1000000000000004E-3"/>
    <s v="P"/>
    <s v="P"/>
    <s v="P"/>
    <s v="-"/>
    <s v="+"/>
    <n v="10.83"/>
    <s v="-"/>
    <s v="-"/>
    <s v="-"/>
    <s v="-"/>
    <s v="-"/>
    <s v="-"/>
    <s v="-"/>
    <s v="-"/>
    <s v="P"/>
    <s v="P"/>
    <s v="-"/>
    <n v="2"/>
    <n v="1"/>
    <n v="2"/>
    <n v="0"/>
    <s v="-"/>
    <s v="-"/>
    <s v="-"/>
    <s v="-"/>
    <s v="-"/>
    <s v="-"/>
    <s v="-"/>
    <n v="5"/>
    <n v="6"/>
    <s v="-"/>
    <n v="1"/>
    <n v="1"/>
    <n v="2"/>
    <n v="2"/>
    <n v="7"/>
    <n v="8"/>
  </r>
  <r>
    <x v="4"/>
    <x v="112"/>
    <d v="1899-12-30T00:00:00"/>
    <s v="1ST"/>
    <s v="07:00"/>
    <n v="2"/>
    <x v="4"/>
    <n v="3.3E-3"/>
    <s v="P"/>
    <s v="P"/>
    <s v="P"/>
    <s v="-"/>
    <s v="+"/>
    <n v="11.04"/>
    <n v="8.77"/>
    <n v="0.53"/>
    <n v="55.3"/>
    <s v="-"/>
    <s v="-"/>
    <n v="23.8"/>
    <s v="-"/>
    <s v="-"/>
    <s v="P"/>
    <s v="P"/>
    <s v="-"/>
    <n v="2"/>
    <n v="1"/>
    <n v="2"/>
    <n v="1"/>
    <n v="1"/>
    <n v="2"/>
    <n v="2"/>
    <s v="-"/>
    <s v="-"/>
    <n v="2"/>
    <s v="-"/>
    <n v="13"/>
    <n v="13"/>
    <s v="-"/>
    <n v="1"/>
    <n v="1"/>
    <n v="2"/>
    <n v="2"/>
    <n v="15"/>
    <n v="15"/>
  </r>
  <r>
    <x v="4"/>
    <x v="112"/>
    <d v="1899-12-30T00:00:00"/>
    <s v="1ST"/>
    <s v="08:00"/>
    <n v="2"/>
    <x v="4"/>
    <n v="2.7000000000000001E-3"/>
    <s v="P"/>
    <s v="P"/>
    <s v="P"/>
    <s v="-"/>
    <s v="+"/>
    <n v="11.15"/>
    <s v="-"/>
    <s v="-"/>
    <s v="-"/>
    <s v="-"/>
    <s v="-"/>
    <s v="-"/>
    <s v="-"/>
    <s v="-"/>
    <s v="P"/>
    <s v="P"/>
    <s v="-"/>
    <n v="2"/>
    <n v="1"/>
    <n v="2"/>
    <n v="1"/>
    <s v="-"/>
    <s v="-"/>
    <s v="-"/>
    <s v="-"/>
    <s v="-"/>
    <s v="-"/>
    <s v="-"/>
    <n v="6"/>
    <n v="6"/>
    <s v="-"/>
    <n v="1"/>
    <n v="1"/>
    <n v="2"/>
    <n v="2"/>
    <n v="8"/>
    <n v="8"/>
  </r>
  <r>
    <x v="4"/>
    <x v="112"/>
    <d v="2026-05-20T00:00:00"/>
    <s v="1ST"/>
    <s v="06:00"/>
    <n v="3"/>
    <x v="16"/>
    <n v="1.49E-2"/>
    <s v="P"/>
    <s v="P"/>
    <s v="P"/>
    <s v="+"/>
    <s v="+"/>
    <n v="11.29"/>
    <n v="12.66"/>
    <n v="0.56999999999999995"/>
    <n v="66.3"/>
    <s v="-"/>
    <s v="-"/>
    <n v="35.700000000000003"/>
    <s v="-"/>
    <s v="-"/>
    <s v="P"/>
    <s v="P"/>
    <n v="1"/>
    <n v="2"/>
    <n v="1"/>
    <n v="2"/>
    <n v="0"/>
    <n v="1"/>
    <n v="0"/>
    <n v="2"/>
    <s v="-"/>
    <s v="-"/>
    <n v="2"/>
    <s v="-"/>
    <n v="10"/>
    <n v="13"/>
    <s v="-"/>
    <n v="1"/>
    <n v="1"/>
    <n v="2"/>
    <n v="2"/>
    <n v="12"/>
    <n v="15"/>
  </r>
  <r>
    <x v="4"/>
    <x v="112"/>
    <d v="2026-05-20T00:00:00"/>
    <s v="1ST"/>
    <s v="07:00"/>
    <n v="3"/>
    <x v="16"/>
    <n v="9.1000000000000004E-3"/>
    <s v="P"/>
    <s v="P"/>
    <s v="P"/>
    <s v="+"/>
    <s v="+"/>
    <n v="11.13"/>
    <s v="-"/>
    <s v="-"/>
    <s v="-"/>
    <s v="-"/>
    <s v="-"/>
    <s v="-"/>
    <s v="-"/>
    <s v="-"/>
    <s v="P"/>
    <s v="P"/>
    <s v="-"/>
    <n v="2"/>
    <n v="1"/>
    <n v="2"/>
    <n v="0"/>
    <s v="-"/>
    <s v="-"/>
    <s v="-"/>
    <s v="-"/>
    <s v="-"/>
    <s v="-"/>
    <s v="-"/>
    <n v="5"/>
    <n v="6"/>
    <s v="-"/>
    <n v="1"/>
    <n v="1"/>
    <n v="2"/>
    <n v="2"/>
    <n v="7"/>
    <n v="8"/>
  </r>
  <r>
    <x v="4"/>
    <x v="112"/>
    <d v="2026-05-20T00:00:00"/>
    <s v="1ST"/>
    <s v="08:00"/>
    <n v="3"/>
    <x v="16"/>
    <n v="7.9000000000000008E-3"/>
    <s v="P"/>
    <s v="P"/>
    <s v="P"/>
    <s v="+"/>
    <s v="+"/>
    <n v="11.26"/>
    <s v="-"/>
    <s v="-"/>
    <s v="-"/>
    <s v="-"/>
    <s v="-"/>
    <s v="-"/>
    <s v="-"/>
    <s v="-"/>
    <s v="P"/>
    <s v="P"/>
    <s v="-"/>
    <n v="2"/>
    <n v="1"/>
    <n v="2"/>
    <n v="0"/>
    <s v="-"/>
    <s v="-"/>
    <s v="-"/>
    <s v="-"/>
    <s v="-"/>
    <s v="-"/>
    <s v="-"/>
    <n v="5"/>
    <n v="6"/>
    <s v="-"/>
    <n v="1"/>
    <n v="1"/>
    <n v="2"/>
    <n v="2"/>
    <n v="7"/>
    <n v="8"/>
  </r>
  <r>
    <x v="4"/>
    <x v="112"/>
    <d v="2026-05-20T00:00:00"/>
    <s v="1ST"/>
    <s v="09:00"/>
    <n v="3"/>
    <x v="16"/>
    <n v="1.3100000000000001E-2"/>
    <s v="P"/>
    <s v="P"/>
    <s v="P"/>
    <s v="+"/>
    <s v="+"/>
    <n v="11.12"/>
    <s v="-"/>
    <s v="-"/>
    <s v="-"/>
    <s v="-"/>
    <s v="-"/>
    <s v="-"/>
    <s v="-"/>
    <s v="-"/>
    <s v="P"/>
    <s v="P"/>
    <s v="-"/>
    <n v="2"/>
    <n v="1"/>
    <n v="2"/>
    <n v="0"/>
    <s v="-"/>
    <s v="-"/>
    <s v="-"/>
    <s v="-"/>
    <s v="-"/>
    <s v="-"/>
    <s v="-"/>
    <n v="5"/>
    <n v="6"/>
    <s v="-"/>
    <n v="1"/>
    <n v="1"/>
    <n v="2"/>
    <n v="2"/>
    <n v="7"/>
    <n v="8"/>
  </r>
  <r>
    <x v="4"/>
    <x v="112"/>
    <d v="2026-05-15T00:00:00"/>
    <s v="1ST"/>
    <s v="12:00"/>
    <n v="3"/>
    <x v="39"/>
    <n v="1.3100000000000001E-2"/>
    <s v="P"/>
    <s v="P"/>
    <s v="P"/>
    <s v="+"/>
    <s v="+"/>
    <n v="12.27"/>
    <n v="12.18"/>
    <n v="0.64"/>
    <n v="63.7"/>
    <n v="13.5"/>
    <s v="-"/>
    <n v="35.9"/>
    <s v="-"/>
    <s v="-"/>
    <s v="P"/>
    <s v="P"/>
    <s v="-"/>
    <n v="2"/>
    <n v="1"/>
    <n v="2"/>
    <n v="1"/>
    <n v="0"/>
    <n v="2"/>
    <n v="0"/>
    <n v="1"/>
    <s v="-"/>
    <n v="2"/>
    <s v="-"/>
    <n v="11"/>
    <n v="14"/>
    <s v="-"/>
    <n v="1"/>
    <n v="1"/>
    <n v="2"/>
    <n v="2"/>
    <n v="13"/>
    <n v="16"/>
  </r>
  <r>
    <x v="4"/>
    <x v="112"/>
    <d v="2026-05-15T00:00:00"/>
    <s v="1ST"/>
    <s v="13:00"/>
    <n v="3"/>
    <x v="39"/>
    <n v="1.52E-2"/>
    <s v="P"/>
    <s v="P"/>
    <s v="P"/>
    <s v="+"/>
    <s v="+"/>
    <n v="12.44"/>
    <s v="-"/>
    <s v="-"/>
    <s v="-"/>
    <s v="-"/>
    <s v="-"/>
    <s v="-"/>
    <s v="-"/>
    <s v="-"/>
    <s v="P"/>
    <s v="P"/>
    <s v="-"/>
    <n v="2"/>
    <n v="1"/>
    <n v="2"/>
    <n v="1"/>
    <s v="-"/>
    <s v="-"/>
    <s v="-"/>
    <s v="-"/>
    <s v="-"/>
    <s v="-"/>
    <s v="-"/>
    <n v="6"/>
    <n v="6"/>
    <s v="-"/>
    <n v="1"/>
    <n v="1"/>
    <n v="2"/>
    <n v="2"/>
    <n v="8"/>
    <n v="8"/>
  </r>
  <r>
    <x v="4"/>
    <x v="112"/>
    <d v="2026-05-27T00:00:00"/>
    <s v="1ST"/>
    <s v="09:00"/>
    <s v="Retail"/>
    <x v="3"/>
    <s v="-"/>
    <s v="-"/>
    <s v="-"/>
    <s v="-"/>
    <s v="-"/>
    <s v="-"/>
    <n v="13.7"/>
    <s v="-"/>
    <s v="-"/>
    <s v="-"/>
    <s v="-"/>
    <s v="-"/>
    <s v="-"/>
    <s v="-"/>
    <s v="-"/>
    <s v="-"/>
    <s v="-"/>
    <s v="-"/>
    <s v="-"/>
    <s v="-"/>
    <s v="-"/>
    <n v="1"/>
    <s v="-"/>
    <s v="-"/>
    <s v="-"/>
    <s v="-"/>
    <s v="-"/>
    <s v="-"/>
    <s v="-"/>
    <n v="1"/>
    <n v="1"/>
    <s v="-"/>
    <s v="-"/>
    <s v="-"/>
    <n v="0"/>
    <n v="0"/>
    <n v="1"/>
    <n v="1"/>
  </r>
  <r>
    <x v="4"/>
    <x v="112"/>
    <d v="1899-12-30T00:00:00"/>
    <s v="2ND"/>
    <d v="1899-12-30T14:00:00"/>
    <n v="2"/>
    <x v="4"/>
    <n v="2.2000000000000001E-3"/>
    <s v="P"/>
    <s v="P"/>
    <s v="P"/>
    <s v="-"/>
    <s v="+"/>
    <n v="10.91"/>
    <n v="9.7100000000000009"/>
    <n v="0.47"/>
    <s v="-"/>
    <s v="-"/>
    <s v="-"/>
    <n v="26.7"/>
    <s v="-"/>
    <n v="25.16"/>
    <s v="P"/>
    <s v="P"/>
    <s v="-"/>
    <n v="2"/>
    <n v="1"/>
    <n v="2"/>
    <n v="0"/>
    <n v="0"/>
    <n v="2"/>
    <s v="-"/>
    <s v="-"/>
    <s v="-"/>
    <n v="2"/>
    <s v="-"/>
    <n v="9"/>
    <n v="11"/>
    <n v="1"/>
    <n v="1"/>
    <n v="1"/>
    <n v="3"/>
    <n v="3"/>
    <n v="12"/>
    <n v="14"/>
  </r>
  <r>
    <x v="4"/>
    <x v="112"/>
    <d v="1899-12-30T00:00:00"/>
    <s v="2ND"/>
    <d v="1899-12-30T16:00:00"/>
    <n v="2"/>
    <x v="5"/>
    <n v="1.7899999999999999E-2"/>
    <s v="P"/>
    <s v="P"/>
    <s v="P"/>
    <s v="-"/>
    <s v="+"/>
    <n v="10.92"/>
    <s v="-"/>
    <s v="-"/>
    <s v="-"/>
    <s v="-"/>
    <s v="-"/>
    <n v="26.7"/>
    <s v="-"/>
    <n v="25.16"/>
    <s v="P"/>
    <s v="P"/>
    <s v="-"/>
    <n v="2"/>
    <n v="1"/>
    <n v="2"/>
    <n v="0"/>
    <s v="-"/>
    <s v="-"/>
    <s v="-"/>
    <s v="-"/>
    <s v="-"/>
    <n v="2"/>
    <s v="-"/>
    <n v="7"/>
    <n v="8"/>
    <n v="1"/>
    <n v="1"/>
    <n v="1"/>
    <n v="3"/>
    <n v="3"/>
    <n v="10"/>
    <n v="11"/>
  </r>
  <r>
    <x v="4"/>
    <x v="112"/>
    <d v="1899-12-30T00:00:00"/>
    <s v="2ND"/>
    <d v="1899-12-30T18:00:00"/>
    <n v="2"/>
    <x v="5"/>
    <n v="9.9000000000000008E-3"/>
    <s v="P"/>
    <s v="P"/>
    <s v="P"/>
    <s v="-"/>
    <s v="+"/>
    <n v="10.79"/>
    <s v="-"/>
    <s v="-"/>
    <s v="-"/>
    <s v="-"/>
    <s v="-"/>
    <s v="-"/>
    <s v="-"/>
    <s v="-"/>
    <s v="-"/>
    <s v="-"/>
    <s v="-"/>
    <n v="2"/>
    <n v="1"/>
    <n v="2"/>
    <n v="0"/>
    <s v="-"/>
    <s v="-"/>
    <s v="-"/>
    <s v="-"/>
    <s v="-"/>
    <s v="-"/>
    <s v="-"/>
    <n v="5"/>
    <n v="6"/>
    <s v="-"/>
    <s v="-"/>
    <s v="-"/>
    <n v="0"/>
    <n v="0"/>
    <n v="5"/>
    <n v="6"/>
  </r>
  <r>
    <x v="4"/>
    <x v="112"/>
    <d v="1899-12-30T00:00:00"/>
    <s v="2ND"/>
    <d v="1899-12-30T19:00:00"/>
    <n v="2"/>
    <x v="5"/>
    <n v="7.7000000000000002E-3"/>
    <s v="P"/>
    <s v="P"/>
    <s v="P"/>
    <s v="-"/>
    <s v="+"/>
    <n v="11.47"/>
    <s v="-"/>
    <s v="-"/>
    <s v="-"/>
    <s v="-"/>
    <s v="-"/>
    <s v="-"/>
    <s v="-"/>
    <s v="-"/>
    <s v="-"/>
    <s v="-"/>
    <s v="-"/>
    <n v="2"/>
    <n v="1"/>
    <n v="2"/>
    <n v="1"/>
    <s v="-"/>
    <s v="-"/>
    <s v="-"/>
    <s v="-"/>
    <s v="-"/>
    <s v="-"/>
    <s v="-"/>
    <n v="6"/>
    <n v="6"/>
    <s v="-"/>
    <s v="-"/>
    <s v="-"/>
    <n v="0"/>
    <n v="0"/>
    <n v="6"/>
    <n v="6"/>
  </r>
  <r>
    <x v="4"/>
    <x v="112"/>
    <d v="1899-12-30T00:00:00"/>
    <s v="2ND"/>
    <d v="1899-12-30T20:00:00"/>
    <n v="2"/>
    <x v="5"/>
    <s v="-"/>
    <s v="P"/>
    <s v="P"/>
    <s v="P"/>
    <s v="-"/>
    <s v="+"/>
    <n v="11.34"/>
    <s v="-"/>
    <s v="-"/>
    <s v="-"/>
    <s v="-"/>
    <s v="-"/>
    <s v="-"/>
    <s v="-"/>
    <s v="-"/>
    <s v="-"/>
    <s v="-"/>
    <s v="-"/>
    <s v="-"/>
    <n v="1"/>
    <n v="2"/>
    <n v="1"/>
    <s v="-"/>
    <s v="-"/>
    <s v="-"/>
    <s v="-"/>
    <s v="-"/>
    <s v="-"/>
    <s v="-"/>
    <n v="4"/>
    <n v="4"/>
    <s v="-"/>
    <s v="-"/>
    <s v="-"/>
    <n v="0"/>
    <n v="0"/>
    <n v="4"/>
    <n v="4"/>
  </r>
  <r>
    <x v="4"/>
    <x v="112"/>
    <d v="1899-12-30T00:00:00"/>
    <s v="2ND"/>
    <d v="1899-12-30T21:00:00"/>
    <n v="2"/>
    <x v="5"/>
    <s v="-"/>
    <s v="P"/>
    <s v="P"/>
    <s v="P"/>
    <s v="-"/>
    <s v="+"/>
    <s v="-"/>
    <s v="-"/>
    <s v="-"/>
    <s v="-"/>
    <s v="-"/>
    <s v="-"/>
    <s v="-"/>
    <s v="-"/>
    <s v="-"/>
    <s v="-"/>
    <s v="-"/>
    <s v="-"/>
    <s v="-"/>
    <n v="1"/>
    <n v="2"/>
    <s v="-"/>
    <s v="-"/>
    <s v="-"/>
    <s v="-"/>
    <s v="-"/>
    <s v="-"/>
    <s v="-"/>
    <s v="-"/>
    <n v="3"/>
    <n v="3"/>
    <s v="-"/>
    <s v="-"/>
    <s v="-"/>
    <n v="0"/>
    <n v="0"/>
    <n v="3"/>
    <n v="3"/>
  </r>
  <r>
    <x v="4"/>
    <x v="112"/>
    <d v="2026-05-15T00:00:00"/>
    <s v="2ND"/>
    <d v="1899-12-30T15:00:00"/>
    <n v="3"/>
    <x v="43"/>
    <n v="1.5699999999999999E-2"/>
    <s v="P"/>
    <s v="P"/>
    <s v="P"/>
    <s v="+"/>
    <s v="+"/>
    <n v="11.83"/>
    <n v="11.28"/>
    <n v="0.49"/>
    <n v="62.9"/>
    <n v="11.9"/>
    <s v="-"/>
    <n v="31.3"/>
    <s v="-"/>
    <n v="25.19"/>
    <s v="P"/>
    <s v="P"/>
    <s v="-"/>
    <n v="2"/>
    <n v="1"/>
    <n v="2"/>
    <n v="0"/>
    <n v="1"/>
    <n v="2"/>
    <n v="2"/>
    <n v="1"/>
    <s v="-"/>
    <n v="2"/>
    <s v="-"/>
    <n v="13"/>
    <n v="14"/>
    <n v="1"/>
    <n v="1"/>
    <n v="1"/>
    <n v="3"/>
    <n v="3"/>
    <n v="16"/>
    <n v="17"/>
  </r>
  <r>
    <x v="4"/>
    <x v="112"/>
    <d v="2026-05-15T00:00:00"/>
    <s v="2ND"/>
    <d v="1899-12-30T16:00:00"/>
    <n v="3"/>
    <x v="43"/>
    <n v="1.41E-2"/>
    <s v="P"/>
    <s v="P"/>
    <s v="P"/>
    <s v="+"/>
    <s v="+"/>
    <n v="11.69"/>
    <s v="-"/>
    <s v="-"/>
    <s v="-"/>
    <s v="-"/>
    <s v="-"/>
    <s v="-"/>
    <s v="-"/>
    <s v="-"/>
    <s v="P"/>
    <s v="P"/>
    <s v="-"/>
    <n v="2"/>
    <n v="1"/>
    <n v="2"/>
    <n v="0"/>
    <s v="-"/>
    <s v="-"/>
    <s v="-"/>
    <s v="-"/>
    <s v="-"/>
    <s v="-"/>
    <s v="-"/>
    <n v="5"/>
    <n v="6"/>
    <s v="-"/>
    <n v="1"/>
    <n v="1"/>
    <n v="2"/>
    <n v="2"/>
    <n v="7"/>
    <n v="8"/>
  </r>
  <r>
    <x v="4"/>
    <x v="112"/>
    <d v="2026-05-15T00:00:00"/>
    <s v="2ND"/>
    <d v="1899-12-30T17:00:00"/>
    <n v="3"/>
    <x v="43"/>
    <s v="-"/>
    <s v="P"/>
    <s v="P"/>
    <s v="P"/>
    <s v="+"/>
    <s v="+"/>
    <n v="11.66"/>
    <s v="-"/>
    <s v="-"/>
    <s v="-"/>
    <s v="-"/>
    <s v="-"/>
    <s v="-"/>
    <s v="-"/>
    <s v="-"/>
    <s v="P"/>
    <s v="P"/>
    <s v="-"/>
    <s v="-"/>
    <n v="1"/>
    <n v="2"/>
    <n v="0"/>
    <s v="-"/>
    <s v="-"/>
    <s v="-"/>
    <s v="-"/>
    <s v="-"/>
    <s v="-"/>
    <s v="-"/>
    <n v="3"/>
    <n v="4"/>
    <s v="-"/>
    <n v="1"/>
    <n v="1"/>
    <n v="2"/>
    <n v="2"/>
    <n v="5"/>
    <n v="6"/>
  </r>
  <r>
    <x v="4"/>
    <x v="112"/>
    <d v="2026-05-15T00:00:00"/>
    <s v="2ND"/>
    <d v="1899-12-30T19:00:00"/>
    <n v="3"/>
    <x v="43"/>
    <n v="1.83E-2"/>
    <s v="P"/>
    <s v="P"/>
    <s v="P"/>
    <s v="+"/>
    <s v="+"/>
    <n v="11.58"/>
    <s v="-"/>
    <s v="-"/>
    <s v="-"/>
    <s v="-"/>
    <s v="-"/>
    <s v="-"/>
    <s v="-"/>
    <s v="-"/>
    <s v="P"/>
    <s v="P"/>
    <s v="-"/>
    <n v="2"/>
    <n v="1"/>
    <n v="2"/>
    <n v="0"/>
    <s v="-"/>
    <s v="-"/>
    <s v="-"/>
    <s v="-"/>
    <s v="-"/>
    <s v="-"/>
    <s v="-"/>
    <n v="5"/>
    <n v="6"/>
    <s v="-"/>
    <n v="1"/>
    <n v="1"/>
    <n v="2"/>
    <n v="2"/>
    <n v="7"/>
    <n v="8"/>
  </r>
  <r>
    <x v="4"/>
    <x v="112"/>
    <d v="2026-05-15T00:00:00"/>
    <s v="2ND"/>
    <d v="1899-12-30T20:00:00"/>
    <n v="3"/>
    <x v="43"/>
    <s v="-"/>
    <s v="P"/>
    <s v="P"/>
    <s v="P"/>
    <s v="+"/>
    <s v="+"/>
    <n v="11.51"/>
    <s v="-"/>
    <s v="-"/>
    <s v="-"/>
    <s v="-"/>
    <s v="-"/>
    <s v="-"/>
    <s v="-"/>
    <s v="-"/>
    <s v="P"/>
    <s v="P"/>
    <s v="-"/>
    <s v="-"/>
    <n v="1"/>
    <n v="2"/>
    <n v="0"/>
    <s v="-"/>
    <s v="-"/>
    <s v="-"/>
    <s v="-"/>
    <s v="-"/>
    <s v="-"/>
    <s v="-"/>
    <n v="3"/>
    <n v="4"/>
    <s v="-"/>
    <n v="1"/>
    <n v="1"/>
    <n v="2"/>
    <n v="2"/>
    <n v="5"/>
    <n v="6"/>
  </r>
  <r>
    <x v="4"/>
    <x v="112"/>
    <d v="2026-05-15T00:00:00"/>
    <s v="2ND"/>
    <d v="1899-12-30T21:00:00"/>
    <n v="3"/>
    <x v="43"/>
    <n v="1.7899999999999999E-2"/>
    <s v="P"/>
    <s v="P"/>
    <s v="P"/>
    <s v="+"/>
    <s v="+"/>
    <n v="11.57"/>
    <s v="-"/>
    <s v="-"/>
    <s v="-"/>
    <s v="-"/>
    <s v="-"/>
    <s v="-"/>
    <s v="-"/>
    <s v="-"/>
    <s v="P"/>
    <s v="P"/>
    <s v="-"/>
    <n v="2"/>
    <n v="1"/>
    <n v="2"/>
    <n v="0"/>
    <s v="-"/>
    <s v="-"/>
    <s v="-"/>
    <s v="-"/>
    <s v="-"/>
    <s v="-"/>
    <s v="-"/>
    <n v="5"/>
    <n v="6"/>
    <s v="-"/>
    <n v="1"/>
    <n v="1"/>
    <n v="2"/>
    <n v="2"/>
    <n v="7"/>
    <n v="8"/>
  </r>
  <r>
    <x v="4"/>
    <x v="112"/>
    <d v="1902-03-26T00:00:00"/>
    <s v="3RD"/>
    <d v="1899-12-30T22:00:00"/>
    <n v="2"/>
    <x v="4"/>
    <n v="5.5999999999999999E-3"/>
    <s v="P"/>
    <s v="P"/>
    <s v="P"/>
    <s v="-"/>
    <s v="+"/>
    <n v="11.36"/>
    <n v="9.77"/>
    <s v="-"/>
    <s v="-"/>
    <s v="-"/>
    <s v="-"/>
    <n v="26.7"/>
    <s v="-"/>
    <s v="-"/>
    <s v="P"/>
    <s v="P"/>
    <s v="-"/>
    <n v="2"/>
    <n v="1"/>
    <n v="2"/>
    <n v="1"/>
    <n v="0"/>
    <s v="-"/>
    <s v="-"/>
    <s v="-"/>
    <s v="-"/>
    <n v="2"/>
    <s v="-"/>
    <n v="8"/>
    <n v="9"/>
    <s v="-"/>
    <n v="1"/>
    <n v="1"/>
    <n v="2"/>
    <n v="2"/>
    <n v="10"/>
    <n v="11"/>
  </r>
  <r>
    <x v="4"/>
    <x v="112"/>
    <d v="1902-03-26T00:00:00"/>
    <s v="3RD"/>
    <d v="1899-12-31T01:00:00"/>
    <n v="2"/>
    <x v="14"/>
    <n v="1.5699999999999999E-2"/>
    <s v="P"/>
    <s v="P"/>
    <s v="P"/>
    <s v="-"/>
    <s v="+"/>
    <n v="10.4"/>
    <n v="9.15"/>
    <n v="0.56999999999999995"/>
    <n v="59.5"/>
    <n v="10.6"/>
    <s v="-"/>
    <n v="25"/>
    <s v="-"/>
    <s v="-"/>
    <s v="P"/>
    <s v="P"/>
    <s v="-"/>
    <n v="2"/>
    <n v="1"/>
    <n v="2"/>
    <n v="0"/>
    <n v="1"/>
    <n v="2"/>
    <n v="2"/>
    <n v="1"/>
    <s v="-"/>
    <n v="2"/>
    <s v="-"/>
    <n v="13"/>
    <n v="14"/>
    <s v="-"/>
    <n v="1"/>
    <n v="1"/>
    <n v="2"/>
    <n v="2"/>
    <n v="15"/>
    <n v="16"/>
  </r>
  <r>
    <x v="4"/>
    <x v="112"/>
    <d v="1902-03-26T00:00:00"/>
    <s v="3RD"/>
    <d v="1899-12-31T03:00:00"/>
    <n v="2"/>
    <x v="14"/>
    <n v="1.3100000000000001E-2"/>
    <s v="P"/>
    <s v="P"/>
    <s v="P"/>
    <s v="-"/>
    <s v="+"/>
    <n v="10.68"/>
    <s v="-"/>
    <s v="-"/>
    <s v="-"/>
    <s v="-"/>
    <s v="-"/>
    <s v="-"/>
    <s v="-"/>
    <s v="-"/>
    <s v="P"/>
    <s v="P"/>
    <s v="-"/>
    <n v="2"/>
    <n v="1"/>
    <n v="2"/>
    <n v="0"/>
    <s v="-"/>
    <s v="-"/>
    <s v="-"/>
    <s v="-"/>
    <s v="-"/>
    <s v="-"/>
    <s v="-"/>
    <n v="5"/>
    <n v="6"/>
    <s v="-"/>
    <n v="1"/>
    <n v="1"/>
    <n v="2"/>
    <n v="2"/>
    <n v="7"/>
    <n v="8"/>
  </r>
  <r>
    <x v="4"/>
    <x v="112"/>
    <d v="2026-05-15T00:00:00"/>
    <s v="3RD"/>
    <d v="1899-12-30T22:00:00"/>
    <n v="3"/>
    <x v="43"/>
    <n v="1.6899999999999998E-2"/>
    <s v="P"/>
    <s v="P"/>
    <s v="P"/>
    <s v="+"/>
    <s v="+"/>
    <n v="11.59"/>
    <n v="11.08"/>
    <s v="-"/>
    <s v="-"/>
    <s v="-"/>
    <s v="-"/>
    <n v="30.7"/>
    <s v="-"/>
    <s v="-"/>
    <s v="P"/>
    <s v="P"/>
    <s v="60% 40%"/>
    <n v="2"/>
    <n v="1"/>
    <n v="2"/>
    <n v="0"/>
    <n v="1"/>
    <s v="-"/>
    <s v="-"/>
    <s v="-"/>
    <s v="-"/>
    <n v="2"/>
    <s v="-"/>
    <n v="8"/>
    <n v="9"/>
    <s v="-"/>
    <n v="1"/>
    <n v="1"/>
    <n v="2"/>
    <n v="2"/>
    <n v="10"/>
    <n v="11"/>
  </r>
  <r>
    <x v="4"/>
    <x v="112"/>
    <d v="2026-05-15T00:00:00"/>
    <s v="3RD"/>
    <d v="1899-12-31T00:00:00"/>
    <n v="3"/>
    <x v="43"/>
    <n v="1.2800000000000001E-2"/>
    <s v="P"/>
    <s v="P"/>
    <s v="P"/>
    <s v="+"/>
    <s v="+"/>
    <n v="11.99"/>
    <s v="-"/>
    <s v="-"/>
    <s v="-"/>
    <s v="-"/>
    <s v="-"/>
    <s v="-"/>
    <s v="-"/>
    <s v="-"/>
    <s v="P"/>
    <s v="P"/>
    <s v="60% 40%"/>
    <n v="2"/>
    <n v="1"/>
    <n v="2"/>
    <n v="0"/>
    <s v="-"/>
    <s v="-"/>
    <s v="-"/>
    <s v="-"/>
    <s v="-"/>
    <s v="-"/>
    <s v="-"/>
    <n v="5"/>
    <n v="6"/>
    <s v="-"/>
    <n v="1"/>
    <n v="1"/>
    <n v="2"/>
    <n v="2"/>
    <n v="7"/>
    <n v="8"/>
  </r>
  <r>
    <x v="4"/>
    <x v="112"/>
    <d v="2026-05-15T00:00:00"/>
    <s v="3RD"/>
    <d v="1899-12-31T05:00:00"/>
    <n v="3"/>
    <x v="6"/>
    <n v="1.6199999999999999E-2"/>
    <s v="P"/>
    <s v="P"/>
    <s v="P"/>
    <s v="+"/>
    <s v="+"/>
    <n v="12.06"/>
    <n v="11.97"/>
    <n v="0.56000000000000005"/>
    <n v="65.3"/>
    <s v="-"/>
    <s v="-"/>
    <n v="33.4"/>
    <s v="-"/>
    <s v="-"/>
    <s v="P"/>
    <s v="P"/>
    <s v="-"/>
    <n v="2"/>
    <n v="1"/>
    <n v="2"/>
    <n v="1"/>
    <n v="1"/>
    <n v="2"/>
    <n v="2"/>
    <s v="-"/>
    <s v="-"/>
    <n v="2"/>
    <s v="-"/>
    <n v="13"/>
    <n v="13"/>
    <s v="-"/>
    <n v="1"/>
    <n v="1"/>
    <n v="2"/>
    <n v="2"/>
    <n v="15"/>
    <n v="15"/>
  </r>
  <r>
    <x v="4"/>
    <x v="113"/>
    <d v="1902-03-26T00:00:00"/>
    <s v="1ST"/>
    <s v="06:00"/>
    <n v="2"/>
    <x v="14"/>
    <n v="3.0000000000000001E-3"/>
    <s v="P"/>
    <s v="P"/>
    <s v="P"/>
    <s v="-"/>
    <s v="+"/>
    <n v="10.27"/>
    <n v="8.98"/>
    <n v="0.52"/>
    <n v="60"/>
    <s v="-"/>
    <s v="-"/>
    <n v="24.5"/>
    <s v="-"/>
    <s v="-"/>
    <s v="P"/>
    <s v="P"/>
    <s v="-"/>
    <n v="2"/>
    <n v="1"/>
    <n v="2"/>
    <n v="0"/>
    <n v="1"/>
    <n v="2"/>
    <n v="2"/>
    <s v="-"/>
    <s v="-"/>
    <n v="2"/>
    <s v="-"/>
    <n v="12"/>
    <n v="13"/>
    <s v="-"/>
    <n v="1"/>
    <n v="1"/>
    <n v="2"/>
    <n v="2"/>
    <n v="14"/>
    <n v="15"/>
  </r>
  <r>
    <x v="4"/>
    <x v="113"/>
    <d v="1899-12-30T00:00:00"/>
    <s v="1ST"/>
    <s v="07:00"/>
    <n v="2"/>
    <x v="14"/>
    <n v="3.5999999999999999E-3"/>
    <s v="P"/>
    <s v="P"/>
    <s v="P"/>
    <s v="-"/>
    <s v="+"/>
    <n v="10.31"/>
    <s v="-"/>
    <s v="-"/>
    <s v="-"/>
    <s v="-"/>
    <s v="-"/>
    <s v="-"/>
    <s v="-"/>
    <s v="-"/>
    <s v="P"/>
    <s v="P"/>
    <s v="-"/>
    <n v="2"/>
    <n v="1"/>
    <n v="2"/>
    <n v="0"/>
    <s v="-"/>
    <s v="-"/>
    <s v="-"/>
    <s v="-"/>
    <s v="-"/>
    <s v="-"/>
    <s v="-"/>
    <n v="5"/>
    <n v="6"/>
    <s v="-"/>
    <n v="1"/>
    <n v="1"/>
    <n v="2"/>
    <n v="2"/>
    <n v="7"/>
    <n v="8"/>
  </r>
  <r>
    <x v="4"/>
    <x v="113"/>
    <d v="1899-12-30T00:00:00"/>
    <s v="1ST"/>
    <s v="08:00"/>
    <n v="2"/>
    <x v="14"/>
    <n v="4.1999999999999997E-3"/>
    <s v="P"/>
    <s v="P"/>
    <s v="P"/>
    <s v="-"/>
    <s v="+"/>
    <n v="10.52"/>
    <s v="-"/>
    <s v="-"/>
    <s v="-"/>
    <s v="-"/>
    <s v="-"/>
    <s v="-"/>
    <s v="-"/>
    <s v="-"/>
    <s v="P"/>
    <s v="P"/>
    <s v="-"/>
    <n v="2"/>
    <n v="1"/>
    <n v="2"/>
    <n v="0"/>
    <s v="-"/>
    <s v="-"/>
    <s v="-"/>
    <s v="-"/>
    <s v="-"/>
    <s v="-"/>
    <s v="-"/>
    <n v="5"/>
    <n v="6"/>
    <s v="-"/>
    <n v="1"/>
    <n v="1"/>
    <n v="2"/>
    <n v="2"/>
    <n v="7"/>
    <n v="8"/>
  </r>
  <r>
    <x v="4"/>
    <x v="113"/>
    <d v="1899-12-30T00:00:00"/>
    <s v="1ST"/>
    <s v="09:00"/>
    <n v="2"/>
    <x v="14"/>
    <n v="5.0000000000000001E-3"/>
    <s v="P"/>
    <s v="P"/>
    <s v="P"/>
    <s v="-"/>
    <s v="+"/>
    <n v="10.44"/>
    <s v="-"/>
    <s v="-"/>
    <s v="-"/>
    <s v="-"/>
    <s v="-"/>
    <s v="-"/>
    <s v="-"/>
    <s v="-"/>
    <s v="P"/>
    <s v="P"/>
    <s v="-"/>
    <n v="2"/>
    <n v="1"/>
    <n v="2"/>
    <n v="0"/>
    <s v="-"/>
    <s v="-"/>
    <s v="-"/>
    <s v="-"/>
    <s v="-"/>
    <s v="-"/>
    <s v="-"/>
    <n v="5"/>
    <n v="6"/>
    <s v="-"/>
    <n v="1"/>
    <n v="1"/>
    <n v="2"/>
    <n v="2"/>
    <n v="7"/>
    <n v="8"/>
  </r>
  <r>
    <x v="4"/>
    <x v="113"/>
    <d v="1899-12-30T00:00:00"/>
    <s v="1ST"/>
    <s v="10:00"/>
    <n v="2"/>
    <x v="14"/>
    <n v="6.1999999999999998E-3"/>
    <s v="P"/>
    <s v="P"/>
    <s v="P"/>
    <s v="-"/>
    <s v="+"/>
    <n v="10.71"/>
    <s v="-"/>
    <s v="-"/>
    <s v="-"/>
    <s v="-"/>
    <s v="-"/>
    <s v="-"/>
    <s v="-"/>
    <s v="-"/>
    <s v="P"/>
    <s v="P"/>
    <s v="-"/>
    <n v="2"/>
    <n v="1"/>
    <n v="2"/>
    <n v="0"/>
    <s v="-"/>
    <s v="-"/>
    <s v="-"/>
    <s v="-"/>
    <s v="-"/>
    <s v="-"/>
    <s v="-"/>
    <n v="5"/>
    <n v="6"/>
    <s v="-"/>
    <n v="1"/>
    <n v="1"/>
    <n v="2"/>
    <n v="2"/>
    <n v="7"/>
    <n v="8"/>
  </r>
  <r>
    <x v="4"/>
    <x v="113"/>
    <d v="1899-12-30T00:00:00"/>
    <s v="1ST"/>
    <s v="12:00"/>
    <n v="2"/>
    <x v="21"/>
    <n v="1.26E-2"/>
    <s v="P"/>
    <s v="P"/>
    <s v="P"/>
    <s v="-"/>
    <s v="+"/>
    <n v="11.04"/>
    <n v="8.5500000000000007"/>
    <n v="0.54"/>
    <n v="56.1"/>
    <s v="-"/>
    <s v="-"/>
    <n v="24.2"/>
    <s v="-"/>
    <s v="-"/>
    <s v="P"/>
    <s v="P"/>
    <s v="-"/>
    <n v="2"/>
    <n v="1"/>
    <n v="2"/>
    <n v="1"/>
    <s v="-"/>
    <n v="2"/>
    <n v="2"/>
    <s v="-"/>
    <s v="-"/>
    <n v="2"/>
    <s v="-"/>
    <n v="12"/>
    <n v="12"/>
    <s v="-"/>
    <n v="1"/>
    <n v="1"/>
    <n v="2"/>
    <n v="2"/>
    <n v="14"/>
    <n v="14"/>
  </r>
  <r>
    <x v="4"/>
    <x v="113"/>
    <d v="1899-12-30T00:00:00"/>
    <s v="1ST"/>
    <s v="13:00"/>
    <n v="2"/>
    <x v="21"/>
    <n v="8.5000000000000006E-3"/>
    <s v="P"/>
    <s v="P"/>
    <s v="P"/>
    <s v="-"/>
    <s v="+"/>
    <n v="11.01"/>
    <s v="-"/>
    <s v="-"/>
    <s v="-"/>
    <s v="-"/>
    <s v="-"/>
    <s v="-"/>
    <s v="-"/>
    <s v="-"/>
    <s v="P"/>
    <s v="P"/>
    <s v="-"/>
    <n v="2"/>
    <n v="1"/>
    <n v="2"/>
    <n v="1"/>
    <s v="-"/>
    <s v="-"/>
    <s v="-"/>
    <s v="-"/>
    <s v="-"/>
    <s v="-"/>
    <s v="-"/>
    <n v="6"/>
    <n v="6"/>
    <s v="-"/>
    <n v="1"/>
    <n v="1"/>
    <n v="2"/>
    <n v="2"/>
    <n v="8"/>
    <n v="8"/>
  </r>
  <r>
    <x v="4"/>
    <x v="113"/>
    <d v="2026-05-15T00:00:00"/>
    <s v="1ST"/>
    <s v="06:00"/>
    <n v="3"/>
    <x v="6"/>
    <n v="6.4999999999999997E-3"/>
    <s v="P"/>
    <s v="P"/>
    <s v="P"/>
    <s v="+"/>
    <s v="+"/>
    <n v="12.36"/>
    <n v="12.14"/>
    <n v="0.47"/>
    <n v="64.7"/>
    <s v="-"/>
    <s v="-"/>
    <n v="34"/>
    <s v="-"/>
    <s v="-"/>
    <s v="P"/>
    <s v="P"/>
    <s v="80% 20%"/>
    <n v="2"/>
    <n v="1"/>
    <n v="2"/>
    <n v="1"/>
    <n v="1"/>
    <n v="2"/>
    <n v="2"/>
    <s v="-"/>
    <s v="-"/>
    <n v="2"/>
    <s v="-"/>
    <n v="13"/>
    <n v="13"/>
    <s v="-"/>
    <n v="1"/>
    <n v="1"/>
    <n v="2"/>
    <n v="2"/>
    <n v="15"/>
    <n v="15"/>
  </r>
  <r>
    <x v="4"/>
    <x v="113"/>
    <d v="2026-05-15T00:00:00"/>
    <s v="1ST"/>
    <s v="08:00"/>
    <n v="3"/>
    <x v="6"/>
    <n v="1.9800000000000002E-2"/>
    <s v="P"/>
    <s v="P"/>
    <s v="P"/>
    <s v="+"/>
    <s v="+"/>
    <n v="12.52"/>
    <s v="-"/>
    <s v="-"/>
    <s v="-"/>
    <s v="-"/>
    <s v="-"/>
    <s v="-"/>
    <s v="-"/>
    <s v="-"/>
    <s v="P"/>
    <s v="P"/>
    <s v="-"/>
    <n v="2"/>
    <n v="1"/>
    <n v="2"/>
    <n v="1"/>
    <s v="-"/>
    <s v="-"/>
    <s v="-"/>
    <s v="-"/>
    <s v="-"/>
    <s v="-"/>
    <s v="-"/>
    <n v="6"/>
    <n v="6"/>
    <s v="-"/>
    <n v="1"/>
    <n v="1"/>
    <n v="2"/>
    <n v="2"/>
    <n v="8"/>
    <n v="8"/>
  </r>
  <r>
    <x v="4"/>
    <x v="113"/>
    <d v="2026-05-15T00:00:00"/>
    <s v="1ST"/>
    <s v="09:00"/>
    <n v="3"/>
    <x v="6"/>
    <s v="-"/>
    <s v="P"/>
    <s v="P"/>
    <s v="P"/>
    <s v="+"/>
    <s v="+"/>
    <n v="12.26"/>
    <s v="-"/>
    <s v="-"/>
    <s v="-"/>
    <s v="-"/>
    <s v="-"/>
    <s v="-"/>
    <s v="-"/>
    <s v="-"/>
    <s v="P"/>
    <s v="P"/>
    <s v="-"/>
    <s v="-"/>
    <n v="1"/>
    <n v="2"/>
    <n v="1"/>
    <s v="-"/>
    <s v="-"/>
    <s v="-"/>
    <s v="-"/>
    <s v="-"/>
    <s v="-"/>
    <s v="-"/>
    <n v="4"/>
    <n v="4"/>
    <s v="-"/>
    <n v="1"/>
    <n v="1"/>
    <n v="2"/>
    <n v="2"/>
    <n v="6"/>
    <n v="6"/>
  </r>
  <r>
    <x v="4"/>
    <x v="113"/>
    <d v="2026-05-15T00:00:00"/>
    <s v="1ST"/>
    <s v="10:00"/>
    <n v="3"/>
    <x v="6"/>
    <n v="1.6299999999999999E-2"/>
    <s v="P"/>
    <s v="P"/>
    <s v="P"/>
    <s v="+"/>
    <s v="+"/>
    <n v="12.27"/>
    <s v="-"/>
    <s v="-"/>
    <s v="-"/>
    <s v="-"/>
    <s v="-"/>
    <s v="-"/>
    <s v="-"/>
    <s v="-"/>
    <s v="P"/>
    <s v="P"/>
    <s v="-"/>
    <n v="2"/>
    <n v="1"/>
    <n v="2"/>
    <n v="1"/>
    <s v="-"/>
    <s v="-"/>
    <s v="-"/>
    <s v="-"/>
    <s v="-"/>
    <s v="-"/>
    <s v="-"/>
    <n v="6"/>
    <n v="6"/>
    <s v="-"/>
    <n v="1"/>
    <n v="1"/>
    <n v="2"/>
    <n v="2"/>
    <n v="8"/>
    <n v="8"/>
  </r>
  <r>
    <x v="4"/>
    <x v="113"/>
    <d v="2026-05-28T00:00:00"/>
    <s v="1ST"/>
    <s v="11:00"/>
    <s v="Retail"/>
    <x v="18"/>
    <s v="-"/>
    <s v="-"/>
    <s v="-"/>
    <s v="-"/>
    <s v="-"/>
    <s v="-"/>
    <n v="13.47"/>
    <s v="-"/>
    <s v="-"/>
    <s v="-"/>
    <s v="-"/>
    <s v="-"/>
    <s v="-"/>
    <s v="-"/>
    <s v="-"/>
    <s v="-"/>
    <s v="-"/>
    <s v="-"/>
    <s v="-"/>
    <s v="-"/>
    <s v="-"/>
    <s v="-"/>
    <s v="-"/>
    <s v="-"/>
    <s v="-"/>
    <s v="-"/>
    <s v="-"/>
    <s v="-"/>
    <s v="-"/>
    <n v="0"/>
    <n v="0"/>
    <s v="-"/>
    <s v="-"/>
    <s v="-"/>
    <n v="0"/>
    <n v="0"/>
    <n v="0"/>
    <n v="0"/>
  </r>
  <r>
    <x v="4"/>
    <x v="113"/>
    <d v="1902-03-26T00:00:00"/>
    <s v="2ND"/>
    <d v="1899-12-30T14:00:00"/>
    <n v="2"/>
    <x v="21"/>
    <n v="4.7000000000000002E-3"/>
    <s v="P"/>
    <s v="P"/>
    <s v="P"/>
    <s v="-"/>
    <s v="+"/>
    <n v="10.44"/>
    <s v="-"/>
    <s v="-"/>
    <s v="-"/>
    <s v="-"/>
    <s v="-"/>
    <s v="-"/>
    <s v="-"/>
    <n v="25.16"/>
    <s v="P"/>
    <s v="P"/>
    <s v="-"/>
    <n v="2"/>
    <n v="1"/>
    <n v="2"/>
    <n v="0"/>
    <s v="-"/>
    <s v="-"/>
    <s v="-"/>
    <s v="-"/>
    <s v="-"/>
    <s v="-"/>
    <s v="-"/>
    <n v="5"/>
    <n v="6"/>
    <n v="1"/>
    <n v="1"/>
    <n v="1"/>
    <n v="3"/>
    <n v="3"/>
    <n v="8"/>
    <n v="9"/>
  </r>
  <r>
    <x v="4"/>
    <x v="113"/>
    <d v="1899-12-30T00:00:00"/>
    <s v="2ND"/>
    <d v="1899-12-30T15:00:00"/>
    <n v="2"/>
    <x v="21"/>
    <n v="9.9000000000000008E-3"/>
    <s v="P"/>
    <s v="P"/>
    <s v="P"/>
    <s v="-"/>
    <s v="+"/>
    <n v="11.2"/>
    <s v="-"/>
    <s v="-"/>
    <s v="-"/>
    <s v="-"/>
    <s v="-"/>
    <s v="-"/>
    <s v="-"/>
    <s v="-"/>
    <s v="P"/>
    <s v="P"/>
    <s v="-"/>
    <n v="2"/>
    <n v="1"/>
    <n v="2"/>
    <n v="1"/>
    <s v="-"/>
    <s v="-"/>
    <s v="-"/>
    <s v="-"/>
    <s v="-"/>
    <s v="-"/>
    <s v="-"/>
    <n v="6"/>
    <n v="6"/>
    <s v="-"/>
    <n v="1"/>
    <n v="1"/>
    <n v="2"/>
    <n v="2"/>
    <n v="8"/>
    <n v="8"/>
  </r>
  <r>
    <x v="4"/>
    <x v="113"/>
    <d v="1899-12-30T00:00:00"/>
    <s v="2ND"/>
    <d v="1899-12-30T16:00:00"/>
    <n v="2"/>
    <x v="21"/>
    <n v="8.0999999999999996E-3"/>
    <s v="P"/>
    <s v="P"/>
    <s v="P"/>
    <s v="-"/>
    <s v="+"/>
    <n v="11.3"/>
    <s v="-"/>
    <s v="-"/>
    <s v="-"/>
    <s v="-"/>
    <s v="-"/>
    <s v="-"/>
    <s v="-"/>
    <s v="-"/>
    <s v="P"/>
    <s v="P"/>
    <s v="-"/>
    <n v="2"/>
    <n v="1"/>
    <n v="2"/>
    <n v="1"/>
    <s v="-"/>
    <s v="-"/>
    <s v="-"/>
    <s v="-"/>
    <s v="-"/>
    <s v="-"/>
    <s v="-"/>
    <n v="6"/>
    <n v="6"/>
    <s v="-"/>
    <n v="1"/>
    <n v="1"/>
    <n v="2"/>
    <n v="2"/>
    <n v="8"/>
    <n v="8"/>
  </r>
  <r>
    <x v="4"/>
    <x v="113"/>
    <d v="1899-12-30T00:00:00"/>
    <s v="2ND"/>
    <d v="1899-12-30T18:00:00"/>
    <n v="2"/>
    <x v="21"/>
    <n v="6.4000000000000003E-3"/>
    <s v="P"/>
    <s v="P"/>
    <s v="P"/>
    <s v="-"/>
    <s v="+"/>
    <n v="10.97"/>
    <s v="-"/>
    <s v="-"/>
    <s v="-"/>
    <s v="-"/>
    <s v="-"/>
    <s v="-"/>
    <s v="-"/>
    <s v="-"/>
    <s v="P"/>
    <s v="P"/>
    <s v="-"/>
    <n v="2"/>
    <n v="1"/>
    <n v="2"/>
    <n v="0"/>
    <s v="-"/>
    <s v="-"/>
    <s v="-"/>
    <s v="-"/>
    <s v="-"/>
    <s v="-"/>
    <s v="-"/>
    <n v="5"/>
    <n v="6"/>
    <s v="-"/>
    <n v="1"/>
    <n v="1"/>
    <n v="2"/>
    <n v="2"/>
    <n v="7"/>
    <n v="8"/>
  </r>
  <r>
    <x v="4"/>
    <x v="113"/>
    <d v="2026-05-15T00:00:00"/>
    <s v="2ND"/>
    <d v="1899-12-30T16:00:00"/>
    <n v="3"/>
    <x v="6"/>
    <n v="1.6799999999999999E-2"/>
    <s v="P"/>
    <s v="P"/>
    <s v="P"/>
    <s v="-"/>
    <s v="+"/>
    <n v="12.11"/>
    <n v="12.62"/>
    <s v="-"/>
    <s v="-"/>
    <s v="-"/>
    <s v="-"/>
    <n v="35.299999999999997"/>
    <s v="-"/>
    <n v="25.19"/>
    <s v="P"/>
    <s v="P"/>
    <s v="85% 15%"/>
    <n v="2"/>
    <n v="1"/>
    <n v="2"/>
    <n v="1"/>
    <n v="1"/>
    <s v="-"/>
    <s v="-"/>
    <s v="-"/>
    <s v="-"/>
    <n v="2"/>
    <s v="-"/>
    <n v="9"/>
    <n v="9"/>
    <n v="1"/>
    <n v="1"/>
    <n v="1"/>
    <n v="3"/>
    <n v="3"/>
    <n v="12"/>
    <n v="12"/>
  </r>
  <r>
    <x v="4"/>
    <x v="113"/>
    <d v="2026-05-15T00:00:00"/>
    <s v="2ND"/>
    <d v="1899-12-30T17:00:00"/>
    <n v="3"/>
    <x v="6"/>
    <s v="-"/>
    <s v="P"/>
    <s v="P"/>
    <s v="P"/>
    <s v="-"/>
    <s v="+"/>
    <n v="11.98"/>
    <s v="-"/>
    <s v="-"/>
    <s v="-"/>
    <s v="-"/>
    <s v="-"/>
    <s v="-"/>
    <s v="-"/>
    <s v="-"/>
    <s v="P"/>
    <s v="P"/>
    <s v="-"/>
    <s v="-"/>
    <n v="1"/>
    <n v="2"/>
    <n v="0"/>
    <s v="-"/>
    <s v="-"/>
    <s v="-"/>
    <s v="-"/>
    <s v="-"/>
    <s v="-"/>
    <s v="-"/>
    <n v="3"/>
    <n v="4"/>
    <s v="-"/>
    <n v="1"/>
    <n v="1"/>
    <n v="2"/>
    <n v="2"/>
    <n v="5"/>
    <n v="6"/>
  </r>
  <r>
    <x v="4"/>
    <x v="113"/>
    <d v="2026-05-15T00:00:00"/>
    <s v="2ND"/>
    <d v="1899-12-30T19:00:00"/>
    <n v="3"/>
    <x v="6"/>
    <n v="1.9300000000000001E-2"/>
    <s v="P"/>
    <s v="P"/>
    <s v="P"/>
    <s v="-"/>
    <s v="+"/>
    <n v="11.92"/>
    <s v="-"/>
    <s v="-"/>
    <s v="-"/>
    <s v="-"/>
    <s v="-"/>
    <s v="-"/>
    <s v="-"/>
    <s v="-"/>
    <s v="P"/>
    <s v="P"/>
    <s v="-"/>
    <n v="2"/>
    <n v="1"/>
    <n v="2"/>
    <n v="0"/>
    <s v="-"/>
    <s v="-"/>
    <s v="-"/>
    <s v="-"/>
    <s v="-"/>
    <s v="-"/>
    <s v="-"/>
    <n v="5"/>
    <n v="6"/>
    <s v="-"/>
    <n v="1"/>
    <n v="1"/>
    <n v="2"/>
    <n v="2"/>
    <n v="7"/>
    <n v="8"/>
  </r>
  <r>
    <x v="4"/>
    <x v="113"/>
    <d v="2026-05-15T00:00:00"/>
    <s v="2ND"/>
    <d v="1899-12-30T21:00:00"/>
    <n v="3"/>
    <x v="6"/>
    <n v="0.02"/>
    <s v="P"/>
    <s v="P"/>
    <s v="P"/>
    <s v="-"/>
    <s v="+"/>
    <n v="11.62"/>
    <s v="-"/>
    <s v="-"/>
    <s v="-"/>
    <s v="-"/>
    <s v="-"/>
    <s v="-"/>
    <s v="-"/>
    <s v="-"/>
    <s v="P"/>
    <s v="P"/>
    <s v="-"/>
    <n v="2"/>
    <n v="1"/>
    <n v="2"/>
    <n v="0"/>
    <s v="-"/>
    <s v="-"/>
    <s v="-"/>
    <s v="-"/>
    <s v="-"/>
    <s v="-"/>
    <s v="-"/>
    <n v="5"/>
    <n v="6"/>
    <s v="-"/>
    <n v="1"/>
    <n v="1"/>
    <n v="2"/>
    <n v="2"/>
    <n v="7"/>
    <n v="8"/>
  </r>
  <r>
    <x v="4"/>
    <x v="113"/>
    <s v="-"/>
    <s v="3RD"/>
    <d v="1899-12-30T22:00:00"/>
    <n v="1"/>
    <x v="20"/>
    <n v="1.23E-2"/>
    <s v="P"/>
    <s v="P"/>
    <s v="P"/>
    <s v="-"/>
    <s v="-"/>
    <n v="12.17"/>
    <n v="12.48"/>
    <n v="0.54"/>
    <n v="66.3"/>
    <s v="-"/>
    <s v="-"/>
    <s v="-"/>
    <s v="-"/>
    <s v="-"/>
    <s v="P"/>
    <s v="P"/>
    <n v="1"/>
    <n v="2"/>
    <n v="1"/>
    <n v="2"/>
    <n v="1"/>
    <n v="1"/>
    <n v="2"/>
    <n v="2"/>
    <s v="-"/>
    <s v="-"/>
    <s v="-"/>
    <s v="-"/>
    <n v="11"/>
    <n v="11"/>
    <s v="-"/>
    <n v="1"/>
    <n v="1"/>
    <n v="2"/>
    <n v="2"/>
    <n v="13"/>
    <n v="13"/>
  </r>
  <r>
    <x v="4"/>
    <x v="113"/>
    <d v="2026-05-18T00:00:00"/>
    <s v="3RD"/>
    <d v="1899-12-30T23:00:00"/>
    <n v="1"/>
    <x v="20"/>
    <n v="1.7500000000000002E-2"/>
    <s v="P"/>
    <s v="P"/>
    <s v="P"/>
    <s v="-"/>
    <s v="-"/>
    <n v="11.8"/>
    <s v="-"/>
    <s v="-"/>
    <s v="-"/>
    <s v="-"/>
    <s v="-"/>
    <s v="-"/>
    <s v="-"/>
    <s v="-"/>
    <s v="P"/>
    <s v="P"/>
    <n v="1"/>
    <n v="2"/>
    <n v="1"/>
    <n v="2"/>
    <n v="1"/>
    <s v="-"/>
    <s v="-"/>
    <s v="-"/>
    <s v="-"/>
    <s v="-"/>
    <s v="-"/>
    <s v="-"/>
    <n v="6"/>
    <n v="6"/>
    <s v="-"/>
    <n v="1"/>
    <n v="1"/>
    <n v="2"/>
    <n v="2"/>
    <n v="8"/>
    <n v="8"/>
  </r>
  <r>
    <x v="4"/>
    <x v="113"/>
    <d v="2026-05-18T00:00:00"/>
    <s v="3RD"/>
    <d v="1899-12-31T00:00:00"/>
    <n v="1"/>
    <x v="20"/>
    <n v="1.49E-2"/>
    <s v="P"/>
    <s v="P"/>
    <s v="P"/>
    <s v="-"/>
    <s v="-"/>
    <n v="12.18"/>
    <s v="-"/>
    <s v="-"/>
    <s v="-"/>
    <s v="-"/>
    <s v="-"/>
    <s v="-"/>
    <s v="-"/>
    <s v="-"/>
    <s v="P"/>
    <s v="P"/>
    <n v="1"/>
    <n v="2"/>
    <n v="1"/>
    <n v="2"/>
    <n v="1"/>
    <s v="-"/>
    <s v="-"/>
    <s v="-"/>
    <s v="-"/>
    <s v="-"/>
    <s v="-"/>
    <s v="-"/>
    <n v="6"/>
    <n v="6"/>
    <s v="-"/>
    <n v="1"/>
    <n v="1"/>
    <n v="2"/>
    <n v="2"/>
    <n v="8"/>
    <n v="8"/>
  </r>
  <r>
    <x v="4"/>
    <x v="113"/>
    <d v="2026-05-18T00:00:00"/>
    <s v="3RD"/>
    <d v="1899-12-31T01:00:00"/>
    <n v="1"/>
    <x v="20"/>
    <n v="1.2800000000000001E-2"/>
    <s v="P"/>
    <s v="P"/>
    <s v="P"/>
    <s v="-"/>
    <s v="-"/>
    <n v="12.35"/>
    <s v="-"/>
    <s v="-"/>
    <s v="-"/>
    <s v="-"/>
    <s v="-"/>
    <s v="-"/>
    <s v="-"/>
    <s v="-"/>
    <s v="P"/>
    <s v="P"/>
    <n v="1"/>
    <n v="2"/>
    <n v="1"/>
    <n v="2"/>
    <n v="1"/>
    <s v="-"/>
    <s v="-"/>
    <s v="-"/>
    <s v="-"/>
    <s v="-"/>
    <s v="-"/>
    <s v="-"/>
    <n v="6"/>
    <n v="6"/>
    <s v="-"/>
    <n v="1"/>
    <n v="1"/>
    <n v="2"/>
    <n v="2"/>
    <n v="8"/>
    <n v="8"/>
  </r>
  <r>
    <x v="4"/>
    <x v="113"/>
    <d v="2026-05-15T00:00:00"/>
    <s v="3RD"/>
    <d v="1899-12-31T01:00:00"/>
    <n v="3"/>
    <x v="6"/>
    <n v="1.6500000000000001E-2"/>
    <s v="P"/>
    <s v="P"/>
    <s v="P"/>
    <s v="+"/>
    <s v="+"/>
    <n v="12.34"/>
    <n v="12.65"/>
    <s v="-"/>
    <s v="-"/>
    <s v="-"/>
    <s v="-"/>
    <n v="35.299999999999997"/>
    <s v="-"/>
    <s v="-"/>
    <s v="P"/>
    <s v="P"/>
    <s v="80% 20%"/>
    <n v="2"/>
    <n v="1"/>
    <n v="2"/>
    <n v="1"/>
    <n v="1"/>
    <s v="-"/>
    <s v="-"/>
    <s v="-"/>
    <s v="-"/>
    <n v="2"/>
    <s v="-"/>
    <n v="9"/>
    <n v="9"/>
    <s v="-"/>
    <n v="1"/>
    <n v="1"/>
    <n v="2"/>
    <n v="2"/>
    <n v="11"/>
    <n v="11"/>
  </r>
  <r>
    <x v="4"/>
    <x v="113"/>
    <d v="2026-05-15T00:00:00"/>
    <s v="3RD"/>
    <d v="1899-12-31T02:00:00"/>
    <n v="3"/>
    <x v="6"/>
    <n v="1.0200000000000001E-2"/>
    <s v="P"/>
    <s v="P"/>
    <s v="P"/>
    <s v="+"/>
    <s v="+"/>
    <n v="12.8"/>
    <s v="-"/>
    <s v="-"/>
    <s v="-"/>
    <s v="-"/>
    <s v="-"/>
    <s v="-"/>
    <s v="-"/>
    <s v="-"/>
    <s v="P"/>
    <s v="P"/>
    <s v="80% 20%"/>
    <n v="2"/>
    <n v="1"/>
    <n v="2"/>
    <n v="1"/>
    <s v="-"/>
    <s v="-"/>
    <s v="-"/>
    <s v="-"/>
    <s v="-"/>
    <s v="-"/>
    <s v="-"/>
    <n v="6"/>
    <n v="6"/>
    <s v="-"/>
    <n v="1"/>
    <n v="1"/>
    <n v="2"/>
    <n v="2"/>
    <n v="8"/>
    <n v="8"/>
  </r>
  <r>
    <x v="4"/>
    <x v="113"/>
    <d v="2026-05-26T00:00:00"/>
    <s v="3RD"/>
    <d v="1899-12-31T03:00:00"/>
    <n v="3"/>
    <x v="12"/>
    <n v="1.44E-2"/>
    <s v="P"/>
    <s v="P"/>
    <s v="P"/>
    <s v="+"/>
    <s v="+"/>
    <n v="11.73"/>
    <n v="12.13"/>
    <n v="0.67"/>
    <n v="65.599999999999994"/>
    <n v="12.2"/>
    <s v="-"/>
    <n v="35.4"/>
    <s v="-"/>
    <s v="-"/>
    <s v="P"/>
    <s v="P"/>
    <n v="1"/>
    <n v="2"/>
    <n v="1"/>
    <n v="2"/>
    <n v="1"/>
    <s v="-"/>
    <n v="0"/>
    <n v="2"/>
    <s v="-"/>
    <s v="-"/>
    <n v="2"/>
    <s v="-"/>
    <n v="10"/>
    <n v="12"/>
    <s v="-"/>
    <n v="1"/>
    <n v="1"/>
    <n v="2"/>
    <n v="2"/>
    <n v="12"/>
    <n v="14"/>
  </r>
  <r>
    <x v="4"/>
    <x v="113"/>
    <d v="2026-05-27T00:00:00"/>
    <s v="3RD"/>
    <d v="1899-12-31T04:00:00"/>
    <n v="3"/>
    <x v="8"/>
    <n v="1.6500000000000001E-2"/>
    <s v="P"/>
    <s v="P"/>
    <s v="P"/>
    <s v="+"/>
    <s v="+"/>
    <n v="11.81"/>
    <n v="12.91"/>
    <n v="0.55000000000000004"/>
    <n v="67.3"/>
    <s v="-"/>
    <s v="-"/>
    <n v="36.299999999999997"/>
    <s v="-"/>
    <s v="-"/>
    <s v="P"/>
    <s v="P"/>
    <n v="1"/>
    <n v="2"/>
    <n v="1"/>
    <n v="2"/>
    <n v="1"/>
    <n v="1"/>
    <n v="2"/>
    <n v="2"/>
    <s v="-"/>
    <s v="-"/>
    <s v="-"/>
    <s v="-"/>
    <n v="11"/>
    <n v="11"/>
    <s v="-"/>
    <n v="1"/>
    <n v="1"/>
    <n v="2"/>
    <n v="2"/>
    <n v="13"/>
    <n v="13"/>
  </r>
  <r>
    <x v="4"/>
    <x v="114"/>
    <s v="-"/>
    <s v="1ST"/>
    <s v="06:00"/>
    <n v="1"/>
    <x v="17"/>
    <n v="9.2999999999999992E-3"/>
    <s v="P"/>
    <s v="P"/>
    <s v="P"/>
    <s v="-"/>
    <s v="+"/>
    <n v="11.04"/>
    <n v="7.96"/>
    <n v="0.37"/>
    <n v="57.8"/>
    <s v="-"/>
    <s v="-"/>
    <n v="21.2"/>
    <s v="-"/>
    <s v="-"/>
    <s v="P"/>
    <s v="P"/>
    <n v="1"/>
    <n v="2"/>
    <n v="1"/>
    <n v="2"/>
    <n v="1"/>
    <n v="1"/>
    <n v="2"/>
    <n v="2"/>
    <s v="-"/>
    <s v="-"/>
    <n v="2"/>
    <s v="-"/>
    <n v="13"/>
    <n v="13"/>
    <s v="-"/>
    <n v="1"/>
    <n v="1"/>
    <n v="2"/>
    <n v="2"/>
    <n v="15"/>
    <n v="15"/>
  </r>
  <r>
    <x v="4"/>
    <x v="114"/>
    <d v="2026-05-27T00:00:00"/>
    <s v="1ST"/>
    <s v="07:00"/>
    <n v="1"/>
    <x v="17"/>
    <n v="1.5599999999999999E-2"/>
    <s v="P"/>
    <s v="P"/>
    <s v="P"/>
    <s v="-"/>
    <s v="+"/>
    <n v="11.19"/>
    <s v="-"/>
    <s v="-"/>
    <s v="-"/>
    <s v="-"/>
    <s v="-"/>
    <s v="-"/>
    <s v="-"/>
    <s v="-"/>
    <s v="P"/>
    <s v="P"/>
    <s v="-"/>
    <n v="2"/>
    <n v="1"/>
    <n v="2"/>
    <n v="1"/>
    <s v="-"/>
    <s v="-"/>
    <s v="-"/>
    <s v="-"/>
    <s v="-"/>
    <s v="-"/>
    <s v="-"/>
    <n v="6"/>
    <n v="6"/>
    <s v="-"/>
    <n v="1"/>
    <n v="1"/>
    <n v="2"/>
    <n v="2"/>
    <n v="8"/>
    <n v="8"/>
  </r>
  <r>
    <x v="4"/>
    <x v="114"/>
    <d v="2026-05-27T00:00:00"/>
    <s v="1ST"/>
    <s v="08:00"/>
    <n v="1"/>
    <x v="17"/>
    <n v="5.5999999999999999E-3"/>
    <s v="P"/>
    <s v="P"/>
    <s v="P"/>
    <s v="-"/>
    <s v="+"/>
    <n v="10.99"/>
    <s v="-"/>
    <s v="-"/>
    <s v="-"/>
    <s v="-"/>
    <s v="-"/>
    <s v="-"/>
    <s v="-"/>
    <s v="-"/>
    <s v="P"/>
    <s v="P"/>
    <s v="-"/>
    <n v="2"/>
    <n v="1"/>
    <n v="2"/>
    <n v="0"/>
    <s v="-"/>
    <s v="-"/>
    <s v="-"/>
    <s v="-"/>
    <s v="-"/>
    <s v="-"/>
    <s v="-"/>
    <n v="5"/>
    <n v="6"/>
    <s v="-"/>
    <n v="1"/>
    <n v="1"/>
    <n v="2"/>
    <n v="2"/>
    <n v="7"/>
    <n v="8"/>
  </r>
  <r>
    <x v="4"/>
    <x v="114"/>
    <d v="2026-05-16T00:00:00"/>
    <s v="1ST"/>
    <s v="09:00"/>
    <n v="1"/>
    <x v="7"/>
    <n v="8.8999999999999999E-3"/>
    <s v="P"/>
    <s v="P"/>
    <s v="P"/>
    <s v="-"/>
    <s v="+"/>
    <n v="10.84"/>
    <n v="9.01"/>
    <n v="0.54"/>
    <n v="58.6"/>
    <s v="-"/>
    <s v="-"/>
    <n v="23.3"/>
    <s v="-"/>
    <s v="-"/>
    <s v="P"/>
    <s v="P"/>
    <s v="60% 10% 30%"/>
    <n v="2"/>
    <n v="1"/>
    <n v="2"/>
    <n v="0"/>
    <n v="1"/>
    <n v="2"/>
    <n v="2"/>
    <s v="-"/>
    <s v="-"/>
    <n v="2"/>
    <s v="-"/>
    <n v="12"/>
    <n v="13"/>
    <s v="-"/>
    <n v="1"/>
    <n v="1"/>
    <n v="2"/>
    <n v="2"/>
    <n v="14"/>
    <n v="15"/>
  </r>
  <r>
    <x v="4"/>
    <x v="114"/>
    <d v="2026-05-27T00:00:00"/>
    <s v="1ST"/>
    <s v="06:00"/>
    <n v="3"/>
    <x v="8"/>
    <n v="5.1999999999999998E-3"/>
    <s v="P"/>
    <s v="P"/>
    <s v="P"/>
    <s v="+"/>
    <s v="+"/>
    <n v="12.34"/>
    <n v="12.91"/>
    <n v="0.55000000000000004"/>
    <n v="67.3"/>
    <s v="-"/>
    <s v="-"/>
    <n v="36.299999999999997"/>
    <s v="-"/>
    <s v="-"/>
    <s v="P"/>
    <s v="P"/>
    <n v="1"/>
    <n v="2"/>
    <n v="1"/>
    <n v="2"/>
    <n v="1"/>
    <n v="1"/>
    <n v="2"/>
    <n v="2"/>
    <s v="-"/>
    <s v="-"/>
    <s v="-"/>
    <s v="-"/>
    <n v="11"/>
    <n v="11"/>
    <s v="-"/>
    <n v="1"/>
    <n v="1"/>
    <n v="2"/>
    <n v="2"/>
    <n v="13"/>
    <n v="13"/>
  </r>
  <r>
    <x v="4"/>
    <x v="114"/>
    <d v="2026-05-27T00:00:00"/>
    <s v="1ST"/>
    <s v="07:00"/>
    <n v="3"/>
    <x v="8"/>
    <n v="3.3E-3"/>
    <s v="P"/>
    <s v="P"/>
    <s v="P"/>
    <s v="+"/>
    <s v="+"/>
    <n v="11.4"/>
    <s v="-"/>
    <s v="-"/>
    <s v="-"/>
    <s v="-"/>
    <s v="-"/>
    <s v="-"/>
    <s v="-"/>
    <s v="-"/>
    <s v="P"/>
    <s v="P"/>
    <s v="-"/>
    <n v="2"/>
    <n v="1"/>
    <n v="2"/>
    <n v="1"/>
    <s v="-"/>
    <s v="-"/>
    <s v="-"/>
    <s v="-"/>
    <s v="-"/>
    <s v="-"/>
    <s v="-"/>
    <n v="6"/>
    <n v="6"/>
    <s v="-"/>
    <n v="1"/>
    <n v="1"/>
    <n v="2"/>
    <n v="2"/>
    <n v="8"/>
    <n v="8"/>
  </r>
  <r>
    <x v="4"/>
    <x v="114"/>
    <d v="2026-05-27T00:00:00"/>
    <s v="1ST"/>
    <s v="08:00"/>
    <n v="3"/>
    <x v="8"/>
    <n v="1.2E-2"/>
    <s v="P"/>
    <s v="P"/>
    <s v="P"/>
    <s v="+"/>
    <s v="+"/>
    <n v="12.43"/>
    <s v="-"/>
    <s v="-"/>
    <s v="-"/>
    <s v="-"/>
    <s v="-"/>
    <s v="-"/>
    <s v="-"/>
    <s v="-"/>
    <s v="P"/>
    <s v="P"/>
    <s v="-"/>
    <n v="2"/>
    <n v="1"/>
    <n v="2"/>
    <n v="1"/>
    <s v="-"/>
    <s v="-"/>
    <s v="-"/>
    <s v="-"/>
    <s v="-"/>
    <s v="-"/>
    <s v="-"/>
    <n v="6"/>
    <n v="6"/>
    <s v="-"/>
    <n v="1"/>
    <n v="1"/>
    <n v="2"/>
    <n v="2"/>
    <n v="8"/>
    <n v="8"/>
  </r>
  <r>
    <x v="4"/>
    <x v="114"/>
    <d v="2026-05-15T00:00:00"/>
    <s v="1ST"/>
    <s v="12:00"/>
    <s v="Retail"/>
    <x v="25"/>
    <s v="-"/>
    <s v="P"/>
    <s v="P"/>
    <s v="P"/>
    <s v="+"/>
    <s v="+"/>
    <n v="11.95"/>
    <s v="-"/>
    <s v="-"/>
    <s v="-"/>
    <s v="-"/>
    <s v="-"/>
    <s v="-"/>
    <s v="-"/>
    <s v="-"/>
    <s v="-"/>
    <s v="-"/>
    <s v="-"/>
    <s v="-"/>
    <n v="1"/>
    <n v="2"/>
    <n v="0"/>
    <s v="-"/>
    <s v="-"/>
    <s v="-"/>
    <s v="-"/>
    <s v="-"/>
    <s v="-"/>
    <s v="-"/>
    <n v="3"/>
    <n v="4"/>
    <s v="-"/>
    <s v="-"/>
    <s v="-"/>
    <n v="0"/>
    <n v="0"/>
    <n v="3"/>
    <n v="4"/>
  </r>
  <r>
    <x v="4"/>
    <x v="114"/>
    <d v="1899-12-30T00:00:00"/>
    <s v="2ND"/>
    <d v="1899-12-30T14:00:00"/>
    <n v="2"/>
    <x v="7"/>
    <n v="2.5000000000000001E-3"/>
    <s v="P"/>
    <s v="P"/>
    <s v="P"/>
    <s v="-"/>
    <s v="+"/>
    <n v="11.06"/>
    <n v="9.01"/>
    <s v="-"/>
    <s v="-"/>
    <s v="-"/>
    <s v="-"/>
    <n v="24"/>
    <s v="-"/>
    <n v="25.16"/>
    <s v="P"/>
    <s v="P"/>
    <s v="-"/>
    <n v="2"/>
    <n v="1"/>
    <n v="2"/>
    <n v="1"/>
    <n v="1"/>
    <s v="-"/>
    <s v="-"/>
    <s v="-"/>
    <s v="-"/>
    <n v="2"/>
    <s v="-"/>
    <n v="9"/>
    <n v="9"/>
    <n v="1"/>
    <n v="1"/>
    <n v="1"/>
    <n v="3"/>
    <n v="3"/>
    <n v="12"/>
    <n v="12"/>
  </r>
  <r>
    <x v="4"/>
    <x v="114"/>
    <d v="1899-12-30T00:00:00"/>
    <s v="2ND"/>
    <d v="1899-12-30T16:00:00"/>
    <n v="2"/>
    <x v="7"/>
    <n v="4.1000000000000003E-3"/>
    <s v="P"/>
    <s v="P"/>
    <s v="P"/>
    <s v="-"/>
    <s v="+"/>
    <n v="10.7"/>
    <s v="-"/>
    <s v="-"/>
    <s v="-"/>
    <s v="-"/>
    <s v="-"/>
    <s v="-"/>
    <s v="-"/>
    <s v="-"/>
    <s v="P"/>
    <s v="P"/>
    <s v="-"/>
    <n v="2"/>
    <n v="1"/>
    <n v="2"/>
    <n v="0"/>
    <s v="-"/>
    <s v="-"/>
    <s v="-"/>
    <s v="-"/>
    <s v="-"/>
    <s v="-"/>
    <s v="-"/>
    <n v="5"/>
    <n v="6"/>
    <s v="-"/>
    <n v="1"/>
    <n v="1"/>
    <n v="2"/>
    <n v="2"/>
    <n v="7"/>
    <n v="8"/>
  </r>
  <r>
    <x v="4"/>
    <x v="114"/>
    <d v="1899-12-30T00:00:00"/>
    <s v="2ND"/>
    <d v="1899-12-30T19:00:00"/>
    <n v="2"/>
    <x v="7"/>
    <n v="5.0000000000000001E-3"/>
    <s v="P"/>
    <s v="P"/>
    <s v="P"/>
    <s v="-"/>
    <s v="+"/>
    <n v="10.52"/>
    <s v="-"/>
    <s v="-"/>
    <s v="-"/>
    <s v="-"/>
    <s v="-"/>
    <s v="-"/>
    <s v="-"/>
    <s v="-"/>
    <s v="P"/>
    <s v="P"/>
    <s v="-"/>
    <n v="2"/>
    <n v="1"/>
    <n v="2"/>
    <n v="0"/>
    <s v="-"/>
    <s v="-"/>
    <s v="-"/>
    <s v="-"/>
    <s v="-"/>
    <s v="-"/>
    <s v="-"/>
    <n v="5"/>
    <n v="6"/>
    <s v="-"/>
    <n v="1"/>
    <n v="1"/>
    <n v="2"/>
    <n v="2"/>
    <n v="7"/>
    <n v="8"/>
  </r>
  <r>
    <x v="4"/>
    <x v="114"/>
    <d v="2026-05-27T00:00:00"/>
    <s v="2ND"/>
    <d v="1899-12-30T14:00:00"/>
    <n v="3"/>
    <x v="8"/>
    <n v="1.72E-2"/>
    <s v="P"/>
    <s v="P"/>
    <s v="P"/>
    <s v="+"/>
    <s v="+"/>
    <n v="11.79"/>
    <n v="12.91"/>
    <s v="-"/>
    <s v="-"/>
    <s v="-"/>
    <s v="-"/>
    <n v="36.299999999999997"/>
    <s v="-"/>
    <n v="25.19"/>
    <s v="P"/>
    <s v="P"/>
    <s v="-"/>
    <n v="2"/>
    <n v="1"/>
    <n v="2"/>
    <n v="1"/>
    <n v="1"/>
    <s v="-"/>
    <s v="-"/>
    <s v="-"/>
    <s v="-"/>
    <s v="-"/>
    <s v="-"/>
    <n v="7"/>
    <n v="7"/>
    <s v="-"/>
    <n v="1"/>
    <n v="1"/>
    <n v="2"/>
    <n v="2"/>
    <n v="9"/>
    <n v="9"/>
  </r>
  <r>
    <x v="4"/>
    <x v="114"/>
    <d v="2026-05-27T00:00:00"/>
    <s v="2ND"/>
    <d v="1899-12-30T15:00:00"/>
    <n v="3"/>
    <x v="8"/>
    <n v="1.8499999999999999E-2"/>
    <s v="P"/>
    <s v="P"/>
    <s v="P"/>
    <s v="+"/>
    <s v="+"/>
    <n v="12.14"/>
    <s v="-"/>
    <s v="-"/>
    <s v="-"/>
    <s v="-"/>
    <s v="-"/>
    <s v="-"/>
    <s v="-"/>
    <s v="-"/>
    <s v="P"/>
    <s v="P"/>
    <s v="-"/>
    <n v="2"/>
    <n v="1"/>
    <n v="2"/>
    <n v="1"/>
    <s v="-"/>
    <s v="-"/>
    <s v="-"/>
    <s v="-"/>
    <s v="-"/>
    <s v="-"/>
    <s v="-"/>
    <n v="6"/>
    <n v="6"/>
    <s v="-"/>
    <n v="1"/>
    <n v="1"/>
    <n v="2"/>
    <n v="2"/>
    <n v="8"/>
    <n v="8"/>
  </r>
  <r>
    <x v="4"/>
    <x v="114"/>
    <d v="2026-05-27T00:00:00"/>
    <s v="2ND"/>
    <d v="1899-12-30T16:00:00"/>
    <n v="3"/>
    <x v="8"/>
    <n v="1.8800000000000001E-2"/>
    <s v="P"/>
    <s v="P"/>
    <s v="P"/>
    <s v="+"/>
    <s v="+"/>
    <n v="12.01"/>
    <s v="-"/>
    <s v="-"/>
    <s v="-"/>
    <s v="-"/>
    <s v="-"/>
    <s v="-"/>
    <s v="-"/>
    <s v="-"/>
    <s v="P"/>
    <s v="P"/>
    <s v="-"/>
    <n v="2"/>
    <n v="1"/>
    <n v="2"/>
    <n v="1"/>
    <s v="-"/>
    <s v="-"/>
    <s v="-"/>
    <s v="-"/>
    <s v="-"/>
    <s v="-"/>
    <s v="-"/>
    <n v="6"/>
    <n v="6"/>
    <s v="-"/>
    <n v="1"/>
    <n v="1"/>
    <n v="2"/>
    <n v="2"/>
    <n v="8"/>
    <n v="8"/>
  </r>
  <r>
    <x v="4"/>
    <x v="114"/>
    <d v="2026-05-27T00:00:00"/>
    <s v="2ND"/>
    <d v="1899-12-30T17:00:00"/>
    <n v="3"/>
    <x v="8"/>
    <s v="-"/>
    <s v="P"/>
    <s v="P"/>
    <s v="P"/>
    <s v="+"/>
    <s v="+"/>
    <n v="12.14"/>
    <s v="-"/>
    <s v="-"/>
    <s v="-"/>
    <s v="-"/>
    <s v="-"/>
    <s v="-"/>
    <s v="-"/>
    <s v="-"/>
    <s v="P"/>
    <s v="P"/>
    <s v="-"/>
    <s v="-"/>
    <n v="1"/>
    <n v="2"/>
    <n v="1"/>
    <s v="-"/>
    <s v="-"/>
    <s v="-"/>
    <s v="-"/>
    <s v="-"/>
    <s v="-"/>
    <s v="-"/>
    <n v="4"/>
    <n v="4"/>
    <s v="-"/>
    <n v="1"/>
    <n v="1"/>
    <n v="2"/>
    <n v="2"/>
    <n v="6"/>
    <n v="6"/>
  </r>
  <r>
    <x v="4"/>
    <x v="114"/>
    <d v="2026-05-27T00:00:00"/>
    <s v="2ND"/>
    <d v="1899-12-30T19:00:00"/>
    <n v="3"/>
    <x v="8"/>
    <n v="1.9E-2"/>
    <s v="P"/>
    <s v="P"/>
    <s v="P"/>
    <s v="+"/>
    <s v="+"/>
    <n v="11.74"/>
    <s v="-"/>
    <s v="-"/>
    <s v="-"/>
    <s v="-"/>
    <s v="-"/>
    <s v="-"/>
    <s v="-"/>
    <s v="-"/>
    <s v="P"/>
    <s v="P"/>
    <s v="-"/>
    <n v="2"/>
    <n v="1"/>
    <n v="2"/>
    <n v="1"/>
    <s v="-"/>
    <s v="-"/>
    <s v="-"/>
    <s v="-"/>
    <s v="-"/>
    <s v="-"/>
    <s v="-"/>
    <n v="6"/>
    <n v="6"/>
    <s v="-"/>
    <n v="1"/>
    <n v="1"/>
    <n v="2"/>
    <n v="2"/>
    <n v="8"/>
    <n v="8"/>
  </r>
  <r>
    <x v="4"/>
    <x v="114"/>
    <d v="2026-05-27T00:00:00"/>
    <s v="2ND"/>
    <d v="1899-12-30T21:00:00"/>
    <n v="3"/>
    <x v="8"/>
    <n v="0.02"/>
    <s v="P"/>
    <s v="P"/>
    <s v="P"/>
    <s v="+"/>
    <s v="+"/>
    <n v="11.97"/>
    <s v="-"/>
    <s v="-"/>
    <s v="-"/>
    <s v="-"/>
    <s v="-"/>
    <s v="-"/>
    <s v="-"/>
    <s v="-"/>
    <s v="P"/>
    <s v="P"/>
    <s v="-"/>
    <n v="2"/>
    <n v="1"/>
    <n v="2"/>
    <n v="1"/>
    <s v="-"/>
    <s v="-"/>
    <s v="-"/>
    <s v="-"/>
    <s v="-"/>
    <s v="-"/>
    <s v="-"/>
    <n v="6"/>
    <n v="6"/>
    <s v="-"/>
    <n v="1"/>
    <n v="1"/>
    <n v="2"/>
    <n v="2"/>
    <n v="8"/>
    <n v="8"/>
  </r>
  <r>
    <x v="4"/>
    <x v="114"/>
    <s v="-"/>
    <s v="3RD"/>
    <d v="1899-12-30T22:00:00"/>
    <n v="1"/>
    <x v="7"/>
    <n v="7.9000000000000008E-3"/>
    <s v="P"/>
    <s v="P"/>
    <s v="P"/>
    <s v="-"/>
    <s v="+"/>
    <n v="10.76"/>
    <n v="9.8000000000000007"/>
    <s v="-"/>
    <s v="-"/>
    <s v="-"/>
    <s v="-"/>
    <n v="26.9"/>
    <s v="-"/>
    <s v="-"/>
    <s v="P"/>
    <s v="P"/>
    <s v="60% 10% 30%"/>
    <n v="2"/>
    <n v="1"/>
    <n v="2"/>
    <n v="0"/>
    <n v="1"/>
    <s v="-"/>
    <s v="-"/>
    <s v="-"/>
    <s v="-"/>
    <n v="2"/>
    <s v="-"/>
    <n v="8"/>
    <n v="9"/>
    <s v="-"/>
    <n v="1"/>
    <n v="1"/>
    <n v="2"/>
    <n v="2"/>
    <n v="10"/>
    <n v="11"/>
  </r>
  <r>
    <x v="4"/>
    <x v="114"/>
    <d v="2026-05-16T00:00:00"/>
    <s v="3RD"/>
    <d v="1899-12-30T23:00:00"/>
    <n v="1"/>
    <x v="7"/>
    <n v="6.4999999999999997E-3"/>
    <s v="P"/>
    <s v="P"/>
    <s v="P"/>
    <s v="-"/>
    <s v="+"/>
    <n v="10.7"/>
    <s v="-"/>
    <s v="-"/>
    <s v="-"/>
    <s v="-"/>
    <s v="-"/>
    <s v="-"/>
    <s v="-"/>
    <s v="-"/>
    <s v="P"/>
    <s v="P"/>
    <s v="60% 10% 30%"/>
    <n v="2"/>
    <n v="1"/>
    <n v="2"/>
    <n v="0"/>
    <s v="-"/>
    <s v="-"/>
    <s v="-"/>
    <s v="-"/>
    <s v="-"/>
    <s v="-"/>
    <s v="-"/>
    <n v="5"/>
    <n v="6"/>
    <s v="-"/>
    <n v="1"/>
    <n v="1"/>
    <n v="2"/>
    <n v="2"/>
    <n v="7"/>
    <n v="8"/>
  </r>
  <r>
    <x v="4"/>
    <x v="114"/>
    <d v="2026-05-27T00:00:00"/>
    <s v="3RD"/>
    <d v="1899-12-30T22:00:00"/>
    <n v="3"/>
    <x v="8"/>
    <n v="1.8800000000000001E-2"/>
    <s v="P"/>
    <s v="P"/>
    <s v="P"/>
    <s v="+"/>
    <s v="+"/>
    <n v="12.31"/>
    <n v="13.24"/>
    <n v="0.53"/>
    <n v="65.599999999999994"/>
    <s v="-"/>
    <s v="-"/>
    <n v="37.299999999999997"/>
    <s v="-"/>
    <s v="-"/>
    <s v="P"/>
    <s v="P"/>
    <n v="1"/>
    <n v="2"/>
    <n v="1"/>
    <n v="2"/>
    <n v="1"/>
    <n v="1"/>
    <n v="2"/>
    <n v="2"/>
    <s v="-"/>
    <s v="-"/>
    <s v="-"/>
    <s v="-"/>
    <n v="11"/>
    <n v="11"/>
    <s v="-"/>
    <n v="1"/>
    <n v="1"/>
    <n v="2"/>
    <n v="2"/>
    <n v="13"/>
    <n v="13"/>
  </r>
  <r>
    <x v="4"/>
    <x v="114"/>
    <d v="2026-05-27T00:00:00"/>
    <s v="3RD"/>
    <d v="1899-12-30T23:00:00"/>
    <n v="3"/>
    <x v="8"/>
    <n v="1.4500000000000001E-2"/>
    <s v="P"/>
    <s v="P"/>
    <s v="P"/>
    <s v="+"/>
    <s v="+"/>
    <n v="12.08"/>
    <s v="-"/>
    <s v="-"/>
    <s v="-"/>
    <s v="-"/>
    <s v="-"/>
    <s v="-"/>
    <s v="-"/>
    <s v="-"/>
    <s v="P"/>
    <s v="P"/>
    <n v="1"/>
    <n v="2"/>
    <n v="1"/>
    <n v="2"/>
    <n v="1"/>
    <s v="-"/>
    <s v="-"/>
    <s v="-"/>
    <s v="-"/>
    <s v="-"/>
    <s v="-"/>
    <s v="-"/>
    <n v="6"/>
    <n v="6"/>
    <s v="-"/>
    <n v="1"/>
    <n v="1"/>
    <n v="2"/>
    <n v="2"/>
    <n v="8"/>
    <n v="8"/>
  </r>
  <r>
    <x v="4"/>
    <x v="114"/>
    <d v="2026-05-27T00:00:00"/>
    <s v="3RD"/>
    <d v="1899-12-31T00:00:00"/>
    <n v="3"/>
    <x v="1"/>
    <n v="1.41E-2"/>
    <s v="P"/>
    <s v="P"/>
    <s v="P"/>
    <s v="+"/>
    <s v="+"/>
    <n v="12.16"/>
    <n v="13.24"/>
    <n v="0.53"/>
    <n v="65.599999999999994"/>
    <s v="-"/>
    <s v="-"/>
    <n v="37.299999999999997"/>
    <s v="-"/>
    <s v="-"/>
    <s v="P"/>
    <s v="P"/>
    <n v="1"/>
    <n v="2"/>
    <n v="1"/>
    <n v="2"/>
    <n v="1"/>
    <n v="1"/>
    <n v="2"/>
    <n v="2"/>
    <s v="-"/>
    <s v="-"/>
    <n v="2"/>
    <s v="-"/>
    <n v="13"/>
    <n v="13"/>
    <s v="-"/>
    <n v="1"/>
    <n v="1"/>
    <n v="2"/>
    <n v="2"/>
    <n v="15"/>
    <n v="15"/>
  </r>
  <r>
    <x v="4"/>
    <x v="114"/>
    <d v="2026-05-27T00:00:00"/>
    <s v="3RD"/>
    <d v="1899-12-31T01:00:00"/>
    <n v="3"/>
    <x v="1"/>
    <n v="1.55E-2"/>
    <s v="P"/>
    <s v="P"/>
    <s v="P"/>
    <s v="+"/>
    <s v="+"/>
    <n v="11.96"/>
    <s v="-"/>
    <s v="-"/>
    <s v="-"/>
    <s v="-"/>
    <s v="-"/>
    <s v="-"/>
    <s v="-"/>
    <s v="-"/>
    <s v="P"/>
    <s v="P"/>
    <n v="1"/>
    <n v="2"/>
    <n v="1"/>
    <n v="2"/>
    <n v="0"/>
    <s v="-"/>
    <s v="-"/>
    <s v="-"/>
    <s v="-"/>
    <s v="-"/>
    <s v="-"/>
    <s v="-"/>
    <n v="5"/>
    <n v="6"/>
    <s v="-"/>
    <n v="1"/>
    <n v="1"/>
    <n v="2"/>
    <n v="2"/>
    <n v="7"/>
    <n v="8"/>
  </r>
  <r>
    <x v="4"/>
    <x v="114"/>
    <d v="2026-05-28T00:00:00"/>
    <s v="3RD"/>
    <d v="1899-12-31T02:00:00"/>
    <n v="3"/>
    <x v="11"/>
    <n v="1.6899999999999998E-2"/>
    <s v="P"/>
    <s v="P"/>
    <s v="P"/>
    <s v="+"/>
    <s v="+"/>
    <n v="11.85"/>
    <n v="13.32"/>
    <n v="0.56000000000000005"/>
    <n v="66.3"/>
    <n v="13.5"/>
    <s v="-"/>
    <n v="37.5"/>
    <s v="-"/>
    <s v="-"/>
    <s v="P"/>
    <s v="P"/>
    <n v="1"/>
    <n v="2"/>
    <n v="1"/>
    <n v="2"/>
    <n v="1"/>
    <n v="1"/>
    <n v="2"/>
    <n v="2"/>
    <n v="1"/>
    <s v="-"/>
    <n v="2"/>
    <s v="-"/>
    <n v="14"/>
    <n v="14"/>
    <s v="-"/>
    <n v="1"/>
    <n v="1"/>
    <n v="2"/>
    <n v="2"/>
    <n v="16"/>
    <n v="16"/>
  </r>
  <r>
    <x v="4"/>
    <x v="114"/>
    <d v="2026-05-28T00:00:00"/>
    <s v="3RD"/>
    <d v="1899-12-31T03:00:00"/>
    <n v="3"/>
    <x v="11"/>
    <n v="1.6199999999999999E-2"/>
    <s v="P"/>
    <s v="P"/>
    <s v="P"/>
    <s v="+"/>
    <s v="+"/>
    <n v="12.16"/>
    <s v="-"/>
    <s v="-"/>
    <s v="-"/>
    <s v="-"/>
    <s v="-"/>
    <s v="-"/>
    <s v="-"/>
    <s v="-"/>
    <s v="P"/>
    <s v="P"/>
    <n v="1"/>
    <n v="2"/>
    <n v="1"/>
    <n v="2"/>
    <n v="1"/>
    <s v="-"/>
    <s v="-"/>
    <s v="-"/>
    <s v="-"/>
    <s v="-"/>
    <s v="-"/>
    <s v="-"/>
    <n v="6"/>
    <n v="6"/>
    <s v="-"/>
    <n v="1"/>
    <n v="1"/>
    <n v="2"/>
    <n v="2"/>
    <n v="8"/>
    <n v="8"/>
  </r>
  <r>
    <x v="4"/>
    <x v="114"/>
    <d v="2026-05-28T00:00:00"/>
    <s v="3RD"/>
    <d v="1899-12-31T04:00:00"/>
    <n v="3"/>
    <x v="10"/>
    <n v="1.55E-2"/>
    <s v="P"/>
    <s v="P"/>
    <s v="P"/>
    <s v="+"/>
    <s v="+"/>
    <n v="11.83"/>
    <n v="11.97"/>
    <n v="0.5"/>
    <n v="65.8"/>
    <n v="14.9"/>
    <s v="-"/>
    <n v="33.5"/>
    <s v="-"/>
    <s v="-"/>
    <s v="P"/>
    <s v="P"/>
    <n v="1"/>
    <n v="2"/>
    <n v="1"/>
    <n v="2"/>
    <n v="0"/>
    <n v="1"/>
    <n v="0"/>
    <n v="2"/>
    <n v="1"/>
    <s v="-"/>
    <n v="2"/>
    <s v="-"/>
    <n v="11"/>
    <n v="14"/>
    <s v="-"/>
    <n v="1"/>
    <n v="1"/>
    <n v="2"/>
    <n v="2"/>
    <n v="13"/>
    <n v="16"/>
  </r>
  <r>
    <x v="4"/>
    <x v="115"/>
    <s v="-"/>
    <s v="2ND"/>
    <d v="1899-12-30T14:00:00"/>
    <n v="1"/>
    <x v="7"/>
    <n v="1.41E-2"/>
    <s v="P"/>
    <s v="P"/>
    <s v="P"/>
    <s v="-"/>
    <s v="+"/>
    <n v="9.93"/>
    <n v="9.5299999999999994"/>
    <n v="0.64"/>
    <n v="58.6"/>
    <s v="-"/>
    <s v="-"/>
    <n v="24.2"/>
    <s v="-"/>
    <s v="-"/>
    <s v="-"/>
    <s v="-"/>
    <s v="60% 10% 30%"/>
    <n v="2"/>
    <n v="1"/>
    <n v="2"/>
    <n v="0"/>
    <n v="1"/>
    <n v="0"/>
    <n v="2"/>
    <s v="-"/>
    <s v="-"/>
    <n v="2"/>
    <s v="-"/>
    <n v="10"/>
    <n v="13"/>
    <s v="-"/>
    <s v="-"/>
    <s v="-"/>
    <n v="0"/>
    <n v="0"/>
    <n v="10"/>
    <n v="13"/>
  </r>
  <r>
    <x v="4"/>
    <x v="115"/>
    <d v="2026-05-18T00:00:00"/>
    <s v="2ND"/>
    <d v="1899-12-30T15:00:00"/>
    <n v="1"/>
    <x v="2"/>
    <n v="1.0699999999999999E-2"/>
    <s v="P"/>
    <s v="P"/>
    <s v="P"/>
    <s v="-"/>
    <s v="+"/>
    <n v="10.57"/>
    <n v="9.2100000000000009"/>
    <n v="0.55000000000000004"/>
    <n v="58.4"/>
    <s v="-"/>
    <s v="-"/>
    <n v="25.5"/>
    <s v="-"/>
    <s v="-"/>
    <s v="-"/>
    <s v="-"/>
    <s v="-"/>
    <n v="2"/>
    <n v="1"/>
    <n v="2"/>
    <n v="0"/>
    <n v="0"/>
    <n v="2"/>
    <n v="0"/>
    <s v="-"/>
    <s v="-"/>
    <n v="0"/>
    <s v="-"/>
    <n v="7"/>
    <n v="13"/>
    <s v="-"/>
    <s v="-"/>
    <s v="-"/>
    <n v="0"/>
    <n v="0"/>
    <n v="7"/>
    <n v="13"/>
  </r>
  <r>
    <x v="4"/>
    <x v="115"/>
    <d v="2026-05-18T00:00:00"/>
    <s v="2ND"/>
    <d v="1899-12-30T17:00:00"/>
    <n v="1"/>
    <x v="2"/>
    <n v="8.6999999999999994E-3"/>
    <s v="-"/>
    <s v="-"/>
    <s v="-"/>
    <s v="-"/>
    <s v="-"/>
    <s v="-"/>
    <s v="-"/>
    <s v="-"/>
    <s v="-"/>
    <s v="-"/>
    <s v="-"/>
    <s v="-"/>
    <s v="-"/>
    <s v="-"/>
    <s v="-"/>
    <s v="-"/>
    <s v="-"/>
    <n v="2"/>
    <s v="-"/>
    <s v="-"/>
    <s v="-"/>
    <s v="-"/>
    <s v="-"/>
    <s v="-"/>
    <s v="-"/>
    <s v="-"/>
    <s v="-"/>
    <s v="-"/>
    <n v="2"/>
    <n v="2"/>
    <s v="-"/>
    <s v="-"/>
    <s v="-"/>
    <n v="0"/>
    <n v="0"/>
    <n v="2"/>
    <n v="2"/>
  </r>
  <r>
    <x v="4"/>
    <x v="115"/>
    <d v="1902-03-25T00:00:00"/>
    <s v="2ND"/>
    <d v="1899-12-30T14:00:00"/>
    <n v="2"/>
    <x v="22"/>
    <n v="8.3000000000000001E-3"/>
    <s v="P"/>
    <s v="P"/>
    <s v="P"/>
    <s v="-"/>
    <s v="-"/>
    <n v="10.78"/>
    <n v="9.1180000000000003"/>
    <n v="0.49"/>
    <n v="55.8"/>
    <n v="16.600000000000001"/>
    <s v="-"/>
    <n v="22.2"/>
    <s v="-"/>
    <s v="-"/>
    <s v="-"/>
    <s v="-"/>
    <s v="-"/>
    <n v="2"/>
    <n v="1"/>
    <n v="2"/>
    <n v="0"/>
    <n v="1"/>
    <n v="0"/>
    <n v="2"/>
    <s v="-"/>
    <s v="-"/>
    <n v="2"/>
    <s v="-"/>
    <n v="10"/>
    <n v="13"/>
    <s v="-"/>
    <s v="-"/>
    <s v="-"/>
    <n v="0"/>
    <n v="0"/>
    <n v="10"/>
    <n v="13"/>
  </r>
  <r>
    <x v="4"/>
    <x v="115"/>
    <d v="1899-12-30T00:00:00"/>
    <s v="2ND"/>
    <d v="1899-12-30T16:00:00"/>
    <n v="2"/>
    <x v="22"/>
    <n v="5.1000000000000004E-3"/>
    <s v="P"/>
    <s v="P"/>
    <s v="P"/>
    <s v="-"/>
    <s v="-"/>
    <n v="11.55"/>
    <s v="-"/>
    <s v="-"/>
    <s v="-"/>
    <s v="-"/>
    <s v="-"/>
    <s v="-"/>
    <s v="-"/>
    <s v="-"/>
    <s v="-"/>
    <s v="-"/>
    <s v="-"/>
    <n v="2"/>
    <n v="1"/>
    <n v="2"/>
    <n v="1"/>
    <s v="-"/>
    <s v="-"/>
    <s v="-"/>
    <s v="-"/>
    <s v="-"/>
    <s v="-"/>
    <s v="-"/>
    <n v="6"/>
    <n v="6"/>
    <s v="-"/>
    <s v="-"/>
    <s v="-"/>
    <n v="0"/>
    <n v="0"/>
    <n v="6"/>
    <n v="6"/>
  </r>
  <r>
    <x v="4"/>
    <x v="115"/>
    <d v="1899-12-30T00:00:00"/>
    <s v="2ND"/>
    <d v="1899-12-30T18:00:00"/>
    <n v="2"/>
    <x v="22"/>
    <n v="3.8999999999999998E-3"/>
    <s v="P"/>
    <s v="P"/>
    <s v="P"/>
    <s v="-"/>
    <s v="-"/>
    <n v="11.27"/>
    <s v="-"/>
    <s v="-"/>
    <s v="-"/>
    <s v="-"/>
    <s v="-"/>
    <s v="-"/>
    <s v="-"/>
    <s v="-"/>
    <s v="-"/>
    <s v="-"/>
    <s v="-"/>
    <n v="2"/>
    <n v="1"/>
    <n v="2"/>
    <n v="1"/>
    <s v="-"/>
    <s v="-"/>
    <s v="-"/>
    <s v="-"/>
    <s v="-"/>
    <s v="-"/>
    <s v="-"/>
    <n v="6"/>
    <n v="6"/>
    <s v="-"/>
    <s v="-"/>
    <s v="-"/>
    <n v="0"/>
    <n v="0"/>
    <n v="6"/>
    <n v="6"/>
  </r>
  <r>
    <x v="4"/>
    <x v="115"/>
    <d v="1899-12-30T00:00:00"/>
    <s v="2ND"/>
    <d v="1899-12-30T20:00:00"/>
    <n v="2"/>
    <x v="22"/>
    <n v="5.0000000000000001E-3"/>
    <s v="P"/>
    <s v="P"/>
    <s v="P"/>
    <s v="-"/>
    <s v="-"/>
    <n v="11.27"/>
    <s v="-"/>
    <s v="-"/>
    <s v="-"/>
    <s v="-"/>
    <s v="-"/>
    <s v="-"/>
    <s v="-"/>
    <s v="-"/>
    <s v="-"/>
    <s v="-"/>
    <s v="-"/>
    <n v="2"/>
    <n v="1"/>
    <n v="2"/>
    <n v="1"/>
    <s v="-"/>
    <s v="-"/>
    <s v="-"/>
    <s v="-"/>
    <s v="-"/>
    <s v="-"/>
    <s v="-"/>
    <n v="6"/>
    <n v="6"/>
    <s v="-"/>
    <s v="-"/>
    <s v="-"/>
    <n v="0"/>
    <n v="0"/>
    <n v="6"/>
    <n v="6"/>
  </r>
  <r>
    <x v="4"/>
    <x v="115"/>
    <d v="2026-05-28T00:00:00"/>
    <s v="2ND"/>
    <d v="1899-12-30T14:00:00"/>
    <n v="3"/>
    <x v="10"/>
    <n v="4.3E-3"/>
    <s v="P"/>
    <s v="P"/>
    <s v="P"/>
    <s v="+"/>
    <s v="+"/>
    <n v="12.35"/>
    <n v="11.88"/>
    <n v="0.48"/>
    <n v="65.8"/>
    <s v="-"/>
    <s v="-"/>
    <n v="32.5"/>
    <s v="-"/>
    <s v="-"/>
    <s v="-"/>
    <s v="-"/>
    <n v="1"/>
    <n v="2"/>
    <n v="1"/>
    <n v="2"/>
    <n v="1"/>
    <n v="1"/>
    <n v="0"/>
    <n v="2"/>
    <s v="-"/>
    <s v="-"/>
    <n v="2"/>
    <s v="-"/>
    <n v="11"/>
    <n v="13"/>
    <s v="-"/>
    <s v="-"/>
    <s v="-"/>
    <n v="0"/>
    <n v="0"/>
    <n v="11"/>
    <n v="13"/>
  </r>
  <r>
    <x v="4"/>
    <x v="115"/>
    <d v="2026-05-29T00:00:00"/>
    <s v="2ND"/>
    <d v="1899-12-30T16:00:00"/>
    <n v="3"/>
    <x v="12"/>
    <n v="1.89E-2"/>
    <s v="P"/>
    <s v="P"/>
    <s v="P"/>
    <s v="+"/>
    <s v="+"/>
    <n v="12.64"/>
    <n v="12.44"/>
    <n v="0.57999999999999996"/>
    <n v="65.5"/>
    <s v="-"/>
    <s v="-"/>
    <n v="34.700000000000003"/>
    <s v="-"/>
    <s v="-"/>
    <s v="-"/>
    <s v="-"/>
    <n v="1"/>
    <n v="2"/>
    <n v="1"/>
    <n v="2"/>
    <n v="1"/>
    <s v="-"/>
    <n v="0"/>
    <n v="2"/>
    <s v="-"/>
    <s v="-"/>
    <n v="0"/>
    <s v="-"/>
    <n v="8"/>
    <n v="12"/>
    <s v="-"/>
    <s v="-"/>
    <s v="-"/>
    <n v="0"/>
    <n v="0"/>
    <n v="8"/>
    <n v="12"/>
  </r>
  <r>
    <x v="4"/>
    <x v="115"/>
    <d v="2026-05-29T00:00:00"/>
    <s v="2ND"/>
    <d v="1899-12-30T18:00:00"/>
    <n v="3"/>
    <x v="12"/>
    <n v="2.0500000000000001E-2"/>
    <s v="P"/>
    <s v="P"/>
    <s v="P"/>
    <s v="+"/>
    <s v="+"/>
    <n v="12.84"/>
    <s v="-"/>
    <s v="-"/>
    <s v="-"/>
    <s v="-"/>
    <s v="-"/>
    <s v="-"/>
    <s v="-"/>
    <s v="-"/>
    <s v="-"/>
    <s v="-"/>
    <s v="-"/>
    <n v="0"/>
    <n v="1"/>
    <n v="2"/>
    <n v="1"/>
    <s v="-"/>
    <s v="-"/>
    <s v="-"/>
    <s v="-"/>
    <s v="-"/>
    <s v="-"/>
    <s v="-"/>
    <n v="4"/>
    <n v="6"/>
    <s v="-"/>
    <s v="-"/>
    <s v="-"/>
    <n v="0"/>
    <n v="0"/>
    <n v="4"/>
    <n v="6"/>
  </r>
  <r>
    <x v="4"/>
    <x v="115"/>
    <d v="2026-05-29T00:00:00"/>
    <s v="2ND"/>
    <d v="1899-12-30T19:00:00"/>
    <n v="3"/>
    <x v="12"/>
    <n v="1.9900000000000001E-2"/>
    <s v="P"/>
    <s v="P"/>
    <s v="P"/>
    <s v="+"/>
    <s v="+"/>
    <n v="12.76"/>
    <s v="-"/>
    <s v="-"/>
    <s v="-"/>
    <s v="-"/>
    <s v="-"/>
    <s v="-"/>
    <s v="-"/>
    <s v="-"/>
    <s v="-"/>
    <s v="-"/>
    <s v="-"/>
    <n v="2"/>
    <n v="1"/>
    <n v="2"/>
    <n v="1"/>
    <s v="-"/>
    <s v="-"/>
    <s v="-"/>
    <s v="-"/>
    <s v="-"/>
    <s v="-"/>
    <s v="-"/>
    <n v="6"/>
    <n v="6"/>
    <s v="-"/>
    <s v="-"/>
    <s v="-"/>
    <n v="0"/>
    <n v="0"/>
    <n v="6"/>
    <n v="6"/>
  </r>
  <r>
    <x v="4"/>
    <x v="115"/>
    <d v="1899-12-30T00:00:00"/>
    <s v="2ND"/>
    <d v="1899-12-30T20:00:00"/>
    <n v="3"/>
    <x v="12"/>
    <n v="1.83E-2"/>
    <s v="P"/>
    <s v="P"/>
    <s v="P"/>
    <s v="+"/>
    <s v="+"/>
    <n v="13.1"/>
    <s v="-"/>
    <s v="-"/>
    <s v="-"/>
    <s v="-"/>
    <s v="-"/>
    <s v="-"/>
    <s v="-"/>
    <s v="-"/>
    <s v="-"/>
    <s v="-"/>
    <s v="-"/>
    <n v="2"/>
    <n v="1"/>
    <n v="2"/>
    <n v="1"/>
    <s v="-"/>
    <s v="-"/>
    <s v="-"/>
    <s v="-"/>
    <s v="-"/>
    <s v="-"/>
    <s v="-"/>
    <n v="6"/>
    <n v="6"/>
    <s v="-"/>
    <s v="-"/>
    <s v="-"/>
    <n v="0"/>
    <n v="0"/>
    <n v="6"/>
    <n v="6"/>
  </r>
  <r>
    <x v="4"/>
    <x v="115"/>
    <d v="1899-12-30T00:00:00"/>
    <s v="2ND"/>
    <d v="1899-12-30T21:00:00"/>
    <n v="3"/>
    <x v="12"/>
    <n v="1.77E-2"/>
    <s v="P"/>
    <s v="P"/>
    <s v="P"/>
    <s v="+"/>
    <s v="+"/>
    <n v="12.77"/>
    <s v="-"/>
    <s v="-"/>
    <s v="-"/>
    <s v="-"/>
    <s v="-"/>
    <s v="-"/>
    <s v="-"/>
    <s v="-"/>
    <s v="-"/>
    <s v="-"/>
    <s v="-"/>
    <n v="2"/>
    <n v="1"/>
    <n v="2"/>
    <n v="1"/>
    <s v="-"/>
    <s v="-"/>
    <s v="-"/>
    <s v="-"/>
    <s v="-"/>
    <s v="-"/>
    <s v="-"/>
    <n v="6"/>
    <n v="6"/>
    <s v="-"/>
    <s v="-"/>
    <s v="-"/>
    <n v="0"/>
    <n v="0"/>
    <n v="6"/>
    <n v="6"/>
  </r>
  <r>
    <x v="4"/>
    <x v="115"/>
    <d v="2026-05-18T00:00:00"/>
    <s v="3RD"/>
    <d v="1899-12-30T23:00:00"/>
    <n v="1"/>
    <x v="2"/>
    <n v="1.3100000000000001E-2"/>
    <s v="P"/>
    <s v="P"/>
    <s v="P"/>
    <s v="-"/>
    <s v="+"/>
    <n v="10.91"/>
    <n v="9.32"/>
    <n v="0.55000000000000004"/>
    <n v="58.4"/>
    <n v="13.6"/>
    <s v="-"/>
    <n v="25.5"/>
    <s v="-"/>
    <s v="-"/>
    <s v="P"/>
    <s v="P"/>
    <s v="40% 20% 40%"/>
    <n v="2"/>
    <n v="1"/>
    <n v="2"/>
    <n v="0"/>
    <n v="0"/>
    <n v="2"/>
    <n v="0"/>
    <n v="1"/>
    <s v="-"/>
    <n v="0"/>
    <s v="-"/>
    <n v="8"/>
    <n v="14"/>
    <s v="-"/>
    <n v="1"/>
    <n v="1"/>
    <n v="2"/>
    <n v="2"/>
    <n v="10"/>
    <n v="16"/>
  </r>
  <r>
    <x v="4"/>
    <x v="115"/>
    <d v="2026-05-18T00:00:00"/>
    <s v="3RD"/>
    <d v="1899-12-31T00:00:00"/>
    <n v="1"/>
    <x v="2"/>
    <n v="1.7299999999999999E-2"/>
    <s v="P"/>
    <s v="P"/>
    <s v="P"/>
    <s v="-"/>
    <s v="+"/>
    <n v="10.53"/>
    <s v="-"/>
    <s v="-"/>
    <s v="-"/>
    <s v="-"/>
    <s v="-"/>
    <s v="-"/>
    <s v="-"/>
    <s v="-"/>
    <s v="P"/>
    <s v="P"/>
    <s v="40% 20% 40%"/>
    <n v="2"/>
    <n v="1"/>
    <n v="2"/>
    <n v="0"/>
    <s v="-"/>
    <s v="-"/>
    <s v="-"/>
    <s v="-"/>
    <s v="-"/>
    <s v="-"/>
    <s v="-"/>
    <n v="5"/>
    <n v="6"/>
    <s v="-"/>
    <n v="1"/>
    <n v="1"/>
    <n v="2"/>
    <n v="2"/>
    <n v="7"/>
    <n v="8"/>
  </r>
  <r>
    <x v="4"/>
    <x v="115"/>
    <d v="2026-05-18T00:00:00"/>
    <s v="3RD"/>
    <d v="1899-12-31T01:00:00"/>
    <n v="1"/>
    <x v="2"/>
    <n v="1.5800000000000002E-2"/>
    <s v="P"/>
    <s v="P"/>
    <s v="P"/>
    <s v="-"/>
    <s v="+"/>
    <n v="10.84"/>
    <s v="-"/>
    <s v="-"/>
    <s v="-"/>
    <s v="-"/>
    <s v="-"/>
    <s v="-"/>
    <s v="-"/>
    <s v="-"/>
    <s v="P"/>
    <s v="P"/>
    <s v="40% 20% 40%"/>
    <n v="2"/>
    <n v="1"/>
    <n v="2"/>
    <n v="0"/>
    <s v="-"/>
    <s v="-"/>
    <s v="-"/>
    <s v="-"/>
    <s v="-"/>
    <s v="-"/>
    <s v="-"/>
    <n v="5"/>
    <n v="6"/>
    <s v="-"/>
    <n v="1"/>
    <n v="1"/>
    <n v="2"/>
    <n v="2"/>
    <n v="7"/>
    <n v="8"/>
  </r>
  <r>
    <x v="4"/>
    <x v="115"/>
    <d v="1902-03-25T00:00:00"/>
    <s v="3RD"/>
    <d v="1899-12-30T22:00:00"/>
    <n v="2"/>
    <x v="22"/>
    <n v="1.9900000000000001E-2"/>
    <s v="P"/>
    <s v="P"/>
    <s v="P"/>
    <s v="-"/>
    <s v="-"/>
    <n v="11.41"/>
    <n v="10.3"/>
    <s v="-"/>
    <s v="-"/>
    <s v="-"/>
    <s v="-"/>
    <n v="28.4"/>
    <s v="-"/>
    <s v="-"/>
    <s v="P"/>
    <s v="P"/>
    <s v="-"/>
    <n v="2"/>
    <n v="1"/>
    <n v="2"/>
    <n v="1"/>
    <n v="0"/>
    <s v="-"/>
    <s v="-"/>
    <s v="-"/>
    <s v="-"/>
    <n v="2"/>
    <s v="-"/>
    <n v="8"/>
    <n v="9"/>
    <s v="-"/>
    <n v="1"/>
    <n v="1"/>
    <n v="2"/>
    <n v="2"/>
    <n v="10"/>
    <n v="11"/>
  </r>
  <r>
    <x v="4"/>
    <x v="115"/>
    <d v="1902-03-25T00:00:00"/>
    <s v="3RD"/>
    <d v="1899-12-31T01:00:00"/>
    <n v="2"/>
    <x v="22"/>
    <n v="9.2999999999999992E-3"/>
    <s v="P"/>
    <s v="P"/>
    <s v="P"/>
    <s v="-"/>
    <s v="-"/>
    <n v="11.49"/>
    <s v="-"/>
    <s v="-"/>
    <s v="-"/>
    <s v="-"/>
    <s v="-"/>
    <s v="-"/>
    <s v="-"/>
    <s v="-"/>
    <s v="P"/>
    <s v="P"/>
    <n v="1"/>
    <n v="2"/>
    <n v="1"/>
    <n v="2"/>
    <n v="1"/>
    <s v="-"/>
    <s v="-"/>
    <s v="-"/>
    <s v="-"/>
    <s v="-"/>
    <s v="-"/>
    <s v="-"/>
    <n v="6"/>
    <n v="6"/>
    <s v="-"/>
    <n v="1"/>
    <n v="1"/>
    <n v="2"/>
    <n v="2"/>
    <n v="8"/>
    <n v="8"/>
  </r>
  <r>
    <x v="4"/>
    <x v="115"/>
    <d v="1902-03-25T00:00:00"/>
    <s v="3RD"/>
    <d v="1899-12-31T02:00:00"/>
    <n v="2"/>
    <x v="22"/>
    <n v="1.3899999999999999E-2"/>
    <s v="P"/>
    <s v="P"/>
    <s v="P"/>
    <s v="-"/>
    <s v="-"/>
    <n v="11.85"/>
    <s v="-"/>
    <s v="-"/>
    <s v="-"/>
    <s v="-"/>
    <s v="-"/>
    <s v="-"/>
    <s v="-"/>
    <s v="-"/>
    <s v="P"/>
    <s v="P"/>
    <s v="-"/>
    <n v="2"/>
    <n v="1"/>
    <n v="2"/>
    <n v="1"/>
    <s v="-"/>
    <s v="-"/>
    <s v="-"/>
    <s v="-"/>
    <s v="-"/>
    <s v="-"/>
    <s v="-"/>
    <n v="6"/>
    <n v="6"/>
    <s v="-"/>
    <n v="1"/>
    <n v="1"/>
    <n v="2"/>
    <n v="2"/>
    <n v="8"/>
    <n v="8"/>
  </r>
  <r>
    <x v="4"/>
    <x v="115"/>
    <d v="1902-03-25T00:00:00"/>
    <s v="3RD"/>
    <d v="1899-12-31T04:00:00"/>
    <n v="2"/>
    <x v="22"/>
    <n v="1.12E-2"/>
    <s v="P"/>
    <s v="P"/>
    <s v="P"/>
    <s v="-"/>
    <s v="-"/>
    <n v="11.74"/>
    <s v="-"/>
    <s v="-"/>
    <s v="-"/>
    <s v="-"/>
    <s v="-"/>
    <s v="-"/>
    <s v="-"/>
    <s v="-"/>
    <s v="P"/>
    <s v="P"/>
    <s v="-"/>
    <n v="2"/>
    <n v="1"/>
    <n v="2"/>
    <n v="1"/>
    <s v="-"/>
    <s v="-"/>
    <s v="-"/>
    <s v="-"/>
    <s v="-"/>
    <s v="-"/>
    <s v="-"/>
    <n v="6"/>
    <n v="6"/>
    <s v="-"/>
    <n v="1"/>
    <n v="1"/>
    <n v="2"/>
    <n v="2"/>
    <n v="8"/>
    <n v="8"/>
  </r>
  <r>
    <x v="4"/>
    <x v="115"/>
    <d v="2026-05-29T00:00:00"/>
    <s v="3RD"/>
    <d v="1899-12-30T22:00:00"/>
    <n v="3"/>
    <x v="12"/>
    <n v="1.26E-2"/>
    <s v="P"/>
    <s v="P"/>
    <s v="P"/>
    <s v="+"/>
    <s v="+"/>
    <n v="12.68"/>
    <n v="12.44"/>
    <s v="-"/>
    <s v="-"/>
    <s v="-"/>
    <s v="-"/>
    <n v="35"/>
    <s v="-"/>
    <s v="-"/>
    <s v="P"/>
    <s v="P"/>
    <n v="1"/>
    <n v="2"/>
    <n v="1"/>
    <n v="2"/>
    <n v="1"/>
    <s v="-"/>
    <s v="-"/>
    <s v="-"/>
    <s v="-"/>
    <s v="-"/>
    <n v="2"/>
    <s v="-"/>
    <n v="8"/>
    <n v="8"/>
    <s v="-"/>
    <n v="1"/>
    <n v="1"/>
    <n v="2"/>
    <n v="2"/>
    <n v="10"/>
    <n v="10"/>
  </r>
  <r>
    <x v="4"/>
    <x v="115"/>
    <d v="2026-05-29T00:00:00"/>
    <s v="3RD"/>
    <d v="1899-12-31T00:00:00"/>
    <n v="3"/>
    <x v="16"/>
    <n v="1.89E-2"/>
    <s v="P"/>
    <s v="P"/>
    <s v="P"/>
    <s v="+"/>
    <s v="+"/>
    <n v="12.14"/>
    <n v="12.7"/>
    <n v="0.48"/>
    <n v="65.2"/>
    <s v="-"/>
    <s v="-"/>
    <n v="35.6"/>
    <s v="-"/>
    <s v="-"/>
    <s v="P"/>
    <s v="P"/>
    <n v="1"/>
    <n v="2"/>
    <n v="1"/>
    <n v="2"/>
    <n v="1"/>
    <n v="1"/>
    <n v="2"/>
    <n v="2"/>
    <s v="-"/>
    <s v="-"/>
    <n v="2"/>
    <s v="-"/>
    <n v="13"/>
    <n v="13"/>
    <s v="-"/>
    <n v="1"/>
    <n v="1"/>
    <n v="2"/>
    <n v="2"/>
    <n v="15"/>
    <n v="15"/>
  </r>
  <r>
    <x v="4"/>
    <x v="115"/>
    <d v="2026-05-29T00:00:00"/>
    <s v="3RD"/>
    <d v="1899-12-31T02:00:00"/>
    <n v="3"/>
    <x v="16"/>
    <n v="1.26E-2"/>
    <s v="P"/>
    <s v="P"/>
    <s v="P"/>
    <s v="+"/>
    <s v="+"/>
    <n v="12.34"/>
    <s v="-"/>
    <s v="-"/>
    <s v="-"/>
    <s v="-"/>
    <s v="-"/>
    <s v="-"/>
    <s v="-"/>
    <s v="-"/>
    <s v="P"/>
    <s v="P"/>
    <n v="1"/>
    <n v="2"/>
    <n v="1"/>
    <n v="2"/>
    <n v="1"/>
    <s v="-"/>
    <s v="-"/>
    <s v="-"/>
    <s v="-"/>
    <s v="-"/>
    <s v="-"/>
    <s v="-"/>
    <n v="6"/>
    <n v="6"/>
    <s v="-"/>
    <n v="1"/>
    <n v="1"/>
    <n v="2"/>
    <n v="2"/>
    <n v="8"/>
    <n v="8"/>
  </r>
  <r>
    <x v="4"/>
    <x v="115"/>
    <d v="2026-05-29T00:00:00"/>
    <s v="3RD"/>
    <d v="1899-12-31T04:00:00"/>
    <n v="3"/>
    <x v="16"/>
    <n v="9.7000000000000003E-3"/>
    <s v="P"/>
    <s v="P"/>
    <s v="P"/>
    <s v="+"/>
    <s v="+"/>
    <n v="12.1"/>
    <s v="-"/>
    <s v="-"/>
    <s v="-"/>
    <s v="-"/>
    <s v="-"/>
    <s v="-"/>
    <s v="-"/>
    <s v="-"/>
    <s v="P"/>
    <s v="P"/>
    <n v="1"/>
    <n v="2"/>
    <n v="1"/>
    <n v="2"/>
    <n v="1"/>
    <s v="-"/>
    <s v="-"/>
    <s v="-"/>
    <s v="-"/>
    <s v="-"/>
    <s v="-"/>
    <s v="-"/>
    <n v="6"/>
    <n v="6"/>
    <s v="-"/>
    <n v="1"/>
    <n v="1"/>
    <n v="2"/>
    <n v="2"/>
    <n v="8"/>
    <n v="8"/>
  </r>
  <r>
    <x v="5"/>
    <x v="116"/>
    <d v="1902-03-26T00:00:00"/>
    <s v="1ST"/>
    <s v="11:00"/>
    <n v="2"/>
    <x v="2"/>
    <n v="6.1000000000000004E-3"/>
    <s v="P"/>
    <s v="P"/>
    <s v="P"/>
    <s v="-"/>
    <s v="+"/>
    <n v="10.76"/>
    <s v="-"/>
    <s v="-"/>
    <s v="-"/>
    <s v="-"/>
    <s v="-"/>
    <s v="-"/>
    <s v="-"/>
    <n v="25.16"/>
    <s v="P"/>
    <s v="P"/>
    <s v="-"/>
    <n v="2"/>
    <n v="1"/>
    <n v="2"/>
    <n v="0"/>
    <s v="-"/>
    <s v="-"/>
    <s v="-"/>
    <s v="-"/>
    <s v="-"/>
    <s v="-"/>
    <s v="-"/>
    <n v="5"/>
    <n v="6"/>
    <n v="1"/>
    <n v="1"/>
    <n v="1"/>
    <n v="3"/>
    <n v="3"/>
    <n v="8"/>
    <n v="9"/>
  </r>
  <r>
    <x v="5"/>
    <x v="116"/>
    <d v="1899-12-30T00:00:00"/>
    <s v="1ST"/>
    <s v="12:00"/>
    <n v="2"/>
    <x v="2"/>
    <n v="4.1000000000000003E-3"/>
    <s v="P"/>
    <s v="P"/>
    <s v="P"/>
    <s v="-"/>
    <s v="+"/>
    <n v="11.05"/>
    <s v="-"/>
    <s v="-"/>
    <s v="-"/>
    <s v="-"/>
    <s v="-"/>
    <s v="-"/>
    <s v="-"/>
    <s v="-"/>
    <s v="P"/>
    <s v="P"/>
    <s v="-"/>
    <n v="2"/>
    <n v="1"/>
    <n v="2"/>
    <n v="0"/>
    <s v="-"/>
    <s v="-"/>
    <s v="-"/>
    <s v="-"/>
    <s v="-"/>
    <s v="-"/>
    <s v="-"/>
    <n v="5"/>
    <n v="6"/>
    <s v="-"/>
    <n v="1"/>
    <n v="1"/>
    <n v="2"/>
    <n v="2"/>
    <n v="7"/>
    <n v="8"/>
  </r>
  <r>
    <x v="5"/>
    <x v="116"/>
    <d v="1899-12-30T00:00:00"/>
    <s v="1ST"/>
    <s v="13:00"/>
    <n v="2"/>
    <x v="2"/>
    <n v="2.3999999999999998E-3"/>
    <s v="P"/>
    <s v="P"/>
    <s v="P"/>
    <s v="-"/>
    <s v="+"/>
    <n v="11.9"/>
    <s v="-"/>
    <s v="-"/>
    <s v="-"/>
    <s v="-"/>
    <s v="-"/>
    <s v="-"/>
    <s v="-"/>
    <s v="-"/>
    <s v="P"/>
    <s v="P"/>
    <s v="-"/>
    <n v="2"/>
    <n v="1"/>
    <n v="2"/>
    <n v="0"/>
    <s v="-"/>
    <s v="-"/>
    <s v="-"/>
    <s v="-"/>
    <s v="-"/>
    <s v="-"/>
    <s v="-"/>
    <n v="5"/>
    <n v="6"/>
    <s v="-"/>
    <n v="1"/>
    <n v="1"/>
    <n v="2"/>
    <n v="2"/>
    <n v="7"/>
    <n v="8"/>
  </r>
  <r>
    <x v="5"/>
    <x v="116"/>
    <d v="2026-05-29T00:00:00"/>
    <s v="1ST"/>
    <s v="11:00"/>
    <n v="3"/>
    <x v="16"/>
    <n v="1.5900000000000001E-2"/>
    <s v="P"/>
    <s v="P"/>
    <s v="P"/>
    <s v="+"/>
    <s v="+"/>
    <n v="11.5"/>
    <s v="-"/>
    <s v="-"/>
    <s v="-"/>
    <s v="-"/>
    <s v="-"/>
    <s v="-"/>
    <s v="-"/>
    <n v="25.19"/>
    <s v="P"/>
    <s v="P"/>
    <n v="1"/>
    <n v="2"/>
    <n v="1"/>
    <n v="2"/>
    <n v="0"/>
    <s v="-"/>
    <s v="-"/>
    <s v="-"/>
    <s v="-"/>
    <s v="-"/>
    <s v="-"/>
    <s v="-"/>
    <n v="5"/>
    <n v="6"/>
    <n v="1"/>
    <n v="1"/>
    <n v="1"/>
    <n v="3"/>
    <n v="3"/>
    <n v="8"/>
    <n v="9"/>
  </r>
  <r>
    <x v="5"/>
    <x v="116"/>
    <d v="2026-05-29T00:00:00"/>
    <s v="1ST"/>
    <s v="12:00"/>
    <n v="3"/>
    <x v="16"/>
    <n v="2.0299999999999999E-2"/>
    <s v="P"/>
    <s v="P"/>
    <s v="P"/>
    <s v="+"/>
    <s v="+"/>
    <n v="11.26"/>
    <s v="-"/>
    <s v="-"/>
    <s v="-"/>
    <s v="-"/>
    <s v="-"/>
    <s v="-"/>
    <s v="-"/>
    <s v="-"/>
    <s v="P"/>
    <s v="P"/>
    <s v="-"/>
    <n v="0"/>
    <n v="1"/>
    <n v="2"/>
    <n v="0"/>
    <s v="-"/>
    <s v="-"/>
    <s v="-"/>
    <s v="-"/>
    <s v="-"/>
    <s v="-"/>
    <s v="-"/>
    <n v="3"/>
    <n v="6"/>
    <s v="-"/>
    <n v="1"/>
    <n v="1"/>
    <n v="2"/>
    <n v="2"/>
    <n v="5"/>
    <n v="8"/>
  </r>
  <r>
    <x v="5"/>
    <x v="116"/>
    <d v="2026-05-29T00:00:00"/>
    <s v="1ST"/>
    <s v="13:00"/>
    <n v="3"/>
    <x v="16"/>
    <n v="1.9699999999999999E-2"/>
    <s v="P"/>
    <s v="P"/>
    <s v="P"/>
    <s v="+"/>
    <s v="+"/>
    <n v="11.11"/>
    <s v="-"/>
    <s v="-"/>
    <s v="-"/>
    <s v="-"/>
    <s v="-"/>
    <s v="-"/>
    <s v="-"/>
    <s v="-"/>
    <s v="P"/>
    <s v="P"/>
    <s v="-"/>
    <n v="2"/>
    <n v="1"/>
    <n v="2"/>
    <n v="0"/>
    <s v="-"/>
    <s v="-"/>
    <s v="-"/>
    <s v="-"/>
    <s v="-"/>
    <s v="-"/>
    <s v="-"/>
    <n v="5"/>
    <n v="6"/>
    <s v="-"/>
    <n v="1"/>
    <n v="1"/>
    <n v="2"/>
    <n v="2"/>
    <n v="7"/>
    <n v="8"/>
  </r>
  <r>
    <x v="5"/>
    <x v="116"/>
    <d v="1902-03-26T00:00:00"/>
    <s v="2ND"/>
    <d v="1899-12-30T14:00:00"/>
    <n v="2"/>
    <x v="2"/>
    <n v="5.7000000000000002E-3"/>
    <s v="P"/>
    <s v="P"/>
    <s v="P"/>
    <s v="-"/>
    <s v="+"/>
    <n v="10.82"/>
    <n v="10.78"/>
    <n v="0.61"/>
    <s v="-"/>
    <s v="-"/>
    <s v="-"/>
    <n v="29.9"/>
    <s v="-"/>
    <s v="-"/>
    <s v="P"/>
    <s v="P"/>
    <s v="80% 20%"/>
    <n v="2"/>
    <n v="1"/>
    <n v="2"/>
    <n v="0"/>
    <n v="1"/>
    <n v="0"/>
    <s v="-"/>
    <s v="-"/>
    <s v="-"/>
    <n v="0"/>
    <s v="-"/>
    <n v="6"/>
    <n v="11"/>
    <s v="-"/>
    <n v="1"/>
    <n v="1"/>
    <n v="2"/>
    <n v="2"/>
    <n v="8"/>
    <n v="13"/>
  </r>
  <r>
    <x v="5"/>
    <x v="116"/>
    <d v="1902-03-26T00:00:00"/>
    <s v="2ND"/>
    <d v="1899-12-30T15:00:00"/>
    <n v="2"/>
    <x v="2"/>
    <n v="5.5999999999999999E-3"/>
    <s v="P"/>
    <s v="P"/>
    <s v="P"/>
    <s v="-"/>
    <s v="+"/>
    <n v="10.91"/>
    <s v="-"/>
    <s v="-"/>
    <s v="-"/>
    <s v="-"/>
    <s v="-"/>
    <s v="-"/>
    <s v="-"/>
    <s v="-"/>
    <s v="P"/>
    <s v="P"/>
    <s v="-"/>
    <n v="2"/>
    <n v="1"/>
    <n v="2"/>
    <n v="0"/>
    <s v="-"/>
    <s v="-"/>
    <s v="-"/>
    <s v="-"/>
    <s v="-"/>
    <s v="-"/>
    <s v="-"/>
    <n v="5"/>
    <n v="6"/>
    <s v="-"/>
    <n v="1"/>
    <n v="1"/>
    <n v="2"/>
    <n v="2"/>
    <n v="7"/>
    <n v="8"/>
  </r>
  <r>
    <x v="5"/>
    <x v="116"/>
    <d v="1902-03-26T00:00:00"/>
    <s v="2ND"/>
    <d v="1899-12-30T18:00:00"/>
    <n v="2"/>
    <x v="2"/>
    <n v="7.4999999999999997E-3"/>
    <s v="P"/>
    <s v="P"/>
    <s v="P"/>
    <s v="-"/>
    <s v="+"/>
    <n v="10.93"/>
    <s v="-"/>
    <s v="-"/>
    <s v="-"/>
    <s v="-"/>
    <s v="-"/>
    <s v="-"/>
    <s v="-"/>
    <s v="-"/>
    <s v="P"/>
    <s v="P"/>
    <s v="80% 20%"/>
    <n v="2"/>
    <n v="1"/>
    <n v="2"/>
    <n v="0"/>
    <s v="-"/>
    <s v="-"/>
    <s v="-"/>
    <s v="-"/>
    <s v="-"/>
    <s v="-"/>
    <s v="-"/>
    <n v="5"/>
    <n v="6"/>
    <s v="-"/>
    <n v="1"/>
    <n v="1"/>
    <n v="2"/>
    <n v="2"/>
    <n v="7"/>
    <n v="8"/>
  </r>
  <r>
    <x v="5"/>
    <x v="116"/>
    <d v="1902-03-26T00:00:00"/>
    <s v="2ND"/>
    <d v="1899-12-30T19:00:00"/>
    <n v="2"/>
    <x v="2"/>
    <n v="8.8000000000000005E-3"/>
    <s v="P"/>
    <s v="P"/>
    <s v="P"/>
    <s v="-"/>
    <s v="+"/>
    <n v="10.89"/>
    <s v="-"/>
    <s v="-"/>
    <s v="-"/>
    <s v="-"/>
    <s v="-"/>
    <s v="-"/>
    <s v="-"/>
    <s v="-"/>
    <s v="P"/>
    <s v="P"/>
    <s v="80% 20%"/>
    <n v="2"/>
    <n v="1"/>
    <n v="2"/>
    <n v="0"/>
    <s v="-"/>
    <s v="-"/>
    <s v="-"/>
    <s v="-"/>
    <s v="-"/>
    <s v="-"/>
    <s v="-"/>
    <n v="5"/>
    <n v="6"/>
    <s v="-"/>
    <n v="1"/>
    <n v="1"/>
    <n v="2"/>
    <n v="2"/>
    <n v="7"/>
    <n v="8"/>
  </r>
  <r>
    <x v="5"/>
    <x v="116"/>
    <d v="1902-03-26T00:00:00"/>
    <s v="2ND"/>
    <d v="1899-12-30T20:00:00"/>
    <n v="2"/>
    <x v="2"/>
    <n v="7.4000000000000003E-3"/>
    <s v="P"/>
    <s v="P"/>
    <s v="P"/>
    <s v="-"/>
    <s v="+"/>
    <n v="11.16"/>
    <s v="-"/>
    <s v="-"/>
    <s v="-"/>
    <s v="-"/>
    <s v="-"/>
    <s v="-"/>
    <s v="-"/>
    <s v="-"/>
    <s v="P"/>
    <s v="P"/>
    <s v="-"/>
    <n v="2"/>
    <n v="1"/>
    <n v="2"/>
    <n v="0"/>
    <s v="-"/>
    <s v="-"/>
    <s v="-"/>
    <s v="-"/>
    <s v="-"/>
    <s v="-"/>
    <s v="-"/>
    <n v="5"/>
    <n v="6"/>
    <s v="-"/>
    <n v="1"/>
    <n v="1"/>
    <n v="2"/>
    <n v="2"/>
    <n v="7"/>
    <n v="8"/>
  </r>
  <r>
    <x v="5"/>
    <x v="116"/>
    <d v="1899-12-30T00:00:00"/>
    <s v="2ND"/>
    <d v="1899-12-30T21:00:00"/>
    <n v="2"/>
    <x v="2"/>
    <s v="-"/>
    <s v="P"/>
    <s v="P"/>
    <s v="P"/>
    <s v="-"/>
    <s v="+"/>
    <s v="-"/>
    <s v="-"/>
    <s v="-"/>
    <s v="-"/>
    <s v="-"/>
    <s v="-"/>
    <s v="-"/>
    <s v="-"/>
    <s v="-"/>
    <s v="P"/>
    <s v="P"/>
    <s v="-"/>
    <s v="-"/>
    <n v="1"/>
    <n v="2"/>
    <s v="-"/>
    <s v="-"/>
    <s v="-"/>
    <s v="-"/>
    <s v="-"/>
    <s v="-"/>
    <s v="-"/>
    <s v="-"/>
    <n v="3"/>
    <n v="3"/>
    <s v="-"/>
    <n v="1"/>
    <n v="1"/>
    <n v="2"/>
    <n v="2"/>
    <n v="5"/>
    <n v="5"/>
  </r>
  <r>
    <x v="5"/>
    <x v="116"/>
    <d v="2026-05-29T00:00:00"/>
    <s v="2ND"/>
    <d v="1899-12-30T14:00:00"/>
    <n v="3"/>
    <x v="16"/>
    <n v="1.9300000000000001E-2"/>
    <s v="P"/>
    <s v="P"/>
    <s v="P"/>
    <s v="+"/>
    <s v="+"/>
    <n v="11.2"/>
    <n v="13.21"/>
    <s v="-"/>
    <s v="-"/>
    <s v="-"/>
    <s v="-"/>
    <n v="37.299999999999997"/>
    <s v="-"/>
    <s v="-"/>
    <s v="P"/>
    <s v="P"/>
    <n v="1"/>
    <n v="2"/>
    <n v="1"/>
    <n v="2"/>
    <n v="0"/>
    <n v="1"/>
    <s v="-"/>
    <s v="-"/>
    <s v="-"/>
    <s v="-"/>
    <n v="2"/>
    <s v="-"/>
    <n v="8"/>
    <n v="9"/>
    <s v="-"/>
    <n v="1"/>
    <n v="1"/>
    <n v="2"/>
    <n v="2"/>
    <n v="10"/>
    <n v="11"/>
  </r>
  <r>
    <x v="5"/>
    <x v="116"/>
    <d v="2026-05-29T00:00:00"/>
    <s v="2ND"/>
    <d v="1899-12-30T15:00:00"/>
    <n v="3"/>
    <x v="16"/>
    <n v="1.9800000000000002E-2"/>
    <s v="P"/>
    <s v="P"/>
    <s v="P"/>
    <s v="+"/>
    <s v="+"/>
    <n v="11.2"/>
    <s v="-"/>
    <s v="-"/>
    <s v="-"/>
    <s v="-"/>
    <s v="-"/>
    <s v="-"/>
    <s v="-"/>
    <s v="-"/>
    <s v="P"/>
    <s v="P"/>
    <n v="1"/>
    <n v="2"/>
    <n v="1"/>
    <n v="2"/>
    <n v="0"/>
    <s v="-"/>
    <s v="-"/>
    <s v="-"/>
    <s v="-"/>
    <s v="-"/>
    <s v="-"/>
    <s v="-"/>
    <n v="5"/>
    <n v="6"/>
    <s v="-"/>
    <n v="1"/>
    <n v="1"/>
    <n v="2"/>
    <n v="2"/>
    <n v="7"/>
    <n v="8"/>
  </r>
  <r>
    <x v="5"/>
    <x v="116"/>
    <d v="2026-05-29T00:00:00"/>
    <s v="2ND"/>
    <d v="1899-12-30T17:00:00"/>
    <n v="3"/>
    <x v="16"/>
    <s v="-"/>
    <s v="P"/>
    <s v="P"/>
    <s v="P"/>
    <s v="+"/>
    <s v="+"/>
    <n v="12.11"/>
    <s v="-"/>
    <s v="-"/>
    <s v="-"/>
    <s v="-"/>
    <s v="-"/>
    <s v="-"/>
    <s v="-"/>
    <s v="-"/>
    <s v="P"/>
    <s v="P"/>
    <n v="1"/>
    <s v="-"/>
    <n v="1"/>
    <n v="2"/>
    <n v="1"/>
    <s v="-"/>
    <s v="-"/>
    <s v="-"/>
    <s v="-"/>
    <s v="-"/>
    <s v="-"/>
    <s v="-"/>
    <n v="4"/>
    <n v="4"/>
    <s v="-"/>
    <n v="1"/>
    <n v="1"/>
    <n v="2"/>
    <n v="2"/>
    <n v="6"/>
    <n v="6"/>
  </r>
  <r>
    <x v="5"/>
    <x v="116"/>
    <d v="2026-05-29T00:00:00"/>
    <s v="2ND"/>
    <d v="1899-12-30T18:00:00"/>
    <n v="3"/>
    <x v="16"/>
    <n v="1.6899999999999998E-2"/>
    <s v="P"/>
    <s v="P"/>
    <s v="P"/>
    <s v="+"/>
    <s v="+"/>
    <n v="12.07"/>
    <s v="-"/>
    <s v="-"/>
    <s v="-"/>
    <s v="-"/>
    <s v="-"/>
    <s v="-"/>
    <s v="-"/>
    <s v="-"/>
    <s v="P"/>
    <s v="P"/>
    <n v="1"/>
    <n v="2"/>
    <n v="1"/>
    <n v="2"/>
    <n v="1"/>
    <s v="-"/>
    <s v="-"/>
    <s v="-"/>
    <s v="-"/>
    <s v="-"/>
    <s v="-"/>
    <s v="-"/>
    <n v="6"/>
    <n v="6"/>
    <s v="-"/>
    <n v="1"/>
    <n v="1"/>
    <n v="2"/>
    <n v="2"/>
    <n v="8"/>
    <n v="8"/>
  </r>
  <r>
    <x v="5"/>
    <x v="116"/>
    <d v="2026-05-29T00:00:00"/>
    <s v="2ND"/>
    <d v="1899-12-30T19:00:00"/>
    <n v="3"/>
    <x v="16"/>
    <n v="1.7999999999999999E-2"/>
    <s v="P"/>
    <s v="P"/>
    <s v="P"/>
    <s v="+"/>
    <s v="+"/>
    <n v="12.49"/>
    <s v="-"/>
    <s v="-"/>
    <s v="-"/>
    <s v="-"/>
    <s v="-"/>
    <s v="-"/>
    <s v="-"/>
    <s v="-"/>
    <s v="P"/>
    <s v="P"/>
    <n v="1"/>
    <n v="2"/>
    <n v="1"/>
    <n v="2"/>
    <n v="1"/>
    <s v="-"/>
    <s v="-"/>
    <s v="-"/>
    <s v="-"/>
    <s v="-"/>
    <s v="-"/>
    <s v="-"/>
    <n v="6"/>
    <n v="6"/>
    <s v="-"/>
    <n v="1"/>
    <n v="1"/>
    <n v="2"/>
    <n v="2"/>
    <n v="8"/>
    <n v="8"/>
  </r>
  <r>
    <x v="5"/>
    <x v="116"/>
    <d v="1902-03-26T00:00:00"/>
    <s v="3RD"/>
    <d v="1899-12-30T22:00:00"/>
    <n v="2"/>
    <x v="2"/>
    <n v="5.1999999999999998E-3"/>
    <s v="P"/>
    <s v="P"/>
    <s v="P"/>
    <s v="-"/>
    <s v="+"/>
    <n v="11.06"/>
    <n v="9.66"/>
    <n v="0.61"/>
    <s v="-"/>
    <s v="-"/>
    <s v="-"/>
    <n v="26.34"/>
    <s v="-"/>
    <s v="-"/>
    <s v="P"/>
    <s v="P"/>
    <s v="-"/>
    <n v="2"/>
    <n v="1"/>
    <n v="2"/>
    <n v="0"/>
    <n v="0"/>
    <n v="0"/>
    <s v="-"/>
    <s v="-"/>
    <s v="-"/>
    <n v="0"/>
    <s v="-"/>
    <n v="5"/>
    <n v="11"/>
    <s v="-"/>
    <n v="1"/>
    <n v="1"/>
    <n v="2"/>
    <n v="2"/>
    <n v="7"/>
    <n v="13"/>
  </r>
  <r>
    <x v="5"/>
    <x v="116"/>
    <d v="1899-12-30T00:00:00"/>
    <s v="3RD"/>
    <d v="1899-12-31T00:00:00"/>
    <n v="2"/>
    <x v="2"/>
    <n v="9.7000000000000003E-3"/>
    <s v="P"/>
    <s v="P"/>
    <s v="P"/>
    <s v="-"/>
    <s v="+"/>
    <n v="11.01"/>
    <s v="-"/>
    <s v="-"/>
    <s v="-"/>
    <s v="-"/>
    <s v="-"/>
    <s v="-"/>
    <s v="-"/>
    <s v="-"/>
    <s v="P"/>
    <s v="P"/>
    <s v="-"/>
    <n v="2"/>
    <n v="1"/>
    <n v="2"/>
    <n v="0"/>
    <s v="-"/>
    <s v="-"/>
    <s v="-"/>
    <s v="-"/>
    <s v="-"/>
    <s v="-"/>
    <s v="-"/>
    <n v="5"/>
    <n v="6"/>
    <s v="-"/>
    <n v="1"/>
    <n v="1"/>
    <n v="2"/>
    <n v="2"/>
    <n v="7"/>
    <n v="8"/>
  </r>
  <r>
    <x v="5"/>
    <x v="116"/>
    <d v="1899-12-30T00:00:00"/>
    <s v="3RD"/>
    <d v="1899-12-31T01:00:00"/>
    <n v="2"/>
    <x v="2"/>
    <n v="7.3000000000000001E-3"/>
    <s v="P"/>
    <s v="P"/>
    <s v="P"/>
    <s v="-"/>
    <s v="+"/>
    <n v="11.02"/>
    <s v="-"/>
    <s v="-"/>
    <s v="-"/>
    <s v="-"/>
    <s v="-"/>
    <s v="-"/>
    <s v="-"/>
    <s v="-"/>
    <s v="P"/>
    <s v="P"/>
    <s v="-"/>
    <n v="2"/>
    <n v="1"/>
    <n v="2"/>
    <n v="0"/>
    <s v="-"/>
    <s v="-"/>
    <s v="-"/>
    <s v="-"/>
    <s v="-"/>
    <s v="-"/>
    <s v="-"/>
    <n v="5"/>
    <n v="6"/>
    <s v="-"/>
    <n v="1"/>
    <n v="1"/>
    <n v="2"/>
    <n v="2"/>
    <n v="7"/>
    <n v="8"/>
  </r>
  <r>
    <x v="5"/>
    <x v="116"/>
    <d v="1899-12-30T00:00:00"/>
    <s v="3RD"/>
    <d v="1899-12-31T02:00:00"/>
    <n v="2"/>
    <x v="2"/>
    <n v="1.26E-2"/>
    <s v="P"/>
    <s v="P"/>
    <s v="P"/>
    <s v="-"/>
    <s v="+"/>
    <n v="10.93"/>
    <s v="-"/>
    <s v="-"/>
    <s v="-"/>
    <s v="-"/>
    <s v="-"/>
    <s v="-"/>
    <s v="-"/>
    <s v="-"/>
    <s v="P"/>
    <s v="P"/>
    <s v="-"/>
    <n v="2"/>
    <n v="1"/>
    <n v="2"/>
    <n v="0"/>
    <s v="-"/>
    <s v="-"/>
    <s v="-"/>
    <s v="-"/>
    <s v="-"/>
    <s v="-"/>
    <s v="-"/>
    <n v="5"/>
    <n v="6"/>
    <s v="-"/>
    <n v="1"/>
    <n v="1"/>
    <n v="2"/>
    <n v="2"/>
    <n v="7"/>
    <n v="8"/>
  </r>
  <r>
    <x v="5"/>
    <x v="116"/>
    <d v="1899-12-30T00:00:00"/>
    <s v="3RD"/>
    <d v="1899-12-31T03:00:00"/>
    <n v="2"/>
    <x v="2"/>
    <n v="1.0800000000000001E-2"/>
    <s v="P"/>
    <s v="P"/>
    <s v="P"/>
    <s v="-"/>
    <s v="+"/>
    <n v="10.98"/>
    <s v="-"/>
    <s v="-"/>
    <s v="-"/>
    <s v="-"/>
    <s v="-"/>
    <s v="-"/>
    <s v="-"/>
    <s v="-"/>
    <s v="P"/>
    <s v="P"/>
    <s v="-"/>
    <n v="2"/>
    <n v="1"/>
    <n v="2"/>
    <n v="0"/>
    <s v="-"/>
    <s v="-"/>
    <s v="-"/>
    <s v="-"/>
    <s v="-"/>
    <s v="-"/>
    <s v="-"/>
    <n v="5"/>
    <n v="6"/>
    <s v="-"/>
    <n v="1"/>
    <n v="1"/>
    <n v="2"/>
    <n v="2"/>
    <n v="7"/>
    <n v="8"/>
  </r>
  <r>
    <x v="5"/>
    <x v="116"/>
    <d v="1899-12-30T00:00:00"/>
    <s v="3RD"/>
    <d v="1899-12-31T04:00:00"/>
    <n v="2"/>
    <x v="2"/>
    <n v="1.1900000000000001E-2"/>
    <s v="P"/>
    <s v="P"/>
    <s v="P"/>
    <s v="-"/>
    <s v="+"/>
    <n v="11.17"/>
    <s v="-"/>
    <s v="-"/>
    <s v="-"/>
    <s v="-"/>
    <s v="-"/>
    <s v="-"/>
    <s v="-"/>
    <s v="-"/>
    <s v="P"/>
    <s v="P"/>
    <s v="-"/>
    <n v="2"/>
    <n v="1"/>
    <n v="2"/>
    <n v="0"/>
    <s v="-"/>
    <s v="-"/>
    <s v="-"/>
    <s v="-"/>
    <s v="-"/>
    <s v="-"/>
    <s v="-"/>
    <n v="5"/>
    <n v="6"/>
    <s v="-"/>
    <n v="1"/>
    <n v="1"/>
    <n v="2"/>
    <n v="2"/>
    <n v="7"/>
    <n v="8"/>
  </r>
  <r>
    <x v="5"/>
    <x v="117"/>
    <d v="2026-05-28T00:00:00"/>
    <s v="1ST"/>
    <s v="09:00"/>
    <n v="1"/>
    <x v="20"/>
    <n v="1.61E-2"/>
    <s v="-"/>
    <s v="-"/>
    <s v="-"/>
    <s v="-"/>
    <s v="-"/>
    <s v="-"/>
    <s v="-"/>
    <s v="-"/>
    <s v="-"/>
    <s v="-"/>
    <s v="-"/>
    <s v="-"/>
    <s v="-"/>
    <s v="-"/>
    <s v="-"/>
    <s v="-"/>
    <s v="-"/>
    <n v="2"/>
    <s v="-"/>
    <s v="-"/>
    <s v="-"/>
    <s v="-"/>
    <s v="-"/>
    <s v="-"/>
    <s v="-"/>
    <s v="-"/>
    <s v="-"/>
    <s v="-"/>
    <n v="2"/>
    <n v="2"/>
    <s v="-"/>
    <s v="-"/>
    <s v="-"/>
    <n v="0"/>
    <n v="0"/>
    <n v="2"/>
    <n v="2"/>
  </r>
  <r>
    <x v="5"/>
    <x v="117"/>
    <d v="1899-12-30T00:00:00"/>
    <s v="1ST"/>
    <s v="07:00"/>
    <n v="2"/>
    <x v="2"/>
    <n v="1.03E-2"/>
    <s v="P"/>
    <s v="P"/>
    <s v="P"/>
    <s v="-"/>
    <s v="+"/>
    <n v="10.58"/>
    <n v="9.57"/>
    <n v="0.56999999999999995"/>
    <n v="58.8"/>
    <s v="-"/>
    <s v="-"/>
    <n v="26.2"/>
    <s v="-"/>
    <s v="-"/>
    <s v="P"/>
    <s v="P"/>
    <s v="-"/>
    <n v="2"/>
    <n v="1"/>
    <n v="2"/>
    <n v="0"/>
    <n v="0"/>
    <n v="2"/>
    <n v="0"/>
    <s v="-"/>
    <s v="-"/>
    <n v="0"/>
    <s v="-"/>
    <n v="7"/>
    <n v="13"/>
    <s v="-"/>
    <n v="1"/>
    <n v="1"/>
    <n v="2"/>
    <n v="2"/>
    <n v="9"/>
    <n v="15"/>
  </r>
  <r>
    <x v="5"/>
    <x v="117"/>
    <d v="1899-12-30T00:00:00"/>
    <s v="1ST"/>
    <s v="08:00"/>
    <n v="2"/>
    <x v="2"/>
    <n v="9.4999999999999998E-3"/>
    <s v="P"/>
    <s v="P"/>
    <s v="P"/>
    <s v="-"/>
    <s v="+"/>
    <n v="10.77"/>
    <s v="-"/>
    <s v="-"/>
    <s v="-"/>
    <s v="-"/>
    <s v="-"/>
    <s v="-"/>
    <s v="-"/>
    <s v="-"/>
    <s v="P"/>
    <s v="P"/>
    <s v="-"/>
    <n v="2"/>
    <n v="1"/>
    <n v="2"/>
    <n v="0"/>
    <s v="-"/>
    <s v="-"/>
    <s v="-"/>
    <s v="-"/>
    <s v="-"/>
    <s v="-"/>
    <s v="-"/>
    <n v="5"/>
    <n v="6"/>
    <s v="-"/>
    <n v="1"/>
    <n v="1"/>
    <n v="2"/>
    <n v="2"/>
    <n v="7"/>
    <n v="8"/>
  </r>
  <r>
    <x v="5"/>
    <x v="117"/>
    <d v="1899-12-30T00:00:00"/>
    <s v="1ST"/>
    <s v="11:00"/>
    <n v="2"/>
    <x v="5"/>
    <n v="1.23E-2"/>
    <s v="P"/>
    <s v="P"/>
    <s v="P"/>
    <s v="-"/>
    <s v="+"/>
    <n v="10.85"/>
    <n v="9.91"/>
    <s v="-"/>
    <n v="57.6"/>
    <s v="-"/>
    <s v="-"/>
    <n v="27.2"/>
    <s v="-"/>
    <s v="-"/>
    <s v="P"/>
    <s v="P"/>
    <s v="-"/>
    <n v="2"/>
    <n v="1"/>
    <n v="2"/>
    <n v="0"/>
    <n v="0"/>
    <s v="-"/>
    <n v="2"/>
    <s v="-"/>
    <s v="-"/>
    <n v="2"/>
    <s v="-"/>
    <n v="9"/>
    <n v="11"/>
    <s v="-"/>
    <n v="1"/>
    <n v="1"/>
    <n v="2"/>
    <n v="2"/>
    <n v="11"/>
    <n v="13"/>
  </r>
  <r>
    <x v="5"/>
    <x v="117"/>
    <d v="2026-05-05T00:00:00"/>
    <s v="1ST"/>
    <s v="11:00"/>
    <n v="3"/>
    <x v="12"/>
    <n v="1.37E-2"/>
    <s v="P"/>
    <s v="P"/>
    <s v="P"/>
    <s v="+"/>
    <s v="+"/>
    <n v="12.13"/>
    <s v="-"/>
    <s v="-"/>
    <s v="-"/>
    <s v="-"/>
    <s v="-"/>
    <s v="-"/>
    <s v="-"/>
    <s v="-"/>
    <s v="-"/>
    <s v="-"/>
    <s v="-"/>
    <n v="2"/>
    <n v="1"/>
    <n v="2"/>
    <n v="1"/>
    <s v="-"/>
    <s v="-"/>
    <s v="-"/>
    <s v="-"/>
    <s v="-"/>
    <s v="-"/>
    <s v="-"/>
    <n v="6"/>
    <n v="6"/>
    <s v="-"/>
    <s v="-"/>
    <s v="-"/>
    <n v="0"/>
    <n v="0"/>
    <n v="6"/>
    <n v="6"/>
  </r>
  <r>
    <x v="5"/>
    <x v="117"/>
    <d v="2026-05-05T00:00:00"/>
    <s v="1ST"/>
    <s v="13:00"/>
    <n v="3"/>
    <x v="12"/>
    <n v="1.6199999999999999E-2"/>
    <s v="P"/>
    <s v="P"/>
    <s v="P"/>
    <s v="+"/>
    <s v="+"/>
    <n v="11.99"/>
    <s v="-"/>
    <s v="-"/>
    <s v="-"/>
    <s v="-"/>
    <s v="-"/>
    <s v="-"/>
    <s v="-"/>
    <s v="-"/>
    <s v="-"/>
    <s v="-"/>
    <s v="-"/>
    <n v="2"/>
    <n v="1"/>
    <n v="2"/>
    <n v="1"/>
    <s v="-"/>
    <s v="-"/>
    <s v="-"/>
    <s v="-"/>
    <s v="-"/>
    <s v="-"/>
    <s v="-"/>
    <n v="6"/>
    <n v="6"/>
    <s v="-"/>
    <s v="-"/>
    <s v="-"/>
    <n v="0"/>
    <n v="0"/>
    <n v="6"/>
    <n v="6"/>
  </r>
  <r>
    <x v="5"/>
    <x v="118"/>
    <d v="1899-12-30T00:00:00"/>
    <s v="1ST"/>
    <s v="06:00"/>
    <n v="2"/>
    <x v="7"/>
    <n v="9.4000000000000004E-3"/>
    <s v="P"/>
    <s v="P"/>
    <s v="P"/>
    <s v="-"/>
    <s v="+"/>
    <n v="10.08"/>
    <n v="8.5500000000000007"/>
    <n v="0.49"/>
    <n v="56.6"/>
    <s v="-"/>
    <s v="-"/>
    <s v="-"/>
    <s v="-"/>
    <n v="25.19"/>
    <s v="P"/>
    <s v="P"/>
    <s v="-"/>
    <n v="2"/>
    <n v="1"/>
    <n v="2"/>
    <n v="0"/>
    <n v="1"/>
    <n v="2"/>
    <n v="2"/>
    <s v="-"/>
    <s v="-"/>
    <s v="-"/>
    <s v="-"/>
    <n v="10"/>
    <n v="11"/>
    <n v="1"/>
    <n v="1"/>
    <n v="1"/>
    <n v="3"/>
    <n v="3"/>
    <n v="13"/>
    <n v="14"/>
  </r>
  <r>
    <x v="5"/>
    <x v="118"/>
    <d v="1899-12-30T00:00:00"/>
    <s v="1ST"/>
    <s v="09:00"/>
    <n v="2"/>
    <x v="7"/>
    <n v="7.1000000000000004E-3"/>
    <s v="P"/>
    <s v="P"/>
    <s v="P"/>
    <s v="-"/>
    <s v="+"/>
    <n v="10.85"/>
    <s v="-"/>
    <s v="-"/>
    <s v="-"/>
    <s v="-"/>
    <s v="-"/>
    <s v="-"/>
    <s v="-"/>
    <s v="-"/>
    <s v="P"/>
    <s v="P"/>
    <s v="-"/>
    <n v="2"/>
    <n v="1"/>
    <n v="2"/>
    <n v="0"/>
    <s v="-"/>
    <s v="-"/>
    <s v="-"/>
    <s v="-"/>
    <s v="-"/>
    <s v="-"/>
    <s v="-"/>
    <n v="5"/>
    <n v="6"/>
    <s v="-"/>
    <n v="1"/>
    <n v="1"/>
    <n v="2"/>
    <n v="2"/>
    <n v="7"/>
    <n v="8"/>
  </r>
  <r>
    <x v="5"/>
    <x v="118"/>
    <d v="1899-12-30T00:00:00"/>
    <s v="1ST"/>
    <s v="10:00"/>
    <n v="2"/>
    <x v="7"/>
    <n v="9.2999999999999992E-3"/>
    <s v="P"/>
    <s v="P"/>
    <s v="P"/>
    <s v="-"/>
    <s v="+"/>
    <n v="11.13"/>
    <s v="-"/>
    <s v="-"/>
    <s v="-"/>
    <s v="-"/>
    <s v="-"/>
    <s v="-"/>
    <s v="-"/>
    <s v="-"/>
    <s v="P"/>
    <s v="P"/>
    <s v="-"/>
    <n v="2"/>
    <n v="1"/>
    <n v="2"/>
    <n v="1"/>
    <s v="-"/>
    <s v="-"/>
    <s v="-"/>
    <s v="-"/>
    <s v="-"/>
    <s v="-"/>
    <s v="-"/>
    <n v="6"/>
    <n v="6"/>
    <s v="-"/>
    <n v="1"/>
    <n v="1"/>
    <n v="2"/>
    <n v="2"/>
    <n v="8"/>
    <n v="8"/>
  </r>
  <r>
    <x v="5"/>
    <x v="118"/>
    <d v="1899-12-30T00:00:00"/>
    <s v="1ST"/>
    <s v="11:00"/>
    <n v="2"/>
    <x v="5"/>
    <n v="1.47E-2"/>
    <s v="P"/>
    <s v="P"/>
    <s v="P"/>
    <s v="-"/>
    <s v="+"/>
    <n v="11.17"/>
    <n v="8.6"/>
    <s v="-"/>
    <n v="56.9"/>
    <s v="-"/>
    <s v="-"/>
    <n v="23.2"/>
    <s v="-"/>
    <s v="-"/>
    <s v="P"/>
    <s v="P"/>
    <s v="-"/>
    <n v="2"/>
    <n v="1"/>
    <n v="2"/>
    <n v="1"/>
    <n v="1"/>
    <s v="-"/>
    <n v="2"/>
    <s v="-"/>
    <s v="-"/>
    <n v="2"/>
    <s v="-"/>
    <n v="11"/>
    <n v="11"/>
    <s v="-"/>
    <n v="1"/>
    <n v="1"/>
    <n v="2"/>
    <n v="2"/>
    <n v="13"/>
    <n v="13"/>
  </r>
  <r>
    <x v="5"/>
    <x v="118"/>
    <d v="1899-12-30T00:00:00"/>
    <s v="1ST"/>
    <s v="12:00"/>
    <n v="2"/>
    <x v="5"/>
    <n v="1.2500000000000001E-2"/>
    <s v="P"/>
    <s v="P"/>
    <s v="P"/>
    <s v="-"/>
    <s v="+"/>
    <n v="11.12"/>
    <s v="-"/>
    <s v="-"/>
    <s v="-"/>
    <s v="-"/>
    <s v="-"/>
    <s v="-"/>
    <s v="-"/>
    <s v="-"/>
    <s v="P"/>
    <s v="P"/>
    <s v="-"/>
    <n v="2"/>
    <n v="1"/>
    <n v="2"/>
    <n v="1"/>
    <s v="-"/>
    <s v="-"/>
    <s v="-"/>
    <s v="-"/>
    <s v="-"/>
    <s v="-"/>
    <s v="-"/>
    <n v="6"/>
    <n v="6"/>
    <s v="-"/>
    <n v="1"/>
    <n v="1"/>
    <n v="2"/>
    <n v="2"/>
    <n v="8"/>
    <n v="8"/>
  </r>
  <r>
    <x v="5"/>
    <x v="118"/>
    <d v="1899-12-30T00:00:00"/>
    <s v="1ST"/>
    <s v="13:00"/>
    <n v="2"/>
    <x v="5"/>
    <n v="8.2000000000000007E-3"/>
    <s v="P"/>
    <s v="P"/>
    <s v="P"/>
    <s v="-"/>
    <s v="+"/>
    <n v="11.27"/>
    <s v="-"/>
    <s v="-"/>
    <s v="-"/>
    <s v="-"/>
    <s v="-"/>
    <s v="-"/>
    <s v="-"/>
    <s v="-"/>
    <s v="P"/>
    <s v="P"/>
    <s v="-"/>
    <n v="2"/>
    <n v="1"/>
    <n v="2"/>
    <n v="1"/>
    <s v="-"/>
    <s v="-"/>
    <s v="-"/>
    <s v="-"/>
    <s v="-"/>
    <s v="-"/>
    <s v="-"/>
    <n v="6"/>
    <n v="6"/>
    <s v="-"/>
    <n v="1"/>
    <n v="1"/>
    <n v="2"/>
    <n v="2"/>
    <n v="8"/>
    <n v="8"/>
  </r>
  <r>
    <x v="5"/>
    <x v="118"/>
    <d v="1902-03-26T00:00:00"/>
    <s v="2ND"/>
    <d v="1899-12-30T14:00:00"/>
    <n v="2"/>
    <x v="5"/>
    <n v="1.0500000000000001E-2"/>
    <s v="P"/>
    <s v="P"/>
    <s v="P"/>
    <s v="-"/>
    <s v="+"/>
    <n v="11.29"/>
    <n v="9.31"/>
    <s v="-"/>
    <s v="-"/>
    <s v="-"/>
    <s v="-"/>
    <n v="25.3"/>
    <s v="-"/>
    <s v="-"/>
    <s v="P"/>
    <s v="P"/>
    <n v="1"/>
    <n v="2"/>
    <n v="1"/>
    <n v="2"/>
    <n v="1"/>
    <n v="1"/>
    <s v="-"/>
    <s v="-"/>
    <s v="-"/>
    <s v="-"/>
    <n v="2"/>
    <s v="-"/>
    <n v="9"/>
    <n v="9"/>
    <s v="-"/>
    <n v="1"/>
    <n v="1"/>
    <n v="2"/>
    <n v="2"/>
    <n v="11"/>
    <n v="11"/>
  </r>
  <r>
    <x v="5"/>
    <x v="118"/>
    <d v="1902-03-26T00:00:00"/>
    <s v="2ND"/>
    <d v="1899-12-30T15:00:00"/>
    <n v="2"/>
    <x v="5"/>
    <n v="1.0200000000000001E-2"/>
    <s v="P"/>
    <s v="P"/>
    <s v="P"/>
    <s v="-"/>
    <s v="+"/>
    <n v="11.44"/>
    <n v="9.31"/>
    <s v="-"/>
    <s v="-"/>
    <s v="-"/>
    <s v="-"/>
    <n v="25.3"/>
    <s v="-"/>
    <s v="-"/>
    <s v="P"/>
    <s v="P"/>
    <n v="1"/>
    <n v="2"/>
    <n v="1"/>
    <n v="2"/>
    <n v="1"/>
    <n v="1"/>
    <s v="-"/>
    <s v="-"/>
    <s v="-"/>
    <s v="-"/>
    <n v="2"/>
    <s v="-"/>
    <n v="9"/>
    <n v="9"/>
    <s v="-"/>
    <n v="1"/>
    <n v="1"/>
    <n v="2"/>
    <n v="2"/>
    <n v="11"/>
    <n v="11"/>
  </r>
  <r>
    <x v="5"/>
    <x v="118"/>
    <d v="1902-03-26T00:00:00"/>
    <s v="2ND"/>
    <d v="1899-12-30T16:00:00"/>
    <n v="2"/>
    <x v="7"/>
    <n v="1.17E-2"/>
    <s v="P"/>
    <s v="P"/>
    <s v="P"/>
    <s v="-"/>
    <s v="+"/>
    <n v="11.23"/>
    <n v="9.31"/>
    <s v="-"/>
    <s v="-"/>
    <s v="-"/>
    <s v="-"/>
    <n v="25.3"/>
    <s v="-"/>
    <s v="-"/>
    <s v="P"/>
    <s v="P"/>
    <s v="-"/>
    <n v="2"/>
    <n v="1"/>
    <n v="2"/>
    <n v="1"/>
    <n v="1"/>
    <s v="-"/>
    <s v="-"/>
    <s v="-"/>
    <s v="-"/>
    <n v="2"/>
    <s v="-"/>
    <n v="9"/>
    <n v="9"/>
    <s v="-"/>
    <n v="1"/>
    <n v="1"/>
    <n v="2"/>
    <n v="2"/>
    <n v="11"/>
    <n v="11"/>
  </r>
  <r>
    <x v="5"/>
    <x v="118"/>
    <d v="1902-03-26T00:00:00"/>
    <s v="2ND"/>
    <d v="1899-12-30T20:00:00"/>
    <n v="2"/>
    <x v="7"/>
    <n v="1.01E-2"/>
    <s v="P"/>
    <s v="P"/>
    <s v="P"/>
    <s v="-"/>
    <s v="+"/>
    <n v="11.14"/>
    <n v="9.31"/>
    <s v="-"/>
    <s v="-"/>
    <s v="-"/>
    <s v="-"/>
    <n v="25.3"/>
    <s v="-"/>
    <s v="-"/>
    <s v="P"/>
    <s v="P"/>
    <n v="1"/>
    <n v="2"/>
    <n v="1"/>
    <n v="2"/>
    <n v="1"/>
    <n v="1"/>
    <s v="-"/>
    <s v="-"/>
    <s v="-"/>
    <s v="-"/>
    <n v="2"/>
    <s v="-"/>
    <n v="9"/>
    <n v="9"/>
    <s v="-"/>
    <n v="1"/>
    <n v="1"/>
    <n v="2"/>
    <n v="2"/>
    <n v="11"/>
    <n v="11"/>
  </r>
  <r>
    <x v="5"/>
    <x v="118"/>
    <d v="1902-03-26T00:00:00"/>
    <s v="2ND"/>
    <d v="1899-12-30T21:00:00"/>
    <n v="2"/>
    <x v="7"/>
    <n v="1.3100000000000001E-2"/>
    <s v="P"/>
    <s v="P"/>
    <s v="P"/>
    <s v="-"/>
    <s v="+"/>
    <n v="11.16"/>
    <n v="9.31"/>
    <s v="-"/>
    <s v="-"/>
    <s v="-"/>
    <s v="-"/>
    <n v="25.3"/>
    <s v="-"/>
    <s v="-"/>
    <s v="P"/>
    <s v="P"/>
    <s v="-"/>
    <n v="2"/>
    <n v="1"/>
    <n v="2"/>
    <n v="1"/>
    <n v="1"/>
    <s v="-"/>
    <s v="-"/>
    <s v="-"/>
    <s v="-"/>
    <n v="2"/>
    <s v="-"/>
    <n v="9"/>
    <n v="9"/>
    <s v="-"/>
    <n v="1"/>
    <n v="1"/>
    <n v="2"/>
    <n v="2"/>
    <n v="11"/>
    <n v="11"/>
  </r>
  <r>
    <x v="5"/>
    <x v="118"/>
    <d v="1902-03-26T00:00:00"/>
    <s v="3RD"/>
    <d v="1899-12-30T22:00:00"/>
    <n v="2"/>
    <x v="7"/>
    <n v="8.8999999999999999E-3"/>
    <s v="P"/>
    <s v="P"/>
    <s v="P"/>
    <s v="-"/>
    <s v="+"/>
    <n v="11.24"/>
    <n v="8.7200000000000006"/>
    <n v="0.47"/>
    <s v="-"/>
    <s v="-"/>
    <s v="-"/>
    <n v="23.5"/>
    <s v="-"/>
    <s v="-"/>
    <s v="P"/>
    <s v="P"/>
    <s v="-"/>
    <n v="2"/>
    <n v="1"/>
    <n v="2"/>
    <n v="1"/>
    <n v="1"/>
    <n v="2"/>
    <s v="-"/>
    <s v="-"/>
    <s v="-"/>
    <n v="2"/>
    <s v="-"/>
    <n v="11"/>
    <n v="11"/>
    <s v="-"/>
    <n v="1"/>
    <n v="1"/>
    <n v="2"/>
    <n v="2"/>
    <n v="13"/>
    <n v="13"/>
  </r>
  <r>
    <x v="5"/>
    <x v="118"/>
    <d v="1899-12-30T00:00:00"/>
    <s v="3RD"/>
    <d v="1899-12-30T23:00:00"/>
    <n v="2"/>
    <x v="7"/>
    <n v="3.3E-3"/>
    <s v="P"/>
    <s v="P"/>
    <s v="P"/>
    <s v="-"/>
    <s v="+"/>
    <n v="11.23"/>
    <s v="-"/>
    <s v="-"/>
    <s v="-"/>
    <s v="-"/>
    <s v="-"/>
    <s v="-"/>
    <s v="-"/>
    <s v="-"/>
    <s v="P"/>
    <s v="P"/>
    <s v="-"/>
    <n v="2"/>
    <n v="1"/>
    <n v="2"/>
    <n v="1"/>
    <s v="-"/>
    <s v="-"/>
    <s v="-"/>
    <s v="-"/>
    <s v="-"/>
    <s v="-"/>
    <s v="-"/>
    <n v="6"/>
    <n v="6"/>
    <s v="-"/>
    <n v="1"/>
    <n v="1"/>
    <n v="2"/>
    <n v="2"/>
    <n v="8"/>
    <n v="8"/>
  </r>
  <r>
    <x v="5"/>
    <x v="118"/>
    <d v="1899-12-30T00:00:00"/>
    <s v="3RD"/>
    <d v="1899-12-31T01:00:00"/>
    <n v="2"/>
    <x v="7"/>
    <n v="4.5999999999999999E-3"/>
    <s v="P"/>
    <s v="P"/>
    <s v="P"/>
    <s v="-"/>
    <s v="+"/>
    <n v="11.35"/>
    <s v="-"/>
    <s v="-"/>
    <s v="-"/>
    <s v="-"/>
    <s v="-"/>
    <s v="-"/>
    <s v="-"/>
    <s v="-"/>
    <s v="P"/>
    <s v="P"/>
    <s v="-"/>
    <n v="2"/>
    <n v="1"/>
    <n v="2"/>
    <n v="1"/>
    <s v="-"/>
    <s v="-"/>
    <s v="-"/>
    <s v="-"/>
    <s v="-"/>
    <s v="-"/>
    <s v="-"/>
    <n v="6"/>
    <n v="6"/>
    <s v="-"/>
    <n v="1"/>
    <n v="1"/>
    <n v="2"/>
    <n v="2"/>
    <n v="8"/>
    <n v="8"/>
  </r>
  <r>
    <x v="5"/>
    <x v="118"/>
    <d v="1899-12-30T00:00:00"/>
    <s v="3RD"/>
    <d v="1899-12-31T03:00:00"/>
    <n v="2"/>
    <x v="7"/>
    <n v="6.0000000000000001E-3"/>
    <s v="P"/>
    <s v="P"/>
    <s v="P"/>
    <s v="-"/>
    <s v="+"/>
    <n v="11.13"/>
    <s v="-"/>
    <s v="-"/>
    <s v="-"/>
    <s v="-"/>
    <s v="-"/>
    <s v="-"/>
    <s v="-"/>
    <s v="-"/>
    <s v="P"/>
    <s v="P"/>
    <s v="-"/>
    <n v="2"/>
    <n v="1"/>
    <n v="2"/>
    <n v="1"/>
    <s v="-"/>
    <s v="-"/>
    <s v="-"/>
    <s v="-"/>
    <s v="-"/>
    <s v="-"/>
    <s v="-"/>
    <n v="6"/>
    <n v="6"/>
    <s v="-"/>
    <n v="1"/>
    <n v="1"/>
    <n v="2"/>
    <n v="2"/>
    <n v="8"/>
    <n v="8"/>
  </r>
  <r>
    <x v="5"/>
    <x v="118"/>
    <d v="1899-12-30T00:00:00"/>
    <s v="3RD"/>
    <d v="1899-12-31T05:00:00"/>
    <n v="2"/>
    <x v="7"/>
    <n v="5.5999999999999999E-3"/>
    <s v="P"/>
    <s v="P"/>
    <s v="P"/>
    <s v="-"/>
    <s v="+"/>
    <n v="12.02"/>
    <s v="-"/>
    <s v="-"/>
    <s v="-"/>
    <s v="-"/>
    <s v="-"/>
    <s v="-"/>
    <s v="-"/>
    <s v="-"/>
    <s v="P"/>
    <s v="P"/>
    <s v="-"/>
    <n v="2"/>
    <n v="1"/>
    <n v="2"/>
    <n v="1"/>
    <s v="-"/>
    <s v="-"/>
    <s v="-"/>
    <s v="-"/>
    <s v="-"/>
    <s v="-"/>
    <s v="-"/>
    <n v="6"/>
    <n v="6"/>
    <s v="-"/>
    <n v="1"/>
    <n v="1"/>
    <n v="2"/>
    <n v="2"/>
    <n v="8"/>
    <n v="8"/>
  </r>
  <r>
    <x v="5"/>
    <x v="118"/>
    <d v="2026-05-15T00:00:00"/>
    <s v="3RD"/>
    <d v="1899-12-30T23:00:00"/>
    <n v="3"/>
    <x v="0"/>
    <n v="1.6899999999999998E-2"/>
    <s v="P"/>
    <s v="P"/>
    <s v="P"/>
    <s v="+"/>
    <s v="+"/>
    <n v="11.74"/>
    <n v="11.99"/>
    <n v="0.53"/>
    <n v="64.400000000000006"/>
    <s v="-"/>
    <s v="-"/>
    <n v="33.5"/>
    <s v="-"/>
    <s v="-"/>
    <s v="P"/>
    <s v="P"/>
    <s v="32.5% 32.5% 30% 5%"/>
    <n v="2"/>
    <n v="1"/>
    <n v="2"/>
    <n v="0"/>
    <n v="0"/>
    <n v="2"/>
    <n v="2"/>
    <s v="-"/>
    <s v="-"/>
    <n v="2"/>
    <s v="-"/>
    <n v="11"/>
    <n v="13"/>
    <s v="-"/>
    <n v="1"/>
    <n v="1"/>
    <n v="2"/>
    <n v="2"/>
    <n v="13"/>
    <n v="15"/>
  </r>
  <r>
    <x v="5"/>
    <x v="118"/>
    <d v="2026-05-15T00:00:00"/>
    <s v="3RD"/>
    <d v="1899-12-31T00:00:00"/>
    <n v="3"/>
    <x v="0"/>
    <n v="1.8499999999999999E-2"/>
    <s v="P"/>
    <s v="P"/>
    <s v="P"/>
    <s v="+"/>
    <s v="+"/>
    <n v="12.17"/>
    <s v="-"/>
    <n v="0.53"/>
    <s v="-"/>
    <s v="-"/>
    <s v="-"/>
    <s v="-"/>
    <s v="-"/>
    <s v="-"/>
    <s v="P"/>
    <s v="P"/>
    <s v="-"/>
    <n v="2"/>
    <n v="1"/>
    <n v="2"/>
    <n v="1"/>
    <s v="-"/>
    <n v="2"/>
    <s v="-"/>
    <s v="-"/>
    <s v="-"/>
    <s v="-"/>
    <s v="-"/>
    <n v="8"/>
    <n v="8"/>
    <s v="-"/>
    <n v="1"/>
    <n v="1"/>
    <n v="2"/>
    <n v="2"/>
    <n v="10"/>
    <n v="10"/>
  </r>
  <r>
    <x v="5"/>
    <x v="118"/>
    <d v="2026-05-15T00:00:00"/>
    <s v="3RD"/>
    <d v="1899-12-31T01:00:00"/>
    <n v="3"/>
    <x v="0"/>
    <n v="8.8000000000000005E-3"/>
    <s v="P"/>
    <s v="P"/>
    <s v="P"/>
    <s v="+"/>
    <s v="+"/>
    <n v="12.23"/>
    <s v="-"/>
    <s v="-"/>
    <s v="-"/>
    <s v="-"/>
    <s v="-"/>
    <s v="-"/>
    <s v="-"/>
    <s v="-"/>
    <s v="P"/>
    <s v="P"/>
    <s v="-"/>
    <n v="2"/>
    <n v="1"/>
    <n v="2"/>
    <n v="1"/>
    <s v="-"/>
    <s v="-"/>
    <s v="-"/>
    <s v="-"/>
    <s v="-"/>
    <s v="-"/>
    <s v="-"/>
    <n v="6"/>
    <n v="6"/>
    <s v="-"/>
    <n v="1"/>
    <n v="1"/>
    <n v="2"/>
    <n v="2"/>
    <n v="8"/>
    <n v="8"/>
  </r>
  <r>
    <x v="5"/>
    <x v="118"/>
    <d v="2026-05-15T00:00:00"/>
    <s v="3RD"/>
    <d v="1899-12-31T02:00:00"/>
    <n v="3"/>
    <x v="0"/>
    <n v="9.5999999999999992E-3"/>
    <s v="P"/>
    <s v="P"/>
    <s v="P"/>
    <s v="+"/>
    <s v="+"/>
    <n v="12.15"/>
    <s v="-"/>
    <s v="-"/>
    <s v="-"/>
    <s v="-"/>
    <s v="-"/>
    <s v="-"/>
    <s v="-"/>
    <s v="-"/>
    <s v="P"/>
    <s v="P"/>
    <s v="-"/>
    <n v="2"/>
    <n v="1"/>
    <n v="2"/>
    <n v="1"/>
    <s v="-"/>
    <s v="-"/>
    <s v="-"/>
    <s v="-"/>
    <s v="-"/>
    <s v="-"/>
    <s v="-"/>
    <n v="6"/>
    <n v="6"/>
    <s v="-"/>
    <n v="1"/>
    <n v="1"/>
    <n v="2"/>
    <n v="2"/>
    <n v="8"/>
    <n v="8"/>
  </r>
  <r>
    <x v="5"/>
    <x v="118"/>
    <d v="2026-05-15T00:00:00"/>
    <s v="3RD"/>
    <d v="1899-12-31T03:00:00"/>
    <n v="3"/>
    <x v="1"/>
    <n v="2.5000000000000001E-3"/>
    <s v="P"/>
    <s v="P"/>
    <s v="P"/>
    <s v="+"/>
    <s v="+"/>
    <n v="12.08"/>
    <s v="-"/>
    <s v="-"/>
    <s v="-"/>
    <s v="-"/>
    <s v="-"/>
    <s v="-"/>
    <s v="-"/>
    <s v="-"/>
    <s v="P"/>
    <s v="P"/>
    <s v="-"/>
    <n v="2"/>
    <n v="1"/>
    <n v="2"/>
    <n v="1"/>
    <s v="-"/>
    <s v="-"/>
    <s v="-"/>
    <s v="-"/>
    <s v="-"/>
    <s v="-"/>
    <s v="-"/>
    <n v="6"/>
    <n v="6"/>
    <s v="-"/>
    <n v="1"/>
    <n v="1"/>
    <n v="2"/>
    <n v="2"/>
    <n v="8"/>
    <n v="8"/>
  </r>
  <r>
    <x v="5"/>
    <x v="118"/>
    <d v="2026-05-15T00:00:00"/>
    <s v="3RD"/>
    <d v="1899-12-31T04:00:00"/>
    <n v="3"/>
    <x v="1"/>
    <n v="8.8000000000000005E-3"/>
    <s v="P"/>
    <s v="P"/>
    <s v="P"/>
    <s v="+"/>
    <s v="+"/>
    <n v="12.23"/>
    <s v="-"/>
    <s v="-"/>
    <s v="-"/>
    <s v="-"/>
    <s v="-"/>
    <s v="-"/>
    <s v="-"/>
    <s v="-"/>
    <s v="P"/>
    <s v="P"/>
    <s v="-"/>
    <n v="2"/>
    <n v="1"/>
    <n v="2"/>
    <n v="1"/>
    <s v="-"/>
    <s v="-"/>
    <s v="-"/>
    <s v="-"/>
    <s v="-"/>
    <s v="-"/>
    <s v="-"/>
    <n v="6"/>
    <n v="6"/>
    <s v="-"/>
    <n v="1"/>
    <n v="1"/>
    <n v="2"/>
    <n v="2"/>
    <n v="8"/>
    <n v="8"/>
  </r>
  <r>
    <x v="5"/>
    <x v="118"/>
    <d v="2026-06-02T00:00:00"/>
    <s v="3RD"/>
    <d v="1899-12-30T23:00:00"/>
    <s v="Retail"/>
    <x v="9"/>
    <s v="-"/>
    <s v="-"/>
    <s v="-"/>
    <s v="-"/>
    <s v="-"/>
    <s v="-"/>
    <n v="10.1"/>
    <s v="-"/>
    <s v="-"/>
    <s v="-"/>
    <s v="-"/>
    <s v="-"/>
    <s v="-"/>
    <s v="-"/>
    <s v="-"/>
    <s v="-"/>
    <s v="-"/>
    <s v="-"/>
    <s v="-"/>
    <s v="-"/>
    <s v="-"/>
    <n v="1"/>
    <s v="-"/>
    <s v="-"/>
    <s v="-"/>
    <s v="-"/>
    <s v="-"/>
    <s v="-"/>
    <s v="-"/>
    <n v="1"/>
    <n v="1"/>
    <s v="-"/>
    <s v="-"/>
    <s v="-"/>
    <n v="0"/>
    <n v="0"/>
    <n v="1"/>
    <n v="1"/>
  </r>
  <r>
    <x v="5"/>
    <x v="119"/>
    <s v="-"/>
    <s v="1ST"/>
    <s v="06:00"/>
    <n v="1"/>
    <x v="20"/>
    <n v="1.89E-2"/>
    <s v="P"/>
    <s v="P"/>
    <s v="P"/>
    <s v="-"/>
    <s v="-"/>
    <n v="11.86"/>
    <n v="11.86"/>
    <n v="0.57999999999999996"/>
    <n v="66.7"/>
    <s v="-"/>
    <s v="-"/>
    <n v="33.1"/>
    <s v="-"/>
    <s v="-"/>
    <s v="P"/>
    <s v="P"/>
    <n v="1"/>
    <n v="2"/>
    <n v="1"/>
    <n v="2"/>
    <n v="1"/>
    <n v="0"/>
    <n v="2"/>
    <n v="2"/>
    <s v="-"/>
    <s v="-"/>
    <n v="2"/>
    <s v="-"/>
    <n v="12"/>
    <n v="13"/>
    <s v="-"/>
    <n v="1"/>
    <n v="1"/>
    <n v="2"/>
    <n v="2"/>
    <n v="14"/>
    <n v="15"/>
  </r>
  <r>
    <x v="5"/>
    <x v="119"/>
    <d v="2026-05-28T00:00:00"/>
    <s v="1ST"/>
    <s v="07:00"/>
    <n v="1"/>
    <x v="20"/>
    <n v="1.9699999999999999E-2"/>
    <s v="P"/>
    <s v="P"/>
    <s v="P"/>
    <s v="-"/>
    <s v="-"/>
    <n v="12.29"/>
    <s v="-"/>
    <s v="-"/>
    <s v="-"/>
    <s v="-"/>
    <s v="-"/>
    <s v="-"/>
    <s v="-"/>
    <s v="-"/>
    <s v="P"/>
    <s v="P"/>
    <n v="1"/>
    <n v="2"/>
    <n v="1"/>
    <n v="2"/>
    <n v="1"/>
    <s v="-"/>
    <s v="-"/>
    <s v="-"/>
    <s v="-"/>
    <s v="-"/>
    <s v="-"/>
    <s v="-"/>
    <n v="6"/>
    <n v="6"/>
    <s v="-"/>
    <n v="1"/>
    <n v="1"/>
    <n v="2"/>
    <n v="2"/>
    <n v="8"/>
    <n v="8"/>
  </r>
  <r>
    <x v="5"/>
    <x v="119"/>
    <d v="2026-05-28T00:00:00"/>
    <s v="1ST"/>
    <s v="08:00"/>
    <n v="1"/>
    <x v="20"/>
    <n v="1.95E-2"/>
    <s v="-"/>
    <s v="-"/>
    <s v="-"/>
    <s v="-"/>
    <s v="-"/>
    <s v="-"/>
    <s v="-"/>
    <s v="-"/>
    <s v="-"/>
    <s v="-"/>
    <s v="-"/>
    <s v="-"/>
    <s v="-"/>
    <s v="-"/>
    <s v="-"/>
    <s v="-"/>
    <n v="1"/>
    <n v="2"/>
    <s v="-"/>
    <s v="-"/>
    <s v="-"/>
    <s v="-"/>
    <s v="-"/>
    <s v="-"/>
    <s v="-"/>
    <s v="-"/>
    <s v="-"/>
    <s v="-"/>
    <n v="2"/>
    <n v="2"/>
    <s v="-"/>
    <s v="-"/>
    <s v="-"/>
    <n v="0"/>
    <n v="0"/>
    <n v="2"/>
    <n v="2"/>
  </r>
  <r>
    <x v="5"/>
    <x v="119"/>
    <d v="1902-03-26T00:00:00"/>
    <s v="1ST"/>
    <s v="08:00"/>
    <n v="2"/>
    <x v="4"/>
    <n v="1.23E-2"/>
    <s v="P"/>
    <s v="P"/>
    <s v="P"/>
    <s v="-"/>
    <s v="+"/>
    <n v="11.23"/>
    <n v="8.82"/>
    <s v="-"/>
    <n v="55.4"/>
    <s v="-"/>
    <s v="-"/>
    <n v="23.9"/>
    <s v="-"/>
    <s v="-"/>
    <s v="P"/>
    <s v="P"/>
    <s v="-"/>
    <n v="2"/>
    <n v="1"/>
    <n v="2"/>
    <n v="1"/>
    <n v="1"/>
    <s v="-"/>
    <n v="2"/>
    <s v="-"/>
    <s v="-"/>
    <n v="2"/>
    <s v="-"/>
    <n v="11"/>
    <n v="11"/>
    <s v="-"/>
    <n v="1"/>
    <n v="1"/>
    <n v="2"/>
    <n v="2"/>
    <n v="13"/>
    <n v="13"/>
  </r>
  <r>
    <x v="5"/>
    <x v="119"/>
    <d v="1902-03-26T00:00:00"/>
    <s v="1ST"/>
    <s v="12:00"/>
    <n v="2"/>
    <x v="4"/>
    <n v="8.2000000000000007E-3"/>
    <s v="P"/>
    <s v="P"/>
    <s v="P"/>
    <s v="-"/>
    <s v="+"/>
    <n v="10.83"/>
    <s v="-"/>
    <s v="-"/>
    <s v="-"/>
    <s v="-"/>
    <s v="-"/>
    <s v="-"/>
    <s v="-"/>
    <s v="-"/>
    <s v="P"/>
    <s v="P"/>
    <s v="-"/>
    <n v="2"/>
    <n v="1"/>
    <n v="2"/>
    <n v="0"/>
    <s v="-"/>
    <s v="-"/>
    <s v="-"/>
    <s v="-"/>
    <s v="-"/>
    <s v="-"/>
    <s v="-"/>
    <n v="5"/>
    <n v="6"/>
    <s v="-"/>
    <n v="1"/>
    <n v="1"/>
    <n v="2"/>
    <n v="2"/>
    <n v="7"/>
    <n v="8"/>
  </r>
  <r>
    <x v="5"/>
    <x v="119"/>
    <d v="2026-05-15T00:00:00"/>
    <s v="1ST"/>
    <s v="06:00"/>
    <n v="3"/>
    <x v="1"/>
    <n v="1.9599999999999999E-2"/>
    <s v="P"/>
    <s v="P"/>
    <s v="P"/>
    <s v="+"/>
    <s v="+"/>
    <n v="12.31"/>
    <n v="12.4"/>
    <n v="0.62"/>
    <n v="65.3"/>
    <s v="-"/>
    <s v="-"/>
    <n v="34.700000000000003"/>
    <s v="-"/>
    <s v="-"/>
    <s v="P"/>
    <s v="P"/>
    <s v="65% 5% 20%"/>
    <n v="2"/>
    <n v="1"/>
    <n v="2"/>
    <n v="1"/>
    <n v="1"/>
    <n v="2"/>
    <n v="2"/>
    <s v="-"/>
    <s v="-"/>
    <n v="2"/>
    <s v="-"/>
    <n v="13"/>
    <n v="13"/>
    <s v="-"/>
    <n v="1"/>
    <n v="1"/>
    <n v="2"/>
    <n v="2"/>
    <n v="15"/>
    <n v="15"/>
  </r>
  <r>
    <x v="5"/>
    <x v="119"/>
    <d v="2026-05-15T00:00:00"/>
    <s v="1ST"/>
    <s v="08:00"/>
    <n v="3"/>
    <x v="1"/>
    <n v="1.7100000000000001E-2"/>
    <s v="P"/>
    <s v="P"/>
    <s v="P"/>
    <s v="+"/>
    <s v="+"/>
    <n v="11.98"/>
    <s v="-"/>
    <s v="-"/>
    <s v="-"/>
    <s v="-"/>
    <s v="-"/>
    <s v="-"/>
    <s v="-"/>
    <s v="-"/>
    <s v="P"/>
    <s v="P"/>
    <s v="65% 5% 20%"/>
    <n v="2"/>
    <n v="1"/>
    <n v="2"/>
    <n v="0"/>
    <s v="-"/>
    <s v="-"/>
    <s v="-"/>
    <s v="-"/>
    <s v="-"/>
    <s v="-"/>
    <s v="-"/>
    <n v="5"/>
    <n v="6"/>
    <s v="-"/>
    <n v="1"/>
    <n v="1"/>
    <n v="2"/>
    <n v="2"/>
    <n v="7"/>
    <n v="8"/>
  </r>
  <r>
    <x v="5"/>
    <x v="119"/>
    <d v="2026-05-15T00:00:00"/>
    <s v="1ST"/>
    <s v="09:00"/>
    <n v="3"/>
    <x v="1"/>
    <n v="1.52E-2"/>
    <s v="P"/>
    <s v="P"/>
    <s v="P"/>
    <s v="+"/>
    <s v="+"/>
    <n v="12.16"/>
    <s v="-"/>
    <s v="-"/>
    <s v="-"/>
    <s v="-"/>
    <s v="-"/>
    <s v="-"/>
    <s v="-"/>
    <s v="-"/>
    <s v="P"/>
    <s v="P"/>
    <s v="65% 5% 20%"/>
    <n v="2"/>
    <n v="1"/>
    <n v="2"/>
    <n v="1"/>
    <s v="-"/>
    <s v="-"/>
    <s v="-"/>
    <s v="-"/>
    <s v="-"/>
    <s v="-"/>
    <s v="-"/>
    <n v="6"/>
    <n v="6"/>
    <s v="-"/>
    <n v="1"/>
    <n v="1"/>
    <n v="2"/>
    <n v="2"/>
    <n v="8"/>
    <n v="8"/>
  </r>
  <r>
    <x v="5"/>
    <x v="119"/>
    <d v="2026-05-15T00:00:00"/>
    <s v="1ST"/>
    <s v="11:00"/>
    <n v="3"/>
    <x v="1"/>
    <n v="1.29E-2"/>
    <s v="P"/>
    <s v="P"/>
    <s v="P"/>
    <s v="+"/>
    <s v="+"/>
    <n v="12.37"/>
    <s v="-"/>
    <s v="-"/>
    <s v="-"/>
    <s v="-"/>
    <s v="-"/>
    <s v="-"/>
    <s v="-"/>
    <s v="-"/>
    <s v="P"/>
    <s v="P"/>
    <s v="65% 5% 20%"/>
    <n v="2"/>
    <n v="1"/>
    <n v="2"/>
    <n v="1"/>
    <s v="-"/>
    <s v="-"/>
    <s v="-"/>
    <s v="-"/>
    <s v="-"/>
    <s v="-"/>
    <s v="-"/>
    <n v="6"/>
    <n v="6"/>
    <s v="-"/>
    <n v="1"/>
    <n v="1"/>
    <n v="2"/>
    <n v="2"/>
    <n v="8"/>
    <n v="8"/>
  </r>
  <r>
    <x v="5"/>
    <x v="119"/>
    <d v="2026-05-15T00:00:00"/>
    <s v="1ST"/>
    <s v="12:00"/>
    <n v="3"/>
    <x v="1"/>
    <n v="1.52E-2"/>
    <s v="P"/>
    <s v="P"/>
    <s v="P"/>
    <s v="+"/>
    <s v="+"/>
    <n v="12.37"/>
    <s v="-"/>
    <s v="-"/>
    <s v="-"/>
    <s v="-"/>
    <s v="-"/>
    <s v="-"/>
    <s v="-"/>
    <s v="-"/>
    <s v="P"/>
    <s v="P"/>
    <s v="65% 5% 20%"/>
    <n v="2"/>
    <n v="1"/>
    <n v="2"/>
    <n v="1"/>
    <s v="-"/>
    <s v="-"/>
    <s v="-"/>
    <s v="-"/>
    <s v="-"/>
    <s v="-"/>
    <s v="-"/>
    <n v="6"/>
    <n v="6"/>
    <s v="-"/>
    <n v="1"/>
    <n v="1"/>
    <n v="2"/>
    <n v="2"/>
    <n v="8"/>
    <n v="8"/>
  </r>
  <r>
    <x v="5"/>
    <x v="119"/>
    <d v="2026-05-15T00:00:00"/>
    <s v="1ST"/>
    <s v="13:00"/>
    <n v="3"/>
    <x v="1"/>
    <n v="1.26E-2"/>
    <s v="P"/>
    <s v="P"/>
    <s v="P"/>
    <s v="+"/>
    <s v="+"/>
    <n v="12.57"/>
    <s v="-"/>
    <s v="-"/>
    <s v="-"/>
    <s v="-"/>
    <s v="-"/>
    <s v="-"/>
    <s v="-"/>
    <s v="-"/>
    <s v="P"/>
    <s v="P"/>
    <s v="65% 5% 20%"/>
    <n v="2"/>
    <n v="1"/>
    <n v="2"/>
    <n v="1"/>
    <s v="-"/>
    <s v="-"/>
    <s v="-"/>
    <s v="-"/>
    <s v="-"/>
    <s v="-"/>
    <s v="-"/>
    <n v="6"/>
    <n v="6"/>
    <s v="-"/>
    <n v="1"/>
    <n v="1"/>
    <n v="2"/>
    <n v="2"/>
    <n v="8"/>
    <n v="8"/>
  </r>
  <r>
    <x v="5"/>
    <x v="119"/>
    <d v="1902-03-26T00:00:00"/>
    <s v="2ND"/>
    <d v="1899-12-30T14:00:00"/>
    <n v="2"/>
    <x v="7"/>
    <n v="7.1000000000000004E-3"/>
    <s v="P"/>
    <s v="P"/>
    <s v="P"/>
    <s v="-"/>
    <s v="+"/>
    <n v="11.09"/>
    <n v="8.7799999999999994"/>
    <s v="-"/>
    <s v="-"/>
    <s v="-"/>
    <s v="-"/>
    <n v="23.7"/>
    <s v="-"/>
    <s v="-"/>
    <s v="P"/>
    <s v="P"/>
    <s v="-"/>
    <n v="2"/>
    <n v="1"/>
    <n v="2"/>
    <n v="1"/>
    <n v="1"/>
    <s v="-"/>
    <s v="-"/>
    <s v="-"/>
    <s v="-"/>
    <n v="2"/>
    <s v="-"/>
    <n v="9"/>
    <n v="9"/>
    <s v="-"/>
    <n v="1"/>
    <n v="1"/>
    <n v="2"/>
    <n v="2"/>
    <n v="11"/>
    <n v="11"/>
  </r>
  <r>
    <x v="5"/>
    <x v="119"/>
    <d v="1899-12-30T00:00:00"/>
    <s v="2ND"/>
    <d v="1899-12-30T15:00:00"/>
    <n v="2"/>
    <x v="7"/>
    <n v="7.3000000000000001E-3"/>
    <s v="P"/>
    <s v="P"/>
    <s v="P"/>
    <s v="-"/>
    <s v="+"/>
    <n v="10.81"/>
    <s v="-"/>
    <s v="-"/>
    <s v="-"/>
    <s v="-"/>
    <s v="-"/>
    <s v="-"/>
    <s v="-"/>
    <s v="-"/>
    <s v="P"/>
    <s v="P"/>
    <s v="-"/>
    <n v="2"/>
    <n v="1"/>
    <n v="2"/>
    <n v="0"/>
    <s v="-"/>
    <s v="-"/>
    <s v="-"/>
    <s v="-"/>
    <s v="-"/>
    <s v="-"/>
    <s v="-"/>
    <n v="5"/>
    <n v="6"/>
    <s v="-"/>
    <n v="1"/>
    <n v="1"/>
    <n v="2"/>
    <n v="2"/>
    <n v="7"/>
    <n v="8"/>
  </r>
  <r>
    <x v="5"/>
    <x v="119"/>
    <d v="1899-12-30T00:00:00"/>
    <s v="2ND"/>
    <d v="1899-12-30T16:00:00"/>
    <n v="2"/>
    <x v="7"/>
    <n v="7.7000000000000002E-3"/>
    <s v="P"/>
    <s v="P"/>
    <s v="P"/>
    <s v="-"/>
    <s v="+"/>
    <n v="10.97"/>
    <s v="-"/>
    <s v="-"/>
    <s v="-"/>
    <s v="-"/>
    <s v="-"/>
    <s v="-"/>
    <s v="-"/>
    <s v="-"/>
    <s v="P"/>
    <s v="P"/>
    <s v="-"/>
    <n v="2"/>
    <n v="1"/>
    <n v="2"/>
    <n v="0"/>
    <s v="-"/>
    <s v="-"/>
    <s v="-"/>
    <s v="-"/>
    <s v="-"/>
    <s v="-"/>
    <s v="-"/>
    <n v="5"/>
    <n v="6"/>
    <s v="-"/>
    <n v="1"/>
    <n v="1"/>
    <n v="2"/>
    <n v="2"/>
    <n v="7"/>
    <n v="8"/>
  </r>
  <r>
    <x v="5"/>
    <x v="119"/>
    <d v="1899-12-30T00:00:00"/>
    <s v="2ND"/>
    <d v="1899-12-30T17:00:00"/>
    <n v="2"/>
    <x v="7"/>
    <n v="3.8999999999999998E-3"/>
    <s v="P"/>
    <s v="P"/>
    <s v="P"/>
    <s v="-"/>
    <s v="+"/>
    <n v="11.19"/>
    <s v="-"/>
    <s v="-"/>
    <s v="-"/>
    <s v="-"/>
    <s v="-"/>
    <s v="-"/>
    <s v="-"/>
    <s v="-"/>
    <s v="P"/>
    <s v="P"/>
    <s v="-"/>
    <n v="2"/>
    <n v="1"/>
    <n v="2"/>
    <n v="1"/>
    <s v="-"/>
    <s v="-"/>
    <s v="-"/>
    <s v="-"/>
    <s v="-"/>
    <s v="-"/>
    <s v="-"/>
    <n v="6"/>
    <n v="6"/>
    <s v="-"/>
    <n v="1"/>
    <n v="1"/>
    <n v="2"/>
    <n v="2"/>
    <n v="8"/>
    <n v="8"/>
  </r>
  <r>
    <x v="5"/>
    <x v="119"/>
    <d v="1899-12-30T00:00:00"/>
    <s v="2ND"/>
    <d v="1899-12-30T18:00:00"/>
    <n v="2"/>
    <x v="7"/>
    <n v="8.2000000000000007E-3"/>
    <s v="P"/>
    <s v="P"/>
    <s v="P"/>
    <s v="-"/>
    <s v="+"/>
    <n v="11.41"/>
    <s v="-"/>
    <s v="-"/>
    <s v="-"/>
    <s v="-"/>
    <s v="-"/>
    <s v="-"/>
    <s v="-"/>
    <s v="-"/>
    <s v="P"/>
    <s v="P"/>
    <s v="-"/>
    <n v="2"/>
    <n v="1"/>
    <n v="2"/>
    <n v="1"/>
    <s v="-"/>
    <s v="-"/>
    <s v="-"/>
    <s v="-"/>
    <s v="-"/>
    <s v="-"/>
    <s v="-"/>
    <n v="6"/>
    <n v="6"/>
    <s v="-"/>
    <n v="1"/>
    <n v="1"/>
    <n v="2"/>
    <n v="2"/>
    <n v="8"/>
    <n v="8"/>
  </r>
  <r>
    <x v="5"/>
    <x v="119"/>
    <d v="1899-12-30T00:00:00"/>
    <s v="2ND"/>
    <d v="1899-12-30T20:00:00"/>
    <n v="2"/>
    <x v="7"/>
    <n v="3.8E-3"/>
    <s v="P"/>
    <s v="P"/>
    <s v="P"/>
    <s v="-"/>
    <s v="+"/>
    <n v="11.57"/>
    <s v="-"/>
    <s v="-"/>
    <s v="-"/>
    <s v="-"/>
    <s v="-"/>
    <s v="-"/>
    <s v="-"/>
    <s v="-"/>
    <s v="P"/>
    <s v="P"/>
    <s v="-"/>
    <n v="2"/>
    <n v="1"/>
    <n v="2"/>
    <n v="1"/>
    <s v="-"/>
    <s v="-"/>
    <s v="-"/>
    <s v="-"/>
    <s v="-"/>
    <s v="-"/>
    <s v="-"/>
    <n v="6"/>
    <n v="6"/>
    <s v="-"/>
    <n v="1"/>
    <n v="1"/>
    <n v="2"/>
    <n v="2"/>
    <n v="8"/>
    <n v="8"/>
  </r>
  <r>
    <x v="5"/>
    <x v="119"/>
    <d v="2026-05-15T00:00:00"/>
    <s v="2ND"/>
    <d v="1899-12-30T14:00:00"/>
    <n v="3"/>
    <x v="1"/>
    <n v="1.34E-2"/>
    <s v="P"/>
    <s v="P"/>
    <s v="P"/>
    <s v="+"/>
    <s v="+"/>
    <n v="12.07"/>
    <n v="12.55"/>
    <s v="-"/>
    <s v="-"/>
    <s v="-"/>
    <s v="-"/>
    <n v="35.1"/>
    <s v="-"/>
    <s v="-"/>
    <s v="P"/>
    <s v="P"/>
    <s v="30% 30% 30% 10%"/>
    <n v="2"/>
    <n v="1"/>
    <n v="2"/>
    <n v="1"/>
    <n v="1"/>
    <s v="-"/>
    <s v="-"/>
    <s v="-"/>
    <s v="-"/>
    <n v="2"/>
    <s v="-"/>
    <n v="9"/>
    <n v="9"/>
    <s v="-"/>
    <n v="1"/>
    <n v="1"/>
    <n v="2"/>
    <n v="2"/>
    <n v="11"/>
    <n v="11"/>
  </r>
  <r>
    <x v="5"/>
    <x v="119"/>
    <d v="2026-05-15T00:00:00"/>
    <s v="2ND"/>
    <d v="1899-12-30T15:00:00"/>
    <n v="3"/>
    <x v="1"/>
    <n v="1.83E-2"/>
    <s v="P"/>
    <s v="P"/>
    <s v="P"/>
    <s v="+"/>
    <s v="+"/>
    <n v="12.06"/>
    <s v="-"/>
    <s v="-"/>
    <s v="-"/>
    <s v="-"/>
    <s v="-"/>
    <s v="-"/>
    <s v="-"/>
    <s v="-"/>
    <s v="P"/>
    <s v="P"/>
    <s v="-"/>
    <n v="2"/>
    <n v="1"/>
    <n v="2"/>
    <n v="1"/>
    <s v="-"/>
    <s v="-"/>
    <s v="-"/>
    <s v="-"/>
    <s v="-"/>
    <s v="-"/>
    <s v="-"/>
    <n v="6"/>
    <n v="6"/>
    <s v="-"/>
    <n v="1"/>
    <n v="1"/>
    <n v="2"/>
    <n v="2"/>
    <n v="8"/>
    <n v="8"/>
  </r>
  <r>
    <x v="5"/>
    <x v="119"/>
    <d v="2026-05-15T00:00:00"/>
    <s v="2ND"/>
    <d v="1899-12-30T16:00:00"/>
    <n v="3"/>
    <x v="1"/>
    <n v="1.18E-2"/>
    <s v="P"/>
    <s v="P"/>
    <s v="P"/>
    <s v="+"/>
    <s v="+"/>
    <n v="12.18"/>
    <s v="-"/>
    <s v="-"/>
    <s v="-"/>
    <s v="-"/>
    <s v="-"/>
    <s v="-"/>
    <s v="-"/>
    <s v="-"/>
    <s v="P"/>
    <s v="P"/>
    <s v="-"/>
    <n v="2"/>
    <n v="1"/>
    <n v="2"/>
    <n v="1"/>
    <s v="-"/>
    <s v="-"/>
    <s v="-"/>
    <s v="-"/>
    <s v="-"/>
    <s v="-"/>
    <s v="-"/>
    <n v="6"/>
    <n v="6"/>
    <s v="-"/>
    <n v="1"/>
    <n v="1"/>
    <n v="2"/>
    <n v="2"/>
    <n v="8"/>
    <n v="8"/>
  </r>
  <r>
    <x v="5"/>
    <x v="119"/>
    <d v="2026-05-15T00:00:00"/>
    <s v="2ND"/>
    <d v="1899-12-30T18:00:00"/>
    <n v="3"/>
    <x v="1"/>
    <n v="6.4000000000000003E-3"/>
    <s v="P"/>
    <s v="P"/>
    <s v="P"/>
    <s v="+"/>
    <s v="+"/>
    <n v="12.13"/>
    <s v="-"/>
    <s v="-"/>
    <s v="-"/>
    <s v="-"/>
    <s v="-"/>
    <s v="-"/>
    <s v="-"/>
    <s v="-"/>
    <s v="P"/>
    <s v="P"/>
    <s v="-"/>
    <n v="2"/>
    <n v="1"/>
    <n v="2"/>
    <n v="1"/>
    <s v="-"/>
    <s v="-"/>
    <s v="-"/>
    <s v="-"/>
    <s v="-"/>
    <s v="-"/>
    <s v="-"/>
    <n v="6"/>
    <n v="6"/>
    <s v="-"/>
    <n v="1"/>
    <n v="1"/>
    <n v="2"/>
    <n v="2"/>
    <n v="8"/>
    <n v="8"/>
  </r>
  <r>
    <x v="5"/>
    <x v="119"/>
    <d v="2026-05-15T00:00:00"/>
    <s v="2ND"/>
    <d v="1899-12-30T19:00:00"/>
    <n v="3"/>
    <x v="1"/>
    <n v="8.8999999999999999E-3"/>
    <s v="P"/>
    <s v="P"/>
    <s v="P"/>
    <s v="+"/>
    <s v="+"/>
    <n v="11.59"/>
    <s v="-"/>
    <s v="-"/>
    <s v="-"/>
    <s v="-"/>
    <s v="-"/>
    <s v="-"/>
    <s v="-"/>
    <s v="-"/>
    <s v="P"/>
    <s v="P"/>
    <s v="-"/>
    <n v="2"/>
    <n v="1"/>
    <n v="2"/>
    <n v="0"/>
    <s v="-"/>
    <s v="-"/>
    <s v="-"/>
    <s v="-"/>
    <s v="-"/>
    <s v="-"/>
    <s v="-"/>
    <n v="5"/>
    <n v="6"/>
    <s v="-"/>
    <n v="1"/>
    <n v="1"/>
    <n v="2"/>
    <n v="2"/>
    <n v="7"/>
    <n v="8"/>
  </r>
  <r>
    <x v="5"/>
    <x v="119"/>
    <d v="1902-03-26T00:00:00"/>
    <s v="3RD"/>
    <d v="1899-12-30T22:00:00"/>
    <n v="2"/>
    <x v="7"/>
    <n v="1.2E-2"/>
    <s v="P"/>
    <s v="P"/>
    <s v="P"/>
    <s v="-"/>
    <s v="+"/>
    <n v="11.6"/>
    <n v="8.68"/>
    <n v="0.52"/>
    <s v="-"/>
    <s v="-"/>
    <s v="-"/>
    <n v="23.3"/>
    <s v="-"/>
    <s v="-"/>
    <s v="P"/>
    <s v="P"/>
    <s v="-"/>
    <n v="2"/>
    <n v="1"/>
    <n v="2"/>
    <n v="1"/>
    <n v="1"/>
    <n v="2"/>
    <s v="-"/>
    <s v="-"/>
    <s v="-"/>
    <n v="2"/>
    <s v="-"/>
    <n v="11"/>
    <n v="11"/>
    <s v="-"/>
    <n v="1"/>
    <n v="1"/>
    <n v="2"/>
    <n v="2"/>
    <n v="13"/>
    <n v="13"/>
  </r>
  <r>
    <x v="5"/>
    <x v="119"/>
    <d v="1899-12-30T00:00:00"/>
    <s v="3RD"/>
    <d v="1899-12-30T23:00:00"/>
    <n v="2"/>
    <x v="7"/>
    <n v="8.8000000000000005E-3"/>
    <s v="P"/>
    <s v="P"/>
    <s v="P"/>
    <s v="-"/>
    <s v="+"/>
    <n v="11.56"/>
    <s v="-"/>
    <s v="-"/>
    <s v="-"/>
    <s v="-"/>
    <s v="-"/>
    <s v="-"/>
    <s v="-"/>
    <s v="-"/>
    <s v="P"/>
    <s v="P"/>
    <s v="-"/>
    <n v="2"/>
    <n v="1"/>
    <n v="2"/>
    <n v="1"/>
    <s v="-"/>
    <s v="-"/>
    <s v="-"/>
    <s v="-"/>
    <s v="-"/>
    <s v="-"/>
    <s v="-"/>
    <n v="6"/>
    <n v="6"/>
    <s v="-"/>
    <n v="1"/>
    <n v="1"/>
    <n v="2"/>
    <n v="2"/>
    <n v="8"/>
    <n v="8"/>
  </r>
  <r>
    <x v="5"/>
    <x v="119"/>
    <d v="1899-12-30T00:00:00"/>
    <s v="3RD"/>
    <d v="1899-12-31T00:00:00"/>
    <n v="2"/>
    <x v="7"/>
    <n v="4.5999999999999999E-2"/>
    <s v="P"/>
    <s v="P"/>
    <s v="P"/>
    <s v="-"/>
    <s v="+"/>
    <n v="11.6"/>
    <s v="-"/>
    <s v="-"/>
    <s v="-"/>
    <s v="-"/>
    <s v="-"/>
    <s v="-"/>
    <s v="-"/>
    <s v="-"/>
    <s v="P"/>
    <s v="P"/>
    <s v="-"/>
    <n v="0"/>
    <n v="1"/>
    <n v="2"/>
    <n v="1"/>
    <s v="-"/>
    <s v="-"/>
    <s v="-"/>
    <s v="-"/>
    <s v="-"/>
    <s v="-"/>
    <s v="-"/>
    <n v="4"/>
    <n v="6"/>
    <s v="-"/>
    <n v="1"/>
    <n v="1"/>
    <n v="2"/>
    <n v="2"/>
    <n v="6"/>
    <n v="8"/>
  </r>
  <r>
    <x v="5"/>
    <x v="119"/>
    <d v="1899-12-30T00:00:00"/>
    <s v="3RD"/>
    <d v="1899-12-31T01:00:00"/>
    <n v="2"/>
    <x v="14"/>
    <n v="6.3E-3"/>
    <s v="P"/>
    <s v="P"/>
    <s v="P"/>
    <s v="-"/>
    <s v="+"/>
    <n v="11.14"/>
    <n v="8.99"/>
    <n v="0.44"/>
    <n v="57.3"/>
    <s v="-"/>
    <s v="-"/>
    <n v="24.43"/>
    <s v="-"/>
    <s v="-"/>
    <s v="P"/>
    <s v="P"/>
    <s v="-"/>
    <n v="2"/>
    <n v="1"/>
    <n v="2"/>
    <n v="1"/>
    <n v="1"/>
    <n v="2"/>
    <n v="2"/>
    <s v="-"/>
    <s v="-"/>
    <n v="2"/>
    <s v="-"/>
    <n v="13"/>
    <n v="13"/>
    <s v="-"/>
    <n v="1"/>
    <n v="1"/>
    <n v="2"/>
    <n v="2"/>
    <n v="15"/>
    <n v="15"/>
  </r>
  <r>
    <x v="5"/>
    <x v="119"/>
    <d v="1899-12-30T00:00:00"/>
    <s v="3RD"/>
    <d v="1899-12-31T02:00:00"/>
    <n v="2"/>
    <x v="14"/>
    <n v="7.4999999999999997E-3"/>
    <s v="P"/>
    <s v="P"/>
    <s v="P"/>
    <s v="-"/>
    <s v="+"/>
    <n v="11.12"/>
    <s v="-"/>
    <s v="-"/>
    <s v="-"/>
    <s v="-"/>
    <s v="-"/>
    <s v="-"/>
    <s v="-"/>
    <s v="-"/>
    <s v="P"/>
    <s v="P"/>
    <s v="-"/>
    <n v="2"/>
    <n v="1"/>
    <n v="2"/>
    <n v="1"/>
    <s v="-"/>
    <s v="-"/>
    <s v="-"/>
    <s v="-"/>
    <s v="-"/>
    <s v="-"/>
    <s v="-"/>
    <n v="6"/>
    <n v="6"/>
    <s v="-"/>
    <n v="1"/>
    <n v="1"/>
    <n v="2"/>
    <n v="2"/>
    <n v="8"/>
    <n v="8"/>
  </r>
  <r>
    <x v="5"/>
    <x v="119"/>
    <d v="1899-12-30T00:00:00"/>
    <s v="3RD"/>
    <d v="1899-12-31T03:00:00"/>
    <n v="2"/>
    <x v="14"/>
    <n v="9.1999999999999998E-3"/>
    <s v="P"/>
    <s v="P"/>
    <s v="P"/>
    <s v="-"/>
    <s v="+"/>
    <n v="11.67"/>
    <s v="-"/>
    <s v="-"/>
    <s v="-"/>
    <s v="-"/>
    <s v="-"/>
    <s v="-"/>
    <s v="-"/>
    <s v="-"/>
    <s v="P"/>
    <s v="P"/>
    <s v="-"/>
    <n v="2"/>
    <n v="1"/>
    <n v="2"/>
    <n v="1"/>
    <s v="-"/>
    <s v="-"/>
    <s v="-"/>
    <s v="-"/>
    <s v="-"/>
    <s v="-"/>
    <s v="-"/>
    <n v="6"/>
    <n v="6"/>
    <s v="-"/>
    <n v="1"/>
    <n v="1"/>
    <n v="2"/>
    <n v="2"/>
    <n v="8"/>
    <n v="8"/>
  </r>
  <r>
    <x v="5"/>
    <x v="119"/>
    <d v="1899-12-30T00:00:00"/>
    <s v="3RD"/>
    <d v="1899-12-31T04:00:00"/>
    <n v="2"/>
    <x v="14"/>
    <n v="8.0000000000000002E-3"/>
    <s v="P"/>
    <s v="P"/>
    <s v="P"/>
    <s v="-"/>
    <s v="+"/>
    <n v="11.16"/>
    <s v="-"/>
    <s v="-"/>
    <s v="-"/>
    <s v="-"/>
    <s v="-"/>
    <s v="-"/>
    <s v="-"/>
    <s v="-"/>
    <s v="P"/>
    <s v="P"/>
    <s v="-"/>
    <n v="2"/>
    <n v="1"/>
    <n v="2"/>
    <n v="1"/>
    <s v="-"/>
    <s v="-"/>
    <s v="-"/>
    <s v="-"/>
    <s v="-"/>
    <s v="-"/>
    <s v="-"/>
    <n v="6"/>
    <n v="6"/>
    <s v="-"/>
    <n v="1"/>
    <n v="1"/>
    <n v="2"/>
    <n v="2"/>
    <n v="8"/>
    <n v="8"/>
  </r>
  <r>
    <x v="5"/>
    <x v="119"/>
    <d v="1899-12-30T00:00:00"/>
    <s v="3RD"/>
    <d v="1899-12-31T05:00:00"/>
    <n v="2"/>
    <x v="14"/>
    <s v="-"/>
    <s v="P"/>
    <s v="P"/>
    <s v="P"/>
    <s v="-"/>
    <s v="+"/>
    <s v="-"/>
    <s v="-"/>
    <s v="-"/>
    <s v="-"/>
    <s v="-"/>
    <s v="-"/>
    <s v="-"/>
    <s v="-"/>
    <s v="-"/>
    <s v="P"/>
    <s v="P"/>
    <s v="-"/>
    <s v="-"/>
    <n v="1"/>
    <n v="2"/>
    <s v="-"/>
    <s v="-"/>
    <s v="-"/>
    <s v="-"/>
    <s v="-"/>
    <s v="-"/>
    <s v="-"/>
    <s v="-"/>
    <n v="3"/>
    <n v="3"/>
    <s v="-"/>
    <n v="1"/>
    <n v="1"/>
    <n v="2"/>
    <n v="2"/>
    <n v="5"/>
    <n v="5"/>
  </r>
  <r>
    <x v="5"/>
    <x v="120"/>
    <d v="1902-03-26T00:00:00"/>
    <s v="2ND"/>
    <d v="1899-12-30T14:00:00"/>
    <n v="2"/>
    <x v="21"/>
    <n v="6.0000000000000001E-3"/>
    <s v="P"/>
    <s v="P"/>
    <s v="P"/>
    <s v="-"/>
    <s v="+"/>
    <n v="11.34"/>
    <n v="9.57"/>
    <s v="-"/>
    <s v="-"/>
    <s v="-"/>
    <s v="-"/>
    <n v="26.2"/>
    <s v="-"/>
    <s v="-"/>
    <s v="P"/>
    <s v="P"/>
    <s v="-"/>
    <n v="2"/>
    <n v="1"/>
    <n v="2"/>
    <n v="1"/>
    <s v="-"/>
    <s v="-"/>
    <s v="-"/>
    <s v="-"/>
    <s v="-"/>
    <n v="2"/>
    <s v="-"/>
    <n v="8"/>
    <n v="8"/>
    <s v="-"/>
    <n v="1"/>
    <n v="1"/>
    <n v="2"/>
    <n v="2"/>
    <n v="10"/>
    <n v="10"/>
  </r>
  <r>
    <x v="5"/>
    <x v="120"/>
    <d v="1899-12-30T00:00:00"/>
    <s v="2ND"/>
    <d v="1899-12-30T15:00:00"/>
    <n v="2"/>
    <x v="21"/>
    <n v="1.6999999999999999E-3"/>
    <s v="P"/>
    <s v="P"/>
    <s v="P"/>
    <s v="-"/>
    <s v="+"/>
    <n v="11.5"/>
    <s v="-"/>
    <s v="-"/>
    <s v="-"/>
    <s v="-"/>
    <s v="-"/>
    <s v="-"/>
    <s v="-"/>
    <s v="-"/>
    <s v="P"/>
    <s v="P"/>
    <s v="-"/>
    <n v="2"/>
    <n v="1"/>
    <n v="2"/>
    <n v="1"/>
    <s v="-"/>
    <s v="-"/>
    <s v="-"/>
    <s v="-"/>
    <s v="-"/>
    <s v="-"/>
    <s v="-"/>
    <n v="6"/>
    <n v="6"/>
    <s v="-"/>
    <n v="1"/>
    <n v="1"/>
    <n v="2"/>
    <n v="2"/>
    <n v="8"/>
    <n v="8"/>
  </r>
  <r>
    <x v="5"/>
    <x v="120"/>
    <d v="1899-12-30T00:00:00"/>
    <s v="2ND"/>
    <d v="1899-12-30T16:00:00"/>
    <n v="2"/>
    <x v="21"/>
    <n v="8.9999999999999993E-3"/>
    <s v="P"/>
    <s v="P"/>
    <s v="P"/>
    <s v="-"/>
    <s v="+"/>
    <n v="11.15"/>
    <s v="-"/>
    <s v="-"/>
    <s v="-"/>
    <s v="-"/>
    <s v="-"/>
    <s v="-"/>
    <s v="-"/>
    <s v="-"/>
    <s v="P"/>
    <s v="P"/>
    <s v="-"/>
    <n v="2"/>
    <n v="1"/>
    <n v="2"/>
    <n v="1"/>
    <s v="-"/>
    <s v="-"/>
    <s v="-"/>
    <s v="-"/>
    <s v="-"/>
    <s v="-"/>
    <s v="-"/>
    <n v="6"/>
    <n v="6"/>
    <s v="-"/>
    <n v="1"/>
    <n v="1"/>
    <n v="2"/>
    <n v="2"/>
    <n v="8"/>
    <n v="8"/>
  </r>
  <r>
    <x v="5"/>
    <x v="120"/>
    <d v="1899-12-30T00:00:00"/>
    <s v="2ND"/>
    <d v="1899-12-30T19:00:00"/>
    <n v="2"/>
    <x v="21"/>
    <n v="3.0000000000000001E-3"/>
    <s v="P"/>
    <s v="P"/>
    <s v="P"/>
    <s v="-"/>
    <s v="+"/>
    <n v="11.32"/>
    <s v="-"/>
    <s v="-"/>
    <s v="-"/>
    <s v="-"/>
    <s v="-"/>
    <s v="-"/>
    <s v="-"/>
    <s v="-"/>
    <s v="P"/>
    <s v="P"/>
    <s v="-"/>
    <n v="2"/>
    <n v="1"/>
    <n v="2"/>
    <n v="1"/>
    <s v="-"/>
    <s v="-"/>
    <s v="-"/>
    <s v="-"/>
    <s v="-"/>
    <s v="-"/>
    <s v="-"/>
    <n v="6"/>
    <n v="6"/>
    <s v="-"/>
    <n v="1"/>
    <n v="1"/>
    <n v="2"/>
    <n v="2"/>
    <n v="8"/>
    <n v="8"/>
  </r>
  <r>
    <x v="5"/>
    <x v="120"/>
    <d v="1899-12-30T00:00:00"/>
    <s v="2ND"/>
    <d v="1899-12-30T20:00:00"/>
    <n v="2"/>
    <x v="21"/>
    <n v="6.4999999999999997E-3"/>
    <s v="P"/>
    <s v="P"/>
    <s v="P"/>
    <s v="-"/>
    <s v="+"/>
    <n v="11.3"/>
    <s v="-"/>
    <s v="-"/>
    <s v="-"/>
    <s v="-"/>
    <s v="-"/>
    <s v="-"/>
    <s v="-"/>
    <s v="-"/>
    <s v="P"/>
    <s v="P"/>
    <s v="-"/>
    <n v="2"/>
    <n v="1"/>
    <n v="2"/>
    <n v="1"/>
    <s v="-"/>
    <s v="-"/>
    <s v="-"/>
    <s v="-"/>
    <s v="-"/>
    <s v="-"/>
    <s v="-"/>
    <n v="6"/>
    <n v="6"/>
    <s v="-"/>
    <n v="1"/>
    <n v="1"/>
    <n v="2"/>
    <n v="2"/>
    <n v="8"/>
    <n v="8"/>
  </r>
  <r>
    <x v="5"/>
    <x v="120"/>
    <d v="2026-05-15T00:00:00"/>
    <s v="2ND"/>
    <d v="1899-12-30T14:00:00"/>
    <n v="3"/>
    <x v="0"/>
    <n v="1.7600000000000001E-2"/>
    <s v="P"/>
    <s v="P"/>
    <s v="P"/>
    <s v="+"/>
    <s v="+"/>
    <n v="11.9"/>
    <n v="13.32"/>
    <s v="-"/>
    <s v="-"/>
    <s v="-"/>
    <s v="-"/>
    <n v="34.4"/>
    <s v="-"/>
    <s v="-"/>
    <s v="P"/>
    <s v="P"/>
    <s v="32.5% 32.5% 5% 30%"/>
    <n v="2"/>
    <n v="1"/>
    <n v="2"/>
    <n v="0"/>
    <n v="1"/>
    <s v="-"/>
    <s v="-"/>
    <s v="-"/>
    <s v="-"/>
    <n v="2"/>
    <s v="-"/>
    <n v="8"/>
    <n v="9"/>
    <s v="-"/>
    <n v="1"/>
    <n v="1"/>
    <n v="2"/>
    <n v="2"/>
    <n v="10"/>
    <n v="11"/>
  </r>
  <r>
    <x v="5"/>
    <x v="120"/>
    <d v="2026-05-15T00:00:00"/>
    <s v="2ND"/>
    <d v="1899-12-30T16:00:00"/>
    <n v="3"/>
    <x v="0"/>
    <n v="1.21E-2"/>
    <s v="P"/>
    <s v="P"/>
    <s v="P"/>
    <s v="+"/>
    <s v="+"/>
    <n v="12.15"/>
    <s v="-"/>
    <s v="-"/>
    <s v="-"/>
    <s v="-"/>
    <s v="-"/>
    <s v="-"/>
    <s v="-"/>
    <s v="-"/>
    <s v="P"/>
    <s v="P"/>
    <s v="-"/>
    <n v="2"/>
    <n v="1"/>
    <n v="2"/>
    <n v="1"/>
    <s v="-"/>
    <s v="-"/>
    <s v="-"/>
    <s v="-"/>
    <s v="-"/>
    <s v="-"/>
    <s v="-"/>
    <n v="6"/>
    <n v="6"/>
    <s v="-"/>
    <n v="1"/>
    <n v="1"/>
    <n v="2"/>
    <n v="2"/>
    <n v="8"/>
    <n v="8"/>
  </r>
  <r>
    <x v="5"/>
    <x v="120"/>
    <d v="2026-05-15T00:00:00"/>
    <s v="2ND"/>
    <d v="1899-12-30T17:00:00"/>
    <n v="3"/>
    <x v="0"/>
    <s v="-"/>
    <s v="P"/>
    <s v="P"/>
    <s v="P"/>
    <s v="+"/>
    <s v="+"/>
    <n v="12.01"/>
    <s v="-"/>
    <s v="-"/>
    <s v="-"/>
    <s v="-"/>
    <s v="-"/>
    <s v="-"/>
    <s v="-"/>
    <s v="-"/>
    <s v="P"/>
    <s v="P"/>
    <s v="-"/>
    <s v="-"/>
    <n v="1"/>
    <n v="2"/>
    <n v="1"/>
    <s v="-"/>
    <s v="-"/>
    <s v="-"/>
    <s v="-"/>
    <s v="-"/>
    <s v="-"/>
    <s v="-"/>
    <n v="4"/>
    <n v="4"/>
    <s v="-"/>
    <n v="1"/>
    <n v="1"/>
    <n v="2"/>
    <n v="2"/>
    <n v="6"/>
    <n v="6"/>
  </r>
  <r>
    <x v="5"/>
    <x v="120"/>
    <d v="2026-05-15T00:00:00"/>
    <s v="2ND"/>
    <d v="1899-12-30T19:00:00"/>
    <n v="3"/>
    <x v="1"/>
    <n v="1.2200000000000001E-2"/>
    <s v="P"/>
    <s v="P"/>
    <s v="P"/>
    <s v="+"/>
    <s v="+"/>
    <n v="11.96"/>
    <s v="-"/>
    <s v="-"/>
    <s v="-"/>
    <s v="-"/>
    <s v="-"/>
    <s v="-"/>
    <s v="-"/>
    <s v="-"/>
    <s v="P"/>
    <s v="P"/>
    <s v="-"/>
    <n v="2"/>
    <n v="1"/>
    <n v="2"/>
    <n v="0"/>
    <s v="-"/>
    <s v="-"/>
    <s v="-"/>
    <s v="-"/>
    <s v="-"/>
    <s v="-"/>
    <s v="-"/>
    <n v="5"/>
    <n v="6"/>
    <s v="-"/>
    <n v="1"/>
    <n v="1"/>
    <n v="2"/>
    <n v="2"/>
    <n v="7"/>
    <n v="8"/>
  </r>
  <r>
    <x v="5"/>
    <x v="120"/>
    <d v="1902-03-26T00:00:00"/>
    <s v="3RD"/>
    <d v="1899-12-30T22:00:00"/>
    <n v="2"/>
    <x v="21"/>
    <n v="4.0000000000000001E-3"/>
    <s v="P"/>
    <s v="P"/>
    <s v="P"/>
    <s v="-"/>
    <s v="+"/>
    <n v="11.47"/>
    <n v="8.7200000000000006"/>
    <n v="0.45"/>
    <s v="-"/>
    <s v="-"/>
    <s v="-"/>
    <n v="23.45"/>
    <s v="-"/>
    <s v="-"/>
    <s v="P"/>
    <s v="P"/>
    <s v="-"/>
    <n v="2"/>
    <n v="1"/>
    <n v="2"/>
    <n v="1"/>
    <s v="-"/>
    <n v="2"/>
    <s v="-"/>
    <s v="-"/>
    <s v="-"/>
    <n v="2"/>
    <s v="-"/>
    <n v="10"/>
    <n v="10"/>
    <s v="-"/>
    <n v="1"/>
    <n v="1"/>
    <n v="2"/>
    <n v="2"/>
    <n v="12"/>
    <n v="12"/>
  </r>
  <r>
    <x v="5"/>
    <x v="120"/>
    <d v="1899-12-30T00:00:00"/>
    <s v="3RD"/>
    <d v="1899-12-30T23:00:00"/>
    <n v="2"/>
    <x v="21"/>
    <n v="3.8E-3"/>
    <s v="P"/>
    <s v="P"/>
    <s v="P"/>
    <s v="-"/>
    <s v="+"/>
    <n v="11.34"/>
    <s v="-"/>
    <s v="-"/>
    <s v="-"/>
    <s v="-"/>
    <s v="-"/>
    <s v="-"/>
    <s v="-"/>
    <s v="-"/>
    <s v="P"/>
    <s v="P"/>
    <s v="-"/>
    <n v="2"/>
    <n v="1"/>
    <n v="2"/>
    <n v="1"/>
    <s v="-"/>
    <s v="-"/>
    <s v="-"/>
    <s v="-"/>
    <s v="-"/>
    <s v="-"/>
    <s v="-"/>
    <n v="6"/>
    <n v="6"/>
    <s v="-"/>
    <n v="1"/>
    <n v="1"/>
    <n v="2"/>
    <n v="2"/>
    <n v="8"/>
    <n v="8"/>
  </r>
  <r>
    <x v="5"/>
    <x v="120"/>
    <d v="1899-12-30T00:00:00"/>
    <s v="3RD"/>
    <d v="1899-12-31T00:00:00"/>
    <n v="2"/>
    <x v="21"/>
    <n v="4.7000000000000002E-3"/>
    <s v="P"/>
    <s v="P"/>
    <s v="P"/>
    <s v="-"/>
    <s v="+"/>
    <n v="11.42"/>
    <s v="-"/>
    <s v="-"/>
    <s v="-"/>
    <s v="-"/>
    <s v="-"/>
    <s v="-"/>
    <s v="-"/>
    <s v="-"/>
    <s v="P"/>
    <s v="P"/>
    <s v="-"/>
    <n v="2"/>
    <n v="1"/>
    <n v="2"/>
    <n v="1"/>
    <s v="-"/>
    <s v="-"/>
    <s v="-"/>
    <s v="-"/>
    <s v="-"/>
    <s v="-"/>
    <s v="-"/>
    <n v="6"/>
    <n v="6"/>
    <s v="-"/>
    <n v="1"/>
    <n v="1"/>
    <n v="2"/>
    <n v="2"/>
    <n v="8"/>
    <n v="8"/>
  </r>
  <r>
    <x v="5"/>
    <x v="120"/>
    <d v="1899-12-30T00:00:00"/>
    <s v="3RD"/>
    <d v="1899-12-31T01:00:00"/>
    <n v="2"/>
    <x v="21"/>
    <n v="5.0000000000000001E-3"/>
    <s v="P"/>
    <s v="P"/>
    <s v="P"/>
    <s v="-"/>
    <s v="+"/>
    <n v="11.66"/>
    <s v="-"/>
    <s v="-"/>
    <s v="-"/>
    <s v="-"/>
    <s v="-"/>
    <s v="-"/>
    <s v="-"/>
    <s v="-"/>
    <s v="P"/>
    <s v="P"/>
    <s v="-"/>
    <n v="2"/>
    <n v="1"/>
    <n v="2"/>
    <n v="1"/>
    <s v="-"/>
    <s v="-"/>
    <s v="-"/>
    <s v="-"/>
    <s v="-"/>
    <s v="-"/>
    <s v="-"/>
    <n v="6"/>
    <n v="6"/>
    <s v="-"/>
    <n v="1"/>
    <n v="1"/>
    <n v="2"/>
    <n v="2"/>
    <n v="8"/>
    <n v="8"/>
  </r>
  <r>
    <x v="5"/>
    <x v="120"/>
    <d v="1899-12-30T00:00:00"/>
    <s v="3RD"/>
    <d v="1899-12-31T02:00:00"/>
    <n v="2"/>
    <x v="21"/>
    <n v="5.4000000000000003E-3"/>
    <s v="P"/>
    <s v="P"/>
    <s v="P"/>
    <s v="-"/>
    <s v="+"/>
    <n v="11.48"/>
    <s v="-"/>
    <s v="-"/>
    <s v="-"/>
    <s v="-"/>
    <s v="-"/>
    <s v="-"/>
    <s v="-"/>
    <s v="-"/>
    <s v="P"/>
    <s v="P"/>
    <s v="-"/>
    <n v="2"/>
    <n v="1"/>
    <n v="2"/>
    <n v="1"/>
    <s v="-"/>
    <s v="-"/>
    <s v="-"/>
    <s v="-"/>
    <s v="-"/>
    <s v="-"/>
    <s v="-"/>
    <n v="6"/>
    <n v="6"/>
    <s v="-"/>
    <n v="1"/>
    <n v="1"/>
    <n v="2"/>
    <n v="2"/>
    <n v="8"/>
    <n v="8"/>
  </r>
  <r>
    <x v="5"/>
    <x v="120"/>
    <d v="1899-12-30T00:00:00"/>
    <s v="3RD"/>
    <d v="1899-12-31T03:00:00"/>
    <n v="2"/>
    <x v="21"/>
    <n v="4.8999999999999998E-3"/>
    <s v="P"/>
    <s v="P"/>
    <s v="P"/>
    <s v="-"/>
    <s v="+"/>
    <n v="11.46"/>
    <s v="-"/>
    <s v="-"/>
    <s v="-"/>
    <s v="-"/>
    <s v="-"/>
    <s v="-"/>
    <s v="-"/>
    <s v="-"/>
    <s v="P"/>
    <s v="P"/>
    <s v="-"/>
    <n v="2"/>
    <n v="1"/>
    <n v="2"/>
    <n v="1"/>
    <s v="-"/>
    <s v="-"/>
    <s v="-"/>
    <s v="-"/>
    <s v="-"/>
    <s v="-"/>
    <s v="-"/>
    <n v="6"/>
    <n v="6"/>
    <s v="-"/>
    <n v="1"/>
    <n v="1"/>
    <n v="2"/>
    <n v="2"/>
    <n v="8"/>
    <n v="8"/>
  </r>
  <r>
    <x v="5"/>
    <x v="120"/>
    <d v="1899-12-30T00:00:00"/>
    <s v="3RD"/>
    <d v="1899-12-31T04:00:00"/>
    <n v="2"/>
    <x v="21"/>
    <n v="6.1999999999999998E-3"/>
    <s v="P"/>
    <s v="P"/>
    <s v="P"/>
    <s v="-"/>
    <s v="+"/>
    <n v="11.64"/>
    <s v="-"/>
    <s v="-"/>
    <s v="-"/>
    <s v="-"/>
    <s v="-"/>
    <s v="-"/>
    <s v="-"/>
    <s v="-"/>
    <s v="P"/>
    <s v="P"/>
    <s v="-"/>
    <n v="2"/>
    <n v="1"/>
    <n v="2"/>
    <n v="1"/>
    <s v="-"/>
    <s v="-"/>
    <s v="-"/>
    <s v="-"/>
    <s v="-"/>
    <s v="-"/>
    <s v="-"/>
    <n v="6"/>
    <n v="6"/>
    <s v="-"/>
    <n v="1"/>
    <n v="1"/>
    <n v="2"/>
    <n v="2"/>
    <n v="8"/>
    <n v="8"/>
  </r>
  <r>
    <x v="5"/>
    <x v="120"/>
    <d v="1899-12-30T00:00:00"/>
    <s v="3RD"/>
    <d v="1899-12-31T05:00:00"/>
    <n v="2"/>
    <x v="21"/>
    <n v="5.0000000000000001E-3"/>
    <s v="P"/>
    <s v="P"/>
    <s v="P"/>
    <s v="-"/>
    <s v="+"/>
    <n v="11.62"/>
    <s v="-"/>
    <s v="-"/>
    <s v="-"/>
    <s v="-"/>
    <s v="-"/>
    <s v="-"/>
    <s v="-"/>
    <s v="-"/>
    <s v="P"/>
    <s v="P"/>
    <s v="-"/>
    <n v="2"/>
    <n v="1"/>
    <n v="2"/>
    <n v="1"/>
    <s v="-"/>
    <s v="-"/>
    <s v="-"/>
    <s v="-"/>
    <s v="-"/>
    <s v="-"/>
    <s v="-"/>
    <n v="6"/>
    <n v="6"/>
    <s v="-"/>
    <n v="1"/>
    <n v="1"/>
    <n v="2"/>
    <n v="2"/>
    <n v="8"/>
    <n v="8"/>
  </r>
  <r>
    <x v="5"/>
    <x v="120"/>
    <d v="2026-06-05T00:00:00"/>
    <s v="3RD"/>
    <d v="1899-12-30T23:00:00"/>
    <n v="3"/>
    <x v="12"/>
    <n v="1.6199999999999999E-2"/>
    <s v="P"/>
    <s v="P"/>
    <s v="P"/>
    <s v="+"/>
    <s v="+"/>
    <n v="12.99"/>
    <n v="12.6"/>
    <n v="0.49"/>
    <n v="64.400000000000006"/>
    <s v="-"/>
    <s v="-"/>
    <n v="35.200000000000003"/>
    <s v="-"/>
    <s v="-"/>
    <s v="P"/>
    <s v="P"/>
    <n v="1"/>
    <n v="2"/>
    <n v="1"/>
    <n v="2"/>
    <n v="1"/>
    <s v="-"/>
    <n v="2"/>
    <n v="2"/>
    <s v="-"/>
    <s v="-"/>
    <n v="2"/>
    <s v="-"/>
    <n v="12"/>
    <n v="12"/>
    <s v="-"/>
    <n v="1"/>
    <n v="1"/>
    <n v="2"/>
    <n v="2"/>
    <n v="14"/>
    <n v="14"/>
  </r>
  <r>
    <x v="5"/>
    <x v="120"/>
    <d v="2026-06-05T00:00:00"/>
    <s v="3RD"/>
    <d v="1899-12-31T00:00:00"/>
    <n v="3"/>
    <x v="12"/>
    <n v="8.6E-3"/>
    <s v="P"/>
    <s v="P"/>
    <s v="P"/>
    <s v="+"/>
    <s v="+"/>
    <n v="13.47"/>
    <s v="-"/>
    <n v="0.49"/>
    <s v="-"/>
    <s v="-"/>
    <s v="-"/>
    <s v="-"/>
    <s v="-"/>
    <s v="-"/>
    <s v="P"/>
    <s v="P"/>
    <s v="-"/>
    <n v="2"/>
    <n v="1"/>
    <n v="2"/>
    <n v="1"/>
    <s v="-"/>
    <n v="2"/>
    <s v="-"/>
    <s v="-"/>
    <s v="-"/>
    <s v="-"/>
    <s v="-"/>
    <n v="8"/>
    <n v="8"/>
    <s v="-"/>
    <n v="1"/>
    <n v="1"/>
    <n v="2"/>
    <n v="2"/>
    <n v="10"/>
    <n v="10"/>
  </r>
  <r>
    <x v="5"/>
    <x v="120"/>
    <d v="2026-06-05T00:00:00"/>
    <s v="3RD"/>
    <d v="1899-12-31T01:00:00"/>
    <n v="3"/>
    <x v="12"/>
    <s v="-"/>
    <s v="P"/>
    <s v="P"/>
    <s v="P"/>
    <s v="+"/>
    <s v="+"/>
    <n v="13.26"/>
    <s v="-"/>
    <s v="-"/>
    <s v="-"/>
    <s v="-"/>
    <s v="-"/>
    <s v="-"/>
    <s v="-"/>
    <s v="-"/>
    <s v="P"/>
    <s v="P"/>
    <s v="-"/>
    <s v="-"/>
    <n v="1"/>
    <n v="2"/>
    <n v="1"/>
    <s v="-"/>
    <s v="-"/>
    <s v="-"/>
    <s v="-"/>
    <s v="-"/>
    <s v="-"/>
    <s v="-"/>
    <n v="4"/>
    <n v="4"/>
    <s v="-"/>
    <n v="1"/>
    <n v="1"/>
    <n v="2"/>
    <n v="2"/>
    <n v="6"/>
    <n v="6"/>
  </r>
  <r>
    <x v="5"/>
    <x v="120"/>
    <d v="1902-03-26T00:00:00"/>
    <s v="1ST"/>
    <s v="06:00"/>
    <n v="2"/>
    <x v="14"/>
    <n v="7.3000000000000001E-3"/>
    <s v="P"/>
    <s v="P"/>
    <s v="P"/>
    <s v="-"/>
    <s v="+"/>
    <n v="10.3"/>
    <n v="9.0399999999999991"/>
    <n v="0.56000000000000005"/>
    <n v="59.2"/>
    <s v="-"/>
    <s v="-"/>
    <n v="24.6"/>
    <s v="-"/>
    <n v="25.16"/>
    <s v="P"/>
    <s v="P"/>
    <s v="-"/>
    <n v="2"/>
    <n v="1"/>
    <n v="2"/>
    <n v="0"/>
    <n v="1"/>
    <n v="2"/>
    <n v="2"/>
    <s v="-"/>
    <s v="-"/>
    <n v="2"/>
    <s v="-"/>
    <n v="12"/>
    <n v="13"/>
    <n v="1"/>
    <n v="1"/>
    <n v="1"/>
    <n v="3"/>
    <n v="3"/>
    <n v="15"/>
    <n v="16"/>
  </r>
  <r>
    <x v="5"/>
    <x v="120"/>
    <d v="1899-12-30T00:00:00"/>
    <s v="1ST"/>
    <s v="08:00"/>
    <n v="2"/>
    <x v="14"/>
    <n v="7.1000000000000004E-3"/>
    <s v="P"/>
    <s v="P"/>
    <s v="P"/>
    <s v="-"/>
    <s v="+"/>
    <n v="11.39"/>
    <s v="-"/>
    <s v="-"/>
    <s v="-"/>
    <s v="-"/>
    <s v="-"/>
    <s v="-"/>
    <s v="-"/>
    <s v="-"/>
    <s v="P"/>
    <s v="P"/>
    <s v="-"/>
    <n v="2"/>
    <n v="1"/>
    <n v="2"/>
    <n v="1"/>
    <s v="-"/>
    <s v="-"/>
    <s v="-"/>
    <s v="-"/>
    <s v="-"/>
    <s v="-"/>
    <s v="-"/>
    <n v="6"/>
    <n v="6"/>
    <s v="-"/>
    <n v="1"/>
    <n v="1"/>
    <n v="2"/>
    <n v="2"/>
    <n v="8"/>
    <n v="8"/>
  </r>
  <r>
    <x v="5"/>
    <x v="120"/>
    <d v="1899-12-30T00:00:00"/>
    <s v="1ST"/>
    <s v="09:00"/>
    <n v="2"/>
    <x v="14"/>
    <n v="5.4999999999999997E-3"/>
    <s v="P"/>
    <s v="P"/>
    <s v="P"/>
    <s v="-"/>
    <s v="+"/>
    <n v="11.71"/>
    <s v="-"/>
    <s v="-"/>
    <s v="-"/>
    <s v="-"/>
    <s v="-"/>
    <s v="-"/>
    <s v="-"/>
    <s v="-"/>
    <s v="P"/>
    <s v="P"/>
    <s v="-"/>
    <n v="2"/>
    <n v="1"/>
    <n v="2"/>
    <n v="1"/>
    <s v="-"/>
    <s v="-"/>
    <s v="-"/>
    <s v="-"/>
    <s v="-"/>
    <s v="-"/>
    <s v="-"/>
    <n v="6"/>
    <n v="6"/>
    <s v="-"/>
    <n v="1"/>
    <n v="1"/>
    <n v="2"/>
    <n v="2"/>
    <n v="8"/>
    <n v="8"/>
  </r>
  <r>
    <x v="5"/>
    <x v="120"/>
    <d v="1902-03-26T00:00:00"/>
    <s v="1ST"/>
    <s v="12:00"/>
    <n v="2"/>
    <x v="21"/>
    <n v="9.2999999999999992E-3"/>
    <s v="P"/>
    <s v="P"/>
    <s v="P"/>
    <s v="-"/>
    <s v="+"/>
    <n v="12.21"/>
    <n v="8.6300000000000008"/>
    <s v="-"/>
    <n v="56.2"/>
    <s v="-"/>
    <s v="-"/>
    <n v="23.3"/>
    <s v="-"/>
    <s v="-"/>
    <s v="P"/>
    <s v="P"/>
    <s v="-"/>
    <n v="2"/>
    <n v="1"/>
    <n v="2"/>
    <n v="1"/>
    <s v="-"/>
    <s v="-"/>
    <n v="2"/>
    <s v="-"/>
    <s v="-"/>
    <n v="2"/>
    <s v="-"/>
    <n v="10"/>
    <n v="10"/>
    <s v="-"/>
    <n v="1"/>
    <n v="1"/>
    <n v="2"/>
    <n v="2"/>
    <n v="12"/>
    <n v="12"/>
  </r>
  <r>
    <x v="5"/>
    <x v="120"/>
    <d v="1899-12-30T00:00:00"/>
    <s v="1ST"/>
    <s v="13:00"/>
    <n v="2"/>
    <x v="21"/>
    <n v="7.7999999999999996E-3"/>
    <s v="P"/>
    <s v="P"/>
    <s v="P"/>
    <s v="-"/>
    <s v="+"/>
    <n v="11.45"/>
    <s v="-"/>
    <s v="-"/>
    <s v="-"/>
    <s v="-"/>
    <s v="-"/>
    <s v="-"/>
    <s v="-"/>
    <s v="-"/>
    <s v="P"/>
    <s v="P"/>
    <s v="-"/>
    <n v="2"/>
    <n v="1"/>
    <n v="2"/>
    <n v="1"/>
    <s v="-"/>
    <s v="-"/>
    <s v="-"/>
    <s v="-"/>
    <s v="-"/>
    <s v="-"/>
    <s v="-"/>
    <n v="6"/>
    <n v="6"/>
    <s v="-"/>
    <n v="1"/>
    <n v="1"/>
    <n v="2"/>
    <n v="2"/>
    <n v="8"/>
    <n v="8"/>
  </r>
  <r>
    <x v="5"/>
    <x v="120"/>
    <d v="2026-05-15T00:00:00"/>
    <s v="1ST"/>
    <s v="07:00"/>
    <n v="3"/>
    <x v="1"/>
    <n v="1.29E-2"/>
    <s v="P"/>
    <s v="P"/>
    <s v="P"/>
    <s v="+"/>
    <s v="+"/>
    <n v="11.69"/>
    <n v="12.56"/>
    <n v="0.53"/>
    <n v="65.8"/>
    <s v="-"/>
    <s v="-"/>
    <n v="35.200000000000003"/>
    <s v="-"/>
    <n v="25.19"/>
    <s v="P"/>
    <s v="P"/>
    <s v="-"/>
    <n v="2"/>
    <n v="1"/>
    <n v="2"/>
    <n v="0"/>
    <n v="1"/>
    <n v="2"/>
    <n v="2"/>
    <s v="-"/>
    <s v="-"/>
    <n v="2"/>
    <s v="-"/>
    <n v="12"/>
    <n v="13"/>
    <n v="1"/>
    <n v="1"/>
    <n v="1"/>
    <n v="3"/>
    <n v="3"/>
    <n v="15"/>
    <n v="16"/>
  </r>
  <r>
    <x v="5"/>
    <x v="120"/>
    <d v="2026-05-15T00:00:00"/>
    <s v="1ST"/>
    <s v="08:00"/>
    <n v="3"/>
    <x v="1"/>
    <n v="1.66E-2"/>
    <s v="P"/>
    <s v="P"/>
    <s v="P"/>
    <s v="+"/>
    <s v="+"/>
    <n v="12.39"/>
    <s v="-"/>
    <n v="0.53"/>
    <s v="-"/>
    <s v="-"/>
    <s v="-"/>
    <s v="-"/>
    <s v="-"/>
    <s v="-"/>
    <s v="P"/>
    <s v="P"/>
    <s v="-"/>
    <n v="2"/>
    <n v="1"/>
    <n v="2"/>
    <n v="1"/>
    <s v="-"/>
    <n v="2"/>
    <s v="-"/>
    <s v="-"/>
    <s v="-"/>
    <s v="-"/>
    <s v="-"/>
    <n v="8"/>
    <n v="8"/>
    <s v="-"/>
    <n v="1"/>
    <n v="1"/>
    <n v="2"/>
    <n v="2"/>
    <n v="10"/>
    <n v="10"/>
  </r>
  <r>
    <x v="5"/>
    <x v="120"/>
    <d v="2026-05-15T00:00:00"/>
    <s v="1ST"/>
    <s v="09:00"/>
    <n v="3"/>
    <x v="1"/>
    <s v="-"/>
    <s v="P"/>
    <s v="P"/>
    <s v="P"/>
    <s v="+"/>
    <s v="+"/>
    <n v="12.41"/>
    <s v="-"/>
    <s v="-"/>
    <s v="-"/>
    <s v="-"/>
    <s v="-"/>
    <s v="-"/>
    <s v="-"/>
    <s v="-"/>
    <s v="P"/>
    <s v="P"/>
    <s v="-"/>
    <s v="-"/>
    <n v="1"/>
    <n v="2"/>
    <n v="1"/>
    <s v="-"/>
    <s v="-"/>
    <s v="-"/>
    <s v="-"/>
    <s v="-"/>
    <s v="-"/>
    <s v="-"/>
    <n v="4"/>
    <n v="4"/>
    <s v="-"/>
    <n v="1"/>
    <n v="1"/>
    <n v="2"/>
    <n v="2"/>
    <n v="6"/>
    <n v="6"/>
  </r>
  <r>
    <x v="5"/>
    <x v="120"/>
    <d v="2026-05-20T00:00:00"/>
    <s v="1ST"/>
    <s v="08:00"/>
    <s v="Retail"/>
    <x v="19"/>
    <s v="-"/>
    <s v="-"/>
    <s v="P"/>
    <s v="P"/>
    <s v="-"/>
    <s v="+"/>
    <n v="13.13"/>
    <n v="15.89"/>
    <s v="-"/>
    <n v="72.900000000000006"/>
    <s v="-"/>
    <s v="-"/>
    <n v="45.2"/>
    <s v="-"/>
    <s v="-"/>
    <s v="-"/>
    <s v="-"/>
    <s v="-"/>
    <s v="-"/>
    <s v="-"/>
    <n v="2"/>
    <n v="1"/>
    <n v="1"/>
    <s v="-"/>
    <n v="2"/>
    <s v="-"/>
    <s v="-"/>
    <n v="2"/>
    <s v="-"/>
    <n v="8"/>
    <n v="8"/>
    <s v="-"/>
    <s v="-"/>
    <s v="-"/>
    <n v="0"/>
    <n v="0"/>
    <n v="8"/>
    <n v="8"/>
  </r>
  <r>
    <x v="5"/>
    <x v="121"/>
    <d v="2026-05-27T00:00:00"/>
    <s v="1ST"/>
    <s v="08:00"/>
    <n v="1"/>
    <x v="1"/>
    <n v="1.3899999999999999E-2"/>
    <s v="P"/>
    <s v="P"/>
    <s v="P"/>
    <s v="+"/>
    <s v="+"/>
    <n v="12.1"/>
    <n v="12.71"/>
    <n v="0.54"/>
    <n v="65.400000000000006"/>
    <s v="-"/>
    <s v="-"/>
    <n v="35.6"/>
    <s v="-"/>
    <n v="25.19"/>
    <s v="P"/>
    <s v="P"/>
    <s v="-"/>
    <n v="2"/>
    <n v="1"/>
    <n v="2"/>
    <n v="1"/>
    <n v="1"/>
    <n v="2"/>
    <n v="2"/>
    <s v="-"/>
    <s v="-"/>
    <n v="2"/>
    <s v="-"/>
    <n v="13"/>
    <n v="13"/>
    <n v="1"/>
    <n v="1"/>
    <n v="1"/>
    <n v="3"/>
    <n v="3"/>
    <n v="16"/>
    <n v="16"/>
  </r>
  <r>
    <x v="5"/>
    <x v="121"/>
    <d v="2026-05-27T00:00:00"/>
    <s v="1ST"/>
    <s v="09:00"/>
    <n v="1"/>
    <x v="1"/>
    <n v="1.7399999999999999E-2"/>
    <s v="P"/>
    <s v="P"/>
    <s v="P"/>
    <s v="+"/>
    <s v="+"/>
    <n v="12.24"/>
    <s v="-"/>
    <s v="-"/>
    <s v="-"/>
    <s v="-"/>
    <s v="-"/>
    <s v="-"/>
    <s v="-"/>
    <s v="-"/>
    <s v="P"/>
    <s v="P"/>
    <s v="-"/>
    <n v="2"/>
    <n v="1"/>
    <n v="2"/>
    <n v="1"/>
    <s v="-"/>
    <s v="-"/>
    <s v="-"/>
    <s v="-"/>
    <s v="-"/>
    <s v="-"/>
    <s v="-"/>
    <n v="6"/>
    <n v="6"/>
    <s v="-"/>
    <n v="1"/>
    <n v="1"/>
    <n v="2"/>
    <n v="2"/>
    <n v="8"/>
    <n v="8"/>
  </r>
  <r>
    <x v="5"/>
    <x v="121"/>
    <d v="1902-03-26T00:00:00"/>
    <s v="1ST"/>
    <s v="06:00"/>
    <n v="2"/>
    <x v="4"/>
    <n v="6.3E-3"/>
    <s v="P"/>
    <s v="P"/>
    <s v="P"/>
    <s v="-"/>
    <s v="+"/>
    <n v="10.96"/>
    <n v="8.9600000000000009"/>
    <n v="0.56000000000000005"/>
    <n v="55.1"/>
    <s v="-"/>
    <s v="-"/>
    <n v="24.3"/>
    <s v="-"/>
    <n v="25.19"/>
    <s v="P"/>
    <s v="P"/>
    <s v="-"/>
    <n v="2"/>
    <n v="1"/>
    <n v="2"/>
    <n v="0"/>
    <n v="1"/>
    <n v="0"/>
    <n v="2"/>
    <s v="-"/>
    <s v="-"/>
    <n v="2"/>
    <s v="-"/>
    <n v="10"/>
    <n v="13"/>
    <n v="1"/>
    <n v="1"/>
    <n v="1"/>
    <n v="3"/>
    <n v="3"/>
    <n v="13"/>
    <n v="16"/>
  </r>
  <r>
    <x v="5"/>
    <x v="121"/>
    <d v="1899-12-30T00:00:00"/>
    <s v="1ST"/>
    <s v="07:00"/>
    <n v="2"/>
    <x v="4"/>
    <n v="7.1000000000000004E-3"/>
    <s v="P"/>
    <s v="P"/>
    <s v="P"/>
    <s v="-"/>
    <s v="+"/>
    <n v="11.39"/>
    <s v="-"/>
    <s v="-"/>
    <s v="-"/>
    <s v="-"/>
    <s v="-"/>
    <s v="-"/>
    <s v="-"/>
    <s v="-"/>
    <s v="P"/>
    <s v="P"/>
    <s v="-"/>
    <n v="2"/>
    <n v="1"/>
    <n v="2"/>
    <n v="1"/>
    <s v="-"/>
    <s v="-"/>
    <s v="-"/>
    <s v="-"/>
    <s v="-"/>
    <s v="-"/>
    <s v="-"/>
    <n v="6"/>
    <n v="6"/>
    <s v="-"/>
    <n v="1"/>
    <n v="1"/>
    <n v="2"/>
    <n v="2"/>
    <n v="8"/>
    <n v="8"/>
  </r>
  <r>
    <x v="5"/>
    <x v="121"/>
    <d v="1899-12-30T00:00:00"/>
    <s v="1ST"/>
    <s v="08:00"/>
    <n v="2"/>
    <x v="4"/>
    <n v="5.0000000000000001E-3"/>
    <s v="P"/>
    <s v="P"/>
    <s v="P"/>
    <s v="-"/>
    <s v="+"/>
    <n v="11.62"/>
    <s v="-"/>
    <s v="-"/>
    <s v="-"/>
    <s v="-"/>
    <s v="-"/>
    <s v="-"/>
    <s v="-"/>
    <s v="-"/>
    <s v="P"/>
    <s v="P"/>
    <s v="-"/>
    <n v="2"/>
    <n v="1"/>
    <n v="2"/>
    <n v="1"/>
    <s v="-"/>
    <s v="-"/>
    <s v="-"/>
    <s v="-"/>
    <s v="-"/>
    <s v="-"/>
    <s v="-"/>
    <n v="6"/>
    <n v="6"/>
    <s v="-"/>
    <n v="1"/>
    <n v="1"/>
    <n v="2"/>
    <n v="2"/>
    <n v="8"/>
    <n v="8"/>
  </r>
  <r>
    <x v="5"/>
    <x v="121"/>
    <d v="1899-12-30T00:00:00"/>
    <s v="1ST"/>
    <s v="09:00"/>
    <n v="2"/>
    <x v="4"/>
    <n v="6.3E-3"/>
    <s v="P"/>
    <s v="P"/>
    <s v="P"/>
    <s v="-"/>
    <s v="+"/>
    <s v="-"/>
    <s v="-"/>
    <s v="-"/>
    <s v="-"/>
    <s v="-"/>
    <s v="-"/>
    <s v="-"/>
    <s v="-"/>
    <s v="-"/>
    <s v="-"/>
    <s v="-"/>
    <s v="40% 20% 40%"/>
    <n v="2"/>
    <n v="1"/>
    <n v="2"/>
    <s v="-"/>
    <s v="-"/>
    <s v="-"/>
    <s v="-"/>
    <s v="-"/>
    <s v="-"/>
    <s v="-"/>
    <s v="-"/>
    <n v="5"/>
    <n v="5"/>
    <s v="-"/>
    <s v="-"/>
    <s v="-"/>
    <n v="0"/>
    <n v="0"/>
    <n v="5"/>
    <n v="5"/>
  </r>
  <r>
    <x v="5"/>
    <x v="121"/>
    <d v="1899-12-30T00:00:00"/>
    <s v="1ST"/>
    <s v="10:00"/>
    <n v="2"/>
    <x v="2"/>
    <n v="8.9999999999999993E-3"/>
    <s v="P"/>
    <s v="P"/>
    <s v="P"/>
    <s v="-"/>
    <s v="+"/>
    <n v="11.36"/>
    <s v="-"/>
    <s v="-"/>
    <s v="-"/>
    <s v="-"/>
    <s v="-"/>
    <s v="-"/>
    <s v="-"/>
    <s v="-"/>
    <s v="P"/>
    <s v="P"/>
    <s v="-"/>
    <n v="2"/>
    <n v="1"/>
    <n v="2"/>
    <n v="0"/>
    <s v="-"/>
    <s v="-"/>
    <s v="-"/>
    <s v="-"/>
    <s v="-"/>
    <s v="-"/>
    <s v="-"/>
    <n v="5"/>
    <n v="6"/>
    <s v="-"/>
    <n v="1"/>
    <n v="1"/>
    <n v="2"/>
    <n v="2"/>
    <n v="7"/>
    <n v="8"/>
  </r>
  <r>
    <x v="5"/>
    <x v="121"/>
    <d v="1899-12-30T00:00:00"/>
    <s v="1ST"/>
    <s v="12:00"/>
    <n v="2"/>
    <x v="2"/>
    <n v="7.9000000000000008E-3"/>
    <s v="P"/>
    <s v="P"/>
    <s v="P"/>
    <s v="-"/>
    <s v="+"/>
    <n v="11.09"/>
    <n v="10.08"/>
    <s v="-"/>
    <n v="57.5"/>
    <s v="-"/>
    <s v="-"/>
    <n v="27.7"/>
    <s v="-"/>
    <s v="-"/>
    <s v="P"/>
    <s v="P"/>
    <s v="-"/>
    <n v="2"/>
    <n v="1"/>
    <n v="2"/>
    <n v="0"/>
    <n v="1"/>
    <s v="-"/>
    <n v="0"/>
    <s v="-"/>
    <s v="-"/>
    <n v="2"/>
    <s v="-"/>
    <n v="8"/>
    <n v="11"/>
    <s v="-"/>
    <n v="1"/>
    <n v="1"/>
    <n v="2"/>
    <n v="2"/>
    <n v="10"/>
    <n v="13"/>
  </r>
  <r>
    <x v="5"/>
    <x v="121"/>
    <d v="1899-12-30T00:00:00"/>
    <s v="1ST"/>
    <s v="13:00"/>
    <n v="2"/>
    <x v="2"/>
    <n v="1.01E-2"/>
    <s v="P"/>
    <s v="P"/>
    <s v="P"/>
    <s v="-"/>
    <s v="+"/>
    <n v="11.1"/>
    <s v="-"/>
    <s v="-"/>
    <s v="-"/>
    <s v="-"/>
    <s v="-"/>
    <s v="-"/>
    <s v="-"/>
    <s v="-"/>
    <s v="P"/>
    <s v="P"/>
    <s v="-"/>
    <n v="2"/>
    <n v="1"/>
    <n v="2"/>
    <n v="0"/>
    <s v="-"/>
    <s v="-"/>
    <s v="-"/>
    <s v="-"/>
    <s v="-"/>
    <s v="-"/>
    <s v="-"/>
    <n v="5"/>
    <n v="6"/>
    <s v="-"/>
    <n v="1"/>
    <n v="1"/>
    <n v="2"/>
    <n v="2"/>
    <n v="7"/>
    <n v="8"/>
  </r>
  <r>
    <x v="5"/>
    <x v="121"/>
    <d v="2026-06-05T00:00:00"/>
    <s v="1ST"/>
    <s v="08:00"/>
    <n v="3"/>
    <x v="12"/>
    <n v="8.5000000000000006E-3"/>
    <s v="P"/>
    <s v="P"/>
    <s v="P"/>
    <s v="+"/>
    <s v="+"/>
    <n v="13.18"/>
    <n v="12.75"/>
    <s v="-"/>
    <s v="-"/>
    <s v="-"/>
    <s v="-"/>
    <n v="35.700000000000003"/>
    <s v="-"/>
    <n v="25.19"/>
    <s v="P"/>
    <s v="P"/>
    <s v="-"/>
    <n v="2"/>
    <n v="1"/>
    <n v="2"/>
    <n v="1"/>
    <s v="-"/>
    <s v="-"/>
    <s v="-"/>
    <s v="-"/>
    <s v="-"/>
    <n v="2"/>
    <s v="-"/>
    <n v="8"/>
    <n v="8"/>
    <n v="1"/>
    <n v="1"/>
    <n v="1"/>
    <n v="3"/>
    <n v="3"/>
    <n v="11"/>
    <n v="11"/>
  </r>
  <r>
    <x v="5"/>
    <x v="121"/>
    <d v="2026-06-05T00:00:00"/>
    <s v="1ST"/>
    <s v="09:00"/>
    <n v="3"/>
    <x v="12"/>
    <n v="2.0199999999999999E-2"/>
    <s v="P"/>
    <s v="P"/>
    <s v="P"/>
    <s v="+"/>
    <s v="+"/>
    <n v="13.11"/>
    <s v="-"/>
    <s v="-"/>
    <s v="-"/>
    <s v="-"/>
    <s v="-"/>
    <s v="-"/>
    <s v="-"/>
    <s v="-"/>
    <s v="P"/>
    <s v="P"/>
    <s v="-"/>
    <n v="0"/>
    <n v="1"/>
    <n v="2"/>
    <n v="1"/>
    <s v="-"/>
    <s v="-"/>
    <s v="-"/>
    <s v="-"/>
    <s v="-"/>
    <s v="-"/>
    <s v="-"/>
    <n v="4"/>
    <n v="6"/>
    <s v="-"/>
    <n v="1"/>
    <n v="1"/>
    <n v="2"/>
    <n v="2"/>
    <n v="6"/>
    <n v="8"/>
  </r>
  <r>
    <x v="5"/>
    <x v="121"/>
    <d v="2026-06-05T00:00:00"/>
    <s v="1ST"/>
    <s v="10:00"/>
    <n v="3"/>
    <x v="12"/>
    <n v="1.9099999999999999E-2"/>
    <s v="P"/>
    <s v="P"/>
    <s v="P"/>
    <s v="+"/>
    <s v="+"/>
    <n v="13.15"/>
    <s v="-"/>
    <s v="-"/>
    <s v="-"/>
    <s v="-"/>
    <s v="-"/>
    <s v="-"/>
    <s v="-"/>
    <s v="-"/>
    <s v="P"/>
    <s v="P"/>
    <s v="-"/>
    <n v="2"/>
    <n v="1"/>
    <n v="2"/>
    <n v="1"/>
    <s v="-"/>
    <s v="-"/>
    <s v="-"/>
    <s v="-"/>
    <s v="-"/>
    <s v="-"/>
    <s v="-"/>
    <n v="6"/>
    <n v="6"/>
    <s v="-"/>
    <n v="1"/>
    <n v="1"/>
    <n v="2"/>
    <n v="2"/>
    <n v="8"/>
    <n v="8"/>
  </r>
  <r>
    <x v="5"/>
    <x v="121"/>
    <d v="2026-06-05T00:00:00"/>
    <s v="1ST"/>
    <s v="11:00"/>
    <n v="3"/>
    <x v="16"/>
    <n v="0.15859999999999999"/>
    <s v="P"/>
    <s v="P"/>
    <s v="P"/>
    <s v="+"/>
    <s v="+"/>
    <s v="-"/>
    <s v="-"/>
    <s v="-"/>
    <s v="-"/>
    <s v="-"/>
    <s v="-"/>
    <s v="-"/>
    <s v="-"/>
    <s v="-"/>
    <s v="-"/>
    <s v="-"/>
    <s v="-"/>
    <n v="0"/>
    <n v="1"/>
    <n v="2"/>
    <s v="-"/>
    <s v="-"/>
    <s v="-"/>
    <s v="-"/>
    <s v="-"/>
    <s v="-"/>
    <s v="-"/>
    <s v="-"/>
    <n v="3"/>
    <n v="5"/>
    <s v="-"/>
    <s v="-"/>
    <s v="-"/>
    <n v="0"/>
    <n v="0"/>
    <n v="3"/>
    <n v="5"/>
  </r>
  <r>
    <x v="5"/>
    <x v="121"/>
    <d v="2026-06-05T00:00:00"/>
    <s v="1ST"/>
    <s v="12:00"/>
    <n v="3"/>
    <x v="16"/>
    <n v="3.3099999999999997E-2"/>
    <s v="P"/>
    <s v="P"/>
    <s v="P"/>
    <s v="+"/>
    <s v="+"/>
    <n v="13.19"/>
    <s v="-"/>
    <s v="-"/>
    <s v="-"/>
    <s v="-"/>
    <s v="-"/>
    <s v="-"/>
    <s v="-"/>
    <s v="-"/>
    <s v="P"/>
    <s v="P"/>
    <s v="-"/>
    <n v="0"/>
    <n v="1"/>
    <n v="2"/>
    <n v="1"/>
    <s v="-"/>
    <s v="-"/>
    <s v="-"/>
    <s v="-"/>
    <s v="-"/>
    <s v="-"/>
    <s v="-"/>
    <n v="4"/>
    <n v="6"/>
    <s v="-"/>
    <n v="1"/>
    <n v="1"/>
    <n v="2"/>
    <n v="2"/>
    <n v="6"/>
    <n v="8"/>
  </r>
  <r>
    <x v="5"/>
    <x v="121"/>
    <d v="2026-06-05T00:00:00"/>
    <s v="1ST"/>
    <s v="13:00"/>
    <n v="3"/>
    <x v="16"/>
    <n v="0.02"/>
    <s v="P"/>
    <s v="P"/>
    <s v="P"/>
    <s v="+"/>
    <s v="+"/>
    <n v="12.47"/>
    <s v="-"/>
    <s v="-"/>
    <s v="-"/>
    <s v="-"/>
    <s v="-"/>
    <s v="-"/>
    <s v="-"/>
    <s v="-"/>
    <s v="P"/>
    <s v="P"/>
    <s v="-"/>
    <n v="2"/>
    <n v="1"/>
    <n v="2"/>
    <n v="1"/>
    <s v="-"/>
    <s v="-"/>
    <s v="-"/>
    <s v="-"/>
    <s v="-"/>
    <s v="-"/>
    <s v="-"/>
    <n v="6"/>
    <n v="6"/>
    <s v="-"/>
    <n v="1"/>
    <n v="1"/>
    <n v="2"/>
    <n v="2"/>
    <n v="8"/>
    <n v="8"/>
  </r>
  <r>
    <x v="5"/>
    <x v="121"/>
    <d v="2026-05-20T00:00:00"/>
    <s v="1ST"/>
    <s v="08:00"/>
    <s v="Retail"/>
    <x v="25"/>
    <s v="-"/>
    <s v="P"/>
    <s v="P"/>
    <s v="P"/>
    <s v="+"/>
    <s v="+"/>
    <n v="12.52"/>
    <n v="14.36"/>
    <n v="1.1100000000000001"/>
    <n v="72.599999999999994"/>
    <s v="-"/>
    <s v="-"/>
    <n v="40.6"/>
    <s v="-"/>
    <s v="-"/>
    <s v="-"/>
    <s v="-"/>
    <s v="-"/>
    <s v="-"/>
    <n v="1"/>
    <n v="2"/>
    <n v="1"/>
    <n v="1"/>
    <n v="2"/>
    <n v="2"/>
    <s v="-"/>
    <s v="-"/>
    <n v="2"/>
    <s v="-"/>
    <n v="11"/>
    <n v="11"/>
    <s v="-"/>
    <s v="-"/>
    <s v="-"/>
    <n v="0"/>
    <n v="0"/>
    <n v="11"/>
    <n v="11"/>
  </r>
  <r>
    <x v="5"/>
    <x v="121"/>
    <d v="2026-05-20T00:00:00"/>
    <s v="1ST"/>
    <s v="10:00"/>
    <s v="Retail"/>
    <x v="25"/>
    <s v="-"/>
    <s v="P"/>
    <s v="P"/>
    <s v="P"/>
    <s v="+"/>
    <s v="+"/>
    <s v="-"/>
    <s v="-"/>
    <s v="-"/>
    <s v="-"/>
    <s v="-"/>
    <s v="-"/>
    <s v="-"/>
    <s v="-"/>
    <s v="-"/>
    <s v="-"/>
    <s v="-"/>
    <s v="-"/>
    <s v="-"/>
    <n v="1"/>
    <n v="2"/>
    <s v="-"/>
    <s v="-"/>
    <s v="-"/>
    <s v="-"/>
    <s v="-"/>
    <s v="-"/>
    <s v="-"/>
    <s v="-"/>
    <n v="3"/>
    <n v="3"/>
    <s v="-"/>
    <s v="-"/>
    <s v="-"/>
    <n v="0"/>
    <n v="0"/>
    <n v="3"/>
    <n v="3"/>
  </r>
  <r>
    <x v="5"/>
    <x v="121"/>
    <d v="2026-05-20T00:00:00"/>
    <s v="1ST"/>
    <s v="12:00"/>
    <s v="Retail"/>
    <x v="25"/>
    <s v="-"/>
    <s v="P"/>
    <s v="P"/>
    <s v="P"/>
    <s v="+"/>
    <s v="+"/>
    <s v="-"/>
    <s v="-"/>
    <s v="-"/>
    <s v="-"/>
    <s v="-"/>
    <s v="-"/>
    <s v="-"/>
    <s v="-"/>
    <s v="-"/>
    <s v="-"/>
    <s v="-"/>
    <s v="-"/>
    <s v="-"/>
    <n v="1"/>
    <n v="2"/>
    <s v="-"/>
    <s v="-"/>
    <s v="-"/>
    <s v="-"/>
    <s v="-"/>
    <s v="-"/>
    <s v="-"/>
    <s v="-"/>
    <n v="3"/>
    <n v="3"/>
    <s v="-"/>
    <s v="-"/>
    <s v="-"/>
    <n v="0"/>
    <n v="0"/>
    <n v="3"/>
    <n v="3"/>
  </r>
  <r>
    <x v="5"/>
    <x v="121"/>
    <s v="-"/>
    <s v="2ND"/>
    <d v="1899-12-30T14:00:00"/>
    <n v="1"/>
    <x v="1"/>
    <n v="1.7999999999999999E-2"/>
    <s v="P"/>
    <s v="P"/>
    <s v="P"/>
    <s v="+"/>
    <s v="+"/>
    <n v="11.73"/>
    <s v="-"/>
    <s v="-"/>
    <s v="-"/>
    <s v="-"/>
    <s v="-"/>
    <s v="-"/>
    <s v="-"/>
    <s v="-"/>
    <s v="P"/>
    <s v="P"/>
    <n v="1"/>
    <n v="2"/>
    <n v="1"/>
    <n v="2"/>
    <n v="0"/>
    <s v="-"/>
    <s v="-"/>
    <s v="-"/>
    <s v="-"/>
    <s v="-"/>
    <s v="-"/>
    <s v="-"/>
    <n v="5"/>
    <n v="6"/>
    <s v="-"/>
    <n v="1"/>
    <n v="1"/>
    <n v="2"/>
    <n v="2"/>
    <n v="7"/>
    <n v="8"/>
  </r>
  <r>
    <x v="5"/>
    <x v="121"/>
    <d v="1902-03-26T00:00:00"/>
    <s v="2ND"/>
    <d v="1899-12-30T14:00:00"/>
    <n v="2"/>
    <x v="47"/>
    <n v="1.95E-2"/>
    <s v="P"/>
    <s v="P"/>
    <s v="P"/>
    <s v="-"/>
    <s v="+"/>
    <n v="11.41"/>
    <n v="9.7799999999999994"/>
    <n v="0.52"/>
    <s v="-"/>
    <s v="-"/>
    <s v="-"/>
    <n v="26.4"/>
    <s v="-"/>
    <s v="-"/>
    <s v="P"/>
    <s v="P"/>
    <s v="-"/>
    <n v="2"/>
    <n v="1"/>
    <n v="2"/>
    <n v="1"/>
    <n v="1"/>
    <n v="2"/>
    <s v="-"/>
    <s v="-"/>
    <s v="-"/>
    <n v="0"/>
    <s v="-"/>
    <n v="9"/>
    <n v="11"/>
    <s v="-"/>
    <n v="1"/>
    <n v="1"/>
    <n v="2"/>
    <n v="2"/>
    <n v="11"/>
    <n v="13"/>
  </r>
  <r>
    <x v="5"/>
    <x v="121"/>
    <d v="1899-12-30T00:00:00"/>
    <s v="2ND"/>
    <d v="1899-12-30T16:00:00"/>
    <n v="2"/>
    <x v="47"/>
    <n v="1.5100000000000001E-2"/>
    <s v="P"/>
    <s v="P"/>
    <s v="P"/>
    <s v="-"/>
    <s v="+"/>
    <n v="11.5"/>
    <s v="-"/>
    <s v="-"/>
    <s v="-"/>
    <s v="-"/>
    <s v="-"/>
    <s v="-"/>
    <s v="-"/>
    <s v="-"/>
    <s v="P"/>
    <s v="P"/>
    <s v="-"/>
    <n v="2"/>
    <n v="1"/>
    <n v="2"/>
    <n v="1"/>
    <s v="-"/>
    <s v="-"/>
    <s v="-"/>
    <s v="-"/>
    <s v="-"/>
    <s v="-"/>
    <s v="-"/>
    <n v="6"/>
    <n v="6"/>
    <s v="-"/>
    <n v="1"/>
    <n v="1"/>
    <n v="2"/>
    <n v="2"/>
    <n v="8"/>
    <n v="8"/>
  </r>
  <r>
    <x v="5"/>
    <x v="121"/>
    <d v="1899-12-30T00:00:00"/>
    <s v="2ND"/>
    <d v="1899-12-30T18:00:00"/>
    <n v="2"/>
    <x v="47"/>
    <n v="7.7999999999999996E-3"/>
    <s v="P"/>
    <s v="P"/>
    <s v="P"/>
    <s v="-"/>
    <s v="+"/>
    <n v="11.58"/>
    <s v="-"/>
    <s v="-"/>
    <s v="-"/>
    <s v="-"/>
    <s v="-"/>
    <s v="-"/>
    <s v="-"/>
    <s v="-"/>
    <s v="P"/>
    <s v="P"/>
    <s v="-"/>
    <n v="2"/>
    <n v="1"/>
    <n v="2"/>
    <n v="1"/>
    <s v="-"/>
    <s v="-"/>
    <s v="-"/>
    <s v="-"/>
    <s v="-"/>
    <s v="-"/>
    <s v="-"/>
    <n v="6"/>
    <n v="6"/>
    <s v="-"/>
    <n v="1"/>
    <n v="1"/>
    <n v="2"/>
    <n v="2"/>
    <n v="8"/>
    <n v="8"/>
  </r>
  <r>
    <x v="5"/>
    <x v="121"/>
    <d v="1899-12-30T00:00:00"/>
    <s v="2ND"/>
    <d v="1899-12-30T19:00:00"/>
    <n v="2"/>
    <x v="47"/>
    <n v="1.47E-2"/>
    <s v="P"/>
    <s v="P"/>
    <s v="P"/>
    <s v="-"/>
    <s v="+"/>
    <n v="11.43"/>
    <s v="-"/>
    <s v="-"/>
    <s v="-"/>
    <s v="-"/>
    <s v="-"/>
    <s v="-"/>
    <s v="-"/>
    <s v="-"/>
    <s v="P"/>
    <s v="P"/>
    <s v="-"/>
    <n v="2"/>
    <n v="1"/>
    <n v="2"/>
    <n v="1"/>
    <s v="-"/>
    <s v="-"/>
    <s v="-"/>
    <s v="-"/>
    <s v="-"/>
    <s v="-"/>
    <s v="-"/>
    <n v="6"/>
    <n v="6"/>
    <s v="-"/>
    <n v="1"/>
    <n v="1"/>
    <n v="2"/>
    <n v="2"/>
    <n v="8"/>
    <n v="8"/>
  </r>
  <r>
    <x v="5"/>
    <x v="121"/>
    <d v="2026-06-05T00:00:00"/>
    <s v="2ND"/>
    <d v="1899-12-30T14:00:00"/>
    <n v="3"/>
    <x v="44"/>
    <n v="1.44E-2"/>
    <s v="P"/>
    <s v="P"/>
    <s v="P"/>
    <s v="+"/>
    <s v="+"/>
    <n v="12.93"/>
    <n v="13.63"/>
    <n v="0.46"/>
    <n v="65.2"/>
    <s v="-"/>
    <s v="-"/>
    <n v="38.299999999999997"/>
    <s v="-"/>
    <s v="-"/>
    <s v="P"/>
    <s v="P"/>
    <n v="1"/>
    <n v="2"/>
    <n v="1"/>
    <n v="2"/>
    <n v="1"/>
    <n v="1"/>
    <n v="2"/>
    <n v="2"/>
    <s v="-"/>
    <s v="-"/>
    <n v="2"/>
    <s v="-"/>
    <n v="13"/>
    <n v="13"/>
    <s v="-"/>
    <n v="1"/>
    <n v="1"/>
    <n v="2"/>
    <n v="2"/>
    <n v="15"/>
    <n v="15"/>
  </r>
  <r>
    <x v="5"/>
    <x v="121"/>
    <d v="2026-06-05T00:00:00"/>
    <s v="2ND"/>
    <d v="1899-12-30T15:00:00"/>
    <n v="3"/>
    <x v="16"/>
    <n v="1.72E-2"/>
    <s v="P"/>
    <s v="P"/>
    <s v="P"/>
    <s v="+"/>
    <s v="+"/>
    <n v="13.35"/>
    <s v="-"/>
    <s v="-"/>
    <s v="-"/>
    <s v="-"/>
    <s v="-"/>
    <s v="-"/>
    <s v="-"/>
    <s v="-"/>
    <s v="P"/>
    <s v="P"/>
    <s v="-"/>
    <n v="2"/>
    <n v="1"/>
    <n v="2"/>
    <n v="1"/>
    <s v="-"/>
    <s v="-"/>
    <s v="-"/>
    <s v="-"/>
    <s v="-"/>
    <s v="-"/>
    <s v="-"/>
    <n v="6"/>
    <n v="6"/>
    <s v="-"/>
    <n v="1"/>
    <n v="1"/>
    <n v="2"/>
    <n v="2"/>
    <n v="8"/>
    <n v="8"/>
  </r>
  <r>
    <x v="5"/>
    <x v="121"/>
    <d v="2026-06-05T00:00:00"/>
    <s v="2ND"/>
    <d v="1899-12-30T16:00:00"/>
    <n v="3"/>
    <x v="16"/>
    <n v="1.4E-2"/>
    <s v="P"/>
    <s v="P"/>
    <s v="P"/>
    <s v="+"/>
    <s v="+"/>
    <n v="13.24"/>
    <s v="-"/>
    <s v="-"/>
    <s v="-"/>
    <s v="-"/>
    <s v="-"/>
    <s v="-"/>
    <s v="-"/>
    <s v="-"/>
    <s v="P"/>
    <s v="P"/>
    <s v="-"/>
    <n v="2"/>
    <n v="1"/>
    <n v="2"/>
    <n v="1"/>
    <s v="-"/>
    <s v="-"/>
    <s v="-"/>
    <s v="-"/>
    <s v="-"/>
    <s v="-"/>
    <s v="-"/>
    <n v="6"/>
    <n v="6"/>
    <s v="-"/>
    <n v="1"/>
    <n v="1"/>
    <n v="2"/>
    <n v="2"/>
    <n v="8"/>
    <n v="8"/>
  </r>
  <r>
    <x v="5"/>
    <x v="121"/>
    <d v="2026-06-05T00:00:00"/>
    <s v="2ND"/>
    <d v="1899-12-30T17:00:00"/>
    <n v="3"/>
    <x v="16"/>
    <n v="1.2500000000000001E-2"/>
    <s v="P"/>
    <s v="P"/>
    <s v="P"/>
    <s v="+"/>
    <s v="+"/>
    <n v="13.05"/>
    <s v="-"/>
    <s v="-"/>
    <s v="-"/>
    <s v="-"/>
    <s v="-"/>
    <s v="-"/>
    <s v="-"/>
    <s v="-"/>
    <s v="P"/>
    <s v="P"/>
    <s v="-"/>
    <n v="2"/>
    <n v="1"/>
    <n v="2"/>
    <n v="1"/>
    <s v="-"/>
    <s v="-"/>
    <s v="-"/>
    <s v="-"/>
    <s v="-"/>
    <s v="-"/>
    <s v="-"/>
    <n v="6"/>
    <n v="6"/>
    <s v="-"/>
    <n v="1"/>
    <n v="1"/>
    <n v="2"/>
    <n v="2"/>
    <n v="8"/>
    <n v="8"/>
  </r>
  <r>
    <x v="5"/>
    <x v="121"/>
    <d v="2026-06-05T00:00:00"/>
    <s v="2ND"/>
    <d v="1899-12-30T20:00:00"/>
    <n v="3"/>
    <x v="16"/>
    <n v="1.2500000000000001E-2"/>
    <s v="P"/>
    <s v="P"/>
    <s v="P"/>
    <s v="+"/>
    <s v="+"/>
    <n v="12.86"/>
    <s v="-"/>
    <s v="-"/>
    <s v="-"/>
    <s v="-"/>
    <s v="-"/>
    <s v="-"/>
    <s v="-"/>
    <s v="-"/>
    <s v="P"/>
    <s v="P"/>
    <s v="-"/>
    <n v="2"/>
    <n v="1"/>
    <n v="2"/>
    <n v="1"/>
    <s v="-"/>
    <s v="-"/>
    <s v="-"/>
    <s v="-"/>
    <s v="-"/>
    <s v="-"/>
    <s v="-"/>
    <n v="6"/>
    <n v="6"/>
    <s v="-"/>
    <n v="1"/>
    <n v="1"/>
    <n v="2"/>
    <n v="2"/>
    <n v="8"/>
    <n v="8"/>
  </r>
  <r>
    <x v="5"/>
    <x v="121"/>
    <d v="2026-06-05T00:00:00"/>
    <s v="2ND"/>
    <d v="1899-12-30T21:00:00"/>
    <n v="3"/>
    <x v="16"/>
    <n v="1.83E-2"/>
    <s v="P"/>
    <s v="P"/>
    <s v="P"/>
    <s v="+"/>
    <s v="+"/>
    <n v="13.34"/>
    <s v="-"/>
    <s v="-"/>
    <s v="-"/>
    <s v="-"/>
    <s v="-"/>
    <s v="-"/>
    <s v="-"/>
    <s v="-"/>
    <s v="P"/>
    <s v="P"/>
    <s v="-"/>
    <n v="2"/>
    <n v="1"/>
    <n v="2"/>
    <n v="1"/>
    <s v="-"/>
    <s v="-"/>
    <s v="-"/>
    <s v="-"/>
    <s v="-"/>
    <s v="-"/>
    <s v="-"/>
    <n v="6"/>
    <n v="6"/>
    <s v="-"/>
    <n v="1"/>
    <n v="1"/>
    <n v="2"/>
    <n v="2"/>
    <n v="8"/>
    <n v="8"/>
  </r>
  <r>
    <x v="5"/>
    <x v="121"/>
    <d v="1902-03-26T00:00:00"/>
    <s v="3RD"/>
    <d v="1899-12-30T22:00:00"/>
    <n v="2"/>
    <x v="2"/>
    <n v="1.24E-2"/>
    <s v="P"/>
    <s v="P"/>
    <s v="P"/>
    <s v="-"/>
    <s v="+"/>
    <n v="11.38"/>
    <n v="9.9"/>
    <n v="0.52"/>
    <s v="-"/>
    <s v="-"/>
    <s v="-"/>
    <n v="27.1"/>
    <s v="-"/>
    <s v="-"/>
    <s v="P"/>
    <s v="P"/>
    <s v="-"/>
    <n v="2"/>
    <n v="1"/>
    <n v="2"/>
    <n v="0"/>
    <n v="1"/>
    <n v="2"/>
    <s v="-"/>
    <s v="-"/>
    <s v="-"/>
    <n v="2"/>
    <s v="-"/>
    <n v="10"/>
    <n v="11"/>
    <s v="-"/>
    <n v="1"/>
    <n v="1"/>
    <n v="2"/>
    <n v="2"/>
    <n v="12"/>
    <n v="13"/>
  </r>
  <r>
    <x v="5"/>
    <x v="121"/>
    <d v="1899-12-30T00:00:00"/>
    <s v="3RD"/>
    <d v="1899-12-30T23:00:00"/>
    <n v="2"/>
    <x v="2"/>
    <n v="1.35E-2"/>
    <s v="P"/>
    <s v="P"/>
    <s v="P"/>
    <s v="-"/>
    <s v="+"/>
    <n v="11.21"/>
    <s v="-"/>
    <s v="-"/>
    <s v="-"/>
    <s v="-"/>
    <s v="-"/>
    <s v="-"/>
    <s v="-"/>
    <s v="-"/>
    <s v="P"/>
    <s v="P"/>
    <s v="-"/>
    <n v="2"/>
    <n v="1"/>
    <n v="2"/>
    <n v="0"/>
    <s v="-"/>
    <s v="-"/>
    <s v="-"/>
    <s v="-"/>
    <s v="-"/>
    <s v="-"/>
    <s v="-"/>
    <n v="5"/>
    <n v="6"/>
    <s v="-"/>
    <n v="1"/>
    <n v="1"/>
    <n v="2"/>
    <n v="2"/>
    <n v="7"/>
    <n v="8"/>
  </r>
  <r>
    <x v="5"/>
    <x v="121"/>
    <d v="1899-12-30T00:00:00"/>
    <s v="3RD"/>
    <d v="1899-12-31T00:00:00"/>
    <n v="2"/>
    <x v="2"/>
    <n v="1.6E-2"/>
    <s v="P"/>
    <s v="P"/>
    <s v="P"/>
    <s v="-"/>
    <s v="+"/>
    <n v="11.4"/>
    <s v="-"/>
    <s v="-"/>
    <s v="-"/>
    <s v="-"/>
    <s v="-"/>
    <s v="-"/>
    <s v="-"/>
    <s v="-"/>
    <s v="P"/>
    <s v="P"/>
    <s v="-"/>
    <n v="2"/>
    <n v="1"/>
    <n v="2"/>
    <n v="0"/>
    <s v="-"/>
    <s v="-"/>
    <s v="-"/>
    <s v="-"/>
    <s v="-"/>
    <s v="-"/>
    <s v="-"/>
    <n v="5"/>
    <n v="6"/>
    <s v="-"/>
    <n v="1"/>
    <n v="1"/>
    <n v="2"/>
    <n v="2"/>
    <n v="7"/>
    <n v="8"/>
  </r>
  <r>
    <x v="5"/>
    <x v="121"/>
    <d v="1899-12-30T00:00:00"/>
    <s v="3RD"/>
    <d v="1899-12-31T01:00:00"/>
    <n v="2"/>
    <x v="2"/>
    <n v="1.2999999999999999E-2"/>
    <s v="P"/>
    <s v="P"/>
    <s v="P"/>
    <s v="-"/>
    <s v="+"/>
    <n v="11.25"/>
    <s v="-"/>
    <s v="-"/>
    <s v="-"/>
    <s v="-"/>
    <s v="-"/>
    <s v="-"/>
    <s v="-"/>
    <s v="-"/>
    <s v="P"/>
    <s v="P"/>
    <s v="-"/>
    <n v="2"/>
    <n v="1"/>
    <n v="2"/>
    <n v="0"/>
    <s v="-"/>
    <s v="-"/>
    <s v="-"/>
    <s v="-"/>
    <s v="-"/>
    <s v="-"/>
    <s v="-"/>
    <n v="5"/>
    <n v="6"/>
    <s v="-"/>
    <n v="1"/>
    <n v="1"/>
    <n v="2"/>
    <n v="2"/>
    <n v="7"/>
    <n v="8"/>
  </r>
  <r>
    <x v="5"/>
    <x v="121"/>
    <d v="2026-06-05T00:00:00"/>
    <s v="3RD"/>
    <d v="1899-12-30T22:00:00"/>
    <n v="3"/>
    <x v="16"/>
    <n v="1.47E-2"/>
    <s v="P"/>
    <s v="P"/>
    <s v="P"/>
    <s v="+"/>
    <s v="+"/>
    <n v="13.21"/>
    <n v="13.87"/>
    <n v="0.51"/>
    <n v="67.400000000000006"/>
    <s v="-"/>
    <s v="-"/>
    <n v="39.200000000000003"/>
    <s v="-"/>
    <s v="-"/>
    <s v="P"/>
    <s v="P"/>
    <n v="1"/>
    <n v="2"/>
    <n v="1"/>
    <n v="2"/>
    <n v="1"/>
    <n v="1"/>
    <n v="2"/>
    <n v="2"/>
    <s v="-"/>
    <s v="-"/>
    <n v="2"/>
    <s v="-"/>
    <n v="13"/>
    <n v="13"/>
    <s v="-"/>
    <n v="1"/>
    <n v="1"/>
    <n v="2"/>
    <n v="2"/>
    <n v="15"/>
    <n v="15"/>
  </r>
  <r>
    <x v="5"/>
    <x v="121"/>
    <d v="2026-05-20T00:00:00"/>
    <s v="3RD"/>
    <d v="1899-12-30T23:00:00"/>
    <n v="3"/>
    <x v="1"/>
    <n v="1.2999999999999999E-2"/>
    <s v="P"/>
    <s v="P"/>
    <s v="P"/>
    <s v="+"/>
    <s v="+"/>
    <n v="12.33"/>
    <s v="-"/>
    <s v="-"/>
    <s v="-"/>
    <s v="-"/>
    <s v="-"/>
    <s v="-"/>
    <s v="-"/>
    <s v="-"/>
    <s v="P"/>
    <s v="P"/>
    <s v="65% 30% 5%"/>
    <n v="2"/>
    <n v="1"/>
    <n v="2"/>
    <n v="1"/>
    <s v="-"/>
    <s v="-"/>
    <s v="-"/>
    <s v="-"/>
    <s v="-"/>
    <s v="-"/>
    <s v="-"/>
    <n v="6"/>
    <n v="6"/>
    <s v="-"/>
    <n v="1"/>
    <n v="1"/>
    <n v="2"/>
    <n v="2"/>
    <n v="8"/>
    <n v="8"/>
  </r>
  <r>
    <x v="5"/>
    <x v="121"/>
    <d v="2026-05-20T00:00:00"/>
    <s v="3RD"/>
    <d v="1899-12-31T00:00:00"/>
    <n v="3"/>
    <x v="1"/>
    <n v="1.0500000000000001E-2"/>
    <s v="P"/>
    <s v="P"/>
    <s v="P"/>
    <s v="+"/>
    <s v="+"/>
    <n v="11.88"/>
    <s v="-"/>
    <s v="-"/>
    <s v="-"/>
    <s v="-"/>
    <s v="-"/>
    <s v="-"/>
    <s v="-"/>
    <s v="-"/>
    <s v="P"/>
    <s v="P"/>
    <s v="-"/>
    <n v="2"/>
    <n v="1"/>
    <n v="2"/>
    <n v="0"/>
    <s v="-"/>
    <s v="-"/>
    <s v="-"/>
    <s v="-"/>
    <s v="-"/>
    <s v="-"/>
    <s v="-"/>
    <n v="5"/>
    <n v="6"/>
    <s v="-"/>
    <n v="1"/>
    <n v="1"/>
    <n v="2"/>
    <n v="2"/>
    <n v="7"/>
    <n v="8"/>
  </r>
  <r>
    <x v="5"/>
    <x v="121"/>
    <d v="2026-05-20T00:00:00"/>
    <s v="3RD"/>
    <d v="1899-12-31T01:00:00"/>
    <n v="3"/>
    <x v="1"/>
    <s v="-"/>
    <s v="P"/>
    <s v="P"/>
    <s v="P"/>
    <s v="+"/>
    <s v="+"/>
    <n v="12.07"/>
    <s v="-"/>
    <s v="-"/>
    <s v="-"/>
    <s v="-"/>
    <s v="-"/>
    <s v="-"/>
    <s v="-"/>
    <s v="-"/>
    <s v="P"/>
    <s v="P"/>
    <s v="-"/>
    <s v="-"/>
    <n v="1"/>
    <n v="2"/>
    <n v="1"/>
    <s v="-"/>
    <s v="-"/>
    <s v="-"/>
    <s v="-"/>
    <s v="-"/>
    <s v="-"/>
    <s v="-"/>
    <n v="4"/>
    <n v="4"/>
    <s v="-"/>
    <n v="1"/>
    <n v="1"/>
    <n v="2"/>
    <n v="2"/>
    <n v="6"/>
    <n v="6"/>
  </r>
  <r>
    <x v="5"/>
    <x v="121"/>
    <d v="1902-03-26T00:00:00"/>
    <s v="1ST"/>
    <s v="08:00"/>
    <n v="2"/>
    <x v="4"/>
    <n v="6.7000000000000002E-3"/>
    <s v="P"/>
    <s v="P"/>
    <s v="P"/>
    <s v="-"/>
    <s v="+"/>
    <n v="11.65"/>
    <n v="9.09"/>
    <n v="0.53"/>
    <n v="55.6"/>
    <s v="-"/>
    <s v="-"/>
    <n v="24.7"/>
    <s v="-"/>
    <s v="-"/>
    <s v="P"/>
    <s v="P"/>
    <s v="-"/>
    <n v="2"/>
    <n v="1"/>
    <n v="2"/>
    <n v="1"/>
    <n v="1"/>
    <n v="2"/>
    <n v="2"/>
    <s v="-"/>
    <s v="-"/>
    <n v="2"/>
    <s v="-"/>
    <n v="13"/>
    <n v="13"/>
    <s v="-"/>
    <n v="1"/>
    <n v="1"/>
    <n v="2"/>
    <n v="2"/>
    <n v="15"/>
    <n v="15"/>
  </r>
  <r>
    <x v="5"/>
    <x v="121"/>
    <d v="1899-12-30T00:00:00"/>
    <s v="1ST"/>
    <s v="09:00"/>
    <n v="2"/>
    <x v="4"/>
    <n v="7.0000000000000001E-3"/>
    <s v="P"/>
    <s v="P"/>
    <s v="P"/>
    <s v="-"/>
    <s v="+"/>
    <n v="11.19"/>
    <s v="-"/>
    <s v="-"/>
    <s v="-"/>
    <s v="-"/>
    <s v="-"/>
    <s v="-"/>
    <s v="-"/>
    <s v="-"/>
    <s v="P"/>
    <s v="P"/>
    <s v="-"/>
    <n v="2"/>
    <n v="1"/>
    <n v="2"/>
    <n v="1"/>
    <s v="-"/>
    <s v="-"/>
    <s v="-"/>
    <s v="-"/>
    <s v="-"/>
    <s v="-"/>
    <s v="-"/>
    <n v="6"/>
    <n v="6"/>
    <s v="-"/>
    <n v="1"/>
    <n v="1"/>
    <n v="2"/>
    <n v="2"/>
    <n v="8"/>
    <n v="8"/>
  </r>
  <r>
    <x v="5"/>
    <x v="121"/>
    <d v="1899-12-30T00:00:00"/>
    <s v="1ST"/>
    <s v="10:00"/>
    <n v="2"/>
    <x v="4"/>
    <n v="7.9000000000000008E-3"/>
    <s v="P"/>
    <s v="P"/>
    <s v="P"/>
    <s v="-"/>
    <s v="+"/>
    <n v="11.28"/>
    <s v="-"/>
    <s v="-"/>
    <s v="-"/>
    <s v="-"/>
    <s v="-"/>
    <s v="-"/>
    <s v="-"/>
    <s v="-"/>
    <s v="P"/>
    <s v="P"/>
    <s v="-"/>
    <n v="2"/>
    <n v="1"/>
    <n v="2"/>
    <n v="1"/>
    <s v="-"/>
    <s v="-"/>
    <s v="-"/>
    <s v="-"/>
    <s v="-"/>
    <s v="-"/>
    <s v="-"/>
    <n v="6"/>
    <n v="6"/>
    <s v="-"/>
    <n v="1"/>
    <n v="1"/>
    <n v="2"/>
    <n v="2"/>
    <n v="8"/>
    <n v="8"/>
  </r>
  <r>
    <x v="5"/>
    <x v="121"/>
    <d v="1899-12-30T00:00:00"/>
    <s v="1ST"/>
    <s v="11:00"/>
    <n v="2"/>
    <x v="4"/>
    <n v="6.7999999999999996E-3"/>
    <s v="P"/>
    <s v="P"/>
    <s v="P"/>
    <s v="-"/>
    <s v="+"/>
    <n v="11.24"/>
    <s v="-"/>
    <s v="-"/>
    <s v="-"/>
    <s v="-"/>
    <s v="-"/>
    <s v="-"/>
    <s v="-"/>
    <s v="-"/>
    <s v="P"/>
    <s v="P"/>
    <s v="80% 20%"/>
    <n v="2"/>
    <n v="1"/>
    <n v="2"/>
    <n v="1"/>
    <s v="-"/>
    <s v="-"/>
    <s v="-"/>
    <s v="-"/>
    <s v="-"/>
    <s v="-"/>
    <s v="-"/>
    <n v="6"/>
    <n v="6"/>
    <s v="-"/>
    <n v="1"/>
    <n v="1"/>
    <n v="2"/>
    <n v="2"/>
    <n v="8"/>
    <n v="8"/>
  </r>
  <r>
    <x v="5"/>
    <x v="121"/>
    <d v="1899-12-30T00:00:00"/>
    <s v="1ST"/>
    <s v="12:00"/>
    <n v="2"/>
    <x v="2"/>
    <n v="5.1999999999999998E-3"/>
    <s v="P"/>
    <s v="P"/>
    <s v="P"/>
    <s v="-"/>
    <s v="+"/>
    <n v="10.8"/>
    <n v="9.65"/>
    <s v="-"/>
    <s v="-"/>
    <s v="-"/>
    <s v="-"/>
    <n v="26.5"/>
    <s v="-"/>
    <s v="-"/>
    <s v="P"/>
    <s v="P"/>
    <s v="-"/>
    <n v="2"/>
    <n v="1"/>
    <n v="2"/>
    <n v="0"/>
    <n v="0"/>
    <s v="-"/>
    <s v="-"/>
    <s v="-"/>
    <s v="-"/>
    <n v="0"/>
    <s v="-"/>
    <n v="5"/>
    <n v="9"/>
    <s v="-"/>
    <n v="1"/>
    <n v="1"/>
    <n v="2"/>
    <n v="2"/>
    <n v="7"/>
    <n v="11"/>
  </r>
  <r>
    <x v="5"/>
    <x v="121"/>
    <d v="2026-06-04T00:00:00"/>
    <s v="1ST"/>
    <s v="11:00"/>
    <n v="3"/>
    <x v="12"/>
    <n v="1.67E-2"/>
    <s v="P"/>
    <s v="P"/>
    <s v="P"/>
    <s v="+"/>
    <s v="+"/>
    <n v="12.54"/>
    <n v="12.71"/>
    <s v="-"/>
    <n v="65"/>
    <s v="-"/>
    <s v="-"/>
    <n v="35.6"/>
    <s v="-"/>
    <s v="-"/>
    <s v="P"/>
    <s v="P"/>
    <n v="1"/>
    <n v="2"/>
    <n v="1"/>
    <n v="2"/>
    <n v="1"/>
    <s v="-"/>
    <s v="-"/>
    <n v="2"/>
    <s v="-"/>
    <s v="-"/>
    <n v="2"/>
    <s v="-"/>
    <n v="10"/>
    <n v="10"/>
    <s v="-"/>
    <n v="1"/>
    <n v="1"/>
    <n v="2"/>
    <n v="2"/>
    <n v="12"/>
    <n v="12"/>
  </r>
  <r>
    <x v="5"/>
    <x v="121"/>
    <d v="2026-05-20T00:00:00"/>
    <s v="1ST"/>
    <s v="12:00"/>
    <s v="Retail"/>
    <x v="19"/>
    <s v="-"/>
    <s v="P"/>
    <s v="P"/>
    <s v="P"/>
    <s v="-"/>
    <s v="-"/>
    <n v="12.41"/>
    <n v="16.86"/>
    <s v="-"/>
    <s v="-"/>
    <s v="-"/>
    <s v="-"/>
    <n v="48.3"/>
    <s v="-"/>
    <s v="-"/>
    <s v="-"/>
    <s v="-"/>
    <s v="-"/>
    <s v="-"/>
    <n v="1"/>
    <n v="2"/>
    <n v="1"/>
    <n v="1"/>
    <s v="-"/>
    <s v="-"/>
    <s v="-"/>
    <s v="-"/>
    <n v="2"/>
    <s v="-"/>
    <n v="7"/>
    <n v="7"/>
    <s v="-"/>
    <s v="-"/>
    <s v="-"/>
    <n v="0"/>
    <n v="0"/>
    <n v="7"/>
    <n v="7"/>
  </r>
  <r>
    <x v="5"/>
    <x v="121"/>
    <d v="1902-03-26T00:00:00"/>
    <s v="2ND"/>
    <d v="1899-12-30T14:00:00"/>
    <n v="2"/>
    <x v="2"/>
    <n v="1.17E-2"/>
    <s v="P"/>
    <s v="P"/>
    <s v="P"/>
    <s v="-"/>
    <s v="+"/>
    <n v="10.99"/>
    <n v="9.68"/>
    <n v="0.56000000000000005"/>
    <s v="-"/>
    <s v="-"/>
    <s v="-"/>
    <n v="26.5"/>
    <s v="-"/>
    <s v="-"/>
    <s v="-"/>
    <s v="-"/>
    <s v="-"/>
    <n v="2"/>
    <n v="1"/>
    <n v="2"/>
    <n v="0"/>
    <n v="0"/>
    <n v="2"/>
    <s v="-"/>
    <s v="-"/>
    <s v="-"/>
    <n v="0"/>
    <s v="-"/>
    <n v="7"/>
    <n v="11"/>
    <s v="-"/>
    <s v="-"/>
    <s v="-"/>
    <n v="0"/>
    <n v="0"/>
    <n v="7"/>
    <n v="11"/>
  </r>
  <r>
    <x v="5"/>
    <x v="121"/>
    <d v="1899-12-30T00:00:00"/>
    <s v="2ND"/>
    <d v="1899-12-30T15:00:00"/>
    <n v="2"/>
    <x v="2"/>
    <n v="1.0800000000000001E-2"/>
    <s v="P"/>
    <s v="P"/>
    <s v="P"/>
    <s v="-"/>
    <s v="+"/>
    <n v="11.16"/>
    <s v="-"/>
    <s v="-"/>
    <s v="-"/>
    <s v="-"/>
    <s v="-"/>
    <s v="-"/>
    <s v="-"/>
    <s v="-"/>
    <s v="-"/>
    <s v="-"/>
    <s v="-"/>
    <n v="2"/>
    <n v="1"/>
    <n v="2"/>
    <n v="0"/>
    <s v="-"/>
    <s v="-"/>
    <s v="-"/>
    <s v="-"/>
    <s v="-"/>
    <s v="-"/>
    <s v="-"/>
    <n v="5"/>
    <n v="6"/>
    <s v="-"/>
    <s v="-"/>
    <s v="-"/>
    <n v="0"/>
    <n v="0"/>
    <n v="5"/>
    <n v="6"/>
  </r>
  <r>
    <x v="5"/>
    <x v="121"/>
    <d v="1899-12-30T00:00:00"/>
    <s v="2ND"/>
    <d v="1899-12-30T16:00:00"/>
    <n v="2"/>
    <x v="2"/>
    <n v="8.9999999999999993E-3"/>
    <s v="P"/>
    <s v="P"/>
    <s v="P"/>
    <s v="-"/>
    <s v="+"/>
    <n v="11.06"/>
    <s v="-"/>
    <s v="-"/>
    <s v="-"/>
    <s v="-"/>
    <s v="-"/>
    <s v="-"/>
    <s v="-"/>
    <s v="-"/>
    <s v="-"/>
    <s v="-"/>
    <s v="-"/>
    <n v="2"/>
    <n v="1"/>
    <n v="2"/>
    <n v="0"/>
    <s v="-"/>
    <s v="-"/>
    <s v="-"/>
    <s v="-"/>
    <s v="-"/>
    <s v="-"/>
    <s v="-"/>
    <n v="5"/>
    <n v="6"/>
    <s v="-"/>
    <s v="-"/>
    <s v="-"/>
    <n v="0"/>
    <n v="0"/>
    <n v="5"/>
    <n v="6"/>
  </r>
  <r>
    <x v="5"/>
    <x v="121"/>
    <d v="1899-12-30T00:00:00"/>
    <s v="2ND"/>
    <d v="1899-12-30T17:00:00"/>
    <n v="2"/>
    <x v="2"/>
    <n v="1.0999999999999999E-2"/>
    <s v="P"/>
    <s v="P"/>
    <s v="P"/>
    <s v="-"/>
    <s v="+"/>
    <n v="10.86"/>
    <s v="-"/>
    <s v="-"/>
    <s v="-"/>
    <s v="-"/>
    <s v="-"/>
    <s v="-"/>
    <s v="-"/>
    <s v="-"/>
    <s v="-"/>
    <s v="-"/>
    <s v="-"/>
    <n v="2"/>
    <n v="1"/>
    <n v="2"/>
    <n v="0"/>
    <s v="-"/>
    <s v="-"/>
    <s v="-"/>
    <s v="-"/>
    <s v="-"/>
    <s v="-"/>
    <s v="-"/>
    <n v="5"/>
    <n v="6"/>
    <s v="-"/>
    <s v="-"/>
    <s v="-"/>
    <n v="0"/>
    <n v="0"/>
    <n v="5"/>
    <n v="6"/>
  </r>
  <r>
    <x v="5"/>
    <x v="121"/>
    <d v="1899-12-30T00:00:00"/>
    <s v="2ND"/>
    <d v="1899-12-30T20:00:00"/>
    <n v="2"/>
    <x v="2"/>
    <n v="1.5100000000000001E-2"/>
    <s v="P"/>
    <s v="P"/>
    <s v="P"/>
    <s v="-"/>
    <s v="+"/>
    <n v="11.46"/>
    <s v="-"/>
    <s v="-"/>
    <s v="-"/>
    <s v="-"/>
    <s v="-"/>
    <s v="-"/>
    <s v="-"/>
    <n v="25.16"/>
    <s v="P"/>
    <s v="P"/>
    <s v="-"/>
    <n v="2"/>
    <n v="1"/>
    <n v="2"/>
    <n v="0"/>
    <s v="-"/>
    <s v="-"/>
    <s v="-"/>
    <s v="-"/>
    <s v="-"/>
    <s v="-"/>
    <s v="-"/>
    <n v="5"/>
    <n v="6"/>
    <n v="1"/>
    <n v="1"/>
    <n v="1"/>
    <n v="3"/>
    <n v="3"/>
    <n v="8"/>
    <n v="9"/>
  </r>
  <r>
    <x v="5"/>
    <x v="121"/>
    <d v="1899-12-30T00:00:00"/>
    <s v="2ND"/>
    <d v="1899-12-30T21:00:00"/>
    <n v="2"/>
    <x v="2"/>
    <s v="-"/>
    <s v="P"/>
    <s v="P"/>
    <s v="P"/>
    <s v="-"/>
    <s v="+"/>
    <s v="-"/>
    <s v="-"/>
    <s v="-"/>
    <s v="-"/>
    <s v="-"/>
    <s v="-"/>
    <s v="-"/>
    <s v="-"/>
    <s v="-"/>
    <s v="-"/>
    <s v="-"/>
    <s v="-"/>
    <s v="-"/>
    <n v="1"/>
    <n v="2"/>
    <s v="-"/>
    <s v="-"/>
    <s v="-"/>
    <s v="-"/>
    <s v="-"/>
    <s v="-"/>
    <s v="-"/>
    <s v="-"/>
    <n v="3"/>
    <n v="3"/>
    <s v="-"/>
    <s v="-"/>
    <s v="-"/>
    <n v="0"/>
    <n v="0"/>
    <n v="3"/>
    <n v="3"/>
  </r>
  <r>
    <x v="5"/>
    <x v="121"/>
    <d v="2026-06-06T00:00:00"/>
    <s v="2ND"/>
    <d v="1899-12-30T14:00:00"/>
    <n v="3"/>
    <x v="8"/>
    <n v="1.67E-2"/>
    <s v="P"/>
    <s v="P"/>
    <s v="P"/>
    <s v="+"/>
    <s v="+"/>
    <n v="12.8"/>
    <n v="12.81"/>
    <n v="0.54"/>
    <n v="64.5"/>
    <s v="-"/>
    <s v="-"/>
    <n v="35.799999999999997"/>
    <s v="-"/>
    <s v="-"/>
    <s v="-"/>
    <s v="-"/>
    <n v="1"/>
    <n v="2"/>
    <n v="1"/>
    <n v="2"/>
    <n v="1"/>
    <n v="1"/>
    <n v="2"/>
    <n v="2"/>
    <s v="-"/>
    <s v="-"/>
    <s v="-"/>
    <s v="-"/>
    <n v="11"/>
    <n v="11"/>
    <s v="-"/>
    <s v="-"/>
    <s v="-"/>
    <n v="0"/>
    <n v="0"/>
    <n v="11"/>
    <n v="11"/>
  </r>
  <r>
    <x v="5"/>
    <x v="121"/>
    <d v="2026-06-06T00:00:00"/>
    <s v="2ND"/>
    <d v="1899-12-30T15:00:00"/>
    <n v="3"/>
    <x v="8"/>
    <n v="1.8499999999999999E-2"/>
    <s v="P"/>
    <s v="P"/>
    <s v="P"/>
    <s v="+"/>
    <s v="+"/>
    <n v="12.96"/>
    <s v="-"/>
    <s v="-"/>
    <s v="-"/>
    <s v="-"/>
    <s v="-"/>
    <s v="-"/>
    <s v="-"/>
    <s v="-"/>
    <s v="-"/>
    <s v="-"/>
    <s v="-"/>
    <n v="2"/>
    <n v="1"/>
    <n v="2"/>
    <n v="1"/>
    <s v="-"/>
    <s v="-"/>
    <s v="-"/>
    <s v="-"/>
    <s v="-"/>
    <s v="-"/>
    <s v="-"/>
    <n v="6"/>
    <n v="6"/>
    <s v="-"/>
    <s v="-"/>
    <s v="-"/>
    <n v="0"/>
    <n v="0"/>
    <n v="6"/>
    <n v="6"/>
  </r>
  <r>
    <x v="5"/>
    <x v="121"/>
    <d v="1902-03-26T00:00:00"/>
    <s v="3RD"/>
    <d v="1899-12-30T22:00:00"/>
    <n v="2"/>
    <x v="2"/>
    <n v="1.1599999999999999E-2"/>
    <s v="P"/>
    <s v="P"/>
    <s v="P"/>
    <s v="-"/>
    <s v="+"/>
    <n v="11.36"/>
    <n v="9.48"/>
    <s v="-"/>
    <s v="-"/>
    <s v="-"/>
    <s v="-"/>
    <n v="25.8"/>
    <s v="-"/>
    <s v="-"/>
    <s v="P"/>
    <s v="P"/>
    <s v="-"/>
    <n v="2"/>
    <n v="1"/>
    <n v="2"/>
    <n v="0"/>
    <n v="0"/>
    <s v="-"/>
    <s v="-"/>
    <s v="-"/>
    <s v="-"/>
    <n v="0"/>
    <s v="-"/>
    <n v="5"/>
    <n v="9"/>
    <s v="-"/>
    <n v="1"/>
    <n v="1"/>
    <n v="2"/>
    <n v="2"/>
    <n v="7"/>
    <n v="11"/>
  </r>
  <r>
    <x v="5"/>
    <x v="121"/>
    <d v="1899-12-30T00:00:00"/>
    <s v="3RD"/>
    <d v="1899-12-30T23:00:00"/>
    <n v="2"/>
    <x v="2"/>
    <n v="8.3000000000000001E-3"/>
    <s v="P"/>
    <s v="P"/>
    <s v="P"/>
    <s v="-"/>
    <s v="+"/>
    <n v="11.12"/>
    <s v="-"/>
    <s v="-"/>
    <s v="-"/>
    <s v="-"/>
    <s v="-"/>
    <s v="-"/>
    <s v="-"/>
    <s v="-"/>
    <s v="P"/>
    <s v="P"/>
    <s v="-"/>
    <n v="2"/>
    <n v="1"/>
    <n v="2"/>
    <n v="0"/>
    <s v="-"/>
    <s v="-"/>
    <s v="-"/>
    <s v="-"/>
    <s v="-"/>
    <s v="-"/>
    <s v="-"/>
    <n v="5"/>
    <n v="6"/>
    <s v="-"/>
    <n v="1"/>
    <n v="1"/>
    <n v="2"/>
    <n v="2"/>
    <n v="7"/>
    <n v="8"/>
  </r>
  <r>
    <x v="5"/>
    <x v="121"/>
    <d v="1899-12-30T00:00:00"/>
    <s v="3RD"/>
    <d v="1899-12-31T00:00:00"/>
    <n v="2"/>
    <x v="2"/>
    <n v="1.0200000000000001E-2"/>
    <s v="P"/>
    <s v="P"/>
    <s v="P"/>
    <s v="-"/>
    <s v="+"/>
    <n v="11.46"/>
    <s v="-"/>
    <s v="-"/>
    <s v="-"/>
    <s v="-"/>
    <s v="-"/>
    <s v="-"/>
    <s v="-"/>
    <s v="-"/>
    <s v="P"/>
    <s v="P"/>
    <s v="-"/>
    <n v="2"/>
    <n v="1"/>
    <n v="2"/>
    <n v="0"/>
    <s v="-"/>
    <s v="-"/>
    <s v="-"/>
    <s v="-"/>
    <s v="-"/>
    <s v="-"/>
    <s v="-"/>
    <n v="5"/>
    <n v="6"/>
    <s v="-"/>
    <n v="1"/>
    <n v="1"/>
    <n v="2"/>
    <n v="2"/>
    <n v="7"/>
    <n v="8"/>
  </r>
  <r>
    <x v="5"/>
    <x v="121"/>
    <d v="1899-12-30T00:00:00"/>
    <s v="3RD"/>
    <d v="1899-12-31T01:00:00"/>
    <n v="2"/>
    <x v="2"/>
    <n v="1.1900000000000001E-2"/>
    <s v="P"/>
    <s v="P"/>
    <s v="P"/>
    <s v="-"/>
    <s v="+"/>
    <n v="11.24"/>
    <s v="-"/>
    <s v="-"/>
    <s v="-"/>
    <s v="-"/>
    <s v="-"/>
    <s v="-"/>
    <s v="-"/>
    <s v="-"/>
    <s v="P"/>
    <s v="P"/>
    <s v="-"/>
    <n v="2"/>
    <n v="1"/>
    <n v="2"/>
    <n v="0"/>
    <s v="-"/>
    <s v="-"/>
    <s v="-"/>
    <s v="-"/>
    <s v="-"/>
    <s v="-"/>
    <s v="-"/>
    <n v="5"/>
    <n v="6"/>
    <s v="-"/>
    <n v="1"/>
    <n v="1"/>
    <n v="2"/>
    <n v="2"/>
    <n v="7"/>
    <n v="8"/>
  </r>
  <r>
    <x v="5"/>
    <x v="121"/>
    <d v="1899-12-30T00:00:00"/>
    <s v="3RD"/>
    <d v="1899-12-31T03:00:00"/>
    <n v="2"/>
    <x v="2"/>
    <n v="7.4999999999999997E-3"/>
    <s v="P"/>
    <s v="P"/>
    <s v="P"/>
    <s v="-"/>
    <s v="+"/>
    <n v="11.23"/>
    <s v="-"/>
    <s v="-"/>
    <s v="-"/>
    <s v="-"/>
    <s v="-"/>
    <s v="-"/>
    <s v="-"/>
    <s v="-"/>
    <s v="P"/>
    <s v="P"/>
    <s v="-"/>
    <n v="2"/>
    <n v="1"/>
    <n v="2"/>
    <n v="0"/>
    <s v="-"/>
    <s v="-"/>
    <s v="-"/>
    <s v="-"/>
    <s v="-"/>
    <s v="-"/>
    <s v="-"/>
    <n v="5"/>
    <n v="6"/>
    <s v="-"/>
    <n v="1"/>
    <n v="1"/>
    <n v="2"/>
    <n v="2"/>
    <n v="7"/>
    <n v="8"/>
  </r>
  <r>
    <x v="5"/>
    <x v="121"/>
    <d v="1899-12-30T00:00:00"/>
    <s v="3RD"/>
    <d v="1899-12-31T04:00:00"/>
    <n v="2"/>
    <x v="2"/>
    <n v="8.0000000000000002E-3"/>
    <s v="P"/>
    <s v="P"/>
    <s v="P"/>
    <s v="-"/>
    <s v="+"/>
    <n v="11.56"/>
    <s v="-"/>
    <s v="-"/>
    <s v="-"/>
    <s v="-"/>
    <s v="-"/>
    <s v="-"/>
    <s v="-"/>
    <s v="-"/>
    <s v="P"/>
    <s v="P"/>
    <s v="-"/>
    <n v="2"/>
    <n v="1"/>
    <n v="2"/>
    <n v="0"/>
    <s v="-"/>
    <s v="-"/>
    <s v="-"/>
    <s v="-"/>
    <s v="-"/>
    <s v="-"/>
    <s v="-"/>
    <n v="5"/>
    <n v="6"/>
    <s v="-"/>
    <n v="1"/>
    <n v="1"/>
    <n v="2"/>
    <n v="2"/>
    <n v="7"/>
    <n v="8"/>
  </r>
  <r>
    <x v="5"/>
    <x v="121"/>
    <d v="1899-12-30T00:00:00"/>
    <s v="3RD"/>
    <d v="1899-12-31T05:00:00"/>
    <n v="2"/>
    <x v="2"/>
    <s v="-"/>
    <s v="P"/>
    <s v="P"/>
    <s v="P"/>
    <s v="-"/>
    <s v="+"/>
    <n v="11.27"/>
    <s v="-"/>
    <s v="-"/>
    <s v="-"/>
    <s v="-"/>
    <s v="-"/>
    <s v="-"/>
    <s v="-"/>
    <s v="-"/>
    <s v="P"/>
    <s v="P"/>
    <s v="-"/>
    <s v="-"/>
    <n v="1"/>
    <n v="2"/>
    <n v="0"/>
    <s v="-"/>
    <s v="-"/>
    <s v="-"/>
    <s v="-"/>
    <s v="-"/>
    <s v="-"/>
    <s v="-"/>
    <n v="3"/>
    <n v="4"/>
    <s v="-"/>
    <n v="1"/>
    <n v="1"/>
    <n v="2"/>
    <n v="2"/>
    <n v="5"/>
    <n v="6"/>
  </r>
  <r>
    <x v="5"/>
    <x v="121"/>
    <d v="2026-06-06T00:00:00"/>
    <s v="3RD"/>
    <d v="1899-12-30T22:00:00"/>
    <n v="3"/>
    <x v="8"/>
    <n v="8.5099999999999995E-2"/>
    <s v="P"/>
    <s v="P"/>
    <s v="P"/>
    <s v="+"/>
    <s v="+"/>
    <s v="-"/>
    <s v="-"/>
    <s v="-"/>
    <s v="-"/>
    <s v="-"/>
    <s v="-"/>
    <s v="-"/>
    <s v="-"/>
    <s v="-"/>
    <s v="-"/>
    <s v="-"/>
    <n v="1"/>
    <n v="0"/>
    <n v="1"/>
    <n v="2"/>
    <s v="-"/>
    <s v="-"/>
    <s v="-"/>
    <s v="-"/>
    <s v="-"/>
    <s v="-"/>
    <s v="-"/>
    <s v="-"/>
    <n v="3"/>
    <n v="5"/>
    <s v="-"/>
    <s v="-"/>
    <s v="-"/>
    <n v="0"/>
    <n v="0"/>
    <n v="3"/>
    <n v="5"/>
  </r>
  <r>
    <x v="5"/>
    <x v="121"/>
    <d v="2026-06-06T00:00:00"/>
    <s v="3RD"/>
    <d v="1899-12-30T23:00:00"/>
    <n v="3"/>
    <x v="8"/>
    <n v="1.61E-2"/>
    <s v="P"/>
    <s v="P"/>
    <s v="P"/>
    <s v="+"/>
    <s v="+"/>
    <n v="12.79"/>
    <n v="13.05"/>
    <s v="-"/>
    <s v="-"/>
    <s v="-"/>
    <s v="-"/>
    <n v="36.4"/>
    <s v="-"/>
    <s v="-"/>
    <s v="P"/>
    <s v="P"/>
    <s v="-"/>
    <n v="2"/>
    <n v="1"/>
    <n v="2"/>
    <n v="1"/>
    <n v="1"/>
    <s v="-"/>
    <s v="-"/>
    <s v="-"/>
    <s v="-"/>
    <s v="-"/>
    <s v="-"/>
    <n v="7"/>
    <n v="7"/>
    <s v="-"/>
    <n v="1"/>
    <n v="1"/>
    <n v="2"/>
    <n v="2"/>
    <n v="9"/>
    <n v="9"/>
  </r>
  <r>
    <x v="5"/>
    <x v="121"/>
    <d v="2026-06-06T00:00:00"/>
    <s v="3RD"/>
    <d v="1899-12-31T00:00:00"/>
    <n v="3"/>
    <x v="8"/>
    <n v="1.54E-2"/>
    <s v="P"/>
    <s v="P"/>
    <s v="P"/>
    <s v="+"/>
    <s v="+"/>
    <n v="13.01"/>
    <s v="-"/>
    <s v="-"/>
    <s v="-"/>
    <s v="-"/>
    <s v="-"/>
    <s v="-"/>
    <s v="-"/>
    <s v="-"/>
    <s v="P"/>
    <s v="P"/>
    <s v="-"/>
    <n v="2"/>
    <n v="1"/>
    <n v="2"/>
    <n v="1"/>
    <s v="-"/>
    <s v="-"/>
    <s v="-"/>
    <s v="-"/>
    <s v="-"/>
    <s v="-"/>
    <s v="-"/>
    <n v="6"/>
    <n v="6"/>
    <s v="-"/>
    <n v="1"/>
    <n v="1"/>
    <n v="2"/>
    <n v="2"/>
    <n v="8"/>
    <n v="8"/>
  </r>
  <r>
    <x v="5"/>
    <x v="121"/>
    <d v="2026-06-06T00:00:00"/>
    <s v="3RD"/>
    <d v="1899-12-31T01:00:00"/>
    <n v="3"/>
    <x v="8"/>
    <n v="1.8200000000000001E-2"/>
    <s v="P"/>
    <s v="P"/>
    <s v="P"/>
    <s v="+"/>
    <s v="+"/>
    <n v="12.46"/>
    <s v="-"/>
    <s v="-"/>
    <s v="-"/>
    <s v="-"/>
    <s v="-"/>
    <s v="-"/>
    <s v="-"/>
    <s v="-"/>
    <s v="P"/>
    <s v="P"/>
    <s v="-"/>
    <n v="2"/>
    <n v="1"/>
    <n v="2"/>
    <n v="1"/>
    <s v="-"/>
    <s v="-"/>
    <s v="-"/>
    <s v="-"/>
    <s v="-"/>
    <s v="-"/>
    <s v="-"/>
    <n v="6"/>
    <n v="6"/>
    <s v="-"/>
    <n v="1"/>
    <n v="1"/>
    <n v="2"/>
    <n v="2"/>
    <n v="8"/>
    <n v="8"/>
  </r>
  <r>
    <x v="5"/>
    <x v="121"/>
    <d v="2026-06-06T00:00:00"/>
    <s v="3RD"/>
    <d v="1899-12-31T02:00:00"/>
    <n v="3"/>
    <x v="8"/>
    <n v="1.5699999999999999E-2"/>
    <s v="P"/>
    <s v="P"/>
    <s v="P"/>
    <s v="+"/>
    <s v="+"/>
    <n v="12.24"/>
    <s v="-"/>
    <s v="-"/>
    <s v="-"/>
    <s v="-"/>
    <s v="-"/>
    <s v="-"/>
    <s v="-"/>
    <s v="-"/>
    <s v="P"/>
    <s v="P"/>
    <s v="-"/>
    <n v="2"/>
    <n v="1"/>
    <n v="2"/>
    <n v="1"/>
    <s v="-"/>
    <s v="-"/>
    <s v="-"/>
    <s v="-"/>
    <s v="-"/>
    <s v="-"/>
    <s v="-"/>
    <n v="6"/>
    <n v="6"/>
    <s v="-"/>
    <n v="1"/>
    <n v="1"/>
    <n v="2"/>
    <n v="2"/>
    <n v="8"/>
    <n v="8"/>
  </r>
  <r>
    <x v="5"/>
    <x v="121"/>
    <d v="2026-06-06T00:00:00"/>
    <s v="3RD"/>
    <d v="1899-12-31T03:00:00"/>
    <n v="3"/>
    <x v="8"/>
    <n v="1.7899999999999999E-2"/>
    <s v="P"/>
    <s v="P"/>
    <s v="P"/>
    <s v="+"/>
    <s v="+"/>
    <n v="12.02"/>
    <s v="-"/>
    <s v="-"/>
    <s v="-"/>
    <s v="-"/>
    <s v="-"/>
    <s v="-"/>
    <s v="-"/>
    <s v="-"/>
    <s v="P"/>
    <s v="P"/>
    <s v="-"/>
    <n v="2"/>
    <n v="1"/>
    <n v="2"/>
    <n v="1"/>
    <s v="-"/>
    <s v="-"/>
    <s v="-"/>
    <s v="-"/>
    <s v="-"/>
    <s v="-"/>
    <s v="-"/>
    <n v="6"/>
    <n v="6"/>
    <s v="-"/>
    <n v="1"/>
    <n v="1"/>
    <n v="2"/>
    <n v="2"/>
    <n v="8"/>
    <n v="8"/>
  </r>
  <r>
    <x v="5"/>
    <x v="121"/>
    <d v="2026-06-06T00:00:00"/>
    <s v="3RD"/>
    <d v="1899-12-31T04:00:00"/>
    <n v="3"/>
    <x v="8"/>
    <n v="1.8200000000000001E-2"/>
    <s v="P"/>
    <s v="P"/>
    <s v="P"/>
    <s v="+"/>
    <s v="+"/>
    <n v="12.79"/>
    <s v="-"/>
    <s v="-"/>
    <s v="-"/>
    <s v="-"/>
    <s v="-"/>
    <s v="-"/>
    <s v="-"/>
    <s v="-"/>
    <s v="P"/>
    <s v="P"/>
    <s v="-"/>
    <n v="2"/>
    <n v="1"/>
    <n v="2"/>
    <n v="1"/>
    <s v="-"/>
    <s v="-"/>
    <s v="-"/>
    <s v="-"/>
    <s v="-"/>
    <s v="-"/>
    <s v="-"/>
    <n v="6"/>
    <n v="6"/>
    <s v="-"/>
    <n v="1"/>
    <n v="1"/>
    <n v="2"/>
    <n v="2"/>
    <n v="8"/>
    <n v="8"/>
  </r>
  <r>
    <x v="5"/>
    <x v="121"/>
    <d v="2026-06-06T00:00:00"/>
    <s v="3RD"/>
    <d v="1899-12-31T05:00:00"/>
    <n v="3"/>
    <x v="8"/>
    <s v="-"/>
    <s v="P"/>
    <s v="P"/>
    <s v="P"/>
    <s v="+"/>
    <s v="+"/>
    <n v="11.68"/>
    <s v="-"/>
    <s v="-"/>
    <s v="-"/>
    <s v="-"/>
    <s v="-"/>
    <s v="-"/>
    <s v="-"/>
    <s v="-"/>
    <s v="P"/>
    <s v="P"/>
    <s v="-"/>
    <s v="-"/>
    <n v="1"/>
    <n v="2"/>
    <n v="1"/>
    <s v="-"/>
    <s v="-"/>
    <s v="-"/>
    <s v="-"/>
    <s v="-"/>
    <s v="-"/>
    <s v="-"/>
    <n v="4"/>
    <n v="4"/>
    <s v="-"/>
    <n v="1"/>
    <n v="1"/>
    <n v="2"/>
    <n v="2"/>
    <n v="6"/>
    <n v="6"/>
  </r>
  <r>
    <x v="5"/>
    <x v="122"/>
    <d v="2026-06-02T00:00:00"/>
    <s v="1ST"/>
    <s v="08:00"/>
    <n v="1"/>
    <x v="22"/>
    <n v="3.3E-3"/>
    <s v="P"/>
    <s v="P"/>
    <s v="P"/>
    <s v="-"/>
    <s v="-"/>
    <n v="11.77"/>
    <n v="8.85"/>
    <n v="0.54"/>
    <n v="55"/>
    <s v="-"/>
    <s v="-"/>
    <n v="23.9"/>
    <s v="-"/>
    <s v="-"/>
    <s v="P"/>
    <s v="P"/>
    <s v="-"/>
    <n v="2"/>
    <n v="1"/>
    <n v="2"/>
    <n v="1"/>
    <n v="1"/>
    <n v="2"/>
    <n v="2"/>
    <s v="-"/>
    <s v="-"/>
    <n v="2"/>
    <s v="-"/>
    <n v="13"/>
    <n v="13"/>
    <s v="-"/>
    <n v="1"/>
    <n v="1"/>
    <n v="2"/>
    <n v="2"/>
    <n v="15"/>
    <n v="15"/>
  </r>
  <r>
    <x v="5"/>
    <x v="122"/>
    <d v="2026-06-02T00:00:00"/>
    <s v="1ST"/>
    <s v="09:00"/>
    <n v="1"/>
    <x v="22"/>
    <n v="4.0000000000000001E-3"/>
    <s v="P"/>
    <s v="P"/>
    <s v="P"/>
    <s v="-"/>
    <s v="-"/>
    <n v="11.94"/>
    <s v="-"/>
    <s v="-"/>
    <s v="-"/>
    <s v="-"/>
    <s v="-"/>
    <s v="-"/>
    <s v="-"/>
    <s v="-"/>
    <s v="P"/>
    <s v="P"/>
    <s v="-"/>
    <n v="2"/>
    <n v="1"/>
    <n v="2"/>
    <n v="1"/>
    <s v="-"/>
    <s v="-"/>
    <s v="-"/>
    <s v="-"/>
    <s v="-"/>
    <s v="-"/>
    <s v="-"/>
    <n v="6"/>
    <n v="6"/>
    <s v="-"/>
    <n v="1"/>
    <n v="1"/>
    <n v="2"/>
    <n v="2"/>
    <n v="8"/>
    <n v="8"/>
  </r>
  <r>
    <x v="5"/>
    <x v="122"/>
    <d v="1902-03-21T00:00:00"/>
    <s v="1ST"/>
    <s v="06:00"/>
    <n v="2"/>
    <x v="2"/>
    <n v="6.1000000000000004E-3"/>
    <s v="P"/>
    <s v="P"/>
    <s v="P"/>
    <s v="-"/>
    <s v="+"/>
    <n v="10.97"/>
    <n v="9.8000000000000007"/>
    <n v="0.62"/>
    <n v="57.9"/>
    <s v="-"/>
    <s v="-"/>
    <n v="26.9"/>
    <s v="-"/>
    <s v="-"/>
    <s v="P"/>
    <s v="P"/>
    <s v="-"/>
    <n v="2"/>
    <n v="1"/>
    <n v="2"/>
    <n v="0"/>
    <n v="1"/>
    <n v="0"/>
    <n v="0"/>
    <s v="-"/>
    <s v="-"/>
    <n v="0"/>
    <s v="-"/>
    <n v="6"/>
    <n v="13"/>
    <s v="-"/>
    <n v="1"/>
    <n v="1"/>
    <n v="2"/>
    <n v="2"/>
    <n v="8"/>
    <n v="15"/>
  </r>
  <r>
    <x v="5"/>
    <x v="122"/>
    <d v="1899-12-30T00:00:00"/>
    <s v="1ST"/>
    <s v="07:00"/>
    <n v="2"/>
    <x v="2"/>
    <n v="6.4999999999999997E-3"/>
    <s v="P"/>
    <s v="P"/>
    <s v="P"/>
    <s v="-"/>
    <s v="+"/>
    <n v="11.22"/>
    <s v="-"/>
    <s v="-"/>
    <s v="-"/>
    <s v="-"/>
    <s v="-"/>
    <s v="-"/>
    <s v="-"/>
    <s v="-"/>
    <s v="P"/>
    <s v="P"/>
    <s v="-"/>
    <n v="2"/>
    <n v="1"/>
    <n v="2"/>
    <n v="0"/>
    <s v="-"/>
    <s v="-"/>
    <s v="-"/>
    <s v="-"/>
    <s v="-"/>
    <s v="-"/>
    <s v="-"/>
    <n v="5"/>
    <n v="6"/>
    <s v="-"/>
    <n v="1"/>
    <n v="1"/>
    <n v="2"/>
    <n v="2"/>
    <n v="7"/>
    <n v="8"/>
  </r>
  <r>
    <x v="5"/>
    <x v="122"/>
    <d v="1899-12-30T00:00:00"/>
    <s v="1ST"/>
    <s v="08:00"/>
    <n v="2"/>
    <x v="2"/>
    <n v="6.7000000000000002E-3"/>
    <s v="P"/>
    <s v="P"/>
    <s v="P"/>
    <s v="-"/>
    <s v="+"/>
    <n v="11.67"/>
    <s v="-"/>
    <s v="-"/>
    <s v="-"/>
    <s v="-"/>
    <s v="-"/>
    <s v="-"/>
    <s v="-"/>
    <s v="-"/>
    <s v="P"/>
    <s v="P"/>
    <s v="-"/>
    <n v="2"/>
    <n v="1"/>
    <n v="2"/>
    <n v="0"/>
    <s v="-"/>
    <s v="-"/>
    <s v="-"/>
    <s v="-"/>
    <s v="-"/>
    <s v="-"/>
    <s v="-"/>
    <n v="5"/>
    <n v="6"/>
    <s v="-"/>
    <n v="1"/>
    <n v="1"/>
    <n v="2"/>
    <n v="2"/>
    <n v="7"/>
    <n v="8"/>
  </r>
  <r>
    <x v="5"/>
    <x v="122"/>
    <d v="1899-12-30T00:00:00"/>
    <s v="1ST"/>
    <s v="09:00"/>
    <n v="2"/>
    <x v="2"/>
    <n v="6.8999999999999999E-3"/>
    <s v="P"/>
    <s v="P"/>
    <s v="P"/>
    <s v="-"/>
    <s v="+"/>
    <n v="11.48"/>
    <s v="-"/>
    <s v="-"/>
    <s v="-"/>
    <s v="-"/>
    <s v="-"/>
    <s v="-"/>
    <s v="-"/>
    <s v="-"/>
    <s v="P"/>
    <s v="P"/>
    <s v="-"/>
    <n v="2"/>
    <n v="1"/>
    <n v="2"/>
    <n v="0"/>
    <s v="-"/>
    <s v="-"/>
    <s v="-"/>
    <s v="-"/>
    <s v="-"/>
    <s v="-"/>
    <s v="-"/>
    <n v="5"/>
    <n v="6"/>
    <s v="-"/>
    <n v="1"/>
    <n v="1"/>
    <n v="2"/>
    <n v="2"/>
    <n v="7"/>
    <n v="8"/>
  </r>
  <r>
    <x v="5"/>
    <x v="122"/>
    <d v="1899-12-30T00:00:00"/>
    <s v="1ST"/>
    <s v="10:00"/>
    <n v="2"/>
    <x v="2"/>
    <n v="7.4999999999999997E-3"/>
    <s v="P"/>
    <s v="P"/>
    <s v="P"/>
    <s v="-"/>
    <s v="+"/>
    <n v="11.15"/>
    <s v="-"/>
    <s v="-"/>
    <s v="-"/>
    <s v="-"/>
    <s v="-"/>
    <s v="-"/>
    <s v="-"/>
    <s v="-"/>
    <s v="P"/>
    <s v="P"/>
    <s v="80% 20%"/>
    <n v="2"/>
    <n v="1"/>
    <n v="2"/>
    <n v="0"/>
    <s v="-"/>
    <s v="-"/>
    <s v="-"/>
    <s v="-"/>
    <s v="-"/>
    <s v="-"/>
    <s v="-"/>
    <n v="5"/>
    <n v="6"/>
    <s v="-"/>
    <n v="1"/>
    <n v="1"/>
    <n v="2"/>
    <n v="2"/>
    <n v="7"/>
    <n v="8"/>
  </r>
  <r>
    <x v="5"/>
    <x v="122"/>
    <d v="1902-03-25T00:00:00"/>
    <s v="1ST"/>
    <s v="11:00"/>
    <n v="2"/>
    <x v="20"/>
    <n v="1.0800000000000001E-2"/>
    <s v="P"/>
    <s v="P"/>
    <s v="P"/>
    <s v="-"/>
    <s v="-"/>
    <n v="12.52"/>
    <n v="12.27"/>
    <s v="-"/>
    <s v="-"/>
    <s v="-"/>
    <s v="-"/>
    <n v="34.299999999999997"/>
    <s v="-"/>
    <s v="-"/>
    <s v="P"/>
    <s v="P"/>
    <s v="-"/>
    <n v="2"/>
    <n v="1"/>
    <n v="2"/>
    <n v="1"/>
    <n v="1"/>
    <s v="-"/>
    <s v="-"/>
    <s v="-"/>
    <s v="-"/>
    <n v="2"/>
    <s v="-"/>
    <n v="9"/>
    <n v="9"/>
    <s v="-"/>
    <n v="1"/>
    <n v="1"/>
    <n v="2"/>
    <n v="2"/>
    <n v="11"/>
    <n v="11"/>
  </r>
  <r>
    <x v="5"/>
    <x v="122"/>
    <d v="1899-12-30T00:00:00"/>
    <s v="1ST"/>
    <s v="12:00"/>
    <n v="2"/>
    <x v="20"/>
    <n v="8.8999999999999999E-3"/>
    <s v="P"/>
    <s v="P"/>
    <s v="P"/>
    <s v="-"/>
    <s v="+"/>
    <n v="12.61"/>
    <s v="-"/>
    <s v="-"/>
    <s v="-"/>
    <s v="-"/>
    <s v="-"/>
    <s v="-"/>
    <s v="-"/>
    <s v="-"/>
    <s v="P"/>
    <s v="P"/>
    <s v="-"/>
    <n v="2"/>
    <n v="1"/>
    <n v="2"/>
    <n v="1"/>
    <s v="-"/>
    <s v="-"/>
    <s v="-"/>
    <s v="-"/>
    <s v="-"/>
    <s v="-"/>
    <s v="-"/>
    <n v="6"/>
    <n v="6"/>
    <s v="-"/>
    <n v="1"/>
    <n v="1"/>
    <n v="2"/>
    <n v="2"/>
    <n v="8"/>
    <n v="8"/>
  </r>
  <r>
    <x v="5"/>
    <x v="122"/>
    <d v="2026-06-06T00:00:00"/>
    <s v="1ST"/>
    <s v="06:00"/>
    <n v="3"/>
    <x v="8"/>
    <n v="4.7000000000000002E-3"/>
    <s v="P"/>
    <s v="P"/>
    <s v="P"/>
    <s v="+"/>
    <s v="+"/>
    <n v="11.92"/>
    <n v="12.98"/>
    <s v="-"/>
    <s v="-"/>
    <s v="-"/>
    <s v="-"/>
    <n v="36.200000000000003"/>
    <s v="-"/>
    <s v="-"/>
    <s v="P"/>
    <s v="P"/>
    <n v="1"/>
    <n v="2"/>
    <n v="1"/>
    <n v="2"/>
    <n v="1"/>
    <n v="1"/>
    <s v="-"/>
    <s v="-"/>
    <s v="-"/>
    <s v="-"/>
    <s v="-"/>
    <s v="-"/>
    <n v="7"/>
    <n v="7"/>
    <s v="-"/>
    <n v="1"/>
    <n v="1"/>
    <n v="2"/>
    <n v="2"/>
    <n v="9"/>
    <n v="9"/>
  </r>
  <r>
    <x v="5"/>
    <x v="122"/>
    <d v="2026-06-06T00:00:00"/>
    <s v="1ST"/>
    <s v="07:00"/>
    <n v="3"/>
    <x v="8"/>
    <n v="8.8000000000000005E-3"/>
    <s v="P"/>
    <s v="P"/>
    <s v="P"/>
    <s v="+"/>
    <s v="+"/>
    <n v="12.02"/>
    <s v="-"/>
    <s v="-"/>
    <s v="-"/>
    <s v="-"/>
    <s v="-"/>
    <s v="-"/>
    <s v="-"/>
    <s v="-"/>
    <s v="P"/>
    <s v="P"/>
    <s v="-"/>
    <n v="2"/>
    <n v="1"/>
    <n v="2"/>
    <n v="1"/>
    <s v="-"/>
    <s v="-"/>
    <s v="-"/>
    <s v="-"/>
    <s v="-"/>
    <s v="-"/>
    <s v="-"/>
    <n v="6"/>
    <n v="6"/>
    <s v="-"/>
    <n v="1"/>
    <n v="1"/>
    <n v="2"/>
    <n v="2"/>
    <n v="8"/>
    <n v="8"/>
  </r>
  <r>
    <x v="5"/>
    <x v="122"/>
    <d v="2026-06-06T00:00:00"/>
    <s v="1ST"/>
    <s v="08:00"/>
    <n v="3"/>
    <x v="8"/>
    <n v="1.0699999999999999E-2"/>
    <s v="P"/>
    <s v="P"/>
    <s v="P"/>
    <s v="+"/>
    <s v="+"/>
    <n v="12.68"/>
    <s v="-"/>
    <s v="-"/>
    <s v="-"/>
    <s v="-"/>
    <s v="-"/>
    <s v="-"/>
    <s v="-"/>
    <s v="-"/>
    <s v="P"/>
    <s v="P"/>
    <s v="-"/>
    <n v="2"/>
    <n v="1"/>
    <n v="2"/>
    <n v="1"/>
    <s v="-"/>
    <s v="-"/>
    <s v="-"/>
    <s v="-"/>
    <s v="-"/>
    <s v="-"/>
    <s v="-"/>
    <n v="6"/>
    <n v="6"/>
    <s v="-"/>
    <n v="1"/>
    <n v="1"/>
    <n v="2"/>
    <n v="2"/>
    <n v="8"/>
    <n v="8"/>
  </r>
  <r>
    <x v="5"/>
    <x v="122"/>
    <d v="2026-06-06T00:00:00"/>
    <s v="1ST"/>
    <s v="09:00"/>
    <n v="3"/>
    <x v="1"/>
    <s v="-"/>
    <s v="P"/>
    <s v="P"/>
    <s v="P"/>
    <s v="+"/>
    <s v="+"/>
    <n v="13"/>
    <n v="12.89"/>
    <s v="-"/>
    <n v="66"/>
    <s v="-"/>
    <s v="-"/>
    <n v="36.200000000000003"/>
    <s v="-"/>
    <s v="-"/>
    <s v="P"/>
    <s v="P"/>
    <n v="1"/>
    <s v="-"/>
    <n v="1"/>
    <n v="2"/>
    <n v="1"/>
    <n v="1"/>
    <s v="-"/>
    <n v="2"/>
    <s v="-"/>
    <s v="-"/>
    <n v="2"/>
    <s v="-"/>
    <n v="9"/>
    <n v="9"/>
    <s v="-"/>
    <n v="1"/>
    <n v="1"/>
    <n v="2"/>
    <n v="2"/>
    <n v="11"/>
    <n v="11"/>
  </r>
  <r>
    <x v="5"/>
    <x v="122"/>
    <d v="2026-06-06T00:00:00"/>
    <s v="1ST"/>
    <s v="11:00"/>
    <n v="3"/>
    <x v="1"/>
    <n v="8.6E-3"/>
    <s v="P"/>
    <s v="P"/>
    <s v="P"/>
    <s v="+"/>
    <s v="+"/>
    <n v="12.34"/>
    <s v="-"/>
    <s v="-"/>
    <s v="-"/>
    <s v="-"/>
    <s v="-"/>
    <s v="-"/>
    <s v="-"/>
    <s v="-"/>
    <s v="P"/>
    <s v="P"/>
    <s v="-"/>
    <n v="2"/>
    <n v="1"/>
    <n v="2"/>
    <n v="1"/>
    <s v="-"/>
    <s v="-"/>
    <s v="-"/>
    <s v="-"/>
    <s v="-"/>
    <s v="-"/>
    <s v="-"/>
    <n v="6"/>
    <n v="6"/>
    <s v="-"/>
    <n v="1"/>
    <n v="1"/>
    <n v="2"/>
    <n v="2"/>
    <n v="8"/>
    <n v="8"/>
  </r>
  <r>
    <x v="5"/>
    <x v="122"/>
    <d v="2026-06-09T00:00:00"/>
    <s v="1ST"/>
    <s v="12:00"/>
    <s v="Retail"/>
    <x v="13"/>
    <s v="-"/>
    <s v="-"/>
    <s v="-"/>
    <s v="-"/>
    <s v="-"/>
    <s v="-"/>
    <n v="11.87"/>
    <s v="-"/>
    <s v="-"/>
    <s v="-"/>
    <s v="-"/>
    <s v="-"/>
    <s v="-"/>
    <s v="-"/>
    <s v="-"/>
    <s v="-"/>
    <s v="-"/>
    <s v="-"/>
    <s v="-"/>
    <s v="-"/>
    <s v="-"/>
    <n v="1"/>
    <s v="-"/>
    <s v="-"/>
    <s v="-"/>
    <s v="-"/>
    <s v="-"/>
    <s v="-"/>
    <s v="-"/>
    <n v="1"/>
    <n v="1"/>
    <s v="-"/>
    <s v="-"/>
    <s v="-"/>
    <n v="0"/>
    <n v="0"/>
    <n v="1"/>
    <n v="1"/>
  </r>
  <r>
    <x v="5"/>
    <x v="122"/>
    <s v="-"/>
    <s v="2ND"/>
    <d v="1899-12-30T14:00:00"/>
    <n v="1"/>
    <x v="22"/>
    <n v="3.5000000000000001E-3"/>
    <s v="P"/>
    <s v="P"/>
    <s v="P"/>
    <s v="-"/>
    <s v="-"/>
    <n v="11.25"/>
    <n v="8.85"/>
    <n v="0.54"/>
    <n v="55"/>
    <s v="-"/>
    <s v="-"/>
    <n v="23.2"/>
    <s v="-"/>
    <s v="-"/>
    <s v="-"/>
    <s v="-"/>
    <n v="1"/>
    <n v="2"/>
    <n v="1"/>
    <n v="2"/>
    <n v="1"/>
    <n v="1"/>
    <n v="2"/>
    <n v="2"/>
    <s v="-"/>
    <s v="-"/>
    <n v="2"/>
    <s v="-"/>
    <n v="13"/>
    <n v="13"/>
    <s v="-"/>
    <s v="-"/>
    <s v="-"/>
    <n v="0"/>
    <n v="0"/>
    <n v="13"/>
    <n v="13"/>
  </r>
  <r>
    <x v="5"/>
    <x v="122"/>
    <d v="2026-06-02T00:00:00"/>
    <s v="2ND"/>
    <d v="1899-12-30T15:00:00"/>
    <n v="1"/>
    <x v="22"/>
    <n v="5.1999999999999998E-3"/>
    <s v="P"/>
    <s v="P"/>
    <s v="P"/>
    <s v="-"/>
    <s v="-"/>
    <n v="11.28"/>
    <s v="-"/>
    <s v="-"/>
    <s v="-"/>
    <s v="-"/>
    <s v="-"/>
    <s v="-"/>
    <s v="-"/>
    <s v="-"/>
    <s v="-"/>
    <s v="-"/>
    <s v="-"/>
    <n v="2"/>
    <n v="1"/>
    <n v="2"/>
    <n v="1"/>
    <s v="-"/>
    <s v="-"/>
    <s v="-"/>
    <s v="-"/>
    <s v="-"/>
    <s v="-"/>
    <s v="-"/>
    <n v="6"/>
    <n v="6"/>
    <s v="-"/>
    <s v="-"/>
    <s v="-"/>
    <n v="0"/>
    <n v="0"/>
    <n v="6"/>
    <n v="6"/>
  </r>
  <r>
    <x v="5"/>
    <x v="122"/>
    <d v="1902-03-25T00:00:00"/>
    <s v="2ND"/>
    <d v="1899-12-30T14:00:00"/>
    <n v="2"/>
    <x v="20"/>
    <n v="1.7399999999999999E-2"/>
    <s v="P"/>
    <s v="P"/>
    <s v="P"/>
    <s v="-"/>
    <s v="-"/>
    <n v="12.57"/>
    <n v="12.77"/>
    <n v="0.54"/>
    <n v="66.400000000000006"/>
    <s v="-"/>
    <s v="-"/>
    <n v="34.299999999999997"/>
    <s v="-"/>
    <s v="-"/>
    <s v="-"/>
    <s v="-"/>
    <s v="-"/>
    <n v="2"/>
    <n v="1"/>
    <n v="2"/>
    <n v="1"/>
    <n v="1"/>
    <n v="2"/>
    <n v="2"/>
    <s v="-"/>
    <s v="-"/>
    <n v="2"/>
    <s v="-"/>
    <n v="13"/>
    <n v="13"/>
    <s v="-"/>
    <s v="-"/>
    <s v="-"/>
    <n v="0"/>
    <n v="0"/>
    <n v="13"/>
    <n v="13"/>
  </r>
  <r>
    <x v="5"/>
    <x v="122"/>
    <d v="1899-12-30T00:00:00"/>
    <s v="2ND"/>
    <d v="1899-12-30T15:00:00"/>
    <n v="2"/>
    <x v="20"/>
    <n v="1.3599999999999999E-2"/>
    <s v="P"/>
    <s v="P"/>
    <s v="P"/>
    <s v="-"/>
    <s v="-"/>
    <n v="12.22"/>
    <s v="-"/>
    <s v="-"/>
    <s v="-"/>
    <s v="-"/>
    <s v="-"/>
    <s v="-"/>
    <s v="-"/>
    <s v="-"/>
    <s v="-"/>
    <s v="-"/>
    <s v="-"/>
    <n v="2"/>
    <n v="1"/>
    <n v="2"/>
    <n v="1"/>
    <s v="-"/>
    <s v="-"/>
    <s v="-"/>
    <s v="-"/>
    <s v="-"/>
    <s v="-"/>
    <s v="-"/>
    <n v="6"/>
    <n v="6"/>
    <s v="-"/>
    <s v="-"/>
    <s v="-"/>
    <n v="0"/>
    <n v="0"/>
    <n v="6"/>
    <n v="6"/>
  </r>
  <r>
    <x v="5"/>
    <x v="122"/>
    <d v="1899-12-30T00:00:00"/>
    <s v="2ND"/>
    <d v="1899-12-30T16:00:00"/>
    <n v="2"/>
    <x v="20"/>
    <n v="1.47E-2"/>
    <s v="P"/>
    <s v="P"/>
    <s v="P"/>
    <s v="-"/>
    <s v="-"/>
    <n v="12.79"/>
    <s v="-"/>
    <s v="-"/>
    <s v="-"/>
    <s v="-"/>
    <s v="-"/>
    <s v="-"/>
    <s v="-"/>
    <s v="-"/>
    <s v="-"/>
    <s v="-"/>
    <s v="-"/>
    <n v="2"/>
    <n v="1"/>
    <n v="2"/>
    <n v="1"/>
    <s v="-"/>
    <s v="-"/>
    <s v="-"/>
    <s v="-"/>
    <s v="-"/>
    <s v="-"/>
    <s v="-"/>
    <n v="6"/>
    <n v="6"/>
    <s v="-"/>
    <s v="-"/>
    <s v="-"/>
    <n v="0"/>
    <n v="0"/>
    <n v="6"/>
    <n v="6"/>
  </r>
  <r>
    <x v="5"/>
    <x v="122"/>
    <d v="1899-12-30T00:00:00"/>
    <s v="2ND"/>
    <d v="1899-12-30T19:00:00"/>
    <n v="2"/>
    <x v="20"/>
    <n v="1.9400000000000001E-2"/>
    <s v="P"/>
    <s v="P"/>
    <s v="P"/>
    <s v="-"/>
    <s v="-"/>
    <n v="12.18"/>
    <s v="-"/>
    <s v="-"/>
    <s v="-"/>
    <s v="-"/>
    <s v="-"/>
    <s v="-"/>
    <s v="-"/>
    <s v="-"/>
    <s v="-"/>
    <s v="-"/>
    <s v="-"/>
    <n v="2"/>
    <n v="1"/>
    <n v="2"/>
    <n v="1"/>
    <s v="-"/>
    <s v="-"/>
    <s v="-"/>
    <s v="-"/>
    <s v="-"/>
    <s v="-"/>
    <s v="-"/>
    <n v="6"/>
    <n v="6"/>
    <s v="-"/>
    <s v="-"/>
    <s v="-"/>
    <n v="0"/>
    <n v="0"/>
    <n v="6"/>
    <n v="6"/>
  </r>
  <r>
    <x v="5"/>
    <x v="122"/>
    <d v="1899-12-30T00:00:00"/>
    <s v="2ND"/>
    <d v="1899-12-30T20:00:00"/>
    <n v="2"/>
    <x v="20"/>
    <n v="1.8800000000000001E-2"/>
    <s v="P"/>
    <s v="P"/>
    <s v="P"/>
    <s v="-"/>
    <s v="-"/>
    <s v="-"/>
    <s v="-"/>
    <s v="-"/>
    <s v="-"/>
    <s v="-"/>
    <s v="-"/>
    <s v="-"/>
    <s v="-"/>
    <s v="-"/>
    <s v="-"/>
    <s v="-"/>
    <s v="-"/>
    <n v="2"/>
    <n v="1"/>
    <n v="2"/>
    <s v="-"/>
    <s v="-"/>
    <s v="-"/>
    <s v="-"/>
    <s v="-"/>
    <s v="-"/>
    <s v="-"/>
    <s v="-"/>
    <n v="5"/>
    <n v="5"/>
    <s v="-"/>
    <s v="-"/>
    <s v="-"/>
    <n v="0"/>
    <n v="0"/>
    <n v="5"/>
    <n v="5"/>
  </r>
  <r>
    <x v="5"/>
    <x v="122"/>
    <d v="1899-12-30T00:00:00"/>
    <s v="2ND"/>
    <d v="1899-12-30T21:00:00"/>
    <n v="2"/>
    <x v="20"/>
    <s v="-"/>
    <s v="P"/>
    <s v="P"/>
    <s v="P"/>
    <s v="-"/>
    <s v="-"/>
    <s v="-"/>
    <s v="-"/>
    <s v="-"/>
    <s v="-"/>
    <s v="-"/>
    <s v="-"/>
    <s v="-"/>
    <s v="-"/>
    <s v="-"/>
    <s v="-"/>
    <s v="-"/>
    <s v="-"/>
    <s v="-"/>
    <n v="1"/>
    <n v="2"/>
    <s v="-"/>
    <s v="-"/>
    <s v="-"/>
    <s v="-"/>
    <s v="-"/>
    <s v="-"/>
    <s v="-"/>
    <s v="-"/>
    <n v="3"/>
    <n v="3"/>
    <s v="-"/>
    <s v="-"/>
    <s v="-"/>
    <n v="0"/>
    <n v="0"/>
    <n v="3"/>
    <n v="3"/>
  </r>
  <r>
    <x v="5"/>
    <x v="122"/>
    <d v="2026-06-02T00:00:00"/>
    <s v="3RD"/>
    <d v="1899-12-30T23:00:00"/>
    <n v="1"/>
    <x v="22"/>
    <n v="8.0999999999999996E-3"/>
    <s v="P"/>
    <s v="P"/>
    <s v="P"/>
    <s v="-"/>
    <s v="-"/>
    <n v="11.74"/>
    <n v="9.49"/>
    <s v="-"/>
    <s v="-"/>
    <s v="-"/>
    <s v="-"/>
    <n v="25.8"/>
    <s v="-"/>
    <s v="-"/>
    <s v="-"/>
    <s v="-"/>
    <n v="1"/>
    <n v="2"/>
    <n v="1"/>
    <n v="2"/>
    <n v="1"/>
    <n v="1"/>
    <s v="-"/>
    <s v="-"/>
    <s v="-"/>
    <s v="-"/>
    <n v="2"/>
    <s v="-"/>
    <n v="9"/>
    <n v="9"/>
    <s v="-"/>
    <s v="-"/>
    <s v="-"/>
    <n v="0"/>
    <n v="0"/>
    <n v="9"/>
    <n v="9"/>
  </r>
  <r>
    <x v="5"/>
    <x v="122"/>
    <d v="2026-06-02T00:00:00"/>
    <s v="3RD"/>
    <d v="1899-12-31T00:00:00"/>
    <n v="1"/>
    <x v="22"/>
    <n v="8.6999999999999994E-3"/>
    <s v="P"/>
    <s v="P"/>
    <s v="P"/>
    <s v="-"/>
    <s v="-"/>
    <n v="11.7"/>
    <s v="-"/>
    <s v="-"/>
    <s v="-"/>
    <s v="-"/>
    <s v="-"/>
    <s v="-"/>
    <s v="-"/>
    <s v="-"/>
    <s v="-"/>
    <s v="-"/>
    <s v="-"/>
    <n v="2"/>
    <n v="1"/>
    <n v="2"/>
    <n v="1"/>
    <s v="-"/>
    <s v="-"/>
    <s v="-"/>
    <s v="-"/>
    <s v="-"/>
    <s v="-"/>
    <s v="-"/>
    <n v="6"/>
    <n v="6"/>
    <s v="-"/>
    <s v="-"/>
    <s v="-"/>
    <n v="0"/>
    <n v="0"/>
    <n v="6"/>
    <n v="6"/>
  </r>
  <r>
    <x v="5"/>
    <x v="122"/>
    <d v="1902-03-25T00:00:00"/>
    <s v="3RD"/>
    <d v="1899-12-30T22:00:00"/>
    <n v="2"/>
    <x v="20"/>
    <n v="1.44E-2"/>
    <s v="P"/>
    <s v="P"/>
    <s v="P"/>
    <s v="-"/>
    <s v="-"/>
    <n v="12.42"/>
    <n v="12.57"/>
    <s v="-"/>
    <s v="-"/>
    <s v="-"/>
    <s v="-"/>
    <n v="25.8"/>
    <s v="-"/>
    <s v="-"/>
    <s v="P"/>
    <s v="P"/>
    <s v="-"/>
    <n v="2"/>
    <n v="1"/>
    <n v="2"/>
    <n v="1"/>
    <n v="1"/>
    <s v="-"/>
    <s v="-"/>
    <s v="-"/>
    <s v="-"/>
    <n v="0"/>
    <s v="-"/>
    <n v="7"/>
    <n v="9"/>
    <s v="-"/>
    <n v="1"/>
    <n v="1"/>
    <n v="2"/>
    <n v="2"/>
    <n v="9"/>
    <n v="11"/>
  </r>
  <r>
    <x v="5"/>
    <x v="122"/>
    <d v="1899-12-30T00:00:00"/>
    <s v="3RD"/>
    <d v="1899-12-30T23:00:00"/>
    <n v="2"/>
    <x v="20"/>
    <n v="1.54E-2"/>
    <s v="P"/>
    <s v="P"/>
    <s v="P"/>
    <s v="-"/>
    <s v="-"/>
    <n v="12.21"/>
    <s v="-"/>
    <s v="-"/>
    <s v="-"/>
    <s v="-"/>
    <s v="-"/>
    <s v="-"/>
    <s v="-"/>
    <s v="-"/>
    <s v="P"/>
    <s v="P"/>
    <s v="-"/>
    <n v="2"/>
    <n v="1"/>
    <n v="2"/>
    <n v="1"/>
    <s v="-"/>
    <s v="-"/>
    <s v="-"/>
    <s v="-"/>
    <s v="-"/>
    <s v="-"/>
    <s v="-"/>
    <n v="6"/>
    <n v="6"/>
    <s v="-"/>
    <n v="1"/>
    <n v="1"/>
    <n v="2"/>
    <n v="2"/>
    <n v="8"/>
    <n v="8"/>
  </r>
  <r>
    <x v="5"/>
    <x v="122"/>
    <d v="1899-12-30T00:00:00"/>
    <s v="3RD"/>
    <d v="1899-12-31T00:00:00"/>
    <n v="2"/>
    <x v="20"/>
    <n v="1.83E-2"/>
    <s v="P"/>
    <s v="P"/>
    <s v="P"/>
    <s v="-"/>
    <s v="-"/>
    <n v="11.86"/>
    <s v="-"/>
    <s v="-"/>
    <s v="-"/>
    <s v="-"/>
    <s v="-"/>
    <s v="-"/>
    <s v="-"/>
    <s v="-"/>
    <s v="P"/>
    <s v="P"/>
    <s v="-"/>
    <n v="2"/>
    <n v="1"/>
    <n v="2"/>
    <n v="1"/>
    <s v="-"/>
    <s v="-"/>
    <s v="-"/>
    <s v="-"/>
    <s v="-"/>
    <s v="-"/>
    <s v="-"/>
    <n v="6"/>
    <n v="6"/>
    <s v="-"/>
    <n v="1"/>
    <n v="1"/>
    <n v="2"/>
    <n v="2"/>
    <n v="8"/>
    <n v="8"/>
  </r>
  <r>
    <x v="5"/>
    <x v="122"/>
    <d v="1899-12-30T00:00:00"/>
    <s v="3RD"/>
    <d v="1899-12-31T03:00:00"/>
    <n v="2"/>
    <x v="20"/>
    <n v="1.78E-2"/>
    <s v="P"/>
    <s v="P"/>
    <s v="P"/>
    <s v="-"/>
    <s v="-"/>
    <n v="12.74"/>
    <s v="-"/>
    <s v="-"/>
    <s v="-"/>
    <s v="-"/>
    <s v="-"/>
    <s v="-"/>
    <s v="-"/>
    <s v="-"/>
    <s v="P"/>
    <s v="P"/>
    <s v="-"/>
    <n v="2"/>
    <n v="1"/>
    <n v="2"/>
    <n v="1"/>
    <s v="-"/>
    <s v="-"/>
    <s v="-"/>
    <s v="-"/>
    <s v="-"/>
    <s v="-"/>
    <s v="-"/>
    <n v="6"/>
    <n v="6"/>
    <s v="-"/>
    <n v="1"/>
    <n v="1"/>
    <n v="2"/>
    <n v="2"/>
    <n v="8"/>
    <n v="8"/>
  </r>
  <r>
    <x v="5"/>
    <x v="122"/>
    <d v="1899-12-30T00:00:00"/>
    <s v="3RD"/>
    <d v="1899-12-31T05:00:00"/>
    <n v="2"/>
    <x v="20"/>
    <n v="1.9900000000000001E-2"/>
    <s v="P"/>
    <s v="P"/>
    <s v="P"/>
    <s v="-"/>
    <s v="-"/>
    <n v="13.09"/>
    <s v="-"/>
    <s v="-"/>
    <s v="-"/>
    <s v="-"/>
    <s v="-"/>
    <s v="-"/>
    <s v="-"/>
    <s v="-"/>
    <s v="P"/>
    <s v="P"/>
    <s v="-"/>
    <n v="2"/>
    <n v="1"/>
    <n v="2"/>
    <n v="1"/>
    <s v="-"/>
    <s v="-"/>
    <s v="-"/>
    <s v="-"/>
    <s v="-"/>
    <s v="-"/>
    <s v="-"/>
    <n v="6"/>
    <n v="6"/>
    <s v="-"/>
    <n v="1"/>
    <n v="1"/>
    <n v="2"/>
    <n v="2"/>
    <n v="8"/>
    <n v="8"/>
  </r>
  <r>
    <x v="5"/>
    <x v="122"/>
    <d v="2026-06-05T00:00:00"/>
    <s v="3RD"/>
    <d v="1899-12-30T22:00:00"/>
    <n v="3"/>
    <x v="37"/>
    <n v="3.0099999999999998E-2"/>
    <s v="P"/>
    <s v="P"/>
    <s v="P"/>
    <s v="+"/>
    <s v="+"/>
    <n v="11.96"/>
    <n v="13"/>
    <n v="0.4"/>
    <n v="66.900000000000006"/>
    <s v="-"/>
    <s v="-"/>
    <n v="36.5"/>
    <s v="-"/>
    <n v="25.19"/>
    <s v="P"/>
    <s v="P"/>
    <n v="1"/>
    <n v="0"/>
    <n v="1"/>
    <n v="2"/>
    <n v="1"/>
    <n v="1"/>
    <n v="2"/>
    <n v="2"/>
    <s v="-"/>
    <s v="-"/>
    <s v="-"/>
    <s v="-"/>
    <n v="9"/>
    <n v="11"/>
    <s v="-"/>
    <n v="1"/>
    <n v="1"/>
    <n v="2"/>
    <n v="2"/>
    <n v="11"/>
    <n v="13"/>
  </r>
  <r>
    <x v="5"/>
    <x v="122"/>
    <d v="2026-05-19T00:00:00"/>
    <s v="3RD"/>
    <d v="1899-12-30T23:00:00"/>
    <n v="3"/>
    <x v="12"/>
    <n v="1.49E-2"/>
    <s v="P"/>
    <s v="P"/>
    <s v="P"/>
    <s v="+"/>
    <s v="+"/>
    <n v="12.06"/>
    <n v="12.55"/>
    <n v="0.47"/>
    <n v="67.5"/>
    <s v="-"/>
    <s v="-"/>
    <n v="35.200000000000003"/>
    <s v="-"/>
    <s v="-"/>
    <s v="P"/>
    <s v="P"/>
    <n v="1"/>
    <n v="2"/>
    <n v="1"/>
    <n v="2"/>
    <n v="1"/>
    <s v="-"/>
    <n v="2"/>
    <n v="2"/>
    <s v="-"/>
    <s v="-"/>
    <n v="2"/>
    <s v="-"/>
    <n v="12"/>
    <n v="12"/>
    <s v="-"/>
    <n v="1"/>
    <n v="1"/>
    <n v="2"/>
    <n v="2"/>
    <n v="14"/>
    <n v="14"/>
  </r>
  <r>
    <x v="5"/>
    <x v="122"/>
    <d v="2026-05-20T00:00:00"/>
    <s v="3RD"/>
    <d v="1899-12-31T01:00:00"/>
    <n v="3"/>
    <x v="6"/>
    <s v="-"/>
    <s v="P"/>
    <s v="P"/>
    <s v="P"/>
    <s v="+"/>
    <s v="+"/>
    <n v="12.12"/>
    <s v="-"/>
    <s v="-"/>
    <s v="-"/>
    <s v="-"/>
    <s v="-"/>
    <s v="-"/>
    <s v="-"/>
    <s v="-"/>
    <s v="P"/>
    <s v="P"/>
    <s v="70% 20% 10%"/>
    <s v="-"/>
    <n v="1"/>
    <n v="2"/>
    <n v="1"/>
    <s v="-"/>
    <s v="-"/>
    <s v="-"/>
    <s v="-"/>
    <s v="-"/>
    <s v="-"/>
    <s v="-"/>
    <n v="4"/>
    <n v="4"/>
    <s v="-"/>
    <n v="1"/>
    <n v="1"/>
    <n v="2"/>
    <n v="2"/>
    <n v="6"/>
    <n v="6"/>
  </r>
  <r>
    <x v="5"/>
    <x v="122"/>
    <d v="2026-05-20T00:00:00"/>
    <s v="3RD"/>
    <d v="1899-12-31T03:00:00"/>
    <n v="3"/>
    <x v="6"/>
    <n v="2.0299999999999999E-2"/>
    <s v="P"/>
    <s v="P"/>
    <s v="P"/>
    <s v="+"/>
    <s v="+"/>
    <n v="11.63"/>
    <s v="-"/>
    <s v="-"/>
    <s v="-"/>
    <s v="-"/>
    <s v="-"/>
    <s v="-"/>
    <s v="-"/>
    <s v="-"/>
    <s v="P"/>
    <s v="P"/>
    <s v="-"/>
    <n v="0"/>
    <n v="1"/>
    <n v="2"/>
    <n v="0"/>
    <s v="-"/>
    <s v="-"/>
    <s v="-"/>
    <s v="-"/>
    <s v="-"/>
    <s v="-"/>
    <s v="-"/>
    <n v="3"/>
    <n v="6"/>
    <s v="-"/>
    <n v="1"/>
    <n v="1"/>
    <n v="2"/>
    <n v="2"/>
    <n v="5"/>
    <n v="8"/>
  </r>
  <r>
    <x v="5"/>
    <x v="122"/>
    <d v="2026-05-20T00:00:00"/>
    <s v="3RD"/>
    <d v="1899-12-31T05:00:00"/>
    <n v="3"/>
    <x v="6"/>
    <n v="1.6899999999999998E-2"/>
    <s v="P"/>
    <s v="P"/>
    <s v="P"/>
    <s v="+"/>
    <s v="+"/>
    <n v="11.33"/>
    <s v="-"/>
    <s v="-"/>
    <s v="-"/>
    <s v="-"/>
    <s v="-"/>
    <s v="-"/>
    <s v="-"/>
    <s v="-"/>
    <s v="P"/>
    <s v="P"/>
    <s v="-"/>
    <n v="2"/>
    <n v="1"/>
    <n v="2"/>
    <n v="0"/>
    <s v="-"/>
    <s v="-"/>
    <s v="-"/>
    <s v="-"/>
    <s v="-"/>
    <s v="-"/>
    <s v="-"/>
    <n v="5"/>
    <n v="6"/>
    <s v="-"/>
    <n v="1"/>
    <n v="1"/>
    <n v="2"/>
    <n v="2"/>
    <n v="7"/>
    <n v="8"/>
  </r>
  <r>
    <x v="5"/>
    <x v="123"/>
    <s v="-"/>
    <s v="1ST"/>
    <s v="06:00"/>
    <n v="1"/>
    <x v="22"/>
    <n v="1.9300000000000001E-2"/>
    <s v="P"/>
    <s v="P"/>
    <s v="P"/>
    <s v="-"/>
    <s v="-"/>
    <n v="11.95"/>
    <n v="8.7100000000000009"/>
    <n v="0.51"/>
    <n v="55"/>
    <s v="-"/>
    <s v="-"/>
    <n v="23.5"/>
    <s v="-"/>
    <s v="-"/>
    <s v="P"/>
    <s v="P"/>
    <n v="1"/>
    <n v="2"/>
    <n v="1"/>
    <n v="2"/>
    <n v="1"/>
    <n v="1"/>
    <n v="2"/>
    <n v="2"/>
    <s v="-"/>
    <s v="-"/>
    <n v="2"/>
    <s v="-"/>
    <n v="13"/>
    <n v="13"/>
    <s v="-"/>
    <n v="1"/>
    <n v="1"/>
    <n v="2"/>
    <n v="2"/>
    <n v="15"/>
    <n v="15"/>
  </r>
  <r>
    <x v="5"/>
    <x v="123"/>
    <d v="2026-06-02T00:00:00"/>
    <s v="1ST"/>
    <s v="07:00"/>
    <n v="1"/>
    <x v="22"/>
    <n v="9.4000000000000004E-3"/>
    <s v="P"/>
    <s v="P"/>
    <s v="P"/>
    <s v="-"/>
    <s v="-"/>
    <n v="12.17"/>
    <s v="-"/>
    <s v="-"/>
    <s v="-"/>
    <s v="-"/>
    <s v="-"/>
    <s v="-"/>
    <s v="-"/>
    <s v="-"/>
    <s v="P"/>
    <s v="P"/>
    <s v="-"/>
    <n v="2"/>
    <n v="1"/>
    <n v="2"/>
    <n v="1"/>
    <s v="-"/>
    <s v="-"/>
    <s v="-"/>
    <s v="-"/>
    <s v="-"/>
    <s v="-"/>
    <s v="-"/>
    <n v="6"/>
    <n v="6"/>
    <s v="-"/>
    <n v="1"/>
    <n v="1"/>
    <n v="2"/>
    <n v="2"/>
    <n v="8"/>
    <n v="8"/>
  </r>
  <r>
    <x v="5"/>
    <x v="123"/>
    <d v="2026-06-02T00:00:00"/>
    <s v="1ST"/>
    <s v="08:00"/>
    <n v="1"/>
    <x v="22"/>
    <n v="1.8700000000000001E-2"/>
    <s v="P"/>
    <s v="P"/>
    <s v="P"/>
    <s v="-"/>
    <s v="-"/>
    <n v="11.98"/>
    <s v="-"/>
    <s v="-"/>
    <s v="-"/>
    <s v="-"/>
    <s v="-"/>
    <s v="-"/>
    <s v="-"/>
    <s v="-"/>
    <s v="P"/>
    <s v="P"/>
    <s v="-"/>
    <n v="2"/>
    <n v="1"/>
    <n v="2"/>
    <n v="1"/>
    <s v="-"/>
    <s v="-"/>
    <s v="-"/>
    <s v="-"/>
    <s v="-"/>
    <s v="-"/>
    <s v="-"/>
    <n v="6"/>
    <n v="6"/>
    <s v="-"/>
    <n v="1"/>
    <n v="1"/>
    <n v="2"/>
    <n v="2"/>
    <n v="8"/>
    <n v="8"/>
  </r>
  <r>
    <x v="5"/>
    <x v="123"/>
    <d v="1902-03-26T00:00:00"/>
    <s v="1ST"/>
    <s v="07:00"/>
    <n v="2"/>
    <x v="4"/>
    <n v="1.24E-2"/>
    <s v="P"/>
    <s v="P"/>
    <s v="P"/>
    <s v="-"/>
    <s v="+"/>
    <n v="11.41"/>
    <n v="8.6"/>
    <n v="0.52"/>
    <n v="55.5"/>
    <s v="-"/>
    <s v="-"/>
    <n v="23.2"/>
    <s v="-"/>
    <s v="-"/>
    <s v="P"/>
    <s v="P"/>
    <s v="-"/>
    <n v="2"/>
    <n v="1"/>
    <n v="2"/>
    <n v="1"/>
    <n v="1"/>
    <n v="2"/>
    <n v="2"/>
    <s v="-"/>
    <s v="-"/>
    <n v="2"/>
    <s v="-"/>
    <n v="13"/>
    <n v="13"/>
    <s v="-"/>
    <n v="1"/>
    <n v="1"/>
    <n v="2"/>
    <n v="2"/>
    <n v="15"/>
    <n v="15"/>
  </r>
  <r>
    <x v="5"/>
    <x v="123"/>
    <d v="1899-12-30T00:00:00"/>
    <s v="1ST"/>
    <s v="08:00"/>
    <n v="2"/>
    <x v="4"/>
    <n v="9.5999999999999992E-3"/>
    <s v="P"/>
    <s v="P"/>
    <s v="P"/>
    <s v="-"/>
    <s v="+"/>
    <n v="11.36"/>
    <s v="-"/>
    <s v="-"/>
    <s v="-"/>
    <s v="-"/>
    <s v="-"/>
    <s v="-"/>
    <s v="-"/>
    <s v="-"/>
    <s v="P"/>
    <s v="P"/>
    <s v="-"/>
    <n v="2"/>
    <n v="1"/>
    <n v="2"/>
    <n v="1"/>
    <s v="-"/>
    <s v="-"/>
    <s v="-"/>
    <s v="-"/>
    <s v="-"/>
    <s v="-"/>
    <s v="-"/>
    <n v="6"/>
    <n v="6"/>
    <s v="-"/>
    <n v="1"/>
    <n v="1"/>
    <n v="2"/>
    <n v="2"/>
    <n v="8"/>
    <n v="8"/>
  </r>
  <r>
    <x v="5"/>
    <x v="123"/>
    <d v="1899-12-30T00:00:00"/>
    <s v="1ST"/>
    <s v="09:00"/>
    <n v="2"/>
    <x v="4"/>
    <n v="5.8999999999999999E-3"/>
    <s v="P"/>
    <s v="P"/>
    <s v="P"/>
    <s v="-"/>
    <s v="+"/>
    <n v="11.32"/>
    <s v="-"/>
    <s v="-"/>
    <s v="-"/>
    <s v="-"/>
    <s v="-"/>
    <s v="-"/>
    <s v="-"/>
    <s v="-"/>
    <s v="P"/>
    <s v="P"/>
    <s v="-"/>
    <n v="2"/>
    <n v="1"/>
    <n v="2"/>
    <n v="1"/>
    <s v="-"/>
    <s v="-"/>
    <s v="-"/>
    <s v="-"/>
    <s v="-"/>
    <s v="-"/>
    <s v="-"/>
    <n v="6"/>
    <n v="6"/>
    <s v="-"/>
    <n v="1"/>
    <n v="1"/>
    <n v="2"/>
    <n v="2"/>
    <n v="8"/>
    <n v="8"/>
  </r>
  <r>
    <x v="5"/>
    <x v="123"/>
    <d v="1902-03-26T00:00:00"/>
    <s v="1ST"/>
    <s v="11:00"/>
    <n v="2"/>
    <x v="7"/>
    <n v="1.7899999999999999E-2"/>
    <s v="P"/>
    <s v="P"/>
    <s v="P"/>
    <s v="-"/>
    <s v="+"/>
    <n v="11.03"/>
    <n v="9.98"/>
    <s v="-"/>
    <n v="57.7"/>
    <s v="-"/>
    <s v="-"/>
    <n v="27.5"/>
    <s v="-"/>
    <s v="-"/>
    <s v="P"/>
    <s v="P"/>
    <s v="-"/>
    <n v="2"/>
    <n v="1"/>
    <n v="2"/>
    <n v="1"/>
    <n v="1"/>
    <s v="-"/>
    <n v="2"/>
    <s v="-"/>
    <s v="-"/>
    <n v="2"/>
    <s v="-"/>
    <n v="11"/>
    <n v="11"/>
    <s v="-"/>
    <n v="1"/>
    <n v="1"/>
    <n v="2"/>
    <n v="2"/>
    <n v="13"/>
    <n v="13"/>
  </r>
  <r>
    <x v="5"/>
    <x v="123"/>
    <d v="1899-12-30T00:00:00"/>
    <s v="1ST"/>
    <s v="12:00"/>
    <n v="2"/>
    <x v="7"/>
    <n v="1.7600000000000001E-2"/>
    <s v="P"/>
    <s v="P"/>
    <s v="P"/>
    <s v="-"/>
    <s v="+"/>
    <n v="11.23"/>
    <s v="-"/>
    <s v="-"/>
    <s v="-"/>
    <s v="-"/>
    <s v="-"/>
    <s v="-"/>
    <s v="-"/>
    <s v="-"/>
    <s v="P"/>
    <s v="P"/>
    <s v="-"/>
    <n v="2"/>
    <n v="1"/>
    <n v="2"/>
    <n v="1"/>
    <s v="-"/>
    <s v="-"/>
    <s v="-"/>
    <s v="-"/>
    <s v="-"/>
    <s v="-"/>
    <s v="-"/>
    <n v="6"/>
    <n v="6"/>
    <s v="-"/>
    <n v="1"/>
    <n v="1"/>
    <n v="2"/>
    <n v="2"/>
    <n v="8"/>
    <n v="8"/>
  </r>
  <r>
    <x v="5"/>
    <x v="123"/>
    <d v="1899-12-30T00:00:00"/>
    <s v="1ST"/>
    <s v="13:00"/>
    <n v="2"/>
    <x v="7"/>
    <n v="1.37E-2"/>
    <s v="P"/>
    <s v="P"/>
    <s v="P"/>
    <s v="-"/>
    <s v="+"/>
    <n v="11.18"/>
    <s v="-"/>
    <s v="-"/>
    <s v="-"/>
    <s v="-"/>
    <s v="-"/>
    <s v="-"/>
    <s v="-"/>
    <s v="-"/>
    <s v="P"/>
    <s v="P"/>
    <s v="-"/>
    <n v="2"/>
    <n v="1"/>
    <n v="2"/>
    <n v="1"/>
    <s v="-"/>
    <s v="-"/>
    <s v="-"/>
    <s v="-"/>
    <s v="-"/>
    <s v="-"/>
    <s v="-"/>
    <n v="6"/>
    <n v="6"/>
    <s v="-"/>
    <n v="1"/>
    <n v="1"/>
    <n v="2"/>
    <n v="2"/>
    <n v="8"/>
    <n v="8"/>
  </r>
  <r>
    <x v="5"/>
    <x v="123"/>
    <d v="2026-05-20T00:00:00"/>
    <s v="1ST"/>
    <s v="07:00"/>
    <n v="3"/>
    <x v="6"/>
    <n v="1.3100000000000001E-2"/>
    <s v="P"/>
    <s v="P"/>
    <s v="P"/>
    <s v="+"/>
    <s v="+"/>
    <n v="11.17"/>
    <n v="11.98"/>
    <n v="0.54"/>
    <n v="67"/>
    <s v="-"/>
    <s v="-"/>
    <n v="33.6"/>
    <s v="-"/>
    <s v="-"/>
    <s v="P"/>
    <s v="P"/>
    <s v="10% 70% 20%"/>
    <n v="2"/>
    <n v="1"/>
    <n v="2"/>
    <n v="0"/>
    <n v="1"/>
    <n v="2"/>
    <n v="2"/>
    <s v="-"/>
    <s v="-"/>
    <n v="2"/>
    <s v="-"/>
    <n v="12"/>
    <n v="13"/>
    <s v="-"/>
    <n v="1"/>
    <n v="1"/>
    <n v="2"/>
    <n v="2"/>
    <n v="14"/>
    <n v="15"/>
  </r>
  <r>
    <x v="5"/>
    <x v="123"/>
    <d v="2026-05-20T00:00:00"/>
    <s v="1ST"/>
    <s v="08:00"/>
    <n v="3"/>
    <x v="6"/>
    <n v="1.9199999999999998E-2"/>
    <s v="P"/>
    <s v="P"/>
    <s v="P"/>
    <s v="+"/>
    <s v="+"/>
    <n v="11.38"/>
    <s v="-"/>
    <n v="0.54"/>
    <s v="-"/>
    <s v="-"/>
    <s v="-"/>
    <s v="-"/>
    <s v="-"/>
    <s v="-"/>
    <s v="P"/>
    <s v="P"/>
    <s v="-"/>
    <n v="2"/>
    <n v="1"/>
    <n v="2"/>
    <n v="0"/>
    <s v="-"/>
    <n v="2"/>
    <s v="-"/>
    <s v="-"/>
    <s v="-"/>
    <s v="-"/>
    <s v="-"/>
    <n v="7"/>
    <n v="8"/>
    <s v="-"/>
    <n v="1"/>
    <n v="1"/>
    <n v="2"/>
    <n v="2"/>
    <n v="9"/>
    <n v="10"/>
  </r>
  <r>
    <x v="5"/>
    <x v="123"/>
    <d v="2026-05-20T00:00:00"/>
    <s v="1ST"/>
    <s v="11:00"/>
    <n v="3"/>
    <x v="6"/>
    <n v="1.8499999999999999E-2"/>
    <s v="P"/>
    <s v="P"/>
    <s v="P"/>
    <s v="+"/>
    <s v="+"/>
    <n v="11.34"/>
    <s v="-"/>
    <s v="-"/>
    <s v="-"/>
    <s v="-"/>
    <s v="-"/>
    <s v="-"/>
    <s v="-"/>
    <s v="-"/>
    <s v="P"/>
    <s v="P"/>
    <s v="-"/>
    <n v="2"/>
    <n v="1"/>
    <n v="2"/>
    <n v="0"/>
    <s v="-"/>
    <s v="-"/>
    <s v="-"/>
    <s v="-"/>
    <s v="-"/>
    <s v="-"/>
    <s v="-"/>
    <n v="5"/>
    <n v="6"/>
    <s v="-"/>
    <n v="1"/>
    <n v="1"/>
    <n v="2"/>
    <n v="2"/>
    <n v="7"/>
    <n v="8"/>
  </r>
  <r>
    <x v="5"/>
    <x v="123"/>
    <s v="-"/>
    <s v="2ND"/>
    <d v="1899-12-30T14:00:00"/>
    <n v="1"/>
    <x v="22"/>
    <n v="8.8999999999999999E-3"/>
    <s v="P"/>
    <s v="P"/>
    <s v="P"/>
    <s v="-"/>
    <s v="-"/>
    <n v="11.78"/>
    <n v="9.9"/>
    <n v="0.51"/>
    <s v="-"/>
    <s v="-"/>
    <s v="-"/>
    <n v="27.1"/>
    <s v="-"/>
    <s v="-"/>
    <s v="P"/>
    <s v="P"/>
    <n v="1"/>
    <n v="2"/>
    <n v="1"/>
    <n v="2"/>
    <n v="1"/>
    <n v="1"/>
    <n v="2"/>
    <s v="-"/>
    <s v="-"/>
    <s v="-"/>
    <n v="2"/>
    <s v="-"/>
    <n v="11"/>
    <n v="11"/>
    <s v="-"/>
    <n v="1"/>
    <n v="1"/>
    <n v="2"/>
    <n v="2"/>
    <n v="13"/>
    <n v="13"/>
  </r>
  <r>
    <x v="5"/>
    <x v="123"/>
    <d v="2026-06-02T00:00:00"/>
    <s v="2ND"/>
    <d v="1899-12-30T15:00:00"/>
    <n v="1"/>
    <x v="22"/>
    <n v="5.4999999999999997E-3"/>
    <s v="P"/>
    <s v="P"/>
    <s v="P"/>
    <s v="-"/>
    <s v="-"/>
    <n v="11.4"/>
    <s v="-"/>
    <s v="-"/>
    <s v="-"/>
    <s v="-"/>
    <s v="-"/>
    <s v="-"/>
    <s v="-"/>
    <s v="-"/>
    <s v="P"/>
    <s v="P"/>
    <s v="-"/>
    <n v="2"/>
    <n v="1"/>
    <n v="2"/>
    <n v="1"/>
    <s v="-"/>
    <s v="-"/>
    <s v="-"/>
    <s v="-"/>
    <s v="-"/>
    <s v="-"/>
    <s v="-"/>
    <n v="6"/>
    <n v="6"/>
    <s v="-"/>
    <n v="1"/>
    <n v="1"/>
    <n v="2"/>
    <n v="2"/>
    <n v="8"/>
    <n v="8"/>
  </r>
  <r>
    <x v="5"/>
    <x v="123"/>
    <d v="2026-06-02T00:00:00"/>
    <s v="2ND"/>
    <d v="1899-12-30T16:00:00"/>
    <n v="1"/>
    <x v="22"/>
    <n v="2.8E-3"/>
    <s v="P"/>
    <s v="P"/>
    <s v="P"/>
    <s v="-"/>
    <s v="-"/>
    <n v="11.93"/>
    <s v="-"/>
    <s v="-"/>
    <s v="-"/>
    <s v="-"/>
    <s v="-"/>
    <s v="-"/>
    <s v="-"/>
    <s v="-"/>
    <s v="P"/>
    <s v="P"/>
    <s v="-"/>
    <n v="2"/>
    <n v="1"/>
    <n v="2"/>
    <n v="1"/>
    <s v="-"/>
    <s v="-"/>
    <s v="-"/>
    <s v="-"/>
    <s v="-"/>
    <s v="-"/>
    <s v="-"/>
    <n v="6"/>
    <n v="6"/>
    <s v="-"/>
    <n v="1"/>
    <n v="1"/>
    <n v="2"/>
    <n v="2"/>
    <n v="8"/>
    <n v="8"/>
  </r>
  <r>
    <x v="5"/>
    <x v="123"/>
    <d v="2026-06-02T00:00:00"/>
    <s v="2ND"/>
    <d v="1899-12-30T17:00:00"/>
    <n v="1"/>
    <x v="22"/>
    <n v="1.6000000000000001E-3"/>
    <s v="P"/>
    <s v="P"/>
    <s v="P"/>
    <s v="-"/>
    <s v="-"/>
    <n v="11.2"/>
    <s v="-"/>
    <s v="-"/>
    <s v="-"/>
    <s v="-"/>
    <s v="-"/>
    <s v="-"/>
    <s v="-"/>
    <s v="-"/>
    <s v="P"/>
    <s v="P"/>
    <s v="-"/>
    <n v="2"/>
    <n v="1"/>
    <n v="2"/>
    <n v="1"/>
    <s v="-"/>
    <s v="-"/>
    <s v="-"/>
    <s v="-"/>
    <s v="-"/>
    <s v="-"/>
    <s v="-"/>
    <n v="6"/>
    <n v="6"/>
    <s v="-"/>
    <n v="1"/>
    <n v="1"/>
    <n v="2"/>
    <n v="2"/>
    <n v="8"/>
    <n v="8"/>
  </r>
  <r>
    <x v="5"/>
    <x v="123"/>
    <d v="1902-03-26T00:00:00"/>
    <s v="2ND"/>
    <d v="1899-12-30T14:00:00"/>
    <n v="2"/>
    <x v="7"/>
    <n v="6.0000000000000001E-3"/>
    <s v="P"/>
    <s v="P"/>
    <s v="P"/>
    <s v="-"/>
    <s v="+"/>
    <n v="11.13"/>
    <n v="9.42"/>
    <n v="0.56000000000000005"/>
    <s v="-"/>
    <s v="-"/>
    <s v="-"/>
    <n v="25.7"/>
    <s v="-"/>
    <s v="-"/>
    <s v="P"/>
    <s v="P"/>
    <s v="-"/>
    <n v="2"/>
    <n v="1"/>
    <n v="2"/>
    <n v="1"/>
    <n v="1"/>
    <n v="2"/>
    <s v="-"/>
    <s v="-"/>
    <s v="-"/>
    <n v="2"/>
    <s v="-"/>
    <n v="11"/>
    <n v="11"/>
    <s v="-"/>
    <n v="1"/>
    <n v="1"/>
    <n v="2"/>
    <n v="2"/>
    <n v="13"/>
    <n v="13"/>
  </r>
  <r>
    <x v="5"/>
    <x v="123"/>
    <d v="1899-12-30T00:00:00"/>
    <s v="2ND"/>
    <d v="1899-12-30T15:00:00"/>
    <n v="2"/>
    <x v="7"/>
    <n v="8.8999999999999999E-3"/>
    <s v="P"/>
    <s v="P"/>
    <s v="P"/>
    <s v="-"/>
    <s v="+"/>
    <n v="10.79"/>
    <s v="-"/>
    <s v="-"/>
    <s v="-"/>
    <s v="-"/>
    <s v="-"/>
    <s v="-"/>
    <s v="-"/>
    <s v="-"/>
    <s v="P"/>
    <s v="P"/>
    <s v="-"/>
    <n v="2"/>
    <n v="1"/>
    <n v="2"/>
    <n v="0"/>
    <s v="-"/>
    <s v="-"/>
    <s v="-"/>
    <s v="-"/>
    <s v="-"/>
    <s v="-"/>
    <s v="-"/>
    <n v="5"/>
    <n v="6"/>
    <s v="-"/>
    <n v="1"/>
    <n v="1"/>
    <n v="2"/>
    <n v="2"/>
    <n v="7"/>
    <n v="8"/>
  </r>
  <r>
    <x v="5"/>
    <x v="123"/>
    <d v="1899-12-30T00:00:00"/>
    <s v="2ND"/>
    <d v="1899-12-30T16:00:00"/>
    <n v="2"/>
    <x v="7"/>
    <n v="1.04E-2"/>
    <s v="P"/>
    <s v="P"/>
    <s v="P"/>
    <s v="-"/>
    <s v="+"/>
    <n v="11.11"/>
    <s v="-"/>
    <s v="-"/>
    <s v="-"/>
    <s v="-"/>
    <s v="-"/>
    <s v="-"/>
    <s v="-"/>
    <s v="-"/>
    <s v="P"/>
    <s v="P"/>
    <s v="-"/>
    <n v="2"/>
    <n v="1"/>
    <n v="2"/>
    <n v="1"/>
    <s v="-"/>
    <s v="-"/>
    <s v="-"/>
    <s v="-"/>
    <s v="-"/>
    <s v="-"/>
    <s v="-"/>
    <n v="6"/>
    <n v="6"/>
    <s v="-"/>
    <n v="1"/>
    <n v="1"/>
    <n v="2"/>
    <n v="2"/>
    <n v="8"/>
    <n v="8"/>
  </r>
  <r>
    <x v="5"/>
    <x v="123"/>
    <d v="1899-12-30T00:00:00"/>
    <s v="2ND"/>
    <d v="1899-12-30T17:00:00"/>
    <n v="2"/>
    <x v="7"/>
    <n v="8.6999999999999994E-3"/>
    <s v="P"/>
    <s v="P"/>
    <s v="P"/>
    <s v="-"/>
    <s v="+"/>
    <n v="10.87"/>
    <s v="-"/>
    <s v="-"/>
    <s v="-"/>
    <s v="-"/>
    <s v="-"/>
    <s v="-"/>
    <s v="-"/>
    <s v="-"/>
    <s v="P"/>
    <s v="P"/>
    <s v="-"/>
    <n v="2"/>
    <n v="1"/>
    <n v="2"/>
    <n v="0"/>
    <s v="-"/>
    <s v="-"/>
    <s v="-"/>
    <s v="-"/>
    <s v="-"/>
    <s v="-"/>
    <s v="-"/>
    <n v="5"/>
    <n v="6"/>
    <s v="-"/>
    <n v="1"/>
    <n v="1"/>
    <n v="2"/>
    <n v="2"/>
    <n v="7"/>
    <n v="8"/>
  </r>
  <r>
    <x v="5"/>
    <x v="123"/>
    <d v="1899-12-30T00:00:00"/>
    <s v="2ND"/>
    <d v="1899-12-30T18:00:00"/>
    <n v="2"/>
    <x v="7"/>
    <n v="7.6E-3"/>
    <s v="P"/>
    <s v="P"/>
    <s v="P"/>
    <s v="-"/>
    <s v="+"/>
    <n v="11.12"/>
    <s v="-"/>
    <s v="-"/>
    <s v="-"/>
    <s v="-"/>
    <s v="-"/>
    <s v="-"/>
    <s v="-"/>
    <s v="-"/>
    <s v="P"/>
    <s v="P"/>
    <s v="-"/>
    <n v="2"/>
    <n v="1"/>
    <n v="2"/>
    <n v="1"/>
    <s v="-"/>
    <s v="-"/>
    <s v="-"/>
    <s v="-"/>
    <s v="-"/>
    <s v="-"/>
    <s v="-"/>
    <n v="6"/>
    <n v="6"/>
    <s v="-"/>
    <n v="1"/>
    <n v="1"/>
    <n v="2"/>
    <n v="2"/>
    <n v="8"/>
    <n v="8"/>
  </r>
  <r>
    <x v="5"/>
    <x v="123"/>
    <d v="2026-05-20T00:00:00"/>
    <s v="2ND"/>
    <d v="1899-12-30T15:00:00"/>
    <n v="3"/>
    <x v="6"/>
    <n v="1.9099999999999999E-2"/>
    <s v="P"/>
    <s v="P"/>
    <s v="P"/>
    <s v="+"/>
    <s v="+"/>
    <n v="11.5"/>
    <s v="-"/>
    <s v="-"/>
    <s v="-"/>
    <s v="-"/>
    <s v="-"/>
    <s v="-"/>
    <s v="-"/>
    <s v="-"/>
    <s v="P"/>
    <s v="P"/>
    <s v="70% 20% 10%"/>
    <n v="2"/>
    <n v="1"/>
    <n v="2"/>
    <n v="0"/>
    <s v="-"/>
    <s v="-"/>
    <s v="-"/>
    <s v="-"/>
    <s v="-"/>
    <s v="-"/>
    <s v="-"/>
    <n v="5"/>
    <n v="6"/>
    <s v="-"/>
    <n v="1"/>
    <n v="1"/>
    <n v="2"/>
    <n v="2"/>
    <n v="7"/>
    <n v="8"/>
  </r>
  <r>
    <x v="5"/>
    <x v="123"/>
    <d v="2026-05-20T00:00:00"/>
    <s v="2ND"/>
    <d v="1899-12-30T16:00:00"/>
    <n v="3"/>
    <x v="6"/>
    <n v="4.4000000000000003E-3"/>
    <s v="P"/>
    <s v="P"/>
    <s v="P"/>
    <s v="+"/>
    <s v="+"/>
    <n v="11.37"/>
    <s v="-"/>
    <s v="-"/>
    <s v="-"/>
    <s v="-"/>
    <s v="-"/>
    <s v="-"/>
    <s v="-"/>
    <s v="-"/>
    <s v="P"/>
    <s v="P"/>
    <s v="-"/>
    <n v="2"/>
    <n v="1"/>
    <n v="2"/>
    <n v="0"/>
    <s v="-"/>
    <s v="-"/>
    <s v="-"/>
    <s v="-"/>
    <s v="-"/>
    <s v="-"/>
    <s v="-"/>
    <n v="5"/>
    <n v="6"/>
    <s v="-"/>
    <n v="1"/>
    <n v="1"/>
    <n v="2"/>
    <n v="2"/>
    <n v="7"/>
    <n v="8"/>
  </r>
  <r>
    <x v="5"/>
    <x v="123"/>
    <d v="2026-06-10T00:00:00"/>
    <s v="2ND"/>
    <d v="1899-12-30T17:00:00"/>
    <n v="3"/>
    <x v="11"/>
    <s v="-"/>
    <s v="P"/>
    <s v="P"/>
    <s v="P"/>
    <s v="+"/>
    <s v="+"/>
    <n v="9.15"/>
    <s v="-"/>
    <s v="-"/>
    <s v="-"/>
    <s v="-"/>
    <s v="-"/>
    <s v="-"/>
    <s v="-"/>
    <s v="-"/>
    <s v="P"/>
    <s v="P"/>
    <n v="1"/>
    <s v="-"/>
    <n v="1"/>
    <n v="2"/>
    <n v="1"/>
    <s v="-"/>
    <s v="-"/>
    <s v="-"/>
    <s v="-"/>
    <s v="-"/>
    <s v="-"/>
    <s v="-"/>
    <n v="4"/>
    <n v="4"/>
    <s v="-"/>
    <n v="1"/>
    <n v="1"/>
    <n v="2"/>
    <n v="2"/>
    <n v="6"/>
    <n v="6"/>
  </r>
  <r>
    <x v="5"/>
    <x v="123"/>
    <d v="2026-06-10T00:00:00"/>
    <s v="2ND"/>
    <d v="1899-12-30T18:00:00"/>
    <n v="3"/>
    <x v="11"/>
    <n v="1.5599999999999999E-2"/>
    <s v="P"/>
    <s v="P"/>
    <s v="P"/>
    <s v="+"/>
    <s v="+"/>
    <n v="9.1300000000000008"/>
    <s v="-"/>
    <s v="-"/>
    <s v="-"/>
    <s v="-"/>
    <s v="-"/>
    <s v="-"/>
    <s v="-"/>
    <s v="-"/>
    <s v="P"/>
    <s v="P"/>
    <s v="-"/>
    <n v="2"/>
    <n v="1"/>
    <n v="2"/>
    <n v="1"/>
    <s v="-"/>
    <s v="-"/>
    <s v="-"/>
    <s v="-"/>
    <s v="-"/>
    <s v="-"/>
    <s v="-"/>
    <n v="6"/>
    <n v="6"/>
    <s v="-"/>
    <n v="1"/>
    <n v="1"/>
    <n v="2"/>
    <n v="2"/>
    <n v="8"/>
    <n v="8"/>
  </r>
  <r>
    <x v="5"/>
    <x v="123"/>
    <d v="2026-06-10T00:00:00"/>
    <s v="2ND"/>
    <d v="1899-12-30T19:00:00"/>
    <n v="3"/>
    <x v="11"/>
    <n v="1.49E-2"/>
    <s v="P"/>
    <s v="P"/>
    <s v="P"/>
    <s v="+"/>
    <s v="+"/>
    <n v="9.14"/>
    <s v="-"/>
    <s v="-"/>
    <s v="-"/>
    <s v="-"/>
    <s v="-"/>
    <s v="-"/>
    <s v="-"/>
    <s v="-"/>
    <s v="P"/>
    <s v="P"/>
    <s v="-"/>
    <n v="2"/>
    <n v="1"/>
    <n v="2"/>
    <n v="1"/>
    <s v="-"/>
    <s v="-"/>
    <s v="-"/>
    <s v="-"/>
    <s v="-"/>
    <s v="-"/>
    <s v="-"/>
    <n v="6"/>
    <n v="6"/>
    <s v="-"/>
    <n v="1"/>
    <n v="1"/>
    <n v="2"/>
    <n v="2"/>
    <n v="8"/>
    <n v="8"/>
  </r>
  <r>
    <x v="5"/>
    <x v="123"/>
    <s v="-"/>
    <s v="3RD"/>
    <d v="1899-12-30T22:00:00"/>
    <n v="1"/>
    <x v="22"/>
    <n v="5.7000000000000002E-3"/>
    <s v="P"/>
    <s v="P"/>
    <s v="P"/>
    <s v="-"/>
    <s v="-"/>
    <n v="11.24"/>
    <n v="8.4700000000000006"/>
    <n v="0.56999999999999995"/>
    <s v="-"/>
    <s v="-"/>
    <s v="-"/>
    <n v="22.7"/>
    <s v="-"/>
    <n v="25.16"/>
    <s v="P"/>
    <s v="P"/>
    <s v="-"/>
    <n v="2"/>
    <n v="1"/>
    <n v="2"/>
    <n v="1"/>
    <n v="0"/>
    <n v="2"/>
    <s v="-"/>
    <s v="-"/>
    <s v="-"/>
    <n v="2"/>
    <s v="-"/>
    <n v="10"/>
    <n v="11"/>
    <n v="1"/>
    <n v="1"/>
    <n v="1"/>
    <n v="3"/>
    <n v="3"/>
    <n v="13"/>
    <n v="14"/>
  </r>
  <r>
    <x v="5"/>
    <x v="123"/>
    <d v="2026-06-02T00:00:00"/>
    <s v="3RD"/>
    <d v="1899-12-30T23:00:00"/>
    <n v="1"/>
    <x v="22"/>
    <n v="8.0000000000000002E-3"/>
    <s v="P"/>
    <s v="P"/>
    <s v="P"/>
    <s v="-"/>
    <s v="-"/>
    <n v="11.92"/>
    <s v="-"/>
    <s v="-"/>
    <s v="-"/>
    <s v="-"/>
    <s v="-"/>
    <s v="-"/>
    <s v="-"/>
    <s v="-"/>
    <s v="P"/>
    <s v="P"/>
    <s v="-"/>
    <n v="2"/>
    <n v="1"/>
    <n v="2"/>
    <n v="1"/>
    <s v="-"/>
    <s v="-"/>
    <s v="-"/>
    <s v="-"/>
    <s v="-"/>
    <s v="-"/>
    <s v="-"/>
    <n v="6"/>
    <n v="6"/>
    <s v="-"/>
    <n v="1"/>
    <n v="1"/>
    <n v="2"/>
    <n v="2"/>
    <n v="8"/>
    <n v="8"/>
  </r>
  <r>
    <x v="5"/>
    <x v="123"/>
    <d v="2026-06-02T00:00:00"/>
    <s v="3RD"/>
    <d v="1899-12-31T00:00:00"/>
    <n v="1"/>
    <x v="22"/>
    <n v="4.3E-3"/>
    <s v="P"/>
    <s v="P"/>
    <s v="P"/>
    <s v="-"/>
    <s v="-"/>
    <n v="11.74"/>
    <s v="-"/>
    <s v="-"/>
    <s v="-"/>
    <s v="-"/>
    <s v="-"/>
    <s v="-"/>
    <s v="-"/>
    <s v="-"/>
    <s v="P"/>
    <s v="P"/>
    <s v="-"/>
    <n v="2"/>
    <n v="1"/>
    <n v="2"/>
    <n v="1"/>
    <s v="-"/>
    <s v="-"/>
    <s v="-"/>
    <s v="-"/>
    <s v="-"/>
    <s v="-"/>
    <s v="-"/>
    <n v="6"/>
    <n v="6"/>
    <s v="-"/>
    <n v="1"/>
    <n v="1"/>
    <n v="2"/>
    <n v="2"/>
    <n v="8"/>
    <n v="8"/>
  </r>
  <r>
    <x v="5"/>
    <x v="123"/>
    <d v="1899-12-30T00:00:00"/>
    <s v="3RD"/>
    <d v="1899-12-30T22:00:00"/>
    <n v="2"/>
    <x v="7"/>
    <n v="1.55E-2"/>
    <s v="P"/>
    <s v="P"/>
    <s v="P"/>
    <s v="-"/>
    <s v="+"/>
    <n v="11.61"/>
    <s v="-"/>
    <s v="-"/>
    <s v="-"/>
    <s v="-"/>
    <s v="-"/>
    <s v="-"/>
    <s v="-"/>
    <n v="25.19"/>
    <s v="P"/>
    <s v="P"/>
    <s v="-"/>
    <n v="2"/>
    <n v="1"/>
    <n v="2"/>
    <n v="1"/>
    <s v="-"/>
    <s v="-"/>
    <s v="-"/>
    <s v="-"/>
    <s v="-"/>
    <s v="-"/>
    <s v="-"/>
    <n v="6"/>
    <n v="6"/>
    <n v="1"/>
    <n v="1"/>
    <n v="1"/>
    <n v="3"/>
    <n v="3"/>
    <n v="9"/>
    <n v="9"/>
  </r>
  <r>
    <x v="5"/>
    <x v="123"/>
    <d v="1899-12-30T00:00:00"/>
    <s v="3RD"/>
    <d v="1899-12-30T23:00:00"/>
    <n v="2"/>
    <x v="7"/>
    <n v="1.7100000000000001E-2"/>
    <s v="P"/>
    <s v="P"/>
    <s v="P"/>
    <s v="-"/>
    <s v="+"/>
    <n v="11.92"/>
    <s v="-"/>
    <s v="-"/>
    <s v="-"/>
    <s v="-"/>
    <s v="-"/>
    <s v="-"/>
    <s v="-"/>
    <s v="-"/>
    <s v="P"/>
    <s v="P"/>
    <s v="-"/>
    <n v="2"/>
    <n v="1"/>
    <n v="2"/>
    <n v="1"/>
    <s v="-"/>
    <s v="-"/>
    <s v="-"/>
    <s v="-"/>
    <s v="-"/>
    <s v="-"/>
    <s v="-"/>
    <n v="6"/>
    <n v="6"/>
    <s v="-"/>
    <n v="1"/>
    <n v="1"/>
    <n v="2"/>
    <n v="2"/>
    <n v="8"/>
    <n v="8"/>
  </r>
  <r>
    <x v="5"/>
    <x v="123"/>
    <d v="2026-06-10T00:00:00"/>
    <s v="3RD"/>
    <d v="1899-12-30T22:00:00"/>
    <n v="3"/>
    <x v="11"/>
    <n v="1.5699999999999999E-2"/>
    <s v="P"/>
    <s v="P"/>
    <s v="P"/>
    <s v="+"/>
    <s v="+"/>
    <n v="9.5500000000000007"/>
    <s v="-"/>
    <s v="-"/>
    <s v="-"/>
    <s v="-"/>
    <s v="-"/>
    <s v="-"/>
    <s v="-"/>
    <n v="25.19"/>
    <s v="P"/>
    <s v="P"/>
    <s v="-"/>
    <n v="2"/>
    <n v="1"/>
    <n v="2"/>
    <n v="1"/>
    <s v="-"/>
    <s v="-"/>
    <s v="-"/>
    <s v="-"/>
    <s v="-"/>
    <s v="-"/>
    <s v="-"/>
    <n v="6"/>
    <n v="6"/>
    <n v="1"/>
    <n v="1"/>
    <n v="1"/>
    <n v="3"/>
    <n v="3"/>
    <n v="9"/>
    <n v="9"/>
  </r>
  <r>
    <x v="5"/>
    <x v="123"/>
    <d v="2026-06-08T00:00:00"/>
    <s v="3RD"/>
    <d v="1899-12-30T23:00:00"/>
    <n v="3"/>
    <x v="36"/>
    <n v="1.1299999999999999E-2"/>
    <s v="P"/>
    <s v="P"/>
    <s v="P"/>
    <s v="+"/>
    <s v="+"/>
    <n v="12.3"/>
    <n v="12.63"/>
    <n v="0.32"/>
    <n v="66.2"/>
    <s v="-"/>
    <s v="-"/>
    <n v="35.4"/>
    <s v="-"/>
    <n v="25.19"/>
    <s v="P"/>
    <s v="P"/>
    <s v="-"/>
    <n v="2"/>
    <n v="1"/>
    <n v="2"/>
    <n v="1"/>
    <n v="0"/>
    <n v="2"/>
    <n v="2"/>
    <s v="-"/>
    <s v="-"/>
    <n v="2"/>
    <s v="-"/>
    <n v="12"/>
    <n v="13"/>
    <n v="1"/>
    <n v="1"/>
    <n v="1"/>
    <n v="3"/>
    <n v="3"/>
    <n v="15"/>
    <n v="16"/>
  </r>
  <r>
    <x v="5"/>
    <x v="123"/>
    <d v="2026-06-08T00:00:00"/>
    <s v="3RD"/>
    <d v="1899-12-31T00:00:00"/>
    <n v="3"/>
    <x v="36"/>
    <n v="1.3899999999999999E-2"/>
    <s v="P"/>
    <s v="P"/>
    <s v="P"/>
    <s v="+"/>
    <s v="+"/>
    <n v="12.23"/>
    <s v="-"/>
    <n v="0.32"/>
    <s v="-"/>
    <s v="-"/>
    <s v="-"/>
    <s v="-"/>
    <s v="-"/>
    <s v="-"/>
    <s v="P"/>
    <s v="P"/>
    <s v="-"/>
    <n v="2"/>
    <n v="1"/>
    <n v="2"/>
    <n v="1"/>
    <s v="-"/>
    <n v="2"/>
    <s v="-"/>
    <s v="-"/>
    <s v="-"/>
    <s v="-"/>
    <s v="-"/>
    <n v="8"/>
    <n v="8"/>
    <s v="-"/>
    <n v="1"/>
    <n v="1"/>
    <n v="2"/>
    <n v="2"/>
    <n v="10"/>
    <n v="10"/>
  </r>
  <r>
    <x v="5"/>
    <x v="123"/>
    <d v="2026-06-08T00:00:00"/>
    <s v="3RD"/>
    <d v="1899-12-31T02:00:00"/>
    <n v="3"/>
    <x v="12"/>
    <n v="1.3100000000000001E-2"/>
    <s v="P"/>
    <s v="P"/>
    <s v="P"/>
    <s v="+"/>
    <s v="+"/>
    <n v="12.84"/>
    <n v="12.63"/>
    <n v="0.32"/>
    <n v="66.2"/>
    <s v="-"/>
    <s v="-"/>
    <n v="35.4"/>
    <s v="-"/>
    <n v="25.19"/>
    <s v="P"/>
    <s v="P"/>
    <s v="-"/>
    <n v="2"/>
    <n v="1"/>
    <n v="2"/>
    <n v="1"/>
    <s v="-"/>
    <n v="2"/>
    <n v="2"/>
    <s v="-"/>
    <s v="-"/>
    <n v="2"/>
    <s v="-"/>
    <n v="12"/>
    <n v="12"/>
    <n v="1"/>
    <n v="1"/>
    <n v="1"/>
    <n v="3"/>
    <n v="3"/>
    <n v="15"/>
    <n v="15"/>
  </r>
  <r>
    <x v="5"/>
    <x v="123"/>
    <d v="2026-06-08T00:00:00"/>
    <s v="3RD"/>
    <d v="1899-12-31T03:00:00"/>
    <n v="3"/>
    <x v="12"/>
    <n v="1.23E-2"/>
    <s v="P"/>
    <s v="P"/>
    <s v="P"/>
    <s v="+"/>
    <s v="+"/>
    <n v="12.85"/>
    <s v="-"/>
    <s v="-"/>
    <s v="-"/>
    <s v="-"/>
    <s v="-"/>
    <s v="-"/>
    <s v="-"/>
    <s v="-"/>
    <s v="P"/>
    <s v="P"/>
    <s v="-"/>
    <n v="2"/>
    <n v="1"/>
    <n v="2"/>
    <n v="1"/>
    <s v="-"/>
    <s v="-"/>
    <s v="-"/>
    <s v="-"/>
    <s v="-"/>
    <s v="-"/>
    <s v="-"/>
    <n v="6"/>
    <n v="6"/>
    <s v="-"/>
    <n v="1"/>
    <n v="1"/>
    <n v="2"/>
    <n v="2"/>
    <n v="8"/>
    <n v="8"/>
  </r>
  <r>
    <x v="5"/>
    <x v="123"/>
    <d v="2026-06-08T00:00:00"/>
    <s v="3RD"/>
    <d v="1899-12-31T04:00:00"/>
    <n v="3"/>
    <x v="12"/>
    <n v="1.5100000000000001E-2"/>
    <s v="P"/>
    <s v="P"/>
    <s v="P"/>
    <s v="+"/>
    <s v="+"/>
    <n v="12.8"/>
    <s v="-"/>
    <s v="-"/>
    <s v="-"/>
    <s v="-"/>
    <s v="-"/>
    <s v="-"/>
    <s v="-"/>
    <s v="-"/>
    <s v="P"/>
    <s v="P"/>
    <s v="-"/>
    <n v="2"/>
    <n v="1"/>
    <n v="2"/>
    <n v="1"/>
    <s v="-"/>
    <s v="-"/>
    <s v="-"/>
    <s v="-"/>
    <s v="-"/>
    <s v="-"/>
    <s v="-"/>
    <n v="6"/>
    <n v="6"/>
    <s v="-"/>
    <n v="1"/>
    <n v="1"/>
    <n v="2"/>
    <n v="2"/>
    <n v="8"/>
    <n v="8"/>
  </r>
  <r>
    <x v="5"/>
    <x v="123"/>
    <d v="2026-06-08T00:00:00"/>
    <s v="3RD"/>
    <d v="1899-12-31T05:00:00"/>
    <n v="3"/>
    <x v="12"/>
    <s v="-"/>
    <s v="P"/>
    <s v="P"/>
    <s v="P"/>
    <s v="+"/>
    <s v="+"/>
    <s v="-"/>
    <s v="-"/>
    <s v="-"/>
    <s v="-"/>
    <s v="-"/>
    <s v="-"/>
    <s v="-"/>
    <s v="-"/>
    <s v="-"/>
    <s v="P"/>
    <s v="P"/>
    <s v="-"/>
    <s v="-"/>
    <n v="1"/>
    <n v="2"/>
    <s v="-"/>
    <s v="-"/>
    <s v="-"/>
    <s v="-"/>
    <s v="-"/>
    <s v="-"/>
    <s v="-"/>
    <s v="-"/>
    <n v="3"/>
    <n v="3"/>
    <s v="-"/>
    <n v="1"/>
    <n v="1"/>
    <n v="2"/>
    <n v="2"/>
    <n v="5"/>
    <n v="5"/>
  </r>
  <r>
    <x v="5"/>
    <x v="124"/>
    <s v="-"/>
    <s v="1ST"/>
    <s v="06:00"/>
    <n v="1"/>
    <x v="22"/>
    <n v="7.4999999999999997E-3"/>
    <s v="P"/>
    <s v="P"/>
    <s v="P"/>
    <s v="-"/>
    <s v="-"/>
    <n v="11.43"/>
    <n v="10.17"/>
    <n v="0.54"/>
    <n v="55.8"/>
    <s v="-"/>
    <s v="-"/>
    <n v="28"/>
    <s v="-"/>
    <s v="-"/>
    <s v="P"/>
    <s v="P"/>
    <n v="1"/>
    <n v="2"/>
    <n v="1"/>
    <n v="2"/>
    <n v="1"/>
    <n v="0"/>
    <n v="2"/>
    <n v="2"/>
    <s v="-"/>
    <s v="-"/>
    <n v="2"/>
    <s v="-"/>
    <n v="12"/>
    <n v="13"/>
    <s v="-"/>
    <n v="1"/>
    <n v="1"/>
    <n v="2"/>
    <n v="2"/>
    <n v="14"/>
    <n v="15"/>
  </r>
  <r>
    <x v="5"/>
    <x v="124"/>
    <d v="2026-06-02T00:00:00"/>
    <s v="1ST"/>
    <s v="07:00"/>
    <n v="1"/>
    <x v="22"/>
    <n v="4.1999999999999997E-3"/>
    <s v="P"/>
    <s v="P"/>
    <s v="P"/>
    <s v="-"/>
    <s v="-"/>
    <n v="11.7"/>
    <s v="-"/>
    <s v="-"/>
    <s v="-"/>
    <s v="-"/>
    <s v="-"/>
    <s v="-"/>
    <s v="-"/>
    <s v="-"/>
    <s v="P"/>
    <s v="P"/>
    <s v="-"/>
    <n v="2"/>
    <n v="1"/>
    <n v="2"/>
    <n v="1"/>
    <s v="-"/>
    <s v="-"/>
    <s v="-"/>
    <s v="-"/>
    <s v="-"/>
    <s v="-"/>
    <s v="-"/>
    <n v="6"/>
    <n v="6"/>
    <s v="-"/>
    <n v="1"/>
    <n v="1"/>
    <n v="2"/>
    <n v="2"/>
    <n v="8"/>
    <n v="8"/>
  </r>
  <r>
    <x v="5"/>
    <x v="124"/>
    <d v="2026-06-02T00:00:00"/>
    <s v="1ST"/>
    <s v="08:00"/>
    <n v="1"/>
    <x v="22"/>
    <n v="1.11E-2"/>
    <s v="-"/>
    <s v="-"/>
    <s v="-"/>
    <s v="-"/>
    <s v="-"/>
    <s v="-"/>
    <s v="-"/>
    <s v="-"/>
    <s v="-"/>
    <s v="-"/>
    <s v="-"/>
    <s v="-"/>
    <s v="-"/>
    <s v="-"/>
    <s v="-"/>
    <s v="-"/>
    <s v="-"/>
    <n v="2"/>
    <s v="-"/>
    <s v="-"/>
    <s v="-"/>
    <s v="-"/>
    <s v="-"/>
    <s v="-"/>
    <s v="-"/>
    <s v="-"/>
    <s v="-"/>
    <s v="-"/>
    <n v="2"/>
    <n v="2"/>
    <s v="-"/>
    <s v="-"/>
    <s v="-"/>
    <n v="0"/>
    <n v="0"/>
    <n v="2"/>
    <n v="2"/>
  </r>
  <r>
    <x v="5"/>
    <x v="124"/>
    <d v="1902-03-26T00:00:00"/>
    <s v="1ST"/>
    <s v="06:00"/>
    <n v="2"/>
    <x v="7"/>
    <n v="1.54E-2"/>
    <s v="P"/>
    <s v="P"/>
    <s v="P"/>
    <s v="-"/>
    <s v="+"/>
    <n v="10.88"/>
    <n v="9.5500000000000007"/>
    <n v="0.55000000000000004"/>
    <n v="57.5"/>
    <s v="-"/>
    <s v="-"/>
    <n v="26.2"/>
    <s v="-"/>
    <s v="-"/>
    <s v="P"/>
    <s v="P"/>
    <s v="-"/>
    <n v="2"/>
    <n v="1"/>
    <n v="2"/>
    <n v="0"/>
    <n v="1"/>
    <n v="2"/>
    <n v="2"/>
    <s v="-"/>
    <s v="-"/>
    <n v="2"/>
    <s v="-"/>
    <n v="12"/>
    <n v="13"/>
    <s v="-"/>
    <n v="1"/>
    <n v="1"/>
    <n v="2"/>
    <n v="2"/>
    <n v="14"/>
    <n v="15"/>
  </r>
  <r>
    <x v="5"/>
    <x v="124"/>
    <d v="1899-12-30T00:00:00"/>
    <s v="1ST"/>
    <s v="07:00"/>
    <n v="2"/>
    <x v="7"/>
    <n v="1.52E-2"/>
    <s v="P"/>
    <s v="P"/>
    <s v="P"/>
    <s v="-"/>
    <s v="+"/>
    <n v="10.98"/>
    <s v="-"/>
    <s v="-"/>
    <s v="-"/>
    <s v="-"/>
    <s v="-"/>
    <s v="-"/>
    <s v="-"/>
    <s v="-"/>
    <s v="P"/>
    <s v="P"/>
    <s v="-"/>
    <n v="2"/>
    <n v="1"/>
    <n v="2"/>
    <n v="0"/>
    <s v="-"/>
    <s v="-"/>
    <s v="-"/>
    <s v="-"/>
    <s v="-"/>
    <s v="-"/>
    <s v="-"/>
    <n v="5"/>
    <n v="6"/>
    <s v="-"/>
    <n v="1"/>
    <n v="1"/>
    <n v="2"/>
    <n v="2"/>
    <n v="7"/>
    <n v="8"/>
  </r>
  <r>
    <x v="5"/>
    <x v="124"/>
    <d v="1899-12-30T00:00:00"/>
    <s v="1ST"/>
    <s v="08:00"/>
    <n v="2"/>
    <x v="7"/>
    <n v="1.37E-2"/>
    <s v="P"/>
    <s v="P"/>
    <s v="P"/>
    <s v="-"/>
    <s v="+"/>
    <n v="11.02"/>
    <s v="-"/>
    <s v="-"/>
    <s v="-"/>
    <s v="-"/>
    <s v="-"/>
    <s v="-"/>
    <s v="-"/>
    <s v="-"/>
    <s v="P"/>
    <s v="P"/>
    <s v="-"/>
    <n v="2"/>
    <n v="1"/>
    <n v="2"/>
    <n v="1"/>
    <s v="-"/>
    <s v="-"/>
    <s v="-"/>
    <s v="-"/>
    <s v="-"/>
    <s v="-"/>
    <s v="-"/>
    <n v="6"/>
    <n v="6"/>
    <s v="-"/>
    <n v="1"/>
    <n v="1"/>
    <n v="2"/>
    <n v="2"/>
    <n v="8"/>
    <n v="8"/>
  </r>
  <r>
    <x v="5"/>
    <x v="124"/>
    <d v="1899-12-30T00:00:00"/>
    <s v="1ST"/>
    <s v="09:00"/>
    <n v="2"/>
    <x v="7"/>
    <n v="1.6199999999999999E-2"/>
    <s v="P"/>
    <s v="P"/>
    <s v="P"/>
    <s v="-"/>
    <s v="+"/>
    <n v="10.95"/>
    <s v="-"/>
    <s v="-"/>
    <s v="-"/>
    <s v="-"/>
    <s v="-"/>
    <s v="-"/>
    <s v="-"/>
    <s v="-"/>
    <s v="P"/>
    <s v="P"/>
    <s v="-"/>
    <n v="2"/>
    <n v="1"/>
    <n v="2"/>
    <n v="0"/>
    <s v="-"/>
    <s v="-"/>
    <s v="-"/>
    <s v="-"/>
    <s v="-"/>
    <s v="-"/>
    <s v="-"/>
    <n v="5"/>
    <n v="6"/>
    <s v="-"/>
    <n v="1"/>
    <n v="1"/>
    <n v="2"/>
    <n v="2"/>
    <n v="7"/>
    <n v="8"/>
  </r>
  <r>
    <x v="5"/>
    <x v="124"/>
    <d v="1899-12-30T00:00:00"/>
    <s v="1ST"/>
    <s v="10:00"/>
    <n v="2"/>
    <x v="7"/>
    <n v="1.7299999999999999E-2"/>
    <s v="P"/>
    <s v="P"/>
    <s v="P"/>
    <s v="-"/>
    <s v="+"/>
    <n v="11.08"/>
    <s v="-"/>
    <s v="-"/>
    <s v="-"/>
    <s v="-"/>
    <s v="-"/>
    <s v="-"/>
    <s v="-"/>
    <s v="-"/>
    <s v="P"/>
    <s v="P"/>
    <s v="-"/>
    <n v="2"/>
    <n v="1"/>
    <n v="2"/>
    <n v="1"/>
    <s v="-"/>
    <s v="-"/>
    <s v="-"/>
    <s v="-"/>
    <s v="-"/>
    <s v="-"/>
    <s v="-"/>
    <n v="6"/>
    <n v="6"/>
    <s v="-"/>
    <n v="1"/>
    <n v="1"/>
    <n v="2"/>
    <n v="2"/>
    <n v="8"/>
    <n v="8"/>
  </r>
  <r>
    <x v="5"/>
    <x v="124"/>
    <d v="1899-12-30T00:00:00"/>
    <s v="1ST"/>
    <s v="11:00"/>
    <n v="2"/>
    <x v="7"/>
    <n v="1.2699999999999999E-2"/>
    <s v="P"/>
    <s v="P"/>
    <s v="P"/>
    <s v="-"/>
    <s v="+"/>
    <n v="10.91"/>
    <s v="-"/>
    <s v="-"/>
    <s v="-"/>
    <s v="-"/>
    <s v="-"/>
    <s v="-"/>
    <s v="-"/>
    <s v="-"/>
    <s v="P"/>
    <s v="P"/>
    <s v="-"/>
    <n v="2"/>
    <n v="1"/>
    <n v="2"/>
    <n v="0"/>
    <s v="-"/>
    <s v="-"/>
    <s v="-"/>
    <s v="-"/>
    <s v="-"/>
    <s v="-"/>
    <s v="-"/>
    <n v="5"/>
    <n v="6"/>
    <s v="-"/>
    <n v="1"/>
    <n v="1"/>
    <n v="2"/>
    <n v="2"/>
    <n v="7"/>
    <n v="8"/>
  </r>
  <r>
    <x v="5"/>
    <x v="124"/>
    <d v="1899-12-30T00:00:00"/>
    <s v="1ST"/>
    <s v="12:00"/>
    <n v="2"/>
    <x v="7"/>
    <n v="7.7000000000000002E-3"/>
    <s v="P"/>
    <s v="P"/>
    <s v="P"/>
    <s v="-"/>
    <s v="+"/>
    <n v="11.05"/>
    <s v="-"/>
    <s v="-"/>
    <s v="-"/>
    <s v="-"/>
    <s v="-"/>
    <s v="-"/>
    <s v="-"/>
    <s v="-"/>
    <s v="P"/>
    <s v="P"/>
    <s v="-"/>
    <n v="2"/>
    <n v="1"/>
    <n v="2"/>
    <n v="1"/>
    <s v="-"/>
    <s v="-"/>
    <s v="-"/>
    <s v="-"/>
    <s v="-"/>
    <s v="-"/>
    <s v="-"/>
    <n v="6"/>
    <n v="6"/>
    <s v="-"/>
    <n v="1"/>
    <n v="1"/>
    <n v="2"/>
    <n v="2"/>
    <n v="8"/>
    <n v="8"/>
  </r>
  <r>
    <x v="5"/>
    <x v="124"/>
    <d v="1899-12-30T00:00:00"/>
    <s v="1ST"/>
    <s v="13:00"/>
    <n v="2"/>
    <x v="7"/>
    <n v="7.4000000000000003E-3"/>
    <s v="P"/>
    <s v="P"/>
    <s v="P"/>
    <s v="-"/>
    <s v="+"/>
    <n v="10.97"/>
    <s v="-"/>
    <s v="-"/>
    <s v="-"/>
    <s v="-"/>
    <s v="-"/>
    <s v="-"/>
    <s v="-"/>
    <s v="-"/>
    <s v="P"/>
    <s v="P"/>
    <s v="-"/>
    <n v="2"/>
    <n v="1"/>
    <n v="2"/>
    <n v="0"/>
    <s v="-"/>
    <s v="-"/>
    <s v="-"/>
    <s v="-"/>
    <s v="-"/>
    <s v="-"/>
    <s v="-"/>
    <n v="5"/>
    <n v="6"/>
    <s v="-"/>
    <n v="1"/>
    <n v="1"/>
    <n v="2"/>
    <n v="2"/>
    <n v="7"/>
    <n v="8"/>
  </r>
  <r>
    <x v="5"/>
    <x v="124"/>
    <d v="2026-06-08T00:00:00"/>
    <s v="1ST"/>
    <s v="06:00"/>
    <n v="3"/>
    <x v="12"/>
    <n v="1.5900000000000001E-2"/>
    <s v="P"/>
    <s v="P"/>
    <s v="P"/>
    <s v="+"/>
    <s v="+"/>
    <n v="13.07"/>
    <n v="12.81"/>
    <s v="-"/>
    <s v="-"/>
    <s v="-"/>
    <s v="-"/>
    <n v="35.9"/>
    <s v="-"/>
    <s v="-"/>
    <s v="P"/>
    <s v="P"/>
    <n v="1"/>
    <n v="2"/>
    <n v="1"/>
    <n v="2"/>
    <n v="1"/>
    <s v="-"/>
    <s v="-"/>
    <s v="-"/>
    <s v="-"/>
    <s v="-"/>
    <n v="2"/>
    <s v="-"/>
    <n v="8"/>
    <n v="8"/>
    <s v="-"/>
    <n v="1"/>
    <n v="1"/>
    <n v="2"/>
    <n v="2"/>
    <n v="10"/>
    <n v="10"/>
  </r>
  <r>
    <x v="5"/>
    <x v="124"/>
    <d v="2026-06-08T00:00:00"/>
    <s v="1ST"/>
    <s v="08:00"/>
    <n v="3"/>
    <x v="16"/>
    <n v="1.72E-2"/>
    <s v="P"/>
    <s v="P"/>
    <s v="P"/>
    <s v="+"/>
    <s v="+"/>
    <n v="12.73"/>
    <n v="13.06"/>
    <n v="0.53"/>
    <s v="-"/>
    <s v="-"/>
    <s v="-"/>
    <n v="36.6"/>
    <s v="-"/>
    <s v="-"/>
    <s v="P"/>
    <s v="P"/>
    <n v="1"/>
    <n v="2"/>
    <n v="1"/>
    <n v="2"/>
    <n v="1"/>
    <n v="1"/>
    <n v="2"/>
    <s v="-"/>
    <s v="-"/>
    <s v="-"/>
    <n v="2"/>
    <s v="-"/>
    <n v="11"/>
    <n v="11"/>
    <s v="-"/>
    <n v="1"/>
    <n v="1"/>
    <n v="2"/>
    <n v="2"/>
    <n v="13"/>
    <n v="13"/>
  </r>
  <r>
    <x v="5"/>
    <x v="124"/>
    <d v="2026-06-08T00:00:00"/>
    <s v="1ST"/>
    <s v="10:00"/>
    <n v="3"/>
    <x v="16"/>
    <n v="1.8100000000000002E-2"/>
    <s v="P"/>
    <s v="P"/>
    <s v="P"/>
    <s v="+"/>
    <s v="+"/>
    <n v="12.69"/>
    <s v="-"/>
    <s v="-"/>
    <s v="-"/>
    <s v="-"/>
    <s v="-"/>
    <s v="-"/>
    <s v="-"/>
    <s v="-"/>
    <s v="P"/>
    <s v="P"/>
    <s v="-"/>
    <n v="2"/>
    <n v="1"/>
    <n v="2"/>
    <n v="1"/>
    <s v="-"/>
    <s v="-"/>
    <s v="-"/>
    <s v="-"/>
    <s v="-"/>
    <s v="-"/>
    <s v="-"/>
    <n v="6"/>
    <n v="6"/>
    <s v="-"/>
    <n v="1"/>
    <n v="1"/>
    <n v="2"/>
    <n v="2"/>
    <n v="8"/>
    <n v="8"/>
  </r>
  <r>
    <x v="5"/>
    <x v="124"/>
    <d v="2026-06-08T00:00:00"/>
    <s v="1ST"/>
    <s v="12:00"/>
    <n v="3"/>
    <x v="16"/>
    <n v="1.35E-2"/>
    <s v="P"/>
    <s v="P"/>
    <s v="P"/>
    <s v="+"/>
    <s v="+"/>
    <n v="12.48"/>
    <s v="-"/>
    <s v="-"/>
    <s v="-"/>
    <s v="-"/>
    <s v="-"/>
    <s v="-"/>
    <s v="-"/>
    <s v="-"/>
    <s v="P"/>
    <s v="P"/>
    <s v="-"/>
    <n v="2"/>
    <n v="1"/>
    <n v="2"/>
    <n v="1"/>
    <s v="-"/>
    <s v="-"/>
    <s v="-"/>
    <s v="-"/>
    <s v="-"/>
    <s v="-"/>
    <s v="-"/>
    <n v="6"/>
    <n v="6"/>
    <s v="-"/>
    <n v="1"/>
    <n v="1"/>
    <n v="2"/>
    <n v="2"/>
    <n v="8"/>
    <n v="8"/>
  </r>
  <r>
    <x v="5"/>
    <x v="124"/>
    <d v="2026-06-08T00:00:00"/>
    <s v="1ST"/>
    <s v="13:00"/>
    <n v="3"/>
    <x v="16"/>
    <s v="-"/>
    <s v="P"/>
    <s v="P"/>
    <s v="P"/>
    <s v="+"/>
    <s v="+"/>
    <s v="-"/>
    <s v="-"/>
    <s v="-"/>
    <s v="-"/>
    <s v="-"/>
    <s v="-"/>
    <s v="-"/>
    <s v="-"/>
    <s v="-"/>
    <s v="P"/>
    <s v="P"/>
    <s v="-"/>
    <s v="-"/>
    <n v="1"/>
    <n v="2"/>
    <s v="-"/>
    <s v="-"/>
    <s v="-"/>
    <s v="-"/>
    <s v="-"/>
    <s v="-"/>
    <s v="-"/>
    <s v="-"/>
    <n v="3"/>
    <n v="3"/>
    <s v="-"/>
    <n v="1"/>
    <n v="1"/>
    <n v="2"/>
    <n v="2"/>
    <n v="5"/>
    <n v="5"/>
  </r>
  <r>
    <x v="5"/>
    <x v="124"/>
    <s v="-"/>
    <s v="2ND"/>
    <d v="1899-12-30T14:00:00"/>
    <n v="1"/>
    <x v="22"/>
    <n v="6.4999999999999997E-3"/>
    <s v="P"/>
    <s v="P"/>
    <s v="P"/>
    <s v="-"/>
    <s v="-"/>
    <n v="11.23"/>
    <n v="8.92"/>
    <s v="-"/>
    <s v="-"/>
    <s v="-"/>
    <s v="-"/>
    <n v="24.1"/>
    <s v="-"/>
    <s v="-"/>
    <s v="P"/>
    <s v="P"/>
    <n v="1"/>
    <n v="2"/>
    <n v="1"/>
    <n v="2"/>
    <n v="1"/>
    <n v="1"/>
    <s v="-"/>
    <s v="-"/>
    <s v="-"/>
    <s v="-"/>
    <n v="2"/>
    <s v="-"/>
    <n v="9"/>
    <n v="9"/>
    <s v="-"/>
    <n v="1"/>
    <n v="1"/>
    <n v="2"/>
    <n v="2"/>
    <n v="11"/>
    <n v="11"/>
  </r>
  <r>
    <x v="5"/>
    <x v="124"/>
    <d v="2026-06-02T00:00:00"/>
    <s v="2ND"/>
    <d v="1899-12-30T15:00:00"/>
    <n v="1"/>
    <x v="22"/>
    <n v="5.1000000000000004E-3"/>
    <s v="P"/>
    <s v="P"/>
    <s v="P"/>
    <s v="-"/>
    <s v="-"/>
    <n v="11.69"/>
    <s v="-"/>
    <s v="-"/>
    <s v="-"/>
    <s v="-"/>
    <s v="-"/>
    <s v="-"/>
    <s v="-"/>
    <s v="-"/>
    <s v="P"/>
    <s v="P"/>
    <s v="-"/>
    <n v="2"/>
    <n v="1"/>
    <n v="2"/>
    <n v="1"/>
    <s v="-"/>
    <s v="-"/>
    <s v="-"/>
    <s v="-"/>
    <s v="-"/>
    <s v="-"/>
    <s v="-"/>
    <n v="6"/>
    <n v="6"/>
    <s v="-"/>
    <n v="1"/>
    <n v="1"/>
    <n v="2"/>
    <n v="2"/>
    <n v="8"/>
    <n v="8"/>
  </r>
  <r>
    <x v="5"/>
    <x v="124"/>
    <d v="2026-06-02T00:00:00"/>
    <s v="2ND"/>
    <d v="1899-12-30T16:00:00"/>
    <n v="1"/>
    <x v="22"/>
    <n v="7.7999999999999996E-3"/>
    <s v="P"/>
    <s v="P"/>
    <s v="P"/>
    <s v="-"/>
    <s v="-"/>
    <n v="11.59"/>
    <s v="-"/>
    <s v="-"/>
    <s v="-"/>
    <s v="-"/>
    <s v="-"/>
    <s v="-"/>
    <s v="-"/>
    <s v="-"/>
    <s v="P"/>
    <s v="P"/>
    <s v="-"/>
    <n v="2"/>
    <n v="1"/>
    <n v="2"/>
    <n v="1"/>
    <s v="-"/>
    <s v="-"/>
    <s v="-"/>
    <s v="-"/>
    <s v="-"/>
    <s v="-"/>
    <s v="-"/>
    <n v="6"/>
    <n v="6"/>
    <s v="-"/>
    <n v="1"/>
    <n v="1"/>
    <n v="2"/>
    <n v="2"/>
    <n v="8"/>
    <n v="8"/>
  </r>
  <r>
    <x v="5"/>
    <x v="124"/>
    <d v="1902-03-26T00:00:00"/>
    <s v="2ND"/>
    <d v="1899-12-30T14:00:00"/>
    <n v="2"/>
    <x v="7"/>
    <n v="1.32E-2"/>
    <s v="P"/>
    <s v="P"/>
    <s v="P"/>
    <s v="-"/>
    <s v="+"/>
    <n v="10.74"/>
    <n v="8.8000000000000007"/>
    <s v="-"/>
    <s v="-"/>
    <s v="-"/>
    <s v="-"/>
    <n v="23.8"/>
    <s v="-"/>
    <s v="-"/>
    <s v="P"/>
    <s v="P"/>
    <s v="-"/>
    <n v="2"/>
    <n v="1"/>
    <n v="2"/>
    <n v="0"/>
    <n v="1"/>
    <s v="-"/>
    <s v="-"/>
    <s v="-"/>
    <s v="-"/>
    <n v="2"/>
    <s v="-"/>
    <n v="8"/>
    <n v="9"/>
    <s v="-"/>
    <n v="1"/>
    <n v="1"/>
    <n v="2"/>
    <n v="2"/>
    <n v="10"/>
    <n v="11"/>
  </r>
  <r>
    <x v="5"/>
    <x v="124"/>
    <d v="1899-12-30T00:00:00"/>
    <s v="2ND"/>
    <d v="1899-12-30T15:00:00"/>
    <n v="2"/>
    <x v="7"/>
    <n v="5.1999999999999998E-3"/>
    <s v="P"/>
    <s v="P"/>
    <s v="P"/>
    <s v="-"/>
    <s v="+"/>
    <n v="10.93"/>
    <s v="-"/>
    <s v="-"/>
    <s v="-"/>
    <s v="-"/>
    <s v="-"/>
    <s v="-"/>
    <s v="-"/>
    <s v="-"/>
    <s v="P"/>
    <s v="P"/>
    <s v="-"/>
    <n v="2"/>
    <n v="1"/>
    <n v="2"/>
    <n v="0"/>
    <s v="-"/>
    <s v="-"/>
    <s v="-"/>
    <s v="-"/>
    <s v="-"/>
    <s v="-"/>
    <s v="-"/>
    <n v="5"/>
    <n v="6"/>
    <s v="-"/>
    <n v="1"/>
    <n v="1"/>
    <n v="2"/>
    <n v="2"/>
    <n v="7"/>
    <n v="8"/>
  </r>
  <r>
    <x v="5"/>
    <x v="124"/>
    <d v="1899-12-30T00:00:00"/>
    <s v="2ND"/>
    <d v="1899-12-30T16:00:00"/>
    <n v="2"/>
    <x v="7"/>
    <n v="6.4999999999999997E-3"/>
    <s v="P"/>
    <s v="P"/>
    <s v="P"/>
    <s v="-"/>
    <s v="+"/>
    <n v="10.93"/>
    <s v="-"/>
    <s v="-"/>
    <s v="-"/>
    <s v="-"/>
    <s v="-"/>
    <s v="-"/>
    <s v="-"/>
    <s v="-"/>
    <s v="P"/>
    <s v="P"/>
    <s v="-"/>
    <n v="2"/>
    <n v="1"/>
    <n v="2"/>
    <n v="0"/>
    <s v="-"/>
    <s v="-"/>
    <s v="-"/>
    <s v="-"/>
    <s v="-"/>
    <s v="-"/>
    <s v="-"/>
    <n v="5"/>
    <n v="6"/>
    <s v="-"/>
    <n v="1"/>
    <n v="1"/>
    <n v="2"/>
    <n v="2"/>
    <n v="7"/>
    <n v="8"/>
  </r>
  <r>
    <x v="5"/>
    <x v="124"/>
    <d v="1899-12-30T00:00:00"/>
    <s v="2ND"/>
    <d v="1899-12-30T17:00:00"/>
    <n v="2"/>
    <x v="7"/>
    <n v="1.0500000000000001E-2"/>
    <s v="P"/>
    <s v="P"/>
    <s v="P"/>
    <s v="-"/>
    <s v="+"/>
    <n v="10.94"/>
    <s v="-"/>
    <s v="-"/>
    <s v="-"/>
    <s v="-"/>
    <s v="-"/>
    <s v="-"/>
    <s v="-"/>
    <s v="-"/>
    <s v="P"/>
    <s v="P"/>
    <s v="-"/>
    <n v="2"/>
    <n v="1"/>
    <n v="2"/>
    <n v="0"/>
    <s v="-"/>
    <s v="-"/>
    <s v="-"/>
    <s v="-"/>
    <s v="-"/>
    <s v="-"/>
    <s v="-"/>
    <n v="5"/>
    <n v="6"/>
    <s v="-"/>
    <n v="1"/>
    <n v="1"/>
    <n v="2"/>
    <n v="2"/>
    <n v="7"/>
    <n v="8"/>
  </r>
  <r>
    <x v="5"/>
    <x v="124"/>
    <d v="1899-12-30T00:00:00"/>
    <s v="2ND"/>
    <d v="1899-12-30T20:00:00"/>
    <n v="2"/>
    <x v="7"/>
    <n v="6.1000000000000004E-3"/>
    <s v="P"/>
    <s v="P"/>
    <s v="P"/>
    <s v="-"/>
    <s v="+"/>
    <n v="11.36"/>
    <s v="-"/>
    <s v="-"/>
    <s v="-"/>
    <s v="-"/>
    <s v="-"/>
    <s v="-"/>
    <s v="-"/>
    <s v="-"/>
    <s v="P"/>
    <s v="P"/>
    <s v="-"/>
    <n v="2"/>
    <n v="1"/>
    <n v="2"/>
    <n v="1"/>
    <s v="-"/>
    <s v="-"/>
    <s v="-"/>
    <s v="-"/>
    <s v="-"/>
    <s v="-"/>
    <s v="-"/>
    <n v="6"/>
    <n v="6"/>
    <s v="-"/>
    <n v="1"/>
    <n v="1"/>
    <n v="2"/>
    <n v="2"/>
    <n v="8"/>
    <n v="8"/>
  </r>
  <r>
    <x v="5"/>
    <x v="124"/>
    <d v="2026-06-08T00:00:00"/>
    <s v="2ND"/>
    <d v="1899-12-30T15:00:00"/>
    <n v="3"/>
    <x v="16"/>
    <n v="1.5599999999999999E-2"/>
    <s v="P"/>
    <s v="P"/>
    <s v="P"/>
    <s v="+"/>
    <s v="+"/>
    <n v="12.04"/>
    <n v="13.3"/>
    <s v="-"/>
    <s v="-"/>
    <s v="-"/>
    <s v="-"/>
    <n v="37.1"/>
    <s v="-"/>
    <s v="-"/>
    <s v="P"/>
    <s v="P"/>
    <n v="1"/>
    <n v="2"/>
    <n v="1"/>
    <n v="2"/>
    <n v="1"/>
    <n v="1"/>
    <s v="-"/>
    <s v="-"/>
    <s v="-"/>
    <s v="-"/>
    <n v="2"/>
    <s v="-"/>
    <n v="9"/>
    <n v="9"/>
    <s v="-"/>
    <n v="1"/>
    <n v="1"/>
    <n v="2"/>
    <n v="2"/>
    <n v="11"/>
    <n v="11"/>
  </r>
  <r>
    <x v="5"/>
    <x v="124"/>
    <d v="2026-06-08T00:00:00"/>
    <s v="2ND"/>
    <d v="1899-12-30T16:00:00"/>
    <n v="3"/>
    <x v="16"/>
    <n v="7.7000000000000002E-3"/>
    <s v="P"/>
    <s v="P"/>
    <s v="P"/>
    <s v="+"/>
    <s v="+"/>
    <n v="12.59"/>
    <s v="-"/>
    <s v="-"/>
    <s v="-"/>
    <s v="-"/>
    <s v="-"/>
    <s v="-"/>
    <s v="-"/>
    <s v="-"/>
    <s v="P"/>
    <s v="P"/>
    <s v="-"/>
    <n v="2"/>
    <n v="1"/>
    <n v="2"/>
    <n v="1"/>
    <s v="-"/>
    <s v="-"/>
    <s v="-"/>
    <s v="-"/>
    <s v="-"/>
    <s v="-"/>
    <s v="-"/>
    <n v="6"/>
    <n v="6"/>
    <s v="-"/>
    <n v="1"/>
    <n v="1"/>
    <n v="2"/>
    <n v="2"/>
    <n v="8"/>
    <n v="8"/>
  </r>
  <r>
    <x v="5"/>
    <x v="124"/>
    <d v="2026-06-08T00:00:00"/>
    <s v="2ND"/>
    <d v="1899-12-30T17:00:00"/>
    <n v="3"/>
    <x v="16"/>
    <n v="1.2800000000000001E-2"/>
    <s v="P"/>
    <s v="P"/>
    <s v="P"/>
    <s v="+"/>
    <s v="+"/>
    <n v="12.91"/>
    <s v="-"/>
    <s v="-"/>
    <s v="-"/>
    <s v="-"/>
    <s v="-"/>
    <s v="-"/>
    <s v="-"/>
    <s v="-"/>
    <s v="P"/>
    <s v="P"/>
    <s v="-"/>
    <n v="2"/>
    <n v="1"/>
    <n v="2"/>
    <n v="1"/>
    <s v="-"/>
    <s v="-"/>
    <s v="-"/>
    <s v="-"/>
    <s v="-"/>
    <s v="-"/>
    <s v="-"/>
    <n v="6"/>
    <n v="6"/>
    <s v="-"/>
    <n v="1"/>
    <n v="1"/>
    <n v="2"/>
    <n v="2"/>
    <n v="8"/>
    <n v="8"/>
  </r>
  <r>
    <x v="5"/>
    <x v="124"/>
    <d v="2026-06-08T00:00:00"/>
    <s v="2ND"/>
    <d v="1899-12-30T19:00:00"/>
    <n v="3"/>
    <x v="16"/>
    <n v="1.06E-2"/>
    <s v="P"/>
    <s v="P"/>
    <s v="P"/>
    <s v="+"/>
    <s v="+"/>
    <n v="13.2"/>
    <s v="-"/>
    <s v="-"/>
    <s v="-"/>
    <s v="-"/>
    <s v="-"/>
    <s v="-"/>
    <s v="-"/>
    <s v="-"/>
    <s v="P"/>
    <s v="P"/>
    <s v="-"/>
    <n v="2"/>
    <n v="1"/>
    <n v="2"/>
    <n v="1"/>
    <s v="-"/>
    <s v="-"/>
    <s v="-"/>
    <s v="-"/>
    <s v="-"/>
    <s v="-"/>
    <s v="-"/>
    <n v="6"/>
    <n v="6"/>
    <s v="-"/>
    <n v="1"/>
    <n v="1"/>
    <n v="2"/>
    <n v="2"/>
    <n v="8"/>
    <n v="8"/>
  </r>
  <r>
    <x v="5"/>
    <x v="124"/>
    <d v="2026-06-08T00:00:00"/>
    <s v="2ND"/>
    <d v="1899-12-30T20:00:00"/>
    <n v="3"/>
    <x v="16"/>
    <n v="1.2800000000000001E-2"/>
    <s v="P"/>
    <s v="P"/>
    <s v="P"/>
    <s v="+"/>
    <s v="+"/>
    <n v="12.73"/>
    <s v="-"/>
    <s v="-"/>
    <s v="-"/>
    <s v="-"/>
    <s v="-"/>
    <s v="-"/>
    <s v="-"/>
    <s v="-"/>
    <s v="P"/>
    <s v="P"/>
    <s v="-"/>
    <n v="2"/>
    <n v="1"/>
    <n v="2"/>
    <n v="1"/>
    <s v="-"/>
    <s v="-"/>
    <s v="-"/>
    <s v="-"/>
    <s v="-"/>
    <s v="-"/>
    <s v="-"/>
    <n v="6"/>
    <n v="6"/>
    <s v="-"/>
    <n v="1"/>
    <n v="1"/>
    <n v="2"/>
    <n v="2"/>
    <n v="8"/>
    <n v="8"/>
  </r>
  <r>
    <x v="5"/>
    <x v="124"/>
    <d v="2026-06-05T00:00:00"/>
    <s v="2ND"/>
    <d v="1899-12-30T14:00:00"/>
    <s v="Retail"/>
    <x v="25"/>
    <s v="-"/>
    <s v="P"/>
    <s v="P"/>
    <s v="P"/>
    <s v="+"/>
    <s v="+"/>
    <n v="11.11"/>
    <n v="15.68"/>
    <n v="1.17"/>
    <n v="70.5"/>
    <s v="-"/>
    <s v="-"/>
    <n v="45"/>
    <s v="-"/>
    <s v="-"/>
    <s v="-"/>
    <s v="-"/>
    <s v="-"/>
    <s v="-"/>
    <n v="1"/>
    <n v="2"/>
    <n v="0"/>
    <n v="1"/>
    <n v="2"/>
    <n v="2"/>
    <s v="-"/>
    <s v="-"/>
    <n v="2"/>
    <s v="-"/>
    <n v="10"/>
    <n v="11"/>
    <s v="-"/>
    <s v="-"/>
    <s v="-"/>
    <n v="0"/>
    <n v="0"/>
    <n v="10"/>
    <n v="11"/>
  </r>
  <r>
    <x v="5"/>
    <x v="124"/>
    <d v="2026-06-05T00:00:00"/>
    <s v="2ND"/>
    <d v="1899-12-30T15:00:00"/>
    <s v="Retail"/>
    <x v="25"/>
    <s v="-"/>
    <s v="P"/>
    <s v="P"/>
    <s v="P"/>
    <s v="+"/>
    <s v="+"/>
    <n v="11.01"/>
    <s v="-"/>
    <s v="-"/>
    <s v="-"/>
    <s v="-"/>
    <s v="-"/>
    <s v="-"/>
    <s v="-"/>
    <s v="-"/>
    <s v="-"/>
    <s v="-"/>
    <s v="-"/>
    <s v="-"/>
    <n v="1"/>
    <n v="2"/>
    <n v="0"/>
    <s v="-"/>
    <s v="-"/>
    <s v="-"/>
    <s v="-"/>
    <s v="-"/>
    <s v="-"/>
    <s v="-"/>
    <n v="3"/>
    <n v="4"/>
    <s v="-"/>
    <s v="-"/>
    <s v="-"/>
    <n v="0"/>
    <n v="0"/>
    <n v="3"/>
    <n v="4"/>
  </r>
  <r>
    <x v="5"/>
    <x v="124"/>
    <d v="2026-06-05T00:00:00"/>
    <s v="2ND"/>
    <d v="1899-12-30T16:00:00"/>
    <s v="Retail"/>
    <x v="25"/>
    <s v="-"/>
    <s v="P"/>
    <s v="P"/>
    <s v="P"/>
    <s v="+"/>
    <s v="+"/>
    <n v="10.78"/>
    <s v="-"/>
    <s v="-"/>
    <s v="-"/>
    <s v="-"/>
    <s v="-"/>
    <s v="-"/>
    <s v="-"/>
    <s v="-"/>
    <s v="-"/>
    <s v="-"/>
    <s v="-"/>
    <s v="-"/>
    <n v="1"/>
    <n v="2"/>
    <n v="0"/>
    <s v="-"/>
    <s v="-"/>
    <s v="-"/>
    <s v="-"/>
    <s v="-"/>
    <s v="-"/>
    <s v="-"/>
    <n v="3"/>
    <n v="4"/>
    <s v="-"/>
    <s v="-"/>
    <s v="-"/>
    <n v="0"/>
    <n v="0"/>
    <n v="3"/>
    <n v="4"/>
  </r>
  <r>
    <x v="5"/>
    <x v="124"/>
    <d v="2026-06-05T00:00:00"/>
    <s v="2ND"/>
    <d v="1899-12-30T17:00:00"/>
    <s v="Retail"/>
    <x v="25"/>
    <s v="-"/>
    <s v="P"/>
    <s v="P"/>
    <s v="P"/>
    <s v="+"/>
    <s v="+"/>
    <n v="10.84"/>
    <s v="-"/>
    <s v="-"/>
    <s v="-"/>
    <s v="-"/>
    <s v="-"/>
    <s v="-"/>
    <s v="-"/>
    <s v="-"/>
    <s v="-"/>
    <s v="-"/>
    <s v="-"/>
    <s v="-"/>
    <n v="1"/>
    <n v="2"/>
    <n v="0"/>
    <s v="-"/>
    <s v="-"/>
    <s v="-"/>
    <s v="-"/>
    <s v="-"/>
    <s v="-"/>
    <s v="-"/>
    <n v="3"/>
    <n v="4"/>
    <s v="-"/>
    <s v="-"/>
    <s v="-"/>
    <n v="0"/>
    <n v="0"/>
    <n v="3"/>
    <n v="4"/>
  </r>
  <r>
    <x v="5"/>
    <x v="124"/>
    <s v="-"/>
    <s v="3RD"/>
    <d v="1899-12-30T22:00:00"/>
    <n v="1"/>
    <x v="22"/>
    <n v="8.3000000000000001E-3"/>
    <s v="P"/>
    <s v="P"/>
    <s v="P"/>
    <s v="-"/>
    <s v="-"/>
    <n v="12.1"/>
    <n v="9.3800000000000008"/>
    <n v="0.54"/>
    <s v="-"/>
    <s v="-"/>
    <s v="-"/>
    <n v="25.5"/>
    <s v="-"/>
    <n v="25.16"/>
    <s v="P"/>
    <s v="P"/>
    <s v="-"/>
    <n v="2"/>
    <n v="1"/>
    <n v="2"/>
    <n v="1"/>
    <n v="1"/>
    <n v="2"/>
    <s v="-"/>
    <s v="-"/>
    <s v="-"/>
    <n v="2"/>
    <s v="-"/>
    <n v="11"/>
    <n v="11"/>
    <n v="1"/>
    <n v="1"/>
    <n v="1"/>
    <n v="3"/>
    <n v="3"/>
    <n v="14"/>
    <n v="14"/>
  </r>
  <r>
    <x v="5"/>
    <x v="124"/>
    <d v="2026-06-02T00:00:00"/>
    <s v="3RD"/>
    <d v="1899-12-31T00:00:00"/>
    <n v="1"/>
    <x v="22"/>
    <n v="1.61E-2"/>
    <s v="P"/>
    <s v="P"/>
    <s v="P"/>
    <s v="-"/>
    <s v="-"/>
    <n v="11.63"/>
    <s v="-"/>
    <s v="-"/>
    <s v="-"/>
    <s v="-"/>
    <s v="-"/>
    <s v="-"/>
    <s v="-"/>
    <s v="-"/>
    <s v="P"/>
    <s v="P"/>
    <s v="-"/>
    <n v="2"/>
    <n v="1"/>
    <n v="2"/>
    <n v="1"/>
    <s v="-"/>
    <s v="-"/>
    <s v="-"/>
    <s v="-"/>
    <s v="-"/>
    <s v="-"/>
    <s v="-"/>
    <n v="6"/>
    <n v="6"/>
    <s v="-"/>
    <n v="1"/>
    <n v="1"/>
    <n v="2"/>
    <n v="2"/>
    <n v="8"/>
    <n v="8"/>
  </r>
  <r>
    <x v="5"/>
    <x v="124"/>
    <d v="2026-06-02T00:00:00"/>
    <s v="3RD"/>
    <d v="1899-12-31T01:00:00"/>
    <n v="1"/>
    <x v="22"/>
    <n v="1.47E-2"/>
    <s v="P"/>
    <s v="P"/>
    <s v="P"/>
    <s v="-"/>
    <s v="-"/>
    <n v="11.62"/>
    <s v="-"/>
    <s v="-"/>
    <s v="-"/>
    <s v="-"/>
    <s v="-"/>
    <s v="-"/>
    <s v="-"/>
    <s v="-"/>
    <s v="P"/>
    <s v="P"/>
    <s v="-"/>
    <n v="2"/>
    <n v="1"/>
    <n v="2"/>
    <n v="1"/>
    <s v="-"/>
    <s v="-"/>
    <s v="-"/>
    <s v="-"/>
    <s v="-"/>
    <s v="-"/>
    <s v="-"/>
    <n v="6"/>
    <n v="6"/>
    <s v="-"/>
    <n v="1"/>
    <n v="1"/>
    <n v="2"/>
    <n v="2"/>
    <n v="8"/>
    <n v="8"/>
  </r>
  <r>
    <x v="5"/>
    <x v="124"/>
    <d v="1899-12-30T00:00:00"/>
    <s v="3RD"/>
    <d v="1899-12-30T22:00:00"/>
    <n v="2"/>
    <x v="10"/>
    <n v="4.4999999999999997E-3"/>
    <s v="P"/>
    <s v="P"/>
    <s v="P"/>
    <s v="+"/>
    <s v="+"/>
    <n v="11.89"/>
    <n v="11.61"/>
    <n v="0.33"/>
    <n v="65.2"/>
    <s v="-"/>
    <s v="-"/>
    <n v="32.299999999999997"/>
    <s v="-"/>
    <n v="25.19"/>
    <s v="P"/>
    <s v="P"/>
    <s v="-"/>
    <n v="2"/>
    <n v="1"/>
    <n v="2"/>
    <n v="0"/>
    <n v="1"/>
    <n v="2"/>
    <n v="2"/>
    <s v="-"/>
    <s v="-"/>
    <n v="2"/>
    <s v="-"/>
    <n v="12"/>
    <n v="13"/>
    <n v="1"/>
    <n v="1"/>
    <n v="1"/>
    <n v="3"/>
    <n v="3"/>
    <n v="15"/>
    <n v="16"/>
  </r>
  <r>
    <x v="5"/>
    <x v="124"/>
    <d v="1899-12-30T00:00:00"/>
    <s v="3RD"/>
    <d v="1899-12-31T00:00:00"/>
    <n v="2"/>
    <x v="10"/>
    <n v="6.1000000000000004E-3"/>
    <s v="P"/>
    <s v="P"/>
    <s v="P"/>
    <s v="+"/>
    <s v="+"/>
    <n v="11.78"/>
    <s v="-"/>
    <s v="-"/>
    <s v="-"/>
    <s v="-"/>
    <s v="-"/>
    <s v="-"/>
    <s v="-"/>
    <s v="-"/>
    <s v="P"/>
    <s v="P"/>
    <s v="-"/>
    <n v="2"/>
    <n v="1"/>
    <n v="2"/>
    <n v="0"/>
    <s v="-"/>
    <s v="-"/>
    <s v="-"/>
    <s v="-"/>
    <s v="-"/>
    <s v="-"/>
    <s v="-"/>
    <n v="5"/>
    <n v="6"/>
    <s v="-"/>
    <n v="1"/>
    <n v="1"/>
    <n v="2"/>
    <n v="2"/>
    <n v="7"/>
    <n v="8"/>
  </r>
  <r>
    <x v="5"/>
    <x v="124"/>
    <d v="1899-12-30T00:00:00"/>
    <s v="3RD"/>
    <d v="1899-12-31T02:00:00"/>
    <n v="2"/>
    <x v="17"/>
    <n v="3.8999999999999998E-3"/>
    <s v="P"/>
    <s v="P"/>
    <s v="P"/>
    <s v="-"/>
    <s v="+"/>
    <n v="11.23"/>
    <n v="8.8000000000000007"/>
    <s v="-"/>
    <n v="55.8"/>
    <s v="-"/>
    <s v="-"/>
    <n v="23.75"/>
    <s v="-"/>
    <s v="-"/>
    <s v="P"/>
    <s v="P"/>
    <s v="-"/>
    <n v="2"/>
    <n v="1"/>
    <n v="2"/>
    <n v="1"/>
    <n v="1"/>
    <s v="-"/>
    <n v="2"/>
    <s v="-"/>
    <s v="-"/>
    <n v="2"/>
    <s v="-"/>
    <n v="11"/>
    <n v="11"/>
    <s v="-"/>
    <n v="1"/>
    <n v="1"/>
    <n v="2"/>
    <n v="2"/>
    <n v="13"/>
    <n v="13"/>
  </r>
  <r>
    <x v="5"/>
    <x v="124"/>
    <d v="1899-12-30T00:00:00"/>
    <s v="3RD"/>
    <d v="1899-12-31T04:00:00"/>
    <n v="2"/>
    <x v="17"/>
    <n v="4.3E-3"/>
    <s v="P"/>
    <s v="P"/>
    <s v="P"/>
    <s v="-"/>
    <s v="+"/>
    <n v="11.46"/>
    <s v="-"/>
    <s v="-"/>
    <s v="-"/>
    <s v="-"/>
    <s v="-"/>
    <s v="-"/>
    <s v="-"/>
    <s v="-"/>
    <s v="P"/>
    <s v="P"/>
    <s v="-"/>
    <n v="2"/>
    <n v="1"/>
    <n v="2"/>
    <n v="1"/>
    <s v="-"/>
    <s v="-"/>
    <s v="-"/>
    <s v="-"/>
    <s v="-"/>
    <s v="-"/>
    <s v="-"/>
    <n v="6"/>
    <n v="6"/>
    <s v="-"/>
    <n v="1"/>
    <n v="1"/>
    <n v="2"/>
    <n v="2"/>
    <n v="8"/>
    <n v="8"/>
  </r>
  <r>
    <x v="5"/>
    <x v="124"/>
    <d v="1899-12-30T00:00:00"/>
    <s v="3RD"/>
    <d v="1899-12-31T05:00:00"/>
    <n v="2"/>
    <x v="17"/>
    <n v="3.5000000000000001E-3"/>
    <s v="-"/>
    <s v="-"/>
    <s v="-"/>
    <s v="-"/>
    <s v="-"/>
    <n v="11.16"/>
    <s v="-"/>
    <s v="-"/>
    <s v="-"/>
    <s v="-"/>
    <s v="-"/>
    <s v="-"/>
    <s v="-"/>
    <s v="-"/>
    <s v="P"/>
    <s v="P"/>
    <s v="-"/>
    <n v="2"/>
    <s v="-"/>
    <s v="-"/>
    <n v="1"/>
    <s v="-"/>
    <s v="-"/>
    <s v="-"/>
    <s v="-"/>
    <s v="-"/>
    <s v="-"/>
    <s v="-"/>
    <n v="3"/>
    <n v="3"/>
    <s v="-"/>
    <n v="1"/>
    <n v="1"/>
    <n v="2"/>
    <n v="2"/>
    <n v="5"/>
    <n v="5"/>
  </r>
  <r>
    <x v="5"/>
    <x v="124"/>
    <d v="2026-06-10T00:00:00"/>
    <s v="3RD"/>
    <d v="1899-12-30T22:00:00"/>
    <n v="3"/>
    <x v="8"/>
    <n v="1.3100000000000001E-2"/>
    <s v="P"/>
    <s v="P"/>
    <s v="P"/>
    <s v="+"/>
    <s v="+"/>
    <n v="11.6"/>
    <n v="12.95"/>
    <n v="0.56999999999999995"/>
    <n v="65.099999999999994"/>
    <s v="-"/>
    <s v="-"/>
    <n v="36.299999999999997"/>
    <s v="-"/>
    <n v="25.2"/>
    <s v="P"/>
    <s v="P"/>
    <s v="-"/>
    <n v="2"/>
    <n v="1"/>
    <n v="2"/>
    <n v="1"/>
    <n v="1"/>
    <n v="2"/>
    <n v="2"/>
    <s v="-"/>
    <s v="-"/>
    <s v="-"/>
    <s v="-"/>
    <n v="11"/>
    <n v="11"/>
    <s v="-"/>
    <n v="1"/>
    <n v="1"/>
    <n v="2"/>
    <n v="2"/>
    <n v="13"/>
    <n v="13"/>
  </r>
  <r>
    <x v="5"/>
    <x v="124"/>
    <d v="2026-06-10T00:00:00"/>
    <s v="3RD"/>
    <d v="1899-12-31T00:00:00"/>
    <n v="3"/>
    <x v="8"/>
    <n v="1.5599999999999999E-2"/>
    <s v="P"/>
    <s v="P"/>
    <s v="P"/>
    <s v="+"/>
    <s v="+"/>
    <n v="12.1"/>
    <s v="-"/>
    <s v="-"/>
    <s v="-"/>
    <s v="-"/>
    <s v="-"/>
    <s v="-"/>
    <s v="-"/>
    <s v="-"/>
    <s v="P"/>
    <s v="P"/>
    <s v="-"/>
    <n v="2"/>
    <n v="1"/>
    <n v="2"/>
    <n v="1"/>
    <s v="-"/>
    <s v="-"/>
    <s v="-"/>
    <s v="-"/>
    <s v="-"/>
    <s v="-"/>
    <s v="-"/>
    <n v="6"/>
    <n v="6"/>
    <s v="-"/>
    <n v="1"/>
    <n v="1"/>
    <n v="2"/>
    <n v="2"/>
    <n v="8"/>
    <n v="8"/>
  </r>
  <r>
    <x v="5"/>
    <x v="124"/>
    <d v="2026-06-10T00:00:00"/>
    <s v="3RD"/>
    <d v="1899-12-31T01:00:00"/>
    <n v="3"/>
    <x v="8"/>
    <n v="1.8499999999999999E-2"/>
    <s v="P"/>
    <s v="P"/>
    <s v="P"/>
    <s v="+"/>
    <s v="+"/>
    <n v="13.23"/>
    <s v="-"/>
    <s v="-"/>
    <s v="-"/>
    <s v="-"/>
    <s v="-"/>
    <s v="-"/>
    <s v="-"/>
    <s v="-"/>
    <s v="P"/>
    <s v="P"/>
    <s v="-"/>
    <n v="2"/>
    <n v="1"/>
    <n v="2"/>
    <n v="1"/>
    <s v="-"/>
    <s v="-"/>
    <s v="-"/>
    <s v="-"/>
    <s v="-"/>
    <s v="-"/>
    <s v="-"/>
    <n v="6"/>
    <n v="6"/>
    <s v="-"/>
    <n v="1"/>
    <n v="1"/>
    <n v="2"/>
    <n v="2"/>
    <n v="8"/>
    <n v="8"/>
  </r>
  <r>
    <x v="5"/>
    <x v="124"/>
    <d v="2026-06-10T00:00:00"/>
    <s v="3RD"/>
    <d v="1899-12-31T02:00:00"/>
    <n v="3"/>
    <x v="8"/>
    <n v="1.5100000000000001E-2"/>
    <s v="P"/>
    <s v="P"/>
    <s v="P"/>
    <s v="+"/>
    <s v="+"/>
    <n v="13.27"/>
    <s v="-"/>
    <s v="-"/>
    <s v="-"/>
    <s v="-"/>
    <s v="-"/>
    <s v="-"/>
    <s v="-"/>
    <s v="-"/>
    <s v="P"/>
    <s v="P"/>
    <s v="-"/>
    <n v="2"/>
    <n v="1"/>
    <n v="2"/>
    <n v="1"/>
    <s v="-"/>
    <s v="-"/>
    <s v="-"/>
    <s v="-"/>
    <s v="-"/>
    <s v="-"/>
    <s v="-"/>
    <n v="6"/>
    <n v="6"/>
    <s v="-"/>
    <n v="1"/>
    <n v="1"/>
    <n v="2"/>
    <n v="2"/>
    <n v="8"/>
    <n v="8"/>
  </r>
  <r>
    <x v="5"/>
    <x v="124"/>
    <d v="2026-06-10T00:00:00"/>
    <s v="3RD"/>
    <d v="1899-12-31T03:00:00"/>
    <n v="3"/>
    <x v="8"/>
    <n v="1.7299999999999999E-2"/>
    <s v="P"/>
    <s v="P"/>
    <s v="P"/>
    <s v="+"/>
    <s v="+"/>
    <n v="13.02"/>
    <s v="-"/>
    <s v="-"/>
    <s v="-"/>
    <s v="-"/>
    <s v="-"/>
    <s v="-"/>
    <s v="-"/>
    <s v="-"/>
    <s v="P"/>
    <s v="P"/>
    <s v="-"/>
    <n v="2"/>
    <n v="1"/>
    <n v="2"/>
    <n v="1"/>
    <s v="-"/>
    <s v="-"/>
    <s v="-"/>
    <s v="-"/>
    <s v="-"/>
    <s v="-"/>
    <s v="-"/>
    <n v="6"/>
    <n v="6"/>
    <s v="-"/>
    <n v="1"/>
    <n v="1"/>
    <n v="2"/>
    <n v="2"/>
    <n v="8"/>
    <n v="8"/>
  </r>
  <r>
    <x v="5"/>
    <x v="124"/>
    <d v="2026-06-10T00:00:00"/>
    <s v="3RD"/>
    <d v="1899-12-31T04:00:00"/>
    <n v="3"/>
    <x v="8"/>
    <n v="1.8499999999999999E-2"/>
    <s v="P"/>
    <s v="P"/>
    <s v="P"/>
    <s v="+"/>
    <s v="+"/>
    <n v="13"/>
    <s v="-"/>
    <s v="-"/>
    <s v="-"/>
    <s v="-"/>
    <s v="-"/>
    <s v="-"/>
    <s v="-"/>
    <s v="-"/>
    <s v="P"/>
    <s v="P"/>
    <s v="-"/>
    <n v="2"/>
    <n v="1"/>
    <n v="2"/>
    <n v="1"/>
    <s v="-"/>
    <s v="-"/>
    <s v="-"/>
    <s v="-"/>
    <s v="-"/>
    <s v="-"/>
    <s v="-"/>
    <n v="6"/>
    <n v="6"/>
    <s v="-"/>
    <n v="1"/>
    <n v="1"/>
    <n v="2"/>
    <n v="2"/>
    <n v="8"/>
    <n v="8"/>
  </r>
  <r>
    <x v="5"/>
    <x v="124"/>
    <d v="2026-06-10T00:00:00"/>
    <s v="3RD"/>
    <d v="1899-12-31T05:00:00"/>
    <n v="3"/>
    <x v="8"/>
    <n v="1.9699999999999999E-2"/>
    <s v="P"/>
    <s v="P"/>
    <s v="P"/>
    <s v="+"/>
    <s v="+"/>
    <n v="12.76"/>
    <s v="-"/>
    <s v="-"/>
    <s v="-"/>
    <s v="-"/>
    <s v="-"/>
    <s v="-"/>
    <s v="-"/>
    <s v="-"/>
    <s v="P"/>
    <s v="P"/>
    <s v="-"/>
    <n v="2"/>
    <n v="1"/>
    <n v="2"/>
    <n v="1"/>
    <s v="-"/>
    <s v="-"/>
    <s v="-"/>
    <s v="-"/>
    <s v="-"/>
    <s v="-"/>
    <s v="-"/>
    <n v="6"/>
    <n v="6"/>
    <s v="-"/>
    <n v="1"/>
    <n v="1"/>
    <n v="2"/>
    <n v="2"/>
    <n v="8"/>
    <n v="8"/>
  </r>
  <r>
    <x v="5"/>
    <x v="125"/>
    <d v="2026-06-09T00:00:00"/>
    <s v="1ST"/>
    <s v="08:00"/>
    <n v="1"/>
    <x v="22"/>
    <n v="1.9699999999999999E-2"/>
    <s v="P"/>
    <s v="P"/>
    <s v="P"/>
    <s v="-"/>
    <s v="-"/>
    <n v="11.63"/>
    <n v="8.9700000000000006"/>
    <n v="0.59"/>
    <n v="55.8"/>
    <s v="-"/>
    <s v="-"/>
    <n v="24.3"/>
    <s v="-"/>
    <s v="-"/>
    <s v="P"/>
    <s v="P"/>
    <n v="1"/>
    <n v="2"/>
    <n v="1"/>
    <n v="2"/>
    <n v="1"/>
    <n v="1"/>
    <n v="2"/>
    <n v="2"/>
    <s v="-"/>
    <s v="-"/>
    <n v="2"/>
    <s v="-"/>
    <n v="13"/>
    <n v="13"/>
    <s v="-"/>
    <n v="1"/>
    <n v="1"/>
    <n v="2"/>
    <n v="2"/>
    <n v="15"/>
    <n v="15"/>
  </r>
  <r>
    <x v="5"/>
    <x v="125"/>
    <d v="2026-06-09T00:00:00"/>
    <s v="1ST"/>
    <s v="09:00"/>
    <n v="1"/>
    <x v="22"/>
    <n v="1.6500000000000001E-2"/>
    <s v="P"/>
    <s v="P"/>
    <s v="P"/>
    <s v="-"/>
    <s v="-"/>
    <n v="11.14"/>
    <n v="9.1199999999999992"/>
    <n v="0.62"/>
    <n v="55.6"/>
    <s v="-"/>
    <s v="-"/>
    <n v="24.8"/>
    <s v="-"/>
    <s v="-"/>
    <s v="P"/>
    <s v="P"/>
    <s v="-"/>
    <n v="2"/>
    <n v="1"/>
    <n v="2"/>
    <n v="1"/>
    <n v="1"/>
    <n v="0"/>
    <n v="2"/>
    <s v="-"/>
    <s v="-"/>
    <n v="2"/>
    <s v="-"/>
    <n v="11"/>
    <n v="13"/>
    <s v="-"/>
    <n v="1"/>
    <n v="1"/>
    <n v="2"/>
    <n v="2"/>
    <n v="13"/>
    <n v="15"/>
  </r>
  <r>
    <x v="5"/>
    <x v="125"/>
    <d v="1902-03-26T00:00:00"/>
    <s v="1ST"/>
    <s v="06:00"/>
    <n v="2"/>
    <x v="17"/>
    <n v="4.3E-3"/>
    <s v="P"/>
    <s v="P"/>
    <s v="P"/>
    <s v="-"/>
    <s v="+"/>
    <n v="11.25"/>
    <n v="7.59"/>
    <n v="0.44"/>
    <n v="56.5"/>
    <s v="-"/>
    <s v="-"/>
    <n v="20.100000000000001"/>
    <s v="-"/>
    <s v="-"/>
    <s v="P"/>
    <s v="P"/>
    <s v="-"/>
    <n v="2"/>
    <n v="1"/>
    <n v="2"/>
    <n v="1"/>
    <n v="1"/>
    <n v="0"/>
    <n v="2"/>
    <s v="-"/>
    <s v="-"/>
    <n v="2"/>
    <s v="-"/>
    <n v="11"/>
    <n v="13"/>
    <s v="-"/>
    <n v="1"/>
    <n v="1"/>
    <n v="2"/>
    <n v="2"/>
    <n v="13"/>
    <n v="15"/>
  </r>
  <r>
    <x v="5"/>
    <x v="125"/>
    <d v="1899-12-30T00:00:00"/>
    <s v="1ST"/>
    <s v="07:00"/>
    <n v="2"/>
    <x v="17"/>
    <n v="5.7999999999999996E-3"/>
    <s v="P"/>
    <s v="P"/>
    <s v="P"/>
    <s v="-"/>
    <s v="+"/>
    <n v="11.39"/>
    <s v="-"/>
    <s v="-"/>
    <s v="-"/>
    <s v="-"/>
    <s v="-"/>
    <s v="-"/>
    <s v="-"/>
    <s v="-"/>
    <s v="P"/>
    <s v="P"/>
    <s v="-"/>
    <n v="2"/>
    <n v="1"/>
    <n v="2"/>
    <n v="1"/>
    <s v="-"/>
    <s v="-"/>
    <s v="-"/>
    <s v="-"/>
    <s v="-"/>
    <s v="-"/>
    <s v="-"/>
    <n v="6"/>
    <n v="6"/>
    <s v="-"/>
    <n v="1"/>
    <n v="1"/>
    <n v="2"/>
    <n v="2"/>
    <n v="8"/>
    <n v="8"/>
  </r>
  <r>
    <x v="5"/>
    <x v="125"/>
    <d v="2026-06-10T00:00:00"/>
    <s v="1ST"/>
    <s v="06:00"/>
    <n v="3"/>
    <x v="8"/>
    <n v="1.9900000000000001E-2"/>
    <s v="P"/>
    <s v="P"/>
    <s v="P"/>
    <s v="+"/>
    <s v="+"/>
    <n v="12.13"/>
    <s v="-"/>
    <s v="-"/>
    <s v="-"/>
    <s v="-"/>
    <s v="-"/>
    <s v="-"/>
    <s v="-"/>
    <s v="-"/>
    <s v="P"/>
    <s v="P"/>
    <n v="1"/>
    <n v="2"/>
    <n v="1"/>
    <n v="2"/>
    <n v="1"/>
    <s v="-"/>
    <s v="-"/>
    <s v="-"/>
    <s v="-"/>
    <s v="-"/>
    <s v="-"/>
    <s v="-"/>
    <n v="6"/>
    <n v="6"/>
    <s v="-"/>
    <n v="1"/>
    <n v="1"/>
    <n v="2"/>
    <n v="2"/>
    <n v="8"/>
    <n v="8"/>
  </r>
  <r>
    <x v="5"/>
    <x v="125"/>
    <d v="2026-05-20T00:00:00"/>
    <s v="1ST"/>
    <s v="08:00"/>
    <n v="3"/>
    <x v="0"/>
    <n v="1.43E-2"/>
    <s v="P"/>
    <s v="P"/>
    <s v="P"/>
    <s v="+"/>
    <s v="+"/>
    <n v="12.51"/>
    <n v="12.35"/>
    <n v="0.56999999999999995"/>
    <s v="-"/>
    <s v="-"/>
    <s v="-"/>
    <n v="34.5"/>
    <s v="-"/>
    <s v="-"/>
    <s v="P"/>
    <s v="P"/>
    <s v="85% 5% 10%"/>
    <n v="2"/>
    <n v="1"/>
    <n v="2"/>
    <n v="1"/>
    <n v="1"/>
    <n v="2"/>
    <s v="-"/>
    <s v="-"/>
    <s v="-"/>
    <n v="2"/>
    <s v="-"/>
    <n v="11"/>
    <n v="11"/>
    <s v="-"/>
    <n v="1"/>
    <n v="1"/>
    <n v="2"/>
    <n v="2"/>
    <n v="13"/>
    <n v="13"/>
  </r>
  <r>
    <x v="5"/>
    <x v="125"/>
    <d v="2026-05-20T00:00:00"/>
    <s v="1ST"/>
    <s v="09:00"/>
    <n v="3"/>
    <x v="1"/>
    <n v="1.12E-2"/>
    <s v="P"/>
    <s v="P"/>
    <s v="P"/>
    <s v="+"/>
    <s v="+"/>
    <n v="12.78"/>
    <s v="-"/>
    <s v="-"/>
    <s v="-"/>
    <s v="-"/>
    <s v="-"/>
    <s v="-"/>
    <s v="-"/>
    <s v="-"/>
    <s v="P"/>
    <s v="P"/>
    <s v="-"/>
    <n v="2"/>
    <n v="1"/>
    <n v="2"/>
    <n v="1"/>
    <s v="-"/>
    <s v="-"/>
    <s v="-"/>
    <s v="-"/>
    <s v="-"/>
    <s v="-"/>
    <s v="-"/>
    <n v="6"/>
    <n v="6"/>
    <s v="-"/>
    <n v="1"/>
    <n v="1"/>
    <n v="2"/>
    <n v="2"/>
    <n v="8"/>
    <n v="8"/>
  </r>
  <r>
    <x v="5"/>
    <x v="125"/>
    <d v="2026-05-20T00:00:00"/>
    <s v="1ST"/>
    <s v="10:00"/>
    <n v="3"/>
    <x v="1"/>
    <n v="1.9E-2"/>
    <s v="P"/>
    <s v="P"/>
    <s v="P"/>
    <s v="+"/>
    <s v="+"/>
    <n v="12.92"/>
    <s v="-"/>
    <s v="-"/>
    <s v="-"/>
    <s v="-"/>
    <s v="-"/>
    <s v="-"/>
    <s v="-"/>
    <s v="-"/>
    <s v="P"/>
    <s v="P"/>
    <s v="-"/>
    <n v="2"/>
    <n v="1"/>
    <n v="2"/>
    <n v="1"/>
    <s v="-"/>
    <s v="-"/>
    <s v="-"/>
    <s v="-"/>
    <s v="-"/>
    <s v="-"/>
    <s v="-"/>
    <n v="6"/>
    <n v="6"/>
    <s v="-"/>
    <n v="1"/>
    <n v="1"/>
    <n v="2"/>
    <n v="2"/>
    <n v="8"/>
    <n v="8"/>
  </r>
  <r>
    <x v="5"/>
    <x v="125"/>
    <d v="2026-05-20T00:00:00"/>
    <s v="1ST"/>
    <s v="12:00"/>
    <n v="3"/>
    <x v="1"/>
    <n v="1.12E-2"/>
    <s v="P"/>
    <s v="P"/>
    <s v="P"/>
    <s v="+"/>
    <s v="+"/>
    <n v="12.83"/>
    <s v="-"/>
    <s v="-"/>
    <s v="-"/>
    <s v="-"/>
    <s v="-"/>
    <s v="-"/>
    <s v="-"/>
    <s v="-"/>
    <s v="P"/>
    <s v="P"/>
    <s v="-"/>
    <n v="2"/>
    <n v="1"/>
    <n v="2"/>
    <n v="1"/>
    <s v="-"/>
    <s v="-"/>
    <s v="-"/>
    <s v="-"/>
    <s v="-"/>
    <s v="-"/>
    <s v="-"/>
    <n v="6"/>
    <n v="6"/>
    <s v="-"/>
    <n v="1"/>
    <n v="1"/>
    <n v="2"/>
    <n v="2"/>
    <n v="8"/>
    <n v="8"/>
  </r>
  <r>
    <x v="5"/>
    <x v="125"/>
    <d v="2026-05-20T00:00:00"/>
    <s v="1ST"/>
    <s v="13:00"/>
    <n v="3"/>
    <x v="1"/>
    <n v="0.02"/>
    <s v="P"/>
    <s v="P"/>
    <s v="P"/>
    <s v="+"/>
    <s v="+"/>
    <n v="12.48"/>
    <s v="-"/>
    <s v="-"/>
    <s v="-"/>
    <s v="-"/>
    <s v="-"/>
    <s v="-"/>
    <s v="-"/>
    <s v="-"/>
    <s v="P"/>
    <s v="P"/>
    <s v="-"/>
    <n v="2"/>
    <n v="1"/>
    <n v="2"/>
    <n v="1"/>
    <s v="-"/>
    <s v="-"/>
    <s v="-"/>
    <s v="-"/>
    <s v="-"/>
    <s v="-"/>
    <s v="-"/>
    <n v="6"/>
    <n v="6"/>
    <s v="-"/>
    <n v="1"/>
    <n v="1"/>
    <n v="2"/>
    <n v="2"/>
    <n v="8"/>
    <n v="8"/>
  </r>
  <r>
    <x v="5"/>
    <x v="125"/>
    <s v="-"/>
    <s v="2ND"/>
    <d v="1899-12-30T14:00:00"/>
    <n v="1"/>
    <x v="22"/>
    <n v="5.7999999999999996E-3"/>
    <s v="P"/>
    <s v="P"/>
    <s v="P"/>
    <s v="-"/>
    <s v="-"/>
    <n v="11.85"/>
    <n v="8.8000000000000007"/>
    <s v="-"/>
    <s v="-"/>
    <s v="-"/>
    <s v="-"/>
    <n v="23.7"/>
    <s v="-"/>
    <s v="-"/>
    <s v="P"/>
    <s v="P"/>
    <n v="1"/>
    <n v="2"/>
    <n v="1"/>
    <n v="2"/>
    <n v="1"/>
    <n v="1"/>
    <s v="-"/>
    <s v="-"/>
    <s v="-"/>
    <s v="-"/>
    <n v="2"/>
    <s v="-"/>
    <n v="9"/>
    <n v="9"/>
    <s v="-"/>
    <n v="1"/>
    <n v="1"/>
    <n v="2"/>
    <n v="2"/>
    <n v="11"/>
    <n v="11"/>
  </r>
  <r>
    <x v="5"/>
    <x v="125"/>
    <d v="2026-06-09T00:00:00"/>
    <s v="2ND"/>
    <d v="1899-12-30T15:00:00"/>
    <n v="1"/>
    <x v="22"/>
    <n v="6.1000000000000004E-3"/>
    <s v="P"/>
    <s v="P"/>
    <s v="P"/>
    <s v="-"/>
    <s v="-"/>
    <n v="11.63"/>
    <s v="-"/>
    <s v="-"/>
    <s v="-"/>
    <s v="-"/>
    <s v="-"/>
    <s v="-"/>
    <s v="-"/>
    <s v="-"/>
    <s v="P"/>
    <s v="P"/>
    <s v="-"/>
    <n v="2"/>
    <n v="1"/>
    <n v="2"/>
    <n v="1"/>
    <s v="-"/>
    <s v="-"/>
    <s v="-"/>
    <s v="-"/>
    <s v="-"/>
    <s v="-"/>
    <s v="-"/>
    <n v="6"/>
    <n v="6"/>
    <s v="-"/>
    <n v="1"/>
    <n v="1"/>
    <n v="2"/>
    <n v="2"/>
    <n v="8"/>
    <n v="8"/>
  </r>
  <r>
    <x v="5"/>
    <x v="125"/>
    <d v="2026-06-09T00:00:00"/>
    <s v="2ND"/>
    <d v="1899-12-30T16:00:00"/>
    <n v="1"/>
    <x v="22"/>
    <n v="4.8999999999999998E-3"/>
    <s v="P"/>
    <s v="P"/>
    <s v="P"/>
    <s v="-"/>
    <s v="-"/>
    <n v="11.46"/>
    <s v="-"/>
    <s v="-"/>
    <s v="-"/>
    <s v="-"/>
    <s v="-"/>
    <s v="-"/>
    <s v="-"/>
    <s v="-"/>
    <s v="P"/>
    <s v="P"/>
    <s v="-"/>
    <n v="2"/>
    <n v="1"/>
    <n v="2"/>
    <n v="1"/>
    <s v="-"/>
    <s v="-"/>
    <s v="-"/>
    <s v="-"/>
    <s v="-"/>
    <s v="-"/>
    <s v="-"/>
    <n v="6"/>
    <n v="6"/>
    <s v="-"/>
    <n v="1"/>
    <n v="1"/>
    <n v="2"/>
    <n v="2"/>
    <n v="8"/>
    <n v="8"/>
  </r>
  <r>
    <x v="5"/>
    <x v="125"/>
    <d v="2026-06-09T00:00:00"/>
    <s v="2ND"/>
    <d v="1899-12-30T17:00:00"/>
    <n v="1"/>
    <x v="22"/>
    <n v="8.3000000000000001E-3"/>
    <s v="P"/>
    <s v="P"/>
    <s v="P"/>
    <s v="-"/>
    <s v="-"/>
    <n v="11.88"/>
    <s v="-"/>
    <s v="-"/>
    <s v="-"/>
    <s v="-"/>
    <s v="-"/>
    <s v="-"/>
    <s v="-"/>
    <s v="-"/>
    <s v="P"/>
    <s v="P"/>
    <s v="-"/>
    <n v="2"/>
    <n v="1"/>
    <n v="2"/>
    <n v="1"/>
    <s v="-"/>
    <s v="-"/>
    <s v="-"/>
    <s v="-"/>
    <s v="-"/>
    <s v="-"/>
    <s v="-"/>
    <n v="6"/>
    <n v="6"/>
    <s v="-"/>
    <n v="1"/>
    <n v="1"/>
    <n v="2"/>
    <n v="2"/>
    <n v="8"/>
    <n v="8"/>
  </r>
  <r>
    <x v="5"/>
    <x v="125"/>
    <d v="2026-05-20T00:00:00"/>
    <s v="2ND"/>
    <d v="1899-12-30T14:00:00"/>
    <n v="3"/>
    <x v="1"/>
    <n v="1.24E-2"/>
    <s v="P"/>
    <s v="P"/>
    <s v="P"/>
    <s v="+"/>
    <s v="+"/>
    <n v="12.5"/>
    <n v="12.35"/>
    <s v="-"/>
    <s v="-"/>
    <s v="-"/>
    <s v="-"/>
    <n v="39.5"/>
    <s v="-"/>
    <s v="-"/>
    <s v="P"/>
    <s v="P"/>
    <s v="85% 5% 10%"/>
    <n v="2"/>
    <n v="1"/>
    <n v="2"/>
    <n v="1"/>
    <n v="1"/>
    <s v="-"/>
    <s v="-"/>
    <s v="-"/>
    <s v="-"/>
    <n v="2"/>
    <s v="-"/>
    <n v="9"/>
    <n v="9"/>
    <s v="-"/>
    <n v="1"/>
    <n v="1"/>
    <n v="2"/>
    <n v="2"/>
    <n v="11"/>
    <n v="11"/>
  </r>
  <r>
    <x v="5"/>
    <x v="125"/>
    <d v="2026-05-20T00:00:00"/>
    <s v="2ND"/>
    <d v="1899-12-30T17:00:00"/>
    <n v="3"/>
    <x v="6"/>
    <n v="1.18E-2"/>
    <s v="P"/>
    <s v="P"/>
    <s v="P"/>
    <s v="+"/>
    <s v="+"/>
    <n v="12.25"/>
    <n v="12.17"/>
    <s v="-"/>
    <n v="67.3"/>
    <s v="-"/>
    <s v="-"/>
    <n v="34"/>
    <s v="-"/>
    <s v="-"/>
    <s v="P"/>
    <s v="P"/>
    <s v="85% 5% 10%"/>
    <n v="2"/>
    <n v="1"/>
    <n v="2"/>
    <n v="1"/>
    <n v="1"/>
    <s v="-"/>
    <n v="2"/>
    <s v="-"/>
    <s v="-"/>
    <n v="2"/>
    <s v="-"/>
    <n v="11"/>
    <n v="11"/>
    <s v="-"/>
    <n v="1"/>
    <n v="1"/>
    <n v="2"/>
    <n v="2"/>
    <n v="13"/>
    <n v="13"/>
  </r>
  <r>
    <x v="5"/>
    <x v="125"/>
    <d v="2026-05-20T00:00:00"/>
    <s v="2ND"/>
    <d v="1899-12-30T18:00:00"/>
    <n v="3"/>
    <x v="6"/>
    <n v="1.2500000000000001E-2"/>
    <s v="P"/>
    <s v="P"/>
    <s v="P"/>
    <s v="+"/>
    <s v="+"/>
    <n v="12.28"/>
    <s v="-"/>
    <s v="-"/>
    <s v="-"/>
    <s v="-"/>
    <s v="-"/>
    <s v="-"/>
    <s v="-"/>
    <s v="-"/>
    <s v="P"/>
    <s v="P"/>
    <s v="-"/>
    <n v="2"/>
    <n v="1"/>
    <n v="2"/>
    <n v="1"/>
    <s v="-"/>
    <s v="-"/>
    <s v="-"/>
    <s v="-"/>
    <s v="-"/>
    <s v="-"/>
    <s v="-"/>
    <n v="6"/>
    <n v="6"/>
    <s v="-"/>
    <n v="1"/>
    <n v="1"/>
    <n v="2"/>
    <n v="2"/>
    <n v="8"/>
    <n v="8"/>
  </r>
  <r>
    <x v="5"/>
    <x v="125"/>
    <d v="2026-05-20T00:00:00"/>
    <s v="2ND"/>
    <d v="1899-12-30T19:00:00"/>
    <n v="3"/>
    <x v="6"/>
    <n v="1.3899999999999999E-2"/>
    <s v="P"/>
    <s v="P"/>
    <s v="P"/>
    <s v="+"/>
    <s v="+"/>
    <n v="11.68"/>
    <s v="-"/>
    <s v="-"/>
    <s v="-"/>
    <s v="-"/>
    <s v="-"/>
    <s v="-"/>
    <s v="-"/>
    <s v="-"/>
    <s v="P"/>
    <s v="P"/>
    <s v="-"/>
    <n v="2"/>
    <n v="1"/>
    <n v="2"/>
    <n v="0"/>
    <s v="-"/>
    <s v="-"/>
    <s v="-"/>
    <s v="-"/>
    <s v="-"/>
    <s v="-"/>
    <s v="-"/>
    <n v="5"/>
    <n v="6"/>
    <s v="-"/>
    <n v="1"/>
    <n v="1"/>
    <n v="2"/>
    <n v="2"/>
    <n v="7"/>
    <n v="8"/>
  </r>
  <r>
    <x v="5"/>
    <x v="125"/>
    <d v="2026-05-20T00:00:00"/>
    <s v="2ND"/>
    <d v="1899-12-30T20:00:00"/>
    <n v="3"/>
    <x v="6"/>
    <n v="1.18E-2"/>
    <s v="P"/>
    <s v="P"/>
    <s v="P"/>
    <s v="+"/>
    <s v="+"/>
    <n v="12"/>
    <s v="-"/>
    <s v="-"/>
    <s v="-"/>
    <s v="-"/>
    <s v="-"/>
    <s v="-"/>
    <s v="-"/>
    <s v="-"/>
    <s v="P"/>
    <s v="P"/>
    <s v="-"/>
    <n v="2"/>
    <n v="1"/>
    <n v="2"/>
    <n v="1"/>
    <s v="-"/>
    <s v="-"/>
    <s v="-"/>
    <s v="-"/>
    <s v="-"/>
    <s v="-"/>
    <s v="-"/>
    <n v="6"/>
    <n v="6"/>
    <s v="-"/>
    <n v="1"/>
    <n v="1"/>
    <n v="2"/>
    <n v="2"/>
    <n v="8"/>
    <n v="8"/>
  </r>
  <r>
    <x v="5"/>
    <x v="126"/>
    <s v="-"/>
    <s v="1ST"/>
    <s v="06:00"/>
    <n v="1"/>
    <x v="22"/>
    <n v="1.34E-2"/>
    <s v="P"/>
    <s v="P"/>
    <s v="P"/>
    <s v="-"/>
    <s v="-"/>
    <n v="11.76"/>
    <n v="8.8699999999999992"/>
    <n v="0.5"/>
    <n v="55.3"/>
    <s v="-"/>
    <s v="-"/>
    <n v="24.1"/>
    <s v="-"/>
    <s v="-"/>
    <s v="P"/>
    <s v="P"/>
    <n v="1"/>
    <n v="2"/>
    <n v="1"/>
    <n v="2"/>
    <n v="1"/>
    <n v="1"/>
    <n v="2"/>
    <n v="2"/>
    <s v="-"/>
    <s v="-"/>
    <n v="2"/>
    <s v="-"/>
    <n v="13"/>
    <n v="13"/>
    <s v="-"/>
    <n v="1"/>
    <n v="1"/>
    <n v="2"/>
    <n v="2"/>
    <n v="15"/>
    <n v="15"/>
  </r>
  <r>
    <x v="5"/>
    <x v="126"/>
    <d v="2026-06-09T00:00:00"/>
    <s v="1ST"/>
    <s v="07:00"/>
    <n v="1"/>
    <x v="22"/>
    <n v="3.0999999999999999E-3"/>
    <s v="P"/>
    <s v="P"/>
    <s v="P"/>
    <s v="-"/>
    <s v="-"/>
    <n v="11.39"/>
    <s v="-"/>
    <s v="-"/>
    <s v="-"/>
    <s v="-"/>
    <s v="-"/>
    <s v="-"/>
    <s v="-"/>
    <s v="-"/>
    <s v="P"/>
    <s v="P"/>
    <s v="-"/>
    <n v="2"/>
    <n v="1"/>
    <n v="2"/>
    <n v="1"/>
    <s v="-"/>
    <s v="-"/>
    <s v="-"/>
    <s v="-"/>
    <s v="-"/>
    <s v="-"/>
    <s v="-"/>
    <n v="6"/>
    <n v="6"/>
    <s v="-"/>
    <n v="1"/>
    <n v="1"/>
    <n v="2"/>
    <n v="2"/>
    <n v="8"/>
    <n v="8"/>
  </r>
  <r>
    <x v="5"/>
    <x v="126"/>
    <d v="2026-06-09T00:00:00"/>
    <s v="1ST"/>
    <s v="08:00"/>
    <n v="1"/>
    <x v="22"/>
    <n v="5.7999999999999996E-3"/>
    <s v="P"/>
    <s v="P"/>
    <s v="P"/>
    <s v="-"/>
    <s v="-"/>
    <n v="11.33"/>
    <s v="-"/>
    <s v="-"/>
    <s v="-"/>
    <s v="-"/>
    <s v="-"/>
    <s v="-"/>
    <s v="-"/>
    <s v="-"/>
    <s v="P"/>
    <s v="P"/>
    <s v="-"/>
    <n v="2"/>
    <n v="1"/>
    <n v="2"/>
    <n v="1"/>
    <s v="-"/>
    <s v="-"/>
    <s v="-"/>
    <s v="-"/>
    <s v="-"/>
    <s v="-"/>
    <s v="-"/>
    <n v="6"/>
    <n v="6"/>
    <s v="-"/>
    <n v="1"/>
    <n v="1"/>
    <n v="2"/>
    <n v="2"/>
    <n v="8"/>
    <n v="8"/>
  </r>
  <r>
    <x v="5"/>
    <x v="126"/>
    <d v="2026-06-09T00:00:00"/>
    <s v="1ST"/>
    <s v="09:00"/>
    <n v="1"/>
    <x v="22"/>
    <n v="1.2500000000000001E-2"/>
    <s v="P"/>
    <s v="P"/>
    <s v="P"/>
    <s v="-"/>
    <s v="-"/>
    <n v="11.33"/>
    <s v="-"/>
    <s v="-"/>
    <s v="-"/>
    <s v="-"/>
    <s v="-"/>
    <s v="-"/>
    <s v="-"/>
    <s v="-"/>
    <s v="P"/>
    <s v="P"/>
    <s v="-"/>
    <n v="2"/>
    <n v="1"/>
    <n v="2"/>
    <n v="1"/>
    <s v="-"/>
    <s v="-"/>
    <s v="-"/>
    <s v="-"/>
    <s v="-"/>
    <s v="-"/>
    <s v="-"/>
    <n v="6"/>
    <n v="6"/>
    <s v="-"/>
    <n v="1"/>
    <n v="1"/>
    <n v="2"/>
    <n v="2"/>
    <n v="8"/>
    <n v="8"/>
  </r>
  <r>
    <x v="5"/>
    <x v="126"/>
    <d v="1902-03-26T00:00:00"/>
    <s v="1ST"/>
    <s v="06:00"/>
    <n v="2"/>
    <x v="4"/>
    <n v="7.7000000000000002E-3"/>
    <s v="P"/>
    <s v="P"/>
    <s v="P"/>
    <s v="-"/>
    <s v="+"/>
    <n v="10.92"/>
    <n v="8.76"/>
    <n v="0.56999999999999995"/>
    <n v="56"/>
    <s v="-"/>
    <s v="-"/>
    <n v="23.7"/>
    <s v="-"/>
    <s v="-"/>
    <s v="P"/>
    <s v="P"/>
    <s v="-"/>
    <n v="2"/>
    <n v="1"/>
    <n v="2"/>
    <n v="0"/>
    <n v="1"/>
    <n v="0"/>
    <n v="2"/>
    <s v="-"/>
    <s v="-"/>
    <n v="2"/>
    <s v="-"/>
    <n v="10"/>
    <n v="13"/>
    <s v="-"/>
    <n v="1"/>
    <n v="1"/>
    <n v="2"/>
    <n v="2"/>
    <n v="12"/>
    <n v="15"/>
  </r>
  <r>
    <x v="5"/>
    <x v="126"/>
    <d v="1899-12-30T00:00:00"/>
    <s v="1ST"/>
    <s v="08:00"/>
    <n v="2"/>
    <x v="4"/>
    <n v="2.3999999999999998E-3"/>
    <s v="P"/>
    <s v="P"/>
    <s v="P"/>
    <s v="-"/>
    <s v="+"/>
    <n v="11.05"/>
    <s v="-"/>
    <s v="-"/>
    <s v="-"/>
    <s v="-"/>
    <s v="-"/>
    <s v="-"/>
    <s v="-"/>
    <s v="-"/>
    <s v="P"/>
    <s v="P"/>
    <s v="-"/>
    <n v="2"/>
    <n v="1"/>
    <n v="2"/>
    <n v="1"/>
    <s v="-"/>
    <s v="-"/>
    <s v="-"/>
    <s v="-"/>
    <s v="-"/>
    <s v="-"/>
    <s v="-"/>
    <n v="6"/>
    <n v="6"/>
    <s v="-"/>
    <n v="1"/>
    <n v="1"/>
    <n v="2"/>
    <n v="2"/>
    <n v="8"/>
    <n v="8"/>
  </r>
  <r>
    <x v="5"/>
    <x v="126"/>
    <d v="1899-12-30T00:00:00"/>
    <s v="1ST"/>
    <s v="09:00"/>
    <n v="2"/>
    <x v="4"/>
    <n v="2.5000000000000001E-3"/>
    <s v="P"/>
    <s v="P"/>
    <s v="P"/>
    <s v="-"/>
    <s v="+"/>
    <n v="10.98"/>
    <s v="-"/>
    <s v="-"/>
    <s v="-"/>
    <s v="-"/>
    <s v="-"/>
    <s v="-"/>
    <s v="-"/>
    <s v="-"/>
    <s v="P"/>
    <s v="P"/>
    <s v="-"/>
    <n v="2"/>
    <n v="1"/>
    <n v="2"/>
    <n v="0"/>
    <s v="-"/>
    <s v="-"/>
    <s v="-"/>
    <s v="-"/>
    <s v="-"/>
    <s v="-"/>
    <s v="-"/>
    <n v="5"/>
    <n v="6"/>
    <s v="-"/>
    <n v="1"/>
    <n v="1"/>
    <n v="2"/>
    <n v="2"/>
    <n v="7"/>
    <n v="8"/>
  </r>
  <r>
    <x v="5"/>
    <x v="126"/>
    <d v="1899-12-30T00:00:00"/>
    <s v="1ST"/>
    <s v="10:00"/>
    <n v="2"/>
    <x v="4"/>
    <n v="3.0000000000000001E-3"/>
    <s v="P"/>
    <s v="P"/>
    <s v="P"/>
    <s v="-"/>
    <s v="+"/>
    <n v="11.11"/>
    <s v="-"/>
    <s v="-"/>
    <s v="-"/>
    <s v="-"/>
    <s v="-"/>
    <s v="-"/>
    <s v="-"/>
    <s v="-"/>
    <s v="P"/>
    <s v="P"/>
    <s v="-"/>
    <n v="2"/>
    <n v="1"/>
    <n v="2"/>
    <n v="1"/>
    <s v="-"/>
    <s v="-"/>
    <s v="-"/>
    <s v="-"/>
    <s v="-"/>
    <s v="-"/>
    <s v="-"/>
    <n v="6"/>
    <n v="6"/>
    <s v="-"/>
    <n v="1"/>
    <n v="1"/>
    <n v="2"/>
    <n v="2"/>
    <n v="8"/>
    <n v="8"/>
  </r>
  <r>
    <x v="5"/>
    <x v="126"/>
    <d v="1899-12-30T00:00:00"/>
    <s v="1ST"/>
    <s v="11:00"/>
    <n v="2"/>
    <x v="4"/>
    <n v="4.8999999999999998E-3"/>
    <s v="P"/>
    <s v="P"/>
    <s v="P"/>
    <s v="-"/>
    <s v="+"/>
    <n v="11.1"/>
    <s v="-"/>
    <s v="-"/>
    <s v="-"/>
    <s v="-"/>
    <s v="-"/>
    <s v="-"/>
    <s v="-"/>
    <s v="-"/>
    <s v="P"/>
    <s v="P"/>
    <s v="-"/>
    <n v="2"/>
    <n v="1"/>
    <n v="2"/>
    <n v="1"/>
    <s v="-"/>
    <s v="-"/>
    <s v="-"/>
    <s v="-"/>
    <s v="-"/>
    <s v="-"/>
    <s v="-"/>
    <n v="6"/>
    <n v="6"/>
    <s v="-"/>
    <n v="1"/>
    <n v="1"/>
    <n v="2"/>
    <n v="2"/>
    <n v="8"/>
    <n v="8"/>
  </r>
  <r>
    <x v="5"/>
    <x v="126"/>
    <d v="1899-12-30T00:00:00"/>
    <s v="1ST"/>
    <s v="12:00"/>
    <n v="2"/>
    <x v="4"/>
    <n v="5.7000000000000002E-3"/>
    <s v="P"/>
    <s v="P"/>
    <s v="P"/>
    <s v="-"/>
    <s v="+"/>
    <n v="11.84"/>
    <s v="-"/>
    <s v="-"/>
    <s v="-"/>
    <s v="-"/>
    <s v="-"/>
    <s v="-"/>
    <s v="-"/>
    <s v="-"/>
    <s v="P"/>
    <s v="P"/>
    <s v="-"/>
    <n v="2"/>
    <n v="1"/>
    <n v="2"/>
    <n v="1"/>
    <s v="-"/>
    <s v="-"/>
    <s v="-"/>
    <s v="-"/>
    <s v="-"/>
    <s v="-"/>
    <s v="-"/>
    <n v="6"/>
    <n v="6"/>
    <s v="-"/>
    <n v="1"/>
    <n v="1"/>
    <n v="2"/>
    <n v="2"/>
    <n v="8"/>
    <n v="8"/>
  </r>
  <r>
    <x v="5"/>
    <x v="126"/>
    <d v="2026-05-20T00:00:00"/>
    <s v="1ST"/>
    <s v="06:00"/>
    <n v="3"/>
    <x v="6"/>
    <n v="8.0000000000000002E-3"/>
    <s v="P"/>
    <s v="P"/>
    <s v="P"/>
    <s v="+"/>
    <s v="+"/>
    <n v="12.13"/>
    <n v="12.26"/>
    <n v="0.62"/>
    <n v="66.900000000000006"/>
    <s v="-"/>
    <s v="-"/>
    <n v="34.299999999999997"/>
    <s v="-"/>
    <s v="-"/>
    <s v="P"/>
    <s v="P"/>
    <s v="70% 20% 10%"/>
    <n v="2"/>
    <n v="1"/>
    <n v="2"/>
    <n v="1"/>
    <n v="1"/>
    <n v="0"/>
    <n v="2"/>
    <s v="-"/>
    <s v="-"/>
    <n v="2"/>
    <s v="-"/>
    <n v="11"/>
    <n v="13"/>
    <s v="-"/>
    <n v="1"/>
    <n v="1"/>
    <n v="2"/>
    <n v="2"/>
    <n v="13"/>
    <n v="15"/>
  </r>
  <r>
    <x v="5"/>
    <x v="126"/>
    <d v="2026-05-20T00:00:00"/>
    <s v="1ST"/>
    <s v="07:00"/>
    <n v="3"/>
    <x v="6"/>
    <n v="1.8700000000000001E-2"/>
    <s v="P"/>
    <s v="P"/>
    <s v="P"/>
    <s v="+"/>
    <s v="+"/>
    <n v="12.04"/>
    <s v="-"/>
    <s v="-"/>
    <s v="-"/>
    <s v="-"/>
    <s v="-"/>
    <s v="-"/>
    <s v="-"/>
    <s v="-"/>
    <s v="P"/>
    <s v="P"/>
    <s v="-"/>
    <n v="2"/>
    <n v="1"/>
    <n v="2"/>
    <n v="1"/>
    <s v="-"/>
    <s v="-"/>
    <s v="-"/>
    <s v="-"/>
    <s v="-"/>
    <s v="-"/>
    <s v="-"/>
    <n v="6"/>
    <n v="6"/>
    <s v="-"/>
    <n v="1"/>
    <n v="1"/>
    <n v="2"/>
    <n v="2"/>
    <n v="8"/>
    <n v="8"/>
  </r>
  <r>
    <x v="5"/>
    <x v="126"/>
    <d v="2026-05-20T00:00:00"/>
    <s v="1ST"/>
    <s v="08:00"/>
    <n v="3"/>
    <x v="6"/>
    <n v="1.41E-2"/>
    <s v="P"/>
    <s v="P"/>
    <s v="P"/>
    <s v="+"/>
    <s v="+"/>
    <n v="11.85"/>
    <s v="-"/>
    <s v="-"/>
    <s v="-"/>
    <s v="-"/>
    <s v="-"/>
    <s v="-"/>
    <s v="-"/>
    <s v="-"/>
    <s v="P"/>
    <s v="P"/>
    <s v="-"/>
    <n v="2"/>
    <n v="1"/>
    <n v="2"/>
    <n v="0"/>
    <s v="-"/>
    <s v="-"/>
    <s v="-"/>
    <s v="-"/>
    <s v="-"/>
    <s v="-"/>
    <s v="-"/>
    <n v="5"/>
    <n v="6"/>
    <s v="-"/>
    <n v="1"/>
    <n v="1"/>
    <n v="2"/>
    <n v="2"/>
    <n v="7"/>
    <n v="8"/>
  </r>
  <r>
    <x v="5"/>
    <x v="126"/>
    <d v="2026-05-20T00:00:00"/>
    <s v="1ST"/>
    <s v="09:00"/>
    <n v="3"/>
    <x v="6"/>
    <n v="1.5299999999999999E-2"/>
    <s v="P"/>
    <s v="P"/>
    <s v="P"/>
    <s v="+"/>
    <s v="+"/>
    <n v="11.6"/>
    <s v="-"/>
    <s v="-"/>
    <s v="-"/>
    <s v="-"/>
    <s v="-"/>
    <s v="-"/>
    <s v="-"/>
    <s v="-"/>
    <s v="P"/>
    <s v="P"/>
    <s v="-"/>
    <n v="2"/>
    <n v="1"/>
    <n v="2"/>
    <n v="0"/>
    <s v="-"/>
    <s v="-"/>
    <s v="-"/>
    <s v="-"/>
    <s v="-"/>
    <s v="-"/>
    <s v="-"/>
    <n v="5"/>
    <n v="6"/>
    <s v="-"/>
    <n v="1"/>
    <n v="1"/>
    <n v="2"/>
    <n v="2"/>
    <n v="7"/>
    <n v="8"/>
  </r>
  <r>
    <x v="5"/>
    <x v="126"/>
    <d v="2026-05-20T00:00:00"/>
    <s v="1ST"/>
    <s v="10:00"/>
    <n v="3"/>
    <x v="6"/>
    <n v="1.01E-2"/>
    <s v="P"/>
    <s v="P"/>
    <s v="P"/>
    <s v="+"/>
    <s v="+"/>
    <n v="11.78"/>
    <s v="-"/>
    <s v="-"/>
    <s v="-"/>
    <s v="-"/>
    <s v="-"/>
    <s v="-"/>
    <s v="-"/>
    <s v="-"/>
    <s v="P"/>
    <s v="P"/>
    <s v="-"/>
    <n v="2"/>
    <n v="1"/>
    <n v="2"/>
    <n v="0"/>
    <s v="-"/>
    <s v="-"/>
    <s v="-"/>
    <s v="-"/>
    <s v="-"/>
    <s v="-"/>
    <s v="-"/>
    <n v="5"/>
    <n v="6"/>
    <s v="-"/>
    <n v="1"/>
    <n v="1"/>
    <n v="2"/>
    <n v="2"/>
    <n v="7"/>
    <n v="8"/>
  </r>
  <r>
    <x v="5"/>
    <x v="126"/>
    <d v="2026-05-20T00:00:00"/>
    <s v="1ST"/>
    <s v="12:00"/>
    <n v="3"/>
    <x v="6"/>
    <n v="1.5299999999999999E-2"/>
    <s v="P"/>
    <s v="P"/>
    <s v="P"/>
    <s v="+"/>
    <s v="+"/>
    <n v="11.95"/>
    <s v="-"/>
    <s v="-"/>
    <s v="-"/>
    <s v="-"/>
    <s v="-"/>
    <s v="-"/>
    <s v="-"/>
    <s v="-"/>
    <s v="P"/>
    <s v="P"/>
    <s v="-"/>
    <n v="2"/>
    <n v="1"/>
    <n v="2"/>
    <n v="0"/>
    <s v="-"/>
    <s v="-"/>
    <s v="-"/>
    <s v="-"/>
    <s v="-"/>
    <s v="-"/>
    <s v="-"/>
    <n v="5"/>
    <n v="6"/>
    <s v="-"/>
    <n v="1"/>
    <n v="1"/>
    <n v="2"/>
    <n v="2"/>
    <n v="7"/>
    <n v="8"/>
  </r>
  <r>
    <x v="5"/>
    <x v="126"/>
    <s v="-"/>
    <s v="2ND"/>
    <d v="1899-12-30T14:00:00"/>
    <n v="1"/>
    <x v="22"/>
    <n v="1.52E-2"/>
    <s v="P"/>
    <s v="P"/>
    <s v="P"/>
    <s v="-"/>
    <s v="+"/>
    <n v="11.24"/>
    <n v="9.23"/>
    <s v="-"/>
    <s v="-"/>
    <s v="-"/>
    <s v="-"/>
    <n v="25"/>
    <s v="-"/>
    <s v="-"/>
    <s v="P"/>
    <s v="P"/>
    <n v="1"/>
    <n v="2"/>
    <n v="1"/>
    <n v="2"/>
    <n v="1"/>
    <n v="1"/>
    <s v="-"/>
    <s v="-"/>
    <s v="-"/>
    <s v="-"/>
    <n v="2"/>
    <s v="-"/>
    <n v="9"/>
    <n v="9"/>
    <s v="-"/>
    <n v="1"/>
    <n v="1"/>
    <n v="2"/>
    <n v="2"/>
    <n v="11"/>
    <n v="11"/>
  </r>
  <r>
    <x v="5"/>
    <x v="126"/>
    <d v="2026-06-09T00:00:00"/>
    <s v="2ND"/>
    <d v="1899-12-30T16:00:00"/>
    <n v="1"/>
    <x v="22"/>
    <n v="6.0000000000000001E-3"/>
    <s v="P"/>
    <s v="P"/>
    <s v="P"/>
    <s v="-"/>
    <s v="+"/>
    <n v="11.66"/>
    <s v="-"/>
    <s v="-"/>
    <s v="-"/>
    <s v="-"/>
    <s v="-"/>
    <s v="-"/>
    <s v="-"/>
    <s v="-"/>
    <s v="P"/>
    <s v="P"/>
    <s v="-"/>
    <n v="2"/>
    <n v="1"/>
    <n v="2"/>
    <n v="1"/>
    <s v="-"/>
    <s v="-"/>
    <s v="-"/>
    <s v="-"/>
    <s v="-"/>
    <s v="-"/>
    <s v="-"/>
    <n v="6"/>
    <n v="6"/>
    <s v="-"/>
    <n v="1"/>
    <n v="1"/>
    <n v="2"/>
    <n v="2"/>
    <n v="8"/>
    <n v="8"/>
  </r>
  <r>
    <x v="5"/>
    <x v="126"/>
    <d v="2026-06-09T00:00:00"/>
    <s v="2ND"/>
    <d v="1899-12-30T17:00:00"/>
    <n v="1"/>
    <x v="22"/>
    <n v="5.3E-3"/>
    <s v="P"/>
    <s v="P"/>
    <s v="P"/>
    <s v="-"/>
    <s v="+"/>
    <n v="11.58"/>
    <s v="-"/>
    <s v="-"/>
    <s v="-"/>
    <s v="-"/>
    <s v="-"/>
    <s v="-"/>
    <s v="-"/>
    <s v="-"/>
    <s v="P"/>
    <s v="P"/>
    <s v="-"/>
    <n v="2"/>
    <n v="1"/>
    <n v="2"/>
    <n v="1"/>
    <s v="-"/>
    <s v="-"/>
    <s v="-"/>
    <s v="-"/>
    <s v="-"/>
    <s v="-"/>
    <s v="-"/>
    <n v="6"/>
    <n v="6"/>
    <s v="-"/>
    <n v="1"/>
    <n v="1"/>
    <n v="2"/>
    <n v="2"/>
    <n v="8"/>
    <n v="8"/>
  </r>
  <r>
    <x v="5"/>
    <x v="126"/>
    <d v="1902-03-26T00:00:00"/>
    <s v="2ND"/>
    <d v="1899-12-30T14:00:00"/>
    <n v="2"/>
    <x v="6"/>
    <n v="1.3599999999999999E-2"/>
    <s v="P"/>
    <s v="P"/>
    <s v="P"/>
    <s v="+"/>
    <s v="+"/>
    <n v="11.63"/>
    <n v="11.71"/>
    <s v="-"/>
    <n v="64.900000000000006"/>
    <s v="-"/>
    <s v="-"/>
    <n v="32.700000000000003"/>
    <s v="-"/>
    <s v="-"/>
    <s v="P"/>
    <s v="P"/>
    <s v="-"/>
    <n v="2"/>
    <n v="1"/>
    <n v="2"/>
    <n v="0"/>
    <n v="1"/>
    <s v="-"/>
    <n v="2"/>
    <s v="-"/>
    <s v="-"/>
    <n v="2"/>
    <s v="-"/>
    <n v="10"/>
    <n v="11"/>
    <s v="-"/>
    <n v="1"/>
    <n v="1"/>
    <n v="2"/>
    <n v="2"/>
    <n v="12"/>
    <n v="13"/>
  </r>
  <r>
    <x v="5"/>
    <x v="126"/>
    <d v="1899-12-30T00:00:00"/>
    <s v="2ND"/>
    <d v="1899-12-30T16:00:00"/>
    <n v="2"/>
    <x v="6"/>
    <n v="1.0800000000000001E-2"/>
    <s v="P"/>
    <s v="P"/>
    <s v="P"/>
    <s v="+"/>
    <s v="+"/>
    <n v="12.35"/>
    <s v="-"/>
    <s v="-"/>
    <s v="-"/>
    <s v="-"/>
    <s v="-"/>
    <s v="-"/>
    <s v="-"/>
    <s v="-"/>
    <s v="P"/>
    <s v="P"/>
    <s v="-"/>
    <n v="2"/>
    <n v="1"/>
    <n v="2"/>
    <n v="1"/>
    <s v="-"/>
    <s v="-"/>
    <s v="-"/>
    <s v="-"/>
    <s v="-"/>
    <s v="-"/>
    <s v="-"/>
    <n v="6"/>
    <n v="6"/>
    <s v="-"/>
    <n v="1"/>
    <n v="1"/>
    <n v="2"/>
    <n v="2"/>
    <n v="8"/>
    <n v="8"/>
  </r>
  <r>
    <x v="5"/>
    <x v="126"/>
    <d v="1899-12-30T00:00:00"/>
    <s v="2ND"/>
    <d v="1899-12-30T17:00:00"/>
    <n v="2"/>
    <x v="6"/>
    <n v="1.06E-2"/>
    <s v="P"/>
    <s v="P"/>
    <s v="P"/>
    <s v="+"/>
    <s v="+"/>
    <n v="12.44"/>
    <s v="-"/>
    <s v="-"/>
    <s v="-"/>
    <s v="-"/>
    <s v="-"/>
    <s v="-"/>
    <s v="-"/>
    <s v="-"/>
    <s v="P"/>
    <s v="P"/>
    <s v="-"/>
    <n v="2"/>
    <n v="1"/>
    <n v="2"/>
    <n v="1"/>
    <s v="-"/>
    <s v="-"/>
    <s v="-"/>
    <s v="-"/>
    <s v="-"/>
    <s v="-"/>
    <s v="-"/>
    <n v="6"/>
    <n v="6"/>
    <s v="-"/>
    <n v="1"/>
    <n v="1"/>
    <n v="2"/>
    <n v="2"/>
    <n v="8"/>
    <n v="8"/>
  </r>
  <r>
    <x v="5"/>
    <x v="126"/>
    <d v="1899-12-30T00:00:00"/>
    <s v="2ND"/>
    <d v="1899-12-30T18:00:00"/>
    <n v="2"/>
    <x v="6"/>
    <n v="1.6799999999999999E-2"/>
    <s v="P"/>
    <s v="P"/>
    <s v="P"/>
    <s v="+"/>
    <s v="+"/>
    <n v="12.33"/>
    <s v="-"/>
    <s v="-"/>
    <s v="-"/>
    <s v="-"/>
    <s v="-"/>
    <s v="-"/>
    <s v="-"/>
    <s v="-"/>
    <s v="P"/>
    <s v="P"/>
    <s v="-"/>
    <n v="2"/>
    <n v="1"/>
    <n v="2"/>
    <n v="1"/>
    <s v="-"/>
    <s v="-"/>
    <s v="-"/>
    <s v="-"/>
    <s v="-"/>
    <s v="-"/>
    <s v="-"/>
    <n v="6"/>
    <n v="6"/>
    <s v="-"/>
    <n v="1"/>
    <n v="1"/>
    <n v="2"/>
    <n v="2"/>
    <n v="8"/>
    <n v="8"/>
  </r>
  <r>
    <x v="5"/>
    <x v="126"/>
    <d v="1899-12-30T00:00:00"/>
    <s v="2ND"/>
    <d v="1899-12-30T19:00:00"/>
    <n v="2"/>
    <x v="6"/>
    <n v="1.35E-2"/>
    <s v="P"/>
    <s v="P"/>
    <s v="P"/>
    <s v="+"/>
    <s v="+"/>
    <n v="11.18"/>
    <s v="-"/>
    <s v="-"/>
    <s v="-"/>
    <s v="-"/>
    <s v="-"/>
    <s v="-"/>
    <s v="-"/>
    <s v="-"/>
    <s v="P"/>
    <s v="P"/>
    <n v="1"/>
    <n v="2"/>
    <n v="1"/>
    <n v="2"/>
    <n v="0"/>
    <s v="-"/>
    <s v="-"/>
    <s v="-"/>
    <s v="-"/>
    <s v="-"/>
    <s v="-"/>
    <s v="-"/>
    <n v="5"/>
    <n v="6"/>
    <s v="-"/>
    <n v="1"/>
    <n v="1"/>
    <n v="2"/>
    <n v="2"/>
    <n v="7"/>
    <n v="8"/>
  </r>
  <r>
    <x v="5"/>
    <x v="126"/>
    <d v="1899-12-30T00:00:00"/>
    <s v="2ND"/>
    <d v="1899-12-30T20:00:00"/>
    <n v="2"/>
    <x v="22"/>
    <n v="7.7000000000000002E-3"/>
    <s v="P"/>
    <s v="P"/>
    <s v="P"/>
    <s v="+"/>
    <s v="+"/>
    <n v="11.63"/>
    <s v="-"/>
    <s v="-"/>
    <s v="-"/>
    <s v="-"/>
    <s v="-"/>
    <n v="25.3"/>
    <s v="-"/>
    <s v="-"/>
    <s v="P"/>
    <s v="P"/>
    <s v="-"/>
    <n v="2"/>
    <n v="1"/>
    <n v="2"/>
    <n v="1"/>
    <s v="-"/>
    <s v="-"/>
    <s v="-"/>
    <s v="-"/>
    <s v="-"/>
    <n v="2"/>
    <s v="-"/>
    <n v="8"/>
    <n v="8"/>
    <s v="-"/>
    <n v="1"/>
    <n v="1"/>
    <n v="2"/>
    <n v="2"/>
    <n v="10"/>
    <n v="10"/>
  </r>
  <r>
    <x v="5"/>
    <x v="126"/>
    <d v="2026-05-20T00:00:00"/>
    <s v="2ND"/>
    <d v="1899-12-30T14:00:00"/>
    <n v="3"/>
    <x v="6"/>
    <n v="1.5299999999999999E-2"/>
    <s v="P"/>
    <s v="P"/>
    <s v="P"/>
    <s v="+"/>
    <s v="+"/>
    <n v="11.82"/>
    <n v="12.34"/>
    <s v="-"/>
    <s v="-"/>
    <s v="-"/>
    <s v="-"/>
    <n v="34.5"/>
    <s v="-"/>
    <s v="-"/>
    <s v="P"/>
    <s v="P"/>
    <s v="70% 20% 10%"/>
    <n v="2"/>
    <n v="1"/>
    <n v="2"/>
    <n v="0"/>
    <n v="1"/>
    <s v="-"/>
    <s v="-"/>
    <s v="-"/>
    <s v="-"/>
    <n v="2"/>
    <s v="-"/>
    <n v="8"/>
    <n v="9"/>
    <s v="-"/>
    <n v="1"/>
    <n v="1"/>
    <n v="2"/>
    <n v="2"/>
    <n v="10"/>
    <n v="11"/>
  </r>
  <r>
    <x v="5"/>
    <x v="126"/>
    <d v="2026-05-20T00:00:00"/>
    <s v="2ND"/>
    <d v="1899-12-30T15:00:00"/>
    <n v="3"/>
    <x v="6"/>
    <n v="1.0999999999999999E-2"/>
    <s v="P"/>
    <s v="P"/>
    <s v="P"/>
    <s v="+"/>
    <s v="+"/>
    <n v="12.11"/>
    <s v="-"/>
    <s v="-"/>
    <s v="-"/>
    <s v="-"/>
    <s v="-"/>
    <s v="-"/>
    <s v="-"/>
    <s v="-"/>
    <s v="P"/>
    <s v="P"/>
    <s v="-"/>
    <n v="2"/>
    <n v="1"/>
    <n v="2"/>
    <n v="1"/>
    <s v="-"/>
    <s v="-"/>
    <s v="-"/>
    <s v="-"/>
    <s v="-"/>
    <s v="-"/>
    <s v="-"/>
    <n v="6"/>
    <n v="6"/>
    <s v="-"/>
    <n v="1"/>
    <n v="1"/>
    <n v="2"/>
    <n v="2"/>
    <n v="8"/>
    <n v="8"/>
  </r>
  <r>
    <x v="5"/>
    <x v="126"/>
    <d v="2026-05-20T00:00:00"/>
    <s v="2ND"/>
    <d v="1899-12-30T16:00:00"/>
    <n v="3"/>
    <x v="6"/>
    <n v="1.0800000000000001E-2"/>
    <s v="P"/>
    <s v="P"/>
    <s v="P"/>
    <s v="+"/>
    <s v="+"/>
    <n v="11.78"/>
    <s v="-"/>
    <s v="-"/>
    <s v="-"/>
    <s v="-"/>
    <s v="-"/>
    <s v="-"/>
    <s v="-"/>
    <s v="-"/>
    <s v="P"/>
    <s v="P"/>
    <s v="-"/>
    <n v="2"/>
    <n v="1"/>
    <n v="2"/>
    <n v="0"/>
    <s v="-"/>
    <s v="-"/>
    <s v="-"/>
    <s v="-"/>
    <s v="-"/>
    <s v="-"/>
    <s v="-"/>
    <n v="5"/>
    <n v="6"/>
    <s v="-"/>
    <n v="1"/>
    <n v="1"/>
    <n v="2"/>
    <n v="2"/>
    <n v="7"/>
    <n v="8"/>
  </r>
  <r>
    <x v="5"/>
    <x v="126"/>
    <d v="2026-05-20T00:00:00"/>
    <s v="2ND"/>
    <d v="1899-12-30T17:00:00"/>
    <n v="3"/>
    <x v="6"/>
    <s v="-"/>
    <s v="P"/>
    <s v="P"/>
    <s v="P"/>
    <s v="+"/>
    <s v="+"/>
    <n v="11.98"/>
    <s v="-"/>
    <s v="-"/>
    <s v="-"/>
    <s v="-"/>
    <s v="-"/>
    <s v="-"/>
    <s v="-"/>
    <s v="-"/>
    <s v="P"/>
    <s v="P"/>
    <s v="-"/>
    <s v="-"/>
    <n v="1"/>
    <n v="2"/>
    <n v="0"/>
    <s v="-"/>
    <s v="-"/>
    <s v="-"/>
    <s v="-"/>
    <s v="-"/>
    <s v="-"/>
    <s v="-"/>
    <n v="3"/>
    <n v="4"/>
    <s v="-"/>
    <n v="1"/>
    <n v="1"/>
    <n v="2"/>
    <n v="2"/>
    <n v="5"/>
    <n v="6"/>
  </r>
  <r>
    <x v="5"/>
    <x v="126"/>
    <d v="2026-05-20T00:00:00"/>
    <s v="2ND"/>
    <d v="1899-12-30T18:00:00"/>
    <n v="3"/>
    <x v="6"/>
    <n v="1.2999999999999999E-2"/>
    <s v="P"/>
    <s v="P"/>
    <s v="P"/>
    <s v="+"/>
    <s v="+"/>
    <n v="11.76"/>
    <s v="-"/>
    <s v="-"/>
    <s v="-"/>
    <s v="-"/>
    <s v="-"/>
    <s v="-"/>
    <s v="-"/>
    <s v="-"/>
    <s v="P"/>
    <s v="P"/>
    <s v="-"/>
    <n v="2"/>
    <n v="1"/>
    <n v="2"/>
    <n v="0"/>
    <s v="-"/>
    <s v="-"/>
    <s v="-"/>
    <s v="-"/>
    <s v="-"/>
    <s v="-"/>
    <s v="-"/>
    <n v="5"/>
    <n v="6"/>
    <s v="-"/>
    <n v="1"/>
    <n v="1"/>
    <n v="2"/>
    <n v="2"/>
    <n v="7"/>
    <n v="8"/>
  </r>
  <r>
    <x v="5"/>
    <x v="126"/>
    <d v="2026-05-20T00:00:00"/>
    <s v="2ND"/>
    <d v="1899-12-30T19:00:00"/>
    <n v="3"/>
    <x v="6"/>
    <n v="1.46E-2"/>
    <s v="P"/>
    <s v="P"/>
    <s v="P"/>
    <s v="+"/>
    <s v="+"/>
    <n v="11.52"/>
    <s v="-"/>
    <s v="-"/>
    <s v="-"/>
    <s v="-"/>
    <s v="-"/>
    <s v="-"/>
    <s v="-"/>
    <s v="-"/>
    <s v="P"/>
    <s v="P"/>
    <s v="-"/>
    <n v="2"/>
    <n v="1"/>
    <n v="2"/>
    <n v="0"/>
    <s v="-"/>
    <s v="-"/>
    <s v="-"/>
    <s v="-"/>
    <s v="-"/>
    <s v="-"/>
    <s v="-"/>
    <n v="5"/>
    <n v="6"/>
    <s v="-"/>
    <n v="1"/>
    <n v="1"/>
    <n v="2"/>
    <n v="2"/>
    <n v="7"/>
    <n v="8"/>
  </r>
  <r>
    <x v="5"/>
    <x v="126"/>
    <s v="-"/>
    <s v="3RD"/>
    <d v="1899-12-30T22:00:00"/>
    <n v="1"/>
    <x v="22"/>
    <n v="6.8999999999999999E-3"/>
    <s v="P"/>
    <s v="P"/>
    <s v="P"/>
    <s v="-"/>
    <s v="-"/>
    <n v="11.71"/>
    <n v="8.59"/>
    <s v="-"/>
    <s v="-"/>
    <s v="-"/>
    <s v="-"/>
    <n v="23.1"/>
    <s v="-"/>
    <s v="-"/>
    <s v="P"/>
    <s v="P"/>
    <n v="1"/>
    <n v="2"/>
    <n v="1"/>
    <n v="2"/>
    <n v="1"/>
    <n v="1"/>
    <s v="-"/>
    <s v="-"/>
    <s v="-"/>
    <s v="-"/>
    <n v="2"/>
    <s v="-"/>
    <n v="9"/>
    <n v="9"/>
    <s v="-"/>
    <n v="1"/>
    <n v="1"/>
    <n v="2"/>
    <n v="2"/>
    <n v="11"/>
    <n v="11"/>
  </r>
  <r>
    <x v="5"/>
    <x v="126"/>
    <d v="2026-06-09T00:00:00"/>
    <s v="3RD"/>
    <d v="1899-12-31T01:00:00"/>
    <n v="1"/>
    <x v="22"/>
    <n v="3.3999999999999998E-3"/>
    <s v="-"/>
    <s v="-"/>
    <s v="-"/>
    <s v="-"/>
    <s v="-"/>
    <s v="-"/>
    <s v="-"/>
    <s v="-"/>
    <s v="-"/>
    <s v="-"/>
    <s v="-"/>
    <s v="-"/>
    <s v="-"/>
    <s v="-"/>
    <s v="-"/>
    <s v="-"/>
    <s v="-"/>
    <n v="2"/>
    <s v="-"/>
    <s v="-"/>
    <s v="-"/>
    <s v="-"/>
    <s v="-"/>
    <s v="-"/>
    <s v="-"/>
    <s v="-"/>
    <s v="-"/>
    <s v="-"/>
    <n v="2"/>
    <n v="2"/>
    <s v="-"/>
    <s v="-"/>
    <s v="-"/>
    <n v="0"/>
    <n v="0"/>
    <n v="2"/>
    <n v="2"/>
  </r>
  <r>
    <x v="5"/>
    <x v="126"/>
    <d v="1902-03-25T00:00:00"/>
    <s v="3RD"/>
    <d v="1899-12-30T22:00:00"/>
    <n v="2"/>
    <x v="22"/>
    <n v="7.7999999999999996E-3"/>
    <s v="P"/>
    <s v="P"/>
    <s v="P"/>
    <s v="-"/>
    <s v="-"/>
    <n v="11.51"/>
    <n v="9.51"/>
    <s v="-"/>
    <s v="-"/>
    <s v="-"/>
    <s v="-"/>
    <n v="25.9"/>
    <s v="-"/>
    <s v="-"/>
    <s v="P"/>
    <s v="P"/>
    <s v="-"/>
    <n v="2"/>
    <n v="1"/>
    <n v="2"/>
    <n v="1"/>
    <n v="1"/>
    <s v="-"/>
    <s v="-"/>
    <s v="-"/>
    <s v="-"/>
    <n v="2"/>
    <s v="-"/>
    <n v="9"/>
    <n v="9"/>
    <s v="-"/>
    <n v="1"/>
    <n v="1"/>
    <n v="2"/>
    <n v="2"/>
    <n v="11"/>
    <n v="11"/>
  </r>
  <r>
    <x v="5"/>
    <x v="126"/>
    <d v="1899-12-30T00:00:00"/>
    <s v="3RD"/>
    <d v="1899-12-30T23:00:00"/>
    <n v="2"/>
    <x v="22"/>
    <s v="-"/>
    <s v="P"/>
    <s v="P"/>
    <s v="P"/>
    <s v="-"/>
    <s v="-"/>
    <s v="-"/>
    <s v="-"/>
    <s v="-"/>
    <s v="-"/>
    <s v="-"/>
    <s v="-"/>
    <s v="-"/>
    <s v="-"/>
    <s v="-"/>
    <s v="P"/>
    <s v="P"/>
    <s v="-"/>
    <s v="-"/>
    <n v="1"/>
    <n v="2"/>
    <s v="-"/>
    <s v="-"/>
    <s v="-"/>
    <s v="-"/>
    <s v="-"/>
    <s v="-"/>
    <s v="-"/>
    <s v="-"/>
    <n v="3"/>
    <n v="3"/>
    <s v="-"/>
    <n v="1"/>
    <n v="1"/>
    <n v="2"/>
    <n v="2"/>
    <n v="5"/>
    <n v="5"/>
  </r>
  <r>
    <x v="5"/>
    <x v="126"/>
    <d v="1899-12-30T00:00:00"/>
    <s v="3RD"/>
    <d v="1899-12-31T00:00:00"/>
    <n v="2"/>
    <x v="22"/>
    <n v="2.5999999999999999E-3"/>
    <s v="P"/>
    <s v="P"/>
    <s v="P"/>
    <s v="-"/>
    <s v="-"/>
    <n v="11.37"/>
    <s v="-"/>
    <s v="-"/>
    <s v="-"/>
    <s v="-"/>
    <s v="-"/>
    <s v="-"/>
    <s v="-"/>
    <s v="-"/>
    <s v="P"/>
    <s v="P"/>
    <s v="-"/>
    <n v="2"/>
    <n v="1"/>
    <n v="2"/>
    <n v="1"/>
    <s v="-"/>
    <s v="-"/>
    <s v="-"/>
    <s v="-"/>
    <s v="-"/>
    <s v="-"/>
    <s v="-"/>
    <n v="6"/>
    <n v="6"/>
    <s v="-"/>
    <n v="1"/>
    <n v="1"/>
    <n v="2"/>
    <n v="2"/>
    <n v="8"/>
    <n v="8"/>
  </r>
  <r>
    <x v="5"/>
    <x v="126"/>
    <d v="1899-12-30T00:00:00"/>
    <s v="3RD"/>
    <d v="1899-12-31T01:00:00"/>
    <n v="2"/>
    <x v="22"/>
    <n v="3.2000000000000002E-3"/>
    <s v="P"/>
    <s v="P"/>
    <s v="P"/>
    <s v="-"/>
    <s v="-"/>
    <n v="11.26"/>
    <s v="-"/>
    <s v="-"/>
    <s v="-"/>
    <s v="-"/>
    <s v="-"/>
    <s v="-"/>
    <s v="-"/>
    <s v="-"/>
    <s v="P"/>
    <s v="P"/>
    <s v="-"/>
    <n v="2"/>
    <n v="1"/>
    <n v="2"/>
    <n v="1"/>
    <s v="-"/>
    <s v="-"/>
    <s v="-"/>
    <s v="-"/>
    <s v="-"/>
    <s v="-"/>
    <s v="-"/>
    <n v="6"/>
    <n v="6"/>
    <s v="-"/>
    <n v="1"/>
    <n v="1"/>
    <n v="2"/>
    <n v="2"/>
    <n v="8"/>
    <n v="8"/>
  </r>
  <r>
    <x v="5"/>
    <x v="126"/>
    <d v="1899-12-30T00:00:00"/>
    <s v="3RD"/>
    <d v="1899-12-31T02:00:00"/>
    <n v="2"/>
    <x v="22"/>
    <n v="6.6E-3"/>
    <s v="P"/>
    <s v="P"/>
    <s v="P"/>
    <s v="-"/>
    <s v="-"/>
    <n v="11.31"/>
    <s v="-"/>
    <s v="-"/>
    <s v="-"/>
    <s v="-"/>
    <s v="-"/>
    <s v="-"/>
    <s v="-"/>
    <s v="-"/>
    <s v="P"/>
    <s v="P"/>
    <s v="-"/>
    <n v="2"/>
    <n v="1"/>
    <n v="2"/>
    <n v="1"/>
    <s v="-"/>
    <s v="-"/>
    <s v="-"/>
    <s v="-"/>
    <s v="-"/>
    <s v="-"/>
    <s v="-"/>
    <n v="6"/>
    <n v="6"/>
    <s v="-"/>
    <n v="1"/>
    <n v="1"/>
    <n v="2"/>
    <n v="2"/>
    <n v="8"/>
    <n v="8"/>
  </r>
  <r>
    <x v="5"/>
    <x v="127"/>
    <d v="1902-03-26T00:00:00"/>
    <s v="1ST"/>
    <s v="09:00"/>
    <n v="2"/>
    <x v="36"/>
    <n v="1.3899999999999999E-2"/>
    <s v="P"/>
    <s v="P"/>
    <s v="P"/>
    <s v="+"/>
    <s v="+"/>
    <n v="11.64"/>
    <n v="12.11"/>
    <n v="0.5"/>
    <n v="67.7"/>
    <s v="-"/>
    <s v="-"/>
    <n v="35.799999999999997"/>
    <s v="-"/>
    <s v="-"/>
    <s v="P"/>
    <s v="P"/>
    <s v="-"/>
    <n v="2"/>
    <n v="1"/>
    <n v="2"/>
    <n v="0"/>
    <n v="0"/>
    <n v="2"/>
    <n v="2"/>
    <s v="-"/>
    <s v="-"/>
    <n v="2"/>
    <s v="-"/>
    <n v="11"/>
    <n v="13"/>
    <s v="-"/>
    <n v="1"/>
    <n v="1"/>
    <n v="2"/>
    <n v="2"/>
    <n v="13"/>
    <n v="15"/>
  </r>
  <r>
    <x v="5"/>
    <x v="127"/>
    <d v="1899-12-30T00:00:00"/>
    <s v="1ST"/>
    <s v="10:00"/>
    <n v="2"/>
    <x v="36"/>
    <n v="1.4800000000000001E-2"/>
    <s v="P"/>
    <s v="P"/>
    <s v="P"/>
    <s v="+"/>
    <s v="+"/>
    <n v="12.1"/>
    <s v="-"/>
    <s v="-"/>
    <s v="-"/>
    <s v="-"/>
    <s v="-"/>
    <s v="-"/>
    <s v="-"/>
    <s v="-"/>
    <s v="P"/>
    <s v="P"/>
    <n v="1"/>
    <n v="2"/>
    <n v="1"/>
    <n v="2"/>
    <n v="1"/>
    <s v="-"/>
    <s v="-"/>
    <s v="-"/>
    <s v="-"/>
    <s v="-"/>
    <s v="-"/>
    <s v="-"/>
    <n v="6"/>
    <n v="6"/>
    <s v="-"/>
    <n v="1"/>
    <n v="1"/>
    <n v="2"/>
    <n v="2"/>
    <n v="8"/>
    <n v="8"/>
  </r>
  <r>
    <x v="5"/>
    <x v="127"/>
    <d v="1899-12-30T00:00:00"/>
    <s v="1ST"/>
    <s v="11:00"/>
    <n v="2"/>
    <x v="12"/>
    <n v="1.72E-2"/>
    <s v="P"/>
    <s v="P"/>
    <s v="P"/>
    <s v="+"/>
    <s v="+"/>
    <n v="11.53"/>
    <s v="-"/>
    <s v="-"/>
    <s v="-"/>
    <s v="-"/>
    <s v="-"/>
    <s v="-"/>
    <s v="-"/>
    <s v="-"/>
    <s v="P"/>
    <s v="P"/>
    <s v="-"/>
    <n v="2"/>
    <n v="1"/>
    <n v="2"/>
    <n v="1"/>
    <s v="-"/>
    <s v="-"/>
    <s v="-"/>
    <s v="-"/>
    <s v="-"/>
    <s v="-"/>
    <s v="-"/>
    <n v="6"/>
    <n v="6"/>
    <s v="-"/>
    <n v="1"/>
    <n v="1"/>
    <n v="2"/>
    <n v="2"/>
    <n v="8"/>
    <n v="8"/>
  </r>
  <r>
    <x v="5"/>
    <x v="127"/>
    <d v="1899-12-30T00:00:00"/>
    <s v="1ST"/>
    <s v="12:00"/>
    <n v="2"/>
    <x v="12"/>
    <n v="1.66E-2"/>
    <s v="P"/>
    <s v="P"/>
    <s v="P"/>
    <s v="+"/>
    <s v="+"/>
    <n v="12.31"/>
    <s v="-"/>
    <s v="-"/>
    <s v="-"/>
    <s v="-"/>
    <s v="-"/>
    <s v="-"/>
    <s v="-"/>
    <s v="-"/>
    <s v="P"/>
    <s v="P"/>
    <s v="-"/>
    <n v="2"/>
    <n v="1"/>
    <n v="2"/>
    <n v="1"/>
    <s v="-"/>
    <s v="-"/>
    <s v="-"/>
    <s v="-"/>
    <s v="-"/>
    <s v="-"/>
    <s v="-"/>
    <n v="6"/>
    <n v="6"/>
    <s v="-"/>
    <n v="1"/>
    <n v="1"/>
    <n v="2"/>
    <n v="2"/>
    <n v="8"/>
    <n v="8"/>
  </r>
  <r>
    <x v="5"/>
    <x v="127"/>
    <d v="1899-12-30T00:00:00"/>
    <s v="1ST"/>
    <s v="13:00"/>
    <n v="2"/>
    <x v="12"/>
    <s v="-"/>
    <s v="P"/>
    <s v="P"/>
    <s v="P"/>
    <s v="+"/>
    <s v="+"/>
    <s v="-"/>
    <s v="-"/>
    <s v="-"/>
    <s v="-"/>
    <s v="-"/>
    <s v="-"/>
    <s v="-"/>
    <s v="-"/>
    <s v="-"/>
    <s v="P"/>
    <s v="P"/>
    <s v="-"/>
    <s v="-"/>
    <n v="1"/>
    <n v="2"/>
    <s v="-"/>
    <s v="-"/>
    <s v="-"/>
    <s v="-"/>
    <s v="-"/>
    <s v="-"/>
    <s v="-"/>
    <s v="-"/>
    <n v="3"/>
    <n v="3"/>
    <s v="-"/>
    <n v="1"/>
    <n v="1"/>
    <n v="2"/>
    <n v="2"/>
    <n v="5"/>
    <n v="5"/>
  </r>
  <r>
    <x v="5"/>
    <x v="127"/>
    <d v="2026-06-10T00:00:00"/>
    <s v="1ST"/>
    <s v="07:00"/>
    <n v="3"/>
    <x v="6"/>
    <n v="1.55E-2"/>
    <s v="P"/>
    <s v="P"/>
    <s v="P"/>
    <s v="+"/>
    <s v="+"/>
    <n v="12.52"/>
    <n v="11.83"/>
    <n v="0.53"/>
    <n v="64.8"/>
    <s v="-"/>
    <s v="-"/>
    <n v="32.9"/>
    <s v="-"/>
    <s v="-"/>
    <s v="P"/>
    <s v="P"/>
    <s v="70% 20% 10%"/>
    <n v="2"/>
    <n v="1"/>
    <n v="2"/>
    <n v="1"/>
    <n v="1"/>
    <n v="2"/>
    <n v="2"/>
    <s v="-"/>
    <s v="-"/>
    <n v="2"/>
    <s v="-"/>
    <n v="13"/>
    <n v="13"/>
    <s v="-"/>
    <n v="1"/>
    <n v="1"/>
    <n v="2"/>
    <n v="2"/>
    <n v="15"/>
    <n v="15"/>
  </r>
  <r>
    <x v="5"/>
    <x v="127"/>
    <d v="2026-06-10T00:00:00"/>
    <s v="1ST"/>
    <s v="08:00"/>
    <n v="3"/>
    <x v="6"/>
    <n v="1.06E-2"/>
    <s v="P"/>
    <s v="P"/>
    <s v="P"/>
    <s v="+"/>
    <s v="+"/>
    <n v="12.74"/>
    <s v="-"/>
    <n v="0.53"/>
    <s v="-"/>
    <s v="-"/>
    <s v="-"/>
    <s v="-"/>
    <s v="-"/>
    <s v="-"/>
    <s v="P"/>
    <s v="P"/>
    <s v="-"/>
    <n v="2"/>
    <n v="1"/>
    <n v="2"/>
    <n v="1"/>
    <s v="-"/>
    <n v="2"/>
    <s v="-"/>
    <s v="-"/>
    <s v="-"/>
    <s v="-"/>
    <s v="-"/>
    <n v="8"/>
    <n v="8"/>
    <s v="-"/>
    <n v="1"/>
    <n v="1"/>
    <n v="2"/>
    <n v="2"/>
    <n v="10"/>
    <n v="10"/>
  </r>
  <r>
    <x v="5"/>
    <x v="127"/>
    <d v="2026-06-10T00:00:00"/>
    <s v="1ST"/>
    <s v="09:00"/>
    <n v="3"/>
    <x v="6"/>
    <s v="-"/>
    <s v="P"/>
    <s v="P"/>
    <s v="P"/>
    <s v="+"/>
    <s v="+"/>
    <n v="12.59"/>
    <s v="-"/>
    <s v="-"/>
    <s v="-"/>
    <s v="-"/>
    <s v="-"/>
    <s v="-"/>
    <s v="-"/>
    <s v="-"/>
    <s v="P"/>
    <s v="P"/>
    <s v="-"/>
    <s v="-"/>
    <n v="1"/>
    <n v="2"/>
    <n v="1"/>
    <s v="-"/>
    <s v="-"/>
    <s v="-"/>
    <s v="-"/>
    <s v="-"/>
    <s v="-"/>
    <s v="-"/>
    <n v="4"/>
    <n v="4"/>
    <s v="-"/>
    <n v="1"/>
    <n v="1"/>
    <n v="2"/>
    <n v="2"/>
    <n v="6"/>
    <n v="6"/>
  </r>
  <r>
    <x v="5"/>
    <x v="127"/>
    <d v="2026-06-10T00:00:00"/>
    <s v="1ST"/>
    <s v="10:00"/>
    <n v="3"/>
    <x v="6"/>
    <n v="1.49E-2"/>
    <s v="P"/>
    <s v="P"/>
    <s v="P"/>
    <s v="+"/>
    <s v="+"/>
    <n v="12.27"/>
    <s v="-"/>
    <s v="-"/>
    <s v="-"/>
    <s v="-"/>
    <s v="-"/>
    <s v="-"/>
    <s v="-"/>
    <s v="-"/>
    <s v="P"/>
    <s v="P"/>
    <s v="-"/>
    <n v="2"/>
    <n v="1"/>
    <n v="2"/>
    <n v="1"/>
    <s v="-"/>
    <s v="-"/>
    <s v="-"/>
    <s v="-"/>
    <s v="-"/>
    <s v="-"/>
    <s v="-"/>
    <n v="6"/>
    <n v="6"/>
    <s v="-"/>
    <n v="1"/>
    <n v="1"/>
    <n v="2"/>
    <n v="2"/>
    <n v="8"/>
    <n v="8"/>
  </r>
  <r>
    <x v="5"/>
    <x v="127"/>
    <d v="1902-03-26T00:00:00"/>
    <s v="2ND"/>
    <d v="1899-12-30T14:00:00"/>
    <n v="2"/>
    <x v="12"/>
    <n v="1.8499999999999999E-2"/>
    <s v="P"/>
    <s v="P"/>
    <s v="P"/>
    <s v="+"/>
    <s v="+"/>
    <n v="12.52"/>
    <n v="12.8"/>
    <s v="-"/>
    <s v="-"/>
    <s v="-"/>
    <s v="-"/>
    <n v="35.9"/>
    <s v="-"/>
    <s v="-"/>
    <s v="P"/>
    <s v="P"/>
    <s v="-"/>
    <n v="2"/>
    <n v="1"/>
    <n v="2"/>
    <n v="1"/>
    <s v="-"/>
    <s v="-"/>
    <s v="-"/>
    <s v="-"/>
    <s v="-"/>
    <n v="2"/>
    <s v="-"/>
    <n v="8"/>
    <n v="8"/>
    <s v="-"/>
    <n v="1"/>
    <n v="1"/>
    <n v="2"/>
    <n v="2"/>
    <n v="10"/>
    <n v="10"/>
  </r>
  <r>
    <x v="5"/>
    <x v="127"/>
    <d v="1899-12-30T00:00:00"/>
    <s v="2ND"/>
    <d v="1899-12-30T15:00:00"/>
    <n v="2"/>
    <x v="12"/>
    <n v="1.72E-2"/>
    <s v="P"/>
    <s v="P"/>
    <s v="P"/>
    <s v="+"/>
    <s v="+"/>
    <n v="11.72"/>
    <s v="-"/>
    <s v="-"/>
    <s v="-"/>
    <s v="-"/>
    <s v="-"/>
    <s v="-"/>
    <s v="-"/>
    <s v="-"/>
    <s v="P"/>
    <s v="P"/>
    <s v="-"/>
    <n v="2"/>
    <n v="1"/>
    <n v="2"/>
    <n v="1"/>
    <s v="-"/>
    <s v="-"/>
    <s v="-"/>
    <s v="-"/>
    <s v="-"/>
    <s v="-"/>
    <s v="-"/>
    <n v="6"/>
    <n v="6"/>
    <s v="-"/>
    <n v="1"/>
    <n v="1"/>
    <n v="2"/>
    <n v="2"/>
    <n v="8"/>
    <n v="8"/>
  </r>
  <r>
    <x v="5"/>
    <x v="127"/>
    <d v="1899-12-30T00:00:00"/>
    <s v="2ND"/>
    <d v="1899-12-30T16:00:00"/>
    <n v="2"/>
    <x v="12"/>
    <n v="9.9000000000000008E-3"/>
    <s v="P"/>
    <s v="P"/>
    <s v="P"/>
    <s v="+"/>
    <s v="+"/>
    <n v="12.48"/>
    <s v="-"/>
    <s v="-"/>
    <s v="-"/>
    <s v="-"/>
    <s v="-"/>
    <s v="-"/>
    <s v="-"/>
    <s v="-"/>
    <s v="P"/>
    <s v="P"/>
    <s v="-"/>
    <n v="2"/>
    <n v="1"/>
    <n v="2"/>
    <n v="1"/>
    <s v="-"/>
    <s v="-"/>
    <s v="-"/>
    <s v="-"/>
    <s v="-"/>
    <s v="-"/>
    <s v="-"/>
    <n v="6"/>
    <n v="6"/>
    <s v="-"/>
    <n v="1"/>
    <n v="1"/>
    <n v="2"/>
    <n v="2"/>
    <n v="8"/>
    <n v="8"/>
  </r>
  <r>
    <x v="5"/>
    <x v="127"/>
    <d v="1899-12-30T00:00:00"/>
    <s v="2ND"/>
    <d v="1899-12-30T18:00:00"/>
    <n v="2"/>
    <x v="12"/>
    <n v="1.4800000000000001E-2"/>
    <s v="P"/>
    <s v="P"/>
    <s v="P"/>
    <s v="+"/>
    <s v="+"/>
    <n v="12.48"/>
    <s v="-"/>
    <s v="-"/>
    <s v="-"/>
    <s v="-"/>
    <s v="-"/>
    <s v="-"/>
    <s v="-"/>
    <s v="-"/>
    <s v="P"/>
    <s v="P"/>
    <s v="-"/>
    <n v="2"/>
    <n v="1"/>
    <n v="2"/>
    <n v="1"/>
    <s v="-"/>
    <s v="-"/>
    <s v="-"/>
    <s v="-"/>
    <s v="-"/>
    <s v="-"/>
    <s v="-"/>
    <n v="6"/>
    <n v="6"/>
    <s v="-"/>
    <n v="1"/>
    <n v="1"/>
    <n v="2"/>
    <n v="2"/>
    <n v="8"/>
    <n v="8"/>
  </r>
  <r>
    <x v="5"/>
    <x v="127"/>
    <d v="1899-12-30T00:00:00"/>
    <s v="2ND"/>
    <d v="1899-12-30T19:00:00"/>
    <n v="2"/>
    <x v="12"/>
    <n v="1.67E-2"/>
    <s v="P"/>
    <s v="P"/>
    <s v="P"/>
    <s v="+"/>
    <s v="+"/>
    <n v="12.43"/>
    <s v="-"/>
    <s v="-"/>
    <s v="-"/>
    <s v="-"/>
    <s v="-"/>
    <s v="-"/>
    <s v="-"/>
    <s v="-"/>
    <s v="P"/>
    <s v="P"/>
    <s v="-"/>
    <n v="2"/>
    <n v="1"/>
    <n v="2"/>
    <n v="1"/>
    <s v="-"/>
    <s v="-"/>
    <s v="-"/>
    <s v="-"/>
    <s v="-"/>
    <s v="-"/>
    <s v="-"/>
    <n v="6"/>
    <n v="6"/>
    <s v="-"/>
    <n v="1"/>
    <n v="1"/>
    <n v="2"/>
    <n v="2"/>
    <n v="8"/>
    <n v="8"/>
  </r>
  <r>
    <x v="5"/>
    <x v="127"/>
    <d v="2026-06-10T00:00:00"/>
    <s v="2ND"/>
    <d v="1899-12-30T19:00:00"/>
    <n v="3"/>
    <x v="6"/>
    <n v="1.4500000000000001E-2"/>
    <s v="P"/>
    <s v="P"/>
    <s v="P"/>
    <s v="+"/>
    <s v="+"/>
    <n v="12.57"/>
    <n v="12.78"/>
    <s v="-"/>
    <s v="-"/>
    <s v="-"/>
    <s v="-"/>
    <n v="35.700000000000003"/>
    <s v="-"/>
    <s v="-"/>
    <s v="P"/>
    <s v="P"/>
    <s v="85% 15%"/>
    <n v="2"/>
    <n v="1"/>
    <n v="2"/>
    <n v="1"/>
    <n v="1"/>
    <s v="-"/>
    <s v="-"/>
    <s v="-"/>
    <s v="-"/>
    <n v="2"/>
    <s v="-"/>
    <n v="9"/>
    <n v="9"/>
    <s v="-"/>
    <n v="1"/>
    <n v="1"/>
    <n v="2"/>
    <n v="2"/>
    <n v="11"/>
    <n v="11"/>
  </r>
  <r>
    <x v="5"/>
    <x v="127"/>
    <d v="2026-06-10T00:00:00"/>
    <s v="2ND"/>
    <d v="1899-12-30T20:00:00"/>
    <n v="3"/>
    <x v="6"/>
    <n v="1.61E-2"/>
    <s v="P"/>
    <s v="P"/>
    <s v="P"/>
    <s v="+"/>
    <s v="+"/>
    <n v="12.47"/>
    <s v="-"/>
    <s v="-"/>
    <s v="-"/>
    <s v="-"/>
    <s v="-"/>
    <s v="-"/>
    <s v="-"/>
    <s v="-"/>
    <s v="P"/>
    <s v="P"/>
    <s v="-"/>
    <n v="2"/>
    <n v="1"/>
    <n v="2"/>
    <n v="1"/>
    <s v="-"/>
    <s v="-"/>
    <s v="-"/>
    <s v="-"/>
    <s v="-"/>
    <s v="-"/>
    <s v="-"/>
    <n v="6"/>
    <n v="6"/>
    <s v="-"/>
    <n v="1"/>
    <n v="1"/>
    <n v="2"/>
    <n v="2"/>
    <n v="8"/>
    <n v="8"/>
  </r>
  <r>
    <x v="5"/>
    <x v="127"/>
    <d v="2026-06-10T00:00:00"/>
    <s v="2ND"/>
    <d v="1899-12-30T21:00:00"/>
    <n v="3"/>
    <x v="6"/>
    <n v="1.8200000000000001E-2"/>
    <s v="P"/>
    <s v="P"/>
    <s v="P"/>
    <s v="+"/>
    <s v="+"/>
    <n v="12.52"/>
    <s v="-"/>
    <s v="-"/>
    <s v="-"/>
    <s v="-"/>
    <s v="-"/>
    <s v="-"/>
    <s v="-"/>
    <s v="-"/>
    <s v="P"/>
    <s v="P"/>
    <s v="-"/>
    <n v="2"/>
    <n v="1"/>
    <n v="2"/>
    <n v="1"/>
    <s v="-"/>
    <s v="-"/>
    <s v="-"/>
    <s v="-"/>
    <s v="-"/>
    <s v="-"/>
    <s v="-"/>
    <n v="6"/>
    <n v="6"/>
    <s v="-"/>
    <n v="1"/>
    <n v="1"/>
    <n v="2"/>
    <n v="2"/>
    <n v="8"/>
    <n v="8"/>
  </r>
  <r>
    <x v="5"/>
    <x v="127"/>
    <d v="1899-12-30T00:00:00"/>
    <s v="2ND"/>
    <d v="1899-12-30T14:00:00"/>
    <s v="Retail"/>
    <x v="13"/>
    <s v="-"/>
    <s v="-"/>
    <s v="-"/>
    <s v="-"/>
    <s v="-"/>
    <s v="-"/>
    <n v="12.01"/>
    <s v="-"/>
    <n v="4.34"/>
    <s v="-"/>
    <s v="-"/>
    <s v="-"/>
    <s v="-"/>
    <s v="-"/>
    <s v="-"/>
    <s v="-"/>
    <s v="-"/>
    <s v="-"/>
    <s v="-"/>
    <s v="-"/>
    <s v="-"/>
    <n v="1"/>
    <s v="-"/>
    <n v="2"/>
    <s v="-"/>
    <s v="-"/>
    <s v="-"/>
    <s v="-"/>
    <s v="-"/>
    <n v="3"/>
    <n v="3"/>
    <s v="-"/>
    <s v="-"/>
    <s v="-"/>
    <n v="0"/>
    <n v="0"/>
    <n v="3"/>
    <n v="3"/>
  </r>
  <r>
    <x v="5"/>
    <x v="127"/>
    <d v="1902-03-26T00:00:00"/>
    <s v="3RD"/>
    <d v="1899-12-30T22:00:00"/>
    <n v="2"/>
    <x v="47"/>
    <n v="1.3899999999999999E-2"/>
    <s v="P"/>
    <s v="P"/>
    <s v="P"/>
    <s v="-"/>
    <s v="+"/>
    <n v="10.99"/>
    <n v="9.56"/>
    <n v="0.63"/>
    <n v="58.2"/>
    <n v="12.7"/>
    <n v="416"/>
    <n v="25.9"/>
    <s v="-"/>
    <s v="-"/>
    <s v="P"/>
    <s v="P"/>
    <s v="-"/>
    <n v="2"/>
    <n v="1"/>
    <n v="2"/>
    <n v="0"/>
    <n v="1"/>
    <n v="0"/>
    <n v="2"/>
    <n v="1"/>
    <n v="0"/>
    <n v="2"/>
    <s v="-"/>
    <n v="11"/>
    <n v="15"/>
    <s v="-"/>
    <n v="1"/>
    <n v="1"/>
    <n v="2"/>
    <n v="2"/>
    <n v="13"/>
    <n v="17"/>
  </r>
  <r>
    <x v="5"/>
    <x v="127"/>
    <d v="1899-12-30T00:00:00"/>
    <s v="3RD"/>
    <d v="1899-12-31T00:00:00"/>
    <n v="2"/>
    <x v="47"/>
    <n v="1.26E-2"/>
    <s v="P"/>
    <s v="P"/>
    <s v="P"/>
    <s v="-"/>
    <s v="+"/>
    <n v="11.05"/>
    <s v="-"/>
    <s v="-"/>
    <s v="-"/>
    <s v="-"/>
    <s v="-"/>
    <s v="-"/>
    <s v="-"/>
    <s v="-"/>
    <s v="P"/>
    <s v="P"/>
    <s v="-"/>
    <n v="2"/>
    <n v="1"/>
    <n v="2"/>
    <n v="1"/>
    <s v="-"/>
    <s v="-"/>
    <s v="-"/>
    <s v="-"/>
    <s v="-"/>
    <s v="-"/>
    <s v="-"/>
    <n v="6"/>
    <n v="6"/>
    <s v="-"/>
    <n v="1"/>
    <n v="1"/>
    <n v="2"/>
    <n v="2"/>
    <n v="8"/>
    <n v="8"/>
  </r>
  <r>
    <x v="5"/>
    <x v="127"/>
    <d v="1899-12-30T00:00:00"/>
    <s v="3RD"/>
    <d v="1899-12-31T01:00:00"/>
    <n v="2"/>
    <x v="47"/>
    <n v="8.5000000000000006E-3"/>
    <s v="P"/>
    <s v="P"/>
    <s v="P"/>
    <s v="-"/>
    <s v="+"/>
    <n v="10.85"/>
    <s v="-"/>
    <s v="-"/>
    <s v="-"/>
    <s v="-"/>
    <s v="-"/>
    <s v="-"/>
    <s v="-"/>
    <s v="-"/>
    <s v="P"/>
    <s v="P"/>
    <s v="-"/>
    <n v="2"/>
    <n v="1"/>
    <n v="2"/>
    <n v="0"/>
    <s v="-"/>
    <s v="-"/>
    <s v="-"/>
    <s v="-"/>
    <s v="-"/>
    <s v="-"/>
    <s v="-"/>
    <n v="5"/>
    <n v="6"/>
    <s v="-"/>
    <n v="1"/>
    <n v="1"/>
    <n v="2"/>
    <n v="2"/>
    <n v="7"/>
    <n v="8"/>
  </r>
  <r>
    <x v="5"/>
    <x v="127"/>
    <d v="1899-12-30T00:00:00"/>
    <s v="3RD"/>
    <d v="1899-12-31T02:00:00"/>
    <n v="2"/>
    <x v="47"/>
    <n v="1.44E-2"/>
    <s v="P"/>
    <s v="P"/>
    <s v="P"/>
    <s v="-"/>
    <s v="+"/>
    <n v="11.02"/>
    <s v="-"/>
    <s v="-"/>
    <s v="-"/>
    <s v="-"/>
    <s v="-"/>
    <s v="-"/>
    <s v="-"/>
    <s v="-"/>
    <s v="P"/>
    <s v="P"/>
    <s v="-"/>
    <n v="2"/>
    <n v="1"/>
    <n v="2"/>
    <n v="1"/>
    <s v="-"/>
    <s v="-"/>
    <s v="-"/>
    <s v="-"/>
    <s v="-"/>
    <s v="-"/>
    <s v="-"/>
    <n v="6"/>
    <n v="6"/>
    <s v="-"/>
    <n v="1"/>
    <n v="1"/>
    <n v="2"/>
    <n v="2"/>
    <n v="8"/>
    <n v="8"/>
  </r>
  <r>
    <x v="5"/>
    <x v="127"/>
    <d v="1899-12-30T00:00:00"/>
    <s v="3RD"/>
    <d v="1899-12-31T03:00:00"/>
    <n v="2"/>
    <x v="47"/>
    <n v="1.72E-2"/>
    <s v="P"/>
    <s v="P"/>
    <s v="P"/>
    <s v="-"/>
    <s v="+"/>
    <n v="10.89"/>
    <s v="-"/>
    <s v="-"/>
    <s v="-"/>
    <s v="-"/>
    <s v="-"/>
    <s v="-"/>
    <s v="-"/>
    <s v="-"/>
    <s v="P"/>
    <s v="P"/>
    <s v="-"/>
    <n v="2"/>
    <n v="1"/>
    <n v="2"/>
    <n v="0"/>
    <s v="-"/>
    <s v="-"/>
    <s v="-"/>
    <s v="-"/>
    <s v="-"/>
    <s v="-"/>
    <s v="-"/>
    <n v="5"/>
    <n v="6"/>
    <s v="-"/>
    <n v="1"/>
    <n v="1"/>
    <n v="2"/>
    <n v="2"/>
    <n v="7"/>
    <n v="8"/>
  </r>
  <r>
    <x v="5"/>
    <x v="127"/>
    <d v="1899-12-30T00:00:00"/>
    <s v="3RD"/>
    <d v="1899-12-31T04:00:00"/>
    <n v="2"/>
    <x v="47"/>
    <n v="1.4E-2"/>
    <s v="P"/>
    <s v="P"/>
    <s v="P"/>
    <s v="-"/>
    <s v="+"/>
    <n v="10.91"/>
    <s v="-"/>
    <s v="-"/>
    <s v="-"/>
    <s v="-"/>
    <s v="-"/>
    <s v="-"/>
    <s v="-"/>
    <s v="-"/>
    <s v="P"/>
    <s v="P"/>
    <s v="-"/>
    <n v="2"/>
    <n v="1"/>
    <n v="2"/>
    <n v="0"/>
    <s v="-"/>
    <s v="-"/>
    <s v="-"/>
    <s v="-"/>
    <s v="-"/>
    <s v="-"/>
    <s v="-"/>
    <n v="5"/>
    <n v="6"/>
    <s v="-"/>
    <n v="1"/>
    <n v="1"/>
    <n v="2"/>
    <n v="2"/>
    <n v="7"/>
    <n v="8"/>
  </r>
  <r>
    <x v="5"/>
    <x v="127"/>
    <d v="2026-06-10T00:00:00"/>
    <s v="3RD"/>
    <d v="1899-12-30T22:00:00"/>
    <n v="3"/>
    <x v="6"/>
    <n v="1.8800000000000001E-2"/>
    <s v="P"/>
    <s v="P"/>
    <s v="P"/>
    <s v="+"/>
    <s v="+"/>
    <n v="12.62"/>
    <n v="12.63"/>
    <s v="-"/>
    <s v="-"/>
    <s v="-"/>
    <s v="-"/>
    <n v="35.299999999999997"/>
    <s v="-"/>
    <s v="-"/>
    <s v="P"/>
    <s v="P"/>
    <s v="85% 15%"/>
    <n v="2"/>
    <n v="1"/>
    <n v="2"/>
    <n v="1"/>
    <n v="1"/>
    <s v="-"/>
    <s v="-"/>
    <s v="-"/>
    <s v="-"/>
    <n v="2"/>
    <s v="-"/>
    <n v="9"/>
    <n v="9"/>
    <s v="-"/>
    <n v="1"/>
    <n v="1"/>
    <n v="2"/>
    <n v="2"/>
    <n v="11"/>
    <n v="11"/>
  </r>
  <r>
    <x v="5"/>
    <x v="127"/>
    <d v="2026-06-10T00:00:00"/>
    <s v="3RD"/>
    <d v="1899-12-30T23:00:00"/>
    <n v="3"/>
    <x v="6"/>
    <n v="1.95E-2"/>
    <s v="P"/>
    <s v="P"/>
    <s v="P"/>
    <s v="+"/>
    <s v="+"/>
    <n v="12.34"/>
    <s v="-"/>
    <s v="-"/>
    <s v="-"/>
    <s v="-"/>
    <s v="-"/>
    <s v="-"/>
    <s v="-"/>
    <s v="-"/>
    <s v="P"/>
    <s v="P"/>
    <s v="-"/>
    <n v="2"/>
    <n v="1"/>
    <n v="2"/>
    <n v="1"/>
    <s v="-"/>
    <s v="-"/>
    <s v="-"/>
    <s v="-"/>
    <s v="-"/>
    <s v="-"/>
    <s v="-"/>
    <n v="6"/>
    <n v="6"/>
    <s v="-"/>
    <n v="1"/>
    <n v="1"/>
    <n v="2"/>
    <n v="2"/>
    <n v="8"/>
    <n v="8"/>
  </r>
  <r>
    <x v="5"/>
    <x v="127"/>
    <d v="2026-06-10T00:00:00"/>
    <s v="3RD"/>
    <d v="1899-12-31T00:00:00"/>
    <n v="3"/>
    <x v="6"/>
    <n v="1.8599999999999998E-2"/>
    <s v="P"/>
    <s v="P"/>
    <s v="P"/>
    <s v="+"/>
    <s v="+"/>
    <n v="12.36"/>
    <s v="-"/>
    <s v="-"/>
    <s v="-"/>
    <s v="-"/>
    <s v="-"/>
    <s v="-"/>
    <s v="-"/>
    <s v="-"/>
    <s v="P"/>
    <s v="P"/>
    <s v="-"/>
    <n v="2"/>
    <n v="1"/>
    <n v="2"/>
    <n v="1"/>
    <s v="-"/>
    <s v="-"/>
    <s v="-"/>
    <s v="-"/>
    <s v="-"/>
    <s v="-"/>
    <s v="-"/>
    <n v="6"/>
    <n v="6"/>
    <s v="-"/>
    <n v="1"/>
    <n v="1"/>
    <n v="2"/>
    <n v="2"/>
    <n v="8"/>
    <n v="8"/>
  </r>
  <r>
    <x v="5"/>
    <x v="127"/>
    <d v="2026-06-10T00:00:00"/>
    <s v="3RD"/>
    <d v="1899-12-31T01:00:00"/>
    <n v="3"/>
    <x v="6"/>
    <n v="1.7299999999999999E-2"/>
    <s v="P"/>
    <s v="P"/>
    <s v="P"/>
    <s v="+"/>
    <s v="+"/>
    <n v="12.55"/>
    <s v="-"/>
    <s v="-"/>
    <s v="-"/>
    <s v="-"/>
    <s v="-"/>
    <s v="-"/>
    <s v="-"/>
    <s v="-"/>
    <s v="P"/>
    <s v="P"/>
    <s v="-"/>
    <n v="2"/>
    <n v="1"/>
    <n v="2"/>
    <n v="1"/>
    <s v="-"/>
    <s v="-"/>
    <s v="-"/>
    <s v="-"/>
    <s v="-"/>
    <s v="-"/>
    <s v="-"/>
    <n v="6"/>
    <n v="6"/>
    <s v="-"/>
    <n v="1"/>
    <n v="1"/>
    <n v="2"/>
    <n v="2"/>
    <n v="8"/>
    <n v="8"/>
  </r>
  <r>
    <x v="5"/>
    <x v="127"/>
    <d v="2026-06-11T00:00:00"/>
    <s v="3RD"/>
    <d v="1899-12-31T04:00:00"/>
    <n v="3"/>
    <x v="16"/>
    <n v="1.7299999999999999E-2"/>
    <s v="P"/>
    <s v="P"/>
    <s v="P"/>
    <s v="+"/>
    <s v="+"/>
    <n v="12.67"/>
    <s v="-"/>
    <s v="-"/>
    <s v="-"/>
    <s v="-"/>
    <s v="-"/>
    <s v="-"/>
    <s v="-"/>
    <s v="-"/>
    <s v="P"/>
    <s v="P"/>
    <n v="1"/>
    <n v="2"/>
    <n v="1"/>
    <n v="2"/>
    <n v="1"/>
    <s v="-"/>
    <s v="-"/>
    <s v="-"/>
    <s v="-"/>
    <s v="-"/>
    <s v="-"/>
    <s v="-"/>
    <n v="6"/>
    <n v="6"/>
    <s v="-"/>
    <n v="1"/>
    <n v="1"/>
    <n v="2"/>
    <n v="2"/>
    <n v="8"/>
    <n v="8"/>
  </r>
  <r>
    <x v="5"/>
    <x v="127"/>
    <d v="2026-06-11T00:00:00"/>
    <s v="3RD"/>
    <d v="1899-12-31T05:00:00"/>
    <n v="3"/>
    <x v="16"/>
    <n v="2.0199999999999999E-2"/>
    <s v="P"/>
    <s v="P"/>
    <s v="P"/>
    <s v="+"/>
    <s v="+"/>
    <n v="12.23"/>
    <s v="-"/>
    <s v="-"/>
    <s v="-"/>
    <s v="-"/>
    <s v="-"/>
    <s v="-"/>
    <s v="-"/>
    <s v="-"/>
    <s v="P"/>
    <s v="P"/>
    <s v="-"/>
    <n v="0"/>
    <n v="1"/>
    <n v="2"/>
    <n v="1"/>
    <s v="-"/>
    <s v="-"/>
    <s v="-"/>
    <s v="-"/>
    <s v="-"/>
    <s v="-"/>
    <s v="-"/>
    <n v="4"/>
    <n v="6"/>
    <s v="-"/>
    <n v="1"/>
    <n v="1"/>
    <n v="2"/>
    <n v="2"/>
    <n v="6"/>
    <n v="8"/>
  </r>
  <r>
    <x v="5"/>
    <x v="128"/>
    <d v="2026-06-11T00:00:00"/>
    <s v="1ST"/>
    <s v="06:00"/>
    <n v="3"/>
    <x v="16"/>
    <n v="1.5299999999999999E-2"/>
    <s v="P"/>
    <s v="P"/>
    <s v="P"/>
    <s v="+"/>
    <s v="+"/>
    <n v="12.6"/>
    <n v="12.58"/>
    <n v="0.53"/>
    <n v="65.2"/>
    <s v="-"/>
    <s v="-"/>
    <n v="35.200000000000003"/>
    <s v="-"/>
    <s v="-"/>
    <s v="P"/>
    <s v="P"/>
    <n v="1"/>
    <n v="2"/>
    <n v="1"/>
    <n v="2"/>
    <n v="1"/>
    <n v="1"/>
    <n v="2"/>
    <n v="2"/>
    <s v="-"/>
    <s v="-"/>
    <n v="2"/>
    <s v="-"/>
    <n v="13"/>
    <n v="13"/>
    <s v="-"/>
    <n v="1"/>
    <n v="1"/>
    <n v="2"/>
    <n v="2"/>
    <n v="15"/>
    <n v="15"/>
  </r>
  <r>
    <x v="5"/>
    <x v="128"/>
    <d v="2026-06-11T00:00:00"/>
    <s v="1ST"/>
    <s v="07:00"/>
    <n v="3"/>
    <x v="16"/>
    <n v="1.66E-2"/>
    <s v="P"/>
    <s v="P"/>
    <s v="P"/>
    <s v="+"/>
    <s v="+"/>
    <n v="12.71"/>
    <s v="-"/>
    <s v="-"/>
    <s v="-"/>
    <s v="-"/>
    <s v="-"/>
    <s v="-"/>
    <s v="-"/>
    <s v="-"/>
    <s v="P"/>
    <s v="P"/>
    <s v="-"/>
    <n v="2"/>
    <n v="1"/>
    <n v="2"/>
    <n v="1"/>
    <s v="-"/>
    <s v="-"/>
    <s v="-"/>
    <s v="-"/>
    <s v="-"/>
    <s v="-"/>
    <s v="-"/>
    <n v="6"/>
    <n v="6"/>
    <s v="-"/>
    <n v="1"/>
    <n v="1"/>
    <n v="2"/>
    <n v="2"/>
    <n v="8"/>
    <n v="8"/>
  </r>
  <r>
    <x v="5"/>
    <x v="128"/>
    <d v="2026-06-11T00:00:00"/>
    <s v="1ST"/>
    <s v="08:00"/>
    <n v="3"/>
    <x v="16"/>
    <n v="1.21E-2"/>
    <s v="P"/>
    <s v="P"/>
    <s v="P"/>
    <s v="+"/>
    <s v="+"/>
    <n v="12.66"/>
    <s v="-"/>
    <s v="-"/>
    <s v="-"/>
    <s v="-"/>
    <s v="-"/>
    <s v="-"/>
    <s v="-"/>
    <s v="-"/>
    <s v="P"/>
    <s v="P"/>
    <s v="-"/>
    <n v="2"/>
    <n v="1"/>
    <n v="2"/>
    <n v="1"/>
    <s v="-"/>
    <s v="-"/>
    <s v="-"/>
    <s v="-"/>
    <s v="-"/>
    <s v="-"/>
    <s v="-"/>
    <n v="6"/>
    <n v="6"/>
    <s v="-"/>
    <n v="1"/>
    <n v="1"/>
    <n v="2"/>
    <n v="2"/>
    <n v="8"/>
    <n v="8"/>
  </r>
  <r>
    <x v="5"/>
    <x v="128"/>
    <d v="2026-06-11T00:00:00"/>
    <s v="1ST"/>
    <s v="09:00"/>
    <n v="3"/>
    <x v="16"/>
    <n v="1.7500000000000002E-2"/>
    <s v="P"/>
    <s v="P"/>
    <s v="P"/>
    <s v="+"/>
    <s v="+"/>
    <n v="11.9"/>
    <s v="-"/>
    <s v="-"/>
    <s v="-"/>
    <s v="-"/>
    <s v="-"/>
    <s v="-"/>
    <s v="-"/>
    <s v="-"/>
    <s v="P"/>
    <s v="P"/>
    <s v="-"/>
    <n v="2"/>
    <n v="1"/>
    <n v="2"/>
    <n v="0"/>
    <s v="-"/>
    <s v="-"/>
    <s v="-"/>
    <s v="-"/>
    <s v="-"/>
    <s v="-"/>
    <s v="-"/>
    <n v="5"/>
    <n v="6"/>
    <s v="-"/>
    <n v="1"/>
    <n v="1"/>
    <n v="2"/>
    <n v="2"/>
    <n v="7"/>
    <n v="8"/>
  </r>
  <r>
    <x v="5"/>
    <x v="128"/>
    <d v="2026-06-11T00:00:00"/>
    <s v="1ST"/>
    <s v="12:00"/>
    <n v="3"/>
    <x v="16"/>
    <n v="1.7500000000000002E-2"/>
    <s v="P"/>
    <s v="P"/>
    <s v="P"/>
    <s v="+"/>
    <s v="+"/>
    <n v="12.88"/>
    <s v="-"/>
    <s v="-"/>
    <s v="-"/>
    <s v="-"/>
    <s v="-"/>
    <s v="-"/>
    <s v="-"/>
    <s v="-"/>
    <s v="P"/>
    <s v="P"/>
    <s v="-"/>
    <n v="2"/>
    <n v="1"/>
    <n v="2"/>
    <n v="1"/>
    <s v="-"/>
    <s v="-"/>
    <s v="-"/>
    <s v="-"/>
    <s v="-"/>
    <s v="-"/>
    <s v="-"/>
    <n v="6"/>
    <n v="6"/>
    <s v="-"/>
    <n v="1"/>
    <n v="1"/>
    <n v="2"/>
    <n v="2"/>
    <n v="8"/>
    <n v="8"/>
  </r>
  <r>
    <x v="5"/>
    <x v="128"/>
    <d v="2026-06-11T00:00:00"/>
    <s v="1ST"/>
    <s v="13:00"/>
    <n v="3"/>
    <x v="16"/>
    <n v="1.9300000000000001E-2"/>
    <s v="P"/>
    <s v="P"/>
    <s v="P"/>
    <s v="-"/>
    <s v="+"/>
    <n v="12.66"/>
    <s v="-"/>
    <s v="-"/>
    <s v="-"/>
    <s v="-"/>
    <s v="-"/>
    <s v="-"/>
    <s v="-"/>
    <s v="-"/>
    <s v="P"/>
    <s v="P"/>
    <s v="-"/>
    <n v="2"/>
    <n v="1"/>
    <n v="2"/>
    <n v="1"/>
    <s v="-"/>
    <s v="-"/>
    <s v="-"/>
    <s v="-"/>
    <s v="-"/>
    <s v="-"/>
    <s v="-"/>
    <n v="6"/>
    <n v="6"/>
    <s v="-"/>
    <n v="1"/>
    <n v="1"/>
    <n v="2"/>
    <n v="2"/>
    <n v="8"/>
    <n v="8"/>
  </r>
  <r>
    <x v="5"/>
    <x v="128"/>
    <d v="2026-06-16T00:00:00"/>
    <s v="1ST"/>
    <s v="07:00"/>
    <s v="Retail"/>
    <x v="9"/>
    <s v="-"/>
    <s v="-"/>
    <s v="-"/>
    <s v="-"/>
    <s v="-"/>
    <s v="-"/>
    <n v="10.5"/>
    <s v="-"/>
    <s v="-"/>
    <s v="-"/>
    <s v="-"/>
    <s v="-"/>
    <s v="-"/>
    <s v="-"/>
    <s v="-"/>
    <s v="-"/>
    <s v="-"/>
    <s v="-"/>
    <s v="-"/>
    <s v="-"/>
    <s v="-"/>
    <n v="1"/>
    <s v="-"/>
    <s v="-"/>
    <s v="-"/>
    <s v="-"/>
    <s v="-"/>
    <s v="-"/>
    <s v="-"/>
    <n v="1"/>
    <n v="1"/>
    <s v="-"/>
    <s v="-"/>
    <s v="-"/>
    <n v="0"/>
    <n v="0"/>
    <n v="1"/>
    <n v="1"/>
  </r>
  <r>
    <x v="5"/>
    <x v="128"/>
    <d v="2026-06-16T00:00:00"/>
    <s v="1ST"/>
    <s v="13:00"/>
    <s v="Retail"/>
    <x v="3"/>
    <s v="-"/>
    <s v="-"/>
    <s v="-"/>
    <s v="-"/>
    <s v="-"/>
    <s v="-"/>
    <n v="11.37"/>
    <s v="-"/>
    <s v="-"/>
    <s v="-"/>
    <s v="-"/>
    <s v="-"/>
    <s v="-"/>
    <s v="-"/>
    <s v="-"/>
    <s v="-"/>
    <s v="-"/>
    <s v="-"/>
    <s v="-"/>
    <s v="-"/>
    <s v="-"/>
    <n v="0"/>
    <s v="-"/>
    <s v="-"/>
    <s v="-"/>
    <s v="-"/>
    <s v="-"/>
    <s v="-"/>
    <s v="-"/>
    <n v="0"/>
    <n v="1"/>
    <s v="-"/>
    <s v="-"/>
    <s v="-"/>
    <n v="0"/>
    <n v="0"/>
    <n v="0"/>
    <n v="1"/>
  </r>
  <r>
    <x v="5"/>
    <x v="128"/>
    <d v="1902-03-26T00:00:00"/>
    <s v="2ND"/>
    <d v="1899-12-30T19:00:00"/>
    <n v="2"/>
    <x v="47"/>
    <n v="1.9699999999999999E-2"/>
    <s v="P"/>
    <s v="P"/>
    <s v="P"/>
    <s v="-"/>
    <s v="+"/>
    <n v="10.52"/>
    <n v="9.26"/>
    <s v="-"/>
    <n v="58.3"/>
    <s v="-"/>
    <s v="-"/>
    <n v="25.3"/>
    <s v="-"/>
    <s v="-"/>
    <s v="P"/>
    <s v="P"/>
    <s v="-"/>
    <n v="2"/>
    <n v="1"/>
    <n v="2"/>
    <n v="0"/>
    <n v="1"/>
    <s v="-"/>
    <n v="2"/>
    <s v="-"/>
    <s v="-"/>
    <n v="2"/>
    <s v="-"/>
    <n v="10"/>
    <n v="11"/>
    <s v="-"/>
    <n v="1"/>
    <n v="1"/>
    <n v="2"/>
    <n v="2"/>
    <n v="12"/>
    <n v="13"/>
  </r>
  <r>
    <x v="5"/>
    <x v="128"/>
    <d v="2026-06-11T00:00:00"/>
    <s v="2ND"/>
    <d v="1899-12-30T14:00:00"/>
    <n v="3"/>
    <x v="16"/>
    <n v="1.9099999999999999E-2"/>
    <s v="P"/>
    <s v="P"/>
    <s v="P"/>
    <s v="+"/>
    <s v="+"/>
    <n v="13.02"/>
    <n v="12.91"/>
    <s v="-"/>
    <s v="-"/>
    <s v="-"/>
    <s v="-"/>
    <n v="36"/>
    <s v="-"/>
    <s v="-"/>
    <s v="P"/>
    <s v="P"/>
    <n v="1"/>
    <n v="2"/>
    <n v="1"/>
    <n v="2"/>
    <n v="1"/>
    <n v="1"/>
    <s v="-"/>
    <s v="-"/>
    <s v="-"/>
    <s v="-"/>
    <n v="2"/>
    <s v="-"/>
    <n v="9"/>
    <n v="9"/>
    <s v="-"/>
    <n v="1"/>
    <n v="1"/>
    <n v="2"/>
    <n v="2"/>
    <n v="11"/>
    <n v="11"/>
  </r>
  <r>
    <x v="5"/>
    <x v="128"/>
    <d v="2026-06-11T00:00:00"/>
    <s v="2ND"/>
    <d v="1899-12-30T16:00:00"/>
    <n v="3"/>
    <x v="16"/>
    <n v="1.8100000000000002E-2"/>
    <s v="P"/>
    <s v="P"/>
    <s v="P"/>
    <s v="+"/>
    <s v="+"/>
    <n v="12.71"/>
    <s v="-"/>
    <s v="-"/>
    <s v="-"/>
    <s v="-"/>
    <s v="-"/>
    <s v="-"/>
    <s v="-"/>
    <s v="-"/>
    <s v="P"/>
    <s v="P"/>
    <s v="-"/>
    <n v="2"/>
    <n v="1"/>
    <n v="2"/>
    <n v="1"/>
    <s v="-"/>
    <s v="-"/>
    <s v="-"/>
    <s v="-"/>
    <s v="-"/>
    <s v="-"/>
    <s v="-"/>
    <n v="6"/>
    <n v="6"/>
    <s v="-"/>
    <n v="1"/>
    <n v="1"/>
    <n v="2"/>
    <n v="2"/>
    <n v="8"/>
    <n v="8"/>
  </r>
  <r>
    <x v="5"/>
    <x v="128"/>
    <d v="2026-06-11T00:00:00"/>
    <s v="2ND"/>
    <d v="1899-12-30T17:00:00"/>
    <n v="3"/>
    <x v="16"/>
    <s v="-"/>
    <s v="P"/>
    <s v="P"/>
    <s v="P"/>
    <s v="+"/>
    <s v="+"/>
    <n v="12.7"/>
    <s v="-"/>
    <s v="-"/>
    <s v="-"/>
    <s v="-"/>
    <s v="-"/>
    <s v="-"/>
    <s v="-"/>
    <s v="-"/>
    <s v="P"/>
    <s v="P"/>
    <s v="-"/>
    <s v="-"/>
    <n v="1"/>
    <n v="2"/>
    <n v="1"/>
    <s v="-"/>
    <s v="-"/>
    <s v="-"/>
    <s v="-"/>
    <s v="-"/>
    <s v="-"/>
    <s v="-"/>
    <n v="4"/>
    <n v="4"/>
    <s v="-"/>
    <n v="1"/>
    <n v="1"/>
    <n v="2"/>
    <n v="2"/>
    <n v="6"/>
    <n v="6"/>
  </r>
  <r>
    <x v="5"/>
    <x v="128"/>
    <d v="1902-03-26T00:00:00"/>
    <s v="3RD"/>
    <d v="1899-12-31T00:00:00"/>
    <n v="2"/>
    <x v="47"/>
    <n v="1.84E-2"/>
    <s v="P"/>
    <s v="P"/>
    <s v="P"/>
    <s v="-"/>
    <s v="+"/>
    <n v="10.95"/>
    <n v="9.31"/>
    <n v="0.61"/>
    <s v="-"/>
    <s v="-"/>
    <s v="-"/>
    <n v="25.3"/>
    <s v="-"/>
    <s v="-"/>
    <s v="P"/>
    <s v="P"/>
    <s v="-"/>
    <n v="2"/>
    <n v="1"/>
    <n v="2"/>
    <n v="0"/>
    <n v="1"/>
    <n v="0"/>
    <s v="-"/>
    <s v="-"/>
    <s v="-"/>
    <n v="2"/>
    <s v="-"/>
    <n v="8"/>
    <n v="11"/>
    <s v="-"/>
    <n v="1"/>
    <n v="1"/>
    <n v="2"/>
    <n v="2"/>
    <n v="10"/>
    <n v="13"/>
  </r>
  <r>
    <x v="5"/>
    <x v="128"/>
    <d v="1899-12-30T00:00:00"/>
    <s v="3RD"/>
    <d v="1899-12-31T01:00:00"/>
    <n v="2"/>
    <x v="47"/>
    <n v="1.84E-2"/>
    <s v="P"/>
    <s v="P"/>
    <s v="P"/>
    <s v="-"/>
    <s v="+"/>
    <n v="11.17"/>
    <s v="-"/>
    <s v="-"/>
    <s v="-"/>
    <s v="-"/>
    <s v="-"/>
    <s v="-"/>
    <s v="-"/>
    <s v="-"/>
    <s v="P"/>
    <s v="P"/>
    <s v="-"/>
    <n v="2"/>
    <n v="1"/>
    <n v="2"/>
    <n v="1"/>
    <s v="-"/>
    <s v="-"/>
    <s v="-"/>
    <s v="-"/>
    <s v="-"/>
    <s v="-"/>
    <s v="-"/>
    <n v="6"/>
    <n v="6"/>
    <s v="-"/>
    <n v="1"/>
    <n v="1"/>
    <n v="2"/>
    <n v="2"/>
    <n v="8"/>
    <n v="8"/>
  </r>
  <r>
    <x v="5"/>
    <x v="128"/>
    <d v="1899-12-30T00:00:00"/>
    <s v="3RD"/>
    <d v="1899-12-31T02:00:00"/>
    <n v="2"/>
    <x v="47"/>
    <n v="1.11E-2"/>
    <s v="P"/>
    <s v="P"/>
    <s v="P"/>
    <s v="-"/>
    <s v="+"/>
    <n v="11.19"/>
    <s v="-"/>
    <s v="-"/>
    <s v="-"/>
    <s v="-"/>
    <s v="-"/>
    <s v="-"/>
    <s v="-"/>
    <s v="-"/>
    <s v="P"/>
    <s v="P"/>
    <s v="-"/>
    <n v="2"/>
    <n v="1"/>
    <n v="2"/>
    <n v="1"/>
    <s v="-"/>
    <s v="-"/>
    <s v="-"/>
    <s v="-"/>
    <s v="-"/>
    <s v="-"/>
    <s v="-"/>
    <n v="6"/>
    <n v="6"/>
    <s v="-"/>
    <n v="1"/>
    <n v="1"/>
    <n v="2"/>
    <n v="2"/>
    <n v="8"/>
    <n v="8"/>
  </r>
  <r>
    <x v="5"/>
    <x v="128"/>
    <d v="1899-12-30T00:00:00"/>
    <s v="3RD"/>
    <d v="1899-12-31T04:00:00"/>
    <n v="2"/>
    <x v="47"/>
    <n v="1.29E-2"/>
    <s v="P"/>
    <s v="P"/>
    <s v="P"/>
    <s v="-"/>
    <s v="+"/>
    <n v="11.02"/>
    <s v="-"/>
    <s v="-"/>
    <s v="-"/>
    <s v="-"/>
    <s v="-"/>
    <s v="-"/>
    <s v="-"/>
    <s v="-"/>
    <s v="P"/>
    <s v="P"/>
    <s v="-"/>
    <n v="2"/>
    <n v="1"/>
    <n v="2"/>
    <n v="1"/>
    <s v="-"/>
    <s v="-"/>
    <s v="-"/>
    <s v="-"/>
    <s v="-"/>
    <s v="-"/>
    <s v="-"/>
    <n v="6"/>
    <n v="6"/>
    <s v="-"/>
    <n v="1"/>
    <n v="1"/>
    <n v="2"/>
    <n v="2"/>
    <n v="8"/>
    <n v="8"/>
  </r>
  <r>
    <x v="5"/>
    <x v="128"/>
    <d v="1899-12-30T00:00:00"/>
    <s v="3RD"/>
    <d v="1899-12-31T05:00:00"/>
    <n v="2"/>
    <x v="47"/>
    <n v="1.41E-2"/>
    <s v="P"/>
    <s v="P"/>
    <s v="P"/>
    <s v="-"/>
    <s v="+"/>
    <n v="11.05"/>
    <s v="-"/>
    <s v="-"/>
    <s v="-"/>
    <s v="-"/>
    <s v="-"/>
    <s v="-"/>
    <s v="-"/>
    <s v="-"/>
    <s v="P"/>
    <s v="P"/>
    <s v="-"/>
    <n v="2"/>
    <n v="1"/>
    <n v="2"/>
    <n v="1"/>
    <s v="-"/>
    <s v="-"/>
    <s v="-"/>
    <s v="-"/>
    <s v="-"/>
    <s v="-"/>
    <s v="-"/>
    <n v="6"/>
    <n v="6"/>
    <s v="-"/>
    <n v="1"/>
    <n v="1"/>
    <n v="2"/>
    <n v="2"/>
    <n v="8"/>
    <n v="8"/>
  </r>
  <r>
    <x v="5"/>
    <x v="128"/>
    <d v="2026-06-10T00:00:00"/>
    <s v="3RD"/>
    <d v="1899-12-30T22:00:00"/>
    <n v="3"/>
    <x v="39"/>
    <n v="1.89E-2"/>
    <s v="P"/>
    <s v="P"/>
    <s v="P"/>
    <s v="+"/>
    <s v="+"/>
    <n v="12.95"/>
    <n v="12.99"/>
    <n v="0.57999999999999996"/>
    <n v="65.8"/>
    <n v="12.3"/>
    <n v="1391"/>
    <n v="36.5"/>
    <s v="-"/>
    <s v="-"/>
    <s v="P"/>
    <s v="P"/>
    <n v="1"/>
    <n v="2"/>
    <n v="1"/>
    <n v="2"/>
    <n v="1"/>
    <n v="1"/>
    <n v="2"/>
    <n v="2"/>
    <n v="1"/>
    <n v="0"/>
    <n v="2"/>
    <s v="-"/>
    <n v="14"/>
    <n v="15"/>
    <s v="-"/>
    <n v="1"/>
    <n v="1"/>
    <n v="2"/>
    <n v="2"/>
    <n v="16"/>
    <n v="17"/>
  </r>
  <r>
    <x v="5"/>
    <x v="128"/>
    <d v="2026-06-10T00:00:00"/>
    <s v="3RD"/>
    <d v="1899-12-31T00:00:00"/>
    <n v="3"/>
    <x v="39"/>
    <n v="1.9400000000000001E-2"/>
    <s v="P"/>
    <s v="P"/>
    <s v="P"/>
    <s v="+"/>
    <s v="+"/>
    <n v="12.32"/>
    <s v="-"/>
    <s v="-"/>
    <s v="-"/>
    <s v="-"/>
    <s v="-"/>
    <s v="-"/>
    <s v="-"/>
    <s v="-"/>
    <s v="P"/>
    <s v="P"/>
    <s v="-"/>
    <n v="2"/>
    <n v="1"/>
    <n v="2"/>
    <n v="1"/>
    <s v="-"/>
    <s v="-"/>
    <s v="-"/>
    <s v="-"/>
    <s v="-"/>
    <s v="-"/>
    <s v="-"/>
    <n v="6"/>
    <n v="6"/>
    <s v="-"/>
    <n v="1"/>
    <n v="1"/>
    <n v="2"/>
    <n v="2"/>
    <n v="8"/>
    <n v="8"/>
  </r>
  <r>
    <x v="5"/>
    <x v="128"/>
    <d v="2026-06-10T00:00:00"/>
    <s v="3RD"/>
    <d v="1899-12-31T01:00:00"/>
    <n v="3"/>
    <x v="39"/>
    <n v="1.67E-2"/>
    <s v="P"/>
    <s v="P"/>
    <s v="P"/>
    <s v="+"/>
    <s v="+"/>
    <n v="12.46"/>
    <s v="-"/>
    <s v="-"/>
    <s v="-"/>
    <s v="-"/>
    <s v="-"/>
    <s v="-"/>
    <s v="-"/>
    <s v="-"/>
    <s v="P"/>
    <s v="P"/>
    <s v="-"/>
    <n v="2"/>
    <n v="1"/>
    <n v="2"/>
    <n v="1"/>
    <s v="-"/>
    <s v="-"/>
    <s v="-"/>
    <s v="-"/>
    <s v="-"/>
    <s v="-"/>
    <s v="-"/>
    <n v="6"/>
    <n v="6"/>
    <s v="-"/>
    <n v="1"/>
    <n v="1"/>
    <n v="2"/>
    <n v="2"/>
    <n v="8"/>
    <n v="8"/>
  </r>
  <r>
    <x v="5"/>
    <x v="128"/>
    <d v="2026-06-11T00:00:00"/>
    <s v="3RD"/>
    <d v="1899-12-31T02:00:00"/>
    <n v="3"/>
    <x v="0"/>
    <n v="2.0299999999999999E-2"/>
    <s v="P"/>
    <s v="P"/>
    <s v="P"/>
    <s v="+"/>
    <s v="+"/>
    <n v="12"/>
    <s v="-"/>
    <s v="-"/>
    <s v="-"/>
    <s v="-"/>
    <s v="-"/>
    <s v="-"/>
    <s v="-"/>
    <s v="-"/>
    <s v="P"/>
    <s v="P"/>
    <s v="5% 85% 10%"/>
    <n v="0"/>
    <n v="1"/>
    <n v="2"/>
    <n v="1"/>
    <s v="-"/>
    <s v="-"/>
    <s v="-"/>
    <s v="-"/>
    <s v="-"/>
    <s v="-"/>
    <s v="-"/>
    <n v="4"/>
    <n v="6"/>
    <s v="-"/>
    <n v="1"/>
    <n v="1"/>
    <n v="2"/>
    <n v="2"/>
    <n v="6"/>
    <n v="8"/>
  </r>
  <r>
    <x v="5"/>
    <x v="128"/>
    <d v="2026-06-11T00:00:00"/>
    <s v="3RD"/>
    <d v="1899-12-31T04:00:00"/>
    <n v="3"/>
    <x v="1"/>
    <n v="1.67E-2"/>
    <s v="P"/>
    <s v="P"/>
    <s v="P"/>
    <s v="+"/>
    <s v="+"/>
    <n v="12.56"/>
    <s v="-"/>
    <s v="-"/>
    <s v="-"/>
    <s v="-"/>
    <s v="-"/>
    <s v="-"/>
    <s v="-"/>
    <s v="-"/>
    <s v="P"/>
    <s v="P"/>
    <s v="-"/>
    <n v="2"/>
    <n v="1"/>
    <n v="2"/>
    <n v="1"/>
    <s v="-"/>
    <s v="-"/>
    <s v="-"/>
    <s v="-"/>
    <s v="-"/>
    <s v="-"/>
    <s v="-"/>
    <n v="6"/>
    <n v="6"/>
    <s v="-"/>
    <n v="1"/>
    <n v="1"/>
    <n v="2"/>
    <n v="2"/>
    <n v="8"/>
    <n v="8"/>
  </r>
  <r>
    <x v="5"/>
    <x v="129"/>
    <d v="1902-03-26T00:00:00"/>
    <s v="1ST"/>
    <s v="06:00"/>
    <n v="2"/>
    <x v="2"/>
    <n v="1.2800000000000001E-2"/>
    <s v="P"/>
    <s v="P"/>
    <s v="P"/>
    <s v="-"/>
    <s v="+"/>
    <n v="10.87"/>
    <n v="9.69"/>
    <n v="0.63"/>
    <n v="59.4"/>
    <s v="-"/>
    <s v="-"/>
    <n v="26.6"/>
    <s v="-"/>
    <s v="-"/>
    <s v="P"/>
    <s v="P"/>
    <s v="-"/>
    <n v="2"/>
    <n v="1"/>
    <n v="2"/>
    <n v="0"/>
    <n v="0"/>
    <n v="0"/>
    <n v="0"/>
    <s v="-"/>
    <s v="-"/>
    <n v="0"/>
    <s v="-"/>
    <n v="5"/>
    <n v="13"/>
    <s v="-"/>
    <n v="1"/>
    <n v="1"/>
    <n v="2"/>
    <n v="2"/>
    <n v="7"/>
    <n v="15"/>
  </r>
  <r>
    <x v="5"/>
    <x v="129"/>
    <d v="1899-12-30T00:00:00"/>
    <s v="1ST"/>
    <s v="07:00"/>
    <n v="2"/>
    <x v="2"/>
    <n v="1.11E-2"/>
    <s v="P"/>
    <s v="P"/>
    <s v="P"/>
    <s v="-"/>
    <s v="+"/>
    <n v="11.03"/>
    <s v="-"/>
    <s v="-"/>
    <s v="-"/>
    <s v="-"/>
    <s v="-"/>
    <s v="-"/>
    <s v="-"/>
    <s v="-"/>
    <s v="P"/>
    <s v="P"/>
    <n v="1"/>
    <n v="2"/>
    <n v="1"/>
    <n v="2"/>
    <n v="0"/>
    <s v="-"/>
    <s v="-"/>
    <s v="-"/>
    <s v="-"/>
    <s v="-"/>
    <s v="-"/>
    <s v="-"/>
    <n v="5"/>
    <n v="6"/>
    <s v="-"/>
    <n v="1"/>
    <n v="1"/>
    <n v="2"/>
    <n v="2"/>
    <n v="7"/>
    <n v="8"/>
  </r>
  <r>
    <x v="5"/>
    <x v="129"/>
    <d v="1899-12-30T00:00:00"/>
    <s v="1ST"/>
    <s v="08:00"/>
    <n v="2"/>
    <x v="4"/>
    <n v="2.5000000000000001E-3"/>
    <s v="P"/>
    <s v="P"/>
    <s v="P"/>
    <s v="-"/>
    <s v="+"/>
    <n v="11.33"/>
    <n v="8.14"/>
    <n v="0.56999999999999995"/>
    <n v="56.1"/>
    <s v="-"/>
    <s v="-"/>
    <n v="21.8"/>
    <s v="-"/>
    <s v="-"/>
    <s v="P"/>
    <s v="P"/>
    <s v="-"/>
    <n v="2"/>
    <n v="1"/>
    <n v="2"/>
    <n v="1"/>
    <n v="0"/>
    <n v="0"/>
    <n v="2"/>
    <s v="-"/>
    <s v="-"/>
    <n v="2"/>
    <s v="-"/>
    <n v="10"/>
    <n v="13"/>
    <s v="-"/>
    <n v="1"/>
    <n v="1"/>
    <n v="2"/>
    <n v="2"/>
    <n v="12"/>
    <n v="15"/>
  </r>
  <r>
    <x v="5"/>
    <x v="129"/>
    <d v="1899-12-30T00:00:00"/>
    <s v="1ST"/>
    <s v="10:00"/>
    <n v="2"/>
    <x v="4"/>
    <n v="3.5000000000000001E-3"/>
    <s v="P"/>
    <s v="P"/>
    <s v="P"/>
    <s v="-"/>
    <s v="+"/>
    <n v="10.91"/>
    <s v="-"/>
    <s v="-"/>
    <s v="-"/>
    <s v="-"/>
    <s v="-"/>
    <s v="-"/>
    <s v="-"/>
    <s v="-"/>
    <s v="P"/>
    <s v="P"/>
    <s v="-"/>
    <n v="2"/>
    <n v="1"/>
    <n v="2"/>
    <n v="0"/>
    <s v="-"/>
    <s v="-"/>
    <s v="-"/>
    <s v="-"/>
    <s v="-"/>
    <s v="-"/>
    <s v="-"/>
    <n v="5"/>
    <n v="6"/>
    <s v="-"/>
    <n v="1"/>
    <n v="1"/>
    <n v="2"/>
    <n v="2"/>
    <n v="7"/>
    <n v="8"/>
  </r>
  <r>
    <x v="5"/>
    <x v="129"/>
    <d v="1899-12-30T00:00:00"/>
    <s v="1ST"/>
    <s v="12:00"/>
    <n v="2"/>
    <x v="4"/>
    <n v="4.5999999999999999E-3"/>
    <s v="P"/>
    <s v="P"/>
    <s v="P"/>
    <s v="-"/>
    <s v="+"/>
    <n v="10.51"/>
    <s v="-"/>
    <s v="-"/>
    <s v="-"/>
    <s v="-"/>
    <s v="-"/>
    <s v="-"/>
    <s v="-"/>
    <s v="-"/>
    <s v="P"/>
    <s v="P"/>
    <s v="-"/>
    <n v="2"/>
    <n v="1"/>
    <n v="2"/>
    <n v="0"/>
    <s v="-"/>
    <s v="-"/>
    <s v="-"/>
    <s v="-"/>
    <s v="-"/>
    <s v="-"/>
    <s v="-"/>
    <n v="5"/>
    <n v="6"/>
    <s v="-"/>
    <n v="1"/>
    <n v="1"/>
    <n v="2"/>
    <n v="2"/>
    <n v="7"/>
    <n v="8"/>
  </r>
  <r>
    <x v="5"/>
    <x v="129"/>
    <d v="1899-12-30T00:00:00"/>
    <s v="1ST"/>
    <s v="13:00"/>
    <n v="2"/>
    <x v="4"/>
    <n v="3.8E-3"/>
    <s v="P"/>
    <s v="P"/>
    <s v="P"/>
    <s v="-"/>
    <s v="+"/>
    <n v="11.23"/>
    <s v="-"/>
    <s v="-"/>
    <s v="-"/>
    <s v="-"/>
    <s v="-"/>
    <s v="-"/>
    <s v="-"/>
    <s v="-"/>
    <s v="P"/>
    <s v="P"/>
    <s v="-"/>
    <n v="2"/>
    <n v="1"/>
    <n v="2"/>
    <n v="1"/>
    <s v="-"/>
    <s v="-"/>
    <s v="-"/>
    <s v="-"/>
    <s v="-"/>
    <s v="-"/>
    <s v="-"/>
    <n v="6"/>
    <n v="6"/>
    <s v="-"/>
    <n v="1"/>
    <n v="1"/>
    <n v="2"/>
    <n v="2"/>
    <n v="8"/>
    <n v="8"/>
  </r>
  <r>
    <x v="5"/>
    <x v="129"/>
    <d v="2026-06-11T00:00:00"/>
    <s v="1ST"/>
    <s v="06:00"/>
    <n v="3"/>
    <x v="1"/>
    <n v="1.5699999999999999E-2"/>
    <s v="P"/>
    <s v="P"/>
    <s v="P"/>
    <s v="+"/>
    <s v="+"/>
    <n v="12.72"/>
    <n v="11.97"/>
    <n v="0.64"/>
    <n v="65.400000000000006"/>
    <s v="-"/>
    <s v="-"/>
    <n v="33.299999999999997"/>
    <s v="-"/>
    <s v="-"/>
    <s v="P"/>
    <s v="P"/>
    <s v="85% 5% 10%"/>
    <n v="2"/>
    <n v="1"/>
    <n v="2"/>
    <n v="1"/>
    <n v="0"/>
    <n v="2"/>
    <n v="2"/>
    <s v="-"/>
    <s v="-"/>
    <n v="2"/>
    <s v="-"/>
    <n v="12"/>
    <n v="13"/>
    <s v="-"/>
    <n v="1"/>
    <n v="1"/>
    <n v="2"/>
    <n v="2"/>
    <n v="14"/>
    <n v="15"/>
  </r>
  <r>
    <x v="5"/>
    <x v="129"/>
    <d v="2026-06-16T00:00:00"/>
    <s v="1ST"/>
    <s v="08:00"/>
    <n v="3"/>
    <x v="12"/>
    <n v="1.3100000000000001E-2"/>
    <s v="P"/>
    <s v="P"/>
    <s v="P"/>
    <s v="+"/>
    <s v="+"/>
    <n v="13.03"/>
    <n v="12.73"/>
    <n v="0.56000000000000005"/>
    <s v="-"/>
    <s v="-"/>
    <s v="-"/>
    <n v="35.9"/>
    <s v="-"/>
    <s v="-"/>
    <s v="P"/>
    <s v="P"/>
    <n v="1"/>
    <n v="2"/>
    <n v="1"/>
    <n v="2"/>
    <n v="1"/>
    <s v="-"/>
    <n v="2"/>
    <s v="-"/>
    <s v="-"/>
    <s v="-"/>
    <n v="2"/>
    <s v="-"/>
    <n v="10"/>
    <n v="10"/>
    <s v="-"/>
    <n v="1"/>
    <n v="1"/>
    <n v="2"/>
    <n v="2"/>
    <n v="12"/>
    <n v="12"/>
  </r>
  <r>
    <x v="5"/>
    <x v="129"/>
    <d v="2026-06-16T00:00:00"/>
    <s v="1ST"/>
    <s v="09:00"/>
    <n v="3"/>
    <x v="12"/>
    <n v="9.5999999999999992E-3"/>
    <s v="P"/>
    <s v="P"/>
    <s v="P"/>
    <s v="+"/>
    <s v="+"/>
    <n v="12.19"/>
    <s v="-"/>
    <s v="-"/>
    <s v="-"/>
    <s v="-"/>
    <s v="-"/>
    <s v="-"/>
    <s v="-"/>
    <s v="-"/>
    <s v="P"/>
    <s v="P"/>
    <s v="-"/>
    <n v="2"/>
    <n v="1"/>
    <n v="2"/>
    <n v="1"/>
    <s v="-"/>
    <s v="-"/>
    <s v="-"/>
    <s v="-"/>
    <s v="-"/>
    <s v="-"/>
    <s v="-"/>
    <n v="6"/>
    <n v="6"/>
    <s v="-"/>
    <n v="1"/>
    <n v="1"/>
    <n v="2"/>
    <n v="2"/>
    <n v="8"/>
    <n v="8"/>
  </r>
  <r>
    <x v="5"/>
    <x v="129"/>
    <d v="2026-06-16T00:00:00"/>
    <s v="1ST"/>
    <s v="10:00"/>
    <n v="3"/>
    <x v="12"/>
    <n v="1.0699999999999999E-2"/>
    <s v="P"/>
    <s v="P"/>
    <s v="P"/>
    <s v="+"/>
    <s v="+"/>
    <n v="12.69"/>
    <s v="-"/>
    <s v="-"/>
    <s v="-"/>
    <s v="-"/>
    <s v="-"/>
    <s v="-"/>
    <s v="-"/>
    <s v="-"/>
    <s v="P"/>
    <s v="P"/>
    <s v="-"/>
    <n v="2"/>
    <n v="1"/>
    <n v="2"/>
    <n v="1"/>
    <s v="-"/>
    <s v="-"/>
    <s v="-"/>
    <s v="-"/>
    <s v="-"/>
    <s v="-"/>
    <s v="-"/>
    <n v="6"/>
    <n v="6"/>
    <s v="-"/>
    <n v="1"/>
    <n v="1"/>
    <n v="2"/>
    <n v="2"/>
    <n v="8"/>
    <n v="8"/>
  </r>
  <r>
    <x v="5"/>
    <x v="129"/>
    <d v="2026-06-16T00:00:00"/>
    <s v="1ST"/>
    <s v="11:00"/>
    <n v="3"/>
    <x v="12"/>
    <n v="7.7999999999999996E-3"/>
    <s v="P"/>
    <s v="P"/>
    <s v="P"/>
    <s v="+"/>
    <s v="+"/>
    <n v="12.73"/>
    <s v="-"/>
    <s v="-"/>
    <s v="-"/>
    <s v="-"/>
    <s v="-"/>
    <s v="-"/>
    <s v="-"/>
    <s v="-"/>
    <s v="P"/>
    <s v="P"/>
    <s v="-"/>
    <n v="2"/>
    <n v="1"/>
    <n v="2"/>
    <n v="1"/>
    <s v="-"/>
    <s v="-"/>
    <s v="-"/>
    <s v="-"/>
    <s v="-"/>
    <s v="-"/>
    <s v="-"/>
    <n v="6"/>
    <n v="6"/>
    <s v="-"/>
    <n v="1"/>
    <n v="1"/>
    <n v="2"/>
    <n v="2"/>
    <n v="8"/>
    <n v="8"/>
  </r>
  <r>
    <x v="5"/>
    <x v="129"/>
    <d v="2026-06-16T00:00:00"/>
    <s v="1ST"/>
    <s v="12:00"/>
    <n v="3"/>
    <x v="12"/>
    <n v="9.5999999999999992E-3"/>
    <s v="P"/>
    <s v="P"/>
    <s v="P"/>
    <s v="+"/>
    <s v="+"/>
    <n v="12.66"/>
    <s v="-"/>
    <s v="-"/>
    <s v="-"/>
    <s v="-"/>
    <s v="-"/>
    <s v="-"/>
    <s v="-"/>
    <s v="-"/>
    <s v="P"/>
    <s v="P"/>
    <s v="-"/>
    <n v="2"/>
    <n v="1"/>
    <n v="2"/>
    <n v="1"/>
    <s v="-"/>
    <s v="-"/>
    <s v="-"/>
    <s v="-"/>
    <s v="-"/>
    <s v="-"/>
    <s v="-"/>
    <n v="6"/>
    <n v="6"/>
    <s v="-"/>
    <n v="1"/>
    <n v="1"/>
    <n v="2"/>
    <n v="2"/>
    <n v="8"/>
    <n v="8"/>
  </r>
  <r>
    <x v="5"/>
    <x v="129"/>
    <d v="2026-06-16T00:00:00"/>
    <s v="1ST"/>
    <s v="13:00"/>
    <n v="3"/>
    <x v="12"/>
    <n v="8.5000000000000006E-3"/>
    <s v="P"/>
    <s v="P"/>
    <s v="P"/>
    <s v="+"/>
    <s v="+"/>
    <n v="12.46"/>
    <s v="-"/>
    <s v="-"/>
    <s v="-"/>
    <s v="-"/>
    <s v="-"/>
    <s v="-"/>
    <s v="-"/>
    <s v="-"/>
    <s v="P"/>
    <s v="P"/>
    <s v="-"/>
    <n v="2"/>
    <n v="1"/>
    <n v="2"/>
    <n v="1"/>
    <s v="-"/>
    <s v="-"/>
    <s v="-"/>
    <s v="-"/>
    <s v="-"/>
    <s v="-"/>
    <s v="-"/>
    <n v="6"/>
    <n v="6"/>
    <s v="-"/>
    <n v="1"/>
    <n v="1"/>
    <n v="2"/>
    <n v="2"/>
    <n v="8"/>
    <n v="8"/>
  </r>
  <r>
    <x v="5"/>
    <x v="129"/>
    <d v="1902-03-26T00:00:00"/>
    <s v="2ND"/>
    <d v="1899-12-30T14:00:00"/>
    <n v="2"/>
    <x v="4"/>
    <n v="3.2000000000000002E-3"/>
    <s v="P"/>
    <s v="P"/>
    <s v="P"/>
    <s v="-"/>
    <s v="+"/>
    <n v="11.31"/>
    <n v="8.82"/>
    <s v="-"/>
    <s v="-"/>
    <s v="-"/>
    <s v="-"/>
    <n v="23.8"/>
    <s v="-"/>
    <s v="-"/>
    <s v="P"/>
    <s v="P"/>
    <s v="-"/>
    <n v="2"/>
    <n v="1"/>
    <n v="2"/>
    <n v="1"/>
    <n v="1"/>
    <s v="-"/>
    <s v="-"/>
    <s v="-"/>
    <s v="-"/>
    <n v="2"/>
    <s v="-"/>
    <n v="9"/>
    <n v="9"/>
    <s v="-"/>
    <n v="1"/>
    <n v="1"/>
    <n v="2"/>
    <n v="2"/>
    <n v="11"/>
    <n v="11"/>
  </r>
  <r>
    <x v="5"/>
    <x v="129"/>
    <d v="1899-12-30T00:00:00"/>
    <s v="2ND"/>
    <d v="1899-12-30T15:00:00"/>
    <n v="2"/>
    <x v="4"/>
    <n v="4.5999999999999999E-3"/>
    <s v="P"/>
    <s v="P"/>
    <s v="P"/>
    <s v="-"/>
    <s v="+"/>
    <n v="11.09"/>
    <s v="-"/>
    <s v="-"/>
    <s v="-"/>
    <s v="-"/>
    <s v="-"/>
    <s v="-"/>
    <s v="-"/>
    <s v="-"/>
    <s v="P"/>
    <s v="P"/>
    <s v="-"/>
    <n v="2"/>
    <n v="1"/>
    <n v="2"/>
    <n v="1"/>
    <s v="-"/>
    <s v="-"/>
    <s v="-"/>
    <s v="-"/>
    <s v="-"/>
    <s v="-"/>
    <s v="-"/>
    <n v="6"/>
    <n v="6"/>
    <s v="-"/>
    <n v="1"/>
    <n v="1"/>
    <n v="2"/>
    <n v="2"/>
    <n v="8"/>
    <n v="8"/>
  </r>
  <r>
    <x v="5"/>
    <x v="129"/>
    <d v="1899-12-30T00:00:00"/>
    <s v="2ND"/>
    <d v="1899-12-30T16:00:00"/>
    <n v="2"/>
    <x v="4"/>
    <n v="5.1000000000000004E-3"/>
    <s v="P"/>
    <s v="P"/>
    <s v="P"/>
    <s v="-"/>
    <s v="+"/>
    <n v="11.78"/>
    <s v="-"/>
    <s v="-"/>
    <s v="-"/>
    <s v="-"/>
    <s v="-"/>
    <s v="-"/>
    <s v="-"/>
    <s v="-"/>
    <s v="P"/>
    <s v="P"/>
    <s v="-"/>
    <n v="2"/>
    <n v="1"/>
    <n v="2"/>
    <n v="1"/>
    <s v="-"/>
    <s v="-"/>
    <s v="-"/>
    <s v="-"/>
    <s v="-"/>
    <s v="-"/>
    <s v="-"/>
    <n v="6"/>
    <n v="6"/>
    <s v="-"/>
    <n v="1"/>
    <n v="1"/>
    <n v="2"/>
    <n v="2"/>
    <n v="8"/>
    <n v="8"/>
  </r>
  <r>
    <x v="5"/>
    <x v="129"/>
    <d v="1899-12-30T00:00:00"/>
    <s v="2ND"/>
    <d v="1899-12-30T17:00:00"/>
    <n v="2"/>
    <x v="4"/>
    <n v="6.0000000000000001E-3"/>
    <s v="P"/>
    <s v="P"/>
    <s v="P"/>
    <s v="-"/>
    <s v="+"/>
    <n v="11.44"/>
    <s v="-"/>
    <s v="-"/>
    <s v="-"/>
    <s v="-"/>
    <s v="-"/>
    <s v="-"/>
    <s v="-"/>
    <s v="-"/>
    <s v="P"/>
    <s v="P"/>
    <s v="-"/>
    <n v="2"/>
    <n v="1"/>
    <n v="2"/>
    <n v="1"/>
    <s v="-"/>
    <s v="-"/>
    <s v="-"/>
    <s v="-"/>
    <s v="-"/>
    <s v="-"/>
    <s v="-"/>
    <n v="6"/>
    <n v="6"/>
    <s v="-"/>
    <n v="1"/>
    <n v="1"/>
    <n v="2"/>
    <n v="2"/>
    <n v="8"/>
    <n v="8"/>
  </r>
  <r>
    <x v="5"/>
    <x v="129"/>
    <d v="1899-12-30T00:00:00"/>
    <s v="2ND"/>
    <d v="1899-12-30T18:00:00"/>
    <n v="2"/>
    <x v="4"/>
    <n v="4.7999999999999996E-3"/>
    <s v="P"/>
    <s v="P"/>
    <s v="P"/>
    <s v="-"/>
    <s v="+"/>
    <n v="11.12"/>
    <s v="-"/>
    <s v="-"/>
    <s v="-"/>
    <s v="-"/>
    <s v="-"/>
    <s v="-"/>
    <s v="-"/>
    <s v="-"/>
    <s v="P"/>
    <s v="P"/>
    <s v="-"/>
    <n v="2"/>
    <n v="1"/>
    <n v="2"/>
    <n v="1"/>
    <s v="-"/>
    <s v="-"/>
    <s v="-"/>
    <s v="-"/>
    <s v="-"/>
    <s v="-"/>
    <s v="-"/>
    <n v="6"/>
    <n v="6"/>
    <s v="-"/>
    <n v="1"/>
    <n v="1"/>
    <n v="2"/>
    <n v="2"/>
    <n v="8"/>
    <n v="8"/>
  </r>
  <r>
    <x v="5"/>
    <x v="129"/>
    <d v="1899-12-30T00:00:00"/>
    <s v="2ND"/>
    <d v="1899-12-30T19:00:00"/>
    <n v="2"/>
    <x v="4"/>
    <n v="1.5100000000000001E-2"/>
    <s v="P"/>
    <s v="P"/>
    <s v="P"/>
    <s v="-"/>
    <s v="+"/>
    <n v="10.77"/>
    <s v="-"/>
    <s v="-"/>
    <s v="-"/>
    <s v="-"/>
    <s v="-"/>
    <s v="-"/>
    <s v="-"/>
    <s v="-"/>
    <s v="P"/>
    <s v="P"/>
    <s v="-"/>
    <n v="2"/>
    <n v="1"/>
    <n v="2"/>
    <n v="0"/>
    <s v="-"/>
    <s v="-"/>
    <s v="-"/>
    <s v="-"/>
    <s v="-"/>
    <s v="-"/>
    <s v="-"/>
    <n v="5"/>
    <n v="6"/>
    <s v="-"/>
    <n v="1"/>
    <n v="1"/>
    <n v="2"/>
    <n v="2"/>
    <n v="7"/>
    <n v="8"/>
  </r>
  <r>
    <x v="5"/>
    <x v="129"/>
    <d v="1902-03-26T00:00:00"/>
    <s v="2ND"/>
    <d v="1899-12-30T20:00:00"/>
    <n v="2"/>
    <x v="7"/>
    <n v="5.4000000000000003E-3"/>
    <s v="P"/>
    <s v="P"/>
    <s v="P"/>
    <s v="-"/>
    <s v="+"/>
    <n v="11.06"/>
    <n v="8.8800000000000008"/>
    <s v="-"/>
    <n v="57.1"/>
    <s v="-"/>
    <s v="-"/>
    <n v="24.1"/>
    <s v="-"/>
    <s v="-"/>
    <s v="P"/>
    <s v="P"/>
    <s v="60% 10% 30%"/>
    <n v="2"/>
    <n v="1"/>
    <n v="2"/>
    <n v="1"/>
    <n v="1"/>
    <s v="-"/>
    <n v="2"/>
    <s v="-"/>
    <s v="-"/>
    <n v="2"/>
    <s v="-"/>
    <n v="11"/>
    <n v="11"/>
    <s v="-"/>
    <n v="1"/>
    <n v="1"/>
    <n v="2"/>
    <n v="2"/>
    <n v="13"/>
    <n v="13"/>
  </r>
  <r>
    <x v="5"/>
    <x v="129"/>
    <d v="1899-12-30T00:00:00"/>
    <s v="2ND"/>
    <d v="1899-12-30T21:00:00"/>
    <n v="2"/>
    <x v="7"/>
    <n v="4.8999999999999998E-3"/>
    <s v="P"/>
    <s v="P"/>
    <s v="P"/>
    <s v="-"/>
    <s v="+"/>
    <n v="11.54"/>
    <s v="-"/>
    <s v="-"/>
    <s v="-"/>
    <s v="-"/>
    <s v="-"/>
    <s v="-"/>
    <s v="-"/>
    <s v="-"/>
    <s v="P"/>
    <s v="P"/>
    <s v="-"/>
    <n v="2"/>
    <n v="1"/>
    <n v="2"/>
    <n v="1"/>
    <s v="-"/>
    <s v="-"/>
    <s v="-"/>
    <s v="-"/>
    <s v="-"/>
    <s v="-"/>
    <s v="-"/>
    <n v="6"/>
    <n v="6"/>
    <s v="-"/>
    <n v="1"/>
    <n v="1"/>
    <n v="2"/>
    <n v="2"/>
    <n v="8"/>
    <n v="8"/>
  </r>
  <r>
    <x v="5"/>
    <x v="129"/>
    <d v="2026-06-16T00:00:00"/>
    <s v="2ND"/>
    <d v="1899-12-30T16:00:00"/>
    <n v="3"/>
    <x v="12"/>
    <n v="1.7100000000000001E-2"/>
    <s v="P"/>
    <s v="P"/>
    <s v="P"/>
    <s v="+"/>
    <s v="+"/>
    <n v="12.75"/>
    <n v="12.69"/>
    <s v="-"/>
    <s v="-"/>
    <s v="-"/>
    <s v="-"/>
    <n v="35.4"/>
    <s v="-"/>
    <s v="-"/>
    <s v="P"/>
    <s v="P"/>
    <n v="1"/>
    <n v="2"/>
    <n v="1"/>
    <n v="2"/>
    <n v="1"/>
    <s v="-"/>
    <s v="-"/>
    <s v="-"/>
    <s v="-"/>
    <s v="-"/>
    <n v="2"/>
    <s v="-"/>
    <n v="8"/>
    <n v="8"/>
    <s v="-"/>
    <n v="1"/>
    <n v="1"/>
    <n v="2"/>
    <n v="2"/>
    <n v="10"/>
    <n v="10"/>
  </r>
  <r>
    <x v="5"/>
    <x v="129"/>
    <d v="2026-06-16T00:00:00"/>
    <s v="2ND"/>
    <d v="1899-12-30T17:00:00"/>
    <n v="3"/>
    <x v="36"/>
    <s v="-"/>
    <s v="P"/>
    <s v="P"/>
    <s v="P"/>
    <s v="+"/>
    <s v="+"/>
    <n v="12.62"/>
    <s v="-"/>
    <s v="-"/>
    <s v="-"/>
    <s v="-"/>
    <s v="-"/>
    <s v="-"/>
    <s v="-"/>
    <s v="-"/>
    <s v="P"/>
    <s v="P"/>
    <n v="1"/>
    <s v="-"/>
    <n v="1"/>
    <n v="2"/>
    <n v="1"/>
    <s v="-"/>
    <s v="-"/>
    <s v="-"/>
    <s v="-"/>
    <s v="-"/>
    <s v="-"/>
    <s v="-"/>
    <n v="4"/>
    <n v="4"/>
    <s v="-"/>
    <n v="1"/>
    <n v="1"/>
    <n v="2"/>
    <n v="2"/>
    <n v="6"/>
    <n v="6"/>
  </r>
  <r>
    <x v="5"/>
    <x v="129"/>
    <d v="2026-06-16T00:00:00"/>
    <s v="2ND"/>
    <d v="1899-12-30T18:00:00"/>
    <n v="3"/>
    <x v="36"/>
    <n v="1.9900000000000001E-2"/>
    <s v="P"/>
    <s v="P"/>
    <s v="P"/>
    <s v="+"/>
    <s v="+"/>
    <n v="12.69"/>
    <s v="-"/>
    <s v="-"/>
    <s v="-"/>
    <s v="-"/>
    <s v="-"/>
    <s v="-"/>
    <s v="-"/>
    <s v="-"/>
    <s v="P"/>
    <s v="P"/>
    <s v="-"/>
    <n v="2"/>
    <n v="1"/>
    <n v="2"/>
    <n v="1"/>
    <s v="-"/>
    <s v="-"/>
    <s v="-"/>
    <s v="-"/>
    <s v="-"/>
    <s v="-"/>
    <s v="-"/>
    <n v="6"/>
    <n v="6"/>
    <s v="-"/>
    <n v="1"/>
    <n v="1"/>
    <n v="2"/>
    <n v="2"/>
    <n v="8"/>
    <n v="8"/>
  </r>
  <r>
    <x v="5"/>
    <x v="129"/>
    <d v="2026-06-16T00:00:00"/>
    <s v="2ND"/>
    <d v="1899-12-30T19:00:00"/>
    <n v="3"/>
    <x v="36"/>
    <n v="0.02"/>
    <s v="P"/>
    <s v="P"/>
    <s v="P"/>
    <s v="+"/>
    <s v="+"/>
    <n v="12.62"/>
    <s v="-"/>
    <s v="-"/>
    <s v="-"/>
    <s v="-"/>
    <s v="-"/>
    <s v="-"/>
    <s v="-"/>
    <s v="-"/>
    <s v="P"/>
    <s v="P"/>
    <s v="-"/>
    <n v="2"/>
    <n v="1"/>
    <n v="2"/>
    <n v="1"/>
    <s v="-"/>
    <s v="-"/>
    <s v="-"/>
    <s v="-"/>
    <s v="-"/>
    <s v="-"/>
    <s v="-"/>
    <n v="6"/>
    <n v="6"/>
    <s v="-"/>
    <n v="1"/>
    <n v="1"/>
    <n v="2"/>
    <n v="2"/>
    <n v="8"/>
    <n v="8"/>
  </r>
  <r>
    <x v="5"/>
    <x v="129"/>
    <d v="1902-03-26T00:00:00"/>
    <s v="3RD"/>
    <d v="1899-12-30T22:00:00"/>
    <n v="2"/>
    <x v="7"/>
    <n v="1.24E-2"/>
    <s v="P"/>
    <s v="P"/>
    <s v="P"/>
    <s v="-"/>
    <s v="+"/>
    <n v="11.3"/>
    <n v="8.91"/>
    <s v="-"/>
    <s v="-"/>
    <s v="-"/>
    <s v="-"/>
    <n v="25.2"/>
    <s v="-"/>
    <s v="-"/>
    <s v="P"/>
    <s v="P"/>
    <s v="-"/>
    <n v="2"/>
    <n v="1"/>
    <n v="2"/>
    <n v="1"/>
    <n v="1"/>
    <s v="-"/>
    <s v="-"/>
    <s v="-"/>
    <s v="-"/>
    <n v="2"/>
    <s v="-"/>
    <n v="9"/>
    <n v="9"/>
    <s v="-"/>
    <n v="1"/>
    <n v="1"/>
    <n v="2"/>
    <n v="2"/>
    <n v="11"/>
    <n v="11"/>
  </r>
  <r>
    <x v="5"/>
    <x v="129"/>
    <d v="1899-12-30T00:00:00"/>
    <s v="3RD"/>
    <d v="1899-12-31T00:00:00"/>
    <n v="2"/>
    <x v="7"/>
    <n v="8.9999999999999993E-3"/>
    <s v="P"/>
    <s v="P"/>
    <s v="P"/>
    <s v="-"/>
    <s v="+"/>
    <n v="11.19"/>
    <s v="-"/>
    <s v="-"/>
    <s v="-"/>
    <s v="-"/>
    <s v="-"/>
    <s v="-"/>
    <s v="-"/>
    <s v="-"/>
    <s v="P"/>
    <s v="P"/>
    <s v="-"/>
    <n v="2"/>
    <n v="1"/>
    <n v="2"/>
    <n v="1"/>
    <s v="-"/>
    <s v="-"/>
    <s v="-"/>
    <s v="-"/>
    <s v="-"/>
    <s v="-"/>
    <s v="-"/>
    <n v="6"/>
    <n v="6"/>
    <s v="-"/>
    <n v="1"/>
    <n v="1"/>
    <n v="2"/>
    <n v="2"/>
    <n v="8"/>
    <n v="8"/>
  </r>
  <r>
    <x v="5"/>
    <x v="129"/>
    <d v="1899-12-30T00:00:00"/>
    <s v="3RD"/>
    <d v="1899-12-31T04:00:00"/>
    <n v="2"/>
    <x v="7"/>
    <n v="1.7999999999999999E-2"/>
    <s v="P"/>
    <s v="P"/>
    <s v="P"/>
    <s v="-"/>
    <s v="+"/>
    <n v="11.25"/>
    <s v="-"/>
    <s v="-"/>
    <s v="-"/>
    <s v="-"/>
    <s v="-"/>
    <s v="-"/>
    <s v="-"/>
    <s v="-"/>
    <s v="P"/>
    <s v="P"/>
    <s v="-"/>
    <n v="2"/>
    <n v="1"/>
    <n v="2"/>
    <n v="1"/>
    <s v="-"/>
    <s v="-"/>
    <s v="-"/>
    <s v="-"/>
    <s v="-"/>
    <s v="-"/>
    <s v="-"/>
    <n v="6"/>
    <n v="6"/>
    <s v="-"/>
    <n v="1"/>
    <n v="1"/>
    <n v="2"/>
    <n v="2"/>
    <n v="8"/>
    <n v="8"/>
  </r>
  <r>
    <x v="5"/>
    <x v="129"/>
    <d v="2026-06-10T00:00:00"/>
    <s v="3RD"/>
    <d v="1899-12-31T01:00:00"/>
    <n v="3"/>
    <x v="11"/>
    <s v="-"/>
    <s v="P"/>
    <s v="P"/>
    <s v="P"/>
    <s v="+"/>
    <s v="+"/>
    <n v="11.97"/>
    <n v="13.01"/>
    <n v="0.68"/>
    <n v="68.400000000000006"/>
    <s v="-"/>
    <s v="-"/>
    <n v="36.5"/>
    <s v="-"/>
    <s v="-"/>
    <s v="P"/>
    <s v="P"/>
    <n v="1"/>
    <s v="-"/>
    <n v="1"/>
    <n v="2"/>
    <n v="1"/>
    <n v="1"/>
    <n v="0"/>
    <n v="0"/>
    <s v="-"/>
    <s v="-"/>
    <n v="2"/>
    <s v="-"/>
    <n v="7"/>
    <n v="11"/>
    <s v="-"/>
    <n v="1"/>
    <n v="1"/>
    <n v="2"/>
    <n v="2"/>
    <n v="9"/>
    <n v="13"/>
  </r>
  <r>
    <x v="5"/>
    <x v="129"/>
    <d v="2026-06-15T00:00:00"/>
    <s v="3RD"/>
    <d v="1899-12-31T03:00:00"/>
    <n v="3"/>
    <x v="1"/>
    <n v="1.44E-2"/>
    <s v="P"/>
    <s v="P"/>
    <s v="P"/>
    <s v="+"/>
    <s v="+"/>
    <n v="11.99"/>
    <s v="-"/>
    <s v="-"/>
    <s v="-"/>
    <s v="-"/>
    <s v="-"/>
    <s v="-"/>
    <s v="-"/>
    <s v="-"/>
    <s v="P"/>
    <s v="P"/>
    <s v="85% 5% 10%"/>
    <n v="2"/>
    <n v="1"/>
    <n v="2"/>
    <n v="0"/>
    <s v="-"/>
    <s v="-"/>
    <s v="-"/>
    <s v="-"/>
    <s v="-"/>
    <s v="-"/>
    <s v="-"/>
    <n v="5"/>
    <n v="6"/>
    <s v="-"/>
    <n v="1"/>
    <n v="1"/>
    <n v="2"/>
    <n v="2"/>
    <n v="7"/>
    <n v="8"/>
  </r>
  <r>
    <x v="5"/>
    <x v="129"/>
    <d v="2026-06-15T00:00:00"/>
    <s v="3RD"/>
    <d v="1899-12-31T05:00:00"/>
    <n v="3"/>
    <x v="1"/>
    <n v="1.6899999999999998E-2"/>
    <s v="P"/>
    <s v="P"/>
    <s v="P"/>
    <s v="+"/>
    <s v="+"/>
    <n v="11.87"/>
    <s v="-"/>
    <s v="-"/>
    <s v="-"/>
    <s v="-"/>
    <s v="-"/>
    <s v="-"/>
    <s v="-"/>
    <s v="-"/>
    <s v="P"/>
    <s v="P"/>
    <s v="-"/>
    <n v="2"/>
    <n v="1"/>
    <n v="2"/>
    <n v="0"/>
    <s v="-"/>
    <s v="-"/>
    <s v="-"/>
    <s v="-"/>
    <s v="-"/>
    <s v="-"/>
    <s v="-"/>
    <n v="5"/>
    <n v="6"/>
    <s v="-"/>
    <n v="1"/>
    <n v="1"/>
    <n v="2"/>
    <n v="2"/>
    <n v="7"/>
    <n v="8"/>
  </r>
  <r>
    <x v="5"/>
    <x v="130"/>
    <d v="1902-03-26T00:00:00"/>
    <s v="1ST"/>
    <s v="06:00"/>
    <n v="2"/>
    <x v="7"/>
    <n v="7.7000000000000002E-3"/>
    <s v="P"/>
    <s v="P"/>
    <s v="P"/>
    <s v="-"/>
    <s v="+"/>
    <n v="11.19"/>
    <n v="9.15"/>
    <s v="-"/>
    <n v="57.1"/>
    <s v="-"/>
    <s v="-"/>
    <n v="24.9"/>
    <s v="-"/>
    <s v="-"/>
    <s v="P"/>
    <s v="P"/>
    <s v="-"/>
    <n v="2"/>
    <n v="1"/>
    <n v="2"/>
    <n v="1"/>
    <n v="1"/>
    <s v="-"/>
    <n v="2"/>
    <s v="-"/>
    <s v="-"/>
    <n v="2"/>
    <s v="-"/>
    <n v="11"/>
    <n v="11"/>
    <s v="-"/>
    <n v="1"/>
    <n v="1"/>
    <n v="2"/>
    <n v="2"/>
    <n v="13"/>
    <n v="13"/>
  </r>
  <r>
    <x v="5"/>
    <x v="130"/>
    <d v="1899-12-30T00:00:00"/>
    <s v="1ST"/>
    <s v="07:00"/>
    <n v="2"/>
    <x v="7"/>
    <n v="8.0000000000000002E-3"/>
    <s v="P"/>
    <s v="P"/>
    <s v="P"/>
    <s v="-"/>
    <s v="+"/>
    <n v="11.04"/>
    <s v="-"/>
    <s v="-"/>
    <s v="-"/>
    <s v="-"/>
    <s v="-"/>
    <s v="-"/>
    <s v="-"/>
    <s v="-"/>
    <s v="P"/>
    <s v="P"/>
    <n v="1"/>
    <n v="2"/>
    <n v="1"/>
    <n v="2"/>
    <n v="1"/>
    <s v="-"/>
    <s v="-"/>
    <s v="-"/>
    <s v="-"/>
    <s v="-"/>
    <s v="-"/>
    <s v="-"/>
    <n v="6"/>
    <n v="6"/>
    <s v="-"/>
    <n v="1"/>
    <n v="1"/>
    <n v="2"/>
    <n v="2"/>
    <n v="8"/>
    <n v="8"/>
  </r>
  <r>
    <x v="5"/>
    <x v="130"/>
    <d v="1899-12-30T00:00:00"/>
    <s v="1ST"/>
    <s v="08:00"/>
    <n v="2"/>
    <x v="15"/>
    <n v="5.5999999999999999E-3"/>
    <s v="P"/>
    <s v="P"/>
    <s v="P"/>
    <s v="-"/>
    <s v="+"/>
    <n v="10.97"/>
    <n v="9.41"/>
    <s v="-"/>
    <n v="57.9"/>
    <s v="-"/>
    <s v="-"/>
    <n v="25.8"/>
    <s v="-"/>
    <s v="-"/>
    <s v="P"/>
    <s v="P"/>
    <s v="-"/>
    <n v="2"/>
    <n v="1"/>
    <n v="2"/>
    <n v="0"/>
    <n v="0"/>
    <s v="-"/>
    <n v="2"/>
    <s v="-"/>
    <s v="-"/>
    <n v="2"/>
    <s v="-"/>
    <n v="9"/>
    <n v="11"/>
    <s v="-"/>
    <n v="1"/>
    <n v="1"/>
    <n v="2"/>
    <n v="2"/>
    <n v="11"/>
    <n v="13"/>
  </r>
  <r>
    <x v="5"/>
    <x v="130"/>
    <d v="1899-12-30T00:00:00"/>
    <s v="1ST"/>
    <s v="11:00"/>
    <n v="2"/>
    <x v="7"/>
    <n v="1.6199999999999999E-2"/>
    <s v="P"/>
    <s v="P"/>
    <s v="P"/>
    <s v="-"/>
    <s v="+"/>
    <n v="10.44"/>
    <n v="9.07"/>
    <s v="-"/>
    <n v="56.9"/>
    <s v="-"/>
    <s v="-"/>
    <n v="24.7"/>
    <s v="-"/>
    <s v="-"/>
    <s v="P"/>
    <s v="P"/>
    <s v="-"/>
    <n v="2"/>
    <n v="1"/>
    <n v="2"/>
    <n v="0"/>
    <n v="1"/>
    <s v="-"/>
    <n v="2"/>
    <s v="-"/>
    <s v="-"/>
    <n v="2"/>
    <s v="-"/>
    <n v="10"/>
    <n v="11"/>
    <s v="-"/>
    <n v="1"/>
    <n v="1"/>
    <n v="2"/>
    <n v="2"/>
    <n v="12"/>
    <n v="13"/>
  </r>
  <r>
    <x v="5"/>
    <x v="130"/>
    <d v="1899-12-30T00:00:00"/>
    <s v="1ST"/>
    <s v="12:00"/>
    <n v="2"/>
    <x v="7"/>
    <n v="4.0000000000000001E-3"/>
    <s v="P"/>
    <s v="P"/>
    <s v="P"/>
    <s v="-"/>
    <s v="+"/>
    <n v="11.083"/>
    <s v="-"/>
    <s v="-"/>
    <s v="-"/>
    <s v="-"/>
    <s v="-"/>
    <s v="-"/>
    <s v="-"/>
    <s v="-"/>
    <s v="P"/>
    <s v="P"/>
    <s v="-"/>
    <n v="2"/>
    <n v="1"/>
    <n v="2"/>
    <n v="1"/>
    <s v="-"/>
    <s v="-"/>
    <s v="-"/>
    <s v="-"/>
    <s v="-"/>
    <s v="-"/>
    <s v="-"/>
    <n v="6"/>
    <n v="6"/>
    <s v="-"/>
    <n v="1"/>
    <n v="1"/>
    <n v="2"/>
    <n v="2"/>
    <n v="8"/>
    <n v="8"/>
  </r>
  <r>
    <x v="5"/>
    <x v="130"/>
    <d v="1899-12-30T00:00:00"/>
    <s v="1ST"/>
    <s v="13:00"/>
    <n v="2"/>
    <x v="7"/>
    <n v="6.6E-3"/>
    <s v="P"/>
    <s v="P"/>
    <s v="P"/>
    <s v="-"/>
    <s v="+"/>
    <n v="10.78"/>
    <s v="-"/>
    <s v="-"/>
    <s v="-"/>
    <s v="-"/>
    <s v="-"/>
    <s v="-"/>
    <s v="-"/>
    <s v="-"/>
    <s v="P"/>
    <s v="P"/>
    <s v="-"/>
    <n v="2"/>
    <n v="1"/>
    <n v="2"/>
    <n v="0"/>
    <s v="-"/>
    <s v="-"/>
    <s v="-"/>
    <s v="-"/>
    <s v="-"/>
    <s v="-"/>
    <s v="-"/>
    <n v="5"/>
    <n v="6"/>
    <s v="-"/>
    <n v="1"/>
    <n v="1"/>
    <n v="2"/>
    <n v="2"/>
    <n v="7"/>
    <n v="8"/>
  </r>
  <r>
    <x v="5"/>
    <x v="130"/>
    <d v="2026-06-15T00:00:00"/>
    <s v="1ST"/>
    <s v="06:00"/>
    <n v="3"/>
    <x v="1"/>
    <n v="1.0699999999999999E-2"/>
    <s v="P"/>
    <s v="P"/>
    <s v="P"/>
    <s v="+"/>
    <s v="+"/>
    <n v="11.61"/>
    <n v="12.29"/>
    <s v="-"/>
    <n v="67.2"/>
    <s v="-"/>
    <s v="-"/>
    <n v="34.5"/>
    <s v="-"/>
    <s v="-"/>
    <s v="P"/>
    <s v="P"/>
    <s v="85% 5% 10%"/>
    <n v="2"/>
    <n v="1"/>
    <n v="2"/>
    <n v="0"/>
    <n v="1"/>
    <s v="-"/>
    <n v="2"/>
    <s v="-"/>
    <s v="-"/>
    <n v="2"/>
    <s v="-"/>
    <n v="10"/>
    <n v="11"/>
    <s v="-"/>
    <n v="1"/>
    <n v="1"/>
    <n v="2"/>
    <n v="2"/>
    <n v="12"/>
    <n v="13"/>
  </r>
  <r>
    <x v="5"/>
    <x v="130"/>
    <d v="2026-06-15T00:00:00"/>
    <s v="1ST"/>
    <s v="08:00"/>
    <n v="3"/>
    <x v="1"/>
    <n v="1.2500000000000001E-2"/>
    <s v="P"/>
    <s v="P"/>
    <s v="P"/>
    <s v="+"/>
    <s v="+"/>
    <n v="12.76"/>
    <s v="-"/>
    <s v="-"/>
    <s v="-"/>
    <s v="-"/>
    <s v="-"/>
    <s v="-"/>
    <s v="-"/>
    <s v="-"/>
    <s v="P"/>
    <s v="P"/>
    <s v="-"/>
    <n v="2"/>
    <n v="1"/>
    <n v="2"/>
    <n v="1"/>
    <s v="-"/>
    <s v="-"/>
    <s v="-"/>
    <s v="-"/>
    <s v="-"/>
    <s v="-"/>
    <s v="-"/>
    <n v="6"/>
    <n v="6"/>
    <s v="-"/>
    <n v="1"/>
    <n v="1"/>
    <n v="2"/>
    <n v="2"/>
    <n v="8"/>
    <n v="8"/>
  </r>
  <r>
    <x v="5"/>
    <x v="130"/>
    <d v="2026-06-10T00:00:00"/>
    <s v="1ST"/>
    <s v="12:00"/>
    <s v="Retail"/>
    <x v="19"/>
    <s v="-"/>
    <s v="P"/>
    <s v="P"/>
    <s v="P"/>
    <s v="-"/>
    <s v="-"/>
    <n v="11.58"/>
    <s v="-"/>
    <s v="-"/>
    <s v="-"/>
    <s v="-"/>
    <s v="-"/>
    <s v="-"/>
    <s v="-"/>
    <s v="-"/>
    <s v="-"/>
    <s v="-"/>
    <s v="-"/>
    <s v="-"/>
    <n v="1"/>
    <n v="2"/>
    <n v="0"/>
    <s v="-"/>
    <s v="-"/>
    <s v="-"/>
    <s v="-"/>
    <s v="-"/>
    <s v="-"/>
    <s v="-"/>
    <n v="3"/>
    <n v="4"/>
    <s v="-"/>
    <s v="-"/>
    <s v="-"/>
    <n v="0"/>
    <n v="0"/>
    <n v="3"/>
    <n v="4"/>
  </r>
  <r>
    <x v="5"/>
    <x v="130"/>
    <d v="1902-03-26T00:00:00"/>
    <s v="2ND"/>
    <d v="1899-12-30T14:00:00"/>
    <n v="2"/>
    <x v="7"/>
    <n v="5.7999999999999996E-3"/>
    <s v="P"/>
    <s v="P"/>
    <s v="P"/>
    <s v="-"/>
    <s v="+"/>
    <n v="11.12"/>
    <s v="-"/>
    <s v="-"/>
    <s v="-"/>
    <s v="-"/>
    <s v="-"/>
    <s v="-"/>
    <s v="-"/>
    <s v="-"/>
    <s v="P"/>
    <s v="P"/>
    <s v="90% 10%"/>
    <n v="2"/>
    <n v="1"/>
    <n v="2"/>
    <n v="1"/>
    <s v="-"/>
    <s v="-"/>
    <s v="-"/>
    <s v="-"/>
    <s v="-"/>
    <s v="-"/>
    <s v="-"/>
    <n v="6"/>
    <n v="6"/>
    <s v="-"/>
    <n v="1"/>
    <n v="1"/>
    <n v="2"/>
    <n v="2"/>
    <n v="8"/>
    <n v="8"/>
  </r>
  <r>
    <x v="5"/>
    <x v="130"/>
    <d v="1902-03-26T00:00:00"/>
    <s v="2ND"/>
    <d v="1899-12-30T15:00:00"/>
    <n v="2"/>
    <x v="7"/>
    <n v="4.0000000000000001E-3"/>
    <s v="P"/>
    <s v="P"/>
    <s v="P"/>
    <s v="-"/>
    <s v="+"/>
    <n v="10.81"/>
    <n v="8.9"/>
    <n v="0.59"/>
    <n v="57.7"/>
    <s v="-"/>
    <s v="-"/>
    <n v="24.2"/>
    <s v="-"/>
    <s v="-"/>
    <s v="P"/>
    <s v="P"/>
    <s v="90% 10%"/>
    <n v="2"/>
    <n v="1"/>
    <n v="2"/>
    <n v="0"/>
    <n v="1"/>
    <n v="2"/>
    <n v="2"/>
    <s v="-"/>
    <s v="-"/>
    <n v="2"/>
    <s v="-"/>
    <n v="12"/>
    <n v="13"/>
    <s v="-"/>
    <n v="1"/>
    <n v="1"/>
    <n v="2"/>
    <n v="2"/>
    <n v="14"/>
    <n v="15"/>
  </r>
  <r>
    <x v="5"/>
    <x v="130"/>
    <d v="1902-03-26T00:00:00"/>
    <s v="2ND"/>
    <d v="1899-12-30T16:00:00"/>
    <n v="2"/>
    <x v="7"/>
    <n v="1.0500000000000001E-2"/>
    <s v="P"/>
    <s v="P"/>
    <s v="P"/>
    <s v="-"/>
    <s v="+"/>
    <n v="10.87"/>
    <s v="-"/>
    <s v="-"/>
    <s v="-"/>
    <s v="-"/>
    <s v="-"/>
    <s v="-"/>
    <s v="-"/>
    <s v="-"/>
    <s v="P"/>
    <s v="P"/>
    <s v="-"/>
    <n v="2"/>
    <n v="1"/>
    <n v="2"/>
    <n v="0"/>
    <s v="-"/>
    <s v="-"/>
    <s v="-"/>
    <s v="-"/>
    <s v="-"/>
    <s v="-"/>
    <s v="-"/>
    <n v="5"/>
    <n v="6"/>
    <s v="-"/>
    <n v="1"/>
    <n v="1"/>
    <n v="2"/>
    <n v="2"/>
    <n v="7"/>
    <n v="8"/>
  </r>
  <r>
    <x v="5"/>
    <x v="130"/>
    <d v="1902-03-26T00:00:00"/>
    <s v="2ND"/>
    <d v="1899-12-30T18:00:00"/>
    <n v="2"/>
    <x v="7"/>
    <n v="1.1599999999999999E-2"/>
    <s v="P"/>
    <s v="P"/>
    <s v="P"/>
    <s v="-"/>
    <s v="+"/>
    <n v="11.32"/>
    <s v="-"/>
    <s v="-"/>
    <s v="-"/>
    <s v="-"/>
    <s v="-"/>
    <s v="-"/>
    <s v="-"/>
    <s v="-"/>
    <s v="P"/>
    <s v="P"/>
    <s v="-"/>
    <n v="2"/>
    <n v="1"/>
    <n v="2"/>
    <n v="1"/>
    <s v="-"/>
    <s v="-"/>
    <s v="-"/>
    <s v="-"/>
    <s v="-"/>
    <s v="-"/>
    <s v="-"/>
    <n v="6"/>
    <n v="6"/>
    <s v="-"/>
    <n v="1"/>
    <n v="1"/>
    <n v="2"/>
    <n v="2"/>
    <n v="8"/>
    <n v="8"/>
  </r>
  <r>
    <x v="5"/>
    <x v="130"/>
    <d v="2026-06-17T00:00:00"/>
    <s v="2ND"/>
    <d v="1899-12-30T21:00:00"/>
    <n v="3"/>
    <x v="29"/>
    <n v="1.41E-2"/>
    <s v="P"/>
    <s v="P"/>
    <s v="P"/>
    <s v="+"/>
    <s v="+"/>
    <n v="13.46"/>
    <s v="-"/>
    <s v="-"/>
    <n v="66.5"/>
    <s v="-"/>
    <s v="-"/>
    <n v="35.700000000000003"/>
    <s v="-"/>
    <s v="-"/>
    <s v="P"/>
    <s v="P"/>
    <s v="95% 5%"/>
    <n v="2"/>
    <n v="1"/>
    <n v="2"/>
    <n v="1"/>
    <s v="-"/>
    <s v="-"/>
    <s v="-"/>
    <s v="-"/>
    <s v="-"/>
    <s v="-"/>
    <s v="-"/>
    <n v="6"/>
    <n v="6"/>
    <s v="-"/>
    <n v="1"/>
    <n v="1"/>
    <n v="2"/>
    <n v="2"/>
    <n v="8"/>
    <n v="8"/>
  </r>
  <r>
    <x v="5"/>
    <x v="130"/>
    <s v="-"/>
    <s v="3RD"/>
    <d v="1899-12-30T22:00:00"/>
    <n v="1"/>
    <x v="20"/>
    <n v="1.4E-2"/>
    <s v="P"/>
    <s v="P"/>
    <s v="P"/>
    <s v="-"/>
    <s v="-"/>
    <n v="12.24"/>
    <n v="11.76"/>
    <n v="0.5"/>
    <n v="68"/>
    <s v="-"/>
    <s v="-"/>
    <n v="32.799999999999997"/>
    <s v="-"/>
    <s v="-"/>
    <s v="P"/>
    <s v="P"/>
    <s v="80% 20%"/>
    <n v="2"/>
    <n v="1"/>
    <n v="2"/>
    <n v="1"/>
    <n v="0"/>
    <n v="2"/>
    <n v="2"/>
    <s v="-"/>
    <s v="-"/>
    <n v="2"/>
    <s v="-"/>
    <n v="12"/>
    <n v="13"/>
    <s v="-"/>
    <n v="1"/>
    <n v="1"/>
    <n v="2"/>
    <n v="2"/>
    <n v="14"/>
    <n v="15"/>
  </r>
  <r>
    <x v="5"/>
    <x v="130"/>
    <d v="2026-06-15T00:00:00"/>
    <s v="3RD"/>
    <d v="1899-12-31T00:00:00"/>
    <n v="1"/>
    <x v="20"/>
    <n v="1.46E-2"/>
    <s v="-"/>
    <s v="-"/>
    <s v="-"/>
    <s v="-"/>
    <s v="-"/>
    <s v="-"/>
    <s v="-"/>
    <s v="-"/>
    <s v="-"/>
    <s v="-"/>
    <s v="-"/>
    <s v="-"/>
    <s v="-"/>
    <s v="-"/>
    <s v="-"/>
    <s v="-"/>
    <s v="-"/>
    <n v="2"/>
    <s v="-"/>
    <s v="-"/>
    <s v="-"/>
    <s v="-"/>
    <s v="-"/>
    <s v="-"/>
    <s v="-"/>
    <s v="-"/>
    <s v="-"/>
    <s v="-"/>
    <n v="2"/>
    <n v="2"/>
    <s v="-"/>
    <s v="-"/>
    <s v="-"/>
    <n v="0"/>
    <n v="0"/>
    <n v="2"/>
    <n v="2"/>
  </r>
  <r>
    <x v="5"/>
    <x v="130"/>
    <d v="2026-06-15T00:00:00"/>
    <s v="3RD"/>
    <d v="1899-12-31T01:00:00"/>
    <n v="1"/>
    <x v="20"/>
    <n v="1.7999999999999999E-2"/>
    <s v="P"/>
    <s v="P"/>
    <s v="P"/>
    <s v="-"/>
    <s v="-"/>
    <n v="11.71"/>
    <s v="-"/>
    <s v="-"/>
    <s v="-"/>
    <s v="-"/>
    <s v="-"/>
    <s v="-"/>
    <s v="-"/>
    <s v="-"/>
    <s v="P"/>
    <s v="P"/>
    <s v="-"/>
    <n v="2"/>
    <n v="1"/>
    <n v="2"/>
    <n v="1"/>
    <s v="-"/>
    <s v="-"/>
    <s v="-"/>
    <s v="-"/>
    <s v="-"/>
    <s v="-"/>
    <s v="-"/>
    <n v="6"/>
    <n v="6"/>
    <s v="-"/>
    <n v="1"/>
    <n v="1"/>
    <n v="2"/>
    <n v="2"/>
    <n v="8"/>
    <n v="8"/>
  </r>
  <r>
    <x v="5"/>
    <x v="130"/>
    <d v="1902-03-26T00:00:00"/>
    <s v="3RD"/>
    <d v="1899-12-31T01:00:00"/>
    <n v="2"/>
    <x v="16"/>
    <n v="1.3899999999999999E-2"/>
    <s v="P"/>
    <s v="P"/>
    <s v="P"/>
    <s v="+"/>
    <s v="+"/>
    <n v="10.85"/>
    <n v="12.78"/>
    <n v="0.53"/>
    <n v="67.8"/>
    <s v="-"/>
    <s v="-"/>
    <n v="36.1"/>
    <s v="-"/>
    <s v="-"/>
    <s v="P"/>
    <s v="P"/>
    <s v="-"/>
    <n v="2"/>
    <n v="1"/>
    <n v="2"/>
    <n v="0"/>
    <n v="1"/>
    <n v="2"/>
    <n v="2"/>
    <s v="-"/>
    <s v="-"/>
    <n v="2"/>
    <s v="-"/>
    <n v="12"/>
    <n v="13"/>
    <s v="-"/>
    <n v="1"/>
    <n v="1"/>
    <n v="2"/>
    <n v="2"/>
    <n v="14"/>
    <n v="15"/>
  </r>
  <r>
    <x v="5"/>
    <x v="130"/>
    <d v="1899-12-30T00:00:00"/>
    <s v="3RD"/>
    <d v="1899-12-31T02:00:00"/>
    <n v="2"/>
    <x v="16"/>
    <n v="1.8100000000000002E-2"/>
    <s v="P"/>
    <s v="P"/>
    <s v="P"/>
    <s v="+"/>
    <s v="+"/>
    <n v="10.62"/>
    <s v="-"/>
    <s v="-"/>
    <s v="-"/>
    <s v="-"/>
    <s v="-"/>
    <s v="-"/>
    <s v="-"/>
    <s v="-"/>
    <s v="P"/>
    <s v="P"/>
    <s v="-"/>
    <n v="2"/>
    <n v="1"/>
    <n v="2"/>
    <n v="0"/>
    <s v="-"/>
    <s v="-"/>
    <s v="-"/>
    <s v="-"/>
    <s v="-"/>
    <s v="-"/>
    <s v="-"/>
    <n v="5"/>
    <n v="6"/>
    <s v="-"/>
    <n v="1"/>
    <n v="1"/>
    <n v="2"/>
    <n v="2"/>
    <n v="7"/>
    <n v="8"/>
  </r>
  <r>
    <x v="5"/>
    <x v="130"/>
    <d v="1899-12-30T00:00:00"/>
    <s v="3RD"/>
    <d v="1899-12-31T03:00:00"/>
    <n v="2"/>
    <x v="16"/>
    <n v="1.83E-2"/>
    <s v="P"/>
    <s v="P"/>
    <s v="P"/>
    <s v="+"/>
    <s v="+"/>
    <n v="10.85"/>
    <s v="-"/>
    <s v="-"/>
    <s v="-"/>
    <s v="-"/>
    <s v="-"/>
    <s v="-"/>
    <s v="-"/>
    <s v="-"/>
    <s v="P"/>
    <s v="P"/>
    <s v="-"/>
    <n v="2"/>
    <n v="1"/>
    <n v="2"/>
    <n v="0"/>
    <s v="-"/>
    <s v="-"/>
    <s v="-"/>
    <s v="-"/>
    <s v="-"/>
    <s v="-"/>
    <s v="-"/>
    <n v="5"/>
    <n v="6"/>
    <s v="-"/>
    <n v="1"/>
    <n v="1"/>
    <n v="2"/>
    <n v="2"/>
    <n v="7"/>
    <n v="8"/>
  </r>
  <r>
    <x v="5"/>
    <x v="130"/>
    <d v="1899-12-30T00:00:00"/>
    <s v="3RD"/>
    <d v="1899-12-31T05:00:00"/>
    <n v="2"/>
    <x v="16"/>
    <n v="1.35E-2"/>
    <s v="P"/>
    <s v="P"/>
    <s v="P"/>
    <s v="+"/>
    <s v="+"/>
    <n v="10.57"/>
    <s v="-"/>
    <s v="-"/>
    <s v="-"/>
    <s v="-"/>
    <s v="-"/>
    <s v="-"/>
    <s v="-"/>
    <s v="-"/>
    <s v="P"/>
    <s v="P"/>
    <s v="-"/>
    <n v="2"/>
    <n v="1"/>
    <n v="2"/>
    <n v="0"/>
    <s v="-"/>
    <s v="-"/>
    <s v="-"/>
    <s v="-"/>
    <s v="-"/>
    <s v="-"/>
    <s v="-"/>
    <n v="5"/>
    <n v="6"/>
    <s v="-"/>
    <n v="1"/>
    <n v="1"/>
    <n v="2"/>
    <n v="2"/>
    <n v="7"/>
    <n v="8"/>
  </r>
  <r>
    <x v="5"/>
    <x v="131"/>
    <s v="-"/>
    <s v="1ST"/>
    <s v="06:00"/>
    <n v="1"/>
    <x v="20"/>
    <n v="1.4999999999999999E-2"/>
    <s v="P"/>
    <s v="P"/>
    <s v="P"/>
    <s v="-"/>
    <s v="-"/>
    <n v="11.5"/>
    <n v="12.1"/>
    <n v="0.49"/>
    <n v="68.900000000000006"/>
    <s v="-"/>
    <s v="-"/>
    <n v="33.9"/>
    <s v="-"/>
    <s v="-"/>
    <s v="P"/>
    <s v="P"/>
    <s v="80% 20%"/>
    <n v="2"/>
    <n v="1"/>
    <n v="2"/>
    <n v="1"/>
    <n v="1"/>
    <n v="0"/>
    <n v="0"/>
    <s v="-"/>
    <s v="-"/>
    <n v="2"/>
    <s v="-"/>
    <n v="9"/>
    <n v="13"/>
    <s v="-"/>
    <n v="1"/>
    <n v="1"/>
    <n v="2"/>
    <n v="2"/>
    <n v="11"/>
    <n v="15"/>
  </r>
  <r>
    <x v="5"/>
    <x v="131"/>
    <d v="2026-06-15T00:00:00"/>
    <s v="1ST"/>
    <s v="07:00"/>
    <n v="1"/>
    <x v="20"/>
    <n v="1.3599999999999999E-2"/>
    <s v="P"/>
    <s v="P"/>
    <s v="P"/>
    <s v="-"/>
    <s v="-"/>
    <n v="11.8"/>
    <s v="-"/>
    <s v="-"/>
    <s v="-"/>
    <s v="-"/>
    <s v="-"/>
    <s v="-"/>
    <s v="-"/>
    <s v="-"/>
    <s v="P"/>
    <s v="P"/>
    <s v="-"/>
    <n v="2"/>
    <n v="1"/>
    <n v="2"/>
    <n v="1"/>
    <s v="-"/>
    <s v="-"/>
    <s v="-"/>
    <s v="-"/>
    <s v="-"/>
    <s v="-"/>
    <s v="-"/>
    <n v="6"/>
    <n v="6"/>
    <s v="-"/>
    <n v="1"/>
    <n v="1"/>
    <n v="2"/>
    <n v="2"/>
    <n v="8"/>
    <n v="8"/>
  </r>
  <r>
    <x v="5"/>
    <x v="131"/>
    <d v="2026-06-15T00:00:00"/>
    <s v="1ST"/>
    <s v="08:00"/>
    <n v="1"/>
    <x v="20"/>
    <n v="1.4999999999999999E-2"/>
    <s v="P"/>
    <s v="P"/>
    <s v="P"/>
    <s v="-"/>
    <s v="-"/>
    <n v="11.79"/>
    <s v="-"/>
    <s v="-"/>
    <s v="-"/>
    <s v="-"/>
    <s v="-"/>
    <s v="-"/>
    <s v="-"/>
    <s v="-"/>
    <s v="P"/>
    <s v="P"/>
    <s v="-"/>
    <n v="2"/>
    <n v="1"/>
    <n v="2"/>
    <n v="1"/>
    <s v="-"/>
    <s v="-"/>
    <s v="-"/>
    <s v="-"/>
    <s v="-"/>
    <s v="-"/>
    <s v="-"/>
    <n v="6"/>
    <n v="6"/>
    <s v="-"/>
    <n v="1"/>
    <n v="1"/>
    <n v="2"/>
    <n v="2"/>
    <n v="8"/>
    <n v="8"/>
  </r>
  <r>
    <x v="5"/>
    <x v="131"/>
    <d v="2026-06-15T00:00:00"/>
    <s v="1ST"/>
    <s v="09:00"/>
    <n v="1"/>
    <x v="20"/>
    <n v="1.5299999999999999E-2"/>
    <s v="P"/>
    <s v="P"/>
    <s v="P"/>
    <s v="-"/>
    <s v="-"/>
    <n v="11.89"/>
    <s v="-"/>
    <s v="-"/>
    <s v="-"/>
    <s v="-"/>
    <s v="-"/>
    <s v="-"/>
    <s v="-"/>
    <s v="-"/>
    <s v="P"/>
    <s v="P"/>
    <s v="-"/>
    <n v="2"/>
    <n v="1"/>
    <n v="2"/>
    <n v="1"/>
    <s v="-"/>
    <s v="-"/>
    <s v="-"/>
    <s v="-"/>
    <s v="-"/>
    <s v="-"/>
    <s v="-"/>
    <n v="6"/>
    <n v="6"/>
    <s v="-"/>
    <n v="1"/>
    <n v="1"/>
    <n v="2"/>
    <n v="2"/>
    <n v="8"/>
    <n v="8"/>
  </r>
  <r>
    <x v="5"/>
    <x v="131"/>
    <d v="1902-03-26T00:00:00"/>
    <s v="1ST"/>
    <s v="06:00"/>
    <n v="2"/>
    <x v="16"/>
    <n v="6.4000000000000003E-3"/>
    <s v="P"/>
    <s v="P"/>
    <s v="P"/>
    <s v="+"/>
    <s v="+"/>
    <n v="11.38"/>
    <n v="13.15"/>
    <n v="0.52"/>
    <n v="66.3"/>
    <s v="-"/>
    <s v="-"/>
    <n v="37.299999999999997"/>
    <s v="-"/>
    <s v="-"/>
    <s v="P"/>
    <s v="P"/>
    <s v="-"/>
    <n v="2"/>
    <n v="1"/>
    <n v="2"/>
    <n v="0"/>
    <n v="1"/>
    <n v="2"/>
    <n v="2"/>
    <s v="-"/>
    <s v="-"/>
    <n v="2"/>
    <s v="-"/>
    <n v="12"/>
    <n v="13"/>
    <s v="-"/>
    <n v="1"/>
    <n v="1"/>
    <n v="2"/>
    <n v="2"/>
    <n v="14"/>
    <n v="15"/>
  </r>
  <r>
    <x v="5"/>
    <x v="131"/>
    <d v="1899-12-30T00:00:00"/>
    <s v="1ST"/>
    <s v="07:00"/>
    <n v="2"/>
    <x v="16"/>
    <n v="9.5999999999999992E-3"/>
    <s v="P"/>
    <s v="P"/>
    <s v="P"/>
    <s v="+"/>
    <s v="+"/>
    <n v="10.67"/>
    <s v="-"/>
    <s v="-"/>
    <s v="-"/>
    <s v="-"/>
    <s v="-"/>
    <s v="-"/>
    <s v="-"/>
    <s v="-"/>
    <s v="P"/>
    <s v="P"/>
    <s v="-"/>
    <n v="2"/>
    <n v="1"/>
    <n v="2"/>
    <n v="0"/>
    <s v="-"/>
    <s v="-"/>
    <s v="-"/>
    <s v="-"/>
    <s v="-"/>
    <s v="-"/>
    <s v="-"/>
    <n v="5"/>
    <n v="6"/>
    <s v="-"/>
    <n v="1"/>
    <n v="1"/>
    <n v="2"/>
    <n v="2"/>
    <n v="7"/>
    <n v="8"/>
  </r>
  <r>
    <x v="5"/>
    <x v="131"/>
    <d v="1899-12-30T00:00:00"/>
    <s v="1ST"/>
    <s v="08:00"/>
    <n v="2"/>
    <x v="16"/>
    <n v="1.2800000000000001E-2"/>
    <s v="P"/>
    <s v="P"/>
    <s v="P"/>
    <s v="+"/>
    <s v="+"/>
    <n v="11.13"/>
    <s v="-"/>
    <s v="-"/>
    <s v="-"/>
    <s v="-"/>
    <s v="-"/>
    <s v="-"/>
    <s v="-"/>
    <s v="-"/>
    <s v="P"/>
    <s v="P"/>
    <s v="-"/>
    <n v="2"/>
    <n v="1"/>
    <n v="2"/>
    <n v="0"/>
    <s v="-"/>
    <s v="-"/>
    <s v="-"/>
    <s v="-"/>
    <s v="-"/>
    <s v="-"/>
    <s v="-"/>
    <n v="5"/>
    <n v="6"/>
    <s v="-"/>
    <n v="1"/>
    <n v="1"/>
    <n v="2"/>
    <n v="2"/>
    <n v="7"/>
    <n v="8"/>
  </r>
  <r>
    <x v="5"/>
    <x v="131"/>
    <d v="1899-12-30T00:00:00"/>
    <s v="1ST"/>
    <s v="09:00"/>
    <n v="2"/>
    <x v="16"/>
    <n v="1.01E-2"/>
    <s v="P"/>
    <s v="P"/>
    <s v="P"/>
    <s v="+"/>
    <s v="+"/>
    <n v="10.92"/>
    <s v="-"/>
    <s v="-"/>
    <s v="-"/>
    <s v="-"/>
    <s v="-"/>
    <s v="-"/>
    <s v="-"/>
    <s v="-"/>
    <s v="P"/>
    <s v="P"/>
    <s v="-"/>
    <n v="2"/>
    <n v="1"/>
    <n v="2"/>
    <n v="0"/>
    <s v="-"/>
    <s v="-"/>
    <s v="-"/>
    <s v="-"/>
    <s v="-"/>
    <s v="-"/>
    <s v="-"/>
    <n v="5"/>
    <n v="6"/>
    <s v="-"/>
    <n v="1"/>
    <n v="1"/>
    <n v="2"/>
    <n v="2"/>
    <n v="7"/>
    <n v="8"/>
  </r>
  <r>
    <x v="5"/>
    <x v="131"/>
    <d v="1899-12-30T00:00:00"/>
    <s v="1ST"/>
    <s v="10:00"/>
    <n v="2"/>
    <x v="16"/>
    <n v="8.3000000000000001E-3"/>
    <s v="P"/>
    <s v="P"/>
    <s v="P"/>
    <s v="+"/>
    <s v="+"/>
    <n v="11.9"/>
    <s v="-"/>
    <s v="-"/>
    <s v="-"/>
    <s v="-"/>
    <s v="-"/>
    <s v="-"/>
    <s v="-"/>
    <s v="-"/>
    <s v="P"/>
    <s v="P"/>
    <s v="-"/>
    <n v="2"/>
    <n v="1"/>
    <n v="2"/>
    <n v="0"/>
    <s v="-"/>
    <s v="-"/>
    <s v="-"/>
    <s v="-"/>
    <s v="-"/>
    <s v="-"/>
    <s v="-"/>
    <n v="5"/>
    <n v="6"/>
    <s v="-"/>
    <n v="1"/>
    <n v="1"/>
    <n v="2"/>
    <n v="2"/>
    <n v="7"/>
    <n v="8"/>
  </r>
  <r>
    <x v="5"/>
    <x v="131"/>
    <d v="1899-12-30T00:00:00"/>
    <s v="1ST"/>
    <s v="11:00"/>
    <n v="2"/>
    <x v="16"/>
    <n v="1.37E-2"/>
    <s v="P"/>
    <s v="P"/>
    <s v="P"/>
    <s v="+"/>
    <s v="+"/>
    <n v="11.05"/>
    <s v="-"/>
    <s v="-"/>
    <s v="-"/>
    <s v="-"/>
    <s v="-"/>
    <s v="-"/>
    <s v="-"/>
    <s v="-"/>
    <s v="P"/>
    <s v="P"/>
    <s v="-"/>
    <n v="2"/>
    <n v="1"/>
    <n v="2"/>
    <n v="0"/>
    <s v="-"/>
    <s v="-"/>
    <s v="-"/>
    <s v="-"/>
    <s v="-"/>
    <s v="-"/>
    <s v="-"/>
    <n v="5"/>
    <n v="6"/>
    <s v="-"/>
    <n v="1"/>
    <n v="1"/>
    <n v="2"/>
    <n v="2"/>
    <n v="7"/>
    <n v="8"/>
  </r>
  <r>
    <x v="5"/>
    <x v="131"/>
    <d v="1899-12-30T00:00:00"/>
    <s v="1ST"/>
    <s v="12:00"/>
    <n v="2"/>
    <x v="16"/>
    <n v="1.54E-2"/>
    <s v="P"/>
    <s v="P"/>
    <s v="P"/>
    <s v="+"/>
    <s v="+"/>
    <n v="11.35"/>
    <s v="-"/>
    <s v="-"/>
    <s v="-"/>
    <s v="-"/>
    <s v="-"/>
    <s v="-"/>
    <s v="-"/>
    <s v="-"/>
    <s v="P"/>
    <s v="P"/>
    <s v="-"/>
    <n v="2"/>
    <n v="1"/>
    <n v="2"/>
    <n v="0"/>
    <s v="-"/>
    <s v="-"/>
    <s v="-"/>
    <s v="-"/>
    <s v="-"/>
    <s v="-"/>
    <s v="-"/>
    <n v="5"/>
    <n v="6"/>
    <s v="-"/>
    <n v="1"/>
    <n v="1"/>
    <n v="2"/>
    <n v="2"/>
    <n v="7"/>
    <n v="8"/>
  </r>
  <r>
    <x v="5"/>
    <x v="131"/>
    <d v="1899-12-30T00:00:00"/>
    <s v="1ST"/>
    <s v="13:00"/>
    <n v="2"/>
    <x v="16"/>
    <n v="1.6199999999999999E-2"/>
    <s v="P"/>
    <s v="P"/>
    <s v="P"/>
    <s v="+"/>
    <s v="+"/>
    <n v="10.78"/>
    <s v="-"/>
    <s v="-"/>
    <s v="-"/>
    <s v="-"/>
    <s v="-"/>
    <s v="-"/>
    <s v="-"/>
    <s v="-"/>
    <s v="P"/>
    <s v="P"/>
    <s v="-"/>
    <n v="2"/>
    <n v="1"/>
    <n v="2"/>
    <n v="0"/>
    <s v="-"/>
    <s v="-"/>
    <s v="-"/>
    <s v="-"/>
    <s v="-"/>
    <s v="-"/>
    <s v="-"/>
    <n v="5"/>
    <n v="6"/>
    <s v="-"/>
    <n v="1"/>
    <n v="1"/>
    <n v="2"/>
    <n v="2"/>
    <n v="7"/>
    <n v="8"/>
  </r>
  <r>
    <x v="5"/>
    <x v="131"/>
    <d v="2026-06-17T00:00:00"/>
    <s v="1ST"/>
    <s v="08:00"/>
    <n v="3"/>
    <x v="10"/>
    <n v="4.1999999999999997E-3"/>
    <s v="P"/>
    <s v="P"/>
    <s v="P"/>
    <s v="+"/>
    <s v="+"/>
    <n v="12.35"/>
    <n v="11.46"/>
    <s v="-"/>
    <s v="-"/>
    <s v="-"/>
    <s v="-"/>
    <n v="31.8"/>
    <s v="-"/>
    <s v="-"/>
    <s v="P"/>
    <s v="P"/>
    <n v="1"/>
    <n v="2"/>
    <n v="1"/>
    <n v="2"/>
    <n v="1"/>
    <n v="1"/>
    <s v="-"/>
    <s v="-"/>
    <s v="-"/>
    <s v="-"/>
    <n v="2"/>
    <s v="-"/>
    <n v="9"/>
    <n v="9"/>
    <s v="-"/>
    <n v="1"/>
    <n v="1"/>
    <n v="2"/>
    <n v="2"/>
    <n v="11"/>
    <n v="11"/>
  </r>
  <r>
    <x v="5"/>
    <x v="131"/>
    <d v="2026-06-17T00:00:00"/>
    <s v="1ST"/>
    <s v="09:00"/>
    <n v="3"/>
    <x v="10"/>
    <s v="-"/>
    <s v="P"/>
    <s v="P"/>
    <s v="P"/>
    <s v="+"/>
    <s v="+"/>
    <s v="-"/>
    <s v="-"/>
    <s v="-"/>
    <s v="-"/>
    <s v="-"/>
    <s v="-"/>
    <s v="-"/>
    <s v="-"/>
    <s v="-"/>
    <s v="P"/>
    <s v="P"/>
    <s v="-"/>
    <s v="-"/>
    <n v="1"/>
    <n v="2"/>
    <s v="-"/>
    <s v="-"/>
    <s v="-"/>
    <s v="-"/>
    <s v="-"/>
    <s v="-"/>
    <s v="-"/>
    <s v="-"/>
    <n v="3"/>
    <n v="3"/>
    <s v="-"/>
    <n v="1"/>
    <n v="1"/>
    <n v="2"/>
    <n v="2"/>
    <n v="5"/>
    <n v="5"/>
  </r>
  <r>
    <x v="5"/>
    <x v="131"/>
    <d v="2026-06-17T00:00:00"/>
    <s v="1ST"/>
    <s v="10:00"/>
    <n v="3"/>
    <x v="10"/>
    <n v="4.5999999999999999E-3"/>
    <s v="P"/>
    <s v="P"/>
    <s v="P"/>
    <s v="+"/>
    <s v="+"/>
    <n v="12.59"/>
    <s v="-"/>
    <s v="-"/>
    <s v="-"/>
    <s v="-"/>
    <s v="-"/>
    <s v="-"/>
    <s v="-"/>
    <s v="-"/>
    <s v="P"/>
    <s v="P"/>
    <s v="-"/>
    <n v="2"/>
    <n v="1"/>
    <n v="2"/>
    <n v="1"/>
    <s v="-"/>
    <s v="-"/>
    <s v="-"/>
    <s v="-"/>
    <s v="-"/>
    <s v="-"/>
    <s v="-"/>
    <n v="6"/>
    <n v="6"/>
    <s v="-"/>
    <n v="1"/>
    <n v="1"/>
    <n v="2"/>
    <n v="2"/>
    <n v="8"/>
    <n v="8"/>
  </r>
  <r>
    <x v="5"/>
    <x v="131"/>
    <d v="2026-06-17T00:00:00"/>
    <s v="1ST"/>
    <s v="11:00"/>
    <n v="3"/>
    <x v="10"/>
    <n v="3.8E-3"/>
    <s v="P"/>
    <s v="P"/>
    <s v="P"/>
    <s v="+"/>
    <s v="+"/>
    <n v="12.14"/>
    <s v="-"/>
    <s v="-"/>
    <s v="-"/>
    <s v="-"/>
    <s v="-"/>
    <s v="-"/>
    <s v="-"/>
    <s v="-"/>
    <s v="P"/>
    <s v="P"/>
    <s v="-"/>
    <n v="2"/>
    <n v="1"/>
    <n v="2"/>
    <n v="1"/>
    <s v="-"/>
    <s v="-"/>
    <s v="-"/>
    <s v="-"/>
    <s v="-"/>
    <s v="-"/>
    <s v="-"/>
    <n v="6"/>
    <n v="6"/>
    <s v="-"/>
    <n v="1"/>
    <n v="1"/>
    <n v="2"/>
    <n v="2"/>
    <n v="8"/>
    <n v="8"/>
  </r>
  <r>
    <x v="5"/>
    <x v="131"/>
    <d v="2026-06-17T00:00:00"/>
    <s v="1ST"/>
    <s v="13:00"/>
    <n v="3"/>
    <x v="10"/>
    <n v="7.3000000000000001E-3"/>
    <s v="P"/>
    <s v="P"/>
    <s v="P"/>
    <s v="+"/>
    <s v="+"/>
    <n v="12.27"/>
    <s v="-"/>
    <s v="-"/>
    <s v="-"/>
    <s v="-"/>
    <s v="-"/>
    <s v="-"/>
    <s v="-"/>
    <s v="-"/>
    <s v="P"/>
    <s v="P"/>
    <s v="-"/>
    <n v="2"/>
    <n v="1"/>
    <n v="2"/>
    <n v="1"/>
    <s v="-"/>
    <s v="-"/>
    <s v="-"/>
    <s v="-"/>
    <s v="-"/>
    <s v="-"/>
    <s v="-"/>
    <n v="6"/>
    <n v="6"/>
    <s v="-"/>
    <n v="1"/>
    <n v="1"/>
    <n v="2"/>
    <n v="2"/>
    <n v="8"/>
    <n v="8"/>
  </r>
  <r>
    <x v="5"/>
    <x v="131"/>
    <d v="1902-03-26T00:00:00"/>
    <s v="2ND"/>
    <d v="1899-12-30T14:00:00"/>
    <n v="2"/>
    <x v="16"/>
    <n v="7.9000000000000008E-3"/>
    <s v="P"/>
    <s v="P"/>
    <s v="P"/>
    <s v="+"/>
    <s v="+"/>
    <n v="11.54"/>
    <n v="12.91"/>
    <s v="-"/>
    <s v="-"/>
    <s v="-"/>
    <s v="-"/>
    <n v="36.299999999999997"/>
    <s v="-"/>
    <s v="-"/>
    <s v="P"/>
    <s v="P"/>
    <s v="-"/>
    <n v="2"/>
    <n v="1"/>
    <n v="2"/>
    <n v="0"/>
    <n v="1"/>
    <s v="-"/>
    <s v="-"/>
    <s v="-"/>
    <s v="-"/>
    <n v="2"/>
    <s v="-"/>
    <n v="8"/>
    <n v="9"/>
    <s v="-"/>
    <n v="1"/>
    <n v="1"/>
    <n v="2"/>
    <n v="2"/>
    <n v="10"/>
    <n v="11"/>
  </r>
  <r>
    <x v="5"/>
    <x v="131"/>
    <d v="1899-12-30T00:00:00"/>
    <s v="2ND"/>
    <d v="1899-12-30T15:00:00"/>
    <n v="2"/>
    <x v="16"/>
    <n v="9.7999999999999997E-3"/>
    <s v="P"/>
    <s v="P"/>
    <s v="P"/>
    <s v="+"/>
    <s v="+"/>
    <n v="10.84"/>
    <s v="-"/>
    <s v="-"/>
    <s v="-"/>
    <s v="-"/>
    <s v="-"/>
    <s v="-"/>
    <s v="-"/>
    <s v="-"/>
    <s v="P"/>
    <s v="P"/>
    <s v="-"/>
    <n v="2"/>
    <n v="1"/>
    <n v="2"/>
    <n v="0"/>
    <s v="-"/>
    <s v="-"/>
    <s v="-"/>
    <s v="-"/>
    <s v="-"/>
    <s v="-"/>
    <s v="-"/>
    <n v="5"/>
    <n v="6"/>
    <s v="-"/>
    <n v="1"/>
    <n v="1"/>
    <n v="2"/>
    <n v="2"/>
    <n v="7"/>
    <n v="8"/>
  </r>
  <r>
    <x v="5"/>
    <x v="131"/>
    <d v="1899-12-30T00:00:00"/>
    <s v="2ND"/>
    <d v="1899-12-30T16:00:00"/>
    <n v="2"/>
    <x v="16"/>
    <n v="5.5999999999999999E-3"/>
    <s v="P"/>
    <s v="P"/>
    <s v="P"/>
    <s v="+"/>
    <s v="+"/>
    <n v="11.56"/>
    <s v="-"/>
    <s v="-"/>
    <s v="-"/>
    <s v="-"/>
    <s v="-"/>
    <s v="-"/>
    <s v="-"/>
    <s v="-"/>
    <s v="P"/>
    <s v="P"/>
    <s v="-"/>
    <n v="2"/>
    <n v="1"/>
    <n v="2"/>
    <n v="0"/>
    <s v="-"/>
    <s v="-"/>
    <s v="-"/>
    <s v="-"/>
    <s v="-"/>
    <s v="-"/>
    <s v="-"/>
    <n v="5"/>
    <n v="6"/>
    <s v="-"/>
    <n v="1"/>
    <n v="1"/>
    <n v="2"/>
    <n v="2"/>
    <n v="7"/>
    <n v="8"/>
  </r>
  <r>
    <x v="5"/>
    <x v="131"/>
    <d v="1899-12-30T00:00:00"/>
    <s v="2ND"/>
    <d v="1899-12-30T17:00:00"/>
    <n v="2"/>
    <x v="16"/>
    <n v="6.8999999999999999E-3"/>
    <s v="P"/>
    <s v="P"/>
    <s v="P"/>
    <s v="+"/>
    <s v="+"/>
    <n v="11.51"/>
    <s v="-"/>
    <s v="-"/>
    <s v="-"/>
    <s v="-"/>
    <s v="-"/>
    <s v="-"/>
    <s v="-"/>
    <s v="-"/>
    <s v="P"/>
    <s v="P"/>
    <s v="-"/>
    <n v="2"/>
    <n v="1"/>
    <n v="2"/>
    <n v="0"/>
    <s v="-"/>
    <s v="-"/>
    <s v="-"/>
    <s v="-"/>
    <s v="-"/>
    <s v="-"/>
    <s v="-"/>
    <n v="5"/>
    <n v="6"/>
    <s v="-"/>
    <n v="1"/>
    <n v="1"/>
    <n v="2"/>
    <n v="2"/>
    <n v="7"/>
    <n v="8"/>
  </r>
  <r>
    <x v="5"/>
    <x v="131"/>
    <d v="1899-12-30T00:00:00"/>
    <s v="2ND"/>
    <d v="1899-12-30T18:00:00"/>
    <n v="2"/>
    <x v="16"/>
    <n v="1.9199999999999998E-2"/>
    <s v="P"/>
    <s v="P"/>
    <s v="P"/>
    <s v="+"/>
    <s v="+"/>
    <n v="11.64"/>
    <s v="-"/>
    <s v="-"/>
    <s v="-"/>
    <s v="-"/>
    <s v="-"/>
    <s v="-"/>
    <s v="-"/>
    <s v="-"/>
    <s v="P"/>
    <s v="P"/>
    <s v="-"/>
    <n v="2"/>
    <n v="1"/>
    <n v="2"/>
    <n v="0"/>
    <s v="-"/>
    <s v="-"/>
    <s v="-"/>
    <s v="-"/>
    <s v="-"/>
    <s v="-"/>
    <s v="-"/>
    <n v="5"/>
    <n v="6"/>
    <s v="-"/>
    <n v="1"/>
    <n v="1"/>
    <n v="2"/>
    <n v="2"/>
    <n v="7"/>
    <n v="8"/>
  </r>
  <r>
    <x v="5"/>
    <x v="131"/>
    <d v="1899-12-30T00:00:00"/>
    <s v="2ND"/>
    <d v="1899-12-30T19:00:00"/>
    <n v="2"/>
    <x v="16"/>
    <n v="1.67E-2"/>
    <s v="P"/>
    <s v="P"/>
    <s v="P"/>
    <s v="+"/>
    <s v="+"/>
    <n v="11.4"/>
    <s v="-"/>
    <s v="-"/>
    <s v="-"/>
    <s v="-"/>
    <s v="-"/>
    <s v="-"/>
    <s v="-"/>
    <s v="-"/>
    <s v="P"/>
    <s v="P"/>
    <s v="-"/>
    <n v="2"/>
    <n v="1"/>
    <n v="2"/>
    <n v="0"/>
    <s v="-"/>
    <s v="-"/>
    <s v="-"/>
    <s v="-"/>
    <s v="-"/>
    <s v="-"/>
    <s v="-"/>
    <n v="5"/>
    <n v="6"/>
    <s v="-"/>
    <n v="1"/>
    <n v="1"/>
    <n v="2"/>
    <n v="2"/>
    <n v="7"/>
    <n v="8"/>
  </r>
  <r>
    <x v="5"/>
    <x v="131"/>
    <d v="1899-12-30T00:00:00"/>
    <s v="2ND"/>
    <d v="1899-12-30T20:00:00"/>
    <n v="2"/>
    <x v="16"/>
    <n v="1.6500000000000001E-2"/>
    <s v="P"/>
    <s v="P"/>
    <s v="P"/>
    <s v="+"/>
    <s v="+"/>
    <n v="11.71"/>
    <s v="-"/>
    <s v="-"/>
    <s v="-"/>
    <s v="-"/>
    <s v="-"/>
    <s v="-"/>
    <s v="-"/>
    <s v="-"/>
    <s v="P"/>
    <s v="P"/>
    <s v="-"/>
    <n v="2"/>
    <n v="1"/>
    <n v="2"/>
    <n v="0"/>
    <s v="-"/>
    <s v="-"/>
    <s v="-"/>
    <s v="-"/>
    <s v="-"/>
    <s v="-"/>
    <s v="-"/>
    <n v="5"/>
    <n v="6"/>
    <s v="-"/>
    <n v="1"/>
    <n v="1"/>
    <n v="2"/>
    <n v="2"/>
    <n v="7"/>
    <n v="8"/>
  </r>
  <r>
    <x v="5"/>
    <x v="131"/>
    <d v="2026-06-17T00:00:00"/>
    <s v="2ND"/>
    <d v="1899-12-30T15:00:00"/>
    <n v="3"/>
    <x v="10"/>
    <n v="7.1000000000000004E-3"/>
    <s v="P"/>
    <s v="P"/>
    <s v="P"/>
    <s v="+"/>
    <s v="+"/>
    <n v="12.35"/>
    <n v="11.52"/>
    <s v="-"/>
    <s v="-"/>
    <s v="-"/>
    <s v="-"/>
    <n v="31.9"/>
    <s v="-"/>
    <s v="-"/>
    <s v="P"/>
    <s v="P"/>
    <n v="1"/>
    <n v="2"/>
    <n v="1"/>
    <n v="2"/>
    <n v="1"/>
    <n v="1"/>
    <s v="-"/>
    <s v="-"/>
    <s v="-"/>
    <s v="-"/>
    <n v="2"/>
    <s v="-"/>
    <n v="9"/>
    <n v="9"/>
    <s v="-"/>
    <n v="1"/>
    <n v="1"/>
    <n v="2"/>
    <n v="2"/>
    <n v="11"/>
    <n v="11"/>
  </r>
  <r>
    <x v="5"/>
    <x v="131"/>
    <d v="2026-06-17T00:00:00"/>
    <s v="2ND"/>
    <d v="1899-12-30T16:00:00"/>
    <n v="3"/>
    <x v="10"/>
    <n v="5.5999999999999999E-3"/>
    <s v="P"/>
    <s v="P"/>
    <s v="P"/>
    <s v="+"/>
    <s v="+"/>
    <n v="12.25"/>
    <s v="-"/>
    <s v="-"/>
    <s v="-"/>
    <s v="-"/>
    <s v="-"/>
    <s v="-"/>
    <s v="-"/>
    <s v="-"/>
    <s v="P"/>
    <s v="P"/>
    <s v="-"/>
    <n v="2"/>
    <n v="1"/>
    <n v="2"/>
    <n v="1"/>
    <s v="-"/>
    <s v="-"/>
    <s v="-"/>
    <s v="-"/>
    <s v="-"/>
    <s v="-"/>
    <s v="-"/>
    <n v="6"/>
    <n v="6"/>
    <s v="-"/>
    <n v="1"/>
    <n v="1"/>
    <n v="2"/>
    <n v="2"/>
    <n v="8"/>
    <n v="8"/>
  </r>
  <r>
    <x v="5"/>
    <x v="131"/>
    <d v="2026-06-17T00:00:00"/>
    <s v="2ND"/>
    <d v="1899-12-30T17:00:00"/>
    <n v="3"/>
    <x v="10"/>
    <s v="-"/>
    <s v="P"/>
    <s v="P"/>
    <s v="P"/>
    <s v="+"/>
    <s v="+"/>
    <s v="-"/>
    <s v="-"/>
    <s v="-"/>
    <s v="-"/>
    <s v="-"/>
    <s v="-"/>
    <s v="-"/>
    <s v="-"/>
    <s v="-"/>
    <s v="P"/>
    <s v="P"/>
    <s v="-"/>
    <s v="-"/>
    <n v="1"/>
    <n v="2"/>
    <s v="-"/>
    <s v="-"/>
    <s v="-"/>
    <s v="-"/>
    <s v="-"/>
    <s v="-"/>
    <s v="-"/>
    <s v="-"/>
    <n v="3"/>
    <n v="3"/>
    <s v="-"/>
    <n v="1"/>
    <n v="1"/>
    <n v="2"/>
    <n v="2"/>
    <n v="5"/>
    <n v="5"/>
  </r>
  <r>
    <x v="5"/>
    <x v="131"/>
    <d v="2026-06-17T00:00:00"/>
    <s v="2ND"/>
    <d v="1899-12-30T18:00:00"/>
    <n v="3"/>
    <x v="10"/>
    <n v="9.1000000000000004E-3"/>
    <s v="P"/>
    <s v="P"/>
    <s v="P"/>
    <s v="+"/>
    <s v="+"/>
    <n v="11.79"/>
    <s v="-"/>
    <s v="-"/>
    <s v="-"/>
    <s v="-"/>
    <s v="-"/>
    <s v="-"/>
    <s v="-"/>
    <s v="-"/>
    <s v="P"/>
    <s v="P"/>
    <s v="-"/>
    <n v="2"/>
    <n v="1"/>
    <n v="2"/>
    <n v="0"/>
    <s v="-"/>
    <s v="-"/>
    <s v="-"/>
    <s v="-"/>
    <s v="-"/>
    <s v="-"/>
    <s v="-"/>
    <n v="5"/>
    <n v="6"/>
    <s v="-"/>
    <n v="1"/>
    <n v="1"/>
    <n v="2"/>
    <n v="2"/>
    <n v="7"/>
    <n v="8"/>
  </r>
  <r>
    <x v="5"/>
    <x v="131"/>
    <d v="2026-06-15T00:00:00"/>
    <s v="2ND"/>
    <d v="1899-12-30T14:00:00"/>
    <s v="Retail"/>
    <x v="19"/>
    <s v="-"/>
    <s v="-"/>
    <s v="P"/>
    <s v="P"/>
    <s v="-"/>
    <s v="-"/>
    <n v="11.82"/>
    <n v="15.39"/>
    <n v="1.33"/>
    <n v="73.7"/>
    <s v="-"/>
    <s v="-"/>
    <n v="44"/>
    <s v="-"/>
    <s v="-"/>
    <s v="P"/>
    <s v="P"/>
    <s v="-"/>
    <s v="-"/>
    <s v="-"/>
    <n v="2"/>
    <n v="0"/>
    <n v="1"/>
    <n v="0"/>
    <n v="2"/>
    <s v="-"/>
    <s v="-"/>
    <n v="2"/>
    <s v="-"/>
    <n v="7"/>
    <n v="10"/>
    <s v="-"/>
    <n v="1"/>
    <n v="1"/>
    <n v="2"/>
    <n v="2"/>
    <n v="9"/>
    <n v="12"/>
  </r>
  <r>
    <x v="5"/>
    <x v="131"/>
    <d v="2026-06-15T00:00:00"/>
    <s v="2ND"/>
    <d v="1899-12-30T15:00:00"/>
    <s v="Retail"/>
    <x v="19"/>
    <s v="-"/>
    <s v="-"/>
    <s v="P"/>
    <s v="P"/>
    <s v="-"/>
    <s v="-"/>
    <n v="11.75"/>
    <s v="-"/>
    <s v="-"/>
    <s v="-"/>
    <s v="-"/>
    <s v="-"/>
    <s v="-"/>
    <s v="-"/>
    <s v="-"/>
    <s v="P"/>
    <s v="P"/>
    <s v="-"/>
    <s v="-"/>
    <s v="-"/>
    <n v="2"/>
    <n v="0"/>
    <s v="-"/>
    <s v="-"/>
    <s v="-"/>
    <s v="-"/>
    <s v="-"/>
    <s v="-"/>
    <s v="-"/>
    <n v="2"/>
    <n v="3"/>
    <s v="-"/>
    <n v="1"/>
    <n v="1"/>
    <n v="2"/>
    <n v="2"/>
    <n v="4"/>
    <n v="5"/>
  </r>
  <r>
    <x v="5"/>
    <x v="131"/>
    <s v="-"/>
    <s v="3RD"/>
    <d v="1899-12-30T22:00:00"/>
    <n v="1"/>
    <x v="5"/>
    <n v="9.4999999999999998E-3"/>
    <s v="P"/>
    <s v="P"/>
    <s v="P"/>
    <s v="-"/>
    <s v="+"/>
    <n v="11.42"/>
    <n v="8.81"/>
    <n v="0.56000000000000005"/>
    <s v="-"/>
    <s v="-"/>
    <s v="-"/>
    <n v="23.8"/>
    <s v="-"/>
    <s v="-"/>
    <s v="P"/>
    <s v="P"/>
    <n v="1"/>
    <n v="2"/>
    <n v="1"/>
    <n v="2"/>
    <n v="1"/>
    <n v="1"/>
    <n v="0"/>
    <s v="-"/>
    <s v="-"/>
    <s v="-"/>
    <n v="2"/>
    <s v="-"/>
    <n v="9"/>
    <n v="11"/>
    <s v="-"/>
    <n v="1"/>
    <n v="1"/>
    <n v="2"/>
    <n v="2"/>
    <n v="11"/>
    <n v="13"/>
  </r>
  <r>
    <x v="5"/>
    <x v="131"/>
    <d v="2026-06-16T00:00:00"/>
    <s v="3RD"/>
    <d v="1899-12-30T23:00:00"/>
    <n v="1"/>
    <x v="5"/>
    <n v="4.7999999999999996E-3"/>
    <s v="P"/>
    <s v="P"/>
    <s v="P"/>
    <s v="-"/>
    <s v="+"/>
    <n v="11.36"/>
    <s v="-"/>
    <s v="-"/>
    <s v="-"/>
    <s v="-"/>
    <s v="-"/>
    <s v="-"/>
    <s v="-"/>
    <s v="-"/>
    <s v="P"/>
    <s v="P"/>
    <s v="-"/>
    <n v="2"/>
    <n v="1"/>
    <n v="2"/>
    <n v="1"/>
    <s v="-"/>
    <s v="-"/>
    <s v="-"/>
    <s v="-"/>
    <s v="-"/>
    <s v="-"/>
    <s v="-"/>
    <n v="6"/>
    <n v="6"/>
    <s v="-"/>
    <n v="1"/>
    <n v="1"/>
    <n v="2"/>
    <n v="2"/>
    <n v="8"/>
    <n v="8"/>
  </r>
  <r>
    <x v="5"/>
    <x v="131"/>
    <d v="2026-06-16T00:00:00"/>
    <s v="3RD"/>
    <d v="1899-12-31T00:00:00"/>
    <n v="1"/>
    <x v="5"/>
    <n v="6.7000000000000002E-3"/>
    <s v="P"/>
    <s v="P"/>
    <s v="P"/>
    <s v="-"/>
    <s v="+"/>
    <n v="11.26"/>
    <s v="-"/>
    <s v="-"/>
    <s v="-"/>
    <s v="-"/>
    <s v="-"/>
    <s v="-"/>
    <s v="-"/>
    <s v="-"/>
    <s v="P"/>
    <s v="P"/>
    <s v="-"/>
    <n v="2"/>
    <n v="1"/>
    <n v="2"/>
    <n v="1"/>
    <s v="-"/>
    <s v="-"/>
    <s v="-"/>
    <s v="-"/>
    <s v="-"/>
    <s v="-"/>
    <s v="-"/>
    <n v="6"/>
    <n v="6"/>
    <s v="-"/>
    <n v="1"/>
    <n v="1"/>
    <n v="2"/>
    <n v="2"/>
    <n v="8"/>
    <n v="8"/>
  </r>
  <r>
    <x v="5"/>
    <x v="131"/>
    <d v="2026-06-16T00:00:00"/>
    <s v="3RD"/>
    <d v="1899-12-31T01:00:00"/>
    <n v="1"/>
    <x v="5"/>
    <n v="3.8E-3"/>
    <s v="P"/>
    <s v="P"/>
    <s v="P"/>
    <s v="-"/>
    <s v="+"/>
    <n v="11.28"/>
    <s v="-"/>
    <s v="-"/>
    <s v="-"/>
    <s v="-"/>
    <s v="-"/>
    <s v="-"/>
    <s v="-"/>
    <s v="-"/>
    <s v="P"/>
    <s v="P"/>
    <s v="-"/>
    <n v="2"/>
    <n v="1"/>
    <n v="2"/>
    <n v="1"/>
    <s v="-"/>
    <s v="-"/>
    <s v="-"/>
    <s v="-"/>
    <s v="-"/>
    <s v="-"/>
    <s v="-"/>
    <n v="6"/>
    <n v="6"/>
    <s v="-"/>
    <n v="1"/>
    <n v="1"/>
    <n v="2"/>
    <n v="2"/>
    <n v="8"/>
    <n v="8"/>
  </r>
  <r>
    <x v="5"/>
    <x v="131"/>
    <d v="2026-06-18T00:00:00"/>
    <s v="3RD"/>
    <d v="1899-12-30T23:00:00"/>
    <n v="3"/>
    <x v="35"/>
    <n v="1.2999999999999999E-2"/>
    <s v="P"/>
    <s v="P"/>
    <s v="P"/>
    <s v="-"/>
    <s v="+"/>
    <n v="12.38"/>
    <n v="12.77"/>
    <n v="0.42"/>
    <n v="65.2"/>
    <n v="21.3"/>
    <n v="662"/>
    <n v="35.799999999999997"/>
    <s v="-"/>
    <s v="-"/>
    <s v="P"/>
    <s v="P"/>
    <n v="1"/>
    <n v="2"/>
    <n v="1"/>
    <n v="2"/>
    <n v="0"/>
    <n v="1"/>
    <n v="0"/>
    <n v="2"/>
    <n v="0"/>
    <n v="0"/>
    <n v="2"/>
    <s v="-"/>
    <n v="10"/>
    <n v="15"/>
    <s v="-"/>
    <n v="1"/>
    <n v="1"/>
    <n v="2"/>
    <n v="2"/>
    <n v="12"/>
    <n v="17"/>
  </r>
  <r>
    <x v="5"/>
    <x v="131"/>
    <d v="2026-06-18T00:00:00"/>
    <s v="3RD"/>
    <d v="1899-12-31T01:00:00"/>
    <n v="3"/>
    <x v="35"/>
    <n v="1.5699999999999999E-2"/>
    <s v="P"/>
    <s v="P"/>
    <s v="P"/>
    <s v="-"/>
    <s v="+"/>
    <s v="-"/>
    <s v="-"/>
    <s v="-"/>
    <s v="-"/>
    <s v="-"/>
    <s v="-"/>
    <s v="-"/>
    <s v="-"/>
    <s v="-"/>
    <s v="P"/>
    <s v="P"/>
    <s v="-"/>
    <n v="2"/>
    <n v="1"/>
    <n v="2"/>
    <s v="-"/>
    <s v="-"/>
    <s v="-"/>
    <s v="-"/>
    <s v="-"/>
    <s v="-"/>
    <s v="-"/>
    <s v="-"/>
    <n v="5"/>
    <n v="5"/>
    <s v="-"/>
    <n v="1"/>
    <n v="1"/>
    <n v="2"/>
    <n v="2"/>
    <n v="7"/>
    <n v="7"/>
  </r>
  <r>
    <x v="5"/>
    <x v="131"/>
    <d v="2026-06-18T00:00:00"/>
    <s v="3RD"/>
    <d v="1899-12-31T02:00:00"/>
    <n v="3"/>
    <x v="35"/>
    <n v="1.66E-2"/>
    <s v="P"/>
    <s v="P"/>
    <s v="P"/>
    <s v="-"/>
    <s v="+"/>
    <n v="12.49"/>
    <s v="-"/>
    <s v="-"/>
    <s v="-"/>
    <s v="-"/>
    <s v="-"/>
    <s v="-"/>
    <s v="-"/>
    <s v="-"/>
    <s v="P"/>
    <s v="P"/>
    <s v="-"/>
    <n v="2"/>
    <n v="1"/>
    <n v="2"/>
    <n v="0"/>
    <s v="-"/>
    <s v="-"/>
    <s v="-"/>
    <s v="-"/>
    <s v="-"/>
    <s v="-"/>
    <s v="-"/>
    <n v="5"/>
    <n v="6"/>
    <s v="-"/>
    <n v="1"/>
    <n v="1"/>
    <n v="2"/>
    <n v="2"/>
    <n v="7"/>
    <n v="8"/>
  </r>
  <r>
    <x v="5"/>
    <x v="131"/>
    <d v="2026-06-18T00:00:00"/>
    <s v="3RD"/>
    <d v="1899-12-31T04:00:00"/>
    <n v="3"/>
    <x v="35"/>
    <n v="1.5699999999999999E-2"/>
    <s v="P"/>
    <s v="P"/>
    <s v="P"/>
    <s v="-"/>
    <s v="+"/>
    <n v="12.34"/>
    <s v="-"/>
    <s v="-"/>
    <s v="-"/>
    <s v="-"/>
    <s v="-"/>
    <s v="-"/>
    <s v="-"/>
    <s v="-"/>
    <s v="P"/>
    <s v="P"/>
    <s v="-"/>
    <n v="2"/>
    <n v="1"/>
    <n v="2"/>
    <n v="0"/>
    <s v="-"/>
    <s v="-"/>
    <s v="-"/>
    <s v="-"/>
    <s v="-"/>
    <s v="-"/>
    <s v="-"/>
    <n v="5"/>
    <n v="6"/>
    <s v="-"/>
    <n v="1"/>
    <n v="1"/>
    <n v="2"/>
    <n v="2"/>
    <n v="7"/>
    <n v="8"/>
  </r>
  <r>
    <x v="5"/>
    <x v="132"/>
    <s v="-"/>
    <s v="1ST"/>
    <s v="06:00"/>
    <n v="1"/>
    <x v="4"/>
    <n v="8.0000000000000004E-4"/>
    <s v="P"/>
    <s v="P"/>
    <s v="P"/>
    <s v="-"/>
    <s v="+"/>
    <n v="11.09"/>
    <n v="8.64"/>
    <s v="-"/>
    <n v="57.1"/>
    <s v="-"/>
    <s v="-"/>
    <n v="23.4"/>
    <s v="-"/>
    <s v="-"/>
    <s v="P"/>
    <s v="P"/>
    <n v="1"/>
    <n v="2"/>
    <n v="1"/>
    <n v="2"/>
    <n v="1"/>
    <n v="1"/>
    <s v="-"/>
    <n v="2"/>
    <s v="-"/>
    <s v="-"/>
    <n v="2"/>
    <s v="-"/>
    <n v="11"/>
    <n v="11"/>
    <s v="-"/>
    <n v="1"/>
    <n v="1"/>
    <n v="2"/>
    <n v="2"/>
    <n v="13"/>
    <n v="13"/>
  </r>
  <r>
    <x v="5"/>
    <x v="132"/>
    <d v="2026-06-16T00:00:00"/>
    <s v="1ST"/>
    <s v="07:00"/>
    <n v="1"/>
    <x v="2"/>
    <n v="1.0999999999999999E-2"/>
    <s v="P"/>
    <s v="P"/>
    <s v="P"/>
    <s v="-"/>
    <s v="+"/>
    <n v="10.39"/>
    <s v="-"/>
    <s v="-"/>
    <s v="-"/>
    <s v="-"/>
    <s v="-"/>
    <s v="-"/>
    <s v="-"/>
    <s v="-"/>
    <s v="P"/>
    <s v="P"/>
    <s v="80% 20%"/>
    <n v="2"/>
    <n v="1"/>
    <n v="2"/>
    <n v="0"/>
    <s v="-"/>
    <s v="-"/>
    <s v="-"/>
    <s v="-"/>
    <s v="-"/>
    <s v="-"/>
    <s v="-"/>
    <n v="5"/>
    <n v="6"/>
    <s v="-"/>
    <n v="1"/>
    <n v="1"/>
    <n v="2"/>
    <n v="2"/>
    <n v="7"/>
    <n v="8"/>
  </r>
  <r>
    <x v="5"/>
    <x v="132"/>
    <d v="2026-06-16T00:00:00"/>
    <s v="1ST"/>
    <s v="08:00"/>
    <n v="1"/>
    <x v="2"/>
    <n v="4.1999999999999997E-3"/>
    <s v="P"/>
    <s v="P"/>
    <s v="P"/>
    <s v="-"/>
    <s v="+"/>
    <n v="10.82"/>
    <n v="8.85"/>
    <n v="0.56999999999999995"/>
    <n v="58.3"/>
    <s v="-"/>
    <s v="-"/>
    <n v="24.1"/>
    <s v="-"/>
    <s v="-"/>
    <s v="P"/>
    <s v="P"/>
    <s v="-"/>
    <n v="2"/>
    <n v="1"/>
    <n v="2"/>
    <n v="0"/>
    <n v="0"/>
    <n v="2"/>
    <n v="0"/>
    <s v="-"/>
    <s v="-"/>
    <n v="0"/>
    <s v="-"/>
    <n v="7"/>
    <n v="13"/>
    <s v="-"/>
    <n v="1"/>
    <n v="1"/>
    <n v="2"/>
    <n v="2"/>
    <n v="9"/>
    <n v="15"/>
  </r>
  <r>
    <x v="5"/>
    <x v="132"/>
    <d v="2026-06-16T00:00:00"/>
    <s v="1ST"/>
    <s v="09:00"/>
    <n v="1"/>
    <x v="2"/>
    <n v="3.5999999999999999E-3"/>
    <s v="P"/>
    <s v="P"/>
    <s v="P"/>
    <s v="-"/>
    <s v="+"/>
    <n v="10.84"/>
    <s v="-"/>
    <s v="-"/>
    <s v="-"/>
    <s v="-"/>
    <s v="-"/>
    <s v="-"/>
    <s v="-"/>
    <s v="-"/>
    <s v="P"/>
    <s v="P"/>
    <s v="-"/>
    <n v="2"/>
    <n v="1"/>
    <n v="2"/>
    <n v="0"/>
    <s v="-"/>
    <s v="-"/>
    <s v="-"/>
    <s v="-"/>
    <s v="-"/>
    <s v="-"/>
    <s v="-"/>
    <n v="5"/>
    <n v="6"/>
    <s v="-"/>
    <n v="1"/>
    <n v="1"/>
    <n v="2"/>
    <n v="2"/>
    <n v="7"/>
    <n v="8"/>
  </r>
  <r>
    <x v="5"/>
    <x v="132"/>
    <d v="2026-06-19T00:00:00"/>
    <s v="1ST"/>
    <s v="06:00"/>
    <n v="3"/>
    <x v="16"/>
    <n v="1.34E-2"/>
    <s v="P"/>
    <s v="P"/>
    <s v="P"/>
    <s v="+"/>
    <s v="+"/>
    <n v="12.49"/>
    <n v="12.54"/>
    <n v="0.52"/>
    <n v="64.8"/>
    <s v="-"/>
    <s v="-"/>
    <n v="35.1"/>
    <s v="-"/>
    <s v="-"/>
    <s v="P"/>
    <s v="P"/>
    <n v="1"/>
    <n v="2"/>
    <n v="1"/>
    <n v="2"/>
    <n v="1"/>
    <n v="1"/>
    <n v="2"/>
    <n v="2"/>
    <s v="-"/>
    <s v="-"/>
    <n v="2"/>
    <s v="-"/>
    <n v="13"/>
    <n v="13"/>
    <s v="-"/>
    <n v="1"/>
    <n v="1"/>
    <n v="2"/>
    <n v="2"/>
    <n v="15"/>
    <n v="15"/>
  </r>
  <r>
    <x v="5"/>
    <x v="132"/>
    <d v="2026-06-19T00:00:00"/>
    <s v="1ST"/>
    <s v="07:00"/>
    <n v="3"/>
    <x v="16"/>
    <n v="1.2200000000000001E-2"/>
    <s v="P"/>
    <s v="P"/>
    <s v="P"/>
    <s v="+"/>
    <s v="+"/>
    <n v="12.62"/>
    <s v="-"/>
    <s v="-"/>
    <s v="-"/>
    <s v="-"/>
    <s v="-"/>
    <s v="-"/>
    <s v="-"/>
    <s v="-"/>
    <s v="P"/>
    <s v="P"/>
    <s v="-"/>
    <n v="2"/>
    <n v="1"/>
    <n v="2"/>
    <n v="1"/>
    <s v="-"/>
    <s v="-"/>
    <s v="-"/>
    <s v="-"/>
    <s v="-"/>
    <s v="-"/>
    <s v="-"/>
    <n v="6"/>
    <n v="6"/>
    <s v="-"/>
    <n v="1"/>
    <n v="1"/>
    <n v="2"/>
    <n v="2"/>
    <n v="8"/>
    <n v="8"/>
  </r>
  <r>
    <x v="5"/>
    <x v="132"/>
    <d v="2026-06-19T00:00:00"/>
    <s v="1ST"/>
    <s v="08:00"/>
    <n v="3"/>
    <x v="16"/>
    <n v="9.9000000000000008E-3"/>
    <s v="P"/>
    <s v="P"/>
    <s v="P"/>
    <s v="+"/>
    <s v="+"/>
    <n v="12.48"/>
    <s v="-"/>
    <s v="-"/>
    <s v="-"/>
    <s v="-"/>
    <s v="-"/>
    <s v="-"/>
    <s v="-"/>
    <s v="-"/>
    <s v="P"/>
    <s v="P"/>
    <s v="-"/>
    <n v="2"/>
    <n v="1"/>
    <n v="2"/>
    <n v="1"/>
    <s v="-"/>
    <s v="-"/>
    <s v="-"/>
    <s v="-"/>
    <s v="-"/>
    <s v="-"/>
    <s v="-"/>
    <n v="6"/>
    <n v="6"/>
    <s v="-"/>
    <n v="1"/>
    <n v="1"/>
    <n v="2"/>
    <n v="2"/>
    <n v="8"/>
    <n v="8"/>
  </r>
  <r>
    <x v="5"/>
    <x v="132"/>
    <d v="2026-06-19T00:00:00"/>
    <s v="1ST"/>
    <s v="09:00"/>
    <n v="3"/>
    <x v="16"/>
    <s v="-"/>
    <s v="P"/>
    <s v="P"/>
    <s v="P"/>
    <s v="+"/>
    <s v="+"/>
    <s v="-"/>
    <s v="-"/>
    <s v="-"/>
    <s v="-"/>
    <s v="-"/>
    <s v="-"/>
    <s v="-"/>
    <s v="-"/>
    <s v="-"/>
    <s v="P"/>
    <s v="P"/>
    <s v="-"/>
    <s v="-"/>
    <n v="1"/>
    <n v="2"/>
    <s v="-"/>
    <s v="-"/>
    <s v="-"/>
    <s v="-"/>
    <s v="-"/>
    <s v="-"/>
    <s v="-"/>
    <s v="-"/>
    <n v="3"/>
    <n v="3"/>
    <s v="-"/>
    <n v="1"/>
    <n v="1"/>
    <n v="2"/>
    <n v="2"/>
    <n v="5"/>
    <n v="5"/>
  </r>
  <r>
    <x v="5"/>
    <x v="132"/>
    <d v="2026-06-19T00:00:00"/>
    <s v="1ST"/>
    <s v="10:00"/>
    <n v="3"/>
    <x v="16"/>
    <n v="1.54E-2"/>
    <s v="P"/>
    <s v="P"/>
    <s v="P"/>
    <s v="+"/>
    <s v="+"/>
    <n v="11.88"/>
    <s v="-"/>
    <s v="-"/>
    <s v="-"/>
    <s v="-"/>
    <s v="-"/>
    <s v="-"/>
    <s v="-"/>
    <s v="-"/>
    <s v="P"/>
    <s v="P"/>
    <s v="-"/>
    <n v="2"/>
    <n v="1"/>
    <n v="2"/>
    <n v="0"/>
    <s v="-"/>
    <s v="-"/>
    <s v="-"/>
    <s v="-"/>
    <s v="-"/>
    <s v="-"/>
    <s v="-"/>
    <n v="5"/>
    <n v="6"/>
    <s v="-"/>
    <n v="1"/>
    <n v="1"/>
    <n v="2"/>
    <n v="2"/>
    <n v="7"/>
    <n v="8"/>
  </r>
  <r>
    <x v="5"/>
    <x v="132"/>
    <d v="2026-06-19T00:00:00"/>
    <s v="1ST"/>
    <s v="13:00"/>
    <n v="3"/>
    <x v="16"/>
    <n v="1.9800000000000002E-2"/>
    <s v="P"/>
    <s v="P"/>
    <s v="P"/>
    <s v="+"/>
    <s v="+"/>
    <n v="12.42"/>
    <s v="-"/>
    <s v="-"/>
    <s v="-"/>
    <s v="-"/>
    <s v="-"/>
    <s v="-"/>
    <s v="-"/>
    <s v="-"/>
    <s v="P"/>
    <s v="P"/>
    <s v="-"/>
    <n v="2"/>
    <n v="1"/>
    <n v="2"/>
    <n v="1"/>
    <s v="-"/>
    <s v="-"/>
    <s v="-"/>
    <s v="-"/>
    <s v="-"/>
    <s v="-"/>
    <s v="-"/>
    <n v="6"/>
    <n v="6"/>
    <s v="-"/>
    <n v="1"/>
    <n v="1"/>
    <n v="2"/>
    <n v="2"/>
    <n v="8"/>
    <n v="8"/>
  </r>
  <r>
    <x v="5"/>
    <x v="132"/>
    <s v="-"/>
    <s v="2ND"/>
    <d v="1899-12-30T14:00:00"/>
    <n v="1"/>
    <x v="47"/>
    <n v="1.4999999999999999E-2"/>
    <s v="P"/>
    <s v="P"/>
    <s v="P"/>
    <s v="-"/>
    <s v="+"/>
    <n v="10.56"/>
    <n v="9.69"/>
    <s v="-"/>
    <s v="-"/>
    <s v="-"/>
    <s v="-"/>
    <n v="26.5"/>
    <s v="-"/>
    <s v="-"/>
    <s v="P"/>
    <s v="P"/>
    <s v="80% 20%"/>
    <n v="2"/>
    <n v="1"/>
    <n v="2"/>
    <n v="0"/>
    <n v="1"/>
    <s v="-"/>
    <s v="-"/>
    <s v="-"/>
    <s v="-"/>
    <n v="0"/>
    <s v="-"/>
    <n v="6"/>
    <n v="9"/>
    <s v="-"/>
    <n v="1"/>
    <n v="1"/>
    <n v="2"/>
    <n v="2"/>
    <n v="8"/>
    <n v="11"/>
  </r>
  <r>
    <x v="5"/>
    <x v="132"/>
    <d v="2026-06-19T00:00:00"/>
    <s v="2ND"/>
    <d v="1899-12-30T14:00:00"/>
    <n v="3"/>
    <x v="16"/>
    <n v="1.7399999999999999E-2"/>
    <s v="P"/>
    <s v="P"/>
    <s v="P"/>
    <s v="+"/>
    <s v="+"/>
    <n v="12.51"/>
    <n v="12.52"/>
    <s v="-"/>
    <s v="-"/>
    <s v="-"/>
    <s v="-"/>
    <n v="35.1"/>
    <s v="-"/>
    <s v="-"/>
    <s v="P"/>
    <s v="P"/>
    <n v="1"/>
    <n v="2"/>
    <n v="1"/>
    <n v="2"/>
    <n v="1"/>
    <n v="1"/>
    <s v="-"/>
    <s v="-"/>
    <s v="-"/>
    <s v="-"/>
    <n v="2"/>
    <s v="-"/>
    <n v="9"/>
    <n v="9"/>
    <s v="-"/>
    <n v="1"/>
    <n v="1"/>
    <n v="2"/>
    <n v="2"/>
    <n v="11"/>
    <n v="11"/>
  </r>
  <r>
    <x v="5"/>
    <x v="132"/>
    <d v="2026-06-19T00:00:00"/>
    <s v="2ND"/>
    <d v="1899-12-30T15:00:00"/>
    <n v="3"/>
    <x v="16"/>
    <n v="1.95E-2"/>
    <s v="P"/>
    <s v="P"/>
    <s v="P"/>
    <s v="+"/>
    <s v="+"/>
    <n v="12.48"/>
    <s v="-"/>
    <s v="-"/>
    <s v="-"/>
    <s v="-"/>
    <s v="-"/>
    <s v="-"/>
    <s v="-"/>
    <s v="-"/>
    <s v="P"/>
    <s v="P"/>
    <s v="-"/>
    <n v="2"/>
    <n v="1"/>
    <n v="2"/>
    <n v="1"/>
    <s v="-"/>
    <s v="-"/>
    <s v="-"/>
    <s v="-"/>
    <s v="-"/>
    <s v="-"/>
    <s v="-"/>
    <n v="6"/>
    <n v="6"/>
    <s v="-"/>
    <n v="1"/>
    <n v="1"/>
    <n v="2"/>
    <n v="2"/>
    <n v="8"/>
    <n v="8"/>
  </r>
  <r>
    <x v="5"/>
    <x v="132"/>
    <d v="2026-06-19T00:00:00"/>
    <s v="2ND"/>
    <d v="1899-12-30T16:00:00"/>
    <n v="3"/>
    <x v="16"/>
    <n v="1.9599999999999999E-2"/>
    <s v="P"/>
    <s v="P"/>
    <s v="P"/>
    <s v="+"/>
    <s v="+"/>
    <n v="11.72"/>
    <s v="-"/>
    <s v="-"/>
    <s v="-"/>
    <s v="-"/>
    <s v="-"/>
    <s v="-"/>
    <s v="-"/>
    <s v="-"/>
    <s v="P"/>
    <s v="P"/>
    <s v="-"/>
    <n v="2"/>
    <n v="1"/>
    <n v="2"/>
    <n v="0"/>
    <s v="-"/>
    <s v="-"/>
    <s v="-"/>
    <s v="-"/>
    <s v="-"/>
    <s v="-"/>
    <s v="-"/>
    <n v="5"/>
    <n v="6"/>
    <s v="-"/>
    <n v="1"/>
    <n v="1"/>
    <n v="2"/>
    <n v="2"/>
    <n v="7"/>
    <n v="8"/>
  </r>
  <r>
    <x v="5"/>
    <x v="132"/>
    <d v="2026-06-19T00:00:00"/>
    <s v="2ND"/>
    <d v="1899-12-30T20:00:00"/>
    <n v="3"/>
    <x v="16"/>
    <n v="1.89E-2"/>
    <s v="P"/>
    <s v="P"/>
    <s v="P"/>
    <s v="+"/>
    <s v="+"/>
    <n v="12.52"/>
    <s v="-"/>
    <s v="-"/>
    <s v="-"/>
    <s v="-"/>
    <s v="-"/>
    <s v="-"/>
    <s v="-"/>
    <s v="-"/>
    <s v="P"/>
    <s v="P"/>
    <s v="-"/>
    <n v="2"/>
    <n v="1"/>
    <n v="2"/>
    <n v="1"/>
    <s v="-"/>
    <s v="-"/>
    <s v="-"/>
    <s v="-"/>
    <s v="-"/>
    <s v="-"/>
    <s v="-"/>
    <n v="6"/>
    <n v="6"/>
    <s v="-"/>
    <n v="1"/>
    <n v="1"/>
    <n v="2"/>
    <n v="2"/>
    <n v="8"/>
    <n v="8"/>
  </r>
  <r>
    <x v="5"/>
    <x v="133"/>
    <d v="2026-06-15T00:00:00"/>
    <s v="1ST"/>
    <s v="13:00"/>
    <n v="1"/>
    <x v="22"/>
    <n v="1.0699999999999999E-2"/>
    <s v="P"/>
    <s v="P"/>
    <s v="P"/>
    <s v="-"/>
    <s v="-"/>
    <n v="12.17"/>
    <s v="-"/>
    <s v="-"/>
    <s v="-"/>
    <s v="-"/>
    <s v="-"/>
    <s v="-"/>
    <s v="-"/>
    <s v="-"/>
    <s v="-"/>
    <s v="-"/>
    <n v="1"/>
    <n v="2"/>
    <n v="1"/>
    <n v="2"/>
    <n v="1"/>
    <s v="-"/>
    <s v="-"/>
    <s v="-"/>
    <s v="-"/>
    <s v="-"/>
    <s v="-"/>
    <s v="-"/>
    <n v="6"/>
    <n v="6"/>
    <s v="-"/>
    <s v="-"/>
    <s v="-"/>
    <n v="0"/>
    <n v="0"/>
    <n v="6"/>
    <n v="6"/>
  </r>
  <r>
    <x v="5"/>
    <x v="133"/>
    <d v="2026-06-18T00:00:00"/>
    <s v="1ST"/>
    <s v="08:00"/>
    <n v="3"/>
    <x v="11"/>
    <n v="1.0999999999999999E-2"/>
    <s v="P"/>
    <s v="P"/>
    <s v="P"/>
    <s v="+"/>
    <s v="+"/>
    <n v="12.13"/>
    <n v="13.01"/>
    <n v="0.59"/>
    <s v="-"/>
    <s v="-"/>
    <s v="-"/>
    <n v="36.4"/>
    <s v="-"/>
    <n v="25.16"/>
    <s v="P"/>
    <s v="P"/>
    <n v="1"/>
    <n v="2"/>
    <n v="1"/>
    <n v="2"/>
    <n v="1"/>
    <n v="1"/>
    <n v="2"/>
    <s v="-"/>
    <s v="-"/>
    <s v="-"/>
    <n v="2"/>
    <s v="-"/>
    <n v="11"/>
    <n v="11"/>
    <n v="1"/>
    <n v="1"/>
    <n v="1"/>
    <n v="3"/>
    <n v="3"/>
    <n v="14"/>
    <n v="14"/>
  </r>
  <r>
    <x v="5"/>
    <x v="133"/>
    <d v="2026-06-18T00:00:00"/>
    <s v="1ST"/>
    <s v="09:00"/>
    <n v="3"/>
    <x v="11"/>
    <n v="3.15E-2"/>
    <s v="P"/>
    <s v="P"/>
    <s v="P"/>
    <s v="+"/>
    <s v="+"/>
    <n v="12.61"/>
    <s v="-"/>
    <s v="-"/>
    <s v="-"/>
    <s v="-"/>
    <s v="-"/>
    <s v="-"/>
    <s v="-"/>
    <s v="-"/>
    <s v="P"/>
    <s v="P"/>
    <s v="-"/>
    <n v="0"/>
    <n v="1"/>
    <n v="2"/>
    <n v="1"/>
    <s v="-"/>
    <s v="-"/>
    <s v="-"/>
    <s v="-"/>
    <s v="-"/>
    <s v="-"/>
    <s v="-"/>
    <n v="4"/>
    <n v="6"/>
    <s v="-"/>
    <n v="1"/>
    <n v="1"/>
    <n v="2"/>
    <n v="2"/>
    <n v="6"/>
    <n v="8"/>
  </r>
  <r>
    <x v="5"/>
    <x v="133"/>
    <d v="2026-06-19T00:00:00"/>
    <s v="1ST"/>
    <s v="12:00"/>
    <n v="3"/>
    <x v="16"/>
    <n v="3.15E-2"/>
    <s v="P"/>
    <s v="P"/>
    <s v="P"/>
    <s v="+"/>
    <s v="+"/>
    <n v="11.4"/>
    <s v="-"/>
    <s v="-"/>
    <s v="-"/>
    <s v="-"/>
    <s v="-"/>
    <s v="-"/>
    <s v="-"/>
    <s v="-"/>
    <s v="P"/>
    <s v="P"/>
    <n v="1"/>
    <n v="0"/>
    <n v="1"/>
    <n v="2"/>
    <n v="0"/>
    <s v="-"/>
    <s v="-"/>
    <s v="-"/>
    <s v="-"/>
    <s v="-"/>
    <s v="-"/>
    <s v="-"/>
    <n v="3"/>
    <n v="6"/>
    <s v="-"/>
    <n v="1"/>
    <n v="1"/>
    <n v="2"/>
    <n v="2"/>
    <n v="5"/>
    <n v="8"/>
  </r>
  <r>
    <x v="5"/>
    <x v="133"/>
    <d v="2026-06-19T00:00:00"/>
    <s v="1ST"/>
    <s v="13:00"/>
    <n v="3"/>
    <x v="16"/>
    <n v="1.7100000000000001E-2"/>
    <s v="P"/>
    <s v="P"/>
    <s v="P"/>
    <s v="+"/>
    <s v="+"/>
    <n v="11.82"/>
    <s v="-"/>
    <s v="-"/>
    <s v="-"/>
    <s v="-"/>
    <s v="-"/>
    <s v="-"/>
    <s v="-"/>
    <s v="-"/>
    <s v="P"/>
    <s v="P"/>
    <s v="-"/>
    <n v="2"/>
    <n v="1"/>
    <n v="2"/>
    <n v="0"/>
    <s v="-"/>
    <s v="-"/>
    <s v="-"/>
    <s v="-"/>
    <s v="-"/>
    <s v="-"/>
    <s v="-"/>
    <n v="5"/>
    <n v="6"/>
    <s v="-"/>
    <n v="1"/>
    <n v="1"/>
    <n v="2"/>
    <n v="2"/>
    <n v="7"/>
    <n v="8"/>
  </r>
  <r>
    <x v="5"/>
    <x v="133"/>
    <d v="2026-06-15T00:00:00"/>
    <s v="2ND"/>
    <d v="1899-12-30T14:00:00"/>
    <n v="1"/>
    <x v="22"/>
    <n v="1.2699999999999999E-2"/>
    <s v="P"/>
    <s v="P"/>
    <s v="P"/>
    <s v="-"/>
    <s v="-"/>
    <n v="12.21"/>
    <n v="9.15"/>
    <n v="0.55000000000000004"/>
    <n v="54.5"/>
    <n v="11.2"/>
    <n v="381"/>
    <n v="24.8"/>
    <s v="-"/>
    <s v="-"/>
    <s v="P"/>
    <s v="P"/>
    <n v="1"/>
    <n v="2"/>
    <n v="1"/>
    <n v="2"/>
    <n v="1"/>
    <n v="1"/>
    <n v="2"/>
    <n v="2"/>
    <s v="-"/>
    <s v="-"/>
    <n v="2"/>
    <s v="-"/>
    <n v="13"/>
    <n v="13"/>
    <s v="-"/>
    <n v="1"/>
    <n v="1"/>
    <n v="2"/>
    <n v="2"/>
    <n v="15"/>
    <n v="15"/>
  </r>
  <r>
    <x v="5"/>
    <x v="133"/>
    <d v="2026-06-15T00:00:00"/>
    <s v="2ND"/>
    <d v="1899-12-30T20:00:00"/>
    <n v="1"/>
    <x v="22"/>
    <n v="1.1599999999999999E-2"/>
    <s v="P"/>
    <s v="P"/>
    <s v="P"/>
    <s v="-"/>
    <s v="-"/>
    <n v="11.69"/>
    <s v="-"/>
    <s v="-"/>
    <s v="-"/>
    <s v="-"/>
    <s v="-"/>
    <s v="-"/>
    <s v="-"/>
    <s v="-"/>
    <s v="P"/>
    <s v="P"/>
    <s v="-"/>
    <n v="2"/>
    <n v="1"/>
    <n v="2"/>
    <n v="1"/>
    <s v="-"/>
    <s v="-"/>
    <s v="-"/>
    <s v="-"/>
    <s v="-"/>
    <s v="-"/>
    <s v="-"/>
    <n v="6"/>
    <n v="6"/>
    <s v="-"/>
    <n v="1"/>
    <n v="1"/>
    <n v="2"/>
    <n v="2"/>
    <n v="8"/>
    <n v="8"/>
  </r>
  <r>
    <x v="5"/>
    <x v="133"/>
    <d v="2026-06-15T00:00:00"/>
    <s v="2ND"/>
    <d v="1899-12-30T21:00:00"/>
    <n v="1"/>
    <x v="22"/>
    <s v="-"/>
    <s v="P"/>
    <s v="P"/>
    <s v="P"/>
    <s v="-"/>
    <s v="-"/>
    <s v="-"/>
    <s v="-"/>
    <s v="-"/>
    <s v="-"/>
    <s v="-"/>
    <s v="-"/>
    <s v="-"/>
    <s v="-"/>
    <s v="-"/>
    <s v="P"/>
    <s v="P"/>
    <s v="-"/>
    <s v="-"/>
    <n v="1"/>
    <n v="2"/>
    <s v="-"/>
    <s v="-"/>
    <s v="-"/>
    <s v="-"/>
    <s v="-"/>
    <s v="-"/>
    <s v="-"/>
    <s v="-"/>
    <n v="3"/>
    <n v="3"/>
    <s v="-"/>
    <n v="1"/>
    <n v="1"/>
    <n v="2"/>
    <n v="2"/>
    <n v="5"/>
    <n v="5"/>
  </r>
  <r>
    <x v="5"/>
    <x v="133"/>
    <d v="1902-03-26T00:00:00"/>
    <s v="2ND"/>
    <d v="1899-12-30T14:00:00"/>
    <n v="2"/>
    <x v="5"/>
    <n v="1.7899999999999999E-2"/>
    <s v="P"/>
    <s v="P"/>
    <s v="P"/>
    <s v="-"/>
    <s v="+"/>
    <n v="11.36"/>
    <n v="9.25"/>
    <n v="0.53"/>
    <n v="57.2"/>
    <s v="-"/>
    <s v="-"/>
    <n v="25.2"/>
    <s v="-"/>
    <s v="-"/>
    <s v="P"/>
    <s v="P"/>
    <s v="-"/>
    <n v="2"/>
    <n v="1"/>
    <n v="2"/>
    <n v="1"/>
    <n v="1"/>
    <n v="2"/>
    <n v="2"/>
    <s v="-"/>
    <s v="-"/>
    <n v="2"/>
    <s v="-"/>
    <n v="13"/>
    <n v="13"/>
    <s v="-"/>
    <n v="1"/>
    <n v="1"/>
    <n v="2"/>
    <n v="2"/>
    <n v="15"/>
    <n v="15"/>
  </r>
  <r>
    <x v="5"/>
    <x v="133"/>
    <d v="1899-12-30T00:00:00"/>
    <s v="2ND"/>
    <d v="1899-12-30T15:00:00"/>
    <n v="2"/>
    <x v="5"/>
    <n v="2.0299999999999999E-2"/>
    <s v="P"/>
    <s v="P"/>
    <s v="P"/>
    <s v="-"/>
    <s v="+"/>
    <n v="11.48"/>
    <s v="-"/>
    <s v="-"/>
    <s v="-"/>
    <s v="-"/>
    <s v="-"/>
    <s v="-"/>
    <s v="-"/>
    <s v="-"/>
    <s v="P"/>
    <s v="P"/>
    <s v="-"/>
    <n v="0"/>
    <n v="1"/>
    <n v="2"/>
    <n v="1"/>
    <s v="-"/>
    <s v="-"/>
    <s v="-"/>
    <s v="-"/>
    <s v="-"/>
    <s v="-"/>
    <s v="-"/>
    <n v="4"/>
    <n v="6"/>
    <s v="-"/>
    <n v="1"/>
    <n v="1"/>
    <n v="2"/>
    <n v="2"/>
    <n v="6"/>
    <n v="8"/>
  </r>
  <r>
    <x v="5"/>
    <x v="133"/>
    <d v="1899-12-30T00:00:00"/>
    <s v="2ND"/>
    <d v="1899-12-30T16:00:00"/>
    <n v="2"/>
    <x v="5"/>
    <n v="9.9000000000000008E-3"/>
    <s v="P"/>
    <s v="P"/>
    <s v="P"/>
    <s v="-"/>
    <s v="+"/>
    <n v="11.23"/>
    <s v="-"/>
    <s v="-"/>
    <s v="-"/>
    <s v="-"/>
    <s v="-"/>
    <s v="-"/>
    <s v="-"/>
    <s v="-"/>
    <s v="P"/>
    <s v="P"/>
    <s v="-"/>
    <n v="2"/>
    <n v="1"/>
    <n v="2"/>
    <n v="1"/>
    <s v="-"/>
    <s v="-"/>
    <s v="-"/>
    <s v="-"/>
    <s v="-"/>
    <s v="-"/>
    <s v="-"/>
    <n v="6"/>
    <n v="6"/>
    <s v="-"/>
    <n v="1"/>
    <n v="1"/>
    <n v="2"/>
    <n v="2"/>
    <n v="8"/>
    <n v="8"/>
  </r>
  <r>
    <x v="5"/>
    <x v="133"/>
    <d v="1899-12-30T00:00:00"/>
    <s v="2ND"/>
    <d v="1899-12-30T20:00:00"/>
    <n v="2"/>
    <x v="5"/>
    <n v="7.9000000000000008E-3"/>
    <s v="P"/>
    <s v="P"/>
    <s v="P"/>
    <s v="-"/>
    <s v="+"/>
    <n v="11.12"/>
    <s v="-"/>
    <s v="-"/>
    <s v="-"/>
    <s v="-"/>
    <s v="-"/>
    <s v="-"/>
    <s v="-"/>
    <s v="-"/>
    <s v="P"/>
    <s v="P"/>
    <s v="-"/>
    <n v="2"/>
    <n v="1"/>
    <n v="2"/>
    <n v="1"/>
    <s v="-"/>
    <s v="-"/>
    <s v="-"/>
    <s v="-"/>
    <s v="-"/>
    <s v="-"/>
    <s v="-"/>
    <n v="6"/>
    <n v="6"/>
    <s v="-"/>
    <n v="1"/>
    <n v="1"/>
    <n v="2"/>
    <n v="2"/>
    <n v="8"/>
    <n v="8"/>
  </r>
  <r>
    <x v="5"/>
    <x v="133"/>
    <d v="1899-12-30T00:00:00"/>
    <s v="2ND"/>
    <d v="1899-12-30T21:00:00"/>
    <n v="2"/>
    <x v="5"/>
    <n v="6.7000000000000002E-3"/>
    <s v="P"/>
    <s v="P"/>
    <s v="P"/>
    <s v="-"/>
    <s v="+"/>
    <n v="11.2"/>
    <s v="-"/>
    <s v="-"/>
    <s v="-"/>
    <s v="-"/>
    <s v="-"/>
    <s v="-"/>
    <s v="-"/>
    <s v="-"/>
    <s v="P"/>
    <s v="P"/>
    <s v="-"/>
    <n v="2"/>
    <n v="1"/>
    <n v="2"/>
    <n v="1"/>
    <s v="-"/>
    <s v="-"/>
    <s v="-"/>
    <s v="-"/>
    <s v="-"/>
    <s v="-"/>
    <s v="-"/>
    <n v="6"/>
    <n v="6"/>
    <s v="-"/>
    <n v="1"/>
    <n v="1"/>
    <n v="2"/>
    <n v="2"/>
    <n v="8"/>
    <n v="8"/>
  </r>
  <r>
    <x v="5"/>
    <x v="133"/>
    <d v="2026-06-19T00:00:00"/>
    <s v="2ND"/>
    <d v="1899-12-30T14:00:00"/>
    <n v="3"/>
    <x v="16"/>
    <n v="1.6500000000000001E-2"/>
    <s v="P"/>
    <s v="P"/>
    <s v="P"/>
    <s v="+"/>
    <s v="+"/>
    <n v="12.21"/>
    <n v="13.24"/>
    <n v="0.56000000000000005"/>
    <n v="66.2"/>
    <n v="18.8"/>
    <n v="687"/>
    <n v="37.200000000000003"/>
    <s v="-"/>
    <s v="-"/>
    <s v="P"/>
    <s v="P"/>
    <n v="1"/>
    <n v="2"/>
    <n v="1"/>
    <n v="2"/>
    <n v="1"/>
    <n v="1"/>
    <n v="0"/>
    <n v="2"/>
    <n v="1"/>
    <n v="1"/>
    <n v="2"/>
    <s v="-"/>
    <n v="13"/>
    <n v="15"/>
    <s v="-"/>
    <n v="1"/>
    <n v="1"/>
    <n v="2"/>
    <n v="2"/>
    <n v="15"/>
    <n v="17"/>
  </r>
  <r>
    <x v="5"/>
    <x v="133"/>
    <d v="2026-06-19T00:00:00"/>
    <s v="2ND"/>
    <d v="1899-12-30T15:00:00"/>
    <n v="3"/>
    <x v="16"/>
    <n v="1.83E-2"/>
    <s v="P"/>
    <s v="P"/>
    <s v="P"/>
    <s v="+"/>
    <s v="+"/>
    <n v="12.33"/>
    <s v="-"/>
    <s v="-"/>
    <s v="-"/>
    <s v="-"/>
    <s v="-"/>
    <s v="-"/>
    <s v="-"/>
    <s v="-"/>
    <s v="P"/>
    <s v="P"/>
    <s v="-"/>
    <n v="2"/>
    <n v="1"/>
    <n v="2"/>
    <n v="1"/>
    <s v="-"/>
    <s v="-"/>
    <s v="-"/>
    <s v="-"/>
    <s v="-"/>
    <s v="-"/>
    <s v="-"/>
    <n v="6"/>
    <n v="6"/>
    <s v="-"/>
    <n v="1"/>
    <n v="1"/>
    <n v="2"/>
    <n v="2"/>
    <n v="8"/>
    <n v="8"/>
  </r>
  <r>
    <x v="5"/>
    <x v="133"/>
    <d v="2026-06-19T00:00:00"/>
    <s v="2ND"/>
    <d v="1899-12-30T16:00:00"/>
    <n v="3"/>
    <x v="16"/>
    <n v="2.0199999999999999E-2"/>
    <s v="P"/>
    <s v="P"/>
    <s v="P"/>
    <s v="+"/>
    <s v="+"/>
    <n v="12.73"/>
    <s v="-"/>
    <s v="-"/>
    <s v="-"/>
    <s v="-"/>
    <s v="-"/>
    <s v="-"/>
    <s v="-"/>
    <s v="-"/>
    <s v="P"/>
    <s v="P"/>
    <s v="-"/>
    <n v="0"/>
    <n v="1"/>
    <n v="2"/>
    <n v="1"/>
    <s v="-"/>
    <s v="-"/>
    <s v="-"/>
    <s v="-"/>
    <s v="-"/>
    <s v="-"/>
    <s v="-"/>
    <n v="4"/>
    <n v="6"/>
    <s v="-"/>
    <n v="1"/>
    <n v="1"/>
    <n v="2"/>
    <n v="2"/>
    <n v="6"/>
    <n v="8"/>
  </r>
  <r>
    <x v="5"/>
    <x v="133"/>
    <d v="1899-12-30T00:00:00"/>
    <s v="2ND"/>
    <d v="1899-12-30T14:00:00"/>
    <s v="Retail"/>
    <x v="13"/>
    <s v="-"/>
    <s v="-"/>
    <s v="-"/>
    <s v="-"/>
    <s v="-"/>
    <s v="-"/>
    <n v="11.87"/>
    <s v="-"/>
    <s v="-"/>
    <s v="-"/>
    <s v="-"/>
    <s v="-"/>
    <s v="-"/>
    <s v="-"/>
    <s v="-"/>
    <s v="-"/>
    <s v="-"/>
    <s v="-"/>
    <s v="-"/>
    <s v="-"/>
    <s v="-"/>
    <n v="1"/>
    <s v="-"/>
    <s v="-"/>
    <s v="-"/>
    <s v="-"/>
    <s v="-"/>
    <s v="-"/>
    <s v="-"/>
    <n v="1"/>
    <n v="1"/>
    <s v="-"/>
    <s v="-"/>
    <s v="-"/>
    <n v="0"/>
    <n v="0"/>
    <n v="1"/>
    <n v="1"/>
  </r>
  <r>
    <x v="5"/>
    <x v="133"/>
    <d v="2026-06-15T00:00:00"/>
    <s v="3RD"/>
    <d v="1899-12-30T22:00:00"/>
    <n v="1"/>
    <x v="22"/>
    <n v="4.4999999999999997E-3"/>
    <s v="P"/>
    <s v="P"/>
    <s v="P"/>
    <s v="-"/>
    <s v="-"/>
    <n v="11.6"/>
    <n v="8.7799999999999994"/>
    <n v="0.55000000000000004"/>
    <s v="-"/>
    <s v="-"/>
    <s v="-"/>
    <n v="23.6"/>
    <s v="-"/>
    <s v="-"/>
    <s v="P"/>
    <s v="P"/>
    <n v="1"/>
    <n v="2"/>
    <n v="1"/>
    <n v="2"/>
    <n v="1"/>
    <n v="1"/>
    <n v="2"/>
    <s v="-"/>
    <s v="-"/>
    <s v="-"/>
    <n v="2"/>
    <s v="-"/>
    <n v="11"/>
    <n v="11"/>
    <s v="-"/>
    <n v="1"/>
    <n v="1"/>
    <n v="2"/>
    <n v="2"/>
    <n v="13"/>
    <n v="13"/>
  </r>
  <r>
    <x v="5"/>
    <x v="133"/>
    <d v="2026-06-15T00:00:00"/>
    <s v="3RD"/>
    <d v="1899-12-31T00:00:00"/>
    <n v="1"/>
    <x v="22"/>
    <n v="1.2500000000000001E-2"/>
    <s v="P"/>
    <s v="P"/>
    <s v="P"/>
    <s v="-"/>
    <s v="-"/>
    <n v="11.67"/>
    <s v="-"/>
    <s v="-"/>
    <s v="-"/>
    <s v="-"/>
    <s v="-"/>
    <s v="-"/>
    <s v="-"/>
    <s v="-"/>
    <s v="P"/>
    <s v="P"/>
    <s v="-"/>
    <n v="2"/>
    <n v="1"/>
    <n v="2"/>
    <n v="1"/>
    <s v="-"/>
    <s v="-"/>
    <s v="-"/>
    <s v="-"/>
    <s v="-"/>
    <s v="-"/>
    <s v="-"/>
    <n v="6"/>
    <n v="6"/>
    <s v="-"/>
    <n v="1"/>
    <n v="1"/>
    <n v="2"/>
    <n v="2"/>
    <n v="8"/>
    <n v="8"/>
  </r>
  <r>
    <x v="5"/>
    <x v="133"/>
    <d v="2026-06-15T00:00:00"/>
    <s v="3RD"/>
    <d v="1899-12-31T01:00:00"/>
    <n v="1"/>
    <x v="22"/>
    <n v="8.2000000000000007E-3"/>
    <s v="P"/>
    <s v="P"/>
    <s v="P"/>
    <s v="-"/>
    <s v="-"/>
    <n v="11.64"/>
    <s v="-"/>
    <s v="-"/>
    <s v="-"/>
    <s v="-"/>
    <s v="-"/>
    <s v="-"/>
    <s v="-"/>
    <s v="-"/>
    <s v="P"/>
    <s v="P"/>
    <s v="-"/>
    <n v="2"/>
    <n v="1"/>
    <n v="2"/>
    <n v="1"/>
    <s v="-"/>
    <s v="-"/>
    <s v="-"/>
    <s v="-"/>
    <s v="-"/>
    <s v="-"/>
    <s v="-"/>
    <n v="6"/>
    <n v="6"/>
    <s v="-"/>
    <n v="1"/>
    <n v="1"/>
    <n v="2"/>
    <n v="2"/>
    <n v="8"/>
    <n v="8"/>
  </r>
  <r>
    <x v="5"/>
    <x v="133"/>
    <d v="2026-06-15T00:00:00"/>
    <s v="3RD"/>
    <d v="1899-12-31T02:00:00"/>
    <n v="1"/>
    <x v="22"/>
    <n v="5.4000000000000003E-3"/>
    <s v="P"/>
    <s v="P"/>
    <s v="P"/>
    <s v="-"/>
    <s v="-"/>
    <n v="11.76"/>
    <s v="-"/>
    <s v="-"/>
    <s v="-"/>
    <s v="-"/>
    <s v="-"/>
    <s v="-"/>
    <s v="-"/>
    <s v="-"/>
    <s v="P"/>
    <s v="P"/>
    <s v="-"/>
    <n v="2"/>
    <n v="1"/>
    <n v="2"/>
    <n v="1"/>
    <s v="-"/>
    <s v="-"/>
    <s v="-"/>
    <s v="-"/>
    <s v="-"/>
    <s v="-"/>
    <s v="-"/>
    <n v="6"/>
    <n v="6"/>
    <s v="-"/>
    <n v="1"/>
    <n v="1"/>
    <n v="2"/>
    <n v="2"/>
    <n v="8"/>
    <n v="8"/>
  </r>
  <r>
    <x v="5"/>
    <x v="133"/>
    <d v="2026-06-15T00:00:00"/>
    <s v="3RD"/>
    <d v="1899-12-31T03:00:00"/>
    <n v="1"/>
    <x v="22"/>
    <n v="5.0000000000000001E-3"/>
    <s v="P"/>
    <s v="P"/>
    <s v="P"/>
    <s v="-"/>
    <s v="-"/>
    <n v="11.33"/>
    <s v="-"/>
    <s v="-"/>
    <s v="-"/>
    <s v="-"/>
    <s v="-"/>
    <s v="-"/>
    <s v="-"/>
    <s v="-"/>
    <s v="P"/>
    <s v="P"/>
    <s v="-"/>
    <n v="2"/>
    <n v="1"/>
    <n v="2"/>
    <n v="1"/>
    <s v="-"/>
    <s v="-"/>
    <s v="-"/>
    <s v="-"/>
    <s v="-"/>
    <s v="-"/>
    <s v="-"/>
    <n v="6"/>
    <n v="6"/>
    <s v="-"/>
    <n v="1"/>
    <n v="1"/>
    <n v="2"/>
    <n v="2"/>
    <n v="8"/>
    <n v="8"/>
  </r>
  <r>
    <x v="5"/>
    <x v="133"/>
    <d v="2026-06-15T00:00:00"/>
    <s v="3RD"/>
    <d v="1899-12-31T04:00:00"/>
    <n v="1"/>
    <x v="22"/>
    <n v="4.3E-3"/>
    <s v="P"/>
    <s v="P"/>
    <s v="P"/>
    <s v="-"/>
    <s v="-"/>
    <n v="11.47"/>
    <s v="-"/>
    <s v="-"/>
    <s v="-"/>
    <s v="-"/>
    <s v="-"/>
    <s v="-"/>
    <s v="-"/>
    <s v="-"/>
    <s v="P"/>
    <s v="P"/>
    <s v="-"/>
    <n v="2"/>
    <n v="1"/>
    <n v="2"/>
    <n v="1"/>
    <s v="-"/>
    <s v="-"/>
    <s v="-"/>
    <s v="-"/>
    <s v="-"/>
    <s v="-"/>
    <s v="-"/>
    <n v="6"/>
    <n v="6"/>
    <s v="-"/>
    <n v="1"/>
    <n v="1"/>
    <n v="2"/>
    <n v="2"/>
    <n v="8"/>
    <n v="8"/>
  </r>
  <r>
    <x v="5"/>
    <x v="133"/>
    <d v="2026-06-15T00:00:00"/>
    <s v="3RD"/>
    <d v="1899-12-31T05:00:00"/>
    <n v="1"/>
    <x v="22"/>
    <n v="6.6E-3"/>
    <s v="P"/>
    <s v="P"/>
    <s v="P"/>
    <s v="-"/>
    <s v="-"/>
    <n v="11.25"/>
    <s v="-"/>
    <s v="-"/>
    <s v="-"/>
    <s v="-"/>
    <s v="-"/>
    <s v="-"/>
    <s v="-"/>
    <s v="-"/>
    <s v="P"/>
    <s v="P"/>
    <s v="-"/>
    <n v="2"/>
    <n v="1"/>
    <n v="2"/>
    <n v="1"/>
    <s v="-"/>
    <s v="-"/>
    <s v="-"/>
    <s v="-"/>
    <s v="-"/>
    <s v="-"/>
    <s v="-"/>
    <n v="6"/>
    <n v="6"/>
    <s v="-"/>
    <n v="1"/>
    <n v="1"/>
    <n v="2"/>
    <n v="2"/>
    <n v="8"/>
    <n v="8"/>
  </r>
  <r>
    <x v="5"/>
    <x v="133"/>
    <d v="1902-03-26T00:00:00"/>
    <s v="3RD"/>
    <d v="1899-12-30T22:00:00"/>
    <n v="2"/>
    <x v="5"/>
    <n v="3.2000000000000002E-3"/>
    <s v="P"/>
    <s v="P"/>
    <s v="P"/>
    <s v="-"/>
    <s v="+"/>
    <n v="11.12"/>
    <n v="9.41"/>
    <n v="0.53"/>
    <s v="-"/>
    <s v="-"/>
    <s v="-"/>
    <n v="25.6"/>
    <s v="-"/>
    <s v="-"/>
    <s v="P"/>
    <s v="P"/>
    <s v="-"/>
    <n v="2"/>
    <n v="1"/>
    <n v="2"/>
    <n v="1"/>
    <n v="1"/>
    <n v="2"/>
    <s v="-"/>
    <s v="-"/>
    <s v="-"/>
    <n v="2"/>
    <s v="-"/>
    <n v="11"/>
    <n v="11"/>
    <s v="-"/>
    <n v="1"/>
    <n v="1"/>
    <n v="2"/>
    <n v="2"/>
    <n v="13"/>
    <n v="13"/>
  </r>
  <r>
    <x v="5"/>
    <x v="133"/>
    <d v="1899-12-30T00:00:00"/>
    <s v="3RD"/>
    <d v="1899-12-31T00:00:00"/>
    <n v="2"/>
    <x v="5"/>
    <n v="2.0999999999999999E-3"/>
    <s v="P"/>
    <s v="P"/>
    <s v="P"/>
    <s v="-"/>
    <s v="+"/>
    <n v="11.43"/>
    <s v="-"/>
    <s v="-"/>
    <s v="-"/>
    <s v="-"/>
    <s v="-"/>
    <s v="-"/>
    <s v="-"/>
    <s v="-"/>
    <s v="P"/>
    <s v="P"/>
    <s v="-"/>
    <n v="2"/>
    <n v="1"/>
    <n v="2"/>
    <n v="1"/>
    <s v="-"/>
    <s v="-"/>
    <s v="-"/>
    <s v="-"/>
    <s v="-"/>
    <s v="-"/>
    <s v="-"/>
    <n v="6"/>
    <n v="6"/>
    <s v="-"/>
    <n v="1"/>
    <n v="1"/>
    <n v="2"/>
    <n v="2"/>
    <n v="8"/>
    <n v="8"/>
  </r>
  <r>
    <x v="5"/>
    <x v="133"/>
    <d v="1899-12-30T00:00:00"/>
    <s v="3RD"/>
    <d v="1899-12-31T01:00:00"/>
    <n v="2"/>
    <x v="5"/>
    <n v="5.5999999999999999E-3"/>
    <s v="P"/>
    <s v="P"/>
    <s v="P"/>
    <s v="-"/>
    <s v="+"/>
    <n v="11.14"/>
    <s v="-"/>
    <s v="-"/>
    <s v="-"/>
    <s v="-"/>
    <s v="-"/>
    <s v="-"/>
    <s v="-"/>
    <s v="-"/>
    <s v="P"/>
    <s v="P"/>
    <s v="-"/>
    <n v="2"/>
    <n v="1"/>
    <n v="2"/>
    <n v="1"/>
    <s v="-"/>
    <s v="-"/>
    <s v="-"/>
    <s v="-"/>
    <s v="-"/>
    <s v="-"/>
    <s v="-"/>
    <n v="6"/>
    <n v="6"/>
    <s v="-"/>
    <n v="1"/>
    <n v="1"/>
    <n v="2"/>
    <n v="2"/>
    <n v="8"/>
    <n v="8"/>
  </r>
  <r>
    <x v="5"/>
    <x v="133"/>
    <d v="1899-12-30T00:00:00"/>
    <s v="3RD"/>
    <d v="1899-12-31T02:00:00"/>
    <n v="2"/>
    <x v="4"/>
    <n v="7.1000000000000004E-3"/>
    <s v="P"/>
    <s v="P"/>
    <s v="P"/>
    <s v="-"/>
    <s v="+"/>
    <n v="11.2"/>
    <s v="-"/>
    <s v="-"/>
    <s v="-"/>
    <s v="-"/>
    <s v="-"/>
    <s v="-"/>
    <s v="-"/>
    <s v="-"/>
    <s v="P"/>
    <s v="P"/>
    <s v="-"/>
    <n v="2"/>
    <n v="1"/>
    <n v="2"/>
    <n v="1"/>
    <s v="-"/>
    <s v="-"/>
    <s v="-"/>
    <s v="-"/>
    <s v="-"/>
    <s v="-"/>
    <s v="-"/>
    <n v="6"/>
    <n v="6"/>
    <s v="-"/>
    <n v="1"/>
    <n v="1"/>
    <n v="2"/>
    <n v="2"/>
    <n v="8"/>
    <n v="8"/>
  </r>
  <r>
    <x v="5"/>
    <x v="133"/>
    <d v="1899-12-30T00:00:00"/>
    <s v="3RD"/>
    <d v="1899-12-31T03:00:00"/>
    <n v="2"/>
    <x v="4"/>
    <n v="4.1999999999999997E-3"/>
    <s v="P"/>
    <s v="P"/>
    <s v="P"/>
    <s v="-"/>
    <s v="+"/>
    <n v="11.06"/>
    <s v="-"/>
    <s v="-"/>
    <s v="-"/>
    <s v="-"/>
    <s v="-"/>
    <s v="-"/>
    <s v="-"/>
    <s v="-"/>
    <s v="P"/>
    <s v="P"/>
    <s v="-"/>
    <n v="2"/>
    <n v="1"/>
    <n v="2"/>
    <n v="1"/>
    <s v="-"/>
    <s v="-"/>
    <s v="-"/>
    <s v="-"/>
    <s v="-"/>
    <s v="-"/>
    <s v="-"/>
    <n v="6"/>
    <n v="6"/>
    <s v="-"/>
    <n v="1"/>
    <n v="1"/>
    <n v="2"/>
    <n v="2"/>
    <n v="8"/>
    <n v="8"/>
  </r>
  <r>
    <x v="5"/>
    <x v="133"/>
    <d v="1899-12-30T00:00:00"/>
    <s v="3RD"/>
    <d v="1899-12-31T04:00:00"/>
    <n v="2"/>
    <x v="4"/>
    <n v="3.5999999999999999E-3"/>
    <s v="P"/>
    <s v="P"/>
    <s v="P"/>
    <s v="-"/>
    <s v="+"/>
    <n v="11.06"/>
    <s v="-"/>
    <s v="-"/>
    <s v="-"/>
    <s v="-"/>
    <s v="-"/>
    <s v="-"/>
    <s v="-"/>
    <s v="-"/>
    <s v="P"/>
    <s v="P"/>
    <s v="-"/>
    <n v="2"/>
    <n v="1"/>
    <n v="2"/>
    <n v="1"/>
    <s v="-"/>
    <s v="-"/>
    <s v="-"/>
    <s v="-"/>
    <s v="-"/>
    <s v="-"/>
    <s v="-"/>
    <n v="6"/>
    <n v="6"/>
    <s v="-"/>
    <n v="1"/>
    <n v="1"/>
    <n v="2"/>
    <n v="2"/>
    <n v="8"/>
    <n v="8"/>
  </r>
  <r>
    <x v="5"/>
    <x v="134"/>
    <d v="2026-06-15T00:00:00"/>
    <s v="1ST"/>
    <s v="06:00"/>
    <n v="1"/>
    <x v="22"/>
    <n v="7.1000000000000004E-3"/>
    <s v="P"/>
    <s v="P"/>
    <s v="P"/>
    <s v="-"/>
    <s v="-"/>
    <n v="11.22"/>
    <n v="9.98"/>
    <n v="0.54"/>
    <n v="52.4"/>
    <s v="-"/>
    <s v="-"/>
    <n v="24.3"/>
    <s v="-"/>
    <n v="25.19"/>
    <s v="P"/>
    <s v="P"/>
    <s v="-"/>
    <n v="2"/>
    <n v="1"/>
    <n v="2"/>
    <n v="1"/>
    <n v="1"/>
    <n v="2"/>
    <n v="0"/>
    <s v="-"/>
    <s v="-"/>
    <n v="2"/>
    <s v="-"/>
    <n v="11"/>
    <n v="13"/>
    <n v="1"/>
    <n v="1"/>
    <n v="1"/>
    <n v="3"/>
    <n v="3"/>
    <n v="14"/>
    <n v="16"/>
  </r>
  <r>
    <x v="5"/>
    <x v="134"/>
    <d v="2026-06-15T00:00:00"/>
    <s v="1ST"/>
    <s v="07:00"/>
    <n v="1"/>
    <x v="22"/>
    <n v="8.3000000000000001E-3"/>
    <s v="P"/>
    <s v="P"/>
    <s v="P"/>
    <s v="-"/>
    <s v="-"/>
    <n v="11.12"/>
    <s v="-"/>
    <s v="-"/>
    <s v="-"/>
    <s v="-"/>
    <s v="-"/>
    <s v="-"/>
    <s v="-"/>
    <s v="-"/>
    <s v="P"/>
    <s v="P"/>
    <n v="1"/>
    <n v="2"/>
    <n v="1"/>
    <n v="2"/>
    <n v="1"/>
    <s v="-"/>
    <s v="-"/>
    <s v="-"/>
    <s v="-"/>
    <s v="-"/>
    <s v="-"/>
    <s v="-"/>
    <n v="6"/>
    <n v="6"/>
    <s v="-"/>
    <n v="1"/>
    <n v="1"/>
    <n v="2"/>
    <n v="2"/>
    <n v="8"/>
    <n v="8"/>
  </r>
  <r>
    <x v="5"/>
    <x v="134"/>
    <d v="1902-03-25T00:00:00"/>
    <s v="1ST"/>
    <s v="10:00"/>
    <n v="2"/>
    <x v="22"/>
    <n v="9.1000000000000004E-3"/>
    <s v="P"/>
    <s v="P"/>
    <s v="P"/>
    <s v="-"/>
    <s v="-"/>
    <n v="11.92"/>
    <n v="8.66"/>
    <n v="0.57999999999999996"/>
    <n v="56.3"/>
    <s v="-"/>
    <s v="-"/>
    <n v="23.2"/>
    <s v="-"/>
    <n v="25.19"/>
    <s v="P"/>
    <s v="P"/>
    <s v="-"/>
    <n v="2"/>
    <n v="1"/>
    <n v="2"/>
    <n v="1"/>
    <n v="1"/>
    <n v="2"/>
    <n v="2"/>
    <s v="-"/>
    <s v="-"/>
    <n v="2"/>
    <s v="-"/>
    <n v="13"/>
    <n v="13"/>
    <n v="1"/>
    <n v="1"/>
    <n v="1"/>
    <n v="3"/>
    <n v="3"/>
    <n v="16"/>
    <n v="16"/>
  </r>
  <r>
    <x v="5"/>
    <x v="134"/>
    <d v="1899-12-30T00:00:00"/>
    <s v="1ST"/>
    <s v="11:00"/>
    <n v="2"/>
    <x v="22"/>
    <n v="1.12E-2"/>
    <s v="P"/>
    <s v="P"/>
    <s v="P"/>
    <s v="-"/>
    <s v="-"/>
    <n v="11.07"/>
    <s v="-"/>
    <s v="-"/>
    <s v="-"/>
    <s v="-"/>
    <s v="-"/>
    <s v="-"/>
    <s v="-"/>
    <s v="-"/>
    <s v="P"/>
    <s v="P"/>
    <s v="-"/>
    <n v="2"/>
    <n v="1"/>
    <n v="2"/>
    <n v="1"/>
    <s v="-"/>
    <s v="-"/>
    <s v="-"/>
    <s v="-"/>
    <s v="-"/>
    <s v="-"/>
    <s v="-"/>
    <n v="6"/>
    <n v="6"/>
    <s v="-"/>
    <n v="1"/>
    <n v="1"/>
    <n v="2"/>
    <n v="2"/>
    <n v="8"/>
    <n v="8"/>
  </r>
  <r>
    <x v="5"/>
    <x v="134"/>
    <d v="1899-12-30T00:00:00"/>
    <s v="1ST"/>
    <s v="13:00"/>
    <n v="2"/>
    <x v="22"/>
    <n v="1.54E-2"/>
    <s v="P"/>
    <s v="P"/>
    <s v="P"/>
    <s v="-"/>
    <s v="-"/>
    <n v="11.14"/>
    <s v="-"/>
    <s v="-"/>
    <s v="-"/>
    <s v="-"/>
    <s v="-"/>
    <s v="-"/>
    <s v="-"/>
    <s v="-"/>
    <s v="P"/>
    <s v="P"/>
    <s v="-"/>
    <n v="2"/>
    <n v="1"/>
    <n v="2"/>
    <n v="1"/>
    <s v="-"/>
    <s v="-"/>
    <s v="-"/>
    <s v="-"/>
    <s v="-"/>
    <s v="-"/>
    <s v="-"/>
    <n v="6"/>
    <n v="6"/>
    <s v="-"/>
    <n v="1"/>
    <n v="1"/>
    <n v="2"/>
    <n v="2"/>
    <n v="8"/>
    <n v="8"/>
  </r>
  <r>
    <x v="5"/>
    <x v="134"/>
    <d v="2026-06-17T00:00:00"/>
    <s v="1ST"/>
    <s v="07:00"/>
    <n v="3"/>
    <x v="31"/>
    <n v="1.49E-2"/>
    <s v="P"/>
    <s v="P"/>
    <s v="P"/>
    <s v="+"/>
    <s v="+"/>
    <n v="11.85"/>
    <n v="11.97"/>
    <n v="0.6"/>
    <n v="65.099999999999994"/>
    <s v="-"/>
    <s v="-"/>
    <n v="33.4"/>
    <s v="-"/>
    <n v="25.16"/>
    <s v="P"/>
    <s v="P"/>
    <s v="50% 40% 10%"/>
    <n v="2"/>
    <n v="1"/>
    <n v="2"/>
    <n v="0"/>
    <n v="1"/>
    <n v="2"/>
    <n v="0"/>
    <s v="-"/>
    <s v="-"/>
    <n v="2"/>
    <s v="-"/>
    <n v="10"/>
    <n v="13"/>
    <n v="1"/>
    <n v="1"/>
    <n v="1"/>
    <n v="3"/>
    <n v="3"/>
    <n v="13"/>
    <n v="16"/>
  </r>
  <r>
    <x v="5"/>
    <x v="134"/>
    <d v="2026-06-17T00:00:00"/>
    <s v="1ST"/>
    <s v="08:00"/>
    <n v="3"/>
    <x v="31"/>
    <n v="1.9900000000000001E-2"/>
    <s v="P"/>
    <s v="P"/>
    <s v="P"/>
    <s v="+"/>
    <s v="+"/>
    <n v="12.08"/>
    <s v="-"/>
    <n v="0.6"/>
    <s v="-"/>
    <s v="-"/>
    <s v="-"/>
    <s v="-"/>
    <s v="-"/>
    <s v="-"/>
    <s v="P"/>
    <s v="P"/>
    <s v="-"/>
    <n v="2"/>
    <n v="1"/>
    <n v="2"/>
    <n v="0"/>
    <s v="-"/>
    <n v="2"/>
    <s v="-"/>
    <s v="-"/>
    <s v="-"/>
    <s v="-"/>
    <s v="-"/>
    <n v="7"/>
    <n v="8"/>
    <s v="-"/>
    <n v="1"/>
    <n v="1"/>
    <n v="2"/>
    <n v="2"/>
    <n v="9"/>
    <n v="10"/>
  </r>
  <r>
    <x v="5"/>
    <x v="134"/>
    <d v="2026-06-17T00:00:00"/>
    <s v="1ST"/>
    <s v="09:00"/>
    <n v="3"/>
    <x v="6"/>
    <s v="-"/>
    <s v="P"/>
    <s v="P"/>
    <s v="P"/>
    <s v="+"/>
    <s v="+"/>
    <n v="12.7"/>
    <n v="11.67"/>
    <n v="0.62"/>
    <n v="64.5"/>
    <s v="-"/>
    <s v="-"/>
    <n v="32.4"/>
    <s v="-"/>
    <s v="-"/>
    <s v="P"/>
    <s v="P"/>
    <s v="70% 20% 10%"/>
    <s v="-"/>
    <n v="1"/>
    <n v="2"/>
    <n v="1"/>
    <n v="1"/>
    <n v="0"/>
    <n v="2"/>
    <s v="-"/>
    <s v="-"/>
    <n v="2"/>
    <s v="-"/>
    <n v="9"/>
    <n v="11"/>
    <s v="-"/>
    <n v="1"/>
    <n v="1"/>
    <n v="2"/>
    <n v="2"/>
    <n v="11"/>
    <n v="13"/>
  </r>
  <r>
    <x v="5"/>
    <x v="134"/>
    <d v="2026-06-17T00:00:00"/>
    <s v="1ST"/>
    <s v="10:00"/>
    <n v="3"/>
    <x v="6"/>
    <n v="1.9699999999999999E-2"/>
    <s v="P"/>
    <s v="P"/>
    <s v="P"/>
    <s v="+"/>
    <s v="+"/>
    <n v="12.7"/>
    <s v="-"/>
    <s v="-"/>
    <s v="-"/>
    <s v="-"/>
    <s v="-"/>
    <s v="-"/>
    <s v="-"/>
    <s v="-"/>
    <s v="P"/>
    <s v="P"/>
    <s v="-"/>
    <n v="2"/>
    <n v="1"/>
    <n v="2"/>
    <n v="1"/>
    <s v="-"/>
    <s v="-"/>
    <s v="-"/>
    <s v="-"/>
    <s v="-"/>
    <s v="-"/>
    <s v="-"/>
    <n v="6"/>
    <n v="6"/>
    <s v="-"/>
    <n v="1"/>
    <n v="1"/>
    <n v="2"/>
    <n v="2"/>
    <n v="8"/>
    <n v="8"/>
  </r>
  <r>
    <x v="5"/>
    <x v="134"/>
    <d v="2026-06-17T00:00:00"/>
    <s v="1ST"/>
    <s v="11:00"/>
    <n v="3"/>
    <x v="6"/>
    <n v="1.6299999999999999E-2"/>
    <s v="P"/>
    <s v="P"/>
    <s v="P"/>
    <s v="+"/>
    <s v="+"/>
    <n v="12.69"/>
    <s v="-"/>
    <s v="-"/>
    <s v="-"/>
    <s v="-"/>
    <s v="-"/>
    <s v="-"/>
    <s v="-"/>
    <s v="-"/>
    <s v="P"/>
    <s v="P"/>
    <s v="-"/>
    <n v="2"/>
    <n v="1"/>
    <n v="2"/>
    <n v="1"/>
    <s v="-"/>
    <s v="-"/>
    <s v="-"/>
    <s v="-"/>
    <s v="-"/>
    <s v="-"/>
    <s v="-"/>
    <n v="6"/>
    <n v="6"/>
    <s v="-"/>
    <n v="1"/>
    <n v="1"/>
    <n v="2"/>
    <n v="2"/>
    <n v="8"/>
    <n v="8"/>
  </r>
  <r>
    <x v="5"/>
    <x v="134"/>
    <d v="2026-06-17T00:00:00"/>
    <s v="1ST"/>
    <s v="13:00"/>
    <n v="3"/>
    <x v="6"/>
    <n v="1.55E-2"/>
    <s v="P"/>
    <s v="P"/>
    <s v="P"/>
    <s v="+"/>
    <s v="+"/>
    <n v="11.71"/>
    <s v="-"/>
    <s v="-"/>
    <s v="-"/>
    <s v="-"/>
    <s v="-"/>
    <s v="-"/>
    <s v="-"/>
    <s v="-"/>
    <s v="P"/>
    <s v="P"/>
    <s v="-"/>
    <n v="2"/>
    <n v="1"/>
    <n v="2"/>
    <n v="0"/>
    <s v="-"/>
    <s v="-"/>
    <s v="-"/>
    <s v="-"/>
    <s v="-"/>
    <s v="-"/>
    <s v="-"/>
    <n v="5"/>
    <n v="6"/>
    <s v="-"/>
    <n v="1"/>
    <n v="1"/>
    <n v="2"/>
    <n v="2"/>
    <n v="7"/>
    <n v="8"/>
  </r>
  <r>
    <x v="5"/>
    <x v="134"/>
    <d v="2026-06-16T00:00:00"/>
    <s v="2ND"/>
    <d v="1899-12-30T14:00:00"/>
    <n v="1"/>
    <x v="22"/>
    <n v="7.9000000000000008E-3"/>
    <s v="P"/>
    <s v="P"/>
    <s v="P"/>
    <s v="-"/>
    <s v="-"/>
    <n v="11.07"/>
    <n v="9.1999999999999993"/>
    <n v="0.54"/>
    <s v="-"/>
    <s v="-"/>
    <s v="-"/>
    <n v="24.96"/>
    <s v="-"/>
    <s v="-"/>
    <s v="P"/>
    <s v="P"/>
    <n v="1"/>
    <n v="2"/>
    <n v="1"/>
    <n v="2"/>
    <n v="1"/>
    <n v="1"/>
    <n v="2"/>
    <s v="-"/>
    <s v="-"/>
    <s v="-"/>
    <n v="2"/>
    <s v="-"/>
    <n v="11"/>
    <n v="11"/>
    <s v="-"/>
    <n v="1"/>
    <n v="1"/>
    <n v="2"/>
    <n v="2"/>
    <n v="13"/>
    <n v="13"/>
  </r>
  <r>
    <x v="5"/>
    <x v="134"/>
    <d v="2026-06-16T00:00:00"/>
    <s v="2ND"/>
    <d v="1899-12-30T16:00:00"/>
    <n v="1"/>
    <x v="22"/>
    <n v="1.0699999999999999E-2"/>
    <s v="P"/>
    <s v="P"/>
    <s v="P"/>
    <s v="-"/>
    <s v="-"/>
    <n v="11.21"/>
    <s v="-"/>
    <s v="-"/>
    <s v="-"/>
    <s v="-"/>
    <s v="-"/>
    <s v="-"/>
    <s v="-"/>
    <s v="-"/>
    <s v="P"/>
    <s v="P"/>
    <s v="-"/>
    <n v="2"/>
    <n v="1"/>
    <n v="2"/>
    <n v="1"/>
    <s v="-"/>
    <s v="-"/>
    <s v="-"/>
    <s v="-"/>
    <s v="-"/>
    <s v="-"/>
    <s v="-"/>
    <n v="6"/>
    <n v="6"/>
    <s v="-"/>
    <n v="1"/>
    <n v="1"/>
    <n v="2"/>
    <n v="2"/>
    <n v="8"/>
    <n v="8"/>
  </r>
  <r>
    <x v="5"/>
    <x v="134"/>
    <d v="2026-06-16T00:00:00"/>
    <s v="2ND"/>
    <d v="1899-12-30T21:00:00"/>
    <n v="1"/>
    <x v="22"/>
    <n v="1.32E-2"/>
    <s v="P"/>
    <s v="P"/>
    <s v="P"/>
    <s v="-"/>
    <s v="-"/>
    <n v="11.38"/>
    <s v="-"/>
    <s v="-"/>
    <s v="-"/>
    <s v="-"/>
    <s v="-"/>
    <s v="-"/>
    <s v="-"/>
    <s v="-"/>
    <s v="P"/>
    <s v="P"/>
    <s v="-"/>
    <n v="2"/>
    <n v="1"/>
    <n v="2"/>
    <n v="1"/>
    <s v="-"/>
    <s v="-"/>
    <s v="-"/>
    <s v="-"/>
    <s v="-"/>
    <s v="-"/>
    <s v="-"/>
    <n v="6"/>
    <n v="6"/>
    <s v="-"/>
    <n v="1"/>
    <n v="1"/>
    <n v="2"/>
    <n v="2"/>
    <n v="8"/>
    <n v="8"/>
  </r>
  <r>
    <x v="5"/>
    <x v="134"/>
    <d v="1902-03-25T00:00:00"/>
    <s v="2ND"/>
    <d v="1899-12-30T14:00:00"/>
    <n v="2"/>
    <x v="22"/>
    <n v="1.01E-2"/>
    <s v="P"/>
    <s v="P"/>
    <s v="P"/>
    <s v="-"/>
    <s v="-"/>
    <n v="11.66"/>
    <n v="8.2200000000000006"/>
    <n v="0.57999999999999996"/>
    <s v="-"/>
    <s v="-"/>
    <s v="-"/>
    <n v="21.9"/>
    <s v="-"/>
    <s v="-"/>
    <s v="P"/>
    <s v="P"/>
    <s v="-"/>
    <n v="2"/>
    <n v="1"/>
    <n v="2"/>
    <n v="1"/>
    <n v="0"/>
    <n v="2"/>
    <s v="-"/>
    <s v="-"/>
    <s v="-"/>
    <n v="2"/>
    <s v="-"/>
    <n v="10"/>
    <n v="11"/>
    <s v="-"/>
    <n v="1"/>
    <n v="1"/>
    <n v="2"/>
    <n v="2"/>
    <n v="12"/>
    <n v="13"/>
  </r>
  <r>
    <x v="5"/>
    <x v="134"/>
    <d v="1899-12-30T00:00:00"/>
    <s v="2ND"/>
    <d v="1899-12-30T16:00:00"/>
    <n v="2"/>
    <x v="22"/>
    <n v="1.5100000000000001E-2"/>
    <s v="P"/>
    <s v="P"/>
    <s v="P"/>
    <s v="-"/>
    <s v="-"/>
    <n v="11.53"/>
    <s v="-"/>
    <s v="-"/>
    <s v="-"/>
    <s v="-"/>
    <s v="-"/>
    <s v="-"/>
    <s v="-"/>
    <s v="-"/>
    <s v="P"/>
    <s v="P"/>
    <s v="-"/>
    <n v="2"/>
    <n v="1"/>
    <n v="2"/>
    <n v="1"/>
    <s v="-"/>
    <s v="-"/>
    <s v="-"/>
    <s v="-"/>
    <s v="-"/>
    <s v="-"/>
    <s v="-"/>
    <n v="6"/>
    <n v="6"/>
    <s v="-"/>
    <n v="1"/>
    <n v="1"/>
    <n v="2"/>
    <n v="2"/>
    <n v="8"/>
    <n v="8"/>
  </r>
  <r>
    <x v="5"/>
    <x v="134"/>
    <d v="1899-12-30T00:00:00"/>
    <s v="2ND"/>
    <d v="1899-12-30T17:00:00"/>
    <n v="2"/>
    <x v="22"/>
    <n v="1.1299999999999999E-2"/>
    <s v="P"/>
    <s v="P"/>
    <s v="P"/>
    <s v="-"/>
    <s v="-"/>
    <n v="11.68"/>
    <s v="-"/>
    <s v="-"/>
    <s v="-"/>
    <s v="-"/>
    <s v="-"/>
    <s v="-"/>
    <s v="-"/>
    <s v="-"/>
    <s v="P"/>
    <s v="P"/>
    <s v="-"/>
    <n v="2"/>
    <n v="1"/>
    <n v="2"/>
    <n v="1"/>
    <s v="-"/>
    <s v="-"/>
    <s v="-"/>
    <s v="-"/>
    <s v="-"/>
    <s v="-"/>
    <s v="-"/>
    <n v="6"/>
    <n v="6"/>
    <s v="-"/>
    <n v="1"/>
    <n v="1"/>
    <n v="2"/>
    <n v="2"/>
    <n v="8"/>
    <n v="8"/>
  </r>
  <r>
    <x v="5"/>
    <x v="134"/>
    <d v="1899-12-30T00:00:00"/>
    <s v="2ND"/>
    <d v="1899-12-30T19:00:00"/>
    <n v="2"/>
    <x v="22"/>
    <n v="1.9E-2"/>
    <s v="P"/>
    <s v="P"/>
    <s v="P"/>
    <s v="-"/>
    <s v="-"/>
    <n v="11.44"/>
    <s v="-"/>
    <s v="-"/>
    <s v="-"/>
    <s v="-"/>
    <s v="-"/>
    <s v="-"/>
    <s v="-"/>
    <s v="-"/>
    <s v="P"/>
    <s v="P"/>
    <s v="-"/>
    <n v="2"/>
    <n v="1"/>
    <n v="2"/>
    <n v="1"/>
    <s v="-"/>
    <s v="-"/>
    <s v="-"/>
    <s v="-"/>
    <s v="-"/>
    <s v="-"/>
    <s v="-"/>
    <n v="6"/>
    <n v="6"/>
    <s v="-"/>
    <n v="1"/>
    <n v="1"/>
    <n v="2"/>
    <n v="2"/>
    <n v="8"/>
    <n v="8"/>
  </r>
  <r>
    <x v="5"/>
    <x v="134"/>
    <d v="1899-12-30T00:00:00"/>
    <s v="2ND"/>
    <d v="1899-12-30T20:00:00"/>
    <n v="2"/>
    <x v="22"/>
    <n v="1.6299999999999999E-2"/>
    <s v="P"/>
    <s v="P"/>
    <s v="P"/>
    <s v="-"/>
    <s v="-"/>
    <n v="11.4"/>
    <s v="-"/>
    <s v="-"/>
    <s v="-"/>
    <s v="-"/>
    <s v="-"/>
    <s v="-"/>
    <s v="-"/>
    <s v="-"/>
    <s v="P"/>
    <s v="P"/>
    <s v="-"/>
    <n v="2"/>
    <n v="1"/>
    <n v="2"/>
    <n v="1"/>
    <s v="-"/>
    <s v="-"/>
    <s v="-"/>
    <s v="-"/>
    <s v="-"/>
    <s v="-"/>
    <s v="-"/>
    <n v="6"/>
    <n v="6"/>
    <s v="-"/>
    <n v="1"/>
    <n v="1"/>
    <n v="2"/>
    <n v="2"/>
    <n v="8"/>
    <n v="8"/>
  </r>
  <r>
    <x v="5"/>
    <x v="134"/>
    <d v="1899-12-30T00:00:00"/>
    <s v="2ND"/>
    <d v="1899-12-30T21:00:00"/>
    <n v="2"/>
    <x v="22"/>
    <n v="5.4999999999999997E-3"/>
    <s v="P"/>
    <s v="P"/>
    <s v="P"/>
    <s v="-"/>
    <s v="-"/>
    <n v="11.55"/>
    <s v="-"/>
    <s v="-"/>
    <s v="-"/>
    <s v="-"/>
    <s v="-"/>
    <s v="-"/>
    <s v="-"/>
    <s v="-"/>
    <s v="P"/>
    <s v="P"/>
    <s v="-"/>
    <n v="2"/>
    <n v="1"/>
    <n v="2"/>
    <n v="1"/>
    <s v="-"/>
    <s v="-"/>
    <s v="-"/>
    <s v="-"/>
    <s v="-"/>
    <s v="-"/>
    <s v="-"/>
    <n v="6"/>
    <n v="6"/>
    <s v="-"/>
    <n v="1"/>
    <n v="1"/>
    <n v="2"/>
    <n v="2"/>
    <n v="8"/>
    <n v="8"/>
  </r>
  <r>
    <x v="5"/>
    <x v="134"/>
    <d v="2026-06-17T00:00:00"/>
    <s v="2ND"/>
    <d v="1899-12-30T14:00:00"/>
    <n v="3"/>
    <x v="6"/>
    <n v="1.7299999999999999E-2"/>
    <s v="P"/>
    <s v="P"/>
    <s v="P"/>
    <s v="+"/>
    <s v="+"/>
    <n v="12.56"/>
    <n v="12.3"/>
    <n v="0.62"/>
    <s v="-"/>
    <s v="-"/>
    <s v="-"/>
    <n v="34.299999999999997"/>
    <s v="-"/>
    <s v="-"/>
    <s v="P"/>
    <s v="P"/>
    <s v="70% 20% 10%"/>
    <n v="2"/>
    <n v="1"/>
    <n v="2"/>
    <n v="1"/>
    <n v="1"/>
    <n v="0"/>
    <s v="-"/>
    <s v="-"/>
    <s v="-"/>
    <n v="2"/>
    <s v="-"/>
    <n v="9"/>
    <n v="11"/>
    <s v="-"/>
    <n v="1"/>
    <n v="1"/>
    <n v="2"/>
    <n v="2"/>
    <n v="11"/>
    <n v="13"/>
  </r>
  <r>
    <x v="5"/>
    <x v="134"/>
    <d v="2026-06-17T00:00:00"/>
    <s v="2ND"/>
    <d v="1899-12-30T15:00:00"/>
    <n v="3"/>
    <x v="6"/>
    <n v="1.7899999999999999E-2"/>
    <s v="P"/>
    <s v="P"/>
    <s v="P"/>
    <s v="+"/>
    <s v="+"/>
    <n v="12.53"/>
    <s v="-"/>
    <s v="-"/>
    <s v="-"/>
    <s v="-"/>
    <s v="-"/>
    <s v="-"/>
    <s v="-"/>
    <s v="-"/>
    <s v="P"/>
    <s v="P"/>
    <s v="-"/>
    <n v="2"/>
    <n v="1"/>
    <n v="2"/>
    <n v="1"/>
    <s v="-"/>
    <s v="-"/>
    <s v="-"/>
    <s v="-"/>
    <s v="-"/>
    <s v="-"/>
    <s v="-"/>
    <n v="6"/>
    <n v="6"/>
    <s v="-"/>
    <n v="1"/>
    <n v="1"/>
    <n v="2"/>
    <n v="2"/>
    <n v="8"/>
    <n v="8"/>
  </r>
  <r>
    <x v="5"/>
    <x v="134"/>
    <d v="2026-06-17T00:00:00"/>
    <s v="2ND"/>
    <d v="1899-12-30T16:00:00"/>
    <n v="3"/>
    <x v="6"/>
    <n v="1.6400000000000001E-2"/>
    <s v="P"/>
    <s v="P"/>
    <s v="P"/>
    <s v="+"/>
    <s v="+"/>
    <n v="12.34"/>
    <s v="-"/>
    <s v="-"/>
    <s v="-"/>
    <s v="-"/>
    <s v="-"/>
    <s v="-"/>
    <s v="-"/>
    <s v="-"/>
    <s v="P"/>
    <s v="P"/>
    <s v="-"/>
    <n v="2"/>
    <n v="1"/>
    <n v="2"/>
    <n v="1"/>
    <s v="-"/>
    <s v="-"/>
    <s v="-"/>
    <s v="-"/>
    <s v="-"/>
    <s v="-"/>
    <s v="-"/>
    <n v="6"/>
    <n v="6"/>
    <s v="-"/>
    <n v="1"/>
    <n v="1"/>
    <n v="2"/>
    <n v="2"/>
    <n v="8"/>
    <n v="8"/>
  </r>
  <r>
    <x v="5"/>
    <x v="134"/>
    <d v="2026-06-17T00:00:00"/>
    <s v="2ND"/>
    <d v="1899-12-30T18:00:00"/>
    <n v="3"/>
    <x v="39"/>
    <n v="1.9699999999999999E-2"/>
    <s v="P"/>
    <s v="P"/>
    <s v="P"/>
    <s v="+"/>
    <s v="+"/>
    <s v="-"/>
    <n v="12.89"/>
    <s v="-"/>
    <n v="65.2"/>
    <s v="-"/>
    <s v="-"/>
    <n v="36.200000000000003"/>
    <s v="-"/>
    <s v="-"/>
    <s v="P"/>
    <s v="P"/>
    <n v="1"/>
    <n v="2"/>
    <n v="1"/>
    <n v="2"/>
    <s v="-"/>
    <n v="1"/>
    <s v="-"/>
    <n v="2"/>
    <s v="-"/>
    <s v="-"/>
    <n v="2"/>
    <s v="-"/>
    <n v="10"/>
    <n v="10"/>
    <s v="-"/>
    <n v="1"/>
    <n v="1"/>
    <n v="2"/>
    <n v="2"/>
    <n v="12"/>
    <n v="12"/>
  </r>
  <r>
    <x v="5"/>
    <x v="134"/>
    <d v="2026-06-17T00:00:00"/>
    <s v="2ND"/>
    <d v="1899-12-30T20:00:00"/>
    <n v="3"/>
    <x v="39"/>
    <n v="1.84E-2"/>
    <s v="P"/>
    <s v="P"/>
    <s v="P"/>
    <s v="+"/>
    <s v="+"/>
    <n v="12.68"/>
    <s v="-"/>
    <s v="-"/>
    <s v="-"/>
    <s v="-"/>
    <s v="-"/>
    <s v="-"/>
    <s v="-"/>
    <s v="-"/>
    <s v="P"/>
    <s v="P"/>
    <s v="-"/>
    <n v="2"/>
    <n v="1"/>
    <n v="2"/>
    <n v="1"/>
    <s v="-"/>
    <s v="-"/>
    <s v="-"/>
    <s v="-"/>
    <s v="-"/>
    <s v="-"/>
    <s v="-"/>
    <n v="6"/>
    <n v="6"/>
    <s v="-"/>
    <n v="1"/>
    <n v="1"/>
    <n v="2"/>
    <n v="2"/>
    <n v="8"/>
    <n v="8"/>
  </r>
  <r>
    <x v="5"/>
    <x v="134"/>
    <d v="2026-06-17T00:00:00"/>
    <s v="2ND"/>
    <d v="1899-12-30T21:00:00"/>
    <n v="3"/>
    <x v="39"/>
    <n v="2.01E-2"/>
    <s v="P"/>
    <s v="P"/>
    <s v="P"/>
    <s v="+"/>
    <s v="+"/>
    <n v="12.62"/>
    <s v="-"/>
    <s v="-"/>
    <s v="-"/>
    <s v="-"/>
    <s v="-"/>
    <s v="-"/>
    <s v="-"/>
    <s v="-"/>
    <s v="P"/>
    <s v="P"/>
    <s v="-"/>
    <n v="0"/>
    <n v="1"/>
    <n v="2"/>
    <n v="1"/>
    <s v="-"/>
    <s v="-"/>
    <s v="-"/>
    <s v="-"/>
    <s v="-"/>
    <s v="-"/>
    <s v="-"/>
    <n v="4"/>
    <n v="6"/>
    <s v="-"/>
    <n v="1"/>
    <n v="1"/>
    <n v="2"/>
    <n v="2"/>
    <n v="6"/>
    <n v="8"/>
  </r>
  <r>
    <x v="5"/>
    <x v="134"/>
    <d v="2026-06-16T00:00:00"/>
    <s v="3RD"/>
    <d v="1899-12-30T22:00:00"/>
    <n v="1"/>
    <x v="22"/>
    <n v="4.7000000000000002E-3"/>
    <s v="P"/>
    <s v="P"/>
    <s v="P"/>
    <s v="-"/>
    <s v="-"/>
    <n v="11.41"/>
    <n v="8.91"/>
    <n v="0.54"/>
    <s v="-"/>
    <s v="-"/>
    <s v="-"/>
    <n v="24"/>
    <s v="-"/>
    <s v="-"/>
    <s v="P"/>
    <s v="P"/>
    <n v="1"/>
    <n v="2"/>
    <n v="1"/>
    <n v="2"/>
    <n v="1"/>
    <n v="1"/>
    <n v="2"/>
    <s v="-"/>
    <s v="-"/>
    <s v="-"/>
    <n v="2"/>
    <s v="-"/>
    <n v="11"/>
    <n v="11"/>
    <s v="-"/>
    <n v="1"/>
    <n v="1"/>
    <n v="2"/>
    <n v="2"/>
    <n v="13"/>
    <n v="13"/>
  </r>
  <r>
    <x v="5"/>
    <x v="134"/>
    <d v="2026-06-16T00:00:00"/>
    <s v="3RD"/>
    <d v="1899-12-31T00:00:00"/>
    <n v="1"/>
    <x v="22"/>
    <n v="1.0999999999999999E-2"/>
    <s v="P"/>
    <s v="P"/>
    <s v="P"/>
    <s v="-"/>
    <s v="-"/>
    <n v="11.83"/>
    <s v="-"/>
    <s v="-"/>
    <s v="-"/>
    <s v="-"/>
    <s v="-"/>
    <s v="-"/>
    <s v="-"/>
    <s v="-"/>
    <s v="P"/>
    <s v="P"/>
    <s v="-"/>
    <n v="2"/>
    <n v="1"/>
    <n v="2"/>
    <n v="1"/>
    <s v="-"/>
    <s v="-"/>
    <s v="-"/>
    <s v="-"/>
    <s v="-"/>
    <s v="-"/>
    <s v="-"/>
    <n v="6"/>
    <n v="6"/>
    <s v="-"/>
    <n v="1"/>
    <n v="1"/>
    <n v="2"/>
    <n v="2"/>
    <n v="8"/>
    <n v="8"/>
  </r>
  <r>
    <x v="5"/>
    <x v="134"/>
    <d v="2026-06-16T00:00:00"/>
    <s v="3RD"/>
    <d v="1899-12-31T01:00:00"/>
    <n v="1"/>
    <x v="22"/>
    <n v="9.7999999999999997E-3"/>
    <s v="P"/>
    <s v="P"/>
    <s v="P"/>
    <s v="-"/>
    <s v="-"/>
    <n v="11.63"/>
    <s v="-"/>
    <s v="-"/>
    <s v="-"/>
    <s v="-"/>
    <s v="-"/>
    <s v="-"/>
    <s v="-"/>
    <s v="-"/>
    <s v="P"/>
    <s v="P"/>
    <s v="-"/>
    <n v="2"/>
    <n v="1"/>
    <n v="2"/>
    <n v="1"/>
    <s v="-"/>
    <s v="-"/>
    <s v="-"/>
    <s v="-"/>
    <s v="-"/>
    <s v="-"/>
    <s v="-"/>
    <n v="6"/>
    <n v="6"/>
    <s v="-"/>
    <n v="1"/>
    <n v="1"/>
    <n v="2"/>
    <n v="2"/>
    <n v="8"/>
    <n v="8"/>
  </r>
  <r>
    <x v="5"/>
    <x v="134"/>
    <d v="2026-06-16T00:00:00"/>
    <s v="3RD"/>
    <d v="1899-12-31T02:00:00"/>
    <n v="1"/>
    <x v="22"/>
    <n v="1.15E-2"/>
    <s v="P"/>
    <s v="P"/>
    <s v="P"/>
    <s v="-"/>
    <s v="-"/>
    <n v="11.86"/>
    <s v="-"/>
    <s v="-"/>
    <s v="-"/>
    <s v="-"/>
    <s v="-"/>
    <s v="-"/>
    <s v="-"/>
    <s v="-"/>
    <s v="P"/>
    <s v="P"/>
    <s v="-"/>
    <n v="2"/>
    <n v="1"/>
    <n v="2"/>
    <n v="1"/>
    <s v="-"/>
    <s v="-"/>
    <s v="-"/>
    <s v="-"/>
    <s v="-"/>
    <s v="-"/>
    <s v="-"/>
    <n v="6"/>
    <n v="6"/>
    <s v="-"/>
    <n v="1"/>
    <n v="1"/>
    <n v="2"/>
    <n v="2"/>
    <n v="8"/>
    <n v="8"/>
  </r>
  <r>
    <x v="5"/>
    <x v="134"/>
    <d v="2026-06-16T00:00:00"/>
    <s v="3RD"/>
    <d v="1899-12-31T03:00:00"/>
    <n v="1"/>
    <x v="22"/>
    <n v="1.38E-2"/>
    <s v="P"/>
    <s v="P"/>
    <s v="P"/>
    <s v="-"/>
    <s v="-"/>
    <n v="11.58"/>
    <s v="-"/>
    <s v="-"/>
    <s v="-"/>
    <s v="-"/>
    <s v="-"/>
    <s v="-"/>
    <s v="-"/>
    <s v="-"/>
    <s v="P"/>
    <s v="P"/>
    <s v="-"/>
    <n v="2"/>
    <n v="1"/>
    <n v="2"/>
    <n v="1"/>
    <s v="-"/>
    <s v="-"/>
    <s v="-"/>
    <s v="-"/>
    <s v="-"/>
    <s v="-"/>
    <s v="-"/>
    <n v="6"/>
    <n v="6"/>
    <s v="-"/>
    <n v="1"/>
    <n v="1"/>
    <n v="2"/>
    <n v="2"/>
    <n v="8"/>
    <n v="8"/>
  </r>
  <r>
    <x v="5"/>
    <x v="134"/>
    <d v="2026-06-16T00:00:00"/>
    <s v="3RD"/>
    <d v="1899-12-31T04:00:00"/>
    <n v="1"/>
    <x v="22"/>
    <n v="1.1599999999999999E-2"/>
    <s v="P"/>
    <s v="P"/>
    <s v="P"/>
    <s v="-"/>
    <s v="-"/>
    <n v="11.71"/>
    <s v="-"/>
    <s v="-"/>
    <s v="-"/>
    <s v="-"/>
    <s v="-"/>
    <s v="-"/>
    <s v="-"/>
    <s v="-"/>
    <s v="P"/>
    <s v="P"/>
    <s v="-"/>
    <n v="2"/>
    <n v="1"/>
    <n v="2"/>
    <n v="1"/>
    <s v="-"/>
    <s v="-"/>
    <s v="-"/>
    <s v="-"/>
    <s v="-"/>
    <s v="-"/>
    <s v="-"/>
    <n v="6"/>
    <n v="6"/>
    <s v="-"/>
    <n v="1"/>
    <n v="1"/>
    <n v="2"/>
    <n v="2"/>
    <n v="8"/>
    <n v="8"/>
  </r>
  <r>
    <x v="5"/>
    <x v="134"/>
    <d v="1902-03-25T00:00:00"/>
    <s v="3RD"/>
    <d v="1899-12-30T22:00:00"/>
    <n v="2"/>
    <x v="22"/>
    <n v="5.1999999999999998E-3"/>
    <s v="P"/>
    <s v="P"/>
    <s v="P"/>
    <s v="-"/>
    <s v="-"/>
    <n v="11.6"/>
    <n v="9.0500000000000007"/>
    <n v="0.47"/>
    <n v="55.5"/>
    <s v="-"/>
    <s v="-"/>
    <n v="24.6"/>
    <s v="-"/>
    <s v="-"/>
    <s v="P"/>
    <s v="P"/>
    <s v="-"/>
    <n v="2"/>
    <n v="1"/>
    <n v="2"/>
    <n v="1"/>
    <n v="1"/>
    <n v="0"/>
    <n v="2"/>
    <s v="-"/>
    <s v="-"/>
    <n v="2"/>
    <s v="-"/>
    <n v="11"/>
    <n v="13"/>
    <s v="-"/>
    <n v="1"/>
    <n v="1"/>
    <n v="2"/>
    <n v="2"/>
    <n v="13"/>
    <n v="15"/>
  </r>
  <r>
    <x v="5"/>
    <x v="134"/>
    <d v="1899-12-30T00:00:00"/>
    <s v="3RD"/>
    <d v="1899-12-30T23:00:00"/>
    <n v="2"/>
    <x v="22"/>
    <n v="4.7999999999999996E-3"/>
    <s v="P"/>
    <s v="P"/>
    <s v="P"/>
    <s v="-"/>
    <s v="-"/>
    <n v="11.63"/>
    <s v="-"/>
    <s v="-"/>
    <s v="-"/>
    <s v="-"/>
    <s v="-"/>
    <s v="-"/>
    <s v="-"/>
    <s v="-"/>
    <s v="P"/>
    <s v="P"/>
    <s v="-"/>
    <n v="2"/>
    <n v="1"/>
    <n v="2"/>
    <n v="1"/>
    <s v="-"/>
    <s v="-"/>
    <s v="-"/>
    <s v="-"/>
    <s v="-"/>
    <s v="-"/>
    <s v="-"/>
    <n v="6"/>
    <n v="6"/>
    <s v="-"/>
    <n v="1"/>
    <n v="1"/>
    <n v="2"/>
    <n v="2"/>
    <n v="8"/>
    <n v="8"/>
  </r>
  <r>
    <x v="5"/>
    <x v="134"/>
    <d v="1902-03-26T00:00:00"/>
    <s v="3RD"/>
    <d v="1899-12-31T00:00:00"/>
    <n v="2"/>
    <x v="4"/>
    <n v="5.7999999999999996E-3"/>
    <s v="P"/>
    <s v="P"/>
    <s v="P"/>
    <s v="-"/>
    <s v="+"/>
    <n v="11.32"/>
    <s v="-"/>
    <s v="-"/>
    <s v="-"/>
    <s v="-"/>
    <s v="-"/>
    <s v="-"/>
    <s v="-"/>
    <s v="-"/>
    <s v="P"/>
    <s v="P"/>
    <s v="-"/>
    <n v="2"/>
    <n v="1"/>
    <n v="2"/>
    <n v="1"/>
    <s v="-"/>
    <s v="-"/>
    <s v="-"/>
    <s v="-"/>
    <s v="-"/>
    <s v="-"/>
    <s v="-"/>
    <n v="6"/>
    <n v="6"/>
    <s v="-"/>
    <n v="1"/>
    <n v="1"/>
    <n v="2"/>
    <n v="2"/>
    <n v="8"/>
    <n v="8"/>
  </r>
  <r>
    <x v="5"/>
    <x v="134"/>
    <d v="2026-06-17T00:00:00"/>
    <s v="3RD"/>
    <d v="1899-12-30T22:00:00"/>
    <n v="3"/>
    <x v="39"/>
    <n v="1.66E-2"/>
    <s v="P"/>
    <s v="P"/>
    <s v="P"/>
    <s v="+"/>
    <s v="+"/>
    <n v="12.55"/>
    <s v="-"/>
    <s v="-"/>
    <s v="-"/>
    <s v="-"/>
    <s v="-"/>
    <s v="-"/>
    <s v="-"/>
    <s v="-"/>
    <s v="P"/>
    <s v="P"/>
    <n v="1"/>
    <n v="2"/>
    <n v="1"/>
    <n v="2"/>
    <n v="1"/>
    <s v="-"/>
    <s v="-"/>
    <s v="-"/>
    <s v="-"/>
    <s v="-"/>
    <s v="-"/>
    <s v="-"/>
    <n v="6"/>
    <n v="6"/>
    <s v="-"/>
    <n v="1"/>
    <n v="1"/>
    <n v="2"/>
    <n v="2"/>
    <n v="8"/>
    <n v="8"/>
  </r>
  <r>
    <x v="5"/>
    <x v="134"/>
    <d v="2026-06-17T00:00:00"/>
    <s v="3RD"/>
    <d v="1899-12-30T23:00:00"/>
    <n v="3"/>
    <x v="39"/>
    <n v="1.5900000000000001E-2"/>
    <s v="P"/>
    <s v="P"/>
    <s v="P"/>
    <s v="+"/>
    <s v="+"/>
    <n v="12.4"/>
    <s v="-"/>
    <s v="-"/>
    <s v="-"/>
    <s v="-"/>
    <s v="-"/>
    <s v="-"/>
    <s v="-"/>
    <s v="-"/>
    <s v="P"/>
    <s v="P"/>
    <s v="-"/>
    <n v="2"/>
    <n v="1"/>
    <n v="2"/>
    <n v="1"/>
    <s v="-"/>
    <s v="-"/>
    <s v="-"/>
    <s v="-"/>
    <s v="-"/>
    <s v="-"/>
    <s v="-"/>
    <n v="6"/>
    <n v="6"/>
    <s v="-"/>
    <n v="1"/>
    <n v="1"/>
    <n v="2"/>
    <n v="2"/>
    <n v="8"/>
    <n v="8"/>
  </r>
  <r>
    <x v="5"/>
    <x v="134"/>
    <d v="2026-06-17T00:00:00"/>
    <s v="3RD"/>
    <d v="1899-12-31T01:00:00"/>
    <n v="3"/>
    <x v="1"/>
    <s v="-"/>
    <s v="P"/>
    <s v="P"/>
    <s v="P"/>
    <s v="+"/>
    <s v="+"/>
    <n v="12.13"/>
    <n v="12.72"/>
    <n v="0.55000000000000004"/>
    <n v="66.599999999999994"/>
    <s v="-"/>
    <s v="-"/>
    <n v="35.700000000000003"/>
    <s v="-"/>
    <s v="-"/>
    <s v="P"/>
    <s v="P"/>
    <s v="85% 5% 10%"/>
    <s v="-"/>
    <n v="1"/>
    <n v="2"/>
    <n v="1"/>
    <n v="1"/>
    <n v="2"/>
    <n v="2"/>
    <s v="-"/>
    <s v="-"/>
    <n v="2"/>
    <s v="-"/>
    <n v="11"/>
    <n v="11"/>
    <s v="-"/>
    <n v="1"/>
    <n v="1"/>
    <n v="2"/>
    <n v="2"/>
    <n v="13"/>
    <n v="13"/>
  </r>
  <r>
    <x v="5"/>
    <x v="134"/>
    <d v="2026-06-17T00:00:00"/>
    <s v="3RD"/>
    <d v="1899-12-31T02:00:00"/>
    <n v="3"/>
    <x v="1"/>
    <n v="1.9099999999999999E-2"/>
    <s v="P"/>
    <s v="P"/>
    <s v="P"/>
    <s v="+"/>
    <s v="+"/>
    <n v="12.13"/>
    <s v="-"/>
    <s v="-"/>
    <s v="-"/>
    <s v="-"/>
    <s v="-"/>
    <s v="-"/>
    <s v="-"/>
    <s v="-"/>
    <s v="P"/>
    <s v="P"/>
    <s v="-"/>
    <n v="2"/>
    <n v="1"/>
    <n v="2"/>
    <n v="1"/>
    <s v="-"/>
    <s v="-"/>
    <s v="-"/>
    <s v="-"/>
    <s v="-"/>
    <s v="-"/>
    <s v="-"/>
    <n v="6"/>
    <n v="6"/>
    <s v="-"/>
    <n v="1"/>
    <n v="1"/>
    <n v="2"/>
    <n v="2"/>
    <n v="8"/>
    <n v="8"/>
  </r>
  <r>
    <x v="5"/>
    <x v="134"/>
    <d v="2026-06-17T00:00:00"/>
    <s v="3RD"/>
    <d v="1899-12-31T03:00:00"/>
    <n v="3"/>
    <x v="1"/>
    <n v="1.9800000000000002E-2"/>
    <s v="P"/>
    <s v="P"/>
    <s v="P"/>
    <s v="+"/>
    <s v="+"/>
    <n v="11.92"/>
    <s v="-"/>
    <s v="-"/>
    <s v="-"/>
    <s v="-"/>
    <s v="-"/>
    <s v="-"/>
    <s v="-"/>
    <s v="-"/>
    <s v="P"/>
    <s v="P"/>
    <s v="-"/>
    <n v="2"/>
    <n v="1"/>
    <n v="2"/>
    <n v="0"/>
    <s v="-"/>
    <s v="-"/>
    <s v="-"/>
    <s v="-"/>
    <s v="-"/>
    <s v="-"/>
    <s v="-"/>
    <n v="5"/>
    <n v="6"/>
    <s v="-"/>
    <n v="1"/>
    <n v="1"/>
    <n v="2"/>
    <n v="2"/>
    <n v="7"/>
    <n v="8"/>
  </r>
  <r>
    <x v="5"/>
    <x v="134"/>
    <d v="2026-06-23T00:00:00"/>
    <s v="3RD"/>
    <d v="1899-12-31T05:00:00"/>
    <s v="Retail"/>
    <x v="9"/>
    <s v="-"/>
    <s v="-"/>
    <s v="-"/>
    <s v="-"/>
    <s v="-"/>
    <s v="-"/>
    <n v="10.76"/>
    <s v="-"/>
    <s v="-"/>
    <s v="-"/>
    <s v="-"/>
    <s v="-"/>
    <s v="-"/>
    <s v="-"/>
    <s v="-"/>
    <s v="-"/>
    <s v="-"/>
    <s v="-"/>
    <s v="-"/>
    <s v="-"/>
    <s v="-"/>
    <n v="1"/>
    <s v="-"/>
    <s v="-"/>
    <s v="-"/>
    <s v="-"/>
    <s v="-"/>
    <s v="-"/>
    <s v="-"/>
    <n v="1"/>
    <n v="1"/>
    <s v="-"/>
    <s v="-"/>
    <s v="-"/>
    <n v="0"/>
    <n v="0"/>
    <n v="1"/>
    <n v="1"/>
  </r>
  <r>
    <x v="5"/>
    <x v="135"/>
    <d v="1899-12-30T00:00:00"/>
    <s v="1ST"/>
    <s v="06:00"/>
    <n v="1"/>
    <x v="20"/>
    <n v="0.22409999999999999"/>
    <s v="P"/>
    <s v="P"/>
    <s v="P"/>
    <s v="-"/>
    <s v="-"/>
    <s v="-"/>
    <s v="-"/>
    <s v="-"/>
    <s v="-"/>
    <s v="-"/>
    <s v="-"/>
    <s v="-"/>
    <s v="-"/>
    <s v="-"/>
    <s v="-"/>
    <s v="-"/>
    <s v="-"/>
    <n v="0"/>
    <n v="1"/>
    <n v="2"/>
    <s v="-"/>
    <s v="-"/>
    <s v="-"/>
    <s v="-"/>
    <s v="-"/>
    <s v="-"/>
    <s v="-"/>
    <s v="-"/>
    <n v="3"/>
    <n v="5"/>
    <s v="-"/>
    <s v="-"/>
    <s v="-"/>
    <n v="0"/>
    <n v="0"/>
    <n v="3"/>
    <n v="5"/>
  </r>
  <r>
    <x v="5"/>
    <x v="135"/>
    <d v="2026-06-18T00:00:00"/>
    <s v="1ST"/>
    <s v="07:00"/>
    <n v="1"/>
    <x v="20"/>
    <n v="6.7599999999999993E-2"/>
    <s v="P"/>
    <s v="P"/>
    <s v="P"/>
    <s v="-"/>
    <s v="-"/>
    <n v="12.19"/>
    <n v="12.38"/>
    <n v="0.54"/>
    <n v="66.5"/>
    <s v="-"/>
    <s v="-"/>
    <n v="34.700000000000003"/>
    <s v="-"/>
    <s v="-"/>
    <s v="-"/>
    <s v="-"/>
    <s v="-"/>
    <n v="0"/>
    <n v="1"/>
    <n v="2"/>
    <n v="1"/>
    <n v="1"/>
    <n v="2"/>
    <n v="2"/>
    <s v="-"/>
    <s v="-"/>
    <n v="2"/>
    <s v="-"/>
    <n v="11"/>
    <n v="13"/>
    <s v="-"/>
    <s v="-"/>
    <s v="-"/>
    <n v="0"/>
    <n v="0"/>
    <n v="11"/>
    <n v="13"/>
  </r>
  <r>
    <x v="5"/>
    <x v="135"/>
    <d v="2026-06-18T00:00:00"/>
    <s v="1ST"/>
    <s v="08:00"/>
    <n v="1"/>
    <x v="20"/>
    <n v="5.4199999999999998E-2"/>
    <s v="P"/>
    <s v="P"/>
    <s v="P"/>
    <s v="-"/>
    <s v="-"/>
    <n v="12.27"/>
    <s v="-"/>
    <s v="-"/>
    <s v="-"/>
    <s v="-"/>
    <s v="-"/>
    <s v="-"/>
    <s v="-"/>
    <s v="-"/>
    <s v="-"/>
    <s v="-"/>
    <s v="-"/>
    <n v="0"/>
    <n v="1"/>
    <n v="2"/>
    <n v="1"/>
    <s v="-"/>
    <s v="-"/>
    <s v="-"/>
    <s v="-"/>
    <s v="-"/>
    <s v="-"/>
    <s v="-"/>
    <n v="4"/>
    <n v="6"/>
    <s v="-"/>
    <s v="-"/>
    <s v="-"/>
    <n v="0"/>
    <n v="0"/>
    <n v="4"/>
    <n v="6"/>
  </r>
  <r>
    <x v="5"/>
    <x v="135"/>
    <d v="2026-06-18T00:00:00"/>
    <s v="1ST"/>
    <s v="09:00"/>
    <n v="1"/>
    <x v="20"/>
    <n v="7.3800000000000004E-2"/>
    <s v="P"/>
    <s v="P"/>
    <s v="P"/>
    <s v="-"/>
    <s v="-"/>
    <n v="12.02"/>
    <s v="-"/>
    <s v="-"/>
    <s v="-"/>
    <s v="-"/>
    <s v="-"/>
    <s v="-"/>
    <s v="-"/>
    <s v="-"/>
    <s v="-"/>
    <s v="-"/>
    <s v="-"/>
    <n v="0"/>
    <n v="1"/>
    <n v="2"/>
    <n v="1"/>
    <s v="-"/>
    <s v="-"/>
    <s v="-"/>
    <s v="-"/>
    <s v="-"/>
    <s v="-"/>
    <s v="-"/>
    <n v="4"/>
    <n v="6"/>
    <s v="-"/>
    <s v="-"/>
    <s v="-"/>
    <n v="0"/>
    <n v="0"/>
    <n v="4"/>
    <n v="6"/>
  </r>
  <r>
    <x v="5"/>
    <x v="135"/>
    <s v=" "/>
    <s v="1ST"/>
    <s v="10:00"/>
    <n v="1"/>
    <x v="20"/>
    <n v="6.7199999999999996E-2"/>
    <s v="P"/>
    <s v="P"/>
    <s v="P"/>
    <s v="-"/>
    <s v="-"/>
    <n v="11.99"/>
    <s v="-"/>
    <s v="-"/>
    <s v="-"/>
    <s v="-"/>
    <s v="-"/>
    <s v="-"/>
    <s v="-"/>
    <s v="-"/>
    <s v="-"/>
    <s v="-"/>
    <s v="-"/>
    <n v="0"/>
    <n v="1"/>
    <n v="2"/>
    <n v="1"/>
    <s v="-"/>
    <s v="-"/>
    <s v="-"/>
    <s v="-"/>
    <s v="-"/>
    <s v="-"/>
    <s v="-"/>
    <n v="4"/>
    <n v="6"/>
    <s v="-"/>
    <s v="-"/>
    <s v="-"/>
    <n v="0"/>
    <n v="0"/>
    <n v="4"/>
    <n v="6"/>
  </r>
  <r>
    <x v="5"/>
    <x v="135"/>
    <d v="2026-06-18T00:00:00"/>
    <s v="1ST"/>
    <s v="11:00"/>
    <n v="1"/>
    <x v="20"/>
    <n v="5.8299999999999998E-2"/>
    <s v="P"/>
    <s v="P"/>
    <s v="P"/>
    <s v="-"/>
    <s v="-"/>
    <n v="11.81"/>
    <s v="-"/>
    <s v="-"/>
    <s v="-"/>
    <s v="-"/>
    <s v="-"/>
    <s v="-"/>
    <s v="-"/>
    <s v="-"/>
    <s v="-"/>
    <s v="-"/>
    <s v="-"/>
    <n v="0"/>
    <n v="1"/>
    <n v="2"/>
    <n v="1"/>
    <s v="-"/>
    <s v="-"/>
    <s v="-"/>
    <s v="-"/>
    <s v="-"/>
    <s v="-"/>
    <s v="-"/>
    <n v="4"/>
    <n v="6"/>
    <s v="-"/>
    <s v="-"/>
    <s v="-"/>
    <n v="0"/>
    <n v="0"/>
    <n v="4"/>
    <n v="6"/>
  </r>
  <r>
    <x v="5"/>
    <x v="135"/>
    <d v="2026-06-18T00:00:00"/>
    <s v="1ST"/>
    <s v="12:00"/>
    <n v="1"/>
    <x v="20"/>
    <n v="6.1100000000000002E-2"/>
    <s v="P"/>
    <s v="P"/>
    <s v="P"/>
    <s v="-"/>
    <s v="-"/>
    <n v="11.96"/>
    <s v="-"/>
    <s v="-"/>
    <s v="-"/>
    <s v="-"/>
    <s v="-"/>
    <s v="-"/>
    <s v="-"/>
    <s v="-"/>
    <s v="-"/>
    <s v="-"/>
    <s v="-"/>
    <n v="0"/>
    <n v="1"/>
    <n v="2"/>
    <n v="1"/>
    <s v="-"/>
    <s v="-"/>
    <s v="-"/>
    <s v="-"/>
    <s v="-"/>
    <s v="-"/>
    <s v="-"/>
    <n v="4"/>
    <n v="6"/>
    <s v="-"/>
    <s v="-"/>
    <s v="-"/>
    <n v="0"/>
    <n v="0"/>
    <n v="4"/>
    <n v="6"/>
  </r>
  <r>
    <x v="5"/>
    <x v="135"/>
    <d v="2026-06-18T00:00:00"/>
    <s v="1ST"/>
    <s v="13:00"/>
    <n v="1"/>
    <x v="20"/>
    <n v="7.4300000000000005E-2"/>
    <s v="P"/>
    <s v="P"/>
    <s v="P"/>
    <s v="-"/>
    <s v="-"/>
    <n v="12.11"/>
    <s v="-"/>
    <s v="-"/>
    <s v="-"/>
    <s v="-"/>
    <s v="-"/>
    <s v="-"/>
    <s v="-"/>
    <s v="-"/>
    <s v="-"/>
    <s v="-"/>
    <s v="-"/>
    <n v="0"/>
    <n v="1"/>
    <n v="2"/>
    <n v="1"/>
    <s v="-"/>
    <s v="-"/>
    <s v="-"/>
    <s v="-"/>
    <s v="-"/>
    <s v="-"/>
    <s v="-"/>
    <n v="4"/>
    <n v="6"/>
    <s v="-"/>
    <s v="-"/>
    <s v="-"/>
    <n v="0"/>
    <n v="0"/>
    <n v="4"/>
    <n v="6"/>
  </r>
  <r>
    <x v="5"/>
    <x v="135"/>
    <d v="1899-12-30T00:00:00"/>
    <s v="1ST"/>
    <s v="09:00"/>
    <n v="2"/>
    <x v="4"/>
    <n v="9.7000000000000003E-3"/>
    <s v="P"/>
    <s v="P"/>
    <s v="P"/>
    <s v="-"/>
    <s v="+"/>
    <n v="11.04"/>
    <n v="9.27"/>
    <s v="-"/>
    <n v="56.2"/>
    <s v="-"/>
    <s v="-"/>
    <n v="25.3"/>
    <s v="-"/>
    <s v="-"/>
    <s v="-"/>
    <s v="-"/>
    <s v="-"/>
    <n v="2"/>
    <n v="1"/>
    <n v="2"/>
    <n v="1"/>
    <n v="1"/>
    <s v="-"/>
    <n v="2"/>
    <s v="-"/>
    <s v="-"/>
    <n v="2"/>
    <s v="-"/>
    <n v="11"/>
    <n v="11"/>
    <s v="-"/>
    <s v="-"/>
    <s v="-"/>
    <n v="0"/>
    <n v="0"/>
    <n v="11"/>
    <n v="11"/>
  </r>
  <r>
    <x v="5"/>
    <x v="135"/>
    <d v="1899-12-30T00:00:00"/>
    <s v="1ST"/>
    <s v="10:00"/>
    <n v="2"/>
    <x v="4"/>
    <n v="1.04E-2"/>
    <s v="P"/>
    <s v="P"/>
    <s v="P"/>
    <s v="-"/>
    <s v="+"/>
    <n v="11.02"/>
    <s v="-"/>
    <s v="-"/>
    <s v="-"/>
    <s v="-"/>
    <s v="-"/>
    <s v="-"/>
    <s v="-"/>
    <s v="-"/>
    <s v="-"/>
    <s v="-"/>
    <s v="-"/>
    <n v="2"/>
    <n v="1"/>
    <n v="2"/>
    <n v="1"/>
    <s v="-"/>
    <s v="-"/>
    <s v="-"/>
    <s v="-"/>
    <s v="-"/>
    <s v="-"/>
    <s v="-"/>
    <n v="6"/>
    <n v="6"/>
    <s v="-"/>
    <s v="-"/>
    <s v="-"/>
    <n v="0"/>
    <n v="0"/>
    <n v="6"/>
    <n v="6"/>
  </r>
  <r>
    <x v="5"/>
    <x v="135"/>
    <d v="1899-12-30T00:00:00"/>
    <s v="1ST"/>
    <s v="11:00"/>
    <n v="2"/>
    <x v="4"/>
    <n v="8.6E-3"/>
    <s v="P"/>
    <s v="P"/>
    <s v="P"/>
    <s v="-"/>
    <s v="+"/>
    <n v="11.03"/>
    <s v="-"/>
    <s v="-"/>
    <s v="-"/>
    <s v="-"/>
    <s v="-"/>
    <s v="-"/>
    <s v="-"/>
    <s v="-"/>
    <s v="-"/>
    <s v="-"/>
    <s v="-"/>
    <n v="2"/>
    <n v="1"/>
    <n v="2"/>
    <n v="1"/>
    <s v="-"/>
    <s v="-"/>
    <s v="-"/>
    <s v="-"/>
    <s v="-"/>
    <s v="-"/>
    <s v="-"/>
    <n v="6"/>
    <n v="6"/>
    <s v="-"/>
    <s v="-"/>
    <s v="-"/>
    <n v="0"/>
    <n v="0"/>
    <n v="6"/>
    <n v="6"/>
  </r>
  <r>
    <x v="5"/>
    <x v="135"/>
    <d v="1899-12-30T00:00:00"/>
    <s v="1ST"/>
    <s v="12:00"/>
    <n v="2"/>
    <x v="4"/>
    <s v="-"/>
    <s v="P"/>
    <s v="P"/>
    <s v="P"/>
    <s v="-"/>
    <s v="+"/>
    <s v="-"/>
    <s v="-"/>
    <s v="-"/>
    <s v="-"/>
    <s v="-"/>
    <s v="-"/>
    <s v="-"/>
    <s v="-"/>
    <s v="-"/>
    <s v="-"/>
    <s v="-"/>
    <s v="-"/>
    <s v="-"/>
    <n v="1"/>
    <n v="2"/>
    <s v="-"/>
    <s v="-"/>
    <s v="-"/>
    <s v="-"/>
    <s v="-"/>
    <s v="-"/>
    <s v="-"/>
    <s v="-"/>
    <n v="3"/>
    <n v="3"/>
    <s v="-"/>
    <s v="-"/>
    <s v="-"/>
    <n v="0"/>
    <n v="0"/>
    <n v="3"/>
    <n v="3"/>
  </r>
  <r>
    <x v="5"/>
    <x v="135"/>
    <d v="1899-12-30T00:00:00"/>
    <s v="1ST"/>
    <s v="13:00"/>
    <n v="2"/>
    <x v="4"/>
    <n v="7.1000000000000004E-3"/>
    <s v="P"/>
    <s v="P"/>
    <s v="P"/>
    <s v="-"/>
    <s v="+"/>
    <n v="11.23"/>
    <s v="-"/>
    <s v="-"/>
    <s v="-"/>
    <s v="-"/>
    <s v="-"/>
    <s v="-"/>
    <s v="-"/>
    <s v="-"/>
    <s v="-"/>
    <s v="-"/>
    <s v="-"/>
    <n v="2"/>
    <n v="1"/>
    <n v="2"/>
    <n v="1"/>
    <s v="-"/>
    <s v="-"/>
    <s v="-"/>
    <s v="-"/>
    <s v="-"/>
    <s v="-"/>
    <s v="-"/>
    <n v="6"/>
    <n v="6"/>
    <s v="-"/>
    <s v="-"/>
    <s v="-"/>
    <n v="0"/>
    <n v="0"/>
    <n v="6"/>
    <n v="6"/>
  </r>
  <r>
    <x v="5"/>
    <x v="135"/>
    <d v="1899-12-30T00:00:00"/>
    <s v="1ST"/>
    <s v="09:00"/>
    <n v="3"/>
    <x v="1"/>
    <s v="-"/>
    <s v="P"/>
    <s v="P"/>
    <s v="P"/>
    <s v="+"/>
    <s v="+"/>
    <n v="12.01"/>
    <n v="12.5"/>
    <n v="0.55000000000000004"/>
    <n v="65.7"/>
    <s v="-"/>
    <s v="-"/>
    <n v="35"/>
    <s v="-"/>
    <s v="-"/>
    <s v="-"/>
    <s v="-"/>
    <s v="-"/>
    <s v="-"/>
    <n v="1"/>
    <n v="2"/>
    <n v="1"/>
    <n v="1"/>
    <n v="2"/>
    <n v="2"/>
    <s v="-"/>
    <s v="-"/>
    <n v="2"/>
    <s v="-"/>
    <n v="11"/>
    <n v="11"/>
    <s v="-"/>
    <s v="-"/>
    <s v="-"/>
    <n v="0"/>
    <n v="0"/>
    <n v="11"/>
    <n v="11"/>
  </r>
  <r>
    <x v="5"/>
    <x v="135"/>
    <d v="1899-12-30T00:00:00"/>
    <s v="1ST"/>
    <s v="11:00"/>
    <n v="3"/>
    <x v="1"/>
    <n v="1.7100000000000001E-2"/>
    <s v="P"/>
    <s v="P"/>
    <s v="P"/>
    <s v="+"/>
    <s v="+"/>
    <s v="-"/>
    <s v="-"/>
    <s v="-"/>
    <s v="-"/>
    <s v="-"/>
    <s v="-"/>
    <s v="-"/>
    <s v="-"/>
    <s v="-"/>
    <s v="-"/>
    <s v="-"/>
    <s v="-"/>
    <n v="2"/>
    <n v="1"/>
    <n v="2"/>
    <s v="-"/>
    <s v="-"/>
    <s v="-"/>
    <s v="-"/>
    <s v="-"/>
    <s v="-"/>
    <s v="-"/>
    <s v="-"/>
    <n v="5"/>
    <n v="5"/>
    <s v="-"/>
    <s v="-"/>
    <s v="-"/>
    <n v="0"/>
    <n v="0"/>
    <n v="5"/>
    <n v="5"/>
  </r>
  <r>
    <x v="5"/>
    <x v="135"/>
    <d v="1899-12-30T00:00:00"/>
    <s v="1ST"/>
    <s v="12:00"/>
    <n v="3"/>
    <x v="1"/>
    <s v="-"/>
    <s v="-"/>
    <s v="-"/>
    <s v="-"/>
    <s v="-"/>
    <s v="-"/>
    <s v="-"/>
    <s v="-"/>
    <s v="-"/>
    <s v="-"/>
    <s v="-"/>
    <s v="-"/>
    <s v="-"/>
    <s v="-"/>
    <s v="-"/>
    <s v="-"/>
    <s v="-"/>
    <s v="-"/>
    <s v="-"/>
    <s v="-"/>
    <s v="-"/>
    <s v="-"/>
    <s v="-"/>
    <s v="-"/>
    <s v="-"/>
    <s v="-"/>
    <s v="-"/>
    <s v="-"/>
    <s v="-"/>
    <n v="0"/>
    <n v="0"/>
    <s v="-"/>
    <s v="-"/>
    <s v="-"/>
    <n v="0"/>
    <n v="0"/>
    <n v="0"/>
    <n v="0"/>
  </r>
  <r>
    <x v="5"/>
    <x v="135"/>
    <d v="1899-12-30T00:00:00"/>
    <s v="1ST"/>
    <s v="13:00"/>
    <n v="3"/>
    <x v="1"/>
    <n v="1.7299999999999999E-2"/>
    <s v="P"/>
    <s v="P"/>
    <s v="P"/>
    <s v="+"/>
    <s v="+"/>
    <n v="11.89"/>
    <s v="-"/>
    <s v="-"/>
    <s v="-"/>
    <s v="-"/>
    <s v="-"/>
    <s v="-"/>
    <s v="-"/>
    <s v="-"/>
    <s v="-"/>
    <s v="-"/>
    <s v="-"/>
    <n v="2"/>
    <n v="1"/>
    <n v="2"/>
    <n v="0"/>
    <s v="-"/>
    <s v="-"/>
    <s v="-"/>
    <s v="-"/>
    <s v="-"/>
    <s v="-"/>
    <s v="-"/>
    <n v="5"/>
    <n v="6"/>
    <s v="-"/>
    <s v="-"/>
    <s v="-"/>
    <n v="0"/>
    <n v="0"/>
    <n v="5"/>
    <n v="6"/>
  </r>
  <r>
    <x v="5"/>
    <x v="135"/>
    <d v="2026-06-15T00:00:00"/>
    <s v="1ST"/>
    <s v="09:00"/>
    <s v="Retail"/>
    <x v="19"/>
    <s v="-"/>
    <s v="P"/>
    <s v="P"/>
    <s v="P"/>
    <s v="-"/>
    <s v="-"/>
    <n v="11.63"/>
    <n v="17.649999999999999"/>
    <s v="-"/>
    <n v="75"/>
    <s v="-"/>
    <s v="-"/>
    <n v="50.8"/>
    <s v="-"/>
    <s v="-"/>
    <s v="-"/>
    <s v="-"/>
    <s v="-"/>
    <s v="-"/>
    <n v="1"/>
    <n v="2"/>
    <n v="0"/>
    <n v="1"/>
    <s v="-"/>
    <n v="2"/>
    <s v="-"/>
    <s v="-"/>
    <n v="2"/>
    <s v="-"/>
    <n v="8"/>
    <n v="9"/>
    <s v="-"/>
    <s v="-"/>
    <s v="-"/>
    <n v="0"/>
    <n v="0"/>
    <n v="8"/>
    <n v="9"/>
  </r>
  <r>
    <x v="5"/>
    <x v="135"/>
    <d v="2026-06-18T00:00:00"/>
    <s v="2ND"/>
    <d v="1899-12-30T14:00:00"/>
    <n v="1"/>
    <x v="20"/>
    <n v="6.5100000000000005E-2"/>
    <s v="P"/>
    <s v="P"/>
    <s v="P"/>
    <s v="-"/>
    <s v="-"/>
    <n v="12.57"/>
    <n v="12.23"/>
    <n v="0.54"/>
    <s v="-"/>
    <s v="-"/>
    <s v="-"/>
    <n v="34.299999999999997"/>
    <s v="-"/>
    <s v="-"/>
    <s v="P"/>
    <s v="P"/>
    <s v="80% 20%"/>
    <n v="0"/>
    <n v="1"/>
    <n v="2"/>
    <n v="1"/>
    <n v="1"/>
    <n v="2"/>
    <s v="-"/>
    <s v="-"/>
    <s v="-"/>
    <n v="2"/>
    <s v="-"/>
    <n v="9"/>
    <n v="11"/>
    <s v="-"/>
    <n v="1"/>
    <n v="1"/>
    <n v="2"/>
    <n v="2"/>
    <n v="11"/>
    <n v="13"/>
  </r>
  <r>
    <x v="5"/>
    <x v="135"/>
    <d v="2026-06-18T00:00:00"/>
    <s v="2ND"/>
    <d v="1899-12-30T15:00:00"/>
    <n v="1"/>
    <x v="20"/>
    <n v="4.9700000000000001E-2"/>
    <s v="P"/>
    <s v="P"/>
    <s v="P"/>
    <s v="-"/>
    <s v="-"/>
    <n v="12.67"/>
    <s v="-"/>
    <s v="-"/>
    <s v="-"/>
    <s v="-"/>
    <s v="-"/>
    <s v="-"/>
    <s v="-"/>
    <s v="-"/>
    <s v="P"/>
    <s v="P"/>
    <s v="-"/>
    <n v="0"/>
    <n v="1"/>
    <n v="2"/>
    <n v="1"/>
    <s v="-"/>
    <s v="-"/>
    <s v="-"/>
    <s v="-"/>
    <s v="-"/>
    <s v="-"/>
    <s v="-"/>
    <n v="4"/>
    <n v="6"/>
    <s v="-"/>
    <n v="1"/>
    <n v="1"/>
    <n v="2"/>
    <n v="2"/>
    <n v="6"/>
    <n v="8"/>
  </r>
  <r>
    <x v="5"/>
    <x v="135"/>
    <d v="2026-06-18T00:00:00"/>
    <s v="2ND"/>
    <d v="1899-12-30T16:00:00"/>
    <n v="1"/>
    <x v="20"/>
    <n v="3.4799999999999998E-2"/>
    <s v="P"/>
    <s v="P"/>
    <s v="P"/>
    <s v="-"/>
    <s v="-"/>
    <n v="12.68"/>
    <s v="-"/>
    <s v="-"/>
    <s v="-"/>
    <s v="-"/>
    <s v="-"/>
    <s v="-"/>
    <s v="-"/>
    <s v="-"/>
    <s v="P"/>
    <s v="P"/>
    <s v="-"/>
    <n v="0"/>
    <n v="1"/>
    <n v="2"/>
    <n v="1"/>
    <s v="-"/>
    <s v="-"/>
    <s v="-"/>
    <s v="-"/>
    <s v="-"/>
    <s v="-"/>
    <s v="-"/>
    <n v="4"/>
    <n v="6"/>
    <s v="-"/>
    <n v="1"/>
    <n v="1"/>
    <n v="2"/>
    <n v="2"/>
    <n v="6"/>
    <n v="8"/>
  </r>
  <r>
    <x v="5"/>
    <x v="135"/>
    <d v="2026-06-18T00:00:00"/>
    <s v="2ND"/>
    <d v="1899-12-30T17:00:00"/>
    <n v="1"/>
    <x v="20"/>
    <n v="7.6899999999999996E-2"/>
    <s v="P"/>
    <s v="P"/>
    <s v="P"/>
    <s v="-"/>
    <s v="-"/>
    <n v="12.76"/>
    <s v="-"/>
    <s v="-"/>
    <s v="-"/>
    <s v="-"/>
    <s v="-"/>
    <s v="-"/>
    <s v="-"/>
    <s v="-"/>
    <s v="P"/>
    <s v="P"/>
    <s v="-"/>
    <n v="0"/>
    <n v="1"/>
    <n v="2"/>
    <n v="1"/>
    <s v="-"/>
    <s v="-"/>
    <s v="-"/>
    <s v="-"/>
    <s v="-"/>
    <s v="-"/>
    <s v="-"/>
    <n v="4"/>
    <n v="6"/>
    <s v="-"/>
    <n v="1"/>
    <n v="1"/>
    <n v="2"/>
    <n v="2"/>
    <n v="6"/>
    <n v="8"/>
  </r>
  <r>
    <x v="5"/>
    <x v="135"/>
    <d v="2026-06-18T00:00:00"/>
    <s v="2ND"/>
    <d v="1899-12-30T19:00:00"/>
    <n v="1"/>
    <x v="20"/>
    <n v="7.3899999999999993E-2"/>
    <s v="P"/>
    <s v="P"/>
    <s v="P"/>
    <s v="-"/>
    <s v="-"/>
    <n v="12.61"/>
    <s v="-"/>
    <s v="-"/>
    <s v="-"/>
    <s v="-"/>
    <s v="-"/>
    <s v="-"/>
    <s v="-"/>
    <s v="-"/>
    <s v="P"/>
    <s v="P"/>
    <s v="-"/>
    <n v="0"/>
    <n v="1"/>
    <n v="2"/>
    <n v="1"/>
    <s v="-"/>
    <s v="-"/>
    <s v="-"/>
    <s v="-"/>
    <s v="-"/>
    <s v="-"/>
    <s v="-"/>
    <n v="4"/>
    <n v="6"/>
    <s v="-"/>
    <n v="1"/>
    <n v="1"/>
    <n v="2"/>
    <n v="2"/>
    <n v="6"/>
    <n v="8"/>
  </r>
  <r>
    <x v="5"/>
    <x v="135"/>
    <d v="2026-06-18T00:00:00"/>
    <s v="2ND"/>
    <d v="1899-12-30T20:00:00"/>
    <n v="1"/>
    <x v="20"/>
    <n v="6.6000000000000003E-2"/>
    <s v="P"/>
    <s v="P"/>
    <s v="P"/>
    <s v="-"/>
    <s v="-"/>
    <n v="12.9"/>
    <s v="-"/>
    <s v="-"/>
    <s v="-"/>
    <s v="-"/>
    <s v="-"/>
    <s v="-"/>
    <s v="-"/>
    <s v="-"/>
    <s v="P"/>
    <s v="P"/>
    <s v="-"/>
    <n v="0"/>
    <n v="1"/>
    <n v="2"/>
    <n v="1"/>
    <s v="-"/>
    <s v="-"/>
    <s v="-"/>
    <s v="-"/>
    <s v="-"/>
    <s v="-"/>
    <s v="-"/>
    <n v="4"/>
    <n v="6"/>
    <s v="-"/>
    <n v="1"/>
    <n v="1"/>
    <n v="2"/>
    <n v="2"/>
    <n v="6"/>
    <n v="8"/>
  </r>
  <r>
    <x v="5"/>
    <x v="135"/>
    <d v="2026-06-18T00:00:00"/>
    <s v="2ND"/>
    <d v="1899-12-30T21:00:00"/>
    <n v="1"/>
    <x v="20"/>
    <n v="5.8099999999999999E-2"/>
    <s v="P"/>
    <s v="P"/>
    <s v="P"/>
    <s v="-"/>
    <s v="-"/>
    <n v="12.13"/>
    <s v="-"/>
    <s v="-"/>
    <s v="-"/>
    <s v="-"/>
    <s v="-"/>
    <s v="-"/>
    <s v="-"/>
    <s v="-"/>
    <s v="P"/>
    <s v="P"/>
    <s v="-"/>
    <n v="0"/>
    <n v="1"/>
    <n v="2"/>
    <n v="1"/>
    <s v="-"/>
    <s v="-"/>
    <s v="-"/>
    <s v="-"/>
    <s v="-"/>
    <s v="-"/>
    <s v="-"/>
    <n v="4"/>
    <n v="6"/>
    <s v="-"/>
    <n v="1"/>
    <n v="1"/>
    <n v="2"/>
    <n v="2"/>
    <n v="6"/>
    <n v="8"/>
  </r>
  <r>
    <x v="5"/>
    <x v="135"/>
    <d v="1902-03-26T00:00:00"/>
    <s v="2ND"/>
    <d v="1899-12-30T14:00:00"/>
    <n v="2"/>
    <x v="4"/>
    <n v="1.06E-2"/>
    <s v="P"/>
    <s v="P"/>
    <s v="P"/>
    <s v="-"/>
    <s v="+"/>
    <n v="11.36"/>
    <n v="9.24"/>
    <n v="0.55000000000000004"/>
    <n v="56.8"/>
    <s v="-"/>
    <s v="-"/>
    <n v="25.2"/>
    <s v="-"/>
    <s v="-"/>
    <s v="P"/>
    <s v="P"/>
    <s v="-"/>
    <n v="2"/>
    <n v="1"/>
    <n v="2"/>
    <n v="1"/>
    <n v="1"/>
    <n v="2"/>
    <n v="2"/>
    <s v="-"/>
    <s v="-"/>
    <n v="2"/>
    <s v="-"/>
    <n v="13"/>
    <n v="13"/>
    <s v="-"/>
    <n v="1"/>
    <n v="1"/>
    <n v="2"/>
    <n v="2"/>
    <n v="15"/>
    <n v="15"/>
  </r>
  <r>
    <x v="5"/>
    <x v="135"/>
    <d v="1902-03-26T00:00:00"/>
    <s v="2ND"/>
    <d v="1899-12-30T16:00:00"/>
    <n v="2"/>
    <x v="7"/>
    <n v="1.29E-2"/>
    <s v="P"/>
    <s v="P"/>
    <s v="P"/>
    <s v="-"/>
    <s v="+"/>
    <n v="11.12"/>
    <s v="-"/>
    <s v="-"/>
    <s v="-"/>
    <s v="-"/>
    <s v="-"/>
    <s v="-"/>
    <s v="-"/>
    <s v="-"/>
    <s v="P"/>
    <s v="P"/>
    <s v="-"/>
    <n v="2"/>
    <n v="1"/>
    <n v="2"/>
    <n v="1"/>
    <s v="-"/>
    <s v="-"/>
    <s v="-"/>
    <s v="-"/>
    <s v="-"/>
    <s v="-"/>
    <s v="-"/>
    <n v="6"/>
    <n v="6"/>
    <s v="-"/>
    <n v="1"/>
    <n v="1"/>
    <n v="2"/>
    <n v="2"/>
    <n v="8"/>
    <n v="8"/>
  </r>
  <r>
    <x v="5"/>
    <x v="135"/>
    <d v="1899-12-30T00:00:00"/>
    <s v="2ND"/>
    <d v="1899-12-30T17:00:00"/>
    <n v="2"/>
    <x v="7"/>
    <n v="1.24E-2"/>
    <s v="P"/>
    <s v="P"/>
    <s v="P"/>
    <s v="-"/>
    <s v="+"/>
    <n v="11.22"/>
    <s v="-"/>
    <s v="-"/>
    <s v="-"/>
    <s v="-"/>
    <s v="-"/>
    <s v="-"/>
    <s v="-"/>
    <s v="-"/>
    <s v="P"/>
    <s v="P"/>
    <s v="-"/>
    <n v="2"/>
    <n v="1"/>
    <n v="2"/>
    <n v="1"/>
    <s v="-"/>
    <s v="-"/>
    <s v="-"/>
    <s v="-"/>
    <s v="-"/>
    <s v="-"/>
    <s v="-"/>
    <n v="6"/>
    <n v="6"/>
    <s v="-"/>
    <n v="1"/>
    <n v="1"/>
    <n v="2"/>
    <n v="2"/>
    <n v="8"/>
    <n v="8"/>
  </r>
  <r>
    <x v="5"/>
    <x v="135"/>
    <d v="1899-12-30T00:00:00"/>
    <s v="2ND"/>
    <d v="1899-12-30T19:00:00"/>
    <n v="2"/>
    <x v="7"/>
    <n v="7.3000000000000001E-3"/>
    <s v="P"/>
    <s v="P"/>
    <s v="P"/>
    <s v="-"/>
    <s v="+"/>
    <n v="11.23"/>
    <s v="-"/>
    <s v="-"/>
    <s v="-"/>
    <s v="-"/>
    <s v="-"/>
    <s v="-"/>
    <s v="-"/>
    <s v="-"/>
    <s v="P"/>
    <s v="P"/>
    <s v="-"/>
    <n v="2"/>
    <n v="1"/>
    <n v="2"/>
    <n v="1"/>
    <s v="-"/>
    <s v="-"/>
    <s v="-"/>
    <s v="-"/>
    <s v="-"/>
    <s v="-"/>
    <s v="-"/>
    <n v="6"/>
    <n v="6"/>
    <s v="-"/>
    <n v="1"/>
    <n v="1"/>
    <n v="2"/>
    <n v="2"/>
    <n v="8"/>
    <n v="8"/>
  </r>
  <r>
    <x v="5"/>
    <x v="135"/>
    <d v="2026-06-19T00:00:00"/>
    <s v="2ND"/>
    <d v="1899-12-30T14:00:00"/>
    <n v="3"/>
    <x v="1"/>
    <n v="1.9400000000000001E-2"/>
    <s v="P"/>
    <s v="P"/>
    <s v="P"/>
    <s v="+"/>
    <s v="+"/>
    <n v="12.11"/>
    <n v="12.55"/>
    <n v="0.55000000000000004"/>
    <s v="-"/>
    <s v="-"/>
    <s v="-"/>
    <n v="35"/>
    <s v="-"/>
    <s v="-"/>
    <s v="P"/>
    <s v="P"/>
    <s v="85% 5% 10%"/>
    <n v="2"/>
    <n v="1"/>
    <n v="2"/>
    <n v="1"/>
    <n v="1"/>
    <n v="2"/>
    <s v="-"/>
    <s v="-"/>
    <s v="-"/>
    <n v="2"/>
    <s v="-"/>
    <n v="11"/>
    <n v="11"/>
    <s v="-"/>
    <n v="1"/>
    <n v="1"/>
    <n v="2"/>
    <n v="2"/>
    <n v="13"/>
    <n v="13"/>
  </r>
  <r>
    <x v="5"/>
    <x v="135"/>
    <d v="2026-06-19T00:00:00"/>
    <s v="2ND"/>
    <d v="1899-12-30T15:00:00"/>
    <n v="3"/>
    <x v="1"/>
    <n v="1.7600000000000001E-2"/>
    <s v="P"/>
    <s v="P"/>
    <s v="P"/>
    <s v="+"/>
    <s v="+"/>
    <n v="12.43"/>
    <s v="-"/>
    <s v="-"/>
    <s v="-"/>
    <s v="-"/>
    <s v="-"/>
    <s v="-"/>
    <s v="-"/>
    <s v="-"/>
    <s v="P"/>
    <s v="P"/>
    <s v="-"/>
    <n v="2"/>
    <n v="1"/>
    <n v="2"/>
    <n v="1"/>
    <s v="-"/>
    <s v="-"/>
    <s v="-"/>
    <s v="-"/>
    <s v="-"/>
    <s v="-"/>
    <s v="-"/>
    <n v="6"/>
    <n v="6"/>
    <s v="-"/>
    <n v="1"/>
    <n v="1"/>
    <n v="2"/>
    <n v="2"/>
    <n v="8"/>
    <n v="8"/>
  </r>
  <r>
    <x v="5"/>
    <x v="135"/>
    <d v="2026-06-19T00:00:00"/>
    <s v="2ND"/>
    <d v="1899-12-30T16:00:00"/>
    <n v="3"/>
    <x v="1"/>
    <n v="1.8700000000000001E-2"/>
    <s v="P"/>
    <s v="P"/>
    <s v="P"/>
    <s v="+"/>
    <s v="+"/>
    <n v="12.64"/>
    <s v="-"/>
    <s v="-"/>
    <s v="-"/>
    <s v="-"/>
    <s v="-"/>
    <s v="-"/>
    <s v="-"/>
    <s v="-"/>
    <s v="P"/>
    <s v="P"/>
    <s v="-"/>
    <n v="2"/>
    <n v="1"/>
    <n v="2"/>
    <n v="1"/>
    <s v="-"/>
    <s v="-"/>
    <s v="-"/>
    <s v="-"/>
    <s v="-"/>
    <s v="-"/>
    <s v="-"/>
    <n v="6"/>
    <n v="6"/>
    <s v="-"/>
    <n v="1"/>
    <n v="1"/>
    <n v="2"/>
    <n v="2"/>
    <n v="8"/>
    <n v="8"/>
  </r>
  <r>
    <x v="5"/>
    <x v="135"/>
    <d v="2026-06-19T00:00:00"/>
    <s v="2ND"/>
    <d v="1899-12-30T17:00:00"/>
    <n v="3"/>
    <x v="10"/>
    <n v="1.7600000000000001E-2"/>
    <s v="P"/>
    <s v="P"/>
    <s v="P"/>
    <s v="+"/>
    <s v="+"/>
    <n v="12.53"/>
    <n v="11.91"/>
    <s v="-"/>
    <n v="63.9"/>
    <s v="-"/>
    <s v="-"/>
    <n v="33.4"/>
    <s v="-"/>
    <s v="-"/>
    <s v="P"/>
    <s v="P"/>
    <n v="1"/>
    <n v="2"/>
    <n v="1"/>
    <n v="2"/>
    <n v="1"/>
    <n v="1"/>
    <s v="-"/>
    <n v="2"/>
    <s v="-"/>
    <s v="-"/>
    <n v="2"/>
    <s v="-"/>
    <n v="11"/>
    <n v="11"/>
    <s v="-"/>
    <n v="1"/>
    <n v="1"/>
    <n v="2"/>
    <n v="2"/>
    <n v="13"/>
    <n v="13"/>
  </r>
  <r>
    <x v="5"/>
    <x v="135"/>
    <d v="2026-06-23T00:00:00"/>
    <s v="2ND"/>
    <d v="1899-12-30T20:00:00"/>
    <n v="3"/>
    <x v="1"/>
    <n v="1.7600000000000001E-2"/>
    <s v="P"/>
    <s v="P"/>
    <s v="P"/>
    <s v="+"/>
    <s v="+"/>
    <n v="11.77"/>
    <s v="-"/>
    <s v="-"/>
    <s v="-"/>
    <s v="-"/>
    <s v="-"/>
    <s v="-"/>
    <s v="-"/>
    <s v="-"/>
    <s v="P"/>
    <s v="P"/>
    <s v="85% 5% 10%"/>
    <n v="2"/>
    <n v="1"/>
    <n v="2"/>
    <n v="0"/>
    <s v="-"/>
    <s v="-"/>
    <s v="-"/>
    <s v="-"/>
    <s v="-"/>
    <s v="-"/>
    <s v="-"/>
    <n v="5"/>
    <n v="6"/>
    <s v="-"/>
    <n v="1"/>
    <n v="1"/>
    <n v="2"/>
    <n v="2"/>
    <n v="7"/>
    <n v="8"/>
  </r>
  <r>
    <x v="5"/>
    <x v="135"/>
    <d v="2026-06-15T00:00:00"/>
    <s v="2ND"/>
    <d v="1899-12-30T16:00:00"/>
    <s v="Retail"/>
    <x v="25"/>
    <s v="-"/>
    <s v="-"/>
    <s v="P"/>
    <s v="P"/>
    <s v="+"/>
    <s v="+"/>
    <n v="11.32"/>
    <n v="14.3"/>
    <n v="1.1599999999999999"/>
    <n v="72.8"/>
    <n v="10.96"/>
    <n v="468"/>
    <n v="40.5"/>
    <s v="-"/>
    <s v="-"/>
    <s v="P"/>
    <s v="P"/>
    <s v="-"/>
    <s v="-"/>
    <s v="-"/>
    <n v="2"/>
    <n v="0"/>
    <n v="1"/>
    <n v="2"/>
    <n v="2"/>
    <n v="0"/>
    <n v="0"/>
    <n v="2"/>
    <s v="-"/>
    <n v="9"/>
    <n v="12"/>
    <s v="-"/>
    <n v="1"/>
    <n v="1"/>
    <n v="2"/>
    <n v="2"/>
    <n v="11"/>
    <n v="14"/>
  </r>
  <r>
    <x v="5"/>
    <x v="135"/>
    <d v="2026-06-15T00:00:00"/>
    <s v="2ND"/>
    <d v="1899-12-30T17:00:00"/>
    <s v="Retail"/>
    <x v="25"/>
    <s v="-"/>
    <s v="-"/>
    <s v="P"/>
    <s v="P"/>
    <s v="+"/>
    <s v="+"/>
    <n v="11.55"/>
    <s v="-"/>
    <s v="-"/>
    <s v="-"/>
    <s v="-"/>
    <s v="-"/>
    <s v="-"/>
    <s v="-"/>
    <s v="-"/>
    <s v="P"/>
    <s v="P"/>
    <s v="-"/>
    <s v="-"/>
    <s v="-"/>
    <n v="2"/>
    <n v="0"/>
    <s v="-"/>
    <s v="-"/>
    <s v="-"/>
    <s v="-"/>
    <s v="-"/>
    <s v="-"/>
    <s v="-"/>
    <n v="2"/>
    <n v="3"/>
    <s v="-"/>
    <n v="1"/>
    <n v="1"/>
    <n v="2"/>
    <n v="2"/>
    <n v="4"/>
    <n v="5"/>
  </r>
  <r>
    <x v="5"/>
    <x v="135"/>
    <d v="2026-06-15T00:00:00"/>
    <s v="2ND"/>
    <d v="1899-12-30T18:00:00"/>
    <s v="Retail"/>
    <x v="25"/>
    <s v="-"/>
    <s v="-"/>
    <s v="P"/>
    <s v="P"/>
    <s v="+"/>
    <s v="+"/>
    <n v="11.47"/>
    <s v="-"/>
    <s v="-"/>
    <s v="-"/>
    <s v="-"/>
    <s v="-"/>
    <s v="-"/>
    <s v="-"/>
    <s v="-"/>
    <s v="P"/>
    <s v="P"/>
    <s v="-"/>
    <s v="-"/>
    <s v="-"/>
    <n v="2"/>
    <n v="0"/>
    <s v="-"/>
    <s v="-"/>
    <s v="-"/>
    <s v="-"/>
    <s v="-"/>
    <s v="-"/>
    <s v="-"/>
    <n v="2"/>
    <n v="3"/>
    <s v="-"/>
    <n v="1"/>
    <n v="1"/>
    <n v="2"/>
    <n v="2"/>
    <n v="4"/>
    <n v="5"/>
  </r>
  <r>
    <x v="5"/>
    <x v="135"/>
    <d v="2026-06-16T00:00:00"/>
    <s v="3RD"/>
    <d v="1899-12-30T22:00:00"/>
    <n v="1"/>
    <x v="20"/>
    <n v="4.3099999999999999E-2"/>
    <s v="P"/>
    <s v="P"/>
    <s v="P"/>
    <s v="-"/>
    <s v="-"/>
    <n v="12.17"/>
    <n v="12.13"/>
    <n v="0.54"/>
    <s v="-"/>
    <s v="-"/>
    <s v="-"/>
    <n v="33.799999999999997"/>
    <s v="-"/>
    <s v="-"/>
    <s v="P"/>
    <s v="P"/>
    <s v="80% 20%"/>
    <n v="0"/>
    <n v="1"/>
    <n v="2"/>
    <n v="1"/>
    <n v="1"/>
    <n v="2"/>
    <s v="-"/>
    <s v="-"/>
    <s v="-"/>
    <n v="2"/>
    <s v="-"/>
    <n v="9"/>
    <n v="11"/>
    <s v="-"/>
    <n v="1"/>
    <n v="1"/>
    <n v="2"/>
    <n v="2"/>
    <n v="11"/>
    <n v="13"/>
  </r>
  <r>
    <x v="5"/>
    <x v="135"/>
    <d v="2026-06-16T00:00:00"/>
    <s v="3RD"/>
    <d v="1899-12-30T23:00:00"/>
    <n v="1"/>
    <x v="20"/>
    <n v="9.3399999999999997E-2"/>
    <s v="P"/>
    <s v="P"/>
    <s v="P"/>
    <s v="-"/>
    <s v="-"/>
    <n v="11.91"/>
    <s v="-"/>
    <s v="-"/>
    <s v="-"/>
    <s v="-"/>
    <s v="-"/>
    <s v="-"/>
    <s v="-"/>
    <s v="-"/>
    <s v="P"/>
    <s v="P"/>
    <s v="-"/>
    <n v="0"/>
    <n v="1"/>
    <n v="2"/>
    <n v="1"/>
    <s v="-"/>
    <s v="-"/>
    <s v="-"/>
    <s v="-"/>
    <s v="-"/>
    <s v="-"/>
    <s v="-"/>
    <n v="4"/>
    <n v="6"/>
    <s v="-"/>
    <n v="1"/>
    <n v="1"/>
    <n v="2"/>
    <n v="2"/>
    <n v="6"/>
    <n v="8"/>
  </r>
  <r>
    <x v="5"/>
    <x v="135"/>
    <d v="2026-06-16T00:00:00"/>
    <s v="3RD"/>
    <d v="1899-12-31T00:00:00"/>
    <n v="1"/>
    <x v="20"/>
    <n v="7.2800000000000004E-2"/>
    <s v="P"/>
    <s v="P"/>
    <s v="P"/>
    <s v="-"/>
    <s v="-"/>
    <n v="12.02"/>
    <s v="-"/>
    <s v="-"/>
    <s v="-"/>
    <s v="-"/>
    <s v="-"/>
    <s v="-"/>
    <s v="-"/>
    <s v="-"/>
    <s v="P"/>
    <s v="P"/>
    <s v="-"/>
    <n v="0"/>
    <n v="1"/>
    <n v="2"/>
    <n v="1"/>
    <s v="-"/>
    <s v="-"/>
    <s v="-"/>
    <s v="-"/>
    <s v="-"/>
    <s v="-"/>
    <s v="-"/>
    <n v="4"/>
    <n v="6"/>
    <s v="-"/>
    <n v="1"/>
    <n v="1"/>
    <n v="2"/>
    <n v="2"/>
    <n v="6"/>
    <n v="8"/>
  </r>
  <r>
    <x v="5"/>
    <x v="135"/>
    <d v="2026-06-16T00:00:00"/>
    <s v="3RD"/>
    <d v="1899-12-31T01:00:00"/>
    <n v="1"/>
    <x v="20"/>
    <n v="0.27329999999999999"/>
    <s v="P"/>
    <s v="P"/>
    <s v="P"/>
    <s v="-"/>
    <s v="-"/>
    <n v="11.07"/>
    <s v="-"/>
    <s v="-"/>
    <s v="-"/>
    <s v="-"/>
    <s v="-"/>
    <s v="-"/>
    <s v="-"/>
    <s v="-"/>
    <s v="P"/>
    <s v="P"/>
    <s v="-"/>
    <n v="0"/>
    <n v="1"/>
    <n v="2"/>
    <n v="1"/>
    <s v="-"/>
    <s v="-"/>
    <s v="-"/>
    <s v="-"/>
    <s v="-"/>
    <s v="-"/>
    <s v="-"/>
    <n v="4"/>
    <n v="6"/>
    <s v="-"/>
    <n v="1"/>
    <n v="1"/>
    <n v="2"/>
    <n v="2"/>
    <n v="6"/>
    <n v="8"/>
  </r>
  <r>
    <x v="5"/>
    <x v="135"/>
    <d v="2026-06-16T00:00:00"/>
    <s v="3RD"/>
    <d v="1899-12-31T02:00:00"/>
    <n v="1"/>
    <x v="20"/>
    <n v="5.1700000000000003E-2"/>
    <s v="P"/>
    <s v="P"/>
    <s v="P"/>
    <s v="-"/>
    <s v="-"/>
    <n v="12.1"/>
    <s v="-"/>
    <s v="-"/>
    <s v="-"/>
    <s v="-"/>
    <s v="-"/>
    <s v="-"/>
    <s v="-"/>
    <s v="-"/>
    <s v="P"/>
    <s v="P"/>
    <s v="-"/>
    <n v="0"/>
    <n v="1"/>
    <n v="2"/>
    <n v="1"/>
    <s v="-"/>
    <s v="-"/>
    <s v="-"/>
    <s v="-"/>
    <s v="-"/>
    <s v="-"/>
    <s v="-"/>
    <n v="4"/>
    <n v="6"/>
    <s v="-"/>
    <n v="1"/>
    <n v="1"/>
    <n v="2"/>
    <n v="2"/>
    <n v="6"/>
    <n v="8"/>
  </r>
  <r>
    <x v="5"/>
    <x v="135"/>
    <d v="1899-12-30T00:00:00"/>
    <s v="3RD"/>
    <d v="1899-12-31T04:00:00"/>
    <n v="2"/>
    <x v="7"/>
    <n v="5.3E-3"/>
    <s v="P"/>
    <s v="P"/>
    <s v="P"/>
    <s v="-"/>
    <s v="+"/>
    <n v="11.18"/>
    <n v="9.74"/>
    <n v="0.55000000000000004"/>
    <s v="-"/>
    <s v="-"/>
    <s v="-"/>
    <n v="26.64"/>
    <s v="-"/>
    <s v="-"/>
    <s v="P"/>
    <s v="P"/>
    <s v="-"/>
    <n v="2"/>
    <n v="1"/>
    <n v="2"/>
    <n v="1"/>
    <n v="1"/>
    <n v="2"/>
    <s v="-"/>
    <s v="-"/>
    <s v="-"/>
    <n v="2"/>
    <s v="-"/>
    <n v="11"/>
    <n v="11"/>
    <s v="-"/>
    <n v="1"/>
    <n v="1"/>
    <n v="2"/>
    <n v="2"/>
    <n v="13"/>
    <n v="13"/>
  </r>
  <r>
    <x v="5"/>
    <x v="135"/>
    <d v="1899-12-30T00:00:00"/>
    <s v="3RD"/>
    <d v="1899-12-31T05:00:00"/>
    <n v="2"/>
    <x v="7"/>
    <n v="6.0000000000000001E-3"/>
    <s v="P"/>
    <s v="P"/>
    <s v="P"/>
    <s v="-"/>
    <s v="+"/>
    <n v="11.25"/>
    <s v="-"/>
    <s v="-"/>
    <s v="-"/>
    <s v="-"/>
    <s v="-"/>
    <s v="-"/>
    <s v="-"/>
    <s v="-"/>
    <s v="P"/>
    <s v="P"/>
    <s v="-"/>
    <n v="2"/>
    <n v="1"/>
    <n v="2"/>
    <n v="1"/>
    <s v="-"/>
    <s v="-"/>
    <s v="-"/>
    <s v="-"/>
    <s v="-"/>
    <s v="-"/>
    <s v="-"/>
    <n v="6"/>
    <n v="6"/>
    <s v="-"/>
    <n v="1"/>
    <n v="1"/>
    <n v="2"/>
    <n v="2"/>
    <n v="8"/>
    <n v="8"/>
  </r>
  <r>
    <x v="5"/>
    <x v="135"/>
    <d v="2026-06-23T00:00:00"/>
    <s v="3RD"/>
    <d v="1899-12-30T23:00:00"/>
    <n v="3"/>
    <x v="1"/>
    <n v="1.2999999999999999E-2"/>
    <s v="P"/>
    <s v="P"/>
    <s v="P"/>
    <s v="+"/>
    <s v="+"/>
    <n v="11.73"/>
    <n v="12.55"/>
    <n v="0.59"/>
    <s v="-"/>
    <s v="-"/>
    <s v="-"/>
    <n v="35.1"/>
    <s v="-"/>
    <s v="-"/>
    <s v="P"/>
    <s v="P"/>
    <s v="85% 5% 10%"/>
    <n v="2"/>
    <n v="1"/>
    <n v="2"/>
    <n v="0"/>
    <n v="1"/>
    <n v="2"/>
    <s v="-"/>
    <s v="-"/>
    <s v="-"/>
    <n v="2"/>
    <s v="-"/>
    <n v="10"/>
    <n v="11"/>
    <s v="-"/>
    <n v="1"/>
    <n v="1"/>
    <n v="2"/>
    <n v="2"/>
    <n v="12"/>
    <n v="13"/>
  </r>
  <r>
    <x v="5"/>
    <x v="135"/>
    <d v="2026-06-23T00:00:00"/>
    <s v="3RD"/>
    <d v="1899-12-31T00:00:00"/>
    <n v="3"/>
    <x v="1"/>
    <n v="1.7100000000000001E-2"/>
    <s v="P"/>
    <s v="P"/>
    <s v="P"/>
    <s v="+"/>
    <s v="+"/>
    <n v="11.65"/>
    <s v="-"/>
    <n v="0.59"/>
    <s v="-"/>
    <s v="-"/>
    <s v="-"/>
    <s v="-"/>
    <s v="-"/>
    <s v="-"/>
    <s v="P"/>
    <s v="P"/>
    <s v="-"/>
    <n v="2"/>
    <n v="1"/>
    <n v="2"/>
    <n v="0"/>
    <s v="-"/>
    <n v="2"/>
    <s v="-"/>
    <s v="-"/>
    <s v="-"/>
    <s v="-"/>
    <s v="-"/>
    <n v="7"/>
    <n v="8"/>
    <s v="-"/>
    <n v="1"/>
    <n v="1"/>
    <n v="2"/>
    <n v="2"/>
    <n v="9"/>
    <n v="10"/>
  </r>
  <r>
    <x v="5"/>
    <x v="135"/>
    <d v="2026-06-23T00:00:00"/>
    <s v="3RD"/>
    <d v="1899-12-31T01:00:00"/>
    <n v="3"/>
    <x v="1"/>
    <n v="1.5599999999999999E-2"/>
    <s v="P"/>
    <s v="P"/>
    <s v="P"/>
    <s v="+"/>
    <s v="+"/>
    <n v="11.77"/>
    <s v="-"/>
    <s v="-"/>
    <s v="-"/>
    <s v="-"/>
    <s v="-"/>
    <s v="-"/>
    <s v="-"/>
    <s v="-"/>
    <s v="P"/>
    <s v="P"/>
    <s v="-"/>
    <n v="2"/>
    <n v="1"/>
    <n v="2"/>
    <n v="0"/>
    <s v="-"/>
    <s v="-"/>
    <s v="-"/>
    <s v="-"/>
    <s v="-"/>
    <s v="-"/>
    <s v="-"/>
    <n v="5"/>
    <n v="6"/>
    <s v="-"/>
    <n v="1"/>
    <n v="1"/>
    <n v="2"/>
    <n v="2"/>
    <n v="7"/>
    <n v="8"/>
  </r>
  <r>
    <x v="5"/>
    <x v="135"/>
    <d v="2026-06-23T00:00:00"/>
    <s v="3RD"/>
    <d v="1899-12-31T02:00:00"/>
    <n v="3"/>
    <x v="1"/>
    <n v="1.0500000000000001E-2"/>
    <s v="P"/>
    <s v="P"/>
    <s v="P"/>
    <s v="+"/>
    <s v="+"/>
    <n v="11.77"/>
    <s v="-"/>
    <s v="-"/>
    <s v="-"/>
    <s v="-"/>
    <s v="-"/>
    <s v="-"/>
    <s v="-"/>
    <s v="-"/>
    <s v="P"/>
    <s v="P"/>
    <s v="-"/>
    <n v="2"/>
    <n v="1"/>
    <n v="2"/>
    <n v="0"/>
    <s v="-"/>
    <s v="-"/>
    <s v="-"/>
    <s v="-"/>
    <s v="-"/>
    <s v="-"/>
    <s v="-"/>
    <n v="5"/>
    <n v="6"/>
    <s v="-"/>
    <n v="1"/>
    <n v="1"/>
    <n v="2"/>
    <n v="2"/>
    <n v="7"/>
    <n v="8"/>
  </r>
  <r>
    <x v="5"/>
    <x v="135"/>
    <d v="2026-06-23T00:00:00"/>
    <s v="3RD"/>
    <d v="1899-12-31T04:00:00"/>
    <n v="3"/>
    <x v="1"/>
    <n v="1.5599999999999999E-2"/>
    <s v="P"/>
    <s v="P"/>
    <s v="P"/>
    <s v="+"/>
    <s v="+"/>
    <n v="12.14"/>
    <s v="-"/>
    <s v="-"/>
    <s v="-"/>
    <s v="-"/>
    <s v="-"/>
    <s v="-"/>
    <s v="-"/>
    <s v="-"/>
    <s v="P"/>
    <s v="P"/>
    <s v="-"/>
    <n v="2"/>
    <n v="1"/>
    <n v="2"/>
    <n v="1"/>
    <s v="-"/>
    <s v="-"/>
    <s v="-"/>
    <s v="-"/>
    <s v="-"/>
    <s v="-"/>
    <s v="-"/>
    <n v="6"/>
    <n v="6"/>
    <s v="-"/>
    <n v="1"/>
    <n v="1"/>
    <n v="2"/>
    <n v="2"/>
    <n v="8"/>
    <n v="8"/>
  </r>
  <r>
    <x v="5"/>
    <x v="136"/>
    <d v="1899-12-30T00:00:00"/>
    <s v="1ST"/>
    <s v="06:00"/>
    <n v="2"/>
    <x v="7"/>
    <n v="1.83E-2"/>
    <s v="P"/>
    <s v="P"/>
    <s v="P"/>
    <s v="-"/>
    <s v="+"/>
    <n v="10.83"/>
    <s v="-"/>
    <s v="-"/>
    <s v="-"/>
    <s v="-"/>
    <s v="-"/>
    <s v="-"/>
    <s v="-"/>
    <n v="25.17"/>
    <s v="P"/>
    <s v="P"/>
    <s v="-"/>
    <n v="2"/>
    <n v="1"/>
    <n v="2"/>
    <n v="0"/>
    <s v="-"/>
    <s v="-"/>
    <s v="-"/>
    <s v="-"/>
    <s v="-"/>
    <s v="-"/>
    <s v="-"/>
    <n v="5"/>
    <n v="6"/>
    <n v="1"/>
    <n v="1"/>
    <n v="1"/>
    <n v="3"/>
    <n v="3"/>
    <n v="8"/>
    <n v="9"/>
  </r>
  <r>
    <x v="5"/>
    <x v="136"/>
    <d v="1899-12-30T00:00:00"/>
    <s v="1ST"/>
    <s v="07:00"/>
    <n v="2"/>
    <x v="7"/>
    <n v="1.7100000000000001E-2"/>
    <s v="P"/>
    <s v="P"/>
    <s v="P"/>
    <s v="-"/>
    <s v="+"/>
    <n v="11.02"/>
    <s v="-"/>
    <s v="-"/>
    <s v="-"/>
    <s v="-"/>
    <s v="-"/>
    <s v="-"/>
    <s v="-"/>
    <s v="-"/>
    <s v="P"/>
    <s v="P"/>
    <s v="-"/>
    <n v="2"/>
    <n v="1"/>
    <n v="2"/>
    <n v="1"/>
    <s v="-"/>
    <s v="-"/>
    <s v="-"/>
    <s v="-"/>
    <s v="-"/>
    <s v="-"/>
    <s v="-"/>
    <n v="6"/>
    <n v="6"/>
    <s v="-"/>
    <n v="1"/>
    <n v="1"/>
    <n v="2"/>
    <n v="2"/>
    <n v="8"/>
    <n v="8"/>
  </r>
  <r>
    <x v="5"/>
    <x v="136"/>
    <d v="1899-12-30T00:00:00"/>
    <s v="1ST"/>
    <s v="08:00"/>
    <n v="2"/>
    <x v="7"/>
    <n v="1.5900000000000001E-2"/>
    <s v="P"/>
    <s v="P"/>
    <s v="P"/>
    <s v="-"/>
    <s v="+"/>
    <n v="10.96"/>
    <s v="-"/>
    <s v="-"/>
    <s v="-"/>
    <s v="-"/>
    <s v="-"/>
    <s v="-"/>
    <s v="-"/>
    <s v="-"/>
    <s v="P"/>
    <s v="P"/>
    <s v="-"/>
    <n v="2"/>
    <n v="1"/>
    <n v="2"/>
    <n v="0"/>
    <s v="-"/>
    <s v="-"/>
    <s v="-"/>
    <s v="-"/>
    <s v="-"/>
    <s v="-"/>
    <s v="-"/>
    <n v="5"/>
    <n v="6"/>
    <s v="-"/>
    <n v="1"/>
    <n v="1"/>
    <n v="2"/>
    <n v="2"/>
    <n v="7"/>
    <n v="8"/>
  </r>
  <r>
    <x v="5"/>
    <x v="136"/>
    <d v="1899-12-30T00:00:00"/>
    <s v="1ST"/>
    <s v="09:00"/>
    <n v="2"/>
    <x v="7"/>
    <n v="1.8700000000000001E-2"/>
    <s v="P"/>
    <s v="P"/>
    <s v="P"/>
    <s v="-"/>
    <s v="+"/>
    <n v="11.34"/>
    <s v="-"/>
    <s v="-"/>
    <s v="-"/>
    <s v="-"/>
    <s v="-"/>
    <s v="-"/>
    <s v="-"/>
    <s v="-"/>
    <s v="P"/>
    <s v="P"/>
    <s v="-"/>
    <n v="2"/>
    <n v="1"/>
    <n v="2"/>
    <n v="1"/>
    <s v="-"/>
    <s v="-"/>
    <s v="-"/>
    <s v="-"/>
    <s v="-"/>
    <s v="-"/>
    <s v="-"/>
    <n v="6"/>
    <n v="6"/>
    <s v="-"/>
    <n v="1"/>
    <n v="1"/>
    <n v="2"/>
    <n v="2"/>
    <n v="8"/>
    <n v="8"/>
  </r>
  <r>
    <x v="5"/>
    <x v="136"/>
    <d v="1899-12-30T00:00:00"/>
    <s v="1ST"/>
    <s v="10:00"/>
    <n v="2"/>
    <x v="7"/>
    <n v="1.5599999999999999E-2"/>
    <s v="P"/>
    <s v="P"/>
    <s v="P"/>
    <s v="-"/>
    <s v="+"/>
    <n v="11.33"/>
    <s v="-"/>
    <s v="-"/>
    <s v="-"/>
    <s v="-"/>
    <s v="-"/>
    <s v="-"/>
    <s v="-"/>
    <s v="-"/>
    <s v="P"/>
    <s v="P"/>
    <s v="-"/>
    <n v="2"/>
    <n v="1"/>
    <n v="2"/>
    <n v="1"/>
    <s v="-"/>
    <s v="-"/>
    <s v="-"/>
    <s v="-"/>
    <s v="-"/>
    <s v="-"/>
    <s v="-"/>
    <n v="6"/>
    <n v="6"/>
    <s v="-"/>
    <n v="1"/>
    <n v="1"/>
    <n v="2"/>
    <n v="2"/>
    <n v="8"/>
    <n v="8"/>
  </r>
  <r>
    <x v="5"/>
    <x v="136"/>
    <d v="1899-12-30T00:00:00"/>
    <s v="1ST"/>
    <s v="11:00"/>
    <n v="2"/>
    <x v="7"/>
    <n v="1.43E-2"/>
    <s v="P"/>
    <s v="P"/>
    <s v="P"/>
    <s v="-"/>
    <s v="+"/>
    <n v="10.72"/>
    <s v="-"/>
    <s v="-"/>
    <s v="-"/>
    <s v="-"/>
    <s v="-"/>
    <s v="-"/>
    <s v="-"/>
    <s v="-"/>
    <s v="P"/>
    <s v="P"/>
    <s v="-"/>
    <n v="2"/>
    <n v="1"/>
    <n v="2"/>
    <n v="0"/>
    <s v="-"/>
    <s v="-"/>
    <s v="-"/>
    <s v="-"/>
    <s v="-"/>
    <s v="-"/>
    <s v="-"/>
    <n v="5"/>
    <n v="6"/>
    <s v="-"/>
    <n v="1"/>
    <n v="1"/>
    <n v="2"/>
    <n v="2"/>
    <n v="7"/>
    <n v="8"/>
  </r>
  <r>
    <x v="5"/>
    <x v="136"/>
    <d v="1899-12-30T00:00:00"/>
    <s v="1ST"/>
    <s v="13:00"/>
    <n v="2"/>
    <x v="7"/>
    <n v="1.54E-2"/>
    <s v="P"/>
    <s v="P"/>
    <s v="P"/>
    <s v="-"/>
    <s v="+"/>
    <n v="11.23"/>
    <s v="-"/>
    <s v="-"/>
    <s v="-"/>
    <s v="-"/>
    <s v="-"/>
    <s v="-"/>
    <s v="-"/>
    <s v="-"/>
    <s v="P"/>
    <s v="P"/>
    <s v="-"/>
    <n v="2"/>
    <n v="1"/>
    <n v="2"/>
    <n v="1"/>
    <s v="-"/>
    <s v="-"/>
    <s v="-"/>
    <s v="-"/>
    <s v="-"/>
    <s v="-"/>
    <s v="-"/>
    <n v="6"/>
    <n v="6"/>
    <s v="-"/>
    <n v="1"/>
    <n v="1"/>
    <n v="2"/>
    <n v="2"/>
    <n v="8"/>
    <n v="8"/>
  </r>
  <r>
    <x v="5"/>
    <x v="136"/>
    <d v="2026-06-18T00:00:00"/>
    <s v="1ST"/>
    <s v="13:00"/>
    <n v="3"/>
    <x v="11"/>
    <n v="6.2100000000000002E-2"/>
    <s v="P"/>
    <s v="P"/>
    <s v="P"/>
    <s v="+"/>
    <s v="+"/>
    <n v="12.04"/>
    <s v="-"/>
    <s v="-"/>
    <s v="-"/>
    <s v="-"/>
    <s v="-"/>
    <s v="-"/>
    <s v="-"/>
    <s v="-"/>
    <s v="-"/>
    <s v="-"/>
    <s v="-"/>
    <n v="0"/>
    <n v="1"/>
    <n v="2"/>
    <n v="1"/>
    <s v="-"/>
    <s v="-"/>
    <s v="-"/>
    <s v="-"/>
    <s v="-"/>
    <s v="-"/>
    <s v="-"/>
    <n v="4"/>
    <n v="6"/>
    <s v="-"/>
    <s v="-"/>
    <s v="-"/>
    <n v="0"/>
    <n v="0"/>
    <n v="4"/>
    <n v="6"/>
  </r>
  <r>
    <x v="5"/>
    <x v="136"/>
    <d v="1902-03-26T00:00:00"/>
    <s v="2ND"/>
    <d v="1899-12-30T14:00:00"/>
    <n v="2"/>
    <x v="7"/>
    <n v="1.12E-2"/>
    <s v="P"/>
    <s v="P"/>
    <s v="P"/>
    <s v="-"/>
    <s v="+"/>
    <n v="11.41"/>
    <s v="-"/>
    <s v="-"/>
    <s v="-"/>
    <s v="-"/>
    <s v="-"/>
    <s v="-"/>
    <s v="-"/>
    <s v="-"/>
    <s v="P"/>
    <s v="P"/>
    <s v="-"/>
    <n v="2"/>
    <n v="1"/>
    <n v="2"/>
    <n v="1"/>
    <s v="-"/>
    <s v="-"/>
    <s v="-"/>
    <s v="-"/>
    <s v="-"/>
    <s v="-"/>
    <s v="-"/>
    <n v="6"/>
    <n v="6"/>
    <s v="-"/>
    <n v="1"/>
    <n v="1"/>
    <n v="2"/>
    <n v="2"/>
    <n v="8"/>
    <n v="8"/>
  </r>
  <r>
    <x v="5"/>
    <x v="136"/>
    <d v="1899-12-30T00:00:00"/>
    <s v="2ND"/>
    <d v="1899-12-30T17:00:00"/>
    <n v="2"/>
    <x v="7"/>
    <n v="1.8599999999999998E-2"/>
    <s v="P"/>
    <s v="P"/>
    <s v="P"/>
    <s v="-"/>
    <s v="+"/>
    <n v="11.19"/>
    <s v="-"/>
    <s v="-"/>
    <s v="-"/>
    <s v="-"/>
    <s v="-"/>
    <s v="-"/>
    <s v="-"/>
    <s v="-"/>
    <s v="P"/>
    <s v="P"/>
    <s v="-"/>
    <n v="2"/>
    <n v="1"/>
    <n v="2"/>
    <n v="1"/>
    <s v="-"/>
    <s v="-"/>
    <s v="-"/>
    <s v="-"/>
    <s v="-"/>
    <s v="-"/>
    <s v="-"/>
    <n v="6"/>
    <n v="6"/>
    <s v="-"/>
    <n v="1"/>
    <n v="1"/>
    <n v="2"/>
    <n v="2"/>
    <n v="8"/>
    <n v="8"/>
  </r>
  <r>
    <x v="5"/>
    <x v="136"/>
    <d v="1899-12-30T00:00:00"/>
    <s v="2ND"/>
    <d v="1899-12-30T18:00:00"/>
    <n v="2"/>
    <x v="7"/>
    <n v="1.7899999999999999E-2"/>
    <s v="P"/>
    <s v="P"/>
    <s v="P"/>
    <s v="-"/>
    <s v="+"/>
    <n v="11.4"/>
    <s v="-"/>
    <s v="-"/>
    <s v="-"/>
    <s v="-"/>
    <s v="-"/>
    <s v="-"/>
    <s v="-"/>
    <s v="-"/>
    <s v="P"/>
    <s v="P"/>
    <s v="-"/>
    <n v="2"/>
    <n v="1"/>
    <n v="2"/>
    <n v="1"/>
    <s v="-"/>
    <s v="-"/>
    <s v="-"/>
    <s v="-"/>
    <s v="-"/>
    <s v="-"/>
    <s v="-"/>
    <n v="6"/>
    <n v="6"/>
    <s v="-"/>
    <n v="1"/>
    <n v="1"/>
    <n v="2"/>
    <n v="2"/>
    <n v="8"/>
    <n v="8"/>
  </r>
  <r>
    <x v="5"/>
    <x v="136"/>
    <d v="1899-12-30T00:00:00"/>
    <s v="2ND"/>
    <d v="1899-12-30T20:00:00"/>
    <n v="2"/>
    <x v="7"/>
    <n v="1.01E-2"/>
    <s v="P"/>
    <s v="P"/>
    <s v="P"/>
    <s v="-"/>
    <s v="+"/>
    <n v="11.35"/>
    <s v="-"/>
    <s v="-"/>
    <s v="-"/>
    <s v="-"/>
    <s v="-"/>
    <s v="-"/>
    <s v="-"/>
    <s v="-"/>
    <s v="P"/>
    <s v="P"/>
    <s v="-"/>
    <n v="2"/>
    <n v="1"/>
    <n v="2"/>
    <n v="1"/>
    <s v="-"/>
    <s v="-"/>
    <s v="-"/>
    <s v="-"/>
    <s v="-"/>
    <s v="-"/>
    <s v="-"/>
    <n v="6"/>
    <n v="6"/>
    <s v="-"/>
    <n v="1"/>
    <n v="1"/>
    <n v="2"/>
    <n v="2"/>
    <n v="8"/>
    <n v="8"/>
  </r>
  <r>
    <x v="5"/>
    <x v="136"/>
    <d v="2026-06-23T00:00:00"/>
    <s v="2ND"/>
    <d v="1899-12-30T15:00:00"/>
    <n v="3"/>
    <x v="1"/>
    <n v="1.8599999999999998E-2"/>
    <s v="P"/>
    <s v="P"/>
    <s v="P"/>
    <s v="+"/>
    <s v="+"/>
    <n v="11.77"/>
    <n v="12.55"/>
    <n v="0.57999999999999996"/>
    <n v="67.2"/>
    <s v="-"/>
    <s v="-"/>
    <n v="35.200000000000003"/>
    <s v="-"/>
    <s v="-"/>
    <s v="P"/>
    <s v="P"/>
    <s v="85% 5% 10%"/>
    <n v="2"/>
    <n v="1"/>
    <n v="2"/>
    <n v="0"/>
    <n v="1"/>
    <n v="2"/>
    <n v="2"/>
    <s v="-"/>
    <s v="-"/>
    <n v="2"/>
    <s v="-"/>
    <n v="12"/>
    <n v="13"/>
    <s v="-"/>
    <n v="1"/>
    <n v="1"/>
    <n v="2"/>
    <n v="2"/>
    <n v="14"/>
    <n v="15"/>
  </r>
  <r>
    <x v="5"/>
    <x v="136"/>
    <d v="2026-06-23T00:00:00"/>
    <s v="2ND"/>
    <d v="1899-12-30T17:00:00"/>
    <n v="3"/>
    <x v="1"/>
    <s v="-"/>
    <s v="P"/>
    <s v="P"/>
    <s v="P"/>
    <s v="+"/>
    <s v="+"/>
    <n v="12.12"/>
    <s v="-"/>
    <s v="-"/>
    <s v="-"/>
    <s v="-"/>
    <s v="-"/>
    <s v="-"/>
    <s v="-"/>
    <s v="-"/>
    <s v="P"/>
    <s v="P"/>
    <s v="-"/>
    <s v="-"/>
    <n v="1"/>
    <n v="2"/>
    <n v="1"/>
    <s v="-"/>
    <s v="-"/>
    <s v="-"/>
    <s v="-"/>
    <s v="-"/>
    <s v="-"/>
    <s v="-"/>
    <n v="4"/>
    <n v="4"/>
    <s v="-"/>
    <n v="1"/>
    <n v="1"/>
    <n v="2"/>
    <n v="2"/>
    <n v="6"/>
    <n v="6"/>
  </r>
  <r>
    <x v="5"/>
    <x v="136"/>
    <d v="2026-06-23T00:00:00"/>
    <s v="2ND"/>
    <d v="1899-12-30T18:00:00"/>
    <n v="3"/>
    <x v="1"/>
    <n v="1.9099999999999999E-2"/>
    <s v="P"/>
    <s v="P"/>
    <s v="P"/>
    <s v="+"/>
    <s v="+"/>
    <n v="12.12"/>
    <s v="-"/>
    <s v="-"/>
    <s v="-"/>
    <s v="-"/>
    <s v="-"/>
    <s v="-"/>
    <s v="-"/>
    <s v="-"/>
    <s v="P"/>
    <s v="P"/>
    <s v="-"/>
    <n v="2"/>
    <n v="1"/>
    <n v="2"/>
    <n v="1"/>
    <s v="-"/>
    <s v="-"/>
    <s v="-"/>
    <s v="-"/>
    <s v="-"/>
    <s v="-"/>
    <s v="-"/>
    <n v="6"/>
    <n v="6"/>
    <s v="-"/>
    <n v="1"/>
    <n v="1"/>
    <n v="2"/>
    <n v="2"/>
    <n v="8"/>
    <n v="8"/>
  </r>
  <r>
    <x v="5"/>
    <x v="137"/>
    <d v="1902-03-26T00:00:00"/>
    <s v="1ST"/>
    <s v="06:00"/>
    <n v="2"/>
    <x v="15"/>
    <n v="6.7999999999999996E-3"/>
    <s v="P"/>
    <s v="P"/>
    <s v="P"/>
    <s v="-"/>
    <s v="+"/>
    <n v="11.15"/>
    <s v="-"/>
    <s v="-"/>
    <s v="-"/>
    <s v="-"/>
    <s v="-"/>
    <s v="-"/>
    <s v="-"/>
    <s v="-"/>
    <s v="P"/>
    <s v="P"/>
    <s v="-"/>
    <n v="2"/>
    <n v="1"/>
    <n v="2"/>
    <n v="1"/>
    <s v="-"/>
    <s v="-"/>
    <s v="-"/>
    <s v="-"/>
    <s v="-"/>
    <s v="-"/>
    <s v="-"/>
    <n v="6"/>
    <n v="6"/>
    <s v="-"/>
    <n v="1"/>
    <n v="1"/>
    <n v="2"/>
    <n v="2"/>
    <n v="8"/>
    <n v="8"/>
  </r>
  <r>
    <x v="5"/>
    <x v="137"/>
    <d v="1899-12-30T00:00:00"/>
    <s v="1ST"/>
    <s v="07:00"/>
    <n v="2"/>
    <x v="15"/>
    <n v="7.1000000000000004E-3"/>
    <s v="P"/>
    <s v="P"/>
    <s v="P"/>
    <s v="-"/>
    <s v="+"/>
    <n v="10.6"/>
    <s v="-"/>
    <s v="-"/>
    <s v="-"/>
    <s v="-"/>
    <s v="-"/>
    <s v="-"/>
    <s v="-"/>
    <s v="-"/>
    <s v="P"/>
    <s v="P"/>
    <s v="-"/>
    <n v="2"/>
    <n v="1"/>
    <n v="2"/>
    <n v="0"/>
    <s v="-"/>
    <s v="-"/>
    <s v="-"/>
    <s v="-"/>
    <s v="-"/>
    <s v="-"/>
    <s v="-"/>
    <n v="5"/>
    <n v="6"/>
    <s v="-"/>
    <n v="1"/>
    <n v="1"/>
    <n v="2"/>
    <n v="2"/>
    <n v="7"/>
    <n v="8"/>
  </r>
  <r>
    <x v="5"/>
    <x v="137"/>
    <d v="1899-12-30T00:00:00"/>
    <s v="1ST"/>
    <s v="08:00"/>
    <n v="2"/>
    <x v="15"/>
    <n v="2.3E-3"/>
    <s v="P"/>
    <s v="P"/>
    <s v="P"/>
    <s v="-"/>
    <s v="+"/>
    <n v="11.38"/>
    <s v="-"/>
    <s v="-"/>
    <s v="-"/>
    <s v="-"/>
    <s v="-"/>
    <s v="-"/>
    <s v="-"/>
    <s v="-"/>
    <s v="P"/>
    <s v="P"/>
    <s v="-"/>
    <n v="2"/>
    <n v="1"/>
    <n v="2"/>
    <n v="1"/>
    <s v="-"/>
    <s v="-"/>
    <s v="-"/>
    <s v="-"/>
    <s v="-"/>
    <s v="-"/>
    <s v="-"/>
    <n v="6"/>
    <n v="6"/>
    <s v="-"/>
    <n v="1"/>
    <n v="1"/>
    <n v="2"/>
    <n v="2"/>
    <n v="8"/>
    <n v="8"/>
  </r>
  <r>
    <x v="5"/>
    <x v="137"/>
    <d v="1899-12-30T00:00:00"/>
    <s v="1ST"/>
    <s v="09:00"/>
    <n v="2"/>
    <x v="15"/>
    <n v="4.1000000000000003E-3"/>
    <s v="P"/>
    <s v="P"/>
    <s v="P"/>
    <s v="-"/>
    <s v="+"/>
    <n v="11.13"/>
    <s v="-"/>
    <s v="-"/>
    <s v="-"/>
    <s v="-"/>
    <s v="-"/>
    <s v="-"/>
    <s v="-"/>
    <s v="-"/>
    <s v="P"/>
    <s v="P"/>
    <s v="-"/>
    <n v="2"/>
    <n v="1"/>
    <n v="2"/>
    <n v="1"/>
    <s v="-"/>
    <s v="-"/>
    <s v="-"/>
    <s v="-"/>
    <s v="-"/>
    <s v="-"/>
    <s v="-"/>
    <n v="6"/>
    <n v="6"/>
    <s v="-"/>
    <n v="1"/>
    <n v="1"/>
    <n v="2"/>
    <n v="2"/>
    <n v="8"/>
    <n v="8"/>
  </r>
  <r>
    <x v="5"/>
    <x v="137"/>
    <d v="1899-12-30T00:00:00"/>
    <s v="1ST"/>
    <s v="10:00"/>
    <n v="2"/>
    <x v="15"/>
    <n v="5.1999999999999998E-3"/>
    <s v="P"/>
    <s v="P"/>
    <s v="P"/>
    <s v="-"/>
    <s v="+"/>
    <n v="11.14"/>
    <s v="-"/>
    <s v="-"/>
    <s v="-"/>
    <s v="-"/>
    <s v="-"/>
    <s v="-"/>
    <s v="-"/>
    <s v="-"/>
    <s v="P"/>
    <s v="P"/>
    <s v="-"/>
    <n v="2"/>
    <n v="1"/>
    <n v="2"/>
    <n v="1"/>
    <s v="-"/>
    <s v="-"/>
    <s v="-"/>
    <s v="-"/>
    <s v="-"/>
    <s v="-"/>
    <s v="-"/>
    <n v="6"/>
    <n v="6"/>
    <s v="-"/>
    <n v="1"/>
    <n v="1"/>
    <n v="2"/>
    <n v="2"/>
    <n v="8"/>
    <n v="8"/>
  </r>
  <r>
    <x v="5"/>
    <x v="137"/>
    <d v="2026-06-23T00:00:00"/>
    <s v="1ST"/>
    <s v="08:00"/>
    <n v="3"/>
    <x v="1"/>
    <n v="1.7100000000000001E-2"/>
    <s v="P"/>
    <s v="P"/>
    <s v="P"/>
    <s v="+"/>
    <s v="+"/>
    <n v="11.99"/>
    <n v="12.63"/>
    <n v="0.54"/>
    <s v="-"/>
    <s v="-"/>
    <s v="-"/>
    <n v="35.4"/>
    <s v="-"/>
    <s v="-"/>
    <s v="P"/>
    <s v="P"/>
    <s v="85% 5% 10%"/>
    <n v="2"/>
    <n v="1"/>
    <n v="2"/>
    <n v="0"/>
    <n v="1"/>
    <n v="2"/>
    <s v="-"/>
    <s v="-"/>
    <s v="-"/>
    <n v="2"/>
    <s v="-"/>
    <n v="10"/>
    <n v="11"/>
    <s v="-"/>
    <n v="1"/>
    <n v="1"/>
    <n v="2"/>
    <n v="2"/>
    <n v="12"/>
    <n v="13"/>
  </r>
  <r>
    <x v="5"/>
    <x v="137"/>
    <d v="2026-06-23T00:00:00"/>
    <s v="1ST"/>
    <s v="09:00"/>
    <n v="3"/>
    <x v="1"/>
    <s v="-"/>
    <s v="P"/>
    <s v="P"/>
    <s v="P"/>
    <s v="+"/>
    <s v="+"/>
    <n v="11.98"/>
    <s v="-"/>
    <s v="-"/>
    <s v="-"/>
    <s v="-"/>
    <s v="-"/>
    <s v="-"/>
    <s v="-"/>
    <s v="-"/>
    <s v="P"/>
    <s v="P"/>
    <s v="-"/>
    <s v="-"/>
    <n v="1"/>
    <n v="2"/>
    <n v="0"/>
    <s v="-"/>
    <s v="-"/>
    <s v="-"/>
    <s v="-"/>
    <s v="-"/>
    <s v="-"/>
    <s v="-"/>
    <n v="3"/>
    <n v="4"/>
    <s v="-"/>
    <n v="1"/>
    <n v="1"/>
    <n v="2"/>
    <n v="2"/>
    <n v="5"/>
    <n v="6"/>
  </r>
  <r>
    <x v="5"/>
    <x v="137"/>
    <d v="2026-06-24T00:00:00"/>
    <s v="2ND"/>
    <d v="1899-12-30T15:00:00"/>
    <n v="1"/>
    <x v="22"/>
    <n v="1.8599999999999998E-2"/>
    <s v="P"/>
    <s v="P"/>
    <s v="P"/>
    <s v="-"/>
    <s v="-"/>
    <n v="11.99"/>
    <n v="8.9"/>
    <n v="0.39"/>
    <n v="55.2"/>
    <s v="-"/>
    <s v="-"/>
    <n v="24.1"/>
    <s v="-"/>
    <s v="-"/>
    <s v="P"/>
    <s v="P"/>
    <n v="1"/>
    <n v="2"/>
    <n v="1"/>
    <n v="2"/>
    <n v="1"/>
    <n v="1"/>
    <n v="0"/>
    <n v="2"/>
    <s v="-"/>
    <s v="-"/>
    <n v="2"/>
    <s v="-"/>
    <n v="11"/>
    <n v="13"/>
    <s v="-"/>
    <n v="1"/>
    <n v="1"/>
    <n v="2"/>
    <n v="2"/>
    <n v="13"/>
    <n v="15"/>
  </r>
  <r>
    <x v="5"/>
    <x v="137"/>
    <d v="2026-06-24T00:00:00"/>
    <s v="2ND"/>
    <d v="1899-12-30T16:00:00"/>
    <n v="1"/>
    <x v="22"/>
    <n v="6.8999999999999999E-3"/>
    <s v="P"/>
    <s v="P"/>
    <s v="P"/>
    <s v="-"/>
    <s v="-"/>
    <n v="12.18"/>
    <s v="-"/>
    <s v="-"/>
    <s v="-"/>
    <s v="-"/>
    <s v="-"/>
    <s v="-"/>
    <s v="-"/>
    <s v="-"/>
    <s v="P"/>
    <s v="P"/>
    <s v="-"/>
    <n v="2"/>
    <n v="1"/>
    <n v="2"/>
    <n v="1"/>
    <s v="-"/>
    <s v="-"/>
    <s v="-"/>
    <s v="-"/>
    <s v="-"/>
    <s v="-"/>
    <s v="-"/>
    <n v="6"/>
    <n v="6"/>
    <s v="-"/>
    <n v="1"/>
    <n v="1"/>
    <n v="2"/>
    <n v="2"/>
    <n v="8"/>
    <n v="8"/>
  </r>
  <r>
    <x v="5"/>
    <x v="137"/>
    <d v="2026-06-24T00:00:00"/>
    <s v="2ND"/>
    <d v="1899-12-30T18:00:00"/>
    <n v="1"/>
    <x v="22"/>
    <n v="1.77E-2"/>
    <s v="P"/>
    <s v="P"/>
    <s v="P"/>
    <s v="-"/>
    <s v="-"/>
    <n v="11.79"/>
    <s v="-"/>
    <s v="-"/>
    <s v="-"/>
    <s v="-"/>
    <s v="-"/>
    <s v="-"/>
    <s v="-"/>
    <s v="-"/>
    <s v="P"/>
    <s v="P"/>
    <s v="-"/>
    <n v="2"/>
    <n v="1"/>
    <n v="2"/>
    <n v="1"/>
    <s v="-"/>
    <s v="-"/>
    <s v="-"/>
    <s v="-"/>
    <s v="-"/>
    <s v="-"/>
    <s v="-"/>
    <n v="6"/>
    <n v="6"/>
    <s v="-"/>
    <n v="1"/>
    <n v="1"/>
    <n v="2"/>
    <n v="2"/>
    <n v="8"/>
    <n v="8"/>
  </r>
  <r>
    <x v="5"/>
    <x v="137"/>
    <d v="2026-06-24T00:00:00"/>
    <s v="2ND"/>
    <d v="1899-12-30T19:00:00"/>
    <n v="1"/>
    <x v="22"/>
    <n v="1.95E-2"/>
    <s v="P"/>
    <s v="P"/>
    <s v="P"/>
    <s v="-"/>
    <s v="-"/>
    <n v="11.78"/>
    <s v="-"/>
    <s v="-"/>
    <s v="-"/>
    <s v="-"/>
    <s v="-"/>
    <s v="-"/>
    <s v="-"/>
    <s v="-"/>
    <s v="P"/>
    <s v="P"/>
    <s v="-"/>
    <n v="2"/>
    <n v="1"/>
    <n v="2"/>
    <n v="1"/>
    <s v="-"/>
    <s v="-"/>
    <s v="-"/>
    <s v="-"/>
    <s v="-"/>
    <s v="-"/>
    <s v="-"/>
    <n v="6"/>
    <n v="6"/>
    <s v="-"/>
    <n v="1"/>
    <n v="1"/>
    <n v="2"/>
    <n v="2"/>
    <n v="8"/>
    <n v="8"/>
  </r>
  <r>
    <x v="5"/>
    <x v="137"/>
    <d v="1902-03-26T00:00:00"/>
    <s v="2ND"/>
    <d v="1899-12-30T20:00:00"/>
    <n v="2"/>
    <x v="17"/>
    <n v="9.4000000000000004E-3"/>
    <s v="P"/>
    <s v="P"/>
    <s v="P"/>
    <s v="-"/>
    <s v="+"/>
    <n v="11.12"/>
    <s v="-"/>
    <s v="-"/>
    <s v="-"/>
    <s v="-"/>
    <s v="-"/>
    <s v="-"/>
    <s v="-"/>
    <s v="-"/>
    <s v="P"/>
    <s v="P"/>
    <s v="-"/>
    <n v="2"/>
    <n v="1"/>
    <n v="2"/>
    <n v="1"/>
    <s v="-"/>
    <s v="-"/>
    <s v="-"/>
    <s v="-"/>
    <s v="-"/>
    <s v="-"/>
    <s v="-"/>
    <n v="6"/>
    <n v="6"/>
    <s v="-"/>
    <n v="1"/>
    <n v="1"/>
    <n v="2"/>
    <n v="2"/>
    <n v="8"/>
    <n v="8"/>
  </r>
  <r>
    <x v="5"/>
    <x v="137"/>
    <d v="2026-06-23T00:00:00"/>
    <s v="2ND"/>
    <d v="1899-12-30T16:00:00"/>
    <n v="3"/>
    <x v="1"/>
    <n v="1.9099999999999999E-2"/>
    <s v="P"/>
    <s v="P"/>
    <s v="P"/>
    <s v="+"/>
    <s v="+"/>
    <n v="11.86"/>
    <n v="12.21"/>
    <n v="0.54"/>
    <s v="-"/>
    <s v="-"/>
    <s v="-"/>
    <n v="34.1"/>
    <s v="-"/>
    <s v="-"/>
    <s v="P"/>
    <s v="P"/>
    <s v="85% 5% 10%"/>
    <n v="2"/>
    <n v="1"/>
    <n v="2"/>
    <n v="0"/>
    <n v="1"/>
    <n v="2"/>
    <s v="-"/>
    <s v="-"/>
    <s v="-"/>
    <n v="2"/>
    <s v="-"/>
    <n v="10"/>
    <n v="11"/>
    <s v="-"/>
    <n v="1"/>
    <n v="1"/>
    <n v="2"/>
    <n v="2"/>
    <n v="12"/>
    <n v="13"/>
  </r>
  <r>
    <x v="5"/>
    <x v="137"/>
    <d v="2026-06-23T00:00:00"/>
    <s v="2ND"/>
    <d v="1899-12-30T19:00:00"/>
    <n v="3"/>
    <x v="1"/>
    <n v="1.89E-2"/>
    <s v="P"/>
    <s v="P"/>
    <s v="P"/>
    <s v="+"/>
    <s v="+"/>
    <s v="-"/>
    <s v="-"/>
    <s v="-"/>
    <s v="-"/>
    <s v="-"/>
    <s v="-"/>
    <s v="-"/>
    <s v="-"/>
    <s v="-"/>
    <s v="P"/>
    <s v="P"/>
    <s v="-"/>
    <n v="2"/>
    <n v="1"/>
    <n v="2"/>
    <s v="-"/>
    <s v="-"/>
    <s v="-"/>
    <s v="-"/>
    <s v="-"/>
    <s v="-"/>
    <s v="-"/>
    <s v="-"/>
    <n v="5"/>
    <n v="5"/>
    <s v="-"/>
    <n v="1"/>
    <n v="1"/>
    <n v="2"/>
    <n v="2"/>
    <n v="7"/>
    <n v="7"/>
  </r>
  <r>
    <x v="5"/>
    <x v="137"/>
    <d v="2026-06-23T00:00:00"/>
    <s v="2ND"/>
    <d v="1899-12-30T20:00:00"/>
    <n v="3"/>
    <x v="1"/>
    <n v="1.9099999999999999E-2"/>
    <s v="P"/>
    <s v="P"/>
    <s v="P"/>
    <s v="+"/>
    <s v="+"/>
    <n v="12.88"/>
    <s v="-"/>
    <s v="-"/>
    <s v="-"/>
    <s v="-"/>
    <s v="-"/>
    <s v="-"/>
    <s v="-"/>
    <s v="-"/>
    <s v="P"/>
    <s v="P"/>
    <s v="-"/>
    <n v="2"/>
    <n v="1"/>
    <n v="2"/>
    <n v="1"/>
    <s v="-"/>
    <s v="-"/>
    <s v="-"/>
    <s v="-"/>
    <s v="-"/>
    <s v="-"/>
    <s v="-"/>
    <n v="6"/>
    <n v="6"/>
    <s v="-"/>
    <n v="1"/>
    <n v="1"/>
    <n v="2"/>
    <n v="2"/>
    <n v="8"/>
    <n v="8"/>
  </r>
  <r>
    <x v="5"/>
    <x v="137"/>
    <d v="2026-06-23T00:00:00"/>
    <s v="2ND"/>
    <d v="1899-12-30T21:00:00"/>
    <n v="3"/>
    <x v="1"/>
    <n v="1.8700000000000001E-2"/>
    <s v="P"/>
    <s v="P"/>
    <s v="P"/>
    <s v="+"/>
    <s v="+"/>
    <n v="12.95"/>
    <s v="-"/>
    <s v="-"/>
    <s v="-"/>
    <s v="-"/>
    <s v="-"/>
    <s v="-"/>
    <s v="-"/>
    <s v="-"/>
    <s v="P"/>
    <s v="P"/>
    <s v="-"/>
    <n v="2"/>
    <n v="1"/>
    <n v="2"/>
    <n v="1"/>
    <s v="-"/>
    <s v="-"/>
    <s v="-"/>
    <s v="-"/>
    <s v="-"/>
    <s v="-"/>
    <s v="-"/>
    <n v="6"/>
    <n v="6"/>
    <s v="-"/>
    <n v="1"/>
    <n v="1"/>
    <n v="2"/>
    <n v="2"/>
    <n v="8"/>
    <n v="8"/>
  </r>
  <r>
    <x v="5"/>
    <x v="137"/>
    <d v="2026-06-24T00:00:00"/>
    <s v="3RD"/>
    <d v="1899-12-30T22:00:00"/>
    <n v="1"/>
    <x v="22"/>
    <n v="1.9800000000000002E-2"/>
    <s v="P"/>
    <s v="P"/>
    <s v="P"/>
    <s v="-"/>
    <s v="-"/>
    <n v="12"/>
    <n v="8.6"/>
    <n v="0.39"/>
    <s v="-"/>
    <s v="-"/>
    <s v="-"/>
    <n v="23.1"/>
    <s v="-"/>
    <s v="-"/>
    <s v="P"/>
    <s v="P"/>
    <n v="1"/>
    <n v="2"/>
    <n v="1"/>
    <n v="2"/>
    <n v="1"/>
    <n v="1"/>
    <n v="0"/>
    <s v="-"/>
    <s v="-"/>
    <s v="-"/>
    <n v="2"/>
    <s v="-"/>
    <n v="9"/>
    <n v="11"/>
    <s v="-"/>
    <n v="1"/>
    <n v="1"/>
    <n v="2"/>
    <n v="2"/>
    <n v="11"/>
    <n v="13"/>
  </r>
  <r>
    <x v="5"/>
    <x v="137"/>
    <d v="2026-06-24T00:00:00"/>
    <s v="3RD"/>
    <d v="1899-12-30T23:00:00"/>
    <n v="1"/>
    <x v="22"/>
    <n v="1.38E-2"/>
    <s v="P"/>
    <s v="P"/>
    <s v="P"/>
    <s v="-"/>
    <s v="-"/>
    <n v="11.93"/>
    <s v="-"/>
    <s v="-"/>
    <s v="-"/>
    <s v="-"/>
    <s v="-"/>
    <s v="-"/>
    <s v="-"/>
    <s v="-"/>
    <s v="P"/>
    <s v="P"/>
    <s v="-"/>
    <n v="2"/>
    <n v="1"/>
    <n v="2"/>
    <n v="1"/>
    <s v="-"/>
    <s v="-"/>
    <s v="-"/>
    <s v="-"/>
    <s v="-"/>
    <s v="-"/>
    <s v="-"/>
    <n v="6"/>
    <n v="6"/>
    <s v="-"/>
    <n v="1"/>
    <n v="1"/>
    <n v="2"/>
    <n v="2"/>
    <n v="8"/>
    <n v="8"/>
  </r>
  <r>
    <x v="5"/>
    <x v="137"/>
    <d v="2026-06-24T00:00:00"/>
    <s v="3RD"/>
    <d v="1899-12-31T00:00:00"/>
    <n v="1"/>
    <x v="22"/>
    <n v="1.0699999999999999E-2"/>
    <s v="P"/>
    <s v="P"/>
    <s v="P"/>
    <s v="-"/>
    <s v="-"/>
    <n v="12.02"/>
    <s v="-"/>
    <s v="-"/>
    <s v="-"/>
    <s v="-"/>
    <s v="-"/>
    <s v="-"/>
    <s v="-"/>
    <s v="-"/>
    <s v="P"/>
    <s v="P"/>
    <s v="-"/>
    <n v="2"/>
    <n v="1"/>
    <n v="2"/>
    <n v="1"/>
    <s v="-"/>
    <s v="-"/>
    <s v="-"/>
    <s v="-"/>
    <s v="-"/>
    <s v="-"/>
    <s v="-"/>
    <n v="6"/>
    <n v="6"/>
    <s v="-"/>
    <n v="1"/>
    <n v="1"/>
    <n v="2"/>
    <n v="2"/>
    <n v="8"/>
    <n v="8"/>
  </r>
  <r>
    <x v="5"/>
    <x v="137"/>
    <d v="2026-06-24T00:00:00"/>
    <s v="3RD"/>
    <d v="1899-12-31T01:00:00"/>
    <n v="1"/>
    <x v="22"/>
    <n v="7.4999999999999997E-3"/>
    <s v="P"/>
    <s v="P"/>
    <s v="P"/>
    <s v="-"/>
    <s v="-"/>
    <n v="11.66"/>
    <s v="-"/>
    <s v="-"/>
    <s v="-"/>
    <s v="-"/>
    <s v="-"/>
    <s v="-"/>
    <s v="-"/>
    <s v="-"/>
    <s v="P"/>
    <s v="P"/>
    <s v="-"/>
    <n v="2"/>
    <n v="1"/>
    <n v="2"/>
    <n v="1"/>
    <s v="-"/>
    <s v="-"/>
    <s v="-"/>
    <s v="-"/>
    <s v="-"/>
    <s v="-"/>
    <s v="-"/>
    <n v="6"/>
    <n v="6"/>
    <s v="-"/>
    <n v="1"/>
    <n v="1"/>
    <n v="2"/>
    <n v="2"/>
    <n v="8"/>
    <n v="8"/>
  </r>
  <r>
    <x v="5"/>
    <x v="137"/>
    <d v="2026-06-24T00:00:00"/>
    <s v="3RD"/>
    <d v="1899-12-31T02:00:00"/>
    <n v="1"/>
    <x v="22"/>
    <n v="4.7999999999999996E-3"/>
    <s v="P"/>
    <s v="P"/>
    <s v="P"/>
    <s v="-"/>
    <s v="-"/>
    <n v="11.9"/>
    <s v="-"/>
    <s v="-"/>
    <s v="-"/>
    <s v="-"/>
    <s v="-"/>
    <s v="-"/>
    <s v="-"/>
    <s v="-"/>
    <s v="P"/>
    <s v="P"/>
    <s v="-"/>
    <n v="2"/>
    <n v="1"/>
    <n v="2"/>
    <n v="1"/>
    <s v="-"/>
    <s v="-"/>
    <s v="-"/>
    <s v="-"/>
    <s v="-"/>
    <s v="-"/>
    <s v="-"/>
    <n v="6"/>
    <n v="6"/>
    <s v="-"/>
    <n v="1"/>
    <n v="1"/>
    <n v="2"/>
    <n v="2"/>
    <n v="8"/>
    <n v="8"/>
  </r>
  <r>
    <x v="5"/>
    <x v="137"/>
    <d v="2026-06-24T00:00:00"/>
    <s v="3RD"/>
    <d v="1899-12-31T03:00:00"/>
    <n v="1"/>
    <x v="22"/>
    <n v="4.4999999999999997E-3"/>
    <s v="P"/>
    <s v="P"/>
    <s v="P"/>
    <s v="-"/>
    <s v="-"/>
    <n v="11.42"/>
    <s v="-"/>
    <s v="-"/>
    <s v="-"/>
    <s v="-"/>
    <s v="-"/>
    <s v="-"/>
    <s v="-"/>
    <s v="-"/>
    <s v="P"/>
    <s v="P"/>
    <s v="-"/>
    <n v="2"/>
    <n v="1"/>
    <n v="2"/>
    <n v="1"/>
    <s v="-"/>
    <s v="-"/>
    <s v="-"/>
    <s v="-"/>
    <s v="-"/>
    <s v="-"/>
    <s v="-"/>
    <n v="6"/>
    <n v="6"/>
    <s v="-"/>
    <n v="1"/>
    <n v="1"/>
    <n v="2"/>
    <n v="2"/>
    <n v="8"/>
    <n v="8"/>
  </r>
  <r>
    <x v="5"/>
    <x v="137"/>
    <d v="2026-06-24T00:00:00"/>
    <s v="3RD"/>
    <d v="1899-12-31T04:00:00"/>
    <n v="1"/>
    <x v="22"/>
    <n v="5.5999999999999999E-3"/>
    <s v="P"/>
    <s v="P"/>
    <s v="P"/>
    <s v="-"/>
    <s v="-"/>
    <n v="11.74"/>
    <s v="-"/>
    <s v="-"/>
    <s v="-"/>
    <s v="-"/>
    <s v="-"/>
    <s v="-"/>
    <s v="-"/>
    <s v="-"/>
    <s v="P"/>
    <s v="P"/>
    <s v="-"/>
    <n v="2"/>
    <n v="1"/>
    <n v="2"/>
    <n v="1"/>
    <s v="-"/>
    <s v="-"/>
    <s v="-"/>
    <s v="-"/>
    <s v="-"/>
    <s v="-"/>
    <s v="-"/>
    <n v="6"/>
    <n v="6"/>
    <s v="-"/>
    <n v="1"/>
    <n v="1"/>
    <n v="2"/>
    <n v="2"/>
    <n v="8"/>
    <n v="8"/>
  </r>
  <r>
    <x v="5"/>
    <x v="137"/>
    <d v="2026-06-24T00:00:00"/>
    <s v="3RD"/>
    <d v="1899-12-31T05:00:00"/>
    <n v="1"/>
    <x v="22"/>
    <n v="6.6E-3"/>
    <s v="P"/>
    <s v="P"/>
    <s v="P"/>
    <s v="-"/>
    <s v="-"/>
    <n v="11.72"/>
    <s v="-"/>
    <s v="-"/>
    <s v="-"/>
    <s v="-"/>
    <s v="-"/>
    <s v="-"/>
    <s v="-"/>
    <s v="-"/>
    <s v="P"/>
    <s v="P"/>
    <s v="-"/>
    <n v="2"/>
    <n v="1"/>
    <n v="2"/>
    <n v="1"/>
    <s v="-"/>
    <s v="-"/>
    <s v="-"/>
    <s v="-"/>
    <s v="-"/>
    <s v="-"/>
    <s v="-"/>
    <n v="6"/>
    <n v="6"/>
    <s v="-"/>
    <n v="1"/>
    <n v="1"/>
    <n v="2"/>
    <n v="2"/>
    <n v="8"/>
    <n v="8"/>
  </r>
  <r>
    <x v="5"/>
    <x v="137"/>
    <d v="1902-03-26T00:00:00"/>
    <s v="3RD"/>
    <d v="1899-12-30T22:00:00"/>
    <n v="2"/>
    <x v="17"/>
    <n v="5.9999999999999995E-4"/>
    <s v="P"/>
    <s v="P"/>
    <s v="P"/>
    <s v="-"/>
    <s v="+"/>
    <n v="11.58"/>
    <s v="-"/>
    <s v="-"/>
    <s v="-"/>
    <s v="-"/>
    <s v="-"/>
    <s v="-"/>
    <s v="-"/>
    <s v="-"/>
    <s v="P"/>
    <s v="P"/>
    <s v="-"/>
    <n v="2"/>
    <n v="1"/>
    <n v="2"/>
    <n v="1"/>
    <s v="-"/>
    <s v="-"/>
    <s v="-"/>
    <s v="-"/>
    <s v="-"/>
    <s v="-"/>
    <s v="-"/>
    <n v="6"/>
    <n v="6"/>
    <s v="-"/>
    <n v="1"/>
    <n v="1"/>
    <n v="2"/>
    <n v="2"/>
    <n v="8"/>
    <n v="8"/>
  </r>
  <r>
    <x v="5"/>
    <x v="137"/>
    <d v="1899-12-30T00:00:00"/>
    <s v="3RD"/>
    <d v="1899-12-30T23:00:00"/>
    <n v="2"/>
    <x v="17"/>
    <n v="3.0000000000000001E-3"/>
    <s v="P"/>
    <s v="P"/>
    <s v="P"/>
    <s v="-"/>
    <s v="+"/>
    <n v="11.37"/>
    <s v="-"/>
    <s v="-"/>
    <s v="-"/>
    <s v="-"/>
    <s v="-"/>
    <s v="-"/>
    <s v="-"/>
    <s v="-"/>
    <s v="P"/>
    <s v="P"/>
    <s v="-"/>
    <n v="2"/>
    <n v="1"/>
    <n v="2"/>
    <n v="1"/>
    <s v="-"/>
    <s v="-"/>
    <s v="-"/>
    <s v="-"/>
    <s v="-"/>
    <s v="-"/>
    <s v="-"/>
    <n v="6"/>
    <n v="6"/>
    <s v="-"/>
    <n v="1"/>
    <n v="1"/>
    <n v="2"/>
    <n v="2"/>
    <n v="8"/>
    <n v="8"/>
  </r>
  <r>
    <x v="5"/>
    <x v="137"/>
    <d v="1899-12-30T00:00:00"/>
    <s v="3RD"/>
    <d v="1899-12-31T00:00:00"/>
    <n v="2"/>
    <x v="17"/>
    <n v="2.5000000000000001E-3"/>
    <s v="P"/>
    <s v="P"/>
    <s v="P"/>
    <s v="-"/>
    <s v="+"/>
    <n v="11.26"/>
    <s v="-"/>
    <s v="-"/>
    <s v="-"/>
    <s v="-"/>
    <s v="-"/>
    <s v="-"/>
    <s v="-"/>
    <s v="-"/>
    <s v="P"/>
    <s v="P"/>
    <s v="-"/>
    <n v="2"/>
    <n v="1"/>
    <n v="2"/>
    <n v="1"/>
    <s v="-"/>
    <s v="-"/>
    <s v="-"/>
    <s v="-"/>
    <s v="-"/>
    <s v="-"/>
    <s v="-"/>
    <n v="6"/>
    <n v="6"/>
    <s v="-"/>
    <n v="1"/>
    <n v="1"/>
    <n v="2"/>
    <n v="2"/>
    <n v="8"/>
    <n v="8"/>
  </r>
  <r>
    <x v="5"/>
    <x v="137"/>
    <d v="1899-12-30T00:00:00"/>
    <s v="3RD"/>
    <d v="1899-12-31T01:00:00"/>
    <n v="2"/>
    <x v="17"/>
    <n v="2.8E-3"/>
    <s v="P"/>
    <s v="P"/>
    <s v="P"/>
    <s v="-"/>
    <s v="+"/>
    <n v="11.35"/>
    <s v="-"/>
    <s v="-"/>
    <s v="-"/>
    <s v="-"/>
    <s v="-"/>
    <s v="-"/>
    <s v="-"/>
    <s v="-"/>
    <s v="P"/>
    <s v="P"/>
    <s v="-"/>
    <n v="2"/>
    <n v="1"/>
    <n v="2"/>
    <n v="1"/>
    <s v="-"/>
    <s v="-"/>
    <s v="-"/>
    <s v="-"/>
    <s v="-"/>
    <s v="-"/>
    <s v="-"/>
    <n v="6"/>
    <n v="6"/>
    <s v="-"/>
    <n v="1"/>
    <n v="1"/>
    <n v="2"/>
    <n v="2"/>
    <n v="8"/>
    <n v="8"/>
  </r>
  <r>
    <x v="5"/>
    <x v="137"/>
    <d v="1899-12-30T00:00:00"/>
    <s v="3RD"/>
    <d v="1899-12-31T03:00:00"/>
    <n v="2"/>
    <x v="17"/>
    <n v="3.5000000000000001E-3"/>
    <s v="P"/>
    <s v="P"/>
    <s v="P"/>
    <s v="-"/>
    <s v="+"/>
    <n v="11.26"/>
    <s v="-"/>
    <s v="-"/>
    <s v="-"/>
    <s v="-"/>
    <s v="-"/>
    <s v="-"/>
    <s v="-"/>
    <s v="-"/>
    <s v="P"/>
    <s v="P"/>
    <s v="-"/>
    <n v="2"/>
    <n v="1"/>
    <n v="2"/>
    <n v="1"/>
    <s v="-"/>
    <s v="-"/>
    <s v="-"/>
    <s v="-"/>
    <s v="-"/>
    <s v="-"/>
    <s v="-"/>
    <n v="6"/>
    <n v="6"/>
    <s v="-"/>
    <n v="1"/>
    <n v="1"/>
    <n v="2"/>
    <n v="2"/>
    <n v="8"/>
    <n v="8"/>
  </r>
  <r>
    <x v="5"/>
    <x v="137"/>
    <d v="2026-06-23T00:00:00"/>
    <s v="3RD"/>
    <d v="1899-12-30T22:00:00"/>
    <n v="3"/>
    <x v="1"/>
    <n v="1.9900000000000001E-2"/>
    <s v="P"/>
    <s v="P"/>
    <s v="P"/>
    <s v="+"/>
    <s v="+"/>
    <n v="12.94"/>
    <n v="12.9"/>
    <n v="0.54"/>
    <s v="-"/>
    <s v="-"/>
    <s v="-"/>
    <n v="36.1"/>
    <s v="-"/>
    <s v="-"/>
    <s v="P"/>
    <s v="P"/>
    <s v="85% 5% 10%"/>
    <n v="2"/>
    <n v="1"/>
    <n v="2"/>
    <n v="1"/>
    <n v="1"/>
    <n v="2"/>
    <s v="-"/>
    <s v="-"/>
    <s v="-"/>
    <n v="2"/>
    <s v="-"/>
    <n v="11"/>
    <n v="11"/>
    <s v="-"/>
    <n v="1"/>
    <n v="1"/>
    <n v="2"/>
    <n v="2"/>
    <n v="13"/>
    <n v="13"/>
  </r>
  <r>
    <x v="5"/>
    <x v="137"/>
    <d v="2026-06-23T00:00:00"/>
    <s v="3RD"/>
    <d v="1899-12-30T23:00:00"/>
    <n v="3"/>
    <x v="1"/>
    <n v="1.9800000000000002E-2"/>
    <s v="P"/>
    <s v="P"/>
    <s v="P"/>
    <s v="+"/>
    <s v="+"/>
    <n v="12.96"/>
    <s v="-"/>
    <s v="-"/>
    <s v="-"/>
    <s v="-"/>
    <s v="-"/>
    <s v="-"/>
    <s v="-"/>
    <s v="-"/>
    <s v="P"/>
    <s v="P"/>
    <s v="-"/>
    <n v="2"/>
    <n v="1"/>
    <n v="2"/>
    <n v="1"/>
    <s v="-"/>
    <s v="-"/>
    <s v="-"/>
    <s v="-"/>
    <s v="-"/>
    <s v="-"/>
    <s v="-"/>
    <n v="6"/>
    <n v="6"/>
    <s v="-"/>
    <n v="1"/>
    <n v="1"/>
    <n v="2"/>
    <n v="2"/>
    <n v="8"/>
    <n v="8"/>
  </r>
  <r>
    <x v="5"/>
    <x v="137"/>
    <d v="2026-06-23T00:00:00"/>
    <s v="3RD"/>
    <d v="1899-12-31T00:00:00"/>
    <n v="3"/>
    <x v="1"/>
    <n v="1.89E-2"/>
    <s v="P"/>
    <s v="P"/>
    <s v="P"/>
    <s v="+"/>
    <s v="+"/>
    <n v="12.34"/>
    <s v="-"/>
    <s v="-"/>
    <s v="-"/>
    <s v="-"/>
    <s v="-"/>
    <s v="-"/>
    <s v="-"/>
    <s v="-"/>
    <s v="P"/>
    <s v="P"/>
    <s v="-"/>
    <n v="2"/>
    <n v="1"/>
    <n v="2"/>
    <n v="1"/>
    <s v="-"/>
    <s v="-"/>
    <s v="-"/>
    <s v="-"/>
    <s v="-"/>
    <s v="-"/>
    <s v="-"/>
    <n v="6"/>
    <n v="6"/>
    <s v="-"/>
    <n v="1"/>
    <n v="1"/>
    <n v="2"/>
    <n v="2"/>
    <n v="8"/>
    <n v="8"/>
  </r>
  <r>
    <x v="5"/>
    <x v="137"/>
    <d v="2026-06-23T00:00:00"/>
    <s v="3RD"/>
    <d v="1899-12-31T01:00:00"/>
    <n v="3"/>
    <x v="1"/>
    <n v="1.7000000000000001E-2"/>
    <s v="P"/>
    <s v="P"/>
    <s v="P"/>
    <s v="+"/>
    <s v="+"/>
    <n v="12.75"/>
    <s v="-"/>
    <s v="-"/>
    <s v="-"/>
    <s v="-"/>
    <s v="-"/>
    <s v="-"/>
    <s v="-"/>
    <s v="-"/>
    <s v="P"/>
    <s v="P"/>
    <s v="-"/>
    <n v="2"/>
    <n v="1"/>
    <n v="2"/>
    <n v="1"/>
    <s v="-"/>
    <s v="-"/>
    <s v="-"/>
    <s v="-"/>
    <s v="-"/>
    <s v="-"/>
    <s v="-"/>
    <n v="6"/>
    <n v="6"/>
    <s v="-"/>
    <n v="1"/>
    <n v="1"/>
    <n v="2"/>
    <n v="2"/>
    <n v="8"/>
    <n v="8"/>
  </r>
  <r>
    <x v="5"/>
    <x v="137"/>
    <d v="2026-06-23T00:00:00"/>
    <s v="3RD"/>
    <d v="1899-12-31T02:00:00"/>
    <n v="3"/>
    <x v="1"/>
    <n v="1.3100000000000001E-2"/>
    <s v="P"/>
    <s v="P"/>
    <s v="P"/>
    <s v="+"/>
    <s v="+"/>
    <n v="12.75"/>
    <s v="-"/>
    <s v="-"/>
    <s v="-"/>
    <s v="-"/>
    <s v="-"/>
    <s v="-"/>
    <s v="-"/>
    <s v="-"/>
    <s v="P"/>
    <s v="P"/>
    <s v="-"/>
    <n v="2"/>
    <n v="1"/>
    <n v="2"/>
    <n v="1"/>
    <s v="-"/>
    <s v="-"/>
    <s v="-"/>
    <s v="-"/>
    <s v="-"/>
    <s v="-"/>
    <s v="-"/>
    <n v="6"/>
    <n v="6"/>
    <s v="-"/>
    <n v="1"/>
    <n v="1"/>
    <n v="2"/>
    <n v="2"/>
    <n v="8"/>
    <n v="8"/>
  </r>
  <r>
    <x v="5"/>
    <x v="137"/>
    <d v="2026-06-23T00:00:00"/>
    <s v="3RD"/>
    <d v="1899-12-31T04:00:00"/>
    <n v="3"/>
    <x v="1"/>
    <n v="1.7000000000000001E-2"/>
    <s v="P"/>
    <s v="P"/>
    <s v="P"/>
    <s v="+"/>
    <s v="+"/>
    <n v="12.43"/>
    <s v="-"/>
    <s v="-"/>
    <s v="-"/>
    <s v="-"/>
    <s v="-"/>
    <s v="-"/>
    <s v="-"/>
    <s v="-"/>
    <s v="P"/>
    <s v="P"/>
    <s v="-"/>
    <n v="2"/>
    <n v="1"/>
    <n v="2"/>
    <n v="1"/>
    <s v="-"/>
    <s v="-"/>
    <s v="-"/>
    <s v="-"/>
    <s v="-"/>
    <s v="-"/>
    <s v="-"/>
    <n v="6"/>
    <n v="6"/>
    <s v="-"/>
    <n v="1"/>
    <n v="1"/>
    <n v="2"/>
    <n v="2"/>
    <n v="8"/>
    <n v="8"/>
  </r>
  <r>
    <x v="5"/>
    <x v="137"/>
    <d v="2026-06-23T00:00:00"/>
    <s v="3RD"/>
    <d v="1899-12-31T05:00:00"/>
    <n v="3"/>
    <x v="1"/>
    <n v="1.8800000000000001E-2"/>
    <s v="P"/>
    <s v="P"/>
    <s v="P"/>
    <s v="+"/>
    <s v="+"/>
    <n v="12.58"/>
    <s v="-"/>
    <s v="-"/>
    <s v="-"/>
    <s v="-"/>
    <s v="-"/>
    <s v="-"/>
    <s v="-"/>
    <s v="-"/>
    <s v="P"/>
    <s v="P"/>
    <s v="-"/>
    <n v="2"/>
    <n v="1"/>
    <n v="2"/>
    <n v="1"/>
    <s v="-"/>
    <s v="-"/>
    <s v="-"/>
    <s v="-"/>
    <s v="-"/>
    <s v="-"/>
    <s v="-"/>
    <n v="6"/>
    <n v="6"/>
    <s v="-"/>
    <n v="1"/>
    <n v="1"/>
    <n v="2"/>
    <n v="2"/>
    <n v="8"/>
    <n v="8"/>
  </r>
  <r>
    <x v="5"/>
    <x v="138"/>
    <d v="2026-06-24T00:00:00"/>
    <s v="1ST"/>
    <s v="06:00"/>
    <n v="1"/>
    <x v="22"/>
    <n v="9.4999999999999998E-3"/>
    <s v="P"/>
    <s v="P"/>
    <s v="P"/>
    <s v="-"/>
    <s v="-"/>
    <n v="11.04"/>
    <n v="9.0399999999999991"/>
    <n v="0.6"/>
    <n v="55.2"/>
    <s v="-"/>
    <s v="-"/>
    <n v="24.5"/>
    <s v="-"/>
    <s v="-"/>
    <s v="P"/>
    <s v="P"/>
    <n v="1"/>
    <n v="2"/>
    <n v="1"/>
    <n v="2"/>
    <n v="1"/>
    <n v="1"/>
    <n v="2"/>
    <n v="2"/>
    <s v="-"/>
    <s v="-"/>
    <n v="2"/>
    <s v="-"/>
    <n v="13"/>
    <n v="13"/>
    <s v="-"/>
    <n v="1"/>
    <n v="1"/>
    <n v="2"/>
    <n v="2"/>
    <n v="15"/>
    <n v="15"/>
  </r>
  <r>
    <x v="5"/>
    <x v="138"/>
    <d v="2026-06-24T00:00:00"/>
    <s v="1ST"/>
    <s v="07:00"/>
    <n v="1"/>
    <x v="22"/>
    <n v="5.3E-3"/>
    <s v="P"/>
    <s v="P"/>
    <s v="P"/>
    <s v="-"/>
    <s v="-"/>
    <n v="11.9"/>
    <s v="-"/>
    <s v="-"/>
    <s v="-"/>
    <s v="-"/>
    <s v="-"/>
    <s v="-"/>
    <s v="-"/>
    <s v="-"/>
    <s v="P"/>
    <s v="P"/>
    <s v="-"/>
    <n v="2"/>
    <n v="1"/>
    <n v="2"/>
    <n v="1"/>
    <s v="-"/>
    <s v="-"/>
    <s v="-"/>
    <s v="-"/>
    <s v="-"/>
    <s v="-"/>
    <s v="-"/>
    <n v="6"/>
    <n v="6"/>
    <s v="-"/>
    <n v="1"/>
    <n v="1"/>
    <n v="2"/>
    <n v="2"/>
    <n v="8"/>
    <n v="8"/>
  </r>
  <r>
    <x v="5"/>
    <x v="138"/>
    <d v="2026-06-24T00:00:00"/>
    <s v="1ST"/>
    <s v="08:00"/>
    <n v="1"/>
    <x v="22"/>
    <n v="6.7000000000000002E-3"/>
    <s v="P"/>
    <s v="P"/>
    <s v="P"/>
    <s v="-"/>
    <s v="-"/>
    <n v="11.73"/>
    <s v="-"/>
    <s v="-"/>
    <s v="-"/>
    <s v="-"/>
    <s v="-"/>
    <s v="-"/>
    <s v="-"/>
    <s v="-"/>
    <s v="P"/>
    <s v="P"/>
    <s v="-"/>
    <n v="2"/>
    <n v="1"/>
    <n v="2"/>
    <n v="1"/>
    <s v="-"/>
    <s v="-"/>
    <s v="-"/>
    <s v="-"/>
    <s v="-"/>
    <s v="-"/>
    <s v="-"/>
    <n v="6"/>
    <n v="6"/>
    <s v="-"/>
    <n v="1"/>
    <n v="1"/>
    <n v="2"/>
    <n v="2"/>
    <n v="8"/>
    <n v="8"/>
  </r>
  <r>
    <x v="5"/>
    <x v="138"/>
    <d v="2026-06-24T00:00:00"/>
    <s v="1ST"/>
    <s v="09:00"/>
    <n v="1"/>
    <x v="22"/>
    <n v="1.5299999999999999E-2"/>
    <s v="P"/>
    <s v="P"/>
    <s v="P"/>
    <s v="-"/>
    <s v="-"/>
    <n v="11.73"/>
    <s v="-"/>
    <s v="-"/>
    <s v="-"/>
    <s v="-"/>
    <s v="-"/>
    <s v="-"/>
    <s v="-"/>
    <s v="-"/>
    <s v="P"/>
    <s v="P"/>
    <s v="-"/>
    <n v="2"/>
    <n v="1"/>
    <n v="2"/>
    <n v="1"/>
    <s v="-"/>
    <s v="-"/>
    <s v="-"/>
    <s v="-"/>
    <s v="-"/>
    <s v="-"/>
    <s v="-"/>
    <n v="6"/>
    <n v="6"/>
    <s v="-"/>
    <n v="1"/>
    <n v="1"/>
    <n v="2"/>
    <n v="2"/>
    <n v="8"/>
    <n v="8"/>
  </r>
  <r>
    <x v="5"/>
    <x v="138"/>
    <d v="2026-06-24T00:00:00"/>
    <s v="1ST"/>
    <s v="11:00"/>
    <n v="1"/>
    <x v="22"/>
    <n v="1.18E-2"/>
    <s v="P"/>
    <s v="P"/>
    <s v="P"/>
    <s v="-"/>
    <s v="-"/>
    <n v="11.13"/>
    <s v="-"/>
    <s v="-"/>
    <s v="-"/>
    <s v="-"/>
    <s v="-"/>
    <s v="-"/>
    <s v="-"/>
    <s v="-"/>
    <s v="P"/>
    <s v="P"/>
    <s v="-"/>
    <n v="2"/>
    <n v="1"/>
    <n v="2"/>
    <n v="1"/>
    <s v="-"/>
    <s v="-"/>
    <s v="-"/>
    <s v="-"/>
    <s v="-"/>
    <s v="-"/>
    <s v="-"/>
    <n v="6"/>
    <n v="6"/>
    <s v="-"/>
    <n v="1"/>
    <n v="1"/>
    <n v="2"/>
    <n v="2"/>
    <n v="8"/>
    <n v="8"/>
  </r>
  <r>
    <x v="5"/>
    <x v="138"/>
    <d v="2026-06-24T00:00:00"/>
    <s v="1ST"/>
    <s v="12:00"/>
    <n v="1"/>
    <x v="22"/>
    <n v="9.4999999999999998E-3"/>
    <s v="P"/>
    <s v="P"/>
    <s v="P"/>
    <s v="-"/>
    <s v="-"/>
    <n v="11.16"/>
    <s v="-"/>
    <s v="-"/>
    <s v="-"/>
    <s v="-"/>
    <s v="-"/>
    <s v="-"/>
    <s v="-"/>
    <s v="-"/>
    <s v="P"/>
    <s v="P"/>
    <s v="-"/>
    <n v="2"/>
    <n v="1"/>
    <n v="2"/>
    <n v="1"/>
    <s v="-"/>
    <s v="-"/>
    <s v="-"/>
    <s v="-"/>
    <s v="-"/>
    <s v="-"/>
    <s v="-"/>
    <n v="6"/>
    <n v="6"/>
    <s v="-"/>
    <n v="1"/>
    <n v="1"/>
    <n v="2"/>
    <n v="2"/>
    <n v="8"/>
    <n v="8"/>
  </r>
  <r>
    <x v="5"/>
    <x v="138"/>
    <d v="2026-06-24T00:00:00"/>
    <s v="1ST"/>
    <s v="13:00"/>
    <n v="1"/>
    <x v="22"/>
    <s v="-"/>
    <s v="P"/>
    <s v="P"/>
    <s v="P"/>
    <s v="-"/>
    <s v="-"/>
    <s v="-"/>
    <s v="-"/>
    <s v="-"/>
    <s v="-"/>
    <s v="-"/>
    <s v="-"/>
    <s v="-"/>
    <s v="-"/>
    <s v="-"/>
    <s v="P"/>
    <s v="P"/>
    <s v="-"/>
    <s v="-"/>
    <n v="1"/>
    <n v="2"/>
    <s v="-"/>
    <s v="-"/>
    <s v="-"/>
    <s v="-"/>
    <s v="-"/>
    <s v="-"/>
    <s v="-"/>
    <s v="-"/>
    <n v="3"/>
    <n v="3"/>
    <s v="-"/>
    <n v="1"/>
    <n v="1"/>
    <n v="2"/>
    <n v="2"/>
    <n v="5"/>
    <n v="5"/>
  </r>
  <r>
    <x v="5"/>
    <x v="138"/>
    <d v="1902-03-26T00:00:00"/>
    <s v="1ST"/>
    <s v="10:00"/>
    <n v="2"/>
    <x v="14"/>
    <n v="1.5599999999999999E-2"/>
    <s v="P"/>
    <s v="P"/>
    <s v="P"/>
    <s v="-"/>
    <s v="+"/>
    <n v="10.9"/>
    <s v="-"/>
    <s v="-"/>
    <n v="58.4"/>
    <s v="-"/>
    <s v="-"/>
    <n v="25.6"/>
    <s v="-"/>
    <s v="-"/>
    <s v="P"/>
    <s v="P"/>
    <s v="-"/>
    <n v="2"/>
    <n v="1"/>
    <n v="2"/>
    <n v="0"/>
    <s v="-"/>
    <s v="-"/>
    <n v="2"/>
    <s v="-"/>
    <s v="-"/>
    <n v="2"/>
    <s v="-"/>
    <n v="9"/>
    <n v="10"/>
    <s v="-"/>
    <n v="1"/>
    <n v="1"/>
    <n v="2"/>
    <n v="2"/>
    <n v="11"/>
    <n v="12"/>
  </r>
  <r>
    <x v="5"/>
    <x v="138"/>
    <d v="1899-12-30T00:00:00"/>
    <s v="1ST"/>
    <s v="11:00"/>
    <n v="2"/>
    <x v="14"/>
    <n v="1.7100000000000001E-2"/>
    <s v="P"/>
    <s v="P"/>
    <s v="P"/>
    <s v="-"/>
    <s v="+"/>
    <n v="10.34"/>
    <s v="-"/>
    <s v="-"/>
    <s v="-"/>
    <s v="-"/>
    <s v="-"/>
    <s v="-"/>
    <s v="-"/>
    <s v="-"/>
    <s v="P"/>
    <s v="P"/>
    <s v="-"/>
    <n v="2"/>
    <n v="1"/>
    <n v="2"/>
    <n v="0"/>
    <s v="-"/>
    <s v="-"/>
    <s v="-"/>
    <s v="-"/>
    <s v="-"/>
    <s v="-"/>
    <s v="-"/>
    <n v="5"/>
    <n v="6"/>
    <s v="-"/>
    <n v="1"/>
    <n v="1"/>
    <n v="2"/>
    <n v="2"/>
    <n v="7"/>
    <n v="8"/>
  </r>
  <r>
    <x v="5"/>
    <x v="138"/>
    <d v="1899-12-30T00:00:00"/>
    <s v="1ST"/>
    <s v="12:00"/>
    <n v="2"/>
    <x v="14"/>
    <n v="1.83E-2"/>
    <s v="P"/>
    <s v="P"/>
    <s v="P"/>
    <s v="-"/>
    <s v="+"/>
    <n v="10.15"/>
    <s v="-"/>
    <s v="-"/>
    <s v="-"/>
    <s v="-"/>
    <s v="-"/>
    <s v="-"/>
    <s v="-"/>
    <s v="-"/>
    <s v="P"/>
    <s v="P"/>
    <s v="-"/>
    <n v="2"/>
    <n v="1"/>
    <n v="2"/>
    <n v="0"/>
    <s v="-"/>
    <s v="-"/>
    <s v="-"/>
    <s v="-"/>
    <s v="-"/>
    <s v="-"/>
    <s v="-"/>
    <n v="5"/>
    <n v="6"/>
    <s v="-"/>
    <n v="1"/>
    <n v="1"/>
    <n v="2"/>
    <n v="2"/>
    <n v="7"/>
    <n v="8"/>
  </r>
  <r>
    <x v="5"/>
    <x v="138"/>
    <d v="1899-12-30T00:00:00"/>
    <s v="1ST"/>
    <s v="13:00"/>
    <n v="2"/>
    <x v="14"/>
    <n v="1.5699999999999999E-2"/>
    <s v="P"/>
    <s v="P"/>
    <s v="P"/>
    <s v="-"/>
    <s v="+"/>
    <n v="10.68"/>
    <s v="-"/>
    <s v="-"/>
    <s v="-"/>
    <s v="-"/>
    <s v="-"/>
    <s v="-"/>
    <s v="-"/>
    <s v="-"/>
    <s v="P"/>
    <s v="P"/>
    <s v="-"/>
    <n v="2"/>
    <n v="1"/>
    <n v="2"/>
    <n v="0"/>
    <s v="-"/>
    <s v="-"/>
    <s v="-"/>
    <s v="-"/>
    <s v="-"/>
    <s v="-"/>
    <s v="-"/>
    <n v="5"/>
    <n v="6"/>
    <s v="-"/>
    <n v="1"/>
    <n v="1"/>
    <n v="2"/>
    <n v="2"/>
    <n v="7"/>
    <n v="8"/>
  </r>
  <r>
    <x v="5"/>
    <x v="138"/>
    <d v="2026-06-23T00:00:00"/>
    <s v="1ST"/>
    <s v="06:00"/>
    <n v="3"/>
    <x v="1"/>
    <n v="1.9300000000000001E-2"/>
    <s v="P"/>
    <s v="P"/>
    <s v="P"/>
    <s v="+"/>
    <s v="+"/>
    <n v="12.92"/>
    <n v="12.74"/>
    <n v="0.62"/>
    <n v="65"/>
    <s v="-"/>
    <s v="-"/>
    <n v="35.5"/>
    <s v="-"/>
    <s v="-"/>
    <s v="P"/>
    <s v="P"/>
    <s v="85% 5% 10%"/>
    <n v="2"/>
    <n v="1"/>
    <n v="2"/>
    <n v="1"/>
    <n v="1"/>
    <n v="2"/>
    <n v="2"/>
    <s v="-"/>
    <s v="-"/>
    <n v="2"/>
    <s v="-"/>
    <n v="13"/>
    <n v="13"/>
    <s v="-"/>
    <n v="1"/>
    <n v="1"/>
    <n v="2"/>
    <n v="2"/>
    <n v="15"/>
    <n v="15"/>
  </r>
  <r>
    <x v="5"/>
    <x v="138"/>
    <d v="2026-06-23T00:00:00"/>
    <s v="1ST"/>
    <s v="09:00"/>
    <n v="3"/>
    <x v="20"/>
    <n v="4.99E-2"/>
    <s v="P"/>
    <s v="P"/>
    <s v="P"/>
    <s v="-"/>
    <s v="-"/>
    <n v="13.1"/>
    <n v="12.04"/>
    <n v="0.56000000000000005"/>
    <n v="64.5"/>
    <s v="-"/>
    <s v="-"/>
    <n v="33.4"/>
    <s v="-"/>
    <s v="-"/>
    <s v="P"/>
    <s v="P"/>
    <s v="80% 20%"/>
    <n v="0"/>
    <n v="1"/>
    <n v="2"/>
    <n v="1"/>
    <n v="1"/>
    <n v="2"/>
    <n v="2"/>
    <s v="-"/>
    <s v="-"/>
    <n v="2"/>
    <s v="-"/>
    <n v="11"/>
    <n v="13"/>
    <s v="-"/>
    <n v="1"/>
    <n v="1"/>
    <n v="2"/>
    <n v="2"/>
    <n v="13"/>
    <n v="15"/>
  </r>
  <r>
    <x v="5"/>
    <x v="138"/>
    <d v="2026-06-23T00:00:00"/>
    <s v="1ST"/>
    <s v="10:00"/>
    <n v="3"/>
    <x v="20"/>
    <n v="4.7300000000000002E-2"/>
    <s v="P"/>
    <s v="P"/>
    <s v="P"/>
    <s v="-"/>
    <s v="-"/>
    <n v="13.1"/>
    <s v="-"/>
    <s v="-"/>
    <s v="-"/>
    <s v="-"/>
    <s v="-"/>
    <s v="-"/>
    <s v="-"/>
    <s v="-"/>
    <s v="P"/>
    <s v="P"/>
    <s v="-"/>
    <n v="0"/>
    <n v="1"/>
    <n v="2"/>
    <n v="1"/>
    <s v="-"/>
    <s v="-"/>
    <s v="-"/>
    <s v="-"/>
    <s v="-"/>
    <s v="-"/>
    <s v="-"/>
    <n v="4"/>
    <n v="6"/>
    <s v="-"/>
    <n v="1"/>
    <n v="1"/>
    <n v="2"/>
    <n v="2"/>
    <n v="6"/>
    <n v="8"/>
  </r>
  <r>
    <x v="5"/>
    <x v="138"/>
    <d v="2026-06-23T00:00:00"/>
    <s v="1ST"/>
    <s v="11:00"/>
    <n v="3"/>
    <x v="20"/>
    <n v="5.7700000000000001E-2"/>
    <s v="P"/>
    <s v="P"/>
    <s v="P"/>
    <s v="-"/>
    <s v="-"/>
    <n v="13.72"/>
    <s v="-"/>
    <s v="-"/>
    <s v="-"/>
    <s v="-"/>
    <s v="-"/>
    <s v="-"/>
    <s v="-"/>
    <s v="-"/>
    <s v="P"/>
    <s v="P"/>
    <s v="-"/>
    <n v="0"/>
    <n v="1"/>
    <n v="2"/>
    <n v="1"/>
    <s v="-"/>
    <s v="-"/>
    <s v="-"/>
    <s v="-"/>
    <s v="-"/>
    <s v="-"/>
    <s v="-"/>
    <n v="4"/>
    <n v="6"/>
    <s v="-"/>
    <n v="1"/>
    <n v="1"/>
    <n v="2"/>
    <n v="2"/>
    <n v="6"/>
    <n v="8"/>
  </r>
  <r>
    <x v="5"/>
    <x v="138"/>
    <d v="2026-06-23T00:00:00"/>
    <s v="1ST"/>
    <s v="12:00"/>
    <n v="3"/>
    <x v="20"/>
    <n v="4.99E-2"/>
    <s v="P"/>
    <s v="P"/>
    <s v="P"/>
    <s v="-"/>
    <s v="-"/>
    <n v="13.03"/>
    <s v="-"/>
    <s v="-"/>
    <s v="-"/>
    <s v="-"/>
    <s v="-"/>
    <s v="-"/>
    <s v="-"/>
    <s v="-"/>
    <s v="P"/>
    <s v="P"/>
    <s v="-"/>
    <n v="0"/>
    <n v="1"/>
    <n v="2"/>
    <n v="1"/>
    <s v="-"/>
    <s v="-"/>
    <s v="-"/>
    <s v="-"/>
    <s v="-"/>
    <s v="-"/>
    <s v="-"/>
    <n v="4"/>
    <n v="6"/>
    <s v="-"/>
    <n v="1"/>
    <n v="1"/>
    <n v="2"/>
    <n v="2"/>
    <n v="6"/>
    <n v="8"/>
  </r>
  <r>
    <x v="5"/>
    <x v="138"/>
    <d v="2026-06-23T00:00:00"/>
    <s v="1ST"/>
    <s v="13:00"/>
    <n v="3"/>
    <x v="20"/>
    <s v="-"/>
    <s v="P"/>
    <s v="P"/>
    <s v="P"/>
    <s v="-"/>
    <s v="-"/>
    <s v="-"/>
    <s v="-"/>
    <s v="-"/>
    <s v="-"/>
    <s v="-"/>
    <s v="-"/>
    <s v="-"/>
    <s v="-"/>
    <s v="-"/>
    <s v="P"/>
    <s v="P"/>
    <s v="-"/>
    <s v="-"/>
    <n v="1"/>
    <n v="2"/>
    <s v="-"/>
    <s v="-"/>
    <s v="-"/>
    <s v="-"/>
    <s v="-"/>
    <s v="-"/>
    <s v="-"/>
    <s v="-"/>
    <n v="3"/>
    <n v="3"/>
    <s v="-"/>
    <n v="1"/>
    <n v="1"/>
    <n v="2"/>
    <n v="2"/>
    <n v="5"/>
    <n v="5"/>
  </r>
  <r>
    <x v="5"/>
    <x v="139"/>
    <d v="1899-12-30T00:00:00"/>
    <s v="3RD"/>
    <d v="1899-12-31T03:00:00"/>
    <n v="2"/>
    <x v="2"/>
    <n v="1.1900000000000001E-2"/>
    <s v="P"/>
    <s v="P"/>
    <s v="P"/>
    <s v="-"/>
    <s v="+"/>
    <n v="11.1"/>
    <n v="9.51"/>
    <s v="-"/>
    <n v="57.9"/>
    <s v="-"/>
    <s v="-"/>
    <n v="26"/>
    <s v="-"/>
    <n v="25.19"/>
    <s v="P"/>
    <s v="P"/>
    <s v="-"/>
    <n v="2"/>
    <n v="1"/>
    <n v="2"/>
    <n v="0"/>
    <n v="0"/>
    <s v="-"/>
    <n v="0"/>
    <s v="-"/>
    <s v="-"/>
    <n v="0"/>
    <s v="-"/>
    <n v="5"/>
    <n v="11"/>
    <n v="1"/>
    <n v="1"/>
    <n v="1"/>
    <n v="3"/>
    <n v="3"/>
    <n v="8"/>
    <n v="14"/>
  </r>
  <r>
    <x v="5"/>
    <x v="139"/>
    <d v="1899-12-30T00:00:00"/>
    <s v="3RD"/>
    <d v="1899-12-31T04:00:00"/>
    <n v="2"/>
    <x v="2"/>
    <n v="1.52E-2"/>
    <s v="P"/>
    <s v="P"/>
    <s v="P"/>
    <s v="-"/>
    <s v="+"/>
    <n v="11.08"/>
    <s v="-"/>
    <s v="-"/>
    <s v="-"/>
    <s v="-"/>
    <s v="-"/>
    <s v="-"/>
    <s v="-"/>
    <s v="-"/>
    <s v="P"/>
    <s v="P"/>
    <s v="-"/>
    <n v="2"/>
    <n v="1"/>
    <n v="2"/>
    <n v="0"/>
    <s v="-"/>
    <s v="-"/>
    <s v="-"/>
    <s v="-"/>
    <s v="-"/>
    <s v="-"/>
    <s v="-"/>
    <n v="5"/>
    <n v="6"/>
    <s v="-"/>
    <n v="1"/>
    <n v="1"/>
    <n v="2"/>
    <n v="2"/>
    <n v="7"/>
    <n v="8"/>
  </r>
  <r>
    <x v="5"/>
    <x v="139"/>
    <d v="1899-12-30T00:00:00"/>
    <s v="3RD"/>
    <d v="1899-12-31T05:00:00"/>
    <n v="2"/>
    <x v="2"/>
    <n v="1.4E-2"/>
    <s v="P"/>
    <s v="P"/>
    <s v="P"/>
    <s v="-"/>
    <s v="+"/>
    <n v="10.96"/>
    <s v="-"/>
    <s v="-"/>
    <s v="-"/>
    <s v="-"/>
    <s v="-"/>
    <s v="-"/>
    <s v="-"/>
    <s v="-"/>
    <s v="P"/>
    <s v="P"/>
    <s v="-"/>
    <n v="2"/>
    <n v="1"/>
    <n v="2"/>
    <n v="0"/>
    <s v="-"/>
    <s v="-"/>
    <s v="-"/>
    <s v="-"/>
    <s v="-"/>
    <s v="-"/>
    <s v="-"/>
    <n v="5"/>
    <n v="6"/>
    <s v="-"/>
    <n v="1"/>
    <n v="1"/>
    <n v="2"/>
    <n v="2"/>
    <n v="7"/>
    <n v="8"/>
  </r>
  <r>
    <x v="5"/>
    <x v="139"/>
    <d v="2026-06-24T00:00:00"/>
    <s v="3RD"/>
    <d v="1899-12-30T23:00:00"/>
    <n v="3"/>
    <x v="1"/>
    <n v="1.8800000000000001E-2"/>
    <s v="P"/>
    <s v="P"/>
    <s v="P"/>
    <s v="+"/>
    <s v="+"/>
    <n v="12.29"/>
    <n v="12.55"/>
    <n v="0.56000000000000005"/>
    <n v="64.8"/>
    <s v="-"/>
    <s v="-"/>
    <n v="35"/>
    <s v="-"/>
    <n v="25.16"/>
    <s v="P"/>
    <s v="P"/>
    <s v="85% 5% 10%"/>
    <n v="2"/>
    <n v="1"/>
    <n v="2"/>
    <n v="1"/>
    <n v="1"/>
    <n v="2"/>
    <n v="2"/>
    <s v="-"/>
    <s v="-"/>
    <n v="2"/>
    <s v="-"/>
    <n v="13"/>
    <n v="13"/>
    <n v="1"/>
    <n v="1"/>
    <n v="1"/>
    <n v="3"/>
    <n v="3"/>
    <n v="16"/>
    <n v="16"/>
  </r>
  <r>
    <x v="5"/>
    <x v="139"/>
    <d v="2026-06-24T00:00:00"/>
    <s v="3RD"/>
    <d v="1899-12-31T00:00:00"/>
    <n v="3"/>
    <x v="1"/>
    <n v="1.6899999999999998E-2"/>
    <s v="P"/>
    <s v="P"/>
    <s v="P"/>
    <s v="+"/>
    <s v="+"/>
    <n v="12.58"/>
    <s v="-"/>
    <n v="0.56000000000000005"/>
    <s v="-"/>
    <s v="-"/>
    <s v="-"/>
    <s v="-"/>
    <s v="-"/>
    <s v="-"/>
    <s v="P"/>
    <s v="P"/>
    <s v="-"/>
    <n v="2"/>
    <n v="1"/>
    <n v="2"/>
    <n v="1"/>
    <s v="-"/>
    <n v="2"/>
    <s v="-"/>
    <s v="-"/>
    <s v="-"/>
    <s v="-"/>
    <s v="-"/>
    <n v="8"/>
    <n v="8"/>
    <s v="-"/>
    <n v="1"/>
    <n v="1"/>
    <n v="2"/>
    <n v="2"/>
    <n v="10"/>
    <n v="10"/>
  </r>
  <r>
    <x v="5"/>
    <x v="139"/>
    <d v="2026-06-24T00:00:00"/>
    <s v="3RD"/>
    <d v="1899-12-31T01:00:00"/>
    <n v="3"/>
    <x v="1"/>
    <n v="2.0299999999999999E-2"/>
    <s v="P"/>
    <s v="P"/>
    <s v="P"/>
    <s v="+"/>
    <s v="+"/>
    <n v="12.8"/>
    <s v="-"/>
    <s v="-"/>
    <s v="-"/>
    <s v="-"/>
    <s v="-"/>
    <s v="-"/>
    <s v="-"/>
    <s v="-"/>
    <s v="P"/>
    <s v="P"/>
    <s v="-"/>
    <n v="0"/>
    <n v="1"/>
    <n v="2"/>
    <n v="1"/>
    <s v="-"/>
    <s v="-"/>
    <s v="-"/>
    <s v="-"/>
    <s v="-"/>
    <s v="-"/>
    <s v="-"/>
    <n v="4"/>
    <n v="6"/>
    <s v="-"/>
    <n v="1"/>
    <n v="1"/>
    <n v="2"/>
    <n v="2"/>
    <n v="6"/>
    <n v="8"/>
  </r>
  <r>
    <x v="5"/>
    <x v="139"/>
    <d v="2026-06-24T00:00:00"/>
    <s v="3RD"/>
    <d v="1899-12-31T02:00:00"/>
    <n v="3"/>
    <x v="1"/>
    <n v="1.7100000000000001E-2"/>
    <s v="P"/>
    <s v="P"/>
    <s v="P"/>
    <s v="+"/>
    <s v="+"/>
    <n v="12.8"/>
    <s v="-"/>
    <s v="-"/>
    <s v="-"/>
    <s v="-"/>
    <s v="-"/>
    <s v="-"/>
    <s v="-"/>
    <s v="-"/>
    <s v="P"/>
    <s v="P"/>
    <s v="-"/>
    <n v="2"/>
    <n v="1"/>
    <n v="2"/>
    <n v="1"/>
    <s v="-"/>
    <s v="-"/>
    <s v="-"/>
    <s v="-"/>
    <s v="-"/>
    <s v="-"/>
    <s v="-"/>
    <n v="6"/>
    <n v="6"/>
    <s v="-"/>
    <n v="1"/>
    <n v="1"/>
    <n v="2"/>
    <n v="2"/>
    <n v="8"/>
    <n v="8"/>
  </r>
  <r>
    <x v="5"/>
    <x v="139"/>
    <d v="2026-06-24T00:00:00"/>
    <s v="3RD"/>
    <d v="1899-12-31T04:00:00"/>
    <n v="3"/>
    <x v="1"/>
    <n v="2.0299999999999999E-2"/>
    <s v="P"/>
    <s v="P"/>
    <s v="P"/>
    <s v="+"/>
    <s v="+"/>
    <n v="12.76"/>
    <s v="-"/>
    <s v="-"/>
    <s v="-"/>
    <s v="-"/>
    <s v="-"/>
    <s v="-"/>
    <s v="-"/>
    <s v="-"/>
    <s v="P"/>
    <s v="P"/>
    <s v="-"/>
    <n v="0"/>
    <n v="1"/>
    <n v="2"/>
    <n v="1"/>
    <s v="-"/>
    <s v="-"/>
    <s v="-"/>
    <s v="-"/>
    <s v="-"/>
    <s v="-"/>
    <s v="-"/>
    <n v="4"/>
    <n v="6"/>
    <s v="-"/>
    <n v="1"/>
    <n v="1"/>
    <n v="2"/>
    <n v="2"/>
    <n v="6"/>
    <n v="8"/>
  </r>
  <r>
    <x v="5"/>
    <x v="139"/>
    <d v="2026-06-24T00:00:00"/>
    <s v="3RD"/>
    <d v="1899-12-31T05:00:00"/>
    <n v="3"/>
    <x v="1"/>
    <n v="1.8499999999999999E-2"/>
    <s v="P"/>
    <s v="P"/>
    <s v="P"/>
    <s v="+"/>
    <s v="+"/>
    <n v="12.77"/>
    <s v="-"/>
    <s v="-"/>
    <s v="-"/>
    <s v="-"/>
    <s v="-"/>
    <s v="-"/>
    <s v="-"/>
    <s v="-"/>
    <s v="P"/>
    <s v="P"/>
    <s v="-"/>
    <n v="2"/>
    <n v="1"/>
    <n v="2"/>
    <n v="1"/>
    <s v="-"/>
    <s v="-"/>
    <s v="-"/>
    <s v="-"/>
    <s v="-"/>
    <s v="-"/>
    <s v="-"/>
    <n v="6"/>
    <n v="6"/>
    <s v="-"/>
    <n v="1"/>
    <n v="1"/>
    <n v="2"/>
    <n v="2"/>
    <n v="8"/>
    <n v="8"/>
  </r>
  <r>
    <x v="6"/>
    <x v="140"/>
    <d v="1902-03-26T00:00:00"/>
    <s v="1ST"/>
    <s v="06:00"/>
    <n v="2"/>
    <x v="2"/>
    <n v="1.7600000000000001E-2"/>
    <s v="P"/>
    <s v="P"/>
    <s v="P"/>
    <s v="-"/>
    <s v="+"/>
    <n v="10.85"/>
    <s v="-"/>
    <s v="-"/>
    <s v="-"/>
    <s v="-"/>
    <s v="-"/>
    <s v="-"/>
    <s v="-"/>
    <s v="-"/>
    <s v="P"/>
    <s v="P"/>
    <s v="-"/>
    <n v="2"/>
    <n v="1"/>
    <n v="2"/>
    <n v="0"/>
    <s v="-"/>
    <s v="-"/>
    <s v="-"/>
    <s v="-"/>
    <s v="-"/>
    <s v="-"/>
    <s v="-"/>
    <n v="5"/>
    <n v="6"/>
    <s v="-"/>
    <n v="1"/>
    <n v="1"/>
    <n v="2"/>
    <n v="2"/>
    <n v="7"/>
    <n v="8"/>
  </r>
  <r>
    <x v="6"/>
    <x v="140"/>
    <d v="1899-12-30T00:00:00"/>
    <s v="1ST"/>
    <s v="08:00"/>
    <n v="2"/>
    <x v="2"/>
    <n v="1.2699999999999999E-2"/>
    <s v="P"/>
    <s v="P"/>
    <s v="P"/>
    <s v="-"/>
    <s v="+"/>
    <n v="10.86"/>
    <s v="-"/>
    <s v="-"/>
    <s v="-"/>
    <s v="-"/>
    <s v="-"/>
    <s v="-"/>
    <s v="-"/>
    <s v="-"/>
    <s v="P"/>
    <s v="P"/>
    <s v="-"/>
    <n v="2"/>
    <n v="1"/>
    <n v="2"/>
    <n v="0"/>
    <s v="-"/>
    <s v="-"/>
    <s v="-"/>
    <s v="-"/>
    <s v="-"/>
    <s v="-"/>
    <s v="-"/>
    <n v="5"/>
    <n v="6"/>
    <s v="-"/>
    <n v="1"/>
    <n v="1"/>
    <n v="2"/>
    <n v="2"/>
    <n v="7"/>
    <n v="8"/>
  </r>
  <r>
    <x v="6"/>
    <x v="140"/>
    <d v="1899-12-30T00:00:00"/>
    <s v="1ST"/>
    <s v="10:00"/>
    <n v="2"/>
    <x v="2"/>
    <n v="1.3100000000000001E-2"/>
    <s v="P"/>
    <s v="P"/>
    <s v="P"/>
    <s v="-"/>
    <s v="+"/>
    <n v="11.55"/>
    <s v="-"/>
    <s v="-"/>
    <s v="-"/>
    <s v="-"/>
    <s v="-"/>
    <s v="-"/>
    <s v="-"/>
    <s v="-"/>
    <s v="P"/>
    <s v="P"/>
    <s v="-"/>
    <n v="2"/>
    <n v="1"/>
    <n v="2"/>
    <n v="0"/>
    <s v="-"/>
    <s v="-"/>
    <s v="-"/>
    <s v="-"/>
    <s v="-"/>
    <s v="-"/>
    <s v="-"/>
    <n v="5"/>
    <n v="6"/>
    <s v="-"/>
    <n v="1"/>
    <n v="1"/>
    <n v="2"/>
    <n v="2"/>
    <n v="7"/>
    <n v="8"/>
  </r>
  <r>
    <x v="6"/>
    <x v="140"/>
    <d v="1902-03-26T00:00:00"/>
    <s v="1ST"/>
    <s v="12:00"/>
    <n v="2"/>
    <x v="5"/>
    <n v="5.4999999999999997E-3"/>
    <s v="P"/>
    <s v="P"/>
    <s v="P"/>
    <s v="-"/>
    <s v="+"/>
    <n v="10.98"/>
    <s v="-"/>
    <s v="-"/>
    <s v="-"/>
    <s v="-"/>
    <s v="-"/>
    <s v="-"/>
    <s v="-"/>
    <s v="-"/>
    <s v="P"/>
    <s v="P"/>
    <s v="-"/>
    <n v="2"/>
    <n v="1"/>
    <n v="2"/>
    <n v="0"/>
    <s v="-"/>
    <s v="-"/>
    <s v="-"/>
    <s v="-"/>
    <s v="-"/>
    <s v="-"/>
    <s v="-"/>
    <n v="5"/>
    <n v="6"/>
    <s v="-"/>
    <n v="1"/>
    <n v="1"/>
    <n v="2"/>
    <n v="2"/>
    <n v="7"/>
    <n v="8"/>
  </r>
  <r>
    <x v="6"/>
    <x v="140"/>
    <d v="2026-06-24T00:00:00"/>
    <s v="1ST"/>
    <s v="06:00"/>
    <n v="3"/>
    <x v="1"/>
    <n v="1.44E-2"/>
    <s v="P"/>
    <s v="P"/>
    <s v="P"/>
    <s v="+"/>
    <s v="+"/>
    <n v="12.94"/>
    <n v="12.64"/>
    <n v="0.46"/>
    <n v="64.900000000000006"/>
    <s v="-"/>
    <s v="-"/>
    <n v="35.299999999999997"/>
    <s v="-"/>
    <s v="-"/>
    <s v="P"/>
    <s v="P"/>
    <s v="85% 5% 10%"/>
    <n v="2"/>
    <n v="1"/>
    <n v="2"/>
    <n v="1"/>
    <n v="1"/>
    <n v="2"/>
    <n v="2"/>
    <s v="-"/>
    <s v="-"/>
    <n v="2"/>
    <s v="-"/>
    <n v="13"/>
    <n v="13"/>
    <s v="-"/>
    <n v="1"/>
    <n v="1"/>
    <n v="2"/>
    <n v="2"/>
    <n v="15"/>
    <n v="15"/>
  </r>
  <r>
    <x v="6"/>
    <x v="140"/>
    <d v="2026-06-24T00:00:00"/>
    <s v="1ST"/>
    <s v="07:00"/>
    <n v="3"/>
    <x v="1"/>
    <n v="1.3299999999999999E-2"/>
    <s v="P"/>
    <s v="P"/>
    <s v="P"/>
    <s v="+"/>
    <s v="+"/>
    <n v="12.76"/>
    <s v="-"/>
    <s v="-"/>
    <s v="-"/>
    <s v="-"/>
    <s v="-"/>
    <s v="-"/>
    <s v="-"/>
    <s v="-"/>
    <s v="P"/>
    <s v="P"/>
    <s v="-"/>
    <n v="2"/>
    <n v="1"/>
    <n v="2"/>
    <n v="1"/>
    <s v="-"/>
    <s v="-"/>
    <s v="-"/>
    <s v="-"/>
    <s v="-"/>
    <s v="-"/>
    <s v="-"/>
    <n v="6"/>
    <n v="6"/>
    <s v="-"/>
    <n v="1"/>
    <n v="1"/>
    <n v="2"/>
    <n v="2"/>
    <n v="8"/>
    <n v="8"/>
  </r>
  <r>
    <x v="6"/>
    <x v="140"/>
    <d v="2026-06-24T00:00:00"/>
    <s v="1ST"/>
    <s v="08:00"/>
    <n v="3"/>
    <x v="1"/>
    <n v="1.6400000000000001E-2"/>
    <s v="P"/>
    <s v="P"/>
    <s v="P"/>
    <s v="+"/>
    <s v="+"/>
    <n v="12.92"/>
    <s v="-"/>
    <s v="-"/>
    <s v="-"/>
    <s v="-"/>
    <s v="-"/>
    <s v="-"/>
    <s v="-"/>
    <s v="-"/>
    <s v="P"/>
    <s v="P"/>
    <s v="-"/>
    <n v="2"/>
    <n v="1"/>
    <n v="2"/>
    <n v="1"/>
    <s v="-"/>
    <s v="-"/>
    <s v="-"/>
    <s v="-"/>
    <s v="-"/>
    <s v="-"/>
    <s v="-"/>
    <n v="6"/>
    <n v="6"/>
    <s v="-"/>
    <n v="1"/>
    <n v="1"/>
    <n v="2"/>
    <n v="2"/>
    <n v="8"/>
    <n v="8"/>
  </r>
  <r>
    <x v="6"/>
    <x v="140"/>
    <d v="2026-06-24T00:00:00"/>
    <s v="1ST"/>
    <s v="09:00"/>
    <n v="3"/>
    <x v="1"/>
    <s v="-"/>
    <s v="P"/>
    <s v="P"/>
    <s v="P"/>
    <s v="+"/>
    <s v="+"/>
    <n v="12.94"/>
    <s v="-"/>
    <s v="-"/>
    <s v="-"/>
    <s v="-"/>
    <s v="-"/>
    <s v="-"/>
    <s v="-"/>
    <s v="-"/>
    <s v="P"/>
    <s v="P"/>
    <s v="-"/>
    <s v="-"/>
    <n v="1"/>
    <n v="2"/>
    <n v="1"/>
    <s v="-"/>
    <s v="-"/>
    <s v="-"/>
    <s v="-"/>
    <s v="-"/>
    <s v="-"/>
    <s v="-"/>
    <n v="4"/>
    <n v="4"/>
    <s v="-"/>
    <n v="1"/>
    <n v="1"/>
    <n v="2"/>
    <n v="2"/>
    <n v="6"/>
    <n v="6"/>
  </r>
  <r>
    <x v="6"/>
    <x v="140"/>
    <d v="2026-06-24T00:00:00"/>
    <s v="1ST"/>
    <s v="11:00"/>
    <n v="3"/>
    <x v="1"/>
    <n v="1.6199999999999999E-2"/>
    <s v="P"/>
    <s v="P"/>
    <s v="P"/>
    <s v="+"/>
    <s v="+"/>
    <s v="-"/>
    <s v="-"/>
    <s v="-"/>
    <s v="-"/>
    <s v="-"/>
    <s v="-"/>
    <s v="-"/>
    <s v="-"/>
    <s v="-"/>
    <s v="P"/>
    <s v="P"/>
    <s v="-"/>
    <n v="2"/>
    <n v="1"/>
    <n v="2"/>
    <s v="-"/>
    <s v="-"/>
    <s v="-"/>
    <s v="-"/>
    <s v="-"/>
    <s v="-"/>
    <s v="-"/>
    <s v="-"/>
    <n v="5"/>
    <n v="5"/>
    <s v="-"/>
    <n v="1"/>
    <n v="1"/>
    <n v="2"/>
    <n v="2"/>
    <n v="7"/>
    <n v="7"/>
  </r>
  <r>
    <x v="6"/>
    <x v="140"/>
    <d v="2026-07-01T00:00:00"/>
    <s v="1ST"/>
    <s v="06:00"/>
    <s v="Retail"/>
    <x v="3"/>
    <s v="-"/>
    <s v="-"/>
    <s v="-"/>
    <s v="-"/>
    <s v="-"/>
    <s v="-"/>
    <n v="14.4"/>
    <s v="-"/>
    <s v="-"/>
    <s v="-"/>
    <s v="-"/>
    <s v="-"/>
    <s v="-"/>
    <s v="-"/>
    <s v="-"/>
    <s v="P"/>
    <s v="P"/>
    <s v="-"/>
    <s v="-"/>
    <s v="-"/>
    <s v="-"/>
    <n v="1"/>
    <s v="-"/>
    <s v="-"/>
    <s v="-"/>
    <s v="-"/>
    <s v="-"/>
    <s v="-"/>
    <s v="-"/>
    <n v="1"/>
    <n v="1"/>
    <s v="-"/>
    <n v="1"/>
    <n v="1"/>
    <n v="2"/>
    <n v="2"/>
    <n v="3"/>
    <n v="3"/>
  </r>
  <r>
    <x v="6"/>
    <x v="140"/>
    <d v="1902-03-26T00:00:00"/>
    <s v="2ND"/>
    <d v="1899-12-30T14:00:00"/>
    <n v="2"/>
    <x v="5"/>
    <n v="4.4999999999999997E-3"/>
    <s v="P"/>
    <s v="P"/>
    <s v="P"/>
    <s v="-"/>
    <s v="+"/>
    <n v="10.72"/>
    <s v="-"/>
    <s v="-"/>
    <s v="-"/>
    <s v="-"/>
    <s v="-"/>
    <s v="-"/>
    <s v="-"/>
    <s v="-"/>
    <s v="P"/>
    <s v="P"/>
    <s v="-"/>
    <n v="2"/>
    <n v="1"/>
    <n v="2"/>
    <n v="0"/>
    <s v="-"/>
    <s v="-"/>
    <s v="-"/>
    <s v="-"/>
    <s v="-"/>
    <s v="-"/>
    <s v="-"/>
    <n v="5"/>
    <n v="6"/>
    <s v="-"/>
    <n v="1"/>
    <n v="1"/>
    <n v="2"/>
    <n v="2"/>
    <n v="7"/>
    <n v="8"/>
  </r>
  <r>
    <x v="6"/>
    <x v="140"/>
    <d v="1899-12-30T00:00:00"/>
    <s v="2ND"/>
    <d v="1899-12-30T16:00:00"/>
    <n v="2"/>
    <x v="5"/>
    <n v="1.1000000000000001E-3"/>
    <s v="P"/>
    <s v="P"/>
    <s v="P"/>
    <s v="-"/>
    <s v="+"/>
    <n v="11.44"/>
    <s v="-"/>
    <s v="-"/>
    <s v="-"/>
    <s v="-"/>
    <s v="-"/>
    <s v="-"/>
    <s v="-"/>
    <s v="-"/>
    <s v="P"/>
    <s v="P"/>
    <s v="-"/>
    <n v="2"/>
    <n v="1"/>
    <n v="2"/>
    <n v="1"/>
    <s v="-"/>
    <s v="-"/>
    <s v="-"/>
    <s v="-"/>
    <s v="-"/>
    <s v="-"/>
    <s v="-"/>
    <n v="6"/>
    <n v="6"/>
    <s v="-"/>
    <n v="1"/>
    <n v="1"/>
    <n v="2"/>
    <n v="2"/>
    <n v="8"/>
    <n v="8"/>
  </r>
  <r>
    <x v="6"/>
    <x v="140"/>
    <d v="1899-12-30T00:00:00"/>
    <s v="2ND"/>
    <d v="1899-12-30T17:00:00"/>
    <n v="2"/>
    <x v="5"/>
    <n v="2.8E-3"/>
    <s v="P"/>
    <s v="P"/>
    <s v="P"/>
    <s v="-"/>
    <s v="+"/>
    <n v="11.96"/>
    <s v="-"/>
    <s v="-"/>
    <s v="-"/>
    <s v="-"/>
    <s v="-"/>
    <s v="-"/>
    <s v="-"/>
    <s v="-"/>
    <s v="P"/>
    <s v="P"/>
    <s v="-"/>
    <n v="2"/>
    <n v="1"/>
    <n v="2"/>
    <n v="1"/>
    <s v="-"/>
    <s v="-"/>
    <s v="-"/>
    <s v="-"/>
    <s v="-"/>
    <s v="-"/>
    <s v="-"/>
    <n v="6"/>
    <n v="6"/>
    <s v="-"/>
    <n v="1"/>
    <n v="1"/>
    <n v="2"/>
    <n v="2"/>
    <n v="8"/>
    <n v="8"/>
  </r>
  <r>
    <x v="6"/>
    <x v="140"/>
    <d v="1899-12-30T00:00:00"/>
    <s v="2ND"/>
    <d v="1899-12-30T18:00:00"/>
    <n v="2"/>
    <x v="21"/>
    <n v="3.5999999999999999E-3"/>
    <s v="P"/>
    <s v="P"/>
    <s v="P"/>
    <s v="-"/>
    <s v="+"/>
    <n v="11.22"/>
    <s v="-"/>
    <s v="-"/>
    <s v="-"/>
    <s v="-"/>
    <s v="-"/>
    <s v="-"/>
    <s v="-"/>
    <s v="-"/>
    <s v="P"/>
    <s v="P"/>
    <s v="-"/>
    <n v="2"/>
    <n v="1"/>
    <n v="2"/>
    <n v="1"/>
    <s v="-"/>
    <s v="-"/>
    <s v="-"/>
    <s v="-"/>
    <s v="-"/>
    <s v="-"/>
    <s v="-"/>
    <n v="6"/>
    <n v="6"/>
    <s v="-"/>
    <n v="1"/>
    <n v="1"/>
    <n v="2"/>
    <n v="2"/>
    <n v="8"/>
    <n v="8"/>
  </r>
  <r>
    <x v="6"/>
    <x v="140"/>
    <d v="1899-12-30T00:00:00"/>
    <s v="2ND"/>
    <d v="1899-12-30T20:00:00"/>
    <n v="2"/>
    <x v="21"/>
    <n v="2.3E-3"/>
    <s v="P"/>
    <s v="P"/>
    <s v="P"/>
    <s v="-"/>
    <s v="+"/>
    <n v="12.02"/>
    <s v="-"/>
    <s v="-"/>
    <s v="-"/>
    <s v="-"/>
    <s v="-"/>
    <s v="-"/>
    <s v="-"/>
    <s v="-"/>
    <s v="P"/>
    <s v="P"/>
    <s v="-"/>
    <n v="2"/>
    <n v="1"/>
    <n v="2"/>
    <n v="1"/>
    <s v="-"/>
    <s v="-"/>
    <s v="-"/>
    <s v="-"/>
    <s v="-"/>
    <s v="-"/>
    <s v="-"/>
    <n v="6"/>
    <n v="6"/>
    <s v="-"/>
    <n v="1"/>
    <n v="1"/>
    <n v="2"/>
    <n v="2"/>
    <n v="8"/>
    <n v="8"/>
  </r>
  <r>
    <x v="6"/>
    <x v="140"/>
    <d v="1899-12-30T00:00:00"/>
    <s v="2ND"/>
    <d v="1899-12-30T21:00:00"/>
    <n v="2"/>
    <x v="21"/>
    <n v="2.8999999999999998E-3"/>
    <s v="P"/>
    <s v="P"/>
    <s v="P"/>
    <s v="-"/>
    <s v="+"/>
    <n v="11.95"/>
    <s v="-"/>
    <s v="-"/>
    <s v="-"/>
    <s v="-"/>
    <s v="-"/>
    <s v="-"/>
    <s v="-"/>
    <s v="-"/>
    <s v="P"/>
    <s v="P"/>
    <s v="-"/>
    <n v="2"/>
    <n v="1"/>
    <n v="2"/>
    <n v="1"/>
    <s v="-"/>
    <s v="-"/>
    <s v="-"/>
    <s v="-"/>
    <s v="-"/>
    <s v="-"/>
    <s v="-"/>
    <n v="6"/>
    <n v="6"/>
    <s v="-"/>
    <n v="1"/>
    <n v="1"/>
    <n v="2"/>
    <n v="2"/>
    <n v="8"/>
    <n v="8"/>
  </r>
  <r>
    <x v="6"/>
    <x v="140"/>
    <d v="2026-06-24T00:00:00"/>
    <s v="2ND"/>
    <d v="1899-12-30T14:00:00"/>
    <n v="3"/>
    <x v="0"/>
    <n v="1.9199999999999998E-2"/>
    <s v="P"/>
    <s v="P"/>
    <s v="P"/>
    <s v="+"/>
    <s v="+"/>
    <n v="12.94"/>
    <s v="-"/>
    <s v="-"/>
    <s v="-"/>
    <s v="-"/>
    <s v="-"/>
    <s v="-"/>
    <s v="-"/>
    <s v="-"/>
    <s v="P"/>
    <s v="P"/>
    <s v="85% 5% 10%"/>
    <n v="2"/>
    <n v="1"/>
    <n v="2"/>
    <n v="1"/>
    <s v="-"/>
    <s v="-"/>
    <s v="-"/>
    <s v="-"/>
    <s v="-"/>
    <s v="-"/>
    <s v="-"/>
    <n v="6"/>
    <n v="6"/>
    <s v="-"/>
    <n v="1"/>
    <n v="1"/>
    <n v="2"/>
    <n v="2"/>
    <n v="8"/>
    <n v="8"/>
  </r>
  <r>
    <x v="6"/>
    <x v="140"/>
    <d v="2026-06-24T00:00:00"/>
    <s v="2ND"/>
    <d v="1899-12-30T21:00:00"/>
    <n v="3"/>
    <x v="1"/>
    <n v="1.9900000000000001E-2"/>
    <s v="P"/>
    <s v="P"/>
    <s v="P"/>
    <s v="+"/>
    <s v="+"/>
    <n v="12.62"/>
    <s v="-"/>
    <s v="-"/>
    <s v="-"/>
    <s v="-"/>
    <s v="-"/>
    <s v="-"/>
    <s v="-"/>
    <s v="-"/>
    <s v="P"/>
    <s v="P"/>
    <s v="-"/>
    <n v="2"/>
    <n v="1"/>
    <n v="2"/>
    <n v="1"/>
    <s v="-"/>
    <s v="-"/>
    <s v="-"/>
    <s v="-"/>
    <s v="-"/>
    <s v="-"/>
    <s v="-"/>
    <n v="6"/>
    <n v="6"/>
    <s v="-"/>
    <n v="1"/>
    <n v="1"/>
    <n v="2"/>
    <n v="2"/>
    <n v="8"/>
    <n v="8"/>
  </r>
  <r>
    <x v="6"/>
    <x v="140"/>
    <d v="2026-07-01T00:00:00"/>
    <s v="2ND"/>
    <d v="1899-12-30T15:00:00"/>
    <s v="Retail"/>
    <x v="9"/>
    <s v="-"/>
    <s v="-"/>
    <s v="-"/>
    <s v="-"/>
    <s v="-"/>
    <s v="-"/>
    <n v="9.74"/>
    <s v="-"/>
    <s v="-"/>
    <s v="-"/>
    <s v="-"/>
    <s v="-"/>
    <s v="-"/>
    <s v="-"/>
    <s v="-"/>
    <s v="-"/>
    <s v="-"/>
    <s v="-"/>
    <s v="-"/>
    <s v="-"/>
    <s v="-"/>
    <n v="0"/>
    <s v="-"/>
    <s v="-"/>
    <s v="-"/>
    <s v="-"/>
    <s v="-"/>
    <s v="-"/>
    <s v="-"/>
    <n v="0"/>
    <n v="1"/>
    <s v="-"/>
    <s v="-"/>
    <s v="-"/>
    <n v="0"/>
    <n v="0"/>
    <n v="0"/>
    <n v="1"/>
  </r>
  <r>
    <x v="6"/>
    <x v="140"/>
    <d v="1899-12-30T00:00:00"/>
    <s v="3RD"/>
    <d v="1899-12-30T22:00:00"/>
    <n v="2"/>
    <x v="21"/>
    <n v="4.1999999999999997E-3"/>
    <s v="P"/>
    <s v="P"/>
    <s v="P"/>
    <s v="-"/>
    <s v="+"/>
    <n v="11.86"/>
    <s v="-"/>
    <s v="-"/>
    <s v="-"/>
    <s v="-"/>
    <s v="-"/>
    <s v="-"/>
    <s v="-"/>
    <s v="-"/>
    <s v="-"/>
    <s v="-"/>
    <s v="-"/>
    <n v="2"/>
    <n v="1"/>
    <n v="2"/>
    <n v="1"/>
    <s v="-"/>
    <s v="-"/>
    <s v="-"/>
    <s v="-"/>
    <s v="-"/>
    <s v="-"/>
    <s v="-"/>
    <n v="6"/>
    <n v="6"/>
    <s v="-"/>
    <s v="-"/>
    <s v="-"/>
    <n v="0"/>
    <n v="0"/>
    <n v="6"/>
    <n v="6"/>
  </r>
  <r>
    <x v="6"/>
    <x v="140"/>
    <d v="1899-12-30T00:00:00"/>
    <s v="3RD"/>
    <d v="1899-12-30T23:00:00"/>
    <n v="2"/>
    <x v="21"/>
    <n v="5.0000000000000001E-3"/>
    <s v="P"/>
    <s v="P"/>
    <s v="P"/>
    <s v="-"/>
    <s v="+"/>
    <n v="11.66"/>
    <s v="-"/>
    <s v="-"/>
    <s v="-"/>
    <s v="-"/>
    <s v="-"/>
    <s v="-"/>
    <s v="-"/>
    <s v="-"/>
    <s v="-"/>
    <s v="-"/>
    <s v="-"/>
    <n v="2"/>
    <n v="1"/>
    <n v="2"/>
    <n v="1"/>
    <s v="-"/>
    <s v="-"/>
    <s v="-"/>
    <s v="-"/>
    <s v="-"/>
    <s v="-"/>
    <s v="-"/>
    <n v="6"/>
    <n v="6"/>
    <s v="-"/>
    <s v="-"/>
    <s v="-"/>
    <n v="0"/>
    <n v="0"/>
    <n v="6"/>
    <n v="6"/>
  </r>
  <r>
    <x v="6"/>
    <x v="140"/>
    <d v="1899-12-30T00:00:00"/>
    <s v="3RD"/>
    <d v="1899-12-31T00:00:00"/>
    <n v="2"/>
    <x v="21"/>
    <n v="7.4999999999999997E-3"/>
    <s v="P"/>
    <s v="P"/>
    <s v="P"/>
    <s v="-"/>
    <s v="+"/>
    <n v="11.89"/>
    <s v="-"/>
    <s v="-"/>
    <s v="-"/>
    <s v="-"/>
    <s v="-"/>
    <s v="-"/>
    <s v="-"/>
    <s v="-"/>
    <s v="-"/>
    <s v="-"/>
    <s v="-"/>
    <n v="2"/>
    <n v="1"/>
    <n v="2"/>
    <n v="1"/>
    <s v="-"/>
    <s v="-"/>
    <s v="-"/>
    <s v="-"/>
    <s v="-"/>
    <s v="-"/>
    <s v="-"/>
    <n v="6"/>
    <n v="6"/>
    <s v="-"/>
    <s v="-"/>
    <s v="-"/>
    <n v="0"/>
    <n v="0"/>
    <n v="6"/>
    <n v="6"/>
  </r>
  <r>
    <x v="6"/>
    <x v="140"/>
    <d v="1899-12-30T00:00:00"/>
    <s v="3RD"/>
    <d v="1899-12-31T01:00:00"/>
    <n v="2"/>
    <x v="21"/>
    <n v="2.8999999999999998E-3"/>
    <s v="P"/>
    <s v="P"/>
    <s v="P"/>
    <s v="-"/>
    <s v="+"/>
    <n v="11.59"/>
    <s v="-"/>
    <s v="-"/>
    <s v="-"/>
    <s v="-"/>
    <s v="-"/>
    <s v="-"/>
    <s v="-"/>
    <s v="-"/>
    <s v="-"/>
    <s v="-"/>
    <s v="-"/>
    <n v="2"/>
    <n v="1"/>
    <n v="2"/>
    <n v="1"/>
    <s v="-"/>
    <s v="-"/>
    <s v="-"/>
    <s v="-"/>
    <s v="-"/>
    <s v="-"/>
    <s v="-"/>
    <n v="6"/>
    <n v="6"/>
    <s v="-"/>
    <s v="-"/>
    <s v="-"/>
    <n v="0"/>
    <n v="0"/>
    <n v="6"/>
    <n v="6"/>
  </r>
  <r>
    <x v="6"/>
    <x v="140"/>
    <d v="1899-12-30T00:00:00"/>
    <s v="3RD"/>
    <d v="1899-12-31T03:00:00"/>
    <n v="2"/>
    <x v="4"/>
    <n v="3.2000000000000002E-3"/>
    <s v="P"/>
    <s v="P"/>
    <s v="P"/>
    <s v="-"/>
    <s v="+"/>
    <n v="11.61"/>
    <s v="-"/>
    <s v="-"/>
    <s v="-"/>
    <s v="-"/>
    <s v="-"/>
    <s v="-"/>
    <s v="-"/>
    <s v="-"/>
    <s v="-"/>
    <s v="-"/>
    <s v="-"/>
    <n v="2"/>
    <n v="1"/>
    <n v="2"/>
    <n v="1"/>
    <s v="-"/>
    <s v="-"/>
    <s v="-"/>
    <s v="-"/>
    <s v="-"/>
    <s v="-"/>
    <s v="-"/>
    <n v="6"/>
    <n v="6"/>
    <s v="-"/>
    <s v="-"/>
    <s v="-"/>
    <n v="0"/>
    <n v="0"/>
    <n v="6"/>
    <n v="6"/>
  </r>
  <r>
    <x v="6"/>
    <x v="140"/>
    <d v="1899-12-30T00:00:00"/>
    <s v="3RD"/>
    <d v="1899-12-31T04:00:00"/>
    <n v="2"/>
    <x v="4"/>
    <n v="5.4999999999999997E-3"/>
    <s v="P"/>
    <s v="P"/>
    <s v="P"/>
    <s v="-"/>
    <s v="+"/>
    <n v="11.7"/>
    <s v="-"/>
    <s v="-"/>
    <s v="-"/>
    <s v="-"/>
    <s v="-"/>
    <s v="-"/>
    <s v="-"/>
    <s v="-"/>
    <s v="-"/>
    <s v="-"/>
    <s v="-"/>
    <n v="2"/>
    <n v="1"/>
    <n v="2"/>
    <n v="1"/>
    <s v="-"/>
    <s v="-"/>
    <s v="-"/>
    <s v="-"/>
    <s v="-"/>
    <s v="-"/>
    <s v="-"/>
    <n v="6"/>
    <n v="6"/>
    <s v="-"/>
    <s v="-"/>
    <s v="-"/>
    <n v="0"/>
    <n v="0"/>
    <n v="6"/>
    <n v="6"/>
  </r>
  <r>
    <x v="6"/>
    <x v="140"/>
    <d v="1899-12-30T00:00:00"/>
    <s v="3RD"/>
    <d v="1899-12-31T05:00:00"/>
    <n v="2"/>
    <x v="4"/>
    <n v="2.8E-3"/>
    <s v="P"/>
    <s v="P"/>
    <s v="P"/>
    <s v="-"/>
    <s v="+"/>
    <n v="11.61"/>
    <s v="-"/>
    <s v="-"/>
    <s v="-"/>
    <s v="-"/>
    <s v="-"/>
    <s v="-"/>
    <s v="-"/>
    <s v="-"/>
    <s v="-"/>
    <s v="-"/>
    <s v="-"/>
    <n v="2"/>
    <n v="1"/>
    <n v="2"/>
    <n v="1"/>
    <s v="-"/>
    <s v="-"/>
    <s v="-"/>
    <s v="-"/>
    <s v="-"/>
    <s v="-"/>
    <s v="-"/>
    <n v="6"/>
    <n v="6"/>
    <s v="-"/>
    <s v="-"/>
    <s v="-"/>
    <n v="0"/>
    <n v="0"/>
    <n v="6"/>
    <n v="6"/>
  </r>
  <r>
    <x v="6"/>
    <x v="140"/>
    <d v="2026-06-24T00:00:00"/>
    <s v="3RD"/>
    <d v="1899-12-30T22:00:00"/>
    <n v="3"/>
    <x v="1"/>
    <n v="1.9300000000000001E-2"/>
    <s v="P"/>
    <s v="P"/>
    <s v="P"/>
    <s v="+"/>
    <s v="+"/>
    <n v="12.69"/>
    <n v="12.46"/>
    <n v="0.46"/>
    <n v="64.900000000000006"/>
    <s v="-"/>
    <s v="-"/>
    <n v="34.700000000000003"/>
    <s v="-"/>
    <s v="-"/>
    <s v="-"/>
    <s v="-"/>
    <s v="85% 5% 10%"/>
    <n v="2"/>
    <n v="1"/>
    <n v="2"/>
    <n v="1"/>
    <n v="1"/>
    <n v="2"/>
    <n v="2"/>
    <s v="-"/>
    <s v="-"/>
    <n v="2"/>
    <s v="-"/>
    <n v="13"/>
    <n v="13"/>
    <s v="-"/>
    <s v="-"/>
    <s v="-"/>
    <n v="0"/>
    <n v="0"/>
    <n v="13"/>
    <n v="13"/>
  </r>
  <r>
    <x v="6"/>
    <x v="140"/>
    <d v="2026-06-24T00:00:00"/>
    <s v="3RD"/>
    <d v="1899-12-30T23:00:00"/>
    <n v="3"/>
    <x v="1"/>
    <n v="1.8499999999999999E-2"/>
    <s v="P"/>
    <s v="P"/>
    <s v="P"/>
    <s v="+"/>
    <s v="+"/>
    <n v="12.61"/>
    <s v="-"/>
    <s v="-"/>
    <s v="-"/>
    <s v="-"/>
    <s v="-"/>
    <s v="-"/>
    <s v="-"/>
    <s v="-"/>
    <s v="-"/>
    <s v="-"/>
    <s v="-"/>
    <n v="2"/>
    <n v="1"/>
    <n v="2"/>
    <n v="1"/>
    <s v="-"/>
    <s v="-"/>
    <s v="-"/>
    <s v="-"/>
    <s v="-"/>
    <s v="-"/>
    <s v="-"/>
    <n v="6"/>
    <n v="6"/>
    <s v="-"/>
    <s v="-"/>
    <s v="-"/>
    <n v="0"/>
    <n v="0"/>
    <n v="6"/>
    <n v="6"/>
  </r>
  <r>
    <x v="6"/>
    <x v="140"/>
    <d v="2026-06-30T00:00:00"/>
    <s v="3RD"/>
    <d v="1899-12-31T00:00:00"/>
    <n v="3"/>
    <x v="37"/>
    <n v="1.7299999999999999E-2"/>
    <s v="P"/>
    <s v="P"/>
    <s v="P"/>
    <s v="+"/>
    <s v="+"/>
    <n v="11.79"/>
    <s v="-"/>
    <s v="-"/>
    <s v="-"/>
    <s v="-"/>
    <s v="-"/>
    <s v="-"/>
    <s v="-"/>
    <s v="-"/>
    <s v="-"/>
    <s v="-"/>
    <n v="1"/>
    <n v="2"/>
    <n v="1"/>
    <n v="2"/>
    <n v="1"/>
    <s v="-"/>
    <s v="-"/>
    <s v="-"/>
    <s v="-"/>
    <s v="-"/>
    <s v="-"/>
    <s v="-"/>
    <n v="6"/>
    <n v="6"/>
    <s v="-"/>
    <s v="-"/>
    <s v="-"/>
    <n v="0"/>
    <n v="0"/>
    <n v="6"/>
    <n v="6"/>
  </r>
  <r>
    <x v="6"/>
    <x v="141"/>
    <d v="1902-03-26T00:00:00"/>
    <s v="1ST"/>
    <s v="06:00"/>
    <n v="2"/>
    <x v="4"/>
    <n v="3.0999999999999999E-3"/>
    <s v="P"/>
    <s v="P"/>
    <s v="P"/>
    <s v="-"/>
    <s v="+"/>
    <n v="11.55"/>
    <s v="-"/>
    <s v="-"/>
    <s v="-"/>
    <s v="-"/>
    <s v="-"/>
    <s v="-"/>
    <s v="-"/>
    <s v="-"/>
    <s v="P"/>
    <s v="P"/>
    <s v="-"/>
    <n v="2"/>
    <n v="1"/>
    <n v="2"/>
    <n v="1"/>
    <s v="-"/>
    <s v="-"/>
    <s v="-"/>
    <s v="-"/>
    <s v="-"/>
    <s v="-"/>
    <s v="-"/>
    <n v="6"/>
    <n v="6"/>
    <s v="-"/>
    <n v="1"/>
    <n v="1"/>
    <n v="2"/>
    <n v="2"/>
    <n v="8"/>
    <n v="8"/>
  </r>
  <r>
    <x v="6"/>
    <x v="141"/>
    <d v="1899-12-30T00:00:00"/>
    <s v="1ST"/>
    <s v="08:00"/>
    <n v="2"/>
    <x v="5"/>
    <n v="7.6E-3"/>
    <s v="P"/>
    <s v="P"/>
    <s v="P"/>
    <s v="-"/>
    <s v="+"/>
    <n v="11.42"/>
    <s v="-"/>
    <s v="-"/>
    <s v="-"/>
    <s v="-"/>
    <s v="-"/>
    <s v="-"/>
    <s v="-"/>
    <s v="-"/>
    <s v="P"/>
    <s v="P"/>
    <s v="-"/>
    <n v="2"/>
    <n v="1"/>
    <n v="2"/>
    <n v="1"/>
    <s v="-"/>
    <s v="-"/>
    <s v="-"/>
    <s v="-"/>
    <s v="-"/>
    <s v="-"/>
    <s v="-"/>
    <n v="6"/>
    <n v="6"/>
    <s v="-"/>
    <n v="1"/>
    <n v="1"/>
    <n v="2"/>
    <n v="2"/>
    <n v="8"/>
    <n v="8"/>
  </r>
  <r>
    <x v="6"/>
    <x v="141"/>
    <d v="1899-12-30T00:00:00"/>
    <s v="1ST"/>
    <s v="10:00"/>
    <n v="2"/>
    <x v="5"/>
    <n v="7.3000000000000001E-3"/>
    <s v="P"/>
    <s v="P"/>
    <s v="P"/>
    <s v="-"/>
    <s v="+"/>
    <n v="11.31"/>
    <s v="-"/>
    <s v="-"/>
    <s v="-"/>
    <s v="-"/>
    <s v="-"/>
    <s v="-"/>
    <s v="-"/>
    <s v="-"/>
    <s v="P"/>
    <s v="P"/>
    <s v="-"/>
    <n v="2"/>
    <n v="1"/>
    <n v="2"/>
    <n v="1"/>
    <s v="-"/>
    <s v="-"/>
    <s v="-"/>
    <s v="-"/>
    <s v="-"/>
    <s v="-"/>
    <s v="-"/>
    <n v="6"/>
    <n v="6"/>
    <s v="-"/>
    <n v="1"/>
    <n v="1"/>
    <n v="2"/>
    <n v="2"/>
    <n v="8"/>
    <n v="8"/>
  </r>
  <r>
    <x v="6"/>
    <x v="141"/>
    <d v="1899-12-30T00:00:00"/>
    <s v="1ST"/>
    <s v="11:00"/>
    <n v="2"/>
    <x v="5"/>
    <n v="2.3E-3"/>
    <s v="P"/>
    <s v="P"/>
    <s v="P"/>
    <s v="-"/>
    <s v="+"/>
    <n v="11.27"/>
    <s v="-"/>
    <s v="-"/>
    <s v="-"/>
    <s v="-"/>
    <s v="-"/>
    <s v="-"/>
    <s v="-"/>
    <s v="-"/>
    <s v="P"/>
    <s v="P"/>
    <s v="-"/>
    <n v="2"/>
    <n v="1"/>
    <n v="2"/>
    <n v="1"/>
    <s v="-"/>
    <s v="-"/>
    <s v="-"/>
    <s v="-"/>
    <s v="-"/>
    <s v="-"/>
    <s v="-"/>
    <n v="6"/>
    <n v="6"/>
    <s v="-"/>
    <n v="1"/>
    <n v="1"/>
    <n v="2"/>
    <n v="2"/>
    <n v="8"/>
    <n v="8"/>
  </r>
  <r>
    <x v="6"/>
    <x v="141"/>
    <d v="1899-12-30T00:00:00"/>
    <s v="1ST"/>
    <s v="12:00"/>
    <n v="2"/>
    <x v="5"/>
    <n v="3.8E-3"/>
    <s v="P"/>
    <s v="P"/>
    <s v="P"/>
    <s v="-"/>
    <s v="+"/>
    <n v="11.31"/>
    <s v="-"/>
    <s v="-"/>
    <s v="-"/>
    <s v="-"/>
    <s v="-"/>
    <s v="-"/>
    <s v="-"/>
    <s v="-"/>
    <s v="P"/>
    <s v="P"/>
    <s v="-"/>
    <n v="2"/>
    <n v="1"/>
    <n v="2"/>
    <n v="1"/>
    <s v="-"/>
    <s v="-"/>
    <s v="-"/>
    <s v="-"/>
    <s v="-"/>
    <s v="-"/>
    <s v="-"/>
    <n v="6"/>
    <n v="6"/>
    <s v="-"/>
    <n v="1"/>
    <n v="1"/>
    <n v="2"/>
    <n v="2"/>
    <n v="8"/>
    <n v="8"/>
  </r>
  <r>
    <x v="6"/>
    <x v="141"/>
    <d v="2026-06-30T00:00:00"/>
    <s v="1ST"/>
    <s v="09:00"/>
    <n v="3"/>
    <x v="16"/>
    <n v="1.9699999999999999E-2"/>
    <s v="P"/>
    <s v="P"/>
    <s v="P"/>
    <s v="+"/>
    <s v="+"/>
    <n v="12.34"/>
    <n v="13.12"/>
    <n v="0.56999999999999995"/>
    <n v="64.8"/>
    <s v="-"/>
    <s v="-"/>
    <n v="36.799999999999997"/>
    <s v="-"/>
    <s v="-"/>
    <s v="P"/>
    <s v="P"/>
    <n v="1"/>
    <n v="2"/>
    <n v="1"/>
    <n v="2"/>
    <n v="1"/>
    <n v="1"/>
    <n v="0"/>
    <n v="2"/>
    <s v="-"/>
    <s v="-"/>
    <n v="2"/>
    <s v="-"/>
    <n v="11"/>
    <n v="13"/>
    <s v="-"/>
    <n v="1"/>
    <n v="1"/>
    <n v="2"/>
    <n v="2"/>
    <n v="13"/>
    <n v="15"/>
  </r>
  <r>
    <x v="6"/>
    <x v="141"/>
    <d v="2026-06-30T00:00:00"/>
    <s v="1ST"/>
    <s v="12:00"/>
    <n v="3"/>
    <x v="16"/>
    <n v="1.9699999999999999E-2"/>
    <s v="P"/>
    <s v="P"/>
    <s v="P"/>
    <s v="+"/>
    <s v="+"/>
    <n v="13.14"/>
    <s v="-"/>
    <s v="-"/>
    <s v="-"/>
    <s v="-"/>
    <s v="-"/>
    <s v="-"/>
    <s v="-"/>
    <s v="-"/>
    <s v="P"/>
    <s v="P"/>
    <s v="-"/>
    <n v="2"/>
    <n v="1"/>
    <n v="2"/>
    <n v="1"/>
    <s v="-"/>
    <s v="-"/>
    <s v="-"/>
    <s v="-"/>
    <s v="-"/>
    <s v="-"/>
    <s v="-"/>
    <n v="6"/>
    <n v="6"/>
    <s v="-"/>
    <n v="1"/>
    <n v="1"/>
    <n v="2"/>
    <n v="2"/>
    <n v="8"/>
    <n v="8"/>
  </r>
  <r>
    <x v="6"/>
    <x v="141"/>
    <d v="2026-06-15T00:00:00"/>
    <s v="1ST"/>
    <s v="11:00"/>
    <s v="Retail"/>
    <x v="19"/>
    <s v="-"/>
    <s v="-"/>
    <s v="P"/>
    <s v="P"/>
    <s v="-"/>
    <s v="-"/>
    <n v="12.08"/>
    <n v="15.78"/>
    <s v="-"/>
    <s v="-"/>
    <s v="-"/>
    <s v="-"/>
    <n v="45"/>
    <s v="-"/>
    <s v="-"/>
    <s v="P"/>
    <s v="P"/>
    <s v="-"/>
    <s v="-"/>
    <s v="-"/>
    <n v="2"/>
    <n v="1"/>
    <n v="1"/>
    <s v="-"/>
    <s v="-"/>
    <s v="-"/>
    <s v="-"/>
    <n v="2"/>
    <s v="-"/>
    <n v="6"/>
    <n v="6"/>
    <s v="-"/>
    <n v="1"/>
    <n v="1"/>
    <n v="2"/>
    <n v="2"/>
    <n v="8"/>
    <n v="8"/>
  </r>
  <r>
    <x v="6"/>
    <x v="141"/>
    <d v="2026-06-15T00:00:00"/>
    <s v="1ST"/>
    <s v="12:00"/>
    <s v="Retail"/>
    <x v="19"/>
    <s v="-"/>
    <s v="-"/>
    <s v="P"/>
    <s v="P"/>
    <s v="-"/>
    <s v="-"/>
    <n v="12.08"/>
    <s v="-"/>
    <s v="-"/>
    <s v="-"/>
    <s v="-"/>
    <s v="-"/>
    <s v="-"/>
    <s v="-"/>
    <s v="-"/>
    <s v="P"/>
    <s v="P"/>
    <s v="-"/>
    <s v="-"/>
    <s v="-"/>
    <n v="2"/>
    <n v="1"/>
    <s v="-"/>
    <s v="-"/>
    <s v="-"/>
    <s v="-"/>
    <s v="-"/>
    <s v="-"/>
    <s v="-"/>
    <n v="3"/>
    <n v="3"/>
    <s v="-"/>
    <n v="1"/>
    <n v="1"/>
    <n v="2"/>
    <n v="2"/>
    <n v="5"/>
    <n v="5"/>
  </r>
  <r>
    <x v="6"/>
    <x v="141"/>
    <d v="1902-03-26T00:00:00"/>
    <s v="2ND"/>
    <d v="1899-12-30T14:00:00"/>
    <n v="2"/>
    <x v="5"/>
    <n v="3.8999999999999998E-3"/>
    <s v="P"/>
    <s v="P"/>
    <s v="P"/>
    <s v="-"/>
    <s v="+"/>
    <n v="10.88"/>
    <s v="-"/>
    <s v="-"/>
    <s v="-"/>
    <s v="-"/>
    <s v="-"/>
    <s v="-"/>
    <s v="-"/>
    <s v="-"/>
    <s v="P"/>
    <s v="P"/>
    <s v="-"/>
    <n v="2"/>
    <n v="1"/>
    <n v="2"/>
    <n v="0"/>
    <s v="-"/>
    <s v="-"/>
    <s v="-"/>
    <s v="-"/>
    <s v="-"/>
    <s v="-"/>
    <s v="-"/>
    <n v="5"/>
    <n v="6"/>
    <s v="-"/>
    <n v="1"/>
    <n v="1"/>
    <n v="2"/>
    <n v="2"/>
    <n v="7"/>
    <n v="8"/>
  </r>
  <r>
    <x v="6"/>
    <x v="141"/>
    <d v="1899-12-30T00:00:00"/>
    <s v="2ND"/>
    <d v="1899-12-30T16:00:00"/>
    <n v="2"/>
    <x v="5"/>
    <n v="2.3E-3"/>
    <s v="P"/>
    <s v="P"/>
    <s v="P"/>
    <s v="-"/>
    <s v="+"/>
    <n v="11.92"/>
    <s v="-"/>
    <s v="-"/>
    <s v="-"/>
    <s v="-"/>
    <s v="-"/>
    <s v="-"/>
    <s v="-"/>
    <s v="-"/>
    <s v="P"/>
    <s v="P"/>
    <s v="-"/>
    <n v="2"/>
    <n v="1"/>
    <n v="2"/>
    <n v="1"/>
    <s v="-"/>
    <s v="-"/>
    <s v="-"/>
    <s v="-"/>
    <s v="-"/>
    <s v="-"/>
    <s v="-"/>
    <n v="6"/>
    <n v="6"/>
    <s v="-"/>
    <n v="1"/>
    <n v="1"/>
    <n v="2"/>
    <n v="2"/>
    <n v="8"/>
    <n v="8"/>
  </r>
  <r>
    <x v="6"/>
    <x v="141"/>
    <d v="1899-12-30T00:00:00"/>
    <s v="2ND"/>
    <d v="1899-12-30T17:00:00"/>
    <n v="2"/>
    <x v="5"/>
    <n v="2.8E-3"/>
    <s v="P"/>
    <s v="P"/>
    <s v="P"/>
    <s v="-"/>
    <s v="+"/>
    <n v="11.38"/>
    <s v="-"/>
    <s v="-"/>
    <s v="-"/>
    <s v="-"/>
    <s v="-"/>
    <s v="-"/>
    <s v="-"/>
    <s v="-"/>
    <s v="P"/>
    <s v="P"/>
    <s v="-"/>
    <n v="2"/>
    <n v="1"/>
    <n v="2"/>
    <n v="1"/>
    <s v="-"/>
    <s v="-"/>
    <s v="-"/>
    <s v="-"/>
    <s v="-"/>
    <s v="-"/>
    <s v="-"/>
    <n v="6"/>
    <n v="6"/>
    <s v="-"/>
    <n v="1"/>
    <n v="1"/>
    <n v="2"/>
    <n v="2"/>
    <n v="8"/>
    <n v="8"/>
  </r>
  <r>
    <x v="6"/>
    <x v="141"/>
    <d v="1899-12-30T00:00:00"/>
    <s v="2ND"/>
    <d v="1899-12-30T18:00:00"/>
    <n v="2"/>
    <x v="4"/>
    <n v="2.2000000000000001E-3"/>
    <s v="P"/>
    <s v="P"/>
    <s v="P"/>
    <s v="-"/>
    <s v="+"/>
    <n v="11.64"/>
    <s v="-"/>
    <s v="-"/>
    <s v="-"/>
    <s v="-"/>
    <s v="-"/>
    <s v="-"/>
    <s v="-"/>
    <s v="-"/>
    <s v="P"/>
    <s v="P"/>
    <s v="-"/>
    <n v="2"/>
    <n v="1"/>
    <n v="2"/>
    <n v="1"/>
    <s v="-"/>
    <s v="-"/>
    <s v="-"/>
    <s v="-"/>
    <s v="-"/>
    <s v="-"/>
    <s v="-"/>
    <n v="6"/>
    <n v="6"/>
    <s v="-"/>
    <n v="1"/>
    <n v="1"/>
    <n v="2"/>
    <n v="2"/>
    <n v="8"/>
    <n v="8"/>
  </r>
  <r>
    <x v="6"/>
    <x v="141"/>
    <d v="1899-12-30T00:00:00"/>
    <s v="2ND"/>
    <d v="1899-12-30T19:00:00"/>
    <n v="2"/>
    <x v="4"/>
    <n v="3.0000000000000001E-3"/>
    <s v="P"/>
    <s v="P"/>
    <s v="P"/>
    <s v="-"/>
    <s v="+"/>
    <n v="11.31"/>
    <s v="-"/>
    <s v="-"/>
    <s v="-"/>
    <s v="-"/>
    <s v="-"/>
    <s v="-"/>
    <s v="-"/>
    <s v="-"/>
    <s v="P"/>
    <s v="P"/>
    <s v="-"/>
    <n v="2"/>
    <n v="1"/>
    <n v="2"/>
    <n v="1"/>
    <s v="-"/>
    <s v="-"/>
    <s v="-"/>
    <s v="-"/>
    <s v="-"/>
    <s v="-"/>
    <s v="-"/>
    <n v="6"/>
    <n v="6"/>
    <s v="-"/>
    <n v="1"/>
    <n v="1"/>
    <n v="2"/>
    <n v="2"/>
    <n v="8"/>
    <n v="8"/>
  </r>
  <r>
    <x v="6"/>
    <x v="141"/>
    <d v="1899-12-30T00:00:00"/>
    <s v="2ND"/>
    <d v="1899-12-30T20:00:00"/>
    <n v="2"/>
    <x v="4"/>
    <n v="2.5999999999999999E-3"/>
    <s v="P"/>
    <s v="P"/>
    <s v="P"/>
    <s v="-"/>
    <s v="+"/>
    <n v="11.39"/>
    <s v="-"/>
    <s v="-"/>
    <s v="-"/>
    <s v="-"/>
    <s v="-"/>
    <s v="-"/>
    <s v="-"/>
    <s v="-"/>
    <s v="P"/>
    <s v="P"/>
    <s v="-"/>
    <n v="2"/>
    <n v="1"/>
    <n v="2"/>
    <n v="1"/>
    <s v="-"/>
    <s v="-"/>
    <s v="-"/>
    <s v="-"/>
    <s v="-"/>
    <s v="-"/>
    <s v="-"/>
    <n v="6"/>
    <n v="6"/>
    <s v="-"/>
    <n v="1"/>
    <n v="1"/>
    <n v="2"/>
    <n v="2"/>
    <n v="8"/>
    <n v="8"/>
  </r>
  <r>
    <x v="6"/>
    <x v="141"/>
    <d v="1899-12-30T00:00:00"/>
    <s v="2ND"/>
    <d v="1899-12-30T21:00:00"/>
    <n v="2"/>
    <x v="4"/>
    <n v="2.8E-3"/>
    <s v="P"/>
    <s v="P"/>
    <s v="P"/>
    <s v="-"/>
    <s v="+"/>
    <n v="11.65"/>
    <s v="-"/>
    <s v="-"/>
    <s v="-"/>
    <s v="-"/>
    <s v="-"/>
    <s v="-"/>
    <s v="-"/>
    <s v="-"/>
    <s v="P"/>
    <s v="P"/>
    <s v="-"/>
    <n v="2"/>
    <n v="1"/>
    <n v="2"/>
    <n v="1"/>
    <s v="-"/>
    <s v="-"/>
    <s v="-"/>
    <s v="-"/>
    <s v="-"/>
    <s v="-"/>
    <s v="-"/>
    <n v="6"/>
    <n v="6"/>
    <s v="-"/>
    <n v="1"/>
    <n v="1"/>
    <n v="2"/>
    <n v="2"/>
    <n v="8"/>
    <n v="8"/>
  </r>
  <r>
    <x v="6"/>
    <x v="141"/>
    <d v="2026-06-30T00:00:00"/>
    <s v="2ND"/>
    <d v="1899-12-30T14:00:00"/>
    <n v="3"/>
    <x v="16"/>
    <n v="1.9900000000000001E-2"/>
    <s v="P"/>
    <s v="P"/>
    <s v="P"/>
    <s v="+"/>
    <s v="+"/>
    <n v="12.5"/>
    <n v="12.79"/>
    <n v="0.56999999999999995"/>
    <s v="-"/>
    <s v="-"/>
    <s v="-"/>
    <n v="35.6"/>
    <s v="-"/>
    <s v="-"/>
    <s v="P"/>
    <s v="P"/>
    <n v="1"/>
    <n v="2"/>
    <n v="1"/>
    <n v="2"/>
    <n v="1"/>
    <n v="1"/>
    <n v="0"/>
    <s v="-"/>
    <s v="-"/>
    <s v="-"/>
    <n v="2"/>
    <s v="-"/>
    <n v="9"/>
    <n v="11"/>
    <s v="-"/>
    <n v="1"/>
    <n v="1"/>
    <n v="2"/>
    <n v="2"/>
    <n v="11"/>
    <n v="13"/>
  </r>
  <r>
    <x v="6"/>
    <x v="141"/>
    <d v="2026-06-30T00:00:00"/>
    <s v="2ND"/>
    <d v="1899-12-30T15:00:00"/>
    <n v="3"/>
    <x v="36"/>
    <n v="1.1900000000000001E-2"/>
    <s v="P"/>
    <s v="P"/>
    <s v="P"/>
    <s v="+"/>
    <s v="+"/>
    <n v="13.11"/>
    <n v="12.6"/>
    <s v="-"/>
    <n v="627"/>
    <s v="-"/>
    <s v="-"/>
    <n v="35.200000000000003"/>
    <s v="-"/>
    <s v="-"/>
    <s v="P"/>
    <s v="P"/>
    <n v="1"/>
    <n v="2"/>
    <n v="1"/>
    <n v="2"/>
    <n v="1"/>
    <n v="0"/>
    <s v="-"/>
    <n v="2"/>
    <s v="-"/>
    <s v="-"/>
    <n v="2"/>
    <s v="-"/>
    <n v="10"/>
    <n v="11"/>
    <s v="-"/>
    <n v="1"/>
    <n v="1"/>
    <n v="2"/>
    <n v="2"/>
    <n v="12"/>
    <n v="13"/>
  </r>
  <r>
    <x v="6"/>
    <x v="141"/>
    <d v="2026-06-30T00:00:00"/>
    <s v="2ND"/>
    <d v="1899-12-30T16:00:00"/>
    <n v="3"/>
    <x v="36"/>
    <n v="1.21E-2"/>
    <s v="P"/>
    <s v="P"/>
    <s v="P"/>
    <s v="+"/>
    <s v="+"/>
    <n v="13.15"/>
    <s v="-"/>
    <s v="-"/>
    <s v="-"/>
    <s v="-"/>
    <s v="-"/>
    <s v="-"/>
    <s v="-"/>
    <s v="-"/>
    <s v="P"/>
    <s v="P"/>
    <s v="-"/>
    <n v="2"/>
    <n v="1"/>
    <n v="2"/>
    <n v="1"/>
    <s v="-"/>
    <s v="-"/>
    <s v="-"/>
    <s v="-"/>
    <s v="-"/>
    <s v="-"/>
    <s v="-"/>
    <n v="6"/>
    <n v="6"/>
    <s v="-"/>
    <n v="1"/>
    <n v="1"/>
    <n v="2"/>
    <n v="2"/>
    <n v="8"/>
    <n v="8"/>
  </r>
  <r>
    <x v="6"/>
    <x v="141"/>
    <d v="2026-06-30T00:00:00"/>
    <s v="2ND"/>
    <d v="1899-12-30T18:00:00"/>
    <n v="3"/>
    <x v="16"/>
    <n v="1.6299999999999999E-2"/>
    <s v="P"/>
    <s v="P"/>
    <s v="P"/>
    <s v="+"/>
    <s v="+"/>
    <s v="-"/>
    <s v="-"/>
    <s v="-"/>
    <s v="-"/>
    <s v="-"/>
    <s v="-"/>
    <s v="-"/>
    <s v="-"/>
    <s v="-"/>
    <s v="P"/>
    <s v="P"/>
    <n v="1"/>
    <n v="2"/>
    <n v="1"/>
    <n v="2"/>
    <s v="-"/>
    <s v="-"/>
    <s v="-"/>
    <s v="-"/>
    <s v="-"/>
    <s v="-"/>
    <s v="-"/>
    <s v="-"/>
    <n v="5"/>
    <n v="5"/>
    <s v="-"/>
    <n v="1"/>
    <n v="1"/>
    <n v="2"/>
    <n v="2"/>
    <n v="7"/>
    <n v="7"/>
  </r>
  <r>
    <x v="6"/>
    <x v="141"/>
    <d v="2026-06-30T00:00:00"/>
    <s v="2ND"/>
    <d v="1899-12-30T19:00:00"/>
    <n v="3"/>
    <x v="16"/>
    <n v="1.1299999999999999E-2"/>
    <s v="P"/>
    <s v="P"/>
    <s v="P"/>
    <s v="+"/>
    <s v="+"/>
    <n v="13.39"/>
    <s v="-"/>
    <s v="-"/>
    <s v="-"/>
    <s v="-"/>
    <s v="-"/>
    <s v="-"/>
    <s v="-"/>
    <s v="-"/>
    <s v="P"/>
    <s v="P"/>
    <s v="-"/>
    <n v="2"/>
    <n v="1"/>
    <n v="2"/>
    <n v="1"/>
    <s v="-"/>
    <s v="-"/>
    <s v="-"/>
    <s v="-"/>
    <s v="-"/>
    <s v="-"/>
    <s v="-"/>
    <n v="6"/>
    <n v="6"/>
    <s v="-"/>
    <n v="1"/>
    <n v="1"/>
    <n v="2"/>
    <n v="2"/>
    <n v="8"/>
    <n v="8"/>
  </r>
  <r>
    <x v="6"/>
    <x v="141"/>
    <d v="2026-06-30T00:00:00"/>
    <s v="2ND"/>
    <d v="1899-12-30T20:00:00"/>
    <n v="3"/>
    <x v="16"/>
    <n v="1.21E-2"/>
    <s v="P"/>
    <s v="P"/>
    <s v="P"/>
    <s v="+"/>
    <s v="+"/>
    <n v="13.22"/>
    <s v="-"/>
    <s v="-"/>
    <s v="-"/>
    <s v="-"/>
    <s v="-"/>
    <s v="-"/>
    <s v="-"/>
    <s v="-"/>
    <s v="P"/>
    <s v="P"/>
    <s v="-"/>
    <n v="2"/>
    <n v="1"/>
    <n v="2"/>
    <n v="1"/>
    <s v="-"/>
    <s v="-"/>
    <s v="-"/>
    <s v="-"/>
    <s v="-"/>
    <s v="-"/>
    <s v="-"/>
    <n v="6"/>
    <n v="6"/>
    <s v="-"/>
    <n v="1"/>
    <n v="1"/>
    <n v="2"/>
    <n v="2"/>
    <n v="8"/>
    <n v="8"/>
  </r>
  <r>
    <x v="6"/>
    <x v="141"/>
    <d v="2026-06-06T00:00:00"/>
    <s v="3RD"/>
    <d v="1899-12-31T05:00:00"/>
    <n v="1"/>
    <x v="1"/>
    <n v="1.84E-2"/>
    <s v="P"/>
    <s v="P"/>
    <s v="P"/>
    <s v="+"/>
    <s v="+"/>
    <n v="11.9"/>
    <s v="-"/>
    <s v="-"/>
    <s v="-"/>
    <s v="-"/>
    <s v="-"/>
    <s v="-"/>
    <s v="-"/>
    <s v="-"/>
    <s v="-"/>
    <s v="-"/>
    <s v="-"/>
    <n v="2"/>
    <n v="1"/>
    <n v="2"/>
    <n v="0"/>
    <s v="-"/>
    <s v="-"/>
    <s v="-"/>
    <s v="-"/>
    <s v="-"/>
    <s v="-"/>
    <s v="-"/>
    <n v="5"/>
    <n v="6"/>
    <s v="-"/>
    <s v="-"/>
    <s v="-"/>
    <n v="0"/>
    <n v="0"/>
    <n v="5"/>
    <n v="6"/>
  </r>
  <r>
    <x v="6"/>
    <x v="141"/>
    <d v="1899-12-30T00:00:00"/>
    <s v="3RD"/>
    <d v="1899-12-30T22:00:00"/>
    <n v="2"/>
    <x v="4"/>
    <n v="7.3000000000000001E-3"/>
    <s v="P"/>
    <s v="P"/>
    <s v="P"/>
    <s v="-"/>
    <s v="+"/>
    <n v="11.67"/>
    <s v="-"/>
    <s v="-"/>
    <s v="-"/>
    <s v="-"/>
    <s v="-"/>
    <s v="-"/>
    <s v="-"/>
    <s v="-"/>
    <s v="-"/>
    <s v="-"/>
    <s v="-"/>
    <n v="2"/>
    <n v="1"/>
    <n v="2"/>
    <n v="1"/>
    <s v="-"/>
    <s v="-"/>
    <s v="-"/>
    <s v="-"/>
    <s v="-"/>
    <s v="-"/>
    <s v="-"/>
    <n v="6"/>
    <n v="6"/>
    <s v="-"/>
    <s v="-"/>
    <s v="-"/>
    <n v="0"/>
    <n v="0"/>
    <n v="6"/>
    <n v="6"/>
  </r>
  <r>
    <x v="6"/>
    <x v="141"/>
    <d v="2026-06-30T00:00:00"/>
    <s v="3RD"/>
    <d v="1899-12-30T22:00:00"/>
    <n v="3"/>
    <x v="16"/>
    <n v="1.7299999999999999E-2"/>
    <s v="P"/>
    <s v="P"/>
    <s v="P"/>
    <s v="+"/>
    <s v="+"/>
    <n v="13.15"/>
    <n v="12.65"/>
    <s v="-"/>
    <s v="-"/>
    <s v="-"/>
    <s v="-"/>
    <n v="35.200000000000003"/>
    <s v="-"/>
    <s v="-"/>
    <s v="-"/>
    <s v="-"/>
    <s v="-"/>
    <n v="2"/>
    <n v="1"/>
    <n v="2"/>
    <n v="1"/>
    <n v="1"/>
    <s v="-"/>
    <s v="-"/>
    <s v="-"/>
    <s v="-"/>
    <n v="2"/>
    <s v="-"/>
    <n v="9"/>
    <n v="9"/>
    <s v="-"/>
    <s v="-"/>
    <s v="-"/>
    <n v="0"/>
    <n v="0"/>
    <n v="9"/>
    <n v="9"/>
  </r>
  <r>
    <x v="6"/>
    <x v="141"/>
    <d v="2026-07-02T00:00:00"/>
    <s v="3RD"/>
    <d v="1899-12-30T23:00:00"/>
    <n v="3"/>
    <x v="11"/>
    <n v="1.8100000000000002E-2"/>
    <s v="P"/>
    <s v="P"/>
    <s v="P"/>
    <s v="+"/>
    <s v="+"/>
    <n v="12.67"/>
    <n v="12.72"/>
    <n v="0.65"/>
    <n v="64.7"/>
    <s v="-"/>
    <s v="-"/>
    <n v="35.6"/>
    <s v="-"/>
    <s v="-"/>
    <s v="-"/>
    <s v="-"/>
    <s v="-"/>
    <n v="2"/>
    <n v="1"/>
    <n v="2"/>
    <n v="1"/>
    <n v="1"/>
    <n v="0"/>
    <n v="0"/>
    <s v="-"/>
    <s v="-"/>
    <n v="2"/>
    <s v="-"/>
    <n v="9"/>
    <n v="13"/>
    <s v="-"/>
    <s v="-"/>
    <s v="-"/>
    <n v="0"/>
    <n v="0"/>
    <n v="9"/>
    <n v="13"/>
  </r>
  <r>
    <x v="6"/>
    <x v="141"/>
    <d v="2026-07-02T00:00:00"/>
    <s v="3RD"/>
    <d v="1899-12-31T00:00:00"/>
    <n v="3"/>
    <x v="11"/>
    <n v="1.9300000000000001E-2"/>
    <s v="P"/>
    <s v="P"/>
    <s v="P"/>
    <s v="+"/>
    <s v="+"/>
    <n v="12.64"/>
    <s v="-"/>
    <n v="0.65"/>
    <s v="-"/>
    <s v="-"/>
    <s v="-"/>
    <s v="-"/>
    <s v="-"/>
    <s v="-"/>
    <s v="-"/>
    <s v="-"/>
    <s v="-"/>
    <n v="2"/>
    <n v="1"/>
    <n v="2"/>
    <n v="1"/>
    <s v="-"/>
    <n v="0"/>
    <s v="-"/>
    <s v="-"/>
    <s v="-"/>
    <s v="-"/>
    <s v="-"/>
    <n v="6"/>
    <n v="8"/>
    <s v="-"/>
    <s v="-"/>
    <s v="-"/>
    <n v="0"/>
    <n v="0"/>
    <n v="6"/>
    <n v="8"/>
  </r>
  <r>
    <x v="6"/>
    <x v="141"/>
    <d v="2026-07-01T00:00:00"/>
    <s v="3RD"/>
    <d v="1899-12-31T01:00:00"/>
    <n v="3"/>
    <x v="10"/>
    <n v="1.47E-2"/>
    <s v="P"/>
    <s v="P"/>
    <s v="P"/>
    <s v="+"/>
    <s v="+"/>
    <n v="12.49"/>
    <n v="11.54"/>
    <n v="0.27"/>
    <n v="62.7"/>
    <s v="-"/>
    <s v="-"/>
    <n v="32"/>
    <s v="-"/>
    <s v="-"/>
    <s v="-"/>
    <s v="-"/>
    <s v="-"/>
    <n v="2"/>
    <n v="1"/>
    <n v="2"/>
    <n v="1"/>
    <n v="1"/>
    <n v="2"/>
    <n v="0"/>
    <s v="-"/>
    <s v="-"/>
    <n v="2"/>
    <s v="-"/>
    <n v="11"/>
    <n v="13"/>
    <s v="-"/>
    <s v="-"/>
    <s v="-"/>
    <n v="0"/>
    <n v="0"/>
    <n v="11"/>
    <n v="13"/>
  </r>
  <r>
    <x v="6"/>
    <x v="141"/>
    <d v="2026-07-01T00:00:00"/>
    <s v="3RD"/>
    <d v="1899-12-31T02:00:00"/>
    <n v="3"/>
    <x v="10"/>
    <n v="1.4E-2"/>
    <s v="P"/>
    <s v="P"/>
    <s v="P"/>
    <s v="+"/>
    <s v="+"/>
    <n v="12.49"/>
    <s v="-"/>
    <s v="-"/>
    <s v="-"/>
    <s v="-"/>
    <s v="-"/>
    <s v="-"/>
    <s v="-"/>
    <s v="-"/>
    <s v="-"/>
    <s v="-"/>
    <s v="-"/>
    <n v="2"/>
    <n v="1"/>
    <n v="2"/>
    <n v="1"/>
    <s v="-"/>
    <s v="-"/>
    <s v="-"/>
    <s v="-"/>
    <s v="-"/>
    <s v="-"/>
    <s v="-"/>
    <n v="6"/>
    <n v="6"/>
    <s v="-"/>
    <s v="-"/>
    <s v="-"/>
    <n v="0"/>
    <n v="0"/>
    <n v="6"/>
    <n v="6"/>
  </r>
  <r>
    <x v="6"/>
    <x v="141"/>
    <d v="2026-07-01T00:00:00"/>
    <s v="3RD"/>
    <d v="1899-12-31T03:00:00"/>
    <n v="3"/>
    <x v="10"/>
    <n v="1.3899999999999999E-2"/>
    <s v="P"/>
    <s v="P"/>
    <s v="P"/>
    <s v="+"/>
    <s v="+"/>
    <n v="12.07"/>
    <s v="-"/>
    <s v="-"/>
    <s v="-"/>
    <s v="-"/>
    <s v="-"/>
    <s v="-"/>
    <s v="-"/>
    <s v="-"/>
    <s v="-"/>
    <s v="-"/>
    <s v="-"/>
    <n v="2"/>
    <n v="1"/>
    <n v="2"/>
    <n v="1"/>
    <s v="-"/>
    <s v="-"/>
    <s v="-"/>
    <s v="-"/>
    <s v="-"/>
    <s v="-"/>
    <s v="-"/>
    <n v="6"/>
    <n v="6"/>
    <s v="-"/>
    <s v="-"/>
    <s v="-"/>
    <n v="0"/>
    <n v="0"/>
    <n v="6"/>
    <n v="6"/>
  </r>
  <r>
    <x v="6"/>
    <x v="141"/>
    <d v="2026-07-01T00:00:00"/>
    <s v="3RD"/>
    <d v="1899-12-31T04:00:00"/>
    <n v="3"/>
    <x v="10"/>
    <n v="1.47E-2"/>
    <s v="P"/>
    <s v="P"/>
    <s v="P"/>
    <s v="+"/>
    <s v="+"/>
    <n v="12.85"/>
    <s v="-"/>
    <s v="-"/>
    <s v="-"/>
    <s v="-"/>
    <s v="-"/>
    <s v="-"/>
    <s v="-"/>
    <s v="-"/>
    <s v="-"/>
    <s v="-"/>
    <s v="-"/>
    <n v="2"/>
    <n v="1"/>
    <n v="2"/>
    <n v="1"/>
    <s v="-"/>
    <s v="-"/>
    <s v="-"/>
    <s v="-"/>
    <s v="-"/>
    <s v="-"/>
    <s v="-"/>
    <n v="6"/>
    <n v="6"/>
    <s v="-"/>
    <s v="-"/>
    <s v="-"/>
    <n v="0"/>
    <n v="0"/>
    <n v="6"/>
    <n v="6"/>
  </r>
  <r>
    <x v="6"/>
    <x v="141"/>
    <d v="2026-07-01T00:00:00"/>
    <s v="3RD"/>
    <d v="1899-12-31T05:00:00"/>
    <n v="3"/>
    <x v="10"/>
    <n v="8.0000000000000002E-3"/>
    <s v="P"/>
    <s v="P"/>
    <s v="P"/>
    <s v="+"/>
    <s v="+"/>
    <n v="13.21"/>
    <s v="-"/>
    <s v="-"/>
    <s v="-"/>
    <s v="-"/>
    <s v="-"/>
    <s v="-"/>
    <s v="-"/>
    <s v="-"/>
    <s v="-"/>
    <s v="-"/>
    <s v="-"/>
    <n v="2"/>
    <n v="1"/>
    <n v="2"/>
    <n v="1"/>
    <s v="-"/>
    <s v="-"/>
    <s v="-"/>
    <s v="-"/>
    <s v="-"/>
    <s v="-"/>
    <s v="-"/>
    <n v="6"/>
    <n v="6"/>
    <s v="-"/>
    <s v="-"/>
    <s v="-"/>
    <n v="0"/>
    <n v="0"/>
    <n v="6"/>
    <n v="6"/>
  </r>
  <r>
    <x v="6"/>
    <x v="142"/>
    <d v="2026-06-06T00:00:00"/>
    <s v="1ST"/>
    <s v="06:00"/>
    <n v="1"/>
    <x v="1"/>
    <n v="5.4000000000000003E-3"/>
    <s v="P"/>
    <s v="P"/>
    <s v="P"/>
    <s v="+"/>
    <s v="+"/>
    <n v="11.89"/>
    <n v="12.68"/>
    <n v="0.54"/>
    <n v="63"/>
    <s v="-"/>
    <s v="-"/>
    <n v="34.700000000000003"/>
    <s v="-"/>
    <s v="-"/>
    <s v="P"/>
    <s v="P"/>
    <n v="1"/>
    <n v="2"/>
    <n v="1"/>
    <n v="2"/>
    <n v="0"/>
    <n v="1"/>
    <n v="2"/>
    <n v="0"/>
    <s v="-"/>
    <s v="-"/>
    <n v="2"/>
    <s v="-"/>
    <n v="10"/>
    <n v="13"/>
    <s v="-"/>
    <n v="1"/>
    <n v="1"/>
    <n v="2"/>
    <n v="2"/>
    <n v="12"/>
    <n v="15"/>
  </r>
  <r>
    <x v="6"/>
    <x v="142"/>
    <d v="2026-06-06T00:00:00"/>
    <s v="1ST"/>
    <s v="07:00"/>
    <n v="1"/>
    <x v="1"/>
    <n v="7.7999999999999996E-3"/>
    <s v="P"/>
    <s v="P"/>
    <s v="P"/>
    <s v="+"/>
    <s v="+"/>
    <n v="12.42"/>
    <s v="-"/>
    <s v="-"/>
    <s v="-"/>
    <s v="-"/>
    <s v="-"/>
    <s v="-"/>
    <s v="-"/>
    <s v="-"/>
    <s v="P"/>
    <s v="P"/>
    <s v="-"/>
    <n v="2"/>
    <n v="1"/>
    <n v="2"/>
    <n v="1"/>
    <s v="-"/>
    <s v="-"/>
    <s v="-"/>
    <s v="-"/>
    <s v="-"/>
    <s v="-"/>
    <s v="-"/>
    <n v="6"/>
    <n v="6"/>
    <s v="-"/>
    <n v="1"/>
    <n v="1"/>
    <n v="2"/>
    <n v="2"/>
    <n v="8"/>
    <n v="8"/>
  </r>
  <r>
    <x v="6"/>
    <x v="142"/>
    <d v="2026-06-06T00:00:00"/>
    <s v="1ST"/>
    <s v="08:00"/>
    <n v="1"/>
    <x v="1"/>
    <n v="8.3000000000000001E-3"/>
    <s v="P"/>
    <s v="P"/>
    <s v="P"/>
    <s v="+"/>
    <s v="+"/>
    <n v="12.55"/>
    <s v="-"/>
    <s v="-"/>
    <s v="-"/>
    <s v="-"/>
    <s v="-"/>
    <s v="-"/>
    <s v="-"/>
    <s v="-"/>
    <s v="P"/>
    <s v="P"/>
    <s v="-"/>
    <n v="2"/>
    <n v="1"/>
    <n v="2"/>
    <n v="1"/>
    <s v="-"/>
    <s v="-"/>
    <s v="-"/>
    <s v="-"/>
    <s v="-"/>
    <s v="-"/>
    <s v="-"/>
    <n v="6"/>
    <n v="6"/>
    <s v="-"/>
    <n v="1"/>
    <n v="1"/>
    <n v="2"/>
    <n v="2"/>
    <n v="8"/>
    <n v="8"/>
  </r>
  <r>
    <x v="6"/>
    <x v="142"/>
    <d v="2026-06-06T00:00:00"/>
    <s v="1ST"/>
    <s v="12:00"/>
    <n v="1"/>
    <x v="1"/>
    <n v="9.7000000000000003E-3"/>
    <s v="P"/>
    <s v="P"/>
    <s v="P"/>
    <s v="+"/>
    <s v="+"/>
    <n v="12.24"/>
    <s v="-"/>
    <s v="-"/>
    <s v="-"/>
    <s v="-"/>
    <s v="-"/>
    <s v="-"/>
    <s v="-"/>
    <s v="-"/>
    <s v="P"/>
    <s v="P"/>
    <s v="-"/>
    <n v="2"/>
    <n v="1"/>
    <n v="2"/>
    <n v="1"/>
    <s v="-"/>
    <s v="-"/>
    <s v="-"/>
    <s v="-"/>
    <s v="-"/>
    <s v="-"/>
    <s v="-"/>
    <n v="6"/>
    <n v="6"/>
    <s v="-"/>
    <n v="1"/>
    <n v="1"/>
    <n v="2"/>
    <n v="2"/>
    <n v="8"/>
    <n v="8"/>
  </r>
  <r>
    <x v="6"/>
    <x v="142"/>
    <d v="2026-07-01T00:00:00"/>
    <s v="1ST"/>
    <s v="06:00"/>
    <n v="3"/>
    <x v="10"/>
    <n v="2.8999999999999998E-3"/>
    <s v="P"/>
    <s v="P"/>
    <s v="P"/>
    <s v="+"/>
    <s v="+"/>
    <n v="13.18"/>
    <n v="11.54"/>
    <n v="0.42"/>
    <n v="62.2"/>
    <s v="-"/>
    <s v="-"/>
    <s v="-"/>
    <n v="31.9"/>
    <s v="-"/>
    <s v="P"/>
    <s v="P"/>
    <n v="1"/>
    <n v="2"/>
    <n v="1"/>
    <n v="2"/>
    <n v="1"/>
    <n v="1"/>
    <n v="2"/>
    <n v="0"/>
    <s v="-"/>
    <s v="-"/>
    <s v="-"/>
    <n v="0"/>
    <n v="9"/>
    <n v="12"/>
    <s v="-"/>
    <n v="1"/>
    <n v="1"/>
    <n v="2"/>
    <n v="2"/>
    <n v="11"/>
    <n v="14"/>
  </r>
  <r>
    <x v="6"/>
    <x v="142"/>
    <d v="2026-07-01T00:00:00"/>
    <s v="1ST"/>
    <s v="07:00"/>
    <n v="3"/>
    <x v="10"/>
    <n v="3.0999999999999999E-3"/>
    <s v="P"/>
    <s v="P"/>
    <s v="P"/>
    <s v="+"/>
    <s v="+"/>
    <n v="13.15"/>
    <s v="-"/>
    <s v="-"/>
    <s v="-"/>
    <s v="-"/>
    <s v="-"/>
    <s v="-"/>
    <s v="-"/>
    <s v="-"/>
    <s v="P"/>
    <s v="P"/>
    <s v="-"/>
    <n v="2"/>
    <n v="1"/>
    <n v="2"/>
    <n v="1"/>
    <s v="-"/>
    <s v="-"/>
    <s v="-"/>
    <s v="-"/>
    <s v="-"/>
    <s v="-"/>
    <s v="-"/>
    <n v="6"/>
    <n v="6"/>
    <s v="-"/>
    <n v="1"/>
    <n v="1"/>
    <n v="2"/>
    <n v="2"/>
    <n v="8"/>
    <n v="8"/>
  </r>
  <r>
    <x v="6"/>
    <x v="142"/>
    <d v="2026-07-01T00:00:00"/>
    <s v="1ST"/>
    <s v="10:00"/>
    <n v="3"/>
    <x v="10"/>
    <n v="4.3E-3"/>
    <s v="P"/>
    <s v="P"/>
    <s v="P"/>
    <s v="+"/>
    <s v="+"/>
    <s v="-"/>
    <s v="-"/>
    <s v="-"/>
    <s v="-"/>
    <s v="-"/>
    <s v="-"/>
    <s v="-"/>
    <s v="-"/>
    <s v="-"/>
    <s v="P"/>
    <s v="P"/>
    <s v="-"/>
    <n v="2"/>
    <n v="1"/>
    <n v="2"/>
    <s v="-"/>
    <s v="-"/>
    <s v="-"/>
    <s v="-"/>
    <s v="-"/>
    <s v="-"/>
    <s v="-"/>
    <s v="-"/>
    <n v="5"/>
    <n v="5"/>
    <s v="-"/>
    <n v="1"/>
    <n v="1"/>
    <n v="2"/>
    <n v="2"/>
    <n v="7"/>
    <n v="7"/>
  </r>
  <r>
    <x v="6"/>
    <x v="142"/>
    <d v="2026-07-01T00:00:00"/>
    <s v="1ST"/>
    <s v="12:00"/>
    <n v="3"/>
    <x v="10"/>
    <n v="1.2999999999999999E-3"/>
    <s v="P"/>
    <s v="P"/>
    <s v="P"/>
    <s v="+"/>
    <s v="+"/>
    <n v="12.83"/>
    <s v="-"/>
    <s v="-"/>
    <s v="-"/>
    <s v="-"/>
    <s v="-"/>
    <s v="-"/>
    <s v="-"/>
    <s v="-"/>
    <s v="P"/>
    <s v="P"/>
    <s v="-"/>
    <n v="2"/>
    <n v="1"/>
    <n v="2"/>
    <n v="1"/>
    <s v="-"/>
    <s v="-"/>
    <s v="-"/>
    <s v="-"/>
    <s v="-"/>
    <s v="-"/>
    <s v="-"/>
    <n v="6"/>
    <n v="6"/>
    <s v="-"/>
    <n v="1"/>
    <n v="1"/>
    <n v="2"/>
    <n v="2"/>
    <n v="8"/>
    <n v="8"/>
  </r>
  <r>
    <x v="6"/>
    <x v="142"/>
    <d v="2026-07-01T00:00:00"/>
    <s v="1ST"/>
    <s v="13:00"/>
    <n v="3"/>
    <x v="10"/>
    <n v="3.3999999999999998E-3"/>
    <s v="P"/>
    <s v="P"/>
    <s v="P"/>
    <s v="+"/>
    <s v="+"/>
    <n v="13.01"/>
    <s v="-"/>
    <s v="-"/>
    <s v="-"/>
    <s v="-"/>
    <s v="-"/>
    <s v="-"/>
    <s v="-"/>
    <s v="-"/>
    <s v="P"/>
    <s v="P"/>
    <s v="-"/>
    <n v="2"/>
    <n v="1"/>
    <n v="2"/>
    <n v="1"/>
    <s v="-"/>
    <s v="-"/>
    <s v="-"/>
    <s v="-"/>
    <s v="-"/>
    <s v="-"/>
    <s v="-"/>
    <n v="6"/>
    <n v="6"/>
    <s v="-"/>
    <n v="1"/>
    <n v="1"/>
    <n v="2"/>
    <n v="2"/>
    <n v="8"/>
    <n v="8"/>
  </r>
  <r>
    <x v="6"/>
    <x v="142"/>
    <d v="2026-06-06T00:00:00"/>
    <s v="2ND"/>
    <d v="1899-12-30T14:00:00"/>
    <n v="1"/>
    <x v="1"/>
    <n v="1.29E-2"/>
    <s v="P"/>
    <s v="P"/>
    <s v="P"/>
    <s v="+"/>
    <s v="+"/>
    <n v="12.38"/>
    <n v="12.67"/>
    <n v="0.54"/>
    <s v="-"/>
    <s v="-"/>
    <s v="-"/>
    <n v="35.4"/>
    <s v="-"/>
    <s v="-"/>
    <s v="-"/>
    <s v="-"/>
    <s v="-"/>
    <n v="2"/>
    <n v="1"/>
    <n v="2"/>
    <n v="1"/>
    <n v="1"/>
    <n v="2"/>
    <s v="-"/>
    <s v="-"/>
    <s v="-"/>
    <n v="2"/>
    <s v="-"/>
    <n v="11"/>
    <n v="11"/>
    <s v="-"/>
    <s v="-"/>
    <s v="-"/>
    <n v="0"/>
    <n v="0"/>
    <n v="11"/>
    <n v="11"/>
  </r>
  <r>
    <x v="6"/>
    <x v="142"/>
    <d v="1899-12-30T00:00:00"/>
    <s v="2ND"/>
    <d v="1899-12-30T15:00:00"/>
    <n v="2"/>
    <x v="14"/>
    <n v="8.6E-3"/>
    <s v="P"/>
    <s v="P"/>
    <s v="P"/>
    <s v="-"/>
    <s v="+"/>
    <n v="10.51"/>
    <n v="8.6999999999999993"/>
    <n v="0.62"/>
    <n v="59.4"/>
    <s v="-"/>
    <s v="-"/>
    <n v="23.5"/>
    <s v="-"/>
    <s v="-"/>
    <s v="-"/>
    <s v="-"/>
    <s v="-"/>
    <n v="2"/>
    <n v="1"/>
    <n v="2"/>
    <n v="0"/>
    <n v="1"/>
    <n v="0"/>
    <n v="2"/>
    <s v="-"/>
    <s v="-"/>
    <n v="2"/>
    <s v="-"/>
    <n v="10"/>
    <n v="13"/>
    <s v="-"/>
    <s v="-"/>
    <s v="-"/>
    <n v="0"/>
    <n v="0"/>
    <n v="10"/>
    <n v="13"/>
  </r>
  <r>
    <x v="6"/>
    <x v="142"/>
    <d v="1899-12-30T00:00:00"/>
    <s v="2ND"/>
    <d v="1899-12-30T16:00:00"/>
    <n v="2"/>
    <x v="14"/>
    <n v="9.7000000000000003E-3"/>
    <s v="P"/>
    <s v="P"/>
    <s v="P"/>
    <s v="-"/>
    <s v="+"/>
    <n v="10.77"/>
    <s v="-"/>
    <s v="-"/>
    <s v="-"/>
    <s v="-"/>
    <s v="-"/>
    <s v="-"/>
    <s v="-"/>
    <s v="-"/>
    <s v="-"/>
    <s v="-"/>
    <s v="-"/>
    <n v="2"/>
    <n v="1"/>
    <n v="2"/>
    <n v="0"/>
    <s v="-"/>
    <s v="-"/>
    <s v="-"/>
    <s v="-"/>
    <s v="-"/>
    <s v="-"/>
    <s v="-"/>
    <n v="5"/>
    <n v="6"/>
    <s v="-"/>
    <s v="-"/>
    <s v="-"/>
    <n v="0"/>
    <n v="0"/>
    <n v="5"/>
    <n v="6"/>
  </r>
  <r>
    <x v="6"/>
    <x v="142"/>
    <d v="1899-12-30T00:00:00"/>
    <s v="2ND"/>
    <d v="1899-12-30T17:00:00"/>
    <n v="2"/>
    <x v="14"/>
    <n v="7.1000000000000004E-3"/>
    <s v="P"/>
    <s v="P"/>
    <s v="P"/>
    <s v="-"/>
    <s v="+"/>
    <n v="10.83"/>
    <s v="-"/>
    <s v="-"/>
    <s v="-"/>
    <s v="-"/>
    <s v="-"/>
    <s v="-"/>
    <s v="-"/>
    <s v="-"/>
    <s v="-"/>
    <s v="-"/>
    <s v="-"/>
    <n v="2"/>
    <n v="1"/>
    <n v="2"/>
    <n v="0"/>
    <s v="-"/>
    <s v="-"/>
    <s v="-"/>
    <s v="-"/>
    <s v="-"/>
    <s v="-"/>
    <s v="-"/>
    <n v="5"/>
    <n v="6"/>
    <s v="-"/>
    <s v="-"/>
    <s v="-"/>
    <n v="0"/>
    <n v="0"/>
    <n v="5"/>
    <n v="6"/>
  </r>
  <r>
    <x v="6"/>
    <x v="142"/>
    <d v="1899-12-30T00:00:00"/>
    <s v="2ND"/>
    <d v="1899-12-30T19:00:00"/>
    <n v="2"/>
    <x v="14"/>
    <n v="5.5999999999999999E-3"/>
    <s v="P"/>
    <s v="P"/>
    <s v="P"/>
    <s v="-"/>
    <s v="+"/>
    <n v="10.92"/>
    <s v="-"/>
    <s v="-"/>
    <s v="-"/>
    <s v="-"/>
    <s v="-"/>
    <s v="-"/>
    <s v="-"/>
    <s v="-"/>
    <s v="-"/>
    <s v="-"/>
    <s v="-"/>
    <n v="2"/>
    <n v="1"/>
    <n v="2"/>
    <n v="0"/>
    <s v="-"/>
    <s v="-"/>
    <s v="-"/>
    <s v="-"/>
    <s v="-"/>
    <s v="-"/>
    <s v="-"/>
    <n v="5"/>
    <n v="6"/>
    <s v="-"/>
    <s v="-"/>
    <s v="-"/>
    <n v="0"/>
    <n v="0"/>
    <n v="5"/>
    <n v="6"/>
  </r>
  <r>
    <x v="6"/>
    <x v="142"/>
    <d v="1899-12-30T00:00:00"/>
    <s v="2ND"/>
    <d v="1899-12-30T20:00:00"/>
    <n v="2"/>
    <x v="14"/>
    <n v="1.61E-2"/>
    <s v="P"/>
    <s v="P"/>
    <s v="P"/>
    <s v="-"/>
    <s v="+"/>
    <n v="11.15"/>
    <s v="-"/>
    <s v="-"/>
    <s v="-"/>
    <s v="-"/>
    <s v="-"/>
    <s v="-"/>
    <s v="-"/>
    <s v="-"/>
    <s v="-"/>
    <s v="-"/>
    <s v="-"/>
    <n v="2"/>
    <n v="1"/>
    <n v="2"/>
    <n v="1"/>
    <s v="-"/>
    <s v="-"/>
    <s v="-"/>
    <s v="-"/>
    <s v="-"/>
    <s v="-"/>
    <s v="-"/>
    <n v="6"/>
    <n v="6"/>
    <s v="-"/>
    <s v="-"/>
    <s v="-"/>
    <n v="0"/>
    <n v="0"/>
    <n v="6"/>
    <n v="6"/>
  </r>
  <r>
    <x v="6"/>
    <x v="142"/>
    <d v="1899-12-30T00:00:00"/>
    <s v="2ND"/>
    <d v="1899-12-30T21:00:00"/>
    <n v="2"/>
    <x v="14"/>
    <s v="-"/>
    <s v="P"/>
    <s v="P"/>
    <s v="P"/>
    <s v="-"/>
    <s v="+"/>
    <s v="-"/>
    <s v="-"/>
    <s v="-"/>
    <s v="-"/>
    <s v="-"/>
    <s v="-"/>
    <s v="-"/>
    <s v="-"/>
    <s v="-"/>
    <s v="-"/>
    <s v="-"/>
    <s v="-"/>
    <s v="-"/>
    <n v="1"/>
    <n v="2"/>
    <s v="-"/>
    <s v="-"/>
    <s v="-"/>
    <s v="-"/>
    <s v="-"/>
    <s v="-"/>
    <s v="-"/>
    <s v="-"/>
    <n v="3"/>
    <n v="3"/>
    <s v="-"/>
    <s v="-"/>
    <s v="-"/>
    <n v="0"/>
    <n v="0"/>
    <n v="3"/>
    <n v="3"/>
  </r>
  <r>
    <x v="6"/>
    <x v="142"/>
    <d v="2026-07-01T00:00:00"/>
    <s v="2ND"/>
    <d v="1899-12-30T14:00:00"/>
    <n v="3"/>
    <x v="10"/>
    <n v="5.1000000000000004E-3"/>
    <s v="P"/>
    <s v="P"/>
    <s v="P"/>
    <s v="+"/>
    <s v="+"/>
    <n v="12.38"/>
    <n v="11.96"/>
    <n v="0.42"/>
    <s v="-"/>
    <s v="-"/>
    <s v="-"/>
    <n v="33.1"/>
    <s v="-"/>
    <s v="-"/>
    <s v="-"/>
    <s v="-"/>
    <s v="-"/>
    <n v="2"/>
    <n v="1"/>
    <n v="2"/>
    <n v="1"/>
    <n v="1"/>
    <n v="2"/>
    <s v="-"/>
    <s v="-"/>
    <s v="-"/>
    <n v="2"/>
    <s v="-"/>
    <n v="11"/>
    <n v="11"/>
    <s v="-"/>
    <s v="-"/>
    <s v="-"/>
    <n v="0"/>
    <n v="0"/>
    <n v="11"/>
    <n v="11"/>
  </r>
  <r>
    <x v="6"/>
    <x v="142"/>
    <d v="2026-07-01T00:00:00"/>
    <s v="2ND"/>
    <d v="1899-12-30T16:00:00"/>
    <n v="3"/>
    <x v="10"/>
    <n v="3.8E-3"/>
    <s v="P"/>
    <s v="P"/>
    <s v="P"/>
    <s v="+"/>
    <s v="+"/>
    <n v="13.08"/>
    <s v="-"/>
    <s v="-"/>
    <s v="-"/>
    <s v="-"/>
    <s v="-"/>
    <s v="-"/>
    <s v="-"/>
    <s v="-"/>
    <s v="-"/>
    <s v="-"/>
    <s v="-"/>
    <n v="2"/>
    <n v="1"/>
    <n v="2"/>
    <n v="1"/>
    <s v="-"/>
    <s v="-"/>
    <s v="-"/>
    <s v="-"/>
    <s v="-"/>
    <s v="-"/>
    <s v="-"/>
    <n v="6"/>
    <n v="6"/>
    <s v="-"/>
    <s v="-"/>
    <s v="-"/>
    <n v="0"/>
    <n v="0"/>
    <n v="6"/>
    <n v="6"/>
  </r>
  <r>
    <x v="6"/>
    <x v="142"/>
    <d v="2026-06-25T00:00:00"/>
    <s v="2ND"/>
    <d v="1899-12-30T17:00:00"/>
    <n v="3"/>
    <x v="1"/>
    <n v="1.5299999999999999E-2"/>
    <s v="P"/>
    <s v="P"/>
    <s v="P"/>
    <s v="+"/>
    <s v="+"/>
    <n v="12.29"/>
    <n v="12.17"/>
    <n v="0.49"/>
    <s v="-"/>
    <s v="-"/>
    <s v="-"/>
    <n v="33.9"/>
    <s v="-"/>
    <s v="-"/>
    <s v="-"/>
    <s v="-"/>
    <s v="-"/>
    <n v="2"/>
    <n v="1"/>
    <n v="2"/>
    <n v="1"/>
    <n v="1"/>
    <n v="2"/>
    <s v="-"/>
    <s v="-"/>
    <s v="-"/>
    <n v="2"/>
    <s v="-"/>
    <n v="11"/>
    <n v="11"/>
    <s v="-"/>
    <s v="-"/>
    <s v="-"/>
    <n v="0"/>
    <n v="0"/>
    <n v="11"/>
    <n v="11"/>
  </r>
  <r>
    <x v="6"/>
    <x v="142"/>
    <d v="2026-06-25T00:00:00"/>
    <s v="2ND"/>
    <d v="1899-12-30T19:00:00"/>
    <n v="3"/>
    <x v="1"/>
    <n v="1.7000000000000001E-2"/>
    <s v="P"/>
    <s v="P"/>
    <s v="P"/>
    <s v="+"/>
    <s v="+"/>
    <s v="-"/>
    <s v="-"/>
    <s v="-"/>
    <s v="-"/>
    <s v="-"/>
    <s v="-"/>
    <s v="-"/>
    <s v="-"/>
    <s v="-"/>
    <s v="-"/>
    <s v="-"/>
    <s v="-"/>
    <n v="2"/>
    <n v="1"/>
    <n v="2"/>
    <s v="-"/>
    <s v="-"/>
    <s v="-"/>
    <s v="-"/>
    <s v="-"/>
    <s v="-"/>
    <s v="-"/>
    <s v="-"/>
    <n v="5"/>
    <n v="5"/>
    <s v="-"/>
    <s v="-"/>
    <s v="-"/>
    <n v="0"/>
    <n v="0"/>
    <n v="5"/>
    <n v="5"/>
  </r>
  <r>
    <x v="6"/>
    <x v="142"/>
    <d v="2026-06-25T00:00:00"/>
    <s v="2ND"/>
    <d v="1899-12-30T20:00:00"/>
    <n v="3"/>
    <x v="1"/>
    <n v="1.5299999999999999E-2"/>
    <s v="P"/>
    <s v="P"/>
    <s v="P"/>
    <s v="+"/>
    <s v="+"/>
    <n v="12.2"/>
    <s v="-"/>
    <s v="-"/>
    <s v="-"/>
    <s v="-"/>
    <s v="-"/>
    <s v="-"/>
    <s v="-"/>
    <s v="-"/>
    <s v="-"/>
    <s v="-"/>
    <s v="-"/>
    <n v="2"/>
    <n v="1"/>
    <n v="2"/>
    <n v="1"/>
    <s v="-"/>
    <s v="-"/>
    <s v="-"/>
    <s v="-"/>
    <s v="-"/>
    <s v="-"/>
    <s v="-"/>
    <n v="6"/>
    <n v="6"/>
    <s v="-"/>
    <s v="-"/>
    <s v="-"/>
    <n v="0"/>
    <n v="0"/>
    <n v="6"/>
    <n v="6"/>
  </r>
  <r>
    <x v="6"/>
    <x v="142"/>
    <d v="2026-06-25T00:00:00"/>
    <s v="2ND"/>
    <d v="1899-12-30T21:00:00"/>
    <n v="3"/>
    <x v="1"/>
    <s v="-"/>
    <s v="P"/>
    <s v="P"/>
    <s v="P"/>
    <s v="+"/>
    <s v="+"/>
    <s v="-"/>
    <s v="-"/>
    <s v="-"/>
    <s v="-"/>
    <s v="-"/>
    <s v="-"/>
    <s v="-"/>
    <s v="-"/>
    <s v="-"/>
    <s v="-"/>
    <s v="-"/>
    <s v="-"/>
    <s v="-"/>
    <n v="1"/>
    <n v="2"/>
    <s v="-"/>
    <s v="-"/>
    <s v="-"/>
    <s v="-"/>
    <s v="-"/>
    <s v="-"/>
    <s v="-"/>
    <s v="-"/>
    <n v="3"/>
    <n v="3"/>
    <s v="-"/>
    <s v="-"/>
    <s v="-"/>
    <n v="0"/>
    <n v="0"/>
    <n v="3"/>
    <n v="3"/>
  </r>
  <r>
    <x v="6"/>
    <x v="142"/>
    <d v="1902-03-26T00:00:00"/>
    <s v="3RD"/>
    <d v="1899-12-30T22:00:00"/>
    <n v="2"/>
    <x v="14"/>
    <n v="1.9E-2"/>
    <s v="P"/>
    <s v="P"/>
    <s v="P"/>
    <s v="-"/>
    <s v="+"/>
    <n v="11.02"/>
    <s v="-"/>
    <s v="-"/>
    <s v="-"/>
    <s v="-"/>
    <s v="-"/>
    <s v="-"/>
    <s v="-"/>
    <s v="-"/>
    <s v="P"/>
    <s v="P"/>
    <s v="-"/>
    <n v="2"/>
    <n v="1"/>
    <n v="2"/>
    <n v="1"/>
    <s v="-"/>
    <s v="-"/>
    <s v="-"/>
    <s v="-"/>
    <s v="-"/>
    <s v="-"/>
    <s v="-"/>
    <n v="6"/>
    <n v="6"/>
    <s v="-"/>
    <n v="1"/>
    <n v="1"/>
    <n v="2"/>
    <n v="2"/>
    <n v="8"/>
    <n v="8"/>
  </r>
  <r>
    <x v="6"/>
    <x v="142"/>
    <d v="1899-12-30T00:00:00"/>
    <s v="3RD"/>
    <d v="1899-12-31T00:00:00"/>
    <n v="2"/>
    <x v="14"/>
    <n v="3.7000000000000002E-3"/>
    <s v="P"/>
    <s v="P"/>
    <s v="P"/>
    <s v="-"/>
    <s v="+"/>
    <n v="11.04"/>
    <s v="-"/>
    <s v="-"/>
    <s v="-"/>
    <s v="-"/>
    <s v="-"/>
    <s v="-"/>
    <s v="-"/>
    <s v="-"/>
    <s v="P"/>
    <s v="P"/>
    <s v="90% 10%"/>
    <n v="2"/>
    <n v="1"/>
    <n v="2"/>
    <n v="1"/>
    <s v="-"/>
    <s v="-"/>
    <s v="-"/>
    <s v="-"/>
    <s v="-"/>
    <s v="-"/>
    <s v="-"/>
    <n v="6"/>
    <n v="6"/>
    <s v="-"/>
    <n v="1"/>
    <n v="1"/>
    <n v="2"/>
    <n v="2"/>
    <n v="8"/>
    <n v="8"/>
  </r>
  <r>
    <x v="6"/>
    <x v="142"/>
    <d v="1899-12-30T00:00:00"/>
    <s v="3RD"/>
    <d v="1899-12-31T01:00:00"/>
    <n v="2"/>
    <x v="7"/>
    <n v="1.9300000000000001E-2"/>
    <s v="P"/>
    <s v="P"/>
    <s v="P"/>
    <s v="-"/>
    <s v="+"/>
    <n v="10.57"/>
    <n v="9.16"/>
    <n v="0.65"/>
    <s v="-"/>
    <s v="-"/>
    <s v="-"/>
    <n v="29.5"/>
    <s v="-"/>
    <s v="-"/>
    <s v="P"/>
    <s v="P"/>
    <s v="-"/>
    <n v="2"/>
    <n v="1"/>
    <n v="2"/>
    <n v="0"/>
    <n v="1"/>
    <n v="0"/>
    <s v="-"/>
    <s v="-"/>
    <s v="-"/>
    <n v="0"/>
    <s v="-"/>
    <n v="6"/>
    <n v="11"/>
    <s v="-"/>
    <n v="1"/>
    <n v="1"/>
    <n v="2"/>
    <n v="2"/>
    <n v="8"/>
    <n v="13"/>
  </r>
  <r>
    <x v="6"/>
    <x v="142"/>
    <d v="1899-12-30T00:00:00"/>
    <s v="3RD"/>
    <d v="1899-12-31T02:00:00"/>
    <n v="2"/>
    <x v="7"/>
    <n v="6.3E-3"/>
    <s v="P"/>
    <s v="P"/>
    <s v="P"/>
    <s v="-"/>
    <s v="+"/>
    <n v="10.63"/>
    <s v="-"/>
    <s v="-"/>
    <s v="-"/>
    <s v="-"/>
    <s v="-"/>
    <s v="-"/>
    <s v="-"/>
    <s v="-"/>
    <s v="P"/>
    <s v="P"/>
    <s v="-"/>
    <n v="2"/>
    <n v="1"/>
    <n v="2"/>
    <n v="0"/>
    <s v="-"/>
    <s v="-"/>
    <s v="-"/>
    <s v="-"/>
    <s v="-"/>
    <s v="-"/>
    <s v="-"/>
    <n v="5"/>
    <n v="6"/>
    <s v="-"/>
    <n v="1"/>
    <n v="1"/>
    <n v="2"/>
    <n v="2"/>
    <n v="7"/>
    <n v="8"/>
  </r>
  <r>
    <x v="6"/>
    <x v="142"/>
    <d v="1899-12-30T00:00:00"/>
    <s v="3RD"/>
    <d v="1899-12-31T03:00:00"/>
    <n v="2"/>
    <x v="7"/>
    <n v="5.0000000000000001E-3"/>
    <s v="P"/>
    <s v="P"/>
    <s v="P"/>
    <s v="-"/>
    <s v="+"/>
    <n v="10.81"/>
    <s v="-"/>
    <s v="-"/>
    <s v="-"/>
    <s v="-"/>
    <s v="-"/>
    <s v="-"/>
    <s v="-"/>
    <s v="-"/>
    <s v="P"/>
    <s v="P"/>
    <s v="-"/>
    <n v="2"/>
    <n v="1"/>
    <n v="2"/>
    <n v="0"/>
    <s v="-"/>
    <s v="-"/>
    <s v="-"/>
    <s v="-"/>
    <s v="-"/>
    <s v="-"/>
    <s v="-"/>
    <n v="5"/>
    <n v="6"/>
    <s v="-"/>
    <n v="1"/>
    <n v="1"/>
    <n v="2"/>
    <n v="2"/>
    <n v="7"/>
    <n v="8"/>
  </r>
  <r>
    <x v="6"/>
    <x v="142"/>
    <d v="1899-12-30T00:00:00"/>
    <s v="3RD"/>
    <d v="1899-12-31T04:00:00"/>
    <n v="2"/>
    <x v="7"/>
    <n v="5.3E-3"/>
    <s v="P"/>
    <s v="P"/>
    <s v="P"/>
    <s v="-"/>
    <s v="+"/>
    <n v="11.03"/>
    <s v="-"/>
    <s v="-"/>
    <s v="-"/>
    <s v="-"/>
    <s v="-"/>
    <s v="-"/>
    <s v="-"/>
    <s v="-"/>
    <s v="P"/>
    <s v="P"/>
    <s v="-"/>
    <n v="2"/>
    <n v="1"/>
    <n v="2"/>
    <n v="1"/>
    <s v="-"/>
    <s v="-"/>
    <s v="-"/>
    <s v="-"/>
    <s v="-"/>
    <s v="-"/>
    <s v="-"/>
    <n v="6"/>
    <n v="6"/>
    <s v="-"/>
    <n v="1"/>
    <n v="1"/>
    <n v="2"/>
    <n v="2"/>
    <n v="8"/>
    <n v="8"/>
  </r>
  <r>
    <x v="6"/>
    <x v="142"/>
    <d v="1899-12-30T00:00:00"/>
    <s v="3RD"/>
    <d v="1899-12-31T05:00:00"/>
    <n v="2"/>
    <x v="7"/>
    <n v="6.1000000000000004E-3"/>
    <s v="P"/>
    <s v="P"/>
    <s v="P"/>
    <s v="-"/>
    <s v="+"/>
    <n v="10.82"/>
    <s v="-"/>
    <s v="-"/>
    <s v="-"/>
    <s v="-"/>
    <s v="-"/>
    <s v="-"/>
    <s v="-"/>
    <s v="-"/>
    <s v="P"/>
    <s v="P"/>
    <s v="-"/>
    <n v="2"/>
    <n v="1"/>
    <n v="2"/>
    <n v="0"/>
    <s v="-"/>
    <s v="-"/>
    <s v="-"/>
    <s v="-"/>
    <s v="-"/>
    <s v="-"/>
    <s v="-"/>
    <n v="5"/>
    <n v="6"/>
    <s v="-"/>
    <n v="1"/>
    <n v="1"/>
    <n v="2"/>
    <n v="2"/>
    <n v="7"/>
    <n v="8"/>
  </r>
  <r>
    <x v="6"/>
    <x v="143"/>
    <d v="1902-03-26T00:00:00"/>
    <s v="1ST"/>
    <s v="06:00"/>
    <n v="2"/>
    <x v="7"/>
    <n v="7.1999999999999998E-3"/>
    <s v="P"/>
    <s v="P"/>
    <s v="P"/>
    <s v="-"/>
    <s v="+"/>
    <n v="11.15"/>
    <s v="-"/>
    <s v="-"/>
    <s v="-"/>
    <s v="-"/>
    <s v="-"/>
    <s v="-"/>
    <s v="-"/>
    <s v="-"/>
    <s v="P"/>
    <s v="P"/>
    <s v="-"/>
    <n v="2"/>
    <n v="1"/>
    <n v="2"/>
    <n v="1"/>
    <s v="-"/>
    <s v="-"/>
    <s v="-"/>
    <s v="-"/>
    <s v="-"/>
    <s v="-"/>
    <s v="-"/>
    <n v="6"/>
    <n v="6"/>
    <s v="-"/>
    <n v="1"/>
    <n v="1"/>
    <n v="2"/>
    <n v="2"/>
    <n v="8"/>
    <n v="8"/>
  </r>
  <r>
    <x v="6"/>
    <x v="143"/>
    <d v="1899-12-30T00:00:00"/>
    <s v="1ST"/>
    <s v="07:00"/>
    <n v="2"/>
    <x v="7"/>
    <n v="7.4000000000000003E-3"/>
    <s v="P"/>
    <s v="P"/>
    <s v="P"/>
    <s v="-"/>
    <s v="+"/>
    <n v="11.13"/>
    <s v="-"/>
    <s v="-"/>
    <s v="-"/>
    <s v="-"/>
    <s v="-"/>
    <s v="-"/>
    <s v="-"/>
    <s v="-"/>
    <s v="P"/>
    <s v="P"/>
    <s v="-"/>
    <n v="2"/>
    <n v="1"/>
    <n v="2"/>
    <n v="1"/>
    <s v="-"/>
    <s v="-"/>
    <s v="-"/>
    <s v="-"/>
    <s v="-"/>
    <s v="-"/>
    <s v="-"/>
    <n v="6"/>
    <n v="6"/>
    <s v="-"/>
    <n v="1"/>
    <n v="1"/>
    <n v="2"/>
    <n v="2"/>
    <n v="8"/>
    <n v="8"/>
  </r>
  <r>
    <x v="6"/>
    <x v="143"/>
    <d v="1899-12-30T00:00:00"/>
    <s v="1ST"/>
    <s v="08:00"/>
    <n v="2"/>
    <x v="7"/>
    <n v="6.8999999999999999E-3"/>
    <s v="P"/>
    <s v="P"/>
    <s v="P"/>
    <s v="-"/>
    <s v="+"/>
    <n v="11.17"/>
    <s v="-"/>
    <s v="-"/>
    <s v="-"/>
    <s v="-"/>
    <s v="-"/>
    <s v="-"/>
    <s v="-"/>
    <s v="-"/>
    <s v="P"/>
    <s v="P"/>
    <s v="-"/>
    <n v="2"/>
    <n v="1"/>
    <n v="2"/>
    <n v="1"/>
    <s v="-"/>
    <s v="-"/>
    <s v="-"/>
    <s v="-"/>
    <s v="-"/>
    <s v="-"/>
    <s v="-"/>
    <n v="6"/>
    <n v="6"/>
    <s v="-"/>
    <n v="1"/>
    <n v="1"/>
    <n v="2"/>
    <n v="2"/>
    <n v="8"/>
    <n v="8"/>
  </r>
  <r>
    <x v="6"/>
    <x v="143"/>
    <d v="1899-12-30T00:00:00"/>
    <s v="1ST"/>
    <s v="09:00"/>
    <n v="2"/>
    <x v="7"/>
    <n v="1.6799999999999999E-2"/>
    <s v="P"/>
    <s v="P"/>
    <s v="P"/>
    <s v="-"/>
    <s v="+"/>
    <n v="11.28"/>
    <s v="-"/>
    <s v="-"/>
    <s v="-"/>
    <s v="-"/>
    <s v="-"/>
    <s v="-"/>
    <s v="-"/>
    <s v="-"/>
    <s v="P"/>
    <s v="P"/>
    <s v="-"/>
    <n v="2"/>
    <n v="1"/>
    <n v="2"/>
    <n v="1"/>
    <s v="-"/>
    <s v="-"/>
    <s v="-"/>
    <s v="-"/>
    <s v="-"/>
    <s v="-"/>
    <s v="-"/>
    <n v="6"/>
    <n v="6"/>
    <s v="-"/>
    <n v="1"/>
    <n v="1"/>
    <n v="2"/>
    <n v="2"/>
    <n v="8"/>
    <n v="8"/>
  </r>
  <r>
    <x v="6"/>
    <x v="143"/>
    <d v="1899-12-30T00:00:00"/>
    <s v="1ST"/>
    <s v="10:00"/>
    <n v="2"/>
    <x v="7"/>
    <n v="1.66E-2"/>
    <s v="P"/>
    <s v="P"/>
    <s v="P"/>
    <s v="-"/>
    <s v="+"/>
    <n v="11.25"/>
    <s v="-"/>
    <s v="-"/>
    <s v="-"/>
    <s v="-"/>
    <s v="-"/>
    <s v="-"/>
    <s v="-"/>
    <s v="-"/>
    <s v="P"/>
    <s v="P"/>
    <s v="-"/>
    <n v="2"/>
    <n v="1"/>
    <n v="2"/>
    <n v="1"/>
    <s v="-"/>
    <s v="-"/>
    <s v="-"/>
    <s v="-"/>
    <s v="-"/>
    <s v="-"/>
    <s v="-"/>
    <n v="6"/>
    <n v="6"/>
    <s v="-"/>
    <n v="1"/>
    <n v="1"/>
    <n v="2"/>
    <n v="2"/>
    <n v="8"/>
    <n v="8"/>
  </r>
  <r>
    <x v="6"/>
    <x v="143"/>
    <d v="1899-12-30T00:00:00"/>
    <s v="1ST"/>
    <s v="11:00"/>
    <n v="2"/>
    <x v="7"/>
    <n v="1.8700000000000001E-2"/>
    <s v="P"/>
    <s v="P"/>
    <s v="P"/>
    <s v="-"/>
    <s v="+"/>
    <n v="11.18"/>
    <s v="-"/>
    <s v="-"/>
    <s v="-"/>
    <s v="-"/>
    <s v="-"/>
    <s v="-"/>
    <s v="-"/>
    <s v="-"/>
    <s v="P"/>
    <s v="P"/>
    <s v="-"/>
    <n v="2"/>
    <n v="1"/>
    <n v="2"/>
    <n v="1"/>
    <s v="-"/>
    <s v="-"/>
    <s v="-"/>
    <s v="-"/>
    <s v="-"/>
    <s v="-"/>
    <s v="-"/>
    <n v="6"/>
    <n v="6"/>
    <s v="-"/>
    <n v="1"/>
    <n v="1"/>
    <n v="2"/>
    <n v="2"/>
    <n v="8"/>
    <n v="8"/>
  </r>
  <r>
    <x v="6"/>
    <x v="143"/>
    <d v="1902-03-26T00:00:00"/>
    <s v="1ST"/>
    <s v="13:00"/>
    <n v="2"/>
    <x v="2"/>
    <n v="9.7000000000000003E-3"/>
    <s v="P"/>
    <s v="P"/>
    <s v="P"/>
    <s v="-"/>
    <s v="+"/>
    <n v="11.01"/>
    <s v="-"/>
    <s v="-"/>
    <s v="-"/>
    <s v="-"/>
    <s v="-"/>
    <s v="-"/>
    <s v="-"/>
    <s v="-"/>
    <s v="P"/>
    <s v="P"/>
    <s v="-"/>
    <n v="2"/>
    <n v="1"/>
    <n v="2"/>
    <n v="0"/>
    <s v="-"/>
    <s v="-"/>
    <s v="-"/>
    <s v="-"/>
    <s v="-"/>
    <s v="-"/>
    <s v="-"/>
    <n v="5"/>
    <n v="6"/>
    <s v="-"/>
    <n v="1"/>
    <n v="1"/>
    <n v="2"/>
    <n v="2"/>
    <n v="7"/>
    <n v="8"/>
  </r>
  <r>
    <x v="6"/>
    <x v="143"/>
    <d v="1902-03-26T00:00:00"/>
    <s v="2ND"/>
    <d v="1899-12-30T14:00:00"/>
    <n v="2"/>
    <x v="2"/>
    <n v="1.35E-2"/>
    <s v="P"/>
    <s v="P"/>
    <s v="P"/>
    <s v="-"/>
    <s v="+"/>
    <n v="9.8000000000000007"/>
    <s v="-"/>
    <s v="-"/>
    <s v="-"/>
    <s v="-"/>
    <s v="-"/>
    <s v="-"/>
    <s v="-"/>
    <s v="-"/>
    <s v="P"/>
    <s v="P"/>
    <s v="-"/>
    <n v="2"/>
    <n v="1"/>
    <n v="2"/>
    <n v="0"/>
    <s v="-"/>
    <s v="-"/>
    <s v="-"/>
    <s v="-"/>
    <s v="-"/>
    <s v="-"/>
    <s v="-"/>
    <n v="5"/>
    <n v="6"/>
    <s v="-"/>
    <n v="1"/>
    <n v="1"/>
    <n v="2"/>
    <n v="2"/>
    <n v="7"/>
    <n v="8"/>
  </r>
  <r>
    <x v="6"/>
    <x v="143"/>
    <d v="1899-12-30T00:00:00"/>
    <s v="2ND"/>
    <d v="1899-12-30T16:00:00"/>
    <n v="2"/>
    <x v="2"/>
    <n v="1.9900000000000001E-2"/>
    <s v="P"/>
    <s v="P"/>
    <s v="P"/>
    <s v="-"/>
    <s v="+"/>
    <n v="11.11"/>
    <s v="-"/>
    <s v="-"/>
    <s v="-"/>
    <s v="-"/>
    <s v="-"/>
    <s v="-"/>
    <s v="-"/>
    <s v="-"/>
    <s v="P"/>
    <s v="P"/>
    <s v="-"/>
    <n v="2"/>
    <n v="1"/>
    <n v="2"/>
    <n v="0"/>
    <s v="-"/>
    <s v="-"/>
    <s v="-"/>
    <s v="-"/>
    <s v="-"/>
    <s v="-"/>
    <s v="-"/>
    <n v="5"/>
    <n v="6"/>
    <s v="-"/>
    <n v="1"/>
    <n v="1"/>
    <n v="2"/>
    <n v="2"/>
    <n v="7"/>
    <n v="8"/>
  </r>
  <r>
    <x v="6"/>
    <x v="143"/>
    <d v="1899-12-30T00:00:00"/>
    <s v="2ND"/>
    <d v="1899-12-30T18:00:00"/>
    <n v="2"/>
    <x v="2"/>
    <n v="7.1000000000000004E-3"/>
    <s v="P"/>
    <s v="P"/>
    <s v="P"/>
    <s v="-"/>
    <s v="+"/>
    <n v="11.07"/>
    <s v="-"/>
    <s v="-"/>
    <s v="-"/>
    <s v="-"/>
    <s v="-"/>
    <s v="-"/>
    <s v="-"/>
    <s v="-"/>
    <s v="P"/>
    <s v="P"/>
    <s v="-"/>
    <n v="2"/>
    <n v="1"/>
    <n v="2"/>
    <n v="0"/>
    <s v="-"/>
    <s v="-"/>
    <s v="-"/>
    <s v="-"/>
    <s v="-"/>
    <s v="-"/>
    <s v="-"/>
    <n v="5"/>
    <n v="6"/>
    <s v="-"/>
    <n v="1"/>
    <n v="1"/>
    <n v="2"/>
    <n v="2"/>
    <n v="7"/>
    <n v="8"/>
  </r>
  <r>
    <x v="6"/>
    <x v="143"/>
    <d v="1899-12-30T00:00:00"/>
    <s v="2ND"/>
    <d v="1899-12-30T19:00:00"/>
    <n v="2"/>
    <x v="2"/>
    <n v="8.0000000000000002E-3"/>
    <s v="P"/>
    <s v="P"/>
    <s v="P"/>
    <s v="-"/>
    <s v="+"/>
    <n v="11.11"/>
    <s v="-"/>
    <s v="-"/>
    <s v="-"/>
    <s v="-"/>
    <s v="-"/>
    <s v="-"/>
    <s v="-"/>
    <s v="-"/>
    <s v="P"/>
    <s v="P"/>
    <s v="-"/>
    <n v="2"/>
    <n v="1"/>
    <n v="2"/>
    <n v="0"/>
    <s v="-"/>
    <s v="-"/>
    <s v="-"/>
    <s v="-"/>
    <s v="-"/>
    <s v="-"/>
    <s v="-"/>
    <n v="5"/>
    <n v="6"/>
    <s v="-"/>
    <n v="1"/>
    <n v="1"/>
    <n v="2"/>
    <n v="2"/>
    <n v="7"/>
    <n v="8"/>
  </r>
  <r>
    <x v="6"/>
    <x v="143"/>
    <d v="1899-12-30T00:00:00"/>
    <s v="2ND"/>
    <d v="1899-12-30T21:00:00"/>
    <n v="2"/>
    <x v="2"/>
    <n v="1.8800000000000001E-2"/>
    <s v="P"/>
    <s v="P"/>
    <s v="P"/>
    <s v="-"/>
    <s v="+"/>
    <n v="10.17"/>
    <s v="-"/>
    <s v="-"/>
    <s v="-"/>
    <s v="-"/>
    <s v="-"/>
    <s v="-"/>
    <s v="-"/>
    <s v="-"/>
    <s v="P"/>
    <s v="P"/>
    <s v="-"/>
    <n v="2"/>
    <n v="1"/>
    <n v="2"/>
    <n v="0"/>
    <s v="-"/>
    <s v="-"/>
    <s v="-"/>
    <s v="-"/>
    <s v="-"/>
    <s v="-"/>
    <s v="-"/>
    <n v="5"/>
    <n v="6"/>
    <s v="-"/>
    <n v="1"/>
    <n v="1"/>
    <n v="2"/>
    <n v="2"/>
    <n v="7"/>
    <n v="8"/>
  </r>
  <r>
    <x v="6"/>
    <x v="143"/>
    <d v="1902-03-26T00:00:00"/>
    <s v="3RD"/>
    <d v="1899-12-30T22:00:00"/>
    <n v="2"/>
    <x v="2"/>
    <n v="8.2000000000000007E-3"/>
    <s v="P"/>
    <s v="P"/>
    <s v="P"/>
    <s v="-"/>
    <s v="+"/>
    <n v="11.09"/>
    <s v="-"/>
    <s v="-"/>
    <s v="-"/>
    <s v="-"/>
    <s v="-"/>
    <s v="-"/>
    <s v="-"/>
    <s v="-"/>
    <s v="P"/>
    <s v="P"/>
    <s v="-"/>
    <n v="2"/>
    <n v="1"/>
    <n v="2"/>
    <n v="0"/>
    <s v="-"/>
    <s v="-"/>
    <s v="-"/>
    <s v="-"/>
    <s v="-"/>
    <s v="-"/>
    <s v="-"/>
    <n v="5"/>
    <n v="6"/>
    <s v="-"/>
    <n v="1"/>
    <n v="1"/>
    <n v="2"/>
    <n v="2"/>
    <n v="7"/>
    <n v="8"/>
  </r>
  <r>
    <x v="6"/>
    <x v="143"/>
    <d v="1899-12-30T00:00:00"/>
    <s v="3RD"/>
    <d v="1899-12-30T23:00:00"/>
    <n v="2"/>
    <x v="2"/>
    <n v="1.2999999999999999E-2"/>
    <s v="P"/>
    <s v="P"/>
    <s v="P"/>
    <s v="-"/>
    <s v="+"/>
    <n v="10.72"/>
    <s v="-"/>
    <s v="-"/>
    <s v="-"/>
    <s v="-"/>
    <s v="-"/>
    <s v="-"/>
    <s v="-"/>
    <s v="-"/>
    <s v="P"/>
    <s v="P"/>
    <s v="-"/>
    <n v="2"/>
    <n v="1"/>
    <n v="2"/>
    <n v="0"/>
    <s v="-"/>
    <s v="-"/>
    <s v="-"/>
    <s v="-"/>
    <s v="-"/>
    <s v="-"/>
    <s v="-"/>
    <n v="5"/>
    <n v="6"/>
    <s v="-"/>
    <n v="1"/>
    <n v="1"/>
    <n v="2"/>
    <n v="2"/>
    <n v="7"/>
    <n v="8"/>
  </r>
  <r>
    <x v="6"/>
    <x v="143"/>
    <d v="1899-12-30T00:00:00"/>
    <s v="3RD"/>
    <d v="1899-12-31T00:00:00"/>
    <n v="2"/>
    <x v="2"/>
    <n v="1.4800000000000001E-2"/>
    <s v="P"/>
    <s v="P"/>
    <s v="P"/>
    <s v="-"/>
    <s v="+"/>
    <n v="11.2"/>
    <s v="-"/>
    <s v="-"/>
    <s v="-"/>
    <s v="-"/>
    <s v="-"/>
    <s v="-"/>
    <s v="-"/>
    <s v="-"/>
    <s v="P"/>
    <s v="P"/>
    <s v="-"/>
    <n v="2"/>
    <n v="1"/>
    <n v="2"/>
    <n v="0"/>
    <s v="-"/>
    <s v="-"/>
    <s v="-"/>
    <s v="-"/>
    <s v="-"/>
    <s v="-"/>
    <s v="-"/>
    <n v="5"/>
    <n v="6"/>
    <s v="-"/>
    <n v="1"/>
    <n v="1"/>
    <n v="2"/>
    <n v="2"/>
    <n v="7"/>
    <n v="8"/>
  </r>
  <r>
    <x v="6"/>
    <x v="143"/>
    <d v="1899-12-30T00:00:00"/>
    <s v="3RD"/>
    <d v="1899-12-31T01:00:00"/>
    <n v="2"/>
    <x v="2"/>
    <n v="1.2500000000000001E-2"/>
    <s v="P"/>
    <s v="P"/>
    <s v="P"/>
    <s v="-"/>
    <s v="+"/>
    <n v="11.09"/>
    <s v="-"/>
    <s v="-"/>
    <s v="-"/>
    <s v="-"/>
    <s v="-"/>
    <s v="-"/>
    <s v="-"/>
    <s v="-"/>
    <s v="P"/>
    <s v="P"/>
    <s v="-"/>
    <n v="2"/>
    <n v="1"/>
    <n v="2"/>
    <n v="0"/>
    <s v="-"/>
    <s v="-"/>
    <s v="-"/>
    <s v="-"/>
    <s v="-"/>
    <s v="-"/>
    <s v="-"/>
    <n v="5"/>
    <n v="6"/>
    <s v="-"/>
    <n v="1"/>
    <n v="1"/>
    <n v="2"/>
    <n v="2"/>
    <n v="7"/>
    <n v="8"/>
  </r>
  <r>
    <x v="6"/>
    <x v="143"/>
    <d v="1899-12-30T00:00:00"/>
    <s v="3RD"/>
    <d v="1899-12-31T03:00:00"/>
    <n v="2"/>
    <x v="2"/>
    <n v="1.24E-2"/>
    <s v="P"/>
    <s v="P"/>
    <s v="P"/>
    <s v="-"/>
    <s v="+"/>
    <n v="11.2"/>
    <s v="-"/>
    <s v="-"/>
    <s v="-"/>
    <s v="-"/>
    <s v="-"/>
    <s v="-"/>
    <s v="-"/>
    <s v="-"/>
    <s v="P"/>
    <s v="P"/>
    <s v="-"/>
    <n v="2"/>
    <n v="1"/>
    <n v="2"/>
    <n v="0"/>
    <s v="-"/>
    <s v="-"/>
    <s v="-"/>
    <s v="-"/>
    <s v="-"/>
    <s v="-"/>
    <s v="-"/>
    <n v="5"/>
    <n v="6"/>
    <s v="-"/>
    <n v="1"/>
    <n v="1"/>
    <n v="2"/>
    <n v="2"/>
    <n v="7"/>
    <n v="8"/>
  </r>
  <r>
    <x v="6"/>
    <x v="144"/>
    <d v="1902-03-26T00:00:00"/>
    <s v="1ST"/>
    <s v="07:00"/>
    <n v="2"/>
    <x v="5"/>
    <n v="6.1000000000000004E-3"/>
    <s v="P"/>
    <s v="P"/>
    <s v="P"/>
    <s v="-"/>
    <s v="+"/>
    <n v="11.01"/>
    <n v="8.9600000000000009"/>
    <n v="0.56000000000000005"/>
    <n v="55.5"/>
    <s v="-"/>
    <s v="-"/>
    <n v="29.3"/>
    <s v="-"/>
    <s v="-"/>
    <s v="P"/>
    <s v="P"/>
    <s v="-"/>
    <n v="2"/>
    <n v="1"/>
    <n v="2"/>
    <n v="1"/>
    <n v="1"/>
    <n v="0"/>
    <n v="2"/>
    <s v="-"/>
    <s v="-"/>
    <n v="0"/>
    <s v="-"/>
    <n v="9"/>
    <n v="13"/>
    <s v="-"/>
    <n v="1"/>
    <n v="1"/>
    <n v="2"/>
    <n v="2"/>
    <n v="11"/>
    <n v="15"/>
  </r>
  <r>
    <x v="6"/>
    <x v="144"/>
    <d v="1899-12-30T00:00:00"/>
    <s v="1ST"/>
    <s v="08:00"/>
    <n v="2"/>
    <x v="5"/>
    <n v="3.5999999999999999E-3"/>
    <s v="P"/>
    <s v="P"/>
    <s v="P"/>
    <s v="-"/>
    <s v="+"/>
    <n v="11.82"/>
    <s v="-"/>
    <s v="-"/>
    <s v="-"/>
    <s v="-"/>
    <s v="-"/>
    <s v="-"/>
    <s v="-"/>
    <s v="-"/>
    <s v="P"/>
    <s v="P"/>
    <s v="-"/>
    <n v="2"/>
    <n v="1"/>
    <n v="2"/>
    <n v="1"/>
    <s v="-"/>
    <s v="-"/>
    <s v="-"/>
    <s v="-"/>
    <s v="-"/>
    <s v="-"/>
    <s v="-"/>
    <n v="6"/>
    <n v="6"/>
    <s v="-"/>
    <n v="1"/>
    <n v="1"/>
    <n v="2"/>
    <n v="2"/>
    <n v="8"/>
    <n v="8"/>
  </r>
  <r>
    <x v="6"/>
    <x v="144"/>
    <d v="1899-12-30T00:00:00"/>
    <s v="1ST"/>
    <s v="10:00"/>
    <n v="2"/>
    <x v="5"/>
    <n v="8.9999999999999998E-4"/>
    <s v="P"/>
    <s v="P"/>
    <s v="P"/>
    <s v="-"/>
    <s v="+"/>
    <n v="11.57"/>
    <s v="-"/>
    <s v="-"/>
    <s v="-"/>
    <s v="-"/>
    <s v="-"/>
    <s v="-"/>
    <s v="-"/>
    <s v="-"/>
    <s v="P"/>
    <s v="P"/>
    <s v="-"/>
    <n v="2"/>
    <n v="1"/>
    <n v="2"/>
    <n v="1"/>
    <s v="-"/>
    <s v="-"/>
    <s v="-"/>
    <s v="-"/>
    <s v="-"/>
    <s v="-"/>
    <s v="-"/>
    <n v="6"/>
    <n v="6"/>
    <s v="-"/>
    <n v="1"/>
    <n v="1"/>
    <n v="2"/>
    <n v="2"/>
    <n v="8"/>
    <n v="8"/>
  </r>
  <r>
    <x v="6"/>
    <x v="144"/>
    <d v="1899-12-30T00:00:00"/>
    <s v="1ST"/>
    <s v="11:00"/>
    <n v="2"/>
    <x v="5"/>
    <n v="5.0000000000000001E-4"/>
    <s v="P"/>
    <s v="P"/>
    <s v="P"/>
    <s v="-"/>
    <s v="+"/>
    <n v="11.49"/>
    <s v="-"/>
    <s v="-"/>
    <s v="-"/>
    <s v="-"/>
    <s v="-"/>
    <s v="-"/>
    <s v="-"/>
    <s v="-"/>
    <s v="P"/>
    <s v="P"/>
    <s v="-"/>
    <n v="2"/>
    <n v="1"/>
    <n v="2"/>
    <n v="1"/>
    <s v="-"/>
    <s v="-"/>
    <s v="-"/>
    <s v="-"/>
    <s v="-"/>
    <s v="-"/>
    <s v="-"/>
    <n v="6"/>
    <n v="6"/>
    <s v="-"/>
    <n v="1"/>
    <n v="1"/>
    <n v="2"/>
    <n v="2"/>
    <n v="8"/>
    <n v="8"/>
  </r>
  <r>
    <x v="6"/>
    <x v="144"/>
    <d v="1899-12-30T00:00:00"/>
    <s v="1ST"/>
    <s v="12:00"/>
    <n v="2"/>
    <x v="5"/>
    <n v="1.9E-3"/>
    <s v="P"/>
    <s v="P"/>
    <s v="P"/>
    <s v="-"/>
    <s v="+"/>
    <n v="11.41"/>
    <s v="-"/>
    <s v="-"/>
    <s v="-"/>
    <s v="-"/>
    <s v="-"/>
    <s v="-"/>
    <s v="-"/>
    <s v="-"/>
    <s v="P"/>
    <s v="P"/>
    <s v="-"/>
    <n v="2"/>
    <n v="1"/>
    <n v="2"/>
    <n v="1"/>
    <s v="-"/>
    <s v="-"/>
    <s v="-"/>
    <s v="-"/>
    <s v="-"/>
    <s v="-"/>
    <s v="-"/>
    <n v="6"/>
    <n v="6"/>
    <s v="-"/>
    <n v="1"/>
    <n v="1"/>
    <n v="2"/>
    <n v="2"/>
    <n v="8"/>
    <n v="8"/>
  </r>
  <r>
    <x v="6"/>
    <x v="144"/>
    <d v="2026-06-25T00:00:00"/>
    <s v="1ST"/>
    <s v="07:00"/>
    <n v="3"/>
    <x v="6"/>
    <n v="1.6899999999999998E-2"/>
    <s v="P"/>
    <s v="P"/>
    <s v="P"/>
    <s v="+"/>
    <s v="+"/>
    <n v="12.37"/>
    <n v="11.8"/>
    <n v="0.54"/>
    <n v="63"/>
    <s v="-"/>
    <s v="-"/>
    <n v="32.9"/>
    <s v="-"/>
    <s v="-"/>
    <s v="P"/>
    <s v="P"/>
    <s v="60% 10% 30%"/>
    <n v="2"/>
    <n v="1"/>
    <n v="2"/>
    <n v="1"/>
    <n v="1"/>
    <n v="2"/>
    <n v="0"/>
    <s v="-"/>
    <s v="-"/>
    <n v="2"/>
    <s v="-"/>
    <n v="11"/>
    <n v="13"/>
    <s v="-"/>
    <n v="1"/>
    <n v="1"/>
    <n v="2"/>
    <n v="2"/>
    <n v="13"/>
    <n v="15"/>
  </r>
  <r>
    <x v="6"/>
    <x v="144"/>
    <d v="2026-06-25T00:00:00"/>
    <s v="1ST"/>
    <s v="08:00"/>
    <n v="3"/>
    <x v="6"/>
    <n v="1.35E-2"/>
    <s v="P"/>
    <s v="P"/>
    <s v="P"/>
    <s v="+"/>
    <s v="+"/>
    <n v="11.98"/>
    <s v="-"/>
    <s v="-"/>
    <n v="0.54"/>
    <s v="-"/>
    <s v="-"/>
    <s v="-"/>
    <s v="-"/>
    <s v="-"/>
    <s v="P"/>
    <s v="P"/>
    <s v="-"/>
    <n v="2"/>
    <n v="1"/>
    <n v="2"/>
    <n v="0"/>
    <s v="-"/>
    <s v="-"/>
    <n v="0"/>
    <s v="-"/>
    <s v="-"/>
    <s v="-"/>
    <s v="-"/>
    <n v="5"/>
    <n v="8"/>
    <s v="-"/>
    <n v="1"/>
    <n v="1"/>
    <n v="2"/>
    <n v="2"/>
    <n v="7"/>
    <n v="10"/>
  </r>
  <r>
    <x v="6"/>
    <x v="144"/>
    <d v="2026-06-25T00:00:00"/>
    <s v="1ST"/>
    <s v="09:00"/>
    <n v="3"/>
    <x v="6"/>
    <n v="1.6500000000000001E-2"/>
    <s v="P"/>
    <s v="P"/>
    <s v="P"/>
    <s v="+"/>
    <s v="+"/>
    <n v="12.44"/>
    <s v="-"/>
    <s v="-"/>
    <s v="-"/>
    <s v="-"/>
    <s v="-"/>
    <s v="-"/>
    <s v="-"/>
    <s v="-"/>
    <s v="P"/>
    <s v="P"/>
    <s v="-"/>
    <n v="2"/>
    <n v="1"/>
    <n v="2"/>
    <n v="1"/>
    <s v="-"/>
    <s v="-"/>
    <s v="-"/>
    <s v="-"/>
    <s v="-"/>
    <s v="-"/>
    <s v="-"/>
    <n v="6"/>
    <n v="6"/>
    <s v="-"/>
    <n v="1"/>
    <n v="1"/>
    <n v="2"/>
    <n v="2"/>
    <n v="8"/>
    <n v="8"/>
  </r>
  <r>
    <x v="6"/>
    <x v="144"/>
    <d v="2026-06-25T00:00:00"/>
    <s v="1ST"/>
    <s v="10:00"/>
    <n v="3"/>
    <x v="6"/>
    <n v="1.21E-2"/>
    <s v="P"/>
    <s v="P"/>
    <s v="P"/>
    <s v="+"/>
    <s v="+"/>
    <n v="12.44"/>
    <s v="-"/>
    <s v="-"/>
    <s v="-"/>
    <s v="-"/>
    <s v="-"/>
    <s v="-"/>
    <s v="-"/>
    <s v="-"/>
    <s v="P"/>
    <s v="P"/>
    <s v="-"/>
    <n v="2"/>
    <n v="1"/>
    <n v="2"/>
    <n v="1"/>
    <s v="-"/>
    <s v="-"/>
    <s v="-"/>
    <s v="-"/>
    <s v="-"/>
    <s v="-"/>
    <s v="-"/>
    <n v="6"/>
    <n v="6"/>
    <s v="-"/>
    <n v="1"/>
    <n v="1"/>
    <n v="2"/>
    <n v="2"/>
    <n v="8"/>
    <n v="8"/>
  </r>
  <r>
    <x v="6"/>
    <x v="144"/>
    <d v="2026-06-25T00:00:00"/>
    <s v="1ST"/>
    <s v="11:00"/>
    <n v="3"/>
    <x v="6"/>
    <n v="9.1999999999999998E-3"/>
    <s v="P"/>
    <s v="P"/>
    <s v="P"/>
    <s v="+"/>
    <s v="+"/>
    <n v="12.58"/>
    <s v="-"/>
    <s v="-"/>
    <s v="-"/>
    <s v="-"/>
    <s v="-"/>
    <s v="-"/>
    <s v="-"/>
    <s v="-"/>
    <s v="P"/>
    <s v="P"/>
    <s v="-"/>
    <n v="2"/>
    <n v="1"/>
    <n v="2"/>
    <n v="1"/>
    <s v="-"/>
    <s v="-"/>
    <s v="-"/>
    <s v="-"/>
    <s v="-"/>
    <s v="-"/>
    <s v="-"/>
    <n v="6"/>
    <n v="6"/>
    <s v="-"/>
    <n v="1"/>
    <n v="1"/>
    <n v="2"/>
    <n v="2"/>
    <n v="8"/>
    <n v="8"/>
  </r>
  <r>
    <x v="6"/>
    <x v="144"/>
    <d v="2026-06-25T00:00:00"/>
    <s v="1ST"/>
    <s v="12:00"/>
    <n v="3"/>
    <x v="6"/>
    <n v="1.6500000000000001E-2"/>
    <s v="P"/>
    <s v="P"/>
    <s v="P"/>
    <s v="+"/>
    <s v="+"/>
    <n v="11.83"/>
    <s v="-"/>
    <s v="-"/>
    <s v="-"/>
    <s v="-"/>
    <s v="-"/>
    <s v="-"/>
    <s v="-"/>
    <s v="-"/>
    <s v="P"/>
    <s v="P"/>
    <s v="-"/>
    <n v="2"/>
    <n v="1"/>
    <n v="2"/>
    <n v="0"/>
    <s v="-"/>
    <s v="-"/>
    <s v="-"/>
    <s v="-"/>
    <s v="-"/>
    <s v="-"/>
    <s v="-"/>
    <n v="5"/>
    <n v="6"/>
    <s v="-"/>
    <n v="1"/>
    <n v="1"/>
    <n v="2"/>
    <n v="2"/>
    <n v="7"/>
    <n v="8"/>
  </r>
  <r>
    <x v="6"/>
    <x v="144"/>
    <d v="1902-03-26T00:00:00"/>
    <s v="2ND"/>
    <d v="1899-12-30T14:00:00"/>
    <n v="2"/>
    <x v="7"/>
    <n v="4.3E-3"/>
    <s v="P"/>
    <s v="P"/>
    <s v="P"/>
    <s v="-"/>
    <s v="+"/>
    <n v="10.97"/>
    <s v="-"/>
    <s v="-"/>
    <s v="-"/>
    <s v="-"/>
    <s v="-"/>
    <s v="-"/>
    <s v="-"/>
    <s v="-"/>
    <s v="P"/>
    <s v="P"/>
    <s v="-"/>
    <n v="2"/>
    <n v="1"/>
    <n v="2"/>
    <n v="0"/>
    <s v="-"/>
    <s v="-"/>
    <s v="-"/>
    <s v="-"/>
    <s v="-"/>
    <s v="-"/>
    <s v="-"/>
    <n v="5"/>
    <n v="6"/>
    <s v="-"/>
    <n v="1"/>
    <n v="1"/>
    <n v="2"/>
    <n v="2"/>
    <n v="7"/>
    <n v="8"/>
  </r>
  <r>
    <x v="6"/>
    <x v="144"/>
    <d v="1899-12-30T00:00:00"/>
    <s v="2ND"/>
    <d v="1899-12-30T15:00:00"/>
    <n v="2"/>
    <x v="7"/>
    <n v="2.5999999999999999E-3"/>
    <s v="P"/>
    <s v="P"/>
    <s v="P"/>
    <s v="-"/>
    <s v="+"/>
    <n v="10.93"/>
    <s v="-"/>
    <s v="-"/>
    <s v="-"/>
    <s v="-"/>
    <s v="-"/>
    <s v="-"/>
    <s v="-"/>
    <s v="-"/>
    <s v="P"/>
    <s v="P"/>
    <s v="-"/>
    <n v="2"/>
    <n v="1"/>
    <n v="2"/>
    <n v="0"/>
    <s v="-"/>
    <s v="-"/>
    <s v="-"/>
    <s v="-"/>
    <s v="-"/>
    <s v="-"/>
    <s v="-"/>
    <n v="5"/>
    <n v="6"/>
    <s v="-"/>
    <n v="1"/>
    <n v="1"/>
    <n v="2"/>
    <n v="2"/>
    <n v="7"/>
    <n v="8"/>
  </r>
  <r>
    <x v="6"/>
    <x v="144"/>
    <d v="1899-12-30T00:00:00"/>
    <s v="2ND"/>
    <d v="1899-12-30T16:00:00"/>
    <n v="2"/>
    <x v="7"/>
    <n v="8.9999999999999998E-4"/>
    <s v="P"/>
    <s v="P"/>
    <s v="P"/>
    <s v="-"/>
    <s v="+"/>
    <n v="11.32"/>
    <s v="-"/>
    <s v="-"/>
    <s v="-"/>
    <s v="-"/>
    <s v="-"/>
    <s v="-"/>
    <s v="-"/>
    <s v="-"/>
    <s v="P"/>
    <s v="P"/>
    <s v="-"/>
    <n v="2"/>
    <n v="1"/>
    <n v="2"/>
    <n v="1"/>
    <s v="-"/>
    <s v="-"/>
    <s v="-"/>
    <s v="-"/>
    <s v="-"/>
    <s v="-"/>
    <s v="-"/>
    <n v="6"/>
    <n v="6"/>
    <s v="-"/>
    <n v="1"/>
    <n v="1"/>
    <n v="2"/>
    <n v="2"/>
    <n v="8"/>
    <n v="8"/>
  </r>
  <r>
    <x v="6"/>
    <x v="144"/>
    <d v="1899-12-30T00:00:00"/>
    <s v="2ND"/>
    <d v="1899-12-30T17:00:00"/>
    <n v="2"/>
    <x v="7"/>
    <n v="1.5E-3"/>
    <s v="P"/>
    <s v="P"/>
    <s v="P"/>
    <s v="-"/>
    <s v="+"/>
    <n v="11.41"/>
    <s v="-"/>
    <s v="-"/>
    <s v="-"/>
    <s v="-"/>
    <s v="-"/>
    <s v="-"/>
    <s v="-"/>
    <s v="-"/>
    <s v="P"/>
    <s v="P"/>
    <s v="-"/>
    <n v="2"/>
    <n v="1"/>
    <n v="2"/>
    <n v="1"/>
    <s v="-"/>
    <s v="-"/>
    <s v="-"/>
    <s v="-"/>
    <s v="-"/>
    <s v="-"/>
    <s v="-"/>
    <n v="6"/>
    <n v="6"/>
    <s v="-"/>
    <n v="1"/>
    <n v="1"/>
    <n v="2"/>
    <n v="2"/>
    <n v="8"/>
    <n v="8"/>
  </r>
  <r>
    <x v="6"/>
    <x v="144"/>
    <d v="1899-12-30T00:00:00"/>
    <s v="2ND"/>
    <d v="1899-12-30T19:00:00"/>
    <n v="2"/>
    <x v="7"/>
    <n v="5.8999999999999999E-3"/>
    <s v="P"/>
    <s v="P"/>
    <s v="P"/>
    <s v="-"/>
    <s v="+"/>
    <n v="11.28"/>
    <s v="-"/>
    <s v="-"/>
    <s v="-"/>
    <s v="-"/>
    <s v="-"/>
    <s v="-"/>
    <s v="-"/>
    <s v="-"/>
    <s v="P"/>
    <s v="P"/>
    <s v="-"/>
    <n v="2"/>
    <n v="1"/>
    <n v="2"/>
    <n v="1"/>
    <s v="-"/>
    <s v="-"/>
    <s v="-"/>
    <s v="-"/>
    <s v="-"/>
    <s v="-"/>
    <s v="-"/>
    <n v="6"/>
    <n v="6"/>
    <s v="-"/>
    <n v="1"/>
    <n v="1"/>
    <n v="2"/>
    <n v="2"/>
    <n v="8"/>
    <n v="8"/>
  </r>
  <r>
    <x v="6"/>
    <x v="144"/>
    <d v="1899-12-30T00:00:00"/>
    <s v="2ND"/>
    <d v="1899-12-30T20:00:00"/>
    <n v="2"/>
    <x v="7"/>
    <n v="6.7000000000000002E-3"/>
    <s v="P"/>
    <s v="P"/>
    <s v="P"/>
    <s v="-"/>
    <s v="+"/>
    <n v="11.6"/>
    <s v="-"/>
    <s v="-"/>
    <s v="-"/>
    <s v="-"/>
    <s v="-"/>
    <s v="-"/>
    <s v="-"/>
    <s v="-"/>
    <s v="P"/>
    <s v="P"/>
    <s v="-"/>
    <n v="2"/>
    <n v="1"/>
    <n v="2"/>
    <n v="1"/>
    <s v="-"/>
    <s v="-"/>
    <s v="-"/>
    <s v="-"/>
    <s v="-"/>
    <s v="-"/>
    <s v="-"/>
    <n v="6"/>
    <n v="6"/>
    <s v="-"/>
    <n v="1"/>
    <n v="1"/>
    <n v="2"/>
    <n v="2"/>
    <n v="8"/>
    <n v="8"/>
  </r>
  <r>
    <x v="6"/>
    <x v="144"/>
    <d v="1899-12-30T00:00:00"/>
    <s v="2ND"/>
    <d v="1899-12-30T21:00:00"/>
    <n v="2"/>
    <x v="7"/>
    <n v="4.1000000000000003E-3"/>
    <s v="P"/>
    <s v="P"/>
    <s v="P"/>
    <s v="-"/>
    <s v="+"/>
    <n v="11.22"/>
    <s v="-"/>
    <s v="-"/>
    <s v="-"/>
    <s v="-"/>
    <s v="-"/>
    <s v="-"/>
    <s v="-"/>
    <s v="-"/>
    <s v="P"/>
    <s v="P"/>
    <s v="-"/>
    <n v="2"/>
    <n v="1"/>
    <n v="2"/>
    <n v="1"/>
    <s v="-"/>
    <s v="-"/>
    <s v="-"/>
    <s v="-"/>
    <s v="-"/>
    <s v="-"/>
    <s v="-"/>
    <n v="6"/>
    <n v="6"/>
    <s v="-"/>
    <n v="1"/>
    <n v="1"/>
    <n v="2"/>
    <n v="2"/>
    <n v="8"/>
    <n v="8"/>
  </r>
  <r>
    <x v="6"/>
    <x v="144"/>
    <d v="2026-06-25T00:00:00"/>
    <s v="2ND"/>
    <d v="1899-12-30T14:00:00"/>
    <n v="3"/>
    <x v="6"/>
    <n v="1.4800000000000001E-2"/>
    <s v="P"/>
    <s v="P"/>
    <s v="P"/>
    <s v="+"/>
    <s v="+"/>
    <n v="12.12"/>
    <n v="12"/>
    <s v="-"/>
    <s v="-"/>
    <s v="-"/>
    <s v="-"/>
    <n v="33.4"/>
    <s v="-"/>
    <s v="-"/>
    <s v="P"/>
    <s v="P"/>
    <s v="60% 10% 30%"/>
    <n v="2"/>
    <n v="1"/>
    <n v="2"/>
    <n v="1"/>
    <n v="1"/>
    <s v="-"/>
    <s v="-"/>
    <s v="-"/>
    <s v="-"/>
    <n v="2"/>
    <s v="-"/>
    <n v="9"/>
    <n v="9"/>
    <s v="-"/>
    <n v="1"/>
    <n v="1"/>
    <n v="2"/>
    <n v="2"/>
    <n v="11"/>
    <n v="11"/>
  </r>
  <r>
    <x v="6"/>
    <x v="144"/>
    <d v="2026-06-25T00:00:00"/>
    <s v="2ND"/>
    <d v="1899-12-30T15:00:00"/>
    <n v="3"/>
    <x v="6"/>
    <n v="1.8800000000000001E-2"/>
    <s v="P"/>
    <s v="P"/>
    <s v="P"/>
    <s v="+"/>
    <s v="+"/>
    <n v="11.36"/>
    <s v="-"/>
    <s v="-"/>
    <s v="-"/>
    <s v="-"/>
    <s v="-"/>
    <s v="-"/>
    <s v="-"/>
    <s v="-"/>
    <s v="P"/>
    <s v="P"/>
    <s v="-"/>
    <n v="2"/>
    <n v="1"/>
    <n v="2"/>
    <n v="0"/>
    <s v="-"/>
    <s v="-"/>
    <s v="-"/>
    <s v="-"/>
    <s v="-"/>
    <s v="-"/>
    <s v="-"/>
    <n v="5"/>
    <n v="6"/>
    <s v="-"/>
    <n v="1"/>
    <n v="1"/>
    <n v="2"/>
    <n v="2"/>
    <n v="7"/>
    <n v="8"/>
  </r>
  <r>
    <x v="6"/>
    <x v="144"/>
    <d v="2026-06-25T00:00:00"/>
    <s v="2ND"/>
    <d v="1899-12-30T16:00:00"/>
    <n v="3"/>
    <x v="6"/>
    <n v="1.9900000000000001E-2"/>
    <s v="P"/>
    <s v="P"/>
    <s v="P"/>
    <s v="+"/>
    <s v="+"/>
    <n v="11.94"/>
    <s v="-"/>
    <s v="-"/>
    <s v="-"/>
    <s v="-"/>
    <s v="-"/>
    <s v="-"/>
    <s v="-"/>
    <s v="-"/>
    <s v="P"/>
    <s v="P"/>
    <s v="-"/>
    <n v="2"/>
    <n v="1"/>
    <n v="2"/>
    <n v="0"/>
    <s v="-"/>
    <s v="-"/>
    <s v="-"/>
    <s v="-"/>
    <s v="-"/>
    <s v="-"/>
    <s v="-"/>
    <n v="5"/>
    <n v="6"/>
    <s v="-"/>
    <n v="1"/>
    <n v="1"/>
    <n v="2"/>
    <n v="2"/>
    <n v="7"/>
    <n v="8"/>
  </r>
  <r>
    <x v="6"/>
    <x v="144"/>
    <d v="2026-06-25T00:00:00"/>
    <s v="2ND"/>
    <d v="1899-12-30T19:00:00"/>
    <n v="3"/>
    <x v="6"/>
    <n v="1.9599999999999999E-2"/>
    <s v="P"/>
    <s v="P"/>
    <s v="P"/>
    <s v="+"/>
    <s v="+"/>
    <s v="-"/>
    <s v="-"/>
    <s v="-"/>
    <s v="-"/>
    <s v="-"/>
    <s v="-"/>
    <s v="-"/>
    <s v="-"/>
    <s v="-"/>
    <s v="P"/>
    <s v="P"/>
    <s v="-"/>
    <n v="2"/>
    <n v="1"/>
    <n v="2"/>
    <s v="-"/>
    <s v="-"/>
    <s v="-"/>
    <s v="-"/>
    <s v="-"/>
    <s v="-"/>
    <s v="-"/>
    <s v="-"/>
    <n v="5"/>
    <n v="5"/>
    <s v="-"/>
    <n v="1"/>
    <n v="1"/>
    <n v="2"/>
    <n v="2"/>
    <n v="7"/>
    <n v="7"/>
  </r>
  <r>
    <x v="6"/>
    <x v="144"/>
    <d v="2026-06-25T00:00:00"/>
    <s v="2ND"/>
    <d v="1899-12-30T20:00:00"/>
    <n v="3"/>
    <x v="0"/>
    <n v="1.5800000000000002E-2"/>
    <s v="P"/>
    <s v="P"/>
    <s v="P"/>
    <s v="+"/>
    <s v="+"/>
    <n v="11.91"/>
    <s v="-"/>
    <s v="-"/>
    <s v="-"/>
    <s v="-"/>
    <s v="-"/>
    <s v="-"/>
    <s v="-"/>
    <s v="-"/>
    <s v="-"/>
    <s v="-"/>
    <s v="65% 5% 30%"/>
    <n v="2"/>
    <n v="1"/>
    <n v="2"/>
    <n v="0"/>
    <s v="-"/>
    <s v="-"/>
    <s v="-"/>
    <s v="-"/>
    <s v="-"/>
    <s v="-"/>
    <s v="-"/>
    <n v="5"/>
    <n v="6"/>
    <s v="-"/>
    <s v="-"/>
    <s v="-"/>
    <n v="0"/>
    <n v="0"/>
    <n v="5"/>
    <n v="6"/>
  </r>
  <r>
    <x v="6"/>
    <x v="144"/>
    <d v="1902-03-26T00:00:00"/>
    <s v="3RD"/>
    <d v="1899-12-30T22:00:00"/>
    <n v="2"/>
    <x v="7"/>
    <n v="4.7000000000000002E-3"/>
    <s v="P"/>
    <s v="P"/>
    <s v="P"/>
    <s v="-"/>
    <s v="+"/>
    <n v="11.13"/>
    <s v="-"/>
    <s v="-"/>
    <s v="-"/>
    <s v="-"/>
    <s v="-"/>
    <s v="-"/>
    <s v="-"/>
    <s v="-"/>
    <s v="P"/>
    <s v="P"/>
    <s v="-"/>
    <n v="2"/>
    <n v="1"/>
    <n v="2"/>
    <n v="1"/>
    <s v="-"/>
    <s v="-"/>
    <s v="-"/>
    <s v="-"/>
    <s v="-"/>
    <s v="-"/>
    <s v="-"/>
    <n v="6"/>
    <n v="6"/>
    <s v="-"/>
    <n v="1"/>
    <n v="1"/>
    <n v="2"/>
    <n v="2"/>
    <n v="8"/>
    <n v="8"/>
  </r>
  <r>
    <x v="6"/>
    <x v="144"/>
    <d v="1899-12-30T00:00:00"/>
    <s v="3RD"/>
    <d v="1899-12-30T23:00:00"/>
    <n v="2"/>
    <x v="7"/>
    <n v="4.1000000000000003E-3"/>
    <s v="P"/>
    <s v="P"/>
    <s v="P"/>
    <s v="-"/>
    <s v="+"/>
    <n v="11.26"/>
    <s v="-"/>
    <s v="-"/>
    <s v="-"/>
    <s v="-"/>
    <s v="-"/>
    <s v="-"/>
    <s v="-"/>
    <s v="-"/>
    <s v="P"/>
    <s v="P"/>
    <s v="-"/>
    <n v="2"/>
    <n v="1"/>
    <n v="2"/>
    <n v="1"/>
    <s v="-"/>
    <s v="-"/>
    <s v="-"/>
    <s v="-"/>
    <s v="-"/>
    <s v="-"/>
    <s v="-"/>
    <n v="6"/>
    <n v="6"/>
    <s v="-"/>
    <n v="1"/>
    <n v="1"/>
    <n v="2"/>
    <n v="2"/>
    <n v="8"/>
    <n v="8"/>
  </r>
  <r>
    <x v="6"/>
    <x v="144"/>
    <d v="1899-12-30T00:00:00"/>
    <s v="3RD"/>
    <d v="1899-12-31T00:00:00"/>
    <n v="2"/>
    <x v="7"/>
    <n v="3.5999999999999999E-3"/>
    <s v="P"/>
    <s v="P"/>
    <s v="P"/>
    <s v="-"/>
    <s v="+"/>
    <n v="11.26"/>
    <s v="-"/>
    <s v="-"/>
    <s v="-"/>
    <s v="-"/>
    <s v="-"/>
    <s v="-"/>
    <s v="-"/>
    <s v="-"/>
    <s v="P"/>
    <s v="P"/>
    <s v="-"/>
    <n v="2"/>
    <n v="1"/>
    <n v="2"/>
    <n v="1"/>
    <s v="-"/>
    <s v="-"/>
    <s v="-"/>
    <s v="-"/>
    <s v="-"/>
    <s v="-"/>
    <s v="-"/>
    <n v="6"/>
    <n v="6"/>
    <s v="-"/>
    <n v="1"/>
    <n v="1"/>
    <n v="2"/>
    <n v="2"/>
    <n v="8"/>
    <n v="8"/>
  </r>
  <r>
    <x v="6"/>
    <x v="144"/>
    <d v="1899-12-30T00:00:00"/>
    <s v="3RD"/>
    <d v="1899-12-31T01:00:00"/>
    <n v="2"/>
    <x v="7"/>
    <n v="7.6E-3"/>
    <s v="P"/>
    <s v="P"/>
    <s v="P"/>
    <s v="-"/>
    <s v="+"/>
    <n v="11.19"/>
    <s v="-"/>
    <s v="-"/>
    <s v="-"/>
    <s v="-"/>
    <s v="-"/>
    <s v="-"/>
    <s v="-"/>
    <s v="-"/>
    <s v="P"/>
    <s v="P"/>
    <s v="-"/>
    <n v="2"/>
    <n v="1"/>
    <n v="2"/>
    <n v="1"/>
    <s v="-"/>
    <s v="-"/>
    <s v="-"/>
    <s v="-"/>
    <s v="-"/>
    <s v="-"/>
    <s v="-"/>
    <n v="6"/>
    <n v="6"/>
    <s v="-"/>
    <n v="1"/>
    <n v="1"/>
    <n v="2"/>
    <n v="2"/>
    <n v="8"/>
    <n v="8"/>
  </r>
  <r>
    <x v="6"/>
    <x v="144"/>
    <d v="1899-12-30T00:00:00"/>
    <s v="3RD"/>
    <d v="1899-12-31T02:00:00"/>
    <n v="2"/>
    <x v="7"/>
    <n v="5.4000000000000003E-3"/>
    <s v="P"/>
    <s v="P"/>
    <s v="P"/>
    <s v="-"/>
    <s v="+"/>
    <n v="11.29"/>
    <s v="-"/>
    <s v="-"/>
    <s v="-"/>
    <s v="-"/>
    <s v="-"/>
    <s v="-"/>
    <s v="-"/>
    <s v="-"/>
    <s v="P"/>
    <s v="P"/>
    <s v="-"/>
    <n v="2"/>
    <n v="1"/>
    <n v="2"/>
    <n v="1"/>
    <s v="-"/>
    <s v="-"/>
    <s v="-"/>
    <s v="-"/>
    <s v="-"/>
    <s v="-"/>
    <s v="-"/>
    <n v="6"/>
    <n v="6"/>
    <s v="-"/>
    <n v="1"/>
    <n v="1"/>
    <n v="2"/>
    <n v="2"/>
    <n v="8"/>
    <n v="8"/>
  </r>
  <r>
    <x v="6"/>
    <x v="144"/>
    <d v="1899-12-30T00:00:00"/>
    <s v="3RD"/>
    <d v="1899-12-31T04:00:00"/>
    <n v="2"/>
    <x v="7"/>
    <n v="4.7000000000000002E-3"/>
    <s v="P"/>
    <s v="P"/>
    <s v="P"/>
    <s v="-"/>
    <s v="+"/>
    <n v="11.31"/>
    <s v="-"/>
    <s v="-"/>
    <s v="-"/>
    <s v="-"/>
    <s v="-"/>
    <s v="-"/>
    <s v="-"/>
    <s v="-"/>
    <s v="P"/>
    <s v="P"/>
    <s v="-"/>
    <n v="2"/>
    <n v="1"/>
    <n v="2"/>
    <n v="1"/>
    <s v="-"/>
    <s v="-"/>
    <s v="-"/>
    <s v="-"/>
    <s v="-"/>
    <s v="-"/>
    <s v="-"/>
    <n v="6"/>
    <n v="6"/>
    <s v="-"/>
    <n v="1"/>
    <n v="1"/>
    <n v="2"/>
    <n v="2"/>
    <n v="8"/>
    <n v="8"/>
  </r>
  <r>
    <x v="6"/>
    <x v="144"/>
    <d v="2026-06-25T00:00:00"/>
    <s v="3RD"/>
    <d v="1899-12-30T22:00:00"/>
    <n v="3"/>
    <x v="1"/>
    <n v="1.7000000000000001E-2"/>
    <s v="P"/>
    <s v="P"/>
    <s v="P"/>
    <s v="+"/>
    <s v="+"/>
    <n v="11.91"/>
    <n v="12.33"/>
    <n v="0.59"/>
    <n v="64.3"/>
    <n v="13.3"/>
    <n v="1087"/>
    <n v="34.299999999999997"/>
    <s v="-"/>
    <s v="-"/>
    <s v="P"/>
    <s v="P"/>
    <s v="65% 5% 30%"/>
    <n v="2"/>
    <n v="1"/>
    <n v="2"/>
    <n v="0"/>
    <n v="1"/>
    <n v="2"/>
    <n v="2"/>
    <n v="1"/>
    <n v="0"/>
    <n v="2"/>
    <s v="-"/>
    <n v="13"/>
    <n v="15"/>
    <s v="-"/>
    <n v="1"/>
    <n v="1"/>
    <n v="2"/>
    <n v="2"/>
    <n v="15"/>
    <n v="17"/>
  </r>
  <r>
    <x v="6"/>
    <x v="144"/>
    <d v="2026-06-25T00:00:00"/>
    <s v="3RD"/>
    <d v="1899-12-31T00:00:00"/>
    <n v="3"/>
    <x v="1"/>
    <n v="1.9599999999999999E-2"/>
    <s v="P"/>
    <s v="P"/>
    <s v="P"/>
    <s v="+"/>
    <s v="+"/>
    <n v="11.8"/>
    <s v="-"/>
    <s v="-"/>
    <s v="-"/>
    <s v="-"/>
    <s v="-"/>
    <s v="-"/>
    <s v="-"/>
    <s v="-"/>
    <s v="P"/>
    <s v="P"/>
    <s v="-"/>
    <n v="2"/>
    <n v="1"/>
    <n v="2"/>
    <n v="0"/>
    <s v="-"/>
    <s v="-"/>
    <s v="-"/>
    <s v="-"/>
    <s v="-"/>
    <s v="-"/>
    <s v="-"/>
    <n v="5"/>
    <n v="6"/>
    <s v="-"/>
    <n v="1"/>
    <n v="1"/>
    <n v="2"/>
    <n v="2"/>
    <n v="7"/>
    <n v="8"/>
  </r>
  <r>
    <x v="6"/>
    <x v="144"/>
    <d v="2026-06-25T00:00:00"/>
    <s v="3RD"/>
    <d v="1899-12-31T01:00:00"/>
    <n v="3"/>
    <x v="1"/>
    <s v="-"/>
    <s v="P"/>
    <s v="P"/>
    <s v="P"/>
    <s v="+"/>
    <s v="+"/>
    <n v="12.51"/>
    <s v="-"/>
    <s v="-"/>
    <s v="-"/>
    <s v="-"/>
    <s v="-"/>
    <s v="-"/>
    <s v="-"/>
    <s v="-"/>
    <s v="P"/>
    <s v="P"/>
    <s v="-"/>
    <s v="-"/>
    <n v="1"/>
    <n v="2"/>
    <n v="1"/>
    <s v="-"/>
    <s v="-"/>
    <s v="-"/>
    <s v="-"/>
    <s v="-"/>
    <s v="-"/>
    <s v="-"/>
    <n v="4"/>
    <n v="4"/>
    <s v="-"/>
    <n v="1"/>
    <n v="1"/>
    <n v="2"/>
    <n v="2"/>
    <n v="6"/>
    <n v="6"/>
  </r>
  <r>
    <x v="6"/>
    <x v="144"/>
    <d v="2026-06-25T00:00:00"/>
    <s v="3RD"/>
    <d v="1899-12-31T02:00:00"/>
    <n v="3"/>
    <x v="1"/>
    <n v="1.9699999999999999E-2"/>
    <s v="P"/>
    <s v="P"/>
    <s v="P"/>
    <s v="+"/>
    <s v="+"/>
    <n v="12.51"/>
    <s v="-"/>
    <s v="-"/>
    <s v="-"/>
    <s v="-"/>
    <s v="-"/>
    <s v="-"/>
    <s v="-"/>
    <s v="-"/>
    <s v="P"/>
    <s v="P"/>
    <s v="-"/>
    <n v="2"/>
    <n v="1"/>
    <n v="2"/>
    <n v="1"/>
    <s v="-"/>
    <s v="-"/>
    <s v="-"/>
    <s v="-"/>
    <s v="-"/>
    <s v="-"/>
    <s v="-"/>
    <n v="6"/>
    <n v="6"/>
    <s v="-"/>
    <n v="1"/>
    <n v="1"/>
    <n v="2"/>
    <n v="2"/>
    <n v="8"/>
    <n v="8"/>
  </r>
  <r>
    <x v="6"/>
    <x v="145"/>
    <d v="1902-03-26T00:00:00"/>
    <s v="1ST"/>
    <s v="06:00"/>
    <n v="2"/>
    <x v="7"/>
    <n v="1.7899999999999999E-2"/>
    <s v="P"/>
    <s v="P"/>
    <s v="P"/>
    <s v="-"/>
    <s v="+"/>
    <n v="11.05"/>
    <s v="-"/>
    <s v="-"/>
    <s v="-"/>
    <s v="-"/>
    <s v="-"/>
    <s v="-"/>
    <s v="-"/>
    <s v="-"/>
    <s v="P"/>
    <s v="P"/>
    <s v="-"/>
    <n v="2"/>
    <n v="1"/>
    <n v="2"/>
    <n v="1"/>
    <s v="-"/>
    <s v="-"/>
    <s v="-"/>
    <s v="-"/>
    <s v="-"/>
    <s v="-"/>
    <s v="-"/>
    <n v="6"/>
    <n v="6"/>
    <s v="-"/>
    <n v="1"/>
    <n v="1"/>
    <n v="2"/>
    <n v="2"/>
    <n v="8"/>
    <n v="8"/>
  </r>
  <r>
    <x v="6"/>
    <x v="145"/>
    <d v="1899-12-30T00:00:00"/>
    <s v="1ST"/>
    <s v="07:00"/>
    <n v="2"/>
    <x v="7"/>
    <n v="5.9999999999999995E-4"/>
    <s v="P"/>
    <s v="P"/>
    <s v="P"/>
    <s v="-"/>
    <s v="+"/>
    <n v="11.2"/>
    <s v="-"/>
    <s v="-"/>
    <s v="-"/>
    <s v="-"/>
    <s v="-"/>
    <s v="-"/>
    <s v="-"/>
    <s v="-"/>
    <s v="P"/>
    <s v="P"/>
    <s v="-"/>
    <n v="2"/>
    <n v="1"/>
    <n v="2"/>
    <n v="1"/>
    <s v="-"/>
    <s v="-"/>
    <s v="-"/>
    <s v="-"/>
    <s v="-"/>
    <s v="-"/>
    <s v="-"/>
    <n v="6"/>
    <n v="6"/>
    <s v="-"/>
    <n v="1"/>
    <n v="1"/>
    <n v="2"/>
    <n v="2"/>
    <n v="8"/>
    <n v="8"/>
  </r>
  <r>
    <x v="6"/>
    <x v="145"/>
    <d v="1899-12-30T00:00:00"/>
    <s v="1ST"/>
    <s v="08:00"/>
    <n v="2"/>
    <x v="7"/>
    <n v="1.9E-3"/>
    <s v="P"/>
    <s v="P"/>
    <s v="P"/>
    <s v="-"/>
    <s v="+"/>
    <n v="11.37"/>
    <s v="-"/>
    <s v="-"/>
    <s v="-"/>
    <s v="-"/>
    <s v="-"/>
    <s v="-"/>
    <s v="-"/>
    <s v="-"/>
    <s v="P"/>
    <s v="P"/>
    <s v="-"/>
    <n v="2"/>
    <n v="1"/>
    <n v="2"/>
    <n v="1"/>
    <s v="-"/>
    <s v="-"/>
    <s v="-"/>
    <s v="-"/>
    <s v="-"/>
    <s v="-"/>
    <s v="-"/>
    <n v="6"/>
    <n v="6"/>
    <s v="-"/>
    <n v="1"/>
    <n v="1"/>
    <n v="2"/>
    <n v="2"/>
    <n v="8"/>
    <n v="8"/>
  </r>
  <r>
    <x v="6"/>
    <x v="145"/>
    <d v="1902-03-26T00:00:00"/>
    <s v="2ND"/>
    <d v="1899-12-30T15:00:00"/>
    <n v="2"/>
    <x v="5"/>
    <n v="9.1000000000000004E-3"/>
    <s v="P"/>
    <s v="P"/>
    <s v="P"/>
    <s v="-"/>
    <s v="+"/>
    <n v="11.87"/>
    <n v="8.26"/>
    <n v="0.52"/>
    <n v="54.7"/>
    <s v="-"/>
    <s v="-"/>
    <n v="22.1"/>
    <s v="-"/>
    <s v="-"/>
    <s v="P"/>
    <s v="P"/>
    <s v="-"/>
    <n v="2"/>
    <n v="1"/>
    <n v="2"/>
    <n v="1"/>
    <n v="0"/>
    <n v="2"/>
    <n v="2"/>
    <s v="-"/>
    <s v="-"/>
    <n v="2"/>
    <s v="-"/>
    <n v="12"/>
    <n v="13"/>
    <s v="-"/>
    <n v="1"/>
    <n v="1"/>
    <n v="2"/>
    <n v="2"/>
    <n v="14"/>
    <n v="15"/>
  </r>
  <r>
    <x v="6"/>
    <x v="145"/>
    <d v="1899-12-30T00:00:00"/>
    <s v="2ND"/>
    <d v="1899-12-30T16:00:00"/>
    <n v="2"/>
    <x v="5"/>
    <n v="7.7999999999999996E-3"/>
    <s v="P"/>
    <s v="P"/>
    <s v="P"/>
    <s v="-"/>
    <s v="+"/>
    <n v="11.98"/>
    <s v="-"/>
    <s v="-"/>
    <s v="-"/>
    <s v="-"/>
    <s v="-"/>
    <s v="-"/>
    <s v="-"/>
    <s v="-"/>
    <s v="P"/>
    <s v="P"/>
    <s v="-"/>
    <n v="2"/>
    <n v="1"/>
    <n v="2"/>
    <n v="1"/>
    <s v="-"/>
    <s v="-"/>
    <s v="-"/>
    <s v="-"/>
    <s v="-"/>
    <s v="-"/>
    <s v="-"/>
    <n v="6"/>
    <n v="6"/>
    <s v="-"/>
    <n v="1"/>
    <n v="1"/>
    <n v="2"/>
    <n v="2"/>
    <n v="8"/>
    <n v="8"/>
  </r>
  <r>
    <x v="6"/>
    <x v="145"/>
    <d v="1899-12-30T00:00:00"/>
    <s v="2ND"/>
    <d v="1899-12-30T19:00:00"/>
    <n v="2"/>
    <x v="5"/>
    <n v="4.4000000000000003E-3"/>
    <s v="P"/>
    <s v="P"/>
    <s v="P"/>
    <s v="-"/>
    <s v="+"/>
    <n v="12.01"/>
    <s v="-"/>
    <s v="-"/>
    <s v="-"/>
    <s v="-"/>
    <s v="-"/>
    <s v="-"/>
    <s v="-"/>
    <s v="-"/>
    <s v="P"/>
    <s v="P"/>
    <s v="-"/>
    <n v="2"/>
    <n v="1"/>
    <n v="2"/>
    <n v="1"/>
    <s v="-"/>
    <s v="-"/>
    <s v="-"/>
    <s v="-"/>
    <s v="-"/>
    <s v="-"/>
    <s v="-"/>
    <n v="6"/>
    <n v="6"/>
    <s v="-"/>
    <n v="1"/>
    <n v="1"/>
    <n v="2"/>
    <n v="2"/>
    <n v="8"/>
    <n v="8"/>
  </r>
  <r>
    <x v="6"/>
    <x v="145"/>
    <d v="1899-12-30T00:00:00"/>
    <s v="2ND"/>
    <d v="1899-12-30T20:00:00"/>
    <n v="2"/>
    <x v="5"/>
    <n v="4.1000000000000003E-3"/>
    <s v="P"/>
    <s v="P"/>
    <s v="P"/>
    <s v="-"/>
    <s v="+"/>
    <n v="11.93"/>
    <s v="-"/>
    <s v="-"/>
    <s v="-"/>
    <s v="-"/>
    <s v="-"/>
    <s v="-"/>
    <s v="-"/>
    <s v="-"/>
    <s v="P"/>
    <s v="P"/>
    <s v="-"/>
    <n v="2"/>
    <n v="1"/>
    <n v="2"/>
    <n v="1"/>
    <s v="-"/>
    <s v="-"/>
    <s v="-"/>
    <s v="-"/>
    <s v="-"/>
    <s v="-"/>
    <s v="-"/>
    <n v="6"/>
    <n v="6"/>
    <s v="-"/>
    <n v="1"/>
    <n v="1"/>
    <n v="2"/>
    <n v="2"/>
    <n v="8"/>
    <n v="8"/>
  </r>
  <r>
    <x v="6"/>
    <x v="145"/>
    <d v="2026-07-07T00:00:00"/>
    <s v="2ND"/>
    <d v="1899-12-30T14:00:00"/>
    <s v="Retail"/>
    <x v="13"/>
    <s v="-"/>
    <s v="-"/>
    <s v="-"/>
    <s v="-"/>
    <s v="-"/>
    <s v="-"/>
    <n v="12.03"/>
    <s v="-"/>
    <s v="-"/>
    <s v="-"/>
    <s v="-"/>
    <s v="-"/>
    <s v="-"/>
    <s v="-"/>
    <s v="-"/>
    <s v="-"/>
    <s v="-"/>
    <s v="-"/>
    <s v="-"/>
    <s v="-"/>
    <s v="-"/>
    <n v="1"/>
    <s v="-"/>
    <s v="-"/>
    <s v="-"/>
    <s v="-"/>
    <s v="-"/>
    <s v="-"/>
    <s v="-"/>
    <n v="1"/>
    <n v="1"/>
    <s v="-"/>
    <s v="-"/>
    <s v="-"/>
    <n v="0"/>
    <n v="0"/>
    <n v="1"/>
    <n v="1"/>
  </r>
  <r>
    <x v="6"/>
    <x v="145"/>
    <d v="2026-06-25T00:00:00"/>
    <s v="2ND"/>
    <d v="1899-12-30T15:00:00"/>
    <s v="Retail"/>
    <x v="19"/>
    <s v="-"/>
    <s v="-"/>
    <s v="P"/>
    <s v="P"/>
    <s v="-"/>
    <s v="-"/>
    <n v="12.33"/>
    <n v="14.87"/>
    <n v="1.32"/>
    <n v="71.7"/>
    <s v="-"/>
    <s v="-"/>
    <n v="42.3"/>
    <s v="-"/>
    <s v="-"/>
    <s v="P"/>
    <s v="P"/>
    <s v="-"/>
    <s v="-"/>
    <s v="-"/>
    <n v="2"/>
    <n v="1"/>
    <n v="1"/>
    <n v="0"/>
    <n v="2"/>
    <s v="-"/>
    <s v="-"/>
    <n v="2"/>
    <s v="-"/>
    <n v="8"/>
    <n v="10"/>
    <s v="-"/>
    <n v="1"/>
    <n v="1"/>
    <n v="2"/>
    <n v="2"/>
    <n v="10"/>
    <n v="12"/>
  </r>
  <r>
    <x v="6"/>
    <x v="145"/>
    <d v="1902-03-26T00:00:00"/>
    <s v="3RD"/>
    <d v="1899-12-30T22:00:00"/>
    <n v="2"/>
    <x v="4"/>
    <n v="2.3999999999999998E-3"/>
    <s v="P"/>
    <s v="P"/>
    <s v="P"/>
    <s v="-"/>
    <s v="+"/>
    <n v="11.67"/>
    <s v="-"/>
    <s v="-"/>
    <s v="-"/>
    <s v="-"/>
    <s v="-"/>
    <s v="-"/>
    <s v="-"/>
    <s v="-"/>
    <s v="P"/>
    <s v="P"/>
    <s v="-"/>
    <n v="2"/>
    <n v="1"/>
    <n v="2"/>
    <n v="1"/>
    <s v="-"/>
    <s v="-"/>
    <s v="-"/>
    <s v="-"/>
    <s v="-"/>
    <s v="-"/>
    <s v="-"/>
    <n v="6"/>
    <n v="6"/>
    <s v="-"/>
    <n v="1"/>
    <n v="1"/>
    <n v="2"/>
    <n v="2"/>
    <n v="8"/>
    <n v="8"/>
  </r>
  <r>
    <x v="6"/>
    <x v="145"/>
    <d v="1899-12-30T00:00:00"/>
    <s v="3RD"/>
    <d v="1899-12-30T23:00:00"/>
    <n v="2"/>
    <x v="4"/>
    <n v="3.2000000000000002E-3"/>
    <s v="P"/>
    <s v="P"/>
    <s v="P"/>
    <s v="-"/>
    <s v="+"/>
    <n v="11.68"/>
    <s v="-"/>
    <s v="-"/>
    <s v="-"/>
    <s v="-"/>
    <s v="-"/>
    <s v="-"/>
    <s v="-"/>
    <s v="-"/>
    <s v="P"/>
    <s v="P"/>
    <s v="-"/>
    <n v="2"/>
    <n v="1"/>
    <n v="2"/>
    <n v="1"/>
    <s v="-"/>
    <s v="-"/>
    <s v="-"/>
    <s v="-"/>
    <s v="-"/>
    <s v="-"/>
    <s v="-"/>
    <n v="6"/>
    <n v="6"/>
    <s v="-"/>
    <n v="1"/>
    <n v="1"/>
    <n v="2"/>
    <n v="2"/>
    <n v="8"/>
    <n v="8"/>
  </r>
  <r>
    <x v="6"/>
    <x v="145"/>
    <d v="1899-12-30T00:00:00"/>
    <s v="3RD"/>
    <d v="1899-12-31T00:00:00"/>
    <n v="2"/>
    <x v="4"/>
    <n v="4.1999999999999997E-3"/>
    <s v="P"/>
    <s v="P"/>
    <s v="P"/>
    <s v="-"/>
    <s v="+"/>
    <n v="11.62"/>
    <s v="-"/>
    <s v="-"/>
    <s v="-"/>
    <s v="-"/>
    <s v="-"/>
    <s v="-"/>
    <s v="-"/>
    <s v="-"/>
    <s v="P"/>
    <s v="P"/>
    <s v="-"/>
    <n v="2"/>
    <n v="1"/>
    <n v="2"/>
    <n v="1"/>
    <s v="-"/>
    <s v="-"/>
    <s v="-"/>
    <s v="-"/>
    <s v="-"/>
    <s v="-"/>
    <s v="-"/>
    <n v="6"/>
    <n v="6"/>
    <s v="-"/>
    <n v="1"/>
    <n v="1"/>
    <n v="2"/>
    <n v="2"/>
    <n v="8"/>
    <n v="8"/>
  </r>
  <r>
    <x v="6"/>
    <x v="146"/>
    <d v="2026-07-01T00:00:00"/>
    <s v="1ST"/>
    <s v="07:00"/>
    <n v="3"/>
    <x v="11"/>
    <n v="9.1000000000000004E-3"/>
    <s v="P"/>
    <s v="P"/>
    <s v="P"/>
    <s v="+"/>
    <s v="+"/>
    <n v="12.6"/>
    <n v="12.45"/>
    <n v="0.63"/>
    <n v="63.7"/>
    <s v="-"/>
    <s v="-"/>
    <n v="36.299999999999997"/>
    <s v="-"/>
    <s v="-"/>
    <s v="P"/>
    <s v="P"/>
    <n v="1"/>
    <n v="2"/>
    <n v="1"/>
    <n v="2"/>
    <n v="1"/>
    <n v="0"/>
    <n v="0"/>
    <n v="0"/>
    <s v="-"/>
    <s v="-"/>
    <n v="2"/>
    <s v="-"/>
    <n v="8"/>
    <n v="13"/>
    <s v="-"/>
    <n v="1"/>
    <n v="1"/>
    <n v="2"/>
    <n v="2"/>
    <n v="10"/>
    <n v="15"/>
  </r>
  <r>
    <x v="6"/>
    <x v="146"/>
    <d v="2026-07-01T00:00:00"/>
    <s v="1ST"/>
    <s v="08:00"/>
    <n v="3"/>
    <x v="11"/>
    <n v="8.6E-3"/>
    <s v="P"/>
    <s v="P"/>
    <s v="P"/>
    <s v="+"/>
    <s v="+"/>
    <n v="12.67"/>
    <s v="-"/>
    <s v="-"/>
    <n v="0.63"/>
    <s v="-"/>
    <s v="-"/>
    <s v="-"/>
    <s v="-"/>
    <s v="-"/>
    <s v="P"/>
    <s v="P"/>
    <s v="-"/>
    <n v="2"/>
    <n v="1"/>
    <n v="2"/>
    <n v="1"/>
    <s v="-"/>
    <s v="-"/>
    <n v="0"/>
    <s v="-"/>
    <s v="-"/>
    <s v="-"/>
    <s v="-"/>
    <n v="6"/>
    <n v="8"/>
    <s v="-"/>
    <n v="1"/>
    <n v="1"/>
    <n v="2"/>
    <n v="2"/>
    <n v="8"/>
    <n v="10"/>
  </r>
  <r>
    <x v="6"/>
    <x v="146"/>
    <d v="2026-07-01T00:00:00"/>
    <s v="1ST"/>
    <s v="09:00"/>
    <n v="3"/>
    <x v="11"/>
    <n v="8.6E-3"/>
    <s v="P"/>
    <s v="P"/>
    <s v="P"/>
    <s v="+"/>
    <s v="+"/>
    <n v="12.97"/>
    <s v="-"/>
    <s v="-"/>
    <s v="-"/>
    <s v="-"/>
    <s v="-"/>
    <s v="-"/>
    <s v="-"/>
    <s v="-"/>
    <s v="P"/>
    <s v="P"/>
    <s v="-"/>
    <n v="2"/>
    <n v="1"/>
    <n v="2"/>
    <n v="1"/>
    <s v="-"/>
    <s v="-"/>
    <s v="-"/>
    <s v="-"/>
    <s v="-"/>
    <s v="-"/>
    <s v="-"/>
    <n v="6"/>
    <n v="6"/>
    <s v="-"/>
    <n v="1"/>
    <n v="1"/>
    <n v="2"/>
    <n v="2"/>
    <n v="8"/>
    <n v="8"/>
  </r>
  <r>
    <x v="6"/>
    <x v="146"/>
    <d v="2026-07-07T00:00:00"/>
    <s v="1ST"/>
    <s v="11:00"/>
    <n v="3"/>
    <x v="16"/>
    <n v="7.4999999999999997E-3"/>
    <s v="P"/>
    <s v="P"/>
    <s v="P"/>
    <s v="+"/>
    <s v="+"/>
    <s v="-"/>
    <n v="12.52"/>
    <s v="-"/>
    <n v="63.7"/>
    <s v="-"/>
    <s v="-"/>
    <n v="35.4"/>
    <s v="-"/>
    <s v="-"/>
    <s v="P"/>
    <s v="P"/>
    <n v="1"/>
    <n v="2"/>
    <n v="1"/>
    <n v="2"/>
    <s v="-"/>
    <n v="1"/>
    <s v="-"/>
    <n v="0"/>
    <s v="-"/>
    <s v="-"/>
    <n v="2"/>
    <s v="-"/>
    <n v="8"/>
    <n v="10"/>
    <s v="-"/>
    <n v="1"/>
    <n v="1"/>
    <n v="2"/>
    <n v="2"/>
    <n v="10"/>
    <n v="12"/>
  </r>
  <r>
    <x v="6"/>
    <x v="146"/>
    <d v="2026-07-07T00:00:00"/>
    <s v="1ST"/>
    <s v="12:00"/>
    <n v="3"/>
    <x v="16"/>
    <n v="8.6E-3"/>
    <s v="P"/>
    <s v="P"/>
    <s v="P"/>
    <s v="+"/>
    <s v="+"/>
    <n v="12.94"/>
    <s v="-"/>
    <s v="-"/>
    <s v="-"/>
    <s v="-"/>
    <s v="-"/>
    <s v="-"/>
    <s v="-"/>
    <s v="-"/>
    <s v="P"/>
    <s v="P"/>
    <s v="-"/>
    <n v="2"/>
    <n v="1"/>
    <n v="2"/>
    <n v="1"/>
    <s v="-"/>
    <s v="-"/>
    <s v="-"/>
    <s v="-"/>
    <s v="-"/>
    <s v="-"/>
    <s v="-"/>
    <n v="6"/>
    <n v="6"/>
    <s v="-"/>
    <n v="1"/>
    <n v="1"/>
    <n v="2"/>
    <n v="2"/>
    <n v="8"/>
    <n v="8"/>
  </r>
  <r>
    <x v="6"/>
    <x v="146"/>
    <d v="2026-07-07T00:00:00"/>
    <s v="1ST"/>
    <s v="13:00"/>
    <n v="3"/>
    <x v="16"/>
    <n v="4.4000000000000003E-3"/>
    <s v="P"/>
    <s v="P"/>
    <s v="P"/>
    <s v="+"/>
    <s v="+"/>
    <n v="12.76"/>
    <s v="-"/>
    <s v="-"/>
    <s v="-"/>
    <s v="-"/>
    <s v="-"/>
    <s v="-"/>
    <s v="-"/>
    <s v="-"/>
    <s v="P"/>
    <s v="P"/>
    <s v="-"/>
    <n v="2"/>
    <n v="1"/>
    <n v="2"/>
    <n v="1"/>
    <s v="-"/>
    <s v="-"/>
    <s v="-"/>
    <s v="-"/>
    <s v="-"/>
    <s v="-"/>
    <s v="-"/>
    <n v="6"/>
    <n v="6"/>
    <s v="-"/>
    <n v="1"/>
    <n v="1"/>
    <n v="2"/>
    <n v="2"/>
    <n v="8"/>
    <n v="8"/>
  </r>
  <r>
    <x v="6"/>
    <x v="146"/>
    <d v="2026-06-25T00:00:00"/>
    <s v="1ST"/>
    <s v="11:00"/>
    <s v="Retail"/>
    <x v="25"/>
    <s v="-"/>
    <s v="P"/>
    <s v="P"/>
    <s v="P"/>
    <s v="+"/>
    <s v="+"/>
    <n v="12.57"/>
    <n v="14.03"/>
    <s v="-"/>
    <n v="68.400000000000006"/>
    <s v="-"/>
    <s v="-"/>
    <n v="39.6"/>
    <s v="-"/>
    <s v="-"/>
    <s v="-"/>
    <s v="-"/>
    <s v="-"/>
    <s v="-"/>
    <n v="1"/>
    <n v="2"/>
    <n v="1"/>
    <n v="1"/>
    <s v="-"/>
    <n v="2"/>
    <s v="-"/>
    <s v="-"/>
    <n v="0"/>
    <s v="-"/>
    <n v="7"/>
    <n v="9"/>
    <s v="-"/>
    <s v="-"/>
    <s v="-"/>
    <n v="0"/>
    <n v="0"/>
    <n v="7"/>
    <n v="9"/>
  </r>
  <r>
    <x v="6"/>
    <x v="146"/>
    <d v="2026-07-01T00:00:00"/>
    <s v="2ND"/>
    <d v="1899-12-30T15:00:00"/>
    <n v="1"/>
    <x v="20"/>
    <n v="1.49E-2"/>
    <s v="P"/>
    <s v="P"/>
    <s v="P"/>
    <s v="-"/>
    <s v="-"/>
    <n v="12.31"/>
    <n v="11.89"/>
    <n v="0.55000000000000004"/>
    <n v="63.6"/>
    <s v="-"/>
    <s v="-"/>
    <n v="33.1"/>
    <s v="-"/>
    <s v="-"/>
    <s v="P"/>
    <s v="P"/>
    <s v="80% 20%"/>
    <n v="2"/>
    <n v="1"/>
    <n v="2"/>
    <n v="1"/>
    <n v="0"/>
    <n v="2"/>
    <n v="2"/>
    <s v="-"/>
    <s v="-"/>
    <n v="2"/>
    <s v="-"/>
    <n v="12"/>
    <n v="13"/>
    <s v="-"/>
    <n v="1"/>
    <n v="1"/>
    <n v="2"/>
    <n v="2"/>
    <n v="14"/>
    <n v="15"/>
  </r>
  <r>
    <x v="6"/>
    <x v="146"/>
    <d v="2026-07-01T00:00:00"/>
    <s v="2ND"/>
    <d v="1899-12-30T16:00:00"/>
    <n v="1"/>
    <x v="20"/>
    <n v="1.9800000000000002E-2"/>
    <s v="P"/>
    <s v="P"/>
    <s v="P"/>
    <s v="-"/>
    <s v="-"/>
    <n v="12.5"/>
    <s v="-"/>
    <s v="-"/>
    <s v="-"/>
    <s v="-"/>
    <s v="-"/>
    <s v="-"/>
    <s v="-"/>
    <s v="-"/>
    <s v="P"/>
    <s v="P"/>
    <s v="-"/>
    <n v="2"/>
    <n v="1"/>
    <n v="2"/>
    <n v="1"/>
    <s v="-"/>
    <s v="-"/>
    <s v="-"/>
    <s v="-"/>
    <s v="-"/>
    <s v="-"/>
    <s v="-"/>
    <n v="6"/>
    <n v="6"/>
    <s v="-"/>
    <n v="1"/>
    <n v="1"/>
    <n v="2"/>
    <n v="2"/>
    <n v="8"/>
    <n v="8"/>
  </r>
  <r>
    <x v="6"/>
    <x v="146"/>
    <d v="2026-07-01T00:00:00"/>
    <s v="2ND"/>
    <d v="1899-12-30T20:00:00"/>
    <n v="1"/>
    <x v="20"/>
    <n v="1.7600000000000001E-2"/>
    <s v="P"/>
    <s v="P"/>
    <s v="P"/>
    <s v="-"/>
    <s v="-"/>
    <n v="12.76"/>
    <s v="-"/>
    <s v="-"/>
    <s v="-"/>
    <s v="-"/>
    <s v="-"/>
    <s v="-"/>
    <s v="-"/>
    <s v="-"/>
    <s v="P"/>
    <s v="P"/>
    <s v="-"/>
    <n v="2"/>
    <n v="1"/>
    <n v="2"/>
    <n v="1"/>
    <s v="-"/>
    <s v="-"/>
    <s v="-"/>
    <s v="-"/>
    <s v="-"/>
    <s v="-"/>
    <s v="-"/>
    <n v="6"/>
    <n v="6"/>
    <s v="-"/>
    <n v="1"/>
    <n v="1"/>
    <n v="2"/>
    <n v="2"/>
    <n v="8"/>
    <n v="8"/>
  </r>
  <r>
    <x v="6"/>
    <x v="146"/>
    <d v="2026-07-01T00:00:00"/>
    <s v="2ND"/>
    <d v="1899-12-30T21:00:00"/>
    <n v="1"/>
    <x v="20"/>
    <n v="3.3799999999999997E-2"/>
    <s v="P"/>
    <s v="P"/>
    <s v="P"/>
    <s v="-"/>
    <s v="-"/>
    <n v="12.91"/>
    <s v="-"/>
    <s v="-"/>
    <s v="-"/>
    <s v="-"/>
    <s v="-"/>
    <s v="-"/>
    <s v="-"/>
    <s v="-"/>
    <s v="P"/>
    <s v="P"/>
    <s v="-"/>
    <n v="0"/>
    <n v="1"/>
    <n v="2"/>
    <n v="1"/>
    <s v="-"/>
    <s v="-"/>
    <s v="-"/>
    <s v="-"/>
    <s v="-"/>
    <s v="-"/>
    <s v="-"/>
    <n v="4"/>
    <n v="6"/>
    <s v="-"/>
    <n v="1"/>
    <n v="1"/>
    <n v="2"/>
    <n v="2"/>
    <n v="6"/>
    <n v="8"/>
  </r>
  <r>
    <x v="6"/>
    <x v="146"/>
    <d v="2026-07-07T00:00:00"/>
    <s v="2ND"/>
    <d v="1899-12-30T14:00:00"/>
    <n v="3"/>
    <x v="16"/>
    <n v="1.1900000000000001E-2"/>
    <s v="P"/>
    <s v="P"/>
    <s v="P"/>
    <s v="+"/>
    <s v="+"/>
    <n v="12.89"/>
    <n v="12.82"/>
    <s v="-"/>
    <s v="-"/>
    <s v="-"/>
    <s v="-"/>
    <n v="35.9"/>
    <s v="-"/>
    <s v="-"/>
    <s v="P"/>
    <s v="P"/>
    <n v="1"/>
    <n v="2"/>
    <n v="1"/>
    <n v="2"/>
    <n v="1"/>
    <n v="1"/>
    <s v="-"/>
    <s v="-"/>
    <s v="-"/>
    <s v="-"/>
    <n v="2"/>
    <s v="-"/>
    <n v="9"/>
    <n v="9"/>
    <s v="-"/>
    <n v="1"/>
    <n v="1"/>
    <n v="2"/>
    <n v="2"/>
    <n v="11"/>
    <n v="11"/>
  </r>
  <r>
    <x v="6"/>
    <x v="146"/>
    <d v="2026-07-07T00:00:00"/>
    <s v="2ND"/>
    <d v="1899-12-30T15:00:00"/>
    <n v="3"/>
    <x v="16"/>
    <n v="1.3100000000000001E-2"/>
    <s v="P"/>
    <s v="P"/>
    <s v="P"/>
    <s v="+"/>
    <s v="+"/>
    <n v="12.63"/>
    <s v="-"/>
    <s v="-"/>
    <s v="-"/>
    <s v="-"/>
    <s v="-"/>
    <s v="-"/>
    <s v="-"/>
    <s v="-"/>
    <s v="P"/>
    <s v="P"/>
    <s v="-"/>
    <n v="2"/>
    <n v="1"/>
    <n v="2"/>
    <n v="1"/>
    <s v="-"/>
    <s v="-"/>
    <s v="-"/>
    <s v="-"/>
    <s v="-"/>
    <s v="-"/>
    <s v="-"/>
    <n v="6"/>
    <n v="6"/>
    <s v="-"/>
    <n v="1"/>
    <n v="1"/>
    <n v="2"/>
    <n v="2"/>
    <n v="8"/>
    <n v="8"/>
  </r>
  <r>
    <x v="6"/>
    <x v="146"/>
    <d v="2026-07-07T00:00:00"/>
    <s v="2ND"/>
    <d v="1899-12-30T16:00:00"/>
    <n v="3"/>
    <x v="16"/>
    <n v="1.2800000000000001E-2"/>
    <s v="P"/>
    <s v="P"/>
    <s v="P"/>
    <s v="+"/>
    <s v="+"/>
    <n v="12.03"/>
    <s v="-"/>
    <s v="-"/>
    <s v="-"/>
    <s v="-"/>
    <s v="-"/>
    <s v="-"/>
    <s v="-"/>
    <s v="-"/>
    <s v="P"/>
    <s v="P"/>
    <s v="-"/>
    <n v="2"/>
    <n v="1"/>
    <n v="2"/>
    <n v="1"/>
    <s v="-"/>
    <s v="-"/>
    <s v="-"/>
    <s v="-"/>
    <s v="-"/>
    <s v="-"/>
    <s v="-"/>
    <n v="6"/>
    <n v="6"/>
    <s v="-"/>
    <n v="1"/>
    <n v="1"/>
    <n v="2"/>
    <n v="2"/>
    <n v="8"/>
    <n v="8"/>
  </r>
  <r>
    <x v="6"/>
    <x v="146"/>
    <d v="2026-07-07T00:00:00"/>
    <s v="2ND"/>
    <d v="1899-12-30T17:00:00"/>
    <n v="3"/>
    <x v="16"/>
    <n v="1.35E-2"/>
    <s v="P"/>
    <s v="P"/>
    <s v="P"/>
    <s v="+"/>
    <s v="+"/>
    <n v="12.03"/>
    <s v="-"/>
    <s v="-"/>
    <s v="-"/>
    <s v="-"/>
    <s v="-"/>
    <s v="-"/>
    <s v="-"/>
    <s v="-"/>
    <s v="P"/>
    <s v="P"/>
    <s v="-"/>
    <n v="2"/>
    <n v="1"/>
    <n v="2"/>
    <n v="1"/>
    <s v="-"/>
    <s v="-"/>
    <s v="-"/>
    <s v="-"/>
    <s v="-"/>
    <s v="-"/>
    <s v="-"/>
    <n v="6"/>
    <n v="6"/>
    <s v="-"/>
    <n v="1"/>
    <n v="1"/>
    <n v="2"/>
    <n v="2"/>
    <n v="8"/>
    <n v="8"/>
  </r>
  <r>
    <x v="6"/>
    <x v="146"/>
    <d v="2026-07-07T00:00:00"/>
    <s v="2ND"/>
    <d v="1899-12-30T19:00:00"/>
    <n v="3"/>
    <x v="16"/>
    <n v="1.49E-2"/>
    <s v="P"/>
    <s v="P"/>
    <s v="P"/>
    <s v="+"/>
    <s v="+"/>
    <s v="-"/>
    <s v="-"/>
    <s v="-"/>
    <s v="-"/>
    <s v="-"/>
    <s v="-"/>
    <s v="-"/>
    <s v="-"/>
    <s v="-"/>
    <s v="P"/>
    <s v="P"/>
    <s v="-"/>
    <n v="2"/>
    <n v="1"/>
    <n v="2"/>
    <s v="-"/>
    <s v="-"/>
    <s v="-"/>
    <s v="-"/>
    <s v="-"/>
    <s v="-"/>
    <s v="-"/>
    <s v="-"/>
    <n v="5"/>
    <n v="5"/>
    <s v="-"/>
    <n v="1"/>
    <n v="1"/>
    <n v="2"/>
    <n v="2"/>
    <n v="7"/>
    <n v="7"/>
  </r>
  <r>
    <x v="6"/>
    <x v="146"/>
    <d v="2026-07-07T00:00:00"/>
    <s v="2ND"/>
    <d v="1899-12-30T20:00:00"/>
    <n v="3"/>
    <x v="16"/>
    <n v="1.35E-2"/>
    <s v="P"/>
    <s v="P"/>
    <s v="P"/>
    <s v="+"/>
    <s v="+"/>
    <n v="12.22"/>
    <s v="-"/>
    <s v="-"/>
    <s v="-"/>
    <s v="-"/>
    <s v="-"/>
    <s v="-"/>
    <s v="-"/>
    <s v="-"/>
    <s v="P"/>
    <s v="P"/>
    <s v="-"/>
    <n v="2"/>
    <n v="1"/>
    <n v="2"/>
    <n v="1"/>
    <s v="-"/>
    <s v="-"/>
    <s v="-"/>
    <s v="-"/>
    <s v="-"/>
    <s v="-"/>
    <s v="-"/>
    <n v="6"/>
    <n v="6"/>
    <s v="-"/>
    <n v="1"/>
    <n v="1"/>
    <n v="2"/>
    <n v="2"/>
    <n v="8"/>
    <n v="8"/>
  </r>
  <r>
    <x v="6"/>
    <x v="146"/>
    <d v="2026-06-25T00:00:00"/>
    <s v="2ND"/>
    <d v="1899-12-30T21:00:00"/>
    <n v="3"/>
    <x v="1"/>
    <n v="1.9400000000000001E-2"/>
    <s v="P"/>
    <s v="P"/>
    <s v="P"/>
    <s v="+"/>
    <s v="+"/>
    <n v="11.95"/>
    <s v="-"/>
    <s v="-"/>
    <s v="-"/>
    <s v="-"/>
    <s v="-"/>
    <s v="-"/>
    <s v="-"/>
    <s v="-"/>
    <s v="P"/>
    <s v="P"/>
    <s v="65% 5% 30%"/>
    <n v="2"/>
    <n v="1"/>
    <n v="2"/>
    <n v="0"/>
    <s v="-"/>
    <s v="-"/>
    <s v="-"/>
    <s v="-"/>
    <s v="-"/>
    <s v="-"/>
    <s v="-"/>
    <n v="5"/>
    <n v="6"/>
    <s v="-"/>
    <n v="1"/>
    <n v="1"/>
    <n v="2"/>
    <n v="2"/>
    <n v="7"/>
    <n v="8"/>
  </r>
  <r>
    <x v="6"/>
    <x v="146"/>
    <d v="2026-07-01T00:00:00"/>
    <s v="3RD"/>
    <d v="1899-12-30T22:00:00"/>
    <n v="1"/>
    <x v="20"/>
    <n v="5.1400000000000001E-2"/>
    <s v="P"/>
    <s v="P"/>
    <s v="P"/>
    <s v="-"/>
    <s v="-"/>
    <n v="12.87"/>
    <n v="11.87"/>
    <s v="-"/>
    <s v="-"/>
    <s v="-"/>
    <s v="-"/>
    <n v="33"/>
    <s v="-"/>
    <s v="-"/>
    <s v="P"/>
    <s v="P"/>
    <s v="80% 20%"/>
    <n v="0"/>
    <n v="1"/>
    <n v="2"/>
    <n v="1"/>
    <n v="0"/>
    <s v="-"/>
    <s v="-"/>
    <s v="-"/>
    <s v="-"/>
    <n v="2"/>
    <s v="-"/>
    <n v="6"/>
    <n v="9"/>
    <s v="-"/>
    <n v="1"/>
    <n v="1"/>
    <n v="2"/>
    <n v="2"/>
    <n v="8"/>
    <n v="11"/>
  </r>
  <r>
    <x v="6"/>
    <x v="146"/>
    <d v="2026-07-01T00:00:00"/>
    <s v="3RD"/>
    <d v="1899-12-31T00:00:00"/>
    <n v="1"/>
    <x v="20"/>
    <n v="5.5399999999999998E-2"/>
    <s v="P"/>
    <s v="P"/>
    <s v="P"/>
    <s v="-"/>
    <s v="-"/>
    <n v="12.89"/>
    <s v="-"/>
    <s v="-"/>
    <s v="-"/>
    <s v="-"/>
    <s v="-"/>
    <s v="-"/>
    <s v="-"/>
    <s v="-"/>
    <s v="P"/>
    <s v="P"/>
    <s v="-"/>
    <n v="0"/>
    <n v="1"/>
    <n v="2"/>
    <n v="1"/>
    <s v="-"/>
    <s v="-"/>
    <s v="-"/>
    <s v="-"/>
    <s v="-"/>
    <s v="-"/>
    <s v="-"/>
    <n v="4"/>
    <n v="6"/>
    <s v="-"/>
    <n v="1"/>
    <n v="1"/>
    <n v="2"/>
    <n v="2"/>
    <n v="6"/>
    <n v="8"/>
  </r>
  <r>
    <x v="6"/>
    <x v="146"/>
    <d v="2026-07-01T00:00:00"/>
    <s v="3RD"/>
    <d v="1899-12-31T02:00:00"/>
    <n v="1"/>
    <x v="20"/>
    <n v="0.1135"/>
    <s v="P"/>
    <s v="P"/>
    <s v="P"/>
    <s v="-"/>
    <s v="-"/>
    <n v="12.5"/>
    <s v="-"/>
    <s v="-"/>
    <s v="-"/>
    <s v="-"/>
    <s v="-"/>
    <s v="-"/>
    <s v="-"/>
    <s v="-"/>
    <s v="P"/>
    <s v="P"/>
    <s v="-"/>
    <n v="0"/>
    <n v="1"/>
    <n v="2"/>
    <n v="1"/>
    <s v="-"/>
    <s v="-"/>
    <s v="-"/>
    <s v="-"/>
    <s v="-"/>
    <s v="-"/>
    <s v="-"/>
    <n v="4"/>
    <n v="6"/>
    <s v="-"/>
    <n v="1"/>
    <n v="1"/>
    <n v="2"/>
    <n v="2"/>
    <n v="6"/>
    <n v="8"/>
  </r>
  <r>
    <x v="6"/>
    <x v="146"/>
    <d v="2026-07-01T00:00:00"/>
    <s v="3RD"/>
    <d v="1899-12-31T04:00:00"/>
    <n v="1"/>
    <x v="20"/>
    <n v="4.5699999999999998E-2"/>
    <s v="P"/>
    <s v="P"/>
    <s v="P"/>
    <s v="-"/>
    <s v="-"/>
    <n v="13.09"/>
    <s v="-"/>
    <s v="-"/>
    <s v="-"/>
    <s v="-"/>
    <s v="-"/>
    <s v="-"/>
    <s v="-"/>
    <s v="-"/>
    <s v="P"/>
    <s v="P"/>
    <s v="-"/>
    <n v="0"/>
    <n v="1"/>
    <n v="2"/>
    <n v="1"/>
    <s v="-"/>
    <s v="-"/>
    <s v="-"/>
    <s v="-"/>
    <s v="-"/>
    <s v="-"/>
    <s v="-"/>
    <n v="4"/>
    <n v="6"/>
    <s v="-"/>
    <n v="1"/>
    <n v="1"/>
    <n v="2"/>
    <n v="2"/>
    <n v="6"/>
    <n v="8"/>
  </r>
  <r>
    <x v="6"/>
    <x v="146"/>
    <d v="2026-06-25T00:00:00"/>
    <s v="3RD"/>
    <d v="1899-12-30T22:00:00"/>
    <n v="3"/>
    <x v="1"/>
    <n v="1.67E-2"/>
    <s v="P"/>
    <s v="P"/>
    <s v="P"/>
    <s v="+"/>
    <s v="+"/>
    <n v="12.6"/>
    <n v="12.14"/>
    <n v="0.59"/>
    <n v="62.7"/>
    <s v="-"/>
    <s v="-"/>
    <n v="33.799999999999997"/>
    <s v="-"/>
    <s v="-"/>
    <s v="P"/>
    <s v="P"/>
    <s v="65% 5% 30%"/>
    <n v="2"/>
    <n v="1"/>
    <n v="2"/>
    <n v="1"/>
    <n v="1"/>
    <n v="2"/>
    <n v="0"/>
    <s v="-"/>
    <s v="-"/>
    <n v="2"/>
    <s v="-"/>
    <n v="11"/>
    <n v="13"/>
    <s v="-"/>
    <n v="1"/>
    <n v="1"/>
    <n v="2"/>
    <n v="2"/>
    <n v="13"/>
    <n v="15"/>
  </r>
  <r>
    <x v="6"/>
    <x v="146"/>
    <d v="2026-06-25T00:00:00"/>
    <s v="3RD"/>
    <d v="1899-12-30T23:00:00"/>
    <n v="3"/>
    <x v="1"/>
    <n v="1.7600000000000001E-2"/>
    <s v="P"/>
    <s v="P"/>
    <s v="P"/>
    <s v="+"/>
    <s v="+"/>
    <n v="12.68"/>
    <s v="-"/>
    <s v="-"/>
    <s v="-"/>
    <s v="-"/>
    <s v="-"/>
    <s v="-"/>
    <s v="-"/>
    <s v="-"/>
    <s v="P"/>
    <s v="P"/>
    <s v="-"/>
    <n v="2"/>
    <n v="1"/>
    <n v="2"/>
    <n v="1"/>
    <s v="-"/>
    <s v="-"/>
    <s v="-"/>
    <s v="-"/>
    <s v="-"/>
    <s v="-"/>
    <s v="-"/>
    <n v="6"/>
    <n v="6"/>
    <s v="-"/>
    <n v="1"/>
    <n v="1"/>
    <n v="2"/>
    <n v="2"/>
    <n v="8"/>
    <n v="8"/>
  </r>
  <r>
    <x v="6"/>
    <x v="146"/>
    <d v="2026-07-02T00:00:00"/>
    <s v="3RD"/>
    <d v="1899-12-31T04:00:00"/>
    <n v="3"/>
    <x v="1"/>
    <n v="1.9099999999999999E-2"/>
    <s v="P"/>
    <s v="P"/>
    <s v="P"/>
    <s v="+"/>
    <s v="+"/>
    <n v="11.74"/>
    <s v="-"/>
    <s v="-"/>
    <s v="-"/>
    <s v="-"/>
    <s v="-"/>
    <s v="-"/>
    <s v="-"/>
    <s v="-"/>
    <s v="P"/>
    <s v="P"/>
    <s v="65% 5% 30%"/>
    <n v="2"/>
    <n v="1"/>
    <n v="2"/>
    <n v="0"/>
    <s v="-"/>
    <s v="-"/>
    <s v="-"/>
    <s v="-"/>
    <s v="-"/>
    <s v="-"/>
    <s v="-"/>
    <n v="5"/>
    <n v="6"/>
    <s v="-"/>
    <n v="1"/>
    <n v="1"/>
    <n v="2"/>
    <n v="2"/>
    <n v="7"/>
    <n v="8"/>
  </r>
  <r>
    <x v="6"/>
    <x v="147"/>
    <d v="2026-07-01T00:00:00"/>
    <s v="1ST"/>
    <s v="06:00"/>
    <n v="1"/>
    <x v="20"/>
    <n v="3.32E-2"/>
    <s v="P"/>
    <s v="P"/>
    <s v="P"/>
    <s v="-"/>
    <s v="-"/>
    <n v="13.04"/>
    <n v="12.39"/>
    <n v="0.56999999999999995"/>
    <n v="61.6"/>
    <s v="-"/>
    <s v="-"/>
    <n v="34.6"/>
    <s v="-"/>
    <s v="-"/>
    <s v="P"/>
    <s v="P"/>
    <s v="80% 20%"/>
    <n v="0"/>
    <n v="1"/>
    <n v="2"/>
    <n v="1"/>
    <n v="1"/>
    <n v="2"/>
    <n v="2"/>
    <s v="-"/>
    <s v="-"/>
    <n v="2"/>
    <s v="-"/>
    <n v="11"/>
    <n v="13"/>
    <s v="-"/>
    <n v="1"/>
    <n v="1"/>
    <n v="2"/>
    <n v="2"/>
    <n v="13"/>
    <n v="15"/>
  </r>
  <r>
    <x v="6"/>
    <x v="147"/>
    <d v="2026-07-01T00:00:00"/>
    <s v="1ST"/>
    <s v="07:00"/>
    <n v="1"/>
    <x v="20"/>
    <n v="1.9300000000000001E-2"/>
    <s v="P"/>
    <s v="P"/>
    <s v="P"/>
    <s v="-"/>
    <s v="-"/>
    <n v="12.62"/>
    <s v="-"/>
    <s v="-"/>
    <s v="-"/>
    <s v="-"/>
    <s v="-"/>
    <s v="-"/>
    <s v="-"/>
    <s v="-"/>
    <s v="P"/>
    <s v="P"/>
    <s v="-"/>
    <n v="2"/>
    <n v="1"/>
    <n v="2"/>
    <n v="1"/>
    <s v="-"/>
    <s v="-"/>
    <s v="-"/>
    <s v="-"/>
    <s v="-"/>
    <s v="-"/>
    <s v="-"/>
    <n v="6"/>
    <n v="6"/>
    <s v="-"/>
    <n v="1"/>
    <n v="1"/>
    <n v="2"/>
    <n v="2"/>
    <n v="8"/>
    <n v="8"/>
  </r>
  <r>
    <x v="6"/>
    <x v="147"/>
    <d v="2026-07-01T00:00:00"/>
    <s v="1ST"/>
    <s v="08:00"/>
    <n v="1"/>
    <x v="20"/>
    <n v="6.13E-2"/>
    <s v="P"/>
    <s v="P"/>
    <s v="P"/>
    <s v="-"/>
    <s v="-"/>
    <n v="12.73"/>
    <s v="-"/>
    <s v="-"/>
    <s v="-"/>
    <s v="-"/>
    <s v="-"/>
    <s v="-"/>
    <s v="-"/>
    <s v="-"/>
    <s v="P"/>
    <s v="P"/>
    <s v="-"/>
    <n v="0"/>
    <n v="1"/>
    <n v="2"/>
    <n v="1"/>
    <s v="-"/>
    <s v="-"/>
    <s v="-"/>
    <s v="-"/>
    <s v="-"/>
    <s v="-"/>
    <s v="-"/>
    <n v="4"/>
    <n v="6"/>
    <s v="-"/>
    <n v="1"/>
    <n v="1"/>
    <n v="2"/>
    <n v="2"/>
    <n v="6"/>
    <n v="8"/>
  </r>
  <r>
    <x v="6"/>
    <x v="147"/>
    <d v="2026-07-01T00:00:00"/>
    <s v="1ST"/>
    <s v="09:00"/>
    <n v="1"/>
    <x v="20"/>
    <n v="2.9000000000000001E-2"/>
    <s v="P"/>
    <s v="P"/>
    <s v="P"/>
    <s v="-"/>
    <s v="-"/>
    <n v="13.02"/>
    <s v="-"/>
    <s v="-"/>
    <s v="-"/>
    <s v="-"/>
    <s v="-"/>
    <s v="-"/>
    <s v="-"/>
    <s v="-"/>
    <s v="P"/>
    <s v="P"/>
    <s v="-"/>
    <n v="0"/>
    <n v="1"/>
    <n v="2"/>
    <n v="1"/>
    <s v="-"/>
    <s v="-"/>
    <s v="-"/>
    <s v="-"/>
    <s v="-"/>
    <s v="-"/>
    <s v="-"/>
    <n v="4"/>
    <n v="6"/>
    <s v="-"/>
    <n v="1"/>
    <n v="1"/>
    <n v="2"/>
    <n v="2"/>
    <n v="6"/>
    <n v="8"/>
  </r>
  <r>
    <x v="6"/>
    <x v="147"/>
    <d v="2026-07-01T00:00:00"/>
    <s v="1ST"/>
    <s v="10:00"/>
    <n v="1"/>
    <x v="20"/>
    <n v="2.2800000000000001E-2"/>
    <s v="P"/>
    <s v="P"/>
    <s v="P"/>
    <s v="-"/>
    <s v="-"/>
    <n v="12.56"/>
    <s v="-"/>
    <s v="-"/>
    <s v="-"/>
    <s v="-"/>
    <s v="-"/>
    <s v="-"/>
    <s v="-"/>
    <s v="-"/>
    <s v="P"/>
    <s v="P"/>
    <s v="-"/>
    <n v="0"/>
    <n v="1"/>
    <n v="2"/>
    <n v="1"/>
    <s v="-"/>
    <s v="-"/>
    <s v="-"/>
    <s v="-"/>
    <s v="-"/>
    <s v="-"/>
    <s v="-"/>
    <n v="4"/>
    <n v="6"/>
    <s v="-"/>
    <n v="1"/>
    <n v="1"/>
    <n v="2"/>
    <n v="2"/>
    <n v="6"/>
    <n v="8"/>
  </r>
  <r>
    <x v="6"/>
    <x v="147"/>
    <d v="2026-07-02T00:00:00"/>
    <s v="1ST"/>
    <s v="11:00"/>
    <n v="1"/>
    <x v="20"/>
    <n v="3.3500000000000002E-2"/>
    <s v="P"/>
    <s v="P"/>
    <s v="P"/>
    <s v="-"/>
    <s v="-"/>
    <n v="13.05"/>
    <n v="12.9"/>
    <s v="-"/>
    <n v="63.7"/>
    <s v="-"/>
    <s v="-"/>
    <n v="36.1"/>
    <s v="-"/>
    <s v="-"/>
    <s v="P"/>
    <s v="P"/>
    <s v="-"/>
    <n v="0"/>
    <n v="1"/>
    <n v="2"/>
    <n v="1"/>
    <n v="1"/>
    <s v="-"/>
    <n v="2"/>
    <s v="-"/>
    <s v="-"/>
    <n v="2"/>
    <s v="-"/>
    <n v="9"/>
    <n v="11"/>
    <s v="-"/>
    <n v="1"/>
    <n v="1"/>
    <n v="2"/>
    <n v="2"/>
    <n v="11"/>
    <n v="13"/>
  </r>
  <r>
    <x v="6"/>
    <x v="147"/>
    <d v="2026-07-02T00:00:00"/>
    <s v="1ST"/>
    <s v="12:00"/>
    <n v="1"/>
    <x v="20"/>
    <n v="2.2800000000000001E-2"/>
    <s v="P"/>
    <s v="P"/>
    <s v="P"/>
    <s v="-"/>
    <s v="-"/>
    <n v="12.54"/>
    <s v="-"/>
    <s v="-"/>
    <s v="-"/>
    <s v="-"/>
    <s v="-"/>
    <s v="-"/>
    <s v="-"/>
    <s v="-"/>
    <s v="P"/>
    <s v="P"/>
    <s v="-"/>
    <n v="0"/>
    <n v="1"/>
    <n v="2"/>
    <n v="1"/>
    <s v="-"/>
    <s v="-"/>
    <s v="-"/>
    <s v="-"/>
    <s v="-"/>
    <s v="-"/>
    <s v="-"/>
    <n v="4"/>
    <n v="6"/>
    <s v="-"/>
    <n v="1"/>
    <n v="1"/>
    <n v="2"/>
    <n v="2"/>
    <n v="6"/>
    <n v="8"/>
  </r>
  <r>
    <x v="6"/>
    <x v="147"/>
    <d v="2026-07-02T00:00:00"/>
    <s v="1ST"/>
    <s v="06:00"/>
    <n v="3"/>
    <x v="1"/>
    <n v="7.1999999999999998E-3"/>
    <s v="P"/>
    <s v="P"/>
    <s v="P"/>
    <s v="+"/>
    <s v="+"/>
    <n v="12.68"/>
    <n v="12.24"/>
    <n v="0.62"/>
    <n v="64.2"/>
    <s v="-"/>
    <s v="-"/>
    <n v="34.299999999999997"/>
    <s v="-"/>
    <s v="-"/>
    <s v="P"/>
    <s v="P"/>
    <s v="65% 5% 30%"/>
    <n v="2"/>
    <n v="1"/>
    <n v="2"/>
    <n v="1"/>
    <n v="1"/>
    <n v="2"/>
    <n v="2"/>
    <s v="-"/>
    <s v="-"/>
    <n v="2"/>
    <s v="-"/>
    <n v="13"/>
    <n v="13"/>
    <s v="-"/>
    <n v="1"/>
    <n v="1"/>
    <n v="2"/>
    <n v="2"/>
    <n v="15"/>
    <n v="15"/>
  </r>
  <r>
    <x v="6"/>
    <x v="147"/>
    <d v="2026-07-02T00:00:00"/>
    <s v="1ST"/>
    <s v="08:00"/>
    <n v="3"/>
    <x v="1"/>
    <n v="1.37E-2"/>
    <s v="P"/>
    <s v="P"/>
    <s v="P"/>
    <s v="+"/>
    <s v="+"/>
    <n v="11.92"/>
    <s v="-"/>
    <s v="-"/>
    <s v="-"/>
    <s v="-"/>
    <s v="-"/>
    <s v="-"/>
    <s v="-"/>
    <s v="-"/>
    <s v="P"/>
    <s v="P"/>
    <s v="-"/>
    <n v="2"/>
    <n v="1"/>
    <n v="2"/>
    <n v="0"/>
    <s v="-"/>
    <s v="-"/>
    <s v="-"/>
    <s v="-"/>
    <s v="-"/>
    <s v="-"/>
    <s v="-"/>
    <n v="5"/>
    <n v="6"/>
    <s v="-"/>
    <n v="1"/>
    <n v="1"/>
    <n v="2"/>
    <n v="2"/>
    <n v="7"/>
    <n v="8"/>
  </r>
  <r>
    <x v="6"/>
    <x v="147"/>
    <d v="2026-07-02T00:00:00"/>
    <s v="1ST"/>
    <s v="09:00"/>
    <n v="3"/>
    <x v="1"/>
    <n v="1.0999999999999999E-2"/>
    <s v="P"/>
    <s v="P"/>
    <s v="P"/>
    <s v="+"/>
    <s v="+"/>
    <n v="12.03"/>
    <s v="-"/>
    <s v="-"/>
    <s v="-"/>
    <s v="-"/>
    <s v="-"/>
    <s v="-"/>
    <s v="-"/>
    <s v="-"/>
    <s v="P"/>
    <s v="P"/>
    <s v="-"/>
    <n v="2"/>
    <n v="1"/>
    <n v="2"/>
    <n v="1"/>
    <s v="-"/>
    <s v="-"/>
    <s v="-"/>
    <s v="-"/>
    <s v="-"/>
    <s v="-"/>
    <s v="-"/>
    <n v="6"/>
    <n v="6"/>
    <s v="-"/>
    <n v="1"/>
    <n v="1"/>
    <n v="2"/>
    <n v="2"/>
    <n v="8"/>
    <n v="8"/>
  </r>
  <r>
    <x v="6"/>
    <x v="147"/>
    <d v="2026-07-08T00:00:00"/>
    <s v="1ST"/>
    <s v="10:00"/>
    <n v="3"/>
    <x v="8"/>
    <n v="1.0699999999999999E-2"/>
    <s v="P"/>
    <s v="P"/>
    <s v="P"/>
    <s v="+"/>
    <s v="+"/>
    <n v="12.03"/>
    <n v="12.76"/>
    <s v="-"/>
    <n v="63.6"/>
    <s v="-"/>
    <s v="-"/>
    <n v="35.4"/>
    <s v="-"/>
    <s v="-"/>
    <s v="P"/>
    <s v="P"/>
    <s v="65% 5% 30%"/>
    <n v="2"/>
    <n v="1"/>
    <n v="2"/>
    <n v="1"/>
    <n v="1"/>
    <s v="-"/>
    <n v="0"/>
    <s v="-"/>
    <s v="-"/>
    <s v="-"/>
    <s v="-"/>
    <n v="7"/>
    <n v="9"/>
    <s v="-"/>
    <n v="1"/>
    <n v="1"/>
    <n v="2"/>
    <n v="2"/>
    <n v="9"/>
    <n v="11"/>
  </r>
  <r>
    <x v="6"/>
    <x v="147"/>
    <d v="2026-07-02T00:00:00"/>
    <s v="1ST"/>
    <s v="12:00"/>
    <n v="3"/>
    <x v="6"/>
    <n v="1.0999999999999999E-2"/>
    <s v="P"/>
    <s v="P"/>
    <s v="P"/>
    <s v="+"/>
    <s v="+"/>
    <n v="12.01"/>
    <s v="-"/>
    <s v="-"/>
    <s v="-"/>
    <s v="-"/>
    <s v="-"/>
    <s v="-"/>
    <s v="-"/>
    <s v="-"/>
    <s v="P"/>
    <s v="P"/>
    <s v="60% 10% 30%"/>
    <n v="2"/>
    <n v="1"/>
    <n v="2"/>
    <n v="1"/>
    <s v="-"/>
    <s v="-"/>
    <s v="-"/>
    <s v="-"/>
    <s v="-"/>
    <s v="-"/>
    <s v="-"/>
    <n v="6"/>
    <n v="6"/>
    <s v="-"/>
    <n v="1"/>
    <n v="1"/>
    <n v="2"/>
    <n v="2"/>
    <n v="8"/>
    <n v="8"/>
  </r>
  <r>
    <x v="6"/>
    <x v="147"/>
    <d v="2026-06-25T00:00:00"/>
    <s v="1ST"/>
    <s v="09:00"/>
    <s v="Retail"/>
    <x v="19"/>
    <s v="-"/>
    <s v="P"/>
    <s v="P"/>
    <s v="P"/>
    <s v="-"/>
    <s v="-"/>
    <n v="12.77"/>
    <n v="14.95"/>
    <s v="-"/>
    <n v="70.400000000000006"/>
    <s v="-"/>
    <s v="-"/>
    <n v="42.5"/>
    <s v="-"/>
    <s v="-"/>
    <s v="-"/>
    <s v="-"/>
    <s v="-"/>
    <s v="-"/>
    <n v="1"/>
    <n v="2"/>
    <n v="1"/>
    <n v="1"/>
    <s v="-"/>
    <n v="2"/>
    <s v="-"/>
    <s v="-"/>
    <n v="2"/>
    <s v="-"/>
    <n v="9"/>
    <n v="9"/>
    <s v="-"/>
    <s v="-"/>
    <s v="-"/>
    <n v="0"/>
    <n v="0"/>
    <n v="9"/>
    <n v="9"/>
  </r>
  <r>
    <x v="6"/>
    <x v="147"/>
    <d v="2026-07-02T00:00:00"/>
    <s v="2ND"/>
    <d v="1899-12-30T14:00:00"/>
    <n v="1"/>
    <x v="20"/>
    <n v="3.56E-2"/>
    <s v="P"/>
    <s v="P"/>
    <s v="P"/>
    <s v="-"/>
    <s v="-"/>
    <n v="12.7"/>
    <n v="12.1"/>
    <s v="-"/>
    <s v="-"/>
    <s v="-"/>
    <s v="-"/>
    <n v="33.6"/>
    <s v="-"/>
    <s v="-"/>
    <s v="P"/>
    <s v="P"/>
    <s v="80% 20%"/>
    <n v="0"/>
    <n v="1"/>
    <n v="2"/>
    <n v="1"/>
    <n v="1"/>
    <s v="-"/>
    <s v="-"/>
    <s v="-"/>
    <s v="-"/>
    <n v="2"/>
    <s v="-"/>
    <n v="7"/>
    <n v="9"/>
    <s v="-"/>
    <n v="1"/>
    <n v="1"/>
    <n v="2"/>
    <n v="2"/>
    <n v="9"/>
    <n v="11"/>
  </r>
  <r>
    <x v="6"/>
    <x v="147"/>
    <d v="2026-07-07T00:00:00"/>
    <s v="2ND"/>
    <d v="1899-12-30T16:00:00"/>
    <n v="1"/>
    <x v="20"/>
    <n v="2.9000000000000001E-2"/>
    <s v="P"/>
    <s v="P"/>
    <s v="P"/>
    <s v="-"/>
    <s v="-"/>
    <n v="11.89"/>
    <s v="-"/>
    <s v="-"/>
    <s v="-"/>
    <s v="-"/>
    <s v="-"/>
    <s v="-"/>
    <s v="-"/>
    <s v="-"/>
    <s v="P"/>
    <s v="P"/>
    <s v="-"/>
    <n v="0"/>
    <n v="1"/>
    <n v="2"/>
    <n v="1"/>
    <s v="-"/>
    <s v="-"/>
    <s v="-"/>
    <s v="-"/>
    <s v="-"/>
    <s v="-"/>
    <s v="-"/>
    <n v="4"/>
    <n v="6"/>
    <s v="-"/>
    <n v="1"/>
    <n v="1"/>
    <n v="2"/>
    <n v="2"/>
    <n v="6"/>
    <n v="8"/>
  </r>
  <r>
    <x v="6"/>
    <x v="147"/>
    <d v="2026-07-07T00:00:00"/>
    <s v="2ND"/>
    <d v="1899-12-30T19:00:00"/>
    <n v="1"/>
    <x v="20"/>
    <n v="6.5699999999999995E-2"/>
    <s v="P"/>
    <s v="P"/>
    <s v="P"/>
    <s v="-"/>
    <s v="-"/>
    <n v="13.11"/>
    <n v="12.44"/>
    <n v="0.48"/>
    <n v="63.8"/>
    <s v="-"/>
    <s v="-"/>
    <n v="34.5"/>
    <s v="-"/>
    <s v="-"/>
    <s v="P"/>
    <s v="P"/>
    <s v="-"/>
    <n v="0"/>
    <n v="1"/>
    <n v="2"/>
    <n v="1"/>
    <n v="1"/>
    <n v="0"/>
    <n v="2"/>
    <s v="-"/>
    <s v="-"/>
    <n v="2"/>
    <s v="-"/>
    <n v="9"/>
    <n v="13"/>
    <s v="-"/>
    <n v="1"/>
    <n v="1"/>
    <n v="2"/>
    <n v="2"/>
    <n v="11"/>
    <n v="15"/>
  </r>
  <r>
    <x v="6"/>
    <x v="147"/>
    <d v="2026-07-07T00:00:00"/>
    <s v="2ND"/>
    <d v="1899-12-30T20:00:00"/>
    <n v="1"/>
    <x v="20"/>
    <n v="4.87E-2"/>
    <s v="P"/>
    <s v="P"/>
    <s v="P"/>
    <s v="-"/>
    <s v="-"/>
    <n v="13.41"/>
    <s v="-"/>
    <s v="-"/>
    <s v="-"/>
    <s v="-"/>
    <s v="-"/>
    <s v="-"/>
    <s v="-"/>
    <s v="-"/>
    <s v="P"/>
    <s v="P"/>
    <s v="-"/>
    <n v="0"/>
    <n v="1"/>
    <n v="2"/>
    <n v="1"/>
    <s v="-"/>
    <s v="-"/>
    <s v="-"/>
    <s v="-"/>
    <s v="-"/>
    <s v="-"/>
    <s v="-"/>
    <n v="4"/>
    <n v="6"/>
    <s v="-"/>
    <n v="1"/>
    <n v="1"/>
    <n v="2"/>
    <n v="2"/>
    <n v="6"/>
    <n v="8"/>
  </r>
  <r>
    <x v="6"/>
    <x v="147"/>
    <d v="2026-07-07T00:00:00"/>
    <s v="2ND"/>
    <d v="1899-12-30T21:00:00"/>
    <n v="1"/>
    <x v="20"/>
    <n v="2.8500000000000001E-2"/>
    <s v="P"/>
    <s v="P"/>
    <s v="P"/>
    <s v="-"/>
    <s v="-"/>
    <n v="13.22"/>
    <s v="-"/>
    <s v="-"/>
    <s v="-"/>
    <s v="-"/>
    <s v="-"/>
    <s v="-"/>
    <s v="-"/>
    <s v="-"/>
    <s v="P"/>
    <s v="P"/>
    <s v="-"/>
    <n v="0"/>
    <n v="1"/>
    <n v="2"/>
    <n v="1"/>
    <s v="-"/>
    <s v="-"/>
    <s v="-"/>
    <s v="-"/>
    <s v="-"/>
    <s v="-"/>
    <s v="-"/>
    <n v="4"/>
    <n v="6"/>
    <s v="-"/>
    <n v="1"/>
    <n v="1"/>
    <n v="2"/>
    <n v="2"/>
    <n v="6"/>
    <n v="8"/>
  </r>
  <r>
    <x v="6"/>
    <x v="147"/>
    <d v="2026-07-02T00:00:00"/>
    <s v="2ND"/>
    <d v="1899-12-30T14:00:00"/>
    <n v="3"/>
    <x v="6"/>
    <n v="1.4999999999999999E-2"/>
    <s v="P"/>
    <s v="P"/>
    <s v="P"/>
    <s v="+"/>
    <s v="+"/>
    <n v="11.75"/>
    <n v="12.05"/>
    <n v="0.61"/>
    <n v="63.1"/>
    <s v="-"/>
    <s v="-"/>
    <n v="33.700000000000003"/>
    <s v="-"/>
    <s v="-"/>
    <s v="P"/>
    <s v="P"/>
    <s v="60% 30% 10%"/>
    <n v="2"/>
    <n v="1"/>
    <n v="2"/>
    <n v="0"/>
    <n v="1"/>
    <n v="0"/>
    <n v="0"/>
    <s v="-"/>
    <s v="-"/>
    <n v="2"/>
    <s v="-"/>
    <n v="8"/>
    <n v="13"/>
    <s v="-"/>
    <n v="1"/>
    <n v="1"/>
    <n v="2"/>
    <n v="2"/>
    <n v="10"/>
    <n v="15"/>
  </r>
  <r>
    <x v="6"/>
    <x v="147"/>
    <d v="2026-07-02T00:00:00"/>
    <s v="2ND"/>
    <d v="1899-12-30T16:00:00"/>
    <n v="3"/>
    <x v="6"/>
    <n v="1.21E-2"/>
    <s v="P"/>
    <s v="P"/>
    <s v="P"/>
    <s v="+"/>
    <s v="+"/>
    <n v="12.91"/>
    <s v="-"/>
    <s v="-"/>
    <s v="-"/>
    <s v="-"/>
    <s v="-"/>
    <s v="-"/>
    <s v="-"/>
    <s v="-"/>
    <s v="P"/>
    <s v="P"/>
    <s v="-"/>
    <n v="2"/>
    <n v="1"/>
    <n v="2"/>
    <n v="1"/>
    <s v="-"/>
    <s v="-"/>
    <s v="-"/>
    <s v="-"/>
    <s v="-"/>
    <s v="-"/>
    <s v="-"/>
    <n v="6"/>
    <n v="6"/>
    <s v="-"/>
    <n v="1"/>
    <n v="1"/>
    <n v="2"/>
    <n v="2"/>
    <n v="8"/>
    <n v="8"/>
  </r>
  <r>
    <x v="6"/>
    <x v="147"/>
    <d v="2026-07-07T00:00:00"/>
    <s v="3RD"/>
    <d v="1899-12-30T22:00:00"/>
    <n v="1"/>
    <x v="20"/>
    <n v="0.16009999999999999"/>
    <s v="P"/>
    <s v="P"/>
    <s v="P"/>
    <s v="-"/>
    <s v="-"/>
    <n v="12.59"/>
    <n v="12.35"/>
    <s v="-"/>
    <s v="-"/>
    <s v="-"/>
    <s v="-"/>
    <n v="34.5"/>
    <s v="-"/>
    <s v="-"/>
    <s v="P"/>
    <s v="P"/>
    <s v="80% 20%"/>
    <n v="0"/>
    <n v="1"/>
    <n v="2"/>
    <n v="1"/>
    <n v="1"/>
    <s v="-"/>
    <s v="-"/>
    <s v="-"/>
    <s v="-"/>
    <n v="2"/>
    <s v="-"/>
    <n v="7"/>
    <n v="9"/>
    <s v="-"/>
    <n v="1"/>
    <n v="1"/>
    <n v="2"/>
    <n v="2"/>
    <n v="9"/>
    <n v="11"/>
  </r>
  <r>
    <x v="6"/>
    <x v="147"/>
    <d v="2026-07-07T00:00:00"/>
    <s v="3RD"/>
    <d v="1899-12-30T23:00:00"/>
    <n v="1"/>
    <x v="20"/>
    <n v="4.7500000000000001E-2"/>
    <s v="P"/>
    <s v="P"/>
    <s v="P"/>
    <s v="-"/>
    <s v="-"/>
    <n v="13.04"/>
    <s v="-"/>
    <s v="-"/>
    <s v="-"/>
    <s v="-"/>
    <s v="-"/>
    <s v="-"/>
    <s v="-"/>
    <s v="-"/>
    <s v="P"/>
    <s v="P"/>
    <s v="-"/>
    <n v="0"/>
    <n v="1"/>
    <n v="2"/>
    <n v="1"/>
    <s v="-"/>
    <s v="-"/>
    <s v="-"/>
    <s v="-"/>
    <s v="-"/>
    <s v="-"/>
    <s v="-"/>
    <n v="4"/>
    <n v="6"/>
    <s v="-"/>
    <n v="1"/>
    <n v="1"/>
    <n v="2"/>
    <n v="2"/>
    <n v="6"/>
    <n v="8"/>
  </r>
  <r>
    <x v="6"/>
    <x v="147"/>
    <d v="2026-07-08T00:00:00"/>
    <s v="3RD"/>
    <d v="1899-12-31T00:00:00"/>
    <n v="1"/>
    <x v="22"/>
    <n v="1.3599999999999999E-2"/>
    <s v="P"/>
    <s v="P"/>
    <s v="P"/>
    <s v="-"/>
    <s v="-"/>
    <n v="11.26"/>
    <n v="8.7799999999999994"/>
    <n v="0.54"/>
    <n v="56.7"/>
    <n v="13.8"/>
    <n v="293"/>
    <n v="23.9"/>
    <s v="-"/>
    <s v="-"/>
    <s v="P"/>
    <s v="P"/>
    <n v="1"/>
    <n v="2"/>
    <n v="1"/>
    <n v="2"/>
    <n v="1"/>
    <n v="1"/>
    <n v="2"/>
    <n v="2"/>
    <s v="-"/>
    <s v="-"/>
    <n v="2"/>
    <s v="-"/>
    <n v="13"/>
    <n v="13"/>
    <s v="-"/>
    <n v="1"/>
    <n v="1"/>
    <n v="2"/>
    <n v="2"/>
    <n v="15"/>
    <n v="15"/>
  </r>
  <r>
    <x v="6"/>
    <x v="147"/>
    <d v="2026-07-08T00:00:00"/>
    <s v="3RD"/>
    <d v="1899-12-31T01:00:00"/>
    <n v="1"/>
    <x v="22"/>
    <n v="8.3999999999999995E-3"/>
    <s v="P"/>
    <s v="P"/>
    <s v="P"/>
    <s v="-"/>
    <s v="-"/>
    <n v="11.27"/>
    <s v="-"/>
    <s v="-"/>
    <s v="-"/>
    <s v="-"/>
    <s v="-"/>
    <s v="-"/>
    <s v="-"/>
    <s v="-"/>
    <s v="P"/>
    <s v="P"/>
    <s v="-"/>
    <n v="2"/>
    <n v="1"/>
    <n v="2"/>
    <n v="1"/>
    <s v="-"/>
    <s v="-"/>
    <s v="-"/>
    <s v="-"/>
    <s v="-"/>
    <s v="-"/>
    <s v="-"/>
    <n v="6"/>
    <n v="6"/>
    <s v="-"/>
    <n v="1"/>
    <n v="1"/>
    <n v="2"/>
    <n v="2"/>
    <n v="8"/>
    <n v="8"/>
  </r>
  <r>
    <x v="6"/>
    <x v="147"/>
    <d v="2026-07-08T00:00:00"/>
    <s v="3RD"/>
    <d v="1899-12-31T02:00:00"/>
    <n v="1"/>
    <x v="22"/>
    <n v="3.8E-3"/>
    <s v="P"/>
    <s v="P"/>
    <s v="P"/>
    <s v="-"/>
    <s v="-"/>
    <n v="11.81"/>
    <s v="-"/>
    <s v="-"/>
    <s v="-"/>
    <s v="-"/>
    <s v="-"/>
    <s v="-"/>
    <s v="-"/>
    <s v="-"/>
    <s v="P"/>
    <s v="P"/>
    <s v="-"/>
    <n v="2"/>
    <n v="1"/>
    <n v="2"/>
    <n v="1"/>
    <s v="-"/>
    <s v="-"/>
    <s v="-"/>
    <s v="-"/>
    <s v="-"/>
    <s v="-"/>
    <s v="-"/>
    <n v="6"/>
    <n v="6"/>
    <s v="-"/>
    <n v="1"/>
    <n v="1"/>
    <n v="2"/>
    <n v="2"/>
    <n v="8"/>
    <n v="8"/>
  </r>
  <r>
    <x v="6"/>
    <x v="148"/>
    <d v="2026-07-08T00:00:00"/>
    <s v="1ST"/>
    <s v="06:00"/>
    <n v="1"/>
    <x v="22"/>
    <n v="1.8E-3"/>
    <s v="P"/>
    <s v="P"/>
    <s v="P"/>
    <s v="-"/>
    <s v="-"/>
    <n v="11.72"/>
    <n v="8.1"/>
    <n v="0.52"/>
    <n v="55.2"/>
    <s v="-"/>
    <s v="-"/>
    <n v="21.62"/>
    <s v="-"/>
    <s v="-"/>
    <s v="P"/>
    <s v="P"/>
    <n v="1"/>
    <n v="2"/>
    <n v="1"/>
    <n v="2"/>
    <n v="1"/>
    <n v="0"/>
    <n v="2"/>
    <n v="2"/>
    <s v="-"/>
    <s v="-"/>
    <n v="2"/>
    <s v="-"/>
    <n v="12"/>
    <n v="13"/>
    <s v="-"/>
    <n v="1"/>
    <n v="1"/>
    <n v="2"/>
    <n v="2"/>
    <n v="14"/>
    <n v="15"/>
  </r>
  <r>
    <x v="6"/>
    <x v="148"/>
    <d v="2026-07-08T00:00:00"/>
    <s v="1ST"/>
    <s v="07:00"/>
    <n v="1"/>
    <x v="22"/>
    <n v="2.2000000000000001E-3"/>
    <s v="P"/>
    <s v="P"/>
    <s v="P"/>
    <s v="-"/>
    <s v="-"/>
    <n v="11.72"/>
    <s v="-"/>
    <s v="-"/>
    <s v="-"/>
    <s v="-"/>
    <s v="-"/>
    <s v="-"/>
    <s v="-"/>
    <s v="-"/>
    <s v="P"/>
    <s v="P"/>
    <s v="-"/>
    <n v="2"/>
    <n v="1"/>
    <n v="2"/>
    <n v="1"/>
    <s v="-"/>
    <s v="-"/>
    <s v="-"/>
    <s v="-"/>
    <s v="-"/>
    <s v="-"/>
    <s v="-"/>
    <n v="6"/>
    <n v="6"/>
    <s v="-"/>
    <n v="1"/>
    <n v="1"/>
    <n v="2"/>
    <n v="2"/>
    <n v="8"/>
    <n v="8"/>
  </r>
  <r>
    <x v="6"/>
    <x v="148"/>
    <d v="2026-07-08T00:00:00"/>
    <s v="1ST"/>
    <s v="08:00"/>
    <n v="1"/>
    <x v="22"/>
    <n v="8.0000000000000004E-4"/>
    <s v="P"/>
    <s v="P"/>
    <s v="P"/>
    <s v="-"/>
    <s v="-"/>
    <n v="11.92"/>
    <s v="-"/>
    <s v="-"/>
    <s v="-"/>
    <s v="-"/>
    <s v="-"/>
    <s v="-"/>
    <s v="-"/>
    <s v="-"/>
    <s v="P"/>
    <s v="P"/>
    <s v="-"/>
    <n v="2"/>
    <n v="1"/>
    <n v="2"/>
    <n v="1"/>
    <s v="-"/>
    <s v="-"/>
    <s v="-"/>
    <s v="-"/>
    <s v="-"/>
    <s v="-"/>
    <s v="-"/>
    <n v="6"/>
    <n v="6"/>
    <s v="-"/>
    <n v="1"/>
    <n v="1"/>
    <n v="2"/>
    <n v="2"/>
    <n v="8"/>
    <n v="8"/>
  </r>
  <r>
    <x v="6"/>
    <x v="148"/>
    <d v="2026-07-08T00:00:00"/>
    <s v="1ST"/>
    <s v="09:00"/>
    <n v="1"/>
    <x v="22"/>
    <n v="1.6000000000000001E-3"/>
    <s v="P"/>
    <s v="P"/>
    <s v="P"/>
    <s v="-"/>
    <s v="-"/>
    <n v="11.4"/>
    <s v="-"/>
    <s v="-"/>
    <s v="-"/>
    <s v="-"/>
    <s v="-"/>
    <s v="-"/>
    <s v="-"/>
    <s v="-"/>
    <s v="P"/>
    <s v="P"/>
    <s v="-"/>
    <n v="2"/>
    <n v="1"/>
    <n v="2"/>
    <n v="1"/>
    <s v="-"/>
    <s v="-"/>
    <s v="-"/>
    <s v="-"/>
    <s v="-"/>
    <s v="-"/>
    <s v="-"/>
    <n v="6"/>
    <n v="6"/>
    <s v="-"/>
    <n v="1"/>
    <n v="1"/>
    <n v="2"/>
    <n v="2"/>
    <n v="8"/>
    <n v="8"/>
  </r>
  <r>
    <x v="6"/>
    <x v="148"/>
    <d v="2026-07-08T00:00:00"/>
    <s v="1ST"/>
    <s v="10:00"/>
    <n v="1"/>
    <x v="22"/>
    <n v="3.8999999999999998E-3"/>
    <s v="P"/>
    <s v="P"/>
    <s v="P"/>
    <s v="-"/>
    <s v="-"/>
    <n v="11.58"/>
    <s v="-"/>
    <s v="-"/>
    <s v="-"/>
    <s v="-"/>
    <s v="-"/>
    <s v="-"/>
    <s v="-"/>
    <s v="-"/>
    <s v="P"/>
    <s v="P"/>
    <s v="-"/>
    <n v="2"/>
    <n v="1"/>
    <n v="2"/>
    <n v="1"/>
    <s v="-"/>
    <s v="-"/>
    <s v="-"/>
    <s v="-"/>
    <s v="-"/>
    <s v="-"/>
    <s v="-"/>
    <n v="6"/>
    <n v="6"/>
    <s v="-"/>
    <n v="1"/>
    <n v="1"/>
    <n v="2"/>
    <n v="2"/>
    <n v="8"/>
    <n v="8"/>
  </r>
  <r>
    <x v="6"/>
    <x v="148"/>
    <d v="2026-07-08T00:00:00"/>
    <s v="1ST"/>
    <s v="11:00"/>
    <n v="1"/>
    <x v="22"/>
    <n v="3.0999999999999999E-3"/>
    <s v="P"/>
    <s v="P"/>
    <s v="P"/>
    <s v="-"/>
    <s v="-"/>
    <n v="11.59"/>
    <s v="-"/>
    <s v="-"/>
    <s v="-"/>
    <s v="-"/>
    <s v="-"/>
    <s v="-"/>
    <s v="-"/>
    <s v="-"/>
    <s v="P"/>
    <s v="P"/>
    <s v="-"/>
    <n v="2"/>
    <n v="1"/>
    <n v="2"/>
    <n v="1"/>
    <s v="-"/>
    <s v="-"/>
    <s v="-"/>
    <s v="-"/>
    <s v="-"/>
    <s v="-"/>
    <s v="-"/>
    <n v="6"/>
    <n v="6"/>
    <s v="-"/>
    <n v="1"/>
    <n v="1"/>
    <n v="2"/>
    <n v="2"/>
    <n v="8"/>
    <n v="8"/>
  </r>
  <r>
    <x v="6"/>
    <x v="148"/>
    <d v="2026-07-08T00:00:00"/>
    <s v="1ST"/>
    <s v="12:00"/>
    <n v="1"/>
    <x v="22"/>
    <n v="3.3999999999999998E-3"/>
    <s v="P"/>
    <s v="P"/>
    <s v="P"/>
    <s v="-"/>
    <s v="-"/>
    <n v="11.3"/>
    <s v="-"/>
    <s v="-"/>
    <s v="-"/>
    <s v="-"/>
    <s v="-"/>
    <s v="-"/>
    <s v="-"/>
    <s v="-"/>
    <s v="P"/>
    <s v="P"/>
    <s v="-"/>
    <n v="2"/>
    <n v="1"/>
    <n v="2"/>
    <n v="1"/>
    <s v="-"/>
    <s v="-"/>
    <s v="-"/>
    <s v="-"/>
    <s v="-"/>
    <s v="-"/>
    <s v="-"/>
    <n v="6"/>
    <n v="6"/>
    <s v="-"/>
    <n v="1"/>
    <n v="1"/>
    <n v="2"/>
    <n v="2"/>
    <n v="8"/>
    <n v="8"/>
  </r>
  <r>
    <x v="6"/>
    <x v="148"/>
    <d v="2026-07-08T00:00:00"/>
    <s v="1ST"/>
    <s v="13:00"/>
    <n v="1"/>
    <x v="22"/>
    <n v="4.0000000000000001E-3"/>
    <s v="P"/>
    <s v="P"/>
    <s v="P"/>
    <s v="-"/>
    <s v="-"/>
    <n v="11.68"/>
    <s v="-"/>
    <s v="-"/>
    <s v="-"/>
    <s v="-"/>
    <s v="-"/>
    <s v="-"/>
    <s v="-"/>
    <s v="-"/>
    <s v="P"/>
    <s v="P"/>
    <s v="-"/>
    <n v="2"/>
    <n v="1"/>
    <n v="2"/>
    <n v="1"/>
    <s v="-"/>
    <s v="-"/>
    <s v="-"/>
    <s v="-"/>
    <s v="-"/>
    <s v="-"/>
    <s v="-"/>
    <n v="6"/>
    <n v="6"/>
    <s v="-"/>
    <n v="1"/>
    <n v="1"/>
    <n v="2"/>
    <n v="2"/>
    <n v="8"/>
    <n v="8"/>
  </r>
  <r>
    <x v="6"/>
    <x v="148"/>
    <d v="1902-03-26T00:00:00"/>
    <s v="1ST"/>
    <s v="10:00"/>
    <n v="2"/>
    <x v="2"/>
    <n v="7.3000000000000001E-3"/>
    <s v="P"/>
    <s v="P"/>
    <s v="P"/>
    <s v="-"/>
    <s v="+"/>
    <n v="11.2"/>
    <n v="8.76"/>
    <s v="-"/>
    <n v="59.8"/>
    <s v="-"/>
    <s v="-"/>
    <n v="23.7"/>
    <s v="-"/>
    <s v="-"/>
    <s v="P"/>
    <s v="P"/>
    <s v="-"/>
    <n v="2"/>
    <n v="1"/>
    <n v="2"/>
    <n v="0"/>
    <n v="0"/>
    <s v="-"/>
    <n v="0"/>
    <s v="-"/>
    <s v="-"/>
    <n v="0"/>
    <s v="-"/>
    <n v="5"/>
    <n v="11"/>
    <s v="-"/>
    <n v="1"/>
    <n v="1"/>
    <n v="2"/>
    <n v="2"/>
    <n v="7"/>
    <n v="13"/>
  </r>
  <r>
    <x v="6"/>
    <x v="148"/>
    <d v="1899-12-30T00:00:00"/>
    <s v="1ST"/>
    <s v="11:00"/>
    <n v="2"/>
    <x v="2"/>
    <n v="8.0000000000000002E-3"/>
    <s v="P"/>
    <s v="P"/>
    <s v="P"/>
    <s v="-"/>
    <s v="+"/>
    <n v="11.16"/>
    <s v="-"/>
    <s v="-"/>
    <s v="-"/>
    <s v="-"/>
    <s v="-"/>
    <s v="-"/>
    <s v="-"/>
    <s v="-"/>
    <s v="P"/>
    <s v="P"/>
    <s v="-"/>
    <n v="2"/>
    <n v="1"/>
    <n v="2"/>
    <n v="0"/>
    <s v="-"/>
    <s v="-"/>
    <s v="-"/>
    <s v="-"/>
    <s v="-"/>
    <s v="-"/>
    <s v="-"/>
    <n v="5"/>
    <n v="6"/>
    <s v="-"/>
    <n v="1"/>
    <n v="1"/>
    <n v="2"/>
    <n v="2"/>
    <n v="7"/>
    <n v="8"/>
  </r>
  <r>
    <x v="6"/>
    <x v="148"/>
    <d v="1899-12-30T00:00:00"/>
    <s v="1ST"/>
    <s v="12:00"/>
    <n v="2"/>
    <x v="2"/>
    <n v="6.1999999999999998E-3"/>
    <s v="P"/>
    <s v="P"/>
    <s v="P"/>
    <s v="-"/>
    <s v="+"/>
    <n v="11.22"/>
    <s v="-"/>
    <s v="-"/>
    <s v="-"/>
    <s v="-"/>
    <s v="-"/>
    <s v="-"/>
    <s v="-"/>
    <s v="-"/>
    <s v="P"/>
    <s v="P"/>
    <s v="-"/>
    <n v="2"/>
    <n v="1"/>
    <n v="2"/>
    <n v="0"/>
    <s v="-"/>
    <s v="-"/>
    <s v="-"/>
    <s v="-"/>
    <s v="-"/>
    <s v="-"/>
    <s v="-"/>
    <n v="5"/>
    <n v="6"/>
    <s v="-"/>
    <n v="1"/>
    <n v="1"/>
    <n v="2"/>
    <n v="2"/>
    <n v="7"/>
    <n v="8"/>
  </r>
  <r>
    <x v="6"/>
    <x v="148"/>
    <d v="1899-12-30T00:00:00"/>
    <s v="1ST"/>
    <s v="13:00"/>
    <n v="2"/>
    <x v="2"/>
    <s v="-"/>
    <s v="P"/>
    <s v="P"/>
    <s v="P"/>
    <s v="-"/>
    <s v="+"/>
    <s v="-"/>
    <s v="-"/>
    <s v="-"/>
    <s v="-"/>
    <s v="-"/>
    <s v="-"/>
    <s v="-"/>
    <s v="-"/>
    <s v="-"/>
    <s v="P"/>
    <s v="P"/>
    <s v="-"/>
    <s v="-"/>
    <n v="1"/>
    <n v="2"/>
    <s v="-"/>
    <s v="-"/>
    <s v="-"/>
    <s v="-"/>
    <s v="-"/>
    <s v="-"/>
    <s v="-"/>
    <s v="-"/>
    <n v="3"/>
    <n v="3"/>
    <s v="-"/>
    <n v="1"/>
    <n v="1"/>
    <n v="2"/>
    <n v="2"/>
    <n v="5"/>
    <n v="5"/>
  </r>
  <r>
    <x v="6"/>
    <x v="148"/>
    <d v="2026-07-08T00:00:00"/>
    <s v="1ST"/>
    <s v="08:00"/>
    <n v="3"/>
    <x v="8"/>
    <n v="1.5800000000000002E-2"/>
    <s v="P"/>
    <s v="P"/>
    <s v="P"/>
    <s v="+"/>
    <s v="+"/>
    <n v="12.64"/>
    <n v="13.2"/>
    <n v="0.57999999999999996"/>
    <s v="-"/>
    <s v="-"/>
    <s v="-"/>
    <n v="37.1"/>
    <s v="-"/>
    <s v="-"/>
    <s v="P"/>
    <s v="P"/>
    <n v="1"/>
    <n v="2"/>
    <n v="1"/>
    <n v="2"/>
    <n v="1"/>
    <n v="1"/>
    <n v="2"/>
    <s v="-"/>
    <s v="-"/>
    <s v="-"/>
    <s v="-"/>
    <s v="-"/>
    <n v="9"/>
    <n v="9"/>
    <s v="-"/>
    <n v="1"/>
    <n v="1"/>
    <n v="2"/>
    <n v="2"/>
    <n v="11"/>
    <n v="11"/>
  </r>
  <r>
    <x v="6"/>
    <x v="148"/>
    <d v="2026-07-08T00:00:00"/>
    <s v="1ST"/>
    <s v="09:00"/>
    <n v="3"/>
    <x v="8"/>
    <n v="1.7600000000000001E-2"/>
    <s v="P"/>
    <s v="P"/>
    <s v="P"/>
    <s v="+"/>
    <s v="+"/>
    <n v="11.88"/>
    <s v="-"/>
    <s v="-"/>
    <s v="-"/>
    <s v="-"/>
    <s v="-"/>
    <s v="-"/>
    <s v="-"/>
    <s v="-"/>
    <s v="P"/>
    <s v="P"/>
    <s v="-"/>
    <n v="2"/>
    <n v="1"/>
    <n v="2"/>
    <n v="1"/>
    <s v="-"/>
    <s v="-"/>
    <s v="-"/>
    <s v="-"/>
    <s v="-"/>
    <s v="-"/>
    <s v="-"/>
    <n v="6"/>
    <n v="6"/>
    <s v="-"/>
    <n v="1"/>
    <n v="1"/>
    <n v="2"/>
    <n v="2"/>
    <n v="8"/>
    <n v="8"/>
  </r>
  <r>
    <x v="6"/>
    <x v="148"/>
    <d v="2026-07-08T00:00:00"/>
    <s v="1ST"/>
    <s v="10:00"/>
    <n v="3"/>
    <x v="8"/>
    <n v="1.9900000000000001E-2"/>
    <s v="P"/>
    <s v="P"/>
    <s v="P"/>
    <s v="+"/>
    <s v="+"/>
    <n v="11.88"/>
    <s v="-"/>
    <s v="-"/>
    <s v="-"/>
    <s v="-"/>
    <s v="-"/>
    <s v="-"/>
    <s v="-"/>
    <s v="-"/>
    <s v="P"/>
    <s v="P"/>
    <s v="-"/>
    <n v="2"/>
    <n v="1"/>
    <n v="2"/>
    <n v="1"/>
    <s v="-"/>
    <s v="-"/>
    <s v="-"/>
    <s v="-"/>
    <s v="-"/>
    <s v="-"/>
    <s v="-"/>
    <n v="6"/>
    <n v="6"/>
    <s v="-"/>
    <n v="1"/>
    <n v="1"/>
    <n v="2"/>
    <n v="2"/>
    <n v="8"/>
    <n v="8"/>
  </r>
  <r>
    <x v="6"/>
    <x v="148"/>
    <d v="2026-07-08T00:00:00"/>
    <s v="1ST"/>
    <s v="11:00"/>
    <n v="3"/>
    <x v="8"/>
    <n v="1.8499999999999999E-2"/>
    <s v="P"/>
    <s v="P"/>
    <s v="P"/>
    <s v="+"/>
    <s v="+"/>
    <n v="12.27"/>
    <s v="-"/>
    <s v="-"/>
    <s v="-"/>
    <s v="-"/>
    <s v="-"/>
    <s v="-"/>
    <s v="-"/>
    <s v="-"/>
    <s v="P"/>
    <s v="P"/>
    <s v="-"/>
    <n v="2"/>
    <n v="1"/>
    <n v="2"/>
    <n v="1"/>
    <s v="-"/>
    <s v="-"/>
    <s v="-"/>
    <s v="-"/>
    <s v="-"/>
    <s v="-"/>
    <s v="-"/>
    <n v="6"/>
    <n v="6"/>
    <s v="-"/>
    <n v="1"/>
    <n v="1"/>
    <n v="2"/>
    <n v="2"/>
    <n v="8"/>
    <n v="8"/>
  </r>
  <r>
    <x v="6"/>
    <x v="148"/>
    <d v="2026-07-08T00:00:00"/>
    <s v="1ST"/>
    <s v="12:00"/>
    <n v="3"/>
    <x v="8"/>
    <n v="1.7600000000000001E-2"/>
    <s v="P"/>
    <s v="P"/>
    <s v="P"/>
    <s v="+"/>
    <s v="+"/>
    <n v="12.26"/>
    <s v="-"/>
    <s v="-"/>
    <s v="-"/>
    <s v="-"/>
    <s v="-"/>
    <s v="-"/>
    <s v="-"/>
    <s v="-"/>
    <s v="P"/>
    <s v="P"/>
    <s v="-"/>
    <n v="2"/>
    <n v="1"/>
    <n v="2"/>
    <n v="1"/>
    <s v="-"/>
    <s v="-"/>
    <s v="-"/>
    <s v="-"/>
    <s v="-"/>
    <s v="-"/>
    <s v="-"/>
    <n v="6"/>
    <n v="6"/>
    <s v="-"/>
    <n v="1"/>
    <n v="1"/>
    <n v="2"/>
    <n v="2"/>
    <n v="8"/>
    <n v="8"/>
  </r>
  <r>
    <x v="6"/>
    <x v="148"/>
    <d v="2026-07-08T00:00:00"/>
    <s v="1ST"/>
    <s v="13:00"/>
    <n v="3"/>
    <x v="8"/>
    <n v="1.8800000000000001E-2"/>
    <s v="P"/>
    <s v="P"/>
    <s v="P"/>
    <s v="+"/>
    <s v="+"/>
    <n v="11.96"/>
    <s v="-"/>
    <s v="-"/>
    <s v="-"/>
    <s v="-"/>
    <s v="-"/>
    <s v="-"/>
    <s v="-"/>
    <s v="-"/>
    <s v="P"/>
    <s v="P"/>
    <s v="-"/>
    <n v="2"/>
    <n v="1"/>
    <n v="2"/>
    <n v="1"/>
    <s v="-"/>
    <s v="-"/>
    <s v="-"/>
    <s v="-"/>
    <s v="-"/>
    <s v="-"/>
    <s v="-"/>
    <n v="6"/>
    <n v="6"/>
    <s v="-"/>
    <n v="1"/>
    <n v="1"/>
    <n v="2"/>
    <n v="2"/>
    <n v="8"/>
    <n v="8"/>
  </r>
  <r>
    <x v="6"/>
    <x v="148"/>
    <d v="2026-07-01T00:00:00"/>
    <s v="1ST"/>
    <s v="13:00"/>
    <s v="Retail"/>
    <x v="19"/>
    <s v="-"/>
    <s v="P"/>
    <s v="P"/>
    <s v="P"/>
    <s v="-"/>
    <s v="-"/>
    <n v="12.18"/>
    <s v="-"/>
    <s v="-"/>
    <s v="-"/>
    <s v="-"/>
    <s v="-"/>
    <s v="-"/>
    <s v="-"/>
    <s v="-"/>
    <s v="-"/>
    <s v="-"/>
    <s v="-"/>
    <s v="-"/>
    <n v="1"/>
    <n v="2"/>
    <n v="1"/>
    <s v="-"/>
    <s v="-"/>
    <s v="-"/>
    <s v="-"/>
    <s v="-"/>
    <s v="-"/>
    <s v="-"/>
    <n v="4"/>
    <n v="4"/>
    <s v="-"/>
    <s v="-"/>
    <s v="-"/>
    <n v="0"/>
    <n v="0"/>
    <n v="4"/>
    <n v="4"/>
  </r>
  <r>
    <x v="6"/>
    <x v="148"/>
    <d v="2026-07-08T00:00:00"/>
    <s v="2ND"/>
    <d v="1899-12-30T14:00:00"/>
    <n v="1"/>
    <x v="22"/>
    <n v="2.5000000000000001E-3"/>
    <s v="P"/>
    <s v="P"/>
    <s v="P"/>
    <s v="-"/>
    <s v="-"/>
    <n v="11.66"/>
    <n v="8.09"/>
    <s v="-"/>
    <s v="-"/>
    <s v="-"/>
    <s v="-"/>
    <n v="21.5"/>
    <s v="-"/>
    <s v="-"/>
    <s v="P"/>
    <s v="P"/>
    <n v="1"/>
    <n v="2"/>
    <n v="1"/>
    <n v="2"/>
    <n v="1"/>
    <n v="0"/>
    <s v="-"/>
    <s v="-"/>
    <s v="-"/>
    <s v="-"/>
    <n v="2"/>
    <s v="-"/>
    <n v="8"/>
    <n v="9"/>
    <s v="-"/>
    <n v="1"/>
    <n v="1"/>
    <n v="2"/>
    <n v="2"/>
    <n v="10"/>
    <n v="11"/>
  </r>
  <r>
    <x v="6"/>
    <x v="148"/>
    <d v="2026-07-08T00:00:00"/>
    <s v="2ND"/>
    <d v="1899-12-30T15:00:00"/>
    <n v="1"/>
    <x v="22"/>
    <n v="3.0000000000000001E-3"/>
    <s v="P"/>
    <s v="P"/>
    <s v="P"/>
    <s v="-"/>
    <s v="-"/>
    <n v="11.69"/>
    <s v="-"/>
    <s v="-"/>
    <s v="-"/>
    <s v="-"/>
    <s v="-"/>
    <s v="-"/>
    <s v="-"/>
    <s v="-"/>
    <s v="P"/>
    <s v="P"/>
    <s v="-"/>
    <n v="2"/>
    <n v="1"/>
    <n v="2"/>
    <n v="1"/>
    <s v="-"/>
    <s v="-"/>
    <s v="-"/>
    <s v="-"/>
    <s v="-"/>
    <s v="-"/>
    <s v="-"/>
    <n v="6"/>
    <n v="6"/>
    <s v="-"/>
    <n v="1"/>
    <n v="1"/>
    <n v="2"/>
    <n v="2"/>
    <n v="8"/>
    <n v="8"/>
  </r>
  <r>
    <x v="6"/>
    <x v="148"/>
    <d v="2026-07-08T00:00:00"/>
    <s v="2ND"/>
    <d v="1899-12-30T16:00:00"/>
    <n v="1"/>
    <x v="22"/>
    <n v="2.5999999999999999E-3"/>
    <s v="P"/>
    <s v="P"/>
    <s v="P"/>
    <s v="-"/>
    <s v="-"/>
    <n v="11.99"/>
    <s v="-"/>
    <s v="-"/>
    <s v="-"/>
    <s v="-"/>
    <s v="-"/>
    <s v="-"/>
    <s v="-"/>
    <s v="-"/>
    <s v="P"/>
    <s v="P"/>
    <s v="-"/>
    <n v="2"/>
    <n v="1"/>
    <n v="2"/>
    <n v="1"/>
    <s v="-"/>
    <s v="-"/>
    <s v="-"/>
    <s v="-"/>
    <s v="-"/>
    <s v="-"/>
    <s v="-"/>
    <n v="6"/>
    <n v="6"/>
    <s v="-"/>
    <n v="1"/>
    <n v="1"/>
    <n v="2"/>
    <n v="2"/>
    <n v="8"/>
    <n v="8"/>
  </r>
  <r>
    <x v="6"/>
    <x v="148"/>
    <d v="2026-07-08T00:00:00"/>
    <s v="2ND"/>
    <d v="1899-12-30T19:00:00"/>
    <n v="1"/>
    <x v="22"/>
    <n v="2.7000000000000001E-3"/>
    <s v="P"/>
    <s v="P"/>
    <s v="P"/>
    <s v="-"/>
    <s v="-"/>
    <n v="12.25"/>
    <s v="-"/>
    <s v="-"/>
    <s v="-"/>
    <s v="-"/>
    <s v="-"/>
    <s v="-"/>
    <s v="-"/>
    <s v="-"/>
    <s v="P"/>
    <s v="P"/>
    <s v="-"/>
    <n v="2"/>
    <n v="1"/>
    <n v="2"/>
    <n v="1"/>
    <s v="-"/>
    <s v="-"/>
    <s v="-"/>
    <s v="-"/>
    <s v="-"/>
    <s v="-"/>
    <s v="-"/>
    <n v="6"/>
    <n v="6"/>
    <s v="-"/>
    <n v="1"/>
    <n v="1"/>
    <n v="2"/>
    <n v="2"/>
    <n v="8"/>
    <n v="8"/>
  </r>
  <r>
    <x v="6"/>
    <x v="148"/>
    <d v="2026-07-08T00:00:00"/>
    <s v="2ND"/>
    <d v="1899-12-30T20:00:00"/>
    <n v="1"/>
    <x v="22"/>
    <n v="1.1599999999999999E-2"/>
    <s v="P"/>
    <s v="P"/>
    <s v="P"/>
    <s v="-"/>
    <s v="-"/>
    <n v="12.06"/>
    <s v="-"/>
    <s v="-"/>
    <s v="-"/>
    <s v="-"/>
    <s v="-"/>
    <s v="-"/>
    <s v="-"/>
    <s v="-"/>
    <s v="P"/>
    <s v="P"/>
    <s v="-"/>
    <n v="2"/>
    <n v="1"/>
    <n v="2"/>
    <n v="1"/>
    <s v="-"/>
    <s v="-"/>
    <s v="-"/>
    <s v="-"/>
    <s v="-"/>
    <s v="-"/>
    <s v="-"/>
    <n v="6"/>
    <n v="6"/>
    <s v="-"/>
    <n v="1"/>
    <n v="1"/>
    <n v="2"/>
    <n v="2"/>
    <n v="8"/>
    <n v="8"/>
  </r>
  <r>
    <x v="6"/>
    <x v="148"/>
    <d v="1902-03-26T00:00:00"/>
    <s v="2ND"/>
    <d v="1899-12-30T14:00:00"/>
    <n v="2"/>
    <x v="2"/>
    <n v="1.4200000000000001E-2"/>
    <s v="P"/>
    <s v="P"/>
    <s v="P"/>
    <s v="-"/>
    <s v="+"/>
    <n v="11.03"/>
    <s v="-"/>
    <s v="-"/>
    <s v="-"/>
    <s v="-"/>
    <s v="-"/>
    <s v="-"/>
    <s v="-"/>
    <s v="-"/>
    <s v="P"/>
    <s v="P"/>
    <s v="-"/>
    <n v="2"/>
    <n v="1"/>
    <n v="2"/>
    <n v="0"/>
    <s v="-"/>
    <s v="-"/>
    <s v="-"/>
    <s v="-"/>
    <s v="-"/>
    <s v="-"/>
    <s v="-"/>
    <n v="5"/>
    <n v="6"/>
    <s v="-"/>
    <n v="1"/>
    <n v="1"/>
    <n v="2"/>
    <n v="2"/>
    <n v="7"/>
    <n v="8"/>
  </r>
  <r>
    <x v="6"/>
    <x v="148"/>
    <d v="1899-12-30T00:00:00"/>
    <s v="2ND"/>
    <d v="1899-12-30T15:00:00"/>
    <n v="2"/>
    <x v="2"/>
    <n v="1.47E-2"/>
    <s v="P"/>
    <s v="P"/>
    <s v="P"/>
    <s v="-"/>
    <s v="+"/>
    <n v="11.04"/>
    <s v="-"/>
    <s v="-"/>
    <s v="-"/>
    <s v="-"/>
    <s v="-"/>
    <s v="-"/>
    <s v="-"/>
    <s v="-"/>
    <s v="P"/>
    <s v="P"/>
    <s v="-"/>
    <n v="2"/>
    <n v="1"/>
    <n v="2"/>
    <n v="0"/>
    <s v="-"/>
    <s v="-"/>
    <s v="-"/>
    <s v="-"/>
    <s v="-"/>
    <s v="-"/>
    <s v="-"/>
    <n v="5"/>
    <n v="6"/>
    <s v="-"/>
    <n v="1"/>
    <n v="1"/>
    <n v="2"/>
    <n v="2"/>
    <n v="7"/>
    <n v="8"/>
  </r>
  <r>
    <x v="6"/>
    <x v="148"/>
    <d v="1899-12-30T00:00:00"/>
    <s v="2ND"/>
    <d v="1899-12-30T16:00:00"/>
    <n v="2"/>
    <x v="2"/>
    <n v="1.55E-2"/>
    <s v="P"/>
    <s v="P"/>
    <s v="P"/>
    <s v="-"/>
    <s v="+"/>
    <n v="10.94"/>
    <s v="-"/>
    <s v="-"/>
    <s v="-"/>
    <s v="-"/>
    <s v="-"/>
    <s v="-"/>
    <s v="-"/>
    <s v="-"/>
    <s v="P"/>
    <s v="P"/>
    <s v="-"/>
    <n v="2"/>
    <n v="1"/>
    <n v="2"/>
    <n v="0"/>
    <s v="-"/>
    <s v="-"/>
    <s v="-"/>
    <s v="-"/>
    <s v="-"/>
    <s v="-"/>
    <s v="-"/>
    <n v="5"/>
    <n v="6"/>
    <s v="-"/>
    <n v="1"/>
    <n v="1"/>
    <n v="2"/>
    <n v="2"/>
    <n v="7"/>
    <n v="8"/>
  </r>
  <r>
    <x v="6"/>
    <x v="148"/>
    <d v="1899-12-30T00:00:00"/>
    <s v="2ND"/>
    <d v="1899-12-30T20:00:00"/>
    <n v="2"/>
    <x v="2"/>
    <n v="9.4000000000000004E-3"/>
    <s v="P"/>
    <s v="P"/>
    <s v="P"/>
    <s v="-"/>
    <s v="+"/>
    <n v="10.96"/>
    <s v="-"/>
    <s v="-"/>
    <s v="-"/>
    <s v="-"/>
    <s v="-"/>
    <s v="-"/>
    <s v="-"/>
    <s v="-"/>
    <s v="P"/>
    <s v="P"/>
    <s v="-"/>
    <n v="2"/>
    <n v="1"/>
    <n v="2"/>
    <n v="0"/>
    <s v="-"/>
    <s v="-"/>
    <s v="-"/>
    <s v="-"/>
    <s v="-"/>
    <s v="-"/>
    <s v="-"/>
    <n v="5"/>
    <n v="6"/>
    <s v="-"/>
    <n v="1"/>
    <n v="1"/>
    <n v="2"/>
    <n v="2"/>
    <n v="7"/>
    <n v="8"/>
  </r>
  <r>
    <x v="6"/>
    <x v="148"/>
    <d v="2026-07-08T00:00:00"/>
    <s v="2ND"/>
    <d v="1899-12-30T14:00:00"/>
    <n v="3"/>
    <x v="8"/>
    <n v="1.9900000000000001E-2"/>
    <s v="P"/>
    <s v="P"/>
    <s v="P"/>
    <s v="+"/>
    <s v="+"/>
    <n v="12.08"/>
    <n v="12.75"/>
    <s v="-"/>
    <s v="-"/>
    <s v="-"/>
    <s v="-"/>
    <n v="35.700000000000003"/>
    <s v="-"/>
    <s v="-"/>
    <s v="P"/>
    <s v="P"/>
    <n v="1"/>
    <n v="2"/>
    <n v="1"/>
    <n v="2"/>
    <n v="1"/>
    <n v="1"/>
    <s v="-"/>
    <s v="-"/>
    <s v="-"/>
    <s v="-"/>
    <s v="-"/>
    <s v="-"/>
    <n v="7"/>
    <n v="7"/>
    <s v="-"/>
    <n v="1"/>
    <n v="1"/>
    <n v="2"/>
    <n v="2"/>
    <n v="9"/>
    <n v="9"/>
  </r>
  <r>
    <x v="6"/>
    <x v="148"/>
    <d v="2026-07-08T00:00:00"/>
    <s v="2ND"/>
    <d v="1899-12-30T15:00:00"/>
    <n v="3"/>
    <x v="8"/>
    <n v="1.83E-2"/>
    <s v="P"/>
    <s v="P"/>
    <s v="P"/>
    <s v="+"/>
    <s v="+"/>
    <n v="12"/>
    <s v="-"/>
    <s v="-"/>
    <s v="-"/>
    <s v="-"/>
    <s v="-"/>
    <s v="-"/>
    <s v="-"/>
    <s v="-"/>
    <s v="P"/>
    <s v="P"/>
    <s v="-"/>
    <n v="2"/>
    <n v="1"/>
    <n v="2"/>
    <n v="1"/>
    <s v="-"/>
    <s v="-"/>
    <s v="-"/>
    <s v="-"/>
    <s v="-"/>
    <s v="-"/>
    <s v="-"/>
    <n v="6"/>
    <n v="6"/>
    <s v="-"/>
    <n v="1"/>
    <n v="1"/>
    <n v="2"/>
    <n v="2"/>
    <n v="8"/>
    <n v="8"/>
  </r>
  <r>
    <x v="6"/>
    <x v="148"/>
    <d v="2026-07-08T00:00:00"/>
    <s v="2ND"/>
    <d v="1899-12-30T16:00:00"/>
    <n v="3"/>
    <x v="8"/>
    <n v="1.9E-2"/>
    <s v="P"/>
    <s v="P"/>
    <s v="P"/>
    <s v="+"/>
    <s v="+"/>
    <n v="11.77"/>
    <s v="-"/>
    <s v="-"/>
    <s v="-"/>
    <s v="-"/>
    <s v="-"/>
    <s v="-"/>
    <s v="-"/>
    <s v="-"/>
    <s v="P"/>
    <s v="P"/>
    <s v="-"/>
    <n v="2"/>
    <n v="1"/>
    <n v="2"/>
    <n v="1"/>
    <s v="-"/>
    <s v="-"/>
    <s v="-"/>
    <s v="-"/>
    <s v="-"/>
    <s v="-"/>
    <s v="-"/>
    <n v="6"/>
    <n v="6"/>
    <s v="-"/>
    <n v="1"/>
    <n v="1"/>
    <n v="2"/>
    <n v="2"/>
    <n v="8"/>
    <n v="8"/>
  </r>
  <r>
    <x v="6"/>
    <x v="148"/>
    <d v="2026-07-01T00:00:00"/>
    <s v="2ND"/>
    <d v="1899-12-30T17:00:00"/>
    <n v="3"/>
    <x v="0"/>
    <s v="-"/>
    <s v="P"/>
    <s v="P"/>
    <s v="P"/>
    <s v="+"/>
    <s v="+"/>
    <n v="12"/>
    <n v="12.47"/>
    <s v="-"/>
    <n v="64.5"/>
    <s v="-"/>
    <s v="-"/>
    <n v="34.9"/>
    <s v="-"/>
    <s v="-"/>
    <s v="P"/>
    <s v="P"/>
    <s v="65% 5% 30%"/>
    <s v="-"/>
    <n v="1"/>
    <n v="2"/>
    <n v="1"/>
    <n v="1"/>
    <s v="-"/>
    <n v="2"/>
    <s v="-"/>
    <s v="-"/>
    <n v="2"/>
    <s v="-"/>
    <n v="9"/>
    <n v="9"/>
    <s v="-"/>
    <n v="1"/>
    <n v="1"/>
    <n v="2"/>
    <n v="2"/>
    <n v="11"/>
    <n v="11"/>
  </r>
  <r>
    <x v="6"/>
    <x v="148"/>
    <d v="2026-07-01T00:00:00"/>
    <s v="2ND"/>
    <d v="1899-12-30T19:00:00"/>
    <n v="3"/>
    <x v="1"/>
    <n v="1.06E-2"/>
    <s v="P"/>
    <s v="P"/>
    <s v="P"/>
    <s v="+"/>
    <s v="+"/>
    <s v="-"/>
    <s v="-"/>
    <s v="-"/>
    <s v="-"/>
    <s v="-"/>
    <s v="-"/>
    <s v="-"/>
    <s v="-"/>
    <s v="-"/>
    <s v="P"/>
    <s v="P"/>
    <s v="-"/>
    <n v="2"/>
    <n v="1"/>
    <n v="2"/>
    <s v="-"/>
    <s v="-"/>
    <s v="-"/>
    <s v="-"/>
    <s v="-"/>
    <s v="-"/>
    <s v="-"/>
    <s v="-"/>
    <n v="5"/>
    <n v="5"/>
    <s v="-"/>
    <n v="1"/>
    <n v="1"/>
    <n v="2"/>
    <n v="2"/>
    <n v="7"/>
    <n v="7"/>
  </r>
  <r>
    <x v="6"/>
    <x v="148"/>
    <d v="2026-07-01T00:00:00"/>
    <s v="2ND"/>
    <d v="1899-12-30T21:00:00"/>
    <n v="3"/>
    <x v="29"/>
    <n v="1.52E-2"/>
    <s v="P"/>
    <s v="P"/>
    <s v="P"/>
    <s v="+"/>
    <s v="+"/>
    <n v="12.49"/>
    <s v="-"/>
    <s v="-"/>
    <s v="-"/>
    <s v="-"/>
    <s v="-"/>
    <s v="-"/>
    <s v="-"/>
    <s v="-"/>
    <s v="P"/>
    <s v="P"/>
    <s v="95% 5%"/>
    <n v="2"/>
    <n v="1"/>
    <n v="2"/>
    <n v="1"/>
    <s v="-"/>
    <s v="-"/>
    <s v="-"/>
    <s v="-"/>
    <s v="-"/>
    <s v="-"/>
    <s v="-"/>
    <n v="6"/>
    <n v="6"/>
    <s v="-"/>
    <n v="1"/>
    <n v="1"/>
    <n v="2"/>
    <n v="2"/>
    <n v="8"/>
    <n v="8"/>
  </r>
  <r>
    <x v="6"/>
    <x v="148"/>
    <d v="2026-07-08T00:00:00"/>
    <s v="3RD"/>
    <d v="1899-12-30T22:00:00"/>
    <n v="1"/>
    <x v="22"/>
    <n v="1.21E-2"/>
    <s v="P"/>
    <s v="P"/>
    <s v="P"/>
    <s v="-"/>
    <s v="-"/>
    <n v="11.88"/>
    <n v="8.26"/>
    <s v="-"/>
    <s v="-"/>
    <s v="-"/>
    <s v="-"/>
    <n v="22.1"/>
    <s v="-"/>
    <s v="-"/>
    <s v="P"/>
    <s v="P"/>
    <n v="1"/>
    <n v="2"/>
    <n v="1"/>
    <n v="2"/>
    <n v="1"/>
    <n v="0"/>
    <s v="-"/>
    <s v="-"/>
    <s v="-"/>
    <s v="-"/>
    <n v="2"/>
    <s v="-"/>
    <n v="8"/>
    <n v="9"/>
    <s v="-"/>
    <n v="1"/>
    <n v="1"/>
    <n v="2"/>
    <n v="2"/>
    <n v="10"/>
    <n v="11"/>
  </r>
  <r>
    <x v="6"/>
    <x v="148"/>
    <d v="2026-07-08T00:00:00"/>
    <s v="3RD"/>
    <d v="1899-12-30T23:00:00"/>
    <n v="1"/>
    <x v="22"/>
    <n v="7.1000000000000004E-3"/>
    <s v="P"/>
    <s v="P"/>
    <s v="P"/>
    <s v="-"/>
    <s v="-"/>
    <n v="12.12"/>
    <s v="-"/>
    <s v="-"/>
    <s v="-"/>
    <s v="-"/>
    <s v="-"/>
    <s v="-"/>
    <s v="-"/>
    <s v="-"/>
    <s v="P"/>
    <s v="P"/>
    <s v="-"/>
    <n v="2"/>
    <n v="1"/>
    <n v="2"/>
    <n v="1"/>
    <s v="-"/>
    <s v="-"/>
    <s v="-"/>
    <s v="-"/>
    <s v="-"/>
    <s v="-"/>
    <s v="-"/>
    <n v="6"/>
    <n v="6"/>
    <s v="-"/>
    <n v="1"/>
    <n v="1"/>
    <n v="2"/>
    <n v="2"/>
    <n v="8"/>
    <n v="8"/>
  </r>
  <r>
    <x v="6"/>
    <x v="148"/>
    <d v="2026-07-08T00:00:00"/>
    <s v="3RD"/>
    <d v="1899-12-31T00:00:00"/>
    <n v="1"/>
    <x v="22"/>
    <n v="1.8200000000000001E-2"/>
    <s v="P"/>
    <s v="P"/>
    <s v="P"/>
    <s v="-"/>
    <s v="-"/>
    <n v="11.45"/>
    <s v="-"/>
    <s v="-"/>
    <s v="-"/>
    <s v="-"/>
    <s v="-"/>
    <s v="-"/>
    <s v="-"/>
    <s v="-"/>
    <s v="P"/>
    <s v="P"/>
    <s v="-"/>
    <n v="2"/>
    <n v="1"/>
    <n v="2"/>
    <n v="1"/>
    <s v="-"/>
    <s v="-"/>
    <s v="-"/>
    <s v="-"/>
    <s v="-"/>
    <s v="-"/>
    <s v="-"/>
    <n v="6"/>
    <n v="6"/>
    <s v="-"/>
    <n v="1"/>
    <n v="1"/>
    <n v="2"/>
    <n v="2"/>
    <n v="8"/>
    <n v="8"/>
  </r>
  <r>
    <x v="6"/>
    <x v="148"/>
    <d v="2026-07-08T00:00:00"/>
    <s v="3RD"/>
    <d v="1899-12-31T01:00:00"/>
    <n v="1"/>
    <x v="22"/>
    <n v="7.7999999999999996E-3"/>
    <s v="P"/>
    <s v="P"/>
    <s v="P"/>
    <s v="-"/>
    <s v="-"/>
    <n v="12.12"/>
    <s v="-"/>
    <s v="-"/>
    <s v="-"/>
    <s v="-"/>
    <s v="-"/>
    <s v="-"/>
    <s v="-"/>
    <s v="-"/>
    <s v="P"/>
    <s v="P"/>
    <s v="-"/>
    <n v="2"/>
    <n v="1"/>
    <n v="2"/>
    <n v="1"/>
    <s v="-"/>
    <s v="-"/>
    <s v="-"/>
    <s v="-"/>
    <s v="-"/>
    <s v="-"/>
    <s v="-"/>
    <n v="6"/>
    <n v="6"/>
    <s v="-"/>
    <n v="1"/>
    <n v="1"/>
    <n v="2"/>
    <n v="2"/>
    <n v="8"/>
    <n v="8"/>
  </r>
  <r>
    <x v="6"/>
    <x v="148"/>
    <d v="2026-07-08T00:00:00"/>
    <s v="3RD"/>
    <d v="1899-12-31T02:00:00"/>
    <n v="1"/>
    <x v="22"/>
    <n v="5.8999999999999999E-3"/>
    <s v="P"/>
    <s v="P"/>
    <s v="P"/>
    <s v="-"/>
    <s v="-"/>
    <n v="12.02"/>
    <s v="-"/>
    <s v="-"/>
    <s v="-"/>
    <s v="-"/>
    <s v="-"/>
    <s v="-"/>
    <s v="-"/>
    <s v="-"/>
    <s v="P"/>
    <s v="P"/>
    <s v="-"/>
    <n v="2"/>
    <n v="1"/>
    <n v="2"/>
    <n v="1"/>
    <s v="-"/>
    <s v="-"/>
    <s v="-"/>
    <s v="-"/>
    <s v="-"/>
    <s v="-"/>
    <s v="-"/>
    <n v="6"/>
    <n v="6"/>
    <s v="-"/>
    <n v="1"/>
    <n v="1"/>
    <n v="2"/>
    <n v="2"/>
    <n v="8"/>
    <n v="8"/>
  </r>
  <r>
    <x v="6"/>
    <x v="148"/>
    <d v="2026-07-08T00:00:00"/>
    <s v="3RD"/>
    <d v="1899-12-31T04:00:00"/>
    <n v="1"/>
    <x v="22"/>
    <n v="8.3999999999999995E-3"/>
    <s v="P"/>
    <s v="P"/>
    <s v="P"/>
    <s v="-"/>
    <s v="-"/>
    <n v="11.96"/>
    <s v="-"/>
    <s v="-"/>
    <s v="-"/>
    <s v="-"/>
    <s v="-"/>
    <s v="-"/>
    <s v="-"/>
    <s v="-"/>
    <s v="P"/>
    <s v="P"/>
    <s v="-"/>
    <n v="2"/>
    <n v="1"/>
    <n v="2"/>
    <n v="1"/>
    <s v="-"/>
    <s v="-"/>
    <s v="-"/>
    <s v="-"/>
    <s v="-"/>
    <s v="-"/>
    <s v="-"/>
    <n v="6"/>
    <n v="6"/>
    <s v="-"/>
    <n v="1"/>
    <n v="1"/>
    <n v="2"/>
    <n v="2"/>
    <n v="8"/>
    <n v="8"/>
  </r>
  <r>
    <x v="6"/>
    <x v="148"/>
    <d v="2026-07-08T00:00:00"/>
    <s v="3RD"/>
    <d v="1899-12-31T05:00:00"/>
    <n v="1"/>
    <x v="22"/>
    <s v="-"/>
    <s v="P"/>
    <s v="P"/>
    <s v="P"/>
    <s v="-"/>
    <s v="-"/>
    <s v="-"/>
    <s v="-"/>
    <s v="-"/>
    <s v="-"/>
    <s v="-"/>
    <s v="-"/>
    <s v="-"/>
    <s v="-"/>
    <s v="-"/>
    <s v="P"/>
    <s v="P"/>
    <s v="-"/>
    <s v="-"/>
    <n v="1"/>
    <n v="2"/>
    <s v="-"/>
    <s v="-"/>
    <s v="-"/>
    <s v="-"/>
    <s v="-"/>
    <s v="-"/>
    <s v="-"/>
    <s v="-"/>
    <n v="3"/>
    <n v="3"/>
    <s v="-"/>
    <n v="1"/>
    <n v="1"/>
    <n v="2"/>
    <n v="2"/>
    <n v="5"/>
    <n v="5"/>
  </r>
  <r>
    <x v="6"/>
    <x v="148"/>
    <d v="1902-03-26T00:00:00"/>
    <s v="3RD"/>
    <d v="1899-12-30T22:00:00"/>
    <n v="2"/>
    <x v="2"/>
    <n v="7.9000000000000008E-3"/>
    <s v="P"/>
    <s v="P"/>
    <s v="P"/>
    <s v="-"/>
    <s v="+"/>
    <n v="11.5"/>
    <s v="-"/>
    <s v="-"/>
    <s v="-"/>
    <s v="-"/>
    <s v="-"/>
    <s v="-"/>
    <s v="-"/>
    <s v="-"/>
    <s v="P"/>
    <s v="P"/>
    <s v="-"/>
    <n v="2"/>
    <n v="1"/>
    <n v="2"/>
    <n v="0"/>
    <s v="-"/>
    <s v="-"/>
    <s v="-"/>
    <s v="-"/>
    <s v="-"/>
    <s v="-"/>
    <s v="-"/>
    <n v="5"/>
    <n v="6"/>
    <s v="-"/>
    <n v="1"/>
    <n v="1"/>
    <n v="2"/>
    <n v="2"/>
    <n v="7"/>
    <n v="8"/>
  </r>
  <r>
    <x v="6"/>
    <x v="148"/>
    <d v="1899-12-30T00:00:00"/>
    <s v="3RD"/>
    <d v="1899-12-30T23:00:00"/>
    <n v="2"/>
    <x v="2"/>
    <n v="8.0000000000000002E-3"/>
    <s v="P"/>
    <s v="P"/>
    <s v="P"/>
    <s v="-"/>
    <s v="+"/>
    <n v="11.44"/>
    <s v="-"/>
    <s v="-"/>
    <s v="-"/>
    <s v="-"/>
    <s v="-"/>
    <s v="-"/>
    <s v="-"/>
    <s v="-"/>
    <s v="P"/>
    <s v="P"/>
    <s v="-"/>
    <n v="2"/>
    <n v="1"/>
    <n v="2"/>
    <n v="0"/>
    <s v="-"/>
    <s v="-"/>
    <s v="-"/>
    <s v="-"/>
    <s v="-"/>
    <s v="-"/>
    <s v="-"/>
    <n v="5"/>
    <n v="6"/>
    <s v="-"/>
    <n v="1"/>
    <n v="1"/>
    <n v="2"/>
    <n v="2"/>
    <n v="7"/>
    <n v="8"/>
  </r>
  <r>
    <x v="6"/>
    <x v="148"/>
    <d v="1899-12-30T00:00:00"/>
    <s v="3RD"/>
    <d v="1899-12-31T00:00:00"/>
    <n v="2"/>
    <x v="2"/>
    <n v="6.7999999999999996E-3"/>
    <s v="P"/>
    <s v="P"/>
    <s v="P"/>
    <s v="-"/>
    <s v="+"/>
    <n v="11.56"/>
    <s v="-"/>
    <s v="-"/>
    <s v="-"/>
    <s v="-"/>
    <s v="-"/>
    <s v="-"/>
    <s v="-"/>
    <s v="-"/>
    <s v="P"/>
    <s v="P"/>
    <s v="-"/>
    <n v="2"/>
    <n v="1"/>
    <n v="2"/>
    <n v="0"/>
    <s v="-"/>
    <s v="-"/>
    <s v="-"/>
    <s v="-"/>
    <s v="-"/>
    <s v="-"/>
    <s v="-"/>
    <n v="5"/>
    <n v="6"/>
    <s v="-"/>
    <n v="1"/>
    <n v="1"/>
    <n v="2"/>
    <n v="2"/>
    <n v="7"/>
    <n v="8"/>
  </r>
  <r>
    <x v="6"/>
    <x v="148"/>
    <d v="1899-12-30T00:00:00"/>
    <s v="3RD"/>
    <d v="1899-12-31T01:00:00"/>
    <n v="2"/>
    <x v="2"/>
    <n v="8.0999999999999996E-3"/>
    <s v="P"/>
    <s v="P"/>
    <s v="P"/>
    <s v="-"/>
    <s v="+"/>
    <n v="11.31"/>
    <s v="-"/>
    <s v="-"/>
    <s v="-"/>
    <s v="-"/>
    <s v="-"/>
    <s v="-"/>
    <s v="-"/>
    <s v="-"/>
    <s v="P"/>
    <s v="P"/>
    <s v="-"/>
    <n v="2"/>
    <n v="1"/>
    <n v="2"/>
    <n v="0"/>
    <s v="-"/>
    <s v="-"/>
    <s v="-"/>
    <s v="-"/>
    <s v="-"/>
    <s v="-"/>
    <s v="-"/>
    <n v="5"/>
    <n v="6"/>
    <s v="-"/>
    <n v="1"/>
    <n v="1"/>
    <n v="2"/>
    <n v="2"/>
    <n v="7"/>
    <n v="8"/>
  </r>
  <r>
    <x v="6"/>
    <x v="149"/>
    <d v="2026-07-01T00:00:00"/>
    <s v="1ST"/>
    <s v="10:00"/>
    <s v="Retail"/>
    <x v="25"/>
    <s v="-"/>
    <s v="P"/>
    <s v="P"/>
    <s v="P"/>
    <s v="+"/>
    <s v="+"/>
    <n v="11.96"/>
    <n v="14.41"/>
    <n v="1.27"/>
    <n v="71"/>
    <s v="-"/>
    <s v="-"/>
    <n v="40.9"/>
    <s v="-"/>
    <s v="-"/>
    <s v="-"/>
    <s v="-"/>
    <s v="-"/>
    <s v="-"/>
    <n v="1"/>
    <n v="2"/>
    <n v="0"/>
    <n v="1"/>
    <n v="0"/>
    <n v="2"/>
    <s v="-"/>
    <s v="-"/>
    <n v="2"/>
    <s v="-"/>
    <n v="8"/>
    <n v="11"/>
    <s v="-"/>
    <s v="-"/>
    <s v="-"/>
    <n v="0"/>
    <n v="0"/>
    <n v="8"/>
    <n v="11"/>
  </r>
  <r>
    <x v="6"/>
    <x v="150"/>
    <d v="2026-07-08T00:00:00"/>
    <s v="1ST"/>
    <s v="07:00"/>
    <n v="1"/>
    <x v="22"/>
    <n v="7.7999999999999996E-3"/>
    <s v="P"/>
    <s v="P"/>
    <s v="P"/>
    <s v="-"/>
    <s v="-"/>
    <n v="11.58"/>
    <n v="8.2899999999999991"/>
    <n v="0.55000000000000004"/>
    <n v="55.1"/>
    <n v="15.4"/>
    <n v="259"/>
    <n v="22.2"/>
    <s v="-"/>
    <s v="-"/>
    <s v="P"/>
    <s v="P"/>
    <n v="1"/>
    <n v="2"/>
    <n v="1"/>
    <n v="2"/>
    <n v="1"/>
    <n v="0"/>
    <n v="2"/>
    <n v="2"/>
    <s v="-"/>
    <s v="-"/>
    <n v="2"/>
    <s v="-"/>
    <n v="12"/>
    <n v="13"/>
    <s v="-"/>
    <n v="1"/>
    <n v="1"/>
    <n v="2"/>
    <n v="2"/>
    <n v="14"/>
    <n v="15"/>
  </r>
  <r>
    <x v="6"/>
    <x v="150"/>
    <d v="2026-07-08T00:00:00"/>
    <s v="1ST"/>
    <s v="08:00"/>
    <n v="1"/>
    <x v="22"/>
    <n v="8.9999999999999993E-3"/>
    <s v="P"/>
    <s v="P"/>
    <s v="P"/>
    <s v="-"/>
    <s v="-"/>
    <n v="11.94"/>
    <s v="-"/>
    <s v="-"/>
    <s v="-"/>
    <s v="-"/>
    <s v="-"/>
    <s v="-"/>
    <s v="-"/>
    <s v="-"/>
    <s v="P"/>
    <s v="P"/>
    <s v="-"/>
    <n v="2"/>
    <n v="1"/>
    <n v="2"/>
    <n v="1"/>
    <s v="-"/>
    <s v="-"/>
    <s v="-"/>
    <s v="-"/>
    <s v="-"/>
    <s v="-"/>
    <s v="-"/>
    <n v="6"/>
    <n v="6"/>
    <s v="-"/>
    <n v="1"/>
    <n v="1"/>
    <n v="2"/>
    <n v="2"/>
    <n v="8"/>
    <n v="8"/>
  </r>
  <r>
    <x v="6"/>
    <x v="150"/>
    <d v="1902-03-23T00:00:00"/>
    <s v="1ST"/>
    <s v="13:00"/>
    <n v="2"/>
    <x v="22"/>
    <n v="5.8999999999999999E-3"/>
    <s v="P"/>
    <s v="P"/>
    <s v="P"/>
    <s v="-"/>
    <s v="-"/>
    <n v="11.38"/>
    <s v="-"/>
    <s v="-"/>
    <s v="-"/>
    <s v="-"/>
    <s v="-"/>
    <s v="-"/>
    <s v="-"/>
    <s v="-"/>
    <s v="P"/>
    <s v="P"/>
    <s v="-"/>
    <n v="2"/>
    <n v="1"/>
    <n v="2"/>
    <n v="1"/>
    <s v="-"/>
    <s v="-"/>
    <s v="-"/>
    <s v="-"/>
    <s v="-"/>
    <s v="-"/>
    <s v="-"/>
    <n v="6"/>
    <n v="6"/>
    <s v="-"/>
    <n v="1"/>
    <n v="1"/>
    <n v="2"/>
    <n v="2"/>
    <n v="8"/>
    <n v="8"/>
  </r>
  <r>
    <x v="6"/>
    <x v="150"/>
    <d v="2026-07-01T00:00:00"/>
    <s v="1ST"/>
    <s v="09:00"/>
    <n v="3"/>
    <x v="0"/>
    <n v="1.9900000000000001E-2"/>
    <s v="P"/>
    <s v="P"/>
    <s v="P"/>
    <s v="+"/>
    <s v="+"/>
    <n v="12.27"/>
    <n v="11.99"/>
    <n v="0.57999999999999996"/>
    <n v="65.099999999999994"/>
    <n v="12.5"/>
    <n v="1135"/>
    <n v="33.4"/>
    <s v="-"/>
    <s v="-"/>
    <s v="P"/>
    <s v="P"/>
    <s v="65% 5% 30%"/>
    <n v="2"/>
    <n v="1"/>
    <n v="2"/>
    <n v="1"/>
    <n v="0"/>
    <n v="2"/>
    <n v="2"/>
    <n v="1"/>
    <n v="0"/>
    <n v="2"/>
    <s v="-"/>
    <n v="13"/>
    <n v="15"/>
    <s v="-"/>
    <n v="1"/>
    <n v="1"/>
    <n v="2"/>
    <n v="2"/>
    <n v="15"/>
    <n v="17"/>
  </r>
  <r>
    <x v="6"/>
    <x v="150"/>
    <d v="2026-07-01T00:00:00"/>
    <s v="1ST"/>
    <s v="12:00"/>
    <n v="3"/>
    <x v="1"/>
    <n v="1.9900000000000001E-2"/>
    <s v="P"/>
    <s v="P"/>
    <s v="P"/>
    <s v="+"/>
    <s v="+"/>
    <n v="12.3"/>
    <s v="-"/>
    <s v="-"/>
    <s v="-"/>
    <s v="-"/>
    <s v="-"/>
    <s v="-"/>
    <s v="-"/>
    <s v="-"/>
    <s v="P"/>
    <s v="P"/>
    <s v="-"/>
    <n v="2"/>
    <n v="1"/>
    <n v="2"/>
    <n v="1"/>
    <s v="-"/>
    <s v="-"/>
    <s v="-"/>
    <s v="-"/>
    <s v="-"/>
    <s v="-"/>
    <s v="-"/>
    <n v="6"/>
    <n v="6"/>
    <s v="-"/>
    <n v="1"/>
    <n v="1"/>
    <n v="2"/>
    <n v="2"/>
    <n v="8"/>
    <n v="8"/>
  </r>
  <r>
    <x v="6"/>
    <x v="150"/>
    <d v="2026-07-01T00:00:00"/>
    <s v="1ST"/>
    <s v="13:00"/>
    <n v="3"/>
    <x v="1"/>
    <s v="-"/>
    <s v="P"/>
    <s v="P"/>
    <s v="P"/>
    <s v="+"/>
    <s v="+"/>
    <s v="-"/>
    <s v="-"/>
    <s v="-"/>
    <s v="-"/>
    <s v="-"/>
    <s v="-"/>
    <s v="-"/>
    <s v="-"/>
    <s v="-"/>
    <s v="P"/>
    <s v="P"/>
    <s v="-"/>
    <s v="-"/>
    <n v="1"/>
    <n v="2"/>
    <s v="-"/>
    <s v="-"/>
    <s v="-"/>
    <s v="-"/>
    <s v="-"/>
    <s v="-"/>
    <s v="-"/>
    <s v="-"/>
    <n v="3"/>
    <n v="3"/>
    <s v="-"/>
    <n v="1"/>
    <n v="1"/>
    <n v="2"/>
    <n v="2"/>
    <n v="5"/>
    <n v="5"/>
  </r>
  <r>
    <x v="6"/>
    <x v="150"/>
    <d v="2026-07-08T00:00:00"/>
    <s v="2ND"/>
    <d v="1899-12-30T14:00:00"/>
    <n v="1"/>
    <x v="22"/>
    <n v="1.8700000000000001E-2"/>
    <s v="P"/>
    <s v="P"/>
    <s v="P"/>
    <s v="-"/>
    <s v="-"/>
    <n v="11.87"/>
    <n v="8.14"/>
    <n v="0.52"/>
    <s v="-"/>
    <s v="-"/>
    <s v="-"/>
    <n v="23.5"/>
    <s v="-"/>
    <s v="-"/>
    <s v="P"/>
    <s v="P"/>
    <n v="1"/>
    <n v="2"/>
    <n v="1"/>
    <n v="2"/>
    <n v="1"/>
    <n v="0"/>
    <n v="2"/>
    <s v="-"/>
    <s v="-"/>
    <s v="-"/>
    <n v="2"/>
    <s v="-"/>
    <n v="10"/>
    <n v="11"/>
    <s v="-"/>
    <n v="1"/>
    <n v="1"/>
    <n v="2"/>
    <n v="2"/>
    <n v="12"/>
    <n v="13"/>
  </r>
  <r>
    <x v="6"/>
    <x v="150"/>
    <d v="2026-07-08T00:00:00"/>
    <s v="2ND"/>
    <d v="1899-12-30T18:00:00"/>
    <n v="1"/>
    <x v="22"/>
    <n v="2.3999999999999998E-3"/>
    <s v="P"/>
    <s v="P"/>
    <s v="P"/>
    <s v="-"/>
    <s v="-"/>
    <n v="11.8"/>
    <s v="-"/>
    <s v="-"/>
    <s v="-"/>
    <s v="-"/>
    <s v="-"/>
    <s v="-"/>
    <s v="-"/>
    <s v="-"/>
    <s v="P"/>
    <s v="P"/>
    <s v="-"/>
    <n v="2"/>
    <n v="1"/>
    <n v="2"/>
    <n v="1"/>
    <s v="-"/>
    <s v="-"/>
    <s v="-"/>
    <s v="-"/>
    <s v="-"/>
    <s v="-"/>
    <s v="-"/>
    <n v="6"/>
    <n v="6"/>
    <s v="-"/>
    <n v="1"/>
    <n v="1"/>
    <n v="2"/>
    <n v="2"/>
    <n v="8"/>
    <n v="8"/>
  </r>
  <r>
    <x v="6"/>
    <x v="150"/>
    <d v="2026-07-08T00:00:00"/>
    <s v="2ND"/>
    <d v="1899-12-30T19:00:00"/>
    <n v="1"/>
    <x v="22"/>
    <n v="4.4000000000000003E-3"/>
    <s v="P"/>
    <s v="P"/>
    <s v="P"/>
    <s v="-"/>
    <s v="-"/>
    <n v="11.43"/>
    <s v="-"/>
    <s v="-"/>
    <s v="-"/>
    <s v="-"/>
    <s v="-"/>
    <s v="-"/>
    <s v="-"/>
    <s v="-"/>
    <s v="P"/>
    <s v="P"/>
    <s v="-"/>
    <n v="2"/>
    <n v="1"/>
    <n v="2"/>
    <n v="1"/>
    <s v="-"/>
    <s v="-"/>
    <s v="-"/>
    <s v="-"/>
    <s v="-"/>
    <s v="-"/>
    <s v="-"/>
    <n v="6"/>
    <n v="6"/>
    <s v="-"/>
    <n v="1"/>
    <n v="1"/>
    <n v="2"/>
    <n v="2"/>
    <n v="8"/>
    <n v="8"/>
  </r>
  <r>
    <x v="6"/>
    <x v="150"/>
    <d v="2026-07-08T00:00:00"/>
    <s v="2ND"/>
    <d v="1899-12-30T20:00:00"/>
    <n v="1"/>
    <x v="22"/>
    <n v="3.5999999999999999E-3"/>
    <s v="P"/>
    <s v="P"/>
    <s v="P"/>
    <s v="-"/>
    <s v="-"/>
    <n v="11.9"/>
    <s v="-"/>
    <s v="-"/>
    <s v="-"/>
    <s v="-"/>
    <s v="-"/>
    <s v="-"/>
    <s v="-"/>
    <s v="-"/>
    <s v="P"/>
    <s v="P"/>
    <s v="-"/>
    <n v="2"/>
    <n v="1"/>
    <n v="2"/>
    <n v="1"/>
    <s v="-"/>
    <s v="-"/>
    <s v="-"/>
    <s v="-"/>
    <s v="-"/>
    <s v="-"/>
    <s v="-"/>
    <n v="6"/>
    <n v="6"/>
    <s v="-"/>
    <n v="1"/>
    <n v="1"/>
    <n v="2"/>
    <n v="2"/>
    <n v="8"/>
    <n v="8"/>
  </r>
  <r>
    <x v="6"/>
    <x v="150"/>
    <d v="1902-03-26T00:00:00"/>
    <s v="2ND"/>
    <d v="1899-12-30T14:00:00"/>
    <n v="2"/>
    <x v="22"/>
    <n v="2.5999999999999999E-3"/>
    <s v="P"/>
    <s v="P"/>
    <s v="P"/>
    <s v="-"/>
    <s v="-"/>
    <n v="11.45"/>
    <s v="-"/>
    <s v="-"/>
    <s v="-"/>
    <s v="-"/>
    <s v="-"/>
    <s v="-"/>
    <s v="-"/>
    <s v="-"/>
    <s v="P"/>
    <s v="P"/>
    <s v="-"/>
    <n v="2"/>
    <n v="1"/>
    <n v="2"/>
    <n v="1"/>
    <s v="-"/>
    <s v="-"/>
    <s v="-"/>
    <s v="-"/>
    <s v="-"/>
    <s v="-"/>
    <s v="-"/>
    <n v="6"/>
    <n v="6"/>
    <s v="-"/>
    <n v="1"/>
    <n v="1"/>
    <n v="2"/>
    <n v="2"/>
    <n v="8"/>
    <n v="8"/>
  </r>
  <r>
    <x v="6"/>
    <x v="150"/>
    <d v="1899-12-30T00:00:00"/>
    <s v="2ND"/>
    <d v="1899-12-30T16:00:00"/>
    <n v="2"/>
    <x v="22"/>
    <n v="3.5999999999999999E-3"/>
    <s v="P"/>
    <s v="P"/>
    <s v="P"/>
    <s v="-"/>
    <s v="-"/>
    <n v="11.45"/>
    <s v="-"/>
    <s v="-"/>
    <s v="-"/>
    <s v="-"/>
    <s v="-"/>
    <s v="-"/>
    <s v="-"/>
    <s v="-"/>
    <s v="P"/>
    <s v="P"/>
    <n v="1"/>
    <n v="2"/>
    <n v="1"/>
    <n v="2"/>
    <n v="1"/>
    <s v="-"/>
    <s v="-"/>
    <s v="-"/>
    <s v="-"/>
    <s v="-"/>
    <s v="-"/>
    <s v="-"/>
    <n v="6"/>
    <n v="6"/>
    <s v="-"/>
    <n v="1"/>
    <n v="1"/>
    <n v="2"/>
    <n v="2"/>
    <n v="8"/>
    <n v="8"/>
  </r>
  <r>
    <x v="6"/>
    <x v="150"/>
    <d v="1899-12-30T00:00:00"/>
    <s v="2ND"/>
    <d v="1899-12-30T17:00:00"/>
    <n v="2"/>
    <x v="5"/>
    <n v="7.4000000000000003E-3"/>
    <s v="P"/>
    <s v="P"/>
    <s v="P"/>
    <s v="-"/>
    <s v="+"/>
    <n v="11.65"/>
    <n v="8.64"/>
    <s v="-"/>
    <n v="55.8"/>
    <s v="-"/>
    <s v="-"/>
    <n v="23.3"/>
    <s v="-"/>
    <s v="-"/>
    <s v="P"/>
    <s v="P"/>
    <s v="-"/>
    <n v="2"/>
    <n v="1"/>
    <n v="2"/>
    <n v="1"/>
    <n v="1"/>
    <s v="-"/>
    <n v="2"/>
    <s v="-"/>
    <s v="-"/>
    <n v="2"/>
    <s v="-"/>
    <n v="11"/>
    <n v="11"/>
    <s v="-"/>
    <n v="1"/>
    <n v="1"/>
    <n v="2"/>
    <n v="2"/>
    <n v="13"/>
    <n v="13"/>
  </r>
  <r>
    <x v="6"/>
    <x v="150"/>
    <d v="1899-12-30T00:00:00"/>
    <s v="2ND"/>
    <d v="1899-12-30T18:00:00"/>
    <n v="2"/>
    <x v="5"/>
    <n v="1.2699999999999999E-2"/>
    <s v="P"/>
    <s v="P"/>
    <s v="P"/>
    <s v="-"/>
    <s v="+"/>
    <n v="11.44"/>
    <s v="-"/>
    <s v="-"/>
    <s v="-"/>
    <s v="-"/>
    <s v="-"/>
    <s v="-"/>
    <s v="-"/>
    <s v="-"/>
    <s v="P"/>
    <s v="P"/>
    <s v="-"/>
    <n v="2"/>
    <n v="1"/>
    <n v="2"/>
    <n v="1"/>
    <s v="-"/>
    <s v="-"/>
    <s v="-"/>
    <s v="-"/>
    <s v="-"/>
    <s v="-"/>
    <s v="-"/>
    <n v="6"/>
    <n v="6"/>
    <s v="-"/>
    <n v="1"/>
    <n v="1"/>
    <n v="2"/>
    <n v="2"/>
    <n v="8"/>
    <n v="8"/>
  </r>
  <r>
    <x v="6"/>
    <x v="150"/>
    <d v="1899-12-30T00:00:00"/>
    <s v="2ND"/>
    <d v="1899-12-30T19:00:00"/>
    <n v="2"/>
    <x v="5"/>
    <n v="3.5000000000000001E-3"/>
    <s v="P"/>
    <s v="P"/>
    <s v="P"/>
    <s v="-"/>
    <s v="+"/>
    <n v="11.43"/>
    <s v="-"/>
    <s v="-"/>
    <s v="-"/>
    <s v="-"/>
    <s v="-"/>
    <s v="-"/>
    <s v="-"/>
    <s v="-"/>
    <s v="P"/>
    <s v="P"/>
    <s v="-"/>
    <n v="2"/>
    <n v="1"/>
    <n v="2"/>
    <n v="1"/>
    <s v="-"/>
    <s v="-"/>
    <s v="-"/>
    <s v="-"/>
    <s v="-"/>
    <s v="-"/>
    <s v="-"/>
    <n v="6"/>
    <n v="6"/>
    <s v="-"/>
    <n v="1"/>
    <n v="1"/>
    <n v="2"/>
    <n v="2"/>
    <n v="8"/>
    <n v="8"/>
  </r>
  <r>
    <x v="6"/>
    <x v="150"/>
    <d v="1899-12-30T00:00:00"/>
    <s v="2ND"/>
    <d v="1899-12-30T20:00:00"/>
    <n v="2"/>
    <x v="5"/>
    <n v="4.1999999999999997E-3"/>
    <s v="P"/>
    <s v="P"/>
    <s v="P"/>
    <s v="-"/>
    <s v="+"/>
    <n v="11.24"/>
    <s v="-"/>
    <s v="-"/>
    <s v="-"/>
    <s v="-"/>
    <s v="-"/>
    <s v="-"/>
    <s v="-"/>
    <s v="-"/>
    <s v="P"/>
    <s v="P"/>
    <s v="-"/>
    <n v="2"/>
    <n v="1"/>
    <n v="2"/>
    <n v="1"/>
    <s v="-"/>
    <s v="-"/>
    <s v="-"/>
    <s v="-"/>
    <s v="-"/>
    <s v="-"/>
    <s v="-"/>
    <n v="6"/>
    <n v="6"/>
    <s v="-"/>
    <n v="1"/>
    <n v="1"/>
    <n v="2"/>
    <n v="2"/>
    <n v="8"/>
    <n v="8"/>
  </r>
  <r>
    <x v="6"/>
    <x v="150"/>
    <d v="2026-07-01T00:00:00"/>
    <s v="2ND"/>
    <d v="1899-12-30T14:00:00"/>
    <n v="3"/>
    <x v="1"/>
    <n v="1.3100000000000001E-2"/>
    <s v="P"/>
    <s v="P"/>
    <s v="P"/>
    <s v="+"/>
    <s v="+"/>
    <n v="12.44"/>
    <s v="-"/>
    <s v="-"/>
    <s v="-"/>
    <s v="-"/>
    <s v="-"/>
    <s v="-"/>
    <s v="-"/>
    <s v="-"/>
    <s v="P"/>
    <s v="P"/>
    <s v="65% 5% 30%"/>
    <n v="2"/>
    <n v="1"/>
    <n v="2"/>
    <n v="1"/>
    <s v="-"/>
    <s v="-"/>
    <s v="-"/>
    <s v="-"/>
    <s v="-"/>
    <s v="-"/>
    <s v="-"/>
    <n v="6"/>
    <n v="6"/>
    <s v="-"/>
    <n v="1"/>
    <n v="1"/>
    <n v="2"/>
    <n v="2"/>
    <n v="8"/>
    <n v="8"/>
  </r>
  <r>
    <x v="6"/>
    <x v="150"/>
    <d v="2026-07-08T00:00:00"/>
    <s v="3RD"/>
    <d v="1899-12-30T22:00:00"/>
    <n v="1"/>
    <x v="22"/>
    <n v="2E-3"/>
    <s v="P"/>
    <s v="P"/>
    <s v="P"/>
    <s v="-"/>
    <s v="-"/>
    <n v="11.9"/>
    <n v="9.33"/>
    <n v="0.52"/>
    <s v="-"/>
    <s v="-"/>
    <s v="-"/>
    <n v="25.29"/>
    <s v="-"/>
    <s v="-"/>
    <s v="P"/>
    <s v="P"/>
    <n v="1"/>
    <n v="2"/>
    <n v="1"/>
    <n v="2"/>
    <n v="1"/>
    <n v="1"/>
    <n v="2"/>
    <s v="-"/>
    <s v="-"/>
    <s v="-"/>
    <n v="2"/>
    <s v="-"/>
    <n v="11"/>
    <n v="11"/>
    <s v="-"/>
    <n v="1"/>
    <n v="1"/>
    <n v="2"/>
    <n v="2"/>
    <n v="13"/>
    <n v="13"/>
  </r>
  <r>
    <x v="6"/>
    <x v="150"/>
    <d v="2026-07-08T00:00:00"/>
    <s v="3RD"/>
    <d v="1899-12-30T23:00:00"/>
    <n v="1"/>
    <x v="22"/>
    <n v="2.5999999999999999E-3"/>
    <s v="P"/>
    <s v="P"/>
    <s v="P"/>
    <s v="-"/>
    <s v="-"/>
    <n v="11.58"/>
    <s v="-"/>
    <s v="-"/>
    <s v="-"/>
    <s v="-"/>
    <s v="-"/>
    <s v="-"/>
    <s v="-"/>
    <s v="-"/>
    <s v="P"/>
    <s v="P"/>
    <s v="-"/>
    <n v="2"/>
    <n v="1"/>
    <n v="2"/>
    <n v="1"/>
    <s v="-"/>
    <s v="-"/>
    <s v="-"/>
    <s v="-"/>
    <s v="-"/>
    <s v="-"/>
    <s v="-"/>
    <n v="6"/>
    <n v="6"/>
    <s v="-"/>
    <n v="1"/>
    <n v="1"/>
    <n v="2"/>
    <n v="2"/>
    <n v="8"/>
    <n v="8"/>
  </r>
  <r>
    <x v="6"/>
    <x v="150"/>
    <d v="2026-07-08T00:00:00"/>
    <s v="3RD"/>
    <d v="1899-12-31T00:00:00"/>
    <n v="1"/>
    <x v="22"/>
    <n v="1.8E-3"/>
    <s v="P"/>
    <s v="P"/>
    <s v="P"/>
    <s v="-"/>
    <s v="-"/>
    <n v="11.98"/>
    <s v="-"/>
    <s v="-"/>
    <s v="-"/>
    <s v="-"/>
    <s v="-"/>
    <s v="-"/>
    <s v="-"/>
    <s v="-"/>
    <s v="P"/>
    <s v="P"/>
    <s v="-"/>
    <n v="2"/>
    <n v="1"/>
    <n v="2"/>
    <n v="1"/>
    <s v="-"/>
    <s v="-"/>
    <s v="-"/>
    <s v="-"/>
    <s v="-"/>
    <s v="-"/>
    <s v="-"/>
    <n v="6"/>
    <n v="6"/>
    <s v="-"/>
    <n v="1"/>
    <n v="1"/>
    <n v="2"/>
    <n v="2"/>
    <n v="8"/>
    <n v="8"/>
  </r>
  <r>
    <x v="6"/>
    <x v="150"/>
    <d v="2026-07-08T00:00:00"/>
    <s v="3RD"/>
    <d v="1899-12-31T01:00:00"/>
    <n v="1"/>
    <x v="22"/>
    <n v="2E-3"/>
    <s v="P"/>
    <s v="P"/>
    <s v="P"/>
    <s v="-"/>
    <s v="-"/>
    <n v="11.94"/>
    <s v="-"/>
    <s v="-"/>
    <s v="-"/>
    <s v="-"/>
    <s v="-"/>
    <s v="-"/>
    <s v="-"/>
    <s v="-"/>
    <s v="P"/>
    <s v="P"/>
    <s v="-"/>
    <n v="2"/>
    <n v="1"/>
    <n v="2"/>
    <n v="1"/>
    <s v="-"/>
    <s v="-"/>
    <s v="-"/>
    <s v="-"/>
    <s v="-"/>
    <s v="-"/>
    <s v="-"/>
    <n v="6"/>
    <n v="6"/>
    <s v="-"/>
    <n v="1"/>
    <n v="1"/>
    <n v="2"/>
    <n v="2"/>
    <n v="8"/>
    <n v="8"/>
  </r>
  <r>
    <x v="6"/>
    <x v="150"/>
    <d v="2026-07-08T00:00:00"/>
    <s v="3RD"/>
    <d v="1899-12-31T02:00:00"/>
    <n v="1"/>
    <x v="22"/>
    <n v="2.5000000000000001E-3"/>
    <s v="P"/>
    <s v="P"/>
    <s v="P"/>
    <s v="-"/>
    <s v="-"/>
    <n v="12.05"/>
    <s v="-"/>
    <s v="-"/>
    <s v="-"/>
    <s v="-"/>
    <s v="-"/>
    <s v="-"/>
    <s v="-"/>
    <s v="-"/>
    <s v="P"/>
    <s v="P"/>
    <s v="-"/>
    <n v="2"/>
    <n v="1"/>
    <n v="2"/>
    <n v="1"/>
    <s v="-"/>
    <s v="-"/>
    <s v="-"/>
    <s v="-"/>
    <s v="-"/>
    <s v="-"/>
    <s v="-"/>
    <n v="6"/>
    <n v="6"/>
    <s v="-"/>
    <n v="1"/>
    <n v="1"/>
    <n v="2"/>
    <n v="2"/>
    <n v="8"/>
    <n v="8"/>
  </r>
  <r>
    <x v="6"/>
    <x v="150"/>
    <d v="2026-07-08T00:00:00"/>
    <s v="3RD"/>
    <d v="1899-12-31T03:00:00"/>
    <n v="1"/>
    <x v="22"/>
    <n v="3.2000000000000002E-3"/>
    <s v="P"/>
    <s v="P"/>
    <s v="P"/>
    <s v="-"/>
    <s v="-"/>
    <n v="11.82"/>
    <s v="-"/>
    <s v="-"/>
    <s v="-"/>
    <s v="-"/>
    <s v="-"/>
    <s v="-"/>
    <s v="-"/>
    <s v="-"/>
    <s v="P"/>
    <s v="P"/>
    <s v="-"/>
    <n v="2"/>
    <n v="1"/>
    <n v="2"/>
    <n v="1"/>
    <s v="-"/>
    <s v="-"/>
    <s v="-"/>
    <s v="-"/>
    <s v="-"/>
    <s v="-"/>
    <s v="-"/>
    <n v="6"/>
    <n v="6"/>
    <s v="-"/>
    <n v="1"/>
    <n v="1"/>
    <n v="2"/>
    <n v="2"/>
    <n v="8"/>
    <n v="8"/>
  </r>
  <r>
    <x v="6"/>
    <x v="150"/>
    <d v="2026-07-08T00:00:00"/>
    <s v="3RD"/>
    <d v="1899-12-31T04:00:00"/>
    <n v="1"/>
    <x v="22"/>
    <n v="4.3E-3"/>
    <s v="P"/>
    <s v="P"/>
    <s v="P"/>
    <s v="-"/>
    <s v="-"/>
    <n v="12.05"/>
    <s v="-"/>
    <s v="-"/>
    <s v="-"/>
    <s v="-"/>
    <s v="-"/>
    <s v="-"/>
    <s v="-"/>
    <s v="-"/>
    <s v="P"/>
    <s v="P"/>
    <s v="-"/>
    <n v="2"/>
    <n v="1"/>
    <n v="2"/>
    <n v="1"/>
    <s v="-"/>
    <s v="-"/>
    <s v="-"/>
    <s v="-"/>
    <s v="-"/>
    <s v="-"/>
    <s v="-"/>
    <n v="6"/>
    <n v="6"/>
    <s v="-"/>
    <n v="1"/>
    <n v="1"/>
    <n v="2"/>
    <n v="2"/>
    <n v="8"/>
    <n v="8"/>
  </r>
  <r>
    <x v="6"/>
    <x v="150"/>
    <d v="1902-03-26T00:00:00"/>
    <s v="3RD"/>
    <d v="1899-12-30T22:00:00"/>
    <n v="2"/>
    <x v="4"/>
    <n v="1.1999999999999999E-3"/>
    <s v="P"/>
    <s v="P"/>
    <s v="P"/>
    <s v="-"/>
    <s v="+"/>
    <n v="11.39"/>
    <s v="-"/>
    <s v="-"/>
    <s v="-"/>
    <s v="-"/>
    <s v="-"/>
    <s v="-"/>
    <s v="-"/>
    <s v="-"/>
    <s v="P"/>
    <s v="P"/>
    <s v="-"/>
    <n v="2"/>
    <n v="1"/>
    <n v="2"/>
    <n v="1"/>
    <s v="-"/>
    <s v="-"/>
    <s v="-"/>
    <s v="-"/>
    <s v="-"/>
    <s v="-"/>
    <s v="-"/>
    <n v="6"/>
    <n v="6"/>
    <s v="-"/>
    <n v="1"/>
    <n v="1"/>
    <n v="2"/>
    <n v="2"/>
    <n v="8"/>
    <n v="8"/>
  </r>
  <r>
    <x v="6"/>
    <x v="150"/>
    <d v="1899-12-30T00:00:00"/>
    <s v="3RD"/>
    <d v="1899-12-30T23:00:00"/>
    <n v="2"/>
    <x v="4"/>
    <n v="1.8E-3"/>
    <s v="P"/>
    <s v="P"/>
    <s v="P"/>
    <s v="-"/>
    <s v="+"/>
    <n v="11.3"/>
    <s v="-"/>
    <s v="-"/>
    <s v="-"/>
    <s v="-"/>
    <s v="-"/>
    <s v="-"/>
    <s v="-"/>
    <s v="-"/>
    <s v="P"/>
    <s v="P"/>
    <s v="-"/>
    <n v="2"/>
    <n v="1"/>
    <n v="2"/>
    <n v="1"/>
    <s v="-"/>
    <s v="-"/>
    <s v="-"/>
    <s v="-"/>
    <s v="-"/>
    <s v="-"/>
    <s v="-"/>
    <n v="6"/>
    <n v="6"/>
    <s v="-"/>
    <n v="1"/>
    <n v="1"/>
    <n v="2"/>
    <n v="2"/>
    <n v="8"/>
    <n v="8"/>
  </r>
  <r>
    <x v="6"/>
    <x v="150"/>
    <d v="1899-12-30T00:00:00"/>
    <s v="3RD"/>
    <d v="1899-12-31T00:00:00"/>
    <n v="2"/>
    <x v="4"/>
    <n v="1.4E-3"/>
    <s v="P"/>
    <s v="P"/>
    <s v="P"/>
    <s v="-"/>
    <s v="+"/>
    <n v="11.27"/>
    <s v="-"/>
    <s v="-"/>
    <s v="-"/>
    <s v="-"/>
    <s v="-"/>
    <s v="-"/>
    <s v="-"/>
    <s v="-"/>
    <s v="P"/>
    <s v="P"/>
    <s v="-"/>
    <n v="2"/>
    <n v="1"/>
    <n v="2"/>
    <n v="1"/>
    <s v="-"/>
    <s v="-"/>
    <s v="-"/>
    <s v="-"/>
    <s v="-"/>
    <s v="-"/>
    <s v="-"/>
    <n v="6"/>
    <n v="6"/>
    <s v="-"/>
    <n v="1"/>
    <n v="1"/>
    <n v="2"/>
    <n v="2"/>
    <n v="8"/>
    <n v="8"/>
  </r>
  <r>
    <x v="6"/>
    <x v="150"/>
    <d v="1899-12-30T00:00:00"/>
    <s v="3RD"/>
    <d v="1899-12-31T01:00:00"/>
    <n v="2"/>
    <x v="4"/>
    <n v="1.1000000000000001E-3"/>
    <s v="P"/>
    <s v="P"/>
    <s v="P"/>
    <s v="-"/>
    <s v="+"/>
    <n v="11.53"/>
    <s v="-"/>
    <s v="-"/>
    <s v="-"/>
    <s v="-"/>
    <s v="-"/>
    <s v="-"/>
    <s v="-"/>
    <s v="-"/>
    <s v="P"/>
    <s v="P"/>
    <s v="-"/>
    <n v="2"/>
    <n v="1"/>
    <n v="2"/>
    <n v="1"/>
    <s v="-"/>
    <s v="-"/>
    <s v="-"/>
    <s v="-"/>
    <s v="-"/>
    <s v="-"/>
    <s v="-"/>
    <n v="6"/>
    <n v="6"/>
    <s v="-"/>
    <n v="1"/>
    <n v="1"/>
    <n v="2"/>
    <n v="2"/>
    <n v="8"/>
    <n v="8"/>
  </r>
  <r>
    <x v="6"/>
    <x v="150"/>
    <d v="1899-12-30T00:00:00"/>
    <s v="3RD"/>
    <d v="1899-12-31T02:00:00"/>
    <n v="2"/>
    <x v="4"/>
    <n v="8.0000000000000004E-4"/>
    <s v="P"/>
    <s v="P"/>
    <s v="P"/>
    <s v="-"/>
    <s v="+"/>
    <n v="11.51"/>
    <s v="-"/>
    <s v="-"/>
    <s v="-"/>
    <s v="-"/>
    <s v="-"/>
    <s v="-"/>
    <s v="-"/>
    <s v="-"/>
    <s v="P"/>
    <s v="P"/>
    <s v="-"/>
    <n v="2"/>
    <n v="1"/>
    <n v="2"/>
    <n v="1"/>
    <s v="-"/>
    <s v="-"/>
    <s v="-"/>
    <s v="-"/>
    <s v="-"/>
    <s v="-"/>
    <s v="-"/>
    <n v="6"/>
    <n v="6"/>
    <s v="-"/>
    <n v="1"/>
    <n v="1"/>
    <n v="2"/>
    <n v="2"/>
    <n v="8"/>
    <n v="8"/>
  </r>
  <r>
    <x v="6"/>
    <x v="150"/>
    <d v="1899-12-30T00:00:00"/>
    <s v="3RD"/>
    <d v="1899-12-31T03:00:00"/>
    <n v="2"/>
    <x v="4"/>
    <n v="1.6000000000000001E-3"/>
    <s v="P"/>
    <s v="P"/>
    <s v="P"/>
    <s v="-"/>
    <s v="+"/>
    <n v="11.42"/>
    <s v="-"/>
    <s v="-"/>
    <s v="-"/>
    <s v="-"/>
    <s v="-"/>
    <s v="-"/>
    <s v="-"/>
    <s v="-"/>
    <s v="P"/>
    <s v="P"/>
    <s v="-"/>
    <n v="2"/>
    <n v="1"/>
    <n v="2"/>
    <n v="1"/>
    <s v="-"/>
    <s v="-"/>
    <s v="-"/>
    <s v="-"/>
    <s v="-"/>
    <s v="-"/>
    <s v="-"/>
    <n v="6"/>
    <n v="6"/>
    <s v="-"/>
    <n v="1"/>
    <n v="1"/>
    <n v="2"/>
    <n v="2"/>
    <n v="8"/>
    <n v="8"/>
  </r>
  <r>
    <x v="6"/>
    <x v="150"/>
    <d v="1899-12-30T00:00:00"/>
    <s v="3RD"/>
    <d v="1899-12-31T04:00:00"/>
    <n v="2"/>
    <x v="4"/>
    <n v="2.7000000000000001E-3"/>
    <s v="P"/>
    <s v="P"/>
    <s v="P"/>
    <s v="-"/>
    <s v="+"/>
    <n v="11.33"/>
    <s v="-"/>
    <s v="-"/>
    <s v="-"/>
    <s v="-"/>
    <s v="-"/>
    <s v="-"/>
    <s v="-"/>
    <s v="-"/>
    <s v="P"/>
    <s v="P"/>
    <s v="-"/>
    <n v="2"/>
    <n v="1"/>
    <n v="2"/>
    <n v="1"/>
    <s v="-"/>
    <s v="-"/>
    <s v="-"/>
    <s v="-"/>
    <s v="-"/>
    <s v="-"/>
    <s v="-"/>
    <n v="6"/>
    <n v="6"/>
    <s v="-"/>
    <n v="1"/>
    <n v="1"/>
    <n v="2"/>
    <n v="2"/>
    <n v="8"/>
    <n v="8"/>
  </r>
  <r>
    <x v="6"/>
    <x v="150"/>
    <d v="2026-07-08T00:00:00"/>
    <s v="3RD"/>
    <d v="1899-12-31T01:00:00"/>
    <n v="3"/>
    <x v="20"/>
    <n v="3.4599999999999999E-2"/>
    <s v="P"/>
    <s v="P"/>
    <s v="P"/>
    <s v="-"/>
    <s v="-"/>
    <n v="12.79"/>
    <n v="11.99"/>
    <n v="0.62"/>
    <s v="-"/>
    <s v="-"/>
    <s v="-"/>
    <n v="33.299999999999997"/>
    <s v="-"/>
    <s v="-"/>
    <s v="P"/>
    <s v="P"/>
    <s v="80% 20%"/>
    <n v="0"/>
    <n v="1"/>
    <n v="2"/>
    <n v="1"/>
    <n v="0"/>
    <n v="2"/>
    <s v="-"/>
    <s v="-"/>
    <s v="-"/>
    <n v="2"/>
    <s v="-"/>
    <n v="8"/>
    <n v="11"/>
    <s v="-"/>
    <n v="1"/>
    <n v="1"/>
    <n v="2"/>
    <n v="2"/>
    <n v="10"/>
    <n v="13"/>
  </r>
  <r>
    <x v="6"/>
    <x v="150"/>
    <d v="2026-07-08T00:00:00"/>
    <s v="3RD"/>
    <d v="1899-12-31T02:00:00"/>
    <n v="3"/>
    <x v="20"/>
    <n v="1.43E-2"/>
    <s v="P"/>
    <s v="P"/>
    <s v="P"/>
    <s v="-"/>
    <s v="-"/>
    <n v="12.79"/>
    <s v="-"/>
    <s v="-"/>
    <s v="-"/>
    <s v="-"/>
    <s v="-"/>
    <s v="-"/>
    <s v="-"/>
    <s v="-"/>
    <s v="P"/>
    <s v="P"/>
    <s v="-"/>
    <n v="2"/>
    <n v="1"/>
    <n v="2"/>
    <n v="1"/>
    <s v="-"/>
    <s v="-"/>
    <s v="-"/>
    <s v="-"/>
    <s v="-"/>
    <s v="-"/>
    <s v="-"/>
    <n v="6"/>
    <n v="6"/>
    <s v="-"/>
    <n v="1"/>
    <n v="1"/>
    <n v="2"/>
    <n v="2"/>
    <n v="8"/>
    <n v="8"/>
  </r>
  <r>
    <x v="6"/>
    <x v="150"/>
    <d v="2026-07-08T00:00:00"/>
    <s v="3RD"/>
    <d v="1899-12-31T03:00:00"/>
    <n v="3"/>
    <x v="20"/>
    <n v="2.8000000000000001E-2"/>
    <s v="P"/>
    <s v="P"/>
    <s v="P"/>
    <s v="-"/>
    <s v="-"/>
    <n v="13.03"/>
    <s v="-"/>
    <s v="-"/>
    <s v="-"/>
    <s v="-"/>
    <s v="-"/>
    <s v="-"/>
    <s v="-"/>
    <s v="-"/>
    <s v="P"/>
    <s v="P"/>
    <s v="-"/>
    <n v="0"/>
    <n v="1"/>
    <n v="2"/>
    <n v="1"/>
    <s v="-"/>
    <s v="-"/>
    <s v="-"/>
    <s v="-"/>
    <s v="-"/>
    <s v="-"/>
    <s v="-"/>
    <n v="4"/>
    <n v="6"/>
    <s v="-"/>
    <n v="1"/>
    <n v="1"/>
    <n v="2"/>
    <n v="2"/>
    <n v="6"/>
    <n v="8"/>
  </r>
  <r>
    <x v="6"/>
    <x v="150"/>
    <d v="2026-07-08T00:00:00"/>
    <s v="3RD"/>
    <d v="1899-12-31T04:00:00"/>
    <n v="3"/>
    <x v="20"/>
    <n v="3.4599999999999999E-2"/>
    <s v="P"/>
    <s v="P"/>
    <s v="P"/>
    <s v="-"/>
    <s v="-"/>
    <n v="12.27"/>
    <s v="-"/>
    <s v="-"/>
    <s v="-"/>
    <s v="-"/>
    <s v="-"/>
    <s v="-"/>
    <s v="-"/>
    <s v="-"/>
    <s v="P"/>
    <s v="P"/>
    <s v="-"/>
    <n v="0"/>
    <n v="1"/>
    <n v="2"/>
    <n v="1"/>
    <s v="-"/>
    <s v="-"/>
    <s v="-"/>
    <s v="-"/>
    <s v="-"/>
    <s v="-"/>
    <s v="-"/>
    <n v="4"/>
    <n v="6"/>
    <s v="-"/>
    <n v="1"/>
    <n v="1"/>
    <n v="2"/>
    <n v="2"/>
    <n v="6"/>
    <n v="8"/>
  </r>
  <r>
    <x v="6"/>
    <x v="151"/>
    <d v="2026-07-08T00:00:00"/>
    <s v="1ST"/>
    <s v="06:00"/>
    <n v="1"/>
    <x v="22"/>
    <n v="5.1999999999999998E-3"/>
    <s v="P"/>
    <s v="P"/>
    <s v="P"/>
    <s v="-"/>
    <s v="-"/>
    <n v="11.84"/>
    <n v="8.4600000000000009"/>
    <n v="0.5"/>
    <n v="55"/>
    <s v="-"/>
    <s v="-"/>
    <n v="22.7"/>
    <s v="-"/>
    <s v="-"/>
    <s v="P"/>
    <s v="P"/>
    <n v="1"/>
    <n v="2"/>
    <n v="1"/>
    <n v="2"/>
    <n v="1"/>
    <n v="0"/>
    <n v="2"/>
    <n v="2"/>
    <s v="-"/>
    <s v="-"/>
    <n v="2"/>
    <s v="-"/>
    <n v="12"/>
    <n v="13"/>
    <s v="-"/>
    <n v="1"/>
    <n v="1"/>
    <n v="2"/>
    <n v="2"/>
    <n v="14"/>
    <n v="15"/>
  </r>
  <r>
    <x v="6"/>
    <x v="151"/>
    <d v="2026-07-08T00:00:00"/>
    <s v="1ST"/>
    <s v="07:00"/>
    <n v="1"/>
    <x v="22"/>
    <n v="2.2000000000000001E-3"/>
    <s v="P"/>
    <s v="P"/>
    <s v="P"/>
    <s v="-"/>
    <s v="-"/>
    <n v="12.12"/>
    <s v="-"/>
    <s v="-"/>
    <s v="-"/>
    <s v="-"/>
    <s v="-"/>
    <s v="-"/>
    <s v="-"/>
    <s v="-"/>
    <s v="P"/>
    <s v="P"/>
    <s v="-"/>
    <n v="2"/>
    <n v="1"/>
    <n v="2"/>
    <n v="1"/>
    <s v="-"/>
    <s v="-"/>
    <s v="-"/>
    <s v="-"/>
    <s v="-"/>
    <s v="-"/>
    <s v="-"/>
    <n v="6"/>
    <n v="6"/>
    <s v="-"/>
    <n v="1"/>
    <n v="1"/>
    <n v="2"/>
    <n v="2"/>
    <n v="8"/>
    <n v="8"/>
  </r>
  <r>
    <x v="6"/>
    <x v="151"/>
    <d v="2026-07-08T00:00:00"/>
    <s v="1ST"/>
    <s v="09:00"/>
    <n v="1"/>
    <x v="22"/>
    <n v="1.1299999999999999E-2"/>
    <s v="P"/>
    <s v="P"/>
    <s v="P"/>
    <s v="-"/>
    <s v="-"/>
    <n v="11.74"/>
    <s v="-"/>
    <s v="-"/>
    <s v="-"/>
    <s v="-"/>
    <s v="-"/>
    <s v="-"/>
    <s v="-"/>
    <s v="-"/>
    <s v="P"/>
    <s v="P"/>
    <s v="-"/>
    <n v="2"/>
    <n v="1"/>
    <n v="2"/>
    <n v="1"/>
    <s v="-"/>
    <s v="-"/>
    <s v="-"/>
    <s v="-"/>
    <s v="-"/>
    <s v="-"/>
    <s v="-"/>
    <n v="6"/>
    <n v="6"/>
    <s v="-"/>
    <n v="1"/>
    <n v="1"/>
    <n v="2"/>
    <n v="2"/>
    <n v="8"/>
    <n v="8"/>
  </r>
  <r>
    <x v="6"/>
    <x v="151"/>
    <d v="2026-07-08T00:00:00"/>
    <s v="1ST"/>
    <s v="11:00"/>
    <n v="1"/>
    <x v="22"/>
    <n v="1.5299999999999999E-2"/>
    <s v="P"/>
    <s v="P"/>
    <s v="P"/>
    <s v="-"/>
    <s v="-"/>
    <n v="11.75"/>
    <s v="-"/>
    <s v="-"/>
    <s v="-"/>
    <s v="-"/>
    <s v="-"/>
    <s v="-"/>
    <s v="-"/>
    <s v="-"/>
    <s v="P"/>
    <s v="P"/>
    <s v="-"/>
    <n v="2"/>
    <n v="1"/>
    <n v="2"/>
    <n v="1"/>
    <s v="-"/>
    <s v="-"/>
    <s v="-"/>
    <s v="-"/>
    <s v="-"/>
    <s v="-"/>
    <s v="-"/>
    <n v="6"/>
    <n v="6"/>
    <s v="-"/>
    <n v="1"/>
    <n v="1"/>
    <n v="2"/>
    <n v="2"/>
    <n v="8"/>
    <n v="8"/>
  </r>
  <r>
    <x v="6"/>
    <x v="151"/>
    <d v="2026-07-08T00:00:00"/>
    <s v="1ST"/>
    <s v="12:00"/>
    <n v="1"/>
    <x v="22"/>
    <n v="1.18E-2"/>
    <s v="P"/>
    <s v="P"/>
    <s v="P"/>
    <s v="-"/>
    <s v="-"/>
    <n v="11.25"/>
    <s v="-"/>
    <s v="-"/>
    <s v="-"/>
    <s v="-"/>
    <s v="-"/>
    <s v="-"/>
    <s v="-"/>
    <s v="-"/>
    <s v="P"/>
    <s v="P"/>
    <s v="-"/>
    <n v="2"/>
    <n v="1"/>
    <n v="2"/>
    <n v="1"/>
    <s v="-"/>
    <s v="-"/>
    <s v="-"/>
    <s v="-"/>
    <s v="-"/>
    <s v="-"/>
    <s v="-"/>
    <n v="6"/>
    <n v="6"/>
    <s v="-"/>
    <n v="1"/>
    <n v="1"/>
    <n v="2"/>
    <n v="2"/>
    <n v="8"/>
    <n v="8"/>
  </r>
  <r>
    <x v="6"/>
    <x v="151"/>
    <d v="2026-07-08T00:00:00"/>
    <s v="1ST"/>
    <s v="13:00"/>
    <n v="1"/>
    <x v="22"/>
    <n v="4.8999999999999998E-3"/>
    <s v="P"/>
    <s v="P"/>
    <s v="P"/>
    <s v="-"/>
    <s v="-"/>
    <n v="11.79"/>
    <s v="-"/>
    <s v="-"/>
    <s v="-"/>
    <s v="-"/>
    <s v="-"/>
    <s v="-"/>
    <s v="-"/>
    <s v="-"/>
    <s v="P"/>
    <s v="P"/>
    <s v="-"/>
    <n v="2"/>
    <n v="1"/>
    <n v="2"/>
    <n v="1"/>
    <s v="-"/>
    <s v="-"/>
    <s v="-"/>
    <s v="-"/>
    <s v="-"/>
    <s v="-"/>
    <s v="-"/>
    <n v="6"/>
    <n v="6"/>
    <s v="-"/>
    <n v="1"/>
    <n v="1"/>
    <n v="2"/>
    <n v="2"/>
    <n v="8"/>
    <n v="8"/>
  </r>
  <r>
    <x v="6"/>
    <x v="151"/>
    <d v="1902-03-26T00:00:00"/>
    <s v="1ST"/>
    <s v="07:00"/>
    <n v="2"/>
    <x v="17"/>
    <n v="6.1000000000000004E-3"/>
    <s v="P"/>
    <s v="P"/>
    <s v="P"/>
    <s v="-"/>
    <s v="+"/>
    <n v="11.51"/>
    <n v="8.7100000000000009"/>
    <n v="0.42"/>
    <n v="56.3"/>
    <n v="6.2"/>
    <n v="437"/>
    <n v="23.5"/>
    <s v="-"/>
    <s v="-"/>
    <s v="P"/>
    <s v="P"/>
    <s v="-"/>
    <n v="2"/>
    <n v="1"/>
    <n v="2"/>
    <n v="1"/>
    <n v="1"/>
    <n v="0"/>
    <n v="2"/>
    <n v="1"/>
    <n v="1"/>
    <n v="2"/>
    <s v="-"/>
    <n v="13"/>
    <n v="15"/>
    <s v="-"/>
    <n v="1"/>
    <n v="1"/>
    <n v="2"/>
    <n v="2"/>
    <n v="15"/>
    <n v="17"/>
  </r>
  <r>
    <x v="6"/>
    <x v="151"/>
    <d v="1899-12-30T00:00:00"/>
    <s v="1ST"/>
    <s v="09:00"/>
    <n v="2"/>
    <x v="17"/>
    <n v="2.8999999999999998E-3"/>
    <s v="P"/>
    <s v="P"/>
    <s v="P"/>
    <s v="-"/>
    <s v="+"/>
    <n v="11.44"/>
    <s v="-"/>
    <s v="-"/>
    <s v="-"/>
    <s v="-"/>
    <s v="-"/>
    <s v="-"/>
    <s v="-"/>
    <s v="-"/>
    <s v="P"/>
    <s v="P"/>
    <s v="-"/>
    <n v="2"/>
    <n v="1"/>
    <n v="2"/>
    <n v="1"/>
    <s v="-"/>
    <s v="-"/>
    <s v="-"/>
    <s v="-"/>
    <s v="-"/>
    <s v="-"/>
    <s v="-"/>
    <n v="6"/>
    <n v="6"/>
    <s v="-"/>
    <n v="1"/>
    <n v="1"/>
    <n v="2"/>
    <n v="2"/>
    <n v="8"/>
    <n v="8"/>
  </r>
  <r>
    <x v="6"/>
    <x v="151"/>
    <d v="1899-12-30T00:00:00"/>
    <s v="1ST"/>
    <s v="11:00"/>
    <n v="2"/>
    <x v="17"/>
    <n v="4.0000000000000001E-3"/>
    <s v="P"/>
    <s v="P"/>
    <s v="P"/>
    <s v="-"/>
    <s v="+"/>
    <n v="11.23"/>
    <s v="-"/>
    <s v="-"/>
    <s v="-"/>
    <s v="-"/>
    <s v="-"/>
    <s v="-"/>
    <s v="-"/>
    <s v="-"/>
    <s v="P"/>
    <s v="P"/>
    <s v="-"/>
    <n v="2"/>
    <n v="1"/>
    <n v="2"/>
    <n v="1"/>
    <s v="-"/>
    <s v="-"/>
    <s v="-"/>
    <s v="-"/>
    <s v="-"/>
    <s v="-"/>
    <s v="-"/>
    <n v="6"/>
    <n v="6"/>
    <s v="-"/>
    <n v="1"/>
    <n v="1"/>
    <n v="2"/>
    <n v="2"/>
    <n v="8"/>
    <n v="8"/>
  </r>
  <r>
    <x v="6"/>
    <x v="151"/>
    <d v="1899-12-30T00:00:00"/>
    <s v="1ST"/>
    <s v="12:00"/>
    <n v="2"/>
    <x v="17"/>
    <n v="3.2000000000000002E-3"/>
    <s v="P"/>
    <s v="P"/>
    <s v="P"/>
    <s v="-"/>
    <s v="+"/>
    <n v="11.19"/>
    <s v="-"/>
    <s v="-"/>
    <s v="-"/>
    <s v="-"/>
    <s v="-"/>
    <s v="-"/>
    <s v="-"/>
    <s v="-"/>
    <s v="P"/>
    <s v="P"/>
    <s v="-"/>
    <n v="2"/>
    <n v="1"/>
    <n v="2"/>
    <n v="1"/>
    <s v="-"/>
    <s v="-"/>
    <s v="-"/>
    <s v="-"/>
    <s v="-"/>
    <s v="-"/>
    <s v="-"/>
    <n v="6"/>
    <n v="6"/>
    <s v="-"/>
    <n v="1"/>
    <n v="1"/>
    <n v="2"/>
    <n v="2"/>
    <n v="8"/>
    <n v="8"/>
  </r>
  <r>
    <x v="6"/>
    <x v="151"/>
    <d v="1899-12-30T00:00:00"/>
    <s v="1ST"/>
    <s v="13:00"/>
    <n v="2"/>
    <x v="21"/>
    <n v="5.8999999999999999E-3"/>
    <s v="P"/>
    <s v="P"/>
    <s v="P"/>
    <s v="-"/>
    <s v="+"/>
    <n v="11.11"/>
    <s v="-"/>
    <s v="-"/>
    <s v="-"/>
    <s v="-"/>
    <s v="-"/>
    <s v="-"/>
    <s v="-"/>
    <s v="-"/>
    <s v="P"/>
    <s v="P"/>
    <s v="-"/>
    <n v="2"/>
    <n v="1"/>
    <n v="2"/>
    <n v="1"/>
    <s v="-"/>
    <s v="-"/>
    <s v="-"/>
    <s v="-"/>
    <s v="-"/>
    <s v="-"/>
    <s v="-"/>
    <n v="6"/>
    <n v="6"/>
    <s v="-"/>
    <n v="1"/>
    <n v="1"/>
    <n v="2"/>
    <n v="2"/>
    <n v="8"/>
    <n v="8"/>
  </r>
  <r>
    <x v="6"/>
    <x v="151"/>
    <d v="2026-07-08T00:00:00"/>
    <s v="1ST"/>
    <s v="06:00"/>
    <n v="3"/>
    <x v="20"/>
    <n v="1.67E-2"/>
    <s v="P"/>
    <s v="P"/>
    <s v="P"/>
    <s v="-"/>
    <s v="-"/>
    <n v="12.65"/>
    <n v="12.86"/>
    <n v="0.6"/>
    <n v="65.400000000000006"/>
    <s v="-"/>
    <s v="-"/>
    <n v="36"/>
    <s v="-"/>
    <s v="-"/>
    <s v="P"/>
    <s v="P"/>
    <s v="70% 10% 20%"/>
    <n v="2"/>
    <n v="1"/>
    <n v="2"/>
    <n v="1"/>
    <n v="1"/>
    <n v="2"/>
    <n v="2"/>
    <s v="-"/>
    <s v="-"/>
    <n v="2"/>
    <s v="-"/>
    <n v="13"/>
    <n v="13"/>
    <s v="-"/>
    <n v="1"/>
    <n v="1"/>
    <n v="2"/>
    <n v="2"/>
    <n v="15"/>
    <n v="15"/>
  </r>
  <r>
    <x v="6"/>
    <x v="151"/>
    <d v="2026-07-08T00:00:00"/>
    <s v="1ST"/>
    <s v="07:00"/>
    <n v="3"/>
    <x v="20"/>
    <n v="2.3300000000000001E-2"/>
    <s v="P"/>
    <s v="P"/>
    <s v="P"/>
    <s v="-"/>
    <s v="-"/>
    <n v="12.86"/>
    <s v="-"/>
    <s v="-"/>
    <s v="-"/>
    <s v="-"/>
    <s v="-"/>
    <s v="-"/>
    <s v="-"/>
    <s v="-"/>
    <s v="P"/>
    <s v="P"/>
    <s v="-"/>
    <n v="0"/>
    <n v="1"/>
    <n v="2"/>
    <n v="1"/>
    <s v="-"/>
    <s v="-"/>
    <s v="-"/>
    <s v="-"/>
    <s v="-"/>
    <s v="-"/>
    <s v="-"/>
    <n v="4"/>
    <n v="6"/>
    <s v="-"/>
    <n v="1"/>
    <n v="1"/>
    <n v="2"/>
    <n v="2"/>
    <n v="6"/>
    <n v="8"/>
  </r>
  <r>
    <x v="6"/>
    <x v="151"/>
    <d v="2026-07-08T00:00:00"/>
    <s v="1ST"/>
    <s v="12:00"/>
    <n v="3"/>
    <x v="20"/>
    <n v="0.05"/>
    <s v="P"/>
    <s v="P"/>
    <s v="P"/>
    <s v="-"/>
    <s v="-"/>
    <n v="12.7"/>
    <s v="-"/>
    <s v="-"/>
    <s v="-"/>
    <s v="-"/>
    <s v="-"/>
    <s v="-"/>
    <s v="-"/>
    <s v="-"/>
    <s v="P"/>
    <s v="P"/>
    <s v="-"/>
    <n v="0"/>
    <n v="1"/>
    <n v="2"/>
    <n v="1"/>
    <s v="-"/>
    <s v="-"/>
    <s v="-"/>
    <s v="-"/>
    <s v="-"/>
    <s v="-"/>
    <s v="-"/>
    <n v="4"/>
    <n v="6"/>
    <s v="-"/>
    <n v="1"/>
    <n v="1"/>
    <n v="2"/>
    <n v="2"/>
    <n v="6"/>
    <n v="8"/>
  </r>
  <r>
    <x v="6"/>
    <x v="151"/>
    <d v="2026-07-08T00:00:00"/>
    <s v="1ST"/>
    <s v="13:00"/>
    <n v="3"/>
    <x v="20"/>
    <n v="1.9599999999999999E-2"/>
    <s v="P"/>
    <s v="P"/>
    <s v="P"/>
    <s v="-"/>
    <s v="-"/>
    <n v="12.51"/>
    <s v="-"/>
    <s v="-"/>
    <s v="-"/>
    <s v="-"/>
    <s v="-"/>
    <s v="-"/>
    <s v="-"/>
    <s v="-"/>
    <s v="P"/>
    <s v="P"/>
    <s v="-"/>
    <n v="2"/>
    <n v="1"/>
    <n v="2"/>
    <n v="1"/>
    <s v="-"/>
    <s v="-"/>
    <s v="-"/>
    <s v="-"/>
    <s v="-"/>
    <s v="-"/>
    <s v="-"/>
    <n v="6"/>
    <n v="6"/>
    <s v="-"/>
    <n v="1"/>
    <n v="1"/>
    <n v="2"/>
    <n v="2"/>
    <n v="8"/>
    <n v="8"/>
  </r>
  <r>
    <x v="6"/>
    <x v="151"/>
    <d v="2026-07-08T00:00:00"/>
    <s v="2ND"/>
    <d v="1899-12-30T16:00:00"/>
    <n v="1"/>
    <x v="22"/>
    <n v="4.5999999999999999E-3"/>
    <s v="P"/>
    <s v="P"/>
    <s v="P"/>
    <s v="-"/>
    <s v="-"/>
    <n v="11.75"/>
    <n v="8.61"/>
    <s v="-"/>
    <s v="-"/>
    <s v="-"/>
    <s v="-"/>
    <n v="23.1"/>
    <s v="-"/>
    <s v="-"/>
    <s v="P"/>
    <s v="P"/>
    <n v="1"/>
    <n v="2"/>
    <n v="1"/>
    <n v="2"/>
    <n v="1"/>
    <n v="1"/>
    <s v="-"/>
    <s v="-"/>
    <s v="-"/>
    <s v="-"/>
    <n v="2"/>
    <s v="-"/>
    <n v="9"/>
    <n v="9"/>
    <s v="-"/>
    <n v="1"/>
    <n v="1"/>
    <n v="2"/>
    <n v="2"/>
    <n v="11"/>
    <n v="11"/>
  </r>
  <r>
    <x v="6"/>
    <x v="151"/>
    <d v="2026-07-08T00:00:00"/>
    <s v="2ND"/>
    <d v="1899-12-30T18:00:00"/>
    <n v="1"/>
    <x v="22"/>
    <n v="2.2000000000000001E-3"/>
    <s v="P"/>
    <s v="P"/>
    <s v="P"/>
    <s v="-"/>
    <s v="-"/>
    <n v="11.62"/>
    <s v="-"/>
    <s v="-"/>
    <s v="-"/>
    <s v="-"/>
    <s v="-"/>
    <s v="-"/>
    <s v="-"/>
    <s v="-"/>
    <s v="P"/>
    <s v="P"/>
    <s v="-"/>
    <n v="2"/>
    <n v="1"/>
    <n v="2"/>
    <n v="1"/>
    <s v="-"/>
    <s v="-"/>
    <s v="-"/>
    <s v="-"/>
    <s v="-"/>
    <s v="-"/>
    <s v="-"/>
    <n v="6"/>
    <n v="6"/>
    <s v="-"/>
    <n v="1"/>
    <n v="1"/>
    <n v="2"/>
    <n v="2"/>
    <n v="8"/>
    <n v="8"/>
  </r>
  <r>
    <x v="6"/>
    <x v="151"/>
    <d v="2026-07-08T00:00:00"/>
    <s v="2ND"/>
    <d v="1899-12-30T19:00:00"/>
    <n v="1"/>
    <x v="22"/>
    <n v="2.8999999999999998E-3"/>
    <s v="P"/>
    <s v="P"/>
    <s v="P"/>
    <s v="-"/>
    <s v="-"/>
    <n v="11.58"/>
    <s v="-"/>
    <s v="-"/>
    <s v="-"/>
    <s v="-"/>
    <s v="-"/>
    <s v="-"/>
    <s v="-"/>
    <s v="-"/>
    <s v="P"/>
    <s v="P"/>
    <s v="-"/>
    <n v="2"/>
    <n v="1"/>
    <n v="2"/>
    <n v="1"/>
    <s v="-"/>
    <s v="-"/>
    <s v="-"/>
    <s v="-"/>
    <s v="-"/>
    <s v="-"/>
    <s v="-"/>
    <n v="6"/>
    <n v="6"/>
    <s v="-"/>
    <n v="1"/>
    <n v="1"/>
    <n v="2"/>
    <n v="2"/>
    <n v="8"/>
    <n v="8"/>
  </r>
  <r>
    <x v="6"/>
    <x v="151"/>
    <d v="2026-07-08T00:00:00"/>
    <s v="2ND"/>
    <d v="1899-12-30T20:00:00"/>
    <n v="1"/>
    <x v="22"/>
    <n v="3.5999999999999999E-3"/>
    <s v="P"/>
    <s v="P"/>
    <s v="P"/>
    <s v="-"/>
    <s v="-"/>
    <n v="11.89"/>
    <s v="-"/>
    <s v="-"/>
    <s v="-"/>
    <s v="-"/>
    <s v="-"/>
    <s v="-"/>
    <s v="-"/>
    <s v="-"/>
    <s v="P"/>
    <s v="P"/>
    <s v="-"/>
    <n v="2"/>
    <n v="1"/>
    <n v="2"/>
    <n v="1"/>
    <s v="-"/>
    <s v="-"/>
    <s v="-"/>
    <s v="-"/>
    <s v="-"/>
    <s v="-"/>
    <s v="-"/>
    <n v="6"/>
    <n v="6"/>
    <s v="-"/>
    <n v="1"/>
    <n v="1"/>
    <n v="2"/>
    <n v="2"/>
    <n v="8"/>
    <n v="8"/>
  </r>
  <r>
    <x v="6"/>
    <x v="151"/>
    <d v="1899-12-30T00:00:00"/>
    <s v="2ND"/>
    <d v="1899-12-30T14:00:00"/>
    <n v="2"/>
    <x v="21"/>
    <n v="4.4999999999999997E-3"/>
    <s v="P"/>
    <s v="P"/>
    <s v="P"/>
    <s v="-"/>
    <s v="+"/>
    <n v="11.25"/>
    <s v="-"/>
    <s v="-"/>
    <s v="-"/>
    <s v="-"/>
    <s v="-"/>
    <s v="-"/>
    <s v="-"/>
    <s v="-"/>
    <s v="P"/>
    <s v="P"/>
    <s v="-"/>
    <n v="2"/>
    <n v="1"/>
    <n v="2"/>
    <n v="1"/>
    <s v="-"/>
    <s v="-"/>
    <s v="-"/>
    <s v="-"/>
    <s v="-"/>
    <s v="-"/>
    <s v="-"/>
    <n v="6"/>
    <n v="6"/>
    <s v="-"/>
    <n v="1"/>
    <n v="1"/>
    <n v="2"/>
    <n v="2"/>
    <n v="8"/>
    <n v="8"/>
  </r>
  <r>
    <x v="6"/>
    <x v="151"/>
    <d v="1899-12-30T00:00:00"/>
    <s v="2ND"/>
    <d v="1899-12-30T16:00:00"/>
    <n v="2"/>
    <x v="21"/>
    <n v="1.8E-3"/>
    <s v="P"/>
    <s v="P"/>
    <s v="P"/>
    <s v="-"/>
    <s v="+"/>
    <n v="11.54"/>
    <s v="-"/>
    <s v="-"/>
    <s v="-"/>
    <s v="-"/>
    <s v="-"/>
    <s v="-"/>
    <s v="-"/>
    <s v="-"/>
    <s v="P"/>
    <s v="P"/>
    <s v="-"/>
    <n v="2"/>
    <n v="1"/>
    <n v="2"/>
    <n v="1"/>
    <s v="-"/>
    <s v="-"/>
    <s v="-"/>
    <s v="-"/>
    <s v="-"/>
    <s v="-"/>
    <s v="-"/>
    <n v="6"/>
    <n v="6"/>
    <s v="-"/>
    <n v="1"/>
    <n v="1"/>
    <n v="2"/>
    <n v="2"/>
    <n v="8"/>
    <n v="8"/>
  </r>
  <r>
    <x v="6"/>
    <x v="151"/>
    <d v="1899-12-30T00:00:00"/>
    <s v="2ND"/>
    <d v="1899-12-30T17:00:00"/>
    <n v="2"/>
    <x v="21"/>
    <n v="6.3E-3"/>
    <s v="P"/>
    <s v="P"/>
    <s v="P"/>
    <s v="-"/>
    <s v="+"/>
    <n v="11.6"/>
    <s v="-"/>
    <s v="-"/>
    <s v="-"/>
    <s v="-"/>
    <s v="-"/>
    <s v="-"/>
    <s v="-"/>
    <s v="-"/>
    <s v="P"/>
    <s v="P"/>
    <s v="-"/>
    <n v="2"/>
    <n v="1"/>
    <n v="2"/>
    <n v="1"/>
    <s v="-"/>
    <s v="-"/>
    <s v="-"/>
    <s v="-"/>
    <s v="-"/>
    <s v="-"/>
    <s v="-"/>
    <n v="6"/>
    <n v="6"/>
    <s v="-"/>
    <n v="1"/>
    <n v="1"/>
    <n v="2"/>
    <n v="2"/>
    <n v="8"/>
    <n v="8"/>
  </r>
  <r>
    <x v="6"/>
    <x v="151"/>
    <d v="1899-12-30T00:00:00"/>
    <s v="2ND"/>
    <d v="1899-12-30T18:00:00"/>
    <n v="2"/>
    <x v="21"/>
    <n v="1.8E-3"/>
    <s v="P"/>
    <s v="P"/>
    <s v="P"/>
    <s v="-"/>
    <s v="+"/>
    <n v="11.57"/>
    <s v="-"/>
    <s v="-"/>
    <s v="-"/>
    <s v="-"/>
    <s v="-"/>
    <s v="-"/>
    <s v="-"/>
    <s v="-"/>
    <s v="P"/>
    <s v="P"/>
    <s v="-"/>
    <n v="2"/>
    <n v="1"/>
    <n v="2"/>
    <n v="1"/>
    <s v="-"/>
    <s v="-"/>
    <s v="-"/>
    <s v="-"/>
    <s v="-"/>
    <s v="-"/>
    <s v="-"/>
    <n v="6"/>
    <n v="6"/>
    <s v="-"/>
    <n v="1"/>
    <n v="1"/>
    <n v="2"/>
    <n v="2"/>
    <n v="8"/>
    <n v="8"/>
  </r>
  <r>
    <x v="6"/>
    <x v="151"/>
    <d v="1899-12-30T00:00:00"/>
    <s v="2ND"/>
    <d v="1899-12-30T19:00:00"/>
    <n v="2"/>
    <x v="21"/>
    <n v="2.5999999999999999E-3"/>
    <s v="P"/>
    <s v="P"/>
    <s v="P"/>
    <s v="-"/>
    <s v="+"/>
    <n v="11.31"/>
    <s v="-"/>
    <s v="-"/>
    <s v="-"/>
    <s v="-"/>
    <s v="-"/>
    <s v="-"/>
    <s v="-"/>
    <s v="-"/>
    <s v="P"/>
    <s v="P"/>
    <s v="-"/>
    <n v="2"/>
    <n v="1"/>
    <n v="2"/>
    <n v="1"/>
    <s v="-"/>
    <s v="-"/>
    <s v="-"/>
    <s v="-"/>
    <s v="-"/>
    <s v="-"/>
    <s v="-"/>
    <n v="6"/>
    <n v="6"/>
    <s v="-"/>
    <n v="1"/>
    <n v="1"/>
    <n v="2"/>
    <n v="2"/>
    <n v="8"/>
    <n v="8"/>
  </r>
  <r>
    <x v="6"/>
    <x v="151"/>
    <d v="1899-12-30T00:00:00"/>
    <s v="2ND"/>
    <d v="1899-12-30T20:00:00"/>
    <n v="2"/>
    <x v="21"/>
    <n v="2E-3"/>
    <s v="P"/>
    <s v="P"/>
    <s v="P"/>
    <s v="-"/>
    <s v="+"/>
    <n v="11.25"/>
    <s v="-"/>
    <s v="-"/>
    <s v="-"/>
    <s v="-"/>
    <s v="-"/>
    <s v="-"/>
    <s v="-"/>
    <s v="-"/>
    <s v="P"/>
    <s v="P"/>
    <s v="-"/>
    <n v="2"/>
    <n v="1"/>
    <n v="2"/>
    <n v="1"/>
    <s v="-"/>
    <s v="-"/>
    <s v="-"/>
    <s v="-"/>
    <s v="-"/>
    <s v="-"/>
    <s v="-"/>
    <n v="6"/>
    <n v="6"/>
    <s v="-"/>
    <n v="1"/>
    <n v="1"/>
    <n v="2"/>
    <n v="2"/>
    <n v="8"/>
    <n v="8"/>
  </r>
  <r>
    <x v="6"/>
    <x v="151"/>
    <d v="2026-07-08T00:00:00"/>
    <s v="2ND"/>
    <d v="1899-12-30T14:00:00"/>
    <n v="3"/>
    <x v="20"/>
    <n v="2.6599999999999999E-2"/>
    <s v="P"/>
    <s v="P"/>
    <s v="P"/>
    <s v="-"/>
    <s v="-"/>
    <n v="10.62"/>
    <n v="12.65"/>
    <s v="-"/>
    <s v="-"/>
    <s v="-"/>
    <s v="-"/>
    <n v="35.299999999999997"/>
    <s v="-"/>
    <s v="-"/>
    <s v="P"/>
    <s v="P"/>
    <s v="70% 10% 20%"/>
    <n v="0"/>
    <n v="1"/>
    <n v="2"/>
    <n v="0"/>
    <n v="1"/>
    <s v="-"/>
    <s v="-"/>
    <s v="-"/>
    <s v="-"/>
    <n v="2"/>
    <s v="-"/>
    <n v="6"/>
    <n v="9"/>
    <s v="-"/>
    <n v="1"/>
    <n v="1"/>
    <n v="2"/>
    <n v="2"/>
    <n v="8"/>
    <n v="11"/>
  </r>
  <r>
    <x v="6"/>
    <x v="151"/>
    <d v="2026-07-08T00:00:00"/>
    <s v="2ND"/>
    <d v="1899-12-30T15:00:00"/>
    <n v="3"/>
    <x v="20"/>
    <n v="4.2299999999999997E-2"/>
    <s v="P"/>
    <s v="P"/>
    <s v="P"/>
    <s v="-"/>
    <s v="-"/>
    <n v="10.65"/>
    <s v="-"/>
    <s v="-"/>
    <s v="-"/>
    <s v="-"/>
    <s v="-"/>
    <s v="-"/>
    <s v="-"/>
    <s v="-"/>
    <s v="P"/>
    <s v="P"/>
    <s v="-"/>
    <n v="0"/>
    <n v="1"/>
    <n v="2"/>
    <n v="0"/>
    <s v="-"/>
    <s v="-"/>
    <s v="-"/>
    <s v="-"/>
    <s v="-"/>
    <s v="-"/>
    <s v="-"/>
    <n v="3"/>
    <n v="6"/>
    <s v="-"/>
    <n v="1"/>
    <n v="1"/>
    <n v="2"/>
    <n v="2"/>
    <n v="5"/>
    <n v="8"/>
  </r>
  <r>
    <x v="6"/>
    <x v="151"/>
    <d v="2026-07-14T00:00:00"/>
    <s v="2ND"/>
    <d v="1899-12-30T17:00:00"/>
    <s v="Retail"/>
    <x v="13"/>
    <s v="-"/>
    <s v="-"/>
    <s v="-"/>
    <s v="-"/>
    <s v="-"/>
    <s v="-"/>
    <n v="10.88"/>
    <s v="-"/>
    <s v="-"/>
    <s v="-"/>
    <s v="-"/>
    <s v="-"/>
    <s v="-"/>
    <s v="-"/>
    <s v="-"/>
    <s v="-"/>
    <s v="-"/>
    <s v="-"/>
    <s v="-"/>
    <s v="-"/>
    <s v="-"/>
    <n v="0"/>
    <s v="-"/>
    <s v="-"/>
    <s v="-"/>
    <s v="-"/>
    <s v="-"/>
    <s v="-"/>
    <s v="-"/>
    <n v="0"/>
    <n v="1"/>
    <s v="-"/>
    <s v="-"/>
    <s v="-"/>
    <n v="0"/>
    <n v="0"/>
    <n v="0"/>
    <n v="1"/>
  </r>
  <r>
    <x v="6"/>
    <x v="151"/>
    <d v="2026-07-14T00:00:00"/>
    <s v="2ND"/>
    <d v="1899-12-30T18:00:00"/>
    <s v="Retail"/>
    <x v="9"/>
    <s v="-"/>
    <s v="-"/>
    <s v="-"/>
    <s v="-"/>
    <s v="-"/>
    <s v="-"/>
    <n v="9.5299999999999994"/>
    <s v="-"/>
    <s v="-"/>
    <s v="-"/>
    <s v="-"/>
    <s v="-"/>
    <s v="-"/>
    <s v="-"/>
    <s v="-"/>
    <s v="-"/>
    <s v="-"/>
    <s v="-"/>
    <s v="-"/>
    <s v="-"/>
    <s v="-"/>
    <n v="0"/>
    <s v="-"/>
    <s v="-"/>
    <s v="-"/>
    <s v="-"/>
    <s v="-"/>
    <s v="-"/>
    <s v="-"/>
    <n v="0"/>
    <n v="1"/>
    <s v="-"/>
    <s v="-"/>
    <s v="-"/>
    <n v="0"/>
    <n v="0"/>
    <n v="0"/>
    <n v="1"/>
  </r>
  <r>
    <x v="6"/>
    <x v="151"/>
    <d v="1899-12-30T00:00:00"/>
    <s v="3RD"/>
    <d v="1899-12-30T23:00:00"/>
    <n v="2"/>
    <x v="21"/>
    <n v="1.77E-2"/>
    <s v="P"/>
    <s v="P"/>
    <s v="P"/>
    <s v="-"/>
    <s v="+"/>
    <n v="10.94"/>
    <n v="8.15"/>
    <n v="0.54"/>
    <s v="-"/>
    <s v="-"/>
    <s v="-"/>
    <n v="22.87"/>
    <s v="-"/>
    <s v="-"/>
    <s v="P"/>
    <s v="P"/>
    <s v="-"/>
    <n v="2"/>
    <n v="1"/>
    <n v="2"/>
    <n v="0"/>
    <s v="-"/>
    <n v="2"/>
    <s v="-"/>
    <s v="-"/>
    <s v="-"/>
    <n v="2"/>
    <s v="-"/>
    <n v="9"/>
    <n v="10"/>
    <s v="-"/>
    <n v="1"/>
    <n v="1"/>
    <n v="2"/>
    <n v="2"/>
    <n v="11"/>
    <n v="12"/>
  </r>
  <r>
    <x v="6"/>
    <x v="151"/>
    <d v="1899-12-30T00:00:00"/>
    <s v="3RD"/>
    <d v="1899-12-31T00:00:00"/>
    <n v="2"/>
    <x v="21"/>
    <n v="2.0999999999999999E-3"/>
    <s v="P"/>
    <s v="P"/>
    <s v="P"/>
    <s v="-"/>
    <s v="+"/>
    <n v="11.76"/>
    <s v="-"/>
    <s v="-"/>
    <s v="-"/>
    <s v="-"/>
    <s v="-"/>
    <s v="-"/>
    <s v="-"/>
    <s v="-"/>
    <s v="P"/>
    <s v="P"/>
    <s v="-"/>
    <n v="2"/>
    <n v="1"/>
    <n v="2"/>
    <n v="1"/>
    <s v="-"/>
    <s v="-"/>
    <s v="-"/>
    <s v="-"/>
    <s v="-"/>
    <s v="-"/>
    <s v="-"/>
    <n v="6"/>
    <n v="6"/>
    <s v="-"/>
    <n v="1"/>
    <n v="1"/>
    <n v="2"/>
    <n v="2"/>
    <n v="8"/>
    <n v="8"/>
  </r>
  <r>
    <x v="6"/>
    <x v="151"/>
    <d v="1899-12-30T00:00:00"/>
    <s v="3RD"/>
    <d v="1899-12-31T01:00:00"/>
    <n v="2"/>
    <x v="21"/>
    <n v="2.8E-3"/>
    <s v="P"/>
    <s v="P"/>
    <s v="P"/>
    <s v="-"/>
    <s v="+"/>
    <n v="11.78"/>
    <s v="-"/>
    <s v="-"/>
    <s v="-"/>
    <s v="-"/>
    <s v="-"/>
    <s v="-"/>
    <s v="-"/>
    <s v="-"/>
    <s v="P"/>
    <s v="P"/>
    <s v="-"/>
    <n v="2"/>
    <n v="1"/>
    <n v="2"/>
    <n v="1"/>
    <s v="-"/>
    <s v="-"/>
    <s v="-"/>
    <s v="-"/>
    <s v="-"/>
    <s v="-"/>
    <s v="-"/>
    <n v="6"/>
    <n v="6"/>
    <s v="-"/>
    <n v="1"/>
    <n v="1"/>
    <n v="2"/>
    <n v="2"/>
    <n v="8"/>
    <n v="8"/>
  </r>
  <r>
    <x v="6"/>
    <x v="152"/>
    <d v="1902-03-25T00:00:00"/>
    <s v="1ST"/>
    <s v="07:00"/>
    <n v="2"/>
    <x v="22"/>
    <n v="1.23E-2"/>
    <s v="P"/>
    <s v="P"/>
    <s v="P"/>
    <s v="-"/>
    <s v="-"/>
    <n v="11.74"/>
    <n v="8.41"/>
    <n v="0.51"/>
    <n v="56.5"/>
    <s v="-"/>
    <s v="-"/>
    <n v="22.53"/>
    <s v="-"/>
    <s v="-"/>
    <s v="P"/>
    <s v="P"/>
    <s v="-"/>
    <n v="2"/>
    <n v="1"/>
    <n v="2"/>
    <n v="1"/>
    <n v="0"/>
    <n v="2"/>
    <n v="2"/>
    <s v="-"/>
    <s v="-"/>
    <n v="2"/>
    <s v="-"/>
    <n v="12"/>
    <n v="13"/>
    <s v="-"/>
    <n v="1"/>
    <n v="1"/>
    <n v="2"/>
    <n v="2"/>
    <n v="14"/>
    <n v="15"/>
  </r>
  <r>
    <x v="6"/>
    <x v="152"/>
    <d v="1899-12-30T00:00:00"/>
    <s v="1ST"/>
    <s v="08:00"/>
    <n v="2"/>
    <x v="22"/>
    <n v="1.54E-2"/>
    <s v="P"/>
    <s v="P"/>
    <s v="P"/>
    <s v="-"/>
    <s v="-"/>
    <n v="11.91"/>
    <s v="-"/>
    <s v="-"/>
    <s v="-"/>
    <s v="-"/>
    <s v="-"/>
    <s v="-"/>
    <s v="-"/>
    <s v="-"/>
    <s v="P"/>
    <s v="P"/>
    <s v="-"/>
    <n v="2"/>
    <n v="1"/>
    <n v="2"/>
    <n v="1"/>
    <s v="-"/>
    <s v="-"/>
    <s v="-"/>
    <s v="-"/>
    <s v="-"/>
    <s v="-"/>
    <s v="-"/>
    <n v="6"/>
    <n v="6"/>
    <s v="-"/>
    <n v="1"/>
    <n v="1"/>
    <n v="2"/>
    <n v="2"/>
    <n v="8"/>
    <n v="8"/>
  </r>
  <r>
    <x v="6"/>
    <x v="152"/>
    <d v="1899-12-30T00:00:00"/>
    <s v="1ST"/>
    <s v="12:00"/>
    <n v="2"/>
    <x v="22"/>
    <n v="5.5999999999999999E-3"/>
    <s v="P"/>
    <s v="P"/>
    <s v="P"/>
    <s v="-"/>
    <s v="-"/>
    <n v="12.08"/>
    <s v="-"/>
    <s v="-"/>
    <s v="-"/>
    <s v="-"/>
    <s v="-"/>
    <s v="-"/>
    <s v="-"/>
    <s v="-"/>
    <s v="P"/>
    <s v="P"/>
    <s v="-"/>
    <n v="2"/>
    <n v="1"/>
    <n v="2"/>
    <n v="1"/>
    <s v="-"/>
    <s v="-"/>
    <s v="-"/>
    <s v="-"/>
    <s v="-"/>
    <s v="-"/>
    <s v="-"/>
    <n v="6"/>
    <n v="6"/>
    <s v="-"/>
    <n v="1"/>
    <n v="1"/>
    <n v="2"/>
    <n v="2"/>
    <n v="8"/>
    <n v="8"/>
  </r>
  <r>
    <x v="6"/>
    <x v="152"/>
    <d v="1899-12-30T00:00:00"/>
    <s v="1ST"/>
    <s v="13:00"/>
    <n v="2"/>
    <x v="22"/>
    <n v="1.7000000000000001E-2"/>
    <s v="P"/>
    <s v="P"/>
    <s v="P"/>
    <s v="-"/>
    <s v="-"/>
    <n v="11.73"/>
    <s v="-"/>
    <s v="-"/>
    <s v="-"/>
    <s v="-"/>
    <s v="-"/>
    <s v="-"/>
    <s v="-"/>
    <s v="-"/>
    <s v="P"/>
    <s v="P"/>
    <s v="-"/>
    <n v="2"/>
    <n v="1"/>
    <n v="2"/>
    <n v="1"/>
    <s v="-"/>
    <s v="-"/>
    <s v="-"/>
    <s v="-"/>
    <s v="-"/>
    <s v="-"/>
    <s v="-"/>
    <n v="6"/>
    <n v="6"/>
    <s v="-"/>
    <n v="1"/>
    <n v="1"/>
    <n v="2"/>
    <n v="2"/>
    <n v="8"/>
    <n v="8"/>
  </r>
  <r>
    <x v="6"/>
    <x v="152"/>
    <d v="2026-07-08T00:00:00"/>
    <s v="1ST"/>
    <s v="07:00"/>
    <n v="3"/>
    <x v="6"/>
    <n v="1.34E-2"/>
    <s v="P"/>
    <s v="P"/>
    <s v="P"/>
    <s v="+"/>
    <s v="+"/>
    <n v="11.78"/>
    <n v="13.39"/>
    <n v="0.55000000000000004"/>
    <n v="64.8"/>
    <n v="14"/>
    <n v="750"/>
    <n v="37.770000000000003"/>
    <s v="-"/>
    <s v="-"/>
    <s v="P"/>
    <s v="P"/>
    <s v="60% 10% 30%"/>
    <n v="2"/>
    <n v="1"/>
    <n v="2"/>
    <n v="0"/>
    <n v="1"/>
    <n v="2"/>
    <n v="2"/>
    <n v="1"/>
    <n v="1"/>
    <n v="2"/>
    <s v="-"/>
    <n v="14"/>
    <n v="15"/>
    <s v="-"/>
    <n v="1"/>
    <n v="1"/>
    <n v="2"/>
    <n v="2"/>
    <n v="16"/>
    <n v="17"/>
  </r>
  <r>
    <x v="6"/>
    <x v="152"/>
    <d v="2026-07-08T00:00:00"/>
    <s v="1ST"/>
    <s v="08:00"/>
    <n v="3"/>
    <x v="6"/>
    <n v="1.49E-2"/>
    <s v="P"/>
    <s v="P"/>
    <s v="P"/>
    <s v="+"/>
    <s v="+"/>
    <n v="11.9"/>
    <s v="-"/>
    <s v="-"/>
    <n v="0.55000000000000004"/>
    <s v="-"/>
    <s v="-"/>
    <s v="-"/>
    <s v="-"/>
    <s v="-"/>
    <s v="P"/>
    <s v="P"/>
    <s v="-"/>
    <n v="2"/>
    <n v="1"/>
    <n v="2"/>
    <n v="0"/>
    <s v="-"/>
    <s v="-"/>
    <n v="0"/>
    <s v="-"/>
    <s v="-"/>
    <s v="-"/>
    <s v="-"/>
    <n v="5"/>
    <n v="8"/>
    <s v="-"/>
    <n v="1"/>
    <n v="1"/>
    <n v="2"/>
    <n v="2"/>
    <n v="7"/>
    <n v="10"/>
  </r>
  <r>
    <x v="6"/>
    <x v="152"/>
    <d v="2026-07-08T00:00:00"/>
    <s v="1ST"/>
    <s v="09:00"/>
    <n v="3"/>
    <x v="6"/>
    <s v="-"/>
    <s v="P"/>
    <s v="P"/>
    <s v="P"/>
    <s v="+"/>
    <s v="+"/>
    <n v="12.06"/>
    <s v="-"/>
    <s v="-"/>
    <s v="-"/>
    <s v="-"/>
    <s v="-"/>
    <s v="-"/>
    <s v="-"/>
    <s v="-"/>
    <s v="P"/>
    <s v="P"/>
    <s v="-"/>
    <s v="-"/>
    <n v="1"/>
    <n v="2"/>
    <n v="1"/>
    <s v="-"/>
    <s v="-"/>
    <s v="-"/>
    <s v="-"/>
    <s v="-"/>
    <s v="-"/>
    <s v="-"/>
    <n v="4"/>
    <n v="4"/>
    <s v="-"/>
    <n v="1"/>
    <n v="1"/>
    <n v="2"/>
    <n v="2"/>
    <n v="6"/>
    <n v="6"/>
  </r>
  <r>
    <x v="6"/>
    <x v="152"/>
    <d v="2026-07-08T00:00:00"/>
    <s v="1ST"/>
    <s v="10:00"/>
    <n v="3"/>
    <x v="6"/>
    <n v="9.7000000000000003E-3"/>
    <s v="P"/>
    <s v="P"/>
    <s v="P"/>
    <s v="+"/>
    <s v="+"/>
    <n v="12.06"/>
    <s v="-"/>
    <s v="-"/>
    <s v="-"/>
    <s v="-"/>
    <s v="-"/>
    <s v="-"/>
    <s v="-"/>
    <s v="-"/>
    <s v="P"/>
    <s v="P"/>
    <s v="-"/>
    <n v="2"/>
    <n v="1"/>
    <n v="2"/>
    <n v="1"/>
    <s v="-"/>
    <s v="-"/>
    <s v="-"/>
    <s v="-"/>
    <s v="-"/>
    <s v="-"/>
    <s v="-"/>
    <n v="6"/>
    <n v="6"/>
    <s v="-"/>
    <n v="1"/>
    <n v="1"/>
    <n v="2"/>
    <n v="2"/>
    <n v="8"/>
    <n v="8"/>
  </r>
  <r>
    <x v="6"/>
    <x v="152"/>
    <d v="2026-07-01T00:00:00"/>
    <s v="1ST"/>
    <s v="08:00"/>
    <s v="Retail"/>
    <x v="25"/>
    <s v="-"/>
    <s v="-"/>
    <s v="P"/>
    <s v="P"/>
    <s v="+"/>
    <s v="+"/>
    <n v="12.34"/>
    <n v="14.35"/>
    <n v="1.25"/>
    <n v="69.7"/>
    <s v="-"/>
    <s v="-"/>
    <n v="44.76"/>
    <s v="-"/>
    <s v="-"/>
    <s v="P"/>
    <s v="P"/>
    <s v="-"/>
    <s v="-"/>
    <s v="-"/>
    <n v="2"/>
    <n v="1"/>
    <n v="1"/>
    <n v="0"/>
    <n v="2"/>
    <s v="-"/>
    <s v="-"/>
    <n v="2"/>
    <s v="-"/>
    <n v="8"/>
    <n v="10"/>
    <s v="-"/>
    <n v="1"/>
    <n v="1"/>
    <n v="2"/>
    <n v="2"/>
    <n v="10"/>
    <n v="12"/>
  </r>
  <r>
    <x v="6"/>
    <x v="152"/>
    <d v="2026-07-01T00:00:00"/>
    <s v="1ST"/>
    <s v="11:00"/>
    <s v="Retail"/>
    <x v="25"/>
    <s v="-"/>
    <s v="-"/>
    <s v="P"/>
    <s v="P"/>
    <s v="+"/>
    <s v="+"/>
    <n v="12.37"/>
    <s v="-"/>
    <s v="-"/>
    <s v="-"/>
    <s v="-"/>
    <s v="-"/>
    <s v="-"/>
    <s v="-"/>
    <s v="-"/>
    <s v="P"/>
    <s v="P"/>
    <s v="-"/>
    <s v="-"/>
    <s v="-"/>
    <n v="2"/>
    <n v="1"/>
    <s v="-"/>
    <s v="-"/>
    <s v="-"/>
    <s v="-"/>
    <s v="-"/>
    <s v="-"/>
    <s v="-"/>
    <n v="3"/>
    <n v="3"/>
    <s v="-"/>
    <n v="1"/>
    <n v="1"/>
    <n v="2"/>
    <n v="2"/>
    <n v="5"/>
    <n v="5"/>
  </r>
  <r>
    <x v="6"/>
    <x v="152"/>
    <d v="2026-07-11T00:00:00"/>
    <s v="2ND"/>
    <d v="1899-12-30T15:00:00"/>
    <n v="1"/>
    <x v="22"/>
    <n v="9.5999999999999992E-3"/>
    <s v="P"/>
    <s v="P"/>
    <s v="P"/>
    <s v="-"/>
    <s v="-"/>
    <n v="11.45"/>
    <n v="8.61"/>
    <n v="0.5"/>
    <n v="55.3"/>
    <s v="-"/>
    <s v="-"/>
    <n v="24.5"/>
    <s v="-"/>
    <s v="-"/>
    <s v="P"/>
    <s v="P"/>
    <n v="1"/>
    <n v="2"/>
    <n v="1"/>
    <n v="2"/>
    <n v="1"/>
    <n v="1"/>
    <n v="2"/>
    <n v="2"/>
    <s v="-"/>
    <s v="-"/>
    <n v="2"/>
    <s v="-"/>
    <n v="13"/>
    <n v="13"/>
    <s v="-"/>
    <n v="1"/>
    <n v="1"/>
    <n v="2"/>
    <n v="2"/>
    <n v="15"/>
    <n v="15"/>
  </r>
  <r>
    <x v="6"/>
    <x v="152"/>
    <d v="2026-07-11T00:00:00"/>
    <s v="2ND"/>
    <d v="1899-12-30T16:00:00"/>
    <n v="1"/>
    <x v="22"/>
    <n v="6.6E-3"/>
    <s v="P"/>
    <s v="P"/>
    <s v="P"/>
    <s v="-"/>
    <s v="-"/>
    <n v="11.74"/>
    <s v="-"/>
    <s v="-"/>
    <s v="-"/>
    <s v="-"/>
    <s v="-"/>
    <s v="-"/>
    <s v="-"/>
    <s v="-"/>
    <s v="P"/>
    <s v="P"/>
    <s v="-"/>
    <n v="2"/>
    <n v="1"/>
    <n v="2"/>
    <n v="1"/>
    <s v="-"/>
    <s v="-"/>
    <s v="-"/>
    <s v="-"/>
    <s v="-"/>
    <s v="-"/>
    <s v="-"/>
    <n v="6"/>
    <n v="6"/>
    <s v="-"/>
    <n v="1"/>
    <n v="1"/>
    <n v="2"/>
    <n v="2"/>
    <n v="8"/>
    <n v="8"/>
  </r>
  <r>
    <x v="6"/>
    <x v="152"/>
    <d v="2026-07-11T00:00:00"/>
    <s v="2ND"/>
    <d v="1899-12-30T17:00:00"/>
    <n v="1"/>
    <x v="22"/>
    <n v="2.5999999999999999E-3"/>
    <s v="P"/>
    <s v="P"/>
    <s v="P"/>
    <s v="-"/>
    <s v="-"/>
    <n v="11.72"/>
    <s v="-"/>
    <s v="-"/>
    <s v="-"/>
    <s v="-"/>
    <s v="-"/>
    <s v="-"/>
    <s v="-"/>
    <s v="-"/>
    <s v="P"/>
    <s v="P"/>
    <s v="-"/>
    <n v="2"/>
    <n v="1"/>
    <n v="2"/>
    <n v="1"/>
    <s v="-"/>
    <s v="-"/>
    <s v="-"/>
    <s v="-"/>
    <s v="-"/>
    <s v="-"/>
    <s v="-"/>
    <n v="6"/>
    <n v="6"/>
    <s v="-"/>
    <n v="1"/>
    <n v="1"/>
    <n v="2"/>
    <n v="2"/>
    <n v="8"/>
    <n v="8"/>
  </r>
  <r>
    <x v="6"/>
    <x v="152"/>
    <d v="2026-07-11T00:00:00"/>
    <s v="2ND"/>
    <d v="1899-12-30T18:00:00"/>
    <n v="1"/>
    <x v="22"/>
    <n v="2.2000000000000001E-3"/>
    <s v="P"/>
    <s v="P"/>
    <s v="P"/>
    <s v="-"/>
    <s v="-"/>
    <n v="11.45"/>
    <s v="-"/>
    <s v="-"/>
    <s v="-"/>
    <s v="-"/>
    <s v="-"/>
    <s v="-"/>
    <s v="-"/>
    <s v="-"/>
    <s v="P"/>
    <s v="P"/>
    <s v="-"/>
    <n v="2"/>
    <n v="1"/>
    <n v="2"/>
    <n v="1"/>
    <s v="-"/>
    <s v="-"/>
    <s v="-"/>
    <s v="-"/>
    <s v="-"/>
    <s v="-"/>
    <s v="-"/>
    <n v="6"/>
    <n v="6"/>
    <s v="-"/>
    <n v="1"/>
    <n v="1"/>
    <n v="2"/>
    <n v="2"/>
    <n v="8"/>
    <n v="8"/>
  </r>
  <r>
    <x v="6"/>
    <x v="152"/>
    <d v="2026-07-11T00:00:00"/>
    <s v="2ND"/>
    <d v="1899-12-30T19:00:00"/>
    <n v="1"/>
    <x v="22"/>
    <n v="2.8E-3"/>
    <s v="P"/>
    <s v="P"/>
    <s v="P"/>
    <s v="-"/>
    <s v="-"/>
    <n v="11.4"/>
    <s v="-"/>
    <s v="-"/>
    <s v="-"/>
    <s v="-"/>
    <s v="-"/>
    <s v="-"/>
    <s v="-"/>
    <s v="-"/>
    <s v="P"/>
    <s v="P"/>
    <s v="-"/>
    <n v="2"/>
    <n v="1"/>
    <n v="2"/>
    <n v="1"/>
    <s v="-"/>
    <s v="-"/>
    <s v="-"/>
    <s v="-"/>
    <s v="-"/>
    <s v="-"/>
    <s v="-"/>
    <n v="6"/>
    <n v="6"/>
    <s v="-"/>
    <n v="1"/>
    <n v="1"/>
    <n v="2"/>
    <n v="2"/>
    <n v="8"/>
    <n v="8"/>
  </r>
  <r>
    <x v="6"/>
    <x v="152"/>
    <d v="2026-07-08T00:00:00"/>
    <s v="2ND"/>
    <d v="1899-12-30T21:00:00"/>
    <n v="1"/>
    <x v="5"/>
    <n v="2E-3"/>
    <s v="P"/>
    <s v="P"/>
    <s v="P"/>
    <s v="-"/>
    <s v="+"/>
    <n v="11.35"/>
    <s v="-"/>
    <s v="-"/>
    <s v="-"/>
    <s v="-"/>
    <s v="-"/>
    <s v="-"/>
    <s v="-"/>
    <s v="-"/>
    <s v="P"/>
    <s v="P"/>
    <s v="-"/>
    <n v="2"/>
    <n v="1"/>
    <n v="2"/>
    <n v="1"/>
    <s v="-"/>
    <s v="-"/>
    <s v="-"/>
    <s v="-"/>
    <s v="-"/>
    <s v="-"/>
    <s v="-"/>
    <n v="6"/>
    <n v="6"/>
    <s v="-"/>
    <n v="1"/>
    <n v="1"/>
    <n v="2"/>
    <n v="2"/>
    <n v="8"/>
    <n v="8"/>
  </r>
  <r>
    <x v="6"/>
    <x v="152"/>
    <d v="1902-03-25T00:00:00"/>
    <s v="2ND"/>
    <d v="1899-12-30T14:00:00"/>
    <n v="2"/>
    <x v="22"/>
    <n v="1.14E-2"/>
    <s v="P"/>
    <s v="P"/>
    <s v="P"/>
    <s v="-"/>
    <s v="-"/>
    <n v="12.09"/>
    <s v="-"/>
    <s v="-"/>
    <s v="-"/>
    <s v="-"/>
    <s v="-"/>
    <s v="-"/>
    <s v="-"/>
    <s v="-"/>
    <s v="P"/>
    <s v="P"/>
    <s v="-"/>
    <n v="2"/>
    <n v="1"/>
    <n v="2"/>
    <n v="1"/>
    <s v="-"/>
    <s v="-"/>
    <s v="-"/>
    <s v="-"/>
    <s v="-"/>
    <s v="-"/>
    <s v="-"/>
    <n v="6"/>
    <n v="6"/>
    <s v="-"/>
    <n v="1"/>
    <n v="1"/>
    <n v="2"/>
    <n v="2"/>
    <n v="8"/>
    <n v="8"/>
  </r>
  <r>
    <x v="6"/>
    <x v="152"/>
    <d v="1899-12-30T00:00:00"/>
    <s v="2ND"/>
    <d v="1899-12-30T15:00:00"/>
    <n v="2"/>
    <x v="22"/>
    <n v="8.8999999999999999E-3"/>
    <s v="P"/>
    <s v="P"/>
    <s v="P"/>
    <s v="-"/>
    <s v="-"/>
    <n v="11.43"/>
    <s v="-"/>
    <s v="-"/>
    <s v="-"/>
    <s v="-"/>
    <s v="-"/>
    <s v="-"/>
    <s v="-"/>
    <s v="-"/>
    <s v="P"/>
    <s v="P"/>
    <s v="-"/>
    <n v="2"/>
    <n v="1"/>
    <n v="2"/>
    <n v="1"/>
    <s v="-"/>
    <s v="-"/>
    <s v="-"/>
    <s v="-"/>
    <s v="-"/>
    <s v="-"/>
    <s v="-"/>
    <n v="6"/>
    <n v="6"/>
    <s v="-"/>
    <n v="1"/>
    <n v="1"/>
    <n v="2"/>
    <n v="2"/>
    <n v="8"/>
    <n v="8"/>
  </r>
  <r>
    <x v="6"/>
    <x v="152"/>
    <d v="1899-12-30T00:00:00"/>
    <s v="2ND"/>
    <d v="1899-12-30T16:00:00"/>
    <n v="2"/>
    <x v="22"/>
    <n v="7.1999999999999998E-3"/>
    <s v="P"/>
    <s v="P"/>
    <s v="P"/>
    <s v="-"/>
    <s v="-"/>
    <n v="11.62"/>
    <s v="-"/>
    <s v="-"/>
    <s v="-"/>
    <s v="-"/>
    <s v="-"/>
    <s v="-"/>
    <s v="-"/>
    <s v="-"/>
    <s v="P"/>
    <s v="P"/>
    <s v="-"/>
    <n v="2"/>
    <n v="1"/>
    <n v="2"/>
    <n v="1"/>
    <s v="-"/>
    <s v="-"/>
    <s v="-"/>
    <s v="-"/>
    <s v="-"/>
    <s v="-"/>
    <s v="-"/>
    <n v="6"/>
    <n v="6"/>
    <s v="-"/>
    <n v="1"/>
    <n v="1"/>
    <n v="2"/>
    <n v="2"/>
    <n v="8"/>
    <n v="8"/>
  </r>
  <r>
    <x v="6"/>
    <x v="152"/>
    <d v="1899-12-30T00:00:00"/>
    <s v="2ND"/>
    <d v="1899-12-30T17:00:00"/>
    <n v="2"/>
    <x v="22"/>
    <n v="3.8999999999999998E-3"/>
    <s v="P"/>
    <s v="P"/>
    <s v="P"/>
    <s v="-"/>
    <s v="-"/>
    <n v="11.55"/>
    <s v="-"/>
    <s v="-"/>
    <s v="-"/>
    <s v="-"/>
    <s v="-"/>
    <s v="-"/>
    <s v="-"/>
    <s v="-"/>
    <s v="P"/>
    <s v="P"/>
    <s v="-"/>
    <n v="2"/>
    <n v="1"/>
    <n v="2"/>
    <n v="1"/>
    <s v="-"/>
    <s v="-"/>
    <s v="-"/>
    <s v="-"/>
    <s v="-"/>
    <s v="-"/>
    <s v="-"/>
    <n v="6"/>
    <n v="6"/>
    <s v="-"/>
    <n v="1"/>
    <n v="1"/>
    <n v="2"/>
    <n v="2"/>
    <n v="8"/>
    <n v="8"/>
  </r>
  <r>
    <x v="6"/>
    <x v="152"/>
    <d v="1899-12-30T00:00:00"/>
    <s v="2ND"/>
    <d v="1899-12-30T18:00:00"/>
    <n v="2"/>
    <x v="22"/>
    <n v="1.6999999999999999E-3"/>
    <s v="P"/>
    <s v="P"/>
    <s v="P"/>
    <s v="-"/>
    <s v="-"/>
    <n v="11.56"/>
    <s v="-"/>
    <s v="-"/>
    <s v="-"/>
    <s v="-"/>
    <s v="-"/>
    <s v="-"/>
    <s v="-"/>
    <s v="-"/>
    <s v="P"/>
    <s v="P"/>
    <s v="-"/>
    <n v="2"/>
    <n v="1"/>
    <n v="2"/>
    <n v="1"/>
    <s v="-"/>
    <s v="-"/>
    <s v="-"/>
    <s v="-"/>
    <s v="-"/>
    <s v="-"/>
    <s v="-"/>
    <n v="6"/>
    <n v="6"/>
    <s v="-"/>
    <n v="1"/>
    <n v="1"/>
    <n v="2"/>
    <n v="2"/>
    <n v="8"/>
    <n v="8"/>
  </r>
  <r>
    <x v="6"/>
    <x v="152"/>
    <d v="1899-12-30T00:00:00"/>
    <s v="2ND"/>
    <d v="1899-12-30T19:00:00"/>
    <n v="2"/>
    <x v="22"/>
    <n v="2.5999999999999999E-3"/>
    <s v="P"/>
    <s v="P"/>
    <s v="P"/>
    <s v="-"/>
    <s v="-"/>
    <n v="11.21"/>
    <s v="-"/>
    <s v="-"/>
    <s v="-"/>
    <s v="-"/>
    <s v="-"/>
    <s v="-"/>
    <s v="-"/>
    <s v="-"/>
    <s v="P"/>
    <s v="P"/>
    <s v="-"/>
    <n v="2"/>
    <n v="1"/>
    <n v="2"/>
    <n v="1"/>
    <s v="-"/>
    <s v="-"/>
    <s v="-"/>
    <s v="-"/>
    <s v="-"/>
    <s v="-"/>
    <s v="-"/>
    <n v="6"/>
    <n v="6"/>
    <s v="-"/>
    <n v="1"/>
    <n v="1"/>
    <n v="2"/>
    <n v="2"/>
    <n v="8"/>
    <n v="8"/>
  </r>
  <r>
    <x v="6"/>
    <x v="152"/>
    <d v="1899-12-30T00:00:00"/>
    <s v="2ND"/>
    <d v="1899-12-30T20:00:00"/>
    <n v="2"/>
    <x v="22"/>
    <n v="3.5000000000000001E-3"/>
    <s v="P"/>
    <s v="P"/>
    <s v="P"/>
    <s v="-"/>
    <s v="-"/>
    <n v="11.75"/>
    <s v="-"/>
    <s v="-"/>
    <s v="-"/>
    <s v="-"/>
    <s v="-"/>
    <s v="-"/>
    <s v="-"/>
    <s v="-"/>
    <s v="P"/>
    <s v="P"/>
    <s v="-"/>
    <n v="2"/>
    <n v="1"/>
    <n v="2"/>
    <n v="1"/>
    <s v="-"/>
    <s v="-"/>
    <s v="-"/>
    <s v="-"/>
    <s v="-"/>
    <s v="-"/>
    <s v="-"/>
    <n v="6"/>
    <n v="6"/>
    <s v="-"/>
    <n v="1"/>
    <n v="1"/>
    <n v="2"/>
    <n v="2"/>
    <n v="8"/>
    <n v="8"/>
  </r>
  <r>
    <x v="6"/>
    <x v="152"/>
    <d v="2026-07-14T00:00:00"/>
    <s v="2ND"/>
    <d v="1899-12-30T16:00:00"/>
    <n v="3"/>
    <x v="8"/>
    <n v="1.52E-2"/>
    <s v="P"/>
    <s v="P"/>
    <s v="P"/>
    <s v="+"/>
    <s v="+"/>
    <n v="11.72"/>
    <n v="13.2"/>
    <n v="0.62"/>
    <s v="-"/>
    <s v="-"/>
    <s v="-"/>
    <n v="37.25"/>
    <s v="-"/>
    <s v="-"/>
    <s v="P"/>
    <s v="P"/>
    <n v="1"/>
    <n v="2"/>
    <n v="1"/>
    <n v="2"/>
    <n v="1"/>
    <n v="1"/>
    <n v="0"/>
    <s v="-"/>
    <s v="-"/>
    <s v="-"/>
    <s v="-"/>
    <s v="-"/>
    <n v="7"/>
    <n v="9"/>
    <s v="-"/>
    <n v="1"/>
    <n v="1"/>
    <n v="2"/>
    <n v="2"/>
    <n v="9"/>
    <n v="11"/>
  </r>
  <r>
    <x v="6"/>
    <x v="152"/>
    <d v="2026-07-14T00:00:00"/>
    <s v="2ND"/>
    <d v="1899-12-30T18:00:00"/>
    <n v="3"/>
    <x v="8"/>
    <n v="5.4000000000000003E-3"/>
    <s v="P"/>
    <s v="P"/>
    <s v="P"/>
    <s v="+"/>
    <s v="+"/>
    <s v="-"/>
    <s v="-"/>
    <s v="-"/>
    <s v="-"/>
    <s v="-"/>
    <s v="-"/>
    <s v="-"/>
    <s v="-"/>
    <s v="-"/>
    <s v="P"/>
    <s v="P"/>
    <s v="-"/>
    <n v="2"/>
    <n v="1"/>
    <n v="2"/>
    <s v="-"/>
    <s v="-"/>
    <s v="-"/>
    <s v="-"/>
    <s v="-"/>
    <s v="-"/>
    <s v="-"/>
    <s v="-"/>
    <n v="5"/>
    <n v="5"/>
    <s v="-"/>
    <n v="1"/>
    <n v="1"/>
    <n v="2"/>
    <n v="2"/>
    <n v="7"/>
    <n v="7"/>
  </r>
  <r>
    <x v="6"/>
    <x v="152"/>
    <d v="2026-07-14T00:00:00"/>
    <s v="2ND"/>
    <d v="1899-12-30T19:00:00"/>
    <n v="3"/>
    <x v="8"/>
    <n v="5.0000000000000001E-3"/>
    <s v="P"/>
    <s v="P"/>
    <s v="P"/>
    <s v="+"/>
    <s v="+"/>
    <n v="11.8"/>
    <s v="-"/>
    <s v="-"/>
    <s v="-"/>
    <s v="-"/>
    <s v="-"/>
    <s v="-"/>
    <s v="-"/>
    <s v="-"/>
    <s v="P"/>
    <s v="P"/>
    <s v="-"/>
    <n v="2"/>
    <n v="1"/>
    <n v="2"/>
    <n v="1"/>
    <s v="-"/>
    <s v="-"/>
    <s v="-"/>
    <s v="-"/>
    <s v="-"/>
    <s v="-"/>
    <s v="-"/>
    <n v="6"/>
    <n v="6"/>
    <s v="-"/>
    <n v="1"/>
    <n v="1"/>
    <n v="2"/>
    <n v="2"/>
    <n v="8"/>
    <n v="8"/>
  </r>
  <r>
    <x v="6"/>
    <x v="152"/>
    <d v="2026-07-14T00:00:00"/>
    <s v="2ND"/>
    <d v="1899-12-30T20:00:00"/>
    <n v="3"/>
    <x v="8"/>
    <n v="5.1999999999999998E-3"/>
    <s v="P"/>
    <s v="P"/>
    <s v="P"/>
    <s v="+"/>
    <s v="+"/>
    <n v="11.92"/>
    <s v="-"/>
    <s v="-"/>
    <s v="-"/>
    <s v="-"/>
    <s v="-"/>
    <s v="-"/>
    <s v="-"/>
    <s v="-"/>
    <s v="P"/>
    <s v="P"/>
    <s v="-"/>
    <n v="2"/>
    <n v="1"/>
    <n v="2"/>
    <n v="1"/>
    <s v="-"/>
    <s v="-"/>
    <s v="-"/>
    <s v="-"/>
    <s v="-"/>
    <s v="-"/>
    <s v="-"/>
    <n v="6"/>
    <n v="6"/>
    <s v="-"/>
    <n v="1"/>
    <n v="1"/>
    <n v="2"/>
    <n v="2"/>
    <n v="8"/>
    <n v="8"/>
  </r>
  <r>
    <x v="6"/>
    <x v="152"/>
    <d v="2026-07-08T00:00:00"/>
    <s v="3RD"/>
    <d v="1899-12-30T22:00:00"/>
    <n v="1"/>
    <x v="5"/>
    <n v="7.1999999999999998E-3"/>
    <s v="P"/>
    <s v="P"/>
    <s v="P"/>
    <s v="-"/>
    <s v="+"/>
    <n v="11.23"/>
    <n v="8.44"/>
    <n v="0.54"/>
    <n v="52.4"/>
    <s v="-"/>
    <s v="-"/>
    <n v="22.71"/>
    <s v="-"/>
    <s v="-"/>
    <s v="P"/>
    <s v="P"/>
    <s v="-"/>
    <n v="2"/>
    <n v="1"/>
    <n v="2"/>
    <n v="1"/>
    <n v="0"/>
    <n v="2"/>
    <n v="0"/>
    <s v="-"/>
    <s v="-"/>
    <n v="2"/>
    <s v="-"/>
    <n v="10"/>
    <n v="13"/>
    <s v="-"/>
    <n v="1"/>
    <n v="1"/>
    <n v="2"/>
    <n v="2"/>
    <n v="12"/>
    <n v="15"/>
  </r>
  <r>
    <x v="6"/>
    <x v="152"/>
    <d v="2026-07-08T00:00:00"/>
    <s v="3RD"/>
    <d v="1899-12-30T23:00:00"/>
    <n v="1"/>
    <x v="5"/>
    <n v="8.0000000000000002E-3"/>
    <s v="P"/>
    <s v="P"/>
    <s v="P"/>
    <s v="-"/>
    <s v="+"/>
    <n v="11.29"/>
    <s v="-"/>
    <s v="-"/>
    <s v="-"/>
    <s v="-"/>
    <s v="-"/>
    <s v="-"/>
    <s v="-"/>
    <s v="-"/>
    <s v="P"/>
    <s v="P"/>
    <s v="-"/>
    <n v="2"/>
    <n v="1"/>
    <n v="2"/>
    <n v="1"/>
    <s v="-"/>
    <s v="-"/>
    <s v="-"/>
    <s v="-"/>
    <s v="-"/>
    <s v="-"/>
    <s v="-"/>
    <n v="6"/>
    <n v="6"/>
    <s v="-"/>
    <n v="1"/>
    <n v="1"/>
    <n v="2"/>
    <n v="2"/>
    <n v="8"/>
    <n v="8"/>
  </r>
  <r>
    <x v="6"/>
    <x v="152"/>
    <d v="2026-07-08T00:00:00"/>
    <s v="3RD"/>
    <d v="1899-12-31T00:00:00"/>
    <n v="1"/>
    <x v="5"/>
    <n v="4.0000000000000001E-3"/>
    <s v="P"/>
    <s v="P"/>
    <s v="P"/>
    <s v="-"/>
    <s v="+"/>
    <n v="11.56"/>
    <s v="-"/>
    <s v="-"/>
    <s v="-"/>
    <s v="-"/>
    <s v="-"/>
    <s v="-"/>
    <s v="-"/>
    <s v="-"/>
    <s v="P"/>
    <s v="P"/>
    <s v="-"/>
    <n v="2"/>
    <n v="1"/>
    <n v="2"/>
    <n v="1"/>
    <s v="-"/>
    <s v="-"/>
    <s v="-"/>
    <s v="-"/>
    <s v="-"/>
    <s v="-"/>
    <s v="-"/>
    <n v="6"/>
    <n v="6"/>
    <s v="-"/>
    <n v="1"/>
    <n v="1"/>
    <n v="2"/>
    <n v="2"/>
    <n v="8"/>
    <n v="8"/>
  </r>
  <r>
    <x v="6"/>
    <x v="152"/>
    <d v="2026-07-08T00:00:00"/>
    <s v="3RD"/>
    <d v="1899-12-31T01:00:00"/>
    <n v="1"/>
    <x v="5"/>
    <n v="3.5999999999999999E-3"/>
    <s v="P"/>
    <s v="P"/>
    <s v="P"/>
    <s v="-"/>
    <s v="+"/>
    <n v="11.51"/>
    <s v="-"/>
    <s v="-"/>
    <s v="-"/>
    <s v="-"/>
    <s v="-"/>
    <s v="-"/>
    <s v="-"/>
    <s v="-"/>
    <s v="P"/>
    <s v="P"/>
    <s v="-"/>
    <n v="2"/>
    <n v="1"/>
    <n v="2"/>
    <n v="1"/>
    <s v="-"/>
    <s v="-"/>
    <s v="-"/>
    <s v="-"/>
    <s v="-"/>
    <s v="-"/>
    <s v="-"/>
    <n v="6"/>
    <n v="6"/>
    <s v="-"/>
    <n v="1"/>
    <n v="1"/>
    <n v="2"/>
    <n v="2"/>
    <n v="8"/>
    <n v="8"/>
  </r>
  <r>
    <x v="6"/>
    <x v="152"/>
    <d v="2026-07-14T00:00:00"/>
    <s v="3RD"/>
    <d v="1899-12-31T02:00:00"/>
    <n v="1"/>
    <x v="21"/>
    <n v="4.4000000000000003E-3"/>
    <s v="P"/>
    <s v="P"/>
    <s v="P"/>
    <s v="-"/>
    <s v="+"/>
    <n v="11.85"/>
    <n v="8.56"/>
    <n v="0.52"/>
    <n v="56.1"/>
    <s v="-"/>
    <s v="-"/>
    <n v="23.05"/>
    <s v="-"/>
    <s v="-"/>
    <s v="P"/>
    <s v="P"/>
    <n v="1"/>
    <n v="2"/>
    <n v="1"/>
    <n v="2"/>
    <n v="1"/>
    <s v="-"/>
    <n v="2"/>
    <n v="2"/>
    <s v="-"/>
    <s v="-"/>
    <n v="2"/>
    <s v="-"/>
    <n v="12"/>
    <n v="12"/>
    <s v="-"/>
    <n v="1"/>
    <n v="1"/>
    <n v="2"/>
    <n v="2"/>
    <n v="14"/>
    <n v="14"/>
  </r>
  <r>
    <x v="6"/>
    <x v="152"/>
    <d v="2026-07-14T00:00:00"/>
    <s v="3RD"/>
    <d v="1899-12-31T03:00:00"/>
    <n v="1"/>
    <x v="21"/>
    <n v="2.8E-3"/>
    <s v="P"/>
    <s v="P"/>
    <s v="P"/>
    <s v="-"/>
    <s v="+"/>
    <n v="11.18"/>
    <s v="-"/>
    <s v="-"/>
    <s v="-"/>
    <s v="-"/>
    <s v="-"/>
    <s v="-"/>
    <s v="-"/>
    <s v="-"/>
    <s v="P"/>
    <s v="P"/>
    <s v="-"/>
    <n v="2"/>
    <n v="1"/>
    <n v="2"/>
    <n v="1"/>
    <s v="-"/>
    <s v="-"/>
    <s v="-"/>
    <s v="-"/>
    <s v="-"/>
    <s v="-"/>
    <s v="-"/>
    <n v="6"/>
    <n v="6"/>
    <s v="-"/>
    <n v="1"/>
    <n v="1"/>
    <n v="2"/>
    <n v="2"/>
    <n v="8"/>
    <n v="8"/>
  </r>
  <r>
    <x v="6"/>
    <x v="152"/>
    <d v="2026-07-14T00:00:00"/>
    <s v="3RD"/>
    <d v="1899-12-31T04:00:00"/>
    <n v="1"/>
    <x v="21"/>
    <n v="1.1999999999999999E-3"/>
    <s v="P"/>
    <s v="P"/>
    <s v="P"/>
    <s v="-"/>
    <s v="+"/>
    <n v="10.88"/>
    <s v="-"/>
    <s v="-"/>
    <s v="-"/>
    <s v="-"/>
    <s v="-"/>
    <s v="-"/>
    <s v="-"/>
    <s v="-"/>
    <s v="P"/>
    <s v="P"/>
    <s v="-"/>
    <n v="2"/>
    <n v="1"/>
    <n v="2"/>
    <n v="0"/>
    <s v="-"/>
    <s v="-"/>
    <s v="-"/>
    <s v="-"/>
    <s v="-"/>
    <s v="-"/>
    <s v="-"/>
    <n v="5"/>
    <n v="6"/>
    <s v="-"/>
    <n v="1"/>
    <n v="1"/>
    <n v="2"/>
    <n v="2"/>
    <n v="7"/>
    <n v="8"/>
  </r>
  <r>
    <x v="6"/>
    <x v="152"/>
    <d v="1902-03-25T00:00:00"/>
    <s v="3RD"/>
    <d v="1899-12-30T22:00:00"/>
    <n v="2"/>
    <x v="22"/>
    <n v="3.0999999999999999E-3"/>
    <s v="P"/>
    <s v="P"/>
    <s v="P"/>
    <s v="-"/>
    <s v="-"/>
    <n v="11.41"/>
    <s v="-"/>
    <s v="-"/>
    <s v="-"/>
    <s v="-"/>
    <s v="-"/>
    <s v="-"/>
    <s v="-"/>
    <s v="-"/>
    <s v="P"/>
    <s v="P"/>
    <s v="-"/>
    <n v="2"/>
    <n v="1"/>
    <n v="2"/>
    <n v="1"/>
    <s v="-"/>
    <s v="-"/>
    <s v="-"/>
    <s v="-"/>
    <s v="-"/>
    <s v="-"/>
    <s v="-"/>
    <n v="6"/>
    <n v="6"/>
    <s v="-"/>
    <n v="1"/>
    <n v="1"/>
    <n v="2"/>
    <n v="2"/>
    <n v="8"/>
    <n v="8"/>
  </r>
  <r>
    <x v="6"/>
    <x v="152"/>
    <d v="1899-12-30T00:00:00"/>
    <s v="3RD"/>
    <d v="1899-12-31T00:00:00"/>
    <n v="2"/>
    <x v="22"/>
    <n v="6.4999999999999997E-3"/>
    <s v="P"/>
    <s v="P"/>
    <s v="P"/>
    <s v="-"/>
    <s v="-"/>
    <n v="11.6"/>
    <s v="-"/>
    <s v="-"/>
    <s v="-"/>
    <s v="-"/>
    <s v="-"/>
    <s v="-"/>
    <s v="-"/>
    <s v="-"/>
    <s v="P"/>
    <s v="P"/>
    <s v="-"/>
    <n v="2"/>
    <n v="1"/>
    <n v="2"/>
    <n v="1"/>
    <s v="-"/>
    <s v="-"/>
    <s v="-"/>
    <s v="-"/>
    <s v="-"/>
    <s v="-"/>
    <s v="-"/>
    <n v="6"/>
    <n v="6"/>
    <s v="-"/>
    <n v="1"/>
    <n v="1"/>
    <n v="2"/>
    <n v="2"/>
    <n v="8"/>
    <n v="8"/>
  </r>
  <r>
    <x v="6"/>
    <x v="152"/>
    <d v="1899-12-30T00:00:00"/>
    <s v="3RD"/>
    <d v="1899-12-31T02:00:00"/>
    <n v="2"/>
    <x v="22"/>
    <n v="7.0000000000000001E-3"/>
    <s v="P"/>
    <s v="P"/>
    <s v="P"/>
    <s v="-"/>
    <s v="-"/>
    <n v="11.7"/>
    <s v="-"/>
    <s v="-"/>
    <s v="-"/>
    <s v="-"/>
    <s v="-"/>
    <s v="-"/>
    <s v="-"/>
    <s v="-"/>
    <s v="P"/>
    <s v="P"/>
    <s v="-"/>
    <n v="2"/>
    <n v="1"/>
    <n v="2"/>
    <n v="1"/>
    <s v="-"/>
    <s v="-"/>
    <s v="-"/>
    <s v="-"/>
    <s v="-"/>
    <s v="-"/>
    <s v="-"/>
    <n v="6"/>
    <n v="6"/>
    <s v="-"/>
    <n v="1"/>
    <n v="1"/>
    <n v="2"/>
    <n v="2"/>
    <n v="8"/>
    <n v="8"/>
  </r>
  <r>
    <x v="6"/>
    <x v="152"/>
    <d v="2026-07-14T00:00:00"/>
    <s v="3RD"/>
    <d v="1899-12-30T22:00:00"/>
    <n v="3"/>
    <x v="8"/>
    <n v="6.4999999999999997E-3"/>
    <s v="P"/>
    <s v="P"/>
    <s v="P"/>
    <s v="+"/>
    <s v="+"/>
    <n v="11.72"/>
    <n v="13.17"/>
    <n v="0.62"/>
    <s v="-"/>
    <s v="-"/>
    <s v="-"/>
    <n v="37.1"/>
    <s v="-"/>
    <s v="-"/>
    <s v="P"/>
    <s v="P"/>
    <n v="1"/>
    <n v="2"/>
    <n v="1"/>
    <n v="2"/>
    <n v="1"/>
    <n v="1"/>
    <n v="0"/>
    <s v="-"/>
    <s v="-"/>
    <s v="-"/>
    <s v="-"/>
    <s v="-"/>
    <n v="7"/>
    <n v="9"/>
    <s v="-"/>
    <n v="1"/>
    <n v="1"/>
    <n v="2"/>
    <n v="2"/>
    <n v="9"/>
    <n v="11"/>
  </r>
  <r>
    <x v="6"/>
    <x v="152"/>
    <d v="2026-07-14T00:00:00"/>
    <s v="3RD"/>
    <d v="1899-12-30T23:00:00"/>
    <n v="3"/>
    <x v="8"/>
    <n v="7.1999999999999998E-3"/>
    <s v="P"/>
    <s v="P"/>
    <s v="P"/>
    <s v="+"/>
    <s v="+"/>
    <n v="11.21"/>
    <s v="-"/>
    <s v="-"/>
    <s v="-"/>
    <s v="-"/>
    <s v="-"/>
    <s v="-"/>
    <s v="-"/>
    <s v="-"/>
    <s v="P"/>
    <s v="P"/>
    <s v="-"/>
    <n v="2"/>
    <n v="1"/>
    <n v="2"/>
    <n v="1"/>
    <s v="-"/>
    <s v="-"/>
    <s v="-"/>
    <s v="-"/>
    <s v="-"/>
    <s v="-"/>
    <s v="-"/>
    <n v="6"/>
    <n v="6"/>
    <s v="-"/>
    <n v="1"/>
    <n v="1"/>
    <n v="2"/>
    <n v="2"/>
    <n v="8"/>
    <n v="8"/>
  </r>
  <r>
    <x v="6"/>
    <x v="152"/>
    <d v="2026-07-14T00:00:00"/>
    <s v="3RD"/>
    <d v="1899-12-31T00:00:00"/>
    <n v="3"/>
    <x v="8"/>
    <n v="8.3999999999999995E-3"/>
    <s v="P"/>
    <s v="P"/>
    <s v="P"/>
    <s v="+"/>
    <s v="+"/>
    <n v="11.85"/>
    <s v="-"/>
    <s v="-"/>
    <s v="-"/>
    <s v="-"/>
    <s v="-"/>
    <s v="-"/>
    <s v="-"/>
    <s v="-"/>
    <s v="P"/>
    <s v="P"/>
    <s v="-"/>
    <n v="2"/>
    <n v="1"/>
    <n v="2"/>
    <n v="1"/>
    <s v="-"/>
    <s v="-"/>
    <s v="-"/>
    <s v="-"/>
    <s v="-"/>
    <s v="-"/>
    <s v="-"/>
    <n v="6"/>
    <n v="6"/>
    <s v="-"/>
    <n v="1"/>
    <n v="1"/>
    <n v="2"/>
    <n v="2"/>
    <n v="8"/>
    <n v="8"/>
  </r>
  <r>
    <x v="6"/>
    <x v="152"/>
    <d v="2026-07-14T00:00:00"/>
    <s v="3RD"/>
    <d v="1899-12-31T01:00:00"/>
    <n v="3"/>
    <x v="8"/>
    <n v="5.7999999999999996E-3"/>
    <s v="P"/>
    <s v="P"/>
    <s v="P"/>
    <s v="+"/>
    <s v="+"/>
    <n v="11.82"/>
    <s v="-"/>
    <s v="-"/>
    <s v="-"/>
    <s v="-"/>
    <s v="-"/>
    <s v="-"/>
    <s v="-"/>
    <s v="-"/>
    <s v="P"/>
    <s v="P"/>
    <s v="-"/>
    <n v="2"/>
    <n v="1"/>
    <n v="2"/>
    <n v="1"/>
    <s v="-"/>
    <s v="-"/>
    <s v="-"/>
    <s v="-"/>
    <s v="-"/>
    <s v="-"/>
    <s v="-"/>
    <n v="6"/>
    <n v="6"/>
    <s v="-"/>
    <n v="1"/>
    <n v="1"/>
    <n v="2"/>
    <n v="2"/>
    <n v="8"/>
    <n v="8"/>
  </r>
  <r>
    <x v="6"/>
    <x v="152"/>
    <d v="2026-07-14T00:00:00"/>
    <s v="3RD"/>
    <d v="1899-12-31T02:00:00"/>
    <n v="3"/>
    <x v="8"/>
    <n v="1.26E-2"/>
    <s v="P"/>
    <s v="P"/>
    <s v="P"/>
    <s v="+"/>
    <s v="+"/>
    <n v="11.82"/>
    <s v="-"/>
    <s v="-"/>
    <s v="-"/>
    <s v="-"/>
    <s v="-"/>
    <s v="-"/>
    <s v="-"/>
    <s v="-"/>
    <s v="P"/>
    <s v="P"/>
    <s v="-"/>
    <n v="2"/>
    <n v="1"/>
    <n v="2"/>
    <n v="1"/>
    <s v="-"/>
    <s v="-"/>
    <s v="-"/>
    <s v="-"/>
    <s v="-"/>
    <s v="-"/>
    <s v="-"/>
    <n v="6"/>
    <n v="6"/>
    <s v="-"/>
    <n v="1"/>
    <n v="1"/>
    <n v="2"/>
    <n v="2"/>
    <n v="8"/>
    <n v="8"/>
  </r>
  <r>
    <x v="6"/>
    <x v="152"/>
    <d v="2026-07-14T00:00:00"/>
    <s v="3RD"/>
    <d v="1899-12-31T04:00:00"/>
    <n v="3"/>
    <x v="1"/>
    <n v="5.7999999999999996E-3"/>
    <s v="P"/>
    <s v="P"/>
    <s v="P"/>
    <s v="+"/>
    <s v="+"/>
    <n v="12.12"/>
    <s v="-"/>
    <s v="-"/>
    <s v="-"/>
    <s v="-"/>
    <s v="-"/>
    <s v="-"/>
    <s v="-"/>
    <s v="-"/>
    <s v="P"/>
    <s v="P"/>
    <s v="-"/>
    <n v="2"/>
    <n v="1"/>
    <n v="2"/>
    <n v="1"/>
    <s v="-"/>
    <s v="-"/>
    <s v="-"/>
    <s v="-"/>
    <s v="-"/>
    <s v="-"/>
    <s v="-"/>
    <n v="6"/>
    <n v="6"/>
    <s v="-"/>
    <n v="1"/>
    <n v="1"/>
    <n v="2"/>
    <n v="2"/>
    <n v="8"/>
    <n v="8"/>
  </r>
  <r>
    <x v="6"/>
    <x v="153"/>
    <d v="2026-07-14T00:00:00"/>
    <s v="1ST"/>
    <s v="07:00"/>
    <n v="1"/>
    <x v="21"/>
    <n v="2.8E-3"/>
    <s v="P"/>
    <s v="P"/>
    <s v="P"/>
    <s v="-"/>
    <s v="+"/>
    <n v="11.49"/>
    <n v="8.7899999999999991"/>
    <s v="-"/>
    <s v="-"/>
    <s v="-"/>
    <s v="-"/>
    <n v="23.46"/>
    <s v="-"/>
    <s v="-"/>
    <s v="P"/>
    <s v="P"/>
    <n v="1"/>
    <n v="2"/>
    <n v="1"/>
    <n v="2"/>
    <n v="1"/>
    <s v="-"/>
    <s v="-"/>
    <s v="-"/>
    <s v="-"/>
    <s v="-"/>
    <n v="2"/>
    <s v="-"/>
    <n v="8"/>
    <n v="8"/>
    <s v="-"/>
    <n v="1"/>
    <n v="1"/>
    <n v="2"/>
    <n v="2"/>
    <n v="10"/>
    <n v="10"/>
  </r>
  <r>
    <x v="6"/>
    <x v="153"/>
    <d v="2026-07-14T00:00:00"/>
    <s v="1ST"/>
    <s v="08:00"/>
    <n v="1"/>
    <x v="21"/>
    <n v="2.5999999999999999E-3"/>
    <s v="P"/>
    <s v="P"/>
    <s v="P"/>
    <s v="-"/>
    <s v="+"/>
    <n v="11.1"/>
    <s v="-"/>
    <s v="-"/>
    <s v="-"/>
    <s v="-"/>
    <s v="-"/>
    <s v="-"/>
    <s v="-"/>
    <s v="-"/>
    <s v="P"/>
    <s v="P"/>
    <s v="-"/>
    <n v="2"/>
    <n v="1"/>
    <n v="2"/>
    <n v="1"/>
    <s v="-"/>
    <s v="-"/>
    <s v="-"/>
    <s v="-"/>
    <s v="-"/>
    <s v="-"/>
    <s v="-"/>
    <n v="6"/>
    <n v="6"/>
    <s v="-"/>
    <n v="1"/>
    <n v="1"/>
    <n v="2"/>
    <n v="2"/>
    <n v="8"/>
    <n v="8"/>
  </r>
  <r>
    <x v="6"/>
    <x v="153"/>
    <d v="2026-07-14T00:00:00"/>
    <s v="1ST"/>
    <s v="09:00"/>
    <n v="1"/>
    <x v="21"/>
    <n v="3.2000000000000002E-3"/>
    <s v="P"/>
    <s v="P"/>
    <s v="P"/>
    <s v="-"/>
    <s v="+"/>
    <n v="11.38"/>
    <s v="-"/>
    <s v="-"/>
    <s v="-"/>
    <s v="-"/>
    <s v="-"/>
    <s v="-"/>
    <s v="-"/>
    <s v="-"/>
    <s v="P"/>
    <s v="P"/>
    <s v="-"/>
    <n v="2"/>
    <n v="1"/>
    <n v="2"/>
    <n v="1"/>
    <s v="-"/>
    <s v="-"/>
    <s v="-"/>
    <s v="-"/>
    <s v="-"/>
    <s v="-"/>
    <s v="-"/>
    <n v="6"/>
    <n v="6"/>
    <s v="-"/>
    <n v="1"/>
    <n v="1"/>
    <n v="2"/>
    <n v="2"/>
    <n v="8"/>
    <n v="8"/>
  </r>
  <r>
    <x v="6"/>
    <x v="153"/>
    <d v="2026-07-14T00:00:00"/>
    <s v="1ST"/>
    <s v="11:00"/>
    <n v="1"/>
    <x v="4"/>
    <n v="4.4999999999999997E-3"/>
    <s v="P"/>
    <s v="P"/>
    <s v="P"/>
    <s v="-"/>
    <s v="+"/>
    <n v="10.96"/>
    <n v="8.7100000000000009"/>
    <s v="-"/>
    <n v="56.2"/>
    <s v="-"/>
    <s v="-"/>
    <n v="23.6"/>
    <s v="-"/>
    <s v="-"/>
    <s v="P"/>
    <s v="P"/>
    <n v="1"/>
    <n v="2"/>
    <n v="1"/>
    <n v="2"/>
    <n v="0"/>
    <n v="1"/>
    <s v="-"/>
    <n v="2"/>
    <s v="-"/>
    <s v="-"/>
    <n v="2"/>
    <s v="-"/>
    <n v="10"/>
    <n v="11"/>
    <s v="-"/>
    <n v="1"/>
    <n v="1"/>
    <n v="2"/>
    <n v="2"/>
    <n v="12"/>
    <n v="13"/>
  </r>
  <r>
    <x v="6"/>
    <x v="153"/>
    <d v="2026-07-14T00:00:00"/>
    <s v="1ST"/>
    <s v="12:00"/>
    <n v="1"/>
    <x v="4"/>
    <n v="3.8E-3"/>
    <s v="P"/>
    <s v="P"/>
    <s v="P"/>
    <s v="-"/>
    <s v="+"/>
    <n v="10.63"/>
    <s v="-"/>
    <s v="-"/>
    <s v="-"/>
    <s v="-"/>
    <s v="-"/>
    <s v="-"/>
    <s v="-"/>
    <s v="-"/>
    <s v="P"/>
    <s v="P"/>
    <s v="-"/>
    <n v="2"/>
    <n v="1"/>
    <n v="2"/>
    <n v="0"/>
    <s v="-"/>
    <s v="-"/>
    <s v="-"/>
    <s v="-"/>
    <s v="-"/>
    <s v="-"/>
    <s v="-"/>
    <n v="5"/>
    <n v="6"/>
    <s v="-"/>
    <n v="1"/>
    <n v="1"/>
    <n v="2"/>
    <n v="2"/>
    <n v="7"/>
    <n v="8"/>
  </r>
  <r>
    <x v="6"/>
    <x v="153"/>
    <d v="2026-07-14T00:00:00"/>
    <s v="1ST"/>
    <s v="13:00"/>
    <n v="1"/>
    <x v="4"/>
    <n v="3.3999999999999998E-3"/>
    <s v="P"/>
    <s v="P"/>
    <s v="P"/>
    <s v="-"/>
    <s v="+"/>
    <n v="10.79"/>
    <s v="-"/>
    <s v="-"/>
    <s v="-"/>
    <s v="-"/>
    <s v="-"/>
    <s v="-"/>
    <s v="-"/>
    <s v="-"/>
    <s v="P"/>
    <s v="P"/>
    <s v="-"/>
    <n v="2"/>
    <n v="1"/>
    <n v="2"/>
    <n v="0"/>
    <s v="-"/>
    <s v="-"/>
    <s v="-"/>
    <s v="-"/>
    <s v="-"/>
    <s v="-"/>
    <s v="-"/>
    <n v="5"/>
    <n v="6"/>
    <s v="-"/>
    <n v="1"/>
    <n v="1"/>
    <n v="2"/>
    <n v="2"/>
    <n v="7"/>
    <n v="8"/>
  </r>
  <r>
    <x v="6"/>
    <x v="153"/>
    <d v="1902-03-25T00:00:00"/>
    <s v="1ST"/>
    <s v="06:00"/>
    <n v="2"/>
    <x v="22"/>
    <n v="9.1999999999999998E-3"/>
    <s v="P"/>
    <s v="P"/>
    <s v="P"/>
    <s v="-"/>
    <s v="-"/>
    <n v="11.27"/>
    <s v="-"/>
    <s v="-"/>
    <s v="-"/>
    <s v="-"/>
    <s v="-"/>
    <s v="-"/>
    <s v="-"/>
    <s v="-"/>
    <s v="P"/>
    <s v="P"/>
    <s v="-"/>
    <n v="2"/>
    <n v="1"/>
    <n v="2"/>
    <n v="1"/>
    <s v="-"/>
    <s v="-"/>
    <s v="-"/>
    <s v="-"/>
    <s v="-"/>
    <s v="-"/>
    <s v="-"/>
    <n v="6"/>
    <n v="6"/>
    <s v="-"/>
    <n v="1"/>
    <n v="1"/>
    <n v="2"/>
    <n v="2"/>
    <n v="8"/>
    <n v="8"/>
  </r>
  <r>
    <x v="6"/>
    <x v="153"/>
    <d v="1899-12-30T00:00:00"/>
    <s v="1ST"/>
    <s v="07:00"/>
    <n v="2"/>
    <x v="22"/>
    <n v="6.8999999999999999E-3"/>
    <s v="P"/>
    <s v="P"/>
    <s v="P"/>
    <s v="-"/>
    <s v="-"/>
    <n v="11.19"/>
    <s v="-"/>
    <s v="-"/>
    <s v="-"/>
    <s v="-"/>
    <s v="-"/>
    <s v="-"/>
    <s v="-"/>
    <s v="-"/>
    <s v="P"/>
    <s v="P"/>
    <s v="-"/>
    <n v="2"/>
    <n v="1"/>
    <n v="2"/>
    <n v="1"/>
    <s v="-"/>
    <s v="-"/>
    <s v="-"/>
    <s v="-"/>
    <s v="-"/>
    <s v="-"/>
    <s v="-"/>
    <n v="6"/>
    <n v="6"/>
    <s v="-"/>
    <n v="1"/>
    <n v="1"/>
    <n v="2"/>
    <n v="2"/>
    <n v="8"/>
    <n v="8"/>
  </r>
  <r>
    <x v="6"/>
    <x v="153"/>
    <d v="1899-12-30T00:00:00"/>
    <s v="1ST"/>
    <s v="08:00"/>
    <n v="2"/>
    <x v="22"/>
    <n v="8.0999999999999996E-3"/>
    <s v="P"/>
    <s v="P"/>
    <s v="P"/>
    <s v="-"/>
    <s v="-"/>
    <n v="11.21"/>
    <s v="-"/>
    <s v="-"/>
    <s v="-"/>
    <s v="-"/>
    <s v="-"/>
    <s v="-"/>
    <s v="-"/>
    <s v="-"/>
    <s v="P"/>
    <s v="P"/>
    <s v="-"/>
    <n v="2"/>
    <n v="1"/>
    <n v="2"/>
    <n v="1"/>
    <s v="-"/>
    <s v="-"/>
    <s v="-"/>
    <s v="-"/>
    <s v="-"/>
    <s v="-"/>
    <s v="-"/>
    <n v="6"/>
    <n v="6"/>
    <s v="-"/>
    <n v="1"/>
    <n v="1"/>
    <n v="2"/>
    <n v="2"/>
    <n v="8"/>
    <n v="8"/>
  </r>
  <r>
    <x v="6"/>
    <x v="153"/>
    <d v="1899-12-30T00:00:00"/>
    <s v="1ST"/>
    <s v="11:00"/>
    <n v="2"/>
    <x v="22"/>
    <n v="4.8999999999999998E-3"/>
    <s v="P"/>
    <s v="P"/>
    <s v="P"/>
    <s v="-"/>
    <s v="-"/>
    <n v="11.19"/>
    <s v="-"/>
    <s v="-"/>
    <s v="-"/>
    <s v="-"/>
    <s v="-"/>
    <s v="-"/>
    <s v="-"/>
    <s v="-"/>
    <s v="P"/>
    <s v="P"/>
    <s v="-"/>
    <n v="2"/>
    <n v="1"/>
    <n v="2"/>
    <n v="1"/>
    <s v="-"/>
    <s v="-"/>
    <s v="-"/>
    <s v="-"/>
    <s v="-"/>
    <s v="-"/>
    <s v="-"/>
    <n v="6"/>
    <n v="6"/>
    <s v="-"/>
    <n v="1"/>
    <n v="1"/>
    <n v="2"/>
    <n v="2"/>
    <n v="8"/>
    <n v="8"/>
  </r>
  <r>
    <x v="6"/>
    <x v="153"/>
    <d v="1899-12-30T00:00:00"/>
    <s v="1ST"/>
    <s v="12:00"/>
    <n v="2"/>
    <x v="22"/>
    <n v="4.7999999999999996E-3"/>
    <s v="P"/>
    <s v="P"/>
    <s v="P"/>
    <s v="-"/>
    <s v="-"/>
    <n v="11.06"/>
    <s v="-"/>
    <s v="-"/>
    <s v="-"/>
    <s v="-"/>
    <s v="-"/>
    <s v="-"/>
    <s v="-"/>
    <s v="-"/>
    <s v="P"/>
    <s v="P"/>
    <s v="-"/>
    <n v="2"/>
    <n v="1"/>
    <n v="2"/>
    <n v="1"/>
    <s v="-"/>
    <s v="-"/>
    <s v="-"/>
    <s v="-"/>
    <s v="-"/>
    <s v="-"/>
    <s v="-"/>
    <n v="6"/>
    <n v="6"/>
    <s v="-"/>
    <n v="1"/>
    <n v="1"/>
    <n v="2"/>
    <n v="2"/>
    <n v="8"/>
    <n v="8"/>
  </r>
  <r>
    <x v="6"/>
    <x v="153"/>
    <d v="1899-12-30T00:00:00"/>
    <s v="1ST"/>
    <s v="13:00"/>
    <n v="2"/>
    <x v="22"/>
    <n v="4.5999999999999999E-3"/>
    <s v="P"/>
    <s v="P"/>
    <s v="P"/>
    <s v="-"/>
    <s v="-"/>
    <n v="11.18"/>
    <s v="-"/>
    <s v="-"/>
    <s v="-"/>
    <s v="-"/>
    <s v="-"/>
    <s v="-"/>
    <s v="-"/>
    <s v="-"/>
    <s v="P"/>
    <s v="P"/>
    <s v="-"/>
    <n v="2"/>
    <n v="1"/>
    <n v="2"/>
    <n v="1"/>
    <s v="-"/>
    <s v="-"/>
    <s v="-"/>
    <s v="-"/>
    <s v="-"/>
    <s v="-"/>
    <s v="-"/>
    <n v="6"/>
    <n v="6"/>
    <s v="-"/>
    <n v="1"/>
    <n v="1"/>
    <n v="2"/>
    <n v="2"/>
    <n v="8"/>
    <n v="8"/>
  </r>
  <r>
    <x v="6"/>
    <x v="153"/>
    <d v="2026-07-14T00:00:00"/>
    <s v="1ST"/>
    <s v="06:00"/>
    <n v="3"/>
    <x v="1"/>
    <n v="4.4000000000000003E-3"/>
    <s v="P"/>
    <s v="P"/>
    <s v="P"/>
    <s v="+"/>
    <s v="+"/>
    <n v="12.13"/>
    <n v="13.22"/>
    <n v="0.59"/>
    <n v="64.8"/>
    <s v="-"/>
    <s v="-"/>
    <n v="37.24"/>
    <s v="-"/>
    <s v="-"/>
    <s v="P"/>
    <s v="P"/>
    <n v="1"/>
    <n v="2"/>
    <n v="1"/>
    <n v="2"/>
    <n v="1"/>
    <n v="1"/>
    <n v="2"/>
    <n v="2"/>
    <s v="-"/>
    <s v="-"/>
    <n v="2"/>
    <s v="-"/>
    <n v="13"/>
    <n v="13"/>
    <s v="-"/>
    <n v="1"/>
    <n v="1"/>
    <n v="2"/>
    <n v="2"/>
    <n v="15"/>
    <n v="15"/>
  </r>
  <r>
    <x v="6"/>
    <x v="153"/>
    <d v="2026-07-14T00:00:00"/>
    <s v="1ST"/>
    <s v="07:00"/>
    <n v="3"/>
    <x v="1"/>
    <n v="1.1900000000000001E-2"/>
    <s v="P"/>
    <s v="P"/>
    <s v="P"/>
    <s v="+"/>
    <s v="+"/>
    <n v="12.24"/>
    <s v="-"/>
    <s v="-"/>
    <s v="-"/>
    <s v="-"/>
    <s v="-"/>
    <s v="-"/>
    <s v="-"/>
    <s v="-"/>
    <s v="P"/>
    <s v="P"/>
    <s v="-"/>
    <n v="2"/>
    <n v="1"/>
    <n v="2"/>
    <n v="1"/>
    <s v="-"/>
    <s v="-"/>
    <s v="-"/>
    <s v="-"/>
    <s v="-"/>
    <s v="-"/>
    <s v="-"/>
    <n v="6"/>
    <n v="6"/>
    <s v="-"/>
    <n v="1"/>
    <n v="1"/>
    <n v="2"/>
    <n v="2"/>
    <n v="8"/>
    <n v="8"/>
  </r>
  <r>
    <x v="6"/>
    <x v="153"/>
    <d v="2026-07-14T00:00:00"/>
    <s v="1ST"/>
    <s v="08:00"/>
    <n v="3"/>
    <x v="1"/>
    <n v="5.4000000000000003E-3"/>
    <s v="P"/>
    <s v="P"/>
    <s v="P"/>
    <s v="+"/>
    <s v="+"/>
    <n v="12.25"/>
    <s v="-"/>
    <s v="-"/>
    <s v="-"/>
    <s v="-"/>
    <s v="-"/>
    <s v="-"/>
    <s v="-"/>
    <s v="-"/>
    <s v="P"/>
    <s v="P"/>
    <s v="-"/>
    <n v="2"/>
    <n v="1"/>
    <n v="2"/>
    <n v="1"/>
    <s v="-"/>
    <s v="-"/>
    <s v="-"/>
    <s v="-"/>
    <s v="-"/>
    <s v="-"/>
    <s v="-"/>
    <n v="6"/>
    <n v="6"/>
    <s v="-"/>
    <n v="1"/>
    <n v="1"/>
    <n v="2"/>
    <n v="2"/>
    <n v="8"/>
    <n v="8"/>
  </r>
  <r>
    <x v="6"/>
    <x v="153"/>
    <d v="2026-07-15T00:00:00"/>
    <s v="1ST"/>
    <s v="10:00"/>
    <n v="3"/>
    <x v="12"/>
    <n v="1.4800000000000001E-2"/>
    <s v="P"/>
    <s v="P"/>
    <s v="P"/>
    <s v="+"/>
    <s v="+"/>
    <s v="-"/>
    <n v="13.25"/>
    <n v="0.56000000000000005"/>
    <n v="64.2"/>
    <s v="-"/>
    <s v="-"/>
    <n v="37.299999999999997"/>
    <s v="-"/>
    <s v="-"/>
    <s v="P"/>
    <s v="P"/>
    <n v="1"/>
    <n v="2"/>
    <n v="1"/>
    <n v="2"/>
    <s v="-"/>
    <s v="-"/>
    <n v="2"/>
    <n v="2"/>
    <s v="-"/>
    <s v="-"/>
    <n v="2"/>
    <s v="-"/>
    <n v="11"/>
    <n v="11"/>
    <s v="-"/>
    <n v="1"/>
    <n v="1"/>
    <n v="2"/>
    <n v="2"/>
    <n v="13"/>
    <n v="13"/>
  </r>
  <r>
    <x v="6"/>
    <x v="153"/>
    <d v="2026-07-15T00:00:00"/>
    <s v="1ST"/>
    <s v="11:00"/>
    <n v="3"/>
    <x v="12"/>
    <n v="1.0200000000000001E-2"/>
    <s v="P"/>
    <s v="P"/>
    <s v="P"/>
    <s v="+"/>
    <s v="+"/>
    <n v="12.21"/>
    <s v="-"/>
    <s v="-"/>
    <s v="-"/>
    <s v="-"/>
    <s v="-"/>
    <s v="-"/>
    <s v="-"/>
    <s v="-"/>
    <s v="P"/>
    <s v="P"/>
    <s v="-"/>
    <n v="2"/>
    <n v="1"/>
    <n v="2"/>
    <n v="1"/>
    <s v="-"/>
    <s v="-"/>
    <s v="-"/>
    <s v="-"/>
    <s v="-"/>
    <s v="-"/>
    <s v="-"/>
    <n v="6"/>
    <n v="6"/>
    <s v="-"/>
    <n v="1"/>
    <n v="1"/>
    <n v="2"/>
    <n v="2"/>
    <n v="8"/>
    <n v="8"/>
  </r>
  <r>
    <x v="6"/>
    <x v="153"/>
    <d v="2026-07-15T00:00:00"/>
    <s v="1ST"/>
    <s v="12:00"/>
    <n v="3"/>
    <x v="36"/>
    <n v="7.1000000000000004E-3"/>
    <s v="P"/>
    <s v="P"/>
    <s v="P"/>
    <s v="+"/>
    <s v="+"/>
    <n v="12.88"/>
    <n v="13.25"/>
    <n v="0.56000000000000005"/>
    <n v="64.2"/>
    <s v="-"/>
    <s v="-"/>
    <n v="37.299999999999997"/>
    <s v="-"/>
    <s v="-"/>
    <s v="P"/>
    <s v="P"/>
    <s v="-"/>
    <n v="2"/>
    <n v="1"/>
    <n v="2"/>
    <n v="1"/>
    <n v="1"/>
    <n v="2"/>
    <n v="2"/>
    <s v="-"/>
    <s v="-"/>
    <n v="2"/>
    <s v="-"/>
    <n v="13"/>
    <n v="13"/>
    <s v="-"/>
    <n v="1"/>
    <n v="1"/>
    <n v="2"/>
    <n v="2"/>
    <n v="15"/>
    <n v="15"/>
  </r>
  <r>
    <x v="6"/>
    <x v="153"/>
    <d v="2026-07-14T00:00:00"/>
    <s v="2ND"/>
    <d v="1899-12-30T14:00:00"/>
    <n v="1"/>
    <x v="4"/>
    <n v="1.8E-3"/>
    <s v="P"/>
    <s v="P"/>
    <s v="P"/>
    <s v="-"/>
    <s v="+"/>
    <n v="10.92"/>
    <n v="8.75"/>
    <s v="-"/>
    <s v="-"/>
    <s v="-"/>
    <s v="-"/>
    <n v="23.6"/>
    <s v="-"/>
    <s v="-"/>
    <s v="P"/>
    <s v="P"/>
    <n v="1"/>
    <n v="2"/>
    <n v="1"/>
    <n v="2"/>
    <n v="0"/>
    <n v="1"/>
    <s v="-"/>
    <s v="-"/>
    <s v="-"/>
    <s v="-"/>
    <n v="2"/>
    <s v="-"/>
    <n v="8"/>
    <n v="9"/>
    <s v="-"/>
    <n v="1"/>
    <n v="1"/>
    <n v="2"/>
    <n v="2"/>
    <n v="10"/>
    <n v="11"/>
  </r>
  <r>
    <x v="6"/>
    <x v="153"/>
    <d v="2026-07-14T00:00:00"/>
    <s v="2ND"/>
    <d v="1899-12-30T15:00:00"/>
    <n v="1"/>
    <x v="4"/>
    <n v="2.8999999999999998E-3"/>
    <s v="P"/>
    <s v="P"/>
    <s v="P"/>
    <s v="-"/>
    <s v="+"/>
    <n v="10.7"/>
    <s v="-"/>
    <s v="-"/>
    <s v="-"/>
    <s v="-"/>
    <s v="-"/>
    <s v="-"/>
    <s v="-"/>
    <s v="-"/>
    <s v="P"/>
    <s v="P"/>
    <s v="-"/>
    <n v="2"/>
    <n v="1"/>
    <n v="2"/>
    <n v="0"/>
    <s v="-"/>
    <s v="-"/>
    <s v="-"/>
    <s v="-"/>
    <s v="-"/>
    <s v="-"/>
    <s v="-"/>
    <n v="5"/>
    <n v="6"/>
    <s v="-"/>
    <n v="1"/>
    <n v="1"/>
    <n v="2"/>
    <n v="2"/>
    <n v="7"/>
    <n v="8"/>
  </r>
  <r>
    <x v="6"/>
    <x v="153"/>
    <d v="2026-07-14T00:00:00"/>
    <s v="2ND"/>
    <d v="1899-12-30T16:00:00"/>
    <n v="1"/>
    <x v="4"/>
    <n v="4.1000000000000003E-3"/>
    <s v="P"/>
    <s v="P"/>
    <s v="P"/>
    <s v="-"/>
    <s v="+"/>
    <n v="10.96"/>
    <s v="-"/>
    <s v="-"/>
    <s v="-"/>
    <s v="-"/>
    <s v="-"/>
    <s v="-"/>
    <s v="-"/>
    <s v="-"/>
    <s v="P"/>
    <s v="P"/>
    <s v="-"/>
    <n v="2"/>
    <n v="1"/>
    <n v="2"/>
    <n v="0"/>
    <s v="-"/>
    <s v="-"/>
    <s v="-"/>
    <s v="-"/>
    <s v="-"/>
    <s v="-"/>
    <s v="-"/>
    <n v="5"/>
    <n v="6"/>
    <s v="-"/>
    <n v="1"/>
    <n v="1"/>
    <n v="2"/>
    <n v="2"/>
    <n v="7"/>
    <n v="8"/>
  </r>
  <r>
    <x v="6"/>
    <x v="153"/>
    <d v="2026-07-16T00:00:00"/>
    <s v="2ND"/>
    <d v="1899-12-30T17:00:00"/>
    <n v="1"/>
    <x v="7"/>
    <n v="6.7000000000000002E-3"/>
    <s v="P"/>
    <s v="P"/>
    <s v="P"/>
    <s v="-"/>
    <s v="+"/>
    <n v="10.79"/>
    <s v="-"/>
    <s v="-"/>
    <s v="-"/>
    <s v="-"/>
    <s v="-"/>
    <s v="-"/>
    <s v="-"/>
    <s v="-"/>
    <s v="P"/>
    <s v="P"/>
    <s v="60% 10% 30%"/>
    <n v="2"/>
    <n v="1"/>
    <n v="2"/>
    <n v="0"/>
    <s v="-"/>
    <s v="-"/>
    <s v="-"/>
    <s v="-"/>
    <s v="-"/>
    <s v="-"/>
    <s v="-"/>
    <n v="5"/>
    <n v="6"/>
    <s v="-"/>
    <n v="1"/>
    <n v="1"/>
    <n v="2"/>
    <n v="2"/>
    <n v="7"/>
    <n v="8"/>
  </r>
  <r>
    <x v="6"/>
    <x v="153"/>
    <d v="2026-07-16T00:00:00"/>
    <s v="2ND"/>
    <d v="1899-12-30T18:00:00"/>
    <n v="1"/>
    <x v="7"/>
    <n v="4.1000000000000003E-3"/>
    <s v="P"/>
    <s v="P"/>
    <s v="P"/>
    <s v="-"/>
    <s v="+"/>
    <n v="10.6"/>
    <s v="-"/>
    <s v="-"/>
    <s v="-"/>
    <s v="-"/>
    <s v="-"/>
    <s v="-"/>
    <s v="-"/>
    <s v="-"/>
    <s v="P"/>
    <s v="P"/>
    <s v="-"/>
    <n v="2"/>
    <n v="1"/>
    <n v="2"/>
    <n v="0"/>
    <s v="-"/>
    <s v="-"/>
    <s v="-"/>
    <s v="-"/>
    <s v="-"/>
    <s v="-"/>
    <s v="-"/>
    <n v="5"/>
    <n v="6"/>
    <s v="-"/>
    <n v="1"/>
    <n v="1"/>
    <n v="2"/>
    <n v="2"/>
    <n v="7"/>
    <n v="8"/>
  </r>
  <r>
    <x v="6"/>
    <x v="153"/>
    <d v="2026-07-16T00:00:00"/>
    <s v="2ND"/>
    <d v="1899-12-30T19:00:00"/>
    <n v="1"/>
    <x v="7"/>
    <n v="5.4999999999999997E-3"/>
    <s v="P"/>
    <s v="P"/>
    <s v="P"/>
    <s v="-"/>
    <s v="+"/>
    <n v="10.53"/>
    <s v="-"/>
    <s v="-"/>
    <s v="-"/>
    <s v="-"/>
    <s v="-"/>
    <s v="-"/>
    <s v="-"/>
    <s v="-"/>
    <s v="P"/>
    <s v="P"/>
    <s v="-"/>
    <n v="2"/>
    <n v="1"/>
    <n v="2"/>
    <n v="0"/>
    <s v="-"/>
    <s v="-"/>
    <s v="-"/>
    <s v="-"/>
    <s v="-"/>
    <s v="-"/>
    <s v="-"/>
    <n v="5"/>
    <n v="6"/>
    <s v="-"/>
    <n v="1"/>
    <n v="1"/>
    <n v="2"/>
    <n v="2"/>
    <n v="7"/>
    <n v="8"/>
  </r>
  <r>
    <x v="6"/>
    <x v="153"/>
    <d v="2026-07-16T00:00:00"/>
    <s v="2ND"/>
    <d v="1899-12-30T20:00:00"/>
    <n v="1"/>
    <x v="7"/>
    <n v="3.8E-3"/>
    <s v="P"/>
    <s v="P"/>
    <s v="P"/>
    <s v="-"/>
    <s v="+"/>
    <n v="11.04"/>
    <s v="-"/>
    <s v="-"/>
    <s v="-"/>
    <s v="-"/>
    <s v="-"/>
    <s v="-"/>
    <s v="-"/>
    <s v="-"/>
    <s v="P"/>
    <s v="P"/>
    <s v="-"/>
    <n v="2"/>
    <n v="1"/>
    <n v="2"/>
    <n v="1"/>
    <s v="-"/>
    <s v="-"/>
    <s v="-"/>
    <s v="-"/>
    <s v="-"/>
    <s v="-"/>
    <s v="-"/>
    <n v="6"/>
    <n v="6"/>
    <s v="-"/>
    <n v="1"/>
    <n v="1"/>
    <n v="2"/>
    <n v="2"/>
    <n v="8"/>
    <n v="8"/>
  </r>
  <r>
    <x v="6"/>
    <x v="153"/>
    <d v="2026-07-16T00:00:00"/>
    <s v="2ND"/>
    <d v="1899-12-30T21:00:00"/>
    <n v="1"/>
    <x v="7"/>
    <n v="4.1999999999999997E-3"/>
    <s v="P"/>
    <s v="P"/>
    <s v="P"/>
    <s v="-"/>
    <s v="+"/>
    <n v="11.01"/>
    <s v="-"/>
    <s v="-"/>
    <s v="-"/>
    <s v="-"/>
    <s v="-"/>
    <s v="-"/>
    <s v="-"/>
    <s v="-"/>
    <s v="P"/>
    <s v="P"/>
    <s v="-"/>
    <n v="2"/>
    <n v="1"/>
    <n v="2"/>
    <n v="1"/>
    <s v="-"/>
    <s v="-"/>
    <s v="-"/>
    <s v="-"/>
    <s v="-"/>
    <s v="-"/>
    <s v="-"/>
    <n v="6"/>
    <n v="6"/>
    <s v="-"/>
    <n v="1"/>
    <n v="1"/>
    <n v="2"/>
    <n v="2"/>
    <n v="8"/>
    <n v="8"/>
  </r>
  <r>
    <x v="6"/>
    <x v="153"/>
    <d v="1902-03-25T00:00:00"/>
    <s v="2ND"/>
    <d v="1899-12-30T14:00:00"/>
    <n v="2"/>
    <x v="22"/>
    <n v="5.8999999999999999E-3"/>
    <s v="P"/>
    <s v="P"/>
    <s v="P"/>
    <s v="-"/>
    <s v="-"/>
    <n v="11.17"/>
    <s v="-"/>
    <s v="-"/>
    <s v="-"/>
    <s v="-"/>
    <s v="-"/>
    <s v="-"/>
    <s v="-"/>
    <s v="-"/>
    <s v="P"/>
    <s v="P"/>
    <s v="-"/>
    <n v="2"/>
    <n v="1"/>
    <n v="2"/>
    <n v="1"/>
    <s v="-"/>
    <s v="-"/>
    <s v="-"/>
    <s v="-"/>
    <s v="-"/>
    <s v="-"/>
    <s v="-"/>
    <n v="6"/>
    <n v="6"/>
    <s v="-"/>
    <n v="1"/>
    <n v="1"/>
    <n v="2"/>
    <n v="2"/>
    <n v="8"/>
    <n v="8"/>
  </r>
  <r>
    <x v="6"/>
    <x v="153"/>
    <d v="1899-12-30T00:00:00"/>
    <s v="2ND"/>
    <d v="1899-12-30T15:00:00"/>
    <n v="2"/>
    <x v="22"/>
    <n v="5.4999999999999997E-3"/>
    <s v="P"/>
    <s v="P"/>
    <s v="P"/>
    <s v="-"/>
    <s v="-"/>
    <n v="11.36"/>
    <s v="-"/>
    <s v="-"/>
    <s v="-"/>
    <s v="-"/>
    <s v="-"/>
    <s v="-"/>
    <s v="-"/>
    <s v="-"/>
    <s v="P"/>
    <s v="P"/>
    <s v="-"/>
    <n v="2"/>
    <n v="1"/>
    <n v="2"/>
    <n v="1"/>
    <s v="-"/>
    <s v="-"/>
    <s v="-"/>
    <s v="-"/>
    <s v="-"/>
    <s v="-"/>
    <s v="-"/>
    <n v="6"/>
    <n v="6"/>
    <s v="-"/>
    <n v="1"/>
    <n v="1"/>
    <n v="2"/>
    <n v="2"/>
    <n v="8"/>
    <n v="8"/>
  </r>
  <r>
    <x v="6"/>
    <x v="153"/>
    <d v="1899-12-30T00:00:00"/>
    <s v="2ND"/>
    <d v="1899-12-30T16:00:00"/>
    <n v="2"/>
    <x v="22"/>
    <n v="5.3E-3"/>
    <s v="P"/>
    <s v="P"/>
    <s v="P"/>
    <s v="-"/>
    <s v="-"/>
    <n v="11.34"/>
    <s v="-"/>
    <s v="-"/>
    <s v="-"/>
    <s v="-"/>
    <s v="-"/>
    <s v="-"/>
    <s v="-"/>
    <s v="-"/>
    <s v="P"/>
    <s v="P"/>
    <s v="-"/>
    <n v="2"/>
    <n v="1"/>
    <n v="2"/>
    <n v="1"/>
    <s v="-"/>
    <s v="-"/>
    <s v="-"/>
    <s v="-"/>
    <s v="-"/>
    <s v="-"/>
    <s v="-"/>
    <n v="6"/>
    <n v="6"/>
    <s v="-"/>
    <n v="1"/>
    <n v="1"/>
    <n v="2"/>
    <n v="2"/>
    <n v="8"/>
    <n v="8"/>
  </r>
  <r>
    <x v="6"/>
    <x v="153"/>
    <d v="1899-12-30T00:00:00"/>
    <s v="2ND"/>
    <d v="1899-12-30T18:00:00"/>
    <n v="2"/>
    <x v="22"/>
    <n v="2.0000000000000001E-4"/>
    <s v="P"/>
    <s v="P"/>
    <s v="P"/>
    <s v="-"/>
    <s v="-"/>
    <n v="11.12"/>
    <s v="-"/>
    <s v="-"/>
    <s v="-"/>
    <s v="-"/>
    <s v="-"/>
    <s v="-"/>
    <s v="-"/>
    <s v="-"/>
    <s v="P"/>
    <s v="P"/>
    <s v="-"/>
    <n v="2"/>
    <n v="1"/>
    <n v="2"/>
    <n v="1"/>
    <s v="-"/>
    <s v="-"/>
    <s v="-"/>
    <s v="-"/>
    <s v="-"/>
    <s v="-"/>
    <s v="-"/>
    <n v="6"/>
    <n v="6"/>
    <s v="-"/>
    <n v="1"/>
    <n v="1"/>
    <n v="2"/>
    <n v="2"/>
    <n v="8"/>
    <n v="8"/>
  </r>
  <r>
    <x v="6"/>
    <x v="153"/>
    <d v="1899-12-30T00:00:00"/>
    <s v="2ND"/>
    <d v="1899-12-30T19:00:00"/>
    <n v="2"/>
    <x v="22"/>
    <n v="2.8E-3"/>
    <s v="P"/>
    <s v="P"/>
    <s v="P"/>
    <s v="-"/>
    <s v="-"/>
    <n v="10.71"/>
    <s v="-"/>
    <s v="-"/>
    <s v="-"/>
    <s v="-"/>
    <s v="-"/>
    <s v="-"/>
    <s v="-"/>
    <s v="-"/>
    <s v="P"/>
    <s v="P"/>
    <s v="-"/>
    <n v="2"/>
    <n v="1"/>
    <n v="2"/>
    <n v="0"/>
    <s v="-"/>
    <s v="-"/>
    <s v="-"/>
    <s v="-"/>
    <s v="-"/>
    <s v="-"/>
    <s v="-"/>
    <n v="5"/>
    <n v="6"/>
    <s v="-"/>
    <n v="1"/>
    <n v="1"/>
    <n v="2"/>
    <n v="2"/>
    <n v="7"/>
    <n v="8"/>
  </r>
  <r>
    <x v="6"/>
    <x v="153"/>
    <d v="2026-07-15T00:00:00"/>
    <s v="2ND"/>
    <d v="1899-12-30T14:00:00"/>
    <n v="3"/>
    <x v="36"/>
    <n v="4.5999999999999999E-3"/>
    <s v="P"/>
    <s v="P"/>
    <s v="P"/>
    <s v="+"/>
    <s v="+"/>
    <n v="12.4"/>
    <n v="13.25"/>
    <s v="-"/>
    <s v="-"/>
    <s v="-"/>
    <s v="-"/>
    <n v="37.299999999999997"/>
    <s v="-"/>
    <s v="-"/>
    <s v="P"/>
    <s v="P"/>
    <n v="1"/>
    <n v="2"/>
    <n v="1"/>
    <n v="2"/>
    <n v="1"/>
    <n v="1"/>
    <s v="-"/>
    <s v="-"/>
    <s v="-"/>
    <s v="-"/>
    <n v="2"/>
    <s v="-"/>
    <n v="9"/>
    <n v="9"/>
    <s v="-"/>
    <n v="1"/>
    <n v="1"/>
    <n v="2"/>
    <n v="2"/>
    <n v="11"/>
    <n v="11"/>
  </r>
  <r>
    <x v="6"/>
    <x v="153"/>
    <d v="2026-07-15T00:00:00"/>
    <s v="2ND"/>
    <d v="1899-12-30T16:00:00"/>
    <n v="3"/>
    <x v="16"/>
    <n v="1.44E-2"/>
    <s v="P"/>
    <s v="P"/>
    <s v="P"/>
    <s v="+"/>
    <s v="+"/>
    <n v="11.93"/>
    <n v="13.3"/>
    <n v="0.56999999999999995"/>
    <s v="-"/>
    <s v="-"/>
    <s v="-"/>
    <n v="37.549999999999997"/>
    <s v="-"/>
    <s v="-"/>
    <s v="P"/>
    <s v="P"/>
    <n v="1"/>
    <n v="2"/>
    <n v="1"/>
    <n v="2"/>
    <n v="0"/>
    <n v="1"/>
    <n v="0"/>
    <s v="-"/>
    <s v="-"/>
    <s v="-"/>
    <n v="2"/>
    <s v="-"/>
    <n v="8"/>
    <n v="11"/>
    <s v="-"/>
    <n v="1"/>
    <n v="1"/>
    <n v="2"/>
    <n v="2"/>
    <n v="10"/>
    <n v="13"/>
  </r>
  <r>
    <x v="6"/>
    <x v="153"/>
    <d v="2026-07-15T00:00:00"/>
    <s v="2ND"/>
    <d v="1899-12-30T17:00:00"/>
    <n v="3"/>
    <x v="16"/>
    <n v="8.3999999999999995E-3"/>
    <s v="P"/>
    <s v="P"/>
    <s v="P"/>
    <s v="+"/>
    <s v="+"/>
    <n v="12.14"/>
    <s v="-"/>
    <s v="-"/>
    <s v="-"/>
    <s v="-"/>
    <s v="-"/>
    <s v="-"/>
    <s v="-"/>
    <s v="-"/>
    <s v="P"/>
    <s v="P"/>
    <s v="-"/>
    <n v="2"/>
    <n v="1"/>
    <n v="2"/>
    <n v="1"/>
    <s v="-"/>
    <s v="-"/>
    <s v="-"/>
    <s v="-"/>
    <s v="-"/>
    <s v="-"/>
    <s v="-"/>
    <n v="6"/>
    <n v="6"/>
    <s v="-"/>
    <n v="1"/>
    <n v="1"/>
    <n v="2"/>
    <n v="2"/>
    <n v="8"/>
    <n v="8"/>
  </r>
  <r>
    <x v="6"/>
    <x v="153"/>
    <d v="2026-07-15T00:00:00"/>
    <s v="2ND"/>
    <d v="1899-12-30T18:00:00"/>
    <n v="3"/>
    <x v="16"/>
    <n v="7.0000000000000001E-3"/>
    <s v="P"/>
    <s v="P"/>
    <s v="P"/>
    <s v="+"/>
    <s v="+"/>
    <n v="12.14"/>
    <s v="-"/>
    <s v="-"/>
    <s v="-"/>
    <s v="-"/>
    <s v="-"/>
    <s v="-"/>
    <s v="-"/>
    <s v="-"/>
    <s v="P"/>
    <s v="P"/>
    <s v="-"/>
    <n v="2"/>
    <n v="1"/>
    <n v="2"/>
    <n v="1"/>
    <s v="-"/>
    <s v="-"/>
    <s v="-"/>
    <s v="-"/>
    <s v="-"/>
    <s v="-"/>
    <s v="-"/>
    <n v="6"/>
    <n v="6"/>
    <s v="-"/>
    <n v="1"/>
    <n v="1"/>
    <n v="2"/>
    <n v="2"/>
    <n v="8"/>
    <n v="8"/>
  </r>
  <r>
    <x v="6"/>
    <x v="153"/>
    <d v="2026-07-15T00:00:00"/>
    <s v="2ND"/>
    <d v="1899-12-30T19:00:00"/>
    <n v="3"/>
    <x v="16"/>
    <n v="6.8999999999999999E-3"/>
    <s v="P"/>
    <s v="P"/>
    <s v="P"/>
    <s v="+"/>
    <s v="+"/>
    <n v="11.86"/>
    <s v="-"/>
    <s v="-"/>
    <s v="-"/>
    <s v="-"/>
    <s v="-"/>
    <s v="-"/>
    <s v="-"/>
    <s v="-"/>
    <s v="P"/>
    <s v="P"/>
    <s v="-"/>
    <n v="2"/>
    <n v="1"/>
    <n v="2"/>
    <n v="0"/>
    <s v="-"/>
    <s v="-"/>
    <s v="-"/>
    <s v="-"/>
    <s v="-"/>
    <s v="-"/>
    <s v="-"/>
    <n v="5"/>
    <n v="6"/>
    <s v="-"/>
    <n v="1"/>
    <n v="1"/>
    <n v="2"/>
    <n v="2"/>
    <n v="7"/>
    <n v="8"/>
  </r>
  <r>
    <x v="6"/>
    <x v="153"/>
    <d v="2026-07-15T00:00:00"/>
    <s v="2ND"/>
    <d v="1899-12-30T20:00:00"/>
    <n v="3"/>
    <x v="16"/>
    <n v="8.3999999999999995E-3"/>
    <s v="P"/>
    <s v="P"/>
    <s v="P"/>
    <s v="+"/>
    <s v="+"/>
    <n v="11.78"/>
    <s v="-"/>
    <s v="-"/>
    <s v="-"/>
    <s v="-"/>
    <s v="-"/>
    <s v="-"/>
    <s v="-"/>
    <s v="-"/>
    <s v="P"/>
    <s v="P"/>
    <s v="-"/>
    <n v="2"/>
    <n v="1"/>
    <n v="2"/>
    <n v="0"/>
    <s v="-"/>
    <s v="-"/>
    <s v="-"/>
    <s v="-"/>
    <s v="-"/>
    <s v="-"/>
    <s v="-"/>
    <n v="5"/>
    <n v="6"/>
    <s v="-"/>
    <n v="1"/>
    <n v="1"/>
    <n v="2"/>
    <n v="2"/>
    <n v="7"/>
    <n v="8"/>
  </r>
  <r>
    <x v="6"/>
    <x v="153"/>
    <d v="2026-07-15T00:00:00"/>
    <s v="2ND"/>
    <d v="1899-12-30T21:00:00"/>
    <n v="3"/>
    <x v="16"/>
    <n v="7.7999999999999996E-3"/>
    <s v="P"/>
    <s v="P"/>
    <s v="P"/>
    <s v="+"/>
    <s v="+"/>
    <n v="11.92"/>
    <s v="-"/>
    <s v="-"/>
    <s v="-"/>
    <s v="-"/>
    <s v="-"/>
    <s v="-"/>
    <s v="-"/>
    <s v="-"/>
    <s v="P"/>
    <s v="P"/>
    <s v="-"/>
    <n v="2"/>
    <n v="1"/>
    <n v="2"/>
    <n v="0"/>
    <s v="-"/>
    <s v="-"/>
    <s v="-"/>
    <s v="-"/>
    <s v="-"/>
    <s v="-"/>
    <s v="-"/>
    <n v="5"/>
    <n v="6"/>
    <s v="-"/>
    <n v="1"/>
    <n v="1"/>
    <n v="2"/>
    <n v="2"/>
    <n v="7"/>
    <n v="8"/>
  </r>
  <r>
    <x v="6"/>
    <x v="153"/>
    <d v="2026-07-14T00:00:00"/>
    <s v="3RD"/>
    <d v="1899-12-30T22:00:00"/>
    <n v="1"/>
    <x v="7"/>
    <n v="3.3999999999999998E-3"/>
    <s v="P"/>
    <s v="P"/>
    <s v="P"/>
    <s v="-"/>
    <s v="+"/>
    <n v="10.95"/>
    <n v="9.39"/>
    <n v="0.49"/>
    <s v="-"/>
    <s v="-"/>
    <s v="-"/>
    <n v="25.56"/>
    <s v="-"/>
    <s v="-"/>
    <s v="P"/>
    <s v="P"/>
    <s v="60% 10% 30%"/>
    <n v="2"/>
    <n v="1"/>
    <n v="2"/>
    <n v="0"/>
    <n v="1"/>
    <n v="2"/>
    <s v="-"/>
    <s v="-"/>
    <s v="-"/>
    <n v="2"/>
    <s v="-"/>
    <n v="10"/>
    <n v="11"/>
    <s v="-"/>
    <n v="1"/>
    <n v="1"/>
    <n v="2"/>
    <n v="2"/>
    <n v="12"/>
    <n v="13"/>
  </r>
  <r>
    <x v="6"/>
    <x v="153"/>
    <d v="2026-07-14T00:00:00"/>
    <s v="3RD"/>
    <d v="1899-12-30T23:00:00"/>
    <n v="1"/>
    <x v="7"/>
    <n v="6.1999999999999998E-3"/>
    <s v="P"/>
    <s v="P"/>
    <s v="P"/>
    <s v="-"/>
    <s v="+"/>
    <n v="10.63"/>
    <s v="-"/>
    <s v="-"/>
    <s v="-"/>
    <s v="-"/>
    <s v="-"/>
    <s v="-"/>
    <s v="-"/>
    <s v="-"/>
    <s v="P"/>
    <s v="P"/>
    <s v="-"/>
    <n v="2"/>
    <n v="1"/>
    <n v="2"/>
    <n v="0"/>
    <s v="-"/>
    <s v="-"/>
    <s v="-"/>
    <s v="-"/>
    <s v="-"/>
    <s v="-"/>
    <s v="-"/>
    <n v="5"/>
    <n v="6"/>
    <s v="-"/>
    <n v="1"/>
    <n v="1"/>
    <n v="2"/>
    <n v="2"/>
    <n v="7"/>
    <n v="8"/>
  </r>
  <r>
    <x v="6"/>
    <x v="153"/>
    <d v="2026-07-14T00:00:00"/>
    <s v="3RD"/>
    <d v="1899-12-31T00:00:00"/>
    <n v="1"/>
    <x v="7"/>
    <n v="7.9000000000000008E-3"/>
    <s v="P"/>
    <s v="P"/>
    <s v="P"/>
    <s v="-"/>
    <s v="+"/>
    <n v="10.88"/>
    <s v="-"/>
    <s v="-"/>
    <s v="-"/>
    <s v="-"/>
    <s v="-"/>
    <s v="-"/>
    <s v="-"/>
    <s v="-"/>
    <s v="P"/>
    <s v="P"/>
    <s v="-"/>
    <n v="2"/>
    <n v="1"/>
    <n v="2"/>
    <n v="0"/>
    <s v="-"/>
    <s v="-"/>
    <s v="-"/>
    <s v="-"/>
    <s v="-"/>
    <s v="-"/>
    <s v="-"/>
    <n v="5"/>
    <n v="6"/>
    <s v="-"/>
    <n v="1"/>
    <n v="1"/>
    <n v="2"/>
    <n v="2"/>
    <n v="7"/>
    <n v="8"/>
  </r>
  <r>
    <x v="6"/>
    <x v="153"/>
    <d v="2026-07-14T00:00:00"/>
    <s v="3RD"/>
    <d v="1899-12-31T01:00:00"/>
    <n v="1"/>
    <x v="7"/>
    <n v="6.7999999999999996E-3"/>
    <s v="P"/>
    <s v="P"/>
    <s v="P"/>
    <s v="-"/>
    <s v="+"/>
    <n v="10.9"/>
    <s v="-"/>
    <s v="-"/>
    <s v="-"/>
    <s v="-"/>
    <s v="-"/>
    <s v="-"/>
    <s v="-"/>
    <s v="-"/>
    <s v="P"/>
    <s v="P"/>
    <s v="-"/>
    <n v="2"/>
    <n v="1"/>
    <n v="2"/>
    <n v="0"/>
    <s v="-"/>
    <s v="-"/>
    <s v="-"/>
    <s v="-"/>
    <s v="-"/>
    <s v="-"/>
    <s v="-"/>
    <n v="5"/>
    <n v="6"/>
    <s v="-"/>
    <n v="1"/>
    <n v="1"/>
    <n v="2"/>
    <n v="2"/>
    <n v="7"/>
    <n v="8"/>
  </r>
  <r>
    <x v="6"/>
    <x v="153"/>
    <d v="2026-07-14T00:00:00"/>
    <s v="3RD"/>
    <d v="1899-12-31T02:00:00"/>
    <n v="1"/>
    <x v="7"/>
    <n v="6.1000000000000004E-3"/>
    <s v="P"/>
    <s v="P"/>
    <s v="P"/>
    <s v="-"/>
    <s v="+"/>
    <n v="11.07"/>
    <s v="-"/>
    <s v="-"/>
    <s v="-"/>
    <s v="-"/>
    <s v="-"/>
    <s v="-"/>
    <s v="-"/>
    <s v="-"/>
    <s v="P"/>
    <s v="P"/>
    <s v="-"/>
    <n v="2"/>
    <n v="1"/>
    <n v="2"/>
    <n v="1"/>
    <s v="-"/>
    <s v="-"/>
    <s v="-"/>
    <s v="-"/>
    <s v="-"/>
    <s v="-"/>
    <s v="-"/>
    <n v="6"/>
    <n v="6"/>
    <s v="-"/>
    <n v="1"/>
    <n v="1"/>
    <n v="2"/>
    <n v="2"/>
    <n v="8"/>
    <n v="8"/>
  </r>
  <r>
    <x v="6"/>
    <x v="153"/>
    <d v="2026-07-14T00:00:00"/>
    <s v="3RD"/>
    <d v="1899-12-31T03:00:00"/>
    <n v="1"/>
    <x v="7"/>
    <n v="7.0000000000000001E-3"/>
    <s v="P"/>
    <s v="P"/>
    <s v="P"/>
    <s v="-"/>
    <s v="+"/>
    <n v="10.82"/>
    <s v="-"/>
    <s v="-"/>
    <s v="-"/>
    <s v="-"/>
    <s v="-"/>
    <s v="-"/>
    <s v="-"/>
    <s v="-"/>
    <s v="P"/>
    <s v="P"/>
    <s v="-"/>
    <n v="2"/>
    <n v="1"/>
    <n v="2"/>
    <n v="0"/>
    <s v="-"/>
    <s v="-"/>
    <s v="-"/>
    <s v="-"/>
    <s v="-"/>
    <s v="-"/>
    <s v="-"/>
    <n v="5"/>
    <n v="6"/>
    <s v="-"/>
    <n v="1"/>
    <n v="1"/>
    <n v="2"/>
    <n v="2"/>
    <n v="7"/>
    <n v="8"/>
  </r>
  <r>
    <x v="6"/>
    <x v="153"/>
    <d v="1902-03-25T00:00:00"/>
    <s v="3RD"/>
    <d v="1899-12-30T22:00:00"/>
    <n v="2"/>
    <x v="22"/>
    <n v="3.0999999999999999E-3"/>
    <s v="P"/>
    <s v="P"/>
    <s v="P"/>
    <s v="-"/>
    <s v="-"/>
    <n v="11.54"/>
    <s v="-"/>
    <s v="-"/>
    <s v="-"/>
    <s v="-"/>
    <s v="-"/>
    <s v="-"/>
    <s v="-"/>
    <s v="-"/>
    <s v="P"/>
    <s v="P"/>
    <s v="-"/>
    <n v="2"/>
    <n v="1"/>
    <n v="2"/>
    <n v="1"/>
    <s v="-"/>
    <s v="-"/>
    <s v="-"/>
    <s v="-"/>
    <s v="-"/>
    <s v="-"/>
    <s v="-"/>
    <n v="6"/>
    <n v="6"/>
    <s v="-"/>
    <n v="1"/>
    <n v="1"/>
    <n v="2"/>
    <n v="2"/>
    <n v="8"/>
    <n v="8"/>
  </r>
  <r>
    <x v="6"/>
    <x v="153"/>
    <d v="1899-12-30T00:00:00"/>
    <s v="3RD"/>
    <d v="1899-12-30T23:00:00"/>
    <n v="2"/>
    <x v="22"/>
    <n v="5.7000000000000002E-3"/>
    <s v="P"/>
    <s v="P"/>
    <s v="P"/>
    <s v="-"/>
    <s v="-"/>
    <n v="11.11"/>
    <n v="8.8000000000000007"/>
    <n v="0.6"/>
    <n v="55.6"/>
    <s v="-"/>
    <s v="-"/>
    <n v="23.83"/>
    <s v="-"/>
    <s v="-"/>
    <s v="P"/>
    <s v="P"/>
    <s v="-"/>
    <n v="2"/>
    <n v="1"/>
    <n v="2"/>
    <n v="1"/>
    <n v="1"/>
    <n v="2"/>
    <n v="2"/>
    <s v="-"/>
    <s v="-"/>
    <n v="2"/>
    <s v="-"/>
    <n v="13"/>
    <n v="13"/>
    <s v="-"/>
    <n v="1"/>
    <n v="1"/>
    <n v="2"/>
    <n v="2"/>
    <n v="15"/>
    <n v="15"/>
  </r>
  <r>
    <x v="6"/>
    <x v="153"/>
    <d v="1899-12-30T00:00:00"/>
    <s v="3RD"/>
    <d v="1899-12-31T00:00:00"/>
    <n v="2"/>
    <x v="22"/>
    <n v="3.3E-3"/>
    <s v="P"/>
    <s v="P"/>
    <s v="P"/>
    <s v="-"/>
    <s v="-"/>
    <n v="11.41"/>
    <s v="-"/>
    <s v="-"/>
    <s v="-"/>
    <s v="-"/>
    <s v="-"/>
    <s v="-"/>
    <s v="-"/>
    <s v="-"/>
    <s v="P"/>
    <s v="P"/>
    <s v="-"/>
    <n v="2"/>
    <n v="1"/>
    <n v="2"/>
    <n v="1"/>
    <s v="-"/>
    <s v="-"/>
    <s v="-"/>
    <s v="-"/>
    <s v="-"/>
    <s v="-"/>
    <s v="-"/>
    <n v="6"/>
    <n v="6"/>
    <s v="-"/>
    <n v="1"/>
    <n v="1"/>
    <n v="2"/>
    <n v="2"/>
    <n v="8"/>
    <n v="8"/>
  </r>
  <r>
    <x v="6"/>
    <x v="153"/>
    <d v="1899-12-30T00:00:00"/>
    <s v="3RD"/>
    <d v="1899-12-31T02:00:00"/>
    <n v="2"/>
    <x v="22"/>
    <n v="1.6999999999999999E-3"/>
    <s v="P"/>
    <s v="P"/>
    <s v="P"/>
    <s v="-"/>
    <s v="-"/>
    <n v="11.34"/>
    <s v="-"/>
    <s v="-"/>
    <s v="-"/>
    <s v="-"/>
    <s v="-"/>
    <s v="-"/>
    <s v="-"/>
    <s v="-"/>
    <s v="P"/>
    <s v="P"/>
    <s v="-"/>
    <n v="2"/>
    <n v="1"/>
    <n v="2"/>
    <n v="1"/>
    <s v="-"/>
    <s v="-"/>
    <s v="-"/>
    <s v="-"/>
    <s v="-"/>
    <s v="-"/>
    <s v="-"/>
    <n v="6"/>
    <n v="6"/>
    <s v="-"/>
    <n v="1"/>
    <n v="1"/>
    <n v="2"/>
    <n v="2"/>
    <n v="8"/>
    <n v="8"/>
  </r>
  <r>
    <x v="6"/>
    <x v="153"/>
    <d v="1899-12-30T00:00:00"/>
    <s v="3RD"/>
    <d v="1899-12-31T03:00:00"/>
    <n v="2"/>
    <x v="22"/>
    <n v="2.5999999999999999E-3"/>
    <s v="P"/>
    <s v="P"/>
    <s v="P"/>
    <s v="-"/>
    <s v="-"/>
    <n v="11.25"/>
    <s v="-"/>
    <s v="-"/>
    <s v="-"/>
    <s v="-"/>
    <s v="-"/>
    <s v="-"/>
    <s v="-"/>
    <s v="-"/>
    <s v="P"/>
    <s v="P"/>
    <s v="-"/>
    <n v="2"/>
    <n v="1"/>
    <n v="2"/>
    <n v="1"/>
    <s v="-"/>
    <s v="-"/>
    <s v="-"/>
    <s v="-"/>
    <s v="-"/>
    <s v="-"/>
    <s v="-"/>
    <n v="6"/>
    <n v="6"/>
    <s v="-"/>
    <n v="1"/>
    <n v="1"/>
    <n v="2"/>
    <n v="2"/>
    <n v="8"/>
    <n v="8"/>
  </r>
  <r>
    <x v="6"/>
    <x v="153"/>
    <d v="1899-12-30T00:00:00"/>
    <s v="3RD"/>
    <d v="1899-12-31T04:00:00"/>
    <n v="2"/>
    <x v="22"/>
    <n v="2.0999999999999999E-3"/>
    <s v="P"/>
    <s v="P"/>
    <s v="P"/>
    <s v="-"/>
    <s v="-"/>
    <n v="11.45"/>
    <s v="-"/>
    <s v="-"/>
    <s v="-"/>
    <s v="-"/>
    <s v="-"/>
    <s v="-"/>
    <s v="-"/>
    <s v="-"/>
    <s v="P"/>
    <s v="P"/>
    <s v="-"/>
    <n v="2"/>
    <n v="1"/>
    <n v="2"/>
    <n v="1"/>
    <s v="-"/>
    <s v="-"/>
    <s v="-"/>
    <s v="-"/>
    <s v="-"/>
    <s v="-"/>
    <s v="-"/>
    <n v="6"/>
    <n v="6"/>
    <s v="-"/>
    <n v="1"/>
    <n v="1"/>
    <n v="2"/>
    <n v="2"/>
    <n v="8"/>
    <n v="8"/>
  </r>
  <r>
    <x v="6"/>
    <x v="153"/>
    <d v="2026-07-15T00:00:00"/>
    <s v="3RD"/>
    <d v="1899-12-30T22:00:00"/>
    <n v="3"/>
    <x v="16"/>
    <n v="7.7000000000000002E-3"/>
    <s v="P"/>
    <s v="P"/>
    <s v="P"/>
    <s v="+"/>
    <s v="+"/>
    <n v="12"/>
    <n v="13.24"/>
    <n v="0.55000000000000004"/>
    <s v="-"/>
    <s v="-"/>
    <s v="-"/>
    <n v="37.31"/>
    <s v="-"/>
    <s v="-"/>
    <s v="P"/>
    <s v="P"/>
    <n v="1"/>
    <n v="2"/>
    <n v="1"/>
    <n v="2"/>
    <n v="1"/>
    <n v="1"/>
    <n v="2"/>
    <s v="-"/>
    <s v="-"/>
    <s v="-"/>
    <n v="2"/>
    <s v="-"/>
    <n v="11"/>
    <n v="11"/>
    <s v="-"/>
    <n v="1"/>
    <n v="1"/>
    <n v="2"/>
    <n v="2"/>
    <n v="13"/>
    <n v="13"/>
  </r>
  <r>
    <x v="6"/>
    <x v="153"/>
    <d v="2026-07-15T00:00:00"/>
    <s v="3RD"/>
    <d v="1899-12-30T23:00:00"/>
    <n v="3"/>
    <x v="16"/>
    <n v="5.0000000000000001E-3"/>
    <s v="P"/>
    <s v="P"/>
    <s v="P"/>
    <s v="+"/>
    <s v="+"/>
    <n v="11.95"/>
    <s v="-"/>
    <s v="-"/>
    <s v="-"/>
    <s v="-"/>
    <s v="-"/>
    <s v="-"/>
    <s v="-"/>
    <s v="-"/>
    <s v="P"/>
    <s v="P"/>
    <s v="-"/>
    <n v="2"/>
    <n v="1"/>
    <n v="2"/>
    <n v="0"/>
    <s v="-"/>
    <s v="-"/>
    <s v="-"/>
    <s v="-"/>
    <s v="-"/>
    <s v="-"/>
    <s v="-"/>
    <n v="5"/>
    <n v="6"/>
    <s v="-"/>
    <n v="1"/>
    <n v="1"/>
    <n v="2"/>
    <n v="2"/>
    <n v="7"/>
    <n v="8"/>
  </r>
  <r>
    <x v="6"/>
    <x v="153"/>
    <d v="2026-07-15T00:00:00"/>
    <s v="3RD"/>
    <d v="1899-12-31T00:00:00"/>
    <n v="3"/>
    <x v="16"/>
    <n v="6.1999999999999998E-3"/>
    <s v="P"/>
    <s v="P"/>
    <s v="P"/>
    <s v="+"/>
    <s v="+"/>
    <n v="12.32"/>
    <s v="-"/>
    <s v="-"/>
    <s v="-"/>
    <s v="-"/>
    <s v="-"/>
    <s v="-"/>
    <s v="-"/>
    <s v="-"/>
    <s v="P"/>
    <s v="P"/>
    <s v="-"/>
    <n v="2"/>
    <n v="1"/>
    <n v="2"/>
    <n v="1"/>
    <s v="-"/>
    <s v="-"/>
    <s v="-"/>
    <s v="-"/>
    <s v="-"/>
    <s v="-"/>
    <s v="-"/>
    <n v="6"/>
    <n v="6"/>
    <s v="-"/>
    <n v="1"/>
    <n v="1"/>
    <n v="2"/>
    <n v="2"/>
    <n v="8"/>
    <n v="8"/>
  </r>
  <r>
    <x v="6"/>
    <x v="153"/>
    <d v="2026-07-08T00:00:00"/>
    <s v="3RD"/>
    <d v="1899-12-31T01:00:00"/>
    <n v="3"/>
    <x v="1"/>
    <n v="1.52E-2"/>
    <s v="P"/>
    <s v="P"/>
    <s v="P"/>
    <s v="+"/>
    <s v="+"/>
    <n v="12.22"/>
    <n v="13.75"/>
    <s v="-"/>
    <n v="65.599999999999994"/>
    <s v="-"/>
    <s v="-"/>
    <n v="38.82"/>
    <s v="-"/>
    <s v="-"/>
    <s v="P"/>
    <s v="P"/>
    <s v="-"/>
    <n v="2"/>
    <n v="1"/>
    <n v="2"/>
    <n v="1"/>
    <n v="1"/>
    <s v="-"/>
    <n v="2"/>
    <s v="-"/>
    <s v="-"/>
    <n v="2"/>
    <s v="-"/>
    <n v="11"/>
    <n v="11"/>
    <s v="-"/>
    <n v="1"/>
    <n v="1"/>
    <n v="2"/>
    <n v="2"/>
    <n v="13"/>
    <n v="13"/>
  </r>
  <r>
    <x v="6"/>
    <x v="153"/>
    <d v="2026-07-08T00:00:00"/>
    <s v="3RD"/>
    <d v="1899-12-31T02:00:00"/>
    <n v="3"/>
    <x v="1"/>
    <n v="1.8800000000000001E-2"/>
    <s v="P"/>
    <s v="P"/>
    <s v="P"/>
    <s v="+"/>
    <s v="+"/>
    <n v="12.22"/>
    <s v="-"/>
    <s v="-"/>
    <s v="-"/>
    <s v="-"/>
    <s v="-"/>
    <s v="-"/>
    <s v="-"/>
    <s v="-"/>
    <s v="P"/>
    <s v="P"/>
    <s v="-"/>
    <n v="2"/>
    <n v="1"/>
    <n v="2"/>
    <n v="1"/>
    <s v="-"/>
    <s v="-"/>
    <s v="-"/>
    <s v="-"/>
    <s v="-"/>
    <s v="-"/>
    <s v="-"/>
    <n v="6"/>
    <n v="6"/>
    <s v="-"/>
    <n v="1"/>
    <n v="1"/>
    <n v="2"/>
    <n v="2"/>
    <n v="8"/>
    <n v="8"/>
  </r>
  <r>
    <x v="6"/>
    <x v="153"/>
    <d v="2026-07-14T00:00:00"/>
    <s v="3RD"/>
    <d v="1899-12-31T03:00:00"/>
    <n v="3"/>
    <x v="0"/>
    <n v="1.8100000000000002E-2"/>
    <s v="P"/>
    <s v="P"/>
    <s v="P"/>
    <s v="+"/>
    <s v="+"/>
    <n v="12.39"/>
    <n v="13.71"/>
    <s v="-"/>
    <n v="65.2"/>
    <s v="-"/>
    <s v="-"/>
    <n v="38.69"/>
    <s v="-"/>
    <s v="-"/>
    <s v="P"/>
    <s v="P"/>
    <s v="65% 5% 30%"/>
    <n v="2"/>
    <n v="1"/>
    <n v="2"/>
    <n v="1"/>
    <n v="1"/>
    <s v="-"/>
    <n v="2"/>
    <s v="-"/>
    <s v="-"/>
    <n v="2"/>
    <s v="-"/>
    <n v="11"/>
    <n v="11"/>
    <s v="-"/>
    <n v="1"/>
    <n v="1"/>
    <n v="2"/>
    <n v="2"/>
    <n v="13"/>
    <n v="13"/>
  </r>
  <r>
    <x v="6"/>
    <x v="153"/>
    <d v="2026-07-14T00:00:00"/>
    <s v="3RD"/>
    <d v="1899-12-31T04:00:00"/>
    <n v="3"/>
    <x v="0"/>
    <n v="1.52E-2"/>
    <s v="P"/>
    <s v="P"/>
    <s v="P"/>
    <s v="+"/>
    <s v="+"/>
    <n v="12.52"/>
    <s v="-"/>
    <s v="-"/>
    <s v="-"/>
    <s v="-"/>
    <s v="-"/>
    <s v="-"/>
    <s v="-"/>
    <s v="-"/>
    <s v="P"/>
    <s v="P"/>
    <s v="-"/>
    <n v="2"/>
    <n v="1"/>
    <n v="2"/>
    <n v="1"/>
    <s v="-"/>
    <s v="-"/>
    <s v="-"/>
    <s v="-"/>
    <s v="-"/>
    <s v="-"/>
    <s v="-"/>
    <n v="6"/>
    <n v="6"/>
    <s v="-"/>
    <n v="1"/>
    <n v="1"/>
    <n v="2"/>
    <n v="2"/>
    <n v="8"/>
    <n v="8"/>
  </r>
  <r>
    <x v="6"/>
    <x v="154"/>
    <d v="2026-07-11T00:00:00"/>
    <s v="1ST"/>
    <s v="08:00"/>
    <n v="1"/>
    <x v="22"/>
    <n v="4.4000000000000003E-3"/>
    <s v="P"/>
    <s v="P"/>
    <s v="P"/>
    <s v="-"/>
    <s v="-"/>
    <n v="11.44"/>
    <n v="8.8699999999999992"/>
    <n v="0.5"/>
    <n v="54.1"/>
    <s v="-"/>
    <s v="-"/>
    <n v="23.96"/>
    <s v="-"/>
    <s v="-"/>
    <s v="P"/>
    <s v="P"/>
    <n v="1"/>
    <n v="2"/>
    <n v="1"/>
    <n v="2"/>
    <n v="1"/>
    <n v="1"/>
    <n v="2"/>
    <n v="2"/>
    <s v="-"/>
    <s v="-"/>
    <n v="2"/>
    <s v="-"/>
    <n v="13"/>
    <n v="13"/>
    <s v="-"/>
    <n v="1"/>
    <n v="1"/>
    <n v="2"/>
    <n v="2"/>
    <n v="15"/>
    <n v="15"/>
  </r>
  <r>
    <x v="6"/>
    <x v="154"/>
    <d v="2026-07-14T00:00:00"/>
    <s v="1ST"/>
    <s v="06:00"/>
    <n v="3"/>
    <x v="1"/>
    <n v="1.9800000000000002E-2"/>
    <s v="P"/>
    <s v="P"/>
    <s v="P"/>
    <s v="+"/>
    <s v="+"/>
    <n v="12.31"/>
    <n v="13.64"/>
    <n v="0.62"/>
    <n v="64.599999999999994"/>
    <s v="-"/>
    <s v="-"/>
    <n v="38.46"/>
    <s v="-"/>
    <s v="-"/>
    <s v="P"/>
    <s v="P"/>
    <s v="65% 5% 30%"/>
    <n v="2"/>
    <n v="1"/>
    <n v="2"/>
    <n v="1"/>
    <n v="1"/>
    <n v="2"/>
    <n v="2"/>
    <s v="-"/>
    <s v="-"/>
    <n v="2"/>
    <s v="-"/>
    <n v="13"/>
    <n v="13"/>
    <s v="-"/>
    <n v="1"/>
    <n v="1"/>
    <n v="2"/>
    <n v="2"/>
    <n v="15"/>
    <n v="15"/>
  </r>
  <r>
    <x v="6"/>
    <x v="154"/>
    <d v="2026-07-14T00:00:00"/>
    <s v="1ST"/>
    <s v="07:00"/>
    <n v="3"/>
    <x v="1"/>
    <n v="1.8700000000000001E-2"/>
    <s v="P"/>
    <s v="P"/>
    <s v="P"/>
    <s v="+"/>
    <s v="+"/>
    <n v="12.47"/>
    <s v="-"/>
    <s v="-"/>
    <s v="-"/>
    <s v="-"/>
    <s v="-"/>
    <s v="-"/>
    <s v="-"/>
    <s v="-"/>
    <s v="P"/>
    <s v="P"/>
    <s v="-"/>
    <n v="2"/>
    <n v="1"/>
    <n v="2"/>
    <n v="1"/>
    <s v="-"/>
    <s v="-"/>
    <s v="-"/>
    <s v="-"/>
    <s v="-"/>
    <s v="-"/>
    <s v="-"/>
    <n v="6"/>
    <n v="6"/>
    <s v="-"/>
    <n v="1"/>
    <n v="1"/>
    <n v="2"/>
    <n v="2"/>
    <n v="8"/>
    <n v="8"/>
  </r>
  <r>
    <x v="6"/>
    <x v="154"/>
    <d v="2026-07-14T00:00:00"/>
    <s v="1ST"/>
    <s v="08:00"/>
    <n v="3"/>
    <x v="1"/>
    <n v="1.9199999999999998E-2"/>
    <s v="P"/>
    <s v="P"/>
    <s v="P"/>
    <s v="+"/>
    <s v="+"/>
    <n v="12.33"/>
    <s v="-"/>
    <s v="-"/>
    <s v="-"/>
    <s v="-"/>
    <s v="-"/>
    <s v="-"/>
    <s v="-"/>
    <s v="-"/>
    <s v="P"/>
    <s v="P"/>
    <s v="-"/>
    <n v="2"/>
    <n v="1"/>
    <n v="2"/>
    <n v="1"/>
    <s v="-"/>
    <s v="-"/>
    <s v="-"/>
    <s v="-"/>
    <s v="-"/>
    <s v="-"/>
    <s v="-"/>
    <n v="6"/>
    <n v="6"/>
    <s v="-"/>
    <n v="1"/>
    <n v="1"/>
    <n v="2"/>
    <n v="2"/>
    <n v="8"/>
    <n v="8"/>
  </r>
  <r>
    <x v="6"/>
    <x v="154"/>
    <d v="1899-12-30T00:00:00"/>
    <s v="2ND"/>
    <d v="1899-12-30T14:00:00"/>
    <n v="2"/>
    <x v="20"/>
    <n v="1.7999999999999999E-2"/>
    <s v="P"/>
    <s v="P"/>
    <s v="P"/>
    <s v="-"/>
    <s v="-"/>
    <n v="11.21"/>
    <s v="-"/>
    <s v="-"/>
    <s v="-"/>
    <s v="-"/>
    <s v="-"/>
    <s v="-"/>
    <s v="-"/>
    <s v="-"/>
    <s v="P"/>
    <s v="P"/>
    <s v="-"/>
    <n v="2"/>
    <n v="1"/>
    <n v="2"/>
    <n v="1"/>
    <s v="-"/>
    <s v="-"/>
    <s v="-"/>
    <s v="-"/>
    <s v="-"/>
    <s v="-"/>
    <s v="-"/>
    <n v="6"/>
    <n v="6"/>
    <s v="-"/>
    <n v="1"/>
    <n v="1"/>
    <n v="2"/>
    <n v="2"/>
    <n v="8"/>
    <n v="8"/>
  </r>
  <r>
    <x v="6"/>
    <x v="154"/>
    <d v="1899-12-30T00:00:00"/>
    <s v="2ND"/>
    <d v="1899-12-30T16:00:00"/>
    <n v="2"/>
    <x v="20"/>
    <n v="1.23E-2"/>
    <s v="P"/>
    <s v="P"/>
    <s v="P"/>
    <s v="-"/>
    <s v="-"/>
    <n v="12.82"/>
    <s v="-"/>
    <s v="-"/>
    <s v="-"/>
    <s v="-"/>
    <s v="-"/>
    <s v="-"/>
    <s v="-"/>
    <s v="-"/>
    <s v="P"/>
    <s v="P"/>
    <s v="-"/>
    <n v="2"/>
    <n v="1"/>
    <n v="2"/>
    <n v="1"/>
    <s v="-"/>
    <s v="-"/>
    <s v="-"/>
    <s v="-"/>
    <s v="-"/>
    <s v="-"/>
    <s v="-"/>
    <n v="6"/>
    <n v="6"/>
    <s v="-"/>
    <n v="1"/>
    <n v="1"/>
    <n v="2"/>
    <n v="2"/>
    <n v="8"/>
    <n v="8"/>
  </r>
  <r>
    <x v="6"/>
    <x v="154"/>
    <d v="1899-12-30T00:00:00"/>
    <s v="2ND"/>
    <d v="1899-12-30T17:00:00"/>
    <n v="2"/>
    <x v="20"/>
    <n v="1.15E-2"/>
    <s v="P"/>
    <s v="P"/>
    <s v="P"/>
    <s v="-"/>
    <s v="-"/>
    <n v="12.95"/>
    <s v="-"/>
    <s v="-"/>
    <s v="-"/>
    <s v="-"/>
    <s v="-"/>
    <s v="-"/>
    <s v="-"/>
    <s v="-"/>
    <s v="P"/>
    <s v="P"/>
    <s v="-"/>
    <n v="2"/>
    <n v="1"/>
    <n v="2"/>
    <n v="1"/>
    <s v="-"/>
    <s v="-"/>
    <s v="-"/>
    <s v="-"/>
    <s v="-"/>
    <s v="-"/>
    <s v="-"/>
    <n v="6"/>
    <n v="6"/>
    <s v="-"/>
    <n v="1"/>
    <n v="1"/>
    <n v="2"/>
    <n v="2"/>
    <n v="8"/>
    <n v="8"/>
  </r>
  <r>
    <x v="6"/>
    <x v="154"/>
    <d v="1899-12-30T00:00:00"/>
    <s v="2ND"/>
    <d v="1899-12-30T18:00:00"/>
    <n v="2"/>
    <x v="20"/>
    <n v="9.7000000000000003E-3"/>
    <s v="P"/>
    <s v="P"/>
    <s v="P"/>
    <s v="-"/>
    <s v="-"/>
    <n v="13.04"/>
    <s v="-"/>
    <s v="-"/>
    <s v="-"/>
    <s v="-"/>
    <s v="-"/>
    <s v="-"/>
    <s v="-"/>
    <s v="-"/>
    <s v="P"/>
    <s v="P"/>
    <s v="-"/>
    <n v="2"/>
    <n v="1"/>
    <n v="2"/>
    <n v="1"/>
    <s v="-"/>
    <s v="-"/>
    <s v="-"/>
    <s v="-"/>
    <s v="-"/>
    <s v="-"/>
    <s v="-"/>
    <n v="6"/>
    <n v="6"/>
    <s v="-"/>
    <n v="1"/>
    <n v="1"/>
    <n v="2"/>
    <n v="2"/>
    <n v="8"/>
    <n v="8"/>
  </r>
  <r>
    <x v="6"/>
    <x v="154"/>
    <d v="1899-12-30T00:00:00"/>
    <s v="2ND"/>
    <d v="1899-12-30T19:00:00"/>
    <n v="2"/>
    <x v="20"/>
    <n v="8.0999999999999996E-3"/>
    <s v="P"/>
    <s v="P"/>
    <s v="P"/>
    <s v="-"/>
    <s v="-"/>
    <n v="12.83"/>
    <s v="-"/>
    <s v="-"/>
    <s v="-"/>
    <s v="-"/>
    <s v="-"/>
    <s v="-"/>
    <s v="-"/>
    <s v="-"/>
    <s v="P"/>
    <s v="P"/>
    <s v="-"/>
    <n v="2"/>
    <n v="1"/>
    <n v="2"/>
    <n v="1"/>
    <s v="-"/>
    <s v="-"/>
    <s v="-"/>
    <s v="-"/>
    <s v="-"/>
    <s v="-"/>
    <s v="-"/>
    <n v="6"/>
    <n v="6"/>
    <s v="-"/>
    <n v="1"/>
    <n v="1"/>
    <n v="2"/>
    <n v="2"/>
    <n v="8"/>
    <n v="8"/>
  </r>
  <r>
    <x v="6"/>
    <x v="154"/>
    <d v="1899-12-30T00:00:00"/>
    <s v="2ND"/>
    <d v="1899-12-30T20:00:00"/>
    <n v="2"/>
    <x v="20"/>
    <s v="-"/>
    <s v="-"/>
    <s v="-"/>
    <s v="-"/>
    <s v="-"/>
    <s v="-"/>
    <s v="-"/>
    <s v="-"/>
    <s v="-"/>
    <s v="-"/>
    <s v="-"/>
    <s v="-"/>
    <s v="-"/>
    <s v="-"/>
    <s v="-"/>
    <s v="-"/>
    <s v="-"/>
    <s v="-"/>
    <s v="-"/>
    <s v="-"/>
    <s v="-"/>
    <s v="-"/>
    <s v="-"/>
    <s v="-"/>
    <s v="-"/>
    <s v="-"/>
    <s v="-"/>
    <s v="-"/>
    <s v="-"/>
    <n v="0"/>
    <n v="0"/>
    <s v="-"/>
    <s v="-"/>
    <s v="-"/>
    <n v="0"/>
    <n v="0"/>
    <n v="0"/>
    <n v="0"/>
  </r>
  <r>
    <x v="6"/>
    <x v="154"/>
    <d v="1899-12-30T00:00:00"/>
    <s v="2ND"/>
    <d v="1899-12-30T21:00:00"/>
    <n v="2"/>
    <x v="20"/>
    <n v="1.03E-2"/>
    <s v="P"/>
    <s v="P"/>
    <s v="P"/>
    <s v="-"/>
    <s v="-"/>
    <n v="12.82"/>
    <s v="-"/>
    <s v="-"/>
    <s v="-"/>
    <s v="-"/>
    <s v="-"/>
    <s v="-"/>
    <s v="-"/>
    <s v="-"/>
    <s v="P"/>
    <s v="P"/>
    <s v="-"/>
    <n v="2"/>
    <n v="1"/>
    <n v="2"/>
    <n v="1"/>
    <s v="-"/>
    <s v="-"/>
    <s v="-"/>
    <s v="-"/>
    <s v="-"/>
    <s v="-"/>
    <s v="-"/>
    <n v="6"/>
    <n v="6"/>
    <s v="-"/>
    <n v="1"/>
    <n v="1"/>
    <n v="2"/>
    <n v="2"/>
    <n v="8"/>
    <n v="8"/>
  </r>
  <r>
    <x v="6"/>
    <x v="154"/>
    <d v="1899-12-30T00:00:00"/>
    <s v="3RD"/>
    <d v="1899-12-30T22:00:00"/>
    <n v="2"/>
    <x v="20"/>
    <n v="1.47E-2"/>
    <s v="P"/>
    <s v="P"/>
    <s v="P"/>
    <s v="-"/>
    <s v="-"/>
    <n v="12.85"/>
    <s v="-"/>
    <s v="-"/>
    <s v="-"/>
    <s v="-"/>
    <s v="-"/>
    <s v="-"/>
    <s v="-"/>
    <s v="-"/>
    <s v="-"/>
    <s v="-"/>
    <s v="-"/>
    <n v="2"/>
    <n v="1"/>
    <n v="2"/>
    <n v="1"/>
    <s v="-"/>
    <s v="-"/>
    <s v="-"/>
    <s v="-"/>
    <s v="-"/>
    <s v="-"/>
    <s v="-"/>
    <n v="6"/>
    <n v="6"/>
    <s v="-"/>
    <s v="-"/>
    <s v="-"/>
    <n v="0"/>
    <n v="0"/>
    <n v="6"/>
    <n v="6"/>
  </r>
  <r>
    <x v="6"/>
    <x v="154"/>
    <d v="1899-12-30T00:00:00"/>
    <s v="3RD"/>
    <d v="1899-12-30T23:00:00"/>
    <n v="2"/>
    <x v="20"/>
    <n v="1.12E-2"/>
    <s v="P"/>
    <s v="P"/>
    <s v="P"/>
    <s v="-"/>
    <s v="-"/>
    <n v="12.35"/>
    <s v="-"/>
    <s v="-"/>
    <s v="-"/>
    <s v="-"/>
    <s v="-"/>
    <s v="-"/>
    <s v="-"/>
    <s v="-"/>
    <s v="-"/>
    <s v="-"/>
    <s v="-"/>
    <n v="2"/>
    <n v="1"/>
    <n v="2"/>
    <n v="1"/>
    <s v="-"/>
    <s v="-"/>
    <s v="-"/>
    <s v="-"/>
    <s v="-"/>
    <s v="-"/>
    <s v="-"/>
    <n v="6"/>
    <n v="6"/>
    <s v="-"/>
    <s v="-"/>
    <s v="-"/>
    <n v="0"/>
    <n v="0"/>
    <n v="6"/>
    <n v="6"/>
  </r>
  <r>
    <x v="6"/>
    <x v="154"/>
    <d v="1899-12-30T00:00:00"/>
    <s v="3RD"/>
    <d v="1899-12-31T00:00:00"/>
    <n v="2"/>
    <x v="20"/>
    <n v="2.07E-2"/>
    <s v="P"/>
    <s v="P"/>
    <s v="P"/>
    <s v="-"/>
    <s v="-"/>
    <n v="12.21"/>
    <s v="-"/>
    <s v="-"/>
    <s v="-"/>
    <s v="-"/>
    <s v="-"/>
    <s v="-"/>
    <s v="-"/>
    <s v="-"/>
    <s v="-"/>
    <s v="-"/>
    <s v="-"/>
    <n v="0"/>
    <n v="1"/>
    <n v="2"/>
    <n v="1"/>
    <s v="-"/>
    <s v="-"/>
    <s v="-"/>
    <s v="-"/>
    <s v="-"/>
    <s v="-"/>
    <s v="-"/>
    <n v="4"/>
    <n v="6"/>
    <s v="-"/>
    <s v="-"/>
    <s v="-"/>
    <n v="0"/>
    <n v="0"/>
    <n v="4"/>
    <n v="6"/>
  </r>
  <r>
    <x v="6"/>
    <x v="154"/>
    <d v="1899-12-30T00:00:00"/>
    <s v="3RD"/>
    <d v="1899-12-31T01:00:00"/>
    <n v="2"/>
    <x v="20"/>
    <n v="1.32E-2"/>
    <s v="P"/>
    <s v="P"/>
    <s v="P"/>
    <s v="-"/>
    <s v="-"/>
    <n v="11.59"/>
    <s v="-"/>
    <s v="-"/>
    <s v="-"/>
    <s v="-"/>
    <s v="-"/>
    <s v="-"/>
    <s v="-"/>
    <s v="-"/>
    <s v="-"/>
    <s v="-"/>
    <s v="-"/>
    <n v="2"/>
    <n v="1"/>
    <n v="2"/>
    <n v="1"/>
    <s v="-"/>
    <s v="-"/>
    <s v="-"/>
    <s v="-"/>
    <s v="-"/>
    <s v="-"/>
    <s v="-"/>
    <n v="6"/>
    <n v="6"/>
    <s v="-"/>
    <s v="-"/>
    <s v="-"/>
    <n v="0"/>
    <n v="0"/>
    <n v="6"/>
    <n v="6"/>
  </r>
  <r>
    <x v="6"/>
    <x v="154"/>
    <d v="1899-12-30T00:00:00"/>
    <s v="3RD"/>
    <d v="1899-12-31T02:00:00"/>
    <n v="2"/>
    <x v="20"/>
    <n v="1.17E-2"/>
    <s v="P"/>
    <s v="P"/>
    <s v="P"/>
    <s v="-"/>
    <s v="-"/>
    <n v="12.31"/>
    <s v="-"/>
    <s v="-"/>
    <s v="-"/>
    <s v="-"/>
    <s v="-"/>
    <s v="-"/>
    <s v="-"/>
    <s v="-"/>
    <s v="-"/>
    <s v="-"/>
    <s v="-"/>
    <n v="2"/>
    <n v="1"/>
    <n v="2"/>
    <n v="1"/>
    <s v="-"/>
    <s v="-"/>
    <s v="-"/>
    <s v="-"/>
    <s v="-"/>
    <s v="-"/>
    <s v="-"/>
    <n v="6"/>
    <n v="6"/>
    <s v="-"/>
    <s v="-"/>
    <s v="-"/>
    <n v="0"/>
    <n v="0"/>
    <n v="6"/>
    <n v="6"/>
  </r>
  <r>
    <x v="6"/>
    <x v="155"/>
    <d v="1899-12-30T00:00:00"/>
    <s v="1ST"/>
    <s v="07:00"/>
    <n v="2"/>
    <x v="5"/>
    <n v="2.8999999999999998E-3"/>
    <s v="P"/>
    <s v="P"/>
    <s v="P"/>
    <s v="-"/>
    <s v="+"/>
    <n v="11.29"/>
    <n v="8.66"/>
    <n v="0.56000000000000005"/>
    <n v="55.5"/>
    <s v="-"/>
    <s v="-"/>
    <n v="23.33"/>
    <s v="-"/>
    <n v="25.16"/>
    <s v="P"/>
    <s v="P"/>
    <s v="-"/>
    <n v="2"/>
    <n v="1"/>
    <n v="2"/>
    <n v="1"/>
    <n v="1"/>
    <n v="0"/>
    <n v="2"/>
    <s v="-"/>
    <s v="-"/>
    <n v="2"/>
    <s v="-"/>
    <n v="11"/>
    <n v="13"/>
    <n v="1"/>
    <n v="1"/>
    <n v="1"/>
    <n v="3"/>
    <n v="3"/>
    <n v="14"/>
    <n v="16"/>
  </r>
  <r>
    <x v="6"/>
    <x v="155"/>
    <d v="1899-12-30T00:00:00"/>
    <s v="1ST"/>
    <s v="08:00"/>
    <n v="2"/>
    <x v="5"/>
    <n v="7.3000000000000001E-3"/>
    <s v="P"/>
    <s v="P"/>
    <s v="P"/>
    <s v="-"/>
    <s v="+"/>
    <n v="11.25"/>
    <s v="-"/>
    <s v="-"/>
    <s v="-"/>
    <s v="-"/>
    <s v="-"/>
    <s v="-"/>
    <s v="-"/>
    <s v="-"/>
    <s v="P"/>
    <s v="P"/>
    <s v="-"/>
    <n v="2"/>
    <n v="1"/>
    <n v="2"/>
    <n v="1"/>
    <s v="-"/>
    <s v="-"/>
    <s v="-"/>
    <s v="-"/>
    <s v="-"/>
    <s v="-"/>
    <s v="-"/>
    <n v="6"/>
    <n v="6"/>
    <s v="-"/>
    <n v="1"/>
    <n v="1"/>
    <n v="2"/>
    <n v="2"/>
    <n v="8"/>
    <n v="8"/>
  </r>
  <r>
    <x v="6"/>
    <x v="155"/>
    <d v="1899-12-30T00:00:00"/>
    <s v="1ST"/>
    <s v="09:00"/>
    <n v="2"/>
    <x v="5"/>
    <n v="5.8999999999999999E-3"/>
    <s v="P"/>
    <s v="P"/>
    <s v="P"/>
    <s v="-"/>
    <s v="+"/>
    <n v="11.11"/>
    <s v="-"/>
    <s v="-"/>
    <s v="-"/>
    <s v="-"/>
    <s v="-"/>
    <s v="-"/>
    <s v="-"/>
    <s v="-"/>
    <s v="P"/>
    <s v="P"/>
    <s v="-"/>
    <n v="2"/>
    <n v="1"/>
    <n v="2"/>
    <n v="1"/>
    <s v="-"/>
    <s v="-"/>
    <s v="-"/>
    <s v="-"/>
    <s v="-"/>
    <s v="-"/>
    <s v="-"/>
    <n v="6"/>
    <n v="6"/>
    <s v="-"/>
    <n v="1"/>
    <n v="1"/>
    <n v="2"/>
    <n v="2"/>
    <n v="8"/>
    <n v="8"/>
  </r>
  <r>
    <x v="6"/>
    <x v="155"/>
    <d v="1899-12-30T00:00:00"/>
    <s v="1ST"/>
    <s v="10:00"/>
    <n v="2"/>
    <x v="5"/>
    <n v="3.0000000000000001E-3"/>
    <s v="P"/>
    <s v="P"/>
    <s v="P"/>
    <s v="-"/>
    <s v="+"/>
    <n v="11.13"/>
    <s v="-"/>
    <s v="-"/>
    <s v="-"/>
    <s v="-"/>
    <s v="-"/>
    <s v="-"/>
    <s v="-"/>
    <s v="-"/>
    <s v="P"/>
    <s v="P"/>
    <s v="-"/>
    <n v="2"/>
    <n v="1"/>
    <n v="2"/>
    <n v="1"/>
    <s v="-"/>
    <s v="-"/>
    <s v="-"/>
    <s v="-"/>
    <s v="-"/>
    <s v="-"/>
    <s v="-"/>
    <n v="6"/>
    <n v="6"/>
    <s v="-"/>
    <n v="1"/>
    <n v="1"/>
    <n v="2"/>
    <n v="2"/>
    <n v="8"/>
    <n v="8"/>
  </r>
  <r>
    <x v="6"/>
    <x v="155"/>
    <d v="1899-12-30T00:00:00"/>
    <s v="1ST"/>
    <s v="11:00"/>
    <n v="2"/>
    <x v="21"/>
    <n v="7.0000000000000001E-3"/>
    <s v="P"/>
    <s v="P"/>
    <s v="P"/>
    <s v="-"/>
    <s v="+"/>
    <n v="10.58"/>
    <s v="-"/>
    <s v="-"/>
    <s v="-"/>
    <s v="-"/>
    <s v="-"/>
    <s v="-"/>
    <s v="-"/>
    <s v="-"/>
    <s v="P"/>
    <s v="P"/>
    <s v="-"/>
    <n v="2"/>
    <n v="1"/>
    <n v="2"/>
    <n v="0"/>
    <s v="-"/>
    <s v="-"/>
    <s v="-"/>
    <s v="-"/>
    <s v="-"/>
    <s v="-"/>
    <s v="-"/>
    <n v="5"/>
    <n v="6"/>
    <s v="-"/>
    <n v="1"/>
    <n v="1"/>
    <n v="2"/>
    <n v="2"/>
    <n v="7"/>
    <n v="8"/>
  </r>
  <r>
    <x v="6"/>
    <x v="155"/>
    <d v="1899-12-30T00:00:00"/>
    <s v="1ST"/>
    <s v="13:00"/>
    <n v="2"/>
    <x v="21"/>
    <n v="5.1999999999999998E-3"/>
    <s v="P"/>
    <s v="P"/>
    <s v="P"/>
    <s v="-"/>
    <s v="+"/>
    <n v="10.75"/>
    <s v="-"/>
    <s v="-"/>
    <s v="-"/>
    <s v="-"/>
    <s v="-"/>
    <s v="-"/>
    <s v="-"/>
    <s v="-"/>
    <s v="P"/>
    <s v="P"/>
    <s v="-"/>
    <n v="2"/>
    <n v="1"/>
    <n v="2"/>
    <n v="0"/>
    <s v="-"/>
    <s v="-"/>
    <s v="-"/>
    <s v="-"/>
    <s v="-"/>
    <s v="-"/>
    <s v="-"/>
    <n v="5"/>
    <n v="6"/>
    <s v="-"/>
    <n v="1"/>
    <n v="1"/>
    <n v="2"/>
    <n v="2"/>
    <n v="7"/>
    <n v="8"/>
  </r>
  <r>
    <x v="6"/>
    <x v="155"/>
    <d v="2026-07-14T00:00:00"/>
    <s v="1ST"/>
    <s v="07:00"/>
    <n v="3"/>
    <x v="39"/>
    <n v="1.5699999999999999E-2"/>
    <s v="P"/>
    <s v="P"/>
    <s v="P"/>
    <s v="+"/>
    <s v="+"/>
    <n v="12.29"/>
    <n v="13.21"/>
    <n v="0.57999999999999996"/>
    <n v="64.599999999999994"/>
    <s v="-"/>
    <s v="-"/>
    <n v="37.08"/>
    <s v="-"/>
    <n v="25.19"/>
    <s v="P"/>
    <s v="P"/>
    <s v="-"/>
    <n v="2"/>
    <n v="1"/>
    <n v="2"/>
    <n v="1"/>
    <n v="1"/>
    <n v="2"/>
    <n v="2"/>
    <s v="-"/>
    <s v="-"/>
    <n v="2"/>
    <s v="-"/>
    <n v="13"/>
    <n v="13"/>
    <n v="1"/>
    <n v="1"/>
    <n v="1"/>
    <n v="3"/>
    <n v="3"/>
    <n v="16"/>
    <n v="16"/>
  </r>
  <r>
    <x v="6"/>
    <x v="155"/>
    <d v="2026-07-14T00:00:00"/>
    <s v="1ST"/>
    <s v="08:00"/>
    <n v="3"/>
    <x v="6"/>
    <n v="1.6799999999999999E-2"/>
    <s v="P"/>
    <s v="P"/>
    <s v="P"/>
    <s v="+"/>
    <s v="+"/>
    <n v="12.18"/>
    <n v="12.43"/>
    <n v="0.52"/>
    <n v="0.57999999999999996"/>
    <s v="-"/>
    <s v="-"/>
    <n v="34.729999999999997"/>
    <s v="-"/>
    <s v="-"/>
    <s v="P"/>
    <s v="P"/>
    <s v="-"/>
    <n v="2"/>
    <n v="1"/>
    <n v="2"/>
    <n v="1"/>
    <n v="1"/>
    <n v="2"/>
    <n v="0"/>
    <s v="-"/>
    <s v="-"/>
    <n v="2"/>
    <s v="-"/>
    <n v="11"/>
    <n v="13"/>
    <s v="-"/>
    <n v="1"/>
    <n v="1"/>
    <n v="2"/>
    <n v="2"/>
    <n v="13"/>
    <n v="15"/>
  </r>
  <r>
    <x v="6"/>
    <x v="155"/>
    <d v="2026-07-14T00:00:00"/>
    <s v="1ST"/>
    <s v="09:00"/>
    <n v="3"/>
    <x v="6"/>
    <s v="-"/>
    <s v="P"/>
    <s v="P"/>
    <s v="P"/>
    <s v="+"/>
    <s v="+"/>
    <n v="12.05"/>
    <s v="-"/>
    <s v="-"/>
    <s v="-"/>
    <s v="-"/>
    <s v="-"/>
    <s v="-"/>
    <s v="-"/>
    <s v="-"/>
    <s v="P"/>
    <s v="P"/>
    <s v="-"/>
    <s v="-"/>
    <n v="1"/>
    <n v="2"/>
    <n v="1"/>
    <s v="-"/>
    <s v="-"/>
    <s v="-"/>
    <s v="-"/>
    <s v="-"/>
    <s v="-"/>
    <s v="-"/>
    <n v="4"/>
    <n v="4"/>
    <s v="-"/>
    <n v="1"/>
    <n v="1"/>
    <n v="2"/>
    <n v="2"/>
    <n v="6"/>
    <n v="6"/>
  </r>
  <r>
    <x v="6"/>
    <x v="155"/>
    <d v="2026-07-14T00:00:00"/>
    <s v="1ST"/>
    <s v="10:00"/>
    <n v="3"/>
    <x v="6"/>
    <n v="1.12E-2"/>
    <s v="P"/>
    <s v="P"/>
    <s v="P"/>
    <s v="+"/>
    <s v="+"/>
    <n v="12.05"/>
    <s v="-"/>
    <s v="-"/>
    <s v="-"/>
    <s v="-"/>
    <s v="-"/>
    <s v="-"/>
    <s v="-"/>
    <s v="-"/>
    <s v="P"/>
    <s v="P"/>
    <s v="-"/>
    <n v="2"/>
    <n v="1"/>
    <n v="2"/>
    <n v="1"/>
    <s v="-"/>
    <s v="-"/>
    <s v="-"/>
    <s v="-"/>
    <s v="-"/>
    <s v="-"/>
    <s v="-"/>
    <n v="6"/>
    <n v="6"/>
    <s v="-"/>
    <n v="1"/>
    <n v="1"/>
    <n v="2"/>
    <n v="2"/>
    <n v="8"/>
    <n v="8"/>
  </r>
  <r>
    <x v="6"/>
    <x v="155"/>
    <d v="2026-07-14T00:00:00"/>
    <s v="1ST"/>
    <s v="11:00"/>
    <n v="3"/>
    <x v="6"/>
    <n v="1.6E-2"/>
    <s v="P"/>
    <s v="P"/>
    <s v="P"/>
    <s v="+"/>
    <s v="+"/>
    <n v="11.9"/>
    <s v="-"/>
    <s v="-"/>
    <s v="-"/>
    <s v="-"/>
    <s v="-"/>
    <s v="-"/>
    <s v="-"/>
    <s v="-"/>
    <s v="P"/>
    <s v="P"/>
    <s v="-"/>
    <n v="2"/>
    <n v="1"/>
    <n v="2"/>
    <n v="0"/>
    <s v="-"/>
    <s v="-"/>
    <s v="-"/>
    <s v="-"/>
    <s v="-"/>
    <s v="-"/>
    <s v="-"/>
    <n v="5"/>
    <n v="6"/>
    <s v="-"/>
    <n v="1"/>
    <n v="1"/>
    <n v="2"/>
    <n v="2"/>
    <n v="7"/>
    <n v="8"/>
  </r>
  <r>
    <x v="6"/>
    <x v="155"/>
    <d v="2026-07-14T00:00:00"/>
    <s v="1ST"/>
    <s v="13:00"/>
    <n v="3"/>
    <x v="6"/>
    <n v="1.35E-2"/>
    <s v="P"/>
    <s v="P"/>
    <s v="P"/>
    <s v="+"/>
    <s v="+"/>
    <n v="11.7"/>
    <s v="-"/>
    <s v="-"/>
    <s v="-"/>
    <s v="-"/>
    <s v="-"/>
    <s v="-"/>
    <s v="-"/>
    <s v="-"/>
    <s v="P"/>
    <s v="P"/>
    <s v="-"/>
    <n v="2"/>
    <n v="1"/>
    <n v="2"/>
    <n v="0"/>
    <s v="-"/>
    <s v="-"/>
    <s v="-"/>
    <s v="-"/>
    <s v="-"/>
    <s v="-"/>
    <s v="-"/>
    <n v="5"/>
    <n v="6"/>
    <s v="-"/>
    <n v="1"/>
    <n v="1"/>
    <n v="2"/>
    <n v="2"/>
    <n v="7"/>
    <n v="8"/>
  </r>
  <r>
    <x v="6"/>
    <x v="155"/>
    <d v="1902-03-27T00:00:00"/>
    <s v="2ND"/>
    <d v="1899-12-30T14:00:00"/>
    <n v="2"/>
    <x v="21"/>
    <n v="5.1000000000000004E-3"/>
    <s v="P"/>
    <s v="P"/>
    <s v="P"/>
    <s v="-"/>
    <s v="+"/>
    <n v="10.67"/>
    <s v="-"/>
    <s v="-"/>
    <s v="-"/>
    <s v="-"/>
    <s v="-"/>
    <s v="-"/>
    <s v="-"/>
    <s v="-"/>
    <s v="P"/>
    <s v="P"/>
    <s v="-"/>
    <n v="2"/>
    <n v="1"/>
    <n v="2"/>
    <n v="0"/>
    <s v="-"/>
    <s v="-"/>
    <s v="-"/>
    <s v="-"/>
    <s v="-"/>
    <s v="-"/>
    <s v="-"/>
    <n v="5"/>
    <n v="6"/>
    <s v="-"/>
    <n v="1"/>
    <n v="1"/>
    <n v="2"/>
    <n v="2"/>
    <n v="7"/>
    <n v="8"/>
  </r>
  <r>
    <x v="6"/>
    <x v="155"/>
    <d v="1899-12-30T00:00:00"/>
    <s v="2ND"/>
    <d v="1899-12-30T16:00:00"/>
    <n v="2"/>
    <x v="21"/>
    <n v="3.8999999999999998E-3"/>
    <s v="P"/>
    <s v="P"/>
    <s v="P"/>
    <s v="-"/>
    <s v="+"/>
    <n v="10.97"/>
    <s v="-"/>
    <s v="-"/>
    <s v="-"/>
    <s v="-"/>
    <s v="-"/>
    <s v="-"/>
    <s v="-"/>
    <s v="-"/>
    <s v="P"/>
    <s v="P"/>
    <s v="-"/>
    <n v="2"/>
    <n v="1"/>
    <n v="2"/>
    <n v="0"/>
    <s v="-"/>
    <s v="-"/>
    <s v="-"/>
    <s v="-"/>
    <s v="-"/>
    <s v="-"/>
    <s v="-"/>
    <n v="5"/>
    <n v="6"/>
    <s v="-"/>
    <n v="1"/>
    <n v="1"/>
    <n v="2"/>
    <n v="2"/>
    <n v="7"/>
    <n v="8"/>
  </r>
  <r>
    <x v="6"/>
    <x v="155"/>
    <d v="1899-12-30T00:00:00"/>
    <s v="2ND"/>
    <d v="1899-12-30T17:00:00"/>
    <n v="2"/>
    <x v="21"/>
    <n v="6.7999999999999996E-3"/>
    <s v="P"/>
    <s v="P"/>
    <s v="P"/>
    <s v="-"/>
    <s v="+"/>
    <n v="10.98"/>
    <s v="-"/>
    <s v="-"/>
    <s v="-"/>
    <s v="-"/>
    <s v="-"/>
    <s v="-"/>
    <s v="-"/>
    <s v="-"/>
    <s v="P"/>
    <s v="P"/>
    <s v="-"/>
    <n v="2"/>
    <n v="1"/>
    <n v="2"/>
    <n v="0"/>
    <s v="-"/>
    <s v="-"/>
    <s v="-"/>
    <s v="-"/>
    <s v="-"/>
    <s v="-"/>
    <s v="-"/>
    <n v="5"/>
    <n v="6"/>
    <s v="-"/>
    <n v="1"/>
    <n v="1"/>
    <n v="2"/>
    <n v="2"/>
    <n v="7"/>
    <n v="8"/>
  </r>
  <r>
    <x v="6"/>
    <x v="155"/>
    <d v="1899-12-30T00:00:00"/>
    <s v="2ND"/>
    <d v="1899-12-30T18:00:00"/>
    <n v="2"/>
    <x v="21"/>
    <n v="2.5999999999999999E-3"/>
    <s v="P"/>
    <s v="P"/>
    <s v="P"/>
    <s v="-"/>
    <s v="+"/>
    <n v="11.27"/>
    <s v="-"/>
    <s v="-"/>
    <s v="-"/>
    <s v="-"/>
    <s v="-"/>
    <s v="-"/>
    <s v="-"/>
    <s v="-"/>
    <s v="P"/>
    <s v="P"/>
    <s v="-"/>
    <n v="2"/>
    <n v="1"/>
    <n v="2"/>
    <n v="1"/>
    <s v="-"/>
    <s v="-"/>
    <s v="-"/>
    <s v="-"/>
    <s v="-"/>
    <s v="-"/>
    <s v="-"/>
    <n v="6"/>
    <n v="6"/>
    <s v="-"/>
    <n v="1"/>
    <n v="1"/>
    <n v="2"/>
    <n v="2"/>
    <n v="8"/>
    <n v="8"/>
  </r>
  <r>
    <x v="6"/>
    <x v="155"/>
    <d v="1899-12-30T00:00:00"/>
    <s v="2ND"/>
    <d v="1899-12-30T20:00:00"/>
    <n v="2"/>
    <x v="21"/>
    <n v="2.7000000000000001E-3"/>
    <s v="P"/>
    <s v="P"/>
    <s v="P"/>
    <s v="-"/>
    <s v="+"/>
    <n v="11.37"/>
    <s v="-"/>
    <s v="-"/>
    <s v="-"/>
    <s v="-"/>
    <s v="-"/>
    <s v="-"/>
    <s v="-"/>
    <s v="-"/>
    <s v="P"/>
    <s v="P"/>
    <s v="-"/>
    <n v="2"/>
    <n v="1"/>
    <n v="2"/>
    <n v="1"/>
    <s v="-"/>
    <s v="-"/>
    <s v="-"/>
    <s v="-"/>
    <s v="-"/>
    <s v="-"/>
    <s v="-"/>
    <n v="6"/>
    <n v="6"/>
    <s v="-"/>
    <n v="1"/>
    <n v="1"/>
    <n v="2"/>
    <n v="2"/>
    <n v="8"/>
    <n v="8"/>
  </r>
  <r>
    <x v="6"/>
    <x v="155"/>
    <d v="2026-07-14T00:00:00"/>
    <s v="2ND"/>
    <d v="1899-12-30T15:00:00"/>
    <n v="3"/>
    <x v="6"/>
    <n v="1.21E-2"/>
    <s v="P"/>
    <s v="P"/>
    <s v="P"/>
    <s v="+"/>
    <s v="+"/>
    <n v="11.83"/>
    <n v="12.37"/>
    <n v="0.52"/>
    <s v="-"/>
    <s v="-"/>
    <s v="-"/>
    <n v="34.61"/>
    <s v="-"/>
    <s v="-"/>
    <s v="P"/>
    <s v="P"/>
    <s v="60% 30% 10%"/>
    <n v="2"/>
    <n v="1"/>
    <n v="2"/>
    <n v="0"/>
    <n v="1"/>
    <n v="2"/>
    <s v="-"/>
    <s v="-"/>
    <s v="-"/>
    <n v="2"/>
    <s v="-"/>
    <n v="10"/>
    <n v="11"/>
    <s v="-"/>
    <n v="1"/>
    <n v="1"/>
    <n v="2"/>
    <n v="2"/>
    <n v="12"/>
    <n v="13"/>
  </r>
  <r>
    <x v="6"/>
    <x v="155"/>
    <d v="2026-07-14T00:00:00"/>
    <s v="2ND"/>
    <d v="1899-12-30T16:00:00"/>
    <n v="3"/>
    <x v="6"/>
    <n v="1.1900000000000001E-2"/>
    <s v="P"/>
    <s v="P"/>
    <s v="P"/>
    <s v="+"/>
    <s v="+"/>
    <n v="12.09"/>
    <s v="-"/>
    <s v="-"/>
    <n v="0.52"/>
    <s v="-"/>
    <s v="-"/>
    <s v="-"/>
    <s v="-"/>
    <s v="-"/>
    <s v="P"/>
    <s v="P"/>
    <s v="-"/>
    <n v="2"/>
    <n v="1"/>
    <n v="2"/>
    <n v="1"/>
    <s v="-"/>
    <s v="-"/>
    <n v="0"/>
    <s v="-"/>
    <s v="-"/>
    <s v="-"/>
    <s v="-"/>
    <n v="6"/>
    <n v="8"/>
    <s v="-"/>
    <n v="1"/>
    <n v="1"/>
    <n v="2"/>
    <n v="2"/>
    <n v="8"/>
    <n v="10"/>
  </r>
  <r>
    <x v="6"/>
    <x v="155"/>
    <d v="2026-07-14T00:00:00"/>
    <s v="2ND"/>
    <d v="1899-12-30T18:00:00"/>
    <n v="3"/>
    <x v="1"/>
    <n v="1.5100000000000001E-2"/>
    <s v="P"/>
    <s v="P"/>
    <s v="P"/>
    <s v="+"/>
    <s v="+"/>
    <s v="-"/>
    <n v="12.23"/>
    <s v="-"/>
    <n v="67"/>
    <s v="-"/>
    <s v="-"/>
    <n v="34.22"/>
    <s v="-"/>
    <s v="-"/>
    <s v="P"/>
    <s v="P"/>
    <s v="65% 30% 5%"/>
    <n v="2"/>
    <n v="1"/>
    <n v="2"/>
    <s v="-"/>
    <n v="1"/>
    <s v="-"/>
    <n v="2"/>
    <s v="-"/>
    <s v="-"/>
    <n v="2"/>
    <s v="-"/>
    <n v="10"/>
    <n v="10"/>
    <s v="-"/>
    <n v="1"/>
    <n v="1"/>
    <n v="2"/>
    <n v="2"/>
    <n v="12"/>
    <n v="12"/>
  </r>
  <r>
    <x v="6"/>
    <x v="155"/>
    <d v="2026-07-14T00:00:00"/>
    <s v="2ND"/>
    <d v="1899-12-30T19:00:00"/>
    <n v="3"/>
    <x v="1"/>
    <n v="1.47E-2"/>
    <s v="P"/>
    <s v="P"/>
    <s v="P"/>
    <s v="+"/>
    <s v="+"/>
    <n v="12.04"/>
    <s v="-"/>
    <s v="-"/>
    <s v="-"/>
    <s v="-"/>
    <s v="-"/>
    <s v="-"/>
    <s v="-"/>
    <s v="-"/>
    <s v="P"/>
    <s v="P"/>
    <s v="-"/>
    <n v="2"/>
    <n v="1"/>
    <n v="2"/>
    <n v="1"/>
    <s v="-"/>
    <s v="-"/>
    <s v="-"/>
    <s v="-"/>
    <s v="-"/>
    <s v="-"/>
    <s v="-"/>
    <n v="6"/>
    <n v="6"/>
    <s v="-"/>
    <n v="1"/>
    <n v="1"/>
    <n v="2"/>
    <n v="2"/>
    <n v="8"/>
    <n v="8"/>
  </r>
  <r>
    <x v="6"/>
    <x v="155"/>
    <d v="2026-07-14T00:00:00"/>
    <s v="2ND"/>
    <d v="1899-12-30T21:00:00"/>
    <n v="3"/>
    <x v="1"/>
    <n v="9.7000000000000003E-3"/>
    <s v="P"/>
    <s v="P"/>
    <s v="P"/>
    <s v="+"/>
    <s v="+"/>
    <n v="12.1"/>
    <s v="-"/>
    <s v="-"/>
    <s v="-"/>
    <s v="-"/>
    <s v="-"/>
    <s v="-"/>
    <s v="-"/>
    <s v="-"/>
    <s v="P"/>
    <s v="P"/>
    <s v="-"/>
    <n v="2"/>
    <n v="1"/>
    <n v="2"/>
    <n v="1"/>
    <s v="-"/>
    <s v="-"/>
    <s v="-"/>
    <s v="-"/>
    <s v="-"/>
    <s v="-"/>
    <s v="-"/>
    <n v="6"/>
    <n v="6"/>
    <s v="-"/>
    <n v="1"/>
    <n v="1"/>
    <n v="2"/>
    <n v="2"/>
    <n v="8"/>
    <n v="8"/>
  </r>
  <r>
    <x v="6"/>
    <x v="155"/>
    <d v="1902-03-26T00:00:00"/>
    <s v="3RD"/>
    <d v="1899-12-30T22:00:00"/>
    <n v="2"/>
    <x v="4"/>
    <n v="2.8E-3"/>
    <s v="P"/>
    <s v="P"/>
    <s v="P"/>
    <s v="-"/>
    <s v="+"/>
    <n v="11.04"/>
    <s v="-"/>
    <s v="-"/>
    <s v="-"/>
    <s v="-"/>
    <s v="-"/>
    <s v="-"/>
    <s v="-"/>
    <s v="-"/>
    <s v="P"/>
    <s v="P"/>
    <s v="-"/>
    <n v="2"/>
    <n v="1"/>
    <n v="2"/>
    <n v="1"/>
    <s v="-"/>
    <s v="-"/>
    <s v="-"/>
    <s v="-"/>
    <s v="-"/>
    <s v="-"/>
    <s v="-"/>
    <n v="6"/>
    <n v="6"/>
    <s v="-"/>
    <n v="1"/>
    <n v="1"/>
    <n v="2"/>
    <n v="2"/>
    <n v="8"/>
    <n v="8"/>
  </r>
  <r>
    <x v="6"/>
    <x v="155"/>
    <d v="1899-12-30T00:00:00"/>
    <s v="3RD"/>
    <d v="1899-12-30T23:00:00"/>
    <n v="2"/>
    <x v="4"/>
    <n v="3.7000000000000002E-3"/>
    <s v="P"/>
    <s v="P"/>
    <s v="P"/>
    <s v="-"/>
    <s v="+"/>
    <n v="10.71"/>
    <s v="-"/>
    <s v="-"/>
    <s v="-"/>
    <s v="-"/>
    <s v="-"/>
    <s v="-"/>
    <s v="-"/>
    <s v="-"/>
    <s v="P"/>
    <s v="P"/>
    <s v="-"/>
    <n v="2"/>
    <n v="1"/>
    <n v="2"/>
    <n v="0"/>
    <s v="-"/>
    <s v="-"/>
    <s v="-"/>
    <s v="-"/>
    <s v="-"/>
    <s v="-"/>
    <s v="-"/>
    <n v="5"/>
    <n v="6"/>
    <s v="-"/>
    <n v="1"/>
    <n v="1"/>
    <n v="2"/>
    <n v="2"/>
    <n v="7"/>
    <n v="8"/>
  </r>
  <r>
    <x v="6"/>
    <x v="155"/>
    <d v="2026-07-14T00:00:00"/>
    <s v="3RD"/>
    <d v="1899-12-30T22:00:00"/>
    <n v="3"/>
    <x v="1"/>
    <n v="1.06E-2"/>
    <s v="P"/>
    <s v="P"/>
    <s v="P"/>
    <s v="+"/>
    <s v="+"/>
    <n v="12.07"/>
    <n v="13.31"/>
    <s v="-"/>
    <s v="-"/>
    <s v="-"/>
    <s v="-"/>
    <n v="37.409999999999997"/>
    <s v="-"/>
    <s v="-"/>
    <s v="P"/>
    <s v="P"/>
    <s v="65% 5% 30%"/>
    <n v="2"/>
    <n v="1"/>
    <n v="2"/>
    <n v="1"/>
    <n v="1"/>
    <s v="-"/>
    <s v="-"/>
    <s v="-"/>
    <s v="-"/>
    <n v="2"/>
    <s v="-"/>
    <n v="9"/>
    <n v="9"/>
    <s v="-"/>
    <n v="1"/>
    <n v="1"/>
    <n v="2"/>
    <n v="2"/>
    <n v="11"/>
    <n v="11"/>
  </r>
  <r>
    <x v="6"/>
    <x v="155"/>
    <d v="2026-07-14T00:00:00"/>
    <s v="3RD"/>
    <d v="1899-12-30T23:00:00"/>
    <n v="3"/>
    <x v="1"/>
    <n v="1.1599999999999999E-2"/>
    <s v="P"/>
    <s v="P"/>
    <s v="P"/>
    <s v="+"/>
    <s v="+"/>
    <n v="11.92"/>
    <s v="-"/>
    <s v="-"/>
    <s v="-"/>
    <s v="-"/>
    <s v="-"/>
    <s v="-"/>
    <s v="-"/>
    <s v="-"/>
    <s v="P"/>
    <s v="P"/>
    <s v="-"/>
    <n v="2"/>
    <n v="1"/>
    <n v="2"/>
    <n v="0"/>
    <s v="-"/>
    <s v="-"/>
    <s v="-"/>
    <s v="-"/>
    <s v="-"/>
    <s v="-"/>
    <s v="-"/>
    <n v="5"/>
    <n v="6"/>
    <s v="-"/>
    <n v="1"/>
    <n v="1"/>
    <n v="2"/>
    <n v="2"/>
    <n v="7"/>
    <n v="8"/>
  </r>
  <r>
    <x v="6"/>
    <x v="155"/>
    <d v="2026-07-14T00:00:00"/>
    <s v="3RD"/>
    <d v="1899-12-31T00:00:00"/>
    <n v="3"/>
    <x v="1"/>
    <n v="1.38E-2"/>
    <s v="P"/>
    <s v="P"/>
    <s v="P"/>
    <s v="+"/>
    <s v="+"/>
    <n v="12.05"/>
    <s v="-"/>
    <s v="-"/>
    <s v="-"/>
    <s v="-"/>
    <s v="-"/>
    <s v="-"/>
    <s v="-"/>
    <s v="-"/>
    <s v="P"/>
    <s v="P"/>
    <s v="-"/>
    <n v="2"/>
    <n v="1"/>
    <n v="2"/>
    <n v="1"/>
    <s v="-"/>
    <s v="-"/>
    <s v="-"/>
    <s v="-"/>
    <s v="-"/>
    <s v="-"/>
    <s v="-"/>
    <n v="6"/>
    <n v="6"/>
    <s v="-"/>
    <n v="1"/>
    <n v="1"/>
    <n v="2"/>
    <n v="2"/>
    <n v="8"/>
    <n v="8"/>
  </r>
  <r>
    <x v="6"/>
    <x v="155"/>
    <d v="2026-07-14T00:00:00"/>
    <s v="3RD"/>
    <d v="1899-12-31T01:00:00"/>
    <n v="3"/>
    <x v="1"/>
    <n v="9.1000000000000004E-3"/>
    <s v="P"/>
    <s v="P"/>
    <s v="P"/>
    <s v="+"/>
    <s v="+"/>
    <n v="11.97"/>
    <s v="-"/>
    <s v="-"/>
    <s v="-"/>
    <s v="-"/>
    <s v="-"/>
    <s v="-"/>
    <s v="-"/>
    <s v="-"/>
    <s v="P"/>
    <s v="P"/>
    <s v="-"/>
    <n v="2"/>
    <n v="1"/>
    <n v="2"/>
    <n v="0"/>
    <s v="-"/>
    <s v="-"/>
    <s v="-"/>
    <s v="-"/>
    <s v="-"/>
    <s v="-"/>
    <s v="-"/>
    <n v="5"/>
    <n v="6"/>
    <s v="-"/>
    <n v="1"/>
    <n v="1"/>
    <n v="2"/>
    <n v="2"/>
    <n v="7"/>
    <n v="8"/>
  </r>
  <r>
    <x v="6"/>
    <x v="155"/>
    <d v="2026-07-14T00:00:00"/>
    <s v="3RD"/>
    <d v="1899-12-31T03:00:00"/>
    <n v="3"/>
    <x v="1"/>
    <n v="1.0200000000000001E-2"/>
    <s v="P"/>
    <s v="P"/>
    <s v="P"/>
    <s v="+"/>
    <s v="+"/>
    <s v="-"/>
    <s v="-"/>
    <s v="-"/>
    <s v="-"/>
    <s v="-"/>
    <s v="-"/>
    <s v="-"/>
    <s v="-"/>
    <s v="-"/>
    <s v="P"/>
    <s v="P"/>
    <s v="-"/>
    <n v="2"/>
    <n v="1"/>
    <n v="2"/>
    <s v="-"/>
    <s v="-"/>
    <s v="-"/>
    <s v="-"/>
    <s v="-"/>
    <s v="-"/>
    <s v="-"/>
    <s v="-"/>
    <n v="5"/>
    <n v="5"/>
    <s v="-"/>
    <n v="1"/>
    <n v="1"/>
    <n v="2"/>
    <n v="2"/>
    <n v="7"/>
    <n v="7"/>
  </r>
  <r>
    <x v="6"/>
    <x v="155"/>
    <d v="2026-07-14T00:00:00"/>
    <s v="3RD"/>
    <d v="1899-12-31T04:00:00"/>
    <n v="3"/>
    <x v="1"/>
    <n v="9.1000000000000004E-3"/>
    <s v="P"/>
    <s v="P"/>
    <s v="P"/>
    <s v="+"/>
    <s v="+"/>
    <n v="11.97"/>
    <s v="-"/>
    <s v="-"/>
    <s v="-"/>
    <s v="-"/>
    <s v="-"/>
    <s v="-"/>
    <s v="-"/>
    <s v="-"/>
    <s v="P"/>
    <s v="P"/>
    <s v="-"/>
    <n v="2"/>
    <n v="1"/>
    <n v="2"/>
    <n v="0"/>
    <s v="-"/>
    <s v="-"/>
    <s v="-"/>
    <s v="-"/>
    <s v="-"/>
    <s v="-"/>
    <s v="-"/>
    <n v="5"/>
    <n v="6"/>
    <s v="-"/>
    <n v="1"/>
    <n v="1"/>
    <n v="2"/>
    <n v="2"/>
    <n v="7"/>
    <n v="8"/>
  </r>
  <r>
    <x v="6"/>
    <x v="155"/>
    <d v="2026-07-14T00:00:00"/>
    <s v="3RD"/>
    <d v="1899-12-31T05:00:00"/>
    <n v="3"/>
    <x v="1"/>
    <n v="1.0999999999999999E-2"/>
    <s v="P"/>
    <s v="P"/>
    <s v="P"/>
    <s v="+"/>
    <s v="+"/>
    <n v="12.01"/>
    <s v="-"/>
    <s v="-"/>
    <s v="-"/>
    <s v="-"/>
    <s v="-"/>
    <s v="-"/>
    <s v="-"/>
    <s v="-"/>
    <s v="P"/>
    <s v="P"/>
    <s v="-"/>
    <n v="2"/>
    <n v="1"/>
    <n v="2"/>
    <n v="1"/>
    <s v="-"/>
    <s v="-"/>
    <s v="-"/>
    <s v="-"/>
    <s v="-"/>
    <s v="-"/>
    <s v="-"/>
    <n v="6"/>
    <n v="6"/>
    <s v="-"/>
    <n v="1"/>
    <n v="1"/>
    <n v="2"/>
    <n v="2"/>
    <n v="8"/>
    <n v="8"/>
  </r>
  <r>
    <x v="6"/>
    <x v="156"/>
    <d v="1902-03-25T00:00:00"/>
    <s v="1ST"/>
    <s v="06:00"/>
    <n v="2"/>
    <x v="20"/>
    <n v="8.2000000000000007E-3"/>
    <s v="P"/>
    <s v="P"/>
    <s v="P"/>
    <s v="-"/>
    <s v="-"/>
    <n v="12.38"/>
    <s v="-"/>
    <s v="-"/>
    <s v="-"/>
    <s v="-"/>
    <s v="-"/>
    <s v="-"/>
    <s v="-"/>
    <s v="-"/>
    <s v="P"/>
    <s v="P"/>
    <s v="-"/>
    <n v="2"/>
    <n v="1"/>
    <n v="2"/>
    <n v="1"/>
    <s v="-"/>
    <s v="-"/>
    <s v="-"/>
    <s v="-"/>
    <s v="-"/>
    <s v="-"/>
    <s v="-"/>
    <n v="6"/>
    <n v="6"/>
    <s v="-"/>
    <n v="1"/>
    <n v="1"/>
    <n v="2"/>
    <n v="2"/>
    <n v="8"/>
    <n v="8"/>
  </r>
  <r>
    <x v="6"/>
    <x v="156"/>
    <d v="1899-12-30T00:00:00"/>
    <s v="1ST"/>
    <s v="07:00"/>
    <n v="2"/>
    <x v="20"/>
    <n v="8.9999999999999993E-3"/>
    <s v="P"/>
    <s v="P"/>
    <s v="P"/>
    <s v="-"/>
    <s v="-"/>
    <n v="12.12"/>
    <s v="-"/>
    <s v="-"/>
    <s v="-"/>
    <s v="-"/>
    <s v="-"/>
    <s v="-"/>
    <s v="-"/>
    <s v="-"/>
    <s v="P"/>
    <s v="P"/>
    <s v="-"/>
    <n v="2"/>
    <n v="1"/>
    <n v="2"/>
    <n v="1"/>
    <s v="-"/>
    <s v="-"/>
    <s v="-"/>
    <s v="-"/>
    <s v="-"/>
    <s v="-"/>
    <s v="-"/>
    <n v="6"/>
    <n v="6"/>
    <s v="-"/>
    <n v="1"/>
    <n v="1"/>
    <n v="2"/>
    <n v="2"/>
    <n v="8"/>
    <n v="8"/>
  </r>
  <r>
    <x v="6"/>
    <x v="156"/>
    <d v="1899-12-30T00:00:00"/>
    <s v="1ST"/>
    <s v="08:00"/>
    <n v="2"/>
    <x v="20"/>
    <n v="9.7999999999999997E-3"/>
    <s v="P"/>
    <s v="P"/>
    <s v="P"/>
    <s v="-"/>
    <s v="-"/>
    <n v="12.51"/>
    <s v="-"/>
    <s v="-"/>
    <s v="-"/>
    <s v="-"/>
    <s v="-"/>
    <s v="-"/>
    <s v="-"/>
    <s v="-"/>
    <s v="P"/>
    <s v="P"/>
    <s v="-"/>
    <n v="2"/>
    <n v="1"/>
    <n v="2"/>
    <n v="1"/>
    <s v="-"/>
    <s v="-"/>
    <s v="-"/>
    <s v="-"/>
    <s v="-"/>
    <s v="-"/>
    <s v="-"/>
    <n v="6"/>
    <n v="6"/>
    <s v="-"/>
    <n v="1"/>
    <n v="1"/>
    <n v="2"/>
    <n v="2"/>
    <n v="8"/>
    <n v="8"/>
  </r>
  <r>
    <x v="6"/>
    <x v="156"/>
    <d v="1899-12-30T00:00:00"/>
    <s v="1ST"/>
    <s v="09:00"/>
    <n v="2"/>
    <x v="20"/>
    <n v="7.6E-3"/>
    <s v="P"/>
    <s v="P"/>
    <s v="P"/>
    <s v="-"/>
    <s v="-"/>
    <n v="11.84"/>
    <s v="-"/>
    <s v="-"/>
    <s v="-"/>
    <s v="-"/>
    <s v="-"/>
    <s v="-"/>
    <s v="-"/>
    <s v="-"/>
    <s v="P"/>
    <s v="P"/>
    <s v="-"/>
    <n v="2"/>
    <n v="1"/>
    <n v="2"/>
    <n v="1"/>
    <s v="-"/>
    <s v="-"/>
    <s v="-"/>
    <s v="-"/>
    <s v="-"/>
    <s v="-"/>
    <s v="-"/>
    <n v="6"/>
    <n v="6"/>
    <s v="-"/>
    <n v="1"/>
    <n v="1"/>
    <n v="2"/>
    <n v="2"/>
    <n v="8"/>
    <n v="8"/>
  </r>
  <r>
    <x v="6"/>
    <x v="156"/>
    <d v="1899-12-30T00:00:00"/>
    <s v="1ST"/>
    <s v="10:00"/>
    <n v="2"/>
    <x v="20"/>
    <n v="5.8999999999999999E-3"/>
    <s v="P"/>
    <s v="P"/>
    <s v="P"/>
    <s v="-"/>
    <s v="-"/>
    <n v="12.46"/>
    <s v="-"/>
    <s v="-"/>
    <s v="-"/>
    <s v="-"/>
    <s v="-"/>
    <s v="-"/>
    <s v="-"/>
    <s v="-"/>
    <s v="P"/>
    <s v="P"/>
    <s v="-"/>
    <n v="2"/>
    <n v="1"/>
    <n v="2"/>
    <n v="1"/>
    <s v="-"/>
    <s v="-"/>
    <s v="-"/>
    <s v="-"/>
    <s v="-"/>
    <s v="-"/>
    <s v="-"/>
    <n v="6"/>
    <n v="6"/>
    <s v="-"/>
    <n v="1"/>
    <n v="1"/>
    <n v="2"/>
    <n v="2"/>
    <n v="8"/>
    <n v="8"/>
  </r>
  <r>
    <x v="6"/>
    <x v="156"/>
    <d v="1899-12-30T00:00:00"/>
    <s v="1ST"/>
    <s v="11:00"/>
    <n v="2"/>
    <x v="20"/>
    <n v="6.4999999999999997E-3"/>
    <s v="P"/>
    <s v="P"/>
    <s v="P"/>
    <s v="-"/>
    <s v="-"/>
    <n v="12.44"/>
    <s v="-"/>
    <s v="-"/>
    <s v="-"/>
    <s v="-"/>
    <s v="-"/>
    <s v="-"/>
    <s v="-"/>
    <s v="-"/>
    <s v="P"/>
    <s v="P"/>
    <s v="-"/>
    <n v="2"/>
    <n v="1"/>
    <n v="2"/>
    <n v="1"/>
    <s v="-"/>
    <s v="-"/>
    <s v="-"/>
    <s v="-"/>
    <s v="-"/>
    <s v="-"/>
    <s v="-"/>
    <n v="6"/>
    <n v="6"/>
    <s v="-"/>
    <n v="1"/>
    <n v="1"/>
    <n v="2"/>
    <n v="2"/>
    <n v="8"/>
    <n v="8"/>
  </r>
  <r>
    <x v="6"/>
    <x v="156"/>
    <d v="1899-12-30T00:00:00"/>
    <s v="1ST"/>
    <s v="12:00"/>
    <n v="2"/>
    <x v="20"/>
    <n v="1.15E-2"/>
    <s v="P"/>
    <s v="P"/>
    <s v="P"/>
    <s v="-"/>
    <s v="-"/>
    <n v="12.46"/>
    <s v="-"/>
    <s v="-"/>
    <s v="-"/>
    <s v="-"/>
    <s v="-"/>
    <s v="-"/>
    <s v="-"/>
    <s v="-"/>
    <s v="P"/>
    <s v="P"/>
    <s v="-"/>
    <n v="2"/>
    <n v="1"/>
    <n v="2"/>
    <n v="1"/>
    <s v="-"/>
    <s v="-"/>
    <s v="-"/>
    <s v="-"/>
    <s v="-"/>
    <s v="-"/>
    <s v="-"/>
    <n v="6"/>
    <n v="6"/>
    <s v="-"/>
    <n v="1"/>
    <n v="1"/>
    <n v="2"/>
    <n v="2"/>
    <n v="8"/>
    <n v="8"/>
  </r>
  <r>
    <x v="6"/>
    <x v="156"/>
    <d v="1899-12-30T00:00:00"/>
    <s v="1ST"/>
    <s v="13:00"/>
    <n v="2"/>
    <x v="20"/>
    <n v="9.7999999999999997E-3"/>
    <s v="P"/>
    <s v="P"/>
    <s v="P"/>
    <s v="-"/>
    <s v="-"/>
    <n v="12.41"/>
    <s v="-"/>
    <s v="-"/>
    <s v="-"/>
    <s v="-"/>
    <s v="-"/>
    <s v="-"/>
    <s v="-"/>
    <s v="-"/>
    <s v="P"/>
    <s v="P"/>
    <s v="-"/>
    <n v="2"/>
    <n v="1"/>
    <n v="2"/>
    <n v="1"/>
    <s v="-"/>
    <s v="-"/>
    <s v="-"/>
    <s v="-"/>
    <s v="-"/>
    <s v="-"/>
    <s v="-"/>
    <n v="6"/>
    <n v="6"/>
    <s v="-"/>
    <n v="1"/>
    <n v="1"/>
    <n v="2"/>
    <n v="2"/>
    <n v="8"/>
    <n v="8"/>
  </r>
  <r>
    <x v="6"/>
    <x v="156"/>
    <d v="2026-07-14T00:00:00"/>
    <s v="1ST"/>
    <s v="06:00"/>
    <n v="3"/>
    <x v="1"/>
    <n v="1.09E-2"/>
    <s v="P"/>
    <s v="P"/>
    <s v="P"/>
    <s v="+"/>
    <s v="+"/>
    <n v="11.84"/>
    <n v="13.35"/>
    <n v="0.57999999999999996"/>
    <n v="65"/>
    <s v="-"/>
    <s v="-"/>
    <n v="37.69"/>
    <s v="-"/>
    <s v="-"/>
    <s v="P"/>
    <s v="P"/>
    <s v="-"/>
    <n v="2"/>
    <n v="1"/>
    <n v="2"/>
    <n v="0"/>
    <n v="1"/>
    <n v="2"/>
    <n v="2"/>
    <s v="-"/>
    <s v="-"/>
    <n v="2"/>
    <s v="-"/>
    <n v="12"/>
    <n v="13"/>
    <s v="-"/>
    <n v="1"/>
    <n v="1"/>
    <n v="2"/>
    <n v="2"/>
    <n v="14"/>
    <n v="15"/>
  </r>
  <r>
    <x v="6"/>
    <x v="156"/>
    <d v="2026-07-16T00:00:00"/>
    <s v="1ST"/>
    <s v="08:00"/>
    <n v="3"/>
    <x v="32"/>
    <n v="9.7999999999999997E-3"/>
    <s v="P"/>
    <s v="P"/>
    <s v="P"/>
    <s v="+"/>
    <s v="+"/>
    <n v="11.74"/>
    <n v="11.91"/>
    <n v="0.41"/>
    <s v="-"/>
    <s v="-"/>
    <s v="-"/>
    <n v="33.200000000000003"/>
    <s v="-"/>
    <s v="-"/>
    <s v="P"/>
    <s v="P"/>
    <n v="1"/>
    <n v="2"/>
    <n v="1"/>
    <n v="2"/>
    <n v="0"/>
    <n v="1"/>
    <n v="2"/>
    <s v="-"/>
    <s v="-"/>
    <s v="-"/>
    <n v="2"/>
    <s v="-"/>
    <n v="10"/>
    <n v="11"/>
    <s v="-"/>
    <n v="1"/>
    <n v="1"/>
    <n v="2"/>
    <n v="2"/>
    <n v="12"/>
    <n v="13"/>
  </r>
  <r>
    <x v="6"/>
    <x v="156"/>
    <d v="2026-07-16T00:00:00"/>
    <s v="1ST"/>
    <s v="09:00"/>
    <n v="3"/>
    <x v="32"/>
    <s v="-"/>
    <s v="P"/>
    <s v="P"/>
    <s v="P"/>
    <s v="+"/>
    <s v="+"/>
    <n v="12.04"/>
    <s v="-"/>
    <s v="-"/>
    <s v="-"/>
    <s v="-"/>
    <s v="-"/>
    <s v="-"/>
    <s v="-"/>
    <s v="-"/>
    <s v="P"/>
    <s v="P"/>
    <s v="-"/>
    <s v="-"/>
    <n v="1"/>
    <n v="2"/>
    <n v="1"/>
    <s v="-"/>
    <s v="-"/>
    <s v="-"/>
    <s v="-"/>
    <s v="-"/>
    <s v="-"/>
    <s v="-"/>
    <n v="4"/>
    <n v="4"/>
    <s v="-"/>
    <n v="1"/>
    <n v="1"/>
    <n v="2"/>
    <n v="2"/>
    <n v="6"/>
    <n v="6"/>
  </r>
  <r>
    <x v="6"/>
    <x v="156"/>
    <d v="2026-07-16T00:00:00"/>
    <s v="1ST"/>
    <s v="10:00"/>
    <n v="3"/>
    <x v="32"/>
    <n v="8.2000000000000007E-3"/>
    <s v="P"/>
    <s v="P"/>
    <s v="P"/>
    <s v="+"/>
    <s v="+"/>
    <n v="12.04"/>
    <s v="-"/>
    <s v="-"/>
    <s v="-"/>
    <s v="-"/>
    <s v="-"/>
    <s v="-"/>
    <s v="-"/>
    <s v="-"/>
    <s v="P"/>
    <s v="P"/>
    <s v="-"/>
    <n v="2"/>
    <n v="1"/>
    <n v="2"/>
    <n v="1"/>
    <s v="-"/>
    <s v="-"/>
    <s v="-"/>
    <s v="-"/>
    <s v="-"/>
    <s v="-"/>
    <s v="-"/>
    <n v="6"/>
    <n v="6"/>
    <s v="-"/>
    <n v="1"/>
    <n v="1"/>
    <n v="2"/>
    <n v="2"/>
    <n v="8"/>
    <n v="8"/>
  </r>
  <r>
    <x v="6"/>
    <x v="156"/>
    <d v="2026-07-16T00:00:00"/>
    <s v="1ST"/>
    <s v="11:00"/>
    <n v="3"/>
    <x v="32"/>
    <n v="8.6E-3"/>
    <s v="P"/>
    <s v="P"/>
    <s v="P"/>
    <s v="+"/>
    <s v="+"/>
    <n v="12.4"/>
    <s v="-"/>
    <s v="-"/>
    <s v="-"/>
    <s v="-"/>
    <s v="-"/>
    <s v="-"/>
    <s v="-"/>
    <s v="-"/>
    <s v="P"/>
    <s v="P"/>
    <s v="-"/>
    <n v="2"/>
    <n v="1"/>
    <n v="2"/>
    <n v="1"/>
    <s v="-"/>
    <s v="-"/>
    <s v="-"/>
    <s v="-"/>
    <s v="-"/>
    <s v="-"/>
    <s v="-"/>
    <n v="6"/>
    <n v="6"/>
    <s v="-"/>
    <n v="1"/>
    <n v="1"/>
    <n v="2"/>
    <n v="2"/>
    <n v="8"/>
    <n v="8"/>
  </r>
  <r>
    <x v="6"/>
    <x v="156"/>
    <d v="2026-07-21T00:00:00"/>
    <s v="1ST"/>
    <s v="07:00"/>
    <s v="Retail"/>
    <x v="3"/>
    <s v="-"/>
    <s v="-"/>
    <s v="-"/>
    <s v="-"/>
    <s v="-"/>
    <s v="-"/>
    <n v="13.65"/>
    <s v="-"/>
    <n v="5.61"/>
    <s v="-"/>
    <s v="-"/>
    <s v="-"/>
    <s v="-"/>
    <s v="-"/>
    <s v="-"/>
    <s v="-"/>
    <s v="-"/>
    <s v="-"/>
    <s v="-"/>
    <s v="-"/>
    <s v="-"/>
    <n v="1"/>
    <s v="-"/>
    <n v="2"/>
    <s v="-"/>
    <s v="-"/>
    <s v="-"/>
    <s v="-"/>
    <s v="-"/>
    <n v="3"/>
    <n v="3"/>
    <s v="-"/>
    <s v="-"/>
    <s v="-"/>
    <n v="0"/>
    <n v="0"/>
    <n v="3"/>
    <n v="3"/>
  </r>
  <r>
    <x v="6"/>
    <x v="156"/>
    <d v="2026-07-21T00:00:00"/>
    <s v="1ST"/>
    <s v="08:00"/>
    <s v="Retail"/>
    <x v="18"/>
    <s v="-"/>
    <s v="-"/>
    <s v="-"/>
    <s v="-"/>
    <s v="-"/>
    <s v="-"/>
    <n v="13.85"/>
    <s v="-"/>
    <n v="1.89"/>
    <s v="-"/>
    <s v="-"/>
    <s v="-"/>
    <s v="-"/>
    <s v="-"/>
    <s v="-"/>
    <s v="-"/>
    <s v="-"/>
    <s v="-"/>
    <s v="-"/>
    <s v="-"/>
    <s v="-"/>
    <s v="-"/>
    <s v="-"/>
    <s v="-"/>
    <s v="-"/>
    <s v="-"/>
    <s v="-"/>
    <s v="-"/>
    <s v="-"/>
    <n v="0"/>
    <n v="0"/>
    <s v="-"/>
    <s v="-"/>
    <s v="-"/>
    <n v="0"/>
    <n v="0"/>
    <n v="0"/>
    <n v="0"/>
  </r>
  <r>
    <x v="6"/>
    <x v="156"/>
    <d v="1902-03-25T00:00:00"/>
    <s v="2ND"/>
    <d v="1899-12-30T14:00:00"/>
    <n v="2"/>
    <x v="20"/>
    <n v="9.4000000000000004E-3"/>
    <s v="P"/>
    <s v="P"/>
    <s v="P"/>
    <s v="-"/>
    <s v="-"/>
    <n v="12.59"/>
    <s v="-"/>
    <s v="-"/>
    <s v="-"/>
    <s v="-"/>
    <s v="-"/>
    <s v="-"/>
    <s v="-"/>
    <s v="-"/>
    <s v="P"/>
    <s v="P"/>
    <s v="-"/>
    <n v="2"/>
    <n v="1"/>
    <n v="2"/>
    <n v="1"/>
    <s v="-"/>
    <s v="-"/>
    <s v="-"/>
    <s v="-"/>
    <s v="-"/>
    <s v="-"/>
    <s v="-"/>
    <n v="6"/>
    <n v="6"/>
    <s v="-"/>
    <n v="1"/>
    <n v="1"/>
    <n v="2"/>
    <n v="2"/>
    <n v="8"/>
    <n v="8"/>
  </r>
  <r>
    <x v="6"/>
    <x v="156"/>
    <d v="1899-12-30T00:00:00"/>
    <s v="2ND"/>
    <d v="1899-12-30T15:00:00"/>
    <n v="2"/>
    <x v="20"/>
    <n v="8.8000000000000005E-3"/>
    <s v="P"/>
    <s v="P"/>
    <s v="P"/>
    <s v="-"/>
    <s v="-"/>
    <n v="11.18"/>
    <s v="-"/>
    <s v="-"/>
    <s v="-"/>
    <s v="-"/>
    <s v="-"/>
    <s v="-"/>
    <s v="-"/>
    <s v="-"/>
    <s v="P"/>
    <s v="P"/>
    <s v="-"/>
    <n v="2"/>
    <n v="1"/>
    <n v="2"/>
    <n v="1"/>
    <s v="-"/>
    <s v="-"/>
    <s v="-"/>
    <s v="-"/>
    <s v="-"/>
    <s v="-"/>
    <s v="-"/>
    <n v="6"/>
    <n v="6"/>
    <s v="-"/>
    <n v="1"/>
    <n v="1"/>
    <n v="2"/>
    <n v="2"/>
    <n v="8"/>
    <n v="8"/>
  </r>
  <r>
    <x v="6"/>
    <x v="156"/>
    <d v="1899-12-30T00:00:00"/>
    <s v="2ND"/>
    <d v="1899-12-30T16:00:00"/>
    <n v="2"/>
    <x v="20"/>
    <n v="1.1599999999999999E-2"/>
    <s v="P"/>
    <s v="P"/>
    <s v="P"/>
    <s v="-"/>
    <s v="-"/>
    <n v="12.72"/>
    <s v="-"/>
    <s v="-"/>
    <s v="-"/>
    <s v="-"/>
    <s v="-"/>
    <s v="-"/>
    <s v="-"/>
    <s v="-"/>
    <s v="P"/>
    <s v="P"/>
    <s v="-"/>
    <n v="2"/>
    <n v="1"/>
    <n v="2"/>
    <n v="1"/>
    <s v="-"/>
    <s v="-"/>
    <s v="-"/>
    <s v="-"/>
    <s v="-"/>
    <s v="-"/>
    <s v="-"/>
    <n v="6"/>
    <n v="6"/>
    <s v="-"/>
    <n v="1"/>
    <n v="1"/>
    <n v="2"/>
    <n v="2"/>
    <n v="8"/>
    <n v="8"/>
  </r>
  <r>
    <x v="6"/>
    <x v="156"/>
    <d v="1899-12-30T00:00:00"/>
    <s v="2ND"/>
    <d v="1899-12-30T17:00:00"/>
    <n v="2"/>
    <x v="20"/>
    <n v="1.2E-2"/>
    <s v="P"/>
    <s v="P"/>
    <s v="P"/>
    <s v="-"/>
    <s v="-"/>
    <n v="12.55"/>
    <s v="-"/>
    <s v="-"/>
    <s v="-"/>
    <s v="-"/>
    <s v="-"/>
    <s v="-"/>
    <s v="-"/>
    <s v="-"/>
    <s v="P"/>
    <s v="P"/>
    <s v="-"/>
    <n v="2"/>
    <n v="1"/>
    <n v="2"/>
    <n v="1"/>
    <s v="-"/>
    <s v="-"/>
    <s v="-"/>
    <s v="-"/>
    <s v="-"/>
    <s v="-"/>
    <s v="-"/>
    <n v="6"/>
    <n v="6"/>
    <s v="-"/>
    <n v="1"/>
    <n v="1"/>
    <n v="2"/>
    <n v="2"/>
    <n v="8"/>
    <n v="8"/>
  </r>
  <r>
    <x v="6"/>
    <x v="156"/>
    <d v="1899-12-30T00:00:00"/>
    <s v="2ND"/>
    <d v="1899-12-30T19:00:00"/>
    <n v="2"/>
    <x v="20"/>
    <n v="1.12E-2"/>
    <s v="P"/>
    <s v="P"/>
    <s v="P"/>
    <s v="-"/>
    <s v="-"/>
    <n v="11.91"/>
    <s v="-"/>
    <s v="-"/>
    <s v="-"/>
    <s v="-"/>
    <s v="-"/>
    <s v="-"/>
    <s v="-"/>
    <s v="-"/>
    <s v="P"/>
    <s v="P"/>
    <s v="-"/>
    <n v="2"/>
    <n v="1"/>
    <n v="2"/>
    <n v="1"/>
    <s v="-"/>
    <s v="-"/>
    <s v="-"/>
    <s v="-"/>
    <s v="-"/>
    <s v="-"/>
    <s v="-"/>
    <n v="6"/>
    <n v="6"/>
    <s v="-"/>
    <n v="1"/>
    <n v="1"/>
    <n v="2"/>
    <n v="2"/>
    <n v="8"/>
    <n v="8"/>
  </r>
  <r>
    <x v="6"/>
    <x v="156"/>
    <d v="1899-12-30T00:00:00"/>
    <s v="2ND"/>
    <d v="1899-12-30T21:00:00"/>
    <n v="2"/>
    <x v="20"/>
    <n v="9.9000000000000008E-3"/>
    <s v="P"/>
    <s v="P"/>
    <s v="P"/>
    <s v="-"/>
    <s v="-"/>
    <n v="12.76"/>
    <s v="-"/>
    <s v="-"/>
    <s v="-"/>
    <s v="-"/>
    <s v="-"/>
    <s v="-"/>
    <s v="-"/>
    <s v="-"/>
    <s v="P"/>
    <s v="P"/>
    <s v="-"/>
    <n v="2"/>
    <n v="1"/>
    <n v="2"/>
    <n v="1"/>
    <s v="-"/>
    <s v="-"/>
    <s v="-"/>
    <s v="-"/>
    <s v="-"/>
    <s v="-"/>
    <s v="-"/>
    <n v="6"/>
    <n v="6"/>
    <s v="-"/>
    <n v="1"/>
    <n v="1"/>
    <n v="2"/>
    <n v="2"/>
    <n v="8"/>
    <n v="8"/>
  </r>
  <r>
    <x v="6"/>
    <x v="156"/>
    <d v="1902-03-25T00:00:00"/>
    <s v="3RD"/>
    <d v="1899-12-30T22:00:00"/>
    <n v="2"/>
    <x v="20"/>
    <n v="1.5800000000000002E-2"/>
    <s v="P"/>
    <s v="P"/>
    <s v="P"/>
    <s v="-"/>
    <s v="-"/>
    <n v="12.38"/>
    <s v="-"/>
    <s v="-"/>
    <s v="-"/>
    <s v="-"/>
    <s v="-"/>
    <s v="-"/>
    <s v="-"/>
    <s v="-"/>
    <s v="P"/>
    <s v="P"/>
    <s v="-"/>
    <n v="2"/>
    <n v="1"/>
    <n v="2"/>
    <n v="1"/>
    <s v="-"/>
    <s v="-"/>
    <s v="-"/>
    <s v="-"/>
    <s v="-"/>
    <s v="-"/>
    <s v="-"/>
    <n v="6"/>
    <n v="6"/>
    <s v="-"/>
    <n v="1"/>
    <n v="1"/>
    <n v="2"/>
    <n v="2"/>
    <n v="8"/>
    <n v="8"/>
  </r>
  <r>
    <x v="6"/>
    <x v="156"/>
    <d v="1899-12-30T00:00:00"/>
    <s v="3RD"/>
    <d v="1899-12-30T23:00:00"/>
    <n v="2"/>
    <x v="20"/>
    <n v="1.2800000000000001E-2"/>
    <s v="P"/>
    <s v="P"/>
    <s v="P"/>
    <s v="-"/>
    <s v="-"/>
    <n v="12.26"/>
    <s v="-"/>
    <s v="-"/>
    <s v="-"/>
    <s v="-"/>
    <s v="-"/>
    <s v="-"/>
    <s v="-"/>
    <s v="-"/>
    <s v="P"/>
    <s v="P"/>
    <s v="-"/>
    <n v="2"/>
    <n v="1"/>
    <n v="2"/>
    <n v="1"/>
    <s v="-"/>
    <s v="-"/>
    <s v="-"/>
    <s v="-"/>
    <s v="-"/>
    <s v="-"/>
    <s v="-"/>
    <n v="6"/>
    <n v="6"/>
    <s v="-"/>
    <n v="1"/>
    <n v="1"/>
    <n v="2"/>
    <n v="2"/>
    <n v="8"/>
    <n v="8"/>
  </r>
  <r>
    <x v="6"/>
    <x v="156"/>
    <d v="1899-12-30T00:00:00"/>
    <s v="3RD"/>
    <d v="1899-12-31T00:00:00"/>
    <n v="2"/>
    <x v="20"/>
    <n v="1.1599999999999999E-2"/>
    <s v="P"/>
    <s v="P"/>
    <s v="P"/>
    <s v="-"/>
    <s v="-"/>
    <n v="12.51"/>
    <s v="-"/>
    <s v="-"/>
    <s v="-"/>
    <s v="-"/>
    <s v="-"/>
    <s v="-"/>
    <s v="-"/>
    <s v="-"/>
    <s v="P"/>
    <s v="P"/>
    <s v="-"/>
    <n v="2"/>
    <n v="1"/>
    <n v="2"/>
    <n v="1"/>
    <s v="-"/>
    <s v="-"/>
    <s v="-"/>
    <s v="-"/>
    <s v="-"/>
    <s v="-"/>
    <s v="-"/>
    <n v="6"/>
    <n v="6"/>
    <s v="-"/>
    <n v="1"/>
    <n v="1"/>
    <n v="2"/>
    <n v="2"/>
    <n v="8"/>
    <n v="8"/>
  </r>
  <r>
    <x v="6"/>
    <x v="156"/>
    <d v="1899-12-30T00:00:00"/>
    <s v="3RD"/>
    <d v="1899-12-31T02:00:00"/>
    <n v="2"/>
    <x v="20"/>
    <n v="1.72E-2"/>
    <s v="P"/>
    <s v="P"/>
    <s v="P"/>
    <s v="-"/>
    <s v="-"/>
    <n v="12.73"/>
    <s v="-"/>
    <s v="-"/>
    <s v="-"/>
    <s v="-"/>
    <s v="-"/>
    <s v="-"/>
    <s v="-"/>
    <s v="-"/>
    <s v="P"/>
    <s v="P"/>
    <s v="-"/>
    <n v="2"/>
    <n v="1"/>
    <n v="2"/>
    <n v="1"/>
    <s v="-"/>
    <s v="-"/>
    <s v="-"/>
    <s v="-"/>
    <s v="-"/>
    <s v="-"/>
    <s v="-"/>
    <n v="6"/>
    <n v="6"/>
    <s v="-"/>
    <n v="1"/>
    <n v="1"/>
    <n v="2"/>
    <n v="2"/>
    <n v="8"/>
    <n v="8"/>
  </r>
  <r>
    <x v="6"/>
    <x v="156"/>
    <d v="2026-07-19T00:00:00"/>
    <s v="3RD"/>
    <d v="1899-12-30T23:00:00"/>
    <n v="3"/>
    <x v="42"/>
    <n v="1.61E-2"/>
    <s v="P"/>
    <s v="P"/>
    <s v="P"/>
    <s v="+"/>
    <s v="+"/>
    <n v="12.17"/>
    <n v="12.03"/>
    <n v="0.31"/>
    <n v="65.2"/>
    <n v="6.3"/>
    <n v="153"/>
    <n v="33.54"/>
    <s v="-"/>
    <s v="-"/>
    <s v="P"/>
    <s v="P"/>
    <s v="-"/>
    <n v="2"/>
    <n v="1"/>
    <n v="2"/>
    <n v="1"/>
    <n v="0"/>
    <n v="2"/>
    <n v="2"/>
    <s v="-"/>
    <s v="-"/>
    <n v="2"/>
    <s v="-"/>
    <n v="12"/>
    <n v="13"/>
    <s v="-"/>
    <n v="1"/>
    <n v="1"/>
    <n v="2"/>
    <n v="2"/>
    <n v="14"/>
    <n v="15"/>
  </r>
  <r>
    <x v="6"/>
    <x v="157"/>
    <d v="2026-07-16T00:00:00"/>
    <s v="1ST"/>
    <s v="10:00"/>
    <n v="1"/>
    <x v="20"/>
    <n v="1.0200000000000001E-2"/>
    <s v="P"/>
    <s v="P"/>
    <s v="P"/>
    <s v="-"/>
    <s v="-"/>
    <n v="12.57"/>
    <n v="12.55"/>
    <n v="0.52"/>
    <n v="64.599999999999994"/>
    <s v="-"/>
    <s v="-"/>
    <n v="35.15"/>
    <s v="-"/>
    <s v="-"/>
    <s v="P"/>
    <s v="P"/>
    <s v="50% 30% 20%"/>
    <n v="2"/>
    <n v="1"/>
    <n v="2"/>
    <n v="1"/>
    <n v="1"/>
    <n v="2"/>
    <n v="2"/>
    <s v="-"/>
    <s v="-"/>
    <n v="2"/>
    <s v="-"/>
    <n v="13"/>
    <n v="13"/>
    <s v="-"/>
    <n v="1"/>
    <n v="1"/>
    <n v="2"/>
    <n v="2"/>
    <n v="15"/>
    <n v="15"/>
  </r>
  <r>
    <x v="6"/>
    <x v="157"/>
    <d v="2026-07-16T00:00:00"/>
    <s v="1ST"/>
    <s v="11:00"/>
    <n v="1"/>
    <x v="20"/>
    <n v="1.15E-2"/>
    <s v="P"/>
    <s v="P"/>
    <s v="P"/>
    <s v="-"/>
    <s v="-"/>
    <n v="11.64"/>
    <s v="-"/>
    <s v="-"/>
    <s v="-"/>
    <s v="-"/>
    <s v="-"/>
    <s v="-"/>
    <s v="-"/>
    <s v="-"/>
    <s v="P"/>
    <s v="P"/>
    <s v="-"/>
    <n v="2"/>
    <n v="1"/>
    <n v="2"/>
    <n v="1"/>
    <s v="-"/>
    <s v="-"/>
    <s v="-"/>
    <s v="-"/>
    <s v="-"/>
    <s v="-"/>
    <s v="-"/>
    <n v="6"/>
    <n v="6"/>
    <s v="-"/>
    <n v="1"/>
    <n v="1"/>
    <n v="2"/>
    <n v="2"/>
    <n v="8"/>
    <n v="8"/>
  </r>
  <r>
    <x v="6"/>
    <x v="157"/>
    <d v="2026-07-16T00:00:00"/>
    <s v="1ST"/>
    <s v="12:00"/>
    <n v="1"/>
    <x v="20"/>
    <n v="1.26E-2"/>
    <s v="P"/>
    <s v="P"/>
    <s v="P"/>
    <s v="-"/>
    <s v="-"/>
    <n v="12.53"/>
    <s v="-"/>
    <s v="-"/>
    <s v="-"/>
    <s v="-"/>
    <s v="-"/>
    <s v="-"/>
    <s v="-"/>
    <s v="-"/>
    <s v="P"/>
    <s v="P"/>
    <s v="-"/>
    <n v="2"/>
    <n v="1"/>
    <n v="2"/>
    <n v="1"/>
    <s v="-"/>
    <s v="-"/>
    <s v="-"/>
    <s v="-"/>
    <s v="-"/>
    <s v="-"/>
    <s v="-"/>
    <n v="6"/>
    <n v="6"/>
    <s v="-"/>
    <n v="1"/>
    <n v="1"/>
    <n v="2"/>
    <n v="2"/>
    <n v="8"/>
    <n v="8"/>
  </r>
  <r>
    <x v="6"/>
    <x v="157"/>
    <d v="2026-07-16T00:00:00"/>
    <s v="1ST"/>
    <s v="13:00"/>
    <n v="1"/>
    <x v="20"/>
    <n v="1.2999999999999999E-2"/>
    <s v="P"/>
    <s v="P"/>
    <s v="P"/>
    <s v="-"/>
    <s v="-"/>
    <n v="12.42"/>
    <s v="-"/>
    <s v="-"/>
    <s v="-"/>
    <s v="-"/>
    <s v="-"/>
    <s v="-"/>
    <s v="-"/>
    <s v="-"/>
    <s v="P"/>
    <s v="P"/>
    <s v="-"/>
    <n v="2"/>
    <n v="1"/>
    <n v="2"/>
    <n v="1"/>
    <s v="-"/>
    <s v="-"/>
    <s v="-"/>
    <s v="-"/>
    <s v="-"/>
    <s v="-"/>
    <s v="-"/>
    <n v="6"/>
    <n v="6"/>
    <s v="-"/>
    <n v="1"/>
    <n v="1"/>
    <n v="2"/>
    <n v="2"/>
    <n v="8"/>
    <n v="8"/>
  </r>
  <r>
    <x v="6"/>
    <x v="157"/>
    <d v="1902-03-25T00:00:00"/>
    <s v="1ST"/>
    <s v="06:00"/>
    <n v="2"/>
    <x v="22"/>
    <n v="3.0999999999999999E-3"/>
    <s v="P"/>
    <s v="P"/>
    <s v="P"/>
    <s v="-"/>
    <s v="-"/>
    <n v="11.19"/>
    <s v="-"/>
    <s v="-"/>
    <s v="-"/>
    <s v="-"/>
    <s v="-"/>
    <s v="-"/>
    <s v="-"/>
    <s v="-"/>
    <s v="P"/>
    <s v="P"/>
    <s v="-"/>
    <n v="2"/>
    <n v="1"/>
    <n v="2"/>
    <n v="1"/>
    <s v="-"/>
    <s v="-"/>
    <s v="-"/>
    <s v="-"/>
    <s v="-"/>
    <s v="-"/>
    <s v="-"/>
    <n v="6"/>
    <n v="6"/>
    <s v="-"/>
    <n v="1"/>
    <n v="1"/>
    <n v="2"/>
    <n v="2"/>
    <n v="8"/>
    <n v="8"/>
  </r>
  <r>
    <x v="6"/>
    <x v="157"/>
    <d v="1899-12-30T00:00:00"/>
    <s v="1ST"/>
    <s v="08:00"/>
    <n v="2"/>
    <x v="22"/>
    <n v="1.8E-3"/>
    <s v="P"/>
    <s v="P"/>
    <s v="P"/>
    <s v="-"/>
    <s v="-"/>
    <n v="11.56"/>
    <s v="-"/>
    <s v="-"/>
    <s v="-"/>
    <s v="-"/>
    <s v="-"/>
    <s v="-"/>
    <s v="-"/>
    <s v="-"/>
    <s v="P"/>
    <s v="P"/>
    <s v="-"/>
    <n v="2"/>
    <n v="1"/>
    <n v="2"/>
    <n v="1"/>
    <s v="-"/>
    <s v="-"/>
    <s v="-"/>
    <s v="-"/>
    <s v="-"/>
    <s v="-"/>
    <s v="-"/>
    <n v="6"/>
    <n v="6"/>
    <s v="-"/>
    <n v="1"/>
    <n v="1"/>
    <n v="2"/>
    <n v="2"/>
    <n v="8"/>
    <n v="8"/>
  </r>
  <r>
    <x v="6"/>
    <x v="157"/>
    <d v="1899-12-30T00:00:00"/>
    <s v="1ST"/>
    <s v="09:00"/>
    <n v="2"/>
    <x v="22"/>
    <n v="1.2999999999999999E-3"/>
    <s v="P"/>
    <s v="P"/>
    <s v="P"/>
    <s v="-"/>
    <s v="-"/>
    <n v="11.09"/>
    <s v="-"/>
    <s v="-"/>
    <s v="-"/>
    <s v="-"/>
    <s v="-"/>
    <s v="-"/>
    <s v="-"/>
    <s v="-"/>
    <s v="P"/>
    <s v="P"/>
    <s v="-"/>
    <n v="2"/>
    <n v="1"/>
    <n v="2"/>
    <n v="1"/>
    <s v="-"/>
    <s v="-"/>
    <s v="-"/>
    <s v="-"/>
    <s v="-"/>
    <s v="-"/>
    <s v="-"/>
    <n v="6"/>
    <n v="6"/>
    <s v="-"/>
    <n v="1"/>
    <n v="1"/>
    <n v="2"/>
    <n v="2"/>
    <n v="8"/>
    <n v="8"/>
  </r>
  <r>
    <x v="6"/>
    <x v="157"/>
    <d v="1899-12-30T00:00:00"/>
    <s v="1ST"/>
    <s v="10:00"/>
    <n v="2"/>
    <x v="22"/>
    <n v="6.9999999999999999E-4"/>
    <s v="P"/>
    <s v="P"/>
    <s v="P"/>
    <s v="-"/>
    <s v="-"/>
    <n v="11.67"/>
    <s v="-"/>
    <s v="-"/>
    <s v="-"/>
    <s v="-"/>
    <s v="-"/>
    <s v="-"/>
    <s v="-"/>
    <s v="-"/>
    <s v="P"/>
    <s v="P"/>
    <s v="-"/>
    <n v="2"/>
    <n v="1"/>
    <n v="2"/>
    <n v="1"/>
    <s v="-"/>
    <s v="-"/>
    <s v="-"/>
    <s v="-"/>
    <s v="-"/>
    <s v="-"/>
    <s v="-"/>
    <n v="6"/>
    <n v="6"/>
    <s v="-"/>
    <n v="1"/>
    <n v="1"/>
    <n v="2"/>
    <n v="2"/>
    <n v="8"/>
    <n v="8"/>
  </r>
  <r>
    <x v="6"/>
    <x v="157"/>
    <d v="1899-12-30T00:00:00"/>
    <s v="1ST"/>
    <s v="11:00"/>
    <n v="2"/>
    <x v="22"/>
    <n v="1E-3"/>
    <s v="P"/>
    <s v="P"/>
    <s v="P"/>
    <s v="-"/>
    <s v="-"/>
    <n v="11.12"/>
    <s v="-"/>
    <s v="-"/>
    <s v="-"/>
    <s v="-"/>
    <s v="-"/>
    <s v="-"/>
    <s v="-"/>
    <s v="-"/>
    <s v="P"/>
    <s v="P"/>
    <s v="-"/>
    <n v="2"/>
    <n v="1"/>
    <n v="2"/>
    <n v="1"/>
    <s v="-"/>
    <s v="-"/>
    <s v="-"/>
    <s v="-"/>
    <s v="-"/>
    <s v="-"/>
    <s v="-"/>
    <n v="6"/>
    <n v="6"/>
    <s v="-"/>
    <n v="1"/>
    <n v="1"/>
    <n v="2"/>
    <n v="2"/>
    <n v="8"/>
    <n v="8"/>
  </r>
  <r>
    <x v="6"/>
    <x v="157"/>
    <d v="1899-12-30T00:00:00"/>
    <s v="1ST"/>
    <s v="12:00"/>
    <n v="2"/>
    <x v="22"/>
    <n v="4.0000000000000001E-3"/>
    <s v="P"/>
    <s v="P"/>
    <s v="P"/>
    <s v="-"/>
    <s v="-"/>
    <n v="11.19"/>
    <s v="-"/>
    <s v="-"/>
    <s v="-"/>
    <s v="-"/>
    <s v="-"/>
    <s v="-"/>
    <s v="-"/>
    <s v="-"/>
    <s v="P"/>
    <s v="P"/>
    <s v="-"/>
    <n v="2"/>
    <n v="1"/>
    <n v="2"/>
    <n v="1"/>
    <s v="-"/>
    <s v="-"/>
    <s v="-"/>
    <s v="-"/>
    <s v="-"/>
    <s v="-"/>
    <s v="-"/>
    <n v="6"/>
    <n v="6"/>
    <s v="-"/>
    <n v="1"/>
    <n v="1"/>
    <n v="2"/>
    <n v="2"/>
    <n v="8"/>
    <n v="8"/>
  </r>
  <r>
    <x v="6"/>
    <x v="157"/>
    <d v="2026-07-14T00:00:00"/>
    <s v="1ST"/>
    <s v="06:00"/>
    <n v="3"/>
    <x v="39"/>
    <n v="4.0000000000000001E-3"/>
    <s v="P"/>
    <s v="P"/>
    <s v="P"/>
    <s v="-"/>
    <s v="-"/>
    <n v="11.67"/>
    <n v="12.72"/>
    <n v="0.63"/>
    <n v="66"/>
    <s v="-"/>
    <s v="-"/>
    <n v="35.68"/>
    <s v="-"/>
    <s v="-"/>
    <s v="P"/>
    <s v="P"/>
    <s v="-"/>
    <n v="2"/>
    <n v="1"/>
    <n v="2"/>
    <n v="0"/>
    <n v="1"/>
    <n v="2"/>
    <n v="2"/>
    <s v="-"/>
    <s v="-"/>
    <n v="2"/>
    <s v="-"/>
    <n v="12"/>
    <n v="13"/>
    <s v="-"/>
    <n v="1"/>
    <n v="1"/>
    <n v="2"/>
    <n v="2"/>
    <n v="14"/>
    <n v="15"/>
  </r>
  <r>
    <x v="6"/>
    <x v="157"/>
    <d v="2026-07-21T00:00:00"/>
    <s v="1ST"/>
    <s v="08:00"/>
    <n v="3"/>
    <x v="8"/>
    <n v="1.12E-2"/>
    <s v="P"/>
    <s v="P"/>
    <s v="P"/>
    <s v="-"/>
    <s v="-"/>
    <n v="12.94"/>
    <n v="13.05"/>
    <n v="0.62"/>
    <s v="-"/>
    <s v="-"/>
    <s v="-"/>
    <n v="36.700000000000003"/>
    <s v="-"/>
    <s v="-"/>
    <s v="P"/>
    <s v="P"/>
    <n v="1"/>
    <n v="2"/>
    <n v="1"/>
    <n v="2"/>
    <n v="1"/>
    <n v="1"/>
    <n v="0"/>
    <s v="-"/>
    <s v="-"/>
    <s v="-"/>
    <s v="-"/>
    <s v="-"/>
    <n v="7"/>
    <n v="9"/>
    <s v="-"/>
    <n v="1"/>
    <n v="1"/>
    <n v="2"/>
    <n v="2"/>
    <n v="9"/>
    <n v="11"/>
  </r>
  <r>
    <x v="6"/>
    <x v="157"/>
    <d v="2026-07-21T00:00:00"/>
    <s v="1ST"/>
    <s v="09:00"/>
    <n v="3"/>
    <x v="8"/>
    <n v="1.5E-3"/>
    <s v="P"/>
    <s v="P"/>
    <s v="P"/>
    <s v="-"/>
    <s v="-"/>
    <n v="12.84"/>
    <s v="-"/>
    <s v="-"/>
    <s v="-"/>
    <s v="-"/>
    <s v="-"/>
    <s v="-"/>
    <s v="-"/>
    <s v="-"/>
    <s v="P"/>
    <s v="P"/>
    <s v="-"/>
    <n v="2"/>
    <n v="1"/>
    <n v="2"/>
    <n v="1"/>
    <s v="-"/>
    <s v="-"/>
    <s v="-"/>
    <s v="-"/>
    <s v="-"/>
    <s v="-"/>
    <s v="-"/>
    <n v="6"/>
    <n v="6"/>
    <s v="-"/>
    <n v="1"/>
    <n v="1"/>
    <n v="2"/>
    <n v="2"/>
    <n v="8"/>
    <n v="8"/>
  </r>
  <r>
    <x v="6"/>
    <x v="157"/>
    <d v="2026-07-21T00:00:00"/>
    <s v="1ST"/>
    <s v="10:00"/>
    <n v="3"/>
    <x v="8"/>
    <n v="1.9E-3"/>
    <s v="P"/>
    <s v="P"/>
    <s v="P"/>
    <s v="-"/>
    <s v="-"/>
    <n v="12.84"/>
    <s v="-"/>
    <s v="-"/>
    <s v="-"/>
    <s v="-"/>
    <s v="-"/>
    <s v="-"/>
    <s v="-"/>
    <s v="-"/>
    <s v="P"/>
    <s v="P"/>
    <s v="-"/>
    <n v="2"/>
    <n v="1"/>
    <n v="2"/>
    <n v="1"/>
    <s v="-"/>
    <s v="-"/>
    <s v="-"/>
    <s v="-"/>
    <s v="-"/>
    <s v="-"/>
    <s v="-"/>
    <n v="6"/>
    <n v="6"/>
    <s v="-"/>
    <n v="1"/>
    <n v="1"/>
    <n v="2"/>
    <n v="2"/>
    <n v="8"/>
    <n v="8"/>
  </r>
  <r>
    <x v="6"/>
    <x v="157"/>
    <d v="2026-07-21T00:00:00"/>
    <s v="1ST"/>
    <s v="11:00"/>
    <n v="3"/>
    <x v="8"/>
    <n v="2.0999999999999999E-3"/>
    <s v="P"/>
    <s v="P"/>
    <s v="P"/>
    <s v="-"/>
    <s v="-"/>
    <n v="13.93"/>
    <s v="-"/>
    <s v="-"/>
    <s v="-"/>
    <s v="-"/>
    <s v="-"/>
    <s v="-"/>
    <s v="-"/>
    <s v="-"/>
    <s v="P"/>
    <s v="P"/>
    <s v="-"/>
    <n v="2"/>
    <n v="1"/>
    <n v="2"/>
    <n v="0"/>
    <s v="-"/>
    <s v="-"/>
    <s v="-"/>
    <s v="-"/>
    <s v="-"/>
    <s v="-"/>
    <s v="-"/>
    <n v="5"/>
    <n v="6"/>
    <s v="-"/>
    <n v="1"/>
    <n v="1"/>
    <n v="2"/>
    <n v="2"/>
    <n v="7"/>
    <n v="8"/>
  </r>
  <r>
    <x v="6"/>
    <x v="157"/>
    <d v="2026-07-21T00:00:00"/>
    <s v="1ST"/>
    <s v="12:00"/>
    <n v="3"/>
    <x v="8"/>
    <n v="1.5E-3"/>
    <s v="P"/>
    <s v="P"/>
    <s v="P"/>
    <s v="-"/>
    <s v="-"/>
    <n v="13.45"/>
    <s v="-"/>
    <s v="-"/>
    <s v="-"/>
    <s v="-"/>
    <s v="-"/>
    <s v="-"/>
    <s v="-"/>
    <s v="-"/>
    <s v="P"/>
    <s v="P"/>
    <s v="-"/>
    <n v="2"/>
    <n v="1"/>
    <n v="2"/>
    <n v="1"/>
    <s v="-"/>
    <s v="-"/>
    <s v="-"/>
    <s v="-"/>
    <s v="-"/>
    <s v="-"/>
    <s v="-"/>
    <n v="6"/>
    <n v="6"/>
    <s v="-"/>
    <n v="1"/>
    <n v="1"/>
    <n v="2"/>
    <n v="2"/>
    <n v="8"/>
    <n v="8"/>
  </r>
  <r>
    <x v="6"/>
    <x v="157"/>
    <d v="2026-07-21T00:00:00"/>
    <s v="1ST"/>
    <s v="13:00"/>
    <n v="3"/>
    <x v="8"/>
    <n v="1.1999999999999999E-3"/>
    <s v="P"/>
    <s v="P"/>
    <s v="P"/>
    <s v="-"/>
    <s v="-"/>
    <n v="12.85"/>
    <s v="-"/>
    <s v="-"/>
    <s v="-"/>
    <s v="-"/>
    <s v="-"/>
    <s v="-"/>
    <s v="-"/>
    <s v="-"/>
    <s v="P"/>
    <s v="P"/>
    <s v="-"/>
    <n v="2"/>
    <n v="1"/>
    <n v="2"/>
    <n v="1"/>
    <s v="-"/>
    <s v="-"/>
    <s v="-"/>
    <s v="-"/>
    <s v="-"/>
    <s v="-"/>
    <s v="-"/>
    <n v="6"/>
    <n v="6"/>
    <s v="-"/>
    <n v="1"/>
    <n v="1"/>
    <n v="2"/>
    <n v="2"/>
    <n v="8"/>
    <n v="8"/>
  </r>
  <r>
    <x v="6"/>
    <x v="157"/>
    <d v="2026-07-16T00:00:00"/>
    <s v="2ND"/>
    <d v="1899-12-30T14:00:00"/>
    <n v="1"/>
    <x v="20"/>
    <n v="1.6400000000000001E-2"/>
    <s v="P"/>
    <s v="P"/>
    <s v="P"/>
    <s v="-"/>
    <s v="-"/>
    <n v="12.73"/>
    <n v="12.63"/>
    <n v="0.52"/>
    <s v="-"/>
    <s v="-"/>
    <s v="-"/>
    <n v="35.270000000000003"/>
    <s v="-"/>
    <s v="-"/>
    <s v="P"/>
    <s v="P"/>
    <s v="80% 20%"/>
    <n v="2"/>
    <n v="1"/>
    <n v="2"/>
    <n v="1"/>
    <n v="1"/>
    <n v="2"/>
    <s v="-"/>
    <s v="-"/>
    <s v="-"/>
    <n v="2"/>
    <s v="-"/>
    <n v="11"/>
    <n v="11"/>
    <s v="-"/>
    <n v="1"/>
    <n v="1"/>
    <n v="2"/>
    <n v="2"/>
    <n v="13"/>
    <n v="13"/>
  </r>
  <r>
    <x v="6"/>
    <x v="157"/>
    <d v="2026-07-16T00:00:00"/>
    <s v="2ND"/>
    <d v="1899-12-30T15:00:00"/>
    <n v="1"/>
    <x v="20"/>
    <n v="1.9900000000000001E-2"/>
    <s v="P"/>
    <s v="P"/>
    <s v="P"/>
    <s v="-"/>
    <s v="-"/>
    <n v="12.39"/>
    <s v="-"/>
    <s v="-"/>
    <s v="-"/>
    <s v="-"/>
    <s v="-"/>
    <s v="-"/>
    <s v="-"/>
    <s v="-"/>
    <s v="P"/>
    <s v="P"/>
    <s v="-"/>
    <n v="2"/>
    <n v="1"/>
    <n v="2"/>
    <n v="1"/>
    <s v="-"/>
    <s v="-"/>
    <s v="-"/>
    <s v="-"/>
    <s v="-"/>
    <s v="-"/>
    <s v="-"/>
    <n v="6"/>
    <n v="6"/>
    <s v="-"/>
    <n v="1"/>
    <n v="1"/>
    <n v="2"/>
    <n v="2"/>
    <n v="8"/>
    <n v="8"/>
  </r>
  <r>
    <x v="6"/>
    <x v="157"/>
    <d v="2026-07-16T00:00:00"/>
    <s v="2ND"/>
    <d v="1899-12-30T16:00:00"/>
    <n v="1"/>
    <x v="20"/>
    <n v="2.5700000000000001E-2"/>
    <s v="P"/>
    <s v="P"/>
    <s v="P"/>
    <s v="-"/>
    <s v="-"/>
    <n v="12.46"/>
    <s v="-"/>
    <s v="-"/>
    <s v="-"/>
    <s v="-"/>
    <s v="-"/>
    <s v="-"/>
    <s v="-"/>
    <s v="-"/>
    <s v="P"/>
    <s v="P"/>
    <s v="-"/>
    <n v="0"/>
    <n v="1"/>
    <n v="2"/>
    <n v="1"/>
    <s v="-"/>
    <s v="-"/>
    <s v="-"/>
    <s v="-"/>
    <s v="-"/>
    <s v="-"/>
    <s v="-"/>
    <n v="4"/>
    <n v="6"/>
    <s v="-"/>
    <n v="1"/>
    <n v="1"/>
    <n v="2"/>
    <n v="2"/>
    <n v="6"/>
    <n v="8"/>
  </r>
  <r>
    <x v="6"/>
    <x v="157"/>
    <d v="2026-07-16T00:00:00"/>
    <s v="2ND"/>
    <d v="1899-12-30T17:00:00"/>
    <n v="1"/>
    <x v="20"/>
    <n v="1.6E-2"/>
    <s v="P"/>
    <s v="P"/>
    <s v="P"/>
    <s v="-"/>
    <s v="-"/>
    <n v="12.57"/>
    <s v="-"/>
    <s v="-"/>
    <s v="-"/>
    <s v="-"/>
    <s v="-"/>
    <s v="-"/>
    <s v="-"/>
    <s v="-"/>
    <s v="P"/>
    <s v="P"/>
    <s v="-"/>
    <n v="2"/>
    <n v="1"/>
    <n v="2"/>
    <n v="1"/>
    <s v="-"/>
    <s v="-"/>
    <s v="-"/>
    <s v="-"/>
    <s v="-"/>
    <s v="-"/>
    <s v="-"/>
    <n v="6"/>
    <n v="6"/>
    <s v="-"/>
    <n v="1"/>
    <n v="1"/>
    <n v="2"/>
    <n v="2"/>
    <n v="8"/>
    <n v="8"/>
  </r>
  <r>
    <x v="6"/>
    <x v="157"/>
    <d v="2026-07-16T00:00:00"/>
    <s v="2ND"/>
    <d v="1899-12-30T18:00:00"/>
    <n v="1"/>
    <x v="20"/>
    <n v="1.5900000000000001E-2"/>
    <s v="P"/>
    <s v="P"/>
    <s v="P"/>
    <s v="-"/>
    <s v="-"/>
    <n v="12.25"/>
    <s v="-"/>
    <s v="-"/>
    <s v="-"/>
    <s v="-"/>
    <s v="-"/>
    <s v="-"/>
    <s v="-"/>
    <s v="-"/>
    <s v="P"/>
    <s v="P"/>
    <s v="-"/>
    <n v="2"/>
    <n v="1"/>
    <n v="2"/>
    <n v="1"/>
    <s v="-"/>
    <s v="-"/>
    <s v="-"/>
    <s v="-"/>
    <s v="-"/>
    <s v="-"/>
    <s v="-"/>
    <n v="6"/>
    <n v="6"/>
    <s v="-"/>
    <n v="1"/>
    <n v="1"/>
    <n v="2"/>
    <n v="2"/>
    <n v="8"/>
    <n v="8"/>
  </r>
  <r>
    <x v="6"/>
    <x v="157"/>
    <d v="2026-07-16T00:00:00"/>
    <s v="2ND"/>
    <d v="1899-12-30T19:00:00"/>
    <n v="1"/>
    <x v="20"/>
    <n v="1.9E-2"/>
    <s v="P"/>
    <s v="P"/>
    <s v="P"/>
    <s v="-"/>
    <s v="-"/>
    <n v="12.48"/>
    <s v="-"/>
    <s v="-"/>
    <s v="-"/>
    <s v="-"/>
    <s v="-"/>
    <s v="-"/>
    <s v="-"/>
    <s v="-"/>
    <s v="P"/>
    <s v="P"/>
    <s v="-"/>
    <n v="2"/>
    <n v="1"/>
    <n v="2"/>
    <n v="1"/>
    <s v="-"/>
    <s v="-"/>
    <s v="-"/>
    <s v="-"/>
    <s v="-"/>
    <s v="-"/>
    <s v="-"/>
    <n v="6"/>
    <n v="6"/>
    <s v="-"/>
    <n v="1"/>
    <n v="1"/>
    <n v="2"/>
    <n v="2"/>
    <n v="8"/>
    <n v="8"/>
  </r>
  <r>
    <x v="6"/>
    <x v="157"/>
    <d v="2026-07-16T00:00:00"/>
    <s v="2ND"/>
    <d v="1899-12-30T20:00:00"/>
    <n v="1"/>
    <x v="20"/>
    <n v="2.06E-2"/>
    <s v="P"/>
    <s v="P"/>
    <s v="P"/>
    <s v="-"/>
    <s v="-"/>
    <n v="12.69"/>
    <s v="-"/>
    <s v="-"/>
    <s v="-"/>
    <s v="-"/>
    <s v="-"/>
    <s v="-"/>
    <s v="-"/>
    <s v="-"/>
    <s v="P"/>
    <s v="P"/>
    <s v="-"/>
    <n v="0"/>
    <n v="1"/>
    <n v="2"/>
    <n v="1"/>
    <s v="-"/>
    <s v="-"/>
    <s v="-"/>
    <s v="-"/>
    <s v="-"/>
    <s v="-"/>
    <s v="-"/>
    <n v="4"/>
    <n v="6"/>
    <s v="-"/>
    <n v="1"/>
    <n v="1"/>
    <n v="2"/>
    <n v="2"/>
    <n v="6"/>
    <n v="8"/>
  </r>
  <r>
    <x v="6"/>
    <x v="157"/>
    <d v="2026-07-16T00:00:00"/>
    <s v="2ND"/>
    <d v="1899-12-30T21:00:00"/>
    <n v="1"/>
    <x v="20"/>
    <n v="2.7799999999999998E-2"/>
    <s v="P"/>
    <s v="P"/>
    <s v="P"/>
    <s v="-"/>
    <s v="-"/>
    <n v="12.67"/>
    <s v="-"/>
    <s v="-"/>
    <s v="-"/>
    <s v="-"/>
    <s v="-"/>
    <s v="-"/>
    <s v="-"/>
    <s v="-"/>
    <s v="P"/>
    <s v="P"/>
    <s v="-"/>
    <n v="0"/>
    <n v="1"/>
    <n v="2"/>
    <n v="1"/>
    <s v="-"/>
    <s v="-"/>
    <s v="-"/>
    <s v="-"/>
    <s v="-"/>
    <s v="-"/>
    <s v="-"/>
    <n v="4"/>
    <n v="6"/>
    <s v="-"/>
    <n v="1"/>
    <n v="1"/>
    <n v="2"/>
    <n v="2"/>
    <n v="6"/>
    <n v="8"/>
  </r>
  <r>
    <x v="6"/>
    <x v="157"/>
    <d v="1902-03-25T00:00:00"/>
    <s v="2ND"/>
    <d v="1899-12-30T14:00:00"/>
    <n v="2"/>
    <x v="20"/>
    <n v="1.8800000000000001E-2"/>
    <s v="P"/>
    <s v="P"/>
    <s v="P"/>
    <s v="-"/>
    <s v="-"/>
    <n v="11.84"/>
    <s v="-"/>
    <s v="-"/>
    <s v="-"/>
    <s v="-"/>
    <s v="-"/>
    <s v="-"/>
    <s v="-"/>
    <s v="-"/>
    <s v="P"/>
    <s v="P"/>
    <s v="-"/>
    <n v="2"/>
    <n v="1"/>
    <n v="2"/>
    <n v="1"/>
    <s v="-"/>
    <s v="-"/>
    <s v="-"/>
    <s v="-"/>
    <s v="-"/>
    <s v="-"/>
    <s v="-"/>
    <n v="6"/>
    <n v="6"/>
    <s v="-"/>
    <n v="1"/>
    <n v="1"/>
    <n v="2"/>
    <n v="2"/>
    <n v="8"/>
    <n v="8"/>
  </r>
  <r>
    <x v="6"/>
    <x v="157"/>
    <d v="1899-12-30T00:00:00"/>
    <s v="2ND"/>
    <d v="1899-12-30T15:00:00"/>
    <n v="2"/>
    <x v="20"/>
    <n v="1.9800000000000002E-2"/>
    <s v="P"/>
    <s v="P"/>
    <s v="P"/>
    <s v="-"/>
    <s v="-"/>
    <n v="12.62"/>
    <s v="-"/>
    <s v="-"/>
    <s v="-"/>
    <s v="-"/>
    <s v="-"/>
    <s v="-"/>
    <s v="-"/>
    <s v="-"/>
    <s v="P"/>
    <s v="P"/>
    <s v="-"/>
    <n v="2"/>
    <n v="1"/>
    <n v="2"/>
    <n v="1"/>
    <s v="-"/>
    <s v="-"/>
    <s v="-"/>
    <s v="-"/>
    <s v="-"/>
    <s v="-"/>
    <s v="-"/>
    <n v="6"/>
    <n v="6"/>
    <s v="-"/>
    <n v="1"/>
    <n v="1"/>
    <n v="2"/>
    <n v="2"/>
    <n v="8"/>
    <n v="8"/>
  </r>
  <r>
    <x v="6"/>
    <x v="157"/>
    <d v="1899-12-30T00:00:00"/>
    <s v="2ND"/>
    <d v="1899-12-30T16:00:00"/>
    <n v="2"/>
    <x v="20"/>
    <n v="1.8499999999999999E-2"/>
    <s v="P"/>
    <s v="P"/>
    <s v="P"/>
    <s v="-"/>
    <s v="-"/>
    <n v="13.08"/>
    <s v="-"/>
    <s v="-"/>
    <s v="-"/>
    <s v="-"/>
    <s v="-"/>
    <s v="-"/>
    <s v="-"/>
    <s v="-"/>
    <s v="P"/>
    <s v="P"/>
    <s v="-"/>
    <n v="2"/>
    <n v="1"/>
    <n v="2"/>
    <n v="1"/>
    <s v="-"/>
    <s v="-"/>
    <s v="-"/>
    <s v="-"/>
    <s v="-"/>
    <s v="-"/>
    <s v="-"/>
    <n v="6"/>
    <n v="6"/>
    <s v="-"/>
    <n v="1"/>
    <n v="1"/>
    <n v="2"/>
    <n v="2"/>
    <n v="8"/>
    <n v="8"/>
  </r>
  <r>
    <x v="6"/>
    <x v="157"/>
    <d v="1899-12-30T00:00:00"/>
    <s v="2ND"/>
    <d v="1899-12-30T17:00:00"/>
    <n v="2"/>
    <x v="20"/>
    <n v="1.9099999999999999E-2"/>
    <s v="P"/>
    <s v="P"/>
    <s v="P"/>
    <s v="-"/>
    <s v="-"/>
    <n v="12.69"/>
    <s v="-"/>
    <s v="-"/>
    <s v="-"/>
    <s v="-"/>
    <s v="-"/>
    <s v="-"/>
    <s v="-"/>
    <s v="-"/>
    <s v="P"/>
    <s v="P"/>
    <s v="-"/>
    <n v="2"/>
    <n v="1"/>
    <n v="2"/>
    <n v="1"/>
    <s v="-"/>
    <s v="-"/>
    <s v="-"/>
    <s v="-"/>
    <s v="-"/>
    <s v="-"/>
    <s v="-"/>
    <n v="6"/>
    <n v="6"/>
    <s v="-"/>
    <n v="1"/>
    <n v="1"/>
    <n v="2"/>
    <n v="2"/>
    <n v="8"/>
    <n v="8"/>
  </r>
  <r>
    <x v="6"/>
    <x v="157"/>
    <d v="1899-12-30T00:00:00"/>
    <s v="2ND"/>
    <d v="1899-12-30T18:00:00"/>
    <n v="2"/>
    <x v="20"/>
    <n v="2.4299999999999999E-2"/>
    <s v="P"/>
    <s v="P"/>
    <s v="P"/>
    <s v="-"/>
    <s v="-"/>
    <n v="12.91"/>
    <s v="-"/>
    <s v="-"/>
    <s v="-"/>
    <s v="-"/>
    <s v="-"/>
    <s v="-"/>
    <s v="-"/>
    <s v="-"/>
    <s v="P"/>
    <s v="P"/>
    <s v="-"/>
    <n v="0"/>
    <n v="1"/>
    <n v="2"/>
    <n v="1"/>
    <s v="-"/>
    <s v="-"/>
    <s v="-"/>
    <s v="-"/>
    <s v="-"/>
    <s v="-"/>
    <s v="-"/>
    <n v="4"/>
    <n v="6"/>
    <s v="-"/>
    <n v="1"/>
    <n v="1"/>
    <n v="2"/>
    <n v="2"/>
    <n v="6"/>
    <n v="8"/>
  </r>
  <r>
    <x v="6"/>
    <x v="157"/>
    <d v="1899-12-30T00:00:00"/>
    <s v="2ND"/>
    <d v="1899-12-30T19:00:00"/>
    <n v="2"/>
    <x v="20"/>
    <n v="3.5499999999999997E-2"/>
    <s v="P"/>
    <s v="P"/>
    <s v="P"/>
    <s v="-"/>
    <s v="-"/>
    <n v="12.97"/>
    <s v="-"/>
    <s v="-"/>
    <s v="-"/>
    <s v="-"/>
    <s v="-"/>
    <s v="-"/>
    <s v="-"/>
    <s v="-"/>
    <s v="P"/>
    <s v="P"/>
    <s v="-"/>
    <n v="0"/>
    <n v="1"/>
    <n v="2"/>
    <n v="1"/>
    <s v="-"/>
    <s v="-"/>
    <s v="-"/>
    <s v="-"/>
    <s v="-"/>
    <s v="-"/>
    <s v="-"/>
    <n v="4"/>
    <n v="6"/>
    <s v="-"/>
    <n v="1"/>
    <n v="1"/>
    <n v="2"/>
    <n v="2"/>
    <n v="6"/>
    <n v="8"/>
  </r>
  <r>
    <x v="6"/>
    <x v="157"/>
    <d v="1899-12-30T00:00:00"/>
    <s v="2ND"/>
    <d v="1899-12-30T20:00:00"/>
    <n v="2"/>
    <x v="20"/>
    <n v="2.3099999999999999E-2"/>
    <s v="P"/>
    <s v="P"/>
    <s v="P"/>
    <s v="-"/>
    <s v="-"/>
    <n v="13.05"/>
    <s v="-"/>
    <s v="-"/>
    <s v="-"/>
    <s v="-"/>
    <s v="-"/>
    <s v="-"/>
    <s v="-"/>
    <s v="-"/>
    <s v="P"/>
    <s v="P"/>
    <s v="-"/>
    <n v="0"/>
    <n v="1"/>
    <n v="2"/>
    <n v="1"/>
    <s v="-"/>
    <s v="-"/>
    <s v="-"/>
    <s v="-"/>
    <s v="-"/>
    <s v="-"/>
    <s v="-"/>
    <n v="4"/>
    <n v="6"/>
    <s v="-"/>
    <n v="1"/>
    <n v="1"/>
    <n v="2"/>
    <n v="2"/>
    <n v="6"/>
    <n v="8"/>
  </r>
  <r>
    <x v="6"/>
    <x v="157"/>
    <d v="1899-12-30T00:00:00"/>
    <s v="2ND"/>
    <d v="1899-12-30T21:00:00"/>
    <n v="2"/>
    <x v="20"/>
    <n v="3.3399999999999999E-2"/>
    <s v="P"/>
    <s v="P"/>
    <s v="P"/>
    <s v="-"/>
    <s v="-"/>
    <n v="12.78"/>
    <s v="-"/>
    <s v="-"/>
    <s v="-"/>
    <s v="-"/>
    <s v="-"/>
    <s v="-"/>
    <s v="-"/>
    <s v="-"/>
    <s v="P"/>
    <s v="P"/>
    <s v="-"/>
    <n v="0"/>
    <n v="1"/>
    <n v="2"/>
    <n v="1"/>
    <s v="-"/>
    <s v="-"/>
    <s v="-"/>
    <s v="-"/>
    <s v="-"/>
    <s v="-"/>
    <s v="-"/>
    <n v="4"/>
    <n v="6"/>
    <s v="-"/>
    <n v="1"/>
    <n v="1"/>
    <n v="2"/>
    <n v="2"/>
    <n v="6"/>
    <n v="8"/>
  </r>
  <r>
    <x v="6"/>
    <x v="157"/>
    <d v="2026-07-21T00:00:00"/>
    <s v="2ND"/>
    <d v="1899-12-30T14:00:00"/>
    <n v="3"/>
    <x v="8"/>
    <n v="1.12E-2"/>
    <s v="P"/>
    <s v="P"/>
    <s v="P"/>
    <s v="+"/>
    <s v="+"/>
    <n v="13.16"/>
    <n v="13.03"/>
    <n v="0.6"/>
    <s v="-"/>
    <s v="-"/>
    <s v="-"/>
    <n v="36.32"/>
    <s v="-"/>
    <s v="-"/>
    <s v="P"/>
    <s v="P"/>
    <s v="-"/>
    <n v="2"/>
    <n v="1"/>
    <n v="2"/>
    <n v="1"/>
    <n v="1"/>
    <n v="2"/>
    <s v="-"/>
    <s v="-"/>
    <s v="-"/>
    <s v="-"/>
    <s v="-"/>
    <n v="9"/>
    <n v="9"/>
    <s v="-"/>
    <n v="1"/>
    <n v="1"/>
    <n v="2"/>
    <n v="2"/>
    <n v="11"/>
    <n v="11"/>
  </r>
  <r>
    <x v="6"/>
    <x v="157"/>
    <d v="2026-07-21T00:00:00"/>
    <s v="2ND"/>
    <d v="1899-12-30T15:00:00"/>
    <n v="3"/>
    <x v="8"/>
    <n v="6.4999999999999997E-3"/>
    <s v="P"/>
    <s v="P"/>
    <s v="P"/>
    <s v="+"/>
    <s v="+"/>
    <n v="13.06"/>
    <s v="-"/>
    <s v="-"/>
    <s v="-"/>
    <s v="-"/>
    <s v="-"/>
    <s v="-"/>
    <s v="-"/>
    <s v="-"/>
    <s v="P"/>
    <s v="P"/>
    <n v="1"/>
    <n v="2"/>
    <n v="1"/>
    <n v="2"/>
    <n v="1"/>
    <s v="-"/>
    <s v="-"/>
    <s v="-"/>
    <s v="-"/>
    <s v="-"/>
    <s v="-"/>
    <s v="-"/>
    <n v="6"/>
    <n v="6"/>
    <s v="-"/>
    <n v="1"/>
    <n v="1"/>
    <n v="2"/>
    <n v="2"/>
    <n v="8"/>
    <n v="8"/>
  </r>
  <r>
    <x v="6"/>
    <x v="157"/>
    <d v="2026-07-21T00:00:00"/>
    <s v="2ND"/>
    <d v="1899-12-30T16:00:00"/>
    <n v="3"/>
    <x v="8"/>
    <n v="2.8E-3"/>
    <s v="P"/>
    <s v="P"/>
    <s v="P"/>
    <s v="+"/>
    <s v="+"/>
    <n v="12.19"/>
    <s v="-"/>
    <s v="-"/>
    <s v="-"/>
    <s v="-"/>
    <s v="-"/>
    <s v="-"/>
    <s v="-"/>
    <s v="-"/>
    <s v="P"/>
    <s v="P"/>
    <s v="-"/>
    <n v="2"/>
    <n v="1"/>
    <n v="2"/>
    <n v="1"/>
    <s v="-"/>
    <s v="-"/>
    <s v="-"/>
    <s v="-"/>
    <s v="-"/>
    <s v="-"/>
    <s v="-"/>
    <n v="6"/>
    <n v="6"/>
    <s v="-"/>
    <n v="1"/>
    <n v="1"/>
    <n v="2"/>
    <n v="2"/>
    <n v="8"/>
    <n v="8"/>
  </r>
  <r>
    <x v="6"/>
    <x v="157"/>
    <d v="2026-07-21T00:00:00"/>
    <s v="2ND"/>
    <d v="1899-12-30T17:00:00"/>
    <n v="3"/>
    <x v="8"/>
    <n v="1.12E-2"/>
    <s v="P"/>
    <s v="P"/>
    <s v="P"/>
    <s v="+"/>
    <s v="+"/>
    <n v="12.53"/>
    <s v="-"/>
    <s v="-"/>
    <s v="-"/>
    <s v="-"/>
    <s v="-"/>
    <s v="-"/>
    <s v="-"/>
    <s v="-"/>
    <s v="P"/>
    <s v="P"/>
    <s v="-"/>
    <n v="2"/>
    <n v="1"/>
    <n v="2"/>
    <n v="1"/>
    <s v="-"/>
    <s v="-"/>
    <s v="-"/>
    <s v="-"/>
    <s v="-"/>
    <s v="-"/>
    <s v="-"/>
    <n v="6"/>
    <n v="6"/>
    <s v="-"/>
    <n v="1"/>
    <n v="1"/>
    <n v="2"/>
    <n v="2"/>
    <n v="8"/>
    <n v="8"/>
  </r>
  <r>
    <x v="6"/>
    <x v="157"/>
    <d v="2026-07-21T00:00:00"/>
    <s v="2ND"/>
    <d v="1899-12-30T18:00:00"/>
    <n v="3"/>
    <x v="8"/>
    <n v="9.4000000000000004E-3"/>
    <s v="P"/>
    <s v="P"/>
    <s v="P"/>
    <s v="+"/>
    <s v="+"/>
    <n v="12.53"/>
    <s v="-"/>
    <s v="-"/>
    <s v="-"/>
    <s v="-"/>
    <s v="-"/>
    <s v="-"/>
    <s v="-"/>
    <s v="-"/>
    <s v="P"/>
    <s v="P"/>
    <s v="-"/>
    <n v="2"/>
    <n v="1"/>
    <n v="2"/>
    <n v="1"/>
    <s v="-"/>
    <s v="-"/>
    <s v="-"/>
    <s v="-"/>
    <s v="-"/>
    <s v="-"/>
    <s v="-"/>
    <n v="6"/>
    <n v="6"/>
    <s v="-"/>
    <n v="1"/>
    <n v="1"/>
    <n v="2"/>
    <n v="2"/>
    <n v="8"/>
    <n v="8"/>
  </r>
  <r>
    <x v="6"/>
    <x v="157"/>
    <d v="2026-07-21T00:00:00"/>
    <s v="2ND"/>
    <d v="1899-12-30T20:00:00"/>
    <n v="3"/>
    <x v="8"/>
    <n v="1.12E-2"/>
    <s v="P"/>
    <s v="P"/>
    <s v="P"/>
    <s v="+"/>
    <s v="+"/>
    <n v="12.56"/>
    <s v="-"/>
    <s v="-"/>
    <s v="-"/>
    <s v="-"/>
    <s v="-"/>
    <s v="-"/>
    <s v="-"/>
    <s v="-"/>
    <s v="P"/>
    <s v="P"/>
    <s v="-"/>
    <n v="2"/>
    <n v="1"/>
    <n v="2"/>
    <n v="1"/>
    <s v="-"/>
    <s v="-"/>
    <s v="-"/>
    <s v="-"/>
    <s v="-"/>
    <s v="-"/>
    <s v="-"/>
    <n v="6"/>
    <n v="6"/>
    <s v="-"/>
    <n v="1"/>
    <n v="1"/>
    <n v="2"/>
    <n v="2"/>
    <n v="8"/>
    <n v="8"/>
  </r>
  <r>
    <x v="6"/>
    <x v="157"/>
    <d v="1899-12-30T00:00:00"/>
    <s v="2ND"/>
    <d v="1899-12-30T14:00:00"/>
    <s v="Retail"/>
    <x v="9"/>
    <s v="-"/>
    <s v="-"/>
    <s v="-"/>
    <s v="-"/>
    <s v="-"/>
    <s v="-"/>
    <n v="9.9600000000000009"/>
    <s v="-"/>
    <s v="-"/>
    <s v="-"/>
    <s v="-"/>
    <s v="-"/>
    <s v="-"/>
    <s v="-"/>
    <s v="-"/>
    <s v="-"/>
    <s v="-"/>
    <s v="-"/>
    <s v="-"/>
    <s v="-"/>
    <s v="-"/>
    <n v="0"/>
    <s v="-"/>
    <s v="-"/>
    <s v="-"/>
    <s v="-"/>
    <s v="-"/>
    <s v="-"/>
    <s v="-"/>
    <n v="0"/>
    <n v="1"/>
    <s v="-"/>
    <s v="-"/>
    <s v="-"/>
    <n v="0"/>
    <n v="0"/>
    <n v="0"/>
    <n v="1"/>
  </r>
  <r>
    <x v="6"/>
    <x v="157"/>
    <d v="2026-07-16T00:00:00"/>
    <s v="3RD"/>
    <d v="1899-12-30T22:00:00"/>
    <n v="1"/>
    <x v="20"/>
    <n v="3.5299999999999998E-2"/>
    <s v="P"/>
    <s v="P"/>
    <s v="P"/>
    <s v="-"/>
    <s v="-"/>
    <n v="12.62"/>
    <n v="13.02"/>
    <s v="-"/>
    <s v="-"/>
    <s v="-"/>
    <s v="-"/>
    <n v="36.409999999999997"/>
    <s v="-"/>
    <s v="-"/>
    <s v="P"/>
    <s v="P"/>
    <s v="50% 20% 30% "/>
    <n v="0"/>
    <n v="1"/>
    <n v="2"/>
    <n v="1"/>
    <n v="1"/>
    <s v="-"/>
    <s v="-"/>
    <s v="-"/>
    <s v="-"/>
    <n v="2"/>
    <s v="-"/>
    <n v="7"/>
    <n v="9"/>
    <s v="-"/>
    <n v="1"/>
    <n v="1"/>
    <n v="2"/>
    <n v="2"/>
    <n v="9"/>
    <n v="11"/>
  </r>
  <r>
    <x v="6"/>
    <x v="157"/>
    <d v="2026-07-16T00:00:00"/>
    <s v="3RD"/>
    <d v="1899-12-30T23:00:00"/>
    <n v="1"/>
    <x v="20"/>
    <n v="2.0500000000000001E-2"/>
    <s v="P"/>
    <s v="P"/>
    <s v="P"/>
    <s v="-"/>
    <s v="-"/>
    <n v="12.68"/>
    <s v="-"/>
    <s v="-"/>
    <s v="-"/>
    <s v="-"/>
    <s v="-"/>
    <s v="-"/>
    <s v="-"/>
    <s v="-"/>
    <s v="P"/>
    <s v="P"/>
    <s v="-"/>
    <n v="0"/>
    <n v="1"/>
    <n v="2"/>
    <n v="1"/>
    <s v="-"/>
    <s v="-"/>
    <s v="-"/>
    <s v="-"/>
    <s v="-"/>
    <s v="-"/>
    <s v="-"/>
    <n v="4"/>
    <n v="6"/>
    <s v="-"/>
    <n v="1"/>
    <n v="1"/>
    <n v="2"/>
    <n v="2"/>
    <n v="6"/>
    <n v="8"/>
  </r>
  <r>
    <x v="6"/>
    <x v="157"/>
    <d v="2026-07-16T00:00:00"/>
    <s v="3RD"/>
    <d v="1899-12-31T00:00:00"/>
    <n v="1"/>
    <x v="20"/>
    <n v="1.66E-2"/>
    <s v="P"/>
    <s v="P"/>
    <s v="P"/>
    <s v="-"/>
    <s v="-"/>
    <n v="12.59"/>
    <s v="-"/>
    <s v="-"/>
    <s v="-"/>
    <s v="-"/>
    <s v="-"/>
    <s v="-"/>
    <s v="-"/>
    <s v="-"/>
    <s v="P"/>
    <s v="P"/>
    <s v="-"/>
    <n v="2"/>
    <n v="1"/>
    <n v="2"/>
    <n v="1"/>
    <s v="-"/>
    <s v="-"/>
    <s v="-"/>
    <s v="-"/>
    <s v="-"/>
    <s v="-"/>
    <s v="-"/>
    <n v="6"/>
    <n v="6"/>
    <s v="-"/>
    <n v="1"/>
    <n v="1"/>
    <n v="2"/>
    <n v="2"/>
    <n v="8"/>
    <n v="8"/>
  </r>
  <r>
    <x v="6"/>
    <x v="157"/>
    <d v="2026-07-16T00:00:00"/>
    <s v="3RD"/>
    <d v="1899-12-31T01:00:00"/>
    <n v="1"/>
    <x v="20"/>
    <n v="3.56E-2"/>
    <s v="P"/>
    <s v="P"/>
    <s v="P"/>
    <s v="-"/>
    <s v="-"/>
    <n v="12.45"/>
    <s v="-"/>
    <s v="-"/>
    <s v="-"/>
    <s v="-"/>
    <s v="-"/>
    <s v="-"/>
    <s v="-"/>
    <s v="-"/>
    <s v="P"/>
    <s v="P"/>
    <s v="-"/>
    <n v="0"/>
    <n v="1"/>
    <n v="2"/>
    <n v="1"/>
    <s v="-"/>
    <s v="-"/>
    <s v="-"/>
    <s v="-"/>
    <s v="-"/>
    <s v="-"/>
    <s v="-"/>
    <n v="4"/>
    <n v="6"/>
    <s v="-"/>
    <n v="1"/>
    <n v="1"/>
    <n v="2"/>
    <n v="2"/>
    <n v="6"/>
    <n v="8"/>
  </r>
  <r>
    <x v="6"/>
    <x v="157"/>
    <d v="2026-07-16T00:00:00"/>
    <s v="3RD"/>
    <d v="1899-12-31T02:00:00"/>
    <n v="1"/>
    <x v="20"/>
    <n v="2.4199999999999999E-2"/>
    <s v="P"/>
    <s v="P"/>
    <s v="P"/>
    <s v="-"/>
    <s v="-"/>
    <n v="12.6"/>
    <s v="-"/>
    <s v="-"/>
    <s v="-"/>
    <s v="-"/>
    <s v="-"/>
    <s v="-"/>
    <s v="-"/>
    <s v="-"/>
    <s v="P"/>
    <s v="P"/>
    <s v="-"/>
    <n v="0"/>
    <n v="1"/>
    <n v="2"/>
    <n v="1"/>
    <s v="-"/>
    <s v="-"/>
    <s v="-"/>
    <s v="-"/>
    <s v="-"/>
    <s v="-"/>
    <s v="-"/>
    <n v="4"/>
    <n v="6"/>
    <s v="-"/>
    <n v="1"/>
    <n v="1"/>
    <n v="2"/>
    <n v="2"/>
    <n v="6"/>
    <n v="8"/>
  </r>
  <r>
    <x v="6"/>
    <x v="157"/>
    <d v="2026-07-16T00:00:00"/>
    <s v="3RD"/>
    <d v="1899-12-31T03:00:00"/>
    <n v="1"/>
    <x v="20"/>
    <n v="2.1600000000000001E-2"/>
    <s v="P"/>
    <s v="P"/>
    <s v="P"/>
    <s v="-"/>
    <s v="-"/>
    <n v="12.26"/>
    <s v="-"/>
    <s v="-"/>
    <s v="-"/>
    <s v="-"/>
    <s v="-"/>
    <s v="-"/>
    <s v="-"/>
    <s v="-"/>
    <s v="P"/>
    <s v="P"/>
    <s v="-"/>
    <n v="0"/>
    <n v="1"/>
    <n v="2"/>
    <n v="1"/>
    <s v="-"/>
    <s v="-"/>
    <s v="-"/>
    <s v="-"/>
    <s v="-"/>
    <s v="-"/>
    <s v="-"/>
    <n v="4"/>
    <n v="6"/>
    <s v="-"/>
    <n v="1"/>
    <n v="1"/>
    <n v="2"/>
    <n v="2"/>
    <n v="6"/>
    <n v="8"/>
  </r>
  <r>
    <x v="6"/>
    <x v="157"/>
    <d v="2026-07-16T00:00:00"/>
    <s v="3RD"/>
    <d v="1899-12-31T04:00:00"/>
    <n v="1"/>
    <x v="20"/>
    <n v="7.6E-3"/>
    <s v="P"/>
    <s v="P"/>
    <s v="P"/>
    <s v="-"/>
    <s v="-"/>
    <n v="12.36"/>
    <s v="-"/>
    <s v="-"/>
    <s v="-"/>
    <s v="-"/>
    <s v="-"/>
    <s v="-"/>
    <s v="-"/>
    <s v="-"/>
    <s v="P"/>
    <s v="P"/>
    <s v="-"/>
    <n v="2"/>
    <n v="1"/>
    <n v="2"/>
    <n v="1"/>
    <s v="-"/>
    <s v="-"/>
    <s v="-"/>
    <s v="-"/>
    <s v="-"/>
    <s v="-"/>
    <s v="-"/>
    <n v="6"/>
    <n v="6"/>
    <s v="-"/>
    <n v="1"/>
    <n v="1"/>
    <n v="2"/>
    <n v="2"/>
    <n v="8"/>
    <n v="8"/>
  </r>
  <r>
    <x v="6"/>
    <x v="157"/>
    <d v="2026-07-16T00:00:00"/>
    <s v="3RD"/>
    <d v="1899-12-31T05:00:00"/>
    <n v="1"/>
    <x v="20"/>
    <n v="1.55E-2"/>
    <s v="P"/>
    <s v="P"/>
    <s v="P"/>
    <s v="-"/>
    <s v="-"/>
    <n v="12.26"/>
    <s v="-"/>
    <s v="-"/>
    <s v="-"/>
    <s v="-"/>
    <s v="-"/>
    <s v="-"/>
    <s v="-"/>
    <s v="-"/>
    <s v="P"/>
    <s v="P"/>
    <s v="-"/>
    <n v="2"/>
    <n v="1"/>
    <n v="2"/>
    <n v="1"/>
    <s v="-"/>
    <s v="-"/>
    <s v="-"/>
    <s v="-"/>
    <s v="-"/>
    <s v="-"/>
    <s v="-"/>
    <n v="6"/>
    <n v="6"/>
    <s v="-"/>
    <n v="1"/>
    <n v="1"/>
    <n v="2"/>
    <n v="2"/>
    <n v="8"/>
    <n v="8"/>
  </r>
  <r>
    <x v="6"/>
    <x v="157"/>
    <d v="1902-03-25T00:00:00"/>
    <s v="3RD"/>
    <d v="1899-12-30T22:00:00"/>
    <n v="2"/>
    <x v="20"/>
    <n v="3.2199999999999999E-2"/>
    <s v="P"/>
    <s v="P"/>
    <s v="P"/>
    <s v="-"/>
    <s v="-"/>
    <n v="12.87"/>
    <s v="-"/>
    <s v="-"/>
    <s v="-"/>
    <s v="-"/>
    <s v="-"/>
    <s v="-"/>
    <s v="-"/>
    <s v="-"/>
    <s v="P"/>
    <s v="P"/>
    <s v="-"/>
    <n v="0"/>
    <n v="1"/>
    <n v="2"/>
    <n v="1"/>
    <s v="-"/>
    <s v="-"/>
    <s v="-"/>
    <s v="-"/>
    <s v="-"/>
    <s v="-"/>
    <s v="-"/>
    <n v="4"/>
    <n v="6"/>
    <s v="-"/>
    <n v="1"/>
    <n v="1"/>
    <n v="2"/>
    <n v="2"/>
    <n v="6"/>
    <n v="8"/>
  </r>
  <r>
    <x v="6"/>
    <x v="157"/>
    <d v="1899-12-30T00:00:00"/>
    <s v="3RD"/>
    <d v="1899-12-31T00:00:00"/>
    <n v="2"/>
    <x v="20"/>
    <n v="3.5799999999999998E-2"/>
    <s v="P"/>
    <s v="P"/>
    <s v="P"/>
    <s v="-"/>
    <s v="-"/>
    <n v="13.07"/>
    <s v="-"/>
    <s v="-"/>
    <s v="-"/>
    <s v="-"/>
    <s v="-"/>
    <s v="-"/>
    <s v="-"/>
    <s v="-"/>
    <s v="P"/>
    <s v="P"/>
    <s v="-"/>
    <n v="0"/>
    <n v="1"/>
    <n v="2"/>
    <n v="1"/>
    <s v="-"/>
    <s v="-"/>
    <s v="-"/>
    <s v="-"/>
    <s v="-"/>
    <s v="-"/>
    <s v="-"/>
    <n v="4"/>
    <n v="6"/>
    <s v="-"/>
    <n v="1"/>
    <n v="1"/>
    <n v="2"/>
    <n v="2"/>
    <n v="6"/>
    <n v="8"/>
  </r>
  <r>
    <x v="6"/>
    <x v="157"/>
    <d v="1899-12-30T00:00:00"/>
    <s v="3RD"/>
    <d v="1899-12-31T01:00:00"/>
    <n v="2"/>
    <x v="20"/>
    <n v="2.4299999999999999E-2"/>
    <s v="P"/>
    <s v="P"/>
    <s v="P"/>
    <s v="-"/>
    <s v="-"/>
    <n v="12.7"/>
    <s v="-"/>
    <s v="-"/>
    <s v="-"/>
    <s v="-"/>
    <s v="-"/>
    <s v="-"/>
    <s v="-"/>
    <s v="-"/>
    <s v="P"/>
    <s v="P"/>
    <s v="-"/>
    <n v="0"/>
    <n v="1"/>
    <n v="2"/>
    <n v="1"/>
    <s v="-"/>
    <s v="-"/>
    <s v="-"/>
    <s v="-"/>
    <s v="-"/>
    <s v="-"/>
    <s v="-"/>
    <n v="4"/>
    <n v="6"/>
    <s v="-"/>
    <n v="1"/>
    <n v="1"/>
    <n v="2"/>
    <n v="2"/>
    <n v="6"/>
    <n v="8"/>
  </r>
  <r>
    <x v="6"/>
    <x v="157"/>
    <d v="1899-12-30T00:00:00"/>
    <s v="3RD"/>
    <d v="1899-12-31T02:00:00"/>
    <n v="2"/>
    <x v="20"/>
    <n v="2.0500000000000001E-2"/>
    <s v="P"/>
    <s v="P"/>
    <s v="P"/>
    <s v="-"/>
    <s v="-"/>
    <n v="12.99"/>
    <s v="-"/>
    <s v="-"/>
    <s v="-"/>
    <s v="-"/>
    <s v="-"/>
    <s v="-"/>
    <s v="-"/>
    <s v="-"/>
    <s v="P"/>
    <s v="P"/>
    <s v="-"/>
    <n v="0"/>
    <n v="1"/>
    <n v="2"/>
    <n v="1"/>
    <s v="-"/>
    <s v="-"/>
    <s v="-"/>
    <s v="-"/>
    <s v="-"/>
    <s v="-"/>
    <s v="-"/>
    <n v="4"/>
    <n v="6"/>
    <s v="-"/>
    <n v="1"/>
    <n v="1"/>
    <n v="2"/>
    <n v="2"/>
    <n v="6"/>
    <n v="8"/>
  </r>
  <r>
    <x v="6"/>
    <x v="157"/>
    <d v="1899-12-30T00:00:00"/>
    <s v="3RD"/>
    <d v="1899-12-31T03:00:00"/>
    <n v="2"/>
    <x v="20"/>
    <n v="2.8500000000000001E-2"/>
    <s v="P"/>
    <s v="P"/>
    <s v="P"/>
    <s v="-"/>
    <s v="-"/>
    <n v="13.14"/>
    <s v="-"/>
    <s v="-"/>
    <s v="-"/>
    <s v="-"/>
    <s v="-"/>
    <s v="-"/>
    <s v="-"/>
    <s v="-"/>
    <s v="P"/>
    <s v="P"/>
    <s v="-"/>
    <n v="0"/>
    <n v="1"/>
    <n v="2"/>
    <n v="1"/>
    <s v="-"/>
    <s v="-"/>
    <s v="-"/>
    <s v="-"/>
    <s v="-"/>
    <s v="-"/>
    <s v="-"/>
    <n v="4"/>
    <n v="6"/>
    <s v="-"/>
    <n v="1"/>
    <n v="1"/>
    <n v="2"/>
    <n v="2"/>
    <n v="6"/>
    <n v="8"/>
  </r>
  <r>
    <x v="6"/>
    <x v="157"/>
    <d v="2026-07-17T00:00:00"/>
    <s v="3RD"/>
    <d v="1899-12-30T22:00:00"/>
    <n v="3"/>
    <x v="1"/>
    <n v="1.5100000000000001E-2"/>
    <s v="P"/>
    <s v="P"/>
    <s v="P"/>
    <s v="+"/>
    <s v="+"/>
    <n v="11.92"/>
    <n v="13.08"/>
    <n v="0.6"/>
    <n v="65"/>
    <s v="-"/>
    <s v="-"/>
    <n v="36.82"/>
    <s v="-"/>
    <s v="-"/>
    <s v="P"/>
    <s v="P"/>
    <s v="-"/>
    <n v="2"/>
    <n v="1"/>
    <n v="2"/>
    <n v="0"/>
    <n v="1"/>
    <n v="2"/>
    <n v="2"/>
    <s v="-"/>
    <s v="-"/>
    <n v="2"/>
    <s v="-"/>
    <n v="12"/>
    <n v="13"/>
    <s v="-"/>
    <n v="1"/>
    <n v="1"/>
    <n v="2"/>
    <n v="2"/>
    <n v="14"/>
    <n v="15"/>
  </r>
  <r>
    <x v="6"/>
    <x v="157"/>
    <d v="2026-07-17T00:00:00"/>
    <s v="3RD"/>
    <d v="1899-12-31T00:00:00"/>
    <n v="3"/>
    <x v="1"/>
    <n v="1.5699999999999999E-2"/>
    <s v="P"/>
    <s v="P"/>
    <s v="P"/>
    <s v="+"/>
    <s v="+"/>
    <n v="11.96"/>
    <s v="-"/>
    <s v="-"/>
    <s v="-"/>
    <s v="-"/>
    <s v="-"/>
    <s v="-"/>
    <s v="-"/>
    <s v="-"/>
    <s v="P"/>
    <s v="P"/>
    <s v="-"/>
    <n v="2"/>
    <n v="1"/>
    <n v="2"/>
    <n v="0"/>
    <s v="-"/>
    <s v="-"/>
    <s v="-"/>
    <s v="-"/>
    <s v="-"/>
    <s v="-"/>
    <s v="-"/>
    <n v="5"/>
    <n v="6"/>
    <s v="-"/>
    <n v="1"/>
    <n v="1"/>
    <n v="2"/>
    <n v="2"/>
    <n v="7"/>
    <n v="8"/>
  </r>
  <r>
    <x v="6"/>
    <x v="157"/>
    <d v="2026-07-17T00:00:00"/>
    <s v="3RD"/>
    <d v="1899-12-31T01:00:00"/>
    <n v="3"/>
    <x v="1"/>
    <n v="1.6299999999999999E-2"/>
    <s v="P"/>
    <s v="P"/>
    <s v="P"/>
    <s v="+"/>
    <s v="+"/>
    <n v="12.25"/>
    <s v="-"/>
    <s v="-"/>
    <s v="-"/>
    <s v="-"/>
    <s v="-"/>
    <s v="-"/>
    <s v="-"/>
    <s v="-"/>
    <s v="P"/>
    <s v="P"/>
    <s v="-"/>
    <n v="2"/>
    <n v="1"/>
    <n v="2"/>
    <n v="1"/>
    <s v="-"/>
    <s v="-"/>
    <s v="-"/>
    <s v="-"/>
    <s v="-"/>
    <s v="-"/>
    <s v="-"/>
    <n v="6"/>
    <n v="6"/>
    <s v="-"/>
    <n v="1"/>
    <n v="1"/>
    <n v="2"/>
    <n v="2"/>
    <n v="8"/>
    <n v="8"/>
  </r>
  <r>
    <x v="6"/>
    <x v="157"/>
    <d v="2026-07-17T00:00:00"/>
    <s v="3RD"/>
    <d v="1899-12-31T02:00:00"/>
    <n v="3"/>
    <x v="1"/>
    <n v="1.1599999999999999E-2"/>
    <s v="P"/>
    <s v="P"/>
    <s v="P"/>
    <s v="+"/>
    <s v="+"/>
    <n v="12.25"/>
    <s v="-"/>
    <s v="-"/>
    <s v="-"/>
    <s v="-"/>
    <s v="-"/>
    <s v="-"/>
    <s v="-"/>
    <s v="-"/>
    <s v="P"/>
    <s v="P"/>
    <s v="-"/>
    <n v="2"/>
    <n v="1"/>
    <n v="2"/>
    <n v="1"/>
    <s v="-"/>
    <s v="-"/>
    <s v="-"/>
    <s v="-"/>
    <s v="-"/>
    <s v="-"/>
    <s v="-"/>
    <n v="6"/>
    <n v="6"/>
    <s v="-"/>
    <n v="1"/>
    <n v="1"/>
    <n v="2"/>
    <n v="2"/>
    <n v="8"/>
    <n v="8"/>
  </r>
  <r>
    <x v="6"/>
    <x v="157"/>
    <d v="2026-07-17T00:00:00"/>
    <s v="3RD"/>
    <d v="1899-12-31T04:00:00"/>
    <n v="3"/>
    <x v="1"/>
    <n v="1.6299999999999999E-2"/>
    <s v="P"/>
    <s v="P"/>
    <s v="P"/>
    <s v="+"/>
    <s v="+"/>
    <n v="11.87"/>
    <s v="-"/>
    <s v="-"/>
    <s v="-"/>
    <s v="-"/>
    <s v="-"/>
    <s v="-"/>
    <s v="-"/>
    <s v="-"/>
    <s v="P"/>
    <s v="P"/>
    <s v="-"/>
    <n v="2"/>
    <n v="1"/>
    <n v="2"/>
    <n v="0"/>
    <s v="-"/>
    <s v="-"/>
    <s v="-"/>
    <s v="-"/>
    <s v="-"/>
    <s v="-"/>
    <s v="-"/>
    <n v="5"/>
    <n v="6"/>
    <s v="-"/>
    <n v="1"/>
    <n v="1"/>
    <n v="2"/>
    <n v="2"/>
    <n v="7"/>
    <n v="8"/>
  </r>
  <r>
    <x v="6"/>
    <x v="157"/>
    <d v="2026-07-17T00:00:00"/>
    <s v="3RD"/>
    <d v="1899-12-31T05:00:00"/>
    <n v="3"/>
    <x v="1"/>
    <n v="1.0800000000000001E-2"/>
    <s v="P"/>
    <s v="P"/>
    <s v="P"/>
    <s v="+"/>
    <s v="+"/>
    <n v="11.83"/>
    <s v="-"/>
    <s v="-"/>
    <s v="-"/>
    <s v="-"/>
    <s v="-"/>
    <s v="-"/>
    <s v="-"/>
    <s v="-"/>
    <s v="P"/>
    <s v="P"/>
    <s v="-"/>
    <n v="2"/>
    <n v="1"/>
    <n v="2"/>
    <n v="0"/>
    <s v="-"/>
    <s v="-"/>
    <s v="-"/>
    <s v="-"/>
    <s v="-"/>
    <s v="-"/>
    <s v="-"/>
    <n v="5"/>
    <n v="6"/>
    <s v="-"/>
    <n v="1"/>
    <n v="1"/>
    <n v="2"/>
    <n v="2"/>
    <n v="7"/>
    <n v="8"/>
  </r>
  <r>
    <x v="6"/>
    <x v="158"/>
    <d v="1902-03-26T00:00:00"/>
    <s v="1ST"/>
    <s v="07:00"/>
    <n v="2"/>
    <x v="5"/>
    <n v="3.2000000000000002E-3"/>
    <s v="P"/>
    <s v="P"/>
    <s v="P"/>
    <s v="-"/>
    <s v="+"/>
    <n v="10.94"/>
    <n v="8.9"/>
    <n v="0.53"/>
    <n v="56.9"/>
    <s v="-"/>
    <s v="-"/>
    <n v="24.16"/>
    <s v="-"/>
    <s v="-"/>
    <s v="P"/>
    <s v="P"/>
    <s v="-"/>
    <n v="2"/>
    <n v="1"/>
    <n v="2"/>
    <n v="0"/>
    <n v="1"/>
    <n v="2"/>
    <n v="2"/>
    <s v="-"/>
    <s v="-"/>
    <n v="2"/>
    <s v="-"/>
    <n v="12"/>
    <n v="13"/>
    <s v="-"/>
    <n v="1"/>
    <n v="1"/>
    <n v="2"/>
    <n v="2"/>
    <n v="14"/>
    <n v="15"/>
  </r>
  <r>
    <x v="6"/>
    <x v="158"/>
    <d v="1899-12-30T00:00:00"/>
    <s v="1ST"/>
    <s v="08:00"/>
    <n v="2"/>
    <x v="5"/>
    <n v="6.9999999999999999E-4"/>
    <s v="P"/>
    <s v="P"/>
    <s v="P"/>
    <s v="-"/>
    <s v="+"/>
    <n v="11.01"/>
    <s v="-"/>
    <s v="-"/>
    <s v="-"/>
    <s v="-"/>
    <s v="-"/>
    <s v="-"/>
    <s v="-"/>
    <s v="-"/>
    <s v="P"/>
    <s v="P"/>
    <s v="-"/>
    <n v="2"/>
    <n v="1"/>
    <n v="2"/>
    <n v="1"/>
    <s v="-"/>
    <s v="-"/>
    <s v="-"/>
    <s v="-"/>
    <s v="-"/>
    <s v="-"/>
    <s v="-"/>
    <n v="6"/>
    <n v="6"/>
    <s v="-"/>
    <n v="1"/>
    <n v="1"/>
    <n v="2"/>
    <n v="2"/>
    <n v="8"/>
    <n v="8"/>
  </r>
  <r>
    <x v="6"/>
    <x v="158"/>
    <d v="1899-12-30T00:00:00"/>
    <s v="1ST"/>
    <s v="09:00"/>
    <n v="2"/>
    <x v="5"/>
    <n v="1.1000000000000001E-3"/>
    <s v="P"/>
    <s v="P"/>
    <s v="P"/>
    <s v="-"/>
    <s v="+"/>
    <n v="11.18"/>
    <s v="-"/>
    <s v="-"/>
    <s v="-"/>
    <s v="-"/>
    <s v="-"/>
    <s v="-"/>
    <s v="-"/>
    <s v="-"/>
    <s v="P"/>
    <s v="P"/>
    <s v="-"/>
    <n v="2"/>
    <n v="1"/>
    <n v="2"/>
    <n v="1"/>
    <s v="-"/>
    <s v="-"/>
    <s v="-"/>
    <s v="-"/>
    <s v="-"/>
    <s v="-"/>
    <s v="-"/>
    <n v="6"/>
    <n v="6"/>
    <s v="-"/>
    <n v="1"/>
    <n v="1"/>
    <n v="2"/>
    <n v="2"/>
    <n v="8"/>
    <n v="8"/>
  </r>
  <r>
    <x v="6"/>
    <x v="158"/>
    <d v="1899-12-30T00:00:00"/>
    <s v="1ST"/>
    <s v="10:00"/>
    <n v="2"/>
    <x v="5"/>
    <n v="1.8E-3"/>
    <s v="P"/>
    <s v="P"/>
    <s v="P"/>
    <s v="-"/>
    <s v="+"/>
    <n v="11.13"/>
    <s v="-"/>
    <s v="-"/>
    <s v="-"/>
    <s v="-"/>
    <s v="-"/>
    <s v="-"/>
    <s v="-"/>
    <s v="-"/>
    <s v="P"/>
    <s v="P"/>
    <s v="-"/>
    <n v="2"/>
    <n v="1"/>
    <n v="2"/>
    <n v="1"/>
    <s v="-"/>
    <s v="-"/>
    <s v="-"/>
    <s v="-"/>
    <s v="-"/>
    <s v="-"/>
    <s v="-"/>
    <n v="6"/>
    <n v="6"/>
    <s v="-"/>
    <n v="1"/>
    <n v="1"/>
    <n v="2"/>
    <n v="2"/>
    <n v="8"/>
    <n v="8"/>
  </r>
  <r>
    <x v="6"/>
    <x v="158"/>
    <d v="1899-12-30T00:00:00"/>
    <s v="1ST"/>
    <s v="11:00"/>
    <n v="2"/>
    <x v="5"/>
    <n v="6.0000000000000001E-3"/>
    <s v="P"/>
    <s v="P"/>
    <s v="P"/>
    <s v="-"/>
    <s v="+"/>
    <n v="10.87"/>
    <s v="-"/>
    <s v="-"/>
    <s v="-"/>
    <s v="-"/>
    <s v="-"/>
    <s v="-"/>
    <s v="-"/>
    <s v="-"/>
    <s v="P"/>
    <s v="P"/>
    <s v="-"/>
    <n v="2"/>
    <n v="1"/>
    <n v="2"/>
    <n v="0"/>
    <s v="-"/>
    <s v="-"/>
    <s v="-"/>
    <s v="-"/>
    <s v="-"/>
    <s v="-"/>
    <s v="-"/>
    <n v="5"/>
    <n v="6"/>
    <s v="-"/>
    <n v="1"/>
    <n v="1"/>
    <n v="2"/>
    <n v="2"/>
    <n v="7"/>
    <n v="8"/>
  </r>
  <r>
    <x v="6"/>
    <x v="158"/>
    <d v="1899-12-30T00:00:00"/>
    <s v="1ST"/>
    <s v="12:00"/>
    <n v="2"/>
    <x v="4"/>
    <n v="3.3E-3"/>
    <s v="P"/>
    <s v="P"/>
    <s v="P"/>
    <s v="-"/>
    <s v="+"/>
    <n v="11.05"/>
    <s v="-"/>
    <s v="-"/>
    <s v="-"/>
    <s v="-"/>
    <s v="-"/>
    <s v="-"/>
    <s v="-"/>
    <s v="-"/>
    <s v="P"/>
    <s v="P"/>
    <s v="-"/>
    <n v="2"/>
    <n v="1"/>
    <n v="2"/>
    <n v="1"/>
    <s v="-"/>
    <s v="-"/>
    <s v="-"/>
    <s v="-"/>
    <s v="-"/>
    <s v="-"/>
    <s v="-"/>
    <n v="6"/>
    <n v="6"/>
    <s v="-"/>
    <n v="1"/>
    <n v="1"/>
    <n v="2"/>
    <n v="2"/>
    <n v="8"/>
    <n v="8"/>
  </r>
  <r>
    <x v="6"/>
    <x v="158"/>
    <d v="1899-12-30T00:00:00"/>
    <s v="1ST"/>
    <s v="13:00"/>
    <n v="2"/>
    <x v="4"/>
    <n v="5.1999999999999998E-3"/>
    <s v="P"/>
    <s v="P"/>
    <s v="P"/>
    <s v="-"/>
    <s v="+"/>
    <n v="11.33"/>
    <s v="-"/>
    <s v="-"/>
    <s v="-"/>
    <s v="-"/>
    <s v="-"/>
    <s v="-"/>
    <s v="-"/>
    <s v="-"/>
    <s v="P"/>
    <s v="P"/>
    <s v="-"/>
    <n v="2"/>
    <n v="1"/>
    <n v="2"/>
    <n v="1"/>
    <s v="-"/>
    <s v="-"/>
    <s v="-"/>
    <s v="-"/>
    <s v="-"/>
    <s v="-"/>
    <s v="-"/>
    <n v="6"/>
    <n v="6"/>
    <s v="-"/>
    <n v="1"/>
    <n v="1"/>
    <n v="2"/>
    <n v="2"/>
    <n v="8"/>
    <n v="8"/>
  </r>
  <r>
    <x v="6"/>
    <x v="158"/>
    <d v="2026-07-17T00:00:00"/>
    <s v="1ST"/>
    <s v="06:00"/>
    <n v="3"/>
    <x v="0"/>
    <n v="9.4999999999999998E-3"/>
    <s v="P"/>
    <s v="P"/>
    <s v="P"/>
    <s v="+"/>
    <s v="+"/>
    <n v="11.75"/>
    <n v="13.01"/>
    <n v="0.56000000000000005"/>
    <n v="64.8"/>
    <s v="-"/>
    <s v="-"/>
    <n v="36.71"/>
    <s v="-"/>
    <s v="-"/>
    <s v="P"/>
    <s v="P"/>
    <s v="-"/>
    <n v="2"/>
    <n v="1"/>
    <n v="2"/>
    <n v="0"/>
    <n v="1"/>
    <n v="2"/>
    <n v="2"/>
    <s v="-"/>
    <s v="-"/>
    <n v="2"/>
    <s v="-"/>
    <n v="12"/>
    <n v="13"/>
    <s v="-"/>
    <n v="1"/>
    <n v="1"/>
    <n v="2"/>
    <n v="2"/>
    <n v="14"/>
    <n v="15"/>
  </r>
  <r>
    <x v="6"/>
    <x v="158"/>
    <d v="2026-07-17T00:00:00"/>
    <s v="1ST"/>
    <s v="07:00"/>
    <n v="3"/>
    <x v="0"/>
    <n v="1.0200000000000001E-2"/>
    <s v="P"/>
    <s v="P"/>
    <s v="P"/>
    <s v="+"/>
    <s v="+"/>
    <n v="11.65"/>
    <s v="-"/>
    <s v="-"/>
    <s v="-"/>
    <s v="-"/>
    <s v="-"/>
    <s v="-"/>
    <s v="-"/>
    <s v="-"/>
    <s v="P"/>
    <s v="P"/>
    <s v="65% 5% 30%"/>
    <n v="2"/>
    <n v="1"/>
    <n v="2"/>
    <n v="0"/>
    <s v="-"/>
    <s v="-"/>
    <s v="-"/>
    <s v="-"/>
    <s v="-"/>
    <s v="-"/>
    <s v="-"/>
    <n v="5"/>
    <n v="6"/>
    <s v="-"/>
    <n v="1"/>
    <n v="1"/>
    <n v="2"/>
    <n v="2"/>
    <n v="7"/>
    <n v="8"/>
  </r>
  <r>
    <x v="6"/>
    <x v="158"/>
    <d v="2026-07-17T00:00:00"/>
    <s v="1ST"/>
    <s v="08:00"/>
    <n v="3"/>
    <x v="1"/>
    <n v="1.8700000000000001E-2"/>
    <s v="P"/>
    <s v="P"/>
    <s v="P"/>
    <s v="+"/>
    <s v="+"/>
    <n v="11.83"/>
    <s v="-"/>
    <s v="-"/>
    <s v="-"/>
    <s v="-"/>
    <s v="-"/>
    <s v="-"/>
    <s v="-"/>
    <s v="-"/>
    <s v="P"/>
    <s v="P"/>
    <s v="-"/>
    <n v="2"/>
    <n v="1"/>
    <n v="2"/>
    <n v="0"/>
    <s v="-"/>
    <s v="-"/>
    <s v="-"/>
    <s v="-"/>
    <s v="-"/>
    <s v="-"/>
    <s v="-"/>
    <n v="5"/>
    <n v="6"/>
    <s v="-"/>
    <n v="1"/>
    <n v="1"/>
    <n v="2"/>
    <n v="2"/>
    <n v="7"/>
    <n v="8"/>
  </r>
  <r>
    <x v="6"/>
    <x v="158"/>
    <d v="2026-07-17T00:00:00"/>
    <s v="1ST"/>
    <s v="09:00"/>
    <n v="3"/>
    <x v="1"/>
    <s v="-"/>
    <s v="P"/>
    <s v="P"/>
    <s v="P"/>
    <s v="+"/>
    <s v="+"/>
    <n v="11.35"/>
    <s v="-"/>
    <s v="-"/>
    <s v="-"/>
    <s v="-"/>
    <s v="-"/>
    <s v="-"/>
    <s v="-"/>
    <s v="-"/>
    <s v="P"/>
    <s v="P"/>
    <s v="-"/>
    <s v="-"/>
    <n v="1"/>
    <n v="2"/>
    <n v="0"/>
    <s v="-"/>
    <s v="-"/>
    <s v="-"/>
    <s v="-"/>
    <s v="-"/>
    <s v="-"/>
    <s v="-"/>
    <n v="3"/>
    <n v="4"/>
    <s v="-"/>
    <n v="1"/>
    <n v="1"/>
    <n v="2"/>
    <n v="2"/>
    <n v="5"/>
    <n v="6"/>
  </r>
  <r>
    <x v="6"/>
    <x v="158"/>
    <d v="2026-07-17T00:00:00"/>
    <s v="1ST"/>
    <s v="10:00"/>
    <n v="3"/>
    <x v="1"/>
    <n v="1.1900000000000001E-2"/>
    <s v="P"/>
    <s v="P"/>
    <s v="P"/>
    <s v="+"/>
    <s v="+"/>
    <n v="11.35"/>
    <s v="-"/>
    <s v="-"/>
    <s v="-"/>
    <s v="-"/>
    <s v="-"/>
    <s v="-"/>
    <s v="-"/>
    <s v="-"/>
    <s v="P"/>
    <s v="P"/>
    <s v="-"/>
    <n v="2"/>
    <n v="1"/>
    <n v="2"/>
    <n v="0"/>
    <s v="-"/>
    <s v="-"/>
    <s v="-"/>
    <s v="-"/>
    <s v="-"/>
    <s v="-"/>
    <s v="-"/>
    <n v="5"/>
    <n v="6"/>
    <s v="-"/>
    <n v="1"/>
    <n v="1"/>
    <n v="2"/>
    <n v="2"/>
    <n v="7"/>
    <n v="8"/>
  </r>
  <r>
    <x v="6"/>
    <x v="158"/>
    <d v="2026-07-17T00:00:00"/>
    <s v="1ST"/>
    <s v="11:00"/>
    <n v="3"/>
    <x v="1"/>
    <n v="1.38E-2"/>
    <s v="P"/>
    <s v="P"/>
    <s v="P"/>
    <s v="+"/>
    <s v="+"/>
    <n v="12.27"/>
    <s v="-"/>
    <s v="-"/>
    <s v="-"/>
    <s v="-"/>
    <s v="-"/>
    <s v="-"/>
    <s v="-"/>
    <s v="-"/>
    <s v="P"/>
    <s v="P"/>
    <s v="-"/>
    <n v="2"/>
    <n v="1"/>
    <n v="2"/>
    <n v="1"/>
    <s v="-"/>
    <s v="-"/>
    <s v="-"/>
    <s v="-"/>
    <s v="-"/>
    <s v="-"/>
    <s v="-"/>
    <n v="6"/>
    <n v="6"/>
    <s v="-"/>
    <n v="1"/>
    <n v="1"/>
    <n v="2"/>
    <n v="2"/>
    <n v="8"/>
    <n v="8"/>
  </r>
  <r>
    <x v="6"/>
    <x v="158"/>
    <d v="2026-07-17T00:00:00"/>
    <s v="1ST"/>
    <s v="13:00"/>
    <n v="3"/>
    <x v="1"/>
    <n v="1.4E-2"/>
    <s v="P"/>
    <s v="P"/>
    <s v="P"/>
    <s v="+"/>
    <s v="+"/>
    <n v="12.43"/>
    <s v="-"/>
    <s v="-"/>
    <s v="-"/>
    <s v="-"/>
    <s v="-"/>
    <s v="-"/>
    <s v="-"/>
    <s v="-"/>
    <s v="P"/>
    <s v="P"/>
    <s v="-"/>
    <n v="2"/>
    <n v="1"/>
    <n v="2"/>
    <n v="1"/>
    <s v="-"/>
    <s v="-"/>
    <s v="-"/>
    <s v="-"/>
    <s v="-"/>
    <s v="-"/>
    <s v="-"/>
    <n v="6"/>
    <n v="6"/>
    <s v="-"/>
    <n v="1"/>
    <n v="1"/>
    <n v="2"/>
    <n v="2"/>
    <n v="8"/>
    <n v="8"/>
  </r>
  <r>
    <x v="6"/>
    <x v="158"/>
    <d v="1902-03-26T00:00:00"/>
    <s v="2ND"/>
    <d v="1899-12-30T14:00:00"/>
    <n v="2"/>
    <x v="4"/>
    <n v="1.8E-3"/>
    <s v="P"/>
    <s v="P"/>
    <s v="P"/>
    <s v="-"/>
    <s v="+"/>
    <n v="11.14"/>
    <s v="-"/>
    <s v="-"/>
    <s v="-"/>
    <s v="-"/>
    <s v="-"/>
    <s v="-"/>
    <s v="-"/>
    <s v="-"/>
    <s v="P"/>
    <s v="P"/>
    <s v="-"/>
    <n v="2"/>
    <n v="1"/>
    <n v="2"/>
    <n v="1"/>
    <s v="-"/>
    <s v="-"/>
    <s v="-"/>
    <s v="-"/>
    <s v="-"/>
    <s v="-"/>
    <s v="-"/>
    <n v="6"/>
    <n v="6"/>
    <s v="-"/>
    <n v="1"/>
    <n v="1"/>
    <n v="2"/>
    <n v="2"/>
    <n v="8"/>
    <n v="8"/>
  </r>
  <r>
    <x v="6"/>
    <x v="158"/>
    <d v="1899-12-30T00:00:00"/>
    <s v="2ND"/>
    <d v="1899-12-30T15:00:00"/>
    <n v="2"/>
    <x v="4"/>
    <n v="8.8000000000000005E-3"/>
    <s v="P"/>
    <s v="P"/>
    <s v="P"/>
    <s v="-"/>
    <s v="+"/>
    <n v="11.19"/>
    <s v="-"/>
    <s v="-"/>
    <s v="-"/>
    <s v="-"/>
    <s v="-"/>
    <s v="-"/>
    <s v="-"/>
    <s v="-"/>
    <s v="P"/>
    <s v="P"/>
    <s v="-"/>
    <n v="2"/>
    <n v="1"/>
    <n v="2"/>
    <n v="1"/>
    <s v="-"/>
    <s v="-"/>
    <s v="-"/>
    <s v="-"/>
    <s v="-"/>
    <s v="-"/>
    <s v="-"/>
    <n v="6"/>
    <n v="6"/>
    <s v="-"/>
    <n v="1"/>
    <n v="1"/>
    <n v="2"/>
    <n v="2"/>
    <n v="8"/>
    <n v="8"/>
  </r>
  <r>
    <x v="6"/>
    <x v="158"/>
    <d v="1899-12-30T00:00:00"/>
    <s v="2ND"/>
    <d v="1899-12-30T16:00:00"/>
    <n v="2"/>
    <x v="4"/>
    <n v="1.2999999999999999E-2"/>
    <s v="P"/>
    <s v="P"/>
    <s v="P"/>
    <s v="-"/>
    <s v="+"/>
    <n v="13.27"/>
    <s v="-"/>
    <s v="-"/>
    <s v="-"/>
    <s v="-"/>
    <s v="-"/>
    <s v="-"/>
    <s v="-"/>
    <s v="-"/>
    <s v="P"/>
    <s v="P"/>
    <s v="-"/>
    <n v="2"/>
    <n v="1"/>
    <n v="2"/>
    <n v="0"/>
    <s v="-"/>
    <s v="-"/>
    <s v="-"/>
    <s v="-"/>
    <s v="-"/>
    <s v="-"/>
    <s v="-"/>
    <n v="5"/>
    <n v="6"/>
    <s v="-"/>
    <n v="1"/>
    <n v="1"/>
    <n v="2"/>
    <n v="2"/>
    <n v="7"/>
    <n v="8"/>
  </r>
  <r>
    <x v="6"/>
    <x v="158"/>
    <d v="1899-12-30T00:00:00"/>
    <s v="2ND"/>
    <d v="1899-12-30T17:00:00"/>
    <n v="2"/>
    <x v="4"/>
    <n v="7.1999999999999998E-3"/>
    <s v="P"/>
    <s v="P"/>
    <s v="P"/>
    <s v="-"/>
    <s v="+"/>
    <n v="11.41"/>
    <s v="-"/>
    <s v="-"/>
    <s v="-"/>
    <s v="-"/>
    <s v="-"/>
    <s v="-"/>
    <s v="-"/>
    <s v="-"/>
    <s v="P"/>
    <s v="P"/>
    <s v="-"/>
    <n v="2"/>
    <n v="1"/>
    <n v="2"/>
    <n v="1"/>
    <s v="-"/>
    <s v="-"/>
    <s v="-"/>
    <s v="-"/>
    <s v="-"/>
    <s v="-"/>
    <s v="-"/>
    <n v="6"/>
    <n v="6"/>
    <s v="-"/>
    <n v="1"/>
    <n v="1"/>
    <n v="2"/>
    <n v="2"/>
    <n v="8"/>
    <n v="8"/>
  </r>
  <r>
    <x v="6"/>
    <x v="158"/>
    <d v="1902-03-26T00:00:00"/>
    <s v="2ND"/>
    <d v="1899-12-30T19:00:00"/>
    <n v="2"/>
    <x v="14"/>
    <n v="1.0699999999999999E-2"/>
    <s v="P"/>
    <s v="P"/>
    <s v="P"/>
    <s v="-"/>
    <s v="+"/>
    <n v="10.82"/>
    <s v="-"/>
    <s v="-"/>
    <s v="-"/>
    <s v="-"/>
    <s v="-"/>
    <s v="-"/>
    <s v="-"/>
    <s v="-"/>
    <s v="P"/>
    <s v="P"/>
    <s v="-"/>
    <n v="2"/>
    <n v="1"/>
    <n v="2"/>
    <n v="0"/>
    <s v="-"/>
    <s v="-"/>
    <s v="-"/>
    <s v="-"/>
    <s v="-"/>
    <s v="-"/>
    <s v="-"/>
    <n v="5"/>
    <n v="6"/>
    <s v="-"/>
    <n v="1"/>
    <n v="1"/>
    <n v="2"/>
    <n v="2"/>
    <n v="7"/>
    <n v="8"/>
  </r>
  <r>
    <x v="6"/>
    <x v="158"/>
    <d v="1899-12-30T00:00:00"/>
    <s v="2ND"/>
    <d v="1899-12-30T20:00:00"/>
    <n v="2"/>
    <x v="14"/>
    <n v="1.0800000000000001E-2"/>
    <s v="P"/>
    <s v="P"/>
    <s v="P"/>
    <s v="-"/>
    <s v="+"/>
    <n v="11.13"/>
    <s v="-"/>
    <s v="-"/>
    <s v="-"/>
    <s v="-"/>
    <s v="-"/>
    <s v="-"/>
    <s v="-"/>
    <s v="-"/>
    <s v="P"/>
    <s v="P"/>
    <s v="-"/>
    <n v="2"/>
    <n v="1"/>
    <n v="2"/>
    <n v="1"/>
    <s v="-"/>
    <s v="-"/>
    <s v="-"/>
    <s v="-"/>
    <s v="-"/>
    <s v="-"/>
    <s v="-"/>
    <n v="6"/>
    <n v="6"/>
    <s v="-"/>
    <n v="1"/>
    <n v="1"/>
    <n v="2"/>
    <n v="2"/>
    <n v="8"/>
    <n v="8"/>
  </r>
  <r>
    <x v="6"/>
    <x v="158"/>
    <d v="2026-07-17T00:00:00"/>
    <s v="2ND"/>
    <d v="1899-12-30T14:00:00"/>
    <n v="3"/>
    <x v="1"/>
    <n v="8.9999999999999993E-3"/>
    <s v="P"/>
    <s v="P"/>
    <s v="P"/>
    <s v="+"/>
    <s v="+"/>
    <n v="12.51"/>
    <n v="9.1999999999999993"/>
    <s v="-"/>
    <n v="57.3"/>
    <s v="-"/>
    <s v="-"/>
    <n v="25.13"/>
    <s v="-"/>
    <s v="-"/>
    <s v="P"/>
    <s v="P"/>
    <s v="-"/>
    <n v="2"/>
    <n v="1"/>
    <n v="2"/>
    <n v="1"/>
    <n v="0"/>
    <s v="-"/>
    <n v="0"/>
    <s v="-"/>
    <s v="-"/>
    <n v="0"/>
    <s v="-"/>
    <n v="6"/>
    <n v="11"/>
    <s v="-"/>
    <n v="1"/>
    <n v="1"/>
    <n v="2"/>
    <n v="2"/>
    <n v="8"/>
    <n v="13"/>
  </r>
  <r>
    <x v="6"/>
    <x v="158"/>
    <d v="2026-07-17T00:00:00"/>
    <s v="2ND"/>
    <d v="1899-12-30T15:00:00"/>
    <n v="3"/>
    <x v="1"/>
    <n v="1.0999999999999999E-2"/>
    <s v="P"/>
    <s v="P"/>
    <s v="P"/>
    <s v="+"/>
    <s v="+"/>
    <n v="12.26"/>
    <s v="-"/>
    <s v="-"/>
    <s v="-"/>
    <s v="-"/>
    <s v="-"/>
    <s v="-"/>
    <s v="-"/>
    <s v="-"/>
    <s v="P"/>
    <s v="P"/>
    <s v="65% 5% 30%"/>
    <n v="2"/>
    <n v="1"/>
    <n v="2"/>
    <n v="1"/>
    <s v="-"/>
    <s v="-"/>
    <s v="-"/>
    <s v="-"/>
    <s v="-"/>
    <s v="-"/>
    <s v="-"/>
    <n v="6"/>
    <n v="6"/>
    <s v="-"/>
    <n v="1"/>
    <n v="1"/>
    <n v="2"/>
    <n v="2"/>
    <n v="8"/>
    <n v="8"/>
  </r>
  <r>
    <x v="6"/>
    <x v="158"/>
    <d v="2026-07-17T00:00:00"/>
    <s v="2ND"/>
    <d v="1899-12-30T16:00:00"/>
    <n v="3"/>
    <x v="1"/>
    <n v="1.5699999999999999E-2"/>
    <s v="P"/>
    <s v="P"/>
    <s v="P"/>
    <s v="+"/>
    <s v="+"/>
    <n v="12.67"/>
    <s v="-"/>
    <s v="-"/>
    <s v="-"/>
    <s v="-"/>
    <s v="-"/>
    <s v="-"/>
    <s v="-"/>
    <s v="-"/>
    <s v="P"/>
    <s v="P"/>
    <s v="-"/>
    <n v="2"/>
    <n v="1"/>
    <n v="2"/>
    <n v="1"/>
    <s v="-"/>
    <s v="-"/>
    <s v="-"/>
    <s v="-"/>
    <s v="-"/>
    <s v="-"/>
    <s v="-"/>
    <n v="6"/>
    <n v="6"/>
    <s v="-"/>
    <n v="1"/>
    <n v="1"/>
    <n v="2"/>
    <n v="2"/>
    <n v="8"/>
    <n v="8"/>
  </r>
  <r>
    <x v="6"/>
    <x v="158"/>
    <d v="1902-03-26T00:00:00"/>
    <s v="3RD"/>
    <d v="1899-12-30T22:00:00"/>
    <n v="2"/>
    <x v="14"/>
    <n v="9.5999999999999992E-3"/>
    <s v="P"/>
    <s v="P"/>
    <s v="P"/>
    <s v="-"/>
    <s v="+"/>
    <n v="11.19"/>
    <s v="-"/>
    <s v="-"/>
    <s v="-"/>
    <s v="-"/>
    <s v="-"/>
    <s v="-"/>
    <s v="-"/>
    <s v="-"/>
    <s v="P"/>
    <s v="P"/>
    <s v="-"/>
    <n v="2"/>
    <n v="1"/>
    <n v="2"/>
    <n v="1"/>
    <s v="-"/>
    <s v="-"/>
    <s v="-"/>
    <s v="-"/>
    <s v="-"/>
    <s v="-"/>
    <s v="-"/>
    <n v="6"/>
    <n v="6"/>
    <s v="-"/>
    <n v="1"/>
    <n v="1"/>
    <n v="2"/>
    <n v="2"/>
    <n v="8"/>
    <n v="8"/>
  </r>
  <r>
    <x v="6"/>
    <x v="158"/>
    <d v="1899-12-30T00:00:00"/>
    <s v="3RD"/>
    <d v="1899-12-30T23:00:00"/>
    <n v="2"/>
    <x v="14"/>
    <n v="5.0000000000000001E-3"/>
    <s v="P"/>
    <s v="P"/>
    <s v="P"/>
    <s v="-"/>
    <s v="+"/>
    <n v="11.12"/>
    <s v="-"/>
    <s v="-"/>
    <s v="-"/>
    <s v="-"/>
    <s v="-"/>
    <s v="-"/>
    <s v="-"/>
    <s v="-"/>
    <s v="P"/>
    <s v="P"/>
    <s v="-"/>
    <n v="2"/>
    <n v="1"/>
    <n v="2"/>
    <n v="1"/>
    <s v="-"/>
    <s v="-"/>
    <s v="-"/>
    <s v="-"/>
    <s v="-"/>
    <s v="-"/>
    <s v="-"/>
    <n v="6"/>
    <n v="6"/>
    <s v="-"/>
    <n v="1"/>
    <n v="1"/>
    <n v="2"/>
    <n v="2"/>
    <n v="8"/>
    <n v="8"/>
  </r>
  <r>
    <x v="6"/>
    <x v="158"/>
    <d v="1899-12-30T00:00:00"/>
    <s v="3RD"/>
    <d v="1899-12-31T00:00:00"/>
    <n v="2"/>
    <x v="14"/>
    <n v="1.2500000000000001E-2"/>
    <s v="P"/>
    <s v="P"/>
    <s v="P"/>
    <s v="-"/>
    <s v="+"/>
    <n v="11.15"/>
    <s v="-"/>
    <s v="-"/>
    <s v="-"/>
    <s v="-"/>
    <s v="-"/>
    <s v="-"/>
    <s v="-"/>
    <s v="-"/>
    <s v="P"/>
    <s v="P"/>
    <s v="-"/>
    <n v="2"/>
    <n v="1"/>
    <n v="2"/>
    <n v="1"/>
    <s v="-"/>
    <s v="-"/>
    <s v="-"/>
    <s v="-"/>
    <s v="-"/>
    <s v="-"/>
    <s v="-"/>
    <n v="6"/>
    <n v="6"/>
    <s v="-"/>
    <n v="1"/>
    <n v="1"/>
    <n v="2"/>
    <n v="2"/>
    <n v="8"/>
    <n v="8"/>
  </r>
  <r>
    <x v="6"/>
    <x v="158"/>
    <d v="1899-12-30T00:00:00"/>
    <s v="3RD"/>
    <d v="1899-12-31T02:00:00"/>
    <n v="2"/>
    <x v="14"/>
    <n v="1.2800000000000001E-2"/>
    <s v="P"/>
    <s v="P"/>
    <s v="P"/>
    <s v="-"/>
    <s v="+"/>
    <n v="10.81"/>
    <s v="-"/>
    <s v="-"/>
    <s v="-"/>
    <s v="-"/>
    <s v="-"/>
    <s v="-"/>
    <s v="-"/>
    <s v="-"/>
    <s v="P"/>
    <s v="P"/>
    <s v="30% 10% 60%"/>
    <n v="2"/>
    <n v="1"/>
    <n v="2"/>
    <n v="0"/>
    <s v="-"/>
    <s v="-"/>
    <s v="-"/>
    <s v="-"/>
    <s v="-"/>
    <s v="-"/>
    <s v="-"/>
    <n v="5"/>
    <n v="6"/>
    <s v="-"/>
    <n v="1"/>
    <n v="1"/>
    <n v="2"/>
    <n v="2"/>
    <n v="7"/>
    <n v="8"/>
  </r>
  <r>
    <x v="6"/>
    <x v="158"/>
    <d v="1902-03-26T00:00:00"/>
    <s v="3RD"/>
    <d v="1899-12-31T03:00:00"/>
    <n v="2"/>
    <x v="7"/>
    <n v="9.7999999999999997E-3"/>
    <s v="P"/>
    <s v="P"/>
    <s v="P"/>
    <s v="-"/>
    <s v="+"/>
    <n v="10.7"/>
    <n v="9.01"/>
    <s v="-"/>
    <n v="57.3"/>
    <s v="-"/>
    <s v="-"/>
    <n v="24.53"/>
    <s v="-"/>
    <s v="-"/>
    <s v="P"/>
    <s v="P"/>
    <s v="-"/>
    <n v="2"/>
    <n v="1"/>
    <n v="2"/>
    <n v="0"/>
    <n v="1"/>
    <s v="-"/>
    <n v="2"/>
    <s v="-"/>
    <s v="-"/>
    <n v="2"/>
    <s v="-"/>
    <n v="10"/>
    <n v="11"/>
    <s v="-"/>
    <n v="1"/>
    <n v="1"/>
    <n v="2"/>
    <n v="2"/>
    <n v="12"/>
    <n v="13"/>
  </r>
  <r>
    <x v="6"/>
    <x v="158"/>
    <d v="2026-07-17T00:00:00"/>
    <s v="3RD"/>
    <d v="1899-12-30T23:00:00"/>
    <n v="3"/>
    <x v="1"/>
    <n v="1.8499999999999999E-2"/>
    <s v="P"/>
    <s v="P"/>
    <s v="P"/>
    <s v="+"/>
    <s v="+"/>
    <n v="12.46"/>
    <n v="12.97"/>
    <s v="-"/>
    <s v="-"/>
    <s v="-"/>
    <s v="-"/>
    <n v="36.29"/>
    <s v="-"/>
    <s v="-"/>
    <s v="P"/>
    <s v="P"/>
    <s v="-"/>
    <n v="2"/>
    <n v="1"/>
    <n v="2"/>
    <n v="1"/>
    <n v="1"/>
    <s v="-"/>
    <s v="-"/>
    <s v="-"/>
    <s v="-"/>
    <n v="2"/>
    <s v="-"/>
    <n v="9"/>
    <n v="9"/>
    <s v="-"/>
    <n v="1"/>
    <n v="1"/>
    <n v="2"/>
    <n v="2"/>
    <n v="11"/>
    <n v="11"/>
  </r>
  <r>
    <x v="6"/>
    <x v="158"/>
    <d v="2026-07-17T00:00:00"/>
    <s v="3RD"/>
    <d v="1899-12-31T01:00:00"/>
    <n v="3"/>
    <x v="1"/>
    <s v="-"/>
    <s v="P"/>
    <s v="P"/>
    <s v="P"/>
    <s v="+"/>
    <s v="+"/>
    <n v="12.74"/>
    <s v="-"/>
    <s v="-"/>
    <s v="-"/>
    <s v="-"/>
    <s v="-"/>
    <s v="-"/>
    <s v="-"/>
    <s v="-"/>
    <s v="P"/>
    <s v="P"/>
    <s v="-"/>
    <s v="-"/>
    <n v="1"/>
    <n v="2"/>
    <n v="1"/>
    <s v="-"/>
    <s v="-"/>
    <s v="-"/>
    <s v="-"/>
    <s v="-"/>
    <s v="-"/>
    <s v="-"/>
    <n v="4"/>
    <n v="4"/>
    <s v="-"/>
    <n v="1"/>
    <n v="1"/>
    <n v="2"/>
    <n v="2"/>
    <n v="6"/>
    <n v="6"/>
  </r>
  <r>
    <x v="6"/>
    <x v="158"/>
    <d v="2026-07-17T00:00:00"/>
    <s v="3RD"/>
    <d v="1899-12-31T02:00:00"/>
    <n v="3"/>
    <x v="1"/>
    <n v="1.1599999999999999E-2"/>
    <s v="P"/>
    <s v="P"/>
    <s v="P"/>
    <s v="+"/>
    <s v="+"/>
    <n v="12.74"/>
    <s v="-"/>
    <s v="-"/>
    <s v="-"/>
    <s v="-"/>
    <s v="-"/>
    <s v="-"/>
    <s v="-"/>
    <s v="-"/>
    <s v="P"/>
    <s v="P"/>
    <s v="-"/>
    <n v="2"/>
    <n v="1"/>
    <n v="2"/>
    <n v="1"/>
    <s v="-"/>
    <s v="-"/>
    <s v="-"/>
    <s v="-"/>
    <s v="-"/>
    <s v="-"/>
    <s v="-"/>
    <n v="6"/>
    <n v="6"/>
    <s v="-"/>
    <n v="1"/>
    <n v="1"/>
    <n v="2"/>
    <n v="2"/>
    <n v="8"/>
    <n v="8"/>
  </r>
  <r>
    <x v="6"/>
    <x v="159"/>
    <d v="1902-03-26T00:00:00"/>
    <s v="1ST"/>
    <s v="08:00"/>
    <n v="2"/>
    <x v="12"/>
    <n v="5.0000000000000001E-3"/>
    <s v="P"/>
    <s v="P"/>
    <s v="P"/>
    <s v="+"/>
    <s v="+"/>
    <n v="12.31"/>
    <n v="12.98"/>
    <n v="0.55000000000000004"/>
    <n v="64.099999999999994"/>
    <s v="-"/>
    <s v="-"/>
    <n v="36.47"/>
    <s v="-"/>
    <s v="-"/>
    <s v="P"/>
    <s v="P"/>
    <s v="-"/>
    <n v="2"/>
    <n v="1"/>
    <n v="2"/>
    <n v="1"/>
    <s v="-"/>
    <n v="2"/>
    <n v="2"/>
    <s v="-"/>
    <s v="-"/>
    <n v="2"/>
    <s v="-"/>
    <n v="12"/>
    <n v="12"/>
    <s v="-"/>
    <n v="1"/>
    <n v="1"/>
    <n v="2"/>
    <n v="2"/>
    <n v="14"/>
    <n v="14"/>
  </r>
  <r>
    <x v="6"/>
    <x v="159"/>
    <d v="1899-12-30T00:00:00"/>
    <s v="1ST"/>
    <s v="09:00"/>
    <n v="2"/>
    <x v="12"/>
    <n v="6.1000000000000004E-3"/>
    <s v="P"/>
    <s v="P"/>
    <s v="P"/>
    <s v="+"/>
    <s v="+"/>
    <n v="12.63"/>
    <s v="-"/>
    <s v="-"/>
    <s v="-"/>
    <s v="-"/>
    <s v="-"/>
    <s v="-"/>
    <s v="-"/>
    <s v="-"/>
    <s v="P"/>
    <s v="P"/>
    <s v="-"/>
    <n v="2"/>
    <n v="1"/>
    <n v="2"/>
    <n v="1"/>
    <s v="-"/>
    <s v="-"/>
    <s v="-"/>
    <s v="-"/>
    <s v="-"/>
    <s v="-"/>
    <s v="-"/>
    <n v="6"/>
    <n v="6"/>
    <s v="-"/>
    <n v="1"/>
    <n v="1"/>
    <n v="2"/>
    <n v="2"/>
    <n v="8"/>
    <n v="8"/>
  </r>
  <r>
    <x v="6"/>
    <x v="159"/>
    <d v="1899-12-30T00:00:00"/>
    <s v="1ST"/>
    <s v="10:00"/>
    <n v="2"/>
    <x v="12"/>
    <n v="4.4999999999999997E-3"/>
    <s v="P"/>
    <s v="P"/>
    <s v="P"/>
    <s v="+"/>
    <s v="+"/>
    <n v="12.79"/>
    <s v="-"/>
    <s v="-"/>
    <s v="-"/>
    <s v="-"/>
    <s v="-"/>
    <s v="-"/>
    <s v="-"/>
    <s v="-"/>
    <s v="P"/>
    <s v="P"/>
    <s v="-"/>
    <n v="2"/>
    <n v="1"/>
    <n v="2"/>
    <n v="1"/>
    <s v="-"/>
    <s v="-"/>
    <s v="-"/>
    <s v="-"/>
    <s v="-"/>
    <s v="-"/>
    <s v="-"/>
    <n v="6"/>
    <n v="6"/>
    <s v="-"/>
    <n v="1"/>
    <n v="1"/>
    <n v="2"/>
    <n v="2"/>
    <n v="8"/>
    <n v="8"/>
  </r>
  <r>
    <x v="6"/>
    <x v="159"/>
    <d v="1899-12-30T00:00:00"/>
    <s v="1ST"/>
    <s v="12:00"/>
    <n v="2"/>
    <x v="44"/>
    <n v="1.18E-2"/>
    <s v="P"/>
    <s v="P"/>
    <s v="P"/>
    <s v="+"/>
    <s v="+"/>
    <n v="12.56"/>
    <s v="-"/>
    <s v="-"/>
    <s v="-"/>
    <s v="-"/>
    <s v="-"/>
    <s v="-"/>
    <s v="-"/>
    <s v="-"/>
    <s v="P"/>
    <s v="P"/>
    <s v="-"/>
    <n v="2"/>
    <n v="1"/>
    <n v="2"/>
    <n v="1"/>
    <s v="-"/>
    <s v="-"/>
    <s v="-"/>
    <s v="-"/>
    <s v="-"/>
    <s v="-"/>
    <s v="-"/>
    <n v="6"/>
    <n v="6"/>
    <s v="-"/>
    <n v="1"/>
    <n v="1"/>
    <n v="2"/>
    <n v="2"/>
    <n v="8"/>
    <n v="8"/>
  </r>
  <r>
    <x v="6"/>
    <x v="159"/>
    <d v="1899-12-30T00:00:00"/>
    <s v="1ST"/>
    <s v="13:00"/>
    <n v="2"/>
    <x v="44"/>
    <n v="9.9000000000000008E-3"/>
    <s v="P"/>
    <s v="P"/>
    <s v="P"/>
    <s v="+"/>
    <s v="+"/>
    <n v="12.8"/>
    <s v="-"/>
    <s v="-"/>
    <s v="-"/>
    <s v="-"/>
    <s v="-"/>
    <s v="-"/>
    <s v="-"/>
    <s v="-"/>
    <s v="P"/>
    <s v="P"/>
    <s v="-"/>
    <n v="2"/>
    <n v="1"/>
    <n v="2"/>
    <n v="1"/>
    <s v="-"/>
    <s v="-"/>
    <s v="-"/>
    <s v="-"/>
    <s v="-"/>
    <s v="-"/>
    <s v="-"/>
    <n v="6"/>
    <n v="6"/>
    <s v="-"/>
    <n v="1"/>
    <n v="1"/>
    <n v="2"/>
    <n v="2"/>
    <n v="8"/>
    <n v="8"/>
  </r>
  <r>
    <x v="6"/>
    <x v="159"/>
    <d v="2026-07-21T00:00:00"/>
    <s v="1ST"/>
    <s v="06:00"/>
    <n v="3"/>
    <x v="10"/>
    <n v="1.9800000000000002E-2"/>
    <s v="P"/>
    <s v="P"/>
    <s v="P"/>
    <s v="+"/>
    <s v="+"/>
    <n v="13.11"/>
    <n v="12.36"/>
    <n v="0.38"/>
    <n v="63.1"/>
    <s v="-"/>
    <s v="-"/>
    <n v="34.909999999999997"/>
    <s v="-"/>
    <s v="-"/>
    <s v="P"/>
    <s v="P"/>
    <s v="-"/>
    <n v="2"/>
    <n v="1"/>
    <n v="2"/>
    <n v="1"/>
    <n v="1"/>
    <n v="2"/>
    <n v="2"/>
    <s v="-"/>
    <s v="-"/>
    <n v="2"/>
    <s v="-"/>
    <n v="13"/>
    <n v="13"/>
    <s v="-"/>
    <n v="1"/>
    <n v="1"/>
    <n v="2"/>
    <n v="2"/>
    <n v="15"/>
    <n v="15"/>
  </r>
  <r>
    <x v="6"/>
    <x v="159"/>
    <d v="2026-07-21T00:00:00"/>
    <s v="1ST"/>
    <s v="08:00"/>
    <n v="3"/>
    <x v="10"/>
    <n v="3.8999999999999998E-3"/>
    <s v="P"/>
    <s v="P"/>
    <s v="P"/>
    <s v="+"/>
    <s v="+"/>
    <n v="13.12"/>
    <s v="-"/>
    <s v="-"/>
    <s v="-"/>
    <s v="-"/>
    <s v="-"/>
    <s v="-"/>
    <s v="-"/>
    <s v="-"/>
    <s v="P"/>
    <s v="P"/>
    <s v="-"/>
    <n v="2"/>
    <n v="1"/>
    <n v="2"/>
    <n v="1"/>
    <s v="-"/>
    <s v="-"/>
    <s v="-"/>
    <s v="-"/>
    <s v="-"/>
    <s v="-"/>
    <s v="-"/>
    <n v="6"/>
    <n v="6"/>
    <s v="-"/>
    <n v="1"/>
    <n v="1"/>
    <n v="2"/>
    <n v="2"/>
    <n v="8"/>
    <n v="8"/>
  </r>
  <r>
    <x v="6"/>
    <x v="159"/>
    <d v="2026-07-21T00:00:00"/>
    <s v="1ST"/>
    <s v="09:00"/>
    <n v="3"/>
    <x v="10"/>
    <n v="3.0999999999999999E-3"/>
    <s v="P"/>
    <s v="P"/>
    <s v="P"/>
    <s v="+"/>
    <s v="+"/>
    <n v="12.99"/>
    <s v="-"/>
    <s v="-"/>
    <s v="-"/>
    <s v="-"/>
    <s v="-"/>
    <s v="-"/>
    <s v="-"/>
    <s v="-"/>
    <s v="P"/>
    <s v="P"/>
    <s v="-"/>
    <n v="2"/>
    <n v="1"/>
    <n v="2"/>
    <n v="1"/>
    <s v="-"/>
    <s v="-"/>
    <s v="-"/>
    <s v="-"/>
    <s v="-"/>
    <s v="-"/>
    <s v="-"/>
    <n v="6"/>
    <n v="6"/>
    <s v="-"/>
    <n v="1"/>
    <n v="1"/>
    <n v="2"/>
    <n v="2"/>
    <n v="8"/>
    <n v="8"/>
  </r>
  <r>
    <x v="6"/>
    <x v="159"/>
    <d v="2026-07-21T00:00:00"/>
    <s v="1ST"/>
    <s v="10:00"/>
    <n v="3"/>
    <x v="10"/>
    <n v="2.5000000000000001E-3"/>
    <s v="P"/>
    <s v="P"/>
    <s v="P"/>
    <s v="+"/>
    <s v="+"/>
    <n v="12.99"/>
    <s v="-"/>
    <s v="-"/>
    <s v="-"/>
    <s v="-"/>
    <s v="-"/>
    <s v="-"/>
    <s v="-"/>
    <s v="-"/>
    <s v="P"/>
    <s v="P"/>
    <s v="-"/>
    <n v="2"/>
    <n v="1"/>
    <n v="2"/>
    <n v="1"/>
    <s v="-"/>
    <s v="-"/>
    <s v="-"/>
    <s v="-"/>
    <s v="-"/>
    <s v="-"/>
    <s v="-"/>
    <n v="6"/>
    <n v="6"/>
    <s v="-"/>
    <n v="1"/>
    <n v="1"/>
    <n v="2"/>
    <n v="2"/>
    <n v="8"/>
    <n v="8"/>
  </r>
  <r>
    <x v="6"/>
    <x v="159"/>
    <d v="2026-07-21T00:00:00"/>
    <s v="1ST"/>
    <s v="12:00"/>
    <n v="3"/>
    <x v="10"/>
    <n v="3.0999999999999999E-3"/>
    <s v="P"/>
    <s v="P"/>
    <s v="P"/>
    <s v="+"/>
    <s v="+"/>
    <n v="13.16"/>
    <s v="-"/>
    <s v="-"/>
    <s v="-"/>
    <s v="-"/>
    <s v="-"/>
    <s v="-"/>
    <s v="-"/>
    <s v="-"/>
    <s v="P"/>
    <s v="P"/>
    <s v="-"/>
    <n v="2"/>
    <n v="1"/>
    <n v="2"/>
    <n v="1"/>
    <s v="-"/>
    <s v="-"/>
    <s v="-"/>
    <s v="-"/>
    <s v="-"/>
    <s v="-"/>
    <s v="-"/>
    <n v="6"/>
    <n v="6"/>
    <s v="-"/>
    <n v="1"/>
    <n v="1"/>
    <n v="2"/>
    <n v="2"/>
    <n v="8"/>
    <n v="8"/>
  </r>
  <r>
    <x v="6"/>
    <x v="159"/>
    <d v="2026-07-21T00:00:00"/>
    <s v="1ST"/>
    <s v="13:00"/>
    <n v="3"/>
    <x v="10"/>
    <n v="2.7000000000000001E-3"/>
    <s v="P"/>
    <s v="P"/>
    <s v="P"/>
    <s v="+"/>
    <s v="+"/>
    <n v="12.92"/>
    <s v="-"/>
    <s v="-"/>
    <s v="-"/>
    <s v="-"/>
    <s v="-"/>
    <s v="-"/>
    <s v="-"/>
    <s v="-"/>
    <s v="P"/>
    <s v="P"/>
    <s v="-"/>
    <n v="2"/>
    <n v="1"/>
    <n v="2"/>
    <n v="1"/>
    <s v="-"/>
    <s v="-"/>
    <s v="-"/>
    <s v="-"/>
    <s v="-"/>
    <s v="-"/>
    <s v="-"/>
    <n v="6"/>
    <n v="6"/>
    <s v="-"/>
    <n v="1"/>
    <n v="1"/>
    <n v="2"/>
    <n v="2"/>
    <n v="8"/>
    <n v="8"/>
  </r>
  <r>
    <x v="6"/>
    <x v="159"/>
    <d v="1902-03-26T00:00:00"/>
    <s v="2ND"/>
    <d v="1899-12-30T14:00:00"/>
    <n v="2"/>
    <x v="44"/>
    <n v="4.1000000000000003E-3"/>
    <s v="P"/>
    <s v="P"/>
    <s v="P"/>
    <s v="+"/>
    <s v="+"/>
    <n v="12.56"/>
    <s v="-"/>
    <s v="-"/>
    <s v="-"/>
    <s v="-"/>
    <s v="-"/>
    <s v="-"/>
    <s v="-"/>
    <s v="-"/>
    <s v="P"/>
    <s v="P"/>
    <s v="-"/>
    <n v="2"/>
    <n v="1"/>
    <n v="2"/>
    <n v="1"/>
    <s v="-"/>
    <s v="-"/>
    <s v="-"/>
    <s v="-"/>
    <s v="-"/>
    <s v="-"/>
    <s v="-"/>
    <n v="6"/>
    <n v="6"/>
    <s v="-"/>
    <n v="1"/>
    <n v="1"/>
    <n v="2"/>
    <n v="2"/>
    <n v="8"/>
    <n v="8"/>
  </r>
  <r>
    <x v="6"/>
    <x v="159"/>
    <d v="1902-03-26T00:00:00"/>
    <s v="2ND"/>
    <d v="1899-12-30T16:00:00"/>
    <n v="2"/>
    <x v="16"/>
    <n v="5.1000000000000004E-3"/>
    <s v="P"/>
    <s v="P"/>
    <s v="P"/>
    <s v="+"/>
    <s v="+"/>
    <n v="11.42"/>
    <s v="-"/>
    <s v="-"/>
    <s v="-"/>
    <s v="-"/>
    <s v="-"/>
    <s v="-"/>
    <s v="-"/>
    <s v="-"/>
    <s v="P"/>
    <s v="P"/>
    <s v="-"/>
    <n v="2"/>
    <n v="1"/>
    <n v="2"/>
    <n v="0"/>
    <s v="-"/>
    <s v="-"/>
    <s v="-"/>
    <s v="-"/>
    <s v="-"/>
    <s v="-"/>
    <s v="-"/>
    <n v="5"/>
    <n v="6"/>
    <s v="-"/>
    <n v="1"/>
    <n v="1"/>
    <n v="2"/>
    <n v="2"/>
    <n v="7"/>
    <n v="8"/>
  </r>
  <r>
    <x v="6"/>
    <x v="159"/>
    <d v="1899-12-30T00:00:00"/>
    <s v="2ND"/>
    <d v="1899-12-30T19:00:00"/>
    <n v="2"/>
    <x v="16"/>
    <n v="8.6E-3"/>
    <s v="P"/>
    <s v="P"/>
    <s v="P"/>
    <s v="+"/>
    <s v="+"/>
    <n v="12.51"/>
    <s v="-"/>
    <s v="-"/>
    <s v="-"/>
    <s v="-"/>
    <s v="-"/>
    <s v="-"/>
    <s v="-"/>
    <s v="-"/>
    <s v="P"/>
    <s v="P"/>
    <s v="-"/>
    <n v="2"/>
    <n v="1"/>
    <n v="2"/>
    <n v="1"/>
    <s v="-"/>
    <s v="-"/>
    <s v="-"/>
    <s v="-"/>
    <s v="-"/>
    <s v="-"/>
    <s v="-"/>
    <n v="6"/>
    <n v="6"/>
    <s v="-"/>
    <n v="1"/>
    <n v="1"/>
    <n v="2"/>
    <n v="2"/>
    <n v="8"/>
    <n v="8"/>
  </r>
  <r>
    <x v="6"/>
    <x v="159"/>
    <d v="1899-12-30T00:00:00"/>
    <s v="2ND"/>
    <d v="1899-12-30T20:00:00"/>
    <n v="2"/>
    <x v="16"/>
    <n v="7.7000000000000002E-3"/>
    <s v="P"/>
    <s v="P"/>
    <s v="P"/>
    <s v="+"/>
    <s v="+"/>
    <n v="12.44"/>
    <s v="-"/>
    <s v="-"/>
    <s v="-"/>
    <s v="-"/>
    <s v="-"/>
    <s v="-"/>
    <s v="-"/>
    <s v="-"/>
    <s v="P"/>
    <s v="P"/>
    <s v="-"/>
    <n v="2"/>
    <n v="1"/>
    <n v="2"/>
    <n v="1"/>
    <s v="-"/>
    <s v="-"/>
    <s v="-"/>
    <s v="-"/>
    <s v="-"/>
    <s v="-"/>
    <s v="-"/>
    <n v="6"/>
    <n v="6"/>
    <s v="-"/>
    <n v="1"/>
    <n v="1"/>
    <n v="2"/>
    <n v="2"/>
    <n v="8"/>
    <n v="8"/>
  </r>
  <r>
    <x v="6"/>
    <x v="159"/>
    <d v="1899-12-30T00:00:00"/>
    <s v="2ND"/>
    <d v="1899-12-30T21:00:00"/>
    <n v="2"/>
    <x v="16"/>
    <n v="6.7000000000000002E-3"/>
    <s v="P"/>
    <s v="P"/>
    <s v="P"/>
    <s v="+"/>
    <s v="+"/>
    <n v="12.86"/>
    <s v="-"/>
    <s v="-"/>
    <s v="-"/>
    <s v="-"/>
    <s v="-"/>
    <s v="-"/>
    <s v="-"/>
    <s v="-"/>
    <s v="P"/>
    <s v="P"/>
    <s v="-"/>
    <n v="2"/>
    <n v="1"/>
    <n v="2"/>
    <n v="1"/>
    <s v="-"/>
    <s v="-"/>
    <s v="-"/>
    <s v="-"/>
    <s v="-"/>
    <s v="-"/>
    <s v="-"/>
    <n v="6"/>
    <n v="6"/>
    <s v="-"/>
    <n v="1"/>
    <n v="1"/>
    <n v="2"/>
    <n v="2"/>
    <n v="8"/>
    <n v="8"/>
  </r>
  <r>
    <x v="6"/>
    <x v="159"/>
    <d v="2026-07-21T00:00:00"/>
    <s v="2ND"/>
    <d v="1899-12-30T14:00:00"/>
    <n v="3"/>
    <x v="10"/>
    <n v="6.6E-3"/>
    <s v="P"/>
    <s v="P"/>
    <s v="P"/>
    <s v="+"/>
    <s v="+"/>
    <n v="12.47"/>
    <n v="12.06"/>
    <n v="0.38"/>
    <s v="-"/>
    <s v="-"/>
    <s v="-"/>
    <n v="33.869999999999997"/>
    <s v="-"/>
    <s v="-"/>
    <s v="P"/>
    <s v="P"/>
    <s v="-"/>
    <n v="2"/>
    <n v="1"/>
    <n v="2"/>
    <n v="1"/>
    <n v="1"/>
    <n v="2"/>
    <s v="-"/>
    <s v="-"/>
    <s v="-"/>
    <n v="2"/>
    <s v="-"/>
    <n v="11"/>
    <n v="11"/>
    <s v="-"/>
    <n v="1"/>
    <n v="1"/>
    <n v="2"/>
    <n v="2"/>
    <n v="13"/>
    <n v="13"/>
  </r>
  <r>
    <x v="6"/>
    <x v="159"/>
    <d v="2026-07-21T00:00:00"/>
    <s v="2ND"/>
    <d v="1899-12-30T15:00:00"/>
    <n v="3"/>
    <x v="10"/>
    <s v="-"/>
    <s v="-"/>
    <s v="-"/>
    <s v="-"/>
    <s v="-"/>
    <s v="-"/>
    <s v="-"/>
    <s v="-"/>
    <s v="-"/>
    <s v="-"/>
    <s v="-"/>
    <s v="-"/>
    <s v="-"/>
    <s v="-"/>
    <s v="-"/>
    <s v="-"/>
    <s v="-"/>
    <n v="1"/>
    <s v="-"/>
    <s v="-"/>
    <s v="-"/>
    <s v="-"/>
    <s v="-"/>
    <s v="-"/>
    <s v="-"/>
    <s v="-"/>
    <s v="-"/>
    <s v="-"/>
    <s v="-"/>
    <n v="0"/>
    <n v="0"/>
    <s v="-"/>
    <s v="-"/>
    <s v="-"/>
    <n v="0"/>
    <n v="0"/>
    <n v="0"/>
    <n v="0"/>
  </r>
  <r>
    <x v="6"/>
    <x v="159"/>
    <d v="2026-07-21T00:00:00"/>
    <s v="2ND"/>
    <d v="1899-12-30T16:00:00"/>
    <n v="3"/>
    <x v="10"/>
    <n v="3.2000000000000002E-3"/>
    <s v="P"/>
    <s v="P"/>
    <s v="P"/>
    <s v="+"/>
    <s v="+"/>
    <n v="11.67"/>
    <s v="-"/>
    <s v="-"/>
    <s v="-"/>
    <s v="-"/>
    <s v="-"/>
    <s v="-"/>
    <s v="-"/>
    <s v="-"/>
    <s v="P"/>
    <s v="P"/>
    <s v="-"/>
    <n v="2"/>
    <n v="1"/>
    <n v="2"/>
    <n v="0"/>
    <s v="-"/>
    <s v="-"/>
    <s v="-"/>
    <s v="-"/>
    <s v="-"/>
    <s v="-"/>
    <s v="-"/>
    <n v="5"/>
    <n v="6"/>
    <s v="-"/>
    <n v="1"/>
    <n v="1"/>
    <n v="2"/>
    <n v="2"/>
    <n v="7"/>
    <n v="8"/>
  </r>
  <r>
    <x v="6"/>
    <x v="159"/>
    <d v="2026-07-17T00:00:00"/>
    <s v="2ND"/>
    <d v="1899-12-30T19:00:00"/>
    <n v="3"/>
    <x v="0"/>
    <n v="1.1599999999999999E-2"/>
    <s v="P"/>
    <s v="P"/>
    <s v="P"/>
    <s v="+"/>
    <s v="+"/>
    <s v="-"/>
    <n v="12.41"/>
    <s v="-"/>
    <s v="-"/>
    <s v="-"/>
    <s v="-"/>
    <n v="34.700000000000003"/>
    <s v="-"/>
    <s v="-"/>
    <s v="P"/>
    <s v="P"/>
    <s v="85% 5% 10%"/>
    <n v="2"/>
    <n v="1"/>
    <n v="2"/>
    <s v="-"/>
    <n v="1"/>
    <s v="-"/>
    <s v="-"/>
    <s v="-"/>
    <s v="-"/>
    <n v="2"/>
    <s v="-"/>
    <n v="8"/>
    <n v="8"/>
    <s v="-"/>
    <n v="1"/>
    <n v="1"/>
    <n v="2"/>
    <n v="2"/>
    <n v="10"/>
    <n v="10"/>
  </r>
  <r>
    <x v="6"/>
    <x v="159"/>
    <d v="2026-07-17T00:00:00"/>
    <s v="2ND"/>
    <d v="1899-12-30T20:00:00"/>
    <n v="3"/>
    <x v="1"/>
    <n v="1.66E-2"/>
    <s v="P"/>
    <s v="P"/>
    <s v="P"/>
    <s v="+"/>
    <s v="+"/>
    <n v="12.76"/>
    <s v="-"/>
    <s v="-"/>
    <s v="-"/>
    <s v="-"/>
    <s v="-"/>
    <s v="-"/>
    <s v="-"/>
    <s v="-"/>
    <s v="P"/>
    <s v="P"/>
    <s v="-"/>
    <n v="2"/>
    <n v="1"/>
    <n v="2"/>
    <n v="1"/>
    <s v="-"/>
    <s v="-"/>
    <s v="-"/>
    <s v="-"/>
    <s v="-"/>
    <s v="-"/>
    <s v="-"/>
    <n v="6"/>
    <n v="6"/>
    <s v="-"/>
    <n v="1"/>
    <n v="1"/>
    <n v="2"/>
    <n v="2"/>
    <n v="8"/>
    <n v="8"/>
  </r>
  <r>
    <x v="6"/>
    <x v="159"/>
    <d v="2026-07-16T00:00:00"/>
    <s v="3RD"/>
    <d v="1899-12-31T00:00:00"/>
    <n v="1"/>
    <x v="1"/>
    <n v="1.0699999999999999E-2"/>
    <s v="P"/>
    <s v="P"/>
    <s v="P"/>
    <s v="+"/>
    <s v="+"/>
    <n v="11.69"/>
    <n v="12.08"/>
    <n v="0.61"/>
    <n v="65.8"/>
    <s v="-"/>
    <s v="-"/>
    <n v="36.24"/>
    <s v="-"/>
    <s v="-"/>
    <s v="P"/>
    <s v="P"/>
    <n v="1"/>
    <n v="2"/>
    <n v="1"/>
    <n v="2"/>
    <n v="0"/>
    <n v="1"/>
    <n v="2"/>
    <n v="2"/>
    <s v="-"/>
    <s v="-"/>
    <n v="2"/>
    <s v="-"/>
    <n v="12"/>
    <n v="13"/>
    <s v="-"/>
    <n v="1"/>
    <n v="1"/>
    <n v="2"/>
    <n v="2"/>
    <n v="14"/>
    <n v="15"/>
  </r>
  <r>
    <x v="6"/>
    <x v="159"/>
    <d v="1902-03-26T00:00:00"/>
    <s v="3RD"/>
    <d v="1899-12-30T22:00:00"/>
    <n v="2"/>
    <x v="16"/>
    <n v="7.3000000000000001E-3"/>
    <s v="P"/>
    <s v="P"/>
    <s v="P"/>
    <s v="+"/>
    <s v="+"/>
    <n v="12.76"/>
    <s v="-"/>
    <s v="-"/>
    <s v="-"/>
    <s v="-"/>
    <s v="-"/>
    <s v="-"/>
    <s v="-"/>
    <s v="-"/>
    <s v="P"/>
    <s v="P"/>
    <s v="-"/>
    <n v="2"/>
    <n v="1"/>
    <n v="2"/>
    <n v="1"/>
    <s v="-"/>
    <s v="-"/>
    <s v="-"/>
    <s v="-"/>
    <s v="-"/>
    <s v="-"/>
    <s v="-"/>
    <n v="6"/>
    <n v="6"/>
    <s v="-"/>
    <n v="1"/>
    <n v="1"/>
    <n v="2"/>
    <n v="2"/>
    <n v="8"/>
    <n v="8"/>
  </r>
  <r>
    <x v="6"/>
    <x v="159"/>
    <d v="1899-12-30T00:00:00"/>
    <s v="3RD"/>
    <d v="1899-12-30T23:00:00"/>
    <n v="2"/>
    <x v="16"/>
    <n v="8.8999999999999999E-3"/>
    <s v="P"/>
    <s v="P"/>
    <s v="P"/>
    <s v="+"/>
    <s v="+"/>
    <n v="12.56"/>
    <s v="-"/>
    <s v="-"/>
    <s v="-"/>
    <s v="-"/>
    <s v="-"/>
    <s v="-"/>
    <s v="-"/>
    <s v="-"/>
    <s v="P"/>
    <s v="P"/>
    <s v="-"/>
    <n v="2"/>
    <n v="1"/>
    <n v="2"/>
    <n v="1"/>
    <s v="-"/>
    <s v="-"/>
    <s v="-"/>
    <s v="-"/>
    <s v="-"/>
    <s v="-"/>
    <s v="-"/>
    <n v="6"/>
    <n v="6"/>
    <s v="-"/>
    <n v="1"/>
    <n v="1"/>
    <n v="2"/>
    <n v="2"/>
    <n v="8"/>
    <n v="8"/>
  </r>
  <r>
    <x v="6"/>
    <x v="159"/>
    <d v="2026-07-17T00:00:00"/>
    <s v="3RD"/>
    <d v="1899-12-30T22:00:00"/>
    <n v="3"/>
    <x v="1"/>
    <n v="0.02"/>
    <s v="P"/>
    <s v="P"/>
    <s v="P"/>
    <s v="+"/>
    <s v="+"/>
    <n v="12.51"/>
    <n v="12.71"/>
    <s v="-"/>
    <s v="-"/>
    <s v="-"/>
    <s v="-"/>
    <n v="35.5"/>
    <s v="-"/>
    <s v="-"/>
    <s v="P"/>
    <s v="P"/>
    <s v="-"/>
    <n v="2"/>
    <n v="1"/>
    <n v="2"/>
    <n v="1"/>
    <n v="1"/>
    <s v="-"/>
    <s v="-"/>
    <s v="-"/>
    <s v="-"/>
    <n v="2"/>
    <s v="-"/>
    <n v="9"/>
    <n v="9"/>
    <s v="-"/>
    <n v="1"/>
    <n v="1"/>
    <n v="2"/>
    <n v="2"/>
    <n v="11"/>
    <n v="11"/>
  </r>
  <r>
    <x v="6"/>
    <x v="159"/>
    <d v="2026-07-17T00:00:00"/>
    <s v="3RD"/>
    <d v="1899-12-31T00:00:00"/>
    <n v="3"/>
    <x v="1"/>
    <n v="1.18E-2"/>
    <s v="P"/>
    <s v="P"/>
    <s v="P"/>
    <s v="+"/>
    <s v="+"/>
    <n v="12.9"/>
    <s v="-"/>
    <s v="-"/>
    <s v="-"/>
    <s v="-"/>
    <s v="-"/>
    <s v="-"/>
    <s v="-"/>
    <s v="-"/>
    <s v="P"/>
    <s v="P"/>
    <s v="-"/>
    <n v="2"/>
    <n v="1"/>
    <n v="2"/>
    <n v="1"/>
    <s v="-"/>
    <s v="-"/>
    <s v="-"/>
    <s v="-"/>
    <s v="-"/>
    <s v="-"/>
    <s v="-"/>
    <n v="6"/>
    <n v="6"/>
    <s v="-"/>
    <n v="1"/>
    <n v="1"/>
    <n v="2"/>
    <n v="2"/>
    <n v="8"/>
    <n v="8"/>
  </r>
  <r>
    <x v="6"/>
    <x v="159"/>
    <d v="2026-07-17T00:00:00"/>
    <s v="3RD"/>
    <d v="1899-12-31T01:00:00"/>
    <n v="3"/>
    <x v="1"/>
    <n v="7.4000000000000003E-3"/>
    <s v="P"/>
    <s v="P"/>
    <s v="P"/>
    <s v="+"/>
    <s v="+"/>
    <n v="12.9"/>
    <s v="-"/>
    <s v="-"/>
    <s v="-"/>
    <s v="-"/>
    <s v="-"/>
    <s v="-"/>
    <s v="-"/>
    <s v="-"/>
    <s v="P"/>
    <s v="P"/>
    <s v="-"/>
    <n v="2"/>
    <n v="1"/>
    <n v="2"/>
    <n v="1"/>
    <s v="-"/>
    <s v="-"/>
    <s v="-"/>
    <s v="-"/>
    <s v="-"/>
    <s v="-"/>
    <s v="-"/>
    <n v="6"/>
    <n v="6"/>
    <s v="-"/>
    <n v="1"/>
    <n v="1"/>
    <n v="2"/>
    <n v="2"/>
    <n v="8"/>
    <n v="8"/>
  </r>
  <r>
    <x v="6"/>
    <x v="159"/>
    <d v="2026-07-17T00:00:00"/>
    <s v="3RD"/>
    <d v="1899-12-31T02:00:00"/>
    <n v="3"/>
    <x v="1"/>
    <n v="1.03E-2"/>
    <s v="P"/>
    <s v="P"/>
    <s v="P"/>
    <s v="+"/>
    <s v="+"/>
    <n v="12.9"/>
    <s v="-"/>
    <s v="-"/>
    <s v="-"/>
    <s v="-"/>
    <s v="-"/>
    <s v="-"/>
    <s v="-"/>
    <s v="-"/>
    <s v="P"/>
    <s v="P"/>
    <s v="-"/>
    <n v="2"/>
    <n v="1"/>
    <n v="2"/>
    <n v="1"/>
    <s v="-"/>
    <s v="-"/>
    <s v="-"/>
    <s v="-"/>
    <s v="-"/>
    <s v="-"/>
    <s v="-"/>
    <n v="6"/>
    <n v="6"/>
    <s v="-"/>
    <n v="1"/>
    <n v="1"/>
    <n v="2"/>
    <n v="2"/>
    <n v="8"/>
    <n v="8"/>
  </r>
  <r>
    <x v="6"/>
    <x v="159"/>
    <d v="2026-07-17T00:00:00"/>
    <s v="3RD"/>
    <d v="1899-12-31T04:00:00"/>
    <n v="3"/>
    <x v="1"/>
    <n v="7.4000000000000003E-3"/>
    <s v="P"/>
    <s v="P"/>
    <s v="P"/>
    <s v="+"/>
    <s v="+"/>
    <n v="12.93"/>
    <s v="-"/>
    <s v="-"/>
    <s v="-"/>
    <s v="-"/>
    <s v="-"/>
    <s v="-"/>
    <s v="-"/>
    <s v="-"/>
    <s v="P"/>
    <s v="P"/>
    <s v="-"/>
    <n v="2"/>
    <n v="1"/>
    <n v="2"/>
    <n v="1"/>
    <s v="-"/>
    <s v="-"/>
    <s v="-"/>
    <s v="-"/>
    <s v="-"/>
    <s v="-"/>
    <s v="-"/>
    <n v="6"/>
    <n v="6"/>
    <s v="-"/>
    <n v="1"/>
    <n v="1"/>
    <n v="2"/>
    <n v="2"/>
    <n v="8"/>
    <n v="8"/>
  </r>
  <r>
    <x v="6"/>
    <x v="159"/>
    <d v="2026-07-17T00:00:00"/>
    <s v="3RD"/>
    <d v="1899-12-31T05:00:00"/>
    <n v="3"/>
    <x v="1"/>
    <n v="1.5699999999999999E-2"/>
    <s v="P"/>
    <s v="P"/>
    <s v="P"/>
    <s v="+"/>
    <s v="+"/>
    <n v="12.65"/>
    <s v="-"/>
    <s v="-"/>
    <s v="-"/>
    <s v="-"/>
    <s v="-"/>
    <s v="-"/>
    <s v="-"/>
    <s v="-"/>
    <s v="P"/>
    <s v="P"/>
    <s v="-"/>
    <n v="2"/>
    <n v="1"/>
    <n v="2"/>
    <n v="1"/>
    <s v="-"/>
    <s v="-"/>
    <s v="-"/>
    <s v="-"/>
    <s v="-"/>
    <s v="-"/>
    <s v="-"/>
    <n v="6"/>
    <n v="6"/>
    <s v="-"/>
    <n v="1"/>
    <n v="1"/>
    <n v="2"/>
    <n v="2"/>
    <n v="8"/>
    <n v="8"/>
  </r>
  <r>
    <x v="6"/>
    <x v="160"/>
    <d v="2026-06-30T00:00:00"/>
    <s v="1ST"/>
    <s v="09:00"/>
    <n v="1"/>
    <x v="1"/>
    <n v="8.0000000000000002E-3"/>
    <s v="P"/>
    <s v="P"/>
    <s v="P"/>
    <s v="+"/>
    <s v="+"/>
    <n v="12.66"/>
    <n v="12.82"/>
    <n v="57"/>
    <n v="64.900000000000006"/>
    <s v="-"/>
    <s v="-"/>
    <n v="35.909999999999997"/>
    <s v="-"/>
    <s v="-"/>
    <s v="P"/>
    <s v="P"/>
    <s v="-"/>
    <n v="2"/>
    <n v="1"/>
    <n v="2"/>
    <n v="1"/>
    <n v="1"/>
    <n v="0"/>
    <n v="2"/>
    <s v="-"/>
    <s v="-"/>
    <n v="2"/>
    <s v="-"/>
    <n v="11"/>
    <n v="13"/>
    <s v="-"/>
    <n v="1"/>
    <n v="1"/>
    <n v="2"/>
    <n v="2"/>
    <n v="13"/>
    <n v="15"/>
  </r>
  <r>
    <x v="6"/>
    <x v="160"/>
    <d v="2026-06-30T00:00:00"/>
    <s v="1ST"/>
    <s v="10:00"/>
    <n v="1"/>
    <x v="1"/>
    <n v="1.55E-2"/>
    <s v="P"/>
    <s v="P"/>
    <s v="P"/>
    <s v="+"/>
    <s v="+"/>
    <n v="12.85"/>
    <s v="-"/>
    <s v="-"/>
    <s v="-"/>
    <s v="-"/>
    <s v="-"/>
    <s v="-"/>
    <s v="-"/>
    <s v="-"/>
    <s v="P"/>
    <s v="P"/>
    <s v="-"/>
    <n v="2"/>
    <n v="1"/>
    <n v="2"/>
    <n v="1"/>
    <s v="-"/>
    <s v="-"/>
    <s v="-"/>
    <s v="-"/>
    <s v="-"/>
    <s v="-"/>
    <s v="-"/>
    <n v="6"/>
    <n v="6"/>
    <s v="-"/>
    <n v="1"/>
    <n v="1"/>
    <n v="2"/>
    <n v="2"/>
    <n v="8"/>
    <n v="8"/>
  </r>
  <r>
    <x v="6"/>
    <x v="160"/>
    <d v="2026-06-30T00:00:00"/>
    <s v="1ST"/>
    <s v="11:00"/>
    <n v="1"/>
    <x v="1"/>
    <n v="1.9800000000000002E-2"/>
    <s v="P"/>
    <s v="P"/>
    <s v="P"/>
    <s v="+"/>
    <s v="+"/>
    <n v="12.38"/>
    <s v="-"/>
    <s v="-"/>
    <s v="-"/>
    <s v="-"/>
    <s v="-"/>
    <s v="-"/>
    <s v="-"/>
    <s v="-"/>
    <s v="P"/>
    <s v="P"/>
    <s v="-"/>
    <n v="2"/>
    <n v="1"/>
    <n v="2"/>
    <n v="1"/>
    <s v="-"/>
    <s v="-"/>
    <s v="-"/>
    <s v="-"/>
    <s v="-"/>
    <s v="-"/>
    <s v="-"/>
    <n v="6"/>
    <n v="6"/>
    <s v="-"/>
    <n v="1"/>
    <n v="1"/>
    <n v="2"/>
    <n v="2"/>
    <n v="8"/>
    <n v="8"/>
  </r>
  <r>
    <x v="6"/>
    <x v="160"/>
    <d v="2026-06-30T00:00:00"/>
    <s v="1ST"/>
    <s v="12:00"/>
    <n v="1"/>
    <x v="1"/>
    <n v="8.3999999999999995E-3"/>
    <s v="P"/>
    <s v="P"/>
    <s v="P"/>
    <s v="+"/>
    <s v="+"/>
    <n v="12.61"/>
    <s v="-"/>
    <s v="-"/>
    <s v="-"/>
    <s v="-"/>
    <s v="-"/>
    <s v="-"/>
    <s v="-"/>
    <s v="-"/>
    <s v="P"/>
    <s v="P"/>
    <s v="-"/>
    <n v="2"/>
    <n v="1"/>
    <n v="2"/>
    <n v="1"/>
    <s v="-"/>
    <s v="-"/>
    <s v="-"/>
    <s v="-"/>
    <s v="-"/>
    <s v="-"/>
    <s v="-"/>
    <n v="6"/>
    <n v="6"/>
    <s v="-"/>
    <n v="1"/>
    <n v="1"/>
    <n v="2"/>
    <n v="2"/>
    <n v="8"/>
    <n v="8"/>
  </r>
  <r>
    <x v="6"/>
    <x v="160"/>
    <d v="1902-03-24T00:00:00"/>
    <s v="1ST"/>
    <s v="11:00"/>
    <n v="2"/>
    <x v="1"/>
    <n v="1.38E-2"/>
    <s v="P"/>
    <s v="P"/>
    <s v="P"/>
    <s v="+"/>
    <s v="+"/>
    <n v="12.56"/>
    <n v="13.1"/>
    <s v="-"/>
    <n v="64.599999999999994"/>
    <s v="-"/>
    <s v="-"/>
    <n v="36.82"/>
    <s v="-"/>
    <s v="-"/>
    <s v="P"/>
    <s v="P"/>
    <s v="-"/>
    <n v="2"/>
    <n v="1"/>
    <n v="2"/>
    <n v="1"/>
    <n v="1"/>
    <s v="-"/>
    <n v="2"/>
    <s v="-"/>
    <s v="-"/>
    <n v="2"/>
    <s v="-"/>
    <n v="11"/>
    <n v="11"/>
    <s v="-"/>
    <n v="1"/>
    <n v="1"/>
    <n v="2"/>
    <n v="2"/>
    <n v="13"/>
    <n v="13"/>
  </r>
  <r>
    <x v="6"/>
    <x v="160"/>
    <d v="1899-12-30T00:00:00"/>
    <s v="1ST"/>
    <s v="12:00"/>
    <n v="2"/>
    <x v="1"/>
    <n v="1.1299999999999999E-2"/>
    <s v="P"/>
    <s v="P"/>
    <s v="P"/>
    <s v="+"/>
    <s v="+"/>
    <n v="12.64"/>
    <s v="-"/>
    <s v="-"/>
    <s v="-"/>
    <s v="-"/>
    <s v="-"/>
    <s v="-"/>
    <s v="-"/>
    <s v="-"/>
    <s v="P"/>
    <s v="P"/>
    <s v="-"/>
    <n v="2"/>
    <n v="1"/>
    <n v="2"/>
    <n v="1"/>
    <s v="-"/>
    <s v="-"/>
    <s v="-"/>
    <s v="-"/>
    <s v="-"/>
    <s v="-"/>
    <s v="-"/>
    <n v="6"/>
    <n v="6"/>
    <s v="-"/>
    <n v="1"/>
    <n v="1"/>
    <n v="2"/>
    <n v="2"/>
    <n v="8"/>
    <n v="8"/>
  </r>
  <r>
    <x v="6"/>
    <x v="160"/>
    <d v="1899-12-30T00:00:00"/>
    <s v="1ST"/>
    <s v="13:00"/>
    <n v="2"/>
    <x v="1"/>
    <n v="1.2999999999999999E-2"/>
    <s v="P"/>
    <s v="P"/>
    <s v="P"/>
    <s v="+"/>
    <s v="+"/>
    <n v="12.33"/>
    <s v="-"/>
    <s v="-"/>
    <s v="-"/>
    <s v="-"/>
    <s v="-"/>
    <s v="-"/>
    <s v="-"/>
    <s v="-"/>
    <s v="P"/>
    <s v="P"/>
    <s v="-"/>
    <n v="2"/>
    <n v="1"/>
    <n v="2"/>
    <n v="1"/>
    <s v="-"/>
    <s v="-"/>
    <s v="-"/>
    <s v="-"/>
    <s v="-"/>
    <s v="-"/>
    <s v="-"/>
    <n v="6"/>
    <n v="6"/>
    <s v="-"/>
    <n v="1"/>
    <n v="1"/>
    <n v="2"/>
    <n v="2"/>
    <n v="8"/>
    <n v="8"/>
  </r>
  <r>
    <x v="6"/>
    <x v="160"/>
    <d v="2026-07-17T00:00:00"/>
    <s v="1ST"/>
    <s v="06:00"/>
    <n v="3"/>
    <x v="1"/>
    <n v="9.5999999999999992E-3"/>
    <s v="P"/>
    <s v="P"/>
    <s v="P"/>
    <s v="+"/>
    <s v="+"/>
    <n v="12.83"/>
    <n v="12.89"/>
    <n v="0.62"/>
    <n v="65"/>
    <s v="-"/>
    <s v="-"/>
    <n v="36.04"/>
    <s v="-"/>
    <s v="-"/>
    <s v="P"/>
    <s v="P"/>
    <s v="-"/>
    <n v="2"/>
    <n v="1"/>
    <n v="2"/>
    <n v="1"/>
    <n v="1"/>
    <n v="2"/>
    <n v="2"/>
    <s v="-"/>
    <s v="-"/>
    <n v="2"/>
    <s v="-"/>
    <n v="13"/>
    <n v="13"/>
    <s v="-"/>
    <n v="1"/>
    <n v="1"/>
    <n v="2"/>
    <n v="2"/>
    <n v="15"/>
    <n v="15"/>
  </r>
  <r>
    <x v="6"/>
    <x v="160"/>
    <d v="2026-07-17T00:00:00"/>
    <s v="1ST"/>
    <s v="07:00"/>
    <n v="3"/>
    <x v="11"/>
    <n v="8.5000000000000006E-3"/>
    <s v="P"/>
    <s v="P"/>
    <s v="P"/>
    <s v="+"/>
    <s v="+"/>
    <n v="12.58"/>
    <n v="12.9"/>
    <n v="0.64"/>
    <n v="64"/>
    <s v="-"/>
    <s v="-"/>
    <n v="36.15"/>
    <s v="-"/>
    <s v="-"/>
    <s v="P"/>
    <s v="P"/>
    <s v="-"/>
    <n v="2"/>
    <n v="1"/>
    <n v="2"/>
    <n v="1"/>
    <n v="1"/>
    <n v="0"/>
    <n v="0"/>
    <s v="-"/>
    <s v="-"/>
    <n v="2"/>
    <s v="-"/>
    <n v="9"/>
    <n v="13"/>
    <s v="-"/>
    <n v="1"/>
    <n v="1"/>
    <n v="2"/>
    <n v="2"/>
    <n v="11"/>
    <n v="15"/>
  </r>
  <r>
    <x v="6"/>
    <x v="160"/>
    <d v="2026-07-17T00:00:00"/>
    <s v="1ST"/>
    <s v="08:00"/>
    <n v="3"/>
    <x v="11"/>
    <n v="7.4999999999999997E-3"/>
    <s v="P"/>
    <s v="P"/>
    <s v="P"/>
    <s v="+"/>
    <s v="+"/>
    <n v="13.12"/>
    <s v="-"/>
    <s v="-"/>
    <n v="0.64"/>
    <s v="-"/>
    <s v="-"/>
    <s v="-"/>
    <s v="-"/>
    <s v="-"/>
    <s v="P"/>
    <s v="P"/>
    <s v="-"/>
    <n v="2"/>
    <n v="1"/>
    <n v="2"/>
    <n v="1"/>
    <s v="-"/>
    <s v="-"/>
    <n v="0"/>
    <s v="-"/>
    <s v="-"/>
    <s v="-"/>
    <s v="-"/>
    <n v="6"/>
    <n v="8"/>
    <s v="-"/>
    <n v="1"/>
    <n v="1"/>
    <n v="2"/>
    <n v="2"/>
    <n v="8"/>
    <n v="10"/>
  </r>
  <r>
    <x v="6"/>
    <x v="160"/>
    <d v="1902-03-26T00:00:00"/>
    <s v="2ND"/>
    <d v="1899-12-30T14:00:00"/>
    <n v="2"/>
    <x v="1"/>
    <n v="1.67E-2"/>
    <s v="P"/>
    <s v="P"/>
    <s v="P"/>
    <s v="+"/>
    <s v="+"/>
    <n v="12.77"/>
    <s v="-"/>
    <s v="-"/>
    <s v="-"/>
    <s v="-"/>
    <s v="-"/>
    <s v="-"/>
    <s v="-"/>
    <s v="-"/>
    <s v="P"/>
    <s v="P"/>
    <s v="-"/>
    <n v="2"/>
    <n v="1"/>
    <n v="2"/>
    <n v="1"/>
    <s v="-"/>
    <s v="-"/>
    <s v="-"/>
    <s v="-"/>
    <s v="-"/>
    <s v="-"/>
    <s v="-"/>
    <n v="6"/>
    <n v="6"/>
    <s v="-"/>
    <n v="1"/>
    <n v="1"/>
    <n v="2"/>
    <n v="2"/>
    <n v="8"/>
    <n v="8"/>
  </r>
  <r>
    <x v="6"/>
    <x v="160"/>
    <d v="1899-12-30T00:00:00"/>
    <s v="2ND"/>
    <d v="1899-12-30T15:00:00"/>
    <n v="2"/>
    <x v="1"/>
    <n v="1.8599999999999998E-2"/>
    <s v="P"/>
    <s v="P"/>
    <s v="P"/>
    <s v="+"/>
    <s v="+"/>
    <n v="12.65"/>
    <s v="-"/>
    <s v="-"/>
    <s v="-"/>
    <s v="-"/>
    <s v="-"/>
    <s v="-"/>
    <s v="-"/>
    <s v="-"/>
    <s v="P"/>
    <s v="P"/>
    <s v="-"/>
    <n v="2"/>
    <n v="1"/>
    <n v="2"/>
    <n v="1"/>
    <s v="-"/>
    <s v="-"/>
    <s v="-"/>
    <s v="-"/>
    <s v="-"/>
    <s v="-"/>
    <s v="-"/>
    <n v="6"/>
    <n v="6"/>
    <s v="-"/>
    <n v="1"/>
    <n v="1"/>
    <n v="2"/>
    <n v="2"/>
    <n v="8"/>
    <n v="8"/>
  </r>
  <r>
    <x v="6"/>
    <x v="160"/>
    <d v="1899-12-30T00:00:00"/>
    <s v="2ND"/>
    <d v="1899-12-30T16:00:00"/>
    <n v="2"/>
    <x v="1"/>
    <n v="1.9900000000000001E-2"/>
    <s v="P"/>
    <s v="P"/>
    <s v="P"/>
    <s v="+"/>
    <s v="+"/>
    <n v="12.78"/>
    <s v="-"/>
    <s v="-"/>
    <s v="-"/>
    <s v="-"/>
    <s v="-"/>
    <s v="-"/>
    <s v="-"/>
    <s v="-"/>
    <s v="P"/>
    <s v="P"/>
    <s v="-"/>
    <n v="2"/>
    <n v="1"/>
    <n v="2"/>
    <n v="1"/>
    <s v="-"/>
    <s v="-"/>
    <s v="-"/>
    <s v="-"/>
    <s v="-"/>
    <s v="-"/>
    <s v="-"/>
    <n v="6"/>
    <n v="6"/>
    <s v="-"/>
    <n v="1"/>
    <n v="1"/>
    <n v="2"/>
    <n v="2"/>
    <n v="8"/>
    <n v="8"/>
  </r>
  <r>
    <x v="6"/>
    <x v="160"/>
    <d v="2026-07-23T00:00:00"/>
    <s v="2ND"/>
    <d v="1899-12-30T17:00:00"/>
    <n v="3"/>
    <x v="42"/>
    <s v="-"/>
    <s v="P"/>
    <s v="P"/>
    <s v="P"/>
    <s v="+"/>
    <s v="+"/>
    <n v="12.78"/>
    <n v="11.93"/>
    <s v="-"/>
    <n v="65.3"/>
    <s v="-"/>
    <s v="-"/>
    <n v="33.21"/>
    <s v="-"/>
    <s v="-"/>
    <s v="P"/>
    <s v="P"/>
    <n v="1"/>
    <s v="-"/>
    <n v="1"/>
    <n v="2"/>
    <n v="1"/>
    <n v="0"/>
    <s v="-"/>
    <n v="2"/>
    <s v="-"/>
    <s v="-"/>
    <n v="2"/>
    <s v="-"/>
    <n v="8"/>
    <n v="9"/>
    <s v="-"/>
    <n v="1"/>
    <n v="1"/>
    <n v="2"/>
    <n v="2"/>
    <n v="10"/>
    <n v="11"/>
  </r>
  <r>
    <x v="6"/>
    <x v="160"/>
    <d v="2026-07-23T00:00:00"/>
    <s v="2ND"/>
    <d v="1899-12-30T18:00:00"/>
    <n v="3"/>
    <x v="42"/>
    <n v="2.8E-3"/>
    <s v="P"/>
    <s v="P"/>
    <s v="P"/>
    <s v="+"/>
    <s v="+"/>
    <n v="12.78"/>
    <s v="-"/>
    <s v="-"/>
    <s v="-"/>
    <s v="-"/>
    <s v="-"/>
    <s v="-"/>
    <s v="-"/>
    <s v="-"/>
    <s v="P"/>
    <s v="P"/>
    <s v="-"/>
    <n v="2"/>
    <n v="1"/>
    <n v="2"/>
    <n v="1"/>
    <s v="-"/>
    <s v="-"/>
    <s v="-"/>
    <s v="-"/>
    <s v="-"/>
    <s v="-"/>
    <s v="-"/>
    <n v="6"/>
    <n v="6"/>
    <s v="-"/>
    <n v="1"/>
    <n v="1"/>
    <n v="2"/>
    <n v="2"/>
    <n v="8"/>
    <n v="8"/>
  </r>
  <r>
    <x v="6"/>
    <x v="160"/>
    <d v="2026-07-23T00:00:00"/>
    <s v="2ND"/>
    <d v="1899-12-30T19:00:00"/>
    <n v="3"/>
    <x v="42"/>
    <n v="1.34E-2"/>
    <s v="P"/>
    <s v="P"/>
    <s v="P"/>
    <s v="+"/>
    <s v="+"/>
    <n v="11.72"/>
    <s v="-"/>
    <s v="-"/>
    <s v="-"/>
    <s v="-"/>
    <s v="-"/>
    <s v="-"/>
    <s v="-"/>
    <s v="-"/>
    <s v="P"/>
    <s v="P"/>
    <s v="-"/>
    <n v="2"/>
    <n v="1"/>
    <n v="2"/>
    <n v="0"/>
    <s v="-"/>
    <s v="-"/>
    <s v="-"/>
    <s v="-"/>
    <s v="-"/>
    <s v="-"/>
    <s v="-"/>
    <n v="5"/>
    <n v="6"/>
    <s v="-"/>
    <n v="1"/>
    <n v="1"/>
    <n v="2"/>
    <n v="2"/>
    <n v="7"/>
    <n v="8"/>
  </r>
  <r>
    <x v="6"/>
    <x v="160"/>
    <d v="1902-03-26T00:00:00"/>
    <s v="3RD"/>
    <d v="1899-12-31T02:00:00"/>
    <n v="2"/>
    <x v="15"/>
    <n v="7.1999999999999998E-3"/>
    <s v="P"/>
    <s v="P"/>
    <s v="P"/>
    <s v="-"/>
    <s v="+"/>
    <n v="11.92"/>
    <n v="8.99"/>
    <n v="0.46"/>
    <n v="54.9"/>
    <s v="-"/>
    <s v="-"/>
    <n v="24.37"/>
    <s v="-"/>
    <s v="-"/>
    <s v="P"/>
    <s v="P"/>
    <s v="-"/>
    <n v="2"/>
    <n v="1"/>
    <n v="2"/>
    <n v="1"/>
    <n v="1"/>
    <n v="2"/>
    <n v="2"/>
    <s v="-"/>
    <s v="-"/>
    <n v="2"/>
    <s v="-"/>
    <n v="13"/>
    <n v="13"/>
    <s v="-"/>
    <n v="1"/>
    <n v="1"/>
    <n v="2"/>
    <n v="2"/>
    <n v="15"/>
    <n v="15"/>
  </r>
  <r>
    <x v="6"/>
    <x v="161"/>
    <d v="1902-03-26T00:00:00"/>
    <s v="1ST"/>
    <s v="10:00"/>
    <n v="2"/>
    <x v="5"/>
    <n v="2.3999999999999998E-3"/>
    <s v="P"/>
    <s v="P"/>
    <s v="P"/>
    <s v="-"/>
    <s v="+"/>
    <n v="11.5"/>
    <n v="9.07"/>
    <n v="0.5"/>
    <n v="55.8"/>
    <s v="-"/>
    <s v="-"/>
    <n v="24.65"/>
    <s v="-"/>
    <s v="-"/>
    <s v="P"/>
    <s v="P"/>
    <s v="-"/>
    <n v="2"/>
    <n v="1"/>
    <n v="2"/>
    <n v="1"/>
    <n v="1"/>
    <n v="2"/>
    <n v="2"/>
    <s v="-"/>
    <s v="-"/>
    <n v="2"/>
    <s v="-"/>
    <n v="13"/>
    <n v="13"/>
    <s v="-"/>
    <n v="1"/>
    <n v="1"/>
    <n v="2"/>
    <n v="2"/>
    <n v="15"/>
    <n v="15"/>
  </r>
  <r>
    <x v="6"/>
    <x v="161"/>
    <d v="1899-12-30T00:00:00"/>
    <s v="1ST"/>
    <s v="11:00"/>
    <n v="2"/>
    <x v="5"/>
    <n v="3.8999999999999998E-3"/>
    <s v="P"/>
    <s v="P"/>
    <s v="P"/>
    <s v="-"/>
    <s v="+"/>
    <n v="11.23"/>
    <s v="-"/>
    <s v="-"/>
    <s v="-"/>
    <s v="-"/>
    <s v="-"/>
    <s v="-"/>
    <s v="-"/>
    <s v="-"/>
    <s v="P"/>
    <s v="P"/>
    <s v="-"/>
    <n v="2"/>
    <n v="1"/>
    <n v="2"/>
    <n v="1"/>
    <s v="-"/>
    <s v="-"/>
    <s v="-"/>
    <s v="-"/>
    <s v="-"/>
    <s v="-"/>
    <s v="-"/>
    <n v="6"/>
    <n v="6"/>
    <s v="-"/>
    <n v="1"/>
    <n v="1"/>
    <n v="2"/>
    <n v="2"/>
    <n v="8"/>
    <n v="8"/>
  </r>
  <r>
    <x v="6"/>
    <x v="161"/>
    <d v="1899-12-30T00:00:00"/>
    <s v="1ST"/>
    <s v="12:00"/>
    <n v="2"/>
    <x v="5"/>
    <n v="4.1999999999999997E-3"/>
    <s v="P"/>
    <s v="P"/>
    <s v="P"/>
    <s v="-"/>
    <s v="+"/>
    <n v="11.39"/>
    <s v="-"/>
    <s v="-"/>
    <s v="-"/>
    <s v="-"/>
    <s v="-"/>
    <s v="-"/>
    <s v="-"/>
    <s v="-"/>
    <s v="P"/>
    <s v="P"/>
    <s v="-"/>
    <n v="2"/>
    <n v="1"/>
    <n v="2"/>
    <n v="1"/>
    <s v="-"/>
    <s v="-"/>
    <s v="-"/>
    <s v="-"/>
    <s v="-"/>
    <s v="-"/>
    <s v="-"/>
    <n v="6"/>
    <n v="6"/>
    <s v="-"/>
    <n v="1"/>
    <n v="1"/>
    <n v="2"/>
    <n v="2"/>
    <n v="8"/>
    <n v="8"/>
  </r>
  <r>
    <x v="6"/>
    <x v="161"/>
    <d v="2026-07-19T00:00:00"/>
    <s v="1ST"/>
    <s v="08:00"/>
    <n v="3"/>
    <x v="6"/>
    <n v="1.4200000000000001E-2"/>
    <s v="P"/>
    <s v="P"/>
    <s v="P"/>
    <s v="+"/>
    <s v="+"/>
    <n v="12.12"/>
    <n v="12.44"/>
    <n v="0.57999999999999996"/>
    <s v="-"/>
    <n v="10.6"/>
    <n v="1123"/>
    <n v="34.82"/>
    <s v="-"/>
    <s v="-"/>
    <s v="P"/>
    <s v="P"/>
    <s v="60% 10% 30%"/>
    <n v="2"/>
    <n v="1"/>
    <n v="2"/>
    <n v="1"/>
    <n v="1"/>
    <n v="2"/>
    <s v="-"/>
    <n v="0"/>
    <n v="0"/>
    <n v="2"/>
    <s v="-"/>
    <n v="11"/>
    <n v="13"/>
    <s v="-"/>
    <n v="1"/>
    <n v="1"/>
    <n v="2"/>
    <n v="2"/>
    <n v="13"/>
    <n v="15"/>
  </r>
  <r>
    <x v="6"/>
    <x v="161"/>
    <d v="2026-07-19T00:00:00"/>
    <s v="1ST"/>
    <s v="12:00"/>
    <n v="3"/>
    <x v="6"/>
    <n v="1.11E-2"/>
    <s v="P"/>
    <s v="P"/>
    <s v="P"/>
    <s v="+"/>
    <s v="+"/>
    <n v="12.24"/>
    <s v="-"/>
    <s v="-"/>
    <s v="-"/>
    <s v="-"/>
    <s v="-"/>
    <s v="-"/>
    <s v="-"/>
    <s v="-"/>
    <s v="P"/>
    <s v="P"/>
    <s v="-"/>
    <n v="2"/>
    <n v="1"/>
    <n v="2"/>
    <n v="1"/>
    <s v="-"/>
    <s v="-"/>
    <s v="-"/>
    <s v="-"/>
    <s v="-"/>
    <s v="-"/>
    <s v="-"/>
    <n v="6"/>
    <n v="6"/>
    <s v="-"/>
    <n v="1"/>
    <n v="1"/>
    <n v="2"/>
    <n v="2"/>
    <n v="8"/>
    <n v="8"/>
  </r>
  <r>
    <x v="6"/>
    <x v="161"/>
    <d v="2026-07-19T00:00:00"/>
    <s v="1ST"/>
    <s v="13:00"/>
    <n v="3"/>
    <x v="6"/>
    <n v="9.7999999999999997E-3"/>
    <s v="P"/>
    <s v="P"/>
    <s v="P"/>
    <s v="+"/>
    <s v="+"/>
    <n v="12.05"/>
    <s v="-"/>
    <s v="-"/>
    <s v="-"/>
    <s v="-"/>
    <s v="-"/>
    <s v="-"/>
    <s v="-"/>
    <s v="-"/>
    <s v="P"/>
    <s v="P"/>
    <s v="-"/>
    <n v="2"/>
    <n v="1"/>
    <n v="2"/>
    <n v="1"/>
    <s v="-"/>
    <s v="-"/>
    <s v="-"/>
    <s v="-"/>
    <s v="-"/>
    <s v="-"/>
    <s v="-"/>
    <n v="6"/>
    <n v="6"/>
    <s v="-"/>
    <n v="1"/>
    <n v="1"/>
    <n v="2"/>
    <n v="2"/>
    <n v="8"/>
    <n v="8"/>
  </r>
  <r>
    <x v="6"/>
    <x v="161"/>
    <d v="2026-07-23T00:00:00"/>
    <s v="2ND"/>
    <d v="1899-12-30T14:00:00"/>
    <n v="1"/>
    <x v="22"/>
    <n v="2.8999999999999998E-3"/>
    <s v="P"/>
    <s v="P"/>
    <s v="P"/>
    <s v="-"/>
    <s v="-"/>
    <n v="11.48"/>
    <n v="8.98"/>
    <n v="0.49"/>
    <n v="55.4"/>
    <s v="-"/>
    <s v="-"/>
    <n v="24.33"/>
    <s v="-"/>
    <s v="-"/>
    <s v="P"/>
    <s v="P"/>
    <n v="1"/>
    <n v="2"/>
    <n v="1"/>
    <n v="2"/>
    <n v="1"/>
    <n v="1"/>
    <n v="0"/>
    <n v="2"/>
    <s v="-"/>
    <s v="-"/>
    <n v="2"/>
    <s v="-"/>
    <n v="11"/>
    <n v="13"/>
    <s v="-"/>
    <n v="1"/>
    <n v="1"/>
    <n v="2"/>
    <n v="2"/>
    <n v="13"/>
    <n v="15"/>
  </r>
  <r>
    <x v="6"/>
    <x v="161"/>
    <d v="2026-07-23T00:00:00"/>
    <s v="2ND"/>
    <d v="1899-12-30T16:00:00"/>
    <n v="1"/>
    <x v="22"/>
    <n v="1.4E-3"/>
    <s v="P"/>
    <s v="P"/>
    <s v="P"/>
    <s v="-"/>
    <s v="-"/>
    <n v="11.83"/>
    <s v="-"/>
    <s v="-"/>
    <s v="-"/>
    <s v="-"/>
    <s v="-"/>
    <s v="-"/>
    <s v="-"/>
    <s v="-"/>
    <s v="P"/>
    <s v="P"/>
    <s v="-"/>
    <n v="2"/>
    <n v="1"/>
    <n v="2"/>
    <n v="1"/>
    <s v="-"/>
    <s v="-"/>
    <s v="-"/>
    <s v="-"/>
    <s v="-"/>
    <s v="-"/>
    <s v="-"/>
    <n v="6"/>
    <n v="6"/>
    <s v="-"/>
    <n v="1"/>
    <n v="1"/>
    <n v="2"/>
    <n v="2"/>
    <n v="8"/>
    <n v="8"/>
  </r>
  <r>
    <x v="6"/>
    <x v="161"/>
    <d v="2026-07-23T00:00:00"/>
    <s v="2ND"/>
    <d v="1899-12-30T18:00:00"/>
    <n v="1"/>
    <x v="22"/>
    <n v="1.4E-3"/>
    <s v="P"/>
    <s v="P"/>
    <s v="P"/>
    <s v="-"/>
    <s v="-"/>
    <n v="11.97"/>
    <s v="-"/>
    <s v="-"/>
    <s v="-"/>
    <s v="-"/>
    <s v="-"/>
    <s v="-"/>
    <s v="-"/>
    <s v="-"/>
    <s v="P"/>
    <s v="P"/>
    <s v="-"/>
    <n v="2"/>
    <n v="1"/>
    <n v="2"/>
    <n v="1"/>
    <s v="-"/>
    <s v="-"/>
    <s v="-"/>
    <s v="-"/>
    <s v="-"/>
    <s v="-"/>
    <s v="-"/>
    <n v="6"/>
    <n v="6"/>
    <s v="-"/>
    <n v="1"/>
    <n v="1"/>
    <n v="2"/>
    <n v="2"/>
    <n v="8"/>
    <n v="8"/>
  </r>
  <r>
    <x v="6"/>
    <x v="161"/>
    <d v="2026-07-23T00:00:00"/>
    <s v="2ND"/>
    <d v="1899-12-30T19:00:00"/>
    <n v="1"/>
    <x v="22"/>
    <n v="2.5000000000000001E-3"/>
    <s v="P"/>
    <s v="P"/>
    <s v="P"/>
    <s v="-"/>
    <s v="-"/>
    <n v="11.72"/>
    <s v="-"/>
    <s v="-"/>
    <s v="-"/>
    <s v="-"/>
    <s v="-"/>
    <s v="-"/>
    <s v="-"/>
    <s v="-"/>
    <s v="P"/>
    <s v="P"/>
    <s v="-"/>
    <n v="2"/>
    <n v="1"/>
    <n v="2"/>
    <n v="1"/>
    <s v="-"/>
    <s v="-"/>
    <s v="-"/>
    <s v="-"/>
    <s v="-"/>
    <s v="-"/>
    <s v="-"/>
    <n v="6"/>
    <n v="6"/>
    <s v="-"/>
    <n v="1"/>
    <n v="1"/>
    <n v="2"/>
    <n v="2"/>
    <n v="8"/>
    <n v="8"/>
  </r>
  <r>
    <x v="6"/>
    <x v="161"/>
    <d v="2026-07-23T00:00:00"/>
    <s v="2ND"/>
    <d v="1899-12-30T20:00:00"/>
    <n v="1"/>
    <x v="22"/>
    <n v="3.5999999999999999E-3"/>
    <s v="P"/>
    <s v="P"/>
    <s v="P"/>
    <s v="-"/>
    <s v="-"/>
    <n v="11.74"/>
    <s v="-"/>
    <s v="-"/>
    <s v="-"/>
    <s v="-"/>
    <s v="-"/>
    <s v="-"/>
    <s v="-"/>
    <s v="-"/>
    <s v="P"/>
    <s v="P"/>
    <s v="-"/>
    <n v="2"/>
    <n v="1"/>
    <n v="2"/>
    <n v="1"/>
    <s v="-"/>
    <s v="-"/>
    <s v="-"/>
    <s v="-"/>
    <s v="-"/>
    <s v="-"/>
    <s v="-"/>
    <n v="6"/>
    <n v="6"/>
    <s v="-"/>
    <n v="1"/>
    <n v="1"/>
    <n v="2"/>
    <n v="2"/>
    <n v="8"/>
    <n v="8"/>
  </r>
  <r>
    <x v="6"/>
    <x v="161"/>
    <d v="1902-03-26T00:00:00"/>
    <s v="2ND"/>
    <d v="1899-12-30T14:00:00"/>
    <n v="2"/>
    <x v="5"/>
    <n v="4.4000000000000003E-3"/>
    <s v="P"/>
    <s v="P"/>
    <s v="P"/>
    <s v="-"/>
    <s v="+"/>
    <n v="11.13"/>
    <s v="-"/>
    <s v="-"/>
    <s v="-"/>
    <s v="-"/>
    <s v="-"/>
    <s v="-"/>
    <s v="-"/>
    <s v="-"/>
    <s v="P"/>
    <s v="P"/>
    <s v="-"/>
    <n v="2"/>
    <n v="1"/>
    <n v="2"/>
    <n v="1"/>
    <s v="-"/>
    <s v="-"/>
    <s v="-"/>
    <s v="-"/>
    <s v="-"/>
    <s v="-"/>
    <s v="-"/>
    <n v="6"/>
    <n v="6"/>
    <s v="-"/>
    <n v="1"/>
    <n v="1"/>
    <n v="2"/>
    <n v="2"/>
    <n v="8"/>
    <n v="8"/>
  </r>
  <r>
    <x v="6"/>
    <x v="161"/>
    <d v="1899-12-30T00:00:00"/>
    <s v="2ND"/>
    <d v="1899-12-30T17:00:00"/>
    <n v="2"/>
    <x v="2"/>
    <n v="2.8E-3"/>
    <s v="P"/>
    <s v="P"/>
    <s v="P"/>
    <s v="-"/>
    <s v="+"/>
    <n v="11.2"/>
    <n v="8.66"/>
    <s v="-"/>
    <s v="-"/>
    <s v="-"/>
    <s v="-"/>
    <n v="24.05"/>
    <s v="-"/>
    <s v="-"/>
    <s v="P"/>
    <s v="P"/>
    <s v="-"/>
    <n v="2"/>
    <n v="1"/>
    <n v="2"/>
    <n v="0"/>
    <n v="0"/>
    <s v="-"/>
    <s v="-"/>
    <s v="-"/>
    <s v="-"/>
    <n v="0"/>
    <s v="-"/>
    <n v="5"/>
    <n v="9"/>
    <s v="-"/>
    <n v="1"/>
    <n v="1"/>
    <n v="2"/>
    <n v="2"/>
    <n v="7"/>
    <n v="11"/>
  </r>
  <r>
    <x v="6"/>
    <x v="161"/>
    <d v="1899-12-30T00:00:00"/>
    <s v="2ND"/>
    <d v="1899-12-30T18:00:00"/>
    <n v="2"/>
    <x v="2"/>
    <n v="2.0999999999999999E-3"/>
    <s v="P"/>
    <s v="P"/>
    <s v="P"/>
    <s v="-"/>
    <s v="+"/>
    <n v="11.04"/>
    <s v="-"/>
    <s v="-"/>
    <s v="-"/>
    <s v="-"/>
    <s v="-"/>
    <s v="-"/>
    <s v="-"/>
    <s v="-"/>
    <s v="P"/>
    <s v="P"/>
    <s v="-"/>
    <n v="2"/>
    <n v="1"/>
    <n v="2"/>
    <n v="0"/>
    <s v="-"/>
    <s v="-"/>
    <s v="-"/>
    <s v="-"/>
    <s v="-"/>
    <s v="-"/>
    <s v="-"/>
    <n v="5"/>
    <n v="6"/>
    <s v="-"/>
    <n v="1"/>
    <n v="1"/>
    <n v="2"/>
    <n v="2"/>
    <n v="7"/>
    <n v="8"/>
  </r>
  <r>
    <x v="6"/>
    <x v="161"/>
    <d v="1899-12-30T00:00:00"/>
    <s v="2ND"/>
    <d v="1899-12-30T19:00:00"/>
    <n v="2"/>
    <x v="2"/>
    <n v="2.3999999999999998E-3"/>
    <s v="P"/>
    <s v="P"/>
    <s v="P"/>
    <s v="-"/>
    <s v="+"/>
    <n v="11.26"/>
    <s v="-"/>
    <s v="-"/>
    <s v="-"/>
    <s v="-"/>
    <s v="-"/>
    <s v="-"/>
    <s v="-"/>
    <s v="-"/>
    <s v="P"/>
    <s v="P"/>
    <s v="-"/>
    <n v="2"/>
    <n v="1"/>
    <n v="2"/>
    <n v="0"/>
    <s v="-"/>
    <s v="-"/>
    <s v="-"/>
    <s v="-"/>
    <s v="-"/>
    <s v="-"/>
    <s v="-"/>
    <n v="5"/>
    <n v="6"/>
    <s v="-"/>
    <n v="1"/>
    <n v="1"/>
    <n v="2"/>
    <n v="2"/>
    <n v="7"/>
    <n v="8"/>
  </r>
  <r>
    <x v="6"/>
    <x v="161"/>
    <d v="1899-12-30T00:00:00"/>
    <s v="2ND"/>
    <d v="1899-12-30T20:00:00"/>
    <n v="2"/>
    <x v="2"/>
    <n v="3.0000000000000001E-3"/>
    <s v="P"/>
    <s v="P"/>
    <s v="P"/>
    <s v="-"/>
    <s v="+"/>
    <s v="-"/>
    <s v="-"/>
    <s v="-"/>
    <s v="-"/>
    <s v="-"/>
    <s v="-"/>
    <s v="-"/>
    <s v="-"/>
    <s v="-"/>
    <s v="P"/>
    <s v="P"/>
    <s v="-"/>
    <n v="2"/>
    <n v="1"/>
    <n v="2"/>
    <s v="-"/>
    <s v="-"/>
    <s v="-"/>
    <s v="-"/>
    <s v="-"/>
    <s v="-"/>
    <s v="-"/>
    <s v="-"/>
    <n v="5"/>
    <n v="5"/>
    <s v="-"/>
    <n v="1"/>
    <n v="1"/>
    <n v="2"/>
    <n v="2"/>
    <n v="7"/>
    <n v="7"/>
  </r>
  <r>
    <x v="6"/>
    <x v="161"/>
    <d v="2026-07-19T00:00:00"/>
    <s v="2ND"/>
    <d v="1899-12-30T14:00:00"/>
    <n v="3"/>
    <x v="6"/>
    <n v="1.0999999999999999E-2"/>
    <s v="P"/>
    <s v="P"/>
    <s v="P"/>
    <s v="+"/>
    <s v="+"/>
    <n v="12.18"/>
    <n v="12.37"/>
    <s v="-"/>
    <s v="-"/>
    <s v="-"/>
    <s v="-"/>
    <n v="34.53"/>
    <s v="-"/>
    <s v="-"/>
    <s v="P"/>
    <s v="P"/>
    <s v="-"/>
    <n v="2"/>
    <n v="1"/>
    <n v="2"/>
    <n v="1"/>
    <n v="1"/>
    <s v="-"/>
    <s v="-"/>
    <s v="-"/>
    <s v="-"/>
    <n v="2"/>
    <s v="-"/>
    <n v="9"/>
    <n v="9"/>
    <s v="-"/>
    <n v="1"/>
    <n v="1"/>
    <n v="2"/>
    <n v="2"/>
    <n v="11"/>
    <n v="11"/>
  </r>
  <r>
    <x v="6"/>
    <x v="161"/>
    <d v="2026-07-19T00:00:00"/>
    <s v="2ND"/>
    <d v="1899-12-30T16:00:00"/>
    <n v="3"/>
    <x v="6"/>
    <n v="1.01E-2"/>
    <s v="P"/>
    <s v="P"/>
    <s v="P"/>
    <s v="+"/>
    <s v="+"/>
    <n v="12.11"/>
    <s v="-"/>
    <s v="-"/>
    <s v="-"/>
    <s v="-"/>
    <s v="-"/>
    <s v="-"/>
    <s v="-"/>
    <s v="-"/>
    <s v="P"/>
    <s v="P"/>
    <s v="-"/>
    <n v="2"/>
    <n v="1"/>
    <n v="2"/>
    <n v="1"/>
    <s v="-"/>
    <s v="-"/>
    <s v="-"/>
    <s v="-"/>
    <s v="-"/>
    <s v="-"/>
    <s v="-"/>
    <n v="6"/>
    <n v="6"/>
    <s v="-"/>
    <n v="1"/>
    <n v="1"/>
    <n v="2"/>
    <n v="2"/>
    <n v="8"/>
    <n v="8"/>
  </r>
  <r>
    <x v="6"/>
    <x v="161"/>
    <d v="2026-07-19T00:00:00"/>
    <s v="2ND"/>
    <d v="1899-12-30T18:00:00"/>
    <n v="3"/>
    <x v="6"/>
    <n v="9.4999999999999998E-3"/>
    <s v="P"/>
    <s v="P"/>
    <s v="P"/>
    <s v="+"/>
    <s v="+"/>
    <s v="-"/>
    <s v="-"/>
    <s v="-"/>
    <s v="-"/>
    <s v="-"/>
    <s v="-"/>
    <s v="-"/>
    <s v="-"/>
    <s v="-"/>
    <s v="P"/>
    <s v="P"/>
    <s v="-"/>
    <n v="2"/>
    <n v="1"/>
    <n v="2"/>
    <s v="-"/>
    <s v="-"/>
    <s v="-"/>
    <s v="-"/>
    <s v="-"/>
    <s v="-"/>
    <s v="-"/>
    <s v="-"/>
    <n v="5"/>
    <n v="5"/>
    <s v="-"/>
    <n v="1"/>
    <n v="1"/>
    <n v="2"/>
    <n v="2"/>
    <n v="7"/>
    <n v="7"/>
  </r>
  <r>
    <x v="6"/>
    <x v="161"/>
    <d v="2026-07-19T00:00:00"/>
    <s v="2ND"/>
    <d v="1899-12-30T20:00:00"/>
    <n v="3"/>
    <x v="0"/>
    <n v="1.0200000000000001E-2"/>
    <s v="P"/>
    <s v="P"/>
    <s v="P"/>
    <s v="+"/>
    <s v="+"/>
    <n v="11.96"/>
    <n v="11.89"/>
    <s v="-"/>
    <s v="-"/>
    <s v="-"/>
    <s v="-"/>
    <n v="36.47"/>
    <s v="-"/>
    <s v="-"/>
    <s v="P"/>
    <s v="P"/>
    <s v="85% 10% 5%"/>
    <n v="2"/>
    <n v="1"/>
    <n v="2"/>
    <n v="0"/>
    <n v="0"/>
    <s v="-"/>
    <s v="-"/>
    <s v="-"/>
    <s v="-"/>
    <n v="2"/>
    <s v="-"/>
    <n v="7"/>
    <n v="9"/>
    <s v="-"/>
    <n v="1"/>
    <n v="1"/>
    <n v="2"/>
    <n v="2"/>
    <n v="9"/>
    <n v="11"/>
  </r>
  <r>
    <x v="6"/>
    <x v="161"/>
    <d v="2026-07-19T00:00:00"/>
    <s v="2ND"/>
    <d v="1899-12-30T21:00:00"/>
    <n v="3"/>
    <x v="1"/>
    <n v="4.1999999999999997E-3"/>
    <s v="P"/>
    <s v="P"/>
    <s v="P"/>
    <s v="+"/>
    <s v="+"/>
    <n v="12.07"/>
    <s v="-"/>
    <s v="-"/>
    <s v="-"/>
    <s v="-"/>
    <s v="-"/>
    <s v="-"/>
    <s v="-"/>
    <s v="-"/>
    <s v="P"/>
    <s v="P"/>
    <s v="-"/>
    <n v="2"/>
    <n v="1"/>
    <n v="2"/>
    <n v="1"/>
    <s v="-"/>
    <s v="-"/>
    <s v="-"/>
    <s v="-"/>
    <s v="-"/>
    <s v="-"/>
    <s v="-"/>
    <n v="6"/>
    <n v="6"/>
    <s v="-"/>
    <n v="1"/>
    <n v="1"/>
    <n v="2"/>
    <n v="2"/>
    <n v="8"/>
    <n v="8"/>
  </r>
  <r>
    <x v="6"/>
    <x v="161"/>
    <d v="2026-07-23T00:00:00"/>
    <s v="3RD"/>
    <d v="1899-12-30T22:00:00"/>
    <n v="1"/>
    <x v="22"/>
    <n v="1.8E-3"/>
    <s v="P"/>
    <s v="P"/>
    <s v="P"/>
    <s v="-"/>
    <s v="-"/>
    <n v="11.68"/>
    <n v="9.0299999999999994"/>
    <s v="-"/>
    <s v="-"/>
    <s v="-"/>
    <s v="-"/>
    <n v="24.4"/>
    <s v="-"/>
    <s v="-"/>
    <s v="P"/>
    <s v="P"/>
    <n v="1"/>
    <n v="2"/>
    <n v="1"/>
    <n v="2"/>
    <n v="1"/>
    <n v="1"/>
    <s v="-"/>
    <s v="-"/>
    <s v="-"/>
    <s v="-"/>
    <n v="2"/>
    <s v="-"/>
    <n v="9"/>
    <n v="9"/>
    <s v="-"/>
    <n v="1"/>
    <n v="1"/>
    <n v="2"/>
    <n v="2"/>
    <n v="11"/>
    <n v="11"/>
  </r>
  <r>
    <x v="6"/>
    <x v="161"/>
    <d v="2026-07-23T00:00:00"/>
    <s v="3RD"/>
    <d v="1899-12-31T00:00:00"/>
    <n v="1"/>
    <x v="22"/>
    <n v="2.8E-3"/>
    <s v="P"/>
    <s v="P"/>
    <s v="P"/>
    <s v="-"/>
    <s v="-"/>
    <n v="11.96"/>
    <s v="-"/>
    <s v="-"/>
    <s v="-"/>
    <s v="-"/>
    <s v="-"/>
    <s v="-"/>
    <s v="-"/>
    <s v="-"/>
    <s v="P"/>
    <s v="P"/>
    <s v="-"/>
    <n v="2"/>
    <n v="1"/>
    <n v="2"/>
    <n v="1"/>
    <s v="-"/>
    <s v="-"/>
    <s v="-"/>
    <s v="-"/>
    <s v="-"/>
    <s v="-"/>
    <s v="-"/>
    <n v="6"/>
    <n v="6"/>
    <s v="-"/>
    <n v="1"/>
    <n v="1"/>
    <n v="2"/>
    <n v="2"/>
    <n v="8"/>
    <n v="8"/>
  </r>
  <r>
    <x v="6"/>
    <x v="161"/>
    <d v="2026-07-23T00:00:00"/>
    <s v="3RD"/>
    <d v="1899-12-31T01:00:00"/>
    <n v="1"/>
    <x v="22"/>
    <n v="1.9E-3"/>
    <s v="P"/>
    <s v="P"/>
    <s v="P"/>
    <s v="-"/>
    <s v="-"/>
    <n v="11.7"/>
    <s v="-"/>
    <s v="-"/>
    <s v="-"/>
    <s v="-"/>
    <s v="-"/>
    <s v="-"/>
    <s v="-"/>
    <s v="-"/>
    <s v="P"/>
    <s v="P"/>
    <s v="-"/>
    <n v="2"/>
    <n v="1"/>
    <n v="2"/>
    <n v="1"/>
    <s v="-"/>
    <s v="-"/>
    <s v="-"/>
    <s v="-"/>
    <s v="-"/>
    <s v="-"/>
    <s v="-"/>
    <n v="6"/>
    <n v="6"/>
    <s v="-"/>
    <n v="1"/>
    <n v="1"/>
    <n v="2"/>
    <n v="2"/>
    <n v="8"/>
    <n v="8"/>
  </r>
  <r>
    <x v="6"/>
    <x v="161"/>
    <d v="2026-07-23T00:00:00"/>
    <s v="3RD"/>
    <d v="1899-12-31T02:00:00"/>
    <n v="1"/>
    <x v="22"/>
    <n v="1E-3"/>
    <s v="P"/>
    <s v="P"/>
    <s v="P"/>
    <s v="-"/>
    <s v="-"/>
    <n v="11.68"/>
    <s v="-"/>
    <s v="-"/>
    <s v="-"/>
    <s v="-"/>
    <s v="-"/>
    <s v="-"/>
    <s v="-"/>
    <s v="-"/>
    <s v="P"/>
    <s v="P"/>
    <s v="-"/>
    <n v="2"/>
    <n v="1"/>
    <n v="2"/>
    <n v="1"/>
    <s v="-"/>
    <s v="-"/>
    <s v="-"/>
    <s v="-"/>
    <s v="-"/>
    <s v="-"/>
    <s v="-"/>
    <n v="6"/>
    <n v="6"/>
    <s v="-"/>
    <n v="1"/>
    <n v="1"/>
    <n v="2"/>
    <n v="2"/>
    <n v="8"/>
    <n v="8"/>
  </r>
  <r>
    <x v="6"/>
    <x v="161"/>
    <d v="2026-07-23T00:00:00"/>
    <s v="3RD"/>
    <d v="1899-12-31T03:00:00"/>
    <n v="1"/>
    <x v="22"/>
    <n v="1.4E-3"/>
    <s v="P"/>
    <s v="P"/>
    <s v="P"/>
    <s v="-"/>
    <s v="-"/>
    <n v="11.49"/>
    <s v="-"/>
    <s v="-"/>
    <s v="-"/>
    <s v="-"/>
    <s v="-"/>
    <s v="-"/>
    <s v="-"/>
    <s v="-"/>
    <s v="P"/>
    <s v="P"/>
    <s v="-"/>
    <n v="2"/>
    <n v="1"/>
    <n v="2"/>
    <n v="1"/>
    <s v="-"/>
    <s v="-"/>
    <s v="-"/>
    <s v="-"/>
    <s v="-"/>
    <s v="-"/>
    <s v="-"/>
    <n v="6"/>
    <n v="6"/>
    <s v="-"/>
    <n v="1"/>
    <n v="1"/>
    <n v="2"/>
    <n v="2"/>
    <n v="8"/>
    <n v="8"/>
  </r>
  <r>
    <x v="6"/>
    <x v="161"/>
    <d v="2026-07-23T00:00:00"/>
    <s v="3RD"/>
    <d v="1899-12-31T04:00:00"/>
    <n v="1"/>
    <x v="22"/>
    <n v="1.1999999999999999E-3"/>
    <s v="P"/>
    <s v="P"/>
    <s v="P"/>
    <s v="-"/>
    <s v="-"/>
    <n v="11.75"/>
    <s v="-"/>
    <s v="-"/>
    <s v="-"/>
    <s v="-"/>
    <s v="-"/>
    <s v="-"/>
    <s v="-"/>
    <s v="-"/>
    <s v="P"/>
    <s v="P"/>
    <s v="-"/>
    <n v="2"/>
    <n v="1"/>
    <n v="2"/>
    <n v="1"/>
    <s v="-"/>
    <s v="-"/>
    <s v="-"/>
    <s v="-"/>
    <s v="-"/>
    <s v="-"/>
    <s v="-"/>
    <n v="6"/>
    <n v="6"/>
    <s v="-"/>
    <n v="1"/>
    <n v="1"/>
    <n v="2"/>
    <n v="2"/>
    <n v="8"/>
    <n v="8"/>
  </r>
  <r>
    <x v="6"/>
    <x v="161"/>
    <d v="1902-03-26T00:00:00"/>
    <s v="3RD"/>
    <d v="1899-12-30T22:00:00"/>
    <n v="2"/>
    <x v="2"/>
    <n v="2.2000000000000001E-3"/>
    <s v="P"/>
    <s v="P"/>
    <s v="P"/>
    <s v="-"/>
    <s v="+"/>
    <n v="11.36"/>
    <s v="-"/>
    <s v="-"/>
    <s v="-"/>
    <s v="-"/>
    <s v="-"/>
    <s v="-"/>
    <s v="-"/>
    <s v="-"/>
    <s v="P"/>
    <s v="P"/>
    <s v="-"/>
    <n v="2"/>
    <n v="1"/>
    <n v="2"/>
    <n v="0"/>
    <s v="-"/>
    <s v="-"/>
    <s v="-"/>
    <s v="-"/>
    <s v="-"/>
    <s v="-"/>
    <s v="-"/>
    <n v="5"/>
    <n v="6"/>
    <s v="-"/>
    <n v="1"/>
    <n v="1"/>
    <n v="2"/>
    <n v="2"/>
    <n v="7"/>
    <n v="8"/>
  </r>
  <r>
    <x v="6"/>
    <x v="161"/>
    <d v="1899-12-30T00:00:00"/>
    <s v="3RD"/>
    <d v="1899-12-31T00:00:00"/>
    <n v="2"/>
    <x v="2"/>
    <n v="1.8E-3"/>
    <s v="P"/>
    <s v="P"/>
    <s v="P"/>
    <s v="-"/>
    <s v="+"/>
    <n v="11.14"/>
    <s v="-"/>
    <s v="-"/>
    <s v="-"/>
    <s v="-"/>
    <s v="-"/>
    <s v="-"/>
    <s v="-"/>
    <s v="-"/>
    <s v="P"/>
    <s v="P"/>
    <s v="-"/>
    <n v="2"/>
    <n v="1"/>
    <n v="2"/>
    <n v="0"/>
    <s v="-"/>
    <s v="-"/>
    <s v="-"/>
    <s v="-"/>
    <s v="-"/>
    <s v="-"/>
    <s v="-"/>
    <n v="5"/>
    <n v="6"/>
    <s v="-"/>
    <n v="1"/>
    <n v="1"/>
    <n v="2"/>
    <n v="2"/>
    <n v="7"/>
    <n v="8"/>
  </r>
  <r>
    <x v="6"/>
    <x v="161"/>
    <d v="1899-12-30T00:00:00"/>
    <s v="3RD"/>
    <d v="1899-12-31T01:00:00"/>
    <n v="2"/>
    <x v="2"/>
    <n v="2E-3"/>
    <s v="P"/>
    <s v="P"/>
    <s v="P"/>
    <s v="-"/>
    <s v="+"/>
    <n v="11.33"/>
    <s v="-"/>
    <s v="-"/>
    <s v="-"/>
    <s v="-"/>
    <s v="-"/>
    <s v="-"/>
    <s v="-"/>
    <s v="-"/>
    <s v="P"/>
    <s v="P"/>
    <s v="-"/>
    <n v="2"/>
    <n v="1"/>
    <n v="2"/>
    <n v="0"/>
    <s v="-"/>
    <s v="-"/>
    <s v="-"/>
    <s v="-"/>
    <s v="-"/>
    <s v="-"/>
    <s v="-"/>
    <n v="5"/>
    <n v="6"/>
    <s v="-"/>
    <n v="1"/>
    <n v="1"/>
    <n v="2"/>
    <n v="2"/>
    <n v="7"/>
    <n v="8"/>
  </r>
  <r>
    <x v="6"/>
    <x v="161"/>
    <d v="1899-12-30T00:00:00"/>
    <s v="3RD"/>
    <d v="1899-12-31T02:00:00"/>
    <n v="2"/>
    <x v="2"/>
    <n v="2.3999999999999998E-3"/>
    <s v="P"/>
    <s v="P"/>
    <s v="P"/>
    <s v="-"/>
    <s v="+"/>
    <s v="-"/>
    <s v="-"/>
    <s v="-"/>
    <s v="-"/>
    <s v="-"/>
    <s v="-"/>
    <s v="-"/>
    <s v="-"/>
    <s v="-"/>
    <s v="P"/>
    <s v="P"/>
    <s v="-"/>
    <n v="2"/>
    <n v="1"/>
    <n v="2"/>
    <s v="-"/>
    <s v="-"/>
    <s v="-"/>
    <s v="-"/>
    <s v="-"/>
    <s v="-"/>
    <s v="-"/>
    <s v="-"/>
    <n v="5"/>
    <n v="5"/>
    <s v="-"/>
    <n v="1"/>
    <n v="1"/>
    <n v="2"/>
    <n v="2"/>
    <n v="7"/>
    <n v="7"/>
  </r>
  <r>
    <x v="6"/>
    <x v="161"/>
    <d v="1899-12-30T00:00:00"/>
    <s v="3RD"/>
    <d v="1899-12-31T04:00:00"/>
    <n v="2"/>
    <x v="2"/>
    <n v="2.5000000000000001E-3"/>
    <s v="P"/>
    <s v="P"/>
    <s v="P"/>
    <s v="-"/>
    <s v="+"/>
    <s v="-"/>
    <s v="-"/>
    <s v="-"/>
    <s v="-"/>
    <s v="-"/>
    <s v="-"/>
    <s v="-"/>
    <s v="-"/>
    <s v="-"/>
    <s v="P"/>
    <s v="P"/>
    <s v="-"/>
    <n v="2"/>
    <n v="1"/>
    <n v="2"/>
    <s v="-"/>
    <s v="-"/>
    <s v="-"/>
    <s v="-"/>
    <s v="-"/>
    <s v="-"/>
    <s v="-"/>
    <s v="-"/>
    <n v="5"/>
    <n v="5"/>
    <s v="-"/>
    <n v="1"/>
    <n v="1"/>
    <n v="2"/>
    <n v="2"/>
    <n v="7"/>
    <n v="7"/>
  </r>
  <r>
    <x v="6"/>
    <x v="161"/>
    <d v="2026-07-19T00:00:00"/>
    <s v="3RD"/>
    <d v="1899-12-30T22:00:00"/>
    <n v="3"/>
    <x v="1"/>
    <n v="4.1000000000000003E-3"/>
    <s v="P"/>
    <s v="P"/>
    <s v="P"/>
    <s v="+"/>
    <s v="+"/>
    <n v="12.08"/>
    <n v="12.72"/>
    <s v="-"/>
    <s v="-"/>
    <s v="-"/>
    <s v="-"/>
    <n v="35.630000000000003"/>
    <s v="-"/>
    <s v="-"/>
    <s v="P"/>
    <s v="P"/>
    <s v="-"/>
    <n v="2"/>
    <n v="1"/>
    <n v="2"/>
    <n v="1"/>
    <n v="1"/>
    <s v="-"/>
    <s v="-"/>
    <s v="-"/>
    <s v="-"/>
    <n v="2"/>
    <s v="-"/>
    <n v="9"/>
    <n v="9"/>
    <s v="-"/>
    <n v="1"/>
    <n v="1"/>
    <n v="2"/>
    <n v="2"/>
    <n v="11"/>
    <n v="11"/>
  </r>
  <r>
    <x v="6"/>
    <x v="161"/>
    <d v="2026-07-19T00:00:00"/>
    <s v="3RD"/>
    <d v="1899-12-30T23:00:00"/>
    <n v="3"/>
    <x v="1"/>
    <n v="8.2000000000000007E-3"/>
    <s v="P"/>
    <s v="P"/>
    <s v="P"/>
    <s v="+"/>
    <s v="+"/>
    <n v="12.22"/>
    <s v="-"/>
    <s v="-"/>
    <s v="-"/>
    <s v="-"/>
    <s v="-"/>
    <s v="-"/>
    <s v="-"/>
    <s v="-"/>
    <s v="P"/>
    <s v="P"/>
    <s v="85% 5% 10%"/>
    <n v="2"/>
    <n v="1"/>
    <n v="2"/>
    <n v="1"/>
    <s v="-"/>
    <s v="-"/>
    <s v="-"/>
    <s v="-"/>
    <s v="-"/>
    <s v="-"/>
    <s v="-"/>
    <n v="6"/>
    <n v="6"/>
    <s v="-"/>
    <n v="1"/>
    <n v="1"/>
    <n v="2"/>
    <n v="2"/>
    <n v="8"/>
    <n v="8"/>
  </r>
  <r>
    <x v="6"/>
    <x v="161"/>
    <d v="2026-07-19T00:00:00"/>
    <s v="3RD"/>
    <d v="1899-12-31T00:00:00"/>
    <n v="3"/>
    <x v="1"/>
    <n v="1.2500000000000001E-2"/>
    <s v="P"/>
    <s v="P"/>
    <s v="P"/>
    <s v="+"/>
    <s v="+"/>
    <n v="12.55"/>
    <s v="-"/>
    <s v="-"/>
    <s v="-"/>
    <s v="-"/>
    <s v="-"/>
    <s v="-"/>
    <s v="-"/>
    <s v="-"/>
    <s v="P"/>
    <s v="P"/>
    <s v="-"/>
    <n v="2"/>
    <n v="1"/>
    <n v="2"/>
    <n v="1"/>
    <s v="-"/>
    <s v="-"/>
    <s v="-"/>
    <s v="-"/>
    <s v="-"/>
    <s v="-"/>
    <s v="-"/>
    <n v="6"/>
    <n v="6"/>
    <s v="-"/>
    <n v="1"/>
    <n v="1"/>
    <n v="2"/>
    <n v="2"/>
    <n v="8"/>
    <n v="8"/>
  </r>
  <r>
    <x v="6"/>
    <x v="161"/>
    <d v="2026-07-19T00:00:00"/>
    <s v="3RD"/>
    <d v="1899-12-31T01:00:00"/>
    <n v="3"/>
    <x v="1"/>
    <n v="7.9000000000000008E-3"/>
    <s v="P"/>
    <s v="P"/>
    <s v="P"/>
    <s v="+"/>
    <s v="+"/>
    <n v="12.28"/>
    <s v="-"/>
    <s v="-"/>
    <s v="-"/>
    <s v="-"/>
    <s v="-"/>
    <s v="-"/>
    <s v="-"/>
    <s v="-"/>
    <s v="P"/>
    <s v="P"/>
    <s v="-"/>
    <n v="2"/>
    <n v="1"/>
    <n v="2"/>
    <n v="1"/>
    <s v="-"/>
    <s v="-"/>
    <s v="-"/>
    <s v="-"/>
    <s v="-"/>
    <s v="-"/>
    <s v="-"/>
    <n v="6"/>
    <n v="6"/>
    <s v="-"/>
    <n v="1"/>
    <n v="1"/>
    <n v="2"/>
    <n v="2"/>
    <n v="8"/>
    <n v="8"/>
  </r>
  <r>
    <x v="6"/>
    <x v="161"/>
    <d v="2026-07-19T00:00:00"/>
    <s v="3RD"/>
    <d v="1899-12-31T02:00:00"/>
    <n v="3"/>
    <x v="1"/>
    <n v="1.23E-2"/>
    <s v="P"/>
    <s v="P"/>
    <s v="P"/>
    <s v="+"/>
    <s v="+"/>
    <n v="12.28"/>
    <s v="-"/>
    <s v="-"/>
    <s v="-"/>
    <s v="-"/>
    <s v="-"/>
    <s v="-"/>
    <s v="-"/>
    <s v="-"/>
    <s v="P"/>
    <s v="P"/>
    <s v="-"/>
    <n v="2"/>
    <n v="1"/>
    <n v="2"/>
    <n v="1"/>
    <s v="-"/>
    <s v="-"/>
    <s v="-"/>
    <s v="-"/>
    <s v="-"/>
    <s v="-"/>
    <s v="-"/>
    <n v="6"/>
    <n v="6"/>
    <s v="-"/>
    <n v="1"/>
    <n v="1"/>
    <n v="2"/>
    <n v="2"/>
    <n v="8"/>
    <n v="8"/>
  </r>
  <r>
    <x v="6"/>
    <x v="161"/>
    <d v="2026-07-19T00:00:00"/>
    <s v="3RD"/>
    <d v="1899-12-31T03:00:00"/>
    <n v="3"/>
    <x v="1"/>
    <n v="9.1000000000000004E-3"/>
    <s v="P"/>
    <s v="P"/>
    <s v="P"/>
    <s v="+"/>
    <s v="+"/>
    <n v="12.38"/>
    <s v="-"/>
    <s v="-"/>
    <s v="-"/>
    <s v="-"/>
    <s v="-"/>
    <s v="-"/>
    <s v="-"/>
    <s v="-"/>
    <s v="P"/>
    <s v="P"/>
    <s v="-"/>
    <n v="2"/>
    <n v="1"/>
    <n v="2"/>
    <n v="1"/>
    <s v="-"/>
    <s v="-"/>
    <s v="-"/>
    <s v="-"/>
    <s v="-"/>
    <s v="-"/>
    <s v="-"/>
    <n v="6"/>
    <n v="6"/>
    <s v="-"/>
    <n v="1"/>
    <n v="1"/>
    <n v="2"/>
    <n v="2"/>
    <n v="8"/>
    <n v="8"/>
  </r>
  <r>
    <x v="6"/>
    <x v="161"/>
    <d v="2026-07-19T00:00:00"/>
    <s v="3RD"/>
    <d v="1899-12-31T04:00:00"/>
    <n v="3"/>
    <x v="1"/>
    <n v="7.9000000000000008E-3"/>
    <s v="P"/>
    <s v="P"/>
    <s v="P"/>
    <s v="+"/>
    <s v="+"/>
    <n v="12.56"/>
    <s v="-"/>
    <s v="-"/>
    <s v="-"/>
    <s v="-"/>
    <s v="-"/>
    <s v="-"/>
    <s v="-"/>
    <s v="-"/>
    <s v="P"/>
    <s v="P"/>
    <s v="-"/>
    <n v="2"/>
    <n v="1"/>
    <n v="2"/>
    <n v="1"/>
    <s v="-"/>
    <s v="-"/>
    <s v="-"/>
    <s v="-"/>
    <s v="-"/>
    <s v="-"/>
    <s v="-"/>
    <n v="6"/>
    <n v="6"/>
    <s v="-"/>
    <n v="1"/>
    <n v="1"/>
    <n v="2"/>
    <n v="2"/>
    <n v="8"/>
    <n v="8"/>
  </r>
  <r>
    <x v="6"/>
    <x v="162"/>
    <d v="1902-03-26T00:00:00"/>
    <s v="1ST"/>
    <s v="06:00"/>
    <n v="2"/>
    <x v="2"/>
    <n v="1.5E-3"/>
    <s v="P"/>
    <s v="P"/>
    <s v="P"/>
    <s v="-"/>
    <s v="+"/>
    <n v="11.47"/>
    <s v="-"/>
    <s v="-"/>
    <s v="-"/>
    <s v="-"/>
    <s v="-"/>
    <s v="-"/>
    <s v="-"/>
    <s v="-"/>
    <s v="P"/>
    <s v="P"/>
    <s v="-"/>
    <n v="2"/>
    <n v="1"/>
    <n v="2"/>
    <n v="0"/>
    <s v="-"/>
    <s v="-"/>
    <s v="-"/>
    <s v="-"/>
    <s v="-"/>
    <s v="-"/>
    <s v="-"/>
    <n v="5"/>
    <n v="6"/>
    <s v="-"/>
    <n v="1"/>
    <n v="1"/>
    <n v="2"/>
    <n v="2"/>
    <n v="7"/>
    <n v="8"/>
  </r>
  <r>
    <x v="6"/>
    <x v="162"/>
    <d v="1899-12-30T00:00:00"/>
    <s v="1ST"/>
    <s v="07:00"/>
    <n v="2"/>
    <x v="2"/>
    <n v="6.1000000000000004E-3"/>
    <s v="P"/>
    <s v="P"/>
    <s v="P"/>
    <s v="-"/>
    <s v="+"/>
    <n v="11.4"/>
    <s v="-"/>
    <s v="-"/>
    <s v="-"/>
    <s v="-"/>
    <s v="-"/>
    <s v="-"/>
    <s v="-"/>
    <s v="-"/>
    <s v="P"/>
    <s v="P"/>
    <s v="-"/>
    <n v="2"/>
    <n v="1"/>
    <n v="2"/>
    <n v="0"/>
    <s v="-"/>
    <s v="-"/>
    <s v="-"/>
    <s v="-"/>
    <s v="-"/>
    <s v="-"/>
    <s v="-"/>
    <n v="5"/>
    <n v="6"/>
    <s v="-"/>
    <n v="1"/>
    <n v="1"/>
    <n v="2"/>
    <n v="2"/>
    <n v="7"/>
    <n v="8"/>
  </r>
  <r>
    <x v="6"/>
    <x v="162"/>
    <d v="1899-12-30T00:00:00"/>
    <s v="1ST"/>
    <s v="08:00"/>
    <n v="2"/>
    <x v="2"/>
    <n v="7.4000000000000003E-3"/>
    <s v="P"/>
    <s v="P"/>
    <s v="P"/>
    <s v="-"/>
    <s v="+"/>
    <s v="-"/>
    <s v="-"/>
    <s v="-"/>
    <s v="-"/>
    <s v="-"/>
    <s v="-"/>
    <s v="-"/>
    <s v="-"/>
    <s v="-"/>
    <s v="P"/>
    <s v="P"/>
    <s v="-"/>
    <n v="2"/>
    <n v="1"/>
    <n v="2"/>
    <s v="-"/>
    <s v="-"/>
    <s v="-"/>
    <s v="-"/>
    <s v="-"/>
    <s v="-"/>
    <s v="-"/>
    <s v="-"/>
    <n v="5"/>
    <n v="5"/>
    <s v="-"/>
    <n v="1"/>
    <n v="1"/>
    <n v="2"/>
    <n v="2"/>
    <n v="7"/>
    <n v="7"/>
  </r>
  <r>
    <x v="6"/>
    <x v="162"/>
    <d v="1899-12-30T00:00:00"/>
    <s v="1ST"/>
    <s v="10:00"/>
    <n v="2"/>
    <x v="2"/>
    <n v="4.1000000000000003E-3"/>
    <s v="P"/>
    <s v="P"/>
    <s v="P"/>
    <s v="-"/>
    <s v="+"/>
    <n v="12.02"/>
    <s v="-"/>
    <s v="-"/>
    <s v="-"/>
    <s v="-"/>
    <s v="-"/>
    <s v="-"/>
    <s v="-"/>
    <s v="-"/>
    <s v="P"/>
    <s v="P"/>
    <s v="-"/>
    <n v="2"/>
    <n v="1"/>
    <n v="2"/>
    <n v="1"/>
    <s v="-"/>
    <s v="-"/>
    <s v="-"/>
    <s v="-"/>
    <s v="-"/>
    <s v="-"/>
    <s v="-"/>
    <n v="6"/>
    <n v="6"/>
    <s v="-"/>
    <n v="1"/>
    <n v="1"/>
    <n v="2"/>
    <n v="2"/>
    <n v="8"/>
    <n v="8"/>
  </r>
  <r>
    <x v="6"/>
    <x v="162"/>
    <d v="1899-12-30T00:00:00"/>
    <s v="1ST"/>
    <s v="11:00"/>
    <n v="2"/>
    <x v="2"/>
    <n v="5.3E-3"/>
    <s v="P"/>
    <s v="P"/>
    <s v="P"/>
    <s v="-"/>
    <s v="+"/>
    <n v="12.23"/>
    <s v="-"/>
    <s v="-"/>
    <s v="-"/>
    <s v="-"/>
    <s v="-"/>
    <s v="-"/>
    <s v="-"/>
    <s v="-"/>
    <s v="P"/>
    <s v="P"/>
    <s v="-"/>
    <n v="2"/>
    <n v="1"/>
    <n v="2"/>
    <n v="1"/>
    <s v="-"/>
    <s v="-"/>
    <s v="-"/>
    <s v="-"/>
    <s v="-"/>
    <s v="-"/>
    <s v="-"/>
    <n v="6"/>
    <n v="6"/>
    <s v="-"/>
    <n v="1"/>
    <n v="1"/>
    <n v="2"/>
    <n v="2"/>
    <n v="8"/>
    <n v="8"/>
  </r>
  <r>
    <x v="6"/>
    <x v="162"/>
    <d v="1899-12-30T00:00:00"/>
    <s v="1ST"/>
    <s v="12:00"/>
    <n v="2"/>
    <x v="2"/>
    <n v="4.8999999999999998E-3"/>
    <s v="P"/>
    <s v="P"/>
    <s v="P"/>
    <s v="-"/>
    <s v="+"/>
    <s v="-"/>
    <s v="-"/>
    <s v="-"/>
    <s v="-"/>
    <s v="-"/>
    <s v="-"/>
    <s v="-"/>
    <s v="-"/>
    <s v="-"/>
    <s v="P"/>
    <s v="P"/>
    <s v="-"/>
    <n v="2"/>
    <n v="1"/>
    <n v="2"/>
    <s v="-"/>
    <s v="-"/>
    <s v="-"/>
    <s v="-"/>
    <s v="-"/>
    <s v="-"/>
    <s v="-"/>
    <s v="-"/>
    <n v="5"/>
    <n v="5"/>
    <s v="-"/>
    <n v="1"/>
    <n v="1"/>
    <n v="2"/>
    <n v="2"/>
    <n v="7"/>
    <n v="7"/>
  </r>
  <r>
    <x v="6"/>
    <x v="162"/>
    <d v="1899-12-30T00:00:00"/>
    <s v="1ST"/>
    <s v="13:00"/>
    <n v="2"/>
    <x v="2"/>
    <n v="1.5E-3"/>
    <s v="P"/>
    <s v="P"/>
    <s v="P"/>
    <s v="-"/>
    <s v="+"/>
    <n v="12.16"/>
    <s v="-"/>
    <s v="-"/>
    <s v="-"/>
    <s v="-"/>
    <s v="-"/>
    <s v="-"/>
    <s v="-"/>
    <s v="-"/>
    <s v="P"/>
    <s v="P"/>
    <s v="-"/>
    <n v="2"/>
    <n v="1"/>
    <n v="2"/>
    <n v="1"/>
    <s v="-"/>
    <s v="-"/>
    <s v="-"/>
    <s v="-"/>
    <s v="-"/>
    <s v="-"/>
    <s v="-"/>
    <n v="6"/>
    <n v="6"/>
    <s v="-"/>
    <n v="1"/>
    <n v="1"/>
    <n v="2"/>
    <n v="2"/>
    <n v="8"/>
    <n v="8"/>
  </r>
  <r>
    <x v="6"/>
    <x v="162"/>
    <d v="2026-07-19T00:00:00"/>
    <s v="1ST"/>
    <s v="06:00"/>
    <n v="3"/>
    <x v="1"/>
    <n v="8.3000000000000001E-3"/>
    <s v="P"/>
    <s v="P"/>
    <s v="P"/>
    <s v="+"/>
    <s v="+"/>
    <n v="12.76"/>
    <n v="12.72"/>
    <n v="0.56999999999999995"/>
    <n v="65.2"/>
    <s v="-"/>
    <s v="-"/>
    <n v="35.64"/>
    <s v="-"/>
    <s v="-"/>
    <s v="P"/>
    <s v="P"/>
    <s v="-"/>
    <n v="2"/>
    <n v="1"/>
    <n v="2"/>
    <n v="1"/>
    <n v="1"/>
    <n v="2"/>
    <n v="2"/>
    <s v="-"/>
    <s v="-"/>
    <n v="2"/>
    <s v="-"/>
    <n v="13"/>
    <n v="13"/>
    <s v="-"/>
    <n v="1"/>
    <n v="1"/>
    <n v="2"/>
    <n v="2"/>
    <n v="15"/>
    <n v="15"/>
  </r>
  <r>
    <x v="6"/>
    <x v="162"/>
    <d v="2026-07-19T00:00:00"/>
    <s v="1ST"/>
    <s v="08:00"/>
    <n v="3"/>
    <x v="0"/>
    <n v="1.03E-2"/>
    <s v="P"/>
    <s v="P"/>
    <s v="P"/>
    <s v="+"/>
    <s v="+"/>
    <n v="13.12"/>
    <s v="-"/>
    <s v="-"/>
    <s v="-"/>
    <s v="-"/>
    <s v="-"/>
    <s v="-"/>
    <s v="-"/>
    <s v="-"/>
    <s v="P"/>
    <s v="P"/>
    <s v="-"/>
    <n v="2"/>
    <n v="1"/>
    <n v="2"/>
    <n v="1"/>
    <s v="-"/>
    <s v="-"/>
    <s v="-"/>
    <s v="-"/>
    <s v="-"/>
    <s v="-"/>
    <s v="-"/>
    <n v="6"/>
    <n v="6"/>
    <s v="-"/>
    <n v="1"/>
    <n v="1"/>
    <n v="2"/>
    <n v="2"/>
    <n v="8"/>
    <n v="8"/>
  </r>
  <r>
    <x v="6"/>
    <x v="162"/>
    <d v="1899-12-30T00:00:00"/>
    <s v="1ST"/>
    <s v="09:00"/>
    <s v="Retail"/>
    <x v="3"/>
    <s v="-"/>
    <s v="-"/>
    <s v="-"/>
    <s v="-"/>
    <s v="-"/>
    <s v="-"/>
    <n v="13.9"/>
    <s v="-"/>
    <s v="-"/>
    <s v="-"/>
    <s v="-"/>
    <s v="-"/>
    <s v="-"/>
    <s v="-"/>
    <s v="-"/>
    <s v="-"/>
    <s v="-"/>
    <s v="-"/>
    <s v="-"/>
    <s v="-"/>
    <s v="-"/>
    <n v="1"/>
    <s v="-"/>
    <s v="-"/>
    <s v="-"/>
    <s v="-"/>
    <s v="-"/>
    <s v="-"/>
    <s v="-"/>
    <n v="1"/>
    <n v="1"/>
    <s v="-"/>
    <s v="-"/>
    <s v="-"/>
    <n v="0"/>
    <n v="0"/>
    <n v="1"/>
    <n v="1"/>
  </r>
  <r>
    <x v="6"/>
    <x v="162"/>
    <d v="1902-03-26T00:00:00"/>
    <s v="2ND"/>
    <d v="1899-12-30T15:00:00"/>
    <n v="2"/>
    <x v="2"/>
    <n v="5.1999999999999998E-3"/>
    <s v="P"/>
    <s v="P"/>
    <s v="P"/>
    <s v="-"/>
    <s v="+"/>
    <n v="11.11"/>
    <n v="8.4600000000000009"/>
    <s v="-"/>
    <s v="-"/>
    <s v="-"/>
    <s v="-"/>
    <n v="22.21"/>
    <s v="-"/>
    <s v="-"/>
    <s v="P"/>
    <s v="P"/>
    <s v="-"/>
    <n v="2"/>
    <n v="1"/>
    <n v="2"/>
    <n v="0"/>
    <n v="0"/>
    <s v="-"/>
    <s v="-"/>
    <s v="-"/>
    <s v="-"/>
    <n v="0"/>
    <s v="-"/>
    <n v="5"/>
    <n v="9"/>
    <s v="-"/>
    <n v="1"/>
    <n v="1"/>
    <n v="2"/>
    <n v="2"/>
    <n v="7"/>
    <n v="11"/>
  </r>
  <r>
    <x v="6"/>
    <x v="162"/>
    <d v="1899-12-30T00:00:00"/>
    <s v="2ND"/>
    <d v="1899-12-30T16:00:00"/>
    <n v="2"/>
    <x v="2"/>
    <n v="2.5999999999999999E-3"/>
    <s v="P"/>
    <s v="P"/>
    <s v="P"/>
    <s v="-"/>
    <s v="+"/>
    <s v="-"/>
    <s v="-"/>
    <s v="-"/>
    <s v="-"/>
    <s v="-"/>
    <s v="-"/>
    <s v="-"/>
    <s v="-"/>
    <s v="-"/>
    <s v="P"/>
    <s v="P"/>
    <s v="-"/>
    <n v="2"/>
    <n v="1"/>
    <n v="2"/>
    <s v="-"/>
    <s v="-"/>
    <s v="-"/>
    <s v="-"/>
    <s v="-"/>
    <s v="-"/>
    <s v="-"/>
    <s v="-"/>
    <n v="5"/>
    <n v="5"/>
    <s v="-"/>
    <n v="1"/>
    <n v="1"/>
    <n v="2"/>
    <n v="2"/>
    <n v="7"/>
    <n v="7"/>
  </r>
  <r>
    <x v="6"/>
    <x v="162"/>
    <d v="1899-12-30T00:00:00"/>
    <s v="2ND"/>
    <d v="1899-12-30T17:00:00"/>
    <n v="2"/>
    <x v="2"/>
    <s v="-"/>
    <s v="P"/>
    <s v="P"/>
    <s v="P"/>
    <s v="-"/>
    <s v="+"/>
    <n v="12.69"/>
    <s v="-"/>
    <s v="-"/>
    <s v="-"/>
    <s v="-"/>
    <s v="-"/>
    <s v="-"/>
    <s v="-"/>
    <s v="-"/>
    <s v="-"/>
    <s v="-"/>
    <s v="-"/>
    <s v="-"/>
    <n v="1"/>
    <n v="2"/>
    <n v="1"/>
    <s v="-"/>
    <s v="-"/>
    <s v="-"/>
    <s v="-"/>
    <s v="-"/>
    <s v="-"/>
    <s v="-"/>
    <n v="4"/>
    <n v="4"/>
    <s v="-"/>
    <s v="-"/>
    <s v="-"/>
    <n v="0"/>
    <n v="0"/>
    <n v="4"/>
    <n v="4"/>
  </r>
  <r>
    <x v="6"/>
    <x v="162"/>
    <d v="1899-12-30T00:00:00"/>
    <s v="2ND"/>
    <d v="1899-12-30T18:00:00"/>
    <n v="2"/>
    <x v="2"/>
    <n v="1.5E-3"/>
    <s v="P"/>
    <s v="P"/>
    <s v="P"/>
    <s v="-"/>
    <s v="+"/>
    <s v="-"/>
    <s v="-"/>
    <s v="-"/>
    <s v="-"/>
    <s v="-"/>
    <s v="-"/>
    <s v="-"/>
    <s v="-"/>
    <s v="-"/>
    <s v="P"/>
    <s v="P"/>
    <s v="-"/>
    <n v="2"/>
    <n v="1"/>
    <n v="2"/>
    <s v="-"/>
    <s v="-"/>
    <s v="-"/>
    <s v="-"/>
    <s v="-"/>
    <s v="-"/>
    <s v="-"/>
    <s v="-"/>
    <n v="5"/>
    <n v="5"/>
    <s v="-"/>
    <n v="1"/>
    <n v="1"/>
    <n v="2"/>
    <n v="2"/>
    <n v="7"/>
    <n v="7"/>
  </r>
  <r>
    <x v="6"/>
    <x v="162"/>
    <d v="2026-07-19T00:00:00"/>
    <s v="2ND"/>
    <d v="1899-12-30T14:00:00"/>
    <n v="3"/>
    <x v="1"/>
    <n v="1.49E-2"/>
    <s v="P"/>
    <s v="P"/>
    <s v="P"/>
    <s v="+"/>
    <s v="+"/>
    <n v="12.56"/>
    <n v="12.68"/>
    <s v="-"/>
    <s v="-"/>
    <s v="-"/>
    <s v="-"/>
    <n v="35.44"/>
    <s v="-"/>
    <s v="-"/>
    <s v="P"/>
    <s v="P"/>
    <s v="-"/>
    <n v="2"/>
    <n v="1"/>
    <n v="2"/>
    <n v="1"/>
    <n v="1"/>
    <s v="-"/>
    <s v="-"/>
    <s v="-"/>
    <s v="-"/>
    <n v="2"/>
    <s v="-"/>
    <n v="9"/>
    <n v="9"/>
    <s v="-"/>
    <n v="1"/>
    <n v="1"/>
    <n v="2"/>
    <n v="2"/>
    <n v="11"/>
    <n v="11"/>
  </r>
  <r>
    <x v="6"/>
    <x v="162"/>
    <d v="2026-07-19T00:00:00"/>
    <s v="2ND"/>
    <d v="1899-12-30T15:00:00"/>
    <n v="3"/>
    <x v="1"/>
    <n v="1.2800000000000001E-2"/>
    <s v="P"/>
    <s v="P"/>
    <s v="P"/>
    <s v="+"/>
    <s v="+"/>
    <n v="12.28"/>
    <s v="-"/>
    <s v="-"/>
    <s v="-"/>
    <s v="-"/>
    <s v="-"/>
    <s v="-"/>
    <s v="-"/>
    <s v="-"/>
    <s v="P"/>
    <s v="P"/>
    <s v="85% 5% 10%"/>
    <n v="2"/>
    <n v="1"/>
    <n v="2"/>
    <n v="1"/>
    <s v="-"/>
    <s v="-"/>
    <s v="-"/>
    <s v="-"/>
    <s v="-"/>
    <s v="-"/>
    <s v="-"/>
    <n v="6"/>
    <n v="6"/>
    <s v="-"/>
    <n v="1"/>
    <n v="1"/>
    <n v="2"/>
    <n v="2"/>
    <n v="8"/>
    <n v="8"/>
  </r>
  <r>
    <x v="6"/>
    <x v="162"/>
    <d v="2026-07-19T00:00:00"/>
    <s v="2ND"/>
    <d v="1899-12-30T18:00:00"/>
    <n v="3"/>
    <x v="1"/>
    <n v="1.0999999999999999E-2"/>
    <s v="P"/>
    <s v="P"/>
    <s v="P"/>
    <s v="+"/>
    <s v="+"/>
    <s v="-"/>
    <s v="-"/>
    <s v="-"/>
    <s v="-"/>
    <s v="-"/>
    <s v="-"/>
    <s v="-"/>
    <s v="-"/>
    <s v="-"/>
    <s v="P"/>
    <s v="P"/>
    <s v="-"/>
    <n v="2"/>
    <n v="1"/>
    <n v="2"/>
    <s v="-"/>
    <s v="-"/>
    <s v="-"/>
    <s v="-"/>
    <s v="-"/>
    <s v="-"/>
    <s v="-"/>
    <s v="-"/>
    <n v="5"/>
    <n v="5"/>
    <s v="-"/>
    <n v="1"/>
    <n v="1"/>
    <n v="2"/>
    <n v="2"/>
    <n v="7"/>
    <n v="7"/>
  </r>
  <r>
    <x v="6"/>
    <x v="162"/>
    <d v="2026-07-19T00:00:00"/>
    <s v="2ND"/>
    <d v="1899-12-30T19:00:00"/>
    <n v="3"/>
    <x v="1"/>
    <n v="1.15E-2"/>
    <s v="P"/>
    <s v="P"/>
    <s v="P"/>
    <s v="+"/>
    <s v="+"/>
    <n v="13"/>
    <s v="-"/>
    <s v="-"/>
    <s v="-"/>
    <s v="-"/>
    <s v="-"/>
    <s v="-"/>
    <s v="-"/>
    <s v="-"/>
    <s v="P"/>
    <s v="P"/>
    <s v="-"/>
    <n v="2"/>
    <n v="1"/>
    <n v="2"/>
    <n v="1"/>
    <s v="-"/>
    <s v="-"/>
    <s v="-"/>
    <s v="-"/>
    <s v="-"/>
    <s v="-"/>
    <s v="-"/>
    <n v="6"/>
    <n v="6"/>
    <s v="-"/>
    <n v="1"/>
    <n v="1"/>
    <n v="2"/>
    <n v="2"/>
    <n v="8"/>
    <n v="8"/>
  </r>
  <r>
    <x v="6"/>
    <x v="162"/>
    <d v="2026-07-19T00:00:00"/>
    <s v="2ND"/>
    <d v="1899-12-30T20:00:00"/>
    <n v="3"/>
    <x v="1"/>
    <n v="1.06E-2"/>
    <s v="P"/>
    <s v="P"/>
    <s v="P"/>
    <s v="+"/>
    <s v="+"/>
    <n v="12.76"/>
    <s v="-"/>
    <s v="-"/>
    <s v="-"/>
    <s v="-"/>
    <s v="-"/>
    <s v="-"/>
    <s v="-"/>
    <s v="-"/>
    <s v="P"/>
    <s v="P"/>
    <s v="-"/>
    <n v="2"/>
    <n v="1"/>
    <n v="2"/>
    <n v="1"/>
    <s v="-"/>
    <s v="-"/>
    <s v="-"/>
    <s v="-"/>
    <s v="-"/>
    <s v="-"/>
    <s v="-"/>
    <n v="6"/>
    <n v="6"/>
    <s v="-"/>
    <n v="1"/>
    <n v="1"/>
    <n v="2"/>
    <n v="2"/>
    <n v="8"/>
    <n v="8"/>
  </r>
  <r>
    <x v="6"/>
    <x v="162"/>
    <d v="2026-07-19T00:00:00"/>
    <s v="2ND"/>
    <d v="1899-12-30T21:00:00"/>
    <n v="3"/>
    <x v="1"/>
    <n v="1.11E-2"/>
    <s v="P"/>
    <s v="P"/>
    <s v="P"/>
    <s v="+"/>
    <s v="+"/>
    <n v="12.2"/>
    <s v="-"/>
    <s v="-"/>
    <s v="-"/>
    <s v="-"/>
    <s v="-"/>
    <s v="-"/>
    <s v="-"/>
    <s v="-"/>
    <s v="P"/>
    <s v="P"/>
    <s v="-"/>
    <n v="2"/>
    <n v="1"/>
    <n v="2"/>
    <n v="1"/>
    <s v="-"/>
    <s v="-"/>
    <s v="-"/>
    <s v="-"/>
    <s v="-"/>
    <s v="-"/>
    <s v="-"/>
    <n v="6"/>
    <n v="6"/>
    <s v="-"/>
    <n v="1"/>
    <n v="1"/>
    <n v="2"/>
    <n v="2"/>
    <n v="8"/>
    <n v="8"/>
  </r>
  <r>
    <x v="6"/>
    <x v="162"/>
    <d v="2026-07-28T00:00:00"/>
    <s v="2ND"/>
    <d v="1899-12-30T19:00:00"/>
    <s v="Retail"/>
    <x v="13"/>
    <s v="-"/>
    <s v="-"/>
    <s v="-"/>
    <s v="-"/>
    <s v="-"/>
    <s v="-"/>
    <n v="12.54"/>
    <s v="-"/>
    <s v="-"/>
    <s v="-"/>
    <s v="-"/>
    <s v="-"/>
    <s v="-"/>
    <s v="-"/>
    <s v="-"/>
    <s v="-"/>
    <s v="-"/>
    <s v="-"/>
    <s v="-"/>
    <s v="-"/>
    <s v="-"/>
    <n v="1"/>
    <s v="-"/>
    <s v="-"/>
    <s v="-"/>
    <s v="-"/>
    <s v="-"/>
    <s v="-"/>
    <s v="-"/>
    <n v="1"/>
    <n v="1"/>
    <s v="-"/>
    <s v="-"/>
    <s v="-"/>
    <n v="0"/>
    <n v="0"/>
    <n v="1"/>
    <n v="1"/>
  </r>
  <r>
    <x v="6"/>
    <x v="162"/>
    <d v="2026-07-28T00:00:00"/>
    <s v="2ND"/>
    <d v="1899-12-30T20:00:00"/>
    <s v="Retail"/>
    <x v="9"/>
    <s v="-"/>
    <s v="-"/>
    <s v="-"/>
    <s v="-"/>
    <s v="-"/>
    <s v="-"/>
    <n v="10.16"/>
    <s v="-"/>
    <s v="-"/>
    <s v="-"/>
    <s v="-"/>
    <s v="-"/>
    <s v="-"/>
    <s v="-"/>
    <s v="-"/>
    <s v="-"/>
    <s v="-"/>
    <s v="-"/>
    <s v="-"/>
    <s v="-"/>
    <s v="-"/>
    <n v="1"/>
    <s v="-"/>
    <s v="-"/>
    <s v="-"/>
    <s v="-"/>
    <s v="-"/>
    <s v="-"/>
    <s v="-"/>
    <n v="1"/>
    <n v="1"/>
    <s v="-"/>
    <s v="-"/>
    <s v="-"/>
    <n v="0"/>
    <n v="0"/>
    <n v="1"/>
    <n v="1"/>
  </r>
  <r>
    <x v="6"/>
    <x v="162"/>
    <d v="1902-03-26T00:00:00"/>
    <s v="3RD"/>
    <d v="1899-12-30T22:00:00"/>
    <n v="2"/>
    <x v="7"/>
    <n v="1.1000000000000001E-3"/>
    <s v="P"/>
    <s v="P"/>
    <s v="P"/>
    <s v="-"/>
    <s v="+"/>
    <n v="11.57"/>
    <s v="-"/>
    <s v="-"/>
    <s v="-"/>
    <s v="-"/>
    <s v="-"/>
    <s v="-"/>
    <s v="-"/>
    <s v="-"/>
    <s v="P"/>
    <s v="P"/>
    <s v="-"/>
    <n v="2"/>
    <n v="1"/>
    <n v="2"/>
    <n v="1"/>
    <s v="-"/>
    <s v="-"/>
    <s v="-"/>
    <s v="-"/>
    <s v="-"/>
    <s v="-"/>
    <s v="-"/>
    <n v="6"/>
    <n v="6"/>
    <s v="-"/>
    <n v="1"/>
    <n v="1"/>
    <n v="2"/>
    <n v="2"/>
    <n v="8"/>
    <n v="8"/>
  </r>
  <r>
    <x v="6"/>
    <x v="162"/>
    <d v="1899-12-30T00:00:00"/>
    <s v="3RD"/>
    <d v="1899-12-30T23:00:00"/>
    <n v="2"/>
    <x v="7"/>
    <n v="5.0000000000000001E-4"/>
    <s v="P"/>
    <s v="P"/>
    <s v="P"/>
    <s v="-"/>
    <s v="+"/>
    <n v="11.65"/>
    <s v="-"/>
    <s v="-"/>
    <s v="-"/>
    <s v="-"/>
    <s v="-"/>
    <s v="-"/>
    <s v="-"/>
    <s v="-"/>
    <s v="P"/>
    <s v="P"/>
    <s v="-"/>
    <n v="2"/>
    <n v="1"/>
    <n v="2"/>
    <n v="1"/>
    <s v="-"/>
    <s v="-"/>
    <s v="-"/>
    <s v="-"/>
    <s v="-"/>
    <s v="-"/>
    <s v="-"/>
    <n v="6"/>
    <n v="6"/>
    <s v="-"/>
    <n v="1"/>
    <n v="1"/>
    <n v="2"/>
    <n v="2"/>
    <n v="8"/>
    <n v="8"/>
  </r>
  <r>
    <x v="6"/>
    <x v="162"/>
    <d v="1899-12-30T00:00:00"/>
    <s v="3RD"/>
    <d v="1899-12-31T00:00:00"/>
    <n v="2"/>
    <x v="7"/>
    <n v="1.5E-3"/>
    <s v="P"/>
    <s v="P"/>
    <s v="P"/>
    <s v="-"/>
    <s v="+"/>
    <s v="-"/>
    <s v="-"/>
    <s v="-"/>
    <s v="-"/>
    <s v="-"/>
    <s v="-"/>
    <s v="-"/>
    <s v="-"/>
    <s v="-"/>
    <s v="P"/>
    <s v="P"/>
    <s v="-"/>
    <n v="2"/>
    <n v="1"/>
    <n v="2"/>
    <s v="-"/>
    <s v="-"/>
    <s v="-"/>
    <s v="-"/>
    <s v="-"/>
    <s v="-"/>
    <s v="-"/>
    <s v="-"/>
    <n v="5"/>
    <n v="5"/>
    <s v="-"/>
    <n v="1"/>
    <n v="1"/>
    <n v="2"/>
    <n v="2"/>
    <n v="7"/>
    <n v="7"/>
  </r>
  <r>
    <x v="6"/>
    <x v="162"/>
    <d v="1899-12-30T00:00:00"/>
    <s v="3RD"/>
    <d v="1899-12-31T01:00:00"/>
    <n v="2"/>
    <x v="7"/>
    <s v="-"/>
    <s v="P"/>
    <s v="P"/>
    <s v="P"/>
    <s v="-"/>
    <s v="+"/>
    <n v="11.68"/>
    <s v="-"/>
    <s v="-"/>
    <s v="-"/>
    <s v="-"/>
    <s v="-"/>
    <s v="-"/>
    <s v="-"/>
    <s v="-"/>
    <s v="P"/>
    <s v="P"/>
    <s v="-"/>
    <s v="-"/>
    <n v="1"/>
    <n v="2"/>
    <n v="1"/>
    <s v="-"/>
    <s v="-"/>
    <s v="-"/>
    <s v="-"/>
    <s v="-"/>
    <s v="-"/>
    <s v="-"/>
    <n v="4"/>
    <n v="4"/>
    <s v="-"/>
    <n v="1"/>
    <n v="1"/>
    <n v="2"/>
    <n v="2"/>
    <n v="6"/>
    <n v="6"/>
  </r>
  <r>
    <x v="6"/>
    <x v="162"/>
    <d v="1899-12-30T00:00:00"/>
    <s v="3RD"/>
    <d v="1899-12-31T02:00:00"/>
    <n v="2"/>
    <x v="7"/>
    <n v="6.9999999999999999E-4"/>
    <s v="P"/>
    <s v="P"/>
    <s v="P"/>
    <s v="-"/>
    <s v="+"/>
    <n v="11.25"/>
    <s v="-"/>
    <s v="-"/>
    <s v="-"/>
    <s v="-"/>
    <s v="-"/>
    <s v="-"/>
    <s v="-"/>
    <s v="-"/>
    <s v="P"/>
    <s v="P"/>
    <s v="-"/>
    <n v="2"/>
    <n v="1"/>
    <n v="2"/>
    <n v="1"/>
    <s v="-"/>
    <s v="-"/>
    <s v="-"/>
    <s v="-"/>
    <s v="-"/>
    <s v="-"/>
    <s v="-"/>
    <n v="6"/>
    <n v="6"/>
    <s v="-"/>
    <n v="1"/>
    <n v="1"/>
    <n v="2"/>
    <n v="2"/>
    <n v="8"/>
    <n v="8"/>
  </r>
  <r>
    <x v="6"/>
    <x v="162"/>
    <d v="1899-12-30T00:00:00"/>
    <s v="3RD"/>
    <d v="1899-12-31T03:00:00"/>
    <n v="2"/>
    <x v="7"/>
    <n v="1E-3"/>
    <s v="P"/>
    <s v="P"/>
    <s v="P"/>
    <s v="-"/>
    <s v="+"/>
    <n v="11.25"/>
    <s v="-"/>
    <s v="-"/>
    <s v="-"/>
    <s v="-"/>
    <s v="-"/>
    <s v="-"/>
    <s v="-"/>
    <s v="-"/>
    <s v="P"/>
    <s v="P"/>
    <s v="-"/>
    <n v="2"/>
    <n v="1"/>
    <n v="2"/>
    <n v="1"/>
    <s v="-"/>
    <s v="-"/>
    <s v="-"/>
    <s v="-"/>
    <s v="-"/>
    <s v="-"/>
    <s v="-"/>
    <n v="6"/>
    <n v="6"/>
    <s v="-"/>
    <n v="1"/>
    <n v="1"/>
    <n v="2"/>
    <n v="2"/>
    <n v="8"/>
    <n v="8"/>
  </r>
  <r>
    <x v="6"/>
    <x v="162"/>
    <d v="1899-12-30T00:00:00"/>
    <s v="3RD"/>
    <d v="1899-12-31T04:00:00"/>
    <n v="2"/>
    <x v="7"/>
    <n v="1.6000000000000001E-3"/>
    <s v="P"/>
    <s v="P"/>
    <s v="P"/>
    <s v="-"/>
    <s v="+"/>
    <s v="-"/>
    <s v="-"/>
    <s v="-"/>
    <s v="-"/>
    <s v="-"/>
    <s v="-"/>
    <s v="-"/>
    <s v="-"/>
    <s v="-"/>
    <s v="P"/>
    <s v="P"/>
    <s v="-"/>
    <n v="2"/>
    <n v="1"/>
    <n v="2"/>
    <s v="-"/>
    <s v="-"/>
    <s v="-"/>
    <s v="-"/>
    <s v="-"/>
    <s v="-"/>
    <s v="-"/>
    <s v="-"/>
    <n v="5"/>
    <n v="5"/>
    <s v="-"/>
    <n v="1"/>
    <n v="1"/>
    <n v="2"/>
    <n v="2"/>
    <n v="7"/>
    <n v="7"/>
  </r>
  <r>
    <x v="6"/>
    <x v="162"/>
    <d v="2026-07-19T00:00:00"/>
    <s v="3RD"/>
    <d v="1899-12-30T22:00:00"/>
    <n v="3"/>
    <x v="1"/>
    <n v="1.9E-3"/>
    <s v="P"/>
    <s v="P"/>
    <s v="P"/>
    <s v="+"/>
    <s v="+"/>
    <n v="12.56"/>
    <n v="12.62"/>
    <s v="-"/>
    <s v="-"/>
    <s v="-"/>
    <s v="-"/>
    <n v="35.44"/>
    <s v="-"/>
    <s v="-"/>
    <s v="P"/>
    <s v="P"/>
    <s v="-"/>
    <n v="2"/>
    <n v="1"/>
    <n v="2"/>
    <n v="1"/>
    <n v="1"/>
    <s v="-"/>
    <s v="-"/>
    <s v="-"/>
    <s v="-"/>
    <n v="2"/>
    <s v="-"/>
    <n v="9"/>
    <n v="9"/>
    <s v="-"/>
    <n v="1"/>
    <n v="1"/>
    <n v="2"/>
    <n v="2"/>
    <n v="11"/>
    <n v="11"/>
  </r>
  <r>
    <x v="6"/>
    <x v="162"/>
    <d v="2026-07-25T00:00:00"/>
    <s v="3RD"/>
    <d v="1899-12-30T23:00:00"/>
    <n v="3"/>
    <x v="42"/>
    <n v="8.5000000000000006E-3"/>
    <s v="P"/>
    <s v="P"/>
    <s v="P"/>
    <s v="+"/>
    <s v="+"/>
    <n v="12.35"/>
    <n v="11.84"/>
    <n v="0.27"/>
    <n v="66.400000000000006"/>
    <s v="-"/>
    <s v="-"/>
    <n v="33"/>
    <s v="-"/>
    <s v="-"/>
    <s v="P"/>
    <s v="P"/>
    <s v="-"/>
    <n v="2"/>
    <n v="1"/>
    <n v="2"/>
    <n v="1"/>
    <n v="0"/>
    <n v="2"/>
    <n v="2"/>
    <s v="-"/>
    <s v="-"/>
    <n v="2"/>
    <s v="-"/>
    <n v="12"/>
    <n v="13"/>
    <s v="-"/>
    <n v="1"/>
    <n v="1"/>
    <n v="2"/>
    <n v="2"/>
    <n v="14"/>
    <n v="15"/>
  </r>
  <r>
    <x v="6"/>
    <x v="162"/>
    <d v="2026-07-19T00:00:00"/>
    <s v="3RD"/>
    <d v="1899-12-31T00:00:00"/>
    <n v="3"/>
    <x v="42"/>
    <n v="1.14E-2"/>
    <s v="P"/>
    <s v="P"/>
    <s v="P"/>
    <s v="+"/>
    <s v="+"/>
    <n v="12.17"/>
    <s v="-"/>
    <s v="-"/>
    <s v="-"/>
    <s v="-"/>
    <s v="-"/>
    <s v="-"/>
    <s v="-"/>
    <s v="-"/>
    <s v="P"/>
    <s v="P"/>
    <s v="-"/>
    <n v="2"/>
    <n v="1"/>
    <n v="2"/>
    <n v="1"/>
    <s v="-"/>
    <s v="-"/>
    <s v="-"/>
    <s v="-"/>
    <s v="-"/>
    <s v="-"/>
    <s v="-"/>
    <n v="6"/>
    <n v="6"/>
    <s v="-"/>
    <n v="1"/>
    <n v="1"/>
    <n v="2"/>
    <n v="2"/>
    <n v="8"/>
    <n v="8"/>
  </r>
  <r>
    <x v="6"/>
    <x v="162"/>
    <d v="2026-07-19T00:00:00"/>
    <s v="3RD"/>
    <d v="1899-12-31T01:00:00"/>
    <n v="3"/>
    <x v="42"/>
    <n v="8.5000000000000006E-3"/>
    <s v="P"/>
    <s v="P"/>
    <s v="P"/>
    <s v="+"/>
    <s v="+"/>
    <n v="12.02"/>
    <s v="-"/>
    <s v="-"/>
    <s v="-"/>
    <s v="-"/>
    <s v="-"/>
    <s v="-"/>
    <s v="-"/>
    <s v="-"/>
    <s v="P"/>
    <s v="P"/>
    <s v="-"/>
    <n v="2"/>
    <n v="1"/>
    <n v="2"/>
    <n v="1"/>
    <s v="-"/>
    <s v="-"/>
    <s v="-"/>
    <s v="-"/>
    <s v="-"/>
    <s v="-"/>
    <s v="-"/>
    <n v="6"/>
    <n v="6"/>
    <s v="-"/>
    <n v="1"/>
    <n v="1"/>
    <n v="2"/>
    <n v="2"/>
    <n v="8"/>
    <n v="8"/>
  </r>
  <r>
    <x v="6"/>
    <x v="162"/>
    <d v="2026-07-20T00:00:00"/>
    <s v="3RD"/>
    <d v="1899-12-31T03:00:00"/>
    <n v="3"/>
    <x v="1"/>
    <n v="7.4000000000000003E-3"/>
    <s v="P"/>
    <s v="P"/>
    <s v="P"/>
    <s v="+"/>
    <s v="+"/>
    <s v="-"/>
    <n v="12.85"/>
    <s v="-"/>
    <n v="66.2"/>
    <s v="-"/>
    <s v="-"/>
    <n v="36.06"/>
    <s v="-"/>
    <s v="-"/>
    <s v="P"/>
    <s v="P"/>
    <s v="85% 5% 10%"/>
    <n v="2"/>
    <n v="1"/>
    <n v="2"/>
    <s v="-"/>
    <n v="1"/>
    <s v="-"/>
    <n v="2"/>
    <s v="-"/>
    <s v="-"/>
    <n v="2"/>
    <s v="-"/>
    <n v="10"/>
    <n v="10"/>
    <s v="-"/>
    <n v="1"/>
    <n v="1"/>
    <n v="2"/>
    <n v="2"/>
    <n v="12"/>
    <n v="12"/>
  </r>
  <r>
    <x v="6"/>
    <x v="162"/>
    <d v="2026-07-20T00:00:00"/>
    <s v="3RD"/>
    <d v="1899-12-31T04:00:00"/>
    <n v="3"/>
    <x v="1"/>
    <n v="8.5000000000000006E-3"/>
    <s v="P"/>
    <s v="P"/>
    <s v="P"/>
    <s v="+"/>
    <s v="+"/>
    <n v="12.12"/>
    <s v="-"/>
    <s v="-"/>
    <s v="-"/>
    <s v="-"/>
    <s v="-"/>
    <s v="-"/>
    <s v="-"/>
    <s v="-"/>
    <s v="P"/>
    <s v="P"/>
    <s v="-"/>
    <n v="2"/>
    <n v="1"/>
    <n v="2"/>
    <n v="1"/>
    <s v="-"/>
    <s v="-"/>
    <s v="-"/>
    <s v="-"/>
    <s v="-"/>
    <s v="-"/>
    <s v="-"/>
    <n v="6"/>
    <n v="6"/>
    <s v="-"/>
    <n v="1"/>
    <n v="1"/>
    <n v="2"/>
    <n v="2"/>
    <n v="8"/>
    <n v="8"/>
  </r>
  <r>
    <x v="6"/>
    <x v="162"/>
    <d v="2026-07-28T00:00:00"/>
    <s v="3RD"/>
    <d v="1899-12-30T22:00:00"/>
    <s v="Retail"/>
    <x v="3"/>
    <s v="-"/>
    <s v="-"/>
    <s v="-"/>
    <s v="-"/>
    <s v="-"/>
    <s v="-"/>
    <n v="14.46"/>
    <s v="-"/>
    <s v="-"/>
    <s v="-"/>
    <s v="-"/>
    <s v="-"/>
    <s v="-"/>
    <s v="-"/>
    <s v="-"/>
    <s v="-"/>
    <s v="-"/>
    <s v="-"/>
    <s v="-"/>
    <s v="-"/>
    <s v="-"/>
    <n v="1"/>
    <s v="-"/>
    <s v="-"/>
    <s v="-"/>
    <s v="-"/>
    <s v="-"/>
    <s v="-"/>
    <s v="-"/>
    <n v="1"/>
    <n v="1"/>
    <s v="-"/>
    <s v="-"/>
    <s v="-"/>
    <n v="0"/>
    <n v="0"/>
    <n v="1"/>
    <n v="1"/>
  </r>
  <r>
    <x v="6"/>
    <x v="163"/>
    <d v="1902-03-26T00:00:00"/>
    <s v="1ST"/>
    <s v="06:00"/>
    <n v="2"/>
    <x v="7"/>
    <n v="1.5E-3"/>
    <s v="P"/>
    <s v="P"/>
    <s v="P"/>
    <s v="-"/>
    <s v="+"/>
    <n v="11.44"/>
    <s v="-"/>
    <s v="-"/>
    <s v="-"/>
    <s v="-"/>
    <s v="-"/>
    <s v="-"/>
    <s v="-"/>
    <s v="-"/>
    <s v="P"/>
    <s v="P"/>
    <s v="-"/>
    <n v="2"/>
    <n v="1"/>
    <n v="2"/>
    <n v="1"/>
    <s v="-"/>
    <s v="-"/>
    <s v="-"/>
    <s v="-"/>
    <s v="-"/>
    <s v="-"/>
    <s v="-"/>
    <n v="6"/>
    <n v="6"/>
    <s v="-"/>
    <n v="1"/>
    <n v="1"/>
    <n v="2"/>
    <n v="2"/>
    <n v="8"/>
    <n v="8"/>
  </r>
  <r>
    <x v="6"/>
    <x v="163"/>
    <d v="1899-12-30T00:00:00"/>
    <s v="1ST"/>
    <s v="07:00"/>
    <n v="2"/>
    <x v="7"/>
    <s v="-"/>
    <s v="P"/>
    <s v="P"/>
    <s v="P"/>
    <s v="-"/>
    <s v="+"/>
    <s v="-"/>
    <s v="-"/>
    <s v="-"/>
    <s v="-"/>
    <s v="-"/>
    <s v="-"/>
    <s v="-"/>
    <s v="-"/>
    <s v="-"/>
    <s v="P"/>
    <s v="P"/>
    <s v="-"/>
    <s v="-"/>
    <n v="1"/>
    <n v="2"/>
    <s v="-"/>
    <s v="-"/>
    <s v="-"/>
    <s v="-"/>
    <s v="-"/>
    <s v="-"/>
    <s v="-"/>
    <s v="-"/>
    <n v="3"/>
    <n v="3"/>
    <s v="-"/>
    <n v="1"/>
    <n v="1"/>
    <n v="2"/>
    <n v="2"/>
    <n v="5"/>
    <n v="5"/>
  </r>
  <r>
    <x v="6"/>
    <x v="163"/>
    <d v="1902-03-26T00:00:00"/>
    <s v="1ST"/>
    <s v="10:00"/>
    <n v="2"/>
    <x v="21"/>
    <n v="3.0999999999999999E-3"/>
    <s v="P"/>
    <s v="P"/>
    <s v="P"/>
    <s v="-"/>
    <s v="+"/>
    <s v="-"/>
    <s v="-"/>
    <s v="-"/>
    <n v="57.5"/>
    <s v="-"/>
    <s v="-"/>
    <s v="-"/>
    <s v="-"/>
    <s v="-"/>
    <s v="P"/>
    <s v="P"/>
    <s v="-"/>
    <n v="2"/>
    <n v="1"/>
    <n v="2"/>
    <s v="-"/>
    <s v="-"/>
    <s v="-"/>
    <n v="2"/>
    <s v="-"/>
    <s v="-"/>
    <s v="-"/>
    <s v="-"/>
    <n v="7"/>
    <n v="7"/>
    <s v="-"/>
    <n v="1"/>
    <n v="1"/>
    <n v="2"/>
    <n v="2"/>
    <n v="9"/>
    <n v="9"/>
  </r>
  <r>
    <x v="6"/>
    <x v="163"/>
    <d v="1899-12-30T00:00:00"/>
    <s v="1ST"/>
    <s v="12:00"/>
    <n v="2"/>
    <x v="21"/>
    <n v="6.1000000000000004E-3"/>
    <s v="P"/>
    <s v="P"/>
    <s v="P"/>
    <s v="-"/>
    <s v="+"/>
    <s v="-"/>
    <s v="-"/>
    <s v="-"/>
    <s v="-"/>
    <s v="-"/>
    <s v="-"/>
    <s v="-"/>
    <s v="-"/>
    <s v="-"/>
    <s v="P"/>
    <s v="P"/>
    <s v="-"/>
    <n v="2"/>
    <n v="1"/>
    <n v="2"/>
    <s v="-"/>
    <s v="-"/>
    <s v="-"/>
    <s v="-"/>
    <s v="-"/>
    <s v="-"/>
    <s v="-"/>
    <s v="-"/>
    <n v="5"/>
    <n v="5"/>
    <s v="-"/>
    <n v="1"/>
    <n v="1"/>
    <n v="2"/>
    <n v="2"/>
    <n v="7"/>
    <n v="7"/>
  </r>
  <r>
    <x v="6"/>
    <x v="163"/>
    <d v="1899-12-30T00:00:00"/>
    <s v="1ST"/>
    <s v="13:00"/>
    <n v="2"/>
    <x v="21"/>
    <n v="8.3000000000000001E-3"/>
    <s v="P"/>
    <s v="P"/>
    <s v="P"/>
    <s v="-"/>
    <s v="+"/>
    <n v="11.92"/>
    <s v="-"/>
    <s v="-"/>
    <s v="-"/>
    <s v="-"/>
    <s v="-"/>
    <s v="-"/>
    <s v="-"/>
    <s v="-"/>
    <s v="P"/>
    <s v="P"/>
    <s v="-"/>
    <n v="2"/>
    <n v="1"/>
    <n v="2"/>
    <n v="1"/>
    <s v="-"/>
    <s v="-"/>
    <s v="-"/>
    <s v="-"/>
    <s v="-"/>
    <s v="-"/>
    <s v="-"/>
    <n v="6"/>
    <n v="6"/>
    <s v="-"/>
    <n v="1"/>
    <n v="1"/>
    <n v="2"/>
    <n v="2"/>
    <n v="8"/>
    <n v="8"/>
  </r>
  <r>
    <x v="6"/>
    <x v="163"/>
    <d v="2026-07-20T00:00:00"/>
    <s v="1ST"/>
    <s v="06:00"/>
    <n v="3"/>
    <x v="1"/>
    <n v="3.2000000000000002E-3"/>
    <s v="P"/>
    <s v="P"/>
    <s v="P"/>
    <s v="+"/>
    <s v="+"/>
    <n v="12.67"/>
    <n v="12.71"/>
    <n v="0.53"/>
    <n v="66"/>
    <s v="-"/>
    <s v="-"/>
    <n v="37.57"/>
    <s v="-"/>
    <s v="-"/>
    <s v="P"/>
    <s v="P"/>
    <s v="-"/>
    <n v="2"/>
    <n v="1"/>
    <n v="2"/>
    <n v="1"/>
    <n v="1"/>
    <n v="2"/>
    <n v="2"/>
    <s v="-"/>
    <s v="-"/>
    <n v="2"/>
    <s v="-"/>
    <n v="13"/>
    <n v="13"/>
    <s v="-"/>
    <n v="1"/>
    <n v="1"/>
    <n v="2"/>
    <n v="2"/>
    <n v="15"/>
    <n v="15"/>
  </r>
  <r>
    <x v="6"/>
    <x v="163"/>
    <d v="2026-07-20T00:00:00"/>
    <s v="1ST"/>
    <s v="07:00"/>
    <n v="3"/>
    <x v="1"/>
    <n v="1.23E-2"/>
    <s v="P"/>
    <s v="P"/>
    <s v="P"/>
    <s v="+"/>
    <s v="+"/>
    <n v="12.62"/>
    <s v="-"/>
    <s v="-"/>
    <s v="-"/>
    <s v="-"/>
    <s v="-"/>
    <s v="-"/>
    <s v="-"/>
    <s v="-"/>
    <s v="P"/>
    <s v="P"/>
    <s v="85% 10% 5%"/>
    <n v="2"/>
    <n v="1"/>
    <n v="2"/>
    <n v="1"/>
    <s v="-"/>
    <s v="-"/>
    <s v="-"/>
    <s v="-"/>
    <s v="-"/>
    <s v="-"/>
    <s v="-"/>
    <n v="6"/>
    <n v="6"/>
    <s v="-"/>
    <n v="1"/>
    <n v="1"/>
    <n v="2"/>
    <n v="2"/>
    <n v="8"/>
    <n v="8"/>
  </r>
  <r>
    <x v="6"/>
    <x v="163"/>
    <d v="2026-07-20T00:00:00"/>
    <s v="1ST"/>
    <s v="08:00"/>
    <n v="3"/>
    <x v="1"/>
    <n v="8.6999999999999994E-3"/>
    <s v="P"/>
    <s v="P"/>
    <s v="P"/>
    <s v="+"/>
    <s v="+"/>
    <n v="12.62"/>
    <s v="-"/>
    <s v="-"/>
    <s v="-"/>
    <s v="-"/>
    <s v="-"/>
    <s v="-"/>
    <s v="-"/>
    <s v="-"/>
    <s v="P"/>
    <s v="P"/>
    <s v="-"/>
    <n v="2"/>
    <n v="1"/>
    <n v="2"/>
    <n v="1"/>
    <s v="-"/>
    <s v="-"/>
    <s v="-"/>
    <s v="-"/>
    <s v="-"/>
    <s v="-"/>
    <s v="-"/>
    <n v="6"/>
    <n v="6"/>
    <s v="-"/>
    <n v="1"/>
    <n v="1"/>
    <n v="2"/>
    <n v="2"/>
    <n v="8"/>
    <n v="8"/>
  </r>
  <r>
    <x v="6"/>
    <x v="163"/>
    <d v="2026-07-20T00:00:00"/>
    <s v="1ST"/>
    <s v="09:00"/>
    <n v="3"/>
    <x v="1"/>
    <n v="5.8999999999999999E-3"/>
    <s v="P"/>
    <s v="P"/>
    <s v="P"/>
    <s v="+"/>
    <s v="+"/>
    <n v="12.73"/>
    <s v="-"/>
    <s v="-"/>
    <s v="-"/>
    <s v="-"/>
    <s v="-"/>
    <s v="-"/>
    <s v="-"/>
    <s v="-"/>
    <s v="P"/>
    <s v="P"/>
    <s v="-"/>
    <n v="2"/>
    <n v="1"/>
    <n v="2"/>
    <n v="1"/>
    <s v="-"/>
    <s v="-"/>
    <s v="-"/>
    <s v="-"/>
    <s v="-"/>
    <s v="-"/>
    <s v="-"/>
    <n v="6"/>
    <n v="6"/>
    <s v="-"/>
    <n v="1"/>
    <n v="1"/>
    <n v="2"/>
    <n v="2"/>
    <n v="8"/>
    <n v="8"/>
  </r>
  <r>
    <x v="6"/>
    <x v="163"/>
    <d v="2026-07-28T00:00:00"/>
    <s v="1ST"/>
    <s v="10:00"/>
    <n v="3"/>
    <x v="8"/>
    <n v="6.1999999999999998E-3"/>
    <s v="P"/>
    <s v="P"/>
    <s v="P"/>
    <s v="+"/>
    <s v="+"/>
    <n v="12.73"/>
    <s v="-"/>
    <s v="-"/>
    <n v="64"/>
    <s v="-"/>
    <s v="-"/>
    <s v="-"/>
    <s v="-"/>
    <s v="-"/>
    <s v="P"/>
    <s v="P"/>
    <n v="1"/>
    <n v="2"/>
    <n v="1"/>
    <n v="2"/>
    <n v="1"/>
    <s v="-"/>
    <s v="-"/>
    <n v="2"/>
    <s v="-"/>
    <s v="-"/>
    <s v="-"/>
    <s v="-"/>
    <n v="8"/>
    <n v="8"/>
    <s v="-"/>
    <n v="1"/>
    <n v="1"/>
    <n v="2"/>
    <n v="2"/>
    <n v="10"/>
    <n v="10"/>
  </r>
  <r>
    <x v="6"/>
    <x v="163"/>
    <d v="2026-07-28T00:00:00"/>
    <s v="1ST"/>
    <s v="12:00"/>
    <n v="3"/>
    <x v="8"/>
    <n v="5.8999999999999999E-3"/>
    <s v="P"/>
    <s v="P"/>
    <s v="P"/>
    <s v="+"/>
    <s v="+"/>
    <n v="13.04"/>
    <s v="-"/>
    <s v="-"/>
    <s v="-"/>
    <s v="-"/>
    <s v="-"/>
    <s v="-"/>
    <s v="-"/>
    <s v="-"/>
    <s v="P"/>
    <s v="P"/>
    <s v="-"/>
    <n v="2"/>
    <n v="1"/>
    <n v="2"/>
    <n v="1"/>
    <s v="-"/>
    <s v="-"/>
    <s v="-"/>
    <s v="-"/>
    <s v="-"/>
    <s v="-"/>
    <s v="-"/>
    <n v="6"/>
    <n v="6"/>
    <s v="-"/>
    <n v="1"/>
    <n v="1"/>
    <n v="2"/>
    <n v="2"/>
    <n v="8"/>
    <n v="8"/>
  </r>
  <r>
    <x v="6"/>
    <x v="163"/>
    <d v="2026-07-22T00:00:00"/>
    <s v="1ST"/>
    <s v="09:00"/>
    <s v="Retail"/>
    <x v="19"/>
    <s v="-"/>
    <s v="-"/>
    <s v="P"/>
    <s v="P"/>
    <s v="-"/>
    <s v="-"/>
    <n v="12.59"/>
    <n v="16.18"/>
    <s v="-"/>
    <s v="-"/>
    <s v="-"/>
    <s v="-"/>
    <n v="46.2"/>
    <s v="-"/>
    <s v="-"/>
    <s v="P"/>
    <s v="P"/>
    <s v="-"/>
    <s v="-"/>
    <s v="-"/>
    <n v="2"/>
    <n v="1"/>
    <n v="1"/>
    <s v="-"/>
    <s v="-"/>
    <s v="-"/>
    <s v="-"/>
    <n v="2"/>
    <s v="-"/>
    <n v="6"/>
    <n v="6"/>
    <s v="-"/>
    <n v="1"/>
    <n v="1"/>
    <n v="2"/>
    <n v="2"/>
    <n v="8"/>
    <n v="8"/>
  </r>
  <r>
    <x v="6"/>
    <x v="163"/>
    <d v="2026-07-22T00:00:00"/>
    <s v="1ST"/>
    <s v="12:00"/>
    <s v="Retail"/>
    <x v="19"/>
    <s v="-"/>
    <s v="-"/>
    <s v="P"/>
    <s v="P"/>
    <s v="-"/>
    <s v="-"/>
    <n v="12.52"/>
    <s v="-"/>
    <s v="-"/>
    <s v="-"/>
    <s v="-"/>
    <s v="-"/>
    <s v="-"/>
    <s v="-"/>
    <s v="-"/>
    <s v="P"/>
    <s v="P"/>
    <s v="-"/>
    <s v="-"/>
    <s v="-"/>
    <n v="2"/>
    <n v="1"/>
    <s v="-"/>
    <s v="-"/>
    <s v="-"/>
    <s v="-"/>
    <s v="-"/>
    <s v="-"/>
    <s v="-"/>
    <n v="3"/>
    <n v="3"/>
    <s v="-"/>
    <n v="1"/>
    <n v="1"/>
    <n v="2"/>
    <n v="2"/>
    <n v="5"/>
    <n v="5"/>
  </r>
  <r>
    <x v="6"/>
    <x v="163"/>
    <d v="1902-03-26T00:00:00"/>
    <s v="2ND"/>
    <d v="1899-12-30T14:00:00"/>
    <n v="2"/>
    <x v="21"/>
    <n v="4.4000000000000003E-3"/>
    <s v="P"/>
    <s v="P"/>
    <s v="P"/>
    <s v="-"/>
    <s v="+"/>
    <n v="11.86"/>
    <s v="-"/>
    <s v="-"/>
    <s v="-"/>
    <s v="-"/>
    <s v="-"/>
    <s v="-"/>
    <s v="-"/>
    <s v="-"/>
    <s v="P"/>
    <s v="P"/>
    <s v="-"/>
    <n v="2"/>
    <n v="1"/>
    <n v="2"/>
    <n v="1"/>
    <s v="-"/>
    <s v="-"/>
    <s v="-"/>
    <s v="-"/>
    <s v="-"/>
    <s v="-"/>
    <s v="-"/>
    <n v="6"/>
    <n v="6"/>
    <s v="-"/>
    <n v="1"/>
    <n v="1"/>
    <n v="2"/>
    <n v="2"/>
    <n v="8"/>
    <n v="8"/>
  </r>
  <r>
    <x v="6"/>
    <x v="163"/>
    <d v="1899-12-30T00:00:00"/>
    <s v="2ND"/>
    <d v="1899-12-30T15:00:00"/>
    <n v="2"/>
    <x v="21"/>
    <n v="1.1999999999999999E-3"/>
    <s v="P"/>
    <s v="P"/>
    <s v="P"/>
    <s v="-"/>
    <s v="+"/>
    <n v="11.79"/>
    <s v="-"/>
    <s v="-"/>
    <s v="-"/>
    <s v="-"/>
    <s v="-"/>
    <s v="-"/>
    <s v="-"/>
    <s v="-"/>
    <s v="P"/>
    <s v="P"/>
    <s v="-"/>
    <n v="2"/>
    <n v="1"/>
    <n v="2"/>
    <n v="1"/>
    <s v="-"/>
    <s v="-"/>
    <s v="-"/>
    <s v="-"/>
    <s v="-"/>
    <s v="-"/>
    <s v="-"/>
    <n v="6"/>
    <n v="6"/>
    <s v="-"/>
    <n v="1"/>
    <n v="1"/>
    <n v="2"/>
    <n v="2"/>
    <n v="8"/>
    <n v="8"/>
  </r>
  <r>
    <x v="6"/>
    <x v="163"/>
    <d v="1899-12-30T00:00:00"/>
    <s v="2ND"/>
    <d v="1899-12-30T16:00:00"/>
    <n v="2"/>
    <x v="21"/>
    <s v="-"/>
    <s v="P"/>
    <s v="P"/>
    <s v="P"/>
    <s v="-"/>
    <s v="+"/>
    <s v="-"/>
    <s v="-"/>
    <s v="-"/>
    <s v="-"/>
    <s v="-"/>
    <s v="-"/>
    <s v="-"/>
    <s v="-"/>
    <s v="-"/>
    <s v="P"/>
    <s v="P"/>
    <s v="-"/>
    <s v="-"/>
    <n v="1"/>
    <n v="2"/>
    <s v="-"/>
    <s v="-"/>
    <s v="-"/>
    <s v="-"/>
    <s v="-"/>
    <s v="-"/>
    <s v="-"/>
    <s v="-"/>
    <n v="3"/>
    <n v="3"/>
    <s v="-"/>
    <n v="1"/>
    <n v="1"/>
    <n v="2"/>
    <n v="2"/>
    <n v="5"/>
    <n v="5"/>
  </r>
  <r>
    <x v="6"/>
    <x v="163"/>
    <d v="1899-12-30T00:00:00"/>
    <s v="2ND"/>
    <d v="1899-12-30T18:00:00"/>
    <n v="2"/>
    <x v="21"/>
    <n v="4.5999999999999999E-3"/>
    <s v="P"/>
    <s v="P"/>
    <s v="P"/>
    <s v="-"/>
    <s v="+"/>
    <s v="-"/>
    <s v="-"/>
    <s v="-"/>
    <s v="-"/>
    <s v="-"/>
    <s v="-"/>
    <s v="-"/>
    <s v="-"/>
    <s v="-"/>
    <s v="P"/>
    <s v="P"/>
    <s v="-"/>
    <n v="2"/>
    <n v="1"/>
    <n v="2"/>
    <s v="-"/>
    <s v="-"/>
    <s v="-"/>
    <s v="-"/>
    <s v="-"/>
    <s v="-"/>
    <s v="-"/>
    <s v="-"/>
    <n v="5"/>
    <n v="5"/>
    <s v="-"/>
    <n v="1"/>
    <n v="1"/>
    <n v="2"/>
    <n v="2"/>
    <n v="7"/>
    <n v="7"/>
  </r>
  <r>
    <x v="6"/>
    <x v="163"/>
    <d v="1899-12-30T00:00:00"/>
    <s v="2ND"/>
    <d v="1899-12-30T20:00:00"/>
    <n v="2"/>
    <x v="21"/>
    <n v="3.0999999999999999E-3"/>
    <s v="P"/>
    <s v="P"/>
    <s v="P"/>
    <s v="-"/>
    <s v="+"/>
    <s v="-"/>
    <s v="-"/>
    <s v="-"/>
    <s v="-"/>
    <s v="-"/>
    <s v="-"/>
    <s v="-"/>
    <s v="-"/>
    <s v="-"/>
    <s v="P"/>
    <s v="P"/>
    <s v="-"/>
    <n v="2"/>
    <n v="1"/>
    <n v="2"/>
    <s v="-"/>
    <s v="-"/>
    <s v="-"/>
    <s v="-"/>
    <s v="-"/>
    <s v="-"/>
    <s v="-"/>
    <s v="-"/>
    <n v="5"/>
    <n v="5"/>
    <s v="-"/>
    <n v="1"/>
    <n v="1"/>
    <n v="2"/>
    <n v="2"/>
    <n v="7"/>
    <n v="7"/>
  </r>
  <r>
    <x v="6"/>
    <x v="163"/>
    <d v="1899-12-30T00:00:00"/>
    <s v="2ND"/>
    <d v="1899-12-30T21:00:00"/>
    <n v="2"/>
    <x v="21"/>
    <n v="3.8E-3"/>
    <s v="P"/>
    <s v="P"/>
    <s v="P"/>
    <s v="-"/>
    <s v="+"/>
    <n v="11.53"/>
    <s v="-"/>
    <s v="-"/>
    <s v="-"/>
    <s v="-"/>
    <s v="-"/>
    <s v="-"/>
    <s v="-"/>
    <s v="-"/>
    <s v="P"/>
    <s v="P"/>
    <s v="-"/>
    <n v="2"/>
    <n v="1"/>
    <n v="2"/>
    <n v="1"/>
    <s v="-"/>
    <s v="-"/>
    <s v="-"/>
    <s v="-"/>
    <s v="-"/>
    <s v="-"/>
    <s v="-"/>
    <n v="6"/>
    <n v="6"/>
    <s v="-"/>
    <n v="1"/>
    <n v="1"/>
    <n v="2"/>
    <n v="2"/>
    <n v="8"/>
    <n v="8"/>
  </r>
  <r>
    <x v="6"/>
    <x v="163"/>
    <d v="2026-07-28T00:00:00"/>
    <s v="2ND"/>
    <d v="1899-12-30T14:00:00"/>
    <n v="3"/>
    <x v="8"/>
    <n v="7.6E-3"/>
    <s v="P"/>
    <s v="P"/>
    <s v="P"/>
    <s v="+"/>
    <s v="+"/>
    <n v="13.77"/>
    <n v="13.02"/>
    <s v="-"/>
    <s v="-"/>
    <s v="-"/>
    <s v="-"/>
    <n v="36.28"/>
    <s v="-"/>
    <s v="-"/>
    <s v="P"/>
    <s v="P"/>
    <s v="-"/>
    <n v="2"/>
    <n v="1"/>
    <n v="2"/>
    <n v="0"/>
    <n v="1"/>
    <s v="-"/>
    <s v="-"/>
    <s v="-"/>
    <s v="-"/>
    <s v="-"/>
    <s v="-"/>
    <n v="6"/>
    <n v="7"/>
    <s v="-"/>
    <n v="1"/>
    <n v="1"/>
    <n v="2"/>
    <n v="2"/>
    <n v="8"/>
    <n v="9"/>
  </r>
  <r>
    <x v="6"/>
    <x v="163"/>
    <d v="2026-07-28T00:00:00"/>
    <s v="2ND"/>
    <d v="1899-12-30T15:00:00"/>
    <n v="3"/>
    <x v="8"/>
    <n v="5.7999999999999996E-3"/>
    <s v="P"/>
    <s v="P"/>
    <s v="P"/>
    <s v="+"/>
    <s v="+"/>
    <n v="13.76"/>
    <s v="-"/>
    <s v="-"/>
    <s v="-"/>
    <s v="-"/>
    <s v="-"/>
    <s v="-"/>
    <s v="-"/>
    <s v="-"/>
    <s v="P"/>
    <s v="P"/>
    <n v="1"/>
    <n v="2"/>
    <n v="1"/>
    <n v="2"/>
    <n v="0"/>
    <s v="-"/>
    <s v="-"/>
    <s v="-"/>
    <s v="-"/>
    <s v="-"/>
    <s v="-"/>
    <s v="-"/>
    <n v="5"/>
    <n v="6"/>
    <s v="-"/>
    <n v="1"/>
    <n v="1"/>
    <n v="2"/>
    <n v="2"/>
    <n v="7"/>
    <n v="8"/>
  </r>
  <r>
    <x v="6"/>
    <x v="163"/>
    <d v="2026-07-28T00:00:00"/>
    <s v="2ND"/>
    <d v="1899-12-30T16:00:00"/>
    <n v="3"/>
    <x v="8"/>
    <n v="5.5999999999999999E-3"/>
    <s v="P"/>
    <s v="P"/>
    <s v="P"/>
    <s v="+"/>
    <s v="+"/>
    <n v="13.72"/>
    <s v="-"/>
    <s v="-"/>
    <s v="-"/>
    <s v="-"/>
    <s v="-"/>
    <s v="-"/>
    <s v="-"/>
    <s v="-"/>
    <s v="P"/>
    <s v="P"/>
    <s v="-"/>
    <n v="2"/>
    <n v="1"/>
    <n v="2"/>
    <n v="0"/>
    <s v="-"/>
    <s v="-"/>
    <s v="-"/>
    <s v="-"/>
    <s v="-"/>
    <s v="-"/>
    <s v="-"/>
    <n v="5"/>
    <n v="6"/>
    <s v="-"/>
    <n v="1"/>
    <n v="1"/>
    <n v="2"/>
    <n v="2"/>
    <n v="7"/>
    <n v="8"/>
  </r>
  <r>
    <x v="6"/>
    <x v="163"/>
    <d v="2026-07-28T00:00:00"/>
    <s v="2ND"/>
    <d v="1899-12-30T18:00:00"/>
    <n v="3"/>
    <x v="8"/>
    <n v="6.7999999999999996E-3"/>
    <s v="P"/>
    <s v="P"/>
    <s v="P"/>
    <s v="+"/>
    <s v="+"/>
    <s v="-"/>
    <s v="-"/>
    <s v="-"/>
    <s v="-"/>
    <s v="-"/>
    <s v="-"/>
    <s v="-"/>
    <s v="-"/>
    <s v="-"/>
    <s v="P"/>
    <s v="P"/>
    <s v="-"/>
    <n v="2"/>
    <n v="1"/>
    <n v="2"/>
    <s v="-"/>
    <s v="-"/>
    <s v="-"/>
    <s v="-"/>
    <s v="-"/>
    <s v="-"/>
    <s v="-"/>
    <s v="-"/>
    <n v="5"/>
    <n v="5"/>
    <s v="-"/>
    <n v="1"/>
    <n v="1"/>
    <n v="2"/>
    <n v="2"/>
    <n v="7"/>
    <n v="7"/>
  </r>
  <r>
    <x v="6"/>
    <x v="163"/>
    <d v="2026-07-28T00:00:00"/>
    <s v="2ND"/>
    <d v="1899-12-30T19:00:00"/>
    <n v="3"/>
    <x v="8"/>
    <n v="6.1999999999999998E-3"/>
    <s v="P"/>
    <s v="P"/>
    <s v="P"/>
    <s v="+"/>
    <s v="+"/>
    <n v="13.45"/>
    <s v="-"/>
    <s v="-"/>
    <s v="-"/>
    <s v="-"/>
    <s v="-"/>
    <s v="-"/>
    <s v="-"/>
    <s v="-"/>
    <s v="P"/>
    <s v="P"/>
    <s v="-"/>
    <n v="2"/>
    <n v="1"/>
    <n v="2"/>
    <n v="1"/>
    <s v="-"/>
    <s v="-"/>
    <s v="-"/>
    <s v="-"/>
    <s v="-"/>
    <s v="-"/>
    <s v="-"/>
    <n v="6"/>
    <n v="6"/>
    <s v="-"/>
    <n v="1"/>
    <n v="1"/>
    <n v="2"/>
    <n v="2"/>
    <n v="8"/>
    <n v="8"/>
  </r>
  <r>
    <x v="6"/>
    <x v="163"/>
    <d v="2026-07-28T00:00:00"/>
    <s v="2ND"/>
    <d v="1899-12-30T20:00:00"/>
    <n v="3"/>
    <x v="8"/>
    <n v="5.8999999999999999E-3"/>
    <s v="P"/>
    <s v="P"/>
    <s v="P"/>
    <s v="+"/>
    <s v="+"/>
    <n v="12.9"/>
    <s v="-"/>
    <s v="-"/>
    <s v="-"/>
    <s v="-"/>
    <s v="-"/>
    <s v="-"/>
    <s v="-"/>
    <s v="-"/>
    <s v="P"/>
    <s v="P"/>
    <s v="-"/>
    <n v="2"/>
    <n v="1"/>
    <n v="2"/>
    <n v="1"/>
    <s v="-"/>
    <s v="-"/>
    <s v="-"/>
    <s v="-"/>
    <s v="-"/>
    <s v="-"/>
    <s v="-"/>
    <n v="6"/>
    <n v="6"/>
    <s v="-"/>
    <n v="1"/>
    <n v="1"/>
    <n v="2"/>
    <n v="2"/>
    <n v="8"/>
    <n v="8"/>
  </r>
  <r>
    <x v="6"/>
    <x v="163"/>
    <d v="2026-07-09T00:00:00"/>
    <s v="2ND"/>
    <d v="1899-12-30T17:00:00"/>
    <s v="Retail"/>
    <x v="26"/>
    <n v="4.4000000000000003E-3"/>
    <s v="P"/>
    <s v="P"/>
    <s v="P"/>
    <s v="+"/>
    <s v="+"/>
    <n v="12.15"/>
    <n v="9.1199999999999992"/>
    <s v="-"/>
    <n v="54.3"/>
    <s v="-"/>
    <s v="-"/>
    <n v="24.68"/>
    <s v="-"/>
    <s v="-"/>
    <s v="-"/>
    <s v="-"/>
    <s v="-"/>
    <n v="2"/>
    <n v="1"/>
    <n v="2"/>
    <n v="1"/>
    <n v="1"/>
    <s v="-"/>
    <n v="2"/>
    <s v="-"/>
    <s v="-"/>
    <n v="2"/>
    <s v="-"/>
    <n v="11"/>
    <n v="11"/>
    <s v="-"/>
    <s v="-"/>
    <s v="-"/>
    <n v="0"/>
    <n v="0"/>
    <n v="11"/>
    <n v="11"/>
  </r>
  <r>
    <x v="6"/>
    <x v="163"/>
    <d v="1902-03-26T00:00:00"/>
    <s v="3RD"/>
    <d v="1899-12-30T22:00:00"/>
    <n v="2"/>
    <x v="21"/>
    <n v="3.8999999999999998E-3"/>
    <s v="P"/>
    <s v="P"/>
    <s v="P"/>
    <s v="-"/>
    <s v="+"/>
    <n v="11.46"/>
    <s v="-"/>
    <s v="-"/>
    <s v="-"/>
    <s v="-"/>
    <s v="-"/>
    <s v="-"/>
    <s v="-"/>
    <s v="-"/>
    <s v="P"/>
    <s v="P"/>
    <s v="-"/>
    <n v="2"/>
    <n v="1"/>
    <n v="2"/>
    <n v="1"/>
    <s v="-"/>
    <s v="-"/>
    <s v="-"/>
    <s v="-"/>
    <s v="-"/>
    <s v="-"/>
    <s v="-"/>
    <n v="6"/>
    <n v="6"/>
    <s v="-"/>
    <n v="1"/>
    <n v="1"/>
    <n v="2"/>
    <n v="2"/>
    <n v="8"/>
    <n v="8"/>
  </r>
  <r>
    <x v="6"/>
    <x v="163"/>
    <d v="1899-12-30T00:00:00"/>
    <s v="3RD"/>
    <d v="1899-12-30T23:00:00"/>
    <n v="2"/>
    <x v="21"/>
    <n v="3.7000000000000002E-3"/>
    <s v="P"/>
    <s v="P"/>
    <s v="P"/>
    <s v="-"/>
    <s v="+"/>
    <n v="11.5"/>
    <s v="-"/>
    <s v="-"/>
    <s v="-"/>
    <s v="-"/>
    <s v="-"/>
    <s v="-"/>
    <s v="-"/>
    <s v="-"/>
    <s v="P"/>
    <s v="P"/>
    <s v="-"/>
    <n v="2"/>
    <n v="1"/>
    <n v="2"/>
    <n v="1"/>
    <s v="-"/>
    <s v="-"/>
    <s v="-"/>
    <s v="-"/>
    <s v="-"/>
    <s v="-"/>
    <s v="-"/>
    <n v="6"/>
    <n v="6"/>
    <s v="-"/>
    <n v="1"/>
    <n v="1"/>
    <n v="2"/>
    <n v="2"/>
    <n v="8"/>
    <n v="8"/>
  </r>
  <r>
    <x v="6"/>
    <x v="163"/>
    <d v="1899-12-30T00:00:00"/>
    <s v="3RD"/>
    <d v="1899-12-31T00:00:00"/>
    <n v="2"/>
    <x v="21"/>
    <n v="3.5000000000000001E-3"/>
    <s v="P"/>
    <s v="P"/>
    <s v="P"/>
    <s v="-"/>
    <s v="+"/>
    <s v="-"/>
    <s v="-"/>
    <s v="-"/>
    <s v="-"/>
    <s v="-"/>
    <s v="-"/>
    <s v="-"/>
    <s v="-"/>
    <s v="-"/>
    <s v="P"/>
    <s v="P"/>
    <s v="-"/>
    <n v="2"/>
    <n v="1"/>
    <n v="2"/>
    <s v="-"/>
    <s v="-"/>
    <s v="-"/>
    <s v="-"/>
    <s v="-"/>
    <s v="-"/>
    <s v="-"/>
    <s v="-"/>
    <n v="5"/>
    <n v="5"/>
    <s v="-"/>
    <n v="1"/>
    <n v="1"/>
    <n v="2"/>
    <n v="2"/>
    <n v="7"/>
    <n v="7"/>
  </r>
  <r>
    <x v="6"/>
    <x v="163"/>
    <d v="1899-12-30T00:00:00"/>
    <s v="3RD"/>
    <d v="1899-12-31T01:00:00"/>
    <n v="2"/>
    <x v="4"/>
    <s v="-"/>
    <s v="P"/>
    <s v="P"/>
    <s v="P"/>
    <s v="-"/>
    <s v="+"/>
    <n v="11.43"/>
    <s v="-"/>
    <s v="-"/>
    <s v="-"/>
    <s v="-"/>
    <s v="-"/>
    <s v="-"/>
    <s v="-"/>
    <s v="-"/>
    <s v="P"/>
    <s v="P"/>
    <s v="-"/>
    <s v="-"/>
    <n v="1"/>
    <n v="2"/>
    <n v="1"/>
    <s v="-"/>
    <s v="-"/>
    <s v="-"/>
    <s v="-"/>
    <s v="-"/>
    <s v="-"/>
    <s v="-"/>
    <n v="4"/>
    <n v="4"/>
    <s v="-"/>
    <n v="1"/>
    <n v="1"/>
    <n v="2"/>
    <n v="2"/>
    <n v="6"/>
    <n v="6"/>
  </r>
  <r>
    <x v="6"/>
    <x v="163"/>
    <d v="1899-12-30T00:00:00"/>
    <s v="3RD"/>
    <d v="1899-12-31T02:00:00"/>
    <n v="2"/>
    <x v="4"/>
    <n v="3.3E-3"/>
    <s v="P"/>
    <s v="P"/>
    <s v="P"/>
    <s v="-"/>
    <s v="+"/>
    <n v="11.37"/>
    <s v="-"/>
    <s v="-"/>
    <s v="-"/>
    <s v="-"/>
    <s v="-"/>
    <s v="-"/>
    <s v="-"/>
    <s v="-"/>
    <s v="P"/>
    <s v="P"/>
    <s v="-"/>
    <n v="2"/>
    <n v="1"/>
    <n v="2"/>
    <n v="1"/>
    <s v="-"/>
    <s v="-"/>
    <s v="-"/>
    <s v="-"/>
    <s v="-"/>
    <s v="-"/>
    <s v="-"/>
    <n v="6"/>
    <n v="6"/>
    <s v="-"/>
    <n v="1"/>
    <n v="1"/>
    <n v="2"/>
    <n v="2"/>
    <n v="8"/>
    <n v="8"/>
  </r>
  <r>
    <x v="6"/>
    <x v="163"/>
    <d v="1899-12-30T00:00:00"/>
    <s v="3RD"/>
    <d v="1899-12-31T03:00:00"/>
    <n v="2"/>
    <x v="4"/>
    <n v="3.5999999999999999E-3"/>
    <s v="P"/>
    <s v="P"/>
    <s v="P"/>
    <s v="-"/>
    <s v="+"/>
    <n v="11.51"/>
    <s v="-"/>
    <s v="-"/>
    <s v="-"/>
    <s v="-"/>
    <s v="-"/>
    <s v="-"/>
    <s v="-"/>
    <s v="-"/>
    <s v="P"/>
    <s v="P"/>
    <s v="-"/>
    <n v="2"/>
    <n v="1"/>
    <n v="2"/>
    <n v="1"/>
    <s v="-"/>
    <s v="-"/>
    <s v="-"/>
    <s v="-"/>
    <s v="-"/>
    <s v="-"/>
    <s v="-"/>
    <n v="6"/>
    <n v="6"/>
    <s v="-"/>
    <n v="1"/>
    <n v="1"/>
    <n v="2"/>
    <n v="2"/>
    <n v="8"/>
    <n v="8"/>
  </r>
  <r>
    <x v="6"/>
    <x v="163"/>
    <d v="1899-12-30T00:00:00"/>
    <s v="3RD"/>
    <d v="1899-12-31T04:00:00"/>
    <n v="2"/>
    <x v="4"/>
    <n v="7.3000000000000001E-3"/>
    <s v="P"/>
    <s v="P"/>
    <s v="P"/>
    <s v="-"/>
    <s v="+"/>
    <s v="-"/>
    <s v="-"/>
    <s v="-"/>
    <s v="-"/>
    <s v="-"/>
    <s v="-"/>
    <s v="-"/>
    <s v="-"/>
    <s v="-"/>
    <s v="P"/>
    <s v="P"/>
    <s v="-"/>
    <n v="2"/>
    <n v="1"/>
    <n v="2"/>
    <s v="-"/>
    <s v="-"/>
    <s v="-"/>
    <s v="-"/>
    <s v="-"/>
    <s v="-"/>
    <s v="-"/>
    <s v="-"/>
    <n v="5"/>
    <n v="5"/>
    <s v="-"/>
    <n v="1"/>
    <n v="1"/>
    <n v="2"/>
    <n v="2"/>
    <n v="7"/>
    <n v="7"/>
  </r>
  <r>
    <x v="6"/>
    <x v="163"/>
    <d v="2026-07-28T00:00:00"/>
    <s v="3RD"/>
    <d v="1899-12-30T22:00:00"/>
    <n v="3"/>
    <x v="8"/>
    <n v="2E-3"/>
    <s v="P"/>
    <s v="P"/>
    <s v="P"/>
    <s v="+"/>
    <s v="+"/>
    <n v="12.39"/>
    <n v="13.71"/>
    <s v="-"/>
    <s v="-"/>
    <s v="-"/>
    <s v="-"/>
    <n v="36.840000000000003"/>
    <s v="-"/>
    <s v="-"/>
    <s v="P"/>
    <s v="P"/>
    <s v="-"/>
    <n v="2"/>
    <n v="1"/>
    <n v="2"/>
    <n v="1"/>
    <n v="1"/>
    <s v="-"/>
    <s v="-"/>
    <s v="-"/>
    <s v="-"/>
    <s v="-"/>
    <s v="-"/>
    <n v="7"/>
    <n v="7"/>
    <s v="-"/>
    <n v="1"/>
    <n v="1"/>
    <n v="2"/>
    <n v="2"/>
    <n v="9"/>
    <n v="9"/>
  </r>
  <r>
    <x v="6"/>
    <x v="163"/>
    <d v="2026-07-28T00:00:00"/>
    <s v="3RD"/>
    <d v="1899-12-30T23:00:00"/>
    <n v="3"/>
    <x v="8"/>
    <n v="3.5999999999999999E-3"/>
    <s v="P"/>
    <s v="P"/>
    <s v="P"/>
    <s v="+"/>
    <s v="+"/>
    <n v="12.26"/>
    <s v="-"/>
    <s v="-"/>
    <s v="-"/>
    <s v="-"/>
    <s v="-"/>
    <s v="-"/>
    <s v="-"/>
    <s v="-"/>
    <s v="P"/>
    <s v="P"/>
    <n v="1"/>
    <n v="2"/>
    <n v="1"/>
    <n v="2"/>
    <n v="1"/>
    <s v="-"/>
    <s v="-"/>
    <s v="-"/>
    <s v="-"/>
    <s v="-"/>
    <s v="-"/>
    <s v="-"/>
    <n v="6"/>
    <n v="6"/>
    <s v="-"/>
    <n v="1"/>
    <n v="1"/>
    <n v="2"/>
    <n v="2"/>
    <n v="8"/>
    <n v="8"/>
  </r>
  <r>
    <x v="6"/>
    <x v="163"/>
    <d v="2026-07-28T00:00:00"/>
    <s v="3RD"/>
    <d v="1899-12-31T00:00:00"/>
    <n v="3"/>
    <x v="8"/>
    <n v="4.7999999999999996E-3"/>
    <s v="P"/>
    <s v="P"/>
    <s v="P"/>
    <s v="+"/>
    <s v="+"/>
    <n v="12.41"/>
    <s v="-"/>
    <s v="-"/>
    <s v="-"/>
    <s v="-"/>
    <s v="-"/>
    <s v="-"/>
    <s v="-"/>
    <s v="-"/>
    <s v="P"/>
    <s v="P"/>
    <s v="-"/>
    <n v="2"/>
    <n v="1"/>
    <n v="2"/>
    <n v="1"/>
    <s v="-"/>
    <s v="-"/>
    <s v="-"/>
    <s v="-"/>
    <s v="-"/>
    <s v="-"/>
    <s v="-"/>
    <n v="6"/>
    <n v="6"/>
    <s v="-"/>
    <n v="1"/>
    <n v="1"/>
    <n v="2"/>
    <n v="2"/>
    <n v="8"/>
    <n v="8"/>
  </r>
  <r>
    <x v="6"/>
    <x v="163"/>
    <d v="2026-07-28T00:00:00"/>
    <s v="3RD"/>
    <d v="1899-12-31T02:00:00"/>
    <n v="3"/>
    <x v="8"/>
    <n v="1.77E-2"/>
    <s v="P"/>
    <s v="P"/>
    <s v="P"/>
    <s v="+"/>
    <s v="+"/>
    <s v="-"/>
    <s v="-"/>
    <s v="-"/>
    <s v="-"/>
    <s v="-"/>
    <s v="-"/>
    <s v="-"/>
    <s v="-"/>
    <s v="-"/>
    <s v="P"/>
    <s v="P"/>
    <s v="-"/>
    <n v="2"/>
    <n v="1"/>
    <n v="2"/>
    <s v="-"/>
    <s v="-"/>
    <s v="-"/>
    <s v="-"/>
    <s v="-"/>
    <s v="-"/>
    <s v="-"/>
    <s v="-"/>
    <n v="5"/>
    <n v="5"/>
    <s v="-"/>
    <n v="1"/>
    <n v="1"/>
    <n v="2"/>
    <n v="2"/>
    <n v="7"/>
    <n v="7"/>
  </r>
  <r>
    <x v="6"/>
    <x v="163"/>
    <d v="2026-07-21T00:00:00"/>
    <s v="3RD"/>
    <d v="1899-12-31T03:00:00"/>
    <n v="3"/>
    <x v="1"/>
    <n v="1.47E-2"/>
    <s v="P"/>
    <s v="P"/>
    <s v="P"/>
    <s v="+"/>
    <s v="+"/>
    <n v="13.09"/>
    <n v="12.88"/>
    <s v="-"/>
    <n v="64.900000000000006"/>
    <s v="-"/>
    <s v="-"/>
    <n v="36.17"/>
    <s v="-"/>
    <s v="-"/>
    <s v="P"/>
    <s v="P"/>
    <s v="85% 5% 10%"/>
    <n v="2"/>
    <n v="1"/>
    <n v="2"/>
    <n v="1"/>
    <n v="1"/>
    <s v="-"/>
    <n v="2"/>
    <s v="-"/>
    <s v="-"/>
    <n v="2"/>
    <s v="-"/>
    <n v="11"/>
    <n v="11"/>
    <s v="-"/>
    <n v="1"/>
    <n v="1"/>
    <n v="2"/>
    <n v="2"/>
    <n v="13"/>
    <n v="13"/>
  </r>
  <r>
    <x v="6"/>
    <x v="163"/>
    <d v="2026-07-21T00:00:00"/>
    <s v="3RD"/>
    <d v="1899-12-31T04:00:00"/>
    <n v="3"/>
    <x v="1"/>
    <n v="6.1999999999999998E-3"/>
    <s v="P"/>
    <s v="P"/>
    <s v="P"/>
    <s v="+"/>
    <s v="+"/>
    <n v="12.12"/>
    <s v="-"/>
    <s v="-"/>
    <s v="-"/>
    <s v="-"/>
    <s v="-"/>
    <s v="-"/>
    <s v="-"/>
    <s v="-"/>
    <s v="P"/>
    <s v="P"/>
    <s v="-"/>
    <n v="2"/>
    <n v="1"/>
    <n v="2"/>
    <n v="1"/>
    <s v="-"/>
    <s v="-"/>
    <s v="-"/>
    <s v="-"/>
    <s v="-"/>
    <s v="-"/>
    <s v="-"/>
    <n v="6"/>
    <n v="6"/>
    <s v="-"/>
    <n v="1"/>
    <n v="1"/>
    <n v="2"/>
    <n v="2"/>
    <n v="8"/>
    <n v="8"/>
  </r>
  <r>
    <x v="6"/>
    <x v="164"/>
    <d v="1902-03-26T00:00:00"/>
    <s v="1ST"/>
    <s v="06:00"/>
    <n v="2"/>
    <x v="4"/>
    <s v="-"/>
    <s v="P"/>
    <s v="P"/>
    <s v="P"/>
    <s v="-"/>
    <s v="+"/>
    <s v="-"/>
    <n v="8.7200000000000006"/>
    <n v="0.61"/>
    <n v="56.2"/>
    <s v="-"/>
    <s v="-"/>
    <n v="23.58"/>
    <s v="-"/>
    <s v="-"/>
    <s v="P"/>
    <s v="P"/>
    <s v="-"/>
    <s v="-"/>
    <n v="1"/>
    <n v="2"/>
    <s v="-"/>
    <n v="1"/>
    <n v="0"/>
    <n v="2"/>
    <s v="-"/>
    <s v="-"/>
    <n v="2"/>
    <s v="-"/>
    <n v="8"/>
    <n v="10"/>
    <s v="-"/>
    <n v="1"/>
    <n v="1"/>
    <n v="2"/>
    <n v="2"/>
    <n v="10"/>
    <n v="12"/>
  </r>
  <r>
    <x v="6"/>
    <x v="164"/>
    <d v="1902-03-26T00:00:00"/>
    <s v="1ST"/>
    <s v="08:00"/>
    <n v="2"/>
    <x v="7"/>
    <s v="-"/>
    <s v="P"/>
    <s v="P"/>
    <s v="P"/>
    <s v="-"/>
    <s v="+"/>
    <s v="-"/>
    <n v="8.7200000000000006"/>
    <n v="0.61"/>
    <n v="56.2"/>
    <s v="-"/>
    <s v="-"/>
    <n v="23.58"/>
    <s v="-"/>
    <s v="-"/>
    <s v="P"/>
    <s v="P"/>
    <s v="-"/>
    <s v="-"/>
    <n v="1"/>
    <n v="2"/>
    <s v="-"/>
    <n v="1"/>
    <n v="0"/>
    <n v="2"/>
    <s v="-"/>
    <s v="-"/>
    <n v="2"/>
    <s v="-"/>
    <n v="8"/>
    <n v="10"/>
    <s v="-"/>
    <n v="1"/>
    <n v="1"/>
    <n v="2"/>
    <n v="2"/>
    <n v="10"/>
    <n v="12"/>
  </r>
  <r>
    <x v="6"/>
    <x v="164"/>
    <d v="1899-12-30T00:00:00"/>
    <s v="1ST"/>
    <s v="10:00"/>
    <n v="2"/>
    <x v="7"/>
    <s v="-"/>
    <s v="P"/>
    <s v="P"/>
    <s v="P"/>
    <s v="-"/>
    <s v="+"/>
    <n v="11.15"/>
    <s v="-"/>
    <s v="-"/>
    <s v="-"/>
    <s v="-"/>
    <s v="-"/>
    <s v="-"/>
    <s v="-"/>
    <s v="-"/>
    <s v="P"/>
    <s v="P"/>
    <s v="-"/>
    <s v="-"/>
    <n v="1"/>
    <n v="2"/>
    <n v="1"/>
    <s v="-"/>
    <s v="-"/>
    <s v="-"/>
    <s v="-"/>
    <s v="-"/>
    <s v="-"/>
    <s v="-"/>
    <n v="4"/>
    <n v="4"/>
    <s v="-"/>
    <n v="1"/>
    <n v="1"/>
    <n v="2"/>
    <n v="2"/>
    <n v="6"/>
    <n v="6"/>
  </r>
  <r>
    <x v="6"/>
    <x v="164"/>
    <d v="1899-12-30T00:00:00"/>
    <s v="1ST"/>
    <s v="11:00"/>
    <n v="2"/>
    <x v="7"/>
    <n v="0.01"/>
    <s v="P"/>
    <s v="P"/>
    <s v="P"/>
    <s v="-"/>
    <s v="+"/>
    <n v="11.22"/>
    <s v="-"/>
    <s v="-"/>
    <s v="-"/>
    <s v="-"/>
    <s v="-"/>
    <s v="-"/>
    <s v="-"/>
    <s v="-"/>
    <s v="P"/>
    <s v="P"/>
    <s v="-"/>
    <n v="2"/>
    <n v="1"/>
    <n v="2"/>
    <n v="1"/>
    <s v="-"/>
    <s v="-"/>
    <s v="-"/>
    <s v="-"/>
    <s v="-"/>
    <s v="-"/>
    <s v="-"/>
    <n v="6"/>
    <n v="6"/>
    <s v="-"/>
    <n v="1"/>
    <n v="1"/>
    <n v="2"/>
    <n v="2"/>
    <n v="8"/>
    <n v="8"/>
  </r>
  <r>
    <x v="6"/>
    <x v="164"/>
    <d v="1899-12-30T00:00:00"/>
    <s v="1ST"/>
    <s v="12:00"/>
    <n v="2"/>
    <x v="7"/>
    <s v="-"/>
    <s v="P"/>
    <s v="P"/>
    <s v="P"/>
    <s v="-"/>
    <s v="+"/>
    <s v="-"/>
    <s v="-"/>
    <s v="-"/>
    <s v="-"/>
    <s v="-"/>
    <s v="-"/>
    <s v="-"/>
    <s v="-"/>
    <s v="-"/>
    <s v="P"/>
    <s v="P"/>
    <s v="-"/>
    <s v="-"/>
    <n v="1"/>
    <n v="2"/>
    <s v="-"/>
    <s v="-"/>
    <s v="-"/>
    <s v="-"/>
    <s v="-"/>
    <s v="-"/>
    <s v="-"/>
    <s v="-"/>
    <n v="3"/>
    <n v="3"/>
    <s v="-"/>
    <n v="1"/>
    <n v="1"/>
    <n v="2"/>
    <n v="2"/>
    <n v="5"/>
    <n v="5"/>
  </r>
  <r>
    <x v="6"/>
    <x v="164"/>
    <d v="1899-12-30T00:00:00"/>
    <s v="1ST"/>
    <s v="13:00"/>
    <n v="2"/>
    <x v="7"/>
    <s v="-"/>
    <s v="P"/>
    <s v="P"/>
    <s v="P"/>
    <s v="-"/>
    <s v="+"/>
    <n v="11.2"/>
    <s v="-"/>
    <s v="-"/>
    <s v="-"/>
    <s v="-"/>
    <s v="-"/>
    <s v="-"/>
    <s v="-"/>
    <s v="-"/>
    <s v="P"/>
    <s v="P"/>
    <s v="-"/>
    <s v="-"/>
    <n v="1"/>
    <n v="2"/>
    <n v="1"/>
    <s v="-"/>
    <s v="-"/>
    <s v="-"/>
    <s v="-"/>
    <s v="-"/>
    <s v="-"/>
    <s v="-"/>
    <n v="4"/>
    <n v="4"/>
    <s v="-"/>
    <n v="1"/>
    <n v="1"/>
    <n v="2"/>
    <n v="2"/>
    <n v="6"/>
    <n v="6"/>
  </r>
  <r>
    <x v="6"/>
    <x v="164"/>
    <d v="2026-07-21T00:00:00"/>
    <s v="1ST"/>
    <s v="06:00"/>
    <n v="3"/>
    <x v="1"/>
    <n v="0.01"/>
    <s v="P"/>
    <s v="P"/>
    <s v="P"/>
    <s v="+"/>
    <s v="+"/>
    <n v="12.71"/>
    <n v="13.53"/>
    <n v="0.55000000000000004"/>
    <n v="65.599999999999994"/>
    <s v="-"/>
    <s v="-"/>
    <n v="38.1"/>
    <s v="-"/>
    <s v="-"/>
    <s v="P"/>
    <s v="P"/>
    <s v="-"/>
    <n v="2"/>
    <n v="1"/>
    <n v="2"/>
    <n v="1"/>
    <n v="1"/>
    <n v="2"/>
    <n v="2"/>
    <s v="-"/>
    <s v="-"/>
    <n v="2"/>
    <s v="-"/>
    <n v="13"/>
    <n v="13"/>
    <s v="-"/>
    <n v="1"/>
    <n v="1"/>
    <n v="2"/>
    <n v="2"/>
    <n v="15"/>
    <n v="15"/>
  </r>
  <r>
    <x v="6"/>
    <x v="164"/>
    <d v="2026-07-21T00:00:00"/>
    <s v="1ST"/>
    <s v="08:00"/>
    <n v="3"/>
    <x v="1"/>
    <n v="0.01"/>
    <s v="P"/>
    <s v="P"/>
    <s v="P"/>
    <s v="+"/>
    <s v="+"/>
    <n v="13.11"/>
    <s v="-"/>
    <s v="-"/>
    <s v="-"/>
    <s v="-"/>
    <s v="-"/>
    <s v="-"/>
    <s v="-"/>
    <s v="-"/>
    <s v="P"/>
    <s v="P"/>
    <s v="-"/>
    <n v="2"/>
    <n v="1"/>
    <n v="2"/>
    <n v="1"/>
    <s v="-"/>
    <s v="-"/>
    <s v="-"/>
    <s v="-"/>
    <s v="-"/>
    <s v="-"/>
    <s v="-"/>
    <n v="6"/>
    <n v="6"/>
    <s v="-"/>
    <n v="1"/>
    <n v="1"/>
    <n v="2"/>
    <n v="2"/>
    <n v="8"/>
    <n v="8"/>
  </r>
  <r>
    <x v="6"/>
    <x v="164"/>
    <d v="2026-07-21T00:00:00"/>
    <s v="1ST"/>
    <s v="09:00"/>
    <n v="3"/>
    <x v="1"/>
    <n v="0.01"/>
    <s v="P"/>
    <s v="P"/>
    <s v="P"/>
    <s v="+"/>
    <s v="+"/>
    <n v="12.87"/>
    <s v="-"/>
    <s v="-"/>
    <s v="-"/>
    <s v="-"/>
    <s v="-"/>
    <s v="-"/>
    <s v="-"/>
    <s v="-"/>
    <s v="P"/>
    <s v="P"/>
    <s v="-"/>
    <n v="2"/>
    <n v="1"/>
    <n v="2"/>
    <n v="1"/>
    <s v="-"/>
    <s v="-"/>
    <s v="-"/>
    <s v="-"/>
    <s v="-"/>
    <s v="-"/>
    <s v="-"/>
    <n v="6"/>
    <n v="6"/>
    <s v="-"/>
    <n v="1"/>
    <n v="1"/>
    <n v="2"/>
    <n v="2"/>
    <n v="8"/>
    <n v="8"/>
  </r>
  <r>
    <x v="6"/>
    <x v="164"/>
    <d v="2026-07-21T00:00:00"/>
    <s v="1ST"/>
    <s v="10:00"/>
    <n v="3"/>
    <x v="1"/>
    <n v="0.01"/>
    <s v="P"/>
    <s v="P"/>
    <s v="P"/>
    <s v="+"/>
    <s v="+"/>
    <n v="12.87"/>
    <s v="-"/>
    <s v="-"/>
    <s v="-"/>
    <s v="-"/>
    <s v="-"/>
    <s v="-"/>
    <s v="-"/>
    <s v="-"/>
    <s v="P"/>
    <s v="P"/>
    <s v="-"/>
    <n v="2"/>
    <n v="1"/>
    <n v="2"/>
    <n v="1"/>
    <s v="-"/>
    <s v="-"/>
    <s v="-"/>
    <s v="-"/>
    <s v="-"/>
    <s v="-"/>
    <s v="-"/>
    <n v="6"/>
    <n v="6"/>
    <s v="-"/>
    <n v="1"/>
    <n v="1"/>
    <n v="2"/>
    <n v="2"/>
    <n v="8"/>
    <n v="8"/>
  </r>
  <r>
    <x v="6"/>
    <x v="164"/>
    <d v="2026-07-21T00:00:00"/>
    <s v="1ST"/>
    <s v="12:00"/>
    <n v="3"/>
    <x v="1"/>
    <n v="0.01"/>
    <s v="P"/>
    <s v="P"/>
    <s v="P"/>
    <s v="+"/>
    <s v="+"/>
    <n v="12.37"/>
    <s v="-"/>
    <s v="-"/>
    <s v="-"/>
    <s v="-"/>
    <s v="-"/>
    <s v="-"/>
    <s v="-"/>
    <s v="-"/>
    <s v="P"/>
    <s v="P"/>
    <s v="-"/>
    <n v="2"/>
    <n v="1"/>
    <n v="2"/>
    <n v="1"/>
    <s v="-"/>
    <s v="-"/>
    <s v="-"/>
    <s v="-"/>
    <s v="-"/>
    <s v="-"/>
    <s v="-"/>
    <n v="6"/>
    <n v="6"/>
    <s v="-"/>
    <n v="1"/>
    <n v="1"/>
    <n v="2"/>
    <n v="2"/>
    <n v="8"/>
    <n v="8"/>
  </r>
  <r>
    <x v="6"/>
    <x v="164"/>
    <d v="2026-07-21T00:00:00"/>
    <s v="1ST"/>
    <s v="13:00"/>
    <n v="3"/>
    <x v="1"/>
    <n v="0.01"/>
    <s v="P"/>
    <s v="P"/>
    <s v="P"/>
    <s v="+"/>
    <s v="+"/>
    <n v="12.82"/>
    <s v="-"/>
    <s v="-"/>
    <s v="-"/>
    <s v="-"/>
    <s v="-"/>
    <s v="-"/>
    <s v="-"/>
    <s v="-"/>
    <s v="P"/>
    <s v="P"/>
    <s v="-"/>
    <n v="2"/>
    <n v="1"/>
    <n v="2"/>
    <n v="1"/>
    <s v="-"/>
    <s v="-"/>
    <s v="-"/>
    <s v="-"/>
    <s v="-"/>
    <s v="-"/>
    <s v="-"/>
    <n v="6"/>
    <n v="6"/>
    <s v="-"/>
    <n v="1"/>
    <n v="1"/>
    <n v="2"/>
    <n v="2"/>
    <n v="8"/>
    <n v="8"/>
  </r>
  <r>
    <x v="6"/>
    <x v="164"/>
    <d v="1899-12-30T00:00:00"/>
    <s v="2ND"/>
    <d v="1899-12-30T14:00:00"/>
    <n v="2"/>
    <x v="7"/>
    <s v="-"/>
    <s v="P"/>
    <s v="P"/>
    <s v="P"/>
    <s v="-"/>
    <s v="+"/>
    <n v="11.33"/>
    <s v="-"/>
    <s v="-"/>
    <s v="-"/>
    <s v="-"/>
    <s v="-"/>
    <s v="-"/>
    <s v="-"/>
    <s v="-"/>
    <s v="P"/>
    <s v="P"/>
    <s v="-"/>
    <s v="-"/>
    <n v="1"/>
    <n v="2"/>
    <n v="1"/>
    <s v="-"/>
    <s v="-"/>
    <s v="-"/>
    <s v="-"/>
    <s v="-"/>
    <s v="-"/>
    <s v="-"/>
    <n v="4"/>
    <n v="4"/>
    <s v="-"/>
    <n v="1"/>
    <n v="1"/>
    <n v="2"/>
    <n v="2"/>
    <n v="6"/>
    <n v="6"/>
  </r>
  <r>
    <x v="6"/>
    <x v="164"/>
    <d v="1899-12-30T00:00:00"/>
    <s v="2ND"/>
    <d v="1899-12-30T15:00:00"/>
    <n v="2"/>
    <x v="7"/>
    <n v="0.01"/>
    <s v="P"/>
    <s v="P"/>
    <s v="P"/>
    <s v="-"/>
    <s v="+"/>
    <n v="11.24"/>
    <s v="-"/>
    <s v="-"/>
    <s v="-"/>
    <s v="-"/>
    <s v="-"/>
    <s v="-"/>
    <s v="-"/>
    <s v="-"/>
    <s v="P"/>
    <s v="P"/>
    <s v="-"/>
    <n v="2"/>
    <n v="1"/>
    <n v="2"/>
    <n v="1"/>
    <s v="-"/>
    <s v="-"/>
    <s v="-"/>
    <s v="-"/>
    <s v="-"/>
    <s v="-"/>
    <s v="-"/>
    <n v="6"/>
    <n v="6"/>
    <s v="-"/>
    <n v="1"/>
    <n v="1"/>
    <n v="2"/>
    <n v="2"/>
    <n v="8"/>
    <n v="8"/>
  </r>
  <r>
    <x v="6"/>
    <x v="164"/>
    <d v="1899-12-30T00:00:00"/>
    <s v="2ND"/>
    <d v="1899-12-30T16:00:00"/>
    <n v="2"/>
    <x v="7"/>
    <n v="0.01"/>
    <s v="P"/>
    <s v="P"/>
    <s v="P"/>
    <s v="-"/>
    <s v="+"/>
    <s v="-"/>
    <s v="-"/>
    <s v="-"/>
    <s v="-"/>
    <s v="-"/>
    <s v="-"/>
    <s v="-"/>
    <s v="-"/>
    <s v="-"/>
    <s v="P"/>
    <s v="P"/>
    <s v="-"/>
    <n v="2"/>
    <n v="1"/>
    <n v="2"/>
    <s v="-"/>
    <s v="-"/>
    <s v="-"/>
    <s v="-"/>
    <s v="-"/>
    <s v="-"/>
    <s v="-"/>
    <s v="-"/>
    <n v="5"/>
    <n v="5"/>
    <s v="-"/>
    <n v="1"/>
    <n v="1"/>
    <n v="2"/>
    <n v="2"/>
    <n v="7"/>
    <n v="7"/>
  </r>
  <r>
    <x v="6"/>
    <x v="164"/>
    <d v="1899-12-30T00:00:00"/>
    <s v="2ND"/>
    <d v="1899-12-30T17:00:00"/>
    <n v="2"/>
    <x v="7"/>
    <s v="-"/>
    <s v="P"/>
    <s v="P"/>
    <s v="P"/>
    <s v="-"/>
    <s v="+"/>
    <n v="11.23"/>
    <s v="-"/>
    <s v="-"/>
    <s v="-"/>
    <s v="-"/>
    <s v="-"/>
    <s v="-"/>
    <s v="-"/>
    <s v="-"/>
    <s v="P"/>
    <s v="P"/>
    <s v="-"/>
    <s v="-"/>
    <n v="1"/>
    <n v="2"/>
    <n v="1"/>
    <s v="-"/>
    <s v="-"/>
    <s v="-"/>
    <s v="-"/>
    <s v="-"/>
    <s v="-"/>
    <s v="-"/>
    <n v="4"/>
    <n v="4"/>
    <s v="-"/>
    <n v="1"/>
    <n v="1"/>
    <n v="2"/>
    <n v="2"/>
    <n v="6"/>
    <n v="6"/>
  </r>
  <r>
    <x v="6"/>
    <x v="164"/>
    <d v="1899-12-30T00:00:00"/>
    <s v="2ND"/>
    <d v="1899-12-30T18:00:00"/>
    <n v="2"/>
    <x v="7"/>
    <s v="-"/>
    <s v="P"/>
    <s v="P"/>
    <s v="P"/>
    <s v="-"/>
    <s v="+"/>
    <n v="11.4"/>
    <s v="-"/>
    <s v="-"/>
    <s v="-"/>
    <s v="-"/>
    <s v="-"/>
    <s v="-"/>
    <s v="-"/>
    <s v="-"/>
    <s v="P"/>
    <s v="P"/>
    <s v="-"/>
    <s v="-"/>
    <n v="1"/>
    <n v="2"/>
    <n v="1"/>
    <s v="-"/>
    <s v="-"/>
    <s v="-"/>
    <s v="-"/>
    <s v="-"/>
    <s v="-"/>
    <s v="-"/>
    <n v="4"/>
    <n v="4"/>
    <s v="-"/>
    <n v="1"/>
    <n v="1"/>
    <n v="2"/>
    <n v="2"/>
    <n v="6"/>
    <n v="6"/>
  </r>
  <r>
    <x v="6"/>
    <x v="164"/>
    <d v="1899-12-30T00:00:00"/>
    <s v="2ND"/>
    <d v="1899-12-30T19:00:00"/>
    <n v="2"/>
    <x v="7"/>
    <s v="-"/>
    <s v="P"/>
    <s v="P"/>
    <s v="P"/>
    <s v="-"/>
    <s v="+"/>
    <n v="11.12"/>
    <s v="-"/>
    <s v="-"/>
    <s v="-"/>
    <s v="-"/>
    <s v="-"/>
    <s v="-"/>
    <s v="-"/>
    <s v="-"/>
    <s v="P"/>
    <s v="P"/>
    <s v="-"/>
    <s v="-"/>
    <n v="1"/>
    <n v="2"/>
    <n v="1"/>
    <s v="-"/>
    <s v="-"/>
    <s v="-"/>
    <s v="-"/>
    <s v="-"/>
    <s v="-"/>
    <s v="-"/>
    <n v="4"/>
    <n v="4"/>
    <s v="-"/>
    <n v="1"/>
    <n v="1"/>
    <n v="2"/>
    <n v="2"/>
    <n v="6"/>
    <n v="6"/>
  </r>
  <r>
    <x v="6"/>
    <x v="164"/>
    <d v="1899-12-30T00:00:00"/>
    <s v="2ND"/>
    <d v="1899-12-30T20:00:00"/>
    <n v="2"/>
    <x v="7"/>
    <s v="-"/>
    <s v="P"/>
    <s v="P"/>
    <s v="P"/>
    <s v="-"/>
    <s v="+"/>
    <s v="-"/>
    <s v="-"/>
    <s v="-"/>
    <s v="-"/>
    <s v="-"/>
    <s v="-"/>
    <s v="-"/>
    <s v="-"/>
    <s v="-"/>
    <s v="P"/>
    <s v="P"/>
    <s v="-"/>
    <s v="-"/>
    <n v="1"/>
    <n v="2"/>
    <s v="-"/>
    <s v="-"/>
    <s v="-"/>
    <s v="-"/>
    <s v="-"/>
    <s v="-"/>
    <s v="-"/>
    <s v="-"/>
    <n v="3"/>
    <n v="3"/>
    <s v="-"/>
    <n v="1"/>
    <n v="1"/>
    <n v="2"/>
    <n v="2"/>
    <n v="5"/>
    <n v="5"/>
  </r>
  <r>
    <x v="6"/>
    <x v="164"/>
    <d v="1899-12-30T00:00:00"/>
    <s v="2ND"/>
    <d v="1899-12-30T21:00:00"/>
    <n v="2"/>
    <x v="7"/>
    <s v="-"/>
    <s v="P"/>
    <s v="P"/>
    <s v="P"/>
    <s v="-"/>
    <s v="+"/>
    <n v="10.94"/>
    <s v="-"/>
    <s v="-"/>
    <s v="-"/>
    <s v="-"/>
    <s v="-"/>
    <s v="-"/>
    <s v="-"/>
    <s v="-"/>
    <s v="P"/>
    <s v="P"/>
    <s v="-"/>
    <s v="-"/>
    <n v="1"/>
    <n v="2"/>
    <n v="0"/>
    <s v="-"/>
    <s v="-"/>
    <s v="-"/>
    <s v="-"/>
    <s v="-"/>
    <s v="-"/>
    <s v="-"/>
    <n v="3"/>
    <n v="4"/>
    <s v="-"/>
    <n v="1"/>
    <n v="1"/>
    <n v="2"/>
    <n v="2"/>
    <n v="5"/>
    <n v="6"/>
  </r>
  <r>
    <x v="6"/>
    <x v="164"/>
    <d v="2026-07-21T00:00:00"/>
    <s v="2ND"/>
    <d v="1899-12-30T14:00:00"/>
    <n v="3"/>
    <x v="1"/>
    <n v="0.01"/>
    <s v="P"/>
    <s v="P"/>
    <s v="P"/>
    <s v="+"/>
    <s v="+"/>
    <n v="12.55"/>
    <n v="13.25"/>
    <s v="-"/>
    <s v="-"/>
    <s v="-"/>
    <s v="-"/>
    <n v="37.17"/>
    <s v="-"/>
    <s v="-"/>
    <s v="P"/>
    <s v="P"/>
    <s v="-"/>
    <n v="2"/>
    <n v="1"/>
    <n v="2"/>
    <n v="1"/>
    <n v="1"/>
    <s v="-"/>
    <s v="-"/>
    <s v="-"/>
    <s v="-"/>
    <n v="2"/>
    <s v="-"/>
    <n v="9"/>
    <n v="9"/>
    <s v="-"/>
    <n v="1"/>
    <n v="1"/>
    <n v="2"/>
    <n v="2"/>
    <n v="11"/>
    <n v="11"/>
  </r>
  <r>
    <x v="6"/>
    <x v="164"/>
    <d v="2026-07-21T00:00:00"/>
    <s v="2ND"/>
    <d v="1899-12-30T15:00:00"/>
    <n v="3"/>
    <x v="1"/>
    <n v="0.01"/>
    <s v="P"/>
    <s v="P"/>
    <s v="P"/>
    <s v="+"/>
    <s v="+"/>
    <n v="12.61"/>
    <s v="-"/>
    <s v="-"/>
    <s v="-"/>
    <s v="-"/>
    <s v="-"/>
    <s v="-"/>
    <s v="-"/>
    <s v="-"/>
    <s v="P"/>
    <s v="P"/>
    <s v="-"/>
    <n v="2"/>
    <n v="1"/>
    <n v="2"/>
    <n v="1"/>
    <s v="-"/>
    <s v="-"/>
    <s v="-"/>
    <s v="-"/>
    <s v="-"/>
    <s v="-"/>
    <s v="-"/>
    <n v="6"/>
    <n v="6"/>
    <s v="-"/>
    <n v="1"/>
    <n v="1"/>
    <n v="2"/>
    <n v="2"/>
    <n v="8"/>
    <n v="8"/>
  </r>
  <r>
    <x v="6"/>
    <x v="164"/>
    <d v="2026-07-21T00:00:00"/>
    <s v="2ND"/>
    <d v="1899-12-30T16:00:00"/>
    <n v="3"/>
    <x v="1"/>
    <n v="0.02"/>
    <s v="P"/>
    <s v="P"/>
    <s v="P"/>
    <s v="+"/>
    <s v="+"/>
    <n v="12.52"/>
    <s v="-"/>
    <s v="-"/>
    <s v="-"/>
    <s v="-"/>
    <s v="-"/>
    <s v="-"/>
    <s v="-"/>
    <s v="-"/>
    <s v="P"/>
    <s v="P"/>
    <s v="-"/>
    <n v="2"/>
    <n v="1"/>
    <n v="2"/>
    <n v="1"/>
    <s v="-"/>
    <s v="-"/>
    <s v="-"/>
    <s v="-"/>
    <s v="-"/>
    <s v="-"/>
    <s v="-"/>
    <n v="6"/>
    <n v="6"/>
    <s v="-"/>
    <n v="1"/>
    <n v="1"/>
    <n v="2"/>
    <n v="2"/>
    <n v="8"/>
    <n v="8"/>
  </r>
  <r>
    <x v="6"/>
    <x v="164"/>
    <d v="2026-07-21T00:00:00"/>
    <s v="2ND"/>
    <d v="1899-12-30T17:00:00"/>
    <n v="3"/>
    <x v="1"/>
    <s v="-"/>
    <s v="P"/>
    <s v="P"/>
    <s v="P"/>
    <s v="+"/>
    <s v="+"/>
    <n v="12.45"/>
    <s v="-"/>
    <s v="-"/>
    <s v="-"/>
    <s v="-"/>
    <s v="-"/>
    <s v="-"/>
    <s v="-"/>
    <s v="-"/>
    <s v="P"/>
    <s v="P"/>
    <s v="-"/>
    <s v="-"/>
    <n v="1"/>
    <n v="2"/>
    <n v="1"/>
    <s v="-"/>
    <s v="-"/>
    <s v="-"/>
    <s v="-"/>
    <s v="-"/>
    <s v="-"/>
    <s v="-"/>
    <n v="4"/>
    <n v="4"/>
    <s v="-"/>
    <n v="1"/>
    <n v="1"/>
    <n v="2"/>
    <n v="2"/>
    <n v="6"/>
    <n v="6"/>
  </r>
  <r>
    <x v="6"/>
    <x v="164"/>
    <d v="1902-03-26T00:00:00"/>
    <s v="3RD"/>
    <d v="1899-12-30T22:00:00"/>
    <n v="2"/>
    <x v="7"/>
    <s v="-"/>
    <s v="P"/>
    <s v="P"/>
    <s v="P"/>
    <s v="-"/>
    <s v="+"/>
    <n v="11.27"/>
    <s v="-"/>
    <s v="-"/>
    <s v="-"/>
    <s v="-"/>
    <s v="-"/>
    <s v="-"/>
    <s v="-"/>
    <s v="-"/>
    <s v="P"/>
    <s v="P"/>
    <s v="-"/>
    <s v="-"/>
    <n v="1"/>
    <n v="2"/>
    <n v="1"/>
    <s v="-"/>
    <s v="-"/>
    <s v="-"/>
    <s v="-"/>
    <s v="-"/>
    <s v="-"/>
    <s v="-"/>
    <n v="4"/>
    <n v="4"/>
    <s v="-"/>
    <n v="1"/>
    <n v="1"/>
    <n v="2"/>
    <n v="2"/>
    <n v="6"/>
    <n v="6"/>
  </r>
  <r>
    <x v="6"/>
    <x v="164"/>
    <d v="1899-12-30T00:00:00"/>
    <s v="3RD"/>
    <d v="1899-12-30T23:00:00"/>
    <n v="2"/>
    <x v="7"/>
    <s v="-"/>
    <s v="P"/>
    <s v="P"/>
    <s v="P"/>
    <s v="-"/>
    <s v="+"/>
    <n v="11.19"/>
    <s v="-"/>
    <s v="-"/>
    <s v="-"/>
    <s v="-"/>
    <s v="-"/>
    <s v="-"/>
    <s v="-"/>
    <s v="-"/>
    <s v="P"/>
    <s v="P"/>
    <s v="-"/>
    <s v="-"/>
    <n v="1"/>
    <n v="2"/>
    <n v="1"/>
    <s v="-"/>
    <s v="-"/>
    <s v="-"/>
    <s v="-"/>
    <s v="-"/>
    <s v="-"/>
    <s v="-"/>
    <n v="4"/>
    <n v="4"/>
    <s v="-"/>
    <n v="1"/>
    <n v="1"/>
    <n v="2"/>
    <n v="2"/>
    <n v="6"/>
    <n v="6"/>
  </r>
  <r>
    <x v="6"/>
    <x v="164"/>
    <d v="1899-12-30T00:00:00"/>
    <s v="3RD"/>
    <d v="1899-12-31T00:00:00"/>
    <n v="2"/>
    <x v="7"/>
    <s v="-"/>
    <s v="P"/>
    <s v="P"/>
    <s v="P"/>
    <s v="-"/>
    <s v="+"/>
    <s v="-"/>
    <s v="-"/>
    <s v="-"/>
    <s v="-"/>
    <s v="-"/>
    <s v="-"/>
    <s v="-"/>
    <s v="-"/>
    <s v="-"/>
    <s v="P"/>
    <s v="P"/>
    <s v="-"/>
    <s v="-"/>
    <n v="1"/>
    <n v="2"/>
    <s v="-"/>
    <s v="-"/>
    <s v="-"/>
    <s v="-"/>
    <s v="-"/>
    <s v="-"/>
    <s v="-"/>
    <s v="-"/>
    <n v="3"/>
    <n v="3"/>
    <s v="-"/>
    <n v="1"/>
    <n v="1"/>
    <n v="2"/>
    <n v="2"/>
    <n v="5"/>
    <n v="5"/>
  </r>
  <r>
    <x v="6"/>
    <x v="164"/>
    <d v="1899-12-30T00:00:00"/>
    <s v="3RD"/>
    <d v="1899-12-31T01:00:00"/>
    <n v="2"/>
    <x v="7"/>
    <s v="-"/>
    <s v="P"/>
    <s v="P"/>
    <s v="P"/>
    <s v="-"/>
    <s v="+"/>
    <n v="11.28"/>
    <s v="-"/>
    <s v="-"/>
    <s v="-"/>
    <s v="-"/>
    <s v="-"/>
    <s v="-"/>
    <s v="-"/>
    <s v="-"/>
    <s v="P"/>
    <s v="P"/>
    <s v="-"/>
    <s v="-"/>
    <n v="1"/>
    <n v="2"/>
    <n v="1"/>
    <s v="-"/>
    <s v="-"/>
    <s v="-"/>
    <s v="-"/>
    <s v="-"/>
    <s v="-"/>
    <s v="-"/>
    <n v="4"/>
    <n v="4"/>
    <s v="-"/>
    <n v="1"/>
    <n v="1"/>
    <n v="2"/>
    <n v="2"/>
    <n v="6"/>
    <n v="6"/>
  </r>
  <r>
    <x v="6"/>
    <x v="164"/>
    <d v="1899-12-30T00:00:00"/>
    <s v="3RD"/>
    <d v="1899-12-31T02:00:00"/>
    <n v="2"/>
    <x v="7"/>
    <n v="0.01"/>
    <s v="P"/>
    <s v="P"/>
    <s v="P"/>
    <s v="-"/>
    <s v="+"/>
    <n v="11.19"/>
    <s v="-"/>
    <s v="-"/>
    <s v="-"/>
    <s v="-"/>
    <s v="-"/>
    <s v="-"/>
    <s v="-"/>
    <s v="-"/>
    <s v="P"/>
    <s v="P"/>
    <s v="-"/>
    <n v="2"/>
    <n v="1"/>
    <n v="2"/>
    <n v="1"/>
    <s v="-"/>
    <s v="-"/>
    <s v="-"/>
    <s v="-"/>
    <s v="-"/>
    <s v="-"/>
    <s v="-"/>
    <n v="6"/>
    <n v="6"/>
    <s v="-"/>
    <n v="1"/>
    <n v="1"/>
    <n v="2"/>
    <n v="2"/>
    <n v="8"/>
    <n v="8"/>
  </r>
  <r>
    <x v="6"/>
    <x v="164"/>
    <d v="1899-12-30T00:00:00"/>
    <s v="3RD"/>
    <d v="1899-12-31T03:00:00"/>
    <n v="2"/>
    <x v="7"/>
    <s v="-"/>
    <s v="P"/>
    <s v="P"/>
    <s v="P"/>
    <s v="-"/>
    <s v="+"/>
    <n v="11.3"/>
    <s v="-"/>
    <s v="-"/>
    <s v="-"/>
    <s v="-"/>
    <s v="-"/>
    <s v="-"/>
    <s v="-"/>
    <s v="-"/>
    <s v="P"/>
    <s v="P"/>
    <s v="-"/>
    <s v="-"/>
    <n v="1"/>
    <n v="2"/>
    <n v="1"/>
    <s v="-"/>
    <s v="-"/>
    <s v="-"/>
    <s v="-"/>
    <s v="-"/>
    <s v="-"/>
    <s v="-"/>
    <n v="4"/>
    <n v="4"/>
    <s v="-"/>
    <n v="1"/>
    <n v="1"/>
    <n v="2"/>
    <n v="2"/>
    <n v="6"/>
    <n v="6"/>
  </r>
  <r>
    <x v="6"/>
    <x v="164"/>
    <d v="1899-12-30T00:00:00"/>
    <s v="3RD"/>
    <d v="1899-12-31T04:00:00"/>
    <n v="2"/>
    <x v="7"/>
    <s v="-"/>
    <s v="P"/>
    <s v="P"/>
    <s v="P"/>
    <s v="-"/>
    <s v="+"/>
    <s v="-"/>
    <s v="-"/>
    <s v="-"/>
    <s v="-"/>
    <s v="-"/>
    <s v="-"/>
    <s v="-"/>
    <s v="-"/>
    <s v="-"/>
    <s v="P"/>
    <s v="P"/>
    <s v="-"/>
    <s v="-"/>
    <n v="1"/>
    <n v="2"/>
    <s v="-"/>
    <s v="-"/>
    <s v="-"/>
    <s v="-"/>
    <s v="-"/>
    <s v="-"/>
    <s v="-"/>
    <s v="-"/>
    <n v="3"/>
    <n v="3"/>
    <s v="-"/>
    <n v="1"/>
    <n v="1"/>
    <n v="2"/>
    <n v="2"/>
    <n v="5"/>
    <n v="5"/>
  </r>
  <r>
    <x v="6"/>
    <x v="164"/>
    <d v="1899-12-30T00:00:00"/>
    <s v="3RD"/>
    <d v="1899-12-31T05:00:00"/>
    <n v="2"/>
    <x v="7"/>
    <s v="-"/>
    <s v="P"/>
    <s v="P"/>
    <s v="P"/>
    <s v="-"/>
    <s v="+"/>
    <n v="11.27"/>
    <s v="-"/>
    <s v="-"/>
    <s v="-"/>
    <s v="-"/>
    <s v="-"/>
    <s v="-"/>
    <s v="-"/>
    <s v="-"/>
    <s v="P"/>
    <s v="P"/>
    <s v="-"/>
    <s v="-"/>
    <n v="1"/>
    <n v="2"/>
    <n v="1"/>
    <s v="-"/>
    <s v="-"/>
    <s v="-"/>
    <s v="-"/>
    <s v="-"/>
    <s v="-"/>
    <s v="-"/>
    <n v="4"/>
    <n v="4"/>
    <s v="-"/>
    <n v="1"/>
    <n v="1"/>
    <n v="2"/>
    <n v="2"/>
    <n v="6"/>
    <n v="6"/>
  </r>
  <r>
    <x v="6"/>
    <x v="164"/>
    <d v="2026-07-29T00:00:00"/>
    <s v="3RD"/>
    <d v="1899-12-31T02:00:00"/>
    <n v="3"/>
    <x v="8"/>
    <n v="0.01"/>
    <s v="P"/>
    <s v="P"/>
    <s v="P"/>
    <s v="+"/>
    <s v="+"/>
    <s v="-"/>
    <n v="13.22"/>
    <n v="0.6"/>
    <n v="64.2"/>
    <s v="-"/>
    <s v="-"/>
    <n v="37.01"/>
    <s v="-"/>
    <s v="-"/>
    <s v="P"/>
    <s v="P"/>
    <n v="1"/>
    <n v="2"/>
    <n v="1"/>
    <n v="2"/>
    <s v="-"/>
    <n v="1"/>
    <n v="2"/>
    <n v="2"/>
    <s v="-"/>
    <s v="-"/>
    <s v="-"/>
    <s v="-"/>
    <n v="10"/>
    <n v="10"/>
    <s v="-"/>
    <n v="1"/>
    <n v="1"/>
    <n v="2"/>
    <n v="2"/>
    <n v="12"/>
    <n v="12"/>
  </r>
  <r>
    <x v="6"/>
    <x v="164"/>
    <d v="2026-07-29T00:00:00"/>
    <s v="3RD"/>
    <d v="1899-12-31T03:00:00"/>
    <n v="3"/>
    <x v="12"/>
    <n v="0.01"/>
    <s v="P"/>
    <s v="P"/>
    <s v="P"/>
    <s v="+"/>
    <s v="+"/>
    <n v="12.78"/>
    <s v="-"/>
    <s v="-"/>
    <s v="-"/>
    <s v="-"/>
    <s v="-"/>
    <s v="-"/>
    <s v="-"/>
    <s v="-"/>
    <s v="P"/>
    <s v="P"/>
    <s v="-"/>
    <n v="2"/>
    <n v="1"/>
    <n v="2"/>
    <n v="1"/>
    <s v="-"/>
    <s v="-"/>
    <s v="-"/>
    <s v="-"/>
    <s v="-"/>
    <s v="-"/>
    <s v="-"/>
    <n v="6"/>
    <n v="6"/>
    <s v="-"/>
    <n v="1"/>
    <n v="1"/>
    <n v="2"/>
    <n v="2"/>
    <n v="8"/>
    <n v="8"/>
  </r>
  <r>
    <x v="6"/>
    <x v="164"/>
    <d v="2026-07-29T00:00:00"/>
    <s v="3RD"/>
    <d v="1899-12-31T04:00:00"/>
    <n v="3"/>
    <x v="36"/>
    <n v="0.01"/>
    <s v="P"/>
    <s v="P"/>
    <s v="P"/>
    <s v="+"/>
    <s v="+"/>
    <n v="13.08"/>
    <s v="-"/>
    <s v="-"/>
    <s v="-"/>
    <s v="-"/>
    <s v="-"/>
    <s v="-"/>
    <s v="-"/>
    <s v="-"/>
    <s v="P"/>
    <s v="P"/>
    <s v="-"/>
    <n v="2"/>
    <n v="1"/>
    <n v="2"/>
    <n v="1"/>
    <s v="-"/>
    <s v="-"/>
    <s v="-"/>
    <s v="-"/>
    <s v="-"/>
    <s v="-"/>
    <s v="-"/>
    <n v="6"/>
    <n v="6"/>
    <s v="-"/>
    <n v="1"/>
    <n v="1"/>
    <n v="2"/>
    <n v="2"/>
    <n v="8"/>
    <n v="8"/>
  </r>
  <r>
    <x v="6"/>
    <x v="165"/>
    <d v="1902-03-26T00:00:00"/>
    <s v="1ST"/>
    <s v="06:00"/>
    <n v="2"/>
    <x v="7"/>
    <s v="-"/>
    <s v="P"/>
    <s v="P"/>
    <s v="P"/>
    <s v="-"/>
    <s v="+"/>
    <n v="11.09"/>
    <n v="8.6"/>
    <n v="0.56000000000000005"/>
    <n v="55.2"/>
    <s v="-"/>
    <s v="-"/>
    <n v="23.22"/>
    <s v="-"/>
    <s v="-"/>
    <s v="P"/>
    <s v="P"/>
    <s v="-"/>
    <s v="-"/>
    <n v="1"/>
    <n v="2"/>
    <n v="1"/>
    <n v="1"/>
    <n v="2"/>
    <n v="0"/>
    <s v="-"/>
    <s v="-"/>
    <n v="2"/>
    <s v="-"/>
    <n v="9"/>
    <n v="11"/>
    <s v="-"/>
    <n v="1"/>
    <n v="1"/>
    <n v="2"/>
    <n v="2"/>
    <n v="11"/>
    <n v="13"/>
  </r>
  <r>
    <x v="6"/>
    <x v="165"/>
    <d v="1899-12-30T00:00:00"/>
    <s v="1ST"/>
    <s v="07:00"/>
    <n v="2"/>
    <x v="7"/>
    <s v="-"/>
    <s v="P"/>
    <s v="P"/>
    <s v="P"/>
    <s v="-"/>
    <s v="+"/>
    <n v="11.22"/>
    <s v="-"/>
    <s v="-"/>
    <s v="-"/>
    <s v="-"/>
    <s v="-"/>
    <s v="-"/>
    <s v="-"/>
    <s v="-"/>
    <s v="P"/>
    <s v="P"/>
    <n v="1"/>
    <s v="-"/>
    <n v="1"/>
    <n v="2"/>
    <n v="1"/>
    <s v="-"/>
    <s v="-"/>
    <s v="-"/>
    <s v="-"/>
    <s v="-"/>
    <s v="-"/>
    <s v="-"/>
    <n v="4"/>
    <n v="4"/>
    <s v="-"/>
    <n v="1"/>
    <n v="1"/>
    <n v="2"/>
    <n v="2"/>
    <n v="6"/>
    <n v="6"/>
  </r>
  <r>
    <x v="6"/>
    <x v="165"/>
    <d v="1902-03-26T00:00:00"/>
    <s v="1ST"/>
    <s v="08:00"/>
    <n v="2"/>
    <x v="4"/>
    <s v="-"/>
    <s v="P"/>
    <s v="P"/>
    <s v="P"/>
    <s v="-"/>
    <s v="+"/>
    <s v="-"/>
    <n v="8.6"/>
    <n v="0.56000000000000005"/>
    <n v="55.2"/>
    <s v="-"/>
    <s v="-"/>
    <n v="23.22"/>
    <s v="-"/>
    <s v="-"/>
    <s v="P"/>
    <s v="P"/>
    <s v="-"/>
    <s v="-"/>
    <n v="1"/>
    <n v="2"/>
    <s v="-"/>
    <n v="1"/>
    <n v="0"/>
    <n v="2"/>
    <s v="-"/>
    <s v="-"/>
    <n v="2"/>
    <s v="-"/>
    <n v="8"/>
    <n v="10"/>
    <s v="-"/>
    <n v="1"/>
    <n v="1"/>
    <n v="2"/>
    <n v="2"/>
    <n v="10"/>
    <n v="12"/>
  </r>
  <r>
    <x v="6"/>
    <x v="165"/>
    <d v="1899-12-30T00:00:00"/>
    <s v="1ST"/>
    <s v="09:00"/>
    <n v="2"/>
    <x v="4"/>
    <s v="-"/>
    <s v="P"/>
    <s v="P"/>
    <s v="P"/>
    <s v="-"/>
    <s v="+"/>
    <n v="11.3"/>
    <s v="-"/>
    <s v="-"/>
    <s v="-"/>
    <s v="-"/>
    <s v="-"/>
    <s v="-"/>
    <s v="-"/>
    <s v="-"/>
    <s v="P"/>
    <s v="P"/>
    <s v="-"/>
    <s v="-"/>
    <n v="1"/>
    <n v="2"/>
    <n v="1"/>
    <s v="-"/>
    <s v="-"/>
    <s v="-"/>
    <s v="-"/>
    <s v="-"/>
    <s v="-"/>
    <s v="-"/>
    <n v="4"/>
    <n v="4"/>
    <s v="-"/>
    <n v="1"/>
    <n v="1"/>
    <n v="2"/>
    <n v="2"/>
    <n v="6"/>
    <n v="6"/>
  </r>
  <r>
    <x v="6"/>
    <x v="165"/>
    <d v="1899-12-30T00:00:00"/>
    <s v="1ST"/>
    <s v="10:00"/>
    <n v="2"/>
    <x v="4"/>
    <s v="-"/>
    <s v="P"/>
    <s v="P"/>
    <s v="P"/>
    <s v="-"/>
    <s v="+"/>
    <n v="10.91"/>
    <s v="-"/>
    <s v="-"/>
    <s v="-"/>
    <s v="-"/>
    <s v="-"/>
    <s v="-"/>
    <s v="-"/>
    <s v="-"/>
    <s v="P"/>
    <s v="P"/>
    <s v="-"/>
    <s v="-"/>
    <n v="1"/>
    <n v="2"/>
    <n v="0"/>
    <s v="-"/>
    <s v="-"/>
    <s v="-"/>
    <s v="-"/>
    <s v="-"/>
    <s v="-"/>
    <s v="-"/>
    <n v="3"/>
    <n v="4"/>
    <s v="-"/>
    <n v="1"/>
    <n v="1"/>
    <n v="2"/>
    <n v="2"/>
    <n v="5"/>
    <n v="6"/>
  </r>
  <r>
    <x v="6"/>
    <x v="165"/>
    <d v="1899-12-30T00:00:00"/>
    <s v="1ST"/>
    <s v="11:00"/>
    <n v="2"/>
    <x v="4"/>
    <s v="-"/>
    <s v="P"/>
    <s v="P"/>
    <s v="P"/>
    <s v="-"/>
    <s v="+"/>
    <s v="-"/>
    <s v="-"/>
    <s v="-"/>
    <s v="-"/>
    <s v="-"/>
    <s v="-"/>
    <s v="-"/>
    <s v="-"/>
    <s v="-"/>
    <s v="P"/>
    <s v="P"/>
    <s v="-"/>
    <s v="-"/>
    <n v="1"/>
    <n v="2"/>
    <s v="-"/>
    <s v="-"/>
    <s v="-"/>
    <s v="-"/>
    <s v="-"/>
    <s v="-"/>
    <s v="-"/>
    <s v="-"/>
    <n v="3"/>
    <n v="3"/>
    <s v="-"/>
    <n v="1"/>
    <n v="1"/>
    <n v="2"/>
    <n v="2"/>
    <n v="5"/>
    <n v="5"/>
  </r>
  <r>
    <x v="6"/>
    <x v="165"/>
    <d v="2026-07-29T00:00:00"/>
    <s v="1ST"/>
    <s v="06:00"/>
    <n v="3"/>
    <x v="12"/>
    <n v="0.01"/>
    <s v="P"/>
    <s v="P"/>
    <s v="P"/>
    <s v="+"/>
    <s v="+"/>
    <n v="13.66"/>
    <n v="13.62"/>
    <n v="0.5"/>
    <n v="64"/>
    <s v="-"/>
    <s v="-"/>
    <n v="38.19"/>
    <s v="-"/>
    <s v="-"/>
    <s v="P"/>
    <s v="P"/>
    <s v="-"/>
    <n v="2"/>
    <n v="1"/>
    <n v="2"/>
    <n v="0"/>
    <s v="-"/>
    <n v="2"/>
    <n v="2"/>
    <s v="-"/>
    <s v="-"/>
    <n v="2"/>
    <s v="-"/>
    <n v="11"/>
    <n v="12"/>
    <s v="-"/>
    <n v="1"/>
    <n v="1"/>
    <n v="2"/>
    <n v="2"/>
    <n v="13"/>
    <n v="14"/>
  </r>
  <r>
    <x v="6"/>
    <x v="165"/>
    <d v="2026-07-29T00:00:00"/>
    <s v="1ST"/>
    <s v="10:00"/>
    <n v="3"/>
    <x v="36"/>
    <s v="-"/>
    <s v="P"/>
    <s v="P"/>
    <s v="P"/>
    <s v="+"/>
    <s v="+"/>
    <s v="-"/>
    <n v="13.51"/>
    <n v="0.5"/>
    <s v="-"/>
    <s v="-"/>
    <s v="-"/>
    <n v="37.82"/>
    <s v="-"/>
    <s v="-"/>
    <s v="P"/>
    <s v="P"/>
    <n v="1"/>
    <s v="-"/>
    <n v="1"/>
    <n v="2"/>
    <s v="-"/>
    <n v="1"/>
    <n v="2"/>
    <s v="-"/>
    <s v="-"/>
    <s v="-"/>
    <n v="2"/>
    <s v="-"/>
    <n v="8"/>
    <n v="8"/>
    <s v="-"/>
    <n v="1"/>
    <n v="1"/>
    <n v="2"/>
    <n v="2"/>
    <n v="10"/>
    <n v="10"/>
  </r>
  <r>
    <x v="6"/>
    <x v="165"/>
    <d v="2026-07-29T00:00:00"/>
    <s v="1ST"/>
    <s v="11:00"/>
    <n v="3"/>
    <x v="36"/>
    <n v="0.01"/>
    <s v="P"/>
    <s v="P"/>
    <s v="P"/>
    <s v="+"/>
    <s v="+"/>
    <n v="13.2"/>
    <s v="-"/>
    <s v="-"/>
    <s v="-"/>
    <s v="-"/>
    <s v="-"/>
    <s v="-"/>
    <s v="-"/>
    <s v="-"/>
    <s v="P"/>
    <s v="P"/>
    <s v="-"/>
    <n v="2"/>
    <n v="1"/>
    <n v="2"/>
    <n v="1"/>
    <s v="-"/>
    <s v="-"/>
    <s v="-"/>
    <s v="-"/>
    <s v="-"/>
    <s v="-"/>
    <s v="-"/>
    <n v="6"/>
    <n v="6"/>
    <s v="-"/>
    <n v="1"/>
    <n v="1"/>
    <n v="2"/>
    <n v="2"/>
    <n v="8"/>
    <n v="8"/>
  </r>
  <r>
    <x v="6"/>
    <x v="165"/>
    <d v="2026-07-29T00:00:00"/>
    <s v="1ST"/>
    <s v="12:00"/>
    <n v="3"/>
    <x v="16"/>
    <n v="0.01"/>
    <s v="P"/>
    <s v="P"/>
    <s v="P"/>
    <s v="+"/>
    <s v="+"/>
    <n v="13.28"/>
    <s v="-"/>
    <s v="-"/>
    <n v="64.599999999999994"/>
    <s v="-"/>
    <s v="-"/>
    <s v="-"/>
    <s v="-"/>
    <s v="-"/>
    <s v="P"/>
    <s v="P"/>
    <n v="1"/>
    <n v="2"/>
    <n v="1"/>
    <n v="2"/>
    <n v="1"/>
    <s v="-"/>
    <s v="-"/>
    <n v="2"/>
    <s v="-"/>
    <s v="-"/>
    <s v="-"/>
    <s v="-"/>
    <n v="8"/>
    <n v="8"/>
    <s v="-"/>
    <n v="1"/>
    <n v="1"/>
    <n v="2"/>
    <n v="2"/>
    <n v="10"/>
    <n v="10"/>
  </r>
  <r>
    <x v="6"/>
    <x v="165"/>
    <d v="2026-07-29T00:00:00"/>
    <s v="1ST"/>
    <s v="13:00"/>
    <n v="3"/>
    <x v="16"/>
    <n v="0.01"/>
    <s v="P"/>
    <s v="P"/>
    <s v="P"/>
    <s v="+"/>
    <s v="+"/>
    <n v="13.2"/>
    <s v="-"/>
    <s v="-"/>
    <s v="-"/>
    <s v="-"/>
    <s v="-"/>
    <s v="-"/>
    <s v="-"/>
    <s v="-"/>
    <s v="P"/>
    <s v="P"/>
    <s v="-"/>
    <n v="2"/>
    <n v="1"/>
    <n v="2"/>
    <n v="1"/>
    <s v="-"/>
    <s v="-"/>
    <s v="-"/>
    <s v="-"/>
    <s v="-"/>
    <s v="-"/>
    <s v="-"/>
    <n v="6"/>
    <n v="6"/>
    <s v="-"/>
    <n v="1"/>
    <n v="1"/>
    <n v="2"/>
    <n v="2"/>
    <n v="8"/>
    <n v="8"/>
  </r>
  <r>
    <x v="6"/>
    <x v="165"/>
    <d v="1899-12-30T00:00:00"/>
    <s v="2ND"/>
    <d v="1899-12-30T14:00:00"/>
    <n v="2"/>
    <x v="7"/>
    <s v="-"/>
    <s v="P"/>
    <s v="P"/>
    <s v="P"/>
    <s v="-"/>
    <s v="+"/>
    <s v="-"/>
    <s v="-"/>
    <s v="-"/>
    <s v="-"/>
    <s v="-"/>
    <s v="-"/>
    <s v="-"/>
    <s v="-"/>
    <s v="-"/>
    <s v="P"/>
    <s v="P"/>
    <s v="-"/>
    <s v="-"/>
    <n v="1"/>
    <n v="2"/>
    <s v="-"/>
    <s v="-"/>
    <s v="-"/>
    <s v="-"/>
    <s v="-"/>
    <s v="-"/>
    <s v="-"/>
    <s v="-"/>
    <n v="3"/>
    <n v="3"/>
    <s v="-"/>
    <n v="1"/>
    <n v="1"/>
    <n v="2"/>
    <n v="2"/>
    <n v="5"/>
    <n v="5"/>
  </r>
  <r>
    <x v="6"/>
    <x v="165"/>
    <d v="1899-12-30T00:00:00"/>
    <s v="2ND"/>
    <d v="1899-12-30T16:00:00"/>
    <n v="2"/>
    <x v="7"/>
    <s v="-"/>
    <s v="P"/>
    <s v="P"/>
    <s v="P"/>
    <s v="-"/>
    <s v="+"/>
    <s v="-"/>
    <s v="-"/>
    <s v="-"/>
    <s v="-"/>
    <s v="-"/>
    <s v="-"/>
    <s v="-"/>
    <s v="-"/>
    <s v="-"/>
    <s v="P"/>
    <s v="P"/>
    <s v="-"/>
    <s v="-"/>
    <n v="1"/>
    <n v="2"/>
    <s v="-"/>
    <s v="-"/>
    <s v="-"/>
    <s v="-"/>
    <s v="-"/>
    <s v="-"/>
    <s v="-"/>
    <s v="-"/>
    <n v="3"/>
    <n v="3"/>
    <s v="-"/>
    <n v="1"/>
    <n v="1"/>
    <n v="2"/>
    <n v="2"/>
    <n v="5"/>
    <n v="5"/>
  </r>
  <r>
    <x v="6"/>
    <x v="165"/>
    <d v="1899-12-30T00:00:00"/>
    <s v="2ND"/>
    <d v="1899-12-30T18:00:00"/>
    <n v="2"/>
    <x v="7"/>
    <s v="-"/>
    <s v="P"/>
    <s v="P"/>
    <s v="P"/>
    <s v="-"/>
    <s v="+"/>
    <n v="11.04"/>
    <s v="-"/>
    <s v="-"/>
    <s v="-"/>
    <s v="-"/>
    <s v="-"/>
    <s v="-"/>
    <s v="-"/>
    <s v="-"/>
    <s v="P"/>
    <s v="P"/>
    <s v="-"/>
    <s v="-"/>
    <n v="1"/>
    <n v="2"/>
    <n v="1"/>
    <s v="-"/>
    <s v="-"/>
    <s v="-"/>
    <s v="-"/>
    <s v="-"/>
    <s v="-"/>
    <s v="-"/>
    <n v="4"/>
    <n v="4"/>
    <s v="-"/>
    <n v="1"/>
    <n v="1"/>
    <n v="2"/>
    <n v="2"/>
    <n v="6"/>
    <n v="6"/>
  </r>
  <r>
    <x v="6"/>
    <x v="165"/>
    <d v="1899-12-30T00:00:00"/>
    <s v="2ND"/>
    <d v="1899-12-30T19:00:00"/>
    <n v="2"/>
    <x v="7"/>
    <s v="-"/>
    <s v="P"/>
    <s v="P"/>
    <s v="P"/>
    <s v="-"/>
    <s v="+"/>
    <n v="11.25"/>
    <s v="-"/>
    <s v="-"/>
    <s v="-"/>
    <s v="-"/>
    <s v="-"/>
    <s v="-"/>
    <s v="-"/>
    <s v="-"/>
    <s v="P"/>
    <s v="P"/>
    <s v="-"/>
    <s v="-"/>
    <n v="1"/>
    <n v="2"/>
    <n v="1"/>
    <s v="-"/>
    <s v="-"/>
    <s v="-"/>
    <s v="-"/>
    <s v="-"/>
    <s v="-"/>
    <s v="-"/>
    <n v="4"/>
    <n v="4"/>
    <s v="-"/>
    <n v="1"/>
    <n v="1"/>
    <n v="2"/>
    <n v="2"/>
    <n v="6"/>
    <n v="6"/>
  </r>
  <r>
    <x v="6"/>
    <x v="165"/>
    <d v="1899-12-30T00:00:00"/>
    <s v="2ND"/>
    <d v="1899-12-30T20:00:00"/>
    <n v="2"/>
    <x v="7"/>
    <s v="-"/>
    <s v="P"/>
    <s v="P"/>
    <s v="P"/>
    <s v="-"/>
    <s v="+"/>
    <s v="-"/>
    <s v="-"/>
    <s v="-"/>
    <s v="-"/>
    <s v="-"/>
    <s v="-"/>
    <s v="-"/>
    <s v="-"/>
    <s v="-"/>
    <s v="P"/>
    <s v="P"/>
    <s v="-"/>
    <s v="-"/>
    <n v="1"/>
    <n v="2"/>
    <s v="-"/>
    <s v="-"/>
    <s v="-"/>
    <s v="-"/>
    <s v="-"/>
    <s v="-"/>
    <s v="-"/>
    <s v="-"/>
    <n v="3"/>
    <n v="3"/>
    <s v="-"/>
    <n v="1"/>
    <n v="1"/>
    <n v="2"/>
    <n v="2"/>
    <n v="5"/>
    <n v="5"/>
  </r>
  <r>
    <x v="6"/>
    <x v="165"/>
    <d v="1899-12-30T00:00:00"/>
    <s v="2ND"/>
    <d v="1899-12-30T21:00:00"/>
    <n v="2"/>
    <x v="7"/>
    <s v="-"/>
    <s v="P"/>
    <s v="P"/>
    <s v="P"/>
    <s v="-"/>
    <s v="+"/>
    <n v="11.11"/>
    <s v="-"/>
    <s v="-"/>
    <s v="-"/>
    <s v="-"/>
    <s v="-"/>
    <s v="-"/>
    <s v="-"/>
    <s v="-"/>
    <s v="P"/>
    <s v="P"/>
    <s v="-"/>
    <s v="-"/>
    <n v="1"/>
    <n v="2"/>
    <n v="1"/>
    <s v="-"/>
    <s v="-"/>
    <s v="-"/>
    <s v="-"/>
    <s v="-"/>
    <s v="-"/>
    <s v="-"/>
    <n v="4"/>
    <n v="4"/>
    <s v="-"/>
    <n v="1"/>
    <n v="1"/>
    <n v="2"/>
    <n v="2"/>
    <n v="6"/>
    <n v="6"/>
  </r>
  <r>
    <x v="6"/>
    <x v="165"/>
    <d v="2026-07-29T00:00:00"/>
    <s v="2ND"/>
    <d v="1899-12-30T15:00:00"/>
    <n v="3"/>
    <x v="16"/>
    <n v="0.01"/>
    <s v="P"/>
    <s v="P"/>
    <s v="P"/>
    <s v="+"/>
    <s v="+"/>
    <n v="13.27"/>
    <n v="13.6"/>
    <s v="-"/>
    <s v="-"/>
    <s v="-"/>
    <s v="-"/>
    <n v="38.200000000000003"/>
    <s v="-"/>
    <s v="-"/>
    <s v="P"/>
    <s v="P"/>
    <s v="-"/>
    <n v="2"/>
    <n v="1"/>
    <n v="2"/>
    <n v="1"/>
    <n v="1"/>
    <s v="-"/>
    <s v="-"/>
    <s v="-"/>
    <s v="-"/>
    <n v="2"/>
    <s v="-"/>
    <n v="9"/>
    <n v="9"/>
    <s v="-"/>
    <n v="1"/>
    <n v="1"/>
    <n v="2"/>
    <n v="2"/>
    <n v="11"/>
    <n v="11"/>
  </r>
  <r>
    <x v="6"/>
    <x v="165"/>
    <d v="2026-07-29T00:00:00"/>
    <s v="2ND"/>
    <d v="1899-12-30T16:00:00"/>
    <n v="3"/>
    <x v="16"/>
    <n v="0.01"/>
    <s v="P"/>
    <s v="P"/>
    <s v="P"/>
    <s v="+"/>
    <s v="+"/>
    <n v="13.23"/>
    <s v="-"/>
    <s v="-"/>
    <s v="-"/>
    <s v="-"/>
    <s v="-"/>
    <s v="-"/>
    <s v="-"/>
    <s v="-"/>
    <s v="P"/>
    <s v="P"/>
    <s v="-"/>
    <n v="2"/>
    <n v="1"/>
    <n v="2"/>
    <n v="1"/>
    <s v="-"/>
    <s v="-"/>
    <s v="-"/>
    <s v="-"/>
    <s v="-"/>
    <s v="-"/>
    <s v="-"/>
    <n v="6"/>
    <n v="6"/>
    <s v="-"/>
    <n v="1"/>
    <n v="1"/>
    <n v="2"/>
    <n v="2"/>
    <n v="8"/>
    <n v="8"/>
  </r>
  <r>
    <x v="6"/>
    <x v="165"/>
    <d v="2026-07-29T00:00:00"/>
    <s v="2ND"/>
    <d v="1899-12-30T18:00:00"/>
    <n v="3"/>
    <x v="16"/>
    <s v="-"/>
    <s v="P"/>
    <s v="P"/>
    <s v="P"/>
    <s v="+"/>
    <s v="+"/>
    <s v="-"/>
    <s v="-"/>
    <s v="-"/>
    <s v="-"/>
    <s v="-"/>
    <s v="-"/>
    <s v="-"/>
    <s v="-"/>
    <s v="-"/>
    <s v="P"/>
    <s v="P"/>
    <s v="-"/>
    <s v="-"/>
    <n v="1"/>
    <n v="2"/>
    <s v="-"/>
    <s v="-"/>
    <s v="-"/>
    <s v="-"/>
    <s v="-"/>
    <s v="-"/>
    <s v="-"/>
    <s v="-"/>
    <n v="3"/>
    <n v="3"/>
    <s v="-"/>
    <n v="1"/>
    <n v="1"/>
    <n v="2"/>
    <n v="2"/>
    <n v="5"/>
    <n v="5"/>
  </r>
  <r>
    <x v="6"/>
    <x v="165"/>
    <d v="2026-07-29T00:00:00"/>
    <s v="2ND"/>
    <d v="1899-12-30T19:00:00"/>
    <n v="3"/>
    <x v="16"/>
    <s v="-"/>
    <s v="P"/>
    <s v="P"/>
    <s v="P"/>
    <s v="+"/>
    <s v="+"/>
    <n v="13.11"/>
    <s v="-"/>
    <s v="-"/>
    <s v="-"/>
    <s v="-"/>
    <s v="-"/>
    <s v="-"/>
    <s v="-"/>
    <s v="-"/>
    <s v="P"/>
    <s v="P"/>
    <s v="-"/>
    <s v="-"/>
    <n v="1"/>
    <n v="2"/>
    <n v="1"/>
    <s v="-"/>
    <s v="-"/>
    <s v="-"/>
    <s v="-"/>
    <s v="-"/>
    <s v="-"/>
    <s v="-"/>
    <n v="4"/>
    <n v="4"/>
    <s v="-"/>
    <n v="1"/>
    <n v="1"/>
    <n v="2"/>
    <n v="2"/>
    <n v="6"/>
    <n v="6"/>
  </r>
  <r>
    <x v="6"/>
    <x v="165"/>
    <d v="2026-07-29T00:00:00"/>
    <s v="2ND"/>
    <d v="1899-12-30T20:00:00"/>
    <n v="3"/>
    <x v="16"/>
    <s v="-"/>
    <s v="P"/>
    <s v="P"/>
    <s v="P"/>
    <s v="+"/>
    <s v="+"/>
    <n v="12.98"/>
    <s v="-"/>
    <s v="-"/>
    <s v="-"/>
    <s v="-"/>
    <s v="-"/>
    <s v="-"/>
    <s v="-"/>
    <s v="-"/>
    <s v="P"/>
    <s v="P"/>
    <s v="-"/>
    <s v="-"/>
    <n v="1"/>
    <n v="2"/>
    <n v="1"/>
    <s v="-"/>
    <s v="-"/>
    <s v="-"/>
    <s v="-"/>
    <s v="-"/>
    <s v="-"/>
    <s v="-"/>
    <n v="4"/>
    <n v="4"/>
    <s v="-"/>
    <n v="1"/>
    <n v="1"/>
    <n v="2"/>
    <n v="2"/>
    <n v="6"/>
    <n v="6"/>
  </r>
  <r>
    <x v="6"/>
    <x v="165"/>
    <d v="1902-03-26T00:00:00"/>
    <s v="3RD"/>
    <d v="1899-12-30T22:00:00"/>
    <n v="2"/>
    <x v="7"/>
    <s v="-"/>
    <s v="P"/>
    <s v="P"/>
    <s v="P"/>
    <s v="-"/>
    <s v="+"/>
    <n v="11.88"/>
    <s v="-"/>
    <s v="-"/>
    <s v="-"/>
    <s v="-"/>
    <s v="-"/>
    <s v="-"/>
    <s v="-"/>
    <s v="-"/>
    <s v="P"/>
    <s v="P"/>
    <s v="-"/>
    <s v="-"/>
    <n v="1"/>
    <n v="2"/>
    <n v="1"/>
    <s v="-"/>
    <s v="-"/>
    <s v="-"/>
    <s v="-"/>
    <s v="-"/>
    <s v="-"/>
    <s v="-"/>
    <n v="4"/>
    <n v="4"/>
    <s v="-"/>
    <n v="1"/>
    <n v="1"/>
    <n v="2"/>
    <n v="2"/>
    <n v="6"/>
    <n v="6"/>
  </r>
  <r>
    <x v="6"/>
    <x v="165"/>
    <d v="1899-12-30T00:00:00"/>
    <s v="3RD"/>
    <d v="1899-12-30T23:00:00"/>
    <n v="2"/>
    <x v="7"/>
    <s v="-"/>
    <s v="P"/>
    <s v="P"/>
    <s v="P"/>
    <s v="-"/>
    <s v="+"/>
    <n v="11.42"/>
    <s v="-"/>
    <s v="-"/>
    <s v="-"/>
    <s v="-"/>
    <s v="-"/>
    <s v="-"/>
    <s v="-"/>
    <s v="-"/>
    <s v="P"/>
    <s v="P"/>
    <s v="-"/>
    <s v="-"/>
    <n v="1"/>
    <n v="2"/>
    <n v="1"/>
    <s v="-"/>
    <s v="-"/>
    <s v="-"/>
    <s v="-"/>
    <s v="-"/>
    <s v="-"/>
    <s v="-"/>
    <n v="4"/>
    <n v="4"/>
    <s v="-"/>
    <n v="1"/>
    <n v="1"/>
    <n v="2"/>
    <n v="2"/>
    <n v="6"/>
    <n v="6"/>
  </r>
  <r>
    <x v="6"/>
    <x v="165"/>
    <d v="1899-12-30T00:00:00"/>
    <s v="3RD"/>
    <d v="1899-12-31T00:00:00"/>
    <n v="2"/>
    <x v="7"/>
    <s v="-"/>
    <s v="P"/>
    <s v="P"/>
    <s v="P"/>
    <s v="-"/>
    <s v="+"/>
    <s v="-"/>
    <s v="-"/>
    <s v="-"/>
    <s v="-"/>
    <s v="-"/>
    <s v="-"/>
    <s v="-"/>
    <s v="-"/>
    <s v="-"/>
    <s v="P"/>
    <s v="P"/>
    <s v="-"/>
    <s v="-"/>
    <n v="1"/>
    <n v="2"/>
    <s v="-"/>
    <s v="-"/>
    <s v="-"/>
    <s v="-"/>
    <s v="-"/>
    <s v="-"/>
    <s v="-"/>
    <s v="-"/>
    <n v="3"/>
    <n v="3"/>
    <s v="-"/>
    <n v="1"/>
    <n v="1"/>
    <n v="2"/>
    <n v="2"/>
    <n v="5"/>
    <n v="5"/>
  </r>
  <r>
    <x v="6"/>
    <x v="165"/>
    <d v="1899-12-30T00:00:00"/>
    <s v="3RD"/>
    <d v="1899-12-31T01:00:00"/>
    <n v="2"/>
    <x v="7"/>
    <s v="-"/>
    <s v="P"/>
    <s v="P"/>
    <s v="P"/>
    <s v="-"/>
    <s v="+"/>
    <n v="11.48"/>
    <s v="-"/>
    <s v="-"/>
    <s v="-"/>
    <s v="-"/>
    <s v="-"/>
    <s v="-"/>
    <s v="-"/>
    <s v="-"/>
    <s v="P"/>
    <s v="P"/>
    <s v="-"/>
    <s v="-"/>
    <n v="1"/>
    <n v="2"/>
    <n v="1"/>
    <s v="-"/>
    <s v="-"/>
    <s v="-"/>
    <s v="-"/>
    <s v="-"/>
    <s v="-"/>
    <s v="-"/>
    <n v="4"/>
    <n v="4"/>
    <s v="-"/>
    <n v="1"/>
    <n v="1"/>
    <n v="2"/>
    <n v="2"/>
    <n v="6"/>
    <n v="6"/>
  </r>
  <r>
    <x v="6"/>
    <x v="165"/>
    <d v="1899-12-30T00:00:00"/>
    <s v="3RD"/>
    <d v="1899-12-31T02:00:00"/>
    <n v="2"/>
    <x v="7"/>
    <s v="-"/>
    <s v="P"/>
    <s v="P"/>
    <s v="P"/>
    <s v="-"/>
    <s v="+"/>
    <n v="11.39"/>
    <s v="-"/>
    <s v="-"/>
    <s v="-"/>
    <s v="-"/>
    <s v="-"/>
    <s v="-"/>
    <s v="-"/>
    <s v="-"/>
    <s v="P"/>
    <s v="P"/>
    <s v="-"/>
    <s v="-"/>
    <n v="1"/>
    <n v="2"/>
    <n v="1"/>
    <s v="-"/>
    <s v="-"/>
    <s v="-"/>
    <s v="-"/>
    <s v="-"/>
    <s v="-"/>
    <s v="-"/>
    <n v="4"/>
    <n v="4"/>
    <s v="-"/>
    <n v="1"/>
    <n v="1"/>
    <n v="2"/>
    <n v="2"/>
    <n v="6"/>
    <n v="6"/>
  </r>
  <r>
    <x v="6"/>
    <x v="165"/>
    <d v="1899-12-30T00:00:00"/>
    <s v="3RD"/>
    <d v="1899-12-31T03:00:00"/>
    <n v="2"/>
    <x v="7"/>
    <s v="-"/>
    <s v="P"/>
    <s v="P"/>
    <s v="P"/>
    <s v="-"/>
    <s v="+"/>
    <n v="11.23"/>
    <s v="-"/>
    <s v="-"/>
    <s v="-"/>
    <s v="-"/>
    <s v="-"/>
    <s v="-"/>
    <s v="-"/>
    <s v="-"/>
    <s v="P"/>
    <s v="P"/>
    <s v="-"/>
    <s v="-"/>
    <n v="1"/>
    <n v="2"/>
    <n v="1"/>
    <s v="-"/>
    <s v="-"/>
    <s v="-"/>
    <s v="-"/>
    <s v="-"/>
    <s v="-"/>
    <s v="-"/>
    <n v="4"/>
    <n v="4"/>
    <s v="-"/>
    <n v="1"/>
    <n v="1"/>
    <n v="2"/>
    <n v="2"/>
    <n v="6"/>
    <n v="6"/>
  </r>
  <r>
    <x v="6"/>
    <x v="165"/>
    <d v="1899-12-30T00:00:00"/>
    <s v="3RD"/>
    <d v="1899-12-31T04:00:00"/>
    <n v="2"/>
    <x v="7"/>
    <s v="-"/>
    <s v="P"/>
    <s v="P"/>
    <s v="P"/>
    <s v="-"/>
    <s v="+"/>
    <s v="-"/>
    <s v="-"/>
    <s v="-"/>
    <s v="-"/>
    <s v="-"/>
    <s v="-"/>
    <s v="-"/>
    <s v="-"/>
    <s v="-"/>
    <s v="P"/>
    <s v="P"/>
    <s v="-"/>
    <s v="-"/>
    <n v="1"/>
    <n v="2"/>
    <s v="-"/>
    <s v="-"/>
    <s v="-"/>
    <s v="-"/>
    <s v="-"/>
    <s v="-"/>
    <s v="-"/>
    <s v="-"/>
    <n v="3"/>
    <n v="3"/>
    <s v="-"/>
    <n v="1"/>
    <n v="1"/>
    <n v="2"/>
    <n v="2"/>
    <n v="5"/>
    <n v="5"/>
  </r>
  <r>
    <x v="6"/>
    <x v="165"/>
    <d v="1899-12-30T00:00:00"/>
    <s v="3RD"/>
    <d v="1899-12-31T05:00:00"/>
    <n v="2"/>
    <x v="7"/>
    <s v="-"/>
    <s v="P"/>
    <s v="P"/>
    <s v="P"/>
    <s v="-"/>
    <s v="+"/>
    <n v="11.2"/>
    <s v="-"/>
    <s v="-"/>
    <s v="-"/>
    <s v="-"/>
    <s v="-"/>
    <s v="-"/>
    <s v="-"/>
    <s v="-"/>
    <s v="P"/>
    <s v="P"/>
    <s v="-"/>
    <s v="-"/>
    <n v="1"/>
    <n v="2"/>
    <n v="1"/>
    <s v="-"/>
    <s v="-"/>
    <s v="-"/>
    <s v="-"/>
    <s v="-"/>
    <s v="-"/>
    <s v="-"/>
    <n v="4"/>
    <n v="4"/>
    <s v="-"/>
    <n v="1"/>
    <n v="1"/>
    <n v="2"/>
    <n v="2"/>
    <n v="6"/>
    <n v="6"/>
  </r>
  <r>
    <x v="6"/>
    <x v="165"/>
    <d v="2026-07-31T00:00:00"/>
    <s v="3RD"/>
    <d v="1899-12-30T22:00:00"/>
    <n v="3"/>
    <x v="16"/>
    <n v="0.01"/>
    <s v="P"/>
    <s v="P"/>
    <s v="P"/>
    <s v="+"/>
    <s v="+"/>
    <n v="12.84"/>
    <n v="13.71"/>
    <s v="-"/>
    <s v="-"/>
    <s v="-"/>
    <s v="-"/>
    <n v="36.200000000000003"/>
    <s v="-"/>
    <s v="-"/>
    <s v="P"/>
    <s v="P"/>
    <s v="-"/>
    <n v="2"/>
    <n v="1"/>
    <n v="2"/>
    <n v="1"/>
    <n v="1"/>
    <s v="-"/>
    <s v="-"/>
    <s v="-"/>
    <s v="-"/>
    <n v="2"/>
    <s v="-"/>
    <n v="9"/>
    <n v="9"/>
    <s v="-"/>
    <n v="1"/>
    <n v="1"/>
    <n v="2"/>
    <n v="2"/>
    <n v="11"/>
    <n v="11"/>
  </r>
  <r>
    <x v="6"/>
    <x v="165"/>
    <d v="2026-07-31T00:00:00"/>
    <s v="3RD"/>
    <d v="1899-12-30T23:00:00"/>
    <n v="3"/>
    <x v="16"/>
    <s v="-"/>
    <s v="P"/>
    <s v="P"/>
    <s v="P"/>
    <s v="+"/>
    <s v="+"/>
    <n v="12.45"/>
    <s v="-"/>
    <s v="-"/>
    <s v="-"/>
    <s v="-"/>
    <s v="-"/>
    <s v="-"/>
    <s v="-"/>
    <s v="-"/>
    <s v="P"/>
    <s v="P"/>
    <n v="1"/>
    <s v="-"/>
    <n v="1"/>
    <n v="2"/>
    <n v="1"/>
    <s v="-"/>
    <s v="-"/>
    <s v="-"/>
    <s v="-"/>
    <s v="-"/>
    <s v="-"/>
    <s v="-"/>
    <n v="4"/>
    <n v="4"/>
    <s v="-"/>
    <n v="1"/>
    <n v="1"/>
    <n v="2"/>
    <n v="2"/>
    <n v="6"/>
    <n v="6"/>
  </r>
  <r>
    <x v="6"/>
    <x v="165"/>
    <d v="2026-07-31T00:00:00"/>
    <s v="3RD"/>
    <d v="1899-12-31T00:00:00"/>
    <n v="3"/>
    <x v="16"/>
    <n v="0.01"/>
    <s v="P"/>
    <s v="P"/>
    <s v="P"/>
    <s v="+"/>
    <s v="+"/>
    <n v="12.89"/>
    <s v="-"/>
    <s v="-"/>
    <s v="-"/>
    <s v="-"/>
    <s v="-"/>
    <s v="-"/>
    <s v="-"/>
    <s v="-"/>
    <s v="P"/>
    <s v="P"/>
    <s v="-"/>
    <n v="2"/>
    <n v="1"/>
    <n v="2"/>
    <n v="1"/>
    <s v="-"/>
    <s v="-"/>
    <s v="-"/>
    <s v="-"/>
    <s v="-"/>
    <s v="-"/>
    <s v="-"/>
    <n v="6"/>
    <n v="6"/>
    <s v="-"/>
    <n v="1"/>
    <n v="1"/>
    <n v="2"/>
    <n v="2"/>
    <n v="8"/>
    <n v="8"/>
  </r>
  <r>
    <x v="6"/>
    <x v="165"/>
    <d v="2026-07-28T00:00:00"/>
    <s v="3RD"/>
    <d v="1899-12-31T01:00:00"/>
    <n v="3"/>
    <x v="42"/>
    <s v="-"/>
    <s v="P"/>
    <s v="P"/>
    <s v="P"/>
    <s v="+"/>
    <s v="+"/>
    <n v="11.89"/>
    <n v="11.91"/>
    <n v="0.41"/>
    <n v="64.900000000000006"/>
    <s v="-"/>
    <s v="-"/>
    <n v="33.049999999999997"/>
    <s v="-"/>
    <s v="-"/>
    <s v="P"/>
    <s v="P"/>
    <n v="1"/>
    <s v="-"/>
    <n v="1"/>
    <n v="2"/>
    <n v="0"/>
    <n v="0"/>
    <n v="2"/>
    <n v="2"/>
    <s v="-"/>
    <s v="-"/>
    <n v="2"/>
    <s v="-"/>
    <n v="9"/>
    <n v="11"/>
    <s v="-"/>
    <n v="1"/>
    <n v="1"/>
    <n v="2"/>
    <n v="2"/>
    <n v="11"/>
    <n v="13"/>
  </r>
  <r>
    <x v="6"/>
    <x v="165"/>
    <d v="2026-07-28T00:00:00"/>
    <s v="3RD"/>
    <d v="1899-12-31T02:00:00"/>
    <n v="3"/>
    <x v="42"/>
    <s v="-"/>
    <s v="P"/>
    <s v="P"/>
    <s v="P"/>
    <s v="+"/>
    <s v="+"/>
    <n v="11.89"/>
    <s v="-"/>
    <s v="-"/>
    <s v="-"/>
    <s v="-"/>
    <s v="-"/>
    <s v="-"/>
    <s v="-"/>
    <s v="-"/>
    <s v="P"/>
    <s v="P"/>
    <s v="-"/>
    <s v="-"/>
    <n v="1"/>
    <n v="2"/>
    <n v="0"/>
    <s v="-"/>
    <s v="-"/>
    <s v="-"/>
    <s v="-"/>
    <s v="-"/>
    <s v="-"/>
    <s v="-"/>
    <n v="3"/>
    <n v="4"/>
    <s v="-"/>
    <n v="1"/>
    <n v="1"/>
    <n v="2"/>
    <n v="2"/>
    <n v="5"/>
    <n v="6"/>
  </r>
  <r>
    <x v="6"/>
    <x v="165"/>
    <d v="2026-07-28T00:00:00"/>
    <s v="3RD"/>
    <d v="1899-12-31T03:00:00"/>
    <n v="3"/>
    <x v="42"/>
    <n v="0.01"/>
    <s v="P"/>
    <s v="P"/>
    <s v="P"/>
    <s v="+"/>
    <s v="+"/>
    <n v="11.64"/>
    <s v="-"/>
    <s v="-"/>
    <s v="-"/>
    <s v="-"/>
    <s v="-"/>
    <s v="-"/>
    <s v="-"/>
    <s v="-"/>
    <s v="P"/>
    <s v="P"/>
    <s v="-"/>
    <n v="2"/>
    <n v="1"/>
    <n v="2"/>
    <n v="0"/>
    <s v="-"/>
    <s v="-"/>
    <s v="-"/>
    <s v="-"/>
    <s v="-"/>
    <s v="-"/>
    <s v="-"/>
    <n v="5"/>
    <n v="6"/>
    <s v="-"/>
    <n v="1"/>
    <n v="1"/>
    <n v="2"/>
    <n v="2"/>
    <n v="7"/>
    <n v="8"/>
  </r>
  <r>
    <x v="6"/>
    <x v="165"/>
    <d v="2026-07-21T00:00:00"/>
    <s v="3RD"/>
    <d v="1899-12-31T04:00:00"/>
    <n v="3"/>
    <x v="1"/>
    <s v="-"/>
    <s v="P"/>
    <s v="P"/>
    <s v="P"/>
    <s v="+"/>
    <s v="+"/>
    <n v="12.31"/>
    <s v="-"/>
    <s v="-"/>
    <s v="-"/>
    <s v="-"/>
    <s v="-"/>
    <s v="-"/>
    <s v="-"/>
    <s v="-"/>
    <s v="P"/>
    <s v="P"/>
    <s v="-"/>
    <s v="-"/>
    <n v="1"/>
    <n v="2"/>
    <n v="1"/>
    <s v="-"/>
    <s v="-"/>
    <s v="-"/>
    <s v="-"/>
    <s v="-"/>
    <s v="-"/>
    <s v="-"/>
    <n v="4"/>
    <n v="4"/>
    <s v="-"/>
    <n v="1"/>
    <n v="1"/>
    <n v="2"/>
    <n v="2"/>
    <n v="6"/>
    <n v="6"/>
  </r>
  <r>
    <x v="7"/>
    <x v="166"/>
    <d v="1902-03-26T00:00:00"/>
    <s v="1ST"/>
    <s v="06:00"/>
    <n v="2"/>
    <x v="7"/>
    <s v="-"/>
    <s v="P"/>
    <s v="P"/>
    <s v="P"/>
    <s v="-"/>
    <s v="+"/>
    <s v="-"/>
    <s v="-"/>
    <s v="-"/>
    <s v="-"/>
    <s v="-"/>
    <s v="-"/>
    <s v="-"/>
    <s v="-"/>
    <s v="-"/>
    <s v="P"/>
    <s v="P"/>
    <s v="-"/>
    <s v="-"/>
    <n v="1"/>
    <n v="2"/>
    <s v="-"/>
    <s v="-"/>
    <s v="-"/>
    <s v="-"/>
    <s v="-"/>
    <s v="-"/>
    <s v="-"/>
    <s v="-"/>
    <n v="3"/>
    <n v="3"/>
    <s v="-"/>
    <n v="1"/>
    <n v="1"/>
    <n v="2"/>
    <n v="2"/>
    <n v="5"/>
    <n v="5"/>
  </r>
  <r>
    <x v="7"/>
    <x v="166"/>
    <d v="2026-07-21T00:00:00"/>
    <s v="1ST"/>
    <s v="06:00"/>
    <n v="3"/>
    <x v="1"/>
    <n v="0.01"/>
    <s v="P"/>
    <s v="P"/>
    <s v="P"/>
    <s v="+"/>
    <s v="+"/>
    <n v="12.43"/>
    <n v="13.24"/>
    <n v="0.65"/>
    <n v="65.900000000000006"/>
    <s v="-"/>
    <s v="-"/>
    <n v="37.21"/>
    <s v="-"/>
    <s v="-"/>
    <s v="P"/>
    <s v="P"/>
    <s v="-"/>
    <n v="2"/>
    <n v="1"/>
    <n v="2"/>
    <n v="1"/>
    <n v="1"/>
    <n v="2"/>
    <n v="2"/>
    <s v="-"/>
    <s v="-"/>
    <n v="2"/>
    <s v="-"/>
    <n v="13"/>
    <n v="13"/>
    <s v="-"/>
    <n v="1"/>
    <n v="1"/>
    <n v="2"/>
    <n v="2"/>
    <n v="15"/>
    <n v="15"/>
  </r>
  <r>
    <x v="7"/>
    <x v="166"/>
    <d v="2026-07-21T00:00:00"/>
    <s v="1ST"/>
    <s v="07:00"/>
    <n v="3"/>
    <x v="1"/>
    <n v="0.01"/>
    <s v="P"/>
    <s v="P"/>
    <s v="P"/>
    <s v="+"/>
    <s v="+"/>
    <n v="12.54"/>
    <s v="-"/>
    <s v="-"/>
    <s v="-"/>
    <s v="-"/>
    <s v="-"/>
    <s v="-"/>
    <s v="-"/>
    <s v="-"/>
    <s v="P"/>
    <s v="P"/>
    <s v="85% 5% 10%"/>
    <n v="2"/>
    <n v="1"/>
    <n v="2"/>
    <n v="1"/>
    <s v="-"/>
    <s v="-"/>
    <s v="-"/>
    <s v="-"/>
    <s v="-"/>
    <s v="-"/>
    <s v="-"/>
    <n v="6"/>
    <n v="6"/>
    <s v="-"/>
    <n v="1"/>
    <n v="1"/>
    <n v="2"/>
    <n v="2"/>
    <n v="8"/>
    <n v="8"/>
  </r>
  <r>
    <x v="7"/>
    <x v="166"/>
    <d v="2026-07-21T00:00:00"/>
    <s v="1ST"/>
    <s v="08:00"/>
    <n v="3"/>
    <x v="1"/>
    <n v="0.01"/>
    <s v="P"/>
    <s v="P"/>
    <s v="P"/>
    <s v="+"/>
    <s v="+"/>
    <n v="12.67"/>
    <s v="-"/>
    <s v="-"/>
    <s v="-"/>
    <s v="-"/>
    <s v="-"/>
    <s v="-"/>
    <s v="-"/>
    <s v="-"/>
    <s v="P"/>
    <s v="P"/>
    <s v="-"/>
    <n v="2"/>
    <n v="1"/>
    <n v="2"/>
    <n v="1"/>
    <s v="-"/>
    <s v="-"/>
    <s v="-"/>
    <s v="-"/>
    <s v="-"/>
    <s v="-"/>
    <s v="-"/>
    <n v="6"/>
    <n v="6"/>
    <s v="-"/>
    <n v="1"/>
    <n v="1"/>
    <n v="2"/>
    <n v="2"/>
    <n v="8"/>
    <n v="8"/>
  </r>
  <r>
    <x v="7"/>
    <x v="166"/>
    <d v="2026-07-21T00:00:00"/>
    <s v="1ST"/>
    <s v="10:00"/>
    <n v="3"/>
    <x v="1"/>
    <n v="0.01"/>
    <s v="P"/>
    <s v="P"/>
    <s v="P"/>
    <s v="+"/>
    <s v="+"/>
    <s v="-"/>
    <s v="-"/>
    <s v="-"/>
    <s v="-"/>
    <s v="-"/>
    <s v="-"/>
    <s v="-"/>
    <s v="-"/>
    <s v="-"/>
    <s v="P"/>
    <s v="P"/>
    <s v="-"/>
    <n v="2"/>
    <n v="1"/>
    <n v="2"/>
    <s v="-"/>
    <s v="-"/>
    <s v="-"/>
    <s v="-"/>
    <s v="-"/>
    <s v="-"/>
    <s v="-"/>
    <s v="-"/>
    <n v="5"/>
    <n v="5"/>
    <s v="-"/>
    <n v="1"/>
    <n v="1"/>
    <n v="2"/>
    <n v="2"/>
    <n v="7"/>
    <n v="7"/>
  </r>
  <r>
    <x v="7"/>
    <x v="166"/>
    <d v="2026-07-22T00:00:00"/>
    <s v="1ST"/>
    <s v="12:00"/>
    <s v="Retail"/>
    <x v="19"/>
    <s v="-"/>
    <s v="-"/>
    <s v="P"/>
    <s v="P"/>
    <s v="-"/>
    <s v="-"/>
    <n v="12.19"/>
    <s v="-"/>
    <s v="-"/>
    <s v="-"/>
    <s v="-"/>
    <s v="-"/>
    <s v="-"/>
    <s v="-"/>
    <s v="-"/>
    <s v="P"/>
    <s v="P"/>
    <s v="-"/>
    <s v="-"/>
    <s v="-"/>
    <n v="2"/>
    <n v="1"/>
    <s v="-"/>
    <s v="-"/>
    <s v="-"/>
    <s v="-"/>
    <s v="-"/>
    <s v="-"/>
    <s v="-"/>
    <n v="3"/>
    <n v="3"/>
    <s v="-"/>
    <n v="1"/>
    <n v="1"/>
    <n v="2"/>
    <n v="2"/>
    <n v="5"/>
    <n v="5"/>
  </r>
  <r>
    <x v="7"/>
    <x v="166"/>
    <d v="2026-07-31T00:00:00"/>
    <s v="2ND"/>
    <d v="1899-12-30T14:00:00"/>
    <n v="1"/>
    <x v="22"/>
    <n v="0.01"/>
    <s v="P"/>
    <s v="P"/>
    <s v="P"/>
    <s v="-"/>
    <s v="-"/>
    <n v="11.5"/>
    <n v="8.7200000000000006"/>
    <n v="0.48"/>
    <n v="55.3"/>
    <s v="-"/>
    <s v="-"/>
    <n v="23.51"/>
    <s v="-"/>
    <s v="-"/>
    <s v="P"/>
    <s v="P"/>
    <n v="1"/>
    <n v="2"/>
    <n v="1"/>
    <n v="2"/>
    <n v="1"/>
    <n v="1"/>
    <n v="0"/>
    <n v="2"/>
    <s v="-"/>
    <s v="-"/>
    <n v="2"/>
    <s v="-"/>
    <n v="11"/>
    <n v="13"/>
    <s v="-"/>
    <n v="1"/>
    <n v="1"/>
    <n v="2"/>
    <n v="2"/>
    <n v="13"/>
    <n v="15"/>
  </r>
  <r>
    <x v="7"/>
    <x v="166"/>
    <d v="2026-07-31T00:00:00"/>
    <s v="2ND"/>
    <d v="1899-12-30T15:00:00"/>
    <n v="1"/>
    <x v="22"/>
    <s v="-"/>
    <s v="P"/>
    <s v="P"/>
    <s v="P"/>
    <s v="-"/>
    <s v="-"/>
    <n v="11.71"/>
    <s v="-"/>
    <s v="-"/>
    <s v="-"/>
    <s v="-"/>
    <s v="-"/>
    <s v="-"/>
    <s v="-"/>
    <s v="-"/>
    <s v="P"/>
    <s v="P"/>
    <s v="-"/>
    <s v="-"/>
    <n v="1"/>
    <n v="2"/>
    <n v="1"/>
    <s v="-"/>
    <s v="-"/>
    <s v="-"/>
    <s v="-"/>
    <s v="-"/>
    <s v="-"/>
    <s v="-"/>
    <n v="4"/>
    <n v="4"/>
    <s v="-"/>
    <n v="1"/>
    <n v="1"/>
    <n v="2"/>
    <n v="2"/>
    <n v="6"/>
    <n v="6"/>
  </r>
  <r>
    <x v="7"/>
    <x v="166"/>
    <d v="2026-07-31T00:00:00"/>
    <s v="2ND"/>
    <d v="1899-12-30T16:00:00"/>
    <n v="1"/>
    <x v="22"/>
    <s v="-"/>
    <s v="P"/>
    <s v="P"/>
    <s v="P"/>
    <s v="-"/>
    <s v="-"/>
    <n v="11.69"/>
    <s v="-"/>
    <s v="-"/>
    <s v="-"/>
    <s v="-"/>
    <s v="-"/>
    <s v="-"/>
    <s v="-"/>
    <s v="-"/>
    <s v="P"/>
    <s v="P"/>
    <s v="-"/>
    <s v="-"/>
    <n v="1"/>
    <n v="2"/>
    <n v="1"/>
    <s v="-"/>
    <s v="-"/>
    <s v="-"/>
    <s v="-"/>
    <s v="-"/>
    <s v="-"/>
    <s v="-"/>
    <n v="4"/>
    <n v="4"/>
    <s v="-"/>
    <n v="1"/>
    <n v="1"/>
    <n v="2"/>
    <n v="2"/>
    <n v="6"/>
    <n v="6"/>
  </r>
  <r>
    <x v="7"/>
    <x v="166"/>
    <d v="2026-07-31T00:00:00"/>
    <s v="2ND"/>
    <d v="1899-12-30T17:00:00"/>
    <n v="1"/>
    <x v="22"/>
    <s v="-"/>
    <s v="P"/>
    <s v="P"/>
    <s v="P"/>
    <s v="-"/>
    <s v="-"/>
    <n v="11.76"/>
    <s v="-"/>
    <s v="-"/>
    <s v="-"/>
    <s v="-"/>
    <s v="-"/>
    <s v="-"/>
    <s v="-"/>
    <s v="-"/>
    <s v="P"/>
    <s v="P"/>
    <s v="-"/>
    <s v="-"/>
    <n v="1"/>
    <n v="2"/>
    <n v="1"/>
    <s v="-"/>
    <s v="-"/>
    <s v="-"/>
    <s v="-"/>
    <s v="-"/>
    <s v="-"/>
    <s v="-"/>
    <n v="4"/>
    <n v="4"/>
    <s v="-"/>
    <n v="1"/>
    <n v="1"/>
    <n v="2"/>
    <n v="2"/>
    <n v="6"/>
    <n v="6"/>
  </r>
  <r>
    <x v="7"/>
    <x v="166"/>
    <d v="2026-07-31T00:00:00"/>
    <s v="2ND"/>
    <d v="1899-12-30T18:00:00"/>
    <n v="1"/>
    <x v="22"/>
    <s v="-"/>
    <s v="P"/>
    <s v="P"/>
    <s v="P"/>
    <s v="-"/>
    <s v="-"/>
    <n v="11.37"/>
    <s v="-"/>
    <s v="-"/>
    <s v="-"/>
    <s v="-"/>
    <s v="-"/>
    <s v="-"/>
    <s v="-"/>
    <s v="-"/>
    <s v="P"/>
    <s v="P"/>
    <s v="-"/>
    <s v="-"/>
    <n v="1"/>
    <n v="2"/>
    <n v="1"/>
    <s v="-"/>
    <s v="-"/>
    <s v="-"/>
    <s v="-"/>
    <s v="-"/>
    <s v="-"/>
    <s v="-"/>
    <n v="4"/>
    <n v="4"/>
    <s v="-"/>
    <n v="1"/>
    <n v="1"/>
    <n v="2"/>
    <n v="2"/>
    <n v="6"/>
    <n v="6"/>
  </r>
  <r>
    <x v="7"/>
    <x v="166"/>
    <d v="2026-07-31T00:00:00"/>
    <s v="2ND"/>
    <d v="1899-12-30T19:00:00"/>
    <n v="1"/>
    <x v="22"/>
    <s v="-"/>
    <s v="P"/>
    <s v="P"/>
    <s v="P"/>
    <s v="-"/>
    <s v="-"/>
    <n v="11.59"/>
    <s v="-"/>
    <s v="-"/>
    <s v="-"/>
    <s v="-"/>
    <s v="-"/>
    <s v="-"/>
    <s v="-"/>
    <s v="-"/>
    <s v="P"/>
    <s v="P"/>
    <s v="-"/>
    <s v="-"/>
    <n v="1"/>
    <n v="2"/>
    <n v="1"/>
    <s v="-"/>
    <s v="-"/>
    <s v="-"/>
    <s v="-"/>
    <s v="-"/>
    <s v="-"/>
    <s v="-"/>
    <n v="4"/>
    <n v="4"/>
    <s v="-"/>
    <n v="1"/>
    <n v="1"/>
    <n v="2"/>
    <n v="2"/>
    <n v="6"/>
    <n v="6"/>
  </r>
  <r>
    <x v="7"/>
    <x v="166"/>
    <d v="2026-07-31T00:00:00"/>
    <s v="2ND"/>
    <d v="1899-12-30T20:00:00"/>
    <n v="1"/>
    <x v="22"/>
    <s v="-"/>
    <s v="P"/>
    <s v="P"/>
    <s v="P"/>
    <s v="-"/>
    <s v="-"/>
    <n v="11.51"/>
    <s v="-"/>
    <s v="-"/>
    <s v="-"/>
    <s v="-"/>
    <s v="-"/>
    <s v="-"/>
    <s v="-"/>
    <s v="-"/>
    <s v="P"/>
    <s v="P"/>
    <s v="-"/>
    <s v="-"/>
    <n v="1"/>
    <n v="2"/>
    <n v="1"/>
    <s v="-"/>
    <s v="-"/>
    <s v="-"/>
    <s v="-"/>
    <s v="-"/>
    <s v="-"/>
    <s v="-"/>
    <n v="4"/>
    <n v="4"/>
    <s v="-"/>
    <n v="1"/>
    <n v="1"/>
    <n v="2"/>
    <n v="2"/>
    <n v="6"/>
    <n v="6"/>
  </r>
  <r>
    <x v="7"/>
    <x v="166"/>
    <d v="2026-07-31T00:00:00"/>
    <s v="2ND"/>
    <d v="1899-12-30T21:00:00"/>
    <n v="1"/>
    <x v="22"/>
    <s v="-"/>
    <s v="P"/>
    <s v="P"/>
    <s v="P"/>
    <s v="-"/>
    <s v="-"/>
    <n v="11.06"/>
    <s v="-"/>
    <s v="-"/>
    <s v="-"/>
    <s v="-"/>
    <s v="-"/>
    <s v="-"/>
    <s v="-"/>
    <s v="-"/>
    <s v="P"/>
    <s v="P"/>
    <s v="-"/>
    <s v="-"/>
    <n v="1"/>
    <n v="2"/>
    <n v="1"/>
    <s v="-"/>
    <s v="-"/>
    <s v="-"/>
    <s v="-"/>
    <s v="-"/>
    <s v="-"/>
    <s v="-"/>
    <n v="4"/>
    <n v="4"/>
    <s v="-"/>
    <n v="1"/>
    <n v="1"/>
    <n v="2"/>
    <n v="2"/>
    <n v="6"/>
    <n v="6"/>
  </r>
  <r>
    <x v="7"/>
    <x v="166"/>
    <d v="2026-07-22T00:00:00"/>
    <s v="2ND"/>
    <d v="1899-12-30T14:00:00"/>
    <n v="3"/>
    <x v="1"/>
    <n v="0.01"/>
    <s v="P"/>
    <s v="P"/>
    <s v="P"/>
    <s v="+"/>
    <s v="+"/>
    <n v="12.25"/>
    <n v="13.54"/>
    <n v="0.54"/>
    <n v="67.3"/>
    <s v="-"/>
    <s v="-"/>
    <n v="38.15"/>
    <s v="-"/>
    <s v="-"/>
    <s v="P"/>
    <s v="P"/>
    <s v="-"/>
    <n v="2"/>
    <n v="1"/>
    <n v="2"/>
    <n v="1"/>
    <n v="1"/>
    <n v="2"/>
    <n v="2"/>
    <s v="-"/>
    <s v="-"/>
    <n v="2"/>
    <s v="-"/>
    <n v="13"/>
    <n v="13"/>
    <s v="-"/>
    <n v="1"/>
    <n v="1"/>
    <n v="2"/>
    <n v="2"/>
    <n v="15"/>
    <n v="15"/>
  </r>
  <r>
    <x v="7"/>
    <x v="166"/>
    <d v="2026-07-22T00:00:00"/>
    <s v="2ND"/>
    <d v="1899-12-30T16:00:00"/>
    <n v="3"/>
    <x v="1"/>
    <n v="0.01"/>
    <s v="P"/>
    <s v="P"/>
    <s v="P"/>
    <s v="+"/>
    <s v="+"/>
    <n v="12.52"/>
    <s v="-"/>
    <s v="-"/>
    <s v="-"/>
    <s v="-"/>
    <s v="-"/>
    <s v="-"/>
    <s v="-"/>
    <s v="-"/>
    <s v="P"/>
    <s v="P"/>
    <s v="-"/>
    <n v="2"/>
    <n v="1"/>
    <n v="2"/>
    <n v="1"/>
    <s v="-"/>
    <s v="-"/>
    <s v="-"/>
    <s v="-"/>
    <s v="-"/>
    <s v="-"/>
    <s v="-"/>
    <n v="6"/>
    <n v="6"/>
    <s v="-"/>
    <n v="1"/>
    <n v="1"/>
    <n v="2"/>
    <n v="2"/>
    <n v="8"/>
    <n v="8"/>
  </r>
  <r>
    <x v="7"/>
    <x v="166"/>
    <d v="2026-07-22T00:00:00"/>
    <s v="2ND"/>
    <d v="1899-12-30T18:00:00"/>
    <n v="3"/>
    <x v="1"/>
    <s v="-"/>
    <s v="P"/>
    <s v="P"/>
    <s v="P"/>
    <s v="+"/>
    <s v="+"/>
    <s v="-"/>
    <s v="-"/>
    <s v="-"/>
    <s v="-"/>
    <s v="-"/>
    <s v="-"/>
    <s v="-"/>
    <s v="-"/>
    <s v="-"/>
    <s v="P"/>
    <s v="P"/>
    <s v="-"/>
    <s v="-"/>
    <n v="1"/>
    <n v="2"/>
    <s v="-"/>
    <s v="-"/>
    <s v="-"/>
    <s v="-"/>
    <s v="-"/>
    <s v="-"/>
    <s v="-"/>
    <s v="-"/>
    <n v="3"/>
    <n v="3"/>
    <s v="-"/>
    <n v="1"/>
    <n v="1"/>
    <n v="2"/>
    <n v="2"/>
    <n v="5"/>
    <n v="5"/>
  </r>
  <r>
    <x v="7"/>
    <x v="166"/>
    <d v="2026-07-22T00:00:00"/>
    <s v="2ND"/>
    <d v="1899-12-30T19:00:00"/>
    <n v="3"/>
    <x v="1"/>
    <s v="-"/>
    <s v="P"/>
    <s v="P"/>
    <s v="P"/>
    <s v="+"/>
    <s v="+"/>
    <n v="12.05"/>
    <s v="-"/>
    <s v="-"/>
    <s v="-"/>
    <s v="-"/>
    <s v="-"/>
    <s v="-"/>
    <s v="-"/>
    <s v="-"/>
    <s v="P"/>
    <s v="P"/>
    <s v="-"/>
    <s v="-"/>
    <n v="1"/>
    <n v="2"/>
    <n v="1"/>
    <s v="-"/>
    <s v="-"/>
    <s v="-"/>
    <s v="-"/>
    <s v="-"/>
    <s v="-"/>
    <s v="-"/>
    <n v="4"/>
    <n v="4"/>
    <s v="-"/>
    <n v="1"/>
    <n v="1"/>
    <n v="2"/>
    <n v="2"/>
    <n v="6"/>
    <n v="6"/>
  </r>
  <r>
    <x v="7"/>
    <x v="166"/>
    <d v="2026-07-22T00:00:00"/>
    <s v="2ND"/>
    <d v="1899-12-30T20:00:00"/>
    <n v="3"/>
    <x v="30"/>
    <n v="0.01"/>
    <s v="P"/>
    <s v="P"/>
    <s v="P"/>
    <s v="+"/>
    <s v="+"/>
    <n v="11.91"/>
    <s v="-"/>
    <s v="-"/>
    <s v="-"/>
    <s v="-"/>
    <s v="-"/>
    <s v="-"/>
    <s v="-"/>
    <s v="-"/>
    <s v="P"/>
    <s v="P"/>
    <s v="70% 10% 20%"/>
    <n v="2"/>
    <n v="1"/>
    <n v="2"/>
    <n v="0"/>
    <s v="-"/>
    <s v="-"/>
    <s v="-"/>
    <s v="-"/>
    <s v="-"/>
    <s v="-"/>
    <s v="-"/>
    <n v="5"/>
    <n v="6"/>
    <s v="-"/>
    <n v="1"/>
    <n v="1"/>
    <n v="2"/>
    <n v="2"/>
    <n v="7"/>
    <n v="8"/>
  </r>
  <r>
    <x v="7"/>
    <x v="166"/>
    <d v="2026-07-22T00:00:00"/>
    <s v="2ND"/>
    <d v="1899-12-30T21:00:00"/>
    <n v="3"/>
    <x v="30"/>
    <s v="-"/>
    <s v="P"/>
    <s v="P"/>
    <s v="P"/>
    <s v="+"/>
    <s v="+"/>
    <n v="12.24"/>
    <s v="-"/>
    <s v="-"/>
    <s v="-"/>
    <s v="-"/>
    <s v="-"/>
    <s v="-"/>
    <s v="-"/>
    <s v="-"/>
    <s v="P"/>
    <s v="P"/>
    <s v="-"/>
    <s v="-"/>
    <n v="1"/>
    <n v="2"/>
    <n v="1"/>
    <s v="-"/>
    <s v="-"/>
    <s v="-"/>
    <s v="-"/>
    <s v="-"/>
    <s v="-"/>
    <s v="-"/>
    <n v="4"/>
    <n v="4"/>
    <s v="-"/>
    <n v="1"/>
    <n v="1"/>
    <n v="2"/>
    <n v="2"/>
    <n v="6"/>
    <n v="6"/>
  </r>
  <r>
    <x v="7"/>
    <x v="166"/>
    <d v="2026-07-31T00:00:00"/>
    <s v="3RD"/>
    <d v="1899-12-30T22:00:00"/>
    <n v="1"/>
    <x v="22"/>
    <s v="-"/>
    <s v="P"/>
    <s v="P"/>
    <s v="P"/>
    <s v="-"/>
    <s v="-"/>
    <n v="11.59"/>
    <n v="8.65"/>
    <s v="-"/>
    <s v="-"/>
    <s v="-"/>
    <s v="-"/>
    <n v="23.43"/>
    <s v="-"/>
    <s v="-"/>
    <s v="P"/>
    <s v="P"/>
    <n v="1"/>
    <s v="-"/>
    <n v="1"/>
    <n v="2"/>
    <n v="1"/>
    <n v="1"/>
    <s v="-"/>
    <s v="-"/>
    <s v="-"/>
    <s v="-"/>
    <n v="2"/>
    <s v="-"/>
    <n v="7"/>
    <n v="7"/>
    <s v="-"/>
    <n v="1"/>
    <n v="1"/>
    <n v="2"/>
    <n v="2"/>
    <n v="9"/>
    <n v="9"/>
  </r>
  <r>
    <x v="7"/>
    <x v="166"/>
    <d v="2026-07-31T00:00:00"/>
    <s v="3RD"/>
    <d v="1899-12-31T00:00:00"/>
    <n v="1"/>
    <x v="22"/>
    <s v="-"/>
    <s v="P"/>
    <s v="P"/>
    <s v="P"/>
    <s v="-"/>
    <s v="-"/>
    <n v="11.73"/>
    <s v="-"/>
    <s v="-"/>
    <s v="-"/>
    <s v="-"/>
    <s v="-"/>
    <s v="-"/>
    <s v="-"/>
    <s v="-"/>
    <s v="P"/>
    <s v="P"/>
    <s v="-"/>
    <s v="-"/>
    <n v="1"/>
    <n v="2"/>
    <n v="1"/>
    <s v="-"/>
    <s v="-"/>
    <s v="-"/>
    <s v="-"/>
    <s v="-"/>
    <s v="-"/>
    <s v="-"/>
    <n v="4"/>
    <n v="4"/>
    <s v="-"/>
    <n v="1"/>
    <n v="1"/>
    <n v="2"/>
    <n v="2"/>
    <n v="6"/>
    <n v="6"/>
  </r>
  <r>
    <x v="7"/>
    <x v="166"/>
    <d v="2026-07-31T00:00:00"/>
    <s v="3RD"/>
    <d v="1899-12-31T01:00:00"/>
    <n v="1"/>
    <x v="22"/>
    <s v="-"/>
    <s v="P"/>
    <s v="P"/>
    <s v="P"/>
    <s v="-"/>
    <s v="-"/>
    <n v="11.7"/>
    <s v="-"/>
    <s v="-"/>
    <s v="-"/>
    <s v="-"/>
    <s v="-"/>
    <s v="-"/>
    <s v="-"/>
    <s v="-"/>
    <s v="P"/>
    <s v="P"/>
    <s v="-"/>
    <s v="-"/>
    <n v="1"/>
    <n v="2"/>
    <n v="1"/>
    <s v="-"/>
    <s v="-"/>
    <s v="-"/>
    <s v="-"/>
    <s v="-"/>
    <s v="-"/>
    <s v="-"/>
    <n v="4"/>
    <n v="4"/>
    <s v="-"/>
    <n v="1"/>
    <n v="1"/>
    <n v="2"/>
    <n v="2"/>
    <n v="6"/>
    <n v="6"/>
  </r>
  <r>
    <x v="7"/>
    <x v="166"/>
    <d v="2026-07-31T00:00:00"/>
    <s v="3RD"/>
    <d v="1899-12-31T02:00:00"/>
    <n v="1"/>
    <x v="22"/>
    <s v="-"/>
    <s v="P"/>
    <s v="P"/>
    <s v="P"/>
    <s v="-"/>
    <s v="-"/>
    <n v="11.72"/>
    <s v="-"/>
    <s v="-"/>
    <s v="-"/>
    <s v="-"/>
    <s v="-"/>
    <s v="-"/>
    <s v="-"/>
    <s v="-"/>
    <s v="P"/>
    <s v="P"/>
    <s v="-"/>
    <s v="-"/>
    <n v="1"/>
    <n v="2"/>
    <n v="1"/>
    <s v="-"/>
    <s v="-"/>
    <s v="-"/>
    <s v="-"/>
    <s v="-"/>
    <s v="-"/>
    <s v="-"/>
    <n v="4"/>
    <n v="4"/>
    <s v="-"/>
    <n v="1"/>
    <n v="1"/>
    <n v="2"/>
    <n v="2"/>
    <n v="6"/>
    <n v="6"/>
  </r>
  <r>
    <x v="7"/>
    <x v="166"/>
    <d v="2026-07-31T00:00:00"/>
    <s v="3RD"/>
    <d v="1899-12-31T04:00:00"/>
    <n v="1"/>
    <x v="22"/>
    <s v="-"/>
    <s v="P"/>
    <s v="P"/>
    <s v="P"/>
    <s v="-"/>
    <s v="-"/>
    <n v="11.72"/>
    <s v="-"/>
    <s v="-"/>
    <s v="-"/>
    <s v="-"/>
    <s v="-"/>
    <s v="-"/>
    <s v="-"/>
    <s v="-"/>
    <s v="P"/>
    <s v="P"/>
    <s v="-"/>
    <s v="-"/>
    <n v="1"/>
    <n v="2"/>
    <n v="1"/>
    <s v="-"/>
    <s v="-"/>
    <s v="-"/>
    <s v="-"/>
    <s v="-"/>
    <s v="-"/>
    <s v="-"/>
    <n v="4"/>
    <n v="4"/>
    <s v="-"/>
    <n v="1"/>
    <n v="1"/>
    <n v="2"/>
    <n v="2"/>
    <n v="6"/>
    <n v="6"/>
  </r>
  <r>
    <x v="7"/>
    <x v="166"/>
    <d v="2026-07-22T00:00:00"/>
    <s v="3RD"/>
    <d v="1899-12-30T22:00:00"/>
    <n v="3"/>
    <x v="30"/>
    <s v="-"/>
    <s v="P"/>
    <s v="P"/>
    <s v="P"/>
    <s v="+"/>
    <s v="+"/>
    <n v="12.21"/>
    <s v="11.490.52"/>
    <n v="44.49"/>
    <s v="-"/>
    <s v="-"/>
    <s v="-"/>
    <n v="33.479999999999997"/>
    <s v="-"/>
    <s v="-"/>
    <s v="P"/>
    <s v="P"/>
    <s v="-"/>
    <s v="-"/>
    <n v="1"/>
    <n v="2"/>
    <n v="1"/>
    <n v="0"/>
    <n v="0"/>
    <s v="-"/>
    <s v="-"/>
    <s v="-"/>
    <n v="2"/>
    <s v="-"/>
    <n v="6"/>
    <n v="9"/>
    <s v="-"/>
    <n v="1"/>
    <n v="1"/>
    <n v="2"/>
    <n v="2"/>
    <n v="8"/>
    <n v="11"/>
  </r>
  <r>
    <x v="7"/>
    <x v="166"/>
    <d v="2026-07-22T00:00:00"/>
    <s v="3RD"/>
    <d v="1899-12-30T23:00:00"/>
    <n v="3"/>
    <x v="30"/>
    <s v="-"/>
    <s v="P"/>
    <s v="P"/>
    <s v="P"/>
    <s v="+"/>
    <s v="+"/>
    <n v="11.35"/>
    <s v="-"/>
    <s v="-"/>
    <s v="-"/>
    <s v="-"/>
    <s v="-"/>
    <s v="-"/>
    <s v="-"/>
    <s v="-"/>
    <s v="P"/>
    <s v="P"/>
    <s v="70% 10% 20%"/>
    <s v="-"/>
    <n v="1"/>
    <n v="2"/>
    <n v="0"/>
    <s v="-"/>
    <s v="-"/>
    <s v="-"/>
    <s v="-"/>
    <s v="-"/>
    <s v="-"/>
    <s v="-"/>
    <n v="3"/>
    <n v="4"/>
    <s v="-"/>
    <n v="1"/>
    <n v="1"/>
    <n v="2"/>
    <n v="2"/>
    <n v="5"/>
    <n v="6"/>
  </r>
  <r>
    <x v="7"/>
    <x v="166"/>
    <d v="2026-07-22T00:00:00"/>
    <s v="3RD"/>
    <d v="1899-12-31T00:00:00"/>
    <n v="3"/>
    <x v="6"/>
    <s v="-"/>
    <s v="P"/>
    <s v="P"/>
    <s v="P"/>
    <s v="+"/>
    <s v="+"/>
    <n v="12.31"/>
    <s v="-"/>
    <s v="-"/>
    <s v="-"/>
    <s v="-"/>
    <s v="-"/>
    <s v="-"/>
    <s v="-"/>
    <s v="-"/>
    <s v="P"/>
    <s v="P"/>
    <s v="-"/>
    <s v="-"/>
    <n v="1"/>
    <n v="2"/>
    <n v="1"/>
    <s v="-"/>
    <s v="-"/>
    <s v="-"/>
    <s v="-"/>
    <s v="-"/>
    <s v="-"/>
    <s v="-"/>
    <n v="4"/>
    <n v="4"/>
    <s v="-"/>
    <n v="1"/>
    <n v="1"/>
    <n v="2"/>
    <n v="2"/>
    <n v="6"/>
    <n v="6"/>
  </r>
  <r>
    <x v="7"/>
    <x v="166"/>
    <d v="2026-07-22T00:00:00"/>
    <s v="3RD"/>
    <d v="1899-12-31T01:00:00"/>
    <n v="3"/>
    <x v="6"/>
    <n v="0.01"/>
    <s v="P"/>
    <s v="P"/>
    <s v="P"/>
    <s v="+"/>
    <s v="+"/>
    <n v="11.66"/>
    <s v="-"/>
    <s v="-"/>
    <s v="-"/>
    <s v="-"/>
    <s v="-"/>
    <s v="-"/>
    <s v="-"/>
    <s v="-"/>
    <s v="P"/>
    <s v="P"/>
    <s v="-"/>
    <n v="2"/>
    <n v="1"/>
    <n v="2"/>
    <n v="0"/>
    <s v="-"/>
    <s v="-"/>
    <s v="-"/>
    <s v="-"/>
    <s v="-"/>
    <s v="-"/>
    <s v="-"/>
    <n v="5"/>
    <n v="6"/>
    <s v="-"/>
    <n v="1"/>
    <n v="1"/>
    <n v="2"/>
    <n v="2"/>
    <n v="7"/>
    <n v="8"/>
  </r>
  <r>
    <x v="7"/>
    <x v="166"/>
    <d v="2026-07-22T00:00:00"/>
    <s v="3RD"/>
    <d v="1899-12-31T02:00:00"/>
    <n v="3"/>
    <x v="6"/>
    <s v="-"/>
    <s v="P"/>
    <s v="P"/>
    <s v="P"/>
    <s v="+"/>
    <s v="+"/>
    <n v="11.66"/>
    <s v="-"/>
    <s v="-"/>
    <s v="-"/>
    <s v="-"/>
    <s v="-"/>
    <s v="-"/>
    <s v="-"/>
    <s v="-"/>
    <s v="P"/>
    <s v="P"/>
    <s v="-"/>
    <s v="-"/>
    <n v="1"/>
    <n v="2"/>
    <n v="0"/>
    <s v="-"/>
    <s v="-"/>
    <s v="-"/>
    <s v="-"/>
    <s v="-"/>
    <s v="-"/>
    <s v="-"/>
    <n v="3"/>
    <n v="4"/>
    <s v="-"/>
    <n v="1"/>
    <n v="1"/>
    <n v="2"/>
    <n v="2"/>
    <n v="5"/>
    <n v="6"/>
  </r>
  <r>
    <x v="7"/>
    <x v="166"/>
    <d v="2026-07-22T00:00:00"/>
    <s v="3RD"/>
    <d v="1899-12-31T04:00:00"/>
    <n v="3"/>
    <x v="6"/>
    <n v="0.01"/>
    <s v="P"/>
    <s v="P"/>
    <s v="P"/>
    <s v="+"/>
    <s v="+"/>
    <n v="12.01"/>
    <s v="-"/>
    <s v="-"/>
    <s v="-"/>
    <s v="-"/>
    <s v="-"/>
    <s v="-"/>
    <s v="-"/>
    <s v="-"/>
    <s v="P"/>
    <s v="P"/>
    <s v="-"/>
    <n v="2"/>
    <n v="1"/>
    <n v="2"/>
    <n v="1"/>
    <s v="-"/>
    <s v="-"/>
    <s v="-"/>
    <s v="-"/>
    <s v="-"/>
    <s v="-"/>
    <s v="-"/>
    <n v="6"/>
    <n v="6"/>
    <s v="-"/>
    <n v="1"/>
    <n v="1"/>
    <n v="2"/>
    <n v="2"/>
    <n v="8"/>
    <n v="8"/>
  </r>
  <r>
    <x v="7"/>
    <x v="166"/>
    <d v="2026-07-31T00:00:00"/>
    <s v="1ST"/>
    <s v="10:00"/>
    <n v="1"/>
    <x v="22"/>
    <s v="-"/>
    <s v="P"/>
    <s v="P"/>
    <s v="P"/>
    <s v="-"/>
    <s v="-"/>
    <n v="11.73"/>
    <n v="8.7799999999999994"/>
    <n v="0.44"/>
    <n v="54"/>
    <s v="-"/>
    <s v="-"/>
    <n v="23.7"/>
    <s v="-"/>
    <s v="-"/>
    <s v="P"/>
    <s v="P"/>
    <n v="1"/>
    <s v="-"/>
    <n v="1"/>
    <n v="2"/>
    <n v="1"/>
    <n v="1"/>
    <n v="0"/>
    <n v="2"/>
    <s v="-"/>
    <s v="-"/>
    <n v="2"/>
    <s v="-"/>
    <n v="9"/>
    <n v="11"/>
    <s v="-"/>
    <n v="1"/>
    <n v="1"/>
    <n v="2"/>
    <n v="2"/>
    <n v="11"/>
    <n v="13"/>
  </r>
  <r>
    <x v="7"/>
    <x v="166"/>
    <d v="2026-07-31T00:00:00"/>
    <s v="1ST"/>
    <s v="11:00"/>
    <n v="1"/>
    <x v="22"/>
    <s v="-"/>
    <s v="P"/>
    <s v="P"/>
    <s v="P"/>
    <s v="-"/>
    <s v="-"/>
    <n v="11.65"/>
    <s v="-"/>
    <s v="-"/>
    <s v="-"/>
    <s v="-"/>
    <s v="-"/>
    <s v="-"/>
    <s v="-"/>
    <s v="-"/>
    <s v="P"/>
    <s v="P"/>
    <s v="-"/>
    <s v="-"/>
    <n v="1"/>
    <n v="2"/>
    <n v="1"/>
    <s v="-"/>
    <s v="-"/>
    <s v="-"/>
    <s v="-"/>
    <s v="-"/>
    <s v="-"/>
    <s v="-"/>
    <n v="4"/>
    <n v="4"/>
    <s v="-"/>
    <n v="1"/>
    <n v="1"/>
    <n v="2"/>
    <n v="2"/>
    <n v="6"/>
    <n v="6"/>
  </r>
  <r>
    <x v="7"/>
    <x v="166"/>
    <d v="2026-07-31T00:00:00"/>
    <s v="1ST"/>
    <s v="12:00"/>
    <n v="1"/>
    <x v="22"/>
    <s v="-"/>
    <s v="P"/>
    <s v="P"/>
    <s v="P"/>
    <s v="-"/>
    <s v="-"/>
    <n v="11.65"/>
    <s v="-"/>
    <s v="-"/>
    <s v="-"/>
    <s v="-"/>
    <s v="-"/>
    <s v="-"/>
    <s v="-"/>
    <s v="-"/>
    <s v="P"/>
    <s v="P"/>
    <s v="-"/>
    <s v="-"/>
    <n v="1"/>
    <n v="2"/>
    <n v="1"/>
    <s v="-"/>
    <s v="-"/>
    <s v="-"/>
    <s v="-"/>
    <s v="-"/>
    <s v="-"/>
    <s v="-"/>
    <n v="4"/>
    <n v="4"/>
    <s v="-"/>
    <n v="1"/>
    <n v="1"/>
    <n v="2"/>
    <n v="2"/>
    <n v="6"/>
    <n v="6"/>
  </r>
  <r>
    <x v="7"/>
    <x v="166"/>
    <d v="2026-07-31T00:00:00"/>
    <s v="1ST"/>
    <s v="13:00"/>
    <n v="1"/>
    <x v="22"/>
    <s v="-"/>
    <s v="P"/>
    <s v="P"/>
    <s v="P"/>
    <s v="-"/>
    <s v="-"/>
    <n v="11.56"/>
    <s v="-"/>
    <s v="-"/>
    <s v="-"/>
    <s v="-"/>
    <s v="-"/>
    <s v="-"/>
    <s v="-"/>
    <s v="-"/>
    <s v="P"/>
    <s v="P"/>
    <s v="-"/>
    <s v="-"/>
    <n v="1"/>
    <n v="2"/>
    <n v="1"/>
    <s v="-"/>
    <s v="-"/>
    <s v="-"/>
    <s v="-"/>
    <s v="-"/>
    <s v="-"/>
    <s v="-"/>
    <n v="4"/>
    <n v="4"/>
    <s v="-"/>
    <n v="1"/>
    <n v="1"/>
    <n v="2"/>
    <n v="2"/>
    <n v="6"/>
    <n v="6"/>
  </r>
  <r>
    <x v="7"/>
    <x v="166"/>
    <d v="2026-07-22T00:00:00"/>
    <s v="1ST"/>
    <s v="12:00"/>
    <s v="Retail"/>
    <x v="25"/>
    <s v="-"/>
    <s v="P"/>
    <s v="P"/>
    <s v="P"/>
    <s v="+"/>
    <s v="+"/>
    <n v="12.37"/>
    <n v="15.48"/>
    <s v="-"/>
    <s v="-"/>
    <s v="-"/>
    <s v="-"/>
    <n v="44.06"/>
    <s v="-"/>
    <s v="-"/>
    <s v="-"/>
    <s v="-"/>
    <s v="-"/>
    <s v="-"/>
    <n v="1"/>
    <n v="2"/>
    <n v="1"/>
    <n v="1"/>
    <s v="-"/>
    <s v="-"/>
    <s v="-"/>
    <s v="-"/>
    <n v="2"/>
    <s v="-"/>
    <n v="7"/>
    <n v="7"/>
    <s v="-"/>
    <s v="-"/>
    <s v="-"/>
    <n v="0"/>
    <n v="0"/>
    <n v="7"/>
    <n v="7"/>
  </r>
  <r>
    <x v="7"/>
    <x v="166"/>
    <d v="2026-07-31T00:00:00"/>
    <s v="2ND"/>
    <d v="1899-12-30T14:00:00"/>
    <n v="1"/>
    <x v="22"/>
    <s v="-"/>
    <s v="P"/>
    <s v="P"/>
    <s v="P"/>
    <s v="-"/>
    <s v="-"/>
    <n v="11.63"/>
    <n v="8.92"/>
    <s v="-"/>
    <s v="-"/>
    <s v="-"/>
    <s v="-"/>
    <n v="24.6"/>
    <s v="-"/>
    <s v="-"/>
    <s v="P"/>
    <s v="P"/>
    <n v="1"/>
    <s v="-"/>
    <n v="1"/>
    <n v="2"/>
    <n v="1"/>
    <n v="1"/>
    <s v="-"/>
    <s v="-"/>
    <s v="-"/>
    <s v="-"/>
    <n v="2"/>
    <s v="-"/>
    <n v="7"/>
    <n v="7"/>
    <s v="-"/>
    <n v="1"/>
    <n v="1"/>
    <n v="2"/>
    <n v="2"/>
    <n v="9"/>
    <n v="9"/>
  </r>
  <r>
    <x v="7"/>
    <x v="166"/>
    <d v="2026-07-31T00:00:00"/>
    <s v="2ND"/>
    <d v="1899-12-30T16:00:00"/>
    <n v="1"/>
    <x v="22"/>
    <s v="-"/>
    <s v="P"/>
    <s v="P"/>
    <s v="P"/>
    <s v="-"/>
    <s v="-"/>
    <n v="11.63"/>
    <s v="-"/>
    <s v="-"/>
    <s v="-"/>
    <s v="-"/>
    <s v="-"/>
    <s v="-"/>
    <s v="-"/>
    <s v="-"/>
    <s v="P"/>
    <s v="P"/>
    <s v="-"/>
    <s v="-"/>
    <n v="1"/>
    <n v="2"/>
    <n v="1"/>
    <s v="-"/>
    <s v="-"/>
    <s v="-"/>
    <s v="-"/>
    <s v="-"/>
    <s v="-"/>
    <s v="-"/>
    <n v="4"/>
    <n v="4"/>
    <s v="-"/>
    <n v="1"/>
    <n v="1"/>
    <n v="2"/>
    <n v="2"/>
    <n v="6"/>
    <n v="6"/>
  </r>
  <r>
    <x v="7"/>
    <x v="166"/>
    <d v="2026-07-31T00:00:00"/>
    <s v="2ND"/>
    <d v="1899-12-30T18:00:00"/>
    <n v="1"/>
    <x v="22"/>
    <s v="-"/>
    <s v="P"/>
    <s v="P"/>
    <s v="P"/>
    <s v="-"/>
    <s v="-"/>
    <n v="11.57"/>
    <s v="-"/>
    <s v="-"/>
    <s v="-"/>
    <s v="-"/>
    <s v="-"/>
    <s v="-"/>
    <s v="-"/>
    <s v="-"/>
    <s v="P"/>
    <s v="P"/>
    <s v="-"/>
    <s v="-"/>
    <n v="1"/>
    <n v="2"/>
    <n v="1"/>
    <s v="-"/>
    <s v="-"/>
    <s v="-"/>
    <s v="-"/>
    <s v="-"/>
    <s v="-"/>
    <s v="-"/>
    <n v="4"/>
    <n v="4"/>
    <s v="-"/>
    <n v="1"/>
    <n v="1"/>
    <n v="2"/>
    <n v="2"/>
    <n v="6"/>
    <n v="6"/>
  </r>
  <r>
    <x v="7"/>
    <x v="166"/>
    <d v="2026-07-31T00:00:00"/>
    <s v="2ND"/>
    <d v="1899-12-30T20:00:00"/>
    <n v="1"/>
    <x v="22"/>
    <s v="-"/>
    <s v="P"/>
    <s v="P"/>
    <s v="P"/>
    <s v="-"/>
    <s v="-"/>
    <n v="11.39"/>
    <s v="-"/>
    <s v="-"/>
    <s v="-"/>
    <s v="-"/>
    <s v="-"/>
    <s v="-"/>
    <s v="-"/>
    <s v="-"/>
    <s v="P"/>
    <s v="P"/>
    <s v="-"/>
    <s v="-"/>
    <n v="1"/>
    <n v="2"/>
    <n v="1"/>
    <s v="-"/>
    <s v="-"/>
    <s v="-"/>
    <s v="-"/>
    <s v="-"/>
    <s v="-"/>
    <s v="-"/>
    <n v="4"/>
    <n v="4"/>
    <s v="-"/>
    <n v="1"/>
    <n v="1"/>
    <n v="2"/>
    <n v="2"/>
    <n v="6"/>
    <n v="6"/>
  </r>
  <r>
    <x v="7"/>
    <x v="166"/>
    <d v="2026-07-22T00:00:00"/>
    <s v="2ND"/>
    <d v="1899-12-30T16:00:00"/>
    <n v="3"/>
    <x v="0"/>
    <s v="-"/>
    <s v="P"/>
    <s v="P"/>
    <s v="P"/>
    <s v="+"/>
    <s v="+"/>
    <n v="12"/>
    <n v="12.68"/>
    <n v="0.54"/>
    <s v="-"/>
    <s v="-"/>
    <s v="-"/>
    <n v="35.75"/>
    <s v="-"/>
    <s v="-"/>
    <s v="P"/>
    <s v="P"/>
    <s v="85% 10% 5%"/>
    <s v="-"/>
    <n v="1"/>
    <n v="2"/>
    <n v="1"/>
    <n v="1"/>
    <n v="2"/>
    <s v="-"/>
    <s v="-"/>
    <s v="-"/>
    <n v="2"/>
    <s v="-"/>
    <n v="9"/>
    <n v="9"/>
    <s v="-"/>
    <n v="1"/>
    <n v="1"/>
    <n v="2"/>
    <n v="2"/>
    <n v="11"/>
    <n v="11"/>
  </r>
  <r>
    <x v="7"/>
    <x v="166"/>
    <d v="2026-07-22T00:00:00"/>
    <s v="2ND"/>
    <d v="1899-12-30T18:00:00"/>
    <n v="3"/>
    <x v="1"/>
    <n v="0.01"/>
    <s v="P"/>
    <s v="P"/>
    <s v="P"/>
    <s v="+"/>
    <s v="+"/>
    <s v="-"/>
    <s v="-"/>
    <s v="-"/>
    <s v="-"/>
    <s v="-"/>
    <s v="-"/>
    <s v="-"/>
    <s v="-"/>
    <s v="-"/>
    <s v="P"/>
    <s v="P"/>
    <s v="-"/>
    <n v="2"/>
    <n v="1"/>
    <n v="2"/>
    <s v="-"/>
    <s v="-"/>
    <s v="-"/>
    <s v="-"/>
    <s v="-"/>
    <s v="-"/>
    <s v="-"/>
    <s v="-"/>
    <n v="5"/>
    <n v="5"/>
    <s v="-"/>
    <n v="1"/>
    <n v="1"/>
    <n v="2"/>
    <n v="2"/>
    <n v="7"/>
    <n v="7"/>
  </r>
  <r>
    <x v="7"/>
    <x v="166"/>
    <d v="2026-07-22T00:00:00"/>
    <s v="2ND"/>
    <d v="1899-12-30T20:00:00"/>
    <n v="3"/>
    <x v="1"/>
    <n v="0.01"/>
    <s v="P"/>
    <s v="P"/>
    <s v="P"/>
    <s v="+"/>
    <s v="+"/>
    <n v="12.18"/>
    <s v="-"/>
    <s v="-"/>
    <s v="-"/>
    <s v="-"/>
    <s v="-"/>
    <s v="-"/>
    <s v="-"/>
    <s v="-"/>
    <s v="P"/>
    <s v="P"/>
    <s v="-"/>
    <n v="2"/>
    <n v="1"/>
    <n v="2"/>
    <n v="1"/>
    <s v="-"/>
    <s v="-"/>
    <s v="-"/>
    <s v="-"/>
    <s v="-"/>
    <s v="-"/>
    <s v="-"/>
    <n v="6"/>
    <n v="6"/>
    <s v="-"/>
    <n v="1"/>
    <n v="1"/>
    <n v="2"/>
    <n v="2"/>
    <n v="8"/>
    <n v="8"/>
  </r>
  <r>
    <x v="7"/>
    <x v="166"/>
    <d v="2026-07-22T00:00:00"/>
    <s v="2ND"/>
    <d v="1899-12-30T21:00:00"/>
    <n v="3"/>
    <x v="1"/>
    <n v="0.01"/>
    <s v="P"/>
    <s v="P"/>
    <s v="P"/>
    <s v="+"/>
    <s v="+"/>
    <n v="12.07"/>
    <s v="-"/>
    <s v="-"/>
    <s v="-"/>
    <s v="-"/>
    <s v="-"/>
    <s v="-"/>
    <s v="-"/>
    <s v="-"/>
    <s v="P"/>
    <s v="P"/>
    <s v="-"/>
    <n v="2"/>
    <n v="1"/>
    <n v="2"/>
    <n v="1"/>
    <s v="-"/>
    <s v="-"/>
    <s v="-"/>
    <s v="-"/>
    <s v="-"/>
    <s v="-"/>
    <s v="-"/>
    <n v="6"/>
    <n v="6"/>
    <s v="-"/>
    <n v="1"/>
    <n v="1"/>
    <n v="2"/>
    <n v="2"/>
    <n v="8"/>
    <n v="8"/>
  </r>
  <r>
    <x v="7"/>
    <x v="166"/>
    <d v="2026-07-22T00:00:00"/>
    <s v="3RD"/>
    <d v="1899-12-30T22:00:00"/>
    <n v="3"/>
    <x v="1"/>
    <n v="0.01"/>
    <s v="P"/>
    <s v="P"/>
    <s v="P"/>
    <s v="+"/>
    <s v="+"/>
    <n v="12.12"/>
    <n v="12.92"/>
    <n v="0.54"/>
    <n v="66"/>
    <s v="-"/>
    <s v="-"/>
    <n v="36.31"/>
    <s v="-"/>
    <s v="-"/>
    <s v="P"/>
    <s v="P"/>
    <s v="85% 10% 5%"/>
    <n v="2"/>
    <n v="1"/>
    <n v="2"/>
    <n v="1"/>
    <n v="1"/>
    <n v="2"/>
    <n v="2"/>
    <s v="-"/>
    <s v="-"/>
    <n v="2"/>
    <s v="-"/>
    <n v="13"/>
    <n v="13"/>
    <s v="-"/>
    <n v="1"/>
    <n v="1"/>
    <n v="2"/>
    <n v="2"/>
    <n v="15"/>
    <n v="15"/>
  </r>
  <r>
    <x v="7"/>
    <x v="166"/>
    <d v="2026-07-22T00:00:00"/>
    <s v="3RD"/>
    <d v="1899-12-31T00:00:00"/>
    <n v="3"/>
    <x v="1"/>
    <n v="0.01"/>
    <s v="P"/>
    <s v="P"/>
    <s v="P"/>
    <s v="+"/>
    <s v="+"/>
    <n v="11.94"/>
    <s v="-"/>
    <s v="-"/>
    <s v="-"/>
    <s v="-"/>
    <s v="-"/>
    <s v="-"/>
    <s v="-"/>
    <s v="-"/>
    <s v="P"/>
    <s v="P"/>
    <s v="-"/>
    <n v="2"/>
    <n v="1"/>
    <n v="2"/>
    <n v="0"/>
    <s v="-"/>
    <s v="-"/>
    <s v="-"/>
    <s v="-"/>
    <s v="-"/>
    <s v="-"/>
    <s v="-"/>
    <n v="5"/>
    <n v="6"/>
    <s v="-"/>
    <n v="1"/>
    <n v="1"/>
    <n v="2"/>
    <n v="2"/>
    <n v="7"/>
    <n v="8"/>
  </r>
  <r>
    <x v="7"/>
    <x v="166"/>
    <d v="2026-07-22T00:00:00"/>
    <s v="3RD"/>
    <d v="1899-12-31T01:00:00"/>
    <n v="3"/>
    <x v="1"/>
    <n v="0.01"/>
    <s v="P"/>
    <s v="P"/>
    <s v="P"/>
    <s v="+"/>
    <s v="+"/>
    <n v="12.04"/>
    <s v="-"/>
    <s v="-"/>
    <s v="-"/>
    <s v="-"/>
    <s v="-"/>
    <s v="-"/>
    <s v="-"/>
    <s v="-"/>
    <s v="P"/>
    <s v="P"/>
    <s v="-"/>
    <n v="2"/>
    <n v="1"/>
    <n v="2"/>
    <n v="1"/>
    <s v="-"/>
    <s v="-"/>
    <s v="-"/>
    <s v="-"/>
    <s v="-"/>
    <s v="-"/>
    <s v="-"/>
    <n v="6"/>
    <n v="6"/>
    <s v="-"/>
    <n v="1"/>
    <n v="1"/>
    <n v="2"/>
    <n v="2"/>
    <n v="8"/>
    <n v="8"/>
  </r>
  <r>
    <x v="7"/>
    <x v="166"/>
    <d v="2026-07-22T00:00:00"/>
    <s v="3RD"/>
    <d v="1899-12-31T02:00:00"/>
    <n v="3"/>
    <x v="1"/>
    <n v="0.02"/>
    <s v="P"/>
    <s v="P"/>
    <s v="P"/>
    <s v="+"/>
    <s v="+"/>
    <n v="12.04"/>
    <s v="-"/>
    <s v="-"/>
    <s v="-"/>
    <s v="-"/>
    <s v="-"/>
    <s v="-"/>
    <s v="-"/>
    <s v="-"/>
    <s v="P"/>
    <s v="P"/>
    <s v="-"/>
    <n v="2"/>
    <n v="1"/>
    <n v="2"/>
    <n v="1"/>
    <s v="-"/>
    <s v="-"/>
    <s v="-"/>
    <s v="-"/>
    <s v="-"/>
    <s v="-"/>
    <s v="-"/>
    <n v="6"/>
    <n v="6"/>
    <s v="-"/>
    <n v="1"/>
    <n v="1"/>
    <n v="2"/>
    <n v="2"/>
    <n v="8"/>
    <n v="8"/>
  </r>
  <r>
    <x v="7"/>
    <x v="166"/>
    <d v="2026-07-22T00:00:00"/>
    <s v="3RD"/>
    <d v="1899-12-31T04:00:00"/>
    <n v="3"/>
    <x v="1"/>
    <n v="0.01"/>
    <s v="P"/>
    <s v="P"/>
    <s v="P"/>
    <s v="+"/>
    <s v="+"/>
    <n v="11.74"/>
    <s v="-"/>
    <s v="-"/>
    <s v="-"/>
    <s v="-"/>
    <s v="-"/>
    <s v="-"/>
    <s v="-"/>
    <s v="-"/>
    <s v="P"/>
    <s v="P"/>
    <s v="-"/>
    <n v="2"/>
    <n v="1"/>
    <n v="2"/>
    <n v="0"/>
    <s v="-"/>
    <s v="-"/>
    <s v="-"/>
    <s v="-"/>
    <s v="-"/>
    <s v="-"/>
    <s v="-"/>
    <n v="5"/>
    <n v="6"/>
    <s v="-"/>
    <n v="1"/>
    <n v="1"/>
    <n v="2"/>
    <n v="2"/>
    <n v="7"/>
    <n v="8"/>
  </r>
  <r>
    <x v="7"/>
    <x v="166"/>
    <d v="2026-07-22T00:00:00"/>
    <s v="3RD"/>
    <d v="1899-12-31T05:00:00"/>
    <n v="3"/>
    <x v="1"/>
    <n v="0.01"/>
    <s v="P"/>
    <s v="P"/>
    <s v="P"/>
    <s v="+"/>
    <s v="+"/>
    <n v="11.74"/>
    <s v="-"/>
    <s v="-"/>
    <s v="-"/>
    <s v="-"/>
    <s v="-"/>
    <s v="-"/>
    <s v="-"/>
    <s v="-"/>
    <s v="P"/>
    <s v="P"/>
    <s v="-"/>
    <n v="2"/>
    <n v="1"/>
    <n v="2"/>
    <n v="0"/>
    <s v="-"/>
    <s v="-"/>
    <s v="-"/>
    <s v="-"/>
    <s v="-"/>
    <s v="-"/>
    <s v="-"/>
    <n v="5"/>
    <n v="6"/>
    <s v="-"/>
    <n v="1"/>
    <n v="1"/>
    <n v="2"/>
    <n v="2"/>
    <n v="7"/>
    <n v="8"/>
  </r>
  <r>
    <x v="7"/>
    <x v="166"/>
    <d v="1899-12-30T00:00:00"/>
    <s v="3RD"/>
    <d v="1899-12-30T23:00:00"/>
    <s v="Retail"/>
    <x v="13"/>
    <s v="-"/>
    <s v="-"/>
    <s v="-"/>
    <s v="-"/>
    <s v="-"/>
    <s v="-"/>
    <n v="10.98"/>
    <s v="-"/>
    <s v="-"/>
    <s v="-"/>
    <s v="-"/>
    <s v="-"/>
    <s v="-"/>
    <s v="-"/>
    <s v="-"/>
    <s v="-"/>
    <s v="-"/>
    <s v="-"/>
    <s v="-"/>
    <s v="-"/>
    <s v="-"/>
    <n v="0"/>
    <s v="-"/>
    <s v="-"/>
    <s v="-"/>
    <s v="-"/>
    <s v="-"/>
    <s v="-"/>
    <s v="-"/>
    <n v="0"/>
    <n v="1"/>
    <s v="-"/>
    <s v="-"/>
    <s v="-"/>
    <n v="0"/>
    <n v="0"/>
    <n v="0"/>
    <n v="1"/>
  </r>
  <r>
    <x v="7"/>
    <x v="167"/>
    <d v="1899-12-30T00:00:00"/>
    <s v="1ST"/>
    <s v="07:00"/>
    <n v="2"/>
    <x v="5"/>
    <s v="-"/>
    <s v="P"/>
    <s v="P"/>
    <s v="P"/>
    <s v="-"/>
    <s v="+"/>
    <n v="11.81"/>
    <n v="9.25"/>
    <n v="0.54"/>
    <n v="54.7"/>
    <n v="12.7"/>
    <n v="393"/>
    <n v="25.1"/>
    <s v="-"/>
    <n v="25.16"/>
    <s v="P"/>
    <s v="P"/>
    <s v="-"/>
    <s v="-"/>
    <n v="1"/>
    <n v="2"/>
    <n v="1"/>
    <n v="1"/>
    <n v="2"/>
    <n v="2"/>
    <s v="-"/>
    <s v="-"/>
    <n v="2"/>
    <s v="-"/>
    <n v="11"/>
    <n v="11"/>
    <n v="1"/>
    <n v="1"/>
    <n v="1"/>
    <n v="3"/>
    <n v="3"/>
    <n v="14"/>
    <n v="14"/>
  </r>
  <r>
    <x v="7"/>
    <x v="167"/>
    <d v="1899-12-30T00:00:00"/>
    <s v="1ST"/>
    <s v="08:00"/>
    <n v="2"/>
    <x v="5"/>
    <s v="-"/>
    <s v="P"/>
    <s v="P"/>
    <s v="P"/>
    <s v="-"/>
    <s v="+"/>
    <n v="11.71"/>
    <s v="-"/>
    <s v="-"/>
    <s v="-"/>
    <s v="-"/>
    <s v="-"/>
    <s v="-"/>
    <s v="-"/>
    <s v="-"/>
    <s v="P"/>
    <s v="P"/>
    <s v="-"/>
    <s v="-"/>
    <n v="1"/>
    <n v="2"/>
    <n v="1"/>
    <s v="-"/>
    <s v="-"/>
    <s v="-"/>
    <s v="-"/>
    <s v="-"/>
    <s v="-"/>
    <s v="-"/>
    <n v="4"/>
    <n v="4"/>
    <s v="-"/>
    <n v="1"/>
    <n v="1"/>
    <n v="2"/>
    <n v="2"/>
    <n v="6"/>
    <n v="6"/>
  </r>
  <r>
    <x v="7"/>
    <x v="167"/>
    <d v="1899-12-30T00:00:00"/>
    <s v="1ST"/>
    <s v="09:00"/>
    <n v="2"/>
    <x v="5"/>
    <s v="-"/>
    <s v="P"/>
    <s v="P"/>
    <s v="P"/>
    <s v="-"/>
    <s v="+"/>
    <n v="11.8"/>
    <s v="-"/>
    <s v="-"/>
    <s v="-"/>
    <s v="-"/>
    <s v="-"/>
    <s v="-"/>
    <s v="-"/>
    <s v="-"/>
    <s v="P"/>
    <s v="P"/>
    <s v="-"/>
    <s v="-"/>
    <n v="1"/>
    <n v="2"/>
    <n v="1"/>
    <s v="-"/>
    <s v="-"/>
    <s v="-"/>
    <s v="-"/>
    <s v="-"/>
    <s v="-"/>
    <s v="-"/>
    <n v="4"/>
    <n v="4"/>
    <s v="-"/>
    <n v="1"/>
    <n v="1"/>
    <n v="2"/>
    <n v="2"/>
    <n v="6"/>
    <n v="6"/>
  </r>
  <r>
    <x v="7"/>
    <x v="167"/>
    <d v="1899-12-30T00:00:00"/>
    <s v="1ST"/>
    <s v="11:00"/>
    <n v="2"/>
    <x v="5"/>
    <s v="-"/>
    <s v="P"/>
    <s v="P"/>
    <s v="P"/>
    <s v="-"/>
    <s v="+"/>
    <n v="11.35"/>
    <s v="-"/>
    <s v="-"/>
    <s v="-"/>
    <s v="-"/>
    <s v="-"/>
    <s v="-"/>
    <s v="-"/>
    <s v="-"/>
    <s v="P"/>
    <s v="P"/>
    <s v="-"/>
    <s v="-"/>
    <n v="1"/>
    <n v="2"/>
    <n v="1"/>
    <s v="-"/>
    <s v="-"/>
    <s v="-"/>
    <s v="-"/>
    <s v="-"/>
    <s v="-"/>
    <s v="-"/>
    <n v="4"/>
    <n v="4"/>
    <s v="-"/>
    <n v="1"/>
    <n v="1"/>
    <n v="2"/>
    <n v="2"/>
    <n v="6"/>
    <n v="6"/>
  </r>
  <r>
    <x v="7"/>
    <x v="167"/>
    <d v="1899-12-30T00:00:00"/>
    <s v="1ST"/>
    <s v="12:00"/>
    <n v="2"/>
    <x v="5"/>
    <s v="-"/>
    <s v="P"/>
    <s v="P"/>
    <s v="P"/>
    <s v="-"/>
    <s v="+"/>
    <n v="11.66"/>
    <s v="-"/>
    <s v="-"/>
    <s v="-"/>
    <s v="-"/>
    <s v="-"/>
    <s v="-"/>
    <s v="-"/>
    <s v="-"/>
    <s v="P"/>
    <s v="P"/>
    <s v="-"/>
    <s v="-"/>
    <n v="1"/>
    <n v="2"/>
    <n v="1"/>
    <s v="-"/>
    <s v="-"/>
    <s v="-"/>
    <s v="-"/>
    <s v="-"/>
    <s v="-"/>
    <s v="-"/>
    <n v="4"/>
    <n v="4"/>
    <s v="-"/>
    <n v="1"/>
    <n v="1"/>
    <n v="2"/>
    <n v="2"/>
    <n v="6"/>
    <n v="6"/>
  </r>
  <r>
    <x v="7"/>
    <x v="167"/>
    <d v="1899-12-30T00:00:00"/>
    <s v="1ST"/>
    <s v="13:00"/>
    <n v="2"/>
    <x v="5"/>
    <s v="-"/>
    <s v="P"/>
    <s v="P"/>
    <s v="P"/>
    <s v="-"/>
    <s v="+"/>
    <n v="11.75"/>
    <s v="-"/>
    <s v="-"/>
    <s v="-"/>
    <s v="-"/>
    <s v="-"/>
    <s v="-"/>
    <s v="-"/>
    <s v="-"/>
    <s v="P"/>
    <s v="P"/>
    <s v="-"/>
    <s v="-"/>
    <n v="1"/>
    <n v="2"/>
    <n v="1"/>
    <s v="-"/>
    <s v="-"/>
    <s v="-"/>
    <s v="-"/>
    <s v="-"/>
    <s v="-"/>
    <s v="-"/>
    <n v="4"/>
    <n v="4"/>
    <s v="-"/>
    <n v="1"/>
    <n v="1"/>
    <n v="2"/>
    <n v="2"/>
    <n v="6"/>
    <n v="6"/>
  </r>
  <r>
    <x v="7"/>
    <x v="167"/>
    <d v="2026-07-22T00:00:00"/>
    <s v="1ST"/>
    <s v="07:00"/>
    <n v="3"/>
    <x v="1"/>
    <s v="-"/>
    <s v="P"/>
    <s v="P"/>
    <s v="P"/>
    <s v="+"/>
    <s v="+"/>
    <n v="11.61"/>
    <n v="12.1"/>
    <n v="0.66"/>
    <n v="65.599999999999994"/>
    <s v="-"/>
    <s v="-"/>
    <n v="33.82"/>
    <s v="-"/>
    <n v="25.19"/>
    <s v="P"/>
    <s v="P"/>
    <s v="-"/>
    <s v="-"/>
    <n v="1"/>
    <n v="2"/>
    <n v="0"/>
    <n v="1"/>
    <n v="0"/>
    <n v="2"/>
    <s v="-"/>
    <s v="-"/>
    <n v="2"/>
    <s v="-"/>
    <n v="8"/>
    <n v="11"/>
    <n v="1"/>
    <n v="1"/>
    <n v="1"/>
    <n v="3"/>
    <n v="3"/>
    <n v="11"/>
    <n v="14"/>
  </r>
  <r>
    <x v="7"/>
    <x v="167"/>
    <d v="2026-07-22T00:00:00"/>
    <s v="1ST"/>
    <s v="08:00"/>
    <n v="3"/>
    <x v="1"/>
    <n v="0.01"/>
    <s v="P"/>
    <s v="P"/>
    <s v="P"/>
    <s v="+"/>
    <s v="+"/>
    <n v="12.08"/>
    <s v="-"/>
    <s v="-"/>
    <n v="0.66"/>
    <s v="-"/>
    <s v="-"/>
    <s v="-"/>
    <s v="-"/>
    <s v="-"/>
    <s v="P"/>
    <s v="P"/>
    <s v="-"/>
    <n v="2"/>
    <n v="1"/>
    <n v="2"/>
    <n v="1"/>
    <s v="-"/>
    <s v="-"/>
    <n v="0"/>
    <s v="-"/>
    <s v="-"/>
    <s v="-"/>
    <s v="-"/>
    <n v="6"/>
    <n v="8"/>
    <s v="-"/>
    <n v="1"/>
    <n v="1"/>
    <n v="2"/>
    <n v="2"/>
    <n v="8"/>
    <n v="10"/>
  </r>
  <r>
    <x v="7"/>
    <x v="167"/>
    <d v="2026-07-22T00:00:00"/>
    <s v="1ST"/>
    <s v="09:00"/>
    <n v="3"/>
    <x v="1"/>
    <n v="0.01"/>
    <s v="P"/>
    <s v="P"/>
    <s v="P"/>
    <s v="+"/>
    <s v="+"/>
    <n v="12.1"/>
    <s v="-"/>
    <s v="-"/>
    <s v="-"/>
    <s v="-"/>
    <s v="-"/>
    <s v="-"/>
    <s v="-"/>
    <s v="-"/>
    <s v="P"/>
    <s v="P"/>
    <s v="-"/>
    <n v="2"/>
    <n v="1"/>
    <n v="2"/>
    <n v="1"/>
    <s v="-"/>
    <s v="-"/>
    <s v="-"/>
    <s v="-"/>
    <s v="-"/>
    <s v="-"/>
    <s v="-"/>
    <n v="6"/>
    <n v="6"/>
    <s v="-"/>
    <n v="1"/>
    <n v="1"/>
    <n v="2"/>
    <n v="2"/>
    <n v="8"/>
    <n v="8"/>
  </r>
  <r>
    <x v="7"/>
    <x v="167"/>
    <d v="2026-07-22T00:00:00"/>
    <s v="1ST"/>
    <s v="10:00"/>
    <n v="3"/>
    <x v="1"/>
    <n v="0.01"/>
    <s v="P"/>
    <s v="P"/>
    <s v="P"/>
    <s v="+"/>
    <s v="+"/>
    <n v="12.1"/>
    <s v="-"/>
    <s v="-"/>
    <s v="-"/>
    <s v="-"/>
    <s v="-"/>
    <s v="-"/>
    <s v="-"/>
    <s v="-"/>
    <s v="P"/>
    <s v="P"/>
    <s v="-"/>
    <n v="2"/>
    <n v="1"/>
    <n v="2"/>
    <n v="1"/>
    <s v="-"/>
    <s v="-"/>
    <s v="-"/>
    <s v="-"/>
    <s v="-"/>
    <s v="-"/>
    <s v="-"/>
    <n v="6"/>
    <n v="6"/>
    <s v="-"/>
    <n v="1"/>
    <n v="1"/>
    <n v="2"/>
    <n v="2"/>
    <n v="8"/>
    <n v="8"/>
  </r>
  <r>
    <x v="7"/>
    <x v="167"/>
    <d v="2026-07-22T00:00:00"/>
    <s v="1ST"/>
    <s v="12:00"/>
    <n v="3"/>
    <x v="1"/>
    <n v="0.01"/>
    <s v="P"/>
    <s v="P"/>
    <s v="P"/>
    <s v="+"/>
    <s v="+"/>
    <n v="11.75"/>
    <s v="-"/>
    <s v="-"/>
    <s v="-"/>
    <s v="-"/>
    <s v="-"/>
    <s v="-"/>
    <s v="-"/>
    <s v="-"/>
    <s v="P"/>
    <s v="P"/>
    <s v="-"/>
    <n v="2"/>
    <n v="1"/>
    <n v="2"/>
    <n v="0"/>
    <s v="-"/>
    <s v="-"/>
    <s v="-"/>
    <s v="-"/>
    <s v="-"/>
    <s v="-"/>
    <s v="-"/>
    <n v="5"/>
    <n v="6"/>
    <s v="-"/>
    <n v="1"/>
    <n v="1"/>
    <n v="2"/>
    <n v="2"/>
    <n v="7"/>
    <n v="8"/>
  </r>
  <r>
    <x v="7"/>
    <x v="167"/>
    <d v="2026-07-22T00:00:00"/>
    <s v="1ST"/>
    <s v="13:00"/>
    <n v="3"/>
    <x v="1"/>
    <s v="-"/>
    <s v="P"/>
    <s v="P"/>
    <s v="P"/>
    <s v="+"/>
    <s v="+"/>
    <n v="11.92"/>
    <s v="-"/>
    <s v="-"/>
    <s v="-"/>
    <s v="-"/>
    <s v="-"/>
    <s v="-"/>
    <s v="-"/>
    <s v="-"/>
    <s v="P"/>
    <s v="P"/>
    <s v="-"/>
    <s v="-"/>
    <n v="1"/>
    <n v="2"/>
    <n v="0"/>
    <s v="-"/>
    <s v="-"/>
    <s v="-"/>
    <s v="-"/>
    <s v="-"/>
    <s v="-"/>
    <s v="-"/>
    <n v="3"/>
    <n v="4"/>
    <s v="-"/>
    <n v="1"/>
    <n v="1"/>
    <n v="2"/>
    <n v="2"/>
    <n v="5"/>
    <n v="6"/>
  </r>
  <r>
    <x v="7"/>
    <x v="167"/>
    <d v="1902-03-26T00:00:00"/>
    <s v="2ND"/>
    <d v="1899-12-30T15:00:00"/>
    <n v="2"/>
    <x v="7"/>
    <s v="-"/>
    <s v="P"/>
    <s v="P"/>
    <s v="P"/>
    <s v="-"/>
    <s v="+"/>
    <n v="11.37"/>
    <n v="9.66"/>
    <n v="0.55000000000000004"/>
    <n v="56.3"/>
    <s v="-"/>
    <s v="-"/>
    <n v="26.5"/>
    <s v="-"/>
    <s v="-"/>
    <s v="P"/>
    <s v="P"/>
    <s v="-"/>
    <s v="-"/>
    <n v="1"/>
    <n v="2"/>
    <n v="1"/>
    <n v="1"/>
    <n v="2"/>
    <n v="2"/>
    <s v="-"/>
    <s v="-"/>
    <n v="2"/>
    <s v="-"/>
    <n v="11"/>
    <n v="11"/>
    <s v="-"/>
    <n v="1"/>
    <n v="1"/>
    <n v="2"/>
    <n v="2"/>
    <n v="13"/>
    <n v="13"/>
  </r>
  <r>
    <x v="7"/>
    <x v="167"/>
    <d v="1899-12-30T00:00:00"/>
    <s v="2ND"/>
    <d v="1899-12-30T16:00:00"/>
    <n v="2"/>
    <x v="7"/>
    <s v="-"/>
    <s v="P"/>
    <s v="P"/>
    <s v="P"/>
    <s v="-"/>
    <s v="+"/>
    <n v="11.24"/>
    <s v="-"/>
    <s v="-"/>
    <s v="-"/>
    <s v="-"/>
    <s v="-"/>
    <s v="-"/>
    <s v="-"/>
    <s v="-"/>
    <s v="P"/>
    <s v="P"/>
    <s v="-"/>
    <s v="-"/>
    <n v="1"/>
    <n v="2"/>
    <n v="1"/>
    <s v="-"/>
    <s v="-"/>
    <s v="-"/>
    <s v="-"/>
    <s v="-"/>
    <s v="-"/>
    <s v="-"/>
    <n v="4"/>
    <n v="4"/>
    <s v="-"/>
    <n v="1"/>
    <n v="1"/>
    <n v="2"/>
    <n v="2"/>
    <n v="6"/>
    <n v="6"/>
  </r>
  <r>
    <x v="7"/>
    <x v="167"/>
    <d v="1899-12-30T00:00:00"/>
    <s v="2ND"/>
    <d v="1899-12-30T17:00:00"/>
    <n v="2"/>
    <x v="7"/>
    <s v="-"/>
    <s v="P"/>
    <s v="P"/>
    <s v="P"/>
    <s v="-"/>
    <s v="+"/>
    <n v="11.26"/>
    <s v="-"/>
    <s v="-"/>
    <s v="-"/>
    <s v="-"/>
    <s v="-"/>
    <s v="-"/>
    <s v="-"/>
    <s v="-"/>
    <s v="P"/>
    <s v="P"/>
    <s v="-"/>
    <s v="-"/>
    <n v="1"/>
    <n v="2"/>
    <n v="1"/>
    <s v="-"/>
    <s v="-"/>
    <s v="-"/>
    <s v="-"/>
    <s v="-"/>
    <s v="-"/>
    <s v="-"/>
    <n v="4"/>
    <n v="4"/>
    <s v="-"/>
    <n v="1"/>
    <n v="1"/>
    <n v="2"/>
    <n v="2"/>
    <n v="6"/>
    <n v="6"/>
  </r>
  <r>
    <x v="7"/>
    <x v="167"/>
    <d v="1899-12-30T00:00:00"/>
    <s v="2ND"/>
    <d v="1899-12-30T19:00:00"/>
    <n v="2"/>
    <x v="7"/>
    <n v="0.02"/>
    <s v="P"/>
    <s v="P"/>
    <s v="P"/>
    <s v="-"/>
    <s v="+"/>
    <n v="11.16"/>
    <s v="-"/>
    <s v="-"/>
    <s v="-"/>
    <s v="-"/>
    <s v="-"/>
    <s v="-"/>
    <s v="-"/>
    <s v="-"/>
    <s v="P"/>
    <s v="P"/>
    <s v="-"/>
    <n v="2"/>
    <n v="1"/>
    <n v="2"/>
    <n v="1"/>
    <s v="-"/>
    <s v="-"/>
    <s v="-"/>
    <s v="-"/>
    <s v="-"/>
    <s v="-"/>
    <s v="-"/>
    <n v="6"/>
    <n v="6"/>
    <s v="-"/>
    <n v="1"/>
    <n v="1"/>
    <n v="2"/>
    <n v="2"/>
    <n v="8"/>
    <n v="8"/>
  </r>
  <r>
    <x v="7"/>
    <x v="167"/>
    <d v="1899-12-30T00:00:00"/>
    <s v="2ND"/>
    <d v="1899-12-30T20:00:00"/>
    <n v="2"/>
    <x v="7"/>
    <n v="0.02"/>
    <s v="P"/>
    <s v="P"/>
    <s v="P"/>
    <s v="-"/>
    <s v="+"/>
    <n v="11.43"/>
    <s v="-"/>
    <s v="-"/>
    <s v="-"/>
    <s v="-"/>
    <s v="-"/>
    <s v="-"/>
    <s v="-"/>
    <s v="-"/>
    <s v="P"/>
    <s v="P"/>
    <s v="-"/>
    <n v="2"/>
    <n v="1"/>
    <n v="2"/>
    <n v="1"/>
    <s v="-"/>
    <s v="-"/>
    <s v="-"/>
    <s v="-"/>
    <s v="-"/>
    <s v="-"/>
    <s v="-"/>
    <n v="6"/>
    <n v="6"/>
    <s v="-"/>
    <n v="1"/>
    <n v="1"/>
    <n v="2"/>
    <n v="2"/>
    <n v="8"/>
    <n v="8"/>
  </r>
  <r>
    <x v="7"/>
    <x v="167"/>
    <d v="1899-12-30T00:00:00"/>
    <s v="2ND"/>
    <d v="1899-12-30T21:00:00"/>
    <n v="2"/>
    <x v="7"/>
    <n v="0.01"/>
    <s v="P"/>
    <s v="P"/>
    <s v="P"/>
    <s v="-"/>
    <s v="+"/>
    <n v="11.37"/>
    <s v="-"/>
    <s v="-"/>
    <s v="-"/>
    <s v="-"/>
    <s v="-"/>
    <s v="-"/>
    <s v="-"/>
    <s v="-"/>
    <s v="P"/>
    <s v="P"/>
    <s v="-"/>
    <n v="2"/>
    <n v="1"/>
    <n v="2"/>
    <n v="1"/>
    <s v="-"/>
    <s v="-"/>
    <s v="-"/>
    <s v="-"/>
    <s v="-"/>
    <s v="-"/>
    <s v="-"/>
    <n v="6"/>
    <n v="6"/>
    <s v="-"/>
    <n v="1"/>
    <n v="1"/>
    <n v="2"/>
    <n v="2"/>
    <n v="8"/>
    <n v="8"/>
  </r>
  <r>
    <x v="7"/>
    <x v="167"/>
    <d v="2026-07-28T00:00:00"/>
    <s v="2ND"/>
    <d v="1899-12-30T14:00:00"/>
    <n v="3"/>
    <x v="42"/>
    <s v="-"/>
    <s v="P"/>
    <s v="P"/>
    <s v="P"/>
    <s v="+"/>
    <s v="+"/>
    <n v="12.64"/>
    <n v="11.26"/>
    <n v="0.34"/>
    <n v="63.4"/>
    <s v="-"/>
    <s v="-"/>
    <n v="31.1"/>
    <s v="-"/>
    <s v="-"/>
    <s v="P"/>
    <s v="P"/>
    <n v="1"/>
    <s v="-"/>
    <n v="1"/>
    <n v="2"/>
    <n v="1"/>
    <n v="1"/>
    <n v="2"/>
    <n v="2"/>
    <s v="-"/>
    <s v="-"/>
    <n v="2"/>
    <s v="-"/>
    <n v="11"/>
    <n v="11"/>
    <s v="-"/>
    <n v="1"/>
    <n v="1"/>
    <n v="2"/>
    <n v="2"/>
    <n v="13"/>
    <n v="13"/>
  </r>
  <r>
    <x v="7"/>
    <x v="167"/>
    <d v="2026-07-28T00:00:00"/>
    <s v="2ND"/>
    <d v="1899-12-30T15:00:00"/>
    <n v="3"/>
    <x v="42"/>
    <s v="-"/>
    <s v="P"/>
    <s v="P"/>
    <s v="P"/>
    <s v="+"/>
    <s v="+"/>
    <n v="12.69"/>
    <s v="-"/>
    <s v="-"/>
    <s v="-"/>
    <s v="-"/>
    <s v="-"/>
    <s v="-"/>
    <s v="-"/>
    <s v="-"/>
    <s v="P"/>
    <s v="P"/>
    <s v="-"/>
    <s v="-"/>
    <n v="1"/>
    <n v="2"/>
    <n v="1"/>
    <s v="-"/>
    <s v="-"/>
    <s v="-"/>
    <s v="-"/>
    <s v="-"/>
    <s v="-"/>
    <s v="-"/>
    <n v="4"/>
    <n v="4"/>
    <s v="-"/>
    <n v="1"/>
    <n v="1"/>
    <n v="2"/>
    <n v="2"/>
    <n v="6"/>
    <n v="6"/>
  </r>
  <r>
    <x v="7"/>
    <x v="167"/>
    <d v="2026-07-28T00:00:00"/>
    <s v="2ND"/>
    <d v="1899-12-30T16:00:00"/>
    <n v="3"/>
    <x v="42"/>
    <s v="-"/>
    <s v="P"/>
    <s v="P"/>
    <s v="P"/>
    <s v="+"/>
    <s v="+"/>
    <n v="12.87"/>
    <s v="-"/>
    <s v="-"/>
    <s v="-"/>
    <s v="-"/>
    <s v="-"/>
    <s v="-"/>
    <s v="-"/>
    <s v="-"/>
    <s v="P"/>
    <s v="P"/>
    <s v="-"/>
    <s v="-"/>
    <n v="1"/>
    <n v="2"/>
    <n v="1"/>
    <s v="-"/>
    <s v="-"/>
    <s v="-"/>
    <s v="-"/>
    <s v="-"/>
    <s v="-"/>
    <s v="-"/>
    <n v="4"/>
    <n v="4"/>
    <s v="-"/>
    <n v="1"/>
    <n v="1"/>
    <n v="2"/>
    <n v="2"/>
    <n v="6"/>
    <n v="6"/>
  </r>
  <r>
    <x v="7"/>
    <x v="167"/>
    <d v="1902-03-26T00:00:00"/>
    <s v="3RD"/>
    <d v="1899-12-30T22:00:00"/>
    <n v="2"/>
    <x v="7"/>
    <n v="0.01"/>
    <s v="P"/>
    <s v="P"/>
    <s v="P"/>
    <s v="-"/>
    <s v="+"/>
    <n v="11.26"/>
    <n v="9.8699999999999992"/>
    <n v="0.55000000000000004"/>
    <s v="-"/>
    <s v="-"/>
    <s v="-"/>
    <n v="27"/>
    <s v="-"/>
    <s v="-"/>
    <s v="P"/>
    <s v="P"/>
    <s v="-"/>
    <n v="2"/>
    <n v="1"/>
    <n v="2"/>
    <n v="1"/>
    <n v="1"/>
    <n v="2"/>
    <s v="-"/>
    <s v="-"/>
    <s v="-"/>
    <n v="2"/>
    <s v="-"/>
    <n v="11"/>
    <n v="11"/>
    <s v="-"/>
    <n v="1"/>
    <n v="1"/>
    <n v="2"/>
    <n v="2"/>
    <n v="13"/>
    <n v="13"/>
  </r>
  <r>
    <x v="7"/>
    <x v="167"/>
    <d v="1899-12-30T00:00:00"/>
    <s v="3RD"/>
    <d v="1899-12-30T23:00:00"/>
    <n v="2"/>
    <x v="7"/>
    <n v="0.01"/>
    <s v="P"/>
    <s v="P"/>
    <s v="P"/>
    <s v="-"/>
    <s v="+"/>
    <n v="11.38"/>
    <s v="-"/>
    <s v="-"/>
    <s v="-"/>
    <s v="-"/>
    <s v="-"/>
    <s v="-"/>
    <s v="-"/>
    <s v="-"/>
    <s v="P"/>
    <s v="P"/>
    <s v="-"/>
    <n v="2"/>
    <n v="1"/>
    <n v="2"/>
    <n v="1"/>
    <s v="-"/>
    <s v="-"/>
    <s v="-"/>
    <s v="-"/>
    <s v="-"/>
    <s v="-"/>
    <s v="-"/>
    <n v="6"/>
    <n v="6"/>
    <s v="-"/>
    <n v="1"/>
    <n v="1"/>
    <n v="2"/>
    <n v="2"/>
    <n v="8"/>
    <n v="8"/>
  </r>
  <r>
    <x v="7"/>
    <x v="167"/>
    <d v="1899-12-30T00:00:00"/>
    <s v="3RD"/>
    <d v="1899-12-31T00:00:00"/>
    <n v="2"/>
    <x v="7"/>
    <n v="0.01"/>
    <s v="P"/>
    <s v="P"/>
    <s v="P"/>
    <s v="-"/>
    <s v="+"/>
    <n v="11.43"/>
    <s v="-"/>
    <s v="-"/>
    <s v="-"/>
    <s v="-"/>
    <s v="-"/>
    <s v="-"/>
    <s v="-"/>
    <s v="-"/>
    <s v="P"/>
    <s v="P"/>
    <s v="-"/>
    <n v="2"/>
    <n v="1"/>
    <n v="2"/>
    <n v="1"/>
    <s v="-"/>
    <s v="-"/>
    <s v="-"/>
    <s v="-"/>
    <s v="-"/>
    <s v="-"/>
    <s v="-"/>
    <n v="6"/>
    <n v="6"/>
    <s v="-"/>
    <n v="1"/>
    <n v="1"/>
    <n v="2"/>
    <n v="2"/>
    <n v="8"/>
    <n v="8"/>
  </r>
  <r>
    <x v="7"/>
    <x v="167"/>
    <d v="1899-12-30T00:00:00"/>
    <s v="3RD"/>
    <d v="1899-12-31T01:00:00"/>
    <n v="2"/>
    <x v="7"/>
    <n v="0.01"/>
    <s v="P"/>
    <s v="P"/>
    <s v="P"/>
    <s v="-"/>
    <s v="+"/>
    <n v="11.42"/>
    <s v="-"/>
    <s v="-"/>
    <s v="-"/>
    <s v="-"/>
    <s v="-"/>
    <s v="-"/>
    <s v="-"/>
    <s v="-"/>
    <s v="P"/>
    <s v="P"/>
    <s v="-"/>
    <n v="2"/>
    <n v="1"/>
    <n v="2"/>
    <n v="1"/>
    <s v="-"/>
    <s v="-"/>
    <s v="-"/>
    <s v="-"/>
    <s v="-"/>
    <s v="-"/>
    <s v="-"/>
    <n v="6"/>
    <n v="6"/>
    <s v="-"/>
    <n v="1"/>
    <n v="1"/>
    <n v="2"/>
    <n v="2"/>
    <n v="8"/>
    <n v="8"/>
  </r>
  <r>
    <x v="7"/>
    <x v="167"/>
    <d v="1899-12-30T00:00:00"/>
    <s v="3RD"/>
    <d v="1899-12-31T02:00:00"/>
    <n v="2"/>
    <x v="7"/>
    <n v="0.01"/>
    <s v="P"/>
    <s v="P"/>
    <s v="P"/>
    <s v="-"/>
    <s v="+"/>
    <n v="11.34"/>
    <s v="-"/>
    <s v="-"/>
    <s v="-"/>
    <s v="-"/>
    <s v="-"/>
    <s v="-"/>
    <s v="-"/>
    <s v="-"/>
    <s v="P"/>
    <s v="P"/>
    <s v="-"/>
    <n v="2"/>
    <n v="1"/>
    <n v="2"/>
    <n v="1"/>
    <s v="-"/>
    <s v="-"/>
    <s v="-"/>
    <s v="-"/>
    <s v="-"/>
    <s v="-"/>
    <s v="-"/>
    <n v="6"/>
    <n v="6"/>
    <s v="-"/>
    <n v="1"/>
    <n v="1"/>
    <n v="2"/>
    <n v="2"/>
    <n v="8"/>
    <n v="8"/>
  </r>
  <r>
    <x v="7"/>
    <x v="167"/>
    <d v="1902-03-26T00:00:00"/>
    <s v="3RD"/>
    <d v="1899-12-31T04:00:00"/>
    <n v="2"/>
    <x v="14"/>
    <n v="0.01"/>
    <s v="P"/>
    <s v="P"/>
    <s v="P"/>
    <s v="-"/>
    <s v="+"/>
    <n v="11.44"/>
    <n v="10.53"/>
    <s v="-"/>
    <s v="-"/>
    <s v="-"/>
    <s v="-"/>
    <n v="29.3"/>
    <s v="-"/>
    <s v="-"/>
    <s v="P"/>
    <s v="P"/>
    <s v="-"/>
    <n v="2"/>
    <n v="1"/>
    <n v="2"/>
    <n v="1"/>
    <n v="1"/>
    <s v="-"/>
    <s v="-"/>
    <s v="-"/>
    <s v="-"/>
    <n v="0"/>
    <s v="-"/>
    <n v="7"/>
    <n v="9"/>
    <s v="-"/>
    <n v="1"/>
    <n v="1"/>
    <n v="2"/>
    <n v="2"/>
    <n v="9"/>
    <n v="11"/>
  </r>
  <r>
    <x v="7"/>
    <x v="167"/>
    <d v="1899-12-30T00:00:00"/>
    <s v="3RD"/>
    <d v="1899-12-31T05:00:00"/>
    <n v="2"/>
    <x v="14"/>
    <n v="0.02"/>
    <s v="P"/>
    <s v="P"/>
    <s v="P"/>
    <s v="-"/>
    <s v="+"/>
    <n v="11.37"/>
    <s v="-"/>
    <s v="-"/>
    <s v="-"/>
    <s v="-"/>
    <s v="-"/>
    <s v="-"/>
    <s v="-"/>
    <s v="-"/>
    <s v="P"/>
    <s v="P"/>
    <s v="-"/>
    <n v="2"/>
    <n v="1"/>
    <n v="2"/>
    <n v="1"/>
    <s v="-"/>
    <s v="-"/>
    <s v="-"/>
    <s v="-"/>
    <s v="-"/>
    <s v="-"/>
    <s v="-"/>
    <n v="6"/>
    <n v="6"/>
    <s v="-"/>
    <n v="1"/>
    <n v="1"/>
    <n v="2"/>
    <n v="2"/>
    <n v="8"/>
    <n v="8"/>
  </r>
  <r>
    <x v="7"/>
    <x v="167"/>
    <d v="2026-07-22T00:00:00"/>
    <s v="3RD"/>
    <d v="1899-12-30T23:00:00"/>
    <n v="3"/>
    <x v="11"/>
    <n v="0.01"/>
    <s v="P"/>
    <s v="P"/>
    <s v="P"/>
    <s v="+"/>
    <s v="+"/>
    <n v="12.71"/>
    <n v="12.73"/>
    <n v="0.61"/>
    <n v="65.8"/>
    <n v="14"/>
    <n v="1219"/>
    <n v="35.6"/>
    <s v="-"/>
    <s v="-"/>
    <s v="P"/>
    <s v="P"/>
    <n v="1"/>
    <n v="2"/>
    <n v="1"/>
    <n v="2"/>
    <n v="1"/>
    <n v="1"/>
    <n v="2"/>
    <n v="2"/>
    <n v="1"/>
    <n v="1"/>
    <n v="2"/>
    <s v="-"/>
    <n v="15"/>
    <n v="15"/>
    <s v="-"/>
    <n v="1"/>
    <n v="1"/>
    <n v="2"/>
    <n v="2"/>
    <n v="17"/>
    <n v="17"/>
  </r>
  <r>
    <x v="7"/>
    <x v="167"/>
    <d v="2026-07-22T00:00:00"/>
    <s v="3RD"/>
    <d v="1899-12-31T01:00:00"/>
    <n v="3"/>
    <x v="1"/>
    <n v="0.01"/>
    <s v="P"/>
    <s v="P"/>
    <s v="P"/>
    <s v="+"/>
    <s v="+"/>
    <n v="12.66"/>
    <n v="12.73"/>
    <n v="0.55000000000000004"/>
    <s v="-"/>
    <s v="-"/>
    <s v="-"/>
    <n v="35.5"/>
    <s v="-"/>
    <s v="-"/>
    <s v="P"/>
    <s v="P"/>
    <s v="85% 10% 5%"/>
    <n v="2"/>
    <n v="1"/>
    <n v="2"/>
    <n v="1"/>
    <n v="1"/>
    <n v="2"/>
    <s v="-"/>
    <s v="-"/>
    <s v="-"/>
    <n v="2"/>
    <s v="-"/>
    <n v="11"/>
    <n v="11"/>
    <s v="-"/>
    <n v="1"/>
    <n v="1"/>
    <n v="2"/>
    <n v="2"/>
    <n v="13"/>
    <n v="13"/>
  </r>
  <r>
    <x v="7"/>
    <x v="167"/>
    <d v="2026-07-22T00:00:00"/>
    <s v="3RD"/>
    <d v="1899-12-31T02:00:00"/>
    <n v="3"/>
    <x v="1"/>
    <n v="0.01"/>
    <s v="P"/>
    <s v="P"/>
    <s v="P"/>
    <s v="+"/>
    <s v="+"/>
    <n v="12.66"/>
    <s v="-"/>
    <s v="-"/>
    <s v="-"/>
    <s v="-"/>
    <s v="-"/>
    <s v="-"/>
    <s v="-"/>
    <s v="-"/>
    <s v="P"/>
    <s v="P"/>
    <s v="-"/>
    <n v="2"/>
    <n v="1"/>
    <n v="2"/>
    <n v="1"/>
    <s v="-"/>
    <s v="-"/>
    <s v="-"/>
    <s v="-"/>
    <s v="-"/>
    <s v="-"/>
    <s v="-"/>
    <n v="6"/>
    <n v="6"/>
    <s v="-"/>
    <n v="1"/>
    <n v="1"/>
    <n v="2"/>
    <n v="2"/>
    <n v="8"/>
    <n v="8"/>
  </r>
  <r>
    <x v="7"/>
    <x v="167"/>
    <d v="2026-07-22T00:00:00"/>
    <s v="3RD"/>
    <d v="1899-12-31T04:00:00"/>
    <n v="3"/>
    <x v="1"/>
    <n v="0.01"/>
    <s v="P"/>
    <s v="P"/>
    <s v="P"/>
    <s v="+"/>
    <s v="+"/>
    <n v="12.88"/>
    <s v="-"/>
    <s v="-"/>
    <s v="-"/>
    <s v="-"/>
    <s v="-"/>
    <s v="-"/>
    <s v="-"/>
    <s v="-"/>
    <s v="P"/>
    <s v="P"/>
    <s v="-"/>
    <n v="2"/>
    <n v="1"/>
    <n v="2"/>
    <n v="1"/>
    <s v="-"/>
    <s v="-"/>
    <s v="-"/>
    <s v="-"/>
    <s v="-"/>
    <s v="-"/>
    <s v="-"/>
    <n v="6"/>
    <n v="6"/>
    <s v="-"/>
    <n v="1"/>
    <n v="1"/>
    <n v="2"/>
    <n v="2"/>
    <n v="8"/>
    <n v="8"/>
  </r>
  <r>
    <x v="7"/>
    <x v="167"/>
    <d v="2026-07-22T00:00:00"/>
    <s v="3RD"/>
    <d v="1899-12-31T05:00:00"/>
    <n v="3"/>
    <x v="1"/>
    <n v="0.01"/>
    <s v="P"/>
    <s v="P"/>
    <s v="P"/>
    <s v="+"/>
    <s v="+"/>
    <n v="12.59"/>
    <s v="-"/>
    <s v="-"/>
    <s v="-"/>
    <s v="-"/>
    <s v="-"/>
    <s v="-"/>
    <s v="-"/>
    <s v="-"/>
    <s v="P"/>
    <s v="P"/>
    <s v="-"/>
    <n v="2"/>
    <n v="1"/>
    <n v="2"/>
    <n v="1"/>
    <s v="-"/>
    <s v="-"/>
    <s v="-"/>
    <s v="-"/>
    <s v="-"/>
    <s v="-"/>
    <s v="-"/>
    <n v="6"/>
    <n v="6"/>
    <s v="-"/>
    <n v="1"/>
    <n v="1"/>
    <n v="2"/>
    <n v="2"/>
    <n v="8"/>
    <n v="8"/>
  </r>
  <r>
    <x v="7"/>
    <x v="168"/>
    <d v="2026-07-29T00:00:00"/>
    <s v="1ST"/>
    <s v="06:00"/>
    <n v="1"/>
    <x v="20"/>
    <s v="-"/>
    <s v="P"/>
    <s v="P"/>
    <s v="P"/>
    <s v="-"/>
    <s v="-"/>
    <n v="12.58"/>
    <n v="12.7"/>
    <n v="0.61"/>
    <n v="66.3"/>
    <s v="-"/>
    <s v="-"/>
    <n v="35.58"/>
    <s v="-"/>
    <s v="-"/>
    <s v="P"/>
    <s v="P"/>
    <s v="80% 20%"/>
    <s v="-"/>
    <n v="1"/>
    <n v="2"/>
    <n v="1"/>
    <n v="1"/>
    <n v="2"/>
    <n v="2"/>
    <s v="-"/>
    <s v="-"/>
    <n v="2"/>
    <s v="-"/>
    <n v="11"/>
    <n v="11"/>
    <s v="-"/>
    <n v="1"/>
    <n v="1"/>
    <n v="2"/>
    <n v="2"/>
    <n v="13"/>
    <n v="13"/>
  </r>
  <r>
    <x v="7"/>
    <x v="168"/>
    <d v="2026-07-29T00:00:00"/>
    <s v="1ST"/>
    <s v="07:00"/>
    <n v="1"/>
    <x v="20"/>
    <n v="0.01"/>
    <s v="P"/>
    <s v="P"/>
    <s v="P"/>
    <s v="-"/>
    <s v="-"/>
    <n v="12.47"/>
    <s v="-"/>
    <s v="-"/>
    <s v="-"/>
    <s v="-"/>
    <s v="-"/>
    <s v="-"/>
    <s v="-"/>
    <s v="-"/>
    <s v="P"/>
    <s v="P"/>
    <s v="-"/>
    <n v="2"/>
    <n v="1"/>
    <n v="2"/>
    <n v="1"/>
    <s v="-"/>
    <s v="-"/>
    <s v="-"/>
    <s v="-"/>
    <s v="-"/>
    <s v="-"/>
    <s v="-"/>
    <n v="6"/>
    <n v="6"/>
    <s v="-"/>
    <n v="1"/>
    <n v="1"/>
    <n v="2"/>
    <n v="2"/>
    <n v="8"/>
    <n v="8"/>
  </r>
  <r>
    <x v="7"/>
    <x v="168"/>
    <d v="2026-07-29T00:00:00"/>
    <s v="1ST"/>
    <s v="08:00"/>
    <n v="1"/>
    <x v="20"/>
    <s v="-"/>
    <s v="P"/>
    <s v="P"/>
    <s v="P"/>
    <s v="-"/>
    <s v="-"/>
    <n v="12.46"/>
    <s v="-"/>
    <s v="-"/>
    <s v="-"/>
    <s v="-"/>
    <s v="-"/>
    <s v="-"/>
    <s v="-"/>
    <s v="-"/>
    <s v="P"/>
    <s v="P"/>
    <s v="-"/>
    <s v="-"/>
    <n v="1"/>
    <n v="2"/>
    <n v="1"/>
    <s v="-"/>
    <s v="-"/>
    <s v="-"/>
    <s v="-"/>
    <s v="-"/>
    <s v="-"/>
    <s v="-"/>
    <n v="4"/>
    <n v="4"/>
    <s v="-"/>
    <n v="1"/>
    <n v="1"/>
    <n v="2"/>
    <n v="2"/>
    <n v="6"/>
    <n v="6"/>
  </r>
  <r>
    <x v="7"/>
    <x v="168"/>
    <d v="2026-07-29T00:00:00"/>
    <s v="1ST"/>
    <s v="09:00"/>
    <n v="1"/>
    <x v="20"/>
    <s v="-"/>
    <s v="P"/>
    <s v="P"/>
    <s v="P"/>
    <s v="-"/>
    <s v="-"/>
    <n v="12.52"/>
    <s v="-"/>
    <s v="-"/>
    <s v="-"/>
    <s v="-"/>
    <s v="-"/>
    <s v="-"/>
    <s v="-"/>
    <s v="-"/>
    <s v="P"/>
    <s v="P"/>
    <s v="-"/>
    <s v="-"/>
    <n v="1"/>
    <n v="2"/>
    <n v="1"/>
    <s v="-"/>
    <s v="-"/>
    <s v="-"/>
    <s v="-"/>
    <s v="-"/>
    <s v="-"/>
    <s v="-"/>
    <n v="4"/>
    <n v="4"/>
    <s v="-"/>
    <n v="1"/>
    <n v="1"/>
    <n v="2"/>
    <n v="2"/>
    <n v="6"/>
    <n v="6"/>
  </r>
  <r>
    <x v="7"/>
    <x v="168"/>
    <d v="2026-07-29T00:00:00"/>
    <s v="1ST"/>
    <s v="10:00"/>
    <n v="1"/>
    <x v="20"/>
    <s v="-"/>
    <s v="P"/>
    <s v="P"/>
    <s v="P"/>
    <s v="-"/>
    <s v="-"/>
    <n v="12.55"/>
    <s v="-"/>
    <s v="-"/>
    <s v="-"/>
    <s v="-"/>
    <s v="-"/>
    <s v="-"/>
    <s v="-"/>
    <s v="-"/>
    <s v="P"/>
    <s v="P"/>
    <s v="-"/>
    <s v="-"/>
    <n v="1"/>
    <n v="2"/>
    <n v="1"/>
    <s v="-"/>
    <s v="-"/>
    <s v="-"/>
    <s v="-"/>
    <s v="-"/>
    <s v="-"/>
    <s v="-"/>
    <n v="4"/>
    <n v="4"/>
    <s v="-"/>
    <n v="1"/>
    <n v="1"/>
    <n v="2"/>
    <n v="2"/>
    <n v="6"/>
    <n v="6"/>
  </r>
  <r>
    <x v="7"/>
    <x v="168"/>
    <d v="2026-07-29T00:00:00"/>
    <s v="1ST"/>
    <s v="11:00"/>
    <n v="1"/>
    <x v="20"/>
    <s v="-"/>
    <s v="P"/>
    <s v="P"/>
    <s v="P"/>
    <s v="-"/>
    <s v="-"/>
    <n v="11.93"/>
    <s v="-"/>
    <s v="-"/>
    <s v="-"/>
    <s v="-"/>
    <s v="-"/>
    <s v="-"/>
    <s v="-"/>
    <s v="-"/>
    <s v="P"/>
    <s v="P"/>
    <s v="-"/>
    <s v="-"/>
    <n v="1"/>
    <n v="2"/>
    <n v="1"/>
    <s v="-"/>
    <s v="-"/>
    <s v="-"/>
    <s v="-"/>
    <s v="-"/>
    <s v="-"/>
    <s v="-"/>
    <n v="4"/>
    <n v="4"/>
    <s v="-"/>
    <n v="1"/>
    <n v="1"/>
    <n v="2"/>
    <n v="2"/>
    <n v="6"/>
    <n v="6"/>
  </r>
  <r>
    <x v="7"/>
    <x v="168"/>
    <d v="2026-07-29T00:00:00"/>
    <s v="1ST"/>
    <s v="12:00"/>
    <n v="1"/>
    <x v="20"/>
    <s v="-"/>
    <s v="P"/>
    <s v="P"/>
    <s v="P"/>
    <s v="-"/>
    <s v="-"/>
    <n v="12.91"/>
    <s v="-"/>
    <s v="-"/>
    <s v="-"/>
    <s v="-"/>
    <s v="-"/>
    <s v="-"/>
    <s v="-"/>
    <s v="-"/>
    <s v="P"/>
    <s v="P"/>
    <s v="-"/>
    <s v="-"/>
    <n v="1"/>
    <n v="2"/>
    <n v="1"/>
    <s v="-"/>
    <s v="-"/>
    <s v="-"/>
    <s v="-"/>
    <s v="-"/>
    <s v="-"/>
    <s v="-"/>
    <n v="4"/>
    <n v="4"/>
    <s v="-"/>
    <n v="1"/>
    <n v="1"/>
    <n v="2"/>
    <n v="2"/>
    <n v="6"/>
    <n v="6"/>
  </r>
  <r>
    <x v="7"/>
    <x v="168"/>
    <d v="1902-03-26T00:00:00"/>
    <s v="1ST"/>
    <s v="07:00"/>
    <n v="2"/>
    <x v="14"/>
    <s v="-"/>
    <s v="P"/>
    <s v="P"/>
    <s v="P"/>
    <s v="-"/>
    <s v="+"/>
    <n v="11.52"/>
    <n v="10.58"/>
    <n v="0.56000000000000005"/>
    <n v="55.5"/>
    <s v="-"/>
    <s v="-"/>
    <n v="29.3"/>
    <s v="-"/>
    <s v="-"/>
    <s v="P"/>
    <s v="P"/>
    <s v="-"/>
    <s v="-"/>
    <n v="1"/>
    <n v="2"/>
    <n v="1"/>
    <n v="1"/>
    <n v="2"/>
    <n v="0"/>
    <s v="-"/>
    <s v="-"/>
    <n v="0"/>
    <s v="-"/>
    <n v="7"/>
    <n v="11"/>
    <s v="-"/>
    <n v="1"/>
    <n v="1"/>
    <n v="2"/>
    <n v="2"/>
    <n v="9"/>
    <n v="13"/>
  </r>
  <r>
    <x v="7"/>
    <x v="168"/>
    <d v="1899-12-30T00:00:00"/>
    <s v="1ST"/>
    <s v="08:00"/>
    <n v="2"/>
    <x v="14"/>
    <s v="-"/>
    <s v="P"/>
    <s v="P"/>
    <s v="P"/>
    <s v="-"/>
    <s v="+"/>
    <n v="11.26"/>
    <s v="-"/>
    <s v="-"/>
    <s v="-"/>
    <s v="-"/>
    <s v="-"/>
    <s v="-"/>
    <s v="-"/>
    <s v="-"/>
    <s v="P"/>
    <s v="P"/>
    <n v="1"/>
    <s v="-"/>
    <n v="1"/>
    <n v="2"/>
    <n v="1"/>
    <s v="-"/>
    <s v="-"/>
    <s v="-"/>
    <s v="-"/>
    <s v="-"/>
    <s v="-"/>
    <s v="-"/>
    <n v="4"/>
    <n v="4"/>
    <s v="-"/>
    <n v="1"/>
    <n v="1"/>
    <n v="2"/>
    <n v="2"/>
    <n v="6"/>
    <n v="6"/>
  </r>
  <r>
    <x v="7"/>
    <x v="168"/>
    <d v="1899-12-30T00:00:00"/>
    <s v="1ST"/>
    <s v="09:00"/>
    <n v="2"/>
    <x v="5"/>
    <s v="-"/>
    <s v="P"/>
    <s v="P"/>
    <s v="P"/>
    <s v="-"/>
    <s v="+"/>
    <n v="11.64"/>
    <n v="9.27"/>
    <s v="-"/>
    <n v="56.3"/>
    <s v="-"/>
    <s v="-"/>
    <n v="25.2"/>
    <s v="-"/>
    <s v="-"/>
    <s v="P"/>
    <s v="P"/>
    <s v="-"/>
    <s v="-"/>
    <n v="1"/>
    <n v="2"/>
    <n v="1"/>
    <n v="1"/>
    <s v="-"/>
    <n v="2"/>
    <s v="-"/>
    <s v="-"/>
    <n v="2"/>
    <s v="-"/>
    <n v="9"/>
    <n v="9"/>
    <s v="-"/>
    <n v="1"/>
    <n v="1"/>
    <n v="2"/>
    <n v="2"/>
    <n v="11"/>
    <n v="11"/>
  </r>
  <r>
    <x v="7"/>
    <x v="168"/>
    <d v="1899-12-30T00:00:00"/>
    <s v="1ST"/>
    <s v="10:00"/>
    <n v="2"/>
    <x v="5"/>
    <s v="-"/>
    <s v="P"/>
    <s v="P"/>
    <s v="P"/>
    <s v="-"/>
    <s v="+"/>
    <n v="11.77"/>
    <s v="-"/>
    <s v="-"/>
    <s v="-"/>
    <s v="-"/>
    <s v="-"/>
    <s v="-"/>
    <s v="-"/>
    <s v="-"/>
    <s v="P"/>
    <s v="P"/>
    <s v="-"/>
    <s v="-"/>
    <n v="1"/>
    <n v="2"/>
    <n v="1"/>
    <s v="-"/>
    <s v="-"/>
    <s v="-"/>
    <s v="-"/>
    <s v="-"/>
    <s v="-"/>
    <s v="-"/>
    <n v="4"/>
    <n v="4"/>
    <s v="-"/>
    <n v="1"/>
    <n v="1"/>
    <n v="2"/>
    <n v="2"/>
    <n v="6"/>
    <n v="6"/>
  </r>
  <r>
    <x v="7"/>
    <x v="168"/>
    <d v="1899-12-30T00:00:00"/>
    <s v="1ST"/>
    <s v="12:00"/>
    <n v="2"/>
    <x v="5"/>
    <s v="-"/>
    <s v="P"/>
    <s v="P"/>
    <s v="P"/>
    <s v="-"/>
    <s v="+"/>
    <n v="11.84"/>
    <s v="-"/>
    <s v="-"/>
    <s v="-"/>
    <s v="-"/>
    <s v="-"/>
    <s v="-"/>
    <s v="-"/>
    <s v="-"/>
    <s v="P"/>
    <s v="P"/>
    <s v="-"/>
    <s v="-"/>
    <n v="1"/>
    <n v="2"/>
    <n v="1"/>
    <s v="-"/>
    <s v="-"/>
    <s v="-"/>
    <s v="-"/>
    <s v="-"/>
    <s v="-"/>
    <s v="-"/>
    <n v="4"/>
    <n v="4"/>
    <s v="-"/>
    <n v="1"/>
    <n v="1"/>
    <n v="2"/>
    <n v="2"/>
    <n v="6"/>
    <n v="6"/>
  </r>
  <r>
    <x v="7"/>
    <x v="168"/>
    <d v="2026-07-22T00:00:00"/>
    <s v="1ST"/>
    <s v="06:00"/>
    <n v="3"/>
    <x v="1"/>
    <s v="-"/>
    <s v="P"/>
    <s v="P"/>
    <s v="P"/>
    <s v="+"/>
    <s v="+"/>
    <n v="12.68"/>
    <n v="12.87"/>
    <n v="0.62"/>
    <n v="64"/>
    <s v="-"/>
    <s v="-"/>
    <n v="36.04"/>
    <s v="-"/>
    <s v="-"/>
    <s v="P"/>
    <s v="P"/>
    <s v="85% 5% 10%"/>
    <s v="-"/>
    <n v="1"/>
    <n v="2"/>
    <n v="1"/>
    <n v="1"/>
    <n v="2"/>
    <n v="2"/>
    <s v="-"/>
    <s v="-"/>
    <n v="2"/>
    <s v="-"/>
    <n v="11"/>
    <n v="11"/>
    <s v="-"/>
    <n v="1"/>
    <n v="1"/>
    <n v="2"/>
    <n v="2"/>
    <n v="13"/>
    <n v="13"/>
  </r>
  <r>
    <x v="7"/>
    <x v="168"/>
    <d v="2026-07-22T00:00:00"/>
    <s v="1ST"/>
    <s v="07:00"/>
    <n v="3"/>
    <x v="1"/>
    <s v="-"/>
    <s v="P"/>
    <s v="P"/>
    <s v="P"/>
    <s v="+"/>
    <s v="+"/>
    <n v="12.77"/>
    <s v="-"/>
    <s v="-"/>
    <s v="-"/>
    <s v="-"/>
    <s v="-"/>
    <s v="-"/>
    <s v="-"/>
    <s v="-"/>
    <s v="P"/>
    <s v="P"/>
    <s v="-"/>
    <s v="-"/>
    <n v="1"/>
    <n v="2"/>
    <n v="1"/>
    <s v="-"/>
    <s v="-"/>
    <s v="-"/>
    <s v="-"/>
    <s v="-"/>
    <s v="-"/>
    <s v="-"/>
    <n v="4"/>
    <n v="4"/>
    <s v="-"/>
    <n v="1"/>
    <n v="1"/>
    <n v="2"/>
    <n v="2"/>
    <n v="6"/>
    <n v="6"/>
  </r>
  <r>
    <x v="7"/>
    <x v="168"/>
    <d v="2026-07-23T00:00:00"/>
    <s v="1ST"/>
    <s v="08:00"/>
    <n v="3"/>
    <x v="1"/>
    <n v="0.01"/>
    <s v="P"/>
    <s v="P"/>
    <s v="P"/>
    <s v="+"/>
    <s v="+"/>
    <n v="12.66"/>
    <n v="12.3"/>
    <s v="-"/>
    <s v="-"/>
    <s v="-"/>
    <s v="-"/>
    <n v="34.299999999999997"/>
    <s v="-"/>
    <s v="-"/>
    <s v="P"/>
    <s v="P"/>
    <s v="-"/>
    <n v="2"/>
    <n v="1"/>
    <n v="2"/>
    <n v="1"/>
    <n v="1"/>
    <s v="-"/>
    <s v="-"/>
    <s v="-"/>
    <s v="-"/>
    <n v="2"/>
    <s v="-"/>
    <n v="9"/>
    <n v="9"/>
    <s v="-"/>
    <n v="1"/>
    <n v="1"/>
    <n v="2"/>
    <n v="2"/>
    <n v="11"/>
    <n v="11"/>
  </r>
  <r>
    <x v="7"/>
    <x v="168"/>
    <d v="2026-07-23T00:00:00"/>
    <s v="1ST"/>
    <s v="09:00"/>
    <n v="3"/>
    <x v="1"/>
    <s v="-"/>
    <s v="P"/>
    <s v="P"/>
    <s v="P"/>
    <s v="+"/>
    <s v="+"/>
    <n v="12.44"/>
    <s v="-"/>
    <s v="-"/>
    <s v="-"/>
    <s v="-"/>
    <s v="-"/>
    <s v="-"/>
    <s v="-"/>
    <s v="-"/>
    <s v="P"/>
    <s v="P"/>
    <s v="-"/>
    <s v="-"/>
    <n v="1"/>
    <n v="2"/>
    <n v="1"/>
    <s v="-"/>
    <s v="-"/>
    <s v="-"/>
    <s v="-"/>
    <s v="-"/>
    <s v="-"/>
    <s v="-"/>
    <n v="4"/>
    <n v="4"/>
    <s v="-"/>
    <n v="1"/>
    <n v="1"/>
    <n v="2"/>
    <n v="2"/>
    <n v="6"/>
    <n v="6"/>
  </r>
  <r>
    <x v="7"/>
    <x v="168"/>
    <d v="2026-07-23T00:00:00"/>
    <s v="1ST"/>
    <s v="10:00"/>
    <n v="3"/>
    <x v="1"/>
    <s v="-"/>
    <s v="P"/>
    <s v="P"/>
    <s v="P"/>
    <s v="+"/>
    <s v="+"/>
    <n v="12.44"/>
    <s v="-"/>
    <s v="-"/>
    <s v="-"/>
    <s v="-"/>
    <s v="-"/>
    <s v="-"/>
    <s v="-"/>
    <s v="-"/>
    <s v="P"/>
    <s v="P"/>
    <s v="-"/>
    <s v="-"/>
    <n v="1"/>
    <n v="2"/>
    <n v="1"/>
    <s v="-"/>
    <s v="-"/>
    <s v="-"/>
    <s v="-"/>
    <s v="-"/>
    <s v="-"/>
    <s v="-"/>
    <n v="4"/>
    <n v="4"/>
    <s v="-"/>
    <n v="1"/>
    <n v="1"/>
    <n v="2"/>
    <n v="2"/>
    <n v="6"/>
    <n v="6"/>
  </r>
  <r>
    <x v="7"/>
    <x v="168"/>
    <d v="2026-07-23T00:00:00"/>
    <s v="1ST"/>
    <s v="11:00"/>
    <n v="3"/>
    <x v="1"/>
    <s v="-"/>
    <s v="P"/>
    <s v="P"/>
    <s v="P"/>
    <s v="+"/>
    <s v="+"/>
    <n v="12.71"/>
    <s v="-"/>
    <s v="-"/>
    <s v="-"/>
    <s v="-"/>
    <s v="-"/>
    <s v="-"/>
    <s v="-"/>
    <s v="-"/>
    <s v="P"/>
    <s v="P"/>
    <s v="-"/>
    <s v="-"/>
    <n v="1"/>
    <n v="2"/>
    <n v="1"/>
    <s v="-"/>
    <s v="-"/>
    <s v="-"/>
    <s v="-"/>
    <s v="-"/>
    <s v="-"/>
    <s v="-"/>
    <n v="4"/>
    <n v="4"/>
    <s v="-"/>
    <n v="1"/>
    <n v="1"/>
    <n v="2"/>
    <n v="2"/>
    <n v="6"/>
    <n v="6"/>
  </r>
  <r>
    <x v="7"/>
    <x v="168"/>
    <d v="2026-07-23T00:00:00"/>
    <s v="1ST"/>
    <s v="12:00"/>
    <n v="3"/>
    <x v="1"/>
    <s v="-"/>
    <s v="P"/>
    <s v="P"/>
    <s v="P"/>
    <s v="+"/>
    <s v="+"/>
    <n v="12.72"/>
    <s v="-"/>
    <s v="-"/>
    <s v="-"/>
    <s v="-"/>
    <s v="-"/>
    <s v="-"/>
    <s v="-"/>
    <s v="-"/>
    <s v="P"/>
    <s v="P"/>
    <s v="-"/>
    <s v="-"/>
    <n v="1"/>
    <n v="2"/>
    <n v="1"/>
    <s v="-"/>
    <s v="-"/>
    <s v="-"/>
    <s v="-"/>
    <s v="-"/>
    <s v="-"/>
    <s v="-"/>
    <n v="4"/>
    <n v="4"/>
    <s v="-"/>
    <n v="1"/>
    <n v="1"/>
    <n v="2"/>
    <n v="2"/>
    <n v="6"/>
    <n v="6"/>
  </r>
  <r>
    <x v="7"/>
    <x v="168"/>
    <d v="2026-08-05T00:00:00"/>
    <s v="1ST"/>
    <s v="07:00"/>
    <s v="Retail"/>
    <x v="3"/>
    <s v="-"/>
    <s v="-"/>
    <s v="-"/>
    <s v="-"/>
    <s v="-"/>
    <s v="-"/>
    <n v="15.1"/>
    <s v="-"/>
    <s v="-"/>
    <s v="-"/>
    <s v="-"/>
    <s v="-"/>
    <s v="-"/>
    <s v="-"/>
    <s v="-"/>
    <s v="-"/>
    <s v="-"/>
    <s v="-"/>
    <s v="-"/>
    <s v="-"/>
    <s v="-"/>
    <n v="1"/>
    <s v="-"/>
    <s v="-"/>
    <s v="-"/>
    <s v="-"/>
    <s v="-"/>
    <s v="-"/>
    <s v="-"/>
    <n v="1"/>
    <n v="1"/>
    <s v="-"/>
    <s v="-"/>
    <s v="-"/>
    <n v="0"/>
    <n v="0"/>
    <n v="1"/>
    <n v="1"/>
  </r>
  <r>
    <x v="7"/>
    <x v="168"/>
    <d v="2026-07-29T00:00:00"/>
    <s v="2ND"/>
    <d v="1899-12-30T14:00:00"/>
    <n v="1"/>
    <x v="20"/>
    <s v="-"/>
    <s v="P"/>
    <s v="P"/>
    <s v="P"/>
    <s v="-"/>
    <s v="-"/>
    <n v="13.04"/>
    <n v="12.8"/>
    <s v="-"/>
    <s v="-"/>
    <s v="-"/>
    <s v="-"/>
    <n v="35"/>
    <s v="-"/>
    <s v="-"/>
    <s v="P"/>
    <s v="P"/>
    <s v="80% 20%"/>
    <s v="-"/>
    <n v="1"/>
    <n v="2"/>
    <n v="1"/>
    <n v="1"/>
    <s v="-"/>
    <s v="-"/>
    <s v="-"/>
    <s v="-"/>
    <n v="2"/>
    <s v="-"/>
    <n v="7"/>
    <n v="7"/>
    <s v="-"/>
    <n v="1"/>
    <n v="1"/>
    <n v="2"/>
    <n v="2"/>
    <n v="9"/>
    <n v="9"/>
  </r>
  <r>
    <x v="7"/>
    <x v="168"/>
    <d v="2026-07-29T00:00:00"/>
    <s v="2ND"/>
    <d v="1899-12-30T15:00:00"/>
    <n v="1"/>
    <x v="20"/>
    <s v="-"/>
    <s v="P"/>
    <s v="P"/>
    <s v="P"/>
    <s v="-"/>
    <s v="-"/>
    <n v="12.68"/>
    <s v="-"/>
    <s v="-"/>
    <s v="-"/>
    <s v="-"/>
    <s v="-"/>
    <s v="-"/>
    <s v="-"/>
    <s v="-"/>
    <s v="P"/>
    <s v="P"/>
    <s v="-"/>
    <s v="-"/>
    <n v="1"/>
    <n v="2"/>
    <n v="1"/>
    <s v="-"/>
    <s v="-"/>
    <s v="-"/>
    <s v="-"/>
    <s v="-"/>
    <s v="-"/>
    <s v="-"/>
    <n v="4"/>
    <n v="4"/>
    <s v="-"/>
    <n v="1"/>
    <n v="1"/>
    <n v="2"/>
    <n v="2"/>
    <n v="6"/>
    <n v="6"/>
  </r>
  <r>
    <x v="7"/>
    <x v="168"/>
    <d v="2026-07-29T00:00:00"/>
    <s v="2ND"/>
    <d v="1899-12-30T16:00:00"/>
    <n v="1"/>
    <x v="20"/>
    <s v="-"/>
    <s v="P"/>
    <s v="P"/>
    <s v="P"/>
    <s v="-"/>
    <s v="-"/>
    <n v="12.74"/>
    <s v="-"/>
    <s v="-"/>
    <s v="-"/>
    <s v="-"/>
    <s v="-"/>
    <s v="-"/>
    <s v="-"/>
    <s v="-"/>
    <s v="P"/>
    <s v="P"/>
    <s v="-"/>
    <s v="-"/>
    <n v="1"/>
    <n v="2"/>
    <n v="1"/>
    <s v="-"/>
    <s v="-"/>
    <s v="-"/>
    <s v="-"/>
    <s v="-"/>
    <s v="-"/>
    <s v="-"/>
    <n v="4"/>
    <n v="4"/>
    <s v="-"/>
    <n v="1"/>
    <n v="1"/>
    <n v="2"/>
    <n v="2"/>
    <n v="6"/>
    <n v="6"/>
  </r>
  <r>
    <x v="7"/>
    <x v="168"/>
    <d v="2026-07-29T00:00:00"/>
    <s v="2ND"/>
    <d v="1899-12-30T18:00:00"/>
    <n v="1"/>
    <x v="20"/>
    <n v="0.01"/>
    <s v="P"/>
    <s v="P"/>
    <s v="P"/>
    <s v="-"/>
    <s v="-"/>
    <n v="12.71"/>
    <s v="-"/>
    <s v="-"/>
    <s v="-"/>
    <s v="-"/>
    <s v="-"/>
    <s v="-"/>
    <s v="-"/>
    <s v="-"/>
    <s v="P"/>
    <s v="P"/>
    <s v="-"/>
    <n v="2"/>
    <n v="1"/>
    <n v="2"/>
    <n v="1"/>
    <s v="-"/>
    <s v="-"/>
    <s v="-"/>
    <s v="-"/>
    <s v="-"/>
    <s v="-"/>
    <s v="-"/>
    <n v="6"/>
    <n v="6"/>
    <s v="-"/>
    <n v="1"/>
    <n v="1"/>
    <n v="2"/>
    <n v="2"/>
    <n v="8"/>
    <n v="8"/>
  </r>
  <r>
    <x v="7"/>
    <x v="168"/>
    <d v="2026-07-29T00:00:00"/>
    <s v="2ND"/>
    <d v="1899-12-30T19:00:00"/>
    <n v="1"/>
    <x v="20"/>
    <n v="0.01"/>
    <s v="P"/>
    <s v="P"/>
    <s v="P"/>
    <s v="-"/>
    <s v="-"/>
    <n v="12.81"/>
    <s v="-"/>
    <s v="-"/>
    <s v="-"/>
    <s v="-"/>
    <s v="-"/>
    <s v="-"/>
    <s v="-"/>
    <s v="-"/>
    <s v="P"/>
    <s v="P"/>
    <s v="-"/>
    <n v="2"/>
    <n v="1"/>
    <n v="2"/>
    <n v="1"/>
    <s v="-"/>
    <s v="-"/>
    <s v="-"/>
    <s v="-"/>
    <s v="-"/>
    <s v="-"/>
    <s v="-"/>
    <n v="6"/>
    <n v="6"/>
    <s v="-"/>
    <n v="1"/>
    <n v="1"/>
    <n v="2"/>
    <n v="2"/>
    <n v="8"/>
    <n v="8"/>
  </r>
  <r>
    <x v="7"/>
    <x v="168"/>
    <d v="2026-07-29T00:00:00"/>
    <s v="2ND"/>
    <d v="1899-12-30T20:00:00"/>
    <n v="1"/>
    <x v="20"/>
    <n v="0.01"/>
    <s v="P"/>
    <s v="P"/>
    <s v="P"/>
    <s v="-"/>
    <s v="-"/>
    <n v="12.79"/>
    <s v="-"/>
    <s v="-"/>
    <s v="-"/>
    <s v="-"/>
    <s v="-"/>
    <s v="-"/>
    <s v="-"/>
    <s v="-"/>
    <s v="P"/>
    <s v="P"/>
    <s v="-"/>
    <n v="2"/>
    <n v="1"/>
    <n v="2"/>
    <n v="1"/>
    <s v="-"/>
    <s v="-"/>
    <s v="-"/>
    <s v="-"/>
    <s v="-"/>
    <s v="-"/>
    <s v="-"/>
    <n v="6"/>
    <n v="6"/>
    <s v="-"/>
    <n v="1"/>
    <n v="1"/>
    <n v="2"/>
    <n v="2"/>
    <n v="8"/>
    <n v="8"/>
  </r>
  <r>
    <x v="7"/>
    <x v="168"/>
    <d v="2026-07-29T00:00:00"/>
    <s v="2ND"/>
    <d v="1899-12-30T21:00:00"/>
    <n v="1"/>
    <x v="20"/>
    <n v="0.01"/>
    <s v="P"/>
    <s v="P"/>
    <s v="P"/>
    <s v="-"/>
    <s v="-"/>
    <n v="13.03"/>
    <s v="-"/>
    <s v="-"/>
    <s v="-"/>
    <s v="-"/>
    <s v="-"/>
    <s v="-"/>
    <s v="-"/>
    <s v="-"/>
    <s v="P"/>
    <s v="P"/>
    <s v="-"/>
    <n v="2"/>
    <n v="1"/>
    <n v="2"/>
    <n v="1"/>
    <s v="-"/>
    <s v="-"/>
    <s v="-"/>
    <s v="-"/>
    <s v="-"/>
    <s v="-"/>
    <s v="-"/>
    <n v="6"/>
    <n v="6"/>
    <s v="-"/>
    <n v="1"/>
    <n v="1"/>
    <n v="2"/>
    <n v="2"/>
    <n v="8"/>
    <n v="8"/>
  </r>
  <r>
    <x v="7"/>
    <x v="168"/>
    <d v="1902-03-26T00:00:00"/>
    <s v="2ND"/>
    <d v="1899-12-30T16:00:00"/>
    <n v="2"/>
    <x v="14"/>
    <n v="0.01"/>
    <s v="P"/>
    <s v="P"/>
    <s v="P"/>
    <s v="-"/>
    <s v="+"/>
    <n v="11.29"/>
    <n v="11.14"/>
    <n v="0.57999999999999996"/>
    <n v="56.4"/>
    <s v="-"/>
    <s v="-"/>
    <n v="31.1"/>
    <s v="-"/>
    <s v="-"/>
    <s v="P"/>
    <s v="P"/>
    <s v="-"/>
    <n v="2"/>
    <n v="1"/>
    <n v="2"/>
    <n v="1"/>
    <n v="1"/>
    <n v="2"/>
    <n v="2"/>
    <s v="-"/>
    <s v="-"/>
    <n v="0"/>
    <s v="-"/>
    <n v="11"/>
    <n v="13"/>
    <s v="-"/>
    <n v="1"/>
    <n v="1"/>
    <n v="2"/>
    <n v="2"/>
    <n v="13"/>
    <n v="15"/>
  </r>
  <r>
    <x v="7"/>
    <x v="168"/>
    <d v="1899-12-30T00:00:00"/>
    <s v="2ND"/>
    <d v="1899-12-30T20:00:00"/>
    <n v="2"/>
    <x v="14"/>
    <n v="0.01"/>
    <s v="P"/>
    <s v="P"/>
    <s v="P"/>
    <s v="-"/>
    <s v="+"/>
    <n v="10.99"/>
    <s v="-"/>
    <s v="-"/>
    <s v="-"/>
    <s v="-"/>
    <s v="-"/>
    <s v="-"/>
    <s v="-"/>
    <s v="-"/>
    <s v="P"/>
    <s v="P"/>
    <s v="-"/>
    <n v="2"/>
    <n v="1"/>
    <n v="2"/>
    <n v="0"/>
    <s v="-"/>
    <s v="-"/>
    <s v="-"/>
    <s v="-"/>
    <s v="-"/>
    <s v="-"/>
    <s v="-"/>
    <n v="5"/>
    <n v="6"/>
    <s v="-"/>
    <n v="1"/>
    <n v="1"/>
    <n v="2"/>
    <n v="2"/>
    <n v="7"/>
    <n v="8"/>
  </r>
  <r>
    <x v="7"/>
    <x v="168"/>
    <d v="2026-07-23T00:00:00"/>
    <s v="2ND"/>
    <d v="1899-12-30T14:00:00"/>
    <n v="3"/>
    <x v="1"/>
    <s v="-"/>
    <s v="P"/>
    <s v="P"/>
    <s v="P"/>
    <s v="+"/>
    <s v="+"/>
    <n v="12.82"/>
    <n v="12.55"/>
    <s v="-"/>
    <s v="-"/>
    <s v="-"/>
    <s v="-"/>
    <n v="35.200000000000003"/>
    <s v="-"/>
    <s v="-"/>
    <s v="P"/>
    <s v="P"/>
    <s v="85% 5% 10%"/>
    <s v="-"/>
    <n v="1"/>
    <n v="2"/>
    <n v="1"/>
    <n v="1"/>
    <s v="-"/>
    <s v="-"/>
    <s v="-"/>
    <s v="-"/>
    <n v="2"/>
    <s v="-"/>
    <n v="7"/>
    <n v="7"/>
    <s v="-"/>
    <n v="1"/>
    <n v="1"/>
    <n v="2"/>
    <n v="2"/>
    <n v="9"/>
    <n v="9"/>
  </r>
  <r>
    <x v="7"/>
    <x v="168"/>
    <d v="2026-07-23T00:00:00"/>
    <s v="2ND"/>
    <d v="1899-12-30T15:00:00"/>
    <n v="3"/>
    <x v="1"/>
    <s v="-"/>
    <s v="P"/>
    <s v="P"/>
    <s v="P"/>
    <s v="+"/>
    <s v="+"/>
    <n v="12.92"/>
    <s v="-"/>
    <s v="-"/>
    <s v="-"/>
    <s v="-"/>
    <s v="-"/>
    <s v="-"/>
    <s v="-"/>
    <s v="-"/>
    <s v="P"/>
    <s v="P"/>
    <s v="-"/>
    <s v="-"/>
    <n v="1"/>
    <n v="2"/>
    <n v="1"/>
    <s v="-"/>
    <s v="-"/>
    <s v="-"/>
    <s v="-"/>
    <s v="-"/>
    <s v="-"/>
    <s v="-"/>
    <n v="4"/>
    <n v="4"/>
    <s v="-"/>
    <n v="1"/>
    <n v="1"/>
    <n v="2"/>
    <n v="2"/>
    <n v="6"/>
    <n v="6"/>
  </r>
  <r>
    <x v="7"/>
    <x v="168"/>
    <d v="2026-07-23T00:00:00"/>
    <s v="2ND"/>
    <d v="1899-12-30T16:00:00"/>
    <n v="3"/>
    <x v="1"/>
    <s v="-"/>
    <s v="P"/>
    <s v="P"/>
    <s v="P"/>
    <s v="+"/>
    <s v="+"/>
    <n v="12.82"/>
    <s v="-"/>
    <s v="-"/>
    <s v="-"/>
    <s v="-"/>
    <s v="-"/>
    <s v="-"/>
    <s v="-"/>
    <s v="-"/>
    <s v="P"/>
    <s v="P"/>
    <s v="-"/>
    <s v="-"/>
    <n v="1"/>
    <n v="2"/>
    <n v="1"/>
    <s v="-"/>
    <s v="-"/>
    <s v="-"/>
    <s v="-"/>
    <s v="-"/>
    <s v="-"/>
    <s v="-"/>
    <n v="4"/>
    <n v="4"/>
    <s v="-"/>
    <n v="1"/>
    <n v="1"/>
    <n v="2"/>
    <n v="2"/>
    <n v="6"/>
    <n v="6"/>
  </r>
  <r>
    <x v="7"/>
    <x v="168"/>
    <d v="2026-07-23T00:00:00"/>
    <s v="2ND"/>
    <d v="1899-12-30T18:00:00"/>
    <n v="3"/>
    <x v="1"/>
    <n v="0.01"/>
    <s v="P"/>
    <s v="P"/>
    <s v="P"/>
    <s v="+"/>
    <s v="+"/>
    <s v="-"/>
    <s v="-"/>
    <s v="-"/>
    <s v="-"/>
    <s v="-"/>
    <s v="-"/>
    <s v="-"/>
    <s v="-"/>
    <s v="-"/>
    <s v="P"/>
    <s v="P"/>
    <s v="-"/>
    <n v="2"/>
    <n v="1"/>
    <n v="2"/>
    <s v="-"/>
    <s v="-"/>
    <s v="-"/>
    <s v="-"/>
    <s v="-"/>
    <s v="-"/>
    <s v="-"/>
    <s v="-"/>
    <n v="5"/>
    <n v="5"/>
    <s v="-"/>
    <n v="1"/>
    <n v="1"/>
    <n v="2"/>
    <n v="2"/>
    <n v="7"/>
    <n v="7"/>
  </r>
  <r>
    <x v="7"/>
    <x v="168"/>
    <d v="2026-07-23T00:00:00"/>
    <s v="2ND"/>
    <d v="1899-12-30T19:00:00"/>
    <n v="3"/>
    <x v="1"/>
    <s v="-"/>
    <s v="P"/>
    <s v="P"/>
    <s v="P"/>
    <s v="+"/>
    <s v="+"/>
    <n v="12.64"/>
    <s v="-"/>
    <s v="-"/>
    <s v="-"/>
    <s v="-"/>
    <s v="-"/>
    <s v="-"/>
    <s v="-"/>
    <s v="-"/>
    <s v="P"/>
    <s v="P"/>
    <s v="-"/>
    <s v="-"/>
    <n v="1"/>
    <n v="2"/>
    <n v="1"/>
    <s v="-"/>
    <s v="-"/>
    <s v="-"/>
    <s v="-"/>
    <s v="-"/>
    <s v="-"/>
    <s v="-"/>
    <n v="4"/>
    <n v="4"/>
    <s v="-"/>
    <n v="1"/>
    <n v="1"/>
    <n v="2"/>
    <n v="2"/>
    <n v="6"/>
    <n v="6"/>
  </r>
  <r>
    <x v="7"/>
    <x v="168"/>
    <d v="2026-07-29T00:00:00"/>
    <s v="3RD"/>
    <d v="1899-12-30T22:00:00"/>
    <n v="1"/>
    <x v="20"/>
    <n v="0.01"/>
    <s v="P"/>
    <s v="P"/>
    <s v="P"/>
    <s v="-"/>
    <s v="-"/>
    <n v="12.83"/>
    <n v="12.41"/>
    <n v="0.61"/>
    <s v="-"/>
    <s v="-"/>
    <s v="-"/>
    <n v="31.6"/>
    <s v="-"/>
    <s v="-"/>
    <s v="P"/>
    <s v="P"/>
    <s v="80% 20%"/>
    <n v="2"/>
    <n v="1"/>
    <n v="2"/>
    <n v="1"/>
    <n v="1"/>
    <n v="2"/>
    <s v="-"/>
    <s v="-"/>
    <s v="-"/>
    <n v="2"/>
    <s v="-"/>
    <n v="11"/>
    <n v="11"/>
    <s v="-"/>
    <n v="1"/>
    <n v="1"/>
    <n v="2"/>
    <n v="2"/>
    <n v="13"/>
    <n v="13"/>
  </r>
  <r>
    <x v="7"/>
    <x v="168"/>
    <d v="2026-07-29T00:00:00"/>
    <s v="3RD"/>
    <d v="1899-12-31T00:00:00"/>
    <n v="1"/>
    <x v="20"/>
    <n v="0.01"/>
    <s v="P"/>
    <s v="P"/>
    <s v="P"/>
    <s v="-"/>
    <s v="-"/>
    <n v="12.7"/>
    <s v="-"/>
    <s v="-"/>
    <s v="-"/>
    <s v="-"/>
    <s v="-"/>
    <s v="-"/>
    <s v="-"/>
    <s v="-"/>
    <s v="P"/>
    <s v="P"/>
    <s v="-"/>
    <n v="2"/>
    <n v="1"/>
    <n v="2"/>
    <n v="1"/>
    <s v="-"/>
    <s v="-"/>
    <s v="-"/>
    <s v="-"/>
    <s v="-"/>
    <s v="-"/>
    <s v="-"/>
    <n v="6"/>
    <n v="6"/>
    <s v="-"/>
    <n v="1"/>
    <n v="1"/>
    <n v="2"/>
    <n v="2"/>
    <n v="8"/>
    <n v="8"/>
  </r>
  <r>
    <x v="7"/>
    <x v="168"/>
    <d v="2026-07-29T00:00:00"/>
    <s v="3RD"/>
    <d v="1899-12-31T01:00:00"/>
    <n v="1"/>
    <x v="20"/>
    <n v="0.01"/>
    <s v="P"/>
    <s v="P"/>
    <s v="P"/>
    <s v="-"/>
    <s v="-"/>
    <n v="12.75"/>
    <s v="-"/>
    <s v="-"/>
    <s v="-"/>
    <s v="-"/>
    <s v="-"/>
    <s v="-"/>
    <s v="-"/>
    <s v="-"/>
    <s v="P"/>
    <s v="P"/>
    <s v="-"/>
    <n v="2"/>
    <n v="1"/>
    <n v="2"/>
    <n v="1"/>
    <s v="-"/>
    <s v="-"/>
    <s v="-"/>
    <s v="-"/>
    <s v="-"/>
    <s v="-"/>
    <s v="-"/>
    <n v="6"/>
    <n v="6"/>
    <s v="-"/>
    <n v="1"/>
    <n v="1"/>
    <n v="2"/>
    <n v="2"/>
    <n v="8"/>
    <n v="8"/>
  </r>
  <r>
    <x v="7"/>
    <x v="168"/>
    <d v="2026-07-29T00:00:00"/>
    <s v="3RD"/>
    <d v="1899-12-31T02:00:00"/>
    <n v="1"/>
    <x v="20"/>
    <n v="0.01"/>
    <s v="P"/>
    <s v="P"/>
    <s v="P"/>
    <s v="-"/>
    <s v="-"/>
    <n v="12.49"/>
    <s v="-"/>
    <s v="-"/>
    <s v="-"/>
    <s v="-"/>
    <s v="-"/>
    <s v="-"/>
    <s v="-"/>
    <s v="-"/>
    <s v="P"/>
    <s v="P"/>
    <s v="-"/>
    <n v="2"/>
    <n v="1"/>
    <n v="2"/>
    <n v="1"/>
    <s v="-"/>
    <s v="-"/>
    <s v="-"/>
    <s v="-"/>
    <s v="-"/>
    <s v="-"/>
    <s v="-"/>
    <n v="6"/>
    <n v="6"/>
    <s v="-"/>
    <n v="1"/>
    <n v="1"/>
    <n v="2"/>
    <n v="2"/>
    <n v="8"/>
    <n v="8"/>
  </r>
  <r>
    <x v="7"/>
    <x v="168"/>
    <d v="2026-07-29T00:00:00"/>
    <s v="3RD"/>
    <d v="1899-12-31T03:00:00"/>
    <n v="1"/>
    <x v="20"/>
    <n v="0.01"/>
    <s v="P"/>
    <s v="P"/>
    <s v="P"/>
    <s v="-"/>
    <s v="-"/>
    <n v="12.47"/>
    <s v="-"/>
    <s v="-"/>
    <s v="-"/>
    <s v="-"/>
    <s v="-"/>
    <s v="-"/>
    <s v="-"/>
    <s v="-"/>
    <s v="P"/>
    <s v="P"/>
    <s v="-"/>
    <n v="2"/>
    <n v="1"/>
    <n v="2"/>
    <n v="1"/>
    <s v="-"/>
    <s v="-"/>
    <s v="-"/>
    <s v="-"/>
    <s v="-"/>
    <s v="-"/>
    <s v="-"/>
    <n v="6"/>
    <n v="6"/>
    <s v="-"/>
    <n v="1"/>
    <n v="1"/>
    <n v="2"/>
    <n v="2"/>
    <n v="8"/>
    <n v="8"/>
  </r>
  <r>
    <x v="7"/>
    <x v="168"/>
    <d v="2026-07-29T00:00:00"/>
    <s v="3RD"/>
    <d v="1899-12-31T04:00:00"/>
    <n v="1"/>
    <x v="20"/>
    <n v="0.01"/>
    <s v="P"/>
    <s v="P"/>
    <s v="P"/>
    <s v="-"/>
    <s v="-"/>
    <n v="12.83"/>
    <s v="-"/>
    <s v="-"/>
    <s v="-"/>
    <s v="-"/>
    <s v="-"/>
    <s v="-"/>
    <s v="-"/>
    <s v="-"/>
    <s v="P"/>
    <s v="P"/>
    <s v="-"/>
    <n v="2"/>
    <n v="1"/>
    <n v="2"/>
    <n v="1"/>
    <s v="-"/>
    <s v="-"/>
    <s v="-"/>
    <s v="-"/>
    <s v="-"/>
    <s v="-"/>
    <s v="-"/>
    <n v="6"/>
    <n v="6"/>
    <s v="-"/>
    <n v="1"/>
    <n v="1"/>
    <n v="2"/>
    <n v="2"/>
    <n v="8"/>
    <n v="8"/>
  </r>
  <r>
    <x v="7"/>
    <x v="168"/>
    <d v="2026-07-29T00:00:00"/>
    <s v="3RD"/>
    <d v="1899-12-31T05:00:00"/>
    <n v="1"/>
    <x v="20"/>
    <n v="0.01"/>
    <s v="P"/>
    <s v="P"/>
    <s v="P"/>
    <s v="-"/>
    <s v="-"/>
    <n v="12.64"/>
    <s v="-"/>
    <s v="-"/>
    <s v="-"/>
    <s v="-"/>
    <s v="-"/>
    <s v="-"/>
    <s v="-"/>
    <s v="-"/>
    <s v="P"/>
    <s v="P"/>
    <s v="-"/>
    <n v="2"/>
    <n v="1"/>
    <n v="2"/>
    <n v="1"/>
    <s v="-"/>
    <s v="-"/>
    <s v="-"/>
    <s v="-"/>
    <s v="-"/>
    <s v="-"/>
    <s v="-"/>
    <n v="6"/>
    <n v="6"/>
    <s v="-"/>
    <n v="1"/>
    <n v="1"/>
    <n v="2"/>
    <n v="2"/>
    <n v="8"/>
    <n v="8"/>
  </r>
  <r>
    <x v="7"/>
    <x v="168"/>
    <d v="1902-03-26T00:00:00"/>
    <s v="3RD"/>
    <d v="1899-12-30T22:00:00"/>
    <n v="2"/>
    <x v="14"/>
    <n v="0.01"/>
    <s v="P"/>
    <s v="P"/>
    <s v="P"/>
    <s v="-"/>
    <s v="+"/>
    <n v="11.29"/>
    <s v="-"/>
    <s v="-"/>
    <s v="-"/>
    <s v="-"/>
    <s v="-"/>
    <s v="-"/>
    <s v="-"/>
    <s v="-"/>
    <s v="P"/>
    <s v="P"/>
    <s v="-"/>
    <n v="2"/>
    <n v="1"/>
    <n v="2"/>
    <n v="1"/>
    <s v="-"/>
    <s v="-"/>
    <s v="-"/>
    <s v="-"/>
    <s v="-"/>
    <s v="-"/>
    <s v="-"/>
    <n v="6"/>
    <n v="6"/>
    <s v="-"/>
    <n v="1"/>
    <n v="1"/>
    <n v="2"/>
    <n v="2"/>
    <n v="8"/>
    <n v="8"/>
  </r>
  <r>
    <x v="7"/>
    <x v="168"/>
    <d v="2026-07-23T00:00:00"/>
    <s v="3RD"/>
    <d v="1899-12-31T01:00:00"/>
    <n v="3"/>
    <x v="1"/>
    <n v="0.02"/>
    <s v="P"/>
    <s v="P"/>
    <s v="P"/>
    <s v="+"/>
    <s v="+"/>
    <n v="12.58"/>
    <n v="12.43"/>
    <n v="0.52"/>
    <s v="-"/>
    <s v="-"/>
    <s v="-"/>
    <n v="34.6"/>
    <s v="-"/>
    <s v="-"/>
    <s v="P"/>
    <s v="P"/>
    <s v="85% 5% 10%"/>
    <n v="2"/>
    <n v="1"/>
    <n v="2"/>
    <n v="1"/>
    <n v="1"/>
    <n v="2"/>
    <s v="-"/>
    <s v="-"/>
    <s v="-"/>
    <n v="2"/>
    <s v="-"/>
    <n v="11"/>
    <n v="11"/>
    <s v="-"/>
    <n v="1"/>
    <n v="1"/>
    <n v="2"/>
    <n v="2"/>
    <n v="13"/>
    <n v="13"/>
  </r>
  <r>
    <x v="7"/>
    <x v="168"/>
    <d v="2026-07-23T00:00:00"/>
    <s v="3RD"/>
    <d v="1899-12-31T02:00:00"/>
    <n v="3"/>
    <x v="1"/>
    <n v="0.01"/>
    <s v="P"/>
    <s v="P"/>
    <s v="P"/>
    <s v="+"/>
    <s v="+"/>
    <n v="12.58"/>
    <s v="-"/>
    <s v="-"/>
    <s v="-"/>
    <s v="-"/>
    <s v="-"/>
    <s v="-"/>
    <s v="-"/>
    <s v="-"/>
    <s v="P"/>
    <s v="P"/>
    <s v="-"/>
    <n v="2"/>
    <n v="1"/>
    <n v="2"/>
    <n v="1"/>
    <s v="-"/>
    <s v="-"/>
    <s v="-"/>
    <s v="-"/>
    <s v="-"/>
    <s v="-"/>
    <s v="-"/>
    <n v="6"/>
    <n v="6"/>
    <s v="-"/>
    <n v="1"/>
    <n v="1"/>
    <n v="2"/>
    <n v="2"/>
    <n v="8"/>
    <n v="8"/>
  </r>
  <r>
    <x v="7"/>
    <x v="168"/>
    <d v="2026-07-23T00:00:00"/>
    <s v="3RD"/>
    <d v="1899-12-31T04:00:00"/>
    <n v="3"/>
    <x v="6"/>
    <n v="0.02"/>
    <s v="P"/>
    <s v="P"/>
    <s v="P"/>
    <s v="+"/>
    <s v="+"/>
    <n v="12.55"/>
    <n v="12.51"/>
    <s v="-"/>
    <s v="-"/>
    <s v="-"/>
    <s v="-"/>
    <n v="35"/>
    <s v="-"/>
    <s v="-"/>
    <s v="P"/>
    <s v="P"/>
    <s v="-"/>
    <n v="2"/>
    <n v="1"/>
    <n v="2"/>
    <n v="1"/>
    <n v="1"/>
    <s v="-"/>
    <s v="-"/>
    <s v="-"/>
    <s v="-"/>
    <n v="2"/>
    <s v="-"/>
    <n v="9"/>
    <n v="9"/>
    <s v="-"/>
    <n v="1"/>
    <n v="1"/>
    <n v="2"/>
    <n v="2"/>
    <n v="11"/>
    <n v="11"/>
  </r>
  <r>
    <x v="7"/>
    <x v="168"/>
    <d v="2026-07-23T00:00:00"/>
    <s v="3RD"/>
    <d v="1899-12-31T05:00:00"/>
    <n v="3"/>
    <x v="6"/>
    <n v="0.01"/>
    <s v="P"/>
    <s v="P"/>
    <s v="P"/>
    <s v="+"/>
    <s v="+"/>
    <n v="12.82"/>
    <s v="-"/>
    <s v="-"/>
    <s v="-"/>
    <s v="-"/>
    <s v="-"/>
    <s v="-"/>
    <s v="-"/>
    <s v="-"/>
    <s v="P"/>
    <s v="P"/>
    <s v="-"/>
    <n v="2"/>
    <n v="1"/>
    <n v="2"/>
    <n v="1"/>
    <s v="-"/>
    <s v="-"/>
    <s v="-"/>
    <s v="-"/>
    <s v="-"/>
    <s v="-"/>
    <s v="-"/>
    <n v="6"/>
    <n v="6"/>
    <s v="-"/>
    <n v="1"/>
    <n v="1"/>
    <n v="2"/>
    <n v="2"/>
    <n v="8"/>
    <n v="8"/>
  </r>
  <r>
    <x v="7"/>
    <x v="169"/>
    <d v="2026-07-29T00:00:00"/>
    <s v="1ST"/>
    <s v="06:00"/>
    <n v="1"/>
    <x v="20"/>
    <s v="-"/>
    <s v="P"/>
    <s v="P"/>
    <s v="P"/>
    <s v="-"/>
    <s v="-"/>
    <n v="12.84"/>
    <n v="12.11"/>
    <n v="0.52"/>
    <n v="65.099999999999994"/>
    <s v="-"/>
    <s v="-"/>
    <n v="36.799999999999997"/>
    <s v="-"/>
    <s v="-"/>
    <s v="P"/>
    <s v="P"/>
    <s v="80% 20%"/>
    <s v="-"/>
    <n v="1"/>
    <n v="2"/>
    <n v="1"/>
    <n v="1"/>
    <n v="2"/>
    <n v="2"/>
    <s v="-"/>
    <s v="-"/>
    <n v="2"/>
    <s v="-"/>
    <n v="11"/>
    <n v="11"/>
    <s v="-"/>
    <n v="1"/>
    <n v="1"/>
    <n v="2"/>
    <n v="2"/>
    <n v="13"/>
    <n v="13"/>
  </r>
  <r>
    <x v="7"/>
    <x v="169"/>
    <d v="2026-07-29T00:00:00"/>
    <s v="1ST"/>
    <s v="07:00"/>
    <n v="1"/>
    <x v="20"/>
    <s v="-"/>
    <s v="P"/>
    <s v="P"/>
    <s v="P"/>
    <s v="-"/>
    <s v="-"/>
    <n v="12.35"/>
    <s v="-"/>
    <s v="-"/>
    <s v="-"/>
    <s v="-"/>
    <s v="-"/>
    <s v="-"/>
    <s v="-"/>
    <s v="-"/>
    <s v="P"/>
    <s v="P"/>
    <s v="-"/>
    <s v="-"/>
    <n v="1"/>
    <n v="2"/>
    <n v="1"/>
    <s v="-"/>
    <s v="-"/>
    <s v="-"/>
    <s v="-"/>
    <s v="-"/>
    <s v="-"/>
    <s v="-"/>
    <n v="4"/>
    <n v="4"/>
    <s v="-"/>
    <n v="1"/>
    <n v="1"/>
    <n v="2"/>
    <n v="2"/>
    <n v="6"/>
    <n v="6"/>
  </r>
  <r>
    <x v="7"/>
    <x v="169"/>
    <d v="2026-07-29T00:00:00"/>
    <s v="1ST"/>
    <s v="08:00"/>
    <n v="1"/>
    <x v="20"/>
    <s v="-"/>
    <s v="P"/>
    <s v="P"/>
    <s v="P"/>
    <s v="-"/>
    <s v="-"/>
    <n v="12.63"/>
    <s v="-"/>
    <s v="-"/>
    <s v="-"/>
    <s v="-"/>
    <s v="-"/>
    <s v="-"/>
    <s v="-"/>
    <s v="-"/>
    <s v="P"/>
    <s v="P"/>
    <s v="-"/>
    <s v="-"/>
    <n v="1"/>
    <n v="2"/>
    <n v="1"/>
    <s v="-"/>
    <s v="-"/>
    <s v="-"/>
    <s v="-"/>
    <s v="-"/>
    <s v="-"/>
    <s v="-"/>
    <n v="4"/>
    <n v="4"/>
    <s v="-"/>
    <n v="1"/>
    <n v="1"/>
    <n v="2"/>
    <n v="2"/>
    <n v="6"/>
    <n v="6"/>
  </r>
  <r>
    <x v="7"/>
    <x v="169"/>
    <d v="2026-08-04T00:00:00"/>
    <s v="1ST"/>
    <s v="09:00"/>
    <n v="1"/>
    <x v="2"/>
    <s v="-"/>
    <s v="P"/>
    <s v="P"/>
    <s v="P"/>
    <s v="-"/>
    <s v="+"/>
    <n v="11.55"/>
    <n v="10.09"/>
    <s v="-"/>
    <n v="57.6"/>
    <s v="-"/>
    <s v="-"/>
    <n v="27.8"/>
    <s v="-"/>
    <s v="-"/>
    <s v="P"/>
    <s v="P"/>
    <s v="80% 20%"/>
    <s v="-"/>
    <n v="1"/>
    <n v="2"/>
    <n v="0"/>
    <n v="1"/>
    <s v="-"/>
    <n v="0"/>
    <s v="-"/>
    <s v="-"/>
    <n v="2"/>
    <s v="-"/>
    <n v="6"/>
    <n v="9"/>
    <s v="-"/>
    <n v="1"/>
    <n v="1"/>
    <n v="2"/>
    <n v="2"/>
    <n v="8"/>
    <n v="11"/>
  </r>
  <r>
    <x v="7"/>
    <x v="169"/>
    <d v="2026-08-04T00:00:00"/>
    <s v="1ST"/>
    <s v="11:00"/>
    <n v="1"/>
    <x v="2"/>
    <s v="-"/>
    <s v="P"/>
    <s v="P"/>
    <s v="P"/>
    <s v="-"/>
    <s v="+"/>
    <n v="11.22"/>
    <s v="-"/>
    <s v="-"/>
    <s v="-"/>
    <s v="-"/>
    <s v="-"/>
    <s v="-"/>
    <s v="-"/>
    <s v="-"/>
    <s v="P"/>
    <s v="P"/>
    <s v="-"/>
    <s v="-"/>
    <n v="1"/>
    <n v="2"/>
    <n v="0"/>
    <s v="-"/>
    <s v="-"/>
    <s v="-"/>
    <s v="-"/>
    <s v="-"/>
    <s v="-"/>
    <s v="-"/>
    <n v="3"/>
    <n v="4"/>
    <s v="-"/>
    <n v="1"/>
    <n v="1"/>
    <n v="2"/>
    <n v="2"/>
    <n v="5"/>
    <n v="6"/>
  </r>
  <r>
    <x v="7"/>
    <x v="169"/>
    <d v="2026-08-04T00:00:00"/>
    <s v="1ST"/>
    <s v="12:00"/>
    <n v="1"/>
    <x v="2"/>
    <s v="-"/>
    <s v="P"/>
    <s v="P"/>
    <s v="P"/>
    <s v="-"/>
    <s v="+"/>
    <n v="11.04"/>
    <s v="-"/>
    <s v="-"/>
    <s v="-"/>
    <s v="-"/>
    <s v="-"/>
    <s v="-"/>
    <s v="-"/>
    <s v="-"/>
    <s v="P"/>
    <s v="P"/>
    <s v="-"/>
    <s v="-"/>
    <n v="1"/>
    <n v="2"/>
    <n v="0"/>
    <s v="-"/>
    <s v="-"/>
    <s v="-"/>
    <s v="-"/>
    <s v="-"/>
    <s v="-"/>
    <s v="-"/>
    <n v="3"/>
    <n v="4"/>
    <s v="-"/>
    <n v="1"/>
    <n v="1"/>
    <n v="2"/>
    <n v="2"/>
    <n v="5"/>
    <n v="6"/>
  </r>
  <r>
    <x v="7"/>
    <x v="169"/>
    <d v="2026-08-04T00:00:00"/>
    <s v="1ST"/>
    <s v="13:00"/>
    <n v="1"/>
    <x v="2"/>
    <s v="-"/>
    <s v="P"/>
    <s v="P"/>
    <s v="P"/>
    <s v="-"/>
    <s v="+"/>
    <n v="11.55"/>
    <s v="-"/>
    <s v="-"/>
    <s v="-"/>
    <s v="-"/>
    <s v="-"/>
    <s v="-"/>
    <s v="-"/>
    <s v="-"/>
    <s v="P"/>
    <s v="P"/>
    <s v="-"/>
    <s v="-"/>
    <n v="1"/>
    <n v="2"/>
    <n v="0"/>
    <s v="-"/>
    <s v="-"/>
    <s v="-"/>
    <s v="-"/>
    <s v="-"/>
    <s v="-"/>
    <s v="-"/>
    <n v="3"/>
    <n v="4"/>
    <s v="-"/>
    <n v="1"/>
    <n v="1"/>
    <n v="2"/>
    <n v="2"/>
    <n v="5"/>
    <n v="6"/>
  </r>
  <r>
    <x v="7"/>
    <x v="169"/>
    <d v="2026-07-23T00:00:00"/>
    <s v="1ST"/>
    <s v="06:00"/>
    <n v="3"/>
    <x v="6"/>
    <s v="-"/>
    <s v="P"/>
    <s v="P"/>
    <s v="P"/>
    <s v="+"/>
    <s v="+"/>
    <n v="12.61"/>
    <n v="12.73"/>
    <n v="0.53"/>
    <n v="64"/>
    <s v="-"/>
    <s v="-"/>
    <n v="35.6"/>
    <s v="-"/>
    <s v="-"/>
    <s v="P"/>
    <s v="P"/>
    <s v="70% 20% 10%"/>
    <s v="-"/>
    <n v="1"/>
    <n v="2"/>
    <n v="1"/>
    <n v="1"/>
    <n v="2"/>
    <n v="2"/>
    <s v="-"/>
    <s v="-"/>
    <n v="2"/>
    <s v="-"/>
    <n v="11"/>
    <n v="11"/>
    <s v="-"/>
    <n v="1"/>
    <n v="1"/>
    <n v="2"/>
    <n v="2"/>
    <n v="13"/>
    <n v="13"/>
  </r>
  <r>
    <x v="7"/>
    <x v="169"/>
    <d v="2026-07-23T00:00:00"/>
    <s v="1ST"/>
    <s v="07:00"/>
    <n v="3"/>
    <x v="6"/>
    <s v="-"/>
    <s v="P"/>
    <s v="P"/>
    <s v="P"/>
    <s v="+"/>
    <s v="+"/>
    <n v="12.66"/>
    <s v="-"/>
    <s v="-"/>
    <s v="-"/>
    <s v="-"/>
    <s v="-"/>
    <s v="-"/>
    <s v="-"/>
    <s v="-"/>
    <s v="P"/>
    <s v="P"/>
    <s v="-"/>
    <s v="-"/>
    <n v="1"/>
    <n v="2"/>
    <n v="1"/>
    <s v="-"/>
    <s v="-"/>
    <s v="-"/>
    <s v="-"/>
    <s v="-"/>
    <s v="-"/>
    <s v="-"/>
    <n v="4"/>
    <n v="4"/>
    <s v="-"/>
    <n v="1"/>
    <n v="1"/>
    <n v="2"/>
    <n v="2"/>
    <n v="6"/>
    <n v="6"/>
  </r>
  <r>
    <x v="7"/>
    <x v="169"/>
    <d v="2026-08-05T00:00:00"/>
    <s v="1ST"/>
    <s v="09:00"/>
    <n v="3"/>
    <x v="35"/>
    <s v="-"/>
    <s v="P"/>
    <s v="P"/>
    <s v="P"/>
    <s v="-"/>
    <s v="+"/>
    <n v="13.77"/>
    <n v="12.54"/>
    <s v="-"/>
    <n v="62.8"/>
    <s v="-"/>
    <s v="-"/>
    <n v="34.9"/>
    <s v="-"/>
    <s v="-"/>
    <s v="P"/>
    <s v="P"/>
    <n v="1"/>
    <s v="-"/>
    <n v="1"/>
    <n v="2"/>
    <n v="1"/>
    <n v="1"/>
    <s v="-"/>
    <n v="2"/>
    <s v="-"/>
    <s v="-"/>
    <n v="2"/>
    <s v="-"/>
    <n v="9"/>
    <n v="9"/>
    <s v="-"/>
    <n v="1"/>
    <n v="1"/>
    <n v="2"/>
    <n v="2"/>
    <n v="11"/>
    <n v="11"/>
  </r>
  <r>
    <x v="7"/>
    <x v="169"/>
    <d v="2026-08-05T00:00:00"/>
    <s v="1ST"/>
    <s v="11:00"/>
    <n v="3"/>
    <x v="35"/>
    <s v="-"/>
    <s v="P"/>
    <s v="P"/>
    <s v="P"/>
    <s v="-"/>
    <s v="+"/>
    <s v="-"/>
    <s v="-"/>
    <s v="-"/>
    <s v="-"/>
    <s v="-"/>
    <s v="-"/>
    <s v="-"/>
    <s v="-"/>
    <s v="-"/>
    <s v="P"/>
    <s v="P"/>
    <s v="-"/>
    <s v="-"/>
    <n v="1"/>
    <n v="2"/>
    <s v="-"/>
    <s v="-"/>
    <s v="-"/>
    <s v="-"/>
    <s v="-"/>
    <s v="-"/>
    <s v="-"/>
    <s v="-"/>
    <n v="3"/>
    <n v="3"/>
    <s v="-"/>
    <n v="1"/>
    <n v="1"/>
    <n v="2"/>
    <n v="2"/>
    <n v="5"/>
    <n v="5"/>
  </r>
  <r>
    <x v="7"/>
    <x v="169"/>
    <d v="2026-08-05T00:00:00"/>
    <s v="1ST"/>
    <s v="12:00"/>
    <n v="3"/>
    <x v="35"/>
    <s v="-"/>
    <s v="P"/>
    <s v="P"/>
    <s v="P"/>
    <s v="-"/>
    <s v="+"/>
    <n v="13.79"/>
    <s v="-"/>
    <s v="-"/>
    <s v="-"/>
    <s v="-"/>
    <s v="-"/>
    <s v="-"/>
    <s v="-"/>
    <s v="-"/>
    <s v="P"/>
    <s v="P"/>
    <s v="-"/>
    <s v="-"/>
    <n v="1"/>
    <n v="2"/>
    <n v="1"/>
    <s v="-"/>
    <s v="-"/>
    <s v="-"/>
    <s v="-"/>
    <s v="-"/>
    <s v="-"/>
    <s v="-"/>
    <n v="4"/>
    <n v="4"/>
    <s v="-"/>
    <n v="1"/>
    <n v="1"/>
    <n v="2"/>
    <n v="2"/>
    <n v="6"/>
    <n v="6"/>
  </r>
  <r>
    <x v="7"/>
    <x v="169"/>
    <d v="2026-08-05T00:00:00"/>
    <s v="1ST"/>
    <s v="13:00"/>
    <n v="3"/>
    <x v="35"/>
    <s v="-"/>
    <s v="P"/>
    <s v="P"/>
    <s v="P"/>
    <s v="-"/>
    <s v="+"/>
    <n v="13.72"/>
    <s v="-"/>
    <s v="-"/>
    <s v="-"/>
    <s v="-"/>
    <s v="-"/>
    <s v="-"/>
    <s v="-"/>
    <s v="-"/>
    <s v="P"/>
    <s v="P"/>
    <s v="-"/>
    <s v="-"/>
    <n v="1"/>
    <n v="2"/>
    <n v="1"/>
    <s v="-"/>
    <s v="-"/>
    <s v="-"/>
    <s v="-"/>
    <s v="-"/>
    <s v="-"/>
    <s v="-"/>
    <n v="4"/>
    <n v="4"/>
    <s v="-"/>
    <n v="1"/>
    <n v="1"/>
    <n v="2"/>
    <n v="2"/>
    <n v="6"/>
    <n v="6"/>
  </r>
  <r>
    <x v="7"/>
    <x v="169"/>
    <d v="2026-08-04T00:00:00"/>
    <s v="2ND"/>
    <d v="1899-12-30T14:00:00"/>
    <n v="1"/>
    <x v="47"/>
    <s v="-"/>
    <s v="P"/>
    <s v="P"/>
    <s v="P"/>
    <s v="-"/>
    <s v="+"/>
    <n v="11.2"/>
    <n v="10.28"/>
    <s v="-"/>
    <s v="-"/>
    <s v="-"/>
    <s v="-"/>
    <n v="26.5"/>
    <s v="-"/>
    <s v="-"/>
    <s v="P"/>
    <s v="P"/>
    <s v="80% 20%"/>
    <s v="-"/>
    <n v="1"/>
    <n v="2"/>
    <n v="1"/>
    <n v="1"/>
    <s v="-"/>
    <s v="-"/>
    <s v="-"/>
    <s v="-"/>
    <n v="0"/>
    <s v="-"/>
    <n v="5"/>
    <n v="7"/>
    <s v="-"/>
    <n v="1"/>
    <n v="1"/>
    <n v="2"/>
    <n v="2"/>
    <n v="7"/>
    <n v="9"/>
  </r>
  <r>
    <x v="7"/>
    <x v="169"/>
    <d v="2026-08-04T00:00:00"/>
    <s v="2ND"/>
    <d v="1899-12-30T15:00:00"/>
    <n v="1"/>
    <x v="47"/>
    <s v="-"/>
    <s v="P"/>
    <s v="P"/>
    <s v="P"/>
    <s v="-"/>
    <s v="+"/>
    <n v="11.19"/>
    <s v="-"/>
    <s v="-"/>
    <s v="-"/>
    <s v="-"/>
    <s v="-"/>
    <s v="-"/>
    <s v="-"/>
    <s v="-"/>
    <s v="P"/>
    <s v="P"/>
    <s v="-"/>
    <s v="-"/>
    <n v="1"/>
    <n v="2"/>
    <n v="1"/>
    <s v="-"/>
    <s v="-"/>
    <s v="-"/>
    <s v="-"/>
    <s v="-"/>
    <s v="-"/>
    <s v="-"/>
    <n v="4"/>
    <n v="4"/>
    <s v="-"/>
    <n v="1"/>
    <n v="1"/>
    <n v="2"/>
    <n v="2"/>
    <n v="6"/>
    <n v="6"/>
  </r>
  <r>
    <x v="7"/>
    <x v="169"/>
    <d v="2026-08-04T00:00:00"/>
    <s v="2ND"/>
    <d v="1899-12-30T16:00:00"/>
    <n v="1"/>
    <x v="47"/>
    <s v="-"/>
    <s v="P"/>
    <s v="P"/>
    <s v="P"/>
    <s v="-"/>
    <s v="+"/>
    <n v="11.03"/>
    <s v="-"/>
    <s v="-"/>
    <s v="-"/>
    <s v="-"/>
    <s v="-"/>
    <s v="-"/>
    <s v="-"/>
    <s v="-"/>
    <s v="P"/>
    <s v="P"/>
    <s v="-"/>
    <s v="-"/>
    <n v="1"/>
    <n v="2"/>
    <n v="1"/>
    <s v="-"/>
    <s v="-"/>
    <s v="-"/>
    <s v="-"/>
    <s v="-"/>
    <s v="-"/>
    <s v="-"/>
    <n v="4"/>
    <n v="4"/>
    <s v="-"/>
    <n v="1"/>
    <n v="1"/>
    <n v="2"/>
    <n v="2"/>
    <n v="6"/>
    <n v="6"/>
  </r>
  <r>
    <x v="7"/>
    <x v="169"/>
    <d v="2026-08-04T00:00:00"/>
    <s v="2ND"/>
    <d v="1899-12-30T17:00:00"/>
    <n v="1"/>
    <x v="47"/>
    <s v="-"/>
    <s v="P"/>
    <s v="P"/>
    <s v="P"/>
    <s v="-"/>
    <s v="+"/>
    <n v="11"/>
    <s v="-"/>
    <s v="-"/>
    <s v="-"/>
    <s v="-"/>
    <s v="-"/>
    <s v="-"/>
    <s v="-"/>
    <s v="-"/>
    <s v="P"/>
    <s v="P"/>
    <s v="-"/>
    <s v="-"/>
    <n v="1"/>
    <n v="2"/>
    <n v="1"/>
    <s v="-"/>
    <s v="-"/>
    <s v="-"/>
    <s v="-"/>
    <s v="-"/>
    <s v="-"/>
    <s v="-"/>
    <n v="4"/>
    <n v="4"/>
    <s v="-"/>
    <n v="1"/>
    <n v="1"/>
    <n v="2"/>
    <n v="2"/>
    <n v="6"/>
    <n v="6"/>
  </r>
  <r>
    <x v="7"/>
    <x v="169"/>
    <d v="2026-08-04T00:00:00"/>
    <s v="2ND"/>
    <d v="1899-12-30T18:00:00"/>
    <n v="1"/>
    <x v="47"/>
    <n v="0.01"/>
    <s v="P"/>
    <s v="P"/>
    <s v="P"/>
    <s v="-"/>
    <s v="+"/>
    <n v="11.21"/>
    <s v="-"/>
    <s v="-"/>
    <s v="-"/>
    <s v="-"/>
    <s v="-"/>
    <s v="-"/>
    <s v="-"/>
    <s v="-"/>
    <s v="P"/>
    <s v="P"/>
    <s v="-"/>
    <n v="2"/>
    <n v="1"/>
    <n v="2"/>
    <n v="1"/>
    <s v="-"/>
    <s v="-"/>
    <s v="-"/>
    <s v="-"/>
    <s v="-"/>
    <s v="-"/>
    <s v="-"/>
    <n v="6"/>
    <n v="6"/>
    <s v="-"/>
    <n v="1"/>
    <n v="1"/>
    <n v="2"/>
    <n v="2"/>
    <n v="8"/>
    <n v="8"/>
  </r>
  <r>
    <x v="7"/>
    <x v="169"/>
    <d v="2026-08-04T00:00:00"/>
    <s v="2ND"/>
    <d v="1899-12-30T19:00:00"/>
    <n v="1"/>
    <x v="47"/>
    <n v="0.01"/>
    <s v="P"/>
    <s v="P"/>
    <s v="P"/>
    <s v="-"/>
    <s v="+"/>
    <n v="11.12"/>
    <s v="-"/>
    <s v="-"/>
    <s v="-"/>
    <s v="-"/>
    <s v="-"/>
    <s v="-"/>
    <s v="-"/>
    <s v="-"/>
    <s v="P"/>
    <s v="P"/>
    <s v="-"/>
    <n v="2"/>
    <n v="1"/>
    <n v="2"/>
    <n v="1"/>
    <s v="-"/>
    <s v="-"/>
    <s v="-"/>
    <s v="-"/>
    <s v="-"/>
    <s v="-"/>
    <s v="-"/>
    <n v="6"/>
    <n v="6"/>
    <s v="-"/>
    <n v="1"/>
    <n v="1"/>
    <n v="2"/>
    <n v="2"/>
    <n v="8"/>
    <n v="8"/>
  </r>
  <r>
    <x v="7"/>
    <x v="169"/>
    <d v="2026-08-04T00:00:00"/>
    <s v="2ND"/>
    <d v="1899-12-30T20:00:00"/>
    <n v="1"/>
    <x v="47"/>
    <n v="0.01"/>
    <s v="P"/>
    <s v="P"/>
    <s v="P"/>
    <s v="-"/>
    <s v="+"/>
    <n v="11.3"/>
    <s v="-"/>
    <s v="-"/>
    <s v="-"/>
    <s v="-"/>
    <s v="-"/>
    <s v="-"/>
    <s v="-"/>
    <s v="-"/>
    <s v="P"/>
    <s v="P"/>
    <s v="-"/>
    <n v="2"/>
    <n v="1"/>
    <n v="2"/>
    <n v="1"/>
    <s v="-"/>
    <s v="-"/>
    <s v="-"/>
    <s v="-"/>
    <s v="-"/>
    <s v="-"/>
    <s v="-"/>
    <n v="6"/>
    <n v="6"/>
    <s v="-"/>
    <n v="1"/>
    <n v="1"/>
    <n v="2"/>
    <n v="2"/>
    <n v="8"/>
    <n v="8"/>
  </r>
  <r>
    <x v="7"/>
    <x v="169"/>
    <d v="2026-08-04T00:00:00"/>
    <s v="2ND"/>
    <d v="1899-12-30T21:00:00"/>
    <n v="1"/>
    <x v="47"/>
    <n v="0.01"/>
    <s v="P"/>
    <s v="P"/>
    <s v="P"/>
    <s v="-"/>
    <s v="+"/>
    <n v="11.34"/>
    <s v="-"/>
    <s v="-"/>
    <s v="-"/>
    <s v="-"/>
    <s v="-"/>
    <s v="-"/>
    <s v="-"/>
    <s v="-"/>
    <s v="P"/>
    <s v="P"/>
    <s v="-"/>
    <n v="2"/>
    <n v="1"/>
    <n v="2"/>
    <n v="1"/>
    <s v="-"/>
    <s v="-"/>
    <s v="-"/>
    <s v="-"/>
    <s v="-"/>
    <s v="-"/>
    <s v="-"/>
    <n v="6"/>
    <n v="6"/>
    <s v="-"/>
    <n v="1"/>
    <n v="1"/>
    <n v="2"/>
    <n v="2"/>
    <n v="8"/>
    <n v="8"/>
  </r>
  <r>
    <x v="7"/>
    <x v="169"/>
    <d v="2026-08-05T00:00:00"/>
    <s v="2ND"/>
    <d v="1899-12-30T14:00:00"/>
    <n v="3"/>
    <x v="35"/>
    <s v="-"/>
    <s v="P"/>
    <s v="P"/>
    <s v="P"/>
    <s v="+"/>
    <s v="+"/>
    <n v="13.27"/>
    <n v="12.07"/>
    <n v="0.41"/>
    <n v="62.8"/>
    <n v="17.600000000000001"/>
    <n v="1073"/>
    <n v="35.200000000000003"/>
    <s v="-"/>
    <s v="-"/>
    <s v="P"/>
    <s v="P"/>
    <n v="1"/>
    <s v="-"/>
    <n v="1"/>
    <n v="2"/>
    <n v="1"/>
    <n v="0"/>
    <n v="0"/>
    <n v="2"/>
    <n v="0"/>
    <n v="1"/>
    <n v="2"/>
    <s v="-"/>
    <n v="9"/>
    <n v="13"/>
    <s v="-"/>
    <n v="1"/>
    <n v="1"/>
    <n v="2"/>
    <n v="2"/>
    <n v="11"/>
    <n v="15"/>
  </r>
  <r>
    <x v="7"/>
    <x v="169"/>
    <d v="2026-08-05T00:00:00"/>
    <s v="2ND"/>
    <d v="1899-12-30T15:00:00"/>
    <n v="3"/>
    <x v="35"/>
    <s v="-"/>
    <s v="P"/>
    <s v="P"/>
    <s v="P"/>
    <s v="+"/>
    <s v="+"/>
    <n v="13.27"/>
    <s v="-"/>
    <s v="-"/>
    <s v="-"/>
    <s v="-"/>
    <s v="-"/>
    <s v="-"/>
    <s v="-"/>
    <s v="-"/>
    <s v="P"/>
    <s v="P"/>
    <s v="-"/>
    <s v="-"/>
    <n v="1"/>
    <n v="2"/>
    <n v="1"/>
    <s v="-"/>
    <s v="-"/>
    <s v="-"/>
    <s v="-"/>
    <s v="-"/>
    <s v="-"/>
    <s v="-"/>
    <n v="4"/>
    <n v="4"/>
    <s v="-"/>
    <n v="1"/>
    <n v="1"/>
    <n v="2"/>
    <n v="2"/>
    <n v="6"/>
    <n v="6"/>
  </r>
  <r>
    <x v="7"/>
    <x v="169"/>
    <d v="2026-07-23T00:00:00"/>
    <s v="2ND"/>
    <d v="1899-12-30T16:00:00"/>
    <n v="3"/>
    <x v="1"/>
    <s v="-"/>
    <s v="P"/>
    <s v="P"/>
    <s v="P"/>
    <s v="+"/>
    <s v="+"/>
    <n v="12.9"/>
    <s v="-"/>
    <s v="-"/>
    <s v="-"/>
    <s v="-"/>
    <s v="-"/>
    <s v="-"/>
    <s v="-"/>
    <s v="-"/>
    <s v="P"/>
    <s v="P"/>
    <s v="85% 5% 10%"/>
    <s v="-"/>
    <n v="1"/>
    <n v="2"/>
    <n v="1"/>
    <s v="-"/>
    <s v="-"/>
    <s v="-"/>
    <s v="-"/>
    <s v="-"/>
    <s v="-"/>
    <s v="-"/>
    <n v="4"/>
    <n v="4"/>
    <s v="-"/>
    <n v="1"/>
    <n v="1"/>
    <n v="2"/>
    <n v="2"/>
    <n v="6"/>
    <n v="6"/>
  </r>
  <r>
    <x v="7"/>
    <x v="169"/>
    <d v="2026-07-23T00:00:00"/>
    <s v="2ND"/>
    <d v="1899-12-30T17:00:00"/>
    <n v="3"/>
    <x v="1"/>
    <s v="-"/>
    <s v="P"/>
    <s v="P"/>
    <s v="P"/>
    <s v="+"/>
    <s v="+"/>
    <n v="13.01"/>
    <s v="-"/>
    <s v="-"/>
    <s v="-"/>
    <s v="-"/>
    <s v="-"/>
    <s v="-"/>
    <s v="-"/>
    <s v="-"/>
    <s v="P"/>
    <s v="P"/>
    <s v="-"/>
    <s v="-"/>
    <n v="1"/>
    <n v="2"/>
    <n v="1"/>
    <s v="-"/>
    <s v="-"/>
    <s v="-"/>
    <s v="-"/>
    <s v="-"/>
    <s v="-"/>
    <s v="-"/>
    <n v="4"/>
    <n v="4"/>
    <s v="-"/>
    <n v="1"/>
    <n v="1"/>
    <n v="2"/>
    <n v="2"/>
    <n v="6"/>
    <n v="6"/>
  </r>
  <r>
    <x v="7"/>
    <x v="169"/>
    <d v="2026-07-23T00:00:00"/>
    <s v="2ND"/>
    <d v="1899-12-30T21:00:00"/>
    <n v="3"/>
    <x v="1"/>
    <n v="0.01"/>
    <s v="P"/>
    <s v="P"/>
    <s v="P"/>
    <s v="+"/>
    <s v="+"/>
    <n v="12.88"/>
    <s v="-"/>
    <s v="-"/>
    <s v="-"/>
    <s v="-"/>
    <s v="-"/>
    <s v="-"/>
    <s v="-"/>
    <s v="-"/>
    <s v="P"/>
    <s v="P"/>
    <s v="-"/>
    <n v="2"/>
    <n v="1"/>
    <n v="2"/>
    <n v="1"/>
    <s v="-"/>
    <s v="-"/>
    <s v="-"/>
    <s v="-"/>
    <s v="-"/>
    <s v="-"/>
    <s v="-"/>
    <n v="6"/>
    <n v="6"/>
    <s v="-"/>
    <n v="1"/>
    <n v="1"/>
    <n v="2"/>
    <n v="2"/>
    <n v="8"/>
    <n v="8"/>
  </r>
  <r>
    <x v="7"/>
    <x v="169"/>
    <d v="2026-08-04T00:00:00"/>
    <s v="3RD"/>
    <d v="1899-12-30T22:00:00"/>
    <n v="1"/>
    <x v="47"/>
    <n v="0.01"/>
    <s v="P"/>
    <s v="P"/>
    <s v="P"/>
    <s v="-"/>
    <s v="+"/>
    <n v="11.08"/>
    <n v="10.130000000000001"/>
    <n v="0.57999999999999996"/>
    <s v="-"/>
    <s v="-"/>
    <s v="-"/>
    <n v="27.8"/>
    <s v="-"/>
    <s v="-"/>
    <s v="P"/>
    <s v="P"/>
    <s v="80% 20%"/>
    <n v="2"/>
    <n v="1"/>
    <n v="2"/>
    <n v="1"/>
    <n v="1"/>
    <n v="2"/>
    <s v="-"/>
    <s v="-"/>
    <s v="-"/>
    <n v="0"/>
    <s v="-"/>
    <n v="9"/>
    <n v="11"/>
    <s v="-"/>
    <n v="1"/>
    <n v="1"/>
    <n v="2"/>
    <n v="2"/>
    <n v="11"/>
    <n v="13"/>
  </r>
  <r>
    <x v="7"/>
    <x v="169"/>
    <d v="2026-08-04T00:00:00"/>
    <s v="3RD"/>
    <d v="1899-12-31T00:00:00"/>
    <n v="1"/>
    <x v="47"/>
    <n v="0.01"/>
    <s v="P"/>
    <s v="P"/>
    <s v="P"/>
    <s v="-"/>
    <s v="+"/>
    <n v="11.34"/>
    <s v="-"/>
    <s v="-"/>
    <s v="-"/>
    <s v="-"/>
    <s v="-"/>
    <s v="-"/>
    <s v="-"/>
    <s v="-"/>
    <s v="P"/>
    <s v="P"/>
    <s v="-"/>
    <n v="2"/>
    <n v="1"/>
    <n v="2"/>
    <n v="1"/>
    <s v="-"/>
    <s v="-"/>
    <s v="-"/>
    <s v="-"/>
    <s v="-"/>
    <s v="-"/>
    <s v="-"/>
    <n v="6"/>
    <n v="6"/>
    <s v="-"/>
    <n v="1"/>
    <n v="1"/>
    <n v="2"/>
    <n v="2"/>
    <n v="8"/>
    <n v="8"/>
  </r>
  <r>
    <x v="7"/>
    <x v="169"/>
    <d v="2026-08-04T00:00:00"/>
    <s v="3RD"/>
    <d v="1899-12-31T01:00:00"/>
    <n v="1"/>
    <x v="47"/>
    <n v="0.02"/>
    <s v="P"/>
    <s v="P"/>
    <s v="P"/>
    <s v="-"/>
    <s v="+"/>
    <n v="11.25"/>
    <s v="-"/>
    <s v="-"/>
    <s v="-"/>
    <s v="-"/>
    <s v="-"/>
    <s v="-"/>
    <s v="-"/>
    <s v="-"/>
    <s v="P"/>
    <s v="P"/>
    <s v="-"/>
    <n v="2"/>
    <n v="1"/>
    <n v="2"/>
    <n v="1"/>
    <s v="-"/>
    <s v="-"/>
    <s v="-"/>
    <s v="-"/>
    <s v="-"/>
    <s v="-"/>
    <s v="-"/>
    <n v="6"/>
    <n v="6"/>
    <s v="-"/>
    <n v="1"/>
    <n v="1"/>
    <n v="2"/>
    <n v="2"/>
    <n v="8"/>
    <n v="8"/>
  </r>
  <r>
    <x v="7"/>
    <x v="169"/>
    <d v="2026-08-04T00:00:00"/>
    <s v="3RD"/>
    <d v="1899-12-31T03:00:00"/>
    <n v="1"/>
    <x v="47"/>
    <n v="0.02"/>
    <s v="P"/>
    <s v="P"/>
    <s v="P"/>
    <s v="-"/>
    <s v="+"/>
    <n v="10.99"/>
    <n v="9.48"/>
    <s v="-"/>
    <s v="-"/>
    <s v="-"/>
    <s v="-"/>
    <n v="25.97"/>
    <s v="-"/>
    <s v="-"/>
    <s v="P"/>
    <s v="P"/>
    <n v="1"/>
    <n v="2"/>
    <n v="1"/>
    <n v="2"/>
    <n v="0"/>
    <n v="1"/>
    <s v="-"/>
    <s v="-"/>
    <s v="-"/>
    <s v="-"/>
    <n v="2"/>
    <s v="-"/>
    <n v="8"/>
    <n v="9"/>
    <s v="-"/>
    <n v="1"/>
    <n v="1"/>
    <n v="2"/>
    <n v="2"/>
    <n v="10"/>
    <n v="11"/>
  </r>
  <r>
    <x v="7"/>
    <x v="169"/>
    <d v="2026-08-04T00:00:00"/>
    <s v="3RD"/>
    <d v="1899-12-31T04:00:00"/>
    <n v="1"/>
    <x v="47"/>
    <s v="-"/>
    <s v="P"/>
    <s v="P"/>
    <s v="P"/>
    <s v="-"/>
    <s v="+"/>
    <n v="11.04"/>
    <s v="-"/>
    <s v="-"/>
    <s v="-"/>
    <s v="-"/>
    <s v="-"/>
    <s v="-"/>
    <s v="-"/>
    <s v="-"/>
    <s v="P"/>
    <s v="P"/>
    <s v="-"/>
    <s v="-"/>
    <n v="1"/>
    <n v="2"/>
    <n v="1"/>
    <s v="-"/>
    <s v="-"/>
    <s v="-"/>
    <s v="-"/>
    <s v="-"/>
    <s v="-"/>
    <s v="-"/>
    <n v="4"/>
    <n v="4"/>
    <s v="-"/>
    <n v="1"/>
    <n v="1"/>
    <n v="2"/>
    <n v="2"/>
    <n v="6"/>
    <n v="6"/>
  </r>
  <r>
    <x v="7"/>
    <x v="169"/>
    <d v="2026-07-23T00:00:00"/>
    <s v="3RD"/>
    <d v="1899-12-30T22:00:00"/>
    <n v="3"/>
    <x v="1"/>
    <n v="0.01"/>
    <s v="P"/>
    <s v="P"/>
    <s v="P"/>
    <s v="+"/>
    <s v="+"/>
    <n v="12.85"/>
    <n v="12.27"/>
    <n v="0.54"/>
    <s v="-"/>
    <s v="-"/>
    <s v="-"/>
    <n v="34.1"/>
    <s v="-"/>
    <s v="-"/>
    <s v="P"/>
    <s v="P"/>
    <s v="85% 5% 10%"/>
    <n v="2"/>
    <n v="1"/>
    <n v="2"/>
    <n v="1"/>
    <n v="1"/>
    <n v="2"/>
    <s v="-"/>
    <s v="-"/>
    <s v="-"/>
    <n v="2"/>
    <s v="-"/>
    <n v="11"/>
    <n v="11"/>
    <s v="-"/>
    <n v="1"/>
    <n v="1"/>
    <n v="2"/>
    <n v="2"/>
    <n v="13"/>
    <n v="13"/>
  </r>
  <r>
    <x v="7"/>
    <x v="169"/>
    <d v="2026-08-04T00:00:00"/>
    <s v="3RD"/>
    <d v="1899-12-31T02:00:00"/>
    <n v="3"/>
    <x v="12"/>
    <n v="0.01"/>
    <s v="P"/>
    <s v="P"/>
    <s v="P"/>
    <s v="+"/>
    <s v="+"/>
    <s v="-"/>
    <n v="13.23"/>
    <s v="-"/>
    <n v="64"/>
    <s v="-"/>
    <s v="-"/>
    <n v="37.299999999999997"/>
    <s v="-"/>
    <s v="-"/>
    <s v="P"/>
    <s v="P"/>
    <n v="1"/>
    <n v="2"/>
    <n v="1"/>
    <n v="2"/>
    <s v="-"/>
    <s v="-"/>
    <s v="-"/>
    <n v="2"/>
    <s v="-"/>
    <s v="-"/>
    <n v="2"/>
    <s v="-"/>
    <n v="9"/>
    <n v="9"/>
    <s v="-"/>
    <n v="1"/>
    <n v="1"/>
    <n v="2"/>
    <n v="2"/>
    <n v="11"/>
    <n v="11"/>
  </r>
  <r>
    <x v="7"/>
    <x v="169"/>
    <d v="2026-08-04T00:00:00"/>
    <s v="3RD"/>
    <d v="1899-12-31T03:00:00"/>
    <n v="3"/>
    <x v="16"/>
    <n v="0.01"/>
    <s v="P"/>
    <s v="P"/>
    <s v="P"/>
    <s v="+"/>
    <s v="+"/>
    <n v="12.28"/>
    <n v="12.84"/>
    <s v="-"/>
    <s v="-"/>
    <s v="-"/>
    <s v="-"/>
    <n v="36.1"/>
    <s v="-"/>
    <s v="-"/>
    <s v="P"/>
    <s v="P"/>
    <n v="1"/>
    <n v="2"/>
    <n v="1"/>
    <n v="2"/>
    <n v="1"/>
    <n v="1"/>
    <s v="-"/>
    <s v="-"/>
    <s v="-"/>
    <s v="-"/>
    <n v="2"/>
    <s v="-"/>
    <n v="9"/>
    <n v="9"/>
    <s v="-"/>
    <n v="1"/>
    <n v="1"/>
    <n v="2"/>
    <n v="2"/>
    <n v="11"/>
    <n v="11"/>
  </r>
  <r>
    <x v="7"/>
    <x v="169"/>
    <d v="2026-08-04T00:00:00"/>
    <s v="3RD"/>
    <d v="1899-12-31T04:00:00"/>
    <n v="3"/>
    <x v="16"/>
    <n v="0.01"/>
    <s v="P"/>
    <s v="P"/>
    <s v="P"/>
    <s v="+"/>
    <s v="+"/>
    <n v="12.14"/>
    <s v="-"/>
    <s v="-"/>
    <s v="-"/>
    <s v="-"/>
    <s v="-"/>
    <s v="-"/>
    <s v="-"/>
    <s v="-"/>
    <s v="P"/>
    <s v="P"/>
    <s v="-"/>
    <n v="2"/>
    <n v="1"/>
    <n v="2"/>
    <n v="1"/>
    <s v="-"/>
    <s v="-"/>
    <s v="-"/>
    <s v="-"/>
    <s v="-"/>
    <s v="-"/>
    <s v="-"/>
    <n v="6"/>
    <n v="6"/>
    <s v="-"/>
    <n v="1"/>
    <n v="1"/>
    <n v="2"/>
    <n v="2"/>
    <n v="8"/>
    <n v="8"/>
  </r>
  <r>
    <x v="7"/>
    <x v="169"/>
    <d v="2026-08-04T00:00:00"/>
    <s v="3RD"/>
    <d v="1899-12-31T05:00:00"/>
    <n v="3"/>
    <x v="16"/>
    <n v="0.02"/>
    <s v="P"/>
    <s v="P"/>
    <s v="P"/>
    <s v="+"/>
    <s v="+"/>
    <n v="11.93"/>
    <s v="-"/>
    <s v="-"/>
    <s v="-"/>
    <s v="-"/>
    <s v="-"/>
    <s v="-"/>
    <s v="-"/>
    <s v="-"/>
    <s v="P"/>
    <s v="P"/>
    <s v="-"/>
    <n v="2"/>
    <n v="1"/>
    <n v="2"/>
    <n v="0"/>
    <s v="-"/>
    <s v="-"/>
    <s v="-"/>
    <s v="-"/>
    <s v="-"/>
    <s v="-"/>
    <s v="-"/>
    <n v="5"/>
    <n v="6"/>
    <s v="-"/>
    <n v="1"/>
    <n v="1"/>
    <n v="2"/>
    <n v="2"/>
    <n v="7"/>
    <n v="8"/>
  </r>
  <r>
    <x v="7"/>
    <x v="170"/>
    <d v="2026-08-04T00:00:00"/>
    <s v="1ST"/>
    <s v="06:00"/>
    <n v="1"/>
    <x v="4"/>
    <s v="-"/>
    <s v="P"/>
    <s v="P"/>
    <s v="P"/>
    <s v="-"/>
    <s v="+"/>
    <n v="11.82"/>
    <n v="9.74"/>
    <n v="0.55000000000000004"/>
    <n v="54.3"/>
    <s v="-"/>
    <s v="-"/>
    <n v="26.7"/>
    <s v="-"/>
    <s v="-"/>
    <s v="P"/>
    <s v="P"/>
    <n v="1"/>
    <s v="-"/>
    <n v="1"/>
    <n v="2"/>
    <n v="1"/>
    <n v="0"/>
    <n v="2"/>
    <n v="2"/>
    <s v="-"/>
    <s v="-"/>
    <n v="2"/>
    <s v="-"/>
    <n v="10"/>
    <n v="11"/>
    <s v="-"/>
    <n v="1"/>
    <n v="1"/>
    <n v="2"/>
    <n v="2"/>
    <n v="12"/>
    <n v="13"/>
  </r>
  <r>
    <x v="7"/>
    <x v="170"/>
    <d v="2026-08-04T00:00:00"/>
    <s v="1ST"/>
    <s v="08:00"/>
    <n v="1"/>
    <x v="4"/>
    <s v="-"/>
    <s v="P"/>
    <s v="P"/>
    <s v="P"/>
    <s v="-"/>
    <s v="+"/>
    <n v="11.78"/>
    <s v="-"/>
    <s v="-"/>
    <s v="-"/>
    <s v="-"/>
    <s v="-"/>
    <s v="-"/>
    <s v="-"/>
    <s v="-"/>
    <s v="P"/>
    <s v="P"/>
    <s v="-"/>
    <s v="-"/>
    <n v="1"/>
    <n v="2"/>
    <n v="1"/>
    <s v="-"/>
    <s v="-"/>
    <s v="-"/>
    <s v="-"/>
    <s v="-"/>
    <s v="-"/>
    <s v="-"/>
    <n v="4"/>
    <n v="4"/>
    <s v="-"/>
    <n v="1"/>
    <n v="1"/>
    <n v="2"/>
    <n v="2"/>
    <n v="6"/>
    <n v="6"/>
  </r>
  <r>
    <x v="7"/>
    <x v="170"/>
    <d v="2026-08-04T00:00:00"/>
    <s v="1ST"/>
    <s v="09:00"/>
    <n v="1"/>
    <x v="21"/>
    <s v="-"/>
    <s v="P"/>
    <s v="P"/>
    <s v="P"/>
    <s v="-"/>
    <s v="+"/>
    <n v="11.65"/>
    <s v="-"/>
    <s v="-"/>
    <s v="-"/>
    <s v="-"/>
    <s v="-"/>
    <s v="-"/>
    <s v="-"/>
    <s v="-"/>
    <s v="P"/>
    <s v="P"/>
    <n v="1"/>
    <s v="-"/>
    <n v="1"/>
    <n v="2"/>
    <n v="1"/>
    <s v="-"/>
    <s v="-"/>
    <s v="-"/>
    <s v="-"/>
    <s v="-"/>
    <s v="-"/>
    <s v="-"/>
    <n v="4"/>
    <n v="4"/>
    <s v="-"/>
    <n v="1"/>
    <n v="1"/>
    <n v="2"/>
    <n v="2"/>
    <n v="6"/>
    <n v="6"/>
  </r>
  <r>
    <x v="7"/>
    <x v="170"/>
    <d v="2026-08-04T00:00:00"/>
    <s v="1ST"/>
    <s v="11:00"/>
    <n v="1"/>
    <x v="21"/>
    <s v="-"/>
    <s v="P"/>
    <s v="P"/>
    <s v="P"/>
    <s v="-"/>
    <s v="+"/>
    <n v="11.77"/>
    <s v="-"/>
    <s v="-"/>
    <s v="-"/>
    <s v="-"/>
    <s v="-"/>
    <s v="-"/>
    <s v="-"/>
    <s v="-"/>
    <s v="P"/>
    <s v="P"/>
    <s v="-"/>
    <s v="-"/>
    <n v="1"/>
    <n v="2"/>
    <n v="1"/>
    <s v="-"/>
    <s v="-"/>
    <s v="-"/>
    <s v="-"/>
    <s v="-"/>
    <s v="-"/>
    <s v="-"/>
    <n v="4"/>
    <n v="4"/>
    <s v="-"/>
    <n v="1"/>
    <n v="1"/>
    <n v="2"/>
    <n v="2"/>
    <n v="6"/>
    <n v="6"/>
  </r>
  <r>
    <x v="7"/>
    <x v="170"/>
    <d v="2026-08-04T00:00:00"/>
    <s v="1ST"/>
    <s v="12:00"/>
    <n v="1"/>
    <x v="21"/>
    <s v="-"/>
    <s v="P"/>
    <s v="P"/>
    <s v="P"/>
    <s v="-"/>
    <s v="+"/>
    <n v="11.63"/>
    <s v="-"/>
    <s v="-"/>
    <s v="-"/>
    <s v="-"/>
    <s v="-"/>
    <s v="-"/>
    <s v="-"/>
    <s v="-"/>
    <s v="P"/>
    <s v="P"/>
    <s v="-"/>
    <s v="-"/>
    <n v="1"/>
    <n v="2"/>
    <n v="1"/>
    <s v="-"/>
    <s v="-"/>
    <s v="-"/>
    <s v="-"/>
    <s v="-"/>
    <s v="-"/>
    <s v="-"/>
    <n v="4"/>
    <n v="4"/>
    <s v="-"/>
    <n v="1"/>
    <n v="1"/>
    <n v="2"/>
    <n v="2"/>
    <n v="6"/>
    <n v="6"/>
  </r>
  <r>
    <x v="7"/>
    <x v="170"/>
    <d v="2026-08-04T00:00:00"/>
    <s v="1ST"/>
    <s v="13:00"/>
    <n v="1"/>
    <x v="21"/>
    <s v="-"/>
    <s v="P"/>
    <s v="P"/>
    <s v="P"/>
    <s v="-"/>
    <s v="+"/>
    <n v="11.67"/>
    <s v="-"/>
    <s v="-"/>
    <s v="-"/>
    <s v="-"/>
    <s v="-"/>
    <s v="-"/>
    <s v="-"/>
    <s v="-"/>
    <s v="P"/>
    <s v="P"/>
    <s v="-"/>
    <s v="-"/>
    <n v="1"/>
    <n v="2"/>
    <n v="1"/>
    <s v="-"/>
    <s v="-"/>
    <s v="-"/>
    <s v="-"/>
    <s v="-"/>
    <s v="-"/>
    <s v="-"/>
    <n v="4"/>
    <n v="4"/>
    <s v="-"/>
    <n v="1"/>
    <n v="1"/>
    <n v="2"/>
    <n v="2"/>
    <n v="6"/>
    <n v="6"/>
  </r>
  <r>
    <x v="7"/>
    <x v="170"/>
    <d v="2026-08-04T00:00:00"/>
    <s v="1ST"/>
    <s v="06:00"/>
    <n v="3"/>
    <x v="16"/>
    <n v="0.01"/>
    <s v="P"/>
    <s v="P"/>
    <s v="P"/>
    <s v="+"/>
    <s v="+"/>
    <n v="12.19"/>
    <n v="13.22"/>
    <n v="0.56000000000000005"/>
    <n v="64.099999999999994"/>
    <s v="-"/>
    <s v="-"/>
    <n v="37.299999999999997"/>
    <s v="-"/>
    <s v="-"/>
    <s v="P"/>
    <s v="P"/>
    <n v="1"/>
    <n v="2"/>
    <n v="1"/>
    <n v="2"/>
    <n v="1"/>
    <n v="1"/>
    <n v="0"/>
    <n v="2"/>
    <s v="-"/>
    <s v="-"/>
    <n v="2"/>
    <s v="-"/>
    <n v="11"/>
    <n v="13"/>
    <s v="-"/>
    <n v="1"/>
    <n v="1"/>
    <n v="2"/>
    <n v="2"/>
    <n v="13"/>
    <n v="15"/>
  </r>
  <r>
    <x v="7"/>
    <x v="170"/>
    <d v="2026-08-04T00:00:00"/>
    <s v="1ST"/>
    <s v="08:00"/>
    <n v="3"/>
    <x v="16"/>
    <n v="0.01"/>
    <s v="P"/>
    <s v="P"/>
    <s v="P"/>
    <s v="+"/>
    <s v="+"/>
    <n v="12.1"/>
    <s v="-"/>
    <s v="-"/>
    <s v="-"/>
    <s v="-"/>
    <s v="-"/>
    <s v="-"/>
    <s v="-"/>
    <s v="-"/>
    <s v="P"/>
    <s v="P"/>
    <s v="-"/>
    <n v="2"/>
    <n v="1"/>
    <n v="2"/>
    <n v="1"/>
    <s v="-"/>
    <s v="-"/>
    <s v="-"/>
    <s v="-"/>
    <s v="-"/>
    <s v="-"/>
    <s v="-"/>
    <n v="6"/>
    <n v="6"/>
    <s v="-"/>
    <n v="1"/>
    <n v="1"/>
    <n v="2"/>
    <n v="2"/>
    <n v="8"/>
    <n v="8"/>
  </r>
  <r>
    <x v="7"/>
    <x v="170"/>
    <d v="2026-08-04T00:00:00"/>
    <s v="1ST"/>
    <s v="09:00"/>
    <n v="3"/>
    <x v="16"/>
    <s v="-"/>
    <s v="P"/>
    <s v="P"/>
    <s v="P"/>
    <s v="+"/>
    <s v="+"/>
    <n v="12.19"/>
    <s v="-"/>
    <s v="-"/>
    <s v="-"/>
    <s v="-"/>
    <s v="-"/>
    <s v="-"/>
    <s v="-"/>
    <s v="-"/>
    <s v="P"/>
    <s v="P"/>
    <s v="-"/>
    <s v="-"/>
    <n v="1"/>
    <n v="2"/>
    <n v="1"/>
    <s v="-"/>
    <s v="-"/>
    <s v="-"/>
    <s v="-"/>
    <s v="-"/>
    <s v="-"/>
    <s v="-"/>
    <n v="4"/>
    <n v="4"/>
    <s v="-"/>
    <n v="1"/>
    <n v="1"/>
    <n v="2"/>
    <n v="2"/>
    <n v="6"/>
    <n v="6"/>
  </r>
  <r>
    <x v="7"/>
    <x v="170"/>
    <d v="2026-08-04T00:00:00"/>
    <s v="1ST"/>
    <s v="11:00"/>
    <n v="3"/>
    <x v="16"/>
    <s v="-"/>
    <s v="P"/>
    <s v="P"/>
    <s v="P"/>
    <s v="+"/>
    <s v="+"/>
    <s v="-"/>
    <s v="-"/>
    <s v="-"/>
    <s v="-"/>
    <s v="-"/>
    <s v="-"/>
    <s v="-"/>
    <s v="-"/>
    <s v="-"/>
    <s v="P"/>
    <s v="P"/>
    <s v="-"/>
    <s v="-"/>
    <n v="1"/>
    <n v="2"/>
    <s v="-"/>
    <s v="-"/>
    <s v="-"/>
    <s v="-"/>
    <s v="-"/>
    <s v="-"/>
    <s v="-"/>
    <s v="-"/>
    <n v="3"/>
    <n v="3"/>
    <s v="-"/>
    <n v="1"/>
    <n v="1"/>
    <n v="2"/>
    <n v="2"/>
    <n v="5"/>
    <n v="5"/>
  </r>
  <r>
    <x v="7"/>
    <x v="170"/>
    <d v="2026-08-04T00:00:00"/>
    <s v="1ST"/>
    <s v="12:00"/>
    <n v="3"/>
    <x v="16"/>
    <s v="-"/>
    <s v="P"/>
    <s v="P"/>
    <s v="P"/>
    <s v="+"/>
    <s v="+"/>
    <n v="13.4"/>
    <s v="-"/>
    <s v="-"/>
    <s v="-"/>
    <s v="-"/>
    <s v="-"/>
    <s v="-"/>
    <s v="-"/>
    <s v="-"/>
    <s v="P"/>
    <s v="P"/>
    <s v="-"/>
    <s v="-"/>
    <n v="1"/>
    <n v="2"/>
    <n v="1"/>
    <s v="-"/>
    <s v="-"/>
    <s v="-"/>
    <s v="-"/>
    <s v="-"/>
    <s v="-"/>
    <s v="-"/>
    <n v="4"/>
    <n v="4"/>
    <s v="-"/>
    <n v="1"/>
    <n v="1"/>
    <n v="2"/>
    <n v="2"/>
    <n v="6"/>
    <n v="6"/>
  </r>
  <r>
    <x v="7"/>
    <x v="170"/>
    <d v="2026-08-04T00:00:00"/>
    <s v="1ST"/>
    <s v="13:00"/>
    <n v="3"/>
    <x v="16"/>
    <s v="-"/>
    <s v="P"/>
    <s v="P"/>
    <s v="P"/>
    <s v="+"/>
    <s v="+"/>
    <n v="13.19"/>
    <s v="-"/>
    <s v="-"/>
    <s v="-"/>
    <s v="-"/>
    <s v="-"/>
    <s v="-"/>
    <s v="-"/>
    <s v="-"/>
    <s v="P"/>
    <s v="P"/>
    <s v="-"/>
    <s v="-"/>
    <n v="1"/>
    <n v="2"/>
    <n v="1"/>
    <s v="-"/>
    <s v="-"/>
    <s v="-"/>
    <s v="-"/>
    <s v="-"/>
    <s v="-"/>
    <s v="-"/>
    <n v="4"/>
    <n v="4"/>
    <s v="-"/>
    <n v="1"/>
    <n v="1"/>
    <n v="2"/>
    <n v="2"/>
    <n v="6"/>
    <n v="6"/>
  </r>
  <r>
    <x v="7"/>
    <x v="170"/>
    <d v="2026-08-04T00:00:00"/>
    <s v="2ND"/>
    <d v="1899-12-30T14:00:00"/>
    <n v="1"/>
    <x v="21"/>
    <s v="-"/>
    <s v="P"/>
    <s v="P"/>
    <s v="P"/>
    <s v="-"/>
    <s v="+"/>
    <n v="11.86"/>
    <n v="9.8000000000000007"/>
    <s v="-"/>
    <s v="-"/>
    <s v="-"/>
    <s v="-"/>
    <n v="26.8"/>
    <s v="-"/>
    <s v="-"/>
    <s v="P"/>
    <s v="P"/>
    <n v="1"/>
    <s v="-"/>
    <n v="1"/>
    <n v="2"/>
    <n v="1"/>
    <s v="-"/>
    <s v="-"/>
    <s v="-"/>
    <s v="-"/>
    <s v="-"/>
    <n v="2"/>
    <s v="-"/>
    <n v="6"/>
    <n v="6"/>
    <s v="-"/>
    <n v="1"/>
    <n v="1"/>
    <n v="2"/>
    <n v="2"/>
    <n v="8"/>
    <n v="8"/>
  </r>
  <r>
    <x v="7"/>
    <x v="170"/>
    <d v="2026-08-04T00:00:00"/>
    <s v="2ND"/>
    <d v="1899-12-30T15:00:00"/>
    <n v="1"/>
    <x v="21"/>
    <s v="-"/>
    <s v="P"/>
    <s v="P"/>
    <s v="P"/>
    <s v="-"/>
    <s v="+"/>
    <n v="11.88"/>
    <s v="-"/>
    <s v="-"/>
    <s v="-"/>
    <s v="-"/>
    <s v="-"/>
    <s v="-"/>
    <s v="-"/>
    <s v="-"/>
    <s v="P"/>
    <s v="P"/>
    <s v="-"/>
    <s v="-"/>
    <n v="1"/>
    <n v="2"/>
    <n v="1"/>
    <s v="-"/>
    <s v="-"/>
    <s v="-"/>
    <s v="-"/>
    <s v="-"/>
    <s v="-"/>
    <s v="-"/>
    <n v="4"/>
    <n v="4"/>
    <s v="-"/>
    <n v="1"/>
    <n v="1"/>
    <n v="2"/>
    <n v="2"/>
    <n v="6"/>
    <n v="6"/>
  </r>
  <r>
    <x v="7"/>
    <x v="170"/>
    <d v="2026-08-04T00:00:00"/>
    <s v="2ND"/>
    <d v="1899-12-30T16:00:00"/>
    <n v="1"/>
    <x v="21"/>
    <s v="-"/>
    <s v="P"/>
    <s v="P"/>
    <s v="P"/>
    <s v="-"/>
    <s v="+"/>
    <n v="11.89"/>
    <s v="-"/>
    <s v="-"/>
    <s v="-"/>
    <s v="-"/>
    <s v="-"/>
    <s v="-"/>
    <s v="-"/>
    <s v="-"/>
    <s v="P"/>
    <s v="P"/>
    <s v="-"/>
    <s v="-"/>
    <n v="1"/>
    <n v="2"/>
    <n v="1"/>
    <s v="-"/>
    <s v="-"/>
    <s v="-"/>
    <s v="-"/>
    <s v="-"/>
    <s v="-"/>
    <s v="-"/>
    <n v="4"/>
    <n v="4"/>
    <s v="-"/>
    <n v="1"/>
    <n v="1"/>
    <n v="2"/>
    <n v="2"/>
    <n v="6"/>
    <n v="6"/>
  </r>
  <r>
    <x v="7"/>
    <x v="170"/>
    <d v="2026-08-04T00:00:00"/>
    <s v="2ND"/>
    <d v="1899-12-30T18:00:00"/>
    <n v="1"/>
    <x v="21"/>
    <n v="0.01"/>
    <s v="P"/>
    <s v="P"/>
    <s v="P"/>
    <s v="-"/>
    <s v="+"/>
    <n v="11.66"/>
    <s v="-"/>
    <s v="-"/>
    <s v="-"/>
    <s v="-"/>
    <s v="-"/>
    <s v="-"/>
    <s v="-"/>
    <s v="-"/>
    <s v="P"/>
    <s v="P"/>
    <s v="-"/>
    <n v="2"/>
    <n v="1"/>
    <n v="2"/>
    <n v="1"/>
    <s v="-"/>
    <s v="-"/>
    <s v="-"/>
    <s v="-"/>
    <s v="-"/>
    <s v="-"/>
    <s v="-"/>
    <n v="6"/>
    <n v="6"/>
    <s v="-"/>
    <n v="1"/>
    <n v="1"/>
    <n v="2"/>
    <n v="2"/>
    <n v="8"/>
    <n v="8"/>
  </r>
  <r>
    <x v="7"/>
    <x v="170"/>
    <d v="2026-08-04T00:00:00"/>
    <s v="2ND"/>
    <d v="1899-12-30T19:00:00"/>
    <n v="1"/>
    <x v="21"/>
    <s v="-"/>
    <s v="P"/>
    <s v="P"/>
    <s v="P"/>
    <s v="-"/>
    <s v="+"/>
    <n v="11.82"/>
    <s v="-"/>
    <s v="-"/>
    <s v="-"/>
    <s v="-"/>
    <s v="-"/>
    <s v="-"/>
    <s v="-"/>
    <s v="-"/>
    <s v="P"/>
    <s v="P"/>
    <s v="-"/>
    <s v="-"/>
    <n v="1"/>
    <n v="2"/>
    <n v="1"/>
    <s v="-"/>
    <s v="-"/>
    <s v="-"/>
    <s v="-"/>
    <s v="-"/>
    <s v="-"/>
    <s v="-"/>
    <n v="4"/>
    <n v="4"/>
    <s v="-"/>
    <n v="1"/>
    <n v="1"/>
    <n v="2"/>
    <n v="2"/>
    <n v="6"/>
    <n v="6"/>
  </r>
  <r>
    <x v="7"/>
    <x v="170"/>
    <d v="2026-08-04T00:00:00"/>
    <s v="2ND"/>
    <d v="1899-12-30T20:00:00"/>
    <n v="1"/>
    <x v="21"/>
    <n v="0.01"/>
    <s v="P"/>
    <s v="P"/>
    <s v="P"/>
    <s v="-"/>
    <s v="+"/>
    <n v="11.54"/>
    <s v="-"/>
    <s v="-"/>
    <s v="-"/>
    <s v="-"/>
    <s v="-"/>
    <s v="-"/>
    <s v="-"/>
    <s v="-"/>
    <s v="P"/>
    <s v="P"/>
    <s v="-"/>
    <n v="2"/>
    <n v="1"/>
    <n v="2"/>
    <n v="1"/>
    <s v="-"/>
    <s v="-"/>
    <s v="-"/>
    <s v="-"/>
    <s v="-"/>
    <s v="-"/>
    <s v="-"/>
    <n v="6"/>
    <n v="6"/>
    <s v="-"/>
    <n v="1"/>
    <n v="1"/>
    <n v="2"/>
    <n v="2"/>
    <n v="8"/>
    <n v="8"/>
  </r>
  <r>
    <x v="7"/>
    <x v="170"/>
    <d v="2026-08-04T00:00:00"/>
    <s v="2ND"/>
    <d v="1899-12-30T21:00:00"/>
    <n v="1"/>
    <x v="21"/>
    <n v="0.01"/>
    <s v="P"/>
    <s v="P"/>
    <s v="P"/>
    <s v="-"/>
    <s v="+"/>
    <n v="11.68"/>
    <s v="-"/>
    <s v="-"/>
    <s v="-"/>
    <s v="-"/>
    <s v="-"/>
    <s v="-"/>
    <s v="-"/>
    <s v="-"/>
    <s v="P"/>
    <s v="P"/>
    <s v="-"/>
    <n v="2"/>
    <n v="1"/>
    <n v="2"/>
    <n v="1"/>
    <s v="-"/>
    <s v="-"/>
    <s v="-"/>
    <s v="-"/>
    <s v="-"/>
    <s v="-"/>
    <s v="-"/>
    <n v="6"/>
    <n v="6"/>
    <s v="-"/>
    <n v="1"/>
    <n v="1"/>
    <n v="2"/>
    <n v="2"/>
    <n v="8"/>
    <n v="8"/>
  </r>
  <r>
    <x v="7"/>
    <x v="170"/>
    <d v="1902-03-26T00:00:00"/>
    <s v="2ND"/>
    <d v="1899-12-30T14:00:00"/>
    <n v="2"/>
    <x v="14"/>
    <s v="-"/>
    <s v="P"/>
    <s v="P"/>
    <s v="P"/>
    <s v="-"/>
    <s v="+"/>
    <n v="11.32"/>
    <n v="9.31"/>
    <n v="0.59"/>
    <n v="57.7"/>
    <s v="-"/>
    <s v="-"/>
    <n v="25.4"/>
    <s v="-"/>
    <s v="-"/>
    <s v="P"/>
    <s v="P"/>
    <s v="-"/>
    <s v="-"/>
    <n v="1"/>
    <n v="2"/>
    <n v="1"/>
    <n v="1"/>
    <n v="2"/>
    <n v="2"/>
    <s v="-"/>
    <s v="-"/>
    <n v="2"/>
    <s v="-"/>
    <n v="11"/>
    <n v="11"/>
    <s v="-"/>
    <n v="1"/>
    <n v="1"/>
    <n v="2"/>
    <n v="2"/>
    <n v="13"/>
    <n v="13"/>
  </r>
  <r>
    <x v="7"/>
    <x v="170"/>
    <d v="1899-12-30T00:00:00"/>
    <s v="2ND"/>
    <d v="1899-12-30T15:00:00"/>
    <n v="2"/>
    <x v="14"/>
    <s v="-"/>
    <s v="P"/>
    <s v="P"/>
    <s v="P"/>
    <s v="-"/>
    <s v="+"/>
    <n v="11.06"/>
    <s v="-"/>
    <s v="-"/>
    <s v="-"/>
    <s v="-"/>
    <s v="-"/>
    <s v="-"/>
    <s v="-"/>
    <s v="-"/>
    <s v="P"/>
    <s v="P"/>
    <s v="-"/>
    <s v="-"/>
    <n v="1"/>
    <n v="2"/>
    <n v="1"/>
    <s v="-"/>
    <s v="-"/>
    <s v="-"/>
    <s v="-"/>
    <s v="-"/>
    <s v="-"/>
    <s v="-"/>
    <n v="4"/>
    <n v="4"/>
    <s v="-"/>
    <n v="1"/>
    <n v="1"/>
    <n v="2"/>
    <n v="2"/>
    <n v="6"/>
    <n v="6"/>
  </r>
  <r>
    <x v="7"/>
    <x v="170"/>
    <d v="1899-12-30T00:00:00"/>
    <s v="2ND"/>
    <d v="1899-12-30T16:00:00"/>
    <n v="2"/>
    <x v="14"/>
    <s v="-"/>
    <s v="P"/>
    <s v="P"/>
    <s v="P"/>
    <s v="-"/>
    <s v="+"/>
    <n v="11.18"/>
    <s v="-"/>
    <s v="-"/>
    <s v="-"/>
    <s v="-"/>
    <s v="-"/>
    <s v="-"/>
    <s v="-"/>
    <s v="-"/>
    <s v="P"/>
    <s v="P"/>
    <s v="70% 30%"/>
    <s v="-"/>
    <n v="1"/>
    <n v="2"/>
    <n v="1"/>
    <s v="-"/>
    <s v="-"/>
    <s v="-"/>
    <s v="-"/>
    <s v="-"/>
    <s v="-"/>
    <s v="-"/>
    <n v="4"/>
    <n v="4"/>
    <s v="-"/>
    <n v="1"/>
    <n v="1"/>
    <n v="2"/>
    <n v="2"/>
    <n v="6"/>
    <n v="6"/>
  </r>
  <r>
    <x v="7"/>
    <x v="170"/>
    <d v="1902-03-25T00:00:00"/>
    <s v="2ND"/>
    <d v="1899-12-30T17:00:00"/>
    <n v="2"/>
    <x v="48"/>
    <s v="-"/>
    <s v="P"/>
    <s v="P"/>
    <s v="P"/>
    <s v="-"/>
    <s v="-"/>
    <n v="12.13"/>
    <n v="9.8000000000000007"/>
    <n v="0.54"/>
    <n v="54.4"/>
    <s v="-"/>
    <s v="-"/>
    <n v="26.8"/>
    <s v="-"/>
    <s v="-"/>
    <s v="P"/>
    <s v="P"/>
    <s v="-"/>
    <s v="-"/>
    <n v="1"/>
    <n v="2"/>
    <n v="1"/>
    <n v="1"/>
    <n v="2"/>
    <n v="2"/>
    <s v="-"/>
    <s v="-"/>
    <n v="0"/>
    <s v="-"/>
    <n v="9"/>
    <n v="11"/>
    <s v="-"/>
    <n v="1"/>
    <n v="1"/>
    <n v="2"/>
    <n v="2"/>
    <n v="11"/>
    <n v="13"/>
  </r>
  <r>
    <x v="7"/>
    <x v="170"/>
    <d v="1899-12-30T00:00:00"/>
    <s v="2ND"/>
    <d v="1899-12-30T18:00:00"/>
    <n v="2"/>
    <x v="48"/>
    <s v="-"/>
    <s v="P"/>
    <s v="P"/>
    <s v="P"/>
    <s v="-"/>
    <s v="-"/>
    <n v="12.02"/>
    <s v="-"/>
    <s v="-"/>
    <s v="-"/>
    <s v="-"/>
    <s v="-"/>
    <s v="-"/>
    <s v="-"/>
    <s v="-"/>
    <s v="P"/>
    <s v="P"/>
    <s v="-"/>
    <s v="-"/>
    <n v="1"/>
    <n v="2"/>
    <n v="1"/>
    <s v="-"/>
    <s v="-"/>
    <s v="-"/>
    <s v="-"/>
    <s v="-"/>
    <s v="-"/>
    <s v="-"/>
    <n v="4"/>
    <n v="4"/>
    <s v="-"/>
    <n v="1"/>
    <n v="1"/>
    <n v="2"/>
    <n v="2"/>
    <n v="6"/>
    <n v="6"/>
  </r>
  <r>
    <x v="7"/>
    <x v="170"/>
    <d v="1899-12-30T00:00:00"/>
    <s v="2ND"/>
    <d v="1899-12-30T19:00:00"/>
    <n v="2"/>
    <x v="48"/>
    <n v="0.01"/>
    <s v="P"/>
    <s v="P"/>
    <s v="P"/>
    <s v="-"/>
    <s v="-"/>
    <n v="12.18"/>
    <s v="-"/>
    <s v="-"/>
    <s v="-"/>
    <s v="-"/>
    <s v="-"/>
    <s v="-"/>
    <s v="-"/>
    <s v="-"/>
    <s v="P"/>
    <s v="P"/>
    <s v="-"/>
    <n v="2"/>
    <n v="1"/>
    <n v="2"/>
    <n v="1"/>
    <s v="-"/>
    <s v="-"/>
    <s v="-"/>
    <s v="-"/>
    <s v="-"/>
    <s v="-"/>
    <s v="-"/>
    <n v="6"/>
    <n v="6"/>
    <s v="-"/>
    <n v="1"/>
    <n v="1"/>
    <n v="2"/>
    <n v="2"/>
    <n v="8"/>
    <n v="8"/>
  </r>
  <r>
    <x v="7"/>
    <x v="170"/>
    <d v="1899-12-30T00:00:00"/>
    <s v="2ND"/>
    <d v="1899-12-30T20:00:00"/>
    <n v="2"/>
    <x v="48"/>
    <n v="0.01"/>
    <s v="P"/>
    <s v="P"/>
    <s v="P"/>
    <s v="-"/>
    <s v="-"/>
    <n v="12.1"/>
    <s v="-"/>
    <s v="-"/>
    <s v="-"/>
    <s v="-"/>
    <s v="-"/>
    <s v="-"/>
    <s v="-"/>
    <s v="-"/>
    <s v="P"/>
    <s v="P"/>
    <s v="-"/>
    <n v="2"/>
    <n v="1"/>
    <n v="2"/>
    <n v="1"/>
    <s v="-"/>
    <s v="-"/>
    <s v="-"/>
    <s v="-"/>
    <s v="-"/>
    <s v="-"/>
    <s v="-"/>
    <n v="6"/>
    <n v="6"/>
    <s v="-"/>
    <n v="1"/>
    <n v="1"/>
    <n v="2"/>
    <n v="2"/>
    <n v="8"/>
    <n v="8"/>
  </r>
  <r>
    <x v="7"/>
    <x v="170"/>
    <d v="2026-08-04T00:00:00"/>
    <s v="2ND"/>
    <d v="1899-12-30T14:00:00"/>
    <n v="3"/>
    <x v="16"/>
    <s v="-"/>
    <s v="P"/>
    <s v="P"/>
    <s v="P"/>
    <s v="+"/>
    <s v="+"/>
    <n v="13.64"/>
    <n v="13.1"/>
    <s v="-"/>
    <s v="-"/>
    <s v="-"/>
    <s v="-"/>
    <n v="36.799999999999997"/>
    <s v="-"/>
    <s v="-"/>
    <s v="P"/>
    <s v="P"/>
    <n v="1"/>
    <s v="-"/>
    <n v="1"/>
    <n v="2"/>
    <n v="1"/>
    <n v="1"/>
    <s v="-"/>
    <s v="-"/>
    <s v="-"/>
    <s v="-"/>
    <n v="2"/>
    <s v="-"/>
    <n v="7"/>
    <n v="7"/>
    <s v="-"/>
    <n v="1"/>
    <n v="1"/>
    <n v="2"/>
    <n v="2"/>
    <n v="9"/>
    <n v="9"/>
  </r>
  <r>
    <x v="7"/>
    <x v="170"/>
    <d v="2026-08-04T00:00:00"/>
    <s v="2ND"/>
    <d v="1899-12-30T16:00:00"/>
    <n v="3"/>
    <x v="16"/>
    <n v="0.01"/>
    <s v="P"/>
    <s v="P"/>
    <s v="P"/>
    <s v="+"/>
    <s v="+"/>
    <n v="13.64"/>
    <s v="-"/>
    <s v="-"/>
    <s v="-"/>
    <s v="-"/>
    <s v="-"/>
    <s v="-"/>
    <s v="-"/>
    <s v="-"/>
    <s v="P"/>
    <s v="P"/>
    <s v="-"/>
    <n v="2"/>
    <n v="1"/>
    <n v="2"/>
    <n v="1"/>
    <s v="-"/>
    <s v="-"/>
    <s v="-"/>
    <s v="-"/>
    <s v="-"/>
    <s v="-"/>
    <s v="-"/>
    <n v="6"/>
    <n v="6"/>
    <s v="-"/>
    <n v="1"/>
    <n v="1"/>
    <n v="2"/>
    <n v="2"/>
    <n v="8"/>
    <n v="8"/>
  </r>
  <r>
    <x v="7"/>
    <x v="170"/>
    <d v="2026-08-04T00:00:00"/>
    <s v="2ND"/>
    <d v="1899-12-30T17:00:00"/>
    <n v="3"/>
    <x v="16"/>
    <n v="0.02"/>
    <s v="P"/>
    <s v="P"/>
    <s v="P"/>
    <s v="+"/>
    <s v="+"/>
    <n v="13.95"/>
    <s v="-"/>
    <s v="-"/>
    <s v="-"/>
    <s v="-"/>
    <s v="-"/>
    <s v="-"/>
    <s v="-"/>
    <s v="-"/>
    <s v="P"/>
    <s v="P"/>
    <s v="-"/>
    <n v="2"/>
    <n v="1"/>
    <n v="2"/>
    <n v="1"/>
    <s v="-"/>
    <s v="-"/>
    <s v="-"/>
    <s v="-"/>
    <s v="-"/>
    <s v="-"/>
    <s v="-"/>
    <n v="6"/>
    <n v="6"/>
    <s v="-"/>
    <n v="1"/>
    <n v="1"/>
    <n v="2"/>
    <n v="2"/>
    <n v="8"/>
    <n v="8"/>
  </r>
  <r>
    <x v="7"/>
    <x v="170"/>
    <d v="2026-08-04T00:00:00"/>
    <s v="2ND"/>
    <d v="1899-12-30T18:00:00"/>
    <n v="3"/>
    <x v="16"/>
    <n v="0.01"/>
    <s v="P"/>
    <s v="P"/>
    <s v="P"/>
    <s v="+"/>
    <s v="+"/>
    <n v="13.95"/>
    <s v="-"/>
    <s v="-"/>
    <s v="-"/>
    <s v="-"/>
    <s v="-"/>
    <s v="-"/>
    <s v="-"/>
    <s v="-"/>
    <s v="P"/>
    <s v="P"/>
    <s v="-"/>
    <n v="2"/>
    <n v="1"/>
    <n v="2"/>
    <n v="1"/>
    <s v="-"/>
    <s v="-"/>
    <s v="-"/>
    <s v="-"/>
    <s v="-"/>
    <s v="-"/>
    <s v="-"/>
    <n v="6"/>
    <n v="6"/>
    <s v="-"/>
    <n v="1"/>
    <n v="1"/>
    <n v="2"/>
    <n v="2"/>
    <n v="8"/>
    <n v="8"/>
  </r>
  <r>
    <x v="7"/>
    <x v="170"/>
    <d v="2026-08-04T00:00:00"/>
    <s v="2ND"/>
    <d v="1899-12-30T20:00:00"/>
    <n v="3"/>
    <x v="16"/>
    <n v="0.02"/>
    <s v="P"/>
    <s v="P"/>
    <s v="P"/>
    <s v="+"/>
    <s v="+"/>
    <n v="13.61"/>
    <s v="-"/>
    <s v="-"/>
    <s v="-"/>
    <s v="-"/>
    <s v="-"/>
    <s v="-"/>
    <s v="-"/>
    <s v="-"/>
    <s v="P"/>
    <s v="P"/>
    <s v="-"/>
    <n v="2"/>
    <n v="1"/>
    <n v="2"/>
    <n v="1"/>
    <s v="-"/>
    <s v="-"/>
    <s v="-"/>
    <s v="-"/>
    <s v="-"/>
    <s v="-"/>
    <s v="-"/>
    <n v="6"/>
    <n v="6"/>
    <s v="-"/>
    <n v="1"/>
    <n v="1"/>
    <n v="2"/>
    <n v="2"/>
    <n v="8"/>
    <n v="8"/>
  </r>
  <r>
    <x v="7"/>
    <x v="170"/>
    <d v="2026-07-08T00:00:00"/>
    <s v="2ND"/>
    <d v="1899-12-30T21:00:00"/>
    <n v="3"/>
    <x v="1"/>
    <n v="0.01"/>
    <s v="P"/>
    <s v="P"/>
    <s v="P"/>
    <s v="+"/>
    <s v="+"/>
    <n v="12.99"/>
    <s v="-"/>
    <s v="-"/>
    <s v="-"/>
    <s v="-"/>
    <s v="-"/>
    <s v="-"/>
    <s v="-"/>
    <s v="-"/>
    <s v="P"/>
    <s v="P"/>
    <s v="85% 5% 10%"/>
    <n v="2"/>
    <n v="1"/>
    <n v="2"/>
    <n v="1"/>
    <s v="-"/>
    <s v="-"/>
    <s v="-"/>
    <s v="-"/>
    <s v="-"/>
    <s v="-"/>
    <s v="-"/>
    <n v="6"/>
    <n v="6"/>
    <s v="-"/>
    <n v="1"/>
    <n v="1"/>
    <n v="2"/>
    <n v="2"/>
    <n v="8"/>
    <n v="8"/>
  </r>
  <r>
    <x v="7"/>
    <x v="170"/>
    <d v="2026-08-04T00:00:00"/>
    <s v="3RD"/>
    <d v="1899-12-30T22:00:00"/>
    <n v="1"/>
    <x v="21"/>
    <n v="0.01"/>
    <s v="P"/>
    <s v="P"/>
    <s v="P"/>
    <s v="-"/>
    <s v="+"/>
    <n v="11.58"/>
    <n v="8.3699999999999992"/>
    <n v="0.53"/>
    <s v="-"/>
    <s v="-"/>
    <s v="-"/>
    <n v="22.5"/>
    <s v="-"/>
    <s v="-"/>
    <s v="P"/>
    <s v="P"/>
    <n v="1"/>
    <n v="2"/>
    <n v="1"/>
    <n v="2"/>
    <n v="1"/>
    <s v="-"/>
    <n v="2"/>
    <s v="-"/>
    <s v="-"/>
    <s v="-"/>
    <n v="2"/>
    <s v="-"/>
    <n v="10"/>
    <n v="10"/>
    <s v="-"/>
    <n v="1"/>
    <n v="1"/>
    <n v="2"/>
    <n v="2"/>
    <n v="12"/>
    <n v="12"/>
  </r>
  <r>
    <x v="7"/>
    <x v="170"/>
    <d v="2026-08-04T00:00:00"/>
    <s v="3RD"/>
    <d v="1899-12-30T23:00:00"/>
    <n v="1"/>
    <x v="21"/>
    <n v="0.01"/>
    <s v="P"/>
    <s v="P"/>
    <s v="P"/>
    <s v="-"/>
    <s v="+"/>
    <n v="11.81"/>
    <s v="-"/>
    <s v="-"/>
    <s v="-"/>
    <s v="-"/>
    <s v="-"/>
    <s v="-"/>
    <s v="-"/>
    <s v="-"/>
    <s v="P"/>
    <s v="P"/>
    <s v="-"/>
    <n v="2"/>
    <n v="1"/>
    <n v="2"/>
    <n v="1"/>
    <s v="-"/>
    <s v="-"/>
    <s v="-"/>
    <s v="-"/>
    <s v="-"/>
    <s v="-"/>
    <s v="-"/>
    <n v="6"/>
    <n v="6"/>
    <s v="-"/>
    <n v="1"/>
    <n v="1"/>
    <n v="2"/>
    <n v="2"/>
    <n v="8"/>
    <n v="8"/>
  </r>
  <r>
    <x v="7"/>
    <x v="170"/>
    <d v="2026-08-04T00:00:00"/>
    <s v="3RD"/>
    <d v="1899-12-31T00:00:00"/>
    <n v="1"/>
    <x v="5"/>
    <n v="0.01"/>
    <s v="P"/>
    <s v="P"/>
    <s v="P"/>
    <s v="-"/>
    <s v="+"/>
    <n v="11.7"/>
    <s v="-"/>
    <s v="-"/>
    <s v="-"/>
    <s v="-"/>
    <s v="-"/>
    <s v="-"/>
    <s v="-"/>
    <s v="-"/>
    <s v="P"/>
    <s v="P"/>
    <n v="1"/>
    <n v="2"/>
    <n v="1"/>
    <n v="2"/>
    <n v="1"/>
    <s v="-"/>
    <s v="-"/>
    <s v="-"/>
    <s v="-"/>
    <s v="-"/>
    <s v="-"/>
    <s v="-"/>
    <n v="6"/>
    <n v="6"/>
    <s v="-"/>
    <n v="1"/>
    <n v="1"/>
    <n v="2"/>
    <n v="2"/>
    <n v="8"/>
    <n v="8"/>
  </r>
  <r>
    <x v="7"/>
    <x v="170"/>
    <d v="2026-08-04T00:00:00"/>
    <s v="3RD"/>
    <d v="1899-12-31T01:00:00"/>
    <n v="1"/>
    <x v="5"/>
    <n v="0.01"/>
    <s v="P"/>
    <s v="P"/>
    <s v="P"/>
    <s v="-"/>
    <s v="+"/>
    <n v="11.86"/>
    <s v="-"/>
    <s v="-"/>
    <s v="-"/>
    <s v="-"/>
    <s v="-"/>
    <s v="-"/>
    <s v="-"/>
    <s v="-"/>
    <s v="P"/>
    <s v="P"/>
    <s v="-"/>
    <n v="2"/>
    <n v="1"/>
    <n v="2"/>
    <n v="1"/>
    <s v="-"/>
    <s v="-"/>
    <s v="-"/>
    <s v="-"/>
    <s v="-"/>
    <s v="-"/>
    <s v="-"/>
    <n v="6"/>
    <n v="6"/>
    <s v="-"/>
    <n v="1"/>
    <n v="1"/>
    <n v="2"/>
    <n v="2"/>
    <n v="8"/>
    <n v="8"/>
  </r>
  <r>
    <x v="7"/>
    <x v="170"/>
    <d v="2026-08-04T00:00:00"/>
    <s v="3RD"/>
    <d v="1899-12-31T02:00:00"/>
    <n v="1"/>
    <x v="5"/>
    <n v="0.01"/>
    <s v="P"/>
    <s v="P"/>
    <s v="P"/>
    <s v="-"/>
    <s v="+"/>
    <n v="11.62"/>
    <s v="-"/>
    <s v="-"/>
    <s v="-"/>
    <s v="-"/>
    <s v="-"/>
    <s v="-"/>
    <s v="-"/>
    <s v="-"/>
    <s v="P"/>
    <s v="P"/>
    <s v="-"/>
    <n v="2"/>
    <n v="1"/>
    <n v="2"/>
    <n v="1"/>
    <s v="-"/>
    <s v="-"/>
    <s v="-"/>
    <s v="-"/>
    <s v="-"/>
    <s v="-"/>
    <s v="-"/>
    <n v="6"/>
    <n v="6"/>
    <s v="-"/>
    <n v="1"/>
    <n v="1"/>
    <n v="2"/>
    <n v="2"/>
    <n v="8"/>
    <n v="8"/>
  </r>
  <r>
    <x v="7"/>
    <x v="170"/>
    <d v="2026-08-06T00:00:00"/>
    <s v="3RD"/>
    <d v="1899-12-31T03:00:00"/>
    <n v="1"/>
    <x v="17"/>
    <n v="0.01"/>
    <s v="P"/>
    <s v="P"/>
    <s v="P"/>
    <s v="-"/>
    <s v="+"/>
    <n v="11.79"/>
    <n v="8.59"/>
    <s v="-"/>
    <n v="55.1"/>
    <s v="-"/>
    <s v="-"/>
    <n v="23.12"/>
    <s v="-"/>
    <s v="-"/>
    <s v="P"/>
    <s v="P"/>
    <n v="1"/>
    <n v="2"/>
    <n v="1"/>
    <n v="2"/>
    <n v="1"/>
    <n v="1"/>
    <s v="-"/>
    <n v="2"/>
    <s v="-"/>
    <s v="-"/>
    <n v="2"/>
    <s v="-"/>
    <n v="11"/>
    <n v="11"/>
    <s v="-"/>
    <n v="1"/>
    <n v="1"/>
    <n v="2"/>
    <n v="2"/>
    <n v="13"/>
    <n v="13"/>
  </r>
  <r>
    <x v="7"/>
    <x v="170"/>
    <d v="2026-08-06T00:00:00"/>
    <s v="3RD"/>
    <d v="1899-12-31T04:00:00"/>
    <n v="1"/>
    <x v="17"/>
    <s v="-"/>
    <s v="P"/>
    <s v="P"/>
    <s v="P"/>
    <s v="-"/>
    <s v="+"/>
    <n v="11.84"/>
    <s v="-"/>
    <s v="-"/>
    <s v="-"/>
    <s v="-"/>
    <s v="-"/>
    <s v="-"/>
    <s v="-"/>
    <s v="-"/>
    <s v="P"/>
    <s v="P"/>
    <s v="-"/>
    <s v="-"/>
    <n v="1"/>
    <n v="2"/>
    <n v="1"/>
    <s v="-"/>
    <s v="-"/>
    <s v="-"/>
    <s v="-"/>
    <s v="-"/>
    <s v="-"/>
    <s v="-"/>
    <n v="4"/>
    <n v="4"/>
    <s v="-"/>
    <n v="1"/>
    <n v="1"/>
    <n v="2"/>
    <n v="2"/>
    <n v="6"/>
    <n v="6"/>
  </r>
  <r>
    <x v="7"/>
    <x v="170"/>
    <d v="2026-08-06T00:00:00"/>
    <s v="3RD"/>
    <d v="1899-12-31T05:00:00"/>
    <n v="1"/>
    <x v="17"/>
    <s v="-"/>
    <s v="P"/>
    <s v="P"/>
    <s v="P"/>
    <s v="-"/>
    <s v="+"/>
    <n v="12.03"/>
    <s v="-"/>
    <s v="-"/>
    <s v="-"/>
    <s v="-"/>
    <s v="-"/>
    <s v="-"/>
    <s v="-"/>
    <s v="-"/>
    <s v="P"/>
    <s v="P"/>
    <s v="-"/>
    <s v="-"/>
    <n v="1"/>
    <n v="2"/>
    <n v="1"/>
    <s v="-"/>
    <s v="-"/>
    <s v="-"/>
    <s v="-"/>
    <s v="-"/>
    <s v="-"/>
    <s v="-"/>
    <n v="4"/>
    <n v="4"/>
    <s v="-"/>
    <n v="1"/>
    <n v="1"/>
    <n v="2"/>
    <n v="2"/>
    <n v="6"/>
    <n v="6"/>
  </r>
  <r>
    <x v="7"/>
    <x v="170"/>
    <d v="1902-03-25T00:00:00"/>
    <s v="3RD"/>
    <d v="1899-12-31T00:00:00"/>
    <n v="2"/>
    <x v="48"/>
    <n v="0.01"/>
    <s v="P"/>
    <s v="P"/>
    <s v="P"/>
    <s v="-"/>
    <s v="-"/>
    <n v="11.77"/>
    <n v="9.7799999999999994"/>
    <n v="0.54"/>
    <s v="-"/>
    <s v="-"/>
    <s v="-"/>
    <n v="26.7"/>
    <s v="-"/>
    <s v="-"/>
    <s v="P"/>
    <s v="P"/>
    <s v="-"/>
    <n v="2"/>
    <n v="1"/>
    <n v="2"/>
    <n v="1"/>
    <n v="1"/>
    <n v="2"/>
    <s v="-"/>
    <s v="-"/>
    <s v="-"/>
    <n v="0"/>
    <s v="-"/>
    <n v="9"/>
    <n v="11"/>
    <s v="-"/>
    <n v="1"/>
    <n v="1"/>
    <n v="2"/>
    <n v="2"/>
    <n v="11"/>
    <n v="13"/>
  </r>
  <r>
    <x v="7"/>
    <x v="170"/>
    <d v="1899-12-30T00:00:00"/>
    <s v="3RD"/>
    <d v="1899-12-31T01:00:00"/>
    <n v="2"/>
    <x v="48"/>
    <n v="0.01"/>
    <s v="P"/>
    <s v="P"/>
    <s v="P"/>
    <s v="-"/>
    <s v="-"/>
    <n v="11.66"/>
    <s v="-"/>
    <s v="-"/>
    <s v="-"/>
    <s v="-"/>
    <s v="-"/>
    <s v="-"/>
    <s v="-"/>
    <s v="-"/>
    <s v="P"/>
    <s v="P"/>
    <s v="-"/>
    <n v="2"/>
    <n v="1"/>
    <n v="2"/>
    <n v="1"/>
    <s v="-"/>
    <s v="-"/>
    <s v="-"/>
    <s v="-"/>
    <s v="-"/>
    <s v="-"/>
    <s v="-"/>
    <n v="6"/>
    <n v="6"/>
    <s v="-"/>
    <n v="1"/>
    <n v="1"/>
    <n v="2"/>
    <n v="2"/>
    <n v="8"/>
    <n v="8"/>
  </r>
  <r>
    <x v="7"/>
    <x v="170"/>
    <d v="1899-12-30T00:00:00"/>
    <s v="3RD"/>
    <d v="1899-12-31T02:00:00"/>
    <n v="2"/>
    <x v="48"/>
    <n v="0.01"/>
    <s v="P"/>
    <s v="P"/>
    <s v="P"/>
    <s v="-"/>
    <s v="-"/>
    <n v="11.69"/>
    <s v="-"/>
    <s v="-"/>
    <s v="-"/>
    <s v="-"/>
    <s v="-"/>
    <s v="-"/>
    <s v="-"/>
    <s v="-"/>
    <s v="P"/>
    <s v="P"/>
    <s v="-"/>
    <n v="2"/>
    <n v="1"/>
    <n v="2"/>
    <n v="1"/>
    <s v="-"/>
    <s v="-"/>
    <s v="-"/>
    <s v="-"/>
    <s v="-"/>
    <s v="-"/>
    <s v="-"/>
    <n v="6"/>
    <n v="6"/>
    <s v="-"/>
    <n v="1"/>
    <n v="1"/>
    <n v="2"/>
    <n v="2"/>
    <n v="8"/>
    <n v="8"/>
  </r>
  <r>
    <x v="7"/>
    <x v="170"/>
    <d v="1899-12-30T00:00:00"/>
    <s v="3RD"/>
    <d v="1899-12-31T03:00:00"/>
    <n v="2"/>
    <x v="48"/>
    <n v="0.01"/>
    <s v="P"/>
    <s v="P"/>
    <s v="P"/>
    <s v="-"/>
    <s v="-"/>
    <n v="11.58"/>
    <s v="-"/>
    <s v="-"/>
    <s v="-"/>
    <s v="-"/>
    <s v="-"/>
    <s v="-"/>
    <s v="-"/>
    <s v="-"/>
    <s v="P"/>
    <s v="P"/>
    <s v="-"/>
    <n v="2"/>
    <n v="1"/>
    <n v="2"/>
    <n v="1"/>
    <s v="-"/>
    <s v="-"/>
    <s v="-"/>
    <s v="-"/>
    <s v="-"/>
    <s v="-"/>
    <s v="-"/>
    <n v="6"/>
    <n v="6"/>
    <s v="-"/>
    <n v="1"/>
    <n v="1"/>
    <n v="2"/>
    <n v="2"/>
    <n v="8"/>
    <n v="8"/>
  </r>
  <r>
    <x v="7"/>
    <x v="170"/>
    <d v="1899-12-30T00:00:00"/>
    <s v="3RD"/>
    <d v="1899-12-31T04:00:00"/>
    <n v="2"/>
    <x v="48"/>
    <n v="0.01"/>
    <s v="P"/>
    <s v="P"/>
    <s v="P"/>
    <s v="-"/>
    <s v="-"/>
    <n v="11.5"/>
    <s v="-"/>
    <s v="-"/>
    <s v="-"/>
    <s v="-"/>
    <s v="-"/>
    <s v="-"/>
    <s v="-"/>
    <s v="-"/>
    <s v="P"/>
    <s v="P"/>
    <s v="-"/>
    <n v="2"/>
    <n v="1"/>
    <n v="2"/>
    <n v="1"/>
    <s v="-"/>
    <s v="-"/>
    <s v="-"/>
    <s v="-"/>
    <s v="-"/>
    <s v="-"/>
    <s v="-"/>
    <n v="6"/>
    <n v="6"/>
    <s v="-"/>
    <n v="1"/>
    <n v="1"/>
    <n v="2"/>
    <n v="2"/>
    <n v="8"/>
    <n v="8"/>
  </r>
  <r>
    <x v="7"/>
    <x v="170"/>
    <d v="2026-07-08T00:00:00"/>
    <s v="3RD"/>
    <d v="1899-12-30T22:00:00"/>
    <n v="3"/>
    <x v="1"/>
    <n v="0.02"/>
    <s v="P"/>
    <s v="P"/>
    <s v="P"/>
    <s v="+"/>
    <s v="+"/>
    <n v="12.93"/>
    <n v="12.09"/>
    <n v="0.57999999999999996"/>
    <s v="-"/>
    <s v="-"/>
    <s v="-"/>
    <n v="33.5"/>
    <s v="-"/>
    <s v="-"/>
    <s v="P"/>
    <s v="P"/>
    <s v="85% 5% 10%"/>
    <n v="2"/>
    <n v="1"/>
    <n v="2"/>
    <n v="1"/>
    <n v="1"/>
    <n v="2"/>
    <s v="-"/>
    <s v="-"/>
    <s v="-"/>
    <n v="2"/>
    <s v="-"/>
    <n v="11"/>
    <n v="11"/>
    <s v="-"/>
    <n v="1"/>
    <n v="1"/>
    <n v="2"/>
    <n v="2"/>
    <n v="13"/>
    <n v="13"/>
  </r>
  <r>
    <x v="7"/>
    <x v="170"/>
    <d v="2026-07-08T00:00:00"/>
    <s v="3RD"/>
    <d v="1899-12-31T00:00:00"/>
    <n v="3"/>
    <x v="1"/>
    <n v="0.02"/>
    <s v="P"/>
    <s v="P"/>
    <s v="P"/>
    <s v="+"/>
    <s v="+"/>
    <n v="12.89"/>
    <s v="-"/>
    <s v="-"/>
    <s v="-"/>
    <s v="-"/>
    <s v="-"/>
    <s v="-"/>
    <s v="-"/>
    <s v="-"/>
    <s v="P"/>
    <s v="P"/>
    <s v="-"/>
    <n v="2"/>
    <n v="1"/>
    <n v="2"/>
    <n v="1"/>
    <s v="-"/>
    <s v="-"/>
    <s v="-"/>
    <s v="-"/>
    <s v="-"/>
    <s v="-"/>
    <s v="-"/>
    <n v="6"/>
    <n v="6"/>
    <s v="-"/>
    <n v="1"/>
    <n v="1"/>
    <n v="2"/>
    <n v="2"/>
    <n v="8"/>
    <n v="8"/>
  </r>
  <r>
    <x v="7"/>
    <x v="170"/>
    <d v="2026-07-08T00:00:00"/>
    <s v="3RD"/>
    <d v="1899-12-31T02:00:00"/>
    <n v="3"/>
    <x v="1"/>
    <n v="0.02"/>
    <s v="P"/>
    <s v="P"/>
    <s v="P"/>
    <s v="+"/>
    <s v="+"/>
    <s v="-"/>
    <s v="-"/>
    <s v="-"/>
    <s v="-"/>
    <s v="-"/>
    <s v="-"/>
    <s v="-"/>
    <s v="-"/>
    <s v="-"/>
    <s v="P"/>
    <s v="P"/>
    <s v="-"/>
    <n v="2"/>
    <n v="1"/>
    <n v="2"/>
    <s v="-"/>
    <s v="-"/>
    <s v="-"/>
    <s v="-"/>
    <s v="-"/>
    <s v="-"/>
    <s v="-"/>
    <s v="-"/>
    <n v="5"/>
    <n v="5"/>
    <s v="-"/>
    <n v="1"/>
    <n v="1"/>
    <n v="2"/>
    <n v="2"/>
    <n v="7"/>
    <n v="7"/>
  </r>
  <r>
    <x v="7"/>
    <x v="170"/>
    <d v="2026-07-08T00:00:00"/>
    <s v="3RD"/>
    <d v="1899-12-31T04:00:00"/>
    <n v="3"/>
    <x v="1"/>
    <n v="0.02"/>
    <s v="P"/>
    <s v="P"/>
    <s v="P"/>
    <s v="+"/>
    <s v="+"/>
    <n v="13.14"/>
    <s v="-"/>
    <s v="-"/>
    <s v="-"/>
    <s v="-"/>
    <s v="-"/>
    <s v="-"/>
    <s v="-"/>
    <s v="-"/>
    <s v="P"/>
    <s v="P"/>
    <s v="-"/>
    <n v="2"/>
    <n v="1"/>
    <n v="2"/>
    <n v="1"/>
    <s v="-"/>
    <s v="-"/>
    <s v="-"/>
    <s v="-"/>
    <s v="-"/>
    <s v="-"/>
    <s v="-"/>
    <n v="6"/>
    <n v="6"/>
    <s v="-"/>
    <n v="1"/>
    <n v="1"/>
    <n v="2"/>
    <n v="2"/>
    <n v="8"/>
    <n v="8"/>
  </r>
  <r>
    <x v="7"/>
    <x v="170"/>
    <d v="2026-07-08T00:00:00"/>
    <s v="3RD"/>
    <d v="1899-12-31T05:00:00"/>
    <n v="3"/>
    <x v="1"/>
    <n v="0.02"/>
    <s v="P"/>
    <s v="P"/>
    <s v="P"/>
    <s v="+"/>
    <s v="+"/>
    <n v="12.73"/>
    <s v="-"/>
    <s v="-"/>
    <s v="-"/>
    <s v="-"/>
    <s v="-"/>
    <s v="-"/>
    <s v="-"/>
    <s v="-"/>
    <s v="P"/>
    <s v="P"/>
    <s v="-"/>
    <n v="2"/>
    <n v="1"/>
    <n v="2"/>
    <n v="1"/>
    <s v="-"/>
    <s v="-"/>
    <s v="-"/>
    <s v="-"/>
    <s v="-"/>
    <s v="-"/>
    <s v="-"/>
    <n v="6"/>
    <n v="6"/>
    <s v="-"/>
    <n v="1"/>
    <n v="1"/>
    <n v="2"/>
    <n v="2"/>
    <n v="8"/>
    <n v="8"/>
  </r>
  <r>
    <x v="7"/>
    <x v="171"/>
    <d v="2026-08-06T00:00:00"/>
    <s v="1ST"/>
    <s v="06:00"/>
    <n v="1"/>
    <x v="17"/>
    <s v="-"/>
    <s v="P"/>
    <s v="P"/>
    <s v="P"/>
    <s v="-"/>
    <s v="+"/>
    <n v="11.84"/>
    <n v="9.5399999999999991"/>
    <n v="0.44"/>
    <n v="54.3"/>
    <s v="-"/>
    <s v="-"/>
    <n v="26.2"/>
    <s v="-"/>
    <s v="-"/>
    <s v="P"/>
    <s v="P"/>
    <s v="-"/>
    <s v="-"/>
    <n v="1"/>
    <n v="2"/>
    <n v="1"/>
    <n v="1"/>
    <n v="0"/>
    <n v="2"/>
    <s v="-"/>
    <s v="-"/>
    <n v="2"/>
    <s v="-"/>
    <n v="9"/>
    <n v="11"/>
    <s v="-"/>
    <n v="1"/>
    <n v="1"/>
    <n v="2"/>
    <n v="2"/>
    <n v="11"/>
    <n v="13"/>
  </r>
  <r>
    <x v="7"/>
    <x v="171"/>
    <d v="2026-08-06T00:00:00"/>
    <s v="1ST"/>
    <s v="07:00"/>
    <n v="1"/>
    <x v="17"/>
    <s v="-"/>
    <s v="P"/>
    <s v="P"/>
    <s v="P"/>
    <s v="-"/>
    <s v="+"/>
    <n v="11.88"/>
    <s v="-"/>
    <s v="-"/>
    <s v="-"/>
    <s v="-"/>
    <s v="-"/>
    <s v="-"/>
    <s v="-"/>
    <s v="-"/>
    <s v="P"/>
    <s v="P"/>
    <s v="-"/>
    <s v="-"/>
    <n v="1"/>
    <n v="2"/>
    <n v="1"/>
    <s v="-"/>
    <s v="-"/>
    <s v="-"/>
    <s v="-"/>
    <s v="-"/>
    <s v="-"/>
    <s v="-"/>
    <n v="4"/>
    <n v="4"/>
    <s v="-"/>
    <n v="1"/>
    <n v="1"/>
    <n v="2"/>
    <n v="2"/>
    <n v="6"/>
    <n v="6"/>
  </r>
  <r>
    <x v="7"/>
    <x v="171"/>
    <d v="2026-08-07T00:00:00"/>
    <s v="1ST"/>
    <s v="08:00"/>
    <n v="1"/>
    <x v="17"/>
    <s v="-"/>
    <s v="P"/>
    <s v="P"/>
    <s v="P"/>
    <s v="-"/>
    <s v="+"/>
    <n v="11.7"/>
    <n v="9.1300000000000008"/>
    <n v="0.43"/>
    <n v="55.1"/>
    <s v="-"/>
    <s v="-"/>
    <n v="24.8"/>
    <s v="-"/>
    <s v="-"/>
    <s v="P"/>
    <s v="P"/>
    <s v="-"/>
    <s v="-"/>
    <n v="1"/>
    <n v="2"/>
    <n v="1"/>
    <n v="1"/>
    <n v="0"/>
    <n v="2"/>
    <s v="-"/>
    <s v="-"/>
    <n v="2"/>
    <s v="-"/>
    <n v="9"/>
    <n v="11"/>
    <s v="-"/>
    <n v="1"/>
    <n v="1"/>
    <n v="2"/>
    <n v="2"/>
    <n v="11"/>
    <n v="13"/>
  </r>
  <r>
    <x v="7"/>
    <x v="171"/>
    <d v="2026-08-04T00:00:00"/>
    <s v="1ST"/>
    <s v="09:00"/>
    <n v="1"/>
    <x v="4"/>
    <s v="-"/>
    <s v="P"/>
    <s v="P"/>
    <s v="P"/>
    <s v="-"/>
    <s v="+"/>
    <n v="11.6"/>
    <n v="9.17"/>
    <n v="0.54"/>
    <n v="54.2"/>
    <s v="-"/>
    <s v="-"/>
    <n v="25"/>
    <s v="-"/>
    <s v="-"/>
    <s v="P"/>
    <s v="P"/>
    <s v="-"/>
    <s v="-"/>
    <n v="1"/>
    <n v="2"/>
    <n v="1"/>
    <n v="1"/>
    <n v="2"/>
    <n v="2"/>
    <s v="-"/>
    <s v="-"/>
    <n v="2"/>
    <s v="-"/>
    <n v="11"/>
    <n v="11"/>
    <s v="-"/>
    <n v="1"/>
    <n v="1"/>
    <n v="2"/>
    <n v="2"/>
    <n v="13"/>
    <n v="13"/>
  </r>
  <r>
    <x v="7"/>
    <x v="171"/>
    <d v="2026-08-04T00:00:00"/>
    <s v="1ST"/>
    <s v="10:00"/>
    <n v="1"/>
    <x v="4"/>
    <s v="-"/>
    <s v="P"/>
    <s v="P"/>
    <s v="P"/>
    <s v="-"/>
    <s v="+"/>
    <n v="11.69"/>
    <s v="-"/>
    <s v="-"/>
    <s v="-"/>
    <s v="-"/>
    <s v="-"/>
    <s v="-"/>
    <s v="-"/>
    <s v="-"/>
    <s v="P"/>
    <s v="P"/>
    <s v="-"/>
    <s v="-"/>
    <n v="1"/>
    <n v="2"/>
    <n v="1"/>
    <s v="-"/>
    <s v="-"/>
    <s v="-"/>
    <s v="-"/>
    <s v="-"/>
    <s v="-"/>
    <s v="-"/>
    <n v="4"/>
    <n v="4"/>
    <s v="-"/>
    <n v="1"/>
    <n v="1"/>
    <n v="2"/>
    <n v="2"/>
    <n v="6"/>
    <n v="6"/>
  </r>
  <r>
    <x v="7"/>
    <x v="171"/>
    <d v="2026-08-04T00:00:00"/>
    <s v="1ST"/>
    <s v="11:00"/>
    <n v="1"/>
    <x v="4"/>
    <s v="-"/>
    <s v="P"/>
    <s v="P"/>
    <s v="P"/>
    <s v="-"/>
    <s v="+"/>
    <n v="11.59"/>
    <s v="-"/>
    <s v="-"/>
    <s v="-"/>
    <s v="-"/>
    <s v="-"/>
    <s v="-"/>
    <s v="-"/>
    <s v="-"/>
    <s v="P"/>
    <s v="P"/>
    <s v="-"/>
    <s v="-"/>
    <n v="1"/>
    <n v="2"/>
    <n v="1"/>
    <s v="-"/>
    <s v="-"/>
    <s v="-"/>
    <s v="-"/>
    <s v="-"/>
    <s v="-"/>
    <s v="-"/>
    <n v="4"/>
    <n v="4"/>
    <s v="-"/>
    <n v="1"/>
    <n v="1"/>
    <n v="2"/>
    <n v="2"/>
    <n v="6"/>
    <n v="6"/>
  </r>
  <r>
    <x v="7"/>
    <x v="171"/>
    <d v="1899-12-30T00:00:00"/>
    <s v="1ST"/>
    <s v="06:00"/>
    <n v="2"/>
    <x v="48"/>
    <s v="-"/>
    <s v="P"/>
    <s v="P"/>
    <s v="P"/>
    <s v="-"/>
    <s v="-"/>
    <n v="11.53"/>
    <n v="9.52"/>
    <n v="0.56999999999999995"/>
    <n v="54.7"/>
    <s v="-"/>
    <s v="-"/>
    <n v="26.2"/>
    <s v="-"/>
    <s v="-"/>
    <s v="P"/>
    <s v="P"/>
    <s v="-"/>
    <s v="-"/>
    <n v="1"/>
    <n v="2"/>
    <n v="1"/>
    <n v="1"/>
    <n v="0"/>
    <n v="2"/>
    <s v="-"/>
    <s v="-"/>
    <n v="0"/>
    <s v="-"/>
    <n v="7"/>
    <n v="11"/>
    <s v="-"/>
    <n v="1"/>
    <n v="1"/>
    <n v="2"/>
    <n v="2"/>
    <n v="9"/>
    <n v="13"/>
  </r>
  <r>
    <x v="7"/>
    <x v="171"/>
    <d v="1899-12-30T00:00:00"/>
    <s v="1ST"/>
    <s v="07:00"/>
    <n v="2"/>
    <x v="48"/>
    <s v="-"/>
    <s v="P"/>
    <s v="P"/>
    <s v="P"/>
    <s v="-"/>
    <s v="-"/>
    <n v="11.29"/>
    <s v="-"/>
    <s v="-"/>
    <s v="-"/>
    <s v="-"/>
    <s v="-"/>
    <s v="-"/>
    <s v="-"/>
    <s v="-"/>
    <s v="P"/>
    <s v="P"/>
    <s v="-"/>
    <s v="-"/>
    <n v="1"/>
    <n v="2"/>
    <n v="1"/>
    <s v="-"/>
    <s v="-"/>
    <s v="-"/>
    <s v="-"/>
    <s v="-"/>
    <s v="-"/>
    <s v="-"/>
    <n v="4"/>
    <n v="4"/>
    <s v="-"/>
    <n v="1"/>
    <n v="1"/>
    <n v="2"/>
    <n v="2"/>
    <n v="6"/>
    <n v="6"/>
  </r>
  <r>
    <x v="7"/>
    <x v="171"/>
    <d v="1899-12-30T00:00:00"/>
    <s v="1ST"/>
    <s v="08:00"/>
    <n v="2"/>
    <x v="22"/>
    <s v="-"/>
    <s v="P"/>
    <s v="P"/>
    <s v="P"/>
    <s v="-"/>
    <s v="-"/>
    <n v="11.46"/>
    <s v="-"/>
    <s v="-"/>
    <s v="-"/>
    <s v="-"/>
    <s v="-"/>
    <s v="-"/>
    <s v="-"/>
    <s v="-"/>
    <s v="P"/>
    <s v="P"/>
    <s v="-"/>
    <s v="-"/>
    <n v="1"/>
    <n v="2"/>
    <n v="1"/>
    <s v="-"/>
    <s v="-"/>
    <s v="-"/>
    <s v="-"/>
    <s v="-"/>
    <s v="-"/>
    <s v="-"/>
    <n v="4"/>
    <n v="4"/>
    <s v="-"/>
    <n v="1"/>
    <n v="1"/>
    <n v="2"/>
    <n v="2"/>
    <n v="6"/>
    <n v="6"/>
  </r>
  <r>
    <x v="7"/>
    <x v="171"/>
    <d v="1899-12-30T00:00:00"/>
    <s v="1ST"/>
    <s v="09:00"/>
    <n v="2"/>
    <x v="22"/>
    <s v="-"/>
    <s v="P"/>
    <s v="P"/>
    <s v="P"/>
    <s v="-"/>
    <s v="-"/>
    <n v="11.67"/>
    <s v="-"/>
    <s v="-"/>
    <s v="-"/>
    <s v="-"/>
    <s v="-"/>
    <s v="-"/>
    <s v="-"/>
    <s v="-"/>
    <s v="P"/>
    <s v="P"/>
    <s v="-"/>
    <s v="-"/>
    <n v="1"/>
    <n v="2"/>
    <n v="1"/>
    <s v="-"/>
    <s v="-"/>
    <s v="-"/>
    <s v="-"/>
    <s v="-"/>
    <s v="-"/>
    <s v="-"/>
    <n v="4"/>
    <n v="4"/>
    <s v="-"/>
    <n v="1"/>
    <n v="1"/>
    <n v="2"/>
    <n v="2"/>
    <n v="6"/>
    <n v="6"/>
  </r>
  <r>
    <x v="7"/>
    <x v="171"/>
    <d v="1899-12-30T00:00:00"/>
    <s v="1ST"/>
    <s v="10:00"/>
    <n v="2"/>
    <x v="22"/>
    <s v="-"/>
    <s v="P"/>
    <s v="P"/>
    <s v="P"/>
    <s v="-"/>
    <s v="-"/>
    <n v="11.57"/>
    <s v="-"/>
    <s v="-"/>
    <s v="-"/>
    <s v="-"/>
    <s v="-"/>
    <s v="-"/>
    <s v="-"/>
    <s v="-"/>
    <s v="P"/>
    <s v="P"/>
    <s v="-"/>
    <s v="-"/>
    <n v="1"/>
    <n v="2"/>
    <n v="1"/>
    <s v="-"/>
    <s v="-"/>
    <s v="-"/>
    <s v="-"/>
    <s v="-"/>
    <s v="-"/>
    <s v="-"/>
    <n v="4"/>
    <n v="4"/>
    <s v="-"/>
    <n v="1"/>
    <n v="1"/>
    <n v="2"/>
    <n v="2"/>
    <n v="6"/>
    <n v="6"/>
  </r>
  <r>
    <x v="7"/>
    <x v="171"/>
    <d v="1899-12-30T00:00:00"/>
    <s v="1ST"/>
    <s v="11:00"/>
    <n v="2"/>
    <x v="22"/>
    <s v="-"/>
    <s v="P"/>
    <s v="P"/>
    <s v="P"/>
    <s v="-"/>
    <s v="-"/>
    <n v="11.49"/>
    <s v="-"/>
    <s v="-"/>
    <s v="-"/>
    <s v="-"/>
    <s v="-"/>
    <s v="-"/>
    <s v="-"/>
    <s v="-"/>
    <s v="P"/>
    <s v="P"/>
    <s v="-"/>
    <s v="-"/>
    <n v="1"/>
    <n v="2"/>
    <n v="1"/>
    <s v="-"/>
    <s v="-"/>
    <s v="-"/>
    <s v="-"/>
    <s v="-"/>
    <s v="-"/>
    <s v="-"/>
    <n v="4"/>
    <n v="4"/>
    <s v="-"/>
    <n v="1"/>
    <n v="1"/>
    <n v="2"/>
    <n v="2"/>
    <n v="6"/>
    <n v="6"/>
  </r>
  <r>
    <x v="7"/>
    <x v="171"/>
    <d v="2026-07-08T00:00:00"/>
    <s v="1ST"/>
    <s v="06:00"/>
    <n v="3"/>
    <x v="1"/>
    <n v="0.01"/>
    <s v="P"/>
    <s v="P"/>
    <s v="P"/>
    <s v="+"/>
    <s v="+"/>
    <n v="12.74"/>
    <n v="12.19"/>
    <n v="0.56999999999999995"/>
    <n v="63.7"/>
    <s v="-"/>
    <s v="-"/>
    <n v="34"/>
    <s v="-"/>
    <s v="-"/>
    <s v="P"/>
    <s v="P"/>
    <s v="-"/>
    <n v="2"/>
    <n v="1"/>
    <n v="2"/>
    <n v="1"/>
    <n v="1"/>
    <n v="2"/>
    <n v="0"/>
    <s v="-"/>
    <s v="-"/>
    <n v="2"/>
    <s v="-"/>
    <n v="11"/>
    <n v="13"/>
    <s v="-"/>
    <n v="1"/>
    <n v="1"/>
    <n v="2"/>
    <n v="2"/>
    <n v="13"/>
    <n v="15"/>
  </r>
  <r>
    <x v="7"/>
    <x v="171"/>
    <d v="2026-07-08T00:00:00"/>
    <s v="1ST"/>
    <s v="07:00"/>
    <n v="3"/>
    <x v="1"/>
    <n v="0.01"/>
    <s v="P"/>
    <s v="P"/>
    <s v="P"/>
    <s v="+"/>
    <s v="+"/>
    <n v="12.4"/>
    <s v="-"/>
    <s v="-"/>
    <s v="-"/>
    <s v="-"/>
    <s v="-"/>
    <s v="-"/>
    <s v="-"/>
    <s v="-"/>
    <s v="P"/>
    <s v="P"/>
    <s v="-"/>
    <n v="2"/>
    <n v="1"/>
    <n v="2"/>
    <n v="1"/>
    <s v="-"/>
    <s v="-"/>
    <s v="-"/>
    <s v="-"/>
    <s v="-"/>
    <s v="-"/>
    <s v="-"/>
    <n v="6"/>
    <n v="6"/>
    <s v="-"/>
    <n v="1"/>
    <n v="1"/>
    <n v="2"/>
    <n v="2"/>
    <n v="8"/>
    <n v="8"/>
  </r>
  <r>
    <x v="7"/>
    <x v="171"/>
    <d v="2026-07-08T00:00:00"/>
    <s v="1ST"/>
    <s v="08:00"/>
    <n v="3"/>
    <x v="1"/>
    <n v="0.01"/>
    <s v="P"/>
    <s v="P"/>
    <s v="P"/>
    <s v="+"/>
    <s v="+"/>
    <n v="12.85"/>
    <s v="-"/>
    <s v="-"/>
    <s v="-"/>
    <s v="-"/>
    <s v="-"/>
    <s v="-"/>
    <s v="-"/>
    <s v="-"/>
    <s v="P"/>
    <s v="P"/>
    <s v="-"/>
    <n v="2"/>
    <n v="1"/>
    <n v="2"/>
    <n v="1"/>
    <s v="-"/>
    <s v="-"/>
    <s v="-"/>
    <s v="-"/>
    <s v="-"/>
    <s v="-"/>
    <s v="-"/>
    <n v="6"/>
    <n v="6"/>
    <s v="-"/>
    <n v="1"/>
    <n v="1"/>
    <n v="2"/>
    <n v="2"/>
    <n v="8"/>
    <n v="8"/>
  </r>
  <r>
    <x v="7"/>
    <x v="171"/>
    <d v="2026-07-08T00:00:00"/>
    <s v="1ST"/>
    <s v="10:00"/>
    <n v="3"/>
    <x v="1"/>
    <n v="0.01"/>
    <s v="P"/>
    <s v="P"/>
    <s v="P"/>
    <s v="+"/>
    <s v="+"/>
    <s v="-"/>
    <s v="-"/>
    <s v="-"/>
    <s v="-"/>
    <s v="-"/>
    <s v="-"/>
    <s v="-"/>
    <s v="-"/>
    <s v="-"/>
    <s v="P"/>
    <s v="P"/>
    <s v="-"/>
    <n v="2"/>
    <n v="1"/>
    <n v="2"/>
    <s v="-"/>
    <s v="-"/>
    <s v="-"/>
    <s v="-"/>
    <s v="-"/>
    <s v="-"/>
    <s v="-"/>
    <s v="-"/>
    <n v="5"/>
    <n v="5"/>
    <s v="-"/>
    <n v="1"/>
    <n v="1"/>
    <n v="2"/>
    <n v="2"/>
    <n v="7"/>
    <n v="7"/>
  </r>
  <r>
    <x v="7"/>
    <x v="171"/>
    <d v="2026-07-08T00:00:00"/>
    <s v="1ST"/>
    <s v="11:00"/>
    <n v="3"/>
    <x v="1"/>
    <n v="0.01"/>
    <s v="P"/>
    <s v="P"/>
    <s v="P"/>
    <s v="+"/>
    <s v="+"/>
    <n v="12.28"/>
    <s v="-"/>
    <s v="-"/>
    <s v="-"/>
    <s v="-"/>
    <s v="-"/>
    <s v="-"/>
    <s v="-"/>
    <s v="-"/>
    <s v="P"/>
    <s v="P"/>
    <s v="-"/>
    <n v="2"/>
    <n v="1"/>
    <n v="2"/>
    <n v="1"/>
    <s v="-"/>
    <s v="-"/>
    <s v="-"/>
    <s v="-"/>
    <s v="-"/>
    <s v="-"/>
    <s v="-"/>
    <n v="6"/>
    <n v="6"/>
    <s v="-"/>
    <n v="1"/>
    <n v="1"/>
    <n v="2"/>
    <n v="2"/>
    <n v="8"/>
    <n v="8"/>
  </r>
  <r>
    <x v="7"/>
    <x v="171"/>
    <d v="2026-07-08T00:00:00"/>
    <s v="1ST"/>
    <s v="13:00"/>
    <n v="3"/>
    <x v="1"/>
    <n v="0.01"/>
    <s v="P"/>
    <s v="P"/>
    <s v="P"/>
    <s v="+"/>
    <s v="+"/>
    <n v="12.31"/>
    <s v="-"/>
    <s v="-"/>
    <s v="-"/>
    <s v="-"/>
    <s v="-"/>
    <s v="-"/>
    <s v="-"/>
    <s v="-"/>
    <s v="P"/>
    <s v="P"/>
    <s v="-"/>
    <n v="2"/>
    <n v="1"/>
    <n v="2"/>
    <n v="1"/>
    <s v="-"/>
    <s v="-"/>
    <s v="-"/>
    <s v="-"/>
    <s v="-"/>
    <s v="-"/>
    <s v="-"/>
    <n v="6"/>
    <n v="6"/>
    <s v="-"/>
    <n v="1"/>
    <n v="1"/>
    <n v="2"/>
    <n v="2"/>
    <n v="8"/>
    <n v="8"/>
  </r>
  <r>
    <x v="7"/>
    <x v="171"/>
    <d v="2026-08-06T00:00:00"/>
    <s v="2ND"/>
    <d v="1899-12-30T14:00:00"/>
    <n v="1"/>
    <x v="7"/>
    <n v="0.01"/>
    <s v="P"/>
    <s v="P"/>
    <s v="P"/>
    <s v="-"/>
    <s v="+"/>
    <n v="11.11"/>
    <n v="9.83"/>
    <n v="0.53"/>
    <n v="55.1"/>
    <s v="-"/>
    <s v="-"/>
    <n v="27"/>
    <s v="-"/>
    <s v="-"/>
    <s v="P"/>
    <s v="P"/>
    <s v="-"/>
    <n v="2"/>
    <n v="1"/>
    <n v="2"/>
    <n v="1"/>
    <n v="1"/>
    <n v="2"/>
    <n v="0"/>
    <s v="-"/>
    <s v="-"/>
    <n v="2"/>
    <s v="-"/>
    <n v="11"/>
    <n v="13"/>
    <s v="-"/>
    <n v="1"/>
    <n v="1"/>
    <n v="2"/>
    <n v="2"/>
    <n v="13"/>
    <n v="15"/>
  </r>
  <r>
    <x v="7"/>
    <x v="171"/>
    <d v="2026-08-06T00:00:00"/>
    <s v="2ND"/>
    <d v="1899-12-30T15:00:00"/>
    <n v="1"/>
    <x v="7"/>
    <n v="0.01"/>
    <s v="P"/>
    <s v="P"/>
    <s v="P"/>
    <s v="-"/>
    <s v="+"/>
    <n v="11.2"/>
    <s v="-"/>
    <s v="-"/>
    <s v="-"/>
    <s v="-"/>
    <s v="-"/>
    <s v="-"/>
    <s v="-"/>
    <s v="-"/>
    <s v="P"/>
    <s v="P"/>
    <s v="-"/>
    <n v="2"/>
    <n v="1"/>
    <n v="2"/>
    <n v="1"/>
    <s v="-"/>
    <s v="-"/>
    <s v="-"/>
    <s v="-"/>
    <s v="-"/>
    <s v="-"/>
    <s v="-"/>
    <n v="6"/>
    <n v="6"/>
    <s v="-"/>
    <n v="1"/>
    <n v="1"/>
    <n v="2"/>
    <n v="2"/>
    <n v="8"/>
    <n v="8"/>
  </r>
  <r>
    <x v="7"/>
    <x v="171"/>
    <d v="2026-08-06T00:00:00"/>
    <s v="2ND"/>
    <d v="1899-12-30T16:00:00"/>
    <n v="1"/>
    <x v="7"/>
    <n v="0.01"/>
    <s v="P"/>
    <s v="P"/>
    <s v="P"/>
    <s v="-"/>
    <s v="+"/>
    <n v="11.35"/>
    <s v="-"/>
    <s v="-"/>
    <s v="-"/>
    <s v="-"/>
    <s v="-"/>
    <s v="-"/>
    <s v="-"/>
    <s v="-"/>
    <s v="P"/>
    <s v="P"/>
    <s v="-"/>
    <n v="2"/>
    <n v="1"/>
    <n v="2"/>
    <n v="1"/>
    <s v="-"/>
    <s v="-"/>
    <s v="-"/>
    <s v="-"/>
    <s v="-"/>
    <s v="-"/>
    <s v="-"/>
    <n v="6"/>
    <n v="6"/>
    <s v="-"/>
    <n v="1"/>
    <n v="1"/>
    <n v="2"/>
    <n v="2"/>
    <n v="8"/>
    <n v="8"/>
  </r>
  <r>
    <x v="7"/>
    <x v="171"/>
    <d v="2026-08-06T00:00:00"/>
    <s v="2ND"/>
    <d v="1899-12-30T19:00:00"/>
    <n v="1"/>
    <x v="7"/>
    <n v="0.01"/>
    <s v="P"/>
    <s v="P"/>
    <s v="P"/>
    <s v="-"/>
    <s v="+"/>
    <n v="11.25"/>
    <s v="-"/>
    <s v="-"/>
    <s v="-"/>
    <s v="-"/>
    <s v="-"/>
    <s v="-"/>
    <s v="-"/>
    <s v="-"/>
    <s v="P"/>
    <s v="P"/>
    <s v="-"/>
    <n v="2"/>
    <n v="1"/>
    <n v="2"/>
    <n v="1"/>
    <s v="-"/>
    <s v="-"/>
    <s v="-"/>
    <s v="-"/>
    <s v="-"/>
    <s v="-"/>
    <s v="-"/>
    <n v="6"/>
    <n v="6"/>
    <s v="-"/>
    <n v="1"/>
    <n v="1"/>
    <n v="2"/>
    <n v="2"/>
    <n v="8"/>
    <n v="8"/>
  </r>
  <r>
    <x v="7"/>
    <x v="171"/>
    <d v="2026-08-06T00:00:00"/>
    <s v="2ND"/>
    <d v="1899-12-30T21:00:00"/>
    <n v="1"/>
    <x v="7"/>
    <n v="0.01"/>
    <s v="P"/>
    <s v="P"/>
    <s v="P"/>
    <s v="-"/>
    <s v="+"/>
    <n v="11.35"/>
    <s v="-"/>
    <s v="-"/>
    <s v="-"/>
    <s v="-"/>
    <s v="-"/>
    <s v="-"/>
    <s v="-"/>
    <s v="-"/>
    <s v="P"/>
    <s v="P"/>
    <s v="-"/>
    <n v="2"/>
    <n v="1"/>
    <n v="2"/>
    <n v="1"/>
    <s v="-"/>
    <s v="-"/>
    <s v="-"/>
    <s v="-"/>
    <s v="-"/>
    <s v="-"/>
    <s v="-"/>
    <n v="6"/>
    <n v="6"/>
    <s v="-"/>
    <n v="1"/>
    <n v="1"/>
    <n v="2"/>
    <n v="2"/>
    <n v="8"/>
    <n v="8"/>
  </r>
  <r>
    <x v="7"/>
    <x v="171"/>
    <d v="1902-03-25T00:00:00"/>
    <s v="2ND"/>
    <d v="1899-12-30T14:00:00"/>
    <n v="2"/>
    <x v="22"/>
    <s v="-"/>
    <s v="P"/>
    <s v="P"/>
    <s v="P"/>
    <s v="-"/>
    <s v="-"/>
    <n v="11.23"/>
    <n v="10.07"/>
    <n v="0.51"/>
    <n v="54.5"/>
    <s v="-"/>
    <s v="-"/>
    <n v="27.7"/>
    <s v="-"/>
    <s v="-"/>
    <s v="P"/>
    <s v="P"/>
    <s v="-"/>
    <s v="-"/>
    <n v="1"/>
    <n v="2"/>
    <n v="1"/>
    <n v="0"/>
    <n v="2"/>
    <n v="2"/>
    <s v="-"/>
    <s v="-"/>
    <n v="2"/>
    <s v="-"/>
    <n v="10"/>
    <n v="11"/>
    <s v="-"/>
    <n v="1"/>
    <n v="1"/>
    <n v="2"/>
    <n v="2"/>
    <n v="12"/>
    <n v="13"/>
  </r>
  <r>
    <x v="7"/>
    <x v="171"/>
    <d v="1899-12-30T00:00:00"/>
    <s v="2ND"/>
    <d v="1899-12-30T15:00:00"/>
    <n v="2"/>
    <x v="22"/>
    <s v="-"/>
    <s v="P"/>
    <s v="P"/>
    <s v="P"/>
    <s v="-"/>
    <s v="-"/>
    <n v="11.33"/>
    <s v="-"/>
    <s v="-"/>
    <s v="-"/>
    <s v="-"/>
    <s v="-"/>
    <s v="-"/>
    <s v="-"/>
    <s v="-"/>
    <s v="P"/>
    <s v="P"/>
    <s v="-"/>
    <s v="-"/>
    <n v="1"/>
    <n v="2"/>
    <n v="1"/>
    <s v="-"/>
    <s v="-"/>
    <s v="-"/>
    <s v="-"/>
    <s v="-"/>
    <s v="-"/>
    <s v="-"/>
    <n v="4"/>
    <n v="4"/>
    <s v="-"/>
    <n v="1"/>
    <n v="1"/>
    <n v="2"/>
    <n v="2"/>
    <n v="6"/>
    <n v="6"/>
  </r>
  <r>
    <x v="7"/>
    <x v="171"/>
    <d v="1899-12-30T00:00:00"/>
    <s v="2ND"/>
    <d v="1899-12-30T16:00:00"/>
    <n v="2"/>
    <x v="22"/>
    <s v="-"/>
    <s v="P"/>
    <s v="P"/>
    <s v="P"/>
    <s v="-"/>
    <s v="-"/>
    <n v="11.45"/>
    <s v="-"/>
    <s v="-"/>
    <s v="-"/>
    <s v="-"/>
    <s v="-"/>
    <s v="-"/>
    <s v="-"/>
    <s v="-"/>
    <s v="P"/>
    <s v="P"/>
    <s v="-"/>
    <s v="-"/>
    <n v="1"/>
    <n v="2"/>
    <n v="1"/>
    <s v="-"/>
    <s v="-"/>
    <s v="-"/>
    <s v="-"/>
    <s v="-"/>
    <s v="-"/>
    <s v="-"/>
    <n v="4"/>
    <n v="4"/>
    <s v="-"/>
    <n v="1"/>
    <n v="1"/>
    <n v="2"/>
    <n v="2"/>
    <n v="6"/>
    <n v="6"/>
  </r>
  <r>
    <x v="7"/>
    <x v="171"/>
    <d v="1899-12-30T00:00:00"/>
    <s v="2ND"/>
    <d v="1899-12-30T19:00:00"/>
    <n v="2"/>
    <x v="22"/>
    <s v="-"/>
    <s v="P"/>
    <s v="P"/>
    <s v="P"/>
    <s v="-"/>
    <s v="-"/>
    <n v="11.45"/>
    <s v="-"/>
    <s v="-"/>
    <s v="-"/>
    <s v="-"/>
    <s v="-"/>
    <s v="-"/>
    <s v="-"/>
    <s v="-"/>
    <s v="P"/>
    <s v="P"/>
    <s v="-"/>
    <s v="-"/>
    <n v="1"/>
    <n v="2"/>
    <n v="1"/>
    <s v="-"/>
    <s v="-"/>
    <s v="-"/>
    <s v="-"/>
    <s v="-"/>
    <s v="-"/>
    <s v="-"/>
    <n v="4"/>
    <n v="4"/>
    <s v="-"/>
    <n v="1"/>
    <n v="1"/>
    <n v="2"/>
    <n v="2"/>
    <n v="6"/>
    <n v="6"/>
  </r>
  <r>
    <x v="7"/>
    <x v="171"/>
    <d v="1899-12-30T00:00:00"/>
    <s v="2ND"/>
    <d v="1899-12-30T21:00:00"/>
    <n v="2"/>
    <x v="22"/>
    <s v="-"/>
    <s v="P"/>
    <s v="P"/>
    <s v="P"/>
    <s v="-"/>
    <s v="-"/>
    <n v="11.45"/>
    <s v="-"/>
    <s v="-"/>
    <s v="-"/>
    <s v="-"/>
    <s v="-"/>
    <s v="-"/>
    <s v="-"/>
    <s v="-"/>
    <s v="P"/>
    <s v="P"/>
    <s v="-"/>
    <s v="-"/>
    <n v="1"/>
    <n v="2"/>
    <n v="1"/>
    <s v="-"/>
    <s v="-"/>
    <s v="-"/>
    <s v="-"/>
    <s v="-"/>
    <s v="-"/>
    <s v="-"/>
    <n v="4"/>
    <n v="4"/>
    <s v="-"/>
    <n v="1"/>
    <n v="1"/>
    <n v="2"/>
    <n v="2"/>
    <n v="6"/>
    <n v="6"/>
  </r>
  <r>
    <x v="7"/>
    <x v="171"/>
    <d v="2026-07-08T00:00:00"/>
    <s v="2ND"/>
    <d v="1899-12-30T14:00:00"/>
    <n v="3"/>
    <x v="1"/>
    <n v="0.01"/>
    <s v="P"/>
    <s v="P"/>
    <s v="P"/>
    <s v="+"/>
    <s v="+"/>
    <n v="12.58"/>
    <n v="12.87"/>
    <n v="0.56999999999999995"/>
    <s v="-"/>
    <s v="-"/>
    <s v="-"/>
    <n v="36.1"/>
    <s v="-"/>
    <s v="-"/>
    <s v="P"/>
    <s v="P"/>
    <s v="85% 5% 10%"/>
    <n v="2"/>
    <n v="1"/>
    <n v="2"/>
    <n v="1"/>
    <n v="1"/>
    <n v="2"/>
    <s v="-"/>
    <s v="-"/>
    <s v="-"/>
    <n v="2"/>
    <s v="-"/>
    <n v="11"/>
    <n v="11"/>
    <s v="-"/>
    <n v="1"/>
    <n v="1"/>
    <n v="2"/>
    <n v="2"/>
    <n v="13"/>
    <n v="13"/>
  </r>
  <r>
    <x v="7"/>
    <x v="171"/>
    <d v="2026-07-08T00:00:00"/>
    <s v="2ND"/>
    <d v="1899-12-30T16:00:00"/>
    <n v="3"/>
    <x v="1"/>
    <n v="0.01"/>
    <s v="P"/>
    <s v="P"/>
    <s v="P"/>
    <s v="+"/>
    <s v="+"/>
    <n v="11.99"/>
    <s v="-"/>
    <s v="-"/>
    <s v="-"/>
    <s v="-"/>
    <s v="-"/>
    <s v="-"/>
    <s v="-"/>
    <s v="-"/>
    <s v="P"/>
    <s v="P"/>
    <s v="-"/>
    <n v="2"/>
    <n v="1"/>
    <n v="2"/>
    <n v="0"/>
    <s v="-"/>
    <s v="-"/>
    <s v="-"/>
    <s v="-"/>
    <s v="-"/>
    <s v="-"/>
    <s v="-"/>
    <n v="5"/>
    <n v="6"/>
    <s v="-"/>
    <n v="1"/>
    <n v="1"/>
    <n v="2"/>
    <n v="2"/>
    <n v="7"/>
    <n v="8"/>
  </r>
  <r>
    <x v="7"/>
    <x v="171"/>
    <d v="2026-07-08T00:00:00"/>
    <s v="2ND"/>
    <d v="1899-12-30T17:00:00"/>
    <n v="3"/>
    <x v="1"/>
    <s v="-"/>
    <s v="P"/>
    <s v="P"/>
    <s v="P"/>
    <s v="+"/>
    <s v="+"/>
    <s v="-"/>
    <s v="-"/>
    <s v="-"/>
    <s v="-"/>
    <s v="-"/>
    <s v="-"/>
    <s v="-"/>
    <s v="-"/>
    <s v="-"/>
    <s v="P"/>
    <s v="P"/>
    <s v="-"/>
    <s v="-"/>
    <n v="1"/>
    <n v="2"/>
    <s v="-"/>
    <s v="-"/>
    <s v="-"/>
    <s v="-"/>
    <s v="-"/>
    <s v="-"/>
    <s v="-"/>
    <s v="-"/>
    <n v="3"/>
    <n v="3"/>
    <s v="-"/>
    <n v="1"/>
    <n v="1"/>
    <n v="2"/>
    <n v="2"/>
    <n v="5"/>
    <n v="5"/>
  </r>
  <r>
    <x v="7"/>
    <x v="171"/>
    <d v="2026-08-06T00:00:00"/>
    <s v="3RD"/>
    <d v="1899-12-30T23:00:00"/>
    <n v="1"/>
    <x v="7"/>
    <n v="0.01"/>
    <s v="P"/>
    <s v="P"/>
    <s v="P"/>
    <s v="-"/>
    <s v="+"/>
    <n v="11.23"/>
    <n v="9.56"/>
    <n v="0.53"/>
    <n v="55.1"/>
    <s v="-"/>
    <s v="-"/>
    <n v="25.88"/>
    <s v="-"/>
    <s v="-"/>
    <s v="P"/>
    <s v="P"/>
    <s v="-"/>
    <n v="2"/>
    <n v="1"/>
    <n v="2"/>
    <n v="1"/>
    <n v="1"/>
    <n v="2"/>
    <n v="0"/>
    <s v="-"/>
    <s v="-"/>
    <n v="2"/>
    <s v="-"/>
    <n v="11"/>
    <n v="13"/>
    <s v="-"/>
    <n v="1"/>
    <n v="1"/>
    <n v="2"/>
    <n v="2"/>
    <n v="13"/>
    <n v="15"/>
  </r>
  <r>
    <x v="7"/>
    <x v="171"/>
    <d v="2026-08-06T00:00:00"/>
    <s v="3RD"/>
    <d v="1899-12-31T01:00:00"/>
    <n v="1"/>
    <x v="7"/>
    <n v="0.01"/>
    <s v="P"/>
    <s v="P"/>
    <s v="P"/>
    <s v="-"/>
    <s v="+"/>
    <n v="11.42"/>
    <s v="-"/>
    <s v="-"/>
    <s v="-"/>
    <s v="-"/>
    <s v="-"/>
    <s v="-"/>
    <s v="-"/>
    <s v="-"/>
    <s v="P"/>
    <s v="P"/>
    <s v="-"/>
    <n v="2"/>
    <n v="1"/>
    <n v="2"/>
    <n v="1"/>
    <s v="-"/>
    <s v="-"/>
    <s v="-"/>
    <s v="-"/>
    <s v="-"/>
    <s v="-"/>
    <s v="-"/>
    <n v="6"/>
    <n v="6"/>
    <s v="-"/>
    <n v="1"/>
    <n v="1"/>
    <n v="2"/>
    <n v="2"/>
    <n v="8"/>
    <n v="8"/>
  </r>
  <r>
    <x v="7"/>
    <x v="171"/>
    <d v="2026-08-06T00:00:00"/>
    <s v="3RD"/>
    <d v="1899-12-31T03:00:00"/>
    <n v="1"/>
    <x v="7"/>
    <n v="0.01"/>
    <s v="P"/>
    <s v="P"/>
    <s v="P"/>
    <s v="-"/>
    <s v="+"/>
    <n v="11.59"/>
    <s v="-"/>
    <s v="-"/>
    <s v="-"/>
    <s v="-"/>
    <s v="-"/>
    <s v="-"/>
    <s v="-"/>
    <s v="-"/>
    <s v="P"/>
    <s v="P"/>
    <s v="-"/>
    <n v="2"/>
    <n v="1"/>
    <n v="2"/>
    <n v="1"/>
    <s v="-"/>
    <s v="-"/>
    <s v="-"/>
    <s v="-"/>
    <s v="-"/>
    <s v="-"/>
    <s v="-"/>
    <n v="6"/>
    <n v="6"/>
    <s v="-"/>
    <n v="1"/>
    <n v="1"/>
    <n v="2"/>
    <n v="2"/>
    <n v="8"/>
    <n v="8"/>
  </r>
  <r>
    <x v="7"/>
    <x v="171"/>
    <d v="2026-08-08T00:00:00"/>
    <s v="3RD"/>
    <d v="1899-12-31T04:00:00"/>
    <n v="1"/>
    <x v="17"/>
    <n v="0.01"/>
    <s v="P"/>
    <s v="P"/>
    <s v="P"/>
    <s v="-"/>
    <s v="+"/>
    <n v="10.9"/>
    <n v="8.23"/>
    <s v="-"/>
    <n v="53.7"/>
    <s v="-"/>
    <s v="-"/>
    <n v="22.01"/>
    <s v="-"/>
    <s v="-"/>
    <s v="P"/>
    <s v="P"/>
    <s v="-"/>
    <n v="2"/>
    <n v="1"/>
    <n v="2"/>
    <n v="0"/>
    <n v="1"/>
    <s v="-"/>
    <n v="0"/>
    <s v="-"/>
    <s v="-"/>
    <n v="2"/>
    <s v="-"/>
    <n v="8"/>
    <n v="11"/>
    <s v="-"/>
    <n v="1"/>
    <n v="1"/>
    <n v="2"/>
    <n v="2"/>
    <n v="10"/>
    <n v="13"/>
  </r>
  <r>
    <x v="7"/>
    <x v="171"/>
    <d v="1902-03-25T00:00:00"/>
    <s v="3RD"/>
    <d v="1899-12-30T23:00:00"/>
    <n v="2"/>
    <x v="22"/>
    <n v="0.02"/>
    <s v="P"/>
    <s v="P"/>
    <s v="P"/>
    <s v="-"/>
    <s v="-"/>
    <n v="11.33"/>
    <n v="10.46"/>
    <s v="0..51"/>
    <s v="-"/>
    <s v="-"/>
    <s v="-"/>
    <n v="28.82"/>
    <s v="-"/>
    <s v="-"/>
    <s v="P"/>
    <s v="P"/>
    <s v="-"/>
    <n v="2"/>
    <n v="1"/>
    <n v="2"/>
    <n v="1"/>
    <n v="0"/>
    <n v="0"/>
    <s v="-"/>
    <s v="-"/>
    <s v="-"/>
    <n v="2"/>
    <s v="-"/>
    <n v="8"/>
    <n v="11"/>
    <s v="-"/>
    <n v="1"/>
    <n v="1"/>
    <n v="2"/>
    <n v="2"/>
    <n v="10"/>
    <n v="13"/>
  </r>
  <r>
    <x v="7"/>
    <x v="171"/>
    <d v="1899-12-30T00:00:00"/>
    <s v="3RD"/>
    <d v="1899-12-31T01:00:00"/>
    <n v="2"/>
    <x v="22"/>
    <n v="0.02"/>
    <s v="P"/>
    <s v="P"/>
    <s v="P"/>
    <s v="-"/>
    <s v="-"/>
    <n v="11.33"/>
    <s v="-"/>
    <s v="-"/>
    <s v="-"/>
    <s v="-"/>
    <s v="-"/>
    <s v="-"/>
    <s v="-"/>
    <s v="-"/>
    <s v="P"/>
    <s v="P"/>
    <s v="-"/>
    <n v="2"/>
    <n v="1"/>
    <n v="2"/>
    <n v="1"/>
    <s v="-"/>
    <s v="-"/>
    <s v="-"/>
    <s v="-"/>
    <s v="-"/>
    <s v="-"/>
    <s v="-"/>
    <n v="6"/>
    <n v="6"/>
    <s v="-"/>
    <n v="1"/>
    <n v="1"/>
    <n v="2"/>
    <n v="2"/>
    <n v="8"/>
    <n v="8"/>
  </r>
  <r>
    <x v="7"/>
    <x v="171"/>
    <d v="1899-12-30T00:00:00"/>
    <s v="3RD"/>
    <d v="1899-12-31T03:00:00"/>
    <n v="2"/>
    <x v="22"/>
    <n v="0.02"/>
    <s v="P"/>
    <s v="P"/>
    <s v="P"/>
    <s v="-"/>
    <s v="-"/>
    <n v="11.53"/>
    <s v="-"/>
    <s v="-"/>
    <s v="-"/>
    <s v="-"/>
    <s v="-"/>
    <s v="-"/>
    <s v="-"/>
    <s v="-"/>
    <s v="P"/>
    <s v="P"/>
    <s v="-"/>
    <n v="2"/>
    <n v="1"/>
    <n v="2"/>
    <n v="1"/>
    <s v="-"/>
    <s v="-"/>
    <s v="-"/>
    <s v="-"/>
    <s v="-"/>
    <s v="-"/>
    <s v="-"/>
    <n v="6"/>
    <n v="6"/>
    <s v="-"/>
    <n v="1"/>
    <n v="1"/>
    <n v="2"/>
    <n v="2"/>
    <n v="8"/>
    <n v="8"/>
  </r>
  <r>
    <x v="7"/>
    <x v="172"/>
    <d v="2026-08-08T00:00:00"/>
    <s v="1ST"/>
    <s v="07:00"/>
    <n v="1"/>
    <x v="17"/>
    <s v="-"/>
    <s v="P"/>
    <s v="P"/>
    <s v="P"/>
    <s v="-"/>
    <s v="+"/>
    <n v="11.83"/>
    <n v="8.25"/>
    <n v="0.4"/>
    <n v="54.5"/>
    <n v="37"/>
    <n v="514"/>
    <n v="22.05"/>
    <s v="-"/>
    <s v="-"/>
    <s v="P"/>
    <s v="P"/>
    <n v="1"/>
    <s v="-"/>
    <n v="1"/>
    <n v="2"/>
    <n v="1"/>
    <n v="1"/>
    <n v="2"/>
    <n v="2"/>
    <n v="0"/>
    <n v="1"/>
    <n v="2"/>
    <s v="-"/>
    <n v="12"/>
    <n v="13"/>
    <s v="-"/>
    <n v="1"/>
    <n v="1"/>
    <n v="2"/>
    <n v="2"/>
    <n v="14"/>
    <n v="15"/>
  </r>
  <r>
    <x v="7"/>
    <x v="172"/>
    <d v="2026-08-06T00:00:00"/>
    <s v="1ST"/>
    <s v="08:00"/>
    <n v="1"/>
    <x v="22"/>
    <n v="0.01"/>
    <s v="P"/>
    <s v="P"/>
    <s v="P"/>
    <s v="-"/>
    <s v="-"/>
    <n v="11.86"/>
    <n v="9.92"/>
    <n v="0.61"/>
    <n v="54.6"/>
    <n v="11.1"/>
    <n v="418"/>
    <n v="27.2"/>
    <s v="-"/>
    <s v="-"/>
    <s v="P"/>
    <s v="P"/>
    <s v="70% 30%"/>
    <n v="2"/>
    <n v="1"/>
    <n v="2"/>
    <n v="1"/>
    <n v="1"/>
    <n v="0"/>
    <n v="2"/>
    <s v="-"/>
    <s v="-"/>
    <n v="2"/>
    <s v="-"/>
    <n v="11"/>
    <n v="13"/>
    <s v="-"/>
    <n v="1"/>
    <n v="1"/>
    <n v="2"/>
    <n v="2"/>
    <n v="13"/>
    <n v="15"/>
  </r>
  <r>
    <x v="7"/>
    <x v="172"/>
    <d v="2026-08-06T00:00:00"/>
    <s v="1ST"/>
    <s v="09:00"/>
    <n v="1"/>
    <x v="22"/>
    <n v="0.01"/>
    <s v="P"/>
    <s v="P"/>
    <s v="P"/>
    <s v="-"/>
    <s v="-"/>
    <n v="11.9"/>
    <s v="-"/>
    <s v="-"/>
    <s v="-"/>
    <s v="-"/>
    <s v="-"/>
    <s v="-"/>
    <s v="-"/>
    <s v="-"/>
    <s v="P"/>
    <s v="P"/>
    <s v="-"/>
    <n v="2"/>
    <n v="1"/>
    <n v="2"/>
    <n v="1"/>
    <s v="-"/>
    <s v="-"/>
    <s v="-"/>
    <s v="-"/>
    <s v="-"/>
    <s v="-"/>
    <s v="-"/>
    <n v="6"/>
    <n v="6"/>
    <s v="-"/>
    <n v="1"/>
    <n v="1"/>
    <n v="2"/>
    <n v="2"/>
    <n v="8"/>
    <n v="8"/>
  </r>
  <r>
    <x v="7"/>
    <x v="172"/>
    <d v="2026-08-06T00:00:00"/>
    <s v="1ST"/>
    <s v="10:00"/>
    <n v="1"/>
    <x v="22"/>
    <n v="0.02"/>
    <s v="P"/>
    <s v="P"/>
    <s v="P"/>
    <s v="-"/>
    <s v="-"/>
    <n v="12.01"/>
    <s v="-"/>
    <s v="-"/>
    <s v="-"/>
    <s v="-"/>
    <s v="-"/>
    <s v="-"/>
    <s v="-"/>
    <s v="-"/>
    <s v="P"/>
    <s v="P"/>
    <s v="-"/>
    <n v="2"/>
    <n v="1"/>
    <n v="2"/>
    <n v="1"/>
    <s v="-"/>
    <s v="-"/>
    <s v="-"/>
    <s v="-"/>
    <s v="-"/>
    <s v="-"/>
    <s v="-"/>
    <n v="6"/>
    <n v="6"/>
    <s v="-"/>
    <n v="1"/>
    <n v="1"/>
    <n v="2"/>
    <n v="2"/>
    <n v="8"/>
    <n v="8"/>
  </r>
  <r>
    <x v="7"/>
    <x v="172"/>
    <d v="2026-08-06T00:00:00"/>
    <s v="1ST"/>
    <s v="11:00"/>
    <n v="1"/>
    <x v="22"/>
    <n v="0.01"/>
    <s v="P"/>
    <s v="P"/>
    <s v="P"/>
    <s v="-"/>
    <s v="-"/>
    <n v="11.44"/>
    <s v="-"/>
    <s v="-"/>
    <s v="-"/>
    <s v="-"/>
    <s v="-"/>
    <s v="-"/>
    <s v="-"/>
    <s v="-"/>
    <s v="P"/>
    <s v="P"/>
    <s v="-"/>
    <n v="2"/>
    <n v="1"/>
    <n v="2"/>
    <n v="1"/>
    <s v="-"/>
    <s v="-"/>
    <s v="-"/>
    <s v="-"/>
    <s v="-"/>
    <s v="-"/>
    <s v="-"/>
    <n v="6"/>
    <n v="6"/>
    <s v="-"/>
    <n v="1"/>
    <n v="1"/>
    <n v="2"/>
    <n v="2"/>
    <n v="8"/>
    <n v="8"/>
  </r>
  <r>
    <x v="7"/>
    <x v="172"/>
    <d v="2026-08-06T00:00:00"/>
    <s v="1ST"/>
    <s v="12:00"/>
    <n v="1"/>
    <x v="22"/>
    <n v="0.02"/>
    <s v="P"/>
    <s v="P"/>
    <s v="P"/>
    <s v="-"/>
    <s v="-"/>
    <n v="11.01"/>
    <s v="-"/>
    <s v="-"/>
    <s v="-"/>
    <s v="-"/>
    <s v="-"/>
    <s v="-"/>
    <s v="-"/>
    <s v="-"/>
    <s v="P"/>
    <s v="P"/>
    <s v="-"/>
    <n v="2"/>
    <n v="1"/>
    <n v="2"/>
    <n v="1"/>
    <s v="-"/>
    <s v="-"/>
    <s v="-"/>
    <s v="-"/>
    <s v="-"/>
    <s v="-"/>
    <s v="-"/>
    <n v="6"/>
    <n v="6"/>
    <s v="-"/>
    <n v="1"/>
    <n v="1"/>
    <n v="2"/>
    <n v="2"/>
    <n v="8"/>
    <n v="8"/>
  </r>
  <r>
    <x v="7"/>
    <x v="172"/>
    <d v="2026-08-06T00:00:00"/>
    <s v="1ST"/>
    <s v="13:00"/>
    <n v="1"/>
    <x v="22"/>
    <n v="0.01"/>
    <s v="P"/>
    <s v="P"/>
    <s v="P"/>
    <s v="-"/>
    <s v="-"/>
    <n v="11.04"/>
    <s v="-"/>
    <s v="-"/>
    <s v="-"/>
    <s v="-"/>
    <s v="-"/>
    <s v="-"/>
    <s v="-"/>
    <s v="-"/>
    <s v="P"/>
    <s v="P"/>
    <s v="-"/>
    <n v="2"/>
    <n v="1"/>
    <n v="2"/>
    <n v="1"/>
    <s v="-"/>
    <s v="-"/>
    <s v="-"/>
    <s v="-"/>
    <s v="-"/>
    <s v="-"/>
    <s v="-"/>
    <n v="6"/>
    <n v="6"/>
    <s v="-"/>
    <n v="1"/>
    <n v="1"/>
    <n v="2"/>
    <n v="2"/>
    <n v="8"/>
    <n v="8"/>
  </r>
  <r>
    <x v="7"/>
    <x v="172"/>
    <d v="1902-03-26T00:00:00"/>
    <s v="1ST"/>
    <s v="07:00"/>
    <n v="2"/>
    <x v="5"/>
    <n v="0.01"/>
    <s v="P"/>
    <s v="P"/>
    <s v="P"/>
    <s v="-"/>
    <s v="+"/>
    <n v="11.63"/>
    <n v="9.17"/>
    <s v="-"/>
    <n v="55.1"/>
    <n v="9.6"/>
    <n v="408"/>
    <n v="24.9"/>
    <s v="-"/>
    <s v="-"/>
    <s v="P"/>
    <s v="P"/>
    <s v="-"/>
    <n v="2"/>
    <n v="1"/>
    <n v="2"/>
    <n v="1"/>
    <n v="1"/>
    <s v="-"/>
    <n v="2"/>
    <s v="-"/>
    <s v="-"/>
    <n v="2"/>
    <s v="-"/>
    <n v="11"/>
    <n v="11"/>
    <s v="-"/>
    <n v="1"/>
    <n v="1"/>
    <n v="2"/>
    <n v="2"/>
    <n v="13"/>
    <n v="13"/>
  </r>
  <r>
    <x v="7"/>
    <x v="172"/>
    <d v="1899-12-30T00:00:00"/>
    <s v="1ST"/>
    <s v="09:00"/>
    <n v="2"/>
    <x v="5"/>
    <n v="0.01"/>
    <s v="P"/>
    <s v="P"/>
    <s v="P"/>
    <s v="-"/>
    <s v="+"/>
    <n v="11.58"/>
    <s v="-"/>
    <s v="-"/>
    <s v="-"/>
    <s v="-"/>
    <s v="-"/>
    <s v="-"/>
    <s v="-"/>
    <s v="-"/>
    <s v="P"/>
    <s v="P"/>
    <s v="-"/>
    <n v="2"/>
    <n v="1"/>
    <n v="2"/>
    <n v="1"/>
    <s v="-"/>
    <s v="-"/>
    <s v="-"/>
    <s v="-"/>
    <s v="-"/>
    <s v="-"/>
    <s v="-"/>
    <n v="6"/>
    <n v="6"/>
    <s v="-"/>
    <n v="1"/>
    <n v="1"/>
    <n v="2"/>
    <n v="2"/>
    <n v="8"/>
    <n v="8"/>
  </r>
  <r>
    <x v="7"/>
    <x v="172"/>
    <d v="1899-12-30T00:00:00"/>
    <s v="1ST"/>
    <s v="10:00"/>
    <n v="2"/>
    <x v="5"/>
    <n v="0.01"/>
    <s v="P"/>
    <s v="P"/>
    <s v="P"/>
    <s v="-"/>
    <s v="+"/>
    <n v="11.58"/>
    <s v="-"/>
    <s v="-"/>
    <s v="-"/>
    <s v="-"/>
    <s v="-"/>
    <s v="-"/>
    <s v="-"/>
    <s v="-"/>
    <s v="P"/>
    <s v="P"/>
    <s v="-"/>
    <n v="2"/>
    <n v="1"/>
    <n v="2"/>
    <n v="1"/>
    <s v="-"/>
    <s v="-"/>
    <s v="-"/>
    <s v="-"/>
    <s v="-"/>
    <s v="-"/>
    <s v="-"/>
    <n v="6"/>
    <n v="6"/>
    <s v="-"/>
    <n v="1"/>
    <n v="1"/>
    <n v="2"/>
    <n v="2"/>
    <n v="8"/>
    <n v="8"/>
  </r>
  <r>
    <x v="7"/>
    <x v="172"/>
    <d v="1899-12-30T00:00:00"/>
    <s v="1ST"/>
    <s v="11:00"/>
    <n v="2"/>
    <x v="5"/>
    <n v="0.01"/>
    <s v="P"/>
    <s v="P"/>
    <s v="P"/>
    <s v="-"/>
    <s v="+"/>
    <n v="11.22"/>
    <s v="-"/>
    <s v="-"/>
    <s v="-"/>
    <s v="-"/>
    <s v="-"/>
    <s v="-"/>
    <s v="-"/>
    <s v="-"/>
    <s v="P"/>
    <s v="P"/>
    <s v="-"/>
    <n v="2"/>
    <n v="1"/>
    <n v="2"/>
    <n v="1"/>
    <s v="-"/>
    <s v="-"/>
    <s v="-"/>
    <s v="-"/>
    <s v="-"/>
    <s v="-"/>
    <s v="-"/>
    <n v="6"/>
    <n v="6"/>
    <s v="-"/>
    <n v="1"/>
    <n v="1"/>
    <n v="2"/>
    <n v="2"/>
    <n v="8"/>
    <n v="8"/>
  </r>
  <r>
    <x v="7"/>
    <x v="172"/>
    <d v="1899-12-30T00:00:00"/>
    <s v="1ST"/>
    <s v="12:00"/>
    <n v="2"/>
    <x v="5"/>
    <n v="0.01"/>
    <s v="P"/>
    <s v="P"/>
    <s v="P"/>
    <s v="-"/>
    <s v="+"/>
    <n v="10.64"/>
    <s v="-"/>
    <s v="-"/>
    <s v="-"/>
    <s v="-"/>
    <s v="-"/>
    <s v="-"/>
    <s v="-"/>
    <s v="-"/>
    <s v="P"/>
    <s v="P"/>
    <s v="-"/>
    <n v="2"/>
    <n v="1"/>
    <n v="2"/>
    <n v="0"/>
    <s v="-"/>
    <s v="-"/>
    <s v="-"/>
    <s v="-"/>
    <s v="-"/>
    <s v="-"/>
    <s v="-"/>
    <n v="5"/>
    <n v="6"/>
    <s v="-"/>
    <n v="1"/>
    <n v="1"/>
    <n v="2"/>
    <n v="2"/>
    <n v="7"/>
    <n v="8"/>
  </r>
  <r>
    <x v="7"/>
    <x v="172"/>
    <d v="1899-12-30T00:00:00"/>
    <s v="1ST"/>
    <s v="13:00"/>
    <n v="2"/>
    <x v="5"/>
    <n v="0.01"/>
    <s v="P"/>
    <s v="P"/>
    <s v="P"/>
    <s v="-"/>
    <s v="+"/>
    <n v="10.54"/>
    <s v="-"/>
    <s v="-"/>
    <s v="-"/>
    <s v="-"/>
    <s v="-"/>
    <s v="-"/>
    <s v="-"/>
    <s v="-"/>
    <s v="P"/>
    <s v="P"/>
    <s v="-"/>
    <n v="2"/>
    <n v="1"/>
    <n v="2"/>
    <n v="0"/>
    <s v="-"/>
    <s v="-"/>
    <s v="-"/>
    <s v="-"/>
    <s v="-"/>
    <s v="-"/>
    <s v="-"/>
    <n v="5"/>
    <n v="6"/>
    <s v="-"/>
    <n v="1"/>
    <n v="1"/>
    <n v="2"/>
    <n v="2"/>
    <n v="7"/>
    <n v="8"/>
  </r>
  <r>
    <x v="7"/>
    <x v="172"/>
    <d v="2026-07-17T00:00:00"/>
    <s v="1ST"/>
    <s v="08:00"/>
    <n v="3"/>
    <x v="39"/>
    <s v="-"/>
    <s v="P"/>
    <s v="P"/>
    <s v="P"/>
    <s v="+"/>
    <s v="+"/>
    <n v="12.68"/>
    <n v="12.21"/>
    <n v="0.61"/>
    <s v="-"/>
    <s v="-"/>
    <s v="-"/>
    <n v="34"/>
    <s v="-"/>
    <s v="-"/>
    <s v="P"/>
    <s v="P"/>
    <n v="1"/>
    <s v="-"/>
    <n v="1"/>
    <n v="2"/>
    <n v="1"/>
    <n v="0"/>
    <n v="2"/>
    <s v="-"/>
    <s v="-"/>
    <s v="-"/>
    <n v="0"/>
    <s v="-"/>
    <n v="6"/>
    <n v="9"/>
    <s v="-"/>
    <n v="1"/>
    <n v="1"/>
    <n v="2"/>
    <n v="2"/>
    <n v="8"/>
    <n v="11"/>
  </r>
  <r>
    <x v="7"/>
    <x v="172"/>
    <d v="2026-07-17T00:00:00"/>
    <s v="1ST"/>
    <s v="10:00"/>
    <n v="3"/>
    <x v="0"/>
    <n v="0.01"/>
    <s v="P"/>
    <s v="P"/>
    <s v="P"/>
    <s v="+"/>
    <s v="+"/>
    <s v="-"/>
    <n v="12.11"/>
    <s v="-"/>
    <n v="65.3"/>
    <s v="-"/>
    <s v="-"/>
    <n v="33.700000000000003"/>
    <s v="-"/>
    <s v="-"/>
    <s v="P"/>
    <s v="P"/>
    <s v="85% 5% 10%"/>
    <n v="2"/>
    <n v="1"/>
    <n v="2"/>
    <s v="-"/>
    <n v="1"/>
    <s v="-"/>
    <n v="2"/>
    <s v="-"/>
    <s v="-"/>
    <n v="2"/>
    <s v="-"/>
    <n v="10"/>
    <n v="10"/>
    <s v="-"/>
    <n v="1"/>
    <n v="1"/>
    <n v="2"/>
    <n v="2"/>
    <n v="12"/>
    <n v="12"/>
  </r>
  <r>
    <x v="7"/>
    <x v="172"/>
    <d v="2026-07-17T00:00:00"/>
    <s v="1ST"/>
    <s v="12:00"/>
    <n v="3"/>
    <x v="1"/>
    <n v="0.01"/>
    <s v="P"/>
    <s v="P"/>
    <s v="P"/>
    <s v="+"/>
    <s v="+"/>
    <n v="11.48"/>
    <s v="-"/>
    <s v="-"/>
    <s v="-"/>
    <s v="-"/>
    <s v="-"/>
    <s v="-"/>
    <s v="-"/>
    <s v="-"/>
    <s v="P"/>
    <s v="P"/>
    <s v="-"/>
    <n v="2"/>
    <n v="1"/>
    <n v="2"/>
    <n v="0"/>
    <s v="-"/>
    <s v="-"/>
    <s v="-"/>
    <s v="-"/>
    <s v="-"/>
    <s v="-"/>
    <s v="-"/>
    <n v="5"/>
    <n v="6"/>
    <s v="-"/>
    <n v="1"/>
    <n v="1"/>
    <n v="2"/>
    <n v="2"/>
    <n v="7"/>
    <n v="8"/>
  </r>
  <r>
    <x v="7"/>
    <x v="172"/>
    <d v="2026-08-06T00:00:00"/>
    <s v="2ND"/>
    <d v="1899-12-30T14:00:00"/>
    <n v="1"/>
    <x v="38"/>
    <n v="0.01"/>
    <s v="P"/>
    <s v="P"/>
    <s v="P"/>
    <s v="-"/>
    <s v="-"/>
    <n v="11"/>
    <n v="10.33"/>
    <s v="-"/>
    <s v="-"/>
    <s v="-"/>
    <s v="-"/>
    <n v="28.3"/>
    <s v="-"/>
    <s v="-"/>
    <s v="P"/>
    <s v="P"/>
    <n v="1"/>
    <n v="2"/>
    <n v="1"/>
    <n v="2"/>
    <n v="1"/>
    <n v="0"/>
    <s v="-"/>
    <s v="-"/>
    <s v="-"/>
    <s v="-"/>
    <n v="2"/>
    <s v="-"/>
    <n v="8"/>
    <n v="9"/>
    <s v="-"/>
    <n v="1"/>
    <n v="1"/>
    <n v="2"/>
    <n v="2"/>
    <n v="10"/>
    <n v="11"/>
  </r>
  <r>
    <x v="7"/>
    <x v="172"/>
    <d v="2026-08-06T00:00:00"/>
    <s v="2ND"/>
    <d v="1899-12-30T15:00:00"/>
    <n v="1"/>
    <x v="38"/>
    <n v="0.02"/>
    <s v="P"/>
    <s v="P"/>
    <s v="P"/>
    <s v="-"/>
    <s v="-"/>
    <n v="11.17"/>
    <s v="-"/>
    <s v="-"/>
    <s v="-"/>
    <s v="-"/>
    <s v="-"/>
    <s v="-"/>
    <s v="-"/>
    <s v="-"/>
    <s v="P"/>
    <s v="P"/>
    <s v="-"/>
    <n v="2"/>
    <n v="1"/>
    <n v="2"/>
    <n v="1"/>
    <s v="-"/>
    <s v="-"/>
    <s v="-"/>
    <s v="-"/>
    <s v="-"/>
    <s v="-"/>
    <s v="-"/>
    <n v="6"/>
    <n v="6"/>
    <s v="-"/>
    <n v="1"/>
    <n v="1"/>
    <n v="2"/>
    <n v="2"/>
    <n v="8"/>
    <n v="8"/>
  </r>
  <r>
    <x v="7"/>
    <x v="172"/>
    <d v="2026-08-06T00:00:00"/>
    <s v="2ND"/>
    <d v="1899-12-30T17:00:00"/>
    <n v="1"/>
    <x v="38"/>
    <n v="0.01"/>
    <s v="P"/>
    <s v="P"/>
    <s v="P"/>
    <s v="-"/>
    <s v="-"/>
    <n v="11.25"/>
    <s v="-"/>
    <s v="-"/>
    <s v="-"/>
    <s v="-"/>
    <s v="-"/>
    <s v="-"/>
    <s v="-"/>
    <s v="-"/>
    <s v="P"/>
    <s v="P"/>
    <s v="-"/>
    <n v="2"/>
    <n v="1"/>
    <n v="2"/>
    <n v="1"/>
    <s v="-"/>
    <s v="-"/>
    <s v="-"/>
    <s v="-"/>
    <s v="-"/>
    <s v="-"/>
    <s v="-"/>
    <n v="6"/>
    <n v="6"/>
    <s v="-"/>
    <n v="1"/>
    <n v="1"/>
    <n v="2"/>
    <n v="2"/>
    <n v="8"/>
    <n v="8"/>
  </r>
  <r>
    <x v="7"/>
    <x v="172"/>
    <d v="2026-08-06T00:00:00"/>
    <s v="2ND"/>
    <d v="1899-12-30T18:00:00"/>
    <n v="1"/>
    <x v="38"/>
    <s v="-"/>
    <s v="P"/>
    <s v="P"/>
    <s v="P"/>
    <s v="-"/>
    <s v="-"/>
    <n v="11.21"/>
    <s v="-"/>
    <s v="-"/>
    <s v="-"/>
    <s v="-"/>
    <s v="-"/>
    <s v="-"/>
    <s v="-"/>
    <s v="-"/>
    <s v="P"/>
    <s v="P"/>
    <s v="-"/>
    <s v="-"/>
    <n v="1"/>
    <n v="2"/>
    <n v="1"/>
    <s v="-"/>
    <s v="-"/>
    <s v="-"/>
    <s v="-"/>
    <s v="-"/>
    <s v="-"/>
    <s v="-"/>
    <n v="4"/>
    <n v="4"/>
    <s v="-"/>
    <n v="1"/>
    <n v="1"/>
    <n v="2"/>
    <n v="2"/>
    <n v="6"/>
    <n v="6"/>
  </r>
  <r>
    <x v="7"/>
    <x v="172"/>
    <d v="2026-08-06T00:00:00"/>
    <s v="2ND"/>
    <d v="1899-12-30T19:00:00"/>
    <n v="1"/>
    <x v="38"/>
    <s v="-"/>
    <s v="P"/>
    <s v="P"/>
    <s v="P"/>
    <s v="-"/>
    <s v="-"/>
    <n v="11.11"/>
    <s v="-"/>
    <s v="-"/>
    <s v="-"/>
    <s v="-"/>
    <s v="-"/>
    <s v="-"/>
    <s v="-"/>
    <s v="-"/>
    <s v="P"/>
    <s v="P"/>
    <s v="-"/>
    <s v="-"/>
    <n v="1"/>
    <n v="2"/>
    <n v="1"/>
    <s v="-"/>
    <s v="-"/>
    <s v="-"/>
    <s v="-"/>
    <s v="-"/>
    <s v="-"/>
    <s v="-"/>
    <n v="4"/>
    <n v="4"/>
    <s v="-"/>
    <n v="1"/>
    <n v="1"/>
    <n v="2"/>
    <n v="2"/>
    <n v="6"/>
    <n v="6"/>
  </r>
  <r>
    <x v="7"/>
    <x v="172"/>
    <d v="2026-08-06T00:00:00"/>
    <s v="2ND"/>
    <d v="1899-12-30T20:00:00"/>
    <n v="1"/>
    <x v="38"/>
    <s v="-"/>
    <s v="P"/>
    <s v="P"/>
    <s v="P"/>
    <s v="-"/>
    <s v="-"/>
    <n v="11.14"/>
    <s v="-"/>
    <s v="-"/>
    <s v="-"/>
    <s v="-"/>
    <s v="-"/>
    <s v="-"/>
    <s v="-"/>
    <s v="-"/>
    <s v="P"/>
    <s v="P"/>
    <s v="-"/>
    <s v="-"/>
    <n v="1"/>
    <n v="2"/>
    <n v="1"/>
    <s v="-"/>
    <s v="-"/>
    <s v="-"/>
    <s v="-"/>
    <s v="-"/>
    <s v="-"/>
    <s v="-"/>
    <n v="4"/>
    <n v="4"/>
    <s v="-"/>
    <n v="1"/>
    <n v="1"/>
    <n v="2"/>
    <n v="2"/>
    <n v="6"/>
    <n v="6"/>
  </r>
  <r>
    <x v="7"/>
    <x v="172"/>
    <d v="2026-08-06T00:00:00"/>
    <s v="2ND"/>
    <d v="1899-12-30T21:00:00"/>
    <n v="1"/>
    <x v="38"/>
    <s v="-"/>
    <s v="P"/>
    <s v="P"/>
    <s v="P"/>
    <s v="-"/>
    <s v="-"/>
    <n v="10.41"/>
    <s v="-"/>
    <s v="-"/>
    <s v="-"/>
    <s v="-"/>
    <s v="-"/>
    <s v="-"/>
    <s v="-"/>
    <s v="-"/>
    <s v="P"/>
    <s v="P"/>
    <s v="-"/>
    <s v="-"/>
    <n v="1"/>
    <n v="2"/>
    <n v="0"/>
    <s v="-"/>
    <s v="-"/>
    <s v="-"/>
    <s v="-"/>
    <s v="-"/>
    <s v="-"/>
    <s v="-"/>
    <n v="3"/>
    <n v="4"/>
    <s v="-"/>
    <n v="1"/>
    <n v="1"/>
    <n v="2"/>
    <n v="2"/>
    <n v="5"/>
    <n v="6"/>
  </r>
  <r>
    <x v="7"/>
    <x v="172"/>
    <d v="1902-03-26T00:00:00"/>
    <s v="2ND"/>
    <d v="1899-12-30T14:00:00"/>
    <n v="2"/>
    <x v="4"/>
    <n v="0.01"/>
    <s v="P"/>
    <s v="P"/>
    <s v="P"/>
    <s v="-"/>
    <s v="+"/>
    <n v="10.4"/>
    <n v="10.01"/>
    <s v="-"/>
    <s v="-"/>
    <s v="-"/>
    <s v="-"/>
    <n v="27.4"/>
    <s v="-"/>
    <s v="-"/>
    <s v="P"/>
    <s v="P"/>
    <s v="-"/>
    <n v="2"/>
    <n v="1"/>
    <n v="2"/>
    <n v="0"/>
    <n v="0"/>
    <s v="-"/>
    <s v="-"/>
    <s v="-"/>
    <s v="-"/>
    <n v="2"/>
    <s v="-"/>
    <n v="7"/>
    <n v="9"/>
    <s v="-"/>
    <n v="1"/>
    <n v="1"/>
    <n v="2"/>
    <n v="2"/>
    <n v="9"/>
    <n v="11"/>
  </r>
  <r>
    <x v="7"/>
    <x v="172"/>
    <d v="1899-12-30T00:00:00"/>
    <s v="2ND"/>
    <d v="1899-12-30T15:00:00"/>
    <n v="2"/>
    <x v="4"/>
    <n v="0.01"/>
    <s v="P"/>
    <s v="P"/>
    <s v="P"/>
    <s v="-"/>
    <s v="+"/>
    <n v="10.55"/>
    <s v="-"/>
    <s v="-"/>
    <s v="-"/>
    <s v="-"/>
    <s v="-"/>
    <s v="-"/>
    <s v="-"/>
    <s v="-"/>
    <s v="P"/>
    <s v="P"/>
    <s v="-"/>
    <n v="2"/>
    <n v="1"/>
    <n v="2"/>
    <n v="0"/>
    <s v="-"/>
    <s v="-"/>
    <s v="-"/>
    <s v="-"/>
    <s v="-"/>
    <s v="-"/>
    <s v="-"/>
    <n v="5"/>
    <n v="6"/>
    <s v="-"/>
    <n v="1"/>
    <n v="1"/>
    <n v="2"/>
    <n v="2"/>
    <n v="7"/>
    <n v="8"/>
  </r>
  <r>
    <x v="7"/>
    <x v="172"/>
    <d v="1899-12-30T00:00:00"/>
    <s v="2ND"/>
    <d v="1899-12-30T19:00:00"/>
    <n v="2"/>
    <x v="7"/>
    <s v="-"/>
    <s v="P"/>
    <s v="P"/>
    <s v="P"/>
    <s v="-"/>
    <s v="+"/>
    <n v="10.57"/>
    <n v="10.06"/>
    <s v="-"/>
    <s v="-"/>
    <s v="-"/>
    <s v="-"/>
    <n v="29.7"/>
    <s v="-"/>
    <s v="-"/>
    <s v="P"/>
    <s v="P"/>
    <s v="-"/>
    <s v="-"/>
    <n v="1"/>
    <n v="2"/>
    <n v="0"/>
    <n v="1"/>
    <s v="-"/>
    <s v="-"/>
    <s v="-"/>
    <s v="-"/>
    <n v="0"/>
    <s v="-"/>
    <n v="4"/>
    <n v="7"/>
    <s v="-"/>
    <n v="1"/>
    <n v="1"/>
    <n v="2"/>
    <n v="2"/>
    <n v="6"/>
    <n v="9"/>
  </r>
  <r>
    <x v="7"/>
    <x v="172"/>
    <d v="1899-12-30T00:00:00"/>
    <s v="2ND"/>
    <d v="1899-12-30T20:00:00"/>
    <n v="2"/>
    <x v="7"/>
    <s v="-"/>
    <s v="P"/>
    <s v="P"/>
    <s v="P"/>
    <s v="-"/>
    <s v="+"/>
    <n v="10.62"/>
    <s v="-"/>
    <s v="-"/>
    <s v="-"/>
    <s v="-"/>
    <s v="-"/>
    <s v="-"/>
    <s v="-"/>
    <s v="-"/>
    <s v="P"/>
    <s v="P"/>
    <s v="-"/>
    <s v="-"/>
    <n v="1"/>
    <n v="2"/>
    <n v="0"/>
    <s v="-"/>
    <s v="-"/>
    <s v="-"/>
    <s v="-"/>
    <s v="-"/>
    <s v="-"/>
    <s v="-"/>
    <n v="3"/>
    <n v="4"/>
    <s v="-"/>
    <n v="1"/>
    <n v="1"/>
    <n v="2"/>
    <n v="2"/>
    <n v="5"/>
    <n v="6"/>
  </r>
  <r>
    <x v="7"/>
    <x v="172"/>
    <d v="1899-12-30T00:00:00"/>
    <s v="2ND"/>
    <d v="1899-12-30T21:00:00"/>
    <n v="2"/>
    <x v="7"/>
    <s v="-"/>
    <s v="P"/>
    <s v="P"/>
    <s v="P"/>
    <s v="-"/>
    <s v="+"/>
    <n v="10.61"/>
    <s v="-"/>
    <s v="-"/>
    <s v="-"/>
    <s v="-"/>
    <s v="-"/>
    <s v="-"/>
    <s v="-"/>
    <s v="-"/>
    <s v="P"/>
    <s v="P"/>
    <s v="-"/>
    <s v="-"/>
    <n v="1"/>
    <n v="2"/>
    <n v="0"/>
    <s v="-"/>
    <s v="-"/>
    <s v="-"/>
    <s v="-"/>
    <s v="-"/>
    <s v="-"/>
    <s v="-"/>
    <n v="3"/>
    <n v="4"/>
    <s v="-"/>
    <n v="1"/>
    <n v="1"/>
    <n v="2"/>
    <n v="2"/>
    <n v="5"/>
    <n v="6"/>
  </r>
  <r>
    <x v="7"/>
    <x v="172"/>
    <d v="2026-08-06T00:00:00"/>
    <s v="3RD"/>
    <d v="1899-12-30T22:00:00"/>
    <n v="1"/>
    <x v="38"/>
    <s v="-"/>
    <s v="P"/>
    <s v="P"/>
    <s v="P"/>
    <s v="-"/>
    <s v="-"/>
    <n v="10.42"/>
    <n v="10.83"/>
    <s v="-"/>
    <s v="-"/>
    <s v="-"/>
    <s v="-"/>
    <n v="30.1"/>
    <s v="-"/>
    <s v="-"/>
    <s v="P"/>
    <s v="P"/>
    <n v="1"/>
    <s v="-"/>
    <n v="1"/>
    <n v="2"/>
    <n v="0"/>
    <n v="0"/>
    <s v="-"/>
    <s v="-"/>
    <s v="-"/>
    <s v="-"/>
    <n v="0"/>
    <s v="-"/>
    <n v="3"/>
    <n v="7"/>
    <s v="-"/>
    <n v="1"/>
    <n v="1"/>
    <n v="2"/>
    <n v="2"/>
    <n v="5"/>
    <n v="9"/>
  </r>
  <r>
    <x v="7"/>
    <x v="172"/>
    <d v="2026-08-06T00:00:00"/>
    <s v="3RD"/>
    <d v="1899-12-30T23:00:00"/>
    <n v="1"/>
    <x v="38"/>
    <s v="-"/>
    <s v="P"/>
    <s v="P"/>
    <s v="P"/>
    <s v="-"/>
    <s v="-"/>
    <n v="10.5"/>
    <s v="-"/>
    <s v="-"/>
    <s v="-"/>
    <s v="-"/>
    <s v="-"/>
    <s v="-"/>
    <s v="-"/>
    <s v="-"/>
    <s v="P"/>
    <s v="P"/>
    <s v="-"/>
    <s v="-"/>
    <n v="1"/>
    <n v="2"/>
    <n v="0"/>
    <s v="-"/>
    <s v="-"/>
    <s v="-"/>
    <s v="-"/>
    <s v="-"/>
    <s v="-"/>
    <s v="-"/>
    <n v="3"/>
    <n v="4"/>
    <s v="-"/>
    <n v="1"/>
    <n v="1"/>
    <n v="2"/>
    <n v="2"/>
    <n v="5"/>
    <n v="6"/>
  </r>
  <r>
    <x v="7"/>
    <x v="172"/>
    <d v="2026-08-06T00:00:00"/>
    <s v="3RD"/>
    <d v="1899-12-31T00:00:00"/>
    <n v="1"/>
    <x v="38"/>
    <s v="-"/>
    <s v="P"/>
    <s v="P"/>
    <s v="P"/>
    <s v="-"/>
    <s v="-"/>
    <n v="10.46"/>
    <s v="-"/>
    <s v="-"/>
    <s v="-"/>
    <s v="-"/>
    <s v="-"/>
    <s v="-"/>
    <s v="-"/>
    <s v="-"/>
    <s v="P"/>
    <s v="P"/>
    <s v="-"/>
    <s v="-"/>
    <n v="1"/>
    <n v="2"/>
    <n v="0"/>
    <s v="-"/>
    <s v="-"/>
    <s v="-"/>
    <s v="-"/>
    <s v="-"/>
    <s v="-"/>
    <s v="-"/>
    <n v="3"/>
    <n v="4"/>
    <s v="-"/>
    <n v="1"/>
    <n v="1"/>
    <n v="2"/>
    <n v="2"/>
    <n v="5"/>
    <n v="6"/>
  </r>
  <r>
    <x v="7"/>
    <x v="172"/>
    <d v="2026-08-06T00:00:00"/>
    <s v="3RD"/>
    <d v="1899-12-31T01:00:00"/>
    <n v="1"/>
    <x v="38"/>
    <s v="-"/>
    <s v="P"/>
    <s v="P"/>
    <s v="P"/>
    <s v="-"/>
    <s v="-"/>
    <n v="10.91"/>
    <s v="-"/>
    <s v="-"/>
    <s v="-"/>
    <s v="-"/>
    <s v="-"/>
    <s v="-"/>
    <s v="-"/>
    <s v="-"/>
    <s v="P"/>
    <s v="P"/>
    <s v="-"/>
    <s v="-"/>
    <n v="1"/>
    <n v="2"/>
    <n v="0"/>
    <s v="-"/>
    <s v="-"/>
    <s v="-"/>
    <s v="-"/>
    <s v="-"/>
    <s v="-"/>
    <s v="-"/>
    <n v="3"/>
    <n v="4"/>
    <s v="-"/>
    <n v="1"/>
    <n v="1"/>
    <n v="2"/>
    <n v="2"/>
    <n v="5"/>
    <n v="6"/>
  </r>
  <r>
    <x v="7"/>
    <x v="172"/>
    <d v="2026-08-06T00:00:00"/>
    <s v="3RD"/>
    <d v="1899-12-31T02:00:00"/>
    <n v="1"/>
    <x v="38"/>
    <s v="-"/>
    <s v="P"/>
    <s v="P"/>
    <s v="P"/>
    <s v="-"/>
    <s v="-"/>
    <n v="10.8"/>
    <s v="-"/>
    <s v="-"/>
    <s v="-"/>
    <s v="-"/>
    <s v="-"/>
    <s v="-"/>
    <s v="-"/>
    <s v="-"/>
    <s v="P"/>
    <s v="P"/>
    <s v="-"/>
    <s v="-"/>
    <n v="1"/>
    <n v="2"/>
    <n v="0"/>
    <s v="-"/>
    <s v="-"/>
    <s v="-"/>
    <s v="-"/>
    <s v="-"/>
    <s v="-"/>
    <s v="-"/>
    <n v="3"/>
    <n v="4"/>
    <s v="-"/>
    <n v="1"/>
    <n v="1"/>
    <n v="2"/>
    <n v="2"/>
    <n v="5"/>
    <n v="6"/>
  </r>
  <r>
    <x v="7"/>
    <x v="172"/>
    <d v="2026-08-06T00:00:00"/>
    <s v="3RD"/>
    <d v="1899-12-31T03:00:00"/>
    <n v="1"/>
    <x v="38"/>
    <s v="-"/>
    <s v="P"/>
    <s v="P"/>
    <s v="P"/>
    <s v="-"/>
    <s v="-"/>
    <n v="10.44"/>
    <s v="-"/>
    <s v="-"/>
    <s v="-"/>
    <s v="-"/>
    <s v="-"/>
    <s v="-"/>
    <s v="-"/>
    <s v="-"/>
    <s v="P"/>
    <s v="P"/>
    <s v="-"/>
    <s v="-"/>
    <n v="1"/>
    <n v="2"/>
    <n v="0"/>
    <s v="-"/>
    <s v="-"/>
    <s v="-"/>
    <s v="-"/>
    <s v="-"/>
    <s v="-"/>
    <s v="-"/>
    <n v="3"/>
    <n v="4"/>
    <s v="-"/>
    <n v="1"/>
    <n v="1"/>
    <n v="2"/>
    <n v="2"/>
    <n v="5"/>
    <n v="6"/>
  </r>
  <r>
    <x v="7"/>
    <x v="172"/>
    <d v="2026-08-06T00:00:00"/>
    <s v="3RD"/>
    <d v="1899-12-31T04:00:00"/>
    <n v="1"/>
    <x v="38"/>
    <s v="-"/>
    <s v="P"/>
    <s v="P"/>
    <s v="P"/>
    <s v="-"/>
    <s v="-"/>
    <n v="10.87"/>
    <s v="-"/>
    <s v="-"/>
    <s v="-"/>
    <s v="-"/>
    <s v="-"/>
    <s v="-"/>
    <s v="-"/>
    <s v="-"/>
    <s v="P"/>
    <s v="P"/>
    <s v="-"/>
    <s v="-"/>
    <n v="1"/>
    <n v="2"/>
    <n v="0"/>
    <s v="-"/>
    <s v="-"/>
    <s v="-"/>
    <s v="-"/>
    <s v="-"/>
    <s v="-"/>
    <s v="-"/>
    <n v="3"/>
    <n v="4"/>
    <s v="-"/>
    <n v="1"/>
    <n v="1"/>
    <n v="2"/>
    <n v="2"/>
    <n v="5"/>
    <n v="6"/>
  </r>
  <r>
    <x v="7"/>
    <x v="172"/>
    <d v="2026-08-06T00:00:00"/>
    <s v="3RD"/>
    <d v="1899-12-31T05:00:00"/>
    <n v="1"/>
    <x v="38"/>
    <s v="-"/>
    <s v="P"/>
    <s v="P"/>
    <s v="P"/>
    <s v="-"/>
    <s v="-"/>
    <n v="10.78"/>
    <s v="-"/>
    <s v="-"/>
    <s v="-"/>
    <s v="-"/>
    <s v="-"/>
    <s v="-"/>
    <s v="-"/>
    <s v="-"/>
    <s v="P"/>
    <s v="P"/>
    <s v="-"/>
    <s v="-"/>
    <n v="1"/>
    <n v="2"/>
    <n v="0"/>
    <s v="-"/>
    <s v="-"/>
    <s v="-"/>
    <s v="-"/>
    <s v="-"/>
    <s v="-"/>
    <s v="-"/>
    <n v="3"/>
    <n v="4"/>
    <s v="-"/>
    <n v="1"/>
    <n v="1"/>
    <n v="2"/>
    <n v="2"/>
    <n v="5"/>
    <n v="6"/>
  </r>
  <r>
    <x v="7"/>
    <x v="172"/>
    <d v="1902-03-26T00:00:00"/>
    <s v="3RD"/>
    <d v="1899-12-30T22:00:00"/>
    <n v="2"/>
    <x v="7"/>
    <s v="-"/>
    <s v="P"/>
    <s v="P"/>
    <s v="P"/>
    <s v="-"/>
    <s v="+"/>
    <n v="10.66"/>
    <n v="10.69"/>
    <n v="0.54"/>
    <s v="-"/>
    <s v="-"/>
    <s v="-"/>
    <n v="29.8"/>
    <s v="-"/>
    <s v="-"/>
    <s v="P"/>
    <s v="P"/>
    <s v="-"/>
    <s v="-"/>
    <n v="1"/>
    <n v="2"/>
    <n v="0"/>
    <n v="1"/>
    <n v="2"/>
    <s v="-"/>
    <s v="-"/>
    <s v="-"/>
    <n v="0"/>
    <s v="-"/>
    <n v="6"/>
    <n v="9"/>
    <s v="-"/>
    <n v="1"/>
    <n v="1"/>
    <n v="2"/>
    <n v="2"/>
    <n v="8"/>
    <n v="11"/>
  </r>
  <r>
    <x v="7"/>
    <x v="172"/>
    <d v="1899-12-30T00:00:00"/>
    <s v="3RD"/>
    <d v="1899-12-30T23:00:00"/>
    <n v="2"/>
    <x v="7"/>
    <s v="-"/>
    <s v="P"/>
    <s v="P"/>
    <s v="P"/>
    <s v="-"/>
    <s v="+"/>
    <n v="10.35"/>
    <s v="-"/>
    <s v="-"/>
    <s v="-"/>
    <s v="-"/>
    <s v="-"/>
    <s v="-"/>
    <s v="-"/>
    <s v="-"/>
    <s v="P"/>
    <s v="P"/>
    <s v="-"/>
    <s v="-"/>
    <n v="1"/>
    <n v="2"/>
    <n v="0"/>
    <s v="-"/>
    <s v="-"/>
    <s v="-"/>
    <s v="-"/>
    <s v="-"/>
    <s v="-"/>
    <s v="-"/>
    <n v="3"/>
    <n v="4"/>
    <s v="-"/>
    <n v="1"/>
    <n v="1"/>
    <n v="2"/>
    <n v="2"/>
    <n v="5"/>
    <n v="6"/>
  </r>
  <r>
    <x v="7"/>
    <x v="172"/>
    <d v="1899-12-30T00:00:00"/>
    <s v="3RD"/>
    <d v="1899-12-31T00:00:00"/>
    <n v="2"/>
    <x v="7"/>
    <s v="-"/>
    <s v="P"/>
    <s v="P"/>
    <s v="P"/>
    <s v="-"/>
    <s v="+"/>
    <n v="10.07"/>
    <s v="-"/>
    <s v="-"/>
    <s v="-"/>
    <s v="-"/>
    <s v="-"/>
    <s v="-"/>
    <s v="-"/>
    <s v="-"/>
    <s v="P"/>
    <s v="P"/>
    <s v="-"/>
    <s v="-"/>
    <n v="1"/>
    <n v="2"/>
    <n v="0"/>
    <s v="-"/>
    <s v="-"/>
    <s v="-"/>
    <s v="-"/>
    <s v="-"/>
    <s v="-"/>
    <s v="-"/>
    <n v="3"/>
    <n v="4"/>
    <s v="-"/>
    <n v="1"/>
    <n v="1"/>
    <n v="2"/>
    <n v="2"/>
    <n v="5"/>
    <n v="6"/>
  </r>
  <r>
    <x v="7"/>
    <x v="172"/>
    <d v="1899-12-30T00:00:00"/>
    <s v="3RD"/>
    <d v="1899-12-31T02:00:00"/>
    <n v="2"/>
    <x v="7"/>
    <s v="-"/>
    <s v="P"/>
    <s v="P"/>
    <s v="P"/>
    <s v="-"/>
    <s v="+"/>
    <n v="10.41"/>
    <s v="-"/>
    <s v="-"/>
    <s v="-"/>
    <s v="-"/>
    <s v="-"/>
    <s v="-"/>
    <s v="-"/>
    <s v="-"/>
    <s v="P"/>
    <s v="P"/>
    <s v="-"/>
    <s v="-"/>
    <n v="1"/>
    <n v="2"/>
    <n v="0"/>
    <s v="-"/>
    <s v="-"/>
    <s v="-"/>
    <s v="-"/>
    <s v="-"/>
    <s v="-"/>
    <s v="-"/>
    <n v="3"/>
    <n v="4"/>
    <s v="-"/>
    <n v="1"/>
    <n v="1"/>
    <n v="2"/>
    <n v="2"/>
    <n v="5"/>
    <n v="6"/>
  </r>
  <r>
    <x v="7"/>
    <x v="172"/>
    <d v="1899-12-30T00:00:00"/>
    <s v="3RD"/>
    <d v="1899-12-31T03:00:00"/>
    <n v="2"/>
    <x v="7"/>
    <s v="-"/>
    <s v="P"/>
    <s v="P"/>
    <s v="P"/>
    <s v="-"/>
    <s v="+"/>
    <n v="10.42"/>
    <s v="-"/>
    <s v="-"/>
    <s v="-"/>
    <s v="-"/>
    <s v="-"/>
    <s v="-"/>
    <s v="-"/>
    <s v="-"/>
    <s v="P"/>
    <s v="P"/>
    <s v="-"/>
    <s v="-"/>
    <n v="1"/>
    <n v="2"/>
    <n v="0"/>
    <s v="-"/>
    <s v="-"/>
    <s v="-"/>
    <s v="-"/>
    <s v="-"/>
    <s v="-"/>
    <s v="-"/>
    <n v="3"/>
    <n v="4"/>
    <s v="-"/>
    <n v="1"/>
    <n v="1"/>
    <n v="2"/>
    <n v="2"/>
    <n v="5"/>
    <n v="6"/>
  </r>
  <r>
    <x v="7"/>
    <x v="172"/>
    <d v="1899-12-30T00:00:00"/>
    <s v="3RD"/>
    <d v="1899-12-31T04:00:00"/>
    <n v="2"/>
    <x v="7"/>
    <s v="-"/>
    <s v="P"/>
    <s v="P"/>
    <s v="P"/>
    <s v="-"/>
    <s v="+"/>
    <n v="10.38"/>
    <s v="-"/>
    <s v="-"/>
    <s v="-"/>
    <s v="-"/>
    <s v="-"/>
    <s v="-"/>
    <s v="-"/>
    <s v="-"/>
    <s v="P"/>
    <s v="P"/>
    <s v="-"/>
    <s v="-"/>
    <n v="1"/>
    <n v="2"/>
    <n v="0"/>
    <s v="-"/>
    <s v="-"/>
    <s v="-"/>
    <s v="-"/>
    <s v="-"/>
    <s v="-"/>
    <s v="-"/>
    <n v="3"/>
    <n v="4"/>
    <s v="-"/>
    <n v="1"/>
    <n v="1"/>
    <n v="2"/>
    <n v="2"/>
    <n v="5"/>
    <n v="6"/>
  </r>
  <r>
    <x v="7"/>
    <x v="172"/>
    <d v="2026-08-10T00:00:00"/>
    <s v="3RD"/>
    <d v="1899-12-31T01:00:00"/>
    <n v="3"/>
    <x v="13"/>
    <s v="-"/>
    <s v="-"/>
    <s v="-"/>
    <s v="-"/>
    <s v="-"/>
    <s v="-"/>
    <n v="13.12"/>
    <s v="-"/>
    <s v="-"/>
    <s v="-"/>
    <s v="-"/>
    <s v="-"/>
    <s v="-"/>
    <s v="-"/>
    <s v="-"/>
    <s v="-"/>
    <s v="-"/>
    <s v="-"/>
    <s v="-"/>
    <s v="-"/>
    <s v="-"/>
    <n v="0"/>
    <s v="-"/>
    <s v="-"/>
    <s v="-"/>
    <s v="-"/>
    <s v="-"/>
    <s v="-"/>
    <s v="-"/>
    <n v="0"/>
    <n v="1"/>
    <s v="-"/>
    <s v="-"/>
    <s v="-"/>
    <n v="0"/>
    <n v="0"/>
    <n v="0"/>
    <n v="1"/>
  </r>
  <r>
    <x v="7"/>
    <x v="173"/>
    <d v="2026-08-06T00:00:00"/>
    <s v="1ST"/>
    <s v="06:00"/>
    <n v="1"/>
    <x v="22"/>
    <n v="0.01"/>
    <s v="P"/>
    <s v="P"/>
    <s v="P"/>
    <s v="-"/>
    <s v="-"/>
    <n v="10.67"/>
    <n v="10.130000000000001"/>
    <n v="0.5"/>
    <n v="55.3"/>
    <s v="-"/>
    <s v="-"/>
    <n v="27.9"/>
    <s v="-"/>
    <s v="-"/>
    <s v="P"/>
    <s v="P"/>
    <s v="70% 30%"/>
    <n v="2"/>
    <n v="1"/>
    <n v="2"/>
    <n v="0"/>
    <n v="0"/>
    <n v="2"/>
    <n v="2"/>
    <s v="-"/>
    <s v="-"/>
    <n v="2"/>
    <s v="-"/>
    <n v="11"/>
    <n v="13"/>
    <s v="-"/>
    <n v="1"/>
    <n v="1"/>
    <n v="2"/>
    <n v="2"/>
    <n v="13"/>
    <n v="15"/>
  </r>
  <r>
    <x v="7"/>
    <x v="173"/>
    <d v="2026-08-06T00:00:00"/>
    <s v="1ST"/>
    <s v="07:00"/>
    <n v="1"/>
    <x v="22"/>
    <n v="0.02"/>
    <s v="P"/>
    <s v="P"/>
    <s v="P"/>
    <s v="-"/>
    <s v="-"/>
    <n v="10.98"/>
    <s v="-"/>
    <s v="-"/>
    <s v="-"/>
    <s v="-"/>
    <s v="-"/>
    <s v="-"/>
    <s v="-"/>
    <s v="-"/>
    <s v="P"/>
    <s v="P"/>
    <s v="-"/>
    <n v="2"/>
    <n v="1"/>
    <n v="2"/>
    <n v="0"/>
    <s v="-"/>
    <s v="-"/>
    <s v="-"/>
    <s v="-"/>
    <s v="-"/>
    <s v="-"/>
    <s v="-"/>
    <n v="5"/>
    <n v="6"/>
    <s v="-"/>
    <n v="1"/>
    <n v="1"/>
    <n v="2"/>
    <n v="2"/>
    <n v="7"/>
    <n v="8"/>
  </r>
  <r>
    <x v="7"/>
    <x v="173"/>
    <d v="2026-08-06T00:00:00"/>
    <s v="1ST"/>
    <s v="08:00"/>
    <n v="1"/>
    <x v="22"/>
    <n v="0.01"/>
    <s v="P"/>
    <s v="P"/>
    <s v="P"/>
    <s v="-"/>
    <s v="-"/>
    <n v="10.87"/>
    <s v="-"/>
    <s v="-"/>
    <s v="-"/>
    <s v="-"/>
    <s v="-"/>
    <s v="-"/>
    <s v="-"/>
    <s v="-"/>
    <s v="P"/>
    <s v="P"/>
    <s v="-"/>
    <n v="2"/>
    <n v="1"/>
    <n v="2"/>
    <n v="0"/>
    <s v="-"/>
    <s v="-"/>
    <s v="-"/>
    <s v="-"/>
    <s v="-"/>
    <s v="-"/>
    <s v="-"/>
    <n v="5"/>
    <n v="6"/>
    <s v="-"/>
    <n v="1"/>
    <n v="1"/>
    <n v="2"/>
    <n v="2"/>
    <n v="7"/>
    <n v="8"/>
  </r>
  <r>
    <x v="7"/>
    <x v="173"/>
    <d v="2026-08-06T00:00:00"/>
    <s v="1ST"/>
    <s v="10:00"/>
    <n v="1"/>
    <x v="22"/>
    <n v="0.01"/>
    <s v="P"/>
    <s v="P"/>
    <s v="P"/>
    <s v="-"/>
    <s v="-"/>
    <n v="10.72"/>
    <s v="-"/>
    <s v="-"/>
    <s v="-"/>
    <s v="-"/>
    <s v="-"/>
    <s v="-"/>
    <s v="-"/>
    <s v="-"/>
    <s v="P"/>
    <s v="P"/>
    <s v="-"/>
    <n v="2"/>
    <n v="1"/>
    <n v="2"/>
    <n v="0"/>
    <s v="-"/>
    <s v="-"/>
    <s v="-"/>
    <s v="-"/>
    <s v="-"/>
    <s v="-"/>
    <s v="-"/>
    <n v="5"/>
    <n v="6"/>
    <s v="-"/>
    <n v="1"/>
    <n v="1"/>
    <n v="2"/>
    <n v="2"/>
    <n v="7"/>
    <n v="8"/>
  </r>
  <r>
    <x v="7"/>
    <x v="173"/>
    <d v="2026-08-06T00:00:00"/>
    <s v="1ST"/>
    <s v="11:00"/>
    <n v="1"/>
    <x v="22"/>
    <n v="0.02"/>
    <s v="P"/>
    <s v="P"/>
    <s v="P"/>
    <s v="-"/>
    <s v="-"/>
    <n v="11.11"/>
    <s v="-"/>
    <s v="-"/>
    <s v="-"/>
    <s v="-"/>
    <s v="-"/>
    <s v="-"/>
    <s v="-"/>
    <s v="-"/>
    <s v="P"/>
    <s v="P"/>
    <s v="-"/>
    <n v="2"/>
    <n v="1"/>
    <n v="2"/>
    <n v="1"/>
    <s v="-"/>
    <s v="-"/>
    <s v="-"/>
    <s v="-"/>
    <s v="-"/>
    <s v="-"/>
    <s v="-"/>
    <n v="6"/>
    <n v="6"/>
    <s v="-"/>
    <n v="1"/>
    <n v="1"/>
    <n v="2"/>
    <n v="2"/>
    <n v="8"/>
    <n v="8"/>
  </r>
  <r>
    <x v="7"/>
    <x v="173"/>
    <d v="2026-08-06T00:00:00"/>
    <s v="1ST"/>
    <s v="12:00"/>
    <n v="1"/>
    <x v="22"/>
    <n v="0.02"/>
    <s v="P"/>
    <s v="P"/>
    <s v="P"/>
    <s v="-"/>
    <s v="-"/>
    <n v="9.92"/>
    <s v="-"/>
    <s v="-"/>
    <s v="-"/>
    <s v="-"/>
    <s v="-"/>
    <s v="-"/>
    <s v="-"/>
    <s v="-"/>
    <s v="P"/>
    <s v="P"/>
    <s v="-"/>
    <n v="2"/>
    <n v="1"/>
    <n v="2"/>
    <n v="0"/>
    <s v="-"/>
    <s v="-"/>
    <s v="-"/>
    <s v="-"/>
    <s v="-"/>
    <s v="-"/>
    <s v="-"/>
    <n v="5"/>
    <n v="6"/>
    <s v="-"/>
    <n v="1"/>
    <n v="1"/>
    <n v="2"/>
    <n v="2"/>
    <n v="7"/>
    <n v="8"/>
  </r>
  <r>
    <x v="7"/>
    <x v="173"/>
    <d v="1902-03-26T00:00:00"/>
    <s v="1ST"/>
    <s v="06:00"/>
    <n v="2"/>
    <x v="47"/>
    <n v="0.01"/>
    <s v="P"/>
    <s v="P"/>
    <s v="P"/>
    <s v="-"/>
    <s v="+"/>
    <n v="10.57"/>
    <n v="8.92"/>
    <n v="0.56999999999999995"/>
    <n v="55.3"/>
    <s v="-"/>
    <s v="-"/>
    <n v="24.2"/>
    <s v="-"/>
    <s v="-"/>
    <s v="P"/>
    <s v="P"/>
    <s v="-"/>
    <n v="2"/>
    <n v="1"/>
    <n v="2"/>
    <n v="0"/>
    <n v="1"/>
    <n v="2"/>
    <n v="0"/>
    <s v="-"/>
    <s v="-"/>
    <n v="2"/>
    <s v="-"/>
    <n v="10"/>
    <n v="13"/>
    <s v="-"/>
    <n v="1"/>
    <n v="1"/>
    <n v="2"/>
    <n v="2"/>
    <n v="12"/>
    <n v="15"/>
  </r>
  <r>
    <x v="7"/>
    <x v="173"/>
    <d v="1899-12-30T00:00:00"/>
    <s v="1ST"/>
    <s v="07:00"/>
    <n v="2"/>
    <x v="47"/>
    <n v="0.01"/>
    <s v="P"/>
    <s v="P"/>
    <s v="P"/>
    <s v="-"/>
    <s v="+"/>
    <n v="10.64"/>
    <s v="-"/>
    <s v="-"/>
    <s v="-"/>
    <s v="-"/>
    <s v="-"/>
    <s v="-"/>
    <s v="-"/>
    <s v="-"/>
    <s v="P"/>
    <s v="P"/>
    <s v="-"/>
    <n v="2"/>
    <n v="1"/>
    <n v="2"/>
    <n v="0"/>
    <s v="-"/>
    <s v="-"/>
    <s v="-"/>
    <s v="-"/>
    <s v="-"/>
    <s v="-"/>
    <s v="-"/>
    <n v="5"/>
    <n v="6"/>
    <s v="-"/>
    <n v="1"/>
    <n v="1"/>
    <n v="2"/>
    <n v="2"/>
    <n v="7"/>
    <n v="8"/>
  </r>
  <r>
    <x v="7"/>
    <x v="173"/>
    <d v="1899-12-30T00:00:00"/>
    <s v="1ST"/>
    <s v="08:00"/>
    <n v="2"/>
    <x v="47"/>
    <n v="0.01"/>
    <s v="P"/>
    <s v="P"/>
    <s v="P"/>
    <s v="-"/>
    <s v="+"/>
    <n v="10.78"/>
    <s v="-"/>
    <s v="-"/>
    <s v="-"/>
    <s v="-"/>
    <s v="-"/>
    <s v="-"/>
    <s v="-"/>
    <s v="-"/>
    <s v="P"/>
    <s v="P"/>
    <s v="-"/>
    <n v="2"/>
    <n v="1"/>
    <n v="2"/>
    <n v="0"/>
    <s v="-"/>
    <s v="-"/>
    <s v="-"/>
    <s v="-"/>
    <s v="-"/>
    <s v="-"/>
    <s v="-"/>
    <n v="5"/>
    <n v="6"/>
    <s v="-"/>
    <n v="1"/>
    <n v="1"/>
    <n v="2"/>
    <n v="2"/>
    <n v="7"/>
    <n v="8"/>
  </r>
  <r>
    <x v="7"/>
    <x v="173"/>
    <d v="1899-12-30T00:00:00"/>
    <s v="1ST"/>
    <s v="09:00"/>
    <n v="2"/>
    <x v="47"/>
    <n v="0.01"/>
    <s v="P"/>
    <s v="P"/>
    <s v="P"/>
    <s v="-"/>
    <s v="+"/>
    <n v="10.29"/>
    <s v="-"/>
    <s v="-"/>
    <s v="-"/>
    <s v="-"/>
    <s v="-"/>
    <s v="-"/>
    <s v="-"/>
    <s v="-"/>
    <s v="P"/>
    <s v="P"/>
    <s v="-"/>
    <n v="2"/>
    <n v="1"/>
    <n v="2"/>
    <n v="0"/>
    <s v="-"/>
    <s v="-"/>
    <s v="-"/>
    <s v="-"/>
    <s v="-"/>
    <s v="-"/>
    <s v="-"/>
    <n v="5"/>
    <n v="6"/>
    <s v="-"/>
    <n v="1"/>
    <n v="1"/>
    <n v="2"/>
    <n v="2"/>
    <n v="7"/>
    <n v="8"/>
  </r>
  <r>
    <x v="7"/>
    <x v="173"/>
    <d v="1899-12-30T00:00:00"/>
    <s v="1ST"/>
    <s v="10:00"/>
    <n v="2"/>
    <x v="47"/>
    <n v="0.01"/>
    <s v="P"/>
    <s v="P"/>
    <s v="P"/>
    <s v="-"/>
    <s v="+"/>
    <n v="10.33"/>
    <s v="-"/>
    <s v="-"/>
    <s v="-"/>
    <s v="-"/>
    <s v="-"/>
    <s v="-"/>
    <s v="-"/>
    <s v="-"/>
    <s v="P"/>
    <s v="P"/>
    <s v="-"/>
    <n v="2"/>
    <n v="1"/>
    <n v="2"/>
    <n v="0"/>
    <s v="-"/>
    <s v="-"/>
    <s v="-"/>
    <s v="-"/>
    <s v="-"/>
    <s v="-"/>
    <s v="-"/>
    <n v="5"/>
    <n v="6"/>
    <s v="-"/>
    <n v="1"/>
    <n v="1"/>
    <n v="2"/>
    <n v="2"/>
    <n v="7"/>
    <n v="8"/>
  </r>
  <r>
    <x v="7"/>
    <x v="173"/>
    <d v="1899-12-30T00:00:00"/>
    <s v="1ST"/>
    <s v="12:00"/>
    <n v="2"/>
    <x v="47"/>
    <n v="0.01"/>
    <s v="P"/>
    <s v="P"/>
    <s v="P"/>
    <s v="-"/>
    <s v="+"/>
    <n v="10.51"/>
    <s v="-"/>
    <s v="-"/>
    <s v="-"/>
    <s v="-"/>
    <s v="-"/>
    <s v="-"/>
    <s v="-"/>
    <s v="-"/>
    <s v="P"/>
    <s v="P"/>
    <s v="-"/>
    <n v="2"/>
    <n v="1"/>
    <n v="2"/>
    <n v="0"/>
    <s v="-"/>
    <s v="-"/>
    <s v="-"/>
    <s v="-"/>
    <s v="-"/>
    <s v="-"/>
    <s v="-"/>
    <n v="5"/>
    <n v="6"/>
    <s v="-"/>
    <n v="1"/>
    <n v="1"/>
    <n v="2"/>
    <n v="2"/>
    <n v="7"/>
    <n v="8"/>
  </r>
  <r>
    <x v="7"/>
    <x v="173"/>
    <d v="2026-07-17T00:00:00"/>
    <s v="1ST"/>
    <s v="06:00"/>
    <n v="3"/>
    <x v="1"/>
    <n v="0.02"/>
    <s v="P"/>
    <s v="P"/>
    <s v="P"/>
    <s v="+"/>
    <s v="+"/>
    <n v="12.13"/>
    <n v="12.19"/>
    <n v="0.49"/>
    <n v="65.099999999999994"/>
    <s v="-"/>
    <s v="-"/>
    <n v="34"/>
    <s v="-"/>
    <s v="-"/>
    <s v="P"/>
    <s v="P"/>
    <s v="85% 5% 10%"/>
    <n v="2"/>
    <n v="1"/>
    <n v="2"/>
    <n v="1"/>
    <n v="1"/>
    <n v="2"/>
    <n v="2"/>
    <s v="-"/>
    <s v="-"/>
    <n v="2"/>
    <s v="-"/>
    <n v="13"/>
    <n v="13"/>
    <s v="-"/>
    <n v="1"/>
    <n v="1"/>
    <n v="2"/>
    <n v="2"/>
    <n v="15"/>
    <n v="15"/>
  </r>
  <r>
    <x v="7"/>
    <x v="173"/>
    <d v="2026-07-17T00:00:00"/>
    <s v="1ST"/>
    <s v="08:00"/>
    <n v="3"/>
    <x v="1"/>
    <n v="0.01"/>
    <s v="P"/>
    <s v="P"/>
    <s v="P"/>
    <s v="+"/>
    <s v="+"/>
    <n v="12.02"/>
    <s v="-"/>
    <s v="-"/>
    <s v="-"/>
    <s v="-"/>
    <s v="-"/>
    <s v="-"/>
    <s v="-"/>
    <s v="-"/>
    <s v="P"/>
    <s v="P"/>
    <s v="-"/>
    <n v="2"/>
    <n v="1"/>
    <n v="2"/>
    <n v="1"/>
    <s v="-"/>
    <s v="-"/>
    <s v="-"/>
    <s v="-"/>
    <s v="-"/>
    <s v="-"/>
    <s v="-"/>
    <n v="6"/>
    <n v="6"/>
    <s v="-"/>
    <n v="1"/>
    <n v="1"/>
    <n v="2"/>
    <n v="2"/>
    <n v="8"/>
    <n v="8"/>
  </r>
  <r>
    <x v="7"/>
    <x v="173"/>
    <d v="2026-07-17T00:00:00"/>
    <s v="1ST"/>
    <s v="09:00"/>
    <n v="3"/>
    <x v="1"/>
    <n v="0.02"/>
    <s v="P"/>
    <s v="P"/>
    <s v="P"/>
    <s v="+"/>
    <s v="+"/>
    <n v="12.04"/>
    <s v="-"/>
    <s v="-"/>
    <s v="-"/>
    <s v="-"/>
    <s v="-"/>
    <s v="-"/>
    <s v="-"/>
    <s v="-"/>
    <s v="P"/>
    <s v="P"/>
    <s v="-"/>
    <n v="2"/>
    <n v="1"/>
    <n v="2"/>
    <n v="1"/>
    <s v="-"/>
    <s v="-"/>
    <s v="-"/>
    <s v="-"/>
    <s v="-"/>
    <s v="-"/>
    <s v="-"/>
    <n v="6"/>
    <n v="6"/>
    <s v="-"/>
    <n v="1"/>
    <n v="1"/>
    <n v="2"/>
    <n v="2"/>
    <n v="8"/>
    <n v="8"/>
  </r>
  <r>
    <x v="7"/>
    <x v="173"/>
    <d v="2026-07-17T00:00:00"/>
    <s v="1ST"/>
    <s v="10:00"/>
    <n v="3"/>
    <x v="1"/>
    <n v="0.01"/>
    <s v="P"/>
    <s v="P"/>
    <s v="P"/>
    <s v="+"/>
    <s v="+"/>
    <n v="12.04"/>
    <s v="-"/>
    <s v="-"/>
    <s v="-"/>
    <s v="-"/>
    <s v="-"/>
    <s v="-"/>
    <s v="-"/>
    <s v="-"/>
    <s v="P"/>
    <s v="P"/>
    <s v="-"/>
    <n v="2"/>
    <n v="1"/>
    <n v="2"/>
    <n v="1"/>
    <s v="-"/>
    <s v="-"/>
    <s v="-"/>
    <s v="-"/>
    <s v="-"/>
    <s v="-"/>
    <s v="-"/>
    <n v="6"/>
    <n v="6"/>
    <s v="-"/>
    <n v="1"/>
    <n v="1"/>
    <n v="2"/>
    <n v="2"/>
    <n v="8"/>
    <n v="8"/>
  </r>
  <r>
    <x v="7"/>
    <x v="173"/>
    <d v="2026-07-17T00:00:00"/>
    <s v="1ST"/>
    <s v="11:00"/>
    <n v="3"/>
    <x v="1"/>
    <n v="0.02"/>
    <s v="P"/>
    <s v="P"/>
    <s v="P"/>
    <s v="+"/>
    <s v="+"/>
    <n v="12.23"/>
    <s v="-"/>
    <s v="-"/>
    <s v="-"/>
    <s v="-"/>
    <s v="-"/>
    <s v="-"/>
    <s v="-"/>
    <s v="-"/>
    <s v="P"/>
    <s v="P"/>
    <s v="-"/>
    <n v="2"/>
    <n v="1"/>
    <n v="2"/>
    <n v="1"/>
    <s v="-"/>
    <s v="-"/>
    <s v="-"/>
    <s v="-"/>
    <s v="-"/>
    <s v="-"/>
    <s v="-"/>
    <n v="6"/>
    <n v="6"/>
    <s v="-"/>
    <n v="1"/>
    <n v="1"/>
    <n v="2"/>
    <n v="2"/>
    <n v="8"/>
    <n v="8"/>
  </r>
  <r>
    <x v="7"/>
    <x v="173"/>
    <d v="2026-07-17T00:00:00"/>
    <s v="1ST"/>
    <s v="12:00"/>
    <n v="3"/>
    <x v="1"/>
    <n v="0.02"/>
    <s v="P"/>
    <s v="P"/>
    <s v="P"/>
    <s v="+"/>
    <s v="+"/>
    <n v="11.95"/>
    <s v="-"/>
    <s v="-"/>
    <s v="-"/>
    <s v="-"/>
    <s v="-"/>
    <s v="-"/>
    <s v="-"/>
    <s v="-"/>
    <s v="P"/>
    <s v="P"/>
    <s v="-"/>
    <n v="2"/>
    <n v="1"/>
    <n v="2"/>
    <n v="0"/>
    <s v="-"/>
    <s v="-"/>
    <s v="-"/>
    <s v="-"/>
    <s v="-"/>
    <s v="-"/>
    <s v="-"/>
    <n v="5"/>
    <n v="6"/>
    <s v="-"/>
    <n v="1"/>
    <n v="1"/>
    <n v="2"/>
    <n v="2"/>
    <n v="7"/>
    <n v="8"/>
  </r>
  <r>
    <x v="7"/>
    <x v="173"/>
    <d v="2026-07-17T00:00:00"/>
    <s v="1ST"/>
    <s v="13:00"/>
    <n v="3"/>
    <x v="1"/>
    <n v="0.02"/>
    <s v="P"/>
    <s v="P"/>
    <s v="P"/>
    <s v="+"/>
    <s v="+"/>
    <n v="11.92"/>
    <s v="-"/>
    <s v="-"/>
    <s v="-"/>
    <s v="-"/>
    <s v="-"/>
    <s v="-"/>
    <s v="-"/>
    <s v="-"/>
    <s v="P"/>
    <s v="P"/>
    <s v="-"/>
    <n v="2"/>
    <n v="1"/>
    <n v="2"/>
    <n v="0"/>
    <s v="-"/>
    <s v="-"/>
    <s v="-"/>
    <s v="-"/>
    <s v="-"/>
    <s v="-"/>
    <s v="-"/>
    <n v="5"/>
    <n v="6"/>
    <s v="-"/>
    <n v="1"/>
    <n v="1"/>
    <n v="2"/>
    <n v="2"/>
    <n v="7"/>
    <n v="8"/>
  </r>
  <r>
    <x v="7"/>
    <x v="173"/>
    <d v="2026-08-06T00:00:00"/>
    <s v="2ND"/>
    <d v="1899-12-30T14:00:00"/>
    <n v="1"/>
    <x v="22"/>
    <n v="0.01"/>
    <s v="P"/>
    <s v="P"/>
    <s v="P"/>
    <s v="-"/>
    <s v="-"/>
    <n v="11.16"/>
    <n v="10.130000000000001"/>
    <s v="-"/>
    <s v="-"/>
    <s v="-"/>
    <s v="-"/>
    <n v="27.9"/>
    <s v="-"/>
    <s v="-"/>
    <s v="P"/>
    <s v="P"/>
    <n v="1"/>
    <n v="2"/>
    <n v="1"/>
    <n v="2"/>
    <n v="1"/>
    <n v="0"/>
    <s v="-"/>
    <s v="-"/>
    <s v="-"/>
    <s v="-"/>
    <n v="2"/>
    <s v="-"/>
    <n v="8"/>
    <n v="9"/>
    <s v="-"/>
    <n v="1"/>
    <n v="1"/>
    <n v="2"/>
    <n v="2"/>
    <n v="10"/>
    <n v="11"/>
  </r>
  <r>
    <x v="7"/>
    <x v="173"/>
    <d v="1902-03-25T00:00:00"/>
    <s v="2ND"/>
    <d v="1899-12-30T14:00:00"/>
    <n v="2"/>
    <x v="2"/>
    <n v="0.01"/>
    <s v="P"/>
    <s v="P"/>
    <s v="P"/>
    <s v="-"/>
    <s v="+"/>
    <n v="10.35"/>
    <n v="8.92"/>
    <s v="-"/>
    <s v="-"/>
    <s v="-"/>
    <s v="-"/>
    <n v="24.2"/>
    <s v="-"/>
    <s v="-"/>
    <s v="P"/>
    <s v="P"/>
    <s v="-"/>
    <n v="2"/>
    <n v="1"/>
    <n v="2"/>
    <n v="0"/>
    <n v="0"/>
    <s v="-"/>
    <s v="-"/>
    <s v="-"/>
    <s v="-"/>
    <n v="0"/>
    <s v="-"/>
    <n v="5"/>
    <n v="9"/>
    <s v="-"/>
    <n v="1"/>
    <n v="1"/>
    <n v="2"/>
    <n v="2"/>
    <n v="7"/>
    <n v="11"/>
  </r>
  <r>
    <x v="7"/>
    <x v="173"/>
    <d v="1899-12-30T00:00:00"/>
    <s v="2ND"/>
    <d v="1899-12-30T16:00:00"/>
    <n v="2"/>
    <x v="2"/>
    <n v="0.02"/>
    <s v="P"/>
    <s v="P"/>
    <s v="P"/>
    <s v="-"/>
    <s v="+"/>
    <n v="10.65"/>
    <s v="-"/>
    <s v="-"/>
    <s v="-"/>
    <s v="-"/>
    <s v="-"/>
    <s v="-"/>
    <s v="-"/>
    <s v="-"/>
    <s v="P"/>
    <s v="P"/>
    <s v="-"/>
    <n v="2"/>
    <n v="1"/>
    <n v="2"/>
    <n v="0"/>
    <s v="-"/>
    <s v="-"/>
    <s v="-"/>
    <s v="-"/>
    <s v="-"/>
    <s v="-"/>
    <s v="-"/>
    <n v="5"/>
    <n v="6"/>
    <s v="-"/>
    <n v="1"/>
    <n v="1"/>
    <n v="2"/>
    <n v="2"/>
    <n v="7"/>
    <n v="8"/>
  </r>
  <r>
    <x v="7"/>
    <x v="173"/>
    <d v="1899-12-30T00:00:00"/>
    <s v="2ND"/>
    <d v="1899-12-30T18:00:00"/>
    <n v="2"/>
    <x v="2"/>
    <s v="-"/>
    <s v="P"/>
    <s v="P"/>
    <s v="P"/>
    <s v="-"/>
    <s v="+"/>
    <n v="10.68"/>
    <s v="-"/>
    <s v="-"/>
    <s v="-"/>
    <s v="-"/>
    <s v="-"/>
    <s v="-"/>
    <s v="-"/>
    <s v="-"/>
    <s v="P"/>
    <s v="P"/>
    <s v="-"/>
    <s v="-"/>
    <n v="1"/>
    <n v="2"/>
    <n v="0"/>
    <s v="-"/>
    <s v="-"/>
    <s v="-"/>
    <s v="-"/>
    <s v="-"/>
    <s v="-"/>
    <s v="-"/>
    <n v="3"/>
    <n v="4"/>
    <s v="-"/>
    <n v="1"/>
    <n v="1"/>
    <n v="2"/>
    <n v="2"/>
    <n v="5"/>
    <n v="6"/>
  </r>
  <r>
    <x v="7"/>
    <x v="173"/>
    <d v="1899-12-30T00:00:00"/>
    <s v="2ND"/>
    <d v="1899-12-30T20:00:00"/>
    <n v="2"/>
    <x v="2"/>
    <s v="-"/>
    <s v="P"/>
    <s v="P"/>
    <s v="P"/>
    <s v="-"/>
    <s v="+"/>
    <n v="10.76"/>
    <s v="-"/>
    <s v="-"/>
    <s v="-"/>
    <s v="-"/>
    <s v="-"/>
    <s v="-"/>
    <s v="-"/>
    <s v="-"/>
    <s v="P"/>
    <s v="P"/>
    <s v="-"/>
    <s v="-"/>
    <n v="1"/>
    <n v="2"/>
    <n v="0"/>
    <s v="-"/>
    <s v="-"/>
    <s v="-"/>
    <s v="-"/>
    <s v="-"/>
    <s v="-"/>
    <s v="-"/>
    <n v="3"/>
    <n v="4"/>
    <s v="-"/>
    <n v="1"/>
    <n v="1"/>
    <n v="2"/>
    <n v="2"/>
    <n v="5"/>
    <n v="6"/>
  </r>
  <r>
    <x v="7"/>
    <x v="173"/>
    <d v="1899-12-30T00:00:00"/>
    <s v="2ND"/>
    <d v="1899-12-30T21:00:00"/>
    <n v="2"/>
    <x v="2"/>
    <s v="-"/>
    <s v="P"/>
    <s v="P"/>
    <s v="P"/>
    <s v="-"/>
    <s v="+"/>
    <n v="10.73"/>
    <s v="-"/>
    <s v="-"/>
    <s v="-"/>
    <s v="-"/>
    <s v="-"/>
    <s v="-"/>
    <s v="-"/>
    <s v="-"/>
    <s v="P"/>
    <s v="P"/>
    <s v="-"/>
    <s v="-"/>
    <n v="1"/>
    <n v="2"/>
    <n v="0"/>
    <s v="-"/>
    <s v="-"/>
    <s v="-"/>
    <s v="-"/>
    <s v="-"/>
    <s v="-"/>
    <s v="-"/>
    <n v="3"/>
    <n v="4"/>
    <s v="-"/>
    <n v="1"/>
    <n v="1"/>
    <n v="2"/>
    <n v="2"/>
    <n v="5"/>
    <n v="6"/>
  </r>
  <r>
    <x v="7"/>
    <x v="173"/>
    <d v="2026-07-17T00:00:00"/>
    <s v="2ND"/>
    <d v="1899-12-30T14:00:00"/>
    <n v="3"/>
    <x v="1"/>
    <n v="0.02"/>
    <s v="P"/>
    <s v="P"/>
    <s v="P"/>
    <s v="+"/>
    <s v="+"/>
    <n v="11.69"/>
    <n v="13.15"/>
    <s v="-"/>
    <n v="64.400000000000006"/>
    <s v="-"/>
    <s v="-"/>
    <n v="35.119999999999997"/>
    <s v="-"/>
    <s v="-"/>
    <s v="P"/>
    <s v="P"/>
    <s v="85% 5% 10%"/>
    <n v="2"/>
    <n v="1"/>
    <n v="2"/>
    <n v="0"/>
    <n v="1"/>
    <s v="-"/>
    <n v="2"/>
    <s v="-"/>
    <s v="-"/>
    <n v="2"/>
    <s v="-"/>
    <n v="10"/>
    <n v="11"/>
    <s v="-"/>
    <n v="1"/>
    <n v="1"/>
    <n v="2"/>
    <n v="2"/>
    <n v="12"/>
    <n v="13"/>
  </r>
  <r>
    <x v="7"/>
    <x v="173"/>
    <d v="2026-07-29T00:00:00"/>
    <s v="2ND"/>
    <d v="1899-12-30T16:00:00"/>
    <n v="3"/>
    <x v="1"/>
    <n v="0.02"/>
    <s v="P"/>
    <s v="P"/>
    <s v="P"/>
    <s v="+"/>
    <s v="+"/>
    <n v="12.79"/>
    <s v="-"/>
    <s v="-"/>
    <s v="-"/>
    <s v="-"/>
    <s v="-"/>
    <s v="-"/>
    <s v="-"/>
    <s v="-"/>
    <s v="P"/>
    <s v="P"/>
    <n v="1"/>
    <n v="2"/>
    <n v="1"/>
    <n v="2"/>
    <n v="1"/>
    <s v="-"/>
    <s v="-"/>
    <s v="-"/>
    <s v="-"/>
    <s v="-"/>
    <s v="-"/>
    <s v="-"/>
    <n v="6"/>
    <n v="6"/>
    <s v="-"/>
    <n v="1"/>
    <n v="1"/>
    <n v="2"/>
    <n v="2"/>
    <n v="8"/>
    <n v="8"/>
  </r>
  <r>
    <x v="7"/>
    <x v="173"/>
    <d v="1902-03-25T00:00:00"/>
    <s v="3RD"/>
    <d v="1899-12-30T22:00:00"/>
    <n v="2"/>
    <x v="2"/>
    <s v="-"/>
    <s v="P"/>
    <s v="P"/>
    <s v="P"/>
    <s v="-"/>
    <s v="+"/>
    <n v="10.75"/>
    <s v="-"/>
    <s v="-"/>
    <s v="-"/>
    <s v="-"/>
    <s v="-"/>
    <s v="-"/>
    <s v="-"/>
    <s v="-"/>
    <s v="P"/>
    <s v="P"/>
    <s v="-"/>
    <s v="-"/>
    <n v="1"/>
    <n v="2"/>
    <n v="0"/>
    <s v="-"/>
    <s v="-"/>
    <s v="-"/>
    <s v="-"/>
    <s v="-"/>
    <s v="-"/>
    <s v="-"/>
    <n v="3"/>
    <n v="4"/>
    <s v="-"/>
    <n v="1"/>
    <n v="1"/>
    <n v="2"/>
    <n v="2"/>
    <n v="5"/>
    <n v="6"/>
  </r>
  <r>
    <x v="7"/>
    <x v="173"/>
    <d v="1899-12-30T00:00:00"/>
    <s v="3RD"/>
    <d v="1899-12-30T23:00:00"/>
    <n v="2"/>
    <x v="2"/>
    <s v="-"/>
    <s v="P"/>
    <s v="P"/>
    <s v="P"/>
    <s v="-"/>
    <s v="+"/>
    <n v="10.52"/>
    <s v="-"/>
    <s v="-"/>
    <s v="-"/>
    <s v="-"/>
    <s v="-"/>
    <s v="-"/>
    <s v="-"/>
    <s v="-"/>
    <s v="P"/>
    <s v="P"/>
    <s v="-"/>
    <s v="-"/>
    <n v="1"/>
    <n v="2"/>
    <n v="0"/>
    <s v="-"/>
    <s v="-"/>
    <s v="-"/>
    <s v="-"/>
    <s v="-"/>
    <s v="-"/>
    <s v="-"/>
    <n v="3"/>
    <n v="4"/>
    <s v="-"/>
    <n v="1"/>
    <n v="1"/>
    <n v="2"/>
    <n v="2"/>
    <n v="5"/>
    <n v="6"/>
  </r>
  <r>
    <x v="7"/>
    <x v="174"/>
    <d v="2026-07-17T00:00:00"/>
    <s v="1ST"/>
    <s v="07:00"/>
    <n v="3"/>
    <x v="6"/>
    <n v="0.02"/>
    <s v="P"/>
    <s v="P"/>
    <s v="P"/>
    <s v="+"/>
    <s v="+"/>
    <n v="12.1"/>
    <n v="12.06"/>
    <n v="0.52"/>
    <n v="65.2"/>
    <n v="11.4"/>
    <n v="1296"/>
    <n v="33.6"/>
    <s v="-"/>
    <s v="-"/>
    <s v="P"/>
    <s v="P"/>
    <s v="60% 10% 30%"/>
    <n v="2"/>
    <n v="1"/>
    <n v="2"/>
    <n v="1"/>
    <n v="1"/>
    <n v="2"/>
    <n v="2"/>
    <n v="0"/>
    <n v="0"/>
    <n v="2"/>
    <s v="-"/>
    <n v="13"/>
    <n v="15"/>
    <s v="-"/>
    <n v="1"/>
    <n v="1"/>
    <n v="2"/>
    <n v="2"/>
    <n v="15"/>
    <n v="17"/>
  </r>
  <r>
    <x v="7"/>
    <x v="174"/>
    <d v="2026-07-17T00:00:00"/>
    <s v="1ST"/>
    <s v="08:00"/>
    <n v="3"/>
    <x v="6"/>
    <n v="0.01"/>
    <s v="P"/>
    <s v="P"/>
    <s v="P"/>
    <s v="+"/>
    <s v="+"/>
    <n v="11.68"/>
    <s v="-"/>
    <s v="-"/>
    <n v="0.52"/>
    <s v="-"/>
    <s v="-"/>
    <s v="-"/>
    <s v="-"/>
    <s v="-"/>
    <s v="P"/>
    <s v="P"/>
    <s v="-"/>
    <n v="2"/>
    <n v="1"/>
    <n v="2"/>
    <n v="0"/>
    <s v="-"/>
    <s v="-"/>
    <n v="0"/>
    <s v="-"/>
    <s v="-"/>
    <s v="-"/>
    <s v="-"/>
    <n v="5"/>
    <n v="8"/>
    <s v="-"/>
    <n v="1"/>
    <n v="1"/>
    <n v="2"/>
    <n v="2"/>
    <n v="7"/>
    <n v="10"/>
  </r>
  <r>
    <x v="7"/>
    <x v="174"/>
    <d v="2026-07-17T00:00:00"/>
    <s v="1ST"/>
    <s v="09:00"/>
    <n v="3"/>
    <x v="6"/>
    <s v="-"/>
    <s v="P"/>
    <s v="P"/>
    <s v="P"/>
    <s v="+"/>
    <s v="+"/>
    <n v="11.84"/>
    <s v="-"/>
    <s v="-"/>
    <s v="-"/>
    <s v="-"/>
    <s v="-"/>
    <s v="-"/>
    <s v="-"/>
    <s v="-"/>
    <s v="P"/>
    <s v="P"/>
    <s v="-"/>
    <s v="-"/>
    <n v="1"/>
    <n v="2"/>
    <n v="0"/>
    <s v="-"/>
    <s v="-"/>
    <s v="-"/>
    <s v="-"/>
    <s v="-"/>
    <s v="-"/>
    <s v="-"/>
    <n v="3"/>
    <n v="4"/>
    <s v="-"/>
    <n v="1"/>
    <n v="1"/>
    <n v="2"/>
    <n v="2"/>
    <n v="5"/>
    <n v="6"/>
  </r>
  <r>
    <x v="7"/>
    <x v="174"/>
    <d v="2026-07-17T00:00:00"/>
    <s v="1ST"/>
    <s v="10:00"/>
    <n v="3"/>
    <x v="6"/>
    <n v="0.01"/>
    <s v="P"/>
    <s v="P"/>
    <s v="P"/>
    <s v="+"/>
    <s v="+"/>
    <n v="11.84"/>
    <s v="-"/>
    <s v="-"/>
    <s v="-"/>
    <s v="-"/>
    <s v="-"/>
    <s v="-"/>
    <s v="-"/>
    <s v="-"/>
    <s v="P"/>
    <s v="P"/>
    <s v="-"/>
    <n v="2"/>
    <n v="1"/>
    <n v="2"/>
    <n v="0"/>
    <s v="-"/>
    <s v="-"/>
    <s v="-"/>
    <s v="-"/>
    <s v="-"/>
    <s v="-"/>
    <s v="-"/>
    <n v="5"/>
    <n v="6"/>
    <s v="-"/>
    <n v="1"/>
    <n v="1"/>
    <n v="2"/>
    <n v="2"/>
    <n v="7"/>
    <n v="8"/>
  </r>
  <r>
    <x v="7"/>
    <x v="174"/>
    <d v="2026-07-17T00:00:00"/>
    <s v="1ST"/>
    <s v="13:00"/>
    <n v="3"/>
    <x v="6"/>
    <n v="0.01"/>
    <s v="P"/>
    <s v="P"/>
    <s v="P"/>
    <s v="+"/>
    <s v="+"/>
    <n v="11.95"/>
    <s v="-"/>
    <s v="-"/>
    <s v="-"/>
    <s v="-"/>
    <s v="-"/>
    <s v="-"/>
    <s v="-"/>
    <s v="-"/>
    <s v="P"/>
    <s v="P"/>
    <s v="-"/>
    <n v="2"/>
    <n v="1"/>
    <n v="2"/>
    <n v="0"/>
    <s v="-"/>
    <s v="-"/>
    <s v="-"/>
    <s v="-"/>
    <s v="-"/>
    <s v="-"/>
    <s v="-"/>
    <n v="5"/>
    <n v="6"/>
    <s v="-"/>
    <n v="1"/>
    <n v="1"/>
    <n v="2"/>
    <n v="2"/>
    <n v="7"/>
    <n v="8"/>
  </r>
  <r>
    <x v="7"/>
    <x v="174"/>
    <d v="2026-07-17T00:00:00"/>
    <s v="2ND"/>
    <d v="1899-12-30T14:00:00"/>
    <n v="3"/>
    <x v="6"/>
    <n v="0.01"/>
    <s v="P"/>
    <s v="P"/>
    <s v="P"/>
    <s v="+"/>
    <s v="+"/>
    <n v="11.94"/>
    <n v="12"/>
    <s v="-"/>
    <s v="-"/>
    <s v="-"/>
    <s v="-"/>
    <n v="33.4"/>
    <s v="-"/>
    <s v="-"/>
    <s v="P"/>
    <s v="P"/>
    <s v="60% 10% 30%"/>
    <n v="2"/>
    <n v="1"/>
    <n v="2"/>
    <n v="0"/>
    <n v="1"/>
    <s v="-"/>
    <s v="-"/>
    <s v="-"/>
    <s v="-"/>
    <n v="2"/>
    <s v="-"/>
    <n v="8"/>
    <n v="9"/>
    <s v="-"/>
    <n v="1"/>
    <n v="1"/>
    <n v="2"/>
    <n v="2"/>
    <n v="10"/>
    <n v="11"/>
  </r>
  <r>
    <x v="7"/>
    <x v="174"/>
    <d v="2026-07-17T00:00:00"/>
    <s v="2ND"/>
    <d v="1899-12-30T15:00:00"/>
    <n v="3"/>
    <x v="6"/>
    <n v="0.02"/>
    <s v="P"/>
    <s v="P"/>
    <s v="P"/>
    <s v="+"/>
    <s v="+"/>
    <n v="11.84"/>
    <s v="-"/>
    <s v="-"/>
    <s v="-"/>
    <s v="-"/>
    <s v="-"/>
    <s v="-"/>
    <s v="-"/>
    <s v="-"/>
    <s v="P"/>
    <s v="P"/>
    <s v="-"/>
    <n v="2"/>
    <n v="1"/>
    <n v="2"/>
    <n v="0"/>
    <s v="-"/>
    <s v="-"/>
    <s v="-"/>
    <s v="-"/>
    <s v="-"/>
    <s v="-"/>
    <s v="-"/>
    <n v="5"/>
    <n v="6"/>
    <s v="-"/>
    <n v="1"/>
    <n v="1"/>
    <n v="2"/>
    <n v="2"/>
    <n v="7"/>
    <n v="8"/>
  </r>
  <r>
    <x v="7"/>
    <x v="174"/>
    <d v="2026-07-17T00:00:00"/>
    <s v="2ND"/>
    <d v="1899-12-30T16:00:00"/>
    <n v="3"/>
    <x v="6"/>
    <n v="0.01"/>
    <s v="P"/>
    <s v="P"/>
    <s v="P"/>
    <s v="+"/>
    <s v="+"/>
    <n v="11.93"/>
    <s v="-"/>
    <s v="-"/>
    <s v="-"/>
    <s v="-"/>
    <s v="-"/>
    <s v="-"/>
    <s v="-"/>
    <s v="-"/>
    <s v="P"/>
    <s v="P"/>
    <s v="-"/>
    <n v="2"/>
    <n v="1"/>
    <n v="2"/>
    <n v="0"/>
    <s v="-"/>
    <s v="-"/>
    <s v="-"/>
    <s v="-"/>
    <s v="-"/>
    <s v="-"/>
    <s v="-"/>
    <n v="5"/>
    <n v="6"/>
    <s v="-"/>
    <n v="1"/>
    <n v="1"/>
    <n v="2"/>
    <n v="2"/>
    <n v="7"/>
    <n v="8"/>
  </r>
  <r>
    <x v="7"/>
    <x v="174"/>
    <d v="2026-07-17T00:00:00"/>
    <s v="2ND"/>
    <d v="1899-12-30T17:00:00"/>
    <n v="3"/>
    <x v="6"/>
    <n v="0.01"/>
    <s v="P"/>
    <s v="P"/>
    <s v="P"/>
    <s v="+"/>
    <s v="+"/>
    <n v="11.82"/>
    <s v="-"/>
    <s v="-"/>
    <s v="-"/>
    <s v="-"/>
    <s v="-"/>
    <s v="-"/>
    <s v="-"/>
    <s v="-"/>
    <s v="P"/>
    <s v="P"/>
    <s v="-"/>
    <n v="2"/>
    <n v="1"/>
    <n v="2"/>
    <n v="0"/>
    <s v="-"/>
    <s v="-"/>
    <s v="-"/>
    <s v="-"/>
    <s v="-"/>
    <s v="-"/>
    <s v="-"/>
    <n v="5"/>
    <n v="6"/>
    <s v="-"/>
    <n v="1"/>
    <n v="1"/>
    <n v="2"/>
    <n v="2"/>
    <n v="7"/>
    <n v="8"/>
  </r>
  <r>
    <x v="7"/>
    <x v="174"/>
    <d v="2026-07-17T00:00:00"/>
    <s v="2ND"/>
    <d v="1899-12-30T19:00:00"/>
    <n v="3"/>
    <x v="6"/>
    <n v="0.01"/>
    <s v="P"/>
    <s v="P"/>
    <s v="P"/>
    <s v="+"/>
    <s v="+"/>
    <s v="-"/>
    <s v="-"/>
    <s v="-"/>
    <s v="-"/>
    <s v="-"/>
    <s v="-"/>
    <s v="-"/>
    <s v="-"/>
    <s v="-"/>
    <s v="P"/>
    <s v="P"/>
    <s v="-"/>
    <n v="2"/>
    <n v="1"/>
    <n v="2"/>
    <s v="-"/>
    <s v="-"/>
    <s v="-"/>
    <s v="-"/>
    <s v="-"/>
    <s v="-"/>
    <s v="-"/>
    <s v="-"/>
    <n v="5"/>
    <n v="5"/>
    <s v="-"/>
    <n v="1"/>
    <n v="1"/>
    <n v="2"/>
    <n v="2"/>
    <n v="7"/>
    <n v="7"/>
  </r>
  <r>
    <x v="7"/>
    <x v="174"/>
    <d v="2026-07-17T00:00:00"/>
    <s v="2ND"/>
    <d v="1899-12-30T20:00:00"/>
    <n v="3"/>
    <x v="6"/>
    <n v="0.01"/>
    <s v="P"/>
    <s v="P"/>
    <s v="P"/>
    <s v="+"/>
    <s v="+"/>
    <n v="11.77"/>
    <s v="-"/>
    <s v="-"/>
    <s v="-"/>
    <s v="-"/>
    <s v="-"/>
    <s v="-"/>
    <s v="-"/>
    <s v="-"/>
    <s v="P"/>
    <s v="P"/>
    <s v="-"/>
    <n v="2"/>
    <n v="1"/>
    <n v="2"/>
    <n v="0"/>
    <s v="-"/>
    <s v="-"/>
    <s v="-"/>
    <s v="-"/>
    <s v="-"/>
    <s v="-"/>
    <s v="-"/>
    <n v="5"/>
    <n v="6"/>
    <s v="-"/>
    <n v="1"/>
    <n v="1"/>
    <n v="2"/>
    <n v="2"/>
    <n v="7"/>
    <n v="8"/>
  </r>
  <r>
    <x v="7"/>
    <x v="174"/>
    <d v="2026-07-17T00:00:00"/>
    <s v="2ND"/>
    <d v="1899-12-30T21:00:00"/>
    <n v="3"/>
    <x v="6"/>
    <n v="0.01"/>
    <s v="P"/>
    <s v="P"/>
    <s v="P"/>
    <s v="+"/>
    <s v="+"/>
    <n v="11.51"/>
    <s v="-"/>
    <s v="-"/>
    <s v="-"/>
    <s v="-"/>
    <s v="-"/>
    <s v="-"/>
    <s v="-"/>
    <s v="-"/>
    <s v="P"/>
    <s v="P"/>
    <s v="-"/>
    <n v="2"/>
    <n v="1"/>
    <n v="2"/>
    <n v="0"/>
    <s v="-"/>
    <s v="-"/>
    <s v="-"/>
    <s v="-"/>
    <s v="-"/>
    <s v="-"/>
    <s v="-"/>
    <n v="5"/>
    <n v="6"/>
    <s v="-"/>
    <n v="1"/>
    <n v="1"/>
    <n v="2"/>
    <n v="2"/>
    <n v="7"/>
    <n v="8"/>
  </r>
  <r>
    <x v="7"/>
    <x v="174"/>
    <d v="1902-03-26T00:00:00"/>
    <s v="3RD"/>
    <d v="1899-12-30T22:00:00"/>
    <n v="2"/>
    <x v="2"/>
    <s v="-"/>
    <s v="P"/>
    <s v="P"/>
    <s v="P"/>
    <s v="-"/>
    <s v="+"/>
    <n v="10.65"/>
    <n v="10.06"/>
    <n v="0.41"/>
    <n v="54.8"/>
    <s v="-"/>
    <s v="-"/>
    <n v="27.7"/>
    <s v="-"/>
    <s v="-"/>
    <s v="P"/>
    <s v="P"/>
    <s v="-"/>
    <s v="-"/>
    <n v="1"/>
    <n v="2"/>
    <n v="0"/>
    <n v="1"/>
    <n v="2"/>
    <n v="0"/>
    <s v="-"/>
    <s v="-"/>
    <n v="2"/>
    <s v="-"/>
    <n v="8"/>
    <n v="11"/>
    <s v="-"/>
    <n v="1"/>
    <n v="1"/>
    <n v="2"/>
    <n v="2"/>
    <n v="10"/>
    <n v="13"/>
  </r>
  <r>
    <x v="7"/>
    <x v="174"/>
    <d v="1899-12-30T00:00:00"/>
    <s v="3RD"/>
    <d v="1899-12-30T23:00:00"/>
    <n v="2"/>
    <x v="2"/>
    <s v="-"/>
    <s v="P"/>
    <s v="P"/>
    <s v="P"/>
    <s v="-"/>
    <s v="+"/>
    <n v="10.57"/>
    <s v="-"/>
    <s v="-"/>
    <s v="-"/>
    <s v="-"/>
    <s v="-"/>
    <s v="-"/>
    <s v="-"/>
    <s v="-"/>
    <s v="P"/>
    <s v="P"/>
    <s v="-"/>
    <s v="-"/>
    <n v="1"/>
    <n v="2"/>
    <n v="0"/>
    <s v="-"/>
    <s v="-"/>
    <s v="-"/>
    <s v="-"/>
    <s v="-"/>
    <s v="-"/>
    <s v="-"/>
    <n v="3"/>
    <n v="4"/>
    <s v="-"/>
    <n v="1"/>
    <n v="1"/>
    <n v="2"/>
    <n v="2"/>
    <n v="5"/>
    <n v="6"/>
  </r>
  <r>
    <x v="7"/>
    <x v="174"/>
    <d v="2026-07-17T00:00:00"/>
    <s v="3RD"/>
    <d v="1899-12-30T23:00:00"/>
    <n v="3"/>
    <x v="0"/>
    <s v="-"/>
    <s v="P"/>
    <s v="P"/>
    <s v="P"/>
    <s v="+"/>
    <s v="+"/>
    <n v="11.8"/>
    <n v="12.07"/>
    <n v="0.54"/>
    <n v="65.5"/>
    <s v="-"/>
    <s v="-"/>
    <n v="33.700000000000003"/>
    <s v="-"/>
    <s v="-"/>
    <s v="P"/>
    <s v="P"/>
    <s v="65% 5% 30%"/>
    <s v="-"/>
    <n v="1"/>
    <n v="2"/>
    <n v="0"/>
    <n v="1"/>
    <n v="2"/>
    <n v="2"/>
    <s v="-"/>
    <s v="-"/>
    <n v="2"/>
    <s v="-"/>
    <n v="10"/>
    <n v="11"/>
    <s v="-"/>
    <n v="1"/>
    <n v="1"/>
    <n v="2"/>
    <n v="2"/>
    <n v="12"/>
    <n v="13"/>
  </r>
  <r>
    <x v="7"/>
    <x v="174"/>
    <d v="2026-07-17T00:00:00"/>
    <s v="3RD"/>
    <d v="1899-12-31T00:00:00"/>
    <n v="3"/>
    <x v="0"/>
    <s v="-"/>
    <s v="P"/>
    <s v="P"/>
    <s v="P"/>
    <s v="+"/>
    <s v="+"/>
    <n v="11.75"/>
    <s v="-"/>
    <s v="-"/>
    <n v="0.54"/>
    <s v="-"/>
    <s v="-"/>
    <s v="-"/>
    <s v="-"/>
    <s v="-"/>
    <s v="P"/>
    <s v="P"/>
    <s v="-"/>
    <s v="-"/>
    <n v="1"/>
    <n v="2"/>
    <n v="0"/>
    <s v="-"/>
    <s v="-"/>
    <n v="0"/>
    <s v="-"/>
    <s v="-"/>
    <s v="-"/>
    <s v="-"/>
    <n v="3"/>
    <n v="6"/>
    <s v="-"/>
    <n v="1"/>
    <n v="1"/>
    <n v="2"/>
    <n v="2"/>
    <n v="5"/>
    <n v="8"/>
  </r>
  <r>
    <x v="7"/>
    <x v="174"/>
    <d v="2026-07-17T00:00:00"/>
    <s v="3RD"/>
    <d v="1899-12-31T01:00:00"/>
    <n v="3"/>
    <x v="0"/>
    <s v="-"/>
    <s v="P"/>
    <s v="P"/>
    <s v="P"/>
    <s v="+"/>
    <s v="+"/>
    <n v="11.79"/>
    <s v="-"/>
    <s v="-"/>
    <s v="-"/>
    <s v="-"/>
    <s v="-"/>
    <s v="-"/>
    <s v="-"/>
    <s v="-"/>
    <s v="P"/>
    <s v="P"/>
    <s v="-"/>
    <s v="-"/>
    <n v="1"/>
    <n v="2"/>
    <n v="0"/>
    <s v="-"/>
    <s v="-"/>
    <s v="-"/>
    <s v="-"/>
    <s v="-"/>
    <s v="-"/>
    <s v="-"/>
    <n v="3"/>
    <n v="4"/>
    <s v="-"/>
    <n v="1"/>
    <n v="1"/>
    <n v="2"/>
    <n v="2"/>
    <n v="5"/>
    <n v="6"/>
  </r>
  <r>
    <x v="7"/>
    <x v="175"/>
    <d v="2026-07-17T00:00:00"/>
    <s v="1ST"/>
    <s v="06:00"/>
    <n v="3"/>
    <x v="29"/>
    <n v="0.02"/>
    <s v="P"/>
    <s v="P"/>
    <s v="P"/>
    <s v="+"/>
    <s v="+"/>
    <n v="12.03"/>
    <n v="11.76"/>
    <n v="0.56999999999999995"/>
    <n v="67.2"/>
    <n v="14.1"/>
    <n v="1201"/>
    <n v="32.700000000000003"/>
    <s v="-"/>
    <s v="-"/>
    <s v="P"/>
    <s v="P"/>
    <s v="95% 5%"/>
    <n v="2"/>
    <n v="1"/>
    <n v="2"/>
    <n v="1"/>
    <s v="-"/>
    <s v="-"/>
    <s v="-"/>
    <s v="-"/>
    <s v="-"/>
    <s v="-"/>
    <s v="-"/>
    <n v="6"/>
    <n v="6"/>
    <s v="-"/>
    <n v="1"/>
    <n v="1"/>
    <n v="2"/>
    <n v="2"/>
    <n v="8"/>
    <n v="8"/>
  </r>
  <r>
    <x v="7"/>
    <x v="175"/>
    <d v="2026-07-28T00:00:00"/>
    <s v="1ST"/>
    <s v="08:00"/>
    <n v="3"/>
    <x v="1"/>
    <n v="0.02"/>
    <s v="P"/>
    <s v="P"/>
    <s v="P"/>
    <s v="+"/>
    <s v="+"/>
    <n v="11.72"/>
    <n v="11.84"/>
    <n v="0.56999999999999995"/>
    <s v="-"/>
    <s v="-"/>
    <s v="-"/>
    <n v="33"/>
    <s v="-"/>
    <s v="-"/>
    <s v="P"/>
    <s v="P"/>
    <s v="85% 15%"/>
    <n v="2"/>
    <n v="1"/>
    <n v="2"/>
    <n v="0"/>
    <n v="0"/>
    <n v="2"/>
    <s v="-"/>
    <s v="-"/>
    <s v="-"/>
    <n v="2"/>
    <s v="-"/>
    <n v="9"/>
    <n v="11"/>
    <s v="-"/>
    <n v="1"/>
    <n v="1"/>
    <n v="2"/>
    <n v="2"/>
    <n v="11"/>
    <n v="13"/>
  </r>
  <r>
    <x v="7"/>
    <x v="175"/>
    <d v="2026-07-28T00:00:00"/>
    <s v="1ST"/>
    <s v="09:00"/>
    <n v="3"/>
    <x v="1"/>
    <s v="-"/>
    <s v="P"/>
    <s v="P"/>
    <s v="P"/>
    <s v="+"/>
    <s v="+"/>
    <n v="12.93"/>
    <s v="-"/>
    <s v="-"/>
    <s v="-"/>
    <s v="-"/>
    <s v="-"/>
    <s v="-"/>
    <s v="-"/>
    <s v="-"/>
    <s v="P"/>
    <s v="P"/>
    <s v="-"/>
    <s v="-"/>
    <n v="1"/>
    <n v="2"/>
    <n v="1"/>
    <s v="-"/>
    <s v="-"/>
    <s v="-"/>
    <s v="-"/>
    <s v="-"/>
    <s v="-"/>
    <s v="-"/>
    <n v="4"/>
    <n v="4"/>
    <s v="-"/>
    <n v="1"/>
    <n v="1"/>
    <n v="2"/>
    <n v="2"/>
    <n v="6"/>
    <n v="6"/>
  </r>
  <r>
    <x v="7"/>
    <x v="175"/>
    <d v="2026-07-28T00:00:00"/>
    <s v="2ND"/>
    <d v="1899-12-30T17:00:00"/>
    <n v="3"/>
    <x v="1"/>
    <s v="-"/>
    <s v="P"/>
    <s v="P"/>
    <s v="P"/>
    <s v="+"/>
    <s v="+"/>
    <n v="12.59"/>
    <n v="11.98"/>
    <s v="-"/>
    <s v="-"/>
    <s v="-"/>
    <s v="-"/>
    <n v="33.200000000000003"/>
    <s v="-"/>
    <s v="-"/>
    <s v="P"/>
    <s v="P"/>
    <s v="65% 5% 30%"/>
    <s v="-"/>
    <n v="1"/>
    <n v="2"/>
    <n v="1"/>
    <n v="0"/>
    <s v="-"/>
    <s v="-"/>
    <s v="-"/>
    <s v="-"/>
    <n v="2"/>
    <s v="-"/>
    <n v="6"/>
    <n v="7"/>
    <s v="-"/>
    <n v="1"/>
    <n v="1"/>
    <n v="2"/>
    <n v="2"/>
    <n v="8"/>
    <n v="9"/>
  </r>
  <r>
    <x v="7"/>
    <x v="175"/>
    <d v="2026-07-28T00:00:00"/>
    <s v="2ND"/>
    <d v="1899-12-30T18:00:00"/>
    <n v="3"/>
    <x v="1"/>
    <s v="-"/>
    <s v="P"/>
    <s v="P"/>
    <s v="P"/>
    <s v="+"/>
    <s v="+"/>
    <n v="12.59"/>
    <s v="-"/>
    <s v="-"/>
    <s v="-"/>
    <s v="-"/>
    <s v="-"/>
    <s v="-"/>
    <s v="-"/>
    <s v="-"/>
    <s v="P"/>
    <s v="P"/>
    <s v="-"/>
    <s v="-"/>
    <n v="1"/>
    <n v="2"/>
    <n v="1"/>
    <s v="-"/>
    <s v="-"/>
    <s v="-"/>
    <s v="-"/>
    <s v="-"/>
    <s v="-"/>
    <s v="-"/>
    <n v="4"/>
    <n v="4"/>
    <s v="-"/>
    <n v="1"/>
    <n v="1"/>
    <n v="2"/>
    <n v="2"/>
    <n v="6"/>
    <n v="6"/>
  </r>
  <r>
    <x v="7"/>
    <x v="175"/>
    <d v="2026-07-28T00:00:00"/>
    <s v="2ND"/>
    <d v="1899-12-30T20:00:00"/>
    <n v="3"/>
    <x v="1"/>
    <s v="-"/>
    <s v="P"/>
    <s v="P"/>
    <s v="P"/>
    <s v="+"/>
    <s v="+"/>
    <n v="12.37"/>
    <s v="-"/>
    <s v="-"/>
    <s v="-"/>
    <s v="-"/>
    <s v="-"/>
    <s v="-"/>
    <s v="-"/>
    <s v="-"/>
    <s v="P"/>
    <s v="P"/>
    <s v="-"/>
    <s v="-"/>
    <n v="1"/>
    <n v="2"/>
    <n v="1"/>
    <s v="-"/>
    <s v="-"/>
    <s v="-"/>
    <s v="-"/>
    <s v="-"/>
    <s v="-"/>
    <s v="-"/>
    <n v="4"/>
    <n v="4"/>
    <s v="-"/>
    <n v="1"/>
    <n v="1"/>
    <n v="2"/>
    <n v="2"/>
    <n v="6"/>
    <n v="6"/>
  </r>
  <r>
    <x v="7"/>
    <x v="175"/>
    <d v="2026-07-28T00:00:00"/>
    <s v="2ND"/>
    <d v="1899-12-30T21:00:00"/>
    <n v="3"/>
    <x v="1"/>
    <s v="-"/>
    <s v="P"/>
    <s v="P"/>
    <s v="P"/>
    <s v="+"/>
    <s v="+"/>
    <n v="12.33"/>
    <s v="-"/>
    <s v="-"/>
    <s v="-"/>
    <s v="-"/>
    <s v="-"/>
    <s v="-"/>
    <s v="-"/>
    <s v="-"/>
    <s v="P"/>
    <s v="P"/>
    <s v="-"/>
    <s v="-"/>
    <n v="1"/>
    <n v="2"/>
    <n v="1"/>
    <s v="-"/>
    <s v="-"/>
    <s v="-"/>
    <s v="-"/>
    <s v="-"/>
    <s v="-"/>
    <s v="-"/>
    <n v="4"/>
    <n v="4"/>
    <s v="-"/>
    <n v="1"/>
    <n v="1"/>
    <n v="2"/>
    <n v="2"/>
    <n v="6"/>
    <n v="6"/>
  </r>
  <r>
    <x v="7"/>
    <x v="175"/>
    <d v="2026-07-28T00:00:00"/>
    <s v="3RD"/>
    <d v="1899-12-30T22:00:00"/>
    <n v="3"/>
    <x v="1"/>
    <s v="-"/>
    <s v="P"/>
    <s v="P"/>
    <s v="P"/>
    <s v="+"/>
    <s v="+"/>
    <n v="12.35"/>
    <s v="-"/>
    <s v="-"/>
    <s v="-"/>
    <s v="-"/>
    <s v="-"/>
    <s v="-"/>
    <s v="-"/>
    <s v="-"/>
    <s v="P"/>
    <s v="P"/>
    <s v="65% 5% 30%"/>
    <s v="-"/>
    <n v="1"/>
    <n v="2"/>
    <n v="1"/>
    <s v="-"/>
    <s v="-"/>
    <s v="-"/>
    <s v="-"/>
    <s v="-"/>
    <s v="-"/>
    <s v="-"/>
    <n v="4"/>
    <n v="4"/>
    <s v="-"/>
    <n v="1"/>
    <n v="1"/>
    <n v="2"/>
    <n v="2"/>
    <n v="6"/>
    <n v="6"/>
  </r>
  <r>
    <x v="7"/>
    <x v="176"/>
    <d v="2026-07-28T00:00:00"/>
    <s v="1ST"/>
    <s v="09:00"/>
    <n v="3"/>
    <x v="1"/>
    <s v="-"/>
    <s v="P"/>
    <s v="P"/>
    <s v="P"/>
    <s v="+"/>
    <s v="+"/>
    <n v="12.37"/>
    <n v="12.17"/>
    <n v="0.57999999999999996"/>
    <n v="64"/>
    <s v="-"/>
    <s v="-"/>
    <n v="33.9"/>
    <s v="-"/>
    <s v="-"/>
    <s v="P"/>
    <s v="P"/>
    <s v="85% 5% 10%"/>
    <s v="-"/>
    <n v="1"/>
    <n v="2"/>
    <n v="1"/>
    <n v="1"/>
    <n v="2"/>
    <n v="2"/>
    <s v="-"/>
    <s v="-"/>
    <n v="2"/>
    <s v="-"/>
    <n v="11"/>
    <n v="11"/>
    <s v="-"/>
    <n v="1"/>
    <n v="1"/>
    <n v="2"/>
    <n v="2"/>
    <n v="13"/>
    <n v="13"/>
  </r>
  <r>
    <x v="7"/>
    <x v="176"/>
    <d v="2026-07-30T00:00:00"/>
    <s v="2ND"/>
    <d v="1899-12-30T14:00:00"/>
    <n v="1"/>
    <x v="12"/>
    <n v="0.01"/>
    <s v="P"/>
    <s v="P"/>
    <s v="P"/>
    <s v="+"/>
    <s v="+"/>
    <n v="12.45"/>
    <n v="12.16"/>
    <n v="0.49"/>
    <n v="63.8"/>
    <s v="-"/>
    <s v="-"/>
    <n v="33.9"/>
    <s v="-"/>
    <s v="-"/>
    <s v="P"/>
    <s v="P"/>
    <n v="1"/>
    <n v="2"/>
    <n v="1"/>
    <n v="2"/>
    <n v="1"/>
    <s v="-"/>
    <n v="2"/>
    <n v="0"/>
    <s v="-"/>
    <s v="-"/>
    <n v="0"/>
    <s v="-"/>
    <n v="8"/>
    <n v="12"/>
    <s v="-"/>
    <n v="1"/>
    <n v="1"/>
    <n v="2"/>
    <n v="2"/>
    <n v="10"/>
    <n v="14"/>
  </r>
  <r>
    <x v="7"/>
    <x v="176"/>
    <d v="2026-07-29T00:00:00"/>
    <s v="2ND"/>
    <d v="1899-12-30T15:00:00"/>
    <n v="1"/>
    <x v="20"/>
    <n v="0.01"/>
    <s v="P"/>
    <s v="P"/>
    <s v="P"/>
    <s v="-"/>
    <s v="-"/>
    <n v="12.14"/>
    <s v="-"/>
    <s v="-"/>
    <s v="-"/>
    <s v="-"/>
    <s v="-"/>
    <s v="-"/>
    <s v="-"/>
    <s v="-"/>
    <s v="P"/>
    <s v="P"/>
    <s v="80% 20%"/>
    <n v="2"/>
    <n v="1"/>
    <n v="2"/>
    <n v="1"/>
    <s v="-"/>
    <s v="-"/>
    <s v="-"/>
    <s v="-"/>
    <s v="-"/>
    <s v="-"/>
    <s v="-"/>
    <n v="6"/>
    <n v="6"/>
    <s v="-"/>
    <n v="1"/>
    <n v="1"/>
    <n v="2"/>
    <n v="2"/>
    <n v="8"/>
    <n v="8"/>
  </r>
  <r>
    <x v="7"/>
    <x v="176"/>
    <d v="2026-07-29T00:00:00"/>
    <s v="2ND"/>
    <d v="1899-12-30T17:00:00"/>
    <n v="1"/>
    <x v="20"/>
    <n v="0.01"/>
    <s v="P"/>
    <s v="P"/>
    <s v="P"/>
    <s v="-"/>
    <s v="-"/>
    <n v="12.33"/>
    <s v="-"/>
    <s v="-"/>
    <s v="-"/>
    <s v="-"/>
    <s v="-"/>
    <s v="-"/>
    <s v="-"/>
    <s v="-"/>
    <s v="P"/>
    <s v="P"/>
    <s v="-"/>
    <n v="2"/>
    <n v="1"/>
    <n v="2"/>
    <n v="1"/>
    <s v="-"/>
    <s v="-"/>
    <s v="-"/>
    <s v="-"/>
    <s v="-"/>
    <s v="-"/>
    <s v="-"/>
    <n v="6"/>
    <n v="6"/>
    <s v="-"/>
    <n v="1"/>
    <n v="1"/>
    <n v="2"/>
    <n v="2"/>
    <n v="8"/>
    <n v="8"/>
  </r>
  <r>
    <x v="7"/>
    <x v="176"/>
    <d v="2026-07-29T00:00:00"/>
    <s v="2ND"/>
    <d v="1899-12-30T18:00:00"/>
    <n v="1"/>
    <x v="20"/>
    <s v="-"/>
    <s v="P"/>
    <s v="P"/>
    <s v="P"/>
    <s v="-"/>
    <s v="-"/>
    <n v="11.86"/>
    <s v="-"/>
    <s v="-"/>
    <s v="-"/>
    <s v="-"/>
    <s v="-"/>
    <s v="-"/>
    <s v="-"/>
    <s v="-"/>
    <s v="P"/>
    <s v="P"/>
    <s v="-"/>
    <s v="-"/>
    <n v="1"/>
    <n v="2"/>
    <n v="1"/>
    <s v="-"/>
    <s v="-"/>
    <s v="-"/>
    <s v="-"/>
    <s v="-"/>
    <s v="-"/>
    <s v="-"/>
    <n v="4"/>
    <n v="4"/>
    <s v="-"/>
    <n v="1"/>
    <n v="1"/>
    <n v="2"/>
    <n v="2"/>
    <n v="6"/>
    <n v="6"/>
  </r>
  <r>
    <x v="7"/>
    <x v="176"/>
    <d v="2026-07-29T00:00:00"/>
    <s v="2ND"/>
    <d v="1899-12-30T20:00:00"/>
    <n v="1"/>
    <x v="20"/>
    <s v="-"/>
    <s v="P"/>
    <s v="P"/>
    <s v="P"/>
    <s v="-"/>
    <s v="-"/>
    <n v="12.12"/>
    <s v="-"/>
    <s v="-"/>
    <s v="-"/>
    <s v="-"/>
    <s v="-"/>
    <s v="-"/>
    <s v="-"/>
    <s v="-"/>
    <s v="P"/>
    <s v="P"/>
    <s v="-"/>
    <s v="-"/>
    <n v="1"/>
    <n v="2"/>
    <n v="1"/>
    <s v="-"/>
    <s v="-"/>
    <s v="-"/>
    <s v="-"/>
    <s v="-"/>
    <s v="-"/>
    <s v="-"/>
    <n v="4"/>
    <n v="4"/>
    <s v="-"/>
    <n v="1"/>
    <n v="1"/>
    <n v="2"/>
    <n v="2"/>
    <n v="6"/>
    <n v="6"/>
  </r>
  <r>
    <x v="7"/>
    <x v="176"/>
    <d v="2026-07-29T00:00:00"/>
    <s v="2ND"/>
    <d v="1899-12-30T21:00:00"/>
    <n v="1"/>
    <x v="20"/>
    <s v="-"/>
    <s v="P"/>
    <s v="P"/>
    <s v="P"/>
    <s v="-"/>
    <s v="-"/>
    <n v="12.02"/>
    <s v="-"/>
    <s v="-"/>
    <s v="-"/>
    <s v="-"/>
    <s v="-"/>
    <s v="-"/>
    <s v="-"/>
    <s v="-"/>
    <s v="P"/>
    <s v="P"/>
    <s v="-"/>
    <s v="-"/>
    <n v="1"/>
    <n v="2"/>
    <n v="1"/>
    <s v="-"/>
    <s v="-"/>
    <s v="-"/>
    <s v="-"/>
    <s v="-"/>
    <s v="-"/>
    <s v="-"/>
    <n v="4"/>
    <n v="4"/>
    <s v="-"/>
    <n v="1"/>
    <n v="1"/>
    <n v="2"/>
    <n v="2"/>
    <n v="6"/>
    <n v="6"/>
  </r>
  <r>
    <x v="7"/>
    <x v="176"/>
    <d v="1902-03-26T00:00:00"/>
    <s v="2ND"/>
    <d v="1899-12-30T14:00:00"/>
    <n v="2"/>
    <x v="21"/>
    <s v="-"/>
    <s v="P"/>
    <s v="P"/>
    <s v="P"/>
    <s v="-"/>
    <s v="+"/>
    <n v="11.35"/>
    <n v="8.27"/>
    <n v="0.55000000000000004"/>
    <n v="54.4"/>
    <s v="-"/>
    <s v="-"/>
    <n v="22.1"/>
    <s v="-"/>
    <s v="-"/>
    <s v="P"/>
    <s v="P"/>
    <s v="-"/>
    <s v="-"/>
    <n v="1"/>
    <n v="2"/>
    <n v="1"/>
    <s v="-"/>
    <n v="2"/>
    <n v="2"/>
    <s v="-"/>
    <s v="-"/>
    <n v="2"/>
    <s v="-"/>
    <n v="10"/>
    <n v="10"/>
    <s v="-"/>
    <n v="1"/>
    <n v="1"/>
    <n v="2"/>
    <n v="2"/>
    <n v="12"/>
    <n v="12"/>
  </r>
  <r>
    <x v="7"/>
    <x v="176"/>
    <d v="1899-12-30T00:00:00"/>
    <s v="2ND"/>
    <d v="1899-12-30T16:00:00"/>
    <n v="2"/>
    <x v="21"/>
    <s v="-"/>
    <s v="P"/>
    <s v="P"/>
    <s v="P"/>
    <s v="-"/>
    <s v="+"/>
    <n v="11.22"/>
    <s v="-"/>
    <s v="-"/>
    <s v="-"/>
    <s v="-"/>
    <s v="-"/>
    <s v="-"/>
    <s v="-"/>
    <s v="-"/>
    <s v="P"/>
    <s v="P"/>
    <s v="-"/>
    <s v="-"/>
    <n v="1"/>
    <n v="2"/>
    <n v="1"/>
    <s v="-"/>
    <s v="-"/>
    <s v="-"/>
    <s v="-"/>
    <s v="-"/>
    <s v="-"/>
    <s v="-"/>
    <n v="4"/>
    <n v="4"/>
    <s v="-"/>
    <n v="1"/>
    <n v="1"/>
    <n v="2"/>
    <n v="2"/>
    <n v="6"/>
    <n v="6"/>
  </r>
  <r>
    <x v="7"/>
    <x v="176"/>
    <d v="1899-12-30T00:00:00"/>
    <s v="2ND"/>
    <d v="1899-12-30T17:00:00"/>
    <n v="2"/>
    <x v="21"/>
    <n v="0.01"/>
    <s v="P"/>
    <s v="P"/>
    <s v="P"/>
    <s v="-"/>
    <s v="+"/>
    <n v="11.08"/>
    <s v="-"/>
    <s v="-"/>
    <s v="-"/>
    <s v="-"/>
    <s v="-"/>
    <s v="-"/>
    <s v="-"/>
    <s v="-"/>
    <s v="P"/>
    <s v="P"/>
    <s v="-"/>
    <n v="2"/>
    <n v="1"/>
    <n v="2"/>
    <n v="1"/>
    <s v="-"/>
    <s v="-"/>
    <s v="-"/>
    <s v="-"/>
    <s v="-"/>
    <s v="-"/>
    <s v="-"/>
    <n v="6"/>
    <n v="6"/>
    <s v="-"/>
    <n v="1"/>
    <n v="1"/>
    <n v="2"/>
    <n v="2"/>
    <n v="8"/>
    <n v="8"/>
  </r>
  <r>
    <x v="7"/>
    <x v="176"/>
    <d v="1899-12-30T00:00:00"/>
    <s v="2ND"/>
    <d v="1899-12-30T18:00:00"/>
    <n v="2"/>
    <x v="21"/>
    <s v="-"/>
    <s v="P"/>
    <s v="P"/>
    <s v="P"/>
    <s v="-"/>
    <s v="+"/>
    <n v="10.99"/>
    <s v="-"/>
    <s v="-"/>
    <s v="-"/>
    <s v="-"/>
    <s v="-"/>
    <s v="-"/>
    <s v="-"/>
    <s v="-"/>
    <s v="P"/>
    <s v="P"/>
    <s v="-"/>
    <s v="-"/>
    <n v="1"/>
    <n v="2"/>
    <n v="0"/>
    <s v="-"/>
    <s v="-"/>
    <s v="-"/>
    <s v="-"/>
    <s v="-"/>
    <s v="-"/>
    <s v="-"/>
    <n v="3"/>
    <n v="4"/>
    <s v="-"/>
    <n v="1"/>
    <n v="1"/>
    <n v="2"/>
    <n v="2"/>
    <n v="5"/>
    <n v="6"/>
  </r>
  <r>
    <x v="7"/>
    <x v="176"/>
    <d v="1899-12-30T00:00:00"/>
    <s v="2ND"/>
    <d v="1899-12-30T20:00:00"/>
    <n v="2"/>
    <x v="21"/>
    <s v="-"/>
    <s v="P"/>
    <s v="P"/>
    <s v="P"/>
    <s v="-"/>
    <s v="+"/>
    <n v="11.1"/>
    <s v="-"/>
    <s v="-"/>
    <s v="-"/>
    <s v="-"/>
    <s v="-"/>
    <s v="-"/>
    <s v="-"/>
    <s v="-"/>
    <s v="P"/>
    <s v="P"/>
    <s v="-"/>
    <s v="-"/>
    <n v="1"/>
    <n v="2"/>
    <n v="1"/>
    <s v="-"/>
    <s v="-"/>
    <s v="-"/>
    <s v="-"/>
    <s v="-"/>
    <s v="-"/>
    <s v="-"/>
    <n v="4"/>
    <n v="4"/>
    <s v="-"/>
    <n v="1"/>
    <n v="1"/>
    <n v="2"/>
    <n v="2"/>
    <n v="6"/>
    <n v="6"/>
  </r>
  <r>
    <x v="7"/>
    <x v="176"/>
    <d v="1899-12-30T00:00:00"/>
    <s v="2ND"/>
    <d v="1899-12-30T21:00:00"/>
    <n v="2"/>
    <x v="21"/>
    <s v="-"/>
    <s v="P"/>
    <s v="P"/>
    <s v="P"/>
    <s v="-"/>
    <s v="+"/>
    <n v="11.16"/>
    <s v="-"/>
    <s v="-"/>
    <s v="-"/>
    <s v="-"/>
    <s v="-"/>
    <s v="-"/>
    <s v="-"/>
    <s v="-"/>
    <s v="P"/>
    <s v="P"/>
    <s v="-"/>
    <s v="-"/>
    <n v="1"/>
    <n v="2"/>
    <n v="1"/>
    <s v="-"/>
    <s v="-"/>
    <s v="-"/>
    <s v="-"/>
    <s v="-"/>
    <s v="-"/>
    <s v="-"/>
    <n v="4"/>
    <n v="4"/>
    <s v="-"/>
    <n v="1"/>
    <n v="1"/>
    <n v="2"/>
    <n v="2"/>
    <n v="6"/>
    <n v="6"/>
  </r>
  <r>
    <x v="7"/>
    <x v="176"/>
    <d v="2026-07-28T00:00:00"/>
    <s v="2ND"/>
    <d v="1899-12-30T18:00:00"/>
    <n v="3"/>
    <x v="1"/>
    <s v="-"/>
    <s v="P"/>
    <s v="P"/>
    <s v="P"/>
    <s v="+"/>
    <s v="+"/>
    <s v="-"/>
    <n v="12.17"/>
    <s v="-"/>
    <s v="-"/>
    <s v="-"/>
    <s v="-"/>
    <n v="33.9"/>
    <s v="-"/>
    <s v="-"/>
    <s v="P"/>
    <s v="P"/>
    <s v="85% 5% 10%"/>
    <s v="-"/>
    <n v="1"/>
    <n v="2"/>
    <s v="-"/>
    <n v="1"/>
    <s v="-"/>
    <s v="-"/>
    <s v="-"/>
    <s v="-"/>
    <n v="2"/>
    <s v="-"/>
    <n v="6"/>
    <n v="6"/>
    <s v="-"/>
    <n v="1"/>
    <n v="1"/>
    <n v="2"/>
    <n v="2"/>
    <n v="8"/>
    <n v="8"/>
  </r>
  <r>
    <x v="7"/>
    <x v="176"/>
    <d v="2026-07-28T00:00:00"/>
    <s v="2ND"/>
    <d v="1899-12-30T20:00:00"/>
    <n v="3"/>
    <x v="1"/>
    <s v="-"/>
    <s v="P"/>
    <s v="P"/>
    <s v="P"/>
    <s v="+"/>
    <s v="+"/>
    <n v="12.1"/>
    <s v="-"/>
    <s v="-"/>
    <s v="-"/>
    <s v="-"/>
    <s v="-"/>
    <s v="-"/>
    <s v="-"/>
    <s v="-"/>
    <s v="P"/>
    <s v="P"/>
    <s v="-"/>
    <s v="-"/>
    <n v="1"/>
    <n v="2"/>
    <n v="1"/>
    <s v="-"/>
    <s v="-"/>
    <s v="-"/>
    <s v="-"/>
    <s v="-"/>
    <s v="-"/>
    <s v="-"/>
    <n v="4"/>
    <n v="4"/>
    <s v="-"/>
    <n v="1"/>
    <n v="1"/>
    <n v="2"/>
    <n v="2"/>
    <n v="6"/>
    <n v="6"/>
  </r>
  <r>
    <x v="7"/>
    <x v="176"/>
    <d v="2026-07-29T00:00:00"/>
    <s v="3RD"/>
    <d v="1899-12-30T22:00:00"/>
    <n v="1"/>
    <x v="20"/>
    <s v="-"/>
    <s v="P"/>
    <s v="P"/>
    <s v="P"/>
    <s v="-"/>
    <s v="-"/>
    <n v="12.27"/>
    <n v="12.47"/>
    <s v="-"/>
    <s v="-"/>
    <s v="-"/>
    <s v="-"/>
    <n v="34.799999999999997"/>
    <s v="-"/>
    <s v="-"/>
    <s v="P"/>
    <s v="P"/>
    <s v="80% 20%"/>
    <s v="-"/>
    <n v="1"/>
    <n v="2"/>
    <n v="1"/>
    <n v="1"/>
    <s v="-"/>
    <s v="-"/>
    <s v="-"/>
    <s v="-"/>
    <n v="2"/>
    <s v="-"/>
    <n v="7"/>
    <n v="7"/>
    <s v="-"/>
    <n v="1"/>
    <n v="1"/>
    <n v="2"/>
    <n v="2"/>
    <n v="9"/>
    <n v="9"/>
  </r>
  <r>
    <x v="7"/>
    <x v="176"/>
    <d v="2026-07-29T00:00:00"/>
    <s v="3RD"/>
    <d v="1899-12-30T23:00:00"/>
    <n v="1"/>
    <x v="20"/>
    <s v="-"/>
    <s v="P"/>
    <s v="P"/>
    <s v="P"/>
    <s v="-"/>
    <s v="-"/>
    <n v="12.04"/>
    <s v="-"/>
    <s v="-"/>
    <s v="-"/>
    <s v="-"/>
    <s v="-"/>
    <s v="-"/>
    <s v="-"/>
    <s v="-"/>
    <s v="P"/>
    <s v="P"/>
    <s v="-"/>
    <s v="-"/>
    <n v="1"/>
    <n v="2"/>
    <n v="1"/>
    <s v="-"/>
    <s v="-"/>
    <s v="-"/>
    <s v="-"/>
    <s v="-"/>
    <s v="-"/>
    <s v="-"/>
    <n v="4"/>
    <n v="4"/>
    <s v="-"/>
    <n v="1"/>
    <n v="1"/>
    <n v="2"/>
    <n v="2"/>
    <n v="6"/>
    <n v="6"/>
  </r>
  <r>
    <x v="7"/>
    <x v="176"/>
    <d v="2026-07-29T00:00:00"/>
    <s v="3RD"/>
    <d v="1899-12-31T00:00:00"/>
    <n v="1"/>
    <x v="20"/>
    <s v="-"/>
    <s v="P"/>
    <s v="P"/>
    <s v="P"/>
    <s v="-"/>
    <s v="-"/>
    <n v="12.43"/>
    <s v="-"/>
    <s v="-"/>
    <s v="-"/>
    <s v="-"/>
    <s v="-"/>
    <s v="-"/>
    <s v="-"/>
    <s v="-"/>
    <s v="P"/>
    <s v="P"/>
    <s v="-"/>
    <s v="-"/>
    <n v="1"/>
    <n v="2"/>
    <n v="1"/>
    <s v="-"/>
    <s v="-"/>
    <s v="-"/>
    <s v="-"/>
    <s v="-"/>
    <s v="-"/>
    <s v="-"/>
    <n v="4"/>
    <n v="4"/>
    <s v="-"/>
    <n v="1"/>
    <n v="1"/>
    <n v="2"/>
    <n v="2"/>
    <n v="6"/>
    <n v="6"/>
  </r>
  <r>
    <x v="7"/>
    <x v="176"/>
    <d v="2026-07-29T00:00:00"/>
    <s v="3RD"/>
    <d v="1899-12-31T01:00:00"/>
    <n v="1"/>
    <x v="20"/>
    <s v="-"/>
    <s v="P"/>
    <s v="P"/>
    <s v="P"/>
    <s v="-"/>
    <s v="-"/>
    <n v="12.33"/>
    <s v="-"/>
    <s v="-"/>
    <s v="-"/>
    <s v="-"/>
    <s v="-"/>
    <s v="-"/>
    <s v="-"/>
    <s v="-"/>
    <s v="P"/>
    <s v="P"/>
    <s v="-"/>
    <s v="-"/>
    <n v="1"/>
    <n v="2"/>
    <n v="1"/>
    <s v="-"/>
    <s v="-"/>
    <s v="-"/>
    <s v="-"/>
    <s v="-"/>
    <s v="-"/>
    <s v="-"/>
    <n v="4"/>
    <n v="4"/>
    <s v="-"/>
    <n v="1"/>
    <n v="1"/>
    <n v="2"/>
    <n v="2"/>
    <n v="6"/>
    <n v="6"/>
  </r>
  <r>
    <x v="7"/>
    <x v="176"/>
    <d v="1902-03-26T00:00:00"/>
    <s v="3RD"/>
    <d v="1899-12-30T22:00:00"/>
    <n v="2"/>
    <x v="21"/>
    <s v="-"/>
    <s v="P"/>
    <s v="P"/>
    <s v="P"/>
    <s v="-"/>
    <s v="+"/>
    <n v="11.06"/>
    <n v="9.4499999999999993"/>
    <s v="-"/>
    <s v="-"/>
    <s v="-"/>
    <s v="-"/>
    <n v="25.8"/>
    <s v="-"/>
    <s v="-"/>
    <s v="P"/>
    <s v="P"/>
    <s v="-"/>
    <s v="-"/>
    <n v="1"/>
    <n v="2"/>
    <n v="1"/>
    <s v="-"/>
    <s v="-"/>
    <s v="-"/>
    <s v="-"/>
    <s v="-"/>
    <n v="2"/>
    <s v="-"/>
    <n v="6"/>
    <n v="6"/>
    <s v="-"/>
    <n v="1"/>
    <n v="1"/>
    <n v="2"/>
    <n v="2"/>
    <n v="8"/>
    <n v="8"/>
  </r>
  <r>
    <x v="7"/>
    <x v="176"/>
    <d v="1899-12-30T00:00:00"/>
    <s v="3RD"/>
    <d v="1899-12-30T23:00:00"/>
    <n v="2"/>
    <x v="21"/>
    <s v="-"/>
    <s v="P"/>
    <s v="P"/>
    <s v="P"/>
    <s v="-"/>
    <s v="+"/>
    <n v="10.99"/>
    <s v="-"/>
    <s v="-"/>
    <s v="-"/>
    <s v="-"/>
    <s v="-"/>
    <s v="-"/>
    <s v="-"/>
    <s v="-"/>
    <s v="P"/>
    <s v="P"/>
    <s v="-"/>
    <s v="-"/>
    <n v="1"/>
    <n v="2"/>
    <n v="0"/>
    <s v="-"/>
    <s v="-"/>
    <s v="-"/>
    <s v="-"/>
    <s v="-"/>
    <s v="-"/>
    <s v="-"/>
    <n v="3"/>
    <n v="4"/>
    <s v="-"/>
    <n v="1"/>
    <n v="1"/>
    <n v="2"/>
    <n v="2"/>
    <n v="5"/>
    <n v="6"/>
  </r>
  <r>
    <x v="7"/>
    <x v="176"/>
    <d v="1899-12-30T00:00:00"/>
    <s v="3RD"/>
    <d v="1899-12-31T00:00:00"/>
    <n v="2"/>
    <x v="21"/>
    <s v="-"/>
    <s v="P"/>
    <s v="P"/>
    <s v="P"/>
    <s v="-"/>
    <s v="+"/>
    <n v="10.82"/>
    <s v="-"/>
    <s v="-"/>
    <s v="-"/>
    <s v="-"/>
    <s v="-"/>
    <s v="-"/>
    <s v="-"/>
    <s v="-"/>
    <s v="P"/>
    <s v="P"/>
    <s v="-"/>
    <s v="-"/>
    <n v="1"/>
    <n v="2"/>
    <n v="0"/>
    <s v="-"/>
    <s v="-"/>
    <s v="-"/>
    <s v="-"/>
    <s v="-"/>
    <s v="-"/>
    <s v="-"/>
    <n v="3"/>
    <n v="4"/>
    <s v="-"/>
    <n v="1"/>
    <n v="1"/>
    <n v="2"/>
    <n v="2"/>
    <n v="5"/>
    <n v="6"/>
  </r>
  <r>
    <x v="7"/>
    <x v="176"/>
    <d v="2026-07-28T00:00:00"/>
    <s v="3RD"/>
    <d v="1899-12-30T22:00:00"/>
    <n v="3"/>
    <x v="1"/>
    <s v="-"/>
    <s v="P"/>
    <s v="P"/>
    <s v="P"/>
    <s v="+"/>
    <s v="+"/>
    <n v="11.77"/>
    <n v="12.66"/>
    <s v="-"/>
    <s v="-"/>
    <s v="-"/>
    <s v="-"/>
    <n v="25.5"/>
    <s v="-"/>
    <s v="-"/>
    <s v="P"/>
    <s v="P"/>
    <s v="85% 5% 10%"/>
    <s v="-"/>
    <n v="1"/>
    <n v="2"/>
    <n v="0"/>
    <n v="1"/>
    <s v="-"/>
    <s v="-"/>
    <s v="-"/>
    <s v="-"/>
    <n v="0"/>
    <s v="-"/>
    <n v="4"/>
    <n v="7"/>
    <s v="-"/>
    <n v="1"/>
    <n v="1"/>
    <n v="2"/>
    <n v="2"/>
    <n v="6"/>
    <n v="9"/>
  </r>
  <r>
    <x v="7"/>
    <x v="176"/>
    <d v="2026-07-28T00:00:00"/>
    <s v="3RD"/>
    <d v="1899-12-30T23:00:00"/>
    <n v="3"/>
    <x v="1"/>
    <s v="-"/>
    <s v="P"/>
    <s v="P"/>
    <s v="P"/>
    <s v="+"/>
    <s v="+"/>
    <n v="11.6"/>
    <s v="-"/>
    <s v="-"/>
    <s v="-"/>
    <s v="-"/>
    <s v="-"/>
    <s v="-"/>
    <s v="-"/>
    <s v="-"/>
    <s v="P"/>
    <s v="P"/>
    <s v="-"/>
    <s v="-"/>
    <n v="1"/>
    <n v="2"/>
    <n v="0"/>
    <s v="-"/>
    <s v="-"/>
    <s v="-"/>
    <s v="-"/>
    <s v="-"/>
    <s v="-"/>
    <s v="-"/>
    <n v="3"/>
    <n v="4"/>
    <s v="-"/>
    <n v="1"/>
    <n v="1"/>
    <n v="2"/>
    <n v="2"/>
    <n v="5"/>
    <n v="6"/>
  </r>
  <r>
    <x v="7"/>
    <x v="176"/>
    <d v="2026-07-28T00:00:00"/>
    <s v="3RD"/>
    <d v="1899-12-31T00:00:00"/>
    <n v="3"/>
    <x v="1"/>
    <s v="-"/>
    <s v="P"/>
    <s v="P"/>
    <s v="P"/>
    <s v="+"/>
    <s v="+"/>
    <n v="11.77"/>
    <s v="-"/>
    <s v="-"/>
    <s v="-"/>
    <s v="-"/>
    <s v="-"/>
    <s v="-"/>
    <s v="-"/>
    <s v="-"/>
    <s v="P"/>
    <s v="P"/>
    <s v="-"/>
    <s v="-"/>
    <n v="1"/>
    <n v="2"/>
    <n v="0"/>
    <s v="-"/>
    <s v="-"/>
    <s v="-"/>
    <s v="-"/>
    <s v="-"/>
    <s v="-"/>
    <s v="-"/>
    <n v="3"/>
    <n v="4"/>
    <s v="-"/>
    <n v="1"/>
    <n v="1"/>
    <n v="2"/>
    <n v="2"/>
    <n v="5"/>
    <n v="6"/>
  </r>
  <r>
    <x v="7"/>
    <x v="176"/>
    <d v="2026-07-28T00:00:00"/>
    <s v="3RD"/>
    <d v="1899-12-31T01:00:00"/>
    <n v="3"/>
    <x v="1"/>
    <s v="-"/>
    <s v="P"/>
    <s v="P"/>
    <s v="P"/>
    <s v="+"/>
    <s v="+"/>
    <n v="11.76"/>
    <s v="-"/>
    <s v="-"/>
    <s v="-"/>
    <s v="-"/>
    <s v="-"/>
    <s v="-"/>
    <s v="-"/>
    <s v="-"/>
    <s v="P"/>
    <s v="P"/>
    <s v="-"/>
    <s v="-"/>
    <n v="1"/>
    <n v="2"/>
    <n v="0"/>
    <s v="-"/>
    <s v="-"/>
    <s v="-"/>
    <s v="-"/>
    <s v="-"/>
    <s v="-"/>
    <s v="-"/>
    <n v="3"/>
    <n v="4"/>
    <s v="-"/>
    <n v="1"/>
    <n v="1"/>
    <n v="2"/>
    <n v="2"/>
    <n v="5"/>
    <n v="6"/>
  </r>
  <r>
    <x v="7"/>
    <x v="176"/>
    <d v="2026-07-28T00:00:00"/>
    <s v="3RD"/>
    <d v="1899-12-31T02:00:00"/>
    <n v="3"/>
    <x v="1"/>
    <s v="-"/>
    <s v="P"/>
    <s v="P"/>
    <s v="P"/>
    <s v="+"/>
    <s v="+"/>
    <n v="11.76"/>
    <s v="-"/>
    <s v="-"/>
    <s v="-"/>
    <s v="-"/>
    <s v="-"/>
    <s v="-"/>
    <s v="-"/>
    <s v="-"/>
    <s v="P"/>
    <s v="P"/>
    <s v="-"/>
    <s v="-"/>
    <n v="1"/>
    <n v="2"/>
    <n v="0"/>
    <s v="-"/>
    <s v="-"/>
    <s v="-"/>
    <s v="-"/>
    <s v="-"/>
    <s v="-"/>
    <s v="-"/>
    <n v="3"/>
    <n v="4"/>
    <s v="-"/>
    <n v="1"/>
    <n v="1"/>
    <n v="2"/>
    <n v="2"/>
    <n v="5"/>
    <n v="6"/>
  </r>
  <r>
    <x v="7"/>
    <x v="176"/>
    <d v="2026-07-28T00:00:00"/>
    <s v="3RD"/>
    <d v="1899-12-31T03:00:00"/>
    <n v="3"/>
    <x v="1"/>
    <s v="-"/>
    <s v="P"/>
    <s v="P"/>
    <s v="P"/>
    <s v="+"/>
    <s v="+"/>
    <n v="11.85"/>
    <s v="-"/>
    <s v="-"/>
    <s v="-"/>
    <s v="-"/>
    <s v="-"/>
    <s v="-"/>
    <s v="-"/>
    <s v="-"/>
    <s v="P"/>
    <s v="P"/>
    <s v="-"/>
    <s v="-"/>
    <n v="1"/>
    <n v="2"/>
    <n v="0"/>
    <s v="-"/>
    <s v="-"/>
    <s v="-"/>
    <s v="-"/>
    <s v="-"/>
    <s v="-"/>
    <s v="-"/>
    <n v="3"/>
    <n v="4"/>
    <s v="-"/>
    <n v="1"/>
    <n v="1"/>
    <n v="2"/>
    <n v="2"/>
    <n v="5"/>
    <n v="6"/>
  </r>
  <r>
    <x v="7"/>
    <x v="176"/>
    <d v="2026-07-28T00:00:00"/>
    <s v="3RD"/>
    <d v="1899-12-31T04:00:00"/>
    <n v="3"/>
    <x v="1"/>
    <s v="-"/>
    <s v="P"/>
    <s v="P"/>
    <s v="P"/>
    <s v="+"/>
    <s v="+"/>
    <n v="11.75"/>
    <s v="-"/>
    <s v="-"/>
    <s v="-"/>
    <s v="-"/>
    <s v="-"/>
    <s v="-"/>
    <s v="-"/>
    <s v="-"/>
    <s v="P"/>
    <s v="P"/>
    <s v="-"/>
    <s v="-"/>
    <n v="1"/>
    <n v="2"/>
    <n v="0"/>
    <s v="-"/>
    <s v="-"/>
    <s v="-"/>
    <s v="-"/>
    <s v="-"/>
    <s v="-"/>
    <s v="-"/>
    <n v="3"/>
    <n v="4"/>
    <s v="-"/>
    <n v="1"/>
    <n v="1"/>
    <n v="2"/>
    <n v="2"/>
    <n v="5"/>
    <n v="6"/>
  </r>
  <r>
    <x v="7"/>
    <x v="177"/>
    <d v="2026-08-11T00:00:00"/>
    <s v="1ST"/>
    <s v="07:00"/>
    <n v="1"/>
    <x v="22"/>
    <n v="0.01"/>
    <s v="P"/>
    <s v="P"/>
    <s v="P"/>
    <s v="-"/>
    <s v="-"/>
    <n v="10.91"/>
    <n v="9.9700000000000006"/>
    <n v="0.54"/>
    <n v="54.1"/>
    <s v="-"/>
    <s v="-"/>
    <n v="27.4"/>
    <s v="-"/>
    <s v="-"/>
    <s v="P"/>
    <s v="P"/>
    <n v="1"/>
    <n v="2"/>
    <n v="1"/>
    <n v="2"/>
    <n v="0"/>
    <n v="1"/>
    <n v="2"/>
    <n v="2"/>
    <s v="-"/>
    <s v="-"/>
    <n v="2"/>
    <s v="-"/>
    <n v="12"/>
    <n v="13"/>
    <s v="-"/>
    <n v="1"/>
    <n v="1"/>
    <n v="2"/>
    <n v="2"/>
    <n v="14"/>
    <n v="15"/>
  </r>
  <r>
    <x v="7"/>
    <x v="177"/>
    <d v="2026-08-11T00:00:00"/>
    <s v="1ST"/>
    <s v="12:00"/>
    <n v="1"/>
    <x v="22"/>
    <n v="0.01"/>
    <s v="P"/>
    <s v="P"/>
    <s v="P"/>
    <s v="-"/>
    <s v="-"/>
    <n v="10.89"/>
    <s v="-"/>
    <s v="-"/>
    <s v="-"/>
    <s v="-"/>
    <s v="-"/>
    <s v="-"/>
    <s v="-"/>
    <s v="-"/>
    <s v="P"/>
    <s v="P"/>
    <s v="-"/>
    <n v="2"/>
    <n v="1"/>
    <n v="2"/>
    <n v="0"/>
    <s v="-"/>
    <s v="-"/>
    <s v="-"/>
    <s v="-"/>
    <s v="-"/>
    <s v="-"/>
    <s v="-"/>
    <n v="5"/>
    <n v="6"/>
    <s v="-"/>
    <n v="1"/>
    <n v="1"/>
    <n v="2"/>
    <n v="2"/>
    <n v="7"/>
    <n v="8"/>
  </r>
  <r>
    <x v="7"/>
    <x v="177"/>
    <d v="1902-03-26T00:00:00"/>
    <s v="1ST"/>
    <s v="10:00"/>
    <n v="2"/>
    <x v="21"/>
    <n v="0.01"/>
    <s v="P"/>
    <s v="P"/>
    <s v="P"/>
    <s v="-"/>
    <s v="+"/>
    <n v="10.82"/>
    <s v="-"/>
    <s v="-"/>
    <s v="-"/>
    <s v="-"/>
    <s v="-"/>
    <s v="-"/>
    <s v="-"/>
    <s v="-"/>
    <s v="P"/>
    <s v="P"/>
    <s v="-"/>
    <n v="2"/>
    <n v="1"/>
    <n v="2"/>
    <n v="0"/>
    <s v="-"/>
    <s v="-"/>
    <s v="-"/>
    <s v="-"/>
    <s v="-"/>
    <s v="-"/>
    <s v="-"/>
    <n v="5"/>
    <n v="6"/>
    <s v="-"/>
    <n v="1"/>
    <n v="1"/>
    <n v="2"/>
    <n v="2"/>
    <n v="7"/>
    <n v="8"/>
  </r>
  <r>
    <x v="7"/>
    <x v="177"/>
    <d v="1899-12-30T00:00:00"/>
    <s v="1ST"/>
    <s v="12:00"/>
    <n v="2"/>
    <x v="21"/>
    <n v="0.01"/>
    <s v="P"/>
    <s v="P"/>
    <s v="P"/>
    <s v="-"/>
    <s v="+"/>
    <n v="10.83"/>
    <s v="-"/>
    <s v="-"/>
    <s v="-"/>
    <s v="-"/>
    <s v="-"/>
    <s v="-"/>
    <s v="-"/>
    <s v="-"/>
    <s v="P"/>
    <s v="P"/>
    <s v="-"/>
    <n v="2"/>
    <n v="1"/>
    <n v="2"/>
    <n v="0"/>
    <s v="-"/>
    <s v="-"/>
    <s v="-"/>
    <s v="-"/>
    <s v="-"/>
    <s v="-"/>
    <s v="-"/>
    <n v="5"/>
    <n v="6"/>
    <s v="-"/>
    <n v="1"/>
    <n v="1"/>
    <n v="2"/>
    <n v="2"/>
    <n v="7"/>
    <n v="8"/>
  </r>
  <r>
    <x v="7"/>
    <x v="177"/>
    <d v="2026-07-28T00:00:00"/>
    <s v="1ST"/>
    <s v="06:00"/>
    <n v="3"/>
    <x v="1"/>
    <n v="0.01"/>
    <s v="P"/>
    <s v="P"/>
    <s v="P"/>
    <s v="+"/>
    <s v="+"/>
    <n v="11.66"/>
    <n v="12.26"/>
    <n v="0.63"/>
    <n v="65.3"/>
    <s v="-"/>
    <s v="-"/>
    <n v="34.299999999999997"/>
    <s v="-"/>
    <s v="-"/>
    <s v="P"/>
    <s v="P"/>
    <s v="85% 15%"/>
    <n v="2"/>
    <n v="1"/>
    <n v="2"/>
    <n v="0"/>
    <n v="1"/>
    <n v="2"/>
    <n v="2"/>
    <s v="-"/>
    <s v="-"/>
    <n v="2"/>
    <s v="-"/>
    <n v="12"/>
    <n v="13"/>
    <s v="-"/>
    <n v="1"/>
    <n v="1"/>
    <n v="2"/>
    <n v="2"/>
    <n v="14"/>
    <n v="15"/>
  </r>
  <r>
    <x v="7"/>
    <x v="177"/>
    <d v="2026-07-28T00:00:00"/>
    <s v="1ST"/>
    <s v="07:00"/>
    <n v="3"/>
    <x v="1"/>
    <n v="0.01"/>
    <s v="P"/>
    <s v="P"/>
    <s v="P"/>
    <s v="+"/>
    <s v="+"/>
    <n v="11.55"/>
    <s v="-"/>
    <s v="-"/>
    <s v="-"/>
    <s v="-"/>
    <s v="-"/>
    <s v="-"/>
    <s v="-"/>
    <s v="-"/>
    <s v="P"/>
    <s v="P"/>
    <s v="-"/>
    <n v="2"/>
    <n v="1"/>
    <n v="2"/>
    <n v="0"/>
    <s v="-"/>
    <s v="-"/>
    <s v="-"/>
    <s v="-"/>
    <s v="-"/>
    <s v="-"/>
    <s v="-"/>
    <n v="5"/>
    <n v="6"/>
    <s v="-"/>
    <n v="1"/>
    <n v="1"/>
    <n v="2"/>
    <n v="2"/>
    <n v="7"/>
    <n v="8"/>
  </r>
  <r>
    <x v="7"/>
    <x v="177"/>
    <d v="2026-07-28T00:00:00"/>
    <s v="1ST"/>
    <s v="09:00"/>
    <n v="3"/>
    <x v="1"/>
    <n v="0.01"/>
    <s v="P"/>
    <s v="P"/>
    <s v="P"/>
    <s v="+"/>
    <s v="+"/>
    <n v="12.32"/>
    <s v="-"/>
    <s v="-"/>
    <s v="-"/>
    <s v="-"/>
    <s v="-"/>
    <s v="-"/>
    <s v="-"/>
    <s v="-"/>
    <s v="P"/>
    <s v="P"/>
    <s v="-"/>
    <n v="2"/>
    <n v="1"/>
    <n v="2"/>
    <n v="1"/>
    <s v="-"/>
    <s v="-"/>
    <s v="-"/>
    <s v="-"/>
    <s v="-"/>
    <s v="-"/>
    <s v="-"/>
    <n v="6"/>
    <n v="6"/>
    <s v="-"/>
    <n v="1"/>
    <n v="1"/>
    <n v="2"/>
    <n v="2"/>
    <n v="8"/>
    <n v="8"/>
  </r>
  <r>
    <x v="7"/>
    <x v="177"/>
    <d v="2026-07-29T00:00:00"/>
    <s v="1ST"/>
    <s v="10:00"/>
    <n v="3"/>
    <x v="0"/>
    <n v="0.02"/>
    <s v="P"/>
    <s v="P"/>
    <s v="P"/>
    <s v="+"/>
    <s v="+"/>
    <n v="12.32"/>
    <n v="12.12"/>
    <n v="0.51"/>
    <n v="65.3"/>
    <s v="-"/>
    <s v="-"/>
    <n v="33.799999999999997"/>
    <s v="-"/>
    <s v="-"/>
    <s v="P"/>
    <s v="P"/>
    <s v="85% 15%"/>
    <n v="2"/>
    <n v="1"/>
    <n v="2"/>
    <n v="1"/>
    <n v="1"/>
    <n v="2"/>
    <n v="2"/>
    <s v="-"/>
    <s v="-"/>
    <n v="2"/>
    <s v="-"/>
    <n v="13"/>
    <n v="13"/>
    <s v="-"/>
    <n v="1"/>
    <n v="1"/>
    <n v="2"/>
    <n v="2"/>
    <n v="15"/>
    <n v="15"/>
  </r>
  <r>
    <x v="7"/>
    <x v="177"/>
    <d v="2026-07-29T00:00:00"/>
    <s v="1ST"/>
    <s v="11:00"/>
    <n v="3"/>
    <x v="1"/>
    <n v="0.01"/>
    <s v="P"/>
    <s v="P"/>
    <s v="P"/>
    <s v="+"/>
    <s v="+"/>
    <n v="12.07"/>
    <s v="-"/>
    <s v="-"/>
    <s v="-"/>
    <s v="-"/>
    <s v="-"/>
    <s v="-"/>
    <s v="-"/>
    <s v="-"/>
    <s v="P"/>
    <s v="P"/>
    <s v="-"/>
    <n v="2"/>
    <n v="1"/>
    <n v="2"/>
    <n v="1"/>
    <s v="-"/>
    <s v="-"/>
    <s v="-"/>
    <s v="-"/>
    <s v="-"/>
    <s v="-"/>
    <s v="-"/>
    <n v="6"/>
    <n v="6"/>
    <s v="-"/>
    <n v="1"/>
    <n v="1"/>
    <n v="2"/>
    <n v="2"/>
    <n v="8"/>
    <n v="8"/>
  </r>
  <r>
    <x v="7"/>
    <x v="177"/>
    <d v="2026-07-29T00:00:00"/>
    <s v="1ST"/>
    <s v="12:00"/>
    <n v="3"/>
    <x v="1"/>
    <n v="0.01"/>
    <s v="P"/>
    <s v="P"/>
    <s v="P"/>
    <s v="+"/>
    <s v="+"/>
    <n v="11.98"/>
    <s v="-"/>
    <s v="-"/>
    <s v="-"/>
    <s v="-"/>
    <s v="-"/>
    <s v="-"/>
    <s v="-"/>
    <s v="-"/>
    <s v="P"/>
    <s v="P"/>
    <s v="-"/>
    <n v="2"/>
    <n v="1"/>
    <n v="2"/>
    <n v="0"/>
    <s v="-"/>
    <s v="-"/>
    <s v="-"/>
    <s v="-"/>
    <s v="-"/>
    <s v="-"/>
    <s v="-"/>
    <n v="5"/>
    <n v="6"/>
    <s v="-"/>
    <n v="1"/>
    <n v="1"/>
    <n v="2"/>
    <n v="2"/>
    <n v="7"/>
    <n v="8"/>
  </r>
  <r>
    <x v="7"/>
    <x v="177"/>
    <d v="2026-08-11T00:00:00"/>
    <s v="2ND"/>
    <d v="1899-12-30T14:00:00"/>
    <n v="1"/>
    <x v="22"/>
    <s v="-"/>
    <s v="P"/>
    <s v="P"/>
    <s v="P"/>
    <s v="-"/>
    <s v="-"/>
    <n v="10.65"/>
    <n v="9.89"/>
    <s v="-"/>
    <s v="-"/>
    <s v="-"/>
    <s v="-"/>
    <n v="27.1"/>
    <s v="-"/>
    <s v="-"/>
    <s v="P"/>
    <s v="P"/>
    <s v="-"/>
    <s v="-"/>
    <n v="1"/>
    <n v="2"/>
    <n v="0"/>
    <n v="1"/>
    <s v="-"/>
    <s v="-"/>
    <s v="-"/>
    <s v="-"/>
    <n v="2"/>
    <s v="-"/>
    <n v="6"/>
    <n v="7"/>
    <s v="-"/>
    <n v="1"/>
    <n v="1"/>
    <n v="2"/>
    <n v="2"/>
    <n v="8"/>
    <n v="9"/>
  </r>
  <r>
    <x v="7"/>
    <x v="177"/>
    <d v="2026-08-11T00:00:00"/>
    <s v="2ND"/>
    <d v="1899-12-30T15:00:00"/>
    <n v="1"/>
    <x v="22"/>
    <s v="-"/>
    <s v="P"/>
    <s v="P"/>
    <s v="P"/>
    <s v="-"/>
    <s v="-"/>
    <n v="10.89"/>
    <n v="9.89"/>
    <s v="-"/>
    <s v="-"/>
    <s v="-"/>
    <s v="-"/>
    <n v="27.1"/>
    <s v="-"/>
    <s v="-"/>
    <s v="P"/>
    <s v="P"/>
    <s v="-"/>
    <s v="-"/>
    <n v="1"/>
    <n v="2"/>
    <n v="0"/>
    <n v="1"/>
    <s v="-"/>
    <s v="-"/>
    <s v="-"/>
    <s v="-"/>
    <n v="2"/>
    <s v="-"/>
    <n v="6"/>
    <n v="7"/>
    <s v="-"/>
    <n v="1"/>
    <n v="1"/>
    <n v="2"/>
    <n v="2"/>
    <n v="8"/>
    <n v="9"/>
  </r>
  <r>
    <x v="7"/>
    <x v="177"/>
    <d v="2026-08-11T00:00:00"/>
    <s v="2ND"/>
    <d v="1899-12-30T16:00:00"/>
    <n v="1"/>
    <x v="22"/>
    <s v="-"/>
    <s v="P"/>
    <s v="P"/>
    <s v="P"/>
    <s v="-"/>
    <s v="-"/>
    <n v="10.87"/>
    <n v="9.89"/>
    <s v="-"/>
    <s v="-"/>
    <s v="-"/>
    <s v="-"/>
    <n v="27.1"/>
    <s v="-"/>
    <s v="-"/>
    <s v="P"/>
    <s v="P"/>
    <s v="-"/>
    <s v="-"/>
    <n v="1"/>
    <n v="2"/>
    <n v="0"/>
    <n v="1"/>
    <s v="-"/>
    <s v="-"/>
    <s v="-"/>
    <s v="-"/>
    <n v="2"/>
    <s v="-"/>
    <n v="6"/>
    <n v="7"/>
    <s v="-"/>
    <n v="1"/>
    <n v="1"/>
    <n v="2"/>
    <n v="2"/>
    <n v="8"/>
    <n v="9"/>
  </r>
  <r>
    <x v="7"/>
    <x v="177"/>
    <d v="2026-08-11T00:00:00"/>
    <s v="2ND"/>
    <d v="1899-12-30T17:00:00"/>
    <n v="1"/>
    <x v="22"/>
    <s v="-"/>
    <s v="P"/>
    <s v="P"/>
    <s v="P"/>
    <s v="-"/>
    <s v="-"/>
    <n v="10.99"/>
    <n v="9.89"/>
    <s v="-"/>
    <s v="-"/>
    <s v="-"/>
    <s v="-"/>
    <n v="27.1"/>
    <s v="-"/>
    <s v="-"/>
    <s v="P"/>
    <s v="P"/>
    <s v="-"/>
    <s v="-"/>
    <n v="1"/>
    <n v="2"/>
    <n v="0"/>
    <n v="1"/>
    <s v="-"/>
    <s v="-"/>
    <s v="-"/>
    <s v="-"/>
    <n v="2"/>
    <s v="-"/>
    <n v="6"/>
    <n v="7"/>
    <s v="-"/>
    <n v="1"/>
    <n v="1"/>
    <n v="2"/>
    <n v="2"/>
    <n v="8"/>
    <n v="9"/>
  </r>
  <r>
    <x v="7"/>
    <x v="177"/>
    <d v="1902-03-26T00:00:00"/>
    <s v="2ND"/>
    <d v="1899-12-30T14:00:00"/>
    <n v="2"/>
    <x v="21"/>
    <s v="-"/>
    <s v="P"/>
    <s v="P"/>
    <s v="P"/>
    <s v="-"/>
    <s v="+"/>
    <n v="11.1"/>
    <n v="9.86"/>
    <s v="-"/>
    <s v="-"/>
    <s v="-"/>
    <s v="-"/>
    <n v="26.9"/>
    <s v="-"/>
    <s v="-"/>
    <s v="P"/>
    <s v="P"/>
    <s v="-"/>
    <s v="-"/>
    <n v="1"/>
    <n v="2"/>
    <n v="1"/>
    <s v="-"/>
    <s v="-"/>
    <s v="-"/>
    <s v="-"/>
    <s v="-"/>
    <n v="2"/>
    <s v="-"/>
    <n v="6"/>
    <n v="6"/>
    <s v="-"/>
    <n v="1"/>
    <n v="1"/>
    <n v="2"/>
    <n v="2"/>
    <n v="8"/>
    <n v="8"/>
  </r>
  <r>
    <x v="7"/>
    <x v="177"/>
    <d v="1902-03-26T00:00:00"/>
    <s v="2ND"/>
    <d v="1899-12-30T16:00:00"/>
    <n v="2"/>
    <x v="4"/>
    <s v="-"/>
    <s v="P"/>
    <s v="P"/>
    <s v="P"/>
    <s v="-"/>
    <s v="+"/>
    <n v="10.63"/>
    <n v="9.44"/>
    <n v="0.56000000000000005"/>
    <n v="55"/>
    <s v="-"/>
    <s v="-"/>
    <n v="25.8"/>
    <s v="-"/>
    <s v="-"/>
    <s v="P"/>
    <s v="P"/>
    <s v="-"/>
    <s v="-"/>
    <n v="1"/>
    <n v="2"/>
    <n v="0"/>
    <n v="1"/>
    <n v="0"/>
    <n v="2"/>
    <s v="-"/>
    <s v="-"/>
    <n v="2"/>
    <s v="-"/>
    <n v="8"/>
    <n v="11"/>
    <s v="-"/>
    <n v="1"/>
    <n v="1"/>
    <n v="2"/>
    <n v="2"/>
    <n v="10"/>
    <n v="13"/>
  </r>
  <r>
    <x v="7"/>
    <x v="177"/>
    <d v="1902-03-26T00:00:00"/>
    <s v="2ND"/>
    <d v="1899-12-30T17:00:00"/>
    <n v="2"/>
    <x v="4"/>
    <s v="-"/>
    <s v="P"/>
    <s v="P"/>
    <s v="P"/>
    <s v="-"/>
    <s v="+"/>
    <n v="10.5"/>
    <n v="9.44"/>
    <n v="0.56000000000000005"/>
    <n v="55"/>
    <s v="-"/>
    <s v="-"/>
    <n v="25.8"/>
    <s v="-"/>
    <s v="-"/>
    <s v="P"/>
    <s v="P"/>
    <s v="-"/>
    <s v="-"/>
    <n v="1"/>
    <n v="2"/>
    <n v="0"/>
    <n v="1"/>
    <n v="0"/>
    <n v="2"/>
    <s v="-"/>
    <s v="-"/>
    <n v="2"/>
    <s v="-"/>
    <n v="8"/>
    <n v="11"/>
    <s v="-"/>
    <n v="1"/>
    <n v="1"/>
    <n v="2"/>
    <n v="2"/>
    <n v="10"/>
    <n v="13"/>
  </r>
  <r>
    <x v="7"/>
    <x v="177"/>
    <d v="1902-03-26T00:00:00"/>
    <s v="2ND"/>
    <d v="1899-12-30T18:00:00"/>
    <n v="2"/>
    <x v="4"/>
    <s v="-"/>
    <s v="P"/>
    <s v="P"/>
    <s v="P"/>
    <s v="-"/>
    <s v="+"/>
    <n v="10.4"/>
    <n v="9.44"/>
    <n v="0.56000000000000005"/>
    <n v="55"/>
    <s v="-"/>
    <s v="-"/>
    <n v="25.8"/>
    <s v="-"/>
    <s v="-"/>
    <s v="P"/>
    <s v="P"/>
    <s v="-"/>
    <s v="-"/>
    <n v="1"/>
    <n v="2"/>
    <n v="0"/>
    <n v="1"/>
    <n v="0"/>
    <n v="2"/>
    <s v="-"/>
    <s v="-"/>
    <n v="2"/>
    <s v="-"/>
    <n v="8"/>
    <n v="11"/>
    <s v="-"/>
    <n v="1"/>
    <n v="1"/>
    <n v="2"/>
    <n v="2"/>
    <n v="10"/>
    <n v="13"/>
  </r>
  <r>
    <x v="7"/>
    <x v="177"/>
    <d v="1902-03-26T00:00:00"/>
    <s v="2ND"/>
    <d v="1899-12-30T19:00:00"/>
    <n v="2"/>
    <x v="4"/>
    <s v="-"/>
    <s v="P"/>
    <s v="P"/>
    <s v="P"/>
    <s v="-"/>
    <s v="+"/>
    <n v="10.48"/>
    <n v="9.44"/>
    <n v="0.56000000000000005"/>
    <n v="55"/>
    <s v="-"/>
    <s v="-"/>
    <n v="25.8"/>
    <s v="-"/>
    <s v="-"/>
    <s v="P"/>
    <s v="P"/>
    <s v="-"/>
    <s v="-"/>
    <n v="1"/>
    <n v="2"/>
    <n v="0"/>
    <n v="1"/>
    <n v="0"/>
    <n v="2"/>
    <s v="-"/>
    <s v="-"/>
    <n v="2"/>
    <s v="-"/>
    <n v="8"/>
    <n v="11"/>
    <s v="-"/>
    <n v="1"/>
    <n v="1"/>
    <n v="2"/>
    <n v="2"/>
    <n v="10"/>
    <n v="13"/>
  </r>
  <r>
    <x v="7"/>
    <x v="177"/>
    <d v="2026-07-29T00:00:00"/>
    <s v="2ND"/>
    <d v="1899-12-30T15:00:00"/>
    <n v="3"/>
    <x v="1"/>
    <n v="0.02"/>
    <s v="P"/>
    <s v="P"/>
    <s v="P"/>
    <s v="+"/>
    <s v="+"/>
    <n v="12.09"/>
    <n v="11.99"/>
    <s v="-"/>
    <s v="-"/>
    <s v="-"/>
    <s v="-"/>
    <n v="33.4"/>
    <s v="-"/>
    <s v="-"/>
    <s v="P"/>
    <s v="P"/>
    <s v="-"/>
    <n v="2"/>
    <n v="1"/>
    <n v="2"/>
    <n v="1"/>
    <n v="0"/>
    <s v="-"/>
    <s v="-"/>
    <s v="-"/>
    <s v="-"/>
    <n v="2"/>
    <s v="-"/>
    <n v="8"/>
    <n v="9"/>
    <s v="-"/>
    <n v="1"/>
    <n v="1"/>
    <n v="2"/>
    <n v="2"/>
    <n v="10"/>
    <n v="11"/>
  </r>
  <r>
    <x v="7"/>
    <x v="177"/>
    <d v="2026-07-29T00:00:00"/>
    <s v="2ND"/>
    <d v="1899-12-30T16:00:00"/>
    <n v="3"/>
    <x v="1"/>
    <n v="0.01"/>
    <s v="P"/>
    <s v="P"/>
    <s v="P"/>
    <s v="+"/>
    <s v="+"/>
    <n v="11.83"/>
    <n v="11.99"/>
    <s v="-"/>
    <s v="-"/>
    <s v="-"/>
    <s v="-"/>
    <n v="33.4"/>
    <s v="-"/>
    <s v="-"/>
    <s v="P"/>
    <s v="P"/>
    <s v="-"/>
    <n v="2"/>
    <n v="1"/>
    <n v="2"/>
    <n v="0"/>
    <n v="0"/>
    <s v="-"/>
    <s v="-"/>
    <s v="-"/>
    <s v="-"/>
    <n v="2"/>
    <s v="-"/>
    <n v="7"/>
    <n v="9"/>
    <s v="-"/>
    <n v="1"/>
    <n v="1"/>
    <n v="2"/>
    <n v="2"/>
    <n v="9"/>
    <n v="11"/>
  </r>
  <r>
    <x v="7"/>
    <x v="177"/>
    <d v="2026-07-29T00:00:00"/>
    <s v="2ND"/>
    <d v="1899-12-30T17:00:00"/>
    <n v="3"/>
    <x v="1"/>
    <n v="0.01"/>
    <s v="P"/>
    <s v="P"/>
    <s v="P"/>
    <s v="+"/>
    <s v="+"/>
    <n v="12.03"/>
    <n v="11.99"/>
    <s v="-"/>
    <s v="-"/>
    <s v="-"/>
    <s v="-"/>
    <n v="33.4"/>
    <s v="-"/>
    <s v="-"/>
    <s v="P"/>
    <s v="P"/>
    <s v="-"/>
    <n v="2"/>
    <n v="1"/>
    <n v="2"/>
    <n v="1"/>
    <n v="0"/>
    <s v="-"/>
    <s v="-"/>
    <s v="-"/>
    <s v="-"/>
    <n v="2"/>
    <s v="-"/>
    <n v="8"/>
    <n v="9"/>
    <s v="-"/>
    <n v="1"/>
    <n v="1"/>
    <n v="2"/>
    <n v="2"/>
    <n v="10"/>
    <n v="11"/>
  </r>
  <r>
    <x v="7"/>
    <x v="177"/>
    <d v="2026-07-29T00:00:00"/>
    <s v="2ND"/>
    <d v="1899-12-30T18:00:00"/>
    <n v="3"/>
    <x v="1"/>
    <n v="0.01"/>
    <s v="P"/>
    <s v="P"/>
    <s v="P"/>
    <s v="+"/>
    <s v="+"/>
    <n v="12.03"/>
    <n v="11.99"/>
    <s v="-"/>
    <s v="-"/>
    <s v="-"/>
    <s v="-"/>
    <n v="33.4"/>
    <s v="-"/>
    <s v="-"/>
    <s v="P"/>
    <s v="P"/>
    <s v="-"/>
    <n v="2"/>
    <n v="1"/>
    <n v="2"/>
    <n v="1"/>
    <n v="0"/>
    <s v="-"/>
    <s v="-"/>
    <s v="-"/>
    <s v="-"/>
    <n v="2"/>
    <s v="-"/>
    <n v="8"/>
    <n v="9"/>
    <s v="-"/>
    <n v="1"/>
    <n v="1"/>
    <n v="2"/>
    <n v="2"/>
    <n v="10"/>
    <n v="11"/>
  </r>
  <r>
    <x v="7"/>
    <x v="177"/>
    <d v="2026-07-29T00:00:00"/>
    <s v="2ND"/>
    <d v="1899-12-30T19:00:00"/>
    <n v="3"/>
    <x v="1"/>
    <n v="0.01"/>
    <s v="P"/>
    <s v="P"/>
    <s v="P"/>
    <s v="+"/>
    <s v="+"/>
    <n v="12.11"/>
    <n v="11.99"/>
    <s v="-"/>
    <s v="-"/>
    <s v="-"/>
    <s v="-"/>
    <n v="33.4"/>
    <s v="-"/>
    <s v="-"/>
    <s v="P"/>
    <s v="P"/>
    <s v="-"/>
    <n v="2"/>
    <n v="1"/>
    <n v="2"/>
    <n v="1"/>
    <n v="0"/>
    <s v="-"/>
    <s v="-"/>
    <s v="-"/>
    <s v="-"/>
    <n v="2"/>
    <s v="-"/>
    <n v="8"/>
    <n v="9"/>
    <s v="-"/>
    <n v="1"/>
    <n v="1"/>
    <n v="2"/>
    <n v="2"/>
    <n v="10"/>
    <n v="11"/>
  </r>
  <r>
    <x v="7"/>
    <x v="177"/>
    <d v="2026-07-29T00:00:00"/>
    <s v="2ND"/>
    <d v="1899-12-30T20:00:00"/>
    <n v="3"/>
    <x v="1"/>
    <n v="0.01"/>
    <s v="P"/>
    <s v="P"/>
    <s v="P"/>
    <s v="+"/>
    <s v="+"/>
    <n v="11.91"/>
    <n v="11.99"/>
    <s v="-"/>
    <s v="-"/>
    <s v="-"/>
    <s v="-"/>
    <n v="33.4"/>
    <s v="-"/>
    <s v="-"/>
    <s v="P"/>
    <s v="P"/>
    <s v="-"/>
    <n v="2"/>
    <n v="1"/>
    <n v="2"/>
    <n v="0"/>
    <n v="0"/>
    <s v="-"/>
    <s v="-"/>
    <s v="-"/>
    <s v="-"/>
    <n v="2"/>
    <s v="-"/>
    <n v="7"/>
    <n v="9"/>
    <s v="-"/>
    <n v="1"/>
    <n v="1"/>
    <n v="2"/>
    <n v="2"/>
    <n v="9"/>
    <n v="11"/>
  </r>
  <r>
    <x v="7"/>
    <x v="177"/>
    <d v="2026-07-29T00:00:00"/>
    <s v="3RD"/>
    <d v="1899-12-30T22:00:00"/>
    <n v="3"/>
    <x v="1"/>
    <s v="-"/>
    <s v="P"/>
    <s v="P"/>
    <s v="P"/>
    <s v="+"/>
    <s v="+"/>
    <n v="11.9"/>
    <n v="11.78"/>
    <s v="-"/>
    <s v="-"/>
    <s v="-"/>
    <s v="-"/>
    <n v="34.5"/>
    <s v="-"/>
    <s v="-"/>
    <s v="P"/>
    <s v="P"/>
    <s v="-"/>
    <s v="-"/>
    <n v="1"/>
    <n v="2"/>
    <n v="0"/>
    <n v="0"/>
    <s v="-"/>
    <s v="-"/>
    <s v="-"/>
    <s v="-"/>
    <n v="2"/>
    <s v="-"/>
    <n v="5"/>
    <n v="7"/>
    <s v="-"/>
    <n v="1"/>
    <n v="1"/>
    <n v="2"/>
    <n v="2"/>
    <n v="7"/>
    <n v="9"/>
  </r>
  <r>
    <x v="7"/>
    <x v="177"/>
    <d v="2026-07-29T00:00:00"/>
    <s v="3RD"/>
    <d v="1899-12-30T23:00:00"/>
    <n v="3"/>
    <x v="1"/>
    <s v="-"/>
    <s v="P"/>
    <s v="P"/>
    <s v="P"/>
    <s v="+"/>
    <s v="+"/>
    <n v="11.92"/>
    <n v="11.78"/>
    <s v="-"/>
    <s v="-"/>
    <s v="-"/>
    <s v="-"/>
    <n v="34.5"/>
    <s v="-"/>
    <s v="-"/>
    <s v="P"/>
    <s v="P"/>
    <s v="-"/>
    <s v="-"/>
    <n v="1"/>
    <n v="2"/>
    <n v="0"/>
    <n v="0"/>
    <s v="-"/>
    <s v="-"/>
    <s v="-"/>
    <s v="-"/>
    <n v="2"/>
    <s v="-"/>
    <n v="5"/>
    <n v="7"/>
    <s v="-"/>
    <n v="1"/>
    <n v="1"/>
    <n v="2"/>
    <n v="2"/>
    <n v="7"/>
    <n v="9"/>
  </r>
  <r>
    <x v="7"/>
    <x v="177"/>
    <d v="2026-07-29T00:00:00"/>
    <s v="3RD"/>
    <d v="1899-12-31T00:00:00"/>
    <n v="3"/>
    <x v="1"/>
    <s v="-"/>
    <s v="P"/>
    <s v="P"/>
    <s v="P"/>
    <s v="+"/>
    <s v="+"/>
    <n v="11.92"/>
    <n v="11.78"/>
    <s v="-"/>
    <s v="-"/>
    <s v="-"/>
    <s v="-"/>
    <n v="34.5"/>
    <s v="-"/>
    <s v="-"/>
    <s v="P"/>
    <s v="P"/>
    <s v="-"/>
    <s v="-"/>
    <n v="1"/>
    <n v="2"/>
    <n v="0"/>
    <n v="0"/>
    <s v="-"/>
    <s v="-"/>
    <s v="-"/>
    <s v="-"/>
    <n v="2"/>
    <s v="-"/>
    <n v="5"/>
    <n v="7"/>
    <s v="-"/>
    <n v="1"/>
    <n v="1"/>
    <n v="2"/>
    <n v="2"/>
    <n v="7"/>
    <n v="9"/>
  </r>
  <r>
    <x v="7"/>
    <x v="177"/>
    <d v="2026-07-29T00:00:00"/>
    <s v="3RD"/>
    <d v="1899-12-31T01:00:00"/>
    <n v="3"/>
    <x v="1"/>
    <s v="-"/>
    <s v="P"/>
    <s v="P"/>
    <s v="P"/>
    <s v="+"/>
    <s v="+"/>
    <n v="11.9"/>
    <n v="11.78"/>
    <s v="-"/>
    <s v="-"/>
    <s v="-"/>
    <s v="-"/>
    <n v="34.5"/>
    <s v="-"/>
    <s v="-"/>
    <s v="P"/>
    <s v="P"/>
    <s v="-"/>
    <s v="-"/>
    <n v="1"/>
    <n v="2"/>
    <n v="0"/>
    <n v="0"/>
    <s v="-"/>
    <s v="-"/>
    <s v="-"/>
    <s v="-"/>
    <n v="2"/>
    <s v="-"/>
    <n v="5"/>
    <n v="7"/>
    <s v="-"/>
    <n v="1"/>
    <n v="1"/>
    <n v="2"/>
    <n v="2"/>
    <n v="7"/>
    <n v="9"/>
  </r>
  <r>
    <x v="7"/>
    <x v="177"/>
    <d v="2026-07-29T00:00:00"/>
    <s v="3RD"/>
    <d v="1899-12-31T02:00:00"/>
    <n v="3"/>
    <x v="1"/>
    <s v="-"/>
    <s v="P"/>
    <s v="P"/>
    <s v="P"/>
    <s v="+"/>
    <s v="+"/>
    <n v="11.9"/>
    <n v="11.78"/>
    <s v="-"/>
    <s v="-"/>
    <s v="-"/>
    <s v="-"/>
    <n v="34.5"/>
    <s v="-"/>
    <s v="-"/>
    <s v="P"/>
    <s v="P"/>
    <s v="-"/>
    <s v="-"/>
    <n v="1"/>
    <n v="2"/>
    <n v="0"/>
    <n v="0"/>
    <s v="-"/>
    <s v="-"/>
    <s v="-"/>
    <s v="-"/>
    <n v="2"/>
    <s v="-"/>
    <n v="5"/>
    <n v="7"/>
    <s v="-"/>
    <n v="1"/>
    <n v="1"/>
    <n v="2"/>
    <n v="2"/>
    <n v="7"/>
    <n v="9"/>
  </r>
  <r>
    <x v="7"/>
    <x v="178"/>
    <d v="2026-07-29T00:00:00"/>
    <s v="1ST"/>
    <s v="09:00"/>
    <n v="3"/>
    <x v="1"/>
    <s v="-"/>
    <s v="P"/>
    <s v="P"/>
    <s v="P"/>
    <s v="+"/>
    <s v="+"/>
    <n v="12.97"/>
    <n v="12.29"/>
    <s v="-"/>
    <n v="65.2"/>
    <s v="-"/>
    <s v="-"/>
    <n v="34.299999999999997"/>
    <s v="-"/>
    <s v="-"/>
    <s v="P"/>
    <s v="P"/>
    <s v="95% 5%"/>
    <s v="-"/>
    <n v="1"/>
    <n v="2"/>
    <n v="1"/>
    <n v="1"/>
    <s v="-"/>
    <n v="2"/>
    <s v="-"/>
    <s v="-"/>
    <n v="2"/>
    <s v="-"/>
    <n v="9"/>
    <n v="9"/>
    <s v="-"/>
    <n v="1"/>
    <n v="1"/>
    <n v="2"/>
    <n v="2"/>
    <n v="11"/>
    <n v="11"/>
  </r>
  <r>
    <x v="7"/>
    <x v="178"/>
    <d v="2026-07-29T00:00:00"/>
    <s v="1ST"/>
    <s v="10:00"/>
    <n v="3"/>
    <x v="1"/>
    <s v="-"/>
    <s v="P"/>
    <s v="P"/>
    <s v="P"/>
    <s v="+"/>
    <s v="+"/>
    <n v="12.97"/>
    <s v="-"/>
    <s v="-"/>
    <s v="-"/>
    <s v="-"/>
    <s v="-"/>
    <s v="-"/>
    <s v="-"/>
    <s v="-"/>
    <s v="P"/>
    <s v="P"/>
    <s v="-"/>
    <s v="-"/>
    <n v="1"/>
    <n v="2"/>
    <n v="1"/>
    <s v="-"/>
    <s v="-"/>
    <s v="-"/>
    <s v="-"/>
    <s v="-"/>
    <s v="-"/>
    <s v="-"/>
    <n v="4"/>
    <n v="4"/>
    <s v="-"/>
    <n v="1"/>
    <n v="1"/>
    <n v="2"/>
    <n v="2"/>
    <n v="6"/>
    <n v="6"/>
  </r>
  <r>
    <x v="7"/>
    <x v="178"/>
    <d v="2026-07-29T00:00:00"/>
    <s v="1ST"/>
    <s v="12:00"/>
    <n v="3"/>
    <x v="1"/>
    <s v="-"/>
    <s v="P"/>
    <s v="P"/>
    <s v="P"/>
    <s v="+"/>
    <s v="+"/>
    <n v="12.24"/>
    <s v="-"/>
    <s v="-"/>
    <s v="-"/>
    <s v="-"/>
    <s v="-"/>
    <s v="-"/>
    <s v="-"/>
    <s v="-"/>
    <s v="P"/>
    <s v="P"/>
    <s v="-"/>
    <s v="-"/>
    <n v="1"/>
    <n v="2"/>
    <n v="1"/>
    <s v="-"/>
    <s v="-"/>
    <s v="-"/>
    <s v="-"/>
    <s v="-"/>
    <s v="-"/>
    <s v="-"/>
    <n v="4"/>
    <n v="4"/>
    <s v="-"/>
    <n v="1"/>
    <n v="1"/>
    <n v="2"/>
    <n v="2"/>
    <n v="6"/>
    <n v="6"/>
  </r>
  <r>
    <x v="7"/>
    <x v="178"/>
    <d v="2026-07-31T00:00:00"/>
    <s v="1ST"/>
    <s v="13:00"/>
    <n v="3"/>
    <x v="1"/>
    <n v="0.01"/>
    <s v="P"/>
    <s v="P"/>
    <s v="P"/>
    <s v="+"/>
    <s v="+"/>
    <n v="12.29"/>
    <n v="12.14"/>
    <s v="-"/>
    <s v="-"/>
    <s v="-"/>
    <s v="-"/>
    <n v="33.799999999999997"/>
    <s v="-"/>
    <s v="-"/>
    <s v="P"/>
    <s v="P"/>
    <s v="-"/>
    <n v="2"/>
    <n v="1"/>
    <n v="2"/>
    <n v="1"/>
    <n v="1"/>
    <s v="-"/>
    <s v="-"/>
    <s v="-"/>
    <s v="-"/>
    <n v="2"/>
    <s v="-"/>
    <n v="9"/>
    <n v="9"/>
    <s v="-"/>
    <n v="1"/>
    <n v="1"/>
    <n v="2"/>
    <n v="2"/>
    <n v="11"/>
    <n v="11"/>
  </r>
  <r>
    <x v="7"/>
    <x v="178"/>
    <d v="2026-08-12T00:00:00"/>
    <s v="2ND"/>
    <d v="1899-12-30T15:00:00"/>
    <n v="1"/>
    <x v="22"/>
    <s v="-"/>
    <s v="P"/>
    <s v="P"/>
    <s v="P"/>
    <s v="-"/>
    <s v="-"/>
    <n v="12.16"/>
    <n v="9.42"/>
    <n v="0.53"/>
    <n v="54.3"/>
    <s v="-"/>
    <s v="-"/>
    <n v="25.6"/>
    <s v="-"/>
    <s v="-"/>
    <s v="P"/>
    <s v="P"/>
    <n v="1"/>
    <s v="-"/>
    <n v="1"/>
    <n v="2"/>
    <n v="1"/>
    <n v="1"/>
    <n v="2"/>
    <n v="2"/>
    <s v="-"/>
    <s v="-"/>
    <n v="2"/>
    <s v="-"/>
    <n v="11"/>
    <n v="11"/>
    <s v="-"/>
    <n v="1"/>
    <n v="1"/>
    <n v="2"/>
    <n v="2"/>
    <n v="13"/>
    <n v="13"/>
  </r>
  <r>
    <x v="7"/>
    <x v="178"/>
    <d v="2026-08-12T00:00:00"/>
    <s v="2ND"/>
    <d v="1899-12-30T16:00:00"/>
    <n v="1"/>
    <x v="22"/>
    <s v="-"/>
    <s v="P"/>
    <s v="P"/>
    <s v="P"/>
    <s v="-"/>
    <s v="-"/>
    <n v="11.53"/>
    <s v="-"/>
    <s v="-"/>
    <s v="-"/>
    <s v="-"/>
    <s v="-"/>
    <s v="-"/>
    <s v="-"/>
    <s v="-"/>
    <s v="P"/>
    <s v="P"/>
    <s v="-"/>
    <s v="-"/>
    <n v="1"/>
    <n v="2"/>
    <n v="1"/>
    <s v="-"/>
    <s v="-"/>
    <s v="-"/>
    <s v="-"/>
    <s v="-"/>
    <s v="-"/>
    <s v="-"/>
    <n v="4"/>
    <n v="4"/>
    <s v="-"/>
    <n v="1"/>
    <n v="1"/>
    <n v="2"/>
    <n v="2"/>
    <n v="6"/>
    <n v="6"/>
  </r>
  <r>
    <x v="7"/>
    <x v="178"/>
    <d v="2026-08-12T00:00:00"/>
    <s v="2ND"/>
    <d v="1899-12-30T18:00:00"/>
    <n v="1"/>
    <x v="22"/>
    <n v="0.01"/>
    <s v="P"/>
    <s v="P"/>
    <s v="P"/>
    <s v="-"/>
    <s v="-"/>
    <n v="11.88"/>
    <s v="-"/>
    <s v="-"/>
    <s v="-"/>
    <s v="-"/>
    <s v="-"/>
    <s v="-"/>
    <s v="-"/>
    <s v="-"/>
    <s v="P"/>
    <s v="P"/>
    <s v="-"/>
    <n v="2"/>
    <n v="1"/>
    <n v="2"/>
    <n v="1"/>
    <s v="-"/>
    <s v="-"/>
    <s v="-"/>
    <s v="-"/>
    <s v="-"/>
    <s v="-"/>
    <s v="-"/>
    <n v="6"/>
    <n v="6"/>
    <s v="-"/>
    <n v="1"/>
    <n v="1"/>
    <n v="2"/>
    <n v="2"/>
    <n v="8"/>
    <n v="8"/>
  </r>
  <r>
    <x v="7"/>
    <x v="178"/>
    <d v="2026-08-12T00:00:00"/>
    <s v="2ND"/>
    <d v="1899-12-30T20:00:00"/>
    <n v="1"/>
    <x v="22"/>
    <s v="-"/>
    <s v="P"/>
    <s v="P"/>
    <s v="P"/>
    <s v="-"/>
    <s v="-"/>
    <n v="11.93"/>
    <s v="-"/>
    <s v="-"/>
    <s v="-"/>
    <s v="-"/>
    <s v="-"/>
    <s v="-"/>
    <s v="-"/>
    <s v="-"/>
    <s v="P"/>
    <s v="P"/>
    <s v="-"/>
    <s v="-"/>
    <n v="1"/>
    <n v="2"/>
    <n v="1"/>
    <s v="-"/>
    <s v="-"/>
    <s v="-"/>
    <s v="-"/>
    <s v="-"/>
    <s v="-"/>
    <s v="-"/>
    <n v="4"/>
    <n v="4"/>
    <s v="-"/>
    <n v="1"/>
    <n v="1"/>
    <n v="2"/>
    <n v="2"/>
    <n v="6"/>
    <n v="6"/>
  </r>
  <r>
    <x v="7"/>
    <x v="178"/>
    <d v="2026-08-12T00:00:00"/>
    <s v="2ND"/>
    <d v="1899-12-30T21:00:00"/>
    <n v="1"/>
    <x v="22"/>
    <n v="0.01"/>
    <s v="P"/>
    <s v="P"/>
    <s v="P"/>
    <s v="-"/>
    <s v="-"/>
    <n v="12.06"/>
    <s v="-"/>
    <s v="-"/>
    <s v="-"/>
    <s v="-"/>
    <s v="-"/>
    <s v="-"/>
    <s v="-"/>
    <s v="-"/>
    <s v="P"/>
    <s v="P"/>
    <s v="-"/>
    <n v="2"/>
    <n v="1"/>
    <n v="2"/>
    <n v="1"/>
    <s v="-"/>
    <s v="-"/>
    <s v="-"/>
    <s v="-"/>
    <s v="-"/>
    <s v="-"/>
    <s v="-"/>
    <n v="6"/>
    <n v="6"/>
    <s v="-"/>
    <n v="1"/>
    <n v="1"/>
    <n v="2"/>
    <n v="2"/>
    <n v="8"/>
    <n v="8"/>
  </r>
  <r>
    <x v="7"/>
    <x v="178"/>
    <d v="1902-04-01T00:00:00"/>
    <s v="2ND"/>
    <d v="1899-12-30T19:00:00"/>
    <n v="2"/>
    <x v="22"/>
    <n v="0.01"/>
    <s v="P"/>
    <s v="P"/>
    <s v="P"/>
    <s v="-"/>
    <s v="-"/>
    <n v="11.46"/>
    <n v="9.66"/>
    <s v="-"/>
    <n v="55"/>
    <s v="-"/>
    <s v="-"/>
    <n v="26.5"/>
    <s v="-"/>
    <s v="-"/>
    <s v="P"/>
    <s v="P"/>
    <s v="-"/>
    <n v="2"/>
    <n v="1"/>
    <n v="2"/>
    <n v="1"/>
    <n v="1"/>
    <s v="-"/>
    <n v="2"/>
    <s v="-"/>
    <s v="-"/>
    <n v="2"/>
    <s v="-"/>
    <n v="11"/>
    <n v="11"/>
    <s v="-"/>
    <n v="1"/>
    <n v="1"/>
    <n v="2"/>
    <n v="2"/>
    <n v="13"/>
    <n v="13"/>
  </r>
  <r>
    <x v="7"/>
    <x v="178"/>
    <d v="1899-12-30T00:00:00"/>
    <s v="2ND"/>
    <d v="1899-12-30T21:00:00"/>
    <n v="2"/>
    <x v="22"/>
    <n v="0.01"/>
    <s v="P"/>
    <s v="P"/>
    <s v="P"/>
    <s v="-"/>
    <s v="-"/>
    <n v="11.44"/>
    <s v="-"/>
    <s v="-"/>
    <s v="-"/>
    <s v="-"/>
    <s v="-"/>
    <s v="-"/>
    <s v="-"/>
    <s v="-"/>
    <s v="P"/>
    <s v="P"/>
    <s v="-"/>
    <n v="2"/>
    <n v="1"/>
    <n v="2"/>
    <n v="1"/>
    <s v="-"/>
    <s v="-"/>
    <s v="-"/>
    <s v="-"/>
    <s v="-"/>
    <s v="-"/>
    <s v="-"/>
    <n v="6"/>
    <n v="6"/>
    <s v="-"/>
    <n v="1"/>
    <n v="1"/>
    <n v="2"/>
    <n v="2"/>
    <n v="8"/>
    <n v="8"/>
  </r>
  <r>
    <x v="7"/>
    <x v="178"/>
    <d v="2026-07-31T00:00:00"/>
    <s v="2ND"/>
    <d v="1899-12-30T14:00:00"/>
    <n v="3"/>
    <x v="1"/>
    <n v="0.01"/>
    <s v="P"/>
    <s v="P"/>
    <s v="P"/>
    <s v="+"/>
    <s v="+"/>
    <n v="12.63"/>
    <n v="12.12"/>
    <s v="-"/>
    <s v="-"/>
    <s v="-"/>
    <s v="-"/>
    <n v="34.1"/>
    <s v="-"/>
    <s v="-"/>
    <s v="P"/>
    <s v="P"/>
    <s v="85% 15%"/>
    <n v="2"/>
    <n v="1"/>
    <n v="2"/>
    <n v="1"/>
    <n v="1"/>
    <s v="-"/>
    <s v="-"/>
    <s v="-"/>
    <s v="-"/>
    <n v="2"/>
    <s v="-"/>
    <n v="9"/>
    <n v="9"/>
    <s v="-"/>
    <n v="1"/>
    <n v="1"/>
    <n v="2"/>
    <n v="2"/>
    <n v="11"/>
    <n v="11"/>
  </r>
  <r>
    <x v="7"/>
    <x v="178"/>
    <d v="2026-07-31T00:00:00"/>
    <s v="2ND"/>
    <d v="1899-12-30T15:00:00"/>
    <n v="3"/>
    <x v="1"/>
    <n v="0.02"/>
    <s v="P"/>
    <s v="P"/>
    <s v="P"/>
    <s v="+"/>
    <s v="+"/>
    <n v="12.46"/>
    <s v="-"/>
    <s v="-"/>
    <s v="-"/>
    <s v="-"/>
    <s v="-"/>
    <s v="-"/>
    <s v="-"/>
    <s v="-"/>
    <s v="P"/>
    <s v="P"/>
    <s v="-"/>
    <n v="2"/>
    <n v="1"/>
    <n v="2"/>
    <n v="1"/>
    <s v="-"/>
    <s v="-"/>
    <s v="-"/>
    <s v="-"/>
    <s v="-"/>
    <s v="-"/>
    <s v="-"/>
    <n v="6"/>
    <n v="6"/>
    <s v="-"/>
    <n v="1"/>
    <n v="1"/>
    <n v="2"/>
    <n v="2"/>
    <n v="8"/>
    <n v="8"/>
  </r>
  <r>
    <x v="7"/>
    <x v="178"/>
    <d v="2026-07-31T00:00:00"/>
    <s v="2ND"/>
    <d v="1899-12-30T16:00:00"/>
    <n v="3"/>
    <x v="1"/>
    <s v="-"/>
    <s v="P"/>
    <s v="P"/>
    <s v="P"/>
    <s v="+"/>
    <s v="+"/>
    <n v="12.47"/>
    <s v="-"/>
    <s v="-"/>
    <s v="-"/>
    <s v="-"/>
    <s v="-"/>
    <s v="-"/>
    <s v="-"/>
    <s v="-"/>
    <s v="P"/>
    <s v="P"/>
    <s v="-"/>
    <s v="-"/>
    <n v="1"/>
    <n v="2"/>
    <n v="1"/>
    <s v="-"/>
    <s v="-"/>
    <s v="-"/>
    <s v="-"/>
    <s v="-"/>
    <s v="-"/>
    <s v="-"/>
    <n v="4"/>
    <n v="4"/>
    <s v="-"/>
    <n v="1"/>
    <n v="1"/>
    <n v="2"/>
    <n v="2"/>
    <n v="6"/>
    <n v="6"/>
  </r>
  <r>
    <x v="7"/>
    <x v="178"/>
    <d v="2026-07-31T00:00:00"/>
    <s v="2ND"/>
    <d v="1899-12-30T18:00:00"/>
    <n v="3"/>
    <x v="1"/>
    <n v="0.01"/>
    <s v="P"/>
    <s v="P"/>
    <s v="P"/>
    <s v="+"/>
    <s v="+"/>
    <s v="-"/>
    <s v="-"/>
    <s v="-"/>
    <s v="-"/>
    <s v="-"/>
    <s v="-"/>
    <s v="-"/>
    <s v="-"/>
    <s v="-"/>
    <s v="P"/>
    <s v="P"/>
    <s v="-"/>
    <n v="2"/>
    <n v="1"/>
    <n v="2"/>
    <s v="-"/>
    <s v="-"/>
    <s v="-"/>
    <s v="-"/>
    <s v="-"/>
    <s v="-"/>
    <s v="-"/>
    <s v="-"/>
    <n v="5"/>
    <n v="5"/>
    <s v="-"/>
    <n v="1"/>
    <n v="1"/>
    <n v="2"/>
    <n v="2"/>
    <n v="7"/>
    <n v="7"/>
  </r>
  <r>
    <x v="7"/>
    <x v="178"/>
    <d v="2026-07-31T00:00:00"/>
    <s v="2ND"/>
    <d v="1899-12-30T20:00:00"/>
    <n v="3"/>
    <x v="1"/>
    <n v="0.02"/>
    <s v="P"/>
    <s v="P"/>
    <s v="P"/>
    <s v="+"/>
    <s v="+"/>
    <n v="13.17"/>
    <s v="-"/>
    <s v="-"/>
    <s v="-"/>
    <s v="-"/>
    <s v="-"/>
    <s v="-"/>
    <s v="-"/>
    <s v="-"/>
    <s v="P"/>
    <s v="P"/>
    <s v="-"/>
    <n v="2"/>
    <n v="1"/>
    <n v="2"/>
    <n v="1"/>
    <s v="-"/>
    <s v="-"/>
    <s v="-"/>
    <s v="-"/>
    <s v="-"/>
    <s v="-"/>
    <s v="-"/>
    <n v="6"/>
    <n v="6"/>
    <s v="-"/>
    <n v="1"/>
    <n v="1"/>
    <n v="2"/>
    <n v="2"/>
    <n v="8"/>
    <n v="8"/>
  </r>
  <r>
    <x v="7"/>
    <x v="178"/>
    <d v="2026-07-31T00:00:00"/>
    <s v="2ND"/>
    <d v="1899-12-30T21:00:00"/>
    <n v="3"/>
    <x v="1"/>
    <n v="0.01"/>
    <s v="P"/>
    <s v="P"/>
    <s v="P"/>
    <s v="+"/>
    <s v="+"/>
    <n v="13.38"/>
    <s v="-"/>
    <s v="-"/>
    <s v="-"/>
    <s v="-"/>
    <s v="-"/>
    <s v="-"/>
    <s v="-"/>
    <s v="-"/>
    <s v="P"/>
    <s v="P"/>
    <s v="-"/>
    <n v="2"/>
    <n v="1"/>
    <n v="2"/>
    <n v="1"/>
    <s v="-"/>
    <s v="-"/>
    <s v="-"/>
    <s v="-"/>
    <s v="-"/>
    <s v="-"/>
    <s v="-"/>
    <n v="6"/>
    <n v="6"/>
    <s v="-"/>
    <n v="1"/>
    <n v="1"/>
    <n v="2"/>
    <n v="2"/>
    <n v="8"/>
    <n v="8"/>
  </r>
  <r>
    <x v="7"/>
    <x v="178"/>
    <d v="2026-08-12T00:00:00"/>
    <s v="3RD"/>
    <d v="1899-12-30T22:00:00"/>
    <n v="1"/>
    <x v="22"/>
    <s v="-"/>
    <s v="P"/>
    <s v="P"/>
    <s v="P"/>
    <s v="-"/>
    <s v="-"/>
    <n v="11.91"/>
    <n v="9.84"/>
    <s v="-"/>
    <s v="-"/>
    <s v="-"/>
    <s v="-"/>
    <n v="26.9"/>
    <s v="-"/>
    <s v="-"/>
    <s v="P"/>
    <s v="P"/>
    <n v="1"/>
    <s v="-"/>
    <n v="1"/>
    <n v="2"/>
    <n v="1"/>
    <n v="1"/>
    <s v="-"/>
    <s v="-"/>
    <s v="-"/>
    <s v="-"/>
    <n v="2"/>
    <s v="-"/>
    <n v="7"/>
    <n v="7"/>
    <s v="-"/>
    <n v="1"/>
    <n v="1"/>
    <n v="2"/>
    <n v="2"/>
    <n v="9"/>
    <n v="9"/>
  </r>
  <r>
    <x v="7"/>
    <x v="178"/>
    <d v="2026-08-12T00:00:00"/>
    <s v="3RD"/>
    <d v="1899-12-30T23:00:00"/>
    <n v="1"/>
    <x v="22"/>
    <s v="-"/>
    <s v="P"/>
    <s v="P"/>
    <s v="P"/>
    <s v="-"/>
    <s v="-"/>
    <n v="12.34"/>
    <s v="-"/>
    <s v="-"/>
    <s v="-"/>
    <s v="-"/>
    <s v="-"/>
    <s v="-"/>
    <s v="-"/>
    <s v="-"/>
    <s v="P"/>
    <s v="P"/>
    <s v="-"/>
    <s v="-"/>
    <n v="1"/>
    <n v="2"/>
    <n v="1"/>
    <s v="-"/>
    <s v="-"/>
    <s v="-"/>
    <s v="-"/>
    <s v="-"/>
    <s v="-"/>
    <s v="-"/>
    <n v="4"/>
    <n v="4"/>
    <s v="-"/>
    <n v="1"/>
    <n v="1"/>
    <n v="2"/>
    <n v="2"/>
    <n v="6"/>
    <n v="6"/>
  </r>
  <r>
    <x v="7"/>
    <x v="178"/>
    <d v="2026-08-12T00:00:00"/>
    <s v="3RD"/>
    <d v="1899-12-31T00:00:00"/>
    <n v="1"/>
    <x v="22"/>
    <s v="-"/>
    <s v="P"/>
    <s v="P"/>
    <s v="P"/>
    <s v="-"/>
    <s v="-"/>
    <n v="12.08"/>
    <s v="-"/>
    <s v="-"/>
    <s v="-"/>
    <s v="-"/>
    <s v="-"/>
    <s v="-"/>
    <s v="-"/>
    <s v="-"/>
    <s v="P"/>
    <s v="P"/>
    <s v="-"/>
    <s v="-"/>
    <n v="1"/>
    <n v="2"/>
    <n v="1"/>
    <s v="-"/>
    <s v="-"/>
    <s v="-"/>
    <s v="-"/>
    <s v="-"/>
    <s v="-"/>
    <s v="-"/>
    <n v="4"/>
    <n v="4"/>
    <s v="-"/>
    <n v="1"/>
    <n v="1"/>
    <n v="2"/>
    <n v="2"/>
    <n v="6"/>
    <n v="6"/>
  </r>
  <r>
    <x v="7"/>
    <x v="178"/>
    <d v="2026-08-17T00:00:00"/>
    <s v="3RD"/>
    <d v="1899-12-31T01:00:00"/>
    <n v="1"/>
    <x v="22"/>
    <n v="0.02"/>
    <s v="P"/>
    <s v="P"/>
    <s v="P"/>
    <s v="-"/>
    <s v="-"/>
    <n v="12.18"/>
    <n v="10"/>
    <n v="0.57999999999999996"/>
    <n v="56.3"/>
    <s v="-"/>
    <s v="-"/>
    <n v="27.4"/>
    <s v="-"/>
    <s v="-"/>
    <s v="P"/>
    <s v="P"/>
    <s v="-"/>
    <n v="2"/>
    <n v="1"/>
    <n v="2"/>
    <n v="1"/>
    <n v="1"/>
    <n v="2"/>
    <n v="2"/>
    <s v="-"/>
    <s v="-"/>
    <n v="2"/>
    <s v="-"/>
    <n v="13"/>
    <n v="13"/>
    <s v="-"/>
    <n v="1"/>
    <n v="1"/>
    <n v="2"/>
    <n v="2"/>
    <n v="15"/>
    <n v="15"/>
  </r>
  <r>
    <x v="7"/>
    <x v="178"/>
    <d v="2026-08-17T00:00:00"/>
    <s v="3RD"/>
    <d v="1899-12-31T03:00:00"/>
    <n v="1"/>
    <x v="22"/>
    <n v="0.01"/>
    <s v="P"/>
    <s v="P"/>
    <s v="P"/>
    <s v="-"/>
    <s v="-"/>
    <n v="11.57"/>
    <s v="-"/>
    <s v="-"/>
    <s v="-"/>
    <s v="-"/>
    <s v="-"/>
    <s v="-"/>
    <s v="-"/>
    <s v="-"/>
    <s v="P"/>
    <s v="P"/>
    <s v="-"/>
    <n v="2"/>
    <n v="1"/>
    <n v="2"/>
    <n v="1"/>
    <s v="-"/>
    <s v="-"/>
    <s v="-"/>
    <s v="-"/>
    <s v="-"/>
    <s v="-"/>
    <s v="-"/>
    <n v="6"/>
    <n v="6"/>
    <s v="-"/>
    <n v="1"/>
    <n v="1"/>
    <n v="2"/>
    <n v="2"/>
    <n v="8"/>
    <n v="8"/>
  </r>
  <r>
    <x v="7"/>
    <x v="178"/>
    <d v="2026-08-17T00:00:00"/>
    <s v="3RD"/>
    <d v="1899-12-31T04:00:00"/>
    <n v="1"/>
    <x v="22"/>
    <n v="0.01"/>
    <s v="P"/>
    <s v="P"/>
    <s v="P"/>
    <s v="-"/>
    <s v="-"/>
    <n v="11.52"/>
    <s v="-"/>
    <s v="-"/>
    <s v="-"/>
    <s v="-"/>
    <s v="-"/>
    <s v="-"/>
    <s v="-"/>
    <s v="-"/>
    <s v="P"/>
    <s v="P"/>
    <s v="-"/>
    <n v="2"/>
    <n v="1"/>
    <n v="2"/>
    <n v="1"/>
    <s v="-"/>
    <s v="-"/>
    <s v="-"/>
    <s v="-"/>
    <s v="-"/>
    <s v="-"/>
    <s v="-"/>
    <n v="6"/>
    <n v="6"/>
    <s v="-"/>
    <n v="1"/>
    <n v="1"/>
    <n v="2"/>
    <n v="2"/>
    <n v="8"/>
    <n v="8"/>
  </r>
  <r>
    <x v="7"/>
    <x v="178"/>
    <d v="2026-08-17T00:00:00"/>
    <s v="3RD"/>
    <d v="1899-12-31T05:00:00"/>
    <n v="1"/>
    <x v="22"/>
    <n v="0.02"/>
    <s v="P"/>
    <s v="P"/>
    <s v="P"/>
    <s v="-"/>
    <s v="-"/>
    <n v="11.54"/>
    <s v="-"/>
    <s v="-"/>
    <s v="-"/>
    <s v="-"/>
    <s v="-"/>
    <s v="-"/>
    <s v="-"/>
    <s v="-"/>
    <s v="P"/>
    <s v="P"/>
    <s v="-"/>
    <n v="2"/>
    <n v="1"/>
    <n v="2"/>
    <n v="1"/>
    <s v="-"/>
    <s v="-"/>
    <s v="-"/>
    <s v="-"/>
    <s v="-"/>
    <s v="-"/>
    <s v="-"/>
    <n v="6"/>
    <n v="6"/>
    <s v="-"/>
    <n v="1"/>
    <n v="1"/>
    <n v="2"/>
    <n v="2"/>
    <n v="8"/>
    <n v="8"/>
  </r>
  <r>
    <x v="7"/>
    <x v="178"/>
    <d v="1902-04-01T00:00:00"/>
    <s v="3RD"/>
    <d v="1899-12-30T22:00:00"/>
    <n v="2"/>
    <x v="22"/>
    <n v="0.01"/>
    <s v="P"/>
    <s v="P"/>
    <s v="P"/>
    <s v="-"/>
    <s v="-"/>
    <n v="11.67"/>
    <n v="9.65"/>
    <s v="-"/>
    <s v="-"/>
    <s v="-"/>
    <s v="-"/>
    <n v="26.3"/>
    <s v="-"/>
    <s v="-"/>
    <s v="P"/>
    <s v="P"/>
    <s v="-"/>
    <n v="2"/>
    <n v="1"/>
    <n v="2"/>
    <n v="1"/>
    <n v="1"/>
    <s v="-"/>
    <s v="-"/>
    <s v="-"/>
    <s v="-"/>
    <n v="2"/>
    <s v="-"/>
    <n v="9"/>
    <n v="9"/>
    <s v="-"/>
    <n v="1"/>
    <n v="1"/>
    <n v="2"/>
    <n v="2"/>
    <n v="11"/>
    <n v="11"/>
  </r>
  <r>
    <x v="7"/>
    <x v="178"/>
    <d v="1899-12-30T00:00:00"/>
    <s v="3RD"/>
    <d v="1899-12-30T23:00:00"/>
    <n v="2"/>
    <x v="22"/>
    <s v="-"/>
    <s v="P"/>
    <s v="P"/>
    <s v="P"/>
    <s v="-"/>
    <s v="-"/>
    <n v="11.72"/>
    <s v="-"/>
    <s v="-"/>
    <s v="-"/>
    <s v="-"/>
    <s v="-"/>
    <s v="-"/>
    <s v="-"/>
    <s v="-"/>
    <s v="P"/>
    <s v="P"/>
    <s v="-"/>
    <s v="-"/>
    <n v="1"/>
    <n v="2"/>
    <n v="1"/>
    <s v="-"/>
    <s v="-"/>
    <s v="-"/>
    <s v="-"/>
    <s v="-"/>
    <s v="-"/>
    <s v="-"/>
    <n v="4"/>
    <n v="4"/>
    <s v="-"/>
    <n v="1"/>
    <n v="1"/>
    <n v="2"/>
    <n v="2"/>
    <n v="6"/>
    <n v="6"/>
  </r>
  <r>
    <x v="7"/>
    <x v="178"/>
    <d v="1899-12-30T00:00:00"/>
    <s v="3RD"/>
    <d v="1899-12-31T00:00:00"/>
    <n v="2"/>
    <x v="22"/>
    <s v="-"/>
    <s v="P"/>
    <s v="P"/>
    <s v="P"/>
    <s v="-"/>
    <s v="-"/>
    <n v="11.69"/>
    <s v="-"/>
    <s v="-"/>
    <s v="-"/>
    <s v="-"/>
    <s v="-"/>
    <s v="-"/>
    <s v="-"/>
    <s v="-"/>
    <s v="P"/>
    <s v="P"/>
    <s v="-"/>
    <s v="-"/>
    <n v="1"/>
    <n v="2"/>
    <n v="1"/>
    <s v="-"/>
    <s v="-"/>
    <s v="-"/>
    <s v="-"/>
    <s v="-"/>
    <s v="-"/>
    <s v="-"/>
    <n v="4"/>
    <n v="4"/>
    <s v="-"/>
    <n v="1"/>
    <n v="1"/>
    <n v="2"/>
    <n v="2"/>
    <n v="6"/>
    <n v="6"/>
  </r>
  <r>
    <x v="7"/>
    <x v="178"/>
    <d v="1899-12-30T00:00:00"/>
    <s v="3RD"/>
    <d v="1899-12-31T01:00:00"/>
    <n v="2"/>
    <x v="22"/>
    <n v="0.01"/>
    <s v="P"/>
    <s v="P"/>
    <s v="P"/>
    <s v="-"/>
    <s v="-"/>
    <n v="11.5"/>
    <s v="-"/>
    <s v="-"/>
    <s v="-"/>
    <s v="-"/>
    <s v="-"/>
    <s v="-"/>
    <s v="-"/>
    <s v="-"/>
    <s v="P"/>
    <s v="P"/>
    <n v="1"/>
    <n v="2"/>
    <n v="1"/>
    <n v="2"/>
    <n v="1"/>
    <s v="-"/>
    <s v="-"/>
    <s v="-"/>
    <s v="-"/>
    <s v="-"/>
    <s v="-"/>
    <s v="-"/>
    <n v="6"/>
    <n v="6"/>
    <s v="-"/>
    <n v="1"/>
    <n v="1"/>
    <n v="2"/>
    <n v="2"/>
    <n v="8"/>
    <n v="8"/>
  </r>
  <r>
    <x v="7"/>
    <x v="178"/>
    <d v="1899-12-30T00:00:00"/>
    <s v="3RD"/>
    <d v="1899-12-31T02:00:00"/>
    <n v="2"/>
    <x v="4"/>
    <n v="0.01"/>
    <s v="P"/>
    <s v="P"/>
    <s v="P"/>
    <s v="-"/>
    <s v="+"/>
    <n v="11.88"/>
    <n v="10.69"/>
    <n v="0.5"/>
    <n v="54.6"/>
    <s v="-"/>
    <s v="-"/>
    <n v="29.6"/>
    <s v="-"/>
    <s v="-"/>
    <s v="P"/>
    <s v="P"/>
    <s v="-"/>
    <n v="2"/>
    <n v="1"/>
    <n v="2"/>
    <n v="1"/>
    <n v="0"/>
    <n v="2"/>
    <n v="2"/>
    <s v="-"/>
    <s v="-"/>
    <n v="0"/>
    <s v="-"/>
    <n v="10"/>
    <n v="13"/>
    <s v="-"/>
    <n v="1"/>
    <n v="1"/>
    <n v="2"/>
    <n v="2"/>
    <n v="12"/>
    <n v="15"/>
  </r>
  <r>
    <x v="7"/>
    <x v="178"/>
    <d v="1899-12-30T00:00:00"/>
    <s v="3RD"/>
    <d v="1899-12-31T03:00:00"/>
    <n v="2"/>
    <x v="4"/>
    <n v="0.01"/>
    <s v="P"/>
    <s v="P"/>
    <s v="P"/>
    <s v="-"/>
    <s v="+"/>
    <n v="11.73"/>
    <s v="-"/>
    <s v="-"/>
    <s v="-"/>
    <s v="-"/>
    <s v="-"/>
    <s v="-"/>
    <s v="-"/>
    <s v="-"/>
    <s v="P"/>
    <s v="P"/>
    <s v="-"/>
    <n v="2"/>
    <n v="1"/>
    <n v="2"/>
    <n v="1"/>
    <s v="-"/>
    <s v="-"/>
    <s v="-"/>
    <s v="-"/>
    <s v="-"/>
    <s v="-"/>
    <s v="-"/>
    <n v="6"/>
    <n v="6"/>
    <s v="-"/>
    <n v="1"/>
    <n v="1"/>
    <n v="2"/>
    <n v="2"/>
    <n v="8"/>
    <n v="8"/>
  </r>
  <r>
    <x v="7"/>
    <x v="178"/>
    <d v="1899-12-30T00:00:00"/>
    <s v="3RD"/>
    <d v="1899-12-31T04:00:00"/>
    <n v="2"/>
    <x v="4"/>
    <n v="0.01"/>
    <s v="P"/>
    <s v="P"/>
    <s v="P"/>
    <s v="-"/>
    <s v="+"/>
    <n v="11.77"/>
    <s v="-"/>
    <s v="-"/>
    <s v="-"/>
    <s v="-"/>
    <s v="-"/>
    <s v="-"/>
    <s v="-"/>
    <s v="-"/>
    <s v="P"/>
    <s v="P"/>
    <s v="-"/>
    <n v="2"/>
    <n v="1"/>
    <n v="2"/>
    <n v="1"/>
    <s v="-"/>
    <s v="-"/>
    <s v="-"/>
    <s v="-"/>
    <s v="-"/>
    <s v="-"/>
    <s v="-"/>
    <n v="6"/>
    <n v="6"/>
    <s v="-"/>
    <n v="1"/>
    <n v="1"/>
    <n v="2"/>
    <n v="2"/>
    <n v="8"/>
    <n v="8"/>
  </r>
  <r>
    <x v="7"/>
    <x v="178"/>
    <d v="2026-07-31T00:00:00"/>
    <s v="3RD"/>
    <d v="1899-12-30T22:00:00"/>
    <n v="3"/>
    <x v="1"/>
    <n v="0.01"/>
    <s v="P"/>
    <s v="P"/>
    <s v="P"/>
    <s v="+"/>
    <s v="+"/>
    <n v="13.26"/>
    <n v="12.38"/>
    <s v="-"/>
    <s v="-"/>
    <s v="-"/>
    <s v="-"/>
    <n v="34.6"/>
    <s v="-"/>
    <s v="-"/>
    <s v="P"/>
    <s v="P"/>
    <s v="95% 5%"/>
    <n v="2"/>
    <n v="1"/>
    <n v="2"/>
    <n v="1"/>
    <n v="1"/>
    <s v="-"/>
    <s v="-"/>
    <s v="-"/>
    <s v="-"/>
    <n v="2"/>
    <s v="-"/>
    <n v="9"/>
    <n v="9"/>
    <s v="-"/>
    <n v="1"/>
    <n v="1"/>
    <n v="2"/>
    <n v="2"/>
    <n v="11"/>
    <n v="11"/>
  </r>
  <r>
    <x v="7"/>
    <x v="178"/>
    <d v="2026-07-31T00:00:00"/>
    <s v="3RD"/>
    <d v="1899-12-31T00:00:00"/>
    <n v="3"/>
    <x v="1"/>
    <n v="0.01"/>
    <s v="P"/>
    <s v="P"/>
    <s v="P"/>
    <s v="+"/>
    <s v="+"/>
    <n v="12.98"/>
    <s v="-"/>
    <s v="-"/>
    <s v="-"/>
    <s v="-"/>
    <s v="-"/>
    <s v="-"/>
    <s v="-"/>
    <s v="-"/>
    <s v="P"/>
    <s v="P"/>
    <s v="-"/>
    <n v="2"/>
    <n v="1"/>
    <n v="2"/>
    <n v="1"/>
    <s v="-"/>
    <s v="-"/>
    <s v="-"/>
    <s v="-"/>
    <s v="-"/>
    <s v="-"/>
    <s v="-"/>
    <n v="6"/>
    <n v="6"/>
    <s v="-"/>
    <n v="1"/>
    <n v="1"/>
    <n v="2"/>
    <n v="2"/>
    <n v="8"/>
    <n v="8"/>
  </r>
  <r>
    <x v="7"/>
    <x v="179"/>
    <d v="2026-08-17T00:00:00"/>
    <s v="1ST"/>
    <s v="06:00"/>
    <n v="1"/>
    <x v="22"/>
    <s v="-"/>
    <s v="P"/>
    <s v="P"/>
    <s v="P"/>
    <s v="-"/>
    <s v="-"/>
    <n v="10.96"/>
    <n v="9.99"/>
    <n v="0.54"/>
    <n v="53.8"/>
    <s v="-"/>
    <s v="-"/>
    <n v="27.5"/>
    <s v="-"/>
    <s v="-"/>
    <s v="P"/>
    <s v="P"/>
    <n v="1"/>
    <s v="-"/>
    <n v="1"/>
    <n v="2"/>
    <n v="0"/>
    <n v="1"/>
    <n v="2"/>
    <n v="0"/>
    <s v="-"/>
    <s v="-"/>
    <n v="2"/>
    <s v="-"/>
    <n v="8"/>
    <n v="11"/>
    <s v="-"/>
    <n v="1"/>
    <n v="1"/>
    <n v="2"/>
    <n v="2"/>
    <n v="10"/>
    <n v="13"/>
  </r>
  <r>
    <x v="7"/>
    <x v="179"/>
    <d v="2026-08-17T00:00:00"/>
    <s v="1ST"/>
    <s v="07:00"/>
    <n v="1"/>
    <x v="22"/>
    <s v="-"/>
    <s v="P"/>
    <s v="P"/>
    <s v="P"/>
    <s v="-"/>
    <s v="-"/>
    <n v="10.8"/>
    <s v="-"/>
    <s v="-"/>
    <s v="-"/>
    <s v="-"/>
    <s v="-"/>
    <s v="-"/>
    <s v="-"/>
    <s v="-"/>
    <s v="P"/>
    <s v="P"/>
    <s v="-"/>
    <s v="-"/>
    <n v="1"/>
    <n v="2"/>
    <n v="0"/>
    <s v="-"/>
    <s v="-"/>
    <s v="-"/>
    <s v="-"/>
    <s v="-"/>
    <s v="-"/>
    <s v="-"/>
    <n v="3"/>
    <n v="4"/>
    <s v="-"/>
    <n v="1"/>
    <n v="1"/>
    <n v="2"/>
    <n v="2"/>
    <n v="5"/>
    <n v="6"/>
  </r>
  <r>
    <x v="7"/>
    <x v="179"/>
    <d v="2026-08-17T00:00:00"/>
    <s v="1ST"/>
    <s v="08:00"/>
    <n v="1"/>
    <x v="22"/>
    <n v="0.01"/>
    <s v="P"/>
    <s v="P"/>
    <s v="P"/>
    <s v="-"/>
    <s v="-"/>
    <n v="10.89"/>
    <s v="-"/>
    <s v="-"/>
    <s v="-"/>
    <s v="-"/>
    <s v="-"/>
    <s v="-"/>
    <s v="-"/>
    <s v="-"/>
    <s v="P"/>
    <s v="P"/>
    <s v="-"/>
    <n v="2"/>
    <n v="1"/>
    <n v="2"/>
    <n v="0"/>
    <s v="-"/>
    <s v="-"/>
    <s v="-"/>
    <s v="-"/>
    <s v="-"/>
    <s v="-"/>
    <s v="-"/>
    <n v="5"/>
    <n v="6"/>
    <s v="-"/>
    <n v="1"/>
    <n v="1"/>
    <n v="2"/>
    <n v="2"/>
    <n v="7"/>
    <n v="8"/>
  </r>
  <r>
    <x v="7"/>
    <x v="179"/>
    <d v="2026-08-17T00:00:00"/>
    <s v="1ST"/>
    <s v="09:00"/>
    <n v="1"/>
    <x v="22"/>
    <s v="-"/>
    <s v="P"/>
    <s v="P"/>
    <s v="P"/>
    <s v="-"/>
    <s v="-"/>
    <n v="10.83"/>
    <s v="-"/>
    <s v="-"/>
    <s v="-"/>
    <s v="-"/>
    <s v="-"/>
    <s v="-"/>
    <s v="-"/>
    <s v="-"/>
    <s v="P"/>
    <s v="P"/>
    <s v="-"/>
    <s v="-"/>
    <n v="1"/>
    <n v="2"/>
    <n v="0"/>
    <s v="-"/>
    <s v="-"/>
    <s v="-"/>
    <s v="-"/>
    <s v="-"/>
    <s v="-"/>
    <s v="-"/>
    <n v="3"/>
    <n v="4"/>
    <s v="-"/>
    <n v="1"/>
    <n v="1"/>
    <n v="2"/>
    <n v="2"/>
    <n v="5"/>
    <n v="6"/>
  </r>
  <r>
    <x v="7"/>
    <x v="179"/>
    <d v="2026-08-17T00:00:00"/>
    <s v="1ST"/>
    <s v="10:00"/>
    <n v="1"/>
    <x v="22"/>
    <s v="-"/>
    <s v="P"/>
    <s v="P"/>
    <s v="P"/>
    <s v="-"/>
    <s v="-"/>
    <n v="10.8"/>
    <s v="-"/>
    <s v="-"/>
    <s v="-"/>
    <s v="-"/>
    <s v="-"/>
    <s v="-"/>
    <s v="-"/>
    <s v="-"/>
    <s v="P"/>
    <s v="P"/>
    <s v="-"/>
    <s v="-"/>
    <n v="1"/>
    <n v="2"/>
    <n v="0"/>
    <s v="-"/>
    <s v="-"/>
    <s v="-"/>
    <s v="-"/>
    <s v="-"/>
    <s v="-"/>
    <s v="-"/>
    <n v="3"/>
    <n v="4"/>
    <s v="-"/>
    <n v="1"/>
    <n v="1"/>
    <n v="2"/>
    <n v="2"/>
    <n v="5"/>
    <n v="6"/>
  </r>
  <r>
    <x v="7"/>
    <x v="179"/>
    <d v="2026-08-17T00:00:00"/>
    <s v="1ST"/>
    <s v="11:00"/>
    <n v="1"/>
    <x v="22"/>
    <s v="-"/>
    <s v="P"/>
    <s v="P"/>
    <s v="P"/>
    <s v="-"/>
    <s v="-"/>
    <n v="10.9"/>
    <s v="-"/>
    <s v="-"/>
    <s v="-"/>
    <s v="-"/>
    <s v="-"/>
    <s v="-"/>
    <s v="-"/>
    <s v="-"/>
    <s v="P"/>
    <s v="P"/>
    <s v="-"/>
    <s v="-"/>
    <n v="1"/>
    <n v="2"/>
    <n v="0"/>
    <s v="-"/>
    <s v="-"/>
    <s v="-"/>
    <s v="-"/>
    <s v="-"/>
    <s v="-"/>
    <s v="-"/>
    <n v="3"/>
    <n v="4"/>
    <s v="-"/>
    <n v="1"/>
    <n v="1"/>
    <n v="2"/>
    <n v="2"/>
    <n v="5"/>
    <n v="6"/>
  </r>
  <r>
    <x v="7"/>
    <x v="179"/>
    <d v="2026-08-17T00:00:00"/>
    <s v="1ST"/>
    <s v="12:00"/>
    <n v="1"/>
    <x v="22"/>
    <s v="-"/>
    <s v="P"/>
    <s v="P"/>
    <s v="P"/>
    <s v="-"/>
    <s v="-"/>
    <n v="10.88"/>
    <s v="-"/>
    <s v="-"/>
    <s v="-"/>
    <s v="-"/>
    <s v="-"/>
    <s v="-"/>
    <s v="-"/>
    <s v="-"/>
    <s v="P"/>
    <s v="P"/>
    <s v="-"/>
    <s v="-"/>
    <n v="1"/>
    <n v="2"/>
    <n v="0"/>
    <s v="-"/>
    <s v="-"/>
    <s v="-"/>
    <s v="-"/>
    <s v="-"/>
    <s v="-"/>
    <s v="-"/>
    <n v="3"/>
    <n v="4"/>
    <s v="-"/>
    <n v="1"/>
    <n v="1"/>
    <n v="2"/>
    <n v="2"/>
    <n v="5"/>
    <n v="6"/>
  </r>
  <r>
    <x v="7"/>
    <x v="179"/>
    <d v="2026-08-17T00:00:00"/>
    <s v="1ST"/>
    <s v="13:00"/>
    <n v="1"/>
    <x v="22"/>
    <s v="-"/>
    <s v="P"/>
    <s v="P"/>
    <s v="P"/>
    <s v="-"/>
    <s v="-"/>
    <n v="10.82"/>
    <s v="-"/>
    <s v="-"/>
    <s v="-"/>
    <s v="-"/>
    <s v="-"/>
    <s v="-"/>
    <s v="-"/>
    <s v="-"/>
    <s v="P"/>
    <s v="P"/>
    <s v="-"/>
    <s v="-"/>
    <n v="1"/>
    <n v="2"/>
    <n v="0"/>
    <s v="-"/>
    <s v="-"/>
    <s v="-"/>
    <s v="-"/>
    <s v="-"/>
    <s v="-"/>
    <s v="-"/>
    <n v="3"/>
    <n v="4"/>
    <s v="-"/>
    <n v="1"/>
    <n v="1"/>
    <n v="2"/>
    <n v="2"/>
    <n v="5"/>
    <n v="6"/>
  </r>
  <r>
    <x v="7"/>
    <x v="179"/>
    <d v="1902-03-26T00:00:00"/>
    <s v="1ST"/>
    <s v="06:00"/>
    <n v="2"/>
    <x v="4"/>
    <s v="-"/>
    <s v="P"/>
    <s v="P"/>
    <s v="P"/>
    <s v="-"/>
    <s v="+"/>
    <n v="10.82"/>
    <n v="9.84"/>
    <n v="0.55000000000000004"/>
    <n v="54.4"/>
    <s v="-"/>
    <s v="-"/>
    <n v="27"/>
    <s v="-"/>
    <s v="-"/>
    <s v="P"/>
    <s v="P"/>
    <s v="-"/>
    <s v="-"/>
    <n v="1"/>
    <n v="2"/>
    <n v="0"/>
    <n v="0"/>
    <n v="2"/>
    <n v="2"/>
    <s v="-"/>
    <s v="-"/>
    <n v="2"/>
    <s v="-"/>
    <n v="9"/>
    <n v="11"/>
    <s v="-"/>
    <n v="1"/>
    <n v="1"/>
    <n v="2"/>
    <n v="2"/>
    <n v="11"/>
    <n v="13"/>
  </r>
  <r>
    <x v="7"/>
    <x v="179"/>
    <d v="1899-12-30T00:00:00"/>
    <s v="1ST"/>
    <s v="07:00"/>
    <n v="2"/>
    <x v="4"/>
    <s v="-"/>
    <s v="P"/>
    <s v="P"/>
    <s v="P"/>
    <s v="-"/>
    <s v="+"/>
    <n v="10.52"/>
    <s v="-"/>
    <s v="-"/>
    <s v="-"/>
    <s v="-"/>
    <s v="-"/>
    <s v="-"/>
    <s v="-"/>
    <s v="-"/>
    <s v="P"/>
    <s v="P"/>
    <s v="-"/>
    <s v="-"/>
    <n v="1"/>
    <n v="2"/>
    <n v="0"/>
    <s v="-"/>
    <s v="-"/>
    <s v="-"/>
    <s v="-"/>
    <s v="-"/>
    <s v="-"/>
    <s v="-"/>
    <n v="3"/>
    <n v="4"/>
    <s v="-"/>
    <n v="1"/>
    <n v="1"/>
    <n v="2"/>
    <n v="2"/>
    <n v="5"/>
    <n v="6"/>
  </r>
  <r>
    <x v="7"/>
    <x v="179"/>
    <d v="1899-12-30T00:00:00"/>
    <s v="1ST"/>
    <s v="08:00"/>
    <n v="2"/>
    <x v="4"/>
    <s v="-"/>
    <s v="P"/>
    <s v="P"/>
    <s v="P"/>
    <s v="-"/>
    <s v="+"/>
    <n v="10.75"/>
    <s v="-"/>
    <s v="-"/>
    <s v="-"/>
    <s v="-"/>
    <s v="-"/>
    <s v="-"/>
    <s v="-"/>
    <s v="-"/>
    <s v="P"/>
    <s v="P"/>
    <s v="-"/>
    <s v="-"/>
    <n v="1"/>
    <n v="2"/>
    <n v="0"/>
    <s v="-"/>
    <s v="-"/>
    <s v="-"/>
    <s v="-"/>
    <s v="-"/>
    <s v="-"/>
    <s v="-"/>
    <n v="3"/>
    <n v="4"/>
    <s v="-"/>
    <n v="1"/>
    <n v="1"/>
    <n v="2"/>
    <n v="2"/>
    <n v="5"/>
    <n v="6"/>
  </r>
  <r>
    <x v="7"/>
    <x v="179"/>
    <d v="1899-12-30T00:00:00"/>
    <s v="1ST"/>
    <s v="09:00"/>
    <n v="2"/>
    <x v="7"/>
    <s v="-"/>
    <s v="P"/>
    <s v="P"/>
    <s v="P"/>
    <s v="-"/>
    <s v="+"/>
    <n v="10.71"/>
    <n v="9.9700000000000006"/>
    <s v="-"/>
    <n v="54.6"/>
    <s v="-"/>
    <s v="-"/>
    <n v="27.4"/>
    <s v="-"/>
    <s v="-"/>
    <s v="P"/>
    <s v="P"/>
    <s v="-"/>
    <s v="-"/>
    <n v="1"/>
    <n v="2"/>
    <n v="0"/>
    <n v="1"/>
    <s v="-"/>
    <n v="0"/>
    <s v="-"/>
    <s v="-"/>
    <n v="2"/>
    <s v="-"/>
    <n v="6"/>
    <n v="9"/>
    <s v="-"/>
    <n v="1"/>
    <n v="1"/>
    <n v="2"/>
    <n v="2"/>
    <n v="8"/>
    <n v="11"/>
  </r>
  <r>
    <x v="7"/>
    <x v="179"/>
    <d v="1899-12-30T00:00:00"/>
    <s v="1ST"/>
    <s v="10:00"/>
    <n v="2"/>
    <x v="7"/>
    <s v="-"/>
    <s v="P"/>
    <s v="P"/>
    <s v="P"/>
    <s v="-"/>
    <s v="+"/>
    <n v="10.87"/>
    <s v="-"/>
    <s v="-"/>
    <s v="-"/>
    <s v="-"/>
    <s v="-"/>
    <s v="-"/>
    <s v="-"/>
    <s v="-"/>
    <s v="P"/>
    <s v="P"/>
    <s v="-"/>
    <s v="-"/>
    <n v="1"/>
    <n v="2"/>
    <n v="0"/>
    <s v="-"/>
    <s v="-"/>
    <s v="-"/>
    <s v="-"/>
    <s v="-"/>
    <s v="-"/>
    <s v="-"/>
    <n v="3"/>
    <n v="4"/>
    <s v="-"/>
    <n v="1"/>
    <n v="1"/>
    <n v="2"/>
    <n v="2"/>
    <n v="5"/>
    <n v="6"/>
  </r>
  <r>
    <x v="7"/>
    <x v="179"/>
    <d v="2026-07-31T00:00:00"/>
    <s v="1ST"/>
    <s v="07:00"/>
    <n v="3"/>
    <x v="20"/>
    <s v="-"/>
    <s v="P"/>
    <s v="P"/>
    <s v="P"/>
    <s v="-"/>
    <s v="-"/>
    <n v="12.99"/>
    <n v="12.02"/>
    <n v="0.56000000000000005"/>
    <n v="64.400000000000006"/>
    <s v="-"/>
    <s v="-"/>
    <n v="33.4"/>
    <s v="-"/>
    <s v="-"/>
    <s v="P"/>
    <s v="P"/>
    <s v="95% 5%"/>
    <s v="-"/>
    <n v="1"/>
    <n v="2"/>
    <n v="1"/>
    <n v="1"/>
    <n v="2"/>
    <n v="2"/>
    <s v="-"/>
    <s v="-"/>
    <n v="2"/>
    <s v="-"/>
    <n v="11"/>
    <n v="11"/>
    <s v="-"/>
    <n v="1"/>
    <n v="1"/>
    <n v="2"/>
    <n v="2"/>
    <n v="13"/>
    <n v="13"/>
  </r>
  <r>
    <x v="7"/>
    <x v="179"/>
    <d v="2026-07-31T00:00:00"/>
    <s v="1ST"/>
    <s v="08:00"/>
    <n v="3"/>
    <x v="20"/>
    <s v="-"/>
    <s v="P"/>
    <s v="P"/>
    <s v="P"/>
    <s v="-"/>
    <s v="-"/>
    <n v="12.58"/>
    <s v="-"/>
    <s v="-"/>
    <n v="0.56000000000000005"/>
    <s v="-"/>
    <s v="-"/>
    <s v="-"/>
    <s v="-"/>
    <s v="-"/>
    <s v="P"/>
    <s v="P"/>
    <s v="-"/>
    <s v="-"/>
    <n v="1"/>
    <n v="2"/>
    <n v="1"/>
    <s v="-"/>
    <s v="-"/>
    <n v="0"/>
    <s v="-"/>
    <s v="-"/>
    <s v="-"/>
    <s v="-"/>
    <n v="4"/>
    <n v="6"/>
    <s v="-"/>
    <n v="1"/>
    <n v="1"/>
    <n v="2"/>
    <n v="2"/>
    <n v="6"/>
    <n v="8"/>
  </r>
  <r>
    <x v="7"/>
    <x v="179"/>
    <d v="2026-07-31T00:00:00"/>
    <s v="1ST"/>
    <s v="10:00"/>
    <n v="3"/>
    <x v="20"/>
    <s v="-"/>
    <s v="P"/>
    <s v="P"/>
    <s v="P"/>
    <s v="-"/>
    <s v="-"/>
    <s v="-"/>
    <s v="-"/>
    <s v="-"/>
    <s v="-"/>
    <s v="-"/>
    <s v="-"/>
    <s v="-"/>
    <s v="-"/>
    <s v="-"/>
    <s v="P"/>
    <s v="P"/>
    <s v="-"/>
    <s v="-"/>
    <n v="1"/>
    <n v="2"/>
    <s v="-"/>
    <s v="-"/>
    <s v="-"/>
    <s v="-"/>
    <s v="-"/>
    <s v="-"/>
    <s v="-"/>
    <s v="-"/>
    <n v="3"/>
    <n v="3"/>
    <s v="-"/>
    <n v="1"/>
    <n v="1"/>
    <n v="2"/>
    <n v="2"/>
    <n v="5"/>
    <n v="5"/>
  </r>
  <r>
    <x v="7"/>
    <x v="179"/>
    <d v="2026-07-31T00:00:00"/>
    <s v="1ST"/>
    <s v="12:00"/>
    <n v="3"/>
    <x v="20"/>
    <s v="-"/>
    <s v="P"/>
    <s v="P"/>
    <s v="P"/>
    <s v="-"/>
    <s v="-"/>
    <n v="12.38"/>
    <s v="-"/>
    <s v="-"/>
    <s v="-"/>
    <s v="-"/>
    <s v="-"/>
    <s v="-"/>
    <s v="-"/>
    <s v="-"/>
    <s v="P"/>
    <s v="P"/>
    <s v="-"/>
    <s v="-"/>
    <n v="1"/>
    <n v="2"/>
    <n v="1"/>
    <s v="-"/>
    <s v="-"/>
    <s v="-"/>
    <s v="-"/>
    <s v="-"/>
    <s v="-"/>
    <s v="-"/>
    <n v="4"/>
    <n v="4"/>
    <s v="-"/>
    <n v="1"/>
    <n v="1"/>
    <n v="2"/>
    <n v="2"/>
    <n v="6"/>
    <n v="6"/>
  </r>
  <r>
    <x v="7"/>
    <x v="179"/>
    <d v="2026-07-31T00:00:00"/>
    <s v="1ST"/>
    <s v="13:00"/>
    <n v="3"/>
    <x v="20"/>
    <s v="-"/>
    <s v="P"/>
    <s v="P"/>
    <s v="P"/>
    <s v="-"/>
    <s v="-"/>
    <n v="12.42"/>
    <s v="-"/>
    <s v="-"/>
    <s v="-"/>
    <s v="-"/>
    <s v="-"/>
    <s v="-"/>
    <s v="-"/>
    <s v="-"/>
    <s v="P"/>
    <s v="P"/>
    <s v="-"/>
    <s v="-"/>
    <n v="1"/>
    <n v="2"/>
    <n v="1"/>
    <s v="-"/>
    <s v="-"/>
    <s v="-"/>
    <s v="-"/>
    <s v="-"/>
    <s v="-"/>
    <s v="-"/>
    <n v="4"/>
    <n v="4"/>
    <s v="-"/>
    <n v="1"/>
    <n v="1"/>
    <n v="2"/>
    <n v="2"/>
    <n v="6"/>
    <n v="6"/>
  </r>
  <r>
    <x v="7"/>
    <x v="179"/>
    <d v="2026-08-17T00:00:00"/>
    <s v="2ND"/>
    <d v="1899-12-30T15:00:00"/>
    <n v="1"/>
    <x v="22"/>
    <s v="-"/>
    <s v="P"/>
    <s v="P"/>
    <s v="P"/>
    <s v="-"/>
    <s v="-"/>
    <n v="10.79"/>
    <n v="10.26"/>
    <s v="-"/>
    <s v="-"/>
    <s v="-"/>
    <s v="-"/>
    <n v="28.3"/>
    <s v="-"/>
    <s v="-"/>
    <s v="P"/>
    <s v="P"/>
    <n v="1"/>
    <s v="-"/>
    <n v="1"/>
    <n v="2"/>
    <n v="0"/>
    <n v="0"/>
    <s v="-"/>
    <s v="-"/>
    <s v="-"/>
    <s v="-"/>
    <n v="2"/>
    <s v="-"/>
    <n v="5"/>
    <n v="7"/>
    <s v="-"/>
    <n v="1"/>
    <n v="1"/>
    <n v="2"/>
    <n v="2"/>
    <n v="7"/>
    <n v="9"/>
  </r>
  <r>
    <x v="7"/>
    <x v="179"/>
    <d v="2026-08-17T00:00:00"/>
    <s v="2ND"/>
    <d v="1899-12-30T16:00:00"/>
    <n v="1"/>
    <x v="22"/>
    <n v="0.01"/>
    <s v="P"/>
    <s v="P"/>
    <s v="P"/>
    <s v="-"/>
    <s v="-"/>
    <n v="10.98"/>
    <s v="-"/>
    <s v="-"/>
    <s v="-"/>
    <s v="-"/>
    <s v="-"/>
    <s v="-"/>
    <s v="-"/>
    <s v="-"/>
    <s v="P"/>
    <s v="P"/>
    <s v="-"/>
    <n v="2"/>
    <n v="1"/>
    <n v="2"/>
    <n v="0"/>
    <s v="-"/>
    <s v="-"/>
    <s v="-"/>
    <s v="-"/>
    <s v="-"/>
    <s v="-"/>
    <s v="-"/>
    <n v="5"/>
    <n v="6"/>
    <s v="-"/>
    <n v="1"/>
    <n v="1"/>
    <n v="2"/>
    <n v="2"/>
    <n v="7"/>
    <n v="8"/>
  </r>
  <r>
    <x v="7"/>
    <x v="179"/>
    <d v="2026-08-17T00:00:00"/>
    <s v="2ND"/>
    <d v="1899-12-30T17:00:00"/>
    <n v="1"/>
    <x v="22"/>
    <s v="-"/>
    <s v="P"/>
    <s v="P"/>
    <s v="P"/>
    <s v="-"/>
    <s v="-"/>
    <n v="10.64"/>
    <s v="-"/>
    <s v="-"/>
    <s v="-"/>
    <s v="-"/>
    <s v="-"/>
    <s v="-"/>
    <s v="-"/>
    <s v="-"/>
    <s v="P"/>
    <s v="P"/>
    <s v="-"/>
    <s v="-"/>
    <n v="1"/>
    <n v="2"/>
    <n v="0"/>
    <s v="-"/>
    <s v="-"/>
    <s v="-"/>
    <s v="-"/>
    <s v="-"/>
    <s v="-"/>
    <s v="-"/>
    <n v="3"/>
    <n v="4"/>
    <s v="-"/>
    <n v="1"/>
    <n v="1"/>
    <n v="2"/>
    <n v="2"/>
    <n v="5"/>
    <n v="6"/>
  </r>
  <r>
    <x v="7"/>
    <x v="179"/>
    <d v="2026-08-17T00:00:00"/>
    <s v="2ND"/>
    <d v="1899-12-30T19:00:00"/>
    <n v="1"/>
    <x v="22"/>
    <n v="0.02"/>
    <s v="P"/>
    <s v="P"/>
    <s v="P"/>
    <s v="-"/>
    <s v="-"/>
    <n v="11.44"/>
    <s v="-"/>
    <s v="-"/>
    <s v="-"/>
    <s v="-"/>
    <s v="-"/>
    <s v="-"/>
    <s v="-"/>
    <s v="-"/>
    <s v="P"/>
    <s v="P"/>
    <s v="-"/>
    <n v="2"/>
    <n v="1"/>
    <n v="2"/>
    <n v="1"/>
    <s v="-"/>
    <s v="-"/>
    <s v="-"/>
    <s v="-"/>
    <s v="-"/>
    <s v="-"/>
    <s v="-"/>
    <n v="6"/>
    <n v="6"/>
    <s v="-"/>
    <n v="1"/>
    <n v="1"/>
    <n v="2"/>
    <n v="2"/>
    <n v="8"/>
    <n v="8"/>
  </r>
  <r>
    <x v="7"/>
    <x v="179"/>
    <d v="2026-08-17T00:00:00"/>
    <s v="2ND"/>
    <d v="1899-12-30T20:00:00"/>
    <n v="1"/>
    <x v="22"/>
    <n v="0.01"/>
    <s v="P"/>
    <s v="P"/>
    <s v="P"/>
    <s v="-"/>
    <s v="-"/>
    <n v="11.72"/>
    <s v="-"/>
    <s v="-"/>
    <s v="-"/>
    <s v="-"/>
    <s v="-"/>
    <s v="-"/>
    <s v="-"/>
    <s v="-"/>
    <s v="P"/>
    <s v="P"/>
    <s v="-"/>
    <n v="2"/>
    <n v="1"/>
    <n v="2"/>
    <n v="1"/>
    <s v="-"/>
    <s v="-"/>
    <s v="-"/>
    <s v="-"/>
    <s v="-"/>
    <s v="-"/>
    <s v="-"/>
    <n v="6"/>
    <n v="6"/>
    <s v="-"/>
    <n v="1"/>
    <n v="1"/>
    <n v="2"/>
    <n v="2"/>
    <n v="8"/>
    <n v="8"/>
  </r>
  <r>
    <x v="7"/>
    <x v="179"/>
    <d v="1902-03-26T00:00:00"/>
    <s v="2ND"/>
    <d v="1899-12-30T14:00:00"/>
    <n v="2"/>
    <x v="7"/>
    <s v="-"/>
    <s v="P"/>
    <s v="P"/>
    <s v="P"/>
    <s v="-"/>
    <s v="+"/>
    <n v="10.87"/>
    <n v="9.94"/>
    <s v="-"/>
    <s v="-"/>
    <s v="-"/>
    <s v="-"/>
    <n v="27.3"/>
    <s v="-"/>
    <s v="-"/>
    <s v="P"/>
    <s v="P"/>
    <s v="-"/>
    <s v="-"/>
    <n v="1"/>
    <n v="2"/>
    <n v="0"/>
    <n v="1"/>
    <s v="-"/>
    <s v="-"/>
    <s v="-"/>
    <s v="-"/>
    <n v="2"/>
    <s v="-"/>
    <n v="6"/>
    <n v="7"/>
    <s v="-"/>
    <n v="1"/>
    <n v="1"/>
    <n v="2"/>
    <n v="2"/>
    <n v="8"/>
    <n v="9"/>
  </r>
  <r>
    <x v="7"/>
    <x v="179"/>
    <d v="1899-12-30T00:00:00"/>
    <s v="2ND"/>
    <d v="1899-12-30T16:00:00"/>
    <n v="2"/>
    <x v="7"/>
    <s v="-"/>
    <s v="P"/>
    <s v="P"/>
    <s v="P"/>
    <s v="-"/>
    <s v="+"/>
    <n v="10.9"/>
    <s v="-"/>
    <s v="-"/>
    <s v="-"/>
    <s v="-"/>
    <s v="-"/>
    <s v="-"/>
    <s v="-"/>
    <s v="-"/>
    <s v="P"/>
    <s v="P"/>
    <s v="-"/>
    <s v="-"/>
    <n v="1"/>
    <n v="2"/>
    <n v="0"/>
    <s v="-"/>
    <s v="-"/>
    <s v="-"/>
    <s v="-"/>
    <s v="-"/>
    <s v="-"/>
    <s v="-"/>
    <n v="3"/>
    <n v="4"/>
    <s v="-"/>
    <n v="1"/>
    <n v="1"/>
    <n v="2"/>
    <n v="2"/>
    <n v="5"/>
    <n v="6"/>
  </r>
  <r>
    <x v="7"/>
    <x v="179"/>
    <d v="1899-12-30T00:00:00"/>
    <s v="2ND"/>
    <d v="1899-12-30T17:00:00"/>
    <n v="2"/>
    <x v="7"/>
    <s v="-"/>
    <s v="P"/>
    <s v="P"/>
    <s v="P"/>
    <s v="-"/>
    <s v="+"/>
    <n v="10.69"/>
    <s v="-"/>
    <s v="-"/>
    <s v="-"/>
    <s v="-"/>
    <s v="-"/>
    <s v="-"/>
    <s v="-"/>
    <s v="-"/>
    <s v="P"/>
    <s v="P"/>
    <s v="-"/>
    <s v="-"/>
    <n v="1"/>
    <n v="2"/>
    <n v="0"/>
    <s v="-"/>
    <s v="-"/>
    <s v="-"/>
    <s v="-"/>
    <s v="-"/>
    <s v="-"/>
    <s v="-"/>
    <n v="3"/>
    <n v="4"/>
    <s v="-"/>
    <n v="1"/>
    <n v="1"/>
    <n v="2"/>
    <n v="2"/>
    <n v="5"/>
    <n v="6"/>
  </r>
  <r>
    <x v="7"/>
    <x v="179"/>
    <d v="1899-12-30T00:00:00"/>
    <s v="2ND"/>
    <d v="1899-12-30T19:00:00"/>
    <n v="2"/>
    <x v="7"/>
    <n v="0.01"/>
    <s v="P"/>
    <s v="P"/>
    <s v="P"/>
    <s v="-"/>
    <s v="+"/>
    <n v="11.61"/>
    <s v="-"/>
    <s v="-"/>
    <s v="-"/>
    <s v="-"/>
    <s v="-"/>
    <s v="-"/>
    <s v="-"/>
    <s v="-"/>
    <s v="P"/>
    <s v="P"/>
    <s v="-"/>
    <n v="2"/>
    <n v="1"/>
    <n v="2"/>
    <n v="1"/>
    <s v="-"/>
    <s v="-"/>
    <s v="-"/>
    <s v="-"/>
    <s v="-"/>
    <s v="-"/>
    <s v="-"/>
    <n v="6"/>
    <n v="6"/>
    <s v="-"/>
    <n v="1"/>
    <n v="1"/>
    <n v="2"/>
    <n v="2"/>
    <n v="8"/>
    <n v="8"/>
  </r>
  <r>
    <x v="7"/>
    <x v="179"/>
    <d v="1899-12-30T00:00:00"/>
    <s v="2ND"/>
    <d v="1899-12-30T20:00:00"/>
    <n v="2"/>
    <x v="7"/>
    <n v="0.01"/>
    <s v="P"/>
    <s v="P"/>
    <s v="P"/>
    <s v="-"/>
    <s v="+"/>
    <n v="11.84"/>
    <s v="-"/>
    <s v="-"/>
    <s v="-"/>
    <s v="-"/>
    <s v="-"/>
    <s v="-"/>
    <s v="-"/>
    <s v="-"/>
    <s v="P"/>
    <s v="P"/>
    <s v="-"/>
    <n v="2"/>
    <n v="1"/>
    <n v="2"/>
    <n v="1"/>
    <s v="-"/>
    <s v="-"/>
    <s v="-"/>
    <s v="-"/>
    <s v="-"/>
    <s v="-"/>
    <s v="-"/>
    <n v="6"/>
    <n v="6"/>
    <s v="-"/>
    <n v="1"/>
    <n v="1"/>
    <n v="2"/>
    <n v="2"/>
    <n v="8"/>
    <n v="8"/>
  </r>
  <r>
    <x v="7"/>
    <x v="179"/>
    <d v="2026-07-31T00:00:00"/>
    <s v="2ND"/>
    <d v="1899-12-30T14:00:00"/>
    <n v="3"/>
    <x v="20"/>
    <s v="-"/>
    <s v="P"/>
    <s v="P"/>
    <s v="P"/>
    <s v="-"/>
    <s v="-"/>
    <n v="12.42"/>
    <n v="11.88"/>
    <s v="-"/>
    <s v="-"/>
    <s v="-"/>
    <s v="-"/>
    <n v="33"/>
    <s v="-"/>
    <s v="-"/>
    <s v="P"/>
    <s v="P"/>
    <s v="95% 5%"/>
    <s v="-"/>
    <n v="1"/>
    <n v="2"/>
    <n v="1"/>
    <n v="0"/>
    <s v="-"/>
    <s v="-"/>
    <s v="-"/>
    <s v="-"/>
    <n v="2"/>
    <s v="-"/>
    <n v="6"/>
    <n v="7"/>
    <s v="-"/>
    <n v="1"/>
    <n v="1"/>
    <n v="2"/>
    <n v="2"/>
    <n v="8"/>
    <n v="9"/>
  </r>
  <r>
    <x v="7"/>
    <x v="179"/>
    <d v="2026-07-31T00:00:00"/>
    <s v="2ND"/>
    <d v="1899-12-30T16:00:00"/>
    <n v="3"/>
    <x v="20"/>
    <s v="-"/>
    <s v="P"/>
    <s v="P"/>
    <s v="P"/>
    <s v="-"/>
    <s v="-"/>
    <n v="12.31"/>
    <s v="-"/>
    <s v="-"/>
    <s v="-"/>
    <s v="-"/>
    <s v="-"/>
    <s v="-"/>
    <s v="-"/>
    <s v="-"/>
    <s v="P"/>
    <s v="P"/>
    <s v="-"/>
    <s v="-"/>
    <n v="1"/>
    <n v="2"/>
    <n v="1"/>
    <s v="-"/>
    <s v="-"/>
    <s v="-"/>
    <s v="-"/>
    <s v="-"/>
    <s v="-"/>
    <s v="-"/>
    <n v="4"/>
    <n v="4"/>
    <s v="-"/>
    <n v="1"/>
    <n v="1"/>
    <n v="2"/>
    <n v="2"/>
    <n v="6"/>
    <n v="6"/>
  </r>
  <r>
    <x v="7"/>
    <x v="179"/>
    <d v="2026-07-31T00:00:00"/>
    <s v="2ND"/>
    <d v="1899-12-30T17:00:00"/>
    <n v="3"/>
    <x v="20"/>
    <s v="-"/>
    <s v="P"/>
    <s v="P"/>
    <s v="P"/>
    <s v="-"/>
    <s v="-"/>
    <n v="12.33"/>
    <s v="-"/>
    <s v="-"/>
    <s v="-"/>
    <s v="-"/>
    <s v="-"/>
    <s v="-"/>
    <s v="-"/>
    <s v="-"/>
    <s v="P"/>
    <s v="P"/>
    <s v="-"/>
    <s v="-"/>
    <n v="1"/>
    <n v="2"/>
    <n v="1"/>
    <s v="-"/>
    <s v="-"/>
    <s v="-"/>
    <s v="-"/>
    <s v="-"/>
    <s v="-"/>
    <s v="-"/>
    <n v="4"/>
    <n v="4"/>
    <s v="-"/>
    <n v="1"/>
    <n v="1"/>
    <n v="2"/>
    <n v="2"/>
    <n v="6"/>
    <n v="6"/>
  </r>
  <r>
    <x v="7"/>
    <x v="179"/>
    <d v="2026-08-17T00:00:00"/>
    <s v="3RD"/>
    <d v="1899-12-30T22:00:00"/>
    <n v="1"/>
    <x v="22"/>
    <n v="0.01"/>
    <s v="P"/>
    <s v="P"/>
    <s v="P"/>
    <s v="-"/>
    <s v="-"/>
    <n v="11.56"/>
    <n v="9.5399999999999991"/>
    <s v="-"/>
    <s v="-"/>
    <s v="-"/>
    <s v="-"/>
    <n v="26.2"/>
    <s v="-"/>
    <s v="-"/>
    <s v="P"/>
    <s v="P"/>
    <n v="1"/>
    <n v="2"/>
    <n v="1"/>
    <n v="2"/>
    <n v="1"/>
    <n v="1"/>
    <s v="-"/>
    <s v="-"/>
    <s v="-"/>
    <s v="-"/>
    <n v="2"/>
    <s v="-"/>
    <n v="9"/>
    <n v="9"/>
    <s v="-"/>
    <n v="1"/>
    <n v="1"/>
    <n v="2"/>
    <n v="2"/>
    <n v="11"/>
    <n v="11"/>
  </r>
  <r>
    <x v="7"/>
    <x v="179"/>
    <d v="2026-08-17T00:00:00"/>
    <s v="3RD"/>
    <d v="1899-12-30T23:00:00"/>
    <n v="1"/>
    <x v="22"/>
    <n v="0.01"/>
    <s v="P"/>
    <s v="P"/>
    <s v="P"/>
    <s v="-"/>
    <s v="-"/>
    <n v="11.33"/>
    <s v="-"/>
    <s v="-"/>
    <s v="-"/>
    <s v="-"/>
    <s v="-"/>
    <s v="-"/>
    <s v="-"/>
    <s v="-"/>
    <s v="P"/>
    <s v="P"/>
    <s v="-"/>
    <n v="2"/>
    <n v="1"/>
    <n v="2"/>
    <n v="1"/>
    <s v="-"/>
    <s v="-"/>
    <s v="-"/>
    <s v="-"/>
    <s v="-"/>
    <s v="-"/>
    <s v="-"/>
    <n v="6"/>
    <n v="6"/>
    <s v="-"/>
    <n v="1"/>
    <n v="1"/>
    <n v="2"/>
    <n v="2"/>
    <n v="8"/>
    <n v="8"/>
  </r>
  <r>
    <x v="7"/>
    <x v="179"/>
    <d v="2026-08-17T00:00:00"/>
    <s v="3RD"/>
    <d v="1899-12-31T00:00:00"/>
    <n v="1"/>
    <x v="22"/>
    <n v="0.01"/>
    <s v="P"/>
    <s v="P"/>
    <s v="P"/>
    <s v="-"/>
    <s v="-"/>
    <n v="11.51"/>
    <s v="-"/>
    <s v="-"/>
    <s v="-"/>
    <s v="-"/>
    <s v="-"/>
    <s v="-"/>
    <s v="-"/>
    <s v="-"/>
    <s v="P"/>
    <s v="P"/>
    <s v="-"/>
    <n v="2"/>
    <n v="1"/>
    <n v="2"/>
    <n v="1"/>
    <s v="-"/>
    <s v="-"/>
    <s v="-"/>
    <s v="-"/>
    <s v="-"/>
    <s v="-"/>
    <s v="-"/>
    <n v="6"/>
    <n v="6"/>
    <s v="-"/>
    <n v="1"/>
    <n v="1"/>
    <n v="2"/>
    <n v="2"/>
    <n v="8"/>
    <n v="8"/>
  </r>
  <r>
    <x v="7"/>
    <x v="179"/>
    <d v="2026-08-17T00:00:00"/>
    <s v="3RD"/>
    <d v="1899-12-31T01:00:00"/>
    <n v="1"/>
    <x v="22"/>
    <n v="0.01"/>
    <s v="P"/>
    <s v="P"/>
    <s v="P"/>
    <s v="-"/>
    <s v="-"/>
    <n v="11.43"/>
    <s v="-"/>
    <s v="-"/>
    <s v="-"/>
    <s v="-"/>
    <s v="-"/>
    <s v="-"/>
    <s v="-"/>
    <s v="-"/>
    <s v="P"/>
    <s v="P"/>
    <s v="-"/>
    <n v="2"/>
    <n v="1"/>
    <n v="2"/>
    <n v="1"/>
    <s v="-"/>
    <s v="-"/>
    <s v="-"/>
    <s v="-"/>
    <s v="-"/>
    <s v="-"/>
    <s v="-"/>
    <n v="6"/>
    <n v="6"/>
    <s v="-"/>
    <n v="1"/>
    <n v="1"/>
    <n v="2"/>
    <n v="2"/>
    <n v="8"/>
    <n v="8"/>
  </r>
  <r>
    <x v="7"/>
    <x v="179"/>
    <d v="2026-08-17T00:00:00"/>
    <s v="3RD"/>
    <d v="1899-12-31T02:00:00"/>
    <n v="1"/>
    <x v="22"/>
    <n v="0.01"/>
    <s v="P"/>
    <s v="P"/>
    <s v="P"/>
    <s v="-"/>
    <s v="-"/>
    <n v="11.11"/>
    <s v="-"/>
    <s v="-"/>
    <s v="-"/>
    <s v="-"/>
    <s v="-"/>
    <s v="-"/>
    <s v="-"/>
    <s v="-"/>
    <s v="P"/>
    <s v="P"/>
    <s v="-"/>
    <n v="2"/>
    <n v="1"/>
    <n v="2"/>
    <n v="1"/>
    <s v="-"/>
    <s v="-"/>
    <s v="-"/>
    <s v="-"/>
    <s v="-"/>
    <s v="-"/>
    <s v="-"/>
    <n v="6"/>
    <n v="6"/>
    <s v="-"/>
    <n v="1"/>
    <n v="1"/>
    <n v="2"/>
    <n v="2"/>
    <n v="8"/>
    <n v="8"/>
  </r>
  <r>
    <x v="7"/>
    <x v="179"/>
    <d v="1902-03-26T00:00:00"/>
    <s v="3RD"/>
    <d v="1899-12-30T22:00:00"/>
    <n v="2"/>
    <x v="7"/>
    <n v="0.02"/>
    <s v="P"/>
    <s v="P"/>
    <s v="P"/>
    <s v="-"/>
    <s v="+"/>
    <n v="11.13"/>
    <n v="9.94"/>
    <s v="-"/>
    <s v="-"/>
    <s v="-"/>
    <s v="-"/>
    <n v="27.3"/>
    <s v="-"/>
    <s v="-"/>
    <s v="P"/>
    <s v="P"/>
    <n v="1"/>
    <n v="2"/>
    <n v="1"/>
    <n v="2"/>
    <n v="1"/>
    <n v="1"/>
    <s v="-"/>
    <s v="-"/>
    <s v="-"/>
    <s v="-"/>
    <n v="2"/>
    <s v="-"/>
    <n v="9"/>
    <n v="9"/>
    <s v="-"/>
    <n v="1"/>
    <n v="1"/>
    <n v="2"/>
    <n v="2"/>
    <n v="11"/>
    <n v="11"/>
  </r>
  <r>
    <x v="7"/>
    <x v="179"/>
    <d v="1902-03-26T00:00:00"/>
    <s v="3RD"/>
    <d v="1899-12-30T23:00:00"/>
    <n v="2"/>
    <x v="47"/>
    <n v="0.01"/>
    <s v="P"/>
    <s v="P"/>
    <s v="P"/>
    <s v="-"/>
    <s v="+"/>
    <n v="11.34"/>
    <n v="9.5399999999999991"/>
    <s v="-"/>
    <n v="53.8"/>
    <s v="-"/>
    <s v="-"/>
    <n v="26.1"/>
    <s v="-"/>
    <s v="-"/>
    <s v="P"/>
    <s v="P"/>
    <s v="-"/>
    <n v="2"/>
    <n v="1"/>
    <n v="2"/>
    <n v="1"/>
    <n v="1"/>
    <s v="-"/>
    <n v="0"/>
    <s v="-"/>
    <s v="-"/>
    <n v="0"/>
    <s v="-"/>
    <n v="7"/>
    <n v="11"/>
    <s v="-"/>
    <n v="1"/>
    <n v="1"/>
    <n v="2"/>
    <n v="2"/>
    <n v="9"/>
    <n v="13"/>
  </r>
  <r>
    <x v="7"/>
    <x v="179"/>
    <d v="1899-12-30T00:00:00"/>
    <s v="3RD"/>
    <d v="1899-12-31T00:00:00"/>
    <n v="2"/>
    <x v="47"/>
    <s v="-"/>
    <s v="P"/>
    <s v="P"/>
    <s v="P"/>
    <s v="-"/>
    <s v="+"/>
    <n v="11.17"/>
    <s v="-"/>
    <s v="-"/>
    <s v="-"/>
    <s v="-"/>
    <s v="-"/>
    <s v="-"/>
    <s v="-"/>
    <s v="-"/>
    <s v="P"/>
    <s v="P"/>
    <s v="-"/>
    <s v="-"/>
    <n v="1"/>
    <n v="2"/>
    <n v="1"/>
    <s v="-"/>
    <s v="-"/>
    <s v="-"/>
    <s v="-"/>
    <s v="-"/>
    <s v="-"/>
    <s v="-"/>
    <n v="4"/>
    <n v="4"/>
    <s v="-"/>
    <n v="1"/>
    <n v="1"/>
    <n v="2"/>
    <n v="2"/>
    <n v="6"/>
    <n v="6"/>
  </r>
  <r>
    <x v="7"/>
    <x v="179"/>
    <d v="1899-12-30T00:00:00"/>
    <s v="3RD"/>
    <d v="1899-12-31T01:00:00"/>
    <n v="2"/>
    <x v="47"/>
    <n v="0.01"/>
    <s v="P"/>
    <s v="P"/>
    <s v="P"/>
    <s v="-"/>
    <s v="+"/>
    <n v="11.16"/>
    <s v="-"/>
    <s v="-"/>
    <s v="-"/>
    <s v="-"/>
    <s v="-"/>
    <s v="-"/>
    <s v="-"/>
    <s v="-"/>
    <s v="P"/>
    <s v="P"/>
    <s v="-"/>
    <n v="2"/>
    <n v="1"/>
    <n v="2"/>
    <n v="1"/>
    <s v="-"/>
    <s v="-"/>
    <s v="-"/>
    <s v="-"/>
    <s v="-"/>
    <s v="-"/>
    <s v="-"/>
    <n v="6"/>
    <n v="6"/>
    <s v="-"/>
    <n v="1"/>
    <n v="1"/>
    <n v="2"/>
    <n v="2"/>
    <n v="8"/>
    <n v="8"/>
  </r>
  <r>
    <x v="7"/>
    <x v="179"/>
    <d v="1899-12-30T00:00:00"/>
    <s v="3RD"/>
    <d v="1899-12-31T02:00:00"/>
    <n v="2"/>
    <x v="47"/>
    <n v="0.01"/>
    <s v="P"/>
    <s v="P"/>
    <s v="P"/>
    <s v="-"/>
    <s v="+"/>
    <n v="11.11"/>
    <s v="-"/>
    <s v="-"/>
    <s v="-"/>
    <s v="-"/>
    <s v="-"/>
    <s v="-"/>
    <s v="-"/>
    <s v="-"/>
    <s v="P"/>
    <s v="P"/>
    <s v="-"/>
    <n v="2"/>
    <n v="1"/>
    <n v="2"/>
    <n v="1"/>
    <s v="-"/>
    <s v="-"/>
    <s v="-"/>
    <s v="-"/>
    <s v="-"/>
    <s v="-"/>
    <s v="-"/>
    <n v="6"/>
    <n v="6"/>
    <s v="-"/>
    <n v="1"/>
    <n v="1"/>
    <n v="2"/>
    <n v="2"/>
    <n v="8"/>
    <n v="8"/>
  </r>
  <r>
    <x v="7"/>
    <x v="179"/>
    <d v="1899-12-30T00:00:00"/>
    <s v="3RD"/>
    <d v="1899-12-31T04:00:00"/>
    <n v="2"/>
    <x v="47"/>
    <n v="0.01"/>
    <s v="P"/>
    <s v="P"/>
    <s v="P"/>
    <s v="-"/>
    <s v="+"/>
    <n v="11.27"/>
    <s v="-"/>
    <s v="-"/>
    <s v="-"/>
    <s v="-"/>
    <s v="-"/>
    <s v="-"/>
    <s v="-"/>
    <s v="-"/>
    <s v="P"/>
    <s v="P"/>
    <s v="-"/>
    <n v="2"/>
    <n v="1"/>
    <n v="2"/>
    <n v="1"/>
    <s v="-"/>
    <s v="-"/>
    <s v="-"/>
    <s v="-"/>
    <s v="-"/>
    <s v="-"/>
    <s v="-"/>
    <n v="6"/>
    <n v="6"/>
    <s v="-"/>
    <n v="1"/>
    <n v="1"/>
    <n v="2"/>
    <n v="2"/>
    <n v="8"/>
    <n v="8"/>
  </r>
  <r>
    <x v="7"/>
    <x v="180"/>
    <d v="2026-08-18T00:00:00"/>
    <s v="1ST"/>
    <s v="06:00"/>
    <n v="1"/>
    <x v="22"/>
    <s v="-"/>
    <s v="P"/>
    <s v="P"/>
    <s v="P"/>
    <s v="-"/>
    <s v="-"/>
    <n v="10.74"/>
    <n v="10.029999999999999"/>
    <n v="0.56000000000000005"/>
    <n v="53"/>
    <s v="-"/>
    <s v="-"/>
    <n v="27.6"/>
    <s v="-"/>
    <s v="-"/>
    <s v="P"/>
    <s v="P"/>
    <n v="1"/>
    <s v="-"/>
    <n v="1"/>
    <n v="2"/>
    <n v="0"/>
    <n v="0"/>
    <n v="2"/>
    <n v="0"/>
    <s v="-"/>
    <s v="-"/>
    <n v="2"/>
    <s v="-"/>
    <n v="7"/>
    <n v="11"/>
    <s v="-"/>
    <n v="1"/>
    <n v="1"/>
    <n v="2"/>
    <n v="2"/>
    <n v="9"/>
    <n v="13"/>
  </r>
  <r>
    <x v="7"/>
    <x v="180"/>
    <d v="2026-08-18T00:00:00"/>
    <s v="1ST"/>
    <s v="07:00"/>
    <n v="1"/>
    <x v="22"/>
    <s v="-"/>
    <s v="P"/>
    <s v="P"/>
    <s v="P"/>
    <s v="-"/>
    <s v="-"/>
    <n v="10.63"/>
    <s v="-"/>
    <s v="-"/>
    <s v="-"/>
    <s v="-"/>
    <s v="-"/>
    <s v="-"/>
    <s v="-"/>
    <s v="-"/>
    <s v="P"/>
    <s v="P"/>
    <s v="-"/>
    <s v="-"/>
    <n v="1"/>
    <n v="2"/>
    <n v="0"/>
    <s v="-"/>
    <s v="-"/>
    <s v="-"/>
    <s v="-"/>
    <s v="-"/>
    <s v="-"/>
    <s v="-"/>
    <n v="3"/>
    <n v="4"/>
    <s v="-"/>
    <n v="1"/>
    <n v="1"/>
    <n v="2"/>
    <n v="2"/>
    <n v="5"/>
    <n v="6"/>
  </r>
  <r>
    <x v="7"/>
    <x v="180"/>
    <d v="2026-08-18T00:00:00"/>
    <s v="1ST"/>
    <s v="08:00"/>
    <n v="1"/>
    <x v="22"/>
    <s v="-"/>
    <s v="P"/>
    <s v="P"/>
    <s v="P"/>
    <s v="-"/>
    <s v="-"/>
    <n v="10.84"/>
    <s v="-"/>
    <s v="-"/>
    <s v="-"/>
    <s v="-"/>
    <s v="-"/>
    <s v="-"/>
    <s v="-"/>
    <s v="-"/>
    <s v="P"/>
    <s v="P"/>
    <s v="-"/>
    <s v="-"/>
    <n v="1"/>
    <n v="2"/>
    <n v="0"/>
    <s v="-"/>
    <s v="-"/>
    <s v="-"/>
    <s v="-"/>
    <s v="-"/>
    <s v="-"/>
    <s v="-"/>
    <n v="3"/>
    <n v="4"/>
    <s v="-"/>
    <n v="1"/>
    <n v="1"/>
    <n v="2"/>
    <n v="2"/>
    <n v="5"/>
    <n v="6"/>
  </r>
  <r>
    <x v="7"/>
    <x v="180"/>
    <d v="2026-08-18T00:00:00"/>
    <s v="1ST"/>
    <s v="09:00"/>
    <n v="1"/>
    <x v="22"/>
    <s v="-"/>
    <s v="P"/>
    <s v="P"/>
    <s v="P"/>
    <s v="-"/>
    <s v="-"/>
    <n v="10.84"/>
    <s v="-"/>
    <s v="-"/>
    <s v="-"/>
    <s v="-"/>
    <s v="-"/>
    <s v="-"/>
    <s v="-"/>
    <s v="-"/>
    <s v="P"/>
    <s v="P"/>
    <s v="-"/>
    <s v="-"/>
    <n v="1"/>
    <n v="2"/>
    <n v="0"/>
    <s v="-"/>
    <s v="-"/>
    <s v="-"/>
    <s v="-"/>
    <s v="-"/>
    <s v="-"/>
    <s v="-"/>
    <n v="3"/>
    <n v="4"/>
    <s v="-"/>
    <n v="1"/>
    <n v="1"/>
    <n v="2"/>
    <n v="2"/>
    <n v="5"/>
    <n v="6"/>
  </r>
  <r>
    <x v="7"/>
    <x v="180"/>
    <d v="2026-08-18T00:00:00"/>
    <s v="1ST"/>
    <s v="10:00"/>
    <n v="1"/>
    <x v="22"/>
    <s v="-"/>
    <s v="P"/>
    <s v="P"/>
    <s v="P"/>
    <s v="-"/>
    <s v="-"/>
    <n v="10.63"/>
    <s v="-"/>
    <s v="-"/>
    <s v="-"/>
    <s v="-"/>
    <s v="-"/>
    <s v="-"/>
    <s v="-"/>
    <s v="-"/>
    <s v="P"/>
    <s v="P"/>
    <s v="-"/>
    <s v="-"/>
    <n v="1"/>
    <n v="2"/>
    <n v="0"/>
    <s v="-"/>
    <s v="-"/>
    <s v="-"/>
    <s v="-"/>
    <s v="-"/>
    <s v="-"/>
    <s v="-"/>
    <n v="3"/>
    <n v="4"/>
    <s v="-"/>
    <n v="1"/>
    <n v="1"/>
    <n v="2"/>
    <n v="2"/>
    <n v="5"/>
    <n v="6"/>
  </r>
  <r>
    <x v="7"/>
    <x v="180"/>
    <d v="2026-08-18T00:00:00"/>
    <s v="1ST"/>
    <s v="11:00"/>
    <n v="1"/>
    <x v="22"/>
    <s v="-"/>
    <s v="P"/>
    <s v="P"/>
    <s v="P"/>
    <s v="-"/>
    <s v="-"/>
    <n v="10.58"/>
    <s v="-"/>
    <s v="-"/>
    <s v="-"/>
    <s v="-"/>
    <s v="-"/>
    <s v="-"/>
    <s v="-"/>
    <s v="-"/>
    <s v="P"/>
    <s v="P"/>
    <s v="-"/>
    <s v="-"/>
    <n v="1"/>
    <n v="2"/>
    <n v="0"/>
    <s v="-"/>
    <s v="-"/>
    <s v="-"/>
    <s v="-"/>
    <s v="-"/>
    <s v="-"/>
    <s v="-"/>
    <n v="3"/>
    <n v="4"/>
    <s v="-"/>
    <n v="1"/>
    <n v="1"/>
    <n v="2"/>
    <n v="2"/>
    <n v="5"/>
    <n v="6"/>
  </r>
  <r>
    <x v="7"/>
    <x v="180"/>
    <d v="2026-08-18T00:00:00"/>
    <s v="1ST"/>
    <s v="12:00"/>
    <n v="1"/>
    <x v="22"/>
    <s v="-"/>
    <s v="P"/>
    <s v="P"/>
    <s v="P"/>
    <s v="-"/>
    <s v="-"/>
    <n v="10.72"/>
    <s v="-"/>
    <s v="-"/>
    <s v="-"/>
    <s v="-"/>
    <s v="-"/>
    <s v="-"/>
    <s v="-"/>
    <s v="-"/>
    <s v="P"/>
    <s v="P"/>
    <s v="-"/>
    <s v="-"/>
    <n v="1"/>
    <n v="2"/>
    <n v="0"/>
    <s v="-"/>
    <s v="-"/>
    <s v="-"/>
    <s v="-"/>
    <s v="-"/>
    <s v="-"/>
    <s v="-"/>
    <n v="3"/>
    <n v="4"/>
    <s v="-"/>
    <n v="1"/>
    <n v="1"/>
    <n v="2"/>
    <n v="2"/>
    <n v="5"/>
    <n v="6"/>
  </r>
  <r>
    <x v="7"/>
    <x v="180"/>
    <d v="2026-08-16T00:00:00"/>
    <s v="1ST"/>
    <s v="13:00"/>
    <n v="1"/>
    <x v="22"/>
    <s v="-"/>
    <s v="P"/>
    <s v="P"/>
    <s v="P"/>
    <s v="-"/>
    <s v="-"/>
    <n v="11.03"/>
    <s v="-"/>
    <s v="-"/>
    <s v="-"/>
    <s v="-"/>
    <s v="-"/>
    <s v="-"/>
    <s v="-"/>
    <s v="-"/>
    <s v="P"/>
    <s v="P"/>
    <s v="-"/>
    <s v="-"/>
    <n v="1"/>
    <n v="2"/>
    <n v="1"/>
    <s v="-"/>
    <s v="-"/>
    <s v="-"/>
    <s v="-"/>
    <s v="-"/>
    <s v="-"/>
    <s v="-"/>
    <n v="4"/>
    <n v="4"/>
    <s v="-"/>
    <n v="1"/>
    <n v="1"/>
    <n v="2"/>
    <n v="2"/>
    <n v="6"/>
    <n v="6"/>
  </r>
  <r>
    <x v="7"/>
    <x v="180"/>
    <d v="1902-03-26T00:00:00"/>
    <s v="1ST"/>
    <s v="06:00"/>
    <n v="2"/>
    <x v="2"/>
    <n v="0.01"/>
    <s v="P"/>
    <s v="P"/>
    <s v="P"/>
    <s v="-"/>
    <s v="+"/>
    <n v="10.59"/>
    <n v="9.86"/>
    <n v="0.56000000000000005"/>
    <n v="53"/>
    <s v="-"/>
    <s v="-"/>
    <n v="27.1"/>
    <s v="-"/>
    <s v="-"/>
    <s v="P"/>
    <s v="P"/>
    <s v="-"/>
    <n v="2"/>
    <n v="1"/>
    <n v="2"/>
    <n v="0"/>
    <n v="1"/>
    <n v="2"/>
    <n v="0"/>
    <s v="-"/>
    <s v="-"/>
    <n v="2"/>
    <s v="-"/>
    <n v="10"/>
    <n v="13"/>
    <s v="-"/>
    <n v="1"/>
    <n v="1"/>
    <n v="2"/>
    <n v="2"/>
    <n v="12"/>
    <n v="15"/>
  </r>
  <r>
    <x v="7"/>
    <x v="180"/>
    <d v="1899-12-30T00:00:00"/>
    <s v="1ST"/>
    <s v="07:00"/>
    <n v="2"/>
    <x v="2"/>
    <n v="0.01"/>
    <s v="P"/>
    <s v="P"/>
    <s v="P"/>
    <s v="-"/>
    <s v="+"/>
    <n v="10.65"/>
    <s v="-"/>
    <s v="-"/>
    <s v="-"/>
    <s v="-"/>
    <s v="-"/>
    <s v="-"/>
    <s v="-"/>
    <s v="-"/>
    <s v="P"/>
    <s v="P"/>
    <s v="-"/>
    <n v="2"/>
    <n v="1"/>
    <n v="2"/>
    <n v="0"/>
    <s v="-"/>
    <s v="-"/>
    <s v="-"/>
    <s v="-"/>
    <s v="-"/>
    <s v="-"/>
    <s v="-"/>
    <n v="5"/>
    <n v="6"/>
    <s v="-"/>
    <n v="1"/>
    <n v="1"/>
    <n v="2"/>
    <n v="2"/>
    <n v="7"/>
    <n v="8"/>
  </r>
  <r>
    <x v="7"/>
    <x v="180"/>
    <d v="1899-12-30T00:00:00"/>
    <s v="1ST"/>
    <s v="08:00"/>
    <n v="2"/>
    <x v="2"/>
    <s v="-"/>
    <s v="P"/>
    <s v="P"/>
    <s v="P"/>
    <s v="-"/>
    <s v="+"/>
    <n v="10.5"/>
    <s v="-"/>
    <s v="-"/>
    <s v="-"/>
    <s v="-"/>
    <s v="-"/>
    <s v="-"/>
    <s v="-"/>
    <s v="-"/>
    <s v="P"/>
    <s v="P"/>
    <s v="-"/>
    <s v="-"/>
    <n v="1"/>
    <n v="2"/>
    <n v="0"/>
    <s v="-"/>
    <s v="-"/>
    <s v="-"/>
    <s v="-"/>
    <s v="-"/>
    <s v="-"/>
    <s v="-"/>
    <n v="3"/>
    <n v="4"/>
    <s v="-"/>
    <n v="1"/>
    <n v="1"/>
    <n v="2"/>
    <n v="2"/>
    <n v="5"/>
    <n v="6"/>
  </r>
  <r>
    <x v="7"/>
    <x v="180"/>
    <d v="1899-12-30T00:00:00"/>
    <s v="1ST"/>
    <s v="10:00"/>
    <n v="2"/>
    <x v="2"/>
    <s v="-"/>
    <s v="P"/>
    <s v="P"/>
    <s v="P"/>
    <s v="-"/>
    <s v="+"/>
    <n v="10.47"/>
    <s v="-"/>
    <s v="-"/>
    <s v="-"/>
    <s v="-"/>
    <s v="-"/>
    <s v="-"/>
    <s v="-"/>
    <s v="-"/>
    <s v="P"/>
    <s v="P"/>
    <s v="-"/>
    <s v="-"/>
    <n v="1"/>
    <n v="2"/>
    <n v="0"/>
    <s v="-"/>
    <s v="-"/>
    <s v="-"/>
    <s v="-"/>
    <s v="-"/>
    <s v="-"/>
    <s v="-"/>
    <n v="3"/>
    <n v="4"/>
    <s v="-"/>
    <n v="1"/>
    <n v="1"/>
    <n v="2"/>
    <n v="2"/>
    <n v="5"/>
    <n v="6"/>
  </r>
  <r>
    <x v="7"/>
    <x v="180"/>
    <d v="1899-12-30T00:00:00"/>
    <s v="1ST"/>
    <s v="12:00"/>
    <n v="2"/>
    <x v="15"/>
    <s v="-"/>
    <s v="P"/>
    <s v="P"/>
    <s v="P"/>
    <s v="-"/>
    <s v="+"/>
    <n v="11.36"/>
    <s v="-"/>
    <s v="-"/>
    <s v="-"/>
    <s v="-"/>
    <s v="-"/>
    <s v="-"/>
    <s v="-"/>
    <s v="-"/>
    <s v="P"/>
    <s v="P"/>
    <s v="-"/>
    <s v="-"/>
    <n v="1"/>
    <n v="2"/>
    <n v="1"/>
    <s v="-"/>
    <s v="-"/>
    <s v="-"/>
    <s v="-"/>
    <s v="-"/>
    <s v="-"/>
    <s v="-"/>
    <n v="4"/>
    <n v="4"/>
    <s v="-"/>
    <n v="1"/>
    <n v="1"/>
    <n v="2"/>
    <n v="2"/>
    <n v="6"/>
    <n v="6"/>
  </r>
  <r>
    <x v="7"/>
    <x v="180"/>
    <d v="2026-07-29T00:00:00"/>
    <s v="1ST"/>
    <s v="09:00"/>
    <n v="3"/>
    <x v="1"/>
    <s v="-"/>
    <s v="P"/>
    <s v="P"/>
    <s v="P"/>
    <s v="+"/>
    <s v="+"/>
    <n v="12.95"/>
    <n v="12.11"/>
    <s v="-"/>
    <n v="63.3"/>
    <s v="-"/>
    <s v="-"/>
    <n v="33.4"/>
    <s v="-"/>
    <s v="-"/>
    <s v="P"/>
    <s v="P"/>
    <s v="95% 5%"/>
    <s v="-"/>
    <n v="1"/>
    <n v="2"/>
    <n v="1"/>
    <n v="1"/>
    <s v="-"/>
    <n v="0"/>
    <s v="-"/>
    <s v="-"/>
    <n v="2"/>
    <s v="-"/>
    <n v="7"/>
    <n v="9"/>
    <s v="-"/>
    <n v="1"/>
    <n v="1"/>
    <n v="2"/>
    <n v="2"/>
    <n v="9"/>
    <n v="11"/>
  </r>
  <r>
    <x v="7"/>
    <x v="180"/>
    <d v="1899-12-30T00:00:00"/>
    <s v="1ST"/>
    <s v="10:00"/>
    <n v="3"/>
    <x v="1"/>
    <s v="-"/>
    <s v="P"/>
    <s v="P"/>
    <s v="P"/>
    <s v="+"/>
    <s v="+"/>
    <n v="12.95"/>
    <s v="-"/>
    <s v="-"/>
    <s v="-"/>
    <s v="-"/>
    <s v="-"/>
    <s v="-"/>
    <s v="-"/>
    <s v="-"/>
    <s v="P"/>
    <s v="P"/>
    <s v="-"/>
    <s v="-"/>
    <n v="1"/>
    <n v="2"/>
    <n v="1"/>
    <s v="-"/>
    <s v="-"/>
    <s v="-"/>
    <s v="-"/>
    <s v="-"/>
    <s v="-"/>
    <s v="-"/>
    <n v="4"/>
    <n v="4"/>
    <s v="-"/>
    <n v="1"/>
    <n v="1"/>
    <n v="2"/>
    <n v="2"/>
    <n v="6"/>
    <n v="6"/>
  </r>
  <r>
    <x v="7"/>
    <x v="180"/>
    <d v="2026-08-19T00:00:00"/>
    <s v="1ST"/>
    <s v="13:00"/>
    <n v="3"/>
    <x v="6"/>
    <n v="0.01"/>
    <s v="P"/>
    <s v="P"/>
    <s v="P"/>
    <s v="+"/>
    <s v="+"/>
    <n v="12.4"/>
    <s v="-"/>
    <s v="-"/>
    <s v="-"/>
    <s v="-"/>
    <s v="-"/>
    <s v="-"/>
    <s v="-"/>
    <s v="-"/>
    <s v="P"/>
    <s v="P"/>
    <s v="-"/>
    <n v="2"/>
    <n v="1"/>
    <n v="2"/>
    <n v="1"/>
    <s v="-"/>
    <s v="-"/>
    <s v="-"/>
    <s v="-"/>
    <s v="-"/>
    <s v="-"/>
    <s v="-"/>
    <n v="6"/>
    <n v="6"/>
    <s v="-"/>
    <n v="1"/>
    <n v="1"/>
    <n v="2"/>
    <n v="2"/>
    <n v="8"/>
    <n v="8"/>
  </r>
  <r>
    <x v="7"/>
    <x v="180"/>
    <d v="2026-08-19T00:00:00"/>
    <s v="1ST"/>
    <s v="07:00"/>
    <s v="Retail"/>
    <x v="3"/>
    <s v="-"/>
    <s v="-"/>
    <s v="-"/>
    <s v="-"/>
    <s v="-"/>
    <s v="-"/>
    <n v="13.12"/>
    <s v="-"/>
    <s v="-"/>
    <s v="-"/>
    <s v="-"/>
    <s v="-"/>
    <s v="-"/>
    <s v="-"/>
    <s v="-"/>
    <s v="-"/>
    <s v="-"/>
    <s v="-"/>
    <s v="-"/>
    <s v="-"/>
    <s v="-"/>
    <n v="1"/>
    <s v="-"/>
    <s v="-"/>
    <s v="-"/>
    <s v="-"/>
    <s v="-"/>
    <s v="-"/>
    <s v="-"/>
    <n v="1"/>
    <n v="1"/>
    <s v="-"/>
    <s v="-"/>
    <s v="-"/>
    <n v="0"/>
    <n v="0"/>
    <n v="1"/>
    <n v="1"/>
  </r>
  <r>
    <x v="7"/>
    <x v="180"/>
    <d v="2026-08-19T00:00:00"/>
    <s v="1ST"/>
    <s v="08:00"/>
    <s v="Retail"/>
    <x v="13"/>
    <s v="-"/>
    <s v="-"/>
    <s v="-"/>
    <s v="-"/>
    <s v="-"/>
    <s v="-"/>
    <n v="11.51"/>
    <s v="-"/>
    <s v="-"/>
    <s v="-"/>
    <s v="-"/>
    <s v="-"/>
    <s v="-"/>
    <s v="-"/>
    <s v="-"/>
    <s v="-"/>
    <s v="-"/>
    <s v="-"/>
    <s v="-"/>
    <s v="-"/>
    <s v="-"/>
    <n v="1"/>
    <s v="-"/>
    <s v="-"/>
    <s v="-"/>
    <s v="-"/>
    <s v="-"/>
    <s v="-"/>
    <s v="-"/>
    <n v="1"/>
    <n v="1"/>
    <s v="-"/>
    <s v="-"/>
    <s v="-"/>
    <n v="0"/>
    <n v="0"/>
    <n v="1"/>
    <n v="1"/>
  </r>
  <r>
    <x v="7"/>
    <x v="180"/>
    <d v="2026-08-16T00:00:00"/>
    <s v="2ND"/>
    <d v="1899-12-30T14:00:00"/>
    <n v="1"/>
    <x v="22"/>
    <s v="-"/>
    <s v="P"/>
    <s v="P"/>
    <s v="P"/>
    <s v="-"/>
    <s v="-"/>
    <n v="11.55"/>
    <n v="9.6"/>
    <s v="-"/>
    <s v="-"/>
    <s v="-"/>
    <s v="-"/>
    <n v="26.2"/>
    <s v="-"/>
    <s v="-"/>
    <s v="P"/>
    <s v="P"/>
    <n v="1"/>
    <s v="-"/>
    <n v="1"/>
    <n v="2"/>
    <n v="1"/>
    <n v="1"/>
    <s v="-"/>
    <s v="-"/>
    <s v="-"/>
    <s v="-"/>
    <n v="2"/>
    <s v="-"/>
    <n v="7"/>
    <n v="7"/>
    <s v="-"/>
    <n v="1"/>
    <n v="1"/>
    <n v="2"/>
    <n v="2"/>
    <n v="9"/>
    <n v="9"/>
  </r>
  <r>
    <x v="7"/>
    <x v="180"/>
    <d v="2026-08-16T00:00:00"/>
    <s v="2ND"/>
    <d v="1899-12-30T15:00:00"/>
    <n v="1"/>
    <x v="22"/>
    <s v="-"/>
    <s v="P"/>
    <s v="P"/>
    <s v="P"/>
    <s v="-"/>
    <s v="-"/>
    <n v="11.35"/>
    <s v="-"/>
    <s v="-"/>
    <s v="-"/>
    <s v="-"/>
    <s v="-"/>
    <s v="-"/>
    <s v="-"/>
    <s v="-"/>
    <s v="P"/>
    <s v="P"/>
    <s v="-"/>
    <s v="-"/>
    <n v="1"/>
    <n v="2"/>
    <n v="1"/>
    <s v="-"/>
    <s v="-"/>
    <s v="-"/>
    <s v="-"/>
    <s v="-"/>
    <s v="-"/>
    <s v="-"/>
    <n v="4"/>
    <n v="4"/>
    <s v="-"/>
    <n v="1"/>
    <n v="1"/>
    <n v="2"/>
    <n v="2"/>
    <n v="6"/>
    <n v="6"/>
  </r>
  <r>
    <x v="7"/>
    <x v="180"/>
    <d v="2026-08-16T00:00:00"/>
    <s v="2ND"/>
    <d v="1899-12-30T16:00:00"/>
    <n v="1"/>
    <x v="22"/>
    <s v="-"/>
    <s v="P"/>
    <s v="P"/>
    <s v="P"/>
    <s v="-"/>
    <s v="-"/>
    <n v="11.52"/>
    <s v="-"/>
    <s v="-"/>
    <s v="-"/>
    <s v="-"/>
    <s v="-"/>
    <s v="-"/>
    <s v="-"/>
    <s v="-"/>
    <s v="P"/>
    <s v="P"/>
    <s v="-"/>
    <s v="-"/>
    <n v="1"/>
    <n v="2"/>
    <n v="1"/>
    <s v="-"/>
    <s v="-"/>
    <s v="-"/>
    <s v="-"/>
    <s v="-"/>
    <s v="-"/>
    <s v="-"/>
    <n v="4"/>
    <n v="4"/>
    <s v="-"/>
    <n v="1"/>
    <n v="1"/>
    <n v="2"/>
    <n v="2"/>
    <n v="6"/>
    <n v="6"/>
  </r>
  <r>
    <x v="7"/>
    <x v="180"/>
    <d v="2026-08-16T00:00:00"/>
    <s v="2ND"/>
    <d v="1899-12-30T17:00:00"/>
    <n v="1"/>
    <x v="22"/>
    <s v="-"/>
    <s v="P"/>
    <s v="P"/>
    <s v="P"/>
    <s v="-"/>
    <s v="-"/>
    <n v="11.62"/>
    <s v="-"/>
    <s v="-"/>
    <s v="-"/>
    <s v="-"/>
    <s v="-"/>
    <s v="-"/>
    <s v="-"/>
    <s v="-"/>
    <s v="P"/>
    <s v="P"/>
    <s v="-"/>
    <s v="-"/>
    <n v="1"/>
    <n v="2"/>
    <n v="1"/>
    <s v="-"/>
    <s v="-"/>
    <s v="-"/>
    <s v="-"/>
    <s v="-"/>
    <s v="-"/>
    <s v="-"/>
    <n v="4"/>
    <n v="4"/>
    <s v="-"/>
    <n v="1"/>
    <n v="1"/>
    <n v="2"/>
    <n v="2"/>
    <n v="6"/>
    <n v="6"/>
  </r>
  <r>
    <x v="7"/>
    <x v="180"/>
    <d v="2026-08-16T00:00:00"/>
    <s v="2ND"/>
    <d v="1899-12-30T18:00:00"/>
    <n v="1"/>
    <x v="22"/>
    <n v="0.01"/>
    <s v="P"/>
    <s v="P"/>
    <s v="P"/>
    <s v="-"/>
    <s v="-"/>
    <n v="11.75"/>
    <s v="-"/>
    <s v="-"/>
    <s v="-"/>
    <s v="-"/>
    <s v="-"/>
    <s v="-"/>
    <s v="-"/>
    <s v="-"/>
    <s v="P"/>
    <s v="P"/>
    <s v="-"/>
    <n v="2"/>
    <n v="1"/>
    <n v="2"/>
    <n v="1"/>
    <s v="-"/>
    <s v="-"/>
    <s v="-"/>
    <s v="-"/>
    <s v="-"/>
    <s v="-"/>
    <s v="-"/>
    <n v="6"/>
    <n v="6"/>
    <s v="-"/>
    <n v="1"/>
    <n v="1"/>
    <n v="2"/>
    <n v="2"/>
    <n v="8"/>
    <n v="8"/>
  </r>
  <r>
    <x v="7"/>
    <x v="180"/>
    <d v="2026-08-16T00:00:00"/>
    <s v="2ND"/>
    <d v="1899-12-30T19:00:00"/>
    <n v="1"/>
    <x v="22"/>
    <n v="0.01"/>
    <s v="P"/>
    <s v="P"/>
    <s v="P"/>
    <s v="-"/>
    <s v="-"/>
    <n v="12.25"/>
    <s v="-"/>
    <s v="-"/>
    <s v="-"/>
    <s v="-"/>
    <s v="-"/>
    <s v="-"/>
    <s v="-"/>
    <s v="-"/>
    <s v="P"/>
    <s v="P"/>
    <s v="-"/>
    <n v="2"/>
    <n v="1"/>
    <n v="2"/>
    <n v="1"/>
    <s v="-"/>
    <s v="-"/>
    <s v="-"/>
    <s v="-"/>
    <s v="-"/>
    <s v="-"/>
    <s v="-"/>
    <n v="6"/>
    <n v="6"/>
    <s v="-"/>
    <n v="1"/>
    <n v="1"/>
    <n v="2"/>
    <n v="2"/>
    <n v="8"/>
    <n v="8"/>
  </r>
  <r>
    <x v="7"/>
    <x v="180"/>
    <d v="2026-08-16T00:00:00"/>
    <s v="2ND"/>
    <d v="1899-12-30T20:00:00"/>
    <n v="1"/>
    <x v="22"/>
    <n v="0.01"/>
    <s v="P"/>
    <s v="P"/>
    <s v="P"/>
    <s v="-"/>
    <s v="-"/>
    <n v="12.13"/>
    <s v="-"/>
    <s v="-"/>
    <s v="-"/>
    <s v="-"/>
    <s v="-"/>
    <s v="-"/>
    <s v="-"/>
    <s v="-"/>
    <s v="P"/>
    <s v="P"/>
    <s v="-"/>
    <n v="2"/>
    <n v="1"/>
    <n v="2"/>
    <n v="1"/>
    <s v="-"/>
    <s v="-"/>
    <s v="-"/>
    <s v="-"/>
    <s v="-"/>
    <s v="-"/>
    <s v="-"/>
    <n v="6"/>
    <n v="6"/>
    <s v="-"/>
    <n v="1"/>
    <n v="1"/>
    <n v="2"/>
    <n v="2"/>
    <n v="8"/>
    <n v="8"/>
  </r>
  <r>
    <x v="7"/>
    <x v="180"/>
    <d v="1902-03-17T00:00:00"/>
    <s v="2ND"/>
    <d v="1899-12-30T14:00:00"/>
    <n v="2"/>
    <x v="15"/>
    <n v="0.01"/>
    <s v="P"/>
    <s v="P"/>
    <s v="P"/>
    <s v="-"/>
    <s v="+"/>
    <n v="11.05"/>
    <n v="9.27"/>
    <s v="-"/>
    <s v="-"/>
    <s v="-"/>
    <s v="-"/>
    <n v="25.2"/>
    <s v="-"/>
    <s v="-"/>
    <s v="P"/>
    <s v="P"/>
    <n v="1"/>
    <n v="2"/>
    <n v="1"/>
    <n v="2"/>
    <n v="1"/>
    <n v="0"/>
    <s v="-"/>
    <s v="-"/>
    <s v="-"/>
    <s v="-"/>
    <n v="2"/>
    <s v="-"/>
    <n v="8"/>
    <n v="9"/>
    <s v="-"/>
    <n v="1"/>
    <n v="1"/>
    <n v="2"/>
    <n v="2"/>
    <n v="10"/>
    <n v="11"/>
  </r>
  <r>
    <x v="7"/>
    <x v="180"/>
    <d v="1902-04-06T00:00:00"/>
    <s v="2ND"/>
    <d v="1899-12-30T15:00:00"/>
    <n v="2"/>
    <x v="21"/>
    <s v="-"/>
    <s v="P"/>
    <s v="P"/>
    <s v="P"/>
    <s v="-"/>
    <s v="+"/>
    <n v="10.62"/>
    <n v="10.45"/>
    <n v="53.9"/>
    <s v="-"/>
    <s v="-"/>
    <s v="-"/>
    <n v="29"/>
    <s v="-"/>
    <s v="-"/>
    <s v="P"/>
    <s v="P"/>
    <s v="-"/>
    <s v="-"/>
    <n v="1"/>
    <n v="2"/>
    <n v="0"/>
    <s v="-"/>
    <n v="0"/>
    <s v="-"/>
    <s v="-"/>
    <s v="-"/>
    <n v="0"/>
    <s v="-"/>
    <n v="3"/>
    <n v="8"/>
    <s v="-"/>
    <n v="1"/>
    <n v="1"/>
    <n v="2"/>
    <n v="2"/>
    <n v="5"/>
    <n v="10"/>
  </r>
  <r>
    <x v="7"/>
    <x v="180"/>
    <d v="1899-12-30T00:00:00"/>
    <s v="2ND"/>
    <d v="1899-12-30T16:00:00"/>
    <n v="2"/>
    <x v="21"/>
    <s v="-"/>
    <s v="P"/>
    <s v="P"/>
    <s v="P"/>
    <s v="-"/>
    <s v="+"/>
    <n v="10.57"/>
    <s v="-"/>
    <s v="-"/>
    <s v="-"/>
    <s v="-"/>
    <s v="-"/>
    <s v="-"/>
    <s v="-"/>
    <s v="-"/>
    <s v="P"/>
    <s v="P"/>
    <s v="-"/>
    <s v="-"/>
    <n v="1"/>
    <n v="2"/>
    <n v="0"/>
    <s v="-"/>
    <s v="-"/>
    <s v="-"/>
    <s v="-"/>
    <s v="-"/>
    <s v="-"/>
    <s v="-"/>
    <n v="3"/>
    <n v="4"/>
    <s v="-"/>
    <n v="1"/>
    <n v="1"/>
    <n v="2"/>
    <n v="2"/>
    <n v="5"/>
    <n v="6"/>
  </r>
  <r>
    <x v="7"/>
    <x v="180"/>
    <d v="1899-12-30T00:00:00"/>
    <s v="2ND"/>
    <d v="1899-12-30T17:00:00"/>
    <n v="2"/>
    <x v="21"/>
    <s v="-"/>
    <s v="P"/>
    <s v="P"/>
    <s v="P"/>
    <s v="-"/>
    <s v="+"/>
    <n v="10.48"/>
    <s v="-"/>
    <s v="-"/>
    <s v="-"/>
    <s v="-"/>
    <s v="-"/>
    <s v="-"/>
    <s v="-"/>
    <s v="-"/>
    <s v="P"/>
    <s v="P"/>
    <s v="-"/>
    <s v="-"/>
    <n v="1"/>
    <n v="2"/>
    <n v="0"/>
    <s v="-"/>
    <s v="-"/>
    <s v="-"/>
    <s v="-"/>
    <s v="-"/>
    <s v="-"/>
    <s v="-"/>
    <n v="3"/>
    <n v="4"/>
    <s v="-"/>
    <n v="1"/>
    <n v="1"/>
    <n v="2"/>
    <n v="2"/>
    <n v="5"/>
    <n v="6"/>
  </r>
  <r>
    <x v="7"/>
    <x v="180"/>
    <d v="1899-12-30T00:00:00"/>
    <s v="2ND"/>
    <d v="1899-12-30T18:00:00"/>
    <n v="2"/>
    <x v="21"/>
    <n v="0.02"/>
    <s v="P"/>
    <s v="P"/>
    <s v="P"/>
    <s v="-"/>
    <s v="+"/>
    <n v="10.49"/>
    <s v="-"/>
    <s v="-"/>
    <s v="-"/>
    <s v="-"/>
    <s v="-"/>
    <s v="-"/>
    <s v="-"/>
    <s v="-"/>
    <s v="P"/>
    <s v="P"/>
    <s v="-"/>
    <n v="2"/>
    <n v="1"/>
    <n v="2"/>
    <n v="0"/>
    <s v="-"/>
    <s v="-"/>
    <s v="-"/>
    <s v="-"/>
    <s v="-"/>
    <s v="-"/>
    <s v="-"/>
    <n v="5"/>
    <n v="6"/>
    <s v="-"/>
    <n v="1"/>
    <n v="1"/>
    <n v="2"/>
    <n v="2"/>
    <n v="7"/>
    <n v="8"/>
  </r>
  <r>
    <x v="7"/>
    <x v="180"/>
    <d v="1899-12-30T00:00:00"/>
    <s v="2ND"/>
    <d v="1899-12-30T19:00:00"/>
    <n v="2"/>
    <x v="21"/>
    <n v="0.01"/>
    <s v="P"/>
    <s v="P"/>
    <s v="P"/>
    <s v="-"/>
    <s v="+"/>
    <n v="11.09"/>
    <s v="-"/>
    <s v="-"/>
    <s v="-"/>
    <s v="-"/>
    <s v="-"/>
    <s v="-"/>
    <s v="-"/>
    <s v="-"/>
    <s v="P"/>
    <s v="P"/>
    <s v="-"/>
    <n v="2"/>
    <n v="1"/>
    <n v="2"/>
    <n v="1"/>
    <s v="-"/>
    <s v="-"/>
    <s v="-"/>
    <s v="-"/>
    <s v="-"/>
    <s v="-"/>
    <s v="-"/>
    <n v="6"/>
    <n v="6"/>
    <s v="-"/>
    <n v="1"/>
    <n v="1"/>
    <n v="2"/>
    <n v="2"/>
    <n v="8"/>
    <n v="8"/>
  </r>
  <r>
    <x v="7"/>
    <x v="180"/>
    <d v="1899-12-30T00:00:00"/>
    <s v="2ND"/>
    <d v="1899-12-30T20:00:00"/>
    <n v="2"/>
    <x v="21"/>
    <n v="0.01"/>
    <s v="P"/>
    <s v="P"/>
    <s v="P"/>
    <s v="-"/>
    <s v="+"/>
    <n v="11.37"/>
    <s v="-"/>
    <s v="-"/>
    <s v="-"/>
    <s v="-"/>
    <s v="-"/>
    <s v="-"/>
    <s v="-"/>
    <s v="-"/>
    <s v="P"/>
    <s v="P"/>
    <s v="-"/>
    <n v="2"/>
    <n v="1"/>
    <n v="2"/>
    <n v="1"/>
    <s v="-"/>
    <s v="-"/>
    <s v="-"/>
    <s v="-"/>
    <s v="-"/>
    <s v="-"/>
    <s v="-"/>
    <n v="6"/>
    <n v="6"/>
    <s v="-"/>
    <n v="1"/>
    <n v="1"/>
    <n v="2"/>
    <n v="2"/>
    <n v="8"/>
    <n v="8"/>
  </r>
  <r>
    <x v="7"/>
    <x v="180"/>
    <d v="2026-08-19T00:00:00"/>
    <s v="2ND"/>
    <d v="1899-12-30T14:00:00"/>
    <n v="3"/>
    <x v="6"/>
    <s v="-"/>
    <s v="P"/>
    <s v="P"/>
    <s v="P"/>
    <s v="+"/>
    <s v="+"/>
    <n v="12.31"/>
    <n v="12.61"/>
    <n v="63.2"/>
    <s v="-"/>
    <s v="-"/>
    <s v="-"/>
    <n v="35.200000000000003"/>
    <s v="-"/>
    <s v="-"/>
    <s v="P"/>
    <s v="P"/>
    <s v="90% 10%"/>
    <s v="-"/>
    <n v="1"/>
    <n v="2"/>
    <n v="1"/>
    <n v="1"/>
    <n v="0"/>
    <s v="-"/>
    <s v="-"/>
    <s v="-"/>
    <n v="2"/>
    <s v="-"/>
    <n v="7"/>
    <n v="9"/>
    <s v="-"/>
    <n v="1"/>
    <n v="1"/>
    <n v="2"/>
    <n v="2"/>
    <n v="9"/>
    <n v="11"/>
  </r>
  <r>
    <x v="7"/>
    <x v="180"/>
    <d v="2026-08-19T00:00:00"/>
    <s v="2ND"/>
    <d v="1899-12-30T15:00:00"/>
    <n v="3"/>
    <x v="6"/>
    <s v="-"/>
    <s v="P"/>
    <s v="P"/>
    <s v="P"/>
    <s v="+"/>
    <s v="+"/>
    <n v="12.47"/>
    <s v="-"/>
    <s v="-"/>
    <s v="-"/>
    <s v="-"/>
    <s v="-"/>
    <s v="-"/>
    <s v="-"/>
    <s v="-"/>
    <s v="P"/>
    <s v="P"/>
    <s v="-"/>
    <s v="-"/>
    <n v="1"/>
    <n v="2"/>
    <n v="1"/>
    <s v="-"/>
    <s v="-"/>
    <s v="-"/>
    <s v="-"/>
    <s v="-"/>
    <s v="-"/>
    <s v="-"/>
    <n v="4"/>
    <n v="4"/>
    <s v="-"/>
    <n v="1"/>
    <n v="1"/>
    <n v="2"/>
    <n v="2"/>
    <n v="6"/>
    <n v="6"/>
  </r>
  <r>
    <x v="7"/>
    <x v="180"/>
    <d v="2026-08-19T00:00:00"/>
    <s v="2ND"/>
    <d v="1899-12-30T18:00:00"/>
    <n v="3"/>
    <x v="6"/>
    <n v="0.02"/>
    <s v="P"/>
    <s v="P"/>
    <s v="P"/>
    <s v="+"/>
    <s v="+"/>
    <s v="-"/>
    <s v="-"/>
    <s v="-"/>
    <s v="-"/>
    <s v="-"/>
    <s v="-"/>
    <s v="-"/>
    <s v="-"/>
    <s v="-"/>
    <s v="P"/>
    <s v="P"/>
    <s v="-"/>
    <n v="2"/>
    <n v="1"/>
    <n v="2"/>
    <s v="-"/>
    <s v="-"/>
    <s v="-"/>
    <s v="-"/>
    <s v="-"/>
    <s v="-"/>
    <s v="-"/>
    <s v="-"/>
    <n v="5"/>
    <n v="5"/>
    <s v="-"/>
    <n v="1"/>
    <n v="1"/>
    <n v="2"/>
    <n v="2"/>
    <n v="7"/>
    <n v="7"/>
  </r>
  <r>
    <x v="7"/>
    <x v="180"/>
    <d v="2026-08-19T00:00:00"/>
    <s v="2ND"/>
    <d v="1899-12-30T19:00:00"/>
    <n v="3"/>
    <x v="6"/>
    <n v="0.02"/>
    <s v="P"/>
    <s v="P"/>
    <s v="P"/>
    <s v="+"/>
    <s v="+"/>
    <n v="12.22"/>
    <s v="-"/>
    <s v="-"/>
    <s v="-"/>
    <s v="-"/>
    <s v="-"/>
    <s v="-"/>
    <s v="-"/>
    <s v="-"/>
    <s v="P"/>
    <s v="P"/>
    <s v="-"/>
    <n v="2"/>
    <n v="1"/>
    <n v="2"/>
    <n v="1"/>
    <s v="-"/>
    <s v="-"/>
    <s v="-"/>
    <s v="-"/>
    <s v="-"/>
    <s v="-"/>
    <s v="-"/>
    <n v="6"/>
    <n v="6"/>
    <s v="-"/>
    <n v="1"/>
    <n v="1"/>
    <n v="2"/>
    <n v="2"/>
    <n v="8"/>
    <n v="8"/>
  </r>
  <r>
    <x v="7"/>
    <x v="180"/>
    <d v="2026-08-19T00:00:00"/>
    <s v="2ND"/>
    <d v="1899-12-30T20:00:00"/>
    <n v="3"/>
    <x v="6"/>
    <n v="0.01"/>
    <s v="P"/>
    <s v="P"/>
    <s v="P"/>
    <s v="+"/>
    <s v="+"/>
    <n v="12.84"/>
    <s v="-"/>
    <s v="-"/>
    <s v="-"/>
    <s v="-"/>
    <s v="-"/>
    <s v="-"/>
    <s v="-"/>
    <s v="-"/>
    <s v="P"/>
    <s v="P"/>
    <s v="-"/>
    <n v="2"/>
    <n v="1"/>
    <n v="2"/>
    <n v="1"/>
    <s v="-"/>
    <s v="-"/>
    <s v="-"/>
    <s v="-"/>
    <s v="-"/>
    <s v="-"/>
    <s v="-"/>
    <n v="6"/>
    <n v="6"/>
    <s v="-"/>
    <n v="1"/>
    <n v="1"/>
    <n v="2"/>
    <n v="2"/>
    <n v="8"/>
    <n v="8"/>
  </r>
  <r>
    <x v="7"/>
    <x v="180"/>
    <d v="2026-08-19T00:00:00"/>
    <s v="2ND"/>
    <d v="1899-12-30T21:00:00"/>
    <n v="3"/>
    <x v="6"/>
    <n v="0.01"/>
    <s v="P"/>
    <s v="P"/>
    <s v="P"/>
    <s v="+"/>
    <s v="+"/>
    <n v="13.15"/>
    <s v="-"/>
    <s v="-"/>
    <s v="-"/>
    <s v="-"/>
    <s v="-"/>
    <s v="-"/>
    <s v="-"/>
    <s v="-"/>
    <s v="P"/>
    <s v="P"/>
    <s v="-"/>
    <n v="2"/>
    <n v="1"/>
    <n v="2"/>
    <n v="1"/>
    <s v="-"/>
    <s v="-"/>
    <s v="-"/>
    <s v="-"/>
    <s v="-"/>
    <s v="-"/>
    <s v="-"/>
    <n v="6"/>
    <n v="6"/>
    <s v="-"/>
    <n v="1"/>
    <n v="1"/>
    <n v="2"/>
    <n v="2"/>
    <n v="8"/>
    <n v="8"/>
  </r>
  <r>
    <x v="7"/>
    <x v="180"/>
    <d v="2026-08-16T00:00:00"/>
    <s v="3RD"/>
    <d v="1899-12-30T22:00:00"/>
    <n v="1"/>
    <x v="22"/>
    <n v="0.01"/>
    <s v="P"/>
    <s v="P"/>
    <s v="P"/>
    <s v="-"/>
    <s v="-"/>
    <n v="11.47"/>
    <n v="10.55"/>
    <s v="-"/>
    <s v="-"/>
    <s v="-"/>
    <s v="-"/>
    <n v="29.2"/>
    <s v="-"/>
    <s v="-"/>
    <s v="P"/>
    <s v="P"/>
    <n v="1"/>
    <n v="2"/>
    <n v="1"/>
    <n v="2"/>
    <n v="1"/>
    <n v="0"/>
    <s v="-"/>
    <s v="-"/>
    <s v="-"/>
    <s v="-"/>
    <n v="2"/>
    <s v="-"/>
    <n v="8"/>
    <n v="9"/>
    <s v="-"/>
    <n v="1"/>
    <n v="1"/>
    <n v="2"/>
    <n v="2"/>
    <n v="10"/>
    <n v="11"/>
  </r>
  <r>
    <x v="7"/>
    <x v="180"/>
    <d v="2026-08-16T00:00:00"/>
    <s v="3RD"/>
    <d v="1899-12-30T23:00:00"/>
    <n v="1"/>
    <x v="22"/>
    <s v="-"/>
    <s v="P"/>
    <s v="P"/>
    <s v="P"/>
    <s v="-"/>
    <s v="-"/>
    <n v="11.33"/>
    <s v="-"/>
    <s v="-"/>
    <s v="-"/>
    <s v="-"/>
    <s v="-"/>
    <s v="-"/>
    <s v="-"/>
    <s v="-"/>
    <s v="P"/>
    <s v="P"/>
    <s v="-"/>
    <s v="-"/>
    <n v="1"/>
    <n v="2"/>
    <n v="1"/>
    <s v="-"/>
    <s v="-"/>
    <s v="-"/>
    <s v="-"/>
    <s v="-"/>
    <s v="-"/>
    <s v="-"/>
    <n v="4"/>
    <n v="4"/>
    <s v="-"/>
    <n v="1"/>
    <n v="1"/>
    <n v="2"/>
    <n v="2"/>
    <n v="6"/>
    <n v="6"/>
  </r>
  <r>
    <x v="7"/>
    <x v="180"/>
    <d v="2026-08-16T00:00:00"/>
    <s v="3RD"/>
    <d v="1899-12-31T00:00:00"/>
    <n v="1"/>
    <x v="22"/>
    <n v="0.01"/>
    <s v="P"/>
    <s v="P"/>
    <s v="P"/>
    <s v="-"/>
    <s v="-"/>
    <n v="11.25"/>
    <s v="-"/>
    <s v="-"/>
    <s v="-"/>
    <s v="-"/>
    <s v="-"/>
    <s v="-"/>
    <s v="-"/>
    <s v="-"/>
    <s v="P"/>
    <s v="P"/>
    <s v="-"/>
    <n v="2"/>
    <n v="1"/>
    <n v="2"/>
    <n v="1"/>
    <s v="-"/>
    <s v="-"/>
    <s v="-"/>
    <s v="-"/>
    <s v="-"/>
    <s v="-"/>
    <s v="-"/>
    <n v="6"/>
    <n v="6"/>
    <s v="-"/>
    <n v="1"/>
    <n v="1"/>
    <n v="2"/>
    <n v="2"/>
    <n v="8"/>
    <n v="8"/>
  </r>
  <r>
    <x v="7"/>
    <x v="180"/>
    <d v="2026-08-16T00:00:00"/>
    <s v="3RD"/>
    <d v="1899-12-31T01:00:00"/>
    <n v="1"/>
    <x v="22"/>
    <n v="0.01"/>
    <s v="P"/>
    <s v="P"/>
    <s v="P"/>
    <s v="-"/>
    <s v="-"/>
    <n v="11.97"/>
    <s v="-"/>
    <s v="-"/>
    <s v="-"/>
    <s v="-"/>
    <s v="-"/>
    <s v="-"/>
    <s v="-"/>
    <s v="-"/>
    <s v="P"/>
    <s v="P"/>
    <s v="-"/>
    <n v="2"/>
    <n v="1"/>
    <n v="2"/>
    <n v="1"/>
    <s v="-"/>
    <s v="-"/>
    <s v="-"/>
    <s v="-"/>
    <s v="-"/>
    <s v="-"/>
    <s v="-"/>
    <n v="6"/>
    <n v="6"/>
    <s v="-"/>
    <n v="1"/>
    <n v="1"/>
    <n v="2"/>
    <n v="2"/>
    <n v="8"/>
    <n v="8"/>
  </r>
  <r>
    <x v="7"/>
    <x v="180"/>
    <d v="2026-08-16T00:00:00"/>
    <s v="3RD"/>
    <d v="1899-12-31T02:00:00"/>
    <n v="1"/>
    <x v="22"/>
    <n v="0.01"/>
    <s v="P"/>
    <s v="P"/>
    <s v="P"/>
    <s v="-"/>
    <s v="-"/>
    <n v="11.44"/>
    <s v="-"/>
    <s v="-"/>
    <s v="-"/>
    <s v="-"/>
    <s v="-"/>
    <s v="-"/>
    <s v="-"/>
    <s v="-"/>
    <s v="P"/>
    <s v="P"/>
    <s v="-"/>
    <n v="2"/>
    <n v="1"/>
    <n v="2"/>
    <n v="1"/>
    <s v="-"/>
    <s v="-"/>
    <s v="-"/>
    <s v="-"/>
    <s v="-"/>
    <s v="-"/>
    <s v="-"/>
    <n v="6"/>
    <n v="6"/>
    <s v="-"/>
    <n v="1"/>
    <n v="1"/>
    <n v="2"/>
    <n v="2"/>
    <n v="8"/>
    <n v="8"/>
  </r>
  <r>
    <x v="7"/>
    <x v="180"/>
    <d v="2026-08-16T00:00:00"/>
    <s v="3RD"/>
    <d v="1899-12-31T03:00:00"/>
    <n v="1"/>
    <x v="22"/>
    <s v="-"/>
    <s v="P"/>
    <s v="P"/>
    <s v="P"/>
    <s v="-"/>
    <s v="-"/>
    <n v="11.6"/>
    <s v="-"/>
    <s v="-"/>
    <s v="-"/>
    <s v="-"/>
    <s v="-"/>
    <s v="-"/>
    <s v="-"/>
    <s v="-"/>
    <s v="P"/>
    <s v="P"/>
    <s v="-"/>
    <s v="-"/>
    <n v="1"/>
    <n v="2"/>
    <n v="1"/>
    <s v="-"/>
    <s v="-"/>
    <s v="-"/>
    <s v="-"/>
    <s v="-"/>
    <s v="-"/>
    <s v="-"/>
    <n v="4"/>
    <n v="4"/>
    <s v="-"/>
    <n v="1"/>
    <n v="1"/>
    <n v="2"/>
    <n v="2"/>
    <n v="6"/>
    <n v="6"/>
  </r>
  <r>
    <x v="7"/>
    <x v="180"/>
    <d v="2026-08-16T00:00:00"/>
    <s v="3RD"/>
    <d v="1899-12-31T04:00:00"/>
    <n v="1"/>
    <x v="38"/>
    <n v="0.01"/>
    <s v="P"/>
    <s v="P"/>
    <s v="P"/>
    <s v="-"/>
    <s v="-"/>
    <n v="12.21"/>
    <s v="-"/>
    <s v="-"/>
    <s v="-"/>
    <s v="-"/>
    <s v="-"/>
    <s v="-"/>
    <s v="-"/>
    <s v="-"/>
    <s v="P"/>
    <s v="P"/>
    <s v="-"/>
    <n v="2"/>
    <n v="1"/>
    <n v="2"/>
    <n v="1"/>
    <s v="-"/>
    <s v="-"/>
    <s v="-"/>
    <s v="-"/>
    <s v="-"/>
    <s v="-"/>
    <s v="-"/>
    <n v="6"/>
    <n v="6"/>
    <s v="-"/>
    <n v="1"/>
    <n v="1"/>
    <n v="2"/>
    <n v="2"/>
    <n v="8"/>
    <n v="8"/>
  </r>
  <r>
    <x v="7"/>
    <x v="180"/>
    <d v="2026-08-14T00:00:00"/>
    <s v="3RD"/>
    <d v="1899-12-31T05:00:00"/>
    <n v="1"/>
    <x v="38"/>
    <n v="0.01"/>
    <s v="P"/>
    <s v="P"/>
    <s v="P"/>
    <s v="-"/>
    <s v="-"/>
    <n v="11.76"/>
    <s v="-"/>
    <s v="-"/>
    <s v="-"/>
    <s v="-"/>
    <s v="-"/>
    <s v="-"/>
    <s v="-"/>
    <s v="-"/>
    <s v="P"/>
    <s v="P"/>
    <n v="1"/>
    <n v="2"/>
    <n v="1"/>
    <n v="2"/>
    <n v="1"/>
    <s v="-"/>
    <s v="-"/>
    <s v="-"/>
    <s v="-"/>
    <s v="-"/>
    <s v="-"/>
    <s v="-"/>
    <n v="6"/>
    <n v="6"/>
    <s v="-"/>
    <n v="1"/>
    <n v="1"/>
    <n v="2"/>
    <n v="2"/>
    <n v="8"/>
    <n v="8"/>
  </r>
  <r>
    <x v="7"/>
    <x v="180"/>
    <d v="1902-03-26T00:00:00"/>
    <s v="3RD"/>
    <d v="1899-12-30T22:00:00"/>
    <n v="2"/>
    <x v="21"/>
    <n v="0.01"/>
    <s v="P"/>
    <s v="P"/>
    <s v="P"/>
    <s v="-"/>
    <s v="+"/>
    <n v="10.91"/>
    <n v="9.5299999999999994"/>
    <s v="-"/>
    <s v="-"/>
    <s v="-"/>
    <s v="-"/>
    <n v="26.1"/>
    <s v="-"/>
    <s v="-"/>
    <s v="P"/>
    <s v="P"/>
    <s v="-"/>
    <n v="2"/>
    <n v="1"/>
    <n v="2"/>
    <n v="0"/>
    <s v="-"/>
    <s v="-"/>
    <s v="-"/>
    <s v="-"/>
    <s v="-"/>
    <n v="2"/>
    <s v="-"/>
    <n v="7"/>
    <n v="8"/>
    <s v="-"/>
    <n v="1"/>
    <n v="1"/>
    <n v="2"/>
    <n v="2"/>
    <n v="9"/>
    <n v="10"/>
  </r>
  <r>
    <x v="7"/>
    <x v="180"/>
    <d v="1899-12-30T00:00:00"/>
    <s v="3RD"/>
    <d v="1899-12-30T23:00:00"/>
    <n v="2"/>
    <x v="21"/>
    <n v="0.01"/>
    <s v="P"/>
    <s v="P"/>
    <s v="P"/>
    <s v="-"/>
    <s v="+"/>
    <n v="11.12"/>
    <s v="-"/>
    <s v="-"/>
    <s v="-"/>
    <s v="-"/>
    <s v="-"/>
    <s v="-"/>
    <s v="-"/>
    <s v="-"/>
    <s v="P"/>
    <s v="P"/>
    <s v="-"/>
    <n v="2"/>
    <n v="1"/>
    <n v="2"/>
    <n v="1"/>
    <s v="-"/>
    <s v="-"/>
    <s v="-"/>
    <s v="-"/>
    <s v="-"/>
    <s v="-"/>
    <s v="-"/>
    <n v="6"/>
    <n v="6"/>
    <s v="-"/>
    <n v="1"/>
    <n v="1"/>
    <n v="2"/>
    <n v="2"/>
    <n v="8"/>
    <n v="8"/>
  </r>
  <r>
    <x v="7"/>
    <x v="180"/>
    <d v="1899-12-30T00:00:00"/>
    <s v="3RD"/>
    <d v="1899-12-31T00:00:00"/>
    <n v="2"/>
    <x v="21"/>
    <s v="-"/>
    <s v="P"/>
    <s v="P"/>
    <s v="P"/>
    <s v="-"/>
    <s v="+"/>
    <n v="11.18"/>
    <s v="-"/>
    <s v="-"/>
    <s v="-"/>
    <s v="-"/>
    <s v="-"/>
    <s v="-"/>
    <s v="-"/>
    <s v="-"/>
    <s v="P"/>
    <s v="P"/>
    <s v="-"/>
    <s v="-"/>
    <n v="1"/>
    <n v="2"/>
    <n v="1"/>
    <s v="-"/>
    <s v="-"/>
    <s v="-"/>
    <s v="-"/>
    <s v="-"/>
    <s v="-"/>
    <s v="-"/>
    <n v="4"/>
    <n v="4"/>
    <s v="-"/>
    <n v="1"/>
    <n v="1"/>
    <n v="2"/>
    <n v="2"/>
    <n v="6"/>
    <n v="6"/>
  </r>
  <r>
    <x v="7"/>
    <x v="180"/>
    <d v="1899-12-30T00:00:00"/>
    <s v="3RD"/>
    <d v="1899-12-31T01:00:00"/>
    <n v="2"/>
    <x v="21"/>
    <n v="0.01"/>
    <s v="P"/>
    <s v="P"/>
    <s v="P"/>
    <s v="-"/>
    <s v="+"/>
    <n v="12.07"/>
    <s v="-"/>
    <s v="-"/>
    <s v="-"/>
    <s v="-"/>
    <s v="-"/>
    <s v="-"/>
    <s v="-"/>
    <s v="-"/>
    <s v="P"/>
    <s v="P"/>
    <s v="-"/>
    <n v="2"/>
    <n v="1"/>
    <n v="2"/>
    <n v="1"/>
    <s v="-"/>
    <s v="-"/>
    <s v="-"/>
    <s v="-"/>
    <s v="-"/>
    <s v="-"/>
    <s v="-"/>
    <n v="6"/>
    <n v="6"/>
    <s v="-"/>
    <n v="1"/>
    <n v="1"/>
    <n v="2"/>
    <n v="2"/>
    <n v="8"/>
    <n v="8"/>
  </r>
  <r>
    <x v="7"/>
    <x v="180"/>
    <d v="1899-12-30T00:00:00"/>
    <s v="3RD"/>
    <d v="1899-12-31T02:00:00"/>
    <n v="2"/>
    <x v="21"/>
    <n v="0.01"/>
    <s v="P"/>
    <s v="P"/>
    <s v="P"/>
    <s v="-"/>
    <s v="+"/>
    <n v="11.31"/>
    <s v="-"/>
    <s v="-"/>
    <s v="-"/>
    <s v="-"/>
    <s v="-"/>
    <s v="-"/>
    <s v="-"/>
    <s v="-"/>
    <s v="P"/>
    <s v="P"/>
    <s v="-"/>
    <n v="2"/>
    <n v="1"/>
    <n v="2"/>
    <n v="1"/>
    <s v="-"/>
    <s v="-"/>
    <s v="-"/>
    <s v="-"/>
    <s v="-"/>
    <s v="-"/>
    <s v="-"/>
    <n v="6"/>
    <n v="6"/>
    <s v="-"/>
    <n v="1"/>
    <n v="1"/>
    <n v="2"/>
    <n v="2"/>
    <n v="8"/>
    <n v="8"/>
  </r>
  <r>
    <x v="7"/>
    <x v="180"/>
    <d v="1899-12-30T00:00:00"/>
    <s v="3RD"/>
    <d v="1899-12-31T03:00:00"/>
    <n v="2"/>
    <x v="21"/>
    <s v="-"/>
    <s v="P"/>
    <s v="P"/>
    <s v="P"/>
    <s v="-"/>
    <s v="+"/>
    <n v="11.02"/>
    <s v="-"/>
    <s v="-"/>
    <s v="-"/>
    <s v="-"/>
    <s v="-"/>
    <s v="-"/>
    <s v="-"/>
    <s v="-"/>
    <s v="P"/>
    <s v="P"/>
    <s v="60% 10% 30%"/>
    <s v="-"/>
    <n v="1"/>
    <n v="2"/>
    <n v="1"/>
    <s v="-"/>
    <s v="-"/>
    <s v="-"/>
    <s v="-"/>
    <s v="-"/>
    <s v="-"/>
    <s v="-"/>
    <n v="4"/>
    <n v="4"/>
    <s v="-"/>
    <n v="1"/>
    <n v="1"/>
    <n v="2"/>
    <n v="2"/>
    <n v="6"/>
    <n v="6"/>
  </r>
  <r>
    <x v="7"/>
    <x v="180"/>
    <d v="1902-03-26T00:00:00"/>
    <s v="3RD"/>
    <d v="1899-12-31T04:00:00"/>
    <n v="2"/>
    <x v="7"/>
    <n v="0.01"/>
    <s v="P"/>
    <s v="P"/>
    <s v="P"/>
    <s v="-"/>
    <s v="+"/>
    <n v="11.86"/>
    <n v="10.050000000000001"/>
    <s v="-"/>
    <n v="54"/>
    <s v="-"/>
    <s v="-"/>
    <n v="27.6"/>
    <s v="-"/>
    <s v="-"/>
    <s v="P"/>
    <s v="P"/>
    <s v="-"/>
    <n v="2"/>
    <n v="1"/>
    <n v="2"/>
    <n v="1"/>
    <n v="1"/>
    <s v="-"/>
    <n v="0"/>
    <s v="-"/>
    <s v="-"/>
    <n v="2"/>
    <s v="-"/>
    <n v="9"/>
    <n v="11"/>
    <s v="-"/>
    <n v="1"/>
    <n v="1"/>
    <n v="2"/>
    <n v="2"/>
    <n v="11"/>
    <n v="13"/>
  </r>
  <r>
    <x v="7"/>
    <x v="180"/>
    <d v="2026-08-19T00:00:00"/>
    <s v="3RD"/>
    <d v="1899-12-30T22:00:00"/>
    <n v="3"/>
    <x v="6"/>
    <n v="0.02"/>
    <s v="P"/>
    <s v="P"/>
    <s v="P"/>
    <s v="+"/>
    <s v="+"/>
    <n v="12.43"/>
    <n v="12.67"/>
    <s v="-"/>
    <s v="-"/>
    <s v="-"/>
    <s v="-"/>
    <n v="35.4"/>
    <s v="-"/>
    <s v="-"/>
    <s v="P"/>
    <s v="P"/>
    <s v="90% 10%"/>
    <n v="2"/>
    <n v="1"/>
    <n v="2"/>
    <n v="1"/>
    <n v="1"/>
    <s v="-"/>
    <s v="-"/>
    <s v="-"/>
    <s v="-"/>
    <n v="2"/>
    <s v="-"/>
    <n v="9"/>
    <n v="9"/>
    <s v="-"/>
    <n v="1"/>
    <n v="1"/>
    <n v="2"/>
    <n v="2"/>
    <n v="11"/>
    <n v="11"/>
  </r>
  <r>
    <x v="7"/>
    <x v="180"/>
    <d v="2026-08-19T00:00:00"/>
    <s v="3RD"/>
    <d v="1899-12-30T23:00:00"/>
    <n v="3"/>
    <x v="6"/>
    <n v="0.01"/>
    <s v="P"/>
    <s v="P"/>
    <s v="P"/>
    <s v="+"/>
    <s v="+"/>
    <n v="11.99"/>
    <s v="-"/>
    <s v="-"/>
    <s v="-"/>
    <s v="-"/>
    <s v="-"/>
    <s v="-"/>
    <s v="-"/>
    <s v="-"/>
    <s v="P"/>
    <s v="P"/>
    <s v="-"/>
    <n v="2"/>
    <n v="1"/>
    <n v="2"/>
    <n v="0"/>
    <s v="-"/>
    <s v="-"/>
    <s v="-"/>
    <s v="-"/>
    <s v="-"/>
    <s v="-"/>
    <s v="-"/>
    <n v="5"/>
    <n v="6"/>
    <s v="-"/>
    <n v="1"/>
    <n v="1"/>
    <n v="2"/>
    <n v="2"/>
    <n v="7"/>
    <n v="8"/>
  </r>
  <r>
    <x v="7"/>
    <x v="180"/>
    <d v="2026-08-19T00:00:00"/>
    <s v="3RD"/>
    <d v="1899-12-31T00:00:00"/>
    <n v="3"/>
    <x v="1"/>
    <n v="0.02"/>
    <s v="P"/>
    <s v="P"/>
    <s v="P"/>
    <s v="+"/>
    <s v="+"/>
    <n v="12.73"/>
    <n v="12.81"/>
    <n v="0.65"/>
    <s v="-"/>
    <s v="-"/>
    <s v="-"/>
    <n v="35.799999999999997"/>
    <s v="-"/>
    <s v="-"/>
    <s v="P"/>
    <s v="P"/>
    <s v="95% 5%"/>
    <n v="2"/>
    <n v="1"/>
    <n v="2"/>
    <n v="1"/>
    <n v="1"/>
    <n v="2"/>
    <s v="-"/>
    <s v="-"/>
    <s v="-"/>
    <n v="2"/>
    <s v="-"/>
    <n v="11"/>
    <n v="11"/>
    <s v="-"/>
    <n v="1"/>
    <n v="1"/>
    <n v="2"/>
    <n v="2"/>
    <n v="13"/>
    <n v="13"/>
  </r>
  <r>
    <x v="7"/>
    <x v="180"/>
    <d v="2026-08-18T00:00:00"/>
    <s v="3RD"/>
    <d v="1899-12-31T02:00:00"/>
    <n v="3"/>
    <x v="16"/>
    <n v="0.02"/>
    <s v="P"/>
    <s v="P"/>
    <s v="P"/>
    <s v="+"/>
    <s v="+"/>
    <s v="-"/>
    <n v="13.77"/>
    <s v="-"/>
    <n v="62.8"/>
    <s v="-"/>
    <s v="-"/>
    <n v="38.700000000000003"/>
    <s v="-"/>
    <s v="-"/>
    <s v="P"/>
    <s v="P"/>
    <n v="1"/>
    <n v="2"/>
    <n v="1"/>
    <n v="2"/>
    <s v="-"/>
    <n v="1"/>
    <s v="-"/>
    <n v="0"/>
    <s v="-"/>
    <s v="-"/>
    <n v="2"/>
    <s v="-"/>
    <n v="8"/>
    <n v="10"/>
    <s v="-"/>
    <n v="1"/>
    <n v="1"/>
    <n v="2"/>
    <n v="2"/>
    <n v="10"/>
    <n v="12"/>
  </r>
  <r>
    <x v="7"/>
    <x v="180"/>
    <d v="2026-08-18T00:00:00"/>
    <s v="3RD"/>
    <d v="1899-12-31T04:00:00"/>
    <n v="3"/>
    <x v="16"/>
    <n v="0.02"/>
    <s v="P"/>
    <s v="P"/>
    <s v="P"/>
    <s v="+"/>
    <s v="+"/>
    <n v="13.74"/>
    <s v="-"/>
    <s v="-"/>
    <s v="-"/>
    <s v="-"/>
    <s v="-"/>
    <s v="-"/>
    <s v="-"/>
    <s v="-"/>
    <s v="P"/>
    <s v="P"/>
    <s v="-"/>
    <n v="2"/>
    <n v="1"/>
    <n v="2"/>
    <n v="1"/>
    <s v="-"/>
    <s v="-"/>
    <s v="-"/>
    <s v="-"/>
    <s v="-"/>
    <s v="-"/>
    <s v="-"/>
    <n v="6"/>
    <n v="6"/>
    <s v="-"/>
    <n v="1"/>
    <n v="1"/>
    <n v="2"/>
    <n v="2"/>
    <n v="8"/>
    <n v="8"/>
  </r>
  <r>
    <x v="7"/>
    <x v="180"/>
    <d v="2026-08-18T00:00:00"/>
    <s v="3RD"/>
    <d v="1899-12-31T05:00:00"/>
    <n v="3"/>
    <x v="16"/>
    <n v="0.01"/>
    <s v="P"/>
    <s v="P"/>
    <s v="P"/>
    <s v="+"/>
    <s v="+"/>
    <n v="13.43"/>
    <s v="-"/>
    <s v="-"/>
    <s v="-"/>
    <s v="-"/>
    <s v="-"/>
    <s v="-"/>
    <s v="-"/>
    <s v="-"/>
    <s v="P"/>
    <s v="P"/>
    <s v="-"/>
    <n v="2"/>
    <n v="1"/>
    <n v="2"/>
    <n v="1"/>
    <s v="-"/>
    <s v="-"/>
    <s v="-"/>
    <s v="-"/>
    <s v="-"/>
    <s v="-"/>
    <s v="-"/>
    <n v="6"/>
    <n v="6"/>
    <s v="-"/>
    <n v="1"/>
    <n v="1"/>
    <n v="2"/>
    <n v="2"/>
    <n v="8"/>
    <n v="8"/>
  </r>
  <r>
    <x v="7"/>
    <x v="181"/>
    <d v="2026-08-14T00:00:00"/>
    <s v="1ST"/>
    <s v="06:00"/>
    <n v="1"/>
    <x v="38"/>
    <s v="-"/>
    <s v="P"/>
    <s v="P"/>
    <s v="P"/>
    <s v="-"/>
    <s v="-"/>
    <n v="11.07"/>
    <n v="9.49"/>
    <n v="0.54"/>
    <n v="55"/>
    <s v="-"/>
    <s v="-"/>
    <n v="25.9"/>
    <s v="-"/>
    <s v="-"/>
    <s v="P"/>
    <s v="P"/>
    <n v="1"/>
    <s v="-"/>
    <n v="1"/>
    <n v="2"/>
    <n v="1"/>
    <n v="1"/>
    <n v="2"/>
    <n v="2"/>
    <s v="-"/>
    <s v="-"/>
    <n v="2"/>
    <s v="-"/>
    <n v="11"/>
    <n v="11"/>
    <s v="-"/>
    <n v="1"/>
    <n v="1"/>
    <n v="2"/>
    <n v="2"/>
    <n v="13"/>
    <n v="13"/>
  </r>
  <r>
    <x v="7"/>
    <x v="181"/>
    <d v="2026-08-14T00:00:00"/>
    <s v="1ST"/>
    <s v="07:00"/>
    <n v="1"/>
    <x v="38"/>
    <s v="-"/>
    <s v="P"/>
    <s v="P"/>
    <s v="P"/>
    <s v="-"/>
    <s v="-"/>
    <n v="11.17"/>
    <s v="-"/>
    <s v="-"/>
    <s v="-"/>
    <s v="-"/>
    <s v="-"/>
    <s v="-"/>
    <s v="-"/>
    <s v="-"/>
    <s v="P"/>
    <s v="P"/>
    <s v="-"/>
    <s v="-"/>
    <n v="1"/>
    <n v="2"/>
    <n v="1"/>
    <s v="-"/>
    <s v="-"/>
    <s v="-"/>
    <s v="-"/>
    <s v="-"/>
    <s v="-"/>
    <s v="-"/>
    <n v="4"/>
    <n v="4"/>
    <s v="-"/>
    <n v="1"/>
    <n v="1"/>
    <n v="2"/>
    <n v="2"/>
    <n v="6"/>
    <n v="6"/>
  </r>
  <r>
    <x v="7"/>
    <x v="181"/>
    <d v="2026-08-14T00:00:00"/>
    <s v="1ST"/>
    <s v="08:00"/>
    <n v="1"/>
    <x v="38"/>
    <s v="-"/>
    <s v="P"/>
    <s v="P"/>
    <s v="P"/>
    <s v="-"/>
    <s v="-"/>
    <n v="11.18"/>
    <s v="-"/>
    <s v="-"/>
    <s v="-"/>
    <s v="-"/>
    <s v="-"/>
    <s v="-"/>
    <s v="-"/>
    <s v="-"/>
    <s v="P"/>
    <s v="P"/>
    <s v="-"/>
    <s v="-"/>
    <n v="1"/>
    <n v="2"/>
    <n v="1"/>
    <s v="-"/>
    <s v="-"/>
    <s v="-"/>
    <s v="-"/>
    <s v="-"/>
    <s v="-"/>
    <s v="-"/>
    <n v="4"/>
    <n v="4"/>
    <s v="-"/>
    <n v="1"/>
    <n v="1"/>
    <n v="2"/>
    <n v="2"/>
    <n v="6"/>
    <n v="6"/>
  </r>
  <r>
    <x v="7"/>
    <x v="181"/>
    <d v="2026-08-14T00:00:00"/>
    <s v="1ST"/>
    <s v="09:00"/>
    <n v="1"/>
    <x v="38"/>
    <s v="-"/>
    <s v="P"/>
    <s v="P"/>
    <s v="P"/>
    <s v="-"/>
    <s v="-"/>
    <n v="11.24"/>
    <s v="-"/>
    <s v="-"/>
    <s v="-"/>
    <s v="-"/>
    <s v="-"/>
    <s v="-"/>
    <s v="-"/>
    <s v="-"/>
    <s v="P"/>
    <s v="P"/>
    <s v="-"/>
    <s v="-"/>
    <n v="1"/>
    <n v="2"/>
    <n v="1"/>
    <s v="-"/>
    <s v="-"/>
    <s v="-"/>
    <s v="-"/>
    <s v="-"/>
    <s v="-"/>
    <s v="-"/>
    <n v="4"/>
    <n v="4"/>
    <s v="-"/>
    <n v="1"/>
    <n v="1"/>
    <n v="2"/>
    <n v="2"/>
    <n v="6"/>
    <n v="6"/>
  </r>
  <r>
    <x v="7"/>
    <x v="181"/>
    <d v="2026-08-14T00:00:00"/>
    <s v="1ST"/>
    <s v="10:00"/>
    <n v="1"/>
    <x v="38"/>
    <s v="-"/>
    <s v="P"/>
    <s v="P"/>
    <s v="P"/>
    <s v="-"/>
    <s v="-"/>
    <n v="11.24"/>
    <s v="-"/>
    <s v="-"/>
    <s v="-"/>
    <s v="-"/>
    <s v="-"/>
    <s v="-"/>
    <s v="-"/>
    <s v="-"/>
    <s v="P"/>
    <s v="P"/>
    <s v="-"/>
    <s v="-"/>
    <n v="1"/>
    <n v="2"/>
    <n v="1"/>
    <s v="-"/>
    <s v="-"/>
    <s v="-"/>
    <s v="-"/>
    <s v="-"/>
    <s v="-"/>
    <s v="-"/>
    <n v="4"/>
    <n v="4"/>
    <s v="-"/>
    <n v="1"/>
    <n v="1"/>
    <n v="2"/>
    <n v="2"/>
    <n v="6"/>
    <n v="6"/>
  </r>
  <r>
    <x v="7"/>
    <x v="181"/>
    <d v="2026-08-14T00:00:00"/>
    <s v="1ST"/>
    <s v="11:00"/>
    <n v="1"/>
    <x v="38"/>
    <s v="-"/>
    <s v="P"/>
    <s v="P"/>
    <s v="P"/>
    <s v="-"/>
    <s v="-"/>
    <n v="11.12"/>
    <s v="-"/>
    <s v="-"/>
    <s v="-"/>
    <s v="-"/>
    <s v="-"/>
    <s v="-"/>
    <s v="-"/>
    <s v="-"/>
    <s v="P"/>
    <s v="P"/>
    <s v="-"/>
    <s v="-"/>
    <n v="1"/>
    <n v="2"/>
    <n v="1"/>
    <s v="-"/>
    <s v="-"/>
    <s v="-"/>
    <s v="-"/>
    <s v="-"/>
    <s v="-"/>
    <s v="-"/>
    <n v="4"/>
    <n v="4"/>
    <s v="-"/>
    <n v="1"/>
    <n v="1"/>
    <n v="2"/>
    <n v="2"/>
    <n v="6"/>
    <n v="6"/>
  </r>
  <r>
    <x v="7"/>
    <x v="181"/>
    <d v="2026-08-15T00:00:00"/>
    <s v="1ST"/>
    <s v="12:00"/>
    <n v="1"/>
    <x v="38"/>
    <s v="-"/>
    <s v="P"/>
    <s v="P"/>
    <s v="P"/>
    <s v="-"/>
    <s v="-"/>
    <n v="11.62"/>
    <s v="-"/>
    <s v="-"/>
    <s v="-"/>
    <s v="-"/>
    <s v="-"/>
    <s v="-"/>
    <s v="-"/>
    <s v="-"/>
    <s v="P"/>
    <s v="P"/>
    <n v="1"/>
    <s v="-"/>
    <n v="1"/>
    <n v="2"/>
    <n v="1"/>
    <s v="-"/>
    <s v="-"/>
    <s v="-"/>
    <s v="-"/>
    <s v="-"/>
    <s v="-"/>
    <s v="-"/>
    <n v="4"/>
    <n v="4"/>
    <s v="-"/>
    <n v="1"/>
    <n v="1"/>
    <n v="2"/>
    <n v="2"/>
    <n v="6"/>
    <n v="6"/>
  </r>
  <r>
    <x v="7"/>
    <x v="181"/>
    <d v="2026-08-15T00:00:00"/>
    <s v="1ST"/>
    <s v="13:00"/>
    <n v="1"/>
    <x v="38"/>
    <s v="-"/>
    <s v="P"/>
    <s v="P"/>
    <s v="P"/>
    <s v="-"/>
    <s v="-"/>
    <n v="11.12"/>
    <s v="-"/>
    <s v="-"/>
    <s v="-"/>
    <s v="-"/>
    <s v="-"/>
    <s v="-"/>
    <s v="-"/>
    <s v="-"/>
    <s v="P"/>
    <s v="P"/>
    <s v="-"/>
    <s v="-"/>
    <n v="1"/>
    <n v="2"/>
    <n v="1"/>
    <s v="-"/>
    <s v="-"/>
    <s v="-"/>
    <s v="-"/>
    <s v="-"/>
    <s v="-"/>
    <s v="-"/>
    <n v="4"/>
    <n v="4"/>
    <s v="-"/>
    <n v="1"/>
    <n v="1"/>
    <n v="2"/>
    <n v="2"/>
    <n v="6"/>
    <n v="6"/>
  </r>
  <r>
    <x v="7"/>
    <x v="181"/>
    <d v="1902-03-26T00:00:00"/>
    <s v="1ST"/>
    <s v="06:00"/>
    <n v="2"/>
    <x v="7"/>
    <s v="-"/>
    <s v="P"/>
    <s v="P"/>
    <s v="P"/>
    <s v="-"/>
    <s v="+"/>
    <n v="11.15"/>
    <n v="9.82"/>
    <n v="0.54"/>
    <n v="54.6"/>
    <s v="-"/>
    <s v="-"/>
    <n v="26.9"/>
    <s v="-"/>
    <s v="-"/>
    <s v="P"/>
    <s v="P"/>
    <s v="-"/>
    <s v="-"/>
    <n v="1"/>
    <n v="2"/>
    <n v="1"/>
    <n v="1"/>
    <n v="2"/>
    <n v="0"/>
    <s v="-"/>
    <s v="-"/>
    <n v="2"/>
    <s v="-"/>
    <n v="9"/>
    <n v="11"/>
    <s v="-"/>
    <n v="1"/>
    <n v="1"/>
    <n v="2"/>
    <n v="2"/>
    <n v="11"/>
    <n v="13"/>
  </r>
  <r>
    <x v="7"/>
    <x v="181"/>
    <d v="1899-12-30T00:00:00"/>
    <s v="1ST"/>
    <s v="07:00"/>
    <n v="2"/>
    <x v="7"/>
    <s v="-"/>
    <s v="P"/>
    <s v="P"/>
    <s v="P"/>
    <s v="-"/>
    <s v="+"/>
    <n v="11.33"/>
    <s v="-"/>
    <s v="-"/>
    <s v="-"/>
    <s v="-"/>
    <s v="-"/>
    <s v="-"/>
    <s v="-"/>
    <s v="-"/>
    <s v="P"/>
    <s v="P"/>
    <s v="-"/>
    <s v="-"/>
    <n v="1"/>
    <n v="2"/>
    <n v="1"/>
    <s v="-"/>
    <s v="-"/>
    <s v="-"/>
    <s v="-"/>
    <s v="-"/>
    <s v="-"/>
    <s v="-"/>
    <n v="4"/>
    <n v="4"/>
    <s v="-"/>
    <n v="1"/>
    <n v="1"/>
    <n v="2"/>
    <n v="2"/>
    <n v="6"/>
    <n v="6"/>
  </r>
  <r>
    <x v="7"/>
    <x v="181"/>
    <d v="1899-12-30T00:00:00"/>
    <s v="1ST"/>
    <s v="08:00"/>
    <n v="2"/>
    <x v="7"/>
    <s v="-"/>
    <s v="P"/>
    <s v="P"/>
    <s v="P"/>
    <s v="-"/>
    <s v="+"/>
    <n v="11.17"/>
    <s v="-"/>
    <s v="-"/>
    <s v="-"/>
    <s v="-"/>
    <s v="-"/>
    <s v="-"/>
    <s v="-"/>
    <s v="-"/>
    <s v="P"/>
    <s v="P"/>
    <s v="-"/>
    <s v="-"/>
    <n v="1"/>
    <n v="2"/>
    <n v="1"/>
    <s v="-"/>
    <s v="-"/>
    <s v="-"/>
    <s v="-"/>
    <s v="-"/>
    <s v="-"/>
    <s v="-"/>
    <n v="4"/>
    <n v="4"/>
    <s v="-"/>
    <n v="1"/>
    <n v="1"/>
    <n v="2"/>
    <n v="2"/>
    <n v="6"/>
    <n v="6"/>
  </r>
  <r>
    <x v="7"/>
    <x v="181"/>
    <d v="1899-12-30T00:00:00"/>
    <s v="1ST"/>
    <s v="09:00"/>
    <n v="2"/>
    <x v="7"/>
    <s v="-"/>
    <s v="P"/>
    <s v="P"/>
    <s v="P"/>
    <s v="-"/>
    <s v="+"/>
    <n v="11.23"/>
    <s v="-"/>
    <s v="-"/>
    <s v="-"/>
    <s v="-"/>
    <s v="-"/>
    <s v="-"/>
    <s v="-"/>
    <s v="-"/>
    <s v="P"/>
    <s v="P"/>
    <s v="-"/>
    <s v="-"/>
    <n v="1"/>
    <n v="2"/>
    <n v="1"/>
    <s v="-"/>
    <s v="-"/>
    <s v="-"/>
    <s v="-"/>
    <s v="-"/>
    <s v="-"/>
    <s v="-"/>
    <n v="4"/>
    <n v="4"/>
    <s v="-"/>
    <n v="1"/>
    <n v="1"/>
    <n v="2"/>
    <n v="2"/>
    <n v="6"/>
    <n v="6"/>
  </r>
  <r>
    <x v="7"/>
    <x v="181"/>
    <d v="1899-12-30T00:00:00"/>
    <s v="1ST"/>
    <s v="10:00"/>
    <n v="2"/>
    <x v="7"/>
    <s v="-"/>
    <s v="P"/>
    <s v="P"/>
    <s v="P"/>
    <s v="-"/>
    <s v="+"/>
    <n v="11.33"/>
    <s v="-"/>
    <s v="-"/>
    <s v="-"/>
    <s v="-"/>
    <s v="-"/>
    <s v="-"/>
    <s v="-"/>
    <s v="-"/>
    <s v="P"/>
    <s v="P"/>
    <s v="-"/>
    <s v="-"/>
    <n v="1"/>
    <n v="2"/>
    <n v="1"/>
    <s v="-"/>
    <s v="-"/>
    <s v="-"/>
    <s v="-"/>
    <s v="-"/>
    <s v="-"/>
    <s v="-"/>
    <n v="4"/>
    <n v="4"/>
    <s v="-"/>
    <n v="1"/>
    <n v="1"/>
    <n v="2"/>
    <n v="2"/>
    <n v="6"/>
    <n v="6"/>
  </r>
  <r>
    <x v="7"/>
    <x v="181"/>
    <d v="1899-12-30T00:00:00"/>
    <s v="1ST"/>
    <s v="13:00"/>
    <n v="2"/>
    <x v="7"/>
    <s v="-"/>
    <s v="P"/>
    <s v="P"/>
    <s v="P"/>
    <s v="-"/>
    <s v="+"/>
    <n v="11.49"/>
    <s v="-"/>
    <s v="-"/>
    <s v="-"/>
    <s v="-"/>
    <s v="-"/>
    <s v="-"/>
    <s v="-"/>
    <s v="-"/>
    <s v="P"/>
    <s v="P"/>
    <s v="-"/>
    <s v="-"/>
    <n v="1"/>
    <n v="2"/>
    <n v="1"/>
    <s v="-"/>
    <s v="-"/>
    <s v="-"/>
    <s v="-"/>
    <s v="-"/>
    <s v="-"/>
    <s v="-"/>
    <n v="4"/>
    <n v="4"/>
    <s v="-"/>
    <n v="1"/>
    <n v="1"/>
    <n v="2"/>
    <n v="2"/>
    <n v="6"/>
    <n v="6"/>
  </r>
  <r>
    <x v="7"/>
    <x v="181"/>
    <d v="2026-08-18T00:00:00"/>
    <s v="1ST"/>
    <s v="06:00"/>
    <n v="3"/>
    <x v="16"/>
    <s v="-"/>
    <s v="P"/>
    <s v="P"/>
    <s v="P"/>
    <s v="+"/>
    <s v="+"/>
    <n v="12.42"/>
    <n v="13.29"/>
    <n v="0.55000000000000004"/>
    <n v="64.099999999999994"/>
    <s v="-"/>
    <s v="-"/>
    <n v="37.299999999999997"/>
    <s v="-"/>
    <s v="-"/>
    <s v="P"/>
    <s v="P"/>
    <n v="1"/>
    <s v="-"/>
    <n v="1"/>
    <n v="2"/>
    <n v="1"/>
    <n v="1"/>
    <n v="2"/>
    <n v="2"/>
    <s v="-"/>
    <s v="-"/>
    <n v="2"/>
    <s v="-"/>
    <n v="11"/>
    <n v="11"/>
    <s v="-"/>
    <n v="1"/>
    <n v="1"/>
    <n v="2"/>
    <n v="2"/>
    <n v="13"/>
    <n v="13"/>
  </r>
  <r>
    <x v="7"/>
    <x v="181"/>
    <d v="2026-08-18T00:00:00"/>
    <s v="1ST"/>
    <s v="08:00"/>
    <n v="3"/>
    <x v="16"/>
    <s v="-"/>
    <s v="P"/>
    <s v="P"/>
    <s v="P"/>
    <s v="+"/>
    <s v="+"/>
    <n v="12.11"/>
    <s v="-"/>
    <s v="-"/>
    <s v="-"/>
    <s v="-"/>
    <s v="-"/>
    <s v="-"/>
    <s v="-"/>
    <s v="-"/>
    <s v="P"/>
    <s v="P"/>
    <s v="-"/>
    <s v="-"/>
    <n v="1"/>
    <n v="2"/>
    <n v="1"/>
    <s v="-"/>
    <s v="-"/>
    <s v="-"/>
    <s v="-"/>
    <s v="-"/>
    <s v="-"/>
    <s v="-"/>
    <n v="4"/>
    <n v="4"/>
    <s v="-"/>
    <n v="1"/>
    <n v="1"/>
    <n v="2"/>
    <n v="2"/>
    <n v="6"/>
    <n v="6"/>
  </r>
  <r>
    <x v="7"/>
    <x v="181"/>
    <d v="2026-08-18T00:00:00"/>
    <s v="1ST"/>
    <s v="09:00"/>
    <n v="3"/>
    <x v="16"/>
    <n v="0.02"/>
    <s v="P"/>
    <s v="P"/>
    <s v="P"/>
    <s v="+"/>
    <s v="+"/>
    <n v="11.95"/>
    <s v="-"/>
    <s v="-"/>
    <s v="-"/>
    <s v="-"/>
    <s v="-"/>
    <s v="-"/>
    <s v="-"/>
    <s v="-"/>
    <s v="P"/>
    <s v="P"/>
    <s v="-"/>
    <n v="2"/>
    <n v="1"/>
    <n v="2"/>
    <n v="0"/>
    <s v="-"/>
    <s v="-"/>
    <s v="-"/>
    <s v="-"/>
    <s v="-"/>
    <s v="-"/>
    <s v="-"/>
    <n v="5"/>
    <n v="6"/>
    <s v="-"/>
    <n v="1"/>
    <n v="1"/>
    <n v="2"/>
    <n v="2"/>
    <n v="7"/>
    <n v="8"/>
  </r>
  <r>
    <x v="7"/>
    <x v="181"/>
    <d v="2026-08-18T00:00:00"/>
    <s v="1ST"/>
    <s v="10:00"/>
    <n v="3"/>
    <x v="16"/>
    <s v="-"/>
    <s v="P"/>
    <s v="P"/>
    <s v="P"/>
    <s v="+"/>
    <s v="+"/>
    <n v="11.95"/>
    <s v="-"/>
    <s v="-"/>
    <s v="-"/>
    <s v="-"/>
    <s v="-"/>
    <s v="-"/>
    <s v="-"/>
    <s v="-"/>
    <s v="P"/>
    <s v="P"/>
    <s v="-"/>
    <s v="-"/>
    <n v="1"/>
    <n v="2"/>
    <n v="0"/>
    <s v="-"/>
    <s v="-"/>
    <s v="-"/>
    <s v="-"/>
    <s v="-"/>
    <s v="-"/>
    <s v="-"/>
    <n v="3"/>
    <n v="4"/>
    <s v="-"/>
    <n v="1"/>
    <n v="1"/>
    <n v="2"/>
    <n v="2"/>
    <n v="5"/>
    <n v="6"/>
  </r>
  <r>
    <x v="7"/>
    <x v="181"/>
    <d v="2026-08-18T00:00:00"/>
    <s v="1ST"/>
    <s v="12:00"/>
    <n v="3"/>
    <x v="16"/>
    <n v="0.02"/>
    <s v="P"/>
    <s v="P"/>
    <s v="P"/>
    <s v="+"/>
    <s v="+"/>
    <n v="12.44"/>
    <s v="-"/>
    <s v="-"/>
    <s v="-"/>
    <s v="-"/>
    <s v="-"/>
    <s v="-"/>
    <s v="-"/>
    <s v="-"/>
    <s v="P"/>
    <s v="P"/>
    <s v="-"/>
    <n v="2"/>
    <n v="1"/>
    <n v="2"/>
    <n v="1"/>
    <s v="-"/>
    <s v="-"/>
    <s v="-"/>
    <s v="-"/>
    <s v="-"/>
    <s v="-"/>
    <s v="-"/>
    <n v="6"/>
    <n v="6"/>
    <s v="-"/>
    <n v="1"/>
    <n v="1"/>
    <n v="2"/>
    <n v="2"/>
    <n v="8"/>
    <n v="8"/>
  </r>
  <r>
    <x v="7"/>
    <x v="181"/>
    <d v="2026-08-19T00:00:00"/>
    <s v="1ST"/>
    <s v="13:00"/>
    <n v="3"/>
    <x v="1"/>
    <n v="0.01"/>
    <s v="P"/>
    <s v="P"/>
    <s v="P"/>
    <s v="+"/>
    <s v="+"/>
    <n v="11.95"/>
    <s v="-"/>
    <s v="-"/>
    <s v="-"/>
    <s v="-"/>
    <s v="-"/>
    <s v="-"/>
    <s v="-"/>
    <s v="-"/>
    <s v="P"/>
    <s v="P"/>
    <s v="-"/>
    <n v="2"/>
    <n v="1"/>
    <n v="2"/>
    <n v="0"/>
    <s v="-"/>
    <s v="-"/>
    <s v="-"/>
    <s v="-"/>
    <s v="-"/>
    <s v="-"/>
    <s v="-"/>
    <n v="5"/>
    <n v="6"/>
    <s v="-"/>
    <n v="1"/>
    <n v="1"/>
    <n v="2"/>
    <n v="2"/>
    <n v="7"/>
    <n v="8"/>
  </r>
  <r>
    <x v="7"/>
    <x v="181"/>
    <d v="2026-08-15T00:00:00"/>
    <s v="2ND"/>
    <d v="1899-12-30T14:00:00"/>
    <n v="1"/>
    <x v="38"/>
    <s v="-"/>
    <s v="P"/>
    <s v="P"/>
    <s v="P"/>
    <s v="-"/>
    <s v="-"/>
    <n v="11.53"/>
    <n v="9.74"/>
    <s v="-"/>
    <s v="-"/>
    <s v="-"/>
    <s v="-"/>
    <n v="26.6"/>
    <s v="-"/>
    <s v="-"/>
    <s v="P"/>
    <s v="P"/>
    <s v="80% 20%"/>
    <s v="-"/>
    <n v="1"/>
    <n v="2"/>
    <n v="1"/>
    <n v="1"/>
    <s v="-"/>
    <s v="-"/>
    <s v="-"/>
    <s v="-"/>
    <n v="2"/>
    <s v="-"/>
    <n v="7"/>
    <n v="7"/>
    <s v="-"/>
    <n v="1"/>
    <n v="1"/>
    <n v="2"/>
    <n v="2"/>
    <n v="9"/>
    <n v="9"/>
  </r>
  <r>
    <x v="7"/>
    <x v="181"/>
    <d v="2026-08-15T00:00:00"/>
    <s v="2ND"/>
    <d v="1899-12-30T15:00:00"/>
    <n v="1"/>
    <x v="38"/>
    <s v="-"/>
    <s v="P"/>
    <s v="P"/>
    <s v="P"/>
    <s v="-"/>
    <s v="-"/>
    <n v="11.42"/>
    <s v="-"/>
    <s v="-"/>
    <s v="-"/>
    <s v="-"/>
    <s v="-"/>
    <s v="-"/>
    <s v="-"/>
    <s v="-"/>
    <s v="P"/>
    <s v="P"/>
    <s v="-"/>
    <s v="-"/>
    <n v="1"/>
    <n v="2"/>
    <n v="1"/>
    <s v="-"/>
    <s v="-"/>
    <s v="-"/>
    <s v="-"/>
    <s v="-"/>
    <s v="-"/>
    <s v="-"/>
    <n v="4"/>
    <n v="4"/>
    <s v="-"/>
    <n v="1"/>
    <n v="1"/>
    <n v="2"/>
    <n v="2"/>
    <n v="6"/>
    <n v="6"/>
  </r>
  <r>
    <x v="7"/>
    <x v="181"/>
    <d v="2026-08-15T00:00:00"/>
    <s v="2ND"/>
    <d v="1899-12-30T16:00:00"/>
    <n v="1"/>
    <x v="38"/>
    <s v="-"/>
    <s v="P"/>
    <s v="P"/>
    <s v="P"/>
    <s v="-"/>
    <s v="-"/>
    <n v="11.54"/>
    <s v="-"/>
    <s v="-"/>
    <s v="-"/>
    <s v="-"/>
    <s v="-"/>
    <s v="-"/>
    <s v="-"/>
    <s v="-"/>
    <s v="P"/>
    <s v="P"/>
    <s v="-"/>
    <s v="-"/>
    <n v="1"/>
    <n v="2"/>
    <n v="1"/>
    <s v="-"/>
    <s v="-"/>
    <s v="-"/>
    <s v="-"/>
    <s v="-"/>
    <s v="-"/>
    <s v="-"/>
    <n v="4"/>
    <n v="4"/>
    <s v="-"/>
    <n v="1"/>
    <n v="1"/>
    <n v="2"/>
    <n v="2"/>
    <n v="6"/>
    <n v="6"/>
  </r>
  <r>
    <x v="7"/>
    <x v="181"/>
    <d v="2026-08-15T00:00:00"/>
    <s v="2ND"/>
    <d v="1899-12-30T19:00:00"/>
    <n v="1"/>
    <x v="38"/>
    <s v="-"/>
    <s v="P"/>
    <s v="P"/>
    <s v="P"/>
    <s v="-"/>
    <s v="-"/>
    <n v="11.64"/>
    <s v="-"/>
    <s v="-"/>
    <s v="-"/>
    <s v="-"/>
    <s v="-"/>
    <s v="-"/>
    <s v="-"/>
    <s v="-"/>
    <s v="P"/>
    <s v="P"/>
    <s v="-"/>
    <s v="-"/>
    <n v="1"/>
    <n v="2"/>
    <n v="1"/>
    <s v="-"/>
    <s v="-"/>
    <s v="-"/>
    <s v="-"/>
    <s v="-"/>
    <s v="-"/>
    <s v="-"/>
    <n v="4"/>
    <n v="4"/>
    <s v="-"/>
    <n v="1"/>
    <n v="1"/>
    <n v="2"/>
    <n v="2"/>
    <n v="6"/>
    <n v="6"/>
  </r>
  <r>
    <x v="7"/>
    <x v="181"/>
    <d v="2026-08-15T00:00:00"/>
    <s v="2ND"/>
    <d v="1899-12-30T20:00:00"/>
    <n v="1"/>
    <x v="38"/>
    <s v="-"/>
    <s v="P"/>
    <s v="P"/>
    <s v="P"/>
    <s v="-"/>
    <s v="-"/>
    <n v="10.93"/>
    <s v="-"/>
    <s v="-"/>
    <s v="-"/>
    <s v="-"/>
    <s v="-"/>
    <s v="-"/>
    <s v="-"/>
    <s v="-"/>
    <s v="P"/>
    <s v="P"/>
    <s v="-"/>
    <s v="-"/>
    <n v="1"/>
    <n v="2"/>
    <n v="0"/>
    <s v="-"/>
    <s v="-"/>
    <s v="-"/>
    <s v="-"/>
    <s v="-"/>
    <s v="-"/>
    <s v="-"/>
    <n v="3"/>
    <n v="4"/>
    <s v="-"/>
    <n v="1"/>
    <n v="1"/>
    <n v="2"/>
    <n v="2"/>
    <n v="5"/>
    <n v="6"/>
  </r>
  <r>
    <x v="7"/>
    <x v="181"/>
    <d v="2026-08-15T00:00:00"/>
    <s v="2ND"/>
    <d v="1899-12-30T21:00:00"/>
    <n v="1"/>
    <x v="38"/>
    <s v="-"/>
    <s v="P"/>
    <s v="P"/>
    <s v="P"/>
    <s v="-"/>
    <s v="-"/>
    <s v="-"/>
    <s v="-"/>
    <s v="-"/>
    <s v="-"/>
    <s v="-"/>
    <s v="-"/>
    <s v="-"/>
    <s v="-"/>
    <s v="-"/>
    <s v="P"/>
    <s v="P"/>
    <s v="-"/>
    <s v="-"/>
    <n v="1"/>
    <n v="2"/>
    <s v="-"/>
    <s v="-"/>
    <s v="-"/>
    <s v="-"/>
    <s v="-"/>
    <s v="-"/>
    <s v="-"/>
    <s v="-"/>
    <n v="3"/>
    <n v="3"/>
    <s v="-"/>
    <n v="1"/>
    <n v="1"/>
    <n v="2"/>
    <n v="2"/>
    <n v="5"/>
    <n v="5"/>
  </r>
  <r>
    <x v="7"/>
    <x v="181"/>
    <d v="1902-03-26T00:00:00"/>
    <s v="2ND"/>
    <d v="1899-12-30T14:00:00"/>
    <n v="2"/>
    <x v="7"/>
    <s v="-"/>
    <s v="P"/>
    <s v="P"/>
    <s v="P"/>
    <s v="-"/>
    <s v="+"/>
    <n v="11.1"/>
    <n v="10.08"/>
    <s v="-"/>
    <s v="-"/>
    <s v="-"/>
    <s v="-"/>
    <n v="27.7"/>
    <s v="-"/>
    <s v="-"/>
    <s v="P"/>
    <s v="P"/>
    <s v="-"/>
    <s v="-"/>
    <n v="1"/>
    <n v="2"/>
    <n v="1"/>
    <n v="1"/>
    <s v="-"/>
    <s v="-"/>
    <s v="-"/>
    <s v="-"/>
    <n v="2"/>
    <s v="-"/>
    <n v="7"/>
    <n v="7"/>
    <s v="-"/>
    <n v="1"/>
    <n v="1"/>
    <n v="2"/>
    <n v="2"/>
    <n v="9"/>
    <n v="9"/>
  </r>
  <r>
    <x v="7"/>
    <x v="181"/>
    <d v="1899-12-30T00:00:00"/>
    <s v="2ND"/>
    <d v="1899-12-30T15:00:00"/>
    <n v="2"/>
    <x v="7"/>
    <n v="0.01"/>
    <s v="P"/>
    <s v="P"/>
    <s v="P"/>
    <s v="-"/>
    <s v="+"/>
    <n v="11.04"/>
    <s v="-"/>
    <s v="-"/>
    <s v="-"/>
    <s v="-"/>
    <s v="-"/>
    <s v="-"/>
    <s v="-"/>
    <s v="-"/>
    <s v="P"/>
    <s v="P"/>
    <s v="-"/>
    <n v="2"/>
    <n v="1"/>
    <n v="2"/>
    <n v="1"/>
    <s v="-"/>
    <s v="-"/>
    <s v="-"/>
    <s v="-"/>
    <s v="-"/>
    <s v="-"/>
    <s v="-"/>
    <n v="6"/>
    <n v="6"/>
    <s v="-"/>
    <n v="1"/>
    <n v="1"/>
    <n v="2"/>
    <n v="2"/>
    <n v="8"/>
    <n v="8"/>
  </r>
  <r>
    <x v="7"/>
    <x v="181"/>
    <d v="1899-12-30T00:00:00"/>
    <s v="2ND"/>
    <d v="1899-12-30T16:00:00"/>
    <n v="2"/>
    <x v="7"/>
    <s v="-"/>
    <s v="P"/>
    <s v="P"/>
    <s v="P"/>
    <s v="-"/>
    <s v="+"/>
    <n v="11.08"/>
    <s v="-"/>
    <s v="-"/>
    <s v="-"/>
    <s v="-"/>
    <s v="-"/>
    <s v="-"/>
    <s v="-"/>
    <s v="-"/>
    <s v="P"/>
    <s v="P"/>
    <s v="-"/>
    <s v="-"/>
    <n v="1"/>
    <n v="2"/>
    <n v="1"/>
    <s v="-"/>
    <s v="-"/>
    <s v="-"/>
    <s v="-"/>
    <s v="-"/>
    <s v="-"/>
    <s v="-"/>
    <n v="4"/>
    <n v="4"/>
    <s v="-"/>
    <n v="1"/>
    <n v="1"/>
    <n v="2"/>
    <n v="2"/>
    <n v="6"/>
    <n v="6"/>
  </r>
  <r>
    <x v="7"/>
    <x v="181"/>
    <d v="2026-08-19T00:00:00"/>
    <s v="2ND"/>
    <d v="1899-12-30T14:00:00"/>
    <n v="3"/>
    <x v="11"/>
    <n v="0.01"/>
    <s v="P"/>
    <s v="P"/>
    <s v="P"/>
    <s v="+"/>
    <s v="+"/>
    <n v="11.8"/>
    <n v="13.38"/>
    <n v="0.61"/>
    <n v="65"/>
    <n v="13"/>
    <n v="1096"/>
    <n v="37.700000000000003"/>
    <s v="-"/>
    <s v="-"/>
    <s v="P"/>
    <s v="P"/>
    <n v="1"/>
    <n v="2"/>
    <n v="1"/>
    <n v="2"/>
    <n v="1"/>
    <n v="1"/>
    <n v="2"/>
    <n v="2"/>
    <n v="1"/>
    <n v="1"/>
    <n v="2"/>
    <s v="-"/>
    <n v="15"/>
    <n v="15"/>
    <s v="-"/>
    <n v="1"/>
    <n v="1"/>
    <n v="2"/>
    <n v="2"/>
    <n v="17"/>
    <n v="17"/>
  </r>
  <r>
    <x v="7"/>
    <x v="181"/>
    <d v="2026-08-19T00:00:00"/>
    <s v="2ND"/>
    <d v="1899-12-30T15:00:00"/>
    <n v="3"/>
    <x v="11"/>
    <n v="0.01"/>
    <s v="P"/>
    <s v="P"/>
    <s v="P"/>
    <s v="+"/>
    <s v="+"/>
    <n v="11.9"/>
    <s v="-"/>
    <s v="-"/>
    <s v="-"/>
    <s v="-"/>
    <s v="-"/>
    <s v="-"/>
    <s v="-"/>
    <s v="-"/>
    <s v="P"/>
    <s v="P"/>
    <s v="-"/>
    <n v="2"/>
    <n v="1"/>
    <n v="2"/>
    <n v="1"/>
    <s v="-"/>
    <s v="-"/>
    <s v="-"/>
    <s v="-"/>
    <s v="-"/>
    <s v="-"/>
    <s v="-"/>
    <n v="6"/>
    <n v="6"/>
    <s v="-"/>
    <n v="1"/>
    <n v="1"/>
    <n v="2"/>
    <n v="2"/>
    <n v="8"/>
    <n v="8"/>
  </r>
  <r>
    <x v="7"/>
    <x v="181"/>
    <d v="2026-08-19T00:00:00"/>
    <s v="2ND"/>
    <d v="1899-12-30T16:00:00"/>
    <n v="3"/>
    <x v="11"/>
    <s v="-"/>
    <s v="P"/>
    <s v="P"/>
    <s v="P"/>
    <s v="+"/>
    <s v="+"/>
    <n v="11.84"/>
    <s v="-"/>
    <s v="-"/>
    <s v="-"/>
    <s v="-"/>
    <s v="-"/>
    <s v="-"/>
    <s v="-"/>
    <s v="-"/>
    <s v="P"/>
    <s v="P"/>
    <s v="-"/>
    <s v="-"/>
    <n v="1"/>
    <n v="2"/>
    <n v="1"/>
    <s v="-"/>
    <s v="-"/>
    <s v="-"/>
    <s v="-"/>
    <s v="-"/>
    <s v="-"/>
    <s v="-"/>
    <n v="4"/>
    <n v="4"/>
    <s v="-"/>
    <n v="1"/>
    <n v="1"/>
    <n v="2"/>
    <n v="2"/>
    <n v="6"/>
    <n v="6"/>
  </r>
  <r>
    <x v="7"/>
    <x v="181"/>
    <d v="2026-08-19T00:00:00"/>
    <s v="2ND"/>
    <d v="1899-12-30T19:00:00"/>
    <n v="3"/>
    <x v="10"/>
    <n v="0.01"/>
    <s v="P"/>
    <s v="P"/>
    <s v="P"/>
    <s v="+"/>
    <s v="+"/>
    <s v="-"/>
    <n v="11.69"/>
    <s v="-"/>
    <n v="63.3"/>
    <s v="-"/>
    <s v="-"/>
    <n v="32.5"/>
    <s v="-"/>
    <s v="-"/>
    <s v="P"/>
    <s v="P"/>
    <n v="1"/>
    <n v="2"/>
    <n v="1"/>
    <n v="2"/>
    <s v="-"/>
    <n v="1"/>
    <s v="-"/>
    <n v="2"/>
    <s v="-"/>
    <s v="-"/>
    <n v="2"/>
    <s v="-"/>
    <n v="10"/>
    <n v="10"/>
    <s v="-"/>
    <n v="1"/>
    <n v="1"/>
    <n v="2"/>
    <n v="2"/>
    <n v="12"/>
    <n v="12"/>
  </r>
  <r>
    <x v="7"/>
    <x v="181"/>
    <d v="2026-08-19T00:00:00"/>
    <s v="2ND"/>
    <d v="1899-12-30T20:00:00"/>
    <n v="3"/>
    <x v="10"/>
    <s v="-"/>
    <s v="P"/>
    <s v="P"/>
    <s v="P"/>
    <s v="+"/>
    <s v="+"/>
    <n v="12.45"/>
    <s v="-"/>
    <s v="-"/>
    <s v="-"/>
    <s v="-"/>
    <s v="-"/>
    <s v="-"/>
    <s v="-"/>
    <s v="-"/>
    <s v="P"/>
    <s v="P"/>
    <s v="-"/>
    <s v="-"/>
    <n v="1"/>
    <n v="2"/>
    <n v="1"/>
    <s v="-"/>
    <s v="-"/>
    <s v="-"/>
    <s v="-"/>
    <s v="-"/>
    <s v="-"/>
    <s v="-"/>
    <n v="4"/>
    <n v="4"/>
    <s v="-"/>
    <n v="1"/>
    <n v="1"/>
    <n v="2"/>
    <n v="2"/>
    <n v="6"/>
    <n v="6"/>
  </r>
  <r>
    <x v="7"/>
    <x v="181"/>
    <d v="2026-08-19T00:00:00"/>
    <s v="2ND"/>
    <d v="1899-12-30T21:00:00"/>
    <n v="3"/>
    <x v="10"/>
    <s v="-"/>
    <s v="P"/>
    <s v="P"/>
    <s v="P"/>
    <s v="+"/>
    <s v="+"/>
    <n v="11.79"/>
    <s v="-"/>
    <s v="-"/>
    <s v="-"/>
    <s v="-"/>
    <s v="-"/>
    <s v="-"/>
    <s v="-"/>
    <s v="-"/>
    <s v="P"/>
    <s v="P"/>
    <s v="-"/>
    <s v="-"/>
    <n v="1"/>
    <n v="2"/>
    <n v="0"/>
    <s v="-"/>
    <s v="-"/>
    <s v="-"/>
    <s v="-"/>
    <s v="-"/>
    <s v="-"/>
    <s v="-"/>
    <n v="3"/>
    <n v="4"/>
    <s v="-"/>
    <n v="1"/>
    <n v="1"/>
    <n v="2"/>
    <n v="2"/>
    <n v="5"/>
    <n v="6"/>
  </r>
  <r>
    <x v="7"/>
    <x v="181"/>
    <d v="2026-08-15T00:00:00"/>
    <s v="3RD"/>
    <d v="1899-12-30T22:00:00"/>
    <n v="1"/>
    <x v="38"/>
    <s v="-"/>
    <s v="P"/>
    <s v="P"/>
    <s v="P"/>
    <s v="-"/>
    <s v="-"/>
    <n v="11.6"/>
    <n v="9.69"/>
    <s v="-"/>
    <s v="-"/>
    <s v="-"/>
    <s v="-"/>
    <n v="26.4"/>
    <s v="-"/>
    <s v="-"/>
    <s v="P"/>
    <s v="P"/>
    <n v="1"/>
    <s v="-"/>
    <n v="1"/>
    <n v="2"/>
    <n v="1"/>
    <n v="1"/>
    <s v="-"/>
    <s v="-"/>
    <s v="-"/>
    <s v="-"/>
    <n v="2"/>
    <s v="-"/>
    <n v="7"/>
    <n v="7"/>
    <s v="-"/>
    <n v="1"/>
    <n v="1"/>
    <n v="2"/>
    <n v="2"/>
    <n v="9"/>
    <n v="9"/>
  </r>
  <r>
    <x v="7"/>
    <x v="181"/>
    <d v="2026-08-15T00:00:00"/>
    <s v="3RD"/>
    <d v="1899-12-30T23:00:00"/>
    <n v="1"/>
    <x v="38"/>
    <s v="-"/>
    <s v="P"/>
    <s v="P"/>
    <s v="P"/>
    <s v="-"/>
    <s v="-"/>
    <n v="11.64"/>
    <s v="-"/>
    <s v="-"/>
    <s v="-"/>
    <s v="-"/>
    <s v="-"/>
    <s v="-"/>
    <s v="-"/>
    <s v="-"/>
    <s v="P"/>
    <s v="P"/>
    <s v="-"/>
    <s v="-"/>
    <n v="1"/>
    <n v="2"/>
    <n v="1"/>
    <s v="-"/>
    <s v="-"/>
    <s v="-"/>
    <s v="-"/>
    <s v="-"/>
    <s v="-"/>
    <s v="-"/>
    <n v="4"/>
    <n v="4"/>
    <s v="-"/>
    <n v="1"/>
    <n v="1"/>
    <n v="2"/>
    <n v="2"/>
    <n v="6"/>
    <n v="6"/>
  </r>
  <r>
    <x v="7"/>
    <x v="181"/>
    <d v="1902-03-26T00:00:00"/>
    <s v="3RD"/>
    <d v="1899-12-31T00:00:00"/>
    <n v="2"/>
    <x v="7"/>
    <s v="-"/>
    <s v="P"/>
    <s v="P"/>
    <s v="P"/>
    <s v="-"/>
    <s v="+"/>
    <n v="11.27"/>
    <n v="9.84"/>
    <s v="-"/>
    <s v="-"/>
    <s v="-"/>
    <s v="-"/>
    <n v="26.9"/>
    <s v="-"/>
    <s v="-"/>
    <s v="P"/>
    <s v="P"/>
    <s v="-"/>
    <s v="-"/>
    <n v="1"/>
    <n v="2"/>
    <n v="1"/>
    <n v="1"/>
    <s v="-"/>
    <s v="-"/>
    <s v="-"/>
    <s v="-"/>
    <n v="2"/>
    <s v="-"/>
    <n v="7"/>
    <n v="7"/>
    <s v="-"/>
    <n v="1"/>
    <n v="1"/>
    <n v="2"/>
    <n v="2"/>
    <n v="9"/>
    <n v="9"/>
  </r>
  <r>
    <x v="7"/>
    <x v="181"/>
    <d v="1899-12-30T00:00:00"/>
    <s v="3RD"/>
    <d v="1899-12-31T01:00:00"/>
    <n v="2"/>
    <x v="7"/>
    <n v="0.01"/>
    <s v="P"/>
    <s v="P"/>
    <s v="P"/>
    <s v="-"/>
    <s v="+"/>
    <n v="11.12"/>
    <s v="-"/>
    <s v="-"/>
    <s v="-"/>
    <s v="-"/>
    <s v="-"/>
    <s v="-"/>
    <s v="-"/>
    <s v="-"/>
    <s v="P"/>
    <s v="P"/>
    <s v="-"/>
    <n v="2"/>
    <n v="1"/>
    <n v="2"/>
    <n v="1"/>
    <s v="-"/>
    <s v="-"/>
    <s v="-"/>
    <s v="-"/>
    <s v="-"/>
    <s v="-"/>
    <s v="-"/>
    <n v="6"/>
    <n v="6"/>
    <s v="-"/>
    <n v="1"/>
    <n v="1"/>
    <n v="2"/>
    <n v="2"/>
    <n v="8"/>
    <n v="8"/>
  </r>
  <r>
    <x v="7"/>
    <x v="181"/>
    <d v="1899-12-30T00:00:00"/>
    <s v="3RD"/>
    <d v="1899-12-31T02:00:00"/>
    <n v="2"/>
    <x v="7"/>
    <n v="0.02"/>
    <s v="P"/>
    <s v="P"/>
    <s v="P"/>
    <s v="-"/>
    <s v="+"/>
    <n v="11.24"/>
    <s v="-"/>
    <s v="-"/>
    <s v="-"/>
    <s v="-"/>
    <s v="-"/>
    <s v="-"/>
    <s v="-"/>
    <s v="-"/>
    <s v="P"/>
    <s v="P"/>
    <s v="-"/>
    <n v="2"/>
    <n v="1"/>
    <n v="2"/>
    <n v="1"/>
    <s v="-"/>
    <s v="-"/>
    <s v="-"/>
    <s v="-"/>
    <s v="-"/>
    <s v="-"/>
    <s v="-"/>
    <n v="6"/>
    <n v="6"/>
    <s v="-"/>
    <n v="1"/>
    <n v="1"/>
    <n v="2"/>
    <n v="2"/>
    <n v="8"/>
    <n v="8"/>
  </r>
  <r>
    <x v="7"/>
    <x v="181"/>
    <d v="2026-08-19T00:00:00"/>
    <s v="3RD"/>
    <d v="1899-12-30T22:00:00"/>
    <n v="3"/>
    <x v="10"/>
    <s v="-"/>
    <s v="P"/>
    <s v="P"/>
    <s v="P"/>
    <s v="+"/>
    <s v="+"/>
    <n v="11.71"/>
    <n v="11.58"/>
    <n v="0.35"/>
    <s v="-"/>
    <n v="12.8"/>
    <n v="1029"/>
    <n v="32.1"/>
    <s v="-"/>
    <s v="-"/>
    <s v="P"/>
    <s v="P"/>
    <n v="1"/>
    <s v="-"/>
    <n v="1"/>
    <n v="2"/>
    <n v="0"/>
    <n v="1"/>
    <n v="2"/>
    <s v="-"/>
    <n v="1"/>
    <n v="0"/>
    <n v="2"/>
    <s v="-"/>
    <n v="9"/>
    <n v="11"/>
    <s v="-"/>
    <n v="1"/>
    <n v="1"/>
    <n v="2"/>
    <n v="2"/>
    <n v="11"/>
    <n v="13"/>
  </r>
  <r>
    <x v="7"/>
    <x v="181"/>
    <d v="2026-08-19T00:00:00"/>
    <s v="3RD"/>
    <d v="1899-12-30T23:00:00"/>
    <n v="3"/>
    <x v="10"/>
    <s v="-"/>
    <s v="P"/>
    <s v="P"/>
    <s v="P"/>
    <s v="+"/>
    <s v="+"/>
    <n v="12.19"/>
    <s v="-"/>
    <s v="-"/>
    <s v="-"/>
    <s v="-"/>
    <s v="-"/>
    <s v="-"/>
    <s v="-"/>
    <s v="-"/>
    <s v="P"/>
    <s v="P"/>
    <s v="-"/>
    <s v="-"/>
    <n v="1"/>
    <n v="2"/>
    <n v="1"/>
    <s v="-"/>
    <s v="-"/>
    <s v="-"/>
    <s v="-"/>
    <s v="-"/>
    <s v="-"/>
    <s v="-"/>
    <n v="4"/>
    <n v="4"/>
    <s v="-"/>
    <n v="1"/>
    <n v="1"/>
    <n v="2"/>
    <n v="2"/>
    <n v="6"/>
    <n v="6"/>
  </r>
  <r>
    <x v="7"/>
    <x v="181"/>
    <d v="2026-08-19T00:00:00"/>
    <s v="3RD"/>
    <d v="1899-12-31T00:00:00"/>
    <n v="3"/>
    <x v="10"/>
    <s v="-"/>
    <s v="P"/>
    <s v="P"/>
    <s v="P"/>
    <s v="+"/>
    <s v="+"/>
    <n v="12.58"/>
    <s v="-"/>
    <s v="-"/>
    <s v="-"/>
    <s v="-"/>
    <s v="-"/>
    <s v="-"/>
    <s v="-"/>
    <s v="-"/>
    <s v="P"/>
    <s v="P"/>
    <s v="-"/>
    <s v="-"/>
    <n v="1"/>
    <n v="2"/>
    <n v="1"/>
    <s v="-"/>
    <s v="-"/>
    <s v="-"/>
    <s v="-"/>
    <s v="-"/>
    <s v="-"/>
    <s v="-"/>
    <n v="4"/>
    <n v="4"/>
    <s v="-"/>
    <n v="1"/>
    <n v="1"/>
    <n v="2"/>
    <n v="2"/>
    <n v="6"/>
    <n v="6"/>
  </r>
  <r>
    <x v="7"/>
    <x v="182"/>
    <d v="2026-07-29T00:00:00"/>
    <s v="1ST"/>
    <s v="11:00"/>
    <s v="Retail"/>
    <x v="19"/>
    <s v="-"/>
    <s v="P"/>
    <s v="P"/>
    <s v="P"/>
    <s v="-"/>
    <s v="-"/>
    <n v="12.94"/>
    <n v="16.32"/>
    <n v="1.77"/>
    <n v="70.599999999999994"/>
    <s v="-"/>
    <s v="-"/>
    <n v="46.6"/>
    <s v="-"/>
    <s v="-"/>
    <s v="-"/>
    <s v="-"/>
    <s v="-"/>
    <s v="-"/>
    <n v="1"/>
    <n v="2"/>
    <n v="1"/>
    <n v="1"/>
    <n v="0"/>
    <n v="2"/>
    <s v="-"/>
    <s v="-"/>
    <n v="2"/>
    <s v="-"/>
    <n v="9"/>
    <n v="11"/>
    <s v="-"/>
    <s v="-"/>
    <s v="-"/>
    <n v="0"/>
    <n v="0"/>
    <n v="9"/>
    <n v="11"/>
  </r>
  <r>
    <x v="7"/>
    <x v="182"/>
    <d v="1902-03-26T00:00:00"/>
    <s v="2ND"/>
    <d v="1899-12-30T17:00:00"/>
    <n v="2"/>
    <x v="7"/>
    <s v="-"/>
    <s v="P"/>
    <s v="P"/>
    <s v="P"/>
    <s v="-"/>
    <s v="+"/>
    <n v="11.12"/>
    <n v="9.4700000000000006"/>
    <s v="-"/>
    <n v="54.6"/>
    <s v="-"/>
    <s v="-"/>
    <n v="26"/>
    <s v="-"/>
    <s v="-"/>
    <s v="P"/>
    <s v="P"/>
    <s v="-"/>
    <s v="-"/>
    <n v="1"/>
    <n v="2"/>
    <n v="1"/>
    <n v="1"/>
    <s v="-"/>
    <n v="0"/>
    <s v="-"/>
    <s v="-"/>
    <n v="2"/>
    <s v="-"/>
    <n v="7"/>
    <n v="9"/>
    <s v="-"/>
    <n v="1"/>
    <n v="1"/>
    <n v="2"/>
    <n v="2"/>
    <n v="9"/>
    <n v="11"/>
  </r>
  <r>
    <x v="7"/>
    <x v="182"/>
    <d v="1902-03-26T00:00:00"/>
    <s v="2ND"/>
    <d v="1899-12-30T21:00:00"/>
    <n v="2"/>
    <x v="5"/>
    <n v="0.01"/>
    <s v="P"/>
    <s v="P"/>
    <s v="P"/>
    <s v="-"/>
    <s v="+"/>
    <n v="11.34"/>
    <s v="-"/>
    <s v="-"/>
    <s v="-"/>
    <s v="-"/>
    <s v="-"/>
    <s v="-"/>
    <s v="-"/>
    <s v="-"/>
    <s v="P"/>
    <s v="P"/>
    <s v="-"/>
    <n v="2"/>
    <n v="1"/>
    <n v="2"/>
    <n v="1"/>
    <s v="-"/>
    <s v="-"/>
    <s v="-"/>
    <s v="-"/>
    <s v="-"/>
    <s v="-"/>
    <s v="-"/>
    <n v="6"/>
    <n v="6"/>
    <s v="-"/>
    <n v="1"/>
    <n v="1"/>
    <n v="2"/>
    <n v="2"/>
    <n v="8"/>
    <n v="8"/>
  </r>
  <r>
    <x v="7"/>
    <x v="182"/>
    <d v="2026-07-29T00:00:00"/>
    <s v="2ND"/>
    <d v="1899-12-30T14:00:00"/>
    <s v="Retail"/>
    <x v="19"/>
    <s v="-"/>
    <s v="-"/>
    <s v="P"/>
    <s v="P"/>
    <s v="-"/>
    <s v="-"/>
    <n v="12.94"/>
    <s v="-"/>
    <s v="-"/>
    <s v="-"/>
    <s v="-"/>
    <s v="-"/>
    <s v="-"/>
    <s v="-"/>
    <s v="-"/>
    <s v="P"/>
    <s v="P"/>
    <s v="-"/>
    <s v="-"/>
    <s v="-"/>
    <n v="2"/>
    <n v="1"/>
    <s v="-"/>
    <s v="-"/>
    <s v="-"/>
    <s v="-"/>
    <s v="-"/>
    <s v="-"/>
    <s v="-"/>
    <n v="3"/>
    <n v="3"/>
    <s v="-"/>
    <n v="1"/>
    <n v="1"/>
    <n v="2"/>
    <n v="2"/>
    <n v="5"/>
    <n v="5"/>
  </r>
  <r>
    <x v="7"/>
    <x v="182"/>
    <d v="2026-08-15T00:00:00"/>
    <s v="3RD"/>
    <d v="1899-12-30T22:00:00"/>
    <n v="1"/>
    <x v="38"/>
    <s v="-"/>
    <s v="P"/>
    <s v="P"/>
    <s v="P"/>
    <s v="-"/>
    <s v="-"/>
    <n v="11.36"/>
    <n v="9.9499999999999993"/>
    <n v="0.56000000000000005"/>
    <n v="53.7"/>
    <s v="-"/>
    <s v="-"/>
    <n v="27.3"/>
    <s v="-"/>
    <s v="-"/>
    <s v="P"/>
    <s v="P"/>
    <n v="1"/>
    <s v="-"/>
    <n v="1"/>
    <n v="2"/>
    <n v="1"/>
    <n v="1"/>
    <n v="2"/>
    <n v="0"/>
    <s v="-"/>
    <s v="-"/>
    <n v="2"/>
    <s v="-"/>
    <n v="9"/>
    <n v="11"/>
    <s v="-"/>
    <n v="1"/>
    <n v="1"/>
    <n v="2"/>
    <n v="2"/>
    <n v="11"/>
    <n v="13"/>
  </r>
  <r>
    <x v="7"/>
    <x v="182"/>
    <d v="2026-08-15T00:00:00"/>
    <s v="3RD"/>
    <d v="1899-12-30T23:00:00"/>
    <n v="1"/>
    <x v="38"/>
    <s v="-"/>
    <s v="P"/>
    <s v="P"/>
    <s v="P"/>
    <s v="-"/>
    <s v="-"/>
    <n v="11.5"/>
    <s v="-"/>
    <s v="-"/>
    <s v="-"/>
    <s v="-"/>
    <s v="-"/>
    <s v="-"/>
    <s v="-"/>
    <s v="-"/>
    <s v="P"/>
    <s v="P"/>
    <s v="-"/>
    <s v="-"/>
    <n v="1"/>
    <n v="2"/>
    <n v="1"/>
    <s v="-"/>
    <s v="-"/>
    <s v="-"/>
    <s v="-"/>
    <s v="-"/>
    <s v="-"/>
    <s v="-"/>
    <n v="4"/>
    <n v="4"/>
    <s v="-"/>
    <n v="1"/>
    <n v="1"/>
    <n v="2"/>
    <n v="2"/>
    <n v="6"/>
    <n v="6"/>
  </r>
  <r>
    <x v="7"/>
    <x v="182"/>
    <d v="2026-08-15T00:00:00"/>
    <s v="3RD"/>
    <d v="1899-12-31T00:00:00"/>
    <n v="1"/>
    <x v="38"/>
    <s v="-"/>
    <s v="P"/>
    <s v="P"/>
    <s v="P"/>
    <s v="-"/>
    <s v="-"/>
    <n v="11.66"/>
    <s v="-"/>
    <s v="-"/>
    <s v="-"/>
    <s v="-"/>
    <s v="-"/>
    <s v="-"/>
    <s v="-"/>
    <s v="-"/>
    <s v="P"/>
    <s v="P"/>
    <s v="-"/>
    <s v="-"/>
    <n v="1"/>
    <n v="2"/>
    <n v="1"/>
    <s v="-"/>
    <s v="-"/>
    <s v="-"/>
    <s v="-"/>
    <s v="-"/>
    <s v="-"/>
    <s v="-"/>
    <n v="4"/>
    <n v="4"/>
    <s v="-"/>
    <n v="1"/>
    <n v="1"/>
    <n v="2"/>
    <n v="2"/>
    <n v="6"/>
    <n v="6"/>
  </r>
  <r>
    <x v="7"/>
    <x v="182"/>
    <d v="2026-08-15T00:00:00"/>
    <s v="3RD"/>
    <d v="1899-12-31T01:00:00"/>
    <n v="1"/>
    <x v="38"/>
    <s v="-"/>
    <s v="P"/>
    <s v="P"/>
    <s v="P"/>
    <s v="-"/>
    <s v="-"/>
    <n v="11.53"/>
    <s v="-"/>
    <s v="-"/>
    <s v="-"/>
    <s v="-"/>
    <s v="-"/>
    <s v="-"/>
    <s v="-"/>
    <s v="-"/>
    <s v="P"/>
    <s v="P"/>
    <s v="-"/>
    <s v="-"/>
    <n v="1"/>
    <n v="2"/>
    <n v="1"/>
    <s v="-"/>
    <s v="-"/>
    <s v="-"/>
    <s v="-"/>
    <s v="-"/>
    <s v="-"/>
    <s v="-"/>
    <n v="4"/>
    <n v="4"/>
    <s v="-"/>
    <n v="1"/>
    <n v="1"/>
    <n v="2"/>
    <n v="2"/>
    <n v="6"/>
    <n v="6"/>
  </r>
  <r>
    <x v="7"/>
    <x v="182"/>
    <d v="2026-08-15T00:00:00"/>
    <s v="3RD"/>
    <d v="1899-12-31T02:00:00"/>
    <n v="1"/>
    <x v="38"/>
    <s v="-"/>
    <s v="P"/>
    <s v="P"/>
    <s v="P"/>
    <s v="-"/>
    <s v="-"/>
    <n v="11.44"/>
    <s v="-"/>
    <s v="-"/>
    <s v="-"/>
    <s v="-"/>
    <s v="-"/>
    <s v="-"/>
    <s v="-"/>
    <s v="-"/>
    <s v="P"/>
    <s v="P"/>
    <s v="-"/>
    <s v="-"/>
    <n v="1"/>
    <n v="2"/>
    <n v="1"/>
    <s v="-"/>
    <s v="-"/>
    <s v="-"/>
    <s v="-"/>
    <s v="-"/>
    <s v="-"/>
    <s v="-"/>
    <n v="4"/>
    <n v="4"/>
    <s v="-"/>
    <n v="1"/>
    <n v="1"/>
    <n v="2"/>
    <n v="2"/>
    <n v="6"/>
    <n v="6"/>
  </r>
  <r>
    <x v="7"/>
    <x v="182"/>
    <d v="2026-08-15T00:00:00"/>
    <s v="3RD"/>
    <d v="1899-12-31T03:00:00"/>
    <n v="1"/>
    <x v="38"/>
    <s v="-"/>
    <s v="P"/>
    <s v="P"/>
    <s v="P"/>
    <s v="-"/>
    <s v="-"/>
    <n v="11.43"/>
    <s v="-"/>
    <s v="-"/>
    <s v="-"/>
    <s v="-"/>
    <s v="-"/>
    <s v="-"/>
    <s v="-"/>
    <s v="-"/>
    <s v="P"/>
    <s v="P"/>
    <s v="-"/>
    <s v="-"/>
    <n v="1"/>
    <n v="2"/>
    <n v="1"/>
    <s v="-"/>
    <s v="-"/>
    <s v="-"/>
    <s v="-"/>
    <s v="-"/>
    <s v="-"/>
    <s v="-"/>
    <n v="4"/>
    <n v="4"/>
    <s v="-"/>
    <n v="1"/>
    <n v="1"/>
    <n v="2"/>
    <n v="2"/>
    <n v="6"/>
    <n v="6"/>
  </r>
  <r>
    <x v="7"/>
    <x v="182"/>
    <d v="2026-08-15T00:00:00"/>
    <s v="3RD"/>
    <d v="1899-12-31T04:00:00"/>
    <n v="1"/>
    <x v="38"/>
    <s v="-"/>
    <s v="P"/>
    <s v="P"/>
    <s v="P"/>
    <s v="-"/>
    <s v="-"/>
    <n v="11.51"/>
    <s v="-"/>
    <s v="-"/>
    <s v="-"/>
    <s v="-"/>
    <s v="-"/>
    <s v="-"/>
    <s v="-"/>
    <s v="-"/>
    <s v="P"/>
    <s v="P"/>
    <s v="-"/>
    <s v="-"/>
    <n v="1"/>
    <n v="2"/>
    <n v="1"/>
    <s v="-"/>
    <s v="-"/>
    <s v="-"/>
    <s v="-"/>
    <s v="-"/>
    <s v="-"/>
    <s v="-"/>
    <n v="4"/>
    <n v="4"/>
    <s v="-"/>
    <n v="1"/>
    <n v="1"/>
    <n v="2"/>
    <n v="2"/>
    <n v="6"/>
    <n v="6"/>
  </r>
  <r>
    <x v="7"/>
    <x v="182"/>
    <d v="2026-08-15T00:00:00"/>
    <s v="3RD"/>
    <d v="1899-12-31T05:00:00"/>
    <n v="1"/>
    <x v="38"/>
    <s v="-"/>
    <s v="P"/>
    <s v="P"/>
    <s v="P"/>
    <s v="-"/>
    <s v="-"/>
    <n v="11.5"/>
    <s v="-"/>
    <s v="-"/>
    <s v="-"/>
    <s v="-"/>
    <s v="-"/>
    <s v="-"/>
    <s v="-"/>
    <s v="-"/>
    <s v="P"/>
    <s v="P"/>
    <s v="-"/>
    <s v="-"/>
    <n v="1"/>
    <n v="2"/>
    <n v="1"/>
    <s v="-"/>
    <s v="-"/>
    <s v="-"/>
    <s v="-"/>
    <s v="-"/>
    <s v="-"/>
    <s v="-"/>
    <n v="4"/>
    <n v="4"/>
    <s v="-"/>
    <n v="1"/>
    <n v="1"/>
    <n v="2"/>
    <n v="2"/>
    <n v="6"/>
    <n v="6"/>
  </r>
  <r>
    <x v="7"/>
    <x v="182"/>
    <d v="1902-03-26T00:00:00"/>
    <s v="3RD"/>
    <d v="1899-12-30T22:00:00"/>
    <n v="2"/>
    <x v="5"/>
    <s v="-"/>
    <s v="P"/>
    <s v="P"/>
    <s v="P"/>
    <s v="-"/>
    <s v="+"/>
    <n v="11.11"/>
    <n v="9.49"/>
    <n v="0.56999999999999995"/>
    <s v="-"/>
    <s v="-"/>
    <s v="-"/>
    <n v="25.3"/>
    <s v="-"/>
    <s v="-"/>
    <s v="P"/>
    <s v="P"/>
    <s v="-"/>
    <s v="-"/>
    <n v="1"/>
    <n v="2"/>
    <n v="1"/>
    <n v="1"/>
    <n v="0"/>
    <s v="-"/>
    <s v="-"/>
    <s v="-"/>
    <n v="2"/>
    <s v="-"/>
    <n v="7"/>
    <n v="9"/>
    <s v="-"/>
    <n v="1"/>
    <n v="1"/>
    <n v="2"/>
    <n v="2"/>
    <n v="9"/>
    <n v="11"/>
  </r>
  <r>
    <x v="7"/>
    <x v="182"/>
    <d v="1899-12-30T00:00:00"/>
    <s v="3RD"/>
    <d v="1899-12-30T23:00:00"/>
    <n v="2"/>
    <x v="5"/>
    <s v="-"/>
    <s v="P"/>
    <s v="P"/>
    <s v="P"/>
    <s v="-"/>
    <s v="+"/>
    <n v="11.22"/>
    <s v="-"/>
    <s v="-"/>
    <s v="-"/>
    <s v="-"/>
    <s v="-"/>
    <s v="-"/>
    <s v="-"/>
    <s v="-"/>
    <s v="P"/>
    <s v="P"/>
    <s v="-"/>
    <s v="-"/>
    <n v="1"/>
    <n v="2"/>
    <n v="1"/>
    <s v="-"/>
    <s v="-"/>
    <s v="-"/>
    <s v="-"/>
    <s v="-"/>
    <s v="-"/>
    <s v="-"/>
    <n v="4"/>
    <n v="4"/>
    <s v="-"/>
    <n v="1"/>
    <n v="1"/>
    <n v="2"/>
    <n v="2"/>
    <n v="6"/>
    <n v="6"/>
  </r>
  <r>
    <x v="7"/>
    <x v="182"/>
    <d v="1899-12-30T00:00:00"/>
    <s v="3RD"/>
    <d v="1899-12-31T00:00:00"/>
    <n v="2"/>
    <x v="5"/>
    <s v="-"/>
    <s v="P"/>
    <s v="P"/>
    <s v="P"/>
    <s v="-"/>
    <s v="+"/>
    <n v="10.97"/>
    <s v="-"/>
    <s v="-"/>
    <s v="-"/>
    <s v="-"/>
    <s v="-"/>
    <s v="-"/>
    <s v="-"/>
    <s v="-"/>
    <s v="P"/>
    <s v="P"/>
    <s v="-"/>
    <s v="-"/>
    <n v="1"/>
    <n v="2"/>
    <n v="0"/>
    <s v="-"/>
    <s v="-"/>
    <s v="-"/>
    <s v="-"/>
    <s v="-"/>
    <s v="-"/>
    <s v="-"/>
    <n v="3"/>
    <n v="4"/>
    <s v="-"/>
    <n v="1"/>
    <n v="1"/>
    <n v="2"/>
    <n v="2"/>
    <n v="5"/>
    <n v="6"/>
  </r>
  <r>
    <x v="7"/>
    <x v="182"/>
    <d v="1899-12-30T00:00:00"/>
    <s v="3RD"/>
    <d v="1899-12-31T01:00:00"/>
    <n v="2"/>
    <x v="5"/>
    <s v="-"/>
    <s v="P"/>
    <s v="P"/>
    <s v="P"/>
    <s v="-"/>
    <s v="+"/>
    <n v="11.07"/>
    <s v="-"/>
    <s v="-"/>
    <s v="-"/>
    <s v="-"/>
    <s v="-"/>
    <s v="-"/>
    <s v="-"/>
    <s v="-"/>
    <s v="P"/>
    <s v="P"/>
    <s v="-"/>
    <s v="-"/>
    <n v="1"/>
    <n v="2"/>
    <n v="1"/>
    <s v="-"/>
    <s v="-"/>
    <s v="-"/>
    <s v="-"/>
    <s v="-"/>
    <s v="-"/>
    <s v="-"/>
    <n v="4"/>
    <n v="4"/>
    <s v="-"/>
    <n v="1"/>
    <n v="1"/>
    <n v="2"/>
    <n v="2"/>
    <n v="6"/>
    <n v="6"/>
  </r>
  <r>
    <x v="7"/>
    <x v="182"/>
    <d v="1899-12-30T00:00:00"/>
    <s v="3RD"/>
    <d v="1899-12-31T02:00:00"/>
    <n v="2"/>
    <x v="5"/>
    <s v="-"/>
    <s v="P"/>
    <s v="P"/>
    <s v="P"/>
    <s v="-"/>
    <s v="+"/>
    <n v="11.11"/>
    <n v="9.86"/>
    <n v="0.54"/>
    <n v="54.3"/>
    <s v="-"/>
    <s v="-"/>
    <n v="27"/>
    <s v="-"/>
    <s v="-"/>
    <s v="P"/>
    <s v="P"/>
    <s v="-"/>
    <s v="-"/>
    <n v="1"/>
    <n v="2"/>
    <n v="1"/>
    <n v="0"/>
    <n v="2"/>
    <n v="2"/>
    <s v="-"/>
    <s v="-"/>
    <n v="2"/>
    <s v="-"/>
    <n v="10"/>
    <n v="11"/>
    <s v="-"/>
    <n v="1"/>
    <n v="1"/>
    <n v="2"/>
    <n v="2"/>
    <n v="12"/>
    <n v="13"/>
  </r>
  <r>
    <x v="7"/>
    <x v="182"/>
    <d v="1899-12-30T00:00:00"/>
    <s v="3RD"/>
    <d v="1899-12-31T04:00:00"/>
    <n v="2"/>
    <x v="5"/>
    <s v="-"/>
    <s v="P"/>
    <s v="P"/>
    <s v="P"/>
    <s v="-"/>
    <s v="+"/>
    <n v="10.73"/>
    <s v="-"/>
    <s v="-"/>
    <s v="-"/>
    <s v="-"/>
    <s v="-"/>
    <s v="-"/>
    <s v="-"/>
    <s v="-"/>
    <s v="P"/>
    <s v="P"/>
    <s v="-"/>
    <s v="-"/>
    <n v="1"/>
    <n v="2"/>
    <n v="0"/>
    <s v="-"/>
    <s v="-"/>
    <s v="-"/>
    <s v="-"/>
    <s v="-"/>
    <s v="-"/>
    <s v="-"/>
    <n v="3"/>
    <n v="4"/>
    <s v="-"/>
    <n v="1"/>
    <n v="1"/>
    <n v="2"/>
    <n v="2"/>
    <n v="5"/>
    <n v="6"/>
  </r>
  <r>
    <x v="7"/>
    <x v="182"/>
    <d v="1899-12-30T00:00:00"/>
    <s v="3RD"/>
    <d v="1899-12-31T05:00:00"/>
    <n v="2"/>
    <x v="5"/>
    <s v="-"/>
    <s v="P"/>
    <s v="P"/>
    <s v="P"/>
    <s v="-"/>
    <s v="+"/>
    <n v="10.75"/>
    <s v="-"/>
    <s v="-"/>
    <s v="-"/>
    <s v="-"/>
    <s v="-"/>
    <s v="-"/>
    <s v="-"/>
    <s v="-"/>
    <s v="P"/>
    <s v="P"/>
    <s v="-"/>
    <s v="-"/>
    <n v="1"/>
    <n v="2"/>
    <n v="0"/>
    <s v="-"/>
    <s v="-"/>
    <s v="-"/>
    <s v="-"/>
    <s v="-"/>
    <s v="-"/>
    <s v="-"/>
    <n v="3"/>
    <n v="4"/>
    <s v="-"/>
    <n v="1"/>
    <n v="1"/>
    <n v="2"/>
    <n v="2"/>
    <n v="5"/>
    <n v="6"/>
  </r>
  <r>
    <x v="7"/>
    <x v="183"/>
    <d v="2026-08-21T00:00:00"/>
    <s v="1ST"/>
    <s v="06:00"/>
    <n v="1"/>
    <x v="38"/>
    <s v="-"/>
    <s v="P"/>
    <s v="P"/>
    <s v="P"/>
    <s v="-"/>
    <s v="-"/>
    <n v="10.83"/>
    <n v="9.5500000000000007"/>
    <n v="0.55000000000000004"/>
    <n v="54"/>
    <s v="-"/>
    <s v="-"/>
    <n v="26.1"/>
    <s v="-"/>
    <s v="-"/>
    <s v="P"/>
    <s v="P"/>
    <n v="1"/>
    <s v="-"/>
    <n v="1"/>
    <n v="2"/>
    <n v="0"/>
    <n v="1"/>
    <n v="2"/>
    <n v="2"/>
    <s v="-"/>
    <s v="-"/>
    <n v="2"/>
    <s v="-"/>
    <n v="10"/>
    <n v="11"/>
    <s v="-"/>
    <n v="1"/>
    <n v="1"/>
    <n v="2"/>
    <n v="2"/>
    <n v="12"/>
    <n v="13"/>
  </r>
  <r>
    <x v="7"/>
    <x v="183"/>
    <d v="2026-08-21T00:00:00"/>
    <s v="1ST"/>
    <s v="07:00"/>
    <n v="1"/>
    <x v="38"/>
    <s v="-"/>
    <s v="P"/>
    <s v="P"/>
    <s v="P"/>
    <s v="-"/>
    <s v="-"/>
    <n v="11.56"/>
    <s v="-"/>
    <s v="-"/>
    <s v="-"/>
    <s v="-"/>
    <s v="-"/>
    <s v="-"/>
    <s v="-"/>
    <s v="-"/>
    <s v="P"/>
    <s v="P"/>
    <s v="-"/>
    <s v="-"/>
    <n v="1"/>
    <n v="2"/>
    <n v="1"/>
    <s v="-"/>
    <s v="-"/>
    <s v="-"/>
    <s v="-"/>
    <s v="-"/>
    <s v="-"/>
    <s v="-"/>
    <n v="4"/>
    <n v="4"/>
    <s v="-"/>
    <n v="1"/>
    <n v="1"/>
    <n v="2"/>
    <n v="2"/>
    <n v="6"/>
    <n v="6"/>
  </r>
  <r>
    <x v="7"/>
    <x v="183"/>
    <d v="2026-08-21T00:00:00"/>
    <s v="1ST"/>
    <s v="08:00"/>
    <n v="1"/>
    <x v="38"/>
    <s v="-"/>
    <s v="P"/>
    <s v="P"/>
    <s v="P"/>
    <s v="-"/>
    <s v="-"/>
    <n v="11.56"/>
    <s v="-"/>
    <s v="-"/>
    <s v="-"/>
    <s v="-"/>
    <s v="-"/>
    <s v="-"/>
    <s v="-"/>
    <s v="-"/>
    <s v="P"/>
    <s v="P"/>
    <s v="-"/>
    <s v="-"/>
    <n v="1"/>
    <n v="2"/>
    <n v="1"/>
    <s v="-"/>
    <s v="-"/>
    <s v="-"/>
    <s v="-"/>
    <s v="-"/>
    <s v="-"/>
    <s v="-"/>
    <n v="4"/>
    <n v="4"/>
    <s v="-"/>
    <n v="1"/>
    <n v="1"/>
    <n v="2"/>
    <n v="2"/>
    <n v="6"/>
    <n v="6"/>
  </r>
  <r>
    <x v="7"/>
    <x v="183"/>
    <d v="2026-08-21T00:00:00"/>
    <s v="1ST"/>
    <s v="09:00"/>
    <n v="1"/>
    <x v="38"/>
    <s v="-"/>
    <s v="P"/>
    <s v="P"/>
    <s v="P"/>
    <s v="-"/>
    <s v="-"/>
    <n v="11.39"/>
    <s v="-"/>
    <s v="-"/>
    <s v="-"/>
    <s v="-"/>
    <s v="-"/>
    <s v="-"/>
    <s v="-"/>
    <s v="-"/>
    <s v="P"/>
    <s v="P"/>
    <s v="-"/>
    <s v="-"/>
    <n v="1"/>
    <n v="2"/>
    <n v="1"/>
    <s v="-"/>
    <s v="-"/>
    <s v="-"/>
    <s v="-"/>
    <s v="-"/>
    <s v="-"/>
    <s v="-"/>
    <n v="4"/>
    <n v="4"/>
    <s v="-"/>
    <n v="1"/>
    <n v="1"/>
    <n v="2"/>
    <n v="2"/>
    <n v="6"/>
    <n v="6"/>
  </r>
  <r>
    <x v="7"/>
    <x v="183"/>
    <d v="2026-08-21T00:00:00"/>
    <s v="1ST"/>
    <s v="10:00"/>
    <n v="1"/>
    <x v="38"/>
    <s v="-"/>
    <s v="P"/>
    <s v="P"/>
    <s v="P"/>
    <s v="-"/>
    <s v="-"/>
    <n v="11.37"/>
    <s v="-"/>
    <s v="-"/>
    <s v="-"/>
    <s v="-"/>
    <s v="-"/>
    <s v="-"/>
    <s v="-"/>
    <s v="-"/>
    <s v="P"/>
    <s v="P"/>
    <s v="-"/>
    <s v="-"/>
    <n v="1"/>
    <n v="2"/>
    <n v="1"/>
    <s v="-"/>
    <s v="-"/>
    <s v="-"/>
    <s v="-"/>
    <s v="-"/>
    <s v="-"/>
    <s v="-"/>
    <n v="4"/>
    <n v="4"/>
    <s v="-"/>
    <n v="1"/>
    <n v="1"/>
    <n v="2"/>
    <n v="2"/>
    <n v="6"/>
    <n v="6"/>
  </r>
  <r>
    <x v="7"/>
    <x v="183"/>
    <d v="2026-08-21T00:00:00"/>
    <s v="1ST"/>
    <s v="12:00"/>
    <n v="1"/>
    <x v="38"/>
    <s v="-"/>
    <s v="P"/>
    <s v="P"/>
    <s v="P"/>
    <s v="-"/>
    <s v="-"/>
    <n v="11.54"/>
    <s v="-"/>
    <s v="-"/>
    <s v="-"/>
    <s v="-"/>
    <s v="-"/>
    <s v="-"/>
    <s v="-"/>
    <s v="-"/>
    <s v="P"/>
    <s v="P"/>
    <s v="-"/>
    <s v="-"/>
    <n v="1"/>
    <n v="2"/>
    <n v="1"/>
    <s v="-"/>
    <s v="-"/>
    <s v="-"/>
    <s v="-"/>
    <s v="-"/>
    <s v="-"/>
    <s v="-"/>
    <n v="4"/>
    <n v="4"/>
    <s v="-"/>
    <n v="1"/>
    <n v="1"/>
    <n v="2"/>
    <n v="2"/>
    <n v="6"/>
    <n v="6"/>
  </r>
  <r>
    <x v="7"/>
    <x v="183"/>
    <d v="1902-03-26T00:00:00"/>
    <s v="1ST"/>
    <s v="06:00"/>
    <n v="2"/>
    <x v="4"/>
    <s v="-"/>
    <s v="P"/>
    <s v="P"/>
    <s v="P"/>
    <s v="-"/>
    <s v="+"/>
    <n v="11.54"/>
    <n v="10.07"/>
    <n v="0.56999999999999995"/>
    <n v="54.4"/>
    <s v="-"/>
    <s v="-"/>
    <n v="27.6"/>
    <s v="-"/>
    <s v="-"/>
    <s v="P"/>
    <s v="P"/>
    <s v="-"/>
    <s v="-"/>
    <n v="1"/>
    <n v="2"/>
    <n v="1"/>
    <n v="0"/>
    <n v="0"/>
    <n v="2"/>
    <s v="-"/>
    <s v="-"/>
    <n v="2"/>
    <s v="-"/>
    <n v="8"/>
    <n v="11"/>
    <s v="-"/>
    <n v="1"/>
    <n v="1"/>
    <n v="2"/>
    <n v="2"/>
    <n v="10"/>
    <n v="13"/>
  </r>
  <r>
    <x v="7"/>
    <x v="183"/>
    <d v="1899-12-30T00:00:00"/>
    <s v="1ST"/>
    <s v="07:00"/>
    <n v="2"/>
    <x v="4"/>
    <s v="-"/>
    <s v="P"/>
    <s v="P"/>
    <s v="P"/>
    <s v="-"/>
    <s v="+"/>
    <n v="11.19"/>
    <s v="-"/>
    <s v="-"/>
    <s v="-"/>
    <s v="-"/>
    <s v="-"/>
    <s v="-"/>
    <s v="-"/>
    <s v="-"/>
    <s v="P"/>
    <s v="P"/>
    <s v="-"/>
    <s v="-"/>
    <n v="1"/>
    <n v="2"/>
    <n v="1"/>
    <s v="-"/>
    <s v="-"/>
    <s v="-"/>
    <s v="-"/>
    <s v="-"/>
    <s v="-"/>
    <s v="-"/>
    <n v="4"/>
    <n v="4"/>
    <s v="-"/>
    <n v="1"/>
    <n v="1"/>
    <n v="2"/>
    <n v="2"/>
    <n v="6"/>
    <n v="6"/>
  </r>
  <r>
    <x v="7"/>
    <x v="183"/>
    <d v="1899-12-30T00:00:00"/>
    <s v="1ST"/>
    <s v="08:00"/>
    <n v="2"/>
    <x v="4"/>
    <s v="-"/>
    <s v="P"/>
    <s v="P"/>
    <s v="P"/>
    <s v="-"/>
    <s v="+"/>
    <n v="11.03"/>
    <s v="-"/>
    <s v="-"/>
    <s v="-"/>
    <s v="-"/>
    <s v="-"/>
    <s v="-"/>
    <s v="-"/>
    <s v="-"/>
    <s v="P"/>
    <s v="P"/>
    <s v="-"/>
    <s v="-"/>
    <n v="1"/>
    <n v="2"/>
    <n v="1"/>
    <s v="-"/>
    <s v="-"/>
    <s v="-"/>
    <s v="-"/>
    <s v="-"/>
    <s v="-"/>
    <s v="-"/>
    <n v="4"/>
    <n v="4"/>
    <s v="-"/>
    <n v="1"/>
    <n v="1"/>
    <n v="2"/>
    <n v="2"/>
    <n v="6"/>
    <n v="6"/>
  </r>
  <r>
    <x v="7"/>
    <x v="183"/>
    <d v="1899-12-30T00:00:00"/>
    <s v="1ST"/>
    <s v="10:00"/>
    <n v="2"/>
    <x v="17"/>
    <s v="-"/>
    <s v="P"/>
    <s v="P"/>
    <s v="P"/>
    <s v="-"/>
    <s v="+"/>
    <n v="11.13"/>
    <n v="8"/>
    <s v="-"/>
    <n v="54"/>
    <s v="-"/>
    <s v="-"/>
    <n v="21.3"/>
    <s v="-"/>
    <s v="-"/>
    <s v="P"/>
    <s v="P"/>
    <s v="-"/>
    <s v="-"/>
    <n v="1"/>
    <n v="2"/>
    <n v="1"/>
    <n v="1"/>
    <s v="-"/>
    <n v="2"/>
    <s v="-"/>
    <s v="-"/>
    <n v="2"/>
    <s v="-"/>
    <n v="9"/>
    <n v="9"/>
    <s v="-"/>
    <n v="1"/>
    <n v="1"/>
    <n v="2"/>
    <n v="2"/>
    <n v="11"/>
    <n v="11"/>
  </r>
  <r>
    <x v="7"/>
    <x v="183"/>
    <d v="2026-08-15T00:00:00"/>
    <s v="2ND"/>
    <d v="1899-12-30T14:00:00"/>
    <n v="1"/>
    <x v="38"/>
    <s v="-"/>
    <s v="P"/>
    <s v="P"/>
    <s v="P"/>
    <s v="-"/>
    <s v="-"/>
    <n v="11.21"/>
    <s v="-"/>
    <s v="-"/>
    <s v="-"/>
    <s v="-"/>
    <s v="-"/>
    <s v="-"/>
    <s v="-"/>
    <s v="-"/>
    <s v="P"/>
    <s v="P"/>
    <s v="-"/>
    <s v="-"/>
    <n v="1"/>
    <n v="2"/>
    <n v="1"/>
    <s v="-"/>
    <s v="-"/>
    <s v="-"/>
    <s v="-"/>
    <s v="-"/>
    <s v="-"/>
    <s v="-"/>
    <n v="4"/>
    <n v="4"/>
    <s v="-"/>
    <n v="1"/>
    <n v="1"/>
    <n v="2"/>
    <n v="2"/>
    <n v="6"/>
    <n v="6"/>
  </r>
  <r>
    <x v="7"/>
    <x v="183"/>
    <d v="2026-08-15T00:00:00"/>
    <s v="2ND"/>
    <d v="1899-12-30T15:00:00"/>
    <n v="1"/>
    <x v="38"/>
    <s v="-"/>
    <s v="P"/>
    <s v="P"/>
    <s v="P"/>
    <s v="-"/>
    <s v="-"/>
    <n v="11.25"/>
    <s v="-"/>
    <s v="-"/>
    <s v="-"/>
    <s v="-"/>
    <s v="-"/>
    <s v="-"/>
    <s v="-"/>
    <s v="-"/>
    <s v="P"/>
    <s v="P"/>
    <s v="-"/>
    <s v="-"/>
    <n v="1"/>
    <n v="2"/>
    <n v="1"/>
    <s v="-"/>
    <s v="-"/>
    <s v="-"/>
    <s v="-"/>
    <s v="-"/>
    <s v="-"/>
    <s v="-"/>
    <n v="4"/>
    <n v="4"/>
    <s v="-"/>
    <n v="1"/>
    <n v="1"/>
    <n v="2"/>
    <n v="2"/>
    <n v="6"/>
    <n v="6"/>
  </r>
  <r>
    <x v="7"/>
    <x v="183"/>
    <d v="2026-08-15T00:00:00"/>
    <s v="2ND"/>
    <d v="1899-12-30T16:00:00"/>
    <n v="1"/>
    <x v="38"/>
    <s v="-"/>
    <s v="P"/>
    <s v="P"/>
    <s v="P"/>
    <s v="-"/>
    <s v="-"/>
    <n v="11.26"/>
    <s v="-"/>
    <s v="-"/>
    <s v="-"/>
    <s v="-"/>
    <s v="-"/>
    <s v="-"/>
    <s v="-"/>
    <s v="-"/>
    <s v="P"/>
    <s v="P"/>
    <s v="-"/>
    <s v="-"/>
    <n v="1"/>
    <n v="2"/>
    <n v="1"/>
    <s v="-"/>
    <s v="-"/>
    <s v="-"/>
    <s v="-"/>
    <s v="-"/>
    <s v="-"/>
    <s v="-"/>
    <n v="4"/>
    <n v="4"/>
    <s v="-"/>
    <n v="1"/>
    <n v="1"/>
    <n v="2"/>
    <n v="2"/>
    <n v="6"/>
    <n v="6"/>
  </r>
  <r>
    <x v="7"/>
    <x v="183"/>
    <d v="2026-08-15T00:00:00"/>
    <s v="2ND"/>
    <d v="1899-12-30T17:00:00"/>
    <n v="1"/>
    <x v="38"/>
    <s v="-"/>
    <s v="P"/>
    <s v="P"/>
    <s v="P"/>
    <s v="-"/>
    <s v="-"/>
    <n v="11.27"/>
    <s v="-"/>
    <s v="-"/>
    <s v="-"/>
    <s v="-"/>
    <s v="-"/>
    <s v="-"/>
    <s v="-"/>
    <s v="-"/>
    <s v="P"/>
    <s v="P"/>
    <s v="-"/>
    <s v="-"/>
    <n v="1"/>
    <n v="2"/>
    <n v="1"/>
    <s v="-"/>
    <s v="-"/>
    <s v="-"/>
    <s v="-"/>
    <s v="-"/>
    <s v="-"/>
    <s v="-"/>
    <n v="4"/>
    <n v="4"/>
    <s v="-"/>
    <n v="1"/>
    <n v="1"/>
    <n v="2"/>
    <n v="2"/>
    <n v="6"/>
    <n v="6"/>
  </r>
  <r>
    <x v="7"/>
    <x v="183"/>
    <d v="2026-08-15T00:00:00"/>
    <s v="2ND"/>
    <d v="1899-12-30T18:00:00"/>
    <n v="1"/>
    <x v="38"/>
    <s v="-"/>
    <s v="P"/>
    <s v="P"/>
    <s v="P"/>
    <s v="-"/>
    <s v="-"/>
    <s v="-"/>
    <s v="-"/>
    <s v="-"/>
    <s v="-"/>
    <s v="-"/>
    <s v="-"/>
    <s v="-"/>
    <s v="-"/>
    <s v="-"/>
    <s v="P"/>
    <s v="P"/>
    <s v="-"/>
    <s v="-"/>
    <n v="1"/>
    <n v="2"/>
    <s v="-"/>
    <s v="-"/>
    <s v="-"/>
    <s v="-"/>
    <s v="-"/>
    <s v="-"/>
    <s v="-"/>
    <s v="-"/>
    <n v="3"/>
    <n v="3"/>
    <s v="-"/>
    <n v="1"/>
    <n v="1"/>
    <n v="2"/>
    <n v="2"/>
    <n v="5"/>
    <n v="5"/>
  </r>
  <r>
    <x v="7"/>
    <x v="183"/>
    <d v="2026-08-15T00:00:00"/>
    <s v="2ND"/>
    <d v="1899-12-30T19:00:00"/>
    <n v="1"/>
    <x v="38"/>
    <s v="-"/>
    <s v="P"/>
    <s v="P"/>
    <s v="P"/>
    <s v="-"/>
    <s v="-"/>
    <s v="-"/>
    <s v="-"/>
    <s v="-"/>
    <s v="-"/>
    <s v="-"/>
    <s v="-"/>
    <s v="-"/>
    <s v="-"/>
    <s v="-"/>
    <s v="P"/>
    <s v="P"/>
    <s v="-"/>
    <s v="-"/>
    <n v="1"/>
    <n v="2"/>
    <s v="-"/>
    <s v="-"/>
    <s v="-"/>
    <s v="-"/>
    <s v="-"/>
    <s v="-"/>
    <s v="-"/>
    <s v="-"/>
    <n v="3"/>
    <n v="3"/>
    <s v="-"/>
    <n v="1"/>
    <n v="1"/>
    <n v="2"/>
    <n v="2"/>
    <n v="5"/>
    <n v="5"/>
  </r>
  <r>
    <x v="7"/>
    <x v="183"/>
    <d v="2026-08-15T00:00:00"/>
    <s v="2ND"/>
    <d v="1899-12-30T20:00:00"/>
    <n v="1"/>
    <x v="38"/>
    <s v="-"/>
    <s v="P"/>
    <s v="P"/>
    <s v="P"/>
    <s v="-"/>
    <s v="-"/>
    <s v="-"/>
    <s v="-"/>
    <s v="-"/>
    <s v="-"/>
    <s v="-"/>
    <s v="-"/>
    <s v="-"/>
    <s v="-"/>
    <s v="-"/>
    <s v="P"/>
    <s v="P"/>
    <s v="-"/>
    <s v="-"/>
    <n v="1"/>
    <n v="2"/>
    <s v="-"/>
    <s v="-"/>
    <s v="-"/>
    <s v="-"/>
    <s v="-"/>
    <s v="-"/>
    <s v="-"/>
    <s v="-"/>
    <n v="3"/>
    <n v="3"/>
    <s v="-"/>
    <n v="1"/>
    <n v="1"/>
    <n v="2"/>
    <n v="2"/>
    <n v="5"/>
    <n v="5"/>
  </r>
  <r>
    <x v="7"/>
    <x v="183"/>
    <d v="2026-08-15T00:00:00"/>
    <s v="2ND"/>
    <d v="1899-12-30T21:00:00"/>
    <n v="1"/>
    <x v="38"/>
    <s v="-"/>
    <s v="P"/>
    <s v="P"/>
    <s v="P"/>
    <s v="-"/>
    <s v="-"/>
    <s v="-"/>
    <s v="-"/>
    <s v="-"/>
    <s v="-"/>
    <s v="-"/>
    <s v="-"/>
    <s v="-"/>
    <s v="-"/>
    <s v="-"/>
    <s v="P"/>
    <s v="P"/>
    <s v="-"/>
    <s v="-"/>
    <n v="1"/>
    <n v="2"/>
    <s v="-"/>
    <s v="-"/>
    <s v="-"/>
    <s v="-"/>
    <s v="-"/>
    <s v="-"/>
    <s v="-"/>
    <s v="-"/>
    <n v="3"/>
    <n v="3"/>
    <s v="-"/>
    <n v="1"/>
    <n v="1"/>
    <n v="2"/>
    <n v="2"/>
    <n v="5"/>
    <n v="5"/>
  </r>
  <r>
    <x v="7"/>
    <x v="184"/>
    <d v="2026-08-19T00:00:00"/>
    <s v="1ST"/>
    <s v="07:00"/>
    <n v="1"/>
    <x v="20"/>
    <n v="0.02"/>
    <s v="P"/>
    <s v="P"/>
    <s v="P"/>
    <s v="-"/>
    <s v="-"/>
    <n v="11.53"/>
    <s v="-"/>
    <s v="-"/>
    <s v="-"/>
    <s v="-"/>
    <s v="-"/>
    <s v="-"/>
    <s v="-"/>
    <s v="-"/>
    <s v="-"/>
    <s v="-"/>
    <s v="-"/>
    <n v="2"/>
    <n v="1"/>
    <n v="2"/>
    <n v="1"/>
    <s v="-"/>
    <s v="-"/>
    <s v="-"/>
    <s v="-"/>
    <s v="-"/>
    <s v="-"/>
    <s v="-"/>
    <n v="6"/>
    <n v="6"/>
    <s v="-"/>
    <s v="-"/>
    <s v="-"/>
    <n v="0"/>
    <n v="0"/>
    <n v="6"/>
    <n v="6"/>
  </r>
  <r>
    <x v="7"/>
    <x v="184"/>
    <d v="2026-08-19T00:00:00"/>
    <s v="1ST"/>
    <s v="09:00"/>
    <n v="1"/>
    <x v="20"/>
    <n v="0.02"/>
    <s v="P"/>
    <s v="P"/>
    <s v="P"/>
    <s v="-"/>
    <s v="-"/>
    <n v="11.61"/>
    <s v="-"/>
    <s v="-"/>
    <s v="-"/>
    <s v="-"/>
    <s v="-"/>
    <s v="-"/>
    <s v="-"/>
    <s v="-"/>
    <s v="-"/>
    <s v="-"/>
    <s v="-"/>
    <n v="2"/>
    <n v="1"/>
    <n v="2"/>
    <n v="1"/>
    <s v="-"/>
    <s v="-"/>
    <s v="-"/>
    <s v="-"/>
    <s v="-"/>
    <s v="-"/>
    <s v="-"/>
    <n v="6"/>
    <n v="6"/>
    <s v="-"/>
    <s v="-"/>
    <s v="-"/>
    <n v="0"/>
    <n v="0"/>
    <n v="6"/>
    <n v="6"/>
  </r>
  <r>
    <x v="7"/>
    <x v="184"/>
    <d v="2026-08-19T00:00:00"/>
    <s v="1ST"/>
    <s v="10:00"/>
    <n v="1"/>
    <x v="20"/>
    <n v="0.02"/>
    <s v="P"/>
    <s v="P"/>
    <s v="P"/>
    <s v="-"/>
    <s v="-"/>
    <n v="11.72"/>
    <s v="-"/>
    <s v="-"/>
    <s v="-"/>
    <s v="-"/>
    <s v="-"/>
    <s v="-"/>
    <s v="-"/>
    <s v="-"/>
    <s v="-"/>
    <s v="-"/>
    <s v="-"/>
    <n v="2"/>
    <n v="1"/>
    <n v="2"/>
    <n v="1"/>
    <s v="-"/>
    <s v="-"/>
    <s v="-"/>
    <s v="-"/>
    <s v="-"/>
    <s v="-"/>
    <s v="-"/>
    <n v="6"/>
    <n v="6"/>
    <s v="-"/>
    <s v="-"/>
    <s v="-"/>
    <n v="0"/>
    <n v="0"/>
    <n v="6"/>
    <n v="6"/>
  </r>
  <r>
    <x v="7"/>
    <x v="184"/>
    <d v="2026-08-19T00:00:00"/>
    <s v="1ST"/>
    <s v="11:00"/>
    <n v="1"/>
    <x v="20"/>
    <n v="0.02"/>
    <s v="P"/>
    <s v="P"/>
    <s v="P"/>
    <s v="-"/>
    <s v="-"/>
    <n v="11.74"/>
    <s v="-"/>
    <s v="-"/>
    <s v="-"/>
    <s v="-"/>
    <s v="-"/>
    <s v="-"/>
    <s v="-"/>
    <s v="-"/>
    <s v="-"/>
    <s v="-"/>
    <s v="-"/>
    <n v="2"/>
    <n v="1"/>
    <n v="2"/>
    <n v="1"/>
    <s v="-"/>
    <s v="-"/>
    <s v="-"/>
    <s v="-"/>
    <s v="-"/>
    <s v="-"/>
    <s v="-"/>
    <n v="6"/>
    <n v="6"/>
    <s v="-"/>
    <s v="-"/>
    <s v="-"/>
    <n v="0"/>
    <n v="0"/>
    <n v="6"/>
    <n v="6"/>
  </r>
  <r>
    <x v="7"/>
    <x v="184"/>
    <d v="2026-08-19T00:00:00"/>
    <s v="1ST"/>
    <s v="12:00"/>
    <n v="1"/>
    <x v="20"/>
    <n v="0.02"/>
    <s v="P"/>
    <s v="P"/>
    <s v="P"/>
    <s v="-"/>
    <s v="-"/>
    <n v="12.03"/>
    <s v="-"/>
    <s v="-"/>
    <s v="-"/>
    <s v="-"/>
    <s v="-"/>
    <s v="-"/>
    <s v="-"/>
    <s v="-"/>
    <s v="-"/>
    <s v="-"/>
    <s v="-"/>
    <n v="2"/>
    <n v="1"/>
    <n v="2"/>
    <n v="1"/>
    <s v="-"/>
    <s v="-"/>
    <s v="-"/>
    <s v="-"/>
    <s v="-"/>
    <s v="-"/>
    <s v="-"/>
    <n v="6"/>
    <n v="6"/>
    <s v="-"/>
    <s v="-"/>
    <s v="-"/>
    <n v="0"/>
    <n v="0"/>
    <n v="6"/>
    <n v="6"/>
  </r>
  <r>
    <x v="7"/>
    <x v="184"/>
    <d v="2026-08-19T00:00:00"/>
    <s v="1ST"/>
    <s v="13:00"/>
    <n v="1"/>
    <x v="20"/>
    <n v="0.02"/>
    <s v="P"/>
    <s v="P"/>
    <s v="P"/>
    <s v="-"/>
    <s v="-"/>
    <n v="11.63"/>
    <s v="-"/>
    <s v="-"/>
    <s v="-"/>
    <s v="-"/>
    <s v="-"/>
    <s v="-"/>
    <s v="-"/>
    <s v="-"/>
    <s v="-"/>
    <s v="-"/>
    <s v="-"/>
    <n v="2"/>
    <n v="1"/>
    <n v="2"/>
    <n v="1"/>
    <s v="-"/>
    <s v="-"/>
    <s v="-"/>
    <s v="-"/>
    <s v="-"/>
    <s v="-"/>
    <s v="-"/>
    <n v="6"/>
    <n v="6"/>
    <s v="-"/>
    <s v="-"/>
    <s v="-"/>
    <n v="0"/>
    <n v="0"/>
    <n v="6"/>
    <n v="6"/>
  </r>
  <r>
    <x v="7"/>
    <x v="184"/>
    <d v="1902-03-26T00:00:00"/>
    <s v="1ST"/>
    <s v="09:00"/>
    <n v="2"/>
    <x v="2"/>
    <s v="-"/>
    <s v="P"/>
    <s v="P"/>
    <s v="P"/>
    <s v="-"/>
    <s v="+"/>
    <n v="10.75"/>
    <s v="-"/>
    <s v="-"/>
    <s v="-"/>
    <s v="-"/>
    <s v="-"/>
    <s v="-"/>
    <s v="-"/>
    <s v="-"/>
    <s v="-"/>
    <s v="-"/>
    <s v="-"/>
    <s v="-"/>
    <n v="1"/>
    <n v="2"/>
    <n v="0"/>
    <s v="-"/>
    <s v="-"/>
    <s v="-"/>
    <s v="-"/>
    <s v="-"/>
    <s v="-"/>
    <s v="-"/>
    <n v="3"/>
    <n v="4"/>
    <s v="-"/>
    <s v="-"/>
    <s v="-"/>
    <n v="0"/>
    <n v="0"/>
    <n v="3"/>
    <n v="4"/>
  </r>
  <r>
    <x v="7"/>
    <x v="184"/>
    <d v="1902-03-26T00:00:00"/>
    <s v="1ST"/>
    <s v="10:00"/>
    <n v="2"/>
    <x v="2"/>
    <s v="-"/>
    <s v="P"/>
    <s v="P"/>
    <s v="P"/>
    <s v="-"/>
    <s v="+"/>
    <n v="10.64"/>
    <s v="-"/>
    <s v="-"/>
    <s v="-"/>
    <s v="-"/>
    <s v="-"/>
    <s v="-"/>
    <s v="-"/>
    <s v="-"/>
    <s v="-"/>
    <s v="-"/>
    <s v="-"/>
    <s v="-"/>
    <n v="1"/>
    <n v="2"/>
    <n v="0"/>
    <s v="-"/>
    <s v="-"/>
    <s v="-"/>
    <s v="-"/>
    <s v="-"/>
    <s v="-"/>
    <s v="-"/>
    <n v="3"/>
    <n v="4"/>
    <s v="-"/>
    <s v="-"/>
    <s v="-"/>
    <n v="0"/>
    <n v="0"/>
    <n v="3"/>
    <n v="4"/>
  </r>
  <r>
    <x v="7"/>
    <x v="184"/>
    <d v="1902-03-26T00:00:00"/>
    <s v="1ST"/>
    <s v="11:00"/>
    <n v="2"/>
    <x v="2"/>
    <s v="-"/>
    <s v="P"/>
    <s v="P"/>
    <s v="P"/>
    <s v="-"/>
    <s v="+"/>
    <n v="10.86"/>
    <s v="-"/>
    <s v="-"/>
    <s v="-"/>
    <s v="-"/>
    <s v="-"/>
    <s v="-"/>
    <s v="-"/>
    <s v="-"/>
    <s v="-"/>
    <s v="-"/>
    <s v="-"/>
    <s v="-"/>
    <n v="1"/>
    <n v="2"/>
    <n v="0"/>
    <s v="-"/>
    <s v="-"/>
    <s v="-"/>
    <s v="-"/>
    <s v="-"/>
    <s v="-"/>
    <s v="-"/>
    <n v="3"/>
    <n v="4"/>
    <s v="-"/>
    <s v="-"/>
    <s v="-"/>
    <n v="0"/>
    <n v="0"/>
    <n v="3"/>
    <n v="4"/>
  </r>
  <r>
    <x v="7"/>
    <x v="184"/>
    <d v="1902-03-26T00:00:00"/>
    <s v="1ST"/>
    <s v="12:00"/>
    <n v="2"/>
    <x v="2"/>
    <s v="-"/>
    <s v="P"/>
    <s v="P"/>
    <s v="P"/>
    <s v="-"/>
    <s v="+"/>
    <n v="10.6"/>
    <s v="-"/>
    <s v="-"/>
    <s v="-"/>
    <s v="-"/>
    <s v="-"/>
    <s v="-"/>
    <s v="-"/>
    <s v="-"/>
    <s v="-"/>
    <s v="-"/>
    <s v="-"/>
    <s v="-"/>
    <n v="1"/>
    <n v="2"/>
    <n v="0"/>
    <s v="-"/>
    <s v="-"/>
    <s v="-"/>
    <s v="-"/>
    <s v="-"/>
    <s v="-"/>
    <s v="-"/>
    <n v="3"/>
    <n v="4"/>
    <s v="-"/>
    <s v="-"/>
    <s v="-"/>
    <n v="0"/>
    <n v="0"/>
    <n v="3"/>
    <n v="4"/>
  </r>
  <r>
    <x v="7"/>
    <x v="184"/>
    <d v="1902-03-26T00:00:00"/>
    <s v="1ST"/>
    <s v="13:00"/>
    <n v="2"/>
    <x v="2"/>
    <s v="-"/>
    <s v="P"/>
    <s v="P"/>
    <s v="P"/>
    <s v="-"/>
    <s v="+"/>
    <n v="10.54"/>
    <s v="-"/>
    <s v="-"/>
    <s v="-"/>
    <s v="-"/>
    <s v="-"/>
    <s v="-"/>
    <s v="-"/>
    <s v="-"/>
    <s v="-"/>
    <s v="-"/>
    <s v="-"/>
    <s v="-"/>
    <n v="1"/>
    <n v="2"/>
    <n v="0"/>
    <s v="-"/>
    <s v="-"/>
    <s v="-"/>
    <s v="-"/>
    <s v="-"/>
    <s v="-"/>
    <s v="-"/>
    <n v="3"/>
    <n v="4"/>
    <s v="-"/>
    <s v="-"/>
    <s v="-"/>
    <n v="0"/>
    <n v="0"/>
    <n v="3"/>
    <n v="4"/>
  </r>
  <r>
    <x v="7"/>
    <x v="184"/>
    <d v="2026-07-29T00:00:00"/>
    <s v="1ST"/>
    <s v="08:00"/>
    <n v="3"/>
    <x v="1"/>
    <s v="-"/>
    <s v="P"/>
    <s v="P"/>
    <s v="P"/>
    <s v="+"/>
    <s v="+"/>
    <n v="13.07"/>
    <s v="-"/>
    <s v="-"/>
    <s v="-"/>
    <s v="-"/>
    <s v="-"/>
    <s v="-"/>
    <s v="-"/>
    <s v="-"/>
    <s v="-"/>
    <s v="-"/>
    <s v="-"/>
    <s v="-"/>
    <n v="1"/>
    <n v="2"/>
    <n v="1"/>
    <s v="-"/>
    <s v="-"/>
    <s v="-"/>
    <s v="-"/>
    <s v="-"/>
    <s v="-"/>
    <s v="-"/>
    <n v="4"/>
    <n v="4"/>
    <s v="-"/>
    <s v="-"/>
    <s v="-"/>
    <n v="0"/>
    <n v="0"/>
    <n v="4"/>
    <n v="4"/>
  </r>
  <r>
    <x v="7"/>
    <x v="184"/>
    <d v="2026-07-29T00:00:00"/>
    <s v="1ST"/>
    <s v="09:00"/>
    <n v="3"/>
    <x v="1"/>
    <s v="-"/>
    <s v="P"/>
    <s v="P"/>
    <s v="P"/>
    <s v="+"/>
    <s v="+"/>
    <n v="12.76"/>
    <s v="-"/>
    <s v="-"/>
    <s v="-"/>
    <s v="-"/>
    <s v="-"/>
    <s v="-"/>
    <s v="-"/>
    <s v="-"/>
    <s v="-"/>
    <s v="-"/>
    <s v="-"/>
    <s v="-"/>
    <n v="1"/>
    <n v="2"/>
    <n v="1"/>
    <s v="-"/>
    <s v="-"/>
    <s v="-"/>
    <s v="-"/>
    <s v="-"/>
    <s v="-"/>
    <s v="-"/>
    <n v="4"/>
    <n v="4"/>
    <s v="-"/>
    <s v="-"/>
    <s v="-"/>
    <n v="0"/>
    <n v="0"/>
    <n v="4"/>
    <n v="4"/>
  </r>
  <r>
    <x v="7"/>
    <x v="184"/>
    <d v="2026-08-19T00:00:00"/>
    <s v="2ND"/>
    <d v="1899-12-30T14:00:00"/>
    <n v="1"/>
    <x v="20"/>
    <n v="0.02"/>
    <s v="P"/>
    <s v="P"/>
    <s v="P"/>
    <s v="-"/>
    <s v="-"/>
    <n v="12.04"/>
    <n v="13.35"/>
    <n v="0.59"/>
    <n v="62.9"/>
    <s v="-"/>
    <s v="-"/>
    <n v="37.799999999999997"/>
    <s v="-"/>
    <s v="-"/>
    <s v="P"/>
    <s v="P"/>
    <s v="-"/>
    <n v="2"/>
    <n v="1"/>
    <n v="2"/>
    <n v="1"/>
    <n v="1"/>
    <n v="2"/>
    <n v="2"/>
    <s v="-"/>
    <s v="-"/>
    <n v="2"/>
    <s v="-"/>
    <n v="13"/>
    <n v="13"/>
    <s v="-"/>
    <n v="1"/>
    <n v="1"/>
    <n v="2"/>
    <n v="2"/>
    <n v="15"/>
    <n v="15"/>
  </r>
  <r>
    <x v="7"/>
    <x v="184"/>
    <d v="2026-08-19T00:00:00"/>
    <s v="2ND"/>
    <d v="1899-12-30T15:00:00"/>
    <n v="1"/>
    <x v="20"/>
    <n v="0.02"/>
    <s v="P"/>
    <s v="P"/>
    <s v="P"/>
    <s v="-"/>
    <s v="-"/>
    <n v="11.92"/>
    <s v="-"/>
    <s v="-"/>
    <s v="-"/>
    <s v="-"/>
    <s v="-"/>
    <s v="-"/>
    <s v="-"/>
    <s v="-"/>
    <s v="P"/>
    <s v="P"/>
    <s v="-"/>
    <n v="2"/>
    <n v="1"/>
    <n v="2"/>
    <n v="1"/>
    <s v="-"/>
    <s v="-"/>
    <s v="-"/>
    <s v="-"/>
    <s v="-"/>
    <s v="-"/>
    <s v="-"/>
    <n v="6"/>
    <n v="6"/>
    <s v="-"/>
    <n v="1"/>
    <n v="1"/>
    <n v="2"/>
    <n v="2"/>
    <n v="8"/>
    <n v="8"/>
  </r>
  <r>
    <x v="7"/>
    <x v="184"/>
    <d v="2026-08-19T00:00:00"/>
    <s v="2ND"/>
    <d v="1899-12-30T16:00:00"/>
    <n v="1"/>
    <x v="20"/>
    <n v="0.02"/>
    <s v="P"/>
    <s v="P"/>
    <s v="P"/>
    <s v="-"/>
    <s v="-"/>
    <n v="12.12"/>
    <s v="-"/>
    <s v="-"/>
    <s v="-"/>
    <s v="-"/>
    <s v="-"/>
    <s v="-"/>
    <s v="-"/>
    <s v="-"/>
    <s v="P"/>
    <s v="P"/>
    <s v="-"/>
    <n v="2"/>
    <n v="1"/>
    <n v="2"/>
    <n v="1"/>
    <s v="-"/>
    <s v="-"/>
    <s v="-"/>
    <s v="-"/>
    <s v="-"/>
    <s v="-"/>
    <s v="-"/>
    <n v="6"/>
    <n v="6"/>
    <s v="-"/>
    <n v="1"/>
    <n v="1"/>
    <n v="2"/>
    <n v="2"/>
    <n v="8"/>
    <n v="8"/>
  </r>
  <r>
    <x v="7"/>
    <x v="184"/>
    <d v="2026-08-19T00:00:00"/>
    <s v="2ND"/>
    <d v="1899-12-30T17:00:00"/>
    <n v="1"/>
    <x v="20"/>
    <n v="0.02"/>
    <s v="P"/>
    <s v="P"/>
    <s v="P"/>
    <s v="-"/>
    <s v="-"/>
    <n v="12.15"/>
    <s v="-"/>
    <s v="-"/>
    <s v="-"/>
    <s v="-"/>
    <s v="-"/>
    <s v="-"/>
    <s v="-"/>
    <s v="-"/>
    <s v="P"/>
    <s v="P"/>
    <s v="-"/>
    <n v="2"/>
    <n v="1"/>
    <n v="2"/>
    <n v="1"/>
    <s v="-"/>
    <s v="-"/>
    <s v="-"/>
    <s v="-"/>
    <s v="-"/>
    <s v="-"/>
    <s v="-"/>
    <n v="6"/>
    <n v="6"/>
    <s v="-"/>
    <n v="1"/>
    <n v="1"/>
    <n v="2"/>
    <n v="2"/>
    <n v="8"/>
    <n v="8"/>
  </r>
  <r>
    <x v="7"/>
    <x v="184"/>
    <d v="2026-08-19T00:00:00"/>
    <s v="2ND"/>
    <d v="1899-12-30T18:00:00"/>
    <n v="1"/>
    <x v="20"/>
    <n v="0.01"/>
    <s v="P"/>
    <s v="P"/>
    <s v="P"/>
    <s v="-"/>
    <s v="-"/>
    <n v="12.36"/>
    <s v="-"/>
    <s v="-"/>
    <s v="-"/>
    <s v="-"/>
    <s v="-"/>
    <s v="-"/>
    <s v="-"/>
    <s v="-"/>
    <s v="P"/>
    <s v="P"/>
    <s v="-"/>
    <n v="2"/>
    <n v="1"/>
    <n v="2"/>
    <n v="1"/>
    <s v="-"/>
    <s v="-"/>
    <s v="-"/>
    <s v="-"/>
    <s v="-"/>
    <s v="-"/>
    <s v="-"/>
    <n v="6"/>
    <n v="6"/>
    <s v="-"/>
    <n v="1"/>
    <n v="1"/>
    <n v="2"/>
    <n v="2"/>
    <n v="8"/>
    <n v="8"/>
  </r>
  <r>
    <x v="7"/>
    <x v="184"/>
    <d v="2026-08-19T00:00:00"/>
    <s v="2ND"/>
    <d v="1899-12-30T19:00:00"/>
    <n v="1"/>
    <x v="20"/>
    <n v="0.01"/>
    <s v="P"/>
    <s v="P"/>
    <s v="P"/>
    <s v="-"/>
    <s v="-"/>
    <n v="12.55"/>
    <s v="-"/>
    <s v="-"/>
    <s v="-"/>
    <s v="-"/>
    <s v="-"/>
    <s v="-"/>
    <s v="-"/>
    <s v="-"/>
    <s v="P"/>
    <s v="P"/>
    <s v="-"/>
    <n v="2"/>
    <n v="1"/>
    <n v="2"/>
    <n v="1"/>
    <s v="-"/>
    <s v="-"/>
    <s v="-"/>
    <s v="-"/>
    <s v="-"/>
    <s v="-"/>
    <s v="-"/>
    <n v="6"/>
    <n v="6"/>
    <s v="-"/>
    <n v="1"/>
    <n v="1"/>
    <n v="2"/>
    <n v="2"/>
    <n v="8"/>
    <n v="8"/>
  </r>
  <r>
    <x v="7"/>
    <x v="184"/>
    <d v="2026-08-19T00:00:00"/>
    <s v="2ND"/>
    <d v="1899-12-30T20:00:00"/>
    <n v="1"/>
    <x v="20"/>
    <n v="0.01"/>
    <s v="P"/>
    <s v="P"/>
    <s v="P"/>
    <s v="-"/>
    <s v="-"/>
    <n v="11.79"/>
    <s v="-"/>
    <s v="-"/>
    <s v="-"/>
    <s v="-"/>
    <s v="-"/>
    <s v="-"/>
    <s v="-"/>
    <s v="-"/>
    <s v="P"/>
    <s v="P"/>
    <s v="-"/>
    <n v="2"/>
    <n v="1"/>
    <n v="2"/>
    <n v="1"/>
    <s v="-"/>
    <s v="-"/>
    <s v="-"/>
    <s v="-"/>
    <s v="-"/>
    <s v="-"/>
    <s v="-"/>
    <n v="6"/>
    <n v="6"/>
    <s v="-"/>
    <n v="1"/>
    <n v="1"/>
    <n v="2"/>
    <n v="2"/>
    <n v="8"/>
    <n v="8"/>
  </r>
  <r>
    <x v="7"/>
    <x v="184"/>
    <d v="1902-03-26T00:00:00"/>
    <s v="2ND"/>
    <d v="1899-12-30T14:00:00"/>
    <n v="2"/>
    <x v="2"/>
    <s v="-"/>
    <s v="P"/>
    <s v="P"/>
    <s v="P"/>
    <s v="-"/>
    <s v="+"/>
    <n v="10.65"/>
    <n v="9.44"/>
    <n v="0.55000000000000004"/>
    <s v="-"/>
    <s v="-"/>
    <s v="-"/>
    <n v="25.8"/>
    <s v="-"/>
    <s v="-"/>
    <s v="P"/>
    <s v="P"/>
    <s v="-"/>
    <s v="-"/>
    <n v="1"/>
    <n v="2"/>
    <n v="0"/>
    <n v="0"/>
    <n v="2"/>
    <s v="-"/>
    <s v="-"/>
    <s v="-"/>
    <n v="0"/>
    <s v="-"/>
    <n v="5"/>
    <n v="9"/>
    <s v="-"/>
    <n v="1"/>
    <n v="1"/>
    <n v="2"/>
    <n v="2"/>
    <n v="7"/>
    <n v="11"/>
  </r>
  <r>
    <x v="7"/>
    <x v="184"/>
    <d v="1899-12-30T00:00:00"/>
    <s v="2ND"/>
    <d v="1899-12-30T15:00:00"/>
    <n v="2"/>
    <x v="2"/>
    <s v="-"/>
    <s v="P"/>
    <s v="P"/>
    <s v="P"/>
    <s v="-"/>
    <s v="+"/>
    <n v="10.54"/>
    <s v="-"/>
    <s v="-"/>
    <s v="-"/>
    <s v="-"/>
    <s v="-"/>
    <s v="-"/>
    <s v="-"/>
    <s v="-"/>
    <s v="P"/>
    <s v="P"/>
    <s v="-"/>
    <s v="-"/>
    <n v="1"/>
    <n v="2"/>
    <n v="0"/>
    <s v="-"/>
    <s v="-"/>
    <s v="-"/>
    <s v="-"/>
    <s v="-"/>
    <s v="-"/>
    <s v="-"/>
    <n v="3"/>
    <n v="4"/>
    <s v="-"/>
    <n v="1"/>
    <n v="1"/>
    <n v="2"/>
    <n v="2"/>
    <n v="5"/>
    <n v="6"/>
  </r>
  <r>
    <x v="7"/>
    <x v="184"/>
    <d v="1899-12-30T00:00:00"/>
    <s v="2ND"/>
    <d v="1899-12-30T16:00:00"/>
    <n v="2"/>
    <x v="2"/>
    <s v="-"/>
    <s v="P"/>
    <s v="P"/>
    <s v="P"/>
    <s v="-"/>
    <s v="+"/>
    <n v="10.6"/>
    <s v="-"/>
    <s v="-"/>
    <s v="-"/>
    <s v="-"/>
    <s v="-"/>
    <s v="-"/>
    <s v="-"/>
    <s v="-"/>
    <s v="P"/>
    <s v="P"/>
    <s v="-"/>
    <s v="-"/>
    <n v="1"/>
    <n v="2"/>
    <n v="0"/>
    <s v="-"/>
    <s v="-"/>
    <s v="-"/>
    <s v="-"/>
    <s v="-"/>
    <s v="-"/>
    <s v="-"/>
    <n v="3"/>
    <n v="4"/>
    <s v="-"/>
    <n v="1"/>
    <n v="1"/>
    <n v="2"/>
    <n v="2"/>
    <n v="5"/>
    <n v="6"/>
  </r>
  <r>
    <x v="7"/>
    <x v="184"/>
    <d v="1899-12-30T00:00:00"/>
    <s v="2ND"/>
    <d v="1899-12-30T17:00:00"/>
    <n v="2"/>
    <x v="2"/>
    <s v="-"/>
    <s v="P"/>
    <s v="P"/>
    <s v="P"/>
    <s v="-"/>
    <s v="+"/>
    <n v="10.65"/>
    <s v="-"/>
    <s v="-"/>
    <s v="-"/>
    <s v="-"/>
    <s v="-"/>
    <s v="-"/>
    <s v="-"/>
    <s v="-"/>
    <s v="P"/>
    <s v="P"/>
    <s v="-"/>
    <s v="-"/>
    <n v="1"/>
    <n v="2"/>
    <n v="0"/>
    <s v="-"/>
    <s v="-"/>
    <s v="-"/>
    <s v="-"/>
    <s v="-"/>
    <s v="-"/>
    <s v="-"/>
    <n v="3"/>
    <n v="4"/>
    <s v="-"/>
    <n v="1"/>
    <n v="1"/>
    <n v="2"/>
    <n v="2"/>
    <n v="5"/>
    <n v="6"/>
  </r>
  <r>
    <x v="7"/>
    <x v="184"/>
    <d v="1899-12-30T00:00:00"/>
    <s v="2ND"/>
    <d v="1899-12-30T18:00:00"/>
    <n v="2"/>
    <x v="2"/>
    <s v="-"/>
    <s v="P"/>
    <s v="P"/>
    <s v="P"/>
    <s v="-"/>
    <s v="+"/>
    <n v="10.58"/>
    <s v="-"/>
    <s v="-"/>
    <s v="-"/>
    <s v="-"/>
    <s v="-"/>
    <s v="-"/>
    <s v="-"/>
    <s v="-"/>
    <s v="P"/>
    <s v="P"/>
    <s v="-"/>
    <s v="-"/>
    <n v="1"/>
    <n v="2"/>
    <n v="0"/>
    <s v="-"/>
    <s v="-"/>
    <s v="-"/>
    <s v="-"/>
    <s v="-"/>
    <s v="-"/>
    <s v="-"/>
    <n v="3"/>
    <n v="4"/>
    <s v="-"/>
    <n v="1"/>
    <n v="1"/>
    <n v="2"/>
    <n v="2"/>
    <n v="5"/>
    <n v="6"/>
  </r>
  <r>
    <x v="7"/>
    <x v="184"/>
    <d v="1899-12-30T00:00:00"/>
    <s v="2ND"/>
    <d v="1899-12-30T19:00:00"/>
    <n v="2"/>
    <x v="2"/>
    <s v="-"/>
    <s v="P"/>
    <s v="P"/>
    <s v="P"/>
    <s v="-"/>
    <s v="+"/>
    <n v="10.49"/>
    <s v="-"/>
    <s v="-"/>
    <s v="-"/>
    <s v="-"/>
    <s v="-"/>
    <s v="-"/>
    <s v="-"/>
    <s v="-"/>
    <s v="P"/>
    <s v="P"/>
    <s v="-"/>
    <s v="-"/>
    <n v="1"/>
    <n v="2"/>
    <n v="0"/>
    <s v="-"/>
    <s v="-"/>
    <s v="-"/>
    <s v="-"/>
    <s v="-"/>
    <s v="-"/>
    <s v="-"/>
    <n v="3"/>
    <n v="4"/>
    <s v="-"/>
    <n v="1"/>
    <n v="1"/>
    <n v="2"/>
    <n v="2"/>
    <n v="5"/>
    <n v="6"/>
  </r>
  <r>
    <x v="7"/>
    <x v="184"/>
    <d v="1899-12-30T00:00:00"/>
    <s v="2ND"/>
    <d v="1899-12-30T20:00:00"/>
    <n v="2"/>
    <x v="2"/>
    <s v="-"/>
    <s v="P"/>
    <s v="P"/>
    <s v="P"/>
    <s v="-"/>
    <s v="+"/>
    <n v="10.5"/>
    <s v="-"/>
    <s v="-"/>
    <s v="-"/>
    <s v="-"/>
    <s v="-"/>
    <s v="-"/>
    <s v="-"/>
    <s v="-"/>
    <s v="P"/>
    <s v="P"/>
    <s v="-"/>
    <s v="-"/>
    <n v="1"/>
    <n v="2"/>
    <n v="0"/>
    <s v="-"/>
    <s v="-"/>
    <s v="-"/>
    <s v="-"/>
    <s v="-"/>
    <s v="-"/>
    <s v="-"/>
    <n v="3"/>
    <n v="4"/>
    <s v="-"/>
    <n v="1"/>
    <n v="1"/>
    <n v="2"/>
    <n v="2"/>
    <n v="5"/>
    <n v="6"/>
  </r>
  <r>
    <x v="7"/>
    <x v="184"/>
    <d v="2026-08-19T00:00:00"/>
    <s v="3RD"/>
    <d v="1899-12-30T22:00:00"/>
    <n v="1"/>
    <x v="20"/>
    <n v="0.01"/>
    <s v="P"/>
    <s v="P"/>
    <s v="P"/>
    <s v="-"/>
    <s v="-"/>
    <n v="12.58"/>
    <s v="-"/>
    <s v="-"/>
    <s v="-"/>
    <s v="-"/>
    <s v="-"/>
    <s v="-"/>
    <s v="-"/>
    <s v="-"/>
    <s v="P"/>
    <s v="P"/>
    <s v="85% 15%"/>
    <n v="2"/>
    <n v="1"/>
    <n v="2"/>
    <n v="1"/>
    <s v="-"/>
    <s v="-"/>
    <s v="-"/>
    <s v="-"/>
    <s v="-"/>
    <s v="-"/>
    <s v="-"/>
    <n v="6"/>
    <n v="6"/>
    <s v="-"/>
    <n v="1"/>
    <n v="1"/>
    <n v="2"/>
    <n v="2"/>
    <n v="8"/>
    <n v="8"/>
  </r>
  <r>
    <x v="7"/>
    <x v="184"/>
    <d v="1902-03-26T00:00:00"/>
    <s v="3RD"/>
    <d v="1899-12-30T22:00:00"/>
    <n v="2"/>
    <x v="2"/>
    <s v="-"/>
    <s v="P"/>
    <s v="P"/>
    <s v="P"/>
    <s v="-"/>
    <s v="+"/>
    <n v="10.56"/>
    <s v="-"/>
    <s v="-"/>
    <s v="-"/>
    <s v="-"/>
    <s v="-"/>
    <s v="-"/>
    <s v="-"/>
    <s v="-"/>
    <s v="P"/>
    <s v="P"/>
    <s v="-"/>
    <s v="-"/>
    <n v="1"/>
    <n v="2"/>
    <n v="0"/>
    <s v="-"/>
    <s v="-"/>
    <s v="-"/>
    <s v="-"/>
    <s v="-"/>
    <s v="-"/>
    <s v="-"/>
    <n v="3"/>
    <n v="4"/>
    <s v="-"/>
    <n v="1"/>
    <n v="1"/>
    <n v="2"/>
    <n v="2"/>
    <n v="5"/>
    <n v="6"/>
  </r>
  <r>
    <x v="7"/>
    <x v="184"/>
    <d v="1899-12-30T00:00:00"/>
    <s v="3RD"/>
    <d v="1899-12-30T23:00:00"/>
    <n v="2"/>
    <x v="2"/>
    <s v="-"/>
    <s v="P"/>
    <s v="P"/>
    <s v="P"/>
    <s v="-"/>
    <s v="+"/>
    <n v="10.46"/>
    <s v="-"/>
    <s v="-"/>
    <s v="-"/>
    <s v="-"/>
    <s v="-"/>
    <s v="-"/>
    <s v="-"/>
    <s v="-"/>
    <s v="P"/>
    <s v="P"/>
    <s v="-"/>
    <s v="-"/>
    <n v="1"/>
    <n v="2"/>
    <n v="0"/>
    <s v="-"/>
    <s v="-"/>
    <s v="-"/>
    <s v="-"/>
    <s v="-"/>
    <s v="-"/>
    <s v="-"/>
    <n v="3"/>
    <n v="4"/>
    <s v="-"/>
    <n v="1"/>
    <n v="1"/>
    <n v="2"/>
    <n v="2"/>
    <n v="5"/>
    <n v="6"/>
  </r>
  <r>
    <x v="7"/>
    <x v="184"/>
    <d v="1899-12-30T00:00:00"/>
    <s v="3RD"/>
    <d v="1899-12-31T01:00:00"/>
    <n v="2"/>
    <x v="5"/>
    <s v="-"/>
    <s v="P"/>
    <s v="P"/>
    <s v="P"/>
    <s v="-"/>
    <s v="+"/>
    <n v="10.116"/>
    <n v="8.3699999999999992"/>
    <s v="-"/>
    <n v="55"/>
    <s v="-"/>
    <s v="-"/>
    <n v="22.5"/>
    <s v="-"/>
    <s v="-"/>
    <s v="P"/>
    <s v="P"/>
    <s v="-"/>
    <s v="-"/>
    <n v="1"/>
    <n v="2"/>
    <n v="0"/>
    <n v="0"/>
    <s v="-"/>
    <n v="2"/>
    <s v="-"/>
    <s v="-"/>
    <n v="2"/>
    <s v="-"/>
    <n v="7"/>
    <n v="9"/>
    <s v="-"/>
    <n v="1"/>
    <n v="1"/>
    <n v="2"/>
    <n v="2"/>
    <n v="9"/>
    <n v="11"/>
  </r>
  <r>
    <x v="7"/>
    <x v="184"/>
    <d v="1899-12-30T00:00:00"/>
    <s v="3RD"/>
    <d v="1899-12-31T02:00:00"/>
    <n v="2"/>
    <x v="5"/>
    <s v="-"/>
    <s v="P"/>
    <s v="P"/>
    <s v="P"/>
    <s v="-"/>
    <s v="+"/>
    <n v="10.49"/>
    <s v="-"/>
    <s v="-"/>
    <s v="-"/>
    <s v="-"/>
    <s v="-"/>
    <s v="-"/>
    <s v="-"/>
    <s v="-"/>
    <s v="P"/>
    <s v="P"/>
    <s v="-"/>
    <s v="-"/>
    <n v="1"/>
    <n v="2"/>
    <n v="0"/>
    <s v="-"/>
    <s v="-"/>
    <s v="-"/>
    <s v="-"/>
    <s v="-"/>
    <s v="-"/>
    <s v="-"/>
    <n v="3"/>
    <n v="4"/>
    <s v="-"/>
    <n v="1"/>
    <n v="1"/>
    <n v="2"/>
    <n v="2"/>
    <n v="5"/>
    <n v="6"/>
  </r>
  <r>
    <x v="7"/>
    <x v="184"/>
    <d v="1899-12-30T00:00:00"/>
    <s v="3RD"/>
    <d v="1899-12-31T03:00:00"/>
    <n v="2"/>
    <x v="5"/>
    <s v="-"/>
    <s v="P"/>
    <s v="P"/>
    <s v="P"/>
    <s v="-"/>
    <s v="+"/>
    <n v="10.64"/>
    <s v="-"/>
    <s v="-"/>
    <s v="-"/>
    <s v="-"/>
    <s v="-"/>
    <s v="-"/>
    <s v="-"/>
    <s v="-"/>
    <s v="P"/>
    <s v="P"/>
    <s v="-"/>
    <s v="-"/>
    <n v="1"/>
    <n v="2"/>
    <n v="0"/>
    <s v="-"/>
    <s v="-"/>
    <s v="-"/>
    <s v="-"/>
    <s v="-"/>
    <s v="-"/>
    <s v="-"/>
    <n v="3"/>
    <n v="4"/>
    <s v="-"/>
    <n v="1"/>
    <n v="1"/>
    <n v="2"/>
    <n v="2"/>
    <n v="5"/>
    <n v="6"/>
  </r>
  <r>
    <x v="7"/>
    <x v="184"/>
    <d v="1899-12-30T00:00:00"/>
    <s v="3RD"/>
    <d v="1899-12-31T04:00:00"/>
    <n v="2"/>
    <x v="5"/>
    <s v="-"/>
    <s v="P"/>
    <s v="P"/>
    <s v="P"/>
    <s v="-"/>
    <s v="+"/>
    <n v="10.75"/>
    <s v="-"/>
    <s v="-"/>
    <s v="-"/>
    <s v="-"/>
    <s v="-"/>
    <s v="-"/>
    <s v="-"/>
    <s v="-"/>
    <s v="P"/>
    <s v="P"/>
    <s v="-"/>
    <s v="-"/>
    <n v="1"/>
    <n v="2"/>
    <n v="0"/>
    <s v="-"/>
    <s v="-"/>
    <s v="-"/>
    <s v="-"/>
    <s v="-"/>
    <s v="-"/>
    <s v="-"/>
    <n v="3"/>
    <n v="4"/>
    <s v="-"/>
    <n v="1"/>
    <n v="1"/>
    <n v="2"/>
    <n v="2"/>
    <n v="5"/>
    <n v="6"/>
  </r>
  <r>
    <x v="7"/>
    <x v="184"/>
    <d v="2026-08-16T00:00:00"/>
    <s v="3RD"/>
    <d v="1899-12-31T01:00:00"/>
    <n v="3"/>
    <x v="0"/>
    <s v="-"/>
    <s v="P"/>
    <s v="P"/>
    <s v="P"/>
    <s v="+"/>
    <s v="+"/>
    <n v="12.4"/>
    <n v="11.85"/>
    <n v="0.51"/>
    <n v="64.400000000000006"/>
    <s v="-"/>
    <s v="-"/>
    <n v="32.9"/>
    <s v="-"/>
    <s v="-"/>
    <s v="P"/>
    <s v="P"/>
    <s v="-"/>
    <s v="-"/>
    <n v="1"/>
    <n v="2"/>
    <n v="1"/>
    <n v="0"/>
    <n v="2"/>
    <n v="2"/>
    <s v="-"/>
    <s v="-"/>
    <n v="0"/>
    <s v="-"/>
    <n v="8"/>
    <n v="11"/>
    <s v="-"/>
    <n v="1"/>
    <n v="1"/>
    <n v="2"/>
    <n v="2"/>
    <n v="10"/>
    <n v="13"/>
  </r>
  <r>
    <x v="7"/>
    <x v="184"/>
    <d v="2026-07-29T00:00:00"/>
    <s v="3RD"/>
    <d v="1899-12-31T03:00:00"/>
    <n v="3"/>
    <x v="0"/>
    <s v="-"/>
    <s v="P"/>
    <s v="P"/>
    <s v="P"/>
    <s v="+"/>
    <s v="+"/>
    <s v="-"/>
    <s v="-"/>
    <s v="-"/>
    <s v="-"/>
    <s v="-"/>
    <s v="-"/>
    <s v="-"/>
    <s v="-"/>
    <s v="-"/>
    <s v="P"/>
    <s v="P"/>
    <s v="-"/>
    <s v="-"/>
    <n v="1"/>
    <n v="2"/>
    <s v="-"/>
    <s v="-"/>
    <s v="-"/>
    <s v="-"/>
    <s v="-"/>
    <s v="-"/>
    <s v="-"/>
    <s v="-"/>
    <n v="3"/>
    <n v="3"/>
    <s v="-"/>
    <n v="1"/>
    <n v="1"/>
    <n v="2"/>
    <n v="2"/>
    <n v="5"/>
    <n v="5"/>
  </r>
  <r>
    <x v="7"/>
    <x v="184"/>
    <d v="2026-07-29T00:00:00"/>
    <s v="3RD"/>
    <d v="1899-12-31T04:00:00"/>
    <n v="3"/>
    <x v="1"/>
    <s v="-"/>
    <s v="P"/>
    <s v="P"/>
    <s v="P"/>
    <s v="+"/>
    <s v="+"/>
    <n v="12.43"/>
    <s v="-"/>
    <s v="-"/>
    <s v="-"/>
    <s v="-"/>
    <s v="-"/>
    <s v="-"/>
    <s v="-"/>
    <s v="-"/>
    <s v="P"/>
    <s v="P"/>
    <s v="-"/>
    <s v="-"/>
    <n v="1"/>
    <n v="2"/>
    <n v="1"/>
    <s v="-"/>
    <s v="-"/>
    <s v="-"/>
    <s v="-"/>
    <s v="-"/>
    <s v="-"/>
    <s v="-"/>
    <n v="4"/>
    <n v="4"/>
    <s v="-"/>
    <n v="1"/>
    <n v="1"/>
    <n v="2"/>
    <n v="2"/>
    <n v="6"/>
    <n v="6"/>
  </r>
  <r>
    <x v="7"/>
    <x v="184"/>
    <d v="2026-07-29T00:00:00"/>
    <s v="3RD"/>
    <d v="1899-12-31T05:00:00"/>
    <n v="3"/>
    <x v="1"/>
    <s v="-"/>
    <s v="P"/>
    <s v="P"/>
    <s v="P"/>
    <s v="+"/>
    <s v="+"/>
    <n v="12.11"/>
    <s v="-"/>
    <s v="-"/>
    <s v="-"/>
    <s v="-"/>
    <s v="-"/>
    <s v="-"/>
    <s v="-"/>
    <s v="-"/>
    <s v="P"/>
    <s v="P"/>
    <s v="-"/>
    <s v="-"/>
    <n v="1"/>
    <n v="2"/>
    <n v="1"/>
    <s v="-"/>
    <s v="-"/>
    <s v="-"/>
    <s v="-"/>
    <s v="-"/>
    <s v="-"/>
    <s v="-"/>
    <n v="4"/>
    <n v="4"/>
    <s v="-"/>
    <n v="1"/>
    <n v="1"/>
    <n v="2"/>
    <n v="2"/>
    <n v="6"/>
    <n v="6"/>
  </r>
  <r>
    <x v="7"/>
    <x v="185"/>
    <d v="2026-08-24T00:00:00"/>
    <s v="1ST"/>
    <s v="10:00"/>
    <n v="1"/>
    <x v="20"/>
    <s v="-"/>
    <s v="P"/>
    <s v="P"/>
    <s v="P"/>
    <s v="-"/>
    <s v="-"/>
    <n v="11.6"/>
    <n v="12.76"/>
    <s v="-"/>
    <n v="62.9"/>
    <s v="-"/>
    <s v="-"/>
    <n v="35.700000000000003"/>
    <s v="-"/>
    <s v="-"/>
    <s v="P"/>
    <s v="P"/>
    <s v="95%     5%"/>
    <s v="-"/>
    <n v="1"/>
    <n v="2"/>
    <n v="1"/>
    <n v="1"/>
    <s v="-"/>
    <n v="2"/>
    <s v="-"/>
    <s v="-"/>
    <n v="2"/>
    <s v="-"/>
    <n v="9"/>
    <n v="9"/>
    <s v="-"/>
    <n v="1"/>
    <n v="1"/>
    <n v="2"/>
    <n v="2"/>
    <n v="11"/>
    <n v="11"/>
  </r>
  <r>
    <x v="7"/>
    <x v="185"/>
    <d v="2026-08-24T00:00:00"/>
    <s v="1ST"/>
    <s v="11:00"/>
    <n v="1"/>
    <x v="20"/>
    <s v="-"/>
    <s v="P"/>
    <s v="P"/>
    <s v="P"/>
    <s v="-"/>
    <s v="-"/>
    <n v="12.5"/>
    <s v="-"/>
    <s v="-"/>
    <s v="-"/>
    <s v="-"/>
    <s v="-"/>
    <s v="-"/>
    <s v="-"/>
    <s v="-"/>
    <s v="P"/>
    <s v="P"/>
    <s v="95%     5%"/>
    <s v="-"/>
    <n v="1"/>
    <n v="2"/>
    <n v="1"/>
    <s v="-"/>
    <s v="-"/>
    <s v="-"/>
    <s v="-"/>
    <s v="-"/>
    <s v="-"/>
    <s v="-"/>
    <n v="4"/>
    <n v="4"/>
    <s v="-"/>
    <n v="1"/>
    <n v="1"/>
    <n v="2"/>
    <n v="2"/>
    <n v="6"/>
    <n v="6"/>
  </r>
  <r>
    <x v="7"/>
    <x v="185"/>
    <d v="1902-03-26T00:00:00"/>
    <s v="1ST"/>
    <s v="06:00"/>
    <n v="2"/>
    <x v="4"/>
    <s v="-"/>
    <s v="P"/>
    <s v="P"/>
    <s v="P"/>
    <s v="-"/>
    <s v="+"/>
    <n v="10.85"/>
    <n v="10.24"/>
    <n v="0.57999999999999996"/>
    <n v="54.1"/>
    <s v="-"/>
    <s v="-"/>
    <n v="28.2"/>
    <s v="-"/>
    <s v="-"/>
    <s v="P"/>
    <s v="P"/>
    <s v="-"/>
    <s v="-"/>
    <n v="1"/>
    <n v="2"/>
    <n v="0"/>
    <n v="0"/>
    <n v="0"/>
    <n v="2"/>
    <s v="-"/>
    <s v="-"/>
    <n v="0"/>
    <s v="-"/>
    <n v="5"/>
    <n v="11"/>
    <s v="-"/>
    <n v="1"/>
    <n v="1"/>
    <n v="2"/>
    <n v="2"/>
    <n v="7"/>
    <n v="13"/>
  </r>
  <r>
    <x v="7"/>
    <x v="185"/>
    <d v="1902-03-26T00:00:00"/>
    <s v="1ST"/>
    <s v="08:00"/>
    <n v="2"/>
    <x v="20"/>
    <s v="-"/>
    <s v="P"/>
    <s v="P"/>
    <s v="P"/>
    <s v="-"/>
    <s v="-"/>
    <n v="12.55"/>
    <n v="12.55"/>
    <n v="0.56000000000000005"/>
    <n v="65.2"/>
    <s v="-"/>
    <s v="-"/>
    <n v="35"/>
    <s v="-"/>
    <s v="-"/>
    <s v="P"/>
    <s v="P"/>
    <n v="1"/>
    <s v="-"/>
    <n v="1"/>
    <n v="2"/>
    <n v="1"/>
    <n v="1"/>
    <n v="2"/>
    <n v="2"/>
    <s v="-"/>
    <s v="-"/>
    <n v="2"/>
    <s v="-"/>
    <n v="11"/>
    <n v="11"/>
    <s v="-"/>
    <n v="1"/>
    <n v="1"/>
    <n v="2"/>
    <n v="2"/>
    <n v="13"/>
    <n v="13"/>
  </r>
  <r>
    <x v="7"/>
    <x v="185"/>
    <d v="1902-03-26T00:00:00"/>
    <s v="1ST"/>
    <s v="09:00"/>
    <n v="2"/>
    <x v="20"/>
    <n v="0.01"/>
    <s v="P"/>
    <s v="P"/>
    <s v="P"/>
    <s v="-"/>
    <s v="-"/>
    <n v="12.88"/>
    <s v="-"/>
    <s v="-"/>
    <s v="-"/>
    <s v="-"/>
    <s v="-"/>
    <s v="-"/>
    <s v="-"/>
    <s v="-"/>
    <s v="P"/>
    <s v="P"/>
    <s v="-"/>
    <n v="2"/>
    <n v="1"/>
    <n v="2"/>
    <n v="1"/>
    <s v="-"/>
    <s v="-"/>
    <s v="-"/>
    <s v="-"/>
    <s v="-"/>
    <s v="-"/>
    <s v="-"/>
    <n v="6"/>
    <n v="6"/>
    <s v="-"/>
    <n v="1"/>
    <n v="1"/>
    <n v="2"/>
    <n v="2"/>
    <n v="8"/>
    <n v="8"/>
  </r>
  <r>
    <x v="7"/>
    <x v="185"/>
    <d v="1902-03-26T00:00:00"/>
    <s v="1ST"/>
    <s v="11:00"/>
    <n v="2"/>
    <x v="20"/>
    <n v="0.01"/>
    <s v="P"/>
    <s v="P"/>
    <s v="P"/>
    <s v="-"/>
    <s v="-"/>
    <n v="12.65"/>
    <s v="-"/>
    <s v="-"/>
    <s v="-"/>
    <s v="-"/>
    <s v="-"/>
    <s v="-"/>
    <s v="-"/>
    <s v="-"/>
    <s v="P"/>
    <s v="P"/>
    <s v="-"/>
    <n v="2"/>
    <n v="1"/>
    <n v="2"/>
    <n v="1"/>
    <s v="-"/>
    <s v="-"/>
    <s v="-"/>
    <s v="-"/>
    <s v="-"/>
    <s v="-"/>
    <s v="-"/>
    <n v="6"/>
    <n v="6"/>
    <s v="-"/>
    <n v="1"/>
    <n v="1"/>
    <n v="2"/>
    <n v="2"/>
    <n v="8"/>
    <n v="8"/>
  </r>
  <r>
    <x v="7"/>
    <x v="185"/>
    <d v="1902-03-26T00:00:00"/>
    <s v="1ST"/>
    <s v="13:00"/>
    <n v="2"/>
    <x v="21"/>
    <n v="0.01"/>
    <s v="P"/>
    <s v="P"/>
    <s v="P"/>
    <s v="-"/>
    <s v="+"/>
    <n v="11.78"/>
    <s v="-"/>
    <s v="-"/>
    <s v="-"/>
    <s v="-"/>
    <s v="-"/>
    <s v="-"/>
    <s v="-"/>
    <s v="-"/>
    <s v="P"/>
    <s v="P"/>
    <s v="-"/>
    <n v="2"/>
    <n v="1"/>
    <n v="2"/>
    <n v="1"/>
    <s v="-"/>
    <s v="-"/>
    <s v="-"/>
    <s v="-"/>
    <s v="-"/>
    <s v="-"/>
    <s v="-"/>
    <n v="6"/>
    <n v="6"/>
    <s v="-"/>
    <n v="1"/>
    <n v="1"/>
    <n v="2"/>
    <n v="2"/>
    <n v="8"/>
    <n v="8"/>
  </r>
  <r>
    <x v="7"/>
    <x v="185"/>
    <d v="2026-08-16T00:00:00"/>
    <s v="1ST"/>
    <s v="06:00"/>
    <n v="3"/>
    <x v="1"/>
    <n v="0.01"/>
    <s v="P"/>
    <s v="P"/>
    <s v="P"/>
    <s v="+"/>
    <s v="+"/>
    <n v="12.46"/>
    <n v="12.34"/>
    <n v="0.55000000000000004"/>
    <n v="63.9"/>
    <s v="-"/>
    <s v="-"/>
    <n v="34.299999999999997"/>
    <s v="-"/>
    <s v="-"/>
    <s v="P"/>
    <s v="P"/>
    <s v="95%       5%"/>
    <n v="2"/>
    <n v="1"/>
    <n v="2"/>
    <n v="1"/>
    <n v="1"/>
    <n v="2"/>
    <n v="0"/>
    <s v="-"/>
    <s v="-"/>
    <n v="2"/>
    <s v="-"/>
    <n v="11"/>
    <n v="13"/>
    <s v="-"/>
    <n v="1"/>
    <n v="1"/>
    <n v="2"/>
    <n v="2"/>
    <n v="13"/>
    <n v="15"/>
  </r>
  <r>
    <x v="7"/>
    <x v="185"/>
    <d v="2026-08-16T00:00:00"/>
    <s v="1ST"/>
    <s v="07:00"/>
    <n v="3"/>
    <x v="1"/>
    <n v="0.01"/>
    <s v="P"/>
    <s v="P"/>
    <s v="P"/>
    <s v="+"/>
    <s v="+"/>
    <n v="12.6"/>
    <s v="-"/>
    <s v="-"/>
    <s v="-"/>
    <s v="-"/>
    <s v="-"/>
    <s v="-"/>
    <s v="-"/>
    <s v="-"/>
    <s v="P"/>
    <s v="P"/>
    <s v="-"/>
    <n v="2"/>
    <n v="1"/>
    <n v="2"/>
    <n v="1"/>
    <s v="-"/>
    <s v="-"/>
    <s v="-"/>
    <s v="-"/>
    <s v="-"/>
    <s v="-"/>
    <s v="-"/>
    <n v="6"/>
    <n v="6"/>
    <s v="-"/>
    <n v="1"/>
    <n v="1"/>
    <n v="2"/>
    <n v="2"/>
    <n v="8"/>
    <n v="8"/>
  </r>
  <r>
    <x v="7"/>
    <x v="185"/>
    <d v="2026-08-16T00:00:00"/>
    <s v="1ST"/>
    <s v="09:00"/>
    <n v="3"/>
    <x v="1"/>
    <s v="-"/>
    <s v="P"/>
    <s v="P"/>
    <s v="P"/>
    <s v="+"/>
    <s v="+"/>
    <n v="12.5"/>
    <s v="-"/>
    <s v="-"/>
    <s v="-"/>
    <s v="-"/>
    <s v="-"/>
    <s v="-"/>
    <s v="-"/>
    <s v="-"/>
    <s v="P"/>
    <s v="P"/>
    <s v="-"/>
    <s v="-"/>
    <n v="1"/>
    <n v="2"/>
    <n v="1"/>
    <s v="-"/>
    <s v="-"/>
    <s v="-"/>
    <s v="-"/>
    <s v="-"/>
    <s v="-"/>
    <s v="-"/>
    <n v="4"/>
    <n v="4"/>
    <s v="-"/>
    <n v="1"/>
    <n v="1"/>
    <n v="2"/>
    <n v="2"/>
    <n v="6"/>
    <n v="6"/>
  </r>
  <r>
    <x v="7"/>
    <x v="185"/>
    <d v="2026-08-16T00:00:00"/>
    <s v="1ST"/>
    <s v="11:00"/>
    <n v="3"/>
    <x v="1"/>
    <n v="0.01"/>
    <s v="P"/>
    <s v="P"/>
    <s v="P"/>
    <s v="+"/>
    <s v="+"/>
    <s v="-"/>
    <s v="-"/>
    <s v="-"/>
    <s v="-"/>
    <s v="-"/>
    <s v="-"/>
    <s v="-"/>
    <s v="-"/>
    <s v="-"/>
    <s v="P"/>
    <s v="P"/>
    <s v="-"/>
    <n v="2"/>
    <n v="1"/>
    <n v="2"/>
    <s v="-"/>
    <s v="-"/>
    <s v="-"/>
    <s v="-"/>
    <s v="-"/>
    <s v="-"/>
    <s v="-"/>
    <s v="-"/>
    <n v="5"/>
    <n v="5"/>
    <s v="-"/>
    <n v="1"/>
    <n v="1"/>
    <n v="2"/>
    <n v="2"/>
    <n v="7"/>
    <n v="7"/>
  </r>
  <r>
    <x v="7"/>
    <x v="185"/>
    <d v="2026-08-25T00:00:00"/>
    <s v="1ST"/>
    <s v="12:00"/>
    <s v="Retail"/>
    <x v="3"/>
    <s v="-"/>
    <s v="P"/>
    <s v="P"/>
    <s v="P"/>
    <s v="-"/>
    <s v="-"/>
    <n v="13.2"/>
    <s v="-"/>
    <s v="-"/>
    <s v="-"/>
    <s v="-"/>
    <s v="-"/>
    <s v="-"/>
    <s v="-"/>
    <s v="-"/>
    <s v="P"/>
    <s v="P"/>
    <s v="-"/>
    <s v="-"/>
    <n v="1"/>
    <n v="2"/>
    <n v="1"/>
    <s v="-"/>
    <s v="-"/>
    <s v="-"/>
    <s v="-"/>
    <s v="-"/>
    <s v="-"/>
    <s v="-"/>
    <n v="4"/>
    <n v="4"/>
    <s v="-"/>
    <n v="1"/>
    <n v="1"/>
    <n v="2"/>
    <n v="2"/>
    <n v="6"/>
    <n v="6"/>
  </r>
  <r>
    <x v="7"/>
    <x v="185"/>
    <d v="2026-08-24T00:00:00"/>
    <s v="2ND"/>
    <d v="1899-12-30T14:00:00"/>
    <n v="1"/>
    <x v="20"/>
    <s v="-"/>
    <s v="P"/>
    <s v="P"/>
    <s v="P"/>
    <s v="-"/>
    <s v="-"/>
    <n v="12.64"/>
    <n v="12.44"/>
    <n v="0.56000000000000005"/>
    <s v="-"/>
    <s v="-"/>
    <s v="-"/>
    <n v="31.6"/>
    <s v="-"/>
    <s v="-"/>
    <s v="P"/>
    <s v="P"/>
    <s v="75% 20% 5%"/>
    <s v="-"/>
    <n v="1"/>
    <n v="2"/>
    <n v="1"/>
    <n v="1"/>
    <n v="2"/>
    <s v="-"/>
    <s v="-"/>
    <s v="-"/>
    <n v="2"/>
    <s v="-"/>
    <n v="9"/>
    <n v="9"/>
    <s v="-"/>
    <n v="1"/>
    <n v="1"/>
    <n v="2"/>
    <n v="2"/>
    <n v="11"/>
    <n v="11"/>
  </r>
  <r>
    <x v="7"/>
    <x v="185"/>
    <d v="2026-08-24T00:00:00"/>
    <s v="2ND"/>
    <d v="1899-12-30T15:00:00"/>
    <n v="1"/>
    <x v="20"/>
    <n v="0.01"/>
    <s v="P"/>
    <s v="P"/>
    <s v="P"/>
    <s v="-"/>
    <s v="-"/>
    <n v="12.5"/>
    <s v="-"/>
    <s v="-"/>
    <s v="-"/>
    <s v="-"/>
    <s v="-"/>
    <s v="-"/>
    <s v="-"/>
    <s v="-"/>
    <s v="P"/>
    <s v="P"/>
    <s v="-"/>
    <n v="2"/>
    <n v="1"/>
    <n v="2"/>
    <n v="1"/>
    <s v="-"/>
    <s v="-"/>
    <s v="-"/>
    <s v="-"/>
    <s v="-"/>
    <s v="-"/>
    <s v="-"/>
    <n v="6"/>
    <n v="6"/>
    <s v="-"/>
    <n v="1"/>
    <n v="1"/>
    <n v="2"/>
    <n v="2"/>
    <n v="8"/>
    <n v="8"/>
  </r>
  <r>
    <x v="7"/>
    <x v="185"/>
    <d v="2026-08-24T00:00:00"/>
    <s v="2ND"/>
    <d v="1899-12-30T18:00:00"/>
    <n v="1"/>
    <x v="20"/>
    <s v="-"/>
    <s v="P"/>
    <s v="P"/>
    <s v="P"/>
    <s v="-"/>
    <s v="-"/>
    <n v="11.87"/>
    <s v="-"/>
    <s v="-"/>
    <s v="-"/>
    <s v="-"/>
    <s v="-"/>
    <s v="-"/>
    <s v="-"/>
    <s v="-"/>
    <s v="P"/>
    <s v="P"/>
    <s v="-"/>
    <s v="-"/>
    <n v="1"/>
    <n v="2"/>
    <n v="1"/>
    <s v="-"/>
    <s v="-"/>
    <s v="-"/>
    <s v="-"/>
    <s v="-"/>
    <s v="-"/>
    <s v="-"/>
    <n v="4"/>
    <n v="4"/>
    <s v="-"/>
    <n v="1"/>
    <n v="1"/>
    <n v="2"/>
    <n v="2"/>
    <n v="6"/>
    <n v="6"/>
  </r>
  <r>
    <x v="7"/>
    <x v="185"/>
    <d v="2026-08-24T00:00:00"/>
    <s v="2ND"/>
    <d v="1899-12-30T19:00:00"/>
    <n v="1"/>
    <x v="20"/>
    <s v="-"/>
    <s v="P"/>
    <s v="P"/>
    <s v="P"/>
    <s v="-"/>
    <s v="-"/>
    <n v="12.27"/>
    <s v="-"/>
    <s v="-"/>
    <s v="-"/>
    <s v="-"/>
    <s v="-"/>
    <s v="-"/>
    <s v="-"/>
    <s v="-"/>
    <s v="P"/>
    <s v="P"/>
    <s v="-"/>
    <s v="-"/>
    <n v="1"/>
    <n v="2"/>
    <n v="1"/>
    <s v="-"/>
    <s v="-"/>
    <s v="-"/>
    <s v="-"/>
    <s v="-"/>
    <s v="-"/>
    <s v="-"/>
    <n v="4"/>
    <n v="4"/>
    <s v="-"/>
    <n v="1"/>
    <n v="1"/>
    <n v="2"/>
    <n v="2"/>
    <n v="6"/>
    <n v="6"/>
  </r>
  <r>
    <x v="7"/>
    <x v="185"/>
    <d v="1902-03-26T00:00:00"/>
    <s v="2ND"/>
    <d v="1899-12-30T14:00:00"/>
    <n v="2"/>
    <x v="21"/>
    <s v="-"/>
    <s v="P"/>
    <s v="P"/>
    <s v="P"/>
    <s v="-"/>
    <s v="+"/>
    <n v="11.08"/>
    <n v="9.67"/>
    <n v="0.57999999999999996"/>
    <s v="-"/>
    <s v="-"/>
    <s v="-"/>
    <n v="26.4"/>
    <s v="-"/>
    <s v="-"/>
    <s v="P"/>
    <s v="P"/>
    <s v="-"/>
    <s v="-"/>
    <n v="1"/>
    <n v="2"/>
    <n v="1"/>
    <s v="-"/>
    <n v="0"/>
    <s v="-"/>
    <s v="-"/>
    <s v="-"/>
    <n v="2"/>
    <s v="-"/>
    <n v="6"/>
    <n v="8"/>
    <s v="-"/>
    <n v="1"/>
    <n v="1"/>
    <n v="2"/>
    <n v="2"/>
    <n v="8"/>
    <n v="10"/>
  </r>
  <r>
    <x v="7"/>
    <x v="185"/>
    <d v="1899-12-30T00:00:00"/>
    <s v="2ND"/>
    <d v="1899-12-30T15:00:00"/>
    <n v="2"/>
    <x v="21"/>
    <s v="-"/>
    <s v="P"/>
    <s v="P"/>
    <s v="P"/>
    <s v="-"/>
    <s v="+"/>
    <n v="10.79"/>
    <s v="-"/>
    <s v="-"/>
    <s v="-"/>
    <s v="-"/>
    <s v="-"/>
    <s v="-"/>
    <s v="-"/>
    <s v="-"/>
    <s v="P"/>
    <s v="P"/>
    <s v="-"/>
    <s v="-"/>
    <n v="1"/>
    <n v="2"/>
    <n v="0"/>
    <s v="-"/>
    <s v="-"/>
    <s v="-"/>
    <s v="-"/>
    <s v="-"/>
    <s v="-"/>
    <s v="-"/>
    <n v="3"/>
    <n v="4"/>
    <s v="-"/>
    <n v="1"/>
    <n v="1"/>
    <n v="2"/>
    <n v="2"/>
    <n v="5"/>
    <n v="6"/>
  </r>
  <r>
    <x v="7"/>
    <x v="185"/>
    <d v="1899-12-30T00:00:00"/>
    <s v="2ND"/>
    <d v="1899-12-30T17:00:00"/>
    <n v="2"/>
    <x v="21"/>
    <s v="-"/>
    <s v="P"/>
    <s v="P"/>
    <s v="P"/>
    <s v="-"/>
    <s v="+"/>
    <n v="10.81"/>
    <s v="-"/>
    <s v="-"/>
    <s v="-"/>
    <s v="-"/>
    <s v="-"/>
    <s v="-"/>
    <s v="-"/>
    <s v="-"/>
    <s v="P"/>
    <s v="P"/>
    <s v="-"/>
    <s v="-"/>
    <n v="1"/>
    <n v="2"/>
    <n v="0"/>
    <s v="-"/>
    <s v="-"/>
    <s v="-"/>
    <s v="-"/>
    <s v="-"/>
    <s v="-"/>
    <s v="-"/>
    <n v="3"/>
    <n v="4"/>
    <s v="-"/>
    <n v="1"/>
    <n v="1"/>
    <n v="2"/>
    <n v="2"/>
    <n v="5"/>
    <n v="6"/>
  </r>
  <r>
    <x v="7"/>
    <x v="185"/>
    <d v="1899-12-30T00:00:00"/>
    <s v="2ND"/>
    <d v="1899-12-30T18:00:00"/>
    <n v="2"/>
    <x v="21"/>
    <s v="-"/>
    <s v="P"/>
    <s v="P"/>
    <s v="P"/>
    <s v="-"/>
    <s v="+"/>
    <n v="10.66"/>
    <s v="-"/>
    <s v="-"/>
    <s v="-"/>
    <s v="-"/>
    <s v="-"/>
    <s v="-"/>
    <s v="-"/>
    <s v="-"/>
    <s v="P"/>
    <s v="P"/>
    <s v="-"/>
    <s v="-"/>
    <n v="1"/>
    <n v="2"/>
    <n v="0"/>
    <s v="-"/>
    <s v="-"/>
    <s v="-"/>
    <s v="-"/>
    <s v="-"/>
    <s v="-"/>
    <s v="-"/>
    <n v="3"/>
    <n v="4"/>
    <s v="-"/>
    <n v="1"/>
    <n v="1"/>
    <n v="2"/>
    <n v="2"/>
    <n v="5"/>
    <n v="6"/>
  </r>
  <r>
    <x v="7"/>
    <x v="185"/>
    <d v="1899-12-30T00:00:00"/>
    <s v="2ND"/>
    <d v="1899-12-30T19:00:00"/>
    <n v="2"/>
    <x v="21"/>
    <s v="-"/>
    <s v="P"/>
    <s v="P"/>
    <s v="P"/>
    <s v="-"/>
    <s v="+"/>
    <n v="10.17"/>
    <s v="-"/>
    <s v="-"/>
    <s v="-"/>
    <s v="-"/>
    <s v="-"/>
    <s v="-"/>
    <s v="-"/>
    <s v="-"/>
    <s v="P"/>
    <s v="P"/>
    <s v="-"/>
    <s v="-"/>
    <n v="1"/>
    <n v="2"/>
    <n v="0"/>
    <s v="-"/>
    <s v="-"/>
    <s v="-"/>
    <s v="-"/>
    <s v="-"/>
    <s v="-"/>
    <s v="-"/>
    <n v="3"/>
    <n v="4"/>
    <s v="-"/>
    <n v="1"/>
    <n v="1"/>
    <n v="2"/>
    <n v="2"/>
    <n v="5"/>
    <n v="6"/>
  </r>
  <r>
    <x v="7"/>
    <x v="185"/>
    <d v="1899-12-30T00:00:00"/>
    <s v="2ND"/>
    <d v="1899-12-30T21:00:00"/>
    <n v="2"/>
    <x v="21"/>
    <s v="-"/>
    <s v="P"/>
    <s v="P"/>
    <s v="P"/>
    <s v="-"/>
    <s v="+"/>
    <n v="10.55"/>
    <s v="-"/>
    <s v="-"/>
    <s v="-"/>
    <s v="-"/>
    <s v="-"/>
    <s v="-"/>
    <s v="-"/>
    <s v="-"/>
    <s v="P"/>
    <s v="P"/>
    <s v="-"/>
    <s v="-"/>
    <n v="1"/>
    <n v="2"/>
    <n v="0"/>
    <s v="-"/>
    <s v="-"/>
    <s v="-"/>
    <s v="-"/>
    <s v="-"/>
    <s v="-"/>
    <s v="-"/>
    <n v="3"/>
    <n v="4"/>
    <s v="-"/>
    <n v="1"/>
    <n v="1"/>
    <n v="2"/>
    <n v="2"/>
    <n v="5"/>
    <n v="6"/>
  </r>
  <r>
    <x v="7"/>
    <x v="185"/>
    <d v="2026-08-18T00:00:00"/>
    <s v="2ND"/>
    <d v="1899-12-30T16:00:00"/>
    <s v="Retail"/>
    <x v="25"/>
    <s v="-"/>
    <s v="P"/>
    <s v="P"/>
    <s v="P"/>
    <s v="+"/>
    <s v="+"/>
    <n v="12.73"/>
    <s v="-"/>
    <s v="-"/>
    <s v="-"/>
    <s v="-"/>
    <s v="-"/>
    <s v="-"/>
    <s v="-"/>
    <s v="-"/>
    <s v="-"/>
    <s v="-"/>
    <s v="-"/>
    <s v="-"/>
    <n v="1"/>
    <n v="2"/>
    <n v="1"/>
    <s v="-"/>
    <s v="-"/>
    <s v="-"/>
    <s v="-"/>
    <s v="-"/>
    <s v="-"/>
    <s v="-"/>
    <n v="4"/>
    <n v="4"/>
    <s v="-"/>
    <s v="-"/>
    <s v="-"/>
    <n v="0"/>
    <n v="0"/>
    <n v="4"/>
    <n v="4"/>
  </r>
  <r>
    <x v="7"/>
    <x v="185"/>
    <d v="2026-08-25T00:00:00"/>
    <s v="2ND"/>
    <d v="1899-12-30T17:00:00"/>
    <s v="Retail"/>
    <x v="3"/>
    <s v="-"/>
    <s v="-"/>
    <s v="-"/>
    <s v="-"/>
    <s v="-"/>
    <s v="-"/>
    <n v="13.05"/>
    <s v="-"/>
    <s v="-"/>
    <s v="-"/>
    <s v="-"/>
    <s v="-"/>
    <s v="-"/>
    <s v="-"/>
    <s v="-"/>
    <s v="-"/>
    <s v="-"/>
    <s v="-"/>
    <s v="-"/>
    <s v="-"/>
    <s v="-"/>
    <n v="1"/>
    <s v="-"/>
    <s v="-"/>
    <s v="-"/>
    <s v="-"/>
    <s v="-"/>
    <s v="-"/>
    <s v="-"/>
    <n v="1"/>
    <n v="1"/>
    <s v="-"/>
    <s v="-"/>
    <s v="-"/>
    <n v="0"/>
    <n v="0"/>
    <n v="1"/>
    <n v="1"/>
  </r>
  <r>
    <x v="7"/>
    <x v="185"/>
    <d v="2026-08-25T00:00:00"/>
    <s v="2ND"/>
    <d v="1899-12-30T18:00:00"/>
    <s v="Retail"/>
    <x v="9"/>
    <s v="-"/>
    <s v="-"/>
    <s v="-"/>
    <s v="-"/>
    <s v="-"/>
    <s v="-"/>
    <n v="10.15"/>
    <s v="-"/>
    <s v="-"/>
    <s v="-"/>
    <s v="-"/>
    <s v="-"/>
    <s v="-"/>
    <s v="-"/>
    <s v="-"/>
    <s v="-"/>
    <s v="-"/>
    <s v="-"/>
    <s v="-"/>
    <s v="-"/>
    <s v="-"/>
    <n v="1"/>
    <s v="-"/>
    <s v="-"/>
    <s v="-"/>
    <s v="-"/>
    <s v="-"/>
    <s v="-"/>
    <s v="-"/>
    <n v="1"/>
    <n v="1"/>
    <s v="-"/>
    <s v="-"/>
    <s v="-"/>
    <n v="0"/>
    <n v="0"/>
    <n v="1"/>
    <n v="1"/>
  </r>
  <r>
    <x v="7"/>
    <x v="185"/>
    <d v="2026-08-22T00:00:00"/>
    <s v="3RD"/>
    <d v="1899-12-30T22:00:00"/>
    <n v="1"/>
    <x v="22"/>
    <s v="-"/>
    <s v="P"/>
    <s v="P"/>
    <s v="P"/>
    <s v="-"/>
    <s v="-"/>
    <n v="10.87"/>
    <n v="9.75"/>
    <n v="0.56000000000000005"/>
    <n v="54.2"/>
    <s v="-"/>
    <s v="-"/>
    <n v="26.69"/>
    <s v="-"/>
    <s v="-"/>
    <s v="P"/>
    <s v="P"/>
    <n v="1"/>
    <s v="-"/>
    <n v="1"/>
    <n v="2"/>
    <n v="0"/>
    <n v="1"/>
    <n v="2"/>
    <n v="2"/>
    <s v="-"/>
    <s v="-"/>
    <n v="2"/>
    <s v="-"/>
    <n v="10"/>
    <n v="11"/>
    <s v="-"/>
    <n v="1"/>
    <n v="1"/>
    <n v="2"/>
    <n v="2"/>
    <n v="12"/>
    <n v="13"/>
  </r>
  <r>
    <x v="7"/>
    <x v="185"/>
    <d v="2026-08-22T00:00:00"/>
    <s v="3RD"/>
    <d v="1899-12-30T23:00:00"/>
    <n v="1"/>
    <x v="22"/>
    <s v="-"/>
    <s v="P"/>
    <s v="P"/>
    <s v="P"/>
    <s v="-"/>
    <s v="-"/>
    <n v="11.84"/>
    <s v="-"/>
    <s v="-"/>
    <s v="-"/>
    <s v="-"/>
    <s v="-"/>
    <s v="-"/>
    <s v="-"/>
    <s v="-"/>
    <s v="P"/>
    <s v="P"/>
    <s v="-"/>
    <s v="-"/>
    <n v="1"/>
    <n v="2"/>
    <n v="1"/>
    <s v="-"/>
    <s v="-"/>
    <s v="-"/>
    <s v="-"/>
    <s v="-"/>
    <s v="-"/>
    <s v="-"/>
    <n v="4"/>
    <n v="4"/>
    <s v="-"/>
    <n v="1"/>
    <n v="1"/>
    <n v="2"/>
    <n v="2"/>
    <n v="6"/>
    <n v="6"/>
  </r>
  <r>
    <x v="7"/>
    <x v="185"/>
    <d v="2026-08-22T00:00:00"/>
    <s v="3RD"/>
    <d v="1899-12-31T00:00:00"/>
    <n v="1"/>
    <x v="22"/>
    <s v="-"/>
    <s v="P"/>
    <s v="P"/>
    <s v="P"/>
    <s v="-"/>
    <s v="-"/>
    <n v="10.86"/>
    <s v="-"/>
    <s v="-"/>
    <s v="-"/>
    <s v="-"/>
    <s v="-"/>
    <s v="-"/>
    <s v="-"/>
    <s v="-"/>
    <s v="P"/>
    <s v="P"/>
    <s v="-"/>
    <s v="-"/>
    <n v="1"/>
    <n v="2"/>
    <n v="0"/>
    <s v="-"/>
    <s v="-"/>
    <s v="-"/>
    <s v="-"/>
    <s v="-"/>
    <s v="-"/>
    <s v="-"/>
    <n v="3"/>
    <n v="4"/>
    <s v="-"/>
    <n v="1"/>
    <n v="1"/>
    <n v="2"/>
    <n v="2"/>
    <n v="5"/>
    <n v="6"/>
  </r>
  <r>
    <x v="7"/>
    <x v="185"/>
    <d v="2026-08-22T00:00:00"/>
    <s v="3RD"/>
    <d v="1899-12-31T01:00:00"/>
    <n v="1"/>
    <x v="22"/>
    <s v="-"/>
    <s v="P"/>
    <s v="P"/>
    <s v="P"/>
    <s v="-"/>
    <s v="-"/>
    <n v="10.99"/>
    <s v="-"/>
    <s v="-"/>
    <s v="-"/>
    <s v="-"/>
    <s v="-"/>
    <s v="-"/>
    <s v="-"/>
    <s v="-"/>
    <s v="P"/>
    <s v="P"/>
    <s v="-"/>
    <s v="-"/>
    <n v="1"/>
    <n v="2"/>
    <n v="0"/>
    <s v="-"/>
    <s v="-"/>
    <s v="-"/>
    <s v="-"/>
    <s v="-"/>
    <s v="-"/>
    <s v="-"/>
    <n v="3"/>
    <n v="4"/>
    <s v="-"/>
    <n v="1"/>
    <n v="1"/>
    <n v="2"/>
    <n v="2"/>
    <n v="5"/>
    <n v="6"/>
  </r>
  <r>
    <x v="7"/>
    <x v="185"/>
    <d v="2026-08-22T00:00:00"/>
    <s v="3RD"/>
    <d v="1899-12-31T02:00:00"/>
    <n v="1"/>
    <x v="22"/>
    <s v="-"/>
    <s v="P"/>
    <s v="P"/>
    <s v="P"/>
    <s v="-"/>
    <s v="-"/>
    <n v="10.99"/>
    <s v="-"/>
    <s v="-"/>
    <s v="-"/>
    <s v="-"/>
    <s v="-"/>
    <s v="-"/>
    <s v="-"/>
    <s v="-"/>
    <s v="P"/>
    <s v="P"/>
    <s v="-"/>
    <s v="-"/>
    <n v="1"/>
    <n v="2"/>
    <n v="0"/>
    <s v="-"/>
    <s v="-"/>
    <s v="-"/>
    <s v="-"/>
    <s v="-"/>
    <s v="-"/>
    <s v="-"/>
    <n v="3"/>
    <n v="4"/>
    <s v="-"/>
    <n v="1"/>
    <n v="1"/>
    <n v="2"/>
    <n v="2"/>
    <n v="5"/>
    <n v="6"/>
  </r>
  <r>
    <x v="7"/>
    <x v="185"/>
    <d v="2026-08-22T00:00:00"/>
    <s v="3RD"/>
    <d v="1899-12-31T04:00:00"/>
    <n v="1"/>
    <x v="22"/>
    <s v="-"/>
    <s v="P"/>
    <s v="P"/>
    <s v="P"/>
    <s v="-"/>
    <s v="-"/>
    <n v="10.98"/>
    <s v="-"/>
    <s v="-"/>
    <s v="-"/>
    <s v="-"/>
    <s v="-"/>
    <s v="-"/>
    <s v="-"/>
    <s v="-"/>
    <s v="P"/>
    <s v="P"/>
    <s v="-"/>
    <s v="-"/>
    <n v="1"/>
    <n v="2"/>
    <n v="0"/>
    <s v="-"/>
    <s v="-"/>
    <s v="-"/>
    <s v="-"/>
    <s v="-"/>
    <s v="-"/>
    <s v="-"/>
    <n v="3"/>
    <n v="4"/>
    <s v="-"/>
    <n v="1"/>
    <n v="1"/>
    <n v="2"/>
    <n v="2"/>
    <n v="5"/>
    <n v="6"/>
  </r>
  <r>
    <x v="7"/>
    <x v="185"/>
    <d v="2026-08-22T00:00:00"/>
    <s v="3RD"/>
    <d v="1899-12-31T05:00:00"/>
    <n v="1"/>
    <x v="22"/>
    <s v="-"/>
    <s v="P"/>
    <s v="P"/>
    <s v="P"/>
    <s v="-"/>
    <s v="-"/>
    <n v="10.96"/>
    <s v="-"/>
    <s v="-"/>
    <s v="-"/>
    <s v="-"/>
    <s v="-"/>
    <s v="-"/>
    <s v="-"/>
    <s v="-"/>
    <s v="P"/>
    <s v="P"/>
    <s v="-"/>
    <s v="-"/>
    <n v="1"/>
    <n v="2"/>
    <n v="0"/>
    <s v="-"/>
    <s v="-"/>
    <s v="-"/>
    <s v="-"/>
    <s v="-"/>
    <s v="-"/>
    <s v="-"/>
    <n v="3"/>
    <n v="4"/>
    <s v="-"/>
    <n v="1"/>
    <n v="1"/>
    <n v="2"/>
    <n v="2"/>
    <n v="5"/>
    <n v="6"/>
  </r>
  <r>
    <x v="7"/>
    <x v="185"/>
    <d v="1902-03-26T00:00:00"/>
    <s v="3RD"/>
    <d v="1899-12-30T22:00:00"/>
    <n v="2"/>
    <x v="21"/>
    <s v="-"/>
    <s v="P"/>
    <s v="P"/>
    <s v="P"/>
    <s v="-"/>
    <s v="+"/>
    <n v="10.47"/>
    <n v="9.75"/>
    <n v="0.57999999999999996"/>
    <s v="-"/>
    <s v="-"/>
    <s v="-"/>
    <n v="25.71"/>
    <s v="-"/>
    <s v="-"/>
    <s v="P"/>
    <s v="P"/>
    <s v="-"/>
    <s v="-"/>
    <n v="1"/>
    <n v="2"/>
    <n v="0"/>
    <s v="-"/>
    <n v="0"/>
    <s v="-"/>
    <s v="-"/>
    <s v="-"/>
    <n v="2"/>
    <s v="-"/>
    <n v="5"/>
    <n v="8"/>
    <s v="-"/>
    <n v="1"/>
    <n v="1"/>
    <n v="2"/>
    <n v="2"/>
    <n v="7"/>
    <n v="10"/>
  </r>
  <r>
    <x v="7"/>
    <x v="185"/>
    <d v="1899-12-30T00:00:00"/>
    <s v="3RD"/>
    <d v="1899-12-30T23:00:00"/>
    <n v="2"/>
    <x v="21"/>
    <s v="-"/>
    <s v="P"/>
    <s v="P"/>
    <s v="P"/>
    <s v="-"/>
    <s v="+"/>
    <n v="10.41"/>
    <s v="-"/>
    <s v="-"/>
    <s v="-"/>
    <s v="-"/>
    <s v="-"/>
    <s v="-"/>
    <s v="-"/>
    <s v="-"/>
    <s v="P"/>
    <s v="P"/>
    <s v="-"/>
    <s v="-"/>
    <n v="1"/>
    <n v="2"/>
    <n v="0"/>
    <s v="-"/>
    <s v="-"/>
    <s v="-"/>
    <s v="-"/>
    <s v="-"/>
    <s v="-"/>
    <s v="-"/>
    <n v="3"/>
    <n v="4"/>
    <s v="-"/>
    <n v="1"/>
    <n v="1"/>
    <n v="2"/>
    <n v="2"/>
    <n v="5"/>
    <n v="6"/>
  </r>
  <r>
    <x v="7"/>
    <x v="185"/>
    <d v="1899-12-30T00:00:00"/>
    <s v="3RD"/>
    <d v="1899-12-31T01:00:00"/>
    <n v="2"/>
    <x v="21"/>
    <s v="-"/>
    <s v="P"/>
    <s v="P"/>
    <s v="P"/>
    <s v="-"/>
    <s v="+"/>
    <n v="10.56"/>
    <s v="-"/>
    <s v="-"/>
    <s v="-"/>
    <s v="-"/>
    <s v="-"/>
    <s v="-"/>
    <s v="-"/>
    <s v="-"/>
    <s v="P"/>
    <s v="P"/>
    <s v="-"/>
    <s v="-"/>
    <n v="1"/>
    <n v="2"/>
    <n v="0"/>
    <s v="-"/>
    <s v="-"/>
    <s v="-"/>
    <s v="-"/>
    <s v="-"/>
    <s v="-"/>
    <s v="-"/>
    <n v="3"/>
    <n v="4"/>
    <s v="-"/>
    <n v="1"/>
    <n v="1"/>
    <n v="2"/>
    <n v="2"/>
    <n v="5"/>
    <n v="6"/>
  </r>
  <r>
    <x v="7"/>
    <x v="185"/>
    <d v="1899-12-30T00:00:00"/>
    <s v="3RD"/>
    <d v="1899-12-31T02:00:00"/>
    <n v="2"/>
    <x v="21"/>
    <s v="-"/>
    <s v="P"/>
    <s v="P"/>
    <s v="P"/>
    <s v="-"/>
    <s v="+"/>
    <n v="10.45"/>
    <s v="-"/>
    <s v="-"/>
    <s v="-"/>
    <s v="-"/>
    <s v="-"/>
    <s v="-"/>
    <s v="-"/>
    <s v="-"/>
    <s v="P"/>
    <s v="P"/>
    <s v="-"/>
    <s v="-"/>
    <n v="1"/>
    <n v="2"/>
    <n v="0"/>
    <s v="-"/>
    <s v="-"/>
    <s v="-"/>
    <s v="-"/>
    <s v="-"/>
    <s v="-"/>
    <s v="-"/>
    <n v="3"/>
    <n v="4"/>
    <s v="-"/>
    <n v="1"/>
    <n v="1"/>
    <n v="2"/>
    <n v="2"/>
    <n v="5"/>
    <n v="6"/>
  </r>
  <r>
    <x v="7"/>
    <x v="185"/>
    <d v="1899-12-30T00:00:00"/>
    <s v="3RD"/>
    <d v="1899-12-31T04:00:00"/>
    <n v="2"/>
    <x v="21"/>
    <s v="-"/>
    <s v="P"/>
    <s v="P"/>
    <s v="P"/>
    <s v="-"/>
    <s v="+"/>
    <n v="10.48"/>
    <s v="-"/>
    <s v="-"/>
    <s v="-"/>
    <s v="-"/>
    <s v="-"/>
    <s v="-"/>
    <s v="-"/>
    <s v="-"/>
    <s v="P"/>
    <s v="P"/>
    <s v="-"/>
    <s v="-"/>
    <n v="1"/>
    <n v="2"/>
    <n v="0"/>
    <s v="-"/>
    <s v="-"/>
    <s v="-"/>
    <s v="-"/>
    <s v="-"/>
    <s v="-"/>
    <s v="-"/>
    <n v="3"/>
    <n v="4"/>
    <s v="-"/>
    <n v="1"/>
    <n v="1"/>
    <n v="2"/>
    <n v="2"/>
    <n v="5"/>
    <n v="6"/>
  </r>
  <r>
    <x v="7"/>
    <x v="185"/>
    <d v="1899-12-30T00:00:00"/>
    <s v="3RD"/>
    <d v="1899-12-31T05:00:00"/>
    <n v="2"/>
    <x v="21"/>
    <s v="-"/>
    <s v="P"/>
    <s v="P"/>
    <s v="P"/>
    <s v="-"/>
    <s v="+"/>
    <n v="10.42"/>
    <s v="-"/>
    <s v="-"/>
    <s v="-"/>
    <s v="-"/>
    <s v="-"/>
    <s v="-"/>
    <s v="-"/>
    <s v="-"/>
    <s v="P"/>
    <s v="P"/>
    <s v="-"/>
    <s v="-"/>
    <n v="1"/>
    <n v="2"/>
    <n v="0"/>
    <s v="-"/>
    <s v="-"/>
    <s v="-"/>
    <s v="-"/>
    <s v="-"/>
    <s v="-"/>
    <s v="-"/>
    <n v="3"/>
    <n v="4"/>
    <s v="-"/>
    <n v="1"/>
    <n v="1"/>
    <n v="2"/>
    <n v="2"/>
    <n v="5"/>
    <n v="6"/>
  </r>
  <r>
    <x v="7"/>
    <x v="185"/>
    <d v="2026-08-25T00:00:00"/>
    <s v="3RD"/>
    <d v="1899-12-31T01:00:00"/>
    <s v="Retail"/>
    <x v="13"/>
    <s v="-"/>
    <s v="-"/>
    <s v="-"/>
    <s v="-"/>
    <s v="-"/>
    <s v="-"/>
    <n v="12.39"/>
    <s v="-"/>
    <s v="-"/>
    <s v="-"/>
    <s v="-"/>
    <s v="-"/>
    <s v="-"/>
    <s v="-"/>
    <s v="-"/>
    <s v="-"/>
    <s v="-"/>
    <s v="-"/>
    <s v="-"/>
    <s v="-"/>
    <s v="-"/>
    <n v="1"/>
    <s v="-"/>
    <s v="-"/>
    <s v="-"/>
    <s v="-"/>
    <s v="-"/>
    <s v="-"/>
    <s v="-"/>
    <n v="1"/>
    <n v="1"/>
    <s v="-"/>
    <s v="-"/>
    <s v="-"/>
    <n v="0"/>
    <n v="0"/>
    <n v="1"/>
    <n v="1"/>
  </r>
  <r>
    <x v="7"/>
    <x v="186"/>
    <s v="08/22/22026"/>
    <s v="1ST"/>
    <s v="06:00"/>
    <n v="1"/>
    <x v="22"/>
    <n v="0.01"/>
    <s v="P"/>
    <s v="P"/>
    <s v="P"/>
    <s v="-"/>
    <s v="-"/>
    <n v="10.95"/>
    <n v="10.52"/>
    <n v="0.52"/>
    <n v="54"/>
    <s v="-"/>
    <s v="-"/>
    <n v="29.2"/>
    <s v="-"/>
    <s v="-"/>
    <s v="P"/>
    <s v="P"/>
    <s v="-"/>
    <n v="2"/>
    <n v="1"/>
    <n v="2"/>
    <n v="0"/>
    <n v="0"/>
    <n v="2"/>
    <n v="2"/>
    <s v="-"/>
    <s v="-"/>
    <n v="2"/>
    <s v="-"/>
    <n v="11"/>
    <n v="13"/>
    <s v="-"/>
    <n v="1"/>
    <n v="1"/>
    <n v="2"/>
    <n v="2"/>
    <n v="13"/>
    <n v="15"/>
  </r>
  <r>
    <x v="7"/>
    <x v="186"/>
    <s v="08/22/22026"/>
    <s v="1ST"/>
    <s v="07:00"/>
    <n v="1"/>
    <x v="22"/>
    <s v="-"/>
    <s v="P"/>
    <s v="P"/>
    <s v="P"/>
    <s v="-"/>
    <s v="-"/>
    <n v="10.95"/>
    <s v="-"/>
    <s v="-"/>
    <s v="-"/>
    <s v="-"/>
    <s v="-"/>
    <s v="-"/>
    <s v="-"/>
    <s v="-"/>
    <s v="P"/>
    <s v="P"/>
    <s v="-"/>
    <s v="-"/>
    <n v="1"/>
    <n v="2"/>
    <n v="0"/>
    <s v="-"/>
    <s v="-"/>
    <s v="-"/>
    <s v="-"/>
    <s v="-"/>
    <s v="-"/>
    <s v="-"/>
    <n v="3"/>
    <n v="4"/>
    <s v="-"/>
    <n v="1"/>
    <n v="1"/>
    <n v="2"/>
    <n v="2"/>
    <n v="5"/>
    <n v="6"/>
  </r>
  <r>
    <x v="7"/>
    <x v="186"/>
    <s v="08/22/22026"/>
    <s v="1ST"/>
    <s v="08:00"/>
    <n v="1"/>
    <x v="22"/>
    <s v="-"/>
    <s v="P"/>
    <s v="P"/>
    <s v="P"/>
    <s v="-"/>
    <s v="-"/>
    <n v="11.05"/>
    <s v="-"/>
    <s v="-"/>
    <s v="-"/>
    <s v="-"/>
    <s v="-"/>
    <s v="-"/>
    <s v="-"/>
    <s v="-"/>
    <s v="P"/>
    <s v="P"/>
    <s v="-"/>
    <s v="-"/>
    <n v="1"/>
    <n v="2"/>
    <n v="1"/>
    <s v="-"/>
    <s v="-"/>
    <s v="-"/>
    <s v="-"/>
    <s v="-"/>
    <s v="-"/>
    <s v="-"/>
    <n v="4"/>
    <n v="4"/>
    <s v="-"/>
    <n v="1"/>
    <n v="1"/>
    <n v="2"/>
    <n v="2"/>
    <n v="6"/>
    <n v="6"/>
  </r>
  <r>
    <x v="7"/>
    <x v="186"/>
    <s v="08/22/22026"/>
    <s v="1ST"/>
    <s v="09:00"/>
    <n v="1"/>
    <x v="22"/>
    <s v="-"/>
    <s v="P"/>
    <s v="P"/>
    <s v="P"/>
    <s v="-"/>
    <s v="-"/>
    <n v="10.98"/>
    <s v="-"/>
    <s v="-"/>
    <s v="-"/>
    <s v="-"/>
    <s v="-"/>
    <s v="-"/>
    <s v="-"/>
    <s v="-"/>
    <s v="P"/>
    <s v="P"/>
    <s v="-"/>
    <s v="-"/>
    <n v="1"/>
    <n v="2"/>
    <n v="0"/>
    <s v="-"/>
    <s v="-"/>
    <s v="-"/>
    <s v="-"/>
    <s v="-"/>
    <s v="-"/>
    <s v="-"/>
    <n v="3"/>
    <n v="4"/>
    <s v="-"/>
    <n v="1"/>
    <n v="1"/>
    <n v="2"/>
    <n v="2"/>
    <n v="5"/>
    <n v="6"/>
  </r>
  <r>
    <x v="7"/>
    <x v="186"/>
    <s v="08/22/22026"/>
    <s v="1ST"/>
    <s v="10:00"/>
    <n v="1"/>
    <x v="22"/>
    <s v="-"/>
    <s v="P"/>
    <s v="P"/>
    <s v="P"/>
    <s v="-"/>
    <s v="-"/>
    <n v="11.39"/>
    <s v="-"/>
    <s v="-"/>
    <s v="-"/>
    <s v="-"/>
    <s v="-"/>
    <s v="-"/>
    <s v="-"/>
    <s v="-"/>
    <s v="P"/>
    <s v="P"/>
    <s v="-"/>
    <s v="-"/>
    <n v="1"/>
    <n v="2"/>
    <n v="1"/>
    <s v="-"/>
    <s v="-"/>
    <s v="-"/>
    <s v="-"/>
    <s v="-"/>
    <s v="-"/>
    <s v="-"/>
    <n v="4"/>
    <n v="4"/>
    <s v="-"/>
    <n v="1"/>
    <n v="1"/>
    <n v="2"/>
    <n v="2"/>
    <n v="6"/>
    <n v="6"/>
  </r>
  <r>
    <x v="7"/>
    <x v="186"/>
    <s v="08/22/22026"/>
    <s v="1ST"/>
    <s v="11:00"/>
    <n v="1"/>
    <x v="22"/>
    <n v="0.01"/>
    <s v="P"/>
    <s v="P"/>
    <s v="P"/>
    <s v="-"/>
    <s v="-"/>
    <n v="10.91"/>
    <s v="-"/>
    <s v="-"/>
    <s v="-"/>
    <s v="-"/>
    <s v="-"/>
    <s v="-"/>
    <s v="-"/>
    <s v="-"/>
    <s v="P"/>
    <s v="P"/>
    <s v="-"/>
    <n v="2"/>
    <n v="1"/>
    <n v="2"/>
    <n v="0"/>
    <s v="-"/>
    <s v="-"/>
    <s v="-"/>
    <s v="-"/>
    <s v="-"/>
    <s v="-"/>
    <s v="-"/>
    <n v="5"/>
    <n v="6"/>
    <s v="-"/>
    <n v="1"/>
    <n v="1"/>
    <n v="2"/>
    <n v="2"/>
    <n v="7"/>
    <n v="8"/>
  </r>
  <r>
    <x v="7"/>
    <x v="186"/>
    <s v="08/22/22026"/>
    <s v="1ST"/>
    <s v="12:00"/>
    <n v="1"/>
    <x v="22"/>
    <n v="0.01"/>
    <s v="P"/>
    <s v="P"/>
    <s v="P"/>
    <s v="-"/>
    <s v="-"/>
    <n v="11.11"/>
    <s v="-"/>
    <s v="-"/>
    <s v="-"/>
    <s v="-"/>
    <s v="-"/>
    <s v="-"/>
    <s v="-"/>
    <s v="-"/>
    <s v="P"/>
    <s v="P"/>
    <s v="-"/>
    <n v="2"/>
    <n v="1"/>
    <n v="2"/>
    <n v="1"/>
    <s v="-"/>
    <s v="-"/>
    <s v="-"/>
    <s v="-"/>
    <s v="-"/>
    <s v="-"/>
    <s v="-"/>
    <n v="6"/>
    <n v="6"/>
    <s v="-"/>
    <n v="1"/>
    <n v="1"/>
    <n v="2"/>
    <n v="2"/>
    <n v="8"/>
    <n v="8"/>
  </r>
  <r>
    <x v="7"/>
    <x v="186"/>
    <s v="08/22/22026"/>
    <s v="1ST"/>
    <s v="13:00"/>
    <n v="1"/>
    <x v="22"/>
    <s v="-"/>
    <s v="P"/>
    <s v="P"/>
    <s v="P"/>
    <s v="-"/>
    <s v="-"/>
    <n v="10.87"/>
    <s v="-"/>
    <s v="-"/>
    <s v="-"/>
    <s v="-"/>
    <s v="-"/>
    <s v="-"/>
    <s v="-"/>
    <s v="-"/>
    <s v="P"/>
    <s v="P"/>
    <s v="-"/>
    <s v="-"/>
    <n v="1"/>
    <n v="2"/>
    <n v="0"/>
    <s v="-"/>
    <s v="-"/>
    <s v="-"/>
    <s v="-"/>
    <s v="-"/>
    <s v="-"/>
    <s v="-"/>
    <n v="3"/>
    <n v="4"/>
    <s v="-"/>
    <n v="1"/>
    <n v="1"/>
    <n v="2"/>
    <n v="2"/>
    <n v="5"/>
    <n v="6"/>
  </r>
  <r>
    <x v="7"/>
    <x v="186"/>
    <d v="1899-12-30T00:00:00"/>
    <s v="1ST"/>
    <s v="06:00"/>
    <n v="2"/>
    <x v="4"/>
    <s v="-"/>
    <s v="P"/>
    <s v="P"/>
    <s v="P"/>
    <s v="-"/>
    <s v="+"/>
    <n v="10.34"/>
    <n v="9.82"/>
    <n v="0.55000000000000004"/>
    <n v="55.5"/>
    <s v="-"/>
    <s v="-"/>
    <n v="27"/>
    <s v="-"/>
    <s v="-"/>
    <s v="P"/>
    <s v="P"/>
    <s v="-"/>
    <s v="-"/>
    <n v="1"/>
    <n v="2"/>
    <n v="0"/>
    <n v="0"/>
    <n v="2"/>
    <n v="2"/>
    <s v="-"/>
    <s v="-"/>
    <n v="2"/>
    <s v="-"/>
    <n v="9"/>
    <n v="11"/>
    <s v="-"/>
    <n v="1"/>
    <n v="1"/>
    <n v="2"/>
    <n v="2"/>
    <n v="11"/>
    <n v="13"/>
  </r>
  <r>
    <x v="7"/>
    <x v="186"/>
    <d v="1899-12-30T00:00:00"/>
    <s v="1ST"/>
    <s v="07:00"/>
    <n v="2"/>
    <x v="4"/>
    <s v="-"/>
    <s v="P"/>
    <s v="P"/>
    <s v="P"/>
    <s v="-"/>
    <s v="+"/>
    <n v="10.33"/>
    <s v="-"/>
    <s v="-"/>
    <s v="-"/>
    <s v="-"/>
    <s v="-"/>
    <s v="-"/>
    <s v="-"/>
    <s v="-"/>
    <s v="P"/>
    <s v="P"/>
    <s v="-"/>
    <s v="-"/>
    <n v="1"/>
    <n v="2"/>
    <n v="0"/>
    <s v="-"/>
    <s v="-"/>
    <s v="-"/>
    <s v="-"/>
    <s v="-"/>
    <s v="-"/>
    <s v="-"/>
    <n v="3"/>
    <n v="4"/>
    <s v="-"/>
    <n v="1"/>
    <n v="1"/>
    <n v="2"/>
    <n v="2"/>
    <n v="5"/>
    <n v="6"/>
  </r>
  <r>
    <x v="7"/>
    <x v="186"/>
    <d v="1899-12-30T00:00:00"/>
    <s v="1ST"/>
    <s v="08:00"/>
    <n v="2"/>
    <x v="4"/>
    <s v="-"/>
    <s v="P"/>
    <s v="P"/>
    <s v="P"/>
    <s v="-"/>
    <s v="+"/>
    <n v="10.51"/>
    <s v="-"/>
    <s v="-"/>
    <s v="-"/>
    <s v="-"/>
    <s v="-"/>
    <s v="-"/>
    <s v="-"/>
    <s v="-"/>
    <s v="P"/>
    <s v="P"/>
    <s v="-"/>
    <s v="-"/>
    <n v="1"/>
    <n v="2"/>
    <n v="0"/>
    <s v="-"/>
    <s v="-"/>
    <s v="-"/>
    <s v="-"/>
    <s v="-"/>
    <s v="-"/>
    <s v="-"/>
    <n v="3"/>
    <n v="4"/>
    <s v="-"/>
    <n v="1"/>
    <n v="1"/>
    <n v="2"/>
    <n v="2"/>
    <n v="5"/>
    <n v="6"/>
  </r>
  <r>
    <x v="7"/>
    <x v="186"/>
    <d v="1899-12-30T00:00:00"/>
    <s v="1ST"/>
    <s v="09:00"/>
    <n v="2"/>
    <x v="5"/>
    <s v="-"/>
    <s v="P"/>
    <s v="P"/>
    <s v="P"/>
    <s v="-"/>
    <s v="+"/>
    <n v="10.8"/>
    <s v="-"/>
    <s v="-"/>
    <s v="-"/>
    <s v="-"/>
    <s v="-"/>
    <s v="-"/>
    <s v="-"/>
    <s v="-"/>
    <s v="P"/>
    <s v="P"/>
    <s v="-"/>
    <s v="-"/>
    <n v="1"/>
    <n v="2"/>
    <n v="0"/>
    <s v="-"/>
    <s v="-"/>
    <s v="-"/>
    <s v="-"/>
    <s v="-"/>
    <s v="-"/>
    <s v="-"/>
    <n v="3"/>
    <n v="4"/>
    <s v="-"/>
    <n v="1"/>
    <n v="1"/>
    <n v="2"/>
    <n v="2"/>
    <n v="5"/>
    <n v="6"/>
  </r>
  <r>
    <x v="7"/>
    <x v="186"/>
    <d v="1899-12-30T00:00:00"/>
    <s v="1ST"/>
    <s v="10:00"/>
    <n v="2"/>
    <x v="5"/>
    <s v="-"/>
    <s v="P"/>
    <s v="P"/>
    <s v="P"/>
    <s v="-"/>
    <s v="+"/>
    <n v="10.41"/>
    <s v="-"/>
    <s v="-"/>
    <s v="-"/>
    <s v="-"/>
    <s v="-"/>
    <s v="-"/>
    <s v="-"/>
    <s v="-"/>
    <s v="P"/>
    <s v="P"/>
    <s v="-"/>
    <s v="-"/>
    <n v="1"/>
    <n v="2"/>
    <n v="0"/>
    <s v="-"/>
    <s v="-"/>
    <s v="-"/>
    <s v="-"/>
    <s v="-"/>
    <s v="-"/>
    <s v="-"/>
    <n v="3"/>
    <n v="4"/>
    <s v="-"/>
    <n v="1"/>
    <n v="1"/>
    <n v="2"/>
    <n v="2"/>
    <n v="5"/>
    <n v="6"/>
  </r>
  <r>
    <x v="7"/>
    <x v="186"/>
    <d v="1899-12-30T00:00:00"/>
    <s v="1ST"/>
    <s v="11:00"/>
    <n v="2"/>
    <x v="5"/>
    <s v="-"/>
    <s v="P"/>
    <s v="P"/>
    <s v="P"/>
    <s v="-"/>
    <s v="+"/>
    <n v="10.37"/>
    <s v="-"/>
    <s v="-"/>
    <s v="-"/>
    <s v="-"/>
    <s v="-"/>
    <s v="-"/>
    <s v="-"/>
    <s v="-"/>
    <s v="P"/>
    <s v="P"/>
    <s v="-"/>
    <s v="-"/>
    <n v="1"/>
    <n v="2"/>
    <n v="0"/>
    <s v="-"/>
    <s v="-"/>
    <s v="-"/>
    <s v="-"/>
    <s v="-"/>
    <s v="-"/>
    <s v="-"/>
    <n v="3"/>
    <n v="4"/>
    <s v="-"/>
    <n v="1"/>
    <n v="1"/>
    <n v="2"/>
    <n v="2"/>
    <n v="5"/>
    <n v="6"/>
  </r>
  <r>
    <x v="7"/>
    <x v="186"/>
    <d v="1899-12-30T00:00:00"/>
    <s v="1ST"/>
    <s v="13:00"/>
    <n v="2"/>
    <x v="5"/>
    <s v="-"/>
    <s v="P"/>
    <s v="P"/>
    <s v="P"/>
    <s v="-"/>
    <s v="+"/>
    <n v="10.87"/>
    <s v="-"/>
    <s v="-"/>
    <s v="-"/>
    <s v="-"/>
    <s v="-"/>
    <s v="-"/>
    <s v="-"/>
    <s v="-"/>
    <s v="P"/>
    <s v="P"/>
    <s v="-"/>
    <s v="-"/>
    <n v="1"/>
    <n v="2"/>
    <n v="0"/>
    <s v="-"/>
    <s v="-"/>
    <s v="-"/>
    <s v="-"/>
    <s v="-"/>
    <s v="-"/>
    <s v="-"/>
    <n v="3"/>
    <n v="4"/>
    <s v="-"/>
    <n v="1"/>
    <n v="1"/>
    <n v="2"/>
    <n v="2"/>
    <n v="5"/>
    <n v="6"/>
  </r>
  <r>
    <x v="7"/>
    <x v="186"/>
    <d v="2026-08-25T00:00:00"/>
    <s v="1ST"/>
    <s v="07:00"/>
    <n v="3"/>
    <x v="12"/>
    <n v="0.01"/>
    <s v="P"/>
    <s v="P"/>
    <s v="P"/>
    <s v="-"/>
    <s v="+"/>
    <n v="12.78"/>
    <n v="12.56"/>
    <n v="0.53"/>
    <n v="63.6"/>
    <s v="-"/>
    <s v="-"/>
    <n v="35"/>
    <s v="-"/>
    <s v="-"/>
    <s v="P"/>
    <s v="P"/>
    <s v="-"/>
    <n v="2"/>
    <n v="1"/>
    <n v="2"/>
    <n v="1"/>
    <s v="-"/>
    <n v="2"/>
    <n v="0"/>
    <s v="-"/>
    <s v="-"/>
    <n v="2"/>
    <s v="-"/>
    <n v="10"/>
    <n v="12"/>
    <s v="-"/>
    <n v="1"/>
    <n v="1"/>
    <n v="2"/>
    <n v="2"/>
    <n v="12"/>
    <n v="14"/>
  </r>
  <r>
    <x v="7"/>
    <x v="186"/>
    <d v="2026-08-25T00:00:00"/>
    <s v="1ST"/>
    <s v="08:00"/>
    <n v="3"/>
    <x v="12"/>
    <n v="0.02"/>
    <s v="P"/>
    <s v="P"/>
    <s v="P"/>
    <s v="-"/>
    <s v="+"/>
    <n v="12.62"/>
    <s v="-"/>
    <s v="-"/>
    <n v="0.53"/>
    <s v="-"/>
    <s v="-"/>
    <s v="-"/>
    <s v="-"/>
    <s v="-"/>
    <s v="P"/>
    <s v="P"/>
    <s v="-"/>
    <n v="2"/>
    <n v="1"/>
    <n v="2"/>
    <n v="1"/>
    <s v="-"/>
    <s v="-"/>
    <n v="0"/>
    <s v="-"/>
    <s v="-"/>
    <s v="-"/>
    <s v="-"/>
    <n v="6"/>
    <n v="8"/>
    <s v="-"/>
    <n v="1"/>
    <n v="1"/>
    <n v="2"/>
    <n v="2"/>
    <n v="8"/>
    <n v="10"/>
  </r>
  <r>
    <x v="7"/>
    <x v="186"/>
    <d v="2026-08-25T00:00:00"/>
    <s v="1ST"/>
    <s v="09:00"/>
    <n v="3"/>
    <x v="44"/>
    <n v="0.02"/>
    <s v="P"/>
    <s v="P"/>
    <s v="P"/>
    <s v="-"/>
    <s v="+"/>
    <n v="12.07"/>
    <n v="12.57"/>
    <n v="0.56000000000000005"/>
    <n v="65.099999999999994"/>
    <s v="-"/>
    <s v="-"/>
    <n v="35.299999999999997"/>
    <s v="-"/>
    <s v="-"/>
    <s v="P"/>
    <s v="P"/>
    <s v="-"/>
    <n v="2"/>
    <n v="1"/>
    <n v="2"/>
    <n v="1"/>
    <n v="1"/>
    <n v="0"/>
    <n v="2"/>
    <s v="-"/>
    <s v="-"/>
    <n v="2"/>
    <s v="-"/>
    <n v="11"/>
    <n v="13"/>
    <s v="-"/>
    <n v="1"/>
    <n v="1"/>
    <n v="2"/>
    <n v="2"/>
    <n v="13"/>
    <n v="15"/>
  </r>
  <r>
    <x v="7"/>
    <x v="186"/>
    <d v="2026-08-25T00:00:00"/>
    <s v="1ST"/>
    <s v="10:00"/>
    <n v="3"/>
    <x v="44"/>
    <n v="0.02"/>
    <s v="P"/>
    <s v="P"/>
    <s v="P"/>
    <s v="-"/>
    <s v="+"/>
    <n v="12.07"/>
    <s v="-"/>
    <s v="-"/>
    <s v="-"/>
    <s v="-"/>
    <s v="-"/>
    <s v="-"/>
    <s v="-"/>
    <s v="-"/>
    <s v="P"/>
    <s v="P"/>
    <s v="-"/>
    <n v="2"/>
    <n v="1"/>
    <n v="2"/>
    <n v="1"/>
    <s v="-"/>
    <s v="-"/>
    <s v="-"/>
    <s v="-"/>
    <s v="-"/>
    <s v="-"/>
    <s v="-"/>
    <n v="6"/>
    <n v="6"/>
    <s v="-"/>
    <n v="1"/>
    <n v="1"/>
    <n v="2"/>
    <n v="2"/>
    <n v="8"/>
    <n v="8"/>
  </r>
  <r>
    <x v="7"/>
    <x v="186"/>
    <d v="2026-08-25T00:00:00"/>
    <s v="1ST"/>
    <s v="11:00"/>
    <n v="3"/>
    <x v="44"/>
    <n v="0.02"/>
    <s v="P"/>
    <s v="P"/>
    <s v="P"/>
    <s v="-"/>
    <s v="+"/>
    <n v="12.24"/>
    <s v="-"/>
    <s v="-"/>
    <s v="-"/>
    <s v="-"/>
    <s v="-"/>
    <s v="-"/>
    <s v="-"/>
    <s v="-"/>
    <s v="P"/>
    <s v="P"/>
    <s v="-"/>
    <n v="2"/>
    <n v="1"/>
    <n v="2"/>
    <n v="1"/>
    <s v="-"/>
    <s v="-"/>
    <s v="-"/>
    <s v="-"/>
    <s v="-"/>
    <s v="-"/>
    <s v="-"/>
    <n v="6"/>
    <n v="6"/>
    <s v="-"/>
    <n v="1"/>
    <n v="1"/>
    <n v="2"/>
    <n v="2"/>
    <n v="8"/>
    <n v="8"/>
  </r>
  <r>
    <x v="7"/>
    <x v="186"/>
    <d v="2026-08-25T00:00:00"/>
    <s v="1ST"/>
    <s v="12:00"/>
    <n v="3"/>
    <x v="16"/>
    <n v="0.02"/>
    <s v="P"/>
    <s v="P"/>
    <s v="P"/>
    <s v="-"/>
    <s v="+"/>
    <n v="12.29"/>
    <s v="-"/>
    <s v="-"/>
    <s v="-"/>
    <s v="-"/>
    <s v="-"/>
    <s v="-"/>
    <s v="-"/>
    <s v="-"/>
    <s v="P"/>
    <s v="P"/>
    <s v="-"/>
    <n v="2"/>
    <n v="1"/>
    <n v="2"/>
    <n v="1"/>
    <s v="-"/>
    <s v="-"/>
    <s v="-"/>
    <s v="-"/>
    <s v="-"/>
    <s v="-"/>
    <s v="-"/>
    <n v="6"/>
    <n v="6"/>
    <s v="-"/>
    <n v="1"/>
    <n v="1"/>
    <n v="2"/>
    <n v="2"/>
    <n v="8"/>
    <n v="8"/>
  </r>
  <r>
    <x v="7"/>
    <x v="186"/>
    <d v="2026-08-25T00:00:00"/>
    <s v="1ST"/>
    <s v="13:00"/>
    <n v="3"/>
    <x v="16"/>
    <n v="0.02"/>
    <s v="P"/>
    <s v="P"/>
    <s v="P"/>
    <s v="-"/>
    <s v="+"/>
    <n v="12.36"/>
    <s v="-"/>
    <s v="-"/>
    <s v="-"/>
    <s v="-"/>
    <s v="-"/>
    <s v="-"/>
    <s v="-"/>
    <s v="-"/>
    <s v="P"/>
    <s v="P"/>
    <s v="-"/>
    <n v="2"/>
    <n v="1"/>
    <n v="2"/>
    <n v="1"/>
    <s v="-"/>
    <s v="-"/>
    <s v="-"/>
    <s v="-"/>
    <s v="-"/>
    <s v="-"/>
    <s v="-"/>
    <n v="6"/>
    <n v="6"/>
    <s v="-"/>
    <n v="1"/>
    <n v="1"/>
    <n v="2"/>
    <n v="2"/>
    <n v="8"/>
    <n v="8"/>
  </r>
  <r>
    <x v="7"/>
    <x v="186"/>
    <d v="2026-08-22T00:00:00"/>
    <s v="2ND"/>
    <d v="1899-12-30T14:00:00"/>
    <n v="1"/>
    <x v="22"/>
    <s v="-"/>
    <s v="P"/>
    <s v="P"/>
    <s v="P"/>
    <s v="-"/>
    <s v="-"/>
    <n v="10.97"/>
    <n v="10.16"/>
    <n v="0.52"/>
    <s v="-"/>
    <s v="-"/>
    <s v="-"/>
    <n v="26.1"/>
    <s v="-"/>
    <s v="-"/>
    <s v="P"/>
    <s v="P"/>
    <n v="0.1"/>
    <s v="-"/>
    <n v="1"/>
    <n v="2"/>
    <n v="0"/>
    <n v="0"/>
    <n v="2"/>
    <s v="-"/>
    <s v="-"/>
    <s v="-"/>
    <n v="2"/>
    <s v="-"/>
    <n v="7"/>
    <n v="9"/>
    <s v="-"/>
    <n v="1"/>
    <n v="1"/>
    <n v="2"/>
    <n v="2"/>
    <n v="9"/>
    <n v="11"/>
  </r>
  <r>
    <x v="7"/>
    <x v="186"/>
    <d v="2026-08-22T00:00:00"/>
    <s v="2ND"/>
    <d v="1899-12-30T15:00:00"/>
    <n v="1"/>
    <x v="22"/>
    <s v="-"/>
    <s v="P"/>
    <s v="P"/>
    <s v="P"/>
    <s v="-"/>
    <s v="-"/>
    <n v="11.01"/>
    <s v="-"/>
    <s v="-"/>
    <s v="-"/>
    <s v="-"/>
    <s v="-"/>
    <s v="-"/>
    <s v="-"/>
    <s v="-"/>
    <s v="P"/>
    <s v="P"/>
    <s v="-"/>
    <s v="-"/>
    <n v="1"/>
    <n v="2"/>
    <n v="1"/>
    <s v="-"/>
    <s v="-"/>
    <s v="-"/>
    <s v="-"/>
    <s v="-"/>
    <s v="-"/>
    <s v="-"/>
    <n v="4"/>
    <n v="4"/>
    <s v="-"/>
    <n v="1"/>
    <n v="1"/>
    <n v="2"/>
    <n v="2"/>
    <n v="6"/>
    <n v="6"/>
  </r>
  <r>
    <x v="7"/>
    <x v="186"/>
    <d v="2026-08-22T00:00:00"/>
    <s v="2ND"/>
    <d v="1899-12-30T16:00:00"/>
    <n v="1"/>
    <x v="38"/>
    <n v="0.01"/>
    <s v="P"/>
    <s v="P"/>
    <s v="P"/>
    <s v="-"/>
    <s v="-"/>
    <n v="11.03"/>
    <s v="-"/>
    <s v="-"/>
    <s v="-"/>
    <s v="-"/>
    <s v="-"/>
    <s v="-"/>
    <s v="-"/>
    <s v="-"/>
    <s v="P"/>
    <s v="P"/>
    <s v="-"/>
    <n v="2"/>
    <n v="1"/>
    <n v="2"/>
    <n v="1"/>
    <s v="-"/>
    <s v="-"/>
    <s v="-"/>
    <s v="-"/>
    <s v="-"/>
    <s v="-"/>
    <s v="-"/>
    <n v="6"/>
    <n v="6"/>
    <s v="-"/>
    <n v="1"/>
    <n v="1"/>
    <n v="2"/>
    <n v="2"/>
    <n v="8"/>
    <n v="8"/>
  </r>
  <r>
    <x v="7"/>
    <x v="186"/>
    <d v="2026-08-22T00:00:00"/>
    <s v="2ND"/>
    <d v="1899-12-30T17:00:00"/>
    <n v="1"/>
    <x v="38"/>
    <s v="-"/>
    <s v="P"/>
    <s v="P"/>
    <s v="P"/>
    <s v="-"/>
    <s v="-"/>
    <n v="11.43"/>
    <s v="-"/>
    <s v="-"/>
    <s v="-"/>
    <s v="-"/>
    <s v="-"/>
    <s v="-"/>
    <s v="-"/>
    <s v="-"/>
    <s v="P"/>
    <s v="P"/>
    <s v="-"/>
    <s v="-"/>
    <n v="1"/>
    <n v="2"/>
    <n v="1"/>
    <s v="-"/>
    <s v="-"/>
    <s v="-"/>
    <s v="-"/>
    <s v="-"/>
    <s v="-"/>
    <s v="-"/>
    <n v="4"/>
    <n v="4"/>
    <s v="-"/>
    <n v="1"/>
    <n v="1"/>
    <n v="2"/>
    <n v="2"/>
    <n v="6"/>
    <n v="6"/>
  </r>
  <r>
    <x v="7"/>
    <x v="186"/>
    <d v="2026-08-22T00:00:00"/>
    <s v="2ND"/>
    <d v="1899-12-30T18:00:00"/>
    <n v="1"/>
    <x v="22"/>
    <s v="-"/>
    <s v="-"/>
    <s v="P"/>
    <s v="P"/>
    <s v="-"/>
    <s v="-"/>
    <n v="11.23"/>
    <s v="-"/>
    <s v="-"/>
    <s v="-"/>
    <s v="-"/>
    <s v="-"/>
    <s v="-"/>
    <s v="-"/>
    <s v="-"/>
    <s v="P"/>
    <s v="P"/>
    <s v="-"/>
    <s v="-"/>
    <s v="-"/>
    <n v="2"/>
    <n v="1"/>
    <s v="-"/>
    <s v="-"/>
    <s v="-"/>
    <s v="-"/>
    <s v="-"/>
    <s v="-"/>
    <s v="-"/>
    <n v="3"/>
    <n v="3"/>
    <s v="-"/>
    <n v="1"/>
    <n v="1"/>
    <n v="2"/>
    <n v="2"/>
    <n v="5"/>
    <n v="5"/>
  </r>
  <r>
    <x v="7"/>
    <x v="186"/>
    <d v="2026-08-22T00:00:00"/>
    <s v="2ND"/>
    <d v="1899-12-30T19:00:00"/>
    <n v="1"/>
    <x v="22"/>
    <s v="-"/>
    <s v="P"/>
    <s v="P"/>
    <s v="P"/>
    <s v="-"/>
    <s v="-"/>
    <n v="11.16"/>
    <s v="-"/>
    <s v="-"/>
    <s v="-"/>
    <s v="-"/>
    <s v="-"/>
    <s v="-"/>
    <s v="-"/>
    <s v="-"/>
    <s v="P"/>
    <s v="P"/>
    <s v="-"/>
    <s v="-"/>
    <n v="1"/>
    <n v="2"/>
    <n v="1"/>
    <s v="-"/>
    <s v="-"/>
    <s v="-"/>
    <s v="-"/>
    <s v="-"/>
    <s v="-"/>
    <s v="-"/>
    <n v="4"/>
    <n v="4"/>
    <s v="-"/>
    <n v="1"/>
    <n v="1"/>
    <n v="2"/>
    <n v="2"/>
    <n v="6"/>
    <n v="6"/>
  </r>
  <r>
    <x v="7"/>
    <x v="186"/>
    <d v="2026-08-22T00:00:00"/>
    <s v="2ND"/>
    <d v="1899-12-30T20:00:00"/>
    <n v="1"/>
    <x v="22"/>
    <s v="-"/>
    <s v="P"/>
    <s v="P"/>
    <s v="P"/>
    <s v="-"/>
    <s v="-"/>
    <n v="11.15"/>
    <s v="-"/>
    <s v="-"/>
    <s v="-"/>
    <s v="-"/>
    <s v="-"/>
    <s v="-"/>
    <s v="-"/>
    <s v="-"/>
    <s v="P"/>
    <s v="P"/>
    <s v="-"/>
    <s v="-"/>
    <n v="1"/>
    <n v="2"/>
    <n v="1"/>
    <s v="-"/>
    <s v="-"/>
    <s v="-"/>
    <s v="-"/>
    <s v="-"/>
    <s v="-"/>
    <s v="-"/>
    <n v="4"/>
    <n v="4"/>
    <s v="-"/>
    <n v="1"/>
    <n v="1"/>
    <n v="2"/>
    <n v="2"/>
    <n v="6"/>
    <n v="6"/>
  </r>
  <r>
    <x v="7"/>
    <x v="186"/>
    <d v="1902-03-26T00:00:00"/>
    <s v="2ND"/>
    <d v="1899-12-30T14:00:00"/>
    <n v="2"/>
    <x v="22"/>
    <s v="-"/>
    <s v="P"/>
    <s v="P"/>
    <s v="P"/>
    <s v="-"/>
    <s v="-"/>
    <n v="11.1"/>
    <n v="9.67"/>
    <n v="0.52"/>
    <n v="54.4"/>
    <s v="-"/>
    <s v="-"/>
    <n v="26.6"/>
    <s v="-"/>
    <s v="-"/>
    <s v="P"/>
    <s v="P"/>
    <s v="-"/>
    <s v="-"/>
    <n v="1"/>
    <n v="2"/>
    <n v="1"/>
    <n v="1"/>
    <n v="2"/>
    <n v="2"/>
    <s v="-"/>
    <s v="-"/>
    <n v="2"/>
    <s v="-"/>
    <n v="11"/>
    <n v="11"/>
    <s v="-"/>
    <n v="1"/>
    <n v="1"/>
    <n v="2"/>
    <n v="2"/>
    <n v="13"/>
    <n v="13"/>
  </r>
  <r>
    <x v="7"/>
    <x v="186"/>
    <d v="1899-12-30T00:00:00"/>
    <s v="2ND"/>
    <d v="1899-12-30T15:00:00"/>
    <n v="2"/>
    <x v="22"/>
    <s v="-"/>
    <s v="P"/>
    <s v="P"/>
    <s v="P"/>
    <s v="-"/>
    <s v="-"/>
    <n v="11.1"/>
    <s v="-"/>
    <s v="-"/>
    <s v="-"/>
    <s v="-"/>
    <s v="-"/>
    <s v="-"/>
    <s v="-"/>
    <s v="-"/>
    <s v="P"/>
    <s v="P"/>
    <s v="-"/>
    <s v="-"/>
    <n v="1"/>
    <n v="2"/>
    <n v="1"/>
    <s v="-"/>
    <s v="-"/>
    <s v="-"/>
    <s v="-"/>
    <s v="-"/>
    <s v="-"/>
    <s v="-"/>
    <n v="4"/>
    <n v="4"/>
    <s v="-"/>
    <n v="1"/>
    <n v="1"/>
    <n v="2"/>
    <n v="2"/>
    <n v="6"/>
    <n v="6"/>
  </r>
  <r>
    <x v="7"/>
    <x v="186"/>
    <d v="2026-07-30T00:00:00"/>
    <s v="2ND"/>
    <d v="1899-12-30T14:00:00"/>
    <n v="3"/>
    <x v="16"/>
    <n v="0.02"/>
    <s v="P"/>
    <s v="P"/>
    <s v="P"/>
    <s v="+"/>
    <s v="+"/>
    <n v="11.89"/>
    <n v="12.46"/>
    <n v="0.59"/>
    <n v="65"/>
    <s v="-"/>
    <s v="-"/>
    <n v="35"/>
    <s v="-"/>
    <s v="-"/>
    <s v="P"/>
    <s v="P"/>
    <s v="-"/>
    <n v="2"/>
    <n v="1"/>
    <n v="2"/>
    <n v="0"/>
    <n v="1"/>
    <n v="0"/>
    <n v="2"/>
    <s v="-"/>
    <s v="-"/>
    <n v="2"/>
    <s v="-"/>
    <n v="10"/>
    <n v="13"/>
    <s v="-"/>
    <n v="1"/>
    <n v="1"/>
    <n v="2"/>
    <n v="2"/>
    <n v="12"/>
    <n v="15"/>
  </r>
  <r>
    <x v="7"/>
    <x v="186"/>
    <d v="2026-07-30T00:00:00"/>
    <s v="2ND"/>
    <d v="1899-12-30T15:00:00"/>
    <n v="3"/>
    <x v="16"/>
    <n v="0.01"/>
    <s v="P"/>
    <s v="P"/>
    <s v="P"/>
    <s v="+"/>
    <s v="+"/>
    <n v="11.94"/>
    <s v="-"/>
    <s v="-"/>
    <s v="-"/>
    <s v="-"/>
    <s v="-"/>
    <s v="-"/>
    <s v="-"/>
    <s v="-"/>
    <s v="P"/>
    <s v="P"/>
    <s v="-"/>
    <n v="2"/>
    <n v="1"/>
    <n v="2"/>
    <n v="0"/>
    <s v="-"/>
    <s v="-"/>
    <s v="-"/>
    <s v="-"/>
    <s v="-"/>
    <s v="-"/>
    <s v="-"/>
    <n v="5"/>
    <n v="6"/>
    <s v="-"/>
    <n v="1"/>
    <n v="1"/>
    <n v="2"/>
    <n v="2"/>
    <n v="7"/>
    <n v="8"/>
  </r>
  <r>
    <x v="7"/>
    <x v="186"/>
    <d v="2026-07-30T00:00:00"/>
    <s v="2ND"/>
    <d v="1899-12-30T16:00:00"/>
    <n v="3"/>
    <x v="16"/>
    <n v="0.01"/>
    <s v="P"/>
    <s v="P"/>
    <s v="P"/>
    <s v="+"/>
    <s v="+"/>
    <n v="11.99"/>
    <s v="-"/>
    <s v="-"/>
    <s v="-"/>
    <s v="-"/>
    <s v="-"/>
    <s v="-"/>
    <s v="-"/>
    <s v="-"/>
    <s v="P"/>
    <s v="P"/>
    <s v="-"/>
    <n v="2"/>
    <n v="1"/>
    <n v="2"/>
    <n v="0"/>
    <s v="-"/>
    <s v="-"/>
    <s v="-"/>
    <s v="-"/>
    <s v="-"/>
    <s v="-"/>
    <s v="-"/>
    <n v="5"/>
    <n v="6"/>
    <s v="-"/>
    <n v="1"/>
    <n v="1"/>
    <n v="2"/>
    <n v="2"/>
    <n v="7"/>
    <n v="8"/>
  </r>
  <r>
    <x v="7"/>
    <x v="186"/>
    <d v="2026-07-30T00:00:00"/>
    <s v="2ND"/>
    <d v="1899-12-30T17:00:00"/>
    <n v="3"/>
    <x v="16"/>
    <n v="0.01"/>
    <s v="P"/>
    <s v="P"/>
    <s v="P"/>
    <s v="+"/>
    <s v="+"/>
    <n v="11.66"/>
    <s v="-"/>
    <s v="-"/>
    <s v="-"/>
    <s v="-"/>
    <s v="-"/>
    <s v="-"/>
    <s v="-"/>
    <s v="-"/>
    <s v="P"/>
    <s v="P"/>
    <s v="-"/>
    <n v="2"/>
    <n v="1"/>
    <n v="2"/>
    <n v="0"/>
    <s v="-"/>
    <s v="-"/>
    <s v="-"/>
    <s v="-"/>
    <s v="-"/>
    <s v="-"/>
    <s v="-"/>
    <n v="5"/>
    <n v="6"/>
    <s v="-"/>
    <n v="1"/>
    <n v="1"/>
    <n v="2"/>
    <n v="2"/>
    <n v="7"/>
    <n v="8"/>
  </r>
  <r>
    <x v="7"/>
    <x v="186"/>
    <d v="2026-07-30T00:00:00"/>
    <s v="2ND"/>
    <d v="1899-12-30T18:00:00"/>
    <n v="3"/>
    <x v="16"/>
    <n v="0.01"/>
    <s v="P"/>
    <s v="P"/>
    <s v="P"/>
    <s v="+"/>
    <s v="+"/>
    <n v="11.66"/>
    <s v="-"/>
    <s v="-"/>
    <s v="-"/>
    <s v="-"/>
    <s v="-"/>
    <s v="-"/>
    <s v="-"/>
    <s v="-"/>
    <s v="P"/>
    <s v="P"/>
    <s v="-"/>
    <n v="2"/>
    <n v="1"/>
    <n v="2"/>
    <n v="0"/>
    <s v="-"/>
    <s v="-"/>
    <s v="-"/>
    <s v="-"/>
    <s v="-"/>
    <s v="-"/>
    <s v="-"/>
    <n v="5"/>
    <n v="6"/>
    <s v="-"/>
    <n v="1"/>
    <n v="1"/>
    <n v="2"/>
    <n v="2"/>
    <n v="7"/>
    <n v="8"/>
  </r>
  <r>
    <x v="7"/>
    <x v="186"/>
    <d v="2026-07-30T00:00:00"/>
    <s v="2ND"/>
    <d v="1899-12-30T20:00:00"/>
    <n v="3"/>
    <x v="16"/>
    <n v="0.01"/>
    <s v="P"/>
    <s v="P"/>
    <s v="P"/>
    <s v="+"/>
    <s v="+"/>
    <n v="11.83"/>
    <s v="-"/>
    <s v="-"/>
    <s v="-"/>
    <s v="-"/>
    <s v="-"/>
    <s v="-"/>
    <s v="-"/>
    <s v="-"/>
    <s v="P"/>
    <s v="P"/>
    <s v="-"/>
    <n v="2"/>
    <n v="1"/>
    <n v="2"/>
    <n v="0"/>
    <s v="-"/>
    <s v="-"/>
    <s v="-"/>
    <s v="-"/>
    <s v="-"/>
    <s v="-"/>
    <s v="-"/>
    <n v="5"/>
    <n v="6"/>
    <s v="-"/>
    <n v="1"/>
    <n v="1"/>
    <n v="2"/>
    <n v="2"/>
    <n v="7"/>
    <n v="8"/>
  </r>
  <r>
    <x v="7"/>
    <x v="186"/>
    <d v="2026-08-26T00:00:00"/>
    <s v="3RD"/>
    <d v="1899-12-30T23:00:00"/>
    <n v="1"/>
    <x v="22"/>
    <n v="0.01"/>
    <s v="P"/>
    <s v="P"/>
    <s v="P"/>
    <s v="-"/>
    <s v="-"/>
    <n v="10.210000000000001"/>
    <n v="9.7899999999999991"/>
    <n v="0.56999999999999995"/>
    <n v="57.7"/>
    <s v="-"/>
    <s v="-"/>
    <n v="26.9"/>
    <s v="-"/>
    <s v="-"/>
    <s v="P"/>
    <s v="P"/>
    <n v="1"/>
    <n v="2"/>
    <n v="1"/>
    <n v="2"/>
    <n v="0"/>
    <n v="1"/>
    <n v="2"/>
    <n v="2"/>
    <s v="-"/>
    <s v="-"/>
    <n v="2"/>
    <s v="-"/>
    <n v="12"/>
    <n v="13"/>
    <s v="-"/>
    <n v="1"/>
    <n v="1"/>
    <n v="2"/>
    <n v="2"/>
    <n v="14"/>
    <n v="15"/>
  </r>
  <r>
    <x v="7"/>
    <x v="186"/>
    <d v="2026-08-26T00:00:00"/>
    <s v="3RD"/>
    <d v="1899-12-31T00:00:00"/>
    <n v="1"/>
    <x v="22"/>
    <s v="-"/>
    <s v="P"/>
    <s v="P"/>
    <s v="P"/>
    <s v="-"/>
    <s v="-"/>
    <n v="10.28"/>
    <s v="-"/>
    <s v="-"/>
    <s v="-"/>
    <s v="-"/>
    <s v="-"/>
    <s v="-"/>
    <s v="-"/>
    <s v="-"/>
    <s v="P"/>
    <s v="P"/>
    <s v="-"/>
    <s v="-"/>
    <n v="1"/>
    <n v="2"/>
    <n v="0"/>
    <s v="-"/>
    <s v="-"/>
    <s v="-"/>
    <s v="-"/>
    <s v="-"/>
    <s v="-"/>
    <s v="-"/>
    <n v="3"/>
    <n v="4"/>
    <s v="-"/>
    <n v="1"/>
    <n v="1"/>
    <n v="2"/>
    <n v="2"/>
    <n v="5"/>
    <n v="6"/>
  </r>
  <r>
    <x v="7"/>
    <x v="186"/>
    <d v="2026-08-26T00:00:00"/>
    <s v="3RD"/>
    <d v="1899-12-31T01:00:00"/>
    <n v="1"/>
    <x v="22"/>
    <s v="-"/>
    <s v="P"/>
    <s v="P"/>
    <s v="P"/>
    <s v="-"/>
    <s v="-"/>
    <n v="9.7899999999999991"/>
    <s v="-"/>
    <s v="-"/>
    <s v="-"/>
    <s v="-"/>
    <s v="-"/>
    <s v="-"/>
    <s v="-"/>
    <s v="-"/>
    <s v="P"/>
    <s v="P"/>
    <s v="-"/>
    <s v="-"/>
    <n v="1"/>
    <n v="2"/>
    <n v="0"/>
    <s v="-"/>
    <s v="-"/>
    <s v="-"/>
    <s v="-"/>
    <s v="-"/>
    <s v="-"/>
    <s v="-"/>
    <n v="3"/>
    <n v="4"/>
    <s v="-"/>
    <n v="1"/>
    <n v="1"/>
    <n v="2"/>
    <n v="2"/>
    <n v="5"/>
    <n v="6"/>
  </r>
  <r>
    <x v="7"/>
    <x v="186"/>
    <d v="2026-08-26T00:00:00"/>
    <s v="3RD"/>
    <d v="1899-12-31T02:00:00"/>
    <n v="1"/>
    <x v="22"/>
    <s v="-"/>
    <s v="-"/>
    <s v="P"/>
    <s v="P"/>
    <s v="-"/>
    <s v="-"/>
    <n v="9.7799999999999994"/>
    <s v="-"/>
    <s v="-"/>
    <s v="-"/>
    <s v="-"/>
    <s v="-"/>
    <s v="-"/>
    <s v="-"/>
    <s v="-"/>
    <s v="P"/>
    <s v="P"/>
    <s v="-"/>
    <s v="-"/>
    <s v="-"/>
    <n v="2"/>
    <n v="0"/>
    <s v="-"/>
    <s v="-"/>
    <s v="-"/>
    <s v="-"/>
    <s v="-"/>
    <s v="-"/>
    <s v="-"/>
    <n v="2"/>
    <n v="3"/>
    <s v="-"/>
    <n v="1"/>
    <n v="1"/>
    <n v="2"/>
    <n v="2"/>
    <n v="4"/>
    <n v="5"/>
  </r>
  <r>
    <x v="7"/>
    <x v="186"/>
    <d v="2026-08-26T00:00:00"/>
    <s v="3RD"/>
    <d v="1899-12-31T04:00:00"/>
    <n v="1"/>
    <x v="22"/>
    <s v="-"/>
    <s v="P"/>
    <s v="P"/>
    <s v="P"/>
    <s v="-"/>
    <s v="-"/>
    <n v="9.9499999999999993"/>
    <s v="-"/>
    <s v="-"/>
    <s v="-"/>
    <s v="-"/>
    <s v="-"/>
    <s v="-"/>
    <s v="-"/>
    <s v="-"/>
    <s v="P"/>
    <s v="P"/>
    <s v="-"/>
    <s v="-"/>
    <n v="1"/>
    <n v="2"/>
    <n v="0"/>
    <s v="-"/>
    <s v="-"/>
    <s v="-"/>
    <s v="-"/>
    <s v="-"/>
    <s v="-"/>
    <s v="-"/>
    <n v="3"/>
    <n v="4"/>
    <s v="-"/>
    <n v="1"/>
    <n v="1"/>
    <n v="2"/>
    <n v="2"/>
    <n v="5"/>
    <n v="6"/>
  </r>
  <r>
    <x v="7"/>
    <x v="186"/>
    <d v="2026-08-26T00:00:00"/>
    <s v="3RD"/>
    <d v="1899-12-31T05:00:00"/>
    <n v="1"/>
    <x v="22"/>
    <s v="-"/>
    <s v="P"/>
    <s v="P"/>
    <s v="P"/>
    <s v="-"/>
    <s v="-"/>
    <n v="9.89"/>
    <s v="-"/>
    <s v="-"/>
    <s v="-"/>
    <s v="-"/>
    <s v="-"/>
    <s v="-"/>
    <s v="-"/>
    <s v="-"/>
    <s v="P"/>
    <s v="P"/>
    <s v="-"/>
    <s v="-"/>
    <n v="1"/>
    <n v="2"/>
    <n v="0"/>
    <s v="-"/>
    <s v="-"/>
    <s v="-"/>
    <s v="-"/>
    <s v="-"/>
    <s v="-"/>
    <s v="-"/>
    <n v="3"/>
    <n v="4"/>
    <s v="-"/>
    <n v="1"/>
    <n v="1"/>
    <n v="2"/>
    <n v="2"/>
    <n v="5"/>
    <n v="6"/>
  </r>
  <r>
    <x v="7"/>
    <x v="186"/>
    <d v="1902-03-26T00:00:00"/>
    <s v="3RD"/>
    <d v="1899-12-31T01:00:00"/>
    <n v="2"/>
    <x v="22"/>
    <s v="-"/>
    <s v="P"/>
    <s v="P"/>
    <s v="P"/>
    <s v="-"/>
    <s v="-"/>
    <n v="10.38"/>
    <n v="9.9600000000000009"/>
    <s v="-"/>
    <n v="52.4"/>
    <s v="-"/>
    <s v="-"/>
    <n v="27.4"/>
    <s v="-"/>
    <s v="-"/>
    <s v="P"/>
    <s v="P"/>
    <s v="-"/>
    <s v="-"/>
    <n v="1"/>
    <n v="2"/>
    <n v="0"/>
    <n v="1"/>
    <s v="-"/>
    <n v="0"/>
    <s v="-"/>
    <s v="-"/>
    <n v="2"/>
    <s v="-"/>
    <n v="6"/>
    <n v="9"/>
    <s v="-"/>
    <n v="1"/>
    <n v="1"/>
    <n v="2"/>
    <n v="2"/>
    <n v="8"/>
    <n v="11"/>
  </r>
  <r>
    <x v="7"/>
    <x v="186"/>
    <d v="1899-12-30T00:00:00"/>
    <s v="3RD"/>
    <d v="1899-12-31T02:00:00"/>
    <n v="2"/>
    <x v="22"/>
    <s v="-"/>
    <s v="P"/>
    <s v="P"/>
    <s v="P"/>
    <s v="-"/>
    <s v="-"/>
    <n v="11.07"/>
    <s v="-"/>
    <s v="-"/>
    <s v="-"/>
    <s v="-"/>
    <s v="-"/>
    <s v="-"/>
    <s v="-"/>
    <s v="-"/>
    <s v="P"/>
    <s v="P"/>
    <s v="60% 30% 10%"/>
    <s v="-"/>
    <n v="1"/>
    <n v="2"/>
    <n v="1"/>
    <s v="-"/>
    <s v="-"/>
    <s v="-"/>
    <s v="-"/>
    <s v="-"/>
    <s v="-"/>
    <s v="-"/>
    <n v="4"/>
    <n v="4"/>
    <s v="-"/>
    <n v="1"/>
    <n v="1"/>
    <n v="2"/>
    <n v="2"/>
    <n v="6"/>
    <n v="6"/>
  </r>
  <r>
    <x v="7"/>
    <x v="186"/>
    <d v="1899-12-30T00:00:00"/>
    <s v="3RD"/>
    <d v="1899-12-31T03:00:00"/>
    <n v="2"/>
    <x v="7"/>
    <s v="-"/>
    <s v="P"/>
    <s v="P"/>
    <s v="P"/>
    <s v="-"/>
    <s v="+"/>
    <n v="10.51"/>
    <s v="-"/>
    <s v="-"/>
    <s v="-"/>
    <s v="-"/>
    <s v="-"/>
    <s v="-"/>
    <s v="-"/>
    <s v="-"/>
    <s v="P"/>
    <s v="P"/>
    <s v="-"/>
    <s v="-"/>
    <n v="1"/>
    <n v="2"/>
    <n v="0"/>
    <s v="-"/>
    <s v="-"/>
    <s v="-"/>
    <s v="-"/>
    <s v="-"/>
    <s v="-"/>
    <s v="-"/>
    <n v="3"/>
    <n v="4"/>
    <s v="-"/>
    <n v="1"/>
    <n v="1"/>
    <n v="2"/>
    <n v="2"/>
    <n v="5"/>
    <n v="6"/>
  </r>
  <r>
    <x v="7"/>
    <x v="186"/>
    <d v="1899-12-30T00:00:00"/>
    <s v="3RD"/>
    <d v="1899-12-31T04:00:00"/>
    <n v="2"/>
    <x v="7"/>
    <s v="-"/>
    <s v="P"/>
    <s v="P"/>
    <s v="P"/>
    <s v="-"/>
    <s v="+"/>
    <n v="10.55"/>
    <s v="-"/>
    <s v="-"/>
    <s v="-"/>
    <s v="-"/>
    <s v="-"/>
    <s v="-"/>
    <s v="-"/>
    <s v="-"/>
    <s v="P"/>
    <s v="P"/>
    <s v="-"/>
    <s v="-"/>
    <n v="1"/>
    <n v="2"/>
    <n v="0"/>
    <s v="-"/>
    <s v="-"/>
    <s v="-"/>
    <s v="-"/>
    <s v="-"/>
    <s v="-"/>
    <s v="-"/>
    <n v="3"/>
    <n v="4"/>
    <s v="-"/>
    <n v="1"/>
    <n v="1"/>
    <n v="2"/>
    <n v="2"/>
    <n v="5"/>
    <n v="6"/>
  </r>
  <r>
    <x v="7"/>
    <x v="186"/>
    <d v="1899-12-30T00:00:00"/>
    <s v="3RD"/>
    <d v="1899-12-31T05:00:00"/>
    <n v="2"/>
    <x v="7"/>
    <s v="-"/>
    <s v="P"/>
    <s v="P"/>
    <s v="P"/>
    <s v="-"/>
    <s v="+"/>
    <n v="10.42"/>
    <s v="-"/>
    <s v="-"/>
    <s v="-"/>
    <s v="-"/>
    <s v="-"/>
    <s v="-"/>
    <s v="-"/>
    <s v="-"/>
    <s v="P"/>
    <s v="P"/>
    <s v="-"/>
    <s v="-"/>
    <n v="1"/>
    <n v="2"/>
    <n v="0"/>
    <s v="-"/>
    <s v="-"/>
    <s v="-"/>
    <s v="-"/>
    <s v="-"/>
    <s v="-"/>
    <s v="-"/>
    <n v="3"/>
    <n v="4"/>
    <s v="-"/>
    <n v="1"/>
    <n v="1"/>
    <n v="2"/>
    <n v="2"/>
    <n v="5"/>
    <n v="6"/>
  </r>
  <r>
    <x v="7"/>
    <x v="186"/>
    <d v="2026-07-30T00:00:00"/>
    <s v="3RD"/>
    <d v="1899-12-30T22:00:00"/>
    <n v="3"/>
    <x v="16"/>
    <s v="-"/>
    <s v="P"/>
    <s v="P"/>
    <s v="P"/>
    <s v="+"/>
    <s v="+"/>
    <n v="11.89"/>
    <s v="-"/>
    <s v="-"/>
    <s v="-"/>
    <s v="-"/>
    <s v="-"/>
    <s v="-"/>
    <s v="-"/>
    <s v="-"/>
    <s v="P"/>
    <s v="P"/>
    <n v="1"/>
    <s v="-"/>
    <n v="1"/>
    <n v="2"/>
    <n v="0"/>
    <s v="-"/>
    <s v="-"/>
    <s v="-"/>
    <s v="-"/>
    <s v="-"/>
    <s v="-"/>
    <s v="-"/>
    <n v="3"/>
    <n v="4"/>
    <s v="-"/>
    <n v="1"/>
    <n v="1"/>
    <n v="2"/>
    <n v="2"/>
    <n v="5"/>
    <n v="6"/>
  </r>
  <r>
    <x v="7"/>
    <x v="186"/>
    <d v="2026-08-26T00:00:00"/>
    <s v="3RD"/>
    <d v="1899-12-31T01:00:00"/>
    <n v="3"/>
    <x v="10"/>
    <n v="0.01"/>
    <s v="P"/>
    <s v="P"/>
    <s v="P"/>
    <s v="+"/>
    <s v="+"/>
    <n v="12.38"/>
    <n v="11.21"/>
    <s v="-"/>
    <n v="62.8"/>
    <s v="-"/>
    <s v="-"/>
    <n v="31"/>
    <s v="-"/>
    <s v="-"/>
    <s v="P"/>
    <s v="P"/>
    <n v="1"/>
    <n v="2"/>
    <n v="1"/>
    <n v="2"/>
    <n v="1"/>
    <n v="1"/>
    <s v="-"/>
    <n v="0"/>
    <s v="-"/>
    <s v="-"/>
    <n v="2"/>
    <s v="-"/>
    <n v="9"/>
    <n v="11"/>
    <s v="-"/>
    <n v="1"/>
    <n v="1"/>
    <n v="2"/>
    <n v="2"/>
    <n v="11"/>
    <n v="13"/>
  </r>
  <r>
    <x v="7"/>
    <x v="186"/>
    <d v="2026-08-26T00:00:00"/>
    <s v="3RD"/>
    <d v="1899-12-31T02:00:00"/>
    <n v="3"/>
    <x v="10"/>
    <s v="-"/>
    <s v="P"/>
    <s v="P"/>
    <s v="P"/>
    <s v="+"/>
    <s v="+"/>
    <n v="12.38"/>
    <s v="-"/>
    <s v="-"/>
    <s v="-"/>
    <s v="-"/>
    <s v="-"/>
    <s v="-"/>
    <s v="-"/>
    <s v="-"/>
    <s v="P"/>
    <s v="P"/>
    <s v="-"/>
    <s v="-"/>
    <n v="1"/>
    <n v="2"/>
    <n v="1"/>
    <s v="-"/>
    <s v="-"/>
    <s v="-"/>
    <s v="-"/>
    <s v="-"/>
    <s v="-"/>
    <s v="-"/>
    <n v="4"/>
    <n v="4"/>
    <s v="-"/>
    <n v="1"/>
    <n v="1"/>
    <n v="2"/>
    <n v="2"/>
    <n v="6"/>
    <n v="6"/>
  </r>
  <r>
    <x v="7"/>
    <x v="186"/>
    <d v="2026-08-24T00:00:00"/>
    <s v="3RD"/>
    <d v="1899-12-31T03:00:00"/>
    <n v="3"/>
    <x v="42"/>
    <n v="0.02"/>
    <s v="P"/>
    <s v="P"/>
    <s v="P"/>
    <s v="+"/>
    <s v="+"/>
    <n v="12.07"/>
    <n v="11.08"/>
    <s v="-"/>
    <s v="-"/>
    <s v="-"/>
    <s v="-"/>
    <n v="30.6"/>
    <s v="-"/>
    <s v="-"/>
    <s v="P"/>
    <s v="P"/>
    <n v="1"/>
    <n v="2"/>
    <n v="1"/>
    <n v="2"/>
    <n v="1"/>
    <n v="0"/>
    <s v="-"/>
    <s v="-"/>
    <s v="-"/>
    <s v="-"/>
    <n v="2"/>
    <s v="-"/>
    <n v="8"/>
    <n v="9"/>
    <s v="-"/>
    <n v="1"/>
    <n v="1"/>
    <n v="2"/>
    <n v="2"/>
    <n v="10"/>
    <n v="11"/>
  </r>
  <r>
    <x v="7"/>
    <x v="186"/>
    <d v="2026-08-24T00:00:00"/>
    <s v="3RD"/>
    <d v="1899-12-31T04:00:00"/>
    <n v="3"/>
    <x v="42"/>
    <n v="0.01"/>
    <s v="P"/>
    <s v="P"/>
    <s v="P"/>
    <s v="+"/>
    <s v="+"/>
    <n v="12"/>
    <s v="-"/>
    <s v="-"/>
    <s v="-"/>
    <s v="-"/>
    <s v="-"/>
    <s v="-"/>
    <s v="-"/>
    <s v="-"/>
    <s v="P"/>
    <s v="P"/>
    <s v="-"/>
    <n v="2"/>
    <n v="1"/>
    <n v="2"/>
    <n v="1"/>
    <s v="-"/>
    <s v="-"/>
    <s v="-"/>
    <s v="-"/>
    <s v="-"/>
    <s v="-"/>
    <s v="-"/>
    <n v="6"/>
    <n v="6"/>
    <s v="-"/>
    <n v="1"/>
    <n v="1"/>
    <n v="2"/>
    <n v="2"/>
    <n v="8"/>
    <n v="8"/>
  </r>
  <r>
    <x v="7"/>
    <x v="186"/>
    <d v="2026-08-26T00:00:00"/>
    <s v="1ST"/>
    <s v="06:00"/>
    <n v="1"/>
    <x v="22"/>
    <n v="0.01"/>
    <s v="P"/>
    <s v="P"/>
    <s v="P"/>
    <s v="-"/>
    <s v="-"/>
    <n v="10.51"/>
    <n v="10.15"/>
    <n v="0.56999999999999995"/>
    <n v="55.5"/>
    <s v="-"/>
    <s v="-"/>
    <n v="28"/>
    <s v="-"/>
    <n v="25.16"/>
    <s v="P"/>
    <s v="P"/>
    <n v="1"/>
    <n v="2"/>
    <n v="1"/>
    <n v="2"/>
    <n v="0"/>
    <n v="0"/>
    <n v="2"/>
    <n v="2"/>
    <s v="-"/>
    <s v="-"/>
    <n v="2"/>
    <s v="-"/>
    <n v="11"/>
    <n v="13"/>
    <n v="1"/>
    <n v="1"/>
    <n v="1"/>
    <n v="3"/>
    <n v="3"/>
    <n v="14"/>
    <n v="16"/>
  </r>
  <r>
    <x v="7"/>
    <x v="186"/>
    <d v="2026-08-26T00:00:00"/>
    <s v="1ST"/>
    <s v="07:00"/>
    <n v="1"/>
    <x v="22"/>
    <n v="0.01"/>
    <s v="P"/>
    <s v="P"/>
    <s v="P"/>
    <s v="-"/>
    <s v="-"/>
    <n v="9.5399999999999991"/>
    <s v="-"/>
    <s v="-"/>
    <s v="-"/>
    <s v="-"/>
    <s v="-"/>
    <s v="-"/>
    <s v="-"/>
    <s v="-"/>
    <s v="P"/>
    <s v="P"/>
    <s v="-"/>
    <n v="2"/>
    <n v="1"/>
    <n v="2"/>
    <n v="0"/>
    <s v="-"/>
    <s v="-"/>
    <s v="-"/>
    <s v="-"/>
    <s v="-"/>
    <s v="-"/>
    <s v="-"/>
    <n v="5"/>
    <n v="6"/>
    <s v="-"/>
    <n v="1"/>
    <n v="1"/>
    <n v="2"/>
    <n v="2"/>
    <n v="7"/>
    <n v="8"/>
  </r>
  <r>
    <x v="7"/>
    <x v="186"/>
    <d v="2026-08-26T00:00:00"/>
    <s v="1ST"/>
    <s v="08:00"/>
    <n v="1"/>
    <x v="22"/>
    <n v="0.01"/>
    <s v="P"/>
    <s v="P"/>
    <s v="P"/>
    <s v="-"/>
    <s v="-"/>
    <n v="10.220000000000001"/>
    <s v="-"/>
    <s v="-"/>
    <s v="-"/>
    <s v="-"/>
    <s v="-"/>
    <s v="-"/>
    <s v="-"/>
    <s v="-"/>
    <s v="P"/>
    <s v="P"/>
    <s v="-"/>
    <n v="2"/>
    <n v="1"/>
    <n v="2"/>
    <n v="0"/>
    <s v="-"/>
    <s v="-"/>
    <s v="-"/>
    <s v="-"/>
    <s v="-"/>
    <s v="-"/>
    <s v="-"/>
    <n v="5"/>
    <n v="6"/>
    <s v="-"/>
    <n v="1"/>
    <n v="1"/>
    <n v="2"/>
    <n v="2"/>
    <n v="7"/>
    <n v="8"/>
  </r>
  <r>
    <x v="7"/>
    <x v="186"/>
    <d v="2026-08-26T00:00:00"/>
    <s v="1ST"/>
    <s v="09:00"/>
    <n v="1"/>
    <x v="22"/>
    <n v="0.01"/>
    <s v="P"/>
    <s v="P"/>
    <s v="P"/>
    <s v="-"/>
    <s v="-"/>
    <n v="10.19"/>
    <s v="-"/>
    <s v="-"/>
    <s v="-"/>
    <s v="-"/>
    <s v="-"/>
    <s v="-"/>
    <s v="-"/>
    <s v="-"/>
    <s v="P"/>
    <s v="P"/>
    <s v="-"/>
    <n v="2"/>
    <n v="1"/>
    <n v="2"/>
    <n v="0"/>
    <s v="-"/>
    <s v="-"/>
    <s v="-"/>
    <s v="-"/>
    <s v="-"/>
    <s v="-"/>
    <s v="-"/>
    <n v="5"/>
    <n v="6"/>
    <s v="-"/>
    <n v="1"/>
    <n v="1"/>
    <n v="2"/>
    <n v="2"/>
    <n v="7"/>
    <n v="8"/>
  </r>
  <r>
    <x v="7"/>
    <x v="186"/>
    <d v="2026-08-26T00:00:00"/>
    <s v="1ST"/>
    <s v="10:00"/>
    <n v="1"/>
    <x v="22"/>
    <n v="0.01"/>
    <s v="-"/>
    <s v="P"/>
    <s v="P"/>
    <s v="-"/>
    <s v="-"/>
    <n v="10.28"/>
    <s v="-"/>
    <s v="-"/>
    <s v="-"/>
    <s v="-"/>
    <s v="-"/>
    <s v="-"/>
    <s v="-"/>
    <s v="-"/>
    <s v="P"/>
    <s v="P"/>
    <s v="-"/>
    <n v="2"/>
    <s v="-"/>
    <n v="2"/>
    <n v="0"/>
    <s v="-"/>
    <s v="-"/>
    <s v="-"/>
    <s v="-"/>
    <s v="-"/>
    <s v="-"/>
    <s v="-"/>
    <n v="4"/>
    <n v="5"/>
    <s v="-"/>
    <n v="1"/>
    <n v="1"/>
    <n v="2"/>
    <n v="2"/>
    <n v="6"/>
    <n v="7"/>
  </r>
  <r>
    <x v="7"/>
    <x v="186"/>
    <d v="2026-08-26T00:00:00"/>
    <s v="1ST"/>
    <s v="12:00"/>
    <n v="1"/>
    <x v="22"/>
    <n v="0.01"/>
    <s v="P"/>
    <s v="P"/>
    <s v="P"/>
    <s v="-"/>
    <s v="-"/>
    <n v="10.32"/>
    <s v="-"/>
    <s v="-"/>
    <s v="-"/>
    <s v="-"/>
    <s v="-"/>
    <s v="-"/>
    <s v="-"/>
    <s v="-"/>
    <s v="P"/>
    <s v="P"/>
    <s v="-"/>
    <n v="2"/>
    <n v="1"/>
    <n v="2"/>
    <n v="0"/>
    <s v="-"/>
    <s v="-"/>
    <s v="-"/>
    <s v="-"/>
    <s v="-"/>
    <s v="-"/>
    <s v="-"/>
    <n v="5"/>
    <n v="6"/>
    <s v="-"/>
    <n v="1"/>
    <n v="1"/>
    <n v="2"/>
    <n v="2"/>
    <n v="7"/>
    <n v="8"/>
  </r>
  <r>
    <x v="7"/>
    <x v="186"/>
    <d v="2026-08-26T00:00:00"/>
    <s v="1ST"/>
    <s v="13:00"/>
    <n v="1"/>
    <x v="22"/>
    <n v="0.02"/>
    <s v="P"/>
    <s v="P"/>
    <s v="P"/>
    <s v="-"/>
    <s v="-"/>
    <n v="10.26"/>
    <s v="-"/>
    <s v="-"/>
    <s v="-"/>
    <s v="-"/>
    <s v="-"/>
    <s v="-"/>
    <s v="-"/>
    <s v="-"/>
    <s v="P"/>
    <s v="P"/>
    <s v="-"/>
    <n v="2"/>
    <n v="1"/>
    <n v="2"/>
    <n v="0"/>
    <s v="-"/>
    <s v="-"/>
    <s v="-"/>
    <s v="-"/>
    <s v="-"/>
    <s v="-"/>
    <s v="-"/>
    <n v="5"/>
    <n v="6"/>
    <s v="-"/>
    <n v="1"/>
    <n v="1"/>
    <n v="2"/>
    <n v="2"/>
    <n v="7"/>
    <n v="8"/>
  </r>
  <r>
    <x v="7"/>
    <x v="186"/>
    <d v="1902-03-26T00:00:00"/>
    <s v="1ST"/>
    <s v="06:00"/>
    <n v="2"/>
    <x v="7"/>
    <s v="-"/>
    <s v="P"/>
    <s v="P"/>
    <s v="P"/>
    <s v="-"/>
    <s v="+"/>
    <n v="10.67"/>
    <n v="10.36"/>
    <n v="0.6"/>
    <n v="56.4"/>
    <s v="-"/>
    <s v="-"/>
    <n v="28.6"/>
    <s v="-"/>
    <n v="25.19"/>
    <s v="P"/>
    <s v="P"/>
    <s v="-"/>
    <s v="-"/>
    <n v="1"/>
    <n v="2"/>
    <n v="0"/>
    <n v="1"/>
    <n v="2"/>
    <n v="2"/>
    <s v="-"/>
    <s v="-"/>
    <n v="0"/>
    <s v="-"/>
    <n v="8"/>
    <n v="11"/>
    <n v="1"/>
    <n v="1"/>
    <n v="1"/>
    <n v="3"/>
    <n v="3"/>
    <n v="11"/>
    <n v="14"/>
  </r>
  <r>
    <x v="7"/>
    <x v="186"/>
    <d v="1899-12-30T00:00:00"/>
    <s v="1ST"/>
    <s v="07:00"/>
    <n v="2"/>
    <x v="7"/>
    <s v="-"/>
    <s v="P"/>
    <s v="P"/>
    <s v="P"/>
    <s v="-"/>
    <s v="+"/>
    <n v="10.57"/>
    <s v="-"/>
    <s v="-"/>
    <s v="-"/>
    <s v="-"/>
    <s v="-"/>
    <s v="-"/>
    <s v="-"/>
    <s v="-"/>
    <s v="P"/>
    <s v="P"/>
    <s v="-"/>
    <s v="-"/>
    <n v="1"/>
    <n v="2"/>
    <n v="0"/>
    <s v="-"/>
    <s v="-"/>
    <s v="-"/>
    <s v="-"/>
    <s v="-"/>
    <s v="-"/>
    <s v="-"/>
    <n v="3"/>
    <n v="4"/>
    <s v="-"/>
    <n v="1"/>
    <n v="1"/>
    <n v="2"/>
    <n v="2"/>
    <n v="5"/>
    <n v="6"/>
  </r>
  <r>
    <x v="7"/>
    <x v="186"/>
    <d v="1899-12-30T00:00:00"/>
    <s v="1ST"/>
    <s v="08:00"/>
    <n v="2"/>
    <x v="7"/>
    <s v="-"/>
    <s v="P"/>
    <s v="P"/>
    <s v="P"/>
    <s v="-"/>
    <s v="+"/>
    <n v="10.67"/>
    <s v="-"/>
    <s v="-"/>
    <s v="-"/>
    <s v="-"/>
    <s v="-"/>
    <s v="-"/>
    <s v="-"/>
    <s v="-"/>
    <s v="P"/>
    <s v="P"/>
    <s v="-"/>
    <s v="-"/>
    <n v="1"/>
    <n v="2"/>
    <n v="0"/>
    <s v="-"/>
    <s v="-"/>
    <s v="-"/>
    <s v="-"/>
    <s v="-"/>
    <s v="-"/>
    <s v="-"/>
    <n v="3"/>
    <n v="4"/>
    <s v="-"/>
    <n v="1"/>
    <n v="1"/>
    <n v="2"/>
    <n v="2"/>
    <n v="5"/>
    <n v="6"/>
  </r>
  <r>
    <x v="7"/>
    <x v="186"/>
    <d v="1899-12-30T00:00:00"/>
    <s v="1ST"/>
    <s v="09:00"/>
    <n v="2"/>
    <x v="7"/>
    <s v="-"/>
    <s v="P"/>
    <s v="P"/>
    <s v="P"/>
    <s v="-"/>
    <s v="+"/>
    <n v="10.5"/>
    <s v="-"/>
    <s v="-"/>
    <s v="-"/>
    <s v="-"/>
    <s v="-"/>
    <s v="-"/>
    <s v="-"/>
    <s v="-"/>
    <s v="P"/>
    <s v="P"/>
    <s v="-"/>
    <s v="-"/>
    <n v="1"/>
    <n v="2"/>
    <n v="0"/>
    <s v="-"/>
    <s v="-"/>
    <s v="-"/>
    <s v="-"/>
    <s v="-"/>
    <s v="-"/>
    <s v="-"/>
    <n v="3"/>
    <n v="4"/>
    <s v="-"/>
    <n v="1"/>
    <n v="1"/>
    <n v="2"/>
    <n v="2"/>
    <n v="5"/>
    <n v="6"/>
  </r>
  <r>
    <x v="7"/>
    <x v="186"/>
    <d v="1899-12-30T00:00:00"/>
    <s v="1ST"/>
    <s v="10:00"/>
    <n v="2"/>
    <x v="7"/>
    <s v="-"/>
    <s v="P"/>
    <s v="P"/>
    <s v="P"/>
    <s v="-"/>
    <s v="+"/>
    <n v="10.82"/>
    <s v="-"/>
    <s v="-"/>
    <s v="-"/>
    <s v="-"/>
    <s v="-"/>
    <s v="-"/>
    <s v="-"/>
    <s v="-"/>
    <s v="P"/>
    <s v="P"/>
    <s v="-"/>
    <s v="-"/>
    <n v="1"/>
    <n v="2"/>
    <n v="0"/>
    <s v="-"/>
    <s v="-"/>
    <s v="-"/>
    <s v="-"/>
    <s v="-"/>
    <s v="-"/>
    <s v="-"/>
    <n v="3"/>
    <n v="4"/>
    <s v="-"/>
    <n v="1"/>
    <n v="1"/>
    <n v="2"/>
    <n v="2"/>
    <n v="5"/>
    <n v="6"/>
  </r>
  <r>
    <x v="7"/>
    <x v="186"/>
    <d v="1899-12-30T00:00:00"/>
    <s v="1ST"/>
    <s v="11:00"/>
    <n v="2"/>
    <x v="7"/>
    <s v="-"/>
    <s v="P"/>
    <s v="P"/>
    <s v="P"/>
    <s v="-"/>
    <s v="+"/>
    <n v="11.23"/>
    <s v="-"/>
    <s v="-"/>
    <s v="-"/>
    <s v="-"/>
    <s v="-"/>
    <s v="-"/>
    <s v="-"/>
    <s v="-"/>
    <s v="P"/>
    <s v="P"/>
    <s v="-"/>
    <s v="-"/>
    <n v="1"/>
    <n v="2"/>
    <n v="1"/>
    <s v="-"/>
    <s v="-"/>
    <s v="-"/>
    <s v="-"/>
    <s v="-"/>
    <s v="-"/>
    <s v="-"/>
    <n v="4"/>
    <n v="4"/>
    <s v="-"/>
    <n v="1"/>
    <n v="1"/>
    <n v="2"/>
    <n v="2"/>
    <n v="6"/>
    <n v="6"/>
  </r>
  <r>
    <x v="7"/>
    <x v="186"/>
    <d v="1899-12-30T00:00:00"/>
    <s v="1ST"/>
    <s v="12:00"/>
    <n v="2"/>
    <x v="7"/>
    <s v="-"/>
    <s v="P"/>
    <s v="P"/>
    <s v="P"/>
    <s v="-"/>
    <s v="+"/>
    <n v="10.88"/>
    <s v="-"/>
    <s v="-"/>
    <s v="-"/>
    <s v="-"/>
    <s v="-"/>
    <s v="-"/>
    <s v="-"/>
    <s v="-"/>
    <s v="P"/>
    <s v="P"/>
    <s v="-"/>
    <s v="-"/>
    <n v="1"/>
    <n v="2"/>
    <n v="0"/>
    <s v="-"/>
    <s v="-"/>
    <s v="-"/>
    <s v="-"/>
    <s v="-"/>
    <s v="-"/>
    <s v="-"/>
    <n v="3"/>
    <n v="4"/>
    <s v="-"/>
    <n v="1"/>
    <n v="1"/>
    <n v="2"/>
    <n v="2"/>
    <n v="5"/>
    <n v="6"/>
  </r>
  <r>
    <x v="7"/>
    <x v="186"/>
    <d v="1899-12-30T00:00:00"/>
    <s v="1ST"/>
    <s v="13:00"/>
    <n v="2"/>
    <x v="7"/>
    <s v="-"/>
    <s v="P"/>
    <s v="P"/>
    <s v="P"/>
    <s v="-"/>
    <s v="+"/>
    <n v="10.87"/>
    <s v="-"/>
    <s v="-"/>
    <s v="-"/>
    <s v="-"/>
    <s v="-"/>
    <s v="-"/>
    <s v="-"/>
    <s v="-"/>
    <s v="P"/>
    <s v="P"/>
    <s v="-"/>
    <s v="-"/>
    <n v="1"/>
    <n v="2"/>
    <n v="0"/>
    <s v="-"/>
    <s v="-"/>
    <s v="-"/>
    <s v="-"/>
    <s v="-"/>
    <s v="-"/>
    <s v="-"/>
    <n v="3"/>
    <n v="4"/>
    <s v="-"/>
    <n v="1"/>
    <n v="1"/>
    <n v="2"/>
    <n v="2"/>
    <n v="5"/>
    <n v="6"/>
  </r>
  <r>
    <x v="7"/>
    <x v="186"/>
    <d v="2026-08-26T00:00:00"/>
    <s v="1ST"/>
    <s v="06:00"/>
    <n v="3"/>
    <x v="42"/>
    <s v="-"/>
    <s v="P"/>
    <s v="P"/>
    <s v="P"/>
    <s v="+"/>
    <s v="+"/>
    <n v="12.52"/>
    <n v="12.06"/>
    <n v="0.35"/>
    <n v="63.7"/>
    <s v="-"/>
    <s v="-"/>
    <n v="33.5"/>
    <s v="-"/>
    <n v="25.2"/>
    <s v="P"/>
    <s v="P"/>
    <n v="1"/>
    <s v="-"/>
    <n v="1"/>
    <n v="2"/>
    <n v="1"/>
    <n v="0"/>
    <n v="2"/>
    <n v="2"/>
    <s v="-"/>
    <s v="-"/>
    <n v="2"/>
    <s v="-"/>
    <n v="10"/>
    <n v="11"/>
    <n v="1"/>
    <n v="1"/>
    <n v="1"/>
    <n v="3"/>
    <n v="3"/>
    <n v="13"/>
    <n v="14"/>
  </r>
  <r>
    <x v="7"/>
    <x v="186"/>
    <d v="2026-08-26T00:00:00"/>
    <s v="1ST"/>
    <s v="07:00"/>
    <n v="3"/>
    <x v="42"/>
    <s v="-"/>
    <s v="P"/>
    <s v="P"/>
    <s v="P"/>
    <s v="+"/>
    <s v="+"/>
    <n v="12.58"/>
    <s v="-"/>
    <s v="-"/>
    <s v="-"/>
    <s v="-"/>
    <s v="-"/>
    <s v="-"/>
    <s v="-"/>
    <s v="-"/>
    <s v="P"/>
    <s v="P"/>
    <s v="-"/>
    <s v="-"/>
    <n v="1"/>
    <n v="2"/>
    <n v="1"/>
    <s v="-"/>
    <s v="-"/>
    <s v="-"/>
    <s v="-"/>
    <s v="-"/>
    <s v="-"/>
    <s v="-"/>
    <n v="4"/>
    <n v="4"/>
    <s v="-"/>
    <n v="1"/>
    <n v="1"/>
    <n v="2"/>
    <n v="2"/>
    <n v="6"/>
    <n v="6"/>
  </r>
  <r>
    <x v="7"/>
    <x v="186"/>
    <d v="2026-07-29T00:00:00"/>
    <s v="1ST"/>
    <s v="08:00"/>
    <n v="3"/>
    <x v="1"/>
    <n v="0.01"/>
    <s v="P"/>
    <s v="P"/>
    <s v="P"/>
    <s v="+"/>
    <s v="+"/>
    <n v="12.31"/>
    <n v="12.12"/>
    <n v="0.56999999999999995"/>
    <s v="-"/>
    <s v="-"/>
    <s v="-"/>
    <n v="33.799999999999997"/>
    <s v="-"/>
    <s v="-"/>
    <s v="P"/>
    <s v="P"/>
    <s v="95% 5%"/>
    <n v="2"/>
    <n v="1"/>
    <n v="2"/>
    <n v="1"/>
    <n v="1"/>
    <n v="2"/>
    <s v="-"/>
    <s v="-"/>
    <s v="-"/>
    <n v="2"/>
    <s v="-"/>
    <n v="11"/>
    <n v="11"/>
    <s v="-"/>
    <n v="1"/>
    <n v="1"/>
    <n v="2"/>
    <n v="2"/>
    <n v="13"/>
    <n v="13"/>
  </r>
  <r>
    <x v="7"/>
    <x v="186"/>
    <d v="2026-07-29T00:00:00"/>
    <s v="1ST"/>
    <s v="09:00"/>
    <n v="3"/>
    <x v="1"/>
    <n v="0.01"/>
    <s v="P"/>
    <s v="P"/>
    <s v="P"/>
    <s v="+"/>
    <s v="+"/>
    <n v="11.97"/>
    <s v="-"/>
    <s v="-"/>
    <s v="-"/>
    <s v="-"/>
    <s v="-"/>
    <s v="-"/>
    <s v="-"/>
    <s v="-"/>
    <s v="P"/>
    <s v="P"/>
    <s v="-"/>
    <n v="2"/>
    <n v="1"/>
    <n v="2"/>
    <n v="0"/>
    <s v="-"/>
    <s v="-"/>
    <s v="-"/>
    <s v="-"/>
    <s v="-"/>
    <s v="-"/>
    <s v="-"/>
    <n v="5"/>
    <n v="6"/>
    <s v="-"/>
    <n v="1"/>
    <n v="1"/>
    <n v="2"/>
    <n v="2"/>
    <n v="7"/>
    <n v="8"/>
  </r>
  <r>
    <x v="7"/>
    <x v="186"/>
    <d v="2026-07-29T00:00:00"/>
    <s v="1ST"/>
    <s v="10:00"/>
    <n v="3"/>
    <x v="1"/>
    <n v="0.01"/>
    <s v="P"/>
    <s v="P"/>
    <s v="P"/>
    <s v="+"/>
    <s v="+"/>
    <n v="11.97"/>
    <s v="-"/>
    <s v="-"/>
    <s v="-"/>
    <s v="-"/>
    <s v="-"/>
    <s v="-"/>
    <s v="-"/>
    <s v="-"/>
    <s v="P"/>
    <s v="P"/>
    <s v="-"/>
    <n v="2"/>
    <n v="1"/>
    <n v="2"/>
    <n v="0"/>
    <s v="-"/>
    <s v="-"/>
    <s v="-"/>
    <s v="-"/>
    <s v="-"/>
    <s v="-"/>
    <s v="-"/>
    <n v="5"/>
    <n v="6"/>
    <s v="-"/>
    <n v="1"/>
    <n v="1"/>
    <n v="2"/>
    <n v="2"/>
    <n v="7"/>
    <n v="8"/>
  </r>
  <r>
    <x v="7"/>
    <x v="186"/>
    <d v="2026-07-29T00:00:00"/>
    <s v="1ST"/>
    <s v="12:00"/>
    <n v="3"/>
    <x v="1"/>
    <n v="0.01"/>
    <s v="P"/>
    <s v="P"/>
    <s v="P"/>
    <s v="+"/>
    <s v="+"/>
    <n v="12.57"/>
    <s v="-"/>
    <s v="-"/>
    <s v="-"/>
    <s v="-"/>
    <s v="-"/>
    <s v="-"/>
    <s v="-"/>
    <s v="-"/>
    <s v="P"/>
    <s v="P"/>
    <s v="-"/>
    <n v="2"/>
    <n v="1"/>
    <n v="2"/>
    <n v="1"/>
    <s v="-"/>
    <s v="-"/>
    <s v="-"/>
    <s v="-"/>
    <s v="-"/>
    <s v="-"/>
    <s v="-"/>
    <n v="6"/>
    <n v="6"/>
    <s v="-"/>
    <n v="1"/>
    <n v="1"/>
    <n v="2"/>
    <n v="2"/>
    <n v="8"/>
    <n v="8"/>
  </r>
  <r>
    <x v="7"/>
    <x v="186"/>
    <d v="2026-07-29T00:00:00"/>
    <s v="1ST"/>
    <s v="13:00"/>
    <n v="3"/>
    <x v="1"/>
    <n v="0.01"/>
    <s v="P"/>
    <s v="P"/>
    <s v="P"/>
    <s v="+"/>
    <s v="+"/>
    <n v="12.59"/>
    <s v="-"/>
    <s v="-"/>
    <s v="-"/>
    <s v="-"/>
    <s v="-"/>
    <s v="-"/>
    <s v="-"/>
    <s v="-"/>
    <s v="P"/>
    <s v="P"/>
    <s v="-"/>
    <n v="2"/>
    <n v="1"/>
    <n v="2"/>
    <n v="1"/>
    <s v="-"/>
    <s v="-"/>
    <s v="-"/>
    <s v="-"/>
    <s v="-"/>
    <s v="-"/>
    <s v="-"/>
    <n v="6"/>
    <n v="6"/>
    <s v="-"/>
    <n v="1"/>
    <n v="1"/>
    <n v="2"/>
    <n v="2"/>
    <n v="8"/>
    <n v="8"/>
  </r>
  <r>
    <x v="7"/>
    <x v="186"/>
    <d v="1899-12-30T00:00:00"/>
    <s v="1ST"/>
    <s v="08:00"/>
    <s v="Retail"/>
    <x v="19"/>
    <s v="-"/>
    <s v="P"/>
    <s v="P"/>
    <s v="P"/>
    <s v="-"/>
    <s v="+"/>
    <n v="12.12"/>
    <n v="14.12"/>
    <n v="1.25"/>
    <n v="70.099999999999994"/>
    <s v="-"/>
    <s v="-"/>
    <n v="39.9"/>
    <s v="-"/>
    <s v="-"/>
    <s v="-"/>
    <s v="-"/>
    <s v="-"/>
    <s v="-"/>
    <n v="1"/>
    <n v="2"/>
    <n v="1"/>
    <n v="1"/>
    <n v="0"/>
    <n v="2"/>
    <s v="-"/>
    <s v="-"/>
    <n v="0"/>
    <s v="-"/>
    <n v="7"/>
    <n v="11"/>
    <s v="-"/>
    <s v="-"/>
    <s v="-"/>
    <n v="0"/>
    <n v="0"/>
    <n v="7"/>
    <n v="11"/>
  </r>
  <r>
    <x v="7"/>
    <x v="187"/>
    <d v="2026-08-26T00:00:00"/>
    <s v="2ND"/>
    <d v="1899-12-30T14:00:00"/>
    <n v="1"/>
    <x v="22"/>
    <n v="0.01"/>
    <s v="P"/>
    <s v="P"/>
    <s v="P"/>
    <s v="-"/>
    <s v="-"/>
    <n v="10.26"/>
    <n v="10.27"/>
    <n v="0.56999999999999995"/>
    <n v="0.56999999999999995"/>
    <s v="-"/>
    <s v="-"/>
    <n v="28.4"/>
    <s v="-"/>
    <s v="-"/>
    <s v="P"/>
    <s v="P"/>
    <n v="1"/>
    <n v="2"/>
    <n v="1"/>
    <n v="2"/>
    <n v="0"/>
    <n v="0"/>
    <n v="2"/>
    <n v="0"/>
    <s v="-"/>
    <s v="-"/>
    <n v="2"/>
    <s v="-"/>
    <n v="9"/>
    <n v="13"/>
    <s v="-"/>
    <n v="1"/>
    <n v="1"/>
    <n v="2"/>
    <n v="2"/>
    <n v="11"/>
    <n v="15"/>
  </r>
  <r>
    <x v="7"/>
    <x v="187"/>
    <d v="2026-08-26T00:00:00"/>
    <s v="2ND"/>
    <d v="1899-12-30T15:00:00"/>
    <n v="1"/>
    <x v="22"/>
    <n v="0.01"/>
    <s v="P"/>
    <s v="P"/>
    <s v="P"/>
    <s v="-"/>
    <s v="-"/>
    <n v="10.210000000000001"/>
    <s v="-"/>
    <s v="-"/>
    <s v="-"/>
    <s v="-"/>
    <s v="-"/>
    <s v="-"/>
    <s v="-"/>
    <s v="-"/>
    <s v="P"/>
    <s v="P"/>
    <s v="-"/>
    <n v="2"/>
    <n v="1"/>
    <n v="2"/>
    <n v="0"/>
    <s v="-"/>
    <s v="-"/>
    <s v="-"/>
    <s v="-"/>
    <s v="-"/>
    <s v="-"/>
    <s v="-"/>
    <n v="5"/>
    <n v="6"/>
    <s v="-"/>
    <n v="1"/>
    <n v="1"/>
    <n v="2"/>
    <n v="2"/>
    <n v="7"/>
    <n v="8"/>
  </r>
  <r>
    <x v="7"/>
    <x v="187"/>
    <d v="2026-08-26T00:00:00"/>
    <s v="2ND"/>
    <d v="1899-12-30T16:00:00"/>
    <n v="1"/>
    <x v="22"/>
    <n v="0.01"/>
    <s v="P"/>
    <s v="P"/>
    <s v="P"/>
    <s v="-"/>
    <s v="-"/>
    <n v="10.3"/>
    <s v="-"/>
    <s v="-"/>
    <s v="-"/>
    <s v="-"/>
    <s v="-"/>
    <s v="-"/>
    <s v="-"/>
    <s v="-"/>
    <s v="P"/>
    <s v="P"/>
    <s v="-"/>
    <n v="2"/>
    <n v="1"/>
    <n v="2"/>
    <n v="0"/>
    <s v="-"/>
    <s v="-"/>
    <s v="-"/>
    <s v="-"/>
    <s v="-"/>
    <s v="-"/>
    <s v="-"/>
    <n v="5"/>
    <n v="6"/>
    <s v="-"/>
    <n v="1"/>
    <n v="1"/>
    <n v="2"/>
    <n v="2"/>
    <n v="7"/>
    <n v="8"/>
  </r>
  <r>
    <x v="7"/>
    <x v="187"/>
    <d v="2026-07-17T00:00:00"/>
    <s v="2ND"/>
    <d v="1899-12-30T17:00:00"/>
    <n v="1"/>
    <x v="20"/>
    <s v="-"/>
    <s v="P"/>
    <s v="P"/>
    <s v="P"/>
    <s v="-"/>
    <s v="-"/>
    <n v="12.18"/>
    <n v="11.89"/>
    <n v="0.65"/>
    <n v="66.099999999999994"/>
    <s v="-"/>
    <s v="-"/>
    <n v="33.1"/>
    <s v="-"/>
    <s v="-"/>
    <s v="P"/>
    <s v="P"/>
    <n v="1"/>
    <s v="-"/>
    <n v="1"/>
    <n v="2"/>
    <n v="1"/>
    <n v="0"/>
    <n v="2"/>
    <n v="2"/>
    <s v="-"/>
    <s v="-"/>
    <n v="2"/>
    <s v="-"/>
    <n v="10"/>
    <n v="11"/>
    <s v="-"/>
    <n v="1"/>
    <n v="1"/>
    <n v="2"/>
    <n v="2"/>
    <n v="12"/>
    <n v="13"/>
  </r>
  <r>
    <x v="7"/>
    <x v="187"/>
    <d v="2026-07-17T00:00:00"/>
    <s v="2ND"/>
    <d v="1899-12-30T18:00:00"/>
    <n v="1"/>
    <x v="20"/>
    <s v="-"/>
    <s v="-"/>
    <s v="P"/>
    <s v="P"/>
    <s v="-"/>
    <s v="-"/>
    <n v="12.09"/>
    <s v="-"/>
    <s v="-"/>
    <s v="-"/>
    <s v="-"/>
    <s v="-"/>
    <s v="-"/>
    <s v="-"/>
    <s v="-"/>
    <s v="P"/>
    <s v="P"/>
    <s v="-"/>
    <s v="-"/>
    <s v="-"/>
    <n v="2"/>
    <n v="1"/>
    <s v="-"/>
    <s v="-"/>
    <s v="-"/>
    <s v="-"/>
    <s v="-"/>
    <s v="-"/>
    <s v="-"/>
    <n v="3"/>
    <n v="3"/>
    <s v="-"/>
    <n v="1"/>
    <n v="1"/>
    <n v="2"/>
    <n v="2"/>
    <n v="5"/>
    <n v="5"/>
  </r>
  <r>
    <x v="7"/>
    <x v="187"/>
    <d v="2026-07-17T00:00:00"/>
    <s v="2ND"/>
    <d v="1899-12-30T19:00:00"/>
    <n v="1"/>
    <x v="20"/>
    <s v="-"/>
    <s v="P"/>
    <s v="P"/>
    <s v="P"/>
    <s v="-"/>
    <s v="-"/>
    <n v="11.78"/>
    <s v="-"/>
    <s v="-"/>
    <s v="-"/>
    <s v="-"/>
    <s v="-"/>
    <s v="-"/>
    <s v="-"/>
    <s v="-"/>
    <s v="P"/>
    <s v="P"/>
    <s v="-"/>
    <s v="-"/>
    <n v="1"/>
    <n v="2"/>
    <n v="1"/>
    <s v="-"/>
    <s v="-"/>
    <s v="-"/>
    <s v="-"/>
    <s v="-"/>
    <s v="-"/>
    <s v="-"/>
    <n v="4"/>
    <n v="4"/>
    <s v="-"/>
    <n v="1"/>
    <n v="1"/>
    <n v="2"/>
    <n v="2"/>
    <n v="6"/>
    <n v="6"/>
  </r>
  <r>
    <x v="7"/>
    <x v="187"/>
    <d v="2026-08-26T00:00:00"/>
    <s v="2ND"/>
    <d v="1899-12-30T20:00:00"/>
    <n v="1"/>
    <x v="38"/>
    <s v="-"/>
    <s v="P"/>
    <s v="P"/>
    <s v="P"/>
    <s v="-"/>
    <s v="-"/>
    <n v="9.8000000000000007"/>
    <s v="-"/>
    <s v="-"/>
    <s v="-"/>
    <s v="-"/>
    <s v="-"/>
    <s v="-"/>
    <s v="-"/>
    <s v="-"/>
    <s v="P"/>
    <s v="P"/>
    <n v="1"/>
    <s v="-"/>
    <n v="1"/>
    <n v="2"/>
    <n v="0"/>
    <s v="-"/>
    <s v="-"/>
    <s v="-"/>
    <s v="-"/>
    <s v="-"/>
    <s v="-"/>
    <s v="-"/>
    <n v="3"/>
    <n v="4"/>
    <s v="-"/>
    <n v="1"/>
    <n v="1"/>
    <n v="2"/>
    <n v="2"/>
    <n v="5"/>
    <n v="6"/>
  </r>
  <r>
    <x v="7"/>
    <x v="187"/>
    <d v="2026-08-26T00:00:00"/>
    <s v="2ND"/>
    <d v="1899-12-30T21:00:00"/>
    <n v="1"/>
    <x v="38"/>
    <s v="-"/>
    <s v="P"/>
    <s v="P"/>
    <s v="P"/>
    <s v="-"/>
    <s v="-"/>
    <n v="9.94"/>
    <s v="-"/>
    <s v="-"/>
    <s v="-"/>
    <s v="-"/>
    <s v="-"/>
    <s v="-"/>
    <s v="-"/>
    <s v="-"/>
    <s v="P"/>
    <s v="P"/>
    <s v="-"/>
    <s v="-"/>
    <n v="1"/>
    <n v="2"/>
    <n v="0"/>
    <s v="-"/>
    <s v="-"/>
    <s v="-"/>
    <s v="-"/>
    <s v="-"/>
    <s v="-"/>
    <s v="-"/>
    <n v="3"/>
    <n v="4"/>
    <s v="-"/>
    <n v="1"/>
    <n v="1"/>
    <n v="2"/>
    <n v="2"/>
    <n v="5"/>
    <n v="6"/>
  </r>
  <r>
    <x v="7"/>
    <x v="187"/>
    <d v="1902-03-26T00:00:00"/>
    <s v="2ND"/>
    <d v="1899-12-30T14:00:00"/>
    <n v="2"/>
    <x v="7"/>
    <s v="-"/>
    <s v="P"/>
    <s v="P"/>
    <s v="P"/>
    <s v="-"/>
    <s v="+"/>
    <n v="10.37"/>
    <n v="10.039999999999999"/>
    <n v="0.6"/>
    <n v="56.4"/>
    <s v="-"/>
    <s v="-"/>
    <n v="27.6"/>
    <s v="-"/>
    <s v="-"/>
    <s v="P"/>
    <s v="P"/>
    <s v="-"/>
    <s v="-"/>
    <n v="1"/>
    <n v="2"/>
    <n v="0"/>
    <n v="1"/>
    <n v="2"/>
    <n v="2"/>
    <s v="-"/>
    <s v="-"/>
    <n v="2"/>
    <s v="-"/>
    <n v="10"/>
    <n v="11"/>
    <s v="-"/>
    <n v="1"/>
    <n v="1"/>
    <n v="2"/>
    <n v="2"/>
    <n v="12"/>
    <n v="13"/>
  </r>
  <r>
    <x v="7"/>
    <x v="187"/>
    <d v="1899-12-30T00:00:00"/>
    <s v="2ND"/>
    <d v="1899-12-30T15:00:00"/>
    <n v="2"/>
    <x v="7"/>
    <s v="-"/>
    <s v="P"/>
    <s v="P"/>
    <s v="P"/>
    <s v="-"/>
    <s v="+"/>
    <n v="10.71"/>
    <s v="-"/>
    <s v="-"/>
    <s v="-"/>
    <s v="-"/>
    <s v="-"/>
    <s v="-"/>
    <s v="-"/>
    <s v="-"/>
    <s v="P"/>
    <s v="P"/>
    <s v="-"/>
    <s v="-"/>
    <n v="1"/>
    <n v="2"/>
    <n v="0"/>
    <s v="-"/>
    <s v="-"/>
    <s v="-"/>
    <s v="-"/>
    <s v="-"/>
    <s v="-"/>
    <s v="-"/>
    <n v="3"/>
    <n v="4"/>
    <s v="-"/>
    <n v="1"/>
    <n v="1"/>
    <n v="2"/>
    <n v="2"/>
    <n v="5"/>
    <n v="6"/>
  </r>
  <r>
    <x v="7"/>
    <x v="187"/>
    <d v="1899-12-30T00:00:00"/>
    <s v="2ND"/>
    <d v="1899-12-30T16:00:00"/>
    <n v="2"/>
    <x v="7"/>
    <s v="-"/>
    <s v="P"/>
    <s v="P"/>
    <s v="P"/>
    <s v="-"/>
    <s v="+"/>
    <n v="10.52"/>
    <s v="-"/>
    <s v="-"/>
    <s v="-"/>
    <s v="-"/>
    <s v="-"/>
    <s v="-"/>
    <s v="-"/>
    <s v="-"/>
    <s v="P"/>
    <s v="P"/>
    <s v="-"/>
    <s v="-"/>
    <n v="1"/>
    <n v="2"/>
    <n v="0"/>
    <s v="-"/>
    <s v="-"/>
    <s v="-"/>
    <s v="-"/>
    <s v="-"/>
    <s v="-"/>
    <s v="-"/>
    <n v="3"/>
    <n v="4"/>
    <s v="-"/>
    <n v="1"/>
    <n v="1"/>
    <n v="2"/>
    <n v="2"/>
    <n v="5"/>
    <n v="6"/>
  </r>
  <r>
    <x v="7"/>
    <x v="187"/>
    <d v="1899-12-30T00:00:00"/>
    <s v="2ND"/>
    <d v="1899-12-30T19:00:00"/>
    <n v="2"/>
    <x v="5"/>
    <s v="-"/>
    <s v="P"/>
    <s v="P"/>
    <s v="P"/>
    <s v="-"/>
    <s v="+"/>
    <n v="10.02"/>
    <n v="8.4"/>
    <n v="0.64"/>
    <n v="56.2"/>
    <s v="-"/>
    <s v="-"/>
    <n v="22.7"/>
    <s v="-"/>
    <s v="-"/>
    <s v="P"/>
    <s v="P"/>
    <s v="-"/>
    <s v="-"/>
    <n v="1"/>
    <n v="2"/>
    <n v="0"/>
    <n v="0"/>
    <n v="0"/>
    <n v="2"/>
    <s v="-"/>
    <s v="-"/>
    <n v="2"/>
    <s v="-"/>
    <n v="7"/>
    <n v="11"/>
    <s v="-"/>
    <n v="1"/>
    <n v="1"/>
    <n v="2"/>
    <n v="2"/>
    <n v="9"/>
    <n v="13"/>
  </r>
  <r>
    <x v="7"/>
    <x v="187"/>
    <d v="1899-12-30T00:00:00"/>
    <s v="2ND"/>
    <d v="1899-12-30T20:00:00"/>
    <n v="2"/>
    <x v="5"/>
    <s v="-"/>
    <s v="P"/>
    <s v="P"/>
    <s v="P"/>
    <s v="-"/>
    <s v="+"/>
    <n v="9.6300000000000008"/>
    <s v="-"/>
    <s v="-"/>
    <s v="-"/>
    <s v="-"/>
    <s v="-"/>
    <s v="-"/>
    <s v="-"/>
    <s v="-"/>
    <s v="P"/>
    <s v="P"/>
    <s v="-"/>
    <s v="-"/>
    <n v="1"/>
    <n v="2"/>
    <n v="0"/>
    <s v="-"/>
    <s v="-"/>
    <s v="-"/>
    <s v="-"/>
    <s v="-"/>
    <s v="-"/>
    <s v="-"/>
    <n v="3"/>
    <n v="4"/>
    <s v="-"/>
    <n v="1"/>
    <n v="1"/>
    <n v="2"/>
    <n v="2"/>
    <n v="5"/>
    <n v="6"/>
  </r>
  <r>
    <x v="7"/>
    <x v="187"/>
    <d v="2026-07-29T00:00:00"/>
    <s v="2ND"/>
    <d v="1899-12-30T14:00:00"/>
    <n v="3"/>
    <x v="1"/>
    <n v="0.01"/>
    <s v="P"/>
    <s v="P"/>
    <s v="P"/>
    <s v="+"/>
    <s v="+"/>
    <n v="12.59"/>
    <n v="12.55"/>
    <n v="0.56999999999999995"/>
    <s v="-"/>
    <s v="-"/>
    <s v="-"/>
    <n v="35"/>
    <s v="-"/>
    <s v="-"/>
    <s v="P"/>
    <s v="P"/>
    <s v="70% 25% 5%"/>
    <n v="2"/>
    <n v="1"/>
    <n v="2"/>
    <n v="1"/>
    <n v="1"/>
    <n v="2"/>
    <s v="-"/>
    <s v="-"/>
    <s v="-"/>
    <n v="2"/>
    <s v="-"/>
    <n v="11"/>
    <n v="11"/>
    <s v="-"/>
    <n v="1"/>
    <n v="1"/>
    <n v="2"/>
    <n v="2"/>
    <n v="13"/>
    <n v="13"/>
  </r>
  <r>
    <x v="7"/>
    <x v="187"/>
    <d v="2026-07-29T00:00:00"/>
    <s v="2ND"/>
    <d v="1899-12-30T15:00:00"/>
    <n v="3"/>
    <x v="1"/>
    <n v="0.01"/>
    <s v="P"/>
    <s v="P"/>
    <s v="P"/>
    <s v="+"/>
    <s v="+"/>
    <n v="12.65"/>
    <s v="-"/>
    <s v="-"/>
    <s v="-"/>
    <s v="-"/>
    <s v="-"/>
    <s v="-"/>
    <s v="-"/>
    <s v="-"/>
    <s v="P"/>
    <s v="P"/>
    <s v="-"/>
    <n v="2"/>
    <n v="1"/>
    <n v="2"/>
    <n v="1"/>
    <s v="-"/>
    <s v="-"/>
    <s v="-"/>
    <s v="-"/>
    <s v="-"/>
    <s v="-"/>
    <s v="-"/>
    <n v="6"/>
    <n v="6"/>
    <s v="-"/>
    <n v="1"/>
    <n v="1"/>
    <n v="2"/>
    <n v="2"/>
    <n v="8"/>
    <n v="8"/>
  </r>
  <r>
    <x v="7"/>
    <x v="187"/>
    <d v="2026-08-25T00:00:00"/>
    <s v="2ND"/>
    <d v="1899-12-30T17:00:00"/>
    <n v="3"/>
    <x v="1"/>
    <s v="-"/>
    <s v="P"/>
    <s v="P"/>
    <s v="P"/>
    <s v="+"/>
    <s v="+"/>
    <n v="12.56"/>
    <s v="-"/>
    <s v="-"/>
    <s v="-"/>
    <s v="-"/>
    <s v="-"/>
    <s v="-"/>
    <s v="-"/>
    <s v="-"/>
    <s v="P"/>
    <s v="P"/>
    <s v="-"/>
    <s v="-"/>
    <n v="1"/>
    <n v="2"/>
    <n v="1"/>
    <s v="-"/>
    <s v="-"/>
    <s v="-"/>
    <s v="-"/>
    <s v="-"/>
    <s v="-"/>
    <s v="-"/>
    <n v="4"/>
    <n v="4"/>
    <s v="-"/>
    <n v="1"/>
    <n v="1"/>
    <n v="2"/>
    <n v="2"/>
    <n v="6"/>
    <n v="6"/>
  </r>
  <r>
    <x v="7"/>
    <x v="187"/>
    <d v="2026-08-25T00:00:00"/>
    <s v="2ND"/>
    <d v="1899-12-30T18:00:00"/>
    <n v="3"/>
    <x v="1"/>
    <s v="-"/>
    <s v="P"/>
    <s v="P"/>
    <s v="P"/>
    <s v="+"/>
    <s v="+"/>
    <n v="12.56"/>
    <s v="-"/>
    <s v="-"/>
    <s v="-"/>
    <s v="-"/>
    <s v="-"/>
    <s v="-"/>
    <s v="-"/>
    <s v="-"/>
    <s v="P"/>
    <s v="P"/>
    <s v="-"/>
    <s v="-"/>
    <n v="1"/>
    <n v="2"/>
    <n v="1"/>
    <s v="-"/>
    <s v="-"/>
    <s v="-"/>
    <s v="-"/>
    <s v="-"/>
    <s v="-"/>
    <s v="-"/>
    <n v="4"/>
    <n v="4"/>
    <s v="-"/>
    <n v="1"/>
    <n v="1"/>
    <n v="2"/>
    <n v="2"/>
    <n v="6"/>
    <n v="6"/>
  </r>
  <r>
    <x v="7"/>
    <x v="187"/>
    <d v="2026-08-25T00:00:00"/>
    <s v="2ND"/>
    <d v="1899-12-30T20:00:00"/>
    <n v="3"/>
    <x v="1"/>
    <s v="-"/>
    <s v="P"/>
    <s v="P"/>
    <s v="P"/>
    <s v="+"/>
    <s v="+"/>
    <n v="12.42"/>
    <s v="-"/>
    <n v="0.54"/>
    <n v="63.9"/>
    <s v="-"/>
    <s v="-"/>
    <n v="33.799999999999997"/>
    <s v="-"/>
    <s v="-"/>
    <s v="P"/>
    <s v="P"/>
    <s v="-"/>
    <s v="-"/>
    <n v="1"/>
    <n v="2"/>
    <n v="1"/>
    <s v="-"/>
    <n v="2"/>
    <n v="0"/>
    <s v="-"/>
    <s v="-"/>
    <n v="2"/>
    <s v="-"/>
    <n v="8"/>
    <n v="10"/>
    <s v="-"/>
    <n v="1"/>
    <n v="1"/>
    <n v="2"/>
    <n v="2"/>
    <n v="10"/>
    <n v="12"/>
  </r>
  <r>
    <x v="7"/>
    <x v="187"/>
    <d v="2026-08-25T00:00:00"/>
    <s v="2ND"/>
    <d v="1899-12-30T21:00:00"/>
    <n v="3"/>
    <x v="1"/>
    <s v="-"/>
    <s v="P"/>
    <s v="P"/>
    <s v="P"/>
    <s v="+"/>
    <s v="+"/>
    <n v="12.2"/>
    <s v="-"/>
    <s v="-"/>
    <s v="-"/>
    <s v="-"/>
    <s v="-"/>
    <s v="-"/>
    <s v="-"/>
    <s v="-"/>
    <s v="P"/>
    <s v="P"/>
    <s v="-"/>
    <s v="-"/>
    <n v="1"/>
    <n v="2"/>
    <n v="1"/>
    <s v="-"/>
    <s v="-"/>
    <s v="-"/>
    <s v="-"/>
    <s v="-"/>
    <s v="-"/>
    <s v="-"/>
    <n v="4"/>
    <n v="4"/>
    <s v="-"/>
    <n v="1"/>
    <n v="1"/>
    <n v="2"/>
    <n v="2"/>
    <n v="6"/>
    <n v="6"/>
  </r>
  <r>
    <x v="7"/>
    <x v="187"/>
    <d v="2026-08-15T00:00:00"/>
    <s v="2ND"/>
    <d v="1899-12-30T16:00:00"/>
    <s v="Retail"/>
    <x v="25"/>
    <s v="-"/>
    <s v="P"/>
    <s v="P"/>
    <s v="P"/>
    <s v="-"/>
    <s v="-"/>
    <n v="12.17"/>
    <s v="-"/>
    <s v="-"/>
    <s v="-"/>
    <s v="-"/>
    <s v="-"/>
    <s v="-"/>
    <s v="-"/>
    <s v="-"/>
    <s v="-"/>
    <s v="-"/>
    <s v="-"/>
    <s v="-"/>
    <n v="1"/>
    <n v="2"/>
    <n v="1"/>
    <s v="-"/>
    <s v="-"/>
    <s v="-"/>
    <s v="-"/>
    <s v="-"/>
    <s v="-"/>
    <s v="-"/>
    <n v="4"/>
    <n v="4"/>
    <s v="-"/>
    <s v="-"/>
    <s v="-"/>
    <n v="0"/>
    <n v="0"/>
    <n v="4"/>
    <n v="4"/>
  </r>
  <r>
    <x v="7"/>
    <x v="187"/>
    <d v="2026-08-26T00:00:00"/>
    <s v="3RD"/>
    <d v="1899-12-30T22:00:00"/>
    <n v="1"/>
    <x v="38"/>
    <s v="-"/>
    <s v="P"/>
    <s v="P"/>
    <s v="P"/>
    <s v="-"/>
    <s v="-"/>
    <n v="10.02"/>
    <n v="9.43"/>
    <n v="0.56999999999999995"/>
    <s v="-"/>
    <s v="-"/>
    <s v="-"/>
    <n v="25.6"/>
    <s v="-"/>
    <s v="-"/>
    <s v="P"/>
    <s v="P"/>
    <n v="1"/>
    <s v="-"/>
    <n v="1"/>
    <n v="2"/>
    <n v="0"/>
    <n v="1"/>
    <n v="2"/>
    <s v="-"/>
    <s v="-"/>
    <s v="-"/>
    <n v="2"/>
    <s v="-"/>
    <n v="8"/>
    <n v="9"/>
    <s v="-"/>
    <n v="1"/>
    <n v="1"/>
    <n v="2"/>
    <n v="2"/>
    <n v="10"/>
    <n v="11"/>
  </r>
  <r>
    <x v="7"/>
    <x v="187"/>
    <d v="2026-08-26T00:00:00"/>
    <s v="3RD"/>
    <d v="1899-12-30T23:00:00"/>
    <n v="1"/>
    <x v="38"/>
    <s v="-"/>
    <s v="P"/>
    <s v="P"/>
    <s v="P"/>
    <s v="-"/>
    <s v="-"/>
    <n v="9.94"/>
    <s v="-"/>
    <s v="-"/>
    <s v="-"/>
    <s v="-"/>
    <s v="-"/>
    <s v="-"/>
    <s v="-"/>
    <s v="-"/>
    <s v="P"/>
    <s v="P"/>
    <s v="-"/>
    <s v="-"/>
    <n v="1"/>
    <n v="2"/>
    <n v="0"/>
    <s v="-"/>
    <s v="-"/>
    <s v="-"/>
    <s v="-"/>
    <s v="-"/>
    <s v="-"/>
    <s v="-"/>
    <n v="3"/>
    <n v="4"/>
    <s v="-"/>
    <n v="1"/>
    <n v="1"/>
    <n v="2"/>
    <n v="2"/>
    <n v="5"/>
    <n v="6"/>
  </r>
  <r>
    <x v="7"/>
    <x v="187"/>
    <d v="2026-08-26T00:00:00"/>
    <s v="3RD"/>
    <d v="1899-12-31T00:00:00"/>
    <n v="1"/>
    <x v="38"/>
    <s v="-"/>
    <s v="P"/>
    <s v="P"/>
    <s v="P"/>
    <s v="-"/>
    <s v="-"/>
    <n v="9.84"/>
    <s v="-"/>
    <s v="-"/>
    <s v="-"/>
    <s v="-"/>
    <s v="-"/>
    <s v="-"/>
    <s v="-"/>
    <s v="-"/>
    <s v="P"/>
    <s v="P"/>
    <s v="-"/>
    <s v="-"/>
    <n v="1"/>
    <n v="2"/>
    <n v="0"/>
    <s v="-"/>
    <s v="-"/>
    <s v="-"/>
    <s v="-"/>
    <s v="-"/>
    <s v="-"/>
    <s v="-"/>
    <n v="3"/>
    <n v="4"/>
    <s v="-"/>
    <n v="1"/>
    <n v="1"/>
    <n v="2"/>
    <n v="2"/>
    <n v="5"/>
    <n v="6"/>
  </r>
  <r>
    <x v="7"/>
    <x v="187"/>
    <d v="2026-08-26T00:00:00"/>
    <s v="3RD"/>
    <d v="1899-12-31T01:00:00"/>
    <n v="1"/>
    <x v="38"/>
    <s v="-"/>
    <s v="P"/>
    <s v="P"/>
    <s v="P"/>
    <s v="-"/>
    <s v="-"/>
    <n v="9.5399999999999991"/>
    <s v="-"/>
    <s v="-"/>
    <s v="-"/>
    <s v="-"/>
    <s v="-"/>
    <s v="-"/>
    <s v="-"/>
    <s v="-"/>
    <s v="P"/>
    <s v="P"/>
    <s v="-"/>
    <s v="-"/>
    <n v="1"/>
    <n v="2"/>
    <n v="0"/>
    <s v="-"/>
    <s v="-"/>
    <s v="-"/>
    <s v="-"/>
    <s v="-"/>
    <s v="-"/>
    <s v="-"/>
    <n v="3"/>
    <n v="4"/>
    <s v="-"/>
    <n v="1"/>
    <n v="1"/>
    <n v="2"/>
    <n v="2"/>
    <n v="5"/>
    <n v="6"/>
  </r>
  <r>
    <x v="7"/>
    <x v="187"/>
    <d v="2026-08-26T00:00:00"/>
    <s v="3RD"/>
    <d v="1899-12-31T02:00:00"/>
    <n v="1"/>
    <x v="38"/>
    <s v="-"/>
    <s v="-"/>
    <s v="P"/>
    <s v="P"/>
    <s v="-"/>
    <s v="-"/>
    <n v="9.43"/>
    <s v="-"/>
    <s v="-"/>
    <s v="-"/>
    <s v="-"/>
    <s v="-"/>
    <s v="-"/>
    <s v="-"/>
    <s v="-"/>
    <s v="P"/>
    <s v="P"/>
    <s v="-"/>
    <s v="-"/>
    <s v="-"/>
    <n v="2"/>
    <n v="0"/>
    <s v="-"/>
    <s v="-"/>
    <s v="-"/>
    <s v="-"/>
    <s v="-"/>
    <s v="-"/>
    <s v="-"/>
    <n v="2"/>
    <n v="3"/>
    <s v="-"/>
    <n v="1"/>
    <n v="1"/>
    <n v="2"/>
    <n v="2"/>
    <n v="4"/>
    <n v="5"/>
  </r>
  <r>
    <x v="7"/>
    <x v="187"/>
    <d v="2026-08-26T00:00:00"/>
    <s v="3RD"/>
    <d v="1899-12-31T04:00:00"/>
    <n v="1"/>
    <x v="38"/>
    <s v="-"/>
    <s v="P"/>
    <s v="P"/>
    <s v="P"/>
    <s v="-"/>
    <s v="-"/>
    <n v="9.43"/>
    <s v="-"/>
    <s v="-"/>
    <s v="-"/>
    <s v="-"/>
    <s v="-"/>
    <s v="-"/>
    <s v="-"/>
    <s v="-"/>
    <s v="P"/>
    <s v="P"/>
    <s v="-"/>
    <s v="-"/>
    <n v="1"/>
    <n v="2"/>
    <n v="0"/>
    <s v="-"/>
    <s v="-"/>
    <s v="-"/>
    <s v="-"/>
    <s v="-"/>
    <s v="-"/>
    <s v="-"/>
    <n v="3"/>
    <n v="4"/>
    <s v="-"/>
    <n v="1"/>
    <n v="1"/>
    <n v="2"/>
    <n v="2"/>
    <n v="5"/>
    <n v="6"/>
  </r>
  <r>
    <x v="7"/>
    <x v="187"/>
    <d v="1902-03-26T00:00:00"/>
    <s v="3RD"/>
    <d v="1899-12-30T22:00:00"/>
    <n v="2"/>
    <x v="5"/>
    <n v="0.01"/>
    <s v="P"/>
    <s v="P"/>
    <s v="P"/>
    <s v="-"/>
    <s v="+"/>
    <n v="9.43"/>
    <n v="9.43"/>
    <n v="0.55000000000000004"/>
    <s v="-"/>
    <s v="-"/>
    <s v="-"/>
    <n v="22.3"/>
    <s v="-"/>
    <s v="-"/>
    <s v="P"/>
    <s v="P"/>
    <s v="-"/>
    <n v="2"/>
    <n v="1"/>
    <n v="2"/>
    <n v="0"/>
    <n v="1"/>
    <n v="2"/>
    <s v="-"/>
    <s v="-"/>
    <s v="-"/>
    <n v="2"/>
    <s v="-"/>
    <n v="10"/>
    <n v="11"/>
    <s v="-"/>
    <n v="1"/>
    <n v="1"/>
    <n v="2"/>
    <n v="2"/>
    <n v="12"/>
    <n v="13"/>
  </r>
  <r>
    <x v="7"/>
    <x v="187"/>
    <d v="1899-12-30T00:00:00"/>
    <s v="3RD"/>
    <d v="1899-12-30T23:00:00"/>
    <n v="2"/>
    <x v="5"/>
    <s v="-"/>
    <s v="P"/>
    <s v="P"/>
    <s v="P"/>
    <s v="-"/>
    <s v="+"/>
    <n v="9.36"/>
    <s v="-"/>
    <s v="-"/>
    <s v="-"/>
    <s v="-"/>
    <s v="-"/>
    <s v="-"/>
    <s v="-"/>
    <s v="-"/>
    <s v="P"/>
    <s v="P"/>
    <n v="1"/>
    <s v="-"/>
    <n v="1"/>
    <n v="2"/>
    <n v="0"/>
    <s v="-"/>
    <s v="-"/>
    <s v="-"/>
    <s v="-"/>
    <s v="-"/>
    <s v="-"/>
    <s v="-"/>
    <n v="3"/>
    <n v="4"/>
    <s v="-"/>
    <n v="1"/>
    <n v="1"/>
    <n v="2"/>
    <n v="2"/>
    <n v="5"/>
    <n v="6"/>
  </r>
  <r>
    <x v="7"/>
    <x v="187"/>
    <d v="1899-12-30T00:00:00"/>
    <s v="3RD"/>
    <d v="1899-12-31T00:00:00"/>
    <n v="2"/>
    <x v="4"/>
    <s v="-"/>
    <s v="P"/>
    <s v="P"/>
    <s v="P"/>
    <s v="-"/>
    <s v="+"/>
    <n v="9.5299999999999994"/>
    <s v="-"/>
    <s v="-"/>
    <s v="-"/>
    <s v="-"/>
    <s v="-"/>
    <s v="-"/>
    <s v="-"/>
    <s v="-"/>
    <s v="P"/>
    <s v="P"/>
    <s v="-"/>
    <s v="-"/>
    <n v="1"/>
    <n v="2"/>
    <n v="0"/>
    <s v="-"/>
    <s v="-"/>
    <s v="-"/>
    <s v="-"/>
    <s v="-"/>
    <s v="-"/>
    <s v="-"/>
    <n v="3"/>
    <n v="4"/>
    <s v="-"/>
    <n v="1"/>
    <n v="1"/>
    <n v="2"/>
    <n v="2"/>
    <n v="5"/>
    <n v="6"/>
  </r>
  <r>
    <x v="7"/>
    <x v="187"/>
    <d v="1899-12-30T00:00:00"/>
    <s v="3RD"/>
    <d v="1899-12-31T02:00:00"/>
    <n v="2"/>
    <x v="14"/>
    <s v="-"/>
    <s v="P"/>
    <s v="P"/>
    <s v="P"/>
    <s v="-"/>
    <s v="+"/>
    <n v="10.56"/>
    <n v="8.11"/>
    <s v="-"/>
    <n v="58.2"/>
    <s v="-"/>
    <s v="-"/>
    <n v="21.7"/>
    <s v="-"/>
    <s v="-"/>
    <s v="P"/>
    <s v="P"/>
    <s v="-"/>
    <s v="-"/>
    <n v="1"/>
    <n v="2"/>
    <n v="0"/>
    <n v="0"/>
    <s v="-"/>
    <n v="2"/>
    <s v="-"/>
    <s v="-"/>
    <n v="2"/>
    <s v="-"/>
    <n v="7"/>
    <n v="9"/>
    <s v="-"/>
    <n v="1"/>
    <n v="1"/>
    <n v="2"/>
    <n v="2"/>
    <n v="9"/>
    <n v="11"/>
  </r>
  <r>
    <x v="7"/>
    <x v="187"/>
    <d v="1899-12-30T00:00:00"/>
    <s v="3RD"/>
    <d v="1899-12-31T04:00:00"/>
    <n v="2"/>
    <x v="14"/>
    <s v="-"/>
    <s v="P"/>
    <s v="P"/>
    <s v="P"/>
    <s v="-"/>
    <s v="+"/>
    <n v="10.48"/>
    <s v="-"/>
    <s v="-"/>
    <s v="-"/>
    <s v="-"/>
    <s v="-"/>
    <s v="-"/>
    <s v="-"/>
    <s v="-"/>
    <s v="P"/>
    <s v="P"/>
    <s v="-"/>
    <s v="-"/>
    <n v="1"/>
    <n v="2"/>
    <n v="0"/>
    <s v="-"/>
    <s v="-"/>
    <s v="-"/>
    <s v="-"/>
    <s v="-"/>
    <s v="-"/>
    <s v="-"/>
    <n v="3"/>
    <n v="4"/>
    <s v="-"/>
    <n v="1"/>
    <n v="1"/>
    <n v="2"/>
    <n v="2"/>
    <n v="5"/>
    <n v="6"/>
  </r>
  <r>
    <x v="7"/>
    <x v="187"/>
    <d v="2026-08-25T00:00:00"/>
    <s v="3RD"/>
    <d v="1899-12-30T22:00:00"/>
    <n v="3"/>
    <x v="1"/>
    <s v="-"/>
    <s v="P"/>
    <s v="P"/>
    <s v="P"/>
    <s v="+"/>
    <s v="+"/>
    <n v="12.35"/>
    <n v="12.86"/>
    <n v="0.54"/>
    <s v="-"/>
    <s v="-"/>
    <s v="-"/>
    <n v="35.9"/>
    <s v="-"/>
    <s v="-"/>
    <s v="P"/>
    <s v="P"/>
    <s v="-"/>
    <s v="-"/>
    <n v="1"/>
    <n v="2"/>
    <n v="1"/>
    <n v="1"/>
    <n v="2"/>
    <s v="-"/>
    <s v="-"/>
    <s v="-"/>
    <n v="2"/>
    <s v="-"/>
    <n v="9"/>
    <n v="9"/>
    <s v="-"/>
    <n v="1"/>
    <n v="1"/>
    <n v="2"/>
    <n v="2"/>
    <n v="11"/>
    <n v="11"/>
  </r>
  <r>
    <x v="7"/>
    <x v="187"/>
    <d v="2026-08-25T00:00:00"/>
    <s v="3RD"/>
    <d v="1899-12-30T23:00:00"/>
    <n v="3"/>
    <x v="1"/>
    <s v="-"/>
    <s v="P"/>
    <s v="P"/>
    <s v="P"/>
    <s v="+"/>
    <s v="+"/>
    <n v="12.17"/>
    <s v="-"/>
    <s v="-"/>
    <s v="-"/>
    <s v="-"/>
    <s v="-"/>
    <s v="-"/>
    <s v="-"/>
    <s v="-"/>
    <s v="P"/>
    <s v="P"/>
    <s v="-"/>
    <s v="-"/>
    <n v="1"/>
    <n v="2"/>
    <n v="1"/>
    <s v="-"/>
    <s v="-"/>
    <s v="-"/>
    <s v="-"/>
    <s v="-"/>
    <s v="-"/>
    <s v="-"/>
    <n v="4"/>
    <n v="4"/>
    <s v="-"/>
    <n v="1"/>
    <n v="1"/>
    <n v="2"/>
    <n v="2"/>
    <n v="6"/>
    <n v="6"/>
  </r>
  <r>
    <x v="7"/>
    <x v="187"/>
    <d v="2026-08-25T00:00:00"/>
    <s v="3RD"/>
    <d v="1899-12-31T00:00:00"/>
    <n v="3"/>
    <x v="1"/>
    <n v="0.01"/>
    <s v="P"/>
    <s v="P"/>
    <s v="P"/>
    <s v="+"/>
    <s v="+"/>
    <n v="11.3"/>
    <s v="-"/>
    <s v="-"/>
    <s v="-"/>
    <s v="-"/>
    <s v="-"/>
    <s v="-"/>
    <s v="-"/>
    <s v="-"/>
    <s v="P"/>
    <s v="P"/>
    <s v="-"/>
    <n v="2"/>
    <n v="1"/>
    <n v="2"/>
    <n v="0"/>
    <s v="-"/>
    <s v="-"/>
    <s v="-"/>
    <s v="-"/>
    <s v="-"/>
    <s v="-"/>
    <s v="-"/>
    <n v="5"/>
    <n v="6"/>
    <s v="-"/>
    <n v="1"/>
    <n v="1"/>
    <n v="2"/>
    <n v="2"/>
    <n v="7"/>
    <n v="8"/>
  </r>
  <r>
    <x v="7"/>
    <x v="187"/>
    <d v="2026-08-25T00:00:00"/>
    <s v="3RD"/>
    <d v="1899-12-31T01:00:00"/>
    <n v="3"/>
    <x v="1"/>
    <n v="0.01"/>
    <s v="P"/>
    <s v="P"/>
    <s v="P"/>
    <s v="+"/>
    <s v="+"/>
    <n v="12.12"/>
    <s v="-"/>
    <s v="-"/>
    <s v="-"/>
    <s v="-"/>
    <s v="-"/>
    <s v="-"/>
    <s v="-"/>
    <s v="-"/>
    <s v="P"/>
    <s v="P"/>
    <s v="-"/>
    <n v="2"/>
    <n v="1"/>
    <n v="2"/>
    <n v="1"/>
    <s v="-"/>
    <s v="-"/>
    <s v="-"/>
    <s v="-"/>
    <s v="-"/>
    <s v="-"/>
    <s v="-"/>
    <n v="6"/>
    <n v="6"/>
    <s v="-"/>
    <n v="1"/>
    <n v="1"/>
    <n v="2"/>
    <n v="2"/>
    <n v="8"/>
    <n v="8"/>
  </r>
  <r>
    <x v="7"/>
    <x v="187"/>
    <d v="2026-08-25T00:00:00"/>
    <s v="3RD"/>
    <d v="1899-12-31T04:00:00"/>
    <n v="3"/>
    <x v="1"/>
    <n v="0.01"/>
    <s v="P"/>
    <s v="P"/>
    <s v="P"/>
    <s v="+"/>
    <s v="+"/>
    <n v="12.2"/>
    <s v="-"/>
    <s v="-"/>
    <s v="-"/>
    <s v="-"/>
    <s v="-"/>
    <s v="-"/>
    <s v="-"/>
    <s v="-"/>
    <s v="P"/>
    <s v="P"/>
    <s v="-"/>
    <n v="2"/>
    <n v="1"/>
    <n v="2"/>
    <n v="1"/>
    <s v="-"/>
    <s v="-"/>
    <s v="-"/>
    <s v="-"/>
    <s v="-"/>
    <s v="-"/>
    <s v="-"/>
    <n v="6"/>
    <n v="6"/>
    <s v="-"/>
    <n v="1"/>
    <n v="1"/>
    <n v="2"/>
    <n v="2"/>
    <n v="8"/>
    <n v="8"/>
  </r>
  <r>
    <x v="7"/>
    <x v="187"/>
    <d v="2026-08-25T00:00:00"/>
    <s v="3RD"/>
    <d v="1899-12-31T05:00:00"/>
    <n v="3"/>
    <x v="1"/>
    <s v="-"/>
    <s v="P"/>
    <s v="P"/>
    <s v="P"/>
    <s v="+"/>
    <s v="+"/>
    <n v="12.12"/>
    <s v="-"/>
    <s v="-"/>
    <s v="-"/>
    <s v="-"/>
    <s v="-"/>
    <s v="-"/>
    <s v="-"/>
    <s v="-"/>
    <s v="P"/>
    <s v="P"/>
    <s v="-"/>
    <s v="-"/>
    <n v="1"/>
    <n v="2"/>
    <n v="1"/>
    <s v="-"/>
    <s v="-"/>
    <s v="-"/>
    <s v="-"/>
    <s v="-"/>
    <s v="-"/>
    <s v="-"/>
    <n v="4"/>
    <n v="4"/>
    <s v="-"/>
    <n v="1"/>
    <n v="1"/>
    <n v="2"/>
    <n v="2"/>
    <n v="6"/>
    <n v="6"/>
  </r>
  <r>
    <x v="7"/>
    <x v="188"/>
    <d v="2026-08-26T00:00:00"/>
    <s v="1ST"/>
    <s v="06:00"/>
    <n v="1"/>
    <x v="38"/>
    <n v="0.02"/>
    <s v="P"/>
    <s v="P"/>
    <s v="P"/>
    <s v="-"/>
    <s v="-"/>
    <n v="9.48"/>
    <n v="8.1"/>
    <n v="0.59"/>
    <n v="55.6"/>
    <s v="-"/>
    <s v="-"/>
    <n v="21.8"/>
    <s v="-"/>
    <n v="25.16"/>
    <s v="P"/>
    <s v="P"/>
    <s v="-"/>
    <n v="2"/>
    <n v="1"/>
    <n v="2"/>
    <n v="0"/>
    <n v="0"/>
    <n v="2"/>
    <n v="2"/>
    <s v="-"/>
    <s v="-"/>
    <n v="2"/>
    <s v="-"/>
    <n v="11"/>
    <n v="13"/>
    <n v="1"/>
    <n v="1"/>
    <n v="1"/>
    <n v="3"/>
    <n v="3"/>
    <n v="14"/>
    <n v="16"/>
  </r>
  <r>
    <x v="7"/>
    <x v="188"/>
    <d v="2026-08-26T00:00:00"/>
    <s v="1ST"/>
    <s v="07:00"/>
    <n v="1"/>
    <x v="38"/>
    <n v="0.01"/>
    <s v="P"/>
    <s v="P"/>
    <s v="P"/>
    <s v="-"/>
    <s v="-"/>
    <n v="9.26"/>
    <s v="-"/>
    <s v="-"/>
    <s v="-"/>
    <s v="-"/>
    <s v="-"/>
    <s v="-"/>
    <s v="-"/>
    <s v="-"/>
    <s v="P"/>
    <s v="P"/>
    <s v="-"/>
    <n v="2"/>
    <n v="1"/>
    <n v="2"/>
    <n v="0"/>
    <s v="-"/>
    <s v="-"/>
    <s v="-"/>
    <s v="-"/>
    <s v="-"/>
    <s v="-"/>
    <s v="-"/>
    <n v="5"/>
    <n v="6"/>
    <s v="-"/>
    <n v="1"/>
    <n v="1"/>
    <n v="2"/>
    <n v="2"/>
    <n v="7"/>
    <n v="8"/>
  </r>
  <r>
    <x v="7"/>
    <x v="188"/>
    <d v="2026-08-26T00:00:00"/>
    <s v="1ST"/>
    <s v="08:00"/>
    <n v="1"/>
    <x v="38"/>
    <n v="0.01"/>
    <s v="P"/>
    <s v="P"/>
    <s v="P"/>
    <s v="-"/>
    <s v="-"/>
    <n v="9.2899999999999991"/>
    <s v="-"/>
    <s v="-"/>
    <s v="-"/>
    <s v="-"/>
    <s v="-"/>
    <s v="-"/>
    <s v="-"/>
    <s v="-"/>
    <s v="P"/>
    <s v="P"/>
    <s v="-"/>
    <n v="2"/>
    <n v="1"/>
    <n v="2"/>
    <n v="0"/>
    <s v="-"/>
    <s v="-"/>
    <s v="-"/>
    <s v="-"/>
    <s v="-"/>
    <s v="-"/>
    <s v="-"/>
    <n v="5"/>
    <n v="6"/>
    <s v="-"/>
    <n v="1"/>
    <n v="1"/>
    <n v="2"/>
    <n v="2"/>
    <n v="7"/>
    <n v="8"/>
  </r>
  <r>
    <x v="7"/>
    <x v="188"/>
    <d v="2026-08-26T00:00:00"/>
    <s v="1ST"/>
    <s v="09:00"/>
    <n v="1"/>
    <x v="38"/>
    <n v="0.04"/>
    <s v="P"/>
    <s v="P"/>
    <s v="P"/>
    <s v="-"/>
    <s v="-"/>
    <n v="9.27"/>
    <s v="-"/>
    <s v="-"/>
    <s v="-"/>
    <s v="-"/>
    <s v="-"/>
    <s v="-"/>
    <s v="-"/>
    <s v="-"/>
    <s v="P"/>
    <s v="P"/>
    <s v="-"/>
    <n v="0"/>
    <n v="1"/>
    <n v="2"/>
    <n v="0"/>
    <s v="-"/>
    <s v="-"/>
    <s v="-"/>
    <s v="-"/>
    <s v="-"/>
    <s v="-"/>
    <s v="-"/>
    <n v="3"/>
    <n v="6"/>
    <s v="-"/>
    <n v="1"/>
    <n v="1"/>
    <n v="2"/>
    <n v="2"/>
    <n v="5"/>
    <n v="8"/>
  </r>
  <r>
    <x v="7"/>
    <x v="188"/>
    <d v="2026-08-26T00:00:00"/>
    <s v="1ST"/>
    <s v="10:00"/>
    <n v="1"/>
    <x v="38"/>
    <n v="0.01"/>
    <s v="-"/>
    <s v="P"/>
    <s v="P"/>
    <s v="-"/>
    <s v="-"/>
    <n v="9.09"/>
    <s v="-"/>
    <s v="-"/>
    <s v="-"/>
    <s v="-"/>
    <s v="-"/>
    <s v="-"/>
    <s v="-"/>
    <s v="-"/>
    <s v="P"/>
    <s v="P"/>
    <s v="-"/>
    <n v="2"/>
    <s v="-"/>
    <n v="2"/>
    <n v="0"/>
    <s v="-"/>
    <s v="-"/>
    <s v="-"/>
    <s v="-"/>
    <s v="-"/>
    <s v="-"/>
    <s v="-"/>
    <n v="4"/>
    <n v="5"/>
    <s v="-"/>
    <n v="1"/>
    <n v="1"/>
    <n v="2"/>
    <n v="2"/>
    <n v="6"/>
    <n v="7"/>
  </r>
  <r>
    <x v="7"/>
    <x v="188"/>
    <d v="2026-08-26T00:00:00"/>
    <s v="1ST"/>
    <s v="11:00"/>
    <n v="1"/>
    <x v="38"/>
    <n v="0.04"/>
    <s v="P"/>
    <s v="P"/>
    <s v="P"/>
    <s v="-"/>
    <s v="-"/>
    <n v="9.75"/>
    <s v="-"/>
    <s v="-"/>
    <s v="-"/>
    <s v="-"/>
    <s v="-"/>
    <s v="-"/>
    <s v="-"/>
    <s v="-"/>
    <s v="P"/>
    <s v="P"/>
    <s v="-"/>
    <n v="0"/>
    <n v="1"/>
    <n v="2"/>
    <n v="0"/>
    <s v="-"/>
    <s v="-"/>
    <s v="-"/>
    <s v="-"/>
    <s v="-"/>
    <s v="-"/>
    <s v="-"/>
    <n v="3"/>
    <n v="6"/>
    <s v="-"/>
    <n v="1"/>
    <n v="1"/>
    <n v="2"/>
    <n v="2"/>
    <n v="5"/>
    <n v="8"/>
  </r>
  <r>
    <x v="7"/>
    <x v="188"/>
    <d v="2026-08-27T00:00:00"/>
    <s v="1ST"/>
    <s v="13:00"/>
    <n v="1"/>
    <x v="38"/>
    <s v="-"/>
    <s v="P"/>
    <s v="P"/>
    <s v="P"/>
    <s v="-"/>
    <s v="-"/>
    <n v="9.4499999999999993"/>
    <s v="-"/>
    <s v="-"/>
    <s v="-"/>
    <s v="-"/>
    <s v="-"/>
    <s v="-"/>
    <s v="-"/>
    <s v="-"/>
    <s v="P"/>
    <s v="P"/>
    <s v="-"/>
    <s v="-"/>
    <n v="1"/>
    <n v="2"/>
    <n v="0"/>
    <s v="-"/>
    <s v="-"/>
    <s v="-"/>
    <s v="-"/>
    <s v="-"/>
    <s v="-"/>
    <s v="-"/>
    <n v="3"/>
    <n v="4"/>
    <s v="-"/>
    <n v="1"/>
    <n v="1"/>
    <n v="2"/>
    <n v="2"/>
    <n v="5"/>
    <n v="6"/>
  </r>
  <r>
    <x v="7"/>
    <x v="188"/>
    <d v="1902-03-27T00:00:00"/>
    <s v="1ST"/>
    <s v="06:00"/>
    <n v="2"/>
    <x v="14"/>
    <s v="-"/>
    <s v="P"/>
    <s v="P"/>
    <s v="P"/>
    <s v="-"/>
    <s v="+"/>
    <n v="10.47"/>
    <n v="10.15"/>
    <n v="0.6"/>
    <n v="56"/>
    <s v="-"/>
    <s v="-"/>
    <n v="28"/>
    <s v="-"/>
    <n v="25.19"/>
    <s v="P"/>
    <s v="P"/>
    <s v="-"/>
    <s v="-"/>
    <n v="1"/>
    <n v="2"/>
    <n v="0"/>
    <n v="1"/>
    <n v="2"/>
    <n v="2"/>
    <s v="-"/>
    <s v="-"/>
    <n v="0"/>
    <s v="-"/>
    <n v="8"/>
    <n v="11"/>
    <n v="1"/>
    <n v="1"/>
    <n v="1"/>
    <n v="3"/>
    <n v="3"/>
    <n v="11"/>
    <n v="14"/>
  </r>
  <r>
    <x v="7"/>
    <x v="188"/>
    <d v="1899-12-30T00:00:00"/>
    <s v="1ST"/>
    <s v="07:00"/>
    <n v="2"/>
    <x v="14"/>
    <s v="-"/>
    <s v="P"/>
    <s v="P"/>
    <s v="P"/>
    <s v="-"/>
    <s v="+"/>
    <n v="10.44"/>
    <s v="-"/>
    <s v="-"/>
    <s v="-"/>
    <s v="-"/>
    <s v="-"/>
    <s v="-"/>
    <s v="-"/>
    <s v="-"/>
    <s v="P"/>
    <s v="P"/>
    <s v="-"/>
    <s v="-"/>
    <n v="1"/>
    <n v="2"/>
    <n v="0"/>
    <s v="-"/>
    <s v="-"/>
    <s v="-"/>
    <s v="-"/>
    <s v="-"/>
    <s v="-"/>
    <s v="-"/>
    <n v="3"/>
    <n v="4"/>
    <s v="-"/>
    <n v="1"/>
    <n v="1"/>
    <n v="2"/>
    <n v="2"/>
    <n v="5"/>
    <n v="6"/>
  </r>
  <r>
    <x v="7"/>
    <x v="188"/>
    <d v="1899-12-30T00:00:00"/>
    <s v="1ST"/>
    <s v="08:00"/>
    <n v="2"/>
    <x v="14"/>
    <s v="-"/>
    <s v="P"/>
    <s v="P"/>
    <s v="P"/>
    <s v="-"/>
    <s v="+"/>
    <n v="10.48"/>
    <s v="-"/>
    <s v="-"/>
    <s v="-"/>
    <s v="-"/>
    <s v="-"/>
    <s v="-"/>
    <s v="-"/>
    <s v="-"/>
    <s v="P"/>
    <s v="P"/>
    <s v="-"/>
    <s v="-"/>
    <n v="1"/>
    <n v="2"/>
    <n v="0"/>
    <s v="-"/>
    <s v="-"/>
    <s v="-"/>
    <s v="-"/>
    <s v="-"/>
    <s v="-"/>
    <s v="-"/>
    <n v="3"/>
    <n v="4"/>
    <s v="-"/>
    <n v="1"/>
    <n v="1"/>
    <n v="2"/>
    <n v="2"/>
    <n v="5"/>
    <n v="6"/>
  </r>
  <r>
    <x v="7"/>
    <x v="188"/>
    <d v="1899-12-30T00:00:00"/>
    <s v="1ST"/>
    <s v="09:00"/>
    <n v="2"/>
    <x v="14"/>
    <n v="0.01"/>
    <s v="P"/>
    <s v="P"/>
    <s v="P"/>
    <s v="-"/>
    <s v="+"/>
    <n v="10.54"/>
    <s v="-"/>
    <s v="-"/>
    <s v="-"/>
    <s v="-"/>
    <s v="-"/>
    <s v="-"/>
    <s v="-"/>
    <s v="-"/>
    <s v="P"/>
    <s v="P"/>
    <s v="-"/>
    <n v="2"/>
    <n v="1"/>
    <n v="2"/>
    <n v="0"/>
    <s v="-"/>
    <s v="-"/>
    <s v="-"/>
    <s v="-"/>
    <s v="-"/>
    <s v="-"/>
    <s v="-"/>
    <n v="5"/>
    <n v="6"/>
    <s v="-"/>
    <n v="1"/>
    <n v="1"/>
    <n v="2"/>
    <n v="2"/>
    <n v="7"/>
    <n v="8"/>
  </r>
  <r>
    <x v="7"/>
    <x v="188"/>
    <d v="1899-12-30T00:00:00"/>
    <s v="1ST"/>
    <s v="10:00"/>
    <n v="2"/>
    <x v="14"/>
    <n v="0.01"/>
    <s v="P"/>
    <s v="P"/>
    <s v="P"/>
    <s v="-"/>
    <s v="+"/>
    <n v="10.35"/>
    <s v="-"/>
    <s v="-"/>
    <s v="-"/>
    <s v="-"/>
    <s v="-"/>
    <s v="-"/>
    <s v="-"/>
    <s v="-"/>
    <s v="P"/>
    <s v="P"/>
    <s v="-"/>
    <n v="2"/>
    <n v="1"/>
    <n v="2"/>
    <n v="0"/>
    <s v="-"/>
    <s v="-"/>
    <s v="-"/>
    <s v="-"/>
    <s v="-"/>
    <s v="-"/>
    <s v="-"/>
    <n v="5"/>
    <n v="6"/>
    <s v="-"/>
    <n v="1"/>
    <n v="1"/>
    <n v="2"/>
    <n v="2"/>
    <n v="7"/>
    <n v="8"/>
  </r>
  <r>
    <x v="7"/>
    <x v="188"/>
    <d v="1899-12-30T00:00:00"/>
    <s v="1ST"/>
    <s v="11:00"/>
    <n v="2"/>
    <x v="14"/>
    <s v="-"/>
    <s v="P"/>
    <s v="P"/>
    <s v="P"/>
    <s v="-"/>
    <s v="+"/>
    <n v="10.51"/>
    <s v="-"/>
    <s v="-"/>
    <s v="-"/>
    <s v="-"/>
    <s v="-"/>
    <s v="-"/>
    <s v="-"/>
    <s v="-"/>
    <s v="P"/>
    <s v="P"/>
    <s v="-"/>
    <s v="-"/>
    <n v="1"/>
    <n v="2"/>
    <n v="0"/>
    <s v="-"/>
    <s v="-"/>
    <s v="-"/>
    <s v="-"/>
    <s v="-"/>
    <s v="-"/>
    <s v="-"/>
    <n v="3"/>
    <n v="4"/>
    <s v="-"/>
    <n v="1"/>
    <n v="1"/>
    <n v="2"/>
    <n v="2"/>
    <n v="5"/>
    <n v="6"/>
  </r>
  <r>
    <x v="7"/>
    <x v="188"/>
    <d v="1899-12-30T00:00:00"/>
    <s v="1ST"/>
    <s v="13:00"/>
    <n v="2"/>
    <x v="14"/>
    <n v="0.01"/>
    <s v="P"/>
    <s v="P"/>
    <s v="P"/>
    <s v="-"/>
    <s v="+"/>
    <n v="10.45"/>
    <s v="-"/>
    <s v="-"/>
    <s v="-"/>
    <s v="-"/>
    <s v="-"/>
    <s v="-"/>
    <s v="-"/>
    <s v="-"/>
    <s v="P"/>
    <s v="P"/>
    <s v="-"/>
    <n v="2"/>
    <n v="1"/>
    <n v="2"/>
    <n v="0"/>
    <s v="-"/>
    <s v="-"/>
    <s v="-"/>
    <s v="-"/>
    <s v="-"/>
    <s v="-"/>
    <s v="-"/>
    <n v="5"/>
    <n v="6"/>
    <s v="-"/>
    <n v="1"/>
    <n v="1"/>
    <n v="2"/>
    <n v="2"/>
    <n v="7"/>
    <n v="8"/>
  </r>
  <r>
    <x v="7"/>
    <x v="188"/>
    <d v="2026-08-25T00:00:00"/>
    <s v="1ST"/>
    <s v="06:00"/>
    <n v="3"/>
    <x v="1"/>
    <n v="0.01"/>
    <s v="P"/>
    <s v="P"/>
    <s v="P"/>
    <s v="+"/>
    <s v="+"/>
    <n v="12.27"/>
    <n v="12.66"/>
    <n v="0.59"/>
    <n v="64.2"/>
    <s v="-"/>
    <s v="-"/>
    <n v="35.6"/>
    <s v="-"/>
    <n v="25.2"/>
    <s v="P"/>
    <s v="P"/>
    <s v="-"/>
    <n v="2"/>
    <n v="1"/>
    <n v="2"/>
    <n v="1"/>
    <n v="1"/>
    <n v="2"/>
    <n v="2"/>
    <s v="-"/>
    <s v="-"/>
    <n v="2"/>
    <s v="-"/>
    <n v="13"/>
    <n v="13"/>
    <n v="1"/>
    <n v="1"/>
    <n v="1"/>
    <n v="3"/>
    <n v="3"/>
    <n v="16"/>
    <n v="16"/>
  </r>
  <r>
    <x v="7"/>
    <x v="188"/>
    <d v="2026-08-25T00:00:00"/>
    <s v="1ST"/>
    <s v="07:00"/>
    <n v="3"/>
    <x v="1"/>
    <n v="0.01"/>
    <s v="P"/>
    <s v="P"/>
    <s v="P"/>
    <s v="+"/>
    <s v="+"/>
    <n v="12.02"/>
    <s v="-"/>
    <s v="-"/>
    <s v="-"/>
    <s v="-"/>
    <s v="-"/>
    <s v="-"/>
    <s v="-"/>
    <s v="-"/>
    <s v="P"/>
    <s v="P"/>
    <s v="-"/>
    <n v="2"/>
    <n v="1"/>
    <n v="2"/>
    <n v="1"/>
    <s v="-"/>
    <s v="-"/>
    <s v="-"/>
    <s v="-"/>
    <s v="-"/>
    <s v="-"/>
    <s v="-"/>
    <n v="6"/>
    <n v="6"/>
    <s v="-"/>
    <n v="1"/>
    <n v="1"/>
    <n v="2"/>
    <n v="2"/>
    <n v="8"/>
    <n v="8"/>
  </r>
  <r>
    <x v="7"/>
    <x v="188"/>
    <d v="2026-08-24T00:00:00"/>
    <s v="1ST"/>
    <s v="08:00"/>
    <n v="3"/>
    <x v="42"/>
    <s v="-"/>
    <s v="P"/>
    <s v="P"/>
    <s v="P"/>
    <s v="+"/>
    <s v="+"/>
    <n v="12.46"/>
    <s v="-"/>
    <s v="-"/>
    <s v="-"/>
    <s v="-"/>
    <s v="-"/>
    <s v="-"/>
    <s v="-"/>
    <s v="-"/>
    <s v="P"/>
    <s v="P"/>
    <s v="-"/>
    <s v="-"/>
    <n v="1"/>
    <n v="2"/>
    <n v="1"/>
    <s v="-"/>
    <s v="-"/>
    <s v="-"/>
    <s v="-"/>
    <s v="-"/>
    <s v="-"/>
    <s v="-"/>
    <n v="4"/>
    <n v="4"/>
    <s v="-"/>
    <n v="1"/>
    <n v="1"/>
    <n v="2"/>
    <n v="2"/>
    <n v="6"/>
    <n v="6"/>
  </r>
  <r>
    <x v="7"/>
    <x v="188"/>
    <d v="2026-08-24T00:00:00"/>
    <s v="1ST"/>
    <s v="09:00"/>
    <n v="3"/>
    <x v="42"/>
    <s v="-"/>
    <s v="P"/>
    <s v="P"/>
    <s v="P"/>
    <s v="+"/>
    <s v="+"/>
    <n v="12.79"/>
    <s v="-"/>
    <s v="-"/>
    <s v="-"/>
    <s v="-"/>
    <s v="-"/>
    <s v="-"/>
    <s v="-"/>
    <s v="-"/>
    <s v="P"/>
    <s v="P"/>
    <s v="-"/>
    <s v="-"/>
    <n v="1"/>
    <n v="2"/>
    <n v="1"/>
    <s v="-"/>
    <s v="-"/>
    <s v="-"/>
    <s v="-"/>
    <s v="-"/>
    <s v="-"/>
    <s v="-"/>
    <n v="4"/>
    <n v="4"/>
    <s v="-"/>
    <n v="1"/>
    <n v="1"/>
    <n v="2"/>
    <n v="2"/>
    <n v="6"/>
    <n v="6"/>
  </r>
  <r>
    <x v="7"/>
    <x v="188"/>
    <d v="2026-08-25T00:00:00"/>
    <s v="1ST"/>
    <s v="06:00"/>
    <n v="3"/>
    <x v="1"/>
    <n v="0.01"/>
    <s v="P"/>
    <s v="P"/>
    <s v="P"/>
    <s v="+"/>
    <s v="+"/>
    <n v="12.27"/>
    <n v="12.66"/>
    <n v="0.59"/>
    <n v="64.2"/>
    <s v="-"/>
    <s v="-"/>
    <n v="35.6"/>
    <s v="-"/>
    <n v="25.2"/>
    <s v="P"/>
    <s v="P"/>
    <s v="-"/>
    <n v="2"/>
    <n v="1"/>
    <n v="2"/>
    <n v="1"/>
    <n v="1"/>
    <n v="2"/>
    <n v="2"/>
    <s v="-"/>
    <s v="-"/>
    <n v="2"/>
    <s v="-"/>
    <n v="13"/>
    <n v="13"/>
    <n v="1"/>
    <n v="1"/>
    <n v="1"/>
    <n v="3"/>
    <n v="3"/>
    <n v="16"/>
    <n v="16"/>
  </r>
  <r>
    <x v="7"/>
    <x v="188"/>
    <d v="2026-08-25T00:00:00"/>
    <s v="1ST"/>
    <s v="07:00"/>
    <n v="3"/>
    <x v="1"/>
    <n v="0.01"/>
    <s v="P"/>
    <s v="P"/>
    <s v="P"/>
    <s v="+"/>
    <s v="+"/>
    <n v="12.02"/>
    <s v="-"/>
    <s v="-"/>
    <s v="-"/>
    <s v="-"/>
    <s v="-"/>
    <s v="-"/>
    <s v="-"/>
    <s v="-"/>
    <s v="P"/>
    <s v="P"/>
    <s v="-"/>
    <n v="2"/>
    <n v="1"/>
    <n v="2"/>
    <n v="1"/>
    <s v="-"/>
    <s v="-"/>
    <s v="-"/>
    <s v="-"/>
    <s v="-"/>
    <s v="-"/>
    <s v="-"/>
    <n v="6"/>
    <n v="6"/>
    <s v="-"/>
    <n v="1"/>
    <n v="1"/>
    <n v="2"/>
    <n v="2"/>
    <n v="8"/>
    <n v="8"/>
  </r>
  <r>
    <x v="7"/>
    <x v="188"/>
    <d v="2026-08-24T00:00:00"/>
    <s v="1ST"/>
    <s v="08:00"/>
    <n v="3"/>
    <x v="42"/>
    <s v="-"/>
    <s v="P"/>
    <s v="P"/>
    <s v="P"/>
    <s v="+"/>
    <s v="+"/>
    <n v="12.46"/>
    <s v="-"/>
    <s v="-"/>
    <s v="-"/>
    <s v="-"/>
    <s v="-"/>
    <s v="-"/>
    <s v="-"/>
    <s v="-"/>
    <s v="P"/>
    <s v="P"/>
    <s v="-"/>
    <s v="-"/>
    <n v="1"/>
    <n v="2"/>
    <n v="1"/>
    <s v="-"/>
    <s v="-"/>
    <s v="-"/>
    <s v="-"/>
    <s v="-"/>
    <s v="-"/>
    <s v="-"/>
    <n v="4"/>
    <n v="4"/>
    <s v="-"/>
    <n v="1"/>
    <n v="1"/>
    <n v="2"/>
    <n v="2"/>
    <n v="6"/>
    <n v="6"/>
  </r>
  <r>
    <x v="7"/>
    <x v="188"/>
    <d v="2026-08-24T00:00:00"/>
    <s v="1ST"/>
    <s v="09:00"/>
    <n v="3"/>
    <x v="42"/>
    <s v="-"/>
    <s v="P"/>
    <s v="P"/>
    <s v="P"/>
    <s v="+"/>
    <s v="+"/>
    <n v="12.79"/>
    <s v="-"/>
    <s v="-"/>
    <s v="-"/>
    <s v="-"/>
    <s v="-"/>
    <s v="-"/>
    <s v="-"/>
    <s v="-"/>
    <s v="P"/>
    <s v="P"/>
    <s v="-"/>
    <s v="-"/>
    <n v="1"/>
    <n v="2"/>
    <n v="1"/>
    <s v="-"/>
    <s v="-"/>
    <s v="-"/>
    <s v="-"/>
    <s v="-"/>
    <s v="-"/>
    <s v="-"/>
    <n v="4"/>
    <n v="4"/>
    <s v="-"/>
    <n v="1"/>
    <n v="1"/>
    <n v="2"/>
    <n v="2"/>
    <n v="6"/>
    <n v="6"/>
  </r>
  <r>
    <x v="7"/>
    <x v="188"/>
    <d v="2026-08-27T00:00:00"/>
    <s v="2ND"/>
    <d v="1899-12-30T15:00:00"/>
    <n v="1"/>
    <x v="38"/>
    <s v="-"/>
    <s v="P"/>
    <s v="P"/>
    <s v="P"/>
    <s v="-"/>
    <s v="-"/>
    <n v="11.24"/>
    <n v="10.31"/>
    <n v="0.62"/>
    <n v="56"/>
    <s v="-"/>
    <s v="-"/>
    <n v="28.7"/>
    <s v="-"/>
    <s v="-"/>
    <s v="P"/>
    <s v="P"/>
    <n v="1"/>
    <s v="-"/>
    <n v="1"/>
    <n v="2"/>
    <n v="1"/>
    <n v="0"/>
    <n v="0"/>
    <n v="2"/>
    <s v="-"/>
    <s v="-"/>
    <n v="2"/>
    <s v="-"/>
    <n v="8"/>
    <n v="11"/>
    <s v="-"/>
    <n v="1"/>
    <n v="1"/>
    <n v="2"/>
    <n v="2"/>
    <n v="10"/>
    <n v="13"/>
  </r>
  <r>
    <x v="7"/>
    <x v="188"/>
    <d v="2026-08-27T00:00:00"/>
    <s v="2ND"/>
    <d v="1899-12-30T16:00:00"/>
    <n v="1"/>
    <x v="38"/>
    <n v="0.01"/>
    <s v="P"/>
    <s v="P"/>
    <s v="P"/>
    <s v="-"/>
    <s v="-"/>
    <n v="11.2"/>
    <s v="-"/>
    <s v="-"/>
    <s v="-"/>
    <s v="-"/>
    <s v="-"/>
    <s v="-"/>
    <s v="-"/>
    <s v="-"/>
    <s v="P"/>
    <s v="P"/>
    <s v="-"/>
    <n v="2"/>
    <n v="1"/>
    <n v="2"/>
    <n v="1"/>
    <s v="-"/>
    <s v="-"/>
    <s v="-"/>
    <s v="-"/>
    <s v="-"/>
    <s v="-"/>
    <s v="-"/>
    <n v="6"/>
    <n v="6"/>
    <s v="-"/>
    <n v="1"/>
    <n v="1"/>
    <n v="2"/>
    <n v="2"/>
    <n v="8"/>
    <n v="8"/>
  </r>
  <r>
    <x v="7"/>
    <x v="188"/>
    <d v="2026-08-27T00:00:00"/>
    <s v="2ND"/>
    <d v="1899-12-30T17:00:00"/>
    <n v="1"/>
    <x v="38"/>
    <n v="0.01"/>
    <s v="P"/>
    <s v="P"/>
    <s v="P"/>
    <s v="-"/>
    <s v="-"/>
    <n v="11.22"/>
    <s v="-"/>
    <s v="-"/>
    <s v="-"/>
    <s v="-"/>
    <s v="-"/>
    <s v="-"/>
    <s v="-"/>
    <s v="-"/>
    <s v="P"/>
    <s v="P"/>
    <s v="-"/>
    <n v="2"/>
    <n v="1"/>
    <n v="2"/>
    <n v="1"/>
    <s v="-"/>
    <s v="-"/>
    <s v="-"/>
    <s v="-"/>
    <s v="-"/>
    <s v="-"/>
    <s v="-"/>
    <n v="6"/>
    <n v="6"/>
    <s v="-"/>
    <n v="1"/>
    <n v="1"/>
    <n v="2"/>
    <n v="2"/>
    <n v="8"/>
    <n v="8"/>
  </r>
  <r>
    <x v="7"/>
    <x v="188"/>
    <d v="2026-08-27T00:00:00"/>
    <s v="2ND"/>
    <d v="1899-12-30T18:00:00"/>
    <n v="1"/>
    <x v="38"/>
    <s v="-"/>
    <s v="-"/>
    <s v="P"/>
    <s v="P"/>
    <s v="-"/>
    <s v="-"/>
    <n v="11.33"/>
    <s v="-"/>
    <s v="-"/>
    <s v="-"/>
    <s v="-"/>
    <s v="-"/>
    <s v="-"/>
    <s v="-"/>
    <s v="-"/>
    <s v="P"/>
    <s v="P"/>
    <s v="-"/>
    <s v="-"/>
    <s v="-"/>
    <n v="2"/>
    <n v="1"/>
    <s v="-"/>
    <s v="-"/>
    <s v="-"/>
    <s v="-"/>
    <s v="-"/>
    <s v="-"/>
    <s v="-"/>
    <n v="3"/>
    <n v="3"/>
    <s v="-"/>
    <n v="1"/>
    <n v="1"/>
    <n v="2"/>
    <n v="2"/>
    <n v="5"/>
    <n v="5"/>
  </r>
  <r>
    <x v="7"/>
    <x v="188"/>
    <d v="2026-08-27T00:00:00"/>
    <s v="2ND"/>
    <d v="1899-12-30T19:00:00"/>
    <n v="1"/>
    <x v="38"/>
    <s v="-"/>
    <s v="P"/>
    <s v="P"/>
    <s v="P"/>
    <s v="-"/>
    <s v="-"/>
    <n v="11.1"/>
    <s v="-"/>
    <s v="-"/>
    <s v="-"/>
    <s v="-"/>
    <s v="-"/>
    <s v="-"/>
    <s v="-"/>
    <s v="-"/>
    <s v="P"/>
    <s v="P"/>
    <s v="-"/>
    <s v="-"/>
    <n v="1"/>
    <n v="2"/>
    <n v="1"/>
    <s v="-"/>
    <s v="-"/>
    <s v="-"/>
    <s v="-"/>
    <s v="-"/>
    <s v="-"/>
    <s v="-"/>
    <n v="4"/>
    <n v="4"/>
    <s v="-"/>
    <n v="1"/>
    <n v="1"/>
    <n v="2"/>
    <n v="2"/>
    <n v="6"/>
    <n v="6"/>
  </r>
  <r>
    <x v="7"/>
    <x v="188"/>
    <d v="2026-08-27T00:00:00"/>
    <s v="2ND"/>
    <d v="1899-12-30T20:00:00"/>
    <n v="1"/>
    <x v="38"/>
    <s v="-"/>
    <s v="P"/>
    <s v="P"/>
    <s v="P"/>
    <s v="-"/>
    <s v="-"/>
    <n v="11.31"/>
    <s v="-"/>
    <s v="-"/>
    <s v="-"/>
    <s v="-"/>
    <s v="-"/>
    <s v="-"/>
    <s v="-"/>
    <s v="-"/>
    <s v="P"/>
    <s v="P"/>
    <s v="-"/>
    <s v="-"/>
    <n v="1"/>
    <n v="2"/>
    <n v="1"/>
    <s v="-"/>
    <s v="-"/>
    <s v="-"/>
    <s v="-"/>
    <s v="-"/>
    <s v="-"/>
    <s v="-"/>
    <n v="4"/>
    <n v="4"/>
    <s v="-"/>
    <n v="1"/>
    <n v="1"/>
    <n v="2"/>
    <n v="2"/>
    <n v="6"/>
    <n v="6"/>
  </r>
  <r>
    <x v="7"/>
    <x v="188"/>
    <d v="2026-08-27T00:00:00"/>
    <s v="2ND"/>
    <d v="1899-12-30T21:00:00"/>
    <n v="1"/>
    <x v="38"/>
    <s v="-"/>
    <s v="P"/>
    <s v="P"/>
    <s v="P"/>
    <s v="-"/>
    <s v="-"/>
    <n v="11.13"/>
    <s v="-"/>
    <s v="-"/>
    <s v="-"/>
    <s v="-"/>
    <s v="-"/>
    <s v="-"/>
    <s v="-"/>
    <s v="-"/>
    <s v="P"/>
    <s v="P"/>
    <s v="-"/>
    <s v="-"/>
    <n v="1"/>
    <n v="2"/>
    <n v="1"/>
    <s v="-"/>
    <s v="-"/>
    <s v="-"/>
    <s v="-"/>
    <s v="-"/>
    <s v="-"/>
    <s v="-"/>
    <n v="4"/>
    <n v="4"/>
    <s v="-"/>
    <n v="1"/>
    <n v="1"/>
    <n v="2"/>
    <n v="2"/>
    <n v="6"/>
    <n v="6"/>
  </r>
  <r>
    <x v="7"/>
    <x v="188"/>
    <d v="1902-03-26T00:00:00"/>
    <s v="2ND"/>
    <d v="1899-12-30T15:00:00"/>
    <n v="2"/>
    <x v="14"/>
    <s v="-"/>
    <s v="P"/>
    <s v="P"/>
    <s v="P"/>
    <s v="-"/>
    <s v="+"/>
    <n v="10.46"/>
    <n v="9.6"/>
    <n v="0.6"/>
    <s v="-"/>
    <s v="-"/>
    <s v="-"/>
    <n v="26.3"/>
    <s v="-"/>
    <s v="-"/>
    <s v="P"/>
    <s v="P"/>
    <s v="-"/>
    <s v="-"/>
    <n v="1"/>
    <n v="2"/>
    <n v="0"/>
    <n v="1"/>
    <n v="2"/>
    <s v="-"/>
    <s v="-"/>
    <s v="-"/>
    <n v="0"/>
    <s v="-"/>
    <n v="6"/>
    <n v="9"/>
    <s v="-"/>
    <n v="1"/>
    <n v="1"/>
    <n v="2"/>
    <n v="2"/>
    <n v="8"/>
    <n v="11"/>
  </r>
  <r>
    <x v="7"/>
    <x v="188"/>
    <d v="1899-12-30T00:00:00"/>
    <s v="2ND"/>
    <d v="1899-12-30T16:00:00"/>
    <n v="2"/>
    <x v="14"/>
    <s v="-"/>
    <s v="P"/>
    <s v="P"/>
    <s v="P"/>
    <s v="-"/>
    <s v="+"/>
    <n v="10.42"/>
    <s v="-"/>
    <s v="-"/>
    <s v="-"/>
    <s v="-"/>
    <s v="-"/>
    <s v="-"/>
    <s v="-"/>
    <s v="-"/>
    <s v="P"/>
    <s v="P"/>
    <n v="1"/>
    <s v="-"/>
    <n v="1"/>
    <n v="2"/>
    <n v="0"/>
    <s v="-"/>
    <s v="-"/>
    <s v="-"/>
    <s v="-"/>
    <s v="-"/>
    <s v="-"/>
    <s v="-"/>
    <n v="3"/>
    <n v="4"/>
    <s v="-"/>
    <n v="1"/>
    <n v="1"/>
    <n v="2"/>
    <n v="2"/>
    <n v="5"/>
    <n v="6"/>
  </r>
  <r>
    <x v="7"/>
    <x v="188"/>
    <d v="1899-12-30T00:00:00"/>
    <s v="2ND"/>
    <d v="1899-12-30T17:00:00"/>
    <n v="2"/>
    <x v="5"/>
    <n v="0.01"/>
    <s v="P"/>
    <s v="P"/>
    <s v="P"/>
    <s v="-"/>
    <s v="+"/>
    <n v="10.220000000000001"/>
    <n v="9.41"/>
    <s v="-"/>
    <n v="54.9"/>
    <s v="-"/>
    <s v="-"/>
    <n v="25.26"/>
    <s v="-"/>
    <s v="-"/>
    <s v="P"/>
    <s v="P"/>
    <s v="-"/>
    <n v="2"/>
    <n v="1"/>
    <n v="2"/>
    <n v="0"/>
    <n v="1"/>
    <s v="-"/>
    <n v="2"/>
    <s v="-"/>
    <s v="-"/>
    <n v="2"/>
    <s v="-"/>
    <n v="10"/>
    <n v="11"/>
    <s v="-"/>
    <n v="1"/>
    <n v="1"/>
    <n v="2"/>
    <n v="2"/>
    <n v="12"/>
    <n v="13"/>
  </r>
  <r>
    <x v="7"/>
    <x v="188"/>
    <d v="1899-12-30T00:00:00"/>
    <s v="2ND"/>
    <d v="1899-12-30T18:00:00"/>
    <n v="2"/>
    <x v="5"/>
    <s v="-"/>
    <s v="P"/>
    <s v="P"/>
    <s v="P"/>
    <s v="-"/>
    <s v="+"/>
    <n v="9.86"/>
    <s v="-"/>
    <s v="-"/>
    <s v="-"/>
    <s v="-"/>
    <s v="-"/>
    <s v="-"/>
    <s v="-"/>
    <s v="-"/>
    <s v="P"/>
    <s v="P"/>
    <s v="-"/>
    <s v="-"/>
    <n v="1"/>
    <n v="2"/>
    <n v="0"/>
    <s v="-"/>
    <s v="-"/>
    <s v="-"/>
    <s v="-"/>
    <s v="-"/>
    <s v="-"/>
    <s v="-"/>
    <n v="3"/>
    <n v="4"/>
    <s v="-"/>
    <n v="1"/>
    <n v="1"/>
    <n v="2"/>
    <n v="2"/>
    <n v="5"/>
    <n v="6"/>
  </r>
  <r>
    <x v="7"/>
    <x v="188"/>
    <d v="1899-12-30T00:00:00"/>
    <s v="2ND"/>
    <d v="1899-12-30T20:00:00"/>
    <n v="2"/>
    <x v="5"/>
    <s v="-"/>
    <s v="P"/>
    <s v="P"/>
    <s v="P"/>
    <s v="-"/>
    <s v="+"/>
    <n v="9.56"/>
    <s v="-"/>
    <s v="-"/>
    <s v="-"/>
    <s v="-"/>
    <s v="-"/>
    <s v="-"/>
    <s v="-"/>
    <s v="-"/>
    <s v="P"/>
    <s v="P"/>
    <s v="-"/>
    <s v="-"/>
    <n v="1"/>
    <n v="2"/>
    <n v="0"/>
    <s v="-"/>
    <s v="-"/>
    <s v="-"/>
    <s v="-"/>
    <s v="-"/>
    <s v="-"/>
    <s v="-"/>
    <n v="3"/>
    <n v="4"/>
    <s v="-"/>
    <n v="1"/>
    <n v="1"/>
    <n v="2"/>
    <n v="2"/>
    <n v="5"/>
    <n v="6"/>
  </r>
  <r>
    <x v="7"/>
    <x v="188"/>
    <d v="1899-12-30T00:00:00"/>
    <s v="2ND"/>
    <d v="1899-12-30T21:00:00"/>
    <n v="2"/>
    <x v="5"/>
    <s v="-"/>
    <s v="P"/>
    <s v="P"/>
    <s v="P"/>
    <s v="-"/>
    <s v="+"/>
    <n v="10.58"/>
    <s v="-"/>
    <s v="-"/>
    <s v="-"/>
    <s v="-"/>
    <s v="-"/>
    <s v="-"/>
    <s v="-"/>
    <s v="-"/>
    <s v="P"/>
    <s v="P"/>
    <s v="-"/>
    <s v="-"/>
    <n v="1"/>
    <n v="2"/>
    <n v="0"/>
    <s v="-"/>
    <s v="-"/>
    <s v="-"/>
    <s v="-"/>
    <s v="-"/>
    <s v="-"/>
    <s v="-"/>
    <n v="3"/>
    <n v="4"/>
    <s v="-"/>
    <n v="1"/>
    <n v="1"/>
    <n v="2"/>
    <n v="2"/>
    <n v="5"/>
    <n v="6"/>
  </r>
  <r>
    <x v="7"/>
    <x v="188"/>
    <d v="2026-08-26T00:00:00"/>
    <s v="2ND"/>
    <d v="1899-12-30T14:00:00"/>
    <s v="Retail"/>
    <x v="6"/>
    <n v="0.01"/>
    <s v="P"/>
    <s v="P"/>
    <s v="P"/>
    <s v="+"/>
    <s v="+"/>
    <n v="12.37"/>
    <n v="12.24"/>
    <n v="0.5"/>
    <s v="-"/>
    <s v="-"/>
    <s v="-"/>
    <n v="34.1"/>
    <s v="-"/>
    <s v="-"/>
    <s v="-"/>
    <s v="-"/>
    <s v="-"/>
    <n v="2"/>
    <n v="1"/>
    <n v="2"/>
    <n v="1"/>
    <n v="1"/>
    <n v="2"/>
    <s v="-"/>
    <s v="-"/>
    <s v="-"/>
    <n v="2"/>
    <s v="-"/>
    <n v="11"/>
    <n v="11"/>
    <s v="-"/>
    <s v="-"/>
    <s v="-"/>
    <n v="0"/>
    <n v="0"/>
    <n v="11"/>
    <n v="11"/>
  </r>
  <r>
    <x v="7"/>
    <x v="188"/>
    <d v="2026-08-27T00:00:00"/>
    <s v="3RD"/>
    <d v="1899-12-30T22:00:00"/>
    <n v="1"/>
    <x v="38"/>
    <s v="-"/>
    <s v="P"/>
    <s v="P"/>
    <s v="P"/>
    <s v="-"/>
    <s v="-"/>
    <n v="11.06"/>
    <n v="9.92"/>
    <n v="0.62"/>
    <s v="-"/>
    <s v="-"/>
    <s v="-"/>
    <n v="27.2"/>
    <s v="-"/>
    <s v="-"/>
    <s v="P"/>
    <s v="P"/>
    <n v="1"/>
    <s v="-"/>
    <n v="1"/>
    <n v="2"/>
    <n v="1"/>
    <n v="1"/>
    <n v="0"/>
    <s v="-"/>
    <s v="-"/>
    <s v="-"/>
    <n v="2"/>
    <s v="-"/>
    <n v="7"/>
    <n v="9"/>
    <s v="-"/>
    <n v="1"/>
    <n v="1"/>
    <n v="2"/>
    <n v="2"/>
    <n v="9"/>
    <n v="11"/>
  </r>
  <r>
    <x v="7"/>
    <x v="188"/>
    <d v="2026-08-27T00:00:00"/>
    <s v="3RD"/>
    <d v="1899-12-31T00:00:00"/>
    <n v="1"/>
    <x v="38"/>
    <s v="-"/>
    <s v="P"/>
    <s v="P"/>
    <s v="P"/>
    <s v="-"/>
    <s v="-"/>
    <n v="10.89"/>
    <s v="-"/>
    <s v="-"/>
    <s v="-"/>
    <s v="-"/>
    <s v="-"/>
    <s v="-"/>
    <s v="-"/>
    <s v="-"/>
    <s v="P"/>
    <s v="P"/>
    <s v="-"/>
    <s v="-"/>
    <n v="1"/>
    <n v="2"/>
    <n v="0"/>
    <s v="-"/>
    <s v="-"/>
    <s v="-"/>
    <s v="-"/>
    <s v="-"/>
    <s v="-"/>
    <s v="-"/>
    <n v="3"/>
    <n v="4"/>
    <s v="-"/>
    <n v="1"/>
    <n v="1"/>
    <n v="2"/>
    <n v="2"/>
    <n v="5"/>
    <n v="6"/>
  </r>
  <r>
    <x v="7"/>
    <x v="188"/>
    <d v="2026-08-27T00:00:00"/>
    <s v="3RD"/>
    <d v="1899-12-31T02:00:00"/>
    <n v="1"/>
    <x v="38"/>
    <s v="-"/>
    <s v="-"/>
    <s v="P"/>
    <s v="P"/>
    <s v="-"/>
    <s v="-"/>
    <n v="10.69"/>
    <s v="-"/>
    <s v="-"/>
    <s v="-"/>
    <s v="-"/>
    <s v="-"/>
    <s v="-"/>
    <s v="-"/>
    <s v="-"/>
    <s v="P"/>
    <s v="P"/>
    <s v="-"/>
    <s v="-"/>
    <s v="-"/>
    <n v="2"/>
    <n v="0"/>
    <s v="-"/>
    <s v="-"/>
    <s v="-"/>
    <s v="-"/>
    <s v="-"/>
    <s v="-"/>
    <s v="-"/>
    <n v="2"/>
    <n v="3"/>
    <s v="-"/>
    <n v="1"/>
    <n v="1"/>
    <n v="2"/>
    <n v="2"/>
    <n v="4"/>
    <n v="5"/>
  </r>
  <r>
    <x v="7"/>
    <x v="188"/>
    <d v="2026-07-17T00:00:00"/>
    <s v="3RD"/>
    <d v="1899-12-31T03:00:00"/>
    <n v="1"/>
    <x v="20"/>
    <s v="-"/>
    <s v="P"/>
    <s v="P"/>
    <s v="P"/>
    <s v="-"/>
    <s v="-"/>
    <n v="11.75"/>
    <s v="-"/>
    <s v="-"/>
    <s v="-"/>
    <s v="-"/>
    <s v="-"/>
    <s v="-"/>
    <s v="-"/>
    <s v="-"/>
    <s v="P"/>
    <s v="P"/>
    <s v="-"/>
    <s v="-"/>
    <n v="1"/>
    <n v="2"/>
    <n v="1"/>
    <s v="-"/>
    <s v="-"/>
    <s v="-"/>
    <s v="-"/>
    <s v="-"/>
    <s v="-"/>
    <s v="-"/>
    <n v="4"/>
    <n v="4"/>
    <s v="-"/>
    <n v="1"/>
    <n v="1"/>
    <n v="2"/>
    <n v="2"/>
    <n v="6"/>
    <n v="6"/>
  </r>
  <r>
    <x v="7"/>
    <x v="188"/>
    <d v="2026-07-17T00:00:00"/>
    <s v="3RD"/>
    <d v="1899-12-31T04:00:00"/>
    <n v="1"/>
    <x v="20"/>
    <s v="-"/>
    <s v="P"/>
    <s v="P"/>
    <s v="P"/>
    <s v="-"/>
    <s v="-"/>
    <n v="11.89"/>
    <s v="-"/>
    <s v="-"/>
    <s v="-"/>
    <s v="-"/>
    <s v="-"/>
    <s v="-"/>
    <s v="-"/>
    <s v="-"/>
    <s v="P"/>
    <s v="P"/>
    <s v="-"/>
    <s v="-"/>
    <n v="1"/>
    <n v="2"/>
    <n v="1"/>
    <s v="-"/>
    <s v="-"/>
    <s v="-"/>
    <s v="-"/>
    <s v="-"/>
    <s v="-"/>
    <s v="-"/>
    <n v="4"/>
    <n v="4"/>
    <s v="-"/>
    <n v="1"/>
    <n v="1"/>
    <n v="2"/>
    <n v="2"/>
    <n v="6"/>
    <n v="6"/>
  </r>
  <r>
    <x v="7"/>
    <x v="188"/>
    <d v="2026-07-17T00:00:00"/>
    <s v="3RD"/>
    <d v="1899-12-31T05:00:00"/>
    <n v="1"/>
    <x v="20"/>
    <s v="-"/>
    <s v="P"/>
    <s v="P"/>
    <s v="P"/>
    <s v="-"/>
    <s v="-"/>
    <n v="12.19"/>
    <s v="-"/>
    <s v="-"/>
    <s v="-"/>
    <s v="-"/>
    <s v="-"/>
    <s v="-"/>
    <s v="-"/>
    <s v="-"/>
    <s v="P"/>
    <s v="P"/>
    <s v="-"/>
    <s v="-"/>
    <n v="1"/>
    <n v="2"/>
    <n v="1"/>
    <s v="-"/>
    <s v="-"/>
    <s v="-"/>
    <s v="-"/>
    <s v="-"/>
    <s v="-"/>
    <s v="-"/>
    <n v="4"/>
    <n v="4"/>
    <s v="-"/>
    <n v="1"/>
    <n v="1"/>
    <n v="2"/>
    <n v="2"/>
    <n v="6"/>
    <n v="6"/>
  </r>
  <r>
    <x v="7"/>
    <x v="188"/>
    <d v="1902-03-26T00:00:00"/>
    <s v="3RD"/>
    <d v="1899-12-30T22:00:00"/>
    <n v="2"/>
    <x v="4"/>
    <s v="-"/>
    <s v="P"/>
    <s v="P"/>
    <s v="P"/>
    <s v="-"/>
    <s v="+"/>
    <n v="10.63"/>
    <n v="9.84"/>
    <n v="0.46"/>
    <n v="54.5"/>
    <s v="-"/>
    <s v="-"/>
    <n v="27"/>
    <s v="-"/>
    <s v="-"/>
    <s v="P"/>
    <s v="P"/>
    <s v="-"/>
    <s v="-"/>
    <n v="1"/>
    <n v="2"/>
    <n v="0"/>
    <n v="0"/>
    <n v="2"/>
    <n v="2"/>
    <s v="-"/>
    <s v="-"/>
    <n v="2"/>
    <s v="-"/>
    <n v="9"/>
    <n v="11"/>
    <s v="-"/>
    <n v="1"/>
    <n v="1"/>
    <n v="2"/>
    <n v="2"/>
    <n v="11"/>
    <n v="13"/>
  </r>
  <r>
    <x v="7"/>
    <x v="188"/>
    <d v="1899-12-30T00:00:00"/>
    <s v="3RD"/>
    <d v="1899-12-31T00:00:00"/>
    <n v="2"/>
    <x v="4"/>
    <s v="-"/>
    <s v="P"/>
    <s v="P"/>
    <s v="P"/>
    <s v="-"/>
    <s v="+"/>
    <n v="10.73"/>
    <s v="-"/>
    <s v="-"/>
    <s v="-"/>
    <s v="-"/>
    <s v="-"/>
    <s v="-"/>
    <s v="-"/>
    <s v="-"/>
    <s v="P"/>
    <s v="P"/>
    <s v="90% 10%"/>
    <s v="-"/>
    <n v="1"/>
    <n v="2"/>
    <n v="0"/>
    <s v="-"/>
    <s v="-"/>
    <s v="-"/>
    <s v="-"/>
    <s v="-"/>
    <s v="-"/>
    <s v="-"/>
    <n v="3"/>
    <n v="4"/>
    <s v="-"/>
    <n v="1"/>
    <n v="1"/>
    <n v="2"/>
    <n v="2"/>
    <n v="5"/>
    <n v="6"/>
  </r>
  <r>
    <x v="7"/>
    <x v="188"/>
    <d v="1899-12-30T00:00:00"/>
    <s v="3RD"/>
    <d v="1899-12-31T01:00:00"/>
    <n v="2"/>
    <x v="7"/>
    <n v="0.01"/>
    <s v="P"/>
    <s v="P"/>
    <s v="P"/>
    <s v="-"/>
    <s v="+"/>
    <n v="10.76"/>
    <s v="-"/>
    <s v="-"/>
    <s v="-"/>
    <s v="-"/>
    <s v="-"/>
    <s v="-"/>
    <s v="-"/>
    <s v="-"/>
    <s v="P"/>
    <s v="P"/>
    <s v="-"/>
    <n v="2"/>
    <n v="1"/>
    <n v="2"/>
    <n v="0"/>
    <s v="-"/>
    <s v="-"/>
    <s v="-"/>
    <s v="-"/>
    <s v="-"/>
    <s v="-"/>
    <s v="-"/>
    <n v="5"/>
    <n v="6"/>
    <s v="-"/>
    <n v="1"/>
    <n v="1"/>
    <n v="2"/>
    <n v="2"/>
    <n v="7"/>
    <n v="8"/>
  </r>
  <r>
    <x v="7"/>
    <x v="188"/>
    <d v="1899-12-30T00:00:00"/>
    <s v="3RD"/>
    <d v="1899-12-31T02:00:00"/>
    <n v="2"/>
    <x v="7"/>
    <s v="-"/>
    <s v="P"/>
    <s v="P"/>
    <s v="P"/>
    <s v="-"/>
    <s v="+"/>
    <n v="10.72"/>
    <s v="-"/>
    <s v="-"/>
    <s v="-"/>
    <s v="-"/>
    <s v="-"/>
    <s v="-"/>
    <s v="-"/>
    <s v="-"/>
    <s v="P"/>
    <s v="P"/>
    <s v="-"/>
    <s v="-"/>
    <n v="1"/>
    <n v="2"/>
    <n v="0"/>
    <s v="-"/>
    <s v="-"/>
    <s v="-"/>
    <s v="-"/>
    <s v="-"/>
    <s v="-"/>
    <s v="-"/>
    <n v="3"/>
    <n v="4"/>
    <s v="-"/>
    <n v="1"/>
    <n v="1"/>
    <n v="2"/>
    <n v="2"/>
    <n v="5"/>
    <n v="6"/>
  </r>
  <r>
    <x v="7"/>
    <x v="188"/>
    <d v="1899-12-30T00:00:00"/>
    <s v="3RD"/>
    <d v="1899-12-31T03:00:00"/>
    <n v="2"/>
    <x v="7"/>
    <s v="-"/>
    <s v="P"/>
    <s v="P"/>
    <s v="P"/>
    <s v="-"/>
    <s v="+"/>
    <n v="10.75"/>
    <s v="-"/>
    <s v="-"/>
    <s v="-"/>
    <s v="-"/>
    <s v="-"/>
    <s v="-"/>
    <s v="-"/>
    <s v="-"/>
    <s v="P"/>
    <s v="P"/>
    <s v="-"/>
    <s v="-"/>
    <n v="1"/>
    <n v="2"/>
    <n v="0"/>
    <s v="-"/>
    <s v="-"/>
    <s v="-"/>
    <s v="-"/>
    <s v="-"/>
    <s v="-"/>
    <s v="-"/>
    <n v="3"/>
    <n v="4"/>
    <s v="-"/>
    <n v="1"/>
    <n v="1"/>
    <n v="2"/>
    <n v="2"/>
    <n v="5"/>
    <n v="6"/>
  </r>
  <r>
    <x v="7"/>
    <x v="188"/>
    <d v="1899-12-30T00:00:00"/>
    <s v="3RD"/>
    <d v="1899-12-31T04:00:00"/>
    <n v="2"/>
    <x v="7"/>
    <s v="-"/>
    <s v="P"/>
    <s v="P"/>
    <s v="P"/>
    <s v="-"/>
    <s v="+"/>
    <n v="10.57"/>
    <s v="-"/>
    <s v="-"/>
    <s v="-"/>
    <s v="-"/>
    <s v="-"/>
    <s v="-"/>
    <s v="-"/>
    <s v="-"/>
    <s v="P"/>
    <s v="P"/>
    <s v="-"/>
    <s v="-"/>
    <n v="1"/>
    <n v="2"/>
    <n v="0"/>
    <s v="-"/>
    <s v="-"/>
    <s v="-"/>
    <s v="-"/>
    <s v="-"/>
    <s v="-"/>
    <s v="-"/>
    <n v="3"/>
    <n v="4"/>
    <s v="-"/>
    <n v="1"/>
    <n v="1"/>
    <n v="2"/>
    <n v="2"/>
    <n v="5"/>
    <n v="6"/>
  </r>
  <r>
    <x v="7"/>
    <x v="189"/>
    <d v="2026-07-17T00:00:00"/>
    <s v="1ST"/>
    <s v="06:00"/>
    <n v="1"/>
    <x v="20"/>
    <n v="0.01"/>
    <s v="P"/>
    <s v="P"/>
    <s v="P"/>
    <s v="-"/>
    <s v="-"/>
    <n v="12.69"/>
    <n v="11.93"/>
    <n v="0.55000000000000004"/>
    <n v="64.400000000000006"/>
    <s v="-"/>
    <s v="-"/>
    <n v="33.1"/>
    <s v="-"/>
    <n v="25.19"/>
    <s v="P"/>
    <s v="P"/>
    <n v="1"/>
    <n v="2"/>
    <n v="1"/>
    <n v="2"/>
    <n v="1"/>
    <n v="0"/>
    <n v="2"/>
    <n v="2"/>
    <s v="-"/>
    <s v="-"/>
    <n v="2"/>
    <s v="-"/>
    <n v="12"/>
    <n v="13"/>
    <n v="1"/>
    <n v="1"/>
    <n v="1"/>
    <n v="3"/>
    <n v="3"/>
    <n v="15"/>
    <n v="16"/>
  </r>
  <r>
    <x v="7"/>
    <x v="189"/>
    <d v="2026-07-17T00:00:00"/>
    <s v="1ST"/>
    <s v="07:00"/>
    <n v="1"/>
    <x v="20"/>
    <n v="0.01"/>
    <s v="P"/>
    <s v="P"/>
    <s v="P"/>
    <s v="-"/>
    <s v="+"/>
    <n v="12.56"/>
    <s v="-"/>
    <s v="-"/>
    <s v="-"/>
    <s v="-"/>
    <s v="-"/>
    <s v="-"/>
    <s v="-"/>
    <s v="-"/>
    <s v="P"/>
    <s v="P"/>
    <s v="-"/>
    <n v="2"/>
    <n v="1"/>
    <n v="2"/>
    <n v="1"/>
    <s v="-"/>
    <s v="-"/>
    <s v="-"/>
    <s v="-"/>
    <s v="-"/>
    <s v="-"/>
    <s v="-"/>
    <n v="6"/>
    <n v="6"/>
    <s v="-"/>
    <n v="1"/>
    <n v="1"/>
    <n v="2"/>
    <n v="2"/>
    <n v="8"/>
    <n v="8"/>
  </r>
  <r>
    <x v="7"/>
    <x v="189"/>
    <d v="1902-03-26T00:00:00"/>
    <s v="1ST"/>
    <s v="06:00"/>
    <n v="2"/>
    <x v="7"/>
    <s v="-"/>
    <s v="P"/>
    <s v="P"/>
    <s v="P"/>
    <s v="-"/>
    <s v="+"/>
    <n v="10.72"/>
    <s v="-"/>
    <s v="-"/>
    <s v="-"/>
    <s v="-"/>
    <s v="-"/>
    <s v="-"/>
    <s v="-"/>
    <n v="25.16"/>
    <s v="P"/>
    <s v="P"/>
    <s v="90% 10%"/>
    <s v="-"/>
    <n v="1"/>
    <n v="2"/>
    <n v="0"/>
    <s v="-"/>
    <s v="-"/>
    <s v="-"/>
    <s v="-"/>
    <s v="-"/>
    <s v="-"/>
    <s v="-"/>
    <n v="3"/>
    <n v="4"/>
    <n v="1"/>
    <n v="1"/>
    <n v="1"/>
    <n v="3"/>
    <n v="3"/>
    <n v="6"/>
    <n v="7"/>
  </r>
  <r>
    <x v="7"/>
    <x v="189"/>
    <d v="1899-12-30T00:00:00"/>
    <s v="1ST"/>
    <s v="07:00"/>
    <n v="2"/>
    <x v="7"/>
    <n v="0.01"/>
    <s v="P"/>
    <s v="P"/>
    <s v="P"/>
    <s v="-"/>
    <s v="+"/>
    <n v="10.54"/>
    <s v="-"/>
    <s v="-"/>
    <s v="-"/>
    <s v="-"/>
    <s v="-"/>
    <s v="-"/>
    <s v="-"/>
    <s v="-"/>
    <s v="P"/>
    <s v="P"/>
    <n v="1"/>
    <n v="2"/>
    <n v="1"/>
    <n v="2"/>
    <n v="0"/>
    <s v="-"/>
    <s v="-"/>
    <s v="-"/>
    <s v="-"/>
    <s v="-"/>
    <s v="-"/>
    <s v="-"/>
    <n v="5"/>
    <n v="6"/>
    <s v="-"/>
    <n v="1"/>
    <n v="1"/>
    <n v="2"/>
    <n v="2"/>
    <n v="7"/>
    <n v="8"/>
  </r>
  <r>
    <x v="7"/>
    <x v="189"/>
    <d v="1899-12-30T00:00:00"/>
    <s v="1ST"/>
    <s v="08:00"/>
    <n v="2"/>
    <x v="7"/>
    <s v="-"/>
    <s v="P"/>
    <s v="P"/>
    <s v="P"/>
    <s v="-"/>
    <s v="+"/>
    <n v="10.25"/>
    <n v="10.14"/>
    <n v="0.57999999999999996"/>
    <n v="55.4"/>
    <s v="-"/>
    <s v="-"/>
    <n v="27.9"/>
    <s v="-"/>
    <s v="-"/>
    <s v="P"/>
    <s v="P"/>
    <n v="1"/>
    <s v="-"/>
    <n v="1"/>
    <n v="2"/>
    <n v="0"/>
    <n v="1"/>
    <n v="2"/>
    <n v="0"/>
    <s v="-"/>
    <s v="-"/>
    <n v="2"/>
    <s v="-"/>
    <n v="8"/>
    <n v="11"/>
    <s v="-"/>
    <n v="1"/>
    <n v="1"/>
    <n v="2"/>
    <n v="2"/>
    <n v="10"/>
    <n v="13"/>
  </r>
  <r>
    <x v="7"/>
    <x v="189"/>
    <d v="1899-12-30T00:00:00"/>
    <s v="1ST"/>
    <s v="09:00"/>
    <n v="2"/>
    <x v="7"/>
    <n v="0.01"/>
    <s v="P"/>
    <s v="P"/>
    <s v="P"/>
    <s v="-"/>
    <s v="+"/>
    <n v="10.68"/>
    <s v="-"/>
    <s v="-"/>
    <s v="-"/>
    <s v="-"/>
    <s v="-"/>
    <s v="-"/>
    <s v="-"/>
    <s v="-"/>
    <s v="P"/>
    <s v="P"/>
    <n v="1"/>
    <n v="2"/>
    <n v="1"/>
    <n v="2"/>
    <n v="0"/>
    <s v="-"/>
    <s v="-"/>
    <s v="-"/>
    <s v="-"/>
    <s v="-"/>
    <s v="-"/>
    <s v="-"/>
    <n v="5"/>
    <n v="6"/>
    <s v="-"/>
    <n v="1"/>
    <n v="1"/>
    <n v="2"/>
    <n v="2"/>
    <n v="7"/>
    <n v="8"/>
  </r>
  <r>
    <x v="7"/>
    <x v="189"/>
    <d v="1899-12-30T00:00:00"/>
    <s v="1ST"/>
    <s v="10:00"/>
    <n v="2"/>
    <x v="7"/>
    <s v="-"/>
    <s v="P"/>
    <s v="P"/>
    <s v="P"/>
    <s v="-"/>
    <s v="+"/>
    <n v="11.23"/>
    <s v="-"/>
    <s v="-"/>
    <s v="-"/>
    <s v="-"/>
    <s v="-"/>
    <s v="-"/>
    <s v="-"/>
    <s v="-"/>
    <s v="P"/>
    <s v="P"/>
    <n v="1"/>
    <s v="-"/>
    <n v="1"/>
    <n v="2"/>
    <n v="1"/>
    <s v="-"/>
    <s v="-"/>
    <s v="-"/>
    <s v="-"/>
    <s v="-"/>
    <s v="-"/>
    <s v="-"/>
    <n v="4"/>
    <n v="4"/>
    <s v="-"/>
    <n v="1"/>
    <n v="1"/>
    <n v="2"/>
    <n v="2"/>
    <n v="6"/>
    <n v="6"/>
  </r>
  <r>
    <x v="7"/>
    <x v="189"/>
    <d v="1899-12-30T00:00:00"/>
    <s v="1ST"/>
    <s v="11:00"/>
    <n v="2"/>
    <x v="7"/>
    <s v="-"/>
    <s v="P"/>
    <s v="P"/>
    <s v="P"/>
    <s v="-"/>
    <s v="+"/>
    <n v="10.72"/>
    <s v="-"/>
    <s v="-"/>
    <s v="-"/>
    <s v="-"/>
    <s v="-"/>
    <s v="-"/>
    <s v="-"/>
    <s v="-"/>
    <s v="P"/>
    <s v="P"/>
    <s v="-"/>
    <s v="-"/>
    <n v="1"/>
    <n v="2"/>
    <n v="0"/>
    <s v="-"/>
    <s v="-"/>
    <s v="-"/>
    <s v="-"/>
    <s v="-"/>
    <s v="-"/>
    <s v="-"/>
    <n v="3"/>
    <n v="4"/>
    <s v="-"/>
    <n v="1"/>
    <n v="1"/>
    <n v="2"/>
    <n v="2"/>
    <n v="5"/>
    <n v="6"/>
  </r>
  <r>
    <x v="7"/>
    <x v="189"/>
    <d v="1899-12-30T00:00:00"/>
    <s v="1ST"/>
    <s v="13:00"/>
    <n v="2"/>
    <x v="7"/>
    <s v="-"/>
    <s v="P"/>
    <s v="P"/>
    <s v="P"/>
    <s v="-"/>
    <s v="+"/>
    <n v="10.76"/>
    <s v="-"/>
    <s v="-"/>
    <s v="-"/>
    <s v="-"/>
    <s v="-"/>
    <s v="-"/>
    <s v="-"/>
    <s v="-"/>
    <s v="P"/>
    <s v="P"/>
    <s v="-"/>
    <s v="-"/>
    <n v="1"/>
    <n v="2"/>
    <n v="0"/>
    <s v="-"/>
    <s v="-"/>
    <s v="-"/>
    <s v="-"/>
    <s v="-"/>
    <s v="-"/>
    <s v="-"/>
    <n v="3"/>
    <n v="4"/>
    <s v="-"/>
    <n v="1"/>
    <n v="1"/>
    <n v="2"/>
    <n v="2"/>
    <n v="5"/>
    <n v="6"/>
  </r>
  <r>
    <x v="7"/>
    <x v="189"/>
    <d v="1902-03-26T00:00:00"/>
    <s v="1ST"/>
    <s v="06:00"/>
    <n v="2"/>
    <x v="7"/>
    <s v="-"/>
    <s v="P"/>
    <s v="P"/>
    <s v="P"/>
    <s v="-"/>
    <s v="+"/>
    <n v="10.72"/>
    <s v="-"/>
    <s v="-"/>
    <s v="-"/>
    <s v="-"/>
    <s v="-"/>
    <s v="-"/>
    <s v="-"/>
    <n v="25.16"/>
    <s v="P"/>
    <s v="P"/>
    <s v="90% 10%"/>
    <s v="-"/>
    <n v="1"/>
    <n v="2"/>
    <n v="0"/>
    <s v="-"/>
    <s v="-"/>
    <s v="-"/>
    <s v="-"/>
    <s v="-"/>
    <s v="-"/>
    <s v="-"/>
    <n v="3"/>
    <n v="4"/>
    <n v="1"/>
    <n v="1"/>
    <n v="1"/>
    <n v="3"/>
    <n v="3"/>
    <n v="6"/>
    <n v="7"/>
  </r>
  <r>
    <x v="7"/>
    <x v="189"/>
    <d v="1899-12-30T00:00:00"/>
    <s v="1ST"/>
    <s v="07:00"/>
    <n v="2"/>
    <x v="7"/>
    <n v="0.01"/>
    <s v="P"/>
    <s v="P"/>
    <s v="P"/>
    <s v="-"/>
    <s v="+"/>
    <n v="10.54"/>
    <s v="-"/>
    <s v="-"/>
    <s v="-"/>
    <s v="-"/>
    <s v="-"/>
    <s v="-"/>
    <s v="-"/>
    <s v="-"/>
    <s v="P"/>
    <s v="P"/>
    <n v="1"/>
    <n v="2"/>
    <n v="1"/>
    <n v="2"/>
    <n v="0"/>
    <s v="-"/>
    <s v="-"/>
    <s v="-"/>
    <s v="-"/>
    <s v="-"/>
    <s v="-"/>
    <s v="-"/>
    <n v="5"/>
    <n v="6"/>
    <s v="-"/>
    <n v="1"/>
    <n v="1"/>
    <n v="2"/>
    <n v="2"/>
    <n v="7"/>
    <n v="8"/>
  </r>
  <r>
    <x v="7"/>
    <x v="189"/>
    <d v="1899-12-30T00:00:00"/>
    <s v="1ST"/>
    <s v="08:00"/>
    <n v="2"/>
    <x v="7"/>
    <s v="-"/>
    <s v="P"/>
    <s v="P"/>
    <s v="P"/>
    <s v="-"/>
    <s v="+"/>
    <n v="10.25"/>
    <n v="10.14"/>
    <n v="0.57999999999999996"/>
    <n v="55.4"/>
    <s v="-"/>
    <s v="-"/>
    <n v="27.9"/>
    <s v="-"/>
    <s v="-"/>
    <s v="P"/>
    <s v="P"/>
    <n v="1"/>
    <s v="-"/>
    <n v="1"/>
    <n v="2"/>
    <n v="0"/>
    <n v="1"/>
    <n v="2"/>
    <n v="0"/>
    <s v="-"/>
    <s v="-"/>
    <n v="2"/>
    <s v="-"/>
    <n v="8"/>
    <n v="11"/>
    <s v="-"/>
    <n v="1"/>
    <n v="1"/>
    <n v="2"/>
    <n v="2"/>
    <n v="10"/>
    <n v="13"/>
  </r>
  <r>
    <x v="7"/>
    <x v="189"/>
    <d v="1899-12-30T00:00:00"/>
    <s v="1ST"/>
    <s v="09:00"/>
    <n v="2"/>
    <x v="7"/>
    <n v="0.01"/>
    <s v="P"/>
    <s v="P"/>
    <s v="P"/>
    <s v="-"/>
    <s v="+"/>
    <n v="10.68"/>
    <s v="-"/>
    <s v="-"/>
    <s v="-"/>
    <s v="-"/>
    <s v="-"/>
    <s v="-"/>
    <s v="-"/>
    <s v="-"/>
    <s v="P"/>
    <s v="P"/>
    <n v="1"/>
    <n v="2"/>
    <n v="1"/>
    <n v="2"/>
    <n v="0"/>
    <s v="-"/>
    <s v="-"/>
    <s v="-"/>
    <s v="-"/>
    <s v="-"/>
    <s v="-"/>
    <s v="-"/>
    <n v="5"/>
    <n v="6"/>
    <s v="-"/>
    <n v="1"/>
    <n v="1"/>
    <n v="2"/>
    <n v="2"/>
    <n v="7"/>
    <n v="8"/>
  </r>
  <r>
    <x v="7"/>
    <x v="189"/>
    <d v="1899-12-30T00:00:00"/>
    <s v="1ST"/>
    <s v="10:00"/>
    <n v="2"/>
    <x v="7"/>
    <s v="-"/>
    <s v="P"/>
    <s v="P"/>
    <s v="P"/>
    <s v="-"/>
    <s v="+"/>
    <n v="11.23"/>
    <s v="-"/>
    <s v="-"/>
    <s v="-"/>
    <s v="-"/>
    <s v="-"/>
    <s v="-"/>
    <s v="-"/>
    <s v="-"/>
    <s v="P"/>
    <s v="P"/>
    <n v="1"/>
    <s v="-"/>
    <n v="1"/>
    <n v="2"/>
    <n v="1"/>
    <s v="-"/>
    <s v="-"/>
    <s v="-"/>
    <s v="-"/>
    <s v="-"/>
    <s v="-"/>
    <s v="-"/>
    <n v="4"/>
    <n v="4"/>
    <s v="-"/>
    <n v="1"/>
    <n v="1"/>
    <n v="2"/>
    <n v="2"/>
    <n v="6"/>
    <n v="6"/>
  </r>
  <r>
    <x v="7"/>
    <x v="189"/>
    <d v="1899-12-30T00:00:00"/>
    <s v="1ST"/>
    <s v="11:00"/>
    <n v="2"/>
    <x v="7"/>
    <s v="-"/>
    <s v="P"/>
    <s v="P"/>
    <s v="P"/>
    <s v="-"/>
    <s v="+"/>
    <n v="10.72"/>
    <s v="-"/>
    <s v="-"/>
    <s v="-"/>
    <s v="-"/>
    <s v="-"/>
    <s v="-"/>
    <s v="-"/>
    <s v="-"/>
    <s v="P"/>
    <s v="P"/>
    <s v="-"/>
    <s v="-"/>
    <n v="1"/>
    <n v="2"/>
    <n v="0"/>
    <s v="-"/>
    <s v="-"/>
    <s v="-"/>
    <s v="-"/>
    <s v="-"/>
    <s v="-"/>
    <s v="-"/>
    <n v="3"/>
    <n v="4"/>
    <s v="-"/>
    <n v="1"/>
    <n v="1"/>
    <n v="2"/>
    <n v="2"/>
    <n v="5"/>
    <n v="6"/>
  </r>
  <r>
    <x v="7"/>
    <x v="189"/>
    <d v="1899-12-30T00:00:00"/>
    <s v="1ST"/>
    <s v="13:00"/>
    <n v="2"/>
    <x v="7"/>
    <s v="-"/>
    <s v="P"/>
    <s v="P"/>
    <s v="P"/>
    <s v="-"/>
    <s v="+"/>
    <n v="10.76"/>
    <s v="-"/>
    <s v="-"/>
    <s v="-"/>
    <s v="-"/>
    <s v="-"/>
    <s v="-"/>
    <s v="-"/>
    <s v="-"/>
    <s v="P"/>
    <s v="P"/>
    <s v="-"/>
    <s v="-"/>
    <n v="1"/>
    <n v="2"/>
    <n v="0"/>
    <s v="-"/>
    <s v="-"/>
    <s v="-"/>
    <s v="-"/>
    <s v="-"/>
    <s v="-"/>
    <s v="-"/>
    <n v="3"/>
    <n v="4"/>
    <s v="-"/>
    <n v="1"/>
    <n v="1"/>
    <n v="2"/>
    <n v="2"/>
    <n v="5"/>
    <n v="6"/>
  </r>
  <r>
    <x v="7"/>
    <x v="189"/>
    <d v="1899-12-30T00:00:00"/>
    <s v="2ND"/>
    <d v="1899-12-30T14:00:00"/>
    <n v="2"/>
    <x v="17"/>
    <s v="-"/>
    <s v="P"/>
    <s v="P"/>
    <s v="P"/>
    <s v="-"/>
    <s v="+"/>
    <n v="10.94"/>
    <s v="-"/>
    <s v="-"/>
    <s v="-"/>
    <s v="-"/>
    <s v="-"/>
    <s v="-"/>
    <s v="-"/>
    <s v="-"/>
    <s v="P"/>
    <s v="P"/>
    <s v="-"/>
    <s v="-"/>
    <n v="1"/>
    <n v="2"/>
    <n v="0"/>
    <s v="-"/>
    <s v="-"/>
    <s v="-"/>
    <s v="-"/>
    <s v="-"/>
    <s v="-"/>
    <s v="-"/>
    <n v="3"/>
    <n v="4"/>
    <s v="-"/>
    <n v="1"/>
    <n v="1"/>
    <n v="2"/>
    <n v="2"/>
    <n v="5"/>
    <n v="6"/>
  </r>
  <r>
    <x v="7"/>
    <x v="189"/>
    <d v="1899-12-30T00:00:00"/>
    <s v="2ND"/>
    <d v="1899-12-30T15:00:00"/>
    <n v="2"/>
    <x v="17"/>
    <s v="-"/>
    <s v="P"/>
    <s v="P"/>
    <s v="P"/>
    <s v="-"/>
    <s v="+"/>
    <n v="10.83"/>
    <s v="-"/>
    <s v="-"/>
    <s v="-"/>
    <s v="-"/>
    <s v="-"/>
    <s v="-"/>
    <s v="-"/>
    <s v="-"/>
    <s v="P"/>
    <s v="P"/>
    <s v="-"/>
    <s v="-"/>
    <n v="1"/>
    <n v="2"/>
    <n v="0"/>
    <s v="-"/>
    <s v="-"/>
    <s v="-"/>
    <s v="-"/>
    <s v="-"/>
    <s v="-"/>
    <s v="-"/>
    <n v="3"/>
    <n v="4"/>
    <s v="-"/>
    <n v="1"/>
    <n v="1"/>
    <n v="2"/>
    <n v="2"/>
    <n v="5"/>
    <n v="6"/>
  </r>
  <r>
    <x v="7"/>
    <x v="189"/>
    <d v="1899-12-30T00:00:00"/>
    <s v="2ND"/>
    <d v="1899-12-30T17:00:00"/>
    <n v="2"/>
    <x v="17"/>
    <s v="-"/>
    <s v="P"/>
    <s v="P"/>
    <s v="P"/>
    <s v="-"/>
    <s v="+"/>
    <n v="10.97"/>
    <s v="-"/>
    <s v="-"/>
    <s v="-"/>
    <s v="-"/>
    <s v="-"/>
    <s v="-"/>
    <s v="-"/>
    <s v="-"/>
    <s v="P"/>
    <s v="P"/>
    <s v="-"/>
    <s v="-"/>
    <n v="1"/>
    <n v="2"/>
    <n v="0"/>
    <s v="-"/>
    <s v="-"/>
    <s v="-"/>
    <s v="-"/>
    <s v="-"/>
    <s v="-"/>
    <s v="-"/>
    <n v="3"/>
    <n v="4"/>
    <s v="-"/>
    <n v="1"/>
    <n v="1"/>
    <n v="2"/>
    <n v="2"/>
    <n v="5"/>
    <n v="6"/>
  </r>
  <r>
    <x v="7"/>
    <x v="189"/>
    <d v="1899-12-30T00:00:00"/>
    <s v="2ND"/>
    <d v="1899-12-30T18:00:00"/>
    <n v="2"/>
    <x v="17"/>
    <s v="-"/>
    <s v="P"/>
    <s v="P"/>
    <s v="P"/>
    <s v="-"/>
    <s v="+"/>
    <n v="10.59"/>
    <s v="-"/>
    <s v="-"/>
    <s v="-"/>
    <s v="-"/>
    <s v="-"/>
    <s v="-"/>
    <s v="-"/>
    <s v="-"/>
    <s v="P"/>
    <s v="P"/>
    <s v="-"/>
    <s v="-"/>
    <n v="1"/>
    <n v="2"/>
    <n v="0"/>
    <s v="-"/>
    <s v="-"/>
    <s v="-"/>
    <s v="-"/>
    <s v="-"/>
    <s v="-"/>
    <s v="-"/>
    <n v="3"/>
    <n v="4"/>
    <s v="-"/>
    <n v="1"/>
    <n v="1"/>
    <n v="2"/>
    <n v="2"/>
    <n v="5"/>
    <n v="6"/>
  </r>
  <r>
    <x v="7"/>
    <x v="189"/>
    <d v="1899-12-30T00:00:00"/>
    <s v="2ND"/>
    <d v="1899-12-30T19:00:00"/>
    <n v="2"/>
    <x v="7"/>
    <s v="-"/>
    <s v="P"/>
    <s v="P"/>
    <s v="P"/>
    <s v="-"/>
    <s v="+"/>
    <n v="10.29"/>
    <s v="-"/>
    <s v="-"/>
    <s v="-"/>
    <s v="-"/>
    <s v="-"/>
    <s v="-"/>
    <s v="-"/>
    <s v="-"/>
    <s v="P"/>
    <s v="P"/>
    <s v="-"/>
    <s v="-"/>
    <n v="1"/>
    <n v="2"/>
    <n v="0"/>
    <s v="-"/>
    <s v="-"/>
    <s v="-"/>
    <s v="-"/>
    <s v="-"/>
    <s v="-"/>
    <s v="-"/>
    <n v="3"/>
    <n v="4"/>
    <s v="-"/>
    <n v="1"/>
    <n v="1"/>
    <n v="2"/>
    <n v="2"/>
    <n v="5"/>
    <n v="6"/>
  </r>
  <r>
    <x v="7"/>
    <x v="189"/>
    <d v="1899-12-30T00:00:00"/>
    <s v="2ND"/>
    <d v="1899-12-30T20:00:00"/>
    <n v="2"/>
    <x v="7"/>
    <s v="-"/>
    <s v="P"/>
    <s v="P"/>
    <s v="P"/>
    <s v="-"/>
    <s v="+"/>
    <n v="10.36"/>
    <s v="-"/>
    <s v="-"/>
    <s v="-"/>
    <s v="-"/>
    <s v="-"/>
    <s v="-"/>
    <s v="-"/>
    <s v="-"/>
    <s v="P"/>
    <s v="P"/>
    <s v="-"/>
    <s v="-"/>
    <n v="1"/>
    <n v="2"/>
    <n v="0"/>
    <s v="-"/>
    <s v="-"/>
    <s v="-"/>
    <s v="-"/>
    <s v="-"/>
    <s v="-"/>
    <s v="-"/>
    <n v="3"/>
    <n v="4"/>
    <s v="-"/>
    <n v="1"/>
    <n v="1"/>
    <n v="2"/>
    <n v="2"/>
    <n v="5"/>
    <n v="6"/>
  </r>
  <r>
    <x v="7"/>
    <x v="189"/>
    <d v="1899-12-30T00:00:00"/>
    <s v="2ND"/>
    <d v="1899-12-30T21:00:00"/>
    <n v="2"/>
    <x v="7"/>
    <s v="-"/>
    <s v="P"/>
    <s v="P"/>
    <s v="P"/>
    <s v="-"/>
    <s v="+"/>
    <n v="10.4"/>
    <s v="-"/>
    <s v="-"/>
    <s v="-"/>
    <s v="-"/>
    <s v="-"/>
    <s v="-"/>
    <s v="-"/>
    <s v="-"/>
    <s v="P"/>
    <s v="P"/>
    <s v="-"/>
    <s v="-"/>
    <n v="1"/>
    <n v="2"/>
    <n v="0"/>
    <s v="-"/>
    <s v="-"/>
    <s v="-"/>
    <s v="-"/>
    <s v="-"/>
    <s v="-"/>
    <s v="-"/>
    <n v="3"/>
    <n v="4"/>
    <s v="-"/>
    <n v="1"/>
    <n v="1"/>
    <n v="2"/>
    <n v="2"/>
    <n v="5"/>
    <n v="6"/>
  </r>
  <r>
    <x v="7"/>
    <x v="189"/>
    <d v="1899-12-30T00:00:00"/>
    <s v="3RD"/>
    <d v="1899-12-30T22:00:00"/>
    <n v="2"/>
    <x v="7"/>
    <s v="-"/>
    <s v="P"/>
    <s v="P"/>
    <s v="P"/>
    <s v="-"/>
    <s v="+"/>
    <n v="10.53"/>
    <s v="-"/>
    <s v="-"/>
    <s v="-"/>
    <s v="-"/>
    <s v="-"/>
    <s v="-"/>
    <s v="-"/>
    <s v="-"/>
    <s v="P"/>
    <s v="P"/>
    <s v="-"/>
    <s v="-"/>
    <n v="1"/>
    <n v="2"/>
    <n v="0"/>
    <s v="-"/>
    <s v="-"/>
    <s v="-"/>
    <s v="-"/>
    <s v="-"/>
    <s v="-"/>
    <s v="-"/>
    <n v="3"/>
    <n v="4"/>
    <s v="-"/>
    <n v="1"/>
    <n v="1"/>
    <n v="2"/>
    <n v="2"/>
    <n v="5"/>
    <n v="6"/>
  </r>
  <r>
    <x v="7"/>
    <x v="189"/>
    <d v="1899-12-30T00:00:00"/>
    <s v="3RD"/>
    <d v="1899-12-30T23:00:00"/>
    <n v="2"/>
    <x v="7"/>
    <s v="-"/>
    <s v="P"/>
    <s v="P"/>
    <s v="P"/>
    <s v="-"/>
    <s v="+"/>
    <n v="10.72"/>
    <s v="-"/>
    <s v="-"/>
    <s v="-"/>
    <s v="-"/>
    <s v="-"/>
    <s v="-"/>
    <s v="-"/>
    <s v="-"/>
    <s v="P"/>
    <s v="P"/>
    <s v="-"/>
    <s v="-"/>
    <n v="1"/>
    <n v="2"/>
    <n v="0"/>
    <s v="-"/>
    <s v="-"/>
    <s v="-"/>
    <s v="-"/>
    <s v="-"/>
    <s v="-"/>
    <s v="-"/>
    <n v="3"/>
    <n v="4"/>
    <s v="-"/>
    <n v="1"/>
    <n v="1"/>
    <n v="2"/>
    <n v="2"/>
    <n v="5"/>
    <n v="6"/>
  </r>
  <r>
    <x v="7"/>
    <x v="189"/>
    <d v="1899-12-30T00:00:00"/>
    <s v="3RD"/>
    <d v="1899-12-31T00:00:00"/>
    <n v="2"/>
    <x v="7"/>
    <s v="-"/>
    <s v="P"/>
    <s v="P"/>
    <s v="P"/>
    <s v="-"/>
    <s v="+"/>
    <n v="11"/>
    <s v="-"/>
    <s v="-"/>
    <s v="-"/>
    <s v="-"/>
    <s v="-"/>
    <s v="-"/>
    <s v="-"/>
    <s v="-"/>
    <s v="P"/>
    <s v="P"/>
    <s v="-"/>
    <s v="-"/>
    <n v="1"/>
    <n v="2"/>
    <n v="1"/>
    <s v="-"/>
    <s v="-"/>
    <s v="-"/>
    <s v="-"/>
    <s v="-"/>
    <s v="-"/>
    <s v="-"/>
    <n v="4"/>
    <n v="4"/>
    <s v="-"/>
    <n v="1"/>
    <n v="1"/>
    <n v="2"/>
    <n v="2"/>
    <n v="6"/>
    <n v="6"/>
  </r>
  <r>
    <x v="7"/>
    <x v="189"/>
    <d v="1899-12-30T00:00:00"/>
    <s v="3RD"/>
    <d v="1899-12-31T01:00:00"/>
    <n v="2"/>
    <x v="7"/>
    <s v="-"/>
    <s v="P"/>
    <s v="P"/>
    <s v="P"/>
    <s v="-"/>
    <s v="+"/>
    <n v="10.82"/>
    <s v="-"/>
    <s v="-"/>
    <s v="-"/>
    <s v="-"/>
    <s v="-"/>
    <s v="-"/>
    <s v="-"/>
    <s v="-"/>
    <s v="P"/>
    <s v="P"/>
    <s v="-"/>
    <s v="-"/>
    <n v="1"/>
    <n v="2"/>
    <n v="0"/>
    <s v="-"/>
    <s v="-"/>
    <s v="-"/>
    <s v="-"/>
    <s v="-"/>
    <s v="-"/>
    <s v="-"/>
    <n v="3"/>
    <n v="4"/>
    <s v="-"/>
    <n v="1"/>
    <n v="1"/>
    <n v="2"/>
    <n v="2"/>
    <n v="5"/>
    <n v="6"/>
  </r>
  <r>
    <x v="7"/>
    <x v="189"/>
    <d v="1899-12-30T00:00:00"/>
    <s v="3RD"/>
    <d v="1899-12-31T02:00:00"/>
    <n v="2"/>
    <x v="7"/>
    <s v="-"/>
    <s v="P"/>
    <s v="P"/>
    <s v="P"/>
    <s v="-"/>
    <s v="+"/>
    <n v="11.03"/>
    <s v="-"/>
    <s v="-"/>
    <s v="-"/>
    <s v="-"/>
    <s v="-"/>
    <s v="-"/>
    <s v="-"/>
    <s v="-"/>
    <s v="P"/>
    <s v="P"/>
    <s v="-"/>
    <s v="-"/>
    <n v="1"/>
    <n v="2"/>
    <n v="1"/>
    <s v="-"/>
    <s v="-"/>
    <s v="-"/>
    <s v="-"/>
    <s v="-"/>
    <s v="-"/>
    <s v="-"/>
    <n v="4"/>
    <n v="4"/>
    <s v="-"/>
    <n v="1"/>
    <n v="1"/>
    <n v="2"/>
    <n v="2"/>
    <n v="6"/>
    <n v="6"/>
  </r>
  <r>
    <x v="8"/>
    <x v="190"/>
    <d v="2026-08-26T00:00:00"/>
    <s v="1ST"/>
    <s v="08:00"/>
    <n v="1"/>
    <x v="2"/>
    <s v="-"/>
    <s v="P"/>
    <s v="P"/>
    <s v="P"/>
    <s v="-"/>
    <s v="+"/>
    <n v="11.2"/>
    <n v="8.7899999999999991"/>
    <n v="0.62"/>
    <n v="57.4"/>
    <s v="-"/>
    <s v="-"/>
    <n v="23.8"/>
    <s v="-"/>
    <n v="25.19"/>
    <s v="P"/>
    <s v="P"/>
    <s v="-"/>
    <s v="-"/>
    <n v="1"/>
    <n v="2"/>
    <n v="0"/>
    <n v="0"/>
    <n v="0"/>
    <n v="0"/>
    <s v="-"/>
    <s v="-"/>
    <n v="0"/>
    <s v="-"/>
    <n v="3"/>
    <n v="11"/>
    <n v="1"/>
    <n v="1"/>
    <n v="1"/>
    <n v="3"/>
    <n v="3"/>
    <n v="6"/>
    <n v="14"/>
  </r>
  <r>
    <x v="8"/>
    <x v="190"/>
    <d v="2026-08-26T00:00:00"/>
    <s v="1ST"/>
    <s v="09:00"/>
    <n v="1"/>
    <x v="2"/>
    <s v="-"/>
    <s v="P"/>
    <s v="P"/>
    <s v="P"/>
    <s v="-"/>
    <s v="+"/>
    <n v="10.57"/>
    <s v="-"/>
    <s v="-"/>
    <s v="-"/>
    <s v="-"/>
    <s v="-"/>
    <s v="-"/>
    <s v="-"/>
    <s v="-"/>
    <s v="P"/>
    <s v="P"/>
    <s v="-"/>
    <s v="-"/>
    <n v="1"/>
    <n v="2"/>
    <n v="0"/>
    <s v="-"/>
    <s v="-"/>
    <s v="-"/>
    <s v="-"/>
    <s v="-"/>
    <s v="-"/>
    <s v="-"/>
    <n v="3"/>
    <n v="4"/>
    <s v="-"/>
    <n v="1"/>
    <n v="1"/>
    <n v="2"/>
    <n v="2"/>
    <n v="5"/>
    <n v="6"/>
  </r>
  <r>
    <x v="8"/>
    <x v="190"/>
    <d v="2026-08-26T00:00:00"/>
    <s v="1ST"/>
    <s v="10:00"/>
    <n v="1"/>
    <x v="2"/>
    <s v="-"/>
    <s v="-"/>
    <s v="P"/>
    <s v="P"/>
    <s v="-"/>
    <s v="+"/>
    <n v="10.55"/>
    <s v="-"/>
    <s v="-"/>
    <s v="-"/>
    <s v="-"/>
    <s v="-"/>
    <s v="-"/>
    <s v="-"/>
    <s v="-"/>
    <s v="P"/>
    <s v="P"/>
    <s v="-"/>
    <s v="-"/>
    <s v="-"/>
    <n v="2"/>
    <n v="0"/>
    <s v="-"/>
    <s v="-"/>
    <s v="-"/>
    <s v="-"/>
    <s v="-"/>
    <s v="-"/>
    <s v="-"/>
    <n v="2"/>
    <n v="3"/>
    <s v="-"/>
    <n v="1"/>
    <n v="1"/>
    <n v="2"/>
    <n v="2"/>
    <n v="4"/>
    <n v="5"/>
  </r>
  <r>
    <x v="8"/>
    <x v="190"/>
    <d v="2026-08-26T00:00:00"/>
    <s v="1ST"/>
    <s v="11:00"/>
    <n v="1"/>
    <x v="2"/>
    <s v="-"/>
    <s v="P"/>
    <s v="P"/>
    <s v="P"/>
    <s v="-"/>
    <s v="+"/>
    <n v="10.49"/>
    <s v="-"/>
    <s v="-"/>
    <s v="-"/>
    <s v="-"/>
    <s v="-"/>
    <s v="-"/>
    <s v="-"/>
    <s v="-"/>
    <s v="P"/>
    <s v="P"/>
    <s v="-"/>
    <s v="-"/>
    <n v="1"/>
    <n v="2"/>
    <n v="0"/>
    <s v="-"/>
    <s v="-"/>
    <s v="-"/>
    <s v="-"/>
    <s v="-"/>
    <s v="-"/>
    <s v="-"/>
    <n v="3"/>
    <n v="4"/>
    <s v="-"/>
    <n v="1"/>
    <n v="1"/>
    <n v="2"/>
    <n v="2"/>
    <n v="5"/>
    <n v="6"/>
  </r>
  <r>
    <x v="8"/>
    <x v="190"/>
    <d v="2026-08-26T00:00:00"/>
    <s v="1ST"/>
    <s v="13:00"/>
    <n v="1"/>
    <x v="2"/>
    <s v="-"/>
    <s v="P"/>
    <s v="P"/>
    <s v="P"/>
    <s v="-"/>
    <s v="+"/>
    <n v="11.01"/>
    <s v="-"/>
    <s v="-"/>
    <s v="-"/>
    <s v="-"/>
    <s v="-"/>
    <s v="-"/>
    <s v="-"/>
    <s v="-"/>
    <s v="P"/>
    <s v="P"/>
    <s v="-"/>
    <s v="-"/>
    <n v="1"/>
    <n v="2"/>
    <n v="0"/>
    <s v="-"/>
    <s v="-"/>
    <s v="-"/>
    <s v="-"/>
    <s v="-"/>
    <s v="-"/>
    <s v="-"/>
    <n v="3"/>
    <n v="4"/>
    <s v="-"/>
    <n v="1"/>
    <n v="1"/>
    <n v="2"/>
    <n v="2"/>
    <n v="5"/>
    <n v="6"/>
  </r>
  <r>
    <x v="8"/>
    <x v="190"/>
    <d v="1899-12-30T00:00:00"/>
    <s v="1ST"/>
    <s v="07:00"/>
    <n v="2"/>
    <x v="22"/>
    <s v="-"/>
    <s v="P"/>
    <s v="P"/>
    <s v="P"/>
    <s v="-"/>
    <s v="-"/>
    <n v="12.03"/>
    <n v="9.65"/>
    <n v="0.56999999999999995"/>
    <n v="55"/>
    <s v="-"/>
    <s v="-"/>
    <n v="26.28"/>
    <s v="-"/>
    <n v="25.16"/>
    <s v="P"/>
    <s v="P"/>
    <s v="-"/>
    <s v="-"/>
    <n v="1"/>
    <n v="2"/>
    <n v="1"/>
    <n v="1"/>
    <n v="2"/>
    <n v="2"/>
    <s v="-"/>
    <s v="-"/>
    <n v="2"/>
    <s v="-"/>
    <n v="11"/>
    <n v="11"/>
    <n v="1"/>
    <n v="1"/>
    <n v="1"/>
    <n v="3"/>
    <n v="3"/>
    <n v="14"/>
    <n v="14"/>
  </r>
  <r>
    <x v="8"/>
    <x v="190"/>
    <d v="1899-12-30T00:00:00"/>
    <s v="1ST"/>
    <s v="08:00"/>
    <n v="2"/>
    <x v="22"/>
    <s v="-"/>
    <s v="P"/>
    <s v="P"/>
    <s v="P"/>
    <s v="-"/>
    <s v="-"/>
    <n v="11.92"/>
    <s v="-"/>
    <s v="-"/>
    <s v="-"/>
    <s v="-"/>
    <s v="-"/>
    <s v="-"/>
    <s v="-"/>
    <s v="-"/>
    <s v="P"/>
    <s v="P"/>
    <s v="-"/>
    <s v="-"/>
    <n v="1"/>
    <n v="2"/>
    <n v="1"/>
    <s v="-"/>
    <s v="-"/>
    <s v="-"/>
    <s v="-"/>
    <s v="-"/>
    <s v="-"/>
    <s v="-"/>
    <n v="4"/>
    <n v="4"/>
    <s v="-"/>
    <n v="1"/>
    <n v="1"/>
    <n v="2"/>
    <n v="2"/>
    <n v="6"/>
    <n v="6"/>
  </r>
  <r>
    <x v="8"/>
    <x v="190"/>
    <d v="1899-12-30T00:00:00"/>
    <s v="1ST"/>
    <s v="09:00"/>
    <n v="2"/>
    <x v="22"/>
    <s v="-"/>
    <s v="P"/>
    <s v="P"/>
    <s v="P"/>
    <s v="-"/>
    <s v="-"/>
    <n v="11.76"/>
    <s v="-"/>
    <s v="-"/>
    <s v="-"/>
    <s v="-"/>
    <s v="-"/>
    <s v="-"/>
    <s v="-"/>
    <s v="-"/>
    <s v="P"/>
    <s v="P"/>
    <s v="-"/>
    <s v="-"/>
    <n v="1"/>
    <n v="2"/>
    <n v="1"/>
    <s v="-"/>
    <s v="-"/>
    <s v="-"/>
    <s v="-"/>
    <s v="-"/>
    <s v="-"/>
    <s v="-"/>
    <n v="4"/>
    <n v="4"/>
    <s v="-"/>
    <n v="1"/>
    <n v="1"/>
    <n v="2"/>
    <n v="2"/>
    <n v="6"/>
    <n v="6"/>
  </r>
  <r>
    <x v="8"/>
    <x v="190"/>
    <d v="1899-12-30T00:00:00"/>
    <s v="1ST"/>
    <s v="10:00"/>
    <n v="2"/>
    <x v="22"/>
    <s v="-"/>
    <s v="P"/>
    <s v="P"/>
    <s v="P"/>
    <s v="-"/>
    <s v="-"/>
    <n v="11.73"/>
    <s v="-"/>
    <s v="-"/>
    <s v="-"/>
    <s v="-"/>
    <s v="-"/>
    <s v="-"/>
    <s v="-"/>
    <s v="-"/>
    <s v="P"/>
    <s v="P"/>
    <s v="-"/>
    <s v="-"/>
    <n v="1"/>
    <n v="2"/>
    <n v="1"/>
    <s v="-"/>
    <s v="-"/>
    <s v="-"/>
    <s v="-"/>
    <s v="-"/>
    <s v="-"/>
    <s v="-"/>
    <n v="4"/>
    <n v="4"/>
    <s v="-"/>
    <n v="1"/>
    <n v="1"/>
    <n v="2"/>
    <n v="2"/>
    <n v="6"/>
    <n v="6"/>
  </r>
  <r>
    <x v="8"/>
    <x v="190"/>
    <d v="1899-12-30T00:00:00"/>
    <s v="1ST"/>
    <s v="11:00"/>
    <n v="2"/>
    <x v="22"/>
    <s v="-"/>
    <s v="P"/>
    <s v="P"/>
    <s v="P"/>
    <s v="-"/>
    <s v="-"/>
    <n v="11.31"/>
    <s v="-"/>
    <s v="-"/>
    <s v="-"/>
    <s v="-"/>
    <s v="-"/>
    <s v="-"/>
    <s v="-"/>
    <s v="-"/>
    <s v="P"/>
    <s v="P"/>
    <s v="-"/>
    <s v="-"/>
    <n v="1"/>
    <n v="2"/>
    <n v="1"/>
    <s v="-"/>
    <s v="-"/>
    <s v="-"/>
    <s v="-"/>
    <s v="-"/>
    <s v="-"/>
    <s v="-"/>
    <n v="4"/>
    <n v="4"/>
    <s v="-"/>
    <n v="1"/>
    <n v="1"/>
    <n v="2"/>
    <n v="2"/>
    <n v="6"/>
    <n v="6"/>
  </r>
  <r>
    <x v="8"/>
    <x v="190"/>
    <d v="1899-12-30T00:00:00"/>
    <s v="1ST"/>
    <s v="13:00"/>
    <n v="2"/>
    <x v="22"/>
    <s v="-"/>
    <s v="P"/>
    <s v="P"/>
    <s v="P"/>
    <s v="-"/>
    <s v="-"/>
    <n v="11.19"/>
    <s v="-"/>
    <s v="-"/>
    <s v="-"/>
    <s v="-"/>
    <s v="-"/>
    <s v="-"/>
    <s v="-"/>
    <s v="-"/>
    <s v="P"/>
    <s v="P"/>
    <s v="-"/>
    <s v="-"/>
    <n v="1"/>
    <n v="2"/>
    <n v="1"/>
    <s v="-"/>
    <s v="-"/>
    <s v="-"/>
    <s v="-"/>
    <s v="-"/>
    <s v="-"/>
    <s v="-"/>
    <n v="4"/>
    <n v="4"/>
    <s v="-"/>
    <n v="1"/>
    <n v="1"/>
    <n v="2"/>
    <n v="2"/>
    <n v="6"/>
    <n v="6"/>
  </r>
  <r>
    <x v="8"/>
    <x v="190"/>
    <d v="2026-08-25T00:00:00"/>
    <s v="1ST"/>
    <s v="07:00"/>
    <n v="3"/>
    <x v="0"/>
    <s v="-"/>
    <s v="P"/>
    <s v="P"/>
    <s v="P"/>
    <s v="+"/>
    <s v="+"/>
    <n v="12.34"/>
    <n v="12.07"/>
    <n v="0.56999999999999995"/>
    <n v="64.900000000000006"/>
    <s v="-"/>
    <s v="-"/>
    <n v="33.6"/>
    <s v="-"/>
    <n v="25.19"/>
    <s v="P"/>
    <s v="P"/>
    <s v="-"/>
    <s v="-"/>
    <n v="1"/>
    <n v="2"/>
    <n v="1"/>
    <n v="1"/>
    <n v="2"/>
    <n v="2"/>
    <s v="-"/>
    <s v="-"/>
    <n v="2"/>
    <s v="-"/>
    <n v="11"/>
    <n v="11"/>
    <n v="1"/>
    <n v="1"/>
    <n v="1"/>
    <n v="3"/>
    <n v="3"/>
    <n v="14"/>
    <n v="14"/>
  </r>
  <r>
    <x v="8"/>
    <x v="190"/>
    <d v="2026-08-25T00:00:00"/>
    <s v="1ST"/>
    <s v="08:00"/>
    <n v="3"/>
    <x v="1"/>
    <n v="0.01"/>
    <s v="P"/>
    <s v="P"/>
    <s v="P"/>
    <s v="+"/>
    <s v="+"/>
    <n v="12.27"/>
    <s v="-"/>
    <s v="-"/>
    <n v="0.56999999999999995"/>
    <s v="-"/>
    <s v="-"/>
    <s v="-"/>
    <s v="-"/>
    <s v="-"/>
    <s v="P"/>
    <s v="P"/>
    <s v="-"/>
    <n v="2"/>
    <n v="1"/>
    <n v="2"/>
    <n v="1"/>
    <s v="-"/>
    <s v="-"/>
    <n v="0"/>
    <s v="-"/>
    <s v="-"/>
    <s v="-"/>
    <s v="-"/>
    <n v="6"/>
    <n v="8"/>
    <s v="-"/>
    <n v="1"/>
    <n v="1"/>
    <n v="2"/>
    <n v="2"/>
    <n v="8"/>
    <n v="10"/>
  </r>
  <r>
    <x v="8"/>
    <x v="190"/>
    <d v="2026-08-25T00:00:00"/>
    <s v="1ST"/>
    <s v="09:00"/>
    <n v="3"/>
    <x v="34"/>
    <s v="-"/>
    <s v="P"/>
    <s v="P"/>
    <s v="P"/>
    <s v="+"/>
    <s v="+"/>
    <n v="11.83"/>
    <n v="12.36"/>
    <n v="0.57999999999999996"/>
    <n v="63.5"/>
    <s v="-"/>
    <s v="-"/>
    <n v="34.6"/>
    <s v="-"/>
    <s v="-"/>
    <s v="P"/>
    <s v="P"/>
    <s v="-"/>
    <s v="-"/>
    <n v="1"/>
    <n v="2"/>
    <n v="0"/>
    <n v="1"/>
    <n v="2"/>
    <n v="0"/>
    <s v="-"/>
    <s v="-"/>
    <n v="2"/>
    <s v="-"/>
    <n v="8"/>
    <n v="11"/>
    <s v="-"/>
    <n v="1"/>
    <n v="1"/>
    <n v="2"/>
    <n v="2"/>
    <n v="10"/>
    <n v="13"/>
  </r>
  <r>
    <x v="8"/>
    <x v="190"/>
    <d v="2026-08-25T00:00:00"/>
    <s v="1ST"/>
    <s v="10:00"/>
    <n v="3"/>
    <x v="34"/>
    <n v="0.01"/>
    <s v="P"/>
    <s v="P"/>
    <s v="P"/>
    <s v="+"/>
    <s v="+"/>
    <n v="11.83"/>
    <s v="-"/>
    <s v="-"/>
    <s v="-"/>
    <s v="-"/>
    <s v="-"/>
    <s v="-"/>
    <s v="-"/>
    <s v="-"/>
    <s v="P"/>
    <s v="P"/>
    <s v="-"/>
    <n v="2"/>
    <n v="1"/>
    <n v="2"/>
    <n v="0"/>
    <s v="-"/>
    <s v="-"/>
    <s v="-"/>
    <s v="-"/>
    <s v="-"/>
    <s v="-"/>
    <s v="-"/>
    <n v="5"/>
    <n v="6"/>
    <s v="-"/>
    <n v="1"/>
    <n v="1"/>
    <n v="2"/>
    <n v="2"/>
    <n v="7"/>
    <n v="8"/>
  </r>
  <r>
    <x v="8"/>
    <x v="190"/>
    <d v="2026-08-25T00:00:00"/>
    <s v="1ST"/>
    <s v="11:00"/>
    <n v="3"/>
    <x v="6"/>
    <s v="-"/>
    <s v="P"/>
    <s v="P"/>
    <s v="P"/>
    <s v="+"/>
    <s v="+"/>
    <n v="11.72"/>
    <s v="-"/>
    <s v="-"/>
    <s v="-"/>
    <s v="-"/>
    <s v="-"/>
    <s v="-"/>
    <s v="-"/>
    <s v="-"/>
    <s v="P"/>
    <s v="P"/>
    <s v="-"/>
    <s v="-"/>
    <n v="1"/>
    <n v="2"/>
    <n v="0"/>
    <s v="-"/>
    <s v="-"/>
    <s v="-"/>
    <s v="-"/>
    <s v="-"/>
    <s v="-"/>
    <s v="-"/>
    <n v="3"/>
    <n v="4"/>
    <s v="-"/>
    <n v="1"/>
    <n v="1"/>
    <n v="2"/>
    <n v="2"/>
    <n v="5"/>
    <n v="6"/>
  </r>
  <r>
    <x v="8"/>
    <x v="190"/>
    <d v="2026-08-25T00:00:00"/>
    <s v="1ST"/>
    <s v="13:00"/>
    <n v="3"/>
    <x v="6"/>
    <s v="-"/>
    <s v="P"/>
    <s v="P"/>
    <s v="P"/>
    <s v="+"/>
    <s v="+"/>
    <n v="11.98"/>
    <s v="-"/>
    <s v="-"/>
    <s v="-"/>
    <s v="-"/>
    <s v="-"/>
    <s v="-"/>
    <s v="-"/>
    <s v="-"/>
    <s v="P"/>
    <s v="P"/>
    <s v="-"/>
    <s v="-"/>
    <n v="1"/>
    <n v="2"/>
    <n v="0"/>
    <s v="-"/>
    <s v="-"/>
    <s v="-"/>
    <s v="-"/>
    <s v="-"/>
    <s v="-"/>
    <s v="-"/>
    <n v="3"/>
    <n v="4"/>
    <s v="-"/>
    <n v="1"/>
    <n v="1"/>
    <n v="2"/>
    <n v="2"/>
    <n v="5"/>
    <n v="6"/>
  </r>
  <r>
    <x v="8"/>
    <x v="190"/>
    <d v="2026-08-26T00:00:00"/>
    <s v="2ND"/>
    <d v="1899-12-30T14:00:00"/>
    <n v="1"/>
    <x v="2"/>
    <s v="-"/>
    <s v="P"/>
    <s v="P"/>
    <s v="P"/>
    <s v="-"/>
    <s v="+"/>
    <n v="10.86"/>
    <n v="9.25"/>
    <s v="-"/>
    <s v="-"/>
    <s v="-"/>
    <s v="-"/>
    <n v="25.2"/>
    <s v="-"/>
    <s v="-"/>
    <s v="P"/>
    <s v="P"/>
    <n v="1"/>
    <s v="-"/>
    <n v="1"/>
    <n v="2"/>
    <n v="0"/>
    <n v="0"/>
    <s v="-"/>
    <s v="-"/>
    <s v="-"/>
    <s v="-"/>
    <n v="0"/>
    <s v="-"/>
    <n v="3"/>
    <n v="7"/>
    <s v="-"/>
    <n v="1"/>
    <n v="1"/>
    <n v="2"/>
    <n v="2"/>
    <n v="5"/>
    <n v="9"/>
  </r>
  <r>
    <x v="8"/>
    <x v="190"/>
    <d v="2026-08-26T00:00:00"/>
    <s v="2ND"/>
    <d v="1899-12-30T16:00:00"/>
    <n v="1"/>
    <x v="2"/>
    <n v="0.01"/>
    <s v="P"/>
    <s v="P"/>
    <s v="P"/>
    <s v="-"/>
    <s v="+"/>
    <n v="10.77"/>
    <s v="-"/>
    <s v="-"/>
    <s v="-"/>
    <s v="-"/>
    <s v="-"/>
    <s v="-"/>
    <s v="-"/>
    <s v="-"/>
    <s v="P"/>
    <s v="P"/>
    <s v="-"/>
    <n v="2"/>
    <n v="1"/>
    <n v="2"/>
    <n v="0"/>
    <s v="-"/>
    <s v="-"/>
    <s v="-"/>
    <s v="-"/>
    <s v="-"/>
    <s v="-"/>
    <s v="-"/>
    <n v="5"/>
    <n v="6"/>
    <s v="-"/>
    <n v="1"/>
    <n v="1"/>
    <n v="2"/>
    <n v="2"/>
    <n v="7"/>
    <n v="8"/>
  </r>
  <r>
    <x v="8"/>
    <x v="190"/>
    <d v="2026-08-27T00:00:00"/>
    <s v="2ND"/>
    <d v="1899-12-30T17:00:00"/>
    <n v="1"/>
    <x v="7"/>
    <s v="-"/>
    <s v="P"/>
    <s v="P"/>
    <s v="P"/>
    <s v="-"/>
    <s v="+"/>
    <n v="10.11"/>
    <n v="9.5"/>
    <s v="-"/>
    <n v="55.4"/>
    <s v="-"/>
    <s v="-"/>
    <n v="26.1"/>
    <s v="-"/>
    <s v="-"/>
    <s v="P"/>
    <s v="P"/>
    <n v="1"/>
    <s v="-"/>
    <n v="1"/>
    <n v="2"/>
    <n v="0"/>
    <n v="1"/>
    <s v="-"/>
    <n v="0"/>
    <s v="-"/>
    <s v="-"/>
    <n v="2"/>
    <s v="-"/>
    <n v="6"/>
    <n v="9"/>
    <s v="-"/>
    <n v="1"/>
    <n v="1"/>
    <n v="2"/>
    <n v="2"/>
    <n v="8"/>
    <n v="11"/>
  </r>
  <r>
    <x v="8"/>
    <x v="190"/>
    <d v="2026-08-27T00:00:00"/>
    <s v="2ND"/>
    <d v="1899-12-30T19:00:00"/>
    <n v="1"/>
    <x v="7"/>
    <s v="-"/>
    <s v="P"/>
    <s v="P"/>
    <s v="P"/>
    <s v="-"/>
    <s v="+"/>
    <n v="9.69"/>
    <s v="-"/>
    <s v="-"/>
    <s v="-"/>
    <s v="-"/>
    <s v="-"/>
    <s v="-"/>
    <s v="-"/>
    <s v="-"/>
    <s v="P"/>
    <s v="P"/>
    <s v="-"/>
    <s v="-"/>
    <n v="1"/>
    <n v="2"/>
    <n v="0"/>
    <s v="-"/>
    <s v="-"/>
    <s v="-"/>
    <s v="-"/>
    <s v="-"/>
    <s v="-"/>
    <s v="-"/>
    <n v="3"/>
    <n v="4"/>
    <s v="-"/>
    <n v="1"/>
    <n v="1"/>
    <n v="2"/>
    <n v="2"/>
    <n v="5"/>
    <n v="6"/>
  </r>
  <r>
    <x v="8"/>
    <x v="190"/>
    <d v="2026-08-27T00:00:00"/>
    <s v="2ND"/>
    <d v="1899-12-30T20:00:00"/>
    <n v="1"/>
    <x v="7"/>
    <s v="-"/>
    <s v="P"/>
    <s v="P"/>
    <s v="P"/>
    <s v="-"/>
    <s v="+"/>
    <n v="9.4"/>
    <s v="-"/>
    <s v="-"/>
    <s v="-"/>
    <s v="-"/>
    <s v="-"/>
    <s v="-"/>
    <s v="-"/>
    <s v="-"/>
    <s v="P"/>
    <s v="P"/>
    <s v="-"/>
    <s v="-"/>
    <n v="1"/>
    <n v="2"/>
    <n v="0"/>
    <s v="-"/>
    <s v="-"/>
    <s v="-"/>
    <s v="-"/>
    <s v="-"/>
    <s v="-"/>
    <s v="-"/>
    <n v="3"/>
    <n v="4"/>
    <s v="-"/>
    <n v="1"/>
    <n v="1"/>
    <n v="2"/>
    <n v="2"/>
    <n v="5"/>
    <n v="6"/>
  </r>
  <r>
    <x v="8"/>
    <x v="190"/>
    <d v="1902-03-25T00:00:00"/>
    <s v="2ND"/>
    <d v="1899-12-30T14:00:00"/>
    <n v="2"/>
    <x v="22"/>
    <s v="-"/>
    <s v="P"/>
    <s v="P"/>
    <s v="P"/>
    <s v="-"/>
    <s v="-"/>
    <n v="11.04"/>
    <s v="-"/>
    <s v="-"/>
    <s v="-"/>
    <s v="-"/>
    <s v="-"/>
    <s v="-"/>
    <s v="-"/>
    <s v="-"/>
    <s v="P"/>
    <s v="P"/>
    <s v="-"/>
    <s v="-"/>
    <n v="1"/>
    <n v="2"/>
    <n v="1"/>
    <s v="-"/>
    <s v="-"/>
    <s v="-"/>
    <s v="-"/>
    <s v="-"/>
    <s v="-"/>
    <s v="-"/>
    <n v="4"/>
    <n v="4"/>
    <s v="-"/>
    <n v="1"/>
    <n v="1"/>
    <n v="2"/>
    <n v="2"/>
    <n v="6"/>
    <n v="6"/>
  </r>
  <r>
    <x v="8"/>
    <x v="190"/>
    <d v="1899-12-30T00:00:00"/>
    <s v="2ND"/>
    <d v="1899-12-30T15:00:00"/>
    <n v="2"/>
    <x v="22"/>
    <s v="-"/>
    <s v="P"/>
    <s v="P"/>
    <s v="P"/>
    <s v="-"/>
    <s v="-"/>
    <n v="11.55"/>
    <s v="-"/>
    <s v="-"/>
    <s v="-"/>
    <s v="-"/>
    <s v="-"/>
    <s v="-"/>
    <s v="-"/>
    <s v="-"/>
    <s v="P"/>
    <s v="P"/>
    <s v="-"/>
    <s v="-"/>
    <n v="1"/>
    <n v="2"/>
    <n v="1"/>
    <s v="-"/>
    <s v="-"/>
    <s v="-"/>
    <s v="-"/>
    <s v="-"/>
    <s v="-"/>
    <s v="-"/>
    <n v="4"/>
    <n v="4"/>
    <s v="-"/>
    <n v="1"/>
    <n v="1"/>
    <n v="2"/>
    <n v="2"/>
    <n v="6"/>
    <n v="6"/>
  </r>
  <r>
    <x v="8"/>
    <x v="190"/>
    <d v="1899-12-30T00:00:00"/>
    <s v="2ND"/>
    <d v="1899-12-30T19:00:00"/>
    <n v="2"/>
    <x v="22"/>
    <s v="-"/>
    <s v="P"/>
    <s v="P"/>
    <s v="P"/>
    <s v="-"/>
    <s v="-"/>
    <n v="10.56"/>
    <s v="-"/>
    <s v="-"/>
    <s v="-"/>
    <s v="-"/>
    <s v="-"/>
    <s v="-"/>
    <s v="-"/>
    <s v="-"/>
    <s v="P"/>
    <s v="P"/>
    <s v="-"/>
    <s v="-"/>
    <n v="1"/>
    <n v="2"/>
    <n v="0"/>
    <s v="-"/>
    <s v="-"/>
    <s v="-"/>
    <s v="-"/>
    <s v="-"/>
    <s v="-"/>
    <s v="-"/>
    <n v="3"/>
    <n v="4"/>
    <s v="-"/>
    <n v="1"/>
    <n v="1"/>
    <n v="2"/>
    <n v="2"/>
    <n v="5"/>
    <n v="6"/>
  </r>
  <r>
    <x v="8"/>
    <x v="190"/>
    <d v="1899-12-30T00:00:00"/>
    <s v="2ND"/>
    <d v="1899-12-30T20:00:00"/>
    <n v="2"/>
    <x v="22"/>
    <s v="-"/>
    <s v="P"/>
    <s v="P"/>
    <s v="P"/>
    <s v="-"/>
    <s v="-"/>
    <n v="10.71"/>
    <s v="-"/>
    <s v="-"/>
    <s v="-"/>
    <s v="-"/>
    <s v="-"/>
    <s v="-"/>
    <s v="-"/>
    <s v="-"/>
    <s v="P"/>
    <s v="P"/>
    <s v="-"/>
    <s v="-"/>
    <n v="1"/>
    <n v="2"/>
    <n v="0"/>
    <s v="-"/>
    <s v="-"/>
    <s v="-"/>
    <s v="-"/>
    <s v="-"/>
    <s v="-"/>
    <s v="-"/>
    <n v="3"/>
    <n v="4"/>
    <s v="-"/>
    <n v="1"/>
    <n v="1"/>
    <n v="2"/>
    <n v="2"/>
    <n v="5"/>
    <n v="6"/>
  </r>
  <r>
    <x v="8"/>
    <x v="190"/>
    <d v="2026-08-25T00:00:00"/>
    <s v="2ND"/>
    <d v="1899-12-30T14:00:00"/>
    <n v="3"/>
    <x v="6"/>
    <n v="0.01"/>
    <s v="P"/>
    <s v="P"/>
    <s v="P"/>
    <s v="+"/>
    <s v="+"/>
    <n v="12.05"/>
    <n v="12.51"/>
    <s v="-"/>
    <s v="-"/>
    <s v="-"/>
    <s v="-"/>
    <n v="35"/>
    <s v="-"/>
    <s v="-"/>
    <s v="P"/>
    <s v="P"/>
    <s v="85% 15%"/>
    <n v="2"/>
    <n v="1"/>
    <n v="2"/>
    <n v="1"/>
    <n v="1"/>
    <s v="-"/>
    <s v="-"/>
    <s v="-"/>
    <s v="-"/>
    <n v="2"/>
    <s v="-"/>
    <n v="9"/>
    <n v="9"/>
    <s v="-"/>
    <n v="1"/>
    <n v="1"/>
    <n v="2"/>
    <n v="2"/>
    <n v="11"/>
    <n v="11"/>
  </r>
  <r>
    <x v="8"/>
    <x v="190"/>
    <d v="2026-08-25T00:00:00"/>
    <s v="2ND"/>
    <d v="1899-12-30T15:00:00"/>
    <n v="3"/>
    <x v="6"/>
    <n v="0.01"/>
    <s v="P"/>
    <s v="P"/>
    <s v="P"/>
    <s v="+"/>
    <s v="+"/>
    <n v="11.94"/>
    <s v="-"/>
    <s v="-"/>
    <s v="-"/>
    <s v="-"/>
    <s v="-"/>
    <s v="-"/>
    <s v="-"/>
    <s v="-"/>
    <s v="P"/>
    <s v="P"/>
    <s v="-"/>
    <n v="2"/>
    <n v="1"/>
    <n v="2"/>
    <n v="0"/>
    <s v="-"/>
    <s v="-"/>
    <s v="-"/>
    <s v="-"/>
    <s v="-"/>
    <s v="-"/>
    <s v="-"/>
    <n v="5"/>
    <n v="6"/>
    <s v="-"/>
    <n v="1"/>
    <n v="1"/>
    <n v="2"/>
    <n v="2"/>
    <n v="7"/>
    <n v="8"/>
  </r>
  <r>
    <x v="8"/>
    <x v="190"/>
    <d v="2026-08-25T00:00:00"/>
    <s v="2ND"/>
    <d v="1899-12-30T17:00:00"/>
    <n v="3"/>
    <x v="6"/>
    <s v="-"/>
    <s v="P"/>
    <s v="P"/>
    <s v="P"/>
    <s v="+"/>
    <s v="+"/>
    <n v="12.17"/>
    <s v="-"/>
    <s v="-"/>
    <s v="-"/>
    <s v="-"/>
    <s v="-"/>
    <s v="-"/>
    <s v="-"/>
    <s v="-"/>
    <s v="P"/>
    <s v="P"/>
    <s v="-"/>
    <s v="-"/>
    <n v="1"/>
    <n v="2"/>
    <n v="1"/>
    <s v="-"/>
    <s v="-"/>
    <s v="-"/>
    <s v="-"/>
    <s v="-"/>
    <s v="-"/>
    <s v="-"/>
    <n v="4"/>
    <n v="4"/>
    <s v="-"/>
    <n v="1"/>
    <n v="1"/>
    <n v="2"/>
    <n v="2"/>
    <n v="6"/>
    <n v="6"/>
  </r>
  <r>
    <x v="8"/>
    <x v="190"/>
    <d v="2026-08-27T00:00:00"/>
    <s v="3RD"/>
    <d v="1899-12-30T22:00:00"/>
    <n v="1"/>
    <x v="7"/>
    <s v="-"/>
    <s v="P"/>
    <s v="P"/>
    <s v="P"/>
    <s v="-"/>
    <s v="+"/>
    <n v="9.4499999999999993"/>
    <n v="9.5399999999999991"/>
    <s v="-"/>
    <s v="-"/>
    <s v="-"/>
    <s v="-"/>
    <n v="26.1"/>
    <s v="-"/>
    <s v="-"/>
    <s v="P"/>
    <s v="P"/>
    <n v="1"/>
    <s v="-"/>
    <n v="1"/>
    <n v="2"/>
    <n v="0"/>
    <n v="1"/>
    <s v="-"/>
    <s v="-"/>
    <s v="-"/>
    <s v="-"/>
    <n v="2"/>
    <s v="-"/>
    <n v="6"/>
    <n v="7"/>
    <s v="-"/>
    <n v="1"/>
    <n v="1"/>
    <n v="2"/>
    <n v="2"/>
    <n v="8"/>
    <n v="9"/>
  </r>
  <r>
    <x v="8"/>
    <x v="190"/>
    <d v="2026-08-27T00:00:00"/>
    <s v="3RD"/>
    <d v="1899-12-30T23:00:00"/>
    <n v="1"/>
    <x v="7"/>
    <s v="-"/>
    <s v="P"/>
    <s v="P"/>
    <s v="P"/>
    <s v="-"/>
    <s v="+"/>
    <n v="9.51"/>
    <s v="-"/>
    <s v="-"/>
    <s v="-"/>
    <s v="-"/>
    <s v="-"/>
    <s v="-"/>
    <s v="-"/>
    <s v="-"/>
    <s v="P"/>
    <s v="P"/>
    <s v="-"/>
    <s v="-"/>
    <n v="1"/>
    <n v="2"/>
    <n v="0"/>
    <s v="-"/>
    <s v="-"/>
    <s v="-"/>
    <s v="-"/>
    <s v="-"/>
    <s v="-"/>
    <s v="-"/>
    <n v="3"/>
    <n v="4"/>
    <s v="-"/>
    <n v="1"/>
    <n v="1"/>
    <n v="2"/>
    <n v="2"/>
    <n v="5"/>
    <n v="6"/>
  </r>
  <r>
    <x v="8"/>
    <x v="190"/>
    <d v="2026-08-27T00:00:00"/>
    <s v="3RD"/>
    <d v="1899-12-31T00:00:00"/>
    <n v="1"/>
    <x v="7"/>
    <s v="-"/>
    <s v="P"/>
    <s v="P"/>
    <s v="P"/>
    <s v="-"/>
    <s v="+"/>
    <n v="9.6999999999999993"/>
    <s v="-"/>
    <s v="-"/>
    <s v="-"/>
    <s v="-"/>
    <s v="-"/>
    <s v="-"/>
    <s v="-"/>
    <s v="-"/>
    <s v="P"/>
    <s v="P"/>
    <s v="-"/>
    <s v="-"/>
    <n v="1"/>
    <n v="2"/>
    <n v="0"/>
    <s v="-"/>
    <s v="-"/>
    <s v="-"/>
    <s v="-"/>
    <s v="-"/>
    <s v="-"/>
    <s v="-"/>
    <n v="3"/>
    <n v="4"/>
    <s v="-"/>
    <n v="1"/>
    <n v="1"/>
    <n v="2"/>
    <n v="2"/>
    <n v="5"/>
    <n v="6"/>
  </r>
  <r>
    <x v="8"/>
    <x v="190"/>
    <d v="2026-08-27T00:00:00"/>
    <s v="3RD"/>
    <d v="1899-12-31T01:00:00"/>
    <n v="1"/>
    <x v="7"/>
    <s v="-"/>
    <s v="P"/>
    <s v="P"/>
    <s v="P"/>
    <s v="-"/>
    <s v="+"/>
    <n v="9.6999999999999993"/>
    <s v="-"/>
    <s v="-"/>
    <s v="-"/>
    <s v="-"/>
    <s v="-"/>
    <s v="-"/>
    <s v="-"/>
    <s v="-"/>
    <s v="P"/>
    <s v="P"/>
    <s v="-"/>
    <s v="-"/>
    <n v="1"/>
    <n v="2"/>
    <n v="0"/>
    <s v="-"/>
    <s v="-"/>
    <s v="-"/>
    <s v="-"/>
    <s v="-"/>
    <s v="-"/>
    <s v="-"/>
    <n v="3"/>
    <n v="4"/>
    <s v="-"/>
    <n v="1"/>
    <n v="1"/>
    <n v="2"/>
    <n v="2"/>
    <n v="5"/>
    <n v="6"/>
  </r>
  <r>
    <x v="8"/>
    <x v="190"/>
    <d v="1902-03-25T00:00:00"/>
    <s v="3RD"/>
    <d v="1899-12-30T22:00:00"/>
    <n v="2"/>
    <x v="22"/>
    <s v="-"/>
    <s v="P"/>
    <s v="P"/>
    <s v="P"/>
    <s v="-"/>
    <s v="-"/>
    <n v="10.65"/>
    <s v="-"/>
    <s v="-"/>
    <s v="-"/>
    <s v="-"/>
    <s v="-"/>
    <s v="-"/>
    <s v="-"/>
    <s v="-"/>
    <s v="P"/>
    <s v="P"/>
    <s v="-"/>
    <s v="-"/>
    <n v="1"/>
    <n v="2"/>
    <n v="0"/>
    <s v="-"/>
    <s v="-"/>
    <s v="-"/>
    <s v="-"/>
    <s v="-"/>
    <s v="-"/>
    <s v="-"/>
    <n v="3"/>
    <n v="4"/>
    <s v="-"/>
    <n v="1"/>
    <n v="1"/>
    <n v="2"/>
    <n v="2"/>
    <n v="5"/>
    <n v="6"/>
  </r>
  <r>
    <x v="8"/>
    <x v="190"/>
    <d v="1899-12-30T00:00:00"/>
    <s v="3RD"/>
    <d v="1899-12-30T23:00:00"/>
    <n v="2"/>
    <x v="22"/>
    <s v="-"/>
    <s v="P"/>
    <s v="P"/>
    <s v="P"/>
    <s v="-"/>
    <s v="-"/>
    <n v="10.41"/>
    <s v="-"/>
    <s v="-"/>
    <s v="-"/>
    <s v="-"/>
    <s v="-"/>
    <s v="-"/>
    <s v="-"/>
    <s v="-"/>
    <s v="P"/>
    <s v="P"/>
    <s v="-"/>
    <s v="-"/>
    <n v="1"/>
    <n v="2"/>
    <n v="0"/>
    <s v="-"/>
    <s v="-"/>
    <s v="-"/>
    <s v="-"/>
    <s v="-"/>
    <s v="-"/>
    <s v="-"/>
    <n v="3"/>
    <n v="4"/>
    <s v="-"/>
    <n v="1"/>
    <n v="1"/>
    <n v="2"/>
    <n v="2"/>
    <n v="5"/>
    <n v="6"/>
  </r>
  <r>
    <x v="8"/>
    <x v="190"/>
    <d v="1899-12-30T00:00:00"/>
    <s v="3RD"/>
    <d v="1899-12-31T00:00:00"/>
    <n v="2"/>
    <x v="22"/>
    <s v="-"/>
    <s v="P"/>
    <s v="P"/>
    <s v="P"/>
    <s v="-"/>
    <s v="-"/>
    <n v="10.72"/>
    <s v="-"/>
    <s v="-"/>
    <s v="-"/>
    <s v="-"/>
    <s v="-"/>
    <s v="-"/>
    <s v="-"/>
    <s v="-"/>
    <s v="P"/>
    <s v="P"/>
    <s v="-"/>
    <s v="-"/>
    <n v="1"/>
    <n v="2"/>
    <n v="0"/>
    <s v="-"/>
    <s v="-"/>
    <s v="-"/>
    <s v="-"/>
    <s v="-"/>
    <s v="-"/>
    <s v="-"/>
    <n v="3"/>
    <n v="4"/>
    <s v="-"/>
    <n v="1"/>
    <n v="1"/>
    <n v="2"/>
    <n v="2"/>
    <n v="5"/>
    <n v="6"/>
  </r>
  <r>
    <x v="8"/>
    <x v="190"/>
    <d v="1899-12-30T00:00:00"/>
    <s v="3RD"/>
    <d v="1899-12-31T01:00:00"/>
    <n v="2"/>
    <x v="22"/>
    <s v="-"/>
    <s v="P"/>
    <s v="P"/>
    <s v="P"/>
    <s v="-"/>
    <s v="-"/>
    <n v="10.7"/>
    <s v="-"/>
    <s v="-"/>
    <s v="-"/>
    <s v="-"/>
    <s v="-"/>
    <s v="-"/>
    <s v="-"/>
    <s v="-"/>
    <s v="P"/>
    <s v="P"/>
    <s v="-"/>
    <s v="-"/>
    <n v="1"/>
    <n v="2"/>
    <n v="0"/>
    <s v="-"/>
    <s v="-"/>
    <s v="-"/>
    <s v="-"/>
    <s v="-"/>
    <s v="-"/>
    <s v="-"/>
    <n v="3"/>
    <n v="4"/>
    <s v="-"/>
    <n v="1"/>
    <n v="1"/>
    <n v="2"/>
    <n v="2"/>
    <n v="5"/>
    <n v="6"/>
  </r>
  <r>
    <x v="8"/>
    <x v="190"/>
    <d v="1899-12-30T00:00:00"/>
    <s v="3RD"/>
    <d v="1899-12-31T02:00:00"/>
    <n v="2"/>
    <x v="22"/>
    <s v="-"/>
    <s v="P"/>
    <s v="P"/>
    <s v="P"/>
    <s v="-"/>
    <s v="-"/>
    <n v="11.01"/>
    <s v="-"/>
    <s v="-"/>
    <s v="-"/>
    <s v="-"/>
    <s v="-"/>
    <s v="-"/>
    <s v="-"/>
    <s v="-"/>
    <s v="P"/>
    <s v="P"/>
    <s v="-"/>
    <s v="-"/>
    <n v="1"/>
    <n v="2"/>
    <n v="1"/>
    <s v="-"/>
    <s v="-"/>
    <s v="-"/>
    <s v="-"/>
    <s v="-"/>
    <s v="-"/>
    <s v="-"/>
    <n v="4"/>
    <n v="4"/>
    <s v="-"/>
    <n v="1"/>
    <n v="1"/>
    <n v="2"/>
    <n v="2"/>
    <n v="6"/>
    <n v="6"/>
  </r>
  <r>
    <x v="8"/>
    <x v="190"/>
    <d v="1899-12-30T00:00:00"/>
    <s v="3RD"/>
    <d v="1899-12-31T03:00:00"/>
    <n v="2"/>
    <x v="22"/>
    <s v="-"/>
    <s v="P"/>
    <s v="P"/>
    <s v="P"/>
    <s v="-"/>
    <s v="-"/>
    <n v="11.11"/>
    <s v="-"/>
    <s v="-"/>
    <s v="-"/>
    <s v="-"/>
    <s v="-"/>
    <s v="-"/>
    <s v="-"/>
    <s v="-"/>
    <s v="P"/>
    <s v="P"/>
    <s v="95% 5%"/>
    <s v="-"/>
    <n v="1"/>
    <n v="2"/>
    <n v="1"/>
    <s v="-"/>
    <s v="-"/>
    <s v="-"/>
    <s v="-"/>
    <s v="-"/>
    <s v="-"/>
    <s v="-"/>
    <n v="4"/>
    <n v="4"/>
    <s v="-"/>
    <n v="1"/>
    <n v="1"/>
    <n v="2"/>
    <n v="2"/>
    <n v="6"/>
    <n v="6"/>
  </r>
  <r>
    <x v="8"/>
    <x v="190"/>
    <d v="1899-12-30T00:00:00"/>
    <s v="3RD"/>
    <d v="1899-12-31T04:00:00"/>
    <n v="2"/>
    <x v="20"/>
    <s v="-"/>
    <s v="P"/>
    <s v="P"/>
    <s v="P"/>
    <s v="-"/>
    <s v="-"/>
    <n v="11.81"/>
    <n v="11.84"/>
    <s v="-"/>
    <n v="63.8"/>
    <s v="-"/>
    <s v="-"/>
    <n v="33.1"/>
    <s v="-"/>
    <s v="-"/>
    <s v="P"/>
    <s v="P"/>
    <s v="-"/>
    <s v="-"/>
    <n v="1"/>
    <n v="2"/>
    <n v="1"/>
    <n v="0"/>
    <s v="-"/>
    <n v="2"/>
    <s v="-"/>
    <s v="-"/>
    <n v="2"/>
    <s v="-"/>
    <n v="8"/>
    <n v="9"/>
    <s v="-"/>
    <n v="1"/>
    <n v="1"/>
    <n v="2"/>
    <n v="2"/>
    <n v="10"/>
    <n v="11"/>
  </r>
  <r>
    <x v="8"/>
    <x v="190"/>
    <d v="1899-12-30T00:00:00"/>
    <s v="3RD"/>
    <d v="1899-12-31T05:00:00"/>
    <n v="2"/>
    <x v="20"/>
    <s v="-"/>
    <s v="P"/>
    <s v="P"/>
    <s v="P"/>
    <s v="-"/>
    <s v="-"/>
    <n v="12.28"/>
    <s v="-"/>
    <s v="-"/>
    <s v="-"/>
    <s v="-"/>
    <s v="-"/>
    <s v="-"/>
    <s v="-"/>
    <s v="-"/>
    <s v="P"/>
    <s v="P"/>
    <s v="-"/>
    <s v="-"/>
    <n v="1"/>
    <n v="2"/>
    <n v="1"/>
    <s v="-"/>
    <s v="-"/>
    <s v="-"/>
    <s v="-"/>
    <s v="-"/>
    <s v="-"/>
    <s v="-"/>
    <n v="4"/>
    <n v="4"/>
    <s v="-"/>
    <n v="1"/>
    <n v="1"/>
    <n v="2"/>
    <n v="2"/>
    <n v="6"/>
    <n v="6"/>
  </r>
  <r>
    <x v="8"/>
    <x v="190"/>
    <d v="2026-08-25T00:00:00"/>
    <s v="3RD"/>
    <d v="1899-12-31T03:00:00"/>
    <n v="3"/>
    <x v="6"/>
    <n v="0.01"/>
    <s v="P"/>
    <s v="P"/>
    <s v="P"/>
    <s v="+"/>
    <s v="+"/>
    <s v="-"/>
    <n v="12.39"/>
    <s v="-"/>
    <s v="-"/>
    <s v="-"/>
    <s v="-"/>
    <n v="34.799999999999997"/>
    <s v="-"/>
    <s v="-"/>
    <s v="P"/>
    <s v="P"/>
    <s v="85% 15%"/>
    <n v="2"/>
    <n v="1"/>
    <n v="2"/>
    <s v="-"/>
    <n v="1"/>
    <s v="-"/>
    <s v="-"/>
    <s v="-"/>
    <s v="-"/>
    <n v="2"/>
    <s v="-"/>
    <n v="8"/>
    <n v="8"/>
    <s v="-"/>
    <n v="1"/>
    <n v="1"/>
    <n v="2"/>
    <n v="2"/>
    <n v="10"/>
    <n v="10"/>
  </r>
  <r>
    <x v="8"/>
    <x v="190"/>
    <d v="2026-08-25T00:00:00"/>
    <s v="3RD"/>
    <d v="1899-12-31T04:00:00"/>
    <n v="3"/>
    <x v="6"/>
    <n v="0.01"/>
    <s v="P"/>
    <s v="P"/>
    <s v="P"/>
    <s v="+"/>
    <s v="+"/>
    <n v="11.97"/>
    <s v="-"/>
    <s v="-"/>
    <s v="-"/>
    <s v="-"/>
    <s v="-"/>
    <s v="-"/>
    <s v="-"/>
    <s v="-"/>
    <s v="P"/>
    <s v="P"/>
    <s v="-"/>
    <n v="2"/>
    <n v="1"/>
    <n v="2"/>
    <n v="0"/>
    <s v="-"/>
    <s v="-"/>
    <s v="-"/>
    <s v="-"/>
    <s v="-"/>
    <s v="-"/>
    <s v="-"/>
    <n v="5"/>
    <n v="6"/>
    <s v="-"/>
    <n v="1"/>
    <n v="1"/>
    <n v="2"/>
    <n v="2"/>
    <n v="7"/>
    <n v="8"/>
  </r>
  <r>
    <x v="8"/>
    <x v="191"/>
    <d v="2026-08-27T00:00:00"/>
    <s v="1ST"/>
    <s v="06:00"/>
    <n v="1"/>
    <x v="21"/>
    <s v="-"/>
    <s v="P"/>
    <s v="P"/>
    <s v="P"/>
    <s v="-"/>
    <s v="+"/>
    <n v="9.8000000000000007"/>
    <n v="9.31"/>
    <n v="0.54"/>
    <n v="54.4"/>
    <s v="-"/>
    <s v="-"/>
    <n v="25.5"/>
    <s v="-"/>
    <n v="25.19"/>
    <s v="P"/>
    <s v="P"/>
    <n v="1"/>
    <s v="-"/>
    <n v="1"/>
    <n v="2"/>
    <n v="0"/>
    <s v="-"/>
    <n v="2"/>
    <n v="2"/>
    <s v="-"/>
    <s v="-"/>
    <n v="2"/>
    <s v="-"/>
    <n v="9"/>
    <n v="10"/>
    <n v="1"/>
    <n v="1"/>
    <n v="1"/>
    <n v="3"/>
    <n v="3"/>
    <n v="12"/>
    <n v="13"/>
  </r>
  <r>
    <x v="8"/>
    <x v="191"/>
    <d v="2026-08-27T00:00:00"/>
    <s v="1ST"/>
    <s v="07:00"/>
    <n v="1"/>
    <x v="21"/>
    <n v="0.01"/>
    <s v="P"/>
    <s v="P"/>
    <s v="P"/>
    <s v="-"/>
    <s v="+"/>
    <n v="9.81"/>
    <s v="-"/>
    <s v="-"/>
    <s v="-"/>
    <s v="-"/>
    <s v="-"/>
    <s v="-"/>
    <s v="-"/>
    <s v="-"/>
    <s v="P"/>
    <s v="P"/>
    <s v="-"/>
    <n v="2"/>
    <n v="1"/>
    <n v="2"/>
    <n v="0"/>
    <s v="-"/>
    <s v="-"/>
    <s v="-"/>
    <s v="-"/>
    <s v="-"/>
    <s v="-"/>
    <s v="-"/>
    <n v="5"/>
    <n v="6"/>
    <s v="-"/>
    <n v="1"/>
    <n v="1"/>
    <n v="2"/>
    <n v="2"/>
    <n v="7"/>
    <n v="8"/>
  </r>
  <r>
    <x v="8"/>
    <x v="191"/>
    <d v="2026-08-27T00:00:00"/>
    <s v="1ST"/>
    <s v="08:00"/>
    <n v="1"/>
    <x v="21"/>
    <n v="0.01"/>
    <s v="P"/>
    <s v="P"/>
    <s v="P"/>
    <s v="-"/>
    <s v="+"/>
    <n v="10"/>
    <s v="-"/>
    <s v="-"/>
    <s v="-"/>
    <s v="-"/>
    <s v="-"/>
    <s v="-"/>
    <s v="-"/>
    <s v="-"/>
    <s v="P"/>
    <s v="P"/>
    <s v="-"/>
    <n v="2"/>
    <n v="1"/>
    <n v="2"/>
    <n v="0"/>
    <s v="-"/>
    <s v="-"/>
    <s v="-"/>
    <s v="-"/>
    <s v="-"/>
    <s v="-"/>
    <s v="-"/>
    <n v="5"/>
    <n v="6"/>
    <s v="-"/>
    <n v="1"/>
    <n v="1"/>
    <n v="2"/>
    <n v="2"/>
    <n v="7"/>
    <n v="8"/>
  </r>
  <r>
    <x v="8"/>
    <x v="191"/>
    <d v="2026-08-27T00:00:00"/>
    <s v="1ST"/>
    <s v="09:00"/>
    <n v="1"/>
    <x v="21"/>
    <s v="-"/>
    <s v="P"/>
    <s v="P"/>
    <s v="P"/>
    <s v="-"/>
    <s v="+"/>
    <n v="10.18"/>
    <s v="-"/>
    <s v="-"/>
    <s v="-"/>
    <s v="-"/>
    <s v="-"/>
    <s v="-"/>
    <s v="-"/>
    <s v="-"/>
    <s v="P"/>
    <s v="P"/>
    <s v="-"/>
    <s v="-"/>
    <n v="1"/>
    <n v="2"/>
    <n v="0"/>
    <s v="-"/>
    <s v="-"/>
    <s v="-"/>
    <s v="-"/>
    <s v="-"/>
    <s v="-"/>
    <s v="-"/>
    <n v="3"/>
    <n v="4"/>
    <s v="-"/>
    <n v="1"/>
    <n v="1"/>
    <n v="2"/>
    <n v="2"/>
    <n v="5"/>
    <n v="6"/>
  </r>
  <r>
    <x v="8"/>
    <x v="191"/>
    <d v="2026-08-27T00:00:00"/>
    <s v="1ST"/>
    <s v="10:00"/>
    <n v="1"/>
    <x v="21"/>
    <n v="0.01"/>
    <s v="-"/>
    <s v="P"/>
    <s v="P"/>
    <s v="-"/>
    <s v="+"/>
    <n v="9.7899999999999991"/>
    <s v="-"/>
    <s v="-"/>
    <s v="-"/>
    <s v="-"/>
    <s v="-"/>
    <s v="-"/>
    <s v="-"/>
    <s v="-"/>
    <s v="P"/>
    <s v="P"/>
    <s v="-"/>
    <n v="2"/>
    <s v="-"/>
    <n v="2"/>
    <n v="0"/>
    <s v="-"/>
    <s v="-"/>
    <s v="-"/>
    <s v="-"/>
    <s v="-"/>
    <s v="-"/>
    <s v="-"/>
    <n v="4"/>
    <n v="5"/>
    <s v="-"/>
    <n v="1"/>
    <n v="1"/>
    <n v="2"/>
    <n v="2"/>
    <n v="6"/>
    <n v="7"/>
  </r>
  <r>
    <x v="8"/>
    <x v="191"/>
    <d v="2026-08-27T00:00:00"/>
    <s v="1ST"/>
    <s v="12:00"/>
    <n v="1"/>
    <x v="21"/>
    <n v="0.01"/>
    <s v="P"/>
    <s v="P"/>
    <s v="P"/>
    <s v="-"/>
    <s v="+"/>
    <n v="9.65"/>
    <s v="-"/>
    <s v="-"/>
    <s v="-"/>
    <s v="-"/>
    <s v="-"/>
    <s v="-"/>
    <s v="-"/>
    <s v="-"/>
    <s v="P"/>
    <s v="P"/>
    <s v="-"/>
    <n v="2"/>
    <n v="1"/>
    <n v="2"/>
    <n v="0"/>
    <s v="-"/>
    <s v="-"/>
    <s v="-"/>
    <s v="-"/>
    <s v="-"/>
    <s v="-"/>
    <s v="-"/>
    <n v="5"/>
    <n v="6"/>
    <s v="-"/>
    <n v="1"/>
    <n v="1"/>
    <n v="2"/>
    <n v="2"/>
    <n v="7"/>
    <n v="8"/>
  </r>
  <r>
    <x v="8"/>
    <x v="191"/>
    <d v="2026-08-27T00:00:00"/>
    <s v="1ST"/>
    <s v="13:00"/>
    <n v="1"/>
    <x v="21"/>
    <n v="0.01"/>
    <s v="P"/>
    <s v="P"/>
    <s v="P"/>
    <s v="-"/>
    <s v="+"/>
    <n v="9.65"/>
    <s v="-"/>
    <s v="-"/>
    <s v="-"/>
    <s v="-"/>
    <s v="-"/>
    <s v="-"/>
    <s v="-"/>
    <s v="-"/>
    <s v="P"/>
    <s v="P"/>
    <s v="-"/>
    <n v="2"/>
    <n v="1"/>
    <n v="2"/>
    <n v="0"/>
    <s v="-"/>
    <s v="-"/>
    <s v="-"/>
    <s v="-"/>
    <s v="-"/>
    <s v="-"/>
    <s v="-"/>
    <n v="5"/>
    <n v="6"/>
    <s v="-"/>
    <n v="1"/>
    <n v="1"/>
    <n v="2"/>
    <n v="2"/>
    <n v="7"/>
    <n v="8"/>
  </r>
  <r>
    <x v="8"/>
    <x v="191"/>
    <d v="1902-03-25T00:00:00"/>
    <s v="1ST"/>
    <s v="06:00"/>
    <n v="2"/>
    <x v="20"/>
    <n v="0.01"/>
    <s v="P"/>
    <s v="P"/>
    <s v="P"/>
    <s v="-"/>
    <s v="-"/>
    <n v="12.23"/>
    <s v="-"/>
    <s v="-"/>
    <s v="-"/>
    <s v="-"/>
    <s v="-"/>
    <s v="-"/>
    <s v="-"/>
    <n v="25.19"/>
    <s v="P"/>
    <s v="P"/>
    <s v="-"/>
    <n v="2"/>
    <n v="1"/>
    <n v="2"/>
    <n v="1"/>
    <s v="-"/>
    <s v="-"/>
    <s v="-"/>
    <s v="-"/>
    <s v="-"/>
    <s v="-"/>
    <s v="-"/>
    <n v="6"/>
    <n v="6"/>
    <n v="1"/>
    <n v="1"/>
    <n v="1"/>
    <n v="3"/>
    <n v="3"/>
    <n v="9"/>
    <n v="9"/>
  </r>
  <r>
    <x v="8"/>
    <x v="191"/>
    <d v="1899-12-30T00:00:00"/>
    <s v="1ST"/>
    <s v="07:00"/>
    <n v="2"/>
    <x v="20"/>
    <s v="-"/>
    <s v="P"/>
    <s v="P"/>
    <s v="P"/>
    <s v="-"/>
    <s v="-"/>
    <n v="12.13"/>
    <s v="-"/>
    <s v="-"/>
    <s v="-"/>
    <s v="-"/>
    <s v="-"/>
    <s v="-"/>
    <s v="-"/>
    <s v="-"/>
    <s v="P"/>
    <s v="P"/>
    <s v="-"/>
    <s v="-"/>
    <n v="1"/>
    <n v="2"/>
    <n v="1"/>
    <s v="-"/>
    <s v="-"/>
    <s v="-"/>
    <s v="-"/>
    <s v="-"/>
    <s v="-"/>
    <s v="-"/>
    <n v="4"/>
    <n v="4"/>
    <s v="-"/>
    <n v="1"/>
    <n v="1"/>
    <n v="2"/>
    <n v="2"/>
    <n v="6"/>
    <n v="6"/>
  </r>
  <r>
    <x v="8"/>
    <x v="191"/>
    <d v="1899-12-30T00:00:00"/>
    <s v="1ST"/>
    <s v="08:00"/>
    <n v="2"/>
    <x v="20"/>
    <s v="-"/>
    <s v="P"/>
    <s v="P"/>
    <s v="P"/>
    <s v="-"/>
    <s v="-"/>
    <n v="12.13"/>
    <s v="-"/>
    <s v="-"/>
    <s v="-"/>
    <s v="-"/>
    <s v="-"/>
    <s v="-"/>
    <s v="-"/>
    <s v="-"/>
    <s v="P"/>
    <s v="P"/>
    <s v="-"/>
    <s v="-"/>
    <n v="1"/>
    <n v="2"/>
    <n v="1"/>
    <s v="-"/>
    <s v="-"/>
    <s v="-"/>
    <s v="-"/>
    <s v="-"/>
    <s v="-"/>
    <s v="-"/>
    <n v="4"/>
    <n v="4"/>
    <s v="-"/>
    <n v="1"/>
    <n v="1"/>
    <n v="2"/>
    <n v="2"/>
    <n v="6"/>
    <n v="6"/>
  </r>
  <r>
    <x v="8"/>
    <x v="191"/>
    <d v="1899-12-30T00:00:00"/>
    <s v="1ST"/>
    <s v="09:00"/>
    <n v="2"/>
    <x v="20"/>
    <s v="-"/>
    <s v="P"/>
    <s v="P"/>
    <s v="P"/>
    <s v="-"/>
    <s v="-"/>
    <n v="12.26"/>
    <s v="-"/>
    <s v="-"/>
    <s v="-"/>
    <s v="-"/>
    <s v="-"/>
    <s v="-"/>
    <s v="-"/>
    <s v="-"/>
    <s v="P"/>
    <s v="P"/>
    <s v="-"/>
    <s v="-"/>
    <n v="1"/>
    <n v="2"/>
    <n v="1"/>
    <s v="-"/>
    <s v="-"/>
    <s v="-"/>
    <s v="-"/>
    <s v="-"/>
    <s v="-"/>
    <s v="-"/>
    <n v="4"/>
    <n v="4"/>
    <s v="-"/>
    <n v="1"/>
    <n v="1"/>
    <n v="2"/>
    <n v="2"/>
    <n v="6"/>
    <n v="6"/>
  </r>
  <r>
    <x v="8"/>
    <x v="191"/>
    <d v="1899-12-30T00:00:00"/>
    <s v="1ST"/>
    <s v="10:00"/>
    <n v="2"/>
    <x v="20"/>
    <n v="0.01"/>
    <s v="P"/>
    <s v="P"/>
    <s v="P"/>
    <s v="-"/>
    <s v="-"/>
    <n v="12.3"/>
    <s v="-"/>
    <s v="-"/>
    <s v="-"/>
    <s v="-"/>
    <s v="-"/>
    <s v="-"/>
    <s v="-"/>
    <s v="-"/>
    <s v="P"/>
    <s v="P"/>
    <s v="-"/>
    <n v="2"/>
    <n v="1"/>
    <n v="2"/>
    <n v="1"/>
    <s v="-"/>
    <s v="-"/>
    <s v="-"/>
    <s v="-"/>
    <s v="-"/>
    <s v="-"/>
    <s v="-"/>
    <n v="6"/>
    <n v="6"/>
    <s v="-"/>
    <n v="1"/>
    <n v="1"/>
    <n v="2"/>
    <n v="2"/>
    <n v="8"/>
    <n v="8"/>
  </r>
  <r>
    <x v="8"/>
    <x v="191"/>
    <d v="1899-12-30T00:00:00"/>
    <s v="1ST"/>
    <s v="12:00"/>
    <n v="2"/>
    <x v="20"/>
    <s v="-"/>
    <s v="P"/>
    <s v="P"/>
    <s v="P"/>
    <s v="-"/>
    <s v="-"/>
    <n v="11.82"/>
    <s v="-"/>
    <s v="-"/>
    <s v="-"/>
    <s v="-"/>
    <s v="-"/>
    <s v="-"/>
    <s v="-"/>
    <s v="-"/>
    <s v="P"/>
    <s v="P"/>
    <s v="-"/>
    <s v="-"/>
    <n v="1"/>
    <n v="2"/>
    <n v="1"/>
    <s v="-"/>
    <s v="-"/>
    <s v="-"/>
    <s v="-"/>
    <s v="-"/>
    <s v="-"/>
    <s v="-"/>
    <n v="4"/>
    <n v="4"/>
    <s v="-"/>
    <n v="1"/>
    <n v="1"/>
    <n v="2"/>
    <n v="2"/>
    <n v="6"/>
    <n v="6"/>
  </r>
  <r>
    <x v="8"/>
    <x v="191"/>
    <d v="1899-12-30T00:00:00"/>
    <s v="1ST"/>
    <s v="13:00"/>
    <n v="2"/>
    <x v="20"/>
    <n v="0.01"/>
    <s v="P"/>
    <s v="P"/>
    <s v="P"/>
    <s v="-"/>
    <s v="-"/>
    <n v="11.98"/>
    <s v="-"/>
    <s v="-"/>
    <s v="-"/>
    <s v="-"/>
    <s v="-"/>
    <s v="-"/>
    <s v="-"/>
    <s v="-"/>
    <s v="P"/>
    <s v="P"/>
    <s v="-"/>
    <n v="2"/>
    <n v="1"/>
    <n v="2"/>
    <n v="1"/>
    <s v="-"/>
    <s v="-"/>
    <s v="-"/>
    <s v="-"/>
    <s v="-"/>
    <s v="-"/>
    <s v="-"/>
    <n v="6"/>
    <n v="6"/>
    <s v="-"/>
    <n v="1"/>
    <n v="1"/>
    <n v="2"/>
    <n v="2"/>
    <n v="8"/>
    <n v="8"/>
  </r>
  <r>
    <x v="8"/>
    <x v="191"/>
    <d v="2026-08-25T00:00:00"/>
    <s v="1ST"/>
    <s v="06:00"/>
    <n v="3"/>
    <x v="6"/>
    <s v="-"/>
    <s v="P"/>
    <s v="P"/>
    <s v="P"/>
    <s v="+"/>
    <s v="+"/>
    <n v="11.83"/>
    <n v="12.14"/>
    <n v="0.55000000000000004"/>
    <n v="64"/>
    <s v="-"/>
    <s v="-"/>
    <n v="33.9"/>
    <s v="-"/>
    <n v="25.16"/>
    <s v="P"/>
    <s v="P"/>
    <s v="85% 15%"/>
    <s v="-"/>
    <n v="1"/>
    <n v="2"/>
    <n v="0"/>
    <n v="1"/>
    <n v="2"/>
    <n v="2"/>
    <s v="-"/>
    <s v="-"/>
    <n v="2"/>
    <s v="-"/>
    <n v="10"/>
    <n v="11"/>
    <n v="1"/>
    <n v="1"/>
    <n v="1"/>
    <n v="3"/>
    <n v="3"/>
    <n v="13"/>
    <n v="14"/>
  </r>
  <r>
    <x v="8"/>
    <x v="191"/>
    <d v="2026-08-25T00:00:00"/>
    <s v="1ST"/>
    <s v="07:00"/>
    <n v="3"/>
    <x v="6"/>
    <n v="0.01"/>
    <s v="P"/>
    <s v="P"/>
    <s v="P"/>
    <s v="+"/>
    <s v="+"/>
    <n v="12.32"/>
    <s v="-"/>
    <s v="-"/>
    <s v="-"/>
    <s v="-"/>
    <s v="-"/>
    <s v="-"/>
    <s v="-"/>
    <s v="-"/>
    <s v="P"/>
    <s v="P"/>
    <s v="-"/>
    <n v="2"/>
    <n v="1"/>
    <n v="2"/>
    <n v="1"/>
    <s v="-"/>
    <s v="-"/>
    <s v="-"/>
    <s v="-"/>
    <s v="-"/>
    <s v="-"/>
    <s v="-"/>
    <n v="6"/>
    <n v="6"/>
    <s v="-"/>
    <n v="1"/>
    <n v="1"/>
    <n v="2"/>
    <n v="2"/>
    <n v="8"/>
    <n v="8"/>
  </r>
  <r>
    <x v="8"/>
    <x v="191"/>
    <d v="2026-08-25T00:00:00"/>
    <s v="1ST"/>
    <s v="09:00"/>
    <n v="3"/>
    <x v="1"/>
    <n v="0.01"/>
    <s v="P"/>
    <s v="P"/>
    <s v="P"/>
    <s v="+"/>
    <s v="+"/>
    <n v="12.32"/>
    <n v="13.25"/>
    <n v="0.56999999999999995"/>
    <n v="64.2"/>
    <s v="-"/>
    <s v="-"/>
    <n v="37.200000000000003"/>
    <s v="-"/>
    <s v="-"/>
    <s v="P"/>
    <s v="P"/>
    <n v="1"/>
    <n v="2"/>
    <n v="1"/>
    <n v="2"/>
    <n v="1"/>
    <n v="1"/>
    <n v="2"/>
    <n v="2"/>
    <s v="-"/>
    <s v="-"/>
    <n v="2"/>
    <s v="-"/>
    <n v="13"/>
    <n v="13"/>
    <s v="-"/>
    <n v="1"/>
    <n v="1"/>
    <n v="2"/>
    <n v="2"/>
    <n v="15"/>
    <n v="15"/>
  </r>
  <r>
    <x v="8"/>
    <x v="191"/>
    <d v="2026-08-25T00:00:00"/>
    <s v="1ST"/>
    <s v="10:00"/>
    <n v="3"/>
    <x v="1"/>
    <n v="0.01"/>
    <s v="P"/>
    <s v="P"/>
    <s v="P"/>
    <s v="+"/>
    <s v="+"/>
    <n v="12.32"/>
    <s v="-"/>
    <s v="-"/>
    <s v="-"/>
    <s v="-"/>
    <s v="-"/>
    <s v="-"/>
    <s v="-"/>
    <s v="-"/>
    <s v="P"/>
    <s v="P"/>
    <s v="-"/>
    <n v="2"/>
    <n v="1"/>
    <n v="2"/>
    <n v="1"/>
    <s v="-"/>
    <s v="-"/>
    <s v="-"/>
    <s v="-"/>
    <s v="-"/>
    <s v="-"/>
    <s v="-"/>
    <n v="6"/>
    <n v="6"/>
    <s v="-"/>
    <n v="1"/>
    <n v="1"/>
    <n v="2"/>
    <n v="2"/>
    <n v="8"/>
    <n v="8"/>
  </r>
  <r>
    <x v="8"/>
    <x v="191"/>
    <d v="2026-08-25T00:00:00"/>
    <s v="1ST"/>
    <s v="12:00"/>
    <n v="3"/>
    <x v="1"/>
    <n v="0.01"/>
    <s v="P"/>
    <s v="P"/>
    <s v="P"/>
    <s v="+"/>
    <s v="+"/>
    <n v="12.18"/>
    <s v="-"/>
    <s v="-"/>
    <s v="-"/>
    <s v="-"/>
    <s v="-"/>
    <s v="-"/>
    <s v="-"/>
    <s v="-"/>
    <s v="P"/>
    <s v="P"/>
    <s v="95% 5%"/>
    <n v="2"/>
    <n v="1"/>
    <n v="2"/>
    <n v="1"/>
    <s v="-"/>
    <s v="-"/>
    <s v="-"/>
    <s v="-"/>
    <s v="-"/>
    <s v="-"/>
    <s v="-"/>
    <n v="6"/>
    <n v="6"/>
    <s v="-"/>
    <n v="1"/>
    <n v="1"/>
    <n v="2"/>
    <n v="2"/>
    <n v="8"/>
    <n v="8"/>
  </r>
  <r>
    <x v="8"/>
    <x v="191"/>
    <d v="2026-08-25T00:00:00"/>
    <s v="1ST"/>
    <s v="13:00"/>
    <n v="3"/>
    <x v="1"/>
    <n v="0.01"/>
    <s v="P"/>
    <s v="P"/>
    <s v="P"/>
    <s v="+"/>
    <s v="+"/>
    <n v="12.3"/>
    <s v="-"/>
    <s v="-"/>
    <s v="-"/>
    <s v="-"/>
    <s v="-"/>
    <s v="-"/>
    <s v="-"/>
    <s v="-"/>
    <s v="P"/>
    <s v="P"/>
    <s v="-"/>
    <n v="2"/>
    <n v="1"/>
    <n v="2"/>
    <n v="1"/>
    <s v="-"/>
    <s v="-"/>
    <s v="-"/>
    <s v="-"/>
    <s v="-"/>
    <s v="-"/>
    <s v="-"/>
    <n v="6"/>
    <n v="6"/>
    <s v="-"/>
    <n v="1"/>
    <n v="1"/>
    <n v="2"/>
    <n v="2"/>
    <n v="8"/>
    <n v="8"/>
  </r>
  <r>
    <x v="8"/>
    <x v="191"/>
    <d v="2026-08-27T00:00:00"/>
    <s v="2ND"/>
    <d v="1899-12-30T14:00:00"/>
    <n v="1"/>
    <x v="21"/>
    <n v="0.01"/>
    <s v="P"/>
    <s v="P"/>
    <s v="P"/>
    <s v="-"/>
    <s v="+"/>
    <n v="9.58"/>
    <n v="9.91"/>
    <s v="-"/>
    <s v="-"/>
    <s v="-"/>
    <s v="-"/>
    <n v="27.4"/>
    <s v="-"/>
    <s v="-"/>
    <s v="P"/>
    <s v="P"/>
    <n v="1"/>
    <n v="2"/>
    <n v="1"/>
    <n v="2"/>
    <n v="0"/>
    <s v="-"/>
    <s v="-"/>
    <s v="-"/>
    <s v="-"/>
    <s v="-"/>
    <n v="2"/>
    <s v="-"/>
    <n v="7"/>
    <n v="8"/>
    <s v="-"/>
    <n v="1"/>
    <n v="1"/>
    <n v="2"/>
    <n v="2"/>
    <n v="9"/>
    <n v="10"/>
  </r>
  <r>
    <x v="8"/>
    <x v="191"/>
    <d v="2026-08-27T00:00:00"/>
    <s v="2ND"/>
    <d v="1899-12-30T15:00:00"/>
    <n v="1"/>
    <x v="21"/>
    <n v="0.01"/>
    <s v="P"/>
    <s v="P"/>
    <s v="P"/>
    <s v="-"/>
    <s v="+"/>
    <n v="9.5399999999999991"/>
    <s v="-"/>
    <s v="-"/>
    <s v="-"/>
    <s v="-"/>
    <s v="-"/>
    <s v="-"/>
    <s v="-"/>
    <s v="-"/>
    <s v="P"/>
    <s v="P"/>
    <s v="-"/>
    <n v="2"/>
    <n v="1"/>
    <n v="2"/>
    <n v="0"/>
    <s v="-"/>
    <s v="-"/>
    <s v="-"/>
    <s v="-"/>
    <s v="-"/>
    <s v="-"/>
    <s v="-"/>
    <n v="5"/>
    <n v="6"/>
    <s v="-"/>
    <n v="1"/>
    <n v="1"/>
    <n v="2"/>
    <n v="2"/>
    <n v="7"/>
    <n v="8"/>
  </r>
  <r>
    <x v="8"/>
    <x v="191"/>
    <d v="2026-08-27T00:00:00"/>
    <s v="2ND"/>
    <d v="1899-12-30T18:00:00"/>
    <n v="1"/>
    <x v="5"/>
    <s v="-"/>
    <s v="-"/>
    <s v="P"/>
    <s v="P"/>
    <s v="-"/>
    <s v="+"/>
    <n v="9.8699999999999992"/>
    <s v="-"/>
    <s v="-"/>
    <s v="-"/>
    <s v="-"/>
    <s v="-"/>
    <s v="-"/>
    <s v="-"/>
    <s v="-"/>
    <s v="P"/>
    <s v="P"/>
    <n v="1"/>
    <s v="-"/>
    <s v="-"/>
    <n v="2"/>
    <n v="0"/>
    <s v="-"/>
    <s v="-"/>
    <s v="-"/>
    <s v="-"/>
    <s v="-"/>
    <s v="-"/>
    <s v="-"/>
    <n v="2"/>
    <n v="3"/>
    <s v="-"/>
    <n v="1"/>
    <n v="1"/>
    <n v="2"/>
    <n v="2"/>
    <n v="4"/>
    <n v="5"/>
  </r>
  <r>
    <x v="8"/>
    <x v="191"/>
    <d v="2026-08-27T00:00:00"/>
    <s v="2ND"/>
    <d v="1899-12-30T19:00:00"/>
    <n v="1"/>
    <x v="5"/>
    <s v="-"/>
    <s v="P"/>
    <s v="P"/>
    <s v="P"/>
    <s v="-"/>
    <s v="+"/>
    <n v="9.31"/>
    <s v="-"/>
    <s v="-"/>
    <s v="-"/>
    <s v="-"/>
    <s v="-"/>
    <s v="-"/>
    <s v="-"/>
    <s v="-"/>
    <s v="P"/>
    <s v="P"/>
    <s v="-"/>
    <s v="-"/>
    <n v="1"/>
    <n v="2"/>
    <n v="0"/>
    <s v="-"/>
    <s v="-"/>
    <s v="-"/>
    <s v="-"/>
    <s v="-"/>
    <s v="-"/>
    <s v="-"/>
    <n v="3"/>
    <n v="4"/>
    <s v="-"/>
    <n v="1"/>
    <n v="1"/>
    <n v="2"/>
    <n v="2"/>
    <n v="5"/>
    <n v="6"/>
  </r>
  <r>
    <x v="8"/>
    <x v="191"/>
    <d v="2026-08-27T00:00:00"/>
    <s v="2ND"/>
    <d v="1899-12-30T20:00:00"/>
    <n v="1"/>
    <x v="5"/>
    <s v="-"/>
    <s v="P"/>
    <s v="P"/>
    <s v="P"/>
    <s v="-"/>
    <s v="+"/>
    <n v="10.77"/>
    <s v="-"/>
    <s v="-"/>
    <s v="-"/>
    <s v="-"/>
    <s v="-"/>
    <s v="-"/>
    <s v="-"/>
    <s v="-"/>
    <s v="P"/>
    <s v="P"/>
    <s v="-"/>
    <s v="-"/>
    <n v="1"/>
    <n v="2"/>
    <n v="0"/>
    <s v="-"/>
    <s v="-"/>
    <s v="-"/>
    <s v="-"/>
    <s v="-"/>
    <s v="-"/>
    <s v="-"/>
    <n v="3"/>
    <n v="4"/>
    <s v="-"/>
    <n v="1"/>
    <n v="1"/>
    <n v="2"/>
    <n v="2"/>
    <n v="5"/>
    <n v="6"/>
  </r>
  <r>
    <x v="8"/>
    <x v="191"/>
    <d v="2026-08-27T00:00:00"/>
    <s v="2ND"/>
    <d v="1899-12-30T21:00:00"/>
    <n v="1"/>
    <x v="4"/>
    <s v="-"/>
    <s v="P"/>
    <s v="P"/>
    <s v="P"/>
    <s v="-"/>
    <s v="+"/>
    <n v="10.68"/>
    <s v="-"/>
    <s v="-"/>
    <s v="-"/>
    <s v="-"/>
    <s v="-"/>
    <s v="-"/>
    <s v="-"/>
    <s v="-"/>
    <s v="P"/>
    <s v="P"/>
    <s v="-"/>
    <s v="-"/>
    <n v="1"/>
    <n v="2"/>
    <n v="0"/>
    <s v="-"/>
    <s v="-"/>
    <s v="-"/>
    <s v="-"/>
    <s v="-"/>
    <s v="-"/>
    <s v="-"/>
    <n v="3"/>
    <n v="4"/>
    <s v="-"/>
    <n v="1"/>
    <n v="1"/>
    <n v="2"/>
    <n v="2"/>
    <n v="5"/>
    <n v="6"/>
  </r>
  <r>
    <x v="8"/>
    <x v="191"/>
    <d v="1902-03-25T00:00:00"/>
    <s v="2ND"/>
    <d v="1899-12-30T14:00:00"/>
    <n v="2"/>
    <x v="20"/>
    <n v="0.01"/>
    <s v="P"/>
    <s v="P"/>
    <s v="P"/>
    <s v="-"/>
    <s v="-"/>
    <n v="12.2"/>
    <s v="-"/>
    <s v="-"/>
    <s v="-"/>
    <s v="-"/>
    <s v="-"/>
    <s v="-"/>
    <s v="-"/>
    <s v="-"/>
    <s v="P"/>
    <s v="P"/>
    <s v="-"/>
    <n v="2"/>
    <n v="1"/>
    <n v="2"/>
    <n v="1"/>
    <s v="-"/>
    <s v="-"/>
    <s v="-"/>
    <s v="-"/>
    <s v="-"/>
    <s v="-"/>
    <s v="-"/>
    <n v="6"/>
    <n v="6"/>
    <s v="-"/>
    <n v="1"/>
    <n v="1"/>
    <n v="2"/>
    <n v="2"/>
    <n v="8"/>
    <n v="8"/>
  </r>
  <r>
    <x v="8"/>
    <x v="191"/>
    <d v="1899-12-30T00:00:00"/>
    <s v="2ND"/>
    <d v="1899-12-30T15:00:00"/>
    <n v="2"/>
    <x v="20"/>
    <s v="-"/>
    <s v="P"/>
    <s v="P"/>
    <s v="P"/>
    <s v="-"/>
    <s v="-"/>
    <n v="11.66"/>
    <s v="-"/>
    <s v="-"/>
    <s v="-"/>
    <s v="-"/>
    <s v="-"/>
    <s v="-"/>
    <s v="-"/>
    <s v="-"/>
    <s v="P"/>
    <s v="P"/>
    <s v="-"/>
    <s v="-"/>
    <n v="1"/>
    <n v="2"/>
    <n v="1"/>
    <s v="-"/>
    <s v="-"/>
    <s v="-"/>
    <s v="-"/>
    <s v="-"/>
    <s v="-"/>
    <s v="-"/>
    <n v="4"/>
    <n v="4"/>
    <s v="-"/>
    <n v="1"/>
    <n v="1"/>
    <n v="2"/>
    <n v="2"/>
    <n v="6"/>
    <n v="6"/>
  </r>
  <r>
    <x v="8"/>
    <x v="191"/>
    <d v="1899-12-30T00:00:00"/>
    <s v="2ND"/>
    <d v="1899-12-30T18:00:00"/>
    <n v="2"/>
    <x v="20"/>
    <s v="-"/>
    <s v="P"/>
    <s v="P"/>
    <s v="P"/>
    <s v="-"/>
    <s v="-"/>
    <n v="11.97"/>
    <s v="-"/>
    <s v="-"/>
    <s v="-"/>
    <s v="-"/>
    <s v="-"/>
    <s v="-"/>
    <s v="-"/>
    <s v="-"/>
    <s v="P"/>
    <s v="P"/>
    <s v="-"/>
    <s v="-"/>
    <n v="1"/>
    <n v="2"/>
    <n v="1"/>
    <s v="-"/>
    <s v="-"/>
    <s v="-"/>
    <s v="-"/>
    <s v="-"/>
    <s v="-"/>
    <s v="-"/>
    <n v="4"/>
    <n v="4"/>
    <s v="-"/>
    <n v="1"/>
    <n v="1"/>
    <n v="2"/>
    <n v="2"/>
    <n v="6"/>
    <n v="6"/>
  </r>
  <r>
    <x v="8"/>
    <x v="191"/>
    <d v="1899-12-30T00:00:00"/>
    <s v="2ND"/>
    <d v="1899-12-30T19:00:00"/>
    <n v="2"/>
    <x v="20"/>
    <s v="-"/>
    <s v="P"/>
    <s v="P"/>
    <s v="P"/>
    <s v="-"/>
    <s v="-"/>
    <n v="11.82"/>
    <s v="-"/>
    <s v="-"/>
    <s v="-"/>
    <s v="-"/>
    <s v="-"/>
    <s v="-"/>
    <s v="-"/>
    <s v="-"/>
    <s v="P"/>
    <s v="P"/>
    <s v="-"/>
    <s v="-"/>
    <n v="1"/>
    <n v="2"/>
    <n v="1"/>
    <s v="-"/>
    <s v="-"/>
    <s v="-"/>
    <s v="-"/>
    <s v="-"/>
    <s v="-"/>
    <s v="-"/>
    <n v="4"/>
    <n v="4"/>
    <s v="-"/>
    <n v="1"/>
    <n v="1"/>
    <n v="2"/>
    <n v="2"/>
    <n v="6"/>
    <n v="6"/>
  </r>
  <r>
    <x v="8"/>
    <x v="191"/>
    <d v="1899-12-30T00:00:00"/>
    <s v="2ND"/>
    <d v="1899-12-30T20:00:00"/>
    <n v="2"/>
    <x v="20"/>
    <s v="-"/>
    <s v="P"/>
    <s v="P"/>
    <s v="P"/>
    <s v="-"/>
    <s v="-"/>
    <n v="12.29"/>
    <s v="-"/>
    <s v="-"/>
    <s v="-"/>
    <s v="-"/>
    <s v="-"/>
    <s v="-"/>
    <s v="-"/>
    <s v="-"/>
    <s v="P"/>
    <s v="P"/>
    <s v="-"/>
    <s v="-"/>
    <n v="1"/>
    <n v="2"/>
    <n v="1"/>
    <s v="-"/>
    <s v="-"/>
    <s v="-"/>
    <s v="-"/>
    <s v="-"/>
    <s v="-"/>
    <s v="-"/>
    <n v="4"/>
    <n v="4"/>
    <s v="-"/>
    <n v="1"/>
    <n v="1"/>
    <n v="2"/>
    <n v="2"/>
    <n v="6"/>
    <n v="6"/>
  </r>
  <r>
    <x v="8"/>
    <x v="191"/>
    <d v="1899-12-30T00:00:00"/>
    <s v="2ND"/>
    <d v="1899-12-30T21:00:00"/>
    <n v="2"/>
    <x v="20"/>
    <s v="-"/>
    <s v="P"/>
    <s v="P"/>
    <s v="P"/>
    <s v="-"/>
    <s v="-"/>
    <n v="12.09"/>
    <s v="-"/>
    <s v="-"/>
    <s v="-"/>
    <s v="-"/>
    <s v="-"/>
    <s v="-"/>
    <s v="-"/>
    <s v="-"/>
    <s v="P"/>
    <s v="P"/>
    <s v="-"/>
    <s v="-"/>
    <n v="1"/>
    <n v="2"/>
    <n v="1"/>
    <s v="-"/>
    <s v="-"/>
    <s v="-"/>
    <s v="-"/>
    <s v="-"/>
    <s v="-"/>
    <s v="-"/>
    <n v="4"/>
    <n v="4"/>
    <s v="-"/>
    <n v="1"/>
    <n v="1"/>
    <n v="2"/>
    <n v="2"/>
    <n v="6"/>
    <n v="6"/>
  </r>
  <r>
    <x v="8"/>
    <x v="191"/>
    <d v="2026-08-25T00:00:00"/>
    <s v="2ND"/>
    <d v="1899-12-30T14:00:00"/>
    <n v="3"/>
    <x v="1"/>
    <n v="0.01"/>
    <s v="P"/>
    <s v="P"/>
    <s v="P"/>
    <s v="+"/>
    <s v="+"/>
    <n v="11.88"/>
    <n v="12.47"/>
    <s v="-"/>
    <s v="-"/>
    <s v="-"/>
    <s v="-"/>
    <n v="34.9"/>
    <s v="-"/>
    <s v="-"/>
    <s v="P"/>
    <s v="P"/>
    <s v="95% 5%"/>
    <n v="2"/>
    <n v="1"/>
    <n v="2"/>
    <n v="0"/>
    <n v="1"/>
    <s v="-"/>
    <s v="-"/>
    <s v="-"/>
    <s v="-"/>
    <n v="2"/>
    <s v="-"/>
    <n v="8"/>
    <n v="9"/>
    <s v="-"/>
    <n v="1"/>
    <n v="1"/>
    <n v="2"/>
    <n v="2"/>
    <n v="10"/>
    <n v="11"/>
  </r>
  <r>
    <x v="8"/>
    <x v="191"/>
    <d v="2026-09-02T00:00:00"/>
    <s v="2ND"/>
    <d v="1899-12-30T20:00:00"/>
    <s v="Retail"/>
    <x v="13"/>
    <s v="-"/>
    <s v="-"/>
    <s v="-"/>
    <s v="-"/>
    <s v="-"/>
    <s v="-"/>
    <n v="12.57"/>
    <s v="-"/>
    <s v="-"/>
    <s v="-"/>
    <s v="-"/>
    <s v="-"/>
    <s v="-"/>
    <s v="-"/>
    <s v="-"/>
    <s v="-"/>
    <s v="-"/>
    <s v="-"/>
    <s v="-"/>
    <s v="-"/>
    <s v="-"/>
    <n v="1"/>
    <s v="-"/>
    <s v="-"/>
    <s v="-"/>
    <s v="-"/>
    <s v="-"/>
    <s v="-"/>
    <s v="-"/>
    <n v="1"/>
    <n v="1"/>
    <s v="-"/>
    <s v="-"/>
    <s v="-"/>
    <n v="0"/>
    <n v="0"/>
    <n v="1"/>
    <n v="1"/>
  </r>
  <r>
    <x v="8"/>
    <x v="191"/>
    <d v="2026-08-27T00:00:00"/>
    <s v="3RD"/>
    <d v="1899-12-30T22:00:00"/>
    <n v="1"/>
    <x v="4"/>
    <s v="-"/>
    <s v="P"/>
    <s v="P"/>
    <s v="P"/>
    <s v="-"/>
    <s v="+"/>
    <n v="10.85"/>
    <n v="9.91"/>
    <s v="-"/>
    <s v="-"/>
    <s v="-"/>
    <s v="-"/>
    <n v="27.4"/>
    <s v="-"/>
    <s v="-"/>
    <s v="P"/>
    <s v="P"/>
    <n v="1"/>
    <s v="-"/>
    <n v="1"/>
    <n v="2"/>
    <n v="0"/>
    <n v="0"/>
    <s v="-"/>
    <s v="-"/>
    <s v="-"/>
    <s v="-"/>
    <n v="2"/>
    <s v="-"/>
    <n v="5"/>
    <n v="7"/>
    <s v="-"/>
    <n v="1"/>
    <n v="1"/>
    <n v="2"/>
    <n v="2"/>
    <n v="7"/>
    <n v="9"/>
  </r>
  <r>
    <x v="8"/>
    <x v="191"/>
    <d v="2026-08-27T00:00:00"/>
    <s v="3RD"/>
    <d v="1899-12-30T23:00:00"/>
    <n v="1"/>
    <x v="22"/>
    <s v="-"/>
    <s v="P"/>
    <s v="P"/>
    <s v="P"/>
    <s v="-"/>
    <s v="-"/>
    <n v="10.78"/>
    <n v="9.65"/>
    <n v="0.55000000000000004"/>
    <n v="55.6"/>
    <s v="-"/>
    <s v="-"/>
    <n v="26.4"/>
    <s v="-"/>
    <s v="-"/>
    <s v="P"/>
    <s v="P"/>
    <n v="1"/>
    <s v="-"/>
    <n v="1"/>
    <n v="2"/>
    <n v="0"/>
    <n v="1"/>
    <n v="2"/>
    <n v="2"/>
    <s v="-"/>
    <s v="-"/>
    <n v="2"/>
    <s v="-"/>
    <n v="10"/>
    <n v="11"/>
    <s v="-"/>
    <n v="1"/>
    <n v="1"/>
    <n v="2"/>
    <n v="2"/>
    <n v="12"/>
    <n v="13"/>
  </r>
  <r>
    <x v="8"/>
    <x v="191"/>
    <d v="2026-08-27T00:00:00"/>
    <s v="3RD"/>
    <d v="1899-12-31T00:00:00"/>
    <n v="1"/>
    <x v="22"/>
    <s v="-"/>
    <s v="P"/>
    <s v="P"/>
    <s v="P"/>
    <s v="-"/>
    <s v="-"/>
    <n v="11.12"/>
    <s v="-"/>
    <s v="-"/>
    <s v="-"/>
    <s v="-"/>
    <s v="-"/>
    <s v="-"/>
    <s v="-"/>
    <s v="-"/>
    <s v="P"/>
    <s v="P"/>
    <s v="-"/>
    <s v="-"/>
    <n v="1"/>
    <n v="2"/>
    <n v="1"/>
    <s v="-"/>
    <s v="-"/>
    <s v="-"/>
    <s v="-"/>
    <s v="-"/>
    <s v="-"/>
    <s v="-"/>
    <n v="4"/>
    <n v="4"/>
    <s v="-"/>
    <n v="1"/>
    <n v="1"/>
    <n v="2"/>
    <n v="2"/>
    <n v="6"/>
    <n v="6"/>
  </r>
  <r>
    <x v="8"/>
    <x v="191"/>
    <d v="2026-08-27T00:00:00"/>
    <s v="3RD"/>
    <d v="1899-12-31T01:00:00"/>
    <n v="1"/>
    <x v="22"/>
    <s v="-"/>
    <s v="P"/>
    <s v="P"/>
    <s v="P"/>
    <s v="-"/>
    <s v="-"/>
    <n v="11.14"/>
    <s v="-"/>
    <s v="-"/>
    <s v="-"/>
    <s v="-"/>
    <s v="-"/>
    <s v="-"/>
    <s v="-"/>
    <s v="-"/>
    <s v="P"/>
    <s v="P"/>
    <s v="-"/>
    <s v="-"/>
    <n v="1"/>
    <n v="2"/>
    <n v="1"/>
    <s v="-"/>
    <s v="-"/>
    <s v="-"/>
    <s v="-"/>
    <s v="-"/>
    <s v="-"/>
    <s v="-"/>
    <n v="4"/>
    <n v="4"/>
    <s v="-"/>
    <n v="1"/>
    <n v="1"/>
    <n v="2"/>
    <n v="2"/>
    <n v="6"/>
    <n v="6"/>
  </r>
  <r>
    <x v="8"/>
    <x v="191"/>
    <d v="2026-08-27T00:00:00"/>
    <s v="3RD"/>
    <d v="1899-12-31T02:00:00"/>
    <n v="1"/>
    <x v="22"/>
    <s v="-"/>
    <s v="-"/>
    <s v="P"/>
    <s v="P"/>
    <s v="-"/>
    <s v="-"/>
    <n v="11.41"/>
    <s v="-"/>
    <s v="-"/>
    <s v="-"/>
    <s v="-"/>
    <s v="-"/>
    <s v="-"/>
    <s v="-"/>
    <s v="-"/>
    <s v="P"/>
    <s v="P"/>
    <s v="-"/>
    <s v="-"/>
    <s v="-"/>
    <n v="2"/>
    <n v="1"/>
    <s v="-"/>
    <s v="-"/>
    <s v="-"/>
    <s v="-"/>
    <s v="-"/>
    <s v="-"/>
    <s v="-"/>
    <n v="3"/>
    <n v="3"/>
    <s v="-"/>
    <n v="1"/>
    <n v="1"/>
    <n v="2"/>
    <n v="2"/>
    <n v="5"/>
    <n v="5"/>
  </r>
  <r>
    <x v="8"/>
    <x v="191"/>
    <d v="2026-08-27T00:00:00"/>
    <s v="3RD"/>
    <d v="1899-12-31T03:00:00"/>
    <n v="1"/>
    <x v="22"/>
    <s v="-"/>
    <s v="P"/>
    <s v="P"/>
    <s v="P"/>
    <s v="-"/>
    <s v="-"/>
    <n v="11.24"/>
    <s v="-"/>
    <s v="-"/>
    <s v="-"/>
    <s v="-"/>
    <s v="-"/>
    <s v="-"/>
    <s v="-"/>
    <s v="-"/>
    <s v="P"/>
    <s v="P"/>
    <s v="-"/>
    <s v="-"/>
    <n v="1"/>
    <n v="2"/>
    <n v="1"/>
    <s v="-"/>
    <s v="-"/>
    <s v="-"/>
    <s v="-"/>
    <s v="-"/>
    <s v="-"/>
    <s v="-"/>
    <n v="4"/>
    <n v="4"/>
    <s v="-"/>
    <n v="1"/>
    <n v="1"/>
    <n v="2"/>
    <n v="2"/>
    <n v="6"/>
    <n v="6"/>
  </r>
  <r>
    <x v="8"/>
    <x v="191"/>
    <d v="2026-08-27T00:00:00"/>
    <s v="3RD"/>
    <d v="1899-12-31T04:00:00"/>
    <n v="1"/>
    <x v="22"/>
    <s v="-"/>
    <s v="P"/>
    <s v="P"/>
    <s v="P"/>
    <s v="-"/>
    <s v="-"/>
    <n v="11.48"/>
    <s v="-"/>
    <s v="-"/>
    <s v="-"/>
    <s v="-"/>
    <s v="-"/>
    <s v="-"/>
    <s v="-"/>
    <s v="-"/>
    <s v="P"/>
    <s v="P"/>
    <s v="-"/>
    <s v="-"/>
    <n v="1"/>
    <n v="2"/>
    <n v="1"/>
    <s v="-"/>
    <s v="-"/>
    <s v="-"/>
    <s v="-"/>
    <s v="-"/>
    <s v="-"/>
    <s v="-"/>
    <n v="4"/>
    <n v="4"/>
    <s v="-"/>
    <n v="1"/>
    <n v="1"/>
    <n v="2"/>
    <n v="2"/>
    <n v="6"/>
    <n v="6"/>
  </r>
  <r>
    <x v="8"/>
    <x v="191"/>
    <d v="2026-08-27T00:00:00"/>
    <s v="3RD"/>
    <d v="1899-12-31T05:00:00"/>
    <n v="1"/>
    <x v="22"/>
    <s v="-"/>
    <s v="P"/>
    <s v="P"/>
    <s v="P"/>
    <s v="-"/>
    <s v="-"/>
    <n v="11.51"/>
    <s v="-"/>
    <s v="-"/>
    <s v="-"/>
    <s v="-"/>
    <s v="-"/>
    <s v="-"/>
    <s v="-"/>
    <s v="-"/>
    <s v="P"/>
    <s v="P"/>
    <s v="-"/>
    <s v="-"/>
    <n v="1"/>
    <n v="2"/>
    <n v="1"/>
    <s v="-"/>
    <s v="-"/>
    <s v="-"/>
    <s v="-"/>
    <s v="-"/>
    <s v="-"/>
    <s v="-"/>
    <n v="4"/>
    <n v="4"/>
    <s v="-"/>
    <n v="1"/>
    <n v="1"/>
    <n v="2"/>
    <n v="2"/>
    <n v="6"/>
    <n v="6"/>
  </r>
  <r>
    <x v="8"/>
    <x v="191"/>
    <d v="1902-03-25T00:00:00"/>
    <s v="3RD"/>
    <d v="1899-12-30T22:00:00"/>
    <n v="2"/>
    <x v="20"/>
    <s v="-"/>
    <s v="P"/>
    <s v="P"/>
    <s v="P"/>
    <s v="-"/>
    <s v="-"/>
    <n v="11.99"/>
    <s v="-"/>
    <s v="-"/>
    <s v="-"/>
    <s v="-"/>
    <s v="-"/>
    <s v="-"/>
    <s v="-"/>
    <s v="-"/>
    <s v="P"/>
    <s v="P"/>
    <s v="-"/>
    <s v="-"/>
    <n v="1"/>
    <n v="2"/>
    <n v="1"/>
    <s v="-"/>
    <s v="-"/>
    <s v="-"/>
    <s v="-"/>
    <s v="-"/>
    <s v="-"/>
    <s v="-"/>
    <n v="4"/>
    <n v="4"/>
    <s v="-"/>
    <n v="1"/>
    <n v="1"/>
    <n v="2"/>
    <n v="2"/>
    <n v="6"/>
    <n v="6"/>
  </r>
  <r>
    <x v="8"/>
    <x v="191"/>
    <d v="1899-12-30T00:00:00"/>
    <s v="3RD"/>
    <d v="1899-12-31T00:00:00"/>
    <n v="2"/>
    <x v="20"/>
    <s v="-"/>
    <s v="P"/>
    <s v="P"/>
    <s v="P"/>
    <s v="-"/>
    <s v="-"/>
    <n v="12.08"/>
    <s v="-"/>
    <s v="-"/>
    <s v="-"/>
    <s v="-"/>
    <s v="-"/>
    <s v="-"/>
    <s v="-"/>
    <s v="-"/>
    <s v="P"/>
    <s v="P"/>
    <s v="-"/>
    <s v="-"/>
    <n v="1"/>
    <n v="2"/>
    <n v="1"/>
    <s v="-"/>
    <s v="-"/>
    <s v="-"/>
    <s v="-"/>
    <s v="-"/>
    <s v="-"/>
    <s v="-"/>
    <n v="4"/>
    <n v="4"/>
    <s v="-"/>
    <n v="1"/>
    <n v="1"/>
    <n v="2"/>
    <n v="2"/>
    <n v="6"/>
    <n v="6"/>
  </r>
  <r>
    <x v="8"/>
    <x v="191"/>
    <d v="1899-12-30T00:00:00"/>
    <s v="3RD"/>
    <d v="1899-12-31T01:00:00"/>
    <n v="2"/>
    <x v="20"/>
    <s v="-"/>
    <s v="P"/>
    <s v="P"/>
    <s v="P"/>
    <s v="-"/>
    <s v="-"/>
    <n v="11.53"/>
    <s v="-"/>
    <s v="-"/>
    <s v="-"/>
    <s v="-"/>
    <s v="-"/>
    <s v="-"/>
    <s v="-"/>
    <s v="-"/>
    <s v="P"/>
    <s v="P"/>
    <s v="-"/>
    <s v="-"/>
    <n v="1"/>
    <n v="2"/>
    <n v="1"/>
    <s v="-"/>
    <s v="-"/>
    <s v="-"/>
    <s v="-"/>
    <s v="-"/>
    <s v="-"/>
    <s v="-"/>
    <n v="4"/>
    <n v="4"/>
    <s v="-"/>
    <n v="1"/>
    <n v="1"/>
    <n v="2"/>
    <n v="2"/>
    <n v="6"/>
    <n v="6"/>
  </r>
  <r>
    <x v="8"/>
    <x v="191"/>
    <d v="1899-12-30T00:00:00"/>
    <s v="3RD"/>
    <d v="1899-12-31T02:00:00"/>
    <n v="2"/>
    <x v="20"/>
    <n v="0.01"/>
    <s v="P"/>
    <s v="P"/>
    <s v="P"/>
    <s v="-"/>
    <s v="-"/>
    <n v="11.13"/>
    <s v="-"/>
    <s v="-"/>
    <s v="-"/>
    <s v="-"/>
    <s v="-"/>
    <s v="-"/>
    <s v="-"/>
    <s v="-"/>
    <s v="P"/>
    <s v="P"/>
    <s v="90% 10%"/>
    <n v="2"/>
    <n v="1"/>
    <n v="2"/>
    <n v="1"/>
    <s v="-"/>
    <s v="-"/>
    <s v="-"/>
    <s v="-"/>
    <s v="-"/>
    <s v="-"/>
    <s v="-"/>
    <n v="6"/>
    <n v="6"/>
    <s v="-"/>
    <n v="1"/>
    <n v="1"/>
    <n v="2"/>
    <n v="2"/>
    <n v="8"/>
    <n v="8"/>
  </r>
  <r>
    <x v="8"/>
    <x v="191"/>
    <d v="1902-04-05T00:00:00"/>
    <s v="3RD"/>
    <d v="1899-12-31T03:00:00"/>
    <n v="2"/>
    <x v="14"/>
    <n v="0.01"/>
    <s v="P"/>
    <s v="P"/>
    <s v="P"/>
    <s v="-"/>
    <s v="+"/>
    <n v="10.72"/>
    <n v="9.82"/>
    <s v="-"/>
    <n v="56.1"/>
    <s v="-"/>
    <s v="-"/>
    <n v="27.1"/>
    <s v="-"/>
    <s v="-"/>
    <s v="P"/>
    <s v="P"/>
    <s v="-"/>
    <n v="2"/>
    <n v="1"/>
    <n v="2"/>
    <n v="0"/>
    <n v="1"/>
    <s v="-"/>
    <n v="2"/>
    <s v="-"/>
    <s v="-"/>
    <n v="0"/>
    <s v="-"/>
    <n v="8"/>
    <n v="11"/>
    <s v="-"/>
    <n v="1"/>
    <n v="1"/>
    <n v="2"/>
    <n v="2"/>
    <n v="10"/>
    <n v="13"/>
  </r>
  <r>
    <x v="8"/>
    <x v="191"/>
    <d v="1899-12-30T00:00:00"/>
    <s v="3RD"/>
    <d v="1899-12-31T04:00:00"/>
    <n v="2"/>
    <x v="14"/>
    <n v="0.01"/>
    <s v="P"/>
    <s v="P"/>
    <s v="P"/>
    <s v="-"/>
    <s v="+"/>
    <n v="10.7"/>
    <s v="-"/>
    <s v="-"/>
    <s v="-"/>
    <s v="-"/>
    <s v="-"/>
    <s v="-"/>
    <s v="-"/>
    <s v="-"/>
    <s v="P"/>
    <s v="P"/>
    <s v="-"/>
    <n v="2"/>
    <n v="1"/>
    <n v="2"/>
    <n v="0"/>
    <s v="-"/>
    <s v="-"/>
    <s v="-"/>
    <s v="-"/>
    <s v="-"/>
    <s v="-"/>
    <s v="-"/>
    <n v="5"/>
    <n v="6"/>
    <s v="-"/>
    <n v="1"/>
    <n v="1"/>
    <n v="2"/>
    <n v="2"/>
    <n v="7"/>
    <n v="8"/>
  </r>
  <r>
    <x v="8"/>
    <x v="191"/>
    <d v="1899-12-30T00:00:00"/>
    <s v="3RD"/>
    <d v="1899-12-31T05:00:00"/>
    <n v="2"/>
    <x v="14"/>
    <n v="0.01"/>
    <s v="P"/>
    <s v="P"/>
    <s v="P"/>
    <s v="-"/>
    <s v="+"/>
    <n v="10.56"/>
    <s v="-"/>
    <s v="-"/>
    <s v="-"/>
    <s v="-"/>
    <s v="-"/>
    <s v="-"/>
    <s v="-"/>
    <s v="-"/>
    <s v="P"/>
    <s v="P"/>
    <s v="-"/>
    <n v="2"/>
    <n v="1"/>
    <n v="2"/>
    <n v="0"/>
    <s v="-"/>
    <s v="-"/>
    <s v="-"/>
    <s v="-"/>
    <s v="-"/>
    <s v="-"/>
    <s v="-"/>
    <n v="5"/>
    <n v="6"/>
    <s v="-"/>
    <n v="1"/>
    <n v="1"/>
    <n v="2"/>
    <n v="2"/>
    <n v="7"/>
    <n v="8"/>
  </r>
  <r>
    <x v="8"/>
    <x v="192"/>
    <d v="2026-08-27T00:00:00"/>
    <s v="1ST"/>
    <s v="06:00"/>
    <n v="1"/>
    <x v="22"/>
    <n v="0.01"/>
    <s v="P"/>
    <s v="P"/>
    <s v="P"/>
    <s v="-"/>
    <s v="-"/>
    <n v="11.93"/>
    <n v="9.41"/>
    <n v="0.51"/>
    <n v="54.1"/>
    <s v="-"/>
    <s v="-"/>
    <n v="25.5"/>
    <s v="-"/>
    <n v="25.19"/>
    <s v="P"/>
    <s v="P"/>
    <s v="-"/>
    <n v="2"/>
    <n v="1"/>
    <n v="2"/>
    <n v="1"/>
    <n v="1"/>
    <n v="2"/>
    <n v="2"/>
    <s v="-"/>
    <s v="-"/>
    <n v="2"/>
    <s v="-"/>
    <n v="13"/>
    <n v="13"/>
    <n v="1"/>
    <n v="1"/>
    <n v="1"/>
    <n v="3"/>
    <n v="3"/>
    <n v="16"/>
    <n v="16"/>
  </r>
  <r>
    <x v="8"/>
    <x v="192"/>
    <d v="2026-08-27T00:00:00"/>
    <s v="1ST"/>
    <s v="07:00"/>
    <n v="1"/>
    <x v="22"/>
    <s v="-"/>
    <s v="P"/>
    <s v="P"/>
    <s v="P"/>
    <s v="-"/>
    <s v="-"/>
    <n v="11.56"/>
    <s v="-"/>
    <s v="-"/>
    <s v="-"/>
    <s v="-"/>
    <s v="-"/>
    <s v="-"/>
    <s v="-"/>
    <s v="-"/>
    <s v="P"/>
    <s v="P"/>
    <s v="-"/>
    <s v="-"/>
    <n v="1"/>
    <n v="2"/>
    <n v="1"/>
    <s v="-"/>
    <s v="-"/>
    <s v="-"/>
    <s v="-"/>
    <s v="-"/>
    <s v="-"/>
    <s v="-"/>
    <n v="4"/>
    <n v="4"/>
    <s v="-"/>
    <n v="1"/>
    <n v="1"/>
    <n v="2"/>
    <n v="2"/>
    <n v="6"/>
    <n v="6"/>
  </r>
  <r>
    <x v="8"/>
    <x v="192"/>
    <d v="2026-08-28T00:00:00"/>
    <s v="1ST"/>
    <s v="08:00"/>
    <n v="1"/>
    <x v="22"/>
    <n v="0.01"/>
    <s v="P"/>
    <s v="P"/>
    <s v="P"/>
    <s v="-"/>
    <s v="-"/>
    <n v="9.56"/>
    <n v="9.0399999999999991"/>
    <n v="0.55000000000000004"/>
    <n v="55.4"/>
    <s v="-"/>
    <s v="-"/>
    <n v="24.7"/>
    <s v="-"/>
    <s v="-"/>
    <s v="P"/>
    <s v="P"/>
    <s v="-"/>
    <n v="2"/>
    <n v="1"/>
    <n v="2"/>
    <n v="0"/>
    <n v="1"/>
    <n v="2"/>
    <n v="2"/>
    <s v="-"/>
    <s v="-"/>
    <n v="2"/>
    <s v="-"/>
    <n v="12"/>
    <n v="13"/>
    <s v="-"/>
    <n v="1"/>
    <n v="1"/>
    <n v="2"/>
    <n v="2"/>
    <n v="14"/>
    <n v="15"/>
  </r>
  <r>
    <x v="8"/>
    <x v="192"/>
    <d v="2026-08-28T00:00:00"/>
    <s v="1ST"/>
    <s v="09:00"/>
    <n v="1"/>
    <x v="22"/>
    <n v="0.02"/>
    <s v="P"/>
    <s v="P"/>
    <s v="P"/>
    <s v="-"/>
    <s v="-"/>
    <n v="9.76"/>
    <s v="-"/>
    <s v="-"/>
    <s v="-"/>
    <s v="-"/>
    <s v="-"/>
    <s v="-"/>
    <s v="-"/>
    <s v="-"/>
    <s v="P"/>
    <s v="P"/>
    <s v="-"/>
    <n v="2"/>
    <n v="1"/>
    <n v="2"/>
    <n v="0"/>
    <s v="-"/>
    <s v="-"/>
    <s v="-"/>
    <s v="-"/>
    <s v="-"/>
    <s v="-"/>
    <s v="-"/>
    <n v="5"/>
    <n v="6"/>
    <s v="-"/>
    <n v="1"/>
    <n v="1"/>
    <n v="2"/>
    <n v="2"/>
    <n v="7"/>
    <n v="8"/>
  </r>
  <r>
    <x v="8"/>
    <x v="192"/>
    <d v="2026-08-28T00:00:00"/>
    <s v="1ST"/>
    <s v="10:00"/>
    <n v="1"/>
    <x v="22"/>
    <n v="0.02"/>
    <s v="-"/>
    <s v="P"/>
    <s v="P"/>
    <s v="-"/>
    <s v="-"/>
    <n v="9.82"/>
    <s v="-"/>
    <s v="-"/>
    <s v="-"/>
    <s v="-"/>
    <s v="-"/>
    <s v="-"/>
    <s v="-"/>
    <s v="-"/>
    <s v="P"/>
    <s v="P"/>
    <s v="-"/>
    <n v="2"/>
    <s v="-"/>
    <n v="2"/>
    <n v="0"/>
    <s v="-"/>
    <s v="-"/>
    <s v="-"/>
    <s v="-"/>
    <s v="-"/>
    <s v="-"/>
    <s v="-"/>
    <n v="4"/>
    <n v="5"/>
    <s v="-"/>
    <n v="1"/>
    <n v="1"/>
    <n v="2"/>
    <n v="2"/>
    <n v="6"/>
    <n v="7"/>
  </r>
  <r>
    <x v="8"/>
    <x v="192"/>
    <d v="2026-08-28T00:00:00"/>
    <s v="1ST"/>
    <s v="12:00"/>
    <n v="1"/>
    <x v="22"/>
    <n v="0.01"/>
    <s v="P"/>
    <s v="P"/>
    <s v="P"/>
    <s v="-"/>
    <s v="-"/>
    <n v="9.51"/>
    <s v="-"/>
    <s v="-"/>
    <s v="-"/>
    <s v="-"/>
    <s v="-"/>
    <s v="-"/>
    <s v="-"/>
    <s v="-"/>
    <s v="P"/>
    <s v="P"/>
    <s v="-"/>
    <n v="2"/>
    <n v="1"/>
    <n v="2"/>
    <n v="0"/>
    <s v="-"/>
    <s v="-"/>
    <s v="-"/>
    <s v="-"/>
    <s v="-"/>
    <s v="-"/>
    <s v="-"/>
    <n v="5"/>
    <n v="6"/>
    <s v="-"/>
    <n v="1"/>
    <n v="1"/>
    <n v="2"/>
    <n v="2"/>
    <n v="7"/>
    <n v="8"/>
  </r>
  <r>
    <x v="8"/>
    <x v="192"/>
    <d v="2026-08-28T00:00:00"/>
    <s v="1ST"/>
    <s v="13:00"/>
    <n v="1"/>
    <x v="22"/>
    <n v="0.01"/>
    <s v="P"/>
    <s v="P"/>
    <s v="P"/>
    <s v="-"/>
    <s v="-"/>
    <n v="9.5299999999999994"/>
    <s v="-"/>
    <s v="-"/>
    <s v="-"/>
    <s v="-"/>
    <s v="-"/>
    <s v="-"/>
    <s v="-"/>
    <s v="-"/>
    <s v="P"/>
    <s v="P"/>
    <s v="-"/>
    <n v="2"/>
    <n v="1"/>
    <n v="2"/>
    <n v="0"/>
    <s v="-"/>
    <s v="-"/>
    <s v="-"/>
    <s v="-"/>
    <s v="-"/>
    <s v="-"/>
    <s v="-"/>
    <n v="5"/>
    <n v="6"/>
    <s v="-"/>
    <n v="1"/>
    <n v="1"/>
    <n v="2"/>
    <n v="2"/>
    <n v="7"/>
    <n v="8"/>
  </r>
  <r>
    <x v="8"/>
    <x v="192"/>
    <d v="1899-12-30T00:00:00"/>
    <s v="1ST"/>
    <s v="06:00"/>
    <n v="2"/>
    <x v="14"/>
    <s v="-"/>
    <s v="P"/>
    <s v="P"/>
    <s v="P"/>
    <s v="-"/>
    <s v="+"/>
    <n v="10.59"/>
    <s v="-"/>
    <s v="-"/>
    <s v="-"/>
    <s v="-"/>
    <s v="-"/>
    <s v="-"/>
    <s v="-"/>
    <n v="25.16"/>
    <s v="P"/>
    <s v="P"/>
    <s v="-"/>
    <s v="-"/>
    <n v="1"/>
    <n v="2"/>
    <n v="0"/>
    <s v="-"/>
    <s v="-"/>
    <s v="-"/>
    <s v="-"/>
    <s v="-"/>
    <s v="-"/>
    <s v="-"/>
    <n v="3"/>
    <n v="4"/>
    <n v="1"/>
    <n v="1"/>
    <n v="1"/>
    <n v="3"/>
    <n v="3"/>
    <n v="6"/>
    <n v="7"/>
  </r>
  <r>
    <x v="8"/>
    <x v="192"/>
    <d v="1899-12-30T00:00:00"/>
    <s v="1ST"/>
    <s v="07:00"/>
    <n v="2"/>
    <x v="14"/>
    <s v="-"/>
    <s v="P"/>
    <s v="P"/>
    <s v="P"/>
    <s v="-"/>
    <s v="+"/>
    <n v="10.55"/>
    <s v="-"/>
    <s v="-"/>
    <s v="-"/>
    <s v="-"/>
    <s v="-"/>
    <s v="-"/>
    <s v="-"/>
    <s v="-"/>
    <s v="P"/>
    <s v="P"/>
    <s v="-"/>
    <s v="-"/>
    <n v="1"/>
    <n v="2"/>
    <n v="0"/>
    <s v="-"/>
    <s v="-"/>
    <s v="-"/>
    <s v="-"/>
    <s v="-"/>
    <s v="-"/>
    <s v="-"/>
    <n v="3"/>
    <n v="4"/>
    <s v="-"/>
    <n v="1"/>
    <n v="1"/>
    <n v="2"/>
    <n v="2"/>
    <n v="5"/>
    <n v="6"/>
  </r>
  <r>
    <x v="8"/>
    <x v="192"/>
    <d v="1899-12-30T00:00:00"/>
    <s v="1ST"/>
    <s v="08:00"/>
    <n v="2"/>
    <x v="5"/>
    <s v="-"/>
    <s v="P"/>
    <s v="P"/>
    <s v="P"/>
    <s v="-"/>
    <s v="+"/>
    <n v="10.94"/>
    <n v="9.09"/>
    <n v="0.56999999999999995"/>
    <n v="55.6"/>
    <s v="-"/>
    <s v="-"/>
    <n v="27.51"/>
    <s v="-"/>
    <s v="-"/>
    <s v="P"/>
    <s v="P"/>
    <s v="-"/>
    <s v="-"/>
    <n v="1"/>
    <n v="2"/>
    <n v="0"/>
    <n v="1"/>
    <n v="0"/>
    <n v="2"/>
    <s v="-"/>
    <s v="-"/>
    <n v="2"/>
    <s v="-"/>
    <n v="8"/>
    <n v="11"/>
    <s v="-"/>
    <n v="1"/>
    <n v="1"/>
    <n v="2"/>
    <n v="2"/>
    <n v="10"/>
    <n v="13"/>
  </r>
  <r>
    <x v="8"/>
    <x v="192"/>
    <d v="1899-12-30T00:00:00"/>
    <s v="1ST"/>
    <s v="09:00"/>
    <n v="2"/>
    <x v="5"/>
    <s v="-"/>
    <s v="P"/>
    <s v="P"/>
    <s v="P"/>
    <s v="-"/>
    <s v="+"/>
    <n v="10.97"/>
    <s v="-"/>
    <s v="-"/>
    <s v="-"/>
    <s v="-"/>
    <s v="-"/>
    <s v="-"/>
    <s v="-"/>
    <s v="-"/>
    <s v="P"/>
    <s v="P"/>
    <s v="-"/>
    <s v="-"/>
    <n v="1"/>
    <n v="2"/>
    <n v="0"/>
    <s v="-"/>
    <s v="-"/>
    <s v="-"/>
    <s v="-"/>
    <s v="-"/>
    <s v="-"/>
    <s v="-"/>
    <n v="3"/>
    <n v="4"/>
    <s v="-"/>
    <n v="1"/>
    <n v="1"/>
    <n v="2"/>
    <n v="2"/>
    <n v="5"/>
    <n v="6"/>
  </r>
  <r>
    <x v="8"/>
    <x v="192"/>
    <d v="1899-12-30T00:00:00"/>
    <s v="1ST"/>
    <s v="10:00"/>
    <n v="2"/>
    <x v="5"/>
    <s v="-"/>
    <s v="P"/>
    <s v="P"/>
    <s v="P"/>
    <s v="-"/>
    <s v="+"/>
    <n v="10.91"/>
    <s v="-"/>
    <s v="-"/>
    <s v="-"/>
    <s v="-"/>
    <s v="-"/>
    <s v="-"/>
    <s v="-"/>
    <s v="-"/>
    <s v="P"/>
    <s v="P"/>
    <s v="-"/>
    <s v="-"/>
    <n v="1"/>
    <n v="2"/>
    <n v="0"/>
    <s v="-"/>
    <s v="-"/>
    <s v="-"/>
    <s v="-"/>
    <s v="-"/>
    <s v="-"/>
    <s v="-"/>
    <n v="3"/>
    <n v="4"/>
    <s v="-"/>
    <n v="1"/>
    <n v="1"/>
    <n v="2"/>
    <n v="2"/>
    <n v="5"/>
    <n v="6"/>
  </r>
  <r>
    <x v="8"/>
    <x v="192"/>
    <d v="1899-12-30T00:00:00"/>
    <s v="1ST"/>
    <s v="13:00"/>
    <n v="2"/>
    <x v="4"/>
    <n v="0.01"/>
    <s v="P"/>
    <s v="P"/>
    <s v="P"/>
    <s v="-"/>
    <s v="+"/>
    <n v="10.98"/>
    <s v="-"/>
    <s v="-"/>
    <s v="-"/>
    <s v="-"/>
    <s v="-"/>
    <s v="-"/>
    <s v="-"/>
    <s v="-"/>
    <s v="P"/>
    <s v="P"/>
    <s v="-"/>
    <n v="2"/>
    <n v="1"/>
    <n v="2"/>
    <n v="0"/>
    <s v="-"/>
    <s v="-"/>
    <s v="-"/>
    <s v="-"/>
    <s v="-"/>
    <s v="-"/>
    <s v="-"/>
    <n v="5"/>
    <n v="6"/>
    <s v="-"/>
    <n v="1"/>
    <n v="1"/>
    <n v="2"/>
    <n v="2"/>
    <n v="7"/>
    <n v="8"/>
  </r>
  <r>
    <x v="8"/>
    <x v="192"/>
    <d v="2026-09-02T00:00:00"/>
    <s v="1ST"/>
    <s v="08:00"/>
    <n v="3"/>
    <x v="12"/>
    <n v="0.01"/>
    <s v="P"/>
    <s v="P"/>
    <s v="P"/>
    <s v="+"/>
    <s v="+"/>
    <n v="12.55"/>
    <n v="12.76"/>
    <n v="0.55000000000000004"/>
    <s v="-"/>
    <s v="-"/>
    <s v="-"/>
    <n v="35.6"/>
    <s v="-"/>
    <n v="25.19"/>
    <s v="P"/>
    <s v="P"/>
    <s v="-"/>
    <n v="2"/>
    <n v="1"/>
    <n v="2"/>
    <n v="1"/>
    <s v="-"/>
    <n v="2"/>
    <s v="-"/>
    <s v="-"/>
    <s v="-"/>
    <n v="2"/>
    <s v="-"/>
    <n v="10"/>
    <n v="10"/>
    <n v="1"/>
    <n v="1"/>
    <n v="1"/>
    <n v="3"/>
    <n v="3"/>
    <n v="13"/>
    <n v="13"/>
  </r>
  <r>
    <x v="8"/>
    <x v="192"/>
    <d v="2026-09-02T00:00:00"/>
    <s v="1ST"/>
    <s v="09:00"/>
    <n v="3"/>
    <x v="12"/>
    <n v="0.01"/>
    <s v="P"/>
    <s v="P"/>
    <s v="P"/>
    <s v="+"/>
    <s v="+"/>
    <n v="12.82"/>
    <s v="-"/>
    <s v="-"/>
    <s v="-"/>
    <s v="-"/>
    <s v="-"/>
    <s v="-"/>
    <s v="-"/>
    <s v="-"/>
    <s v="P"/>
    <s v="P"/>
    <s v="-"/>
    <n v="2"/>
    <n v="1"/>
    <n v="2"/>
    <n v="1"/>
    <s v="-"/>
    <s v="-"/>
    <s v="-"/>
    <s v="-"/>
    <s v="-"/>
    <s v="-"/>
    <s v="-"/>
    <n v="6"/>
    <n v="6"/>
    <s v="-"/>
    <n v="1"/>
    <n v="1"/>
    <n v="2"/>
    <n v="2"/>
    <n v="8"/>
    <n v="8"/>
  </r>
  <r>
    <x v="8"/>
    <x v="192"/>
    <d v="2026-09-02T00:00:00"/>
    <s v="1ST"/>
    <s v="10:00"/>
    <n v="3"/>
    <x v="12"/>
    <n v="0.01"/>
    <s v="P"/>
    <s v="P"/>
    <s v="P"/>
    <s v="+"/>
    <s v="+"/>
    <n v="12.82"/>
    <s v="-"/>
    <s v="-"/>
    <s v="-"/>
    <s v="-"/>
    <s v="-"/>
    <s v="-"/>
    <s v="-"/>
    <s v="-"/>
    <s v="P"/>
    <s v="P"/>
    <s v="-"/>
    <n v="2"/>
    <n v="1"/>
    <n v="2"/>
    <n v="1"/>
    <s v="-"/>
    <s v="-"/>
    <s v="-"/>
    <s v="-"/>
    <s v="-"/>
    <s v="-"/>
    <s v="-"/>
    <n v="6"/>
    <n v="6"/>
    <s v="-"/>
    <n v="1"/>
    <n v="1"/>
    <n v="2"/>
    <n v="2"/>
    <n v="8"/>
    <n v="8"/>
  </r>
  <r>
    <x v="8"/>
    <x v="192"/>
    <d v="2026-09-02T00:00:00"/>
    <s v="1ST"/>
    <s v="11:00"/>
    <n v="3"/>
    <x v="16"/>
    <n v="0.01"/>
    <s v="P"/>
    <s v="P"/>
    <s v="P"/>
    <s v="+"/>
    <s v="+"/>
    <n v="12.27"/>
    <n v="12.63"/>
    <n v="0.56000000000000005"/>
    <n v="65.8"/>
    <s v="-"/>
    <s v="-"/>
    <n v="35.299999999999997"/>
    <s v="-"/>
    <s v="-"/>
    <s v="P"/>
    <s v="P"/>
    <s v="-"/>
    <n v="2"/>
    <n v="1"/>
    <n v="2"/>
    <n v="1"/>
    <n v="1"/>
    <n v="0"/>
    <n v="2"/>
    <s v="-"/>
    <s v="-"/>
    <n v="2"/>
    <s v="-"/>
    <n v="11"/>
    <n v="13"/>
    <s v="-"/>
    <n v="1"/>
    <n v="1"/>
    <n v="2"/>
    <n v="2"/>
    <n v="13"/>
    <n v="15"/>
  </r>
  <r>
    <x v="8"/>
    <x v="192"/>
    <d v="2026-09-02T00:00:00"/>
    <s v="1ST"/>
    <s v="12:00"/>
    <n v="3"/>
    <x v="16"/>
    <n v="0.01"/>
    <s v="P"/>
    <s v="P"/>
    <s v="P"/>
    <s v="+"/>
    <s v="+"/>
    <n v="12.28"/>
    <s v="-"/>
    <s v="-"/>
    <s v="-"/>
    <s v="-"/>
    <s v="-"/>
    <s v="-"/>
    <s v="-"/>
    <s v="-"/>
    <s v="P"/>
    <s v="P"/>
    <s v="-"/>
    <n v="2"/>
    <n v="1"/>
    <n v="2"/>
    <n v="1"/>
    <s v="-"/>
    <s v="-"/>
    <s v="-"/>
    <s v="-"/>
    <s v="-"/>
    <s v="-"/>
    <s v="-"/>
    <n v="6"/>
    <n v="6"/>
    <s v="-"/>
    <n v="1"/>
    <n v="1"/>
    <n v="2"/>
    <n v="2"/>
    <n v="8"/>
    <n v="8"/>
  </r>
  <r>
    <x v="8"/>
    <x v="192"/>
    <d v="2026-09-02T00:00:00"/>
    <s v="1ST"/>
    <s v="13:00"/>
    <n v="3"/>
    <x v="16"/>
    <n v="0.01"/>
    <s v="P"/>
    <s v="P"/>
    <s v="P"/>
    <s v="+"/>
    <s v="+"/>
    <n v="12.39"/>
    <s v="-"/>
    <s v="-"/>
    <s v="-"/>
    <s v="-"/>
    <s v="-"/>
    <s v="-"/>
    <s v="-"/>
    <s v="-"/>
    <s v="P"/>
    <s v="P"/>
    <s v="-"/>
    <n v="2"/>
    <n v="1"/>
    <n v="2"/>
    <n v="1"/>
    <s v="-"/>
    <s v="-"/>
    <s v="-"/>
    <s v="-"/>
    <s v="-"/>
    <s v="-"/>
    <s v="-"/>
    <n v="6"/>
    <n v="6"/>
    <s v="-"/>
    <n v="1"/>
    <n v="1"/>
    <n v="2"/>
    <n v="2"/>
    <n v="8"/>
    <n v="8"/>
  </r>
  <r>
    <x v="8"/>
    <x v="192"/>
    <d v="2026-08-18T00:00:00"/>
    <s v="1ST"/>
    <s v="11:00"/>
    <s v="Retail"/>
    <x v="19"/>
    <s v="-"/>
    <s v="P"/>
    <s v="P"/>
    <s v="P"/>
    <s v="-"/>
    <s v="+"/>
    <n v="12.54"/>
    <s v="-"/>
    <s v="-"/>
    <s v="-"/>
    <s v="-"/>
    <s v="-"/>
    <s v="-"/>
    <s v="-"/>
    <s v="-"/>
    <s v="-"/>
    <s v="-"/>
    <s v="-"/>
    <s v="-"/>
    <n v="1"/>
    <n v="2"/>
    <n v="1"/>
    <s v="-"/>
    <s v="-"/>
    <s v="-"/>
    <s v="-"/>
    <s v="-"/>
    <s v="-"/>
    <s v="-"/>
    <n v="4"/>
    <n v="4"/>
    <s v="-"/>
    <s v="-"/>
    <s v="-"/>
    <n v="0"/>
    <n v="0"/>
    <n v="4"/>
    <n v="4"/>
  </r>
  <r>
    <x v="8"/>
    <x v="192"/>
    <d v="2026-08-28T00:00:00"/>
    <s v="2ND"/>
    <d v="1899-12-30T14:00:00"/>
    <n v="1"/>
    <x v="22"/>
    <n v="0.02"/>
    <s v="P"/>
    <s v="P"/>
    <s v="P"/>
    <s v="-"/>
    <s v="-"/>
    <n v="9.5"/>
    <n v="9.64"/>
    <s v="-"/>
    <s v="-"/>
    <s v="-"/>
    <s v="-"/>
    <n v="26.5"/>
    <s v="-"/>
    <s v="-"/>
    <s v="P"/>
    <s v="P"/>
    <n v="1"/>
    <n v="2"/>
    <n v="1"/>
    <n v="2"/>
    <n v="0"/>
    <n v="1"/>
    <s v="-"/>
    <s v="-"/>
    <s v="-"/>
    <s v="-"/>
    <n v="2"/>
    <s v="-"/>
    <n v="8"/>
    <n v="9"/>
    <s v="-"/>
    <n v="1"/>
    <n v="1"/>
    <n v="2"/>
    <n v="2"/>
    <n v="10"/>
    <n v="11"/>
  </r>
  <r>
    <x v="8"/>
    <x v="192"/>
    <d v="2026-08-28T00:00:00"/>
    <s v="2ND"/>
    <d v="1899-12-30T15:00:00"/>
    <n v="1"/>
    <x v="22"/>
    <n v="0.02"/>
    <s v="P"/>
    <s v="P"/>
    <s v="P"/>
    <s v="-"/>
    <s v="-"/>
    <n v="9.9499999999999993"/>
    <s v="-"/>
    <s v="-"/>
    <s v="-"/>
    <s v="-"/>
    <s v="-"/>
    <s v="-"/>
    <s v="-"/>
    <s v="-"/>
    <s v="P"/>
    <s v="P"/>
    <s v="-"/>
    <n v="2"/>
    <n v="1"/>
    <n v="2"/>
    <n v="0"/>
    <s v="-"/>
    <s v="-"/>
    <s v="-"/>
    <s v="-"/>
    <s v="-"/>
    <s v="-"/>
    <s v="-"/>
    <n v="5"/>
    <n v="6"/>
    <s v="-"/>
    <n v="1"/>
    <n v="1"/>
    <n v="2"/>
    <n v="2"/>
    <n v="7"/>
    <n v="8"/>
  </r>
  <r>
    <x v="8"/>
    <x v="192"/>
    <d v="2026-09-02T00:00:00"/>
    <s v="2ND"/>
    <d v="1899-12-30T16:00:00"/>
    <n v="1"/>
    <x v="22"/>
    <n v="0.01"/>
    <s v="P"/>
    <s v="P"/>
    <s v="P"/>
    <s v="-"/>
    <s v="-"/>
    <n v="10.93"/>
    <s v="-"/>
    <s v="-"/>
    <s v="-"/>
    <s v="-"/>
    <s v="-"/>
    <s v="-"/>
    <s v="-"/>
    <s v="-"/>
    <s v="P"/>
    <s v="P"/>
    <s v="-"/>
    <n v="2"/>
    <n v="1"/>
    <n v="2"/>
    <n v="0"/>
    <s v="-"/>
    <s v="-"/>
    <s v="-"/>
    <s v="-"/>
    <s v="-"/>
    <s v="-"/>
    <s v="-"/>
    <n v="5"/>
    <n v="6"/>
    <s v="-"/>
    <n v="1"/>
    <n v="1"/>
    <n v="2"/>
    <n v="2"/>
    <n v="7"/>
    <n v="8"/>
  </r>
  <r>
    <x v="8"/>
    <x v="192"/>
    <d v="2026-09-02T00:00:00"/>
    <s v="2ND"/>
    <d v="1899-12-30T18:00:00"/>
    <n v="1"/>
    <x v="22"/>
    <s v="-"/>
    <s v="-"/>
    <s v="P"/>
    <s v="P"/>
    <s v="-"/>
    <s v="-"/>
    <n v="11.06"/>
    <s v="-"/>
    <s v="-"/>
    <s v="-"/>
    <s v="-"/>
    <s v="-"/>
    <s v="-"/>
    <s v="-"/>
    <s v="-"/>
    <s v="P"/>
    <s v="P"/>
    <s v="-"/>
    <s v="-"/>
    <s v="-"/>
    <n v="2"/>
    <n v="1"/>
    <s v="-"/>
    <s v="-"/>
    <s v="-"/>
    <s v="-"/>
    <s v="-"/>
    <s v="-"/>
    <s v="-"/>
    <n v="3"/>
    <n v="3"/>
    <s v="-"/>
    <n v="1"/>
    <n v="1"/>
    <n v="2"/>
    <n v="2"/>
    <n v="5"/>
    <n v="5"/>
  </r>
  <r>
    <x v="8"/>
    <x v="192"/>
    <d v="2026-09-02T00:00:00"/>
    <s v="2ND"/>
    <d v="1899-12-30T20:00:00"/>
    <n v="1"/>
    <x v="22"/>
    <s v="-"/>
    <s v="P"/>
    <s v="P"/>
    <s v="P"/>
    <s v="-"/>
    <s v="-"/>
    <n v="11.03"/>
    <s v="-"/>
    <s v="-"/>
    <s v="-"/>
    <s v="-"/>
    <s v="-"/>
    <s v="-"/>
    <s v="-"/>
    <s v="-"/>
    <s v="P"/>
    <s v="P"/>
    <s v="-"/>
    <s v="-"/>
    <n v="1"/>
    <n v="2"/>
    <n v="1"/>
    <s v="-"/>
    <s v="-"/>
    <s v="-"/>
    <s v="-"/>
    <s v="-"/>
    <s v="-"/>
    <s v="-"/>
    <n v="4"/>
    <n v="4"/>
    <s v="-"/>
    <n v="1"/>
    <n v="1"/>
    <n v="2"/>
    <n v="2"/>
    <n v="6"/>
    <n v="6"/>
  </r>
  <r>
    <x v="8"/>
    <x v="192"/>
    <d v="2026-09-02T00:00:00"/>
    <s v="2ND"/>
    <d v="1899-12-30T21:00:00"/>
    <n v="1"/>
    <x v="22"/>
    <s v="-"/>
    <s v="P"/>
    <s v="P"/>
    <s v="P"/>
    <s v="-"/>
    <s v="-"/>
    <n v="10.96"/>
    <s v="-"/>
    <s v="-"/>
    <s v="-"/>
    <s v="-"/>
    <s v="-"/>
    <s v="-"/>
    <s v="-"/>
    <s v="-"/>
    <s v="P"/>
    <s v="P"/>
    <s v="-"/>
    <s v="-"/>
    <n v="1"/>
    <n v="2"/>
    <n v="0"/>
    <s v="-"/>
    <s v="-"/>
    <s v="-"/>
    <s v="-"/>
    <s v="-"/>
    <s v="-"/>
    <s v="-"/>
    <n v="3"/>
    <n v="4"/>
    <s v="-"/>
    <n v="1"/>
    <n v="1"/>
    <n v="2"/>
    <n v="2"/>
    <n v="5"/>
    <n v="6"/>
  </r>
  <r>
    <x v="8"/>
    <x v="192"/>
    <d v="1902-03-26T00:00:00"/>
    <s v="2ND"/>
    <d v="1899-12-30T14:00:00"/>
    <n v="2"/>
    <x v="4"/>
    <s v="-"/>
    <s v="P"/>
    <s v="P"/>
    <s v="P"/>
    <s v="-"/>
    <s v="+"/>
    <n v="10.29"/>
    <s v="-"/>
    <s v="-"/>
    <s v="-"/>
    <s v="-"/>
    <s v="-"/>
    <s v="-"/>
    <s v="-"/>
    <s v="-"/>
    <s v="P"/>
    <s v="P"/>
    <s v="-"/>
    <s v="-"/>
    <n v="1"/>
    <n v="2"/>
    <n v="0"/>
    <s v="-"/>
    <s v="-"/>
    <s v="-"/>
    <s v="-"/>
    <s v="-"/>
    <s v="-"/>
    <s v="-"/>
    <n v="3"/>
    <n v="4"/>
    <s v="-"/>
    <n v="1"/>
    <n v="1"/>
    <n v="2"/>
    <n v="2"/>
    <n v="5"/>
    <n v="6"/>
  </r>
  <r>
    <x v="8"/>
    <x v="192"/>
    <d v="1899-12-30T00:00:00"/>
    <s v="2ND"/>
    <d v="1899-12-30T16:00:00"/>
    <n v="2"/>
    <x v="4"/>
    <s v="-"/>
    <s v="P"/>
    <s v="P"/>
    <s v="P"/>
    <s v="-"/>
    <s v="+"/>
    <n v="11.01"/>
    <s v="-"/>
    <s v="-"/>
    <s v="-"/>
    <s v="-"/>
    <s v="-"/>
    <s v="-"/>
    <s v="-"/>
    <s v="-"/>
    <s v="P"/>
    <s v="P"/>
    <s v="-"/>
    <s v="-"/>
    <n v="1"/>
    <n v="2"/>
    <n v="1"/>
    <s v="-"/>
    <s v="-"/>
    <s v="-"/>
    <s v="-"/>
    <s v="-"/>
    <s v="-"/>
    <s v="-"/>
    <n v="4"/>
    <n v="4"/>
    <s v="-"/>
    <n v="1"/>
    <n v="1"/>
    <n v="2"/>
    <n v="2"/>
    <n v="6"/>
    <n v="6"/>
  </r>
  <r>
    <x v="8"/>
    <x v="192"/>
    <d v="1899-12-30T00:00:00"/>
    <s v="2ND"/>
    <d v="1899-12-30T18:00:00"/>
    <n v="2"/>
    <x v="20"/>
    <s v="-"/>
    <s v="P"/>
    <s v="P"/>
    <s v="P"/>
    <s v="-"/>
    <s v="-"/>
    <n v="12.34"/>
    <n v="11.6"/>
    <n v="0.62"/>
    <n v="65.3"/>
    <s v="-"/>
    <s v="-"/>
    <n v="32.4"/>
    <s v="-"/>
    <s v="-"/>
    <s v="P"/>
    <s v="P"/>
    <s v="-"/>
    <s v="-"/>
    <n v="1"/>
    <n v="2"/>
    <n v="1"/>
    <n v="0"/>
    <n v="2"/>
    <n v="2"/>
    <s v="-"/>
    <s v="-"/>
    <n v="2"/>
    <s v="-"/>
    <n v="10"/>
    <n v="11"/>
    <s v="-"/>
    <n v="1"/>
    <n v="1"/>
    <n v="2"/>
    <n v="2"/>
    <n v="12"/>
    <n v="13"/>
  </r>
  <r>
    <x v="8"/>
    <x v="192"/>
    <d v="1899-12-30T00:00:00"/>
    <s v="2ND"/>
    <d v="1899-12-30T19:00:00"/>
    <n v="2"/>
    <x v="20"/>
    <s v="-"/>
    <s v="P"/>
    <s v="P"/>
    <s v="P"/>
    <s v="-"/>
    <s v="-"/>
    <n v="11.95"/>
    <s v="-"/>
    <s v="-"/>
    <s v="-"/>
    <s v="-"/>
    <s v="-"/>
    <s v="-"/>
    <s v="-"/>
    <s v="-"/>
    <s v="P"/>
    <s v="P"/>
    <s v="-"/>
    <s v="-"/>
    <n v="1"/>
    <n v="2"/>
    <n v="1"/>
    <s v="-"/>
    <s v="-"/>
    <s v="-"/>
    <s v="-"/>
    <s v="-"/>
    <s v="-"/>
    <s v="-"/>
    <n v="4"/>
    <n v="4"/>
    <s v="-"/>
    <n v="1"/>
    <n v="1"/>
    <n v="2"/>
    <n v="2"/>
    <n v="6"/>
    <n v="6"/>
  </r>
  <r>
    <x v="8"/>
    <x v="192"/>
    <d v="1899-12-30T00:00:00"/>
    <s v="2ND"/>
    <d v="1899-12-30T20:00:00"/>
    <n v="2"/>
    <x v="20"/>
    <s v="-"/>
    <s v="P"/>
    <s v="P"/>
    <s v="P"/>
    <s v="-"/>
    <s v="-"/>
    <n v="12.3"/>
    <s v="-"/>
    <s v="-"/>
    <s v="-"/>
    <s v="-"/>
    <s v="-"/>
    <s v="-"/>
    <s v="-"/>
    <s v="-"/>
    <s v="P"/>
    <s v="P"/>
    <s v="-"/>
    <s v="-"/>
    <n v="1"/>
    <n v="2"/>
    <n v="1"/>
    <s v="-"/>
    <s v="-"/>
    <s v="-"/>
    <s v="-"/>
    <s v="-"/>
    <s v="-"/>
    <s v="-"/>
    <n v="4"/>
    <n v="4"/>
    <s v="-"/>
    <n v="1"/>
    <n v="1"/>
    <n v="2"/>
    <n v="2"/>
    <n v="6"/>
    <n v="6"/>
  </r>
  <r>
    <x v="8"/>
    <x v="192"/>
    <d v="1899-12-30T00:00:00"/>
    <s v="2ND"/>
    <d v="1899-12-30T21:00:00"/>
    <n v="2"/>
    <x v="7"/>
    <s v="-"/>
    <s v="P"/>
    <s v="P"/>
    <s v="P"/>
    <s v="-"/>
    <s v="+"/>
    <n v="10.89"/>
    <s v="-"/>
    <s v="-"/>
    <s v="-"/>
    <s v="-"/>
    <s v="-"/>
    <s v="-"/>
    <s v="-"/>
    <s v="-"/>
    <s v="P"/>
    <s v="P"/>
    <s v="-"/>
    <s v="-"/>
    <n v="1"/>
    <n v="2"/>
    <n v="0"/>
    <s v="-"/>
    <s v="-"/>
    <s v="-"/>
    <s v="-"/>
    <s v="-"/>
    <s v="-"/>
    <s v="-"/>
    <n v="3"/>
    <n v="4"/>
    <s v="-"/>
    <n v="1"/>
    <n v="1"/>
    <n v="2"/>
    <n v="2"/>
    <n v="5"/>
    <n v="6"/>
  </r>
  <r>
    <x v="8"/>
    <x v="192"/>
    <d v="2026-09-02T00:00:00"/>
    <s v="2ND"/>
    <d v="1899-12-30T16:00:00"/>
    <n v="3"/>
    <x v="16"/>
    <n v="0.01"/>
    <s v="P"/>
    <s v="P"/>
    <s v="P"/>
    <s v="+"/>
    <s v="+"/>
    <n v="12.16"/>
    <n v="13.07"/>
    <s v="-"/>
    <s v="-"/>
    <s v="-"/>
    <s v="-"/>
    <n v="36.700000000000003"/>
    <s v="-"/>
    <s v="-"/>
    <s v="P"/>
    <s v="P"/>
    <n v="1"/>
    <n v="2"/>
    <n v="1"/>
    <n v="2"/>
    <n v="1"/>
    <n v="1"/>
    <s v="-"/>
    <s v="-"/>
    <s v="-"/>
    <s v="-"/>
    <n v="2"/>
    <s v="-"/>
    <n v="9"/>
    <n v="9"/>
    <s v="-"/>
    <n v="1"/>
    <n v="1"/>
    <n v="2"/>
    <n v="2"/>
    <n v="11"/>
    <n v="11"/>
  </r>
  <r>
    <x v="8"/>
    <x v="192"/>
    <d v="2026-09-02T00:00:00"/>
    <s v="2ND"/>
    <d v="1899-12-30T18:00:00"/>
    <n v="3"/>
    <x v="16"/>
    <n v="0.01"/>
    <s v="P"/>
    <s v="P"/>
    <s v="P"/>
    <s v="+"/>
    <s v="+"/>
    <s v="-"/>
    <s v="-"/>
    <s v="-"/>
    <s v="-"/>
    <s v="-"/>
    <s v="-"/>
    <s v="-"/>
    <s v="-"/>
    <s v="-"/>
    <s v="P"/>
    <s v="P"/>
    <s v="-"/>
    <n v="2"/>
    <n v="1"/>
    <n v="2"/>
    <s v="-"/>
    <s v="-"/>
    <s v="-"/>
    <s v="-"/>
    <s v="-"/>
    <s v="-"/>
    <s v="-"/>
    <s v="-"/>
    <n v="5"/>
    <n v="5"/>
    <s v="-"/>
    <n v="1"/>
    <n v="1"/>
    <n v="2"/>
    <n v="2"/>
    <n v="7"/>
    <n v="7"/>
  </r>
  <r>
    <x v="8"/>
    <x v="192"/>
    <d v="2026-09-02T00:00:00"/>
    <s v="2ND"/>
    <d v="1899-12-30T19:00:00"/>
    <n v="3"/>
    <x v="16"/>
    <n v="0.01"/>
    <s v="P"/>
    <s v="P"/>
    <s v="P"/>
    <s v="+"/>
    <s v="+"/>
    <n v="12.3"/>
    <s v="-"/>
    <s v="-"/>
    <s v="-"/>
    <s v="-"/>
    <s v="-"/>
    <s v="-"/>
    <s v="-"/>
    <s v="-"/>
    <s v="P"/>
    <s v="P"/>
    <s v="-"/>
    <n v="2"/>
    <n v="1"/>
    <n v="2"/>
    <n v="1"/>
    <s v="-"/>
    <s v="-"/>
    <s v="-"/>
    <s v="-"/>
    <s v="-"/>
    <s v="-"/>
    <s v="-"/>
    <n v="6"/>
    <n v="6"/>
    <s v="-"/>
    <n v="1"/>
    <n v="1"/>
    <n v="2"/>
    <n v="2"/>
    <n v="8"/>
    <n v="8"/>
  </r>
  <r>
    <x v="8"/>
    <x v="192"/>
    <d v="2026-09-02T00:00:00"/>
    <s v="2ND"/>
    <d v="1899-12-30T20:00:00"/>
    <n v="3"/>
    <x v="16"/>
    <n v="0.01"/>
    <s v="P"/>
    <s v="P"/>
    <s v="P"/>
    <s v="+"/>
    <s v="+"/>
    <n v="12.54"/>
    <s v="-"/>
    <s v="-"/>
    <s v="-"/>
    <s v="-"/>
    <s v="-"/>
    <s v="-"/>
    <s v="-"/>
    <s v="-"/>
    <s v="P"/>
    <s v="P"/>
    <s v="-"/>
    <n v="2"/>
    <n v="1"/>
    <n v="2"/>
    <n v="1"/>
    <s v="-"/>
    <s v="-"/>
    <s v="-"/>
    <s v="-"/>
    <s v="-"/>
    <s v="-"/>
    <s v="-"/>
    <n v="6"/>
    <n v="6"/>
    <s v="-"/>
    <n v="1"/>
    <n v="1"/>
    <n v="2"/>
    <n v="2"/>
    <n v="8"/>
    <n v="8"/>
  </r>
  <r>
    <x v="8"/>
    <x v="192"/>
    <d v="2026-09-02T00:00:00"/>
    <s v="2ND"/>
    <d v="1899-12-30T21:00:00"/>
    <n v="3"/>
    <x v="16"/>
    <n v="0.01"/>
    <s v="P"/>
    <s v="P"/>
    <s v="P"/>
    <s v="+"/>
    <s v="+"/>
    <n v="12.61"/>
    <s v="-"/>
    <s v="-"/>
    <s v="-"/>
    <s v="-"/>
    <s v="-"/>
    <s v="-"/>
    <s v="-"/>
    <s v="-"/>
    <s v="P"/>
    <s v="P"/>
    <s v="-"/>
    <n v="2"/>
    <n v="1"/>
    <n v="2"/>
    <n v="1"/>
    <s v="-"/>
    <s v="-"/>
    <s v="-"/>
    <s v="-"/>
    <s v="-"/>
    <s v="-"/>
    <s v="-"/>
    <n v="6"/>
    <n v="6"/>
    <s v="-"/>
    <n v="1"/>
    <n v="1"/>
    <n v="2"/>
    <n v="2"/>
    <n v="8"/>
    <n v="8"/>
  </r>
  <r>
    <x v="8"/>
    <x v="192"/>
    <d v="2026-09-02T00:00:00"/>
    <s v="2ND"/>
    <d v="1899-12-30T16:00:00"/>
    <n v="3"/>
    <x v="16"/>
    <n v="0.01"/>
    <s v="P"/>
    <s v="P"/>
    <s v="P"/>
    <s v="+"/>
    <s v="+"/>
    <n v="12.16"/>
    <n v="13.07"/>
    <s v="-"/>
    <s v="-"/>
    <s v="-"/>
    <s v="-"/>
    <n v="36.700000000000003"/>
    <s v="-"/>
    <s v="-"/>
    <s v="P"/>
    <s v="P"/>
    <n v="1"/>
    <n v="2"/>
    <n v="1"/>
    <n v="2"/>
    <n v="1"/>
    <n v="1"/>
    <s v="-"/>
    <s v="-"/>
    <s v="-"/>
    <s v="-"/>
    <n v="2"/>
    <s v="-"/>
    <n v="9"/>
    <n v="9"/>
    <s v="-"/>
    <n v="1"/>
    <n v="1"/>
    <n v="2"/>
    <n v="2"/>
    <n v="11"/>
    <n v="11"/>
  </r>
  <r>
    <x v="8"/>
    <x v="192"/>
    <d v="2026-09-02T00:00:00"/>
    <s v="2ND"/>
    <d v="1899-12-30T18:00:00"/>
    <n v="3"/>
    <x v="16"/>
    <n v="0.01"/>
    <s v="P"/>
    <s v="P"/>
    <s v="P"/>
    <s v="+"/>
    <s v="+"/>
    <s v="-"/>
    <s v="-"/>
    <s v="-"/>
    <s v="-"/>
    <s v="-"/>
    <s v="-"/>
    <s v="-"/>
    <s v="-"/>
    <s v="-"/>
    <s v="P"/>
    <s v="P"/>
    <s v="-"/>
    <n v="2"/>
    <n v="1"/>
    <n v="2"/>
    <s v="-"/>
    <s v="-"/>
    <s v="-"/>
    <s v="-"/>
    <s v="-"/>
    <s v="-"/>
    <s v="-"/>
    <s v="-"/>
    <n v="5"/>
    <n v="5"/>
    <s v="-"/>
    <n v="1"/>
    <n v="1"/>
    <n v="2"/>
    <n v="2"/>
    <n v="7"/>
    <n v="7"/>
  </r>
  <r>
    <x v="8"/>
    <x v="192"/>
    <d v="2026-09-02T00:00:00"/>
    <s v="2ND"/>
    <d v="1899-12-30T19:00:00"/>
    <n v="3"/>
    <x v="16"/>
    <n v="0.01"/>
    <s v="P"/>
    <s v="P"/>
    <s v="P"/>
    <s v="+"/>
    <s v="+"/>
    <n v="12.3"/>
    <s v="-"/>
    <s v="-"/>
    <s v="-"/>
    <s v="-"/>
    <s v="-"/>
    <s v="-"/>
    <s v="-"/>
    <s v="-"/>
    <s v="P"/>
    <s v="P"/>
    <s v="-"/>
    <n v="2"/>
    <n v="1"/>
    <n v="2"/>
    <n v="1"/>
    <s v="-"/>
    <s v="-"/>
    <s v="-"/>
    <s v="-"/>
    <s v="-"/>
    <s v="-"/>
    <s v="-"/>
    <n v="6"/>
    <n v="6"/>
    <s v="-"/>
    <n v="1"/>
    <n v="1"/>
    <n v="2"/>
    <n v="2"/>
    <n v="8"/>
    <n v="8"/>
  </r>
  <r>
    <x v="8"/>
    <x v="192"/>
    <d v="2026-09-02T00:00:00"/>
    <s v="2ND"/>
    <d v="1899-12-30T20:00:00"/>
    <n v="3"/>
    <x v="16"/>
    <n v="0.01"/>
    <s v="P"/>
    <s v="P"/>
    <s v="P"/>
    <s v="+"/>
    <s v="+"/>
    <n v="12.54"/>
    <s v="-"/>
    <s v="-"/>
    <s v="-"/>
    <s v="-"/>
    <s v="-"/>
    <s v="-"/>
    <s v="-"/>
    <s v="-"/>
    <s v="P"/>
    <s v="P"/>
    <s v="-"/>
    <n v="2"/>
    <n v="1"/>
    <n v="2"/>
    <n v="1"/>
    <s v="-"/>
    <s v="-"/>
    <s v="-"/>
    <s v="-"/>
    <s v="-"/>
    <s v="-"/>
    <s v="-"/>
    <n v="6"/>
    <n v="6"/>
    <s v="-"/>
    <n v="1"/>
    <n v="1"/>
    <n v="2"/>
    <n v="2"/>
    <n v="8"/>
    <n v="8"/>
  </r>
  <r>
    <x v="8"/>
    <x v="192"/>
    <d v="2026-09-02T00:00:00"/>
    <s v="2ND"/>
    <d v="1899-12-30T21:00:00"/>
    <n v="3"/>
    <x v="16"/>
    <n v="0.01"/>
    <s v="P"/>
    <s v="P"/>
    <s v="P"/>
    <s v="+"/>
    <s v="+"/>
    <n v="12.61"/>
    <s v="-"/>
    <s v="-"/>
    <s v="-"/>
    <s v="-"/>
    <s v="-"/>
    <s v="-"/>
    <s v="-"/>
    <s v="-"/>
    <s v="P"/>
    <s v="P"/>
    <s v="-"/>
    <n v="2"/>
    <n v="1"/>
    <n v="2"/>
    <n v="1"/>
    <s v="-"/>
    <s v="-"/>
    <s v="-"/>
    <s v="-"/>
    <s v="-"/>
    <s v="-"/>
    <s v="-"/>
    <n v="6"/>
    <n v="6"/>
    <s v="-"/>
    <n v="1"/>
    <n v="1"/>
    <n v="2"/>
    <n v="2"/>
    <n v="8"/>
    <n v="8"/>
  </r>
  <r>
    <x v="8"/>
    <x v="192"/>
    <d v="2026-08-18T00:00:00"/>
    <s v="2ND"/>
    <d v="1899-12-30T14:00:00"/>
    <s v="Retail"/>
    <x v="25"/>
    <s v="-"/>
    <s v="P"/>
    <s v="P"/>
    <s v="P"/>
    <s v="-"/>
    <s v="-"/>
    <n v="12.14"/>
    <s v="-"/>
    <s v="-"/>
    <s v="-"/>
    <s v="-"/>
    <s v="-"/>
    <s v="-"/>
    <s v="-"/>
    <s v="-"/>
    <s v="-"/>
    <s v="-"/>
    <s v="-"/>
    <s v="-"/>
    <n v="1"/>
    <n v="2"/>
    <n v="1"/>
    <s v="-"/>
    <s v="-"/>
    <s v="-"/>
    <s v="-"/>
    <s v="-"/>
    <s v="-"/>
    <s v="-"/>
    <n v="4"/>
    <n v="4"/>
    <s v="-"/>
    <s v="-"/>
    <s v="-"/>
    <n v="0"/>
    <n v="0"/>
    <n v="4"/>
    <n v="4"/>
  </r>
  <r>
    <x v="8"/>
    <x v="192"/>
    <d v="2026-09-02T00:00:00"/>
    <s v="3RD"/>
    <d v="1899-12-30T22:00:00"/>
    <n v="1"/>
    <x v="22"/>
    <s v="-"/>
    <s v="P"/>
    <s v="P"/>
    <s v="P"/>
    <s v="-"/>
    <s v="-"/>
    <n v="11"/>
    <n v="10.15"/>
    <s v="-"/>
    <s v="-"/>
    <s v="-"/>
    <s v="-"/>
    <n v="27.9"/>
    <s v="-"/>
    <s v="-"/>
    <s v="P"/>
    <s v="P"/>
    <n v="1"/>
    <s v="-"/>
    <n v="1"/>
    <n v="2"/>
    <n v="1"/>
    <n v="0"/>
    <s v="-"/>
    <s v="-"/>
    <s v="-"/>
    <s v="-"/>
    <n v="2"/>
    <s v="-"/>
    <n v="6"/>
    <n v="7"/>
    <s v="-"/>
    <n v="1"/>
    <n v="1"/>
    <n v="2"/>
    <n v="2"/>
    <n v="8"/>
    <n v="9"/>
  </r>
  <r>
    <x v="8"/>
    <x v="192"/>
    <d v="2026-09-02T00:00:00"/>
    <s v="3RD"/>
    <d v="1899-12-31T00:00:00"/>
    <n v="1"/>
    <x v="22"/>
    <s v="-"/>
    <s v="P"/>
    <s v="P"/>
    <s v="P"/>
    <s v="-"/>
    <s v="-"/>
    <n v="9.6"/>
    <s v="-"/>
    <s v="-"/>
    <s v="-"/>
    <s v="-"/>
    <s v="-"/>
    <s v="-"/>
    <s v="-"/>
    <s v="-"/>
    <s v="P"/>
    <s v="P"/>
    <s v="-"/>
    <s v="-"/>
    <n v="1"/>
    <n v="2"/>
    <n v="0"/>
    <s v="-"/>
    <s v="-"/>
    <s v="-"/>
    <s v="-"/>
    <s v="-"/>
    <s v="-"/>
    <s v="-"/>
    <n v="3"/>
    <n v="4"/>
    <s v="-"/>
    <n v="1"/>
    <n v="1"/>
    <n v="2"/>
    <n v="2"/>
    <n v="5"/>
    <n v="6"/>
  </r>
  <r>
    <x v="8"/>
    <x v="192"/>
    <d v="1902-03-26T00:00:00"/>
    <s v="3RD"/>
    <d v="1899-12-30T22:00:00"/>
    <n v="2"/>
    <x v="7"/>
    <s v="-"/>
    <s v="P"/>
    <s v="P"/>
    <s v="P"/>
    <s v="-"/>
    <s v="+"/>
    <n v="11.06"/>
    <s v="-"/>
    <s v="-"/>
    <s v="-"/>
    <s v="-"/>
    <s v="-"/>
    <s v="-"/>
    <s v="-"/>
    <s v="-"/>
    <s v="P"/>
    <s v="P"/>
    <s v="-"/>
    <s v="-"/>
    <n v="1"/>
    <n v="2"/>
    <n v="1"/>
    <s v="-"/>
    <s v="-"/>
    <s v="-"/>
    <s v="-"/>
    <s v="-"/>
    <s v="-"/>
    <s v="-"/>
    <n v="4"/>
    <n v="4"/>
    <s v="-"/>
    <n v="1"/>
    <n v="1"/>
    <n v="2"/>
    <n v="2"/>
    <n v="6"/>
    <n v="6"/>
  </r>
  <r>
    <x v="8"/>
    <x v="192"/>
    <d v="1899-12-30T00:00:00"/>
    <s v="3RD"/>
    <d v="1899-12-31T00:00:00"/>
    <n v="2"/>
    <x v="7"/>
    <s v="-"/>
    <s v="P"/>
    <s v="P"/>
    <s v="P"/>
    <s v="-"/>
    <s v="+"/>
    <n v="10.6"/>
    <s v="-"/>
    <s v="-"/>
    <s v="-"/>
    <s v="-"/>
    <s v="-"/>
    <s v="-"/>
    <s v="-"/>
    <s v="-"/>
    <s v="P"/>
    <s v="P"/>
    <s v="-"/>
    <s v="-"/>
    <n v="1"/>
    <n v="2"/>
    <n v="0"/>
    <s v="-"/>
    <s v="-"/>
    <s v="-"/>
    <s v="-"/>
    <s v="-"/>
    <s v="-"/>
    <s v="-"/>
    <n v="3"/>
    <n v="4"/>
    <s v="-"/>
    <n v="1"/>
    <n v="1"/>
    <n v="2"/>
    <n v="2"/>
    <n v="5"/>
    <n v="6"/>
  </r>
  <r>
    <x v="8"/>
    <x v="192"/>
    <d v="1899-12-30T00:00:00"/>
    <s v="3RD"/>
    <d v="1899-12-31T01:00:00"/>
    <n v="2"/>
    <x v="7"/>
    <s v="-"/>
    <s v="P"/>
    <s v="P"/>
    <s v="P"/>
    <s v="-"/>
    <s v="+"/>
    <n v="10.69"/>
    <s v="-"/>
    <s v="-"/>
    <s v="-"/>
    <s v="-"/>
    <s v="-"/>
    <s v="-"/>
    <s v="-"/>
    <s v="-"/>
    <s v="P"/>
    <s v="P"/>
    <s v="-"/>
    <s v="-"/>
    <n v="1"/>
    <n v="2"/>
    <n v="0"/>
    <s v="-"/>
    <s v="-"/>
    <s v="-"/>
    <s v="-"/>
    <s v="-"/>
    <s v="-"/>
    <s v="-"/>
    <n v="3"/>
    <n v="4"/>
    <s v="-"/>
    <n v="1"/>
    <n v="1"/>
    <n v="2"/>
    <n v="2"/>
    <n v="5"/>
    <n v="6"/>
  </r>
  <r>
    <x v="8"/>
    <x v="192"/>
    <d v="1899-12-30T00:00:00"/>
    <s v="3RD"/>
    <d v="1899-12-31T02:00:00"/>
    <n v="2"/>
    <x v="7"/>
    <s v="-"/>
    <s v="P"/>
    <s v="P"/>
    <s v="P"/>
    <s v="-"/>
    <s v="+"/>
    <n v="10.66"/>
    <s v="-"/>
    <s v="-"/>
    <s v="-"/>
    <s v="-"/>
    <s v="-"/>
    <s v="-"/>
    <s v="-"/>
    <s v="-"/>
    <s v="P"/>
    <s v="P"/>
    <s v="-"/>
    <s v="-"/>
    <n v="1"/>
    <n v="2"/>
    <n v="0"/>
    <s v="-"/>
    <s v="-"/>
    <s v="-"/>
    <s v="-"/>
    <s v="-"/>
    <s v="-"/>
    <s v="-"/>
    <n v="3"/>
    <n v="4"/>
    <s v="-"/>
    <n v="1"/>
    <n v="1"/>
    <n v="2"/>
    <n v="2"/>
    <n v="5"/>
    <n v="6"/>
  </r>
  <r>
    <x v="8"/>
    <x v="192"/>
    <d v="1899-12-30T00:00:00"/>
    <s v="3RD"/>
    <d v="1899-12-31T03:00:00"/>
    <n v="2"/>
    <x v="7"/>
    <s v="-"/>
    <s v="P"/>
    <s v="P"/>
    <s v="P"/>
    <s v="-"/>
    <s v="+"/>
    <n v="10.52"/>
    <s v="-"/>
    <s v="-"/>
    <s v="-"/>
    <s v="-"/>
    <s v="-"/>
    <s v="-"/>
    <s v="-"/>
    <s v="-"/>
    <s v="P"/>
    <s v="P"/>
    <s v="-"/>
    <s v="-"/>
    <n v="1"/>
    <n v="2"/>
    <n v="0"/>
    <s v="-"/>
    <s v="-"/>
    <s v="-"/>
    <s v="-"/>
    <s v="-"/>
    <s v="-"/>
    <s v="-"/>
    <n v="3"/>
    <n v="4"/>
    <s v="-"/>
    <n v="1"/>
    <n v="1"/>
    <n v="2"/>
    <n v="2"/>
    <n v="5"/>
    <n v="6"/>
  </r>
  <r>
    <x v="8"/>
    <x v="192"/>
    <d v="1899-12-30T00:00:00"/>
    <s v="3RD"/>
    <d v="1899-12-31T04:00:00"/>
    <n v="2"/>
    <x v="7"/>
    <s v="-"/>
    <s v="P"/>
    <s v="P"/>
    <s v="P"/>
    <s v="-"/>
    <s v="+"/>
    <n v="10.71"/>
    <s v="-"/>
    <s v="-"/>
    <s v="-"/>
    <s v="-"/>
    <s v="-"/>
    <s v="-"/>
    <s v="-"/>
    <s v="-"/>
    <s v="P"/>
    <s v="P"/>
    <s v="-"/>
    <s v="-"/>
    <n v="1"/>
    <n v="2"/>
    <n v="0"/>
    <s v="-"/>
    <s v="-"/>
    <s v="-"/>
    <s v="-"/>
    <s v="-"/>
    <s v="-"/>
    <s v="-"/>
    <n v="3"/>
    <n v="4"/>
    <s v="-"/>
    <n v="1"/>
    <n v="1"/>
    <n v="2"/>
    <n v="2"/>
    <n v="5"/>
    <n v="6"/>
  </r>
  <r>
    <x v="8"/>
    <x v="192"/>
    <d v="1899-12-30T00:00:00"/>
    <s v="3RD"/>
    <d v="1899-12-31T05:00:00"/>
    <n v="2"/>
    <x v="7"/>
    <s v="-"/>
    <s v="P"/>
    <s v="P"/>
    <s v="P"/>
    <s v="-"/>
    <s v="+"/>
    <n v="10.34"/>
    <s v="-"/>
    <s v="-"/>
    <s v="-"/>
    <s v="-"/>
    <s v="-"/>
    <s v="-"/>
    <s v="-"/>
    <s v="-"/>
    <s v="P"/>
    <s v="P"/>
    <s v="-"/>
    <s v="-"/>
    <n v="1"/>
    <n v="2"/>
    <n v="0"/>
    <s v="-"/>
    <s v="-"/>
    <s v="-"/>
    <s v="-"/>
    <s v="-"/>
    <s v="-"/>
    <s v="-"/>
    <n v="3"/>
    <n v="4"/>
    <s v="-"/>
    <n v="1"/>
    <n v="1"/>
    <n v="2"/>
    <n v="2"/>
    <n v="5"/>
    <n v="6"/>
  </r>
  <r>
    <x v="8"/>
    <x v="192"/>
    <d v="2026-08-26T00:00:00"/>
    <s v="3RD"/>
    <d v="1899-12-31T00:00:00"/>
    <n v="3"/>
    <x v="1"/>
    <n v="0.01"/>
    <s v="P"/>
    <s v="P"/>
    <s v="P"/>
    <s v="+"/>
    <s v="+"/>
    <n v="11.92"/>
    <n v="12.37"/>
    <n v="0.62"/>
    <s v="-"/>
    <s v="-"/>
    <s v="-"/>
    <n v="34.700000000000003"/>
    <s v="-"/>
    <s v="-"/>
    <s v="P"/>
    <s v="P"/>
    <s v="95% 5%"/>
    <n v="2"/>
    <n v="1"/>
    <n v="2"/>
    <n v="0"/>
    <n v="1"/>
    <n v="2"/>
    <s v="-"/>
    <s v="-"/>
    <s v="-"/>
    <n v="2"/>
    <s v="-"/>
    <n v="10"/>
    <n v="11"/>
    <s v="-"/>
    <n v="1"/>
    <n v="1"/>
    <n v="2"/>
    <n v="2"/>
    <n v="12"/>
    <n v="13"/>
  </r>
  <r>
    <x v="8"/>
    <x v="192"/>
    <d v="2026-08-26T00:00:00"/>
    <s v="3RD"/>
    <d v="1899-12-31T01:00:00"/>
    <n v="3"/>
    <x v="1"/>
    <s v="-"/>
    <s v="P"/>
    <s v="P"/>
    <s v="P"/>
    <s v="+"/>
    <s v="+"/>
    <n v="12.02"/>
    <s v="-"/>
    <s v="-"/>
    <s v="-"/>
    <s v="-"/>
    <s v="-"/>
    <s v="-"/>
    <s v="-"/>
    <s v="-"/>
    <s v="P"/>
    <s v="P"/>
    <s v="-"/>
    <s v="-"/>
    <n v="1"/>
    <n v="2"/>
    <n v="1"/>
    <s v="-"/>
    <s v="-"/>
    <s v="-"/>
    <s v="-"/>
    <s v="-"/>
    <s v="-"/>
    <s v="-"/>
    <n v="4"/>
    <n v="4"/>
    <s v="-"/>
    <n v="1"/>
    <n v="1"/>
    <n v="2"/>
    <n v="2"/>
    <n v="6"/>
    <n v="6"/>
  </r>
  <r>
    <x v="8"/>
    <x v="192"/>
    <d v="2026-08-26T00:00:00"/>
    <s v="3RD"/>
    <d v="1899-12-31T02:00:00"/>
    <n v="3"/>
    <x v="1"/>
    <n v="0.01"/>
    <s v="P"/>
    <s v="P"/>
    <s v="P"/>
    <s v="+"/>
    <s v="+"/>
    <n v="12.02"/>
    <s v="-"/>
    <s v="-"/>
    <s v="-"/>
    <s v="-"/>
    <s v="-"/>
    <s v="-"/>
    <s v="-"/>
    <s v="-"/>
    <s v="P"/>
    <s v="P"/>
    <s v="-"/>
    <n v="2"/>
    <n v="1"/>
    <n v="2"/>
    <n v="1"/>
    <s v="-"/>
    <s v="-"/>
    <s v="-"/>
    <s v="-"/>
    <s v="-"/>
    <s v="-"/>
    <s v="-"/>
    <n v="6"/>
    <n v="6"/>
    <s v="-"/>
    <n v="1"/>
    <n v="1"/>
    <n v="2"/>
    <n v="2"/>
    <n v="8"/>
    <n v="8"/>
  </r>
  <r>
    <x v="8"/>
    <x v="192"/>
    <d v="2026-08-26T00:00:00"/>
    <s v="3RD"/>
    <d v="1899-12-31T03:00:00"/>
    <n v="3"/>
    <x v="1"/>
    <n v="0.01"/>
    <s v="P"/>
    <s v="P"/>
    <s v="P"/>
    <s v="+"/>
    <s v="+"/>
    <n v="12.15"/>
    <s v="-"/>
    <s v="-"/>
    <s v="-"/>
    <s v="-"/>
    <s v="-"/>
    <s v="-"/>
    <s v="-"/>
    <s v="-"/>
    <s v="P"/>
    <s v="P"/>
    <s v="-"/>
    <n v="2"/>
    <n v="1"/>
    <n v="2"/>
    <n v="1"/>
    <s v="-"/>
    <s v="-"/>
    <s v="-"/>
    <s v="-"/>
    <s v="-"/>
    <s v="-"/>
    <s v="-"/>
    <n v="6"/>
    <n v="6"/>
    <s v="-"/>
    <n v="1"/>
    <n v="1"/>
    <n v="2"/>
    <n v="2"/>
    <n v="8"/>
    <n v="8"/>
  </r>
  <r>
    <x v="8"/>
    <x v="192"/>
    <d v="2026-09-02T00:00:00"/>
    <s v="3RD"/>
    <d v="1899-12-31T05:00:00"/>
    <n v="3"/>
    <x v="10"/>
    <n v="0.01"/>
    <s v="P"/>
    <s v="P"/>
    <s v="P"/>
    <s v="+"/>
    <s v="+"/>
    <n v="12.95"/>
    <s v="-"/>
    <s v="-"/>
    <s v="-"/>
    <s v="-"/>
    <s v="-"/>
    <s v="-"/>
    <s v="-"/>
    <s v="-"/>
    <s v="P"/>
    <s v="P"/>
    <s v="-"/>
    <n v="2"/>
    <n v="1"/>
    <n v="2"/>
    <n v="1"/>
    <s v="-"/>
    <s v="-"/>
    <s v="-"/>
    <s v="-"/>
    <s v="-"/>
    <s v="-"/>
    <s v="-"/>
    <n v="6"/>
    <n v="6"/>
    <s v="-"/>
    <n v="1"/>
    <n v="1"/>
    <n v="2"/>
    <n v="2"/>
    <n v="8"/>
    <n v="8"/>
  </r>
  <r>
    <x v="8"/>
    <x v="192"/>
    <d v="2026-09-02T00:00:00"/>
    <s v="3RD"/>
    <d v="1899-12-30T22:00:00"/>
    <n v="1"/>
    <x v="22"/>
    <s v="-"/>
    <s v="P"/>
    <s v="P"/>
    <s v="P"/>
    <s v="-"/>
    <s v="-"/>
    <n v="11"/>
    <n v="10.15"/>
    <s v="-"/>
    <s v="-"/>
    <s v="-"/>
    <s v="-"/>
    <n v="27.9"/>
    <s v="-"/>
    <s v="-"/>
    <s v="P"/>
    <s v="P"/>
    <n v="1"/>
    <s v="-"/>
    <n v="1"/>
    <n v="2"/>
    <n v="1"/>
    <n v="0"/>
    <s v="-"/>
    <s v="-"/>
    <s v="-"/>
    <s v="-"/>
    <n v="2"/>
    <s v="-"/>
    <n v="6"/>
    <n v="7"/>
    <s v="-"/>
    <n v="1"/>
    <n v="1"/>
    <n v="2"/>
    <n v="2"/>
    <n v="8"/>
    <n v="9"/>
  </r>
  <r>
    <x v="8"/>
    <x v="192"/>
    <d v="2026-09-02T00:00:00"/>
    <s v="3RD"/>
    <d v="1899-12-31T00:00:00"/>
    <n v="1"/>
    <x v="22"/>
    <s v="-"/>
    <s v="P"/>
    <s v="P"/>
    <s v="P"/>
    <s v="-"/>
    <s v="-"/>
    <n v="9.6"/>
    <s v="-"/>
    <s v="-"/>
    <s v="-"/>
    <s v="-"/>
    <s v="-"/>
    <s v="-"/>
    <s v="-"/>
    <s v="-"/>
    <s v="P"/>
    <s v="P"/>
    <s v="-"/>
    <s v="-"/>
    <n v="1"/>
    <n v="2"/>
    <n v="0"/>
    <s v="-"/>
    <s v="-"/>
    <s v="-"/>
    <s v="-"/>
    <s v="-"/>
    <s v="-"/>
    <s v="-"/>
    <n v="3"/>
    <n v="4"/>
    <s v="-"/>
    <n v="1"/>
    <n v="1"/>
    <n v="2"/>
    <n v="2"/>
    <n v="5"/>
    <n v="6"/>
  </r>
  <r>
    <x v="8"/>
    <x v="192"/>
    <d v="1902-03-26T00:00:00"/>
    <s v="3RD"/>
    <d v="1899-12-30T22:00:00"/>
    <n v="2"/>
    <x v="7"/>
    <s v="-"/>
    <s v="P"/>
    <s v="P"/>
    <s v="P"/>
    <s v="-"/>
    <s v="+"/>
    <n v="11.06"/>
    <s v="-"/>
    <s v="-"/>
    <s v="-"/>
    <s v="-"/>
    <s v="-"/>
    <s v="-"/>
    <s v="-"/>
    <s v="-"/>
    <s v="P"/>
    <s v="P"/>
    <s v="-"/>
    <s v="-"/>
    <n v="1"/>
    <n v="2"/>
    <n v="1"/>
    <s v="-"/>
    <s v="-"/>
    <s v="-"/>
    <s v="-"/>
    <s v="-"/>
    <s v="-"/>
    <s v="-"/>
    <n v="4"/>
    <n v="4"/>
    <s v="-"/>
    <n v="1"/>
    <n v="1"/>
    <n v="2"/>
    <n v="2"/>
    <n v="6"/>
    <n v="6"/>
  </r>
  <r>
    <x v="8"/>
    <x v="192"/>
    <d v="1899-12-30T00:00:00"/>
    <s v="3RD"/>
    <d v="1899-12-31T00:00:00"/>
    <n v="2"/>
    <x v="7"/>
    <s v="-"/>
    <s v="P"/>
    <s v="P"/>
    <s v="P"/>
    <s v="-"/>
    <s v="+"/>
    <n v="10.6"/>
    <s v="-"/>
    <s v="-"/>
    <s v="-"/>
    <s v="-"/>
    <s v="-"/>
    <s v="-"/>
    <s v="-"/>
    <s v="-"/>
    <s v="P"/>
    <s v="P"/>
    <s v="-"/>
    <s v="-"/>
    <n v="1"/>
    <n v="2"/>
    <n v="0"/>
    <s v="-"/>
    <s v="-"/>
    <s v="-"/>
    <s v="-"/>
    <s v="-"/>
    <s v="-"/>
    <s v="-"/>
    <n v="3"/>
    <n v="4"/>
    <s v="-"/>
    <n v="1"/>
    <n v="1"/>
    <n v="2"/>
    <n v="2"/>
    <n v="5"/>
    <n v="6"/>
  </r>
  <r>
    <x v="8"/>
    <x v="192"/>
    <d v="1899-12-30T00:00:00"/>
    <s v="3RD"/>
    <d v="1899-12-31T01:00:00"/>
    <n v="2"/>
    <x v="7"/>
    <s v="-"/>
    <s v="P"/>
    <s v="P"/>
    <s v="P"/>
    <s v="-"/>
    <s v="+"/>
    <n v="10.69"/>
    <s v="-"/>
    <s v="-"/>
    <s v="-"/>
    <s v="-"/>
    <s v="-"/>
    <s v="-"/>
    <s v="-"/>
    <s v="-"/>
    <s v="P"/>
    <s v="P"/>
    <s v="-"/>
    <s v="-"/>
    <n v="1"/>
    <n v="2"/>
    <n v="0"/>
    <s v="-"/>
    <s v="-"/>
    <s v="-"/>
    <s v="-"/>
    <s v="-"/>
    <s v="-"/>
    <s v="-"/>
    <n v="3"/>
    <n v="4"/>
    <s v="-"/>
    <n v="1"/>
    <n v="1"/>
    <n v="2"/>
    <n v="2"/>
    <n v="5"/>
    <n v="6"/>
  </r>
  <r>
    <x v="8"/>
    <x v="192"/>
    <d v="1899-12-30T00:00:00"/>
    <s v="3RD"/>
    <d v="1899-12-31T02:00:00"/>
    <n v="2"/>
    <x v="7"/>
    <s v="-"/>
    <s v="P"/>
    <s v="P"/>
    <s v="P"/>
    <s v="-"/>
    <s v="+"/>
    <n v="10.66"/>
    <s v="-"/>
    <s v="-"/>
    <s v="-"/>
    <s v="-"/>
    <s v="-"/>
    <s v="-"/>
    <s v="-"/>
    <s v="-"/>
    <s v="P"/>
    <s v="P"/>
    <s v="-"/>
    <s v="-"/>
    <n v="1"/>
    <n v="2"/>
    <n v="0"/>
    <s v="-"/>
    <s v="-"/>
    <s v="-"/>
    <s v="-"/>
    <s v="-"/>
    <s v="-"/>
    <s v="-"/>
    <n v="3"/>
    <n v="4"/>
    <s v="-"/>
    <n v="1"/>
    <n v="1"/>
    <n v="2"/>
    <n v="2"/>
    <n v="5"/>
    <n v="6"/>
  </r>
  <r>
    <x v="8"/>
    <x v="192"/>
    <d v="1899-12-30T00:00:00"/>
    <s v="3RD"/>
    <d v="1899-12-31T03:00:00"/>
    <n v="2"/>
    <x v="7"/>
    <s v="-"/>
    <s v="P"/>
    <s v="P"/>
    <s v="P"/>
    <s v="-"/>
    <s v="+"/>
    <n v="10.52"/>
    <s v="-"/>
    <s v="-"/>
    <s v="-"/>
    <s v="-"/>
    <s v="-"/>
    <s v="-"/>
    <s v="-"/>
    <s v="-"/>
    <s v="P"/>
    <s v="P"/>
    <s v="-"/>
    <s v="-"/>
    <n v="1"/>
    <n v="2"/>
    <n v="0"/>
    <s v="-"/>
    <s v="-"/>
    <s v="-"/>
    <s v="-"/>
    <s v="-"/>
    <s v="-"/>
    <s v="-"/>
    <n v="3"/>
    <n v="4"/>
    <s v="-"/>
    <n v="1"/>
    <n v="1"/>
    <n v="2"/>
    <n v="2"/>
    <n v="5"/>
    <n v="6"/>
  </r>
  <r>
    <x v="8"/>
    <x v="192"/>
    <d v="1899-12-30T00:00:00"/>
    <s v="3RD"/>
    <d v="1899-12-31T04:00:00"/>
    <n v="2"/>
    <x v="7"/>
    <s v="-"/>
    <s v="P"/>
    <s v="P"/>
    <s v="P"/>
    <s v="-"/>
    <s v="+"/>
    <n v="10.71"/>
    <s v="-"/>
    <s v="-"/>
    <s v="-"/>
    <s v="-"/>
    <s v="-"/>
    <s v="-"/>
    <s v="-"/>
    <s v="-"/>
    <s v="P"/>
    <s v="P"/>
    <s v="-"/>
    <s v="-"/>
    <n v="1"/>
    <n v="2"/>
    <n v="0"/>
    <s v="-"/>
    <s v="-"/>
    <s v="-"/>
    <s v="-"/>
    <s v="-"/>
    <s v="-"/>
    <s v="-"/>
    <n v="3"/>
    <n v="4"/>
    <s v="-"/>
    <n v="1"/>
    <n v="1"/>
    <n v="2"/>
    <n v="2"/>
    <n v="5"/>
    <n v="6"/>
  </r>
  <r>
    <x v="8"/>
    <x v="192"/>
    <d v="1899-12-30T00:00:00"/>
    <s v="3RD"/>
    <d v="1899-12-31T05:00:00"/>
    <n v="2"/>
    <x v="7"/>
    <s v="-"/>
    <s v="P"/>
    <s v="P"/>
    <s v="P"/>
    <s v="-"/>
    <s v="+"/>
    <n v="10.34"/>
    <s v="-"/>
    <s v="-"/>
    <s v="-"/>
    <s v="-"/>
    <s v="-"/>
    <s v="-"/>
    <s v="-"/>
    <s v="-"/>
    <s v="P"/>
    <s v="P"/>
    <s v="-"/>
    <s v="-"/>
    <n v="1"/>
    <n v="2"/>
    <n v="0"/>
    <s v="-"/>
    <s v="-"/>
    <s v="-"/>
    <s v="-"/>
    <s v="-"/>
    <s v="-"/>
    <s v="-"/>
    <n v="3"/>
    <n v="4"/>
    <s v="-"/>
    <n v="1"/>
    <n v="1"/>
    <n v="2"/>
    <n v="2"/>
    <n v="5"/>
    <n v="6"/>
  </r>
  <r>
    <x v="8"/>
    <x v="192"/>
    <d v="2026-08-26T00:00:00"/>
    <s v="3RD"/>
    <d v="1899-12-31T00:00:00"/>
    <n v="3"/>
    <x v="1"/>
    <n v="0.01"/>
    <s v="P"/>
    <s v="P"/>
    <s v="P"/>
    <s v="+"/>
    <s v="+"/>
    <n v="11.92"/>
    <n v="12.37"/>
    <n v="0.62"/>
    <s v="-"/>
    <s v="-"/>
    <s v="-"/>
    <n v="34.700000000000003"/>
    <s v="-"/>
    <s v="-"/>
    <s v="P"/>
    <s v="P"/>
    <s v="95% 5%"/>
    <n v="2"/>
    <n v="1"/>
    <n v="2"/>
    <n v="0"/>
    <n v="1"/>
    <n v="2"/>
    <s v="-"/>
    <s v="-"/>
    <s v="-"/>
    <n v="2"/>
    <s v="-"/>
    <n v="10"/>
    <n v="11"/>
    <s v="-"/>
    <n v="1"/>
    <n v="1"/>
    <n v="2"/>
    <n v="2"/>
    <n v="12"/>
    <n v="13"/>
  </r>
  <r>
    <x v="8"/>
    <x v="192"/>
    <d v="2026-08-26T00:00:00"/>
    <s v="3RD"/>
    <d v="1899-12-31T01:00:00"/>
    <n v="3"/>
    <x v="1"/>
    <s v="-"/>
    <s v="P"/>
    <s v="P"/>
    <s v="P"/>
    <s v="+"/>
    <s v="+"/>
    <n v="12.02"/>
    <s v="-"/>
    <s v="-"/>
    <s v="-"/>
    <s v="-"/>
    <s v="-"/>
    <s v="-"/>
    <s v="-"/>
    <s v="-"/>
    <s v="P"/>
    <s v="P"/>
    <s v="-"/>
    <s v="-"/>
    <n v="1"/>
    <n v="2"/>
    <n v="1"/>
    <s v="-"/>
    <s v="-"/>
    <s v="-"/>
    <s v="-"/>
    <s v="-"/>
    <s v="-"/>
    <s v="-"/>
    <n v="4"/>
    <n v="4"/>
    <s v="-"/>
    <n v="1"/>
    <n v="1"/>
    <n v="2"/>
    <n v="2"/>
    <n v="6"/>
    <n v="6"/>
  </r>
  <r>
    <x v="8"/>
    <x v="192"/>
    <d v="2026-08-26T00:00:00"/>
    <s v="3RD"/>
    <d v="1899-12-31T02:00:00"/>
    <n v="3"/>
    <x v="1"/>
    <n v="0.01"/>
    <s v="P"/>
    <s v="P"/>
    <s v="P"/>
    <s v="+"/>
    <s v="+"/>
    <n v="12.02"/>
    <s v="-"/>
    <s v="-"/>
    <s v="-"/>
    <s v="-"/>
    <s v="-"/>
    <s v="-"/>
    <s v="-"/>
    <s v="-"/>
    <s v="P"/>
    <s v="P"/>
    <s v="-"/>
    <n v="2"/>
    <n v="1"/>
    <n v="2"/>
    <n v="1"/>
    <s v="-"/>
    <s v="-"/>
    <s v="-"/>
    <s v="-"/>
    <s v="-"/>
    <s v="-"/>
    <s v="-"/>
    <n v="6"/>
    <n v="6"/>
    <s v="-"/>
    <n v="1"/>
    <n v="1"/>
    <n v="2"/>
    <n v="2"/>
    <n v="8"/>
    <n v="8"/>
  </r>
  <r>
    <x v="8"/>
    <x v="192"/>
    <d v="2026-08-26T00:00:00"/>
    <s v="3RD"/>
    <d v="1899-12-31T03:00:00"/>
    <n v="3"/>
    <x v="1"/>
    <n v="0.01"/>
    <s v="P"/>
    <s v="P"/>
    <s v="P"/>
    <s v="+"/>
    <s v="+"/>
    <n v="12.15"/>
    <s v="-"/>
    <s v="-"/>
    <s v="-"/>
    <s v="-"/>
    <s v="-"/>
    <s v="-"/>
    <s v="-"/>
    <s v="-"/>
    <s v="P"/>
    <s v="P"/>
    <s v="-"/>
    <n v="2"/>
    <n v="1"/>
    <n v="2"/>
    <n v="1"/>
    <s v="-"/>
    <s v="-"/>
    <s v="-"/>
    <s v="-"/>
    <s v="-"/>
    <s v="-"/>
    <s v="-"/>
    <n v="6"/>
    <n v="6"/>
    <s v="-"/>
    <n v="1"/>
    <n v="1"/>
    <n v="2"/>
    <n v="2"/>
    <n v="8"/>
    <n v="8"/>
  </r>
  <r>
    <x v="8"/>
    <x v="192"/>
    <d v="2026-09-02T00:00:00"/>
    <s v="3RD"/>
    <d v="1899-12-31T05:00:00"/>
    <n v="3"/>
    <x v="10"/>
    <n v="0.01"/>
    <s v="P"/>
    <s v="P"/>
    <s v="P"/>
    <s v="+"/>
    <s v="+"/>
    <n v="12.95"/>
    <s v="-"/>
    <s v="-"/>
    <s v="-"/>
    <s v="-"/>
    <s v="-"/>
    <s v="-"/>
    <s v="-"/>
    <s v="-"/>
    <s v="P"/>
    <s v="P"/>
    <s v="-"/>
    <n v="2"/>
    <n v="1"/>
    <n v="2"/>
    <n v="1"/>
    <s v="-"/>
    <s v="-"/>
    <s v="-"/>
    <s v="-"/>
    <s v="-"/>
    <s v="-"/>
    <s v="-"/>
    <n v="6"/>
    <n v="6"/>
    <s v="-"/>
    <n v="1"/>
    <n v="1"/>
    <n v="2"/>
    <n v="2"/>
    <n v="8"/>
    <n v="8"/>
  </r>
  <r>
    <x v="8"/>
    <x v="193"/>
    <d v="2026-09-02T00:00:00"/>
    <s v="1ST"/>
    <s v="06:00"/>
    <n v="1"/>
    <x v="22"/>
    <s v="-"/>
    <s v="P"/>
    <s v="P"/>
    <s v="P"/>
    <s v="-"/>
    <s v="-"/>
    <n v="10.81"/>
    <n v="9.69"/>
    <n v="0.56000000000000005"/>
    <n v="54.7"/>
    <s v="-"/>
    <s v="-"/>
    <n v="26.5"/>
    <s v="-"/>
    <n v="25.19"/>
    <s v="P"/>
    <s v="P"/>
    <n v="1"/>
    <s v="-"/>
    <n v="1"/>
    <n v="2"/>
    <n v="0"/>
    <n v="1"/>
    <n v="2"/>
    <n v="2"/>
    <s v="-"/>
    <s v="-"/>
    <n v="2"/>
    <s v="-"/>
    <n v="10"/>
    <n v="11"/>
    <n v="1"/>
    <n v="1"/>
    <n v="1"/>
    <n v="3"/>
    <n v="3"/>
    <n v="13"/>
    <n v="14"/>
  </r>
  <r>
    <x v="8"/>
    <x v="193"/>
    <d v="1899-12-30T00:00:00"/>
    <s v="1ST"/>
    <s v="07:00"/>
    <n v="1"/>
    <x v="22"/>
    <s v="-"/>
    <s v="P"/>
    <s v="P"/>
    <s v="P"/>
    <s v="-"/>
    <s v="-"/>
    <n v="10.96"/>
    <s v="-"/>
    <s v="-"/>
    <s v="-"/>
    <s v="-"/>
    <s v="-"/>
    <s v="-"/>
    <s v="-"/>
    <s v="-"/>
    <s v="P"/>
    <s v="P"/>
    <s v="-"/>
    <s v="-"/>
    <n v="1"/>
    <n v="2"/>
    <n v="0"/>
    <s v="-"/>
    <s v="-"/>
    <s v="-"/>
    <s v="-"/>
    <s v="-"/>
    <s v="-"/>
    <s v="-"/>
    <n v="3"/>
    <n v="4"/>
    <s v="-"/>
    <n v="1"/>
    <n v="1"/>
    <n v="2"/>
    <n v="2"/>
    <n v="5"/>
    <n v="6"/>
  </r>
  <r>
    <x v="8"/>
    <x v="193"/>
    <d v="1899-12-30T00:00:00"/>
    <s v="1ST"/>
    <s v="08:00"/>
    <n v="1"/>
    <x v="22"/>
    <s v="-"/>
    <s v="P"/>
    <s v="P"/>
    <s v="P"/>
    <s v="-"/>
    <s v="-"/>
    <n v="11.08"/>
    <s v="-"/>
    <s v="-"/>
    <s v="-"/>
    <s v="-"/>
    <s v="-"/>
    <s v="-"/>
    <s v="-"/>
    <s v="-"/>
    <s v="P"/>
    <s v="P"/>
    <s v="-"/>
    <s v="-"/>
    <n v="1"/>
    <n v="2"/>
    <n v="1"/>
    <s v="-"/>
    <s v="-"/>
    <s v="-"/>
    <s v="-"/>
    <s v="-"/>
    <s v="-"/>
    <s v="-"/>
    <n v="4"/>
    <n v="4"/>
    <s v="-"/>
    <n v="1"/>
    <n v="1"/>
    <n v="2"/>
    <n v="2"/>
    <n v="6"/>
    <n v="6"/>
  </r>
  <r>
    <x v="8"/>
    <x v="193"/>
    <d v="1899-12-30T00:00:00"/>
    <s v="1ST"/>
    <s v="09:00"/>
    <n v="1"/>
    <x v="22"/>
    <s v="-"/>
    <s v="P"/>
    <s v="P"/>
    <s v="P"/>
    <s v="-"/>
    <s v="-"/>
    <n v="11.05"/>
    <s v="-"/>
    <s v="-"/>
    <s v="-"/>
    <s v="-"/>
    <s v="-"/>
    <s v="-"/>
    <s v="-"/>
    <s v="-"/>
    <s v="P"/>
    <s v="P"/>
    <s v="-"/>
    <s v="-"/>
    <n v="1"/>
    <n v="2"/>
    <n v="1"/>
    <s v="-"/>
    <s v="-"/>
    <s v="-"/>
    <s v="-"/>
    <s v="-"/>
    <s v="-"/>
    <s v="-"/>
    <n v="4"/>
    <n v="4"/>
    <s v="-"/>
    <n v="1"/>
    <n v="1"/>
    <n v="2"/>
    <n v="2"/>
    <n v="6"/>
    <n v="6"/>
  </r>
  <r>
    <x v="8"/>
    <x v="193"/>
    <d v="1899-12-30T00:00:00"/>
    <s v="1ST"/>
    <s v="10:00"/>
    <n v="1"/>
    <x v="22"/>
    <s v="-"/>
    <s v="-"/>
    <s v="P"/>
    <s v="P"/>
    <s v="-"/>
    <s v="-"/>
    <n v="10.75"/>
    <s v="-"/>
    <s v="-"/>
    <s v="-"/>
    <s v="-"/>
    <s v="-"/>
    <s v="-"/>
    <s v="-"/>
    <s v="-"/>
    <s v="P"/>
    <s v="P"/>
    <s v="-"/>
    <s v="-"/>
    <s v="-"/>
    <n v="2"/>
    <n v="0"/>
    <s v="-"/>
    <s v="-"/>
    <s v="-"/>
    <s v="-"/>
    <s v="-"/>
    <s v="-"/>
    <s v="-"/>
    <n v="2"/>
    <n v="3"/>
    <s v="-"/>
    <n v="1"/>
    <n v="1"/>
    <n v="2"/>
    <n v="2"/>
    <n v="4"/>
    <n v="5"/>
  </r>
  <r>
    <x v="8"/>
    <x v="193"/>
    <d v="1902-03-26T00:00:00"/>
    <s v="1ST"/>
    <s v="06:00"/>
    <n v="2"/>
    <x v="7"/>
    <s v="-"/>
    <s v="P"/>
    <s v="P"/>
    <s v="P"/>
    <s v="-"/>
    <s v="+"/>
    <n v="10.79"/>
    <s v="-"/>
    <s v="-"/>
    <s v="-"/>
    <s v="-"/>
    <s v="-"/>
    <s v="-"/>
    <s v="-"/>
    <n v="25.16"/>
    <s v="P"/>
    <s v="P"/>
    <s v="-"/>
    <s v="-"/>
    <n v="1"/>
    <n v="2"/>
    <n v="0"/>
    <s v="-"/>
    <s v="-"/>
    <s v="-"/>
    <s v="-"/>
    <s v="-"/>
    <s v="-"/>
    <s v="-"/>
    <n v="3"/>
    <n v="4"/>
    <n v="1"/>
    <n v="1"/>
    <n v="1"/>
    <n v="3"/>
    <n v="3"/>
    <n v="6"/>
    <n v="7"/>
  </r>
  <r>
    <x v="8"/>
    <x v="193"/>
    <d v="1899-12-30T00:00:00"/>
    <s v="1ST"/>
    <s v="07:00"/>
    <n v="2"/>
    <x v="7"/>
    <s v="-"/>
    <s v="P"/>
    <s v="P"/>
    <s v="P"/>
    <s v="-"/>
    <s v="+"/>
    <n v="10.72"/>
    <s v="-"/>
    <s v="-"/>
    <s v="-"/>
    <s v="-"/>
    <s v="-"/>
    <s v="-"/>
    <s v="-"/>
    <s v="-"/>
    <s v="P"/>
    <s v="P"/>
    <s v="-"/>
    <s v="-"/>
    <n v="1"/>
    <n v="2"/>
    <n v="0"/>
    <s v="-"/>
    <s v="-"/>
    <s v="-"/>
    <s v="-"/>
    <s v="-"/>
    <s v="-"/>
    <s v="-"/>
    <n v="3"/>
    <n v="4"/>
    <s v="-"/>
    <n v="1"/>
    <n v="1"/>
    <n v="2"/>
    <n v="2"/>
    <n v="5"/>
    <n v="6"/>
  </r>
  <r>
    <x v="8"/>
    <x v="193"/>
    <d v="1899-12-30T00:00:00"/>
    <s v="1ST"/>
    <s v="08:00"/>
    <n v="2"/>
    <x v="7"/>
    <s v="-"/>
    <s v="P"/>
    <s v="P"/>
    <s v="P"/>
    <s v="-"/>
    <s v="+"/>
    <n v="10.72"/>
    <s v="-"/>
    <s v="-"/>
    <s v="-"/>
    <s v="-"/>
    <s v="-"/>
    <s v="-"/>
    <s v="-"/>
    <s v="-"/>
    <s v="P"/>
    <s v="P"/>
    <s v="-"/>
    <s v="-"/>
    <n v="1"/>
    <n v="2"/>
    <n v="0"/>
    <s v="-"/>
    <s v="-"/>
    <s v="-"/>
    <s v="-"/>
    <s v="-"/>
    <s v="-"/>
    <s v="-"/>
    <n v="3"/>
    <n v="4"/>
    <s v="-"/>
    <n v="1"/>
    <n v="1"/>
    <n v="2"/>
    <n v="2"/>
    <n v="5"/>
    <n v="6"/>
  </r>
  <r>
    <x v="8"/>
    <x v="193"/>
    <d v="1899-12-30T00:00:00"/>
    <s v="1ST"/>
    <s v="09:00"/>
    <n v="2"/>
    <x v="7"/>
    <s v="-"/>
    <s v="P"/>
    <s v="P"/>
    <s v="P"/>
    <s v="-"/>
    <s v="+"/>
    <n v="10.72"/>
    <s v="-"/>
    <s v="-"/>
    <s v="-"/>
    <s v="-"/>
    <s v="-"/>
    <s v="-"/>
    <s v="-"/>
    <s v="-"/>
    <s v="P"/>
    <s v="P"/>
    <s v="-"/>
    <s v="-"/>
    <n v="1"/>
    <n v="2"/>
    <n v="0"/>
    <s v="-"/>
    <s v="-"/>
    <s v="-"/>
    <s v="-"/>
    <s v="-"/>
    <s v="-"/>
    <s v="-"/>
    <n v="3"/>
    <n v="4"/>
    <s v="-"/>
    <n v="1"/>
    <n v="1"/>
    <n v="2"/>
    <n v="2"/>
    <n v="5"/>
    <n v="6"/>
  </r>
  <r>
    <x v="8"/>
    <x v="193"/>
    <d v="1899-12-30T00:00:00"/>
    <s v="1ST"/>
    <s v="10:00"/>
    <n v="2"/>
    <x v="7"/>
    <s v="-"/>
    <s v="P"/>
    <s v="P"/>
    <s v="P"/>
    <s v="-"/>
    <s v="+"/>
    <n v="10.89"/>
    <s v="-"/>
    <s v="-"/>
    <s v="-"/>
    <s v="-"/>
    <s v="-"/>
    <s v="-"/>
    <s v="-"/>
    <s v="-"/>
    <s v="P"/>
    <s v="P"/>
    <s v="-"/>
    <s v="-"/>
    <n v="1"/>
    <n v="2"/>
    <n v="0"/>
    <s v="-"/>
    <s v="-"/>
    <s v="-"/>
    <s v="-"/>
    <s v="-"/>
    <s v="-"/>
    <s v="-"/>
    <n v="3"/>
    <n v="4"/>
    <s v="-"/>
    <n v="1"/>
    <n v="1"/>
    <n v="2"/>
    <n v="2"/>
    <n v="5"/>
    <n v="6"/>
  </r>
  <r>
    <x v="8"/>
    <x v="193"/>
    <d v="1899-12-30T00:00:00"/>
    <s v="1ST"/>
    <s v="13:00"/>
    <n v="2"/>
    <x v="7"/>
    <s v="-"/>
    <s v="P"/>
    <s v="P"/>
    <s v="P"/>
    <s v="-"/>
    <s v="+"/>
    <n v="10.75"/>
    <s v="-"/>
    <s v="-"/>
    <s v="-"/>
    <s v="-"/>
    <s v="-"/>
    <s v="-"/>
    <s v="-"/>
    <s v="-"/>
    <s v="P"/>
    <s v="P"/>
    <s v="-"/>
    <s v="-"/>
    <n v="1"/>
    <n v="2"/>
    <n v="0"/>
    <s v="-"/>
    <s v="-"/>
    <s v="-"/>
    <s v="-"/>
    <s v="-"/>
    <s v="-"/>
    <s v="-"/>
    <n v="3"/>
    <n v="4"/>
    <s v="-"/>
    <n v="1"/>
    <n v="1"/>
    <n v="2"/>
    <n v="2"/>
    <n v="5"/>
    <n v="6"/>
  </r>
  <r>
    <x v="8"/>
    <x v="193"/>
    <d v="2026-09-02T00:00:00"/>
    <s v="1ST"/>
    <s v="06:00"/>
    <n v="3"/>
    <x v="10"/>
    <s v="-"/>
    <s v="P"/>
    <s v="P"/>
    <s v="P"/>
    <s v="+"/>
    <s v="+"/>
    <n v="12.37"/>
    <n v="11.79"/>
    <n v="0.36"/>
    <n v="64.7"/>
    <s v="-"/>
    <s v="-"/>
    <n v="32.700000000000003"/>
    <s v="-"/>
    <n v="25.19"/>
    <s v="P"/>
    <s v="P"/>
    <n v="1"/>
    <s v="-"/>
    <n v="1"/>
    <n v="2"/>
    <n v="1"/>
    <n v="1"/>
    <n v="2"/>
    <n v="2"/>
    <s v="-"/>
    <s v="-"/>
    <n v="2"/>
    <s v="-"/>
    <n v="11"/>
    <n v="11"/>
    <n v="1"/>
    <n v="1"/>
    <n v="1"/>
    <n v="3"/>
    <n v="3"/>
    <n v="14"/>
    <n v="14"/>
  </r>
  <r>
    <x v="8"/>
    <x v="193"/>
    <d v="1899-12-30T00:00:00"/>
    <s v="1ST"/>
    <s v="07:00"/>
    <n v="3"/>
    <x v="10"/>
    <s v="-"/>
    <s v="P"/>
    <s v="P"/>
    <s v="P"/>
    <s v="+"/>
    <s v="+"/>
    <n v="12.43"/>
    <s v="-"/>
    <s v="-"/>
    <s v="-"/>
    <s v="-"/>
    <s v="-"/>
    <s v="-"/>
    <s v="-"/>
    <s v="-"/>
    <s v="P"/>
    <s v="P"/>
    <s v="-"/>
    <s v="-"/>
    <n v="1"/>
    <n v="2"/>
    <n v="1"/>
    <s v="-"/>
    <s v="-"/>
    <s v="-"/>
    <s v="-"/>
    <s v="-"/>
    <s v="-"/>
    <s v="-"/>
    <n v="4"/>
    <n v="4"/>
    <s v="-"/>
    <n v="1"/>
    <n v="1"/>
    <n v="2"/>
    <n v="2"/>
    <n v="6"/>
    <n v="6"/>
  </r>
  <r>
    <x v="8"/>
    <x v="193"/>
    <d v="1899-12-30T00:00:00"/>
    <s v="1ST"/>
    <s v="08:00"/>
    <n v="3"/>
    <x v="10"/>
    <s v="-"/>
    <s v="P"/>
    <s v="P"/>
    <s v="P"/>
    <s v="+"/>
    <s v="+"/>
    <n v="12.29"/>
    <s v="-"/>
    <s v="-"/>
    <s v="-"/>
    <s v="-"/>
    <s v="-"/>
    <s v="-"/>
    <s v="-"/>
    <s v="-"/>
    <s v="P"/>
    <s v="P"/>
    <s v="-"/>
    <s v="-"/>
    <n v="1"/>
    <n v="2"/>
    <n v="1"/>
    <s v="-"/>
    <s v="-"/>
    <s v="-"/>
    <s v="-"/>
    <s v="-"/>
    <s v="-"/>
    <s v="-"/>
    <n v="4"/>
    <n v="4"/>
    <s v="-"/>
    <n v="1"/>
    <n v="1"/>
    <n v="2"/>
    <n v="2"/>
    <n v="6"/>
    <n v="6"/>
  </r>
  <r>
    <x v="8"/>
    <x v="193"/>
    <d v="1899-12-30T00:00:00"/>
    <s v="1ST"/>
    <s v="09:00"/>
    <n v="3"/>
    <x v="10"/>
    <s v="-"/>
    <s v="P"/>
    <s v="P"/>
    <s v="P"/>
    <s v="+"/>
    <s v="+"/>
    <n v="12.22"/>
    <s v="-"/>
    <s v="-"/>
    <s v="-"/>
    <s v="-"/>
    <s v="-"/>
    <s v="-"/>
    <s v="-"/>
    <s v="-"/>
    <s v="P"/>
    <s v="P"/>
    <s v="-"/>
    <s v="-"/>
    <n v="1"/>
    <n v="2"/>
    <n v="1"/>
    <s v="-"/>
    <s v="-"/>
    <s v="-"/>
    <s v="-"/>
    <s v="-"/>
    <s v="-"/>
    <s v="-"/>
    <n v="4"/>
    <n v="4"/>
    <s v="-"/>
    <n v="1"/>
    <n v="1"/>
    <n v="2"/>
    <n v="2"/>
    <n v="6"/>
    <n v="6"/>
  </r>
  <r>
    <x v="8"/>
    <x v="193"/>
    <d v="1899-12-30T00:00:00"/>
    <s v="1ST"/>
    <s v="10:00"/>
    <n v="3"/>
    <x v="10"/>
    <s v="-"/>
    <s v="P"/>
    <s v="P"/>
    <s v="P"/>
    <s v="+"/>
    <s v="+"/>
    <n v="12.22"/>
    <s v="-"/>
    <s v="-"/>
    <s v="-"/>
    <s v="-"/>
    <s v="-"/>
    <s v="-"/>
    <s v="-"/>
    <s v="-"/>
    <s v="P"/>
    <s v="P"/>
    <s v="-"/>
    <s v="-"/>
    <n v="1"/>
    <n v="2"/>
    <n v="1"/>
    <s v="-"/>
    <s v="-"/>
    <s v="-"/>
    <s v="-"/>
    <s v="-"/>
    <s v="-"/>
    <s v="-"/>
    <n v="4"/>
    <n v="4"/>
    <s v="-"/>
    <n v="1"/>
    <n v="1"/>
    <n v="2"/>
    <n v="2"/>
    <n v="6"/>
    <n v="6"/>
  </r>
  <r>
    <x v="8"/>
    <x v="193"/>
    <d v="1899-12-30T00:00:00"/>
    <s v="1ST"/>
    <s v="11:00"/>
    <n v="3"/>
    <x v="10"/>
    <s v="-"/>
    <s v="P"/>
    <s v="P"/>
    <s v="P"/>
    <s v="+"/>
    <s v="+"/>
    <n v="12.21"/>
    <s v="-"/>
    <s v="-"/>
    <s v="-"/>
    <s v="-"/>
    <s v="-"/>
    <s v="-"/>
    <s v="-"/>
    <s v="-"/>
    <s v="P"/>
    <s v="P"/>
    <s v="-"/>
    <s v="-"/>
    <n v="1"/>
    <n v="2"/>
    <n v="1"/>
    <s v="-"/>
    <s v="-"/>
    <s v="-"/>
    <s v="-"/>
    <s v="-"/>
    <s v="-"/>
    <s v="-"/>
    <n v="4"/>
    <n v="4"/>
    <s v="-"/>
    <n v="1"/>
    <n v="1"/>
    <n v="2"/>
    <n v="2"/>
    <n v="6"/>
    <n v="6"/>
  </r>
  <r>
    <x v="8"/>
    <x v="193"/>
    <d v="1899-12-30T00:00:00"/>
    <s v="1ST"/>
    <s v="13:00"/>
    <n v="3"/>
    <x v="10"/>
    <s v="-"/>
    <s v="P"/>
    <s v="P"/>
    <s v="P"/>
    <s v="+"/>
    <s v="+"/>
    <n v="12.31"/>
    <s v="-"/>
    <s v="-"/>
    <s v="-"/>
    <s v="-"/>
    <s v="-"/>
    <s v="-"/>
    <s v="-"/>
    <s v="-"/>
    <s v="P"/>
    <s v="P"/>
    <s v="-"/>
    <s v="-"/>
    <n v="1"/>
    <n v="2"/>
    <n v="1"/>
    <s v="-"/>
    <s v="-"/>
    <s v="-"/>
    <s v="-"/>
    <s v="-"/>
    <s v="-"/>
    <s v="-"/>
    <n v="4"/>
    <n v="4"/>
    <s v="-"/>
    <n v="1"/>
    <n v="1"/>
    <n v="2"/>
    <n v="2"/>
    <n v="6"/>
    <n v="6"/>
  </r>
  <r>
    <x v="8"/>
    <x v="193"/>
    <d v="2026-07-17T00:00:00"/>
    <s v="2ND"/>
    <d v="1899-12-30T15:00:00"/>
    <n v="1"/>
    <x v="20"/>
    <n v="0.01"/>
    <s v="P"/>
    <s v="P"/>
    <s v="P"/>
    <s v="-"/>
    <s v="-"/>
    <n v="12.54"/>
    <n v="11.69"/>
    <n v="0.54"/>
    <n v="65.7"/>
    <s v="-"/>
    <s v="-"/>
    <n v="32.4"/>
    <s v="-"/>
    <s v="-"/>
    <s v="P"/>
    <s v="P"/>
    <n v="1"/>
    <n v="2"/>
    <n v="1"/>
    <n v="2"/>
    <n v="1"/>
    <n v="0"/>
    <n v="2"/>
    <n v="2"/>
    <s v="-"/>
    <s v="-"/>
    <n v="2"/>
    <s v="-"/>
    <n v="12"/>
    <n v="13"/>
    <s v="-"/>
    <n v="1"/>
    <n v="1"/>
    <n v="2"/>
    <n v="2"/>
    <n v="14"/>
    <n v="15"/>
  </r>
  <r>
    <x v="8"/>
    <x v="193"/>
    <d v="2026-07-17T00:00:00"/>
    <s v="2ND"/>
    <d v="1899-12-30T16:00:00"/>
    <n v="1"/>
    <x v="20"/>
    <n v="0.01"/>
    <s v="P"/>
    <s v="P"/>
    <s v="P"/>
    <s v="-"/>
    <s v="-"/>
    <n v="12.77"/>
    <s v="-"/>
    <s v="-"/>
    <s v="-"/>
    <s v="-"/>
    <s v="-"/>
    <s v="-"/>
    <s v="-"/>
    <s v="-"/>
    <s v="P"/>
    <s v="P"/>
    <s v="-"/>
    <n v="2"/>
    <n v="1"/>
    <n v="2"/>
    <n v="1"/>
    <s v="-"/>
    <s v="-"/>
    <s v="-"/>
    <s v="-"/>
    <s v="-"/>
    <s v="-"/>
    <s v="-"/>
    <n v="6"/>
    <n v="6"/>
    <s v="-"/>
    <n v="1"/>
    <n v="1"/>
    <n v="2"/>
    <n v="2"/>
    <n v="8"/>
    <n v="8"/>
  </r>
  <r>
    <x v="8"/>
    <x v="193"/>
    <d v="2026-07-17T00:00:00"/>
    <s v="2ND"/>
    <d v="1899-12-30T17:00:00"/>
    <n v="1"/>
    <x v="20"/>
    <s v="-"/>
    <s v="P"/>
    <s v="P"/>
    <s v="P"/>
    <s v="-"/>
    <s v="-"/>
    <n v="12.31"/>
    <s v="-"/>
    <s v="-"/>
    <s v="-"/>
    <s v="-"/>
    <s v="-"/>
    <s v="-"/>
    <s v="-"/>
    <s v="-"/>
    <s v="P"/>
    <s v="P"/>
    <s v="-"/>
    <s v="-"/>
    <n v="1"/>
    <n v="2"/>
    <n v="1"/>
    <s v="-"/>
    <s v="-"/>
    <s v="-"/>
    <s v="-"/>
    <s v="-"/>
    <s v="-"/>
    <s v="-"/>
    <n v="4"/>
    <n v="4"/>
    <s v="-"/>
    <n v="1"/>
    <n v="1"/>
    <n v="2"/>
    <n v="2"/>
    <n v="6"/>
    <n v="6"/>
  </r>
  <r>
    <x v="8"/>
    <x v="193"/>
    <d v="2026-07-17T00:00:00"/>
    <s v="2ND"/>
    <d v="1899-12-30T18:00:00"/>
    <n v="1"/>
    <x v="20"/>
    <s v="-"/>
    <s v="-"/>
    <s v="P"/>
    <s v="P"/>
    <s v="-"/>
    <s v="-"/>
    <n v="12.96"/>
    <s v="-"/>
    <s v="-"/>
    <s v="-"/>
    <s v="-"/>
    <s v="-"/>
    <s v="-"/>
    <s v="-"/>
    <s v="-"/>
    <s v="P"/>
    <s v="P"/>
    <s v="-"/>
    <s v="-"/>
    <s v="-"/>
    <n v="2"/>
    <n v="1"/>
    <s v="-"/>
    <s v="-"/>
    <s v="-"/>
    <s v="-"/>
    <s v="-"/>
    <s v="-"/>
    <s v="-"/>
    <n v="3"/>
    <n v="3"/>
    <s v="-"/>
    <n v="1"/>
    <n v="1"/>
    <n v="2"/>
    <n v="2"/>
    <n v="5"/>
    <n v="5"/>
  </r>
  <r>
    <x v="8"/>
    <x v="193"/>
    <d v="1902-03-26T00:00:00"/>
    <s v="2ND"/>
    <d v="1899-12-30T14:00:00"/>
    <n v="2"/>
    <x v="7"/>
    <s v="-"/>
    <s v="P"/>
    <s v="P"/>
    <s v="P"/>
    <s v="-"/>
    <s v="+"/>
    <n v="10.24"/>
    <n v="8.7100000000000009"/>
    <n v="0.41"/>
    <n v="54.7"/>
    <s v="-"/>
    <s v="-"/>
    <n v="23.5"/>
    <s v="-"/>
    <s v="-"/>
    <s v="P"/>
    <s v="P"/>
    <s v="-"/>
    <s v="-"/>
    <n v="1"/>
    <n v="2"/>
    <n v="0"/>
    <n v="1"/>
    <n v="2"/>
    <n v="0"/>
    <s v="-"/>
    <s v="-"/>
    <n v="2"/>
    <s v="-"/>
    <n v="8"/>
    <n v="11"/>
    <s v="-"/>
    <n v="1"/>
    <n v="1"/>
    <n v="2"/>
    <n v="2"/>
    <n v="10"/>
    <n v="13"/>
  </r>
  <r>
    <x v="8"/>
    <x v="193"/>
    <d v="1899-12-30T00:00:00"/>
    <s v="2ND"/>
    <d v="1899-12-30T15:00:00"/>
    <n v="2"/>
    <x v="7"/>
    <s v="-"/>
    <s v="P"/>
    <s v="P"/>
    <s v="P"/>
    <s v="-"/>
    <s v="+"/>
    <n v="10.67"/>
    <s v="-"/>
    <s v="-"/>
    <s v="-"/>
    <s v="-"/>
    <s v="-"/>
    <s v="-"/>
    <s v="-"/>
    <s v="-"/>
    <s v="P"/>
    <s v="P"/>
    <s v="-"/>
    <s v="-"/>
    <n v="1"/>
    <n v="2"/>
    <n v="0"/>
    <s v="-"/>
    <s v="-"/>
    <s v="-"/>
    <s v="-"/>
    <s v="-"/>
    <s v="-"/>
    <s v="-"/>
    <n v="3"/>
    <n v="4"/>
    <s v="-"/>
    <n v="1"/>
    <n v="1"/>
    <n v="2"/>
    <n v="2"/>
    <n v="5"/>
    <n v="6"/>
  </r>
  <r>
    <x v="8"/>
    <x v="193"/>
    <d v="1899-12-30T00:00:00"/>
    <s v="2ND"/>
    <d v="1899-12-30T16:00:00"/>
    <n v="2"/>
    <x v="7"/>
    <s v="-"/>
    <s v="P"/>
    <s v="P"/>
    <s v="P"/>
    <s v="-"/>
    <s v="+"/>
    <n v="10.49"/>
    <s v="-"/>
    <s v="-"/>
    <s v="-"/>
    <s v="-"/>
    <s v="-"/>
    <s v="-"/>
    <s v="-"/>
    <s v="-"/>
    <s v="P"/>
    <s v="P"/>
    <n v="1"/>
    <s v="-"/>
    <n v="1"/>
    <n v="2"/>
    <n v="0"/>
    <s v="-"/>
    <s v="-"/>
    <s v="-"/>
    <s v="-"/>
    <s v="-"/>
    <s v="-"/>
    <s v="-"/>
    <n v="3"/>
    <n v="4"/>
    <s v="-"/>
    <n v="1"/>
    <n v="1"/>
    <n v="2"/>
    <n v="2"/>
    <n v="5"/>
    <n v="6"/>
  </r>
  <r>
    <x v="8"/>
    <x v="193"/>
    <d v="1899-12-30T00:00:00"/>
    <s v="2ND"/>
    <d v="1899-12-30T17:00:00"/>
    <n v="2"/>
    <x v="17"/>
    <s v="-"/>
    <s v="P"/>
    <s v="P"/>
    <s v="P"/>
    <s v="-"/>
    <s v="+"/>
    <n v="10.83"/>
    <s v="-"/>
    <s v="-"/>
    <s v="-"/>
    <s v="-"/>
    <s v="-"/>
    <s v="-"/>
    <s v="-"/>
    <s v="-"/>
    <s v="P"/>
    <s v="P"/>
    <s v="-"/>
    <s v="-"/>
    <n v="1"/>
    <n v="2"/>
    <n v="0"/>
    <s v="-"/>
    <s v="-"/>
    <s v="-"/>
    <s v="-"/>
    <s v="-"/>
    <s v="-"/>
    <s v="-"/>
    <n v="3"/>
    <n v="4"/>
    <s v="-"/>
    <n v="1"/>
    <n v="1"/>
    <n v="2"/>
    <n v="2"/>
    <n v="5"/>
    <n v="6"/>
  </r>
  <r>
    <x v="8"/>
    <x v="193"/>
    <d v="1899-12-30T00:00:00"/>
    <s v="2ND"/>
    <d v="1899-12-30T18:00:00"/>
    <n v="2"/>
    <x v="17"/>
    <s v="-"/>
    <s v="P"/>
    <s v="P"/>
    <s v="P"/>
    <s v="-"/>
    <s v="+"/>
    <n v="10.86"/>
    <s v="-"/>
    <s v="-"/>
    <s v="-"/>
    <s v="-"/>
    <s v="-"/>
    <s v="-"/>
    <s v="-"/>
    <s v="-"/>
    <s v="P"/>
    <s v="P"/>
    <s v="-"/>
    <s v="-"/>
    <n v="1"/>
    <n v="2"/>
    <n v="0"/>
    <s v="-"/>
    <s v="-"/>
    <s v="-"/>
    <s v="-"/>
    <s v="-"/>
    <s v="-"/>
    <s v="-"/>
    <n v="3"/>
    <n v="4"/>
    <s v="-"/>
    <n v="1"/>
    <n v="1"/>
    <n v="2"/>
    <n v="2"/>
    <n v="5"/>
    <n v="6"/>
  </r>
  <r>
    <x v="8"/>
    <x v="193"/>
    <d v="1899-12-30T00:00:00"/>
    <s v="2ND"/>
    <d v="1899-12-30T19:00:00"/>
    <n v="2"/>
    <x v="17"/>
    <s v="-"/>
    <s v="P"/>
    <s v="P"/>
    <s v="P"/>
    <s v="-"/>
    <s v="+"/>
    <n v="10.51"/>
    <s v="-"/>
    <s v="-"/>
    <s v="-"/>
    <s v="-"/>
    <s v="-"/>
    <s v="-"/>
    <s v="-"/>
    <s v="-"/>
    <s v="P"/>
    <s v="P"/>
    <s v="-"/>
    <s v="-"/>
    <n v="1"/>
    <n v="2"/>
    <n v="0"/>
    <s v="-"/>
    <s v="-"/>
    <s v="-"/>
    <s v="-"/>
    <s v="-"/>
    <s v="-"/>
    <s v="-"/>
    <n v="3"/>
    <n v="4"/>
    <s v="-"/>
    <n v="1"/>
    <n v="1"/>
    <n v="2"/>
    <n v="2"/>
    <n v="5"/>
    <n v="6"/>
  </r>
  <r>
    <x v="8"/>
    <x v="193"/>
    <d v="1899-12-30T00:00:00"/>
    <s v="2ND"/>
    <d v="1899-12-30T20:00:00"/>
    <n v="2"/>
    <x v="17"/>
    <s v="-"/>
    <s v="P"/>
    <s v="P"/>
    <s v="P"/>
    <s v="-"/>
    <s v="+"/>
    <n v="10.54"/>
    <s v="-"/>
    <s v="-"/>
    <s v="-"/>
    <s v="-"/>
    <s v="-"/>
    <s v="-"/>
    <s v="-"/>
    <s v="-"/>
    <s v="P"/>
    <s v="P"/>
    <s v="-"/>
    <s v="-"/>
    <n v="1"/>
    <n v="2"/>
    <n v="0"/>
    <s v="-"/>
    <s v="-"/>
    <s v="-"/>
    <s v="-"/>
    <s v="-"/>
    <s v="-"/>
    <s v="-"/>
    <n v="3"/>
    <n v="4"/>
    <s v="-"/>
    <n v="1"/>
    <n v="1"/>
    <n v="2"/>
    <n v="2"/>
    <n v="5"/>
    <n v="6"/>
  </r>
  <r>
    <x v="8"/>
    <x v="193"/>
    <d v="1899-12-30T00:00:00"/>
    <s v="2ND"/>
    <d v="1899-12-30T21:00:00"/>
    <n v="2"/>
    <x v="17"/>
    <s v="-"/>
    <s v="P"/>
    <s v="P"/>
    <s v="P"/>
    <s v="-"/>
    <s v="+"/>
    <n v="10.3"/>
    <s v="-"/>
    <s v="-"/>
    <s v="-"/>
    <s v="-"/>
    <s v="-"/>
    <s v="-"/>
    <s v="-"/>
    <s v="-"/>
    <s v="P"/>
    <s v="P"/>
    <s v="-"/>
    <s v="-"/>
    <n v="1"/>
    <n v="2"/>
    <n v="0"/>
    <s v="-"/>
    <s v="-"/>
    <s v="-"/>
    <s v="-"/>
    <s v="-"/>
    <s v="-"/>
    <s v="-"/>
    <n v="3"/>
    <n v="4"/>
    <s v="-"/>
    <n v="1"/>
    <n v="1"/>
    <n v="2"/>
    <n v="2"/>
    <n v="5"/>
    <n v="6"/>
  </r>
  <r>
    <x v="8"/>
    <x v="193"/>
    <d v="2026-09-02T00:00:00"/>
    <s v="2ND"/>
    <d v="1899-12-30T14:00:00"/>
    <n v="3"/>
    <x v="10"/>
    <s v="-"/>
    <s v="P"/>
    <s v="P"/>
    <s v="P"/>
    <s v="+"/>
    <s v="+"/>
    <n v="12.54"/>
    <n v="11.89"/>
    <s v="-"/>
    <s v="-"/>
    <s v="-"/>
    <s v="-"/>
    <n v="33"/>
    <s v="-"/>
    <s v="-"/>
    <s v="P"/>
    <s v="P"/>
    <n v="1"/>
    <s v="-"/>
    <n v="1"/>
    <n v="2"/>
    <n v="1"/>
    <n v="1"/>
    <s v="-"/>
    <s v="-"/>
    <s v="-"/>
    <s v="-"/>
    <n v="2"/>
    <s v="-"/>
    <n v="7"/>
    <n v="7"/>
    <s v="-"/>
    <n v="1"/>
    <n v="1"/>
    <n v="2"/>
    <n v="2"/>
    <n v="9"/>
    <n v="9"/>
  </r>
  <r>
    <x v="8"/>
    <x v="193"/>
    <d v="2026-09-02T00:00:00"/>
    <s v="2ND"/>
    <d v="1899-12-30T15:00:00"/>
    <n v="3"/>
    <x v="10"/>
    <s v="-"/>
    <s v="P"/>
    <s v="P"/>
    <s v="P"/>
    <s v="+"/>
    <s v="+"/>
    <n v="12.61"/>
    <s v="-"/>
    <s v="-"/>
    <s v="-"/>
    <s v="-"/>
    <s v="-"/>
    <s v="-"/>
    <s v="-"/>
    <s v="-"/>
    <s v="P"/>
    <s v="P"/>
    <s v="-"/>
    <s v="-"/>
    <n v="1"/>
    <n v="2"/>
    <n v="1"/>
    <s v="-"/>
    <s v="-"/>
    <s v="-"/>
    <s v="-"/>
    <s v="-"/>
    <s v="-"/>
    <s v="-"/>
    <n v="4"/>
    <n v="4"/>
    <s v="-"/>
    <n v="1"/>
    <n v="1"/>
    <n v="2"/>
    <n v="2"/>
    <n v="6"/>
    <n v="6"/>
  </r>
  <r>
    <x v="8"/>
    <x v="193"/>
    <d v="2026-08-26T00:00:00"/>
    <s v="2ND"/>
    <d v="1899-12-30T16:00:00"/>
    <n v="3"/>
    <x v="0"/>
    <n v="0.01"/>
    <s v="P"/>
    <s v="P"/>
    <s v="P"/>
    <s v="+"/>
    <s v="+"/>
    <n v="12.33"/>
    <n v="12.66"/>
    <n v="0.56000000000000005"/>
    <s v="-"/>
    <s v="-"/>
    <s v="-"/>
    <n v="35.4"/>
    <s v="-"/>
    <s v="-"/>
    <s v="P"/>
    <s v="P"/>
    <s v="95% 5%"/>
    <n v="2"/>
    <n v="1"/>
    <n v="2"/>
    <n v="1"/>
    <n v="1"/>
    <n v="2"/>
    <s v="-"/>
    <s v="-"/>
    <s v="-"/>
    <n v="2"/>
    <s v="-"/>
    <n v="11"/>
    <n v="11"/>
    <s v="-"/>
    <n v="1"/>
    <n v="1"/>
    <n v="2"/>
    <n v="2"/>
    <n v="13"/>
    <n v="13"/>
  </r>
  <r>
    <x v="8"/>
    <x v="193"/>
    <d v="2026-08-26T00:00:00"/>
    <s v="2ND"/>
    <d v="1899-12-30T18:00:00"/>
    <n v="3"/>
    <x v="0"/>
    <n v="0.01"/>
    <s v="P"/>
    <s v="P"/>
    <s v="P"/>
    <s v="+"/>
    <s v="+"/>
    <s v="-"/>
    <s v="-"/>
    <s v="-"/>
    <s v="-"/>
    <s v="-"/>
    <s v="-"/>
    <s v="-"/>
    <s v="-"/>
    <s v="-"/>
    <s v="P"/>
    <s v="P"/>
    <s v="-"/>
    <n v="2"/>
    <n v="1"/>
    <n v="2"/>
    <s v="-"/>
    <s v="-"/>
    <s v="-"/>
    <s v="-"/>
    <s v="-"/>
    <s v="-"/>
    <s v="-"/>
    <s v="-"/>
    <n v="5"/>
    <n v="5"/>
    <s v="-"/>
    <n v="1"/>
    <n v="1"/>
    <n v="2"/>
    <n v="2"/>
    <n v="7"/>
    <n v="7"/>
  </r>
  <r>
    <x v="8"/>
    <x v="193"/>
    <d v="2026-08-26T00:00:00"/>
    <s v="2ND"/>
    <d v="1899-12-30T19:00:00"/>
    <n v="3"/>
    <x v="1"/>
    <n v="0.01"/>
    <s v="P"/>
    <s v="P"/>
    <s v="P"/>
    <s v="+"/>
    <s v="+"/>
    <n v="11.98"/>
    <s v="-"/>
    <s v="-"/>
    <s v="-"/>
    <s v="-"/>
    <s v="-"/>
    <s v="-"/>
    <s v="-"/>
    <s v="-"/>
    <s v="P"/>
    <s v="P"/>
    <s v="-"/>
    <n v="2"/>
    <n v="1"/>
    <n v="2"/>
    <n v="0"/>
    <s v="-"/>
    <s v="-"/>
    <s v="-"/>
    <s v="-"/>
    <s v="-"/>
    <s v="-"/>
    <s v="-"/>
    <n v="5"/>
    <n v="6"/>
    <s v="-"/>
    <n v="1"/>
    <n v="1"/>
    <n v="2"/>
    <n v="2"/>
    <n v="7"/>
    <n v="8"/>
  </r>
  <r>
    <x v="8"/>
    <x v="193"/>
    <d v="2026-08-26T00:00:00"/>
    <s v="2ND"/>
    <d v="1899-12-30T21:00:00"/>
    <n v="3"/>
    <x v="1"/>
    <n v="0.01"/>
    <s v="P"/>
    <s v="P"/>
    <s v="P"/>
    <s v="+"/>
    <s v="+"/>
    <n v="11.67"/>
    <s v="-"/>
    <s v="-"/>
    <s v="-"/>
    <s v="-"/>
    <s v="-"/>
    <s v="-"/>
    <s v="-"/>
    <s v="-"/>
    <s v="P"/>
    <s v="P"/>
    <s v="-"/>
    <n v="2"/>
    <n v="1"/>
    <n v="2"/>
    <n v="0"/>
    <s v="-"/>
    <s v="-"/>
    <s v="-"/>
    <s v="-"/>
    <s v="-"/>
    <s v="-"/>
    <s v="-"/>
    <n v="5"/>
    <n v="6"/>
    <s v="-"/>
    <n v="1"/>
    <n v="1"/>
    <n v="2"/>
    <n v="2"/>
    <n v="7"/>
    <n v="8"/>
  </r>
  <r>
    <x v="8"/>
    <x v="193"/>
    <d v="1902-03-26T00:00:00"/>
    <s v="3RD"/>
    <d v="1899-12-30T22:00:00"/>
    <n v="2"/>
    <x v="17"/>
    <s v="-"/>
    <s v="P"/>
    <s v="P"/>
    <s v="P"/>
    <s v="-"/>
    <s v="+"/>
    <n v="10.43"/>
    <s v="-"/>
    <s v="-"/>
    <s v="-"/>
    <s v="-"/>
    <s v="-"/>
    <s v="-"/>
    <s v="-"/>
    <s v="-"/>
    <s v="P"/>
    <s v="P"/>
    <s v="-"/>
    <s v="-"/>
    <n v="1"/>
    <n v="2"/>
    <n v="0"/>
    <s v="-"/>
    <s v="-"/>
    <s v="-"/>
    <s v="-"/>
    <s v="-"/>
    <s v="-"/>
    <s v="-"/>
    <n v="3"/>
    <n v="4"/>
    <s v="-"/>
    <n v="1"/>
    <n v="1"/>
    <n v="2"/>
    <n v="2"/>
    <n v="5"/>
    <n v="6"/>
  </r>
  <r>
    <x v="8"/>
    <x v="193"/>
    <d v="1899-12-30T00:00:00"/>
    <s v="3RD"/>
    <d v="1899-12-30T23:00:00"/>
    <n v="2"/>
    <x v="17"/>
    <s v="-"/>
    <s v="P"/>
    <s v="P"/>
    <s v="P"/>
    <s v="-"/>
    <s v="+"/>
    <n v="10.58"/>
    <s v="-"/>
    <s v="-"/>
    <s v="-"/>
    <s v="-"/>
    <s v="-"/>
    <s v="-"/>
    <s v="-"/>
    <s v="-"/>
    <s v="P"/>
    <s v="P"/>
    <n v="1"/>
    <s v="-"/>
    <n v="1"/>
    <n v="2"/>
    <n v="0"/>
    <s v="-"/>
    <s v="-"/>
    <s v="-"/>
    <s v="-"/>
    <s v="-"/>
    <s v="-"/>
    <s v="-"/>
    <n v="3"/>
    <n v="4"/>
    <s v="-"/>
    <n v="1"/>
    <n v="1"/>
    <n v="2"/>
    <n v="2"/>
    <n v="5"/>
    <n v="6"/>
  </r>
  <r>
    <x v="8"/>
    <x v="193"/>
    <d v="1899-12-30T00:00:00"/>
    <s v="3RD"/>
    <d v="1899-12-31T00:00:00"/>
    <n v="2"/>
    <x v="2"/>
    <s v="-"/>
    <s v="P"/>
    <s v="P"/>
    <s v="P"/>
    <s v="-"/>
    <s v="+"/>
    <n v="10.35"/>
    <s v="-"/>
    <s v="-"/>
    <s v="-"/>
    <s v="-"/>
    <s v="-"/>
    <s v="-"/>
    <s v="-"/>
    <s v="-"/>
    <s v="P"/>
    <s v="P"/>
    <s v="-"/>
    <s v="-"/>
    <n v="1"/>
    <n v="2"/>
    <n v="0"/>
    <s v="-"/>
    <s v="-"/>
    <s v="-"/>
    <s v="-"/>
    <s v="-"/>
    <s v="-"/>
    <s v="-"/>
    <n v="3"/>
    <n v="4"/>
    <s v="-"/>
    <n v="1"/>
    <n v="1"/>
    <n v="2"/>
    <n v="2"/>
    <n v="5"/>
    <n v="6"/>
  </r>
  <r>
    <x v="8"/>
    <x v="193"/>
    <d v="1899-12-30T00:00:00"/>
    <s v="3RD"/>
    <d v="1899-12-31T01:00:00"/>
    <n v="2"/>
    <x v="2"/>
    <s v="-"/>
    <s v="P"/>
    <s v="P"/>
    <s v="P"/>
    <s v="-"/>
    <s v="+"/>
    <n v="10.47"/>
    <s v="-"/>
    <s v="-"/>
    <s v="-"/>
    <s v="-"/>
    <s v="-"/>
    <s v="-"/>
    <s v="-"/>
    <s v="-"/>
    <s v="P"/>
    <s v="P"/>
    <s v="-"/>
    <s v="-"/>
    <n v="1"/>
    <n v="2"/>
    <n v="0"/>
    <s v="-"/>
    <s v="-"/>
    <s v="-"/>
    <s v="-"/>
    <s v="-"/>
    <s v="-"/>
    <s v="-"/>
    <n v="3"/>
    <n v="4"/>
    <s v="-"/>
    <n v="1"/>
    <n v="1"/>
    <n v="2"/>
    <n v="2"/>
    <n v="5"/>
    <n v="6"/>
  </r>
  <r>
    <x v="8"/>
    <x v="193"/>
    <d v="1899-12-30T00:00:00"/>
    <s v="3RD"/>
    <d v="1899-12-31T02:00:00"/>
    <n v="2"/>
    <x v="2"/>
    <s v="-"/>
    <s v="P"/>
    <s v="P"/>
    <s v="P"/>
    <s v="-"/>
    <s v="+"/>
    <n v="10.39"/>
    <s v="-"/>
    <s v="-"/>
    <s v="-"/>
    <s v="-"/>
    <s v="-"/>
    <s v="-"/>
    <s v="-"/>
    <s v="-"/>
    <s v="P"/>
    <s v="P"/>
    <s v="-"/>
    <s v="-"/>
    <n v="1"/>
    <n v="2"/>
    <n v="0"/>
    <s v="-"/>
    <s v="-"/>
    <s v="-"/>
    <s v="-"/>
    <s v="-"/>
    <s v="-"/>
    <s v="-"/>
    <n v="3"/>
    <n v="4"/>
    <s v="-"/>
    <n v="1"/>
    <n v="1"/>
    <n v="2"/>
    <n v="2"/>
    <n v="5"/>
    <n v="6"/>
  </r>
  <r>
    <x v="8"/>
    <x v="193"/>
    <d v="1899-12-30T00:00:00"/>
    <s v="3RD"/>
    <d v="1899-12-31T03:00:00"/>
    <n v="2"/>
    <x v="2"/>
    <s v="-"/>
    <s v="P"/>
    <s v="P"/>
    <s v="P"/>
    <s v="-"/>
    <s v="+"/>
    <n v="10.35"/>
    <s v="-"/>
    <s v="-"/>
    <s v="-"/>
    <s v="-"/>
    <s v="-"/>
    <s v="-"/>
    <s v="-"/>
    <s v="-"/>
    <s v="P"/>
    <s v="P"/>
    <s v="-"/>
    <s v="-"/>
    <n v="1"/>
    <n v="2"/>
    <n v="0"/>
    <s v="-"/>
    <s v="-"/>
    <s v="-"/>
    <s v="-"/>
    <s v="-"/>
    <s v="-"/>
    <s v="-"/>
    <n v="3"/>
    <n v="4"/>
    <s v="-"/>
    <n v="1"/>
    <n v="1"/>
    <n v="2"/>
    <n v="2"/>
    <n v="5"/>
    <n v="6"/>
  </r>
  <r>
    <x v="8"/>
    <x v="193"/>
    <d v="1899-12-30T00:00:00"/>
    <s v="3RD"/>
    <d v="1899-12-31T04:00:00"/>
    <n v="2"/>
    <x v="2"/>
    <s v="-"/>
    <s v="P"/>
    <s v="P"/>
    <s v="P"/>
    <s v="-"/>
    <s v="+"/>
    <n v="10.38"/>
    <s v="-"/>
    <s v="-"/>
    <s v="-"/>
    <s v="-"/>
    <s v="-"/>
    <s v="-"/>
    <s v="-"/>
    <s v="-"/>
    <s v="P"/>
    <s v="P"/>
    <s v="-"/>
    <s v="-"/>
    <n v="1"/>
    <n v="2"/>
    <n v="0"/>
    <s v="-"/>
    <s v="-"/>
    <s v="-"/>
    <s v="-"/>
    <s v="-"/>
    <s v="-"/>
    <s v="-"/>
    <n v="3"/>
    <n v="4"/>
    <s v="-"/>
    <n v="1"/>
    <n v="1"/>
    <n v="2"/>
    <n v="2"/>
    <n v="5"/>
    <n v="6"/>
  </r>
  <r>
    <x v="8"/>
    <x v="193"/>
    <d v="1899-12-30T00:00:00"/>
    <s v="3RD"/>
    <d v="1899-12-31T05:00:00"/>
    <n v="2"/>
    <x v="2"/>
    <s v="-"/>
    <s v="P"/>
    <s v="P"/>
    <s v="P"/>
    <s v="-"/>
    <s v="+"/>
    <n v="10.17"/>
    <s v="-"/>
    <s v="-"/>
    <s v="-"/>
    <s v="-"/>
    <s v="-"/>
    <s v="-"/>
    <s v="-"/>
    <s v="-"/>
    <s v="P"/>
    <s v="P"/>
    <s v="-"/>
    <s v="-"/>
    <n v="1"/>
    <n v="2"/>
    <n v="0"/>
    <s v="-"/>
    <s v="-"/>
    <s v="-"/>
    <s v="-"/>
    <s v="-"/>
    <s v="-"/>
    <s v="-"/>
    <n v="3"/>
    <n v="4"/>
    <s v="-"/>
    <n v="1"/>
    <n v="1"/>
    <n v="2"/>
    <n v="2"/>
    <n v="5"/>
    <n v="6"/>
  </r>
  <r>
    <x v="8"/>
    <x v="193"/>
    <d v="2026-08-26T00:00:00"/>
    <s v="3RD"/>
    <d v="1899-12-30T22:00:00"/>
    <n v="3"/>
    <x v="1"/>
    <n v="0.01"/>
    <s v="P"/>
    <s v="P"/>
    <s v="P"/>
    <s v="+"/>
    <s v="+"/>
    <n v="12.12"/>
    <n v="12.96"/>
    <s v="-"/>
    <s v="-"/>
    <s v="-"/>
    <s v="-"/>
    <n v="36.4"/>
    <s v="-"/>
    <s v="-"/>
    <s v="P"/>
    <s v="P"/>
    <s v="95% 5%"/>
    <n v="2"/>
    <n v="1"/>
    <n v="2"/>
    <n v="1"/>
    <n v="1"/>
    <s v="-"/>
    <s v="-"/>
    <s v="-"/>
    <s v="-"/>
    <n v="2"/>
    <s v="-"/>
    <n v="9"/>
    <n v="9"/>
    <s v="-"/>
    <n v="1"/>
    <n v="1"/>
    <n v="2"/>
    <n v="2"/>
    <n v="11"/>
    <n v="11"/>
  </r>
  <r>
    <x v="8"/>
    <x v="193"/>
    <d v="2026-08-26T00:00:00"/>
    <s v="3RD"/>
    <d v="1899-12-30T23:00:00"/>
    <n v="3"/>
    <x v="1"/>
    <n v="0.01"/>
    <s v="P"/>
    <s v="P"/>
    <s v="P"/>
    <s v="+"/>
    <s v="+"/>
    <n v="11.96"/>
    <s v="-"/>
    <s v="-"/>
    <s v="-"/>
    <s v="-"/>
    <s v="-"/>
    <s v="-"/>
    <s v="-"/>
    <s v="-"/>
    <s v="P"/>
    <s v="P"/>
    <s v="-"/>
    <n v="2"/>
    <n v="1"/>
    <n v="2"/>
    <n v="0"/>
    <s v="-"/>
    <s v="-"/>
    <s v="-"/>
    <s v="-"/>
    <s v="-"/>
    <s v="-"/>
    <s v="-"/>
    <n v="5"/>
    <n v="6"/>
    <s v="-"/>
    <n v="1"/>
    <n v="1"/>
    <n v="2"/>
    <n v="2"/>
    <n v="7"/>
    <n v="8"/>
  </r>
  <r>
    <x v="8"/>
    <x v="193"/>
    <d v="2026-08-26T00:00:00"/>
    <s v="3RD"/>
    <d v="1899-12-31T00:00:00"/>
    <n v="3"/>
    <x v="1"/>
    <n v="0.01"/>
    <s v="P"/>
    <s v="P"/>
    <s v="P"/>
    <s v="+"/>
    <s v="+"/>
    <n v="12.17"/>
    <s v="-"/>
    <s v="-"/>
    <s v="-"/>
    <s v="-"/>
    <s v="-"/>
    <s v="-"/>
    <s v="-"/>
    <s v="-"/>
    <s v="P"/>
    <s v="P"/>
    <s v="-"/>
    <n v="2"/>
    <n v="1"/>
    <n v="2"/>
    <n v="1"/>
    <s v="-"/>
    <s v="-"/>
    <s v="-"/>
    <s v="-"/>
    <s v="-"/>
    <s v="-"/>
    <s v="-"/>
    <n v="6"/>
    <n v="6"/>
    <s v="-"/>
    <n v="1"/>
    <n v="1"/>
    <n v="2"/>
    <n v="2"/>
    <n v="8"/>
    <n v="8"/>
  </r>
  <r>
    <x v="8"/>
    <x v="193"/>
    <d v="2026-08-26T00:00:00"/>
    <s v="3RD"/>
    <d v="1899-12-31T01:00:00"/>
    <n v="3"/>
    <x v="1"/>
    <n v="0.01"/>
    <s v="P"/>
    <s v="P"/>
    <s v="P"/>
    <s v="+"/>
    <s v="+"/>
    <n v="12.19"/>
    <s v="-"/>
    <s v="-"/>
    <s v="-"/>
    <s v="-"/>
    <s v="-"/>
    <s v="-"/>
    <s v="-"/>
    <s v="-"/>
    <s v="P"/>
    <s v="P"/>
    <s v="-"/>
    <n v="2"/>
    <n v="1"/>
    <n v="2"/>
    <n v="1"/>
    <s v="-"/>
    <s v="-"/>
    <s v="-"/>
    <s v="-"/>
    <s v="-"/>
    <s v="-"/>
    <s v="-"/>
    <n v="6"/>
    <n v="6"/>
    <s v="-"/>
    <n v="1"/>
    <n v="1"/>
    <n v="2"/>
    <n v="2"/>
    <n v="8"/>
    <n v="8"/>
  </r>
  <r>
    <x v="8"/>
    <x v="193"/>
    <d v="2026-08-26T00:00:00"/>
    <s v="3RD"/>
    <d v="1899-12-31T02:00:00"/>
    <n v="3"/>
    <x v="1"/>
    <n v="0.01"/>
    <s v="P"/>
    <s v="P"/>
    <s v="P"/>
    <s v="+"/>
    <s v="+"/>
    <n v="12.19"/>
    <s v="-"/>
    <s v="-"/>
    <s v="-"/>
    <s v="-"/>
    <s v="-"/>
    <s v="-"/>
    <s v="-"/>
    <s v="-"/>
    <s v="P"/>
    <s v="P"/>
    <s v="-"/>
    <n v="2"/>
    <n v="1"/>
    <n v="2"/>
    <n v="1"/>
    <s v="-"/>
    <s v="-"/>
    <s v="-"/>
    <s v="-"/>
    <s v="-"/>
    <s v="-"/>
    <s v="-"/>
    <n v="6"/>
    <n v="6"/>
    <s v="-"/>
    <n v="1"/>
    <n v="1"/>
    <n v="2"/>
    <n v="2"/>
    <n v="8"/>
    <n v="8"/>
  </r>
  <r>
    <x v="8"/>
    <x v="193"/>
    <d v="2026-08-26T00:00:00"/>
    <s v="3RD"/>
    <d v="1899-12-31T03:00:00"/>
    <n v="3"/>
    <x v="1"/>
    <n v="0.01"/>
    <s v="P"/>
    <s v="P"/>
    <s v="P"/>
    <s v="+"/>
    <s v="+"/>
    <n v="12.29"/>
    <s v="-"/>
    <s v="-"/>
    <s v="-"/>
    <s v="-"/>
    <s v="-"/>
    <s v="-"/>
    <s v="-"/>
    <s v="-"/>
    <s v="P"/>
    <s v="P"/>
    <s v="-"/>
    <n v="2"/>
    <n v="1"/>
    <n v="2"/>
    <n v="1"/>
    <s v="-"/>
    <s v="-"/>
    <s v="-"/>
    <s v="-"/>
    <s v="-"/>
    <s v="-"/>
    <s v="-"/>
    <n v="6"/>
    <n v="6"/>
    <s v="-"/>
    <n v="1"/>
    <n v="1"/>
    <n v="2"/>
    <n v="2"/>
    <n v="8"/>
    <n v="8"/>
  </r>
  <r>
    <x v="8"/>
    <x v="193"/>
    <d v="2026-08-26T00:00:00"/>
    <s v="3RD"/>
    <d v="1899-12-31T04:00:00"/>
    <n v="3"/>
    <x v="1"/>
    <n v="0.01"/>
    <s v="P"/>
    <s v="P"/>
    <s v="P"/>
    <s v="+"/>
    <s v="+"/>
    <n v="12.07"/>
    <s v="-"/>
    <s v="-"/>
    <s v="-"/>
    <s v="-"/>
    <s v="-"/>
    <s v="-"/>
    <s v="-"/>
    <s v="-"/>
    <s v="P"/>
    <s v="P"/>
    <s v="-"/>
    <n v="2"/>
    <n v="1"/>
    <n v="2"/>
    <n v="1"/>
    <s v="-"/>
    <s v="-"/>
    <s v="-"/>
    <s v="-"/>
    <s v="-"/>
    <s v="-"/>
    <s v="-"/>
    <n v="6"/>
    <n v="6"/>
    <s v="-"/>
    <n v="1"/>
    <n v="1"/>
    <n v="2"/>
    <n v="2"/>
    <n v="8"/>
    <n v="8"/>
  </r>
  <r>
    <x v="8"/>
    <x v="193"/>
    <d v="2026-08-26T00:00:00"/>
    <s v="3RD"/>
    <d v="1899-12-31T05:00:00"/>
    <n v="3"/>
    <x v="1"/>
    <n v="0.01"/>
    <s v="P"/>
    <s v="P"/>
    <s v="P"/>
    <s v="+"/>
    <s v="+"/>
    <n v="12.3"/>
    <s v="-"/>
    <s v="-"/>
    <s v="-"/>
    <s v="-"/>
    <s v="-"/>
    <s v="-"/>
    <s v="-"/>
    <s v="-"/>
    <s v="P"/>
    <s v="P"/>
    <s v="-"/>
    <n v="2"/>
    <n v="1"/>
    <n v="2"/>
    <n v="1"/>
    <s v="-"/>
    <s v="-"/>
    <s v="-"/>
    <s v="-"/>
    <s v="-"/>
    <s v="-"/>
    <s v="-"/>
    <n v="6"/>
    <n v="6"/>
    <s v="-"/>
    <n v="1"/>
    <n v="1"/>
    <n v="2"/>
    <n v="2"/>
    <n v="8"/>
    <n v="8"/>
  </r>
  <r>
    <x v="8"/>
    <x v="194"/>
    <d v="2026-07-17T00:00:00"/>
    <s v="1ST"/>
    <s v="09:00"/>
    <n v="1"/>
    <x v="20"/>
    <n v="0.01"/>
    <s v="P"/>
    <s v="P"/>
    <s v="P"/>
    <s v="-"/>
    <s v="-"/>
    <n v="12.3"/>
    <n v="11.52"/>
    <n v="0.56999999999999995"/>
    <n v="65.8"/>
    <s v="-"/>
    <s v="-"/>
    <n v="31.9"/>
    <s v="-"/>
    <s v="-"/>
    <s v="-"/>
    <s v="-"/>
    <s v="BB"/>
    <n v="2"/>
    <n v="1"/>
    <n v="2"/>
    <n v="1"/>
    <n v="0"/>
    <n v="2"/>
    <n v="2"/>
    <s v="-"/>
    <s v="-"/>
    <n v="2"/>
    <s v="-"/>
    <n v="12"/>
    <n v="13"/>
    <s v="-"/>
    <s v="-"/>
    <s v="-"/>
    <n v="0"/>
    <n v="0"/>
    <n v="12"/>
    <n v="13"/>
  </r>
  <r>
    <x v="8"/>
    <x v="194"/>
    <d v="2026-07-17T00:00:00"/>
    <s v="1ST"/>
    <s v="10:00"/>
    <n v="1"/>
    <x v="20"/>
    <n v="0.01"/>
    <s v="-"/>
    <s v="P"/>
    <s v="P"/>
    <s v="-"/>
    <s v="-"/>
    <n v="12.45"/>
    <s v="-"/>
    <s v="-"/>
    <s v="-"/>
    <s v="-"/>
    <s v="-"/>
    <s v="-"/>
    <s v="-"/>
    <s v="-"/>
    <s v="-"/>
    <s v="-"/>
    <s v="BB"/>
    <n v="2"/>
    <s v="-"/>
    <n v="2"/>
    <n v="1"/>
    <s v="-"/>
    <s v="-"/>
    <s v="-"/>
    <s v="-"/>
    <s v="-"/>
    <s v="-"/>
    <s v="-"/>
    <n v="5"/>
    <n v="5"/>
    <s v="-"/>
    <s v="-"/>
    <s v="-"/>
    <n v="0"/>
    <n v="0"/>
    <n v="5"/>
    <n v="5"/>
  </r>
  <r>
    <x v="8"/>
    <x v="194"/>
    <d v="1902-03-26T00:00:00"/>
    <s v="1ST"/>
    <s v="06:00"/>
    <n v="2"/>
    <x v="2"/>
    <s v="-"/>
    <s v="P"/>
    <s v="P"/>
    <s v="P"/>
    <s v="-"/>
    <s v="+"/>
    <n v="10.49"/>
    <s v="-"/>
    <s v="-"/>
    <s v="-"/>
    <s v="-"/>
    <s v="-"/>
    <s v="-"/>
    <s v="-"/>
    <s v="-"/>
    <s v="-"/>
    <s v="-"/>
    <n v="1"/>
    <s v="-"/>
    <n v="1"/>
    <n v="2"/>
    <n v="0"/>
    <s v="-"/>
    <s v="-"/>
    <s v="-"/>
    <s v="-"/>
    <s v="-"/>
    <s v="-"/>
    <s v="-"/>
    <n v="3"/>
    <n v="4"/>
    <s v="-"/>
    <s v="-"/>
    <s v="-"/>
    <n v="0"/>
    <n v="0"/>
    <n v="3"/>
    <n v="4"/>
  </r>
  <r>
    <x v="8"/>
    <x v="194"/>
    <d v="1902-03-26T00:00:00"/>
    <s v="1ST"/>
    <s v="07:00"/>
    <n v="2"/>
    <x v="2"/>
    <s v="-"/>
    <s v="P"/>
    <s v="P"/>
    <s v="P"/>
    <s v="-"/>
    <s v="+"/>
    <n v="10.45"/>
    <s v="-"/>
    <s v="-"/>
    <s v="-"/>
    <s v="-"/>
    <s v="-"/>
    <s v="-"/>
    <s v="-"/>
    <s v="-"/>
    <s v="-"/>
    <s v="-"/>
    <n v="1"/>
    <s v="-"/>
    <n v="1"/>
    <n v="2"/>
    <n v="0"/>
    <s v="-"/>
    <s v="-"/>
    <s v="-"/>
    <s v="-"/>
    <s v="-"/>
    <s v="-"/>
    <s v="-"/>
    <n v="3"/>
    <n v="4"/>
    <s v="-"/>
    <s v="-"/>
    <s v="-"/>
    <n v="0"/>
    <n v="0"/>
    <n v="3"/>
    <n v="4"/>
  </r>
  <r>
    <x v="8"/>
    <x v="194"/>
    <d v="1902-03-26T00:00:00"/>
    <s v="1ST"/>
    <s v="08:00"/>
    <n v="2"/>
    <x v="2"/>
    <s v="-"/>
    <s v="P"/>
    <s v="P"/>
    <s v="P"/>
    <s v="-"/>
    <s v="+"/>
    <n v="10.56"/>
    <s v="-"/>
    <s v="-"/>
    <s v="-"/>
    <s v="-"/>
    <s v="-"/>
    <s v="-"/>
    <s v="-"/>
    <s v="-"/>
    <s v="-"/>
    <s v="-"/>
    <n v="1"/>
    <s v="-"/>
    <n v="1"/>
    <n v="2"/>
    <n v="0"/>
    <s v="-"/>
    <s v="-"/>
    <s v="-"/>
    <s v="-"/>
    <s v="-"/>
    <s v="-"/>
    <s v="-"/>
    <n v="3"/>
    <n v="4"/>
    <s v="-"/>
    <s v="-"/>
    <s v="-"/>
    <n v="0"/>
    <n v="0"/>
    <n v="3"/>
    <n v="4"/>
  </r>
  <r>
    <x v="8"/>
    <x v="194"/>
    <d v="1902-03-26T00:00:00"/>
    <s v="1ST"/>
    <s v="09:00"/>
    <n v="2"/>
    <x v="2"/>
    <s v="-"/>
    <s v="P"/>
    <s v="P"/>
    <s v="P"/>
    <s v="-"/>
    <s v="+"/>
    <n v="10.48"/>
    <s v="-"/>
    <s v="-"/>
    <s v="-"/>
    <s v="-"/>
    <s v="-"/>
    <s v="-"/>
    <s v="-"/>
    <s v="-"/>
    <s v="-"/>
    <s v="-"/>
    <s v="-"/>
    <s v="-"/>
    <n v="1"/>
    <n v="2"/>
    <n v="0"/>
    <s v="-"/>
    <s v="-"/>
    <s v="-"/>
    <s v="-"/>
    <s v="-"/>
    <s v="-"/>
    <s v="-"/>
    <n v="3"/>
    <n v="4"/>
    <s v="-"/>
    <s v="-"/>
    <s v="-"/>
    <n v="0"/>
    <n v="0"/>
    <n v="3"/>
    <n v="4"/>
  </r>
  <r>
    <x v="8"/>
    <x v="194"/>
    <d v="1902-03-26T00:00:00"/>
    <s v="1ST"/>
    <s v="11:00"/>
    <n v="2"/>
    <x v="17"/>
    <n v="0.01"/>
    <s v="P"/>
    <s v="P"/>
    <s v="P"/>
    <s v="-"/>
    <s v="+"/>
    <n v="10.78"/>
    <n v="8.4499999999999993"/>
    <s v="-"/>
    <n v="55.3"/>
    <s v="-"/>
    <s v="-"/>
    <n v="22.7"/>
    <s v="-"/>
    <s v="-"/>
    <s v="-"/>
    <s v="-"/>
    <n v="1"/>
    <n v="2"/>
    <n v="1"/>
    <n v="2"/>
    <n v="0"/>
    <n v="1"/>
    <s v="-"/>
    <n v="2"/>
    <s v="-"/>
    <s v="-"/>
    <n v="2"/>
    <s v="-"/>
    <n v="10"/>
    <n v="11"/>
    <s v="-"/>
    <s v="-"/>
    <s v="-"/>
    <n v="0"/>
    <n v="0"/>
    <n v="10"/>
    <n v="11"/>
  </r>
  <r>
    <x v="8"/>
    <x v="194"/>
    <d v="1902-03-26T00:00:00"/>
    <s v="1ST"/>
    <s v="12:00"/>
    <n v="2"/>
    <x v="17"/>
    <s v="-"/>
    <s v="P"/>
    <s v="P"/>
    <s v="P"/>
    <s v="-"/>
    <s v="+"/>
    <n v="10.81"/>
    <s v="-"/>
    <s v="-"/>
    <s v="-"/>
    <s v="-"/>
    <s v="-"/>
    <s v="-"/>
    <s v="-"/>
    <s v="-"/>
    <s v="-"/>
    <s v="-"/>
    <n v="1"/>
    <s v="-"/>
    <n v="1"/>
    <n v="2"/>
    <n v="0"/>
    <s v="-"/>
    <s v="-"/>
    <s v="-"/>
    <s v="-"/>
    <s v="-"/>
    <s v="-"/>
    <s v="-"/>
    <n v="3"/>
    <n v="4"/>
    <s v="-"/>
    <s v="-"/>
    <s v="-"/>
    <n v="0"/>
    <n v="0"/>
    <n v="3"/>
    <n v="4"/>
  </r>
  <r>
    <x v="8"/>
    <x v="194"/>
    <d v="1902-03-26T00:00:00"/>
    <s v="1ST"/>
    <s v="13:00"/>
    <n v="2"/>
    <x v="17"/>
    <s v="-"/>
    <s v="P"/>
    <s v="P"/>
    <s v="P"/>
    <s v="-"/>
    <s v="+"/>
    <n v="10.64"/>
    <s v="-"/>
    <s v="-"/>
    <s v="-"/>
    <s v="-"/>
    <s v="-"/>
    <s v="-"/>
    <s v="-"/>
    <s v="-"/>
    <s v="-"/>
    <s v="-"/>
    <s v="-"/>
    <s v="-"/>
    <n v="1"/>
    <n v="2"/>
    <n v="0"/>
    <s v="-"/>
    <s v="-"/>
    <s v="-"/>
    <s v="-"/>
    <s v="-"/>
    <s v="-"/>
    <s v="-"/>
    <n v="3"/>
    <n v="4"/>
    <s v="-"/>
    <s v="-"/>
    <s v="-"/>
    <n v="0"/>
    <n v="0"/>
    <n v="3"/>
    <n v="4"/>
  </r>
  <r>
    <x v="8"/>
    <x v="194"/>
    <d v="2026-08-26T00:00:00"/>
    <s v="1ST"/>
    <s v="06:00"/>
    <n v="3"/>
    <x v="1"/>
    <n v="0.01"/>
    <s v="P"/>
    <s v="P"/>
    <s v="P"/>
    <s v="+"/>
    <s v="+"/>
    <n v="12.3"/>
    <n v="12.93"/>
    <n v="0.59"/>
    <n v="64.900000000000006"/>
    <s v="-"/>
    <s v="-"/>
    <n v="36.200000000000003"/>
    <s v="-"/>
    <s v="-"/>
    <s v="-"/>
    <s v="-"/>
    <s v="95% 5%"/>
    <n v="2"/>
    <n v="1"/>
    <n v="2"/>
    <n v="1"/>
    <n v="1"/>
    <n v="2"/>
    <n v="2"/>
    <s v="-"/>
    <s v="-"/>
    <n v="2"/>
    <s v="-"/>
    <n v="13"/>
    <n v="13"/>
    <s v="-"/>
    <s v="-"/>
    <s v="-"/>
    <n v="0"/>
    <n v="0"/>
    <n v="13"/>
    <n v="13"/>
  </r>
  <r>
    <x v="8"/>
    <x v="194"/>
    <d v="2026-08-26T00:00:00"/>
    <s v="1ST"/>
    <s v="07:00"/>
    <n v="3"/>
    <x v="1"/>
    <n v="0.02"/>
    <s v="P"/>
    <s v="P"/>
    <s v="P"/>
    <s v="+"/>
    <s v="+"/>
    <n v="12.26"/>
    <s v="-"/>
    <s v="-"/>
    <s v="-"/>
    <s v="-"/>
    <s v="-"/>
    <s v="-"/>
    <s v="-"/>
    <s v="-"/>
    <s v="-"/>
    <s v="-"/>
    <s v="95% 5%"/>
    <n v="2"/>
    <n v="1"/>
    <n v="2"/>
    <n v="1"/>
    <s v="-"/>
    <s v="-"/>
    <s v="-"/>
    <s v="-"/>
    <s v="-"/>
    <s v="-"/>
    <s v="-"/>
    <n v="6"/>
    <n v="6"/>
    <s v="-"/>
    <s v="-"/>
    <s v="-"/>
    <n v="0"/>
    <n v="0"/>
    <n v="6"/>
    <n v="6"/>
  </r>
  <r>
    <x v="8"/>
    <x v="194"/>
    <d v="2026-08-26T00:00:00"/>
    <s v="1ST"/>
    <s v="08:00"/>
    <n v="3"/>
    <x v="1"/>
    <n v="0.02"/>
    <s v="P"/>
    <s v="P"/>
    <s v="P"/>
    <s v="+"/>
    <s v="+"/>
    <n v="12.04"/>
    <s v="-"/>
    <s v="-"/>
    <s v="-"/>
    <s v="-"/>
    <s v="-"/>
    <s v="-"/>
    <s v="-"/>
    <s v="-"/>
    <s v="-"/>
    <s v="-"/>
    <s v="95% 5%"/>
    <n v="2"/>
    <n v="1"/>
    <n v="2"/>
    <n v="1"/>
    <s v="-"/>
    <s v="-"/>
    <s v="-"/>
    <s v="-"/>
    <s v="-"/>
    <s v="-"/>
    <s v="-"/>
    <n v="6"/>
    <n v="6"/>
    <s v="-"/>
    <s v="-"/>
    <s v="-"/>
    <n v="0"/>
    <n v="0"/>
    <n v="6"/>
    <n v="6"/>
  </r>
  <r>
    <x v="8"/>
    <x v="194"/>
    <d v="2026-08-26T00:00:00"/>
    <s v="1ST"/>
    <s v="11:00"/>
    <n v="3"/>
    <x v="30"/>
    <n v="0.01"/>
    <s v="P"/>
    <s v="P"/>
    <s v="P"/>
    <s v="+"/>
    <s v="+"/>
    <s v="-"/>
    <n v="12.64"/>
    <n v="0.61"/>
    <n v="64.900000000000006"/>
    <s v="-"/>
    <s v="-"/>
    <n v="35.5"/>
    <s v="-"/>
    <s v="-"/>
    <s v="-"/>
    <s v="-"/>
    <s v="80%  20%"/>
    <n v="2"/>
    <n v="1"/>
    <n v="2"/>
    <s v="-"/>
    <n v="1"/>
    <n v="0"/>
    <n v="2"/>
    <s v="-"/>
    <s v="-"/>
    <n v="2"/>
    <s v="-"/>
    <n v="10"/>
    <n v="12"/>
    <s v="-"/>
    <s v="-"/>
    <s v="-"/>
    <n v="0"/>
    <n v="0"/>
    <n v="10"/>
    <n v="12"/>
  </r>
  <r>
    <x v="8"/>
    <x v="194"/>
    <d v="2026-08-26T00:00:00"/>
    <s v="1ST"/>
    <s v="12:00"/>
    <n v="3"/>
    <x v="30"/>
    <n v="0.01"/>
    <s v="P"/>
    <s v="P"/>
    <s v="P"/>
    <s v="+"/>
    <s v="+"/>
    <n v="12.32"/>
    <s v="-"/>
    <s v="-"/>
    <s v="-"/>
    <s v="-"/>
    <s v="-"/>
    <s v="-"/>
    <s v="-"/>
    <s v="-"/>
    <s v="-"/>
    <s v="-"/>
    <s v="80%  20%"/>
    <n v="2"/>
    <n v="1"/>
    <n v="2"/>
    <n v="1"/>
    <s v="-"/>
    <s v="-"/>
    <s v="-"/>
    <s v="-"/>
    <s v="-"/>
    <s v="-"/>
    <s v="-"/>
    <n v="6"/>
    <n v="6"/>
    <s v="-"/>
    <s v="-"/>
    <s v="-"/>
    <n v="0"/>
    <n v="0"/>
    <n v="6"/>
    <n v="6"/>
  </r>
  <r>
    <x v="8"/>
    <x v="194"/>
    <d v="2026-08-26T00:00:00"/>
    <s v="1ST"/>
    <s v="13:00"/>
    <n v="3"/>
    <x v="6"/>
    <n v="0.02"/>
    <s v="P"/>
    <s v="P"/>
    <s v="P"/>
    <s v="+"/>
    <s v="+"/>
    <n v="12.29"/>
    <n v="12.64"/>
    <n v="0.61"/>
    <n v="64.900000000000006"/>
    <s v="-"/>
    <s v="-"/>
    <n v="35.5"/>
    <s v="-"/>
    <s v="-"/>
    <s v="-"/>
    <s v="-"/>
    <s v="80%  20%"/>
    <n v="2"/>
    <n v="1"/>
    <n v="2"/>
    <n v="1"/>
    <n v="1"/>
    <n v="0"/>
    <n v="2"/>
    <s v="-"/>
    <s v="-"/>
    <n v="2"/>
    <s v="-"/>
    <n v="11"/>
    <n v="13"/>
    <s v="-"/>
    <s v="-"/>
    <s v="-"/>
    <n v="0"/>
    <n v="0"/>
    <n v="11"/>
    <n v="13"/>
  </r>
  <r>
    <x v="8"/>
    <x v="194"/>
    <d v="2026-08-18T00:00:00"/>
    <s v="1ST"/>
    <s v="08:00"/>
    <s v="Retail"/>
    <x v="25"/>
    <s v="-"/>
    <s v="P"/>
    <s v="P"/>
    <s v="P"/>
    <s v="+"/>
    <s v="+"/>
    <n v="12.24"/>
    <n v="14.13"/>
    <n v="1.07"/>
    <n v="65.8"/>
    <s v="-"/>
    <s v="-"/>
    <n v="65.8"/>
    <s v="-"/>
    <s v="-"/>
    <s v="-"/>
    <s v="-"/>
    <s v="-"/>
    <s v="-"/>
    <n v="1"/>
    <n v="2"/>
    <n v="1"/>
    <n v="1"/>
    <n v="2"/>
    <n v="2"/>
    <s v="-"/>
    <s v="-"/>
    <n v="2"/>
    <s v="-"/>
    <n v="11"/>
    <n v="11"/>
    <s v="-"/>
    <s v="-"/>
    <s v="-"/>
    <n v="0"/>
    <n v="0"/>
    <n v="11"/>
    <n v="11"/>
  </r>
  <r>
    <x v="8"/>
    <x v="194"/>
    <d v="2026-08-18T00:00:00"/>
    <s v="1ST"/>
    <s v="10:00"/>
    <s v="Retail"/>
    <x v="25"/>
    <s v="-"/>
    <s v="P"/>
    <s v="P"/>
    <s v="P"/>
    <s v="+"/>
    <s v="+"/>
    <n v="12.45"/>
    <s v="-"/>
    <s v="-"/>
    <s v="-"/>
    <s v="-"/>
    <s v="-"/>
    <s v="-"/>
    <s v="-"/>
    <s v="-"/>
    <s v="-"/>
    <s v="-"/>
    <s v="-"/>
    <s v="-"/>
    <n v="1"/>
    <n v="2"/>
    <n v="1"/>
    <s v="-"/>
    <s v="-"/>
    <s v="-"/>
    <s v="-"/>
    <s v="-"/>
    <s v="-"/>
    <s v="-"/>
    <n v="4"/>
    <n v="4"/>
    <s v="-"/>
    <s v="-"/>
    <s v="-"/>
    <n v="0"/>
    <n v="0"/>
    <n v="4"/>
    <n v="4"/>
  </r>
  <r>
    <x v="8"/>
    <x v="194"/>
    <d v="2026-08-18T00:00:00"/>
    <s v="1ST"/>
    <s v="12:00"/>
    <s v="Retail"/>
    <x v="25"/>
    <s v="-"/>
    <s v="P"/>
    <s v="P"/>
    <s v="P"/>
    <s v="+"/>
    <s v="+"/>
    <n v="12.48"/>
    <s v="-"/>
    <s v="-"/>
    <s v="-"/>
    <s v="-"/>
    <s v="-"/>
    <s v="-"/>
    <s v="-"/>
    <s v="-"/>
    <s v="-"/>
    <s v="-"/>
    <s v="-"/>
    <s v="-"/>
    <n v="1"/>
    <n v="2"/>
    <n v="1"/>
    <s v="-"/>
    <s v="-"/>
    <s v="-"/>
    <s v="-"/>
    <s v="-"/>
    <s v="-"/>
    <s v="-"/>
    <n v="4"/>
    <n v="4"/>
    <s v="-"/>
    <s v="-"/>
    <s v="-"/>
    <n v="0"/>
    <n v="0"/>
    <n v="4"/>
    <n v="4"/>
  </r>
  <r>
    <x v="8"/>
    <x v="194"/>
    <d v="1902-03-26T00:00:00"/>
    <s v="2ND"/>
    <d v="1899-12-30T14:00:00"/>
    <n v="2"/>
    <x v="17"/>
    <s v="-"/>
    <s v="P"/>
    <s v="P"/>
    <s v="P"/>
    <s v="-"/>
    <s v="+"/>
    <n v="10.89"/>
    <s v="-"/>
    <s v="-"/>
    <s v="-"/>
    <s v="-"/>
    <s v="-"/>
    <s v="-"/>
    <s v="-"/>
    <s v="-"/>
    <s v="P"/>
    <s v="P"/>
    <s v="-"/>
    <s v="-"/>
    <n v="1"/>
    <n v="2"/>
    <n v="0"/>
    <s v="-"/>
    <s v="-"/>
    <s v="-"/>
    <s v="-"/>
    <s v="-"/>
    <s v="-"/>
    <s v="-"/>
    <n v="3"/>
    <n v="4"/>
    <s v="-"/>
    <n v="1"/>
    <n v="1"/>
    <n v="2"/>
    <n v="2"/>
    <n v="5"/>
    <n v="6"/>
  </r>
  <r>
    <x v="8"/>
    <x v="194"/>
    <d v="1899-12-30T00:00:00"/>
    <s v="2ND"/>
    <d v="1899-12-30T15:00:00"/>
    <n v="2"/>
    <x v="17"/>
    <s v="-"/>
    <s v="P"/>
    <s v="P"/>
    <s v="P"/>
    <s v="-"/>
    <s v="+"/>
    <n v="10.65"/>
    <s v="-"/>
    <s v="-"/>
    <s v="-"/>
    <s v="-"/>
    <s v="-"/>
    <s v="-"/>
    <s v="-"/>
    <s v="-"/>
    <s v="P"/>
    <s v="P"/>
    <s v="-"/>
    <s v="-"/>
    <n v="1"/>
    <n v="2"/>
    <n v="0"/>
    <s v="-"/>
    <s v="-"/>
    <s v="-"/>
    <s v="-"/>
    <s v="-"/>
    <s v="-"/>
    <s v="-"/>
    <n v="3"/>
    <n v="4"/>
    <s v="-"/>
    <n v="1"/>
    <n v="1"/>
    <n v="2"/>
    <n v="2"/>
    <n v="5"/>
    <n v="6"/>
  </r>
  <r>
    <x v="8"/>
    <x v="194"/>
    <d v="1899-12-30T00:00:00"/>
    <s v="2ND"/>
    <d v="1899-12-30T18:00:00"/>
    <n v="2"/>
    <x v="2"/>
    <s v="-"/>
    <s v="P"/>
    <s v="P"/>
    <s v="P"/>
    <s v="-"/>
    <s v="+"/>
    <n v="10.56"/>
    <n v="9.0500000000000007"/>
    <s v="-"/>
    <n v="57.5"/>
    <s v="-"/>
    <s v="-"/>
    <n v="24.6"/>
    <s v="-"/>
    <s v="-"/>
    <s v="P"/>
    <s v="P"/>
    <s v="-"/>
    <s v="-"/>
    <n v="1"/>
    <n v="2"/>
    <n v="0"/>
    <n v="0"/>
    <s v="-"/>
    <n v="0"/>
    <s v="-"/>
    <s v="-"/>
    <n v="0"/>
    <s v="-"/>
    <n v="3"/>
    <n v="9"/>
    <s v="-"/>
    <n v="1"/>
    <n v="1"/>
    <n v="2"/>
    <n v="2"/>
    <n v="5"/>
    <n v="11"/>
  </r>
  <r>
    <x v="8"/>
    <x v="194"/>
    <d v="1899-12-30T00:00:00"/>
    <s v="2ND"/>
    <d v="1899-12-30T20:00:00"/>
    <n v="2"/>
    <x v="2"/>
    <s v="-"/>
    <s v="P"/>
    <s v="P"/>
    <s v="P"/>
    <s v="-"/>
    <s v="+"/>
    <n v="10.09"/>
    <s v="-"/>
    <s v="-"/>
    <s v="-"/>
    <s v="-"/>
    <s v="-"/>
    <s v="-"/>
    <s v="-"/>
    <s v="-"/>
    <s v="P"/>
    <s v="P"/>
    <s v="-"/>
    <s v="-"/>
    <n v="1"/>
    <n v="2"/>
    <n v="0"/>
    <s v="-"/>
    <s v="-"/>
    <s v="-"/>
    <s v="-"/>
    <s v="-"/>
    <s v="-"/>
    <s v="-"/>
    <n v="3"/>
    <n v="4"/>
    <s v="-"/>
    <n v="1"/>
    <n v="1"/>
    <n v="2"/>
    <n v="2"/>
    <n v="5"/>
    <n v="6"/>
  </r>
  <r>
    <x v="8"/>
    <x v="194"/>
    <d v="1899-12-30T00:00:00"/>
    <s v="2ND"/>
    <d v="1899-12-30T21:00:00"/>
    <n v="2"/>
    <x v="2"/>
    <s v="-"/>
    <s v="P"/>
    <s v="P"/>
    <s v="P"/>
    <s v="-"/>
    <s v="+"/>
    <n v="10.19"/>
    <s v="-"/>
    <s v="-"/>
    <s v="-"/>
    <s v="-"/>
    <s v="-"/>
    <s v="-"/>
    <s v="-"/>
    <s v="-"/>
    <s v="P"/>
    <s v="P"/>
    <s v="-"/>
    <s v="-"/>
    <n v="1"/>
    <n v="2"/>
    <n v="0"/>
    <s v="-"/>
    <s v="-"/>
    <s v="-"/>
    <s v="-"/>
    <s v="-"/>
    <s v="-"/>
    <s v="-"/>
    <n v="3"/>
    <n v="4"/>
    <s v="-"/>
    <n v="1"/>
    <n v="1"/>
    <n v="2"/>
    <n v="2"/>
    <n v="5"/>
    <n v="6"/>
  </r>
  <r>
    <x v="8"/>
    <x v="194"/>
    <d v="2026-08-26T00:00:00"/>
    <s v="2ND"/>
    <d v="1899-12-30T14:00:00"/>
    <n v="3"/>
    <x v="6"/>
    <n v="0.02"/>
    <s v="P"/>
    <s v="P"/>
    <s v="P"/>
    <s v="+"/>
    <s v="+"/>
    <n v="12.62"/>
    <n v="12.72"/>
    <s v="-"/>
    <s v="-"/>
    <s v="-"/>
    <s v="-"/>
    <n v="35.9"/>
    <s v="-"/>
    <s v="-"/>
    <s v="P"/>
    <s v="P"/>
    <s v="80% 20%"/>
    <n v="2"/>
    <n v="1"/>
    <n v="2"/>
    <n v="1"/>
    <n v="1"/>
    <s v="-"/>
    <s v="-"/>
    <s v="-"/>
    <s v="-"/>
    <n v="2"/>
    <s v="-"/>
    <n v="9"/>
    <n v="9"/>
    <s v="-"/>
    <n v="1"/>
    <n v="1"/>
    <n v="2"/>
    <n v="2"/>
    <n v="11"/>
    <n v="11"/>
  </r>
  <r>
    <x v="8"/>
    <x v="194"/>
    <d v="2026-08-26T00:00:00"/>
    <s v="2ND"/>
    <d v="1899-12-30T15:00:00"/>
    <n v="3"/>
    <x v="6"/>
    <n v="0.02"/>
    <s v="P"/>
    <s v="P"/>
    <s v="P"/>
    <s v="+"/>
    <s v="+"/>
    <n v="12.49"/>
    <s v="-"/>
    <s v="-"/>
    <s v="-"/>
    <s v="-"/>
    <s v="-"/>
    <s v="-"/>
    <s v="-"/>
    <s v="-"/>
    <s v="P"/>
    <s v="P"/>
    <s v="-"/>
    <n v="2"/>
    <n v="1"/>
    <n v="2"/>
    <n v="1"/>
    <s v="-"/>
    <s v="-"/>
    <s v="-"/>
    <s v="-"/>
    <s v="-"/>
    <s v="-"/>
    <s v="-"/>
    <n v="6"/>
    <n v="6"/>
    <s v="-"/>
    <n v="1"/>
    <n v="1"/>
    <n v="2"/>
    <n v="2"/>
    <n v="8"/>
    <n v="8"/>
  </r>
  <r>
    <x v="8"/>
    <x v="194"/>
    <d v="2026-08-26T00:00:00"/>
    <s v="2ND"/>
    <d v="1899-12-30T19:00:00"/>
    <n v="3"/>
    <x v="39"/>
    <n v="0.01"/>
    <s v="P"/>
    <s v="P"/>
    <s v="P"/>
    <s v="+"/>
    <s v="+"/>
    <s v="-"/>
    <n v="13.09"/>
    <s v="-"/>
    <n v="64.5"/>
    <s v="-"/>
    <s v="-"/>
    <n v="36.700000000000003"/>
    <s v="-"/>
    <s v="-"/>
    <s v="P"/>
    <s v="P"/>
    <n v="1"/>
    <n v="2"/>
    <n v="1"/>
    <n v="2"/>
    <s v="-"/>
    <n v="1"/>
    <s v="-"/>
    <n v="2"/>
    <s v="-"/>
    <s v="-"/>
    <n v="2"/>
    <s v="-"/>
    <n v="10"/>
    <n v="10"/>
    <s v="-"/>
    <n v="1"/>
    <n v="1"/>
    <n v="2"/>
    <n v="2"/>
    <n v="12"/>
    <n v="12"/>
  </r>
  <r>
    <x v="8"/>
    <x v="194"/>
    <d v="2026-08-26T00:00:00"/>
    <s v="2ND"/>
    <d v="1899-12-30T20:00:00"/>
    <n v="3"/>
    <x v="39"/>
    <n v="0.01"/>
    <s v="P"/>
    <s v="P"/>
    <s v="P"/>
    <s v="+"/>
    <s v="+"/>
    <n v="12.37"/>
    <s v="-"/>
    <s v="-"/>
    <s v="-"/>
    <s v="-"/>
    <s v="-"/>
    <s v="-"/>
    <s v="-"/>
    <s v="-"/>
    <s v="P"/>
    <s v="P"/>
    <s v="85% 5% 10%"/>
    <n v="2"/>
    <n v="1"/>
    <n v="2"/>
    <n v="1"/>
    <s v="-"/>
    <s v="-"/>
    <s v="-"/>
    <s v="-"/>
    <s v="-"/>
    <s v="-"/>
    <s v="-"/>
    <n v="6"/>
    <n v="6"/>
    <s v="-"/>
    <n v="1"/>
    <n v="1"/>
    <n v="2"/>
    <n v="2"/>
    <n v="8"/>
    <n v="8"/>
  </r>
  <r>
    <x v="8"/>
    <x v="194"/>
    <d v="2026-08-26T00:00:00"/>
    <s v="2ND"/>
    <d v="1899-12-30T21:00:00"/>
    <n v="3"/>
    <x v="0"/>
    <n v="0.01"/>
    <s v="P"/>
    <s v="P"/>
    <s v="P"/>
    <s v="+"/>
    <s v="+"/>
    <n v="12.31"/>
    <s v="-"/>
    <s v="-"/>
    <s v="-"/>
    <s v="-"/>
    <s v="-"/>
    <s v="-"/>
    <s v="-"/>
    <s v="-"/>
    <s v="P"/>
    <s v="P"/>
    <s v="-"/>
    <n v="2"/>
    <n v="1"/>
    <n v="2"/>
    <n v="1"/>
    <s v="-"/>
    <s v="-"/>
    <s v="-"/>
    <s v="-"/>
    <s v="-"/>
    <s v="-"/>
    <s v="-"/>
    <n v="6"/>
    <n v="6"/>
    <s v="-"/>
    <n v="1"/>
    <n v="1"/>
    <n v="2"/>
    <n v="2"/>
    <n v="8"/>
    <n v="8"/>
  </r>
  <r>
    <x v="8"/>
    <x v="194"/>
    <d v="1902-03-26T00:00:00"/>
    <s v="3RD"/>
    <d v="1899-12-30T22:00:00"/>
    <n v="2"/>
    <x v="2"/>
    <s v="-"/>
    <s v="P"/>
    <s v="P"/>
    <s v="P"/>
    <s v="-"/>
    <s v="+"/>
    <n v="10.25"/>
    <s v="-"/>
    <s v="-"/>
    <s v="-"/>
    <s v="-"/>
    <s v="-"/>
    <s v="-"/>
    <s v="-"/>
    <s v="-"/>
    <s v="P"/>
    <s v="P"/>
    <s v="-"/>
    <s v="-"/>
    <n v="1"/>
    <n v="2"/>
    <n v="0"/>
    <s v="-"/>
    <s v="-"/>
    <s v="-"/>
    <s v="-"/>
    <s v="-"/>
    <s v="-"/>
    <s v="-"/>
    <n v="3"/>
    <n v="4"/>
    <s v="-"/>
    <n v="1"/>
    <n v="1"/>
    <n v="2"/>
    <n v="2"/>
    <n v="5"/>
    <n v="6"/>
  </r>
  <r>
    <x v="8"/>
    <x v="194"/>
    <d v="1899-12-30T00:00:00"/>
    <s v="3RD"/>
    <d v="1899-12-30T23:00:00"/>
    <n v="2"/>
    <x v="2"/>
    <s v="-"/>
    <s v="P"/>
    <s v="P"/>
    <s v="P"/>
    <s v="-"/>
    <s v="+"/>
    <n v="10.77"/>
    <s v="-"/>
    <s v="-"/>
    <s v="-"/>
    <s v="-"/>
    <s v="-"/>
    <s v="-"/>
    <s v="-"/>
    <s v="-"/>
    <s v="P"/>
    <s v="P"/>
    <s v="-"/>
    <s v="-"/>
    <n v="1"/>
    <n v="2"/>
    <n v="0"/>
    <s v="-"/>
    <s v="-"/>
    <s v="-"/>
    <s v="-"/>
    <s v="-"/>
    <s v="-"/>
    <s v="-"/>
    <n v="3"/>
    <n v="4"/>
    <s v="-"/>
    <n v="1"/>
    <n v="1"/>
    <n v="2"/>
    <n v="2"/>
    <n v="5"/>
    <n v="6"/>
  </r>
  <r>
    <x v="8"/>
    <x v="194"/>
    <d v="1899-12-30T00:00:00"/>
    <s v="3RD"/>
    <d v="1899-12-31T00:00:00"/>
    <n v="2"/>
    <x v="2"/>
    <s v="-"/>
    <s v="P"/>
    <s v="P"/>
    <s v="P"/>
    <s v="-"/>
    <s v="+"/>
    <n v="10.37"/>
    <s v="-"/>
    <s v="-"/>
    <s v="-"/>
    <s v="-"/>
    <s v="-"/>
    <s v="-"/>
    <s v="-"/>
    <s v="-"/>
    <s v="P"/>
    <s v="P"/>
    <s v="-"/>
    <s v="-"/>
    <n v="1"/>
    <n v="2"/>
    <n v="0"/>
    <s v="-"/>
    <s v="-"/>
    <s v="-"/>
    <s v="-"/>
    <s v="-"/>
    <s v="-"/>
    <s v="-"/>
    <n v="3"/>
    <n v="4"/>
    <s v="-"/>
    <n v="1"/>
    <n v="1"/>
    <n v="2"/>
    <n v="2"/>
    <n v="5"/>
    <n v="6"/>
  </r>
  <r>
    <x v="8"/>
    <x v="194"/>
    <d v="1899-12-30T00:00:00"/>
    <s v="3RD"/>
    <d v="1899-12-31T01:00:00"/>
    <n v="2"/>
    <x v="2"/>
    <s v="-"/>
    <s v="P"/>
    <s v="P"/>
    <s v="P"/>
    <s v="-"/>
    <s v="+"/>
    <n v="11.7"/>
    <s v="-"/>
    <s v="-"/>
    <s v="-"/>
    <s v="-"/>
    <s v="-"/>
    <s v="-"/>
    <s v="-"/>
    <s v="-"/>
    <s v="P"/>
    <s v="P"/>
    <s v="-"/>
    <s v="-"/>
    <n v="1"/>
    <n v="2"/>
    <n v="0"/>
    <s v="-"/>
    <s v="-"/>
    <s v="-"/>
    <s v="-"/>
    <s v="-"/>
    <s v="-"/>
    <s v="-"/>
    <n v="3"/>
    <n v="4"/>
    <s v="-"/>
    <n v="1"/>
    <n v="1"/>
    <n v="2"/>
    <n v="2"/>
    <n v="5"/>
    <n v="6"/>
  </r>
  <r>
    <x v="8"/>
    <x v="194"/>
    <d v="1899-12-30T00:00:00"/>
    <s v="3RD"/>
    <d v="1899-12-31T02:00:00"/>
    <n v="2"/>
    <x v="2"/>
    <s v="-"/>
    <s v="P"/>
    <s v="P"/>
    <s v="P"/>
    <s v="-"/>
    <s v="+"/>
    <n v="10.45"/>
    <s v="-"/>
    <s v="-"/>
    <s v="-"/>
    <s v="-"/>
    <s v="-"/>
    <s v="-"/>
    <s v="-"/>
    <s v="-"/>
    <s v="P"/>
    <s v="P"/>
    <s v="-"/>
    <s v="-"/>
    <n v="1"/>
    <n v="2"/>
    <n v="0"/>
    <s v="-"/>
    <s v="-"/>
    <s v="-"/>
    <s v="-"/>
    <s v="-"/>
    <s v="-"/>
    <s v="-"/>
    <n v="3"/>
    <n v="4"/>
    <s v="-"/>
    <n v="1"/>
    <n v="1"/>
    <n v="2"/>
    <n v="2"/>
    <n v="5"/>
    <n v="6"/>
  </r>
  <r>
    <x v="8"/>
    <x v="194"/>
    <d v="1899-12-30T00:00:00"/>
    <s v="3RD"/>
    <d v="1899-12-31T03:00:00"/>
    <n v="2"/>
    <x v="2"/>
    <s v="-"/>
    <s v="P"/>
    <s v="P"/>
    <s v="P"/>
    <s v="-"/>
    <s v="+"/>
    <n v="10.57"/>
    <s v="-"/>
    <s v="-"/>
    <s v="-"/>
    <s v="-"/>
    <s v="-"/>
    <s v="-"/>
    <s v="-"/>
    <s v="-"/>
    <s v="P"/>
    <s v="P"/>
    <s v="-"/>
    <s v="-"/>
    <n v="1"/>
    <n v="2"/>
    <n v="0"/>
    <s v="-"/>
    <s v="-"/>
    <s v="-"/>
    <s v="-"/>
    <s v="-"/>
    <s v="-"/>
    <s v="-"/>
    <n v="3"/>
    <n v="4"/>
    <s v="-"/>
    <n v="1"/>
    <n v="1"/>
    <n v="2"/>
    <n v="2"/>
    <n v="5"/>
    <n v="6"/>
  </r>
  <r>
    <x v="8"/>
    <x v="194"/>
    <d v="1899-12-30T00:00:00"/>
    <s v="3RD"/>
    <d v="1899-12-31T04:00:00"/>
    <n v="2"/>
    <x v="2"/>
    <s v="-"/>
    <s v="P"/>
    <s v="P"/>
    <s v="P"/>
    <s v="-"/>
    <s v="+"/>
    <n v="10.51"/>
    <s v="-"/>
    <s v="-"/>
    <s v="-"/>
    <s v="-"/>
    <s v="-"/>
    <s v="-"/>
    <s v="-"/>
    <s v="-"/>
    <s v="P"/>
    <s v="P"/>
    <s v="-"/>
    <s v="-"/>
    <n v="1"/>
    <n v="2"/>
    <n v="0"/>
    <s v="-"/>
    <s v="-"/>
    <s v="-"/>
    <s v="-"/>
    <s v="-"/>
    <s v="-"/>
    <s v="-"/>
    <n v="3"/>
    <n v="4"/>
    <s v="-"/>
    <n v="1"/>
    <n v="1"/>
    <n v="2"/>
    <n v="2"/>
    <n v="5"/>
    <n v="6"/>
  </r>
  <r>
    <x v="8"/>
    <x v="194"/>
    <d v="2026-08-26T00:00:00"/>
    <s v="3RD"/>
    <d v="1899-12-30T22:00:00"/>
    <n v="3"/>
    <x v="0"/>
    <n v="0.01"/>
    <s v="P"/>
    <s v="P"/>
    <s v="P"/>
    <s v="+"/>
    <s v="+"/>
    <n v="12.4"/>
    <n v="12.93"/>
    <s v="-"/>
    <s v="-"/>
    <s v="-"/>
    <s v="-"/>
    <n v="36.200000000000003"/>
    <s v="-"/>
    <s v="-"/>
    <s v="P"/>
    <s v="P"/>
    <s v="85% 5% 10%"/>
    <n v="2"/>
    <n v="1"/>
    <n v="2"/>
    <n v="1"/>
    <n v="1"/>
    <s v="-"/>
    <s v="-"/>
    <s v="-"/>
    <s v="-"/>
    <n v="2"/>
    <s v="-"/>
    <n v="9"/>
    <n v="9"/>
    <s v="-"/>
    <n v="1"/>
    <n v="1"/>
    <n v="2"/>
    <n v="2"/>
    <n v="11"/>
    <n v="11"/>
  </r>
  <r>
    <x v="8"/>
    <x v="194"/>
    <d v="2026-08-26T00:00:00"/>
    <s v="3RD"/>
    <d v="1899-12-31T00:00:00"/>
    <n v="3"/>
    <x v="1"/>
    <n v="0.01"/>
    <s v="P"/>
    <s v="P"/>
    <s v="P"/>
    <s v="+"/>
    <s v="+"/>
    <n v="12.58"/>
    <s v="-"/>
    <s v="-"/>
    <s v="-"/>
    <s v="-"/>
    <s v="-"/>
    <s v="-"/>
    <s v="-"/>
    <s v="-"/>
    <s v="P"/>
    <s v="P"/>
    <s v="-"/>
    <n v="2"/>
    <n v="1"/>
    <n v="2"/>
    <n v="1"/>
    <s v="-"/>
    <s v="-"/>
    <s v="-"/>
    <s v="-"/>
    <s v="-"/>
    <s v="-"/>
    <s v="-"/>
    <n v="6"/>
    <n v="6"/>
    <s v="-"/>
    <n v="1"/>
    <n v="1"/>
    <n v="2"/>
    <n v="2"/>
    <n v="8"/>
    <n v="8"/>
  </r>
  <r>
    <x v="8"/>
    <x v="194"/>
    <d v="2026-09-03T00:00:00"/>
    <s v="3RD"/>
    <d v="1899-12-31T01:00:00"/>
    <n v="3"/>
    <x v="1"/>
    <s v="-"/>
    <s v="P"/>
    <s v="P"/>
    <s v="P"/>
    <s v="+"/>
    <s v="+"/>
    <n v="12.68"/>
    <n v="12.82"/>
    <s v="-"/>
    <n v="64"/>
    <s v="-"/>
    <s v="-"/>
    <n v="35.799999999999997"/>
    <s v="-"/>
    <s v="-"/>
    <s v="P"/>
    <s v="P"/>
    <s v="-"/>
    <s v="-"/>
    <n v="1"/>
    <n v="2"/>
    <n v="1"/>
    <n v="1"/>
    <s v="-"/>
    <n v="2"/>
    <s v="-"/>
    <s v="-"/>
    <n v="2"/>
    <s v="-"/>
    <n v="9"/>
    <n v="9"/>
    <s v="-"/>
    <n v="1"/>
    <n v="1"/>
    <n v="2"/>
    <n v="2"/>
    <n v="11"/>
    <n v="11"/>
  </r>
  <r>
    <x v="8"/>
    <x v="194"/>
    <d v="2026-09-03T00:00:00"/>
    <s v="3RD"/>
    <d v="1899-12-31T02:00:00"/>
    <n v="3"/>
    <x v="1"/>
    <n v="0.01"/>
    <s v="P"/>
    <s v="P"/>
    <s v="P"/>
    <s v="+"/>
    <s v="+"/>
    <n v="12.68"/>
    <s v="-"/>
    <s v="-"/>
    <s v="-"/>
    <s v="-"/>
    <s v="-"/>
    <s v="-"/>
    <s v="-"/>
    <s v="-"/>
    <s v="P"/>
    <s v="P"/>
    <s v="-"/>
    <n v="2"/>
    <n v="1"/>
    <n v="2"/>
    <n v="1"/>
    <s v="-"/>
    <s v="-"/>
    <s v="-"/>
    <s v="-"/>
    <s v="-"/>
    <s v="-"/>
    <s v="-"/>
    <n v="6"/>
    <n v="6"/>
    <s v="-"/>
    <n v="1"/>
    <n v="1"/>
    <n v="2"/>
    <n v="2"/>
    <n v="8"/>
    <n v="8"/>
  </r>
  <r>
    <x v="8"/>
    <x v="195"/>
    <d v="2026-09-03T00:00:00"/>
    <s v="1ST"/>
    <s v="07:00"/>
    <n v="1"/>
    <x v="20"/>
    <s v="-"/>
    <s v="P"/>
    <s v="P"/>
    <s v="P"/>
    <s v="-"/>
    <s v="-"/>
    <n v="12.44"/>
    <n v="11.42"/>
    <n v="0.48"/>
    <n v="62.7"/>
    <s v="-"/>
    <s v="-"/>
    <n v="31.6"/>
    <s v="-"/>
    <s v="-"/>
    <s v="P"/>
    <s v="P"/>
    <s v="80% 20%"/>
    <s v="-"/>
    <n v="1"/>
    <n v="2"/>
    <n v="1"/>
    <n v="0"/>
    <n v="0"/>
    <n v="2"/>
    <s v="-"/>
    <s v="-"/>
    <n v="2"/>
    <s v="-"/>
    <n v="8"/>
    <n v="11"/>
    <s v="-"/>
    <n v="1"/>
    <n v="1"/>
    <n v="2"/>
    <n v="2"/>
    <n v="10"/>
    <n v="13"/>
  </r>
  <r>
    <x v="8"/>
    <x v="195"/>
    <d v="2026-09-03T00:00:00"/>
    <s v="1ST"/>
    <s v="08:00"/>
    <n v="1"/>
    <x v="20"/>
    <s v="-"/>
    <s v="P"/>
    <s v="P"/>
    <s v="P"/>
    <s v="-"/>
    <s v="-"/>
    <n v="12.77"/>
    <s v="-"/>
    <s v="-"/>
    <s v="-"/>
    <s v="-"/>
    <s v="-"/>
    <s v="-"/>
    <s v="-"/>
    <s v="-"/>
    <s v="P"/>
    <s v="P"/>
    <s v="-"/>
    <s v="-"/>
    <n v="1"/>
    <n v="2"/>
    <n v="1"/>
    <s v="-"/>
    <s v="-"/>
    <s v="-"/>
    <s v="-"/>
    <s v="-"/>
    <s v="-"/>
    <s v="-"/>
    <n v="4"/>
    <n v="4"/>
    <s v="-"/>
    <n v="1"/>
    <n v="1"/>
    <n v="2"/>
    <n v="2"/>
    <n v="6"/>
    <n v="6"/>
  </r>
  <r>
    <x v="8"/>
    <x v="195"/>
    <d v="2026-09-03T00:00:00"/>
    <s v="1ST"/>
    <s v="09:00"/>
    <n v="1"/>
    <x v="20"/>
    <s v="-"/>
    <s v="P"/>
    <s v="P"/>
    <s v="P"/>
    <s v="-"/>
    <s v="-"/>
    <n v="12.44"/>
    <s v="-"/>
    <s v="-"/>
    <s v="-"/>
    <s v="-"/>
    <s v="-"/>
    <s v="-"/>
    <s v="-"/>
    <s v="-"/>
    <s v="P"/>
    <s v="P"/>
    <s v="-"/>
    <s v="-"/>
    <n v="1"/>
    <n v="2"/>
    <n v="1"/>
    <s v="-"/>
    <s v="-"/>
    <s v="-"/>
    <s v="-"/>
    <s v="-"/>
    <s v="-"/>
    <s v="-"/>
    <n v="4"/>
    <n v="4"/>
    <s v="-"/>
    <n v="1"/>
    <n v="1"/>
    <n v="2"/>
    <n v="2"/>
    <n v="6"/>
    <n v="6"/>
  </r>
  <r>
    <x v="8"/>
    <x v="195"/>
    <d v="2026-09-03T00:00:00"/>
    <s v="1ST"/>
    <s v="10:00"/>
    <n v="1"/>
    <x v="20"/>
    <s v="-"/>
    <s v="-"/>
    <s v="P"/>
    <s v="P"/>
    <s v="-"/>
    <s v="-"/>
    <n v="12.77"/>
    <s v="-"/>
    <s v="-"/>
    <s v="-"/>
    <s v="-"/>
    <s v="-"/>
    <s v="-"/>
    <s v="-"/>
    <s v="-"/>
    <s v="P"/>
    <s v="P"/>
    <s v="-"/>
    <s v="-"/>
    <s v="-"/>
    <n v="2"/>
    <n v="1"/>
    <s v="-"/>
    <s v="-"/>
    <s v="-"/>
    <s v="-"/>
    <s v="-"/>
    <s v="-"/>
    <s v="-"/>
    <n v="3"/>
    <n v="3"/>
    <s v="-"/>
    <n v="1"/>
    <n v="1"/>
    <n v="2"/>
    <n v="2"/>
    <n v="5"/>
    <n v="5"/>
  </r>
  <r>
    <x v="8"/>
    <x v="195"/>
    <d v="2026-09-03T00:00:00"/>
    <s v="1ST"/>
    <s v="11:00"/>
    <n v="1"/>
    <x v="20"/>
    <s v="-"/>
    <s v="P"/>
    <s v="P"/>
    <s v="P"/>
    <s v="-"/>
    <s v="-"/>
    <n v="12.63"/>
    <s v="-"/>
    <s v="-"/>
    <s v="-"/>
    <s v="-"/>
    <s v="-"/>
    <s v="-"/>
    <s v="-"/>
    <s v="-"/>
    <s v="P"/>
    <s v="P"/>
    <s v="-"/>
    <s v="-"/>
    <n v="1"/>
    <n v="2"/>
    <n v="1"/>
    <s v="-"/>
    <s v="-"/>
    <s v="-"/>
    <s v="-"/>
    <s v="-"/>
    <s v="-"/>
    <s v="-"/>
    <n v="4"/>
    <n v="4"/>
    <s v="-"/>
    <n v="1"/>
    <n v="1"/>
    <n v="2"/>
    <n v="2"/>
    <n v="6"/>
    <n v="6"/>
  </r>
  <r>
    <x v="8"/>
    <x v="195"/>
    <d v="2026-09-03T00:00:00"/>
    <s v="1ST"/>
    <s v="12:00"/>
    <n v="1"/>
    <x v="20"/>
    <s v="-"/>
    <s v="P"/>
    <s v="P"/>
    <s v="P"/>
    <s v="-"/>
    <s v="-"/>
    <n v="12.47"/>
    <s v="-"/>
    <s v="-"/>
    <s v="-"/>
    <s v="-"/>
    <s v="-"/>
    <s v="-"/>
    <s v="-"/>
    <s v="-"/>
    <s v="P"/>
    <s v="P"/>
    <s v="-"/>
    <s v="-"/>
    <n v="1"/>
    <n v="2"/>
    <n v="1"/>
    <s v="-"/>
    <s v="-"/>
    <s v="-"/>
    <s v="-"/>
    <s v="-"/>
    <s v="-"/>
    <s v="-"/>
    <n v="4"/>
    <n v="4"/>
    <s v="-"/>
    <n v="1"/>
    <n v="1"/>
    <n v="2"/>
    <n v="2"/>
    <n v="6"/>
    <n v="6"/>
  </r>
  <r>
    <x v="8"/>
    <x v="195"/>
    <d v="2026-09-03T00:00:00"/>
    <s v="1ST"/>
    <s v="13:00"/>
    <n v="1"/>
    <x v="20"/>
    <s v="-"/>
    <s v="P"/>
    <s v="P"/>
    <s v="P"/>
    <s v="-"/>
    <s v="-"/>
    <n v="12.55"/>
    <s v="-"/>
    <s v="-"/>
    <s v="-"/>
    <s v="-"/>
    <s v="-"/>
    <s v="-"/>
    <s v="-"/>
    <s v="-"/>
    <s v="P"/>
    <s v="P"/>
    <s v="-"/>
    <s v="-"/>
    <n v="1"/>
    <n v="2"/>
    <n v="1"/>
    <s v="-"/>
    <s v="-"/>
    <s v="-"/>
    <s v="-"/>
    <s v="-"/>
    <s v="-"/>
    <s v="-"/>
    <n v="4"/>
    <n v="4"/>
    <s v="-"/>
    <n v="1"/>
    <n v="1"/>
    <n v="2"/>
    <n v="2"/>
    <n v="6"/>
    <n v="6"/>
  </r>
  <r>
    <x v="8"/>
    <x v="195"/>
    <d v="1902-03-26T00:00:00"/>
    <s v="1ST"/>
    <s v="07:00"/>
    <n v="2"/>
    <x v="5"/>
    <s v="-"/>
    <s v="P"/>
    <s v="P"/>
    <s v="P"/>
    <s v="-"/>
    <s v="+"/>
    <n v="10.71"/>
    <n v="9.2200000000000006"/>
    <n v="0.44"/>
    <n v="54.9"/>
    <s v="-"/>
    <s v="-"/>
    <n v="25.1"/>
    <s v="-"/>
    <s v="-"/>
    <s v="P"/>
    <s v="P"/>
    <s v="-"/>
    <s v="-"/>
    <n v="1"/>
    <n v="2"/>
    <n v="0"/>
    <n v="1"/>
    <n v="2"/>
    <n v="2"/>
    <s v="-"/>
    <s v="-"/>
    <n v="2"/>
    <s v="-"/>
    <n v="10"/>
    <n v="11"/>
    <s v="-"/>
    <n v="1"/>
    <n v="1"/>
    <n v="2"/>
    <n v="2"/>
    <n v="12"/>
    <n v="13"/>
  </r>
  <r>
    <x v="8"/>
    <x v="195"/>
    <d v="1899-12-30T00:00:00"/>
    <s v="1ST"/>
    <s v="08:00"/>
    <n v="2"/>
    <x v="5"/>
    <s v="-"/>
    <s v="P"/>
    <s v="P"/>
    <s v="P"/>
    <s v="-"/>
    <s v="+"/>
    <n v="10.78"/>
    <s v="-"/>
    <s v="-"/>
    <s v="-"/>
    <s v="-"/>
    <s v="-"/>
    <s v="-"/>
    <s v="-"/>
    <s v="-"/>
    <s v="P"/>
    <s v="P"/>
    <s v="-"/>
    <s v="-"/>
    <n v="1"/>
    <n v="2"/>
    <n v="0"/>
    <s v="-"/>
    <s v="-"/>
    <s v="-"/>
    <s v="-"/>
    <s v="-"/>
    <s v="-"/>
    <s v="-"/>
    <n v="3"/>
    <n v="4"/>
    <s v="-"/>
    <n v="1"/>
    <n v="1"/>
    <n v="2"/>
    <n v="2"/>
    <n v="5"/>
    <n v="6"/>
  </r>
  <r>
    <x v="8"/>
    <x v="195"/>
    <d v="1899-12-30T00:00:00"/>
    <s v="1ST"/>
    <s v="09:00"/>
    <n v="2"/>
    <x v="5"/>
    <s v="-"/>
    <s v="P"/>
    <s v="P"/>
    <s v="P"/>
    <s v="-"/>
    <s v="+"/>
    <n v="10.69"/>
    <s v="-"/>
    <s v="-"/>
    <s v="-"/>
    <s v="-"/>
    <s v="-"/>
    <s v="-"/>
    <s v="-"/>
    <s v="-"/>
    <s v="P"/>
    <s v="P"/>
    <s v="-"/>
    <s v="-"/>
    <n v="1"/>
    <n v="2"/>
    <n v="0"/>
    <s v="-"/>
    <s v="-"/>
    <s v="-"/>
    <s v="-"/>
    <s v="-"/>
    <s v="-"/>
    <s v="-"/>
    <n v="3"/>
    <n v="4"/>
    <s v="-"/>
    <n v="1"/>
    <n v="1"/>
    <n v="2"/>
    <n v="2"/>
    <n v="5"/>
    <n v="6"/>
  </r>
  <r>
    <x v="8"/>
    <x v="195"/>
    <d v="1899-12-30T00:00:00"/>
    <s v="1ST"/>
    <s v="10:00"/>
    <n v="2"/>
    <x v="5"/>
    <s v="-"/>
    <s v="P"/>
    <s v="P"/>
    <s v="P"/>
    <s v="-"/>
    <s v="+"/>
    <n v="10.76"/>
    <s v="-"/>
    <s v="-"/>
    <s v="-"/>
    <s v="-"/>
    <s v="-"/>
    <s v="-"/>
    <s v="-"/>
    <s v="-"/>
    <s v="P"/>
    <s v="P"/>
    <s v="-"/>
    <s v="-"/>
    <n v="1"/>
    <n v="2"/>
    <n v="0"/>
    <s v="-"/>
    <s v="-"/>
    <s v="-"/>
    <s v="-"/>
    <s v="-"/>
    <s v="-"/>
    <s v="-"/>
    <n v="3"/>
    <n v="4"/>
    <s v="-"/>
    <n v="1"/>
    <n v="1"/>
    <n v="2"/>
    <n v="2"/>
    <n v="5"/>
    <n v="6"/>
  </r>
  <r>
    <x v="8"/>
    <x v="195"/>
    <d v="1899-12-30T00:00:00"/>
    <s v="1ST"/>
    <s v="12:00"/>
    <n v="2"/>
    <x v="4"/>
    <s v="-"/>
    <s v="P"/>
    <s v="P"/>
    <s v="P"/>
    <s v="-"/>
    <s v="+"/>
    <n v="10.66"/>
    <s v="-"/>
    <s v="-"/>
    <s v="-"/>
    <s v="-"/>
    <s v="-"/>
    <s v="-"/>
    <s v="-"/>
    <s v="-"/>
    <s v="P"/>
    <s v="P"/>
    <s v="-"/>
    <s v="-"/>
    <n v="1"/>
    <n v="2"/>
    <n v="0"/>
    <s v="-"/>
    <s v="-"/>
    <s v="-"/>
    <s v="-"/>
    <s v="-"/>
    <s v="-"/>
    <s v="-"/>
    <n v="3"/>
    <n v="4"/>
    <s v="-"/>
    <n v="1"/>
    <n v="1"/>
    <n v="2"/>
    <n v="2"/>
    <n v="5"/>
    <n v="6"/>
  </r>
  <r>
    <x v="8"/>
    <x v="195"/>
    <d v="2026-09-03T00:00:00"/>
    <s v="1ST"/>
    <s v="07:00"/>
    <n v="3"/>
    <x v="1"/>
    <n v="0.01"/>
    <s v="P"/>
    <s v="P"/>
    <s v="P"/>
    <s v="+"/>
    <s v="+"/>
    <n v="12.44"/>
    <n v="12.86"/>
    <n v="0.57999999999999996"/>
    <n v="64.400000000000006"/>
    <s v="-"/>
    <s v="-"/>
    <n v="36"/>
    <s v="-"/>
    <s v="-"/>
    <s v="P"/>
    <s v="P"/>
    <s v="85% 5% 10%"/>
    <n v="2"/>
    <n v="1"/>
    <n v="2"/>
    <n v="1"/>
    <n v="1"/>
    <n v="2"/>
    <n v="2"/>
    <s v="-"/>
    <s v="-"/>
    <n v="2"/>
    <s v="-"/>
    <n v="13"/>
    <n v="13"/>
    <s v="-"/>
    <n v="1"/>
    <n v="1"/>
    <n v="2"/>
    <n v="2"/>
    <n v="15"/>
    <n v="15"/>
  </r>
  <r>
    <x v="8"/>
    <x v="195"/>
    <d v="2026-09-03T00:00:00"/>
    <s v="1ST"/>
    <s v="10:00"/>
    <n v="3"/>
    <x v="1"/>
    <n v="0.01"/>
    <s v="P"/>
    <s v="P"/>
    <s v="P"/>
    <s v="+"/>
    <s v="+"/>
    <s v="-"/>
    <s v="-"/>
    <s v="-"/>
    <s v="-"/>
    <s v="-"/>
    <s v="-"/>
    <s v="-"/>
    <s v="-"/>
    <s v="-"/>
    <s v="P"/>
    <s v="P"/>
    <s v="-"/>
    <n v="2"/>
    <n v="1"/>
    <n v="2"/>
    <s v="-"/>
    <s v="-"/>
    <s v="-"/>
    <s v="-"/>
    <s v="-"/>
    <s v="-"/>
    <s v="-"/>
    <s v="-"/>
    <n v="5"/>
    <n v="5"/>
    <s v="-"/>
    <n v="1"/>
    <n v="1"/>
    <n v="2"/>
    <n v="2"/>
    <n v="7"/>
    <n v="7"/>
  </r>
  <r>
    <x v="8"/>
    <x v="195"/>
    <d v="2026-09-03T00:00:00"/>
    <s v="1ST"/>
    <s v="12:00"/>
    <n v="3"/>
    <x v="1"/>
    <n v="0.01"/>
    <s v="P"/>
    <s v="P"/>
    <s v="P"/>
    <s v="+"/>
    <s v="+"/>
    <n v="12.19"/>
    <s v="-"/>
    <s v="-"/>
    <s v="-"/>
    <s v="-"/>
    <s v="-"/>
    <s v="-"/>
    <s v="-"/>
    <s v="-"/>
    <s v="P"/>
    <s v="P"/>
    <s v="-"/>
    <n v="2"/>
    <n v="1"/>
    <n v="2"/>
    <n v="1"/>
    <s v="-"/>
    <s v="-"/>
    <s v="-"/>
    <s v="-"/>
    <s v="-"/>
    <s v="-"/>
    <s v="-"/>
    <n v="6"/>
    <n v="6"/>
    <s v="-"/>
    <n v="1"/>
    <n v="1"/>
    <n v="2"/>
    <n v="2"/>
    <n v="8"/>
    <n v="8"/>
  </r>
  <r>
    <x v="8"/>
    <x v="195"/>
    <d v="2026-09-03T00:00:00"/>
    <s v="1ST"/>
    <s v="13:00"/>
    <n v="3"/>
    <x v="1"/>
    <n v="0.01"/>
    <s v="P"/>
    <s v="P"/>
    <s v="P"/>
    <s v="+"/>
    <s v="+"/>
    <n v="12.24"/>
    <s v="-"/>
    <s v="-"/>
    <s v="-"/>
    <s v="-"/>
    <s v="-"/>
    <s v="-"/>
    <s v="-"/>
    <s v="-"/>
    <s v="P"/>
    <s v="P"/>
    <s v="-"/>
    <n v="2"/>
    <n v="1"/>
    <n v="2"/>
    <n v="1"/>
    <s v="-"/>
    <s v="-"/>
    <s v="-"/>
    <s v="-"/>
    <s v="-"/>
    <s v="-"/>
    <s v="-"/>
    <n v="6"/>
    <n v="6"/>
    <s v="-"/>
    <n v="1"/>
    <n v="1"/>
    <n v="2"/>
    <n v="2"/>
    <n v="8"/>
    <n v="8"/>
  </r>
  <r>
    <x v="8"/>
    <x v="195"/>
    <d v="2026-09-03T00:00:00"/>
    <s v="2ND"/>
    <d v="1899-12-30T14:00:00"/>
    <n v="1"/>
    <x v="20"/>
    <s v="-"/>
    <s v="P"/>
    <s v="P"/>
    <s v="P"/>
    <s v="-"/>
    <s v="-"/>
    <n v="12.73"/>
    <n v="12.07"/>
    <s v="-"/>
    <s v="-"/>
    <s v="-"/>
    <s v="-"/>
    <n v="33.5"/>
    <s v="-"/>
    <s v="-"/>
    <s v="P"/>
    <s v="P"/>
    <s v="-"/>
    <s v="-"/>
    <n v="1"/>
    <n v="2"/>
    <n v="1"/>
    <n v="1"/>
    <s v="-"/>
    <s v="-"/>
    <s v="-"/>
    <s v="-"/>
    <n v="2"/>
    <s v="-"/>
    <n v="7"/>
    <n v="7"/>
    <s v="-"/>
    <n v="1"/>
    <n v="1"/>
    <n v="2"/>
    <n v="2"/>
    <n v="9"/>
    <n v="9"/>
  </r>
  <r>
    <x v="8"/>
    <x v="195"/>
    <d v="2026-09-03T00:00:00"/>
    <s v="2ND"/>
    <d v="1899-12-30T15:00:00"/>
    <n v="1"/>
    <x v="20"/>
    <s v="-"/>
    <s v="P"/>
    <s v="P"/>
    <s v="P"/>
    <s v="-"/>
    <s v="-"/>
    <n v="12.57"/>
    <s v="-"/>
    <s v="-"/>
    <s v="-"/>
    <s v="-"/>
    <s v="-"/>
    <s v="-"/>
    <s v="-"/>
    <s v="-"/>
    <s v="P"/>
    <s v="P"/>
    <s v="-"/>
    <s v="-"/>
    <n v="1"/>
    <n v="2"/>
    <n v="1"/>
    <s v="-"/>
    <s v="-"/>
    <s v="-"/>
    <s v="-"/>
    <s v="-"/>
    <s v="-"/>
    <s v="-"/>
    <n v="4"/>
    <n v="4"/>
    <s v="-"/>
    <n v="1"/>
    <n v="1"/>
    <n v="2"/>
    <n v="2"/>
    <n v="6"/>
    <n v="6"/>
  </r>
  <r>
    <x v="8"/>
    <x v="195"/>
    <d v="2026-09-03T00:00:00"/>
    <s v="2ND"/>
    <d v="1899-12-30T16:00:00"/>
    <n v="1"/>
    <x v="20"/>
    <s v="-"/>
    <s v="P"/>
    <s v="P"/>
    <s v="P"/>
    <s v="-"/>
    <s v="-"/>
    <n v="12.48"/>
    <s v="-"/>
    <s v="-"/>
    <s v="-"/>
    <s v="-"/>
    <s v="-"/>
    <s v="-"/>
    <s v="-"/>
    <s v="-"/>
    <s v="P"/>
    <s v="P"/>
    <s v="-"/>
    <s v="-"/>
    <n v="1"/>
    <n v="2"/>
    <n v="1"/>
    <s v="-"/>
    <s v="-"/>
    <s v="-"/>
    <s v="-"/>
    <s v="-"/>
    <s v="-"/>
    <s v="-"/>
    <n v="4"/>
    <n v="4"/>
    <s v="-"/>
    <n v="1"/>
    <n v="1"/>
    <n v="2"/>
    <n v="2"/>
    <n v="6"/>
    <n v="6"/>
  </r>
  <r>
    <x v="8"/>
    <x v="195"/>
    <d v="2026-09-03T00:00:00"/>
    <s v="2ND"/>
    <d v="1899-12-30T18:00:00"/>
    <n v="1"/>
    <x v="20"/>
    <n v="0.03"/>
    <s v="-"/>
    <s v="P"/>
    <s v="P"/>
    <s v="-"/>
    <s v="-"/>
    <n v="12.58"/>
    <s v="-"/>
    <s v="-"/>
    <s v="-"/>
    <s v="-"/>
    <s v="-"/>
    <s v="-"/>
    <s v="-"/>
    <s v="-"/>
    <s v="P"/>
    <s v="P"/>
    <s v="-"/>
    <n v="0"/>
    <s v="-"/>
    <n v="2"/>
    <n v="1"/>
    <s v="-"/>
    <s v="-"/>
    <s v="-"/>
    <s v="-"/>
    <s v="-"/>
    <s v="-"/>
    <s v="-"/>
    <n v="3"/>
    <n v="5"/>
    <s v="-"/>
    <n v="1"/>
    <n v="1"/>
    <n v="2"/>
    <n v="2"/>
    <n v="5"/>
    <n v="7"/>
  </r>
  <r>
    <x v="8"/>
    <x v="195"/>
    <d v="2026-09-03T00:00:00"/>
    <s v="2ND"/>
    <d v="1899-12-30T19:00:00"/>
    <n v="1"/>
    <x v="20"/>
    <n v="0.04"/>
    <s v="P"/>
    <s v="P"/>
    <s v="P"/>
    <s v="-"/>
    <s v="-"/>
    <n v="12.64"/>
    <s v="-"/>
    <s v="-"/>
    <s v="-"/>
    <s v="-"/>
    <s v="-"/>
    <s v="-"/>
    <s v="-"/>
    <s v="-"/>
    <s v="P"/>
    <s v="P"/>
    <s v="-"/>
    <n v="0"/>
    <n v="1"/>
    <n v="2"/>
    <n v="1"/>
    <s v="-"/>
    <s v="-"/>
    <s v="-"/>
    <s v="-"/>
    <s v="-"/>
    <s v="-"/>
    <s v="-"/>
    <n v="4"/>
    <n v="6"/>
    <s v="-"/>
    <n v="1"/>
    <n v="1"/>
    <n v="2"/>
    <n v="2"/>
    <n v="6"/>
    <n v="8"/>
  </r>
  <r>
    <x v="8"/>
    <x v="195"/>
    <d v="2026-09-03T00:00:00"/>
    <s v="2ND"/>
    <d v="1899-12-30T20:00:00"/>
    <n v="1"/>
    <x v="20"/>
    <n v="0.02"/>
    <s v="P"/>
    <s v="P"/>
    <s v="P"/>
    <s v="-"/>
    <s v="-"/>
    <n v="12.78"/>
    <s v="-"/>
    <s v="-"/>
    <s v="-"/>
    <s v="-"/>
    <s v="-"/>
    <s v="-"/>
    <s v="-"/>
    <s v="-"/>
    <s v="P"/>
    <s v="P"/>
    <s v="-"/>
    <n v="2"/>
    <n v="1"/>
    <n v="2"/>
    <n v="1"/>
    <s v="-"/>
    <s v="-"/>
    <s v="-"/>
    <s v="-"/>
    <s v="-"/>
    <s v="-"/>
    <s v="-"/>
    <n v="6"/>
    <n v="6"/>
    <s v="-"/>
    <n v="1"/>
    <n v="1"/>
    <n v="2"/>
    <n v="2"/>
    <n v="8"/>
    <n v="8"/>
  </r>
  <r>
    <x v="8"/>
    <x v="195"/>
    <d v="2026-09-03T00:00:00"/>
    <s v="2ND"/>
    <d v="1899-12-30T21:00:00"/>
    <n v="1"/>
    <x v="20"/>
    <n v="0.02"/>
    <s v="P"/>
    <s v="P"/>
    <s v="P"/>
    <s v="-"/>
    <s v="-"/>
    <n v="12.67"/>
    <s v="-"/>
    <s v="-"/>
    <s v="-"/>
    <s v="-"/>
    <s v="-"/>
    <s v="-"/>
    <s v="-"/>
    <s v="-"/>
    <s v="P"/>
    <s v="P"/>
    <s v="-"/>
    <n v="2"/>
    <n v="1"/>
    <n v="2"/>
    <n v="1"/>
    <s v="-"/>
    <s v="-"/>
    <s v="-"/>
    <s v="-"/>
    <s v="-"/>
    <s v="-"/>
    <s v="-"/>
    <n v="6"/>
    <n v="6"/>
    <s v="-"/>
    <n v="1"/>
    <n v="1"/>
    <n v="2"/>
    <n v="2"/>
    <n v="8"/>
    <n v="8"/>
  </r>
  <r>
    <x v="8"/>
    <x v="195"/>
    <d v="1899-12-30T00:00:00"/>
    <s v="2ND"/>
    <d v="1899-12-30T14:00:00"/>
    <n v="2"/>
    <x v="4"/>
    <s v="-"/>
    <s v="P"/>
    <s v="P"/>
    <s v="P"/>
    <s v="-"/>
    <s v="+"/>
    <n v="10.89"/>
    <s v="-"/>
    <s v="-"/>
    <s v="-"/>
    <s v="-"/>
    <s v="-"/>
    <s v="-"/>
    <s v="-"/>
    <s v="-"/>
    <s v="P"/>
    <s v="P"/>
    <s v="-"/>
    <s v="-"/>
    <n v="1"/>
    <n v="2"/>
    <n v="0"/>
    <s v="-"/>
    <s v="-"/>
    <s v="-"/>
    <s v="-"/>
    <s v="-"/>
    <s v="-"/>
    <s v="-"/>
    <n v="3"/>
    <n v="4"/>
    <s v="-"/>
    <n v="1"/>
    <n v="1"/>
    <n v="2"/>
    <n v="2"/>
    <n v="5"/>
    <n v="6"/>
  </r>
  <r>
    <x v="8"/>
    <x v="195"/>
    <d v="1899-12-30T00:00:00"/>
    <s v="2ND"/>
    <d v="1899-12-30T15:00:00"/>
    <n v="2"/>
    <x v="4"/>
    <s v="-"/>
    <s v="P"/>
    <s v="P"/>
    <s v="P"/>
    <s v="-"/>
    <s v="+"/>
    <n v="10.78"/>
    <s v="-"/>
    <s v="-"/>
    <s v="-"/>
    <s v="-"/>
    <s v="-"/>
    <s v="-"/>
    <s v="-"/>
    <s v="-"/>
    <s v="P"/>
    <s v="P"/>
    <s v="-"/>
    <s v="-"/>
    <n v="1"/>
    <n v="2"/>
    <n v="0"/>
    <s v="-"/>
    <s v="-"/>
    <s v="-"/>
    <s v="-"/>
    <s v="-"/>
    <s v="-"/>
    <s v="-"/>
    <n v="3"/>
    <n v="4"/>
    <s v="-"/>
    <n v="1"/>
    <n v="1"/>
    <n v="2"/>
    <n v="2"/>
    <n v="5"/>
    <n v="6"/>
  </r>
  <r>
    <x v="8"/>
    <x v="195"/>
    <d v="1899-12-30T00:00:00"/>
    <s v="2ND"/>
    <d v="1899-12-30T16:00:00"/>
    <n v="2"/>
    <x v="4"/>
    <s v="-"/>
    <s v="P"/>
    <s v="P"/>
    <s v="P"/>
    <s v="-"/>
    <s v="+"/>
    <n v="10.83"/>
    <s v="-"/>
    <s v="-"/>
    <s v="-"/>
    <s v="-"/>
    <s v="-"/>
    <s v="-"/>
    <s v="-"/>
    <s v="-"/>
    <s v="P"/>
    <s v="P"/>
    <s v="-"/>
    <s v="-"/>
    <n v="1"/>
    <n v="2"/>
    <n v="0"/>
    <s v="-"/>
    <s v="-"/>
    <s v="-"/>
    <s v="-"/>
    <s v="-"/>
    <s v="-"/>
    <s v="-"/>
    <n v="3"/>
    <n v="4"/>
    <s v="-"/>
    <n v="1"/>
    <n v="1"/>
    <n v="2"/>
    <n v="2"/>
    <n v="5"/>
    <n v="6"/>
  </r>
  <r>
    <x v="8"/>
    <x v="195"/>
    <d v="1899-12-30T00:00:00"/>
    <s v="2ND"/>
    <d v="1899-12-30T18:00:00"/>
    <n v="2"/>
    <x v="7"/>
    <s v="-"/>
    <s v="P"/>
    <s v="P"/>
    <s v="P"/>
    <s v="-"/>
    <s v="+"/>
    <n v="11.11"/>
    <n v="10.45"/>
    <n v="0.53"/>
    <n v="53.8"/>
    <n v="12.7"/>
    <n v="312"/>
    <n v="29"/>
    <s v="-"/>
    <s v="-"/>
    <s v="P"/>
    <s v="P"/>
    <s v="-"/>
    <s v="-"/>
    <n v="1"/>
    <n v="2"/>
    <n v="1"/>
    <n v="1"/>
    <n v="2"/>
    <n v="0"/>
    <n v="1"/>
    <n v="1"/>
    <n v="0"/>
    <s v="-"/>
    <n v="9"/>
    <n v="13"/>
    <s v="-"/>
    <n v="1"/>
    <n v="1"/>
    <n v="2"/>
    <n v="2"/>
    <n v="11"/>
    <n v="15"/>
  </r>
  <r>
    <x v="8"/>
    <x v="195"/>
    <d v="1899-12-30T00:00:00"/>
    <s v="2ND"/>
    <d v="1899-12-30T19:00:00"/>
    <n v="2"/>
    <x v="7"/>
    <s v="-"/>
    <s v="P"/>
    <s v="P"/>
    <s v="P"/>
    <s v="-"/>
    <s v="+"/>
    <n v="10.72"/>
    <s v="-"/>
    <s v="-"/>
    <s v="-"/>
    <s v="-"/>
    <s v="-"/>
    <s v="-"/>
    <s v="-"/>
    <s v="-"/>
    <s v="P"/>
    <s v="P"/>
    <s v="-"/>
    <s v="-"/>
    <n v="1"/>
    <n v="2"/>
    <n v="0"/>
    <s v="-"/>
    <s v="-"/>
    <s v="-"/>
    <s v="-"/>
    <s v="-"/>
    <s v="-"/>
    <s v="-"/>
    <n v="3"/>
    <n v="4"/>
    <s v="-"/>
    <n v="1"/>
    <n v="1"/>
    <n v="2"/>
    <n v="2"/>
    <n v="5"/>
    <n v="6"/>
  </r>
  <r>
    <x v="8"/>
    <x v="195"/>
    <d v="1899-12-30T00:00:00"/>
    <s v="2ND"/>
    <d v="1899-12-30T20:00:00"/>
    <n v="2"/>
    <x v="7"/>
    <s v="-"/>
    <s v="P"/>
    <s v="P"/>
    <s v="P"/>
    <s v="-"/>
    <s v="+"/>
    <n v="10.63"/>
    <s v="-"/>
    <s v="-"/>
    <s v="-"/>
    <s v="-"/>
    <s v="-"/>
    <s v="-"/>
    <s v="-"/>
    <s v="-"/>
    <s v="P"/>
    <s v="P"/>
    <s v="-"/>
    <s v="-"/>
    <n v="1"/>
    <n v="2"/>
    <n v="0"/>
    <s v="-"/>
    <s v="-"/>
    <s v="-"/>
    <s v="-"/>
    <s v="-"/>
    <s v="-"/>
    <s v="-"/>
    <n v="3"/>
    <n v="4"/>
    <s v="-"/>
    <n v="1"/>
    <n v="1"/>
    <n v="2"/>
    <n v="2"/>
    <n v="5"/>
    <n v="6"/>
  </r>
  <r>
    <x v="8"/>
    <x v="195"/>
    <d v="1899-12-30T00:00:00"/>
    <s v="2ND"/>
    <d v="1899-12-30T21:00:00"/>
    <n v="2"/>
    <x v="7"/>
    <s v="-"/>
    <s v="P"/>
    <s v="P"/>
    <s v="P"/>
    <s v="-"/>
    <s v="+"/>
    <n v="10.78"/>
    <s v="-"/>
    <s v="-"/>
    <s v="-"/>
    <s v="-"/>
    <s v="-"/>
    <s v="-"/>
    <s v="-"/>
    <s v="-"/>
    <s v="P"/>
    <s v="P"/>
    <s v="-"/>
    <s v="-"/>
    <n v="1"/>
    <n v="2"/>
    <n v="0"/>
    <s v="-"/>
    <s v="-"/>
    <s v="-"/>
    <s v="-"/>
    <s v="-"/>
    <s v="-"/>
    <s v="-"/>
    <n v="3"/>
    <n v="4"/>
    <s v="-"/>
    <n v="1"/>
    <n v="1"/>
    <n v="2"/>
    <n v="2"/>
    <n v="5"/>
    <n v="6"/>
  </r>
  <r>
    <x v="8"/>
    <x v="195"/>
    <d v="2026-09-03T00:00:00"/>
    <s v="2ND"/>
    <d v="1899-12-30T14:00:00"/>
    <n v="3"/>
    <x v="1"/>
    <n v="0.01"/>
    <s v="P"/>
    <s v="P"/>
    <s v="P"/>
    <s v="+"/>
    <s v="+"/>
    <n v="12.38"/>
    <n v="12.74"/>
    <s v="-"/>
    <s v="-"/>
    <s v="-"/>
    <s v="-"/>
    <n v="35.6"/>
    <s v="-"/>
    <s v="-"/>
    <s v="P"/>
    <s v="P"/>
    <s v="-"/>
    <n v="2"/>
    <n v="1"/>
    <n v="2"/>
    <n v="1"/>
    <n v="1"/>
    <s v="-"/>
    <s v="-"/>
    <s v="-"/>
    <s v="-"/>
    <n v="2"/>
    <s v="-"/>
    <n v="9"/>
    <n v="9"/>
    <s v="-"/>
    <n v="1"/>
    <n v="1"/>
    <n v="2"/>
    <n v="2"/>
    <n v="11"/>
    <n v="11"/>
  </r>
  <r>
    <x v="8"/>
    <x v="195"/>
    <d v="2026-09-03T00:00:00"/>
    <s v="2ND"/>
    <d v="1899-12-30T15:00:00"/>
    <n v="3"/>
    <x v="1"/>
    <n v="0.01"/>
    <s v="P"/>
    <s v="P"/>
    <s v="P"/>
    <s v="+"/>
    <s v="+"/>
    <n v="12.3"/>
    <s v="-"/>
    <s v="-"/>
    <s v="-"/>
    <s v="-"/>
    <s v="-"/>
    <s v="-"/>
    <s v="-"/>
    <s v="-"/>
    <s v="P"/>
    <s v="P"/>
    <s v="-"/>
    <n v="2"/>
    <n v="1"/>
    <n v="2"/>
    <n v="1"/>
    <s v="-"/>
    <s v="-"/>
    <s v="-"/>
    <s v="-"/>
    <s v="-"/>
    <s v="-"/>
    <s v="-"/>
    <n v="6"/>
    <n v="6"/>
    <s v="-"/>
    <n v="1"/>
    <n v="1"/>
    <n v="2"/>
    <n v="2"/>
    <n v="8"/>
    <n v="8"/>
  </r>
  <r>
    <x v="8"/>
    <x v="195"/>
    <d v="2026-09-03T00:00:00"/>
    <s v="2ND"/>
    <d v="1899-12-30T16:00:00"/>
    <n v="3"/>
    <x v="1"/>
    <n v="0.01"/>
    <s v="P"/>
    <s v="P"/>
    <s v="P"/>
    <s v="+"/>
    <s v="+"/>
    <n v="12.23"/>
    <s v="-"/>
    <s v="-"/>
    <s v="-"/>
    <s v="-"/>
    <s v="-"/>
    <s v="-"/>
    <s v="-"/>
    <s v="-"/>
    <s v="P"/>
    <s v="P"/>
    <s v="-"/>
    <n v="2"/>
    <n v="1"/>
    <n v="2"/>
    <n v="1"/>
    <s v="-"/>
    <s v="-"/>
    <s v="-"/>
    <s v="-"/>
    <s v="-"/>
    <s v="-"/>
    <s v="-"/>
    <n v="6"/>
    <n v="6"/>
    <s v="-"/>
    <n v="1"/>
    <n v="1"/>
    <n v="2"/>
    <n v="2"/>
    <n v="8"/>
    <n v="8"/>
  </r>
  <r>
    <x v="8"/>
    <x v="195"/>
    <d v="2026-09-03T00:00:00"/>
    <s v="2ND"/>
    <d v="1899-12-30T19:00:00"/>
    <n v="3"/>
    <x v="1"/>
    <n v="0.02"/>
    <s v="P"/>
    <s v="P"/>
    <s v="P"/>
    <s v="+"/>
    <s v="+"/>
    <s v="-"/>
    <s v="-"/>
    <s v="-"/>
    <n v="63.4"/>
    <s v="-"/>
    <s v="-"/>
    <n v="35.5"/>
    <s v="-"/>
    <s v="-"/>
    <s v="P"/>
    <s v="P"/>
    <s v="-"/>
    <n v="2"/>
    <n v="1"/>
    <n v="2"/>
    <s v="-"/>
    <s v="-"/>
    <s v="-"/>
    <n v="0"/>
    <s v="-"/>
    <s v="-"/>
    <n v="2"/>
    <s v="-"/>
    <n v="7"/>
    <n v="9"/>
    <s v="-"/>
    <n v="1"/>
    <n v="1"/>
    <n v="2"/>
    <n v="2"/>
    <n v="9"/>
    <n v="11"/>
  </r>
  <r>
    <x v="8"/>
    <x v="195"/>
    <d v="2026-09-03T00:00:00"/>
    <s v="2ND"/>
    <d v="1899-12-30T20:00:00"/>
    <n v="3"/>
    <x v="1"/>
    <n v="0.02"/>
    <s v="P"/>
    <s v="P"/>
    <s v="P"/>
    <s v="+"/>
    <s v="+"/>
    <n v="12.44"/>
    <s v="-"/>
    <s v="-"/>
    <s v="-"/>
    <s v="-"/>
    <s v="-"/>
    <s v="-"/>
    <s v="-"/>
    <s v="-"/>
    <s v="P"/>
    <s v="P"/>
    <s v="-"/>
    <n v="2"/>
    <n v="1"/>
    <n v="2"/>
    <n v="1"/>
    <s v="-"/>
    <s v="-"/>
    <s v="-"/>
    <s v="-"/>
    <s v="-"/>
    <s v="-"/>
    <s v="-"/>
    <n v="6"/>
    <n v="6"/>
    <s v="-"/>
    <n v="1"/>
    <n v="1"/>
    <n v="2"/>
    <n v="2"/>
    <n v="8"/>
    <n v="8"/>
  </r>
  <r>
    <x v="8"/>
    <x v="195"/>
    <d v="2026-09-03T00:00:00"/>
    <s v="2ND"/>
    <d v="1899-12-30T21:00:00"/>
    <n v="3"/>
    <x v="1"/>
    <n v="0.01"/>
    <s v="P"/>
    <s v="P"/>
    <s v="P"/>
    <s v="+"/>
    <s v="+"/>
    <n v="12.68"/>
    <s v="-"/>
    <s v="-"/>
    <s v="-"/>
    <s v="-"/>
    <s v="-"/>
    <s v="-"/>
    <s v="-"/>
    <s v="-"/>
    <s v="P"/>
    <s v="P"/>
    <s v="-"/>
    <n v="2"/>
    <n v="1"/>
    <n v="2"/>
    <n v="1"/>
    <s v="-"/>
    <s v="-"/>
    <s v="-"/>
    <s v="-"/>
    <s v="-"/>
    <s v="-"/>
    <s v="-"/>
    <n v="6"/>
    <n v="6"/>
    <s v="-"/>
    <n v="1"/>
    <n v="1"/>
    <n v="2"/>
    <n v="2"/>
    <n v="8"/>
    <n v="8"/>
  </r>
  <r>
    <x v="8"/>
    <x v="196"/>
    <d v="2026-09-03T00:00:00"/>
    <s v="1ST"/>
    <s v="06:00"/>
    <n v="1"/>
    <x v="20"/>
    <s v="-"/>
    <s v="P"/>
    <s v="P"/>
    <s v="P"/>
    <s v="-"/>
    <s v="-"/>
    <n v="12.37"/>
    <n v="12.3"/>
    <n v="0.59"/>
    <n v="64.7"/>
    <s v="-"/>
    <s v="-"/>
    <n v="34.4"/>
    <s v="-"/>
    <s v="-"/>
    <s v="P"/>
    <s v="P"/>
    <s v="80% 20%"/>
    <s v="-"/>
    <n v="1"/>
    <n v="2"/>
    <n v="1"/>
    <n v="1"/>
    <n v="2"/>
    <n v="2"/>
    <s v="-"/>
    <s v="-"/>
    <n v="2"/>
    <s v="-"/>
    <n v="11"/>
    <n v="11"/>
    <s v="-"/>
    <n v="1"/>
    <n v="1"/>
    <n v="2"/>
    <n v="2"/>
    <n v="13"/>
    <n v="13"/>
  </r>
  <r>
    <x v="8"/>
    <x v="196"/>
    <d v="2026-09-03T00:00:00"/>
    <s v="1ST"/>
    <s v="07:00"/>
    <n v="1"/>
    <x v="20"/>
    <s v="-"/>
    <s v="P"/>
    <s v="P"/>
    <s v="P"/>
    <s v="-"/>
    <s v="-"/>
    <n v="12.17"/>
    <s v="-"/>
    <s v="-"/>
    <s v="-"/>
    <s v="-"/>
    <s v="-"/>
    <s v="-"/>
    <s v="-"/>
    <s v="-"/>
    <s v="P"/>
    <s v="P"/>
    <s v="-"/>
    <s v="-"/>
    <n v="1"/>
    <n v="2"/>
    <n v="1"/>
    <s v="-"/>
    <s v="-"/>
    <s v="-"/>
    <s v="-"/>
    <s v="-"/>
    <s v="-"/>
    <s v="-"/>
    <n v="4"/>
    <n v="4"/>
    <s v="-"/>
    <n v="1"/>
    <n v="1"/>
    <n v="2"/>
    <n v="2"/>
    <n v="6"/>
    <n v="6"/>
  </r>
  <r>
    <x v="8"/>
    <x v="196"/>
    <d v="2026-09-04T00:00:00"/>
    <s v="1ST"/>
    <s v="09:00"/>
    <n v="1"/>
    <x v="22"/>
    <s v="-"/>
    <s v="P"/>
    <s v="P"/>
    <s v="P"/>
    <s v="-"/>
    <s v="-"/>
    <n v="11.2"/>
    <n v="9.57"/>
    <n v="0.56000000000000005"/>
    <n v="54.3"/>
    <s v="-"/>
    <s v="-"/>
    <n v="26.1"/>
    <s v="-"/>
    <s v="-"/>
    <s v="P"/>
    <s v="P"/>
    <n v="1"/>
    <s v="-"/>
    <n v="1"/>
    <n v="2"/>
    <n v="1"/>
    <n v="1"/>
    <n v="2"/>
    <n v="2"/>
    <s v="-"/>
    <s v="-"/>
    <n v="2"/>
    <s v="-"/>
    <n v="11"/>
    <n v="11"/>
    <s v="-"/>
    <n v="1"/>
    <n v="1"/>
    <n v="2"/>
    <n v="2"/>
    <n v="13"/>
    <n v="13"/>
  </r>
  <r>
    <x v="8"/>
    <x v="196"/>
    <d v="2026-09-04T00:00:00"/>
    <s v="1ST"/>
    <s v="10:00"/>
    <n v="1"/>
    <x v="22"/>
    <s v="-"/>
    <s v="-"/>
    <s v="P"/>
    <s v="P"/>
    <s v="-"/>
    <s v="-"/>
    <n v="11.222"/>
    <s v="-"/>
    <s v="-"/>
    <s v="-"/>
    <s v="-"/>
    <s v="-"/>
    <s v="-"/>
    <s v="-"/>
    <s v="-"/>
    <s v="P"/>
    <s v="P"/>
    <s v="-"/>
    <s v="-"/>
    <s v="-"/>
    <n v="2"/>
    <n v="1"/>
    <s v="-"/>
    <s v="-"/>
    <s v="-"/>
    <s v="-"/>
    <s v="-"/>
    <s v="-"/>
    <s v="-"/>
    <n v="3"/>
    <n v="3"/>
    <s v="-"/>
    <n v="1"/>
    <n v="1"/>
    <n v="2"/>
    <n v="2"/>
    <n v="5"/>
    <n v="5"/>
  </r>
  <r>
    <x v="8"/>
    <x v="196"/>
    <d v="2026-09-04T00:00:00"/>
    <s v="1ST"/>
    <s v="11:00"/>
    <n v="1"/>
    <x v="22"/>
    <s v="-"/>
    <s v="P"/>
    <s v="P"/>
    <s v="P"/>
    <s v="-"/>
    <s v="-"/>
    <n v="11.12"/>
    <s v="-"/>
    <s v="-"/>
    <s v="-"/>
    <s v="-"/>
    <s v="-"/>
    <s v="-"/>
    <s v="-"/>
    <s v="-"/>
    <s v="P"/>
    <s v="P"/>
    <s v="-"/>
    <s v="-"/>
    <n v="1"/>
    <n v="2"/>
    <n v="1"/>
    <s v="-"/>
    <s v="-"/>
    <s v="-"/>
    <s v="-"/>
    <s v="-"/>
    <s v="-"/>
    <s v="-"/>
    <n v="4"/>
    <n v="4"/>
    <s v="-"/>
    <n v="1"/>
    <n v="1"/>
    <n v="2"/>
    <n v="2"/>
    <n v="6"/>
    <n v="6"/>
  </r>
  <r>
    <x v="8"/>
    <x v="196"/>
    <d v="2026-09-04T00:00:00"/>
    <s v="1ST"/>
    <s v="12:00"/>
    <n v="1"/>
    <x v="22"/>
    <s v="-"/>
    <s v="P"/>
    <s v="P"/>
    <s v="P"/>
    <s v="-"/>
    <s v="-"/>
    <n v="11.18"/>
    <s v="-"/>
    <s v="-"/>
    <s v="-"/>
    <s v="-"/>
    <s v="-"/>
    <s v="-"/>
    <s v="-"/>
    <s v="-"/>
    <s v="P"/>
    <s v="P"/>
    <s v="-"/>
    <s v="-"/>
    <n v="1"/>
    <n v="2"/>
    <n v="1"/>
    <s v="-"/>
    <s v="-"/>
    <s v="-"/>
    <s v="-"/>
    <s v="-"/>
    <s v="-"/>
    <s v="-"/>
    <n v="4"/>
    <n v="4"/>
    <s v="-"/>
    <n v="1"/>
    <n v="1"/>
    <n v="2"/>
    <n v="2"/>
    <n v="6"/>
    <n v="6"/>
  </r>
  <r>
    <x v="8"/>
    <x v="196"/>
    <d v="2026-09-04T00:00:00"/>
    <s v="1ST"/>
    <s v="13:00"/>
    <n v="1"/>
    <x v="22"/>
    <s v="-"/>
    <s v="P"/>
    <s v="P"/>
    <s v="P"/>
    <s v="-"/>
    <s v="-"/>
    <n v="10.56"/>
    <s v="-"/>
    <s v="-"/>
    <s v="-"/>
    <s v="-"/>
    <s v="-"/>
    <s v="-"/>
    <s v="-"/>
    <s v="-"/>
    <s v="P"/>
    <s v="P"/>
    <s v="-"/>
    <s v="-"/>
    <n v="1"/>
    <n v="2"/>
    <n v="0"/>
    <s v="-"/>
    <s v="-"/>
    <s v="-"/>
    <s v="-"/>
    <s v="-"/>
    <s v="-"/>
    <s v="-"/>
    <n v="3"/>
    <n v="4"/>
    <s v="-"/>
    <n v="1"/>
    <n v="1"/>
    <n v="2"/>
    <n v="2"/>
    <n v="5"/>
    <n v="6"/>
  </r>
  <r>
    <x v="8"/>
    <x v="196"/>
    <d v="1902-03-26T00:00:00"/>
    <s v="1ST"/>
    <s v="06:00"/>
    <n v="2"/>
    <x v="7"/>
    <s v="-"/>
    <s v="P"/>
    <s v="P"/>
    <s v="P"/>
    <s v="-"/>
    <s v="+"/>
    <n v="10.59"/>
    <s v="-"/>
    <s v="-"/>
    <s v="-"/>
    <s v="-"/>
    <s v="-"/>
    <s v="-"/>
    <s v="-"/>
    <s v="-"/>
    <s v="P"/>
    <s v="P"/>
    <s v="-"/>
    <s v="-"/>
    <n v="1"/>
    <n v="2"/>
    <n v="0"/>
    <s v="-"/>
    <s v="-"/>
    <s v="-"/>
    <s v="-"/>
    <s v="-"/>
    <s v="-"/>
    <s v="-"/>
    <n v="3"/>
    <n v="4"/>
    <s v="-"/>
    <n v="1"/>
    <n v="1"/>
    <n v="2"/>
    <n v="2"/>
    <n v="5"/>
    <n v="6"/>
  </r>
  <r>
    <x v="8"/>
    <x v="196"/>
    <d v="1899-12-30T00:00:00"/>
    <s v="1ST"/>
    <s v="07:00"/>
    <n v="2"/>
    <x v="7"/>
    <s v="-"/>
    <s v="P"/>
    <s v="P"/>
    <s v="P"/>
    <s v="-"/>
    <s v="+"/>
    <n v="10.62"/>
    <s v="-"/>
    <s v="-"/>
    <s v="-"/>
    <s v="-"/>
    <s v="-"/>
    <s v="-"/>
    <s v="-"/>
    <s v="-"/>
    <s v="P"/>
    <s v="P"/>
    <s v="-"/>
    <s v="-"/>
    <n v="1"/>
    <n v="2"/>
    <n v="0"/>
    <s v="-"/>
    <s v="-"/>
    <s v="-"/>
    <s v="-"/>
    <s v="-"/>
    <s v="-"/>
    <s v="-"/>
    <n v="3"/>
    <n v="4"/>
    <s v="-"/>
    <n v="1"/>
    <n v="1"/>
    <n v="2"/>
    <n v="2"/>
    <n v="5"/>
    <n v="6"/>
  </r>
  <r>
    <x v="8"/>
    <x v="196"/>
    <d v="1899-12-30T00:00:00"/>
    <s v="1ST"/>
    <s v="08:00"/>
    <n v="2"/>
    <x v="7"/>
    <s v="-"/>
    <s v="P"/>
    <s v="P"/>
    <s v="P"/>
    <s v="-"/>
    <s v="+"/>
    <n v="10.41"/>
    <s v="-"/>
    <s v="-"/>
    <s v="-"/>
    <s v="-"/>
    <s v="-"/>
    <s v="-"/>
    <s v="-"/>
    <s v="-"/>
    <s v="P"/>
    <s v="P"/>
    <s v="-"/>
    <s v="-"/>
    <n v="1"/>
    <n v="2"/>
    <n v="0"/>
    <s v="-"/>
    <s v="-"/>
    <s v="-"/>
    <s v="-"/>
    <s v="-"/>
    <s v="-"/>
    <s v="-"/>
    <n v="3"/>
    <n v="4"/>
    <s v="-"/>
    <n v="1"/>
    <n v="1"/>
    <n v="2"/>
    <n v="2"/>
    <n v="5"/>
    <n v="6"/>
  </r>
  <r>
    <x v="8"/>
    <x v="196"/>
    <d v="1899-12-30T00:00:00"/>
    <s v="1ST"/>
    <s v="09:00"/>
    <n v="2"/>
    <x v="7"/>
    <s v="-"/>
    <s v="P"/>
    <s v="P"/>
    <s v="P"/>
    <s v="-"/>
    <s v="+"/>
    <n v="10.71"/>
    <s v="-"/>
    <s v="-"/>
    <s v="-"/>
    <s v="-"/>
    <s v="-"/>
    <s v="-"/>
    <s v="-"/>
    <s v="-"/>
    <s v="P"/>
    <s v="P"/>
    <s v="-"/>
    <s v="-"/>
    <n v="1"/>
    <n v="2"/>
    <n v="0"/>
    <s v="-"/>
    <s v="-"/>
    <s v="-"/>
    <s v="-"/>
    <s v="-"/>
    <s v="-"/>
    <s v="-"/>
    <n v="3"/>
    <n v="4"/>
    <s v="-"/>
    <n v="1"/>
    <n v="1"/>
    <n v="2"/>
    <n v="2"/>
    <n v="5"/>
    <n v="6"/>
  </r>
  <r>
    <x v="8"/>
    <x v="196"/>
    <d v="1899-12-30T00:00:00"/>
    <s v="1ST"/>
    <s v="10:00"/>
    <n v="2"/>
    <x v="7"/>
    <s v="-"/>
    <s v="P"/>
    <s v="P"/>
    <s v="P"/>
    <s v="-"/>
    <s v="+"/>
    <n v="10.49"/>
    <s v="-"/>
    <s v="-"/>
    <s v="-"/>
    <s v="-"/>
    <s v="-"/>
    <s v="-"/>
    <s v="-"/>
    <s v="-"/>
    <s v="P"/>
    <s v="P"/>
    <s v="-"/>
    <s v="-"/>
    <n v="1"/>
    <n v="2"/>
    <n v="0"/>
    <s v="-"/>
    <s v="-"/>
    <s v="-"/>
    <s v="-"/>
    <s v="-"/>
    <s v="-"/>
    <s v="-"/>
    <n v="3"/>
    <n v="4"/>
    <s v="-"/>
    <n v="1"/>
    <n v="1"/>
    <n v="2"/>
    <n v="2"/>
    <n v="5"/>
    <n v="6"/>
  </r>
  <r>
    <x v="8"/>
    <x v="196"/>
    <d v="1899-12-30T00:00:00"/>
    <s v="1ST"/>
    <s v="12:00"/>
    <n v="2"/>
    <x v="7"/>
    <s v="-"/>
    <s v="P"/>
    <s v="P"/>
    <s v="P"/>
    <s v="-"/>
    <s v="+"/>
    <n v="10.74"/>
    <s v="-"/>
    <s v="-"/>
    <s v="-"/>
    <s v="-"/>
    <s v="-"/>
    <s v="-"/>
    <s v="-"/>
    <s v="-"/>
    <s v="P"/>
    <s v="P"/>
    <s v="-"/>
    <s v="-"/>
    <n v="1"/>
    <n v="2"/>
    <n v="0"/>
    <s v="-"/>
    <s v="-"/>
    <s v="-"/>
    <s v="-"/>
    <s v="-"/>
    <s v="-"/>
    <s v="-"/>
    <n v="3"/>
    <n v="4"/>
    <s v="-"/>
    <n v="1"/>
    <n v="1"/>
    <n v="2"/>
    <n v="2"/>
    <n v="5"/>
    <n v="6"/>
  </r>
  <r>
    <x v="8"/>
    <x v="196"/>
    <d v="1899-12-30T00:00:00"/>
    <s v="1ST"/>
    <s v="13:00"/>
    <n v="2"/>
    <x v="7"/>
    <s v="-"/>
    <s v="P"/>
    <s v="P"/>
    <s v="P"/>
    <s v="-"/>
    <s v="+"/>
    <n v="10.74"/>
    <s v="-"/>
    <s v="-"/>
    <s v="-"/>
    <s v="-"/>
    <s v="-"/>
    <s v="-"/>
    <s v="-"/>
    <s v="-"/>
    <s v="P"/>
    <s v="P"/>
    <s v="-"/>
    <s v="-"/>
    <n v="1"/>
    <n v="2"/>
    <n v="0"/>
    <s v="-"/>
    <s v="-"/>
    <s v="-"/>
    <s v="-"/>
    <s v="-"/>
    <s v="-"/>
    <s v="-"/>
    <n v="3"/>
    <n v="4"/>
    <s v="-"/>
    <n v="1"/>
    <n v="1"/>
    <n v="2"/>
    <n v="2"/>
    <n v="5"/>
    <n v="6"/>
  </r>
  <r>
    <x v="8"/>
    <x v="196"/>
    <d v="2026-09-04T00:00:00"/>
    <s v="1ST"/>
    <s v="09:00"/>
    <n v="3"/>
    <x v="10"/>
    <s v="-"/>
    <s v="P"/>
    <s v="P"/>
    <s v="P"/>
    <s v="+"/>
    <s v="+"/>
    <n v="12.15"/>
    <n v="11.73"/>
    <n v="0.35"/>
    <n v="64.400000000000006"/>
    <s v="-"/>
    <s v="-"/>
    <n v="32.5"/>
    <s v="-"/>
    <s v="-"/>
    <s v="P"/>
    <s v="P"/>
    <n v="1"/>
    <s v="-"/>
    <n v="1"/>
    <n v="2"/>
    <n v="1"/>
    <n v="1"/>
    <n v="2"/>
    <n v="2"/>
    <s v="-"/>
    <s v="-"/>
    <n v="2"/>
    <s v="-"/>
    <n v="11"/>
    <n v="11"/>
    <s v="-"/>
    <n v="1"/>
    <n v="1"/>
    <n v="2"/>
    <n v="2"/>
    <n v="13"/>
    <n v="13"/>
  </r>
  <r>
    <x v="8"/>
    <x v="196"/>
    <d v="2026-09-04T00:00:00"/>
    <s v="1ST"/>
    <s v="10:00"/>
    <n v="3"/>
    <x v="10"/>
    <s v="-"/>
    <s v="P"/>
    <s v="P"/>
    <s v="P"/>
    <s v="+"/>
    <s v="+"/>
    <n v="12.15"/>
    <s v="-"/>
    <s v="-"/>
    <s v="-"/>
    <s v="-"/>
    <s v="-"/>
    <s v="-"/>
    <s v="-"/>
    <s v="-"/>
    <s v="P"/>
    <s v="P"/>
    <s v="-"/>
    <s v="-"/>
    <n v="1"/>
    <n v="2"/>
    <n v="1"/>
    <s v="-"/>
    <s v="-"/>
    <s v="-"/>
    <s v="-"/>
    <s v="-"/>
    <s v="-"/>
    <s v="-"/>
    <n v="4"/>
    <n v="4"/>
    <s v="-"/>
    <n v="1"/>
    <n v="1"/>
    <n v="2"/>
    <n v="2"/>
    <n v="6"/>
    <n v="6"/>
  </r>
  <r>
    <x v="8"/>
    <x v="196"/>
    <d v="2026-09-04T00:00:00"/>
    <s v="1ST"/>
    <s v="12:00"/>
    <n v="3"/>
    <x v="10"/>
    <s v="-"/>
    <s v="P"/>
    <s v="P"/>
    <s v="P"/>
    <s v="+"/>
    <s v="+"/>
    <n v="12.59"/>
    <s v="-"/>
    <s v="-"/>
    <s v="-"/>
    <s v="-"/>
    <s v="-"/>
    <s v="-"/>
    <s v="-"/>
    <s v="-"/>
    <s v="P"/>
    <s v="P"/>
    <s v="-"/>
    <s v="-"/>
    <n v="1"/>
    <n v="2"/>
    <n v="1"/>
    <s v="-"/>
    <s v="-"/>
    <s v="-"/>
    <s v="-"/>
    <s v="-"/>
    <s v="-"/>
    <s v="-"/>
    <n v="4"/>
    <n v="4"/>
    <s v="-"/>
    <n v="1"/>
    <n v="1"/>
    <n v="2"/>
    <n v="2"/>
    <n v="6"/>
    <n v="6"/>
  </r>
  <r>
    <x v="8"/>
    <x v="196"/>
    <d v="2026-09-04T00:00:00"/>
    <s v="1ST"/>
    <s v="13:00"/>
    <n v="3"/>
    <x v="10"/>
    <s v="-"/>
    <s v="P"/>
    <s v="P"/>
    <s v="P"/>
    <s v="+"/>
    <s v="+"/>
    <n v="12.22"/>
    <s v="-"/>
    <s v="-"/>
    <s v="-"/>
    <s v="-"/>
    <s v="-"/>
    <s v="-"/>
    <s v="-"/>
    <s v="-"/>
    <s v="P"/>
    <s v="P"/>
    <s v="-"/>
    <s v="-"/>
    <n v="1"/>
    <n v="2"/>
    <n v="1"/>
    <s v="-"/>
    <s v="-"/>
    <s v="-"/>
    <s v="-"/>
    <s v="-"/>
    <s v="-"/>
    <s v="-"/>
    <n v="4"/>
    <n v="4"/>
    <s v="-"/>
    <n v="1"/>
    <n v="1"/>
    <n v="2"/>
    <n v="2"/>
    <n v="6"/>
    <n v="6"/>
  </r>
  <r>
    <x v="8"/>
    <x v="196"/>
    <d v="2026-09-08T00:00:00"/>
    <s v="1ST"/>
    <s v="11:00"/>
    <s v="Retail"/>
    <x v="13"/>
    <s v="-"/>
    <s v="-"/>
    <s v="-"/>
    <s v="-"/>
    <s v="-"/>
    <s v="-"/>
    <n v="11.93"/>
    <s v="-"/>
    <s v="-"/>
    <s v="-"/>
    <s v="-"/>
    <s v="-"/>
    <s v="-"/>
    <s v="-"/>
    <s v="-"/>
    <s v="-"/>
    <s v="-"/>
    <s v="-"/>
    <s v="-"/>
    <s v="-"/>
    <s v="-"/>
    <n v="1"/>
    <s v="-"/>
    <s v="-"/>
    <s v="-"/>
    <s v="-"/>
    <s v="-"/>
    <s v="-"/>
    <s v="-"/>
    <n v="1"/>
    <n v="1"/>
    <s v="-"/>
    <s v="-"/>
    <s v="-"/>
    <n v="0"/>
    <n v="0"/>
    <n v="1"/>
    <n v="1"/>
  </r>
  <r>
    <x v="8"/>
    <x v="196"/>
    <d v="2026-09-08T00:00:00"/>
    <s v="1ST"/>
    <s v="12:00"/>
    <s v="Retail"/>
    <x v="9"/>
    <s v="-"/>
    <s v="-"/>
    <s v="-"/>
    <s v="-"/>
    <s v="-"/>
    <s v="-"/>
    <n v="10.35"/>
    <s v="-"/>
    <s v="-"/>
    <s v="-"/>
    <s v="-"/>
    <s v="-"/>
    <s v="-"/>
    <s v="-"/>
    <s v="-"/>
    <s v="-"/>
    <s v="-"/>
    <s v="-"/>
    <s v="-"/>
    <s v="-"/>
    <s v="-"/>
    <n v="1"/>
    <s v="-"/>
    <s v="-"/>
    <s v="-"/>
    <s v="-"/>
    <s v="-"/>
    <s v="-"/>
    <s v="-"/>
    <n v="1"/>
    <n v="1"/>
    <s v="-"/>
    <s v="-"/>
    <s v="-"/>
    <n v="0"/>
    <n v="0"/>
    <n v="1"/>
    <n v="1"/>
  </r>
  <r>
    <x v="8"/>
    <x v="196"/>
    <d v="2026-09-08T00:00:00"/>
    <s v="1ST"/>
    <s v="13:00"/>
    <s v="Retail"/>
    <x v="3"/>
    <s v="-"/>
    <s v="-"/>
    <s v="-"/>
    <s v="-"/>
    <s v="-"/>
    <s v="-"/>
    <n v="12.71"/>
    <s v="-"/>
    <s v="-"/>
    <s v="-"/>
    <s v="-"/>
    <s v="-"/>
    <s v="-"/>
    <s v="-"/>
    <s v="-"/>
    <s v="-"/>
    <s v="-"/>
    <s v="-"/>
    <s v="-"/>
    <s v="-"/>
    <s v="-"/>
    <n v="0"/>
    <s v="-"/>
    <s v="-"/>
    <s v="-"/>
    <s v="-"/>
    <s v="-"/>
    <s v="-"/>
    <s v="-"/>
    <n v="0"/>
    <n v="1"/>
    <s v="-"/>
    <s v="-"/>
    <s v="-"/>
    <n v="0"/>
    <n v="0"/>
    <n v="0"/>
    <n v="1"/>
  </r>
  <r>
    <x v="8"/>
    <x v="196"/>
    <d v="2026-09-04T00:00:00"/>
    <s v="2ND"/>
    <d v="1899-12-30T14:00:00"/>
    <n v="1"/>
    <x v="22"/>
    <s v="-"/>
    <s v="P"/>
    <s v="P"/>
    <s v="P"/>
    <s v="-"/>
    <s v="-"/>
    <n v="11.15"/>
    <n v="10.59"/>
    <s v="-"/>
    <s v="-"/>
    <s v="-"/>
    <s v="-"/>
    <n v="29.4"/>
    <s v="-"/>
    <s v="-"/>
    <s v="P"/>
    <s v="P"/>
    <s v="-"/>
    <s v="-"/>
    <n v="1"/>
    <n v="2"/>
    <n v="1"/>
    <n v="0"/>
    <s v="-"/>
    <s v="-"/>
    <s v="-"/>
    <s v="-"/>
    <n v="2"/>
    <s v="-"/>
    <n v="6"/>
    <n v="7"/>
    <s v="-"/>
    <n v="1"/>
    <n v="1"/>
    <n v="2"/>
    <n v="2"/>
    <n v="8"/>
    <n v="9"/>
  </r>
  <r>
    <x v="8"/>
    <x v="196"/>
    <d v="2026-09-04T00:00:00"/>
    <s v="2ND"/>
    <d v="1899-12-30T16:00:00"/>
    <n v="1"/>
    <x v="22"/>
    <s v="-"/>
    <s v="P"/>
    <s v="P"/>
    <s v="P"/>
    <s v="-"/>
    <s v="-"/>
    <n v="11.26"/>
    <s v="-"/>
    <s v="-"/>
    <s v="-"/>
    <s v="-"/>
    <s v="-"/>
    <s v="-"/>
    <s v="-"/>
    <s v="-"/>
    <s v="P"/>
    <s v="P"/>
    <n v="1"/>
    <s v="-"/>
    <n v="1"/>
    <n v="2"/>
    <n v="1"/>
    <s v="-"/>
    <s v="-"/>
    <s v="-"/>
    <s v="-"/>
    <s v="-"/>
    <s v="-"/>
    <s v="-"/>
    <n v="4"/>
    <n v="4"/>
    <s v="-"/>
    <n v="1"/>
    <n v="1"/>
    <n v="2"/>
    <n v="2"/>
    <n v="6"/>
    <n v="6"/>
  </r>
  <r>
    <x v="8"/>
    <x v="196"/>
    <d v="2026-09-04T00:00:00"/>
    <s v="2ND"/>
    <d v="1899-12-30T17:00:00"/>
    <n v="1"/>
    <x v="22"/>
    <s v="-"/>
    <s v="P"/>
    <s v="P"/>
    <s v="P"/>
    <s v="-"/>
    <s v="-"/>
    <n v="10.43"/>
    <s v="-"/>
    <s v="-"/>
    <s v="-"/>
    <s v="-"/>
    <s v="-"/>
    <s v="-"/>
    <s v="-"/>
    <s v="-"/>
    <s v="P"/>
    <s v="P"/>
    <n v="1"/>
    <s v="-"/>
    <n v="1"/>
    <n v="2"/>
    <n v="0"/>
    <s v="-"/>
    <s v="-"/>
    <s v="-"/>
    <s v="-"/>
    <s v="-"/>
    <s v="-"/>
    <s v="-"/>
    <n v="3"/>
    <n v="4"/>
    <s v="-"/>
    <n v="1"/>
    <n v="1"/>
    <n v="2"/>
    <n v="2"/>
    <n v="5"/>
    <n v="6"/>
  </r>
  <r>
    <x v="8"/>
    <x v="196"/>
    <d v="2026-09-04T00:00:00"/>
    <s v="2ND"/>
    <d v="1899-12-30T18:00:00"/>
    <n v="1"/>
    <x v="22"/>
    <n v="0.01"/>
    <s v="-"/>
    <s v="P"/>
    <s v="P"/>
    <s v="-"/>
    <s v="-"/>
    <n v="10.79"/>
    <s v="-"/>
    <s v="-"/>
    <s v="-"/>
    <s v="-"/>
    <s v="-"/>
    <s v="-"/>
    <s v="-"/>
    <s v="-"/>
    <s v="P"/>
    <s v="P"/>
    <n v="1"/>
    <n v="2"/>
    <s v="-"/>
    <n v="2"/>
    <n v="0"/>
    <s v="-"/>
    <s v="-"/>
    <s v="-"/>
    <s v="-"/>
    <s v="-"/>
    <s v="-"/>
    <s v="-"/>
    <n v="4"/>
    <n v="5"/>
    <s v="-"/>
    <n v="1"/>
    <n v="1"/>
    <n v="2"/>
    <n v="2"/>
    <n v="6"/>
    <n v="7"/>
  </r>
  <r>
    <x v="8"/>
    <x v="196"/>
    <d v="2026-09-04T00:00:00"/>
    <s v="2ND"/>
    <d v="1899-12-30T19:00:00"/>
    <n v="1"/>
    <x v="22"/>
    <n v="0.01"/>
    <s v="P"/>
    <s v="P"/>
    <s v="P"/>
    <s v="-"/>
    <s v="-"/>
    <n v="10.61"/>
    <s v="-"/>
    <s v="-"/>
    <s v="-"/>
    <s v="-"/>
    <s v="-"/>
    <s v="-"/>
    <s v="-"/>
    <s v="-"/>
    <s v="P"/>
    <s v="P"/>
    <n v="1"/>
    <n v="2"/>
    <n v="1"/>
    <n v="2"/>
    <n v="0"/>
    <s v="-"/>
    <s v="-"/>
    <s v="-"/>
    <s v="-"/>
    <s v="-"/>
    <s v="-"/>
    <s v="-"/>
    <n v="5"/>
    <n v="6"/>
    <s v="-"/>
    <n v="1"/>
    <n v="1"/>
    <n v="2"/>
    <n v="2"/>
    <n v="7"/>
    <n v="8"/>
  </r>
  <r>
    <x v="8"/>
    <x v="196"/>
    <d v="2026-09-04T00:00:00"/>
    <s v="2ND"/>
    <d v="1899-12-30T21:00:00"/>
    <n v="1"/>
    <x v="22"/>
    <n v="0.01"/>
    <s v="P"/>
    <s v="P"/>
    <s v="P"/>
    <s v="-"/>
    <s v="-"/>
    <n v="11.07"/>
    <s v="-"/>
    <s v="-"/>
    <s v="-"/>
    <s v="-"/>
    <s v="-"/>
    <s v="-"/>
    <s v="-"/>
    <s v="-"/>
    <s v="P"/>
    <s v="P"/>
    <n v="1"/>
    <n v="2"/>
    <n v="1"/>
    <n v="2"/>
    <n v="1"/>
    <s v="-"/>
    <s v="-"/>
    <s v="-"/>
    <s v="-"/>
    <s v="-"/>
    <s v="-"/>
    <s v="-"/>
    <n v="6"/>
    <n v="6"/>
    <s v="-"/>
    <n v="1"/>
    <n v="1"/>
    <n v="2"/>
    <n v="2"/>
    <n v="8"/>
    <n v="8"/>
  </r>
  <r>
    <x v="8"/>
    <x v="196"/>
    <d v="1902-03-26T00:00:00"/>
    <s v="2ND"/>
    <d v="1899-12-30T14:00:00"/>
    <n v="2"/>
    <x v="7"/>
    <s v="-"/>
    <s v="P"/>
    <s v="P"/>
    <s v="P"/>
    <s v="-"/>
    <s v="+"/>
    <n v="10.51"/>
    <s v="-"/>
    <s v="-"/>
    <s v="-"/>
    <s v="-"/>
    <s v="-"/>
    <s v="-"/>
    <s v="-"/>
    <s v="-"/>
    <s v="P"/>
    <s v="P"/>
    <s v="-"/>
    <s v="-"/>
    <n v="1"/>
    <n v="2"/>
    <n v="0"/>
    <s v="-"/>
    <s v="-"/>
    <s v="-"/>
    <s v="-"/>
    <s v="-"/>
    <s v="-"/>
    <s v="-"/>
    <n v="3"/>
    <n v="4"/>
    <s v="-"/>
    <n v="1"/>
    <n v="1"/>
    <n v="2"/>
    <n v="2"/>
    <n v="5"/>
    <n v="6"/>
  </r>
  <r>
    <x v="8"/>
    <x v="196"/>
    <d v="1902-03-26T00:00:00"/>
    <s v="2ND"/>
    <d v="1899-12-30T16:00:00"/>
    <n v="2"/>
    <x v="7"/>
    <s v="-"/>
    <s v="P"/>
    <s v="P"/>
    <s v="P"/>
    <s v="-"/>
    <s v="+"/>
    <n v="10.29"/>
    <s v="-"/>
    <s v="-"/>
    <s v="-"/>
    <s v="-"/>
    <s v="-"/>
    <s v="-"/>
    <s v="-"/>
    <s v="-"/>
    <s v="P"/>
    <s v="P"/>
    <n v="1"/>
    <s v="-"/>
    <n v="1"/>
    <n v="2"/>
    <n v="0"/>
    <s v="-"/>
    <s v="-"/>
    <s v="-"/>
    <s v="-"/>
    <s v="-"/>
    <s v="-"/>
    <s v="-"/>
    <n v="3"/>
    <n v="4"/>
    <s v="-"/>
    <n v="1"/>
    <n v="1"/>
    <n v="2"/>
    <n v="2"/>
    <n v="5"/>
    <n v="6"/>
  </r>
  <r>
    <x v="8"/>
    <x v="196"/>
    <d v="1902-03-26T00:00:00"/>
    <s v="2ND"/>
    <d v="1899-12-30T17:00:00"/>
    <n v="2"/>
    <x v="7"/>
    <s v="-"/>
    <s v="P"/>
    <s v="P"/>
    <s v="P"/>
    <s v="-"/>
    <s v="+"/>
    <n v="10.27"/>
    <s v="-"/>
    <s v="-"/>
    <s v="-"/>
    <s v="-"/>
    <s v="-"/>
    <s v="-"/>
    <s v="-"/>
    <s v="-"/>
    <s v="P"/>
    <s v="P"/>
    <n v="1"/>
    <s v="-"/>
    <n v="1"/>
    <n v="2"/>
    <n v="0"/>
    <s v="-"/>
    <s v="-"/>
    <s v="-"/>
    <s v="-"/>
    <s v="-"/>
    <s v="-"/>
    <s v="-"/>
    <n v="3"/>
    <n v="4"/>
    <s v="-"/>
    <n v="1"/>
    <n v="1"/>
    <n v="2"/>
    <n v="2"/>
    <n v="5"/>
    <n v="6"/>
  </r>
  <r>
    <x v="8"/>
    <x v="196"/>
    <d v="1902-03-26T00:00:00"/>
    <s v="2ND"/>
    <d v="1899-12-30T18:00:00"/>
    <n v="2"/>
    <x v="7"/>
    <s v="-"/>
    <s v="P"/>
    <s v="P"/>
    <s v="P"/>
    <s v="-"/>
    <s v="+"/>
    <n v="10.73"/>
    <s v="-"/>
    <s v="-"/>
    <s v="-"/>
    <s v="-"/>
    <s v="-"/>
    <s v="-"/>
    <s v="-"/>
    <s v="-"/>
    <s v="P"/>
    <s v="P"/>
    <n v="1"/>
    <s v="-"/>
    <n v="1"/>
    <n v="2"/>
    <n v="0"/>
    <s v="-"/>
    <s v="-"/>
    <s v="-"/>
    <s v="-"/>
    <s v="-"/>
    <s v="-"/>
    <s v="-"/>
    <n v="3"/>
    <n v="4"/>
    <s v="-"/>
    <n v="1"/>
    <n v="1"/>
    <n v="2"/>
    <n v="2"/>
    <n v="5"/>
    <n v="6"/>
  </r>
  <r>
    <x v="8"/>
    <x v="196"/>
    <d v="1902-03-26T00:00:00"/>
    <s v="2ND"/>
    <d v="1899-12-30T19:00:00"/>
    <n v="2"/>
    <x v="7"/>
    <s v="-"/>
    <s v="P"/>
    <s v="P"/>
    <s v="P"/>
    <s v="-"/>
    <s v="+"/>
    <n v="10.74"/>
    <s v="-"/>
    <s v="-"/>
    <s v="-"/>
    <s v="-"/>
    <s v="-"/>
    <s v="-"/>
    <s v="-"/>
    <s v="-"/>
    <s v="P"/>
    <s v="P"/>
    <s v="-"/>
    <s v="-"/>
    <n v="1"/>
    <n v="2"/>
    <n v="0"/>
    <s v="-"/>
    <s v="-"/>
    <s v="-"/>
    <s v="-"/>
    <s v="-"/>
    <s v="-"/>
    <s v="-"/>
    <n v="3"/>
    <n v="4"/>
    <s v="-"/>
    <n v="1"/>
    <n v="1"/>
    <n v="2"/>
    <n v="2"/>
    <n v="5"/>
    <n v="6"/>
  </r>
  <r>
    <x v="8"/>
    <x v="196"/>
    <d v="1902-03-26T00:00:00"/>
    <s v="2ND"/>
    <d v="1899-12-30T21:00:00"/>
    <n v="2"/>
    <x v="7"/>
    <s v="-"/>
    <s v="P"/>
    <s v="P"/>
    <s v="P"/>
    <s v="-"/>
    <s v="+"/>
    <n v="10.83"/>
    <s v="-"/>
    <s v="-"/>
    <s v="-"/>
    <s v="-"/>
    <s v="-"/>
    <s v="-"/>
    <s v="-"/>
    <s v="-"/>
    <s v="P"/>
    <s v="P"/>
    <s v="-"/>
    <s v="-"/>
    <n v="1"/>
    <n v="2"/>
    <n v="0"/>
    <s v="-"/>
    <s v="-"/>
    <s v="-"/>
    <s v="-"/>
    <s v="-"/>
    <s v="-"/>
    <s v="-"/>
    <n v="3"/>
    <n v="4"/>
    <s v="-"/>
    <n v="1"/>
    <n v="1"/>
    <n v="2"/>
    <n v="2"/>
    <n v="5"/>
    <n v="6"/>
  </r>
  <r>
    <x v="8"/>
    <x v="196"/>
    <d v="2026-09-02T00:00:00"/>
    <s v="2ND"/>
    <d v="1899-12-30T14:00:00"/>
    <n v="3"/>
    <x v="10"/>
    <s v="-"/>
    <s v="P"/>
    <s v="P"/>
    <s v="P"/>
    <s v="+"/>
    <s v="+"/>
    <n v="12.56"/>
    <n v="12.8"/>
    <s v="-"/>
    <s v="-"/>
    <s v="-"/>
    <s v="-"/>
    <n v="35.1"/>
    <s v="-"/>
    <s v="-"/>
    <s v="P"/>
    <s v="P"/>
    <n v="1"/>
    <s v="-"/>
    <n v="1"/>
    <n v="2"/>
    <n v="1"/>
    <n v="1"/>
    <s v="-"/>
    <s v="-"/>
    <s v="-"/>
    <s v="-"/>
    <n v="2"/>
    <s v="-"/>
    <n v="7"/>
    <n v="7"/>
    <s v="-"/>
    <n v="1"/>
    <n v="1"/>
    <n v="2"/>
    <n v="2"/>
    <n v="9"/>
    <n v="9"/>
  </r>
  <r>
    <x v="8"/>
    <x v="196"/>
    <d v="2026-09-02T00:00:00"/>
    <s v="2ND"/>
    <d v="1899-12-30T16:00:00"/>
    <n v="3"/>
    <x v="10"/>
    <s v="-"/>
    <s v="P"/>
    <s v="P"/>
    <s v="P"/>
    <s v="+"/>
    <s v="+"/>
    <n v="12.38"/>
    <s v="-"/>
    <s v="-"/>
    <s v="-"/>
    <s v="-"/>
    <s v="-"/>
    <s v="-"/>
    <s v="-"/>
    <s v="-"/>
    <s v="P"/>
    <s v="P"/>
    <n v="1"/>
    <s v="-"/>
    <n v="1"/>
    <n v="2"/>
    <n v="1"/>
    <s v="-"/>
    <s v="-"/>
    <s v="-"/>
    <s v="-"/>
    <s v="-"/>
    <s v="-"/>
    <s v="-"/>
    <n v="4"/>
    <n v="4"/>
    <s v="-"/>
    <n v="1"/>
    <n v="1"/>
    <n v="2"/>
    <n v="2"/>
    <n v="6"/>
    <n v="6"/>
  </r>
  <r>
    <x v="8"/>
    <x v="196"/>
    <d v="2026-09-02T00:00:00"/>
    <s v="2ND"/>
    <d v="1899-12-30T17:00:00"/>
    <n v="3"/>
    <x v="10"/>
    <n v="0.01"/>
    <s v="P"/>
    <s v="P"/>
    <s v="P"/>
    <s v="+"/>
    <s v="+"/>
    <n v="11.92"/>
    <s v="-"/>
    <s v="-"/>
    <s v="-"/>
    <s v="-"/>
    <s v="-"/>
    <s v="-"/>
    <s v="-"/>
    <s v="-"/>
    <s v="P"/>
    <s v="P"/>
    <n v="1"/>
    <n v="2"/>
    <n v="1"/>
    <n v="2"/>
    <n v="0"/>
    <s v="-"/>
    <s v="-"/>
    <s v="-"/>
    <s v="-"/>
    <s v="-"/>
    <s v="-"/>
    <s v="-"/>
    <n v="5"/>
    <n v="6"/>
    <s v="-"/>
    <n v="1"/>
    <n v="1"/>
    <n v="2"/>
    <n v="2"/>
    <n v="7"/>
    <n v="8"/>
  </r>
  <r>
    <x v="8"/>
    <x v="196"/>
    <d v="2026-09-03T00:00:00"/>
    <s v="2ND"/>
    <d v="1899-12-30T18:00:00"/>
    <n v="3"/>
    <x v="11"/>
    <n v="0.01"/>
    <s v="P"/>
    <s v="P"/>
    <s v="P"/>
    <s v="+"/>
    <s v="+"/>
    <n v="11.92"/>
    <n v="12.87"/>
    <s v="-"/>
    <n v="64.900000000000006"/>
    <s v="-"/>
    <s v="-"/>
    <n v="36"/>
    <s v="-"/>
    <s v="-"/>
    <s v="P"/>
    <s v="P"/>
    <n v="1"/>
    <n v="2"/>
    <n v="1"/>
    <n v="2"/>
    <n v="1"/>
    <n v="1"/>
    <s v="-"/>
    <n v="0"/>
    <s v="-"/>
    <s v="-"/>
    <n v="2"/>
    <s v="-"/>
    <n v="9"/>
    <n v="11"/>
    <s v="-"/>
    <n v="1"/>
    <n v="1"/>
    <n v="2"/>
    <n v="2"/>
    <n v="11"/>
    <n v="13"/>
  </r>
  <r>
    <x v="8"/>
    <x v="196"/>
    <d v="2026-09-03T00:00:00"/>
    <s v="2ND"/>
    <d v="1899-12-30T19:00:00"/>
    <n v="3"/>
    <x v="11"/>
    <n v="0.01"/>
    <s v="P"/>
    <s v="P"/>
    <s v="P"/>
    <s v="+"/>
    <s v="+"/>
    <n v="12.2"/>
    <s v="-"/>
    <s v="-"/>
    <s v="-"/>
    <s v="-"/>
    <s v="-"/>
    <s v="-"/>
    <s v="-"/>
    <s v="-"/>
    <s v="P"/>
    <s v="P"/>
    <n v="1"/>
    <n v="2"/>
    <n v="1"/>
    <n v="2"/>
    <n v="1"/>
    <s v="-"/>
    <s v="-"/>
    <s v="-"/>
    <s v="-"/>
    <s v="-"/>
    <s v="-"/>
    <s v="-"/>
    <n v="6"/>
    <n v="6"/>
    <s v="-"/>
    <n v="1"/>
    <n v="1"/>
    <n v="2"/>
    <n v="2"/>
    <n v="8"/>
    <n v="8"/>
  </r>
  <r>
    <x v="8"/>
    <x v="196"/>
    <d v="2026-09-03T00:00:00"/>
    <s v="2ND"/>
    <d v="1899-12-30T20:00:00"/>
    <n v="3"/>
    <x v="1"/>
    <n v="0.01"/>
    <s v="P"/>
    <s v="P"/>
    <s v="P"/>
    <s v="+"/>
    <s v="+"/>
    <n v="12.58"/>
    <s v="-"/>
    <s v="-"/>
    <s v="-"/>
    <s v="-"/>
    <s v="-"/>
    <s v="-"/>
    <s v="-"/>
    <s v="-"/>
    <s v="P"/>
    <s v="P"/>
    <s v="85/5/10%"/>
    <n v="2"/>
    <n v="1"/>
    <n v="2"/>
    <n v="1"/>
    <s v="-"/>
    <s v="-"/>
    <s v="-"/>
    <s v="-"/>
    <s v="-"/>
    <s v="-"/>
    <s v="-"/>
    <n v="6"/>
    <n v="6"/>
    <s v="-"/>
    <n v="1"/>
    <n v="1"/>
    <n v="2"/>
    <n v="2"/>
    <n v="8"/>
    <n v="8"/>
  </r>
  <r>
    <x v="8"/>
    <x v="196"/>
    <d v="2026-09-03T00:00:00"/>
    <s v="2ND"/>
    <d v="1899-12-30T21:00:00"/>
    <n v="3"/>
    <x v="1"/>
    <n v="0.02"/>
    <s v="P"/>
    <s v="P"/>
    <s v="P"/>
    <s v="+"/>
    <s v="+"/>
    <n v="12.45"/>
    <s v="-"/>
    <s v="-"/>
    <s v="-"/>
    <s v="-"/>
    <s v="-"/>
    <s v="-"/>
    <s v="-"/>
    <s v="-"/>
    <s v="P"/>
    <s v="P"/>
    <n v="1"/>
    <n v="2"/>
    <n v="1"/>
    <n v="2"/>
    <n v="1"/>
    <s v="-"/>
    <s v="-"/>
    <s v="-"/>
    <s v="-"/>
    <s v="-"/>
    <s v="-"/>
    <s v="-"/>
    <n v="6"/>
    <n v="6"/>
    <s v="-"/>
    <n v="1"/>
    <n v="1"/>
    <n v="2"/>
    <n v="2"/>
    <n v="8"/>
    <n v="8"/>
  </r>
  <r>
    <x v="8"/>
    <x v="196"/>
    <d v="2026-09-04T00:00:00"/>
    <s v="3RD"/>
    <d v="1899-12-30T22:00:00"/>
    <n v="1"/>
    <x v="22"/>
    <n v="0.01"/>
    <s v="P"/>
    <s v="P"/>
    <s v="P"/>
    <s v="-"/>
    <s v="-"/>
    <n v="11.02"/>
    <n v="8.42"/>
    <n v="0.56000000000000005"/>
    <s v="-"/>
    <s v="-"/>
    <s v="-"/>
    <s v="-"/>
    <n v="22.6"/>
    <s v="-"/>
    <s v="P"/>
    <s v="P"/>
    <n v="1"/>
    <n v="2"/>
    <n v="1"/>
    <n v="2"/>
    <n v="1"/>
    <n v="0"/>
    <n v="2"/>
    <s v="-"/>
    <s v="-"/>
    <s v="-"/>
    <s v="-"/>
    <n v="0"/>
    <n v="8"/>
    <n v="10"/>
    <s v="-"/>
    <n v="1"/>
    <n v="1"/>
    <n v="2"/>
    <n v="2"/>
    <n v="10"/>
    <n v="12"/>
  </r>
  <r>
    <x v="8"/>
    <x v="196"/>
    <d v="2026-09-04T00:00:00"/>
    <s v="3RD"/>
    <d v="1899-12-30T23:00:00"/>
    <n v="1"/>
    <x v="22"/>
    <n v="0.01"/>
    <s v="P"/>
    <s v="P"/>
    <s v="P"/>
    <s v="-"/>
    <s v="-"/>
    <n v="10.82"/>
    <s v="-"/>
    <s v="-"/>
    <s v="-"/>
    <s v="-"/>
    <s v="-"/>
    <s v="-"/>
    <s v="-"/>
    <s v="-"/>
    <s v="P"/>
    <s v="P"/>
    <n v="1"/>
    <n v="2"/>
    <n v="1"/>
    <n v="2"/>
    <n v="0"/>
    <s v="-"/>
    <s v="-"/>
    <s v="-"/>
    <s v="-"/>
    <s v="-"/>
    <s v="-"/>
    <s v="-"/>
    <n v="5"/>
    <n v="6"/>
    <s v="-"/>
    <n v="1"/>
    <n v="1"/>
    <n v="2"/>
    <n v="2"/>
    <n v="7"/>
    <n v="8"/>
  </r>
  <r>
    <x v="8"/>
    <x v="196"/>
    <d v="2026-09-04T00:00:00"/>
    <s v="3RD"/>
    <d v="1899-12-31T03:00:00"/>
    <n v="1"/>
    <x v="22"/>
    <n v="0.01"/>
    <s v="P"/>
    <s v="P"/>
    <s v="P"/>
    <s v="-"/>
    <s v="-"/>
    <n v="11.15"/>
    <s v="-"/>
    <s v="-"/>
    <s v="-"/>
    <s v="-"/>
    <s v="-"/>
    <s v="-"/>
    <s v="-"/>
    <s v="-"/>
    <s v="P"/>
    <s v="P"/>
    <n v="1"/>
    <n v="2"/>
    <n v="1"/>
    <n v="2"/>
    <n v="1"/>
    <s v="-"/>
    <s v="-"/>
    <s v="-"/>
    <s v="-"/>
    <s v="-"/>
    <s v="-"/>
    <s v="-"/>
    <n v="6"/>
    <n v="6"/>
    <s v="-"/>
    <n v="1"/>
    <n v="1"/>
    <n v="2"/>
    <n v="2"/>
    <n v="8"/>
    <n v="8"/>
  </r>
  <r>
    <x v="8"/>
    <x v="196"/>
    <d v="2026-09-04T00:00:00"/>
    <s v="3RD"/>
    <d v="1899-12-31T04:00:00"/>
    <n v="1"/>
    <x v="22"/>
    <n v="0.01"/>
    <s v="P"/>
    <s v="P"/>
    <s v="P"/>
    <s v="-"/>
    <s v="-"/>
    <n v="11.15"/>
    <s v="-"/>
    <s v="-"/>
    <s v="-"/>
    <s v="-"/>
    <s v="-"/>
    <s v="-"/>
    <s v="-"/>
    <s v="-"/>
    <s v="P"/>
    <s v="P"/>
    <n v="1"/>
    <n v="2"/>
    <n v="1"/>
    <n v="2"/>
    <n v="1"/>
    <s v="-"/>
    <s v="-"/>
    <s v="-"/>
    <s v="-"/>
    <s v="-"/>
    <s v="-"/>
    <s v="-"/>
    <n v="6"/>
    <n v="6"/>
    <s v="-"/>
    <n v="1"/>
    <n v="1"/>
    <n v="2"/>
    <n v="2"/>
    <n v="8"/>
    <n v="8"/>
  </r>
  <r>
    <x v="8"/>
    <x v="196"/>
    <d v="2026-09-04T00:00:00"/>
    <s v="3RD"/>
    <d v="1899-12-31T05:00:00"/>
    <n v="1"/>
    <x v="22"/>
    <s v="-"/>
    <s v="P"/>
    <s v="P"/>
    <s v="P"/>
    <s v="-"/>
    <s v="-"/>
    <n v="11.14"/>
    <s v="-"/>
    <s v="-"/>
    <s v="-"/>
    <s v="-"/>
    <s v="-"/>
    <s v="-"/>
    <s v="-"/>
    <s v="-"/>
    <s v="P"/>
    <s v="P"/>
    <n v="1"/>
    <s v="-"/>
    <n v="1"/>
    <n v="2"/>
    <n v="1"/>
    <s v="-"/>
    <s v="-"/>
    <s v="-"/>
    <s v="-"/>
    <s v="-"/>
    <s v="-"/>
    <s v="-"/>
    <n v="4"/>
    <n v="4"/>
    <s v="-"/>
    <n v="1"/>
    <n v="1"/>
    <n v="2"/>
    <n v="2"/>
    <n v="6"/>
    <n v="6"/>
  </r>
  <r>
    <x v="8"/>
    <x v="196"/>
    <d v="1902-03-26T00:00:00"/>
    <s v="3RD"/>
    <d v="1899-12-30T22:00:00"/>
    <n v="2"/>
    <x v="7"/>
    <s v="-"/>
    <s v="P"/>
    <s v="P"/>
    <s v="P"/>
    <s v="-"/>
    <s v="+"/>
    <n v="10.84"/>
    <s v="-"/>
    <s v="-"/>
    <s v="-"/>
    <s v="-"/>
    <s v="-"/>
    <s v="-"/>
    <s v="-"/>
    <s v="-"/>
    <s v="P"/>
    <s v="P"/>
    <n v="1"/>
    <s v="-"/>
    <n v="1"/>
    <n v="2"/>
    <n v="0"/>
    <s v="-"/>
    <s v="-"/>
    <s v="-"/>
    <s v="-"/>
    <s v="-"/>
    <s v="-"/>
    <s v="-"/>
    <n v="3"/>
    <n v="4"/>
    <s v="-"/>
    <n v="1"/>
    <n v="1"/>
    <n v="2"/>
    <n v="2"/>
    <n v="5"/>
    <n v="6"/>
  </r>
  <r>
    <x v="8"/>
    <x v="196"/>
    <d v="1902-03-26T00:00:00"/>
    <s v="3RD"/>
    <d v="1899-12-30T23:00:00"/>
    <n v="2"/>
    <x v="5"/>
    <s v="-"/>
    <s v="P"/>
    <s v="P"/>
    <s v="P"/>
    <s v="-"/>
    <s v="+"/>
    <n v="10.71"/>
    <n v="8.74"/>
    <n v="0.6"/>
    <s v="-"/>
    <s v="-"/>
    <s v="-"/>
    <s v="-"/>
    <n v="23.6"/>
    <s v="-"/>
    <s v="P"/>
    <s v="P"/>
    <n v="1"/>
    <s v="-"/>
    <n v="1"/>
    <n v="2"/>
    <n v="0"/>
    <n v="1"/>
    <n v="0"/>
    <s v="-"/>
    <s v="-"/>
    <s v="-"/>
    <s v="-"/>
    <n v="0"/>
    <n v="4"/>
    <n v="8"/>
    <s v="-"/>
    <n v="1"/>
    <n v="1"/>
    <n v="2"/>
    <n v="2"/>
    <n v="6"/>
    <n v="10"/>
  </r>
  <r>
    <x v="8"/>
    <x v="196"/>
    <d v="1902-03-26T00:00:00"/>
    <s v="3RD"/>
    <d v="1899-12-31T00:00:00"/>
    <n v="2"/>
    <x v="5"/>
    <s v="-"/>
    <s v="P"/>
    <s v="P"/>
    <s v="P"/>
    <s v="-"/>
    <s v="+"/>
    <n v="10.89"/>
    <s v="-"/>
    <s v="-"/>
    <s v="-"/>
    <s v="-"/>
    <s v="-"/>
    <s v="-"/>
    <s v="-"/>
    <s v="-"/>
    <s v="P"/>
    <s v="P"/>
    <n v="1"/>
    <s v="-"/>
    <n v="1"/>
    <n v="2"/>
    <n v="0"/>
    <s v="-"/>
    <s v="-"/>
    <s v="-"/>
    <s v="-"/>
    <s v="-"/>
    <s v="-"/>
    <s v="-"/>
    <n v="3"/>
    <n v="4"/>
    <s v="-"/>
    <n v="1"/>
    <n v="1"/>
    <n v="2"/>
    <n v="2"/>
    <n v="5"/>
    <n v="6"/>
  </r>
  <r>
    <x v="8"/>
    <x v="196"/>
    <d v="1902-03-26T00:00:00"/>
    <s v="3RD"/>
    <d v="1899-12-31T01:00:00"/>
    <n v="2"/>
    <x v="5"/>
    <s v="-"/>
    <s v="P"/>
    <s v="P"/>
    <s v="P"/>
    <s v="-"/>
    <s v="+"/>
    <n v="10.82"/>
    <s v="-"/>
    <s v="-"/>
    <s v="-"/>
    <s v="-"/>
    <s v="-"/>
    <s v="-"/>
    <s v="-"/>
    <s v="-"/>
    <s v="P"/>
    <s v="P"/>
    <n v="1"/>
    <s v="-"/>
    <n v="1"/>
    <n v="2"/>
    <n v="0"/>
    <s v="-"/>
    <s v="-"/>
    <s v="-"/>
    <s v="-"/>
    <s v="-"/>
    <s v="-"/>
    <s v="-"/>
    <n v="3"/>
    <n v="4"/>
    <s v="-"/>
    <n v="1"/>
    <n v="1"/>
    <n v="2"/>
    <n v="2"/>
    <n v="5"/>
    <n v="6"/>
  </r>
  <r>
    <x v="8"/>
    <x v="196"/>
    <d v="1902-03-26T00:00:00"/>
    <s v="3RD"/>
    <d v="1899-12-31T02:00:00"/>
    <n v="2"/>
    <x v="5"/>
    <s v="-"/>
    <s v="P"/>
    <s v="P"/>
    <s v="P"/>
    <s v="-"/>
    <s v="+"/>
    <n v="10.65"/>
    <s v="-"/>
    <s v="-"/>
    <s v="-"/>
    <s v="-"/>
    <s v="-"/>
    <s v="-"/>
    <s v="-"/>
    <s v="-"/>
    <s v="P"/>
    <s v="P"/>
    <n v="1"/>
    <s v="-"/>
    <n v="1"/>
    <n v="2"/>
    <n v="0"/>
    <s v="-"/>
    <s v="-"/>
    <s v="-"/>
    <s v="-"/>
    <s v="-"/>
    <s v="-"/>
    <s v="-"/>
    <n v="3"/>
    <n v="4"/>
    <s v="-"/>
    <n v="1"/>
    <n v="1"/>
    <n v="2"/>
    <n v="2"/>
    <n v="5"/>
    <n v="6"/>
  </r>
  <r>
    <x v="8"/>
    <x v="196"/>
    <d v="1902-03-26T00:00:00"/>
    <s v="3RD"/>
    <d v="1899-12-31T03:00:00"/>
    <n v="2"/>
    <x v="5"/>
    <s v="-"/>
    <s v="P"/>
    <s v="P"/>
    <s v="P"/>
    <s v="-"/>
    <s v="+"/>
    <n v="10.73"/>
    <s v="-"/>
    <s v="-"/>
    <s v="-"/>
    <s v="-"/>
    <s v="-"/>
    <s v="-"/>
    <s v="-"/>
    <s v="-"/>
    <s v="P"/>
    <s v="P"/>
    <n v="1"/>
    <s v="-"/>
    <n v="1"/>
    <n v="2"/>
    <n v="0"/>
    <s v="-"/>
    <s v="-"/>
    <s v="-"/>
    <s v="-"/>
    <s v="-"/>
    <s v="-"/>
    <s v="-"/>
    <n v="3"/>
    <n v="4"/>
    <s v="-"/>
    <n v="1"/>
    <n v="1"/>
    <n v="2"/>
    <n v="2"/>
    <n v="5"/>
    <n v="6"/>
  </r>
  <r>
    <x v="8"/>
    <x v="196"/>
    <d v="1902-03-26T00:00:00"/>
    <s v="3RD"/>
    <d v="1899-12-31T04:00:00"/>
    <n v="2"/>
    <x v="5"/>
    <s v="-"/>
    <s v="P"/>
    <s v="P"/>
    <s v="P"/>
    <s v="-"/>
    <s v="+"/>
    <n v="10.89"/>
    <s v="-"/>
    <s v="-"/>
    <s v="-"/>
    <s v="-"/>
    <s v="-"/>
    <s v="-"/>
    <s v="-"/>
    <s v="-"/>
    <s v="P"/>
    <s v="P"/>
    <s v="-"/>
    <s v="-"/>
    <n v="1"/>
    <n v="2"/>
    <n v="0"/>
    <s v="-"/>
    <s v="-"/>
    <s v="-"/>
    <s v="-"/>
    <s v="-"/>
    <s v="-"/>
    <s v="-"/>
    <n v="3"/>
    <n v="4"/>
    <s v="-"/>
    <n v="1"/>
    <n v="1"/>
    <n v="2"/>
    <n v="2"/>
    <n v="5"/>
    <n v="6"/>
  </r>
  <r>
    <x v="8"/>
    <x v="196"/>
    <d v="2026-09-03T00:00:00"/>
    <s v="3RD"/>
    <d v="1899-12-30T22:00:00"/>
    <n v="3"/>
    <x v="1"/>
    <n v="0.02"/>
    <s v="P"/>
    <s v="P"/>
    <s v="P"/>
    <s v="+"/>
    <s v="+"/>
    <n v="12.31"/>
    <n v="12.24"/>
    <n v="0.5"/>
    <n v="64.099999999999994"/>
    <s v="-"/>
    <s v="-"/>
    <s v="-"/>
    <n v="36.1"/>
    <s v="-"/>
    <s v="P"/>
    <s v="P"/>
    <s v="85/5/10%"/>
    <n v="2"/>
    <n v="1"/>
    <n v="2"/>
    <n v="1"/>
    <n v="1"/>
    <n v="2"/>
    <n v="2"/>
    <s v="-"/>
    <s v="-"/>
    <s v="-"/>
    <n v="0"/>
    <n v="11"/>
    <n v="12"/>
    <s v="-"/>
    <n v="1"/>
    <n v="1"/>
    <n v="2"/>
    <n v="2"/>
    <n v="13"/>
    <n v="14"/>
  </r>
  <r>
    <x v="8"/>
    <x v="196"/>
    <d v="2026-09-03T00:00:00"/>
    <s v="3RD"/>
    <d v="1899-12-30T23:00:00"/>
    <n v="3"/>
    <x v="1"/>
    <n v="0.02"/>
    <s v="P"/>
    <s v="P"/>
    <s v="P"/>
    <s v="+"/>
    <s v="+"/>
    <n v="11.72"/>
    <s v="-"/>
    <s v="-"/>
    <s v="-"/>
    <s v="-"/>
    <s v="-"/>
    <s v="-"/>
    <s v="-"/>
    <s v="-"/>
    <s v="P"/>
    <s v="P"/>
    <s v="85/5/10%"/>
    <n v="2"/>
    <n v="1"/>
    <n v="2"/>
    <n v="0"/>
    <s v="-"/>
    <s v="-"/>
    <s v="-"/>
    <s v="-"/>
    <s v="-"/>
    <s v="-"/>
    <s v="-"/>
    <n v="5"/>
    <n v="6"/>
    <s v="-"/>
    <n v="1"/>
    <n v="1"/>
    <n v="2"/>
    <n v="2"/>
    <n v="7"/>
    <n v="8"/>
  </r>
  <r>
    <x v="8"/>
    <x v="196"/>
    <d v="2026-09-05T00:00:00"/>
    <s v="3RD"/>
    <d v="1899-12-31T00:00:00"/>
    <n v="3"/>
    <x v="1"/>
    <n v="7.0000000000000007E-2"/>
    <s v="F"/>
    <s v="P"/>
    <s v="P"/>
    <s v="+"/>
    <s v="+"/>
    <s v="-"/>
    <s v="-"/>
    <s v="-"/>
    <s v="-"/>
    <s v="-"/>
    <s v="-"/>
    <s v="-"/>
    <s v="-"/>
    <s v="-"/>
    <s v="P"/>
    <s v="P"/>
    <s v="85/5/10%"/>
    <n v="0"/>
    <n v="0"/>
    <n v="2"/>
    <s v="-"/>
    <s v="-"/>
    <s v="-"/>
    <s v="-"/>
    <s v="-"/>
    <s v="-"/>
    <s v="-"/>
    <s v="-"/>
    <n v="2"/>
    <n v="5"/>
    <s v="-"/>
    <n v="1"/>
    <n v="1"/>
    <n v="2"/>
    <n v="2"/>
    <n v="4"/>
    <n v="7"/>
  </r>
  <r>
    <x v="8"/>
    <x v="196"/>
    <d v="2026-09-05T00:00:00"/>
    <s v="3RD"/>
    <d v="1899-12-31T01:00:00"/>
    <n v="3"/>
    <x v="1"/>
    <n v="0.02"/>
    <s v="-"/>
    <s v="-"/>
    <s v="-"/>
    <s v="-"/>
    <s v="-"/>
    <n v="12.3"/>
    <s v="-"/>
    <s v="-"/>
    <s v="-"/>
    <s v="-"/>
    <s v="-"/>
    <s v="-"/>
    <s v="-"/>
    <s v="-"/>
    <s v="P"/>
    <s v="P"/>
    <s v="85/5/10%"/>
    <n v="2"/>
    <s v="-"/>
    <s v="-"/>
    <n v="1"/>
    <s v="-"/>
    <s v="-"/>
    <s v="-"/>
    <s v="-"/>
    <s v="-"/>
    <s v="-"/>
    <s v="-"/>
    <n v="3"/>
    <n v="3"/>
    <s v="-"/>
    <n v="1"/>
    <n v="1"/>
    <n v="2"/>
    <n v="2"/>
    <n v="5"/>
    <n v="5"/>
  </r>
  <r>
    <x v="8"/>
    <x v="196"/>
    <d v="2026-09-05T00:00:00"/>
    <s v="3RD"/>
    <d v="1899-12-31T02:00:00"/>
    <n v="3"/>
    <x v="1"/>
    <n v="0.01"/>
    <s v="P"/>
    <s v="P"/>
    <s v="P"/>
    <s v="+"/>
    <s v="+"/>
    <n v="12.3"/>
    <s v="-"/>
    <s v="-"/>
    <s v="-"/>
    <s v="-"/>
    <s v="-"/>
    <s v="-"/>
    <s v="-"/>
    <s v="-"/>
    <s v="P"/>
    <s v="P"/>
    <s v="85/5/10%"/>
    <n v="2"/>
    <n v="1"/>
    <n v="2"/>
    <n v="1"/>
    <s v="-"/>
    <s v="-"/>
    <s v="-"/>
    <s v="-"/>
    <s v="-"/>
    <s v="-"/>
    <s v="-"/>
    <n v="6"/>
    <n v="6"/>
    <s v="-"/>
    <n v="1"/>
    <n v="1"/>
    <n v="2"/>
    <n v="2"/>
    <n v="8"/>
    <n v="8"/>
  </r>
  <r>
    <x v="8"/>
    <x v="196"/>
    <d v="2026-09-05T00:00:00"/>
    <s v="3RD"/>
    <d v="1899-12-31T04:00:00"/>
    <n v="3"/>
    <x v="1"/>
    <n v="0.02"/>
    <s v="P"/>
    <s v="P"/>
    <s v="P"/>
    <s v="+"/>
    <s v="+"/>
    <n v="12.09"/>
    <s v="-"/>
    <s v="-"/>
    <s v="-"/>
    <s v="-"/>
    <s v="-"/>
    <s v="-"/>
    <s v="-"/>
    <s v="-"/>
    <s v="P"/>
    <s v="P"/>
    <s v="85/5/10%"/>
    <n v="2"/>
    <n v="1"/>
    <n v="2"/>
    <n v="1"/>
    <s v="-"/>
    <s v="-"/>
    <s v="-"/>
    <s v="-"/>
    <s v="-"/>
    <s v="-"/>
    <s v="-"/>
    <n v="6"/>
    <n v="6"/>
    <s v="-"/>
    <n v="1"/>
    <n v="1"/>
    <n v="2"/>
    <n v="2"/>
    <n v="8"/>
    <n v="8"/>
  </r>
  <r>
    <x v="8"/>
    <x v="196"/>
    <d v="2026-09-05T00:00:00"/>
    <s v="3RD"/>
    <d v="1899-12-31T05:00:00"/>
    <n v="3"/>
    <x v="1"/>
    <n v="0.02"/>
    <s v="P"/>
    <s v="P"/>
    <s v="P"/>
    <s v="+"/>
    <s v="+"/>
    <n v="12.06"/>
    <s v="-"/>
    <s v="-"/>
    <s v="-"/>
    <s v="-"/>
    <s v="-"/>
    <s v="-"/>
    <s v="-"/>
    <s v="-"/>
    <s v="P"/>
    <s v="P"/>
    <s v="85/5/10%"/>
    <n v="2"/>
    <n v="1"/>
    <n v="2"/>
    <n v="1"/>
    <s v="-"/>
    <s v="-"/>
    <s v="-"/>
    <s v="-"/>
    <s v="-"/>
    <s v="-"/>
    <s v="-"/>
    <n v="6"/>
    <n v="6"/>
    <s v="-"/>
    <n v="1"/>
    <n v="1"/>
    <n v="2"/>
    <n v="2"/>
    <n v="8"/>
    <n v="8"/>
  </r>
  <r>
    <x v="8"/>
    <x v="197"/>
    <d v="2026-09-04T00:00:00"/>
    <s v="1ST"/>
    <s v="06:00"/>
    <n v="1"/>
    <x v="22"/>
    <s v="-"/>
    <s v="P"/>
    <s v="P"/>
    <s v="P"/>
    <s v="-"/>
    <s v="-"/>
    <n v="11.07"/>
    <n v="9.59"/>
    <n v="0.54"/>
    <n v="52.3"/>
    <s v="-"/>
    <s v="-"/>
    <n v="26.2"/>
    <s v="-"/>
    <s v="-"/>
    <s v="P"/>
    <s v="P"/>
    <n v="1"/>
    <s v="-"/>
    <n v="1"/>
    <n v="2"/>
    <n v="1"/>
    <n v="1"/>
    <n v="2"/>
    <n v="0"/>
    <s v="-"/>
    <s v="-"/>
    <n v="2"/>
    <s v="-"/>
    <n v="9"/>
    <n v="11"/>
    <s v="-"/>
    <n v="1"/>
    <n v="1"/>
    <n v="2"/>
    <n v="2"/>
    <n v="11"/>
    <n v="13"/>
  </r>
  <r>
    <x v="8"/>
    <x v="197"/>
    <d v="2026-09-04T00:00:00"/>
    <s v="1ST"/>
    <s v="07:00"/>
    <n v="1"/>
    <x v="22"/>
    <s v="-"/>
    <s v="P"/>
    <s v="P"/>
    <s v="P"/>
    <s v="-"/>
    <s v="-"/>
    <n v="11.03"/>
    <s v="-"/>
    <s v="-"/>
    <s v="-"/>
    <s v="-"/>
    <s v="-"/>
    <s v="-"/>
    <s v="-"/>
    <s v="-"/>
    <s v="P"/>
    <s v="P"/>
    <s v="-"/>
    <s v="-"/>
    <n v="1"/>
    <n v="2"/>
    <n v="1"/>
    <s v="-"/>
    <s v="-"/>
    <s v="-"/>
    <s v="-"/>
    <s v="-"/>
    <s v="-"/>
    <s v="-"/>
    <n v="4"/>
    <n v="4"/>
    <s v="-"/>
    <n v="1"/>
    <n v="1"/>
    <n v="2"/>
    <n v="2"/>
    <n v="6"/>
    <n v="6"/>
  </r>
  <r>
    <x v="8"/>
    <x v="197"/>
    <d v="2026-09-04T00:00:00"/>
    <s v="1ST"/>
    <s v="08:00"/>
    <n v="1"/>
    <x v="22"/>
    <s v="-"/>
    <s v="P"/>
    <s v="P"/>
    <s v="P"/>
    <s v="-"/>
    <s v="-"/>
    <n v="11.07"/>
    <s v="-"/>
    <s v="-"/>
    <s v="-"/>
    <s v="-"/>
    <s v="-"/>
    <s v="-"/>
    <s v="-"/>
    <s v="-"/>
    <s v="P"/>
    <s v="P"/>
    <s v="-"/>
    <s v="-"/>
    <n v="1"/>
    <n v="2"/>
    <n v="1"/>
    <s v="-"/>
    <s v="-"/>
    <s v="-"/>
    <s v="-"/>
    <s v="-"/>
    <s v="-"/>
    <s v="-"/>
    <n v="4"/>
    <n v="4"/>
    <s v="-"/>
    <n v="1"/>
    <n v="1"/>
    <n v="2"/>
    <n v="2"/>
    <n v="6"/>
    <n v="6"/>
  </r>
  <r>
    <x v="8"/>
    <x v="197"/>
    <d v="2026-09-04T00:00:00"/>
    <s v="1ST"/>
    <s v="09:00"/>
    <n v="1"/>
    <x v="22"/>
    <s v="-"/>
    <s v="P"/>
    <s v="P"/>
    <s v="P"/>
    <s v="-"/>
    <s v="-"/>
    <s v="-"/>
    <s v="-"/>
    <s v="-"/>
    <s v="-"/>
    <s v="-"/>
    <s v="-"/>
    <s v="-"/>
    <s v="-"/>
    <s v="-"/>
    <s v="P"/>
    <s v="P"/>
    <s v="-"/>
    <s v="-"/>
    <n v="1"/>
    <n v="2"/>
    <s v="-"/>
    <s v="-"/>
    <s v="-"/>
    <s v="-"/>
    <s v="-"/>
    <s v="-"/>
    <s v="-"/>
    <s v="-"/>
    <n v="3"/>
    <n v="3"/>
    <s v="-"/>
    <n v="1"/>
    <n v="1"/>
    <n v="2"/>
    <n v="2"/>
    <n v="5"/>
    <n v="5"/>
  </r>
  <r>
    <x v="8"/>
    <x v="197"/>
    <d v="2026-09-05T00:00:00"/>
    <s v="1ST"/>
    <s v="10:00"/>
    <n v="1"/>
    <x v="20"/>
    <s v="-"/>
    <s v="-"/>
    <s v="P"/>
    <s v="P"/>
    <s v="-"/>
    <s v="-"/>
    <n v="11.22"/>
    <n v="11.67"/>
    <n v="0.5"/>
    <n v="63.7"/>
    <s v="-"/>
    <s v="-"/>
    <n v="32.4"/>
    <s v="-"/>
    <s v="-"/>
    <s v="P"/>
    <s v="P"/>
    <s v="80% 20%"/>
    <s v="-"/>
    <s v="-"/>
    <n v="2"/>
    <n v="1"/>
    <n v="0"/>
    <n v="2"/>
    <n v="2"/>
    <s v="-"/>
    <s v="-"/>
    <n v="2"/>
    <s v="-"/>
    <n v="9"/>
    <n v="10"/>
    <s v="-"/>
    <n v="1"/>
    <n v="1"/>
    <n v="2"/>
    <n v="2"/>
    <n v="11"/>
    <n v="12"/>
  </r>
  <r>
    <x v="8"/>
    <x v="197"/>
    <d v="2026-09-05T00:00:00"/>
    <s v="1ST"/>
    <s v="11:00"/>
    <n v="1"/>
    <x v="20"/>
    <s v="-"/>
    <s v="P"/>
    <s v="P"/>
    <s v="P"/>
    <s v="-"/>
    <s v="-"/>
    <n v="12.38"/>
    <s v="-"/>
    <s v="-"/>
    <s v="-"/>
    <s v="-"/>
    <s v="-"/>
    <s v="-"/>
    <s v="-"/>
    <s v="-"/>
    <s v="P"/>
    <s v="P"/>
    <s v="-"/>
    <s v="-"/>
    <n v="1"/>
    <n v="2"/>
    <n v="1"/>
    <s v="-"/>
    <s v="-"/>
    <s v="-"/>
    <s v="-"/>
    <s v="-"/>
    <s v="-"/>
    <s v="-"/>
    <n v="4"/>
    <n v="4"/>
    <s v="-"/>
    <n v="1"/>
    <n v="1"/>
    <n v="2"/>
    <n v="2"/>
    <n v="6"/>
    <n v="6"/>
  </r>
  <r>
    <x v="8"/>
    <x v="197"/>
    <d v="2026-09-05T00:00:00"/>
    <s v="1ST"/>
    <s v="12:00"/>
    <n v="1"/>
    <x v="20"/>
    <s v="-"/>
    <s v="P"/>
    <s v="P"/>
    <s v="P"/>
    <s v="-"/>
    <s v="-"/>
    <n v="12.4"/>
    <s v="-"/>
    <s v="-"/>
    <s v="-"/>
    <s v="-"/>
    <s v="-"/>
    <s v="-"/>
    <s v="-"/>
    <s v="-"/>
    <s v="P"/>
    <s v="P"/>
    <s v="-"/>
    <s v="-"/>
    <n v="1"/>
    <n v="2"/>
    <n v="1"/>
    <s v="-"/>
    <s v="-"/>
    <s v="-"/>
    <s v="-"/>
    <s v="-"/>
    <s v="-"/>
    <s v="-"/>
    <n v="4"/>
    <n v="4"/>
    <s v="-"/>
    <n v="1"/>
    <n v="1"/>
    <n v="2"/>
    <n v="2"/>
    <n v="6"/>
    <n v="6"/>
  </r>
  <r>
    <x v="8"/>
    <x v="197"/>
    <d v="1902-03-23T00:00:00"/>
    <s v="1ST"/>
    <s v="06:00"/>
    <n v="2"/>
    <x v="21"/>
    <s v="-"/>
    <s v="P"/>
    <s v="P"/>
    <s v="P"/>
    <s v="-"/>
    <s v="+"/>
    <n v="10.59"/>
    <s v="-"/>
    <s v="-"/>
    <s v="-"/>
    <s v="-"/>
    <s v="-"/>
    <s v="-"/>
    <s v="-"/>
    <s v="-"/>
    <s v="P"/>
    <s v="P"/>
    <s v="-"/>
    <s v="-"/>
    <n v="1"/>
    <n v="2"/>
    <n v="0"/>
    <s v="-"/>
    <s v="-"/>
    <s v="-"/>
    <s v="-"/>
    <s v="-"/>
    <s v="-"/>
    <s v="-"/>
    <n v="3"/>
    <n v="4"/>
    <s v="-"/>
    <n v="1"/>
    <n v="1"/>
    <n v="2"/>
    <n v="2"/>
    <n v="5"/>
    <n v="6"/>
  </r>
  <r>
    <x v="8"/>
    <x v="197"/>
    <d v="1899-12-30T00:00:00"/>
    <s v="1ST"/>
    <s v="08:00"/>
    <n v="2"/>
    <x v="21"/>
    <s v="-"/>
    <s v="P"/>
    <s v="P"/>
    <s v="P"/>
    <s v="-"/>
    <s v="+"/>
    <n v="11.73"/>
    <s v="-"/>
    <s v="-"/>
    <s v="-"/>
    <s v="-"/>
    <s v="-"/>
    <s v="-"/>
    <s v="-"/>
    <s v="-"/>
    <s v="P"/>
    <s v="P"/>
    <s v="-"/>
    <s v="-"/>
    <n v="1"/>
    <n v="2"/>
    <n v="1"/>
    <s v="-"/>
    <s v="-"/>
    <s v="-"/>
    <s v="-"/>
    <s v="-"/>
    <s v="-"/>
    <s v="-"/>
    <n v="4"/>
    <n v="4"/>
    <s v="-"/>
    <n v="1"/>
    <n v="1"/>
    <n v="2"/>
    <n v="2"/>
    <n v="6"/>
    <n v="6"/>
  </r>
  <r>
    <x v="8"/>
    <x v="197"/>
    <d v="1899-12-30T00:00:00"/>
    <s v="1ST"/>
    <s v="09:00"/>
    <n v="2"/>
    <x v="21"/>
    <s v="-"/>
    <s v="P"/>
    <s v="P"/>
    <s v="P"/>
    <s v="-"/>
    <s v="+"/>
    <n v="11.08"/>
    <s v="-"/>
    <s v="-"/>
    <s v="-"/>
    <s v="-"/>
    <s v="-"/>
    <s v="-"/>
    <s v="-"/>
    <s v="-"/>
    <s v="P"/>
    <s v="P"/>
    <s v="-"/>
    <s v="-"/>
    <n v="1"/>
    <n v="2"/>
    <n v="1"/>
    <s v="-"/>
    <s v="-"/>
    <s v="-"/>
    <s v="-"/>
    <s v="-"/>
    <s v="-"/>
    <s v="-"/>
    <n v="4"/>
    <n v="4"/>
    <s v="-"/>
    <n v="1"/>
    <n v="1"/>
    <n v="2"/>
    <n v="2"/>
    <n v="6"/>
    <n v="6"/>
  </r>
  <r>
    <x v="8"/>
    <x v="197"/>
    <d v="1899-12-30T00:00:00"/>
    <s v="1ST"/>
    <s v="10:00"/>
    <n v="2"/>
    <x v="21"/>
    <s v="-"/>
    <s v="P"/>
    <s v="P"/>
    <s v="P"/>
    <s v="-"/>
    <s v="+"/>
    <n v="11.18"/>
    <s v="-"/>
    <s v="-"/>
    <s v="-"/>
    <s v="-"/>
    <s v="-"/>
    <s v="-"/>
    <s v="-"/>
    <s v="-"/>
    <s v="P"/>
    <s v="P"/>
    <s v="-"/>
    <s v="-"/>
    <n v="1"/>
    <n v="2"/>
    <n v="1"/>
    <s v="-"/>
    <s v="-"/>
    <s v="-"/>
    <s v="-"/>
    <s v="-"/>
    <s v="-"/>
    <s v="-"/>
    <n v="4"/>
    <n v="4"/>
    <s v="-"/>
    <n v="1"/>
    <n v="1"/>
    <n v="2"/>
    <n v="2"/>
    <n v="6"/>
    <n v="6"/>
  </r>
  <r>
    <x v="8"/>
    <x v="197"/>
    <d v="1899-12-30T00:00:00"/>
    <s v="1ST"/>
    <s v="11:00"/>
    <n v="2"/>
    <x v="21"/>
    <s v="-"/>
    <s v="P"/>
    <s v="P"/>
    <s v="P"/>
    <s v="-"/>
    <s v="+"/>
    <n v="11.06"/>
    <s v="-"/>
    <s v="-"/>
    <s v="-"/>
    <s v="-"/>
    <s v="-"/>
    <s v="-"/>
    <s v="-"/>
    <s v="-"/>
    <s v="P"/>
    <s v="P"/>
    <s v="-"/>
    <s v="-"/>
    <n v="1"/>
    <n v="2"/>
    <n v="1"/>
    <s v="-"/>
    <s v="-"/>
    <s v="-"/>
    <s v="-"/>
    <s v="-"/>
    <s v="-"/>
    <s v="-"/>
    <n v="4"/>
    <n v="4"/>
    <s v="-"/>
    <n v="1"/>
    <n v="1"/>
    <n v="2"/>
    <n v="2"/>
    <n v="6"/>
    <n v="6"/>
  </r>
  <r>
    <x v="8"/>
    <x v="197"/>
    <d v="1899-12-30T00:00:00"/>
    <s v="1ST"/>
    <s v="12:00"/>
    <n v="2"/>
    <x v="21"/>
    <s v="-"/>
    <s v="P"/>
    <s v="P"/>
    <s v="P"/>
    <s v="-"/>
    <s v="+"/>
    <n v="10.98"/>
    <s v="-"/>
    <s v="-"/>
    <s v="-"/>
    <s v="-"/>
    <s v="-"/>
    <s v="-"/>
    <s v="-"/>
    <s v="-"/>
    <s v="P"/>
    <s v="P"/>
    <s v="-"/>
    <s v="-"/>
    <n v="1"/>
    <n v="2"/>
    <n v="0"/>
    <s v="-"/>
    <s v="-"/>
    <s v="-"/>
    <s v="-"/>
    <s v="-"/>
    <s v="-"/>
    <s v="-"/>
    <n v="3"/>
    <n v="4"/>
    <s v="-"/>
    <n v="1"/>
    <n v="1"/>
    <n v="2"/>
    <n v="2"/>
    <n v="5"/>
    <n v="6"/>
  </r>
  <r>
    <x v="8"/>
    <x v="197"/>
    <d v="1899-12-30T00:00:00"/>
    <s v="1ST"/>
    <s v="13:00"/>
    <n v="2"/>
    <x v="21"/>
    <s v="-"/>
    <s v="P"/>
    <s v="P"/>
    <s v="P"/>
    <s v="-"/>
    <s v="+"/>
    <n v="10.83"/>
    <s v="-"/>
    <s v="-"/>
    <s v="-"/>
    <s v="-"/>
    <s v="-"/>
    <s v="-"/>
    <s v="-"/>
    <s v="-"/>
    <s v="P"/>
    <s v="P"/>
    <s v="-"/>
    <s v="-"/>
    <n v="1"/>
    <n v="2"/>
    <n v="0"/>
    <s v="-"/>
    <s v="-"/>
    <s v="-"/>
    <s v="-"/>
    <s v="-"/>
    <s v="-"/>
    <s v="-"/>
    <n v="3"/>
    <n v="4"/>
    <s v="-"/>
    <n v="1"/>
    <n v="1"/>
    <n v="2"/>
    <n v="2"/>
    <n v="5"/>
    <n v="6"/>
  </r>
  <r>
    <x v="8"/>
    <x v="197"/>
    <d v="2026-09-05T00:00:00"/>
    <s v="1ST"/>
    <s v="06:00"/>
    <n v="3"/>
    <x v="1"/>
    <n v="0.01"/>
    <s v="P"/>
    <s v="P"/>
    <s v="P"/>
    <s v="+"/>
    <s v="+"/>
    <n v="12.05"/>
    <n v="12.45"/>
    <n v="0.6"/>
    <n v="63.9"/>
    <s v="-"/>
    <s v="-"/>
    <n v="34.799999999999997"/>
    <s v="-"/>
    <s v="-"/>
    <s v="P"/>
    <s v="P"/>
    <s v="85% 15%"/>
    <n v="2"/>
    <n v="1"/>
    <n v="2"/>
    <n v="1"/>
    <n v="1"/>
    <n v="2"/>
    <n v="0"/>
    <s v="-"/>
    <s v="-"/>
    <n v="2"/>
    <s v="-"/>
    <n v="11"/>
    <n v="13"/>
    <s v="-"/>
    <n v="1"/>
    <n v="1"/>
    <n v="2"/>
    <n v="2"/>
    <n v="13"/>
    <n v="15"/>
  </r>
  <r>
    <x v="8"/>
    <x v="197"/>
    <d v="2026-09-05T00:00:00"/>
    <s v="1ST"/>
    <s v="07:00"/>
    <n v="3"/>
    <x v="1"/>
    <n v="0.01"/>
    <s v="P"/>
    <s v="P"/>
    <s v="P"/>
    <s v="+"/>
    <s v="+"/>
    <n v="12.13"/>
    <s v="-"/>
    <s v="-"/>
    <s v="-"/>
    <s v="-"/>
    <s v="-"/>
    <s v="-"/>
    <s v="-"/>
    <s v="-"/>
    <s v="P"/>
    <s v="P"/>
    <s v="-"/>
    <n v="2"/>
    <n v="1"/>
    <n v="2"/>
    <n v="1"/>
    <s v="-"/>
    <s v="-"/>
    <s v="-"/>
    <s v="-"/>
    <s v="-"/>
    <s v="-"/>
    <s v="-"/>
    <n v="6"/>
    <n v="6"/>
    <s v="-"/>
    <n v="1"/>
    <n v="1"/>
    <n v="2"/>
    <n v="2"/>
    <n v="8"/>
    <n v="8"/>
  </r>
  <r>
    <x v="8"/>
    <x v="197"/>
    <d v="2026-09-05T00:00:00"/>
    <s v="1ST"/>
    <s v="08:00"/>
    <n v="3"/>
    <x v="1"/>
    <n v="0.01"/>
    <s v="P"/>
    <s v="P"/>
    <s v="P"/>
    <s v="+"/>
    <s v="+"/>
    <n v="11.14"/>
    <s v="-"/>
    <s v="-"/>
    <s v="-"/>
    <s v="-"/>
    <s v="-"/>
    <s v="-"/>
    <s v="-"/>
    <s v="-"/>
    <s v="P"/>
    <s v="P"/>
    <s v="-"/>
    <n v="2"/>
    <n v="1"/>
    <n v="2"/>
    <n v="0"/>
    <s v="-"/>
    <s v="-"/>
    <s v="-"/>
    <s v="-"/>
    <s v="-"/>
    <s v="-"/>
    <s v="-"/>
    <n v="5"/>
    <n v="6"/>
    <s v="-"/>
    <n v="1"/>
    <n v="1"/>
    <n v="2"/>
    <n v="2"/>
    <n v="7"/>
    <n v="8"/>
  </r>
  <r>
    <x v="8"/>
    <x v="197"/>
    <d v="2026-09-05T00:00:00"/>
    <s v="2ND"/>
    <d v="1899-12-30T14:00:00"/>
    <n v="1"/>
    <x v="20"/>
    <n v="0.01"/>
    <s v="P"/>
    <s v="P"/>
    <s v="P"/>
    <s v="-"/>
    <s v="-"/>
    <n v="12.4"/>
    <n v="11.55"/>
    <s v="-"/>
    <s v="-"/>
    <s v="-"/>
    <s v="-"/>
    <n v="32.299999999999997"/>
    <s v="-"/>
    <s v="-"/>
    <s v="P"/>
    <s v="P"/>
    <s v="80%  20%"/>
    <n v="2"/>
    <n v="1"/>
    <n v="2"/>
    <n v="1"/>
    <n v="0"/>
    <s v="-"/>
    <s v="-"/>
    <s v="-"/>
    <s v="-"/>
    <n v="2"/>
    <s v="-"/>
    <n v="8"/>
    <n v="9"/>
    <s v="-"/>
    <n v="1"/>
    <n v="1"/>
    <n v="2"/>
    <n v="2"/>
    <n v="10"/>
    <n v="11"/>
  </r>
  <r>
    <x v="8"/>
    <x v="197"/>
    <d v="2026-09-05T00:00:00"/>
    <s v="2ND"/>
    <d v="1899-12-30T15:00:00"/>
    <n v="1"/>
    <x v="20"/>
    <n v="0.01"/>
    <s v="P"/>
    <s v="P"/>
    <s v="P"/>
    <s v="-"/>
    <s v="-"/>
    <n v="12.25"/>
    <s v="-"/>
    <s v="-"/>
    <s v="-"/>
    <s v="-"/>
    <s v="-"/>
    <s v="-"/>
    <s v="-"/>
    <s v="-"/>
    <s v="P"/>
    <s v="P"/>
    <s v="80%  20%"/>
    <n v="2"/>
    <n v="1"/>
    <n v="2"/>
    <n v="1"/>
    <s v="-"/>
    <s v="-"/>
    <s v="-"/>
    <s v="-"/>
    <s v="-"/>
    <s v="-"/>
    <s v="-"/>
    <n v="6"/>
    <n v="6"/>
    <s v="-"/>
    <n v="1"/>
    <n v="1"/>
    <n v="2"/>
    <n v="2"/>
    <n v="8"/>
    <n v="8"/>
  </r>
  <r>
    <x v="8"/>
    <x v="197"/>
    <d v="2026-09-05T00:00:00"/>
    <s v="2ND"/>
    <d v="1899-12-30T16:00:00"/>
    <n v="1"/>
    <x v="20"/>
    <n v="0.01"/>
    <s v="P"/>
    <s v="P"/>
    <s v="P"/>
    <s v="-"/>
    <s v="-"/>
    <n v="12.18"/>
    <s v="-"/>
    <s v="-"/>
    <s v="-"/>
    <s v="-"/>
    <s v="-"/>
    <s v="-"/>
    <s v="-"/>
    <s v="-"/>
    <s v="P"/>
    <s v="P"/>
    <s v="80%  20%"/>
    <n v="2"/>
    <n v="1"/>
    <n v="2"/>
    <n v="1"/>
    <s v="-"/>
    <s v="-"/>
    <s v="-"/>
    <s v="-"/>
    <s v="-"/>
    <s v="-"/>
    <s v="-"/>
    <n v="6"/>
    <n v="6"/>
    <s v="-"/>
    <n v="1"/>
    <n v="1"/>
    <n v="2"/>
    <n v="2"/>
    <n v="8"/>
    <n v="8"/>
  </r>
  <r>
    <x v="8"/>
    <x v="197"/>
    <d v="2026-09-05T00:00:00"/>
    <s v="2ND"/>
    <d v="1899-12-30T18:00:00"/>
    <n v="1"/>
    <x v="20"/>
    <n v="0.02"/>
    <s v="-"/>
    <s v="P"/>
    <s v="P"/>
    <s v="-"/>
    <s v="-"/>
    <n v="12.64"/>
    <s v="-"/>
    <s v="-"/>
    <s v="-"/>
    <s v="-"/>
    <s v="-"/>
    <s v="-"/>
    <s v="-"/>
    <s v="-"/>
    <s v="P"/>
    <s v="P"/>
    <s v="80%  20%"/>
    <n v="2"/>
    <s v="-"/>
    <n v="2"/>
    <n v="1"/>
    <s v="-"/>
    <s v="-"/>
    <s v="-"/>
    <s v="-"/>
    <s v="-"/>
    <s v="-"/>
    <s v="-"/>
    <n v="5"/>
    <n v="5"/>
    <s v="-"/>
    <n v="1"/>
    <n v="1"/>
    <n v="2"/>
    <n v="2"/>
    <n v="7"/>
    <n v="7"/>
  </r>
  <r>
    <x v="8"/>
    <x v="197"/>
    <d v="2026-09-05T00:00:00"/>
    <s v="2ND"/>
    <d v="1899-12-30T19:00:00"/>
    <n v="1"/>
    <x v="20"/>
    <n v="0.02"/>
    <s v="P"/>
    <s v="P"/>
    <s v="P"/>
    <s v="-"/>
    <s v="-"/>
    <n v="12.48"/>
    <s v="-"/>
    <s v="-"/>
    <s v="-"/>
    <s v="-"/>
    <s v="-"/>
    <s v="-"/>
    <s v="-"/>
    <s v="-"/>
    <s v="P"/>
    <s v="P"/>
    <s v="80%  20%"/>
    <n v="2"/>
    <n v="1"/>
    <n v="2"/>
    <n v="1"/>
    <s v="-"/>
    <s v="-"/>
    <s v="-"/>
    <s v="-"/>
    <s v="-"/>
    <s v="-"/>
    <s v="-"/>
    <n v="6"/>
    <n v="6"/>
    <s v="-"/>
    <n v="1"/>
    <n v="1"/>
    <n v="2"/>
    <n v="2"/>
    <n v="8"/>
    <n v="8"/>
  </r>
  <r>
    <x v="8"/>
    <x v="197"/>
    <d v="2026-09-05T00:00:00"/>
    <s v="2ND"/>
    <d v="1899-12-30T20:00:00"/>
    <n v="1"/>
    <x v="20"/>
    <n v="0.02"/>
    <s v="P"/>
    <s v="P"/>
    <s v="P"/>
    <s v="-"/>
    <s v="-"/>
    <n v="12.44"/>
    <s v="-"/>
    <s v="-"/>
    <s v="-"/>
    <s v="-"/>
    <s v="-"/>
    <s v="-"/>
    <s v="-"/>
    <s v="-"/>
    <s v="P"/>
    <s v="P"/>
    <s v="80%  20%"/>
    <n v="2"/>
    <n v="1"/>
    <n v="2"/>
    <n v="1"/>
    <s v="-"/>
    <s v="-"/>
    <s v="-"/>
    <s v="-"/>
    <s v="-"/>
    <s v="-"/>
    <s v="-"/>
    <n v="6"/>
    <n v="6"/>
    <s v="-"/>
    <n v="1"/>
    <n v="1"/>
    <n v="2"/>
    <n v="2"/>
    <n v="8"/>
    <n v="8"/>
  </r>
  <r>
    <x v="8"/>
    <x v="197"/>
    <d v="1902-03-26T00:00:00"/>
    <s v="2ND"/>
    <d v="1899-12-30T14:00:00"/>
    <n v="2"/>
    <x v="21"/>
    <s v="-"/>
    <s v="P"/>
    <s v="P"/>
    <s v="P"/>
    <s v="-"/>
    <s v="+"/>
    <n v="10.81"/>
    <s v="-"/>
    <s v="-"/>
    <s v="-"/>
    <s v="-"/>
    <s v="-"/>
    <s v="-"/>
    <s v="-"/>
    <s v="-"/>
    <s v="P"/>
    <s v="P"/>
    <n v="1"/>
    <s v="-"/>
    <n v="1"/>
    <n v="2"/>
    <n v="0"/>
    <s v="-"/>
    <s v="-"/>
    <s v="-"/>
    <s v="-"/>
    <s v="-"/>
    <s v="-"/>
    <s v="-"/>
    <n v="3"/>
    <n v="4"/>
    <s v="-"/>
    <n v="1"/>
    <n v="1"/>
    <n v="2"/>
    <n v="2"/>
    <n v="5"/>
    <n v="6"/>
  </r>
  <r>
    <x v="8"/>
    <x v="197"/>
    <d v="1902-03-26T00:00:00"/>
    <s v="2ND"/>
    <d v="1899-12-30T15:00:00"/>
    <n v="2"/>
    <x v="21"/>
    <s v="-"/>
    <s v="P"/>
    <s v="P"/>
    <s v="P"/>
    <s v="-"/>
    <s v="+"/>
    <n v="10.55"/>
    <s v="-"/>
    <s v="-"/>
    <s v="-"/>
    <s v="-"/>
    <s v="-"/>
    <s v="-"/>
    <s v="-"/>
    <s v="-"/>
    <s v="P"/>
    <s v="P"/>
    <n v="1"/>
    <s v="-"/>
    <n v="1"/>
    <n v="2"/>
    <n v="0"/>
    <s v="-"/>
    <s v="-"/>
    <s v="-"/>
    <s v="-"/>
    <s v="-"/>
    <s v="-"/>
    <s v="-"/>
    <n v="3"/>
    <n v="4"/>
    <s v="-"/>
    <n v="1"/>
    <n v="1"/>
    <n v="2"/>
    <n v="2"/>
    <n v="5"/>
    <n v="6"/>
  </r>
  <r>
    <x v="8"/>
    <x v="197"/>
    <d v="1902-03-26T00:00:00"/>
    <s v="2ND"/>
    <d v="1899-12-30T16:00:00"/>
    <n v="2"/>
    <x v="21"/>
    <s v="-"/>
    <s v="P"/>
    <s v="P"/>
    <s v="P"/>
    <s v="-"/>
    <s v="+"/>
    <n v="10.73"/>
    <s v="-"/>
    <s v="-"/>
    <s v="-"/>
    <s v="-"/>
    <s v="-"/>
    <s v="-"/>
    <s v="-"/>
    <s v="-"/>
    <s v="P"/>
    <s v="P"/>
    <s v="-"/>
    <s v="-"/>
    <n v="1"/>
    <n v="2"/>
    <n v="0"/>
    <s v="-"/>
    <s v="-"/>
    <s v="-"/>
    <s v="-"/>
    <s v="-"/>
    <s v="-"/>
    <s v="-"/>
    <n v="3"/>
    <n v="4"/>
    <s v="-"/>
    <n v="1"/>
    <n v="1"/>
    <n v="2"/>
    <n v="2"/>
    <n v="5"/>
    <n v="6"/>
  </r>
  <r>
    <x v="8"/>
    <x v="197"/>
    <d v="1902-03-26T00:00:00"/>
    <s v="2ND"/>
    <d v="1899-12-30T18:00:00"/>
    <n v="2"/>
    <x v="5"/>
    <s v="-"/>
    <s v="P"/>
    <s v="P"/>
    <s v="P"/>
    <s v="-"/>
    <s v="+"/>
    <n v="10.83"/>
    <n v="9.68"/>
    <n v="0.45"/>
    <n v="53.9"/>
    <s v="-"/>
    <s v="-"/>
    <n v="27"/>
    <s v="-"/>
    <s v="-"/>
    <s v="P"/>
    <s v="P"/>
    <n v="1"/>
    <s v="-"/>
    <n v="1"/>
    <n v="2"/>
    <n v="0"/>
    <n v="0"/>
    <n v="2"/>
    <n v="0"/>
    <s v="-"/>
    <s v="-"/>
    <n v="2"/>
    <s v="-"/>
    <n v="7"/>
    <n v="11"/>
    <s v="-"/>
    <n v="1"/>
    <n v="1"/>
    <n v="2"/>
    <n v="2"/>
    <n v="9"/>
    <n v="13"/>
  </r>
  <r>
    <x v="8"/>
    <x v="197"/>
    <d v="1902-03-26T00:00:00"/>
    <s v="2ND"/>
    <d v="1899-12-30T19:00:00"/>
    <n v="2"/>
    <x v="5"/>
    <s v="-"/>
    <s v="P"/>
    <s v="P"/>
    <s v="P"/>
    <s v="-"/>
    <s v="+"/>
    <n v="10.92"/>
    <s v="-"/>
    <s v="-"/>
    <s v="-"/>
    <s v="-"/>
    <s v="-"/>
    <s v="-"/>
    <s v="-"/>
    <s v="-"/>
    <s v="P"/>
    <s v="P"/>
    <n v="1"/>
    <s v="-"/>
    <n v="1"/>
    <n v="2"/>
    <n v="0"/>
    <s v="-"/>
    <s v="-"/>
    <s v="-"/>
    <s v="-"/>
    <s v="-"/>
    <s v="-"/>
    <s v="-"/>
    <n v="3"/>
    <n v="4"/>
    <s v="-"/>
    <n v="1"/>
    <n v="1"/>
    <n v="2"/>
    <n v="2"/>
    <n v="5"/>
    <n v="6"/>
  </r>
  <r>
    <x v="8"/>
    <x v="197"/>
    <d v="1902-03-26T00:00:00"/>
    <s v="2ND"/>
    <d v="1899-12-30T20:00:00"/>
    <n v="2"/>
    <x v="5"/>
    <s v="-"/>
    <s v="P"/>
    <s v="P"/>
    <s v="P"/>
    <s v="-"/>
    <s v="+"/>
    <n v="10.8"/>
    <s v="-"/>
    <s v="-"/>
    <s v="-"/>
    <s v="-"/>
    <s v="-"/>
    <s v="-"/>
    <s v="-"/>
    <s v="-"/>
    <s v="P"/>
    <s v="P"/>
    <n v="1"/>
    <s v="-"/>
    <n v="1"/>
    <n v="2"/>
    <n v="0"/>
    <s v="-"/>
    <s v="-"/>
    <s v="-"/>
    <s v="-"/>
    <s v="-"/>
    <s v="-"/>
    <s v="-"/>
    <n v="3"/>
    <n v="4"/>
    <s v="-"/>
    <n v="1"/>
    <n v="1"/>
    <n v="2"/>
    <n v="2"/>
    <n v="5"/>
    <n v="6"/>
  </r>
  <r>
    <x v="8"/>
    <x v="197"/>
    <d v="1902-03-26T00:00:00"/>
    <s v="2ND"/>
    <d v="1899-12-30T21:00:00"/>
    <n v="2"/>
    <x v="5"/>
    <s v="-"/>
    <s v="P"/>
    <s v="P"/>
    <s v="P"/>
    <s v="-"/>
    <s v="+"/>
    <n v="10.72"/>
    <s v="-"/>
    <s v="-"/>
    <s v="-"/>
    <s v="-"/>
    <s v="-"/>
    <s v="-"/>
    <s v="-"/>
    <s v="-"/>
    <s v="P"/>
    <s v="P"/>
    <s v="-"/>
    <s v="-"/>
    <n v="1"/>
    <n v="2"/>
    <n v="0"/>
    <s v="-"/>
    <s v="-"/>
    <s v="-"/>
    <s v="-"/>
    <s v="-"/>
    <s v="-"/>
    <s v="-"/>
    <n v="3"/>
    <n v="4"/>
    <s v="-"/>
    <n v="1"/>
    <n v="1"/>
    <n v="2"/>
    <n v="2"/>
    <n v="5"/>
    <n v="6"/>
  </r>
  <r>
    <x v="8"/>
    <x v="197"/>
    <d v="2026-09-05T00:00:00"/>
    <s v="2ND"/>
    <d v="1899-12-30T17:00:00"/>
    <n v="3"/>
    <x v="1"/>
    <n v="0.02"/>
    <s v="P"/>
    <s v="P"/>
    <s v="P"/>
    <s v="+"/>
    <s v="+"/>
    <n v="11.75"/>
    <s v="-"/>
    <s v="-"/>
    <s v="-"/>
    <s v="-"/>
    <s v="-"/>
    <s v="-"/>
    <s v="-"/>
    <s v="-"/>
    <s v="P"/>
    <s v="P"/>
    <s v="85% 5% 10%"/>
    <n v="2"/>
    <n v="1"/>
    <n v="2"/>
    <n v="0"/>
    <s v="-"/>
    <s v="-"/>
    <s v="-"/>
    <s v="-"/>
    <s v="-"/>
    <s v="-"/>
    <s v="-"/>
    <n v="5"/>
    <n v="6"/>
    <s v="-"/>
    <n v="1"/>
    <n v="1"/>
    <n v="2"/>
    <n v="2"/>
    <n v="7"/>
    <n v="8"/>
  </r>
  <r>
    <x v="8"/>
    <x v="197"/>
    <d v="2026-09-05T00:00:00"/>
    <s v="2ND"/>
    <d v="1899-12-30T18:00:00"/>
    <n v="3"/>
    <x v="1"/>
    <n v="0.01"/>
    <s v="P"/>
    <s v="P"/>
    <s v="P"/>
    <s v="+"/>
    <s v="+"/>
    <n v="11.75"/>
    <s v="-"/>
    <s v="-"/>
    <s v="-"/>
    <s v="-"/>
    <s v="-"/>
    <s v="-"/>
    <s v="-"/>
    <s v="-"/>
    <s v="P"/>
    <s v="P"/>
    <s v="85% 5% 10%"/>
    <n v="2"/>
    <n v="1"/>
    <n v="2"/>
    <n v="0"/>
    <s v="-"/>
    <s v="-"/>
    <s v="-"/>
    <s v="-"/>
    <s v="-"/>
    <s v="-"/>
    <s v="-"/>
    <n v="5"/>
    <n v="6"/>
    <s v="-"/>
    <n v="1"/>
    <n v="1"/>
    <n v="2"/>
    <n v="2"/>
    <n v="7"/>
    <n v="8"/>
  </r>
  <r>
    <x v="8"/>
    <x v="197"/>
    <d v="2026-09-05T00:00:00"/>
    <s v="2ND"/>
    <d v="1899-12-30T19:00:00"/>
    <n v="3"/>
    <x v="1"/>
    <n v="0.02"/>
    <s v="P"/>
    <s v="P"/>
    <s v="P"/>
    <s v="+"/>
    <s v="+"/>
    <n v="12.19"/>
    <s v="-"/>
    <s v="-"/>
    <s v="-"/>
    <s v="-"/>
    <s v="-"/>
    <s v="-"/>
    <s v="-"/>
    <s v="-"/>
    <s v="P"/>
    <s v="P"/>
    <s v="85% 5% 10%"/>
    <n v="2"/>
    <n v="1"/>
    <n v="2"/>
    <n v="1"/>
    <s v="-"/>
    <s v="-"/>
    <s v="-"/>
    <s v="-"/>
    <s v="-"/>
    <s v="-"/>
    <s v="-"/>
    <n v="6"/>
    <n v="6"/>
    <s v="-"/>
    <n v="1"/>
    <n v="1"/>
    <n v="2"/>
    <n v="2"/>
    <n v="8"/>
    <n v="8"/>
  </r>
  <r>
    <x v="8"/>
    <x v="197"/>
    <d v="2026-09-05T00:00:00"/>
    <s v="2ND"/>
    <d v="1899-12-30T20:00:00"/>
    <n v="3"/>
    <x v="1"/>
    <n v="0.02"/>
    <s v="P"/>
    <s v="P"/>
    <s v="P"/>
    <s v="+"/>
    <s v="+"/>
    <n v="12.13"/>
    <s v="-"/>
    <s v="-"/>
    <s v="-"/>
    <s v="-"/>
    <s v="-"/>
    <s v="-"/>
    <s v="-"/>
    <s v="-"/>
    <s v="P"/>
    <s v="P"/>
    <s v="85% 5% 10%"/>
    <n v="2"/>
    <n v="1"/>
    <n v="2"/>
    <n v="1"/>
    <s v="-"/>
    <s v="-"/>
    <s v="-"/>
    <s v="-"/>
    <s v="-"/>
    <s v="-"/>
    <s v="-"/>
    <n v="6"/>
    <n v="6"/>
    <s v="-"/>
    <n v="1"/>
    <n v="1"/>
    <n v="2"/>
    <n v="2"/>
    <n v="8"/>
    <n v="8"/>
  </r>
  <r>
    <x v="8"/>
    <x v="197"/>
    <d v="2026-09-05T00:00:00"/>
    <s v="2ND"/>
    <d v="1899-12-30T21:00:00"/>
    <n v="3"/>
    <x v="1"/>
    <n v="0.02"/>
    <s v="P"/>
    <s v="P"/>
    <s v="P"/>
    <s v="+"/>
    <s v="+"/>
    <n v="12.34"/>
    <s v="-"/>
    <s v="-"/>
    <s v="-"/>
    <s v="-"/>
    <s v="-"/>
    <s v="-"/>
    <s v="-"/>
    <s v="-"/>
    <s v="P"/>
    <s v="P"/>
    <s v="85% 5% 10%"/>
    <n v="2"/>
    <n v="1"/>
    <n v="2"/>
    <n v="1"/>
    <s v="-"/>
    <s v="-"/>
    <s v="-"/>
    <s v="-"/>
    <s v="-"/>
    <s v="-"/>
    <s v="-"/>
    <n v="6"/>
    <n v="6"/>
    <s v="-"/>
    <n v="1"/>
    <n v="1"/>
    <n v="2"/>
    <n v="2"/>
    <n v="8"/>
    <n v="8"/>
  </r>
  <r>
    <x v="8"/>
    <x v="197"/>
    <d v="2026-09-05T00:00:00"/>
    <s v="3RD"/>
    <d v="1899-12-30T23:00:00"/>
    <n v="1"/>
    <x v="20"/>
    <n v="0.02"/>
    <s v="P"/>
    <s v="P"/>
    <s v="P"/>
    <s v="-"/>
    <s v="-"/>
    <n v="11.98"/>
    <s v="-"/>
    <s v="-"/>
    <s v="-"/>
    <s v="-"/>
    <s v="-"/>
    <s v="-"/>
    <s v="-"/>
    <s v="-"/>
    <s v="P"/>
    <s v="P"/>
    <s v="80%  20%"/>
    <n v="2"/>
    <n v="1"/>
    <n v="2"/>
    <n v="1"/>
    <s v="-"/>
    <s v="-"/>
    <s v="-"/>
    <s v="-"/>
    <s v="-"/>
    <s v="-"/>
    <s v="-"/>
    <n v="6"/>
    <n v="6"/>
    <s v="-"/>
    <n v="1"/>
    <n v="1"/>
    <n v="2"/>
    <n v="2"/>
    <n v="8"/>
    <n v="8"/>
  </r>
  <r>
    <x v="8"/>
    <x v="197"/>
    <d v="2026-09-05T00:00:00"/>
    <s v="3RD"/>
    <d v="1899-12-31T01:00:00"/>
    <n v="1"/>
    <x v="20"/>
    <n v="0.02"/>
    <s v="P"/>
    <s v="P"/>
    <s v="P"/>
    <s v="-"/>
    <s v="-"/>
    <n v="11.95"/>
    <s v="-"/>
    <s v="-"/>
    <s v="-"/>
    <s v="-"/>
    <s v="-"/>
    <s v="-"/>
    <s v="-"/>
    <s v="-"/>
    <s v="P"/>
    <s v="P"/>
    <s v="80%  20%"/>
    <n v="2"/>
    <n v="1"/>
    <n v="2"/>
    <n v="1"/>
    <s v="-"/>
    <s v="-"/>
    <s v="-"/>
    <s v="-"/>
    <s v="-"/>
    <s v="-"/>
    <s v="-"/>
    <n v="6"/>
    <n v="6"/>
    <s v="-"/>
    <n v="1"/>
    <n v="1"/>
    <n v="2"/>
    <n v="2"/>
    <n v="8"/>
    <n v="8"/>
  </r>
  <r>
    <x v="8"/>
    <x v="197"/>
    <d v="2026-09-08T00:00:00"/>
    <s v="3RD"/>
    <d v="1899-12-31T03:00:00"/>
    <n v="1"/>
    <x v="20"/>
    <n v="0.01"/>
    <s v="P"/>
    <s v="P"/>
    <s v="P"/>
    <s v="-"/>
    <s v="-"/>
    <s v="-"/>
    <s v="-"/>
    <s v="-"/>
    <s v="-"/>
    <s v="-"/>
    <s v="-"/>
    <s v="-"/>
    <s v="-"/>
    <s v="-"/>
    <s v="P"/>
    <s v="P"/>
    <s v="80%  20%"/>
    <n v="2"/>
    <n v="1"/>
    <n v="2"/>
    <s v="-"/>
    <s v="-"/>
    <s v="-"/>
    <s v="-"/>
    <s v="-"/>
    <s v="-"/>
    <s v="-"/>
    <s v="-"/>
    <n v="5"/>
    <n v="5"/>
    <s v="-"/>
    <n v="1"/>
    <n v="1"/>
    <n v="2"/>
    <n v="2"/>
    <n v="7"/>
    <n v="7"/>
  </r>
  <r>
    <x v="8"/>
    <x v="197"/>
    <d v="2026-09-08T00:00:00"/>
    <s v="3RD"/>
    <d v="1899-12-31T04:00:00"/>
    <n v="1"/>
    <x v="20"/>
    <n v="0.01"/>
    <s v="P"/>
    <s v="P"/>
    <s v="P"/>
    <s v="-"/>
    <s v="-"/>
    <n v="12.14"/>
    <s v="-"/>
    <s v="-"/>
    <s v="-"/>
    <s v="-"/>
    <s v="-"/>
    <s v="-"/>
    <s v="-"/>
    <s v="-"/>
    <s v="P"/>
    <s v="P"/>
    <s v="80%  20%"/>
    <n v="2"/>
    <n v="1"/>
    <n v="2"/>
    <n v="1"/>
    <s v="-"/>
    <s v="-"/>
    <s v="-"/>
    <s v="-"/>
    <s v="-"/>
    <s v="-"/>
    <s v="-"/>
    <n v="6"/>
    <n v="6"/>
    <s v="-"/>
    <n v="1"/>
    <n v="1"/>
    <n v="2"/>
    <n v="2"/>
    <n v="8"/>
    <n v="8"/>
  </r>
  <r>
    <x v="8"/>
    <x v="197"/>
    <d v="2026-09-08T00:00:00"/>
    <s v="3RD"/>
    <d v="1899-12-31T05:00:00"/>
    <n v="1"/>
    <x v="20"/>
    <n v="0.01"/>
    <s v="P"/>
    <s v="P"/>
    <s v="P"/>
    <s v="-"/>
    <s v="-"/>
    <n v="12.18"/>
    <s v="-"/>
    <s v="-"/>
    <s v="-"/>
    <s v="-"/>
    <s v="-"/>
    <s v="-"/>
    <s v="-"/>
    <s v="-"/>
    <s v="P"/>
    <s v="P"/>
    <s v="80%  20%"/>
    <n v="2"/>
    <n v="1"/>
    <n v="2"/>
    <n v="1"/>
    <s v="-"/>
    <s v="-"/>
    <s v="-"/>
    <s v="-"/>
    <s v="-"/>
    <s v="-"/>
    <s v="-"/>
    <n v="6"/>
    <n v="6"/>
    <s v="-"/>
    <n v="1"/>
    <n v="1"/>
    <n v="2"/>
    <n v="2"/>
    <n v="8"/>
    <n v="8"/>
  </r>
  <r>
    <x v="8"/>
    <x v="197"/>
    <d v="1902-03-26T00:00:00"/>
    <s v="3RD"/>
    <d v="1899-12-30T22:00:00"/>
    <n v="2"/>
    <x v="5"/>
    <s v="-"/>
    <s v="P"/>
    <s v="P"/>
    <s v="P"/>
    <s v="-"/>
    <s v="+"/>
    <n v="10.77"/>
    <s v="-"/>
    <s v="-"/>
    <s v="-"/>
    <s v="-"/>
    <s v="-"/>
    <s v="-"/>
    <s v="-"/>
    <s v="-"/>
    <s v="P"/>
    <s v="P"/>
    <n v="1"/>
    <s v="-"/>
    <n v="1"/>
    <n v="2"/>
    <n v="0"/>
    <s v="-"/>
    <s v="-"/>
    <s v="-"/>
    <s v="-"/>
    <s v="-"/>
    <s v="-"/>
    <s v="-"/>
    <n v="3"/>
    <n v="4"/>
    <s v="-"/>
    <n v="1"/>
    <n v="1"/>
    <n v="2"/>
    <n v="2"/>
    <n v="5"/>
    <n v="6"/>
  </r>
  <r>
    <x v="8"/>
    <x v="197"/>
    <d v="1902-03-26T00:00:00"/>
    <s v="3RD"/>
    <d v="1899-12-30T23:00:00"/>
    <n v="2"/>
    <x v="5"/>
    <s v="-"/>
    <s v="P"/>
    <s v="P"/>
    <s v="P"/>
    <s v="-"/>
    <s v="+"/>
    <n v="10.84"/>
    <s v="-"/>
    <s v="-"/>
    <s v="-"/>
    <s v="-"/>
    <s v="-"/>
    <s v="-"/>
    <s v="-"/>
    <s v="-"/>
    <s v="P"/>
    <s v="P"/>
    <s v="-"/>
    <s v="-"/>
    <n v="1"/>
    <n v="2"/>
    <n v="0"/>
    <s v="-"/>
    <s v="-"/>
    <s v="-"/>
    <s v="-"/>
    <s v="-"/>
    <s v="-"/>
    <s v="-"/>
    <n v="3"/>
    <n v="4"/>
    <s v="-"/>
    <n v="1"/>
    <n v="1"/>
    <n v="2"/>
    <n v="2"/>
    <n v="5"/>
    <n v="6"/>
  </r>
  <r>
    <x v="8"/>
    <x v="197"/>
    <d v="1902-03-26T00:00:00"/>
    <s v="3RD"/>
    <d v="1899-12-31T01:00:00"/>
    <n v="2"/>
    <x v="5"/>
    <s v="-"/>
    <s v="P"/>
    <s v="P"/>
    <s v="P"/>
    <s v="-"/>
    <s v="+"/>
    <n v="10.58"/>
    <s v="-"/>
    <s v="-"/>
    <s v="-"/>
    <s v="-"/>
    <s v="-"/>
    <s v="-"/>
    <s v="-"/>
    <s v="-"/>
    <s v="P"/>
    <s v="P"/>
    <n v="1"/>
    <s v="-"/>
    <n v="1"/>
    <n v="2"/>
    <n v="0"/>
    <s v="-"/>
    <s v="-"/>
    <s v="-"/>
    <s v="-"/>
    <s v="-"/>
    <s v="-"/>
    <s v="-"/>
    <n v="3"/>
    <n v="4"/>
    <s v="-"/>
    <n v="1"/>
    <n v="1"/>
    <n v="2"/>
    <n v="2"/>
    <n v="5"/>
    <n v="6"/>
  </r>
  <r>
    <x v="8"/>
    <x v="197"/>
    <d v="1902-03-26T00:00:00"/>
    <s v="3RD"/>
    <d v="1899-12-31T02:00:00"/>
    <n v="2"/>
    <x v="2"/>
    <n v="0.01"/>
    <s v="P"/>
    <s v="P"/>
    <s v="P"/>
    <s v="-"/>
    <s v="+"/>
    <n v="10.55"/>
    <s v="-"/>
    <s v="-"/>
    <s v="-"/>
    <s v="-"/>
    <s v="-"/>
    <s v="-"/>
    <s v="-"/>
    <s v="-"/>
    <s v="P"/>
    <s v="P"/>
    <n v="1"/>
    <n v="2"/>
    <n v="1"/>
    <n v="2"/>
    <n v="0"/>
    <s v="-"/>
    <s v="-"/>
    <s v="-"/>
    <s v="-"/>
    <s v="-"/>
    <s v="-"/>
    <s v="-"/>
    <n v="5"/>
    <n v="6"/>
    <s v="-"/>
    <n v="1"/>
    <n v="1"/>
    <n v="2"/>
    <n v="2"/>
    <n v="7"/>
    <n v="8"/>
  </r>
  <r>
    <x v="8"/>
    <x v="197"/>
    <d v="1902-03-26T00:00:00"/>
    <s v="3RD"/>
    <d v="1899-12-31T03:00:00"/>
    <n v="2"/>
    <x v="2"/>
    <s v="-"/>
    <s v="P"/>
    <s v="P"/>
    <s v="P"/>
    <s v="-"/>
    <s v="+"/>
    <n v="10.58"/>
    <s v="-"/>
    <s v="-"/>
    <s v="-"/>
    <s v="-"/>
    <s v="-"/>
    <s v="-"/>
    <s v="-"/>
    <s v="-"/>
    <s v="P"/>
    <s v="P"/>
    <n v="1"/>
    <s v="-"/>
    <n v="1"/>
    <n v="2"/>
    <n v="0"/>
    <s v="-"/>
    <s v="-"/>
    <s v="-"/>
    <s v="-"/>
    <s v="-"/>
    <s v="-"/>
    <s v="-"/>
    <n v="3"/>
    <n v="4"/>
    <s v="-"/>
    <n v="1"/>
    <n v="1"/>
    <n v="2"/>
    <n v="2"/>
    <n v="5"/>
    <n v="6"/>
  </r>
  <r>
    <x v="8"/>
    <x v="197"/>
    <d v="1902-03-26T00:00:00"/>
    <s v="3RD"/>
    <d v="1899-12-31T04:00:00"/>
    <n v="2"/>
    <x v="2"/>
    <s v="-"/>
    <s v="P"/>
    <s v="P"/>
    <s v="P"/>
    <s v="-"/>
    <s v="+"/>
    <n v="10.66"/>
    <s v="-"/>
    <s v="-"/>
    <s v="-"/>
    <s v="-"/>
    <s v="-"/>
    <s v="-"/>
    <s v="-"/>
    <s v="-"/>
    <s v="P"/>
    <s v="P"/>
    <n v="1"/>
    <s v="-"/>
    <n v="1"/>
    <n v="2"/>
    <n v="0"/>
    <s v="-"/>
    <s v="-"/>
    <s v="-"/>
    <s v="-"/>
    <s v="-"/>
    <s v="-"/>
    <s v="-"/>
    <n v="3"/>
    <n v="4"/>
    <s v="-"/>
    <n v="1"/>
    <n v="1"/>
    <n v="2"/>
    <n v="2"/>
    <n v="5"/>
    <n v="6"/>
  </r>
  <r>
    <x v="8"/>
    <x v="197"/>
    <d v="1902-03-26T00:00:00"/>
    <s v="3RD"/>
    <d v="1899-12-31T05:00:00"/>
    <n v="2"/>
    <x v="2"/>
    <s v="-"/>
    <s v="P"/>
    <s v="P"/>
    <s v="P"/>
    <s v="-"/>
    <s v="+"/>
    <n v="10.43"/>
    <s v="-"/>
    <s v="-"/>
    <s v="-"/>
    <s v="-"/>
    <s v="-"/>
    <s v="-"/>
    <s v="-"/>
    <s v="-"/>
    <s v="P"/>
    <s v="P"/>
    <s v="-"/>
    <s v="-"/>
    <n v="1"/>
    <n v="2"/>
    <n v="0"/>
    <s v="-"/>
    <s v="-"/>
    <s v="-"/>
    <s v="-"/>
    <s v="-"/>
    <s v="-"/>
    <s v="-"/>
    <n v="3"/>
    <n v="4"/>
    <s v="-"/>
    <n v="1"/>
    <n v="1"/>
    <n v="2"/>
    <n v="2"/>
    <n v="5"/>
    <n v="6"/>
  </r>
  <r>
    <x v="8"/>
    <x v="197"/>
    <d v="2026-09-05T00:00:00"/>
    <s v="3RD"/>
    <d v="1899-12-30T22:00:00"/>
    <n v="3"/>
    <x v="1"/>
    <n v="0.02"/>
    <s v="P"/>
    <s v="P"/>
    <s v="P"/>
    <s v="+"/>
    <s v="+"/>
    <n v="12.23"/>
    <s v="-"/>
    <s v="-"/>
    <s v="-"/>
    <s v="-"/>
    <s v="-"/>
    <s v="-"/>
    <s v="-"/>
    <s v="-"/>
    <s v="P"/>
    <s v="P"/>
    <s v="85% 5% 10%"/>
    <n v="2"/>
    <n v="1"/>
    <n v="2"/>
    <n v="1"/>
    <s v="-"/>
    <s v="-"/>
    <s v="-"/>
    <s v="-"/>
    <s v="-"/>
    <s v="-"/>
    <s v="-"/>
    <n v="6"/>
    <n v="6"/>
    <s v="-"/>
    <n v="1"/>
    <n v="1"/>
    <n v="2"/>
    <n v="2"/>
    <n v="8"/>
    <n v="8"/>
  </r>
  <r>
    <x v="8"/>
    <x v="197"/>
    <d v="2026-09-05T00:00:00"/>
    <s v="3RD"/>
    <d v="1899-12-30T23:00:00"/>
    <n v="3"/>
    <x v="1"/>
    <n v="0.02"/>
    <s v="P"/>
    <s v="P"/>
    <s v="P"/>
    <s v="+"/>
    <s v="+"/>
    <n v="12.21"/>
    <s v="-"/>
    <s v="-"/>
    <s v="-"/>
    <s v="-"/>
    <s v="-"/>
    <s v="-"/>
    <s v="-"/>
    <s v="-"/>
    <s v="P"/>
    <s v="P"/>
    <s v="85% 5% 10%"/>
    <n v="2"/>
    <n v="1"/>
    <n v="2"/>
    <n v="1"/>
    <s v="-"/>
    <s v="-"/>
    <s v="-"/>
    <s v="-"/>
    <s v="-"/>
    <s v="-"/>
    <s v="-"/>
    <n v="6"/>
    <n v="6"/>
    <s v="-"/>
    <n v="1"/>
    <n v="1"/>
    <n v="2"/>
    <n v="2"/>
    <n v="8"/>
    <n v="8"/>
  </r>
  <r>
    <x v="8"/>
    <x v="197"/>
    <d v="2026-09-08T00:00:00"/>
    <s v="3RD"/>
    <d v="1899-12-31T01:00:00"/>
    <n v="3"/>
    <x v="1"/>
    <n v="0.01"/>
    <s v="P"/>
    <s v="P"/>
    <s v="P"/>
    <s v="+"/>
    <s v="+"/>
    <n v="12.36"/>
    <s v="-"/>
    <s v="-"/>
    <s v="-"/>
    <s v="-"/>
    <s v="-"/>
    <s v="-"/>
    <s v="-"/>
    <s v="-"/>
    <s v="P"/>
    <s v="P"/>
    <s v="85% 5% 10%"/>
    <n v="2"/>
    <n v="1"/>
    <n v="2"/>
    <n v="1"/>
    <s v="-"/>
    <s v="-"/>
    <s v="-"/>
    <s v="-"/>
    <s v="-"/>
    <s v="-"/>
    <s v="-"/>
    <n v="6"/>
    <n v="6"/>
    <s v="-"/>
    <n v="1"/>
    <n v="1"/>
    <n v="2"/>
    <n v="2"/>
    <n v="8"/>
    <n v="8"/>
  </r>
  <r>
    <x v="8"/>
    <x v="197"/>
    <d v="2026-09-08T00:00:00"/>
    <s v="3RD"/>
    <d v="1899-12-31T02:00:00"/>
    <n v="3"/>
    <x v="1"/>
    <n v="0.01"/>
    <s v="P"/>
    <s v="P"/>
    <s v="P"/>
    <s v="+"/>
    <s v="+"/>
    <n v="12.36"/>
    <s v="-"/>
    <s v="-"/>
    <s v="-"/>
    <s v="-"/>
    <s v="-"/>
    <s v="-"/>
    <s v="-"/>
    <s v="-"/>
    <s v="P"/>
    <s v="P"/>
    <s v="85% 5% 10%"/>
    <n v="2"/>
    <n v="1"/>
    <n v="2"/>
    <n v="1"/>
    <s v="-"/>
    <s v="-"/>
    <s v="-"/>
    <s v="-"/>
    <s v="-"/>
    <s v="-"/>
    <s v="-"/>
    <n v="6"/>
    <n v="6"/>
    <s v="-"/>
    <n v="1"/>
    <n v="1"/>
    <n v="2"/>
    <n v="2"/>
    <n v="8"/>
    <n v="8"/>
  </r>
  <r>
    <x v="8"/>
    <x v="197"/>
    <d v="2026-09-08T00:00:00"/>
    <s v="3RD"/>
    <d v="1899-12-31T04:00:00"/>
    <n v="3"/>
    <x v="1"/>
    <n v="0.01"/>
    <s v="P"/>
    <s v="P"/>
    <s v="P"/>
    <s v="+"/>
    <s v="+"/>
    <n v="12.39"/>
    <s v="-"/>
    <s v="-"/>
    <s v="-"/>
    <s v="-"/>
    <s v="-"/>
    <s v="-"/>
    <s v="-"/>
    <s v="-"/>
    <s v="P"/>
    <s v="P"/>
    <s v="85% 5% 10%"/>
    <n v="2"/>
    <n v="1"/>
    <n v="2"/>
    <n v="1"/>
    <s v="-"/>
    <s v="-"/>
    <s v="-"/>
    <s v="-"/>
    <s v="-"/>
    <s v="-"/>
    <s v="-"/>
    <n v="6"/>
    <n v="6"/>
    <s v="-"/>
    <n v="1"/>
    <n v="1"/>
    <n v="2"/>
    <n v="2"/>
    <n v="8"/>
    <n v="8"/>
  </r>
  <r>
    <x v="8"/>
    <x v="197"/>
    <d v="2026-09-08T00:00:00"/>
    <s v="3RD"/>
    <d v="1899-12-31T05:00:00"/>
    <n v="3"/>
    <x v="1"/>
    <n v="0.01"/>
    <s v="P"/>
    <s v="P"/>
    <s v="P"/>
    <s v="+"/>
    <s v="+"/>
    <n v="12.86"/>
    <s v="-"/>
    <s v="-"/>
    <s v="-"/>
    <s v="-"/>
    <s v="-"/>
    <s v="-"/>
    <s v="-"/>
    <s v="-"/>
    <s v="P"/>
    <s v="P"/>
    <s v="85% 5% 10%"/>
    <n v="2"/>
    <n v="1"/>
    <n v="2"/>
    <n v="1"/>
    <s v="-"/>
    <s v="-"/>
    <s v="-"/>
    <s v="-"/>
    <s v="-"/>
    <s v="-"/>
    <s v="-"/>
    <n v="6"/>
    <n v="6"/>
    <s v="-"/>
    <n v="1"/>
    <n v="1"/>
    <n v="2"/>
    <n v="2"/>
    <n v="8"/>
    <n v="8"/>
  </r>
  <r>
    <x v="8"/>
    <x v="198"/>
    <d v="2026-09-08T00:00:00"/>
    <s v="1ST"/>
    <s v="06:00"/>
    <n v="1"/>
    <x v="20"/>
    <s v="-"/>
    <s v="P"/>
    <s v="P"/>
    <s v="P"/>
    <s v="-"/>
    <s v="-"/>
    <n v="13.07"/>
    <n v="11.4"/>
    <n v="0.46"/>
    <n v="64.400000000000006"/>
    <s v="-"/>
    <s v="-"/>
    <n v="31.4"/>
    <s v="-"/>
    <s v="-"/>
    <s v="P"/>
    <s v="P"/>
    <s v="80% 20%"/>
    <s v="-"/>
    <n v="1"/>
    <n v="2"/>
    <n v="1"/>
    <n v="0"/>
    <n v="0"/>
    <n v="2"/>
    <s v="-"/>
    <s v="-"/>
    <n v="2"/>
    <s v="-"/>
    <n v="8"/>
    <n v="11"/>
    <s v="-"/>
    <n v="1"/>
    <n v="1"/>
    <n v="2"/>
    <n v="2"/>
    <n v="10"/>
    <n v="13"/>
  </r>
  <r>
    <x v="8"/>
    <x v="198"/>
    <d v="2026-09-08T00:00:00"/>
    <s v="1ST"/>
    <s v="07:00"/>
    <n v="1"/>
    <x v="20"/>
    <s v="-"/>
    <s v="P"/>
    <s v="P"/>
    <s v="P"/>
    <s v="-"/>
    <s v="-"/>
    <n v="11.9"/>
    <s v="-"/>
    <s v="-"/>
    <s v="-"/>
    <s v="-"/>
    <s v="-"/>
    <s v="-"/>
    <s v="-"/>
    <s v="-"/>
    <s v="P"/>
    <s v="P"/>
    <s v="-"/>
    <s v="-"/>
    <n v="1"/>
    <n v="2"/>
    <n v="1"/>
    <s v="-"/>
    <s v="-"/>
    <s v="-"/>
    <s v="-"/>
    <s v="-"/>
    <s v="-"/>
    <s v="-"/>
    <n v="4"/>
    <n v="4"/>
    <s v="-"/>
    <n v="1"/>
    <n v="1"/>
    <n v="2"/>
    <n v="2"/>
    <n v="6"/>
    <n v="6"/>
  </r>
  <r>
    <x v="8"/>
    <x v="198"/>
    <d v="2026-09-08T00:00:00"/>
    <s v="1ST"/>
    <s v="09:00"/>
    <n v="1"/>
    <x v="20"/>
    <s v="-"/>
    <s v="P"/>
    <s v="P"/>
    <s v="P"/>
    <s v="-"/>
    <s v="-"/>
    <n v="1.92"/>
    <s v="-"/>
    <s v="-"/>
    <s v="-"/>
    <s v="-"/>
    <s v="-"/>
    <s v="-"/>
    <s v="-"/>
    <s v="-"/>
    <s v="P"/>
    <s v="P"/>
    <s v="-"/>
    <s v="-"/>
    <n v="1"/>
    <n v="2"/>
    <n v="0"/>
    <s v="-"/>
    <s v="-"/>
    <s v="-"/>
    <s v="-"/>
    <s v="-"/>
    <s v="-"/>
    <s v="-"/>
    <n v="3"/>
    <n v="4"/>
    <s v="-"/>
    <n v="1"/>
    <n v="1"/>
    <n v="2"/>
    <n v="2"/>
    <n v="5"/>
    <n v="6"/>
  </r>
  <r>
    <x v="8"/>
    <x v="198"/>
    <d v="2026-09-08T00:00:00"/>
    <s v="1ST"/>
    <s v="10:00"/>
    <n v="1"/>
    <x v="20"/>
    <s v="-"/>
    <s v="-"/>
    <s v="P"/>
    <s v="P"/>
    <s v="-"/>
    <s v="-"/>
    <n v="12.94"/>
    <s v="-"/>
    <s v="-"/>
    <s v="-"/>
    <s v="-"/>
    <s v="-"/>
    <s v="-"/>
    <s v="-"/>
    <s v="-"/>
    <s v="P"/>
    <s v="P"/>
    <s v="-"/>
    <s v="-"/>
    <s v="-"/>
    <n v="2"/>
    <n v="1"/>
    <s v="-"/>
    <s v="-"/>
    <s v="-"/>
    <s v="-"/>
    <s v="-"/>
    <s v="-"/>
    <s v="-"/>
    <n v="3"/>
    <n v="3"/>
    <s v="-"/>
    <n v="1"/>
    <n v="1"/>
    <n v="2"/>
    <n v="2"/>
    <n v="5"/>
    <n v="5"/>
  </r>
  <r>
    <x v="8"/>
    <x v="198"/>
    <d v="2026-09-08T00:00:00"/>
    <s v="1ST"/>
    <s v="11:00"/>
    <n v="1"/>
    <x v="20"/>
    <s v="-"/>
    <s v="P"/>
    <s v="P"/>
    <s v="P"/>
    <s v="-"/>
    <s v="-"/>
    <n v="12.75"/>
    <s v="-"/>
    <s v="-"/>
    <s v="-"/>
    <s v="-"/>
    <s v="-"/>
    <s v="-"/>
    <s v="-"/>
    <s v="-"/>
    <s v="P"/>
    <s v="P"/>
    <s v="-"/>
    <s v="-"/>
    <n v="1"/>
    <n v="2"/>
    <n v="1"/>
    <s v="-"/>
    <s v="-"/>
    <s v="-"/>
    <s v="-"/>
    <s v="-"/>
    <s v="-"/>
    <s v="-"/>
    <n v="4"/>
    <n v="4"/>
    <s v="-"/>
    <n v="1"/>
    <n v="1"/>
    <n v="2"/>
    <n v="2"/>
    <n v="6"/>
    <n v="6"/>
  </r>
  <r>
    <x v="8"/>
    <x v="198"/>
    <d v="1902-03-26T00:00:00"/>
    <s v="1ST"/>
    <s v="06:00"/>
    <n v="2"/>
    <x v="2"/>
    <s v="-"/>
    <s v="P"/>
    <s v="P"/>
    <s v="P"/>
    <s v="-"/>
    <s v="+"/>
    <n v="10.34"/>
    <s v="-"/>
    <s v="-"/>
    <s v="-"/>
    <s v="-"/>
    <s v="-"/>
    <s v="-"/>
    <s v="-"/>
    <s v="-"/>
    <s v="P"/>
    <s v="P"/>
    <s v="-"/>
    <s v="-"/>
    <n v="1"/>
    <n v="2"/>
    <n v="0"/>
    <s v="-"/>
    <s v="-"/>
    <s v="-"/>
    <s v="-"/>
    <s v="-"/>
    <s v="-"/>
    <s v="-"/>
    <n v="3"/>
    <n v="4"/>
    <s v="-"/>
    <n v="1"/>
    <n v="1"/>
    <n v="2"/>
    <n v="2"/>
    <n v="5"/>
    <n v="6"/>
  </r>
  <r>
    <x v="8"/>
    <x v="198"/>
    <d v="1899-12-30T00:00:00"/>
    <s v="1ST"/>
    <s v="07:00"/>
    <n v="2"/>
    <x v="2"/>
    <s v="-"/>
    <s v="P"/>
    <s v="P"/>
    <s v="P"/>
    <s v="-"/>
    <s v="+"/>
    <n v="10.050000000000001"/>
    <s v="-"/>
    <s v="-"/>
    <s v="-"/>
    <s v="-"/>
    <s v="-"/>
    <s v="-"/>
    <s v="-"/>
    <s v="-"/>
    <s v="P"/>
    <s v="P"/>
    <s v="-"/>
    <s v="-"/>
    <n v="1"/>
    <n v="2"/>
    <n v="0"/>
    <s v="-"/>
    <s v="-"/>
    <s v="-"/>
    <s v="-"/>
    <s v="-"/>
    <s v="-"/>
    <s v="-"/>
    <n v="3"/>
    <n v="4"/>
    <s v="-"/>
    <n v="1"/>
    <n v="1"/>
    <n v="2"/>
    <n v="2"/>
    <n v="5"/>
    <n v="6"/>
  </r>
  <r>
    <x v="8"/>
    <x v="198"/>
    <d v="1899-12-30T00:00:00"/>
    <s v="1ST"/>
    <s v="09:00"/>
    <n v="2"/>
    <x v="2"/>
    <s v="-"/>
    <s v="P"/>
    <s v="P"/>
    <s v="P"/>
    <s v="-"/>
    <s v="+"/>
    <n v="9.6999999999999993"/>
    <s v="-"/>
    <s v="-"/>
    <s v="-"/>
    <s v="-"/>
    <s v="-"/>
    <s v="-"/>
    <s v="-"/>
    <s v="-"/>
    <s v="P"/>
    <s v="P"/>
    <s v="-"/>
    <s v="-"/>
    <n v="1"/>
    <n v="2"/>
    <n v="0"/>
    <s v="-"/>
    <s v="-"/>
    <s v="-"/>
    <s v="-"/>
    <s v="-"/>
    <s v="-"/>
    <s v="-"/>
    <n v="3"/>
    <n v="4"/>
    <s v="-"/>
    <n v="1"/>
    <n v="1"/>
    <n v="2"/>
    <n v="2"/>
    <n v="5"/>
    <n v="6"/>
  </r>
  <r>
    <x v="8"/>
    <x v="198"/>
    <d v="1899-12-30T00:00:00"/>
    <s v="1ST"/>
    <s v="10:00"/>
    <n v="2"/>
    <x v="2"/>
    <s v="-"/>
    <s v="P"/>
    <s v="P"/>
    <s v="P"/>
    <s v="-"/>
    <s v="+"/>
    <n v="10.14"/>
    <s v="-"/>
    <s v="-"/>
    <s v="-"/>
    <s v="-"/>
    <s v="-"/>
    <s v="-"/>
    <s v="-"/>
    <s v="-"/>
    <s v="P"/>
    <s v="P"/>
    <s v="-"/>
    <s v="-"/>
    <n v="1"/>
    <n v="2"/>
    <n v="0"/>
    <s v="-"/>
    <s v="-"/>
    <s v="-"/>
    <s v="-"/>
    <s v="-"/>
    <s v="-"/>
    <s v="-"/>
    <n v="3"/>
    <n v="4"/>
    <s v="-"/>
    <n v="1"/>
    <n v="1"/>
    <n v="2"/>
    <n v="2"/>
    <n v="5"/>
    <n v="6"/>
  </r>
  <r>
    <x v="8"/>
    <x v="198"/>
    <d v="1899-12-30T00:00:00"/>
    <s v="1ST"/>
    <s v="11:00"/>
    <n v="2"/>
    <x v="2"/>
    <s v="-"/>
    <s v="P"/>
    <s v="P"/>
    <s v="P"/>
    <s v="-"/>
    <s v="+"/>
    <n v="9.48"/>
    <s v="-"/>
    <s v="-"/>
    <s v="-"/>
    <s v="-"/>
    <s v="-"/>
    <s v="-"/>
    <s v="-"/>
    <s v="-"/>
    <s v="P"/>
    <s v="P"/>
    <s v="-"/>
    <s v="-"/>
    <n v="1"/>
    <n v="2"/>
    <n v="0"/>
    <s v="-"/>
    <s v="-"/>
    <s v="-"/>
    <s v="-"/>
    <s v="-"/>
    <s v="-"/>
    <s v="-"/>
    <n v="3"/>
    <n v="4"/>
    <s v="-"/>
    <n v="1"/>
    <n v="1"/>
    <n v="2"/>
    <n v="2"/>
    <n v="5"/>
    <n v="6"/>
  </r>
  <r>
    <x v="8"/>
    <x v="198"/>
    <d v="1899-12-30T00:00:00"/>
    <s v="1ST"/>
    <s v="12:00"/>
    <n v="2"/>
    <x v="2"/>
    <s v="-"/>
    <s v="P"/>
    <s v="P"/>
    <s v="P"/>
    <s v="-"/>
    <s v="+"/>
    <n v="10.050000000000001"/>
    <s v="-"/>
    <s v="-"/>
    <s v="-"/>
    <s v="-"/>
    <s v="-"/>
    <s v="-"/>
    <s v="-"/>
    <s v="-"/>
    <s v="P"/>
    <s v="P"/>
    <s v="-"/>
    <s v="-"/>
    <n v="1"/>
    <n v="2"/>
    <n v="0"/>
    <s v="-"/>
    <s v="-"/>
    <s v="-"/>
    <s v="-"/>
    <s v="-"/>
    <s v="-"/>
    <s v="-"/>
    <n v="3"/>
    <n v="4"/>
    <s v="-"/>
    <n v="1"/>
    <n v="1"/>
    <n v="2"/>
    <n v="2"/>
    <n v="5"/>
    <n v="6"/>
  </r>
  <r>
    <x v="8"/>
    <x v="198"/>
    <d v="2026-09-08T00:00:00"/>
    <s v="1ST"/>
    <s v="06:00"/>
    <n v="3"/>
    <x v="16"/>
    <n v="0.01"/>
    <s v="P"/>
    <s v="P"/>
    <s v="P"/>
    <s v="+"/>
    <s v="+"/>
    <n v="12.31"/>
    <n v="12.1"/>
    <n v="0.56000000000000005"/>
    <n v="64.7"/>
    <s v="-"/>
    <s v="-"/>
    <n v="33.700000000000003"/>
    <s v="-"/>
    <s v="-"/>
    <s v="P"/>
    <s v="P"/>
    <n v="1"/>
    <n v="2"/>
    <n v="1"/>
    <n v="2"/>
    <n v="1"/>
    <n v="1"/>
    <n v="0"/>
    <n v="2"/>
    <s v="-"/>
    <s v="-"/>
    <n v="2"/>
    <s v="-"/>
    <n v="11"/>
    <n v="13"/>
    <s v="-"/>
    <n v="1"/>
    <n v="1"/>
    <n v="2"/>
    <n v="2"/>
    <n v="13"/>
    <n v="15"/>
  </r>
  <r>
    <x v="8"/>
    <x v="198"/>
    <d v="2026-09-08T00:00:00"/>
    <s v="1ST"/>
    <s v="07:00"/>
    <n v="3"/>
    <x v="16"/>
    <n v="0.01"/>
    <s v="P"/>
    <s v="P"/>
    <s v="P"/>
    <s v="+"/>
    <s v="+"/>
    <n v="12.11"/>
    <s v="-"/>
    <s v="-"/>
    <s v="-"/>
    <s v="-"/>
    <s v="-"/>
    <s v="-"/>
    <s v="-"/>
    <s v="-"/>
    <s v="P"/>
    <s v="P"/>
    <s v="-"/>
    <n v="2"/>
    <n v="1"/>
    <n v="2"/>
    <n v="1"/>
    <s v="-"/>
    <s v="-"/>
    <s v="-"/>
    <s v="-"/>
    <s v="-"/>
    <s v="-"/>
    <s v="-"/>
    <n v="6"/>
    <n v="6"/>
    <s v="-"/>
    <n v="1"/>
    <n v="1"/>
    <n v="2"/>
    <n v="2"/>
    <n v="8"/>
    <n v="8"/>
  </r>
  <r>
    <x v="8"/>
    <x v="198"/>
    <d v="2026-09-08T00:00:00"/>
    <s v="1ST"/>
    <s v="11:00"/>
    <n v="3"/>
    <x v="16"/>
    <n v="0.01"/>
    <s v="P"/>
    <s v="P"/>
    <s v="P"/>
    <s v="+"/>
    <s v="+"/>
    <s v="-"/>
    <s v="-"/>
    <s v="-"/>
    <s v="-"/>
    <s v="-"/>
    <s v="-"/>
    <s v="-"/>
    <s v="-"/>
    <s v="-"/>
    <s v="P"/>
    <s v="P"/>
    <s v="-"/>
    <n v="2"/>
    <n v="1"/>
    <n v="2"/>
    <s v="-"/>
    <s v="-"/>
    <s v="-"/>
    <s v="-"/>
    <s v="-"/>
    <s v="-"/>
    <s v="-"/>
    <s v="-"/>
    <n v="5"/>
    <n v="5"/>
    <s v="-"/>
    <n v="1"/>
    <n v="1"/>
    <n v="2"/>
    <n v="2"/>
    <n v="7"/>
    <n v="7"/>
  </r>
  <r>
    <x v="8"/>
    <x v="198"/>
    <d v="2026-09-08T00:00:00"/>
    <s v="2ND"/>
    <d v="1899-12-30T14:00:00"/>
    <n v="1"/>
    <x v="20"/>
    <s v="-"/>
    <s v="P"/>
    <s v="P"/>
    <s v="P"/>
    <s v="-"/>
    <s v="-"/>
    <n v="12.63"/>
    <s v="-"/>
    <s v="-"/>
    <s v="-"/>
    <s v="-"/>
    <s v="-"/>
    <s v="-"/>
    <s v="-"/>
    <s v="-"/>
    <s v="P"/>
    <s v="P"/>
    <s v="-"/>
    <s v="-"/>
    <n v="1"/>
    <n v="2"/>
    <n v="1"/>
    <s v="-"/>
    <s v="-"/>
    <s v="-"/>
    <s v="-"/>
    <s v="-"/>
    <s v="-"/>
    <s v="-"/>
    <n v="4"/>
    <n v="4"/>
    <s v="-"/>
    <n v="1"/>
    <n v="1"/>
    <n v="2"/>
    <n v="2"/>
    <n v="6"/>
    <n v="6"/>
  </r>
  <r>
    <x v="8"/>
    <x v="198"/>
    <d v="2026-09-08T00:00:00"/>
    <s v="2ND"/>
    <d v="1899-12-30T15:00:00"/>
    <n v="1"/>
    <x v="20"/>
    <s v="-"/>
    <s v="P"/>
    <s v="P"/>
    <s v="P"/>
    <s v="-"/>
    <s v="-"/>
    <n v="12.31"/>
    <s v="-"/>
    <s v="-"/>
    <s v="-"/>
    <s v="-"/>
    <s v="-"/>
    <s v="-"/>
    <s v="-"/>
    <s v="-"/>
    <s v="P"/>
    <s v="P"/>
    <s v="-"/>
    <s v="-"/>
    <n v="1"/>
    <n v="2"/>
    <n v="1"/>
    <s v="-"/>
    <s v="-"/>
    <s v="-"/>
    <s v="-"/>
    <s v="-"/>
    <s v="-"/>
    <s v="-"/>
    <n v="4"/>
    <n v="4"/>
    <s v="-"/>
    <n v="1"/>
    <n v="1"/>
    <n v="2"/>
    <n v="2"/>
    <n v="6"/>
    <n v="6"/>
  </r>
  <r>
    <x v="8"/>
    <x v="198"/>
    <d v="2026-09-09T00:00:00"/>
    <s v="2ND"/>
    <d v="1899-12-30T16:00:00"/>
    <n v="1"/>
    <x v="22"/>
    <s v="-"/>
    <s v="P"/>
    <s v="P"/>
    <s v="P"/>
    <s v="-"/>
    <s v="-"/>
    <n v="10.53"/>
    <s v="-"/>
    <s v="-"/>
    <s v="-"/>
    <s v="-"/>
    <s v="-"/>
    <s v="-"/>
    <s v="-"/>
    <s v="-"/>
    <s v="P"/>
    <s v="P"/>
    <s v="-"/>
    <s v="-"/>
    <n v="1"/>
    <n v="2"/>
    <n v="0"/>
    <s v="-"/>
    <s v="-"/>
    <s v="-"/>
    <s v="-"/>
    <s v="-"/>
    <s v="-"/>
    <s v="-"/>
    <n v="3"/>
    <n v="4"/>
    <s v="-"/>
    <n v="1"/>
    <n v="1"/>
    <n v="2"/>
    <n v="2"/>
    <n v="5"/>
    <n v="6"/>
  </r>
  <r>
    <x v="8"/>
    <x v="198"/>
    <d v="2026-09-09T00:00:00"/>
    <s v="2ND"/>
    <d v="1899-12-30T20:00:00"/>
    <n v="1"/>
    <x v="22"/>
    <s v="-"/>
    <s v="P"/>
    <s v="P"/>
    <s v="P"/>
    <s v="-"/>
    <s v="-"/>
    <n v="10.74"/>
    <s v="-"/>
    <s v="-"/>
    <s v="-"/>
    <s v="-"/>
    <s v="-"/>
    <s v="-"/>
    <s v="-"/>
    <s v="-"/>
    <s v="P"/>
    <s v="P"/>
    <s v="-"/>
    <s v="-"/>
    <n v="1"/>
    <n v="2"/>
    <n v="0"/>
    <s v="-"/>
    <s v="-"/>
    <s v="-"/>
    <s v="-"/>
    <s v="-"/>
    <s v="-"/>
    <s v="-"/>
    <n v="3"/>
    <n v="4"/>
    <s v="-"/>
    <n v="1"/>
    <n v="1"/>
    <n v="2"/>
    <n v="2"/>
    <n v="5"/>
    <n v="6"/>
  </r>
  <r>
    <x v="8"/>
    <x v="198"/>
    <d v="2026-09-09T00:00:00"/>
    <s v="2ND"/>
    <d v="1899-12-30T21:00:00"/>
    <n v="1"/>
    <x v="22"/>
    <s v="-"/>
    <s v="P"/>
    <s v="P"/>
    <s v="P"/>
    <s v="-"/>
    <s v="-"/>
    <n v="10.94"/>
    <s v="-"/>
    <s v="-"/>
    <s v="-"/>
    <s v="-"/>
    <s v="-"/>
    <s v="-"/>
    <s v="-"/>
    <s v="-"/>
    <s v="P"/>
    <s v="P"/>
    <s v="-"/>
    <s v="-"/>
    <n v="1"/>
    <n v="2"/>
    <n v="0"/>
    <s v="-"/>
    <s v="-"/>
    <s v="-"/>
    <s v="-"/>
    <s v="-"/>
    <s v="-"/>
    <s v="-"/>
    <n v="3"/>
    <n v="4"/>
    <s v="-"/>
    <n v="1"/>
    <n v="1"/>
    <n v="2"/>
    <n v="2"/>
    <n v="5"/>
    <n v="6"/>
  </r>
  <r>
    <x v="8"/>
    <x v="198"/>
    <d v="1899-12-30T00:00:00"/>
    <s v="2ND"/>
    <d v="1899-12-30T14:00:00"/>
    <n v="2"/>
    <x v="2"/>
    <s v="-"/>
    <s v="P"/>
    <s v="P"/>
    <s v="P"/>
    <s v="-"/>
    <s v="+"/>
    <n v="10.199999999999999"/>
    <s v="-"/>
    <s v="-"/>
    <s v="-"/>
    <s v="-"/>
    <s v="-"/>
    <s v="-"/>
    <s v="-"/>
    <s v="-"/>
    <s v="P"/>
    <s v="P"/>
    <s v="-"/>
    <s v="-"/>
    <n v="1"/>
    <n v="2"/>
    <n v="0"/>
    <s v="-"/>
    <s v="-"/>
    <s v="-"/>
    <s v="-"/>
    <s v="-"/>
    <s v="-"/>
    <s v="-"/>
    <n v="3"/>
    <n v="4"/>
    <s v="-"/>
    <n v="1"/>
    <n v="1"/>
    <n v="2"/>
    <n v="2"/>
    <n v="5"/>
    <n v="6"/>
  </r>
  <r>
    <x v="8"/>
    <x v="198"/>
    <d v="1899-12-30T00:00:00"/>
    <s v="2ND"/>
    <d v="1899-12-30T15:00:00"/>
    <n v="2"/>
    <x v="5"/>
    <s v="-"/>
    <s v="P"/>
    <s v="P"/>
    <s v="P"/>
    <s v="-"/>
    <s v="+"/>
    <n v="10.44"/>
    <s v="-"/>
    <s v="-"/>
    <s v="-"/>
    <s v="-"/>
    <s v="-"/>
    <s v="-"/>
    <s v="-"/>
    <s v="-"/>
    <s v="P"/>
    <s v="P"/>
    <s v="-"/>
    <s v="-"/>
    <n v="1"/>
    <n v="2"/>
    <n v="0"/>
    <s v="-"/>
    <s v="-"/>
    <s v="-"/>
    <s v="-"/>
    <s v="-"/>
    <s v="-"/>
    <s v="-"/>
    <n v="3"/>
    <n v="4"/>
    <s v="-"/>
    <n v="1"/>
    <n v="1"/>
    <n v="2"/>
    <n v="2"/>
    <n v="5"/>
    <n v="6"/>
  </r>
  <r>
    <x v="8"/>
    <x v="198"/>
    <d v="1899-12-30T00:00:00"/>
    <s v="2ND"/>
    <d v="1899-12-30T16:00:00"/>
    <n v="2"/>
    <x v="5"/>
    <s v="-"/>
    <s v="P"/>
    <s v="P"/>
    <s v="P"/>
    <s v="-"/>
    <s v="+"/>
    <n v="10.41"/>
    <s v="-"/>
    <s v="-"/>
    <s v="-"/>
    <s v="-"/>
    <s v="-"/>
    <s v="-"/>
    <s v="-"/>
    <s v="-"/>
    <s v="P"/>
    <s v="P"/>
    <s v="-"/>
    <s v="-"/>
    <n v="1"/>
    <n v="2"/>
    <n v="0"/>
    <s v="-"/>
    <s v="-"/>
    <s v="-"/>
    <s v="-"/>
    <s v="-"/>
    <s v="-"/>
    <s v="-"/>
    <n v="3"/>
    <n v="4"/>
    <s v="-"/>
    <n v="1"/>
    <n v="1"/>
    <n v="2"/>
    <n v="2"/>
    <n v="5"/>
    <n v="6"/>
  </r>
  <r>
    <x v="8"/>
    <x v="198"/>
    <d v="1899-12-30T00:00:00"/>
    <s v="2ND"/>
    <d v="1899-12-30T18:00:00"/>
    <n v="2"/>
    <x v="5"/>
    <s v="-"/>
    <s v="P"/>
    <s v="P"/>
    <s v="P"/>
    <s v="-"/>
    <s v="+"/>
    <n v="10.65"/>
    <s v="-"/>
    <s v="-"/>
    <s v="-"/>
    <s v="-"/>
    <s v="-"/>
    <s v="-"/>
    <s v="-"/>
    <s v="-"/>
    <s v="P"/>
    <s v="P"/>
    <s v="-"/>
    <s v="-"/>
    <n v="1"/>
    <n v="2"/>
    <n v="0"/>
    <s v="-"/>
    <s v="-"/>
    <s v="-"/>
    <s v="-"/>
    <s v="-"/>
    <s v="-"/>
    <s v="-"/>
    <n v="3"/>
    <n v="4"/>
    <s v="-"/>
    <n v="1"/>
    <n v="1"/>
    <n v="2"/>
    <n v="2"/>
    <n v="5"/>
    <n v="6"/>
  </r>
  <r>
    <x v="8"/>
    <x v="198"/>
    <d v="1899-12-30T00:00:00"/>
    <s v="2ND"/>
    <d v="1899-12-30T19:00:00"/>
    <n v="2"/>
    <x v="5"/>
    <s v="-"/>
    <s v="P"/>
    <s v="P"/>
    <s v="P"/>
    <s v="-"/>
    <s v="+"/>
    <n v="10.68"/>
    <s v="-"/>
    <s v="-"/>
    <s v="-"/>
    <s v="-"/>
    <s v="-"/>
    <s v="-"/>
    <s v="-"/>
    <s v="-"/>
    <s v="P"/>
    <s v="P"/>
    <s v="-"/>
    <s v="-"/>
    <n v="1"/>
    <n v="2"/>
    <n v="0"/>
    <s v="-"/>
    <s v="-"/>
    <s v="-"/>
    <s v="-"/>
    <s v="-"/>
    <s v="-"/>
    <s v="-"/>
    <n v="3"/>
    <n v="4"/>
    <s v="-"/>
    <n v="1"/>
    <n v="1"/>
    <n v="2"/>
    <n v="2"/>
    <n v="5"/>
    <n v="6"/>
  </r>
  <r>
    <x v="8"/>
    <x v="198"/>
    <d v="1899-12-30T00:00:00"/>
    <s v="2ND"/>
    <d v="1899-12-30T20:00:00"/>
    <n v="2"/>
    <x v="5"/>
    <s v="-"/>
    <s v="P"/>
    <s v="P"/>
    <s v="P"/>
    <s v="-"/>
    <s v="+"/>
    <n v="10.44"/>
    <s v="-"/>
    <s v="-"/>
    <s v="-"/>
    <s v="-"/>
    <s v="-"/>
    <s v="-"/>
    <s v="-"/>
    <s v="-"/>
    <s v="P"/>
    <s v="P"/>
    <s v="-"/>
    <s v="-"/>
    <n v="1"/>
    <n v="2"/>
    <n v="0"/>
    <s v="-"/>
    <s v="-"/>
    <s v="-"/>
    <s v="-"/>
    <s v="-"/>
    <s v="-"/>
    <s v="-"/>
    <n v="3"/>
    <n v="4"/>
    <s v="-"/>
    <n v="1"/>
    <n v="1"/>
    <n v="2"/>
    <n v="2"/>
    <n v="5"/>
    <n v="6"/>
  </r>
  <r>
    <x v="8"/>
    <x v="198"/>
    <d v="1899-12-30T00:00:00"/>
    <s v="2ND"/>
    <d v="1899-12-30T21:00:00"/>
    <n v="2"/>
    <x v="5"/>
    <s v="-"/>
    <s v="P"/>
    <s v="P"/>
    <s v="P"/>
    <s v="-"/>
    <s v="+"/>
    <n v="10.55"/>
    <s v="-"/>
    <s v="-"/>
    <s v="-"/>
    <s v="-"/>
    <s v="-"/>
    <s v="-"/>
    <s v="-"/>
    <s v="-"/>
    <s v="P"/>
    <s v="P"/>
    <s v="-"/>
    <s v="-"/>
    <n v="1"/>
    <n v="2"/>
    <n v="0"/>
    <s v="-"/>
    <s v="-"/>
    <s v="-"/>
    <s v="-"/>
    <s v="-"/>
    <s v="-"/>
    <s v="-"/>
    <n v="3"/>
    <n v="4"/>
    <s v="-"/>
    <n v="1"/>
    <n v="1"/>
    <n v="2"/>
    <n v="2"/>
    <n v="5"/>
    <n v="6"/>
  </r>
  <r>
    <x v="8"/>
    <x v="198"/>
    <d v="2026-08-26T00:00:00"/>
    <s v="2ND"/>
    <d v="1899-12-30T15:00:00"/>
    <n v="3"/>
    <x v="12"/>
    <n v="0.01"/>
    <s v="P"/>
    <s v="P"/>
    <s v="P"/>
    <s v="+"/>
    <s v="+"/>
    <n v="12.18"/>
    <s v="-"/>
    <s v="-"/>
    <s v="-"/>
    <s v="-"/>
    <s v="-"/>
    <s v="-"/>
    <s v="-"/>
    <s v="-"/>
    <s v="P"/>
    <s v="P"/>
    <s v="-"/>
    <n v="2"/>
    <n v="1"/>
    <n v="2"/>
    <n v="1"/>
    <s v="-"/>
    <s v="-"/>
    <s v="-"/>
    <s v="-"/>
    <s v="-"/>
    <s v="-"/>
    <s v="-"/>
    <n v="6"/>
    <n v="6"/>
    <s v="-"/>
    <n v="1"/>
    <n v="1"/>
    <n v="2"/>
    <n v="2"/>
    <n v="8"/>
    <n v="8"/>
  </r>
  <r>
    <x v="8"/>
    <x v="198"/>
    <d v="2026-09-08T00:00:00"/>
    <s v="2ND"/>
    <d v="1899-12-30T16:00:00"/>
    <n v="3"/>
    <x v="44"/>
    <n v="0.01"/>
    <s v="P"/>
    <s v="P"/>
    <s v="P"/>
    <s v="+"/>
    <s v="+"/>
    <n v="12.39"/>
    <s v="-"/>
    <s v="-"/>
    <s v="-"/>
    <s v="-"/>
    <s v="-"/>
    <s v="-"/>
    <s v="-"/>
    <s v="-"/>
    <s v="P"/>
    <s v="P"/>
    <s v="-"/>
    <n v="2"/>
    <n v="1"/>
    <n v="2"/>
    <n v="1"/>
    <s v="-"/>
    <s v="-"/>
    <s v="-"/>
    <s v="-"/>
    <s v="-"/>
    <s v="-"/>
    <s v="-"/>
    <n v="6"/>
    <n v="6"/>
    <s v="-"/>
    <n v="1"/>
    <n v="1"/>
    <n v="2"/>
    <n v="2"/>
    <n v="8"/>
    <n v="8"/>
  </r>
  <r>
    <x v="8"/>
    <x v="198"/>
    <d v="2026-09-08T00:00:00"/>
    <s v="2ND"/>
    <d v="1899-12-30T20:00:00"/>
    <n v="3"/>
    <x v="44"/>
    <n v="0.02"/>
    <s v="P"/>
    <s v="P"/>
    <s v="P"/>
    <s v="+"/>
    <s v="+"/>
    <n v="12.08"/>
    <s v="-"/>
    <s v="-"/>
    <s v="-"/>
    <s v="-"/>
    <s v="-"/>
    <s v="-"/>
    <s v="-"/>
    <s v="-"/>
    <s v="-"/>
    <s v="-"/>
    <s v="-"/>
    <n v="2"/>
    <n v="1"/>
    <n v="2"/>
    <n v="1"/>
    <s v="-"/>
    <s v="-"/>
    <s v="-"/>
    <s v="-"/>
    <s v="-"/>
    <s v="-"/>
    <s v="-"/>
    <n v="6"/>
    <n v="6"/>
    <s v="-"/>
    <s v="-"/>
    <s v="-"/>
    <n v="0"/>
    <n v="0"/>
    <n v="6"/>
    <n v="6"/>
  </r>
  <r>
    <x v="8"/>
    <x v="198"/>
    <d v="2026-09-08T00:00:00"/>
    <s v="2ND"/>
    <d v="1899-12-30T21:00:00"/>
    <n v="3"/>
    <x v="44"/>
    <n v="0.02"/>
    <s v="P"/>
    <s v="P"/>
    <s v="P"/>
    <s v="+"/>
    <s v="+"/>
    <n v="12.16"/>
    <s v="-"/>
    <s v="-"/>
    <s v="-"/>
    <s v="-"/>
    <s v="-"/>
    <s v="-"/>
    <s v="-"/>
    <s v="-"/>
    <s v="-"/>
    <s v="-"/>
    <s v="-"/>
    <n v="2"/>
    <n v="1"/>
    <n v="2"/>
    <n v="1"/>
    <s v="-"/>
    <s v="-"/>
    <s v="-"/>
    <s v="-"/>
    <s v="-"/>
    <s v="-"/>
    <s v="-"/>
    <n v="6"/>
    <n v="6"/>
    <s v="-"/>
    <s v="-"/>
    <s v="-"/>
    <n v="0"/>
    <n v="0"/>
    <n v="6"/>
    <n v="6"/>
  </r>
  <r>
    <x v="8"/>
    <x v="198"/>
    <d v="2026-09-09T00:00:00"/>
    <s v="3RD"/>
    <d v="1899-12-30T22:00:00"/>
    <n v="1"/>
    <x v="22"/>
    <s v="-"/>
    <s v="P"/>
    <s v="P"/>
    <s v="P"/>
    <s v="-"/>
    <s v="-"/>
    <n v="10.99"/>
    <n v="9.4600000000000009"/>
    <n v="0.56999999999999995"/>
    <s v="-"/>
    <s v="-"/>
    <s v="-"/>
    <n v="25.8"/>
    <s v="-"/>
    <s v="-"/>
    <s v="P"/>
    <s v="P"/>
    <n v="1"/>
    <s v="-"/>
    <n v="1"/>
    <n v="2"/>
    <n v="0"/>
    <n v="1"/>
    <n v="2"/>
    <s v="-"/>
    <s v="-"/>
    <s v="-"/>
    <n v="2"/>
    <s v="-"/>
    <n v="8"/>
    <n v="9"/>
    <s v="-"/>
    <n v="1"/>
    <n v="1"/>
    <n v="2"/>
    <n v="2"/>
    <n v="10"/>
    <n v="11"/>
  </r>
  <r>
    <x v="8"/>
    <x v="198"/>
    <d v="2026-09-09T00:00:00"/>
    <s v="3RD"/>
    <d v="1899-12-30T23:00:00"/>
    <n v="1"/>
    <x v="22"/>
    <s v="-"/>
    <s v="P"/>
    <s v="P"/>
    <s v="P"/>
    <s v="-"/>
    <s v="-"/>
    <n v="10.81"/>
    <s v="-"/>
    <s v="-"/>
    <s v="-"/>
    <s v="-"/>
    <s v="-"/>
    <s v="-"/>
    <s v="-"/>
    <s v="-"/>
    <s v="P"/>
    <s v="P"/>
    <n v="1"/>
    <s v="-"/>
    <n v="1"/>
    <n v="2"/>
    <n v="0"/>
    <s v="-"/>
    <s v="-"/>
    <s v="-"/>
    <s v="-"/>
    <s v="-"/>
    <s v="-"/>
    <s v="-"/>
    <n v="3"/>
    <n v="4"/>
    <s v="-"/>
    <n v="1"/>
    <n v="1"/>
    <n v="2"/>
    <n v="2"/>
    <n v="5"/>
    <n v="6"/>
  </r>
  <r>
    <x v="8"/>
    <x v="198"/>
    <d v="2026-09-09T00:00:00"/>
    <s v="3RD"/>
    <d v="1899-12-31T00:00:00"/>
    <n v="1"/>
    <x v="22"/>
    <s v="-"/>
    <s v="P"/>
    <s v="P"/>
    <s v="P"/>
    <s v="-"/>
    <s v="-"/>
    <n v="11.07"/>
    <s v="-"/>
    <s v="-"/>
    <s v="-"/>
    <s v="-"/>
    <s v="-"/>
    <s v="-"/>
    <s v="-"/>
    <s v="-"/>
    <s v="P"/>
    <s v="P"/>
    <n v="1"/>
    <s v="-"/>
    <n v="1"/>
    <n v="2"/>
    <n v="1"/>
    <s v="-"/>
    <s v="-"/>
    <s v="-"/>
    <s v="-"/>
    <s v="-"/>
    <s v="-"/>
    <s v="-"/>
    <n v="4"/>
    <n v="4"/>
    <s v="-"/>
    <n v="1"/>
    <n v="1"/>
    <n v="2"/>
    <n v="2"/>
    <n v="6"/>
    <n v="6"/>
  </r>
  <r>
    <x v="8"/>
    <x v="198"/>
    <d v="2026-09-09T00:00:00"/>
    <s v="3RD"/>
    <d v="1899-12-31T01:00:00"/>
    <n v="1"/>
    <x v="22"/>
    <s v="-"/>
    <s v="P"/>
    <s v="P"/>
    <s v="P"/>
    <s v="-"/>
    <s v="-"/>
    <n v="10.93"/>
    <s v="-"/>
    <s v="-"/>
    <s v="-"/>
    <s v="-"/>
    <s v="-"/>
    <s v="-"/>
    <s v="-"/>
    <s v="-"/>
    <s v="P"/>
    <s v="P"/>
    <n v="1"/>
    <s v="-"/>
    <n v="1"/>
    <n v="2"/>
    <n v="0"/>
    <s v="-"/>
    <s v="-"/>
    <s v="-"/>
    <s v="-"/>
    <s v="-"/>
    <s v="-"/>
    <s v="-"/>
    <n v="3"/>
    <n v="4"/>
    <s v="-"/>
    <n v="1"/>
    <n v="1"/>
    <n v="2"/>
    <n v="2"/>
    <n v="5"/>
    <n v="6"/>
  </r>
  <r>
    <x v="8"/>
    <x v="198"/>
    <d v="2026-09-09T00:00:00"/>
    <s v="3RD"/>
    <d v="1899-12-31T02:00:00"/>
    <n v="1"/>
    <x v="22"/>
    <s v="-"/>
    <s v="-"/>
    <s v="P"/>
    <s v="P"/>
    <s v="-"/>
    <s v="-"/>
    <n v="10.81"/>
    <s v="-"/>
    <s v="-"/>
    <s v="-"/>
    <s v="-"/>
    <s v="-"/>
    <s v="-"/>
    <s v="-"/>
    <s v="-"/>
    <s v="P"/>
    <s v="P"/>
    <n v="1"/>
    <s v="-"/>
    <s v="-"/>
    <n v="2"/>
    <n v="0"/>
    <s v="-"/>
    <s v="-"/>
    <s v="-"/>
    <s v="-"/>
    <s v="-"/>
    <s v="-"/>
    <s v="-"/>
    <n v="2"/>
    <n v="3"/>
    <s v="-"/>
    <n v="1"/>
    <n v="1"/>
    <n v="2"/>
    <n v="2"/>
    <n v="4"/>
    <n v="5"/>
  </r>
  <r>
    <x v="8"/>
    <x v="198"/>
    <d v="2026-09-09T00:00:00"/>
    <s v="3RD"/>
    <d v="1899-12-31T03:00:00"/>
    <n v="1"/>
    <x v="22"/>
    <s v="-"/>
    <s v="P"/>
    <s v="P"/>
    <s v="P"/>
    <s v="-"/>
    <s v="-"/>
    <n v="10.63"/>
    <s v="-"/>
    <s v="-"/>
    <s v="-"/>
    <s v="-"/>
    <s v="-"/>
    <s v="-"/>
    <s v="-"/>
    <s v="-"/>
    <s v="P"/>
    <s v="P"/>
    <n v="1"/>
    <s v="-"/>
    <n v="1"/>
    <n v="2"/>
    <n v="0"/>
    <s v="-"/>
    <s v="-"/>
    <s v="-"/>
    <s v="-"/>
    <s v="-"/>
    <s v="-"/>
    <s v="-"/>
    <n v="3"/>
    <n v="4"/>
    <s v="-"/>
    <n v="1"/>
    <n v="1"/>
    <n v="2"/>
    <n v="2"/>
    <n v="5"/>
    <n v="6"/>
  </r>
  <r>
    <x v="8"/>
    <x v="198"/>
    <d v="2026-09-09T00:00:00"/>
    <s v="3RD"/>
    <d v="1899-12-31T04:00:00"/>
    <n v="1"/>
    <x v="22"/>
    <s v="-"/>
    <s v="P"/>
    <s v="P"/>
    <s v="P"/>
    <s v="-"/>
    <s v="-"/>
    <n v="10.8"/>
    <s v="-"/>
    <s v="-"/>
    <s v="-"/>
    <s v="-"/>
    <s v="-"/>
    <s v="-"/>
    <s v="-"/>
    <s v="-"/>
    <s v="P"/>
    <s v="P"/>
    <n v="1"/>
    <s v="-"/>
    <n v="1"/>
    <n v="2"/>
    <n v="0"/>
    <s v="-"/>
    <s v="-"/>
    <s v="-"/>
    <s v="-"/>
    <s v="-"/>
    <s v="-"/>
    <s v="-"/>
    <n v="3"/>
    <n v="4"/>
    <s v="-"/>
    <n v="1"/>
    <n v="1"/>
    <n v="2"/>
    <n v="2"/>
    <n v="5"/>
    <n v="6"/>
  </r>
  <r>
    <x v="8"/>
    <x v="198"/>
    <d v="2026-09-09T00:00:00"/>
    <s v="3RD"/>
    <d v="1899-12-31T05:00:00"/>
    <n v="1"/>
    <x v="22"/>
    <s v="-"/>
    <s v="P"/>
    <s v="P"/>
    <s v="P"/>
    <s v="-"/>
    <s v="-"/>
    <n v="10.67"/>
    <s v="-"/>
    <s v="-"/>
    <s v="-"/>
    <s v="-"/>
    <s v="-"/>
    <s v="-"/>
    <s v="-"/>
    <s v="-"/>
    <s v="P"/>
    <s v="P"/>
    <n v="1"/>
    <s v="-"/>
    <n v="1"/>
    <n v="2"/>
    <n v="0"/>
    <s v="-"/>
    <s v="-"/>
    <s v="-"/>
    <s v="-"/>
    <s v="-"/>
    <s v="-"/>
    <s v="-"/>
    <n v="3"/>
    <n v="4"/>
    <s v="-"/>
    <n v="1"/>
    <n v="1"/>
    <n v="2"/>
    <n v="2"/>
    <n v="5"/>
    <n v="6"/>
  </r>
  <r>
    <x v="8"/>
    <x v="198"/>
    <d v="1902-03-26T00:00:00"/>
    <s v="3RD"/>
    <d v="1899-12-30T22:00:00"/>
    <n v="2"/>
    <x v="4"/>
    <n v="0.01"/>
    <s v="P"/>
    <s v="P"/>
    <s v="P"/>
    <s v="-"/>
    <s v="+"/>
    <n v="10.6"/>
    <s v="-"/>
    <s v="-"/>
    <s v="-"/>
    <s v="-"/>
    <s v="-"/>
    <s v="-"/>
    <s v="-"/>
    <s v="-"/>
    <s v="P"/>
    <s v="P"/>
    <n v="1"/>
    <n v="2"/>
    <n v="1"/>
    <n v="2"/>
    <n v="0"/>
    <s v="-"/>
    <s v="-"/>
    <s v="-"/>
    <s v="-"/>
    <s v="-"/>
    <s v="-"/>
    <s v="-"/>
    <n v="5"/>
    <n v="6"/>
    <s v="-"/>
    <n v="1"/>
    <n v="1"/>
    <n v="2"/>
    <n v="2"/>
    <n v="7"/>
    <n v="8"/>
  </r>
  <r>
    <x v="8"/>
    <x v="198"/>
    <d v="1902-03-26T00:00:00"/>
    <s v="3RD"/>
    <d v="1899-12-30T23:00:00"/>
    <n v="2"/>
    <x v="4"/>
    <s v="-"/>
    <s v="P"/>
    <s v="P"/>
    <s v="P"/>
    <s v="-"/>
    <s v="+"/>
    <n v="10.59"/>
    <s v="-"/>
    <s v="-"/>
    <s v="-"/>
    <s v="-"/>
    <s v="-"/>
    <s v="-"/>
    <s v="-"/>
    <s v="-"/>
    <s v="P"/>
    <s v="P"/>
    <n v="1"/>
    <s v="-"/>
    <n v="1"/>
    <n v="2"/>
    <n v="0"/>
    <s v="-"/>
    <s v="-"/>
    <s v="-"/>
    <s v="-"/>
    <s v="-"/>
    <s v="-"/>
    <s v="-"/>
    <n v="3"/>
    <n v="4"/>
    <s v="-"/>
    <n v="1"/>
    <n v="1"/>
    <n v="2"/>
    <n v="2"/>
    <n v="5"/>
    <n v="6"/>
  </r>
  <r>
    <x v="8"/>
    <x v="198"/>
    <d v="1902-03-26T00:00:00"/>
    <s v="3RD"/>
    <d v="1899-12-31T00:00:00"/>
    <n v="2"/>
    <x v="4"/>
    <s v="-"/>
    <s v="P"/>
    <s v="P"/>
    <s v="P"/>
    <s v="-"/>
    <s v="+"/>
    <n v="10.59"/>
    <s v="-"/>
    <s v="-"/>
    <s v="-"/>
    <s v="-"/>
    <s v="-"/>
    <s v="-"/>
    <s v="-"/>
    <s v="-"/>
    <s v="P"/>
    <s v="P"/>
    <n v="1"/>
    <s v="-"/>
    <n v="1"/>
    <n v="2"/>
    <n v="0"/>
    <s v="-"/>
    <s v="-"/>
    <s v="-"/>
    <s v="-"/>
    <s v="-"/>
    <s v="-"/>
    <s v="-"/>
    <n v="3"/>
    <n v="4"/>
    <s v="-"/>
    <n v="1"/>
    <n v="1"/>
    <n v="2"/>
    <n v="2"/>
    <n v="5"/>
    <n v="6"/>
  </r>
  <r>
    <x v="8"/>
    <x v="198"/>
    <d v="1902-03-26T00:00:00"/>
    <s v="3RD"/>
    <d v="1899-12-31T01:00:00"/>
    <n v="2"/>
    <x v="4"/>
    <s v="-"/>
    <s v="P"/>
    <s v="P"/>
    <s v="P"/>
    <s v="-"/>
    <s v="+"/>
    <n v="10.56"/>
    <s v="-"/>
    <s v="-"/>
    <s v="-"/>
    <s v="-"/>
    <s v="-"/>
    <s v="-"/>
    <s v="-"/>
    <s v="-"/>
    <s v="P"/>
    <s v="P"/>
    <n v="1"/>
    <s v="-"/>
    <n v="1"/>
    <n v="2"/>
    <n v="0"/>
    <s v="-"/>
    <s v="-"/>
    <s v="-"/>
    <s v="-"/>
    <s v="-"/>
    <s v="-"/>
    <s v="-"/>
    <n v="3"/>
    <n v="4"/>
    <s v="-"/>
    <n v="1"/>
    <n v="1"/>
    <n v="2"/>
    <n v="2"/>
    <n v="5"/>
    <n v="6"/>
  </r>
  <r>
    <x v="8"/>
    <x v="198"/>
    <d v="1902-03-26T00:00:00"/>
    <s v="3RD"/>
    <d v="1899-12-31T02:00:00"/>
    <n v="2"/>
    <x v="4"/>
    <s v="-"/>
    <s v="P"/>
    <s v="P"/>
    <s v="P"/>
    <s v="-"/>
    <s v="+"/>
    <n v="10.66"/>
    <s v="-"/>
    <s v="-"/>
    <s v="-"/>
    <s v="-"/>
    <s v="-"/>
    <s v="-"/>
    <s v="-"/>
    <s v="-"/>
    <s v="P"/>
    <s v="P"/>
    <s v="-"/>
    <s v="-"/>
    <n v="1"/>
    <n v="2"/>
    <n v="0"/>
    <s v="-"/>
    <s v="-"/>
    <s v="-"/>
    <s v="-"/>
    <s v="-"/>
    <s v="-"/>
    <s v="-"/>
    <n v="3"/>
    <n v="4"/>
    <s v="-"/>
    <n v="1"/>
    <n v="1"/>
    <n v="2"/>
    <n v="2"/>
    <n v="5"/>
    <n v="6"/>
  </r>
  <r>
    <x v="8"/>
    <x v="198"/>
    <d v="2026-09-08T00:00:00"/>
    <s v="3RD"/>
    <d v="1899-12-30T22:00:00"/>
    <n v="3"/>
    <x v="16"/>
    <n v="0.02"/>
    <s v="P"/>
    <s v="P"/>
    <s v="P"/>
    <s v="+"/>
    <s v="+"/>
    <n v="12.28"/>
    <n v="12.49"/>
    <n v="0.56000000000000005"/>
    <s v="-"/>
    <s v="-"/>
    <s v="-"/>
    <n v="34.9"/>
    <s v="-"/>
    <s v="-"/>
    <s v="P"/>
    <s v="P"/>
    <n v="1"/>
    <n v="2"/>
    <n v="1"/>
    <n v="2"/>
    <n v="1"/>
    <n v="1"/>
    <n v="0"/>
    <s v="-"/>
    <s v="-"/>
    <s v="-"/>
    <n v="2"/>
    <s v="-"/>
    <n v="9"/>
    <n v="11"/>
    <s v="-"/>
    <n v="1"/>
    <n v="1"/>
    <n v="2"/>
    <n v="2"/>
    <n v="11"/>
    <n v="13"/>
  </r>
  <r>
    <x v="8"/>
    <x v="198"/>
    <d v="2026-09-08T00:00:00"/>
    <s v="3RD"/>
    <d v="1899-12-30T23:00:00"/>
    <n v="3"/>
    <x v="16"/>
    <n v="0.02"/>
    <s v="P"/>
    <s v="P"/>
    <s v="P"/>
    <s v="+"/>
    <s v="+"/>
    <n v="12.13"/>
    <s v="-"/>
    <s v="-"/>
    <s v="-"/>
    <s v="-"/>
    <s v="-"/>
    <s v="-"/>
    <s v="-"/>
    <s v="-"/>
    <s v="P"/>
    <s v="P"/>
    <n v="1"/>
    <n v="2"/>
    <n v="1"/>
    <n v="2"/>
    <n v="1"/>
    <s v="-"/>
    <s v="-"/>
    <s v="-"/>
    <s v="-"/>
    <s v="-"/>
    <s v="-"/>
    <s v="-"/>
    <n v="6"/>
    <n v="6"/>
    <s v="-"/>
    <n v="1"/>
    <n v="1"/>
    <n v="2"/>
    <n v="2"/>
    <n v="8"/>
    <n v="8"/>
  </r>
  <r>
    <x v="8"/>
    <x v="198"/>
    <d v="2026-09-08T00:00:00"/>
    <s v="3RD"/>
    <d v="1899-12-31T00:00:00"/>
    <n v="3"/>
    <x v="16"/>
    <n v="0.02"/>
    <s v="P"/>
    <s v="P"/>
    <s v="P"/>
    <s v="+"/>
    <s v="+"/>
    <n v="12.2"/>
    <s v="-"/>
    <s v="-"/>
    <s v="-"/>
    <s v="-"/>
    <s v="-"/>
    <s v="-"/>
    <s v="-"/>
    <s v="-"/>
    <s v="P"/>
    <s v="P"/>
    <n v="1"/>
    <n v="2"/>
    <n v="1"/>
    <n v="2"/>
    <n v="1"/>
    <s v="-"/>
    <s v="-"/>
    <s v="-"/>
    <s v="-"/>
    <s v="-"/>
    <s v="-"/>
    <s v="-"/>
    <n v="6"/>
    <n v="6"/>
    <s v="-"/>
    <n v="1"/>
    <n v="1"/>
    <n v="2"/>
    <n v="2"/>
    <n v="8"/>
    <n v="8"/>
  </r>
  <r>
    <x v="8"/>
    <x v="198"/>
    <d v="2026-09-08T00:00:00"/>
    <s v="3RD"/>
    <d v="1899-12-31T01:00:00"/>
    <n v="3"/>
    <x v="16"/>
    <s v="-"/>
    <s v="P"/>
    <s v="P"/>
    <s v="P"/>
    <s v="+"/>
    <s v="+"/>
    <n v="12.18"/>
    <s v="-"/>
    <s v="-"/>
    <s v="-"/>
    <s v="-"/>
    <s v="-"/>
    <s v="-"/>
    <s v="-"/>
    <s v="-"/>
    <s v="P"/>
    <s v="P"/>
    <n v="1"/>
    <s v="-"/>
    <n v="1"/>
    <n v="2"/>
    <n v="1"/>
    <s v="-"/>
    <s v="-"/>
    <s v="-"/>
    <s v="-"/>
    <s v="-"/>
    <s v="-"/>
    <s v="-"/>
    <n v="4"/>
    <n v="4"/>
    <s v="-"/>
    <n v="1"/>
    <n v="1"/>
    <n v="2"/>
    <n v="2"/>
    <n v="6"/>
    <n v="6"/>
  </r>
  <r>
    <x v="8"/>
    <x v="198"/>
    <d v="2026-09-08T00:00:00"/>
    <s v="3RD"/>
    <d v="1899-12-31T03:00:00"/>
    <n v="3"/>
    <x v="42"/>
    <n v="0.02"/>
    <s v="P"/>
    <s v="P"/>
    <s v="P"/>
    <s v="+"/>
    <s v="+"/>
    <s v="-"/>
    <n v="11.68"/>
    <s v="-"/>
    <n v="62.3"/>
    <s v="-"/>
    <s v="-"/>
    <n v="32.299999999999997"/>
    <s v="-"/>
    <s v="-"/>
    <s v="P"/>
    <s v="P"/>
    <n v="1"/>
    <n v="2"/>
    <n v="1"/>
    <n v="2"/>
    <s v="-"/>
    <n v="1"/>
    <s v="-"/>
    <n v="0"/>
    <s v="-"/>
    <s v="-"/>
    <n v="2"/>
    <s v="-"/>
    <n v="8"/>
    <n v="10"/>
    <s v="-"/>
    <n v="1"/>
    <n v="1"/>
    <n v="2"/>
    <n v="2"/>
    <n v="10"/>
    <n v="12"/>
  </r>
  <r>
    <x v="8"/>
    <x v="198"/>
    <d v="2026-09-08T00:00:00"/>
    <s v="3RD"/>
    <d v="1899-12-31T04:00:00"/>
    <n v="3"/>
    <x v="42"/>
    <s v="-"/>
    <s v="P"/>
    <s v="P"/>
    <s v="P"/>
    <s v="+"/>
    <s v="+"/>
    <n v="12.78"/>
    <s v="-"/>
    <s v="-"/>
    <s v="-"/>
    <s v="-"/>
    <s v="-"/>
    <s v="-"/>
    <s v="-"/>
    <s v="-"/>
    <s v="P"/>
    <s v="P"/>
    <n v="1"/>
    <s v="-"/>
    <n v="1"/>
    <n v="2"/>
    <n v="1"/>
    <s v="-"/>
    <s v="-"/>
    <s v="-"/>
    <s v="-"/>
    <s v="-"/>
    <s v="-"/>
    <s v="-"/>
    <n v="4"/>
    <n v="4"/>
    <s v="-"/>
    <n v="1"/>
    <n v="1"/>
    <n v="2"/>
    <n v="2"/>
    <n v="6"/>
    <n v="6"/>
  </r>
  <r>
    <x v="8"/>
    <x v="198"/>
    <d v="2026-09-08T00:00:00"/>
    <s v="3RD"/>
    <d v="1899-12-31T05:00:00"/>
    <n v="3"/>
    <x v="42"/>
    <s v="-"/>
    <s v="P"/>
    <s v="P"/>
    <s v="P"/>
    <s v="+"/>
    <s v="+"/>
    <n v="12.69"/>
    <s v="-"/>
    <s v="-"/>
    <s v="-"/>
    <s v="-"/>
    <s v="-"/>
    <s v="-"/>
    <s v="-"/>
    <s v="-"/>
    <s v="P"/>
    <s v="P"/>
    <n v="1"/>
    <s v="-"/>
    <n v="1"/>
    <n v="2"/>
    <n v="1"/>
    <s v="-"/>
    <s v="-"/>
    <s v="-"/>
    <s v="-"/>
    <s v="-"/>
    <s v="-"/>
    <s v="-"/>
    <n v="4"/>
    <n v="4"/>
    <s v="-"/>
    <n v="1"/>
    <n v="1"/>
    <n v="2"/>
    <n v="2"/>
    <n v="6"/>
    <n v="6"/>
  </r>
  <r>
    <x v="8"/>
    <x v="199"/>
    <d v="2026-09-09T00:00:00"/>
    <s v="1ST"/>
    <s v="06:00"/>
    <n v="1"/>
    <x v="22"/>
    <s v="-"/>
    <s v="P"/>
    <s v="P"/>
    <s v="P"/>
    <s v="-"/>
    <s v="-"/>
    <n v="11.23"/>
    <n v="9.11"/>
    <n v="0.55000000000000004"/>
    <n v="54.7"/>
    <s v="-"/>
    <s v="-"/>
    <s v="-"/>
    <s v="-"/>
    <n v="24.7"/>
    <s v="P"/>
    <s v="P"/>
    <n v="1"/>
    <s v="-"/>
    <n v="1"/>
    <n v="2"/>
    <n v="1"/>
    <n v="1"/>
    <n v="2"/>
    <n v="2"/>
    <s v="-"/>
    <s v="-"/>
    <s v="-"/>
    <s v="-"/>
    <n v="9"/>
    <n v="9"/>
    <n v="0"/>
    <n v="1"/>
    <n v="1"/>
    <n v="2"/>
    <n v="3"/>
    <n v="11"/>
    <n v="12"/>
  </r>
  <r>
    <x v="8"/>
    <x v="199"/>
    <d v="2026-09-09T00:00:00"/>
    <s v="1ST"/>
    <s v="07:00"/>
    <n v="1"/>
    <x v="22"/>
    <s v="-"/>
    <s v="P"/>
    <s v="P"/>
    <s v="P"/>
    <s v="-"/>
    <s v="-"/>
    <n v="11.24"/>
    <s v="-"/>
    <s v="-"/>
    <s v="-"/>
    <s v="-"/>
    <s v="-"/>
    <s v="-"/>
    <s v="-"/>
    <s v="-"/>
    <s v="P"/>
    <s v="P"/>
    <n v="1"/>
    <s v="-"/>
    <n v="1"/>
    <n v="2"/>
    <n v="1"/>
    <s v="-"/>
    <s v="-"/>
    <s v="-"/>
    <s v="-"/>
    <s v="-"/>
    <s v="-"/>
    <s v="-"/>
    <n v="4"/>
    <n v="4"/>
    <s v="-"/>
    <n v="1"/>
    <n v="1"/>
    <n v="2"/>
    <n v="2"/>
    <n v="6"/>
    <n v="6"/>
  </r>
  <r>
    <x v="8"/>
    <x v="199"/>
    <d v="2026-09-09T00:00:00"/>
    <s v="1ST"/>
    <s v="10:00"/>
    <n v="1"/>
    <x v="22"/>
    <s v="-"/>
    <s v="-"/>
    <s v="P"/>
    <s v="P"/>
    <s v="-"/>
    <s v="-"/>
    <n v="10.7"/>
    <s v="-"/>
    <s v="-"/>
    <s v="-"/>
    <s v="-"/>
    <s v="-"/>
    <s v="-"/>
    <s v="-"/>
    <s v="-"/>
    <s v="P"/>
    <s v="P"/>
    <n v="1"/>
    <s v="-"/>
    <s v="-"/>
    <n v="2"/>
    <n v="0"/>
    <s v="-"/>
    <s v="-"/>
    <s v="-"/>
    <s v="-"/>
    <s v="-"/>
    <s v="-"/>
    <s v="-"/>
    <n v="2"/>
    <n v="3"/>
    <s v="-"/>
    <n v="1"/>
    <n v="1"/>
    <n v="2"/>
    <n v="2"/>
    <n v="4"/>
    <n v="5"/>
  </r>
  <r>
    <x v="8"/>
    <x v="199"/>
    <d v="2026-09-09T00:00:00"/>
    <s v="1ST"/>
    <s v="12:00"/>
    <n v="1"/>
    <x v="22"/>
    <s v="-"/>
    <s v="P"/>
    <s v="P"/>
    <s v="P"/>
    <s v="-"/>
    <s v="-"/>
    <n v="10.81"/>
    <s v="-"/>
    <s v="-"/>
    <s v="-"/>
    <s v="-"/>
    <s v="-"/>
    <s v="-"/>
    <s v="-"/>
    <s v="-"/>
    <s v="P"/>
    <s v="P"/>
    <n v="1"/>
    <s v="-"/>
    <n v="1"/>
    <n v="2"/>
    <n v="0"/>
    <s v="-"/>
    <s v="-"/>
    <s v="-"/>
    <s v="-"/>
    <s v="-"/>
    <s v="-"/>
    <s v="-"/>
    <n v="3"/>
    <n v="4"/>
    <s v="-"/>
    <n v="1"/>
    <n v="1"/>
    <n v="2"/>
    <n v="2"/>
    <n v="5"/>
    <n v="6"/>
  </r>
  <r>
    <x v="8"/>
    <x v="199"/>
    <d v="2026-09-09T00:00:00"/>
    <s v="1ST"/>
    <s v="13:00"/>
    <n v="1"/>
    <x v="22"/>
    <s v="-"/>
    <s v="P"/>
    <s v="P"/>
    <s v="P"/>
    <s v="-"/>
    <s v="-"/>
    <n v="10.61"/>
    <s v="-"/>
    <s v="-"/>
    <s v="-"/>
    <s v="-"/>
    <s v="-"/>
    <s v="-"/>
    <s v="-"/>
    <s v="-"/>
    <s v="P"/>
    <s v="P"/>
    <n v="1"/>
    <s v="-"/>
    <n v="1"/>
    <n v="2"/>
    <n v="0"/>
    <s v="-"/>
    <s v="-"/>
    <s v="-"/>
    <s v="-"/>
    <s v="-"/>
    <s v="-"/>
    <s v="-"/>
    <n v="3"/>
    <n v="4"/>
    <s v="-"/>
    <n v="1"/>
    <n v="1"/>
    <n v="2"/>
    <n v="2"/>
    <n v="5"/>
    <n v="6"/>
  </r>
  <r>
    <x v="8"/>
    <x v="199"/>
    <d v="1902-03-26T00:00:00"/>
    <s v="1ST"/>
    <s v="06:00"/>
    <n v="2"/>
    <x v="21"/>
    <s v="-"/>
    <s v="P"/>
    <s v="P"/>
    <s v="P"/>
    <s v="-"/>
    <s v="+"/>
    <n v="10.33"/>
    <s v="-"/>
    <s v="-"/>
    <s v="-"/>
    <s v="-"/>
    <s v="-"/>
    <s v="-"/>
    <s v="-"/>
    <n v="26.1"/>
    <s v="P"/>
    <s v="P"/>
    <n v="1"/>
    <s v="-"/>
    <n v="1"/>
    <n v="2"/>
    <n v="0"/>
    <s v="-"/>
    <s v="-"/>
    <s v="-"/>
    <s v="-"/>
    <s v="-"/>
    <s v="-"/>
    <s v="-"/>
    <n v="3"/>
    <n v="4"/>
    <n v="0"/>
    <n v="1"/>
    <n v="1"/>
    <n v="2"/>
    <n v="3"/>
    <n v="5"/>
    <n v="7"/>
  </r>
  <r>
    <x v="8"/>
    <x v="199"/>
    <d v="1902-03-26T00:00:00"/>
    <s v="1ST"/>
    <s v="07:00"/>
    <n v="2"/>
    <x v="21"/>
    <s v="-"/>
    <s v="P"/>
    <s v="P"/>
    <s v="P"/>
    <s v="-"/>
    <s v="+"/>
    <n v="10.64"/>
    <s v="-"/>
    <s v="-"/>
    <s v="-"/>
    <s v="-"/>
    <s v="-"/>
    <s v="-"/>
    <s v="-"/>
    <s v="-"/>
    <s v="P"/>
    <s v="P"/>
    <n v="1"/>
    <s v="-"/>
    <n v="1"/>
    <n v="2"/>
    <n v="0"/>
    <s v="-"/>
    <s v="-"/>
    <s v="-"/>
    <s v="-"/>
    <s v="-"/>
    <s v="-"/>
    <s v="-"/>
    <n v="3"/>
    <n v="4"/>
    <s v="-"/>
    <n v="1"/>
    <n v="1"/>
    <n v="2"/>
    <n v="2"/>
    <n v="5"/>
    <n v="6"/>
  </r>
  <r>
    <x v="8"/>
    <x v="199"/>
    <d v="1902-03-26T00:00:00"/>
    <s v="1ST"/>
    <s v="08:00"/>
    <n v="2"/>
    <x v="21"/>
    <s v="-"/>
    <s v="P"/>
    <s v="P"/>
    <s v="P"/>
    <s v="-"/>
    <s v="+"/>
    <n v="11.02"/>
    <s v="-"/>
    <s v="-"/>
    <s v="-"/>
    <s v="-"/>
    <s v="-"/>
    <s v="-"/>
    <s v="-"/>
    <s v="-"/>
    <s v="P"/>
    <s v="P"/>
    <n v="1"/>
    <s v="-"/>
    <n v="1"/>
    <n v="2"/>
    <n v="1"/>
    <s v="-"/>
    <s v="-"/>
    <s v="-"/>
    <s v="-"/>
    <s v="-"/>
    <s v="-"/>
    <s v="-"/>
    <n v="4"/>
    <n v="4"/>
    <s v="-"/>
    <n v="1"/>
    <n v="1"/>
    <n v="2"/>
    <n v="2"/>
    <n v="6"/>
    <n v="6"/>
  </r>
  <r>
    <x v="8"/>
    <x v="199"/>
    <d v="1902-03-26T00:00:00"/>
    <s v="1ST"/>
    <s v="09:00"/>
    <n v="2"/>
    <x v="21"/>
    <s v="-"/>
    <s v="P"/>
    <s v="P"/>
    <s v="P"/>
    <s v="-"/>
    <s v="+"/>
    <n v="10.8"/>
    <s v="-"/>
    <s v="-"/>
    <s v="-"/>
    <s v="-"/>
    <s v="-"/>
    <s v="-"/>
    <s v="-"/>
    <s v="-"/>
    <s v="P"/>
    <s v="P"/>
    <s v="-"/>
    <s v="-"/>
    <n v="1"/>
    <n v="2"/>
    <n v="0"/>
    <s v="-"/>
    <s v="-"/>
    <s v="-"/>
    <s v="-"/>
    <s v="-"/>
    <s v="-"/>
    <s v="-"/>
    <n v="3"/>
    <n v="4"/>
    <s v="-"/>
    <n v="1"/>
    <n v="1"/>
    <n v="2"/>
    <n v="2"/>
    <n v="5"/>
    <n v="6"/>
  </r>
  <r>
    <x v="8"/>
    <x v="199"/>
    <d v="1902-03-26T00:00:00"/>
    <s v="1ST"/>
    <s v="11:00"/>
    <n v="2"/>
    <x v="21"/>
    <s v="-"/>
    <s v="P"/>
    <s v="P"/>
    <s v="P"/>
    <s v="-"/>
    <s v="+"/>
    <n v="10.78"/>
    <s v="-"/>
    <s v="-"/>
    <s v="-"/>
    <s v="-"/>
    <s v="-"/>
    <s v="-"/>
    <s v="-"/>
    <s v="-"/>
    <s v="P"/>
    <s v="P"/>
    <n v="1"/>
    <s v="-"/>
    <n v="1"/>
    <n v="2"/>
    <n v="0"/>
    <s v="-"/>
    <s v="-"/>
    <s v="-"/>
    <s v="-"/>
    <s v="-"/>
    <s v="-"/>
    <s v="-"/>
    <n v="3"/>
    <n v="4"/>
    <s v="-"/>
    <n v="1"/>
    <n v="1"/>
    <n v="2"/>
    <n v="2"/>
    <n v="5"/>
    <n v="6"/>
  </r>
  <r>
    <x v="8"/>
    <x v="199"/>
    <d v="1902-03-26T00:00:00"/>
    <s v="1ST"/>
    <s v="12:00"/>
    <n v="2"/>
    <x v="21"/>
    <s v="-"/>
    <s v="P"/>
    <s v="P"/>
    <s v="P"/>
    <s v="-"/>
    <s v="+"/>
    <n v="10.19"/>
    <s v="-"/>
    <s v="-"/>
    <s v="-"/>
    <s v="-"/>
    <s v="-"/>
    <s v="-"/>
    <s v="-"/>
    <s v="-"/>
    <s v="P"/>
    <s v="P"/>
    <n v="1"/>
    <s v="-"/>
    <n v="1"/>
    <n v="2"/>
    <n v="0"/>
    <s v="-"/>
    <s v="-"/>
    <s v="-"/>
    <s v="-"/>
    <s v="-"/>
    <s v="-"/>
    <s v="-"/>
    <n v="3"/>
    <n v="4"/>
    <s v="-"/>
    <n v="1"/>
    <n v="1"/>
    <n v="2"/>
    <n v="2"/>
    <n v="5"/>
    <n v="6"/>
  </r>
  <r>
    <x v="8"/>
    <x v="199"/>
    <d v="1902-03-26T00:00:00"/>
    <s v="1ST"/>
    <s v="13:00"/>
    <n v="2"/>
    <x v="21"/>
    <s v="-"/>
    <s v="P"/>
    <s v="P"/>
    <s v="P"/>
    <s v="-"/>
    <s v="+"/>
    <n v="10.37"/>
    <s v="-"/>
    <s v="-"/>
    <s v="-"/>
    <s v="-"/>
    <s v="-"/>
    <s v="-"/>
    <s v="-"/>
    <s v="-"/>
    <s v="P"/>
    <s v="P"/>
    <s v="-"/>
    <s v="-"/>
    <n v="1"/>
    <n v="2"/>
    <n v="0"/>
    <s v="-"/>
    <s v="-"/>
    <s v="-"/>
    <s v="-"/>
    <s v="-"/>
    <s v="-"/>
    <s v="-"/>
    <n v="3"/>
    <n v="4"/>
    <s v="-"/>
    <n v="1"/>
    <n v="1"/>
    <n v="2"/>
    <n v="2"/>
    <n v="5"/>
    <n v="6"/>
  </r>
  <r>
    <x v="8"/>
    <x v="199"/>
    <d v="2026-09-08T00:00:00"/>
    <s v="1ST"/>
    <s v="09:00"/>
    <n v="3"/>
    <x v="11"/>
    <s v="-"/>
    <s v="P"/>
    <s v="P"/>
    <s v="P"/>
    <s v="+"/>
    <s v="+"/>
    <n v="12.14"/>
    <n v="12.75"/>
    <n v="0.6"/>
    <n v="65.400000000000006"/>
    <s v="-"/>
    <s v="-"/>
    <s v="-"/>
    <s v="-"/>
    <n v="35.700000000000003"/>
    <s v="P"/>
    <s v="P"/>
    <n v="1"/>
    <s v="-"/>
    <n v="1"/>
    <n v="2"/>
    <n v="1"/>
    <n v="1"/>
    <n v="2"/>
    <n v="2"/>
    <s v="-"/>
    <s v="-"/>
    <s v="-"/>
    <s v="-"/>
    <n v="9"/>
    <n v="9"/>
    <n v="0"/>
    <n v="1"/>
    <n v="1"/>
    <n v="2"/>
    <n v="3"/>
    <n v="11"/>
    <n v="12"/>
  </r>
  <r>
    <x v="8"/>
    <x v="199"/>
    <d v="2026-09-08T00:00:00"/>
    <s v="1ST"/>
    <s v="10:00"/>
    <n v="3"/>
    <x v="11"/>
    <s v="-"/>
    <s v="P"/>
    <s v="P"/>
    <s v="P"/>
    <s v="+"/>
    <s v="+"/>
    <n v="12.14"/>
    <s v="-"/>
    <s v="-"/>
    <s v="-"/>
    <s v="-"/>
    <s v="-"/>
    <s v="-"/>
    <s v="-"/>
    <s v="-"/>
    <s v="P"/>
    <s v="P"/>
    <n v="1"/>
    <s v="-"/>
    <n v="1"/>
    <n v="2"/>
    <n v="1"/>
    <s v="-"/>
    <s v="-"/>
    <s v="-"/>
    <s v="-"/>
    <s v="-"/>
    <s v="-"/>
    <s v="-"/>
    <n v="4"/>
    <n v="4"/>
    <s v="-"/>
    <n v="1"/>
    <n v="1"/>
    <n v="2"/>
    <n v="2"/>
    <n v="6"/>
    <n v="6"/>
  </r>
  <r>
    <x v="8"/>
    <x v="199"/>
    <d v="2026-09-08T00:00:00"/>
    <s v="1ST"/>
    <s v="12:00"/>
    <n v="3"/>
    <x v="10"/>
    <s v="-"/>
    <s v="P"/>
    <s v="P"/>
    <s v="P"/>
    <s v="+"/>
    <s v="+"/>
    <n v="11.9"/>
    <n v="11.46"/>
    <n v="0.33"/>
    <n v="65.5"/>
    <s v="-"/>
    <s v="-"/>
    <s v="-"/>
    <s v="-"/>
    <n v="31.8"/>
    <s v="P"/>
    <s v="P"/>
    <n v="1"/>
    <s v="-"/>
    <n v="1"/>
    <n v="2"/>
    <n v="0"/>
    <n v="1"/>
    <n v="2"/>
    <n v="2"/>
    <s v="-"/>
    <s v="-"/>
    <s v="-"/>
    <s v="-"/>
    <n v="8"/>
    <n v="9"/>
    <n v="0"/>
    <n v="1"/>
    <n v="1"/>
    <n v="2"/>
    <n v="3"/>
    <n v="10"/>
    <n v="12"/>
  </r>
  <r>
    <x v="8"/>
    <x v="199"/>
    <d v="2026-09-08T00:00:00"/>
    <s v="1ST"/>
    <s v="13:00"/>
    <n v="3"/>
    <x v="10"/>
    <s v="-"/>
    <s v="P"/>
    <s v="P"/>
    <s v="P"/>
    <s v="+"/>
    <s v="+"/>
    <n v="12.03"/>
    <s v="-"/>
    <s v="-"/>
    <s v="-"/>
    <s v="-"/>
    <s v="-"/>
    <s v="-"/>
    <s v="-"/>
    <s v="-"/>
    <s v="P"/>
    <s v="P"/>
    <n v="1"/>
    <s v="-"/>
    <n v="1"/>
    <n v="2"/>
    <n v="1"/>
    <s v="-"/>
    <s v="-"/>
    <s v="-"/>
    <s v="-"/>
    <s v="-"/>
    <s v="-"/>
    <s v="-"/>
    <n v="4"/>
    <n v="4"/>
    <s v="-"/>
    <n v="1"/>
    <n v="1"/>
    <n v="2"/>
    <n v="2"/>
    <n v="6"/>
    <n v="6"/>
  </r>
  <r>
    <x v="8"/>
    <x v="199"/>
    <d v="2026-09-09T00:00:00"/>
    <s v="2ND"/>
    <d v="1899-12-30T14:00:00"/>
    <n v="1"/>
    <x v="22"/>
    <s v="-"/>
    <s v="P"/>
    <s v="P"/>
    <s v="P"/>
    <s v="-"/>
    <s v="-"/>
    <n v="10.97"/>
    <s v="-"/>
    <s v="-"/>
    <s v="-"/>
    <s v="-"/>
    <s v="-"/>
    <s v="-"/>
    <s v="-"/>
    <s v="-"/>
    <s v="P"/>
    <s v="P"/>
    <n v="1"/>
    <s v="-"/>
    <n v="1"/>
    <n v="2"/>
    <n v="0"/>
    <s v="-"/>
    <s v="-"/>
    <s v="-"/>
    <s v="-"/>
    <s v="-"/>
    <s v="-"/>
    <s v="-"/>
    <n v="3"/>
    <n v="4"/>
    <s v="-"/>
    <n v="1"/>
    <n v="1"/>
    <n v="2"/>
    <n v="2"/>
    <n v="5"/>
    <n v="6"/>
  </r>
  <r>
    <x v="8"/>
    <x v="199"/>
    <d v="2026-09-09T00:00:00"/>
    <s v="2ND"/>
    <d v="1899-12-30T15:00:00"/>
    <n v="1"/>
    <x v="22"/>
    <s v="-"/>
    <s v="P"/>
    <s v="P"/>
    <s v="P"/>
    <s v="-"/>
    <s v="-"/>
    <n v="10.61"/>
    <s v="-"/>
    <s v="-"/>
    <s v="-"/>
    <s v="-"/>
    <s v="-"/>
    <s v="-"/>
    <s v="-"/>
    <s v="-"/>
    <s v="P"/>
    <s v="P"/>
    <n v="1"/>
    <s v="-"/>
    <n v="1"/>
    <n v="2"/>
    <n v="0"/>
    <s v="-"/>
    <s v="-"/>
    <s v="-"/>
    <s v="-"/>
    <s v="-"/>
    <s v="-"/>
    <s v="-"/>
    <n v="3"/>
    <n v="4"/>
    <s v="-"/>
    <n v="1"/>
    <n v="1"/>
    <n v="2"/>
    <n v="2"/>
    <n v="5"/>
    <n v="6"/>
  </r>
  <r>
    <x v="8"/>
    <x v="199"/>
    <d v="2026-09-09T00:00:00"/>
    <s v="2ND"/>
    <d v="1899-12-30T16:00:00"/>
    <n v="1"/>
    <x v="22"/>
    <s v="-"/>
    <s v="P"/>
    <s v="P"/>
    <s v="P"/>
    <s v="-"/>
    <s v="-"/>
    <n v="10.49"/>
    <s v="-"/>
    <s v="-"/>
    <s v="-"/>
    <s v="-"/>
    <s v="-"/>
    <s v="-"/>
    <s v="-"/>
    <s v="-"/>
    <s v="P"/>
    <s v="P"/>
    <n v="1"/>
    <s v="-"/>
    <n v="1"/>
    <n v="2"/>
    <n v="0"/>
    <s v="-"/>
    <s v="-"/>
    <s v="-"/>
    <s v="-"/>
    <s v="-"/>
    <s v="-"/>
    <s v="-"/>
    <n v="3"/>
    <n v="4"/>
    <s v="-"/>
    <n v="1"/>
    <n v="1"/>
    <n v="2"/>
    <n v="2"/>
    <n v="5"/>
    <n v="6"/>
  </r>
  <r>
    <x v="8"/>
    <x v="199"/>
    <d v="1902-03-26T00:00:00"/>
    <s v="2ND"/>
    <d v="1899-12-30T14:00:00"/>
    <n v="2"/>
    <x v="21"/>
    <s v="-"/>
    <s v="P"/>
    <s v="P"/>
    <s v="P"/>
    <s v="-"/>
    <s v="+"/>
    <n v="10.4"/>
    <s v="-"/>
    <s v="-"/>
    <s v="-"/>
    <s v="-"/>
    <s v="-"/>
    <s v="-"/>
    <s v="-"/>
    <s v="-"/>
    <s v="P"/>
    <s v="P"/>
    <n v="1"/>
    <s v="-"/>
    <n v="1"/>
    <n v="2"/>
    <n v="0"/>
    <s v="-"/>
    <s v="-"/>
    <s v="-"/>
    <s v="-"/>
    <s v="-"/>
    <s v="-"/>
    <s v="-"/>
    <n v="3"/>
    <n v="4"/>
    <s v="-"/>
    <n v="1"/>
    <n v="1"/>
    <n v="2"/>
    <n v="2"/>
    <n v="5"/>
    <n v="6"/>
  </r>
  <r>
    <x v="8"/>
    <x v="199"/>
    <d v="1902-03-26T00:00:00"/>
    <s v="2ND"/>
    <d v="1899-12-30T15:00:00"/>
    <n v="2"/>
    <x v="21"/>
    <s v="-"/>
    <s v="P"/>
    <s v="P"/>
    <s v="P"/>
    <s v="-"/>
    <s v="+"/>
    <n v="10.46"/>
    <s v="-"/>
    <s v="-"/>
    <s v="-"/>
    <s v="-"/>
    <s v="-"/>
    <s v="-"/>
    <s v="-"/>
    <s v="-"/>
    <s v="P"/>
    <s v="P"/>
    <s v="-"/>
    <s v="-"/>
    <n v="1"/>
    <n v="2"/>
    <n v="0"/>
    <s v="-"/>
    <s v="-"/>
    <s v="-"/>
    <s v="-"/>
    <s v="-"/>
    <s v="-"/>
    <s v="-"/>
    <n v="3"/>
    <n v="4"/>
    <s v="-"/>
    <n v="1"/>
    <n v="1"/>
    <n v="2"/>
    <n v="2"/>
    <n v="5"/>
    <n v="6"/>
  </r>
  <r>
    <x v="8"/>
    <x v="199"/>
    <d v="1902-03-26T00:00:00"/>
    <s v="2ND"/>
    <d v="1899-12-30T17:00:00"/>
    <n v="2"/>
    <x v="21"/>
    <s v="-"/>
    <s v="P"/>
    <s v="P"/>
    <s v="P"/>
    <s v="-"/>
    <s v="+"/>
    <n v="10.39"/>
    <s v="-"/>
    <s v="-"/>
    <s v="-"/>
    <s v="-"/>
    <s v="-"/>
    <s v="-"/>
    <s v="-"/>
    <s v="-"/>
    <s v="P"/>
    <s v="P"/>
    <n v="1"/>
    <s v="-"/>
    <n v="1"/>
    <n v="2"/>
    <n v="0"/>
    <s v="-"/>
    <s v="-"/>
    <s v="-"/>
    <s v="-"/>
    <s v="-"/>
    <s v="-"/>
    <s v="-"/>
    <n v="3"/>
    <n v="4"/>
    <s v="-"/>
    <n v="1"/>
    <n v="1"/>
    <n v="2"/>
    <n v="2"/>
    <n v="5"/>
    <n v="6"/>
  </r>
  <r>
    <x v="8"/>
    <x v="199"/>
    <d v="1902-03-26T00:00:00"/>
    <s v="2ND"/>
    <d v="1899-12-30T18:00:00"/>
    <n v="2"/>
    <x v="21"/>
    <s v="-"/>
    <s v="P"/>
    <s v="P"/>
    <s v="P"/>
    <s v="-"/>
    <s v="+"/>
    <n v="10.41"/>
    <s v="-"/>
    <s v="-"/>
    <s v="-"/>
    <s v="-"/>
    <s v="-"/>
    <s v="-"/>
    <s v="-"/>
    <s v="-"/>
    <s v="P"/>
    <s v="P"/>
    <n v="1"/>
    <s v="-"/>
    <n v="1"/>
    <n v="2"/>
    <n v="0"/>
    <s v="-"/>
    <s v="-"/>
    <s v="-"/>
    <s v="-"/>
    <s v="-"/>
    <s v="-"/>
    <s v="-"/>
    <n v="3"/>
    <n v="4"/>
    <s v="-"/>
    <n v="1"/>
    <n v="1"/>
    <n v="2"/>
    <n v="2"/>
    <n v="5"/>
    <n v="6"/>
  </r>
  <r>
    <x v="8"/>
    <x v="199"/>
    <d v="1902-03-26T00:00:00"/>
    <s v="2ND"/>
    <d v="1899-12-30T19:00:00"/>
    <n v="2"/>
    <x v="21"/>
    <s v="-"/>
    <s v="P"/>
    <s v="P"/>
    <s v="P"/>
    <s v="-"/>
    <s v="+"/>
    <n v="10.4"/>
    <s v="-"/>
    <s v="-"/>
    <s v="-"/>
    <s v="-"/>
    <s v="-"/>
    <s v="-"/>
    <s v="-"/>
    <s v="-"/>
    <s v="P"/>
    <s v="P"/>
    <s v="-"/>
    <s v="-"/>
    <n v="1"/>
    <n v="2"/>
    <n v="0"/>
    <s v="-"/>
    <s v="-"/>
    <s v="-"/>
    <s v="-"/>
    <s v="-"/>
    <s v="-"/>
    <s v="-"/>
    <n v="3"/>
    <n v="4"/>
    <s v="-"/>
    <n v="1"/>
    <n v="1"/>
    <n v="2"/>
    <n v="2"/>
    <n v="5"/>
    <n v="6"/>
  </r>
  <r>
    <x v="8"/>
    <x v="199"/>
    <d v="2026-09-08T00:00:00"/>
    <s v="2ND"/>
    <d v="1899-12-30T14:00:00"/>
    <n v="3"/>
    <x v="10"/>
    <s v="-"/>
    <s v="P"/>
    <s v="P"/>
    <s v="P"/>
    <s v="+"/>
    <s v="+"/>
    <n v="11.58"/>
    <s v="-"/>
    <s v="-"/>
    <s v="-"/>
    <s v="-"/>
    <s v="-"/>
    <s v="-"/>
    <s v="-"/>
    <s v="-"/>
    <s v="P"/>
    <s v="P"/>
    <n v="1"/>
    <s v="-"/>
    <n v="1"/>
    <n v="2"/>
    <n v="0"/>
    <s v="-"/>
    <s v="-"/>
    <s v="-"/>
    <s v="-"/>
    <s v="-"/>
    <s v="-"/>
    <s v="-"/>
    <n v="3"/>
    <n v="4"/>
    <s v="-"/>
    <n v="1"/>
    <n v="1"/>
    <n v="2"/>
    <n v="2"/>
    <n v="5"/>
    <n v="6"/>
  </r>
  <r>
    <x v="8"/>
    <x v="199"/>
    <d v="2026-09-08T00:00:00"/>
    <s v="2ND"/>
    <d v="1899-12-30T15:00:00"/>
    <n v="3"/>
    <x v="10"/>
    <s v="-"/>
    <s v="P"/>
    <s v="P"/>
    <s v="P"/>
    <s v="+"/>
    <s v="+"/>
    <n v="11.65"/>
    <s v="-"/>
    <s v="-"/>
    <s v="-"/>
    <s v="-"/>
    <s v="-"/>
    <s v="-"/>
    <s v="-"/>
    <s v="-"/>
    <s v="P"/>
    <s v="P"/>
    <n v="1"/>
    <s v="-"/>
    <n v="1"/>
    <n v="2"/>
    <n v="0"/>
    <s v="-"/>
    <s v="-"/>
    <s v="-"/>
    <s v="-"/>
    <s v="-"/>
    <s v="-"/>
    <s v="-"/>
    <n v="3"/>
    <n v="4"/>
    <s v="-"/>
    <n v="1"/>
    <n v="1"/>
    <n v="2"/>
    <n v="2"/>
    <n v="5"/>
    <n v="6"/>
  </r>
  <r>
    <x v="8"/>
    <x v="199"/>
    <d v="2026-09-08T00:00:00"/>
    <s v="2ND"/>
    <d v="1899-12-30T17:00:00"/>
    <n v="3"/>
    <x v="10"/>
    <s v="-"/>
    <s v="P"/>
    <s v="P"/>
    <s v="P"/>
    <s v="+"/>
    <s v="+"/>
    <n v="11.46"/>
    <s v="-"/>
    <s v="-"/>
    <s v="-"/>
    <s v="-"/>
    <s v="-"/>
    <s v="-"/>
    <s v="-"/>
    <s v="-"/>
    <s v="P"/>
    <s v="P"/>
    <n v="1"/>
    <s v="-"/>
    <n v="1"/>
    <n v="2"/>
    <n v="0"/>
    <s v="-"/>
    <s v="-"/>
    <s v="-"/>
    <s v="-"/>
    <s v="-"/>
    <s v="-"/>
    <s v="-"/>
    <n v="3"/>
    <n v="4"/>
    <s v="-"/>
    <n v="1"/>
    <n v="1"/>
    <n v="2"/>
    <n v="2"/>
    <n v="5"/>
    <n v="6"/>
  </r>
  <r>
    <x v="8"/>
    <x v="199"/>
    <d v="2026-09-08T00:00:00"/>
    <s v="2ND"/>
    <d v="1899-12-30T19:00:00"/>
    <n v="3"/>
    <x v="10"/>
    <s v="-"/>
    <s v="P"/>
    <s v="P"/>
    <s v="P"/>
    <s v="+"/>
    <s v="+"/>
    <s v="-"/>
    <s v="-"/>
    <s v="-"/>
    <s v="-"/>
    <s v="-"/>
    <s v="-"/>
    <s v="-"/>
    <s v="-"/>
    <s v="-"/>
    <s v="P"/>
    <s v="P"/>
    <n v="1"/>
    <s v="-"/>
    <n v="1"/>
    <n v="2"/>
    <s v="-"/>
    <s v="-"/>
    <s v="-"/>
    <s v="-"/>
    <s v="-"/>
    <s v="-"/>
    <s v="-"/>
    <s v="-"/>
    <n v="3"/>
    <n v="3"/>
    <s v="-"/>
    <n v="1"/>
    <n v="1"/>
    <n v="2"/>
    <n v="2"/>
    <n v="5"/>
    <n v="5"/>
  </r>
  <r>
    <x v="8"/>
    <x v="199"/>
    <d v="2026-09-10T00:00:00"/>
    <s v="3RD"/>
    <d v="1899-12-30T23:00:00"/>
    <n v="1"/>
    <x v="22"/>
    <s v="-"/>
    <s v="P"/>
    <s v="P"/>
    <s v="P"/>
    <s v="-"/>
    <s v="-"/>
    <n v="10.94"/>
    <n v="9.75"/>
    <n v="0.55000000000000004"/>
    <s v="-"/>
    <s v="-"/>
    <s v="-"/>
    <n v="26.7"/>
    <s v="-"/>
    <s v="-"/>
    <s v="P"/>
    <s v="P"/>
    <n v="1"/>
    <s v="-"/>
    <n v="1"/>
    <n v="2"/>
    <n v="0"/>
    <n v="1"/>
    <n v="2"/>
    <s v="-"/>
    <s v="-"/>
    <s v="-"/>
    <n v="2"/>
    <s v="-"/>
    <n v="8"/>
    <n v="9"/>
    <s v="-"/>
    <n v="1"/>
    <n v="1"/>
    <n v="2"/>
    <n v="2"/>
    <n v="10"/>
    <n v="11"/>
  </r>
  <r>
    <x v="8"/>
    <x v="199"/>
    <d v="2026-09-10T00:00:00"/>
    <s v="3RD"/>
    <d v="1899-12-31T00:00:00"/>
    <n v="1"/>
    <x v="22"/>
    <n v="0.01"/>
    <s v="P"/>
    <s v="P"/>
    <s v="P"/>
    <s v="-"/>
    <s v="-"/>
    <n v="10.91"/>
    <s v="-"/>
    <s v="-"/>
    <s v="-"/>
    <s v="-"/>
    <s v="-"/>
    <s v="-"/>
    <s v="-"/>
    <s v="-"/>
    <s v="P"/>
    <s v="P"/>
    <n v="1"/>
    <n v="2"/>
    <n v="1"/>
    <n v="2"/>
    <n v="0"/>
    <s v="-"/>
    <s v="-"/>
    <s v="-"/>
    <s v="-"/>
    <s v="-"/>
    <s v="-"/>
    <s v="-"/>
    <n v="5"/>
    <n v="6"/>
    <s v="-"/>
    <n v="1"/>
    <n v="1"/>
    <n v="2"/>
    <n v="2"/>
    <n v="7"/>
    <n v="8"/>
  </r>
  <r>
    <x v="8"/>
    <x v="199"/>
    <d v="2026-09-10T00:00:00"/>
    <s v="3RD"/>
    <d v="1899-12-31T01:00:00"/>
    <n v="1"/>
    <x v="22"/>
    <n v="0.01"/>
    <s v="P"/>
    <s v="P"/>
    <s v="P"/>
    <s v="-"/>
    <s v="-"/>
    <n v="10.83"/>
    <s v="-"/>
    <s v="-"/>
    <s v="-"/>
    <s v="-"/>
    <s v="-"/>
    <s v="-"/>
    <s v="-"/>
    <s v="-"/>
    <s v="P"/>
    <s v="P"/>
    <n v="1"/>
    <n v="2"/>
    <n v="1"/>
    <n v="2"/>
    <n v="0"/>
    <s v="-"/>
    <s v="-"/>
    <s v="-"/>
    <s v="-"/>
    <s v="-"/>
    <s v="-"/>
    <s v="-"/>
    <n v="5"/>
    <n v="6"/>
    <s v="-"/>
    <n v="1"/>
    <n v="1"/>
    <n v="2"/>
    <n v="2"/>
    <n v="7"/>
    <n v="8"/>
  </r>
  <r>
    <x v="8"/>
    <x v="199"/>
    <d v="2026-09-10T00:00:00"/>
    <s v="3RD"/>
    <d v="1899-12-31T02:00:00"/>
    <n v="1"/>
    <x v="22"/>
    <n v="0.01"/>
    <s v="-"/>
    <s v="P"/>
    <s v="P"/>
    <s v="-"/>
    <s v="-"/>
    <n v="11.71"/>
    <n v="10.74"/>
    <n v="0.53"/>
    <n v="57.3"/>
    <s v="-"/>
    <s v="-"/>
    <n v="29.61"/>
    <s v="-"/>
    <s v="-"/>
    <s v="P"/>
    <s v="P"/>
    <n v="1"/>
    <n v="2"/>
    <s v="-"/>
    <n v="2"/>
    <n v="1"/>
    <n v="0"/>
    <n v="2"/>
    <n v="2"/>
    <s v="-"/>
    <s v="-"/>
    <n v="2"/>
    <s v="-"/>
    <n v="11"/>
    <n v="12"/>
    <s v="-"/>
    <n v="1"/>
    <n v="1"/>
    <n v="2"/>
    <n v="2"/>
    <n v="13"/>
    <n v="14"/>
  </r>
  <r>
    <x v="8"/>
    <x v="199"/>
    <d v="2026-09-10T00:00:00"/>
    <s v="3RD"/>
    <d v="1899-12-31T03:00:00"/>
    <n v="1"/>
    <x v="22"/>
    <n v="0.01"/>
    <s v="P"/>
    <s v="P"/>
    <s v="P"/>
    <s v="-"/>
    <s v="-"/>
    <n v="11.34"/>
    <s v="-"/>
    <s v="-"/>
    <s v="-"/>
    <s v="-"/>
    <s v="-"/>
    <s v="-"/>
    <s v="-"/>
    <s v="-"/>
    <s v="P"/>
    <s v="P"/>
    <n v="1"/>
    <n v="2"/>
    <n v="1"/>
    <n v="2"/>
    <n v="1"/>
    <s v="-"/>
    <s v="-"/>
    <s v="-"/>
    <s v="-"/>
    <s v="-"/>
    <s v="-"/>
    <s v="-"/>
    <n v="6"/>
    <n v="6"/>
    <s v="-"/>
    <n v="1"/>
    <n v="1"/>
    <n v="2"/>
    <n v="2"/>
    <n v="8"/>
    <n v="8"/>
  </r>
  <r>
    <x v="8"/>
    <x v="199"/>
    <d v="2026-09-10T00:00:00"/>
    <s v="3RD"/>
    <d v="1899-12-31T05:00:00"/>
    <n v="1"/>
    <x v="22"/>
    <n v="0.01"/>
    <s v="P"/>
    <s v="P"/>
    <s v="P"/>
    <s v="-"/>
    <s v="-"/>
    <n v="11.2"/>
    <s v="-"/>
    <s v="-"/>
    <s v="-"/>
    <s v="-"/>
    <s v="-"/>
    <s v="-"/>
    <s v="-"/>
    <s v="-"/>
    <s v="P"/>
    <s v="P"/>
    <n v="1"/>
    <n v="2"/>
    <n v="1"/>
    <n v="2"/>
    <n v="1"/>
    <s v="-"/>
    <s v="-"/>
    <s v="-"/>
    <s v="-"/>
    <s v="-"/>
    <s v="-"/>
    <s v="-"/>
    <n v="6"/>
    <n v="6"/>
    <s v="-"/>
    <n v="1"/>
    <n v="1"/>
    <n v="2"/>
    <n v="2"/>
    <n v="8"/>
    <n v="8"/>
  </r>
  <r>
    <x v="8"/>
    <x v="199"/>
    <d v="1902-03-26T00:00:00"/>
    <s v="3RD"/>
    <d v="1899-12-30T22:00:00"/>
    <n v="2"/>
    <x v="5"/>
    <s v="-"/>
    <s v="P"/>
    <s v="P"/>
    <s v="P"/>
    <s v="-"/>
    <s v="+"/>
    <n v="10.4"/>
    <s v="-"/>
    <s v="-"/>
    <s v="-"/>
    <s v="-"/>
    <s v="-"/>
    <s v="-"/>
    <s v="-"/>
    <s v="-"/>
    <s v="P"/>
    <s v="P"/>
    <n v="1"/>
    <s v="-"/>
    <n v="1"/>
    <n v="2"/>
    <n v="0"/>
    <s v="-"/>
    <s v="-"/>
    <s v="-"/>
    <s v="-"/>
    <s v="-"/>
    <s v="-"/>
    <s v="-"/>
    <n v="3"/>
    <n v="4"/>
    <s v="-"/>
    <n v="1"/>
    <n v="1"/>
    <n v="2"/>
    <n v="2"/>
    <n v="5"/>
    <n v="6"/>
  </r>
  <r>
    <x v="8"/>
    <x v="199"/>
    <d v="1902-03-26T00:00:00"/>
    <s v="3RD"/>
    <d v="1899-12-30T23:00:00"/>
    <n v="2"/>
    <x v="5"/>
    <s v="-"/>
    <s v="P"/>
    <s v="P"/>
    <s v="P"/>
    <s v="-"/>
    <s v="+"/>
    <n v="10.31"/>
    <s v="-"/>
    <s v="-"/>
    <s v="-"/>
    <s v="-"/>
    <s v="-"/>
    <s v="-"/>
    <s v="-"/>
    <s v="-"/>
    <s v="P"/>
    <s v="P"/>
    <n v="1"/>
    <s v="-"/>
    <n v="1"/>
    <n v="2"/>
    <n v="0"/>
    <s v="-"/>
    <s v="-"/>
    <s v="-"/>
    <s v="-"/>
    <s v="-"/>
    <s v="-"/>
    <s v="-"/>
    <n v="3"/>
    <n v="4"/>
    <s v="-"/>
    <n v="1"/>
    <n v="1"/>
    <n v="2"/>
    <n v="2"/>
    <n v="5"/>
    <n v="6"/>
  </r>
  <r>
    <x v="8"/>
    <x v="199"/>
    <d v="1902-03-26T00:00:00"/>
    <s v="3RD"/>
    <d v="1899-12-31T00:00:00"/>
    <n v="2"/>
    <x v="5"/>
    <s v="-"/>
    <s v="P"/>
    <s v="P"/>
    <s v="P"/>
    <s v="-"/>
    <s v="+"/>
    <n v="10.42"/>
    <s v="-"/>
    <s v="-"/>
    <s v="-"/>
    <s v="-"/>
    <s v="-"/>
    <s v="-"/>
    <s v="-"/>
    <s v="-"/>
    <s v="P"/>
    <s v="P"/>
    <n v="1"/>
    <s v="-"/>
    <n v="1"/>
    <n v="2"/>
    <n v="0"/>
    <s v="-"/>
    <s v="-"/>
    <s v="-"/>
    <s v="-"/>
    <s v="-"/>
    <s v="-"/>
    <s v="-"/>
    <n v="3"/>
    <n v="4"/>
    <s v="-"/>
    <n v="1"/>
    <n v="1"/>
    <n v="2"/>
    <n v="2"/>
    <n v="5"/>
    <n v="6"/>
  </r>
  <r>
    <x v="8"/>
    <x v="199"/>
    <d v="1902-03-26T00:00:00"/>
    <s v="3RD"/>
    <d v="1899-12-31T01:00:00"/>
    <n v="2"/>
    <x v="5"/>
    <s v="-"/>
    <s v="P"/>
    <s v="P"/>
    <s v="P"/>
    <s v="-"/>
    <s v="+"/>
    <n v="10.37"/>
    <s v="-"/>
    <s v="-"/>
    <s v="-"/>
    <s v="-"/>
    <s v="-"/>
    <s v="-"/>
    <s v="-"/>
    <s v="-"/>
    <s v="P"/>
    <s v="P"/>
    <n v="1"/>
    <s v="-"/>
    <n v="1"/>
    <n v="2"/>
    <n v="0"/>
    <s v="-"/>
    <s v="-"/>
    <s v="-"/>
    <s v="-"/>
    <s v="-"/>
    <s v="-"/>
    <s v="-"/>
    <n v="3"/>
    <n v="4"/>
    <s v="-"/>
    <n v="1"/>
    <n v="1"/>
    <n v="2"/>
    <n v="2"/>
    <n v="5"/>
    <n v="6"/>
  </r>
  <r>
    <x v="8"/>
    <x v="199"/>
    <d v="1902-03-26T00:00:00"/>
    <s v="3RD"/>
    <d v="1899-12-31T02:00:00"/>
    <n v="2"/>
    <x v="4"/>
    <s v="-"/>
    <s v="P"/>
    <s v="P"/>
    <s v="P"/>
    <s v="-"/>
    <s v="+"/>
    <n v="10.56"/>
    <s v="-"/>
    <s v="-"/>
    <s v="-"/>
    <s v="-"/>
    <s v="-"/>
    <s v="-"/>
    <s v="-"/>
    <s v="-"/>
    <s v="P"/>
    <s v="P"/>
    <n v="1"/>
    <s v="-"/>
    <n v="1"/>
    <n v="2"/>
    <n v="0"/>
    <s v="-"/>
    <s v="-"/>
    <s v="-"/>
    <s v="-"/>
    <s v="-"/>
    <s v="-"/>
    <s v="-"/>
    <n v="3"/>
    <n v="4"/>
    <s v="-"/>
    <n v="1"/>
    <n v="1"/>
    <n v="2"/>
    <n v="2"/>
    <n v="5"/>
    <n v="6"/>
  </r>
  <r>
    <x v="8"/>
    <x v="199"/>
    <d v="1902-03-26T00:00:00"/>
    <s v="3RD"/>
    <d v="1899-12-31T03:00:00"/>
    <n v="2"/>
    <x v="4"/>
    <s v="-"/>
    <s v="P"/>
    <s v="P"/>
    <s v="P"/>
    <s v="-"/>
    <s v="+"/>
    <n v="10.36"/>
    <s v="-"/>
    <s v="-"/>
    <s v="-"/>
    <s v="-"/>
    <s v="-"/>
    <s v="-"/>
    <s v="-"/>
    <s v="-"/>
    <s v="P"/>
    <s v="P"/>
    <n v="1"/>
    <s v="-"/>
    <n v="1"/>
    <n v="2"/>
    <n v="0"/>
    <s v="-"/>
    <s v="-"/>
    <s v="-"/>
    <s v="-"/>
    <s v="-"/>
    <s v="-"/>
    <s v="-"/>
    <n v="3"/>
    <n v="4"/>
    <s v="-"/>
    <n v="1"/>
    <n v="1"/>
    <n v="2"/>
    <n v="2"/>
    <n v="5"/>
    <n v="6"/>
  </r>
  <r>
    <x v="8"/>
    <x v="199"/>
    <d v="1902-03-26T00:00:00"/>
    <s v="3RD"/>
    <d v="1899-12-31T04:00:00"/>
    <n v="2"/>
    <x v="7"/>
    <s v="-"/>
    <s v="P"/>
    <s v="P"/>
    <s v="P"/>
    <s v="-"/>
    <s v="+"/>
    <n v="10.56"/>
    <s v="-"/>
    <s v="-"/>
    <s v="-"/>
    <s v="-"/>
    <s v="-"/>
    <s v="-"/>
    <s v="-"/>
    <s v="-"/>
    <s v="P"/>
    <s v="P"/>
    <n v="1"/>
    <s v="-"/>
    <n v="1"/>
    <n v="2"/>
    <n v="0"/>
    <s v="-"/>
    <s v="-"/>
    <s v="-"/>
    <s v="-"/>
    <s v="-"/>
    <s v="-"/>
    <s v="-"/>
    <n v="3"/>
    <n v="4"/>
    <s v="-"/>
    <n v="1"/>
    <n v="1"/>
    <n v="2"/>
    <n v="2"/>
    <n v="5"/>
    <n v="6"/>
  </r>
  <r>
    <x v="8"/>
    <x v="199"/>
    <d v="1902-03-26T00:00:00"/>
    <s v="3RD"/>
    <d v="1899-12-31T05:00:00"/>
    <n v="2"/>
    <x v="7"/>
    <s v="-"/>
    <s v="P"/>
    <s v="P"/>
    <s v="P"/>
    <s v="-"/>
    <s v="+"/>
    <n v="10.57"/>
    <s v="-"/>
    <s v="-"/>
    <s v="-"/>
    <s v="-"/>
    <s v="-"/>
    <s v="-"/>
    <s v="-"/>
    <s v="-"/>
    <s v="P"/>
    <s v="P"/>
    <s v="-"/>
    <s v="-"/>
    <n v="1"/>
    <n v="2"/>
    <n v="0"/>
    <s v="-"/>
    <s v="-"/>
    <s v="-"/>
    <s v="-"/>
    <s v="-"/>
    <s v="-"/>
    <s v="-"/>
    <n v="3"/>
    <n v="4"/>
    <s v="-"/>
    <n v="1"/>
    <n v="1"/>
    <n v="2"/>
    <n v="2"/>
    <n v="5"/>
    <n v="6"/>
  </r>
  <r>
    <x v="8"/>
    <x v="199"/>
    <d v="2026-09-05T00:00:00"/>
    <s v="3RD"/>
    <d v="1899-12-30T23:00:00"/>
    <n v="3"/>
    <x v="0"/>
    <n v="0.01"/>
    <s v="P"/>
    <s v="P"/>
    <s v="P"/>
    <s v="+"/>
    <s v="+"/>
    <n v="11.2"/>
    <n v="12.29"/>
    <n v="0.56000000000000005"/>
    <n v="66.2"/>
    <s v="-"/>
    <s v="-"/>
    <n v="34.299999999999997"/>
    <s v="-"/>
    <s v="-"/>
    <s v="P"/>
    <s v="P"/>
    <n v="1"/>
    <n v="2"/>
    <n v="1"/>
    <n v="2"/>
    <n v="0"/>
    <n v="1"/>
    <n v="2"/>
    <n v="2"/>
    <s v="-"/>
    <s v="-"/>
    <n v="2"/>
    <s v="-"/>
    <n v="12"/>
    <n v="13"/>
    <s v="-"/>
    <n v="1"/>
    <n v="1"/>
    <n v="2"/>
    <n v="2"/>
    <n v="14"/>
    <n v="15"/>
  </r>
  <r>
    <x v="8"/>
    <x v="199"/>
    <d v="2026-09-05T00:00:00"/>
    <s v="3RD"/>
    <d v="1899-12-31T00:00:00"/>
    <n v="3"/>
    <x v="1"/>
    <n v="0.02"/>
    <s v="P"/>
    <s v="P"/>
    <s v="P"/>
    <s v="+"/>
    <s v="+"/>
    <n v="10.83"/>
    <s v="-"/>
    <s v="-"/>
    <n v="0.56000000000000005"/>
    <s v="-"/>
    <s v="-"/>
    <s v="-"/>
    <s v="-"/>
    <s v="-"/>
    <s v="P"/>
    <s v="P"/>
    <n v="1"/>
    <n v="2"/>
    <n v="1"/>
    <n v="2"/>
    <n v="0"/>
    <s v="-"/>
    <s v="-"/>
    <n v="0"/>
    <s v="-"/>
    <s v="-"/>
    <s v="-"/>
    <s v="-"/>
    <n v="5"/>
    <n v="8"/>
    <s v="-"/>
    <n v="1"/>
    <n v="1"/>
    <n v="2"/>
    <n v="2"/>
    <n v="7"/>
    <n v="10"/>
  </r>
  <r>
    <x v="8"/>
    <x v="199"/>
    <d v="2026-09-05T00:00:00"/>
    <s v="3RD"/>
    <d v="1899-12-31T01:00:00"/>
    <n v="3"/>
    <x v="1"/>
    <s v="-"/>
    <s v="P"/>
    <s v="P"/>
    <s v="P"/>
    <s v="+"/>
    <s v="+"/>
    <n v="10.9"/>
    <s v="-"/>
    <s v="-"/>
    <s v="-"/>
    <s v="-"/>
    <s v="-"/>
    <s v="-"/>
    <s v="-"/>
    <s v="-"/>
    <s v="P"/>
    <s v="P"/>
    <n v="1"/>
    <s v="-"/>
    <n v="1"/>
    <n v="2"/>
    <n v="0"/>
    <s v="-"/>
    <s v="-"/>
    <s v="-"/>
    <s v="-"/>
    <s v="-"/>
    <s v="-"/>
    <s v="-"/>
    <n v="3"/>
    <n v="4"/>
    <s v="-"/>
    <n v="1"/>
    <n v="1"/>
    <n v="2"/>
    <n v="2"/>
    <n v="5"/>
    <n v="6"/>
  </r>
  <r>
    <x v="8"/>
    <x v="199"/>
    <d v="2026-09-05T00:00:00"/>
    <s v="3RD"/>
    <d v="1899-12-31T03:00:00"/>
    <n v="3"/>
    <x v="1"/>
    <n v="0.02"/>
    <s v="P"/>
    <s v="P"/>
    <s v="P"/>
    <s v="+"/>
    <s v="+"/>
    <s v="-"/>
    <s v="-"/>
    <s v="-"/>
    <s v="-"/>
    <s v="-"/>
    <s v="-"/>
    <s v="-"/>
    <s v="-"/>
    <s v="-"/>
    <s v="P"/>
    <s v="P"/>
    <n v="1"/>
    <n v="2"/>
    <n v="1"/>
    <n v="2"/>
    <s v="-"/>
    <s v="-"/>
    <s v="-"/>
    <s v="-"/>
    <s v="-"/>
    <s v="-"/>
    <s v="-"/>
    <s v="-"/>
    <n v="5"/>
    <n v="5"/>
    <s v="-"/>
    <n v="1"/>
    <n v="1"/>
    <n v="2"/>
    <n v="2"/>
    <n v="7"/>
    <n v="7"/>
  </r>
  <r>
    <x v="8"/>
    <x v="199"/>
    <d v="2026-09-05T00:00:00"/>
    <s v="3RD"/>
    <d v="1899-12-31T05:00:00"/>
    <n v="3"/>
    <x v="1"/>
    <n v="0.02"/>
    <s v="P"/>
    <s v="P"/>
    <s v="P"/>
    <s v="+"/>
    <s v="+"/>
    <n v="10.71"/>
    <s v="-"/>
    <s v="-"/>
    <s v="-"/>
    <s v="-"/>
    <s v="-"/>
    <s v="-"/>
    <s v="-"/>
    <s v="-"/>
    <s v="P"/>
    <s v="P"/>
    <n v="1"/>
    <n v="2"/>
    <n v="1"/>
    <n v="2"/>
    <n v="0"/>
    <s v="-"/>
    <s v="-"/>
    <s v="-"/>
    <s v="-"/>
    <s v="-"/>
    <s v="-"/>
    <s v="-"/>
    <n v="5"/>
    <n v="6"/>
    <s v="-"/>
    <n v="1"/>
    <n v="1"/>
    <n v="2"/>
    <n v="2"/>
    <n v="7"/>
    <n v="8"/>
  </r>
  <r>
    <x v="8"/>
    <x v="200"/>
    <d v="2026-09-10T00:00:00"/>
    <s v="2ND"/>
    <d v="1899-12-30T14:00:00"/>
    <n v="1"/>
    <x v="22"/>
    <n v="0.01"/>
    <s v="P"/>
    <s v="P"/>
    <s v="P"/>
    <s v="+"/>
    <s v="+"/>
    <n v="11.28"/>
    <n v="8.4600000000000009"/>
    <n v="0.53"/>
    <s v="-"/>
    <s v="-"/>
    <s v="-"/>
    <n v="22.7"/>
    <s v="-"/>
    <s v="-"/>
    <s v="P"/>
    <s v="P"/>
    <n v="1"/>
    <n v="2"/>
    <n v="1"/>
    <n v="2"/>
    <n v="1"/>
    <n v="0"/>
    <n v="2"/>
    <s v="-"/>
    <s v="-"/>
    <s v="-"/>
    <n v="2"/>
    <s v="-"/>
    <n v="10"/>
    <n v="11"/>
    <s v="-"/>
    <n v="1"/>
    <n v="1"/>
    <n v="2"/>
    <n v="2"/>
    <n v="12"/>
    <n v="13"/>
  </r>
  <r>
    <x v="8"/>
    <x v="200"/>
    <d v="2026-09-10T00:00:00"/>
    <s v="2ND"/>
    <d v="1899-12-30T15:00:00"/>
    <n v="1"/>
    <x v="22"/>
    <n v="0.01"/>
    <s v="P"/>
    <s v="P"/>
    <s v="P"/>
    <s v="+"/>
    <s v="+"/>
    <n v="11.16"/>
    <s v="-"/>
    <s v="-"/>
    <s v="-"/>
    <s v="-"/>
    <s v="-"/>
    <s v="-"/>
    <s v="-"/>
    <s v="-"/>
    <s v="P"/>
    <s v="P"/>
    <n v="1"/>
    <n v="2"/>
    <n v="1"/>
    <n v="2"/>
    <n v="1"/>
    <s v="-"/>
    <s v="-"/>
    <s v="-"/>
    <s v="-"/>
    <s v="-"/>
    <s v="-"/>
    <s v="-"/>
    <n v="6"/>
    <n v="6"/>
    <s v="-"/>
    <n v="1"/>
    <n v="1"/>
    <n v="2"/>
    <n v="2"/>
    <n v="8"/>
    <n v="8"/>
  </r>
  <r>
    <x v="8"/>
    <x v="200"/>
    <d v="2026-09-10T00:00:00"/>
    <s v="2ND"/>
    <d v="1899-12-30T16:00:00"/>
    <n v="1"/>
    <x v="22"/>
    <s v="-"/>
    <s v="P"/>
    <s v="P"/>
    <s v="P"/>
    <s v="+"/>
    <s v="+"/>
    <n v="10.98"/>
    <s v="-"/>
    <s v="-"/>
    <s v="-"/>
    <s v="-"/>
    <s v="-"/>
    <s v="-"/>
    <s v="-"/>
    <s v="-"/>
    <s v="P"/>
    <s v="P"/>
    <n v="1"/>
    <s v="-"/>
    <n v="1"/>
    <n v="2"/>
    <n v="0"/>
    <s v="-"/>
    <s v="-"/>
    <s v="-"/>
    <s v="-"/>
    <s v="-"/>
    <s v="-"/>
    <s v="-"/>
    <n v="3"/>
    <n v="4"/>
    <s v="-"/>
    <n v="1"/>
    <n v="1"/>
    <n v="2"/>
    <n v="2"/>
    <n v="5"/>
    <n v="6"/>
  </r>
  <r>
    <x v="8"/>
    <x v="200"/>
    <d v="2026-09-10T00:00:00"/>
    <s v="2ND"/>
    <d v="1899-12-30T17:00:00"/>
    <n v="1"/>
    <x v="22"/>
    <s v="-"/>
    <s v="P"/>
    <s v="P"/>
    <s v="P"/>
    <s v="+"/>
    <s v="+"/>
    <n v="11.21"/>
    <s v="-"/>
    <s v="-"/>
    <s v="-"/>
    <s v="-"/>
    <s v="-"/>
    <s v="-"/>
    <s v="-"/>
    <s v="-"/>
    <s v="P"/>
    <s v="P"/>
    <n v="1"/>
    <s v="-"/>
    <n v="1"/>
    <n v="2"/>
    <n v="1"/>
    <s v="-"/>
    <s v="-"/>
    <s v="-"/>
    <s v="-"/>
    <s v="-"/>
    <s v="-"/>
    <s v="-"/>
    <n v="4"/>
    <n v="4"/>
    <s v="-"/>
    <n v="1"/>
    <n v="1"/>
    <n v="2"/>
    <n v="2"/>
    <n v="6"/>
    <n v="6"/>
  </r>
  <r>
    <x v="8"/>
    <x v="200"/>
    <d v="2026-09-10T00:00:00"/>
    <s v="2ND"/>
    <d v="1899-12-30T18:00:00"/>
    <n v="1"/>
    <x v="22"/>
    <s v="-"/>
    <s v="-"/>
    <s v="P"/>
    <s v="P"/>
    <s v="+"/>
    <s v="+"/>
    <n v="10.88"/>
    <s v="-"/>
    <s v="-"/>
    <s v="-"/>
    <s v="-"/>
    <s v="-"/>
    <s v="-"/>
    <s v="-"/>
    <s v="-"/>
    <s v="P"/>
    <s v="P"/>
    <n v="1"/>
    <s v="-"/>
    <s v="-"/>
    <n v="2"/>
    <n v="0"/>
    <s v="-"/>
    <s v="-"/>
    <s v="-"/>
    <s v="-"/>
    <s v="-"/>
    <s v="-"/>
    <s v="-"/>
    <n v="2"/>
    <n v="3"/>
    <s v="-"/>
    <n v="1"/>
    <n v="1"/>
    <n v="2"/>
    <n v="2"/>
    <n v="4"/>
    <n v="5"/>
  </r>
  <r>
    <x v="8"/>
    <x v="200"/>
    <d v="2026-09-10T00:00:00"/>
    <s v="2ND"/>
    <d v="1899-12-30T19:00:00"/>
    <n v="1"/>
    <x v="22"/>
    <s v="-"/>
    <s v="P"/>
    <s v="P"/>
    <s v="P"/>
    <s v="+"/>
    <s v="+"/>
    <n v="10.97"/>
    <s v="-"/>
    <s v="-"/>
    <s v="-"/>
    <s v="-"/>
    <s v="-"/>
    <s v="-"/>
    <s v="-"/>
    <s v="-"/>
    <s v="P"/>
    <s v="P"/>
    <n v="1"/>
    <s v="-"/>
    <n v="1"/>
    <n v="2"/>
    <n v="0"/>
    <s v="-"/>
    <s v="-"/>
    <s v="-"/>
    <s v="-"/>
    <s v="-"/>
    <s v="-"/>
    <s v="-"/>
    <n v="3"/>
    <n v="4"/>
    <s v="-"/>
    <n v="1"/>
    <n v="1"/>
    <n v="2"/>
    <n v="2"/>
    <n v="5"/>
    <n v="6"/>
  </r>
  <r>
    <x v="8"/>
    <x v="200"/>
    <d v="1902-03-26T00:00:00"/>
    <s v="2ND"/>
    <d v="1899-12-30T15:00:00"/>
    <n v="2"/>
    <x v="17"/>
    <s v="-"/>
    <s v="P"/>
    <s v="P"/>
    <s v="P"/>
    <s v="-"/>
    <s v="+"/>
    <n v="10.8"/>
    <n v="7.35"/>
    <n v="0.35"/>
    <s v="-"/>
    <s v="-"/>
    <s v="-"/>
    <n v="19.5"/>
    <s v="-"/>
    <s v="-"/>
    <s v="P"/>
    <s v="P"/>
    <n v="1"/>
    <s v="-"/>
    <n v="1"/>
    <n v="2"/>
    <n v="0"/>
    <n v="1"/>
    <n v="2"/>
    <s v="-"/>
    <s v="-"/>
    <s v="-"/>
    <n v="2"/>
    <s v="-"/>
    <n v="8"/>
    <n v="9"/>
    <s v="-"/>
    <n v="1"/>
    <n v="1"/>
    <n v="2"/>
    <n v="2"/>
    <n v="10"/>
    <n v="11"/>
  </r>
  <r>
    <x v="8"/>
    <x v="200"/>
    <d v="1902-03-26T00:00:00"/>
    <s v="2ND"/>
    <d v="1899-12-30T16:00:00"/>
    <n v="2"/>
    <x v="17"/>
    <s v="-"/>
    <s v="P"/>
    <s v="P"/>
    <s v="P"/>
    <s v="-"/>
    <s v="+"/>
    <n v="10.48"/>
    <s v="-"/>
    <s v="-"/>
    <s v="-"/>
    <s v="-"/>
    <s v="-"/>
    <s v="-"/>
    <s v="-"/>
    <s v="-"/>
    <s v="P"/>
    <s v="P"/>
    <n v="1"/>
    <s v="-"/>
    <n v="1"/>
    <n v="2"/>
    <n v="0"/>
    <s v="-"/>
    <s v="-"/>
    <s v="-"/>
    <s v="-"/>
    <s v="-"/>
    <s v="-"/>
    <s v="-"/>
    <n v="3"/>
    <n v="4"/>
    <s v="-"/>
    <n v="1"/>
    <n v="1"/>
    <n v="2"/>
    <n v="2"/>
    <n v="5"/>
    <n v="6"/>
  </r>
  <r>
    <x v="8"/>
    <x v="200"/>
    <d v="1902-03-26T00:00:00"/>
    <s v="2ND"/>
    <d v="1899-12-30T17:00:00"/>
    <n v="2"/>
    <x v="17"/>
    <s v="-"/>
    <s v="P"/>
    <s v="P"/>
    <s v="P"/>
    <s v="-"/>
    <s v="+"/>
    <n v="10.47"/>
    <s v="-"/>
    <s v="-"/>
    <s v="-"/>
    <s v="-"/>
    <s v="-"/>
    <s v="-"/>
    <s v="-"/>
    <s v="-"/>
    <s v="P"/>
    <s v="P"/>
    <n v="1"/>
    <s v="-"/>
    <n v="1"/>
    <n v="2"/>
    <n v="0"/>
    <s v="-"/>
    <s v="-"/>
    <s v="-"/>
    <s v="-"/>
    <s v="-"/>
    <s v="-"/>
    <s v="-"/>
    <n v="3"/>
    <n v="4"/>
    <s v="-"/>
    <n v="1"/>
    <n v="1"/>
    <n v="2"/>
    <n v="2"/>
    <n v="5"/>
    <n v="6"/>
  </r>
  <r>
    <x v="8"/>
    <x v="200"/>
    <d v="1902-03-26T00:00:00"/>
    <s v="2ND"/>
    <d v="1899-12-30T18:00:00"/>
    <n v="2"/>
    <x v="17"/>
    <s v="-"/>
    <s v="P"/>
    <s v="P"/>
    <s v="P"/>
    <s v="-"/>
    <s v="+"/>
    <n v="10.43"/>
    <s v="-"/>
    <s v="-"/>
    <s v="-"/>
    <s v="-"/>
    <s v="-"/>
    <s v="-"/>
    <s v="-"/>
    <s v="-"/>
    <s v="P"/>
    <s v="P"/>
    <n v="1"/>
    <s v="-"/>
    <n v="1"/>
    <n v="2"/>
    <n v="0"/>
    <s v="-"/>
    <s v="-"/>
    <s v="-"/>
    <s v="-"/>
    <s v="-"/>
    <s v="-"/>
    <s v="-"/>
    <n v="3"/>
    <n v="4"/>
    <s v="-"/>
    <n v="1"/>
    <n v="1"/>
    <n v="2"/>
    <n v="2"/>
    <n v="5"/>
    <n v="6"/>
  </r>
  <r>
    <x v="8"/>
    <x v="200"/>
    <d v="1902-03-26T00:00:00"/>
    <s v="2ND"/>
    <d v="1899-12-30T19:00:00"/>
    <n v="2"/>
    <x v="17"/>
    <s v="-"/>
    <s v="P"/>
    <s v="P"/>
    <s v="P"/>
    <s v="-"/>
    <s v="+"/>
    <n v="10.36"/>
    <s v="-"/>
    <s v="-"/>
    <s v="-"/>
    <s v="-"/>
    <s v="-"/>
    <s v="-"/>
    <s v="-"/>
    <s v="-"/>
    <s v="P"/>
    <s v="P"/>
    <s v="-"/>
    <s v="-"/>
    <n v="1"/>
    <n v="2"/>
    <n v="0"/>
    <s v="-"/>
    <s v="-"/>
    <s v="-"/>
    <s v="-"/>
    <s v="-"/>
    <s v="-"/>
    <s v="-"/>
    <n v="3"/>
    <n v="4"/>
    <s v="-"/>
    <n v="1"/>
    <n v="1"/>
    <n v="2"/>
    <n v="2"/>
    <n v="5"/>
    <n v="6"/>
  </r>
  <r>
    <x v="8"/>
    <x v="200"/>
    <d v="2026-09-08T00:00:00"/>
    <s v="2ND"/>
    <d v="1899-12-30T14:00:00"/>
    <n v="3"/>
    <x v="1"/>
    <n v="0.01"/>
    <s v="P"/>
    <s v="P"/>
    <s v="P"/>
    <s v="+"/>
    <s v="+"/>
    <n v="12.39"/>
    <n v="12.06"/>
    <n v="0.56000000000000005"/>
    <s v="-"/>
    <s v="-"/>
    <s v="-"/>
    <n v="33.6"/>
    <s v="-"/>
    <s v="-"/>
    <s v="P"/>
    <s v="P"/>
    <s v="95%  5%"/>
    <n v="2"/>
    <n v="1"/>
    <n v="2"/>
    <n v="1"/>
    <n v="1"/>
    <n v="2"/>
    <s v="-"/>
    <s v="-"/>
    <s v="-"/>
    <n v="2"/>
    <s v="-"/>
    <n v="11"/>
    <n v="11"/>
    <s v="-"/>
    <n v="1"/>
    <n v="1"/>
    <n v="2"/>
    <n v="2"/>
    <n v="13"/>
    <n v="13"/>
  </r>
  <r>
    <x v="8"/>
    <x v="200"/>
    <d v="2026-09-08T00:00:00"/>
    <s v="2ND"/>
    <d v="1899-12-30T15:00:00"/>
    <n v="3"/>
    <x v="1"/>
    <n v="0.01"/>
    <s v="P"/>
    <s v="P"/>
    <s v="P"/>
    <s v="+"/>
    <s v="+"/>
    <n v="12.12"/>
    <s v="-"/>
    <s v="-"/>
    <s v="-"/>
    <s v="-"/>
    <s v="-"/>
    <s v="-"/>
    <s v="-"/>
    <s v="-"/>
    <s v="P"/>
    <s v="P"/>
    <s v="95%  5%"/>
    <n v="2"/>
    <n v="1"/>
    <n v="2"/>
    <n v="1"/>
    <s v="-"/>
    <s v="-"/>
    <s v="-"/>
    <s v="-"/>
    <s v="-"/>
    <s v="-"/>
    <s v="-"/>
    <n v="6"/>
    <n v="6"/>
    <s v="-"/>
    <n v="1"/>
    <n v="1"/>
    <n v="2"/>
    <n v="2"/>
    <n v="8"/>
    <n v="8"/>
  </r>
  <r>
    <x v="8"/>
    <x v="200"/>
    <d v="2026-09-08T00:00:00"/>
    <s v="2ND"/>
    <d v="1899-12-30T16:00:00"/>
    <n v="3"/>
    <x v="1"/>
    <n v="0.01"/>
    <s v="P"/>
    <s v="P"/>
    <s v="P"/>
    <s v="+"/>
    <s v="+"/>
    <n v="12.14"/>
    <s v="-"/>
    <s v="-"/>
    <s v="-"/>
    <s v="-"/>
    <s v="-"/>
    <s v="-"/>
    <s v="-"/>
    <s v="-"/>
    <s v="P"/>
    <s v="P"/>
    <s v="95%  5%"/>
    <n v="2"/>
    <n v="1"/>
    <n v="2"/>
    <n v="1"/>
    <s v="-"/>
    <s v="-"/>
    <s v="-"/>
    <s v="-"/>
    <s v="-"/>
    <s v="-"/>
    <s v="-"/>
    <n v="6"/>
    <n v="6"/>
    <s v="-"/>
    <n v="1"/>
    <n v="1"/>
    <n v="2"/>
    <n v="2"/>
    <n v="8"/>
    <n v="8"/>
  </r>
  <r>
    <x v="8"/>
    <x v="200"/>
    <d v="2026-09-08T00:00:00"/>
    <s v="2ND"/>
    <d v="1899-12-30T18:00:00"/>
    <n v="3"/>
    <x v="1"/>
    <n v="0.01"/>
    <s v="P"/>
    <s v="P"/>
    <s v="P"/>
    <s v="+"/>
    <s v="+"/>
    <s v="-"/>
    <s v="-"/>
    <s v="-"/>
    <s v="-"/>
    <s v="-"/>
    <s v="-"/>
    <s v="-"/>
    <s v="-"/>
    <s v="-"/>
    <s v="P"/>
    <s v="P"/>
    <s v="95%  5%"/>
    <n v="2"/>
    <n v="1"/>
    <n v="2"/>
    <s v="-"/>
    <s v="-"/>
    <s v="-"/>
    <s v="-"/>
    <s v="-"/>
    <s v="-"/>
    <s v="-"/>
    <s v="-"/>
    <n v="5"/>
    <n v="5"/>
    <s v="-"/>
    <n v="1"/>
    <n v="1"/>
    <n v="2"/>
    <n v="2"/>
    <n v="7"/>
    <n v="7"/>
  </r>
  <r>
    <x v="8"/>
    <x v="200"/>
    <d v="2026-09-08T00:00:00"/>
    <s v="2ND"/>
    <d v="1899-12-30T19:00:00"/>
    <n v="3"/>
    <x v="1"/>
    <n v="0.01"/>
    <s v="P"/>
    <s v="P"/>
    <s v="P"/>
    <s v="+"/>
    <s v="+"/>
    <n v="12.4"/>
    <s v="-"/>
    <s v="-"/>
    <s v="-"/>
    <s v="-"/>
    <s v="-"/>
    <s v="-"/>
    <s v="-"/>
    <s v="-"/>
    <s v="P"/>
    <s v="P"/>
    <s v="95%  5%"/>
    <n v="2"/>
    <n v="1"/>
    <n v="2"/>
    <n v="1"/>
    <s v="-"/>
    <s v="-"/>
    <s v="-"/>
    <s v="-"/>
    <s v="-"/>
    <s v="-"/>
    <s v="-"/>
    <n v="6"/>
    <n v="6"/>
    <s v="-"/>
    <n v="1"/>
    <n v="1"/>
    <n v="2"/>
    <n v="2"/>
    <n v="8"/>
    <n v="8"/>
  </r>
  <r>
    <x v="8"/>
    <x v="200"/>
    <d v="2026-09-08T00:00:00"/>
    <s v="2ND"/>
    <d v="1899-12-30T21:00:00"/>
    <n v="3"/>
    <x v="1"/>
    <n v="0.02"/>
    <s v="P"/>
    <s v="P"/>
    <s v="P"/>
    <s v="+"/>
    <s v="+"/>
    <n v="12.36"/>
    <s v="-"/>
    <s v="-"/>
    <s v="-"/>
    <s v="-"/>
    <s v="-"/>
    <s v="-"/>
    <s v="-"/>
    <s v="-"/>
    <s v="P"/>
    <s v="P"/>
    <s v="95%  5%"/>
    <n v="2"/>
    <n v="1"/>
    <n v="2"/>
    <n v="1"/>
    <s v="-"/>
    <s v="-"/>
    <s v="-"/>
    <s v="-"/>
    <s v="-"/>
    <s v="-"/>
    <s v="-"/>
    <n v="6"/>
    <n v="6"/>
    <s v="-"/>
    <n v="1"/>
    <n v="1"/>
    <n v="2"/>
    <n v="2"/>
    <n v="8"/>
    <n v="8"/>
  </r>
  <r>
    <x v="8"/>
    <x v="200"/>
    <d v="2026-09-10T00:00:00"/>
    <s v="3RD"/>
    <d v="1899-12-30T22:00:00"/>
    <n v="1"/>
    <x v="22"/>
    <s v="-"/>
    <s v="P"/>
    <s v="P"/>
    <s v="P"/>
    <s v="-"/>
    <s v="-"/>
    <n v="11.04"/>
    <n v="8.56"/>
    <n v="0.53"/>
    <s v="-"/>
    <s v="-"/>
    <s v="-"/>
    <n v="23.1"/>
    <s v="-"/>
    <s v="-"/>
    <s v="P"/>
    <s v="P"/>
    <n v="1"/>
    <s v="-"/>
    <n v="1"/>
    <n v="2"/>
    <n v="1"/>
    <n v="1"/>
    <n v="2"/>
    <s v="-"/>
    <s v="-"/>
    <s v="-"/>
    <n v="2"/>
    <s v="-"/>
    <n v="9"/>
    <n v="9"/>
    <s v="-"/>
    <n v="1"/>
    <n v="1"/>
    <n v="2"/>
    <n v="2"/>
    <n v="11"/>
    <n v="11"/>
  </r>
  <r>
    <x v="8"/>
    <x v="200"/>
    <d v="2026-09-10T00:00:00"/>
    <s v="3RD"/>
    <d v="1899-12-30T23:00:00"/>
    <n v="1"/>
    <x v="22"/>
    <s v="-"/>
    <s v="P"/>
    <s v="P"/>
    <s v="P"/>
    <s v="-"/>
    <s v="-"/>
    <n v="11.09"/>
    <s v="-"/>
    <s v="-"/>
    <s v="-"/>
    <s v="-"/>
    <s v="-"/>
    <s v="-"/>
    <s v="-"/>
    <s v="-"/>
    <s v="P"/>
    <s v="P"/>
    <n v="1"/>
    <s v="-"/>
    <n v="1"/>
    <n v="2"/>
    <n v="1"/>
    <s v="-"/>
    <s v="-"/>
    <s v="-"/>
    <s v="-"/>
    <s v="-"/>
    <s v="-"/>
    <s v="-"/>
    <n v="4"/>
    <n v="4"/>
    <s v="-"/>
    <n v="1"/>
    <n v="1"/>
    <n v="2"/>
    <n v="2"/>
    <n v="6"/>
    <n v="6"/>
  </r>
  <r>
    <x v="8"/>
    <x v="200"/>
    <d v="2026-09-10T00:00:00"/>
    <s v="3RD"/>
    <d v="1899-12-31T00:00:00"/>
    <n v="1"/>
    <x v="22"/>
    <s v="-"/>
    <s v="P"/>
    <s v="P"/>
    <s v="P"/>
    <s v="-"/>
    <s v="-"/>
    <n v="10.89"/>
    <s v="-"/>
    <s v="-"/>
    <s v="-"/>
    <s v="-"/>
    <s v="-"/>
    <s v="-"/>
    <s v="-"/>
    <s v="-"/>
    <s v="P"/>
    <s v="P"/>
    <n v="1"/>
    <s v="-"/>
    <n v="1"/>
    <n v="2"/>
    <n v="0"/>
    <s v="-"/>
    <s v="-"/>
    <s v="-"/>
    <s v="-"/>
    <s v="-"/>
    <s v="-"/>
    <s v="-"/>
    <n v="3"/>
    <n v="4"/>
    <s v="-"/>
    <n v="1"/>
    <n v="1"/>
    <n v="2"/>
    <n v="2"/>
    <n v="5"/>
    <n v="6"/>
  </r>
  <r>
    <x v="8"/>
    <x v="200"/>
    <d v="2026-09-10T00:00:00"/>
    <s v="3RD"/>
    <d v="1899-12-31T01:00:00"/>
    <n v="1"/>
    <x v="22"/>
    <s v="-"/>
    <s v="P"/>
    <s v="P"/>
    <s v="P"/>
    <s v="-"/>
    <s v="-"/>
    <n v="10.36"/>
    <s v="-"/>
    <s v="-"/>
    <s v="-"/>
    <s v="-"/>
    <s v="-"/>
    <s v="-"/>
    <s v="-"/>
    <s v="-"/>
    <s v="P"/>
    <s v="P"/>
    <n v="1"/>
    <s v="-"/>
    <n v="1"/>
    <n v="2"/>
    <n v="0"/>
    <s v="-"/>
    <s v="-"/>
    <s v="-"/>
    <s v="-"/>
    <s v="-"/>
    <s v="-"/>
    <s v="-"/>
    <n v="3"/>
    <n v="4"/>
    <s v="-"/>
    <n v="1"/>
    <n v="1"/>
    <n v="2"/>
    <n v="2"/>
    <n v="5"/>
    <n v="6"/>
  </r>
  <r>
    <x v="8"/>
    <x v="200"/>
    <d v="2026-09-10T00:00:00"/>
    <s v="3RD"/>
    <d v="1899-12-31T03:00:00"/>
    <n v="1"/>
    <x v="22"/>
    <n v="0.01"/>
    <s v="P"/>
    <s v="P"/>
    <s v="P"/>
    <s v="-"/>
    <s v="-"/>
    <n v="10.98"/>
    <s v="-"/>
    <s v="-"/>
    <s v="-"/>
    <s v="-"/>
    <s v="-"/>
    <s v="-"/>
    <s v="-"/>
    <s v="-"/>
    <s v="P"/>
    <s v="P"/>
    <n v="1"/>
    <n v="2"/>
    <n v="1"/>
    <n v="2"/>
    <n v="0"/>
    <s v="-"/>
    <s v="-"/>
    <s v="-"/>
    <s v="-"/>
    <s v="-"/>
    <s v="-"/>
    <s v="-"/>
    <n v="5"/>
    <n v="6"/>
    <s v="-"/>
    <n v="1"/>
    <n v="1"/>
    <n v="2"/>
    <n v="2"/>
    <n v="7"/>
    <n v="8"/>
  </r>
  <r>
    <x v="8"/>
    <x v="200"/>
    <d v="2026-09-10T00:00:00"/>
    <s v="3RD"/>
    <d v="1899-12-31T05:00:00"/>
    <n v="1"/>
    <x v="22"/>
    <n v="0.01"/>
    <s v="P"/>
    <s v="P"/>
    <s v="P"/>
    <s v="-"/>
    <s v="-"/>
    <n v="10.72"/>
    <s v="-"/>
    <s v="-"/>
    <s v="-"/>
    <s v="-"/>
    <s v="-"/>
    <s v="-"/>
    <s v="-"/>
    <s v="-"/>
    <s v="P"/>
    <s v="P"/>
    <n v="1"/>
    <n v="2"/>
    <n v="1"/>
    <n v="2"/>
    <n v="0"/>
    <s v="-"/>
    <s v="-"/>
    <s v="-"/>
    <s v="-"/>
    <s v="-"/>
    <s v="-"/>
    <s v="-"/>
    <n v="5"/>
    <n v="6"/>
    <s v="-"/>
    <n v="1"/>
    <n v="1"/>
    <n v="2"/>
    <n v="2"/>
    <n v="7"/>
    <n v="8"/>
  </r>
  <r>
    <x v="8"/>
    <x v="200"/>
    <d v="1902-03-26T00:00:00"/>
    <s v="3RD"/>
    <d v="1899-12-30T22:00:00"/>
    <n v="2"/>
    <x v="14"/>
    <s v="-"/>
    <s v="P"/>
    <s v="P"/>
    <s v="P"/>
    <s v="-"/>
    <s v="+"/>
    <n v="10.29"/>
    <s v="-"/>
    <s v="-"/>
    <s v="-"/>
    <s v="-"/>
    <s v="-"/>
    <s v="-"/>
    <s v="-"/>
    <s v="-"/>
    <s v="P"/>
    <s v="P"/>
    <s v="50%  20%  30%"/>
    <s v="-"/>
    <n v="1"/>
    <n v="2"/>
    <n v="0"/>
    <s v="-"/>
    <s v="-"/>
    <s v="-"/>
    <s v="-"/>
    <s v="-"/>
    <s v="-"/>
    <s v="-"/>
    <n v="3"/>
    <n v="4"/>
    <s v="-"/>
    <n v="1"/>
    <n v="1"/>
    <n v="2"/>
    <n v="2"/>
    <n v="5"/>
    <n v="6"/>
  </r>
  <r>
    <x v="8"/>
    <x v="200"/>
    <d v="1902-03-26T00:00:00"/>
    <s v="3RD"/>
    <d v="1899-12-30T23:00:00"/>
    <n v="2"/>
    <x v="14"/>
    <n v="0.01"/>
    <s v="P"/>
    <s v="P"/>
    <s v="P"/>
    <s v="-"/>
    <s v="+"/>
    <n v="10.55"/>
    <n v="9.51"/>
    <n v="0.56999999999999995"/>
    <n v="57.3"/>
    <n v="11.7"/>
    <n v="471"/>
    <n v="26"/>
    <s v="-"/>
    <s v="-"/>
    <s v="P"/>
    <s v="P"/>
    <s v="50%  20%  30%"/>
    <n v="2"/>
    <n v="1"/>
    <n v="2"/>
    <n v="0"/>
    <n v="1"/>
    <n v="2"/>
    <n v="2"/>
    <n v="1"/>
    <n v="1"/>
    <n v="2"/>
    <s v="-"/>
    <n v="14"/>
    <n v="15"/>
    <s v="-"/>
    <n v="1"/>
    <n v="1"/>
    <n v="2"/>
    <n v="2"/>
    <n v="16"/>
    <n v="17"/>
  </r>
  <r>
    <x v="8"/>
    <x v="200"/>
    <d v="1902-03-26T00:00:00"/>
    <s v="3RD"/>
    <d v="1899-12-31T00:00:00"/>
    <n v="2"/>
    <x v="14"/>
    <s v="-"/>
    <s v="P"/>
    <s v="P"/>
    <s v="P"/>
    <s v="-"/>
    <s v="+"/>
    <n v="10.54"/>
    <s v="-"/>
    <s v="-"/>
    <s v="-"/>
    <s v="-"/>
    <s v="-"/>
    <s v="-"/>
    <s v="-"/>
    <s v="-"/>
    <s v="P"/>
    <s v="P"/>
    <s v="50%  20%  30%"/>
    <s v="-"/>
    <n v="1"/>
    <n v="2"/>
    <n v="0"/>
    <s v="-"/>
    <s v="-"/>
    <s v="-"/>
    <s v="-"/>
    <s v="-"/>
    <s v="-"/>
    <s v="-"/>
    <n v="3"/>
    <n v="4"/>
    <s v="-"/>
    <n v="1"/>
    <n v="1"/>
    <n v="2"/>
    <n v="2"/>
    <n v="5"/>
    <n v="6"/>
  </r>
  <r>
    <x v="8"/>
    <x v="200"/>
    <d v="1902-03-26T00:00:00"/>
    <s v="3RD"/>
    <d v="1899-12-31T01:00:00"/>
    <n v="2"/>
    <x v="14"/>
    <n v="0.01"/>
    <s v="P"/>
    <s v="P"/>
    <s v="P"/>
    <s v="-"/>
    <s v="+"/>
    <n v="10.210000000000001"/>
    <s v="-"/>
    <s v="-"/>
    <s v="-"/>
    <s v="-"/>
    <s v="-"/>
    <s v="-"/>
    <s v="-"/>
    <s v="-"/>
    <s v="P"/>
    <s v="P"/>
    <s v="-"/>
    <n v="2"/>
    <n v="1"/>
    <n v="2"/>
    <n v="0"/>
    <s v="-"/>
    <s v="-"/>
    <s v="-"/>
    <s v="-"/>
    <s v="-"/>
    <s v="-"/>
    <s v="-"/>
    <n v="5"/>
    <n v="6"/>
    <s v="-"/>
    <n v="1"/>
    <n v="1"/>
    <n v="2"/>
    <n v="2"/>
    <n v="7"/>
    <n v="8"/>
  </r>
  <r>
    <x v="8"/>
    <x v="200"/>
    <d v="1902-03-26T00:00:00"/>
    <s v="3RD"/>
    <d v="1899-12-31T04:00:00"/>
    <n v="2"/>
    <x v="2"/>
    <n v="0.01"/>
    <s v="P"/>
    <s v="P"/>
    <s v="P"/>
    <s v="-"/>
    <s v="+"/>
    <n v="10.24"/>
    <s v="-"/>
    <s v="-"/>
    <s v="-"/>
    <s v="-"/>
    <s v="-"/>
    <s v="-"/>
    <s v="-"/>
    <s v="-"/>
    <s v="P"/>
    <s v="P"/>
    <s v="-"/>
    <n v="2"/>
    <n v="1"/>
    <n v="2"/>
    <n v="0"/>
    <s v="-"/>
    <s v="-"/>
    <s v="-"/>
    <s v="-"/>
    <s v="-"/>
    <s v="-"/>
    <s v="-"/>
    <n v="5"/>
    <n v="6"/>
    <s v="-"/>
    <n v="1"/>
    <n v="1"/>
    <n v="2"/>
    <n v="2"/>
    <n v="7"/>
    <n v="8"/>
  </r>
  <r>
    <x v="8"/>
    <x v="200"/>
    <d v="2026-09-08T00:00:00"/>
    <s v="3RD"/>
    <d v="1899-12-30T22:00:00"/>
    <n v="3"/>
    <x v="1"/>
    <n v="0.01"/>
    <s v="P"/>
    <s v="P"/>
    <s v="P"/>
    <s v="+"/>
    <s v="+"/>
    <n v="12.58"/>
    <n v="12.15"/>
    <n v="0.56000000000000005"/>
    <s v="-"/>
    <s v="-"/>
    <s v="-"/>
    <n v="33.700000000000003"/>
    <s v="-"/>
    <s v="-"/>
    <s v="P"/>
    <s v="P"/>
    <s v="95%  5%"/>
    <n v="2"/>
    <n v="1"/>
    <n v="2"/>
    <n v="1"/>
    <n v="1"/>
    <n v="2"/>
    <s v="-"/>
    <s v="-"/>
    <s v="-"/>
    <n v="2"/>
    <s v="-"/>
    <n v="11"/>
    <n v="11"/>
    <s v="-"/>
    <n v="1"/>
    <n v="1"/>
    <n v="2"/>
    <n v="2"/>
    <n v="13"/>
    <n v="13"/>
  </r>
  <r>
    <x v="8"/>
    <x v="200"/>
    <d v="2026-09-08T00:00:00"/>
    <s v="3RD"/>
    <d v="1899-12-30T23:00:00"/>
    <n v="3"/>
    <x v="1"/>
    <n v="0.01"/>
    <s v="P"/>
    <s v="P"/>
    <s v="P"/>
    <s v="+"/>
    <s v="+"/>
    <n v="12.63"/>
    <s v="-"/>
    <s v="-"/>
    <s v="-"/>
    <s v="-"/>
    <s v="-"/>
    <s v="-"/>
    <s v="-"/>
    <s v="-"/>
    <s v="P"/>
    <s v="P"/>
    <s v="95%  5%"/>
    <n v="2"/>
    <n v="1"/>
    <n v="2"/>
    <n v="1"/>
    <s v="-"/>
    <s v="-"/>
    <s v="-"/>
    <s v="-"/>
    <s v="-"/>
    <s v="-"/>
    <s v="-"/>
    <n v="6"/>
    <n v="6"/>
    <s v="-"/>
    <n v="1"/>
    <n v="1"/>
    <n v="2"/>
    <n v="2"/>
    <n v="8"/>
    <n v="8"/>
  </r>
  <r>
    <x v="8"/>
    <x v="200"/>
    <d v="2026-09-08T00:00:00"/>
    <s v="3RD"/>
    <d v="1899-12-31T00:00:00"/>
    <n v="3"/>
    <x v="1"/>
    <n v="0.01"/>
    <s v="P"/>
    <s v="P"/>
    <s v="P"/>
    <s v="+"/>
    <s v="+"/>
    <n v="12.94"/>
    <s v="-"/>
    <s v="-"/>
    <s v="-"/>
    <s v="-"/>
    <s v="-"/>
    <s v="-"/>
    <s v="-"/>
    <s v="-"/>
    <s v="P"/>
    <s v="P"/>
    <s v="95%  5%"/>
    <n v="2"/>
    <n v="1"/>
    <n v="2"/>
    <n v="1"/>
    <s v="-"/>
    <s v="-"/>
    <s v="-"/>
    <s v="-"/>
    <s v="-"/>
    <s v="-"/>
    <s v="-"/>
    <n v="6"/>
    <n v="6"/>
    <s v="-"/>
    <n v="1"/>
    <n v="1"/>
    <n v="2"/>
    <n v="2"/>
    <n v="8"/>
    <n v="8"/>
  </r>
  <r>
    <x v="8"/>
    <x v="200"/>
    <d v="2026-09-08T00:00:00"/>
    <s v="3RD"/>
    <d v="1899-12-31T01:00:00"/>
    <n v="3"/>
    <x v="1"/>
    <s v="-"/>
    <s v="P"/>
    <s v="P"/>
    <s v="P"/>
    <s v="+"/>
    <s v="+"/>
    <n v="12.82"/>
    <s v="-"/>
    <s v="-"/>
    <s v="-"/>
    <s v="-"/>
    <s v="-"/>
    <s v="-"/>
    <s v="-"/>
    <s v="-"/>
    <s v="P"/>
    <s v="P"/>
    <s v="95%  5%"/>
    <s v="-"/>
    <n v="1"/>
    <n v="2"/>
    <n v="1"/>
    <s v="-"/>
    <s v="-"/>
    <s v="-"/>
    <s v="-"/>
    <s v="-"/>
    <s v="-"/>
    <s v="-"/>
    <n v="4"/>
    <n v="4"/>
    <s v="-"/>
    <n v="1"/>
    <n v="1"/>
    <n v="2"/>
    <n v="2"/>
    <n v="6"/>
    <n v="6"/>
  </r>
  <r>
    <x v="8"/>
    <x v="200"/>
    <d v="2026-09-08T00:00:00"/>
    <s v="3RD"/>
    <d v="1899-12-31T05:00:00"/>
    <n v="3"/>
    <x v="1"/>
    <s v="-"/>
    <s v="P"/>
    <s v="F"/>
    <s v="P"/>
    <s v="+"/>
    <s v="+"/>
    <s v="-"/>
    <s v="-"/>
    <s v="-"/>
    <s v="-"/>
    <s v="-"/>
    <s v="-"/>
    <s v="-"/>
    <s v="-"/>
    <s v="-"/>
    <s v="-"/>
    <s v="-"/>
    <s v="95%  5%"/>
    <s v="-"/>
    <n v="1"/>
    <n v="2"/>
    <s v="-"/>
    <s v="-"/>
    <s v="-"/>
    <s v="-"/>
    <s v="-"/>
    <s v="-"/>
    <s v="-"/>
    <s v="-"/>
    <n v="3"/>
    <n v="3"/>
    <s v="-"/>
    <s v="-"/>
    <s v="-"/>
    <n v="0"/>
    <n v="0"/>
    <n v="3"/>
    <n v="3"/>
  </r>
  <r>
    <x v="8"/>
    <x v="201"/>
    <d v="1902-03-26T00:00:00"/>
    <s v="2ND"/>
    <d v="1899-12-30T14:00:00"/>
    <n v="2"/>
    <x v="2"/>
    <s v="-"/>
    <s v="P"/>
    <s v="P"/>
    <s v="P"/>
    <s v="-"/>
    <s v="+"/>
    <n v="10.58"/>
    <s v="-"/>
    <s v="-"/>
    <s v="-"/>
    <s v="-"/>
    <s v="-"/>
    <s v="-"/>
    <s v="-"/>
    <s v="-"/>
    <s v="P"/>
    <s v="P"/>
    <s v="50%  20%  30%"/>
    <s v="-"/>
    <n v="1"/>
    <n v="2"/>
    <n v="0"/>
    <s v="-"/>
    <s v="-"/>
    <s v="-"/>
    <s v="-"/>
    <s v="-"/>
    <s v="-"/>
    <s v="-"/>
    <n v="3"/>
    <n v="4"/>
    <s v="-"/>
    <n v="1"/>
    <n v="1"/>
    <n v="2"/>
    <n v="2"/>
    <n v="5"/>
    <n v="6"/>
  </r>
  <r>
    <x v="8"/>
    <x v="201"/>
    <d v="1902-03-26T00:00:00"/>
    <s v="2ND"/>
    <d v="1899-12-30T15:00:00"/>
    <n v="2"/>
    <x v="2"/>
    <s v="-"/>
    <s v="P"/>
    <s v="P"/>
    <s v="P"/>
    <s v="-"/>
    <s v="+"/>
    <n v="10.6"/>
    <s v="-"/>
    <s v="-"/>
    <s v="-"/>
    <s v="-"/>
    <s v="-"/>
    <s v="-"/>
    <s v="-"/>
    <s v="-"/>
    <s v="P"/>
    <s v="P"/>
    <n v="1"/>
    <s v="-"/>
    <n v="1"/>
    <n v="2"/>
    <n v="0"/>
    <s v="-"/>
    <s v="-"/>
    <s v="-"/>
    <s v="-"/>
    <s v="-"/>
    <s v="-"/>
    <s v="-"/>
    <n v="3"/>
    <n v="4"/>
    <s v="-"/>
    <n v="1"/>
    <n v="1"/>
    <n v="2"/>
    <n v="2"/>
    <n v="5"/>
    <n v="6"/>
  </r>
  <r>
    <x v="8"/>
    <x v="201"/>
    <d v="1902-03-26T00:00:00"/>
    <s v="2ND"/>
    <d v="1899-12-30T16:00:00"/>
    <n v="2"/>
    <x v="5"/>
    <s v="-"/>
    <s v="P"/>
    <s v="P"/>
    <s v="P"/>
    <s v="-"/>
    <s v="+"/>
    <n v="10.63"/>
    <n v="8.4499999999999993"/>
    <n v="0.56000000000000005"/>
    <n v="54.3"/>
    <s v="-"/>
    <s v="-"/>
    <n v="22.7"/>
    <s v="-"/>
    <s v="-"/>
    <s v="P"/>
    <s v="P"/>
    <n v="1"/>
    <s v="-"/>
    <n v="1"/>
    <n v="2"/>
    <n v="0"/>
    <n v="0"/>
    <n v="0"/>
    <n v="2"/>
    <s v="-"/>
    <s v="-"/>
    <n v="2"/>
    <s v="-"/>
    <n v="7"/>
    <n v="11"/>
    <s v="-"/>
    <n v="1"/>
    <n v="1"/>
    <n v="2"/>
    <n v="2"/>
    <n v="9"/>
    <n v="13"/>
  </r>
  <r>
    <x v="8"/>
    <x v="201"/>
    <d v="1902-03-26T00:00:00"/>
    <s v="2ND"/>
    <d v="1899-12-30T17:00:00"/>
    <n v="2"/>
    <x v="5"/>
    <s v="-"/>
    <s v="P"/>
    <s v="P"/>
    <s v="P"/>
    <s v="-"/>
    <s v="+"/>
    <n v="10.95"/>
    <s v="-"/>
    <s v="-"/>
    <s v="-"/>
    <s v="-"/>
    <s v="-"/>
    <s v="-"/>
    <s v="-"/>
    <s v="-"/>
    <s v="P"/>
    <s v="P"/>
    <n v="1"/>
    <s v="-"/>
    <n v="1"/>
    <n v="2"/>
    <n v="0"/>
    <s v="-"/>
    <s v="-"/>
    <s v="-"/>
    <s v="-"/>
    <s v="-"/>
    <s v="-"/>
    <s v="-"/>
    <n v="3"/>
    <n v="4"/>
    <s v="-"/>
    <n v="1"/>
    <n v="1"/>
    <n v="2"/>
    <n v="2"/>
    <n v="5"/>
    <n v="6"/>
  </r>
  <r>
    <x v="8"/>
    <x v="201"/>
    <d v="1902-03-26T00:00:00"/>
    <s v="2ND"/>
    <d v="1899-12-30T18:00:00"/>
    <n v="2"/>
    <x v="5"/>
    <s v="-"/>
    <s v="P"/>
    <s v="P"/>
    <s v="P"/>
    <s v="-"/>
    <s v="+"/>
    <n v="10.61"/>
    <s v="-"/>
    <s v="-"/>
    <s v="-"/>
    <s v="-"/>
    <s v="-"/>
    <s v="-"/>
    <s v="-"/>
    <s v="-"/>
    <s v="P"/>
    <s v="P"/>
    <n v="1"/>
    <s v="-"/>
    <n v="1"/>
    <n v="2"/>
    <n v="0"/>
    <s v="-"/>
    <s v="-"/>
    <s v="-"/>
    <s v="-"/>
    <s v="-"/>
    <s v="-"/>
    <s v="-"/>
    <n v="3"/>
    <n v="4"/>
    <s v="-"/>
    <n v="1"/>
    <n v="1"/>
    <n v="2"/>
    <n v="2"/>
    <n v="5"/>
    <n v="6"/>
  </r>
  <r>
    <x v="8"/>
    <x v="201"/>
    <d v="1902-03-26T00:00:00"/>
    <s v="2ND"/>
    <d v="1899-12-30T19:00:00"/>
    <n v="2"/>
    <x v="5"/>
    <s v="-"/>
    <s v="P"/>
    <s v="P"/>
    <s v="P"/>
    <s v="-"/>
    <s v="+"/>
    <n v="10.55"/>
    <s v="-"/>
    <s v="-"/>
    <s v="-"/>
    <s v="-"/>
    <s v="-"/>
    <s v="-"/>
    <s v="-"/>
    <s v="-"/>
    <s v="P"/>
    <s v="P"/>
    <n v="1"/>
    <s v="-"/>
    <n v="1"/>
    <n v="2"/>
    <n v="0"/>
    <s v="-"/>
    <s v="-"/>
    <s v="-"/>
    <s v="-"/>
    <s v="-"/>
    <s v="-"/>
    <s v="-"/>
    <n v="3"/>
    <n v="4"/>
    <s v="-"/>
    <n v="1"/>
    <n v="1"/>
    <n v="2"/>
    <n v="2"/>
    <n v="5"/>
    <n v="6"/>
  </r>
  <r>
    <x v="8"/>
    <x v="201"/>
    <d v="1902-03-26T00:00:00"/>
    <s v="2ND"/>
    <d v="1899-12-30T20:00:00"/>
    <n v="2"/>
    <x v="4"/>
    <s v="-"/>
    <s v="P"/>
    <s v="P"/>
    <s v="P"/>
    <s v="-"/>
    <s v="+"/>
    <n v="10.63"/>
    <s v="-"/>
    <s v="-"/>
    <s v="-"/>
    <s v="-"/>
    <s v="-"/>
    <s v="-"/>
    <s v="-"/>
    <s v="-"/>
    <s v="P"/>
    <s v="P"/>
    <n v="1"/>
    <s v="-"/>
    <n v="1"/>
    <n v="2"/>
    <n v="0"/>
    <s v="-"/>
    <s v="-"/>
    <s v="-"/>
    <s v="-"/>
    <s v="-"/>
    <s v="-"/>
    <s v="-"/>
    <n v="3"/>
    <n v="4"/>
    <s v="-"/>
    <n v="1"/>
    <n v="1"/>
    <n v="2"/>
    <n v="2"/>
    <n v="5"/>
    <n v="6"/>
  </r>
  <r>
    <x v="8"/>
    <x v="201"/>
    <d v="1902-03-26T00:00:00"/>
    <s v="2ND"/>
    <d v="1899-12-30T21:00:00"/>
    <n v="2"/>
    <x v="4"/>
    <s v="-"/>
    <s v="P"/>
    <s v="P"/>
    <s v="P"/>
    <s v="-"/>
    <s v="+"/>
    <n v="10.64"/>
    <s v="-"/>
    <s v="-"/>
    <s v="-"/>
    <s v="-"/>
    <s v="-"/>
    <s v="-"/>
    <s v="-"/>
    <s v="-"/>
    <s v="P"/>
    <s v="P"/>
    <s v="-"/>
    <s v="-"/>
    <n v="1"/>
    <n v="2"/>
    <n v="0"/>
    <s v="-"/>
    <s v="-"/>
    <s v="-"/>
    <s v="-"/>
    <s v="-"/>
    <s v="-"/>
    <s v="-"/>
    <n v="3"/>
    <n v="4"/>
    <s v="-"/>
    <n v="1"/>
    <n v="1"/>
    <n v="2"/>
    <n v="2"/>
    <n v="5"/>
    <n v="6"/>
  </r>
  <r>
    <x v="8"/>
    <x v="202"/>
    <d v="1902-03-26T00:00:00"/>
    <s v="2ND"/>
    <d v="1899-12-30T15:00:00"/>
    <n v="2"/>
    <x v="21"/>
    <s v="-"/>
    <s v="P"/>
    <s v="P"/>
    <s v="P"/>
    <s v="-"/>
    <s v="+"/>
    <n v="11.21"/>
    <n v="8.7899999999999991"/>
    <s v="-"/>
    <s v="-"/>
    <s v="-"/>
    <s v="-"/>
    <n v="23.8"/>
    <s v="-"/>
    <s v="-"/>
    <s v="P"/>
    <s v="P"/>
    <s v="-"/>
    <s v="-"/>
    <n v="1"/>
    <n v="2"/>
    <n v="1"/>
    <s v="-"/>
    <s v="-"/>
    <s v="-"/>
    <s v="-"/>
    <s v="-"/>
    <n v="2"/>
    <s v="-"/>
    <n v="6"/>
    <n v="6"/>
    <s v="-"/>
    <n v="1"/>
    <n v="1"/>
    <n v="2"/>
    <n v="2"/>
    <n v="8"/>
    <n v="8"/>
  </r>
  <r>
    <x v="8"/>
    <x v="202"/>
    <d v="1899-12-30T00:00:00"/>
    <s v="2ND"/>
    <d v="1899-12-30T17:00:00"/>
    <n v="2"/>
    <x v="21"/>
    <s v="-"/>
    <s v="P"/>
    <s v="P"/>
    <s v="P"/>
    <s v="-"/>
    <s v="+"/>
    <n v="10.34"/>
    <s v="-"/>
    <s v="-"/>
    <s v="-"/>
    <s v="-"/>
    <s v="-"/>
    <s v="-"/>
    <s v="-"/>
    <s v="-"/>
    <s v="P"/>
    <s v="P"/>
    <s v="-"/>
    <s v="-"/>
    <n v="1"/>
    <n v="2"/>
    <n v="0"/>
    <s v="-"/>
    <s v="-"/>
    <s v="-"/>
    <s v="-"/>
    <s v="-"/>
    <s v="-"/>
    <s v="-"/>
    <n v="3"/>
    <n v="4"/>
    <s v="-"/>
    <n v="1"/>
    <n v="1"/>
    <n v="2"/>
    <n v="2"/>
    <n v="5"/>
    <n v="6"/>
  </r>
  <r>
    <x v="8"/>
    <x v="202"/>
    <d v="1899-12-30T00:00:00"/>
    <s v="2ND"/>
    <d v="1899-12-30T18:00:00"/>
    <n v="2"/>
    <x v="21"/>
    <s v="-"/>
    <s v="P"/>
    <s v="P"/>
    <s v="P"/>
    <s v="-"/>
    <s v="+"/>
    <n v="10.56"/>
    <s v="-"/>
    <s v="-"/>
    <s v="-"/>
    <s v="-"/>
    <s v="-"/>
    <s v="-"/>
    <s v="-"/>
    <s v="-"/>
    <s v="P"/>
    <s v="P"/>
    <s v="-"/>
    <s v="-"/>
    <n v="1"/>
    <n v="2"/>
    <n v="0"/>
    <s v="-"/>
    <s v="-"/>
    <s v="-"/>
    <s v="-"/>
    <s v="-"/>
    <s v="-"/>
    <s v="-"/>
    <n v="3"/>
    <n v="4"/>
    <s v="-"/>
    <n v="1"/>
    <n v="1"/>
    <n v="2"/>
    <n v="2"/>
    <n v="5"/>
    <n v="6"/>
  </r>
  <r>
    <x v="8"/>
    <x v="202"/>
    <d v="1899-12-30T00:00:00"/>
    <s v="2ND"/>
    <d v="1899-12-30T19:00:00"/>
    <n v="2"/>
    <x v="21"/>
    <s v="-"/>
    <s v="P"/>
    <s v="P"/>
    <s v="P"/>
    <s v="-"/>
    <s v="+"/>
    <n v="10.49"/>
    <s v="-"/>
    <s v="-"/>
    <s v="-"/>
    <s v="-"/>
    <s v="-"/>
    <s v="-"/>
    <s v="-"/>
    <s v="-"/>
    <s v="P"/>
    <s v="P"/>
    <s v="-"/>
    <s v="-"/>
    <n v="1"/>
    <n v="2"/>
    <n v="0"/>
    <s v="-"/>
    <s v="-"/>
    <s v="-"/>
    <s v="-"/>
    <s v="-"/>
    <s v="-"/>
    <s v="-"/>
    <n v="3"/>
    <n v="4"/>
    <s v="-"/>
    <n v="1"/>
    <n v="1"/>
    <n v="2"/>
    <n v="2"/>
    <n v="5"/>
    <n v="6"/>
  </r>
  <r>
    <x v="8"/>
    <x v="202"/>
    <d v="1899-12-30T00:00:00"/>
    <s v="2ND"/>
    <d v="1899-12-30T20:00:00"/>
    <n v="2"/>
    <x v="21"/>
    <s v="-"/>
    <s v="P"/>
    <s v="P"/>
    <s v="P"/>
    <s v="-"/>
    <s v="+"/>
    <n v="10.41"/>
    <s v="-"/>
    <s v="-"/>
    <s v="-"/>
    <s v="-"/>
    <s v="-"/>
    <s v="-"/>
    <s v="-"/>
    <s v="-"/>
    <s v="P"/>
    <s v="P"/>
    <s v="-"/>
    <s v="-"/>
    <n v="1"/>
    <n v="2"/>
    <n v="0"/>
    <s v="-"/>
    <s v="-"/>
    <s v="-"/>
    <s v="-"/>
    <s v="-"/>
    <s v="-"/>
    <s v="-"/>
    <n v="3"/>
    <n v="4"/>
    <s v="-"/>
    <n v="1"/>
    <n v="1"/>
    <n v="2"/>
    <n v="2"/>
    <n v="5"/>
    <n v="6"/>
  </r>
  <r>
    <x v="8"/>
    <x v="202"/>
    <d v="1899-12-30T00:00:00"/>
    <s v="2ND"/>
    <d v="1899-12-30T21:00:00"/>
    <n v="2"/>
    <x v="21"/>
    <s v="-"/>
    <s v="P"/>
    <s v="P"/>
    <s v="P"/>
    <s v="-"/>
    <s v="+"/>
    <n v="10.37"/>
    <s v="-"/>
    <s v="-"/>
    <s v="-"/>
    <s v="-"/>
    <s v="-"/>
    <s v="-"/>
    <s v="-"/>
    <s v="-"/>
    <s v="P"/>
    <s v="P"/>
    <s v="-"/>
    <s v="-"/>
    <n v="1"/>
    <n v="2"/>
    <n v="0"/>
    <s v="-"/>
    <s v="-"/>
    <s v="-"/>
    <s v="-"/>
    <s v="-"/>
    <s v="-"/>
    <s v="-"/>
    <n v="3"/>
    <n v="4"/>
    <s v="-"/>
    <n v="1"/>
    <n v="1"/>
    <n v="2"/>
    <n v="2"/>
    <n v="5"/>
    <n v="6"/>
  </r>
  <r>
    <x v="8"/>
    <x v="202"/>
    <d v="2026-09-08T00:00:00"/>
    <s v="2ND"/>
    <d v="1899-12-30T15:00:00"/>
    <n v="3"/>
    <x v="6"/>
    <n v="0.01"/>
    <s v="P"/>
    <s v="P"/>
    <s v="P"/>
    <s v="+"/>
    <s v="+"/>
    <n v="12.14"/>
    <n v="12.28"/>
    <s v="-"/>
    <n v="63.8"/>
    <s v="-"/>
    <s v="-"/>
    <n v="34.200000000000003"/>
    <s v="-"/>
    <s v="-"/>
    <s v="P"/>
    <s v="P"/>
    <s v="75% 5% 10%"/>
    <n v="2"/>
    <n v="1"/>
    <n v="2"/>
    <n v="1"/>
    <n v="1"/>
    <s v="-"/>
    <n v="0"/>
    <s v="-"/>
    <s v="-"/>
    <n v="2"/>
    <s v="-"/>
    <n v="9"/>
    <n v="11"/>
    <s v="-"/>
    <n v="1"/>
    <n v="1"/>
    <n v="2"/>
    <n v="2"/>
    <n v="11"/>
    <n v="13"/>
  </r>
  <r>
    <x v="8"/>
    <x v="202"/>
    <d v="2026-09-08T00:00:00"/>
    <s v="2ND"/>
    <d v="1899-12-30T17:00:00"/>
    <n v="3"/>
    <x v="0"/>
    <s v="-"/>
    <s v="P"/>
    <s v="P"/>
    <s v="P"/>
    <s v="+"/>
    <s v="+"/>
    <n v="11.92"/>
    <n v="12.57"/>
    <s v="-"/>
    <n v="64.099999999999994"/>
    <s v="-"/>
    <s v="-"/>
    <n v="35.200000000000003"/>
    <s v="-"/>
    <s v="-"/>
    <s v="P"/>
    <s v="P"/>
    <s v="88% 5% 10%"/>
    <s v="-"/>
    <n v="1"/>
    <n v="2"/>
    <n v="0"/>
    <n v="1"/>
    <s v="-"/>
    <n v="2"/>
    <s v="-"/>
    <s v="-"/>
    <n v="2"/>
    <s v="-"/>
    <n v="8"/>
    <n v="9"/>
    <s v="-"/>
    <n v="1"/>
    <n v="1"/>
    <n v="2"/>
    <n v="2"/>
    <n v="10"/>
    <n v="11"/>
  </r>
  <r>
    <x v="8"/>
    <x v="202"/>
    <d v="2026-09-08T00:00:00"/>
    <s v="2ND"/>
    <d v="1899-12-30T18:00:00"/>
    <n v="3"/>
    <x v="1"/>
    <s v="-"/>
    <s v="P"/>
    <s v="P"/>
    <s v="P"/>
    <s v="+"/>
    <s v="+"/>
    <n v="11.92"/>
    <s v="-"/>
    <s v="-"/>
    <s v="-"/>
    <s v="-"/>
    <s v="-"/>
    <s v="-"/>
    <s v="-"/>
    <s v="-"/>
    <s v="P"/>
    <s v="P"/>
    <s v="-"/>
    <s v="-"/>
    <n v="1"/>
    <n v="2"/>
    <n v="0"/>
    <s v="-"/>
    <s v="-"/>
    <s v="-"/>
    <s v="-"/>
    <s v="-"/>
    <s v="-"/>
    <s v="-"/>
    <n v="3"/>
    <n v="4"/>
    <s v="-"/>
    <n v="1"/>
    <n v="1"/>
    <n v="2"/>
    <n v="2"/>
    <n v="5"/>
    <n v="6"/>
  </r>
  <r>
    <x v="8"/>
    <x v="202"/>
    <d v="2026-09-08T00:00:00"/>
    <s v="2ND"/>
    <d v="1899-12-30T19:00:00"/>
    <n v="3"/>
    <x v="1"/>
    <s v="-"/>
    <s v="P"/>
    <s v="P"/>
    <s v="P"/>
    <s v="+"/>
    <s v="+"/>
    <n v="12.54"/>
    <s v="-"/>
    <s v="-"/>
    <s v="-"/>
    <s v="-"/>
    <s v="-"/>
    <s v="-"/>
    <s v="-"/>
    <s v="-"/>
    <s v="P"/>
    <s v="P"/>
    <s v="-"/>
    <s v="-"/>
    <n v="1"/>
    <n v="2"/>
    <n v="1"/>
    <s v="-"/>
    <s v="-"/>
    <s v="-"/>
    <s v="-"/>
    <s v="-"/>
    <s v="-"/>
    <s v="-"/>
    <n v="4"/>
    <n v="4"/>
    <s v="-"/>
    <n v="1"/>
    <n v="1"/>
    <n v="2"/>
    <n v="2"/>
    <n v="6"/>
    <n v="6"/>
  </r>
  <r>
    <x v="8"/>
    <x v="202"/>
    <d v="2026-09-08T00:00:00"/>
    <s v="2ND"/>
    <d v="1899-12-30T20:00:00"/>
    <n v="3"/>
    <x v="1"/>
    <s v="-"/>
    <s v="P"/>
    <s v="P"/>
    <s v="P"/>
    <s v="+"/>
    <s v="+"/>
    <n v="12.2"/>
    <s v="-"/>
    <s v="-"/>
    <s v="-"/>
    <s v="-"/>
    <s v="-"/>
    <s v="-"/>
    <s v="-"/>
    <s v="-"/>
    <s v="P"/>
    <s v="P"/>
    <s v="-"/>
    <s v="-"/>
    <n v="1"/>
    <n v="2"/>
    <n v="1"/>
    <s v="-"/>
    <s v="-"/>
    <s v="-"/>
    <s v="-"/>
    <s v="-"/>
    <s v="-"/>
    <s v="-"/>
    <n v="4"/>
    <n v="4"/>
    <s v="-"/>
    <n v="1"/>
    <n v="1"/>
    <n v="2"/>
    <n v="2"/>
    <n v="6"/>
    <n v="6"/>
  </r>
  <r>
    <x v="8"/>
    <x v="202"/>
    <d v="1902-03-26T00:00:00"/>
    <s v="3RD"/>
    <d v="1899-12-30T22:00:00"/>
    <n v="2"/>
    <x v="21"/>
    <s v="-"/>
    <s v="P"/>
    <s v="P"/>
    <s v="P"/>
    <s v="-"/>
    <s v="+"/>
    <n v="10.45"/>
    <s v="-"/>
    <s v="-"/>
    <s v="-"/>
    <s v="-"/>
    <s v="-"/>
    <s v="-"/>
    <s v="-"/>
    <s v="-"/>
    <s v="P"/>
    <s v="P"/>
    <s v="-"/>
    <s v="-"/>
    <n v="1"/>
    <n v="2"/>
    <n v="0"/>
    <s v="-"/>
    <s v="-"/>
    <s v="-"/>
    <s v="-"/>
    <s v="-"/>
    <s v="-"/>
    <s v="-"/>
    <n v="3"/>
    <n v="4"/>
    <s v="-"/>
    <n v="1"/>
    <n v="1"/>
    <n v="2"/>
    <n v="2"/>
    <n v="5"/>
    <n v="6"/>
  </r>
  <r>
    <x v="8"/>
    <x v="202"/>
    <d v="1899-12-30T00:00:00"/>
    <s v="3RD"/>
    <d v="1899-12-30T23:00:00"/>
    <n v="2"/>
    <x v="21"/>
    <s v="-"/>
    <s v="P"/>
    <s v="P"/>
    <s v="P"/>
    <s v="-"/>
    <s v="+"/>
    <n v="10.28"/>
    <s v="-"/>
    <s v="-"/>
    <s v="-"/>
    <s v="-"/>
    <s v="-"/>
    <s v="-"/>
    <s v="-"/>
    <s v="-"/>
    <s v="P"/>
    <s v="P"/>
    <n v="1"/>
    <s v="-"/>
    <n v="1"/>
    <n v="2"/>
    <n v="0"/>
    <s v="-"/>
    <s v="-"/>
    <s v="-"/>
    <s v="-"/>
    <s v="-"/>
    <s v="-"/>
    <s v="-"/>
    <n v="3"/>
    <n v="4"/>
    <s v="-"/>
    <n v="1"/>
    <n v="1"/>
    <n v="2"/>
    <n v="2"/>
    <n v="5"/>
    <n v="6"/>
  </r>
  <r>
    <x v="8"/>
    <x v="202"/>
    <d v="1899-12-30T00:00:00"/>
    <s v="3RD"/>
    <d v="1899-12-31T00:00:00"/>
    <n v="2"/>
    <x v="7"/>
    <s v="-"/>
    <s v="P"/>
    <s v="P"/>
    <s v="P"/>
    <s v="-"/>
    <s v="+"/>
    <n v="10.36"/>
    <s v="-"/>
    <s v="-"/>
    <s v="-"/>
    <s v="-"/>
    <s v="-"/>
    <s v="-"/>
    <s v="-"/>
    <s v="-"/>
    <s v="P"/>
    <s v="P"/>
    <s v="-"/>
    <s v="-"/>
    <n v="1"/>
    <n v="2"/>
    <n v="0"/>
    <s v="-"/>
    <s v="-"/>
    <s v="-"/>
    <s v="-"/>
    <s v="-"/>
    <s v="-"/>
    <s v="-"/>
    <n v="3"/>
    <n v="4"/>
    <s v="-"/>
    <n v="1"/>
    <n v="1"/>
    <n v="2"/>
    <n v="2"/>
    <n v="5"/>
    <n v="6"/>
  </r>
  <r>
    <x v="8"/>
    <x v="202"/>
    <d v="1899-12-30T00:00:00"/>
    <s v="3RD"/>
    <d v="1899-12-31T01:00:00"/>
    <n v="2"/>
    <x v="7"/>
    <s v="-"/>
    <s v="P"/>
    <s v="P"/>
    <s v="P"/>
    <s v="-"/>
    <s v="+"/>
    <n v="10.28"/>
    <s v="-"/>
    <s v="-"/>
    <s v="-"/>
    <s v="-"/>
    <s v="-"/>
    <s v="-"/>
    <s v="-"/>
    <s v="-"/>
    <s v="P"/>
    <s v="P"/>
    <s v="-"/>
    <s v="-"/>
    <n v="1"/>
    <n v="2"/>
    <n v="0"/>
    <s v="-"/>
    <s v="-"/>
    <s v="-"/>
    <s v="-"/>
    <s v="-"/>
    <s v="-"/>
    <s v="-"/>
    <n v="3"/>
    <n v="4"/>
    <s v="-"/>
    <n v="1"/>
    <n v="1"/>
    <n v="2"/>
    <n v="2"/>
    <n v="5"/>
    <n v="6"/>
  </r>
  <r>
    <x v="8"/>
    <x v="202"/>
    <d v="2026-09-08T00:00:00"/>
    <s v="3RD"/>
    <d v="1899-12-31T02:00:00"/>
    <n v="3"/>
    <x v="1"/>
    <n v="0.01"/>
    <s v="P"/>
    <s v="P"/>
    <s v="P"/>
    <s v="+"/>
    <s v="+"/>
    <s v="-"/>
    <n v="12.67"/>
    <s v="-"/>
    <s v="-"/>
    <s v="-"/>
    <s v="-"/>
    <n v="35.4"/>
    <s v="-"/>
    <s v="-"/>
    <s v="P"/>
    <s v="P"/>
    <s v="85% 5% 10%"/>
    <n v="2"/>
    <n v="1"/>
    <n v="2"/>
    <s v="-"/>
    <n v="1"/>
    <s v="-"/>
    <s v="-"/>
    <s v="-"/>
    <s v="-"/>
    <n v="2"/>
    <s v="-"/>
    <n v="8"/>
    <n v="8"/>
    <s v="-"/>
    <n v="1"/>
    <n v="1"/>
    <n v="2"/>
    <n v="2"/>
    <n v="10"/>
    <n v="10"/>
  </r>
  <r>
    <x v="8"/>
    <x v="202"/>
    <d v="2026-09-08T00:00:00"/>
    <s v="3RD"/>
    <d v="1899-12-31T03:00:00"/>
    <n v="3"/>
    <x v="1"/>
    <n v="0.01"/>
    <s v="P"/>
    <s v="P"/>
    <s v="P"/>
    <s v="+"/>
    <s v="+"/>
    <n v="12.15"/>
    <s v="-"/>
    <s v="-"/>
    <s v="-"/>
    <s v="-"/>
    <s v="-"/>
    <s v="-"/>
    <s v="-"/>
    <s v="-"/>
    <s v="P"/>
    <s v="P"/>
    <s v="-"/>
    <n v="2"/>
    <n v="1"/>
    <n v="2"/>
    <n v="1"/>
    <s v="-"/>
    <s v="-"/>
    <s v="-"/>
    <s v="-"/>
    <s v="-"/>
    <s v="-"/>
    <s v="-"/>
    <n v="6"/>
    <n v="6"/>
    <s v="-"/>
    <n v="1"/>
    <n v="1"/>
    <n v="2"/>
    <n v="2"/>
    <n v="8"/>
    <n v="8"/>
  </r>
  <r>
    <x v="8"/>
    <x v="202"/>
    <d v="2026-09-08T00:00:00"/>
    <s v="3RD"/>
    <d v="1899-12-31T05:00:00"/>
    <n v="3"/>
    <x v="1"/>
    <n v="0.01"/>
    <s v="P"/>
    <s v="P"/>
    <s v="P"/>
    <s v="+"/>
    <s v="+"/>
    <n v="12.55"/>
    <s v="-"/>
    <s v="-"/>
    <s v="-"/>
    <s v="-"/>
    <s v="-"/>
    <s v="-"/>
    <s v="-"/>
    <s v="-"/>
    <s v="P"/>
    <s v="P"/>
    <s v="-"/>
    <n v="2"/>
    <n v="1"/>
    <n v="2"/>
    <n v="1"/>
    <s v="-"/>
    <s v="-"/>
    <s v="-"/>
    <s v="-"/>
    <s v="-"/>
    <s v="-"/>
    <s v="-"/>
    <n v="6"/>
    <n v="6"/>
    <s v="-"/>
    <n v="1"/>
    <n v="1"/>
    <n v="2"/>
    <n v="2"/>
    <n v="8"/>
    <n v="8"/>
  </r>
  <r>
    <x v="8"/>
    <x v="203"/>
    <d v="2026-08-25T00:00:00"/>
    <s v="1ST"/>
    <s v="07:00"/>
    <n v="3"/>
    <x v="16"/>
    <n v="0.02"/>
    <s v="P"/>
    <s v="P"/>
    <s v="P"/>
    <s v="+"/>
    <s v="+"/>
    <n v="12.45"/>
    <n v="12.83"/>
    <n v="0.5"/>
    <n v="63.6"/>
    <s v="-"/>
    <s v="-"/>
    <n v="35.9"/>
    <s v="-"/>
    <s v="-"/>
    <s v="P"/>
    <s v="P"/>
    <s v="502/503"/>
    <n v="2"/>
    <n v="1"/>
    <n v="2"/>
    <n v="1"/>
    <n v="1"/>
    <n v="2"/>
    <n v="0"/>
    <s v="-"/>
    <s v="-"/>
    <n v="2"/>
    <s v="-"/>
    <n v="11"/>
    <n v="13"/>
    <s v="-"/>
    <n v="1"/>
    <n v="1"/>
    <n v="2"/>
    <n v="2"/>
    <n v="13"/>
    <n v="15"/>
  </r>
  <r>
    <x v="8"/>
    <x v="203"/>
    <d v="2026-08-25T00:00:00"/>
    <s v="1ST"/>
    <s v="08:00"/>
    <n v="3"/>
    <x v="16"/>
    <n v="0.01"/>
    <s v="P"/>
    <s v="P"/>
    <s v="P"/>
    <s v="+"/>
    <s v="+"/>
    <n v="12.55"/>
    <s v="-"/>
    <s v="-"/>
    <n v="0.5"/>
    <s v="-"/>
    <s v="-"/>
    <s v="-"/>
    <s v="-"/>
    <s v="-"/>
    <s v="P"/>
    <s v="P"/>
    <s v="502/503"/>
    <n v="2"/>
    <n v="1"/>
    <n v="2"/>
    <n v="1"/>
    <s v="-"/>
    <s v="-"/>
    <n v="0"/>
    <s v="-"/>
    <s v="-"/>
    <s v="-"/>
    <s v="-"/>
    <n v="6"/>
    <n v="8"/>
    <s v="-"/>
    <n v="1"/>
    <n v="1"/>
    <n v="2"/>
    <n v="2"/>
    <n v="8"/>
    <n v="10"/>
  </r>
  <r>
    <x v="8"/>
    <x v="203"/>
    <d v="2026-08-25T00:00:00"/>
    <s v="1ST"/>
    <s v="09:00"/>
    <n v="3"/>
    <x v="16"/>
    <n v="0.02"/>
    <s v="P"/>
    <s v="P"/>
    <s v="P"/>
    <s v="+"/>
    <s v="+"/>
    <n v="12.24"/>
    <s v="-"/>
    <s v="-"/>
    <s v="-"/>
    <s v="-"/>
    <s v="-"/>
    <s v="-"/>
    <s v="-"/>
    <s v="-"/>
    <s v="P"/>
    <s v="P"/>
    <s v="502/503"/>
    <n v="2"/>
    <n v="1"/>
    <n v="2"/>
    <n v="1"/>
    <s v="-"/>
    <s v="-"/>
    <s v="-"/>
    <s v="-"/>
    <s v="-"/>
    <s v="-"/>
    <s v="-"/>
    <n v="6"/>
    <n v="6"/>
    <s v="-"/>
    <n v="1"/>
    <n v="1"/>
    <n v="2"/>
    <n v="2"/>
    <n v="8"/>
    <n v="8"/>
  </r>
  <r>
    <x v="8"/>
    <x v="203"/>
    <d v="2026-08-25T00:00:00"/>
    <s v="1ST"/>
    <s v="10:00"/>
    <n v="3"/>
    <x v="16"/>
    <n v="0.02"/>
    <s v="P"/>
    <s v="P"/>
    <s v="P"/>
    <s v="+"/>
    <s v="+"/>
    <n v="12.24"/>
    <s v="-"/>
    <s v="-"/>
    <s v="-"/>
    <s v="-"/>
    <s v="-"/>
    <s v="-"/>
    <s v="-"/>
    <s v="-"/>
    <s v="P"/>
    <s v="P"/>
    <s v="502/503"/>
    <n v="2"/>
    <n v="1"/>
    <n v="2"/>
    <n v="1"/>
    <s v="-"/>
    <s v="-"/>
    <s v="-"/>
    <s v="-"/>
    <s v="-"/>
    <s v="-"/>
    <s v="-"/>
    <n v="6"/>
    <n v="6"/>
    <s v="-"/>
    <n v="1"/>
    <n v="1"/>
    <n v="2"/>
    <n v="2"/>
    <n v="8"/>
    <n v="8"/>
  </r>
  <r>
    <x v="8"/>
    <x v="203"/>
    <d v="2026-08-25T00:00:00"/>
    <s v="1ST"/>
    <s v="12:00"/>
    <n v="3"/>
    <x v="16"/>
    <n v="0.02"/>
    <s v="P"/>
    <s v="P"/>
    <s v="P"/>
    <s v="+"/>
    <s v="+"/>
    <n v="11.74"/>
    <s v="-"/>
    <s v="-"/>
    <s v="-"/>
    <s v="-"/>
    <s v="-"/>
    <s v="-"/>
    <s v="-"/>
    <s v="-"/>
    <s v="P"/>
    <s v="P"/>
    <s v="502/503"/>
    <n v="2"/>
    <n v="1"/>
    <n v="2"/>
    <n v="0"/>
    <s v="-"/>
    <s v="-"/>
    <s v="-"/>
    <s v="-"/>
    <s v="-"/>
    <s v="-"/>
    <s v="-"/>
    <n v="5"/>
    <n v="6"/>
    <s v="-"/>
    <n v="1"/>
    <n v="1"/>
    <n v="2"/>
    <n v="2"/>
    <n v="7"/>
    <n v="8"/>
  </r>
  <r>
    <x v="8"/>
    <x v="203"/>
    <d v="2026-09-10T00:00:00"/>
    <s v="1ST"/>
    <s v="13:00"/>
    <n v="3"/>
    <x v="1"/>
    <n v="0.02"/>
    <s v="P"/>
    <s v="P"/>
    <s v="P"/>
    <s v="+"/>
    <s v="+"/>
    <n v="13.02"/>
    <s v="-"/>
    <s v="-"/>
    <s v="-"/>
    <s v="-"/>
    <s v="-"/>
    <s v="-"/>
    <s v="-"/>
    <s v="-"/>
    <s v="P"/>
    <s v="P"/>
    <s v="501/504/505"/>
    <n v="2"/>
    <n v="1"/>
    <n v="2"/>
    <n v="1"/>
    <s v="-"/>
    <s v="-"/>
    <s v="-"/>
    <s v="-"/>
    <s v="-"/>
    <s v="-"/>
    <s v="-"/>
    <n v="6"/>
    <n v="6"/>
    <s v="-"/>
    <n v="1"/>
    <n v="1"/>
    <n v="2"/>
    <n v="2"/>
    <n v="8"/>
    <n v="8"/>
  </r>
  <r>
    <x v="8"/>
    <x v="203"/>
    <d v="2026-09-10T00:00:00"/>
    <s v="2ND"/>
    <d v="1899-12-30T14:00:00"/>
    <n v="3"/>
    <x v="1"/>
    <n v="0.01"/>
    <s v="P"/>
    <s v="P"/>
    <s v="P"/>
    <s v="+"/>
    <s v="+"/>
    <n v="13.16"/>
    <n v="13"/>
    <n v="0.6"/>
    <n v="63.1"/>
    <s v="-"/>
    <s v="-"/>
    <n v="36.299999999999997"/>
    <s v="-"/>
    <s v="-"/>
    <s v="P"/>
    <s v="P"/>
    <s v="95% 5% "/>
    <n v="2"/>
    <n v="1"/>
    <n v="2"/>
    <n v="1"/>
    <n v="1"/>
    <n v="2"/>
    <n v="0"/>
    <s v="-"/>
    <s v="-"/>
    <n v="2"/>
    <s v="-"/>
    <n v="11"/>
    <n v="13"/>
    <s v="-"/>
    <n v="1"/>
    <n v="1"/>
    <n v="2"/>
    <n v="2"/>
    <n v="13"/>
    <n v="15"/>
  </r>
  <r>
    <x v="8"/>
    <x v="203"/>
    <d v="2026-09-10T00:00:00"/>
    <s v="2ND"/>
    <d v="1899-12-30T15:00:00"/>
    <n v="3"/>
    <x v="1"/>
    <n v="0.01"/>
    <s v="P"/>
    <s v="P"/>
    <s v="P"/>
    <s v="+"/>
    <s v="+"/>
    <n v="13.15"/>
    <s v="-"/>
    <s v="-"/>
    <s v="-"/>
    <s v="-"/>
    <s v="-"/>
    <s v="-"/>
    <s v="-"/>
    <s v="-"/>
    <s v="P"/>
    <s v="P"/>
    <s v="-"/>
    <n v="2"/>
    <n v="1"/>
    <n v="2"/>
    <n v="1"/>
    <s v="-"/>
    <s v="-"/>
    <s v="-"/>
    <s v="-"/>
    <s v="-"/>
    <s v="-"/>
    <s v="-"/>
    <n v="6"/>
    <n v="6"/>
    <s v="-"/>
    <n v="1"/>
    <n v="1"/>
    <n v="2"/>
    <n v="2"/>
    <n v="8"/>
    <n v="8"/>
  </r>
  <r>
    <x v="8"/>
    <x v="203"/>
    <d v="2026-09-10T00:00:00"/>
    <s v="2ND"/>
    <d v="1899-12-30T16:00:00"/>
    <n v="3"/>
    <x v="1"/>
    <n v="0.02"/>
    <s v="P"/>
    <s v="P"/>
    <s v="P"/>
    <s v="+"/>
    <s v="+"/>
    <n v="13.04"/>
    <n v="13.01"/>
    <n v="0.59"/>
    <s v="-"/>
    <s v="-"/>
    <s v="-"/>
    <n v="36.299999999999997"/>
    <s v="-"/>
    <s v="-"/>
    <s v="P"/>
    <s v="P"/>
    <s v="-"/>
    <n v="2"/>
    <n v="1"/>
    <n v="2"/>
    <n v="1"/>
    <n v="1"/>
    <n v="2"/>
    <s v="-"/>
    <s v="-"/>
    <s v="-"/>
    <n v="2"/>
    <s v="-"/>
    <n v="11"/>
    <n v="11"/>
    <s v="-"/>
    <n v="1"/>
    <n v="1"/>
    <n v="2"/>
    <n v="2"/>
    <n v="13"/>
    <n v="13"/>
  </r>
  <r>
    <x v="8"/>
    <x v="203"/>
    <d v="2026-09-10T00:00:00"/>
    <s v="2ND"/>
    <d v="1899-12-30T17:00:00"/>
    <n v="3"/>
    <x v="1"/>
    <n v="0.01"/>
    <s v="P"/>
    <s v="P"/>
    <s v="P"/>
    <s v="+"/>
    <s v="+"/>
    <n v="13.09"/>
    <s v="-"/>
    <s v="-"/>
    <s v="-"/>
    <s v="-"/>
    <s v="-"/>
    <s v="-"/>
    <s v="-"/>
    <s v="-"/>
    <s v="P"/>
    <s v="P"/>
    <s v="-"/>
    <n v="2"/>
    <n v="1"/>
    <n v="2"/>
    <n v="1"/>
    <s v="-"/>
    <s v="-"/>
    <s v="-"/>
    <s v="-"/>
    <s v="-"/>
    <s v="-"/>
    <s v="-"/>
    <n v="6"/>
    <n v="6"/>
    <s v="-"/>
    <n v="1"/>
    <n v="1"/>
    <n v="2"/>
    <n v="2"/>
    <n v="8"/>
    <n v="8"/>
  </r>
  <r>
    <x v="8"/>
    <x v="203"/>
    <d v="2026-09-10T00:00:00"/>
    <s v="2ND"/>
    <d v="1899-12-30T19:00:00"/>
    <n v="3"/>
    <x v="1"/>
    <n v="0.01"/>
    <s v="P"/>
    <s v="P"/>
    <s v="P"/>
    <s v="+"/>
    <s v="+"/>
    <s v="-"/>
    <s v="-"/>
    <s v="-"/>
    <s v="-"/>
    <s v="-"/>
    <s v="-"/>
    <s v="-"/>
    <s v="-"/>
    <s v="-"/>
    <s v="P"/>
    <s v="P"/>
    <s v="-"/>
    <n v="2"/>
    <n v="1"/>
    <n v="2"/>
    <s v="-"/>
    <s v="-"/>
    <s v="-"/>
    <s v="-"/>
    <s v="-"/>
    <s v="-"/>
    <s v="-"/>
    <s v="-"/>
    <n v="5"/>
    <n v="5"/>
    <s v="-"/>
    <n v="1"/>
    <n v="1"/>
    <n v="2"/>
    <n v="2"/>
    <n v="7"/>
    <n v="7"/>
  </r>
  <r>
    <x v="8"/>
    <x v="203"/>
    <d v="2026-09-10T00:00:00"/>
    <s v="2ND"/>
    <d v="1899-12-30T20:00:00"/>
    <n v="3"/>
    <x v="1"/>
    <n v="0.01"/>
    <s v="P"/>
    <s v="P"/>
    <s v="P"/>
    <s v="+"/>
    <s v="+"/>
    <n v="12.26"/>
    <s v="-"/>
    <s v="-"/>
    <s v="-"/>
    <s v="-"/>
    <s v="-"/>
    <s v="-"/>
    <s v="-"/>
    <s v="-"/>
    <s v="P"/>
    <s v="P"/>
    <s v="-"/>
    <n v="2"/>
    <n v="1"/>
    <n v="2"/>
    <n v="1"/>
    <s v="-"/>
    <s v="-"/>
    <s v="-"/>
    <s v="-"/>
    <s v="-"/>
    <s v="-"/>
    <s v="-"/>
    <n v="6"/>
    <n v="6"/>
    <s v="-"/>
    <n v="1"/>
    <n v="1"/>
    <n v="2"/>
    <n v="2"/>
    <n v="8"/>
    <n v="8"/>
  </r>
  <r>
    <x v="8"/>
    <x v="203"/>
    <d v="2026-09-10T00:00:00"/>
    <s v="2ND"/>
    <d v="1899-12-30T21:00:00"/>
    <n v="3"/>
    <x v="1"/>
    <n v="0.01"/>
    <s v="P"/>
    <s v="P"/>
    <s v="P"/>
    <s v="+"/>
    <s v="+"/>
    <n v="11.94"/>
    <s v="-"/>
    <s v="-"/>
    <s v="-"/>
    <s v="-"/>
    <s v="-"/>
    <s v="-"/>
    <s v="-"/>
    <s v="-"/>
    <s v="P"/>
    <s v="P"/>
    <s v="-"/>
    <n v="2"/>
    <n v="1"/>
    <n v="2"/>
    <n v="0"/>
    <s v="-"/>
    <s v="-"/>
    <s v="-"/>
    <s v="-"/>
    <s v="-"/>
    <s v="-"/>
    <s v="-"/>
    <n v="5"/>
    <n v="6"/>
    <s v="-"/>
    <n v="1"/>
    <n v="1"/>
    <n v="2"/>
    <n v="2"/>
    <n v="7"/>
    <n v="8"/>
  </r>
  <r>
    <x v="8"/>
    <x v="203"/>
    <d v="2026-09-10T00:00:00"/>
    <s v="3RD"/>
    <d v="1899-12-30T22:00:00"/>
    <n v="3"/>
    <x v="1"/>
    <n v="0.01"/>
    <s v="P"/>
    <s v="P"/>
    <s v="P"/>
    <s v="+"/>
    <s v="+"/>
    <n v="12.26"/>
    <n v="13.05"/>
    <s v="-"/>
    <s v="-"/>
    <s v="-"/>
    <s v="-"/>
    <n v="36.6"/>
    <s v="-"/>
    <s v="-"/>
    <s v="P"/>
    <s v="P"/>
    <s v="-"/>
    <n v="2"/>
    <n v="1"/>
    <n v="2"/>
    <n v="1"/>
    <n v="1"/>
    <s v="-"/>
    <s v="-"/>
    <s v="-"/>
    <s v="-"/>
    <n v="2"/>
    <s v="-"/>
    <n v="9"/>
    <n v="9"/>
    <s v="-"/>
    <n v="1"/>
    <n v="1"/>
    <n v="2"/>
    <n v="2"/>
    <n v="11"/>
    <n v="11"/>
  </r>
  <r>
    <x v="8"/>
    <x v="203"/>
    <d v="2026-09-10T00:00:00"/>
    <s v="3RD"/>
    <d v="1899-12-30T23:00:00"/>
    <n v="3"/>
    <x v="1"/>
    <s v="-"/>
    <s v="P"/>
    <s v="P"/>
    <s v="P"/>
    <s v="+"/>
    <s v="+"/>
    <n v="12.13"/>
    <s v="-"/>
    <s v="-"/>
    <s v="-"/>
    <s v="-"/>
    <s v="-"/>
    <s v="-"/>
    <s v="-"/>
    <s v="-"/>
    <s v="P"/>
    <s v="P"/>
    <s v="-"/>
    <s v="-"/>
    <n v="1"/>
    <n v="2"/>
    <n v="1"/>
    <s v="-"/>
    <s v="-"/>
    <s v="-"/>
    <s v="-"/>
    <s v="-"/>
    <s v="-"/>
    <s v="-"/>
    <n v="4"/>
    <n v="4"/>
    <s v="-"/>
    <n v="1"/>
    <n v="1"/>
    <n v="2"/>
    <n v="2"/>
    <n v="6"/>
    <n v="6"/>
  </r>
  <r>
    <x v="8"/>
    <x v="203"/>
    <d v="2026-09-10T00:00:00"/>
    <s v="3RD"/>
    <d v="1899-12-31T00:00:00"/>
    <n v="3"/>
    <x v="1"/>
    <n v="0.01"/>
    <s v="P"/>
    <s v="P"/>
    <s v="P"/>
    <s v="+"/>
    <s v="+"/>
    <n v="11.91"/>
    <s v="-"/>
    <s v="-"/>
    <s v="-"/>
    <s v="-"/>
    <s v="-"/>
    <s v="-"/>
    <s v="-"/>
    <s v="-"/>
    <s v="P"/>
    <s v="P"/>
    <s v="-"/>
    <n v="2"/>
    <n v="1"/>
    <n v="2"/>
    <n v="0"/>
    <s v="-"/>
    <s v="-"/>
    <s v="-"/>
    <s v="-"/>
    <s v="-"/>
    <s v="-"/>
    <s v="-"/>
    <n v="5"/>
    <n v="6"/>
    <s v="-"/>
    <n v="1"/>
    <n v="1"/>
    <n v="2"/>
    <n v="2"/>
    <n v="7"/>
    <n v="8"/>
  </r>
  <r>
    <x v="8"/>
    <x v="203"/>
    <d v="2026-09-10T00:00:00"/>
    <s v="3RD"/>
    <d v="1899-12-31T01:00:00"/>
    <n v="3"/>
    <x v="1"/>
    <s v="-"/>
    <s v="P"/>
    <s v="P"/>
    <s v="P"/>
    <s v="+"/>
    <s v="+"/>
    <n v="12.16"/>
    <n v="13.05"/>
    <n v="0.54"/>
    <n v="64"/>
    <s v="-"/>
    <s v="-"/>
    <n v="36.6"/>
    <s v="-"/>
    <s v="-"/>
    <s v="P"/>
    <s v="P"/>
    <n v="1"/>
    <s v="-"/>
    <n v="1"/>
    <n v="2"/>
    <n v="1"/>
    <n v="1"/>
    <n v="2"/>
    <n v="2"/>
    <s v="-"/>
    <s v="-"/>
    <n v="2"/>
    <s v="-"/>
    <n v="11"/>
    <n v="11"/>
    <s v="-"/>
    <n v="1"/>
    <n v="1"/>
    <n v="2"/>
    <n v="2"/>
    <n v="13"/>
    <n v="13"/>
  </r>
  <r>
    <x v="8"/>
    <x v="203"/>
    <d v="2026-09-10T00:00:00"/>
    <s v="3RD"/>
    <d v="1899-12-31T02:00:00"/>
    <n v="3"/>
    <x v="1"/>
    <n v="0.01"/>
    <s v="P"/>
    <s v="P"/>
    <s v="P"/>
    <s v="+"/>
    <s v="+"/>
    <n v="12.16"/>
    <s v="-"/>
    <s v="-"/>
    <s v="-"/>
    <s v="-"/>
    <s v="-"/>
    <s v="-"/>
    <s v="-"/>
    <s v="-"/>
    <s v="P"/>
    <s v="P"/>
    <s v="-"/>
    <n v="2"/>
    <n v="1"/>
    <n v="2"/>
    <n v="1"/>
    <s v="-"/>
    <s v="-"/>
    <s v="-"/>
    <s v="-"/>
    <s v="-"/>
    <s v="-"/>
    <s v="-"/>
    <n v="6"/>
    <n v="6"/>
    <s v="-"/>
    <n v="1"/>
    <n v="1"/>
    <n v="2"/>
    <n v="2"/>
    <n v="8"/>
    <n v="8"/>
  </r>
  <r>
    <x v="8"/>
    <x v="204"/>
    <d v="2026-09-26T00:00:00"/>
    <s v="1ST"/>
    <s v="06:00"/>
    <n v="1"/>
    <x v="22"/>
    <s v="-"/>
    <s v="P"/>
    <s v="P"/>
    <s v="P"/>
    <s v="-"/>
    <s v="-"/>
    <n v="11"/>
    <n v="8.65"/>
    <n v="0.56999999999999995"/>
    <n v="53.6"/>
    <s v="-"/>
    <s v="-"/>
    <n v="23.3"/>
    <s v="-"/>
    <s v="-"/>
    <s v="P"/>
    <s v="P"/>
    <n v="1"/>
    <s v="-"/>
    <n v="1"/>
    <n v="2"/>
    <n v="1"/>
    <n v="1"/>
    <n v="2"/>
    <n v="0"/>
    <s v="-"/>
    <s v="-"/>
    <n v="2"/>
    <s v="-"/>
    <n v="9"/>
    <n v="11"/>
    <s v="-"/>
    <n v="1"/>
    <n v="1"/>
    <n v="2"/>
    <n v="2"/>
    <n v="11"/>
    <n v="13"/>
  </r>
  <r>
    <x v="8"/>
    <x v="204"/>
    <d v="2026-09-26T00:00:00"/>
    <s v="1ST"/>
    <s v="07:00"/>
    <n v="1"/>
    <x v="22"/>
    <s v="-"/>
    <s v="P"/>
    <s v="P"/>
    <s v="P"/>
    <s v="-"/>
    <s v="-"/>
    <n v="10.81"/>
    <s v="-"/>
    <s v="-"/>
    <s v="-"/>
    <s v="-"/>
    <s v="-"/>
    <s v="-"/>
    <s v="-"/>
    <s v="-"/>
    <s v="P"/>
    <s v="P"/>
    <s v="-"/>
    <s v="-"/>
    <n v="1"/>
    <n v="2"/>
    <n v="0"/>
    <s v="-"/>
    <s v="-"/>
    <s v="-"/>
    <s v="-"/>
    <s v="-"/>
    <s v="-"/>
    <s v="-"/>
    <n v="3"/>
    <n v="4"/>
    <s v="-"/>
    <n v="1"/>
    <n v="1"/>
    <n v="2"/>
    <n v="2"/>
    <n v="5"/>
    <n v="6"/>
  </r>
  <r>
    <x v="8"/>
    <x v="204"/>
    <d v="2026-09-26T00:00:00"/>
    <s v="1ST"/>
    <s v="08:00"/>
    <n v="1"/>
    <x v="22"/>
    <s v="-"/>
    <s v="P"/>
    <s v="P"/>
    <s v="P"/>
    <s v="-"/>
    <s v="-"/>
    <n v="10.48"/>
    <s v="-"/>
    <s v="-"/>
    <s v="-"/>
    <s v="-"/>
    <s v="-"/>
    <s v="-"/>
    <s v="-"/>
    <s v="-"/>
    <s v="P"/>
    <s v="P"/>
    <s v="-"/>
    <s v="-"/>
    <n v="1"/>
    <n v="2"/>
    <n v="0"/>
    <s v="-"/>
    <s v="-"/>
    <s v="-"/>
    <s v="-"/>
    <s v="-"/>
    <s v="-"/>
    <s v="-"/>
    <n v="3"/>
    <n v="4"/>
    <s v="-"/>
    <n v="1"/>
    <n v="1"/>
    <n v="2"/>
    <n v="2"/>
    <n v="5"/>
    <n v="6"/>
  </r>
  <r>
    <x v="8"/>
    <x v="204"/>
    <d v="2026-09-26T00:00:00"/>
    <s v="1ST"/>
    <s v="09:00"/>
    <n v="1"/>
    <x v="22"/>
    <s v="-"/>
    <s v="P"/>
    <s v="P"/>
    <s v="P"/>
    <s v="-"/>
    <s v="-"/>
    <n v="10.81"/>
    <s v="-"/>
    <s v="-"/>
    <s v="-"/>
    <s v="-"/>
    <s v="-"/>
    <s v="-"/>
    <s v="-"/>
    <s v="-"/>
    <s v="P"/>
    <s v="P"/>
    <s v="-"/>
    <s v="-"/>
    <n v="1"/>
    <n v="2"/>
    <n v="0"/>
    <s v="-"/>
    <s v="-"/>
    <s v="-"/>
    <s v="-"/>
    <s v="-"/>
    <s v="-"/>
    <s v="-"/>
    <n v="3"/>
    <n v="4"/>
    <s v="-"/>
    <n v="1"/>
    <n v="1"/>
    <n v="2"/>
    <n v="2"/>
    <n v="5"/>
    <n v="6"/>
  </r>
  <r>
    <x v="8"/>
    <x v="204"/>
    <d v="2026-09-26T00:00:00"/>
    <s v="1ST"/>
    <s v="11:00"/>
    <n v="1"/>
    <x v="22"/>
    <s v="-"/>
    <s v="P"/>
    <s v="P"/>
    <s v="P"/>
    <s v="-"/>
    <s v="-"/>
    <n v="10.88"/>
    <s v="-"/>
    <s v="-"/>
    <s v="-"/>
    <s v="-"/>
    <s v="-"/>
    <s v="-"/>
    <s v="-"/>
    <s v="-"/>
    <s v="P"/>
    <s v="P"/>
    <s v="-"/>
    <s v="-"/>
    <n v="1"/>
    <n v="2"/>
    <n v="0"/>
    <s v="-"/>
    <s v="-"/>
    <s v="-"/>
    <s v="-"/>
    <s v="-"/>
    <s v="-"/>
    <s v="-"/>
    <n v="3"/>
    <n v="4"/>
    <s v="-"/>
    <n v="1"/>
    <n v="1"/>
    <n v="2"/>
    <n v="2"/>
    <n v="5"/>
    <n v="6"/>
  </r>
  <r>
    <x v="8"/>
    <x v="204"/>
    <d v="2026-09-26T00:00:00"/>
    <s v="1ST"/>
    <s v="12:00"/>
    <n v="1"/>
    <x v="22"/>
    <s v="-"/>
    <s v="P"/>
    <s v="P"/>
    <s v="P"/>
    <s v="-"/>
    <s v="-"/>
    <n v="10.95"/>
    <s v="-"/>
    <s v="-"/>
    <s v="-"/>
    <s v="-"/>
    <s v="-"/>
    <s v="-"/>
    <s v="-"/>
    <s v="-"/>
    <s v="P"/>
    <s v="P"/>
    <s v="-"/>
    <s v="-"/>
    <n v="1"/>
    <n v="2"/>
    <n v="0"/>
    <s v="-"/>
    <s v="-"/>
    <s v="-"/>
    <s v="-"/>
    <s v="-"/>
    <s v="-"/>
    <s v="-"/>
    <n v="3"/>
    <n v="4"/>
    <s v="-"/>
    <n v="1"/>
    <n v="1"/>
    <n v="2"/>
    <n v="2"/>
    <n v="5"/>
    <n v="6"/>
  </r>
  <r>
    <x v="8"/>
    <x v="204"/>
    <d v="2026-09-26T00:00:00"/>
    <s v="1ST"/>
    <s v="13:00"/>
    <n v="1"/>
    <x v="22"/>
    <s v="-"/>
    <s v="P"/>
    <s v="P"/>
    <s v="P"/>
    <s v="-"/>
    <s v="-"/>
    <n v="10.64"/>
    <s v="-"/>
    <s v="-"/>
    <s v="-"/>
    <s v="-"/>
    <s v="-"/>
    <s v="-"/>
    <s v="-"/>
    <s v="-"/>
    <s v="P"/>
    <s v="P"/>
    <s v="-"/>
    <s v="-"/>
    <n v="1"/>
    <n v="2"/>
    <n v="0"/>
    <s v="-"/>
    <s v="-"/>
    <s v="-"/>
    <s v="-"/>
    <s v="-"/>
    <s v="-"/>
    <s v="-"/>
    <n v="3"/>
    <n v="4"/>
    <s v="-"/>
    <n v="1"/>
    <n v="1"/>
    <n v="2"/>
    <n v="2"/>
    <n v="5"/>
    <n v="6"/>
  </r>
  <r>
    <x v="8"/>
    <x v="204"/>
    <d v="1902-03-26T00:00:00"/>
    <s v="1ST"/>
    <s v="06:00"/>
    <n v="2"/>
    <x v="7"/>
    <s v="-"/>
    <s v="P"/>
    <s v="P"/>
    <s v="P"/>
    <s v="-"/>
    <s v="+"/>
    <n v="10.63"/>
    <s v="-"/>
    <s v="-"/>
    <s v="-"/>
    <s v="-"/>
    <s v="-"/>
    <s v="-"/>
    <s v="-"/>
    <s v="-"/>
    <s v="P"/>
    <s v="P"/>
    <s v="-"/>
    <s v="-"/>
    <n v="1"/>
    <n v="2"/>
    <n v="0"/>
    <s v="-"/>
    <s v="-"/>
    <s v="-"/>
    <s v="-"/>
    <s v="-"/>
    <s v="-"/>
    <s v="-"/>
    <n v="3"/>
    <n v="4"/>
    <s v="-"/>
    <n v="1"/>
    <n v="1"/>
    <n v="2"/>
    <n v="2"/>
    <n v="5"/>
    <n v="6"/>
  </r>
  <r>
    <x v="8"/>
    <x v="204"/>
    <d v="1899-12-30T00:00:00"/>
    <s v="1ST"/>
    <s v="07:00"/>
    <n v="2"/>
    <x v="7"/>
    <s v="-"/>
    <s v="P"/>
    <s v="P"/>
    <s v="P"/>
    <s v="-"/>
    <s v="+"/>
    <n v="10.55"/>
    <s v="-"/>
    <s v="-"/>
    <s v="-"/>
    <s v="-"/>
    <s v="-"/>
    <s v="-"/>
    <s v="-"/>
    <s v="-"/>
    <s v="P"/>
    <s v="P"/>
    <s v="90% 10%"/>
    <s v="-"/>
    <n v="1"/>
    <n v="2"/>
    <n v="0"/>
    <s v="-"/>
    <s v="-"/>
    <s v="-"/>
    <s v="-"/>
    <s v="-"/>
    <s v="-"/>
    <s v="-"/>
    <n v="3"/>
    <n v="4"/>
    <s v="-"/>
    <n v="1"/>
    <n v="1"/>
    <n v="2"/>
    <n v="2"/>
    <n v="5"/>
    <n v="6"/>
  </r>
  <r>
    <x v="8"/>
    <x v="204"/>
    <d v="1899-12-30T00:00:00"/>
    <s v="1ST"/>
    <s v="08:00"/>
    <n v="2"/>
    <x v="7"/>
    <s v="-"/>
    <s v="P"/>
    <s v="P"/>
    <s v="P"/>
    <s v="-"/>
    <s v="+"/>
    <n v="10.38"/>
    <n v="9.01"/>
    <n v="0.59"/>
    <n v="55"/>
    <s v="-"/>
    <s v="-"/>
    <n v="24.5"/>
    <s v="-"/>
    <s v="-"/>
    <s v="P"/>
    <s v="P"/>
    <s v="-"/>
    <s v="-"/>
    <n v="1"/>
    <n v="2"/>
    <n v="0"/>
    <n v="1"/>
    <n v="2"/>
    <n v="0"/>
    <s v="-"/>
    <s v="-"/>
    <n v="2"/>
    <s v="-"/>
    <n v="8"/>
    <n v="11"/>
    <s v="-"/>
    <n v="1"/>
    <n v="1"/>
    <n v="2"/>
    <n v="2"/>
    <n v="10"/>
    <n v="13"/>
  </r>
  <r>
    <x v="8"/>
    <x v="204"/>
    <d v="1899-12-30T00:00:00"/>
    <s v="1ST"/>
    <s v="09:00"/>
    <n v="2"/>
    <x v="7"/>
    <s v="-"/>
    <s v="P"/>
    <s v="P"/>
    <s v="P"/>
    <s v="-"/>
    <s v="+"/>
    <n v="10.18"/>
    <s v="-"/>
    <s v="-"/>
    <s v="-"/>
    <s v="-"/>
    <s v="-"/>
    <s v="-"/>
    <s v="-"/>
    <s v="-"/>
    <s v="P"/>
    <s v="P"/>
    <s v="-"/>
    <s v="-"/>
    <n v="1"/>
    <n v="2"/>
    <n v="0"/>
    <s v="-"/>
    <s v="-"/>
    <s v="-"/>
    <s v="-"/>
    <s v="-"/>
    <s v="-"/>
    <s v="-"/>
    <n v="3"/>
    <n v="4"/>
    <s v="-"/>
    <n v="1"/>
    <n v="1"/>
    <n v="2"/>
    <n v="2"/>
    <n v="5"/>
    <n v="6"/>
  </r>
  <r>
    <x v="8"/>
    <x v="204"/>
    <d v="1899-12-30T00:00:00"/>
    <s v="1ST"/>
    <s v="11:00"/>
    <n v="2"/>
    <x v="7"/>
    <s v="-"/>
    <s v="P"/>
    <s v="P"/>
    <s v="P"/>
    <s v="-"/>
    <s v="+"/>
    <n v="10.26"/>
    <s v="-"/>
    <s v="-"/>
    <s v="-"/>
    <s v="-"/>
    <s v="-"/>
    <s v="-"/>
    <s v="-"/>
    <s v="-"/>
    <s v="P"/>
    <s v="P"/>
    <s v="-"/>
    <s v="-"/>
    <n v="1"/>
    <n v="2"/>
    <n v="0"/>
    <s v="-"/>
    <s v="-"/>
    <s v="-"/>
    <s v="-"/>
    <s v="-"/>
    <s v="-"/>
    <s v="-"/>
    <n v="3"/>
    <n v="4"/>
    <s v="-"/>
    <n v="1"/>
    <n v="1"/>
    <n v="2"/>
    <n v="2"/>
    <n v="5"/>
    <n v="6"/>
  </r>
  <r>
    <x v="8"/>
    <x v="204"/>
    <d v="2026-09-28T00:00:00"/>
    <s v="1ST"/>
    <s v="07:00"/>
    <n v="3"/>
    <x v="1"/>
    <n v="0.01"/>
    <s v="P"/>
    <s v="P"/>
    <s v="P"/>
    <s v="+"/>
    <s v="+"/>
    <n v="11.45"/>
    <n v="12.9"/>
    <n v="0.55000000000000004"/>
    <n v="63.9"/>
    <s v="-"/>
    <s v="-"/>
    <n v="36.299999999999997"/>
    <s v="-"/>
    <s v="-"/>
    <s v="P"/>
    <s v="P"/>
    <s v="25% 70% 5%"/>
    <n v="2"/>
    <n v="1"/>
    <n v="2"/>
    <n v="0"/>
    <n v="1"/>
    <n v="2"/>
    <n v="0"/>
    <s v="-"/>
    <s v="-"/>
    <n v="2"/>
    <s v="-"/>
    <n v="10"/>
    <n v="13"/>
    <s v="-"/>
    <n v="1"/>
    <n v="1"/>
    <n v="2"/>
    <n v="2"/>
    <n v="12"/>
    <n v="15"/>
  </r>
  <r>
    <x v="8"/>
    <x v="204"/>
    <d v="2026-09-28T00:00:00"/>
    <s v="1ST"/>
    <s v="08:00"/>
    <n v="3"/>
    <x v="1"/>
    <n v="0.01"/>
    <s v="P"/>
    <s v="P"/>
    <s v="P"/>
    <s v="+"/>
    <s v="+"/>
    <n v="11.54"/>
    <s v="-"/>
    <s v="-"/>
    <n v="0.55000000000000004"/>
    <s v="-"/>
    <s v="-"/>
    <s v="-"/>
    <s v="-"/>
    <s v="-"/>
    <s v="P"/>
    <s v="P"/>
    <s v="-"/>
    <n v="2"/>
    <n v="1"/>
    <n v="2"/>
    <n v="0"/>
    <s v="-"/>
    <s v="-"/>
    <n v="0"/>
    <s v="-"/>
    <s v="-"/>
    <s v="-"/>
    <s v="-"/>
    <n v="5"/>
    <n v="8"/>
    <s v="-"/>
    <n v="1"/>
    <n v="1"/>
    <n v="2"/>
    <n v="2"/>
    <n v="7"/>
    <n v="10"/>
  </r>
  <r>
    <x v="8"/>
    <x v="204"/>
    <d v="2026-09-28T00:00:00"/>
    <s v="1ST"/>
    <s v="09:00"/>
    <n v="3"/>
    <x v="1"/>
    <n v="0.01"/>
    <s v="P"/>
    <s v="P"/>
    <s v="P"/>
    <s v="+"/>
    <s v="+"/>
    <n v="11.64"/>
    <s v="-"/>
    <s v="-"/>
    <s v="-"/>
    <s v="-"/>
    <s v="-"/>
    <s v="-"/>
    <s v="-"/>
    <s v="-"/>
    <s v="P"/>
    <s v="P"/>
    <s v="-"/>
    <n v="2"/>
    <n v="1"/>
    <n v="2"/>
    <n v="0"/>
    <s v="-"/>
    <s v="-"/>
    <s v="-"/>
    <s v="-"/>
    <s v="-"/>
    <s v="-"/>
    <s v="-"/>
    <n v="5"/>
    <n v="6"/>
    <s v="-"/>
    <n v="1"/>
    <n v="1"/>
    <n v="2"/>
    <n v="2"/>
    <n v="7"/>
    <n v="8"/>
  </r>
  <r>
    <x v="8"/>
    <x v="204"/>
    <d v="2026-09-28T00:00:00"/>
    <s v="1ST"/>
    <s v="12:00"/>
    <n v="3"/>
    <x v="1"/>
    <n v="0.01"/>
    <s v="P"/>
    <s v="P"/>
    <s v="P"/>
    <s v="+"/>
    <s v="+"/>
    <n v="11.67"/>
    <s v="-"/>
    <s v="-"/>
    <s v="-"/>
    <s v="-"/>
    <s v="-"/>
    <s v="-"/>
    <s v="-"/>
    <s v="-"/>
    <s v="P"/>
    <s v="P"/>
    <s v="-"/>
    <n v="2"/>
    <n v="1"/>
    <n v="2"/>
    <n v="0"/>
    <s v="-"/>
    <s v="-"/>
    <s v="-"/>
    <s v="-"/>
    <s v="-"/>
    <s v="-"/>
    <s v="-"/>
    <n v="5"/>
    <n v="6"/>
    <s v="-"/>
    <n v="1"/>
    <n v="1"/>
    <n v="2"/>
    <n v="2"/>
    <n v="7"/>
    <n v="8"/>
  </r>
  <r>
    <x v="8"/>
    <x v="204"/>
    <d v="2026-09-28T00:00:00"/>
    <s v="1ST"/>
    <s v="13:00"/>
    <n v="3"/>
    <x v="1"/>
    <s v="-"/>
    <s v="P"/>
    <s v="P"/>
    <s v="P"/>
    <s v="+"/>
    <s v="+"/>
    <n v="11.58"/>
    <s v="-"/>
    <s v="-"/>
    <s v="-"/>
    <s v="-"/>
    <s v="-"/>
    <s v="-"/>
    <s v="-"/>
    <s v="-"/>
    <s v="P"/>
    <s v="P"/>
    <s v="-"/>
    <s v="-"/>
    <n v="1"/>
    <n v="2"/>
    <n v="0"/>
    <s v="-"/>
    <s v="-"/>
    <s v="-"/>
    <s v="-"/>
    <s v="-"/>
    <s v="-"/>
    <s v="-"/>
    <n v="3"/>
    <n v="4"/>
    <s v="-"/>
    <n v="1"/>
    <n v="1"/>
    <n v="2"/>
    <n v="2"/>
    <n v="5"/>
    <n v="6"/>
  </r>
  <r>
    <x v="8"/>
    <x v="204"/>
    <d v="2026-09-27T00:00:00"/>
    <s v="1ST"/>
    <s v="06:00"/>
    <s v="Retail"/>
    <x v="25"/>
    <s v="-"/>
    <s v="P"/>
    <s v="P"/>
    <s v="P"/>
    <s v="+"/>
    <s v="+"/>
    <n v="11.76"/>
    <n v="14.76"/>
    <n v="1.1399999999999999"/>
    <n v="67.7"/>
    <s v="-"/>
    <s v="-"/>
    <n v="42"/>
    <s v="-"/>
    <s v="-"/>
    <s v="-"/>
    <s v="-"/>
    <s v="-"/>
    <s v="-"/>
    <n v="1"/>
    <n v="2"/>
    <n v="0"/>
    <n v="1"/>
    <n v="2"/>
    <n v="2"/>
    <s v="-"/>
    <s v="-"/>
    <n v="2"/>
    <s v="-"/>
    <n v="10"/>
    <n v="11"/>
    <s v="-"/>
    <s v="-"/>
    <s v="-"/>
    <n v="0"/>
    <n v="0"/>
    <n v="10"/>
    <n v="11"/>
  </r>
  <r>
    <x v="8"/>
    <x v="204"/>
    <d v="2026-09-26T00:00:00"/>
    <s v="2ND"/>
    <d v="1899-12-30T15:00:00"/>
    <n v="1"/>
    <x v="22"/>
    <s v="-"/>
    <s v="P"/>
    <s v="P"/>
    <s v="P"/>
    <s v="-"/>
    <s v="-"/>
    <n v="10.89"/>
    <n v="9"/>
    <n v="0.56999999999999995"/>
    <s v="-"/>
    <s v="-"/>
    <s v="-"/>
    <n v="24.4"/>
    <s v="-"/>
    <n v="25.16"/>
    <s v="P"/>
    <s v="P"/>
    <s v="-"/>
    <s v="-"/>
    <n v="1"/>
    <n v="2"/>
    <n v="0"/>
    <n v="1"/>
    <n v="2"/>
    <s v="-"/>
    <s v="-"/>
    <s v="-"/>
    <n v="2"/>
    <s v="-"/>
    <n v="8"/>
    <n v="9"/>
    <n v="1"/>
    <n v="1"/>
    <n v="1"/>
    <n v="3"/>
    <n v="3"/>
    <n v="11"/>
    <n v="12"/>
  </r>
  <r>
    <x v="8"/>
    <x v="204"/>
    <d v="2026-09-26T00:00:00"/>
    <s v="2ND"/>
    <d v="1899-12-30T16:00:00"/>
    <n v="1"/>
    <x v="22"/>
    <s v="-"/>
    <s v="P"/>
    <s v="P"/>
    <s v="P"/>
    <s v="-"/>
    <s v="-"/>
    <n v="10.88"/>
    <s v="-"/>
    <s v="-"/>
    <s v="-"/>
    <s v="-"/>
    <s v="-"/>
    <s v="-"/>
    <s v="-"/>
    <s v="-"/>
    <s v="P"/>
    <s v="P"/>
    <s v="-"/>
    <s v="-"/>
    <n v="1"/>
    <n v="2"/>
    <n v="0"/>
    <s v="-"/>
    <s v="-"/>
    <s v="-"/>
    <s v="-"/>
    <s v="-"/>
    <s v="-"/>
    <s v="-"/>
    <n v="3"/>
    <n v="4"/>
    <s v="-"/>
    <n v="1"/>
    <n v="1"/>
    <n v="2"/>
    <n v="2"/>
    <n v="5"/>
    <n v="6"/>
  </r>
  <r>
    <x v="8"/>
    <x v="204"/>
    <d v="2026-09-26T00:00:00"/>
    <s v="2ND"/>
    <d v="1899-12-30T19:00:00"/>
    <n v="1"/>
    <x v="22"/>
    <s v="-"/>
    <s v="P"/>
    <s v="P"/>
    <s v="P"/>
    <s v="-"/>
    <s v="-"/>
    <n v="10.96"/>
    <s v="-"/>
    <s v="-"/>
    <s v="-"/>
    <s v="-"/>
    <s v="-"/>
    <s v="-"/>
    <s v="-"/>
    <s v="-"/>
    <s v="P"/>
    <s v="P"/>
    <s v="-"/>
    <s v="-"/>
    <n v="1"/>
    <n v="2"/>
    <n v="0"/>
    <s v="-"/>
    <s v="-"/>
    <s v="-"/>
    <s v="-"/>
    <s v="-"/>
    <s v="-"/>
    <s v="-"/>
    <n v="3"/>
    <n v="4"/>
    <s v="-"/>
    <n v="1"/>
    <n v="1"/>
    <n v="2"/>
    <n v="2"/>
    <n v="5"/>
    <n v="6"/>
  </r>
  <r>
    <x v="8"/>
    <x v="204"/>
    <d v="2026-09-26T00:00:00"/>
    <s v="2ND"/>
    <d v="1899-12-30T20:00:00"/>
    <n v="1"/>
    <x v="22"/>
    <s v="-"/>
    <s v="P"/>
    <s v="P"/>
    <s v="P"/>
    <s v="-"/>
    <s v="-"/>
    <n v="10.99"/>
    <s v="-"/>
    <s v="-"/>
    <s v="-"/>
    <s v="-"/>
    <s v="-"/>
    <s v="-"/>
    <s v="-"/>
    <s v="-"/>
    <s v="P"/>
    <s v="P"/>
    <s v="-"/>
    <s v="-"/>
    <n v="1"/>
    <n v="2"/>
    <n v="0"/>
    <s v="-"/>
    <s v="-"/>
    <s v="-"/>
    <s v="-"/>
    <s v="-"/>
    <s v="-"/>
    <s v="-"/>
    <n v="3"/>
    <n v="4"/>
    <s v="-"/>
    <n v="1"/>
    <n v="1"/>
    <n v="2"/>
    <n v="2"/>
    <n v="5"/>
    <n v="6"/>
  </r>
  <r>
    <x v="8"/>
    <x v="204"/>
    <d v="2026-09-26T00:00:00"/>
    <s v="2ND"/>
    <d v="1899-12-30T21:00:00"/>
    <n v="1"/>
    <x v="22"/>
    <s v="-"/>
    <s v="P"/>
    <s v="P"/>
    <s v="P"/>
    <s v="-"/>
    <s v="-"/>
    <n v="10.9"/>
    <s v="-"/>
    <s v="-"/>
    <s v="-"/>
    <s v="-"/>
    <s v="-"/>
    <s v="-"/>
    <s v="-"/>
    <s v="-"/>
    <s v="P"/>
    <s v="P"/>
    <s v="-"/>
    <s v="-"/>
    <n v="1"/>
    <n v="2"/>
    <n v="0"/>
    <s v="-"/>
    <s v="-"/>
    <s v="-"/>
    <s v="-"/>
    <s v="-"/>
    <s v="-"/>
    <s v="-"/>
    <n v="3"/>
    <n v="4"/>
    <s v="-"/>
    <n v="1"/>
    <n v="1"/>
    <n v="2"/>
    <n v="2"/>
    <n v="5"/>
    <n v="6"/>
  </r>
  <r>
    <x v="8"/>
    <x v="204"/>
    <d v="1902-03-26T00:00:00"/>
    <s v="2ND"/>
    <d v="1899-12-30T14:00:00"/>
    <n v="2"/>
    <x v="7"/>
    <s v="-"/>
    <s v="P"/>
    <s v="P"/>
    <s v="P"/>
    <s v="-"/>
    <s v="+"/>
    <n v="10.27"/>
    <s v="-"/>
    <s v="-"/>
    <s v="-"/>
    <s v="-"/>
    <s v="-"/>
    <s v="-"/>
    <s v="-"/>
    <n v="25.19"/>
    <s v="P"/>
    <s v="P"/>
    <s v="-"/>
    <s v="-"/>
    <n v="1"/>
    <n v="2"/>
    <n v="0"/>
    <s v="-"/>
    <s v="-"/>
    <s v="-"/>
    <s v="-"/>
    <s v="-"/>
    <s v="-"/>
    <s v="-"/>
    <n v="3"/>
    <n v="4"/>
    <n v="1"/>
    <n v="1"/>
    <n v="1"/>
    <n v="3"/>
    <n v="3"/>
    <n v="6"/>
    <n v="7"/>
  </r>
  <r>
    <x v="8"/>
    <x v="204"/>
    <d v="1899-12-30T00:00:00"/>
    <s v="2ND"/>
    <d v="1899-12-30T15:00:00"/>
    <n v="2"/>
    <x v="7"/>
    <s v="-"/>
    <s v="P"/>
    <s v="P"/>
    <s v="P"/>
    <s v="-"/>
    <s v="+"/>
    <n v="10.050000000000001"/>
    <s v="-"/>
    <s v="-"/>
    <s v="-"/>
    <s v="-"/>
    <s v="-"/>
    <s v="-"/>
    <s v="-"/>
    <s v="-"/>
    <s v="P"/>
    <s v="P"/>
    <s v="-"/>
    <s v="-"/>
    <n v="1"/>
    <n v="2"/>
    <n v="0"/>
    <s v="-"/>
    <s v="-"/>
    <s v="-"/>
    <s v="-"/>
    <s v="-"/>
    <s v="-"/>
    <s v="-"/>
    <n v="3"/>
    <n v="4"/>
    <s v="-"/>
    <n v="1"/>
    <n v="1"/>
    <n v="2"/>
    <n v="2"/>
    <n v="5"/>
    <n v="6"/>
  </r>
  <r>
    <x v="8"/>
    <x v="204"/>
    <d v="1899-12-30T00:00:00"/>
    <s v="2ND"/>
    <d v="1899-12-30T16:00:00"/>
    <n v="2"/>
    <x v="7"/>
    <s v="-"/>
    <s v="P"/>
    <s v="P"/>
    <s v="P"/>
    <s v="-"/>
    <s v="+"/>
    <n v="10.11"/>
    <s v="-"/>
    <s v="-"/>
    <s v="-"/>
    <s v="-"/>
    <s v="-"/>
    <s v="-"/>
    <s v="-"/>
    <s v="-"/>
    <s v="P"/>
    <s v="P"/>
    <s v="-"/>
    <s v="-"/>
    <n v="1"/>
    <n v="2"/>
    <n v="0"/>
    <s v="-"/>
    <s v="-"/>
    <s v="-"/>
    <s v="-"/>
    <s v="-"/>
    <s v="-"/>
    <s v="-"/>
    <n v="3"/>
    <n v="4"/>
    <s v="-"/>
    <n v="1"/>
    <n v="1"/>
    <n v="2"/>
    <n v="2"/>
    <n v="5"/>
    <n v="6"/>
  </r>
  <r>
    <x v="8"/>
    <x v="204"/>
    <d v="1899-12-30T00:00:00"/>
    <s v="2ND"/>
    <d v="1899-12-30T19:00:00"/>
    <n v="2"/>
    <x v="7"/>
    <s v="-"/>
    <s v="P"/>
    <s v="P"/>
    <s v="P"/>
    <s v="-"/>
    <s v="+"/>
    <n v="10.17"/>
    <s v="-"/>
    <s v="-"/>
    <s v="-"/>
    <s v="-"/>
    <s v="-"/>
    <s v="-"/>
    <s v="-"/>
    <s v="-"/>
    <s v="P"/>
    <s v="P"/>
    <s v="-"/>
    <s v="-"/>
    <n v="1"/>
    <n v="2"/>
    <n v="0"/>
    <s v="-"/>
    <s v="-"/>
    <s v="-"/>
    <s v="-"/>
    <s v="-"/>
    <s v="-"/>
    <s v="-"/>
    <n v="3"/>
    <n v="4"/>
    <s v="-"/>
    <n v="1"/>
    <n v="1"/>
    <n v="2"/>
    <n v="2"/>
    <n v="5"/>
    <n v="6"/>
  </r>
  <r>
    <x v="8"/>
    <x v="204"/>
    <d v="1899-12-30T00:00:00"/>
    <s v="2ND"/>
    <d v="1899-12-30T20:00:00"/>
    <n v="2"/>
    <x v="7"/>
    <s v="-"/>
    <s v="P"/>
    <s v="P"/>
    <s v="P"/>
    <s v="-"/>
    <s v="+"/>
    <n v="10.18"/>
    <s v="-"/>
    <s v="-"/>
    <s v="-"/>
    <s v="-"/>
    <s v="-"/>
    <s v="-"/>
    <s v="-"/>
    <s v="-"/>
    <s v="P"/>
    <s v="P"/>
    <s v="-"/>
    <s v="-"/>
    <n v="1"/>
    <n v="2"/>
    <n v="0"/>
    <s v="-"/>
    <s v="-"/>
    <s v="-"/>
    <s v="-"/>
    <s v="-"/>
    <s v="-"/>
    <s v="-"/>
    <n v="3"/>
    <n v="4"/>
    <s v="-"/>
    <n v="1"/>
    <n v="1"/>
    <n v="2"/>
    <n v="2"/>
    <n v="5"/>
    <n v="6"/>
  </r>
  <r>
    <x v="8"/>
    <x v="204"/>
    <d v="1899-12-30T00:00:00"/>
    <s v="2ND"/>
    <d v="1899-12-30T21:00:00"/>
    <n v="2"/>
    <x v="7"/>
    <s v="-"/>
    <s v="P"/>
    <s v="P"/>
    <s v="P"/>
    <s v="-"/>
    <s v="+"/>
    <n v="10.210000000000001"/>
    <s v="-"/>
    <s v="-"/>
    <s v="-"/>
    <s v="-"/>
    <s v="-"/>
    <s v="-"/>
    <s v="-"/>
    <s v="-"/>
    <s v="P"/>
    <s v="P"/>
    <s v="-"/>
    <s v="-"/>
    <n v="1"/>
    <n v="2"/>
    <n v="0"/>
    <s v="-"/>
    <s v="-"/>
    <s v="-"/>
    <s v="-"/>
    <s v="-"/>
    <s v="-"/>
    <s v="-"/>
    <n v="3"/>
    <n v="4"/>
    <s v="-"/>
    <n v="1"/>
    <n v="1"/>
    <n v="2"/>
    <n v="2"/>
    <n v="5"/>
    <n v="6"/>
  </r>
  <r>
    <x v="8"/>
    <x v="204"/>
    <d v="2026-09-28T00:00:00"/>
    <s v="2ND"/>
    <d v="1899-12-30T14:00:00"/>
    <n v="3"/>
    <x v="1"/>
    <n v="0.01"/>
    <s v="P"/>
    <s v="P"/>
    <s v="P"/>
    <s v="+"/>
    <s v="+"/>
    <n v="11.77"/>
    <s v="-"/>
    <s v="-"/>
    <s v="-"/>
    <s v="-"/>
    <s v="-"/>
    <s v="-"/>
    <s v="-"/>
    <s v="-"/>
    <s v="-"/>
    <s v="-"/>
    <s v="-"/>
    <n v="2"/>
    <n v="1"/>
    <n v="2"/>
    <n v="0"/>
    <s v="-"/>
    <s v="-"/>
    <s v="-"/>
    <s v="-"/>
    <s v="-"/>
    <s v="-"/>
    <s v="-"/>
    <n v="5"/>
    <n v="6"/>
    <s v="-"/>
    <s v="-"/>
    <s v="-"/>
    <n v="0"/>
    <n v="0"/>
    <n v="5"/>
    <n v="6"/>
  </r>
  <r>
    <x v="8"/>
    <x v="204"/>
    <d v="2026-09-28T00:00:00"/>
    <s v="2ND"/>
    <d v="1899-12-30T15:00:00"/>
    <n v="3"/>
    <x v="1"/>
    <s v="-"/>
    <s v="P"/>
    <s v="P"/>
    <s v="P"/>
    <s v="+"/>
    <s v="+"/>
    <n v="11.18"/>
    <s v="-"/>
    <s v="-"/>
    <s v="-"/>
    <s v="-"/>
    <s v="-"/>
    <s v="-"/>
    <s v="-"/>
    <s v="-"/>
    <s v="-"/>
    <s v="-"/>
    <s v="-"/>
    <s v="-"/>
    <n v="1"/>
    <n v="2"/>
    <n v="0"/>
    <s v="-"/>
    <s v="-"/>
    <s v="-"/>
    <s v="-"/>
    <s v="-"/>
    <s v="-"/>
    <s v="-"/>
    <n v="3"/>
    <n v="4"/>
    <s v="-"/>
    <s v="-"/>
    <s v="-"/>
    <n v="0"/>
    <n v="0"/>
    <n v="3"/>
    <n v="4"/>
  </r>
  <r>
    <x v="8"/>
    <x v="204"/>
    <d v="2026-09-28T00:00:00"/>
    <s v="2ND"/>
    <d v="1899-12-30T16:00:00"/>
    <n v="3"/>
    <x v="1"/>
    <n v="0.01"/>
    <s v="P"/>
    <s v="P"/>
    <s v="P"/>
    <s v="+"/>
    <s v="+"/>
    <n v="11.76"/>
    <s v="-"/>
    <s v="-"/>
    <s v="-"/>
    <s v="-"/>
    <s v="-"/>
    <s v="-"/>
    <s v="-"/>
    <s v="-"/>
    <s v="-"/>
    <s v="-"/>
    <s v="-"/>
    <n v="2"/>
    <n v="1"/>
    <n v="2"/>
    <n v="0"/>
    <s v="-"/>
    <s v="-"/>
    <s v="-"/>
    <s v="-"/>
    <s v="-"/>
    <s v="-"/>
    <s v="-"/>
    <n v="5"/>
    <n v="6"/>
    <s v="-"/>
    <s v="-"/>
    <s v="-"/>
    <n v="0"/>
    <n v="0"/>
    <n v="5"/>
    <n v="6"/>
  </r>
  <r>
    <x v="8"/>
    <x v="204"/>
    <d v="2026-09-28T00:00:00"/>
    <s v="2ND"/>
    <d v="1899-12-30T19:00:00"/>
    <s v="Retail"/>
    <x v="19"/>
    <s v="-"/>
    <s v="-"/>
    <s v="P"/>
    <s v="P"/>
    <s v="-"/>
    <s v="+"/>
    <n v="12.78"/>
    <n v="15.61"/>
    <s v="-"/>
    <n v="72.5"/>
    <s v="-"/>
    <s v="-"/>
    <n v="44.3"/>
    <s v="-"/>
    <s v="-"/>
    <s v="-"/>
    <s v="-"/>
    <s v="-"/>
    <s v="-"/>
    <s v="-"/>
    <n v="2"/>
    <n v="1"/>
    <n v="1"/>
    <s v="-"/>
    <n v="2"/>
    <s v="-"/>
    <s v="-"/>
    <n v="2"/>
    <s v="-"/>
    <n v="8"/>
    <n v="8"/>
    <s v="-"/>
    <s v="-"/>
    <s v="-"/>
    <n v="0"/>
    <n v="0"/>
    <n v="8"/>
    <n v="8"/>
  </r>
  <r>
    <x v="8"/>
    <x v="204"/>
    <d v="2026-09-26T00:00:00"/>
    <s v="3RD"/>
    <d v="1899-12-30T22:00:00"/>
    <n v="1"/>
    <x v="22"/>
    <s v="-"/>
    <s v="P"/>
    <s v="P"/>
    <s v="P"/>
    <s v="-"/>
    <s v="-"/>
    <n v="10.49"/>
    <n v="8.9"/>
    <n v="0.56999999999999995"/>
    <s v="-"/>
    <s v="-"/>
    <s v="-"/>
    <n v="24.1"/>
    <s v="-"/>
    <n v="25.16"/>
    <s v="P"/>
    <s v="P"/>
    <s v="-"/>
    <s v="-"/>
    <n v="1"/>
    <n v="2"/>
    <n v="0"/>
    <n v="1"/>
    <n v="2"/>
    <s v="-"/>
    <s v="-"/>
    <s v="-"/>
    <n v="2"/>
    <s v="-"/>
    <n v="8"/>
    <n v="9"/>
    <n v="1"/>
    <n v="1"/>
    <n v="1"/>
    <n v="3"/>
    <n v="3"/>
    <n v="11"/>
    <n v="12"/>
  </r>
  <r>
    <x v="8"/>
    <x v="204"/>
    <d v="2026-09-26T00:00:00"/>
    <s v="3RD"/>
    <d v="1899-12-30T23:00:00"/>
    <n v="1"/>
    <x v="22"/>
    <s v="-"/>
    <s v="P"/>
    <s v="P"/>
    <s v="P"/>
    <s v="-"/>
    <s v="-"/>
    <n v="10.61"/>
    <s v="-"/>
    <s v="-"/>
    <s v="-"/>
    <s v="-"/>
    <s v="-"/>
    <s v="-"/>
    <s v="-"/>
    <s v="-"/>
    <s v="P"/>
    <s v="P"/>
    <s v="-"/>
    <s v="-"/>
    <n v="1"/>
    <n v="2"/>
    <n v="0"/>
    <s v="-"/>
    <s v="-"/>
    <s v="-"/>
    <s v="-"/>
    <s v="-"/>
    <s v="-"/>
    <s v="-"/>
    <n v="3"/>
    <n v="4"/>
    <s v="-"/>
    <n v="1"/>
    <n v="1"/>
    <n v="2"/>
    <n v="2"/>
    <n v="5"/>
    <n v="6"/>
  </r>
  <r>
    <x v="8"/>
    <x v="204"/>
    <d v="2026-09-26T00:00:00"/>
    <s v="3RD"/>
    <d v="1899-12-31T00:00:00"/>
    <n v="1"/>
    <x v="22"/>
    <s v="-"/>
    <s v="P"/>
    <s v="P"/>
    <s v="P"/>
    <s v="-"/>
    <s v="-"/>
    <n v="10.82"/>
    <s v="-"/>
    <s v="-"/>
    <s v="-"/>
    <s v="-"/>
    <s v="-"/>
    <s v="-"/>
    <s v="-"/>
    <s v="-"/>
    <s v="P"/>
    <s v="P"/>
    <s v="-"/>
    <s v="-"/>
    <n v="1"/>
    <n v="2"/>
    <n v="0"/>
    <s v="-"/>
    <s v="-"/>
    <s v="-"/>
    <s v="-"/>
    <s v="-"/>
    <s v="-"/>
    <s v="-"/>
    <n v="3"/>
    <n v="4"/>
    <s v="-"/>
    <n v="1"/>
    <n v="1"/>
    <n v="2"/>
    <n v="2"/>
    <n v="5"/>
    <n v="6"/>
  </r>
  <r>
    <x v="8"/>
    <x v="204"/>
    <d v="2026-09-26T00:00:00"/>
    <s v="3RD"/>
    <d v="1899-12-31T02:00:00"/>
    <n v="1"/>
    <x v="22"/>
    <s v="-"/>
    <s v="-"/>
    <s v="P"/>
    <s v="P"/>
    <s v="-"/>
    <s v="-"/>
    <n v="10.42"/>
    <s v="-"/>
    <s v="-"/>
    <s v="-"/>
    <s v="-"/>
    <s v="-"/>
    <s v="-"/>
    <s v="-"/>
    <s v="-"/>
    <s v="P"/>
    <s v="P"/>
    <s v="-"/>
    <s v="-"/>
    <s v="-"/>
    <n v="2"/>
    <n v="0"/>
    <s v="-"/>
    <s v="-"/>
    <s v="-"/>
    <s v="-"/>
    <s v="-"/>
    <s v="-"/>
    <s v="-"/>
    <n v="2"/>
    <n v="3"/>
    <s v="-"/>
    <n v="1"/>
    <n v="1"/>
    <n v="2"/>
    <n v="2"/>
    <n v="4"/>
    <n v="5"/>
  </r>
  <r>
    <x v="8"/>
    <x v="204"/>
    <d v="2026-09-26T00:00:00"/>
    <s v="3RD"/>
    <d v="1899-12-31T03:00:00"/>
    <n v="1"/>
    <x v="22"/>
    <s v="-"/>
    <s v="P"/>
    <s v="P"/>
    <s v="P"/>
    <s v="-"/>
    <s v="-"/>
    <n v="10.76"/>
    <s v="-"/>
    <s v="-"/>
    <s v="-"/>
    <s v="-"/>
    <s v="-"/>
    <s v="-"/>
    <s v="-"/>
    <s v="-"/>
    <s v="P"/>
    <s v="P"/>
    <s v="-"/>
    <s v="-"/>
    <n v="1"/>
    <n v="2"/>
    <n v="0"/>
    <s v="-"/>
    <s v="-"/>
    <s v="-"/>
    <s v="-"/>
    <s v="-"/>
    <s v="-"/>
    <s v="-"/>
    <n v="3"/>
    <n v="4"/>
    <s v="-"/>
    <n v="1"/>
    <n v="1"/>
    <n v="2"/>
    <n v="2"/>
    <n v="5"/>
    <n v="6"/>
  </r>
  <r>
    <x v="8"/>
    <x v="204"/>
    <d v="2026-09-26T00:00:00"/>
    <s v="3RD"/>
    <d v="1899-12-31T04:00:00"/>
    <n v="1"/>
    <x v="22"/>
    <s v="-"/>
    <s v="P"/>
    <s v="P"/>
    <s v="P"/>
    <s v="-"/>
    <s v="-"/>
    <n v="10.5"/>
    <s v="-"/>
    <s v="-"/>
    <s v="-"/>
    <s v="-"/>
    <s v="-"/>
    <s v="-"/>
    <s v="-"/>
    <s v="-"/>
    <s v="P"/>
    <s v="P"/>
    <s v="-"/>
    <s v="-"/>
    <n v="1"/>
    <n v="2"/>
    <n v="0"/>
    <s v="-"/>
    <s v="-"/>
    <s v="-"/>
    <s v="-"/>
    <s v="-"/>
    <s v="-"/>
    <s v="-"/>
    <n v="3"/>
    <n v="4"/>
    <s v="-"/>
    <n v="1"/>
    <n v="1"/>
    <n v="2"/>
    <n v="2"/>
    <n v="5"/>
    <n v="6"/>
  </r>
  <r>
    <x v="8"/>
    <x v="204"/>
    <d v="1899-12-30T00:00:00"/>
    <s v="3RD"/>
    <d v="1899-12-30T22:00:00"/>
    <n v="2"/>
    <x v="7"/>
    <s v="-"/>
    <s v="P"/>
    <s v="P"/>
    <s v="P"/>
    <s v="-"/>
    <s v="+"/>
    <n v="10.41"/>
    <s v="-"/>
    <s v="-"/>
    <s v="-"/>
    <s v="-"/>
    <s v="-"/>
    <s v="-"/>
    <s v="-"/>
    <n v="25.2"/>
    <s v="P"/>
    <s v="P"/>
    <s v="-"/>
    <s v="-"/>
    <n v="1"/>
    <n v="2"/>
    <n v="0"/>
    <s v="-"/>
    <s v="-"/>
    <s v="-"/>
    <s v="-"/>
    <s v="-"/>
    <s v="-"/>
    <s v="-"/>
    <n v="3"/>
    <n v="4"/>
    <n v="1"/>
    <n v="1"/>
    <n v="1"/>
    <n v="3"/>
    <n v="3"/>
    <n v="6"/>
    <n v="7"/>
  </r>
  <r>
    <x v="8"/>
    <x v="204"/>
    <d v="1899-12-30T00:00:00"/>
    <s v="3RD"/>
    <d v="1899-12-30T23:00:00"/>
    <n v="2"/>
    <x v="7"/>
    <s v="-"/>
    <s v="P"/>
    <s v="P"/>
    <s v="P"/>
    <s v="-"/>
    <s v="+"/>
    <n v="10.45"/>
    <s v="-"/>
    <s v="-"/>
    <s v="-"/>
    <s v="-"/>
    <s v="-"/>
    <s v="-"/>
    <s v="-"/>
    <s v="-"/>
    <s v="P"/>
    <s v="P"/>
    <s v="-"/>
    <s v="-"/>
    <n v="1"/>
    <n v="2"/>
    <n v="0"/>
    <s v="-"/>
    <s v="-"/>
    <s v="-"/>
    <s v="-"/>
    <s v="-"/>
    <s v="-"/>
    <s v="-"/>
    <n v="3"/>
    <n v="4"/>
    <s v="-"/>
    <n v="1"/>
    <n v="1"/>
    <n v="2"/>
    <n v="2"/>
    <n v="5"/>
    <n v="6"/>
  </r>
  <r>
    <x v="8"/>
    <x v="204"/>
    <d v="1899-12-30T00:00:00"/>
    <s v="3RD"/>
    <d v="1899-12-31T00:00:00"/>
    <n v="2"/>
    <x v="7"/>
    <s v="-"/>
    <s v="P"/>
    <s v="P"/>
    <s v="P"/>
    <s v="-"/>
    <s v="+"/>
    <n v="10.54"/>
    <s v="-"/>
    <s v="-"/>
    <s v="-"/>
    <s v="-"/>
    <s v="-"/>
    <s v="-"/>
    <s v="-"/>
    <s v="-"/>
    <s v="P"/>
    <s v="P"/>
    <s v="-"/>
    <s v="-"/>
    <n v="1"/>
    <n v="2"/>
    <n v="0"/>
    <s v="-"/>
    <s v="-"/>
    <s v="-"/>
    <s v="-"/>
    <s v="-"/>
    <s v="-"/>
    <s v="-"/>
    <n v="3"/>
    <n v="4"/>
    <s v="-"/>
    <n v="1"/>
    <n v="1"/>
    <n v="2"/>
    <n v="2"/>
    <n v="5"/>
    <n v="6"/>
  </r>
  <r>
    <x v="8"/>
    <x v="204"/>
    <d v="1899-12-30T00:00:00"/>
    <s v="3RD"/>
    <d v="1899-12-31T02:00:00"/>
    <n v="2"/>
    <x v="7"/>
    <s v="-"/>
    <s v="P"/>
    <s v="P"/>
    <s v="P"/>
    <s v="-"/>
    <s v="+"/>
    <n v="10.5"/>
    <s v="-"/>
    <s v="-"/>
    <s v="-"/>
    <s v="-"/>
    <s v="-"/>
    <s v="-"/>
    <s v="-"/>
    <s v="-"/>
    <s v="P"/>
    <s v="P"/>
    <s v="-"/>
    <s v="-"/>
    <n v="1"/>
    <n v="2"/>
    <n v="0"/>
    <s v="-"/>
    <s v="-"/>
    <s v="-"/>
    <s v="-"/>
    <s v="-"/>
    <s v="-"/>
    <s v="-"/>
    <n v="3"/>
    <n v="4"/>
    <s v="-"/>
    <n v="1"/>
    <n v="1"/>
    <n v="2"/>
    <n v="2"/>
    <n v="5"/>
    <n v="6"/>
  </r>
  <r>
    <x v="8"/>
    <x v="204"/>
    <d v="1899-12-30T00:00:00"/>
    <s v="3RD"/>
    <d v="1899-12-31T03:00:00"/>
    <n v="2"/>
    <x v="7"/>
    <s v="-"/>
    <s v="P"/>
    <s v="P"/>
    <s v="P"/>
    <s v="-"/>
    <s v="+"/>
    <n v="10.59"/>
    <s v="-"/>
    <s v="-"/>
    <s v="-"/>
    <s v="-"/>
    <s v="-"/>
    <s v="-"/>
    <s v="-"/>
    <s v="-"/>
    <s v="P"/>
    <s v="P"/>
    <s v="-"/>
    <s v="-"/>
    <n v="1"/>
    <n v="2"/>
    <n v="0"/>
    <s v="-"/>
    <s v="-"/>
    <s v="-"/>
    <s v="-"/>
    <s v="-"/>
    <s v="-"/>
    <s v="-"/>
    <n v="3"/>
    <n v="4"/>
    <s v="-"/>
    <n v="1"/>
    <n v="1"/>
    <n v="2"/>
    <n v="2"/>
    <n v="5"/>
    <n v="6"/>
  </r>
  <r>
    <x v="8"/>
    <x v="204"/>
    <d v="1899-12-30T00:00:00"/>
    <s v="3RD"/>
    <d v="1899-12-31T04:00:00"/>
    <n v="2"/>
    <x v="7"/>
    <s v="-"/>
    <s v="P"/>
    <s v="P"/>
    <s v="P"/>
    <s v="-"/>
    <s v="+"/>
    <n v="10.42"/>
    <s v="-"/>
    <s v="-"/>
    <s v="-"/>
    <s v="-"/>
    <s v="-"/>
    <s v="-"/>
    <s v="-"/>
    <s v="-"/>
    <s v="P"/>
    <s v="P"/>
    <s v="-"/>
    <s v="-"/>
    <n v="1"/>
    <n v="2"/>
    <n v="0"/>
    <s v="-"/>
    <s v="-"/>
    <s v="-"/>
    <s v="-"/>
    <s v="-"/>
    <s v="-"/>
    <s v="-"/>
    <n v="3"/>
    <n v="4"/>
    <s v="-"/>
    <n v="1"/>
    <n v="1"/>
    <n v="2"/>
    <n v="2"/>
    <n v="5"/>
    <n v="6"/>
  </r>
  <r>
    <x v="8"/>
    <x v="204"/>
    <d v="2026-09-28T00:00:00"/>
    <s v="3RD"/>
    <d v="1899-12-30T22:00:00"/>
    <n v="3"/>
    <x v="1"/>
    <n v="0.02"/>
    <s v="P"/>
    <s v="P"/>
    <s v="P"/>
    <s v="+"/>
    <s v="+"/>
    <n v="11.87"/>
    <n v="12.79"/>
    <n v="0.55000000000000004"/>
    <s v="-"/>
    <s v="-"/>
    <s v="-"/>
    <n v="35.9"/>
    <s v="-"/>
    <n v="25.21"/>
    <s v="P"/>
    <s v="P"/>
    <s v="-"/>
    <n v="2"/>
    <n v="1"/>
    <n v="2"/>
    <n v="0"/>
    <n v="1"/>
    <n v="2"/>
    <s v="-"/>
    <s v="-"/>
    <s v="-"/>
    <n v="2"/>
    <s v="-"/>
    <n v="10"/>
    <n v="11"/>
    <n v="1"/>
    <n v="1"/>
    <n v="1"/>
    <n v="3"/>
    <n v="3"/>
    <n v="13"/>
    <n v="14"/>
  </r>
  <r>
    <x v="8"/>
    <x v="204"/>
    <d v="2026-09-28T00:00:00"/>
    <s v="3RD"/>
    <d v="1899-12-30T23:00:00"/>
    <n v="3"/>
    <x v="1"/>
    <n v="0.01"/>
    <s v="P"/>
    <s v="P"/>
    <s v="P"/>
    <s v="+"/>
    <s v="+"/>
    <n v="11.81"/>
    <s v="-"/>
    <s v="-"/>
    <s v="-"/>
    <s v="-"/>
    <s v="-"/>
    <s v="-"/>
    <s v="-"/>
    <s v="-"/>
    <s v="P"/>
    <s v="P"/>
    <s v="-"/>
    <n v="2"/>
    <n v="1"/>
    <n v="2"/>
    <n v="0"/>
    <s v="-"/>
    <s v="-"/>
    <s v="-"/>
    <s v="-"/>
    <s v="-"/>
    <s v="-"/>
    <s v="-"/>
    <n v="5"/>
    <n v="6"/>
    <s v="-"/>
    <n v="1"/>
    <n v="1"/>
    <n v="2"/>
    <n v="2"/>
    <n v="7"/>
    <n v="8"/>
  </r>
  <r>
    <x v="8"/>
    <x v="204"/>
    <d v="2026-09-29T00:00:00"/>
    <s v="3RD"/>
    <d v="1899-12-31T01:00:00"/>
    <n v="3"/>
    <x v="1"/>
    <n v="0.01"/>
    <s v="P"/>
    <s v="P"/>
    <s v="P"/>
    <s v="+"/>
    <s v="+"/>
    <n v="12.23"/>
    <n v="12.72"/>
    <n v="0.55000000000000004"/>
    <n v="64.599999999999994"/>
    <s v="-"/>
    <s v="-"/>
    <n v="64.599999999999994"/>
    <s v="-"/>
    <n v="25.21"/>
    <s v="P"/>
    <s v="P"/>
    <s v="-"/>
    <n v="2"/>
    <n v="1"/>
    <n v="2"/>
    <n v="1"/>
    <n v="1"/>
    <n v="2"/>
    <n v="2"/>
    <s v="-"/>
    <s v="-"/>
    <n v="2"/>
    <s v="-"/>
    <n v="13"/>
    <n v="13"/>
    <n v="1"/>
    <n v="1"/>
    <n v="1"/>
    <n v="3"/>
    <n v="3"/>
    <n v="16"/>
    <n v="16"/>
  </r>
  <r>
    <x v="8"/>
    <x v="204"/>
    <d v="2026-09-28T00:00:00"/>
    <s v="3RD"/>
    <d v="1899-12-31T02:00:00"/>
    <n v="3"/>
    <x v="1"/>
    <n v="0.02"/>
    <s v="P"/>
    <s v="P"/>
    <s v="P"/>
    <s v="+"/>
    <s v="+"/>
    <n v="12.23"/>
    <s v="-"/>
    <s v="-"/>
    <s v="-"/>
    <s v="-"/>
    <s v="-"/>
    <s v="-"/>
    <s v="-"/>
    <s v="-"/>
    <s v="P"/>
    <s v="P"/>
    <s v="-"/>
    <n v="2"/>
    <n v="1"/>
    <n v="2"/>
    <n v="1"/>
    <s v="-"/>
    <s v="-"/>
    <s v="-"/>
    <s v="-"/>
    <s v="-"/>
    <s v="-"/>
    <s v="-"/>
    <n v="6"/>
    <n v="6"/>
    <s v="-"/>
    <n v="1"/>
    <n v="1"/>
    <n v="2"/>
    <n v="2"/>
    <n v="8"/>
    <n v="8"/>
  </r>
  <r>
    <x v="8"/>
    <x v="204"/>
    <d v="2026-09-28T00:00:00"/>
    <s v="3RD"/>
    <d v="1899-12-31T03:00:00"/>
    <n v="3"/>
    <x v="1"/>
    <n v="0.02"/>
    <s v="P"/>
    <s v="P"/>
    <s v="P"/>
    <s v="+"/>
    <s v="+"/>
    <n v="12.11"/>
    <s v="-"/>
    <s v="-"/>
    <s v="-"/>
    <s v="-"/>
    <s v="-"/>
    <s v="-"/>
    <s v="-"/>
    <s v="-"/>
    <s v="P"/>
    <s v="P"/>
    <s v="-"/>
    <n v="2"/>
    <n v="1"/>
    <n v="2"/>
    <n v="1"/>
    <s v="-"/>
    <s v="-"/>
    <s v="-"/>
    <s v="-"/>
    <s v="-"/>
    <s v="-"/>
    <s v="-"/>
    <n v="6"/>
    <n v="6"/>
    <s v="-"/>
    <n v="1"/>
    <n v="1"/>
    <n v="2"/>
    <n v="2"/>
    <n v="8"/>
    <n v="8"/>
  </r>
  <r>
    <x v="8"/>
    <x v="204"/>
    <d v="2026-09-28T00:00:00"/>
    <s v="3RD"/>
    <d v="1899-12-31T04:00:00"/>
    <n v="3"/>
    <x v="1"/>
    <n v="0.01"/>
    <s v="P"/>
    <s v="P"/>
    <s v="P"/>
    <s v="+"/>
    <s v="+"/>
    <n v="11.83"/>
    <s v="-"/>
    <s v="-"/>
    <s v="-"/>
    <s v="-"/>
    <s v="-"/>
    <s v="-"/>
    <s v="-"/>
    <s v="-"/>
    <s v="P"/>
    <s v="P"/>
    <s v="-"/>
    <n v="2"/>
    <n v="1"/>
    <n v="2"/>
    <n v="0"/>
    <s v="-"/>
    <s v="-"/>
    <s v="-"/>
    <s v="-"/>
    <s v="-"/>
    <s v="-"/>
    <s v="-"/>
    <n v="5"/>
    <n v="6"/>
    <s v="-"/>
    <n v="1"/>
    <n v="1"/>
    <n v="2"/>
    <n v="2"/>
    <n v="7"/>
    <n v="8"/>
  </r>
  <r>
    <x v="8"/>
    <x v="204"/>
    <d v="2026-09-28T00:00:00"/>
    <s v="3RD"/>
    <d v="1899-12-31T05:00:00"/>
    <n v="3"/>
    <x v="1"/>
    <s v="-"/>
    <s v="P"/>
    <s v="P"/>
    <s v="P"/>
    <s v="+"/>
    <s v="+"/>
    <n v="12.28"/>
    <s v="-"/>
    <s v="-"/>
    <s v="-"/>
    <s v="-"/>
    <s v="-"/>
    <s v="-"/>
    <s v="-"/>
    <s v="-"/>
    <s v="P"/>
    <s v="P"/>
    <s v="-"/>
    <s v="-"/>
    <n v="1"/>
    <n v="2"/>
    <n v="1"/>
    <s v="-"/>
    <s v="-"/>
    <s v="-"/>
    <s v="-"/>
    <s v="-"/>
    <s v="-"/>
    <s v="-"/>
    <n v="4"/>
    <n v="4"/>
    <s v="-"/>
    <n v="1"/>
    <n v="1"/>
    <n v="2"/>
    <n v="2"/>
    <n v="6"/>
    <n v="6"/>
  </r>
  <r>
    <x v="8"/>
    <x v="205"/>
    <d v="2026-09-26T00:00:00"/>
    <s v="1ST"/>
    <s v="07:00"/>
    <n v="1"/>
    <x v="22"/>
    <s v="-"/>
    <s v="P"/>
    <s v="P"/>
    <s v="P"/>
    <s v="-"/>
    <s v="-"/>
    <n v="10.09"/>
    <n v="8.8699999999999992"/>
    <n v="0.52"/>
    <n v="54.3"/>
    <s v="-"/>
    <s v="-"/>
    <n v="24.1"/>
    <s v="-"/>
    <s v="-"/>
    <s v="P"/>
    <s v="P"/>
    <n v="1"/>
    <s v="-"/>
    <n v="1"/>
    <n v="2"/>
    <n v="0"/>
    <n v="1"/>
    <n v="2"/>
    <n v="2"/>
    <s v="-"/>
    <s v="-"/>
    <n v="2"/>
    <s v="-"/>
    <n v="10"/>
    <n v="11"/>
    <s v="-"/>
    <n v="1"/>
    <n v="1"/>
    <n v="2"/>
    <n v="2"/>
    <n v="12"/>
    <n v="13"/>
  </r>
  <r>
    <x v="8"/>
    <x v="205"/>
    <d v="2026-09-26T00:00:00"/>
    <s v="1ST"/>
    <s v="08:00"/>
    <n v="1"/>
    <x v="22"/>
    <s v="-"/>
    <s v="P"/>
    <s v="P"/>
    <s v="P"/>
    <s v="-"/>
    <s v="-"/>
    <n v="10.25"/>
    <s v="-"/>
    <s v="-"/>
    <s v="-"/>
    <s v="-"/>
    <s v="-"/>
    <s v="-"/>
    <s v="-"/>
    <s v="-"/>
    <s v="P"/>
    <s v="P"/>
    <s v="-"/>
    <s v="-"/>
    <n v="1"/>
    <n v="2"/>
    <n v="0"/>
    <s v="-"/>
    <s v="-"/>
    <s v="-"/>
    <s v="-"/>
    <s v="-"/>
    <s v="-"/>
    <s v="-"/>
    <n v="3"/>
    <n v="4"/>
    <s v="-"/>
    <n v="1"/>
    <n v="1"/>
    <n v="2"/>
    <n v="2"/>
    <n v="5"/>
    <n v="6"/>
  </r>
  <r>
    <x v="8"/>
    <x v="205"/>
    <d v="2026-09-26T00:00:00"/>
    <s v="1ST"/>
    <s v="09:00"/>
    <n v="1"/>
    <x v="22"/>
    <s v="-"/>
    <s v="P"/>
    <s v="P"/>
    <s v="P"/>
    <s v="-"/>
    <s v="-"/>
    <n v="10.8"/>
    <s v="-"/>
    <s v="-"/>
    <s v="-"/>
    <s v="-"/>
    <s v="-"/>
    <s v="-"/>
    <s v="-"/>
    <s v="-"/>
    <s v="P"/>
    <s v="P"/>
    <s v="-"/>
    <s v="-"/>
    <n v="1"/>
    <n v="2"/>
    <n v="0"/>
    <s v="-"/>
    <s v="-"/>
    <s v="-"/>
    <s v="-"/>
    <s v="-"/>
    <s v="-"/>
    <s v="-"/>
    <n v="3"/>
    <n v="4"/>
    <s v="-"/>
    <n v="1"/>
    <n v="1"/>
    <n v="2"/>
    <n v="2"/>
    <n v="5"/>
    <n v="6"/>
  </r>
  <r>
    <x v="8"/>
    <x v="205"/>
    <d v="2026-09-26T00:00:00"/>
    <s v="1ST"/>
    <s v="10:00"/>
    <n v="1"/>
    <x v="22"/>
    <s v="-"/>
    <s v="-"/>
    <s v="P"/>
    <s v="P"/>
    <s v="-"/>
    <s v="-"/>
    <n v="10.63"/>
    <s v="-"/>
    <s v="-"/>
    <s v="-"/>
    <s v="-"/>
    <s v="-"/>
    <s v="-"/>
    <s v="-"/>
    <s v="-"/>
    <s v="P"/>
    <s v="P"/>
    <s v="-"/>
    <s v="-"/>
    <s v="-"/>
    <n v="2"/>
    <n v="0"/>
    <s v="-"/>
    <s v="-"/>
    <s v="-"/>
    <s v="-"/>
    <s v="-"/>
    <s v="-"/>
    <s v="-"/>
    <n v="2"/>
    <n v="3"/>
    <s v="-"/>
    <n v="1"/>
    <n v="1"/>
    <n v="2"/>
    <n v="2"/>
    <n v="4"/>
    <n v="5"/>
  </r>
  <r>
    <x v="8"/>
    <x v="205"/>
    <d v="2026-09-26T00:00:00"/>
    <s v="1ST"/>
    <s v="11:00"/>
    <n v="1"/>
    <x v="22"/>
    <s v="-"/>
    <s v="P"/>
    <s v="P"/>
    <s v="P"/>
    <s v="-"/>
    <s v="-"/>
    <n v="10.84"/>
    <s v="-"/>
    <s v="-"/>
    <s v="-"/>
    <s v="-"/>
    <s v="-"/>
    <s v="-"/>
    <s v="-"/>
    <s v="-"/>
    <s v="P"/>
    <s v="P"/>
    <s v="-"/>
    <s v="-"/>
    <n v="1"/>
    <n v="2"/>
    <n v="0"/>
    <s v="-"/>
    <s v="-"/>
    <s v="-"/>
    <s v="-"/>
    <s v="-"/>
    <s v="-"/>
    <s v="-"/>
    <n v="3"/>
    <n v="4"/>
    <s v="-"/>
    <n v="1"/>
    <n v="1"/>
    <n v="2"/>
    <n v="2"/>
    <n v="5"/>
    <n v="6"/>
  </r>
  <r>
    <x v="8"/>
    <x v="205"/>
    <d v="2026-09-26T00:00:00"/>
    <s v="1ST"/>
    <s v="12:00"/>
    <n v="1"/>
    <x v="22"/>
    <s v="-"/>
    <s v="P"/>
    <s v="P"/>
    <s v="P"/>
    <s v="-"/>
    <s v="-"/>
    <n v="10.74"/>
    <s v="-"/>
    <s v="-"/>
    <s v="-"/>
    <s v="-"/>
    <s v="-"/>
    <s v="-"/>
    <s v="-"/>
    <s v="-"/>
    <s v="P"/>
    <s v="P"/>
    <s v="-"/>
    <s v="-"/>
    <n v="1"/>
    <n v="2"/>
    <n v="0"/>
    <s v="-"/>
    <s v="-"/>
    <s v="-"/>
    <s v="-"/>
    <s v="-"/>
    <s v="-"/>
    <s v="-"/>
    <n v="3"/>
    <n v="4"/>
    <s v="-"/>
    <n v="1"/>
    <n v="1"/>
    <n v="2"/>
    <n v="2"/>
    <n v="5"/>
    <n v="6"/>
  </r>
  <r>
    <x v="8"/>
    <x v="205"/>
    <d v="1902-03-26T00:00:00"/>
    <s v="1ST"/>
    <s v="06:00"/>
    <n v="2"/>
    <x v="7"/>
    <s v="-"/>
    <s v="P"/>
    <s v="P"/>
    <s v="P"/>
    <s v="-"/>
    <s v="+"/>
    <n v="10.56"/>
    <s v="-"/>
    <s v="-"/>
    <s v="-"/>
    <s v="-"/>
    <s v="-"/>
    <s v="-"/>
    <s v="-"/>
    <s v="-"/>
    <s v="P"/>
    <s v="P"/>
    <s v="-"/>
    <s v="-"/>
    <n v="1"/>
    <n v="2"/>
    <n v="0"/>
    <s v="-"/>
    <s v="-"/>
    <s v="-"/>
    <s v="-"/>
    <s v="-"/>
    <s v="-"/>
    <s v="-"/>
    <n v="3"/>
    <n v="4"/>
    <s v="-"/>
    <n v="1"/>
    <n v="1"/>
    <n v="2"/>
    <n v="2"/>
    <n v="5"/>
    <n v="6"/>
  </r>
  <r>
    <x v="8"/>
    <x v="205"/>
    <d v="1899-12-30T00:00:00"/>
    <s v="1ST"/>
    <s v="08:00"/>
    <n v="2"/>
    <x v="17"/>
    <s v="-"/>
    <s v="P"/>
    <s v="P"/>
    <s v="P"/>
    <s v="-"/>
    <s v="+"/>
    <n v="10.56"/>
    <s v="-"/>
    <s v="-"/>
    <s v="-"/>
    <s v="-"/>
    <s v="-"/>
    <s v="-"/>
    <s v="-"/>
    <s v="-"/>
    <s v="P"/>
    <s v="P"/>
    <s v="-"/>
    <s v="-"/>
    <n v="1"/>
    <n v="2"/>
    <n v="0"/>
    <s v="-"/>
    <s v="-"/>
    <s v="-"/>
    <s v="-"/>
    <s v="-"/>
    <s v="-"/>
    <s v="-"/>
    <n v="3"/>
    <n v="4"/>
    <s v="-"/>
    <n v="1"/>
    <n v="1"/>
    <n v="2"/>
    <n v="2"/>
    <n v="5"/>
    <n v="6"/>
  </r>
  <r>
    <x v="8"/>
    <x v="205"/>
    <d v="1899-12-30T00:00:00"/>
    <s v="1ST"/>
    <s v="12:00"/>
    <n v="2"/>
    <x v="17"/>
    <s v="-"/>
    <s v="P"/>
    <s v="P"/>
    <s v="P"/>
    <s v="-"/>
    <s v="+"/>
    <n v="10.57"/>
    <s v="-"/>
    <s v="-"/>
    <s v="-"/>
    <s v="-"/>
    <s v="-"/>
    <s v="-"/>
    <s v="-"/>
    <s v="-"/>
    <s v="P"/>
    <s v="P"/>
    <s v="-"/>
    <s v="-"/>
    <n v="1"/>
    <n v="2"/>
    <n v="0"/>
    <s v="-"/>
    <s v="-"/>
    <s v="-"/>
    <s v="-"/>
    <s v="-"/>
    <s v="-"/>
    <s v="-"/>
    <n v="3"/>
    <n v="4"/>
    <s v="-"/>
    <n v="1"/>
    <n v="1"/>
    <n v="2"/>
    <n v="2"/>
    <n v="5"/>
    <n v="6"/>
  </r>
  <r>
    <x v="8"/>
    <x v="205"/>
    <d v="2026-09-29T00:00:00"/>
    <s v="1ST"/>
    <s v="06:00"/>
    <n v="3"/>
    <x v="1"/>
    <n v="0.01"/>
    <s v="P"/>
    <s v="P"/>
    <s v="P"/>
    <s v="+"/>
    <s v="+"/>
    <n v="11.97"/>
    <n v="12.87"/>
    <n v="0.6"/>
    <n v="63.9"/>
    <s v="-"/>
    <s v="-"/>
    <n v="36.1"/>
    <s v="-"/>
    <s v="-"/>
    <s v="P"/>
    <s v="P"/>
    <s v="95% 5%"/>
    <n v="2"/>
    <n v="1"/>
    <n v="2"/>
    <n v="0"/>
    <n v="1"/>
    <n v="2"/>
    <n v="0"/>
    <s v="-"/>
    <s v="-"/>
    <n v="2"/>
    <s v="-"/>
    <n v="10"/>
    <n v="13"/>
    <s v="-"/>
    <n v="1"/>
    <n v="1"/>
    <n v="2"/>
    <n v="2"/>
    <n v="12"/>
    <n v="15"/>
  </r>
  <r>
    <x v="8"/>
    <x v="205"/>
    <d v="2026-09-29T00:00:00"/>
    <s v="1ST"/>
    <s v="07:00"/>
    <n v="3"/>
    <x v="1"/>
    <n v="0.01"/>
    <s v="P"/>
    <s v="P"/>
    <s v="P"/>
    <s v="+"/>
    <s v="+"/>
    <n v="11.78"/>
    <s v="-"/>
    <s v="-"/>
    <s v="-"/>
    <s v="-"/>
    <s v="-"/>
    <s v="-"/>
    <s v="-"/>
    <s v="-"/>
    <s v="P"/>
    <s v="P"/>
    <s v="-"/>
    <n v="2"/>
    <n v="1"/>
    <n v="2"/>
    <n v="0"/>
    <s v="-"/>
    <s v="-"/>
    <s v="-"/>
    <s v="-"/>
    <s v="-"/>
    <s v="-"/>
    <s v="-"/>
    <n v="5"/>
    <n v="6"/>
    <s v="-"/>
    <n v="1"/>
    <n v="1"/>
    <n v="2"/>
    <n v="2"/>
    <n v="7"/>
    <n v="8"/>
  </r>
  <r>
    <x v="8"/>
    <x v="205"/>
    <d v="2026-09-29T00:00:00"/>
    <s v="1ST"/>
    <s v="08:00"/>
    <n v="3"/>
    <x v="1"/>
    <n v="0.01"/>
    <s v="P"/>
    <s v="P"/>
    <s v="P"/>
    <s v="+"/>
    <s v="+"/>
    <n v="11.94"/>
    <s v="-"/>
    <s v="-"/>
    <s v="-"/>
    <s v="-"/>
    <s v="-"/>
    <s v="-"/>
    <s v="-"/>
    <s v="-"/>
    <s v="P"/>
    <s v="P"/>
    <s v="-"/>
    <n v="2"/>
    <n v="1"/>
    <n v="2"/>
    <n v="0"/>
    <s v="-"/>
    <s v="-"/>
    <s v="-"/>
    <s v="-"/>
    <s v="-"/>
    <s v="-"/>
    <s v="-"/>
    <n v="5"/>
    <n v="6"/>
    <s v="-"/>
    <n v="1"/>
    <n v="1"/>
    <n v="2"/>
    <n v="2"/>
    <n v="7"/>
    <n v="8"/>
  </r>
  <r>
    <x v="8"/>
    <x v="205"/>
    <d v="2026-09-29T00:00:00"/>
    <s v="1ST"/>
    <s v="09:00"/>
    <n v="3"/>
    <x v="1"/>
    <n v="0.01"/>
    <s v="P"/>
    <s v="P"/>
    <s v="P"/>
    <s v="+"/>
    <s v="+"/>
    <n v="11.69"/>
    <s v="-"/>
    <s v="-"/>
    <s v="-"/>
    <s v="-"/>
    <s v="-"/>
    <s v="-"/>
    <s v="-"/>
    <s v="-"/>
    <s v="P"/>
    <s v="P"/>
    <s v="-"/>
    <n v="2"/>
    <n v="1"/>
    <n v="2"/>
    <n v="0"/>
    <s v="-"/>
    <s v="-"/>
    <s v="-"/>
    <s v="-"/>
    <s v="-"/>
    <s v="-"/>
    <s v="-"/>
    <n v="5"/>
    <n v="6"/>
    <s v="-"/>
    <n v="1"/>
    <n v="1"/>
    <n v="2"/>
    <n v="2"/>
    <n v="7"/>
    <n v="8"/>
  </r>
  <r>
    <x v="8"/>
    <x v="205"/>
    <d v="2026-09-29T00:00:00"/>
    <s v="1ST"/>
    <s v="10:00"/>
    <n v="3"/>
    <x v="1"/>
    <n v="0.01"/>
    <s v="P"/>
    <s v="P"/>
    <s v="P"/>
    <s v="+"/>
    <s v="+"/>
    <n v="11.69"/>
    <s v="-"/>
    <s v="-"/>
    <s v="-"/>
    <s v="-"/>
    <s v="-"/>
    <s v="-"/>
    <s v="-"/>
    <s v="-"/>
    <s v="P"/>
    <s v="P"/>
    <s v="-"/>
    <n v="2"/>
    <n v="1"/>
    <n v="2"/>
    <n v="0"/>
    <s v="-"/>
    <s v="-"/>
    <s v="-"/>
    <s v="-"/>
    <s v="-"/>
    <s v="-"/>
    <s v="-"/>
    <n v="5"/>
    <n v="6"/>
    <s v="-"/>
    <n v="1"/>
    <n v="1"/>
    <n v="2"/>
    <n v="2"/>
    <n v="7"/>
    <n v="8"/>
  </r>
  <r>
    <x v="8"/>
    <x v="205"/>
    <d v="2026-09-29T00:00:00"/>
    <s v="1ST"/>
    <s v="12:00"/>
    <n v="3"/>
    <x v="1"/>
    <n v="0.01"/>
    <s v="P"/>
    <s v="P"/>
    <s v="P"/>
    <s v="+"/>
    <s v="+"/>
    <n v="12.09"/>
    <s v="-"/>
    <s v="-"/>
    <s v="-"/>
    <s v="-"/>
    <s v="-"/>
    <s v="-"/>
    <s v="-"/>
    <s v="-"/>
    <s v="P"/>
    <s v="P"/>
    <s v="-"/>
    <n v="2"/>
    <n v="1"/>
    <n v="2"/>
    <n v="1"/>
    <s v="-"/>
    <s v="-"/>
    <s v="-"/>
    <s v="-"/>
    <s v="-"/>
    <s v="-"/>
    <s v="-"/>
    <n v="6"/>
    <n v="6"/>
    <s v="-"/>
    <n v="1"/>
    <n v="1"/>
    <n v="2"/>
    <n v="2"/>
    <n v="8"/>
    <n v="8"/>
  </r>
  <r>
    <x v="8"/>
    <x v="205"/>
    <d v="2026-09-29T00:00:00"/>
    <s v="1ST"/>
    <s v="13:00"/>
    <n v="3"/>
    <x v="1"/>
    <s v="-"/>
    <s v="P"/>
    <s v="P"/>
    <s v="P"/>
    <s v="+"/>
    <s v="+"/>
    <n v="12.17"/>
    <s v="-"/>
    <s v="-"/>
    <s v="-"/>
    <s v="-"/>
    <s v="-"/>
    <s v="-"/>
    <s v="-"/>
    <s v="-"/>
    <s v="P"/>
    <s v="P"/>
    <s v="-"/>
    <s v="-"/>
    <n v="1"/>
    <n v="2"/>
    <n v="1"/>
    <s v="-"/>
    <s v="-"/>
    <s v="-"/>
    <s v="-"/>
    <s v="-"/>
    <s v="-"/>
    <s v="-"/>
    <n v="4"/>
    <n v="4"/>
    <s v="-"/>
    <n v="1"/>
    <n v="1"/>
    <n v="2"/>
    <n v="2"/>
    <n v="6"/>
    <n v="6"/>
  </r>
  <r>
    <x v="8"/>
    <x v="205"/>
    <d v="2026-09-29T00:00:00"/>
    <s v="1ST"/>
    <s v="08:00"/>
    <s v="Retail"/>
    <x v="19"/>
    <s v="-"/>
    <s v="P"/>
    <s v="P"/>
    <s v="P"/>
    <s v="-"/>
    <s v="-"/>
    <n v="11.96"/>
    <n v="15.93"/>
    <n v="1.46"/>
    <n v="70.8"/>
    <s v="-"/>
    <s v="-"/>
    <n v="45.5"/>
    <s v="-"/>
    <s v="-"/>
    <s v="P"/>
    <s v="P"/>
    <s v="-"/>
    <s v="-"/>
    <n v="1"/>
    <n v="2"/>
    <n v="0"/>
    <n v="1"/>
    <n v="0"/>
    <n v="2"/>
    <s v="-"/>
    <s v="-"/>
    <n v="2"/>
    <s v="-"/>
    <n v="8"/>
    <n v="11"/>
    <s v="-"/>
    <n v="1"/>
    <n v="1"/>
    <n v="2"/>
    <n v="2"/>
    <n v="10"/>
    <n v="13"/>
  </r>
  <r>
    <x v="8"/>
    <x v="205"/>
    <d v="2026-09-29T00:00:00"/>
    <s v="1ST"/>
    <s v="11:00"/>
    <s v="Retail"/>
    <x v="19"/>
    <s v="-"/>
    <s v="P"/>
    <s v="P"/>
    <s v="P"/>
    <s v="-"/>
    <s v="-"/>
    <n v="12.04"/>
    <s v="-"/>
    <s v="-"/>
    <s v="-"/>
    <s v="-"/>
    <s v="-"/>
    <s v="-"/>
    <s v="-"/>
    <s v="-"/>
    <s v="P"/>
    <s v="P"/>
    <s v="-"/>
    <s v="-"/>
    <n v="1"/>
    <n v="2"/>
    <n v="1"/>
    <s v="-"/>
    <s v="-"/>
    <s v="-"/>
    <s v="-"/>
    <s v="-"/>
    <s v="-"/>
    <s v="-"/>
    <n v="4"/>
    <n v="4"/>
    <s v="-"/>
    <n v="1"/>
    <n v="1"/>
    <n v="2"/>
    <n v="2"/>
    <n v="6"/>
    <n v="6"/>
  </r>
  <r>
    <x v="8"/>
    <x v="205"/>
    <d v="2026-09-30T00:00:00"/>
    <s v="1ST"/>
    <s v="12:00"/>
    <s v="Retail"/>
    <x v="9"/>
    <s v="-"/>
    <s v="-"/>
    <s v="-"/>
    <s v="-"/>
    <s v="-"/>
    <s v="-"/>
    <n v="10.26"/>
    <s v="-"/>
    <s v="-"/>
    <s v="-"/>
    <s v="-"/>
    <s v="-"/>
    <s v="-"/>
    <s v="-"/>
    <s v="-"/>
    <s v="-"/>
    <s v="-"/>
    <s v="-"/>
    <s v="-"/>
    <s v="-"/>
    <s v="-"/>
    <n v="1"/>
    <s v="-"/>
    <s v="-"/>
    <s v="-"/>
    <s v="-"/>
    <s v="-"/>
    <s v="-"/>
    <s v="-"/>
    <n v="1"/>
    <n v="1"/>
    <s v="-"/>
    <s v="-"/>
    <s v="-"/>
    <n v="0"/>
    <n v="0"/>
    <n v="1"/>
    <n v="1"/>
  </r>
  <r>
    <x v="8"/>
    <x v="205"/>
    <d v="2026-09-26T00:00:00"/>
    <s v="2ND"/>
    <d v="1899-12-30T14:00:00"/>
    <n v="1"/>
    <x v="22"/>
    <s v="-"/>
    <s v="P"/>
    <s v="P"/>
    <s v="P"/>
    <s v="-"/>
    <s v="-"/>
    <n v="10.63"/>
    <n v="8.73"/>
    <n v="0.52"/>
    <s v="-"/>
    <s v="-"/>
    <s v="-"/>
    <n v="23.6"/>
    <s v="-"/>
    <s v="-"/>
    <s v="-"/>
    <s v="-"/>
    <s v="-"/>
    <s v="-"/>
    <n v="1"/>
    <n v="2"/>
    <n v="0"/>
    <n v="1"/>
    <n v="2"/>
    <s v="-"/>
    <s v="-"/>
    <s v="-"/>
    <n v="2"/>
    <s v="-"/>
    <n v="8"/>
    <n v="9"/>
    <s v="-"/>
    <s v="-"/>
    <s v="-"/>
    <n v="0"/>
    <n v="0"/>
    <n v="8"/>
    <n v="9"/>
  </r>
  <r>
    <x v="8"/>
    <x v="205"/>
    <d v="2026-09-26T00:00:00"/>
    <s v="2ND"/>
    <d v="1899-12-30T15:00:00"/>
    <n v="1"/>
    <x v="22"/>
    <s v="-"/>
    <s v="P"/>
    <s v="P"/>
    <s v="P"/>
    <s v="-"/>
    <s v="-"/>
    <n v="10.37"/>
    <s v="-"/>
    <s v="-"/>
    <s v="-"/>
    <s v="-"/>
    <s v="-"/>
    <s v="-"/>
    <s v="-"/>
    <s v="-"/>
    <s v="-"/>
    <s v="-"/>
    <s v="-"/>
    <s v="-"/>
    <n v="1"/>
    <n v="2"/>
    <n v="0"/>
    <s v="-"/>
    <s v="-"/>
    <s v="-"/>
    <s v="-"/>
    <s v="-"/>
    <s v="-"/>
    <s v="-"/>
    <n v="3"/>
    <n v="4"/>
    <s v="-"/>
    <s v="-"/>
    <s v="-"/>
    <n v="0"/>
    <n v="0"/>
    <n v="3"/>
    <n v="4"/>
  </r>
  <r>
    <x v="8"/>
    <x v="205"/>
    <d v="2026-09-26T00:00:00"/>
    <s v="2ND"/>
    <d v="1899-12-30T16:00:00"/>
    <n v="1"/>
    <x v="22"/>
    <s v="-"/>
    <s v="P"/>
    <s v="P"/>
    <s v="P"/>
    <s v="-"/>
    <s v="-"/>
    <n v="10.57"/>
    <s v="-"/>
    <s v="-"/>
    <s v="-"/>
    <s v="-"/>
    <s v="-"/>
    <s v="-"/>
    <s v="-"/>
    <s v="-"/>
    <s v="-"/>
    <s v="-"/>
    <s v="-"/>
    <s v="-"/>
    <n v="1"/>
    <n v="2"/>
    <n v="0"/>
    <s v="-"/>
    <s v="-"/>
    <s v="-"/>
    <s v="-"/>
    <s v="-"/>
    <s v="-"/>
    <s v="-"/>
    <n v="3"/>
    <n v="4"/>
    <s v="-"/>
    <s v="-"/>
    <s v="-"/>
    <n v="0"/>
    <n v="0"/>
    <n v="3"/>
    <n v="4"/>
  </r>
  <r>
    <x v="8"/>
    <x v="205"/>
    <d v="2026-09-26T00:00:00"/>
    <s v="2ND"/>
    <d v="1899-12-30T18:00:00"/>
    <n v="1"/>
    <x v="22"/>
    <s v="-"/>
    <s v="-"/>
    <s v="P"/>
    <s v="P"/>
    <s v="-"/>
    <s v="-"/>
    <n v="10.84"/>
    <s v="-"/>
    <s v="-"/>
    <s v="-"/>
    <s v="-"/>
    <s v="-"/>
    <s v="-"/>
    <s v="-"/>
    <s v="-"/>
    <s v="-"/>
    <s v="-"/>
    <s v="-"/>
    <s v="-"/>
    <s v="-"/>
    <n v="2"/>
    <n v="0"/>
    <s v="-"/>
    <s v="-"/>
    <s v="-"/>
    <s v="-"/>
    <s v="-"/>
    <s v="-"/>
    <s v="-"/>
    <n v="2"/>
    <n v="3"/>
    <s v="-"/>
    <s v="-"/>
    <s v="-"/>
    <n v="0"/>
    <n v="0"/>
    <n v="2"/>
    <n v="3"/>
  </r>
  <r>
    <x v="8"/>
    <x v="205"/>
    <d v="2026-09-26T00:00:00"/>
    <s v="2ND"/>
    <d v="1899-12-30T20:00:00"/>
    <n v="1"/>
    <x v="22"/>
    <s v="-"/>
    <s v="P"/>
    <s v="P"/>
    <s v="P"/>
    <s v="-"/>
    <s v="-"/>
    <n v="10.61"/>
    <s v="-"/>
    <s v="-"/>
    <s v="-"/>
    <s v="-"/>
    <s v="-"/>
    <s v="-"/>
    <s v="-"/>
    <s v="-"/>
    <s v="-"/>
    <s v="-"/>
    <s v="-"/>
    <s v="-"/>
    <n v="1"/>
    <n v="2"/>
    <n v="0"/>
    <s v="-"/>
    <s v="-"/>
    <s v="-"/>
    <s v="-"/>
    <s v="-"/>
    <s v="-"/>
    <s v="-"/>
    <n v="3"/>
    <n v="4"/>
    <s v="-"/>
    <s v="-"/>
    <s v="-"/>
    <n v="0"/>
    <n v="0"/>
    <n v="3"/>
    <n v="4"/>
  </r>
  <r>
    <x v="8"/>
    <x v="205"/>
    <d v="1899-12-30T00:00:00"/>
    <s v="2ND"/>
    <d v="1899-12-30T14:00:00"/>
    <n v="2"/>
    <x v="17"/>
    <s v="-"/>
    <s v="P"/>
    <s v="P"/>
    <s v="P"/>
    <s v="-"/>
    <s v="+"/>
    <n v="10.33"/>
    <s v="-"/>
    <s v="-"/>
    <s v="-"/>
    <s v="-"/>
    <s v="-"/>
    <s v="-"/>
    <s v="-"/>
    <s v="-"/>
    <s v="-"/>
    <s v="-"/>
    <s v="-"/>
    <s v="-"/>
    <n v="1"/>
    <n v="2"/>
    <n v="0"/>
    <s v="-"/>
    <s v="-"/>
    <s v="-"/>
    <s v="-"/>
    <s v="-"/>
    <s v="-"/>
    <s v="-"/>
    <n v="3"/>
    <n v="4"/>
    <s v="-"/>
    <s v="-"/>
    <s v="-"/>
    <n v="0"/>
    <n v="0"/>
    <n v="3"/>
    <n v="4"/>
  </r>
  <r>
    <x v="8"/>
    <x v="205"/>
    <d v="1899-12-30T00:00:00"/>
    <s v="2ND"/>
    <d v="1899-12-30T15:00:00"/>
    <n v="2"/>
    <x v="17"/>
    <s v="-"/>
    <s v="P"/>
    <s v="P"/>
    <s v="P"/>
    <s v="-"/>
    <s v="+"/>
    <n v="10.29"/>
    <s v="-"/>
    <s v="-"/>
    <s v="-"/>
    <s v="-"/>
    <s v="-"/>
    <s v="-"/>
    <s v="-"/>
    <s v="-"/>
    <s v="-"/>
    <s v="-"/>
    <s v="-"/>
    <s v="-"/>
    <n v="1"/>
    <n v="2"/>
    <n v="0"/>
    <s v="-"/>
    <s v="-"/>
    <s v="-"/>
    <s v="-"/>
    <s v="-"/>
    <s v="-"/>
    <s v="-"/>
    <n v="3"/>
    <n v="4"/>
    <s v="-"/>
    <s v="-"/>
    <s v="-"/>
    <n v="0"/>
    <n v="0"/>
    <n v="3"/>
    <n v="4"/>
  </r>
  <r>
    <x v="8"/>
    <x v="205"/>
    <d v="1899-12-30T00:00:00"/>
    <s v="2ND"/>
    <d v="1899-12-30T16:00:00"/>
    <n v="2"/>
    <x v="17"/>
    <s v="-"/>
    <s v="P"/>
    <s v="P"/>
    <s v="P"/>
    <s v="-"/>
    <s v="+"/>
    <n v="9.68"/>
    <s v="-"/>
    <s v="-"/>
    <s v="-"/>
    <s v="-"/>
    <s v="-"/>
    <s v="-"/>
    <s v="-"/>
    <s v="-"/>
    <s v="-"/>
    <s v="-"/>
    <s v="-"/>
    <s v="-"/>
    <n v="1"/>
    <n v="2"/>
    <n v="0"/>
    <s v="-"/>
    <s v="-"/>
    <s v="-"/>
    <s v="-"/>
    <s v="-"/>
    <s v="-"/>
    <s v="-"/>
    <n v="3"/>
    <n v="4"/>
    <s v="-"/>
    <s v="-"/>
    <s v="-"/>
    <n v="0"/>
    <n v="0"/>
    <n v="3"/>
    <n v="4"/>
  </r>
  <r>
    <x v="8"/>
    <x v="205"/>
    <d v="1899-12-30T00:00:00"/>
    <s v="2ND"/>
    <d v="1899-12-30T17:00:00"/>
    <n v="2"/>
    <x v="17"/>
    <s v="-"/>
    <s v="P"/>
    <s v="P"/>
    <s v="P"/>
    <s v="-"/>
    <s v="+"/>
    <n v="10.6"/>
    <s v="-"/>
    <s v="-"/>
    <s v="-"/>
    <s v="-"/>
    <s v="-"/>
    <s v="-"/>
    <s v="-"/>
    <s v="-"/>
    <s v="-"/>
    <s v="-"/>
    <s v="-"/>
    <s v="-"/>
    <n v="1"/>
    <n v="2"/>
    <n v="0"/>
    <s v="-"/>
    <s v="-"/>
    <s v="-"/>
    <s v="-"/>
    <s v="-"/>
    <s v="-"/>
    <s v="-"/>
    <n v="3"/>
    <n v="4"/>
    <s v="-"/>
    <s v="-"/>
    <s v="-"/>
    <n v="0"/>
    <n v="0"/>
    <n v="3"/>
    <n v="4"/>
  </r>
  <r>
    <x v="8"/>
    <x v="205"/>
    <d v="1899-12-30T00:00:00"/>
    <s v="2ND"/>
    <d v="1899-12-30T18:00:00"/>
    <n v="2"/>
    <x v="17"/>
    <s v="-"/>
    <s v="P"/>
    <s v="P"/>
    <s v="P"/>
    <s v="-"/>
    <s v="+"/>
    <n v="10.220000000000001"/>
    <s v="-"/>
    <s v="-"/>
    <s v="-"/>
    <s v="-"/>
    <s v="-"/>
    <s v="-"/>
    <s v="-"/>
    <s v="-"/>
    <s v="-"/>
    <s v="-"/>
    <s v="-"/>
    <s v="-"/>
    <n v="1"/>
    <n v="2"/>
    <n v="0"/>
    <s v="-"/>
    <s v="-"/>
    <s v="-"/>
    <s v="-"/>
    <s v="-"/>
    <s v="-"/>
    <s v="-"/>
    <n v="3"/>
    <n v="4"/>
    <s v="-"/>
    <s v="-"/>
    <s v="-"/>
    <n v="0"/>
    <n v="0"/>
    <n v="3"/>
    <n v="4"/>
  </r>
  <r>
    <x v="8"/>
    <x v="205"/>
    <d v="1899-12-30T00:00:00"/>
    <s v="2ND"/>
    <d v="1899-12-30T20:00:00"/>
    <n v="2"/>
    <x v="17"/>
    <s v="-"/>
    <s v="P"/>
    <s v="P"/>
    <s v="P"/>
    <s v="-"/>
    <s v="+"/>
    <n v="10.51"/>
    <s v="-"/>
    <s v="-"/>
    <s v="-"/>
    <s v="-"/>
    <s v="-"/>
    <s v="-"/>
    <s v="-"/>
    <s v="-"/>
    <s v="-"/>
    <s v="-"/>
    <s v="-"/>
    <s v="-"/>
    <n v="1"/>
    <n v="2"/>
    <n v="0"/>
    <s v="-"/>
    <s v="-"/>
    <s v="-"/>
    <s v="-"/>
    <s v="-"/>
    <s v="-"/>
    <s v="-"/>
    <n v="3"/>
    <n v="4"/>
    <s v="-"/>
    <s v="-"/>
    <s v="-"/>
    <n v="0"/>
    <n v="0"/>
    <n v="3"/>
    <n v="4"/>
  </r>
  <r>
    <x v="8"/>
    <x v="205"/>
    <d v="2026-09-29T00:00:00"/>
    <s v="2ND"/>
    <d v="1899-12-30T14:00:00"/>
    <n v="3"/>
    <x v="1"/>
    <n v="0.01"/>
    <s v="P"/>
    <s v="P"/>
    <s v="P"/>
    <s v="+"/>
    <s v="+"/>
    <n v="12.19"/>
    <s v="-"/>
    <s v="-"/>
    <s v="-"/>
    <s v="-"/>
    <s v="-"/>
    <s v="-"/>
    <s v="-"/>
    <s v="-"/>
    <s v="-"/>
    <s v="-"/>
    <s v="-"/>
    <n v="2"/>
    <n v="1"/>
    <n v="2"/>
    <n v="1"/>
    <s v="-"/>
    <s v="-"/>
    <s v="-"/>
    <s v="-"/>
    <s v="-"/>
    <s v="-"/>
    <s v="-"/>
    <n v="6"/>
    <n v="6"/>
    <s v="-"/>
    <s v="-"/>
    <s v="-"/>
    <n v="0"/>
    <n v="0"/>
    <n v="6"/>
    <n v="6"/>
  </r>
  <r>
    <x v="8"/>
    <x v="205"/>
    <d v="2026-09-29T00:00:00"/>
    <s v="2ND"/>
    <d v="1899-12-30T16:00:00"/>
    <n v="3"/>
    <x v="1"/>
    <n v="0.01"/>
    <s v="P"/>
    <s v="P"/>
    <s v="P"/>
    <s v="+"/>
    <s v="+"/>
    <n v="12.07"/>
    <s v="-"/>
    <s v="-"/>
    <s v="-"/>
    <s v="-"/>
    <s v="-"/>
    <s v="-"/>
    <s v="-"/>
    <s v="-"/>
    <s v="-"/>
    <s v="-"/>
    <s v="-"/>
    <n v="2"/>
    <n v="1"/>
    <n v="2"/>
    <n v="1"/>
    <s v="-"/>
    <s v="-"/>
    <s v="-"/>
    <s v="-"/>
    <s v="-"/>
    <s v="-"/>
    <s v="-"/>
    <n v="6"/>
    <n v="6"/>
    <s v="-"/>
    <s v="-"/>
    <s v="-"/>
    <n v="0"/>
    <n v="0"/>
    <n v="6"/>
    <n v="6"/>
  </r>
  <r>
    <x v="8"/>
    <x v="205"/>
    <d v="2026-09-29T00:00:00"/>
    <s v="2ND"/>
    <d v="1899-12-30T17:00:00"/>
    <n v="3"/>
    <x v="1"/>
    <n v="0.01"/>
    <s v="P"/>
    <s v="P"/>
    <s v="P"/>
    <s v="+"/>
    <s v="+"/>
    <n v="12.05"/>
    <s v="-"/>
    <s v="-"/>
    <s v="-"/>
    <s v="-"/>
    <s v="-"/>
    <s v="-"/>
    <s v="-"/>
    <s v="-"/>
    <s v="-"/>
    <s v="-"/>
    <s v="-"/>
    <n v="2"/>
    <n v="1"/>
    <n v="2"/>
    <n v="1"/>
    <s v="-"/>
    <s v="-"/>
    <s v="-"/>
    <s v="-"/>
    <s v="-"/>
    <s v="-"/>
    <s v="-"/>
    <n v="6"/>
    <n v="6"/>
    <s v="-"/>
    <s v="-"/>
    <s v="-"/>
    <n v="0"/>
    <n v="0"/>
    <n v="6"/>
    <n v="6"/>
  </r>
  <r>
    <x v="8"/>
    <x v="205"/>
    <d v="2026-09-29T00:00:00"/>
    <s v="2ND"/>
    <d v="1899-12-30T18:00:00"/>
    <n v="3"/>
    <x v="1"/>
    <n v="0.01"/>
    <s v="P"/>
    <s v="P"/>
    <s v="P"/>
    <s v="+"/>
    <s v="+"/>
    <n v="12.05"/>
    <s v="-"/>
    <s v="-"/>
    <s v="-"/>
    <s v="-"/>
    <s v="-"/>
    <s v="-"/>
    <s v="-"/>
    <s v="-"/>
    <s v="-"/>
    <s v="-"/>
    <s v="-"/>
    <n v="2"/>
    <n v="1"/>
    <n v="2"/>
    <n v="1"/>
    <s v="-"/>
    <s v="-"/>
    <s v="-"/>
    <s v="-"/>
    <s v="-"/>
    <s v="-"/>
    <s v="-"/>
    <n v="6"/>
    <n v="6"/>
    <s v="-"/>
    <s v="-"/>
    <s v="-"/>
    <n v="0"/>
    <n v="0"/>
    <n v="6"/>
    <n v="6"/>
  </r>
  <r>
    <x v="8"/>
    <x v="205"/>
    <d v="2026-09-29T00:00:00"/>
    <s v="2ND"/>
    <d v="1899-12-30T20:00:00"/>
    <n v="3"/>
    <x v="1"/>
    <n v="0.01"/>
    <s v="P"/>
    <s v="P"/>
    <s v="P"/>
    <s v="+"/>
    <s v="+"/>
    <n v="12.11"/>
    <s v="-"/>
    <s v="-"/>
    <s v="-"/>
    <s v="-"/>
    <s v="-"/>
    <s v="-"/>
    <s v="-"/>
    <s v="-"/>
    <s v="-"/>
    <s v="-"/>
    <s v="-"/>
    <n v="2"/>
    <n v="1"/>
    <n v="2"/>
    <n v="1"/>
    <s v="-"/>
    <s v="-"/>
    <s v="-"/>
    <s v="-"/>
    <s v="-"/>
    <s v="-"/>
    <s v="-"/>
    <n v="6"/>
    <n v="6"/>
    <s v="-"/>
    <s v="-"/>
    <s v="-"/>
    <n v="0"/>
    <n v="0"/>
    <n v="6"/>
    <n v="6"/>
  </r>
  <r>
    <x v="8"/>
    <x v="205"/>
    <d v="2026-09-26T00:00:00"/>
    <s v="3RD"/>
    <d v="1899-12-30T22:00:00"/>
    <n v="1"/>
    <x v="22"/>
    <s v="-"/>
    <s v="P"/>
    <s v="P"/>
    <s v="P"/>
    <s v="-"/>
    <s v="-"/>
    <n v="10.69"/>
    <n v="8.68"/>
    <n v="0.52"/>
    <s v="-"/>
    <s v="-"/>
    <s v="-"/>
    <n v="23.4"/>
    <s v="-"/>
    <s v="-"/>
    <s v="-"/>
    <s v="-"/>
    <s v="-"/>
    <s v="-"/>
    <n v="1"/>
    <n v="2"/>
    <n v="0"/>
    <n v="1"/>
    <n v="2"/>
    <s v="-"/>
    <s v="-"/>
    <s v="-"/>
    <n v="2"/>
    <s v="-"/>
    <n v="8"/>
    <n v="9"/>
    <s v="-"/>
    <s v="-"/>
    <s v="-"/>
    <n v="0"/>
    <n v="0"/>
    <n v="8"/>
    <n v="9"/>
  </r>
  <r>
    <x v="8"/>
    <x v="205"/>
    <d v="2026-09-26T00:00:00"/>
    <s v="3RD"/>
    <d v="1899-12-31T00:00:00"/>
    <n v="1"/>
    <x v="22"/>
    <s v="-"/>
    <s v="P"/>
    <s v="P"/>
    <s v="P"/>
    <s v="-"/>
    <s v="-"/>
    <n v="10.83"/>
    <s v="-"/>
    <s v="-"/>
    <s v="-"/>
    <s v="-"/>
    <s v="-"/>
    <s v="-"/>
    <s v="-"/>
    <s v="-"/>
    <s v="-"/>
    <s v="-"/>
    <s v="-"/>
    <s v="-"/>
    <n v="1"/>
    <n v="2"/>
    <n v="0"/>
    <s v="-"/>
    <s v="-"/>
    <s v="-"/>
    <s v="-"/>
    <s v="-"/>
    <s v="-"/>
    <s v="-"/>
    <n v="3"/>
    <n v="4"/>
    <s v="-"/>
    <s v="-"/>
    <s v="-"/>
    <n v="0"/>
    <n v="0"/>
    <n v="3"/>
    <n v="4"/>
  </r>
  <r>
    <x v="8"/>
    <x v="205"/>
    <d v="2026-09-26T00:00:00"/>
    <s v="3RD"/>
    <d v="1899-12-31T01:00:00"/>
    <n v="1"/>
    <x v="22"/>
    <s v="-"/>
    <s v="P"/>
    <s v="P"/>
    <s v="P"/>
    <s v="-"/>
    <s v="-"/>
    <n v="10.91"/>
    <s v="-"/>
    <s v="-"/>
    <s v="-"/>
    <s v="-"/>
    <s v="-"/>
    <s v="-"/>
    <s v="-"/>
    <s v="-"/>
    <s v="-"/>
    <s v="-"/>
    <s v="-"/>
    <s v="-"/>
    <n v="1"/>
    <n v="2"/>
    <n v="0"/>
    <s v="-"/>
    <s v="-"/>
    <s v="-"/>
    <s v="-"/>
    <s v="-"/>
    <s v="-"/>
    <s v="-"/>
    <n v="3"/>
    <n v="4"/>
    <s v="-"/>
    <s v="-"/>
    <s v="-"/>
    <n v="0"/>
    <n v="0"/>
    <n v="3"/>
    <n v="4"/>
  </r>
  <r>
    <x v="8"/>
    <x v="205"/>
    <d v="2026-09-26T00:00:00"/>
    <s v="3RD"/>
    <d v="1899-12-31T02:00:00"/>
    <n v="1"/>
    <x v="22"/>
    <s v="-"/>
    <s v="-"/>
    <s v="P"/>
    <s v="P"/>
    <s v="-"/>
    <s v="-"/>
    <n v="10.95"/>
    <s v="-"/>
    <s v="-"/>
    <s v="-"/>
    <s v="-"/>
    <s v="-"/>
    <s v="-"/>
    <s v="-"/>
    <s v="-"/>
    <s v="-"/>
    <s v="-"/>
    <s v="-"/>
    <s v="-"/>
    <s v="-"/>
    <n v="2"/>
    <n v="0"/>
    <s v="-"/>
    <s v="-"/>
    <s v="-"/>
    <s v="-"/>
    <s v="-"/>
    <s v="-"/>
    <s v="-"/>
    <n v="2"/>
    <n v="3"/>
    <s v="-"/>
    <s v="-"/>
    <s v="-"/>
    <n v="0"/>
    <n v="0"/>
    <n v="2"/>
    <n v="3"/>
  </r>
  <r>
    <x v="8"/>
    <x v="205"/>
    <d v="2026-09-26T00:00:00"/>
    <s v="3RD"/>
    <d v="1899-12-31T03:00:00"/>
    <n v="1"/>
    <x v="22"/>
    <s v="-"/>
    <s v="P"/>
    <s v="P"/>
    <s v="P"/>
    <s v="-"/>
    <s v="-"/>
    <n v="11.22"/>
    <s v="-"/>
    <s v="-"/>
    <s v="-"/>
    <s v="-"/>
    <s v="-"/>
    <s v="-"/>
    <s v="-"/>
    <s v="-"/>
    <s v="-"/>
    <s v="-"/>
    <s v="-"/>
    <s v="-"/>
    <n v="1"/>
    <n v="2"/>
    <n v="1"/>
    <s v="-"/>
    <s v="-"/>
    <s v="-"/>
    <s v="-"/>
    <s v="-"/>
    <s v="-"/>
    <s v="-"/>
    <n v="4"/>
    <n v="4"/>
    <s v="-"/>
    <s v="-"/>
    <s v="-"/>
    <n v="0"/>
    <n v="0"/>
    <n v="4"/>
    <n v="4"/>
  </r>
  <r>
    <x v="8"/>
    <x v="205"/>
    <d v="2026-09-26T00:00:00"/>
    <s v="3RD"/>
    <d v="1899-12-31T04:00:00"/>
    <n v="1"/>
    <x v="22"/>
    <s v="-"/>
    <s v="P"/>
    <s v="P"/>
    <s v="P"/>
    <s v="-"/>
    <s v="-"/>
    <n v="11.07"/>
    <s v="-"/>
    <s v="-"/>
    <s v="-"/>
    <s v="-"/>
    <s v="-"/>
    <s v="-"/>
    <s v="-"/>
    <s v="-"/>
    <s v="-"/>
    <s v="-"/>
    <s v="-"/>
    <s v="-"/>
    <n v="1"/>
    <n v="2"/>
    <n v="1"/>
    <s v="-"/>
    <s v="-"/>
    <s v="-"/>
    <s v="-"/>
    <s v="-"/>
    <s v="-"/>
    <s v="-"/>
    <n v="4"/>
    <n v="4"/>
    <s v="-"/>
    <s v="-"/>
    <s v="-"/>
    <n v="0"/>
    <n v="0"/>
    <n v="4"/>
    <n v="4"/>
  </r>
  <r>
    <x v="8"/>
    <x v="205"/>
    <d v="2026-09-26T00:00:00"/>
    <s v="3RD"/>
    <d v="1899-12-31T05:00:00"/>
    <n v="1"/>
    <x v="22"/>
    <s v="-"/>
    <s v="P"/>
    <s v="P"/>
    <s v="P"/>
    <s v="-"/>
    <s v="-"/>
    <n v="11.15"/>
    <s v="-"/>
    <s v="-"/>
    <s v="-"/>
    <s v="-"/>
    <s v="-"/>
    <s v="-"/>
    <s v="-"/>
    <s v="-"/>
    <s v="-"/>
    <s v="-"/>
    <s v="-"/>
    <s v="-"/>
    <n v="1"/>
    <n v="2"/>
    <n v="1"/>
    <s v="-"/>
    <s v="-"/>
    <s v="-"/>
    <s v="-"/>
    <s v="-"/>
    <s v="-"/>
    <s v="-"/>
    <n v="4"/>
    <n v="4"/>
    <s v="-"/>
    <s v="-"/>
    <s v="-"/>
    <n v="0"/>
    <n v="0"/>
    <n v="4"/>
    <n v="4"/>
  </r>
  <r>
    <x v="8"/>
    <x v="205"/>
    <d v="1899-12-30T00:00:00"/>
    <s v="3RD"/>
    <d v="1899-12-30T22:00:00"/>
    <n v="2"/>
    <x v="5"/>
    <s v="-"/>
    <s v="P"/>
    <s v="P"/>
    <s v="P"/>
    <s v="-"/>
    <s v="+"/>
    <n v="10.71"/>
    <s v="-"/>
    <s v="-"/>
    <s v="-"/>
    <s v="-"/>
    <s v="-"/>
    <s v="-"/>
    <s v="-"/>
    <s v="-"/>
    <s v="-"/>
    <s v="-"/>
    <s v="-"/>
    <s v="-"/>
    <n v="1"/>
    <n v="2"/>
    <n v="0"/>
    <s v="-"/>
    <s v="-"/>
    <s v="-"/>
    <s v="-"/>
    <s v="-"/>
    <s v="-"/>
    <s v="-"/>
    <n v="3"/>
    <n v="4"/>
    <s v="-"/>
    <s v="-"/>
    <s v="-"/>
    <n v="0"/>
    <n v="0"/>
    <n v="3"/>
    <n v="4"/>
  </r>
  <r>
    <x v="8"/>
    <x v="205"/>
    <d v="1899-12-30T00:00:00"/>
    <s v="3RD"/>
    <d v="1899-12-31T00:00:00"/>
    <n v="2"/>
    <x v="5"/>
    <s v="-"/>
    <s v="P"/>
    <s v="P"/>
    <s v="P"/>
    <s v="-"/>
    <s v="+"/>
    <n v="10.61"/>
    <s v="-"/>
    <s v="-"/>
    <s v="-"/>
    <s v="-"/>
    <s v="-"/>
    <s v="-"/>
    <s v="-"/>
    <s v="-"/>
    <s v="-"/>
    <s v="-"/>
    <s v="-"/>
    <s v="-"/>
    <n v="1"/>
    <n v="2"/>
    <n v="0"/>
    <s v="-"/>
    <s v="-"/>
    <s v="-"/>
    <s v="-"/>
    <s v="-"/>
    <s v="-"/>
    <s v="-"/>
    <n v="3"/>
    <n v="4"/>
    <s v="-"/>
    <s v="-"/>
    <s v="-"/>
    <n v="0"/>
    <n v="0"/>
    <n v="3"/>
    <n v="4"/>
  </r>
  <r>
    <x v="8"/>
    <x v="205"/>
    <d v="1899-12-30T00:00:00"/>
    <s v="3RD"/>
    <d v="1899-12-31T01:00:00"/>
    <n v="2"/>
    <x v="5"/>
    <s v="-"/>
    <s v="P"/>
    <s v="P"/>
    <s v="P"/>
    <s v="-"/>
    <s v="+"/>
    <n v="10.61"/>
    <s v="-"/>
    <s v="-"/>
    <s v="-"/>
    <s v="-"/>
    <s v="-"/>
    <s v="-"/>
    <s v="-"/>
    <s v="-"/>
    <s v="-"/>
    <s v="-"/>
    <s v="-"/>
    <s v="-"/>
    <n v="1"/>
    <n v="2"/>
    <n v="0"/>
    <s v="-"/>
    <s v="-"/>
    <s v="-"/>
    <s v="-"/>
    <s v="-"/>
    <s v="-"/>
    <s v="-"/>
    <n v="3"/>
    <n v="4"/>
    <s v="-"/>
    <s v="-"/>
    <s v="-"/>
    <n v="0"/>
    <n v="0"/>
    <n v="3"/>
    <n v="4"/>
  </r>
  <r>
    <x v="8"/>
    <x v="205"/>
    <d v="1899-12-30T00:00:00"/>
    <s v="3RD"/>
    <d v="1899-12-31T02:00:00"/>
    <n v="2"/>
    <x v="5"/>
    <s v="-"/>
    <s v="P"/>
    <s v="P"/>
    <s v="P"/>
    <s v="-"/>
    <s v="+"/>
    <n v="10.49"/>
    <s v="-"/>
    <s v="-"/>
    <s v="-"/>
    <s v="-"/>
    <s v="-"/>
    <s v="-"/>
    <s v="-"/>
    <s v="-"/>
    <s v="-"/>
    <s v="-"/>
    <s v="-"/>
    <s v="-"/>
    <n v="1"/>
    <n v="2"/>
    <n v="0"/>
    <s v="-"/>
    <s v="-"/>
    <s v="-"/>
    <s v="-"/>
    <s v="-"/>
    <s v="-"/>
    <s v="-"/>
    <n v="3"/>
    <n v="4"/>
    <s v="-"/>
    <s v="-"/>
    <s v="-"/>
    <n v="0"/>
    <n v="0"/>
    <n v="3"/>
    <n v="4"/>
  </r>
  <r>
    <x v="8"/>
    <x v="205"/>
    <d v="1899-12-30T00:00:00"/>
    <s v="3RD"/>
    <d v="1899-12-31T03:00:00"/>
    <n v="2"/>
    <x v="4"/>
    <s v="-"/>
    <s v="P"/>
    <s v="P"/>
    <s v="P"/>
    <s v="-"/>
    <s v="+"/>
    <n v="10.54"/>
    <s v="-"/>
    <s v="-"/>
    <s v="-"/>
    <s v="-"/>
    <s v="-"/>
    <s v="-"/>
    <s v="-"/>
    <s v="-"/>
    <s v="-"/>
    <s v="-"/>
    <s v="-"/>
    <s v="-"/>
    <n v="1"/>
    <n v="2"/>
    <n v="0"/>
    <s v="-"/>
    <s v="-"/>
    <s v="-"/>
    <s v="-"/>
    <s v="-"/>
    <s v="-"/>
    <s v="-"/>
    <n v="3"/>
    <n v="4"/>
    <s v="-"/>
    <s v="-"/>
    <s v="-"/>
    <n v="0"/>
    <n v="0"/>
    <n v="3"/>
    <n v="4"/>
  </r>
  <r>
    <x v="8"/>
    <x v="205"/>
    <d v="1899-12-30T00:00:00"/>
    <s v="3RD"/>
    <d v="1899-12-31T04:00:00"/>
    <n v="2"/>
    <x v="4"/>
    <s v="-"/>
    <s v="P"/>
    <s v="P"/>
    <s v="P"/>
    <s v="-"/>
    <s v="+"/>
    <n v="10.6"/>
    <s v="-"/>
    <s v="-"/>
    <s v="-"/>
    <s v="-"/>
    <s v="-"/>
    <s v="-"/>
    <s v="-"/>
    <s v="-"/>
    <s v="-"/>
    <s v="-"/>
    <s v="-"/>
    <s v="-"/>
    <n v="1"/>
    <n v="2"/>
    <n v="0"/>
    <s v="-"/>
    <s v="-"/>
    <s v="-"/>
    <s v="-"/>
    <s v="-"/>
    <s v="-"/>
    <s v="-"/>
    <n v="3"/>
    <n v="4"/>
    <s v="-"/>
    <s v="-"/>
    <s v="-"/>
    <n v="0"/>
    <n v="0"/>
    <n v="3"/>
    <n v="4"/>
  </r>
  <r>
    <x v="8"/>
    <x v="205"/>
    <d v="2026-09-28T00:00:00"/>
    <s v="3RD"/>
    <d v="1899-12-30T22:00:00"/>
    <n v="3"/>
    <x v="1"/>
    <n v="0.01"/>
    <s v="P"/>
    <s v="P"/>
    <s v="P"/>
    <s v="+"/>
    <s v="+"/>
    <n v="12.1"/>
    <s v="-"/>
    <s v="-"/>
    <s v="-"/>
    <s v="-"/>
    <s v="-"/>
    <s v="-"/>
    <s v="-"/>
    <s v="-"/>
    <s v="-"/>
    <s v="-"/>
    <s v="-"/>
    <n v="2"/>
    <n v="1"/>
    <n v="2"/>
    <n v="1"/>
    <s v="-"/>
    <s v="-"/>
    <s v="-"/>
    <s v="-"/>
    <s v="-"/>
    <s v="-"/>
    <s v="-"/>
    <n v="6"/>
    <n v="6"/>
    <s v="-"/>
    <s v="-"/>
    <s v="-"/>
    <n v="0"/>
    <n v="0"/>
    <n v="6"/>
    <n v="6"/>
  </r>
  <r>
    <x v="8"/>
    <x v="205"/>
    <d v="2026-09-28T00:00:00"/>
    <s v="3RD"/>
    <d v="1899-12-31T01:00:00"/>
    <n v="3"/>
    <x v="36"/>
    <n v="0.01"/>
    <s v="P"/>
    <s v="P"/>
    <s v="P"/>
    <s v="+"/>
    <s v="+"/>
    <n v="12.42"/>
    <n v="12.58"/>
    <n v="0.51"/>
    <n v="63.5"/>
    <s v="-"/>
    <s v="-"/>
    <n v="35.1"/>
    <s v="-"/>
    <s v="-"/>
    <s v="-"/>
    <s v="-"/>
    <s v="-"/>
    <n v="2"/>
    <n v="1"/>
    <n v="2"/>
    <n v="1"/>
    <n v="0"/>
    <n v="2"/>
    <n v="0"/>
    <s v="-"/>
    <s v="-"/>
    <n v="2"/>
    <s v="-"/>
    <n v="10"/>
    <n v="13"/>
    <s v="-"/>
    <s v="-"/>
    <s v="-"/>
    <n v="0"/>
    <n v="0"/>
    <n v="10"/>
    <n v="13"/>
  </r>
  <r>
    <x v="8"/>
    <x v="205"/>
    <d v="2026-09-28T00:00:00"/>
    <s v="3RD"/>
    <d v="1899-12-31T02:00:00"/>
    <n v="3"/>
    <x v="36"/>
    <n v="0.01"/>
    <s v="P"/>
    <s v="P"/>
    <s v="P"/>
    <s v="+"/>
    <s v="+"/>
    <n v="12.42"/>
    <s v="-"/>
    <s v="-"/>
    <s v="-"/>
    <s v="-"/>
    <s v="-"/>
    <s v="-"/>
    <s v="-"/>
    <s v="-"/>
    <s v="-"/>
    <s v="-"/>
    <s v="-"/>
    <n v="2"/>
    <n v="1"/>
    <n v="2"/>
    <n v="1"/>
    <s v="-"/>
    <s v="-"/>
    <s v="-"/>
    <s v="-"/>
    <s v="-"/>
    <s v="-"/>
    <s v="-"/>
    <n v="6"/>
    <n v="6"/>
    <s v="-"/>
    <s v="-"/>
    <s v="-"/>
    <n v="0"/>
    <n v="0"/>
    <n v="6"/>
    <n v="6"/>
  </r>
  <r>
    <x v="8"/>
    <x v="205"/>
    <d v="2026-09-28T00:00:00"/>
    <s v="3RD"/>
    <d v="1899-12-31T03:00:00"/>
    <n v="3"/>
    <x v="36"/>
    <n v="0.01"/>
    <s v="P"/>
    <s v="P"/>
    <s v="P"/>
    <s v="+"/>
    <s v="+"/>
    <n v="12.51"/>
    <s v="-"/>
    <s v="-"/>
    <s v="-"/>
    <s v="-"/>
    <s v="-"/>
    <s v="-"/>
    <s v="-"/>
    <s v="-"/>
    <s v="-"/>
    <s v="-"/>
    <s v="-"/>
    <n v="2"/>
    <n v="1"/>
    <n v="2"/>
    <n v="1"/>
    <s v="-"/>
    <s v="-"/>
    <s v="-"/>
    <s v="-"/>
    <s v="-"/>
    <s v="-"/>
    <s v="-"/>
    <n v="6"/>
    <n v="6"/>
    <s v="-"/>
    <s v="-"/>
    <s v="-"/>
    <n v="0"/>
    <n v="0"/>
    <n v="6"/>
    <n v="6"/>
  </r>
  <r>
    <x v="8"/>
    <x v="205"/>
    <d v="2026-09-28T00:00:00"/>
    <s v="3RD"/>
    <d v="1899-12-31T04:00:00"/>
    <n v="3"/>
    <x v="16"/>
    <n v="0.01"/>
    <s v="P"/>
    <s v="P"/>
    <s v="P"/>
    <s v="+"/>
    <s v="+"/>
    <n v="12.31"/>
    <n v="12.56"/>
    <s v="-"/>
    <n v="63.1"/>
    <s v="-"/>
    <s v="-"/>
    <n v="35.1"/>
    <s v="-"/>
    <s v="-"/>
    <s v="-"/>
    <s v="-"/>
    <s v="-"/>
    <n v="2"/>
    <n v="1"/>
    <n v="2"/>
    <n v="1"/>
    <n v="1"/>
    <s v="-"/>
    <n v="0"/>
    <s v="-"/>
    <s v="-"/>
    <n v="2"/>
    <s v="-"/>
    <n v="9"/>
    <n v="11"/>
    <s v="-"/>
    <s v="-"/>
    <s v="-"/>
    <n v="0"/>
    <n v="0"/>
    <n v="9"/>
    <n v="11"/>
  </r>
  <r>
    <x v="8"/>
    <x v="205"/>
    <d v="2026-09-28T00:00:00"/>
    <s v="3RD"/>
    <d v="1899-12-31T05:00:00"/>
    <n v="3"/>
    <x v="16"/>
    <s v="-"/>
    <s v="P"/>
    <s v="P"/>
    <s v="P"/>
    <s v="+"/>
    <s v="+"/>
    <n v="12.6"/>
    <s v="-"/>
    <s v="-"/>
    <s v="-"/>
    <s v="-"/>
    <s v="-"/>
    <s v="-"/>
    <s v="-"/>
    <s v="-"/>
    <s v="-"/>
    <s v="-"/>
    <s v="-"/>
    <s v="-"/>
    <n v="1"/>
    <n v="2"/>
    <n v="1"/>
    <s v="-"/>
    <s v="-"/>
    <s v="-"/>
    <s v="-"/>
    <s v="-"/>
    <s v="-"/>
    <s v="-"/>
    <n v="4"/>
    <n v="4"/>
    <s v="-"/>
    <s v="-"/>
    <s v="-"/>
    <n v="0"/>
    <n v="0"/>
    <n v="4"/>
    <n v="4"/>
  </r>
  <r>
    <x v="9"/>
    <x v="206"/>
    <d v="2026-09-26T00:00:00"/>
    <s v="1ST"/>
    <s v="06:00"/>
    <n v="1"/>
    <x v="22"/>
    <s v="-"/>
    <s v="P"/>
    <s v="P"/>
    <s v="P"/>
    <s v="-"/>
    <s v="-"/>
    <n v="10.7"/>
    <n v="8.44"/>
    <n v="0.56000000000000005"/>
    <n v="53.5"/>
    <s v="-"/>
    <s v="-"/>
    <n v="22.7"/>
    <s v="-"/>
    <s v="-"/>
    <s v="P"/>
    <s v="P"/>
    <n v="1"/>
    <s v="-"/>
    <n v="1"/>
    <n v="2"/>
    <n v="0"/>
    <n v="0"/>
    <n v="2"/>
    <n v="0"/>
    <s v="-"/>
    <s v="-"/>
    <n v="2"/>
    <s v="-"/>
    <n v="7"/>
    <n v="11"/>
    <s v="-"/>
    <n v="1"/>
    <n v="1"/>
    <n v="2"/>
    <n v="2"/>
    <n v="9"/>
    <n v="13"/>
  </r>
  <r>
    <x v="9"/>
    <x v="206"/>
    <d v="2026-09-26T00:00:00"/>
    <s v="1ST"/>
    <s v="07:00"/>
    <n v="1"/>
    <x v="22"/>
    <s v="-"/>
    <s v="P"/>
    <s v="P"/>
    <s v="P"/>
    <s v="-"/>
    <s v="-"/>
    <n v="9.89"/>
    <s v="-"/>
    <s v="-"/>
    <s v="-"/>
    <s v="-"/>
    <s v="-"/>
    <s v="-"/>
    <s v="-"/>
    <s v="-"/>
    <s v="P"/>
    <s v="P"/>
    <s v="-"/>
    <s v="-"/>
    <n v="1"/>
    <n v="2"/>
    <n v="0"/>
    <s v="-"/>
    <s v="-"/>
    <s v="-"/>
    <s v="-"/>
    <s v="-"/>
    <s v="-"/>
    <s v="-"/>
    <n v="3"/>
    <n v="4"/>
    <s v="-"/>
    <n v="1"/>
    <n v="1"/>
    <n v="2"/>
    <n v="2"/>
    <n v="5"/>
    <n v="6"/>
  </r>
  <r>
    <x v="9"/>
    <x v="206"/>
    <d v="2026-09-26T00:00:00"/>
    <s v="1ST"/>
    <s v="08:00"/>
    <n v="1"/>
    <x v="22"/>
    <s v="-"/>
    <s v="P"/>
    <s v="P"/>
    <s v="P"/>
    <s v="-"/>
    <s v="-"/>
    <n v="10.67"/>
    <s v="-"/>
    <s v="-"/>
    <s v="-"/>
    <s v="-"/>
    <s v="-"/>
    <s v="-"/>
    <s v="-"/>
    <s v="-"/>
    <s v="P"/>
    <s v="P"/>
    <s v="-"/>
    <s v="-"/>
    <n v="1"/>
    <n v="2"/>
    <n v="0"/>
    <s v="-"/>
    <s v="-"/>
    <s v="-"/>
    <s v="-"/>
    <s v="-"/>
    <s v="-"/>
    <s v="-"/>
    <n v="3"/>
    <n v="4"/>
    <s v="-"/>
    <n v="1"/>
    <n v="1"/>
    <n v="2"/>
    <n v="2"/>
    <n v="5"/>
    <n v="6"/>
  </r>
  <r>
    <x v="9"/>
    <x v="206"/>
    <d v="2026-09-26T00:00:00"/>
    <s v="1ST"/>
    <s v="09:00"/>
    <n v="1"/>
    <x v="22"/>
    <s v="-"/>
    <s v="P"/>
    <s v="P"/>
    <s v="P"/>
    <s v="-"/>
    <s v="-"/>
    <n v="10.51"/>
    <s v="-"/>
    <s v="-"/>
    <s v="-"/>
    <s v="-"/>
    <s v="-"/>
    <s v="-"/>
    <s v="-"/>
    <s v="-"/>
    <s v="P"/>
    <s v="P"/>
    <s v="-"/>
    <s v="-"/>
    <n v="1"/>
    <n v="2"/>
    <n v="0"/>
    <s v="-"/>
    <s v="-"/>
    <s v="-"/>
    <s v="-"/>
    <s v="-"/>
    <s v="-"/>
    <s v="-"/>
    <n v="3"/>
    <n v="4"/>
    <s v="-"/>
    <n v="1"/>
    <n v="1"/>
    <n v="2"/>
    <n v="2"/>
    <n v="5"/>
    <n v="6"/>
  </r>
  <r>
    <x v="9"/>
    <x v="206"/>
    <d v="2026-09-26T00:00:00"/>
    <s v="1ST"/>
    <s v="10:00"/>
    <n v="1"/>
    <x v="22"/>
    <s v="-"/>
    <s v="-"/>
    <s v="P"/>
    <s v="P"/>
    <s v="-"/>
    <s v="-"/>
    <n v="10.66"/>
    <s v="-"/>
    <s v="-"/>
    <s v="-"/>
    <s v="-"/>
    <s v="-"/>
    <s v="-"/>
    <s v="-"/>
    <s v="-"/>
    <s v="P"/>
    <s v="P"/>
    <s v="-"/>
    <s v="-"/>
    <s v="-"/>
    <n v="2"/>
    <n v="0"/>
    <s v="-"/>
    <s v="-"/>
    <s v="-"/>
    <s v="-"/>
    <s v="-"/>
    <s v="-"/>
    <s v="-"/>
    <n v="2"/>
    <n v="3"/>
    <s v="-"/>
    <n v="1"/>
    <n v="1"/>
    <n v="2"/>
    <n v="2"/>
    <n v="4"/>
    <n v="5"/>
  </r>
  <r>
    <x v="9"/>
    <x v="206"/>
    <d v="2026-09-26T00:00:00"/>
    <s v="1ST"/>
    <s v="11:00"/>
    <n v="1"/>
    <x v="22"/>
    <s v="-"/>
    <s v="P"/>
    <s v="P"/>
    <s v="P"/>
    <s v="-"/>
    <s v="-"/>
    <n v="10.7"/>
    <s v="-"/>
    <s v="-"/>
    <s v="-"/>
    <s v="-"/>
    <s v="-"/>
    <s v="-"/>
    <s v="-"/>
    <s v="-"/>
    <s v="P"/>
    <s v="P"/>
    <s v="-"/>
    <s v="-"/>
    <n v="1"/>
    <n v="2"/>
    <n v="0"/>
    <s v="-"/>
    <s v="-"/>
    <s v="-"/>
    <s v="-"/>
    <s v="-"/>
    <s v="-"/>
    <s v="-"/>
    <n v="3"/>
    <n v="4"/>
    <s v="-"/>
    <n v="1"/>
    <n v="1"/>
    <n v="2"/>
    <n v="2"/>
    <n v="5"/>
    <n v="6"/>
  </r>
  <r>
    <x v="9"/>
    <x v="206"/>
    <d v="2026-09-26T00:00:00"/>
    <s v="1ST"/>
    <s v="12:00"/>
    <n v="1"/>
    <x v="22"/>
    <s v="-"/>
    <s v="P"/>
    <s v="P"/>
    <s v="P"/>
    <s v="-"/>
    <s v="-"/>
    <n v="10.62"/>
    <s v="-"/>
    <s v="-"/>
    <s v="-"/>
    <s v="-"/>
    <s v="-"/>
    <s v="-"/>
    <s v="-"/>
    <s v="-"/>
    <s v="P"/>
    <s v="P"/>
    <s v="-"/>
    <s v="-"/>
    <n v="1"/>
    <n v="2"/>
    <n v="0"/>
    <s v="-"/>
    <s v="-"/>
    <s v="-"/>
    <s v="-"/>
    <s v="-"/>
    <s v="-"/>
    <s v="-"/>
    <n v="3"/>
    <n v="4"/>
    <s v="-"/>
    <n v="1"/>
    <n v="1"/>
    <n v="2"/>
    <n v="2"/>
    <n v="5"/>
    <n v="6"/>
  </r>
  <r>
    <x v="9"/>
    <x v="206"/>
    <d v="1902-03-26T00:00:00"/>
    <s v="1ST"/>
    <s v="08:00"/>
    <n v="2"/>
    <x v="7"/>
    <s v="-"/>
    <s v="P"/>
    <s v="P"/>
    <s v="P"/>
    <s v="-"/>
    <s v="+"/>
    <n v="10.6"/>
    <n v="9.31"/>
    <n v="0.64"/>
    <n v="55.9"/>
    <s v="-"/>
    <s v="-"/>
    <n v="25.4"/>
    <s v="-"/>
    <s v="-"/>
    <s v="P"/>
    <s v="P"/>
    <s v="-"/>
    <s v="-"/>
    <n v="1"/>
    <n v="2"/>
    <n v="0"/>
    <n v="1"/>
    <n v="0"/>
    <n v="0"/>
    <s v="-"/>
    <s v="-"/>
    <n v="2"/>
    <s v="-"/>
    <n v="6"/>
    <n v="11"/>
    <s v="-"/>
    <n v="1"/>
    <n v="1"/>
    <n v="2"/>
    <n v="2"/>
    <n v="8"/>
    <n v="13"/>
  </r>
  <r>
    <x v="9"/>
    <x v="206"/>
    <d v="1899-12-30T00:00:00"/>
    <s v="1ST"/>
    <s v="09:00"/>
    <n v="2"/>
    <x v="7"/>
    <s v="-"/>
    <s v="P"/>
    <s v="P"/>
    <s v="P"/>
    <s v="-"/>
    <s v="+"/>
    <n v="10.64"/>
    <s v="-"/>
    <s v="-"/>
    <s v="-"/>
    <s v="-"/>
    <s v="-"/>
    <s v="-"/>
    <s v="-"/>
    <s v="-"/>
    <s v="P"/>
    <s v="P"/>
    <s v="-"/>
    <s v="-"/>
    <n v="1"/>
    <n v="2"/>
    <n v="0"/>
    <s v="-"/>
    <s v="-"/>
    <s v="-"/>
    <s v="-"/>
    <s v="-"/>
    <s v="-"/>
    <s v="-"/>
    <n v="3"/>
    <n v="4"/>
    <s v="-"/>
    <n v="1"/>
    <n v="1"/>
    <n v="2"/>
    <n v="2"/>
    <n v="5"/>
    <n v="6"/>
  </r>
  <r>
    <x v="9"/>
    <x v="206"/>
    <d v="1899-12-30T00:00:00"/>
    <s v="1ST"/>
    <s v="12:00"/>
    <n v="2"/>
    <x v="7"/>
    <s v="-"/>
    <s v="P"/>
    <s v="P"/>
    <s v="P"/>
    <s v="-"/>
    <s v="+"/>
    <n v="10.58"/>
    <s v="-"/>
    <s v="-"/>
    <s v="-"/>
    <s v="-"/>
    <s v="-"/>
    <s v="-"/>
    <s v="-"/>
    <s v="-"/>
    <s v="P"/>
    <s v="P"/>
    <s v="-"/>
    <s v="-"/>
    <n v="1"/>
    <n v="2"/>
    <n v="0"/>
    <s v="-"/>
    <s v="-"/>
    <s v="-"/>
    <s v="-"/>
    <s v="-"/>
    <s v="-"/>
    <s v="-"/>
    <n v="3"/>
    <n v="4"/>
    <s v="-"/>
    <n v="1"/>
    <n v="1"/>
    <n v="2"/>
    <n v="2"/>
    <n v="5"/>
    <n v="6"/>
  </r>
  <r>
    <x v="9"/>
    <x v="206"/>
    <d v="2026-09-28T00:00:00"/>
    <s v="1ST"/>
    <s v="06:00"/>
    <n v="3"/>
    <x v="16"/>
    <n v="0.01"/>
    <s v="P"/>
    <s v="P"/>
    <s v="P"/>
    <s v="+"/>
    <s v="+"/>
    <n v="12.47"/>
    <n v="12.57"/>
    <n v="0.47"/>
    <n v="63.4"/>
    <s v="-"/>
    <s v="-"/>
    <n v="35.1"/>
    <s v="-"/>
    <s v="-"/>
    <s v="P"/>
    <s v="P"/>
    <n v="1"/>
    <n v="2"/>
    <n v="1"/>
    <n v="2"/>
    <n v="1"/>
    <n v="1"/>
    <n v="2"/>
    <n v="0"/>
    <s v="-"/>
    <s v="-"/>
    <n v="2"/>
    <s v="-"/>
    <n v="11"/>
    <n v="13"/>
    <s v="-"/>
    <n v="1"/>
    <n v="1"/>
    <n v="2"/>
    <n v="2"/>
    <n v="13"/>
    <n v="15"/>
  </r>
  <r>
    <x v="9"/>
    <x v="206"/>
    <d v="2026-09-28T00:00:00"/>
    <s v="1ST"/>
    <s v="07:00"/>
    <n v="3"/>
    <x v="16"/>
    <n v="0.01"/>
    <s v="P"/>
    <s v="P"/>
    <s v="P"/>
    <s v="+"/>
    <s v="+"/>
    <n v="11.58"/>
    <s v="-"/>
    <s v="-"/>
    <s v="-"/>
    <s v="-"/>
    <s v="-"/>
    <s v="-"/>
    <s v="-"/>
    <s v="-"/>
    <s v="P"/>
    <s v="P"/>
    <s v="-"/>
    <n v="2"/>
    <n v="1"/>
    <n v="2"/>
    <n v="0"/>
    <s v="-"/>
    <s v="-"/>
    <s v="-"/>
    <s v="-"/>
    <s v="-"/>
    <s v="-"/>
    <s v="-"/>
    <n v="5"/>
    <n v="6"/>
    <s v="-"/>
    <n v="1"/>
    <n v="1"/>
    <n v="2"/>
    <n v="2"/>
    <n v="7"/>
    <n v="8"/>
  </r>
  <r>
    <x v="9"/>
    <x v="206"/>
    <d v="2026-09-28T00:00:00"/>
    <s v="1ST"/>
    <s v="08:00"/>
    <n v="3"/>
    <x v="16"/>
    <n v="0.01"/>
    <s v="P"/>
    <s v="P"/>
    <s v="P"/>
    <s v="+"/>
    <s v="+"/>
    <n v="12.44"/>
    <s v="-"/>
    <s v="-"/>
    <s v="-"/>
    <s v="-"/>
    <s v="-"/>
    <s v="-"/>
    <s v="-"/>
    <s v="-"/>
    <s v="P"/>
    <s v="P"/>
    <s v="-"/>
    <n v="2"/>
    <n v="1"/>
    <n v="2"/>
    <n v="1"/>
    <s v="-"/>
    <s v="-"/>
    <s v="-"/>
    <s v="-"/>
    <s v="-"/>
    <s v="-"/>
    <s v="-"/>
    <n v="6"/>
    <n v="6"/>
    <s v="-"/>
    <n v="1"/>
    <n v="1"/>
    <n v="2"/>
    <n v="2"/>
    <n v="8"/>
    <n v="8"/>
  </r>
  <r>
    <x v="9"/>
    <x v="206"/>
    <d v="2026-09-28T00:00:00"/>
    <s v="1ST"/>
    <s v="09:00"/>
    <n v="3"/>
    <x v="16"/>
    <s v="-"/>
    <s v="P"/>
    <s v="P"/>
    <s v="P"/>
    <s v="+"/>
    <s v="+"/>
    <n v="12.02"/>
    <s v="-"/>
    <s v="-"/>
    <s v="-"/>
    <s v="-"/>
    <s v="-"/>
    <s v="-"/>
    <s v="-"/>
    <s v="-"/>
    <s v="P"/>
    <s v="P"/>
    <s v="-"/>
    <s v="-"/>
    <n v="1"/>
    <n v="2"/>
    <n v="1"/>
    <s v="-"/>
    <s v="-"/>
    <s v="-"/>
    <s v="-"/>
    <s v="-"/>
    <s v="-"/>
    <s v="-"/>
    <n v="4"/>
    <n v="4"/>
    <s v="-"/>
    <n v="1"/>
    <n v="1"/>
    <n v="2"/>
    <n v="2"/>
    <n v="6"/>
    <n v="6"/>
  </r>
  <r>
    <x v="9"/>
    <x v="206"/>
    <d v="2026-09-28T00:00:00"/>
    <s v="1ST"/>
    <s v="11:00"/>
    <n v="3"/>
    <x v="16"/>
    <n v="0.01"/>
    <s v="P"/>
    <s v="P"/>
    <s v="P"/>
    <s v="+"/>
    <s v="+"/>
    <s v="-"/>
    <s v="-"/>
    <s v="-"/>
    <s v="-"/>
    <s v="-"/>
    <s v="-"/>
    <s v="-"/>
    <s v="-"/>
    <s v="-"/>
    <s v="P"/>
    <s v="P"/>
    <s v="-"/>
    <n v="2"/>
    <n v="1"/>
    <n v="2"/>
    <s v="-"/>
    <s v="-"/>
    <s v="-"/>
    <s v="-"/>
    <s v="-"/>
    <s v="-"/>
    <s v="-"/>
    <s v="-"/>
    <n v="5"/>
    <n v="5"/>
    <s v="-"/>
    <n v="1"/>
    <n v="1"/>
    <n v="2"/>
    <n v="2"/>
    <n v="7"/>
    <n v="7"/>
  </r>
  <r>
    <x v="9"/>
    <x v="206"/>
    <d v="2026-09-28T00:00:00"/>
    <s v="1ST"/>
    <s v="13:00"/>
    <n v="3"/>
    <x v="16"/>
    <s v="-"/>
    <s v="P"/>
    <s v="P"/>
    <s v="P"/>
    <s v="+"/>
    <s v="+"/>
    <n v="11.91"/>
    <s v="-"/>
    <s v="-"/>
    <s v="-"/>
    <s v="-"/>
    <s v="-"/>
    <s v="-"/>
    <s v="-"/>
    <s v="-"/>
    <s v="P"/>
    <s v="P"/>
    <s v="-"/>
    <s v="-"/>
    <n v="1"/>
    <n v="2"/>
    <n v="0"/>
    <s v="-"/>
    <s v="-"/>
    <s v="-"/>
    <s v="-"/>
    <s v="-"/>
    <s v="-"/>
    <s v="-"/>
    <n v="3"/>
    <n v="4"/>
    <s v="-"/>
    <n v="1"/>
    <n v="1"/>
    <n v="2"/>
    <n v="2"/>
    <n v="5"/>
    <n v="6"/>
  </r>
  <r>
    <x v="9"/>
    <x v="206"/>
    <d v="2026-09-29T00:00:00"/>
    <s v="1ST"/>
    <s v="08:00"/>
    <s v="Retail"/>
    <x v="25"/>
    <s v="-"/>
    <s v="P"/>
    <s v="P"/>
    <s v="P"/>
    <s v="+"/>
    <s v="+"/>
    <n v="11.82"/>
    <n v="15.01"/>
    <n v="1.04"/>
    <n v="69.599999999999994"/>
    <s v="-"/>
    <s v="-"/>
    <n v="42.7"/>
    <s v="-"/>
    <s v="-"/>
    <s v="-"/>
    <s v="-"/>
    <s v="-"/>
    <s v="-"/>
    <n v="1"/>
    <n v="2"/>
    <n v="0"/>
    <n v="1"/>
    <n v="2"/>
    <n v="2"/>
    <s v="-"/>
    <s v="-"/>
    <n v="2"/>
    <s v="-"/>
    <n v="10"/>
    <n v="11"/>
    <s v="-"/>
    <s v="-"/>
    <s v="-"/>
    <n v="0"/>
    <n v="0"/>
    <n v="10"/>
    <n v="11"/>
  </r>
  <r>
    <x v="9"/>
    <x v="206"/>
    <d v="2026-10-01T00:00:00"/>
    <s v="1ST"/>
    <s v="09:00"/>
    <s v="Retail"/>
    <x v="3"/>
    <s v="-"/>
    <s v="-"/>
    <s v="-"/>
    <s v="-"/>
    <s v="-"/>
    <s v="-"/>
    <n v="12.91"/>
    <s v="-"/>
    <s v="-"/>
    <s v="-"/>
    <s v="-"/>
    <s v="-"/>
    <s v="-"/>
    <s v="-"/>
    <s v="-"/>
    <s v="-"/>
    <s v="-"/>
    <s v="-"/>
    <s v="-"/>
    <s v="-"/>
    <s v="-"/>
    <n v="0"/>
    <s v="-"/>
    <s v="-"/>
    <s v="-"/>
    <s v="-"/>
    <s v="-"/>
    <s v="-"/>
    <s v="-"/>
    <n v="0"/>
    <n v="1"/>
    <s v="-"/>
    <s v="-"/>
    <s v="-"/>
    <n v="0"/>
    <n v="0"/>
    <n v="0"/>
    <n v="1"/>
  </r>
  <r>
    <x v="9"/>
    <x v="206"/>
    <d v="2026-09-26T00:00:00"/>
    <s v="2ND"/>
    <d v="1899-12-30T14:00:00"/>
    <n v="1"/>
    <x v="22"/>
    <s v="-"/>
    <s v="P"/>
    <s v="P"/>
    <s v="P"/>
    <s v="-"/>
    <s v="-"/>
    <n v="10.7"/>
    <n v="8.2799999999999994"/>
    <n v="0.56000000000000005"/>
    <s v="-"/>
    <s v="-"/>
    <s v="-"/>
    <n v="22.2"/>
    <s v="-"/>
    <s v="-"/>
    <s v="-"/>
    <s v="-"/>
    <n v="1"/>
    <s v="-"/>
    <n v="1"/>
    <n v="2"/>
    <n v="0"/>
    <n v="0"/>
    <n v="2"/>
    <s v="-"/>
    <s v="-"/>
    <s v="-"/>
    <n v="2"/>
    <s v="-"/>
    <n v="7"/>
    <n v="9"/>
    <s v="-"/>
    <s v="-"/>
    <s v="-"/>
    <n v="0"/>
    <n v="0"/>
    <n v="7"/>
    <n v="9"/>
  </r>
  <r>
    <x v="9"/>
    <x v="206"/>
    <d v="2026-09-26T00:00:00"/>
    <s v="2ND"/>
    <d v="1899-12-30T15:00:00"/>
    <n v="1"/>
    <x v="22"/>
    <s v="-"/>
    <s v="P"/>
    <s v="P"/>
    <s v="P"/>
    <s v="-"/>
    <s v="-"/>
    <n v="10.68"/>
    <s v="-"/>
    <s v="-"/>
    <s v="-"/>
    <s v="-"/>
    <s v="-"/>
    <s v="-"/>
    <s v="-"/>
    <s v="-"/>
    <s v="-"/>
    <s v="-"/>
    <s v="-"/>
    <s v="-"/>
    <n v="1"/>
    <n v="2"/>
    <n v="0"/>
    <s v="-"/>
    <s v="-"/>
    <s v="-"/>
    <s v="-"/>
    <s v="-"/>
    <s v="-"/>
    <s v="-"/>
    <n v="3"/>
    <n v="4"/>
    <s v="-"/>
    <s v="-"/>
    <s v="-"/>
    <n v="0"/>
    <n v="0"/>
    <n v="3"/>
    <n v="4"/>
  </r>
  <r>
    <x v="9"/>
    <x v="206"/>
    <d v="2026-09-26T00:00:00"/>
    <s v="2ND"/>
    <d v="1899-12-30T16:00:00"/>
    <n v="1"/>
    <x v="22"/>
    <s v="-"/>
    <s v="P"/>
    <s v="P"/>
    <s v="P"/>
    <s v="-"/>
    <s v="-"/>
    <n v="10.9"/>
    <s v="-"/>
    <s v="-"/>
    <s v="-"/>
    <s v="-"/>
    <s v="-"/>
    <s v="-"/>
    <s v="-"/>
    <s v="-"/>
    <s v="-"/>
    <s v="-"/>
    <s v="-"/>
    <s v="-"/>
    <n v="1"/>
    <n v="2"/>
    <n v="0"/>
    <s v="-"/>
    <s v="-"/>
    <s v="-"/>
    <s v="-"/>
    <s v="-"/>
    <s v="-"/>
    <s v="-"/>
    <n v="3"/>
    <n v="4"/>
    <s v="-"/>
    <s v="-"/>
    <s v="-"/>
    <n v="0"/>
    <n v="0"/>
    <n v="3"/>
    <n v="4"/>
  </r>
  <r>
    <x v="9"/>
    <x v="206"/>
    <d v="2026-09-26T00:00:00"/>
    <s v="2ND"/>
    <d v="1899-12-30T18:00:00"/>
    <n v="1"/>
    <x v="22"/>
    <s v="-"/>
    <s v="-"/>
    <s v="P"/>
    <s v="P"/>
    <s v="-"/>
    <s v="-"/>
    <n v="11.09"/>
    <s v="-"/>
    <s v="-"/>
    <s v="-"/>
    <s v="-"/>
    <s v="-"/>
    <s v="-"/>
    <s v="-"/>
    <s v="-"/>
    <s v="-"/>
    <s v="-"/>
    <s v="-"/>
    <s v="-"/>
    <s v="-"/>
    <n v="2"/>
    <n v="1"/>
    <s v="-"/>
    <s v="-"/>
    <s v="-"/>
    <s v="-"/>
    <s v="-"/>
    <s v="-"/>
    <s v="-"/>
    <n v="3"/>
    <n v="3"/>
    <s v="-"/>
    <s v="-"/>
    <s v="-"/>
    <n v="0"/>
    <n v="0"/>
    <n v="3"/>
    <n v="3"/>
  </r>
  <r>
    <x v="9"/>
    <x v="206"/>
    <d v="2026-09-26T00:00:00"/>
    <s v="2ND"/>
    <d v="1899-12-30T19:00:00"/>
    <n v="1"/>
    <x v="22"/>
    <s v="-"/>
    <s v="P"/>
    <s v="P"/>
    <s v="P"/>
    <s v="-"/>
    <s v="-"/>
    <n v="11.26"/>
    <s v="-"/>
    <s v="-"/>
    <s v="-"/>
    <s v="-"/>
    <s v="-"/>
    <s v="-"/>
    <s v="-"/>
    <s v="-"/>
    <s v="-"/>
    <s v="-"/>
    <s v="-"/>
    <s v="-"/>
    <n v="1"/>
    <n v="2"/>
    <n v="1"/>
    <s v="-"/>
    <s v="-"/>
    <s v="-"/>
    <s v="-"/>
    <s v="-"/>
    <s v="-"/>
    <s v="-"/>
    <n v="4"/>
    <n v="4"/>
    <s v="-"/>
    <s v="-"/>
    <s v="-"/>
    <n v="0"/>
    <n v="0"/>
    <n v="4"/>
    <n v="4"/>
  </r>
  <r>
    <x v="9"/>
    <x v="206"/>
    <d v="2026-09-26T00:00:00"/>
    <s v="2ND"/>
    <d v="1899-12-30T20:00:00"/>
    <n v="1"/>
    <x v="22"/>
    <s v="-"/>
    <s v="P"/>
    <s v="P"/>
    <s v="P"/>
    <s v="-"/>
    <s v="-"/>
    <n v="11.53"/>
    <s v="-"/>
    <s v="-"/>
    <s v="-"/>
    <s v="-"/>
    <s v="-"/>
    <s v="-"/>
    <s v="-"/>
    <s v="-"/>
    <s v="-"/>
    <s v="-"/>
    <s v="-"/>
    <s v="-"/>
    <n v="1"/>
    <n v="2"/>
    <n v="1"/>
    <s v="-"/>
    <s v="-"/>
    <s v="-"/>
    <s v="-"/>
    <s v="-"/>
    <s v="-"/>
    <s v="-"/>
    <n v="4"/>
    <n v="4"/>
    <s v="-"/>
    <s v="-"/>
    <s v="-"/>
    <n v="0"/>
    <n v="0"/>
    <n v="4"/>
    <n v="4"/>
  </r>
  <r>
    <x v="9"/>
    <x v="206"/>
    <d v="1899-12-30T00:00:00"/>
    <s v="2ND"/>
    <d v="1899-12-30T14:00:00"/>
    <n v="2"/>
    <x v="7"/>
    <s v="-"/>
    <s v="P"/>
    <s v="P"/>
    <s v="P"/>
    <s v="-"/>
    <s v="+"/>
    <n v="10.71"/>
    <s v="-"/>
    <s v="-"/>
    <s v="-"/>
    <s v="-"/>
    <s v="-"/>
    <s v="-"/>
    <s v="-"/>
    <s v="-"/>
    <s v="-"/>
    <s v="-"/>
    <s v="-"/>
    <s v="-"/>
    <n v="1"/>
    <n v="2"/>
    <n v="0"/>
    <s v="-"/>
    <s v="-"/>
    <s v="-"/>
    <s v="-"/>
    <s v="-"/>
    <s v="-"/>
    <s v="-"/>
    <n v="3"/>
    <n v="4"/>
    <s v="-"/>
    <s v="-"/>
    <s v="-"/>
    <n v="0"/>
    <n v="0"/>
    <n v="3"/>
    <n v="4"/>
  </r>
  <r>
    <x v="9"/>
    <x v="206"/>
    <d v="1899-12-30T00:00:00"/>
    <s v="2ND"/>
    <d v="1899-12-30T15:00:00"/>
    <n v="2"/>
    <x v="7"/>
    <s v="-"/>
    <s v="P"/>
    <s v="P"/>
    <s v="P"/>
    <s v="-"/>
    <s v="+"/>
    <n v="10.37"/>
    <s v="-"/>
    <s v="-"/>
    <s v="-"/>
    <s v="-"/>
    <s v="-"/>
    <s v="-"/>
    <s v="-"/>
    <s v="-"/>
    <s v="-"/>
    <s v="-"/>
    <s v="-"/>
    <s v="-"/>
    <n v="1"/>
    <n v="2"/>
    <n v="0"/>
    <s v="-"/>
    <s v="-"/>
    <s v="-"/>
    <s v="-"/>
    <s v="-"/>
    <s v="-"/>
    <s v="-"/>
    <n v="3"/>
    <n v="4"/>
    <s v="-"/>
    <s v="-"/>
    <s v="-"/>
    <n v="0"/>
    <n v="0"/>
    <n v="3"/>
    <n v="4"/>
  </r>
  <r>
    <x v="9"/>
    <x v="206"/>
    <d v="1899-12-30T00:00:00"/>
    <s v="2ND"/>
    <d v="1899-12-30T16:00:00"/>
    <n v="2"/>
    <x v="7"/>
    <s v="-"/>
    <s v="P"/>
    <s v="P"/>
    <s v="P"/>
    <s v="-"/>
    <s v="+"/>
    <n v="10.62"/>
    <s v="-"/>
    <s v="-"/>
    <s v="-"/>
    <s v="-"/>
    <s v="-"/>
    <s v="-"/>
    <s v="-"/>
    <s v="-"/>
    <s v="-"/>
    <s v="-"/>
    <s v="-"/>
    <s v="-"/>
    <n v="1"/>
    <n v="2"/>
    <n v="0"/>
    <s v="-"/>
    <s v="-"/>
    <s v="-"/>
    <s v="-"/>
    <s v="-"/>
    <s v="-"/>
    <s v="-"/>
    <n v="3"/>
    <n v="4"/>
    <s v="-"/>
    <s v="-"/>
    <s v="-"/>
    <n v="0"/>
    <n v="0"/>
    <n v="3"/>
    <n v="4"/>
  </r>
  <r>
    <x v="9"/>
    <x v="206"/>
    <d v="1899-12-30T00:00:00"/>
    <s v="2ND"/>
    <d v="1899-12-30T18:00:00"/>
    <n v="2"/>
    <x v="7"/>
    <s v="-"/>
    <s v="P"/>
    <s v="P"/>
    <s v="P"/>
    <s v="-"/>
    <s v="+"/>
    <n v="10.98"/>
    <s v="-"/>
    <s v="-"/>
    <s v="-"/>
    <s v="-"/>
    <s v="-"/>
    <s v="-"/>
    <s v="-"/>
    <s v="-"/>
    <s v="-"/>
    <s v="-"/>
    <s v="-"/>
    <s v="-"/>
    <n v="1"/>
    <n v="2"/>
    <n v="0"/>
    <s v="-"/>
    <s v="-"/>
    <s v="-"/>
    <s v="-"/>
    <s v="-"/>
    <s v="-"/>
    <s v="-"/>
    <n v="3"/>
    <n v="4"/>
    <s v="-"/>
    <s v="-"/>
    <s v="-"/>
    <n v="0"/>
    <n v="0"/>
    <n v="3"/>
    <n v="4"/>
  </r>
  <r>
    <x v="9"/>
    <x v="206"/>
    <d v="1899-12-30T00:00:00"/>
    <s v="2ND"/>
    <d v="1899-12-30T19:00:00"/>
    <n v="2"/>
    <x v="7"/>
    <s v="-"/>
    <s v="P"/>
    <s v="P"/>
    <s v="P"/>
    <s v="-"/>
    <s v="+"/>
    <s v="-"/>
    <s v="-"/>
    <s v="-"/>
    <s v="-"/>
    <s v="-"/>
    <s v="-"/>
    <s v="-"/>
    <s v="-"/>
    <s v="-"/>
    <s v="-"/>
    <s v="-"/>
    <s v="-"/>
    <s v="-"/>
    <n v="1"/>
    <n v="2"/>
    <s v="-"/>
    <s v="-"/>
    <s v="-"/>
    <s v="-"/>
    <s v="-"/>
    <s v="-"/>
    <s v="-"/>
    <s v="-"/>
    <n v="3"/>
    <n v="3"/>
    <s v="-"/>
    <s v="-"/>
    <s v="-"/>
    <n v="0"/>
    <n v="0"/>
    <n v="3"/>
    <n v="3"/>
  </r>
  <r>
    <x v="9"/>
    <x v="206"/>
    <d v="1899-12-30T00:00:00"/>
    <s v="2ND"/>
    <d v="1899-12-30T21:00:00"/>
    <n v="2"/>
    <x v="5"/>
    <s v="-"/>
    <s v="P"/>
    <s v="P"/>
    <s v="P"/>
    <s v="-"/>
    <s v="+"/>
    <s v="-"/>
    <s v="-"/>
    <s v="-"/>
    <s v="-"/>
    <s v="-"/>
    <s v="-"/>
    <s v="-"/>
    <s v="-"/>
    <s v="-"/>
    <s v="-"/>
    <s v="-"/>
    <s v="-"/>
    <s v="-"/>
    <n v="1"/>
    <n v="2"/>
    <s v="-"/>
    <s v="-"/>
    <s v="-"/>
    <s v="-"/>
    <s v="-"/>
    <s v="-"/>
    <s v="-"/>
    <s v="-"/>
    <n v="3"/>
    <n v="3"/>
    <s v="-"/>
    <s v="-"/>
    <s v="-"/>
    <n v="0"/>
    <n v="0"/>
    <n v="3"/>
    <n v="3"/>
  </r>
  <r>
    <x v="9"/>
    <x v="206"/>
    <d v="2026-09-28T00:00:00"/>
    <s v="2ND"/>
    <d v="1899-12-30T14:00:00"/>
    <n v="3"/>
    <x v="16"/>
    <n v="0.01"/>
    <s v="P"/>
    <s v="P"/>
    <s v="P"/>
    <s v="+"/>
    <s v="+"/>
    <n v="11.98"/>
    <n v="12.67"/>
    <n v="0.47"/>
    <s v="-"/>
    <s v="-"/>
    <s v="-"/>
    <n v="35.6"/>
    <s v="-"/>
    <s v="-"/>
    <s v="-"/>
    <s v="-"/>
    <n v="1"/>
    <n v="2"/>
    <n v="1"/>
    <n v="2"/>
    <n v="0"/>
    <n v="1"/>
    <n v="2"/>
    <s v="-"/>
    <s v="-"/>
    <s v="-"/>
    <n v="2"/>
    <s v="-"/>
    <n v="10"/>
    <n v="11"/>
    <s v="-"/>
    <s v="-"/>
    <s v="-"/>
    <n v="0"/>
    <n v="0"/>
    <n v="10"/>
    <n v="11"/>
  </r>
  <r>
    <x v="9"/>
    <x v="206"/>
    <d v="1899-12-30T00:00:00"/>
    <s v="2ND"/>
    <d v="1899-12-30T15:00:00"/>
    <n v="3"/>
    <x v="16"/>
    <s v="-"/>
    <s v="P"/>
    <s v="P"/>
    <s v="P"/>
    <s v="+"/>
    <s v="+"/>
    <n v="11.42"/>
    <s v="-"/>
    <s v="-"/>
    <s v="-"/>
    <s v="-"/>
    <s v="-"/>
    <s v="-"/>
    <s v="-"/>
    <s v="-"/>
    <s v="-"/>
    <s v="-"/>
    <s v="-"/>
    <s v="-"/>
    <n v="1"/>
    <n v="2"/>
    <n v="0"/>
    <s v="-"/>
    <s v="-"/>
    <s v="-"/>
    <s v="-"/>
    <s v="-"/>
    <s v="-"/>
    <s v="-"/>
    <n v="3"/>
    <n v="4"/>
    <s v="-"/>
    <s v="-"/>
    <s v="-"/>
    <n v="0"/>
    <n v="0"/>
    <n v="3"/>
    <n v="4"/>
  </r>
  <r>
    <x v="9"/>
    <x v="206"/>
    <d v="2026-09-30T00:00:00"/>
    <s v="2ND"/>
    <d v="1899-12-30T17:00:00"/>
    <n v="3"/>
    <x v="12"/>
    <n v="0.01"/>
    <s v="P"/>
    <s v="P"/>
    <s v="P"/>
    <s v="+"/>
    <s v="+"/>
    <n v="12.1"/>
    <n v="12.42"/>
    <s v="-"/>
    <n v="63.8"/>
    <s v="-"/>
    <s v="-"/>
    <n v="34.700000000000003"/>
    <s v="-"/>
    <s v="-"/>
    <s v="-"/>
    <s v="-"/>
    <n v="1"/>
    <n v="2"/>
    <n v="1"/>
    <n v="2"/>
    <n v="1"/>
    <s v="-"/>
    <s v="-"/>
    <n v="0"/>
    <s v="-"/>
    <s v="-"/>
    <n v="0"/>
    <s v="-"/>
    <n v="6"/>
    <n v="10"/>
    <s v="-"/>
    <s v="-"/>
    <s v="-"/>
    <n v="0"/>
    <n v="0"/>
    <n v="6"/>
    <n v="10"/>
  </r>
  <r>
    <x v="9"/>
    <x v="206"/>
    <d v="2026-09-29T00:00:00"/>
    <s v="2ND"/>
    <d v="1899-12-30T19:00:00"/>
    <n v="3"/>
    <x v="11"/>
    <n v="0.01"/>
    <s v="P"/>
    <s v="P"/>
    <s v="P"/>
    <s v="+"/>
    <s v="+"/>
    <s v="-"/>
    <n v="13.05"/>
    <s v="-"/>
    <n v="64.400000000000006"/>
    <s v="-"/>
    <s v="-"/>
    <n v="36.5"/>
    <s v="-"/>
    <s v="-"/>
    <s v="-"/>
    <s v="-"/>
    <n v="1"/>
    <n v="2"/>
    <n v="1"/>
    <n v="2"/>
    <s v="-"/>
    <n v="1"/>
    <s v="-"/>
    <n v="0"/>
    <s v="-"/>
    <s v="-"/>
    <n v="2"/>
    <s v="-"/>
    <n v="8"/>
    <n v="10"/>
    <s v="-"/>
    <s v="-"/>
    <s v="-"/>
    <n v="0"/>
    <n v="0"/>
    <n v="8"/>
    <n v="10"/>
  </r>
  <r>
    <x v="9"/>
    <x v="206"/>
    <d v="2026-09-29T00:00:00"/>
    <s v="2ND"/>
    <d v="1899-12-30T20:00:00"/>
    <n v="3"/>
    <x v="11"/>
    <n v="0.01"/>
    <s v="P"/>
    <s v="P"/>
    <s v="P"/>
    <s v="+"/>
    <s v="+"/>
    <n v="12.65"/>
    <s v="-"/>
    <s v="-"/>
    <s v="-"/>
    <s v="-"/>
    <s v="-"/>
    <s v="-"/>
    <s v="-"/>
    <s v="-"/>
    <s v="-"/>
    <s v="-"/>
    <s v="-"/>
    <n v="2"/>
    <n v="1"/>
    <n v="2"/>
    <n v="1"/>
    <s v="-"/>
    <s v="-"/>
    <s v="-"/>
    <s v="-"/>
    <s v="-"/>
    <s v="-"/>
    <s v="-"/>
    <n v="6"/>
    <n v="6"/>
    <s v="-"/>
    <s v="-"/>
    <s v="-"/>
    <n v="0"/>
    <n v="0"/>
    <n v="6"/>
    <n v="6"/>
  </r>
  <r>
    <x v="9"/>
    <x v="206"/>
    <d v="2026-09-26T00:00:00"/>
    <s v="3RD"/>
    <d v="1899-12-30T22:00:00"/>
    <n v="1"/>
    <x v="22"/>
    <s v="-"/>
    <s v="P"/>
    <s v="P"/>
    <s v="P"/>
    <s v="-"/>
    <s v="-"/>
    <n v="11.29"/>
    <s v="-"/>
    <s v="-"/>
    <s v="-"/>
    <s v="-"/>
    <s v="-"/>
    <s v="-"/>
    <s v="-"/>
    <s v="-"/>
    <s v="P"/>
    <s v="P"/>
    <n v="1"/>
    <s v="-"/>
    <n v="1"/>
    <n v="2"/>
    <n v="1"/>
    <s v="-"/>
    <s v="-"/>
    <s v="-"/>
    <s v="-"/>
    <s v="-"/>
    <s v="-"/>
    <s v="-"/>
    <n v="4"/>
    <n v="4"/>
    <s v="-"/>
    <n v="1"/>
    <n v="1"/>
    <n v="2"/>
    <n v="2"/>
    <n v="6"/>
    <n v="6"/>
  </r>
  <r>
    <x v="9"/>
    <x v="206"/>
    <d v="2026-09-26T00:00:00"/>
    <s v="3RD"/>
    <d v="1899-12-30T23:00:00"/>
    <n v="1"/>
    <x v="22"/>
    <s v="-"/>
    <s v="P"/>
    <s v="P"/>
    <s v="P"/>
    <s v="-"/>
    <s v="-"/>
    <n v="11.04"/>
    <s v="-"/>
    <s v="-"/>
    <s v="-"/>
    <s v="-"/>
    <s v="-"/>
    <s v="-"/>
    <s v="-"/>
    <s v="-"/>
    <s v="P"/>
    <s v="P"/>
    <s v="-"/>
    <s v="-"/>
    <n v="1"/>
    <n v="2"/>
    <n v="1"/>
    <s v="-"/>
    <s v="-"/>
    <s v="-"/>
    <s v="-"/>
    <s v="-"/>
    <s v="-"/>
    <s v="-"/>
    <n v="4"/>
    <n v="4"/>
    <s v="-"/>
    <n v="1"/>
    <n v="1"/>
    <n v="2"/>
    <n v="2"/>
    <n v="6"/>
    <n v="6"/>
  </r>
  <r>
    <x v="9"/>
    <x v="206"/>
    <d v="2026-09-26T00:00:00"/>
    <s v="3RD"/>
    <d v="1899-12-31T00:00:00"/>
    <n v="1"/>
    <x v="22"/>
    <s v="-"/>
    <s v="P"/>
    <s v="P"/>
    <s v="P"/>
    <s v="-"/>
    <s v="-"/>
    <n v="11.11"/>
    <s v="-"/>
    <s v="-"/>
    <s v="-"/>
    <s v="-"/>
    <s v="-"/>
    <s v="-"/>
    <s v="-"/>
    <s v="-"/>
    <s v="P"/>
    <s v="P"/>
    <s v="-"/>
    <s v="-"/>
    <n v="1"/>
    <n v="2"/>
    <n v="1"/>
    <s v="-"/>
    <s v="-"/>
    <s v="-"/>
    <s v="-"/>
    <s v="-"/>
    <s v="-"/>
    <s v="-"/>
    <n v="4"/>
    <n v="4"/>
    <s v="-"/>
    <n v="1"/>
    <n v="1"/>
    <n v="2"/>
    <n v="2"/>
    <n v="6"/>
    <n v="6"/>
  </r>
  <r>
    <x v="9"/>
    <x v="206"/>
    <d v="2026-09-29T00:00:00"/>
    <s v="3RD"/>
    <d v="1899-12-31T01:00:00"/>
    <n v="1"/>
    <x v="20"/>
    <n v="0.01"/>
    <s v="P"/>
    <s v="P"/>
    <s v="P"/>
    <s v="-"/>
    <s v="-"/>
    <n v="12.16"/>
    <n v="12.35"/>
    <n v="0.55000000000000004"/>
    <n v="65.2"/>
    <s v="-"/>
    <s v="-"/>
    <n v="34.5"/>
    <s v="-"/>
    <n v="25.19"/>
    <s v="P"/>
    <s v="P"/>
    <s v="95% 5%"/>
    <n v="2"/>
    <n v="1"/>
    <n v="2"/>
    <n v="1"/>
    <n v="1"/>
    <n v="2"/>
    <n v="2"/>
    <s v="-"/>
    <s v="-"/>
    <n v="2"/>
    <s v="-"/>
    <n v="13"/>
    <n v="13"/>
    <n v="1"/>
    <n v="1"/>
    <n v="1"/>
    <n v="3"/>
    <n v="3"/>
    <n v="16"/>
    <n v="16"/>
  </r>
  <r>
    <x v="9"/>
    <x v="206"/>
    <d v="2026-09-29T00:00:00"/>
    <s v="3RD"/>
    <d v="1899-12-31T02:00:00"/>
    <n v="1"/>
    <x v="20"/>
    <n v="0.02"/>
    <s v="-"/>
    <s v="P"/>
    <s v="P"/>
    <s v="-"/>
    <s v="-"/>
    <n v="11.97"/>
    <s v="-"/>
    <s v="-"/>
    <s v="-"/>
    <s v="-"/>
    <s v="-"/>
    <s v="-"/>
    <s v="-"/>
    <s v="-"/>
    <s v="P"/>
    <s v="P"/>
    <s v="-"/>
    <n v="2"/>
    <s v="-"/>
    <n v="2"/>
    <n v="1"/>
    <s v="-"/>
    <s v="-"/>
    <s v="-"/>
    <s v="-"/>
    <s v="-"/>
    <s v="-"/>
    <s v="-"/>
    <n v="5"/>
    <n v="5"/>
    <s v="-"/>
    <n v="1"/>
    <n v="1"/>
    <n v="2"/>
    <n v="2"/>
    <n v="7"/>
    <n v="7"/>
  </r>
  <r>
    <x v="9"/>
    <x v="206"/>
    <d v="1899-12-30T00:00:00"/>
    <s v="3RD"/>
    <d v="1899-12-30T22:00:00"/>
    <n v="2"/>
    <x v="5"/>
    <s v="-"/>
    <s v="P"/>
    <s v="P"/>
    <s v="P"/>
    <s v="-"/>
    <s v="+"/>
    <n v="10.59"/>
    <s v="-"/>
    <s v="-"/>
    <s v="-"/>
    <s v="-"/>
    <s v="-"/>
    <s v="-"/>
    <s v="-"/>
    <n v="25.16"/>
    <s v="P"/>
    <s v="P"/>
    <s v="-"/>
    <s v="-"/>
    <n v="1"/>
    <n v="2"/>
    <n v="0"/>
    <s v="-"/>
    <s v="-"/>
    <s v="-"/>
    <s v="-"/>
    <s v="-"/>
    <s v="-"/>
    <s v="-"/>
    <n v="3"/>
    <n v="4"/>
    <n v="1"/>
    <n v="1"/>
    <n v="1"/>
    <n v="3"/>
    <n v="3"/>
    <n v="6"/>
    <n v="7"/>
  </r>
  <r>
    <x v="9"/>
    <x v="206"/>
    <d v="1899-12-30T00:00:00"/>
    <s v="3RD"/>
    <d v="1899-12-30T23:00:00"/>
    <n v="2"/>
    <x v="5"/>
    <s v="-"/>
    <s v="P"/>
    <s v="P"/>
    <s v="P"/>
    <s v="-"/>
    <s v="+"/>
    <n v="10.52"/>
    <s v="-"/>
    <s v="-"/>
    <s v="-"/>
    <s v="-"/>
    <s v="-"/>
    <s v="-"/>
    <s v="-"/>
    <s v="-"/>
    <s v="P"/>
    <s v="P"/>
    <s v="-"/>
    <s v="-"/>
    <n v="1"/>
    <n v="2"/>
    <n v="0"/>
    <s v="-"/>
    <s v="-"/>
    <s v="-"/>
    <s v="-"/>
    <s v="-"/>
    <s v="-"/>
    <s v="-"/>
    <n v="3"/>
    <n v="4"/>
    <s v="-"/>
    <n v="1"/>
    <n v="1"/>
    <n v="2"/>
    <n v="2"/>
    <n v="5"/>
    <n v="6"/>
  </r>
  <r>
    <x v="9"/>
    <x v="206"/>
    <d v="1899-12-30T00:00:00"/>
    <s v="3RD"/>
    <d v="1899-12-31T00:00:00"/>
    <n v="2"/>
    <x v="5"/>
    <s v="-"/>
    <s v="P"/>
    <s v="P"/>
    <s v="P"/>
    <s v="-"/>
    <s v="+"/>
    <n v="10.46"/>
    <s v="-"/>
    <s v="-"/>
    <s v="-"/>
    <s v="-"/>
    <s v="-"/>
    <s v="-"/>
    <s v="-"/>
    <s v="-"/>
    <s v="P"/>
    <s v="P"/>
    <s v="-"/>
    <s v="-"/>
    <n v="1"/>
    <n v="2"/>
    <n v="0"/>
    <s v="-"/>
    <s v="-"/>
    <s v="-"/>
    <s v="-"/>
    <s v="-"/>
    <s v="-"/>
    <s v="-"/>
    <n v="3"/>
    <n v="4"/>
    <s v="-"/>
    <n v="1"/>
    <n v="1"/>
    <n v="2"/>
    <n v="2"/>
    <n v="5"/>
    <n v="6"/>
  </r>
  <r>
    <x v="9"/>
    <x v="206"/>
    <d v="1899-12-30T00:00:00"/>
    <s v="3RD"/>
    <d v="1899-12-31T01:00:00"/>
    <n v="2"/>
    <x v="5"/>
    <s v="-"/>
    <s v="P"/>
    <s v="P"/>
    <s v="P"/>
    <s v="-"/>
    <s v="+"/>
    <n v="10.76"/>
    <s v="-"/>
    <s v="-"/>
    <s v="-"/>
    <s v="-"/>
    <s v="-"/>
    <s v="-"/>
    <s v="-"/>
    <s v="-"/>
    <s v="P"/>
    <s v="P"/>
    <n v="1"/>
    <s v="-"/>
    <n v="1"/>
    <n v="2"/>
    <n v="0"/>
    <s v="-"/>
    <s v="-"/>
    <s v="-"/>
    <s v="-"/>
    <s v="-"/>
    <s v="-"/>
    <s v="-"/>
    <n v="3"/>
    <n v="4"/>
    <s v="-"/>
    <n v="1"/>
    <n v="1"/>
    <n v="2"/>
    <n v="2"/>
    <n v="5"/>
    <n v="6"/>
  </r>
  <r>
    <x v="9"/>
    <x v="206"/>
    <d v="1899-12-30T00:00:00"/>
    <s v="3RD"/>
    <d v="1899-12-31T02:00:00"/>
    <n v="2"/>
    <x v="4"/>
    <s v="-"/>
    <s v="P"/>
    <s v="P"/>
    <s v="P"/>
    <s v="-"/>
    <s v="+"/>
    <n v="10.69"/>
    <s v="-"/>
    <s v="-"/>
    <s v="-"/>
    <s v="-"/>
    <s v="-"/>
    <s v="-"/>
    <s v="-"/>
    <s v="-"/>
    <s v="P"/>
    <s v="P"/>
    <s v="-"/>
    <s v="-"/>
    <n v="1"/>
    <n v="2"/>
    <n v="0"/>
    <s v="-"/>
    <s v="-"/>
    <s v="-"/>
    <s v="-"/>
    <s v="-"/>
    <s v="-"/>
    <s v="-"/>
    <n v="3"/>
    <n v="4"/>
    <s v="-"/>
    <n v="1"/>
    <n v="1"/>
    <n v="2"/>
    <n v="2"/>
    <n v="5"/>
    <n v="6"/>
  </r>
  <r>
    <x v="9"/>
    <x v="206"/>
    <d v="1899-12-30T00:00:00"/>
    <s v="3RD"/>
    <d v="1899-12-31T03:00:00"/>
    <n v="2"/>
    <x v="4"/>
    <s v="-"/>
    <s v="P"/>
    <s v="P"/>
    <s v="P"/>
    <s v="-"/>
    <s v="+"/>
    <n v="11.07"/>
    <s v="-"/>
    <s v="-"/>
    <s v="-"/>
    <s v="-"/>
    <s v="-"/>
    <s v="-"/>
    <s v="-"/>
    <s v="-"/>
    <s v="P"/>
    <s v="P"/>
    <s v="-"/>
    <s v="-"/>
    <n v="1"/>
    <n v="2"/>
    <n v="1"/>
    <s v="-"/>
    <s v="-"/>
    <s v="-"/>
    <s v="-"/>
    <s v="-"/>
    <s v="-"/>
    <s v="-"/>
    <n v="4"/>
    <n v="4"/>
    <s v="-"/>
    <n v="1"/>
    <n v="1"/>
    <n v="2"/>
    <n v="2"/>
    <n v="6"/>
    <n v="6"/>
  </r>
  <r>
    <x v="9"/>
    <x v="206"/>
    <d v="2026-09-29T00:00:00"/>
    <s v="3RD"/>
    <d v="1899-12-30T22:00:00"/>
    <n v="3"/>
    <x v="1"/>
    <n v="0.01"/>
    <s v="P"/>
    <s v="P"/>
    <s v="P"/>
    <s v="+"/>
    <s v="+"/>
    <n v="12.22"/>
    <n v="12.92"/>
    <n v="0.61"/>
    <n v="64"/>
    <s v="-"/>
    <s v="-"/>
    <n v="36.200000000000003"/>
    <s v="-"/>
    <n v="25.2"/>
    <s v="P"/>
    <s v="P"/>
    <s v="-"/>
    <n v="2"/>
    <n v="1"/>
    <n v="2"/>
    <n v="1"/>
    <n v="1"/>
    <n v="2"/>
    <n v="2"/>
    <s v="-"/>
    <s v="-"/>
    <n v="2"/>
    <s v="-"/>
    <n v="13"/>
    <n v="13"/>
    <n v="1"/>
    <n v="1"/>
    <n v="1"/>
    <n v="3"/>
    <n v="3"/>
    <n v="16"/>
    <n v="16"/>
  </r>
  <r>
    <x v="9"/>
    <x v="206"/>
    <d v="2026-09-29T00:00:00"/>
    <s v="3RD"/>
    <d v="1899-12-30T23:00:00"/>
    <n v="3"/>
    <x v="1"/>
    <s v="-"/>
    <s v="P"/>
    <s v="P"/>
    <s v="P"/>
    <s v="+"/>
    <s v="+"/>
    <n v="12.06"/>
    <s v="-"/>
    <s v="-"/>
    <s v="-"/>
    <s v="-"/>
    <s v="-"/>
    <s v="-"/>
    <s v="-"/>
    <s v="-"/>
    <s v="P"/>
    <s v="P"/>
    <s v="-"/>
    <s v="-"/>
    <n v="1"/>
    <n v="2"/>
    <n v="1"/>
    <s v="-"/>
    <s v="-"/>
    <s v="-"/>
    <s v="-"/>
    <s v="-"/>
    <s v="-"/>
    <s v="-"/>
    <n v="4"/>
    <n v="4"/>
    <s v="-"/>
    <n v="1"/>
    <n v="1"/>
    <n v="2"/>
    <n v="2"/>
    <n v="6"/>
    <n v="6"/>
  </r>
  <r>
    <x v="9"/>
    <x v="206"/>
    <d v="2026-09-29T00:00:00"/>
    <s v="3RD"/>
    <d v="1899-12-31T00:00:00"/>
    <n v="3"/>
    <x v="1"/>
    <n v="0.01"/>
    <s v="P"/>
    <s v="P"/>
    <s v="P"/>
    <s v="+"/>
    <s v="+"/>
    <n v="12.25"/>
    <s v="-"/>
    <s v="-"/>
    <s v="-"/>
    <s v="-"/>
    <s v="-"/>
    <s v="-"/>
    <s v="-"/>
    <s v="-"/>
    <s v="P"/>
    <s v="P"/>
    <s v="-"/>
    <n v="2"/>
    <n v="1"/>
    <n v="2"/>
    <n v="1"/>
    <s v="-"/>
    <s v="-"/>
    <s v="-"/>
    <s v="-"/>
    <s v="-"/>
    <s v="-"/>
    <s v="-"/>
    <n v="6"/>
    <n v="6"/>
    <s v="-"/>
    <n v="1"/>
    <n v="1"/>
    <n v="2"/>
    <n v="2"/>
    <n v="8"/>
    <n v="8"/>
  </r>
  <r>
    <x v="9"/>
    <x v="206"/>
    <d v="2026-09-29T00:00:00"/>
    <s v="3RD"/>
    <d v="1899-12-31T01:00:00"/>
    <n v="3"/>
    <x v="1"/>
    <s v="-"/>
    <s v="P"/>
    <s v="P"/>
    <s v="P"/>
    <s v="+"/>
    <s v="+"/>
    <n v="12.54"/>
    <s v="-"/>
    <s v="-"/>
    <s v="-"/>
    <s v="-"/>
    <s v="-"/>
    <s v="-"/>
    <s v="-"/>
    <s v="-"/>
    <s v="P"/>
    <s v="P"/>
    <s v="-"/>
    <s v="-"/>
    <n v="1"/>
    <n v="2"/>
    <n v="1"/>
    <s v="-"/>
    <s v="-"/>
    <s v="-"/>
    <s v="-"/>
    <s v="-"/>
    <s v="-"/>
    <s v="-"/>
    <n v="4"/>
    <n v="4"/>
    <s v="-"/>
    <n v="1"/>
    <n v="1"/>
    <n v="2"/>
    <n v="2"/>
    <n v="6"/>
    <n v="6"/>
  </r>
  <r>
    <x v="9"/>
    <x v="206"/>
    <d v="2026-09-29T00:00:00"/>
    <s v="3RD"/>
    <d v="1899-12-31T05:00:00"/>
    <n v="3"/>
    <x v="1"/>
    <s v="-"/>
    <s v="P"/>
    <s v="P"/>
    <s v="P"/>
    <s v="+"/>
    <s v="+"/>
    <n v="11.99"/>
    <s v="-"/>
    <s v="-"/>
    <s v="-"/>
    <s v="-"/>
    <s v="-"/>
    <s v="-"/>
    <s v="-"/>
    <s v="-"/>
    <s v="P"/>
    <s v="P"/>
    <s v="-"/>
    <s v="-"/>
    <n v="1"/>
    <n v="2"/>
    <n v="0"/>
    <s v="-"/>
    <s v="-"/>
    <s v="-"/>
    <s v="-"/>
    <s v="-"/>
    <s v="-"/>
    <s v="-"/>
    <n v="3"/>
    <n v="4"/>
    <s v="-"/>
    <n v="1"/>
    <n v="1"/>
    <n v="2"/>
    <n v="2"/>
    <n v="5"/>
    <n v="6"/>
  </r>
  <r>
    <x v="9"/>
    <x v="207"/>
    <d v="2026-09-29T00:00:00"/>
    <s v="1ST"/>
    <s v="06:00"/>
    <n v="1"/>
    <x v="20"/>
    <n v="0.02"/>
    <s v="P"/>
    <s v="P"/>
    <s v="P"/>
    <s v="-"/>
    <s v="-"/>
    <n v="12.13"/>
    <n v="12.48"/>
    <n v="0.6"/>
    <n v="65.3"/>
    <s v="-"/>
    <s v="-"/>
    <n v="34.9"/>
    <s v="-"/>
    <s v="-"/>
    <s v="P"/>
    <s v="P"/>
    <s v="95% 5%"/>
    <n v="2"/>
    <n v="1"/>
    <n v="2"/>
    <n v="1"/>
    <n v="1"/>
    <n v="2"/>
    <n v="2"/>
    <s v="-"/>
    <s v="-"/>
    <n v="2"/>
    <s v="-"/>
    <n v="13"/>
    <n v="13"/>
    <s v="-"/>
    <n v="1"/>
    <n v="1"/>
    <n v="2"/>
    <n v="2"/>
    <n v="15"/>
    <n v="15"/>
  </r>
  <r>
    <x v="9"/>
    <x v="207"/>
    <d v="2026-09-29T00:00:00"/>
    <s v="1ST"/>
    <s v="08:00"/>
    <n v="1"/>
    <x v="20"/>
    <n v="0.02"/>
    <s v="P"/>
    <s v="P"/>
    <s v="P"/>
    <s v="-"/>
    <s v="-"/>
    <n v="12.1"/>
    <s v="-"/>
    <s v="-"/>
    <s v="-"/>
    <s v="-"/>
    <s v="-"/>
    <s v="-"/>
    <s v="-"/>
    <s v="-"/>
    <s v="P"/>
    <s v="P"/>
    <s v="-"/>
    <n v="2"/>
    <n v="1"/>
    <n v="2"/>
    <n v="1"/>
    <s v="-"/>
    <s v="-"/>
    <s v="-"/>
    <s v="-"/>
    <s v="-"/>
    <s v="-"/>
    <s v="-"/>
    <n v="6"/>
    <n v="6"/>
    <s v="-"/>
    <n v="1"/>
    <n v="1"/>
    <n v="2"/>
    <n v="2"/>
    <n v="8"/>
    <n v="8"/>
  </r>
  <r>
    <x v="9"/>
    <x v="207"/>
    <d v="2026-09-29T00:00:00"/>
    <s v="1ST"/>
    <s v="09:00"/>
    <n v="1"/>
    <x v="20"/>
    <n v="0.02"/>
    <s v="P"/>
    <s v="P"/>
    <s v="P"/>
    <s v="-"/>
    <s v="-"/>
    <n v="12.11"/>
    <s v="-"/>
    <s v="-"/>
    <s v="-"/>
    <s v="-"/>
    <s v="-"/>
    <s v="-"/>
    <s v="-"/>
    <s v="-"/>
    <s v="P"/>
    <s v="P"/>
    <s v="-"/>
    <n v="2"/>
    <n v="1"/>
    <n v="2"/>
    <n v="1"/>
    <s v="-"/>
    <s v="-"/>
    <s v="-"/>
    <s v="-"/>
    <s v="-"/>
    <s v="-"/>
    <s v="-"/>
    <n v="6"/>
    <n v="6"/>
    <s v="-"/>
    <n v="1"/>
    <n v="1"/>
    <n v="2"/>
    <n v="2"/>
    <n v="8"/>
    <n v="8"/>
  </r>
  <r>
    <x v="9"/>
    <x v="207"/>
    <d v="2026-09-29T00:00:00"/>
    <s v="1ST"/>
    <s v="11:00"/>
    <n v="1"/>
    <x v="20"/>
    <n v="0.02"/>
    <s v="P"/>
    <s v="P"/>
    <s v="P"/>
    <s v="-"/>
    <s v="-"/>
    <n v="12.31"/>
    <s v="-"/>
    <s v="-"/>
    <s v="-"/>
    <s v="-"/>
    <s v="-"/>
    <s v="-"/>
    <s v="-"/>
    <s v="-"/>
    <s v="P"/>
    <s v="P"/>
    <s v="-"/>
    <n v="2"/>
    <n v="1"/>
    <n v="2"/>
    <n v="1"/>
    <s v="-"/>
    <s v="-"/>
    <s v="-"/>
    <s v="-"/>
    <s v="-"/>
    <s v="-"/>
    <s v="-"/>
    <n v="6"/>
    <n v="6"/>
    <s v="-"/>
    <n v="1"/>
    <n v="1"/>
    <n v="2"/>
    <n v="2"/>
    <n v="8"/>
    <n v="8"/>
  </r>
  <r>
    <x v="9"/>
    <x v="207"/>
    <d v="1902-03-26T00:00:00"/>
    <s v="1ST"/>
    <s v="06:00"/>
    <n v="2"/>
    <x v="4"/>
    <s v="-"/>
    <s v="P"/>
    <s v="P"/>
    <s v="P"/>
    <s v="-"/>
    <s v="+"/>
    <n v="10.5"/>
    <s v="-"/>
    <s v="-"/>
    <s v="-"/>
    <s v="-"/>
    <s v="-"/>
    <s v="-"/>
    <s v="-"/>
    <s v="-"/>
    <s v="P"/>
    <s v="P"/>
    <s v="-"/>
    <s v="-"/>
    <n v="1"/>
    <n v="2"/>
    <n v="0"/>
    <s v="-"/>
    <s v="-"/>
    <s v="-"/>
    <s v="-"/>
    <s v="-"/>
    <s v="-"/>
    <s v="-"/>
    <n v="3"/>
    <n v="4"/>
    <s v="-"/>
    <n v="1"/>
    <n v="1"/>
    <n v="2"/>
    <n v="2"/>
    <n v="5"/>
    <n v="6"/>
  </r>
  <r>
    <x v="9"/>
    <x v="207"/>
    <d v="1899-12-30T00:00:00"/>
    <s v="1ST"/>
    <s v="08:00"/>
    <n v="2"/>
    <x v="17"/>
    <s v="-"/>
    <s v="P"/>
    <s v="P"/>
    <s v="P"/>
    <s v="-"/>
    <s v="+"/>
    <n v="10.16"/>
    <n v="7.55"/>
    <n v="0.36"/>
    <n v="55.2"/>
    <s v="-"/>
    <s v="-"/>
    <n v="20"/>
    <s v="-"/>
    <s v="-"/>
    <s v="P"/>
    <s v="P"/>
    <s v="-"/>
    <s v="-"/>
    <n v="1"/>
    <n v="2"/>
    <n v="0"/>
    <n v="1"/>
    <n v="2"/>
    <n v="2"/>
    <s v="-"/>
    <s v="-"/>
    <n v="2"/>
    <s v="-"/>
    <n v="10"/>
    <n v="11"/>
    <s v="-"/>
    <n v="1"/>
    <n v="1"/>
    <n v="2"/>
    <n v="2"/>
    <n v="12"/>
    <n v="13"/>
  </r>
  <r>
    <x v="9"/>
    <x v="207"/>
    <d v="1899-12-30T00:00:00"/>
    <s v="1ST"/>
    <s v="09:00"/>
    <n v="2"/>
    <x v="17"/>
    <s v="-"/>
    <s v="P"/>
    <s v="P"/>
    <s v="P"/>
    <s v="-"/>
    <s v="+"/>
    <n v="10.199999999999999"/>
    <s v="-"/>
    <s v="-"/>
    <s v="-"/>
    <s v="-"/>
    <s v="-"/>
    <s v="-"/>
    <s v="-"/>
    <s v="-"/>
    <s v="P"/>
    <s v="P"/>
    <s v="-"/>
    <s v="-"/>
    <n v="1"/>
    <n v="2"/>
    <n v="0"/>
    <s v="-"/>
    <s v="-"/>
    <s v="-"/>
    <s v="-"/>
    <s v="-"/>
    <s v="-"/>
    <s v="-"/>
    <n v="3"/>
    <n v="4"/>
    <s v="-"/>
    <n v="1"/>
    <n v="1"/>
    <n v="2"/>
    <n v="2"/>
    <n v="5"/>
    <n v="6"/>
  </r>
  <r>
    <x v="9"/>
    <x v="207"/>
    <d v="1899-12-30T00:00:00"/>
    <s v="1ST"/>
    <s v="11:00"/>
    <n v="2"/>
    <x v="17"/>
    <s v="-"/>
    <s v="P"/>
    <s v="P"/>
    <s v="P"/>
    <s v="-"/>
    <s v="+"/>
    <n v="10.210000000000001"/>
    <s v="-"/>
    <s v="-"/>
    <s v="-"/>
    <s v="-"/>
    <s v="-"/>
    <s v="-"/>
    <s v="-"/>
    <s v="-"/>
    <s v="P"/>
    <s v="P"/>
    <s v="-"/>
    <s v="-"/>
    <n v="1"/>
    <n v="2"/>
    <n v="0"/>
    <s v="-"/>
    <s v="-"/>
    <s v="-"/>
    <s v="-"/>
    <s v="-"/>
    <s v="-"/>
    <s v="-"/>
    <n v="3"/>
    <n v="4"/>
    <s v="-"/>
    <n v="1"/>
    <n v="1"/>
    <n v="2"/>
    <n v="2"/>
    <n v="5"/>
    <n v="6"/>
  </r>
  <r>
    <x v="9"/>
    <x v="207"/>
    <d v="1899-12-30T00:00:00"/>
    <s v="1ST"/>
    <s v="12:00"/>
    <n v="2"/>
    <x v="17"/>
    <s v="-"/>
    <s v="P"/>
    <s v="P"/>
    <s v="P"/>
    <s v="-"/>
    <s v="+"/>
    <n v="10.23"/>
    <s v="-"/>
    <s v="-"/>
    <s v="-"/>
    <s v="-"/>
    <s v="-"/>
    <s v="-"/>
    <s v="-"/>
    <s v="-"/>
    <s v="P"/>
    <s v="P"/>
    <s v="-"/>
    <s v="-"/>
    <n v="1"/>
    <n v="2"/>
    <n v="0"/>
    <s v="-"/>
    <s v="-"/>
    <s v="-"/>
    <s v="-"/>
    <s v="-"/>
    <s v="-"/>
    <s v="-"/>
    <n v="3"/>
    <n v="4"/>
    <s v="-"/>
    <n v="1"/>
    <n v="1"/>
    <n v="2"/>
    <n v="2"/>
    <n v="5"/>
    <n v="6"/>
  </r>
  <r>
    <x v="9"/>
    <x v="207"/>
    <d v="2026-09-29T00:00:00"/>
    <s v="1ST"/>
    <s v="06:00"/>
    <n v="3"/>
    <x v="1"/>
    <n v="0.01"/>
    <s v="P"/>
    <s v="P"/>
    <s v="P"/>
    <s v="+"/>
    <s v="+"/>
    <n v="11.48"/>
    <n v="12.7"/>
    <n v="0.59"/>
    <n v="64"/>
    <s v="-"/>
    <s v="-"/>
    <n v="35.700000000000003"/>
    <s v="-"/>
    <s v="-"/>
    <s v="P"/>
    <s v="P"/>
    <s v="95% 5%"/>
    <n v="2"/>
    <n v="1"/>
    <n v="2"/>
    <n v="0"/>
    <n v="1"/>
    <n v="2"/>
    <n v="2"/>
    <s v="-"/>
    <s v="-"/>
    <n v="2"/>
    <s v="-"/>
    <n v="12"/>
    <n v="13"/>
    <s v="-"/>
    <n v="1"/>
    <n v="1"/>
    <n v="2"/>
    <n v="2"/>
    <n v="14"/>
    <n v="15"/>
  </r>
  <r>
    <x v="9"/>
    <x v="207"/>
    <d v="2026-09-29T00:00:00"/>
    <s v="1ST"/>
    <s v="09:00"/>
    <n v="3"/>
    <x v="10"/>
    <s v="-"/>
    <s v="P"/>
    <s v="P"/>
    <s v="P"/>
    <s v="+"/>
    <s v="+"/>
    <n v="12.33"/>
    <n v="11.88"/>
    <n v="0.36"/>
    <n v="63.8"/>
    <s v="-"/>
    <s v="-"/>
    <n v="33"/>
    <s v="-"/>
    <s v="-"/>
    <s v="P"/>
    <s v="P"/>
    <n v="1"/>
    <s v="-"/>
    <n v="1"/>
    <n v="2"/>
    <n v="1"/>
    <n v="1"/>
    <n v="2"/>
    <n v="2"/>
    <s v="-"/>
    <s v="-"/>
    <n v="2"/>
    <s v="-"/>
    <n v="11"/>
    <n v="11"/>
    <s v="-"/>
    <n v="1"/>
    <n v="1"/>
    <n v="2"/>
    <n v="2"/>
    <n v="13"/>
    <n v="13"/>
  </r>
  <r>
    <x v="9"/>
    <x v="207"/>
    <d v="2026-09-29T00:00:00"/>
    <s v="1ST"/>
    <s v="11:00"/>
    <n v="3"/>
    <x v="10"/>
    <s v="-"/>
    <s v="P"/>
    <s v="P"/>
    <s v="P"/>
    <s v="+"/>
    <s v="+"/>
    <s v="-"/>
    <s v="-"/>
    <s v="-"/>
    <s v="-"/>
    <s v="-"/>
    <s v="-"/>
    <s v="-"/>
    <s v="-"/>
    <s v="-"/>
    <s v="P"/>
    <s v="P"/>
    <s v="-"/>
    <s v="-"/>
    <n v="1"/>
    <n v="2"/>
    <s v="-"/>
    <s v="-"/>
    <s v="-"/>
    <s v="-"/>
    <s v="-"/>
    <s v="-"/>
    <s v="-"/>
    <s v="-"/>
    <n v="3"/>
    <n v="3"/>
    <s v="-"/>
    <n v="1"/>
    <n v="1"/>
    <n v="2"/>
    <n v="2"/>
    <n v="5"/>
    <n v="5"/>
  </r>
  <r>
    <x v="9"/>
    <x v="207"/>
    <d v="2026-09-29T00:00:00"/>
    <s v="1ST"/>
    <s v="12:00"/>
    <n v="3"/>
    <x v="10"/>
    <s v="-"/>
    <s v="P"/>
    <s v="P"/>
    <s v="P"/>
    <s v="+"/>
    <s v="+"/>
    <n v="11.56"/>
    <s v="-"/>
    <s v="-"/>
    <s v="-"/>
    <s v="-"/>
    <s v="-"/>
    <s v="-"/>
    <s v="-"/>
    <s v="-"/>
    <s v="P"/>
    <s v="P"/>
    <s v="-"/>
    <s v="-"/>
    <n v="1"/>
    <n v="2"/>
    <n v="0"/>
    <s v="-"/>
    <s v="-"/>
    <s v="-"/>
    <s v="-"/>
    <s v="-"/>
    <s v="-"/>
    <s v="-"/>
    <n v="3"/>
    <n v="4"/>
    <s v="-"/>
    <n v="1"/>
    <n v="1"/>
    <n v="2"/>
    <n v="2"/>
    <n v="5"/>
    <n v="6"/>
  </r>
  <r>
    <x v="9"/>
    <x v="207"/>
    <d v="1902-03-26T00:00:00"/>
    <s v="2ND"/>
    <d v="1899-12-30T14:00:00"/>
    <n v="2"/>
    <x v="17"/>
    <s v="-"/>
    <s v="P"/>
    <s v="P"/>
    <s v="P"/>
    <s v="-"/>
    <s v="+"/>
    <n v="10.02"/>
    <s v="-"/>
    <s v="-"/>
    <s v="-"/>
    <s v="-"/>
    <s v="-"/>
    <s v="-"/>
    <s v="-"/>
    <n v="25.16"/>
    <s v="P"/>
    <s v="P"/>
    <s v="-"/>
    <s v="-"/>
    <n v="1"/>
    <n v="2"/>
    <n v="0"/>
    <s v="-"/>
    <s v="-"/>
    <s v="-"/>
    <s v="-"/>
    <s v="-"/>
    <s v="-"/>
    <s v="-"/>
    <n v="3"/>
    <n v="4"/>
    <n v="1"/>
    <n v="1"/>
    <n v="1"/>
    <n v="3"/>
    <n v="3"/>
    <n v="6"/>
    <n v="7"/>
  </r>
  <r>
    <x v="9"/>
    <x v="207"/>
    <d v="1902-03-26T00:00:00"/>
    <s v="2ND"/>
    <d v="1899-12-30T18:00:00"/>
    <n v="2"/>
    <x v="14"/>
    <s v="-"/>
    <s v="P"/>
    <s v="P"/>
    <s v="P"/>
    <s v="-"/>
    <s v="+"/>
    <n v="10.29"/>
    <n v="9.6300000000000008"/>
    <s v="-"/>
    <n v="57.1"/>
    <s v="-"/>
    <s v="-"/>
    <n v="26.4"/>
    <s v="-"/>
    <n v="25.16"/>
    <s v="P"/>
    <s v="P"/>
    <s v="-"/>
    <s v="-"/>
    <n v="1"/>
    <n v="2"/>
    <n v="0"/>
    <n v="1"/>
    <s v="-"/>
    <n v="2"/>
    <s v="-"/>
    <s v="-"/>
    <n v="0"/>
    <s v="-"/>
    <n v="6"/>
    <n v="9"/>
    <n v="1"/>
    <n v="1"/>
    <n v="1"/>
    <n v="3"/>
    <n v="3"/>
    <n v="9"/>
    <n v="12"/>
  </r>
  <r>
    <x v="9"/>
    <x v="207"/>
    <d v="1899-12-30T00:00:00"/>
    <s v="2ND"/>
    <d v="1899-12-30T19:00:00"/>
    <n v="2"/>
    <x v="14"/>
    <n v="0.01"/>
    <s v="P"/>
    <s v="P"/>
    <s v="P"/>
    <s v="-"/>
    <s v="+"/>
    <n v="10.41"/>
    <s v="-"/>
    <s v="-"/>
    <s v="-"/>
    <s v="-"/>
    <s v="-"/>
    <s v="-"/>
    <s v="-"/>
    <s v="-"/>
    <s v="P"/>
    <s v="P"/>
    <s v="-"/>
    <n v="2"/>
    <n v="1"/>
    <n v="2"/>
    <n v="0"/>
    <s v="-"/>
    <s v="-"/>
    <s v="-"/>
    <s v="-"/>
    <s v="-"/>
    <s v="-"/>
    <s v="-"/>
    <n v="5"/>
    <n v="6"/>
    <s v="-"/>
    <n v="1"/>
    <n v="1"/>
    <n v="2"/>
    <n v="2"/>
    <n v="7"/>
    <n v="8"/>
  </r>
  <r>
    <x v="9"/>
    <x v="207"/>
    <d v="1899-12-30T00:00:00"/>
    <s v="2ND"/>
    <d v="1899-12-30T20:00:00"/>
    <n v="2"/>
    <x v="14"/>
    <s v="-"/>
    <s v="P"/>
    <s v="P"/>
    <s v="P"/>
    <s v="-"/>
    <s v="+"/>
    <n v="10.08"/>
    <s v="-"/>
    <s v="-"/>
    <s v="-"/>
    <s v="-"/>
    <s v="-"/>
    <s v="-"/>
    <s v="-"/>
    <s v="-"/>
    <s v="P"/>
    <s v="P"/>
    <s v="-"/>
    <s v="-"/>
    <n v="1"/>
    <n v="2"/>
    <n v="0"/>
    <s v="-"/>
    <s v="-"/>
    <s v="-"/>
    <s v="-"/>
    <s v="-"/>
    <s v="-"/>
    <s v="-"/>
    <n v="3"/>
    <n v="4"/>
    <s v="-"/>
    <n v="1"/>
    <n v="1"/>
    <n v="2"/>
    <n v="2"/>
    <n v="5"/>
    <n v="6"/>
  </r>
  <r>
    <x v="9"/>
    <x v="207"/>
    <d v="1899-12-30T00:00:00"/>
    <s v="2ND"/>
    <d v="1899-12-30T21:00:00"/>
    <n v="2"/>
    <x v="14"/>
    <s v="-"/>
    <s v="P"/>
    <s v="P"/>
    <s v="P"/>
    <s v="-"/>
    <s v="+"/>
    <n v="10.42"/>
    <s v="-"/>
    <s v="-"/>
    <s v="-"/>
    <s v="-"/>
    <s v="-"/>
    <s v="-"/>
    <s v="-"/>
    <s v="-"/>
    <s v="P"/>
    <s v="P"/>
    <s v="-"/>
    <s v="-"/>
    <n v="1"/>
    <n v="2"/>
    <n v="0"/>
    <s v="-"/>
    <s v="-"/>
    <s v="-"/>
    <s v="-"/>
    <s v="-"/>
    <s v="-"/>
    <s v="-"/>
    <n v="3"/>
    <n v="4"/>
    <s v="-"/>
    <n v="1"/>
    <n v="1"/>
    <n v="2"/>
    <n v="2"/>
    <n v="5"/>
    <n v="6"/>
  </r>
  <r>
    <x v="9"/>
    <x v="207"/>
    <d v="2026-09-29T00:00:00"/>
    <s v="2ND"/>
    <d v="1899-12-30T14:00:00"/>
    <n v="3"/>
    <x v="10"/>
    <s v="-"/>
    <s v="P"/>
    <s v="P"/>
    <s v="P"/>
    <s v="-"/>
    <s v="+"/>
    <n v="12.08"/>
    <s v="-"/>
    <s v="-"/>
    <s v="-"/>
    <s v="-"/>
    <s v="-"/>
    <s v="-"/>
    <s v="-"/>
    <n v="25.2"/>
    <s v="P"/>
    <s v="P"/>
    <n v="1"/>
    <s v="-"/>
    <n v="1"/>
    <n v="2"/>
    <n v="1"/>
    <s v="-"/>
    <s v="-"/>
    <s v="-"/>
    <s v="-"/>
    <s v="-"/>
    <s v="-"/>
    <s v="-"/>
    <n v="4"/>
    <n v="4"/>
    <n v="1"/>
    <n v="1"/>
    <n v="1"/>
    <n v="3"/>
    <n v="3"/>
    <n v="7"/>
    <n v="7"/>
  </r>
  <r>
    <x v="9"/>
    <x v="207"/>
    <d v="2026-10-01T00:00:00"/>
    <s v="2ND"/>
    <d v="1899-12-30T16:00:00"/>
    <n v="3"/>
    <x v="36"/>
    <n v="0.01"/>
    <s v="P"/>
    <s v="P"/>
    <s v="P"/>
    <s v="-"/>
    <s v="+"/>
    <n v="12.44"/>
    <n v="12.54"/>
    <n v="0.56999999999999995"/>
    <s v="-"/>
    <s v="-"/>
    <s v="-"/>
    <n v="35"/>
    <s v="-"/>
    <n v="25.2"/>
    <s v="P"/>
    <s v="P"/>
    <n v="1"/>
    <n v="2"/>
    <n v="1"/>
    <n v="2"/>
    <n v="1"/>
    <n v="0"/>
    <n v="2"/>
    <s v="-"/>
    <s v="-"/>
    <s v="-"/>
    <n v="2"/>
    <s v="-"/>
    <n v="10"/>
    <n v="11"/>
    <n v="1"/>
    <n v="1"/>
    <n v="1"/>
    <n v="3"/>
    <n v="3"/>
    <n v="13"/>
    <n v="14"/>
  </r>
  <r>
    <x v="9"/>
    <x v="207"/>
    <d v="2026-10-01T00:00:00"/>
    <s v="2ND"/>
    <d v="1899-12-30T19:00:00"/>
    <n v="3"/>
    <x v="36"/>
    <n v="0.01"/>
    <s v="P"/>
    <s v="P"/>
    <s v="P"/>
    <s v="-"/>
    <s v="+"/>
    <s v="-"/>
    <s v="-"/>
    <s v="-"/>
    <s v="-"/>
    <s v="-"/>
    <s v="-"/>
    <s v="-"/>
    <s v="-"/>
    <s v="-"/>
    <s v="P"/>
    <s v="P"/>
    <s v="-"/>
    <n v="2"/>
    <n v="1"/>
    <n v="2"/>
    <s v="-"/>
    <s v="-"/>
    <s v="-"/>
    <s v="-"/>
    <s v="-"/>
    <s v="-"/>
    <s v="-"/>
    <s v="-"/>
    <n v="5"/>
    <n v="5"/>
    <s v="-"/>
    <n v="1"/>
    <n v="1"/>
    <n v="2"/>
    <n v="2"/>
    <n v="7"/>
    <n v="7"/>
  </r>
  <r>
    <x v="9"/>
    <x v="207"/>
    <d v="2026-10-01T00:00:00"/>
    <s v="2ND"/>
    <d v="1899-12-30T20:00:00"/>
    <n v="3"/>
    <x v="16"/>
    <n v="0.01"/>
    <s v="P"/>
    <s v="P"/>
    <s v="P"/>
    <s v="-"/>
    <s v="+"/>
    <n v="12.71"/>
    <n v="12.65"/>
    <s v="-"/>
    <n v="63.7"/>
    <s v="-"/>
    <s v="-"/>
    <n v="35.299999999999997"/>
    <s v="-"/>
    <n v="25.19"/>
    <s v="P"/>
    <s v="P"/>
    <n v="1"/>
    <n v="2"/>
    <n v="1"/>
    <n v="2"/>
    <n v="1"/>
    <n v="1"/>
    <s v="-"/>
    <n v="0"/>
    <s v="-"/>
    <s v="-"/>
    <n v="2"/>
    <s v="-"/>
    <n v="9"/>
    <n v="11"/>
    <n v="1"/>
    <n v="1"/>
    <n v="1"/>
    <n v="3"/>
    <n v="3"/>
    <n v="12"/>
    <n v="14"/>
  </r>
  <r>
    <x v="9"/>
    <x v="207"/>
    <d v="1899-12-30T00:00:00"/>
    <s v="2ND"/>
    <d v="1899-12-30T21:00:00"/>
    <n v="3"/>
    <x v="16"/>
    <s v="-"/>
    <s v="P"/>
    <s v="P"/>
    <s v="P"/>
    <s v="-"/>
    <s v="+"/>
    <n v="12.6"/>
    <s v="-"/>
    <s v="-"/>
    <s v="-"/>
    <s v="-"/>
    <s v="-"/>
    <s v="-"/>
    <s v="-"/>
    <s v="-"/>
    <s v="P"/>
    <s v="P"/>
    <s v="-"/>
    <s v="-"/>
    <n v="1"/>
    <n v="2"/>
    <n v="1"/>
    <s v="-"/>
    <s v="-"/>
    <s v="-"/>
    <s v="-"/>
    <s v="-"/>
    <s v="-"/>
    <s v="-"/>
    <n v="4"/>
    <n v="4"/>
    <s v="-"/>
    <n v="1"/>
    <n v="1"/>
    <n v="2"/>
    <n v="2"/>
    <n v="6"/>
    <n v="6"/>
  </r>
  <r>
    <x v="9"/>
    <x v="207"/>
    <d v="1902-03-26T00:00:00"/>
    <s v="3RD"/>
    <d v="1899-12-30T22:00:00"/>
    <n v="2"/>
    <x v="14"/>
    <s v="-"/>
    <s v="P"/>
    <s v="P"/>
    <s v="P"/>
    <s v="-"/>
    <s v="+"/>
    <n v="10.25"/>
    <s v="-"/>
    <s v="-"/>
    <s v="-"/>
    <s v="-"/>
    <s v="-"/>
    <s v="-"/>
    <s v="-"/>
    <s v="-"/>
    <s v="-"/>
    <s v="-"/>
    <s v="-"/>
    <s v="-"/>
    <n v="1"/>
    <n v="2"/>
    <n v="0"/>
    <s v="-"/>
    <s v="-"/>
    <s v="-"/>
    <s v="-"/>
    <s v="-"/>
    <s v="-"/>
    <s v="-"/>
    <n v="3"/>
    <n v="4"/>
    <s v="-"/>
    <s v="-"/>
    <s v="-"/>
    <n v="0"/>
    <n v="0"/>
    <n v="3"/>
    <n v="4"/>
  </r>
  <r>
    <x v="9"/>
    <x v="207"/>
    <d v="1899-12-30T00:00:00"/>
    <s v="3RD"/>
    <d v="1899-12-30T23:00:00"/>
    <n v="2"/>
    <x v="14"/>
    <s v="-"/>
    <s v="P"/>
    <s v="P"/>
    <s v="P"/>
    <s v="-"/>
    <s v="+"/>
    <n v="9.9600000000000009"/>
    <s v="-"/>
    <s v="-"/>
    <s v="-"/>
    <s v="-"/>
    <s v="-"/>
    <s v="-"/>
    <s v="-"/>
    <s v="-"/>
    <s v="-"/>
    <s v="-"/>
    <s v="-"/>
    <s v="-"/>
    <n v="1"/>
    <n v="2"/>
    <n v="0"/>
    <s v="-"/>
    <s v="-"/>
    <s v="-"/>
    <s v="-"/>
    <s v="-"/>
    <s v="-"/>
    <s v="-"/>
    <n v="3"/>
    <n v="4"/>
    <s v="-"/>
    <s v="-"/>
    <s v="-"/>
    <n v="0"/>
    <n v="0"/>
    <n v="3"/>
    <n v="4"/>
  </r>
  <r>
    <x v="9"/>
    <x v="207"/>
    <d v="1899-12-30T00:00:00"/>
    <s v="3RD"/>
    <d v="1899-12-31T00:00:00"/>
    <n v="2"/>
    <x v="14"/>
    <s v="-"/>
    <s v="P"/>
    <s v="P"/>
    <s v="P"/>
    <s v="-"/>
    <s v="+"/>
    <n v="10.06"/>
    <s v="-"/>
    <s v="-"/>
    <s v="-"/>
    <s v="-"/>
    <s v="-"/>
    <s v="-"/>
    <s v="-"/>
    <s v="-"/>
    <s v="-"/>
    <s v="-"/>
    <s v="-"/>
    <s v="-"/>
    <n v="1"/>
    <n v="2"/>
    <n v="0"/>
    <s v="-"/>
    <s v="-"/>
    <s v="-"/>
    <s v="-"/>
    <s v="-"/>
    <s v="-"/>
    <s v="-"/>
    <n v="3"/>
    <n v="4"/>
    <s v="-"/>
    <s v="-"/>
    <s v="-"/>
    <n v="0"/>
    <n v="0"/>
    <n v="3"/>
    <n v="4"/>
  </r>
  <r>
    <x v="9"/>
    <x v="207"/>
    <d v="1899-12-30T00:00:00"/>
    <s v="3RD"/>
    <d v="1899-12-31T01:00:00"/>
    <n v="2"/>
    <x v="14"/>
    <s v="-"/>
    <s v="P"/>
    <s v="P"/>
    <s v="P"/>
    <s v="-"/>
    <s v="+"/>
    <n v="10.06"/>
    <s v="-"/>
    <s v="-"/>
    <s v="-"/>
    <s v="-"/>
    <s v="-"/>
    <s v="-"/>
    <s v="-"/>
    <s v="-"/>
    <s v="-"/>
    <s v="-"/>
    <s v="-"/>
    <s v="-"/>
    <n v="1"/>
    <n v="2"/>
    <n v="0"/>
    <s v="-"/>
    <s v="-"/>
    <s v="-"/>
    <s v="-"/>
    <s v="-"/>
    <s v="-"/>
    <s v="-"/>
    <n v="3"/>
    <n v="4"/>
    <s v="-"/>
    <s v="-"/>
    <s v="-"/>
    <n v="0"/>
    <n v="0"/>
    <n v="3"/>
    <n v="4"/>
  </r>
  <r>
    <x v="9"/>
    <x v="207"/>
    <d v="1899-12-30T00:00:00"/>
    <s v="3RD"/>
    <d v="1899-12-31T03:00:00"/>
    <n v="2"/>
    <x v="2"/>
    <s v="-"/>
    <s v="P"/>
    <s v="P"/>
    <s v="P"/>
    <s v="-"/>
    <s v="+"/>
    <n v="9.93"/>
    <n v="9.16"/>
    <s v="-"/>
    <n v="57.9"/>
    <s v="-"/>
    <s v="-"/>
    <n v="25"/>
    <s v="-"/>
    <s v="-"/>
    <s v="-"/>
    <s v="-"/>
    <s v="-"/>
    <s v="-"/>
    <n v="1"/>
    <n v="2"/>
    <n v="0"/>
    <n v="0"/>
    <s v="-"/>
    <n v="0"/>
    <s v="-"/>
    <s v="-"/>
    <n v="0"/>
    <s v="-"/>
    <n v="3"/>
    <n v="9"/>
    <s v="-"/>
    <s v="-"/>
    <s v="-"/>
    <n v="0"/>
    <n v="0"/>
    <n v="3"/>
    <n v="9"/>
  </r>
  <r>
    <x v="9"/>
    <x v="207"/>
    <d v="1899-12-30T00:00:00"/>
    <s v="3RD"/>
    <d v="1899-12-31T04:00:00"/>
    <n v="2"/>
    <x v="2"/>
    <s v="-"/>
    <s v="P"/>
    <s v="P"/>
    <s v="P"/>
    <s v="-"/>
    <s v="+"/>
    <n v="10.5"/>
    <s v="-"/>
    <s v="-"/>
    <s v="-"/>
    <s v="-"/>
    <s v="-"/>
    <s v="-"/>
    <s v="-"/>
    <s v="-"/>
    <s v="-"/>
    <s v="-"/>
    <s v="-"/>
    <s v="-"/>
    <n v="1"/>
    <n v="2"/>
    <n v="0"/>
    <s v="-"/>
    <s v="-"/>
    <s v="-"/>
    <s v="-"/>
    <s v="-"/>
    <s v="-"/>
    <s v="-"/>
    <n v="3"/>
    <n v="4"/>
    <s v="-"/>
    <s v="-"/>
    <s v="-"/>
    <n v="0"/>
    <n v="0"/>
    <n v="3"/>
    <n v="4"/>
  </r>
  <r>
    <x v="9"/>
    <x v="207"/>
    <d v="2026-10-01T00:00:00"/>
    <s v="3RD"/>
    <d v="1899-12-30T22:00:00"/>
    <n v="3"/>
    <x v="16"/>
    <n v="0.01"/>
    <s v="P"/>
    <s v="P"/>
    <s v="P"/>
    <s v="+"/>
    <s v="+"/>
    <n v="12.66"/>
    <n v="12.55"/>
    <n v="0.55000000000000004"/>
    <s v="-"/>
    <s v="-"/>
    <s v="-"/>
    <n v="34.9"/>
    <s v="-"/>
    <s v="-"/>
    <s v="-"/>
    <s v="-"/>
    <n v="1"/>
    <n v="2"/>
    <n v="1"/>
    <n v="2"/>
    <n v="1"/>
    <n v="1"/>
    <n v="2"/>
    <s v="-"/>
    <s v="-"/>
    <s v="-"/>
    <n v="2"/>
    <s v="-"/>
    <n v="11"/>
    <n v="11"/>
    <s v="-"/>
    <s v="-"/>
    <s v="-"/>
    <n v="0"/>
    <n v="0"/>
    <n v="11"/>
    <n v="11"/>
  </r>
  <r>
    <x v="9"/>
    <x v="207"/>
    <d v="2026-10-01T00:00:00"/>
    <s v="3RD"/>
    <d v="1899-12-30T23:00:00"/>
    <n v="3"/>
    <x v="16"/>
    <s v="-"/>
    <s v="P"/>
    <s v="P"/>
    <s v="P"/>
    <s v="+"/>
    <s v="+"/>
    <n v="13.09"/>
    <s v="-"/>
    <s v="-"/>
    <s v="-"/>
    <s v="-"/>
    <s v="-"/>
    <s v="-"/>
    <s v="-"/>
    <s v="-"/>
    <s v="-"/>
    <s v="-"/>
    <s v="-"/>
    <s v="-"/>
    <n v="1"/>
    <n v="2"/>
    <n v="1"/>
    <s v="-"/>
    <s v="-"/>
    <s v="-"/>
    <s v="-"/>
    <s v="-"/>
    <s v="-"/>
    <s v="-"/>
    <n v="4"/>
    <n v="4"/>
    <s v="-"/>
    <s v="-"/>
    <s v="-"/>
    <n v="0"/>
    <n v="0"/>
    <n v="4"/>
    <n v="4"/>
  </r>
  <r>
    <x v="9"/>
    <x v="207"/>
    <d v="2026-10-01T00:00:00"/>
    <s v="3RD"/>
    <d v="1899-12-31T00:00:00"/>
    <n v="3"/>
    <x v="16"/>
    <n v="0.01"/>
    <s v="P"/>
    <s v="P"/>
    <s v="P"/>
    <s v="+"/>
    <s v="+"/>
    <n v="13.12"/>
    <s v="-"/>
    <s v="-"/>
    <s v="-"/>
    <s v="-"/>
    <s v="-"/>
    <s v="-"/>
    <s v="-"/>
    <s v="-"/>
    <s v="-"/>
    <s v="-"/>
    <s v="-"/>
    <n v="2"/>
    <n v="1"/>
    <n v="2"/>
    <n v="1"/>
    <s v="-"/>
    <s v="-"/>
    <s v="-"/>
    <s v="-"/>
    <s v="-"/>
    <s v="-"/>
    <s v="-"/>
    <n v="6"/>
    <n v="6"/>
    <s v="-"/>
    <s v="-"/>
    <s v="-"/>
    <n v="0"/>
    <n v="0"/>
    <n v="6"/>
    <n v="6"/>
  </r>
  <r>
    <x v="9"/>
    <x v="207"/>
    <d v="2026-10-01T00:00:00"/>
    <s v="3RD"/>
    <d v="1899-12-31T01:00:00"/>
    <n v="3"/>
    <x v="16"/>
    <s v="-"/>
    <s v="P"/>
    <s v="P"/>
    <s v="P"/>
    <s v="+"/>
    <s v="+"/>
    <n v="12.58"/>
    <s v="-"/>
    <s v="-"/>
    <s v="-"/>
    <s v="-"/>
    <s v="-"/>
    <s v="-"/>
    <s v="-"/>
    <s v="-"/>
    <s v="-"/>
    <s v="-"/>
    <s v="-"/>
    <s v="-"/>
    <n v="1"/>
    <n v="2"/>
    <n v="1"/>
    <s v="-"/>
    <s v="-"/>
    <s v="-"/>
    <s v="-"/>
    <s v="-"/>
    <s v="-"/>
    <s v="-"/>
    <n v="4"/>
    <n v="4"/>
    <s v="-"/>
    <s v="-"/>
    <s v="-"/>
    <n v="0"/>
    <n v="0"/>
    <n v="4"/>
    <n v="4"/>
  </r>
  <r>
    <x v="9"/>
    <x v="207"/>
    <d v="2026-10-01T00:00:00"/>
    <s v="3RD"/>
    <d v="1899-12-31T03:00:00"/>
    <n v="3"/>
    <x v="16"/>
    <n v="0.01"/>
    <s v="P"/>
    <s v="P"/>
    <s v="P"/>
    <s v="+"/>
    <s v="+"/>
    <s v="-"/>
    <s v="-"/>
    <s v="-"/>
    <s v="-"/>
    <s v="-"/>
    <s v="-"/>
    <s v="-"/>
    <s v="-"/>
    <s v="-"/>
    <s v="-"/>
    <s v="-"/>
    <s v="-"/>
    <n v="2"/>
    <n v="1"/>
    <n v="2"/>
    <s v="-"/>
    <s v="-"/>
    <s v="-"/>
    <s v="-"/>
    <s v="-"/>
    <s v="-"/>
    <s v="-"/>
    <s v="-"/>
    <n v="5"/>
    <n v="5"/>
    <s v="-"/>
    <s v="-"/>
    <s v="-"/>
    <n v="0"/>
    <n v="0"/>
    <n v="5"/>
    <n v="5"/>
  </r>
  <r>
    <x v="9"/>
    <x v="208"/>
    <d v="1902-03-26T00:00:00"/>
    <s v="1ST"/>
    <s v="06:00"/>
    <n v="2"/>
    <x v="2"/>
    <s v="-"/>
    <s v="P"/>
    <s v="P"/>
    <s v="P"/>
    <s v="-"/>
    <s v="+"/>
    <n v="10.130000000000001"/>
    <s v="-"/>
    <s v="-"/>
    <s v="-"/>
    <s v="-"/>
    <s v="-"/>
    <s v="-"/>
    <s v="-"/>
    <s v="-"/>
    <s v="P"/>
    <s v="P"/>
    <s v="-"/>
    <s v="-"/>
    <n v="1"/>
    <n v="2"/>
    <n v="0"/>
    <s v="-"/>
    <s v="-"/>
    <s v="-"/>
    <s v="-"/>
    <s v="-"/>
    <s v="-"/>
    <s v="-"/>
    <n v="3"/>
    <n v="4"/>
    <s v="-"/>
    <n v="1"/>
    <n v="1"/>
    <n v="2"/>
    <n v="2"/>
    <n v="5"/>
    <n v="6"/>
  </r>
  <r>
    <x v="9"/>
    <x v="208"/>
    <d v="1899-12-30T00:00:00"/>
    <s v="1ST"/>
    <s v="07:00"/>
    <n v="2"/>
    <x v="2"/>
    <s v="-"/>
    <s v="P"/>
    <s v="P"/>
    <s v="P"/>
    <s v="-"/>
    <s v="+"/>
    <n v="9.9"/>
    <s v="-"/>
    <s v="-"/>
    <s v="-"/>
    <s v="-"/>
    <s v="-"/>
    <s v="-"/>
    <s v="-"/>
    <s v="-"/>
    <s v="P"/>
    <s v="P"/>
    <s v="-"/>
    <s v="-"/>
    <n v="1"/>
    <n v="2"/>
    <n v="0"/>
    <s v="-"/>
    <s v="-"/>
    <s v="-"/>
    <s v="-"/>
    <s v="-"/>
    <s v="-"/>
    <s v="-"/>
    <n v="3"/>
    <n v="4"/>
    <s v="-"/>
    <n v="1"/>
    <n v="1"/>
    <n v="2"/>
    <n v="2"/>
    <n v="5"/>
    <n v="6"/>
  </r>
  <r>
    <x v="9"/>
    <x v="208"/>
    <d v="1899-12-30T00:00:00"/>
    <s v="1ST"/>
    <s v="08:00"/>
    <n v="2"/>
    <x v="2"/>
    <s v="-"/>
    <s v="P"/>
    <s v="P"/>
    <s v="P"/>
    <s v="-"/>
    <s v="+"/>
    <n v="10.07"/>
    <s v="-"/>
    <s v="-"/>
    <s v="-"/>
    <s v="-"/>
    <s v="-"/>
    <s v="-"/>
    <s v="-"/>
    <s v="-"/>
    <s v="P"/>
    <s v="P"/>
    <s v="-"/>
    <s v="-"/>
    <n v="1"/>
    <n v="2"/>
    <n v="0"/>
    <s v="-"/>
    <s v="-"/>
    <s v="-"/>
    <s v="-"/>
    <s v="-"/>
    <s v="-"/>
    <s v="-"/>
    <n v="3"/>
    <n v="4"/>
    <s v="-"/>
    <n v="1"/>
    <n v="1"/>
    <n v="2"/>
    <n v="2"/>
    <n v="5"/>
    <n v="6"/>
  </r>
  <r>
    <x v="9"/>
    <x v="208"/>
    <d v="1899-12-30T00:00:00"/>
    <s v="1ST"/>
    <s v="09:00"/>
    <n v="2"/>
    <x v="2"/>
    <s v="-"/>
    <s v="P"/>
    <s v="P"/>
    <s v="P"/>
    <s v="-"/>
    <s v="+"/>
    <n v="10.130000000000001"/>
    <s v="-"/>
    <s v="-"/>
    <s v="-"/>
    <s v="-"/>
    <s v="-"/>
    <s v="-"/>
    <s v="-"/>
    <s v="-"/>
    <s v="P"/>
    <s v="P"/>
    <s v="-"/>
    <s v="-"/>
    <n v="1"/>
    <n v="2"/>
    <n v="0"/>
    <s v="-"/>
    <s v="-"/>
    <s v="-"/>
    <s v="-"/>
    <s v="-"/>
    <s v="-"/>
    <s v="-"/>
    <n v="3"/>
    <n v="4"/>
    <s v="-"/>
    <n v="1"/>
    <n v="1"/>
    <n v="2"/>
    <n v="2"/>
    <n v="5"/>
    <n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15AFD1-7112-4B9D-B9DA-0F6620147048}" name="PivotTable1"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HC54" firstHeaderRow="1" firstDataRow="2" firstDataCol="1"/>
  <pivotFields count="45">
    <pivotField compact="0" numFmtId="165" outline="0" showAll="0"/>
    <pivotField axis="axisCol" compact="0" numFmtId="172" outline="0" showAll="0">
      <items count="2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t="default"/>
      </items>
    </pivotField>
    <pivotField compact="0" numFmtId="172" outline="0" showAll="0"/>
    <pivotField compact="0" outline="0" showAll="0"/>
    <pivotField compact="0" outline="0" showAll="0"/>
    <pivotField compact="0" outline="0" showAll="0"/>
    <pivotField axis="axisRow" compact="0" outline="0" showAll="0">
      <items count="96">
        <item x="34"/>
        <item x="6"/>
        <item x="7"/>
        <item x="10"/>
        <item m="1" x="82"/>
        <item m="1" x="79"/>
        <item m="1" x="81"/>
        <item x="12"/>
        <item x="17"/>
        <item x="25"/>
        <item m="1" x="92"/>
        <item x="1"/>
        <item x="20"/>
        <item x="28"/>
        <item x="14"/>
        <item x="48"/>
        <item x="15"/>
        <item x="35"/>
        <item x="46"/>
        <item x="4"/>
        <item x="5"/>
        <item x="21"/>
        <item x="31"/>
        <item x="16"/>
        <item x="40"/>
        <item x="22"/>
        <item x="38"/>
        <item x="0"/>
        <item m="1" x="58"/>
        <item x="36"/>
        <item x="11"/>
        <item m="1" x="65"/>
        <item x="8"/>
        <item x="32"/>
        <item m="1" x="68"/>
        <item x="39"/>
        <item m="1" x="94"/>
        <item m="1" x="59"/>
        <item m="1" x="78"/>
        <item m="1" x="85"/>
        <item m="1" x="91"/>
        <item x="43"/>
        <item x="23"/>
        <item x="30"/>
        <item m="1" x="76"/>
        <item m="1" x="73"/>
        <item m="1" x="77"/>
        <item m="1" x="84"/>
        <item m="1" x="83"/>
        <item x="29"/>
        <item m="1" x="56"/>
        <item m="1" x="74"/>
        <item m="1" x="80"/>
        <item m="1" x="88"/>
        <item m="1" x="71"/>
        <item m="1" x="86"/>
        <item m="1" x="75"/>
        <item m="1" x="49"/>
        <item m="1" x="90"/>
        <item x="37"/>
        <item m="1" x="87"/>
        <item m="1" x="52"/>
        <item m="1" x="89"/>
        <item m="1" x="93"/>
        <item m="1" x="57"/>
        <item x="19"/>
        <item m="1" x="60"/>
        <item x="24"/>
        <item x="41"/>
        <item m="1" x="61"/>
        <item x="47"/>
        <item m="1" x="62"/>
        <item x="9"/>
        <item x="18"/>
        <item m="1" x="63"/>
        <item x="13"/>
        <item m="1" x="64"/>
        <item x="3"/>
        <item m="1" x="66"/>
        <item m="1" x="67"/>
        <item m="1" x="69"/>
        <item m="1" x="70"/>
        <item m="1" x="50"/>
        <item m="1" x="72"/>
        <item x="2"/>
        <item x="26"/>
        <item x="27"/>
        <item x="33"/>
        <item m="1" x="54"/>
        <item m="1" x="55"/>
        <item x="42"/>
        <item x="44"/>
        <item x="45"/>
        <item m="1" x="51"/>
        <item m="1" x="5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43"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 outline="0" showAll="0"/>
    <pivotField compact="0" numFmtId="1" outline="0" showAll="0"/>
  </pivotFields>
  <rowFields count="1">
    <field x="6"/>
  </rowFields>
  <rowItems count="50">
    <i>
      <x/>
    </i>
    <i>
      <x v="1"/>
    </i>
    <i>
      <x v="2"/>
    </i>
    <i>
      <x v="3"/>
    </i>
    <i>
      <x v="7"/>
    </i>
    <i>
      <x v="8"/>
    </i>
    <i>
      <x v="9"/>
    </i>
    <i>
      <x v="11"/>
    </i>
    <i>
      <x v="12"/>
    </i>
    <i>
      <x v="13"/>
    </i>
    <i>
      <x v="14"/>
    </i>
    <i>
      <x v="15"/>
    </i>
    <i>
      <x v="16"/>
    </i>
    <i>
      <x v="17"/>
    </i>
    <i>
      <x v="18"/>
    </i>
    <i>
      <x v="19"/>
    </i>
    <i>
      <x v="20"/>
    </i>
    <i>
      <x v="21"/>
    </i>
    <i>
      <x v="22"/>
    </i>
    <i>
      <x v="23"/>
    </i>
    <i>
      <x v="24"/>
    </i>
    <i>
      <x v="25"/>
    </i>
    <i>
      <x v="26"/>
    </i>
    <i>
      <x v="27"/>
    </i>
    <i>
      <x v="29"/>
    </i>
    <i>
      <x v="30"/>
    </i>
    <i>
      <x v="32"/>
    </i>
    <i>
      <x v="33"/>
    </i>
    <i>
      <x v="35"/>
    </i>
    <i>
      <x v="41"/>
    </i>
    <i>
      <x v="42"/>
    </i>
    <i>
      <x v="43"/>
    </i>
    <i>
      <x v="49"/>
    </i>
    <i>
      <x v="59"/>
    </i>
    <i>
      <x v="65"/>
    </i>
    <i>
      <x v="67"/>
    </i>
    <i>
      <x v="68"/>
    </i>
    <i>
      <x v="70"/>
    </i>
    <i>
      <x v="72"/>
    </i>
    <i>
      <x v="73"/>
    </i>
    <i>
      <x v="75"/>
    </i>
    <i>
      <x v="77"/>
    </i>
    <i>
      <x v="84"/>
    </i>
    <i>
      <x v="85"/>
    </i>
    <i>
      <x v="86"/>
    </i>
    <i>
      <x v="87"/>
    </i>
    <i>
      <x v="90"/>
    </i>
    <i>
      <x v="91"/>
    </i>
    <i>
      <x v="92"/>
    </i>
    <i t="grand">
      <x/>
    </i>
  </rowItems>
  <colFields count="1">
    <field x="1"/>
  </colFields>
  <colItems count="21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t="grand">
      <x/>
    </i>
  </colItems>
  <dataFields count="1">
    <dataField name="Sum of %Absorption"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1258D0-E56A-4696-A69A-3D2BEFE95DD4}" name="PivotTable6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4" rowHeaderCaption="Month">
  <location ref="T10:Z21" firstHeaderRow="0" firstDataRow="1" firstDataCol="1"/>
  <pivotFields count="45">
    <pivotField axis="axisRow" numFmtId="165" showAll="0">
      <items count="11">
        <item x="0"/>
        <item x="1"/>
        <item x="2"/>
        <item x="3"/>
        <item x="4"/>
        <item x="5"/>
        <item x="6"/>
        <item x="7"/>
        <item x="8"/>
        <item x="9"/>
        <item t="default"/>
      </items>
    </pivotField>
    <pivotField numFmtId="172" showAll="0"/>
    <pivotField numFmtId="172" showAll="0"/>
    <pivotField showAll="0"/>
    <pivotField showAll="0"/>
    <pivotField showAll="0"/>
    <pivotField showAll="0"/>
    <pivotField showAll="0"/>
    <pivotField showAll="0"/>
    <pivotField showAll="0"/>
    <pivotField showAll="0"/>
    <pivotField showAll="0"/>
    <pivotField showAll="0"/>
    <pivotField showAll="0"/>
    <pivotField showAll="0"/>
    <pivotField numFmtId="43" showAll="0"/>
    <pivotField numFmtId="43" showAll="0"/>
    <pivotField numFmtId="43" showAll="0"/>
    <pivotField showAll="0"/>
    <pivotField showAll="0"/>
    <pivotField showAll="0"/>
    <pivotField showAll="0"/>
    <pivotField showAll="0"/>
    <pivotField showAll="0"/>
    <pivotField numFmtId="43"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dataField="1" showAll="0"/>
    <pivotField dataField="1" showAll="0"/>
    <pivotField dataField="1" numFmtId="1" showAll="0"/>
    <pivotField dataField="1" numFmtId="1" showAll="0"/>
  </pivotFields>
  <rowFields count="1">
    <field x="0"/>
  </rowFields>
  <rowItems count="11">
    <i>
      <x/>
    </i>
    <i>
      <x v="1"/>
    </i>
    <i>
      <x v="2"/>
    </i>
    <i>
      <x v="3"/>
    </i>
    <i>
      <x v="4"/>
    </i>
    <i>
      <x v="5"/>
    </i>
    <i>
      <x v="6"/>
    </i>
    <i>
      <x v="7"/>
    </i>
    <i>
      <x v="8"/>
    </i>
    <i>
      <x v="9"/>
    </i>
    <i t="grand">
      <x/>
    </i>
  </rowItems>
  <colFields count="1">
    <field x="-2"/>
  </colFields>
  <colItems count="6">
    <i>
      <x/>
    </i>
    <i i="1">
      <x v="1"/>
    </i>
    <i i="2">
      <x v="2"/>
    </i>
    <i i="3">
      <x v="3"/>
    </i>
    <i i="4">
      <x v="4"/>
    </i>
    <i i="5">
      <x v="5"/>
    </i>
  </colItems>
  <dataFields count="6">
    <dataField name="Sum of TA" fld="36" baseField="0" baseItem="0"/>
    <dataField name="Sum of TP" fld="37" baseField="0" baseItem="0"/>
    <dataField name="Sum of TA2" fld="41" baseField="0" baseItem="0"/>
    <dataField name="Sum of TP2" fld="42" baseField="0" baseItem="0"/>
    <dataField name="Sum of TA3" fld="43" baseField="0" baseItem="0" numFmtId="1"/>
    <dataField name="Sum of TP3" fld="44" baseField="0" baseItem="0" numFmtId="1"/>
  </dataFields>
  <formats count="4">
    <format dxfId="163">
      <pivotArea type="all" dataOnly="0" outline="0" fieldPosition="0"/>
    </format>
    <format dxfId="162">
      <pivotArea outline="0" collapsedLevelsAreSubtotals="1" fieldPosition="0"/>
    </format>
    <format dxfId="161">
      <pivotArea dataOnly="0" labelOnly="1" grandRow="1" outline="0" fieldPosition="0"/>
    </format>
    <format dxfId="160">
      <pivotArea dataOnly="0" labelOnly="1" outline="0" fieldPosition="0">
        <references count="1">
          <reference field="4294967294" count="2">
            <x v="0"/>
            <x v="1"/>
          </reference>
        </references>
      </pivotArea>
    </format>
  </formats>
  <chartFormats count="6">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3" format="3" series="1">
      <pivotArea type="data" outline="0" fieldPosition="0">
        <references count="1">
          <reference field="4294967294" count="1" selected="0">
            <x v="3"/>
          </reference>
        </references>
      </pivotArea>
    </chartFormat>
    <chartFormat chart="3" format="4" series="1">
      <pivotArea type="data" outline="0" fieldPosition="0">
        <references count="1">
          <reference field="4294967294" count="1" selected="0">
            <x v="4"/>
          </reference>
        </references>
      </pivotArea>
    </chartFormat>
    <chartFormat chart="3" format="5"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969B6E4-F3D1-4CBC-9CE9-F8B9E5D0B7F0}" sourceName="Month">
  <extLst>
    <x:ext xmlns:x15="http://schemas.microsoft.com/office/spreadsheetml/2010/11/main" uri="{2F2917AC-EB37-4324-AD4E-5DD8C200BD13}">
      <x15:tableSlicerCache tableId="4"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AAB2E20E-E036-48B3-ACA2-2D0A4FBEF9DD}" cache="Slicer_Month" caption="Month" columnCount="1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5413B95-8A0A-47E5-9182-985E21C36AC8}" name="Table36" displayName="Table36" ref="A25:AC539" totalsRowShown="0" headerRowDxfId="159" dataDxfId="158" headerRowCellStyle="Comma" dataCellStyle="Comma">
  <autoFilter ref="A25:AC539" xr:uid="{4BD28B79-E6EA-4E91-A46A-0FF6F149C935}"/>
  <tableColumns count="29">
    <tableColumn id="1" xr3:uid="{A3646D67-5E63-484A-935D-3E377356EC4E}" name="Month" dataDxfId="157"/>
    <tableColumn id="2" xr3:uid="{893FEFBD-BAE1-4383-957C-92FFD53E596C}" name="Date" dataDxfId="156"/>
    <tableColumn id="3" xr3:uid="{8831513C-87F0-41C4-9B65-B7D347110F93}" name="Shift" dataDxfId="155"/>
    <tableColumn id="4" xr3:uid="{612F1AC6-E3ED-443B-9F41-705429085341}" name="Time" dataDxfId="154"/>
    <tableColumn id="5" xr3:uid="{2454A5C0-DAF2-4D21-820F-2810FC894F09}" name="Mill Line" dataDxfId="153"/>
    <tableColumn id="6" xr3:uid="{075641FD-2834-45C6-8DA2-A2AFB36C5895}" name="Grist" dataDxfId="152"/>
    <tableColumn id="7" xr3:uid="{16FAAE36-C2DB-4342-9E37-7E102D2DDCDD}" name=" Bran Content" dataDxfId="151" dataCellStyle="Comma"/>
    <tableColumn id="8" xr3:uid="{EFCA3B86-4D6C-4487-954C-E1FE5BCCE32A}" name="Sieve Test" dataDxfId="150" dataCellStyle="Comma"/>
    <tableColumn id="9" xr3:uid="{21DC6595-6184-475C-B626-4DDC97E0CC5A}" name="Appearance/ Pekar" dataDxfId="149" dataCellStyle="Comma"/>
    <tableColumn id="10" xr3:uid="{7A65F979-1B20-45CF-8476-C137EF6FA881}" name="Odor" dataDxfId="148" dataCellStyle="Comma"/>
    <tableColumn id="11" xr3:uid="{7F6621D7-2F1B-4E59-9495-534BF1AD62C4}" name="F1 %MC" dataDxfId="147" dataCellStyle="Comma"/>
    <tableColumn id="12" xr3:uid="{061E45E1-2953-4BE2-8B4C-3C9679E0455D}" name="%Protein" dataDxfId="146" dataCellStyle="Comma"/>
    <tableColumn id="13" xr3:uid="{1F6908C2-CE80-4CEC-985E-C157FC53209B}" name="%Ash" dataDxfId="145" dataCellStyle="Comma"/>
    <tableColumn id="14" xr3:uid="{4152E58B-4668-4A57-9202-B52A33395839}" name="%Absorption" dataDxfId="144" dataCellStyle="Comma"/>
    <tableColumn id="15" xr3:uid="{9CAD331A-A27E-4E26-932F-D5B263C0AE00}" name="%Extensibility" dataDxfId="143" dataCellStyle="Comma"/>
    <tableColumn id="16" xr3:uid="{DBB28ABB-9D84-4F41-87D9-F3A6D0918935}" name="Resistance, max" dataDxfId="142" dataCellStyle="Comma"/>
    <tableColumn id="17" xr3:uid="{1E9FFD61-4E44-4506-98A5-CF7639262FB0}" name="%Wet Gluten" dataDxfId="141" dataCellStyle="Comma"/>
    <tableColumn id="18" xr3:uid="{7142AB1D-2F5E-4483-8849-A502EFB12033}" name=" QI Bran Content" dataDxfId="140" dataCellStyle="Comma">
      <calculatedColumnFormula>IF(Table36[[#This Row],[ Bran Content]]="-","-",IF(G26&lt;0.02,1,0))</calculatedColumnFormula>
    </tableColumn>
    <tableColumn id="19" xr3:uid="{3203FE90-C613-4CD4-BFC7-ECCF80BAE8B7}" name="QI Appearance" dataDxfId="139" dataCellStyle="Comma">
      <calculatedColumnFormula>IF(Table36[[#This Row],[Sieve Test]]="-","-",IF(Table36[[#This Row],[Sieve Test]]="P",1,0))</calculatedColumnFormula>
    </tableColumn>
    <tableColumn id="20" xr3:uid="{21DE4D47-03EA-4689-90E5-9B983C704646}" name="QI Odor" dataDxfId="138" dataCellStyle="Comma">
      <calculatedColumnFormula>IF(Table36[[#This Row],[Odor]]="-","-",IF(Table36[[#This Row],[Odor]]="P",1,0))</calculatedColumnFormula>
    </tableColumn>
    <tableColumn id="22" xr3:uid="{098E8AED-40A3-476B-9C76-DD8D23A9105D}" name="QI %MC" dataDxfId="137" dataCellStyle="Comma">
      <calculatedColumnFormula>IF(INDEX(MCmin,MATCH(Table36[[#This Row],[Grist]],SMI,0))="-","-",IF(Table36[[#This Row],[F1 %MC]]="-","-",IF(Table36[[#This Row],[F1 %MC]]&lt;INDEX(MCmin,MATCH(Table36[[#This Row],[Grist]],SMI,0)),0,IF(Table36[[#This Row],[F1 %MC]]&gt;INDEX(MCmax,MATCH(Table36[[#This Row],[Grist]],SMI,0)),0,1))))</calculatedColumnFormula>
    </tableColumn>
    <tableColumn id="23" xr3:uid="{C08ADD1C-3030-459E-8FD7-B5F2E742FF38}" name="QI Prot" dataDxfId="136" dataCellStyle="Comma">
      <calculatedColumnFormula>IF(INDEX(Protmin,MATCH(Table36[[#This Row],[Grist]],SMI,0))="-","-",IF(Table36[[#This Row],[%Protein]]="-","-",IF(Table36[[#This Row],[%Protein]]&lt;INDEX(Protmin,MATCH(Table36[[#This Row],[Grist]],SMI,0)),0,IF(Table36[[#This Row],[%Protein]]&gt;INDEX(Protmax,MATCH(Table36[[#This Row],[Grist]],SMI,0)),0,1))))</calculatedColumnFormula>
    </tableColumn>
    <tableColumn id="24" xr3:uid="{1B4F6F75-8D43-4ACD-9143-4B483641FD5C}" name="QI Ash" dataDxfId="135" dataCellStyle="Comma">
      <calculatedColumnFormula>IF(INDEX(Ashmin,MATCH(Table36[[#This Row],[Grist]],SMI,0))="-","-",IF(Table36[[#This Row],[%Ash]]="-","-",IF(Table36[[#This Row],[%Ash]]&lt;INDEX(Ashmin,MATCH(Table36[[#This Row],[Grist]],SMI,0)),0,IF(Table36[[#This Row],[%Ash]]&gt;INDEX(Ashmax,MATCH(Table36[[#This Row],[Grist]],SMI,0)),0,1))))</calculatedColumnFormula>
    </tableColumn>
    <tableColumn id="25" xr3:uid="{D2D0244A-60F8-4EC6-A339-B19CA35FA80A}" name="QI Abs" dataDxfId="134" dataCellStyle="Comma">
      <calculatedColumnFormula>IF(INDEX(Absmin,MATCH(Table36[[#This Row],[Grist]],SMI,0))="-","-",IF(Table36[[#This Row],[%Absorption]]="-","-",IF(Table36[[#This Row],[%Absorption]]&lt;INDEX(Absmin,MATCH(Table36[[#This Row],[Grist]],SMI,0)),0,IF(Table36[[#This Row],[%Absorption]]&gt;INDEX(Absmax,MATCH(Table36[[#This Row],[Grist]],SMI,0)),0,1))))</calculatedColumnFormula>
    </tableColumn>
    <tableColumn id="26" xr3:uid="{086FE3DD-8CC6-481C-9D51-F632EE8D197E}" name="QI Ext" dataDxfId="133" dataCellStyle="Comma">
      <calculatedColumnFormula>IF(INDEX(Extmin,MATCH(Table36[[#This Row],[Grist]],SMI,0))="-","-",IF(Table36[[#This Row],[%Extensibility]]="-","-",IF(Table36[[#This Row],[%Extensibility]]&lt;INDEX(Extmin,MATCH(Table36[[#This Row],[Grist]],SMI,0)),0,IF(Table36[[#This Row],[%Extensibility]]&gt;INDEX(Extmax,MATCH(Table36[[#This Row],[Grist]],SMI,0)),0,1))))</calculatedColumnFormula>
    </tableColumn>
    <tableColumn id="27" xr3:uid="{6453ECC0-C6B1-4DE3-9075-D18A788D6521}" name="QI Res" dataDxfId="132" dataCellStyle="Comma">
      <calculatedColumnFormula>IF(INDEX(Resmin,MATCH(Table36[[#This Row],[Grist]],SMI,0))="-","-",IF(Table36[[#This Row],[Resistance, max]]="-","-",IF(Table36[[#This Row],[Resistance, max]]&lt;INDEX(Resmin,MATCH(Table36[[#This Row],[Grist]],SMI,0)),0,IF(Table36[[#This Row],[Resistance, max]]&gt;INDEX(Resmax,MATCH(Table36[[#This Row],[Grist]],SMI,0)),0,1))))</calculatedColumnFormula>
    </tableColumn>
    <tableColumn id="28" xr3:uid="{499B4E8D-2824-4452-A52A-47FA2AF6D5B7}" name="QI WG" dataDxfId="131" dataCellStyle="Comma">
      <calculatedColumnFormula>IF(INDEX(WGmin,MATCH(Table36[[#This Row],[Grist]],SMI,0))="-","-",IF(Table36[[#This Row],[%Wet Gluten]]="-","-",IF(Table36[[#This Row],[%Wet Gluten]]&lt;INDEX(WGmin,MATCH(Table36[[#This Row],[Grist]],SMI,0)),0,IF(Table36[[#This Row],[%Wet Gluten]]&gt;INDEX(WGmax,MATCH(Table36[[#This Row],[Grist]],SMI,0)),0,1))))</calculatedColumnFormula>
    </tableColumn>
    <tableColumn id="29" xr3:uid="{85919358-4E5F-4437-B784-044807D0B67F}" name="TA" dataDxfId="130" dataCellStyle="Comma">
      <calculatedColumnFormula>SUM(Table36[[#This Row],[ QI Bran Content]:[QI WG]])</calculatedColumnFormula>
    </tableColumn>
    <tableColumn id="30" xr3:uid="{E4C4FA3E-5D66-49B9-A597-C3B7AF4E9D6A}" name="TP" dataDxfId="129" dataCellStyle="Comma">
      <calculatedColumnFormula>COUNT(Table36[[#This Row],[ QI Bran Content]:[QI WG]])</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1AB752-3D54-4AAF-942B-B8869A80E22D}" name="Table2" displayName="Table2" ref="A9:M97" totalsRowShown="0" headerRowDxfId="128" dataDxfId="127" headerRowCellStyle="Comma" dataCellStyle="Comma">
  <autoFilter ref="A9:M97" xr:uid="{50067757-0402-4756-A0D0-2B5E618CE587}"/>
  <tableColumns count="13">
    <tableColumn id="1" xr3:uid="{50295EFD-77B0-4A0C-B85B-22D007F70A20}" name="Month" dataDxfId="126" dataCellStyle="Comma"/>
    <tableColumn id="2" xr3:uid="{C04FA65A-97F7-4A39-90A7-428F09AD9B83}" name="Date" dataDxfId="125" dataCellStyle="Comma"/>
    <tableColumn id="3" xr3:uid="{5BD56A0C-28E6-4ECA-85DD-4BD22E426D40}" name="Shift" dataDxfId="124" dataCellStyle="Comma"/>
    <tableColumn id="14" xr3:uid="{E600968C-9B14-4975-B83E-B444EFCF361B}" name="Time" dataDxfId="123" dataCellStyle="Comma"/>
    <tableColumn id="4" xr3:uid="{01A26E0D-C6D7-4C2B-AB30-D5962A8508D2}" name="Wheat Type" dataDxfId="122" dataCellStyle="Comma"/>
    <tableColumn id="17" xr3:uid="{8F7F9684-A936-41B0-B7F9-69E6A5C37CB1}" name="Column1" dataDxfId="121" dataCellStyle="Comma"/>
    <tableColumn id="5" xr3:uid="{9B4DA790-E77B-4314-8E8F-CED508035377}" name="Shipment" dataDxfId="120" dataCellStyle="Comma"/>
    <tableColumn id="6" xr3:uid="{187490B4-CDDE-4BF0-949C-1725E0599668}" name="Raw %MC" dataDxfId="119" dataCellStyle="Comma"/>
    <tableColumn id="7" xr3:uid="{6CCF39CC-C586-4A25-82FD-4AE689B663F5}" name="%MC T1" dataDxfId="118" dataCellStyle="Comma"/>
    <tableColumn id="8" xr3:uid="{A3520E1B-0E02-45B7-B01D-0C4CC6EC1E13}" name="%MC T2" dataDxfId="117" dataCellStyle="Comma"/>
    <tableColumn id="9" xr3:uid="{3265585D-344F-48AD-8F7B-92C13258F16B}" name="B1 Wheat" dataDxfId="116" dataCellStyle="Comma"/>
    <tableColumn id="10" xr3:uid="{1F8112F7-9E35-4BBD-B6CE-B9DEA4A6ACDB}" name="%MC B1" dataDxfId="115" dataCellStyle="Comma"/>
    <tableColumn id="11" xr3:uid="{AB3F3676-F0D1-4134-9D89-227D4CA4A963}" name="Remarks" dataDxfId="114" dataCellStyle="Comma"/>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91B84B-FA5B-4AA2-BD6E-6312C50AF7DB}" name="Table3" displayName="Table3" ref="A25:Q63" totalsRowShown="0" headerRowDxfId="113" dataDxfId="112" headerRowCellStyle="Comma" dataCellStyle="Comma">
  <autoFilter ref="A25:Q63" xr:uid="{4BD28B79-E6EA-4E91-A46A-0FF6F149C935}"/>
  <tableColumns count="17">
    <tableColumn id="1" xr3:uid="{C0C3059A-8D95-440D-89CE-FBB12FCFEB51}" name="Month" dataDxfId="111"/>
    <tableColumn id="2" xr3:uid="{01A2C2DE-8386-4C5C-9146-2A9C7B645A5E}" name="Date" dataDxfId="110"/>
    <tableColumn id="3" xr3:uid="{753FB36E-D008-4803-893E-BD9D6BCDC12D}" name="Shift" dataDxfId="109"/>
    <tableColumn id="4" xr3:uid="{6EC6B112-50FE-484B-B297-D52030CD8459}" name="Time" dataDxfId="108"/>
    <tableColumn id="5" xr3:uid="{CC37DBA8-134B-4CC5-86EA-437983902DFD}" name="Mill Line" dataDxfId="107"/>
    <tableColumn id="6" xr3:uid="{52AED82D-1DF8-4F8F-AF9E-C8910BBAD166}" name="Grist" dataDxfId="106"/>
    <tableColumn id="7" xr3:uid="{720A078B-A234-4715-956E-E65C1E8FF59B}" name=" Bran Content" dataDxfId="105" dataCellStyle="Comma"/>
    <tableColumn id="8" xr3:uid="{95C0746E-0CA5-49A4-AA22-599D7610E085}" name="Sieve Test" dataDxfId="104" dataCellStyle="Comma"/>
    <tableColumn id="9" xr3:uid="{2515F088-B23C-4A8E-8965-4C5100AAA5BD}" name="Appearance/ Pekar" dataDxfId="103" dataCellStyle="Comma"/>
    <tableColumn id="10" xr3:uid="{F756F0CA-5902-430E-89DB-E45F9DC87E1D}" name="Odor" dataDxfId="102" dataCellStyle="Comma"/>
    <tableColumn id="11" xr3:uid="{B5F71A18-15D3-42A0-83E3-93D2EC319388}" name="F1 %MC" dataDxfId="101" dataCellStyle="Comma"/>
    <tableColumn id="12" xr3:uid="{F31DAF07-2930-4001-A221-0C4AAB835AF2}" name="%Protein" dataDxfId="100" dataCellStyle="Comma"/>
    <tableColumn id="13" xr3:uid="{4C8C44ED-C048-4DE6-91A6-43008D1D98E5}" name="%Ash" dataDxfId="99" dataCellStyle="Comma"/>
    <tableColumn id="14" xr3:uid="{8C3A8A3A-5531-46C2-A9E9-CEB71857CF6D}" name="%Absorption" dataDxfId="98" dataCellStyle="Comma"/>
    <tableColumn id="15" xr3:uid="{DC90429C-BA8A-4029-B236-AD3346685CE8}" name="%Extensibility" dataDxfId="97" dataCellStyle="Comma"/>
    <tableColumn id="16" xr3:uid="{ECFF1336-BA15-41D3-9331-B3443D5214AF}" name="Resistance, max" dataDxfId="96" dataCellStyle="Comma"/>
    <tableColumn id="17" xr3:uid="{E4BA0431-1441-48AF-B960-3A8625EB1889}" name="%Wet Gluten" dataDxfId="95" dataCellStyle="Comma"/>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677ADA-B062-473D-9006-C51BCB149017}" name="Table4" displayName="Table4" ref="A33:AS122" totalsRowShown="0" headerRowDxfId="94" headerRowCellStyle="Comma">
  <autoFilter ref="A33:AS122" xr:uid="{58EECE6B-4A1A-4300-95DB-852781BD3411}"/>
  <sortState xmlns:xlrd2="http://schemas.microsoft.com/office/spreadsheetml/2017/richdata2" ref="A34:AS2981">
    <sortCondition ref="B34:B2981"/>
  </sortState>
  <tableColumns count="45">
    <tableColumn id="1" xr3:uid="{C4F58783-9400-4E0F-B961-050AFD49D34C}" name="Month" dataDxfId="93"/>
    <tableColumn id="2" xr3:uid="{10438185-B4ED-4246-88EE-1D330D741D42}" name="PD" dataDxfId="92"/>
    <tableColumn id="3" xr3:uid="{72EED77B-EF99-4FFF-BB95-687DB40007E8}" name="MD" dataDxfId="91"/>
    <tableColumn id="25" xr3:uid="{2D94F7F0-A96B-46FD-AB72-308A7CE8C648}" name="Shift" dataDxfId="90"/>
    <tableColumn id="4" xr3:uid="{CE59E2D6-5CCB-4A62-9845-6A2CCB7C0134}" name="Time" dataDxfId="89"/>
    <tableColumn id="5" xr3:uid="{BEE446DF-062A-4D98-B49A-9BF903640509}" name="Packing Line" dataDxfId="88"/>
    <tableColumn id="6" xr3:uid="{5440F5D8-B696-417A-95DD-8625475F73DF}" name="SKU" dataDxfId="87"/>
    <tableColumn id="7" xr3:uid="{AD4DA250-5760-4460-99C1-444FB5A06AD2}" name=" Bran Content" dataDxfId="86" dataCellStyle="Comma"/>
    <tableColumn id="8" xr3:uid="{209224EE-D307-494D-98C5-8F74F8638BDF}" name="Sieve Test" dataDxfId="85" dataCellStyle="Comma"/>
    <tableColumn id="9" xr3:uid="{0DA070CC-D6C2-4126-BDFF-E24788B698A5}" name="Appearance/_x000a_ Pekar" dataDxfId="84" dataCellStyle="Comma"/>
    <tableColumn id="10" xr3:uid="{DE5E3D09-7521-4E41-A2A5-81AECB8F5D2D}" name="Odor" dataDxfId="83" dataCellStyle="Comma"/>
    <tableColumn id="11" xr3:uid="{C047F777-C7D2-4C5B-81F9-EACAA8F75C28}" name="AA Spot test" dataDxfId="82" dataCellStyle="Comma"/>
    <tableColumn id="12" xr3:uid="{02D007C8-CD9D-4BFC-9860-B59615D29866}" name="Iron Spot test" dataDxfId="81" dataCellStyle="Comma"/>
    <tableColumn id="13" xr3:uid="{763A9E57-A73F-40DA-B4BA-516269F516F1}" name="%MC" dataDxfId="80" dataCellStyle="Comma"/>
    <tableColumn id="14" xr3:uid="{8FD010ED-D229-406C-8156-078393330866}" name="%Protein" dataDxfId="79" dataCellStyle="Comma"/>
    <tableColumn id="15" xr3:uid="{3CF96204-86E6-485A-B79C-C20CC1F72F67}" name="%Ash" dataDxfId="78" dataCellStyle="Comma"/>
    <tableColumn id="16" xr3:uid="{DFD47930-59D7-4CE1-B021-62538F6CE605}" name="%Absorption" dataDxfId="77" dataCellStyle="Comma"/>
    <tableColumn id="17" xr3:uid="{71BA52A8-2E5C-4940-923D-4C353CCA0C8C}" name="%Extensibility" dataDxfId="76" dataCellStyle="Comma"/>
    <tableColumn id="18" xr3:uid="{5316A9D8-4FD8-4F43-BD80-9A8468F2B240}" name="Resistance, max" dataDxfId="75" dataCellStyle="Comma"/>
    <tableColumn id="19" xr3:uid="{D48B35E2-3884-4E1F-AD91-4E7F403FC083}" name="%Wet Gluten" dataDxfId="74" dataCellStyle="Comma"/>
    <tableColumn id="20" xr3:uid="{9A1FFB9C-5E1F-48AC-97CE-3C34C38EC385}" name="FN, s" dataDxfId="73" dataCellStyle="Comma"/>
    <tableColumn id="21" xr3:uid="{E8B5EB01-7655-4FDD-8C11-856BEC5DC407}" name="Gross Weight" dataDxfId="72"/>
    <tableColumn id="22" xr3:uid="{DB874C54-95E0-49DA-9964-E2326F37472B}" name="Sealing Integrity" dataDxfId="71"/>
    <tableColumn id="23" xr3:uid="{F8047BEC-EF93-4905-95AA-D8D56EE9C43C}" name="Coding" dataDxfId="70"/>
    <tableColumn id="24" xr3:uid="{510C7A7B-224E-461A-A9FF-8AAD3ED18B18}" name="BA REF" dataDxfId="69" dataCellStyle="Comma"/>
    <tableColumn id="26" xr3:uid="{F792ADD2-70A3-40CA-8E5A-B32444545486}" name=" QI Bran Content" dataDxfId="68" dataCellStyle="Comma">
      <calculatedColumnFormula>IF(Table4[[#This Row],[ Bran Content]]="-","-",IF(H34&gt;0.02,0,2))</calculatedColumnFormula>
    </tableColumn>
    <tableColumn id="27" xr3:uid="{7162ACC7-088E-4A70-BBB3-B5EFFB79D2F8}" name="QI Apperance" dataDxfId="67" dataCellStyle="Comma">
      <calculatedColumnFormula>IF(Table4[[#This Row],[Sieve Test]]="-","-",IF(Table4[[#This Row],[Sieve Test]]="P",1,0))</calculatedColumnFormula>
    </tableColumn>
    <tableColumn id="28" xr3:uid="{18A746F1-95A0-4EC9-AF9D-D783920E9935}" name="QI Odor" dataDxfId="66" dataCellStyle="Comma">
      <calculatedColumnFormula>IF(Table4[[#This Row],[Odor]]="-","-",IF(Table4[[#This Row],[Odor]]="P",2,0))</calculatedColumnFormula>
    </tableColumn>
    <tableColumn id="29" xr3:uid="{627BAFB2-1EAC-492E-BD2F-527E24BA3792}" name="QI %MC" dataDxfId="65" dataCellStyle="Comma">
      <calculatedColumnFormula>IF(INDEX(MCmin,MATCH(Table4[[#This Row],[SKU]],FG,0))="-","-",IF(Table4[[#This Row],[%MC]]="-","-",IF(Table4[[#This Row],[%MC]]&lt;INDEX(MCmin,MATCH(Table4[[#This Row],[SKU]],FG,0)),0,IF(Table4[[#This Row],[%MC]]&gt;INDEX(MCmax,MATCH(Table4[[#This Row],[SKU]],FG,0)),0,1))))</calculatedColumnFormula>
    </tableColumn>
    <tableColumn id="30" xr3:uid="{E4D81B76-D0BF-4716-A397-1B16EC843B6A}" name="QI Prot" dataDxfId="64" dataCellStyle="Comma">
      <calculatedColumnFormula>IF(INDEX(Protmin,MATCH(Table4[[#This Row],[SKU]],FG,0))="-","-",IF(Table4[[#This Row],[%Protein]]="-","-",IF(Table4[[#This Row],[%Protein]]&lt;INDEX(Protmin,MATCH(Table4[[#This Row],[SKU]],FG,0)),0,IF(Table4[[#This Row],[%Protein]]&gt;INDEX(Protmax,MATCH(Table4[[#This Row],[SKU]],FG,0)),0,1))))</calculatedColumnFormula>
    </tableColumn>
    <tableColumn id="31" xr3:uid="{C6DE3D33-56BA-4F5C-87EF-45E97B3783C8}" name="QI Ash" dataDxfId="63" dataCellStyle="Comma">
      <calculatedColumnFormula>IF(INDEX(Ashmin,MATCH(Table4[[#This Row],[SKU]],FG,0))="-","-",IF(Table4[[#This Row],[%Ash]]="-","-",IF(Table4[[#This Row],[%Ash]]&lt;INDEX(Ashmin,MATCH(Table4[[#This Row],[SKU]],FG,0)),0,IF(Table4[[#This Row],[%Ash]]&gt;INDEX(Ashmax,MATCH(Table4[[#This Row],[SKU]],FG,0)),0,2))))</calculatedColumnFormula>
    </tableColumn>
    <tableColumn id="32" xr3:uid="{5598E611-FFCB-4F8E-9C8D-DAA4C0E76C37}" name="QI Abs" dataDxfId="62" dataCellStyle="Comma">
      <calculatedColumnFormula>IF(INDEX(Absmin,MATCH(Table4[[#This Row],[SKU]],FG,0))="-","-",IF(Table4[[#This Row],[%Absorption]]="-","-",IF(Table4[[#This Row],[%Absorption]]&lt;INDEX(Absmin,MATCH(Table4[[#This Row],[SKU]],FG,0)),0,IF(Table4[[#This Row],[%Absorption]]&gt;INDEX(Absmax,MATCH(Table4[[#This Row],[SKU]],FG,0)),0,2))))</calculatedColumnFormula>
    </tableColumn>
    <tableColumn id="33" xr3:uid="{3D1F7998-1AB2-4664-8A01-DE5915A28C26}" name="QI Ext" dataDxfId="61" dataCellStyle="Comma">
      <calculatedColumnFormula>IF(INDEX(Extmin,MATCH(Table4[[#This Row],[SKU]],FG,0))="-","-",IF(Table4[[#This Row],[%Extensibility]]="-","-",IF(Table4[[#This Row],[%Extensibility]]&lt;INDEX(Extmin,MATCH(Table4[[#This Row],[SKU]],FG,0)),0,IF(Table4[[#This Row],[%Extensibility]]&gt;INDEX(Extmax,MATCH(Table4[[#This Row],[SKU]],FG,0)),0,1))))</calculatedColumnFormula>
    </tableColumn>
    <tableColumn id="34" xr3:uid="{44317ECA-811D-4E15-B9A3-CAABBE5A4B19}" name="QI Res" dataDxfId="60" dataCellStyle="Comma">
      <calculatedColumnFormula>IF(INDEX(Resmin,MATCH(Table4[[#This Row],[SKU]],FG,0))="-","-",IF(Table4[[#This Row],[Resistance, max]]="-","-",IF(Table4[[#This Row],[Resistance, max]]&lt;INDEX(Resmin,MATCH(Table4[[#This Row],[SKU]],FG,0)),0,IF(Table4[[#This Row],[Resistance, max]]&gt;INDEX(Resmax,MATCH(Table4[[#This Row],[SKU]],FG,0)),0,1))))</calculatedColumnFormula>
    </tableColumn>
    <tableColumn id="35" xr3:uid="{6B672C8C-AF4A-4563-8205-FC470251EC00}" name="QI WG" dataDxfId="59" dataCellStyle="Comma">
      <calculatedColumnFormula>IF(INDEX(WGmin,MATCH(Table4[[#This Row],[SKU]],FG,0))="-","-",IF(Table4[[#This Row],[%Wet Gluten]]="-","-",IF(Table4[[#This Row],[%Wet Gluten]]&lt;INDEX(WGmin,MATCH(Table4[[#This Row],[SKU]],FG,0)),0,IF(Table4[[#This Row],[%Wet Gluten]]&gt;INDEX(WGmax,MATCH(Table4[[#This Row],[SKU]],FG,0)),0,2))))</calculatedColumnFormula>
    </tableColumn>
    <tableColumn id="39" xr3:uid="{4FBA7D24-FB56-49B2-A5A8-BFE3DED93932}" name="QI FN" dataDxfId="58" dataCellStyle="Comma">
      <calculatedColumnFormula>IF(Table4[[#This Row],[FN, s]]="-","-",IF(R34&lt;301,1,0))</calculatedColumnFormula>
    </tableColumn>
    <tableColumn id="43" xr3:uid="{BA1062D8-9FCA-477D-9EBF-DF1EB7A66775}" name="TA" dataDxfId="57" dataCellStyle="Comma">
      <calculatedColumnFormula>SUM(Table4[[#This Row],[ QI Bran Content]:[QI FN]])</calculatedColumnFormula>
    </tableColumn>
    <tableColumn id="38" xr3:uid="{8530C2E5-8814-4780-B852-3772F8D39F4F}" name="TP" dataDxfId="56" dataCellStyle="Comma">
      <calculatedColumnFormula>COUNT(AA34,AC34:AD34,AG34:AH34,AJ34) + 2*COUNT(Z34,AB34,AE34:AF34,AI34)</calculatedColumnFormula>
    </tableColumn>
    <tableColumn id="42" xr3:uid="{FCECD0C4-10F7-491A-9AF7-DE42DA5B5159}" name="QI Weight" dataDxfId="55" dataCellStyle="Comma">
      <calculatedColumnFormula>IF(INDEX(WGmin,MATCH(Table4[[#This Row],[SKU]],FG,0))="-","-",IF(Table4[[#This Row],[Gross Weight]]="-","-",IF(Table4[[#This Row],[Gross Weight]]&lt;INDEX(GWmin,MATCH(Table4[[#This Row],[SKU]],FG,0)),0,IF(Table4[[#This Row],[Gross Weight]]&gt;INDEX(GWmax,MATCH(Table4[[#This Row],[SKU]],FG,0)),0,1))))</calculatedColumnFormula>
    </tableColumn>
    <tableColumn id="41" xr3:uid="{B0EB57F6-433B-40CA-8D90-FC32721D43B5}" name="QI Seal" dataDxfId="54" dataCellStyle="Comma">
      <calculatedColumnFormula>IF(Table4[[#This Row],[Sealing Integrity]]="-","-",IF(Table4[[#This Row],[Sealing Integrity]]="P",1,0))</calculatedColumnFormula>
    </tableColumn>
    <tableColumn id="40" xr3:uid="{36F319A4-A814-44EE-A3C9-4CE6914498D6}" name="QI Code" dataDxfId="53" dataCellStyle="Comma">
      <calculatedColumnFormula>IF(Table4[[#This Row],[Coding]]="-","-",IF(Table4[[#This Row],[Coding]]="P",1,0))</calculatedColumnFormula>
    </tableColumn>
    <tableColumn id="36" xr3:uid="{50243BAF-9BB3-43D0-B98C-15613F1EC385}" name="TA2" dataDxfId="52">
      <calculatedColumnFormula>SUM(Table4[[#This Row],[QI Weight]:[QI Code]])</calculatedColumnFormula>
    </tableColumn>
    <tableColumn id="37" xr3:uid="{88F1FB4C-6761-4CDB-80A2-E3C257D244B8}" name="TP2" dataDxfId="51">
      <calculatedColumnFormula>COUNT(Table4[[#This Row],[QI Weight]:[QI Code]])</calculatedColumnFormula>
    </tableColumn>
    <tableColumn id="44" xr3:uid="{D13B1BA1-0AA2-43D5-9105-9EBB9F6B5DE2}" name="TA3" dataDxfId="50" dataCellStyle="Comma">
      <calculatedColumnFormula>Table4[[#This Row],[TA]]+Table4[[#This Row],[TA2]]</calculatedColumnFormula>
    </tableColumn>
    <tableColumn id="45" xr3:uid="{081434D0-4AF2-486C-8A77-9A6E95792E33}" name="TP3" dataDxfId="49" dataCellStyle="Comma">
      <calculatedColumnFormula>Table4[[#This Row],[TP]]+Table4[[#This Row],[TP2]]</calculatedColumn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5D1354-4F63-46F3-A511-B0D0C576E2B8}" name="Table6" displayName="Table6" ref="AO5:AP20" totalsRowShown="0" headerRowDxfId="48">
  <autoFilter ref="AO5:AP20" xr:uid="{CC96BC10-6453-4931-BEB8-9DFB88C2435C}"/>
  <tableColumns count="2">
    <tableColumn id="1" xr3:uid="{8F58C4FF-A646-40EE-AE0B-37751C02C162}" name="QI" dataDxfId="47" dataCellStyle="Comma"/>
    <tableColumn id="2" xr3:uid="{EECEB5AB-1C24-4B21-895E-BBCF0E5C0232}" name="Percentage" dataDxfId="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00F36D6-2A66-4AFB-B7F4-AA68E0A404AD}" name="Table7" displayName="Table7" ref="BD33:BK122" totalsRowShown="0" headerRowDxfId="45" dataDxfId="44" tableBorderDxfId="43" dataCellStyle="Comma">
  <autoFilter ref="BD33:BK122" xr:uid="{B78C9D75-C051-49A0-B4D0-3324067BA84D}"/>
  <tableColumns count="8">
    <tableColumn id="1" xr3:uid="{0E79E1D0-1055-4F19-BCBC-7136A8C0A7D9}" name="Low MC" dataDxfId="42" dataCellStyle="Comma">
      <calculatedColumnFormula>IF(INDEX(MCmin,MATCH(Table4[[#This Row],[SKU]],FG,0))="-","-",IF(Table4[[#This Row],[%MC]]="-","-",IF(Table4[[#This Row],[%MC]]&lt;INDEX(MCmin,MATCH(Table4[[#This Row],[SKU]],FG,0)),1,0)))</calculatedColumnFormula>
    </tableColumn>
    <tableColumn id="2" xr3:uid="{A6DB229C-F982-4248-86BE-9C23AB51DA82}" name="High MC" dataDxfId="41" dataCellStyle="Comma">
      <calculatedColumnFormula>IF(INDEX(MCmin,MATCH(Table4[[#This Row],[SKU]],FG,0))="-","-",IF(Table4[[#This Row],[%MC]]="-","-",IF(Table4[[#This Row],[%MC]]&gt;INDEX(MCmax,MATCH(Table4[[#This Row],[SKU]],FG,0)),1,0)))</calculatedColumnFormula>
    </tableColumn>
    <tableColumn id="3" xr3:uid="{A2C9F10D-CE8A-480F-9B46-B6B5CD60F12E}" name="Low Ash" dataDxfId="40" dataCellStyle="Comma">
      <calculatedColumnFormula>IF(INDEX(Ashmin,MATCH(Table4[[#This Row],[SKU]],FG,0))="-","-",IF(Table4[[#This Row],[%Ash]]="-","-",IF(Table4[[#This Row],[%Ash]]&lt;INDEX(Ashmin,MATCH(Table4[[#This Row],[SKU]],FG,0)),1,0)))</calculatedColumnFormula>
    </tableColumn>
    <tableColumn id="4" xr3:uid="{6395E84A-A048-4746-8624-5E93D0F002B7}" name="High Ash" dataDxfId="39" dataCellStyle="Comma">
      <calculatedColumnFormula>IF(INDEX(Ashmin,MATCH(Table4[[#This Row],[SKU]],FG,0))="-","-",IF(Table4[[#This Row],[%Ash]]="-","-",IF(Table4[[#This Row],[%Ash]]&gt;INDEX(Ashmax,MATCH(Table4[[#This Row],[SKU]],FG,0)),1,0)))</calculatedColumnFormula>
    </tableColumn>
    <tableColumn id="5" xr3:uid="{CB491407-624F-4090-AFD8-4C3CECFC4E29}" name="Low WA" dataDxfId="38" dataCellStyle="Comma">
      <calculatedColumnFormula>IF(INDEX(Absmin,MATCH(Table4[[#This Row],[SKU]],FG,0))="-","-",IF(Table4[[#This Row],[%Absorption]]="-","-",IF(Table4[[#This Row],[%Absorption]]&lt;INDEX(Absmin,MATCH(Table4[[#This Row],[SKU]],FG,0)),1,0)))</calculatedColumnFormula>
    </tableColumn>
    <tableColumn id="6" xr3:uid="{EB32DC96-7E9B-4617-B0D2-0B5093CB7C4E}" name="High WA" dataDxfId="37" dataCellStyle="Comma">
      <calculatedColumnFormula>IF(INDEX(Absmin,MATCH(Table4[[#This Row],[SKU]],FG,0))="-","-",IF(Table4[[#This Row],[%Absorption]]="-","-",IF(Table4[[#This Row],[%Absorption]]&gt;INDEX(Absmax,MATCH(Table4[[#This Row],[SKU]],FG,0)),1,0)))</calculatedColumnFormula>
    </tableColumn>
    <tableColumn id="7" xr3:uid="{5C4A6435-6E56-487C-8617-D5457296B924}" name="Low WG" dataDxfId="36" dataCellStyle="Comma">
      <calculatedColumnFormula>IF(INDEX(WGmin,MATCH(Table4[[#This Row],[SKU]],FG,0))="-","-",IF(Table4[[#This Row],[%Wet Gluten]]="-","-",IF(Table4[[#This Row],[%Wet Gluten]]&lt;INDEX(WGmin,MATCH(Table4[[#This Row],[SKU]],FG,0)),1,0)))</calculatedColumnFormula>
    </tableColumn>
    <tableColumn id="8" xr3:uid="{2533D9B5-A089-48C9-9F51-EBB47F2C59BC}" name="High WG" dataDxfId="35" dataCellStyle="Comma">
      <calculatedColumnFormula>IF(INDEX(WGmin,MATCH(Table4[[#This Row],[SKU]],FG,0))="-","-",IF(Table4[[#This Row],[%Wet Gluten]]="-","-",IF(Table4[[#This Row],[%Wet Gluten]]&gt;INDEX(WGmax,MATCH(Table4[[#This Row],[SKU]],FG,0)),1,0)))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C37EE4-82A4-4136-8850-F1AD85366CD3}" name="Table1" displayName="Table1" ref="A1:Z84" totalsRowShown="0" headerRowDxfId="34" dataDxfId="32" headerRowBorderDxfId="33" tableBorderDxfId="31">
  <autoFilter ref="A1:Z84" xr:uid="{A9BC83A1-B398-483C-BC36-A71E77A62044}"/>
  <sortState xmlns:xlrd2="http://schemas.microsoft.com/office/spreadsheetml/2017/richdata2" ref="A2:Z70">
    <sortCondition ref="A2:A70"/>
  </sortState>
  <tableColumns count="26">
    <tableColumn id="1" xr3:uid="{8E7B4F23-5140-455F-A2B7-CC35B54B23E7}" name="PRODUCT" dataDxfId="30"/>
    <tableColumn id="29" xr3:uid="{4A68ECD6-15CD-4FE9-9F86-D7BA372BBB70}" name="SPECS" dataDxfId="29"/>
    <tableColumn id="2" xr3:uid="{B61616B7-09AF-463B-8D01-5E73D7CE9C1A}" name="GENERAL PRODUCT" dataDxfId="28"/>
    <tableColumn id="3" xr3:uid="{7E5B5D7E-DEAC-4AC0-8B93-F37B80FFA06D}" name="SMI COUNTER" dataDxfId="27"/>
    <tableColumn id="5" xr3:uid="{1E35E8E8-50FF-4E84-A0FB-69A42F620220}" name="% BRAN CONTENT" dataDxfId="26"/>
    <tableColumn id="7" xr3:uid="{CBA37D53-1541-4E62-B4F6-2DF450B0F67A}" name="APPEARANCE*" dataDxfId="25"/>
    <tableColumn id="9" xr3:uid="{896D50CB-9EB9-4011-ADE4-2D1F4750E779}" name="ODOR**" dataDxfId="24"/>
    <tableColumn id="10" xr3:uid="{B20D0909-7612-4555-825E-144CDA884749}" name="AA SPOT TEST" dataDxfId="23"/>
    <tableColumn id="11" xr3:uid="{78E5DF6B-2F94-4609-AD90-FF6FFFE75A33}" name="% MC, min" dataDxfId="22" dataCellStyle="Comma"/>
    <tableColumn id="12" xr3:uid="{A7829064-E5AB-4959-9B5C-EA24047D608C}" name="% MC max" dataDxfId="21" dataCellStyle="Comma"/>
    <tableColumn id="31" xr3:uid="{3428E5FF-C0C9-4363-9203-B28FF59BC4DA}" name="%PROT, min" dataDxfId="20" dataCellStyle="Comma"/>
    <tableColumn id="32" xr3:uid="{69A896C9-112E-482E-AEA5-AA0195D60533}" name="%PROT, max" dataDxfId="19" dataCellStyle="Comma"/>
    <tableColumn id="13" xr3:uid="{3A248D91-3F24-4FB9-A290-9546681015F2}" name="% ASH, min" dataDxfId="18" dataCellStyle="Comma"/>
    <tableColumn id="14" xr3:uid="{745D667F-691B-4F65-BDF1-7CE1DEB9C9D9}" name="% ASH, max" dataDxfId="17" dataCellStyle="Comma"/>
    <tableColumn id="15" xr3:uid="{3D96D808-FAE9-415D-8647-56081174F7FD}" name="% WATER ABSORPTION, min" dataDxfId="16"/>
    <tableColumn id="16" xr3:uid="{14DEAA7B-DBA2-4082-AE0D-420B0C04082A}" name="% WATER ABSORPTION, max" dataDxfId="15"/>
    <tableColumn id="17" xr3:uid="{2C7F2999-EF0B-4D3A-AE47-8EF0E631B49A}" name="EXTENSIBILITY, cm min" dataDxfId="14"/>
    <tableColumn id="18" xr3:uid="{4BCC288A-10C8-407C-9168-1DDC2710CC83}" name="EXTENSIBILITY, cm max" dataDxfId="13"/>
    <tableColumn id="19" xr3:uid="{1CA5030C-31EA-4C9C-AE26-F7ABA47B6987}" name="RESISTANCE ,BU_x000a_(@ Max) min" dataDxfId="12"/>
    <tableColumn id="20" xr3:uid="{AA6FBB7D-3001-4E23-A49F-D4F2E8B38234}" name="RESISTANCE ,BU _x000a_(@ Max) max" dataDxfId="11"/>
    <tableColumn id="21" xr3:uid="{59A79520-F002-405F-A097-97708E1A71A0}" name="% WET GLUTEN, min" dataDxfId="10"/>
    <tableColumn id="22" xr3:uid="{F1CA1F8F-73D5-4ADC-AF20-C93287923160}" name="% WET GLUTEN, max" dataDxfId="9" dataCellStyle="Comma"/>
    <tableColumn id="4" xr3:uid="{ACCD280D-6AC0-479C-9952-35FD5DA0B30B}" name="Gross Weight, min" dataDxfId="8" dataCellStyle="Comma"/>
    <tableColumn id="6" xr3:uid="{770E44D6-A979-4CC8-B26B-B493ABCC82B1}" name="Gross Weight, max" dataDxfId="7" dataCellStyle="Comma"/>
    <tableColumn id="34" xr3:uid="{825A0845-9D3C-4AD8-BE46-B438BE358FD3}" name="Falling Number" dataDxfId="6" dataCellStyle="Comma"/>
    <tableColumn id="23" xr3:uid="{D8209AE8-84C8-4A83-A70D-593EDA876854}" name="pH" dataDxfId="5"/>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8496FC-FB39-4FB9-A480-6406D4A7C728}" name="Table8" displayName="Table8" ref="A3:AS685" totalsRowShown="0">
  <autoFilter ref="A3:AS685" xr:uid="{008496FC-FB39-4FB9-A480-6406D4A7C728}"/>
  <tableColumns count="45">
    <tableColumn id="1" xr3:uid="{A7098B38-A965-4502-86F4-4D79F8D4000E}" name="Month" dataDxfId="4"/>
    <tableColumn id="2" xr3:uid="{2F69DC24-2CDC-488B-ABE6-35FF43D36A43}" name="PD" dataDxfId="3"/>
    <tableColumn id="3" xr3:uid="{642EF52C-A2EF-4283-BD93-53F611B3BAF4}" name="MD" dataDxfId="2"/>
    <tableColumn id="4" xr3:uid="{B85336BC-097A-430D-A741-C46DBADF95C8}" name="Shift"/>
    <tableColumn id="5" xr3:uid="{691CABFD-9A92-47C2-AAB2-C6EE62D42984}" name="Time"/>
    <tableColumn id="6" xr3:uid="{C73A4E67-F398-45EA-8402-E940654FB3C2}" name="Packing Line"/>
    <tableColumn id="7" xr3:uid="{38E0C9EA-16BF-4326-AA96-12598FE68E8F}" name="SKU"/>
    <tableColumn id="8" xr3:uid="{31F3E730-A738-4B1E-B9F2-FD4139F05B51}" name=" Bran Content"/>
    <tableColumn id="9" xr3:uid="{6246287D-F377-4FDD-8F38-F47B16859958}" name="Sieve Test"/>
    <tableColumn id="10" xr3:uid="{40085EAD-DBE3-4B2C-AAD9-9BBD9E505917}" name="Appearance/_x000a_ Pekar"/>
    <tableColumn id="11" xr3:uid="{DDE74BCC-6F50-46A4-80E6-3CC1E012A566}" name="Odor"/>
    <tableColumn id="12" xr3:uid="{B8131601-B0E5-40FD-A0B0-D9502DCC5358}" name="AA Spot test"/>
    <tableColumn id="13" xr3:uid="{D2FFF849-8C16-42C1-8FAA-C2F50C63263A}" name="Iron Spot test"/>
    <tableColumn id="14" xr3:uid="{A27CD165-5D1B-4C37-A9D2-53E395C32CDC}" name="%MC"/>
    <tableColumn id="15" xr3:uid="{9145B668-BA5F-4219-8721-11A5B0AE9C50}" name="%Protein"/>
    <tableColumn id="16" xr3:uid="{14B705B1-4942-44F8-98B0-F0AD450E3573}" name="%Ash"/>
    <tableColumn id="17" xr3:uid="{654396B2-DE3E-4822-AC1D-C6CD5DB4C051}" name="%Absorption"/>
    <tableColumn id="18" xr3:uid="{D4987210-245E-470D-8F4E-DE5606E3B6D0}" name="%Extensibility"/>
    <tableColumn id="19" xr3:uid="{06BB4C43-FD54-4E17-A58B-697623AF6B2B}" name="Resistance, max"/>
    <tableColumn id="20" xr3:uid="{08DEE687-105B-45FE-8362-8E120E383677}" name="%Wet Gluten"/>
    <tableColumn id="21" xr3:uid="{AB104C3F-453A-4C6C-9F37-EC00B333A9D6}" name="FN, s"/>
    <tableColumn id="22" xr3:uid="{57CA6623-31AE-41CB-9852-2323C4625E64}" name="Gross Weight"/>
    <tableColumn id="23" xr3:uid="{67BEB625-AE67-4E98-A386-64E5D77984A2}" name="Sealing Integrity"/>
    <tableColumn id="24" xr3:uid="{F97968DD-DAF4-4013-A843-47CCBBA5DD75}" name="Coding"/>
    <tableColumn id="25" xr3:uid="{9F71B15A-C256-4B79-85AD-A594F1E74B48}" name="BA REF"/>
    <tableColumn id="26" xr3:uid="{F31DF2CC-0982-464D-9DB6-3D84B733FB6B}" name=" QI Bran Content"/>
    <tableColumn id="27" xr3:uid="{580D0B31-AAFD-44F0-A9E0-6B3FC3E8AE20}" name="QI Apperance"/>
    <tableColumn id="28" xr3:uid="{1800477F-A96B-411E-8D00-D04F91FCE85A}" name="QI Odor"/>
    <tableColumn id="29" xr3:uid="{E80C80C3-3659-487F-9C10-7AB14090A657}" name="QI %MC"/>
    <tableColumn id="30" xr3:uid="{F9D3B617-2892-4D69-8AB9-9647DFAE63BB}" name="QI Prot"/>
    <tableColumn id="31" xr3:uid="{F8637A64-087C-47B5-8112-96EBD97B282C}" name="QI Ash"/>
    <tableColumn id="32" xr3:uid="{B08B242D-33E4-45F5-B0DA-4A1CCE9D78FB}" name="QI Abs"/>
    <tableColumn id="33" xr3:uid="{91E42C58-05CE-47BE-AD51-477ED42A5159}" name="QI Ext"/>
    <tableColumn id="34" xr3:uid="{6FF042A0-AA37-4C06-9FE9-9244B0C8565B}" name="QI Res"/>
    <tableColumn id="35" xr3:uid="{A53A9814-8FA3-42B7-87F5-BBE3B7AFA480}" name="QI WG"/>
    <tableColumn id="36" xr3:uid="{06417667-C6CA-4297-80C0-2D801AF2F24D}" name="QI FN"/>
    <tableColumn id="37" xr3:uid="{18794B2E-A870-4874-B818-53BDFA7BA6F4}" name="TA"/>
    <tableColumn id="38" xr3:uid="{0D267E6D-CEDA-4F98-8F9D-4371F0DE1DAE}" name="TP"/>
    <tableColumn id="39" xr3:uid="{0E39DBD9-25BC-40D3-A8BA-F4CC2711B678}" name="QI Weight"/>
    <tableColumn id="40" xr3:uid="{43EF1618-C0A2-4E4C-AB90-87B7B5E90732}" name="QI Seal"/>
    <tableColumn id="41" xr3:uid="{06AE143D-3996-4B33-A62C-F8CF8EF0A00F}" name="QI Code"/>
    <tableColumn id="42" xr3:uid="{38874231-38F7-4081-B892-CEA15DDF34BE}" name="TA2"/>
    <tableColumn id="43" xr3:uid="{12BBE9EC-CA46-4DFF-A8D5-214C7440B106}" name="TP2"/>
    <tableColumn id="44" xr3:uid="{48305135-CEE2-44C3-9494-3B38970FCEAF}" name="TA3"/>
    <tableColumn id="45" xr3:uid="{7B7FFE8F-C575-4980-9C04-0B29BAAB984E}" name="TP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microsoft.com/office/2007/relationships/slicer" Target="../slicers/slicer1.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3" Type="http://schemas.openxmlformats.org/officeDocument/2006/relationships/drawing" Target="../drawings/drawing3.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 Type="http://schemas.openxmlformats.org/officeDocument/2006/relationships/printerSettings" Target="../printerSettings/printerSettings7.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ivotTable" Target="../pivotTables/pivotTable2.xml"/><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6.emf"/></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C83"/>
  <sheetViews>
    <sheetView topLeftCell="B14" zoomScale="55" zoomScaleNormal="55" workbookViewId="0">
      <selection activeCell="V20" sqref="V20"/>
    </sheetView>
  </sheetViews>
  <sheetFormatPr defaultColWidth="10.7265625" defaultRowHeight="15.5" outlineLevelCol="1" x14ac:dyDescent="0.35"/>
  <cols>
    <col min="1" max="1" width="22.1796875" style="84" customWidth="1" outlineLevel="1"/>
    <col min="2" max="2" width="16.453125" style="84" customWidth="1" outlineLevel="1"/>
    <col min="3" max="3" width="17.7265625" style="84" customWidth="1" outlineLevel="1"/>
    <col min="4" max="5" width="47.81640625" style="84" customWidth="1" outlineLevel="1"/>
    <col min="6" max="6" width="10.7265625" style="84" customWidth="1"/>
    <col min="7" max="7" width="24.54296875" style="84" bestFit="1" customWidth="1"/>
    <col min="8" max="8" width="7.1796875" style="84" bestFit="1" customWidth="1"/>
    <col min="9" max="29" width="15.26953125" style="84" bestFit="1" customWidth="1"/>
    <col min="30" max="16384" width="10.7265625" style="84"/>
  </cols>
  <sheetData>
    <row r="1" spans="1:29" ht="46.5" x14ac:dyDescent="0.35">
      <c r="A1" s="95" t="s">
        <v>0</v>
      </c>
      <c r="B1" s="95" t="s">
        <v>1</v>
      </c>
      <c r="C1" s="95" t="s">
        <v>2</v>
      </c>
      <c r="D1" s="95" t="s">
        <v>3</v>
      </c>
      <c r="E1" s="95" t="s">
        <v>4</v>
      </c>
      <c r="G1" s="72"/>
      <c r="H1" s="73" t="s">
        <v>5</v>
      </c>
      <c r="I1" s="74" t="s">
        <v>6</v>
      </c>
      <c r="J1" s="74" t="s">
        <v>7</v>
      </c>
      <c r="K1" s="74" t="s">
        <v>8</v>
      </c>
      <c r="L1" s="74" t="s">
        <v>9</v>
      </c>
      <c r="M1" s="74" t="s">
        <v>10</v>
      </c>
      <c r="N1" s="74" t="s">
        <v>11</v>
      </c>
      <c r="O1" s="74" t="s">
        <v>12</v>
      </c>
      <c r="P1" s="74" t="s">
        <v>13</v>
      </c>
      <c r="Q1" s="74" t="s">
        <v>14</v>
      </c>
      <c r="R1" s="74" t="s">
        <v>15</v>
      </c>
      <c r="S1" s="74" t="s">
        <v>16</v>
      </c>
      <c r="T1" s="74" t="s">
        <v>17</v>
      </c>
      <c r="U1" s="74" t="s">
        <v>18</v>
      </c>
      <c r="V1" s="74" t="s">
        <v>19</v>
      </c>
      <c r="W1" s="74" t="s">
        <v>20</v>
      </c>
      <c r="X1" s="74" t="s">
        <v>21</v>
      </c>
      <c r="Y1" s="74" t="s">
        <v>22</v>
      </c>
      <c r="Z1" s="74" t="s">
        <v>23</v>
      </c>
      <c r="AA1" s="74" t="s">
        <v>24</v>
      </c>
      <c r="AB1" s="74" t="s">
        <v>25</v>
      </c>
      <c r="AC1" s="74" t="s">
        <v>26</v>
      </c>
    </row>
    <row r="2" spans="1:29" x14ac:dyDescent="0.35">
      <c r="A2" s="85" t="s">
        <v>27</v>
      </c>
      <c r="B2" s="85" t="s">
        <v>28</v>
      </c>
      <c r="C2" s="85" t="s">
        <v>29</v>
      </c>
      <c r="D2" s="84" t="s">
        <v>30</v>
      </c>
      <c r="E2" s="84" t="s">
        <v>6</v>
      </c>
      <c r="G2" s="96" t="s">
        <v>31</v>
      </c>
      <c r="H2" s="96"/>
      <c r="I2" s="96"/>
      <c r="J2" s="96"/>
      <c r="K2" s="96"/>
      <c r="L2" s="96"/>
      <c r="M2" s="96"/>
      <c r="N2" s="96"/>
      <c r="O2" s="96"/>
      <c r="P2" s="96"/>
      <c r="Q2" s="96"/>
      <c r="R2" s="96"/>
      <c r="S2" s="96"/>
      <c r="T2" s="96"/>
      <c r="U2" s="96"/>
      <c r="V2" s="96"/>
      <c r="W2" s="96"/>
      <c r="X2" s="96"/>
      <c r="Y2" s="96"/>
      <c r="Z2" s="96"/>
      <c r="AA2" s="96"/>
      <c r="AB2" s="96"/>
      <c r="AC2" s="96"/>
    </row>
    <row r="3" spans="1:29" x14ac:dyDescent="0.35">
      <c r="A3" s="85" t="s">
        <v>32</v>
      </c>
      <c r="B3" s="85"/>
      <c r="C3" s="85"/>
      <c r="D3" s="84" t="s">
        <v>33</v>
      </c>
      <c r="E3" s="84" t="s">
        <v>6</v>
      </c>
      <c r="G3" s="75" t="s">
        <v>34</v>
      </c>
      <c r="H3" s="76" t="s">
        <v>35</v>
      </c>
      <c r="I3" s="74">
        <v>4.09</v>
      </c>
      <c r="J3" s="74">
        <v>6.33</v>
      </c>
      <c r="K3" s="74">
        <v>6.14</v>
      </c>
      <c r="L3" s="74">
        <v>0</v>
      </c>
      <c r="M3" s="74">
        <v>6</v>
      </c>
      <c r="N3" s="74">
        <v>4.97</v>
      </c>
      <c r="O3" s="74">
        <v>6.14</v>
      </c>
      <c r="P3" s="74">
        <v>6.35</v>
      </c>
      <c r="Q3" s="74">
        <v>0</v>
      </c>
      <c r="R3" s="74">
        <v>6.35</v>
      </c>
      <c r="S3" s="74">
        <v>0</v>
      </c>
      <c r="T3" s="74">
        <v>5.71</v>
      </c>
      <c r="U3" s="74">
        <v>0</v>
      </c>
      <c r="V3" s="74">
        <v>0</v>
      </c>
      <c r="W3" s="74">
        <v>5.95</v>
      </c>
      <c r="X3" s="74">
        <v>4.17</v>
      </c>
      <c r="Y3" s="74">
        <v>0</v>
      </c>
      <c r="Z3" s="74">
        <v>4.59</v>
      </c>
      <c r="AA3" s="74">
        <v>5.59</v>
      </c>
      <c r="AB3" s="74">
        <v>5.81</v>
      </c>
      <c r="AC3" s="74">
        <v>0</v>
      </c>
    </row>
    <row r="4" spans="1:29" x14ac:dyDescent="0.35">
      <c r="A4" s="85" t="s">
        <v>19</v>
      </c>
      <c r="B4" s="85"/>
      <c r="C4" s="85"/>
      <c r="D4" s="84" t="s">
        <v>36</v>
      </c>
      <c r="E4" s="84" t="s">
        <v>6</v>
      </c>
      <c r="G4" s="75" t="s">
        <v>37</v>
      </c>
      <c r="H4" s="76" t="s">
        <v>35</v>
      </c>
      <c r="I4" s="74">
        <v>56.4</v>
      </c>
      <c r="J4" s="74">
        <v>50.57</v>
      </c>
      <c r="K4" s="74">
        <v>52.4</v>
      </c>
      <c r="L4" s="74">
        <v>0</v>
      </c>
      <c r="M4" s="74">
        <v>52.65</v>
      </c>
      <c r="N4" s="74">
        <v>53.2</v>
      </c>
      <c r="O4" s="74">
        <v>57.3</v>
      </c>
      <c r="P4" s="74">
        <v>60.1</v>
      </c>
      <c r="Q4" s="74">
        <v>0</v>
      </c>
      <c r="R4" s="74">
        <v>60.1</v>
      </c>
      <c r="S4" s="74">
        <v>0</v>
      </c>
      <c r="T4" s="74">
        <v>52.9</v>
      </c>
      <c r="U4" s="74">
        <v>0</v>
      </c>
      <c r="V4" s="74">
        <v>0</v>
      </c>
      <c r="W4" s="74">
        <v>54.1</v>
      </c>
      <c r="X4" s="74">
        <v>51.09</v>
      </c>
      <c r="Y4" s="74">
        <v>0</v>
      </c>
      <c r="Z4" s="74">
        <v>60.03</v>
      </c>
      <c r="AA4" s="74">
        <v>51.8</v>
      </c>
      <c r="AB4" s="74">
        <v>60.22</v>
      </c>
      <c r="AC4" s="74">
        <v>0</v>
      </c>
    </row>
    <row r="5" spans="1:29" x14ac:dyDescent="0.35">
      <c r="A5" s="85" t="s">
        <v>38</v>
      </c>
      <c r="B5" s="85"/>
      <c r="C5" s="85"/>
      <c r="D5" s="84" t="s">
        <v>39</v>
      </c>
      <c r="E5" s="84" t="s">
        <v>7</v>
      </c>
      <c r="G5" s="72"/>
      <c r="H5" s="76"/>
      <c r="I5" s="74"/>
      <c r="J5" s="74"/>
      <c r="K5" s="74"/>
      <c r="L5" s="74"/>
      <c r="M5" s="74"/>
      <c r="N5" s="74"/>
      <c r="O5" s="74"/>
      <c r="P5" s="74"/>
      <c r="Q5" s="74"/>
      <c r="R5" s="74"/>
      <c r="S5" s="74"/>
      <c r="T5" s="74"/>
      <c r="U5" s="74"/>
      <c r="V5" s="74"/>
      <c r="W5" s="74"/>
      <c r="X5" s="74"/>
      <c r="Y5" s="74"/>
      <c r="Z5" s="74"/>
      <c r="AA5" s="74"/>
      <c r="AB5" s="74"/>
      <c r="AC5" s="74"/>
    </row>
    <row r="6" spans="1:29" x14ac:dyDescent="0.35">
      <c r="A6" s="85" t="s">
        <v>40</v>
      </c>
      <c r="B6" s="85"/>
      <c r="C6" s="85"/>
      <c r="D6" s="84" t="s">
        <v>41</v>
      </c>
      <c r="E6" s="84" t="s">
        <v>8</v>
      </c>
      <c r="G6" s="96" t="s">
        <v>42</v>
      </c>
      <c r="H6" s="96"/>
      <c r="I6" s="96"/>
      <c r="J6" s="96"/>
      <c r="K6" s="96"/>
      <c r="L6" s="96"/>
      <c r="M6" s="96"/>
      <c r="N6" s="96"/>
      <c r="O6" s="96"/>
      <c r="P6" s="96"/>
      <c r="Q6" s="96"/>
      <c r="R6" s="96"/>
      <c r="S6" s="96"/>
      <c r="T6" s="96"/>
      <c r="U6" s="96"/>
      <c r="V6" s="96"/>
      <c r="W6" s="96"/>
      <c r="X6" s="96"/>
      <c r="Y6" s="96"/>
      <c r="Z6" s="96"/>
      <c r="AA6" s="96"/>
      <c r="AB6" s="96"/>
      <c r="AC6" s="96"/>
    </row>
    <row r="7" spans="1:29" x14ac:dyDescent="0.35">
      <c r="A7" s="84" t="s">
        <v>43</v>
      </c>
      <c r="B7" s="85"/>
      <c r="D7" s="84" t="s">
        <v>44</v>
      </c>
      <c r="E7" s="84" t="s">
        <v>9</v>
      </c>
      <c r="G7" s="77" t="s">
        <v>45</v>
      </c>
      <c r="H7" s="76" t="s">
        <v>46</v>
      </c>
      <c r="I7" s="78" t="s">
        <v>47</v>
      </c>
      <c r="J7" s="78" t="s">
        <v>47</v>
      </c>
      <c r="K7" s="78" t="s">
        <v>47</v>
      </c>
      <c r="L7" s="78" t="s">
        <v>47</v>
      </c>
      <c r="M7" s="78" t="s">
        <v>47</v>
      </c>
      <c r="N7" s="78" t="s">
        <v>47</v>
      </c>
      <c r="O7" s="78" t="s">
        <v>47</v>
      </c>
      <c r="P7" s="78" t="s">
        <v>47</v>
      </c>
      <c r="Q7" s="78" t="s">
        <v>47</v>
      </c>
      <c r="R7" s="78" t="s">
        <v>47</v>
      </c>
      <c r="S7" s="78" t="s">
        <v>47</v>
      </c>
      <c r="T7" s="78" t="s">
        <v>47</v>
      </c>
      <c r="U7" s="78" t="s">
        <v>47</v>
      </c>
      <c r="V7" s="78" t="s">
        <v>47</v>
      </c>
      <c r="W7" s="78" t="s">
        <v>47</v>
      </c>
      <c r="X7" s="78" t="s">
        <v>47</v>
      </c>
      <c r="Y7" s="78" t="s">
        <v>47</v>
      </c>
      <c r="Z7" s="78" t="s">
        <v>47</v>
      </c>
      <c r="AA7" s="78" t="s">
        <v>47</v>
      </c>
      <c r="AB7" s="78" t="s">
        <v>47</v>
      </c>
      <c r="AC7" s="78" t="s">
        <v>47</v>
      </c>
    </row>
    <row r="8" spans="1:29" x14ac:dyDescent="0.35">
      <c r="A8" s="85" t="s">
        <v>48</v>
      </c>
      <c r="B8" s="85"/>
      <c r="C8" s="85"/>
      <c r="D8" s="84" t="s">
        <v>49</v>
      </c>
      <c r="E8" s="97" t="s">
        <v>23</v>
      </c>
      <c r="G8" s="77" t="s">
        <v>50</v>
      </c>
      <c r="H8" s="76" t="s">
        <v>46</v>
      </c>
      <c r="I8" s="78" t="s">
        <v>51</v>
      </c>
      <c r="J8" s="78" t="s">
        <v>51</v>
      </c>
      <c r="K8" s="78" t="s">
        <v>51</v>
      </c>
      <c r="L8" s="78" t="s">
        <v>51</v>
      </c>
      <c r="M8" s="78" t="s">
        <v>51</v>
      </c>
      <c r="N8" s="78" t="s">
        <v>51</v>
      </c>
      <c r="O8" s="78" t="s">
        <v>51</v>
      </c>
      <c r="P8" s="78" t="s">
        <v>51</v>
      </c>
      <c r="Q8" s="78" t="s">
        <v>51</v>
      </c>
      <c r="R8" s="78" t="s">
        <v>51</v>
      </c>
      <c r="S8" s="78" t="s">
        <v>51</v>
      </c>
      <c r="T8" s="78" t="s">
        <v>51</v>
      </c>
      <c r="U8" s="78" t="s">
        <v>51</v>
      </c>
      <c r="V8" s="78" t="s">
        <v>51</v>
      </c>
      <c r="W8" s="78" t="s">
        <v>51</v>
      </c>
      <c r="X8" s="78" t="s">
        <v>51</v>
      </c>
      <c r="Y8" s="78" t="s">
        <v>51</v>
      </c>
      <c r="Z8" s="78" t="s">
        <v>51</v>
      </c>
      <c r="AA8" s="78" t="s">
        <v>51</v>
      </c>
      <c r="AB8" s="78" t="s">
        <v>51</v>
      </c>
      <c r="AC8" s="78" t="s">
        <v>51</v>
      </c>
    </row>
    <row r="9" spans="1:29" x14ac:dyDescent="0.35">
      <c r="A9" s="85" t="s">
        <v>52</v>
      </c>
      <c r="B9" s="85"/>
      <c r="C9" s="85"/>
      <c r="D9" s="84" t="s">
        <v>53</v>
      </c>
      <c r="E9" s="84" t="s">
        <v>17</v>
      </c>
      <c r="G9" s="77" t="s">
        <v>54</v>
      </c>
      <c r="H9" s="76" t="s">
        <v>46</v>
      </c>
      <c r="I9" s="78" t="s">
        <v>51</v>
      </c>
      <c r="J9" s="78" t="s">
        <v>51</v>
      </c>
      <c r="K9" s="78" t="s">
        <v>51</v>
      </c>
      <c r="L9" s="78" t="s">
        <v>51</v>
      </c>
      <c r="M9" s="78" t="s">
        <v>51</v>
      </c>
      <c r="N9" s="78" t="s">
        <v>51</v>
      </c>
      <c r="O9" s="78" t="s">
        <v>51</v>
      </c>
      <c r="P9" s="78" t="s">
        <v>51</v>
      </c>
      <c r="Q9" s="78" t="s">
        <v>51</v>
      </c>
      <c r="R9" s="78" t="s">
        <v>51</v>
      </c>
      <c r="S9" s="78" t="s">
        <v>51</v>
      </c>
      <c r="T9" s="78" t="s">
        <v>51</v>
      </c>
      <c r="U9" s="78" t="s">
        <v>51</v>
      </c>
      <c r="V9" s="78" t="s">
        <v>51</v>
      </c>
      <c r="W9" s="78" t="s">
        <v>51</v>
      </c>
      <c r="X9" s="78" t="s">
        <v>51</v>
      </c>
      <c r="Y9" s="78" t="s">
        <v>51</v>
      </c>
      <c r="Z9" s="78" t="s">
        <v>51</v>
      </c>
      <c r="AA9" s="78" t="s">
        <v>51</v>
      </c>
      <c r="AB9" s="78" t="s">
        <v>51</v>
      </c>
      <c r="AC9" s="78" t="s">
        <v>51</v>
      </c>
    </row>
    <row r="10" spans="1:29" x14ac:dyDescent="0.35">
      <c r="A10" s="85" t="s">
        <v>55</v>
      </c>
      <c r="B10" s="86"/>
      <c r="D10" s="84" t="s">
        <v>56</v>
      </c>
      <c r="E10" s="84" t="s">
        <v>17</v>
      </c>
      <c r="G10" s="79" t="s">
        <v>57</v>
      </c>
      <c r="H10" s="76" t="s">
        <v>46</v>
      </c>
      <c r="I10" s="78" t="s">
        <v>58</v>
      </c>
      <c r="J10" s="78" t="s">
        <v>58</v>
      </c>
      <c r="K10" s="78" t="s">
        <v>58</v>
      </c>
      <c r="L10" s="78" t="s">
        <v>58</v>
      </c>
      <c r="M10" s="78" t="s">
        <v>58</v>
      </c>
      <c r="N10" s="78" t="s">
        <v>58</v>
      </c>
      <c r="O10" s="78" t="s">
        <v>58</v>
      </c>
      <c r="P10" s="78" t="s">
        <v>58</v>
      </c>
      <c r="Q10" s="78" t="s">
        <v>58</v>
      </c>
      <c r="R10" s="78" t="s">
        <v>58</v>
      </c>
      <c r="S10" s="78" t="s">
        <v>58</v>
      </c>
      <c r="T10" s="78" t="s">
        <v>58</v>
      </c>
      <c r="U10" s="78" t="s">
        <v>58</v>
      </c>
      <c r="V10" s="78" t="s">
        <v>58</v>
      </c>
      <c r="W10" s="78" t="s">
        <v>58</v>
      </c>
      <c r="X10" s="78" t="s">
        <v>58</v>
      </c>
      <c r="Y10" s="78" t="s">
        <v>58</v>
      </c>
      <c r="Z10" s="78" t="s">
        <v>58</v>
      </c>
      <c r="AA10" s="78" t="s">
        <v>58</v>
      </c>
      <c r="AB10" s="78" t="s">
        <v>58</v>
      </c>
      <c r="AC10" s="78" t="s">
        <v>58</v>
      </c>
    </row>
    <row r="11" spans="1:29" x14ac:dyDescent="0.35">
      <c r="A11" s="85" t="s">
        <v>59</v>
      </c>
      <c r="B11" s="87"/>
      <c r="D11" s="84" t="s">
        <v>60</v>
      </c>
      <c r="E11" s="84" t="s">
        <v>17</v>
      </c>
      <c r="G11" s="77" t="s">
        <v>61</v>
      </c>
      <c r="H11" s="76" t="s">
        <v>46</v>
      </c>
      <c r="I11" s="78" t="s">
        <v>47</v>
      </c>
      <c r="J11" s="78" t="s">
        <v>47</v>
      </c>
      <c r="K11" s="78" t="s">
        <v>47</v>
      </c>
      <c r="L11" s="78" t="s">
        <v>47</v>
      </c>
      <c r="M11" s="78" t="s">
        <v>47</v>
      </c>
      <c r="N11" s="78" t="s">
        <v>47</v>
      </c>
      <c r="O11" s="78" t="s">
        <v>47</v>
      </c>
      <c r="P11" s="78" t="s">
        <v>47</v>
      </c>
      <c r="Q11" s="78" t="s">
        <v>47</v>
      </c>
      <c r="R11" s="78" t="s">
        <v>47</v>
      </c>
      <c r="S11" s="78" t="s">
        <v>47</v>
      </c>
      <c r="T11" s="78" t="s">
        <v>47</v>
      </c>
      <c r="U11" s="78" t="s">
        <v>47</v>
      </c>
      <c r="V11" s="78" t="s">
        <v>47</v>
      </c>
      <c r="W11" s="78" t="s">
        <v>47</v>
      </c>
      <c r="X11" s="78" t="s">
        <v>47</v>
      </c>
      <c r="Y11" s="78" t="s">
        <v>47</v>
      </c>
      <c r="Z11" s="78" t="s">
        <v>47</v>
      </c>
      <c r="AA11" s="78" t="s">
        <v>47</v>
      </c>
      <c r="AB11" s="78" t="s">
        <v>47</v>
      </c>
      <c r="AC11" s="78" t="s">
        <v>47</v>
      </c>
    </row>
    <row r="12" spans="1:29" x14ac:dyDescent="0.35">
      <c r="A12" s="85"/>
      <c r="B12" s="87"/>
      <c r="D12" s="84" t="s">
        <v>62</v>
      </c>
      <c r="E12" s="97" t="s">
        <v>24</v>
      </c>
      <c r="G12" s="77" t="s">
        <v>63</v>
      </c>
      <c r="H12" s="80"/>
      <c r="I12" s="78" t="s">
        <v>58</v>
      </c>
      <c r="J12" s="78" t="s">
        <v>58</v>
      </c>
      <c r="K12" s="78" t="s">
        <v>58</v>
      </c>
      <c r="L12" s="78" t="s">
        <v>58</v>
      </c>
      <c r="M12" s="78" t="s">
        <v>58</v>
      </c>
      <c r="N12" s="78" t="s">
        <v>58</v>
      </c>
      <c r="O12" s="78" t="s">
        <v>58</v>
      </c>
      <c r="P12" s="78" t="s">
        <v>58</v>
      </c>
      <c r="Q12" s="78" t="s">
        <v>58</v>
      </c>
      <c r="R12" s="78" t="s">
        <v>58</v>
      </c>
      <c r="S12" s="78" t="s">
        <v>58</v>
      </c>
      <c r="T12" s="78" t="s">
        <v>58</v>
      </c>
      <c r="U12" s="78" t="s">
        <v>58</v>
      </c>
      <c r="V12" s="78" t="s">
        <v>58</v>
      </c>
      <c r="W12" s="78" t="s">
        <v>58</v>
      </c>
      <c r="X12" s="78" t="s">
        <v>58</v>
      </c>
      <c r="Y12" s="78" t="s">
        <v>58</v>
      </c>
      <c r="Z12" s="78" t="s">
        <v>58</v>
      </c>
      <c r="AA12" s="78" t="s">
        <v>58</v>
      </c>
      <c r="AB12" s="78" t="s">
        <v>58</v>
      </c>
      <c r="AC12" s="78" t="s">
        <v>58</v>
      </c>
    </row>
    <row r="13" spans="1:29" x14ac:dyDescent="0.35">
      <c r="A13" s="85"/>
      <c r="B13" s="86"/>
      <c r="D13" s="84" t="s">
        <v>64</v>
      </c>
      <c r="E13" s="97" t="s">
        <v>24</v>
      </c>
      <c r="G13" s="81" t="s">
        <v>65</v>
      </c>
      <c r="H13" s="76" t="s">
        <v>66</v>
      </c>
      <c r="I13" s="78" t="s">
        <v>67</v>
      </c>
      <c r="J13" s="78" t="s">
        <v>67</v>
      </c>
      <c r="K13" s="76" t="s">
        <v>67</v>
      </c>
      <c r="L13" s="76" t="s">
        <v>67</v>
      </c>
      <c r="M13" s="76" t="s">
        <v>67</v>
      </c>
      <c r="N13" s="76" t="s">
        <v>67</v>
      </c>
      <c r="O13" s="78" t="s">
        <v>67</v>
      </c>
      <c r="P13" s="78" t="s">
        <v>67</v>
      </c>
      <c r="Q13" s="78" t="s">
        <v>67</v>
      </c>
      <c r="R13" s="78" t="s">
        <v>67</v>
      </c>
      <c r="S13" s="78" t="s">
        <v>67</v>
      </c>
      <c r="T13" s="78" t="s">
        <v>67</v>
      </c>
      <c r="U13" s="78" t="s">
        <v>67</v>
      </c>
      <c r="V13" s="76" t="s">
        <v>67</v>
      </c>
      <c r="W13" s="78" t="s">
        <v>67</v>
      </c>
      <c r="X13" s="78" t="s">
        <v>67</v>
      </c>
      <c r="Y13" s="78" t="s">
        <v>67</v>
      </c>
      <c r="Z13" s="76" t="s">
        <v>67</v>
      </c>
      <c r="AA13" s="78" t="s">
        <v>67</v>
      </c>
      <c r="AB13" s="76" t="s">
        <v>67</v>
      </c>
      <c r="AC13" s="78" t="s">
        <v>67</v>
      </c>
    </row>
    <row r="14" spans="1:29" x14ac:dyDescent="0.35">
      <c r="A14" s="85"/>
      <c r="B14" s="86"/>
      <c r="D14" s="84" t="s">
        <v>68</v>
      </c>
      <c r="E14" s="84" t="s">
        <v>6</v>
      </c>
      <c r="G14" s="81" t="s">
        <v>69</v>
      </c>
      <c r="H14" s="76" t="s">
        <v>66</v>
      </c>
      <c r="I14" s="78" t="s">
        <v>70</v>
      </c>
      <c r="J14" s="78" t="s">
        <v>70</v>
      </c>
      <c r="K14" s="76" t="s">
        <v>70</v>
      </c>
      <c r="L14" s="76">
        <v>2.75</v>
      </c>
      <c r="M14" s="76" t="s">
        <v>70</v>
      </c>
      <c r="N14" s="76" t="s">
        <v>70</v>
      </c>
      <c r="O14" s="78" t="s">
        <v>70</v>
      </c>
      <c r="P14" s="78" t="s">
        <v>70</v>
      </c>
      <c r="Q14" s="78" t="s">
        <v>70</v>
      </c>
      <c r="R14" s="78" t="s">
        <v>70</v>
      </c>
      <c r="S14" s="78" t="s">
        <v>70</v>
      </c>
      <c r="T14" s="78" t="s">
        <v>70</v>
      </c>
      <c r="U14" s="78">
        <v>2.75</v>
      </c>
      <c r="V14" s="76">
        <v>2.75</v>
      </c>
      <c r="W14" s="78" t="s">
        <v>70</v>
      </c>
      <c r="X14" s="78" t="s">
        <v>70</v>
      </c>
      <c r="Y14" s="78">
        <v>2.64</v>
      </c>
      <c r="Z14" s="76" t="s">
        <v>70</v>
      </c>
      <c r="AA14" s="78" t="s">
        <v>70</v>
      </c>
      <c r="AB14" s="76" t="s">
        <v>70</v>
      </c>
      <c r="AC14" s="78">
        <v>2.64</v>
      </c>
    </row>
    <row r="15" spans="1:29" x14ac:dyDescent="0.35">
      <c r="B15" s="85"/>
      <c r="D15" s="84" t="s">
        <v>71</v>
      </c>
      <c r="E15" s="84" t="s">
        <v>17</v>
      </c>
      <c r="G15" s="82" t="s">
        <v>72</v>
      </c>
      <c r="H15" s="76" t="s">
        <v>66</v>
      </c>
      <c r="I15" s="76">
        <v>0.73</v>
      </c>
      <c r="J15" s="76">
        <v>0.25</v>
      </c>
      <c r="K15" s="78">
        <v>0.56000000000000005</v>
      </c>
      <c r="L15" s="76">
        <v>0.73</v>
      </c>
      <c r="M15" s="76">
        <v>0.5</v>
      </c>
      <c r="N15" s="76">
        <v>0.5</v>
      </c>
      <c r="O15" s="78">
        <v>0.25</v>
      </c>
      <c r="P15" s="76"/>
      <c r="Q15" s="76"/>
      <c r="R15" s="76"/>
      <c r="S15" s="76"/>
      <c r="T15" s="78">
        <v>0.73</v>
      </c>
      <c r="U15" s="76">
        <v>0.73</v>
      </c>
      <c r="V15" s="76">
        <v>0.73</v>
      </c>
      <c r="W15" s="76">
        <v>0.25</v>
      </c>
      <c r="X15" s="76">
        <v>0.25</v>
      </c>
      <c r="Y15" s="76">
        <v>0.25</v>
      </c>
      <c r="Z15" s="76">
        <v>0.73</v>
      </c>
      <c r="AA15" s="78">
        <v>0.25</v>
      </c>
      <c r="AB15" s="76">
        <v>0.73</v>
      </c>
      <c r="AC15" s="76">
        <v>0.25</v>
      </c>
    </row>
    <row r="16" spans="1:29" x14ac:dyDescent="0.35">
      <c r="D16" s="84" t="s">
        <v>73</v>
      </c>
      <c r="E16" s="84" t="s">
        <v>55</v>
      </c>
      <c r="G16" s="81" t="s">
        <v>74</v>
      </c>
      <c r="H16" s="76"/>
      <c r="I16" s="78" t="s">
        <v>58</v>
      </c>
      <c r="J16" s="78" t="s">
        <v>58</v>
      </c>
      <c r="K16" s="78" t="s">
        <v>58</v>
      </c>
      <c r="L16" s="78" t="s">
        <v>58</v>
      </c>
      <c r="M16" s="78" t="s">
        <v>58</v>
      </c>
      <c r="N16" s="78" t="s">
        <v>58</v>
      </c>
      <c r="O16" s="78" t="s">
        <v>58</v>
      </c>
      <c r="P16" s="78" t="s">
        <v>58</v>
      </c>
      <c r="Q16" s="78" t="s">
        <v>58</v>
      </c>
      <c r="R16" s="78" t="s">
        <v>58</v>
      </c>
      <c r="S16" s="78" t="s">
        <v>58</v>
      </c>
      <c r="T16" s="78" t="s">
        <v>58</v>
      </c>
      <c r="U16" s="78" t="s">
        <v>58</v>
      </c>
      <c r="V16" s="78" t="s">
        <v>58</v>
      </c>
      <c r="W16" s="78" t="s">
        <v>58</v>
      </c>
      <c r="X16" s="78" t="s">
        <v>58</v>
      </c>
      <c r="Y16" s="78" t="s">
        <v>58</v>
      </c>
      <c r="Z16" s="78" t="s">
        <v>58</v>
      </c>
      <c r="AA16" s="78" t="s">
        <v>58</v>
      </c>
      <c r="AB16" s="78" t="s">
        <v>58</v>
      </c>
      <c r="AC16" s="78" t="s">
        <v>58</v>
      </c>
    </row>
    <row r="17" spans="1:29" x14ac:dyDescent="0.35">
      <c r="A17" s="85"/>
      <c r="B17" s="85"/>
      <c r="D17" s="84" t="s">
        <v>75</v>
      </c>
      <c r="E17" s="97" t="s">
        <v>25</v>
      </c>
      <c r="G17" s="81" t="s">
        <v>76</v>
      </c>
      <c r="H17" s="76" t="s">
        <v>66</v>
      </c>
      <c r="I17" s="78" t="s">
        <v>77</v>
      </c>
      <c r="J17" s="78" t="s">
        <v>77</v>
      </c>
      <c r="K17" s="76" t="s">
        <v>77</v>
      </c>
      <c r="L17" s="76" t="s">
        <v>77</v>
      </c>
      <c r="M17" s="76" t="s">
        <v>77</v>
      </c>
      <c r="N17" s="76" t="s">
        <v>77</v>
      </c>
      <c r="O17" s="78" t="s">
        <v>77</v>
      </c>
      <c r="P17" s="78" t="s">
        <v>77</v>
      </c>
      <c r="Q17" s="78" t="s">
        <v>77</v>
      </c>
      <c r="R17" s="78" t="s">
        <v>77</v>
      </c>
      <c r="S17" s="78" t="s">
        <v>77</v>
      </c>
      <c r="T17" s="78" t="s">
        <v>77</v>
      </c>
      <c r="U17" s="78" t="s">
        <v>77</v>
      </c>
      <c r="V17" s="76" t="s">
        <v>77</v>
      </c>
      <c r="W17" s="78" t="s">
        <v>77</v>
      </c>
      <c r="X17" s="76" t="s">
        <v>77</v>
      </c>
      <c r="Y17" s="78" t="s">
        <v>77</v>
      </c>
      <c r="Z17" s="76" t="s">
        <v>77</v>
      </c>
      <c r="AA17" s="78" t="s">
        <v>77</v>
      </c>
      <c r="AB17" s="76" t="s">
        <v>77</v>
      </c>
      <c r="AC17" s="78" t="s">
        <v>77</v>
      </c>
    </row>
    <row r="18" spans="1:29" x14ac:dyDescent="0.35">
      <c r="A18" s="85"/>
      <c r="B18" s="85"/>
      <c r="D18" s="84" t="s">
        <v>78</v>
      </c>
      <c r="E18" s="84" t="s">
        <v>11</v>
      </c>
      <c r="G18" s="81" t="s">
        <v>79</v>
      </c>
      <c r="H18" s="76" t="s">
        <v>66</v>
      </c>
      <c r="I18" s="78" t="s">
        <v>47</v>
      </c>
      <c r="J18" s="78" t="s">
        <v>47</v>
      </c>
      <c r="K18" s="76" t="s">
        <v>47</v>
      </c>
      <c r="L18" s="76" t="s">
        <v>47</v>
      </c>
      <c r="M18" s="76" t="s">
        <v>47</v>
      </c>
      <c r="N18" s="76" t="s">
        <v>47</v>
      </c>
      <c r="O18" s="78" t="s">
        <v>47</v>
      </c>
      <c r="P18" s="78">
        <v>10.8</v>
      </c>
      <c r="Q18" s="78">
        <v>10.8</v>
      </c>
      <c r="R18" s="78">
        <v>10.8</v>
      </c>
      <c r="S18" s="78">
        <v>10.8</v>
      </c>
      <c r="T18" s="78" t="s">
        <v>47</v>
      </c>
      <c r="U18" s="78" t="s">
        <v>47</v>
      </c>
      <c r="V18" s="76" t="s">
        <v>47</v>
      </c>
      <c r="W18" s="78" t="s">
        <v>47</v>
      </c>
      <c r="X18" s="76" t="s">
        <v>47</v>
      </c>
      <c r="Y18" s="78" t="s">
        <v>47</v>
      </c>
      <c r="Z18" s="76" t="s">
        <v>47</v>
      </c>
      <c r="AA18" s="78" t="s">
        <v>47</v>
      </c>
      <c r="AB18" s="76" t="s">
        <v>47</v>
      </c>
      <c r="AC18" s="78" t="s">
        <v>47</v>
      </c>
    </row>
    <row r="19" spans="1:29" x14ac:dyDescent="0.35">
      <c r="A19" s="85"/>
      <c r="B19" s="85"/>
      <c r="D19" s="84" t="s">
        <v>80</v>
      </c>
      <c r="E19" s="84" t="s">
        <v>6</v>
      </c>
      <c r="G19" s="81" t="s">
        <v>81</v>
      </c>
      <c r="H19" s="76" t="s">
        <v>35</v>
      </c>
      <c r="I19" s="78" t="s">
        <v>82</v>
      </c>
      <c r="J19" s="78" t="s">
        <v>82</v>
      </c>
      <c r="K19" s="76" t="s">
        <v>82</v>
      </c>
      <c r="L19" s="76" t="s">
        <v>82</v>
      </c>
      <c r="M19" s="76" t="s">
        <v>82</v>
      </c>
      <c r="N19" s="76" t="s">
        <v>82</v>
      </c>
      <c r="O19" s="78" t="s">
        <v>82</v>
      </c>
      <c r="P19" s="78" t="s">
        <v>82</v>
      </c>
      <c r="Q19" s="78" t="s">
        <v>82</v>
      </c>
      <c r="R19" s="78" t="s">
        <v>82</v>
      </c>
      <c r="S19" s="78" t="s">
        <v>82</v>
      </c>
      <c r="T19" s="78" t="s">
        <v>82</v>
      </c>
      <c r="U19" s="78" t="s">
        <v>82</v>
      </c>
      <c r="V19" s="76" t="s">
        <v>82</v>
      </c>
      <c r="W19" s="78" t="s">
        <v>82</v>
      </c>
      <c r="X19" s="76" t="s">
        <v>82</v>
      </c>
      <c r="Y19" s="78" t="s">
        <v>82</v>
      </c>
      <c r="Z19" s="76" t="s">
        <v>82</v>
      </c>
      <c r="AA19" s="78" t="s">
        <v>82</v>
      </c>
      <c r="AB19" s="76" t="s">
        <v>82</v>
      </c>
      <c r="AC19" s="78" t="s">
        <v>82</v>
      </c>
    </row>
    <row r="20" spans="1:29" x14ac:dyDescent="0.35">
      <c r="A20" s="85"/>
      <c r="B20" s="85"/>
      <c r="D20" s="84" t="s">
        <v>83</v>
      </c>
      <c r="E20" s="97" t="s">
        <v>24</v>
      </c>
      <c r="G20" s="81" t="s">
        <v>84</v>
      </c>
      <c r="H20" s="76" t="s">
        <v>35</v>
      </c>
      <c r="I20" s="78" t="s">
        <v>85</v>
      </c>
      <c r="J20" s="78" t="s">
        <v>85</v>
      </c>
      <c r="K20" s="76" t="s">
        <v>85</v>
      </c>
      <c r="L20" s="76" t="s">
        <v>85</v>
      </c>
      <c r="M20" s="76" t="s">
        <v>85</v>
      </c>
      <c r="N20" s="76" t="s">
        <v>85</v>
      </c>
      <c r="O20" s="78" t="s">
        <v>85</v>
      </c>
      <c r="P20" s="78" t="s">
        <v>85</v>
      </c>
      <c r="Q20" s="78" t="s">
        <v>85</v>
      </c>
      <c r="R20" s="78" t="s">
        <v>85</v>
      </c>
      <c r="S20" s="78" t="s">
        <v>85</v>
      </c>
      <c r="T20" s="78" t="s">
        <v>85</v>
      </c>
      <c r="U20" s="78" t="s">
        <v>85</v>
      </c>
      <c r="V20" s="78" t="s">
        <v>85</v>
      </c>
      <c r="W20" s="78" t="s">
        <v>85</v>
      </c>
      <c r="X20" s="76" t="s">
        <v>85</v>
      </c>
      <c r="Y20" s="78" t="s">
        <v>85</v>
      </c>
      <c r="Z20" s="76" t="s">
        <v>85</v>
      </c>
      <c r="AA20" s="78" t="s">
        <v>85</v>
      </c>
      <c r="AB20" s="76" t="s">
        <v>85</v>
      </c>
      <c r="AC20" s="78" t="s">
        <v>85</v>
      </c>
    </row>
    <row r="21" spans="1:29" x14ac:dyDescent="0.35">
      <c r="A21" s="85"/>
      <c r="B21" s="85"/>
      <c r="D21" s="84" t="s">
        <v>86</v>
      </c>
      <c r="E21" s="84" t="s">
        <v>10</v>
      </c>
      <c r="G21" s="81" t="s">
        <v>87</v>
      </c>
      <c r="H21" s="76" t="s">
        <v>35</v>
      </c>
      <c r="I21" s="78" t="s">
        <v>82</v>
      </c>
      <c r="J21" s="78" t="s">
        <v>82</v>
      </c>
      <c r="K21" s="76" t="s">
        <v>82</v>
      </c>
      <c r="L21" s="76" t="s">
        <v>82</v>
      </c>
      <c r="M21" s="76" t="s">
        <v>82</v>
      </c>
      <c r="N21" s="76" t="s">
        <v>82</v>
      </c>
      <c r="O21" s="78" t="s">
        <v>82</v>
      </c>
      <c r="P21" s="78" t="s">
        <v>82</v>
      </c>
      <c r="Q21" s="78" t="s">
        <v>82</v>
      </c>
      <c r="R21" s="78" t="s">
        <v>82</v>
      </c>
      <c r="S21" s="78" t="s">
        <v>82</v>
      </c>
      <c r="T21" s="78" t="s">
        <v>82</v>
      </c>
      <c r="U21" s="78" t="s">
        <v>82</v>
      </c>
      <c r="V21" s="76" t="s">
        <v>82</v>
      </c>
      <c r="W21" s="78" t="s">
        <v>82</v>
      </c>
      <c r="X21" s="76" t="s">
        <v>82</v>
      </c>
      <c r="Y21" s="78" t="s">
        <v>82</v>
      </c>
      <c r="Z21" s="76" t="s">
        <v>82</v>
      </c>
      <c r="AA21" s="78" t="s">
        <v>82</v>
      </c>
      <c r="AB21" s="76" t="s">
        <v>82</v>
      </c>
      <c r="AC21" s="78" t="s">
        <v>82</v>
      </c>
    </row>
    <row r="22" spans="1:29" x14ac:dyDescent="0.35">
      <c r="A22" s="85"/>
      <c r="B22" s="85"/>
      <c r="D22" s="84" t="s">
        <v>88</v>
      </c>
      <c r="E22" s="84" t="s">
        <v>10</v>
      </c>
      <c r="G22" s="81" t="s">
        <v>89</v>
      </c>
      <c r="H22" s="76" t="s">
        <v>35</v>
      </c>
      <c r="I22" s="78">
        <v>0</v>
      </c>
      <c r="J22" s="78">
        <v>0</v>
      </c>
      <c r="K22" s="76">
        <v>0</v>
      </c>
      <c r="L22" s="76">
        <v>0</v>
      </c>
      <c r="M22" s="76">
        <v>0</v>
      </c>
      <c r="N22" s="76">
        <v>0</v>
      </c>
      <c r="O22" s="78">
        <v>0</v>
      </c>
      <c r="P22" s="78">
        <v>0</v>
      </c>
      <c r="Q22" s="78">
        <v>0</v>
      </c>
      <c r="R22" s="78">
        <v>0</v>
      </c>
      <c r="S22" s="78">
        <v>0</v>
      </c>
      <c r="T22" s="78">
        <v>0</v>
      </c>
      <c r="U22" s="78">
        <v>0</v>
      </c>
      <c r="V22" s="76">
        <v>0</v>
      </c>
      <c r="W22" s="78">
        <v>0</v>
      </c>
      <c r="X22" s="76">
        <v>0</v>
      </c>
      <c r="Y22" s="78">
        <v>0</v>
      </c>
      <c r="Z22" s="76">
        <v>0</v>
      </c>
      <c r="AA22" s="78">
        <v>0</v>
      </c>
      <c r="AB22" s="76">
        <v>0</v>
      </c>
      <c r="AC22" s="78">
        <v>0</v>
      </c>
    </row>
    <row r="23" spans="1:29" x14ac:dyDescent="0.35">
      <c r="A23" s="85"/>
      <c r="B23" s="85"/>
      <c r="D23" s="84" t="s">
        <v>90</v>
      </c>
      <c r="E23" s="84" t="s">
        <v>12</v>
      </c>
      <c r="G23" s="81" t="s">
        <v>91</v>
      </c>
      <c r="H23" s="76" t="s">
        <v>35</v>
      </c>
      <c r="I23" s="78">
        <v>0</v>
      </c>
      <c r="J23" s="78">
        <v>0</v>
      </c>
      <c r="K23" s="76">
        <v>0</v>
      </c>
      <c r="L23" s="76">
        <v>8.27</v>
      </c>
      <c r="M23" s="76">
        <v>0</v>
      </c>
      <c r="N23" s="76">
        <v>0</v>
      </c>
      <c r="O23" s="78">
        <v>0</v>
      </c>
      <c r="P23" s="78">
        <v>0</v>
      </c>
      <c r="Q23" s="78">
        <v>0</v>
      </c>
      <c r="R23" s="78">
        <v>0</v>
      </c>
      <c r="S23" s="78">
        <v>0</v>
      </c>
      <c r="T23" s="78">
        <v>0</v>
      </c>
      <c r="U23" s="78">
        <v>8.27</v>
      </c>
      <c r="V23" s="76">
        <v>8.27</v>
      </c>
      <c r="W23" s="78">
        <v>0</v>
      </c>
      <c r="X23" s="76">
        <v>0</v>
      </c>
      <c r="Y23" s="78">
        <v>0</v>
      </c>
      <c r="Z23" s="76">
        <v>0</v>
      </c>
      <c r="AA23" s="78">
        <v>0</v>
      </c>
      <c r="AB23" s="76">
        <v>0</v>
      </c>
      <c r="AC23" s="78">
        <v>0</v>
      </c>
    </row>
    <row r="24" spans="1:29" x14ac:dyDescent="0.35">
      <c r="A24" s="85"/>
      <c r="B24" s="85"/>
      <c r="D24" s="84" t="s">
        <v>92</v>
      </c>
      <c r="E24" s="84" t="s">
        <v>15</v>
      </c>
      <c r="G24" s="82" t="s">
        <v>93</v>
      </c>
      <c r="H24" s="76" t="s">
        <v>35</v>
      </c>
      <c r="I24" s="76">
        <v>5.0000000000000001E-3</v>
      </c>
      <c r="J24" s="76">
        <v>5.0000000000000001E-3</v>
      </c>
      <c r="K24" s="78">
        <v>5.0000000000000001E-3</v>
      </c>
      <c r="L24" s="76">
        <v>5.0000000000000001E-3</v>
      </c>
      <c r="M24" s="76">
        <v>5.0000000000000001E-3</v>
      </c>
      <c r="N24" s="76">
        <v>5.0000000000000001E-3</v>
      </c>
      <c r="O24" s="78">
        <v>5.0000000000000001E-3</v>
      </c>
      <c r="P24" s="83"/>
      <c r="Q24" s="83"/>
      <c r="R24" s="83"/>
      <c r="S24" s="83"/>
      <c r="T24" s="78">
        <v>5.0000000000000001E-3</v>
      </c>
      <c r="U24" s="76">
        <v>5.0000000000000001E-3</v>
      </c>
      <c r="V24" s="76">
        <v>5.0000000000000001E-3</v>
      </c>
      <c r="W24" s="76">
        <v>5.0000000000000001E-3</v>
      </c>
      <c r="X24" s="76">
        <v>5.0000000000000001E-3</v>
      </c>
      <c r="Y24" s="76">
        <v>5.0000000000000001E-3</v>
      </c>
      <c r="Z24" s="76">
        <v>5.0000000000000001E-3</v>
      </c>
      <c r="AA24" s="78">
        <v>5.0000000000000001E-3</v>
      </c>
      <c r="AB24" s="76">
        <v>5.0000000000000001E-3</v>
      </c>
      <c r="AC24" s="76">
        <v>5.0000000000000001E-3</v>
      </c>
    </row>
    <row r="25" spans="1:29" x14ac:dyDescent="0.35">
      <c r="A25" s="85"/>
      <c r="B25" s="85"/>
      <c r="D25" s="84" t="s">
        <v>94</v>
      </c>
      <c r="E25" s="84" t="s">
        <v>15</v>
      </c>
      <c r="G25" s="82" t="s">
        <v>95</v>
      </c>
      <c r="H25" s="76" t="s">
        <v>35</v>
      </c>
      <c r="I25" s="76">
        <v>5.0000000000000001E-3</v>
      </c>
      <c r="J25" s="76">
        <v>5.0000000000000001E-3</v>
      </c>
      <c r="K25" s="78">
        <v>5.0000000000000001E-3</v>
      </c>
      <c r="L25" s="76">
        <v>5.0000000000000001E-3</v>
      </c>
      <c r="M25" s="76">
        <v>5.0000000000000001E-3</v>
      </c>
      <c r="N25" s="76">
        <v>5.0000000000000001E-3</v>
      </c>
      <c r="O25" s="78">
        <v>5.0000000000000001E-3</v>
      </c>
      <c r="P25" s="83"/>
      <c r="Q25" s="83"/>
      <c r="R25" s="83"/>
      <c r="S25" s="83"/>
      <c r="T25" s="78">
        <v>5.0000000000000001E-3</v>
      </c>
      <c r="U25" s="76">
        <v>5.0000000000000001E-3</v>
      </c>
      <c r="V25" s="76">
        <v>5.0000000000000001E-3</v>
      </c>
      <c r="W25" s="76">
        <v>5.0000000000000001E-3</v>
      </c>
      <c r="X25" s="76">
        <v>5.0000000000000001E-3</v>
      </c>
      <c r="Y25" s="76">
        <v>5.0000000000000001E-3</v>
      </c>
      <c r="Z25" s="76">
        <v>5.0000000000000001E-3</v>
      </c>
      <c r="AA25" s="78">
        <v>5.0000000000000001E-3</v>
      </c>
      <c r="AB25" s="76">
        <v>5.0000000000000001E-3</v>
      </c>
      <c r="AC25" s="76">
        <v>5.0000000000000001E-3</v>
      </c>
    </row>
    <row r="26" spans="1:29" x14ac:dyDescent="0.35">
      <c r="A26" s="88" t="s">
        <v>96</v>
      </c>
      <c r="B26" s="85"/>
      <c r="D26" s="84" t="s">
        <v>97</v>
      </c>
      <c r="E26" s="84" t="s">
        <v>14</v>
      </c>
      <c r="G26" s="82" t="s">
        <v>98</v>
      </c>
      <c r="H26" s="76" t="s">
        <v>35</v>
      </c>
      <c r="I26" s="76">
        <v>3.0000000000000001E-3</v>
      </c>
      <c r="J26" s="76">
        <v>3.0000000000000001E-3</v>
      </c>
      <c r="K26" s="78">
        <v>3.0000000000000001E-3</v>
      </c>
      <c r="L26" s="76">
        <v>3.0000000000000001E-3</v>
      </c>
      <c r="M26" s="76">
        <v>3.0000000000000001E-3</v>
      </c>
      <c r="N26" s="76">
        <v>3.0000000000000001E-3</v>
      </c>
      <c r="O26" s="78">
        <v>3.0000000000000001E-3</v>
      </c>
      <c r="P26" s="83"/>
      <c r="Q26" s="83"/>
      <c r="R26" s="83"/>
      <c r="S26" s="83"/>
      <c r="T26" s="78">
        <v>3.0000000000000001E-3</v>
      </c>
      <c r="U26" s="76">
        <v>3.0000000000000001E-3</v>
      </c>
      <c r="V26" s="76">
        <v>3.0000000000000001E-3</v>
      </c>
      <c r="W26" s="76">
        <v>3.0000000000000001E-3</v>
      </c>
      <c r="X26" s="76">
        <v>3.0000000000000001E-3</v>
      </c>
      <c r="Y26" s="76">
        <v>3.0000000000000001E-3</v>
      </c>
      <c r="Z26" s="76">
        <v>3.0000000000000001E-3</v>
      </c>
      <c r="AA26" s="78">
        <v>3.0000000000000001E-3</v>
      </c>
      <c r="AB26" s="76">
        <v>3.0000000000000001E-3</v>
      </c>
      <c r="AC26" s="76">
        <v>3.0000000000000001E-3</v>
      </c>
    </row>
    <row r="27" spans="1:29" x14ac:dyDescent="0.35">
      <c r="A27" s="85" t="s">
        <v>99</v>
      </c>
      <c r="B27" s="85" t="s">
        <v>100</v>
      </c>
      <c r="D27" s="84" t="s">
        <v>101</v>
      </c>
      <c r="E27" s="84" t="s">
        <v>13</v>
      </c>
      <c r="G27" s="82" t="s">
        <v>102</v>
      </c>
      <c r="H27" s="76" t="s">
        <v>35</v>
      </c>
      <c r="I27" s="76">
        <v>3.0000000000000001E-3</v>
      </c>
      <c r="J27" s="76">
        <v>3.0000000000000001E-3</v>
      </c>
      <c r="K27" s="78">
        <v>3.0000000000000001E-3</v>
      </c>
      <c r="L27" s="76">
        <v>3.0000000000000001E-3</v>
      </c>
      <c r="M27" s="76">
        <v>3.0000000000000001E-3</v>
      </c>
      <c r="N27" s="76">
        <v>3.0000000000000001E-3</v>
      </c>
      <c r="O27" s="78">
        <v>3.0000000000000001E-3</v>
      </c>
      <c r="P27" s="83"/>
      <c r="Q27" s="83"/>
      <c r="R27" s="83"/>
      <c r="S27" s="83"/>
      <c r="T27" s="78">
        <v>3.0000000000000001E-3</v>
      </c>
      <c r="U27" s="76">
        <v>3.0000000000000001E-3</v>
      </c>
      <c r="V27" s="76">
        <v>3.0000000000000001E-3</v>
      </c>
      <c r="W27" s="76">
        <v>3.0000000000000001E-3</v>
      </c>
      <c r="X27" s="76">
        <v>3.0000000000000001E-3</v>
      </c>
      <c r="Y27" s="76">
        <v>3.0000000000000001E-3</v>
      </c>
      <c r="Z27" s="76">
        <v>3.0000000000000001E-3</v>
      </c>
      <c r="AA27" s="78">
        <v>3.0000000000000001E-3</v>
      </c>
      <c r="AB27" s="76">
        <v>3.0000000000000001E-3</v>
      </c>
      <c r="AC27" s="76">
        <v>3.0000000000000001E-3</v>
      </c>
    </row>
    <row r="28" spans="1:29" x14ac:dyDescent="0.35">
      <c r="A28" s="85" t="s">
        <v>103</v>
      </c>
      <c r="B28" s="85" t="s">
        <v>100</v>
      </c>
      <c r="D28" s="84" t="s">
        <v>104</v>
      </c>
      <c r="E28" s="84" t="s">
        <v>13</v>
      </c>
      <c r="G28" s="82" t="s">
        <v>105</v>
      </c>
      <c r="H28" s="76" t="s">
        <v>35</v>
      </c>
      <c r="I28" s="76">
        <v>3.0000000000000001E-3</v>
      </c>
      <c r="J28" s="76">
        <v>3.0000000000000001E-3</v>
      </c>
      <c r="K28" s="78">
        <v>3.0000000000000001E-3</v>
      </c>
      <c r="L28" s="76">
        <v>3.0000000000000001E-3</v>
      </c>
      <c r="M28" s="76">
        <v>3.0000000000000001E-3</v>
      </c>
      <c r="N28" s="76">
        <v>3.0000000000000001E-3</v>
      </c>
      <c r="O28" s="78">
        <v>3.0000000000000001E-3</v>
      </c>
      <c r="P28" s="83"/>
      <c r="Q28" s="83"/>
      <c r="R28" s="83"/>
      <c r="S28" s="83"/>
      <c r="T28" s="78">
        <v>3.0000000000000001E-3</v>
      </c>
      <c r="U28" s="76">
        <v>3.0000000000000001E-3</v>
      </c>
      <c r="V28" s="76">
        <v>3.0000000000000001E-3</v>
      </c>
      <c r="W28" s="76">
        <v>3.0000000000000001E-3</v>
      </c>
      <c r="X28" s="76">
        <v>3.0000000000000001E-3</v>
      </c>
      <c r="Y28" s="76">
        <v>3.0000000000000001E-3</v>
      </c>
      <c r="Z28" s="76">
        <v>3.0000000000000001E-3</v>
      </c>
      <c r="AA28" s="78">
        <v>3.0000000000000001E-3</v>
      </c>
      <c r="AB28" s="76">
        <v>3.0000000000000001E-3</v>
      </c>
      <c r="AC28" s="76">
        <v>3.0000000000000001E-3</v>
      </c>
    </row>
    <row r="29" spans="1:29" x14ac:dyDescent="0.35">
      <c r="A29" s="85" t="s">
        <v>106</v>
      </c>
      <c r="B29" s="85" t="s">
        <v>107</v>
      </c>
      <c r="D29" s="84" t="s">
        <v>108</v>
      </c>
      <c r="E29" s="84" t="s">
        <v>14</v>
      </c>
      <c r="G29" s="82" t="s">
        <v>109</v>
      </c>
      <c r="H29" s="76" t="s">
        <v>35</v>
      </c>
      <c r="I29" s="76">
        <v>5.0000000000000001E-3</v>
      </c>
      <c r="J29" s="76">
        <v>5.0000000000000001E-3</v>
      </c>
      <c r="K29" s="78">
        <v>5.0000000000000001E-3</v>
      </c>
      <c r="L29" s="76">
        <v>5.0000000000000001E-3</v>
      </c>
      <c r="M29" s="76">
        <v>5.0000000000000001E-3</v>
      </c>
      <c r="N29" s="76">
        <v>5.0000000000000001E-3</v>
      </c>
      <c r="O29" s="78">
        <v>5.0000000000000001E-3</v>
      </c>
      <c r="P29" s="83"/>
      <c r="Q29" s="83"/>
      <c r="R29" s="83"/>
      <c r="S29" s="83"/>
      <c r="T29" s="78">
        <v>5.0000000000000001E-3</v>
      </c>
      <c r="U29" s="76">
        <v>5.0000000000000001E-3</v>
      </c>
      <c r="V29" s="76">
        <v>5.0000000000000001E-3</v>
      </c>
      <c r="W29" s="76">
        <v>5.0000000000000001E-3</v>
      </c>
      <c r="X29" s="76">
        <v>5.0000000000000001E-3</v>
      </c>
      <c r="Y29" s="76">
        <v>5.0000000000000001E-3</v>
      </c>
      <c r="Z29" s="76">
        <v>5.0000000000000001E-3</v>
      </c>
      <c r="AA29" s="78">
        <v>5.0000000000000001E-3</v>
      </c>
      <c r="AB29" s="76">
        <v>5.0000000000000001E-3</v>
      </c>
      <c r="AC29" s="76">
        <v>5.0000000000000001E-3</v>
      </c>
    </row>
    <row r="30" spans="1:29" x14ac:dyDescent="0.35">
      <c r="D30" s="84" t="s">
        <v>110</v>
      </c>
      <c r="E30" s="84" t="s">
        <v>17</v>
      </c>
      <c r="G30" s="82" t="s">
        <v>111</v>
      </c>
      <c r="H30" s="76" t="s">
        <v>35</v>
      </c>
      <c r="I30" s="76">
        <v>5.0000000000000001E-3</v>
      </c>
      <c r="J30" s="76">
        <v>5.0000000000000001E-3</v>
      </c>
      <c r="K30" s="78">
        <v>5.0000000000000001E-3</v>
      </c>
      <c r="L30" s="76">
        <v>5.0000000000000001E-3</v>
      </c>
      <c r="M30" s="76">
        <v>5.0000000000000001E-3</v>
      </c>
      <c r="N30" s="76">
        <v>5.0000000000000001E-3</v>
      </c>
      <c r="O30" s="78">
        <v>5.0000000000000001E-3</v>
      </c>
      <c r="P30" s="83"/>
      <c r="Q30" s="83"/>
      <c r="R30" s="83"/>
      <c r="S30" s="83"/>
      <c r="T30" s="78">
        <v>5.0000000000000001E-3</v>
      </c>
      <c r="U30" s="76">
        <v>5.0000000000000001E-3</v>
      </c>
      <c r="V30" s="76">
        <v>5.0000000000000001E-3</v>
      </c>
      <c r="W30" s="76">
        <v>5.0000000000000001E-3</v>
      </c>
      <c r="X30" s="76">
        <v>5.0000000000000001E-3</v>
      </c>
      <c r="Y30" s="76">
        <v>5.0000000000000001E-3</v>
      </c>
      <c r="Z30" s="76">
        <v>5.0000000000000001E-3</v>
      </c>
      <c r="AA30" s="78">
        <v>5.0000000000000001E-3</v>
      </c>
      <c r="AB30" s="76">
        <v>5.0000000000000001E-3</v>
      </c>
      <c r="AC30" s="76">
        <v>5.0000000000000001E-3</v>
      </c>
    </row>
    <row r="31" spans="1:29" x14ac:dyDescent="0.35">
      <c r="D31" s="84" t="s">
        <v>112</v>
      </c>
      <c r="E31" s="84" t="s">
        <v>17</v>
      </c>
      <c r="G31" s="82" t="s">
        <v>113</v>
      </c>
      <c r="H31" s="76" t="s">
        <v>35</v>
      </c>
      <c r="I31" s="76">
        <v>3.0000000000000001E-3</v>
      </c>
      <c r="J31" s="76">
        <v>3.0000000000000001E-3</v>
      </c>
      <c r="K31" s="78">
        <v>3.0000000000000001E-3</v>
      </c>
      <c r="L31" s="76">
        <v>3.0000000000000001E-3</v>
      </c>
      <c r="M31" s="76">
        <v>3.0000000000000001E-3</v>
      </c>
      <c r="N31" s="76">
        <v>3.0000000000000001E-3</v>
      </c>
      <c r="O31" s="78">
        <v>3.0000000000000001E-3</v>
      </c>
      <c r="P31" s="83"/>
      <c r="Q31" s="83"/>
      <c r="R31" s="83"/>
      <c r="S31" s="83"/>
      <c r="T31" s="78">
        <v>3.0000000000000001E-3</v>
      </c>
      <c r="U31" s="76">
        <v>3.0000000000000001E-3</v>
      </c>
      <c r="V31" s="76">
        <v>3.0000000000000001E-3</v>
      </c>
      <c r="W31" s="76">
        <v>3.0000000000000001E-3</v>
      </c>
      <c r="X31" s="76">
        <v>3.0000000000000001E-3</v>
      </c>
      <c r="Y31" s="76">
        <v>3.0000000000000001E-3</v>
      </c>
      <c r="Z31" s="76">
        <v>3.0000000000000001E-3</v>
      </c>
      <c r="AA31" s="78">
        <v>3.0000000000000001E-3</v>
      </c>
      <c r="AB31" s="76">
        <v>3.0000000000000001E-3</v>
      </c>
      <c r="AC31" s="76">
        <v>3.0000000000000001E-3</v>
      </c>
    </row>
    <row r="32" spans="1:29" x14ac:dyDescent="0.35">
      <c r="A32" s="88" t="s">
        <v>114</v>
      </c>
      <c r="D32" s="84" t="s">
        <v>115</v>
      </c>
      <c r="E32" s="84" t="s">
        <v>17</v>
      </c>
      <c r="G32" s="82" t="s">
        <v>116</v>
      </c>
      <c r="H32" s="76" t="s">
        <v>35</v>
      </c>
      <c r="I32" s="76">
        <v>0.01</v>
      </c>
      <c r="J32" s="76">
        <v>0.01</v>
      </c>
      <c r="K32" s="78">
        <v>0.01</v>
      </c>
      <c r="L32" s="76">
        <v>0.01</v>
      </c>
      <c r="M32" s="76">
        <v>0.01</v>
      </c>
      <c r="N32" s="76">
        <v>0.01</v>
      </c>
      <c r="O32" s="78">
        <v>0.01</v>
      </c>
      <c r="P32" s="83"/>
      <c r="Q32" s="83"/>
      <c r="R32" s="83"/>
      <c r="S32" s="83"/>
      <c r="T32" s="78">
        <v>0.01</v>
      </c>
      <c r="U32" s="76">
        <v>0.01</v>
      </c>
      <c r="V32" s="76">
        <v>0.01</v>
      </c>
      <c r="W32" s="76">
        <v>0.01</v>
      </c>
      <c r="X32" s="76">
        <v>0.01</v>
      </c>
      <c r="Y32" s="76">
        <v>0.01</v>
      </c>
      <c r="Z32" s="76">
        <v>0.01</v>
      </c>
      <c r="AA32" s="78">
        <v>0.01</v>
      </c>
      <c r="AB32" s="76">
        <v>0.01</v>
      </c>
      <c r="AC32" s="76">
        <v>0.01</v>
      </c>
    </row>
    <row r="33" spans="1:29" x14ac:dyDescent="0.35">
      <c r="A33" s="89">
        <f>RESGEN!E1</f>
        <v>46303</v>
      </c>
      <c r="D33" s="84" t="s">
        <v>117</v>
      </c>
      <c r="E33" s="84" t="s">
        <v>18</v>
      </c>
      <c r="G33" s="82" t="s">
        <v>118</v>
      </c>
      <c r="H33" s="76" t="s">
        <v>35</v>
      </c>
      <c r="I33" s="76">
        <v>5.0000000000000001E-3</v>
      </c>
      <c r="J33" s="76">
        <v>5.0000000000000001E-3</v>
      </c>
      <c r="K33" s="78">
        <v>5.0000000000000001E-3</v>
      </c>
      <c r="L33" s="76">
        <v>5.0000000000000001E-3</v>
      </c>
      <c r="M33" s="76">
        <v>5.0000000000000001E-3</v>
      </c>
      <c r="N33" s="76">
        <v>5.0000000000000001E-3</v>
      </c>
      <c r="O33" s="78">
        <v>5.0000000000000001E-3</v>
      </c>
      <c r="P33" s="83"/>
      <c r="Q33" s="83"/>
      <c r="R33" s="83"/>
      <c r="S33" s="83"/>
      <c r="T33" s="78">
        <v>5.0000000000000001E-3</v>
      </c>
      <c r="U33" s="76">
        <v>5.0000000000000001E-3</v>
      </c>
      <c r="V33" s="76">
        <v>5.0000000000000001E-3</v>
      </c>
      <c r="W33" s="76">
        <v>5.0000000000000001E-3</v>
      </c>
      <c r="X33" s="76">
        <v>5.0000000000000001E-3</v>
      </c>
      <c r="Y33" s="76">
        <v>5.0000000000000001E-3</v>
      </c>
      <c r="Z33" s="76">
        <v>5.0000000000000001E-3</v>
      </c>
      <c r="AA33" s="78">
        <v>5.0000000000000001E-3</v>
      </c>
      <c r="AB33" s="76">
        <v>5.0000000000000001E-3</v>
      </c>
      <c r="AC33" s="76">
        <v>5.0000000000000001E-3</v>
      </c>
    </row>
    <row r="34" spans="1:29" x14ac:dyDescent="0.35">
      <c r="A34" s="90">
        <f>MONTH(A33)</f>
        <v>10</v>
      </c>
      <c r="D34" s="84" t="s">
        <v>119</v>
      </c>
      <c r="E34" s="84" t="s">
        <v>18</v>
      </c>
      <c r="G34" s="82" t="s">
        <v>120</v>
      </c>
      <c r="H34" s="76" t="s">
        <v>35</v>
      </c>
      <c r="I34" s="76">
        <v>5.0000000000000001E-3</v>
      </c>
      <c r="J34" s="76">
        <v>5.0000000000000001E-3</v>
      </c>
      <c r="K34" s="78">
        <v>5.0000000000000001E-3</v>
      </c>
      <c r="L34" s="76">
        <v>5.0000000000000001E-3</v>
      </c>
      <c r="M34" s="76">
        <v>5.0000000000000001E-3</v>
      </c>
      <c r="N34" s="76">
        <v>5.0000000000000001E-3</v>
      </c>
      <c r="O34" s="78">
        <v>5.0000000000000001E-3</v>
      </c>
      <c r="P34" s="83"/>
      <c r="Q34" s="83"/>
      <c r="R34" s="83"/>
      <c r="S34" s="83"/>
      <c r="T34" s="78">
        <v>5.0000000000000001E-3</v>
      </c>
      <c r="U34" s="76">
        <v>5.0000000000000001E-3</v>
      </c>
      <c r="V34" s="76">
        <v>5.0000000000000001E-3</v>
      </c>
      <c r="W34" s="76">
        <v>5.0000000000000001E-3</v>
      </c>
      <c r="X34" s="76">
        <v>5.0000000000000001E-3</v>
      </c>
      <c r="Y34" s="76">
        <v>5.0000000000000001E-3</v>
      </c>
      <c r="Z34" s="76">
        <v>5.0000000000000001E-3</v>
      </c>
      <c r="AA34" s="78">
        <v>5.0000000000000001E-3</v>
      </c>
      <c r="AB34" s="76">
        <v>5.0000000000000001E-3</v>
      </c>
      <c r="AC34" s="76">
        <v>5.0000000000000001E-3</v>
      </c>
    </row>
    <row r="35" spans="1:29" x14ac:dyDescent="0.35">
      <c r="A35" s="90" t="s">
        <v>121</v>
      </c>
      <c r="B35" s="84" t="s">
        <v>122</v>
      </c>
      <c r="D35" s="84" t="s">
        <v>123</v>
      </c>
      <c r="E35" s="97" t="s">
        <v>19</v>
      </c>
      <c r="G35" s="82" t="s">
        <v>124</v>
      </c>
      <c r="H35" s="76" t="s">
        <v>35</v>
      </c>
      <c r="I35" s="76">
        <v>5.0000000000000001E-3</v>
      </c>
      <c r="J35" s="76">
        <v>5.0000000000000001E-3</v>
      </c>
      <c r="K35" s="78">
        <v>5.0000000000000001E-3</v>
      </c>
      <c r="L35" s="76">
        <v>5.0000000000000001E-3</v>
      </c>
      <c r="M35" s="76">
        <v>5.0000000000000001E-3</v>
      </c>
      <c r="N35" s="76">
        <v>5.0000000000000001E-3</v>
      </c>
      <c r="O35" s="78">
        <v>3.5000000000000003E-2</v>
      </c>
      <c r="P35" s="83"/>
      <c r="Q35" s="83"/>
      <c r="R35" s="83"/>
      <c r="S35" s="83"/>
      <c r="T35" s="78">
        <v>5.0000000000000001E-3</v>
      </c>
      <c r="U35" s="76">
        <v>5.0000000000000001E-3</v>
      </c>
      <c r="V35" s="76">
        <v>5.0000000000000001E-3</v>
      </c>
      <c r="W35" s="76">
        <v>5.0000000000000001E-3</v>
      </c>
      <c r="X35" s="76">
        <v>5.0000000000000001E-3</v>
      </c>
      <c r="Y35" s="76">
        <v>5.0000000000000001E-3</v>
      </c>
      <c r="Z35" s="76">
        <v>5.0000000000000001E-3</v>
      </c>
      <c r="AA35" s="78">
        <v>5.0000000000000001E-3</v>
      </c>
      <c r="AB35" s="76">
        <v>5.0000000000000001E-3</v>
      </c>
      <c r="AC35" s="76">
        <v>5.0000000000000001E-3</v>
      </c>
    </row>
    <row r="36" spans="1:29" x14ac:dyDescent="0.35">
      <c r="A36" s="91">
        <v>46023</v>
      </c>
      <c r="B36" s="84" t="s">
        <v>125</v>
      </c>
      <c r="D36" s="84" t="s">
        <v>126</v>
      </c>
      <c r="E36" s="97" t="s">
        <v>20</v>
      </c>
      <c r="G36" s="82" t="s">
        <v>127</v>
      </c>
      <c r="H36" s="76" t="s">
        <v>35</v>
      </c>
      <c r="I36" s="76">
        <v>5.0000000000000001E-3</v>
      </c>
      <c r="J36" s="76">
        <v>5.0000000000000001E-3</v>
      </c>
      <c r="K36" s="78">
        <v>5.0000000000000001E-3</v>
      </c>
      <c r="L36" s="76">
        <v>5.0000000000000001E-3</v>
      </c>
      <c r="M36" s="76">
        <v>5.0000000000000001E-3</v>
      </c>
      <c r="N36" s="76">
        <v>5.0000000000000001E-3</v>
      </c>
      <c r="O36" s="78">
        <v>5.0000000000000001E-3</v>
      </c>
      <c r="P36" s="83"/>
      <c r="Q36" s="83"/>
      <c r="R36" s="83"/>
      <c r="S36" s="83"/>
      <c r="T36" s="78">
        <v>5.0000000000000001E-3</v>
      </c>
      <c r="U36" s="76">
        <v>5.0000000000000001E-3</v>
      </c>
      <c r="V36" s="76">
        <v>5.0000000000000001E-3</v>
      </c>
      <c r="W36" s="76">
        <v>5.0000000000000001E-3</v>
      </c>
      <c r="X36" s="76">
        <v>5.0000000000000001E-3</v>
      </c>
      <c r="Y36" s="76">
        <v>5.0000000000000001E-3</v>
      </c>
      <c r="Z36" s="76">
        <v>5.0000000000000001E-3</v>
      </c>
      <c r="AA36" s="78">
        <v>5.0000000000000001E-3</v>
      </c>
      <c r="AB36" s="76">
        <v>5.0000000000000001E-3</v>
      </c>
      <c r="AC36" s="76">
        <v>5.0000000000000001E-3</v>
      </c>
    </row>
    <row r="37" spans="1:29" x14ac:dyDescent="0.35">
      <c r="A37" s="91">
        <v>46054</v>
      </c>
      <c r="B37" s="84" t="s">
        <v>128</v>
      </c>
      <c r="D37" s="84" t="s">
        <v>129</v>
      </c>
      <c r="E37" s="84" t="s">
        <v>22</v>
      </c>
    </row>
    <row r="38" spans="1:29" x14ac:dyDescent="0.35">
      <c r="A38" s="91">
        <v>46082</v>
      </c>
      <c r="B38" s="84" t="s">
        <v>130</v>
      </c>
      <c r="D38" s="84" t="s">
        <v>131</v>
      </c>
      <c r="E38" s="84" t="s">
        <v>21</v>
      </c>
    </row>
    <row r="39" spans="1:29" x14ac:dyDescent="0.35">
      <c r="A39" s="91">
        <v>46113</v>
      </c>
      <c r="D39" s="84" t="s">
        <v>132</v>
      </c>
      <c r="E39" s="84" t="s">
        <v>23</v>
      </c>
    </row>
    <row r="40" spans="1:29" x14ac:dyDescent="0.35">
      <c r="A40" s="91">
        <v>46143</v>
      </c>
      <c r="D40" s="84" t="s">
        <v>133</v>
      </c>
    </row>
    <row r="41" spans="1:29" x14ac:dyDescent="0.35">
      <c r="A41" s="91">
        <v>46174</v>
      </c>
      <c r="D41" s="84" t="s">
        <v>134</v>
      </c>
      <c r="E41" s="97" t="s">
        <v>24</v>
      </c>
    </row>
    <row r="42" spans="1:29" x14ac:dyDescent="0.35">
      <c r="A42" s="91">
        <v>46204</v>
      </c>
      <c r="B42" s="85"/>
      <c r="D42" s="84" t="s">
        <v>135</v>
      </c>
      <c r="E42" s="97" t="s">
        <v>24</v>
      </c>
    </row>
    <row r="43" spans="1:29" x14ac:dyDescent="0.35">
      <c r="A43" s="91">
        <v>46235</v>
      </c>
      <c r="B43" s="85"/>
      <c r="D43" s="84" t="s">
        <v>136</v>
      </c>
      <c r="E43" s="97" t="s">
        <v>24</v>
      </c>
    </row>
    <row r="44" spans="1:29" x14ac:dyDescent="0.35">
      <c r="A44" s="91">
        <v>46266</v>
      </c>
      <c r="B44" s="85"/>
      <c r="D44" s="84" t="s">
        <v>137</v>
      </c>
      <c r="E44" s="97" t="s">
        <v>24</v>
      </c>
    </row>
    <row r="45" spans="1:29" x14ac:dyDescent="0.35">
      <c r="A45" s="91">
        <v>46296</v>
      </c>
      <c r="B45" s="85"/>
      <c r="D45" s="84" t="s">
        <v>138</v>
      </c>
      <c r="E45" s="97" t="s">
        <v>25</v>
      </c>
    </row>
    <row r="46" spans="1:29" x14ac:dyDescent="0.35">
      <c r="A46" s="91">
        <v>46327</v>
      </c>
      <c r="B46" s="85"/>
      <c r="D46" s="84" t="s">
        <v>139</v>
      </c>
      <c r="E46" s="97" t="s">
        <v>25</v>
      </c>
    </row>
    <row r="47" spans="1:29" x14ac:dyDescent="0.35">
      <c r="A47" s="91">
        <v>46357</v>
      </c>
      <c r="B47" s="85"/>
      <c r="D47" s="84" t="s">
        <v>140</v>
      </c>
      <c r="E47" s="97" t="s">
        <v>26</v>
      </c>
    </row>
    <row r="48" spans="1:29" x14ac:dyDescent="0.35">
      <c r="A48" s="92">
        <f>INDEX(A36:A47,A34)</f>
        <v>46296</v>
      </c>
      <c r="B48" s="85"/>
      <c r="D48" s="84" t="s">
        <v>141</v>
      </c>
      <c r="E48" s="97" t="s">
        <v>26</v>
      </c>
    </row>
    <row r="49" spans="1:5" x14ac:dyDescent="0.35">
      <c r="A49" s="91"/>
      <c r="D49" s="84" t="s">
        <v>142</v>
      </c>
      <c r="E49" s="97" t="s">
        <v>26</v>
      </c>
    </row>
    <row r="50" spans="1:5" x14ac:dyDescent="0.35">
      <c r="A50" s="88" t="s">
        <v>143</v>
      </c>
      <c r="B50" s="88" t="s">
        <v>144</v>
      </c>
      <c r="D50" s="84" t="s">
        <v>145</v>
      </c>
      <c r="E50" s="97" t="s">
        <v>26</v>
      </c>
    </row>
    <row r="51" spans="1:5" x14ac:dyDescent="0.35">
      <c r="A51" s="93" t="s">
        <v>146</v>
      </c>
      <c r="B51" s="93" t="s">
        <v>147</v>
      </c>
      <c r="D51" s="84" t="s">
        <v>148</v>
      </c>
      <c r="E51" s="97" t="s">
        <v>26</v>
      </c>
    </row>
    <row r="52" spans="1:5" x14ac:dyDescent="0.35">
      <c r="A52" s="93" t="s">
        <v>149</v>
      </c>
      <c r="B52" s="93" t="s">
        <v>150</v>
      </c>
      <c r="D52" s="84" t="s">
        <v>151</v>
      </c>
      <c r="E52" s="97" t="s">
        <v>26</v>
      </c>
    </row>
    <row r="53" spans="1:5" x14ac:dyDescent="0.35">
      <c r="A53" s="93" t="s">
        <v>152</v>
      </c>
      <c r="B53" s="93" t="s">
        <v>153</v>
      </c>
      <c r="D53" s="84" t="s">
        <v>154</v>
      </c>
      <c r="E53" s="97" t="s">
        <v>26</v>
      </c>
    </row>
    <row r="54" spans="1:5" x14ac:dyDescent="0.35">
      <c r="A54" s="93" t="s">
        <v>155</v>
      </c>
      <c r="B54" s="93" t="s">
        <v>156</v>
      </c>
      <c r="D54" s="84" t="s">
        <v>157</v>
      </c>
      <c r="E54" s="97" t="s">
        <v>26</v>
      </c>
    </row>
    <row r="55" spans="1:5" x14ac:dyDescent="0.35">
      <c r="A55" s="93"/>
      <c r="B55" s="93"/>
      <c r="D55" s="84" t="s">
        <v>158</v>
      </c>
      <c r="E55" s="84" t="s">
        <v>17</v>
      </c>
    </row>
    <row r="56" spans="1:5" x14ac:dyDescent="0.35">
      <c r="A56" s="88" t="s">
        <v>159</v>
      </c>
      <c r="B56" s="85"/>
      <c r="D56" s="84" t="s">
        <v>160</v>
      </c>
    </row>
    <row r="57" spans="1:5" x14ac:dyDescent="0.35">
      <c r="A57" s="93" t="s">
        <v>161</v>
      </c>
      <c r="B57" s="85"/>
      <c r="D57" s="84" t="s">
        <v>162</v>
      </c>
    </row>
    <row r="58" spans="1:5" x14ac:dyDescent="0.35">
      <c r="A58" s="93" t="s">
        <v>163</v>
      </c>
      <c r="B58" s="85"/>
      <c r="D58" s="84" t="s">
        <v>164</v>
      </c>
    </row>
    <row r="59" spans="1:5" x14ac:dyDescent="0.35">
      <c r="A59" s="94" t="s">
        <v>165</v>
      </c>
      <c r="D59" s="84" t="s">
        <v>166</v>
      </c>
    </row>
    <row r="60" spans="1:5" x14ac:dyDescent="0.35">
      <c r="A60" s="94" t="s">
        <v>167</v>
      </c>
      <c r="D60" s="84" t="s">
        <v>168</v>
      </c>
    </row>
    <row r="61" spans="1:5" x14ac:dyDescent="0.35">
      <c r="D61" s="84" t="s">
        <v>169</v>
      </c>
    </row>
    <row r="62" spans="1:5" x14ac:dyDescent="0.35">
      <c r="D62" s="84" t="s">
        <v>170</v>
      </c>
    </row>
    <row r="63" spans="1:5" x14ac:dyDescent="0.35">
      <c r="D63" s="84" t="s">
        <v>171</v>
      </c>
    </row>
    <row r="64" spans="1:5" x14ac:dyDescent="0.35">
      <c r="D64" s="84" t="s">
        <v>172</v>
      </c>
    </row>
    <row r="65" spans="4:4" x14ac:dyDescent="0.35">
      <c r="D65" s="84" t="s">
        <v>173</v>
      </c>
    </row>
    <row r="66" spans="4:4" x14ac:dyDescent="0.35">
      <c r="D66" s="84" t="s">
        <v>174</v>
      </c>
    </row>
    <row r="67" spans="4:4" x14ac:dyDescent="0.35">
      <c r="D67" s="84" t="s">
        <v>175</v>
      </c>
    </row>
    <row r="68" spans="4:4" x14ac:dyDescent="0.35">
      <c r="D68" s="84" t="s">
        <v>176</v>
      </c>
    </row>
    <row r="69" spans="4:4" x14ac:dyDescent="0.35">
      <c r="D69" s="84" t="s">
        <v>177</v>
      </c>
    </row>
    <row r="70" spans="4:4" x14ac:dyDescent="0.35">
      <c r="D70" s="84" t="s">
        <v>178</v>
      </c>
    </row>
    <row r="71" spans="4:4" x14ac:dyDescent="0.35">
      <c r="D71" s="84" t="s">
        <v>179</v>
      </c>
    </row>
    <row r="72" spans="4:4" x14ac:dyDescent="0.35">
      <c r="D72" s="84" t="s">
        <v>180</v>
      </c>
    </row>
    <row r="73" spans="4:4" x14ac:dyDescent="0.35">
      <c r="D73" s="84" t="s">
        <v>181</v>
      </c>
    </row>
    <row r="74" spans="4:4" x14ac:dyDescent="0.35">
      <c r="D74" s="84" t="s">
        <v>182</v>
      </c>
    </row>
    <row r="75" spans="4:4" x14ac:dyDescent="0.35">
      <c r="D75" s="84" t="s">
        <v>183</v>
      </c>
    </row>
    <row r="76" spans="4:4" x14ac:dyDescent="0.35">
      <c r="D76" s="84" t="s">
        <v>184</v>
      </c>
    </row>
    <row r="77" spans="4:4" x14ac:dyDescent="0.35">
      <c r="D77" s="84" t="s">
        <v>185</v>
      </c>
    </row>
    <row r="78" spans="4:4" x14ac:dyDescent="0.35">
      <c r="D78" s="84" t="s">
        <v>186</v>
      </c>
    </row>
    <row r="79" spans="4:4" x14ac:dyDescent="0.35">
      <c r="D79" s="84" t="s">
        <v>187</v>
      </c>
    </row>
    <row r="80" spans="4:4" x14ac:dyDescent="0.35">
      <c r="D80" s="84" t="s">
        <v>188</v>
      </c>
    </row>
    <row r="81" spans="4:4" x14ac:dyDescent="0.35">
      <c r="D81" s="84" t="s">
        <v>189</v>
      </c>
    </row>
    <row r="82" spans="4:4" x14ac:dyDescent="0.35">
      <c r="D82" s="84" t="s">
        <v>190</v>
      </c>
    </row>
    <row r="83" spans="4:4" x14ac:dyDescent="0.35">
      <c r="D83" s="84" t="s">
        <v>191</v>
      </c>
    </row>
  </sheetData>
  <autoFilter ref="A1:E1" xr:uid="{CBD4136C-90ED-4D46-B3B7-A60780A14767}"/>
  <sortState xmlns:xlrd2="http://schemas.microsoft.com/office/spreadsheetml/2017/richdata2" ref="D2:E58">
    <sortCondition ref="D2:D58"/>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3BAF8-3B20-4A6E-B11D-AD0B1471D5DB}">
  <sheetPr codeName="Sheet6"/>
  <dimension ref="A1:AA6"/>
  <sheetViews>
    <sheetView workbookViewId="0">
      <selection activeCell="P13" sqref="P13"/>
    </sheetView>
  </sheetViews>
  <sheetFormatPr defaultRowHeight="14.5" x14ac:dyDescent="0.35"/>
  <sheetData>
    <row r="1" spans="1:27" ht="78" x14ac:dyDescent="0.35">
      <c r="A1" s="71" t="s">
        <v>192</v>
      </c>
      <c r="B1" s="71" t="s">
        <v>24</v>
      </c>
      <c r="C1" s="71" t="s">
        <v>12</v>
      </c>
      <c r="D1" s="71" t="s">
        <v>193</v>
      </c>
      <c r="E1" s="71" t="s">
        <v>194</v>
      </c>
      <c r="F1" s="71" t="s">
        <v>195</v>
      </c>
      <c r="G1" s="71" t="s">
        <v>22</v>
      </c>
      <c r="H1" s="71" t="s">
        <v>21</v>
      </c>
      <c r="I1" s="71" t="s">
        <v>7</v>
      </c>
      <c r="J1" s="71" t="s">
        <v>20</v>
      </c>
      <c r="K1" s="71" t="s">
        <v>17</v>
      </c>
      <c r="L1" s="71" t="s">
        <v>18</v>
      </c>
      <c r="M1" s="71" t="s">
        <v>19</v>
      </c>
      <c r="N1" s="71" t="s">
        <v>9</v>
      </c>
      <c r="O1" s="71" t="s">
        <v>6</v>
      </c>
      <c r="P1" s="71" t="s">
        <v>25</v>
      </c>
      <c r="Q1" s="71" t="s">
        <v>23</v>
      </c>
      <c r="R1" s="71" t="s">
        <v>8</v>
      </c>
      <c r="S1" s="71" t="s">
        <v>10</v>
      </c>
      <c r="T1" s="71" t="s">
        <v>196</v>
      </c>
      <c r="U1" s="71" t="s">
        <v>11</v>
      </c>
      <c r="V1" s="71" t="s">
        <v>197</v>
      </c>
      <c r="W1" s="71" t="s">
        <v>174</v>
      </c>
      <c r="X1" s="71" t="s">
        <v>198</v>
      </c>
      <c r="Y1" s="71" t="s">
        <v>13</v>
      </c>
      <c r="Z1" s="71" t="s">
        <v>14</v>
      </c>
      <c r="AA1" s="71" t="s">
        <v>199</v>
      </c>
    </row>
    <row r="2" spans="1:27" x14ac:dyDescent="0.35">
      <c r="A2" s="104" t="s">
        <v>200</v>
      </c>
      <c r="B2" s="104">
        <v>390</v>
      </c>
      <c r="C2" s="104">
        <v>190</v>
      </c>
      <c r="D2" s="104">
        <v>460</v>
      </c>
      <c r="E2" s="104">
        <v>840</v>
      </c>
      <c r="F2" s="104">
        <v>350</v>
      </c>
      <c r="G2" s="104">
        <v>440</v>
      </c>
      <c r="H2" s="104">
        <v>450</v>
      </c>
      <c r="I2" s="104">
        <v>620</v>
      </c>
      <c r="J2" s="104">
        <v>120</v>
      </c>
      <c r="K2" s="104">
        <v>5790</v>
      </c>
      <c r="L2" s="104">
        <v>910</v>
      </c>
      <c r="M2" s="104">
        <v>870</v>
      </c>
      <c r="N2" s="104">
        <v>110</v>
      </c>
      <c r="O2" s="104">
        <v>1040</v>
      </c>
      <c r="P2" s="104">
        <v>760</v>
      </c>
      <c r="Q2" s="104">
        <v>1620</v>
      </c>
      <c r="R2" s="104">
        <v>320</v>
      </c>
      <c r="S2" s="104">
        <v>1000</v>
      </c>
      <c r="T2" s="104">
        <v>1000</v>
      </c>
      <c r="U2" s="104">
        <v>820</v>
      </c>
      <c r="V2" s="104">
        <v>360</v>
      </c>
      <c r="W2" s="104">
        <v>280</v>
      </c>
      <c r="X2" s="104">
        <v>270</v>
      </c>
      <c r="Y2" s="104">
        <v>490</v>
      </c>
      <c r="Z2" s="104">
        <v>520</v>
      </c>
      <c r="AA2" s="105">
        <v>9000</v>
      </c>
    </row>
    <row r="3" spans="1:27" x14ac:dyDescent="0.35">
      <c r="A3" s="104" t="s">
        <v>201</v>
      </c>
      <c r="B3" s="104">
        <v>30</v>
      </c>
      <c r="C3" s="104">
        <v>20</v>
      </c>
      <c r="D3" s="104">
        <v>20</v>
      </c>
      <c r="E3" s="104">
        <v>20</v>
      </c>
      <c r="F3" s="104">
        <v>30</v>
      </c>
      <c r="G3" s="104">
        <v>40</v>
      </c>
      <c r="H3" s="104" t="s">
        <v>47</v>
      </c>
      <c r="I3" s="104">
        <v>40</v>
      </c>
      <c r="J3" s="104" t="s">
        <v>47</v>
      </c>
      <c r="K3" s="104">
        <v>40</v>
      </c>
      <c r="L3" s="104">
        <v>70</v>
      </c>
      <c r="M3" s="104">
        <v>30</v>
      </c>
      <c r="N3" s="104" t="s">
        <v>47</v>
      </c>
      <c r="O3" s="104">
        <v>70</v>
      </c>
      <c r="P3" s="104">
        <v>30</v>
      </c>
      <c r="Q3" s="104">
        <v>50</v>
      </c>
      <c r="R3" s="104">
        <v>10</v>
      </c>
      <c r="S3" s="104">
        <v>40</v>
      </c>
      <c r="T3" s="104">
        <v>30</v>
      </c>
      <c r="U3" s="104">
        <v>60</v>
      </c>
      <c r="V3" s="104">
        <v>30</v>
      </c>
      <c r="W3" s="104">
        <v>20</v>
      </c>
      <c r="X3" s="104">
        <v>30</v>
      </c>
      <c r="Y3" s="104">
        <v>60</v>
      </c>
      <c r="Z3" s="104">
        <v>70</v>
      </c>
      <c r="AA3" s="105">
        <v>1800</v>
      </c>
    </row>
    <row r="4" spans="1:27" x14ac:dyDescent="0.35">
      <c r="A4" s="104" t="s">
        <v>202</v>
      </c>
      <c r="B4" s="104" t="s">
        <v>47</v>
      </c>
      <c r="C4" s="104" t="s">
        <v>47</v>
      </c>
      <c r="D4" s="104" t="s">
        <v>47</v>
      </c>
      <c r="E4" s="104" t="s">
        <v>47</v>
      </c>
      <c r="F4" s="104">
        <v>100</v>
      </c>
      <c r="G4" s="104" t="s">
        <v>47</v>
      </c>
      <c r="H4" s="104" t="s">
        <v>47</v>
      </c>
      <c r="I4" s="104" t="s">
        <v>47</v>
      </c>
      <c r="J4" s="104" t="s">
        <v>47</v>
      </c>
      <c r="K4" s="104" t="s">
        <v>47</v>
      </c>
      <c r="L4" s="104" t="s">
        <v>47</v>
      </c>
      <c r="M4" s="104" t="s">
        <v>47</v>
      </c>
      <c r="N4" s="104" t="s">
        <v>47</v>
      </c>
      <c r="O4" s="104" t="s">
        <v>203</v>
      </c>
      <c r="P4" s="104" t="s">
        <v>47</v>
      </c>
      <c r="Q4" s="104" t="s">
        <v>47</v>
      </c>
      <c r="R4" s="104" t="s">
        <v>47</v>
      </c>
      <c r="S4" s="104" t="s">
        <v>47</v>
      </c>
      <c r="T4" s="104" t="s">
        <v>47</v>
      </c>
      <c r="U4" s="104" t="s">
        <v>47</v>
      </c>
      <c r="V4" s="104" t="s">
        <v>47</v>
      </c>
      <c r="W4" s="104" t="s">
        <v>47</v>
      </c>
      <c r="X4" s="104" t="s">
        <v>47</v>
      </c>
      <c r="Y4" s="104" t="s">
        <v>47</v>
      </c>
      <c r="Z4" s="104" t="s">
        <v>47</v>
      </c>
      <c r="AA4" s="105" t="s">
        <v>47</v>
      </c>
    </row>
    <row r="5" spans="1:27" x14ac:dyDescent="0.35">
      <c r="A5" s="104" t="s">
        <v>204</v>
      </c>
      <c r="B5" s="104">
        <v>70</v>
      </c>
      <c r="C5" s="104">
        <v>40</v>
      </c>
      <c r="D5" s="104">
        <v>190</v>
      </c>
      <c r="E5" s="104">
        <v>120</v>
      </c>
      <c r="F5" s="104"/>
      <c r="G5" s="104">
        <v>230</v>
      </c>
      <c r="H5" s="104">
        <v>170</v>
      </c>
      <c r="I5" s="104">
        <v>230</v>
      </c>
      <c r="J5" s="104">
        <v>50</v>
      </c>
      <c r="K5" s="104">
        <v>80</v>
      </c>
      <c r="L5" s="104">
        <v>100</v>
      </c>
      <c r="M5" s="104">
        <v>40</v>
      </c>
      <c r="N5" s="104">
        <v>40</v>
      </c>
      <c r="O5" s="104">
        <v>310</v>
      </c>
      <c r="P5" s="104">
        <v>290</v>
      </c>
      <c r="Q5" s="104">
        <v>70</v>
      </c>
      <c r="R5" s="104">
        <v>110</v>
      </c>
      <c r="S5" s="104">
        <v>50</v>
      </c>
      <c r="T5" s="104">
        <v>70</v>
      </c>
      <c r="U5" s="104">
        <v>150</v>
      </c>
      <c r="V5" s="104">
        <v>40</v>
      </c>
      <c r="W5" s="104">
        <v>40</v>
      </c>
      <c r="X5" s="104">
        <v>50</v>
      </c>
      <c r="Y5" s="104">
        <v>370</v>
      </c>
      <c r="Z5" s="104">
        <v>250</v>
      </c>
      <c r="AA5" s="105">
        <v>1000</v>
      </c>
    </row>
    <row r="6" spans="1:27" x14ac:dyDescent="0.35">
      <c r="A6" s="104"/>
      <c r="B6" s="104"/>
      <c r="C6" s="104" t="s">
        <v>205</v>
      </c>
      <c r="D6" s="104"/>
      <c r="E6" s="104" t="s">
        <v>205</v>
      </c>
      <c r="F6" s="104" t="s">
        <v>205</v>
      </c>
      <c r="G6" s="104" t="s">
        <v>206</v>
      </c>
      <c r="H6" s="104" t="s">
        <v>206</v>
      </c>
      <c r="I6" s="104" t="s">
        <v>205</v>
      </c>
      <c r="J6" s="104" t="s">
        <v>206</v>
      </c>
      <c r="K6" s="104"/>
      <c r="L6" s="104" t="s">
        <v>205</v>
      </c>
      <c r="M6" s="104" t="s">
        <v>205</v>
      </c>
      <c r="N6" s="104" t="s">
        <v>206</v>
      </c>
      <c r="O6" s="104" t="s">
        <v>205</v>
      </c>
      <c r="P6" s="104" t="s">
        <v>206</v>
      </c>
      <c r="Q6" s="104" t="s">
        <v>206</v>
      </c>
      <c r="R6" s="104" t="s">
        <v>205</v>
      </c>
      <c r="S6" s="104" t="s">
        <v>205</v>
      </c>
      <c r="T6" s="104" t="s">
        <v>205</v>
      </c>
      <c r="U6" s="104" t="s">
        <v>205</v>
      </c>
      <c r="V6" s="104" t="s">
        <v>205</v>
      </c>
      <c r="W6" s="104" t="s">
        <v>205</v>
      </c>
      <c r="X6" s="104" t="s">
        <v>205</v>
      </c>
      <c r="Y6" s="104" t="s">
        <v>206</v>
      </c>
      <c r="Z6" s="104" t="s">
        <v>205</v>
      </c>
      <c r="AA6" s="104" t="s">
        <v>205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983E6-5F83-41C7-91FF-BE36460C5773}">
  <sheetPr codeName="Sheet11">
    <tabColor theme="1"/>
  </sheetPr>
  <dimension ref="A1:AN539"/>
  <sheetViews>
    <sheetView zoomScale="85" zoomScaleNormal="85" workbookViewId="0">
      <pane xSplit="6" ySplit="25" topLeftCell="G481" activePane="bottomRight" state="frozen"/>
      <selection pane="topRight" activeCell="G25" sqref="G25"/>
      <selection pane="bottomLeft" activeCell="A26" sqref="A26"/>
      <selection pane="bottomRight" activeCell="H502" sqref="H502"/>
    </sheetView>
  </sheetViews>
  <sheetFormatPr defaultColWidth="12.1796875" defaultRowHeight="15.5" outlineLevelRow="1" outlineLevelCol="1" x14ac:dyDescent="0.35"/>
  <cols>
    <col min="1" max="1" width="9.7265625" style="11" customWidth="1"/>
    <col min="2" max="2" width="10.26953125" style="70" customWidth="1"/>
    <col min="3" max="3" width="8.1796875" style="70" customWidth="1"/>
    <col min="4" max="4" width="9" style="28" customWidth="1"/>
    <col min="5" max="5" width="7.453125" style="12" customWidth="1"/>
    <col min="6" max="6" width="20.26953125" style="13" bestFit="1" customWidth="1"/>
    <col min="7" max="7" width="11.26953125" style="117" customWidth="1"/>
    <col min="8" max="8" width="10.26953125" style="14" customWidth="1"/>
    <col min="9" max="9" width="15.81640625" style="14" customWidth="1"/>
    <col min="10" max="10" width="6.7265625" style="14" customWidth="1"/>
    <col min="11" max="11" width="11.453125" style="14" customWidth="1"/>
    <col min="12" max="12" width="12.54296875" style="14" customWidth="1"/>
    <col min="13" max="13" width="11.26953125" style="14" customWidth="1"/>
    <col min="14" max="14" width="13.453125" style="14" customWidth="1"/>
    <col min="15" max="15" width="14.1796875" style="14" customWidth="1"/>
    <col min="16" max="16" width="14.81640625" style="14" customWidth="1"/>
    <col min="17" max="17" width="12.54296875" style="14" customWidth="1"/>
    <col min="18" max="27" width="10" style="159" hidden="1" customWidth="1" outlineLevel="1"/>
    <col min="28" max="29" width="7.54296875" style="159" hidden="1" customWidth="1" outlineLevel="1"/>
    <col min="30" max="30" width="20" style="23" customWidth="1" collapsed="1"/>
    <col min="31" max="35" width="9.1796875" style="23"/>
    <col min="36" max="36" width="19.54296875" style="23" bestFit="1" customWidth="1"/>
    <col min="37" max="16384" width="12.1796875" style="23"/>
  </cols>
  <sheetData>
    <row r="1" spans="1:40" s="33" customFormat="1" hidden="1" outlineLevel="1" x14ac:dyDescent="0.35">
      <c r="A1" s="30">
        <f>'MILL E'!G6</f>
        <v>46303</v>
      </c>
      <c r="B1" s="68">
        <f>'MILL E'!G6</f>
        <v>46303</v>
      </c>
      <c r="C1" s="68">
        <f>'MILL E'!J6</f>
        <v>0</v>
      </c>
      <c r="D1" s="32" t="str">
        <f>'MILL E'!E21</f>
        <v>06:00</v>
      </c>
      <c r="E1" s="31" t="s">
        <v>0</v>
      </c>
      <c r="F1" s="7">
        <f>'MILL E'!F21</f>
        <v>0</v>
      </c>
      <c r="G1" s="116">
        <f>'MILL E'!H21</f>
        <v>0</v>
      </c>
      <c r="H1" s="10">
        <f>'MILL E'!I21</f>
        <v>0</v>
      </c>
      <c r="I1" s="10">
        <f>'MILL E'!J21</f>
        <v>0</v>
      </c>
      <c r="J1" s="10">
        <f>'MILL E'!K21</f>
        <v>0</v>
      </c>
      <c r="K1" s="10">
        <f>'MILL E'!L21</f>
        <v>0</v>
      </c>
      <c r="L1" s="10">
        <f>'MILL E'!M21</f>
        <v>0</v>
      </c>
      <c r="M1" s="10">
        <f>'MILL E'!N21</f>
        <v>0</v>
      </c>
      <c r="N1" s="10">
        <f>'MILL E'!O21</f>
        <v>0</v>
      </c>
      <c r="O1" s="10">
        <f>'MILL E'!P21</f>
        <v>0</v>
      </c>
      <c r="P1" s="10">
        <f>'MILL E'!Q21</f>
        <v>0</v>
      </c>
      <c r="Q1" s="10">
        <f>'MILL E'!R21</f>
        <v>0</v>
      </c>
      <c r="R1" s="158"/>
      <c r="S1" s="158"/>
      <c r="T1" s="158"/>
      <c r="U1" s="158"/>
      <c r="V1" s="158"/>
      <c r="W1" s="158"/>
      <c r="X1" s="158"/>
      <c r="Y1" s="158"/>
      <c r="Z1" s="158"/>
      <c r="AA1" s="158"/>
      <c r="AB1" s="158"/>
      <c r="AC1" s="158"/>
      <c r="AJ1" s="169"/>
      <c r="AK1" s="170" t="s">
        <v>207</v>
      </c>
      <c r="AL1" s="170" t="s">
        <v>208</v>
      </c>
      <c r="AM1" s="169"/>
    </row>
    <row r="2" spans="1:40" s="33" customFormat="1" hidden="1" outlineLevel="1" x14ac:dyDescent="0.35">
      <c r="A2" s="30">
        <f t="shared" ref="A2:A24" si="0">$A$1</f>
        <v>46303</v>
      </c>
      <c r="B2" s="68">
        <f t="shared" ref="B2:B24" si="1">$B$1</f>
        <v>46303</v>
      </c>
      <c r="C2" s="68">
        <f>C$1</f>
        <v>0</v>
      </c>
      <c r="D2" s="32" t="str">
        <f>'MILL E'!E22</f>
        <v>07:00</v>
      </c>
      <c r="E2" s="31" t="str">
        <f>E$1</f>
        <v>F1</v>
      </c>
      <c r="F2" s="7" t="e">
        <f>'MILL E'!#REF!</f>
        <v>#REF!</v>
      </c>
      <c r="G2" s="116">
        <f>'MILL E'!H22</f>
        <v>0</v>
      </c>
      <c r="H2" s="10" t="e">
        <f>'MILL E'!#REF!</f>
        <v>#REF!</v>
      </c>
      <c r="I2" s="10">
        <f>'MILL E'!J22</f>
        <v>0</v>
      </c>
      <c r="J2" s="10">
        <f>'MILL E'!K22</f>
        <v>0</v>
      </c>
      <c r="K2" s="10">
        <f>'MILL E'!L22</f>
        <v>0</v>
      </c>
      <c r="L2" s="10">
        <f>'MILL E'!N22</f>
        <v>0</v>
      </c>
      <c r="M2" s="10">
        <f>'MILL E'!O22</f>
        <v>0</v>
      </c>
      <c r="N2" s="10">
        <f>'MILL E'!P22</f>
        <v>0</v>
      </c>
      <c r="O2" s="10" t="e">
        <f>'MILL E'!#REF!</f>
        <v>#REF!</v>
      </c>
      <c r="P2" s="10">
        <f>'MILL E'!Q22</f>
        <v>0</v>
      </c>
      <c r="Q2" s="10">
        <f>'MILL E'!R22</f>
        <v>0</v>
      </c>
      <c r="R2" s="158"/>
      <c r="S2" s="158"/>
      <c r="T2" s="158"/>
      <c r="U2" s="158"/>
      <c r="V2" s="158"/>
      <c r="W2" s="158"/>
      <c r="X2" s="158"/>
      <c r="Y2" s="158"/>
      <c r="Z2" s="158"/>
      <c r="AA2" s="158"/>
      <c r="AB2" s="158"/>
      <c r="AC2" s="158"/>
      <c r="AD2" s="168"/>
      <c r="AE2" s="167" t="s">
        <v>207</v>
      </c>
      <c r="AF2" s="167" t="s">
        <v>208</v>
      </c>
      <c r="AJ2" s="169" t="s">
        <v>209</v>
      </c>
      <c r="AK2" s="169">
        <v>97</v>
      </c>
      <c r="AL2" s="169">
        <v>198</v>
      </c>
      <c r="AM2" s="171">
        <v>0.48989898989898989</v>
      </c>
      <c r="AN2" s="33">
        <v>1</v>
      </c>
    </row>
    <row r="3" spans="1:40" s="33" customFormat="1" hidden="1" outlineLevel="1" x14ac:dyDescent="0.35">
      <c r="A3" s="30">
        <f t="shared" si="0"/>
        <v>46303</v>
      </c>
      <c r="B3" s="68">
        <f t="shared" si="1"/>
        <v>46303</v>
      </c>
      <c r="C3" s="68">
        <f t="shared" ref="C3:C24" si="2">C$1</f>
        <v>0</v>
      </c>
      <c r="D3" s="32" t="str">
        <f>'MILL E'!E23</f>
        <v>08:00</v>
      </c>
      <c r="E3" s="31" t="str">
        <f t="shared" ref="E3:E8" si="3">E$1</f>
        <v>F1</v>
      </c>
      <c r="F3" s="7">
        <f>'MILL E'!F24</f>
        <v>0</v>
      </c>
      <c r="G3" s="116">
        <f>'MILL E'!H24</f>
        <v>0</v>
      </c>
      <c r="H3" s="10">
        <f>'MILL E'!I23</f>
        <v>0</v>
      </c>
      <c r="I3" s="10">
        <f>'MILL E'!J23</f>
        <v>0</v>
      </c>
      <c r="J3" s="10">
        <f>'MILL E'!K23</f>
        <v>0</v>
      </c>
      <c r="K3" s="10">
        <f>'MILL E'!L23</f>
        <v>0</v>
      </c>
      <c r="L3" s="10">
        <f>'MILL E'!M23</f>
        <v>0</v>
      </c>
      <c r="M3" s="10">
        <f>'MILL E'!N23</f>
        <v>0</v>
      </c>
      <c r="N3" s="10">
        <f>'MILL E'!O23</f>
        <v>0</v>
      </c>
      <c r="O3" s="10">
        <f>'MILL E'!P23</f>
        <v>0</v>
      </c>
      <c r="P3" s="10">
        <f>'MILL E'!Q23</f>
        <v>0</v>
      </c>
      <c r="Q3" s="10">
        <f>'MILL E'!R23</f>
        <v>0</v>
      </c>
      <c r="R3" s="158"/>
      <c r="S3" s="158"/>
      <c r="T3" s="158"/>
      <c r="U3" s="158"/>
      <c r="V3" s="158"/>
      <c r="W3" s="158"/>
      <c r="X3" s="158"/>
      <c r="Y3" s="158"/>
      <c r="Z3" s="158"/>
      <c r="AA3" s="158"/>
      <c r="AB3" s="158"/>
      <c r="AC3" s="158"/>
      <c r="AD3" s="162" t="s">
        <v>210</v>
      </c>
      <c r="AE3" s="33">
        <f>R23</f>
        <v>431</v>
      </c>
      <c r="AF3" s="165">
        <f>R24</f>
        <v>503</v>
      </c>
      <c r="AG3" s="166">
        <f t="shared" ref="AG3:AG12" si="4">AE3/AF3</f>
        <v>0.85685884691848901</v>
      </c>
      <c r="AH3" s="33" t="e">
        <f>_xlfn.RANK.EQ(AG3,AG$3:AG$12,1)</f>
        <v>#N/A</v>
      </c>
      <c r="AJ3" s="169" t="s">
        <v>211</v>
      </c>
      <c r="AK3" s="169">
        <v>43</v>
      </c>
      <c r="AL3" s="169">
        <v>63</v>
      </c>
      <c r="AM3" s="171">
        <v>0.68253968253968256</v>
      </c>
      <c r="AN3" s="33">
        <v>2</v>
      </c>
    </row>
    <row r="4" spans="1:40" s="33" customFormat="1" hidden="1" outlineLevel="1" x14ac:dyDescent="0.35">
      <c r="A4" s="30">
        <f t="shared" si="0"/>
        <v>46303</v>
      </c>
      <c r="B4" s="68">
        <f t="shared" si="1"/>
        <v>46303</v>
      </c>
      <c r="C4" s="68">
        <f t="shared" si="2"/>
        <v>0</v>
      </c>
      <c r="D4" s="32" t="str">
        <f>'MILL E'!E24</f>
        <v>09:00</v>
      </c>
      <c r="E4" s="31" t="str">
        <f t="shared" si="3"/>
        <v>F1</v>
      </c>
      <c r="F4" s="7" t="e">
        <f>'MILL E'!#REF!</f>
        <v>#REF!</v>
      </c>
      <c r="G4" s="116" t="e">
        <f>'MILL E'!#REF!</f>
        <v>#REF!</v>
      </c>
      <c r="H4" s="10">
        <f>'MILL E'!I24</f>
        <v>0</v>
      </c>
      <c r="I4" s="10">
        <f>'MILL E'!J24</f>
        <v>0</v>
      </c>
      <c r="J4" s="10">
        <f>'MILL E'!K24</f>
        <v>0</v>
      </c>
      <c r="K4" s="10">
        <f>'MILL E'!L24</f>
        <v>0</v>
      </c>
      <c r="L4" s="10">
        <f>'MILL E'!M24</f>
        <v>0</v>
      </c>
      <c r="M4" s="10">
        <f>'MILL E'!N24</f>
        <v>0</v>
      </c>
      <c r="N4" s="10">
        <f>'MILL E'!O24</f>
        <v>0</v>
      </c>
      <c r="O4" s="10">
        <f>'MILL E'!P24</f>
        <v>0</v>
      </c>
      <c r="P4" s="10">
        <f>'MILL E'!Q24</f>
        <v>0</v>
      </c>
      <c r="Q4" s="10">
        <f>'MILL E'!R24</f>
        <v>0</v>
      </c>
      <c r="R4" s="158"/>
      <c r="S4" s="158"/>
      <c r="T4" s="158"/>
      <c r="U4" s="158"/>
      <c r="V4" s="158"/>
      <c r="W4" s="158"/>
      <c r="X4" s="158"/>
      <c r="Y4" s="158"/>
      <c r="Z4" s="158"/>
      <c r="AA4" s="158"/>
      <c r="AB4" s="158"/>
      <c r="AC4" s="158"/>
      <c r="AD4" s="163" t="s">
        <v>212</v>
      </c>
      <c r="AE4" s="33">
        <f>S23</f>
        <v>497</v>
      </c>
      <c r="AF4" s="165">
        <f>S24</f>
        <v>505</v>
      </c>
      <c r="AG4" s="166">
        <f t="shared" si="4"/>
        <v>0.98415841584158414</v>
      </c>
      <c r="AH4" s="33" t="e">
        <f t="shared" ref="AH4:AH12" si="5">_xlfn.RANK.EQ(AG4,AG$3:AG$12,1)</f>
        <v>#N/A</v>
      </c>
      <c r="AJ4" s="169" t="s">
        <v>213</v>
      </c>
      <c r="AK4" s="169">
        <v>16</v>
      </c>
      <c r="AL4" s="169">
        <v>18</v>
      </c>
      <c r="AM4" s="171">
        <v>0.88888888888888884</v>
      </c>
      <c r="AN4" s="33">
        <v>3</v>
      </c>
    </row>
    <row r="5" spans="1:40" s="33" customFormat="1" hidden="1" outlineLevel="1" x14ac:dyDescent="0.35">
      <c r="A5" s="30">
        <f t="shared" si="0"/>
        <v>46303</v>
      </c>
      <c r="B5" s="68">
        <f t="shared" si="1"/>
        <v>46303</v>
      </c>
      <c r="C5" s="68">
        <f t="shared" si="2"/>
        <v>0</v>
      </c>
      <c r="D5" s="32" t="str">
        <f>'MILL E'!E25</f>
        <v>10:00</v>
      </c>
      <c r="E5" s="31" t="str">
        <f t="shared" si="3"/>
        <v>F1</v>
      </c>
      <c r="F5" s="7">
        <f>'MILL E'!F25</f>
        <v>0</v>
      </c>
      <c r="G5" s="116">
        <f>'MILL E'!H25</f>
        <v>0</v>
      </c>
      <c r="H5" s="10">
        <f>'MILL E'!I25</f>
        <v>0</v>
      </c>
      <c r="I5" s="10">
        <f>'MILL E'!J25</f>
        <v>0</v>
      </c>
      <c r="J5" s="10">
        <f>'MILL E'!K25</f>
        <v>0</v>
      </c>
      <c r="K5" s="10">
        <f>'MILL E'!L25</f>
        <v>0</v>
      </c>
      <c r="L5" s="10">
        <f>'MILL E'!M25</f>
        <v>0</v>
      </c>
      <c r="M5" s="10">
        <f>'MILL E'!N25</f>
        <v>0</v>
      </c>
      <c r="N5" s="10">
        <f>'MILL E'!O25</f>
        <v>0</v>
      </c>
      <c r="O5" s="10">
        <f>'MILL E'!P25</f>
        <v>0</v>
      </c>
      <c r="P5" s="10">
        <f>'MILL E'!Q25</f>
        <v>0</v>
      </c>
      <c r="Q5" s="10">
        <f>'MILL E'!R25</f>
        <v>0</v>
      </c>
      <c r="R5" s="158"/>
      <c r="S5" s="158"/>
      <c r="T5" s="158"/>
      <c r="U5" s="158"/>
      <c r="V5" s="158"/>
      <c r="W5" s="158"/>
      <c r="X5" s="158"/>
      <c r="Y5" s="158"/>
      <c r="Z5" s="158"/>
      <c r="AA5" s="158"/>
      <c r="AB5" s="158"/>
      <c r="AC5" s="158"/>
      <c r="AD5" s="164" t="s">
        <v>214</v>
      </c>
      <c r="AE5" s="165">
        <f>T23</f>
        <v>502</v>
      </c>
      <c r="AF5" s="165">
        <f>T24</f>
        <v>505</v>
      </c>
      <c r="AG5" s="166">
        <f t="shared" si="4"/>
        <v>0.99405940594059405</v>
      </c>
      <c r="AH5" s="33" t="e">
        <f t="shared" si="5"/>
        <v>#N/A</v>
      </c>
      <c r="AJ5" s="169" t="s">
        <v>210</v>
      </c>
      <c r="AK5" s="169">
        <v>199</v>
      </c>
      <c r="AL5" s="169">
        <v>213</v>
      </c>
      <c r="AM5" s="171">
        <v>0.93427230046948362</v>
      </c>
      <c r="AN5" s="33">
        <v>4</v>
      </c>
    </row>
    <row r="6" spans="1:40" s="33" customFormat="1" hidden="1" outlineLevel="1" x14ac:dyDescent="0.35">
      <c r="A6" s="30">
        <f t="shared" si="0"/>
        <v>46303</v>
      </c>
      <c r="B6" s="68">
        <f t="shared" si="1"/>
        <v>46303</v>
      </c>
      <c r="C6" s="68">
        <f t="shared" si="2"/>
        <v>0</v>
      </c>
      <c r="D6" s="32" t="str">
        <f>'MILL E'!E26</f>
        <v>11:00</v>
      </c>
      <c r="E6" s="31" t="str">
        <f t="shared" si="3"/>
        <v>F1</v>
      </c>
      <c r="F6" s="7">
        <f>'MILL E'!F27</f>
        <v>0</v>
      </c>
      <c r="G6" s="116">
        <f>'MILL E'!H26</f>
        <v>0</v>
      </c>
      <c r="H6" s="10">
        <f>'MILL E'!I26</f>
        <v>0</v>
      </c>
      <c r="I6" s="10">
        <f>'MILL E'!J26</f>
        <v>0</v>
      </c>
      <c r="J6" s="10">
        <f>'MILL E'!K26</f>
        <v>0</v>
      </c>
      <c r="K6" s="10">
        <f>'MILL E'!L26</f>
        <v>0</v>
      </c>
      <c r="L6" s="10">
        <f>'MILL E'!M26</f>
        <v>0</v>
      </c>
      <c r="M6" s="10">
        <f>'MILL E'!N26</f>
        <v>0</v>
      </c>
      <c r="N6" s="10">
        <f>'MILL E'!O26</f>
        <v>0</v>
      </c>
      <c r="O6" s="10">
        <f>'MILL E'!P26</f>
        <v>0</v>
      </c>
      <c r="P6" s="10">
        <f>'MILL E'!Q26</f>
        <v>0</v>
      </c>
      <c r="Q6" s="10">
        <f>'MILL E'!R26</f>
        <v>0</v>
      </c>
      <c r="R6" s="158"/>
      <c r="S6" s="158"/>
      <c r="T6" s="158"/>
      <c r="U6" s="158"/>
      <c r="V6" s="158"/>
      <c r="W6" s="158"/>
      <c r="X6" s="158"/>
      <c r="Y6" s="158"/>
      <c r="Z6" s="158"/>
      <c r="AA6" s="158"/>
      <c r="AB6" s="158"/>
      <c r="AC6" s="158"/>
      <c r="AD6" s="164" t="s">
        <v>209</v>
      </c>
      <c r="AE6" s="165" t="e">
        <f>U23</f>
        <v>#N/A</v>
      </c>
      <c r="AF6" s="165">
        <f>U24</f>
        <v>464</v>
      </c>
      <c r="AG6" s="166" t="e">
        <f t="shared" si="4"/>
        <v>#N/A</v>
      </c>
      <c r="AH6" s="33" t="e">
        <f t="shared" si="5"/>
        <v>#N/A</v>
      </c>
      <c r="AJ6" s="169" t="s">
        <v>215</v>
      </c>
      <c r="AK6" s="169">
        <v>17</v>
      </c>
      <c r="AL6" s="169">
        <v>18</v>
      </c>
      <c r="AM6" s="171">
        <v>0.94444444444444442</v>
      </c>
      <c r="AN6" s="33">
        <v>5</v>
      </c>
    </row>
    <row r="7" spans="1:40" s="33" customFormat="1" hidden="1" outlineLevel="1" x14ac:dyDescent="0.35">
      <c r="A7" s="30">
        <f t="shared" si="0"/>
        <v>46303</v>
      </c>
      <c r="B7" s="68">
        <f t="shared" si="1"/>
        <v>46303</v>
      </c>
      <c r="C7" s="68">
        <f t="shared" si="2"/>
        <v>0</v>
      </c>
      <c r="D7" s="32" t="str">
        <f>'MILL E'!E27</f>
        <v>12:00</v>
      </c>
      <c r="E7" s="31" t="str">
        <f t="shared" si="3"/>
        <v>F1</v>
      </c>
      <c r="F7" s="7" t="e">
        <f>'MILL E'!#REF!</f>
        <v>#REF!</v>
      </c>
      <c r="G7" s="116">
        <f>'MILL E'!H27</f>
        <v>0</v>
      </c>
      <c r="H7" s="10">
        <f>'MILL E'!I27</f>
        <v>0</v>
      </c>
      <c r="I7" s="10">
        <f>'MILL E'!J27</f>
        <v>0</v>
      </c>
      <c r="J7" s="10">
        <f>'MILL E'!K27</f>
        <v>0</v>
      </c>
      <c r="K7" s="10">
        <f>'MILL E'!L27</f>
        <v>0</v>
      </c>
      <c r="L7" s="10">
        <f>'MILL E'!M27</f>
        <v>0</v>
      </c>
      <c r="M7" s="10">
        <f>'MILL E'!N27</f>
        <v>0</v>
      </c>
      <c r="N7" s="10">
        <f>'MILL E'!O27</f>
        <v>0</v>
      </c>
      <c r="O7" s="10">
        <f>'MILL E'!P27</f>
        <v>0</v>
      </c>
      <c r="P7" s="10">
        <f>'MILL E'!Q27</f>
        <v>0</v>
      </c>
      <c r="Q7" s="10">
        <f>'MILL E'!R27</f>
        <v>0</v>
      </c>
      <c r="R7" s="158"/>
      <c r="S7" s="158"/>
      <c r="T7" s="158"/>
      <c r="U7" s="158"/>
      <c r="V7" s="158"/>
      <c r="W7" s="158"/>
      <c r="X7" s="158"/>
      <c r="Y7" s="158"/>
      <c r="Z7" s="158"/>
      <c r="AA7" s="158"/>
      <c r="AB7" s="158"/>
      <c r="AC7" s="158"/>
      <c r="AD7" s="164" t="s">
        <v>211</v>
      </c>
      <c r="AE7" s="165" t="e">
        <f>V23</f>
        <v>#N/A</v>
      </c>
      <c r="AF7" s="165">
        <f>V24</f>
        <v>256</v>
      </c>
      <c r="AG7" s="166" t="e">
        <f t="shared" si="4"/>
        <v>#N/A</v>
      </c>
      <c r="AH7" s="33" t="e">
        <f t="shared" si="5"/>
        <v>#N/A</v>
      </c>
      <c r="AJ7" s="169" t="s">
        <v>216</v>
      </c>
      <c r="AK7" s="169">
        <v>59</v>
      </c>
      <c r="AL7" s="169">
        <v>61</v>
      </c>
      <c r="AM7" s="171">
        <v>0.96721311475409832</v>
      </c>
      <c r="AN7" s="33">
        <v>6</v>
      </c>
    </row>
    <row r="8" spans="1:40" s="33" customFormat="1" hidden="1" outlineLevel="1" x14ac:dyDescent="0.35">
      <c r="A8" s="30">
        <f t="shared" si="0"/>
        <v>46303</v>
      </c>
      <c r="B8" s="68">
        <f t="shared" si="1"/>
        <v>46303</v>
      </c>
      <c r="C8" s="68">
        <f t="shared" si="2"/>
        <v>0</v>
      </c>
      <c r="D8" s="32" t="str">
        <f>'MILL E'!E28</f>
        <v>13:00</v>
      </c>
      <c r="E8" s="31" t="str">
        <f t="shared" si="3"/>
        <v>F1</v>
      </c>
      <c r="F8" s="7">
        <f>'MILL E'!F28</f>
        <v>0</v>
      </c>
      <c r="G8" s="116">
        <f>'MILL E'!H28</f>
        <v>0</v>
      </c>
      <c r="H8" s="10">
        <f>'MILL E'!I28</f>
        <v>0</v>
      </c>
      <c r="I8" s="10">
        <f>'MILL E'!J28</f>
        <v>0</v>
      </c>
      <c r="J8" s="10">
        <f>'MILL E'!K28</f>
        <v>0</v>
      </c>
      <c r="K8" s="10">
        <f>'MILL E'!L28</f>
        <v>0</v>
      </c>
      <c r="L8" s="10">
        <f>'MILL E'!M28</f>
        <v>0</v>
      </c>
      <c r="M8" s="10">
        <f>'MILL E'!N28</f>
        <v>0</v>
      </c>
      <c r="N8" s="10">
        <f>'MILL E'!O28</f>
        <v>0</v>
      </c>
      <c r="O8" s="10">
        <f>'MILL E'!P28</f>
        <v>0</v>
      </c>
      <c r="P8" s="10">
        <f>'MILL E'!Q28</f>
        <v>0</v>
      </c>
      <c r="Q8" s="10">
        <f>'MILL E'!R28</f>
        <v>0</v>
      </c>
      <c r="R8" s="158"/>
      <c r="S8" s="158"/>
      <c r="T8" s="158"/>
      <c r="U8" s="158"/>
      <c r="V8" s="158"/>
      <c r="W8" s="158"/>
      <c r="X8" s="158"/>
      <c r="Y8" s="158"/>
      <c r="Z8" s="158"/>
      <c r="AA8" s="158"/>
      <c r="AB8" s="158"/>
      <c r="AC8" s="158"/>
      <c r="AD8" s="164" t="s">
        <v>217</v>
      </c>
      <c r="AE8" s="165" t="e">
        <f>W23</f>
        <v>#N/A</v>
      </c>
      <c r="AF8" s="165">
        <f>W24</f>
        <v>245</v>
      </c>
      <c r="AG8" s="166" t="e">
        <f t="shared" si="4"/>
        <v>#N/A</v>
      </c>
      <c r="AH8" s="33" t="e">
        <f t="shared" si="5"/>
        <v>#N/A</v>
      </c>
      <c r="AJ8" s="169" t="s">
        <v>217</v>
      </c>
      <c r="AK8" s="169">
        <v>60</v>
      </c>
      <c r="AL8" s="169">
        <v>62</v>
      </c>
      <c r="AM8" s="171">
        <v>0.967741935483871</v>
      </c>
      <c r="AN8" s="33">
        <v>7</v>
      </c>
    </row>
    <row r="9" spans="1:40" s="33" customFormat="1" hidden="1" outlineLevel="1" x14ac:dyDescent="0.35">
      <c r="A9" s="30">
        <f t="shared" si="0"/>
        <v>46303</v>
      </c>
      <c r="B9" s="68">
        <f t="shared" si="1"/>
        <v>46303</v>
      </c>
      <c r="C9" s="68">
        <f t="shared" si="2"/>
        <v>0</v>
      </c>
      <c r="D9" s="32" t="str">
        <f>'MILL E'!E30</f>
        <v>06:00</v>
      </c>
      <c r="E9" s="31" t="s">
        <v>1</v>
      </c>
      <c r="F9" s="7" t="str">
        <f>'MILL E'!F30</f>
        <v/>
      </c>
      <c r="G9" s="116">
        <f>'MILL E'!H30</f>
        <v>0</v>
      </c>
      <c r="H9" s="10">
        <f>'MILL E'!I30</f>
        <v>0</v>
      </c>
      <c r="I9" s="10">
        <f>'MILL E'!J30</f>
        <v>0</v>
      </c>
      <c r="J9" s="10">
        <f>'MILL E'!K30</f>
        <v>0</v>
      </c>
      <c r="K9" s="10">
        <f>'MILL E'!L30</f>
        <v>0</v>
      </c>
      <c r="L9" s="10">
        <f>'MILL E'!M30</f>
        <v>0</v>
      </c>
      <c r="M9" s="10">
        <f>'MILL E'!N30</f>
        <v>0</v>
      </c>
      <c r="N9" s="10" t="s">
        <v>163</v>
      </c>
      <c r="O9" s="10" t="s">
        <v>163</v>
      </c>
      <c r="P9" s="10" t="s">
        <v>163</v>
      </c>
      <c r="Q9" s="10" t="s">
        <v>163</v>
      </c>
      <c r="R9" s="158"/>
      <c r="S9" s="158"/>
      <c r="T9" s="158"/>
      <c r="U9" s="158"/>
      <c r="V9" s="158"/>
      <c r="W9" s="158"/>
      <c r="X9" s="158"/>
      <c r="Y9" s="158"/>
      <c r="Z9" s="158"/>
      <c r="AA9" s="158"/>
      <c r="AB9" s="158"/>
      <c r="AC9" s="158"/>
      <c r="AD9" s="164" t="s">
        <v>216</v>
      </c>
      <c r="AE9" s="165" t="e">
        <f>X23</f>
        <v>#N/A</v>
      </c>
      <c r="AF9" s="165">
        <f>X24</f>
        <v>241</v>
      </c>
      <c r="AG9" s="166" t="e">
        <f t="shared" si="4"/>
        <v>#N/A</v>
      </c>
      <c r="AH9" s="33" t="e">
        <f t="shared" si="5"/>
        <v>#N/A</v>
      </c>
      <c r="AJ9" s="169" t="s">
        <v>218</v>
      </c>
      <c r="AK9" s="169">
        <v>52</v>
      </c>
      <c r="AL9" s="169">
        <v>53</v>
      </c>
      <c r="AM9" s="171">
        <v>0.98113207547169812</v>
      </c>
      <c r="AN9" s="33">
        <v>8</v>
      </c>
    </row>
    <row r="10" spans="1:40" s="33" customFormat="1" hidden="1" outlineLevel="1" x14ac:dyDescent="0.35">
      <c r="A10" s="30">
        <f t="shared" si="0"/>
        <v>46303</v>
      </c>
      <c r="B10" s="68">
        <f t="shared" si="1"/>
        <v>46303</v>
      </c>
      <c r="C10" s="68">
        <f t="shared" si="2"/>
        <v>0</v>
      </c>
      <c r="D10" s="32" t="str">
        <f>'MILL E'!E31</f>
        <v>07:00</v>
      </c>
      <c r="E10" s="31" t="str">
        <f>E$9</f>
        <v>F2</v>
      </c>
      <c r="F10" s="7" t="str">
        <f>'MILL E'!F31</f>
        <v/>
      </c>
      <c r="G10" s="116">
        <f>'MILL E'!H31</f>
        <v>0</v>
      </c>
      <c r="H10" s="10">
        <f>'MILL E'!I31</f>
        <v>0</v>
      </c>
      <c r="I10" s="10">
        <f>'MILL E'!J31</f>
        <v>0</v>
      </c>
      <c r="J10" s="10">
        <f>'MILL E'!K31</f>
        <v>0</v>
      </c>
      <c r="K10" s="10">
        <f>'MILL E'!L31</f>
        <v>0</v>
      </c>
      <c r="L10" s="10">
        <f>'MILL E'!M31</f>
        <v>0</v>
      </c>
      <c r="M10" s="10">
        <f>'MILL E'!N31</f>
        <v>0</v>
      </c>
      <c r="N10" s="10" t="s">
        <v>163</v>
      </c>
      <c r="O10" s="10" t="s">
        <v>163</v>
      </c>
      <c r="P10" s="10" t="s">
        <v>163</v>
      </c>
      <c r="Q10" s="10" t="s">
        <v>163</v>
      </c>
      <c r="R10" s="158"/>
      <c r="S10" s="158"/>
      <c r="T10" s="158"/>
      <c r="U10" s="158"/>
      <c r="V10" s="158"/>
      <c r="W10" s="158"/>
      <c r="X10" s="158"/>
      <c r="Y10" s="158"/>
      <c r="Z10" s="158"/>
      <c r="AA10" s="158"/>
      <c r="AB10" s="158"/>
      <c r="AC10" s="158"/>
      <c r="AD10" s="164" t="s">
        <v>215</v>
      </c>
      <c r="AE10" s="165" t="e">
        <f>Y23</f>
        <v>#N/A</v>
      </c>
      <c r="AF10" s="165">
        <f>Y24</f>
        <v>86</v>
      </c>
      <c r="AG10" s="166" t="e">
        <f t="shared" si="4"/>
        <v>#N/A</v>
      </c>
      <c r="AH10" s="33" t="e">
        <f t="shared" si="5"/>
        <v>#N/A</v>
      </c>
      <c r="AJ10" s="169" t="s">
        <v>212</v>
      </c>
      <c r="AK10" s="169">
        <v>214</v>
      </c>
      <c r="AL10" s="169">
        <v>214</v>
      </c>
      <c r="AM10" s="171">
        <v>1</v>
      </c>
      <c r="AN10" s="33">
        <v>9</v>
      </c>
    </row>
    <row r="11" spans="1:40" s="33" customFormat="1" hidden="1" outlineLevel="1" x14ac:dyDescent="0.35">
      <c r="A11" s="30">
        <f t="shared" si="0"/>
        <v>46303</v>
      </c>
      <c r="B11" s="68">
        <f t="shared" si="1"/>
        <v>46303</v>
      </c>
      <c r="C11" s="68">
        <f t="shared" si="2"/>
        <v>0</v>
      </c>
      <c r="D11" s="32" t="str">
        <f>'MILL E'!E32</f>
        <v>08:00</v>
      </c>
      <c r="E11" s="31" t="str">
        <f t="shared" ref="E11:E16" si="6">E$9</f>
        <v>F2</v>
      </c>
      <c r="F11" s="7" t="str">
        <f>'MILL E'!F32</f>
        <v/>
      </c>
      <c r="G11" s="116">
        <f>'MILL E'!H32</f>
        <v>0</v>
      </c>
      <c r="H11" s="10">
        <f>'MILL E'!I32</f>
        <v>0</v>
      </c>
      <c r="I11" s="10">
        <f>'MILL E'!J32</f>
        <v>0</v>
      </c>
      <c r="J11" s="10">
        <f>'MILL E'!K32</f>
        <v>0</v>
      </c>
      <c r="K11" s="10">
        <f>'MILL E'!L32</f>
        <v>0</v>
      </c>
      <c r="L11" s="10">
        <f>'MILL E'!M32</f>
        <v>0</v>
      </c>
      <c r="M11" s="10">
        <f>'MILL E'!N32</f>
        <v>0</v>
      </c>
      <c r="N11" s="10" t="s">
        <v>163</v>
      </c>
      <c r="O11" s="10" t="s">
        <v>163</v>
      </c>
      <c r="P11" s="10" t="s">
        <v>163</v>
      </c>
      <c r="Q11" s="10" t="s">
        <v>163</v>
      </c>
      <c r="R11" s="158"/>
      <c r="S11" s="158"/>
      <c r="T11" s="158"/>
      <c r="U11" s="158"/>
      <c r="V11" s="158"/>
      <c r="W11" s="158"/>
      <c r="X11" s="158"/>
      <c r="Y11" s="158"/>
      <c r="Z11" s="158"/>
      <c r="AA11" s="158"/>
      <c r="AB11" s="158"/>
      <c r="AC11" s="158"/>
      <c r="AD11" s="163" t="s">
        <v>213</v>
      </c>
      <c r="AE11" s="165" t="e">
        <f>Z23</f>
        <v>#N/A</v>
      </c>
      <c r="AF11" s="165">
        <f>Z24</f>
        <v>86</v>
      </c>
      <c r="AG11" s="166" t="e">
        <f t="shared" si="4"/>
        <v>#N/A</v>
      </c>
      <c r="AH11" s="33" t="e">
        <f t="shared" si="5"/>
        <v>#N/A</v>
      </c>
      <c r="AJ11" s="169" t="s">
        <v>214</v>
      </c>
      <c r="AK11" s="169">
        <v>214</v>
      </c>
      <c r="AL11" s="169">
        <v>214</v>
      </c>
      <c r="AM11" s="171">
        <v>1</v>
      </c>
      <c r="AN11" s="33">
        <v>9</v>
      </c>
    </row>
    <row r="12" spans="1:40" s="33" customFormat="1" hidden="1" outlineLevel="1" x14ac:dyDescent="0.35">
      <c r="A12" s="30">
        <f t="shared" si="0"/>
        <v>46303</v>
      </c>
      <c r="B12" s="68">
        <f t="shared" si="1"/>
        <v>46303</v>
      </c>
      <c r="C12" s="68">
        <f t="shared" si="2"/>
        <v>0</v>
      </c>
      <c r="D12" s="32" t="str">
        <f>'MILL E'!E33</f>
        <v>09:00</v>
      </c>
      <c r="E12" s="31" t="str">
        <f t="shared" si="6"/>
        <v>F2</v>
      </c>
      <c r="F12" s="7" t="str">
        <f>'MILL E'!F33</f>
        <v/>
      </c>
      <c r="G12" s="116">
        <f>'MILL E'!H33</f>
        <v>0</v>
      </c>
      <c r="H12" s="10">
        <f>'MILL E'!I33</f>
        <v>0</v>
      </c>
      <c r="I12" s="10">
        <f>'MILL E'!J33</f>
        <v>0</v>
      </c>
      <c r="J12" s="10">
        <f>'MILL E'!K33</f>
        <v>0</v>
      </c>
      <c r="K12" s="10">
        <f>'MILL E'!L33</f>
        <v>0</v>
      </c>
      <c r="L12" s="10">
        <f>'MILL E'!M33</f>
        <v>0</v>
      </c>
      <c r="M12" s="10">
        <f>'MILL E'!N33</f>
        <v>0</v>
      </c>
      <c r="N12" s="10" t="s">
        <v>163</v>
      </c>
      <c r="O12" s="10" t="s">
        <v>163</v>
      </c>
      <c r="P12" s="10" t="s">
        <v>163</v>
      </c>
      <c r="Q12" s="10" t="s">
        <v>163</v>
      </c>
      <c r="R12" s="158"/>
      <c r="S12" s="158"/>
      <c r="T12" s="158"/>
      <c r="U12" s="158"/>
      <c r="V12" s="158"/>
      <c r="W12" s="158"/>
      <c r="X12" s="158"/>
      <c r="Y12" s="158"/>
      <c r="Z12" s="158"/>
      <c r="AA12" s="158"/>
      <c r="AB12" s="158"/>
      <c r="AC12" s="158"/>
      <c r="AD12" s="163" t="s">
        <v>218</v>
      </c>
      <c r="AE12" s="165" t="e">
        <f>AA23</f>
        <v>#N/A</v>
      </c>
      <c r="AF12" s="165">
        <f>AA24</f>
        <v>298</v>
      </c>
      <c r="AG12" s="166" t="e">
        <f t="shared" si="4"/>
        <v>#N/A</v>
      </c>
      <c r="AH12" s="33" t="e">
        <f t="shared" si="5"/>
        <v>#N/A</v>
      </c>
    </row>
    <row r="13" spans="1:40" s="33" customFormat="1" hidden="1" outlineLevel="1" x14ac:dyDescent="0.35">
      <c r="A13" s="30">
        <f t="shared" si="0"/>
        <v>46303</v>
      </c>
      <c r="B13" s="68">
        <f t="shared" si="1"/>
        <v>46303</v>
      </c>
      <c r="C13" s="68">
        <f t="shared" si="2"/>
        <v>0</v>
      </c>
      <c r="D13" s="32" t="str">
        <f>'MILL E'!E34</f>
        <v>10:00</v>
      </c>
      <c r="E13" s="31" t="str">
        <f t="shared" si="6"/>
        <v>F2</v>
      </c>
      <c r="F13" s="7" t="str">
        <f>'MILL E'!F34</f>
        <v/>
      </c>
      <c r="G13" s="116">
        <f>'MILL E'!H34</f>
        <v>0</v>
      </c>
      <c r="H13" s="10">
        <f>'MILL E'!I34</f>
        <v>0</v>
      </c>
      <c r="I13" s="10">
        <f>'MILL E'!J34</f>
        <v>0</v>
      </c>
      <c r="J13" s="10">
        <f>'MILL E'!K34</f>
        <v>0</v>
      </c>
      <c r="K13" s="10">
        <f>'MILL E'!L34</f>
        <v>0</v>
      </c>
      <c r="L13" s="10">
        <f>'MILL E'!M34</f>
        <v>0</v>
      </c>
      <c r="M13" s="10">
        <f>'MILL E'!N34</f>
        <v>0</v>
      </c>
      <c r="N13" s="10" t="s">
        <v>163</v>
      </c>
      <c r="O13" s="10" t="s">
        <v>163</v>
      </c>
      <c r="P13" s="10" t="s">
        <v>163</v>
      </c>
      <c r="Q13" s="10" t="s">
        <v>163</v>
      </c>
      <c r="R13" s="158"/>
      <c r="S13" s="158"/>
      <c r="T13" s="158"/>
      <c r="U13" s="158"/>
      <c r="V13" s="158"/>
      <c r="W13" s="158"/>
      <c r="X13" s="158"/>
      <c r="Y13" s="158"/>
      <c r="Z13" s="158"/>
      <c r="AA13" s="158"/>
      <c r="AB13" s="158"/>
      <c r="AC13" s="158"/>
    </row>
    <row r="14" spans="1:40" s="33" customFormat="1" hidden="1" outlineLevel="1" x14ac:dyDescent="0.35">
      <c r="A14" s="30">
        <f t="shared" si="0"/>
        <v>46303</v>
      </c>
      <c r="B14" s="68">
        <f t="shared" si="1"/>
        <v>46303</v>
      </c>
      <c r="C14" s="68">
        <f t="shared" si="2"/>
        <v>0</v>
      </c>
      <c r="D14" s="32" t="str">
        <f>'MILL E'!E35</f>
        <v>11:00</v>
      </c>
      <c r="E14" s="31" t="str">
        <f t="shared" si="6"/>
        <v>F2</v>
      </c>
      <c r="F14" s="7" t="str">
        <f>'MILL E'!F35</f>
        <v/>
      </c>
      <c r="G14" s="116">
        <f>'MILL E'!H35</f>
        <v>0</v>
      </c>
      <c r="H14" s="10">
        <f>'MILL E'!I35</f>
        <v>0</v>
      </c>
      <c r="I14" s="10">
        <f>'MILL E'!J35</f>
        <v>0</v>
      </c>
      <c r="J14" s="10">
        <f>'MILL E'!K35</f>
        <v>0</v>
      </c>
      <c r="K14" s="10">
        <f>'MILL E'!L35</f>
        <v>0</v>
      </c>
      <c r="L14" s="10">
        <f>'MILL E'!M35</f>
        <v>0</v>
      </c>
      <c r="M14" s="10">
        <f>'MILL E'!N35</f>
        <v>0</v>
      </c>
      <c r="N14" s="10" t="s">
        <v>163</v>
      </c>
      <c r="O14" s="10" t="s">
        <v>163</v>
      </c>
      <c r="P14" s="10" t="s">
        <v>163</v>
      </c>
      <c r="Q14" s="10" t="s">
        <v>163</v>
      </c>
      <c r="R14" s="158"/>
      <c r="S14" s="158"/>
      <c r="T14" s="158"/>
      <c r="U14" s="158"/>
      <c r="V14" s="158"/>
      <c r="W14" s="158"/>
      <c r="X14" s="158"/>
      <c r="Y14" s="158"/>
      <c r="Z14" s="158"/>
      <c r="AA14" s="158"/>
      <c r="AB14" s="158"/>
      <c r="AC14" s="158"/>
    </row>
    <row r="15" spans="1:40" s="33" customFormat="1" hidden="1" outlineLevel="1" x14ac:dyDescent="0.35">
      <c r="A15" s="30">
        <f t="shared" si="0"/>
        <v>46303</v>
      </c>
      <c r="B15" s="68">
        <f t="shared" si="1"/>
        <v>46303</v>
      </c>
      <c r="C15" s="68">
        <f t="shared" si="2"/>
        <v>0</v>
      </c>
      <c r="D15" s="32" t="str">
        <f>'MILL E'!E36</f>
        <v>12:00</v>
      </c>
      <c r="E15" s="31" t="str">
        <f t="shared" si="6"/>
        <v>F2</v>
      </c>
      <c r="F15" s="7" t="str">
        <f>'MILL E'!F36</f>
        <v/>
      </c>
      <c r="G15" s="116">
        <f>'MILL E'!H36</f>
        <v>0</v>
      </c>
      <c r="H15" s="10">
        <f>'MILL E'!I36</f>
        <v>0</v>
      </c>
      <c r="I15" s="10">
        <f>'MILL E'!J36</f>
        <v>0</v>
      </c>
      <c r="J15" s="10">
        <f>'MILL E'!K36</f>
        <v>0</v>
      </c>
      <c r="K15" s="10">
        <f>'MILL E'!L36</f>
        <v>0</v>
      </c>
      <c r="L15" s="10">
        <f>'MILL E'!M36</f>
        <v>0</v>
      </c>
      <c r="M15" s="10">
        <f>'MILL E'!N36</f>
        <v>0</v>
      </c>
      <c r="N15" s="10" t="s">
        <v>163</v>
      </c>
      <c r="O15" s="10" t="s">
        <v>163</v>
      </c>
      <c r="P15" s="10" t="s">
        <v>163</v>
      </c>
      <c r="Q15" s="10" t="s">
        <v>163</v>
      </c>
      <c r="R15" s="158"/>
      <c r="S15" s="158"/>
      <c r="T15" s="158"/>
      <c r="U15" s="158"/>
      <c r="V15" s="158"/>
      <c r="W15" s="158"/>
      <c r="X15" s="158"/>
      <c r="Y15" s="158"/>
      <c r="Z15" s="158"/>
      <c r="AA15" s="158"/>
      <c r="AB15" s="158"/>
      <c r="AC15" s="158"/>
    </row>
    <row r="16" spans="1:40" s="33" customFormat="1" hidden="1" outlineLevel="1" x14ac:dyDescent="0.35">
      <c r="A16" s="30">
        <f t="shared" si="0"/>
        <v>46303</v>
      </c>
      <c r="B16" s="68">
        <f t="shared" si="1"/>
        <v>46303</v>
      </c>
      <c r="C16" s="68">
        <f t="shared" si="2"/>
        <v>0</v>
      </c>
      <c r="D16" s="32" t="str">
        <f>'MILL E'!E37</f>
        <v>13:00</v>
      </c>
      <c r="E16" s="31" t="str">
        <f t="shared" si="6"/>
        <v>F2</v>
      </c>
      <c r="F16" s="7" t="str">
        <f>'MILL E'!F37</f>
        <v/>
      </c>
      <c r="G16" s="116">
        <f>'MILL E'!H37</f>
        <v>0</v>
      </c>
      <c r="H16" s="10">
        <f>'MILL E'!I37</f>
        <v>0</v>
      </c>
      <c r="I16" s="10">
        <f>'MILL E'!J37</f>
        <v>0</v>
      </c>
      <c r="J16" s="10">
        <f>'MILL E'!K37</f>
        <v>0</v>
      </c>
      <c r="K16" s="10">
        <f>'MILL E'!L37</f>
        <v>0</v>
      </c>
      <c r="L16" s="10">
        <f>'MILL E'!M37</f>
        <v>0</v>
      </c>
      <c r="M16" s="10">
        <f>'MILL E'!N37</f>
        <v>0</v>
      </c>
      <c r="N16" s="10" t="s">
        <v>163</v>
      </c>
      <c r="O16" s="10" t="s">
        <v>163</v>
      </c>
      <c r="P16" s="10" t="s">
        <v>163</v>
      </c>
      <c r="Q16" s="10" t="s">
        <v>163</v>
      </c>
      <c r="R16" s="158"/>
      <c r="S16" s="158"/>
      <c r="T16" s="158"/>
      <c r="U16" s="158"/>
      <c r="V16" s="158"/>
      <c r="W16" s="158"/>
      <c r="X16" s="158"/>
      <c r="Y16" s="158"/>
      <c r="Z16" s="158"/>
      <c r="AA16" s="158"/>
      <c r="AB16" s="158"/>
      <c r="AC16" s="158"/>
    </row>
    <row r="17" spans="1:29" s="33" customFormat="1" hidden="1" outlineLevel="1" x14ac:dyDescent="0.35">
      <c r="A17" s="30">
        <f t="shared" si="0"/>
        <v>46303</v>
      </c>
      <c r="B17" s="68">
        <f t="shared" si="1"/>
        <v>46303</v>
      </c>
      <c r="C17" s="68">
        <f t="shared" si="2"/>
        <v>0</v>
      </c>
      <c r="D17" s="32" t="str">
        <f>'MILL E'!E39</f>
        <v>06:00</v>
      </c>
      <c r="E17" s="31" t="s">
        <v>2</v>
      </c>
      <c r="F17" s="7" t="str">
        <f>'MILL E'!F39</f>
        <v/>
      </c>
      <c r="G17" s="116">
        <f>'MILL E'!H39</f>
        <v>0</v>
      </c>
      <c r="H17" s="10">
        <f>'MILL E'!I39</f>
        <v>0</v>
      </c>
      <c r="I17" s="10">
        <f>'MILL E'!J39</f>
        <v>0</v>
      </c>
      <c r="J17" s="10">
        <f>'MILL E'!K39</f>
        <v>0</v>
      </c>
      <c r="K17" s="10">
        <f>'MILL E'!L39</f>
        <v>0</v>
      </c>
      <c r="L17" s="10">
        <f>'MILL E'!M39</f>
        <v>0</v>
      </c>
      <c r="M17" s="10">
        <f>'MILL E'!N39</f>
        <v>0</v>
      </c>
      <c r="N17" s="10">
        <f>'MILL E'!O39</f>
        <v>0</v>
      </c>
      <c r="O17" s="10">
        <f>'MILL E'!P39</f>
        <v>0</v>
      </c>
      <c r="P17" s="10">
        <f>'MILL E'!Q39</f>
        <v>0</v>
      </c>
      <c r="Q17" s="10">
        <f>'MILL E'!R39</f>
        <v>0</v>
      </c>
      <c r="R17" s="158"/>
      <c r="S17" s="158"/>
      <c r="T17" s="158"/>
      <c r="U17" s="158"/>
      <c r="V17" s="158"/>
      <c r="W17" s="158"/>
      <c r="X17" s="158"/>
      <c r="Y17" s="158"/>
      <c r="Z17" s="158"/>
      <c r="AA17" s="158"/>
      <c r="AB17" s="158"/>
      <c r="AC17" s="158"/>
    </row>
    <row r="18" spans="1:29" s="33" customFormat="1" hidden="1" outlineLevel="1" x14ac:dyDescent="0.35">
      <c r="A18" s="30">
        <f t="shared" si="0"/>
        <v>46303</v>
      </c>
      <c r="B18" s="68">
        <f t="shared" si="1"/>
        <v>46303</v>
      </c>
      <c r="C18" s="68">
        <f t="shared" si="2"/>
        <v>0</v>
      </c>
      <c r="D18" s="32" t="str">
        <f>'MILL E'!E40</f>
        <v>07:00</v>
      </c>
      <c r="E18" s="31" t="str">
        <f>E$17</f>
        <v>F3</v>
      </c>
      <c r="F18" s="7" t="str">
        <f>'MILL E'!F40</f>
        <v/>
      </c>
      <c r="G18" s="116">
        <f>'MILL E'!H40</f>
        <v>0</v>
      </c>
      <c r="H18" s="10">
        <f>'MILL E'!I40</f>
        <v>0</v>
      </c>
      <c r="I18" s="10">
        <f>'MILL E'!J40</f>
        <v>0</v>
      </c>
      <c r="J18" s="10">
        <f>'MILL E'!K40</f>
        <v>0</v>
      </c>
      <c r="K18" s="10">
        <f>'MILL E'!L40</f>
        <v>0</v>
      </c>
      <c r="L18" s="10">
        <f>'MILL E'!N40</f>
        <v>0</v>
      </c>
      <c r="M18" s="10">
        <f>'MILL E'!O40</f>
        <v>0</v>
      </c>
      <c r="N18" s="10">
        <f>'MILL E'!P40</f>
        <v>0</v>
      </c>
      <c r="O18" s="10" t="e">
        <f>'MILL E'!#REF!</f>
        <v>#REF!</v>
      </c>
      <c r="P18" s="10">
        <f>'MILL E'!Q40</f>
        <v>0</v>
      </c>
      <c r="Q18" s="10">
        <f>'MILL E'!R40</f>
        <v>0</v>
      </c>
      <c r="R18" s="158"/>
      <c r="S18" s="158"/>
      <c r="T18" s="158"/>
      <c r="U18" s="158"/>
      <c r="V18" s="158"/>
      <c r="W18" s="158"/>
      <c r="X18" s="158"/>
      <c r="Y18" s="158"/>
      <c r="Z18" s="158"/>
      <c r="AA18" s="158"/>
      <c r="AB18" s="158"/>
      <c r="AC18" s="158"/>
    </row>
    <row r="19" spans="1:29" s="33" customFormat="1" hidden="1" outlineLevel="1" x14ac:dyDescent="0.35">
      <c r="A19" s="30">
        <f t="shared" si="0"/>
        <v>46303</v>
      </c>
      <c r="B19" s="68">
        <f t="shared" si="1"/>
        <v>46303</v>
      </c>
      <c r="C19" s="68">
        <f t="shared" si="2"/>
        <v>0</v>
      </c>
      <c r="D19" s="32" t="str">
        <f>'MILL E'!E41</f>
        <v>08:00</v>
      </c>
      <c r="E19" s="31" t="str">
        <f t="shared" ref="E19:E24" si="7">E$17</f>
        <v>F3</v>
      </c>
      <c r="F19" s="7" t="str">
        <f>'MILL E'!F41</f>
        <v/>
      </c>
      <c r="G19" s="116">
        <f>'MILL E'!H41</f>
        <v>0</v>
      </c>
      <c r="H19" s="10">
        <f>'MILL E'!I41</f>
        <v>0</v>
      </c>
      <c r="I19" s="10">
        <f>'MILL E'!J41</f>
        <v>0</v>
      </c>
      <c r="J19" s="10">
        <f>'MILL E'!K41</f>
        <v>0</v>
      </c>
      <c r="K19" s="10">
        <f>'MILL E'!L41</f>
        <v>0</v>
      </c>
      <c r="L19" s="10">
        <f>'MILL E'!M41</f>
        <v>0</v>
      </c>
      <c r="M19" s="10">
        <f>'MILL E'!N41</f>
        <v>0</v>
      </c>
      <c r="N19" s="10">
        <f>'MILL E'!O41</f>
        <v>0</v>
      </c>
      <c r="O19" s="10">
        <f>'MILL E'!P41</f>
        <v>0</v>
      </c>
      <c r="P19" s="10">
        <f>'MILL E'!Q41</f>
        <v>0</v>
      </c>
      <c r="Q19" s="10">
        <f>'MILL E'!R41</f>
        <v>0</v>
      </c>
      <c r="R19" s="158"/>
      <c r="S19" s="158"/>
      <c r="T19" s="158"/>
      <c r="U19" s="158"/>
      <c r="V19" s="158"/>
      <c r="W19" s="158"/>
      <c r="X19" s="158"/>
      <c r="Y19" s="158"/>
      <c r="Z19" s="158"/>
      <c r="AA19" s="158"/>
      <c r="AB19" s="158"/>
      <c r="AC19" s="158"/>
    </row>
    <row r="20" spans="1:29" s="33" customFormat="1" hidden="1" outlineLevel="1" x14ac:dyDescent="0.35">
      <c r="A20" s="30">
        <f t="shared" si="0"/>
        <v>46303</v>
      </c>
      <c r="B20" s="68">
        <f t="shared" si="1"/>
        <v>46303</v>
      </c>
      <c r="C20" s="68">
        <f t="shared" si="2"/>
        <v>0</v>
      </c>
      <c r="D20" s="32" t="str">
        <f>'MILL E'!E42</f>
        <v>09:00</v>
      </c>
      <c r="E20" s="31" t="str">
        <f t="shared" si="7"/>
        <v>F3</v>
      </c>
      <c r="F20" s="7" t="str">
        <f>'MILL E'!F42</f>
        <v/>
      </c>
      <c r="G20" s="116">
        <f>'MILL E'!H42</f>
        <v>0</v>
      </c>
      <c r="H20" s="10">
        <f>'MILL E'!I42</f>
        <v>0</v>
      </c>
      <c r="I20" s="10">
        <f>'MILL E'!J42</f>
        <v>0</v>
      </c>
      <c r="J20" s="10">
        <f>'MILL E'!K42</f>
        <v>0</v>
      </c>
      <c r="K20" s="10">
        <f>'MILL E'!L42</f>
        <v>0</v>
      </c>
      <c r="L20" s="10">
        <f>'MILL E'!M42</f>
        <v>0</v>
      </c>
      <c r="M20" s="10">
        <f>'MILL E'!N42</f>
        <v>0</v>
      </c>
      <c r="N20" s="10">
        <f>'MILL E'!O42</f>
        <v>0</v>
      </c>
      <c r="O20" s="10">
        <f>'MILL E'!P42</f>
        <v>0</v>
      </c>
      <c r="P20" s="10">
        <f>'MILL E'!Q42</f>
        <v>0</v>
      </c>
      <c r="Q20" s="10">
        <f>'MILL E'!R42</f>
        <v>0</v>
      </c>
      <c r="R20" s="158"/>
      <c r="S20" s="158"/>
      <c r="T20" s="158"/>
      <c r="U20" s="158"/>
      <c r="V20" s="158"/>
      <c r="W20" s="158"/>
      <c r="X20" s="158"/>
      <c r="Y20" s="158"/>
      <c r="Z20" s="158"/>
      <c r="AA20" s="158"/>
      <c r="AB20" s="158"/>
      <c r="AC20" s="158"/>
    </row>
    <row r="21" spans="1:29" s="33" customFormat="1" hidden="1" outlineLevel="1" x14ac:dyDescent="0.35">
      <c r="A21" s="30">
        <f t="shared" si="0"/>
        <v>46303</v>
      </c>
      <c r="B21" s="68">
        <f t="shared" si="1"/>
        <v>46303</v>
      </c>
      <c r="C21" s="68">
        <f t="shared" si="2"/>
        <v>0</v>
      </c>
      <c r="D21" s="32" t="str">
        <f>'MILL E'!E43</f>
        <v>10:00</v>
      </c>
      <c r="E21" s="31" t="str">
        <f t="shared" si="7"/>
        <v>F3</v>
      </c>
      <c r="F21" s="7" t="str">
        <f>'MILL E'!F43</f>
        <v/>
      </c>
      <c r="G21" s="116">
        <f>'MILL E'!H43</f>
        <v>0</v>
      </c>
      <c r="H21" s="10">
        <f>'MILL E'!I43</f>
        <v>0</v>
      </c>
      <c r="I21" s="10">
        <f>'MILL E'!J43</f>
        <v>0</v>
      </c>
      <c r="J21" s="10">
        <f>'MILL E'!K43</f>
        <v>0</v>
      </c>
      <c r="K21" s="10">
        <f>'MILL E'!L43</f>
        <v>0</v>
      </c>
      <c r="L21" s="10">
        <f>'MILL E'!M43</f>
        <v>0</v>
      </c>
      <c r="M21" s="10">
        <f>'MILL E'!N43</f>
        <v>0</v>
      </c>
      <c r="N21" s="10">
        <f>'MILL E'!O43</f>
        <v>0</v>
      </c>
      <c r="O21" s="10">
        <f>'MILL E'!P43</f>
        <v>0</v>
      </c>
      <c r="P21" s="10">
        <f>'MILL E'!Q43</f>
        <v>0</v>
      </c>
      <c r="Q21" s="10">
        <f>'MILL E'!R43</f>
        <v>0</v>
      </c>
      <c r="R21" s="158"/>
      <c r="S21" s="158"/>
      <c r="T21" s="158"/>
      <c r="U21" s="158"/>
      <c r="V21" s="158"/>
      <c r="W21" s="158"/>
      <c r="X21" s="158"/>
      <c r="Y21" s="158"/>
      <c r="Z21" s="158"/>
      <c r="AA21" s="158"/>
      <c r="AB21" s="158"/>
      <c r="AC21" s="158"/>
    </row>
    <row r="22" spans="1:29" s="33" customFormat="1" hidden="1" outlineLevel="1" x14ac:dyDescent="0.35">
      <c r="A22" s="30">
        <f t="shared" si="0"/>
        <v>46303</v>
      </c>
      <c r="B22" s="68">
        <f t="shared" si="1"/>
        <v>46303</v>
      </c>
      <c r="C22" s="68">
        <f t="shared" si="2"/>
        <v>0</v>
      </c>
      <c r="D22" s="32" t="str">
        <f>'MILL E'!E44</f>
        <v>11:00</v>
      </c>
      <c r="E22" s="31" t="str">
        <f t="shared" si="7"/>
        <v>F3</v>
      </c>
      <c r="F22" s="7" t="str">
        <f>'MILL E'!F44</f>
        <v/>
      </c>
      <c r="G22" s="116">
        <f>'MILL E'!H44</f>
        <v>0</v>
      </c>
      <c r="H22" s="10">
        <f>'MILL E'!I44</f>
        <v>0</v>
      </c>
      <c r="I22" s="10">
        <f>'MILL E'!J44</f>
        <v>0</v>
      </c>
      <c r="J22" s="10">
        <f>'MILL E'!K44</f>
        <v>0</v>
      </c>
      <c r="K22" s="10">
        <f>'MILL E'!L44</f>
        <v>0</v>
      </c>
      <c r="L22" s="10">
        <f>'MILL E'!M44</f>
        <v>0</v>
      </c>
      <c r="M22" s="10">
        <f>'MILL E'!N44</f>
        <v>0</v>
      </c>
      <c r="N22" s="10">
        <f>'MILL E'!O44</f>
        <v>0</v>
      </c>
      <c r="O22" s="10">
        <f>'MILL E'!P44</f>
        <v>0</v>
      </c>
      <c r="P22" s="10">
        <f>'MILL E'!Q44</f>
        <v>0</v>
      </c>
      <c r="Q22" s="10">
        <f>'MILL E'!R44</f>
        <v>0</v>
      </c>
      <c r="R22" s="161">
        <f>R23/R24</f>
        <v>0.85685884691848901</v>
      </c>
      <c r="S22" s="161">
        <f t="shared" ref="S22:AA22" si="8">S23/S24</f>
        <v>0.98415841584158414</v>
      </c>
      <c r="T22" s="161">
        <f t="shared" si="8"/>
        <v>0.99405940594059405</v>
      </c>
      <c r="U22" s="161" t="e">
        <f t="shared" si="8"/>
        <v>#N/A</v>
      </c>
      <c r="V22" s="161" t="e">
        <f t="shared" si="8"/>
        <v>#N/A</v>
      </c>
      <c r="W22" s="161" t="e">
        <f t="shared" si="8"/>
        <v>#N/A</v>
      </c>
      <c r="X22" s="161" t="e">
        <f t="shared" si="8"/>
        <v>#N/A</v>
      </c>
      <c r="Y22" s="161" t="e">
        <f t="shared" si="8"/>
        <v>#N/A</v>
      </c>
      <c r="Z22" s="161" t="e">
        <f t="shared" si="8"/>
        <v>#N/A</v>
      </c>
      <c r="AA22" s="161" t="e">
        <f t="shared" si="8"/>
        <v>#N/A</v>
      </c>
      <c r="AB22" s="158"/>
      <c r="AC22" s="158"/>
    </row>
    <row r="23" spans="1:29" s="33" customFormat="1" hidden="1" outlineLevel="1" x14ac:dyDescent="0.35">
      <c r="A23" s="30">
        <f t="shared" si="0"/>
        <v>46303</v>
      </c>
      <c r="B23" s="68">
        <f t="shared" si="1"/>
        <v>46303</v>
      </c>
      <c r="C23" s="68">
        <f t="shared" si="2"/>
        <v>0</v>
      </c>
      <c r="D23" s="32" t="str">
        <f>'MILL E'!E45</f>
        <v>12:00</v>
      </c>
      <c r="E23" s="31" t="str">
        <f t="shared" si="7"/>
        <v>F3</v>
      </c>
      <c r="F23" s="7" t="str">
        <f>'MILL E'!F45</f>
        <v/>
      </c>
      <c r="G23" s="116">
        <f>'MILL E'!H45</f>
        <v>0</v>
      </c>
      <c r="H23" s="10">
        <f>'MILL E'!I45</f>
        <v>0</v>
      </c>
      <c r="I23" s="10">
        <f>'MILL E'!J45</f>
        <v>0</v>
      </c>
      <c r="J23" s="10">
        <f>'MILL E'!K45</f>
        <v>0</v>
      </c>
      <c r="K23" s="10">
        <f>'MILL E'!L45</f>
        <v>0</v>
      </c>
      <c r="L23" s="10">
        <f>'MILL E'!M45</f>
        <v>0</v>
      </c>
      <c r="M23" s="10">
        <f>'MILL E'!N45</f>
        <v>0</v>
      </c>
      <c r="N23" s="10">
        <f>'MILL E'!O45</f>
        <v>0</v>
      </c>
      <c r="O23" s="10">
        <f>'MILL E'!P45</f>
        <v>0</v>
      </c>
      <c r="P23" s="10">
        <f>'MILL E'!Q45</f>
        <v>0</v>
      </c>
      <c r="Q23" s="10">
        <f>'MILL E'!R45</f>
        <v>0</v>
      </c>
      <c r="R23" s="158">
        <f>SUM(Table36[[ QI Bran Content]])</f>
        <v>431</v>
      </c>
      <c r="S23" s="158">
        <f>SUM(Table36[QI Appearance])</f>
        <v>497</v>
      </c>
      <c r="T23" s="158">
        <f>SUM(Table36[QI Odor])</f>
        <v>502</v>
      </c>
      <c r="U23" s="158" t="e">
        <f>SUM(Table36[QI %MC])</f>
        <v>#N/A</v>
      </c>
      <c r="V23" s="158" t="e">
        <f>SUM(Table36[QI Prot])</f>
        <v>#N/A</v>
      </c>
      <c r="W23" s="158" t="e">
        <f>SUM(Table36[QI Ash])</f>
        <v>#N/A</v>
      </c>
      <c r="X23" s="158" t="e">
        <f>SUM(Table36[QI Abs])</f>
        <v>#N/A</v>
      </c>
      <c r="Y23" s="158" t="e">
        <f>SUM(Table36[QI Ext])</f>
        <v>#N/A</v>
      </c>
      <c r="Z23" s="158" t="e">
        <f>SUM(Table36[QI Res])</f>
        <v>#N/A</v>
      </c>
      <c r="AA23" s="158" t="e">
        <f>SUM(Table36[QI WG])</f>
        <v>#N/A</v>
      </c>
      <c r="AB23" s="158"/>
      <c r="AC23" s="158"/>
    </row>
    <row r="24" spans="1:29" s="33" customFormat="1" hidden="1" outlineLevel="1" x14ac:dyDescent="0.35">
      <c r="A24" s="30">
        <f t="shared" si="0"/>
        <v>46303</v>
      </c>
      <c r="B24" s="68">
        <f t="shared" si="1"/>
        <v>46303</v>
      </c>
      <c r="C24" s="68">
        <f t="shared" si="2"/>
        <v>0</v>
      </c>
      <c r="D24" s="32" t="str">
        <f>'MILL E'!E46</f>
        <v>13:00</v>
      </c>
      <c r="E24" s="31" t="str">
        <f t="shared" si="7"/>
        <v>F3</v>
      </c>
      <c r="F24" s="7" t="str">
        <f>'MILL E'!F46</f>
        <v/>
      </c>
      <c r="G24" s="116">
        <f>'MILL E'!H46</f>
        <v>0</v>
      </c>
      <c r="H24" s="10">
        <f>'MILL E'!I46</f>
        <v>0</v>
      </c>
      <c r="I24" s="10">
        <f>'MILL E'!J46</f>
        <v>0</v>
      </c>
      <c r="J24" s="10">
        <f>'MILL E'!K46</f>
        <v>0</v>
      </c>
      <c r="K24" s="10">
        <f>'MILL E'!L46</f>
        <v>0</v>
      </c>
      <c r="L24" s="10">
        <f>'MILL E'!M46</f>
        <v>0</v>
      </c>
      <c r="M24" s="10">
        <f>'MILL E'!N46</f>
        <v>0</v>
      </c>
      <c r="N24" s="10">
        <f>'MILL E'!O46</f>
        <v>0</v>
      </c>
      <c r="O24" s="10">
        <f>'MILL E'!P46</f>
        <v>0</v>
      </c>
      <c r="P24" s="10">
        <f>'MILL E'!Q46</f>
        <v>0</v>
      </c>
      <c r="Q24" s="10">
        <f>'MILL E'!R46</f>
        <v>0</v>
      </c>
      <c r="R24" s="158">
        <f>COUNT(Table36[[ QI Bran Content]])</f>
        <v>503</v>
      </c>
      <c r="S24" s="158">
        <f>COUNT(Table36[QI Appearance])</f>
        <v>505</v>
      </c>
      <c r="T24" s="158">
        <f>COUNT(Table36[QI Odor])</f>
        <v>505</v>
      </c>
      <c r="U24" s="158">
        <f>COUNT(Table36[QI %MC])</f>
        <v>464</v>
      </c>
      <c r="V24" s="158">
        <f>COUNT(Table36[QI Prot])</f>
        <v>256</v>
      </c>
      <c r="W24" s="158">
        <f>COUNT(Table36[QI Ash])</f>
        <v>245</v>
      </c>
      <c r="X24" s="158">
        <f>COUNT(Table36[QI Abs])</f>
        <v>241</v>
      </c>
      <c r="Y24" s="158">
        <f>COUNT(Table36[QI Ext])</f>
        <v>86</v>
      </c>
      <c r="Z24" s="158">
        <f>COUNT(Table36[QI Res])</f>
        <v>86</v>
      </c>
      <c r="AA24" s="158">
        <f>COUNT(Table36[QI WG])</f>
        <v>298</v>
      </c>
      <c r="AB24" s="158"/>
      <c r="AC24" s="158"/>
    </row>
    <row r="25" spans="1:29" s="24" customFormat="1" ht="46.5" collapsed="1" x14ac:dyDescent="0.35">
      <c r="A25" s="16" t="s">
        <v>219</v>
      </c>
      <c r="B25" s="69" t="s">
        <v>220</v>
      </c>
      <c r="C25" s="69" t="s">
        <v>122</v>
      </c>
      <c r="D25" s="29" t="s">
        <v>221</v>
      </c>
      <c r="E25" s="17" t="s">
        <v>222</v>
      </c>
      <c r="F25" s="4" t="s">
        <v>223</v>
      </c>
      <c r="G25" s="124" t="s">
        <v>210</v>
      </c>
      <c r="H25" s="122" t="s">
        <v>224</v>
      </c>
      <c r="I25" s="122" t="s">
        <v>212</v>
      </c>
      <c r="J25" s="5" t="s">
        <v>214</v>
      </c>
      <c r="K25" s="5" t="s">
        <v>209</v>
      </c>
      <c r="L25" s="5" t="s">
        <v>211</v>
      </c>
      <c r="M25" s="5" t="s">
        <v>217</v>
      </c>
      <c r="N25" s="5" t="s">
        <v>216</v>
      </c>
      <c r="O25" s="5" t="s">
        <v>215</v>
      </c>
      <c r="P25" s="122" t="s">
        <v>213</v>
      </c>
      <c r="Q25" s="122" t="s">
        <v>218</v>
      </c>
      <c r="R25" s="156" t="s">
        <v>225</v>
      </c>
      <c r="S25" s="157" t="s">
        <v>226</v>
      </c>
      <c r="T25" s="157" t="s">
        <v>227</v>
      </c>
      <c r="U25" s="157" t="s">
        <v>228</v>
      </c>
      <c r="V25" s="157" t="s">
        <v>229</v>
      </c>
      <c r="W25" s="157" t="s">
        <v>230</v>
      </c>
      <c r="X25" s="157" t="s">
        <v>231</v>
      </c>
      <c r="Y25" s="157" t="s">
        <v>232</v>
      </c>
      <c r="Z25" s="157" t="s">
        <v>233</v>
      </c>
      <c r="AA25" s="157" t="s">
        <v>234</v>
      </c>
      <c r="AB25" s="157" t="s">
        <v>235</v>
      </c>
      <c r="AC25" s="157" t="s">
        <v>236</v>
      </c>
    </row>
    <row r="26" spans="1:29" x14ac:dyDescent="0.35">
      <c r="A26" s="177">
        <v>45292</v>
      </c>
      <c r="B26" s="178">
        <v>45293</v>
      </c>
      <c r="C26" s="178" t="s">
        <v>125</v>
      </c>
      <c r="D26" s="179" t="s">
        <v>237</v>
      </c>
      <c r="E26" s="180" t="s">
        <v>0</v>
      </c>
      <c r="F26" s="181" t="s">
        <v>27</v>
      </c>
      <c r="G26" s="182">
        <v>7.1000000000000004E-3</v>
      </c>
      <c r="H26" s="175" t="s">
        <v>165</v>
      </c>
      <c r="I26" s="175" t="s">
        <v>165</v>
      </c>
      <c r="J26" s="175" t="s">
        <v>165</v>
      </c>
      <c r="K26" s="175">
        <v>13.04</v>
      </c>
      <c r="L26" s="175">
        <v>12.58</v>
      </c>
      <c r="M26" s="175">
        <v>0.65</v>
      </c>
      <c r="N26" s="175">
        <v>64</v>
      </c>
      <c r="O26" s="175" t="s">
        <v>163</v>
      </c>
      <c r="P26" s="175" t="s">
        <v>163</v>
      </c>
      <c r="Q26" s="175">
        <v>35.01</v>
      </c>
      <c r="R26" s="127">
        <f>IF(Table36[[#This Row],[ Bran Content]]="-","-",IF(G26&lt;0.02,1,0))</f>
        <v>1</v>
      </c>
      <c r="S26" s="127">
        <f>IF(Table36[[#This Row],[Sieve Test]]="-","-",IF(Table36[[#This Row],[Sieve Test]]="P",1,0))</f>
        <v>1</v>
      </c>
      <c r="T26" s="127">
        <f>IF(Table36[[#This Row],[Odor]]="-","-",IF(Table36[[#This Row],[Odor]]="P",1,0))</f>
        <v>1</v>
      </c>
      <c r="U26" s="127">
        <f>IF(INDEX(MCmin,MATCH(Table36[[#This Row],[Grist]],SMI,0))="-","-",IF(Table36[[#This Row],[F1 %MC]]="-","-",IF(Table36[[#This Row],[F1 %MC]]&lt;INDEX(MCmin,MATCH(Table36[[#This Row],[Grist]],SMI,0)),0,IF(Table36[[#This Row],[F1 %MC]]&gt;INDEX(MCmax,MATCH(Table36[[#This Row],[Grist]],SMI,0)),0,1))))</f>
        <v>1</v>
      </c>
      <c r="V26" s="127">
        <f>IF(INDEX(Protmin,MATCH(Table36[[#This Row],[Grist]],SMI,0))="-","-",IF(Table36[[#This Row],[%Protein]]="-","-",IF(Table36[[#This Row],[%Protein]]&lt;INDEX(Protmin,MATCH(Table36[[#This Row],[Grist]],SMI,0)),0,IF(Table36[[#This Row],[%Protein]]&gt;INDEX(Protmax,MATCH(Table36[[#This Row],[Grist]],SMI,0)),0,1))))</f>
        <v>1</v>
      </c>
      <c r="W26" s="127">
        <f>IF(INDEX(Ashmin,MATCH(Table36[[#This Row],[Grist]],SMI,0))="-","-",IF(Table36[[#This Row],[%Ash]]="-","-",IF(Table36[[#This Row],[%Ash]]&lt;INDEX(Ashmin,MATCH(Table36[[#This Row],[Grist]],SMI,0)),0,IF(Table36[[#This Row],[%Ash]]&gt;INDEX(Ashmax,MATCH(Table36[[#This Row],[Grist]],SMI,0)),0,1))))</f>
        <v>1</v>
      </c>
      <c r="X26" s="127">
        <f>IF(INDEX(Absmin,MATCH(Table36[[#This Row],[Grist]],SMI,0))="-","-",IF(Table36[[#This Row],[%Absorption]]="-","-",IF(Table36[[#This Row],[%Absorption]]&lt;INDEX(Absmin,MATCH(Table36[[#This Row],[Grist]],SMI,0)),0,IF(Table36[[#This Row],[%Absorption]]&gt;INDEX(Absmax,MATCH(Table36[[#This Row],[Grist]],SMI,0)),0,1))))</f>
        <v>1</v>
      </c>
      <c r="Y26" s="127" t="str">
        <f>IF(INDEX(Extmin,MATCH(Table36[[#This Row],[Grist]],SMI,0))="-","-",IF(Table36[[#This Row],[%Extensibility]]="-","-",IF(Table36[[#This Row],[%Extensibility]]&lt;INDEX(Extmin,MATCH(Table36[[#This Row],[Grist]],SMI,0)),0,IF(Table36[[#This Row],[%Extensibility]]&gt;INDEX(Extmax,MATCH(Table36[[#This Row],[Grist]],SMI,0)),0,1))))</f>
        <v>-</v>
      </c>
      <c r="Z26" s="127" t="str">
        <f>IF(INDEX(Resmin,MATCH(Table36[[#This Row],[Grist]],SMI,0))="-","-",IF(Table36[[#This Row],[Resistance, max]]="-","-",IF(Table36[[#This Row],[Resistance, max]]&lt;INDEX(Resmin,MATCH(Table36[[#This Row],[Grist]],SMI,0)),0,IF(Table36[[#This Row],[Resistance, max]]&gt;INDEX(Resmax,MATCH(Table36[[#This Row],[Grist]],SMI,0)),0,1))))</f>
        <v>-</v>
      </c>
      <c r="AA26" s="127">
        <f>IF(INDEX(WGmin,MATCH(Table36[[#This Row],[Grist]],SMI,0))="-","-",IF(Table36[[#This Row],[%Wet Gluten]]="-","-",IF(Table36[[#This Row],[%Wet Gluten]]&lt;INDEX(WGmin,MATCH(Table36[[#This Row],[Grist]],SMI,0)),0,IF(Table36[[#This Row],[%Wet Gluten]]&gt;INDEX(WGmax,MATCH(Table36[[#This Row],[Grist]],SMI,0)),0,1))))</f>
        <v>1</v>
      </c>
      <c r="AB26" s="127">
        <f>SUM(Table36[[#This Row],[ QI Bran Content]:[QI WG]])</f>
        <v>8</v>
      </c>
      <c r="AC26" s="127">
        <f>COUNT(Table36[[#This Row],[ QI Bran Content]:[QI WG]])</f>
        <v>8</v>
      </c>
    </row>
    <row r="27" spans="1:29" x14ac:dyDescent="0.35">
      <c r="A27" s="177">
        <v>45292</v>
      </c>
      <c r="B27" s="178">
        <v>45293</v>
      </c>
      <c r="C27" s="178" t="s">
        <v>128</v>
      </c>
      <c r="D27" s="179">
        <v>0.70833333333333337</v>
      </c>
      <c r="E27" s="180" t="s">
        <v>0</v>
      </c>
      <c r="F27" s="181" t="s">
        <v>27</v>
      </c>
      <c r="G27" s="182">
        <v>4.0000000000000001E-3</v>
      </c>
      <c r="H27" s="175" t="s">
        <v>165</v>
      </c>
      <c r="I27" s="175" t="s">
        <v>165</v>
      </c>
      <c r="J27" s="175" t="s">
        <v>165</v>
      </c>
      <c r="K27" s="175">
        <v>12.52</v>
      </c>
      <c r="L27" s="175">
        <v>9.6199999999999992</v>
      </c>
      <c r="M27" s="175">
        <v>0.65</v>
      </c>
      <c r="N27" s="175">
        <v>64</v>
      </c>
      <c r="O27" s="175">
        <v>21</v>
      </c>
      <c r="P27" s="175">
        <v>615</v>
      </c>
      <c r="Q27" s="175">
        <v>35.71</v>
      </c>
      <c r="R27" s="127">
        <f>IF(Table36[[#This Row],[ Bran Content]]="-","-",IF(G27&lt;0.02,1,0))</f>
        <v>1</v>
      </c>
      <c r="S27" s="127">
        <f>IF(Table36[[#This Row],[Sieve Test]]="-","-",IF(Table36[[#This Row],[Sieve Test]]="P",1,0))</f>
        <v>1</v>
      </c>
      <c r="T27" s="127">
        <f>IF(Table36[[#This Row],[Odor]]="-","-",IF(Table36[[#This Row],[Odor]]="P",1,0))</f>
        <v>1</v>
      </c>
      <c r="U27" s="127">
        <f>IF(INDEX(MCmin,MATCH(Table36[[#This Row],[Grist]],SMI,0))="-","-",IF(Table36[[#This Row],[F1 %MC]]="-","-",IF(Table36[[#This Row],[F1 %MC]]&lt;INDEX(MCmin,MATCH(Table36[[#This Row],[Grist]],SMI,0)),0,IF(Table36[[#This Row],[F1 %MC]]&gt;INDEX(MCmax,MATCH(Table36[[#This Row],[Grist]],SMI,0)),0,1))))</f>
        <v>1</v>
      </c>
      <c r="V27" s="127">
        <f>IF(INDEX(Protmin,MATCH(Table36[[#This Row],[Grist]],SMI,0))="-","-",IF(Table36[[#This Row],[%Protein]]="-","-",IF(Table36[[#This Row],[%Protein]]&lt;INDEX(Protmin,MATCH(Table36[[#This Row],[Grist]],SMI,0)),0,IF(Table36[[#This Row],[%Protein]]&gt;INDEX(Protmax,MATCH(Table36[[#This Row],[Grist]],SMI,0)),0,1))))</f>
        <v>0</v>
      </c>
      <c r="W27" s="127">
        <f>IF(INDEX(Ashmin,MATCH(Table36[[#This Row],[Grist]],SMI,0))="-","-",IF(Table36[[#This Row],[%Ash]]="-","-",IF(Table36[[#This Row],[%Ash]]&lt;INDEX(Ashmin,MATCH(Table36[[#This Row],[Grist]],SMI,0)),0,IF(Table36[[#This Row],[%Ash]]&gt;INDEX(Ashmax,MATCH(Table36[[#This Row],[Grist]],SMI,0)),0,1))))</f>
        <v>1</v>
      </c>
      <c r="X27" s="127">
        <f>IF(INDEX(Absmin,MATCH(Table36[[#This Row],[Grist]],SMI,0))="-","-",IF(Table36[[#This Row],[%Absorption]]="-","-",IF(Table36[[#This Row],[%Absorption]]&lt;INDEX(Absmin,MATCH(Table36[[#This Row],[Grist]],SMI,0)),0,IF(Table36[[#This Row],[%Absorption]]&gt;INDEX(Absmax,MATCH(Table36[[#This Row],[Grist]],SMI,0)),0,1))))</f>
        <v>1</v>
      </c>
      <c r="Y27" s="127">
        <f>IF(INDEX(Extmin,MATCH(Table36[[#This Row],[Grist]],SMI,0))="-","-",IF(Table36[[#This Row],[%Extensibility]]="-","-",IF(Table36[[#This Row],[%Extensibility]]&lt;INDEX(Extmin,MATCH(Table36[[#This Row],[Grist]],SMI,0)),0,IF(Table36[[#This Row],[%Extensibility]]&gt;INDEX(Extmax,MATCH(Table36[[#This Row],[Grist]],SMI,0)),0,1))))</f>
        <v>1</v>
      </c>
      <c r="Z27" s="127">
        <f>IF(INDEX(Resmin,MATCH(Table36[[#This Row],[Grist]],SMI,0))="-","-",IF(Table36[[#This Row],[Resistance, max]]="-","-",IF(Table36[[#This Row],[Resistance, max]]&lt;INDEX(Resmin,MATCH(Table36[[#This Row],[Grist]],SMI,0)),0,IF(Table36[[#This Row],[Resistance, max]]&gt;INDEX(Resmax,MATCH(Table36[[#This Row],[Grist]],SMI,0)),0,1))))</f>
        <v>1</v>
      </c>
      <c r="AA27" s="127">
        <f>IF(INDEX(WGmin,MATCH(Table36[[#This Row],[Grist]],SMI,0))="-","-",IF(Table36[[#This Row],[%Wet Gluten]]="-","-",IF(Table36[[#This Row],[%Wet Gluten]]&lt;INDEX(WGmin,MATCH(Table36[[#This Row],[Grist]],SMI,0)),0,IF(Table36[[#This Row],[%Wet Gluten]]&gt;INDEX(WGmax,MATCH(Table36[[#This Row],[Grist]],SMI,0)),0,1))))</f>
        <v>1</v>
      </c>
      <c r="AB27" s="127">
        <f>SUM(Table36[[#This Row],[ QI Bran Content]:[QI WG]])</f>
        <v>9</v>
      </c>
      <c r="AC27" s="127">
        <f>COUNT(Table36[[#This Row],[ QI Bran Content]:[QI WG]])</f>
        <v>10</v>
      </c>
    </row>
    <row r="28" spans="1:29" x14ac:dyDescent="0.35">
      <c r="A28" s="177">
        <v>45292</v>
      </c>
      <c r="B28" s="178">
        <v>45293</v>
      </c>
      <c r="C28" s="178" t="s">
        <v>128</v>
      </c>
      <c r="D28" s="179">
        <v>0.79166666666666596</v>
      </c>
      <c r="E28" s="180" t="s">
        <v>0</v>
      </c>
      <c r="F28" s="181" t="s">
        <v>27</v>
      </c>
      <c r="G28" s="182">
        <v>1.0500000000000001E-2</v>
      </c>
      <c r="H28" s="175" t="s">
        <v>165</v>
      </c>
      <c r="I28" s="175" t="s">
        <v>165</v>
      </c>
      <c r="J28" s="175" t="s">
        <v>165</v>
      </c>
      <c r="K28" s="175">
        <v>13</v>
      </c>
      <c r="L28" s="175" t="s">
        <v>163</v>
      </c>
      <c r="M28" s="175" t="s">
        <v>163</v>
      </c>
      <c r="N28" s="175" t="s">
        <v>163</v>
      </c>
      <c r="O28" s="175" t="s">
        <v>163</v>
      </c>
      <c r="P28" s="175" t="s">
        <v>163</v>
      </c>
      <c r="Q28" s="175" t="s">
        <v>163</v>
      </c>
      <c r="R28" s="127">
        <f>IF(Table36[[#This Row],[ Bran Content]]="-","-",IF(G28&lt;0.02,1,0))</f>
        <v>1</v>
      </c>
      <c r="S28" s="127">
        <f>IF(Table36[[#This Row],[Sieve Test]]="-","-",IF(Table36[[#This Row],[Sieve Test]]="P",1,0))</f>
        <v>1</v>
      </c>
      <c r="T28" s="127">
        <f>IF(Table36[[#This Row],[Odor]]="-","-",IF(Table36[[#This Row],[Odor]]="P",1,0))</f>
        <v>1</v>
      </c>
      <c r="U28" s="127">
        <f>IF(INDEX(MCmin,MATCH(Table36[[#This Row],[Grist]],SMI,0))="-","-",IF(Table36[[#This Row],[F1 %MC]]="-","-",IF(Table36[[#This Row],[F1 %MC]]&lt;INDEX(MCmin,MATCH(Table36[[#This Row],[Grist]],SMI,0)),0,IF(Table36[[#This Row],[F1 %MC]]&gt;INDEX(MCmax,MATCH(Table36[[#This Row],[Grist]],SMI,0)),0,1))))</f>
        <v>1</v>
      </c>
      <c r="V28" s="127" t="str">
        <f>IF(INDEX(Protmin,MATCH(Table36[[#This Row],[Grist]],SMI,0))="-","-",IF(Table36[[#This Row],[%Protein]]="-","-",IF(Table36[[#This Row],[%Protein]]&lt;INDEX(Protmin,MATCH(Table36[[#This Row],[Grist]],SMI,0)),0,IF(Table36[[#This Row],[%Protein]]&gt;INDEX(Protmax,MATCH(Table36[[#This Row],[Grist]],SMI,0)),0,1))))</f>
        <v>-</v>
      </c>
      <c r="W28" s="127" t="str">
        <f>IF(INDEX(Ashmin,MATCH(Table36[[#This Row],[Grist]],SMI,0))="-","-",IF(Table36[[#This Row],[%Ash]]="-","-",IF(Table36[[#This Row],[%Ash]]&lt;INDEX(Ashmin,MATCH(Table36[[#This Row],[Grist]],SMI,0)),0,IF(Table36[[#This Row],[%Ash]]&gt;INDEX(Ashmax,MATCH(Table36[[#This Row],[Grist]],SMI,0)),0,1))))</f>
        <v>-</v>
      </c>
      <c r="X28" s="127" t="str">
        <f>IF(INDEX(Absmin,MATCH(Table36[[#This Row],[Grist]],SMI,0))="-","-",IF(Table36[[#This Row],[%Absorption]]="-","-",IF(Table36[[#This Row],[%Absorption]]&lt;INDEX(Absmin,MATCH(Table36[[#This Row],[Grist]],SMI,0)),0,IF(Table36[[#This Row],[%Absorption]]&gt;INDEX(Absmax,MATCH(Table36[[#This Row],[Grist]],SMI,0)),0,1))))</f>
        <v>-</v>
      </c>
      <c r="Y28" s="127" t="str">
        <f>IF(INDEX(Extmin,MATCH(Table36[[#This Row],[Grist]],SMI,0))="-","-",IF(Table36[[#This Row],[%Extensibility]]="-","-",IF(Table36[[#This Row],[%Extensibility]]&lt;INDEX(Extmin,MATCH(Table36[[#This Row],[Grist]],SMI,0)),0,IF(Table36[[#This Row],[%Extensibility]]&gt;INDEX(Extmax,MATCH(Table36[[#This Row],[Grist]],SMI,0)),0,1))))</f>
        <v>-</v>
      </c>
      <c r="Z28" s="127" t="str">
        <f>IF(INDEX(Resmin,MATCH(Table36[[#This Row],[Grist]],SMI,0))="-","-",IF(Table36[[#This Row],[Resistance, max]]="-","-",IF(Table36[[#This Row],[Resistance, max]]&lt;INDEX(Resmin,MATCH(Table36[[#This Row],[Grist]],SMI,0)),0,IF(Table36[[#This Row],[Resistance, max]]&gt;INDEX(Resmax,MATCH(Table36[[#This Row],[Grist]],SMI,0)),0,1))))</f>
        <v>-</v>
      </c>
      <c r="AA28" s="127" t="str">
        <f>IF(INDEX(WGmin,MATCH(Table36[[#This Row],[Grist]],SMI,0))="-","-",IF(Table36[[#This Row],[%Wet Gluten]]="-","-",IF(Table36[[#This Row],[%Wet Gluten]]&lt;INDEX(WGmin,MATCH(Table36[[#This Row],[Grist]],SMI,0)),0,IF(Table36[[#This Row],[%Wet Gluten]]&gt;INDEX(WGmax,MATCH(Table36[[#This Row],[Grist]],SMI,0)),0,1))))</f>
        <v>-</v>
      </c>
      <c r="AB28" s="127">
        <f>SUM(Table36[[#This Row],[ QI Bran Content]:[QI WG]])</f>
        <v>4</v>
      </c>
      <c r="AC28" s="127">
        <f>COUNT(Table36[[#This Row],[ QI Bran Content]:[QI WG]])</f>
        <v>4</v>
      </c>
    </row>
    <row r="29" spans="1:29" x14ac:dyDescent="0.35">
      <c r="A29" s="177">
        <v>45292</v>
      </c>
      <c r="B29" s="178">
        <v>45293</v>
      </c>
      <c r="C29" s="178" t="s">
        <v>128</v>
      </c>
      <c r="D29" s="179">
        <v>0.874999999999999</v>
      </c>
      <c r="E29" s="180" t="s">
        <v>0</v>
      </c>
      <c r="F29" s="181" t="s">
        <v>27</v>
      </c>
      <c r="G29" s="182">
        <v>8.3000000000000001E-3</v>
      </c>
      <c r="H29" s="175" t="s">
        <v>165</v>
      </c>
      <c r="I29" s="175" t="s">
        <v>165</v>
      </c>
      <c r="J29" s="175" t="s">
        <v>165</v>
      </c>
      <c r="K29" s="175">
        <v>12.7</v>
      </c>
      <c r="L29" s="175" t="s">
        <v>163</v>
      </c>
      <c r="M29" s="175" t="s">
        <v>163</v>
      </c>
      <c r="N29" s="175" t="s">
        <v>163</v>
      </c>
      <c r="O29" s="175" t="s">
        <v>163</v>
      </c>
      <c r="P29" s="175" t="s">
        <v>163</v>
      </c>
      <c r="Q29" s="175" t="s">
        <v>163</v>
      </c>
      <c r="R29" s="127">
        <f>IF(Table36[[#This Row],[ Bran Content]]="-","-",IF(G29&lt;0.02,1,0))</f>
        <v>1</v>
      </c>
      <c r="S29" s="127">
        <f>IF(Table36[[#This Row],[Sieve Test]]="-","-",IF(Table36[[#This Row],[Sieve Test]]="P",1,0))</f>
        <v>1</v>
      </c>
      <c r="T29" s="127">
        <f>IF(Table36[[#This Row],[Odor]]="-","-",IF(Table36[[#This Row],[Odor]]="P",1,0))</f>
        <v>1</v>
      </c>
      <c r="U29" s="127">
        <f>IF(INDEX(MCmin,MATCH(Table36[[#This Row],[Grist]],SMI,0))="-","-",IF(Table36[[#This Row],[F1 %MC]]="-","-",IF(Table36[[#This Row],[F1 %MC]]&lt;INDEX(MCmin,MATCH(Table36[[#This Row],[Grist]],SMI,0)),0,IF(Table36[[#This Row],[F1 %MC]]&gt;INDEX(MCmax,MATCH(Table36[[#This Row],[Grist]],SMI,0)),0,1))))</f>
        <v>1</v>
      </c>
      <c r="V29" s="127" t="str">
        <f>IF(INDEX(Protmin,MATCH(Table36[[#This Row],[Grist]],SMI,0))="-","-",IF(Table36[[#This Row],[%Protein]]="-","-",IF(Table36[[#This Row],[%Protein]]&lt;INDEX(Protmin,MATCH(Table36[[#This Row],[Grist]],SMI,0)),0,IF(Table36[[#This Row],[%Protein]]&gt;INDEX(Protmax,MATCH(Table36[[#This Row],[Grist]],SMI,0)),0,1))))</f>
        <v>-</v>
      </c>
      <c r="W29" s="127" t="str">
        <f>IF(INDEX(Ashmin,MATCH(Table36[[#This Row],[Grist]],SMI,0))="-","-",IF(Table36[[#This Row],[%Ash]]="-","-",IF(Table36[[#This Row],[%Ash]]&lt;INDEX(Ashmin,MATCH(Table36[[#This Row],[Grist]],SMI,0)),0,IF(Table36[[#This Row],[%Ash]]&gt;INDEX(Ashmax,MATCH(Table36[[#This Row],[Grist]],SMI,0)),0,1))))</f>
        <v>-</v>
      </c>
      <c r="X29" s="127" t="str">
        <f>IF(INDEX(Absmin,MATCH(Table36[[#This Row],[Grist]],SMI,0))="-","-",IF(Table36[[#This Row],[%Absorption]]="-","-",IF(Table36[[#This Row],[%Absorption]]&lt;INDEX(Absmin,MATCH(Table36[[#This Row],[Grist]],SMI,0)),0,IF(Table36[[#This Row],[%Absorption]]&gt;INDEX(Absmax,MATCH(Table36[[#This Row],[Grist]],SMI,0)),0,1))))</f>
        <v>-</v>
      </c>
      <c r="Y29" s="127" t="str">
        <f>IF(INDEX(Extmin,MATCH(Table36[[#This Row],[Grist]],SMI,0))="-","-",IF(Table36[[#This Row],[%Extensibility]]="-","-",IF(Table36[[#This Row],[%Extensibility]]&lt;INDEX(Extmin,MATCH(Table36[[#This Row],[Grist]],SMI,0)),0,IF(Table36[[#This Row],[%Extensibility]]&gt;INDEX(Extmax,MATCH(Table36[[#This Row],[Grist]],SMI,0)),0,1))))</f>
        <v>-</v>
      </c>
      <c r="Z29" s="127" t="str">
        <f>IF(INDEX(Resmin,MATCH(Table36[[#This Row],[Grist]],SMI,0))="-","-",IF(Table36[[#This Row],[Resistance, max]]="-","-",IF(Table36[[#This Row],[Resistance, max]]&lt;INDEX(Resmin,MATCH(Table36[[#This Row],[Grist]],SMI,0)),0,IF(Table36[[#This Row],[Resistance, max]]&gt;INDEX(Resmax,MATCH(Table36[[#This Row],[Grist]],SMI,0)),0,1))))</f>
        <v>-</v>
      </c>
      <c r="AA29" s="127" t="str">
        <f>IF(INDEX(WGmin,MATCH(Table36[[#This Row],[Grist]],SMI,0))="-","-",IF(Table36[[#This Row],[%Wet Gluten]]="-","-",IF(Table36[[#This Row],[%Wet Gluten]]&lt;INDEX(WGmin,MATCH(Table36[[#This Row],[Grist]],SMI,0)),0,IF(Table36[[#This Row],[%Wet Gluten]]&gt;INDEX(WGmax,MATCH(Table36[[#This Row],[Grist]],SMI,0)),0,1))))</f>
        <v>-</v>
      </c>
      <c r="AB29" s="127">
        <f>SUM(Table36[[#This Row],[ QI Bran Content]:[QI WG]])</f>
        <v>4</v>
      </c>
      <c r="AC29" s="127">
        <f>COUNT(Table36[[#This Row],[ QI Bran Content]:[QI WG]])</f>
        <v>4</v>
      </c>
    </row>
    <row r="30" spans="1:29" x14ac:dyDescent="0.35">
      <c r="A30" s="177">
        <v>45292</v>
      </c>
      <c r="B30" s="178">
        <v>45294</v>
      </c>
      <c r="C30" s="178" t="s">
        <v>125</v>
      </c>
      <c r="D30" s="179" t="s">
        <v>238</v>
      </c>
      <c r="E30" s="180" t="s">
        <v>0</v>
      </c>
      <c r="F30" s="181" t="s">
        <v>27</v>
      </c>
      <c r="G30" s="182">
        <v>9.1000000000000004E-3</v>
      </c>
      <c r="H30" s="175" t="s">
        <v>165</v>
      </c>
      <c r="I30" s="175" t="s">
        <v>165</v>
      </c>
      <c r="J30" s="175" t="s">
        <v>165</v>
      </c>
      <c r="K30" s="175">
        <v>12.75</v>
      </c>
      <c r="L30" s="175" t="s">
        <v>163</v>
      </c>
      <c r="M30" s="175" t="s">
        <v>163</v>
      </c>
      <c r="N30" s="175" t="s">
        <v>163</v>
      </c>
      <c r="O30" s="175" t="s">
        <v>163</v>
      </c>
      <c r="P30" s="175" t="s">
        <v>163</v>
      </c>
      <c r="Q30" s="175" t="s">
        <v>163</v>
      </c>
      <c r="R30" s="127">
        <f>IF(Table36[[#This Row],[ Bran Content]]="-","-",IF(G30&lt;0.02,1,0))</f>
        <v>1</v>
      </c>
      <c r="S30" s="127">
        <f>IF(Table36[[#This Row],[Sieve Test]]="-","-",IF(Table36[[#This Row],[Sieve Test]]="P",1,0))</f>
        <v>1</v>
      </c>
      <c r="T30" s="127">
        <f>IF(Table36[[#This Row],[Odor]]="-","-",IF(Table36[[#This Row],[Odor]]="P",1,0))</f>
        <v>1</v>
      </c>
      <c r="U30" s="127">
        <f>IF(INDEX(MCmin,MATCH(Table36[[#This Row],[Grist]],SMI,0))="-","-",IF(Table36[[#This Row],[F1 %MC]]="-","-",IF(Table36[[#This Row],[F1 %MC]]&lt;INDEX(MCmin,MATCH(Table36[[#This Row],[Grist]],SMI,0)),0,IF(Table36[[#This Row],[F1 %MC]]&gt;INDEX(MCmax,MATCH(Table36[[#This Row],[Grist]],SMI,0)),0,1))))</f>
        <v>1</v>
      </c>
      <c r="V30" s="127" t="str">
        <f>IF(INDEX(Protmin,MATCH(Table36[[#This Row],[Grist]],SMI,0))="-","-",IF(Table36[[#This Row],[%Protein]]="-","-",IF(Table36[[#This Row],[%Protein]]&lt;INDEX(Protmin,MATCH(Table36[[#This Row],[Grist]],SMI,0)),0,IF(Table36[[#This Row],[%Protein]]&gt;INDEX(Protmax,MATCH(Table36[[#This Row],[Grist]],SMI,0)),0,1))))</f>
        <v>-</v>
      </c>
      <c r="W30" s="127" t="str">
        <f>IF(INDEX(Ashmin,MATCH(Table36[[#This Row],[Grist]],SMI,0))="-","-",IF(Table36[[#This Row],[%Ash]]="-","-",IF(Table36[[#This Row],[%Ash]]&lt;INDEX(Ashmin,MATCH(Table36[[#This Row],[Grist]],SMI,0)),0,IF(Table36[[#This Row],[%Ash]]&gt;INDEX(Ashmax,MATCH(Table36[[#This Row],[Grist]],SMI,0)),0,1))))</f>
        <v>-</v>
      </c>
      <c r="X30" s="127" t="str">
        <f>IF(INDEX(Absmin,MATCH(Table36[[#This Row],[Grist]],SMI,0))="-","-",IF(Table36[[#This Row],[%Absorption]]="-","-",IF(Table36[[#This Row],[%Absorption]]&lt;INDEX(Absmin,MATCH(Table36[[#This Row],[Grist]],SMI,0)),0,IF(Table36[[#This Row],[%Absorption]]&gt;INDEX(Absmax,MATCH(Table36[[#This Row],[Grist]],SMI,0)),0,1))))</f>
        <v>-</v>
      </c>
      <c r="Y30" s="127" t="str">
        <f>IF(INDEX(Extmin,MATCH(Table36[[#This Row],[Grist]],SMI,0))="-","-",IF(Table36[[#This Row],[%Extensibility]]="-","-",IF(Table36[[#This Row],[%Extensibility]]&lt;INDEX(Extmin,MATCH(Table36[[#This Row],[Grist]],SMI,0)),0,IF(Table36[[#This Row],[%Extensibility]]&gt;INDEX(Extmax,MATCH(Table36[[#This Row],[Grist]],SMI,0)),0,1))))</f>
        <v>-</v>
      </c>
      <c r="Z30" s="127" t="str">
        <f>IF(INDEX(Resmin,MATCH(Table36[[#This Row],[Grist]],SMI,0))="-","-",IF(Table36[[#This Row],[Resistance, max]]="-","-",IF(Table36[[#This Row],[Resistance, max]]&lt;INDEX(Resmin,MATCH(Table36[[#This Row],[Grist]],SMI,0)),0,IF(Table36[[#This Row],[Resistance, max]]&gt;INDEX(Resmax,MATCH(Table36[[#This Row],[Grist]],SMI,0)),0,1))))</f>
        <v>-</v>
      </c>
      <c r="AA30" s="127" t="str">
        <f>IF(INDEX(WGmin,MATCH(Table36[[#This Row],[Grist]],SMI,0))="-","-",IF(Table36[[#This Row],[%Wet Gluten]]="-","-",IF(Table36[[#This Row],[%Wet Gluten]]&lt;INDEX(WGmin,MATCH(Table36[[#This Row],[Grist]],SMI,0)),0,IF(Table36[[#This Row],[%Wet Gluten]]&gt;INDEX(WGmax,MATCH(Table36[[#This Row],[Grist]],SMI,0)),0,1))))</f>
        <v>-</v>
      </c>
      <c r="AB30" s="127">
        <f>SUM(Table36[[#This Row],[ QI Bran Content]:[QI WG]])</f>
        <v>4</v>
      </c>
      <c r="AC30" s="127">
        <f>COUNT(Table36[[#This Row],[ QI Bran Content]:[QI WG]])</f>
        <v>4</v>
      </c>
    </row>
    <row r="31" spans="1:29" x14ac:dyDescent="0.35">
      <c r="A31" s="177">
        <v>45292</v>
      </c>
      <c r="B31" s="178">
        <v>45294</v>
      </c>
      <c r="C31" s="178" t="s">
        <v>128</v>
      </c>
      <c r="D31" s="179">
        <v>0.79166666666666596</v>
      </c>
      <c r="E31" s="180" t="s">
        <v>0</v>
      </c>
      <c r="F31" s="181" t="s">
        <v>27</v>
      </c>
      <c r="G31" s="182">
        <v>1.29E-2</v>
      </c>
      <c r="H31" s="175" t="s">
        <v>165</v>
      </c>
      <c r="I31" s="175" t="s">
        <v>165</v>
      </c>
      <c r="J31" s="175" t="s">
        <v>165</v>
      </c>
      <c r="K31" s="175">
        <v>12.9</v>
      </c>
      <c r="L31" s="175">
        <v>12.61</v>
      </c>
      <c r="M31" s="175">
        <v>0.65</v>
      </c>
      <c r="N31" s="175">
        <v>64.2</v>
      </c>
      <c r="O31" s="175">
        <v>21</v>
      </c>
      <c r="P31" s="175">
        <v>615</v>
      </c>
      <c r="Q31" s="175">
        <v>35.159999999999997</v>
      </c>
      <c r="R31" s="127">
        <f>IF(Table36[[#This Row],[ Bran Content]]="-","-",IF(G31&lt;0.02,1,0))</f>
        <v>1</v>
      </c>
      <c r="S31" s="127">
        <f>IF(Table36[[#This Row],[Sieve Test]]="-","-",IF(Table36[[#This Row],[Sieve Test]]="P",1,0))</f>
        <v>1</v>
      </c>
      <c r="T31" s="127">
        <f>IF(Table36[[#This Row],[Odor]]="-","-",IF(Table36[[#This Row],[Odor]]="P",1,0))</f>
        <v>1</v>
      </c>
      <c r="U31" s="127">
        <f>IF(INDEX(MCmin,MATCH(Table36[[#This Row],[Grist]],SMI,0))="-","-",IF(Table36[[#This Row],[F1 %MC]]="-","-",IF(Table36[[#This Row],[F1 %MC]]&lt;INDEX(MCmin,MATCH(Table36[[#This Row],[Grist]],SMI,0)),0,IF(Table36[[#This Row],[F1 %MC]]&gt;INDEX(MCmax,MATCH(Table36[[#This Row],[Grist]],SMI,0)),0,1))))</f>
        <v>1</v>
      </c>
      <c r="V31" s="127">
        <f>IF(INDEX(Protmin,MATCH(Table36[[#This Row],[Grist]],SMI,0))="-","-",IF(Table36[[#This Row],[%Protein]]="-","-",IF(Table36[[#This Row],[%Protein]]&lt;INDEX(Protmin,MATCH(Table36[[#This Row],[Grist]],SMI,0)),0,IF(Table36[[#This Row],[%Protein]]&gt;INDEX(Protmax,MATCH(Table36[[#This Row],[Grist]],SMI,0)),0,1))))</f>
        <v>1</v>
      </c>
      <c r="W31" s="127">
        <f>IF(INDEX(Ashmin,MATCH(Table36[[#This Row],[Grist]],SMI,0))="-","-",IF(Table36[[#This Row],[%Ash]]="-","-",IF(Table36[[#This Row],[%Ash]]&lt;INDEX(Ashmin,MATCH(Table36[[#This Row],[Grist]],SMI,0)),0,IF(Table36[[#This Row],[%Ash]]&gt;INDEX(Ashmax,MATCH(Table36[[#This Row],[Grist]],SMI,0)),0,1))))</f>
        <v>1</v>
      </c>
      <c r="X31" s="127">
        <f>IF(INDEX(Absmin,MATCH(Table36[[#This Row],[Grist]],SMI,0))="-","-",IF(Table36[[#This Row],[%Absorption]]="-","-",IF(Table36[[#This Row],[%Absorption]]&lt;INDEX(Absmin,MATCH(Table36[[#This Row],[Grist]],SMI,0)),0,IF(Table36[[#This Row],[%Absorption]]&gt;INDEX(Absmax,MATCH(Table36[[#This Row],[Grist]],SMI,0)),0,1))))</f>
        <v>1</v>
      </c>
      <c r="Y31" s="127">
        <f>IF(INDEX(Extmin,MATCH(Table36[[#This Row],[Grist]],SMI,0))="-","-",IF(Table36[[#This Row],[%Extensibility]]="-","-",IF(Table36[[#This Row],[%Extensibility]]&lt;INDEX(Extmin,MATCH(Table36[[#This Row],[Grist]],SMI,0)),0,IF(Table36[[#This Row],[%Extensibility]]&gt;INDEX(Extmax,MATCH(Table36[[#This Row],[Grist]],SMI,0)),0,1))))</f>
        <v>1</v>
      </c>
      <c r="Z31" s="127">
        <f>IF(INDEX(Resmin,MATCH(Table36[[#This Row],[Grist]],SMI,0))="-","-",IF(Table36[[#This Row],[Resistance, max]]="-","-",IF(Table36[[#This Row],[Resistance, max]]&lt;INDEX(Resmin,MATCH(Table36[[#This Row],[Grist]],SMI,0)),0,IF(Table36[[#This Row],[Resistance, max]]&gt;INDEX(Resmax,MATCH(Table36[[#This Row],[Grist]],SMI,0)),0,1))))</f>
        <v>1</v>
      </c>
      <c r="AA31" s="127">
        <f>IF(INDEX(WGmin,MATCH(Table36[[#This Row],[Grist]],SMI,0))="-","-",IF(Table36[[#This Row],[%Wet Gluten]]="-","-",IF(Table36[[#This Row],[%Wet Gluten]]&lt;INDEX(WGmin,MATCH(Table36[[#This Row],[Grist]],SMI,0)),0,IF(Table36[[#This Row],[%Wet Gluten]]&gt;INDEX(WGmax,MATCH(Table36[[#This Row],[Grist]],SMI,0)),0,1))))</f>
        <v>1</v>
      </c>
      <c r="AB31" s="127">
        <f>SUM(Table36[[#This Row],[ QI Bran Content]:[QI WG]])</f>
        <v>10</v>
      </c>
      <c r="AC31" s="127">
        <f>COUNT(Table36[[#This Row],[ QI Bran Content]:[QI WG]])</f>
        <v>10</v>
      </c>
    </row>
    <row r="32" spans="1:29" x14ac:dyDescent="0.35">
      <c r="A32" s="177">
        <v>45292</v>
      </c>
      <c r="B32" s="178">
        <v>45294</v>
      </c>
      <c r="C32" s="178" t="s">
        <v>128</v>
      </c>
      <c r="D32" s="179">
        <v>0.874999999999999</v>
      </c>
      <c r="E32" s="180" t="s">
        <v>0</v>
      </c>
      <c r="F32" s="181" t="s">
        <v>27</v>
      </c>
      <c r="G32" s="182">
        <v>9.2999999999999992E-3</v>
      </c>
      <c r="H32" s="175" t="s">
        <v>163</v>
      </c>
      <c r="I32" s="175" t="s">
        <v>163</v>
      </c>
      <c r="J32" s="175" t="s">
        <v>163</v>
      </c>
      <c r="K32" s="175">
        <v>12.7</v>
      </c>
      <c r="L32" s="175" t="s">
        <v>163</v>
      </c>
      <c r="M32" s="175" t="s">
        <v>163</v>
      </c>
      <c r="N32" s="175" t="s">
        <v>163</v>
      </c>
      <c r="O32" s="175" t="s">
        <v>163</v>
      </c>
      <c r="P32" s="175" t="s">
        <v>163</v>
      </c>
      <c r="Q32" s="175" t="s">
        <v>163</v>
      </c>
      <c r="R32" s="127">
        <f>IF(Table36[[#This Row],[ Bran Content]]="-","-",IF(G32&lt;0.02,1,0))</f>
        <v>1</v>
      </c>
      <c r="S32" s="127" t="str">
        <f>IF(Table36[[#This Row],[Sieve Test]]="-","-",IF(Table36[[#This Row],[Sieve Test]]="P",1,0))</f>
        <v>-</v>
      </c>
      <c r="T32" s="127" t="str">
        <f>IF(Table36[[#This Row],[Odor]]="-","-",IF(Table36[[#This Row],[Odor]]="P",1,0))</f>
        <v>-</v>
      </c>
      <c r="U32" s="127">
        <f>IF(INDEX(MCmin,MATCH(Table36[[#This Row],[Grist]],SMI,0))="-","-",IF(Table36[[#This Row],[F1 %MC]]="-","-",IF(Table36[[#This Row],[F1 %MC]]&lt;INDEX(MCmin,MATCH(Table36[[#This Row],[Grist]],SMI,0)),0,IF(Table36[[#This Row],[F1 %MC]]&gt;INDEX(MCmax,MATCH(Table36[[#This Row],[Grist]],SMI,0)),0,1))))</f>
        <v>1</v>
      </c>
      <c r="V32" s="127" t="str">
        <f>IF(INDEX(Protmin,MATCH(Table36[[#This Row],[Grist]],SMI,0))="-","-",IF(Table36[[#This Row],[%Protein]]="-","-",IF(Table36[[#This Row],[%Protein]]&lt;INDEX(Protmin,MATCH(Table36[[#This Row],[Grist]],SMI,0)),0,IF(Table36[[#This Row],[%Protein]]&gt;INDEX(Protmax,MATCH(Table36[[#This Row],[Grist]],SMI,0)),0,1))))</f>
        <v>-</v>
      </c>
      <c r="W32" s="127" t="str">
        <f>IF(INDEX(Ashmin,MATCH(Table36[[#This Row],[Grist]],SMI,0))="-","-",IF(Table36[[#This Row],[%Ash]]="-","-",IF(Table36[[#This Row],[%Ash]]&lt;INDEX(Ashmin,MATCH(Table36[[#This Row],[Grist]],SMI,0)),0,IF(Table36[[#This Row],[%Ash]]&gt;INDEX(Ashmax,MATCH(Table36[[#This Row],[Grist]],SMI,0)),0,1))))</f>
        <v>-</v>
      </c>
      <c r="X32" s="127" t="str">
        <f>IF(INDEX(Absmin,MATCH(Table36[[#This Row],[Grist]],SMI,0))="-","-",IF(Table36[[#This Row],[%Absorption]]="-","-",IF(Table36[[#This Row],[%Absorption]]&lt;INDEX(Absmin,MATCH(Table36[[#This Row],[Grist]],SMI,0)),0,IF(Table36[[#This Row],[%Absorption]]&gt;INDEX(Absmax,MATCH(Table36[[#This Row],[Grist]],SMI,0)),0,1))))</f>
        <v>-</v>
      </c>
      <c r="Y32" s="127" t="str">
        <f>IF(INDEX(Extmin,MATCH(Table36[[#This Row],[Grist]],SMI,0))="-","-",IF(Table36[[#This Row],[%Extensibility]]="-","-",IF(Table36[[#This Row],[%Extensibility]]&lt;INDEX(Extmin,MATCH(Table36[[#This Row],[Grist]],SMI,0)),0,IF(Table36[[#This Row],[%Extensibility]]&gt;INDEX(Extmax,MATCH(Table36[[#This Row],[Grist]],SMI,0)),0,1))))</f>
        <v>-</v>
      </c>
      <c r="Z32" s="127" t="str">
        <f>IF(INDEX(Resmin,MATCH(Table36[[#This Row],[Grist]],SMI,0))="-","-",IF(Table36[[#This Row],[Resistance, max]]="-","-",IF(Table36[[#This Row],[Resistance, max]]&lt;INDEX(Resmin,MATCH(Table36[[#This Row],[Grist]],SMI,0)),0,IF(Table36[[#This Row],[Resistance, max]]&gt;INDEX(Resmax,MATCH(Table36[[#This Row],[Grist]],SMI,0)),0,1))))</f>
        <v>-</v>
      </c>
      <c r="AA32" s="127" t="str">
        <f>IF(INDEX(WGmin,MATCH(Table36[[#This Row],[Grist]],SMI,0))="-","-",IF(Table36[[#This Row],[%Wet Gluten]]="-","-",IF(Table36[[#This Row],[%Wet Gluten]]&lt;INDEX(WGmin,MATCH(Table36[[#This Row],[Grist]],SMI,0)),0,IF(Table36[[#This Row],[%Wet Gluten]]&gt;INDEX(WGmax,MATCH(Table36[[#This Row],[Grist]],SMI,0)),0,1))))</f>
        <v>-</v>
      </c>
      <c r="AB32" s="127">
        <f>SUM(Table36[[#This Row],[ QI Bran Content]:[QI WG]])</f>
        <v>2</v>
      </c>
      <c r="AC32" s="127">
        <f>COUNT(Table36[[#This Row],[ QI Bran Content]:[QI WG]])</f>
        <v>2</v>
      </c>
    </row>
    <row r="33" spans="1:29" x14ac:dyDescent="0.35">
      <c r="A33" s="177">
        <v>45292</v>
      </c>
      <c r="B33" s="178">
        <v>45294</v>
      </c>
      <c r="C33" s="178" t="s">
        <v>128</v>
      </c>
      <c r="D33" s="179">
        <v>0.95833333333333337</v>
      </c>
      <c r="E33" s="180" t="s">
        <v>0</v>
      </c>
      <c r="F33" s="181" t="s">
        <v>27</v>
      </c>
      <c r="G33" s="182">
        <v>1.11E-2</v>
      </c>
      <c r="H33" s="175" t="s">
        <v>165</v>
      </c>
      <c r="I33" s="175" t="s">
        <v>165</v>
      </c>
      <c r="J33" s="175" t="s">
        <v>165</v>
      </c>
      <c r="K33" s="175">
        <v>12.9</v>
      </c>
      <c r="L33" s="175" t="s">
        <v>163</v>
      </c>
      <c r="M33" s="175" t="s">
        <v>163</v>
      </c>
      <c r="N33" s="175" t="s">
        <v>163</v>
      </c>
      <c r="O33" s="175" t="s">
        <v>163</v>
      </c>
      <c r="P33" s="175" t="s">
        <v>163</v>
      </c>
      <c r="Q33" s="175" t="s">
        <v>163</v>
      </c>
      <c r="R33" s="127">
        <f>IF(Table36[[#This Row],[ Bran Content]]="-","-",IF(G33&lt;0.02,1,0))</f>
        <v>1</v>
      </c>
      <c r="S33" s="127">
        <f>IF(Table36[[#This Row],[Sieve Test]]="-","-",IF(Table36[[#This Row],[Sieve Test]]="P",1,0))</f>
        <v>1</v>
      </c>
      <c r="T33" s="127">
        <f>IF(Table36[[#This Row],[Odor]]="-","-",IF(Table36[[#This Row],[Odor]]="P",1,0))</f>
        <v>1</v>
      </c>
      <c r="U33" s="127">
        <f>IF(INDEX(MCmin,MATCH(Table36[[#This Row],[Grist]],SMI,0))="-","-",IF(Table36[[#This Row],[F1 %MC]]="-","-",IF(Table36[[#This Row],[F1 %MC]]&lt;INDEX(MCmin,MATCH(Table36[[#This Row],[Grist]],SMI,0)),0,IF(Table36[[#This Row],[F1 %MC]]&gt;INDEX(MCmax,MATCH(Table36[[#This Row],[Grist]],SMI,0)),0,1))))</f>
        <v>1</v>
      </c>
      <c r="V33" s="127" t="str">
        <f>IF(INDEX(Protmin,MATCH(Table36[[#This Row],[Grist]],SMI,0))="-","-",IF(Table36[[#This Row],[%Protein]]="-","-",IF(Table36[[#This Row],[%Protein]]&lt;INDEX(Protmin,MATCH(Table36[[#This Row],[Grist]],SMI,0)),0,IF(Table36[[#This Row],[%Protein]]&gt;INDEX(Protmax,MATCH(Table36[[#This Row],[Grist]],SMI,0)),0,1))))</f>
        <v>-</v>
      </c>
      <c r="W33" s="127" t="str">
        <f>IF(INDEX(Ashmin,MATCH(Table36[[#This Row],[Grist]],SMI,0))="-","-",IF(Table36[[#This Row],[%Ash]]="-","-",IF(Table36[[#This Row],[%Ash]]&lt;INDEX(Ashmin,MATCH(Table36[[#This Row],[Grist]],SMI,0)),0,IF(Table36[[#This Row],[%Ash]]&gt;INDEX(Ashmax,MATCH(Table36[[#This Row],[Grist]],SMI,0)),0,1))))</f>
        <v>-</v>
      </c>
      <c r="X33" s="127" t="str">
        <f>IF(INDEX(Absmin,MATCH(Table36[[#This Row],[Grist]],SMI,0))="-","-",IF(Table36[[#This Row],[%Absorption]]="-","-",IF(Table36[[#This Row],[%Absorption]]&lt;INDEX(Absmin,MATCH(Table36[[#This Row],[Grist]],SMI,0)),0,IF(Table36[[#This Row],[%Absorption]]&gt;INDEX(Absmax,MATCH(Table36[[#This Row],[Grist]],SMI,0)),0,1))))</f>
        <v>-</v>
      </c>
      <c r="Y33" s="127" t="str">
        <f>IF(INDEX(Extmin,MATCH(Table36[[#This Row],[Grist]],SMI,0))="-","-",IF(Table36[[#This Row],[%Extensibility]]="-","-",IF(Table36[[#This Row],[%Extensibility]]&lt;INDEX(Extmin,MATCH(Table36[[#This Row],[Grist]],SMI,0)),0,IF(Table36[[#This Row],[%Extensibility]]&gt;INDEX(Extmax,MATCH(Table36[[#This Row],[Grist]],SMI,0)),0,1))))</f>
        <v>-</v>
      </c>
      <c r="Z33" s="127" t="str">
        <f>IF(INDEX(Resmin,MATCH(Table36[[#This Row],[Grist]],SMI,0))="-","-",IF(Table36[[#This Row],[Resistance, max]]="-","-",IF(Table36[[#This Row],[Resistance, max]]&lt;INDEX(Resmin,MATCH(Table36[[#This Row],[Grist]],SMI,0)),0,IF(Table36[[#This Row],[Resistance, max]]&gt;INDEX(Resmax,MATCH(Table36[[#This Row],[Grist]],SMI,0)),0,1))))</f>
        <v>-</v>
      </c>
      <c r="AA33" s="127" t="str">
        <f>IF(INDEX(WGmin,MATCH(Table36[[#This Row],[Grist]],SMI,0))="-","-",IF(Table36[[#This Row],[%Wet Gluten]]="-","-",IF(Table36[[#This Row],[%Wet Gluten]]&lt;INDEX(WGmin,MATCH(Table36[[#This Row],[Grist]],SMI,0)),0,IF(Table36[[#This Row],[%Wet Gluten]]&gt;INDEX(WGmax,MATCH(Table36[[#This Row],[Grist]],SMI,0)),0,1))))</f>
        <v>-</v>
      </c>
      <c r="AB33" s="127">
        <f>SUM(Table36[[#This Row],[ QI Bran Content]:[QI WG]])</f>
        <v>4</v>
      </c>
      <c r="AC33" s="127">
        <f>COUNT(Table36[[#This Row],[ QI Bran Content]:[QI WG]])</f>
        <v>4</v>
      </c>
    </row>
    <row r="34" spans="1:29" x14ac:dyDescent="0.35">
      <c r="A34" s="183">
        <v>45292</v>
      </c>
      <c r="B34" s="184">
        <v>45294</v>
      </c>
      <c r="C34" s="184" t="s">
        <v>130</v>
      </c>
      <c r="D34" s="185">
        <v>1.0416666666666701</v>
      </c>
      <c r="E34" s="186" t="s">
        <v>0</v>
      </c>
      <c r="F34" s="187" t="s">
        <v>27</v>
      </c>
      <c r="G34" s="188">
        <v>8.6E-3</v>
      </c>
      <c r="H34" s="176" t="s">
        <v>165</v>
      </c>
      <c r="I34" s="176" t="s">
        <v>165</v>
      </c>
      <c r="J34" s="176" t="s">
        <v>165</v>
      </c>
      <c r="K34" s="176">
        <v>13</v>
      </c>
      <c r="L34" s="176" t="s">
        <v>163</v>
      </c>
      <c r="M34" s="176" t="s">
        <v>163</v>
      </c>
      <c r="N34" s="176" t="s">
        <v>163</v>
      </c>
      <c r="O34" s="176" t="s">
        <v>163</v>
      </c>
      <c r="P34" s="176" t="s">
        <v>163</v>
      </c>
      <c r="Q34" s="176" t="s">
        <v>163</v>
      </c>
      <c r="R34" s="131">
        <f>IF(Table36[[#This Row],[ Bran Content]]="-","-",IF(G34&lt;0.02,1,0))</f>
        <v>1</v>
      </c>
      <c r="S34" s="131">
        <f>IF(Table36[[#This Row],[Sieve Test]]="-","-",IF(Table36[[#This Row],[Sieve Test]]="P",1,0))</f>
        <v>1</v>
      </c>
      <c r="T34" s="131">
        <f>IF(Table36[[#This Row],[Odor]]="-","-",IF(Table36[[#This Row],[Odor]]="P",1,0))</f>
        <v>1</v>
      </c>
      <c r="U34" s="131">
        <f>IF(INDEX(MCmin,MATCH(Table36[[#This Row],[Grist]],SMI,0))="-","-",IF(Table36[[#This Row],[F1 %MC]]="-","-",IF(Table36[[#This Row],[F1 %MC]]&lt;INDEX(MCmin,MATCH(Table36[[#This Row],[Grist]],SMI,0)),0,IF(Table36[[#This Row],[F1 %MC]]&gt;INDEX(MCmax,MATCH(Table36[[#This Row],[Grist]],SMI,0)),0,1))))</f>
        <v>1</v>
      </c>
      <c r="V34" s="131" t="str">
        <f>IF(INDEX(Protmin,MATCH(Table36[[#This Row],[Grist]],SMI,0))="-","-",IF(Table36[[#This Row],[%Protein]]="-","-",IF(Table36[[#This Row],[%Protein]]&lt;INDEX(Protmin,MATCH(Table36[[#This Row],[Grist]],SMI,0)),0,IF(Table36[[#This Row],[%Protein]]&gt;INDEX(Protmax,MATCH(Table36[[#This Row],[Grist]],SMI,0)),0,1))))</f>
        <v>-</v>
      </c>
      <c r="W34" s="131" t="str">
        <f>IF(INDEX(Ashmin,MATCH(Table36[[#This Row],[Grist]],SMI,0))="-","-",IF(Table36[[#This Row],[%Ash]]="-","-",IF(Table36[[#This Row],[%Ash]]&lt;INDEX(Ashmin,MATCH(Table36[[#This Row],[Grist]],SMI,0)),0,IF(Table36[[#This Row],[%Ash]]&gt;INDEX(Ashmax,MATCH(Table36[[#This Row],[Grist]],SMI,0)),0,1))))</f>
        <v>-</v>
      </c>
      <c r="X34" s="131" t="str">
        <f>IF(INDEX(Absmin,MATCH(Table36[[#This Row],[Grist]],SMI,0))="-","-",IF(Table36[[#This Row],[%Absorption]]="-","-",IF(Table36[[#This Row],[%Absorption]]&lt;INDEX(Absmin,MATCH(Table36[[#This Row],[Grist]],SMI,0)),0,IF(Table36[[#This Row],[%Absorption]]&gt;INDEX(Absmax,MATCH(Table36[[#This Row],[Grist]],SMI,0)),0,1))))</f>
        <v>-</v>
      </c>
      <c r="Y34" s="131" t="str">
        <f>IF(INDEX(Extmin,MATCH(Table36[[#This Row],[Grist]],SMI,0))="-","-",IF(Table36[[#This Row],[%Extensibility]]="-","-",IF(Table36[[#This Row],[%Extensibility]]&lt;INDEX(Extmin,MATCH(Table36[[#This Row],[Grist]],SMI,0)),0,IF(Table36[[#This Row],[%Extensibility]]&gt;INDEX(Extmax,MATCH(Table36[[#This Row],[Grist]],SMI,0)),0,1))))</f>
        <v>-</v>
      </c>
      <c r="Z34" s="131" t="str">
        <f>IF(INDEX(Resmin,MATCH(Table36[[#This Row],[Grist]],SMI,0))="-","-",IF(Table36[[#This Row],[Resistance, max]]="-","-",IF(Table36[[#This Row],[Resistance, max]]&lt;INDEX(Resmin,MATCH(Table36[[#This Row],[Grist]],SMI,0)),0,IF(Table36[[#This Row],[Resistance, max]]&gt;INDEX(Resmax,MATCH(Table36[[#This Row],[Grist]],SMI,0)),0,1))))</f>
        <v>-</v>
      </c>
      <c r="AA34" s="131" t="str">
        <f>IF(INDEX(WGmin,MATCH(Table36[[#This Row],[Grist]],SMI,0))="-","-",IF(Table36[[#This Row],[%Wet Gluten]]="-","-",IF(Table36[[#This Row],[%Wet Gluten]]&lt;INDEX(WGmin,MATCH(Table36[[#This Row],[Grist]],SMI,0)),0,IF(Table36[[#This Row],[%Wet Gluten]]&gt;INDEX(WGmax,MATCH(Table36[[#This Row],[Grist]],SMI,0)),0,1))))</f>
        <v>-</v>
      </c>
      <c r="AB34" s="131">
        <f>SUM(Table36[[#This Row],[ QI Bran Content]:[QI WG]])</f>
        <v>4</v>
      </c>
      <c r="AC34" s="131">
        <f>COUNT(Table36[[#This Row],[ QI Bran Content]:[QI WG]])</f>
        <v>4</v>
      </c>
    </row>
    <row r="35" spans="1:29" x14ac:dyDescent="0.35">
      <c r="A35" s="177">
        <v>45292</v>
      </c>
      <c r="B35" s="178">
        <v>45294</v>
      </c>
      <c r="C35" s="178" t="s">
        <v>130</v>
      </c>
      <c r="D35" s="179">
        <v>1.125</v>
      </c>
      <c r="E35" s="180" t="s">
        <v>0</v>
      </c>
      <c r="F35" s="181" t="s">
        <v>27</v>
      </c>
      <c r="G35" s="182">
        <v>1.35E-2</v>
      </c>
      <c r="H35" s="175" t="s">
        <v>165</v>
      </c>
      <c r="I35" s="175" t="s">
        <v>165</v>
      </c>
      <c r="J35" s="175" t="s">
        <v>165</v>
      </c>
      <c r="K35" s="175">
        <v>12.9</v>
      </c>
      <c r="L35" s="175" t="s">
        <v>163</v>
      </c>
      <c r="M35" s="175" t="s">
        <v>163</v>
      </c>
      <c r="N35" s="175" t="s">
        <v>163</v>
      </c>
      <c r="O35" s="175" t="s">
        <v>163</v>
      </c>
      <c r="P35" s="175" t="s">
        <v>163</v>
      </c>
      <c r="Q35" s="175" t="s">
        <v>163</v>
      </c>
      <c r="R35" s="127">
        <f>IF(Table36[[#This Row],[ Bran Content]]="-","-",IF(G35&lt;0.02,1,0))</f>
        <v>1</v>
      </c>
      <c r="S35" s="127">
        <f>IF(Table36[[#This Row],[Sieve Test]]="-","-",IF(Table36[[#This Row],[Sieve Test]]="P",1,0))</f>
        <v>1</v>
      </c>
      <c r="T35" s="127">
        <f>IF(Table36[[#This Row],[Odor]]="-","-",IF(Table36[[#This Row],[Odor]]="P",1,0))</f>
        <v>1</v>
      </c>
      <c r="U35" s="127">
        <f>IF(INDEX(MCmin,MATCH(Table36[[#This Row],[Grist]],SMI,0))="-","-",IF(Table36[[#This Row],[F1 %MC]]="-","-",IF(Table36[[#This Row],[F1 %MC]]&lt;INDEX(MCmin,MATCH(Table36[[#This Row],[Grist]],SMI,0)),0,IF(Table36[[#This Row],[F1 %MC]]&gt;INDEX(MCmax,MATCH(Table36[[#This Row],[Grist]],SMI,0)),0,1))))</f>
        <v>1</v>
      </c>
      <c r="V35" s="127" t="str">
        <f>IF(INDEX(Protmin,MATCH(Table36[[#This Row],[Grist]],SMI,0))="-","-",IF(Table36[[#This Row],[%Protein]]="-","-",IF(Table36[[#This Row],[%Protein]]&lt;INDEX(Protmin,MATCH(Table36[[#This Row],[Grist]],SMI,0)),0,IF(Table36[[#This Row],[%Protein]]&gt;INDEX(Protmax,MATCH(Table36[[#This Row],[Grist]],SMI,0)),0,1))))</f>
        <v>-</v>
      </c>
      <c r="W35" s="127" t="str">
        <f>IF(INDEX(Ashmin,MATCH(Table36[[#This Row],[Grist]],SMI,0))="-","-",IF(Table36[[#This Row],[%Ash]]="-","-",IF(Table36[[#This Row],[%Ash]]&lt;INDEX(Ashmin,MATCH(Table36[[#This Row],[Grist]],SMI,0)),0,IF(Table36[[#This Row],[%Ash]]&gt;INDEX(Ashmax,MATCH(Table36[[#This Row],[Grist]],SMI,0)),0,1))))</f>
        <v>-</v>
      </c>
      <c r="X35" s="127" t="str">
        <f>IF(INDEX(Absmin,MATCH(Table36[[#This Row],[Grist]],SMI,0))="-","-",IF(Table36[[#This Row],[%Absorption]]="-","-",IF(Table36[[#This Row],[%Absorption]]&lt;INDEX(Absmin,MATCH(Table36[[#This Row],[Grist]],SMI,0)),0,IF(Table36[[#This Row],[%Absorption]]&gt;INDEX(Absmax,MATCH(Table36[[#This Row],[Grist]],SMI,0)),0,1))))</f>
        <v>-</v>
      </c>
      <c r="Y35" s="127" t="str">
        <f>IF(INDEX(Extmin,MATCH(Table36[[#This Row],[Grist]],SMI,0))="-","-",IF(Table36[[#This Row],[%Extensibility]]="-","-",IF(Table36[[#This Row],[%Extensibility]]&lt;INDEX(Extmin,MATCH(Table36[[#This Row],[Grist]],SMI,0)),0,IF(Table36[[#This Row],[%Extensibility]]&gt;INDEX(Extmax,MATCH(Table36[[#This Row],[Grist]],SMI,0)),0,1))))</f>
        <v>-</v>
      </c>
      <c r="Z35" s="127" t="str">
        <f>IF(INDEX(Resmin,MATCH(Table36[[#This Row],[Grist]],SMI,0))="-","-",IF(Table36[[#This Row],[Resistance, max]]="-","-",IF(Table36[[#This Row],[Resistance, max]]&lt;INDEX(Resmin,MATCH(Table36[[#This Row],[Grist]],SMI,0)),0,IF(Table36[[#This Row],[Resistance, max]]&gt;INDEX(Resmax,MATCH(Table36[[#This Row],[Grist]],SMI,0)),0,1))))</f>
        <v>-</v>
      </c>
      <c r="AA35" s="127" t="str">
        <f>IF(INDEX(WGmin,MATCH(Table36[[#This Row],[Grist]],SMI,0))="-","-",IF(Table36[[#This Row],[%Wet Gluten]]="-","-",IF(Table36[[#This Row],[%Wet Gluten]]&lt;INDEX(WGmin,MATCH(Table36[[#This Row],[Grist]],SMI,0)),0,IF(Table36[[#This Row],[%Wet Gluten]]&gt;INDEX(WGmax,MATCH(Table36[[#This Row],[Grist]],SMI,0)),0,1))))</f>
        <v>-</v>
      </c>
      <c r="AB35" s="127">
        <f>SUM(Table36[[#This Row],[ QI Bran Content]:[QI WG]])</f>
        <v>4</v>
      </c>
      <c r="AC35" s="127">
        <f>COUNT(Table36[[#This Row],[ QI Bran Content]:[QI WG]])</f>
        <v>4</v>
      </c>
    </row>
    <row r="36" spans="1:29" x14ac:dyDescent="0.35">
      <c r="A36" s="177">
        <v>45292</v>
      </c>
      <c r="B36" s="178">
        <v>45294</v>
      </c>
      <c r="C36" s="178" t="s">
        <v>130</v>
      </c>
      <c r="D36" s="179">
        <v>1.2083333333333299</v>
      </c>
      <c r="E36" s="180" t="s">
        <v>0</v>
      </c>
      <c r="F36" s="181" t="s">
        <v>27</v>
      </c>
      <c r="G36" s="182">
        <v>1.32E-2</v>
      </c>
      <c r="H36" s="175" t="s">
        <v>165</v>
      </c>
      <c r="I36" s="175" t="s">
        <v>165</v>
      </c>
      <c r="J36" s="175" t="s">
        <v>165</v>
      </c>
      <c r="K36" s="175">
        <v>12.8</v>
      </c>
      <c r="L36" s="175" t="s">
        <v>163</v>
      </c>
      <c r="M36" s="175" t="s">
        <v>163</v>
      </c>
      <c r="N36" s="175" t="s">
        <v>163</v>
      </c>
      <c r="O36" s="175" t="s">
        <v>163</v>
      </c>
      <c r="P36" s="175" t="s">
        <v>163</v>
      </c>
      <c r="Q36" s="175" t="s">
        <v>163</v>
      </c>
      <c r="R36" s="127">
        <f>IF(Table36[[#This Row],[ Bran Content]]="-","-",IF(G36&lt;0.02,1,0))</f>
        <v>1</v>
      </c>
      <c r="S36" s="127">
        <f>IF(Table36[[#This Row],[Sieve Test]]="-","-",IF(Table36[[#This Row],[Sieve Test]]="P",1,0))</f>
        <v>1</v>
      </c>
      <c r="T36" s="127">
        <f>IF(Table36[[#This Row],[Odor]]="-","-",IF(Table36[[#This Row],[Odor]]="P",1,0))</f>
        <v>1</v>
      </c>
      <c r="U36" s="127">
        <f>IF(INDEX(MCmin,MATCH(Table36[[#This Row],[Grist]],SMI,0))="-","-",IF(Table36[[#This Row],[F1 %MC]]="-","-",IF(Table36[[#This Row],[F1 %MC]]&lt;INDEX(MCmin,MATCH(Table36[[#This Row],[Grist]],SMI,0)),0,IF(Table36[[#This Row],[F1 %MC]]&gt;INDEX(MCmax,MATCH(Table36[[#This Row],[Grist]],SMI,0)),0,1))))</f>
        <v>1</v>
      </c>
      <c r="V36" s="127" t="str">
        <f>IF(INDEX(Protmin,MATCH(Table36[[#This Row],[Grist]],SMI,0))="-","-",IF(Table36[[#This Row],[%Protein]]="-","-",IF(Table36[[#This Row],[%Protein]]&lt;INDEX(Protmin,MATCH(Table36[[#This Row],[Grist]],SMI,0)),0,IF(Table36[[#This Row],[%Protein]]&gt;INDEX(Protmax,MATCH(Table36[[#This Row],[Grist]],SMI,0)),0,1))))</f>
        <v>-</v>
      </c>
      <c r="W36" s="127" t="str">
        <f>IF(INDEX(Ashmin,MATCH(Table36[[#This Row],[Grist]],SMI,0))="-","-",IF(Table36[[#This Row],[%Ash]]="-","-",IF(Table36[[#This Row],[%Ash]]&lt;INDEX(Ashmin,MATCH(Table36[[#This Row],[Grist]],SMI,0)),0,IF(Table36[[#This Row],[%Ash]]&gt;INDEX(Ashmax,MATCH(Table36[[#This Row],[Grist]],SMI,0)),0,1))))</f>
        <v>-</v>
      </c>
      <c r="X36" s="127" t="str">
        <f>IF(INDEX(Absmin,MATCH(Table36[[#This Row],[Grist]],SMI,0))="-","-",IF(Table36[[#This Row],[%Absorption]]="-","-",IF(Table36[[#This Row],[%Absorption]]&lt;INDEX(Absmin,MATCH(Table36[[#This Row],[Grist]],SMI,0)),0,IF(Table36[[#This Row],[%Absorption]]&gt;INDEX(Absmax,MATCH(Table36[[#This Row],[Grist]],SMI,0)),0,1))))</f>
        <v>-</v>
      </c>
      <c r="Y36" s="127" t="str">
        <f>IF(INDEX(Extmin,MATCH(Table36[[#This Row],[Grist]],SMI,0))="-","-",IF(Table36[[#This Row],[%Extensibility]]="-","-",IF(Table36[[#This Row],[%Extensibility]]&lt;INDEX(Extmin,MATCH(Table36[[#This Row],[Grist]],SMI,0)),0,IF(Table36[[#This Row],[%Extensibility]]&gt;INDEX(Extmax,MATCH(Table36[[#This Row],[Grist]],SMI,0)),0,1))))</f>
        <v>-</v>
      </c>
      <c r="Z36" s="127" t="str">
        <f>IF(INDEX(Resmin,MATCH(Table36[[#This Row],[Grist]],SMI,0))="-","-",IF(Table36[[#This Row],[Resistance, max]]="-","-",IF(Table36[[#This Row],[Resistance, max]]&lt;INDEX(Resmin,MATCH(Table36[[#This Row],[Grist]],SMI,0)),0,IF(Table36[[#This Row],[Resistance, max]]&gt;INDEX(Resmax,MATCH(Table36[[#This Row],[Grist]],SMI,0)),0,1))))</f>
        <v>-</v>
      </c>
      <c r="AA36" s="127" t="str">
        <f>IF(INDEX(WGmin,MATCH(Table36[[#This Row],[Grist]],SMI,0))="-","-",IF(Table36[[#This Row],[%Wet Gluten]]="-","-",IF(Table36[[#This Row],[%Wet Gluten]]&lt;INDEX(WGmin,MATCH(Table36[[#This Row],[Grist]],SMI,0)),0,IF(Table36[[#This Row],[%Wet Gluten]]&gt;INDEX(WGmax,MATCH(Table36[[#This Row],[Grist]],SMI,0)),0,1))))</f>
        <v>-</v>
      </c>
      <c r="AB36" s="127">
        <f>SUM(Table36[[#This Row],[ QI Bran Content]:[QI WG]])</f>
        <v>4</v>
      </c>
      <c r="AC36" s="127">
        <f>COUNT(Table36[[#This Row],[ QI Bran Content]:[QI WG]])</f>
        <v>4</v>
      </c>
    </row>
    <row r="37" spans="1:29" x14ac:dyDescent="0.35">
      <c r="A37" s="177">
        <v>45292</v>
      </c>
      <c r="B37" s="178">
        <v>45295</v>
      </c>
      <c r="C37" s="178" t="s">
        <v>125</v>
      </c>
      <c r="D37" s="179" t="s">
        <v>239</v>
      </c>
      <c r="E37" s="180" t="s">
        <v>0</v>
      </c>
      <c r="F37" s="181" t="s">
        <v>27</v>
      </c>
      <c r="G37" s="182">
        <v>7.1999999999999998E-3</v>
      </c>
      <c r="H37" s="175" t="s">
        <v>165</v>
      </c>
      <c r="I37" s="175" t="s">
        <v>165</v>
      </c>
      <c r="J37" s="175" t="s">
        <v>165</v>
      </c>
      <c r="K37" s="175">
        <v>12.7</v>
      </c>
      <c r="L37" s="175">
        <v>12.59</v>
      </c>
      <c r="M37" s="175">
        <v>0.65</v>
      </c>
      <c r="N37" s="175">
        <v>64</v>
      </c>
      <c r="O37" s="175" t="s">
        <v>163</v>
      </c>
      <c r="P37" s="175" t="s">
        <v>163</v>
      </c>
      <c r="Q37" s="175">
        <v>35.119999999999997</v>
      </c>
      <c r="R37" s="127">
        <f>IF(Table36[[#This Row],[ Bran Content]]="-","-",IF(G37&lt;0.02,1,0))</f>
        <v>1</v>
      </c>
      <c r="S37" s="127">
        <f>IF(Table36[[#This Row],[Sieve Test]]="-","-",IF(Table36[[#This Row],[Sieve Test]]="P",1,0))</f>
        <v>1</v>
      </c>
      <c r="T37" s="127">
        <f>IF(Table36[[#This Row],[Odor]]="-","-",IF(Table36[[#This Row],[Odor]]="P",1,0))</f>
        <v>1</v>
      </c>
      <c r="U37" s="127">
        <f>IF(INDEX(MCmin,MATCH(Table36[[#This Row],[Grist]],SMI,0))="-","-",IF(Table36[[#This Row],[F1 %MC]]="-","-",IF(Table36[[#This Row],[F1 %MC]]&lt;INDEX(MCmin,MATCH(Table36[[#This Row],[Grist]],SMI,0)),0,IF(Table36[[#This Row],[F1 %MC]]&gt;INDEX(MCmax,MATCH(Table36[[#This Row],[Grist]],SMI,0)),0,1))))</f>
        <v>1</v>
      </c>
      <c r="V37" s="127">
        <f>IF(INDEX(Protmin,MATCH(Table36[[#This Row],[Grist]],SMI,0))="-","-",IF(Table36[[#This Row],[%Protein]]="-","-",IF(Table36[[#This Row],[%Protein]]&lt;INDEX(Protmin,MATCH(Table36[[#This Row],[Grist]],SMI,0)),0,IF(Table36[[#This Row],[%Protein]]&gt;INDEX(Protmax,MATCH(Table36[[#This Row],[Grist]],SMI,0)),0,1))))</f>
        <v>1</v>
      </c>
      <c r="W37" s="127">
        <f>IF(INDEX(Ashmin,MATCH(Table36[[#This Row],[Grist]],SMI,0))="-","-",IF(Table36[[#This Row],[%Ash]]="-","-",IF(Table36[[#This Row],[%Ash]]&lt;INDEX(Ashmin,MATCH(Table36[[#This Row],[Grist]],SMI,0)),0,IF(Table36[[#This Row],[%Ash]]&gt;INDEX(Ashmax,MATCH(Table36[[#This Row],[Grist]],SMI,0)),0,1))))</f>
        <v>1</v>
      </c>
      <c r="X37" s="127">
        <f>IF(INDEX(Absmin,MATCH(Table36[[#This Row],[Grist]],SMI,0))="-","-",IF(Table36[[#This Row],[%Absorption]]="-","-",IF(Table36[[#This Row],[%Absorption]]&lt;INDEX(Absmin,MATCH(Table36[[#This Row],[Grist]],SMI,0)),0,IF(Table36[[#This Row],[%Absorption]]&gt;INDEX(Absmax,MATCH(Table36[[#This Row],[Grist]],SMI,0)),0,1))))</f>
        <v>1</v>
      </c>
      <c r="Y37" s="127" t="str">
        <f>IF(INDEX(Extmin,MATCH(Table36[[#This Row],[Grist]],SMI,0))="-","-",IF(Table36[[#This Row],[%Extensibility]]="-","-",IF(Table36[[#This Row],[%Extensibility]]&lt;INDEX(Extmin,MATCH(Table36[[#This Row],[Grist]],SMI,0)),0,IF(Table36[[#This Row],[%Extensibility]]&gt;INDEX(Extmax,MATCH(Table36[[#This Row],[Grist]],SMI,0)),0,1))))</f>
        <v>-</v>
      </c>
      <c r="Z37" s="127" t="str">
        <f>IF(INDEX(Resmin,MATCH(Table36[[#This Row],[Grist]],SMI,0))="-","-",IF(Table36[[#This Row],[Resistance, max]]="-","-",IF(Table36[[#This Row],[Resistance, max]]&lt;INDEX(Resmin,MATCH(Table36[[#This Row],[Grist]],SMI,0)),0,IF(Table36[[#This Row],[Resistance, max]]&gt;INDEX(Resmax,MATCH(Table36[[#This Row],[Grist]],SMI,0)),0,1))))</f>
        <v>-</v>
      </c>
      <c r="AA37" s="127">
        <f>IF(INDEX(WGmin,MATCH(Table36[[#This Row],[Grist]],SMI,0))="-","-",IF(Table36[[#This Row],[%Wet Gluten]]="-","-",IF(Table36[[#This Row],[%Wet Gluten]]&lt;INDEX(WGmin,MATCH(Table36[[#This Row],[Grist]],SMI,0)),0,IF(Table36[[#This Row],[%Wet Gluten]]&gt;INDEX(WGmax,MATCH(Table36[[#This Row],[Grist]],SMI,0)),0,1))))</f>
        <v>1</v>
      </c>
      <c r="AB37" s="127">
        <f>SUM(Table36[[#This Row],[ QI Bran Content]:[QI WG]])</f>
        <v>8</v>
      </c>
      <c r="AC37" s="127">
        <f>COUNT(Table36[[#This Row],[ QI Bran Content]:[QI WG]])</f>
        <v>8</v>
      </c>
    </row>
    <row r="38" spans="1:29" x14ac:dyDescent="0.35">
      <c r="A38" s="177">
        <v>45292</v>
      </c>
      <c r="B38" s="178">
        <v>45295</v>
      </c>
      <c r="C38" s="178" t="s">
        <v>125</v>
      </c>
      <c r="D38" s="179" t="s">
        <v>240</v>
      </c>
      <c r="E38" s="180" t="s">
        <v>0</v>
      </c>
      <c r="F38" s="181" t="s">
        <v>27</v>
      </c>
      <c r="G38" s="182">
        <v>4.3E-3</v>
      </c>
      <c r="H38" s="175" t="s">
        <v>165</v>
      </c>
      <c r="I38" s="175" t="s">
        <v>165</v>
      </c>
      <c r="J38" s="175" t="s">
        <v>165</v>
      </c>
      <c r="K38" s="175">
        <v>12.6</v>
      </c>
      <c r="L38" s="175" t="s">
        <v>163</v>
      </c>
      <c r="M38" s="175" t="s">
        <v>163</v>
      </c>
      <c r="N38" s="175" t="s">
        <v>163</v>
      </c>
      <c r="O38" s="175" t="s">
        <v>163</v>
      </c>
      <c r="P38" s="175" t="s">
        <v>163</v>
      </c>
      <c r="Q38" s="175" t="s">
        <v>163</v>
      </c>
      <c r="R38" s="127">
        <f>IF(Table36[[#This Row],[ Bran Content]]="-","-",IF(G38&lt;0.02,1,0))</f>
        <v>1</v>
      </c>
      <c r="S38" s="127">
        <f>IF(Table36[[#This Row],[Sieve Test]]="-","-",IF(Table36[[#This Row],[Sieve Test]]="P",1,0))</f>
        <v>1</v>
      </c>
      <c r="T38" s="127">
        <f>IF(Table36[[#This Row],[Odor]]="-","-",IF(Table36[[#This Row],[Odor]]="P",1,0))</f>
        <v>1</v>
      </c>
      <c r="U38" s="127">
        <f>IF(INDEX(MCmin,MATCH(Table36[[#This Row],[Grist]],SMI,0))="-","-",IF(Table36[[#This Row],[F1 %MC]]="-","-",IF(Table36[[#This Row],[F1 %MC]]&lt;INDEX(MCmin,MATCH(Table36[[#This Row],[Grist]],SMI,0)),0,IF(Table36[[#This Row],[F1 %MC]]&gt;INDEX(MCmax,MATCH(Table36[[#This Row],[Grist]],SMI,0)),0,1))))</f>
        <v>1</v>
      </c>
      <c r="V38" s="127" t="str">
        <f>IF(INDEX(Protmin,MATCH(Table36[[#This Row],[Grist]],SMI,0))="-","-",IF(Table36[[#This Row],[%Protein]]="-","-",IF(Table36[[#This Row],[%Protein]]&lt;INDEX(Protmin,MATCH(Table36[[#This Row],[Grist]],SMI,0)),0,IF(Table36[[#This Row],[%Protein]]&gt;INDEX(Protmax,MATCH(Table36[[#This Row],[Grist]],SMI,0)),0,1))))</f>
        <v>-</v>
      </c>
      <c r="W38" s="127" t="str">
        <f>IF(INDEX(Ashmin,MATCH(Table36[[#This Row],[Grist]],SMI,0))="-","-",IF(Table36[[#This Row],[%Ash]]="-","-",IF(Table36[[#This Row],[%Ash]]&lt;INDEX(Ashmin,MATCH(Table36[[#This Row],[Grist]],SMI,0)),0,IF(Table36[[#This Row],[%Ash]]&gt;INDEX(Ashmax,MATCH(Table36[[#This Row],[Grist]],SMI,0)),0,1))))</f>
        <v>-</v>
      </c>
      <c r="X38" s="127" t="str">
        <f>IF(INDEX(Absmin,MATCH(Table36[[#This Row],[Grist]],SMI,0))="-","-",IF(Table36[[#This Row],[%Absorption]]="-","-",IF(Table36[[#This Row],[%Absorption]]&lt;INDEX(Absmin,MATCH(Table36[[#This Row],[Grist]],SMI,0)),0,IF(Table36[[#This Row],[%Absorption]]&gt;INDEX(Absmax,MATCH(Table36[[#This Row],[Grist]],SMI,0)),0,1))))</f>
        <v>-</v>
      </c>
      <c r="Y38" s="127" t="str">
        <f>IF(INDEX(Extmin,MATCH(Table36[[#This Row],[Grist]],SMI,0))="-","-",IF(Table36[[#This Row],[%Extensibility]]="-","-",IF(Table36[[#This Row],[%Extensibility]]&lt;INDEX(Extmin,MATCH(Table36[[#This Row],[Grist]],SMI,0)),0,IF(Table36[[#This Row],[%Extensibility]]&gt;INDEX(Extmax,MATCH(Table36[[#This Row],[Grist]],SMI,0)),0,1))))</f>
        <v>-</v>
      </c>
      <c r="Z38" s="127" t="str">
        <f>IF(INDEX(Resmin,MATCH(Table36[[#This Row],[Grist]],SMI,0))="-","-",IF(Table36[[#This Row],[Resistance, max]]="-","-",IF(Table36[[#This Row],[Resistance, max]]&lt;INDEX(Resmin,MATCH(Table36[[#This Row],[Grist]],SMI,0)),0,IF(Table36[[#This Row],[Resistance, max]]&gt;INDEX(Resmax,MATCH(Table36[[#This Row],[Grist]],SMI,0)),0,1))))</f>
        <v>-</v>
      </c>
      <c r="AA38" s="127" t="str">
        <f>IF(INDEX(WGmin,MATCH(Table36[[#This Row],[Grist]],SMI,0))="-","-",IF(Table36[[#This Row],[%Wet Gluten]]="-","-",IF(Table36[[#This Row],[%Wet Gluten]]&lt;INDEX(WGmin,MATCH(Table36[[#This Row],[Grist]],SMI,0)),0,IF(Table36[[#This Row],[%Wet Gluten]]&gt;INDEX(WGmax,MATCH(Table36[[#This Row],[Grist]],SMI,0)),0,1))))</f>
        <v>-</v>
      </c>
      <c r="AB38" s="127">
        <f>SUM(Table36[[#This Row],[ QI Bran Content]:[QI WG]])</f>
        <v>4</v>
      </c>
      <c r="AC38" s="127">
        <f>COUNT(Table36[[#This Row],[ QI Bran Content]:[QI WG]])</f>
        <v>4</v>
      </c>
    </row>
    <row r="39" spans="1:29" x14ac:dyDescent="0.35">
      <c r="A39" s="177">
        <v>45292</v>
      </c>
      <c r="B39" s="178">
        <v>45295</v>
      </c>
      <c r="C39" s="178" t="s">
        <v>125</v>
      </c>
      <c r="D39" s="179" t="s">
        <v>237</v>
      </c>
      <c r="E39" s="180" t="s">
        <v>0</v>
      </c>
      <c r="F39" s="181" t="s">
        <v>27</v>
      </c>
      <c r="G39" s="182">
        <v>1.09E-2</v>
      </c>
      <c r="H39" s="175" t="s">
        <v>165</v>
      </c>
      <c r="I39" s="175" t="s">
        <v>165</v>
      </c>
      <c r="J39" s="175" t="s">
        <v>165</v>
      </c>
      <c r="K39" s="175">
        <v>12.56</v>
      </c>
      <c r="L39" s="175" t="s">
        <v>163</v>
      </c>
      <c r="M39" s="175" t="s">
        <v>163</v>
      </c>
      <c r="N39" s="175" t="s">
        <v>163</v>
      </c>
      <c r="O39" s="175" t="s">
        <v>163</v>
      </c>
      <c r="P39" s="175" t="s">
        <v>163</v>
      </c>
      <c r="Q39" s="175" t="s">
        <v>163</v>
      </c>
      <c r="R39" s="127">
        <f>IF(Table36[[#This Row],[ Bran Content]]="-","-",IF(G39&lt;0.02,1,0))</f>
        <v>1</v>
      </c>
      <c r="S39" s="127">
        <f>IF(Table36[[#This Row],[Sieve Test]]="-","-",IF(Table36[[#This Row],[Sieve Test]]="P",1,0))</f>
        <v>1</v>
      </c>
      <c r="T39" s="127">
        <f>IF(Table36[[#This Row],[Odor]]="-","-",IF(Table36[[#This Row],[Odor]]="P",1,0))</f>
        <v>1</v>
      </c>
      <c r="U39" s="127">
        <f>IF(INDEX(MCmin,MATCH(Table36[[#This Row],[Grist]],SMI,0))="-","-",IF(Table36[[#This Row],[F1 %MC]]="-","-",IF(Table36[[#This Row],[F1 %MC]]&lt;INDEX(MCmin,MATCH(Table36[[#This Row],[Grist]],SMI,0)),0,IF(Table36[[#This Row],[F1 %MC]]&gt;INDEX(MCmax,MATCH(Table36[[#This Row],[Grist]],SMI,0)),0,1))))</f>
        <v>1</v>
      </c>
      <c r="V39" s="127" t="str">
        <f>IF(INDEX(Protmin,MATCH(Table36[[#This Row],[Grist]],SMI,0))="-","-",IF(Table36[[#This Row],[%Protein]]="-","-",IF(Table36[[#This Row],[%Protein]]&lt;INDEX(Protmin,MATCH(Table36[[#This Row],[Grist]],SMI,0)),0,IF(Table36[[#This Row],[%Protein]]&gt;INDEX(Protmax,MATCH(Table36[[#This Row],[Grist]],SMI,0)),0,1))))</f>
        <v>-</v>
      </c>
      <c r="W39" s="127" t="str">
        <f>IF(INDEX(Ashmin,MATCH(Table36[[#This Row],[Grist]],SMI,0))="-","-",IF(Table36[[#This Row],[%Ash]]="-","-",IF(Table36[[#This Row],[%Ash]]&lt;INDEX(Ashmin,MATCH(Table36[[#This Row],[Grist]],SMI,0)),0,IF(Table36[[#This Row],[%Ash]]&gt;INDEX(Ashmax,MATCH(Table36[[#This Row],[Grist]],SMI,0)),0,1))))</f>
        <v>-</v>
      </c>
      <c r="X39" s="127" t="str">
        <f>IF(INDEX(Absmin,MATCH(Table36[[#This Row],[Grist]],SMI,0))="-","-",IF(Table36[[#This Row],[%Absorption]]="-","-",IF(Table36[[#This Row],[%Absorption]]&lt;INDEX(Absmin,MATCH(Table36[[#This Row],[Grist]],SMI,0)),0,IF(Table36[[#This Row],[%Absorption]]&gt;INDEX(Absmax,MATCH(Table36[[#This Row],[Grist]],SMI,0)),0,1))))</f>
        <v>-</v>
      </c>
      <c r="Y39" s="127" t="str">
        <f>IF(INDEX(Extmin,MATCH(Table36[[#This Row],[Grist]],SMI,0))="-","-",IF(Table36[[#This Row],[%Extensibility]]="-","-",IF(Table36[[#This Row],[%Extensibility]]&lt;INDEX(Extmin,MATCH(Table36[[#This Row],[Grist]],SMI,0)),0,IF(Table36[[#This Row],[%Extensibility]]&gt;INDEX(Extmax,MATCH(Table36[[#This Row],[Grist]],SMI,0)),0,1))))</f>
        <v>-</v>
      </c>
      <c r="Z39" s="127" t="str">
        <f>IF(INDEX(Resmin,MATCH(Table36[[#This Row],[Grist]],SMI,0))="-","-",IF(Table36[[#This Row],[Resistance, max]]="-","-",IF(Table36[[#This Row],[Resistance, max]]&lt;INDEX(Resmin,MATCH(Table36[[#This Row],[Grist]],SMI,0)),0,IF(Table36[[#This Row],[Resistance, max]]&gt;INDEX(Resmax,MATCH(Table36[[#This Row],[Grist]],SMI,0)),0,1))))</f>
        <v>-</v>
      </c>
      <c r="AA39" s="127" t="str">
        <f>IF(INDEX(WGmin,MATCH(Table36[[#This Row],[Grist]],SMI,0))="-","-",IF(Table36[[#This Row],[%Wet Gluten]]="-","-",IF(Table36[[#This Row],[%Wet Gluten]]&lt;INDEX(WGmin,MATCH(Table36[[#This Row],[Grist]],SMI,0)),0,IF(Table36[[#This Row],[%Wet Gluten]]&gt;INDEX(WGmax,MATCH(Table36[[#This Row],[Grist]],SMI,0)),0,1))))</f>
        <v>-</v>
      </c>
      <c r="AB39" s="127">
        <f>SUM(Table36[[#This Row],[ QI Bran Content]:[QI WG]])</f>
        <v>4</v>
      </c>
      <c r="AC39" s="127">
        <f>COUNT(Table36[[#This Row],[ QI Bran Content]:[QI WG]])</f>
        <v>4</v>
      </c>
    </row>
    <row r="40" spans="1:29" x14ac:dyDescent="0.35">
      <c r="A40" s="177">
        <v>45292</v>
      </c>
      <c r="B40" s="178">
        <v>45295</v>
      </c>
      <c r="C40" s="178" t="s">
        <v>125</v>
      </c>
      <c r="D40" s="179" t="s">
        <v>238</v>
      </c>
      <c r="E40" s="180" t="s">
        <v>0</v>
      </c>
      <c r="F40" s="181" t="s">
        <v>19</v>
      </c>
      <c r="G40" s="182">
        <v>9.7999999999999997E-3</v>
      </c>
      <c r="H40" s="175" t="s">
        <v>165</v>
      </c>
      <c r="I40" s="175" t="s">
        <v>165</v>
      </c>
      <c r="J40" s="175" t="s">
        <v>165</v>
      </c>
      <c r="K40" s="175">
        <v>11.98</v>
      </c>
      <c r="L40" s="175" t="s">
        <v>163</v>
      </c>
      <c r="M40" s="175" t="s">
        <v>163</v>
      </c>
      <c r="N40" s="175" t="s">
        <v>163</v>
      </c>
      <c r="O40" s="175" t="s">
        <v>163</v>
      </c>
      <c r="P40" s="175" t="s">
        <v>163</v>
      </c>
      <c r="Q40" s="175" t="s">
        <v>163</v>
      </c>
      <c r="R40" s="127">
        <f>IF(Table36[[#This Row],[ Bran Content]]="-","-",IF(G40&lt;0.02,1,0))</f>
        <v>1</v>
      </c>
      <c r="S40" s="127">
        <f>IF(Table36[[#This Row],[Sieve Test]]="-","-",IF(Table36[[#This Row],[Sieve Test]]="P",1,0))</f>
        <v>1</v>
      </c>
      <c r="T40" s="127">
        <f>IF(Table36[[#This Row],[Odor]]="-","-",IF(Table36[[#This Row],[Odor]]="P",1,0))</f>
        <v>1</v>
      </c>
      <c r="U40" s="127">
        <f>IF(INDEX(MCmin,MATCH(Table36[[#This Row],[Grist]],SMI,0))="-","-",IF(Table36[[#This Row],[F1 %MC]]="-","-",IF(Table36[[#This Row],[F1 %MC]]&lt;INDEX(MCmin,MATCH(Table36[[#This Row],[Grist]],SMI,0)),0,IF(Table36[[#This Row],[F1 %MC]]&gt;INDEX(MCmax,MATCH(Table36[[#This Row],[Grist]],SMI,0)),0,1))))</f>
        <v>1</v>
      </c>
      <c r="V40" s="127" t="str">
        <f>IF(INDEX(Protmin,MATCH(Table36[[#This Row],[Grist]],SMI,0))="-","-",IF(Table36[[#This Row],[%Protein]]="-","-",IF(Table36[[#This Row],[%Protein]]&lt;INDEX(Protmin,MATCH(Table36[[#This Row],[Grist]],SMI,0)),0,IF(Table36[[#This Row],[%Protein]]&gt;INDEX(Protmax,MATCH(Table36[[#This Row],[Grist]],SMI,0)),0,1))))</f>
        <v>-</v>
      </c>
      <c r="W40" s="127" t="str">
        <f>IF(INDEX(Ashmin,MATCH(Table36[[#This Row],[Grist]],SMI,0))="-","-",IF(Table36[[#This Row],[%Ash]]="-","-",IF(Table36[[#This Row],[%Ash]]&lt;INDEX(Ashmin,MATCH(Table36[[#This Row],[Grist]],SMI,0)),0,IF(Table36[[#This Row],[%Ash]]&gt;INDEX(Ashmax,MATCH(Table36[[#This Row],[Grist]],SMI,0)),0,1))))</f>
        <v>-</v>
      </c>
      <c r="X40" s="127" t="str">
        <f>IF(INDEX(Absmin,MATCH(Table36[[#This Row],[Grist]],SMI,0))="-","-",IF(Table36[[#This Row],[%Absorption]]="-","-",IF(Table36[[#This Row],[%Absorption]]&lt;INDEX(Absmin,MATCH(Table36[[#This Row],[Grist]],SMI,0)),0,IF(Table36[[#This Row],[%Absorption]]&gt;INDEX(Absmax,MATCH(Table36[[#This Row],[Grist]],SMI,0)),0,1))))</f>
        <v>-</v>
      </c>
      <c r="Y40" s="127" t="str">
        <f>IF(INDEX(Extmin,MATCH(Table36[[#This Row],[Grist]],SMI,0))="-","-",IF(Table36[[#This Row],[%Extensibility]]="-","-",IF(Table36[[#This Row],[%Extensibility]]&lt;INDEX(Extmin,MATCH(Table36[[#This Row],[Grist]],SMI,0)),0,IF(Table36[[#This Row],[%Extensibility]]&gt;INDEX(Extmax,MATCH(Table36[[#This Row],[Grist]],SMI,0)),0,1))))</f>
        <v>-</v>
      </c>
      <c r="Z40" s="127" t="str">
        <f>IF(INDEX(Resmin,MATCH(Table36[[#This Row],[Grist]],SMI,0))="-","-",IF(Table36[[#This Row],[Resistance, max]]="-","-",IF(Table36[[#This Row],[Resistance, max]]&lt;INDEX(Resmin,MATCH(Table36[[#This Row],[Grist]],SMI,0)),0,IF(Table36[[#This Row],[Resistance, max]]&gt;INDEX(Resmax,MATCH(Table36[[#This Row],[Grist]],SMI,0)),0,1))))</f>
        <v>-</v>
      </c>
      <c r="AA40" s="127" t="str">
        <f>IF(INDEX(WGmin,MATCH(Table36[[#This Row],[Grist]],SMI,0))="-","-",IF(Table36[[#This Row],[%Wet Gluten]]="-","-",IF(Table36[[#This Row],[%Wet Gluten]]&lt;INDEX(WGmin,MATCH(Table36[[#This Row],[Grist]],SMI,0)),0,IF(Table36[[#This Row],[%Wet Gluten]]&gt;INDEX(WGmax,MATCH(Table36[[#This Row],[Grist]],SMI,0)),0,1))))</f>
        <v>-</v>
      </c>
      <c r="AB40" s="127">
        <f>SUM(Table36[[#This Row],[ QI Bran Content]:[QI WG]])</f>
        <v>4</v>
      </c>
      <c r="AC40" s="127">
        <f>COUNT(Table36[[#This Row],[ QI Bran Content]:[QI WG]])</f>
        <v>4</v>
      </c>
    </row>
    <row r="41" spans="1:29" x14ac:dyDescent="0.35">
      <c r="A41" s="177">
        <v>45292</v>
      </c>
      <c r="B41" s="178">
        <v>45295</v>
      </c>
      <c r="C41" s="178" t="s">
        <v>125</v>
      </c>
      <c r="D41" s="179" t="s">
        <v>238</v>
      </c>
      <c r="E41" s="180" t="s">
        <v>1</v>
      </c>
      <c r="F41" s="181" t="s">
        <v>241</v>
      </c>
      <c r="G41" s="182">
        <v>3.5000000000000003E-2</v>
      </c>
      <c r="H41" s="175" t="s">
        <v>165</v>
      </c>
      <c r="I41" s="175" t="s">
        <v>165</v>
      </c>
      <c r="J41" s="175" t="s">
        <v>165</v>
      </c>
      <c r="K41" s="175">
        <v>11.49</v>
      </c>
      <c r="L41" s="175" t="s">
        <v>163</v>
      </c>
      <c r="M41" s="175" t="s">
        <v>163</v>
      </c>
      <c r="N41" s="175" t="s">
        <v>163</v>
      </c>
      <c r="O41" s="175" t="s">
        <v>163</v>
      </c>
      <c r="P41" s="175" t="s">
        <v>163</v>
      </c>
      <c r="Q41" s="175" t="s">
        <v>163</v>
      </c>
      <c r="R41" s="127">
        <f>IF(Table36[[#This Row],[ Bran Content]]="-","-",IF(G41&lt;0.02,1,0))</f>
        <v>0</v>
      </c>
      <c r="S41" s="127">
        <f>IF(Table36[[#This Row],[Sieve Test]]="-","-",IF(Table36[[#This Row],[Sieve Test]]="P",1,0))</f>
        <v>1</v>
      </c>
      <c r="T41" s="127">
        <f>IF(Table36[[#This Row],[Odor]]="-","-",IF(Table36[[#This Row],[Odor]]="P",1,0))</f>
        <v>1</v>
      </c>
      <c r="U41" s="127" t="str">
        <f>IF(INDEX(MCmin,MATCH(Table36[[#This Row],[Grist]],SMI,0))="-","-",IF(Table36[[#This Row],[F1 %MC]]="-","-",IF(Table36[[#This Row],[F1 %MC]]&lt;INDEX(MCmin,MATCH(Table36[[#This Row],[Grist]],SMI,0)),0,IF(Table36[[#This Row],[F1 %MC]]&gt;INDEX(MCmax,MATCH(Table36[[#This Row],[Grist]],SMI,0)),0,1))))</f>
        <v>-</v>
      </c>
      <c r="V41" s="127" t="str">
        <f>IF(INDEX(Protmin,MATCH(Table36[[#This Row],[Grist]],SMI,0))="-","-",IF(Table36[[#This Row],[%Protein]]="-","-",IF(Table36[[#This Row],[%Protein]]&lt;INDEX(Protmin,MATCH(Table36[[#This Row],[Grist]],SMI,0)),0,IF(Table36[[#This Row],[%Protein]]&gt;INDEX(Protmax,MATCH(Table36[[#This Row],[Grist]],SMI,0)),0,1))))</f>
        <v>-</v>
      </c>
      <c r="W41" s="127" t="str">
        <f>IF(INDEX(Ashmin,MATCH(Table36[[#This Row],[Grist]],SMI,0))="-","-",IF(Table36[[#This Row],[%Ash]]="-","-",IF(Table36[[#This Row],[%Ash]]&lt;INDEX(Ashmin,MATCH(Table36[[#This Row],[Grist]],SMI,0)),0,IF(Table36[[#This Row],[%Ash]]&gt;INDEX(Ashmax,MATCH(Table36[[#This Row],[Grist]],SMI,0)),0,1))))</f>
        <v>-</v>
      </c>
      <c r="X41" s="127" t="str">
        <f>IF(INDEX(Absmin,MATCH(Table36[[#This Row],[Grist]],SMI,0))="-","-",IF(Table36[[#This Row],[%Absorption]]="-","-",IF(Table36[[#This Row],[%Absorption]]&lt;INDEX(Absmin,MATCH(Table36[[#This Row],[Grist]],SMI,0)),0,IF(Table36[[#This Row],[%Absorption]]&gt;INDEX(Absmax,MATCH(Table36[[#This Row],[Grist]],SMI,0)),0,1))))</f>
        <v>-</v>
      </c>
      <c r="Y41" s="127" t="str">
        <f>IF(INDEX(Extmin,MATCH(Table36[[#This Row],[Grist]],SMI,0))="-","-",IF(Table36[[#This Row],[%Extensibility]]="-","-",IF(Table36[[#This Row],[%Extensibility]]&lt;INDEX(Extmin,MATCH(Table36[[#This Row],[Grist]],SMI,0)),0,IF(Table36[[#This Row],[%Extensibility]]&gt;INDEX(Extmax,MATCH(Table36[[#This Row],[Grist]],SMI,0)),0,1))))</f>
        <v>-</v>
      </c>
      <c r="Z41" s="127" t="str">
        <f>IF(INDEX(Resmin,MATCH(Table36[[#This Row],[Grist]],SMI,0))="-","-",IF(Table36[[#This Row],[Resistance, max]]="-","-",IF(Table36[[#This Row],[Resistance, max]]&lt;INDEX(Resmin,MATCH(Table36[[#This Row],[Grist]],SMI,0)),0,IF(Table36[[#This Row],[Resistance, max]]&gt;INDEX(Resmax,MATCH(Table36[[#This Row],[Grist]],SMI,0)),0,1))))</f>
        <v>-</v>
      </c>
      <c r="AA41" s="127" t="str">
        <f>IF(INDEX(WGmin,MATCH(Table36[[#This Row],[Grist]],SMI,0))="-","-",IF(Table36[[#This Row],[%Wet Gluten]]="-","-",IF(Table36[[#This Row],[%Wet Gluten]]&lt;INDEX(WGmin,MATCH(Table36[[#This Row],[Grist]],SMI,0)),0,IF(Table36[[#This Row],[%Wet Gluten]]&gt;INDEX(WGmax,MATCH(Table36[[#This Row],[Grist]],SMI,0)),0,1))))</f>
        <v>-</v>
      </c>
      <c r="AB41" s="127">
        <f>SUM(Table36[[#This Row],[ QI Bran Content]:[QI WG]])</f>
        <v>2</v>
      </c>
      <c r="AC41" s="127">
        <f>COUNT(Table36[[#This Row],[ QI Bran Content]:[QI WG]])</f>
        <v>3</v>
      </c>
    </row>
    <row r="42" spans="1:29" x14ac:dyDescent="0.35">
      <c r="A42" s="177">
        <v>45292</v>
      </c>
      <c r="B42" s="178">
        <v>45295</v>
      </c>
      <c r="C42" s="178" t="s">
        <v>128</v>
      </c>
      <c r="D42" s="179">
        <v>0.625</v>
      </c>
      <c r="E42" s="180" t="s">
        <v>0</v>
      </c>
      <c r="F42" s="181" t="s">
        <v>19</v>
      </c>
      <c r="G42" s="182">
        <v>3.8999999999999998E-3</v>
      </c>
      <c r="H42" s="175" t="s">
        <v>165</v>
      </c>
      <c r="I42" s="175" t="s">
        <v>165</v>
      </c>
      <c r="J42" s="175" t="s">
        <v>165</v>
      </c>
      <c r="K42" s="175">
        <v>12.14</v>
      </c>
      <c r="L42" s="175">
        <v>12.24</v>
      </c>
      <c r="M42" s="175">
        <v>0.45</v>
      </c>
      <c r="N42" s="175">
        <v>63.9</v>
      </c>
      <c r="O42" s="175">
        <v>19.8</v>
      </c>
      <c r="P42" s="175">
        <v>726</v>
      </c>
      <c r="Q42" s="175">
        <v>34.14</v>
      </c>
      <c r="R42" s="127">
        <f>IF(Table36[[#This Row],[ Bran Content]]="-","-",IF(G42&lt;0.02,1,0))</f>
        <v>1</v>
      </c>
      <c r="S42" s="127">
        <f>IF(Table36[[#This Row],[Sieve Test]]="-","-",IF(Table36[[#This Row],[Sieve Test]]="P",1,0))</f>
        <v>1</v>
      </c>
      <c r="T42" s="127">
        <f>IF(Table36[[#This Row],[Odor]]="-","-",IF(Table36[[#This Row],[Odor]]="P",1,0))</f>
        <v>1</v>
      </c>
      <c r="U42" s="127">
        <f>IF(INDEX(MCmin,MATCH(Table36[[#This Row],[Grist]],SMI,0))="-","-",IF(Table36[[#This Row],[F1 %MC]]="-","-",IF(Table36[[#This Row],[F1 %MC]]&lt;INDEX(MCmin,MATCH(Table36[[#This Row],[Grist]],SMI,0)),0,IF(Table36[[#This Row],[F1 %MC]]&gt;INDEX(MCmax,MATCH(Table36[[#This Row],[Grist]],SMI,0)),0,1))))</f>
        <v>1</v>
      </c>
      <c r="V42" s="127">
        <f>IF(INDEX(Protmin,MATCH(Table36[[#This Row],[Grist]],SMI,0))="-","-",IF(Table36[[#This Row],[%Protein]]="-","-",IF(Table36[[#This Row],[%Protein]]&lt;INDEX(Protmin,MATCH(Table36[[#This Row],[Grist]],SMI,0)),0,IF(Table36[[#This Row],[%Protein]]&gt;INDEX(Protmax,MATCH(Table36[[#This Row],[Grist]],SMI,0)),0,1))))</f>
        <v>1</v>
      </c>
      <c r="W42" s="127">
        <f>IF(INDEX(Ashmin,MATCH(Table36[[#This Row],[Grist]],SMI,0))="-","-",IF(Table36[[#This Row],[%Ash]]="-","-",IF(Table36[[#This Row],[%Ash]]&lt;INDEX(Ashmin,MATCH(Table36[[#This Row],[Grist]],SMI,0)),0,IF(Table36[[#This Row],[%Ash]]&gt;INDEX(Ashmax,MATCH(Table36[[#This Row],[Grist]],SMI,0)),0,1))))</f>
        <v>1</v>
      </c>
      <c r="X42" s="127">
        <f>IF(INDEX(Absmin,MATCH(Table36[[#This Row],[Grist]],SMI,0))="-","-",IF(Table36[[#This Row],[%Absorption]]="-","-",IF(Table36[[#This Row],[%Absorption]]&lt;INDEX(Absmin,MATCH(Table36[[#This Row],[Grist]],SMI,0)),0,IF(Table36[[#This Row],[%Absorption]]&gt;INDEX(Absmax,MATCH(Table36[[#This Row],[Grist]],SMI,0)),0,1))))</f>
        <v>1</v>
      </c>
      <c r="Y42" s="127" t="str">
        <f>IF(INDEX(Extmin,MATCH(Table36[[#This Row],[Grist]],SMI,0))="-","-",IF(Table36[[#This Row],[%Extensibility]]="-","-",IF(Table36[[#This Row],[%Extensibility]]&lt;INDEX(Extmin,MATCH(Table36[[#This Row],[Grist]],SMI,0)),0,IF(Table36[[#This Row],[%Extensibility]]&gt;INDEX(Extmax,MATCH(Table36[[#This Row],[Grist]],SMI,0)),0,1))))</f>
        <v>-</v>
      </c>
      <c r="Z42" s="127" t="str">
        <f>IF(INDEX(Resmin,MATCH(Table36[[#This Row],[Grist]],SMI,0))="-","-",IF(Table36[[#This Row],[Resistance, max]]="-","-",IF(Table36[[#This Row],[Resistance, max]]&lt;INDEX(Resmin,MATCH(Table36[[#This Row],[Grist]],SMI,0)),0,IF(Table36[[#This Row],[Resistance, max]]&gt;INDEX(Resmax,MATCH(Table36[[#This Row],[Grist]],SMI,0)),0,1))))</f>
        <v>-</v>
      </c>
      <c r="AA42" s="127">
        <f>IF(INDEX(WGmin,MATCH(Table36[[#This Row],[Grist]],SMI,0))="-","-",IF(Table36[[#This Row],[%Wet Gluten]]="-","-",IF(Table36[[#This Row],[%Wet Gluten]]&lt;INDEX(WGmin,MATCH(Table36[[#This Row],[Grist]],SMI,0)),0,IF(Table36[[#This Row],[%Wet Gluten]]&gt;INDEX(WGmax,MATCH(Table36[[#This Row],[Grist]],SMI,0)),0,1))))</f>
        <v>1</v>
      </c>
      <c r="AB42" s="127">
        <f>SUM(Table36[[#This Row],[ QI Bran Content]:[QI WG]])</f>
        <v>8</v>
      </c>
      <c r="AC42" s="127">
        <f>COUNT(Table36[[#This Row],[ QI Bran Content]:[QI WG]])</f>
        <v>8</v>
      </c>
    </row>
    <row r="43" spans="1:29" x14ac:dyDescent="0.35">
      <c r="A43" s="177">
        <v>45292</v>
      </c>
      <c r="B43" s="178">
        <v>45295</v>
      </c>
      <c r="C43" s="178" t="s">
        <v>128</v>
      </c>
      <c r="D43" s="179">
        <v>0.70833333333333304</v>
      </c>
      <c r="E43" s="180" t="s">
        <v>0</v>
      </c>
      <c r="F43" s="181" t="s">
        <v>19</v>
      </c>
      <c r="G43" s="182">
        <v>2.2000000000000001E-3</v>
      </c>
      <c r="H43" s="175" t="s">
        <v>165</v>
      </c>
      <c r="I43" s="175" t="s">
        <v>165</v>
      </c>
      <c r="J43" s="175" t="s">
        <v>165</v>
      </c>
      <c r="K43" s="175">
        <v>12.09</v>
      </c>
      <c r="L43" s="175" t="s">
        <v>163</v>
      </c>
      <c r="M43" s="175" t="s">
        <v>163</v>
      </c>
      <c r="N43" s="175" t="s">
        <v>163</v>
      </c>
      <c r="O43" s="175" t="s">
        <v>163</v>
      </c>
      <c r="P43" s="175" t="s">
        <v>163</v>
      </c>
      <c r="Q43" s="175" t="s">
        <v>163</v>
      </c>
      <c r="R43" s="127">
        <f>IF(Table36[[#This Row],[ Bran Content]]="-","-",IF(G43&lt;0.02,1,0))</f>
        <v>1</v>
      </c>
      <c r="S43" s="127">
        <f>IF(Table36[[#This Row],[Sieve Test]]="-","-",IF(Table36[[#This Row],[Sieve Test]]="P",1,0))</f>
        <v>1</v>
      </c>
      <c r="T43" s="127">
        <f>IF(Table36[[#This Row],[Odor]]="-","-",IF(Table36[[#This Row],[Odor]]="P",1,0))</f>
        <v>1</v>
      </c>
      <c r="U43" s="127">
        <f>IF(INDEX(MCmin,MATCH(Table36[[#This Row],[Grist]],SMI,0))="-","-",IF(Table36[[#This Row],[F1 %MC]]="-","-",IF(Table36[[#This Row],[F1 %MC]]&lt;INDEX(MCmin,MATCH(Table36[[#This Row],[Grist]],SMI,0)),0,IF(Table36[[#This Row],[F1 %MC]]&gt;INDEX(MCmax,MATCH(Table36[[#This Row],[Grist]],SMI,0)),0,1))))</f>
        <v>1</v>
      </c>
      <c r="V43" s="127" t="str">
        <f>IF(INDEX(Protmin,MATCH(Table36[[#This Row],[Grist]],SMI,0))="-","-",IF(Table36[[#This Row],[%Protein]]="-","-",IF(Table36[[#This Row],[%Protein]]&lt;INDEX(Protmin,MATCH(Table36[[#This Row],[Grist]],SMI,0)),0,IF(Table36[[#This Row],[%Protein]]&gt;INDEX(Protmax,MATCH(Table36[[#This Row],[Grist]],SMI,0)),0,1))))</f>
        <v>-</v>
      </c>
      <c r="W43" s="127" t="str">
        <f>IF(INDEX(Ashmin,MATCH(Table36[[#This Row],[Grist]],SMI,0))="-","-",IF(Table36[[#This Row],[%Ash]]="-","-",IF(Table36[[#This Row],[%Ash]]&lt;INDEX(Ashmin,MATCH(Table36[[#This Row],[Grist]],SMI,0)),0,IF(Table36[[#This Row],[%Ash]]&gt;INDEX(Ashmax,MATCH(Table36[[#This Row],[Grist]],SMI,0)),0,1))))</f>
        <v>-</v>
      </c>
      <c r="X43" s="127" t="str">
        <f>IF(INDEX(Absmin,MATCH(Table36[[#This Row],[Grist]],SMI,0))="-","-",IF(Table36[[#This Row],[%Absorption]]="-","-",IF(Table36[[#This Row],[%Absorption]]&lt;INDEX(Absmin,MATCH(Table36[[#This Row],[Grist]],SMI,0)),0,IF(Table36[[#This Row],[%Absorption]]&gt;INDEX(Absmax,MATCH(Table36[[#This Row],[Grist]],SMI,0)),0,1))))</f>
        <v>-</v>
      </c>
      <c r="Y43" s="127" t="str">
        <f>IF(INDEX(Extmin,MATCH(Table36[[#This Row],[Grist]],SMI,0))="-","-",IF(Table36[[#This Row],[%Extensibility]]="-","-",IF(Table36[[#This Row],[%Extensibility]]&lt;INDEX(Extmin,MATCH(Table36[[#This Row],[Grist]],SMI,0)),0,IF(Table36[[#This Row],[%Extensibility]]&gt;INDEX(Extmax,MATCH(Table36[[#This Row],[Grist]],SMI,0)),0,1))))</f>
        <v>-</v>
      </c>
      <c r="Z43" s="127" t="str">
        <f>IF(INDEX(Resmin,MATCH(Table36[[#This Row],[Grist]],SMI,0))="-","-",IF(Table36[[#This Row],[Resistance, max]]="-","-",IF(Table36[[#This Row],[Resistance, max]]&lt;INDEX(Resmin,MATCH(Table36[[#This Row],[Grist]],SMI,0)),0,IF(Table36[[#This Row],[Resistance, max]]&gt;INDEX(Resmax,MATCH(Table36[[#This Row],[Grist]],SMI,0)),0,1))))</f>
        <v>-</v>
      </c>
      <c r="AA43" s="127" t="str">
        <f>IF(INDEX(WGmin,MATCH(Table36[[#This Row],[Grist]],SMI,0))="-","-",IF(Table36[[#This Row],[%Wet Gluten]]="-","-",IF(Table36[[#This Row],[%Wet Gluten]]&lt;INDEX(WGmin,MATCH(Table36[[#This Row],[Grist]],SMI,0)),0,IF(Table36[[#This Row],[%Wet Gluten]]&gt;INDEX(WGmax,MATCH(Table36[[#This Row],[Grist]],SMI,0)),0,1))))</f>
        <v>-</v>
      </c>
      <c r="AB43" s="127">
        <f>SUM(Table36[[#This Row],[ QI Bran Content]:[QI WG]])</f>
        <v>4</v>
      </c>
      <c r="AC43" s="127">
        <f>COUNT(Table36[[#This Row],[ QI Bran Content]:[QI WG]])</f>
        <v>4</v>
      </c>
    </row>
    <row r="44" spans="1:29" x14ac:dyDescent="0.35">
      <c r="A44" s="177">
        <v>45292</v>
      </c>
      <c r="B44" s="178">
        <v>45295</v>
      </c>
      <c r="C44" s="178" t="s">
        <v>128</v>
      </c>
      <c r="D44" s="179">
        <v>0.79166666666666596</v>
      </c>
      <c r="E44" s="180" t="s">
        <v>0</v>
      </c>
      <c r="F44" s="181" t="s">
        <v>19</v>
      </c>
      <c r="G44" s="182">
        <v>2.5000000000000001E-3</v>
      </c>
      <c r="H44" s="175" t="s">
        <v>165</v>
      </c>
      <c r="I44" s="175" t="s">
        <v>165</v>
      </c>
      <c r="J44" s="175" t="s">
        <v>165</v>
      </c>
      <c r="K44" s="175">
        <v>12.3</v>
      </c>
      <c r="L44" s="175" t="s">
        <v>163</v>
      </c>
      <c r="M44" s="175" t="s">
        <v>163</v>
      </c>
      <c r="N44" s="175" t="s">
        <v>163</v>
      </c>
      <c r="O44" s="175" t="s">
        <v>163</v>
      </c>
      <c r="P44" s="175" t="s">
        <v>163</v>
      </c>
      <c r="Q44" s="175" t="s">
        <v>163</v>
      </c>
      <c r="R44" s="127">
        <f>IF(Table36[[#This Row],[ Bran Content]]="-","-",IF(G44&lt;0.02,1,0))</f>
        <v>1</v>
      </c>
      <c r="S44" s="127">
        <f>IF(Table36[[#This Row],[Sieve Test]]="-","-",IF(Table36[[#This Row],[Sieve Test]]="P",1,0))</f>
        <v>1</v>
      </c>
      <c r="T44" s="127">
        <f>IF(Table36[[#This Row],[Odor]]="-","-",IF(Table36[[#This Row],[Odor]]="P",1,0))</f>
        <v>1</v>
      </c>
      <c r="U44" s="127">
        <f>IF(INDEX(MCmin,MATCH(Table36[[#This Row],[Grist]],SMI,0))="-","-",IF(Table36[[#This Row],[F1 %MC]]="-","-",IF(Table36[[#This Row],[F1 %MC]]&lt;INDEX(MCmin,MATCH(Table36[[#This Row],[Grist]],SMI,0)),0,IF(Table36[[#This Row],[F1 %MC]]&gt;INDEX(MCmax,MATCH(Table36[[#This Row],[Grist]],SMI,0)),0,1))))</f>
        <v>1</v>
      </c>
      <c r="V44" s="127" t="str">
        <f>IF(INDEX(Protmin,MATCH(Table36[[#This Row],[Grist]],SMI,0))="-","-",IF(Table36[[#This Row],[%Protein]]="-","-",IF(Table36[[#This Row],[%Protein]]&lt;INDEX(Protmin,MATCH(Table36[[#This Row],[Grist]],SMI,0)),0,IF(Table36[[#This Row],[%Protein]]&gt;INDEX(Protmax,MATCH(Table36[[#This Row],[Grist]],SMI,0)),0,1))))</f>
        <v>-</v>
      </c>
      <c r="W44" s="127" t="str">
        <f>IF(INDEX(Ashmin,MATCH(Table36[[#This Row],[Grist]],SMI,0))="-","-",IF(Table36[[#This Row],[%Ash]]="-","-",IF(Table36[[#This Row],[%Ash]]&lt;INDEX(Ashmin,MATCH(Table36[[#This Row],[Grist]],SMI,0)),0,IF(Table36[[#This Row],[%Ash]]&gt;INDEX(Ashmax,MATCH(Table36[[#This Row],[Grist]],SMI,0)),0,1))))</f>
        <v>-</v>
      </c>
      <c r="X44" s="127" t="str">
        <f>IF(INDEX(Absmin,MATCH(Table36[[#This Row],[Grist]],SMI,0))="-","-",IF(Table36[[#This Row],[%Absorption]]="-","-",IF(Table36[[#This Row],[%Absorption]]&lt;INDEX(Absmin,MATCH(Table36[[#This Row],[Grist]],SMI,0)),0,IF(Table36[[#This Row],[%Absorption]]&gt;INDEX(Absmax,MATCH(Table36[[#This Row],[Grist]],SMI,0)),0,1))))</f>
        <v>-</v>
      </c>
      <c r="Y44" s="127" t="str">
        <f>IF(INDEX(Extmin,MATCH(Table36[[#This Row],[Grist]],SMI,0))="-","-",IF(Table36[[#This Row],[%Extensibility]]="-","-",IF(Table36[[#This Row],[%Extensibility]]&lt;INDEX(Extmin,MATCH(Table36[[#This Row],[Grist]],SMI,0)),0,IF(Table36[[#This Row],[%Extensibility]]&gt;INDEX(Extmax,MATCH(Table36[[#This Row],[Grist]],SMI,0)),0,1))))</f>
        <v>-</v>
      </c>
      <c r="Z44" s="127" t="str">
        <f>IF(INDEX(Resmin,MATCH(Table36[[#This Row],[Grist]],SMI,0))="-","-",IF(Table36[[#This Row],[Resistance, max]]="-","-",IF(Table36[[#This Row],[Resistance, max]]&lt;INDEX(Resmin,MATCH(Table36[[#This Row],[Grist]],SMI,0)),0,IF(Table36[[#This Row],[Resistance, max]]&gt;INDEX(Resmax,MATCH(Table36[[#This Row],[Grist]],SMI,0)),0,1))))</f>
        <v>-</v>
      </c>
      <c r="AA44" s="127" t="str">
        <f>IF(INDEX(WGmin,MATCH(Table36[[#This Row],[Grist]],SMI,0))="-","-",IF(Table36[[#This Row],[%Wet Gluten]]="-","-",IF(Table36[[#This Row],[%Wet Gluten]]&lt;INDEX(WGmin,MATCH(Table36[[#This Row],[Grist]],SMI,0)),0,IF(Table36[[#This Row],[%Wet Gluten]]&gt;INDEX(WGmax,MATCH(Table36[[#This Row],[Grist]],SMI,0)),0,1))))</f>
        <v>-</v>
      </c>
      <c r="AB44" s="127">
        <f>SUM(Table36[[#This Row],[ QI Bran Content]:[QI WG]])</f>
        <v>4</v>
      </c>
      <c r="AC44" s="127">
        <f>COUNT(Table36[[#This Row],[ QI Bran Content]:[QI WG]])</f>
        <v>4</v>
      </c>
    </row>
    <row r="45" spans="1:29" x14ac:dyDescent="0.35">
      <c r="A45" s="177">
        <v>45292</v>
      </c>
      <c r="B45" s="178">
        <v>45295</v>
      </c>
      <c r="C45" s="178" t="s">
        <v>128</v>
      </c>
      <c r="D45" s="179">
        <v>0.874999999999999</v>
      </c>
      <c r="E45" s="180" t="s">
        <v>0</v>
      </c>
      <c r="F45" s="181" t="s">
        <v>40</v>
      </c>
      <c r="G45" s="182">
        <v>1.2999999999999999E-3</v>
      </c>
      <c r="H45" s="175" t="s">
        <v>165</v>
      </c>
      <c r="I45" s="175" t="s">
        <v>165</v>
      </c>
      <c r="J45" s="175" t="s">
        <v>165</v>
      </c>
      <c r="K45" s="175">
        <v>12.61</v>
      </c>
      <c r="L45" s="175" t="s">
        <v>163</v>
      </c>
      <c r="M45" s="175" t="s">
        <v>163</v>
      </c>
      <c r="N45" s="175" t="s">
        <v>163</v>
      </c>
      <c r="O45" s="175" t="s">
        <v>163</v>
      </c>
      <c r="P45" s="175" t="s">
        <v>163</v>
      </c>
      <c r="Q45" s="175" t="s">
        <v>163</v>
      </c>
      <c r="R45" s="127">
        <f>IF(Table36[[#This Row],[ Bran Content]]="-","-",IF(G45&lt;0.02,1,0))</f>
        <v>1</v>
      </c>
      <c r="S45" s="127">
        <f>IF(Table36[[#This Row],[Sieve Test]]="-","-",IF(Table36[[#This Row],[Sieve Test]]="P",1,0))</f>
        <v>1</v>
      </c>
      <c r="T45" s="127">
        <f>IF(Table36[[#This Row],[Odor]]="-","-",IF(Table36[[#This Row],[Odor]]="P",1,0))</f>
        <v>1</v>
      </c>
      <c r="U45" s="127">
        <f>IF(INDEX(MCmin,MATCH(Table36[[#This Row],[Grist]],SMI,0))="-","-",IF(Table36[[#This Row],[F1 %MC]]="-","-",IF(Table36[[#This Row],[F1 %MC]]&lt;INDEX(MCmin,MATCH(Table36[[#This Row],[Grist]],SMI,0)),0,IF(Table36[[#This Row],[F1 %MC]]&gt;INDEX(MCmax,MATCH(Table36[[#This Row],[Grist]],SMI,0)),0,1))))</f>
        <v>1</v>
      </c>
      <c r="V45" s="127" t="str">
        <f>IF(INDEX(Protmin,MATCH(Table36[[#This Row],[Grist]],SMI,0))="-","-",IF(Table36[[#This Row],[%Protein]]="-","-",IF(Table36[[#This Row],[%Protein]]&lt;INDEX(Protmin,MATCH(Table36[[#This Row],[Grist]],SMI,0)),0,IF(Table36[[#This Row],[%Protein]]&gt;INDEX(Protmax,MATCH(Table36[[#This Row],[Grist]],SMI,0)),0,1))))</f>
        <v>-</v>
      </c>
      <c r="W45" s="127" t="str">
        <f>IF(INDEX(Ashmin,MATCH(Table36[[#This Row],[Grist]],SMI,0))="-","-",IF(Table36[[#This Row],[%Ash]]="-","-",IF(Table36[[#This Row],[%Ash]]&lt;INDEX(Ashmin,MATCH(Table36[[#This Row],[Grist]],SMI,0)),0,IF(Table36[[#This Row],[%Ash]]&gt;INDEX(Ashmax,MATCH(Table36[[#This Row],[Grist]],SMI,0)),0,1))))</f>
        <v>-</v>
      </c>
      <c r="X45" s="127" t="str">
        <f>IF(INDEX(Absmin,MATCH(Table36[[#This Row],[Grist]],SMI,0))="-","-",IF(Table36[[#This Row],[%Absorption]]="-","-",IF(Table36[[#This Row],[%Absorption]]&lt;INDEX(Absmin,MATCH(Table36[[#This Row],[Grist]],SMI,0)),0,IF(Table36[[#This Row],[%Absorption]]&gt;INDEX(Absmax,MATCH(Table36[[#This Row],[Grist]],SMI,0)),0,1))))</f>
        <v>-</v>
      </c>
      <c r="Y45" s="127" t="str">
        <f>IF(INDEX(Extmin,MATCH(Table36[[#This Row],[Grist]],SMI,0))="-","-",IF(Table36[[#This Row],[%Extensibility]]="-","-",IF(Table36[[#This Row],[%Extensibility]]&lt;INDEX(Extmin,MATCH(Table36[[#This Row],[Grist]],SMI,0)),0,IF(Table36[[#This Row],[%Extensibility]]&gt;INDEX(Extmax,MATCH(Table36[[#This Row],[Grist]],SMI,0)),0,1))))</f>
        <v>-</v>
      </c>
      <c r="Z45" s="127" t="str">
        <f>IF(INDEX(Resmin,MATCH(Table36[[#This Row],[Grist]],SMI,0))="-","-",IF(Table36[[#This Row],[Resistance, max]]="-","-",IF(Table36[[#This Row],[Resistance, max]]&lt;INDEX(Resmin,MATCH(Table36[[#This Row],[Grist]],SMI,0)),0,IF(Table36[[#This Row],[Resistance, max]]&gt;INDEX(Resmax,MATCH(Table36[[#This Row],[Grist]],SMI,0)),0,1))))</f>
        <v>-</v>
      </c>
      <c r="AA45" s="127" t="str">
        <f>IF(INDEX(WGmin,MATCH(Table36[[#This Row],[Grist]],SMI,0))="-","-",IF(Table36[[#This Row],[%Wet Gluten]]="-","-",IF(Table36[[#This Row],[%Wet Gluten]]&lt;INDEX(WGmin,MATCH(Table36[[#This Row],[Grist]],SMI,0)),0,IF(Table36[[#This Row],[%Wet Gluten]]&gt;INDEX(WGmax,MATCH(Table36[[#This Row],[Grist]],SMI,0)),0,1))))</f>
        <v>-</v>
      </c>
      <c r="AB45" s="127">
        <f>SUM(Table36[[#This Row],[ QI Bran Content]:[QI WG]])</f>
        <v>4</v>
      </c>
      <c r="AC45" s="127">
        <f>COUNT(Table36[[#This Row],[ QI Bran Content]:[QI WG]])</f>
        <v>4</v>
      </c>
    </row>
    <row r="46" spans="1:29" x14ac:dyDescent="0.35">
      <c r="A46" s="177">
        <v>45292</v>
      </c>
      <c r="B46" s="178">
        <v>45295</v>
      </c>
      <c r="C46" s="178" t="s">
        <v>128</v>
      </c>
      <c r="D46" s="179">
        <v>0.625</v>
      </c>
      <c r="E46" s="180" t="s">
        <v>1</v>
      </c>
      <c r="F46" s="181" t="s">
        <v>241</v>
      </c>
      <c r="G46" s="182">
        <v>3.6299999999999999E-2</v>
      </c>
      <c r="H46" s="175" t="s">
        <v>165</v>
      </c>
      <c r="I46" s="175" t="s">
        <v>165</v>
      </c>
      <c r="J46" s="175" t="s">
        <v>165</v>
      </c>
      <c r="K46" s="175">
        <v>11.93</v>
      </c>
      <c r="L46" s="175" t="s">
        <v>163</v>
      </c>
      <c r="M46" s="175" t="s">
        <v>163</v>
      </c>
      <c r="N46" s="175" t="s">
        <v>163</v>
      </c>
      <c r="O46" s="175" t="s">
        <v>163</v>
      </c>
      <c r="P46" s="175" t="s">
        <v>163</v>
      </c>
      <c r="Q46" s="175" t="s">
        <v>163</v>
      </c>
      <c r="R46" s="127">
        <f>IF(Table36[[#This Row],[ Bran Content]]="-","-",IF(G46&lt;0.02,1,0))</f>
        <v>0</v>
      </c>
      <c r="S46" s="127">
        <f>IF(Table36[[#This Row],[Sieve Test]]="-","-",IF(Table36[[#This Row],[Sieve Test]]="P",1,0))</f>
        <v>1</v>
      </c>
      <c r="T46" s="127">
        <f>IF(Table36[[#This Row],[Odor]]="-","-",IF(Table36[[#This Row],[Odor]]="P",1,0))</f>
        <v>1</v>
      </c>
      <c r="U46" s="127" t="str">
        <f>IF(INDEX(MCmin,MATCH(Table36[[#This Row],[Grist]],SMI,0))="-","-",IF(Table36[[#This Row],[F1 %MC]]="-","-",IF(Table36[[#This Row],[F1 %MC]]&lt;INDEX(MCmin,MATCH(Table36[[#This Row],[Grist]],SMI,0)),0,IF(Table36[[#This Row],[F1 %MC]]&gt;INDEX(MCmax,MATCH(Table36[[#This Row],[Grist]],SMI,0)),0,1))))</f>
        <v>-</v>
      </c>
      <c r="V46" s="127" t="str">
        <f>IF(INDEX(Protmin,MATCH(Table36[[#This Row],[Grist]],SMI,0))="-","-",IF(Table36[[#This Row],[%Protein]]="-","-",IF(Table36[[#This Row],[%Protein]]&lt;INDEX(Protmin,MATCH(Table36[[#This Row],[Grist]],SMI,0)),0,IF(Table36[[#This Row],[%Protein]]&gt;INDEX(Protmax,MATCH(Table36[[#This Row],[Grist]],SMI,0)),0,1))))</f>
        <v>-</v>
      </c>
      <c r="W46" s="127" t="str">
        <f>IF(INDEX(Ashmin,MATCH(Table36[[#This Row],[Grist]],SMI,0))="-","-",IF(Table36[[#This Row],[%Ash]]="-","-",IF(Table36[[#This Row],[%Ash]]&lt;INDEX(Ashmin,MATCH(Table36[[#This Row],[Grist]],SMI,0)),0,IF(Table36[[#This Row],[%Ash]]&gt;INDEX(Ashmax,MATCH(Table36[[#This Row],[Grist]],SMI,0)),0,1))))</f>
        <v>-</v>
      </c>
      <c r="X46" s="127" t="str">
        <f>IF(INDEX(Absmin,MATCH(Table36[[#This Row],[Grist]],SMI,0))="-","-",IF(Table36[[#This Row],[%Absorption]]="-","-",IF(Table36[[#This Row],[%Absorption]]&lt;INDEX(Absmin,MATCH(Table36[[#This Row],[Grist]],SMI,0)),0,IF(Table36[[#This Row],[%Absorption]]&gt;INDEX(Absmax,MATCH(Table36[[#This Row],[Grist]],SMI,0)),0,1))))</f>
        <v>-</v>
      </c>
      <c r="Y46" s="127" t="str">
        <f>IF(INDEX(Extmin,MATCH(Table36[[#This Row],[Grist]],SMI,0))="-","-",IF(Table36[[#This Row],[%Extensibility]]="-","-",IF(Table36[[#This Row],[%Extensibility]]&lt;INDEX(Extmin,MATCH(Table36[[#This Row],[Grist]],SMI,0)),0,IF(Table36[[#This Row],[%Extensibility]]&gt;INDEX(Extmax,MATCH(Table36[[#This Row],[Grist]],SMI,0)),0,1))))</f>
        <v>-</v>
      </c>
      <c r="Z46" s="127" t="str">
        <f>IF(INDEX(Resmin,MATCH(Table36[[#This Row],[Grist]],SMI,0))="-","-",IF(Table36[[#This Row],[Resistance, max]]="-","-",IF(Table36[[#This Row],[Resistance, max]]&lt;INDEX(Resmin,MATCH(Table36[[#This Row],[Grist]],SMI,0)),0,IF(Table36[[#This Row],[Resistance, max]]&gt;INDEX(Resmax,MATCH(Table36[[#This Row],[Grist]],SMI,0)),0,1))))</f>
        <v>-</v>
      </c>
      <c r="AA46" s="127" t="str">
        <f>IF(INDEX(WGmin,MATCH(Table36[[#This Row],[Grist]],SMI,0))="-","-",IF(Table36[[#This Row],[%Wet Gluten]]="-","-",IF(Table36[[#This Row],[%Wet Gluten]]&lt;INDEX(WGmin,MATCH(Table36[[#This Row],[Grist]],SMI,0)),0,IF(Table36[[#This Row],[%Wet Gluten]]&gt;INDEX(WGmax,MATCH(Table36[[#This Row],[Grist]],SMI,0)),0,1))))</f>
        <v>-</v>
      </c>
      <c r="AB46" s="127">
        <f>SUM(Table36[[#This Row],[ QI Bran Content]:[QI WG]])</f>
        <v>2</v>
      </c>
      <c r="AC46" s="127">
        <f>COUNT(Table36[[#This Row],[ QI Bran Content]:[QI WG]])</f>
        <v>3</v>
      </c>
    </row>
    <row r="47" spans="1:29" x14ac:dyDescent="0.35">
      <c r="A47" s="177">
        <v>45292</v>
      </c>
      <c r="B47" s="178">
        <v>45295</v>
      </c>
      <c r="C47" s="178" t="s">
        <v>128</v>
      </c>
      <c r="D47" s="179">
        <v>0.70833333333333304</v>
      </c>
      <c r="E47" s="180" t="s">
        <v>1</v>
      </c>
      <c r="F47" s="181" t="s">
        <v>241</v>
      </c>
      <c r="G47" s="182">
        <v>2.47E-2</v>
      </c>
      <c r="H47" s="175" t="s">
        <v>165</v>
      </c>
      <c r="I47" s="175" t="s">
        <v>165</v>
      </c>
      <c r="J47" s="175" t="s">
        <v>165</v>
      </c>
      <c r="K47" s="175">
        <v>11.65</v>
      </c>
      <c r="L47" s="175" t="s">
        <v>163</v>
      </c>
      <c r="M47" s="175" t="s">
        <v>163</v>
      </c>
      <c r="N47" s="175" t="s">
        <v>163</v>
      </c>
      <c r="O47" s="175" t="s">
        <v>163</v>
      </c>
      <c r="P47" s="175" t="s">
        <v>163</v>
      </c>
      <c r="Q47" s="175" t="s">
        <v>163</v>
      </c>
      <c r="R47" s="127">
        <f>IF(Table36[[#This Row],[ Bran Content]]="-","-",IF(G47&lt;0.02,1,0))</f>
        <v>0</v>
      </c>
      <c r="S47" s="127">
        <f>IF(Table36[[#This Row],[Sieve Test]]="-","-",IF(Table36[[#This Row],[Sieve Test]]="P",1,0))</f>
        <v>1</v>
      </c>
      <c r="T47" s="127">
        <f>IF(Table36[[#This Row],[Odor]]="-","-",IF(Table36[[#This Row],[Odor]]="P",1,0))</f>
        <v>1</v>
      </c>
      <c r="U47" s="127" t="str">
        <f>IF(INDEX(MCmin,MATCH(Table36[[#This Row],[Grist]],SMI,0))="-","-",IF(Table36[[#This Row],[F1 %MC]]="-","-",IF(Table36[[#This Row],[F1 %MC]]&lt;INDEX(MCmin,MATCH(Table36[[#This Row],[Grist]],SMI,0)),0,IF(Table36[[#This Row],[F1 %MC]]&gt;INDEX(MCmax,MATCH(Table36[[#This Row],[Grist]],SMI,0)),0,1))))</f>
        <v>-</v>
      </c>
      <c r="V47" s="127" t="str">
        <f>IF(INDEX(Protmin,MATCH(Table36[[#This Row],[Grist]],SMI,0))="-","-",IF(Table36[[#This Row],[%Protein]]="-","-",IF(Table36[[#This Row],[%Protein]]&lt;INDEX(Protmin,MATCH(Table36[[#This Row],[Grist]],SMI,0)),0,IF(Table36[[#This Row],[%Protein]]&gt;INDEX(Protmax,MATCH(Table36[[#This Row],[Grist]],SMI,0)),0,1))))</f>
        <v>-</v>
      </c>
      <c r="W47" s="127" t="str">
        <f>IF(INDEX(Ashmin,MATCH(Table36[[#This Row],[Grist]],SMI,0))="-","-",IF(Table36[[#This Row],[%Ash]]="-","-",IF(Table36[[#This Row],[%Ash]]&lt;INDEX(Ashmin,MATCH(Table36[[#This Row],[Grist]],SMI,0)),0,IF(Table36[[#This Row],[%Ash]]&gt;INDEX(Ashmax,MATCH(Table36[[#This Row],[Grist]],SMI,0)),0,1))))</f>
        <v>-</v>
      </c>
      <c r="X47" s="127" t="str">
        <f>IF(INDEX(Absmin,MATCH(Table36[[#This Row],[Grist]],SMI,0))="-","-",IF(Table36[[#This Row],[%Absorption]]="-","-",IF(Table36[[#This Row],[%Absorption]]&lt;INDEX(Absmin,MATCH(Table36[[#This Row],[Grist]],SMI,0)),0,IF(Table36[[#This Row],[%Absorption]]&gt;INDEX(Absmax,MATCH(Table36[[#This Row],[Grist]],SMI,0)),0,1))))</f>
        <v>-</v>
      </c>
      <c r="Y47" s="127" t="str">
        <f>IF(INDEX(Extmin,MATCH(Table36[[#This Row],[Grist]],SMI,0))="-","-",IF(Table36[[#This Row],[%Extensibility]]="-","-",IF(Table36[[#This Row],[%Extensibility]]&lt;INDEX(Extmin,MATCH(Table36[[#This Row],[Grist]],SMI,0)),0,IF(Table36[[#This Row],[%Extensibility]]&gt;INDEX(Extmax,MATCH(Table36[[#This Row],[Grist]],SMI,0)),0,1))))</f>
        <v>-</v>
      </c>
      <c r="Z47" s="127" t="str">
        <f>IF(INDEX(Resmin,MATCH(Table36[[#This Row],[Grist]],SMI,0))="-","-",IF(Table36[[#This Row],[Resistance, max]]="-","-",IF(Table36[[#This Row],[Resistance, max]]&lt;INDEX(Resmin,MATCH(Table36[[#This Row],[Grist]],SMI,0)),0,IF(Table36[[#This Row],[Resistance, max]]&gt;INDEX(Resmax,MATCH(Table36[[#This Row],[Grist]],SMI,0)),0,1))))</f>
        <v>-</v>
      </c>
      <c r="AA47" s="127" t="str">
        <f>IF(INDEX(WGmin,MATCH(Table36[[#This Row],[Grist]],SMI,0))="-","-",IF(Table36[[#This Row],[%Wet Gluten]]="-","-",IF(Table36[[#This Row],[%Wet Gluten]]&lt;INDEX(WGmin,MATCH(Table36[[#This Row],[Grist]],SMI,0)),0,IF(Table36[[#This Row],[%Wet Gluten]]&gt;INDEX(WGmax,MATCH(Table36[[#This Row],[Grist]],SMI,0)),0,1))))</f>
        <v>-</v>
      </c>
      <c r="AB47" s="127">
        <f>SUM(Table36[[#This Row],[ QI Bran Content]:[QI WG]])</f>
        <v>2</v>
      </c>
      <c r="AC47" s="127">
        <f>COUNT(Table36[[#This Row],[ QI Bran Content]:[QI WG]])</f>
        <v>3</v>
      </c>
    </row>
    <row r="48" spans="1:29" x14ac:dyDescent="0.35">
      <c r="A48" s="177">
        <v>45292</v>
      </c>
      <c r="B48" s="178">
        <v>45295</v>
      </c>
      <c r="C48" s="178" t="s">
        <v>128</v>
      </c>
      <c r="D48" s="179">
        <v>0.79166666666666596</v>
      </c>
      <c r="E48" s="180" t="s">
        <v>1</v>
      </c>
      <c r="F48" s="181" t="s">
        <v>241</v>
      </c>
      <c r="G48" s="182">
        <v>2.9600000000000001E-2</v>
      </c>
      <c r="H48" s="175" t="s">
        <v>165</v>
      </c>
      <c r="I48" s="175" t="s">
        <v>165</v>
      </c>
      <c r="J48" s="175" t="s">
        <v>165</v>
      </c>
      <c r="K48" s="175">
        <v>12.15</v>
      </c>
      <c r="L48" s="175" t="s">
        <v>163</v>
      </c>
      <c r="M48" s="175" t="s">
        <v>163</v>
      </c>
      <c r="N48" s="175" t="s">
        <v>163</v>
      </c>
      <c r="O48" s="175" t="s">
        <v>163</v>
      </c>
      <c r="P48" s="175" t="s">
        <v>163</v>
      </c>
      <c r="Q48" s="175" t="s">
        <v>163</v>
      </c>
      <c r="R48" s="127">
        <f>IF(Table36[[#This Row],[ Bran Content]]="-","-",IF(G48&lt;0.02,1,0))</f>
        <v>0</v>
      </c>
      <c r="S48" s="127">
        <f>IF(Table36[[#This Row],[Sieve Test]]="-","-",IF(Table36[[#This Row],[Sieve Test]]="P",1,0))</f>
        <v>1</v>
      </c>
      <c r="T48" s="127">
        <f>IF(Table36[[#This Row],[Odor]]="-","-",IF(Table36[[#This Row],[Odor]]="P",1,0))</f>
        <v>1</v>
      </c>
      <c r="U48" s="127" t="str">
        <f>IF(INDEX(MCmin,MATCH(Table36[[#This Row],[Grist]],SMI,0))="-","-",IF(Table36[[#This Row],[F1 %MC]]="-","-",IF(Table36[[#This Row],[F1 %MC]]&lt;INDEX(MCmin,MATCH(Table36[[#This Row],[Grist]],SMI,0)),0,IF(Table36[[#This Row],[F1 %MC]]&gt;INDEX(MCmax,MATCH(Table36[[#This Row],[Grist]],SMI,0)),0,1))))</f>
        <v>-</v>
      </c>
      <c r="V48" s="127" t="str">
        <f>IF(INDEX(Protmin,MATCH(Table36[[#This Row],[Grist]],SMI,0))="-","-",IF(Table36[[#This Row],[%Protein]]="-","-",IF(Table36[[#This Row],[%Protein]]&lt;INDEX(Protmin,MATCH(Table36[[#This Row],[Grist]],SMI,0)),0,IF(Table36[[#This Row],[%Protein]]&gt;INDEX(Protmax,MATCH(Table36[[#This Row],[Grist]],SMI,0)),0,1))))</f>
        <v>-</v>
      </c>
      <c r="W48" s="127" t="str">
        <f>IF(INDEX(Ashmin,MATCH(Table36[[#This Row],[Grist]],SMI,0))="-","-",IF(Table36[[#This Row],[%Ash]]="-","-",IF(Table36[[#This Row],[%Ash]]&lt;INDEX(Ashmin,MATCH(Table36[[#This Row],[Grist]],SMI,0)),0,IF(Table36[[#This Row],[%Ash]]&gt;INDEX(Ashmax,MATCH(Table36[[#This Row],[Grist]],SMI,0)),0,1))))</f>
        <v>-</v>
      </c>
      <c r="X48" s="127" t="str">
        <f>IF(INDEX(Absmin,MATCH(Table36[[#This Row],[Grist]],SMI,0))="-","-",IF(Table36[[#This Row],[%Absorption]]="-","-",IF(Table36[[#This Row],[%Absorption]]&lt;INDEX(Absmin,MATCH(Table36[[#This Row],[Grist]],SMI,0)),0,IF(Table36[[#This Row],[%Absorption]]&gt;INDEX(Absmax,MATCH(Table36[[#This Row],[Grist]],SMI,0)),0,1))))</f>
        <v>-</v>
      </c>
      <c r="Y48" s="127" t="str">
        <f>IF(INDEX(Extmin,MATCH(Table36[[#This Row],[Grist]],SMI,0))="-","-",IF(Table36[[#This Row],[%Extensibility]]="-","-",IF(Table36[[#This Row],[%Extensibility]]&lt;INDEX(Extmin,MATCH(Table36[[#This Row],[Grist]],SMI,0)),0,IF(Table36[[#This Row],[%Extensibility]]&gt;INDEX(Extmax,MATCH(Table36[[#This Row],[Grist]],SMI,0)),0,1))))</f>
        <v>-</v>
      </c>
      <c r="Z48" s="127" t="str">
        <f>IF(INDEX(Resmin,MATCH(Table36[[#This Row],[Grist]],SMI,0))="-","-",IF(Table36[[#This Row],[Resistance, max]]="-","-",IF(Table36[[#This Row],[Resistance, max]]&lt;INDEX(Resmin,MATCH(Table36[[#This Row],[Grist]],SMI,0)),0,IF(Table36[[#This Row],[Resistance, max]]&gt;INDEX(Resmax,MATCH(Table36[[#This Row],[Grist]],SMI,0)),0,1))))</f>
        <v>-</v>
      </c>
      <c r="AA48" s="127" t="str">
        <f>IF(INDEX(WGmin,MATCH(Table36[[#This Row],[Grist]],SMI,0))="-","-",IF(Table36[[#This Row],[%Wet Gluten]]="-","-",IF(Table36[[#This Row],[%Wet Gluten]]&lt;INDEX(WGmin,MATCH(Table36[[#This Row],[Grist]],SMI,0)),0,IF(Table36[[#This Row],[%Wet Gluten]]&gt;INDEX(WGmax,MATCH(Table36[[#This Row],[Grist]],SMI,0)),0,1))))</f>
        <v>-</v>
      </c>
      <c r="AB48" s="127">
        <f>SUM(Table36[[#This Row],[ QI Bran Content]:[QI WG]])</f>
        <v>2</v>
      </c>
      <c r="AC48" s="127">
        <f>COUNT(Table36[[#This Row],[ QI Bran Content]:[QI WG]])</f>
        <v>3</v>
      </c>
    </row>
    <row r="49" spans="1:29" x14ac:dyDescent="0.35">
      <c r="A49" s="177">
        <v>45292</v>
      </c>
      <c r="B49" s="178">
        <v>45295</v>
      </c>
      <c r="C49" s="178" t="s">
        <v>128</v>
      </c>
      <c r="D49" s="179">
        <v>0.874999999999999</v>
      </c>
      <c r="E49" s="180" t="s">
        <v>1</v>
      </c>
      <c r="F49" s="181" t="s">
        <v>241</v>
      </c>
      <c r="G49" s="182">
        <v>2.6499999999999999E-2</v>
      </c>
      <c r="H49" s="175" t="s">
        <v>165</v>
      </c>
      <c r="I49" s="175" t="s">
        <v>165</v>
      </c>
      <c r="J49" s="175" t="s">
        <v>165</v>
      </c>
      <c r="K49" s="175">
        <v>12.17</v>
      </c>
      <c r="L49" s="175" t="s">
        <v>163</v>
      </c>
      <c r="M49" s="175" t="s">
        <v>163</v>
      </c>
      <c r="N49" s="175" t="s">
        <v>163</v>
      </c>
      <c r="O49" s="175" t="s">
        <v>163</v>
      </c>
      <c r="P49" s="175" t="s">
        <v>163</v>
      </c>
      <c r="Q49" s="175" t="s">
        <v>163</v>
      </c>
      <c r="R49" s="127">
        <f>IF(Table36[[#This Row],[ Bran Content]]="-","-",IF(G49&lt;0.02,1,0))</f>
        <v>0</v>
      </c>
      <c r="S49" s="127">
        <f>IF(Table36[[#This Row],[Sieve Test]]="-","-",IF(Table36[[#This Row],[Sieve Test]]="P",1,0))</f>
        <v>1</v>
      </c>
      <c r="T49" s="127">
        <f>IF(Table36[[#This Row],[Odor]]="-","-",IF(Table36[[#This Row],[Odor]]="P",1,0))</f>
        <v>1</v>
      </c>
      <c r="U49" s="127" t="str">
        <f>IF(INDEX(MCmin,MATCH(Table36[[#This Row],[Grist]],SMI,0))="-","-",IF(Table36[[#This Row],[F1 %MC]]="-","-",IF(Table36[[#This Row],[F1 %MC]]&lt;INDEX(MCmin,MATCH(Table36[[#This Row],[Grist]],SMI,0)),0,IF(Table36[[#This Row],[F1 %MC]]&gt;INDEX(MCmax,MATCH(Table36[[#This Row],[Grist]],SMI,0)),0,1))))</f>
        <v>-</v>
      </c>
      <c r="V49" s="127" t="str">
        <f>IF(INDEX(Protmin,MATCH(Table36[[#This Row],[Grist]],SMI,0))="-","-",IF(Table36[[#This Row],[%Protein]]="-","-",IF(Table36[[#This Row],[%Protein]]&lt;INDEX(Protmin,MATCH(Table36[[#This Row],[Grist]],SMI,0)),0,IF(Table36[[#This Row],[%Protein]]&gt;INDEX(Protmax,MATCH(Table36[[#This Row],[Grist]],SMI,0)),0,1))))</f>
        <v>-</v>
      </c>
      <c r="W49" s="127" t="str">
        <f>IF(INDEX(Ashmin,MATCH(Table36[[#This Row],[Grist]],SMI,0))="-","-",IF(Table36[[#This Row],[%Ash]]="-","-",IF(Table36[[#This Row],[%Ash]]&lt;INDEX(Ashmin,MATCH(Table36[[#This Row],[Grist]],SMI,0)),0,IF(Table36[[#This Row],[%Ash]]&gt;INDEX(Ashmax,MATCH(Table36[[#This Row],[Grist]],SMI,0)),0,1))))</f>
        <v>-</v>
      </c>
      <c r="X49" s="127" t="str">
        <f>IF(INDEX(Absmin,MATCH(Table36[[#This Row],[Grist]],SMI,0))="-","-",IF(Table36[[#This Row],[%Absorption]]="-","-",IF(Table36[[#This Row],[%Absorption]]&lt;INDEX(Absmin,MATCH(Table36[[#This Row],[Grist]],SMI,0)),0,IF(Table36[[#This Row],[%Absorption]]&gt;INDEX(Absmax,MATCH(Table36[[#This Row],[Grist]],SMI,0)),0,1))))</f>
        <v>-</v>
      </c>
      <c r="Y49" s="127" t="str">
        <f>IF(INDEX(Extmin,MATCH(Table36[[#This Row],[Grist]],SMI,0))="-","-",IF(Table36[[#This Row],[%Extensibility]]="-","-",IF(Table36[[#This Row],[%Extensibility]]&lt;INDEX(Extmin,MATCH(Table36[[#This Row],[Grist]],SMI,0)),0,IF(Table36[[#This Row],[%Extensibility]]&gt;INDEX(Extmax,MATCH(Table36[[#This Row],[Grist]],SMI,0)),0,1))))</f>
        <v>-</v>
      </c>
      <c r="Z49" s="127" t="str">
        <f>IF(INDEX(Resmin,MATCH(Table36[[#This Row],[Grist]],SMI,0))="-","-",IF(Table36[[#This Row],[Resistance, max]]="-","-",IF(Table36[[#This Row],[Resistance, max]]&lt;INDEX(Resmin,MATCH(Table36[[#This Row],[Grist]],SMI,0)),0,IF(Table36[[#This Row],[Resistance, max]]&gt;INDEX(Resmax,MATCH(Table36[[#This Row],[Grist]],SMI,0)),0,1))))</f>
        <v>-</v>
      </c>
      <c r="AA49" s="127" t="str">
        <f>IF(INDEX(WGmin,MATCH(Table36[[#This Row],[Grist]],SMI,0))="-","-",IF(Table36[[#This Row],[%Wet Gluten]]="-","-",IF(Table36[[#This Row],[%Wet Gluten]]&lt;INDEX(WGmin,MATCH(Table36[[#This Row],[Grist]],SMI,0)),0,IF(Table36[[#This Row],[%Wet Gluten]]&gt;INDEX(WGmax,MATCH(Table36[[#This Row],[Grist]],SMI,0)),0,1))))</f>
        <v>-</v>
      </c>
      <c r="AB49" s="127">
        <f>SUM(Table36[[#This Row],[ QI Bran Content]:[QI WG]])</f>
        <v>2</v>
      </c>
      <c r="AC49" s="127">
        <f>COUNT(Table36[[#This Row],[ QI Bran Content]:[QI WG]])</f>
        <v>3</v>
      </c>
    </row>
    <row r="50" spans="1:29" x14ac:dyDescent="0.35">
      <c r="A50" s="177">
        <v>45292</v>
      </c>
      <c r="B50" s="178">
        <v>45295</v>
      </c>
      <c r="C50" s="178" t="s">
        <v>128</v>
      </c>
      <c r="D50" s="179">
        <v>0.95833333333333337</v>
      </c>
      <c r="E50" s="180" t="s">
        <v>0</v>
      </c>
      <c r="F50" s="181" t="s">
        <v>40</v>
      </c>
      <c r="G50" s="182">
        <v>9.1000000000000004E-3</v>
      </c>
      <c r="H50" s="175" t="s">
        <v>165</v>
      </c>
      <c r="I50" s="175" t="s">
        <v>165</v>
      </c>
      <c r="J50" s="175" t="s">
        <v>165</v>
      </c>
      <c r="K50" s="175">
        <v>12.8</v>
      </c>
      <c r="L50" s="175">
        <v>12.4</v>
      </c>
      <c r="M50" s="175">
        <v>0.55000000000000004</v>
      </c>
      <c r="N50" s="175">
        <v>64.599999999999994</v>
      </c>
      <c r="O50" s="175">
        <v>17.100000000000001</v>
      </c>
      <c r="P50" s="175">
        <v>1020</v>
      </c>
      <c r="Q50" s="175">
        <v>34.51</v>
      </c>
      <c r="R50" s="127">
        <f>IF(Table36[[#This Row],[ Bran Content]]="-","-",IF(G50&lt;0.02,1,0))</f>
        <v>1</v>
      </c>
      <c r="S50" s="127">
        <f>IF(Table36[[#This Row],[Sieve Test]]="-","-",IF(Table36[[#This Row],[Sieve Test]]="P",1,0))</f>
        <v>1</v>
      </c>
      <c r="T50" s="127">
        <f>IF(Table36[[#This Row],[Odor]]="-","-",IF(Table36[[#This Row],[Odor]]="P",1,0))</f>
        <v>1</v>
      </c>
      <c r="U50" s="127">
        <f>IF(INDEX(MCmin,MATCH(Table36[[#This Row],[Grist]],SMI,0))="-","-",IF(Table36[[#This Row],[F1 %MC]]="-","-",IF(Table36[[#This Row],[F1 %MC]]&lt;INDEX(MCmin,MATCH(Table36[[#This Row],[Grist]],SMI,0)),0,IF(Table36[[#This Row],[F1 %MC]]&gt;INDEX(MCmax,MATCH(Table36[[#This Row],[Grist]],SMI,0)),0,1))))</f>
        <v>1</v>
      </c>
      <c r="V50" s="127">
        <f>IF(INDEX(Protmin,MATCH(Table36[[#This Row],[Grist]],SMI,0))="-","-",IF(Table36[[#This Row],[%Protein]]="-","-",IF(Table36[[#This Row],[%Protein]]&lt;INDEX(Protmin,MATCH(Table36[[#This Row],[Grist]],SMI,0)),0,IF(Table36[[#This Row],[%Protein]]&gt;INDEX(Protmax,MATCH(Table36[[#This Row],[Grist]],SMI,0)),0,1))))</f>
        <v>1</v>
      </c>
      <c r="W50" s="127">
        <f>IF(INDEX(Ashmin,MATCH(Table36[[#This Row],[Grist]],SMI,0))="-","-",IF(Table36[[#This Row],[%Ash]]="-","-",IF(Table36[[#This Row],[%Ash]]&lt;INDEX(Ashmin,MATCH(Table36[[#This Row],[Grist]],SMI,0)),0,IF(Table36[[#This Row],[%Ash]]&gt;INDEX(Ashmax,MATCH(Table36[[#This Row],[Grist]],SMI,0)),0,1))))</f>
        <v>1</v>
      </c>
      <c r="X50" s="127">
        <f>IF(INDEX(Absmin,MATCH(Table36[[#This Row],[Grist]],SMI,0))="-","-",IF(Table36[[#This Row],[%Absorption]]="-","-",IF(Table36[[#This Row],[%Absorption]]&lt;INDEX(Absmin,MATCH(Table36[[#This Row],[Grist]],SMI,0)),0,IF(Table36[[#This Row],[%Absorption]]&gt;INDEX(Absmax,MATCH(Table36[[#This Row],[Grist]],SMI,0)),0,1))))</f>
        <v>1</v>
      </c>
      <c r="Y50" s="127">
        <f>IF(INDEX(Extmin,MATCH(Table36[[#This Row],[Grist]],SMI,0))="-","-",IF(Table36[[#This Row],[%Extensibility]]="-","-",IF(Table36[[#This Row],[%Extensibility]]&lt;INDEX(Extmin,MATCH(Table36[[#This Row],[Grist]],SMI,0)),0,IF(Table36[[#This Row],[%Extensibility]]&gt;INDEX(Extmax,MATCH(Table36[[#This Row],[Grist]],SMI,0)),0,1))))</f>
        <v>1</v>
      </c>
      <c r="Z50" s="127">
        <f>IF(INDEX(Resmin,MATCH(Table36[[#This Row],[Grist]],SMI,0))="-","-",IF(Table36[[#This Row],[Resistance, max]]="-","-",IF(Table36[[#This Row],[Resistance, max]]&lt;INDEX(Resmin,MATCH(Table36[[#This Row],[Grist]],SMI,0)),0,IF(Table36[[#This Row],[Resistance, max]]&gt;INDEX(Resmax,MATCH(Table36[[#This Row],[Grist]],SMI,0)),0,1))))</f>
        <v>0</v>
      </c>
      <c r="AA50" s="127">
        <f>IF(INDEX(WGmin,MATCH(Table36[[#This Row],[Grist]],SMI,0))="-","-",IF(Table36[[#This Row],[%Wet Gluten]]="-","-",IF(Table36[[#This Row],[%Wet Gluten]]&lt;INDEX(WGmin,MATCH(Table36[[#This Row],[Grist]],SMI,0)),0,IF(Table36[[#This Row],[%Wet Gluten]]&gt;INDEX(WGmax,MATCH(Table36[[#This Row],[Grist]],SMI,0)),0,1))))</f>
        <v>1</v>
      </c>
      <c r="AB50" s="127">
        <f>SUM(Table36[[#This Row],[ QI Bran Content]:[QI WG]])</f>
        <v>9</v>
      </c>
      <c r="AC50" s="127">
        <f>COUNT(Table36[[#This Row],[ QI Bran Content]:[QI WG]])</f>
        <v>10</v>
      </c>
    </row>
    <row r="51" spans="1:29" x14ac:dyDescent="0.35">
      <c r="A51" s="177">
        <v>45292</v>
      </c>
      <c r="B51" s="178">
        <v>45295</v>
      </c>
      <c r="C51" s="178" t="s">
        <v>130</v>
      </c>
      <c r="D51" s="179">
        <v>1.0416666666666701</v>
      </c>
      <c r="E51" s="180" t="s">
        <v>0</v>
      </c>
      <c r="F51" s="181" t="s">
        <v>27</v>
      </c>
      <c r="G51" s="182">
        <v>6.8999999999999999E-3</v>
      </c>
      <c r="H51" s="175" t="s">
        <v>165</v>
      </c>
      <c r="I51" s="175" t="s">
        <v>165</v>
      </c>
      <c r="J51" s="175" t="s">
        <v>165</v>
      </c>
      <c r="K51" s="175">
        <v>12.6</v>
      </c>
      <c r="L51" s="175">
        <v>13.1</v>
      </c>
      <c r="M51" s="175">
        <v>0.65</v>
      </c>
      <c r="N51" s="175">
        <v>64.599999999999994</v>
      </c>
      <c r="O51" s="175">
        <v>29</v>
      </c>
      <c r="P51" s="175">
        <v>615</v>
      </c>
      <c r="Q51" s="175">
        <v>36.67</v>
      </c>
      <c r="R51" s="127">
        <f>IF(Table36[[#This Row],[ Bran Content]]="-","-",IF(G51&lt;0.02,1,0))</f>
        <v>1</v>
      </c>
      <c r="S51" s="127">
        <f>IF(Table36[[#This Row],[Sieve Test]]="-","-",IF(Table36[[#This Row],[Sieve Test]]="P",1,0))</f>
        <v>1</v>
      </c>
      <c r="T51" s="127">
        <f>IF(Table36[[#This Row],[Odor]]="-","-",IF(Table36[[#This Row],[Odor]]="P",1,0))</f>
        <v>1</v>
      </c>
      <c r="U51" s="127">
        <f>IF(INDEX(MCmin,MATCH(Table36[[#This Row],[Grist]],SMI,0))="-","-",IF(Table36[[#This Row],[F1 %MC]]="-","-",IF(Table36[[#This Row],[F1 %MC]]&lt;INDEX(MCmin,MATCH(Table36[[#This Row],[Grist]],SMI,0)),0,IF(Table36[[#This Row],[F1 %MC]]&gt;INDEX(MCmax,MATCH(Table36[[#This Row],[Grist]],SMI,0)),0,1))))</f>
        <v>1</v>
      </c>
      <c r="V51" s="127">
        <f>IF(INDEX(Protmin,MATCH(Table36[[#This Row],[Grist]],SMI,0))="-","-",IF(Table36[[#This Row],[%Protein]]="-","-",IF(Table36[[#This Row],[%Protein]]&lt;INDEX(Protmin,MATCH(Table36[[#This Row],[Grist]],SMI,0)),0,IF(Table36[[#This Row],[%Protein]]&gt;INDEX(Protmax,MATCH(Table36[[#This Row],[Grist]],SMI,0)),0,1))))</f>
        <v>1</v>
      </c>
      <c r="W51" s="127">
        <f>IF(INDEX(Ashmin,MATCH(Table36[[#This Row],[Grist]],SMI,0))="-","-",IF(Table36[[#This Row],[%Ash]]="-","-",IF(Table36[[#This Row],[%Ash]]&lt;INDEX(Ashmin,MATCH(Table36[[#This Row],[Grist]],SMI,0)),0,IF(Table36[[#This Row],[%Ash]]&gt;INDEX(Ashmax,MATCH(Table36[[#This Row],[Grist]],SMI,0)),0,1))))</f>
        <v>1</v>
      </c>
      <c r="X51" s="127">
        <f>IF(INDEX(Absmin,MATCH(Table36[[#This Row],[Grist]],SMI,0))="-","-",IF(Table36[[#This Row],[%Absorption]]="-","-",IF(Table36[[#This Row],[%Absorption]]&lt;INDEX(Absmin,MATCH(Table36[[#This Row],[Grist]],SMI,0)),0,IF(Table36[[#This Row],[%Absorption]]&gt;INDEX(Absmax,MATCH(Table36[[#This Row],[Grist]],SMI,0)),0,1))))</f>
        <v>1</v>
      </c>
      <c r="Y51" s="127">
        <f>IF(INDEX(Extmin,MATCH(Table36[[#This Row],[Grist]],SMI,0))="-","-",IF(Table36[[#This Row],[%Extensibility]]="-","-",IF(Table36[[#This Row],[%Extensibility]]&lt;INDEX(Extmin,MATCH(Table36[[#This Row],[Grist]],SMI,0)),0,IF(Table36[[#This Row],[%Extensibility]]&gt;INDEX(Extmax,MATCH(Table36[[#This Row],[Grist]],SMI,0)),0,1))))</f>
        <v>1</v>
      </c>
      <c r="Z51" s="127">
        <f>IF(INDEX(Resmin,MATCH(Table36[[#This Row],[Grist]],SMI,0))="-","-",IF(Table36[[#This Row],[Resistance, max]]="-","-",IF(Table36[[#This Row],[Resistance, max]]&lt;INDEX(Resmin,MATCH(Table36[[#This Row],[Grist]],SMI,0)),0,IF(Table36[[#This Row],[Resistance, max]]&gt;INDEX(Resmax,MATCH(Table36[[#This Row],[Grist]],SMI,0)),0,1))))</f>
        <v>1</v>
      </c>
      <c r="AA51" s="127">
        <f>IF(INDEX(WGmin,MATCH(Table36[[#This Row],[Grist]],SMI,0))="-","-",IF(Table36[[#This Row],[%Wet Gluten]]="-","-",IF(Table36[[#This Row],[%Wet Gluten]]&lt;INDEX(WGmin,MATCH(Table36[[#This Row],[Grist]],SMI,0)),0,IF(Table36[[#This Row],[%Wet Gluten]]&gt;INDEX(WGmax,MATCH(Table36[[#This Row],[Grist]],SMI,0)),0,1))))</f>
        <v>1</v>
      </c>
      <c r="AB51" s="127">
        <f>SUM(Table36[[#This Row],[ QI Bran Content]:[QI WG]])</f>
        <v>10</v>
      </c>
      <c r="AC51" s="127">
        <f>COUNT(Table36[[#This Row],[ QI Bran Content]:[QI WG]])</f>
        <v>10</v>
      </c>
    </row>
    <row r="52" spans="1:29" x14ac:dyDescent="0.35">
      <c r="A52" s="177">
        <v>45292</v>
      </c>
      <c r="B52" s="178">
        <v>45295</v>
      </c>
      <c r="C52" s="178" t="s">
        <v>130</v>
      </c>
      <c r="D52" s="179">
        <v>1.125</v>
      </c>
      <c r="E52" s="180" t="s">
        <v>0</v>
      </c>
      <c r="F52" s="181" t="s">
        <v>27</v>
      </c>
      <c r="G52" s="182">
        <v>7.0000000000000001E-3</v>
      </c>
      <c r="H52" s="175" t="s">
        <v>165</v>
      </c>
      <c r="I52" s="175" t="s">
        <v>165</v>
      </c>
      <c r="J52" s="175" t="s">
        <v>165</v>
      </c>
      <c r="K52" s="175">
        <v>12.1</v>
      </c>
      <c r="L52" s="175">
        <v>12.88</v>
      </c>
      <c r="M52" s="175">
        <v>0.65</v>
      </c>
      <c r="N52" s="175">
        <v>65.7</v>
      </c>
      <c r="O52" s="175">
        <v>20.7</v>
      </c>
      <c r="P52" s="175">
        <v>988</v>
      </c>
      <c r="Q52" s="175">
        <v>36.119999999999997</v>
      </c>
      <c r="R52" s="127">
        <f>IF(Table36[[#This Row],[ Bran Content]]="-","-",IF(G52&lt;0.02,1,0))</f>
        <v>1</v>
      </c>
      <c r="S52" s="127">
        <f>IF(Table36[[#This Row],[Sieve Test]]="-","-",IF(Table36[[#This Row],[Sieve Test]]="P",1,0))</f>
        <v>1</v>
      </c>
      <c r="T52" s="127">
        <f>IF(Table36[[#This Row],[Odor]]="-","-",IF(Table36[[#This Row],[Odor]]="P",1,0))</f>
        <v>1</v>
      </c>
      <c r="U52" s="127">
        <f>IF(INDEX(MCmin,MATCH(Table36[[#This Row],[Grist]],SMI,0))="-","-",IF(Table36[[#This Row],[F1 %MC]]="-","-",IF(Table36[[#This Row],[F1 %MC]]&lt;INDEX(MCmin,MATCH(Table36[[#This Row],[Grist]],SMI,0)),0,IF(Table36[[#This Row],[F1 %MC]]&gt;INDEX(MCmax,MATCH(Table36[[#This Row],[Grist]],SMI,0)),0,1))))</f>
        <v>1</v>
      </c>
      <c r="V52" s="127">
        <f>IF(INDEX(Protmin,MATCH(Table36[[#This Row],[Grist]],SMI,0))="-","-",IF(Table36[[#This Row],[%Protein]]="-","-",IF(Table36[[#This Row],[%Protein]]&lt;INDEX(Protmin,MATCH(Table36[[#This Row],[Grist]],SMI,0)),0,IF(Table36[[#This Row],[%Protein]]&gt;INDEX(Protmax,MATCH(Table36[[#This Row],[Grist]],SMI,0)),0,1))))</f>
        <v>1</v>
      </c>
      <c r="W52" s="127">
        <f>IF(INDEX(Ashmin,MATCH(Table36[[#This Row],[Grist]],SMI,0))="-","-",IF(Table36[[#This Row],[%Ash]]="-","-",IF(Table36[[#This Row],[%Ash]]&lt;INDEX(Ashmin,MATCH(Table36[[#This Row],[Grist]],SMI,0)),0,IF(Table36[[#This Row],[%Ash]]&gt;INDEX(Ashmax,MATCH(Table36[[#This Row],[Grist]],SMI,0)),0,1))))</f>
        <v>1</v>
      </c>
      <c r="X52" s="127">
        <f>IF(INDEX(Absmin,MATCH(Table36[[#This Row],[Grist]],SMI,0))="-","-",IF(Table36[[#This Row],[%Absorption]]="-","-",IF(Table36[[#This Row],[%Absorption]]&lt;INDEX(Absmin,MATCH(Table36[[#This Row],[Grist]],SMI,0)),0,IF(Table36[[#This Row],[%Absorption]]&gt;INDEX(Absmax,MATCH(Table36[[#This Row],[Grist]],SMI,0)),0,1))))</f>
        <v>1</v>
      </c>
      <c r="Y52" s="127">
        <f>IF(INDEX(Extmin,MATCH(Table36[[#This Row],[Grist]],SMI,0))="-","-",IF(Table36[[#This Row],[%Extensibility]]="-","-",IF(Table36[[#This Row],[%Extensibility]]&lt;INDEX(Extmin,MATCH(Table36[[#This Row],[Grist]],SMI,0)),0,IF(Table36[[#This Row],[%Extensibility]]&gt;INDEX(Extmax,MATCH(Table36[[#This Row],[Grist]],SMI,0)),0,1))))</f>
        <v>1</v>
      </c>
      <c r="Z52" s="127">
        <f>IF(INDEX(Resmin,MATCH(Table36[[#This Row],[Grist]],SMI,0))="-","-",IF(Table36[[#This Row],[Resistance, max]]="-","-",IF(Table36[[#This Row],[Resistance, max]]&lt;INDEX(Resmin,MATCH(Table36[[#This Row],[Grist]],SMI,0)),0,IF(Table36[[#This Row],[Resistance, max]]&gt;INDEX(Resmax,MATCH(Table36[[#This Row],[Grist]],SMI,0)),0,1))))</f>
        <v>1</v>
      </c>
      <c r="AA52" s="127">
        <f>IF(INDEX(WGmin,MATCH(Table36[[#This Row],[Grist]],SMI,0))="-","-",IF(Table36[[#This Row],[%Wet Gluten]]="-","-",IF(Table36[[#This Row],[%Wet Gluten]]&lt;INDEX(WGmin,MATCH(Table36[[#This Row],[Grist]],SMI,0)),0,IF(Table36[[#This Row],[%Wet Gluten]]&gt;INDEX(WGmax,MATCH(Table36[[#This Row],[Grist]],SMI,0)),0,1))))</f>
        <v>1</v>
      </c>
      <c r="AB52" s="127">
        <f>SUM(Table36[[#This Row],[ QI Bran Content]:[QI WG]])</f>
        <v>10</v>
      </c>
      <c r="AC52" s="127">
        <f>COUNT(Table36[[#This Row],[ QI Bran Content]:[QI WG]])</f>
        <v>10</v>
      </c>
    </row>
    <row r="53" spans="1:29" x14ac:dyDescent="0.35">
      <c r="A53" s="177">
        <v>45292</v>
      </c>
      <c r="B53" s="178">
        <v>45295</v>
      </c>
      <c r="C53" s="178" t="s">
        <v>130</v>
      </c>
      <c r="D53" s="179">
        <v>1.2083333333333299</v>
      </c>
      <c r="E53" s="180" t="s">
        <v>0</v>
      </c>
      <c r="F53" s="181" t="s">
        <v>27</v>
      </c>
      <c r="G53" s="182">
        <v>9.2999999999999992E-3</v>
      </c>
      <c r="H53" s="175" t="s">
        <v>165</v>
      </c>
      <c r="I53" s="175" t="s">
        <v>165</v>
      </c>
      <c r="J53" s="175" t="s">
        <v>165</v>
      </c>
      <c r="K53" s="175">
        <v>13</v>
      </c>
      <c r="L53" s="175" t="s">
        <v>163</v>
      </c>
      <c r="M53" s="175" t="s">
        <v>163</v>
      </c>
      <c r="N53" s="175" t="s">
        <v>163</v>
      </c>
      <c r="O53" s="175" t="s">
        <v>163</v>
      </c>
      <c r="P53" s="175" t="s">
        <v>163</v>
      </c>
      <c r="Q53" s="175" t="s">
        <v>163</v>
      </c>
      <c r="R53" s="127">
        <f>IF(Table36[[#This Row],[ Bran Content]]="-","-",IF(G53&lt;0.02,1,0))</f>
        <v>1</v>
      </c>
      <c r="S53" s="127">
        <f>IF(Table36[[#This Row],[Sieve Test]]="-","-",IF(Table36[[#This Row],[Sieve Test]]="P",1,0))</f>
        <v>1</v>
      </c>
      <c r="T53" s="127">
        <f>IF(Table36[[#This Row],[Odor]]="-","-",IF(Table36[[#This Row],[Odor]]="P",1,0))</f>
        <v>1</v>
      </c>
      <c r="U53" s="127">
        <f>IF(INDEX(MCmin,MATCH(Table36[[#This Row],[Grist]],SMI,0))="-","-",IF(Table36[[#This Row],[F1 %MC]]="-","-",IF(Table36[[#This Row],[F1 %MC]]&lt;INDEX(MCmin,MATCH(Table36[[#This Row],[Grist]],SMI,0)),0,IF(Table36[[#This Row],[F1 %MC]]&gt;INDEX(MCmax,MATCH(Table36[[#This Row],[Grist]],SMI,0)),0,1))))</f>
        <v>1</v>
      </c>
      <c r="V53" s="127" t="str">
        <f>IF(INDEX(Protmin,MATCH(Table36[[#This Row],[Grist]],SMI,0))="-","-",IF(Table36[[#This Row],[%Protein]]="-","-",IF(Table36[[#This Row],[%Protein]]&lt;INDEX(Protmin,MATCH(Table36[[#This Row],[Grist]],SMI,0)),0,IF(Table36[[#This Row],[%Protein]]&gt;INDEX(Protmax,MATCH(Table36[[#This Row],[Grist]],SMI,0)),0,1))))</f>
        <v>-</v>
      </c>
      <c r="W53" s="127" t="str">
        <f>IF(INDEX(Ashmin,MATCH(Table36[[#This Row],[Grist]],SMI,0))="-","-",IF(Table36[[#This Row],[%Ash]]="-","-",IF(Table36[[#This Row],[%Ash]]&lt;INDEX(Ashmin,MATCH(Table36[[#This Row],[Grist]],SMI,0)),0,IF(Table36[[#This Row],[%Ash]]&gt;INDEX(Ashmax,MATCH(Table36[[#This Row],[Grist]],SMI,0)),0,1))))</f>
        <v>-</v>
      </c>
      <c r="X53" s="127" t="str">
        <f>IF(INDEX(Absmin,MATCH(Table36[[#This Row],[Grist]],SMI,0))="-","-",IF(Table36[[#This Row],[%Absorption]]="-","-",IF(Table36[[#This Row],[%Absorption]]&lt;INDEX(Absmin,MATCH(Table36[[#This Row],[Grist]],SMI,0)),0,IF(Table36[[#This Row],[%Absorption]]&gt;INDEX(Absmax,MATCH(Table36[[#This Row],[Grist]],SMI,0)),0,1))))</f>
        <v>-</v>
      </c>
      <c r="Y53" s="127" t="str">
        <f>IF(INDEX(Extmin,MATCH(Table36[[#This Row],[Grist]],SMI,0))="-","-",IF(Table36[[#This Row],[%Extensibility]]="-","-",IF(Table36[[#This Row],[%Extensibility]]&lt;INDEX(Extmin,MATCH(Table36[[#This Row],[Grist]],SMI,0)),0,IF(Table36[[#This Row],[%Extensibility]]&gt;INDEX(Extmax,MATCH(Table36[[#This Row],[Grist]],SMI,0)),0,1))))</f>
        <v>-</v>
      </c>
      <c r="Z53" s="127" t="str">
        <f>IF(INDEX(Resmin,MATCH(Table36[[#This Row],[Grist]],SMI,0))="-","-",IF(Table36[[#This Row],[Resistance, max]]="-","-",IF(Table36[[#This Row],[Resistance, max]]&lt;INDEX(Resmin,MATCH(Table36[[#This Row],[Grist]],SMI,0)),0,IF(Table36[[#This Row],[Resistance, max]]&gt;INDEX(Resmax,MATCH(Table36[[#This Row],[Grist]],SMI,0)),0,1))))</f>
        <v>-</v>
      </c>
      <c r="AA53" s="127" t="str">
        <f>IF(INDEX(WGmin,MATCH(Table36[[#This Row],[Grist]],SMI,0))="-","-",IF(Table36[[#This Row],[%Wet Gluten]]="-","-",IF(Table36[[#This Row],[%Wet Gluten]]&lt;INDEX(WGmin,MATCH(Table36[[#This Row],[Grist]],SMI,0)),0,IF(Table36[[#This Row],[%Wet Gluten]]&gt;INDEX(WGmax,MATCH(Table36[[#This Row],[Grist]],SMI,0)),0,1))))</f>
        <v>-</v>
      </c>
      <c r="AB53" s="127">
        <f>SUM(Table36[[#This Row],[ QI Bran Content]:[QI WG]])</f>
        <v>4</v>
      </c>
      <c r="AC53" s="127">
        <f>COUNT(Table36[[#This Row],[ QI Bran Content]:[QI WG]])</f>
        <v>4</v>
      </c>
    </row>
    <row r="54" spans="1:29" x14ac:dyDescent="0.35">
      <c r="A54" s="177">
        <v>45292</v>
      </c>
      <c r="B54" s="178">
        <v>45295</v>
      </c>
      <c r="C54" s="178" t="s">
        <v>128</v>
      </c>
      <c r="D54" s="179">
        <v>0.95833333333333337</v>
      </c>
      <c r="E54" s="180" t="s">
        <v>0</v>
      </c>
      <c r="F54" s="181" t="s">
        <v>27</v>
      </c>
      <c r="G54" s="182">
        <v>5.4000000000000003E-3</v>
      </c>
      <c r="H54" s="175" t="s">
        <v>165</v>
      </c>
      <c r="I54" s="175" t="s">
        <v>165</v>
      </c>
      <c r="J54" s="175" t="s">
        <v>165</v>
      </c>
      <c r="K54" s="175">
        <v>12.54</v>
      </c>
      <c r="L54" s="175">
        <v>12.61</v>
      </c>
      <c r="M54" s="175">
        <v>0.47</v>
      </c>
      <c r="N54" s="175">
        <v>64</v>
      </c>
      <c r="O54" s="175" t="s">
        <v>163</v>
      </c>
      <c r="P54" s="175" t="s">
        <v>163</v>
      </c>
      <c r="Q54" s="175">
        <v>35.17</v>
      </c>
      <c r="R54" s="127">
        <f>IF(Table36[[#This Row],[ Bran Content]]="-","-",IF(G54&lt;0.02,1,0))</f>
        <v>1</v>
      </c>
      <c r="S54" s="127">
        <f>IF(Table36[[#This Row],[Sieve Test]]="-","-",IF(Table36[[#This Row],[Sieve Test]]="P",1,0))</f>
        <v>1</v>
      </c>
      <c r="T54" s="127">
        <f>IF(Table36[[#This Row],[Odor]]="-","-",IF(Table36[[#This Row],[Odor]]="P",1,0))</f>
        <v>1</v>
      </c>
      <c r="U54" s="127">
        <f>IF(INDEX(MCmin,MATCH(Table36[[#This Row],[Grist]],SMI,0))="-","-",IF(Table36[[#This Row],[F1 %MC]]="-","-",IF(Table36[[#This Row],[F1 %MC]]&lt;INDEX(MCmin,MATCH(Table36[[#This Row],[Grist]],SMI,0)),0,IF(Table36[[#This Row],[F1 %MC]]&gt;INDEX(MCmax,MATCH(Table36[[#This Row],[Grist]],SMI,0)),0,1))))</f>
        <v>1</v>
      </c>
      <c r="V54" s="127">
        <f>IF(INDEX(Protmin,MATCH(Table36[[#This Row],[Grist]],SMI,0))="-","-",IF(Table36[[#This Row],[%Protein]]="-","-",IF(Table36[[#This Row],[%Protein]]&lt;INDEX(Protmin,MATCH(Table36[[#This Row],[Grist]],SMI,0)),0,IF(Table36[[#This Row],[%Protein]]&gt;INDEX(Protmax,MATCH(Table36[[#This Row],[Grist]],SMI,0)),0,1))))</f>
        <v>1</v>
      </c>
      <c r="W54" s="127">
        <f>IF(INDEX(Ashmin,MATCH(Table36[[#This Row],[Grist]],SMI,0))="-","-",IF(Table36[[#This Row],[%Ash]]="-","-",IF(Table36[[#This Row],[%Ash]]&lt;INDEX(Ashmin,MATCH(Table36[[#This Row],[Grist]],SMI,0)),0,IF(Table36[[#This Row],[%Ash]]&gt;INDEX(Ashmax,MATCH(Table36[[#This Row],[Grist]],SMI,0)),0,1))))</f>
        <v>1</v>
      </c>
      <c r="X54" s="127">
        <f>IF(INDEX(Absmin,MATCH(Table36[[#This Row],[Grist]],SMI,0))="-","-",IF(Table36[[#This Row],[%Absorption]]="-","-",IF(Table36[[#This Row],[%Absorption]]&lt;INDEX(Absmin,MATCH(Table36[[#This Row],[Grist]],SMI,0)),0,IF(Table36[[#This Row],[%Absorption]]&gt;INDEX(Absmax,MATCH(Table36[[#This Row],[Grist]],SMI,0)),0,1))))</f>
        <v>1</v>
      </c>
      <c r="Y54" s="127" t="str">
        <f>IF(INDEX(Extmin,MATCH(Table36[[#This Row],[Grist]],SMI,0))="-","-",IF(Table36[[#This Row],[%Extensibility]]="-","-",IF(Table36[[#This Row],[%Extensibility]]&lt;INDEX(Extmin,MATCH(Table36[[#This Row],[Grist]],SMI,0)),0,IF(Table36[[#This Row],[%Extensibility]]&gt;INDEX(Extmax,MATCH(Table36[[#This Row],[Grist]],SMI,0)),0,1))))</f>
        <v>-</v>
      </c>
      <c r="Z54" s="127" t="str">
        <f>IF(INDEX(Resmin,MATCH(Table36[[#This Row],[Grist]],SMI,0))="-","-",IF(Table36[[#This Row],[Resistance, max]]="-","-",IF(Table36[[#This Row],[Resistance, max]]&lt;INDEX(Resmin,MATCH(Table36[[#This Row],[Grist]],SMI,0)),0,IF(Table36[[#This Row],[Resistance, max]]&gt;INDEX(Resmax,MATCH(Table36[[#This Row],[Grist]],SMI,0)),0,1))))</f>
        <v>-</v>
      </c>
      <c r="AA54" s="127">
        <f>IF(INDEX(WGmin,MATCH(Table36[[#This Row],[Grist]],SMI,0))="-","-",IF(Table36[[#This Row],[%Wet Gluten]]="-","-",IF(Table36[[#This Row],[%Wet Gluten]]&lt;INDEX(WGmin,MATCH(Table36[[#This Row],[Grist]],SMI,0)),0,IF(Table36[[#This Row],[%Wet Gluten]]&gt;INDEX(WGmax,MATCH(Table36[[#This Row],[Grist]],SMI,0)),0,1))))</f>
        <v>1</v>
      </c>
      <c r="AB54" s="127">
        <f>SUM(Table36[[#This Row],[ QI Bran Content]:[QI WG]])</f>
        <v>8</v>
      </c>
      <c r="AC54" s="127">
        <f>COUNT(Table36[[#This Row],[ QI Bran Content]:[QI WG]])</f>
        <v>8</v>
      </c>
    </row>
    <row r="55" spans="1:29" x14ac:dyDescent="0.35">
      <c r="A55" s="177">
        <v>45292</v>
      </c>
      <c r="B55" s="178">
        <v>45295</v>
      </c>
      <c r="C55" s="178" t="s">
        <v>130</v>
      </c>
      <c r="D55" s="179">
        <v>1.0416666666666701</v>
      </c>
      <c r="E55" s="180" t="s">
        <v>0</v>
      </c>
      <c r="F55" s="181" t="s">
        <v>27</v>
      </c>
      <c r="G55" s="182">
        <v>4.0000000000000001E-3</v>
      </c>
      <c r="H55" s="175" t="s">
        <v>165</v>
      </c>
      <c r="I55" s="175" t="s">
        <v>165</v>
      </c>
      <c r="J55" s="175" t="s">
        <v>165</v>
      </c>
      <c r="K55" s="175">
        <v>12.57</v>
      </c>
      <c r="L55" s="175" t="s">
        <v>163</v>
      </c>
      <c r="M55" s="175" t="s">
        <v>163</v>
      </c>
      <c r="N55" s="175" t="s">
        <v>163</v>
      </c>
      <c r="O55" s="175" t="s">
        <v>163</v>
      </c>
      <c r="P55" s="175" t="s">
        <v>163</v>
      </c>
      <c r="Q55" s="175" t="s">
        <v>163</v>
      </c>
      <c r="R55" s="127">
        <f>IF(Table36[[#This Row],[ Bran Content]]="-","-",IF(G55&lt;0.02,1,0))</f>
        <v>1</v>
      </c>
      <c r="S55" s="127">
        <f>IF(Table36[[#This Row],[Sieve Test]]="-","-",IF(Table36[[#This Row],[Sieve Test]]="P",1,0))</f>
        <v>1</v>
      </c>
      <c r="T55" s="127">
        <f>IF(Table36[[#This Row],[Odor]]="-","-",IF(Table36[[#This Row],[Odor]]="P",1,0))</f>
        <v>1</v>
      </c>
      <c r="U55" s="127">
        <f>IF(INDEX(MCmin,MATCH(Table36[[#This Row],[Grist]],SMI,0))="-","-",IF(Table36[[#This Row],[F1 %MC]]="-","-",IF(Table36[[#This Row],[F1 %MC]]&lt;INDEX(MCmin,MATCH(Table36[[#This Row],[Grist]],SMI,0)),0,IF(Table36[[#This Row],[F1 %MC]]&gt;INDEX(MCmax,MATCH(Table36[[#This Row],[Grist]],SMI,0)),0,1))))</f>
        <v>1</v>
      </c>
      <c r="V55" s="127" t="str">
        <f>IF(INDEX(Protmin,MATCH(Table36[[#This Row],[Grist]],SMI,0))="-","-",IF(Table36[[#This Row],[%Protein]]="-","-",IF(Table36[[#This Row],[%Protein]]&lt;INDEX(Protmin,MATCH(Table36[[#This Row],[Grist]],SMI,0)),0,IF(Table36[[#This Row],[%Protein]]&gt;INDEX(Protmax,MATCH(Table36[[#This Row],[Grist]],SMI,0)),0,1))))</f>
        <v>-</v>
      </c>
      <c r="W55" s="127" t="str">
        <f>IF(INDEX(Ashmin,MATCH(Table36[[#This Row],[Grist]],SMI,0))="-","-",IF(Table36[[#This Row],[%Ash]]="-","-",IF(Table36[[#This Row],[%Ash]]&lt;INDEX(Ashmin,MATCH(Table36[[#This Row],[Grist]],SMI,0)),0,IF(Table36[[#This Row],[%Ash]]&gt;INDEX(Ashmax,MATCH(Table36[[#This Row],[Grist]],SMI,0)),0,1))))</f>
        <v>-</v>
      </c>
      <c r="X55" s="127" t="str">
        <f>IF(INDEX(Absmin,MATCH(Table36[[#This Row],[Grist]],SMI,0))="-","-",IF(Table36[[#This Row],[%Absorption]]="-","-",IF(Table36[[#This Row],[%Absorption]]&lt;INDEX(Absmin,MATCH(Table36[[#This Row],[Grist]],SMI,0)),0,IF(Table36[[#This Row],[%Absorption]]&gt;INDEX(Absmax,MATCH(Table36[[#This Row],[Grist]],SMI,0)),0,1))))</f>
        <v>-</v>
      </c>
      <c r="Y55" s="127" t="str">
        <f>IF(INDEX(Extmin,MATCH(Table36[[#This Row],[Grist]],SMI,0))="-","-",IF(Table36[[#This Row],[%Extensibility]]="-","-",IF(Table36[[#This Row],[%Extensibility]]&lt;INDEX(Extmin,MATCH(Table36[[#This Row],[Grist]],SMI,0)),0,IF(Table36[[#This Row],[%Extensibility]]&gt;INDEX(Extmax,MATCH(Table36[[#This Row],[Grist]],SMI,0)),0,1))))</f>
        <v>-</v>
      </c>
      <c r="Z55" s="127" t="str">
        <f>IF(INDEX(Resmin,MATCH(Table36[[#This Row],[Grist]],SMI,0))="-","-",IF(Table36[[#This Row],[Resistance, max]]="-","-",IF(Table36[[#This Row],[Resistance, max]]&lt;INDEX(Resmin,MATCH(Table36[[#This Row],[Grist]],SMI,0)),0,IF(Table36[[#This Row],[Resistance, max]]&gt;INDEX(Resmax,MATCH(Table36[[#This Row],[Grist]],SMI,0)),0,1))))</f>
        <v>-</v>
      </c>
      <c r="AA55" s="127" t="str">
        <f>IF(INDEX(WGmin,MATCH(Table36[[#This Row],[Grist]],SMI,0))="-","-",IF(Table36[[#This Row],[%Wet Gluten]]="-","-",IF(Table36[[#This Row],[%Wet Gluten]]&lt;INDEX(WGmin,MATCH(Table36[[#This Row],[Grist]],SMI,0)),0,IF(Table36[[#This Row],[%Wet Gluten]]&gt;INDEX(WGmax,MATCH(Table36[[#This Row],[Grist]],SMI,0)),0,1))))</f>
        <v>-</v>
      </c>
      <c r="AB55" s="127">
        <f>SUM(Table36[[#This Row],[ QI Bran Content]:[QI WG]])</f>
        <v>4</v>
      </c>
      <c r="AC55" s="127">
        <f>COUNT(Table36[[#This Row],[ QI Bran Content]:[QI WG]])</f>
        <v>4</v>
      </c>
    </row>
    <row r="56" spans="1:29" x14ac:dyDescent="0.35">
      <c r="A56" s="177">
        <v>45292</v>
      </c>
      <c r="B56" s="178">
        <v>45295</v>
      </c>
      <c r="C56" s="178" t="s">
        <v>130</v>
      </c>
      <c r="D56" s="179">
        <v>1.125</v>
      </c>
      <c r="E56" s="180" t="s">
        <v>0</v>
      </c>
      <c r="F56" s="181" t="s">
        <v>27</v>
      </c>
      <c r="G56" s="182">
        <v>7.7000000000000002E-3</v>
      </c>
      <c r="H56" s="175" t="s">
        <v>165</v>
      </c>
      <c r="I56" s="175" t="s">
        <v>165</v>
      </c>
      <c r="J56" s="175" t="s">
        <v>165</v>
      </c>
      <c r="K56" s="175">
        <v>12.61</v>
      </c>
      <c r="L56" s="175" t="s">
        <v>163</v>
      </c>
      <c r="M56" s="175" t="s">
        <v>163</v>
      </c>
      <c r="N56" s="175" t="s">
        <v>163</v>
      </c>
      <c r="O56" s="175" t="s">
        <v>163</v>
      </c>
      <c r="P56" s="175" t="s">
        <v>163</v>
      </c>
      <c r="Q56" s="175" t="s">
        <v>163</v>
      </c>
      <c r="R56" s="127">
        <f>IF(Table36[[#This Row],[ Bran Content]]="-","-",IF(G56&lt;0.02,1,0))</f>
        <v>1</v>
      </c>
      <c r="S56" s="127">
        <f>IF(Table36[[#This Row],[Sieve Test]]="-","-",IF(Table36[[#This Row],[Sieve Test]]="P",1,0))</f>
        <v>1</v>
      </c>
      <c r="T56" s="127">
        <f>IF(Table36[[#This Row],[Odor]]="-","-",IF(Table36[[#This Row],[Odor]]="P",1,0))</f>
        <v>1</v>
      </c>
      <c r="U56" s="127">
        <f>IF(INDEX(MCmin,MATCH(Table36[[#This Row],[Grist]],SMI,0))="-","-",IF(Table36[[#This Row],[F1 %MC]]="-","-",IF(Table36[[#This Row],[F1 %MC]]&lt;INDEX(MCmin,MATCH(Table36[[#This Row],[Grist]],SMI,0)),0,IF(Table36[[#This Row],[F1 %MC]]&gt;INDEX(MCmax,MATCH(Table36[[#This Row],[Grist]],SMI,0)),0,1))))</f>
        <v>1</v>
      </c>
      <c r="V56" s="127" t="str">
        <f>IF(INDEX(Protmin,MATCH(Table36[[#This Row],[Grist]],SMI,0))="-","-",IF(Table36[[#This Row],[%Protein]]="-","-",IF(Table36[[#This Row],[%Protein]]&lt;INDEX(Protmin,MATCH(Table36[[#This Row],[Grist]],SMI,0)),0,IF(Table36[[#This Row],[%Protein]]&gt;INDEX(Protmax,MATCH(Table36[[#This Row],[Grist]],SMI,0)),0,1))))</f>
        <v>-</v>
      </c>
      <c r="W56" s="127" t="str">
        <f>IF(INDEX(Ashmin,MATCH(Table36[[#This Row],[Grist]],SMI,0))="-","-",IF(Table36[[#This Row],[%Ash]]="-","-",IF(Table36[[#This Row],[%Ash]]&lt;INDEX(Ashmin,MATCH(Table36[[#This Row],[Grist]],SMI,0)),0,IF(Table36[[#This Row],[%Ash]]&gt;INDEX(Ashmax,MATCH(Table36[[#This Row],[Grist]],SMI,0)),0,1))))</f>
        <v>-</v>
      </c>
      <c r="X56" s="127" t="str">
        <f>IF(INDEX(Absmin,MATCH(Table36[[#This Row],[Grist]],SMI,0))="-","-",IF(Table36[[#This Row],[%Absorption]]="-","-",IF(Table36[[#This Row],[%Absorption]]&lt;INDEX(Absmin,MATCH(Table36[[#This Row],[Grist]],SMI,0)),0,IF(Table36[[#This Row],[%Absorption]]&gt;INDEX(Absmax,MATCH(Table36[[#This Row],[Grist]],SMI,0)),0,1))))</f>
        <v>-</v>
      </c>
      <c r="Y56" s="127" t="str">
        <f>IF(INDEX(Extmin,MATCH(Table36[[#This Row],[Grist]],SMI,0))="-","-",IF(Table36[[#This Row],[%Extensibility]]="-","-",IF(Table36[[#This Row],[%Extensibility]]&lt;INDEX(Extmin,MATCH(Table36[[#This Row],[Grist]],SMI,0)),0,IF(Table36[[#This Row],[%Extensibility]]&gt;INDEX(Extmax,MATCH(Table36[[#This Row],[Grist]],SMI,0)),0,1))))</f>
        <v>-</v>
      </c>
      <c r="Z56" s="127" t="str">
        <f>IF(INDEX(Resmin,MATCH(Table36[[#This Row],[Grist]],SMI,0))="-","-",IF(Table36[[#This Row],[Resistance, max]]="-","-",IF(Table36[[#This Row],[Resistance, max]]&lt;INDEX(Resmin,MATCH(Table36[[#This Row],[Grist]],SMI,0)),0,IF(Table36[[#This Row],[Resistance, max]]&gt;INDEX(Resmax,MATCH(Table36[[#This Row],[Grist]],SMI,0)),0,1))))</f>
        <v>-</v>
      </c>
      <c r="AA56" s="127" t="str">
        <f>IF(INDEX(WGmin,MATCH(Table36[[#This Row],[Grist]],SMI,0))="-","-",IF(Table36[[#This Row],[%Wet Gluten]]="-","-",IF(Table36[[#This Row],[%Wet Gluten]]&lt;INDEX(WGmin,MATCH(Table36[[#This Row],[Grist]],SMI,0)),0,IF(Table36[[#This Row],[%Wet Gluten]]&gt;INDEX(WGmax,MATCH(Table36[[#This Row],[Grist]],SMI,0)),0,1))))</f>
        <v>-</v>
      </c>
      <c r="AB56" s="127">
        <f>SUM(Table36[[#This Row],[ QI Bran Content]:[QI WG]])</f>
        <v>4</v>
      </c>
      <c r="AC56" s="127">
        <f>COUNT(Table36[[#This Row],[ QI Bran Content]:[QI WG]])</f>
        <v>4</v>
      </c>
    </row>
    <row r="57" spans="1:29" x14ac:dyDescent="0.35">
      <c r="A57" s="177">
        <v>45292</v>
      </c>
      <c r="B57" s="178">
        <v>45295</v>
      </c>
      <c r="C57" s="178" t="s">
        <v>130</v>
      </c>
      <c r="D57" s="179">
        <v>1.2083333333333299</v>
      </c>
      <c r="E57" s="180" t="s">
        <v>0</v>
      </c>
      <c r="F57" s="181" t="s">
        <v>27</v>
      </c>
      <c r="G57" s="182">
        <v>8.6999999999999994E-3</v>
      </c>
      <c r="H57" s="175" t="s">
        <v>165</v>
      </c>
      <c r="I57" s="175" t="s">
        <v>165</v>
      </c>
      <c r="J57" s="175" t="s">
        <v>165</v>
      </c>
      <c r="K57" s="175">
        <v>13.51</v>
      </c>
      <c r="L57" s="175" t="s">
        <v>163</v>
      </c>
      <c r="M57" s="175" t="s">
        <v>163</v>
      </c>
      <c r="N57" s="175" t="s">
        <v>163</v>
      </c>
      <c r="O57" s="175" t="s">
        <v>163</v>
      </c>
      <c r="P57" s="175" t="s">
        <v>163</v>
      </c>
      <c r="Q57" s="175" t="s">
        <v>163</v>
      </c>
      <c r="R57" s="127">
        <f>IF(Table36[[#This Row],[ Bran Content]]="-","-",IF(G57&lt;0.02,1,0))</f>
        <v>1</v>
      </c>
      <c r="S57" s="127">
        <f>IF(Table36[[#This Row],[Sieve Test]]="-","-",IF(Table36[[#This Row],[Sieve Test]]="P",1,0))</f>
        <v>1</v>
      </c>
      <c r="T57" s="127">
        <f>IF(Table36[[#This Row],[Odor]]="-","-",IF(Table36[[#This Row],[Odor]]="P",1,0))</f>
        <v>1</v>
      </c>
      <c r="U57" s="127">
        <f>IF(INDEX(MCmin,MATCH(Table36[[#This Row],[Grist]],SMI,0))="-","-",IF(Table36[[#This Row],[F1 %MC]]="-","-",IF(Table36[[#This Row],[F1 %MC]]&lt;INDEX(MCmin,MATCH(Table36[[#This Row],[Grist]],SMI,0)),0,IF(Table36[[#This Row],[F1 %MC]]&gt;INDEX(MCmax,MATCH(Table36[[#This Row],[Grist]],SMI,0)),0,1))))</f>
        <v>1</v>
      </c>
      <c r="V57" s="127" t="str">
        <f>IF(INDEX(Protmin,MATCH(Table36[[#This Row],[Grist]],SMI,0))="-","-",IF(Table36[[#This Row],[%Protein]]="-","-",IF(Table36[[#This Row],[%Protein]]&lt;INDEX(Protmin,MATCH(Table36[[#This Row],[Grist]],SMI,0)),0,IF(Table36[[#This Row],[%Protein]]&gt;INDEX(Protmax,MATCH(Table36[[#This Row],[Grist]],SMI,0)),0,1))))</f>
        <v>-</v>
      </c>
      <c r="W57" s="127" t="str">
        <f>IF(INDEX(Ashmin,MATCH(Table36[[#This Row],[Grist]],SMI,0))="-","-",IF(Table36[[#This Row],[%Ash]]="-","-",IF(Table36[[#This Row],[%Ash]]&lt;INDEX(Ashmin,MATCH(Table36[[#This Row],[Grist]],SMI,0)),0,IF(Table36[[#This Row],[%Ash]]&gt;INDEX(Ashmax,MATCH(Table36[[#This Row],[Grist]],SMI,0)),0,1))))</f>
        <v>-</v>
      </c>
      <c r="X57" s="127" t="str">
        <f>IF(INDEX(Absmin,MATCH(Table36[[#This Row],[Grist]],SMI,0))="-","-",IF(Table36[[#This Row],[%Absorption]]="-","-",IF(Table36[[#This Row],[%Absorption]]&lt;INDEX(Absmin,MATCH(Table36[[#This Row],[Grist]],SMI,0)),0,IF(Table36[[#This Row],[%Absorption]]&gt;INDEX(Absmax,MATCH(Table36[[#This Row],[Grist]],SMI,0)),0,1))))</f>
        <v>-</v>
      </c>
      <c r="Y57" s="127" t="str">
        <f>IF(INDEX(Extmin,MATCH(Table36[[#This Row],[Grist]],SMI,0))="-","-",IF(Table36[[#This Row],[%Extensibility]]="-","-",IF(Table36[[#This Row],[%Extensibility]]&lt;INDEX(Extmin,MATCH(Table36[[#This Row],[Grist]],SMI,0)),0,IF(Table36[[#This Row],[%Extensibility]]&gt;INDEX(Extmax,MATCH(Table36[[#This Row],[Grist]],SMI,0)),0,1))))</f>
        <v>-</v>
      </c>
      <c r="Z57" s="127" t="str">
        <f>IF(INDEX(Resmin,MATCH(Table36[[#This Row],[Grist]],SMI,0))="-","-",IF(Table36[[#This Row],[Resistance, max]]="-","-",IF(Table36[[#This Row],[Resistance, max]]&lt;INDEX(Resmin,MATCH(Table36[[#This Row],[Grist]],SMI,0)),0,IF(Table36[[#This Row],[Resistance, max]]&gt;INDEX(Resmax,MATCH(Table36[[#This Row],[Grist]],SMI,0)),0,1))))</f>
        <v>-</v>
      </c>
      <c r="AA57" s="127" t="str">
        <f>IF(INDEX(WGmin,MATCH(Table36[[#This Row],[Grist]],SMI,0))="-","-",IF(Table36[[#This Row],[%Wet Gluten]]="-","-",IF(Table36[[#This Row],[%Wet Gluten]]&lt;INDEX(WGmin,MATCH(Table36[[#This Row],[Grist]],SMI,0)),0,IF(Table36[[#This Row],[%Wet Gluten]]&gt;INDEX(WGmax,MATCH(Table36[[#This Row],[Grist]],SMI,0)),0,1))))</f>
        <v>-</v>
      </c>
      <c r="AB57" s="127">
        <f>SUM(Table36[[#This Row],[ QI Bran Content]:[QI WG]])</f>
        <v>4</v>
      </c>
      <c r="AC57" s="127">
        <f>COUNT(Table36[[#This Row],[ QI Bran Content]:[QI WG]])</f>
        <v>4</v>
      </c>
    </row>
    <row r="58" spans="1:29" x14ac:dyDescent="0.35">
      <c r="A58" s="177">
        <v>45292</v>
      </c>
      <c r="B58" s="178">
        <v>45296</v>
      </c>
      <c r="C58" s="178" t="s">
        <v>128</v>
      </c>
      <c r="D58" s="179">
        <v>0.625</v>
      </c>
      <c r="E58" s="180" t="s">
        <v>0</v>
      </c>
      <c r="F58" s="181" t="s">
        <v>27</v>
      </c>
      <c r="G58" s="182">
        <v>2.7000000000000001E-3</v>
      </c>
      <c r="H58" s="175" t="s">
        <v>165</v>
      </c>
      <c r="I58" s="175" t="s">
        <v>165</v>
      </c>
      <c r="J58" s="175" t="s">
        <v>165</v>
      </c>
      <c r="K58" s="175">
        <v>13.44</v>
      </c>
      <c r="L58" s="175">
        <v>12.74</v>
      </c>
      <c r="M58" s="175">
        <v>0.47</v>
      </c>
      <c r="N58" s="175">
        <v>64</v>
      </c>
      <c r="O58" s="175">
        <v>20.7</v>
      </c>
      <c r="P58" s="175">
        <v>988</v>
      </c>
      <c r="Q58" s="175">
        <v>35.4</v>
      </c>
      <c r="R58" s="127">
        <f>IF(Table36[[#This Row],[ Bran Content]]="-","-",IF(G58&lt;0.02,1,0))</f>
        <v>1</v>
      </c>
      <c r="S58" s="127">
        <f>IF(Table36[[#This Row],[Sieve Test]]="-","-",IF(Table36[[#This Row],[Sieve Test]]="P",1,0))</f>
        <v>1</v>
      </c>
      <c r="T58" s="127">
        <f>IF(Table36[[#This Row],[Odor]]="-","-",IF(Table36[[#This Row],[Odor]]="P",1,0))</f>
        <v>1</v>
      </c>
      <c r="U58" s="127">
        <f>IF(INDEX(MCmin,MATCH(Table36[[#This Row],[Grist]],SMI,0))="-","-",IF(Table36[[#This Row],[F1 %MC]]="-","-",IF(Table36[[#This Row],[F1 %MC]]&lt;INDEX(MCmin,MATCH(Table36[[#This Row],[Grist]],SMI,0)),0,IF(Table36[[#This Row],[F1 %MC]]&gt;INDEX(MCmax,MATCH(Table36[[#This Row],[Grist]],SMI,0)),0,1))))</f>
        <v>1</v>
      </c>
      <c r="V58" s="127">
        <f>IF(INDEX(Protmin,MATCH(Table36[[#This Row],[Grist]],SMI,0))="-","-",IF(Table36[[#This Row],[%Protein]]="-","-",IF(Table36[[#This Row],[%Protein]]&lt;INDEX(Protmin,MATCH(Table36[[#This Row],[Grist]],SMI,0)),0,IF(Table36[[#This Row],[%Protein]]&gt;INDEX(Protmax,MATCH(Table36[[#This Row],[Grist]],SMI,0)),0,1))))</f>
        <v>1</v>
      </c>
      <c r="W58" s="127">
        <f>IF(INDEX(Ashmin,MATCH(Table36[[#This Row],[Grist]],SMI,0))="-","-",IF(Table36[[#This Row],[%Ash]]="-","-",IF(Table36[[#This Row],[%Ash]]&lt;INDEX(Ashmin,MATCH(Table36[[#This Row],[Grist]],SMI,0)),0,IF(Table36[[#This Row],[%Ash]]&gt;INDEX(Ashmax,MATCH(Table36[[#This Row],[Grist]],SMI,0)),0,1))))</f>
        <v>1</v>
      </c>
      <c r="X58" s="127">
        <f>IF(INDEX(Absmin,MATCH(Table36[[#This Row],[Grist]],SMI,0))="-","-",IF(Table36[[#This Row],[%Absorption]]="-","-",IF(Table36[[#This Row],[%Absorption]]&lt;INDEX(Absmin,MATCH(Table36[[#This Row],[Grist]],SMI,0)),0,IF(Table36[[#This Row],[%Absorption]]&gt;INDEX(Absmax,MATCH(Table36[[#This Row],[Grist]],SMI,0)),0,1))))</f>
        <v>1</v>
      </c>
      <c r="Y58" s="127">
        <f>IF(INDEX(Extmin,MATCH(Table36[[#This Row],[Grist]],SMI,0))="-","-",IF(Table36[[#This Row],[%Extensibility]]="-","-",IF(Table36[[#This Row],[%Extensibility]]&lt;INDEX(Extmin,MATCH(Table36[[#This Row],[Grist]],SMI,0)),0,IF(Table36[[#This Row],[%Extensibility]]&gt;INDEX(Extmax,MATCH(Table36[[#This Row],[Grist]],SMI,0)),0,1))))</f>
        <v>1</v>
      </c>
      <c r="Z58" s="127">
        <f>IF(INDEX(Resmin,MATCH(Table36[[#This Row],[Grist]],SMI,0))="-","-",IF(Table36[[#This Row],[Resistance, max]]="-","-",IF(Table36[[#This Row],[Resistance, max]]&lt;INDEX(Resmin,MATCH(Table36[[#This Row],[Grist]],SMI,0)),0,IF(Table36[[#This Row],[Resistance, max]]&gt;INDEX(Resmax,MATCH(Table36[[#This Row],[Grist]],SMI,0)),0,1))))</f>
        <v>1</v>
      </c>
      <c r="AA58" s="127">
        <f>IF(INDEX(WGmin,MATCH(Table36[[#This Row],[Grist]],SMI,0))="-","-",IF(Table36[[#This Row],[%Wet Gluten]]="-","-",IF(Table36[[#This Row],[%Wet Gluten]]&lt;INDEX(WGmin,MATCH(Table36[[#This Row],[Grist]],SMI,0)),0,IF(Table36[[#This Row],[%Wet Gluten]]&gt;INDEX(WGmax,MATCH(Table36[[#This Row],[Grist]],SMI,0)),0,1))))</f>
        <v>1</v>
      </c>
      <c r="AB58" s="127">
        <f>SUM(Table36[[#This Row],[ QI Bran Content]:[QI WG]])</f>
        <v>10</v>
      </c>
      <c r="AC58" s="127">
        <f>COUNT(Table36[[#This Row],[ QI Bran Content]:[QI WG]])</f>
        <v>10</v>
      </c>
    </row>
    <row r="59" spans="1:29" x14ac:dyDescent="0.35">
      <c r="A59" s="177">
        <v>45292</v>
      </c>
      <c r="B59" s="178">
        <v>45296</v>
      </c>
      <c r="C59" s="178" t="s">
        <v>128</v>
      </c>
      <c r="D59" s="179">
        <v>0.70833333333333304</v>
      </c>
      <c r="E59" s="180" t="s">
        <v>0</v>
      </c>
      <c r="F59" s="181" t="s">
        <v>27</v>
      </c>
      <c r="G59" s="182">
        <v>2.8999999999999998E-3</v>
      </c>
      <c r="H59" s="175" t="s">
        <v>165</v>
      </c>
      <c r="I59" s="175" t="s">
        <v>165</v>
      </c>
      <c r="J59" s="175" t="s">
        <v>165</v>
      </c>
      <c r="K59" s="175">
        <v>13.47</v>
      </c>
      <c r="L59" s="175" t="s">
        <v>163</v>
      </c>
      <c r="M59" s="175" t="s">
        <v>163</v>
      </c>
      <c r="N59" s="175" t="s">
        <v>163</v>
      </c>
      <c r="O59" s="175" t="s">
        <v>163</v>
      </c>
      <c r="P59" s="175" t="s">
        <v>163</v>
      </c>
      <c r="Q59" s="175" t="s">
        <v>163</v>
      </c>
      <c r="R59" s="127">
        <f>IF(Table36[[#This Row],[ Bran Content]]="-","-",IF(G59&lt;0.02,1,0))</f>
        <v>1</v>
      </c>
      <c r="S59" s="127">
        <f>IF(Table36[[#This Row],[Sieve Test]]="-","-",IF(Table36[[#This Row],[Sieve Test]]="P",1,0))</f>
        <v>1</v>
      </c>
      <c r="T59" s="127">
        <f>IF(Table36[[#This Row],[Odor]]="-","-",IF(Table36[[#This Row],[Odor]]="P",1,0))</f>
        <v>1</v>
      </c>
      <c r="U59" s="127">
        <f>IF(INDEX(MCmin,MATCH(Table36[[#This Row],[Grist]],SMI,0))="-","-",IF(Table36[[#This Row],[F1 %MC]]="-","-",IF(Table36[[#This Row],[F1 %MC]]&lt;INDEX(MCmin,MATCH(Table36[[#This Row],[Grist]],SMI,0)),0,IF(Table36[[#This Row],[F1 %MC]]&gt;INDEX(MCmax,MATCH(Table36[[#This Row],[Grist]],SMI,0)),0,1))))</f>
        <v>1</v>
      </c>
      <c r="V59" s="127" t="str">
        <f>IF(INDEX(Protmin,MATCH(Table36[[#This Row],[Grist]],SMI,0))="-","-",IF(Table36[[#This Row],[%Protein]]="-","-",IF(Table36[[#This Row],[%Protein]]&lt;INDEX(Protmin,MATCH(Table36[[#This Row],[Grist]],SMI,0)),0,IF(Table36[[#This Row],[%Protein]]&gt;INDEX(Protmax,MATCH(Table36[[#This Row],[Grist]],SMI,0)),0,1))))</f>
        <v>-</v>
      </c>
      <c r="W59" s="127" t="str">
        <f>IF(INDEX(Ashmin,MATCH(Table36[[#This Row],[Grist]],SMI,0))="-","-",IF(Table36[[#This Row],[%Ash]]="-","-",IF(Table36[[#This Row],[%Ash]]&lt;INDEX(Ashmin,MATCH(Table36[[#This Row],[Grist]],SMI,0)),0,IF(Table36[[#This Row],[%Ash]]&gt;INDEX(Ashmax,MATCH(Table36[[#This Row],[Grist]],SMI,0)),0,1))))</f>
        <v>-</v>
      </c>
      <c r="X59" s="127" t="str">
        <f>IF(INDEX(Absmin,MATCH(Table36[[#This Row],[Grist]],SMI,0))="-","-",IF(Table36[[#This Row],[%Absorption]]="-","-",IF(Table36[[#This Row],[%Absorption]]&lt;INDEX(Absmin,MATCH(Table36[[#This Row],[Grist]],SMI,0)),0,IF(Table36[[#This Row],[%Absorption]]&gt;INDEX(Absmax,MATCH(Table36[[#This Row],[Grist]],SMI,0)),0,1))))</f>
        <v>-</v>
      </c>
      <c r="Y59" s="127" t="str">
        <f>IF(INDEX(Extmin,MATCH(Table36[[#This Row],[Grist]],SMI,0))="-","-",IF(Table36[[#This Row],[%Extensibility]]="-","-",IF(Table36[[#This Row],[%Extensibility]]&lt;INDEX(Extmin,MATCH(Table36[[#This Row],[Grist]],SMI,0)),0,IF(Table36[[#This Row],[%Extensibility]]&gt;INDEX(Extmax,MATCH(Table36[[#This Row],[Grist]],SMI,0)),0,1))))</f>
        <v>-</v>
      </c>
      <c r="Z59" s="127" t="str">
        <f>IF(INDEX(Resmin,MATCH(Table36[[#This Row],[Grist]],SMI,0))="-","-",IF(Table36[[#This Row],[Resistance, max]]="-","-",IF(Table36[[#This Row],[Resistance, max]]&lt;INDEX(Resmin,MATCH(Table36[[#This Row],[Grist]],SMI,0)),0,IF(Table36[[#This Row],[Resistance, max]]&gt;INDEX(Resmax,MATCH(Table36[[#This Row],[Grist]],SMI,0)),0,1))))</f>
        <v>-</v>
      </c>
      <c r="AA59" s="127" t="str">
        <f>IF(INDEX(WGmin,MATCH(Table36[[#This Row],[Grist]],SMI,0))="-","-",IF(Table36[[#This Row],[%Wet Gluten]]="-","-",IF(Table36[[#This Row],[%Wet Gluten]]&lt;INDEX(WGmin,MATCH(Table36[[#This Row],[Grist]],SMI,0)),0,IF(Table36[[#This Row],[%Wet Gluten]]&gt;INDEX(WGmax,MATCH(Table36[[#This Row],[Grist]],SMI,0)),0,1))))</f>
        <v>-</v>
      </c>
      <c r="AB59" s="127">
        <f>SUM(Table36[[#This Row],[ QI Bran Content]:[QI WG]])</f>
        <v>4</v>
      </c>
      <c r="AC59" s="127">
        <f>COUNT(Table36[[#This Row],[ QI Bran Content]:[QI WG]])</f>
        <v>4</v>
      </c>
    </row>
    <row r="60" spans="1:29" x14ac:dyDescent="0.35">
      <c r="A60" s="177">
        <v>45292</v>
      </c>
      <c r="B60" s="178">
        <v>45296</v>
      </c>
      <c r="C60" s="178" t="s">
        <v>128</v>
      </c>
      <c r="D60" s="179">
        <v>0.79166666666666596</v>
      </c>
      <c r="E60" s="180" t="s">
        <v>0</v>
      </c>
      <c r="F60" s="181" t="s">
        <v>27</v>
      </c>
      <c r="G60" s="182">
        <v>1.6999999999999999E-3</v>
      </c>
      <c r="H60" s="175" t="s">
        <v>165</v>
      </c>
      <c r="I60" s="175" t="s">
        <v>165</v>
      </c>
      <c r="J60" s="175" t="s">
        <v>165</v>
      </c>
      <c r="K60" s="175">
        <v>13.59</v>
      </c>
      <c r="L60" s="175" t="s">
        <v>163</v>
      </c>
      <c r="M60" s="175" t="s">
        <v>163</v>
      </c>
      <c r="N60" s="175" t="s">
        <v>163</v>
      </c>
      <c r="O60" s="175" t="s">
        <v>163</v>
      </c>
      <c r="P60" s="175" t="s">
        <v>163</v>
      </c>
      <c r="Q60" s="175" t="s">
        <v>163</v>
      </c>
      <c r="R60" s="127">
        <f>IF(Table36[[#This Row],[ Bran Content]]="-","-",IF(G60&lt;0.02,1,0))</f>
        <v>1</v>
      </c>
      <c r="S60" s="127">
        <f>IF(Table36[[#This Row],[Sieve Test]]="-","-",IF(Table36[[#This Row],[Sieve Test]]="P",1,0))</f>
        <v>1</v>
      </c>
      <c r="T60" s="127">
        <f>IF(Table36[[#This Row],[Odor]]="-","-",IF(Table36[[#This Row],[Odor]]="P",1,0))</f>
        <v>1</v>
      </c>
      <c r="U60" s="127">
        <f>IF(INDEX(MCmin,MATCH(Table36[[#This Row],[Grist]],SMI,0))="-","-",IF(Table36[[#This Row],[F1 %MC]]="-","-",IF(Table36[[#This Row],[F1 %MC]]&lt;INDEX(MCmin,MATCH(Table36[[#This Row],[Grist]],SMI,0)),0,IF(Table36[[#This Row],[F1 %MC]]&gt;INDEX(MCmax,MATCH(Table36[[#This Row],[Grist]],SMI,0)),0,1))))</f>
        <v>1</v>
      </c>
      <c r="V60" s="127" t="str">
        <f>IF(INDEX(Protmin,MATCH(Table36[[#This Row],[Grist]],SMI,0))="-","-",IF(Table36[[#This Row],[%Protein]]="-","-",IF(Table36[[#This Row],[%Protein]]&lt;INDEX(Protmin,MATCH(Table36[[#This Row],[Grist]],SMI,0)),0,IF(Table36[[#This Row],[%Protein]]&gt;INDEX(Protmax,MATCH(Table36[[#This Row],[Grist]],SMI,0)),0,1))))</f>
        <v>-</v>
      </c>
      <c r="W60" s="127" t="str">
        <f>IF(INDEX(Ashmin,MATCH(Table36[[#This Row],[Grist]],SMI,0))="-","-",IF(Table36[[#This Row],[%Ash]]="-","-",IF(Table36[[#This Row],[%Ash]]&lt;INDEX(Ashmin,MATCH(Table36[[#This Row],[Grist]],SMI,0)),0,IF(Table36[[#This Row],[%Ash]]&gt;INDEX(Ashmax,MATCH(Table36[[#This Row],[Grist]],SMI,0)),0,1))))</f>
        <v>-</v>
      </c>
      <c r="X60" s="127" t="str">
        <f>IF(INDEX(Absmin,MATCH(Table36[[#This Row],[Grist]],SMI,0))="-","-",IF(Table36[[#This Row],[%Absorption]]="-","-",IF(Table36[[#This Row],[%Absorption]]&lt;INDEX(Absmin,MATCH(Table36[[#This Row],[Grist]],SMI,0)),0,IF(Table36[[#This Row],[%Absorption]]&gt;INDEX(Absmax,MATCH(Table36[[#This Row],[Grist]],SMI,0)),0,1))))</f>
        <v>-</v>
      </c>
      <c r="Y60" s="127" t="str">
        <f>IF(INDEX(Extmin,MATCH(Table36[[#This Row],[Grist]],SMI,0))="-","-",IF(Table36[[#This Row],[%Extensibility]]="-","-",IF(Table36[[#This Row],[%Extensibility]]&lt;INDEX(Extmin,MATCH(Table36[[#This Row],[Grist]],SMI,0)),0,IF(Table36[[#This Row],[%Extensibility]]&gt;INDEX(Extmax,MATCH(Table36[[#This Row],[Grist]],SMI,0)),0,1))))</f>
        <v>-</v>
      </c>
      <c r="Z60" s="127" t="str">
        <f>IF(INDEX(Resmin,MATCH(Table36[[#This Row],[Grist]],SMI,0))="-","-",IF(Table36[[#This Row],[Resistance, max]]="-","-",IF(Table36[[#This Row],[Resistance, max]]&lt;INDEX(Resmin,MATCH(Table36[[#This Row],[Grist]],SMI,0)),0,IF(Table36[[#This Row],[Resistance, max]]&gt;INDEX(Resmax,MATCH(Table36[[#This Row],[Grist]],SMI,0)),0,1))))</f>
        <v>-</v>
      </c>
      <c r="AA60" s="127" t="str">
        <f>IF(INDEX(WGmin,MATCH(Table36[[#This Row],[Grist]],SMI,0))="-","-",IF(Table36[[#This Row],[%Wet Gluten]]="-","-",IF(Table36[[#This Row],[%Wet Gluten]]&lt;INDEX(WGmin,MATCH(Table36[[#This Row],[Grist]],SMI,0)),0,IF(Table36[[#This Row],[%Wet Gluten]]&gt;INDEX(WGmax,MATCH(Table36[[#This Row],[Grist]],SMI,0)),0,1))))</f>
        <v>-</v>
      </c>
      <c r="AB60" s="127">
        <f>SUM(Table36[[#This Row],[ QI Bran Content]:[QI WG]])</f>
        <v>4</v>
      </c>
      <c r="AC60" s="127">
        <f>COUNT(Table36[[#This Row],[ QI Bran Content]:[QI WG]])</f>
        <v>4</v>
      </c>
    </row>
    <row r="61" spans="1:29" x14ac:dyDescent="0.35">
      <c r="A61" s="177">
        <v>45292</v>
      </c>
      <c r="B61" s="178">
        <v>45296</v>
      </c>
      <c r="C61" s="178" t="s">
        <v>128</v>
      </c>
      <c r="D61" s="179">
        <v>0.874999999999999</v>
      </c>
      <c r="E61" s="180" t="s">
        <v>0</v>
      </c>
      <c r="F61" s="181" t="s">
        <v>27</v>
      </c>
      <c r="G61" s="182">
        <v>1.9E-3</v>
      </c>
      <c r="H61" s="175" t="s">
        <v>165</v>
      </c>
      <c r="I61" s="175" t="s">
        <v>165</v>
      </c>
      <c r="J61" s="175" t="s">
        <v>165</v>
      </c>
      <c r="K61" s="175">
        <v>13.16</v>
      </c>
      <c r="L61" s="175" t="s">
        <v>163</v>
      </c>
      <c r="M61" s="175" t="s">
        <v>163</v>
      </c>
      <c r="N61" s="175" t="s">
        <v>163</v>
      </c>
      <c r="O61" s="175" t="s">
        <v>163</v>
      </c>
      <c r="P61" s="175" t="s">
        <v>163</v>
      </c>
      <c r="Q61" s="175" t="s">
        <v>163</v>
      </c>
      <c r="R61" s="127">
        <f>IF(Table36[[#This Row],[ Bran Content]]="-","-",IF(G61&lt;0.02,1,0))</f>
        <v>1</v>
      </c>
      <c r="S61" s="127">
        <f>IF(Table36[[#This Row],[Sieve Test]]="-","-",IF(Table36[[#This Row],[Sieve Test]]="P",1,0))</f>
        <v>1</v>
      </c>
      <c r="T61" s="127">
        <f>IF(Table36[[#This Row],[Odor]]="-","-",IF(Table36[[#This Row],[Odor]]="P",1,0))</f>
        <v>1</v>
      </c>
      <c r="U61" s="127">
        <f>IF(INDEX(MCmin,MATCH(Table36[[#This Row],[Grist]],SMI,0))="-","-",IF(Table36[[#This Row],[F1 %MC]]="-","-",IF(Table36[[#This Row],[F1 %MC]]&lt;INDEX(MCmin,MATCH(Table36[[#This Row],[Grist]],SMI,0)),0,IF(Table36[[#This Row],[F1 %MC]]&gt;INDEX(MCmax,MATCH(Table36[[#This Row],[Grist]],SMI,0)),0,1))))</f>
        <v>1</v>
      </c>
      <c r="V61" s="127" t="str">
        <f>IF(INDEX(Protmin,MATCH(Table36[[#This Row],[Grist]],SMI,0))="-","-",IF(Table36[[#This Row],[%Protein]]="-","-",IF(Table36[[#This Row],[%Protein]]&lt;INDEX(Protmin,MATCH(Table36[[#This Row],[Grist]],SMI,0)),0,IF(Table36[[#This Row],[%Protein]]&gt;INDEX(Protmax,MATCH(Table36[[#This Row],[Grist]],SMI,0)),0,1))))</f>
        <v>-</v>
      </c>
      <c r="W61" s="127" t="str">
        <f>IF(INDEX(Ashmin,MATCH(Table36[[#This Row],[Grist]],SMI,0))="-","-",IF(Table36[[#This Row],[%Ash]]="-","-",IF(Table36[[#This Row],[%Ash]]&lt;INDEX(Ashmin,MATCH(Table36[[#This Row],[Grist]],SMI,0)),0,IF(Table36[[#This Row],[%Ash]]&gt;INDEX(Ashmax,MATCH(Table36[[#This Row],[Grist]],SMI,0)),0,1))))</f>
        <v>-</v>
      </c>
      <c r="X61" s="127" t="str">
        <f>IF(INDEX(Absmin,MATCH(Table36[[#This Row],[Grist]],SMI,0))="-","-",IF(Table36[[#This Row],[%Absorption]]="-","-",IF(Table36[[#This Row],[%Absorption]]&lt;INDEX(Absmin,MATCH(Table36[[#This Row],[Grist]],SMI,0)),0,IF(Table36[[#This Row],[%Absorption]]&gt;INDEX(Absmax,MATCH(Table36[[#This Row],[Grist]],SMI,0)),0,1))))</f>
        <v>-</v>
      </c>
      <c r="Y61" s="127" t="str">
        <f>IF(INDEX(Extmin,MATCH(Table36[[#This Row],[Grist]],SMI,0))="-","-",IF(Table36[[#This Row],[%Extensibility]]="-","-",IF(Table36[[#This Row],[%Extensibility]]&lt;INDEX(Extmin,MATCH(Table36[[#This Row],[Grist]],SMI,0)),0,IF(Table36[[#This Row],[%Extensibility]]&gt;INDEX(Extmax,MATCH(Table36[[#This Row],[Grist]],SMI,0)),0,1))))</f>
        <v>-</v>
      </c>
      <c r="Z61" s="127" t="str">
        <f>IF(INDEX(Resmin,MATCH(Table36[[#This Row],[Grist]],SMI,0))="-","-",IF(Table36[[#This Row],[Resistance, max]]="-","-",IF(Table36[[#This Row],[Resistance, max]]&lt;INDEX(Resmin,MATCH(Table36[[#This Row],[Grist]],SMI,0)),0,IF(Table36[[#This Row],[Resistance, max]]&gt;INDEX(Resmax,MATCH(Table36[[#This Row],[Grist]],SMI,0)),0,1))))</f>
        <v>-</v>
      </c>
      <c r="AA61" s="127" t="str">
        <f>IF(INDEX(WGmin,MATCH(Table36[[#This Row],[Grist]],SMI,0))="-","-",IF(Table36[[#This Row],[%Wet Gluten]]="-","-",IF(Table36[[#This Row],[%Wet Gluten]]&lt;INDEX(WGmin,MATCH(Table36[[#This Row],[Grist]],SMI,0)),0,IF(Table36[[#This Row],[%Wet Gluten]]&gt;INDEX(WGmax,MATCH(Table36[[#This Row],[Grist]],SMI,0)),0,1))))</f>
        <v>-</v>
      </c>
      <c r="AB61" s="127">
        <f>SUM(Table36[[#This Row],[ QI Bran Content]:[QI WG]])</f>
        <v>4</v>
      </c>
      <c r="AC61" s="127">
        <f>COUNT(Table36[[#This Row],[ QI Bran Content]:[QI WG]])</f>
        <v>4</v>
      </c>
    </row>
    <row r="62" spans="1:29" x14ac:dyDescent="0.35">
      <c r="A62" s="177">
        <v>45292</v>
      </c>
      <c r="B62" s="178">
        <v>45298</v>
      </c>
      <c r="C62" s="178" t="s">
        <v>128</v>
      </c>
      <c r="D62" s="179">
        <v>0.625</v>
      </c>
      <c r="E62" s="180" t="s">
        <v>0</v>
      </c>
      <c r="F62" s="181" t="s">
        <v>27</v>
      </c>
      <c r="G62" s="182">
        <v>6.1999999999999998E-3</v>
      </c>
      <c r="H62" s="175" t="s">
        <v>165</v>
      </c>
      <c r="I62" s="175" t="s">
        <v>165</v>
      </c>
      <c r="J62" s="175" t="s">
        <v>165</v>
      </c>
      <c r="K62" s="175">
        <v>11.97</v>
      </c>
      <c r="L62" s="175">
        <v>13.83</v>
      </c>
      <c r="M62" s="175">
        <v>0.47</v>
      </c>
      <c r="N62" s="175">
        <v>63.9</v>
      </c>
      <c r="O62" s="175" t="s">
        <v>163</v>
      </c>
      <c r="P62" s="175" t="s">
        <v>163</v>
      </c>
      <c r="Q62" s="175">
        <v>35.36</v>
      </c>
      <c r="R62" s="127">
        <f>IF(Table36[[#This Row],[ Bran Content]]="-","-",IF(G62&lt;0.02,1,0))</f>
        <v>1</v>
      </c>
      <c r="S62" s="127">
        <f>IF(Table36[[#This Row],[Sieve Test]]="-","-",IF(Table36[[#This Row],[Sieve Test]]="P",1,0))</f>
        <v>1</v>
      </c>
      <c r="T62" s="127">
        <f>IF(Table36[[#This Row],[Odor]]="-","-",IF(Table36[[#This Row],[Odor]]="P",1,0))</f>
        <v>1</v>
      </c>
      <c r="U62" s="127">
        <f>IF(INDEX(MCmin,MATCH(Table36[[#This Row],[Grist]],SMI,0))="-","-",IF(Table36[[#This Row],[F1 %MC]]="-","-",IF(Table36[[#This Row],[F1 %MC]]&lt;INDEX(MCmin,MATCH(Table36[[#This Row],[Grist]],SMI,0)),0,IF(Table36[[#This Row],[F1 %MC]]&gt;INDEX(MCmax,MATCH(Table36[[#This Row],[Grist]],SMI,0)),0,1))))</f>
        <v>0</v>
      </c>
      <c r="V62" s="127">
        <f>IF(INDEX(Protmin,MATCH(Table36[[#This Row],[Grist]],SMI,0))="-","-",IF(Table36[[#This Row],[%Protein]]="-","-",IF(Table36[[#This Row],[%Protein]]&lt;INDEX(Protmin,MATCH(Table36[[#This Row],[Grist]],SMI,0)),0,IF(Table36[[#This Row],[%Protein]]&gt;INDEX(Protmax,MATCH(Table36[[#This Row],[Grist]],SMI,0)),0,1))))</f>
        <v>1</v>
      </c>
      <c r="W62" s="127">
        <f>IF(INDEX(Ashmin,MATCH(Table36[[#This Row],[Grist]],SMI,0))="-","-",IF(Table36[[#This Row],[%Ash]]="-","-",IF(Table36[[#This Row],[%Ash]]&lt;INDEX(Ashmin,MATCH(Table36[[#This Row],[Grist]],SMI,0)),0,IF(Table36[[#This Row],[%Ash]]&gt;INDEX(Ashmax,MATCH(Table36[[#This Row],[Grist]],SMI,0)),0,1))))</f>
        <v>1</v>
      </c>
      <c r="X62" s="127">
        <f>IF(INDEX(Absmin,MATCH(Table36[[#This Row],[Grist]],SMI,0))="-","-",IF(Table36[[#This Row],[%Absorption]]="-","-",IF(Table36[[#This Row],[%Absorption]]&lt;INDEX(Absmin,MATCH(Table36[[#This Row],[Grist]],SMI,0)),0,IF(Table36[[#This Row],[%Absorption]]&gt;INDEX(Absmax,MATCH(Table36[[#This Row],[Grist]],SMI,0)),0,1))))</f>
        <v>0</v>
      </c>
      <c r="Y62" s="127" t="str">
        <f>IF(INDEX(Extmin,MATCH(Table36[[#This Row],[Grist]],SMI,0))="-","-",IF(Table36[[#This Row],[%Extensibility]]="-","-",IF(Table36[[#This Row],[%Extensibility]]&lt;INDEX(Extmin,MATCH(Table36[[#This Row],[Grist]],SMI,0)),0,IF(Table36[[#This Row],[%Extensibility]]&gt;INDEX(Extmax,MATCH(Table36[[#This Row],[Grist]],SMI,0)),0,1))))</f>
        <v>-</v>
      </c>
      <c r="Z62" s="127" t="str">
        <f>IF(INDEX(Resmin,MATCH(Table36[[#This Row],[Grist]],SMI,0))="-","-",IF(Table36[[#This Row],[Resistance, max]]="-","-",IF(Table36[[#This Row],[Resistance, max]]&lt;INDEX(Resmin,MATCH(Table36[[#This Row],[Grist]],SMI,0)),0,IF(Table36[[#This Row],[Resistance, max]]&gt;INDEX(Resmax,MATCH(Table36[[#This Row],[Grist]],SMI,0)),0,1))))</f>
        <v>-</v>
      </c>
      <c r="AA62" s="127">
        <f>IF(INDEX(WGmin,MATCH(Table36[[#This Row],[Grist]],SMI,0))="-","-",IF(Table36[[#This Row],[%Wet Gluten]]="-","-",IF(Table36[[#This Row],[%Wet Gluten]]&lt;INDEX(WGmin,MATCH(Table36[[#This Row],[Grist]],SMI,0)),0,IF(Table36[[#This Row],[%Wet Gluten]]&gt;INDEX(WGmax,MATCH(Table36[[#This Row],[Grist]],SMI,0)),0,1))))</f>
        <v>1</v>
      </c>
      <c r="AB62" s="127">
        <f>SUM(Table36[[#This Row],[ QI Bran Content]:[QI WG]])</f>
        <v>6</v>
      </c>
      <c r="AC62" s="127">
        <f>COUNT(Table36[[#This Row],[ QI Bran Content]:[QI WG]])</f>
        <v>8</v>
      </c>
    </row>
    <row r="63" spans="1:29" x14ac:dyDescent="0.35">
      <c r="A63" s="177">
        <v>45292</v>
      </c>
      <c r="B63" s="178">
        <v>45298</v>
      </c>
      <c r="C63" s="178" t="s">
        <v>128</v>
      </c>
      <c r="D63" s="179">
        <v>0.70833333333333304</v>
      </c>
      <c r="E63" s="180" t="s">
        <v>0</v>
      </c>
      <c r="F63" s="181" t="s">
        <v>27</v>
      </c>
      <c r="G63" s="182">
        <v>2.5999999999999999E-3</v>
      </c>
      <c r="H63" s="175" t="s">
        <v>165</v>
      </c>
      <c r="I63" s="175" t="s">
        <v>165</v>
      </c>
      <c r="J63" s="175" t="s">
        <v>165</v>
      </c>
      <c r="K63" s="175">
        <v>12.86</v>
      </c>
      <c r="L63" s="175" t="s">
        <v>163</v>
      </c>
      <c r="M63" s="175" t="s">
        <v>163</v>
      </c>
      <c r="N63" s="175" t="s">
        <v>163</v>
      </c>
      <c r="O63" s="175" t="s">
        <v>163</v>
      </c>
      <c r="P63" s="175" t="s">
        <v>163</v>
      </c>
      <c r="Q63" s="175" t="s">
        <v>163</v>
      </c>
      <c r="R63" s="127">
        <f>IF(Table36[[#This Row],[ Bran Content]]="-","-",IF(G63&lt;0.02,1,0))</f>
        <v>1</v>
      </c>
      <c r="S63" s="127">
        <f>IF(Table36[[#This Row],[Sieve Test]]="-","-",IF(Table36[[#This Row],[Sieve Test]]="P",1,0))</f>
        <v>1</v>
      </c>
      <c r="T63" s="127">
        <f>IF(Table36[[#This Row],[Odor]]="-","-",IF(Table36[[#This Row],[Odor]]="P",1,0))</f>
        <v>1</v>
      </c>
      <c r="U63" s="127">
        <f>IF(INDEX(MCmin,MATCH(Table36[[#This Row],[Grist]],SMI,0))="-","-",IF(Table36[[#This Row],[F1 %MC]]="-","-",IF(Table36[[#This Row],[F1 %MC]]&lt;INDEX(MCmin,MATCH(Table36[[#This Row],[Grist]],SMI,0)),0,IF(Table36[[#This Row],[F1 %MC]]&gt;INDEX(MCmax,MATCH(Table36[[#This Row],[Grist]],SMI,0)),0,1))))</f>
        <v>1</v>
      </c>
      <c r="V63" s="127" t="str">
        <f>IF(INDEX(Protmin,MATCH(Table36[[#This Row],[Grist]],SMI,0))="-","-",IF(Table36[[#This Row],[%Protein]]="-","-",IF(Table36[[#This Row],[%Protein]]&lt;INDEX(Protmin,MATCH(Table36[[#This Row],[Grist]],SMI,0)),0,IF(Table36[[#This Row],[%Protein]]&gt;INDEX(Protmax,MATCH(Table36[[#This Row],[Grist]],SMI,0)),0,1))))</f>
        <v>-</v>
      </c>
      <c r="W63" s="127" t="str">
        <f>IF(INDEX(Ashmin,MATCH(Table36[[#This Row],[Grist]],SMI,0))="-","-",IF(Table36[[#This Row],[%Ash]]="-","-",IF(Table36[[#This Row],[%Ash]]&lt;INDEX(Ashmin,MATCH(Table36[[#This Row],[Grist]],SMI,0)),0,IF(Table36[[#This Row],[%Ash]]&gt;INDEX(Ashmax,MATCH(Table36[[#This Row],[Grist]],SMI,0)),0,1))))</f>
        <v>-</v>
      </c>
      <c r="X63" s="127" t="str">
        <f>IF(INDEX(Absmin,MATCH(Table36[[#This Row],[Grist]],SMI,0))="-","-",IF(Table36[[#This Row],[%Absorption]]="-","-",IF(Table36[[#This Row],[%Absorption]]&lt;INDEX(Absmin,MATCH(Table36[[#This Row],[Grist]],SMI,0)),0,IF(Table36[[#This Row],[%Absorption]]&gt;INDEX(Absmax,MATCH(Table36[[#This Row],[Grist]],SMI,0)),0,1))))</f>
        <v>-</v>
      </c>
      <c r="Y63" s="127" t="str">
        <f>IF(INDEX(Extmin,MATCH(Table36[[#This Row],[Grist]],SMI,0))="-","-",IF(Table36[[#This Row],[%Extensibility]]="-","-",IF(Table36[[#This Row],[%Extensibility]]&lt;INDEX(Extmin,MATCH(Table36[[#This Row],[Grist]],SMI,0)),0,IF(Table36[[#This Row],[%Extensibility]]&gt;INDEX(Extmax,MATCH(Table36[[#This Row],[Grist]],SMI,0)),0,1))))</f>
        <v>-</v>
      </c>
      <c r="Z63" s="127" t="str">
        <f>IF(INDEX(Resmin,MATCH(Table36[[#This Row],[Grist]],SMI,0))="-","-",IF(Table36[[#This Row],[Resistance, max]]="-","-",IF(Table36[[#This Row],[Resistance, max]]&lt;INDEX(Resmin,MATCH(Table36[[#This Row],[Grist]],SMI,0)),0,IF(Table36[[#This Row],[Resistance, max]]&gt;INDEX(Resmax,MATCH(Table36[[#This Row],[Grist]],SMI,0)),0,1))))</f>
        <v>-</v>
      </c>
      <c r="AA63" s="127" t="str">
        <f>IF(INDEX(WGmin,MATCH(Table36[[#This Row],[Grist]],SMI,0))="-","-",IF(Table36[[#This Row],[%Wet Gluten]]="-","-",IF(Table36[[#This Row],[%Wet Gluten]]&lt;INDEX(WGmin,MATCH(Table36[[#This Row],[Grist]],SMI,0)),0,IF(Table36[[#This Row],[%Wet Gluten]]&gt;INDEX(WGmax,MATCH(Table36[[#This Row],[Grist]],SMI,0)),0,1))))</f>
        <v>-</v>
      </c>
      <c r="AB63" s="127">
        <f>SUM(Table36[[#This Row],[ QI Bran Content]:[QI WG]])</f>
        <v>4</v>
      </c>
      <c r="AC63" s="127">
        <f>COUNT(Table36[[#This Row],[ QI Bran Content]:[QI WG]])</f>
        <v>4</v>
      </c>
    </row>
    <row r="64" spans="1:29" x14ac:dyDescent="0.35">
      <c r="A64" s="177">
        <v>45292</v>
      </c>
      <c r="B64" s="178">
        <v>45298</v>
      </c>
      <c r="C64" s="178" t="s">
        <v>128</v>
      </c>
      <c r="D64" s="179">
        <v>0.79166666666666596</v>
      </c>
      <c r="E64" s="180" t="s">
        <v>0</v>
      </c>
      <c r="F64" s="181" t="s">
        <v>27</v>
      </c>
      <c r="G64" s="182">
        <v>4.4999999999999997E-3</v>
      </c>
      <c r="H64" s="175" t="s">
        <v>165</v>
      </c>
      <c r="I64" s="175" t="s">
        <v>165</v>
      </c>
      <c r="J64" s="175" t="s">
        <v>165</v>
      </c>
      <c r="K64" s="175">
        <v>12.77</v>
      </c>
      <c r="L64" s="175" t="s">
        <v>163</v>
      </c>
      <c r="M64" s="175" t="s">
        <v>163</v>
      </c>
      <c r="N64" s="175" t="s">
        <v>163</v>
      </c>
      <c r="O64" s="175" t="s">
        <v>163</v>
      </c>
      <c r="P64" s="175" t="s">
        <v>163</v>
      </c>
      <c r="Q64" s="175" t="s">
        <v>163</v>
      </c>
      <c r="R64" s="127">
        <f>IF(Table36[[#This Row],[ Bran Content]]="-","-",IF(G64&lt;0.02,1,0))</f>
        <v>1</v>
      </c>
      <c r="S64" s="127">
        <f>IF(Table36[[#This Row],[Sieve Test]]="-","-",IF(Table36[[#This Row],[Sieve Test]]="P",1,0))</f>
        <v>1</v>
      </c>
      <c r="T64" s="127">
        <f>IF(Table36[[#This Row],[Odor]]="-","-",IF(Table36[[#This Row],[Odor]]="P",1,0))</f>
        <v>1</v>
      </c>
      <c r="U64" s="127">
        <f>IF(INDEX(MCmin,MATCH(Table36[[#This Row],[Grist]],SMI,0))="-","-",IF(Table36[[#This Row],[F1 %MC]]="-","-",IF(Table36[[#This Row],[F1 %MC]]&lt;INDEX(MCmin,MATCH(Table36[[#This Row],[Grist]],SMI,0)),0,IF(Table36[[#This Row],[F1 %MC]]&gt;INDEX(MCmax,MATCH(Table36[[#This Row],[Grist]],SMI,0)),0,1))))</f>
        <v>1</v>
      </c>
      <c r="V64" s="127" t="str">
        <f>IF(INDEX(Protmin,MATCH(Table36[[#This Row],[Grist]],SMI,0))="-","-",IF(Table36[[#This Row],[%Protein]]="-","-",IF(Table36[[#This Row],[%Protein]]&lt;INDEX(Protmin,MATCH(Table36[[#This Row],[Grist]],SMI,0)),0,IF(Table36[[#This Row],[%Protein]]&gt;INDEX(Protmax,MATCH(Table36[[#This Row],[Grist]],SMI,0)),0,1))))</f>
        <v>-</v>
      </c>
      <c r="W64" s="127" t="str">
        <f>IF(INDEX(Ashmin,MATCH(Table36[[#This Row],[Grist]],SMI,0))="-","-",IF(Table36[[#This Row],[%Ash]]="-","-",IF(Table36[[#This Row],[%Ash]]&lt;INDEX(Ashmin,MATCH(Table36[[#This Row],[Grist]],SMI,0)),0,IF(Table36[[#This Row],[%Ash]]&gt;INDEX(Ashmax,MATCH(Table36[[#This Row],[Grist]],SMI,0)),0,1))))</f>
        <v>-</v>
      </c>
      <c r="X64" s="127" t="str">
        <f>IF(INDEX(Absmin,MATCH(Table36[[#This Row],[Grist]],SMI,0))="-","-",IF(Table36[[#This Row],[%Absorption]]="-","-",IF(Table36[[#This Row],[%Absorption]]&lt;INDEX(Absmin,MATCH(Table36[[#This Row],[Grist]],SMI,0)),0,IF(Table36[[#This Row],[%Absorption]]&gt;INDEX(Absmax,MATCH(Table36[[#This Row],[Grist]],SMI,0)),0,1))))</f>
        <v>-</v>
      </c>
      <c r="Y64" s="127" t="str">
        <f>IF(INDEX(Extmin,MATCH(Table36[[#This Row],[Grist]],SMI,0))="-","-",IF(Table36[[#This Row],[%Extensibility]]="-","-",IF(Table36[[#This Row],[%Extensibility]]&lt;INDEX(Extmin,MATCH(Table36[[#This Row],[Grist]],SMI,0)),0,IF(Table36[[#This Row],[%Extensibility]]&gt;INDEX(Extmax,MATCH(Table36[[#This Row],[Grist]],SMI,0)),0,1))))</f>
        <v>-</v>
      </c>
      <c r="Z64" s="127" t="str">
        <f>IF(INDEX(Resmin,MATCH(Table36[[#This Row],[Grist]],SMI,0))="-","-",IF(Table36[[#This Row],[Resistance, max]]="-","-",IF(Table36[[#This Row],[Resistance, max]]&lt;INDEX(Resmin,MATCH(Table36[[#This Row],[Grist]],SMI,0)),0,IF(Table36[[#This Row],[Resistance, max]]&gt;INDEX(Resmax,MATCH(Table36[[#This Row],[Grist]],SMI,0)),0,1))))</f>
        <v>-</v>
      </c>
      <c r="AA64" s="127" t="str">
        <f>IF(INDEX(WGmin,MATCH(Table36[[#This Row],[Grist]],SMI,0))="-","-",IF(Table36[[#This Row],[%Wet Gluten]]="-","-",IF(Table36[[#This Row],[%Wet Gluten]]&lt;INDEX(WGmin,MATCH(Table36[[#This Row],[Grist]],SMI,0)),0,IF(Table36[[#This Row],[%Wet Gluten]]&gt;INDEX(WGmax,MATCH(Table36[[#This Row],[Grist]],SMI,0)),0,1))))</f>
        <v>-</v>
      </c>
      <c r="AB64" s="127">
        <f>SUM(Table36[[#This Row],[ QI Bran Content]:[QI WG]])</f>
        <v>4</v>
      </c>
      <c r="AC64" s="127">
        <f>COUNT(Table36[[#This Row],[ QI Bran Content]:[QI WG]])</f>
        <v>4</v>
      </c>
    </row>
    <row r="65" spans="1:29" x14ac:dyDescent="0.35">
      <c r="A65" s="177">
        <v>45292</v>
      </c>
      <c r="B65" s="178">
        <v>45298</v>
      </c>
      <c r="C65" s="178" t="s">
        <v>128</v>
      </c>
      <c r="D65" s="179">
        <v>0.874999999999999</v>
      </c>
      <c r="E65" s="180" t="s">
        <v>0</v>
      </c>
      <c r="F65" s="181" t="s">
        <v>27</v>
      </c>
      <c r="G65" s="182">
        <v>6.8999999999999999E-3</v>
      </c>
      <c r="H65" s="175" t="s">
        <v>165</v>
      </c>
      <c r="I65" s="175" t="s">
        <v>165</v>
      </c>
      <c r="J65" s="175" t="s">
        <v>165</v>
      </c>
      <c r="K65" s="175">
        <v>12.87</v>
      </c>
      <c r="L65" s="175" t="s">
        <v>163</v>
      </c>
      <c r="M65" s="175" t="s">
        <v>163</v>
      </c>
      <c r="N65" s="175" t="s">
        <v>163</v>
      </c>
      <c r="O65" s="175" t="s">
        <v>163</v>
      </c>
      <c r="P65" s="175" t="s">
        <v>163</v>
      </c>
      <c r="Q65" s="175" t="s">
        <v>163</v>
      </c>
      <c r="R65" s="127">
        <f>IF(Table36[[#This Row],[ Bran Content]]="-","-",IF(G65&lt;0.02,1,0))</f>
        <v>1</v>
      </c>
      <c r="S65" s="127">
        <f>IF(Table36[[#This Row],[Sieve Test]]="-","-",IF(Table36[[#This Row],[Sieve Test]]="P",1,0))</f>
        <v>1</v>
      </c>
      <c r="T65" s="127">
        <f>IF(Table36[[#This Row],[Odor]]="-","-",IF(Table36[[#This Row],[Odor]]="P",1,0))</f>
        <v>1</v>
      </c>
      <c r="U65" s="127">
        <f>IF(INDEX(MCmin,MATCH(Table36[[#This Row],[Grist]],SMI,0))="-","-",IF(Table36[[#This Row],[F1 %MC]]="-","-",IF(Table36[[#This Row],[F1 %MC]]&lt;INDEX(MCmin,MATCH(Table36[[#This Row],[Grist]],SMI,0)),0,IF(Table36[[#This Row],[F1 %MC]]&gt;INDEX(MCmax,MATCH(Table36[[#This Row],[Grist]],SMI,0)),0,1))))</f>
        <v>1</v>
      </c>
      <c r="V65" s="127" t="str">
        <f>IF(INDEX(Protmin,MATCH(Table36[[#This Row],[Grist]],SMI,0))="-","-",IF(Table36[[#This Row],[%Protein]]="-","-",IF(Table36[[#This Row],[%Protein]]&lt;INDEX(Protmin,MATCH(Table36[[#This Row],[Grist]],SMI,0)),0,IF(Table36[[#This Row],[%Protein]]&gt;INDEX(Protmax,MATCH(Table36[[#This Row],[Grist]],SMI,0)),0,1))))</f>
        <v>-</v>
      </c>
      <c r="W65" s="127" t="str">
        <f>IF(INDEX(Ashmin,MATCH(Table36[[#This Row],[Grist]],SMI,0))="-","-",IF(Table36[[#This Row],[%Ash]]="-","-",IF(Table36[[#This Row],[%Ash]]&lt;INDEX(Ashmin,MATCH(Table36[[#This Row],[Grist]],SMI,0)),0,IF(Table36[[#This Row],[%Ash]]&gt;INDEX(Ashmax,MATCH(Table36[[#This Row],[Grist]],SMI,0)),0,1))))</f>
        <v>-</v>
      </c>
      <c r="X65" s="127" t="str">
        <f>IF(INDEX(Absmin,MATCH(Table36[[#This Row],[Grist]],SMI,0))="-","-",IF(Table36[[#This Row],[%Absorption]]="-","-",IF(Table36[[#This Row],[%Absorption]]&lt;INDEX(Absmin,MATCH(Table36[[#This Row],[Grist]],SMI,0)),0,IF(Table36[[#This Row],[%Absorption]]&gt;INDEX(Absmax,MATCH(Table36[[#This Row],[Grist]],SMI,0)),0,1))))</f>
        <v>-</v>
      </c>
      <c r="Y65" s="127" t="str">
        <f>IF(INDEX(Extmin,MATCH(Table36[[#This Row],[Grist]],SMI,0))="-","-",IF(Table36[[#This Row],[%Extensibility]]="-","-",IF(Table36[[#This Row],[%Extensibility]]&lt;INDEX(Extmin,MATCH(Table36[[#This Row],[Grist]],SMI,0)),0,IF(Table36[[#This Row],[%Extensibility]]&gt;INDEX(Extmax,MATCH(Table36[[#This Row],[Grist]],SMI,0)),0,1))))</f>
        <v>-</v>
      </c>
      <c r="Z65" s="127" t="str">
        <f>IF(INDEX(Resmin,MATCH(Table36[[#This Row],[Grist]],SMI,0))="-","-",IF(Table36[[#This Row],[Resistance, max]]="-","-",IF(Table36[[#This Row],[Resistance, max]]&lt;INDEX(Resmin,MATCH(Table36[[#This Row],[Grist]],SMI,0)),0,IF(Table36[[#This Row],[Resistance, max]]&gt;INDEX(Resmax,MATCH(Table36[[#This Row],[Grist]],SMI,0)),0,1))))</f>
        <v>-</v>
      </c>
      <c r="AA65" s="127" t="str">
        <f>IF(INDEX(WGmin,MATCH(Table36[[#This Row],[Grist]],SMI,0))="-","-",IF(Table36[[#This Row],[%Wet Gluten]]="-","-",IF(Table36[[#This Row],[%Wet Gluten]]&lt;INDEX(WGmin,MATCH(Table36[[#This Row],[Grist]],SMI,0)),0,IF(Table36[[#This Row],[%Wet Gluten]]&gt;INDEX(WGmax,MATCH(Table36[[#This Row],[Grist]],SMI,0)),0,1))))</f>
        <v>-</v>
      </c>
      <c r="AB65" s="127">
        <f>SUM(Table36[[#This Row],[ QI Bran Content]:[QI WG]])</f>
        <v>4</v>
      </c>
      <c r="AC65" s="127">
        <f>COUNT(Table36[[#This Row],[ QI Bran Content]:[QI WG]])</f>
        <v>4</v>
      </c>
    </row>
    <row r="66" spans="1:29" x14ac:dyDescent="0.35">
      <c r="A66" s="177">
        <v>45292</v>
      </c>
      <c r="B66" s="178">
        <v>45298</v>
      </c>
      <c r="C66" s="178" t="s">
        <v>128</v>
      </c>
      <c r="D66" s="179">
        <v>0.625</v>
      </c>
      <c r="E66" s="180" t="s">
        <v>2</v>
      </c>
      <c r="F66" s="181" t="s">
        <v>242</v>
      </c>
      <c r="G66" s="182">
        <v>5.7999999999999996E-3</v>
      </c>
      <c r="H66" s="175" t="s">
        <v>165</v>
      </c>
      <c r="I66" s="175" t="s">
        <v>165</v>
      </c>
      <c r="J66" s="175" t="s">
        <v>165</v>
      </c>
      <c r="K66" s="175">
        <v>11.98</v>
      </c>
      <c r="L66" s="175">
        <v>12.23</v>
      </c>
      <c r="M66" s="175">
        <v>0.36</v>
      </c>
      <c r="N66" s="175">
        <v>63.7</v>
      </c>
      <c r="O66" s="175" t="s">
        <v>163</v>
      </c>
      <c r="P66" s="175" t="s">
        <v>163</v>
      </c>
      <c r="Q66" s="175">
        <v>32.96</v>
      </c>
      <c r="R66" s="127">
        <f>IF(Table36[[#This Row],[ Bran Content]]="-","-",IF(G66&lt;0.02,1,0))</f>
        <v>1</v>
      </c>
      <c r="S66" s="127">
        <f>IF(Table36[[#This Row],[Sieve Test]]="-","-",IF(Table36[[#This Row],[Sieve Test]]="P",1,0))</f>
        <v>1</v>
      </c>
      <c r="T66" s="127">
        <f>IF(Table36[[#This Row],[Odor]]="-","-",IF(Table36[[#This Row],[Odor]]="P",1,0))</f>
        <v>1</v>
      </c>
      <c r="U66" s="127">
        <f>IF(INDEX(MCmin,MATCH(Table36[[#This Row],[Grist]],SMI,0))="-","-",IF(Table36[[#This Row],[F1 %MC]]="-","-",IF(Table36[[#This Row],[F1 %MC]]&lt;INDEX(MCmin,MATCH(Table36[[#This Row],[Grist]],SMI,0)),0,IF(Table36[[#This Row],[F1 %MC]]&gt;INDEX(MCmax,MATCH(Table36[[#This Row],[Grist]],SMI,0)),0,1))))</f>
        <v>0</v>
      </c>
      <c r="V66" s="127">
        <f>IF(INDEX(Protmin,MATCH(Table36[[#This Row],[Grist]],SMI,0))="-","-",IF(Table36[[#This Row],[%Protein]]="-","-",IF(Table36[[#This Row],[%Protein]]&lt;INDEX(Protmin,MATCH(Table36[[#This Row],[Grist]],SMI,0)),0,IF(Table36[[#This Row],[%Protein]]&gt;INDEX(Protmax,MATCH(Table36[[#This Row],[Grist]],SMI,0)),0,1))))</f>
        <v>1</v>
      </c>
      <c r="W66" s="127">
        <f>IF(INDEX(Ashmin,MATCH(Table36[[#This Row],[Grist]],SMI,0))="-","-",IF(Table36[[#This Row],[%Ash]]="-","-",IF(Table36[[#This Row],[%Ash]]&lt;INDEX(Ashmin,MATCH(Table36[[#This Row],[Grist]],SMI,0)),0,IF(Table36[[#This Row],[%Ash]]&gt;INDEX(Ashmax,MATCH(Table36[[#This Row],[Grist]],SMI,0)),0,1))))</f>
        <v>1</v>
      </c>
      <c r="X66" s="127">
        <f>IF(INDEX(Absmin,MATCH(Table36[[#This Row],[Grist]],SMI,0))="-","-",IF(Table36[[#This Row],[%Absorption]]="-","-",IF(Table36[[#This Row],[%Absorption]]&lt;INDEX(Absmin,MATCH(Table36[[#This Row],[Grist]],SMI,0)),0,IF(Table36[[#This Row],[%Absorption]]&gt;INDEX(Absmax,MATCH(Table36[[#This Row],[Grist]],SMI,0)),0,1))))</f>
        <v>1</v>
      </c>
      <c r="Y66" s="127" t="str">
        <f>IF(INDEX(Extmin,MATCH(Table36[[#This Row],[Grist]],SMI,0))="-","-",IF(Table36[[#This Row],[%Extensibility]]="-","-",IF(Table36[[#This Row],[%Extensibility]]&lt;INDEX(Extmin,MATCH(Table36[[#This Row],[Grist]],SMI,0)),0,IF(Table36[[#This Row],[%Extensibility]]&gt;INDEX(Extmax,MATCH(Table36[[#This Row],[Grist]],SMI,0)),0,1))))</f>
        <v>-</v>
      </c>
      <c r="Z66" s="127" t="str">
        <f>IF(INDEX(Resmin,MATCH(Table36[[#This Row],[Grist]],SMI,0))="-","-",IF(Table36[[#This Row],[Resistance, max]]="-","-",IF(Table36[[#This Row],[Resistance, max]]&lt;INDEX(Resmin,MATCH(Table36[[#This Row],[Grist]],SMI,0)),0,IF(Table36[[#This Row],[Resistance, max]]&gt;INDEX(Resmax,MATCH(Table36[[#This Row],[Grist]],SMI,0)),0,1))))</f>
        <v>-</v>
      </c>
      <c r="AA66" s="127">
        <f>IF(INDEX(WGmin,MATCH(Table36[[#This Row],[Grist]],SMI,0))="-","-",IF(Table36[[#This Row],[%Wet Gluten]]="-","-",IF(Table36[[#This Row],[%Wet Gluten]]&lt;INDEX(WGmin,MATCH(Table36[[#This Row],[Grist]],SMI,0)),0,IF(Table36[[#This Row],[%Wet Gluten]]&gt;INDEX(WGmax,MATCH(Table36[[#This Row],[Grist]],SMI,0)),0,1))))</f>
        <v>1</v>
      </c>
      <c r="AB66" s="127">
        <f>SUM(Table36[[#This Row],[ QI Bran Content]:[QI WG]])</f>
        <v>7</v>
      </c>
      <c r="AC66" s="127">
        <f>COUNT(Table36[[#This Row],[ QI Bran Content]:[QI WG]])</f>
        <v>8</v>
      </c>
    </row>
    <row r="67" spans="1:29" x14ac:dyDescent="0.35">
      <c r="A67" s="177">
        <v>45292</v>
      </c>
      <c r="B67" s="178">
        <v>45298</v>
      </c>
      <c r="C67" s="178" t="s">
        <v>128</v>
      </c>
      <c r="D67" s="179">
        <v>0.70833333333333304</v>
      </c>
      <c r="E67" s="180" t="s">
        <v>2</v>
      </c>
      <c r="F67" s="181" t="s">
        <v>242</v>
      </c>
      <c r="G67" s="182">
        <v>6.7000000000000002E-3</v>
      </c>
      <c r="H67" s="175" t="s">
        <v>165</v>
      </c>
      <c r="I67" s="175" t="s">
        <v>165</v>
      </c>
      <c r="J67" s="175" t="s">
        <v>165</v>
      </c>
      <c r="K67" s="175">
        <v>12.28</v>
      </c>
      <c r="L67" s="175" t="s">
        <v>163</v>
      </c>
      <c r="M67" s="175" t="s">
        <v>163</v>
      </c>
      <c r="N67" s="175" t="s">
        <v>163</v>
      </c>
      <c r="O67" s="175" t="s">
        <v>163</v>
      </c>
      <c r="P67" s="175" t="s">
        <v>163</v>
      </c>
      <c r="Q67" s="175" t="s">
        <v>163</v>
      </c>
      <c r="R67" s="127">
        <f>IF(Table36[[#This Row],[ Bran Content]]="-","-",IF(G67&lt;0.02,1,0))</f>
        <v>1</v>
      </c>
      <c r="S67" s="127">
        <f>IF(Table36[[#This Row],[Sieve Test]]="-","-",IF(Table36[[#This Row],[Sieve Test]]="P",1,0))</f>
        <v>1</v>
      </c>
      <c r="T67" s="127">
        <f>IF(Table36[[#This Row],[Odor]]="-","-",IF(Table36[[#This Row],[Odor]]="P",1,0))</f>
        <v>1</v>
      </c>
      <c r="U67" s="127">
        <f>IF(INDEX(MCmin,MATCH(Table36[[#This Row],[Grist]],SMI,0))="-","-",IF(Table36[[#This Row],[F1 %MC]]="-","-",IF(Table36[[#This Row],[F1 %MC]]&lt;INDEX(MCmin,MATCH(Table36[[#This Row],[Grist]],SMI,0)),0,IF(Table36[[#This Row],[F1 %MC]]&gt;INDEX(MCmax,MATCH(Table36[[#This Row],[Grist]],SMI,0)),0,1))))</f>
        <v>1</v>
      </c>
      <c r="V67" s="127" t="str">
        <f>IF(INDEX(Protmin,MATCH(Table36[[#This Row],[Grist]],SMI,0))="-","-",IF(Table36[[#This Row],[%Protein]]="-","-",IF(Table36[[#This Row],[%Protein]]&lt;INDEX(Protmin,MATCH(Table36[[#This Row],[Grist]],SMI,0)),0,IF(Table36[[#This Row],[%Protein]]&gt;INDEX(Protmax,MATCH(Table36[[#This Row],[Grist]],SMI,0)),0,1))))</f>
        <v>-</v>
      </c>
      <c r="W67" s="127" t="str">
        <f>IF(INDEX(Ashmin,MATCH(Table36[[#This Row],[Grist]],SMI,0))="-","-",IF(Table36[[#This Row],[%Ash]]="-","-",IF(Table36[[#This Row],[%Ash]]&lt;INDEX(Ashmin,MATCH(Table36[[#This Row],[Grist]],SMI,0)),0,IF(Table36[[#This Row],[%Ash]]&gt;INDEX(Ashmax,MATCH(Table36[[#This Row],[Grist]],SMI,0)),0,1))))</f>
        <v>-</v>
      </c>
      <c r="X67" s="127" t="str">
        <f>IF(INDEX(Absmin,MATCH(Table36[[#This Row],[Grist]],SMI,0))="-","-",IF(Table36[[#This Row],[%Absorption]]="-","-",IF(Table36[[#This Row],[%Absorption]]&lt;INDEX(Absmin,MATCH(Table36[[#This Row],[Grist]],SMI,0)),0,IF(Table36[[#This Row],[%Absorption]]&gt;INDEX(Absmax,MATCH(Table36[[#This Row],[Grist]],SMI,0)),0,1))))</f>
        <v>-</v>
      </c>
      <c r="Y67" s="127" t="str">
        <f>IF(INDEX(Extmin,MATCH(Table36[[#This Row],[Grist]],SMI,0))="-","-",IF(Table36[[#This Row],[%Extensibility]]="-","-",IF(Table36[[#This Row],[%Extensibility]]&lt;INDEX(Extmin,MATCH(Table36[[#This Row],[Grist]],SMI,0)),0,IF(Table36[[#This Row],[%Extensibility]]&gt;INDEX(Extmax,MATCH(Table36[[#This Row],[Grist]],SMI,0)),0,1))))</f>
        <v>-</v>
      </c>
      <c r="Z67" s="127" t="str">
        <f>IF(INDEX(Resmin,MATCH(Table36[[#This Row],[Grist]],SMI,0))="-","-",IF(Table36[[#This Row],[Resistance, max]]="-","-",IF(Table36[[#This Row],[Resistance, max]]&lt;INDEX(Resmin,MATCH(Table36[[#This Row],[Grist]],SMI,0)),0,IF(Table36[[#This Row],[Resistance, max]]&gt;INDEX(Resmax,MATCH(Table36[[#This Row],[Grist]],SMI,0)),0,1))))</f>
        <v>-</v>
      </c>
      <c r="AA67" s="127" t="str">
        <f>IF(INDEX(WGmin,MATCH(Table36[[#This Row],[Grist]],SMI,0))="-","-",IF(Table36[[#This Row],[%Wet Gluten]]="-","-",IF(Table36[[#This Row],[%Wet Gluten]]&lt;INDEX(WGmin,MATCH(Table36[[#This Row],[Grist]],SMI,0)),0,IF(Table36[[#This Row],[%Wet Gluten]]&gt;INDEX(WGmax,MATCH(Table36[[#This Row],[Grist]],SMI,0)),0,1))))</f>
        <v>-</v>
      </c>
      <c r="AB67" s="127">
        <f>SUM(Table36[[#This Row],[ QI Bran Content]:[QI WG]])</f>
        <v>4</v>
      </c>
      <c r="AC67" s="127">
        <f>COUNT(Table36[[#This Row],[ QI Bran Content]:[QI WG]])</f>
        <v>4</v>
      </c>
    </row>
    <row r="68" spans="1:29" x14ac:dyDescent="0.35">
      <c r="A68" s="177">
        <v>45292</v>
      </c>
      <c r="B68" s="178">
        <v>45298</v>
      </c>
      <c r="C68" s="178" t="s">
        <v>128</v>
      </c>
      <c r="D68" s="179">
        <v>0.79166666666666596</v>
      </c>
      <c r="E68" s="180" t="s">
        <v>2</v>
      </c>
      <c r="F68" s="181" t="s">
        <v>242</v>
      </c>
      <c r="G68" s="182">
        <v>4.7000000000000002E-3</v>
      </c>
      <c r="H68" s="175" t="s">
        <v>165</v>
      </c>
      <c r="I68" s="175" t="s">
        <v>165</v>
      </c>
      <c r="J68" s="175" t="s">
        <v>165</v>
      </c>
      <c r="K68" s="175">
        <v>12.68</v>
      </c>
      <c r="L68" s="175" t="s">
        <v>163</v>
      </c>
      <c r="M68" s="175" t="s">
        <v>163</v>
      </c>
      <c r="N68" s="175" t="s">
        <v>163</v>
      </c>
      <c r="O68" s="175" t="s">
        <v>163</v>
      </c>
      <c r="P68" s="175" t="s">
        <v>163</v>
      </c>
      <c r="Q68" s="175" t="s">
        <v>163</v>
      </c>
      <c r="R68" s="127">
        <f>IF(Table36[[#This Row],[ Bran Content]]="-","-",IF(G68&lt;0.02,1,0))</f>
        <v>1</v>
      </c>
      <c r="S68" s="127">
        <f>IF(Table36[[#This Row],[Sieve Test]]="-","-",IF(Table36[[#This Row],[Sieve Test]]="P",1,0))</f>
        <v>1</v>
      </c>
      <c r="T68" s="127">
        <f>IF(Table36[[#This Row],[Odor]]="-","-",IF(Table36[[#This Row],[Odor]]="P",1,0))</f>
        <v>1</v>
      </c>
      <c r="U68" s="127">
        <f>IF(INDEX(MCmin,MATCH(Table36[[#This Row],[Grist]],SMI,0))="-","-",IF(Table36[[#This Row],[F1 %MC]]="-","-",IF(Table36[[#This Row],[F1 %MC]]&lt;INDEX(MCmin,MATCH(Table36[[#This Row],[Grist]],SMI,0)),0,IF(Table36[[#This Row],[F1 %MC]]&gt;INDEX(MCmax,MATCH(Table36[[#This Row],[Grist]],SMI,0)),0,1))))</f>
        <v>1</v>
      </c>
      <c r="V68" s="127" t="str">
        <f>IF(INDEX(Protmin,MATCH(Table36[[#This Row],[Grist]],SMI,0))="-","-",IF(Table36[[#This Row],[%Protein]]="-","-",IF(Table36[[#This Row],[%Protein]]&lt;INDEX(Protmin,MATCH(Table36[[#This Row],[Grist]],SMI,0)),0,IF(Table36[[#This Row],[%Protein]]&gt;INDEX(Protmax,MATCH(Table36[[#This Row],[Grist]],SMI,0)),0,1))))</f>
        <v>-</v>
      </c>
      <c r="W68" s="127" t="str">
        <f>IF(INDEX(Ashmin,MATCH(Table36[[#This Row],[Grist]],SMI,0))="-","-",IF(Table36[[#This Row],[%Ash]]="-","-",IF(Table36[[#This Row],[%Ash]]&lt;INDEX(Ashmin,MATCH(Table36[[#This Row],[Grist]],SMI,0)),0,IF(Table36[[#This Row],[%Ash]]&gt;INDEX(Ashmax,MATCH(Table36[[#This Row],[Grist]],SMI,0)),0,1))))</f>
        <v>-</v>
      </c>
      <c r="X68" s="127" t="str">
        <f>IF(INDEX(Absmin,MATCH(Table36[[#This Row],[Grist]],SMI,0))="-","-",IF(Table36[[#This Row],[%Absorption]]="-","-",IF(Table36[[#This Row],[%Absorption]]&lt;INDEX(Absmin,MATCH(Table36[[#This Row],[Grist]],SMI,0)),0,IF(Table36[[#This Row],[%Absorption]]&gt;INDEX(Absmax,MATCH(Table36[[#This Row],[Grist]],SMI,0)),0,1))))</f>
        <v>-</v>
      </c>
      <c r="Y68" s="127" t="str">
        <f>IF(INDEX(Extmin,MATCH(Table36[[#This Row],[Grist]],SMI,0))="-","-",IF(Table36[[#This Row],[%Extensibility]]="-","-",IF(Table36[[#This Row],[%Extensibility]]&lt;INDEX(Extmin,MATCH(Table36[[#This Row],[Grist]],SMI,0)),0,IF(Table36[[#This Row],[%Extensibility]]&gt;INDEX(Extmax,MATCH(Table36[[#This Row],[Grist]],SMI,0)),0,1))))</f>
        <v>-</v>
      </c>
      <c r="Z68" s="127" t="str">
        <f>IF(INDEX(Resmin,MATCH(Table36[[#This Row],[Grist]],SMI,0))="-","-",IF(Table36[[#This Row],[Resistance, max]]="-","-",IF(Table36[[#This Row],[Resistance, max]]&lt;INDEX(Resmin,MATCH(Table36[[#This Row],[Grist]],SMI,0)),0,IF(Table36[[#This Row],[Resistance, max]]&gt;INDEX(Resmax,MATCH(Table36[[#This Row],[Grist]],SMI,0)),0,1))))</f>
        <v>-</v>
      </c>
      <c r="AA68" s="127" t="str">
        <f>IF(INDEX(WGmin,MATCH(Table36[[#This Row],[Grist]],SMI,0))="-","-",IF(Table36[[#This Row],[%Wet Gluten]]="-","-",IF(Table36[[#This Row],[%Wet Gluten]]&lt;INDEX(WGmin,MATCH(Table36[[#This Row],[Grist]],SMI,0)),0,IF(Table36[[#This Row],[%Wet Gluten]]&gt;INDEX(WGmax,MATCH(Table36[[#This Row],[Grist]],SMI,0)),0,1))))</f>
        <v>-</v>
      </c>
      <c r="AB68" s="127">
        <f>SUM(Table36[[#This Row],[ QI Bran Content]:[QI WG]])</f>
        <v>4</v>
      </c>
      <c r="AC68" s="127">
        <f>COUNT(Table36[[#This Row],[ QI Bran Content]:[QI WG]])</f>
        <v>4</v>
      </c>
    </row>
    <row r="69" spans="1:29" x14ac:dyDescent="0.35">
      <c r="A69" s="177">
        <v>45292</v>
      </c>
      <c r="B69" s="178">
        <v>45298</v>
      </c>
      <c r="C69" s="178" t="s">
        <v>128</v>
      </c>
      <c r="D69" s="179">
        <v>0.874999999999999</v>
      </c>
      <c r="E69" s="180" t="s">
        <v>2</v>
      </c>
      <c r="F69" s="181" t="s">
        <v>242</v>
      </c>
      <c r="G69" s="182">
        <v>4.1999999999999997E-3</v>
      </c>
      <c r="H69" s="175" t="s">
        <v>165</v>
      </c>
      <c r="I69" s="175" t="s">
        <v>165</v>
      </c>
      <c r="J69" s="175" t="s">
        <v>165</v>
      </c>
      <c r="K69" s="175">
        <v>12.53</v>
      </c>
      <c r="L69" s="175" t="s">
        <v>163</v>
      </c>
      <c r="M69" s="175" t="s">
        <v>163</v>
      </c>
      <c r="N69" s="175" t="s">
        <v>163</v>
      </c>
      <c r="O69" s="175" t="s">
        <v>163</v>
      </c>
      <c r="P69" s="175" t="s">
        <v>163</v>
      </c>
      <c r="Q69" s="175" t="s">
        <v>163</v>
      </c>
      <c r="R69" s="127">
        <f>IF(Table36[[#This Row],[ Bran Content]]="-","-",IF(G69&lt;0.02,1,0))</f>
        <v>1</v>
      </c>
      <c r="S69" s="127">
        <f>IF(Table36[[#This Row],[Sieve Test]]="-","-",IF(Table36[[#This Row],[Sieve Test]]="P",1,0))</f>
        <v>1</v>
      </c>
      <c r="T69" s="127">
        <f>IF(Table36[[#This Row],[Odor]]="-","-",IF(Table36[[#This Row],[Odor]]="P",1,0))</f>
        <v>1</v>
      </c>
      <c r="U69" s="127">
        <f>IF(INDEX(MCmin,MATCH(Table36[[#This Row],[Grist]],SMI,0))="-","-",IF(Table36[[#This Row],[F1 %MC]]="-","-",IF(Table36[[#This Row],[F1 %MC]]&lt;INDEX(MCmin,MATCH(Table36[[#This Row],[Grist]],SMI,0)),0,IF(Table36[[#This Row],[F1 %MC]]&gt;INDEX(MCmax,MATCH(Table36[[#This Row],[Grist]],SMI,0)),0,1))))</f>
        <v>1</v>
      </c>
      <c r="V69" s="127" t="str">
        <f>IF(INDEX(Protmin,MATCH(Table36[[#This Row],[Grist]],SMI,0))="-","-",IF(Table36[[#This Row],[%Protein]]="-","-",IF(Table36[[#This Row],[%Protein]]&lt;INDEX(Protmin,MATCH(Table36[[#This Row],[Grist]],SMI,0)),0,IF(Table36[[#This Row],[%Protein]]&gt;INDEX(Protmax,MATCH(Table36[[#This Row],[Grist]],SMI,0)),0,1))))</f>
        <v>-</v>
      </c>
      <c r="W69" s="127" t="str">
        <f>IF(INDEX(Ashmin,MATCH(Table36[[#This Row],[Grist]],SMI,0))="-","-",IF(Table36[[#This Row],[%Ash]]="-","-",IF(Table36[[#This Row],[%Ash]]&lt;INDEX(Ashmin,MATCH(Table36[[#This Row],[Grist]],SMI,0)),0,IF(Table36[[#This Row],[%Ash]]&gt;INDEX(Ashmax,MATCH(Table36[[#This Row],[Grist]],SMI,0)),0,1))))</f>
        <v>-</v>
      </c>
      <c r="X69" s="127" t="str">
        <f>IF(INDEX(Absmin,MATCH(Table36[[#This Row],[Grist]],SMI,0))="-","-",IF(Table36[[#This Row],[%Absorption]]="-","-",IF(Table36[[#This Row],[%Absorption]]&lt;INDEX(Absmin,MATCH(Table36[[#This Row],[Grist]],SMI,0)),0,IF(Table36[[#This Row],[%Absorption]]&gt;INDEX(Absmax,MATCH(Table36[[#This Row],[Grist]],SMI,0)),0,1))))</f>
        <v>-</v>
      </c>
      <c r="Y69" s="127" t="str">
        <f>IF(INDEX(Extmin,MATCH(Table36[[#This Row],[Grist]],SMI,0))="-","-",IF(Table36[[#This Row],[%Extensibility]]="-","-",IF(Table36[[#This Row],[%Extensibility]]&lt;INDEX(Extmin,MATCH(Table36[[#This Row],[Grist]],SMI,0)),0,IF(Table36[[#This Row],[%Extensibility]]&gt;INDEX(Extmax,MATCH(Table36[[#This Row],[Grist]],SMI,0)),0,1))))</f>
        <v>-</v>
      </c>
      <c r="Z69" s="127" t="str">
        <f>IF(INDEX(Resmin,MATCH(Table36[[#This Row],[Grist]],SMI,0))="-","-",IF(Table36[[#This Row],[Resistance, max]]="-","-",IF(Table36[[#This Row],[Resistance, max]]&lt;INDEX(Resmin,MATCH(Table36[[#This Row],[Grist]],SMI,0)),0,IF(Table36[[#This Row],[Resistance, max]]&gt;INDEX(Resmax,MATCH(Table36[[#This Row],[Grist]],SMI,0)),0,1))))</f>
        <v>-</v>
      </c>
      <c r="AA69" s="127" t="str">
        <f>IF(INDEX(WGmin,MATCH(Table36[[#This Row],[Grist]],SMI,0))="-","-",IF(Table36[[#This Row],[%Wet Gluten]]="-","-",IF(Table36[[#This Row],[%Wet Gluten]]&lt;INDEX(WGmin,MATCH(Table36[[#This Row],[Grist]],SMI,0)),0,IF(Table36[[#This Row],[%Wet Gluten]]&gt;INDEX(WGmax,MATCH(Table36[[#This Row],[Grist]],SMI,0)),0,1))))</f>
        <v>-</v>
      </c>
      <c r="AB69" s="127">
        <f>SUM(Table36[[#This Row],[ QI Bran Content]:[QI WG]])</f>
        <v>4</v>
      </c>
      <c r="AC69" s="127">
        <f>COUNT(Table36[[#This Row],[ QI Bran Content]:[QI WG]])</f>
        <v>4</v>
      </c>
    </row>
    <row r="70" spans="1:29" x14ac:dyDescent="0.35">
      <c r="A70" s="177">
        <v>45292</v>
      </c>
      <c r="B70" s="178">
        <v>45299</v>
      </c>
      <c r="C70" s="178" t="s">
        <v>128</v>
      </c>
      <c r="D70" s="179">
        <v>0.625</v>
      </c>
      <c r="E70" s="180" t="s">
        <v>0</v>
      </c>
      <c r="F70" s="181" t="s">
        <v>40</v>
      </c>
      <c r="G70" s="182">
        <v>2E-3</v>
      </c>
      <c r="H70" s="175" t="s">
        <v>165</v>
      </c>
      <c r="I70" s="175" t="s">
        <v>165</v>
      </c>
      <c r="J70" s="175" t="s">
        <v>165</v>
      </c>
      <c r="K70" s="175">
        <v>13.06</v>
      </c>
      <c r="L70" s="175" t="s">
        <v>163</v>
      </c>
      <c r="M70" s="175" t="s">
        <v>163</v>
      </c>
      <c r="N70" s="175" t="s">
        <v>163</v>
      </c>
      <c r="O70" s="175" t="s">
        <v>163</v>
      </c>
      <c r="P70" s="175" t="s">
        <v>163</v>
      </c>
      <c r="Q70" s="175" t="s">
        <v>163</v>
      </c>
      <c r="R70" s="127">
        <f>IF(Table36[[#This Row],[ Bran Content]]="-","-",IF(G70&lt;0.02,1,0))</f>
        <v>1</v>
      </c>
      <c r="S70" s="127">
        <f>IF(Table36[[#This Row],[Sieve Test]]="-","-",IF(Table36[[#This Row],[Sieve Test]]="P",1,0))</f>
        <v>1</v>
      </c>
      <c r="T70" s="127">
        <f>IF(Table36[[#This Row],[Odor]]="-","-",IF(Table36[[#This Row],[Odor]]="P",1,0))</f>
        <v>1</v>
      </c>
      <c r="U70" s="127">
        <f>IF(INDEX(MCmin,MATCH(Table36[[#This Row],[Grist]],SMI,0))="-","-",IF(Table36[[#This Row],[F1 %MC]]="-","-",IF(Table36[[#This Row],[F1 %MC]]&lt;INDEX(MCmin,MATCH(Table36[[#This Row],[Grist]],SMI,0)),0,IF(Table36[[#This Row],[F1 %MC]]&gt;INDEX(MCmax,MATCH(Table36[[#This Row],[Grist]],SMI,0)),0,1))))</f>
        <v>1</v>
      </c>
      <c r="V70" s="127" t="str">
        <f>IF(INDEX(Protmin,MATCH(Table36[[#This Row],[Grist]],SMI,0))="-","-",IF(Table36[[#This Row],[%Protein]]="-","-",IF(Table36[[#This Row],[%Protein]]&lt;INDEX(Protmin,MATCH(Table36[[#This Row],[Grist]],SMI,0)),0,IF(Table36[[#This Row],[%Protein]]&gt;INDEX(Protmax,MATCH(Table36[[#This Row],[Grist]],SMI,0)),0,1))))</f>
        <v>-</v>
      </c>
      <c r="W70" s="127" t="str">
        <f>IF(INDEX(Ashmin,MATCH(Table36[[#This Row],[Grist]],SMI,0))="-","-",IF(Table36[[#This Row],[%Ash]]="-","-",IF(Table36[[#This Row],[%Ash]]&lt;INDEX(Ashmin,MATCH(Table36[[#This Row],[Grist]],SMI,0)),0,IF(Table36[[#This Row],[%Ash]]&gt;INDEX(Ashmax,MATCH(Table36[[#This Row],[Grist]],SMI,0)),0,1))))</f>
        <v>-</v>
      </c>
      <c r="X70" s="127" t="str">
        <f>IF(INDEX(Absmin,MATCH(Table36[[#This Row],[Grist]],SMI,0))="-","-",IF(Table36[[#This Row],[%Absorption]]="-","-",IF(Table36[[#This Row],[%Absorption]]&lt;INDEX(Absmin,MATCH(Table36[[#This Row],[Grist]],SMI,0)),0,IF(Table36[[#This Row],[%Absorption]]&gt;INDEX(Absmax,MATCH(Table36[[#This Row],[Grist]],SMI,0)),0,1))))</f>
        <v>-</v>
      </c>
      <c r="Y70" s="127" t="str">
        <f>IF(INDEX(Extmin,MATCH(Table36[[#This Row],[Grist]],SMI,0))="-","-",IF(Table36[[#This Row],[%Extensibility]]="-","-",IF(Table36[[#This Row],[%Extensibility]]&lt;INDEX(Extmin,MATCH(Table36[[#This Row],[Grist]],SMI,0)),0,IF(Table36[[#This Row],[%Extensibility]]&gt;INDEX(Extmax,MATCH(Table36[[#This Row],[Grist]],SMI,0)),0,1))))</f>
        <v>-</v>
      </c>
      <c r="Z70" s="127" t="str">
        <f>IF(INDEX(Resmin,MATCH(Table36[[#This Row],[Grist]],SMI,0))="-","-",IF(Table36[[#This Row],[Resistance, max]]="-","-",IF(Table36[[#This Row],[Resistance, max]]&lt;INDEX(Resmin,MATCH(Table36[[#This Row],[Grist]],SMI,0)),0,IF(Table36[[#This Row],[Resistance, max]]&gt;INDEX(Resmax,MATCH(Table36[[#This Row],[Grist]],SMI,0)),0,1))))</f>
        <v>-</v>
      </c>
      <c r="AA70" s="127" t="str">
        <f>IF(INDEX(WGmin,MATCH(Table36[[#This Row],[Grist]],SMI,0))="-","-",IF(Table36[[#This Row],[%Wet Gluten]]="-","-",IF(Table36[[#This Row],[%Wet Gluten]]&lt;INDEX(WGmin,MATCH(Table36[[#This Row],[Grist]],SMI,0)),0,IF(Table36[[#This Row],[%Wet Gluten]]&gt;INDEX(WGmax,MATCH(Table36[[#This Row],[Grist]],SMI,0)),0,1))))</f>
        <v>-</v>
      </c>
      <c r="AB70" s="127">
        <f>SUM(Table36[[#This Row],[ QI Bran Content]:[QI WG]])</f>
        <v>4</v>
      </c>
      <c r="AC70" s="127">
        <f>COUNT(Table36[[#This Row],[ QI Bran Content]:[QI WG]])</f>
        <v>4</v>
      </c>
    </row>
    <row r="71" spans="1:29" x14ac:dyDescent="0.35">
      <c r="A71" s="177">
        <v>45292</v>
      </c>
      <c r="B71" s="178">
        <v>45299</v>
      </c>
      <c r="C71" s="178" t="s">
        <v>128</v>
      </c>
      <c r="D71" s="179">
        <v>0.625</v>
      </c>
      <c r="E71" s="180" t="s">
        <v>1</v>
      </c>
      <c r="F71" s="181" t="s">
        <v>241</v>
      </c>
      <c r="G71" s="182">
        <v>2.9700000000000001E-2</v>
      </c>
      <c r="H71" s="175" t="s">
        <v>165</v>
      </c>
      <c r="I71" s="175" t="s">
        <v>165</v>
      </c>
      <c r="J71" s="175" t="s">
        <v>165</v>
      </c>
      <c r="K71" s="175">
        <v>12.46</v>
      </c>
      <c r="L71" s="175" t="s">
        <v>163</v>
      </c>
      <c r="M71" s="175" t="s">
        <v>163</v>
      </c>
      <c r="N71" s="175" t="s">
        <v>163</v>
      </c>
      <c r="O71" s="175" t="s">
        <v>163</v>
      </c>
      <c r="P71" s="175" t="s">
        <v>163</v>
      </c>
      <c r="Q71" s="175" t="s">
        <v>163</v>
      </c>
      <c r="R71" s="127">
        <f>IF(Table36[[#This Row],[ Bran Content]]="-","-",IF(G71&lt;0.02,1,0))</f>
        <v>0</v>
      </c>
      <c r="S71" s="127">
        <f>IF(Table36[[#This Row],[Sieve Test]]="-","-",IF(Table36[[#This Row],[Sieve Test]]="P",1,0))</f>
        <v>1</v>
      </c>
      <c r="T71" s="127">
        <f>IF(Table36[[#This Row],[Odor]]="-","-",IF(Table36[[#This Row],[Odor]]="P",1,0))</f>
        <v>1</v>
      </c>
      <c r="U71" s="127" t="str">
        <f>IF(INDEX(MCmin,MATCH(Table36[[#This Row],[Grist]],SMI,0))="-","-",IF(Table36[[#This Row],[F1 %MC]]="-","-",IF(Table36[[#This Row],[F1 %MC]]&lt;INDEX(MCmin,MATCH(Table36[[#This Row],[Grist]],SMI,0)),0,IF(Table36[[#This Row],[F1 %MC]]&gt;INDEX(MCmax,MATCH(Table36[[#This Row],[Grist]],SMI,0)),0,1))))</f>
        <v>-</v>
      </c>
      <c r="V71" s="127" t="str">
        <f>IF(INDEX(Protmin,MATCH(Table36[[#This Row],[Grist]],SMI,0))="-","-",IF(Table36[[#This Row],[%Protein]]="-","-",IF(Table36[[#This Row],[%Protein]]&lt;INDEX(Protmin,MATCH(Table36[[#This Row],[Grist]],SMI,0)),0,IF(Table36[[#This Row],[%Protein]]&gt;INDEX(Protmax,MATCH(Table36[[#This Row],[Grist]],SMI,0)),0,1))))</f>
        <v>-</v>
      </c>
      <c r="W71" s="127" t="str">
        <f>IF(INDEX(Ashmin,MATCH(Table36[[#This Row],[Grist]],SMI,0))="-","-",IF(Table36[[#This Row],[%Ash]]="-","-",IF(Table36[[#This Row],[%Ash]]&lt;INDEX(Ashmin,MATCH(Table36[[#This Row],[Grist]],SMI,0)),0,IF(Table36[[#This Row],[%Ash]]&gt;INDEX(Ashmax,MATCH(Table36[[#This Row],[Grist]],SMI,0)),0,1))))</f>
        <v>-</v>
      </c>
      <c r="X71" s="127" t="str">
        <f>IF(INDEX(Absmin,MATCH(Table36[[#This Row],[Grist]],SMI,0))="-","-",IF(Table36[[#This Row],[%Absorption]]="-","-",IF(Table36[[#This Row],[%Absorption]]&lt;INDEX(Absmin,MATCH(Table36[[#This Row],[Grist]],SMI,0)),0,IF(Table36[[#This Row],[%Absorption]]&gt;INDEX(Absmax,MATCH(Table36[[#This Row],[Grist]],SMI,0)),0,1))))</f>
        <v>-</v>
      </c>
      <c r="Y71" s="127" t="str">
        <f>IF(INDEX(Extmin,MATCH(Table36[[#This Row],[Grist]],SMI,0))="-","-",IF(Table36[[#This Row],[%Extensibility]]="-","-",IF(Table36[[#This Row],[%Extensibility]]&lt;INDEX(Extmin,MATCH(Table36[[#This Row],[Grist]],SMI,0)),0,IF(Table36[[#This Row],[%Extensibility]]&gt;INDEX(Extmax,MATCH(Table36[[#This Row],[Grist]],SMI,0)),0,1))))</f>
        <v>-</v>
      </c>
      <c r="Z71" s="127" t="str">
        <f>IF(INDEX(Resmin,MATCH(Table36[[#This Row],[Grist]],SMI,0))="-","-",IF(Table36[[#This Row],[Resistance, max]]="-","-",IF(Table36[[#This Row],[Resistance, max]]&lt;INDEX(Resmin,MATCH(Table36[[#This Row],[Grist]],SMI,0)),0,IF(Table36[[#This Row],[Resistance, max]]&gt;INDEX(Resmax,MATCH(Table36[[#This Row],[Grist]],SMI,0)),0,1))))</f>
        <v>-</v>
      </c>
      <c r="AA71" s="127" t="str">
        <f>IF(INDEX(WGmin,MATCH(Table36[[#This Row],[Grist]],SMI,0))="-","-",IF(Table36[[#This Row],[%Wet Gluten]]="-","-",IF(Table36[[#This Row],[%Wet Gluten]]&lt;INDEX(WGmin,MATCH(Table36[[#This Row],[Grist]],SMI,0)),0,IF(Table36[[#This Row],[%Wet Gluten]]&gt;INDEX(WGmax,MATCH(Table36[[#This Row],[Grist]],SMI,0)),0,1))))</f>
        <v>-</v>
      </c>
      <c r="AB71" s="127">
        <f>SUM(Table36[[#This Row],[ QI Bran Content]:[QI WG]])</f>
        <v>2</v>
      </c>
      <c r="AC71" s="127">
        <f>COUNT(Table36[[#This Row],[ QI Bran Content]:[QI WG]])</f>
        <v>3</v>
      </c>
    </row>
    <row r="72" spans="1:29" x14ac:dyDescent="0.35">
      <c r="A72" s="177">
        <v>45292</v>
      </c>
      <c r="B72" s="178">
        <v>45301</v>
      </c>
      <c r="C72" s="178" t="s">
        <v>128</v>
      </c>
      <c r="D72" s="179">
        <v>0.70833333333333304</v>
      </c>
      <c r="E72" s="180" t="s">
        <v>0</v>
      </c>
      <c r="F72" s="181" t="s">
        <v>27</v>
      </c>
      <c r="G72" s="182">
        <v>5.4999999999999997E-3</v>
      </c>
      <c r="H72" s="175" t="s">
        <v>165</v>
      </c>
      <c r="I72" s="175" t="s">
        <v>165</v>
      </c>
      <c r="J72" s="175" t="s">
        <v>165</v>
      </c>
      <c r="K72" s="175">
        <v>11.69</v>
      </c>
      <c r="L72" s="175">
        <v>12.7</v>
      </c>
      <c r="M72" s="175">
        <v>0.6</v>
      </c>
      <c r="N72" s="175">
        <v>64.5</v>
      </c>
      <c r="O72" s="175">
        <v>21</v>
      </c>
      <c r="P72" s="175">
        <v>615</v>
      </c>
      <c r="Q72" s="175">
        <v>35.619999999999997</v>
      </c>
      <c r="R72" s="127">
        <f>IF(Table36[[#This Row],[ Bran Content]]="-","-",IF(G72&lt;0.02,1,0))</f>
        <v>1</v>
      </c>
      <c r="S72" s="127">
        <f>IF(Table36[[#This Row],[Sieve Test]]="-","-",IF(Table36[[#This Row],[Sieve Test]]="P",1,0))</f>
        <v>1</v>
      </c>
      <c r="T72" s="127">
        <f>IF(Table36[[#This Row],[Odor]]="-","-",IF(Table36[[#This Row],[Odor]]="P",1,0))</f>
        <v>1</v>
      </c>
      <c r="U72" s="127">
        <f>IF(INDEX(MCmin,MATCH(Table36[[#This Row],[Grist]],SMI,0))="-","-",IF(Table36[[#This Row],[F1 %MC]]="-","-",IF(Table36[[#This Row],[F1 %MC]]&lt;INDEX(MCmin,MATCH(Table36[[#This Row],[Grist]],SMI,0)),0,IF(Table36[[#This Row],[F1 %MC]]&gt;INDEX(MCmax,MATCH(Table36[[#This Row],[Grist]],SMI,0)),0,1))))</f>
        <v>0</v>
      </c>
      <c r="V72" s="127">
        <f>IF(INDEX(Protmin,MATCH(Table36[[#This Row],[Grist]],SMI,0))="-","-",IF(Table36[[#This Row],[%Protein]]="-","-",IF(Table36[[#This Row],[%Protein]]&lt;INDEX(Protmin,MATCH(Table36[[#This Row],[Grist]],SMI,0)),0,IF(Table36[[#This Row],[%Protein]]&gt;INDEX(Protmax,MATCH(Table36[[#This Row],[Grist]],SMI,0)),0,1))))</f>
        <v>1</v>
      </c>
      <c r="W72" s="127">
        <f>IF(INDEX(Ashmin,MATCH(Table36[[#This Row],[Grist]],SMI,0))="-","-",IF(Table36[[#This Row],[%Ash]]="-","-",IF(Table36[[#This Row],[%Ash]]&lt;INDEX(Ashmin,MATCH(Table36[[#This Row],[Grist]],SMI,0)),0,IF(Table36[[#This Row],[%Ash]]&gt;INDEX(Ashmax,MATCH(Table36[[#This Row],[Grist]],SMI,0)),0,1))))</f>
        <v>1</v>
      </c>
      <c r="X72" s="127">
        <f>IF(INDEX(Absmin,MATCH(Table36[[#This Row],[Grist]],SMI,0))="-","-",IF(Table36[[#This Row],[%Absorption]]="-","-",IF(Table36[[#This Row],[%Absorption]]&lt;INDEX(Absmin,MATCH(Table36[[#This Row],[Grist]],SMI,0)),0,IF(Table36[[#This Row],[%Absorption]]&gt;INDEX(Absmax,MATCH(Table36[[#This Row],[Grist]],SMI,0)),0,1))))</f>
        <v>1</v>
      </c>
      <c r="Y72" s="127">
        <f>IF(INDEX(Extmin,MATCH(Table36[[#This Row],[Grist]],SMI,0))="-","-",IF(Table36[[#This Row],[%Extensibility]]="-","-",IF(Table36[[#This Row],[%Extensibility]]&lt;INDEX(Extmin,MATCH(Table36[[#This Row],[Grist]],SMI,0)),0,IF(Table36[[#This Row],[%Extensibility]]&gt;INDEX(Extmax,MATCH(Table36[[#This Row],[Grist]],SMI,0)),0,1))))</f>
        <v>1</v>
      </c>
      <c r="Z72" s="127">
        <f>IF(INDEX(Resmin,MATCH(Table36[[#This Row],[Grist]],SMI,0))="-","-",IF(Table36[[#This Row],[Resistance, max]]="-","-",IF(Table36[[#This Row],[Resistance, max]]&lt;INDEX(Resmin,MATCH(Table36[[#This Row],[Grist]],SMI,0)),0,IF(Table36[[#This Row],[Resistance, max]]&gt;INDEX(Resmax,MATCH(Table36[[#This Row],[Grist]],SMI,0)),0,1))))</f>
        <v>1</v>
      </c>
      <c r="AA72" s="127">
        <f>IF(INDEX(WGmin,MATCH(Table36[[#This Row],[Grist]],SMI,0))="-","-",IF(Table36[[#This Row],[%Wet Gluten]]="-","-",IF(Table36[[#This Row],[%Wet Gluten]]&lt;INDEX(WGmin,MATCH(Table36[[#This Row],[Grist]],SMI,0)),0,IF(Table36[[#This Row],[%Wet Gluten]]&gt;INDEX(WGmax,MATCH(Table36[[#This Row],[Grist]],SMI,0)),0,1))))</f>
        <v>1</v>
      </c>
      <c r="AB72" s="127">
        <f>SUM(Table36[[#This Row],[ QI Bran Content]:[QI WG]])</f>
        <v>9</v>
      </c>
      <c r="AC72" s="127">
        <f>COUNT(Table36[[#This Row],[ QI Bran Content]:[QI WG]])</f>
        <v>10</v>
      </c>
    </row>
    <row r="73" spans="1:29" x14ac:dyDescent="0.35">
      <c r="A73" s="177">
        <v>45292</v>
      </c>
      <c r="B73" s="178">
        <v>45301</v>
      </c>
      <c r="C73" s="178" t="s">
        <v>128</v>
      </c>
      <c r="D73" s="179">
        <v>0.79166666666666596</v>
      </c>
      <c r="E73" s="180" t="s">
        <v>0</v>
      </c>
      <c r="F73" s="181" t="s">
        <v>27</v>
      </c>
      <c r="G73" s="182">
        <v>1.12E-2</v>
      </c>
      <c r="H73" s="175" t="s">
        <v>165</v>
      </c>
      <c r="I73" s="175" t="s">
        <v>165</v>
      </c>
      <c r="J73" s="175" t="s">
        <v>165</v>
      </c>
      <c r="K73" s="175">
        <v>12</v>
      </c>
      <c r="L73" s="175" t="s">
        <v>163</v>
      </c>
      <c r="M73" s="175" t="s">
        <v>163</v>
      </c>
      <c r="N73" s="175" t="s">
        <v>163</v>
      </c>
      <c r="O73" s="175" t="s">
        <v>163</v>
      </c>
      <c r="P73" s="175" t="s">
        <v>163</v>
      </c>
      <c r="Q73" s="175" t="s">
        <v>163</v>
      </c>
      <c r="R73" s="127">
        <f>IF(Table36[[#This Row],[ Bran Content]]="-","-",IF(G73&lt;0.02,1,0))</f>
        <v>1</v>
      </c>
      <c r="S73" s="127">
        <f>IF(Table36[[#This Row],[Sieve Test]]="-","-",IF(Table36[[#This Row],[Sieve Test]]="P",1,0))</f>
        <v>1</v>
      </c>
      <c r="T73" s="127">
        <f>IF(Table36[[#This Row],[Odor]]="-","-",IF(Table36[[#This Row],[Odor]]="P",1,0))</f>
        <v>1</v>
      </c>
      <c r="U73" s="127">
        <f>IF(INDEX(MCmin,MATCH(Table36[[#This Row],[Grist]],SMI,0))="-","-",IF(Table36[[#This Row],[F1 %MC]]="-","-",IF(Table36[[#This Row],[F1 %MC]]&lt;INDEX(MCmin,MATCH(Table36[[#This Row],[Grist]],SMI,0)),0,IF(Table36[[#This Row],[F1 %MC]]&gt;INDEX(MCmax,MATCH(Table36[[#This Row],[Grist]],SMI,0)),0,1))))</f>
        <v>1</v>
      </c>
      <c r="V73" s="127" t="str">
        <f>IF(INDEX(Protmin,MATCH(Table36[[#This Row],[Grist]],SMI,0))="-","-",IF(Table36[[#This Row],[%Protein]]="-","-",IF(Table36[[#This Row],[%Protein]]&lt;INDEX(Protmin,MATCH(Table36[[#This Row],[Grist]],SMI,0)),0,IF(Table36[[#This Row],[%Protein]]&gt;INDEX(Protmax,MATCH(Table36[[#This Row],[Grist]],SMI,0)),0,1))))</f>
        <v>-</v>
      </c>
      <c r="W73" s="127" t="str">
        <f>IF(INDEX(Ashmin,MATCH(Table36[[#This Row],[Grist]],SMI,0))="-","-",IF(Table36[[#This Row],[%Ash]]="-","-",IF(Table36[[#This Row],[%Ash]]&lt;INDEX(Ashmin,MATCH(Table36[[#This Row],[Grist]],SMI,0)),0,IF(Table36[[#This Row],[%Ash]]&gt;INDEX(Ashmax,MATCH(Table36[[#This Row],[Grist]],SMI,0)),0,1))))</f>
        <v>-</v>
      </c>
      <c r="X73" s="127" t="str">
        <f>IF(INDEX(Absmin,MATCH(Table36[[#This Row],[Grist]],SMI,0))="-","-",IF(Table36[[#This Row],[%Absorption]]="-","-",IF(Table36[[#This Row],[%Absorption]]&lt;INDEX(Absmin,MATCH(Table36[[#This Row],[Grist]],SMI,0)),0,IF(Table36[[#This Row],[%Absorption]]&gt;INDEX(Absmax,MATCH(Table36[[#This Row],[Grist]],SMI,0)),0,1))))</f>
        <v>-</v>
      </c>
      <c r="Y73" s="127" t="str">
        <f>IF(INDEX(Extmin,MATCH(Table36[[#This Row],[Grist]],SMI,0))="-","-",IF(Table36[[#This Row],[%Extensibility]]="-","-",IF(Table36[[#This Row],[%Extensibility]]&lt;INDEX(Extmin,MATCH(Table36[[#This Row],[Grist]],SMI,0)),0,IF(Table36[[#This Row],[%Extensibility]]&gt;INDEX(Extmax,MATCH(Table36[[#This Row],[Grist]],SMI,0)),0,1))))</f>
        <v>-</v>
      </c>
      <c r="Z73" s="127" t="str">
        <f>IF(INDEX(Resmin,MATCH(Table36[[#This Row],[Grist]],SMI,0))="-","-",IF(Table36[[#This Row],[Resistance, max]]="-","-",IF(Table36[[#This Row],[Resistance, max]]&lt;INDEX(Resmin,MATCH(Table36[[#This Row],[Grist]],SMI,0)),0,IF(Table36[[#This Row],[Resistance, max]]&gt;INDEX(Resmax,MATCH(Table36[[#This Row],[Grist]],SMI,0)),0,1))))</f>
        <v>-</v>
      </c>
      <c r="AA73" s="127" t="str">
        <f>IF(INDEX(WGmin,MATCH(Table36[[#This Row],[Grist]],SMI,0))="-","-",IF(Table36[[#This Row],[%Wet Gluten]]="-","-",IF(Table36[[#This Row],[%Wet Gluten]]&lt;INDEX(WGmin,MATCH(Table36[[#This Row],[Grist]],SMI,0)),0,IF(Table36[[#This Row],[%Wet Gluten]]&gt;INDEX(WGmax,MATCH(Table36[[#This Row],[Grist]],SMI,0)),0,1))))</f>
        <v>-</v>
      </c>
      <c r="AB73" s="127">
        <f>SUM(Table36[[#This Row],[ QI Bran Content]:[QI WG]])</f>
        <v>4</v>
      </c>
      <c r="AC73" s="127">
        <f>COUNT(Table36[[#This Row],[ QI Bran Content]:[QI WG]])</f>
        <v>4</v>
      </c>
    </row>
    <row r="74" spans="1:29" x14ac:dyDescent="0.35">
      <c r="A74" s="177">
        <v>45292</v>
      </c>
      <c r="B74" s="178">
        <v>45301</v>
      </c>
      <c r="C74" s="178" t="s">
        <v>128</v>
      </c>
      <c r="D74" s="179">
        <v>0.874999999999999</v>
      </c>
      <c r="E74" s="180" t="s">
        <v>0</v>
      </c>
      <c r="F74" s="181" t="s">
        <v>27</v>
      </c>
      <c r="G74" s="182">
        <v>5.5999999999999999E-3</v>
      </c>
      <c r="H74" s="175" t="s">
        <v>165</v>
      </c>
      <c r="I74" s="175" t="s">
        <v>165</v>
      </c>
      <c r="J74" s="175" t="s">
        <v>165</v>
      </c>
      <c r="K74" s="175">
        <v>11.82</v>
      </c>
      <c r="L74" s="175" t="s">
        <v>163</v>
      </c>
      <c r="M74" s="175" t="s">
        <v>163</v>
      </c>
      <c r="N74" s="175" t="s">
        <v>163</v>
      </c>
      <c r="O74" s="175" t="s">
        <v>163</v>
      </c>
      <c r="P74" s="175" t="s">
        <v>163</v>
      </c>
      <c r="Q74" s="175" t="s">
        <v>163</v>
      </c>
      <c r="R74" s="127">
        <f>IF(Table36[[#This Row],[ Bran Content]]="-","-",IF(G74&lt;0.02,1,0))</f>
        <v>1</v>
      </c>
      <c r="S74" s="127">
        <f>IF(Table36[[#This Row],[Sieve Test]]="-","-",IF(Table36[[#This Row],[Sieve Test]]="P",1,0))</f>
        <v>1</v>
      </c>
      <c r="T74" s="127">
        <f>IF(Table36[[#This Row],[Odor]]="-","-",IF(Table36[[#This Row],[Odor]]="P",1,0))</f>
        <v>1</v>
      </c>
      <c r="U74" s="127">
        <f>IF(INDEX(MCmin,MATCH(Table36[[#This Row],[Grist]],SMI,0))="-","-",IF(Table36[[#This Row],[F1 %MC]]="-","-",IF(Table36[[#This Row],[F1 %MC]]&lt;INDEX(MCmin,MATCH(Table36[[#This Row],[Grist]],SMI,0)),0,IF(Table36[[#This Row],[F1 %MC]]&gt;INDEX(MCmax,MATCH(Table36[[#This Row],[Grist]],SMI,0)),0,1))))</f>
        <v>0</v>
      </c>
      <c r="V74" s="127" t="str">
        <f>IF(INDEX(Protmin,MATCH(Table36[[#This Row],[Grist]],SMI,0))="-","-",IF(Table36[[#This Row],[%Protein]]="-","-",IF(Table36[[#This Row],[%Protein]]&lt;INDEX(Protmin,MATCH(Table36[[#This Row],[Grist]],SMI,0)),0,IF(Table36[[#This Row],[%Protein]]&gt;INDEX(Protmax,MATCH(Table36[[#This Row],[Grist]],SMI,0)),0,1))))</f>
        <v>-</v>
      </c>
      <c r="W74" s="127" t="str">
        <f>IF(INDEX(Ashmin,MATCH(Table36[[#This Row],[Grist]],SMI,0))="-","-",IF(Table36[[#This Row],[%Ash]]="-","-",IF(Table36[[#This Row],[%Ash]]&lt;INDEX(Ashmin,MATCH(Table36[[#This Row],[Grist]],SMI,0)),0,IF(Table36[[#This Row],[%Ash]]&gt;INDEX(Ashmax,MATCH(Table36[[#This Row],[Grist]],SMI,0)),0,1))))</f>
        <v>-</v>
      </c>
      <c r="X74" s="127" t="str">
        <f>IF(INDEX(Absmin,MATCH(Table36[[#This Row],[Grist]],SMI,0))="-","-",IF(Table36[[#This Row],[%Absorption]]="-","-",IF(Table36[[#This Row],[%Absorption]]&lt;INDEX(Absmin,MATCH(Table36[[#This Row],[Grist]],SMI,0)),0,IF(Table36[[#This Row],[%Absorption]]&gt;INDEX(Absmax,MATCH(Table36[[#This Row],[Grist]],SMI,0)),0,1))))</f>
        <v>-</v>
      </c>
      <c r="Y74" s="127" t="str">
        <f>IF(INDEX(Extmin,MATCH(Table36[[#This Row],[Grist]],SMI,0))="-","-",IF(Table36[[#This Row],[%Extensibility]]="-","-",IF(Table36[[#This Row],[%Extensibility]]&lt;INDEX(Extmin,MATCH(Table36[[#This Row],[Grist]],SMI,0)),0,IF(Table36[[#This Row],[%Extensibility]]&gt;INDEX(Extmax,MATCH(Table36[[#This Row],[Grist]],SMI,0)),0,1))))</f>
        <v>-</v>
      </c>
      <c r="Z74" s="127" t="str">
        <f>IF(INDEX(Resmin,MATCH(Table36[[#This Row],[Grist]],SMI,0))="-","-",IF(Table36[[#This Row],[Resistance, max]]="-","-",IF(Table36[[#This Row],[Resistance, max]]&lt;INDEX(Resmin,MATCH(Table36[[#This Row],[Grist]],SMI,0)),0,IF(Table36[[#This Row],[Resistance, max]]&gt;INDEX(Resmax,MATCH(Table36[[#This Row],[Grist]],SMI,0)),0,1))))</f>
        <v>-</v>
      </c>
      <c r="AA74" s="127" t="str">
        <f>IF(INDEX(WGmin,MATCH(Table36[[#This Row],[Grist]],SMI,0))="-","-",IF(Table36[[#This Row],[%Wet Gluten]]="-","-",IF(Table36[[#This Row],[%Wet Gluten]]&lt;INDEX(WGmin,MATCH(Table36[[#This Row],[Grist]],SMI,0)),0,IF(Table36[[#This Row],[%Wet Gluten]]&gt;INDEX(WGmax,MATCH(Table36[[#This Row],[Grist]],SMI,0)),0,1))))</f>
        <v>-</v>
      </c>
      <c r="AB74" s="127">
        <f>SUM(Table36[[#This Row],[ QI Bran Content]:[QI WG]])</f>
        <v>3</v>
      </c>
      <c r="AC74" s="127">
        <f>COUNT(Table36[[#This Row],[ QI Bran Content]:[QI WG]])</f>
        <v>4</v>
      </c>
    </row>
    <row r="75" spans="1:29" x14ac:dyDescent="0.35">
      <c r="A75" s="177">
        <v>45292</v>
      </c>
      <c r="B75" s="178">
        <v>45302</v>
      </c>
      <c r="C75" s="178" t="s">
        <v>128</v>
      </c>
      <c r="D75" s="179">
        <v>0.625</v>
      </c>
      <c r="E75" s="180" t="s">
        <v>0</v>
      </c>
      <c r="F75" s="181" t="s">
        <v>48</v>
      </c>
      <c r="G75" s="182">
        <v>8.5000000000000006E-3</v>
      </c>
      <c r="H75" s="175" t="s">
        <v>165</v>
      </c>
      <c r="I75" s="175" t="s">
        <v>165</v>
      </c>
      <c r="J75" s="175" t="s">
        <v>165</v>
      </c>
      <c r="K75" s="175">
        <v>11.22</v>
      </c>
      <c r="L75" s="175">
        <v>12.18</v>
      </c>
      <c r="M75" s="175">
        <v>0.54</v>
      </c>
      <c r="N75" s="175">
        <v>64.400000000000006</v>
      </c>
      <c r="O75" s="175" t="s">
        <v>163</v>
      </c>
      <c r="P75" s="175" t="s">
        <v>163</v>
      </c>
      <c r="Q75" s="175">
        <v>34.119999999999997</v>
      </c>
      <c r="R75" s="127">
        <f>IF(Table36[[#This Row],[ Bran Content]]="-","-",IF(G75&lt;0.02,1,0))</f>
        <v>1</v>
      </c>
      <c r="S75" s="127">
        <f>IF(Table36[[#This Row],[Sieve Test]]="-","-",IF(Table36[[#This Row],[Sieve Test]]="P",1,0))</f>
        <v>1</v>
      </c>
      <c r="T75" s="127">
        <f>IF(Table36[[#This Row],[Odor]]="-","-",IF(Table36[[#This Row],[Odor]]="P",1,0))</f>
        <v>1</v>
      </c>
      <c r="U75" s="127" t="str">
        <f>IF(INDEX(MCmin,MATCH(Table36[[#This Row],[Grist]],SMI,0))="-","-",IF(Table36[[#This Row],[F1 %MC]]="-","-",IF(Table36[[#This Row],[F1 %MC]]&lt;INDEX(MCmin,MATCH(Table36[[#This Row],[Grist]],SMI,0)),0,IF(Table36[[#This Row],[F1 %MC]]&gt;INDEX(MCmax,MATCH(Table36[[#This Row],[Grist]],SMI,0)),0,1))))</f>
        <v>-</v>
      </c>
      <c r="V75" s="127">
        <f>IF(INDEX(Protmin,MATCH(Table36[[#This Row],[Grist]],SMI,0))="-","-",IF(Table36[[#This Row],[%Protein]]="-","-",IF(Table36[[#This Row],[%Protein]]&lt;INDEX(Protmin,MATCH(Table36[[#This Row],[Grist]],SMI,0)),0,IF(Table36[[#This Row],[%Protein]]&gt;INDEX(Protmax,MATCH(Table36[[#This Row],[Grist]],SMI,0)),0,1))))</f>
        <v>0</v>
      </c>
      <c r="W75" s="127" t="str">
        <f>IF(INDEX(Ashmin,MATCH(Table36[[#This Row],[Grist]],SMI,0))="-","-",IF(Table36[[#This Row],[%Ash]]="-","-",IF(Table36[[#This Row],[%Ash]]&lt;INDEX(Ashmin,MATCH(Table36[[#This Row],[Grist]],SMI,0)),0,IF(Table36[[#This Row],[%Ash]]&gt;INDEX(Ashmax,MATCH(Table36[[#This Row],[Grist]],SMI,0)),0,1))))</f>
        <v>-</v>
      </c>
      <c r="X75" s="127" t="str">
        <f>IF(INDEX(Absmin,MATCH(Table36[[#This Row],[Grist]],SMI,0))="-","-",IF(Table36[[#This Row],[%Absorption]]="-","-",IF(Table36[[#This Row],[%Absorption]]&lt;INDEX(Absmin,MATCH(Table36[[#This Row],[Grist]],SMI,0)),0,IF(Table36[[#This Row],[%Absorption]]&gt;INDEX(Absmax,MATCH(Table36[[#This Row],[Grist]],SMI,0)),0,1))))</f>
        <v>-</v>
      </c>
      <c r="Y75" s="127" t="str">
        <f>IF(INDEX(Extmin,MATCH(Table36[[#This Row],[Grist]],SMI,0))="-","-",IF(Table36[[#This Row],[%Extensibility]]="-","-",IF(Table36[[#This Row],[%Extensibility]]&lt;INDEX(Extmin,MATCH(Table36[[#This Row],[Grist]],SMI,0)),0,IF(Table36[[#This Row],[%Extensibility]]&gt;INDEX(Extmax,MATCH(Table36[[#This Row],[Grist]],SMI,0)),0,1))))</f>
        <v>-</v>
      </c>
      <c r="Z75" s="127" t="str">
        <f>IF(INDEX(Resmin,MATCH(Table36[[#This Row],[Grist]],SMI,0))="-","-",IF(Table36[[#This Row],[Resistance, max]]="-","-",IF(Table36[[#This Row],[Resistance, max]]&lt;INDEX(Resmin,MATCH(Table36[[#This Row],[Grist]],SMI,0)),0,IF(Table36[[#This Row],[Resistance, max]]&gt;INDEX(Resmax,MATCH(Table36[[#This Row],[Grist]],SMI,0)),0,1))))</f>
        <v>-</v>
      </c>
      <c r="AA75" s="127" t="str">
        <f>IF(INDEX(WGmin,MATCH(Table36[[#This Row],[Grist]],SMI,0))="-","-",IF(Table36[[#This Row],[%Wet Gluten]]="-","-",IF(Table36[[#This Row],[%Wet Gluten]]&lt;INDEX(WGmin,MATCH(Table36[[#This Row],[Grist]],SMI,0)),0,IF(Table36[[#This Row],[%Wet Gluten]]&gt;INDEX(WGmax,MATCH(Table36[[#This Row],[Grist]],SMI,0)),0,1))))</f>
        <v>-</v>
      </c>
      <c r="AB75" s="127">
        <f>SUM(Table36[[#This Row],[ QI Bran Content]:[QI WG]])</f>
        <v>3</v>
      </c>
      <c r="AC75" s="127">
        <f>COUNT(Table36[[#This Row],[ QI Bran Content]:[QI WG]])</f>
        <v>4</v>
      </c>
    </row>
    <row r="76" spans="1:29" x14ac:dyDescent="0.35">
      <c r="A76" s="177">
        <v>45292</v>
      </c>
      <c r="B76" s="178">
        <v>45302</v>
      </c>
      <c r="C76" s="178" t="s">
        <v>128</v>
      </c>
      <c r="D76" s="179">
        <v>0.70833333333333304</v>
      </c>
      <c r="E76" s="180" t="s">
        <v>0</v>
      </c>
      <c r="F76" s="181" t="s">
        <v>48</v>
      </c>
      <c r="G76" s="182">
        <v>5.1000000000000004E-3</v>
      </c>
      <c r="H76" s="175" t="s">
        <v>165</v>
      </c>
      <c r="I76" s="175" t="s">
        <v>165</v>
      </c>
      <c r="J76" s="175" t="s">
        <v>165</v>
      </c>
      <c r="K76" s="175">
        <v>11.21</v>
      </c>
      <c r="L76" s="175" t="s">
        <v>163</v>
      </c>
      <c r="M76" s="175" t="s">
        <v>163</v>
      </c>
      <c r="N76" s="175" t="s">
        <v>163</v>
      </c>
      <c r="O76" s="175" t="s">
        <v>163</v>
      </c>
      <c r="P76" s="175" t="s">
        <v>163</v>
      </c>
      <c r="Q76" s="175" t="s">
        <v>163</v>
      </c>
      <c r="R76" s="127">
        <f>IF(Table36[[#This Row],[ Bran Content]]="-","-",IF(G76&lt;0.02,1,0))</f>
        <v>1</v>
      </c>
      <c r="S76" s="127">
        <f>IF(Table36[[#This Row],[Sieve Test]]="-","-",IF(Table36[[#This Row],[Sieve Test]]="P",1,0))</f>
        <v>1</v>
      </c>
      <c r="T76" s="127">
        <f>IF(Table36[[#This Row],[Odor]]="-","-",IF(Table36[[#This Row],[Odor]]="P",1,0))</f>
        <v>1</v>
      </c>
      <c r="U76" s="127" t="str">
        <f>IF(INDEX(MCmin,MATCH(Table36[[#This Row],[Grist]],SMI,0))="-","-",IF(Table36[[#This Row],[F1 %MC]]="-","-",IF(Table36[[#This Row],[F1 %MC]]&lt;INDEX(MCmin,MATCH(Table36[[#This Row],[Grist]],SMI,0)),0,IF(Table36[[#This Row],[F1 %MC]]&gt;INDEX(MCmax,MATCH(Table36[[#This Row],[Grist]],SMI,0)),0,1))))</f>
        <v>-</v>
      </c>
      <c r="V76" s="127" t="str">
        <f>IF(INDEX(Protmin,MATCH(Table36[[#This Row],[Grist]],SMI,0))="-","-",IF(Table36[[#This Row],[%Protein]]="-","-",IF(Table36[[#This Row],[%Protein]]&lt;INDEX(Protmin,MATCH(Table36[[#This Row],[Grist]],SMI,0)),0,IF(Table36[[#This Row],[%Protein]]&gt;INDEX(Protmax,MATCH(Table36[[#This Row],[Grist]],SMI,0)),0,1))))</f>
        <v>-</v>
      </c>
      <c r="W76" s="127" t="str">
        <f>IF(INDEX(Ashmin,MATCH(Table36[[#This Row],[Grist]],SMI,0))="-","-",IF(Table36[[#This Row],[%Ash]]="-","-",IF(Table36[[#This Row],[%Ash]]&lt;INDEX(Ashmin,MATCH(Table36[[#This Row],[Grist]],SMI,0)),0,IF(Table36[[#This Row],[%Ash]]&gt;INDEX(Ashmax,MATCH(Table36[[#This Row],[Grist]],SMI,0)),0,1))))</f>
        <v>-</v>
      </c>
      <c r="X76" s="127" t="str">
        <f>IF(INDEX(Absmin,MATCH(Table36[[#This Row],[Grist]],SMI,0))="-","-",IF(Table36[[#This Row],[%Absorption]]="-","-",IF(Table36[[#This Row],[%Absorption]]&lt;INDEX(Absmin,MATCH(Table36[[#This Row],[Grist]],SMI,0)),0,IF(Table36[[#This Row],[%Absorption]]&gt;INDEX(Absmax,MATCH(Table36[[#This Row],[Grist]],SMI,0)),0,1))))</f>
        <v>-</v>
      </c>
      <c r="Y76" s="127" t="str">
        <f>IF(INDEX(Extmin,MATCH(Table36[[#This Row],[Grist]],SMI,0))="-","-",IF(Table36[[#This Row],[%Extensibility]]="-","-",IF(Table36[[#This Row],[%Extensibility]]&lt;INDEX(Extmin,MATCH(Table36[[#This Row],[Grist]],SMI,0)),0,IF(Table36[[#This Row],[%Extensibility]]&gt;INDEX(Extmax,MATCH(Table36[[#This Row],[Grist]],SMI,0)),0,1))))</f>
        <v>-</v>
      </c>
      <c r="Z76" s="127" t="str">
        <f>IF(INDEX(Resmin,MATCH(Table36[[#This Row],[Grist]],SMI,0))="-","-",IF(Table36[[#This Row],[Resistance, max]]="-","-",IF(Table36[[#This Row],[Resistance, max]]&lt;INDEX(Resmin,MATCH(Table36[[#This Row],[Grist]],SMI,0)),0,IF(Table36[[#This Row],[Resistance, max]]&gt;INDEX(Resmax,MATCH(Table36[[#This Row],[Grist]],SMI,0)),0,1))))</f>
        <v>-</v>
      </c>
      <c r="AA76" s="127" t="str">
        <f>IF(INDEX(WGmin,MATCH(Table36[[#This Row],[Grist]],SMI,0))="-","-",IF(Table36[[#This Row],[%Wet Gluten]]="-","-",IF(Table36[[#This Row],[%Wet Gluten]]&lt;INDEX(WGmin,MATCH(Table36[[#This Row],[Grist]],SMI,0)),0,IF(Table36[[#This Row],[%Wet Gluten]]&gt;INDEX(WGmax,MATCH(Table36[[#This Row],[Grist]],SMI,0)),0,1))))</f>
        <v>-</v>
      </c>
      <c r="AB76" s="127">
        <f>SUM(Table36[[#This Row],[ QI Bran Content]:[QI WG]])</f>
        <v>3</v>
      </c>
      <c r="AC76" s="127">
        <f>COUNT(Table36[[#This Row],[ QI Bran Content]:[QI WG]])</f>
        <v>3</v>
      </c>
    </row>
    <row r="77" spans="1:29" x14ac:dyDescent="0.35">
      <c r="A77" s="177">
        <v>45292</v>
      </c>
      <c r="B77" s="178">
        <v>45302</v>
      </c>
      <c r="C77" s="178" t="s">
        <v>128</v>
      </c>
      <c r="D77" s="179">
        <v>0.79166666666666596</v>
      </c>
      <c r="E77" s="180" t="s">
        <v>0</v>
      </c>
      <c r="F77" s="181" t="s">
        <v>27</v>
      </c>
      <c r="G77" s="182">
        <v>8.8999999999999999E-3</v>
      </c>
      <c r="H77" s="175" t="s">
        <v>165</v>
      </c>
      <c r="I77" s="175" t="s">
        <v>165</v>
      </c>
      <c r="J77" s="175" t="s">
        <v>165</v>
      </c>
      <c r="K77" s="175">
        <v>11.68</v>
      </c>
      <c r="L77" s="175">
        <v>12.73</v>
      </c>
      <c r="M77" s="175">
        <v>0.57999999999999996</v>
      </c>
      <c r="N77" s="175">
        <v>64.2</v>
      </c>
      <c r="O77" s="175">
        <v>21</v>
      </c>
      <c r="P77" s="175">
        <v>615</v>
      </c>
      <c r="Q77" s="175">
        <v>35.57</v>
      </c>
      <c r="R77" s="127">
        <f>IF(Table36[[#This Row],[ Bran Content]]="-","-",IF(G77&lt;0.02,1,0))</f>
        <v>1</v>
      </c>
      <c r="S77" s="127">
        <f>IF(Table36[[#This Row],[Sieve Test]]="-","-",IF(Table36[[#This Row],[Sieve Test]]="P",1,0))</f>
        <v>1</v>
      </c>
      <c r="T77" s="127">
        <f>IF(Table36[[#This Row],[Odor]]="-","-",IF(Table36[[#This Row],[Odor]]="P",1,0))</f>
        <v>1</v>
      </c>
      <c r="U77" s="127">
        <f>IF(INDEX(MCmin,MATCH(Table36[[#This Row],[Grist]],SMI,0))="-","-",IF(Table36[[#This Row],[F1 %MC]]="-","-",IF(Table36[[#This Row],[F1 %MC]]&lt;INDEX(MCmin,MATCH(Table36[[#This Row],[Grist]],SMI,0)),0,IF(Table36[[#This Row],[F1 %MC]]&gt;INDEX(MCmax,MATCH(Table36[[#This Row],[Grist]],SMI,0)),0,1))))</f>
        <v>0</v>
      </c>
      <c r="V77" s="127">
        <f>IF(INDEX(Protmin,MATCH(Table36[[#This Row],[Grist]],SMI,0))="-","-",IF(Table36[[#This Row],[%Protein]]="-","-",IF(Table36[[#This Row],[%Protein]]&lt;INDEX(Protmin,MATCH(Table36[[#This Row],[Grist]],SMI,0)),0,IF(Table36[[#This Row],[%Protein]]&gt;INDEX(Protmax,MATCH(Table36[[#This Row],[Grist]],SMI,0)),0,1))))</f>
        <v>1</v>
      </c>
      <c r="W77" s="127">
        <f>IF(INDEX(Ashmin,MATCH(Table36[[#This Row],[Grist]],SMI,0))="-","-",IF(Table36[[#This Row],[%Ash]]="-","-",IF(Table36[[#This Row],[%Ash]]&lt;INDEX(Ashmin,MATCH(Table36[[#This Row],[Grist]],SMI,0)),0,IF(Table36[[#This Row],[%Ash]]&gt;INDEX(Ashmax,MATCH(Table36[[#This Row],[Grist]],SMI,0)),0,1))))</f>
        <v>1</v>
      </c>
      <c r="X77" s="127">
        <f>IF(INDEX(Absmin,MATCH(Table36[[#This Row],[Grist]],SMI,0))="-","-",IF(Table36[[#This Row],[%Absorption]]="-","-",IF(Table36[[#This Row],[%Absorption]]&lt;INDEX(Absmin,MATCH(Table36[[#This Row],[Grist]],SMI,0)),0,IF(Table36[[#This Row],[%Absorption]]&gt;INDEX(Absmax,MATCH(Table36[[#This Row],[Grist]],SMI,0)),0,1))))</f>
        <v>1</v>
      </c>
      <c r="Y77" s="127">
        <f>IF(INDEX(Extmin,MATCH(Table36[[#This Row],[Grist]],SMI,0))="-","-",IF(Table36[[#This Row],[%Extensibility]]="-","-",IF(Table36[[#This Row],[%Extensibility]]&lt;INDEX(Extmin,MATCH(Table36[[#This Row],[Grist]],SMI,0)),0,IF(Table36[[#This Row],[%Extensibility]]&gt;INDEX(Extmax,MATCH(Table36[[#This Row],[Grist]],SMI,0)),0,1))))</f>
        <v>1</v>
      </c>
      <c r="Z77" s="127">
        <f>IF(INDEX(Resmin,MATCH(Table36[[#This Row],[Grist]],SMI,0))="-","-",IF(Table36[[#This Row],[Resistance, max]]="-","-",IF(Table36[[#This Row],[Resistance, max]]&lt;INDEX(Resmin,MATCH(Table36[[#This Row],[Grist]],SMI,0)),0,IF(Table36[[#This Row],[Resistance, max]]&gt;INDEX(Resmax,MATCH(Table36[[#This Row],[Grist]],SMI,0)),0,1))))</f>
        <v>1</v>
      </c>
      <c r="AA77" s="127">
        <f>IF(INDEX(WGmin,MATCH(Table36[[#This Row],[Grist]],SMI,0))="-","-",IF(Table36[[#This Row],[%Wet Gluten]]="-","-",IF(Table36[[#This Row],[%Wet Gluten]]&lt;INDEX(WGmin,MATCH(Table36[[#This Row],[Grist]],SMI,0)),0,IF(Table36[[#This Row],[%Wet Gluten]]&gt;INDEX(WGmax,MATCH(Table36[[#This Row],[Grist]],SMI,0)),0,1))))</f>
        <v>1</v>
      </c>
      <c r="AB77" s="127">
        <f>SUM(Table36[[#This Row],[ QI Bran Content]:[QI WG]])</f>
        <v>9</v>
      </c>
      <c r="AC77" s="127">
        <f>COUNT(Table36[[#This Row],[ QI Bran Content]:[QI WG]])</f>
        <v>10</v>
      </c>
    </row>
    <row r="78" spans="1:29" x14ac:dyDescent="0.35">
      <c r="A78" s="177">
        <v>45292</v>
      </c>
      <c r="B78" s="178">
        <v>45302</v>
      </c>
      <c r="C78" s="178" t="s">
        <v>128</v>
      </c>
      <c r="D78" s="179">
        <v>0.874999999999999</v>
      </c>
      <c r="E78" s="180" t="s">
        <v>0</v>
      </c>
      <c r="F78" s="181" t="s">
        <v>27</v>
      </c>
      <c r="G78" s="182">
        <v>8.3999999999999995E-3</v>
      </c>
      <c r="H78" s="175" t="s">
        <v>165</v>
      </c>
      <c r="I78" s="175" t="s">
        <v>165</v>
      </c>
      <c r="J78" s="175" t="s">
        <v>165</v>
      </c>
      <c r="K78" s="175">
        <v>11.75</v>
      </c>
      <c r="L78" s="175" t="s">
        <v>163</v>
      </c>
      <c r="M78" s="175" t="s">
        <v>163</v>
      </c>
      <c r="N78" s="175" t="s">
        <v>163</v>
      </c>
      <c r="O78" s="175" t="s">
        <v>163</v>
      </c>
      <c r="P78" s="175" t="s">
        <v>163</v>
      </c>
      <c r="Q78" s="175" t="s">
        <v>163</v>
      </c>
      <c r="R78" s="127">
        <f>IF(Table36[[#This Row],[ Bran Content]]="-","-",IF(G78&lt;0.02,1,0))</f>
        <v>1</v>
      </c>
      <c r="S78" s="127">
        <f>IF(Table36[[#This Row],[Sieve Test]]="-","-",IF(Table36[[#This Row],[Sieve Test]]="P",1,0))</f>
        <v>1</v>
      </c>
      <c r="T78" s="127">
        <f>IF(Table36[[#This Row],[Odor]]="-","-",IF(Table36[[#This Row],[Odor]]="P",1,0))</f>
        <v>1</v>
      </c>
      <c r="U78" s="127">
        <f>IF(INDEX(MCmin,MATCH(Table36[[#This Row],[Grist]],SMI,0))="-","-",IF(Table36[[#This Row],[F1 %MC]]="-","-",IF(Table36[[#This Row],[F1 %MC]]&lt;INDEX(MCmin,MATCH(Table36[[#This Row],[Grist]],SMI,0)),0,IF(Table36[[#This Row],[F1 %MC]]&gt;INDEX(MCmax,MATCH(Table36[[#This Row],[Grist]],SMI,0)),0,1))))</f>
        <v>0</v>
      </c>
      <c r="V78" s="127" t="str">
        <f>IF(INDEX(Protmin,MATCH(Table36[[#This Row],[Grist]],SMI,0))="-","-",IF(Table36[[#This Row],[%Protein]]="-","-",IF(Table36[[#This Row],[%Protein]]&lt;INDEX(Protmin,MATCH(Table36[[#This Row],[Grist]],SMI,0)),0,IF(Table36[[#This Row],[%Protein]]&gt;INDEX(Protmax,MATCH(Table36[[#This Row],[Grist]],SMI,0)),0,1))))</f>
        <v>-</v>
      </c>
      <c r="W78" s="127" t="str">
        <f>IF(INDEX(Ashmin,MATCH(Table36[[#This Row],[Grist]],SMI,0))="-","-",IF(Table36[[#This Row],[%Ash]]="-","-",IF(Table36[[#This Row],[%Ash]]&lt;INDEX(Ashmin,MATCH(Table36[[#This Row],[Grist]],SMI,0)),0,IF(Table36[[#This Row],[%Ash]]&gt;INDEX(Ashmax,MATCH(Table36[[#This Row],[Grist]],SMI,0)),0,1))))</f>
        <v>-</v>
      </c>
      <c r="X78" s="127" t="str">
        <f>IF(INDEX(Absmin,MATCH(Table36[[#This Row],[Grist]],SMI,0))="-","-",IF(Table36[[#This Row],[%Absorption]]="-","-",IF(Table36[[#This Row],[%Absorption]]&lt;INDEX(Absmin,MATCH(Table36[[#This Row],[Grist]],SMI,0)),0,IF(Table36[[#This Row],[%Absorption]]&gt;INDEX(Absmax,MATCH(Table36[[#This Row],[Grist]],SMI,0)),0,1))))</f>
        <v>-</v>
      </c>
      <c r="Y78" s="127" t="str">
        <f>IF(INDEX(Extmin,MATCH(Table36[[#This Row],[Grist]],SMI,0))="-","-",IF(Table36[[#This Row],[%Extensibility]]="-","-",IF(Table36[[#This Row],[%Extensibility]]&lt;INDEX(Extmin,MATCH(Table36[[#This Row],[Grist]],SMI,0)),0,IF(Table36[[#This Row],[%Extensibility]]&gt;INDEX(Extmax,MATCH(Table36[[#This Row],[Grist]],SMI,0)),0,1))))</f>
        <v>-</v>
      </c>
      <c r="Z78" s="127" t="str">
        <f>IF(INDEX(Resmin,MATCH(Table36[[#This Row],[Grist]],SMI,0))="-","-",IF(Table36[[#This Row],[Resistance, max]]="-","-",IF(Table36[[#This Row],[Resistance, max]]&lt;INDEX(Resmin,MATCH(Table36[[#This Row],[Grist]],SMI,0)),0,IF(Table36[[#This Row],[Resistance, max]]&gt;INDEX(Resmax,MATCH(Table36[[#This Row],[Grist]],SMI,0)),0,1))))</f>
        <v>-</v>
      </c>
      <c r="AA78" s="127" t="str">
        <f>IF(INDEX(WGmin,MATCH(Table36[[#This Row],[Grist]],SMI,0))="-","-",IF(Table36[[#This Row],[%Wet Gluten]]="-","-",IF(Table36[[#This Row],[%Wet Gluten]]&lt;INDEX(WGmin,MATCH(Table36[[#This Row],[Grist]],SMI,0)),0,IF(Table36[[#This Row],[%Wet Gluten]]&gt;INDEX(WGmax,MATCH(Table36[[#This Row],[Grist]],SMI,0)),0,1))))</f>
        <v>-</v>
      </c>
      <c r="AB78" s="127">
        <f>SUM(Table36[[#This Row],[ QI Bran Content]:[QI WG]])</f>
        <v>3</v>
      </c>
      <c r="AC78" s="127">
        <f>COUNT(Table36[[#This Row],[ QI Bran Content]:[QI WG]])</f>
        <v>4</v>
      </c>
    </row>
    <row r="79" spans="1:29" x14ac:dyDescent="0.35">
      <c r="A79" s="177">
        <v>45292</v>
      </c>
      <c r="B79" s="178">
        <v>45303</v>
      </c>
      <c r="C79" s="178" t="s">
        <v>125</v>
      </c>
      <c r="D79" s="179" t="s">
        <v>239</v>
      </c>
      <c r="E79" s="180" t="s">
        <v>0</v>
      </c>
      <c r="F79" s="181" t="s">
        <v>32</v>
      </c>
      <c r="G79" s="182">
        <v>5.4999999999999997E-3</v>
      </c>
      <c r="H79" s="175" t="s">
        <v>165</v>
      </c>
      <c r="I79" s="175" t="s">
        <v>165</v>
      </c>
      <c r="J79" s="175" t="s">
        <v>165</v>
      </c>
      <c r="K79" s="175">
        <v>11.74</v>
      </c>
      <c r="L79" s="175">
        <v>12.83</v>
      </c>
      <c r="M79" s="175">
        <v>0.64</v>
      </c>
      <c r="N79" s="175">
        <v>64.900000000000006</v>
      </c>
      <c r="O79" s="175">
        <v>21</v>
      </c>
      <c r="P79" s="175">
        <v>615</v>
      </c>
      <c r="Q79" s="175">
        <v>36.090000000000003</v>
      </c>
      <c r="R79" s="127">
        <f>IF(Table36[[#This Row],[ Bran Content]]="-","-",IF(G79&lt;0.02,1,0))</f>
        <v>1</v>
      </c>
      <c r="S79" s="127">
        <f>IF(Table36[[#This Row],[Sieve Test]]="-","-",IF(Table36[[#This Row],[Sieve Test]]="P",1,0))</f>
        <v>1</v>
      </c>
      <c r="T79" s="127">
        <f>IF(Table36[[#This Row],[Odor]]="-","-",IF(Table36[[#This Row],[Odor]]="P",1,0))</f>
        <v>1</v>
      </c>
      <c r="U79" s="127">
        <f>IF(INDEX(MCmin,MATCH(Table36[[#This Row],[Grist]],SMI,0))="-","-",IF(Table36[[#This Row],[F1 %MC]]="-","-",IF(Table36[[#This Row],[F1 %MC]]&lt;INDEX(MCmin,MATCH(Table36[[#This Row],[Grist]],SMI,0)),0,IF(Table36[[#This Row],[F1 %MC]]&gt;INDEX(MCmax,MATCH(Table36[[#This Row],[Grist]],SMI,0)),0,1))))</f>
        <v>0</v>
      </c>
      <c r="V79" s="127">
        <f>IF(INDEX(Protmin,MATCH(Table36[[#This Row],[Grist]],SMI,0))="-","-",IF(Table36[[#This Row],[%Protein]]="-","-",IF(Table36[[#This Row],[%Protein]]&lt;INDEX(Protmin,MATCH(Table36[[#This Row],[Grist]],SMI,0)),0,IF(Table36[[#This Row],[%Protein]]&gt;INDEX(Protmax,MATCH(Table36[[#This Row],[Grist]],SMI,0)),0,1))))</f>
        <v>1</v>
      </c>
      <c r="W79" s="127">
        <f>IF(INDEX(Ashmin,MATCH(Table36[[#This Row],[Grist]],SMI,0))="-","-",IF(Table36[[#This Row],[%Ash]]="-","-",IF(Table36[[#This Row],[%Ash]]&lt;INDEX(Ashmin,MATCH(Table36[[#This Row],[Grist]],SMI,0)),0,IF(Table36[[#This Row],[%Ash]]&gt;INDEX(Ashmax,MATCH(Table36[[#This Row],[Grist]],SMI,0)),0,1))))</f>
        <v>1</v>
      </c>
      <c r="X79" s="127">
        <f>IF(INDEX(Absmin,MATCH(Table36[[#This Row],[Grist]],SMI,0))="-","-",IF(Table36[[#This Row],[%Absorption]]="-","-",IF(Table36[[#This Row],[%Absorption]]&lt;INDEX(Absmin,MATCH(Table36[[#This Row],[Grist]],SMI,0)),0,IF(Table36[[#This Row],[%Absorption]]&gt;INDEX(Absmax,MATCH(Table36[[#This Row],[Grist]],SMI,0)),0,1))))</f>
        <v>1</v>
      </c>
      <c r="Y79" s="127">
        <f>IF(INDEX(Extmin,MATCH(Table36[[#This Row],[Grist]],SMI,0))="-","-",IF(Table36[[#This Row],[%Extensibility]]="-","-",IF(Table36[[#This Row],[%Extensibility]]&lt;INDEX(Extmin,MATCH(Table36[[#This Row],[Grist]],SMI,0)),0,IF(Table36[[#This Row],[%Extensibility]]&gt;INDEX(Extmax,MATCH(Table36[[#This Row],[Grist]],SMI,0)),0,1))))</f>
        <v>1</v>
      </c>
      <c r="Z79" s="127">
        <f>IF(INDEX(Resmin,MATCH(Table36[[#This Row],[Grist]],SMI,0))="-","-",IF(Table36[[#This Row],[Resistance, max]]="-","-",IF(Table36[[#This Row],[Resistance, max]]&lt;INDEX(Resmin,MATCH(Table36[[#This Row],[Grist]],SMI,0)),0,IF(Table36[[#This Row],[Resistance, max]]&gt;INDEX(Resmax,MATCH(Table36[[#This Row],[Grist]],SMI,0)),0,1))))</f>
        <v>1</v>
      </c>
      <c r="AA79" s="127">
        <f>IF(INDEX(WGmin,MATCH(Table36[[#This Row],[Grist]],SMI,0))="-","-",IF(Table36[[#This Row],[%Wet Gluten]]="-","-",IF(Table36[[#This Row],[%Wet Gluten]]&lt;INDEX(WGmin,MATCH(Table36[[#This Row],[Grist]],SMI,0)),0,IF(Table36[[#This Row],[%Wet Gluten]]&gt;INDEX(WGmax,MATCH(Table36[[#This Row],[Grist]],SMI,0)),0,1))))</f>
        <v>1</v>
      </c>
      <c r="AB79" s="127">
        <f>SUM(Table36[[#This Row],[ QI Bran Content]:[QI WG]])</f>
        <v>9</v>
      </c>
      <c r="AC79" s="127">
        <f>COUNT(Table36[[#This Row],[ QI Bran Content]:[QI WG]])</f>
        <v>10</v>
      </c>
    </row>
    <row r="80" spans="1:29" x14ac:dyDescent="0.35">
      <c r="A80" s="177">
        <v>45292</v>
      </c>
      <c r="B80" s="178">
        <v>45303</v>
      </c>
      <c r="C80" s="178" t="s">
        <v>125</v>
      </c>
      <c r="D80" s="179" t="s">
        <v>240</v>
      </c>
      <c r="E80" s="180" t="s">
        <v>0</v>
      </c>
      <c r="F80" s="181" t="s">
        <v>32</v>
      </c>
      <c r="G80" s="182">
        <v>5.7000000000000002E-3</v>
      </c>
      <c r="H80" s="175" t="s">
        <v>165</v>
      </c>
      <c r="I80" s="175" t="s">
        <v>165</v>
      </c>
      <c r="J80" s="175" t="s">
        <v>165</v>
      </c>
      <c r="K80" s="175">
        <v>11.47</v>
      </c>
      <c r="L80" s="175" t="s">
        <v>163</v>
      </c>
      <c r="M80" s="175" t="s">
        <v>163</v>
      </c>
      <c r="N80" s="175" t="s">
        <v>163</v>
      </c>
      <c r="O80" s="175" t="s">
        <v>163</v>
      </c>
      <c r="P80" s="175" t="s">
        <v>163</v>
      </c>
      <c r="Q80" s="175" t="s">
        <v>163</v>
      </c>
      <c r="R80" s="127">
        <f>IF(Table36[[#This Row],[ Bran Content]]="-","-",IF(G80&lt;0.02,1,0))</f>
        <v>1</v>
      </c>
      <c r="S80" s="127">
        <f>IF(Table36[[#This Row],[Sieve Test]]="-","-",IF(Table36[[#This Row],[Sieve Test]]="P",1,0))</f>
        <v>1</v>
      </c>
      <c r="T80" s="127">
        <f>IF(Table36[[#This Row],[Odor]]="-","-",IF(Table36[[#This Row],[Odor]]="P",1,0))</f>
        <v>1</v>
      </c>
      <c r="U80" s="127">
        <f>IF(INDEX(MCmin,MATCH(Table36[[#This Row],[Grist]],SMI,0))="-","-",IF(Table36[[#This Row],[F1 %MC]]="-","-",IF(Table36[[#This Row],[F1 %MC]]&lt;INDEX(MCmin,MATCH(Table36[[#This Row],[Grist]],SMI,0)),0,IF(Table36[[#This Row],[F1 %MC]]&gt;INDEX(MCmax,MATCH(Table36[[#This Row],[Grist]],SMI,0)),0,1))))</f>
        <v>0</v>
      </c>
      <c r="V80" s="127" t="str">
        <f>IF(INDEX(Protmin,MATCH(Table36[[#This Row],[Grist]],SMI,0))="-","-",IF(Table36[[#This Row],[%Protein]]="-","-",IF(Table36[[#This Row],[%Protein]]&lt;INDEX(Protmin,MATCH(Table36[[#This Row],[Grist]],SMI,0)),0,IF(Table36[[#This Row],[%Protein]]&gt;INDEX(Protmax,MATCH(Table36[[#This Row],[Grist]],SMI,0)),0,1))))</f>
        <v>-</v>
      </c>
      <c r="W80" s="127" t="str">
        <f>IF(INDEX(Ashmin,MATCH(Table36[[#This Row],[Grist]],SMI,0))="-","-",IF(Table36[[#This Row],[%Ash]]="-","-",IF(Table36[[#This Row],[%Ash]]&lt;INDEX(Ashmin,MATCH(Table36[[#This Row],[Grist]],SMI,0)),0,IF(Table36[[#This Row],[%Ash]]&gt;INDEX(Ashmax,MATCH(Table36[[#This Row],[Grist]],SMI,0)),0,1))))</f>
        <v>-</v>
      </c>
      <c r="X80" s="127" t="str">
        <f>IF(INDEX(Absmin,MATCH(Table36[[#This Row],[Grist]],SMI,0))="-","-",IF(Table36[[#This Row],[%Absorption]]="-","-",IF(Table36[[#This Row],[%Absorption]]&lt;INDEX(Absmin,MATCH(Table36[[#This Row],[Grist]],SMI,0)),0,IF(Table36[[#This Row],[%Absorption]]&gt;INDEX(Absmax,MATCH(Table36[[#This Row],[Grist]],SMI,0)),0,1))))</f>
        <v>-</v>
      </c>
      <c r="Y80" s="127" t="str">
        <f>IF(INDEX(Extmin,MATCH(Table36[[#This Row],[Grist]],SMI,0))="-","-",IF(Table36[[#This Row],[%Extensibility]]="-","-",IF(Table36[[#This Row],[%Extensibility]]&lt;INDEX(Extmin,MATCH(Table36[[#This Row],[Grist]],SMI,0)),0,IF(Table36[[#This Row],[%Extensibility]]&gt;INDEX(Extmax,MATCH(Table36[[#This Row],[Grist]],SMI,0)),0,1))))</f>
        <v>-</v>
      </c>
      <c r="Z80" s="127" t="str">
        <f>IF(INDEX(Resmin,MATCH(Table36[[#This Row],[Grist]],SMI,0))="-","-",IF(Table36[[#This Row],[Resistance, max]]="-","-",IF(Table36[[#This Row],[Resistance, max]]&lt;INDEX(Resmin,MATCH(Table36[[#This Row],[Grist]],SMI,0)),0,IF(Table36[[#This Row],[Resistance, max]]&gt;INDEX(Resmax,MATCH(Table36[[#This Row],[Grist]],SMI,0)),0,1))))</f>
        <v>-</v>
      </c>
      <c r="AA80" s="127" t="str">
        <f>IF(INDEX(WGmin,MATCH(Table36[[#This Row],[Grist]],SMI,0))="-","-",IF(Table36[[#This Row],[%Wet Gluten]]="-","-",IF(Table36[[#This Row],[%Wet Gluten]]&lt;INDEX(WGmin,MATCH(Table36[[#This Row],[Grist]],SMI,0)),0,IF(Table36[[#This Row],[%Wet Gluten]]&gt;INDEX(WGmax,MATCH(Table36[[#This Row],[Grist]],SMI,0)),0,1))))</f>
        <v>-</v>
      </c>
      <c r="AB80" s="127">
        <f>SUM(Table36[[#This Row],[ QI Bran Content]:[QI WG]])</f>
        <v>3</v>
      </c>
      <c r="AC80" s="127">
        <f>COUNT(Table36[[#This Row],[ QI Bran Content]:[QI WG]])</f>
        <v>4</v>
      </c>
    </row>
    <row r="81" spans="1:29" x14ac:dyDescent="0.35">
      <c r="A81" s="177">
        <v>45292</v>
      </c>
      <c r="B81" s="178">
        <v>45303</v>
      </c>
      <c r="C81" s="178" t="s">
        <v>125</v>
      </c>
      <c r="D81" s="179" t="s">
        <v>237</v>
      </c>
      <c r="E81" s="180" t="s">
        <v>0</v>
      </c>
      <c r="F81" s="181" t="s">
        <v>32</v>
      </c>
      <c r="G81" s="182">
        <v>5.1000000000000004E-3</v>
      </c>
      <c r="H81" s="175" t="s">
        <v>165</v>
      </c>
      <c r="I81" s="175" t="s">
        <v>165</v>
      </c>
      <c r="J81" s="175" t="s">
        <v>165</v>
      </c>
      <c r="K81" s="175">
        <v>11.41</v>
      </c>
      <c r="L81" s="175" t="s">
        <v>163</v>
      </c>
      <c r="M81" s="175" t="s">
        <v>163</v>
      </c>
      <c r="N81" s="175" t="s">
        <v>163</v>
      </c>
      <c r="O81" s="175" t="s">
        <v>163</v>
      </c>
      <c r="P81" s="175" t="s">
        <v>163</v>
      </c>
      <c r="Q81" s="175" t="s">
        <v>163</v>
      </c>
      <c r="R81" s="127">
        <f>IF(Table36[[#This Row],[ Bran Content]]="-","-",IF(G81&lt;0.02,1,0))</f>
        <v>1</v>
      </c>
      <c r="S81" s="127">
        <f>IF(Table36[[#This Row],[Sieve Test]]="-","-",IF(Table36[[#This Row],[Sieve Test]]="P",1,0))</f>
        <v>1</v>
      </c>
      <c r="T81" s="127">
        <f>IF(Table36[[#This Row],[Odor]]="-","-",IF(Table36[[#This Row],[Odor]]="P",1,0))</f>
        <v>1</v>
      </c>
      <c r="U81" s="127">
        <f>IF(INDEX(MCmin,MATCH(Table36[[#This Row],[Grist]],SMI,0))="-","-",IF(Table36[[#This Row],[F1 %MC]]="-","-",IF(Table36[[#This Row],[F1 %MC]]&lt;INDEX(MCmin,MATCH(Table36[[#This Row],[Grist]],SMI,0)),0,IF(Table36[[#This Row],[F1 %MC]]&gt;INDEX(MCmax,MATCH(Table36[[#This Row],[Grist]],SMI,0)),0,1))))</f>
        <v>0</v>
      </c>
      <c r="V81" s="127" t="str">
        <f>IF(INDEX(Protmin,MATCH(Table36[[#This Row],[Grist]],SMI,0))="-","-",IF(Table36[[#This Row],[%Protein]]="-","-",IF(Table36[[#This Row],[%Protein]]&lt;INDEX(Protmin,MATCH(Table36[[#This Row],[Grist]],SMI,0)),0,IF(Table36[[#This Row],[%Protein]]&gt;INDEX(Protmax,MATCH(Table36[[#This Row],[Grist]],SMI,0)),0,1))))</f>
        <v>-</v>
      </c>
      <c r="W81" s="127" t="str">
        <f>IF(INDEX(Ashmin,MATCH(Table36[[#This Row],[Grist]],SMI,0))="-","-",IF(Table36[[#This Row],[%Ash]]="-","-",IF(Table36[[#This Row],[%Ash]]&lt;INDEX(Ashmin,MATCH(Table36[[#This Row],[Grist]],SMI,0)),0,IF(Table36[[#This Row],[%Ash]]&gt;INDEX(Ashmax,MATCH(Table36[[#This Row],[Grist]],SMI,0)),0,1))))</f>
        <v>-</v>
      </c>
      <c r="X81" s="127" t="str">
        <f>IF(INDEX(Absmin,MATCH(Table36[[#This Row],[Grist]],SMI,0))="-","-",IF(Table36[[#This Row],[%Absorption]]="-","-",IF(Table36[[#This Row],[%Absorption]]&lt;INDEX(Absmin,MATCH(Table36[[#This Row],[Grist]],SMI,0)),0,IF(Table36[[#This Row],[%Absorption]]&gt;INDEX(Absmax,MATCH(Table36[[#This Row],[Grist]],SMI,0)),0,1))))</f>
        <v>-</v>
      </c>
      <c r="Y81" s="127" t="str">
        <f>IF(INDEX(Extmin,MATCH(Table36[[#This Row],[Grist]],SMI,0))="-","-",IF(Table36[[#This Row],[%Extensibility]]="-","-",IF(Table36[[#This Row],[%Extensibility]]&lt;INDEX(Extmin,MATCH(Table36[[#This Row],[Grist]],SMI,0)),0,IF(Table36[[#This Row],[%Extensibility]]&gt;INDEX(Extmax,MATCH(Table36[[#This Row],[Grist]],SMI,0)),0,1))))</f>
        <v>-</v>
      </c>
      <c r="Z81" s="127" t="str">
        <f>IF(INDEX(Resmin,MATCH(Table36[[#This Row],[Grist]],SMI,0))="-","-",IF(Table36[[#This Row],[Resistance, max]]="-","-",IF(Table36[[#This Row],[Resistance, max]]&lt;INDEX(Resmin,MATCH(Table36[[#This Row],[Grist]],SMI,0)),0,IF(Table36[[#This Row],[Resistance, max]]&gt;INDEX(Resmax,MATCH(Table36[[#This Row],[Grist]],SMI,0)),0,1))))</f>
        <v>-</v>
      </c>
      <c r="AA81" s="127" t="str">
        <f>IF(INDEX(WGmin,MATCH(Table36[[#This Row],[Grist]],SMI,0))="-","-",IF(Table36[[#This Row],[%Wet Gluten]]="-","-",IF(Table36[[#This Row],[%Wet Gluten]]&lt;INDEX(WGmin,MATCH(Table36[[#This Row],[Grist]],SMI,0)),0,IF(Table36[[#This Row],[%Wet Gluten]]&gt;INDEX(WGmax,MATCH(Table36[[#This Row],[Grist]],SMI,0)),0,1))))</f>
        <v>-</v>
      </c>
      <c r="AB81" s="127">
        <f>SUM(Table36[[#This Row],[ QI Bran Content]:[QI WG]])</f>
        <v>3</v>
      </c>
      <c r="AC81" s="127">
        <f>COUNT(Table36[[#This Row],[ QI Bran Content]:[QI WG]])</f>
        <v>4</v>
      </c>
    </row>
    <row r="82" spans="1:29" x14ac:dyDescent="0.35">
      <c r="A82" s="177">
        <v>45292</v>
      </c>
      <c r="B82" s="178">
        <v>45303</v>
      </c>
      <c r="C82" s="178" t="s">
        <v>125</v>
      </c>
      <c r="D82" s="179" t="s">
        <v>238</v>
      </c>
      <c r="E82" s="180" t="s">
        <v>0</v>
      </c>
      <c r="F82" s="181" t="s">
        <v>32</v>
      </c>
      <c r="G82" s="182">
        <v>7.3000000000000001E-3</v>
      </c>
      <c r="H82" s="175" t="s">
        <v>165</v>
      </c>
      <c r="I82" s="175" t="s">
        <v>165</v>
      </c>
      <c r="J82" s="175" t="s">
        <v>165</v>
      </c>
      <c r="K82" s="175">
        <v>12.21</v>
      </c>
      <c r="L82" s="175" t="s">
        <v>163</v>
      </c>
      <c r="M82" s="175" t="s">
        <v>163</v>
      </c>
      <c r="N82" s="175" t="s">
        <v>163</v>
      </c>
      <c r="O82" s="175" t="s">
        <v>163</v>
      </c>
      <c r="P82" s="175" t="s">
        <v>163</v>
      </c>
      <c r="Q82" s="175" t="s">
        <v>163</v>
      </c>
      <c r="R82" s="127">
        <f>IF(Table36[[#This Row],[ Bran Content]]="-","-",IF(G82&lt;0.02,1,0))</f>
        <v>1</v>
      </c>
      <c r="S82" s="127">
        <f>IF(Table36[[#This Row],[Sieve Test]]="-","-",IF(Table36[[#This Row],[Sieve Test]]="P",1,0))</f>
        <v>1</v>
      </c>
      <c r="T82" s="127">
        <f>IF(Table36[[#This Row],[Odor]]="-","-",IF(Table36[[#This Row],[Odor]]="P",1,0))</f>
        <v>1</v>
      </c>
      <c r="U82" s="127">
        <f>IF(INDEX(MCmin,MATCH(Table36[[#This Row],[Grist]],SMI,0))="-","-",IF(Table36[[#This Row],[F1 %MC]]="-","-",IF(Table36[[#This Row],[F1 %MC]]&lt;INDEX(MCmin,MATCH(Table36[[#This Row],[Grist]],SMI,0)),0,IF(Table36[[#This Row],[F1 %MC]]&gt;INDEX(MCmax,MATCH(Table36[[#This Row],[Grist]],SMI,0)),0,1))))</f>
        <v>1</v>
      </c>
      <c r="V82" s="127" t="str">
        <f>IF(INDEX(Protmin,MATCH(Table36[[#This Row],[Grist]],SMI,0))="-","-",IF(Table36[[#This Row],[%Protein]]="-","-",IF(Table36[[#This Row],[%Protein]]&lt;INDEX(Protmin,MATCH(Table36[[#This Row],[Grist]],SMI,0)),0,IF(Table36[[#This Row],[%Protein]]&gt;INDEX(Protmax,MATCH(Table36[[#This Row],[Grist]],SMI,0)),0,1))))</f>
        <v>-</v>
      </c>
      <c r="W82" s="127" t="str">
        <f>IF(INDEX(Ashmin,MATCH(Table36[[#This Row],[Grist]],SMI,0))="-","-",IF(Table36[[#This Row],[%Ash]]="-","-",IF(Table36[[#This Row],[%Ash]]&lt;INDEX(Ashmin,MATCH(Table36[[#This Row],[Grist]],SMI,0)),0,IF(Table36[[#This Row],[%Ash]]&gt;INDEX(Ashmax,MATCH(Table36[[#This Row],[Grist]],SMI,0)),0,1))))</f>
        <v>-</v>
      </c>
      <c r="X82" s="127" t="str">
        <f>IF(INDEX(Absmin,MATCH(Table36[[#This Row],[Grist]],SMI,0))="-","-",IF(Table36[[#This Row],[%Absorption]]="-","-",IF(Table36[[#This Row],[%Absorption]]&lt;INDEX(Absmin,MATCH(Table36[[#This Row],[Grist]],SMI,0)),0,IF(Table36[[#This Row],[%Absorption]]&gt;INDEX(Absmax,MATCH(Table36[[#This Row],[Grist]],SMI,0)),0,1))))</f>
        <v>-</v>
      </c>
      <c r="Y82" s="127" t="str">
        <f>IF(INDEX(Extmin,MATCH(Table36[[#This Row],[Grist]],SMI,0))="-","-",IF(Table36[[#This Row],[%Extensibility]]="-","-",IF(Table36[[#This Row],[%Extensibility]]&lt;INDEX(Extmin,MATCH(Table36[[#This Row],[Grist]],SMI,0)),0,IF(Table36[[#This Row],[%Extensibility]]&gt;INDEX(Extmax,MATCH(Table36[[#This Row],[Grist]],SMI,0)),0,1))))</f>
        <v>-</v>
      </c>
      <c r="Z82" s="127" t="str">
        <f>IF(INDEX(Resmin,MATCH(Table36[[#This Row],[Grist]],SMI,0))="-","-",IF(Table36[[#This Row],[Resistance, max]]="-","-",IF(Table36[[#This Row],[Resistance, max]]&lt;INDEX(Resmin,MATCH(Table36[[#This Row],[Grist]],SMI,0)),0,IF(Table36[[#This Row],[Resistance, max]]&gt;INDEX(Resmax,MATCH(Table36[[#This Row],[Grist]],SMI,0)),0,1))))</f>
        <v>-</v>
      </c>
      <c r="AA82" s="127" t="str">
        <f>IF(INDEX(WGmin,MATCH(Table36[[#This Row],[Grist]],SMI,0))="-","-",IF(Table36[[#This Row],[%Wet Gluten]]="-","-",IF(Table36[[#This Row],[%Wet Gluten]]&lt;INDEX(WGmin,MATCH(Table36[[#This Row],[Grist]],SMI,0)),0,IF(Table36[[#This Row],[%Wet Gluten]]&gt;INDEX(WGmax,MATCH(Table36[[#This Row],[Grist]],SMI,0)),0,1))))</f>
        <v>-</v>
      </c>
      <c r="AB82" s="127">
        <f>SUM(Table36[[#This Row],[ QI Bran Content]:[QI WG]])</f>
        <v>4</v>
      </c>
      <c r="AC82" s="127">
        <f>COUNT(Table36[[#This Row],[ QI Bran Content]:[QI WG]])</f>
        <v>4</v>
      </c>
    </row>
    <row r="83" spans="1:29" x14ac:dyDescent="0.35">
      <c r="A83" s="177">
        <v>45292</v>
      </c>
      <c r="B83" s="178">
        <v>45303</v>
      </c>
      <c r="C83" s="178" t="s">
        <v>125</v>
      </c>
      <c r="D83" s="179" t="s">
        <v>239</v>
      </c>
      <c r="E83" s="180" t="s">
        <v>2</v>
      </c>
      <c r="F83" s="181" t="s">
        <v>242</v>
      </c>
      <c r="G83" s="182">
        <v>5.1999999999999998E-3</v>
      </c>
      <c r="H83" s="175" t="s">
        <v>165</v>
      </c>
      <c r="I83" s="175" t="s">
        <v>165</v>
      </c>
      <c r="J83" s="175" t="s">
        <v>165</v>
      </c>
      <c r="K83" s="175">
        <v>11.9</v>
      </c>
      <c r="L83" s="175">
        <v>11.67</v>
      </c>
      <c r="M83" s="175">
        <v>0.4</v>
      </c>
      <c r="N83" s="175">
        <v>63</v>
      </c>
      <c r="O83" s="175">
        <v>12.4</v>
      </c>
      <c r="P83" s="175">
        <v>786</v>
      </c>
      <c r="Q83" s="175">
        <v>32.520000000000003</v>
      </c>
      <c r="R83" s="127">
        <f>IF(Table36[[#This Row],[ Bran Content]]="-","-",IF(G83&lt;0.02,1,0))</f>
        <v>1</v>
      </c>
      <c r="S83" s="127">
        <f>IF(Table36[[#This Row],[Sieve Test]]="-","-",IF(Table36[[#This Row],[Sieve Test]]="P",1,0))</f>
        <v>1</v>
      </c>
      <c r="T83" s="127">
        <f>IF(Table36[[#This Row],[Odor]]="-","-",IF(Table36[[#This Row],[Odor]]="P",1,0))</f>
        <v>1</v>
      </c>
      <c r="U83" s="127">
        <f>IF(INDEX(MCmin,MATCH(Table36[[#This Row],[Grist]],SMI,0))="-","-",IF(Table36[[#This Row],[F1 %MC]]="-","-",IF(Table36[[#This Row],[F1 %MC]]&lt;INDEX(MCmin,MATCH(Table36[[#This Row],[Grist]],SMI,0)),0,IF(Table36[[#This Row],[F1 %MC]]&gt;INDEX(MCmax,MATCH(Table36[[#This Row],[Grist]],SMI,0)),0,1))))</f>
        <v>0</v>
      </c>
      <c r="V83" s="127">
        <f>IF(INDEX(Protmin,MATCH(Table36[[#This Row],[Grist]],SMI,0))="-","-",IF(Table36[[#This Row],[%Protein]]="-","-",IF(Table36[[#This Row],[%Protein]]&lt;INDEX(Protmin,MATCH(Table36[[#This Row],[Grist]],SMI,0)),0,IF(Table36[[#This Row],[%Protein]]&gt;INDEX(Protmax,MATCH(Table36[[#This Row],[Grist]],SMI,0)),0,1))))</f>
        <v>1</v>
      </c>
      <c r="W83" s="127">
        <f>IF(INDEX(Ashmin,MATCH(Table36[[#This Row],[Grist]],SMI,0))="-","-",IF(Table36[[#This Row],[%Ash]]="-","-",IF(Table36[[#This Row],[%Ash]]&lt;INDEX(Ashmin,MATCH(Table36[[#This Row],[Grist]],SMI,0)),0,IF(Table36[[#This Row],[%Ash]]&gt;INDEX(Ashmax,MATCH(Table36[[#This Row],[Grist]],SMI,0)),0,1))))</f>
        <v>1</v>
      </c>
      <c r="X83" s="127">
        <f>IF(INDEX(Absmin,MATCH(Table36[[#This Row],[Grist]],SMI,0))="-","-",IF(Table36[[#This Row],[%Absorption]]="-","-",IF(Table36[[#This Row],[%Absorption]]&lt;INDEX(Absmin,MATCH(Table36[[#This Row],[Grist]],SMI,0)),0,IF(Table36[[#This Row],[%Absorption]]&gt;INDEX(Absmax,MATCH(Table36[[#This Row],[Grist]],SMI,0)),0,1))))</f>
        <v>1</v>
      </c>
      <c r="Y83" s="127">
        <f>IF(INDEX(Extmin,MATCH(Table36[[#This Row],[Grist]],SMI,0))="-","-",IF(Table36[[#This Row],[%Extensibility]]="-","-",IF(Table36[[#This Row],[%Extensibility]]&lt;INDEX(Extmin,MATCH(Table36[[#This Row],[Grist]],SMI,0)),0,IF(Table36[[#This Row],[%Extensibility]]&gt;INDEX(Extmax,MATCH(Table36[[#This Row],[Grist]],SMI,0)),0,1))))</f>
        <v>1</v>
      </c>
      <c r="Z83" s="127">
        <f>IF(INDEX(Resmin,MATCH(Table36[[#This Row],[Grist]],SMI,0))="-","-",IF(Table36[[#This Row],[Resistance, max]]="-","-",IF(Table36[[#This Row],[Resistance, max]]&lt;INDEX(Resmin,MATCH(Table36[[#This Row],[Grist]],SMI,0)),0,IF(Table36[[#This Row],[Resistance, max]]&gt;INDEX(Resmax,MATCH(Table36[[#This Row],[Grist]],SMI,0)),0,1))))</f>
        <v>1</v>
      </c>
      <c r="AA83" s="127">
        <f>IF(INDEX(WGmin,MATCH(Table36[[#This Row],[Grist]],SMI,0))="-","-",IF(Table36[[#This Row],[%Wet Gluten]]="-","-",IF(Table36[[#This Row],[%Wet Gluten]]&lt;INDEX(WGmin,MATCH(Table36[[#This Row],[Grist]],SMI,0)),0,IF(Table36[[#This Row],[%Wet Gluten]]&gt;INDEX(WGmax,MATCH(Table36[[#This Row],[Grist]],SMI,0)),0,1))))</f>
        <v>1</v>
      </c>
      <c r="AB83" s="127">
        <f>SUM(Table36[[#This Row],[ QI Bran Content]:[QI WG]])</f>
        <v>9</v>
      </c>
      <c r="AC83" s="127">
        <f>COUNT(Table36[[#This Row],[ QI Bran Content]:[QI WG]])</f>
        <v>10</v>
      </c>
    </row>
    <row r="84" spans="1:29" x14ac:dyDescent="0.35">
      <c r="A84" s="177">
        <v>45292</v>
      </c>
      <c r="B84" s="178">
        <v>45303</v>
      </c>
      <c r="C84" s="178" t="s">
        <v>125</v>
      </c>
      <c r="D84" s="179" t="s">
        <v>240</v>
      </c>
      <c r="E84" s="180" t="s">
        <v>2</v>
      </c>
      <c r="F84" s="181" t="s">
        <v>242</v>
      </c>
      <c r="G84" s="182">
        <v>9.7000000000000003E-3</v>
      </c>
      <c r="H84" s="175" t="s">
        <v>165</v>
      </c>
      <c r="I84" s="175" t="s">
        <v>165</v>
      </c>
      <c r="J84" s="175" t="s">
        <v>165</v>
      </c>
      <c r="K84" s="175">
        <v>11.42</v>
      </c>
      <c r="L84" s="175" t="s">
        <v>163</v>
      </c>
      <c r="M84" s="175" t="s">
        <v>163</v>
      </c>
      <c r="N84" s="175" t="s">
        <v>163</v>
      </c>
      <c r="O84" s="175" t="s">
        <v>163</v>
      </c>
      <c r="P84" s="175" t="s">
        <v>163</v>
      </c>
      <c r="Q84" s="175" t="s">
        <v>163</v>
      </c>
      <c r="R84" s="127">
        <f>IF(Table36[[#This Row],[ Bran Content]]="-","-",IF(G84&lt;0.02,1,0))</f>
        <v>1</v>
      </c>
      <c r="S84" s="127">
        <f>IF(Table36[[#This Row],[Sieve Test]]="-","-",IF(Table36[[#This Row],[Sieve Test]]="P",1,0))</f>
        <v>1</v>
      </c>
      <c r="T84" s="127">
        <f>IF(Table36[[#This Row],[Odor]]="-","-",IF(Table36[[#This Row],[Odor]]="P",1,0))</f>
        <v>1</v>
      </c>
      <c r="U84" s="127">
        <f>IF(INDEX(MCmin,MATCH(Table36[[#This Row],[Grist]],SMI,0))="-","-",IF(Table36[[#This Row],[F1 %MC]]="-","-",IF(Table36[[#This Row],[F1 %MC]]&lt;INDEX(MCmin,MATCH(Table36[[#This Row],[Grist]],SMI,0)),0,IF(Table36[[#This Row],[F1 %MC]]&gt;INDEX(MCmax,MATCH(Table36[[#This Row],[Grist]],SMI,0)),0,1))))</f>
        <v>0</v>
      </c>
      <c r="V84" s="127" t="str">
        <f>IF(INDEX(Protmin,MATCH(Table36[[#This Row],[Grist]],SMI,0))="-","-",IF(Table36[[#This Row],[%Protein]]="-","-",IF(Table36[[#This Row],[%Protein]]&lt;INDEX(Protmin,MATCH(Table36[[#This Row],[Grist]],SMI,0)),0,IF(Table36[[#This Row],[%Protein]]&gt;INDEX(Protmax,MATCH(Table36[[#This Row],[Grist]],SMI,0)),0,1))))</f>
        <v>-</v>
      </c>
      <c r="W84" s="127" t="str">
        <f>IF(INDEX(Ashmin,MATCH(Table36[[#This Row],[Grist]],SMI,0))="-","-",IF(Table36[[#This Row],[%Ash]]="-","-",IF(Table36[[#This Row],[%Ash]]&lt;INDEX(Ashmin,MATCH(Table36[[#This Row],[Grist]],SMI,0)),0,IF(Table36[[#This Row],[%Ash]]&gt;INDEX(Ashmax,MATCH(Table36[[#This Row],[Grist]],SMI,0)),0,1))))</f>
        <v>-</v>
      </c>
      <c r="X84" s="127" t="str">
        <f>IF(INDEX(Absmin,MATCH(Table36[[#This Row],[Grist]],SMI,0))="-","-",IF(Table36[[#This Row],[%Absorption]]="-","-",IF(Table36[[#This Row],[%Absorption]]&lt;INDEX(Absmin,MATCH(Table36[[#This Row],[Grist]],SMI,0)),0,IF(Table36[[#This Row],[%Absorption]]&gt;INDEX(Absmax,MATCH(Table36[[#This Row],[Grist]],SMI,0)),0,1))))</f>
        <v>-</v>
      </c>
      <c r="Y84" s="127" t="str">
        <f>IF(INDEX(Extmin,MATCH(Table36[[#This Row],[Grist]],SMI,0))="-","-",IF(Table36[[#This Row],[%Extensibility]]="-","-",IF(Table36[[#This Row],[%Extensibility]]&lt;INDEX(Extmin,MATCH(Table36[[#This Row],[Grist]],SMI,0)),0,IF(Table36[[#This Row],[%Extensibility]]&gt;INDEX(Extmax,MATCH(Table36[[#This Row],[Grist]],SMI,0)),0,1))))</f>
        <v>-</v>
      </c>
      <c r="Z84" s="127" t="str">
        <f>IF(INDEX(Resmin,MATCH(Table36[[#This Row],[Grist]],SMI,0))="-","-",IF(Table36[[#This Row],[Resistance, max]]="-","-",IF(Table36[[#This Row],[Resistance, max]]&lt;INDEX(Resmin,MATCH(Table36[[#This Row],[Grist]],SMI,0)),0,IF(Table36[[#This Row],[Resistance, max]]&gt;INDEX(Resmax,MATCH(Table36[[#This Row],[Grist]],SMI,0)),0,1))))</f>
        <v>-</v>
      </c>
      <c r="AA84" s="127" t="str">
        <f>IF(INDEX(WGmin,MATCH(Table36[[#This Row],[Grist]],SMI,0))="-","-",IF(Table36[[#This Row],[%Wet Gluten]]="-","-",IF(Table36[[#This Row],[%Wet Gluten]]&lt;INDEX(WGmin,MATCH(Table36[[#This Row],[Grist]],SMI,0)),0,IF(Table36[[#This Row],[%Wet Gluten]]&gt;INDEX(WGmax,MATCH(Table36[[#This Row],[Grist]],SMI,0)),0,1))))</f>
        <v>-</v>
      </c>
      <c r="AB84" s="127">
        <f>SUM(Table36[[#This Row],[ QI Bran Content]:[QI WG]])</f>
        <v>3</v>
      </c>
      <c r="AC84" s="127">
        <f>COUNT(Table36[[#This Row],[ QI Bran Content]:[QI WG]])</f>
        <v>4</v>
      </c>
    </row>
    <row r="85" spans="1:29" x14ac:dyDescent="0.35">
      <c r="A85" s="177">
        <v>45292</v>
      </c>
      <c r="B85" s="178">
        <v>45303</v>
      </c>
      <c r="C85" s="178" t="s">
        <v>125</v>
      </c>
      <c r="D85" s="179" t="s">
        <v>237</v>
      </c>
      <c r="E85" s="180" t="s">
        <v>2</v>
      </c>
      <c r="F85" s="181" t="s">
        <v>242</v>
      </c>
      <c r="G85" s="182">
        <v>0.107</v>
      </c>
      <c r="H85" s="175" t="s">
        <v>165</v>
      </c>
      <c r="I85" s="175" t="s">
        <v>165</v>
      </c>
      <c r="J85" s="175" t="s">
        <v>165</v>
      </c>
      <c r="K85" s="175">
        <v>12.42</v>
      </c>
      <c r="L85" s="175" t="s">
        <v>163</v>
      </c>
      <c r="M85" s="175" t="s">
        <v>163</v>
      </c>
      <c r="N85" s="175" t="s">
        <v>163</v>
      </c>
      <c r="O85" s="175" t="s">
        <v>163</v>
      </c>
      <c r="P85" s="175" t="s">
        <v>163</v>
      </c>
      <c r="Q85" s="175" t="s">
        <v>163</v>
      </c>
      <c r="R85" s="127">
        <f>IF(Table36[[#This Row],[ Bran Content]]="-","-",IF(G85&lt;0.02,1,0))</f>
        <v>0</v>
      </c>
      <c r="S85" s="127">
        <f>IF(Table36[[#This Row],[Sieve Test]]="-","-",IF(Table36[[#This Row],[Sieve Test]]="P",1,0))</f>
        <v>1</v>
      </c>
      <c r="T85" s="127">
        <f>IF(Table36[[#This Row],[Odor]]="-","-",IF(Table36[[#This Row],[Odor]]="P",1,0))</f>
        <v>1</v>
      </c>
      <c r="U85" s="127">
        <f>IF(INDEX(MCmin,MATCH(Table36[[#This Row],[Grist]],SMI,0))="-","-",IF(Table36[[#This Row],[F1 %MC]]="-","-",IF(Table36[[#This Row],[F1 %MC]]&lt;INDEX(MCmin,MATCH(Table36[[#This Row],[Grist]],SMI,0)),0,IF(Table36[[#This Row],[F1 %MC]]&gt;INDEX(MCmax,MATCH(Table36[[#This Row],[Grist]],SMI,0)),0,1))))</f>
        <v>1</v>
      </c>
      <c r="V85" s="127" t="str">
        <f>IF(INDEX(Protmin,MATCH(Table36[[#This Row],[Grist]],SMI,0))="-","-",IF(Table36[[#This Row],[%Protein]]="-","-",IF(Table36[[#This Row],[%Protein]]&lt;INDEX(Protmin,MATCH(Table36[[#This Row],[Grist]],SMI,0)),0,IF(Table36[[#This Row],[%Protein]]&gt;INDEX(Protmax,MATCH(Table36[[#This Row],[Grist]],SMI,0)),0,1))))</f>
        <v>-</v>
      </c>
      <c r="W85" s="127" t="str">
        <f>IF(INDEX(Ashmin,MATCH(Table36[[#This Row],[Grist]],SMI,0))="-","-",IF(Table36[[#This Row],[%Ash]]="-","-",IF(Table36[[#This Row],[%Ash]]&lt;INDEX(Ashmin,MATCH(Table36[[#This Row],[Grist]],SMI,0)),0,IF(Table36[[#This Row],[%Ash]]&gt;INDEX(Ashmax,MATCH(Table36[[#This Row],[Grist]],SMI,0)),0,1))))</f>
        <v>-</v>
      </c>
      <c r="X85" s="127" t="str">
        <f>IF(INDEX(Absmin,MATCH(Table36[[#This Row],[Grist]],SMI,0))="-","-",IF(Table36[[#This Row],[%Absorption]]="-","-",IF(Table36[[#This Row],[%Absorption]]&lt;INDEX(Absmin,MATCH(Table36[[#This Row],[Grist]],SMI,0)),0,IF(Table36[[#This Row],[%Absorption]]&gt;INDEX(Absmax,MATCH(Table36[[#This Row],[Grist]],SMI,0)),0,1))))</f>
        <v>-</v>
      </c>
      <c r="Y85" s="127" t="str">
        <f>IF(INDEX(Extmin,MATCH(Table36[[#This Row],[Grist]],SMI,0))="-","-",IF(Table36[[#This Row],[%Extensibility]]="-","-",IF(Table36[[#This Row],[%Extensibility]]&lt;INDEX(Extmin,MATCH(Table36[[#This Row],[Grist]],SMI,0)),0,IF(Table36[[#This Row],[%Extensibility]]&gt;INDEX(Extmax,MATCH(Table36[[#This Row],[Grist]],SMI,0)),0,1))))</f>
        <v>-</v>
      </c>
      <c r="Z85" s="127" t="str">
        <f>IF(INDEX(Resmin,MATCH(Table36[[#This Row],[Grist]],SMI,0))="-","-",IF(Table36[[#This Row],[Resistance, max]]="-","-",IF(Table36[[#This Row],[Resistance, max]]&lt;INDEX(Resmin,MATCH(Table36[[#This Row],[Grist]],SMI,0)),0,IF(Table36[[#This Row],[Resistance, max]]&gt;INDEX(Resmax,MATCH(Table36[[#This Row],[Grist]],SMI,0)),0,1))))</f>
        <v>-</v>
      </c>
      <c r="AA85" s="127" t="str">
        <f>IF(INDEX(WGmin,MATCH(Table36[[#This Row],[Grist]],SMI,0))="-","-",IF(Table36[[#This Row],[%Wet Gluten]]="-","-",IF(Table36[[#This Row],[%Wet Gluten]]&lt;INDEX(WGmin,MATCH(Table36[[#This Row],[Grist]],SMI,0)),0,IF(Table36[[#This Row],[%Wet Gluten]]&gt;INDEX(WGmax,MATCH(Table36[[#This Row],[Grist]],SMI,0)),0,1))))</f>
        <v>-</v>
      </c>
      <c r="AB85" s="127">
        <f>SUM(Table36[[#This Row],[ QI Bran Content]:[QI WG]])</f>
        <v>3</v>
      </c>
      <c r="AC85" s="127">
        <f>COUNT(Table36[[#This Row],[ QI Bran Content]:[QI WG]])</f>
        <v>4</v>
      </c>
    </row>
    <row r="86" spans="1:29" x14ac:dyDescent="0.35">
      <c r="A86" s="177">
        <v>45292</v>
      </c>
      <c r="B86" s="178">
        <v>45303</v>
      </c>
      <c r="C86" s="178" t="s">
        <v>125</v>
      </c>
      <c r="D86" s="179" t="s">
        <v>238</v>
      </c>
      <c r="E86" s="180" t="s">
        <v>2</v>
      </c>
      <c r="F86" s="181" t="s">
        <v>242</v>
      </c>
      <c r="G86" s="182">
        <v>8.2000000000000007E-3</v>
      </c>
      <c r="H86" s="175" t="s">
        <v>165</v>
      </c>
      <c r="I86" s="175" t="s">
        <v>165</v>
      </c>
      <c r="J86" s="175" t="s">
        <v>165</v>
      </c>
      <c r="K86" s="175">
        <v>12.35</v>
      </c>
      <c r="L86" s="175" t="s">
        <v>163</v>
      </c>
      <c r="M86" s="175" t="s">
        <v>163</v>
      </c>
      <c r="N86" s="175" t="s">
        <v>163</v>
      </c>
      <c r="O86" s="175" t="s">
        <v>163</v>
      </c>
      <c r="P86" s="175" t="s">
        <v>163</v>
      </c>
      <c r="Q86" s="175" t="s">
        <v>163</v>
      </c>
      <c r="R86" s="127">
        <f>IF(Table36[[#This Row],[ Bran Content]]="-","-",IF(G86&lt;0.02,1,0))</f>
        <v>1</v>
      </c>
      <c r="S86" s="127">
        <f>IF(Table36[[#This Row],[Sieve Test]]="-","-",IF(Table36[[#This Row],[Sieve Test]]="P",1,0))</f>
        <v>1</v>
      </c>
      <c r="T86" s="127">
        <f>IF(Table36[[#This Row],[Odor]]="-","-",IF(Table36[[#This Row],[Odor]]="P",1,0))</f>
        <v>1</v>
      </c>
      <c r="U86" s="127">
        <f>IF(INDEX(MCmin,MATCH(Table36[[#This Row],[Grist]],SMI,0))="-","-",IF(Table36[[#This Row],[F1 %MC]]="-","-",IF(Table36[[#This Row],[F1 %MC]]&lt;INDEX(MCmin,MATCH(Table36[[#This Row],[Grist]],SMI,0)),0,IF(Table36[[#This Row],[F1 %MC]]&gt;INDEX(MCmax,MATCH(Table36[[#This Row],[Grist]],SMI,0)),0,1))))</f>
        <v>1</v>
      </c>
      <c r="V86" s="127" t="str">
        <f>IF(INDEX(Protmin,MATCH(Table36[[#This Row],[Grist]],SMI,0))="-","-",IF(Table36[[#This Row],[%Protein]]="-","-",IF(Table36[[#This Row],[%Protein]]&lt;INDEX(Protmin,MATCH(Table36[[#This Row],[Grist]],SMI,0)),0,IF(Table36[[#This Row],[%Protein]]&gt;INDEX(Protmax,MATCH(Table36[[#This Row],[Grist]],SMI,0)),0,1))))</f>
        <v>-</v>
      </c>
      <c r="W86" s="127" t="str">
        <f>IF(INDEX(Ashmin,MATCH(Table36[[#This Row],[Grist]],SMI,0))="-","-",IF(Table36[[#This Row],[%Ash]]="-","-",IF(Table36[[#This Row],[%Ash]]&lt;INDEX(Ashmin,MATCH(Table36[[#This Row],[Grist]],SMI,0)),0,IF(Table36[[#This Row],[%Ash]]&gt;INDEX(Ashmax,MATCH(Table36[[#This Row],[Grist]],SMI,0)),0,1))))</f>
        <v>-</v>
      </c>
      <c r="X86" s="127" t="str">
        <f>IF(INDEX(Absmin,MATCH(Table36[[#This Row],[Grist]],SMI,0))="-","-",IF(Table36[[#This Row],[%Absorption]]="-","-",IF(Table36[[#This Row],[%Absorption]]&lt;INDEX(Absmin,MATCH(Table36[[#This Row],[Grist]],SMI,0)),0,IF(Table36[[#This Row],[%Absorption]]&gt;INDEX(Absmax,MATCH(Table36[[#This Row],[Grist]],SMI,0)),0,1))))</f>
        <v>-</v>
      </c>
      <c r="Y86" s="127" t="str">
        <f>IF(INDEX(Extmin,MATCH(Table36[[#This Row],[Grist]],SMI,0))="-","-",IF(Table36[[#This Row],[%Extensibility]]="-","-",IF(Table36[[#This Row],[%Extensibility]]&lt;INDEX(Extmin,MATCH(Table36[[#This Row],[Grist]],SMI,0)),0,IF(Table36[[#This Row],[%Extensibility]]&gt;INDEX(Extmax,MATCH(Table36[[#This Row],[Grist]],SMI,0)),0,1))))</f>
        <v>-</v>
      </c>
      <c r="Z86" s="127" t="str">
        <f>IF(INDEX(Resmin,MATCH(Table36[[#This Row],[Grist]],SMI,0))="-","-",IF(Table36[[#This Row],[Resistance, max]]="-","-",IF(Table36[[#This Row],[Resistance, max]]&lt;INDEX(Resmin,MATCH(Table36[[#This Row],[Grist]],SMI,0)),0,IF(Table36[[#This Row],[Resistance, max]]&gt;INDEX(Resmax,MATCH(Table36[[#This Row],[Grist]],SMI,0)),0,1))))</f>
        <v>-</v>
      </c>
      <c r="AA86" s="127" t="str">
        <f>IF(INDEX(WGmin,MATCH(Table36[[#This Row],[Grist]],SMI,0))="-","-",IF(Table36[[#This Row],[%Wet Gluten]]="-","-",IF(Table36[[#This Row],[%Wet Gluten]]&lt;INDEX(WGmin,MATCH(Table36[[#This Row],[Grist]],SMI,0)),0,IF(Table36[[#This Row],[%Wet Gluten]]&gt;INDEX(WGmax,MATCH(Table36[[#This Row],[Grist]],SMI,0)),0,1))))</f>
        <v>-</v>
      </c>
      <c r="AB86" s="127">
        <f>SUM(Table36[[#This Row],[ QI Bran Content]:[QI WG]])</f>
        <v>4</v>
      </c>
      <c r="AC86" s="127">
        <f>COUNT(Table36[[#This Row],[ QI Bran Content]:[QI WG]])</f>
        <v>4</v>
      </c>
    </row>
    <row r="87" spans="1:29" x14ac:dyDescent="0.35">
      <c r="A87" s="177">
        <v>45292</v>
      </c>
      <c r="B87" s="178">
        <v>45303</v>
      </c>
      <c r="C87" s="178" t="s">
        <v>128</v>
      </c>
      <c r="D87" s="179">
        <v>0.874999999999999</v>
      </c>
      <c r="E87" s="180" t="s">
        <v>0</v>
      </c>
      <c r="F87" s="181" t="s">
        <v>32</v>
      </c>
      <c r="G87" s="182">
        <v>7.6E-3</v>
      </c>
      <c r="H87" s="175" t="s">
        <v>165</v>
      </c>
      <c r="I87" s="175" t="s">
        <v>165</v>
      </c>
      <c r="J87" s="175" t="s">
        <v>165</v>
      </c>
      <c r="K87" s="175">
        <v>11.97</v>
      </c>
      <c r="L87" s="175">
        <v>14.2</v>
      </c>
      <c r="M87" s="175">
        <v>0.63</v>
      </c>
      <c r="N87" s="175">
        <v>65.3</v>
      </c>
      <c r="O87" s="175" t="s">
        <v>163</v>
      </c>
      <c r="P87" s="175" t="s">
        <v>163</v>
      </c>
      <c r="Q87" s="175">
        <v>37.200000000000003</v>
      </c>
      <c r="R87" s="127">
        <f>IF(Table36[[#This Row],[ Bran Content]]="-","-",IF(G87&lt;0.02,1,0))</f>
        <v>1</v>
      </c>
      <c r="S87" s="127">
        <f>IF(Table36[[#This Row],[Sieve Test]]="-","-",IF(Table36[[#This Row],[Sieve Test]]="P",1,0))</f>
        <v>1</v>
      </c>
      <c r="T87" s="127">
        <f>IF(Table36[[#This Row],[Odor]]="-","-",IF(Table36[[#This Row],[Odor]]="P",1,0))</f>
        <v>1</v>
      </c>
      <c r="U87" s="127">
        <f>IF(INDEX(MCmin,MATCH(Table36[[#This Row],[Grist]],SMI,0))="-","-",IF(Table36[[#This Row],[F1 %MC]]="-","-",IF(Table36[[#This Row],[F1 %MC]]&lt;INDEX(MCmin,MATCH(Table36[[#This Row],[Grist]],SMI,0)),0,IF(Table36[[#This Row],[F1 %MC]]&gt;INDEX(MCmax,MATCH(Table36[[#This Row],[Grist]],SMI,0)),0,1))))</f>
        <v>0</v>
      </c>
      <c r="V87" s="127">
        <f>IF(INDEX(Protmin,MATCH(Table36[[#This Row],[Grist]],SMI,0))="-","-",IF(Table36[[#This Row],[%Protein]]="-","-",IF(Table36[[#This Row],[%Protein]]&lt;INDEX(Protmin,MATCH(Table36[[#This Row],[Grist]],SMI,0)),0,IF(Table36[[#This Row],[%Protein]]&gt;INDEX(Protmax,MATCH(Table36[[#This Row],[Grist]],SMI,0)),0,1))))</f>
        <v>1</v>
      </c>
      <c r="W87" s="127">
        <f>IF(INDEX(Ashmin,MATCH(Table36[[#This Row],[Grist]],SMI,0))="-","-",IF(Table36[[#This Row],[%Ash]]="-","-",IF(Table36[[#This Row],[%Ash]]&lt;INDEX(Ashmin,MATCH(Table36[[#This Row],[Grist]],SMI,0)),0,IF(Table36[[#This Row],[%Ash]]&gt;INDEX(Ashmax,MATCH(Table36[[#This Row],[Grist]],SMI,0)),0,1))))</f>
        <v>1</v>
      </c>
      <c r="X87" s="127">
        <f>IF(INDEX(Absmin,MATCH(Table36[[#This Row],[Grist]],SMI,0))="-","-",IF(Table36[[#This Row],[%Absorption]]="-","-",IF(Table36[[#This Row],[%Absorption]]&lt;INDEX(Absmin,MATCH(Table36[[#This Row],[Grist]],SMI,0)),0,IF(Table36[[#This Row],[%Absorption]]&gt;INDEX(Absmax,MATCH(Table36[[#This Row],[Grist]],SMI,0)),0,1))))</f>
        <v>1</v>
      </c>
      <c r="Y87" s="127" t="str">
        <f>IF(INDEX(Extmin,MATCH(Table36[[#This Row],[Grist]],SMI,0))="-","-",IF(Table36[[#This Row],[%Extensibility]]="-","-",IF(Table36[[#This Row],[%Extensibility]]&lt;INDEX(Extmin,MATCH(Table36[[#This Row],[Grist]],SMI,0)),0,IF(Table36[[#This Row],[%Extensibility]]&gt;INDEX(Extmax,MATCH(Table36[[#This Row],[Grist]],SMI,0)),0,1))))</f>
        <v>-</v>
      </c>
      <c r="Z87" s="127" t="str">
        <f>IF(INDEX(Resmin,MATCH(Table36[[#This Row],[Grist]],SMI,0))="-","-",IF(Table36[[#This Row],[Resistance, max]]="-","-",IF(Table36[[#This Row],[Resistance, max]]&lt;INDEX(Resmin,MATCH(Table36[[#This Row],[Grist]],SMI,0)),0,IF(Table36[[#This Row],[Resistance, max]]&gt;INDEX(Resmax,MATCH(Table36[[#This Row],[Grist]],SMI,0)),0,1))))</f>
        <v>-</v>
      </c>
      <c r="AA87" s="127">
        <f>IF(INDEX(WGmin,MATCH(Table36[[#This Row],[Grist]],SMI,0))="-","-",IF(Table36[[#This Row],[%Wet Gluten]]="-","-",IF(Table36[[#This Row],[%Wet Gluten]]&lt;INDEX(WGmin,MATCH(Table36[[#This Row],[Grist]],SMI,0)),0,IF(Table36[[#This Row],[%Wet Gluten]]&gt;INDEX(WGmax,MATCH(Table36[[#This Row],[Grist]],SMI,0)),0,1))))</f>
        <v>1</v>
      </c>
      <c r="AB87" s="127">
        <f>SUM(Table36[[#This Row],[ QI Bran Content]:[QI WG]])</f>
        <v>7</v>
      </c>
      <c r="AC87" s="127">
        <f>COUNT(Table36[[#This Row],[ QI Bran Content]:[QI WG]])</f>
        <v>8</v>
      </c>
    </row>
    <row r="88" spans="1:29" x14ac:dyDescent="0.35">
      <c r="A88" s="177">
        <v>45292</v>
      </c>
      <c r="B88" s="178">
        <v>45303</v>
      </c>
      <c r="C88" s="178" t="s">
        <v>128</v>
      </c>
      <c r="D88" s="179">
        <v>0.874999999999999</v>
      </c>
      <c r="E88" s="180" t="s">
        <v>2</v>
      </c>
      <c r="F88" s="181" t="s">
        <v>242</v>
      </c>
      <c r="G88" s="182">
        <v>5.7999999999999996E-3</v>
      </c>
      <c r="H88" s="175" t="s">
        <v>165</v>
      </c>
      <c r="I88" s="175" t="s">
        <v>165</v>
      </c>
      <c r="J88" s="175" t="s">
        <v>165</v>
      </c>
      <c r="K88" s="175">
        <v>12.35</v>
      </c>
      <c r="L88" s="175">
        <v>12.78</v>
      </c>
      <c r="M88" s="175">
        <v>0.35</v>
      </c>
      <c r="N88" s="175">
        <v>63</v>
      </c>
      <c r="O88" s="175" t="s">
        <v>163</v>
      </c>
      <c r="P88" s="175" t="s">
        <v>163</v>
      </c>
      <c r="Q88" s="175">
        <v>35</v>
      </c>
      <c r="R88" s="127">
        <f>IF(Table36[[#This Row],[ Bran Content]]="-","-",IF(G88&lt;0.02,1,0))</f>
        <v>1</v>
      </c>
      <c r="S88" s="127">
        <f>IF(Table36[[#This Row],[Sieve Test]]="-","-",IF(Table36[[#This Row],[Sieve Test]]="P",1,0))</f>
        <v>1</v>
      </c>
      <c r="T88" s="127">
        <f>IF(Table36[[#This Row],[Odor]]="-","-",IF(Table36[[#This Row],[Odor]]="P",1,0))</f>
        <v>1</v>
      </c>
      <c r="U88" s="127">
        <f>IF(INDEX(MCmin,MATCH(Table36[[#This Row],[Grist]],SMI,0))="-","-",IF(Table36[[#This Row],[F1 %MC]]="-","-",IF(Table36[[#This Row],[F1 %MC]]&lt;INDEX(MCmin,MATCH(Table36[[#This Row],[Grist]],SMI,0)),0,IF(Table36[[#This Row],[F1 %MC]]&gt;INDEX(MCmax,MATCH(Table36[[#This Row],[Grist]],SMI,0)),0,1))))</f>
        <v>1</v>
      </c>
      <c r="V88" s="127">
        <f>IF(INDEX(Protmin,MATCH(Table36[[#This Row],[Grist]],SMI,0))="-","-",IF(Table36[[#This Row],[%Protein]]="-","-",IF(Table36[[#This Row],[%Protein]]&lt;INDEX(Protmin,MATCH(Table36[[#This Row],[Grist]],SMI,0)),0,IF(Table36[[#This Row],[%Protein]]&gt;INDEX(Protmax,MATCH(Table36[[#This Row],[Grist]],SMI,0)),0,1))))</f>
        <v>1</v>
      </c>
      <c r="W88" s="127">
        <f>IF(INDEX(Ashmin,MATCH(Table36[[#This Row],[Grist]],SMI,0))="-","-",IF(Table36[[#This Row],[%Ash]]="-","-",IF(Table36[[#This Row],[%Ash]]&lt;INDEX(Ashmin,MATCH(Table36[[#This Row],[Grist]],SMI,0)),0,IF(Table36[[#This Row],[%Ash]]&gt;INDEX(Ashmax,MATCH(Table36[[#This Row],[Grist]],SMI,0)),0,1))))</f>
        <v>1</v>
      </c>
      <c r="X88" s="127">
        <f>IF(INDEX(Absmin,MATCH(Table36[[#This Row],[Grist]],SMI,0))="-","-",IF(Table36[[#This Row],[%Absorption]]="-","-",IF(Table36[[#This Row],[%Absorption]]&lt;INDEX(Absmin,MATCH(Table36[[#This Row],[Grist]],SMI,0)),0,IF(Table36[[#This Row],[%Absorption]]&gt;INDEX(Absmax,MATCH(Table36[[#This Row],[Grist]],SMI,0)),0,1))))</f>
        <v>1</v>
      </c>
      <c r="Y88" s="127" t="str">
        <f>IF(INDEX(Extmin,MATCH(Table36[[#This Row],[Grist]],SMI,0))="-","-",IF(Table36[[#This Row],[%Extensibility]]="-","-",IF(Table36[[#This Row],[%Extensibility]]&lt;INDEX(Extmin,MATCH(Table36[[#This Row],[Grist]],SMI,0)),0,IF(Table36[[#This Row],[%Extensibility]]&gt;INDEX(Extmax,MATCH(Table36[[#This Row],[Grist]],SMI,0)),0,1))))</f>
        <v>-</v>
      </c>
      <c r="Z88" s="127" t="str">
        <f>IF(INDEX(Resmin,MATCH(Table36[[#This Row],[Grist]],SMI,0))="-","-",IF(Table36[[#This Row],[Resistance, max]]="-","-",IF(Table36[[#This Row],[Resistance, max]]&lt;INDEX(Resmin,MATCH(Table36[[#This Row],[Grist]],SMI,0)),0,IF(Table36[[#This Row],[Resistance, max]]&gt;INDEX(Resmax,MATCH(Table36[[#This Row],[Grist]],SMI,0)),0,1))))</f>
        <v>-</v>
      </c>
      <c r="AA88" s="127">
        <f>IF(INDEX(WGmin,MATCH(Table36[[#This Row],[Grist]],SMI,0))="-","-",IF(Table36[[#This Row],[%Wet Gluten]]="-","-",IF(Table36[[#This Row],[%Wet Gluten]]&lt;INDEX(WGmin,MATCH(Table36[[#This Row],[Grist]],SMI,0)),0,IF(Table36[[#This Row],[%Wet Gluten]]&gt;INDEX(WGmax,MATCH(Table36[[#This Row],[Grist]],SMI,0)),0,1))))</f>
        <v>1</v>
      </c>
      <c r="AB88" s="127">
        <f>SUM(Table36[[#This Row],[ QI Bran Content]:[QI WG]])</f>
        <v>8</v>
      </c>
      <c r="AC88" s="127">
        <f>COUNT(Table36[[#This Row],[ QI Bran Content]:[QI WG]])</f>
        <v>8</v>
      </c>
    </row>
    <row r="89" spans="1:29" x14ac:dyDescent="0.35">
      <c r="A89" s="177">
        <v>45292</v>
      </c>
      <c r="B89" s="178">
        <v>45304</v>
      </c>
      <c r="C89" s="178" t="s">
        <v>125</v>
      </c>
      <c r="D89" s="179" t="s">
        <v>239</v>
      </c>
      <c r="E89" s="180" t="s">
        <v>0</v>
      </c>
      <c r="F89" s="181" t="s">
        <v>32</v>
      </c>
      <c r="G89" s="182">
        <v>8.6999999999999994E-3</v>
      </c>
      <c r="H89" s="175" t="s">
        <v>165</v>
      </c>
      <c r="I89" s="175" t="s">
        <v>165</v>
      </c>
      <c r="J89" s="175" t="s">
        <v>165</v>
      </c>
      <c r="K89" s="175">
        <v>12.25</v>
      </c>
      <c r="L89" s="175">
        <v>12.71</v>
      </c>
      <c r="M89" s="175">
        <v>0.59</v>
      </c>
      <c r="N89" s="175">
        <v>65.599999999999994</v>
      </c>
      <c r="O89" s="175">
        <v>21</v>
      </c>
      <c r="P89" s="175">
        <v>615</v>
      </c>
      <c r="Q89" s="175">
        <v>35.36</v>
      </c>
      <c r="R89" s="127">
        <f>IF(Table36[[#This Row],[ Bran Content]]="-","-",IF(G89&lt;0.02,1,0))</f>
        <v>1</v>
      </c>
      <c r="S89" s="127">
        <f>IF(Table36[[#This Row],[Sieve Test]]="-","-",IF(Table36[[#This Row],[Sieve Test]]="P",1,0))</f>
        <v>1</v>
      </c>
      <c r="T89" s="127">
        <f>IF(Table36[[#This Row],[Odor]]="-","-",IF(Table36[[#This Row],[Odor]]="P",1,0))</f>
        <v>1</v>
      </c>
      <c r="U89" s="127">
        <f>IF(INDEX(MCmin,MATCH(Table36[[#This Row],[Grist]],SMI,0))="-","-",IF(Table36[[#This Row],[F1 %MC]]="-","-",IF(Table36[[#This Row],[F1 %MC]]&lt;INDEX(MCmin,MATCH(Table36[[#This Row],[Grist]],SMI,0)),0,IF(Table36[[#This Row],[F1 %MC]]&gt;INDEX(MCmax,MATCH(Table36[[#This Row],[Grist]],SMI,0)),0,1))))</f>
        <v>1</v>
      </c>
      <c r="V89" s="127">
        <f>IF(INDEX(Protmin,MATCH(Table36[[#This Row],[Grist]],SMI,0))="-","-",IF(Table36[[#This Row],[%Protein]]="-","-",IF(Table36[[#This Row],[%Protein]]&lt;INDEX(Protmin,MATCH(Table36[[#This Row],[Grist]],SMI,0)),0,IF(Table36[[#This Row],[%Protein]]&gt;INDEX(Protmax,MATCH(Table36[[#This Row],[Grist]],SMI,0)),0,1))))</f>
        <v>1</v>
      </c>
      <c r="W89" s="127">
        <f>IF(INDEX(Ashmin,MATCH(Table36[[#This Row],[Grist]],SMI,0))="-","-",IF(Table36[[#This Row],[%Ash]]="-","-",IF(Table36[[#This Row],[%Ash]]&lt;INDEX(Ashmin,MATCH(Table36[[#This Row],[Grist]],SMI,0)),0,IF(Table36[[#This Row],[%Ash]]&gt;INDEX(Ashmax,MATCH(Table36[[#This Row],[Grist]],SMI,0)),0,1))))</f>
        <v>1</v>
      </c>
      <c r="X89" s="127">
        <f>IF(INDEX(Absmin,MATCH(Table36[[#This Row],[Grist]],SMI,0))="-","-",IF(Table36[[#This Row],[%Absorption]]="-","-",IF(Table36[[#This Row],[%Absorption]]&lt;INDEX(Absmin,MATCH(Table36[[#This Row],[Grist]],SMI,0)),0,IF(Table36[[#This Row],[%Absorption]]&gt;INDEX(Absmax,MATCH(Table36[[#This Row],[Grist]],SMI,0)),0,1))))</f>
        <v>1</v>
      </c>
      <c r="Y89" s="127">
        <f>IF(INDEX(Extmin,MATCH(Table36[[#This Row],[Grist]],SMI,0))="-","-",IF(Table36[[#This Row],[%Extensibility]]="-","-",IF(Table36[[#This Row],[%Extensibility]]&lt;INDEX(Extmin,MATCH(Table36[[#This Row],[Grist]],SMI,0)),0,IF(Table36[[#This Row],[%Extensibility]]&gt;INDEX(Extmax,MATCH(Table36[[#This Row],[Grist]],SMI,0)),0,1))))</f>
        <v>1</v>
      </c>
      <c r="Z89" s="127">
        <f>IF(INDEX(Resmin,MATCH(Table36[[#This Row],[Grist]],SMI,0))="-","-",IF(Table36[[#This Row],[Resistance, max]]="-","-",IF(Table36[[#This Row],[Resistance, max]]&lt;INDEX(Resmin,MATCH(Table36[[#This Row],[Grist]],SMI,0)),0,IF(Table36[[#This Row],[Resistance, max]]&gt;INDEX(Resmax,MATCH(Table36[[#This Row],[Grist]],SMI,0)),0,1))))</f>
        <v>1</v>
      </c>
      <c r="AA89" s="127">
        <f>IF(INDEX(WGmin,MATCH(Table36[[#This Row],[Grist]],SMI,0))="-","-",IF(Table36[[#This Row],[%Wet Gluten]]="-","-",IF(Table36[[#This Row],[%Wet Gluten]]&lt;INDEX(WGmin,MATCH(Table36[[#This Row],[Grist]],SMI,0)),0,IF(Table36[[#This Row],[%Wet Gluten]]&gt;INDEX(WGmax,MATCH(Table36[[#This Row],[Grist]],SMI,0)),0,1))))</f>
        <v>1</v>
      </c>
      <c r="AB89" s="127">
        <f>SUM(Table36[[#This Row],[ QI Bran Content]:[QI WG]])</f>
        <v>10</v>
      </c>
      <c r="AC89" s="127">
        <f>COUNT(Table36[[#This Row],[ QI Bran Content]:[QI WG]])</f>
        <v>10</v>
      </c>
    </row>
    <row r="90" spans="1:29" x14ac:dyDescent="0.35">
      <c r="A90" s="177">
        <v>45292</v>
      </c>
      <c r="B90" s="178">
        <v>45304</v>
      </c>
      <c r="C90" s="178" t="s">
        <v>125</v>
      </c>
      <c r="D90" s="179" t="s">
        <v>240</v>
      </c>
      <c r="E90" s="180" t="s">
        <v>0</v>
      </c>
      <c r="F90" s="181" t="s">
        <v>32</v>
      </c>
      <c r="G90" s="182">
        <v>8.6E-3</v>
      </c>
      <c r="H90" s="175" t="s">
        <v>165</v>
      </c>
      <c r="I90" s="175" t="s">
        <v>165</v>
      </c>
      <c r="J90" s="175" t="s">
        <v>165</v>
      </c>
      <c r="K90" s="175">
        <v>11.89</v>
      </c>
      <c r="L90" s="175" t="s">
        <v>163</v>
      </c>
      <c r="M90" s="175" t="s">
        <v>163</v>
      </c>
      <c r="N90" s="175" t="s">
        <v>163</v>
      </c>
      <c r="O90" s="175" t="s">
        <v>163</v>
      </c>
      <c r="P90" s="175" t="s">
        <v>163</v>
      </c>
      <c r="Q90" s="175" t="s">
        <v>163</v>
      </c>
      <c r="R90" s="127">
        <f>IF(Table36[[#This Row],[ Bran Content]]="-","-",IF(G90&lt;0.02,1,0))</f>
        <v>1</v>
      </c>
      <c r="S90" s="127">
        <f>IF(Table36[[#This Row],[Sieve Test]]="-","-",IF(Table36[[#This Row],[Sieve Test]]="P",1,0))</f>
        <v>1</v>
      </c>
      <c r="T90" s="127">
        <f>IF(Table36[[#This Row],[Odor]]="-","-",IF(Table36[[#This Row],[Odor]]="P",1,0))</f>
        <v>1</v>
      </c>
      <c r="U90" s="127">
        <f>IF(INDEX(MCmin,MATCH(Table36[[#This Row],[Grist]],SMI,0))="-","-",IF(Table36[[#This Row],[F1 %MC]]="-","-",IF(Table36[[#This Row],[F1 %MC]]&lt;INDEX(MCmin,MATCH(Table36[[#This Row],[Grist]],SMI,0)),0,IF(Table36[[#This Row],[F1 %MC]]&gt;INDEX(MCmax,MATCH(Table36[[#This Row],[Grist]],SMI,0)),0,1))))</f>
        <v>0</v>
      </c>
      <c r="V90" s="127" t="str">
        <f>IF(INDEX(Protmin,MATCH(Table36[[#This Row],[Grist]],SMI,0))="-","-",IF(Table36[[#This Row],[%Protein]]="-","-",IF(Table36[[#This Row],[%Protein]]&lt;INDEX(Protmin,MATCH(Table36[[#This Row],[Grist]],SMI,0)),0,IF(Table36[[#This Row],[%Protein]]&gt;INDEX(Protmax,MATCH(Table36[[#This Row],[Grist]],SMI,0)),0,1))))</f>
        <v>-</v>
      </c>
      <c r="W90" s="127" t="str">
        <f>IF(INDEX(Ashmin,MATCH(Table36[[#This Row],[Grist]],SMI,0))="-","-",IF(Table36[[#This Row],[%Ash]]="-","-",IF(Table36[[#This Row],[%Ash]]&lt;INDEX(Ashmin,MATCH(Table36[[#This Row],[Grist]],SMI,0)),0,IF(Table36[[#This Row],[%Ash]]&gt;INDEX(Ashmax,MATCH(Table36[[#This Row],[Grist]],SMI,0)),0,1))))</f>
        <v>-</v>
      </c>
      <c r="X90" s="127" t="str">
        <f>IF(INDEX(Absmin,MATCH(Table36[[#This Row],[Grist]],SMI,0))="-","-",IF(Table36[[#This Row],[%Absorption]]="-","-",IF(Table36[[#This Row],[%Absorption]]&lt;INDEX(Absmin,MATCH(Table36[[#This Row],[Grist]],SMI,0)),0,IF(Table36[[#This Row],[%Absorption]]&gt;INDEX(Absmax,MATCH(Table36[[#This Row],[Grist]],SMI,0)),0,1))))</f>
        <v>-</v>
      </c>
      <c r="Y90" s="127" t="str">
        <f>IF(INDEX(Extmin,MATCH(Table36[[#This Row],[Grist]],SMI,0))="-","-",IF(Table36[[#This Row],[%Extensibility]]="-","-",IF(Table36[[#This Row],[%Extensibility]]&lt;INDEX(Extmin,MATCH(Table36[[#This Row],[Grist]],SMI,0)),0,IF(Table36[[#This Row],[%Extensibility]]&gt;INDEX(Extmax,MATCH(Table36[[#This Row],[Grist]],SMI,0)),0,1))))</f>
        <v>-</v>
      </c>
      <c r="Z90" s="127" t="str">
        <f>IF(INDEX(Resmin,MATCH(Table36[[#This Row],[Grist]],SMI,0))="-","-",IF(Table36[[#This Row],[Resistance, max]]="-","-",IF(Table36[[#This Row],[Resistance, max]]&lt;INDEX(Resmin,MATCH(Table36[[#This Row],[Grist]],SMI,0)),0,IF(Table36[[#This Row],[Resistance, max]]&gt;INDEX(Resmax,MATCH(Table36[[#This Row],[Grist]],SMI,0)),0,1))))</f>
        <v>-</v>
      </c>
      <c r="AA90" s="127" t="str">
        <f>IF(INDEX(WGmin,MATCH(Table36[[#This Row],[Grist]],SMI,0))="-","-",IF(Table36[[#This Row],[%Wet Gluten]]="-","-",IF(Table36[[#This Row],[%Wet Gluten]]&lt;INDEX(WGmin,MATCH(Table36[[#This Row],[Grist]],SMI,0)),0,IF(Table36[[#This Row],[%Wet Gluten]]&gt;INDEX(WGmax,MATCH(Table36[[#This Row],[Grist]],SMI,0)),0,1))))</f>
        <v>-</v>
      </c>
      <c r="AB90" s="127">
        <f>SUM(Table36[[#This Row],[ QI Bran Content]:[QI WG]])</f>
        <v>3</v>
      </c>
      <c r="AC90" s="127">
        <f>COUNT(Table36[[#This Row],[ QI Bran Content]:[QI WG]])</f>
        <v>4</v>
      </c>
    </row>
    <row r="91" spans="1:29" x14ac:dyDescent="0.35">
      <c r="A91" s="177">
        <v>45292</v>
      </c>
      <c r="B91" s="178">
        <v>45304</v>
      </c>
      <c r="C91" s="178" t="s">
        <v>125</v>
      </c>
      <c r="D91" s="179" t="s">
        <v>239</v>
      </c>
      <c r="E91" s="180" t="s">
        <v>2</v>
      </c>
      <c r="F91" s="181" t="s">
        <v>242</v>
      </c>
      <c r="G91" s="182">
        <v>5.1999999999999998E-3</v>
      </c>
      <c r="H91" s="175" t="s">
        <v>165</v>
      </c>
      <c r="I91" s="175" t="s">
        <v>165</v>
      </c>
      <c r="J91" s="175" t="s">
        <v>165</v>
      </c>
      <c r="K91" s="175">
        <v>11.99</v>
      </c>
      <c r="L91" s="175">
        <v>11.95</v>
      </c>
      <c r="M91" s="175">
        <v>0.36</v>
      </c>
      <c r="N91" s="175">
        <v>63.2</v>
      </c>
      <c r="O91" s="175">
        <v>12.4</v>
      </c>
      <c r="P91" s="175">
        <v>786</v>
      </c>
      <c r="Q91" s="175">
        <v>33.270000000000003</v>
      </c>
      <c r="R91" s="127">
        <f>IF(Table36[[#This Row],[ Bran Content]]="-","-",IF(G91&lt;0.02,1,0))</f>
        <v>1</v>
      </c>
      <c r="S91" s="127">
        <f>IF(Table36[[#This Row],[Sieve Test]]="-","-",IF(Table36[[#This Row],[Sieve Test]]="P",1,0))</f>
        <v>1</v>
      </c>
      <c r="T91" s="127">
        <f>IF(Table36[[#This Row],[Odor]]="-","-",IF(Table36[[#This Row],[Odor]]="P",1,0))</f>
        <v>1</v>
      </c>
      <c r="U91" s="127">
        <f>IF(INDEX(MCmin,MATCH(Table36[[#This Row],[Grist]],SMI,0))="-","-",IF(Table36[[#This Row],[F1 %MC]]="-","-",IF(Table36[[#This Row],[F1 %MC]]&lt;INDEX(MCmin,MATCH(Table36[[#This Row],[Grist]],SMI,0)),0,IF(Table36[[#This Row],[F1 %MC]]&gt;INDEX(MCmax,MATCH(Table36[[#This Row],[Grist]],SMI,0)),0,1))))</f>
        <v>0</v>
      </c>
      <c r="V91" s="127">
        <f>IF(INDEX(Protmin,MATCH(Table36[[#This Row],[Grist]],SMI,0))="-","-",IF(Table36[[#This Row],[%Protein]]="-","-",IF(Table36[[#This Row],[%Protein]]&lt;INDEX(Protmin,MATCH(Table36[[#This Row],[Grist]],SMI,0)),0,IF(Table36[[#This Row],[%Protein]]&gt;INDEX(Protmax,MATCH(Table36[[#This Row],[Grist]],SMI,0)),0,1))))</f>
        <v>1</v>
      </c>
      <c r="W91" s="127">
        <f>IF(INDEX(Ashmin,MATCH(Table36[[#This Row],[Grist]],SMI,0))="-","-",IF(Table36[[#This Row],[%Ash]]="-","-",IF(Table36[[#This Row],[%Ash]]&lt;INDEX(Ashmin,MATCH(Table36[[#This Row],[Grist]],SMI,0)),0,IF(Table36[[#This Row],[%Ash]]&gt;INDEX(Ashmax,MATCH(Table36[[#This Row],[Grist]],SMI,0)),0,1))))</f>
        <v>1</v>
      </c>
      <c r="X91" s="127">
        <f>IF(INDEX(Absmin,MATCH(Table36[[#This Row],[Grist]],SMI,0))="-","-",IF(Table36[[#This Row],[%Absorption]]="-","-",IF(Table36[[#This Row],[%Absorption]]&lt;INDEX(Absmin,MATCH(Table36[[#This Row],[Grist]],SMI,0)),0,IF(Table36[[#This Row],[%Absorption]]&gt;INDEX(Absmax,MATCH(Table36[[#This Row],[Grist]],SMI,0)),0,1))))</f>
        <v>1</v>
      </c>
      <c r="Y91" s="127">
        <f>IF(INDEX(Extmin,MATCH(Table36[[#This Row],[Grist]],SMI,0))="-","-",IF(Table36[[#This Row],[%Extensibility]]="-","-",IF(Table36[[#This Row],[%Extensibility]]&lt;INDEX(Extmin,MATCH(Table36[[#This Row],[Grist]],SMI,0)),0,IF(Table36[[#This Row],[%Extensibility]]&gt;INDEX(Extmax,MATCH(Table36[[#This Row],[Grist]],SMI,0)),0,1))))</f>
        <v>1</v>
      </c>
      <c r="Z91" s="127">
        <f>IF(INDEX(Resmin,MATCH(Table36[[#This Row],[Grist]],SMI,0))="-","-",IF(Table36[[#This Row],[Resistance, max]]="-","-",IF(Table36[[#This Row],[Resistance, max]]&lt;INDEX(Resmin,MATCH(Table36[[#This Row],[Grist]],SMI,0)),0,IF(Table36[[#This Row],[Resistance, max]]&gt;INDEX(Resmax,MATCH(Table36[[#This Row],[Grist]],SMI,0)),0,1))))</f>
        <v>1</v>
      </c>
      <c r="AA91" s="127">
        <f>IF(INDEX(WGmin,MATCH(Table36[[#This Row],[Grist]],SMI,0))="-","-",IF(Table36[[#This Row],[%Wet Gluten]]="-","-",IF(Table36[[#This Row],[%Wet Gluten]]&lt;INDEX(WGmin,MATCH(Table36[[#This Row],[Grist]],SMI,0)),0,IF(Table36[[#This Row],[%Wet Gluten]]&gt;INDEX(WGmax,MATCH(Table36[[#This Row],[Grist]],SMI,0)),0,1))))</f>
        <v>1</v>
      </c>
      <c r="AB91" s="127">
        <f>SUM(Table36[[#This Row],[ QI Bran Content]:[QI WG]])</f>
        <v>9</v>
      </c>
      <c r="AC91" s="127">
        <f>COUNT(Table36[[#This Row],[ QI Bran Content]:[QI WG]])</f>
        <v>10</v>
      </c>
    </row>
    <row r="92" spans="1:29" x14ac:dyDescent="0.35">
      <c r="A92" s="177">
        <v>45292</v>
      </c>
      <c r="B92" s="178">
        <v>45304</v>
      </c>
      <c r="C92" s="178" t="s">
        <v>125</v>
      </c>
      <c r="D92" s="179" t="s">
        <v>240</v>
      </c>
      <c r="E92" s="180" t="s">
        <v>2</v>
      </c>
      <c r="F92" s="181" t="s">
        <v>242</v>
      </c>
      <c r="G92" s="182">
        <v>5.7999999999999996E-3</v>
      </c>
      <c r="H92" s="175" t="s">
        <v>165</v>
      </c>
      <c r="I92" s="175" t="s">
        <v>165</v>
      </c>
      <c r="J92" s="175" t="s">
        <v>165</v>
      </c>
      <c r="K92" s="175">
        <v>11.75</v>
      </c>
      <c r="L92" s="175" t="s">
        <v>163</v>
      </c>
      <c r="M92" s="175" t="s">
        <v>163</v>
      </c>
      <c r="N92" s="175" t="s">
        <v>163</v>
      </c>
      <c r="O92" s="175" t="s">
        <v>163</v>
      </c>
      <c r="P92" s="175" t="s">
        <v>163</v>
      </c>
      <c r="Q92" s="175" t="s">
        <v>163</v>
      </c>
      <c r="R92" s="127">
        <f>IF(Table36[[#This Row],[ Bran Content]]="-","-",IF(G92&lt;0.02,1,0))</f>
        <v>1</v>
      </c>
      <c r="S92" s="127">
        <f>IF(Table36[[#This Row],[Sieve Test]]="-","-",IF(Table36[[#This Row],[Sieve Test]]="P",1,0))</f>
        <v>1</v>
      </c>
      <c r="T92" s="127">
        <f>IF(Table36[[#This Row],[Odor]]="-","-",IF(Table36[[#This Row],[Odor]]="P",1,0))</f>
        <v>1</v>
      </c>
      <c r="U92" s="127">
        <f>IF(INDEX(MCmin,MATCH(Table36[[#This Row],[Grist]],SMI,0))="-","-",IF(Table36[[#This Row],[F1 %MC]]="-","-",IF(Table36[[#This Row],[F1 %MC]]&lt;INDEX(MCmin,MATCH(Table36[[#This Row],[Grist]],SMI,0)),0,IF(Table36[[#This Row],[F1 %MC]]&gt;INDEX(MCmax,MATCH(Table36[[#This Row],[Grist]],SMI,0)),0,1))))</f>
        <v>0</v>
      </c>
      <c r="V92" s="127" t="str">
        <f>IF(INDEX(Protmin,MATCH(Table36[[#This Row],[Grist]],SMI,0))="-","-",IF(Table36[[#This Row],[%Protein]]="-","-",IF(Table36[[#This Row],[%Protein]]&lt;INDEX(Protmin,MATCH(Table36[[#This Row],[Grist]],SMI,0)),0,IF(Table36[[#This Row],[%Protein]]&gt;INDEX(Protmax,MATCH(Table36[[#This Row],[Grist]],SMI,0)),0,1))))</f>
        <v>-</v>
      </c>
      <c r="W92" s="127" t="str">
        <f>IF(INDEX(Ashmin,MATCH(Table36[[#This Row],[Grist]],SMI,0))="-","-",IF(Table36[[#This Row],[%Ash]]="-","-",IF(Table36[[#This Row],[%Ash]]&lt;INDEX(Ashmin,MATCH(Table36[[#This Row],[Grist]],SMI,0)),0,IF(Table36[[#This Row],[%Ash]]&gt;INDEX(Ashmax,MATCH(Table36[[#This Row],[Grist]],SMI,0)),0,1))))</f>
        <v>-</v>
      </c>
      <c r="X92" s="127" t="str">
        <f>IF(INDEX(Absmin,MATCH(Table36[[#This Row],[Grist]],SMI,0))="-","-",IF(Table36[[#This Row],[%Absorption]]="-","-",IF(Table36[[#This Row],[%Absorption]]&lt;INDEX(Absmin,MATCH(Table36[[#This Row],[Grist]],SMI,0)),0,IF(Table36[[#This Row],[%Absorption]]&gt;INDEX(Absmax,MATCH(Table36[[#This Row],[Grist]],SMI,0)),0,1))))</f>
        <v>-</v>
      </c>
      <c r="Y92" s="127" t="str">
        <f>IF(INDEX(Extmin,MATCH(Table36[[#This Row],[Grist]],SMI,0))="-","-",IF(Table36[[#This Row],[%Extensibility]]="-","-",IF(Table36[[#This Row],[%Extensibility]]&lt;INDEX(Extmin,MATCH(Table36[[#This Row],[Grist]],SMI,0)),0,IF(Table36[[#This Row],[%Extensibility]]&gt;INDEX(Extmax,MATCH(Table36[[#This Row],[Grist]],SMI,0)),0,1))))</f>
        <v>-</v>
      </c>
      <c r="Z92" s="127" t="str">
        <f>IF(INDEX(Resmin,MATCH(Table36[[#This Row],[Grist]],SMI,0))="-","-",IF(Table36[[#This Row],[Resistance, max]]="-","-",IF(Table36[[#This Row],[Resistance, max]]&lt;INDEX(Resmin,MATCH(Table36[[#This Row],[Grist]],SMI,0)),0,IF(Table36[[#This Row],[Resistance, max]]&gt;INDEX(Resmax,MATCH(Table36[[#This Row],[Grist]],SMI,0)),0,1))))</f>
        <v>-</v>
      </c>
      <c r="AA92" s="127" t="str">
        <f>IF(INDEX(WGmin,MATCH(Table36[[#This Row],[Grist]],SMI,0))="-","-",IF(Table36[[#This Row],[%Wet Gluten]]="-","-",IF(Table36[[#This Row],[%Wet Gluten]]&lt;INDEX(WGmin,MATCH(Table36[[#This Row],[Grist]],SMI,0)),0,IF(Table36[[#This Row],[%Wet Gluten]]&gt;INDEX(WGmax,MATCH(Table36[[#This Row],[Grist]],SMI,0)),0,1))))</f>
        <v>-</v>
      </c>
      <c r="AB92" s="127">
        <f>SUM(Table36[[#This Row],[ QI Bran Content]:[QI WG]])</f>
        <v>3</v>
      </c>
      <c r="AC92" s="127">
        <f>COUNT(Table36[[#This Row],[ QI Bran Content]:[QI WG]])</f>
        <v>4</v>
      </c>
    </row>
    <row r="93" spans="1:29" x14ac:dyDescent="0.35">
      <c r="A93" s="177">
        <v>45292</v>
      </c>
      <c r="B93" s="178">
        <v>45304</v>
      </c>
      <c r="C93" s="178" t="s">
        <v>128</v>
      </c>
      <c r="D93" s="179">
        <v>0.874999999999999</v>
      </c>
      <c r="E93" s="180" t="s">
        <v>0</v>
      </c>
      <c r="F93" s="181" t="s">
        <v>27</v>
      </c>
      <c r="G93" s="182">
        <v>1.7399999999999999E-2</v>
      </c>
      <c r="H93" s="175" t="s">
        <v>165</v>
      </c>
      <c r="I93" s="175" t="s">
        <v>165</v>
      </c>
      <c r="J93" s="175" t="s">
        <v>165</v>
      </c>
      <c r="K93" s="175">
        <v>12.5</v>
      </c>
      <c r="L93" s="175" t="s">
        <v>163</v>
      </c>
      <c r="M93" s="175" t="s">
        <v>163</v>
      </c>
      <c r="N93" s="175" t="s">
        <v>163</v>
      </c>
      <c r="O93" s="175" t="s">
        <v>163</v>
      </c>
      <c r="P93" s="175" t="s">
        <v>163</v>
      </c>
      <c r="Q93" s="175" t="s">
        <v>163</v>
      </c>
      <c r="R93" s="127">
        <f>IF(Table36[[#This Row],[ Bran Content]]="-","-",IF(G93&lt;0.02,1,0))</f>
        <v>1</v>
      </c>
      <c r="S93" s="127">
        <f>IF(Table36[[#This Row],[Sieve Test]]="-","-",IF(Table36[[#This Row],[Sieve Test]]="P",1,0))</f>
        <v>1</v>
      </c>
      <c r="T93" s="127">
        <f>IF(Table36[[#This Row],[Odor]]="-","-",IF(Table36[[#This Row],[Odor]]="P",1,0))</f>
        <v>1</v>
      </c>
      <c r="U93" s="127">
        <f>IF(INDEX(MCmin,MATCH(Table36[[#This Row],[Grist]],SMI,0))="-","-",IF(Table36[[#This Row],[F1 %MC]]="-","-",IF(Table36[[#This Row],[F1 %MC]]&lt;INDEX(MCmin,MATCH(Table36[[#This Row],[Grist]],SMI,0)),0,IF(Table36[[#This Row],[F1 %MC]]&gt;INDEX(MCmax,MATCH(Table36[[#This Row],[Grist]],SMI,0)),0,1))))</f>
        <v>1</v>
      </c>
      <c r="V93" s="127" t="str">
        <f>IF(INDEX(Protmin,MATCH(Table36[[#This Row],[Grist]],SMI,0))="-","-",IF(Table36[[#This Row],[%Protein]]="-","-",IF(Table36[[#This Row],[%Protein]]&lt;INDEX(Protmin,MATCH(Table36[[#This Row],[Grist]],SMI,0)),0,IF(Table36[[#This Row],[%Protein]]&gt;INDEX(Protmax,MATCH(Table36[[#This Row],[Grist]],SMI,0)),0,1))))</f>
        <v>-</v>
      </c>
      <c r="W93" s="127" t="str">
        <f>IF(INDEX(Ashmin,MATCH(Table36[[#This Row],[Grist]],SMI,0))="-","-",IF(Table36[[#This Row],[%Ash]]="-","-",IF(Table36[[#This Row],[%Ash]]&lt;INDEX(Ashmin,MATCH(Table36[[#This Row],[Grist]],SMI,0)),0,IF(Table36[[#This Row],[%Ash]]&gt;INDEX(Ashmax,MATCH(Table36[[#This Row],[Grist]],SMI,0)),0,1))))</f>
        <v>-</v>
      </c>
      <c r="X93" s="127" t="str">
        <f>IF(INDEX(Absmin,MATCH(Table36[[#This Row],[Grist]],SMI,0))="-","-",IF(Table36[[#This Row],[%Absorption]]="-","-",IF(Table36[[#This Row],[%Absorption]]&lt;INDEX(Absmin,MATCH(Table36[[#This Row],[Grist]],SMI,0)),0,IF(Table36[[#This Row],[%Absorption]]&gt;INDEX(Absmax,MATCH(Table36[[#This Row],[Grist]],SMI,0)),0,1))))</f>
        <v>-</v>
      </c>
      <c r="Y93" s="127" t="str">
        <f>IF(INDEX(Extmin,MATCH(Table36[[#This Row],[Grist]],SMI,0))="-","-",IF(Table36[[#This Row],[%Extensibility]]="-","-",IF(Table36[[#This Row],[%Extensibility]]&lt;INDEX(Extmin,MATCH(Table36[[#This Row],[Grist]],SMI,0)),0,IF(Table36[[#This Row],[%Extensibility]]&gt;INDEX(Extmax,MATCH(Table36[[#This Row],[Grist]],SMI,0)),0,1))))</f>
        <v>-</v>
      </c>
      <c r="Z93" s="127" t="str">
        <f>IF(INDEX(Resmin,MATCH(Table36[[#This Row],[Grist]],SMI,0))="-","-",IF(Table36[[#This Row],[Resistance, max]]="-","-",IF(Table36[[#This Row],[Resistance, max]]&lt;INDEX(Resmin,MATCH(Table36[[#This Row],[Grist]],SMI,0)),0,IF(Table36[[#This Row],[Resistance, max]]&gt;INDEX(Resmax,MATCH(Table36[[#This Row],[Grist]],SMI,0)),0,1))))</f>
        <v>-</v>
      </c>
      <c r="AA93" s="127" t="str">
        <f>IF(INDEX(WGmin,MATCH(Table36[[#This Row],[Grist]],SMI,0))="-","-",IF(Table36[[#This Row],[%Wet Gluten]]="-","-",IF(Table36[[#This Row],[%Wet Gluten]]&lt;INDEX(WGmin,MATCH(Table36[[#This Row],[Grist]],SMI,0)),0,IF(Table36[[#This Row],[%Wet Gluten]]&gt;INDEX(WGmax,MATCH(Table36[[#This Row],[Grist]],SMI,0)),0,1))))</f>
        <v>-</v>
      </c>
      <c r="AB93" s="127">
        <f>SUM(Table36[[#This Row],[ QI Bran Content]:[QI WG]])</f>
        <v>4</v>
      </c>
      <c r="AC93" s="127">
        <f>COUNT(Table36[[#This Row],[ QI Bran Content]:[QI WG]])</f>
        <v>4</v>
      </c>
    </row>
    <row r="94" spans="1:29" x14ac:dyDescent="0.35">
      <c r="A94" s="177">
        <v>45292</v>
      </c>
      <c r="B94" s="178">
        <v>45306</v>
      </c>
      <c r="C94" s="178" t="s">
        <v>125</v>
      </c>
      <c r="D94" s="179" t="s">
        <v>239</v>
      </c>
      <c r="E94" s="180" t="s">
        <v>0</v>
      </c>
      <c r="F94" s="181" t="s">
        <v>27</v>
      </c>
      <c r="G94" s="182">
        <v>4.7000000000000002E-3</v>
      </c>
      <c r="H94" s="175" t="s">
        <v>165</v>
      </c>
      <c r="I94" s="175" t="s">
        <v>165</v>
      </c>
      <c r="J94" s="175" t="s">
        <v>165</v>
      </c>
      <c r="K94" s="175">
        <v>11.61</v>
      </c>
      <c r="L94" s="175">
        <v>12.85</v>
      </c>
      <c r="M94" s="175">
        <v>0.62</v>
      </c>
      <c r="N94" s="175">
        <v>65.599999999999994</v>
      </c>
      <c r="O94" s="175">
        <v>21</v>
      </c>
      <c r="P94" s="175">
        <v>615</v>
      </c>
      <c r="Q94" s="175">
        <v>36.11</v>
      </c>
      <c r="R94" s="127">
        <f>IF(Table36[[#This Row],[ Bran Content]]="-","-",IF(G94&lt;0.02,1,0))</f>
        <v>1</v>
      </c>
      <c r="S94" s="127">
        <f>IF(Table36[[#This Row],[Sieve Test]]="-","-",IF(Table36[[#This Row],[Sieve Test]]="P",1,0))</f>
        <v>1</v>
      </c>
      <c r="T94" s="127">
        <f>IF(Table36[[#This Row],[Odor]]="-","-",IF(Table36[[#This Row],[Odor]]="P",1,0))</f>
        <v>1</v>
      </c>
      <c r="U94" s="127">
        <f>IF(INDEX(MCmin,MATCH(Table36[[#This Row],[Grist]],SMI,0))="-","-",IF(Table36[[#This Row],[F1 %MC]]="-","-",IF(Table36[[#This Row],[F1 %MC]]&lt;INDEX(MCmin,MATCH(Table36[[#This Row],[Grist]],SMI,0)),0,IF(Table36[[#This Row],[F1 %MC]]&gt;INDEX(MCmax,MATCH(Table36[[#This Row],[Grist]],SMI,0)),0,1))))</f>
        <v>0</v>
      </c>
      <c r="V94" s="127">
        <f>IF(INDEX(Protmin,MATCH(Table36[[#This Row],[Grist]],SMI,0))="-","-",IF(Table36[[#This Row],[%Protein]]="-","-",IF(Table36[[#This Row],[%Protein]]&lt;INDEX(Protmin,MATCH(Table36[[#This Row],[Grist]],SMI,0)),0,IF(Table36[[#This Row],[%Protein]]&gt;INDEX(Protmax,MATCH(Table36[[#This Row],[Grist]],SMI,0)),0,1))))</f>
        <v>1</v>
      </c>
      <c r="W94" s="127">
        <f>IF(INDEX(Ashmin,MATCH(Table36[[#This Row],[Grist]],SMI,0))="-","-",IF(Table36[[#This Row],[%Ash]]="-","-",IF(Table36[[#This Row],[%Ash]]&lt;INDEX(Ashmin,MATCH(Table36[[#This Row],[Grist]],SMI,0)),0,IF(Table36[[#This Row],[%Ash]]&gt;INDEX(Ashmax,MATCH(Table36[[#This Row],[Grist]],SMI,0)),0,1))))</f>
        <v>1</v>
      </c>
      <c r="X94" s="127">
        <f>IF(INDEX(Absmin,MATCH(Table36[[#This Row],[Grist]],SMI,0))="-","-",IF(Table36[[#This Row],[%Absorption]]="-","-",IF(Table36[[#This Row],[%Absorption]]&lt;INDEX(Absmin,MATCH(Table36[[#This Row],[Grist]],SMI,0)),0,IF(Table36[[#This Row],[%Absorption]]&gt;INDEX(Absmax,MATCH(Table36[[#This Row],[Grist]],SMI,0)),0,1))))</f>
        <v>1</v>
      </c>
      <c r="Y94" s="127">
        <f>IF(INDEX(Extmin,MATCH(Table36[[#This Row],[Grist]],SMI,0))="-","-",IF(Table36[[#This Row],[%Extensibility]]="-","-",IF(Table36[[#This Row],[%Extensibility]]&lt;INDEX(Extmin,MATCH(Table36[[#This Row],[Grist]],SMI,0)),0,IF(Table36[[#This Row],[%Extensibility]]&gt;INDEX(Extmax,MATCH(Table36[[#This Row],[Grist]],SMI,0)),0,1))))</f>
        <v>1</v>
      </c>
      <c r="Z94" s="127">
        <f>IF(INDEX(Resmin,MATCH(Table36[[#This Row],[Grist]],SMI,0))="-","-",IF(Table36[[#This Row],[Resistance, max]]="-","-",IF(Table36[[#This Row],[Resistance, max]]&lt;INDEX(Resmin,MATCH(Table36[[#This Row],[Grist]],SMI,0)),0,IF(Table36[[#This Row],[Resistance, max]]&gt;INDEX(Resmax,MATCH(Table36[[#This Row],[Grist]],SMI,0)),0,1))))</f>
        <v>1</v>
      </c>
      <c r="AA94" s="127">
        <f>IF(INDEX(WGmin,MATCH(Table36[[#This Row],[Grist]],SMI,0))="-","-",IF(Table36[[#This Row],[%Wet Gluten]]="-","-",IF(Table36[[#This Row],[%Wet Gluten]]&lt;INDEX(WGmin,MATCH(Table36[[#This Row],[Grist]],SMI,0)),0,IF(Table36[[#This Row],[%Wet Gluten]]&gt;INDEX(WGmax,MATCH(Table36[[#This Row],[Grist]],SMI,0)),0,1))))</f>
        <v>1</v>
      </c>
      <c r="AB94" s="127">
        <f>SUM(Table36[[#This Row],[ QI Bran Content]:[QI WG]])</f>
        <v>9</v>
      </c>
      <c r="AC94" s="127">
        <f>COUNT(Table36[[#This Row],[ QI Bran Content]:[QI WG]])</f>
        <v>10</v>
      </c>
    </row>
    <row r="95" spans="1:29" x14ac:dyDescent="0.35">
      <c r="A95" s="177">
        <v>45292</v>
      </c>
      <c r="B95" s="178">
        <v>45306</v>
      </c>
      <c r="C95" s="178" t="s">
        <v>125</v>
      </c>
      <c r="D95" s="179" t="s">
        <v>240</v>
      </c>
      <c r="E95" s="180" t="s">
        <v>0</v>
      </c>
      <c r="F95" s="181" t="s">
        <v>27</v>
      </c>
      <c r="G95" s="182">
        <v>4.0000000000000001E-3</v>
      </c>
      <c r="H95" s="175" t="s">
        <v>165</v>
      </c>
      <c r="I95" s="175" t="s">
        <v>165</v>
      </c>
      <c r="J95" s="175" t="s">
        <v>165</v>
      </c>
      <c r="K95" s="175">
        <v>11.71</v>
      </c>
      <c r="L95" s="175" t="s">
        <v>163</v>
      </c>
      <c r="M95" s="175" t="s">
        <v>163</v>
      </c>
      <c r="N95" s="175" t="s">
        <v>163</v>
      </c>
      <c r="O95" s="175" t="s">
        <v>163</v>
      </c>
      <c r="P95" s="175" t="s">
        <v>163</v>
      </c>
      <c r="Q95" s="175" t="s">
        <v>163</v>
      </c>
      <c r="R95" s="127">
        <f>IF(Table36[[#This Row],[ Bran Content]]="-","-",IF(G95&lt;0.02,1,0))</f>
        <v>1</v>
      </c>
      <c r="S95" s="127">
        <f>IF(Table36[[#This Row],[Sieve Test]]="-","-",IF(Table36[[#This Row],[Sieve Test]]="P",1,0))</f>
        <v>1</v>
      </c>
      <c r="T95" s="127">
        <f>IF(Table36[[#This Row],[Odor]]="-","-",IF(Table36[[#This Row],[Odor]]="P",1,0))</f>
        <v>1</v>
      </c>
      <c r="U95" s="127">
        <f>IF(INDEX(MCmin,MATCH(Table36[[#This Row],[Grist]],SMI,0))="-","-",IF(Table36[[#This Row],[F1 %MC]]="-","-",IF(Table36[[#This Row],[F1 %MC]]&lt;INDEX(MCmin,MATCH(Table36[[#This Row],[Grist]],SMI,0)),0,IF(Table36[[#This Row],[F1 %MC]]&gt;INDEX(MCmax,MATCH(Table36[[#This Row],[Grist]],SMI,0)),0,1))))</f>
        <v>0</v>
      </c>
      <c r="V95" s="127" t="str">
        <f>IF(INDEX(Protmin,MATCH(Table36[[#This Row],[Grist]],SMI,0))="-","-",IF(Table36[[#This Row],[%Protein]]="-","-",IF(Table36[[#This Row],[%Protein]]&lt;INDEX(Protmin,MATCH(Table36[[#This Row],[Grist]],SMI,0)),0,IF(Table36[[#This Row],[%Protein]]&gt;INDEX(Protmax,MATCH(Table36[[#This Row],[Grist]],SMI,0)),0,1))))</f>
        <v>-</v>
      </c>
      <c r="W95" s="127" t="str">
        <f>IF(INDEX(Ashmin,MATCH(Table36[[#This Row],[Grist]],SMI,0))="-","-",IF(Table36[[#This Row],[%Ash]]="-","-",IF(Table36[[#This Row],[%Ash]]&lt;INDEX(Ashmin,MATCH(Table36[[#This Row],[Grist]],SMI,0)),0,IF(Table36[[#This Row],[%Ash]]&gt;INDEX(Ashmax,MATCH(Table36[[#This Row],[Grist]],SMI,0)),0,1))))</f>
        <v>-</v>
      </c>
      <c r="X95" s="127" t="str">
        <f>IF(INDEX(Absmin,MATCH(Table36[[#This Row],[Grist]],SMI,0))="-","-",IF(Table36[[#This Row],[%Absorption]]="-","-",IF(Table36[[#This Row],[%Absorption]]&lt;INDEX(Absmin,MATCH(Table36[[#This Row],[Grist]],SMI,0)),0,IF(Table36[[#This Row],[%Absorption]]&gt;INDEX(Absmax,MATCH(Table36[[#This Row],[Grist]],SMI,0)),0,1))))</f>
        <v>-</v>
      </c>
      <c r="Y95" s="127" t="str">
        <f>IF(INDEX(Extmin,MATCH(Table36[[#This Row],[Grist]],SMI,0))="-","-",IF(Table36[[#This Row],[%Extensibility]]="-","-",IF(Table36[[#This Row],[%Extensibility]]&lt;INDEX(Extmin,MATCH(Table36[[#This Row],[Grist]],SMI,0)),0,IF(Table36[[#This Row],[%Extensibility]]&gt;INDEX(Extmax,MATCH(Table36[[#This Row],[Grist]],SMI,0)),0,1))))</f>
        <v>-</v>
      </c>
      <c r="Z95" s="127" t="str">
        <f>IF(INDEX(Resmin,MATCH(Table36[[#This Row],[Grist]],SMI,0))="-","-",IF(Table36[[#This Row],[Resistance, max]]="-","-",IF(Table36[[#This Row],[Resistance, max]]&lt;INDEX(Resmin,MATCH(Table36[[#This Row],[Grist]],SMI,0)),0,IF(Table36[[#This Row],[Resistance, max]]&gt;INDEX(Resmax,MATCH(Table36[[#This Row],[Grist]],SMI,0)),0,1))))</f>
        <v>-</v>
      </c>
      <c r="AA95" s="127" t="str">
        <f>IF(INDEX(WGmin,MATCH(Table36[[#This Row],[Grist]],SMI,0))="-","-",IF(Table36[[#This Row],[%Wet Gluten]]="-","-",IF(Table36[[#This Row],[%Wet Gluten]]&lt;INDEX(WGmin,MATCH(Table36[[#This Row],[Grist]],SMI,0)),0,IF(Table36[[#This Row],[%Wet Gluten]]&gt;INDEX(WGmax,MATCH(Table36[[#This Row],[Grist]],SMI,0)),0,1))))</f>
        <v>-</v>
      </c>
      <c r="AB95" s="127">
        <f>SUM(Table36[[#This Row],[ QI Bran Content]:[QI WG]])</f>
        <v>3</v>
      </c>
      <c r="AC95" s="127">
        <f>COUNT(Table36[[#This Row],[ QI Bran Content]:[QI WG]])</f>
        <v>4</v>
      </c>
    </row>
    <row r="96" spans="1:29" x14ac:dyDescent="0.35">
      <c r="A96" s="177">
        <v>45292</v>
      </c>
      <c r="B96" s="178">
        <v>45306</v>
      </c>
      <c r="C96" s="178" t="s">
        <v>125</v>
      </c>
      <c r="D96" s="179" t="s">
        <v>237</v>
      </c>
      <c r="E96" s="180" t="s">
        <v>0</v>
      </c>
      <c r="F96" s="181" t="s">
        <v>27</v>
      </c>
      <c r="G96" s="182">
        <v>6.3E-3</v>
      </c>
      <c r="H96" s="175" t="s">
        <v>165</v>
      </c>
      <c r="I96" s="175" t="s">
        <v>165</v>
      </c>
      <c r="J96" s="175" t="s">
        <v>165</v>
      </c>
      <c r="K96" s="175">
        <v>11.61</v>
      </c>
      <c r="L96" s="175" t="s">
        <v>163</v>
      </c>
      <c r="M96" s="175" t="s">
        <v>163</v>
      </c>
      <c r="N96" s="175" t="s">
        <v>163</v>
      </c>
      <c r="O96" s="175" t="s">
        <v>163</v>
      </c>
      <c r="P96" s="175" t="s">
        <v>163</v>
      </c>
      <c r="Q96" s="175" t="s">
        <v>163</v>
      </c>
      <c r="R96" s="127">
        <f>IF(Table36[[#This Row],[ Bran Content]]="-","-",IF(G96&lt;0.02,1,0))</f>
        <v>1</v>
      </c>
      <c r="S96" s="127">
        <f>IF(Table36[[#This Row],[Sieve Test]]="-","-",IF(Table36[[#This Row],[Sieve Test]]="P",1,0))</f>
        <v>1</v>
      </c>
      <c r="T96" s="127">
        <f>IF(Table36[[#This Row],[Odor]]="-","-",IF(Table36[[#This Row],[Odor]]="P",1,0))</f>
        <v>1</v>
      </c>
      <c r="U96" s="127">
        <f>IF(INDEX(MCmin,MATCH(Table36[[#This Row],[Grist]],SMI,0))="-","-",IF(Table36[[#This Row],[F1 %MC]]="-","-",IF(Table36[[#This Row],[F1 %MC]]&lt;INDEX(MCmin,MATCH(Table36[[#This Row],[Grist]],SMI,0)),0,IF(Table36[[#This Row],[F1 %MC]]&gt;INDEX(MCmax,MATCH(Table36[[#This Row],[Grist]],SMI,0)),0,1))))</f>
        <v>0</v>
      </c>
      <c r="V96" s="127" t="str">
        <f>IF(INDEX(Protmin,MATCH(Table36[[#This Row],[Grist]],SMI,0))="-","-",IF(Table36[[#This Row],[%Protein]]="-","-",IF(Table36[[#This Row],[%Protein]]&lt;INDEX(Protmin,MATCH(Table36[[#This Row],[Grist]],SMI,0)),0,IF(Table36[[#This Row],[%Protein]]&gt;INDEX(Protmax,MATCH(Table36[[#This Row],[Grist]],SMI,0)),0,1))))</f>
        <v>-</v>
      </c>
      <c r="W96" s="127" t="str">
        <f>IF(INDEX(Ashmin,MATCH(Table36[[#This Row],[Grist]],SMI,0))="-","-",IF(Table36[[#This Row],[%Ash]]="-","-",IF(Table36[[#This Row],[%Ash]]&lt;INDEX(Ashmin,MATCH(Table36[[#This Row],[Grist]],SMI,0)),0,IF(Table36[[#This Row],[%Ash]]&gt;INDEX(Ashmax,MATCH(Table36[[#This Row],[Grist]],SMI,0)),0,1))))</f>
        <v>-</v>
      </c>
      <c r="X96" s="127" t="str">
        <f>IF(INDEX(Absmin,MATCH(Table36[[#This Row],[Grist]],SMI,0))="-","-",IF(Table36[[#This Row],[%Absorption]]="-","-",IF(Table36[[#This Row],[%Absorption]]&lt;INDEX(Absmin,MATCH(Table36[[#This Row],[Grist]],SMI,0)),0,IF(Table36[[#This Row],[%Absorption]]&gt;INDEX(Absmax,MATCH(Table36[[#This Row],[Grist]],SMI,0)),0,1))))</f>
        <v>-</v>
      </c>
      <c r="Y96" s="127" t="str">
        <f>IF(INDEX(Extmin,MATCH(Table36[[#This Row],[Grist]],SMI,0))="-","-",IF(Table36[[#This Row],[%Extensibility]]="-","-",IF(Table36[[#This Row],[%Extensibility]]&lt;INDEX(Extmin,MATCH(Table36[[#This Row],[Grist]],SMI,0)),0,IF(Table36[[#This Row],[%Extensibility]]&gt;INDEX(Extmax,MATCH(Table36[[#This Row],[Grist]],SMI,0)),0,1))))</f>
        <v>-</v>
      </c>
      <c r="Z96" s="127" t="str">
        <f>IF(INDEX(Resmin,MATCH(Table36[[#This Row],[Grist]],SMI,0))="-","-",IF(Table36[[#This Row],[Resistance, max]]="-","-",IF(Table36[[#This Row],[Resistance, max]]&lt;INDEX(Resmin,MATCH(Table36[[#This Row],[Grist]],SMI,0)),0,IF(Table36[[#This Row],[Resistance, max]]&gt;INDEX(Resmax,MATCH(Table36[[#This Row],[Grist]],SMI,0)),0,1))))</f>
        <v>-</v>
      </c>
      <c r="AA96" s="127" t="str">
        <f>IF(INDEX(WGmin,MATCH(Table36[[#This Row],[Grist]],SMI,0))="-","-",IF(Table36[[#This Row],[%Wet Gluten]]="-","-",IF(Table36[[#This Row],[%Wet Gluten]]&lt;INDEX(WGmin,MATCH(Table36[[#This Row],[Grist]],SMI,0)),0,IF(Table36[[#This Row],[%Wet Gluten]]&gt;INDEX(WGmax,MATCH(Table36[[#This Row],[Grist]],SMI,0)),0,1))))</f>
        <v>-</v>
      </c>
      <c r="AB96" s="127">
        <f>SUM(Table36[[#This Row],[ QI Bran Content]:[QI WG]])</f>
        <v>3</v>
      </c>
      <c r="AC96" s="127">
        <f>COUNT(Table36[[#This Row],[ QI Bran Content]:[QI WG]])</f>
        <v>4</v>
      </c>
    </row>
    <row r="97" spans="1:29" x14ac:dyDescent="0.35">
      <c r="A97" s="177">
        <v>45292</v>
      </c>
      <c r="B97" s="178">
        <v>45306</v>
      </c>
      <c r="C97" s="178" t="s">
        <v>125</v>
      </c>
      <c r="D97" s="179" t="s">
        <v>238</v>
      </c>
      <c r="E97" s="180" t="s">
        <v>0</v>
      </c>
      <c r="F97" s="181" t="s">
        <v>27</v>
      </c>
      <c r="G97" s="182">
        <v>5.4999999999999997E-3</v>
      </c>
      <c r="H97" s="175" t="s">
        <v>165</v>
      </c>
      <c r="I97" s="175" t="s">
        <v>165</v>
      </c>
      <c r="J97" s="175" t="s">
        <v>165</v>
      </c>
      <c r="K97" s="175">
        <v>11.86</v>
      </c>
      <c r="L97" s="175" t="s">
        <v>163</v>
      </c>
      <c r="M97" s="175" t="s">
        <v>163</v>
      </c>
      <c r="N97" s="175" t="s">
        <v>163</v>
      </c>
      <c r="O97" s="175" t="s">
        <v>163</v>
      </c>
      <c r="P97" s="175" t="s">
        <v>163</v>
      </c>
      <c r="Q97" s="175" t="s">
        <v>163</v>
      </c>
      <c r="R97" s="127">
        <f>IF(Table36[[#This Row],[ Bran Content]]="-","-",IF(G97&lt;0.02,1,0))</f>
        <v>1</v>
      </c>
      <c r="S97" s="127">
        <f>IF(Table36[[#This Row],[Sieve Test]]="-","-",IF(Table36[[#This Row],[Sieve Test]]="P",1,0))</f>
        <v>1</v>
      </c>
      <c r="T97" s="127">
        <f>IF(Table36[[#This Row],[Odor]]="-","-",IF(Table36[[#This Row],[Odor]]="P",1,0))</f>
        <v>1</v>
      </c>
      <c r="U97" s="127">
        <f>IF(INDEX(MCmin,MATCH(Table36[[#This Row],[Grist]],SMI,0))="-","-",IF(Table36[[#This Row],[F1 %MC]]="-","-",IF(Table36[[#This Row],[F1 %MC]]&lt;INDEX(MCmin,MATCH(Table36[[#This Row],[Grist]],SMI,0)),0,IF(Table36[[#This Row],[F1 %MC]]&gt;INDEX(MCmax,MATCH(Table36[[#This Row],[Grist]],SMI,0)),0,1))))</f>
        <v>0</v>
      </c>
      <c r="V97" s="127" t="str">
        <f>IF(INDEX(Protmin,MATCH(Table36[[#This Row],[Grist]],SMI,0))="-","-",IF(Table36[[#This Row],[%Protein]]="-","-",IF(Table36[[#This Row],[%Protein]]&lt;INDEX(Protmin,MATCH(Table36[[#This Row],[Grist]],SMI,0)),0,IF(Table36[[#This Row],[%Protein]]&gt;INDEX(Protmax,MATCH(Table36[[#This Row],[Grist]],SMI,0)),0,1))))</f>
        <v>-</v>
      </c>
      <c r="W97" s="127" t="str">
        <f>IF(INDEX(Ashmin,MATCH(Table36[[#This Row],[Grist]],SMI,0))="-","-",IF(Table36[[#This Row],[%Ash]]="-","-",IF(Table36[[#This Row],[%Ash]]&lt;INDEX(Ashmin,MATCH(Table36[[#This Row],[Grist]],SMI,0)),0,IF(Table36[[#This Row],[%Ash]]&gt;INDEX(Ashmax,MATCH(Table36[[#This Row],[Grist]],SMI,0)),0,1))))</f>
        <v>-</v>
      </c>
      <c r="X97" s="127" t="str">
        <f>IF(INDEX(Absmin,MATCH(Table36[[#This Row],[Grist]],SMI,0))="-","-",IF(Table36[[#This Row],[%Absorption]]="-","-",IF(Table36[[#This Row],[%Absorption]]&lt;INDEX(Absmin,MATCH(Table36[[#This Row],[Grist]],SMI,0)),0,IF(Table36[[#This Row],[%Absorption]]&gt;INDEX(Absmax,MATCH(Table36[[#This Row],[Grist]],SMI,0)),0,1))))</f>
        <v>-</v>
      </c>
      <c r="Y97" s="127" t="str">
        <f>IF(INDEX(Extmin,MATCH(Table36[[#This Row],[Grist]],SMI,0))="-","-",IF(Table36[[#This Row],[%Extensibility]]="-","-",IF(Table36[[#This Row],[%Extensibility]]&lt;INDEX(Extmin,MATCH(Table36[[#This Row],[Grist]],SMI,0)),0,IF(Table36[[#This Row],[%Extensibility]]&gt;INDEX(Extmax,MATCH(Table36[[#This Row],[Grist]],SMI,0)),0,1))))</f>
        <v>-</v>
      </c>
      <c r="Z97" s="127" t="str">
        <f>IF(INDEX(Resmin,MATCH(Table36[[#This Row],[Grist]],SMI,0))="-","-",IF(Table36[[#This Row],[Resistance, max]]="-","-",IF(Table36[[#This Row],[Resistance, max]]&lt;INDEX(Resmin,MATCH(Table36[[#This Row],[Grist]],SMI,0)),0,IF(Table36[[#This Row],[Resistance, max]]&gt;INDEX(Resmax,MATCH(Table36[[#This Row],[Grist]],SMI,0)),0,1))))</f>
        <v>-</v>
      </c>
      <c r="AA97" s="127" t="str">
        <f>IF(INDEX(WGmin,MATCH(Table36[[#This Row],[Grist]],SMI,0))="-","-",IF(Table36[[#This Row],[%Wet Gluten]]="-","-",IF(Table36[[#This Row],[%Wet Gluten]]&lt;INDEX(WGmin,MATCH(Table36[[#This Row],[Grist]],SMI,0)),0,IF(Table36[[#This Row],[%Wet Gluten]]&gt;INDEX(WGmax,MATCH(Table36[[#This Row],[Grist]],SMI,0)),0,1))))</f>
        <v>-</v>
      </c>
      <c r="AB97" s="127">
        <f>SUM(Table36[[#This Row],[ QI Bran Content]:[QI WG]])</f>
        <v>3</v>
      </c>
      <c r="AC97" s="127">
        <f>COUNT(Table36[[#This Row],[ QI Bran Content]:[QI WG]])</f>
        <v>4</v>
      </c>
    </row>
    <row r="98" spans="1:29" x14ac:dyDescent="0.35">
      <c r="A98" s="177">
        <v>45292</v>
      </c>
      <c r="B98" s="178">
        <v>45308</v>
      </c>
      <c r="C98" s="178" t="s">
        <v>125</v>
      </c>
      <c r="D98" s="179" t="s">
        <v>240</v>
      </c>
      <c r="E98" s="180" t="s">
        <v>0</v>
      </c>
      <c r="F98" s="181" t="s">
        <v>27</v>
      </c>
      <c r="G98" s="182">
        <v>1.0800000000000001E-2</v>
      </c>
      <c r="H98" s="175" t="s">
        <v>165</v>
      </c>
      <c r="I98" s="175" t="s">
        <v>165</v>
      </c>
      <c r="J98" s="175" t="s">
        <v>165</v>
      </c>
      <c r="K98" s="175">
        <v>11.37</v>
      </c>
      <c r="L98" s="175">
        <v>13.47</v>
      </c>
      <c r="M98" s="175">
        <v>0.62</v>
      </c>
      <c r="N98" s="175">
        <v>66.3</v>
      </c>
      <c r="O98" s="175">
        <v>21</v>
      </c>
      <c r="P98" s="175">
        <v>615</v>
      </c>
      <c r="Q98" s="175">
        <v>38.07</v>
      </c>
      <c r="R98" s="127">
        <f>IF(Table36[[#This Row],[ Bran Content]]="-","-",IF(G98&lt;0.02,1,0))</f>
        <v>1</v>
      </c>
      <c r="S98" s="127">
        <f>IF(Table36[[#This Row],[Sieve Test]]="-","-",IF(Table36[[#This Row],[Sieve Test]]="P",1,0))</f>
        <v>1</v>
      </c>
      <c r="T98" s="127">
        <f>IF(Table36[[#This Row],[Odor]]="-","-",IF(Table36[[#This Row],[Odor]]="P",1,0))</f>
        <v>1</v>
      </c>
      <c r="U98" s="127">
        <f>IF(INDEX(MCmin,MATCH(Table36[[#This Row],[Grist]],SMI,0))="-","-",IF(Table36[[#This Row],[F1 %MC]]="-","-",IF(Table36[[#This Row],[F1 %MC]]&lt;INDEX(MCmin,MATCH(Table36[[#This Row],[Grist]],SMI,0)),0,IF(Table36[[#This Row],[F1 %MC]]&gt;INDEX(MCmax,MATCH(Table36[[#This Row],[Grist]],SMI,0)),0,1))))</f>
        <v>0</v>
      </c>
      <c r="V98" s="127">
        <f>IF(INDEX(Protmin,MATCH(Table36[[#This Row],[Grist]],SMI,0))="-","-",IF(Table36[[#This Row],[%Protein]]="-","-",IF(Table36[[#This Row],[%Protein]]&lt;INDEX(Protmin,MATCH(Table36[[#This Row],[Grist]],SMI,0)),0,IF(Table36[[#This Row],[%Protein]]&gt;INDEX(Protmax,MATCH(Table36[[#This Row],[Grist]],SMI,0)),0,1))))</f>
        <v>1</v>
      </c>
      <c r="W98" s="127">
        <f>IF(INDEX(Ashmin,MATCH(Table36[[#This Row],[Grist]],SMI,0))="-","-",IF(Table36[[#This Row],[%Ash]]="-","-",IF(Table36[[#This Row],[%Ash]]&lt;INDEX(Ashmin,MATCH(Table36[[#This Row],[Grist]],SMI,0)),0,IF(Table36[[#This Row],[%Ash]]&gt;INDEX(Ashmax,MATCH(Table36[[#This Row],[Grist]],SMI,0)),0,1))))</f>
        <v>1</v>
      </c>
      <c r="X98" s="127">
        <f>IF(INDEX(Absmin,MATCH(Table36[[#This Row],[Grist]],SMI,0))="-","-",IF(Table36[[#This Row],[%Absorption]]="-","-",IF(Table36[[#This Row],[%Absorption]]&lt;INDEX(Absmin,MATCH(Table36[[#This Row],[Grist]],SMI,0)),0,IF(Table36[[#This Row],[%Absorption]]&gt;INDEX(Absmax,MATCH(Table36[[#This Row],[Grist]],SMI,0)),0,1))))</f>
        <v>1</v>
      </c>
      <c r="Y98" s="127">
        <f>IF(INDEX(Extmin,MATCH(Table36[[#This Row],[Grist]],SMI,0))="-","-",IF(Table36[[#This Row],[%Extensibility]]="-","-",IF(Table36[[#This Row],[%Extensibility]]&lt;INDEX(Extmin,MATCH(Table36[[#This Row],[Grist]],SMI,0)),0,IF(Table36[[#This Row],[%Extensibility]]&gt;INDEX(Extmax,MATCH(Table36[[#This Row],[Grist]],SMI,0)),0,1))))</f>
        <v>1</v>
      </c>
      <c r="Z98" s="127">
        <f>IF(INDEX(Resmin,MATCH(Table36[[#This Row],[Grist]],SMI,0))="-","-",IF(Table36[[#This Row],[Resistance, max]]="-","-",IF(Table36[[#This Row],[Resistance, max]]&lt;INDEX(Resmin,MATCH(Table36[[#This Row],[Grist]],SMI,0)),0,IF(Table36[[#This Row],[Resistance, max]]&gt;INDEX(Resmax,MATCH(Table36[[#This Row],[Grist]],SMI,0)),0,1))))</f>
        <v>1</v>
      </c>
      <c r="AA98" s="127">
        <f>IF(INDEX(WGmin,MATCH(Table36[[#This Row],[Grist]],SMI,0))="-","-",IF(Table36[[#This Row],[%Wet Gluten]]="-","-",IF(Table36[[#This Row],[%Wet Gluten]]&lt;INDEX(WGmin,MATCH(Table36[[#This Row],[Grist]],SMI,0)),0,IF(Table36[[#This Row],[%Wet Gluten]]&gt;INDEX(WGmax,MATCH(Table36[[#This Row],[Grist]],SMI,0)),0,1))))</f>
        <v>1</v>
      </c>
      <c r="AB98" s="127">
        <f>SUM(Table36[[#This Row],[ QI Bran Content]:[QI WG]])</f>
        <v>9</v>
      </c>
      <c r="AC98" s="127">
        <f>COUNT(Table36[[#This Row],[ QI Bran Content]:[QI WG]])</f>
        <v>10</v>
      </c>
    </row>
    <row r="99" spans="1:29" x14ac:dyDescent="0.35">
      <c r="A99" s="177">
        <v>45292</v>
      </c>
      <c r="B99" s="178">
        <v>45308</v>
      </c>
      <c r="C99" s="178" t="s">
        <v>125</v>
      </c>
      <c r="D99" s="179" t="s">
        <v>237</v>
      </c>
      <c r="E99" s="180" t="s">
        <v>0</v>
      </c>
      <c r="F99" s="181" t="s">
        <v>27</v>
      </c>
      <c r="G99" s="182">
        <v>6.7999999999999996E-3</v>
      </c>
      <c r="H99" s="175" t="s">
        <v>165</v>
      </c>
      <c r="I99" s="175" t="s">
        <v>165</v>
      </c>
      <c r="J99" s="175" t="s">
        <v>165</v>
      </c>
      <c r="K99" s="175">
        <v>11.61</v>
      </c>
      <c r="L99" s="175" t="s">
        <v>163</v>
      </c>
      <c r="M99" s="175" t="s">
        <v>163</v>
      </c>
      <c r="N99" s="175" t="s">
        <v>163</v>
      </c>
      <c r="O99" s="175" t="s">
        <v>163</v>
      </c>
      <c r="P99" s="175" t="s">
        <v>163</v>
      </c>
      <c r="Q99" s="175" t="s">
        <v>163</v>
      </c>
      <c r="R99" s="127">
        <f>IF(Table36[[#This Row],[ Bran Content]]="-","-",IF(G99&lt;0.02,1,0))</f>
        <v>1</v>
      </c>
      <c r="S99" s="127">
        <f>IF(Table36[[#This Row],[Sieve Test]]="-","-",IF(Table36[[#This Row],[Sieve Test]]="P",1,0))</f>
        <v>1</v>
      </c>
      <c r="T99" s="127">
        <f>IF(Table36[[#This Row],[Odor]]="-","-",IF(Table36[[#This Row],[Odor]]="P",1,0))</f>
        <v>1</v>
      </c>
      <c r="U99" s="127">
        <f>IF(INDEX(MCmin,MATCH(Table36[[#This Row],[Grist]],SMI,0))="-","-",IF(Table36[[#This Row],[F1 %MC]]="-","-",IF(Table36[[#This Row],[F1 %MC]]&lt;INDEX(MCmin,MATCH(Table36[[#This Row],[Grist]],SMI,0)),0,IF(Table36[[#This Row],[F1 %MC]]&gt;INDEX(MCmax,MATCH(Table36[[#This Row],[Grist]],SMI,0)),0,1))))</f>
        <v>0</v>
      </c>
      <c r="V99" s="127" t="str">
        <f>IF(INDEX(Protmin,MATCH(Table36[[#This Row],[Grist]],SMI,0))="-","-",IF(Table36[[#This Row],[%Protein]]="-","-",IF(Table36[[#This Row],[%Protein]]&lt;INDEX(Protmin,MATCH(Table36[[#This Row],[Grist]],SMI,0)),0,IF(Table36[[#This Row],[%Protein]]&gt;INDEX(Protmax,MATCH(Table36[[#This Row],[Grist]],SMI,0)),0,1))))</f>
        <v>-</v>
      </c>
      <c r="W99" s="127" t="str">
        <f>IF(INDEX(Ashmin,MATCH(Table36[[#This Row],[Grist]],SMI,0))="-","-",IF(Table36[[#This Row],[%Ash]]="-","-",IF(Table36[[#This Row],[%Ash]]&lt;INDEX(Ashmin,MATCH(Table36[[#This Row],[Grist]],SMI,0)),0,IF(Table36[[#This Row],[%Ash]]&gt;INDEX(Ashmax,MATCH(Table36[[#This Row],[Grist]],SMI,0)),0,1))))</f>
        <v>-</v>
      </c>
      <c r="X99" s="127" t="str">
        <f>IF(INDEX(Absmin,MATCH(Table36[[#This Row],[Grist]],SMI,0))="-","-",IF(Table36[[#This Row],[%Absorption]]="-","-",IF(Table36[[#This Row],[%Absorption]]&lt;INDEX(Absmin,MATCH(Table36[[#This Row],[Grist]],SMI,0)),0,IF(Table36[[#This Row],[%Absorption]]&gt;INDEX(Absmax,MATCH(Table36[[#This Row],[Grist]],SMI,0)),0,1))))</f>
        <v>-</v>
      </c>
      <c r="Y99" s="127" t="str">
        <f>IF(INDEX(Extmin,MATCH(Table36[[#This Row],[Grist]],SMI,0))="-","-",IF(Table36[[#This Row],[%Extensibility]]="-","-",IF(Table36[[#This Row],[%Extensibility]]&lt;INDEX(Extmin,MATCH(Table36[[#This Row],[Grist]],SMI,0)),0,IF(Table36[[#This Row],[%Extensibility]]&gt;INDEX(Extmax,MATCH(Table36[[#This Row],[Grist]],SMI,0)),0,1))))</f>
        <v>-</v>
      </c>
      <c r="Z99" s="127" t="str">
        <f>IF(INDEX(Resmin,MATCH(Table36[[#This Row],[Grist]],SMI,0))="-","-",IF(Table36[[#This Row],[Resistance, max]]="-","-",IF(Table36[[#This Row],[Resistance, max]]&lt;INDEX(Resmin,MATCH(Table36[[#This Row],[Grist]],SMI,0)),0,IF(Table36[[#This Row],[Resistance, max]]&gt;INDEX(Resmax,MATCH(Table36[[#This Row],[Grist]],SMI,0)),0,1))))</f>
        <v>-</v>
      </c>
      <c r="AA99" s="127" t="str">
        <f>IF(INDEX(WGmin,MATCH(Table36[[#This Row],[Grist]],SMI,0))="-","-",IF(Table36[[#This Row],[%Wet Gluten]]="-","-",IF(Table36[[#This Row],[%Wet Gluten]]&lt;INDEX(WGmin,MATCH(Table36[[#This Row],[Grist]],SMI,0)),0,IF(Table36[[#This Row],[%Wet Gluten]]&gt;INDEX(WGmax,MATCH(Table36[[#This Row],[Grist]],SMI,0)),0,1))))</f>
        <v>-</v>
      </c>
      <c r="AB99" s="127">
        <f>SUM(Table36[[#This Row],[ QI Bran Content]:[QI WG]])</f>
        <v>3</v>
      </c>
      <c r="AC99" s="127">
        <f>COUNT(Table36[[#This Row],[ QI Bran Content]:[QI WG]])</f>
        <v>4</v>
      </c>
    </row>
    <row r="100" spans="1:29" x14ac:dyDescent="0.35">
      <c r="A100" s="177">
        <v>45292</v>
      </c>
      <c r="B100" s="178">
        <v>45308</v>
      </c>
      <c r="C100" s="178" t="s">
        <v>125</v>
      </c>
      <c r="D100" s="179" t="s">
        <v>238</v>
      </c>
      <c r="E100" s="180" t="s">
        <v>0</v>
      </c>
      <c r="F100" s="181" t="s">
        <v>27</v>
      </c>
      <c r="G100" s="182">
        <v>3.5000000000000001E-3</v>
      </c>
      <c r="H100" s="175" t="s">
        <v>165</v>
      </c>
      <c r="I100" s="175" t="s">
        <v>165</v>
      </c>
      <c r="J100" s="175" t="s">
        <v>165</v>
      </c>
      <c r="K100" s="175">
        <v>11.86</v>
      </c>
      <c r="L100" s="175" t="s">
        <v>163</v>
      </c>
      <c r="M100" s="175" t="s">
        <v>163</v>
      </c>
      <c r="N100" s="175" t="s">
        <v>163</v>
      </c>
      <c r="O100" s="175" t="s">
        <v>163</v>
      </c>
      <c r="P100" s="175" t="s">
        <v>163</v>
      </c>
      <c r="Q100" s="175" t="s">
        <v>163</v>
      </c>
      <c r="R100" s="127">
        <f>IF(Table36[[#This Row],[ Bran Content]]="-","-",IF(G100&lt;0.02,1,0))</f>
        <v>1</v>
      </c>
      <c r="S100" s="127">
        <f>IF(Table36[[#This Row],[Sieve Test]]="-","-",IF(Table36[[#This Row],[Sieve Test]]="P",1,0))</f>
        <v>1</v>
      </c>
      <c r="T100" s="127">
        <f>IF(Table36[[#This Row],[Odor]]="-","-",IF(Table36[[#This Row],[Odor]]="P",1,0))</f>
        <v>1</v>
      </c>
      <c r="U100" s="127">
        <f>IF(INDEX(MCmin,MATCH(Table36[[#This Row],[Grist]],SMI,0))="-","-",IF(Table36[[#This Row],[F1 %MC]]="-","-",IF(Table36[[#This Row],[F1 %MC]]&lt;INDEX(MCmin,MATCH(Table36[[#This Row],[Grist]],SMI,0)),0,IF(Table36[[#This Row],[F1 %MC]]&gt;INDEX(MCmax,MATCH(Table36[[#This Row],[Grist]],SMI,0)),0,1))))</f>
        <v>0</v>
      </c>
      <c r="V100" s="127" t="str">
        <f>IF(INDEX(Protmin,MATCH(Table36[[#This Row],[Grist]],SMI,0))="-","-",IF(Table36[[#This Row],[%Protein]]="-","-",IF(Table36[[#This Row],[%Protein]]&lt;INDEX(Protmin,MATCH(Table36[[#This Row],[Grist]],SMI,0)),0,IF(Table36[[#This Row],[%Protein]]&gt;INDEX(Protmax,MATCH(Table36[[#This Row],[Grist]],SMI,0)),0,1))))</f>
        <v>-</v>
      </c>
      <c r="W100" s="127" t="str">
        <f>IF(INDEX(Ashmin,MATCH(Table36[[#This Row],[Grist]],SMI,0))="-","-",IF(Table36[[#This Row],[%Ash]]="-","-",IF(Table36[[#This Row],[%Ash]]&lt;INDEX(Ashmin,MATCH(Table36[[#This Row],[Grist]],SMI,0)),0,IF(Table36[[#This Row],[%Ash]]&gt;INDEX(Ashmax,MATCH(Table36[[#This Row],[Grist]],SMI,0)),0,1))))</f>
        <v>-</v>
      </c>
      <c r="X100" s="127" t="str">
        <f>IF(INDEX(Absmin,MATCH(Table36[[#This Row],[Grist]],SMI,0))="-","-",IF(Table36[[#This Row],[%Absorption]]="-","-",IF(Table36[[#This Row],[%Absorption]]&lt;INDEX(Absmin,MATCH(Table36[[#This Row],[Grist]],SMI,0)),0,IF(Table36[[#This Row],[%Absorption]]&gt;INDEX(Absmax,MATCH(Table36[[#This Row],[Grist]],SMI,0)),0,1))))</f>
        <v>-</v>
      </c>
      <c r="Y100" s="127" t="str">
        <f>IF(INDEX(Extmin,MATCH(Table36[[#This Row],[Grist]],SMI,0))="-","-",IF(Table36[[#This Row],[%Extensibility]]="-","-",IF(Table36[[#This Row],[%Extensibility]]&lt;INDEX(Extmin,MATCH(Table36[[#This Row],[Grist]],SMI,0)),0,IF(Table36[[#This Row],[%Extensibility]]&gt;INDEX(Extmax,MATCH(Table36[[#This Row],[Grist]],SMI,0)),0,1))))</f>
        <v>-</v>
      </c>
      <c r="Z100" s="127" t="str">
        <f>IF(INDEX(Resmin,MATCH(Table36[[#This Row],[Grist]],SMI,0))="-","-",IF(Table36[[#This Row],[Resistance, max]]="-","-",IF(Table36[[#This Row],[Resistance, max]]&lt;INDEX(Resmin,MATCH(Table36[[#This Row],[Grist]],SMI,0)),0,IF(Table36[[#This Row],[Resistance, max]]&gt;INDEX(Resmax,MATCH(Table36[[#This Row],[Grist]],SMI,0)),0,1))))</f>
        <v>-</v>
      </c>
      <c r="AA100" s="127" t="str">
        <f>IF(INDEX(WGmin,MATCH(Table36[[#This Row],[Grist]],SMI,0))="-","-",IF(Table36[[#This Row],[%Wet Gluten]]="-","-",IF(Table36[[#This Row],[%Wet Gluten]]&lt;INDEX(WGmin,MATCH(Table36[[#This Row],[Grist]],SMI,0)),0,IF(Table36[[#This Row],[%Wet Gluten]]&gt;INDEX(WGmax,MATCH(Table36[[#This Row],[Grist]],SMI,0)),0,1))))</f>
        <v>-</v>
      </c>
      <c r="AB100" s="127">
        <f>SUM(Table36[[#This Row],[ QI Bran Content]:[QI WG]])</f>
        <v>3</v>
      </c>
      <c r="AC100" s="127">
        <f>COUNT(Table36[[#This Row],[ QI Bran Content]:[QI WG]])</f>
        <v>4</v>
      </c>
    </row>
    <row r="101" spans="1:29" x14ac:dyDescent="0.35">
      <c r="A101" s="177">
        <v>45292</v>
      </c>
      <c r="B101" s="178">
        <v>45309</v>
      </c>
      <c r="C101" s="178" t="s">
        <v>128</v>
      </c>
      <c r="D101" s="179">
        <v>0.95833333333333337</v>
      </c>
      <c r="E101" s="180" t="s">
        <v>0</v>
      </c>
      <c r="F101" s="181" t="s">
        <v>27</v>
      </c>
      <c r="G101" s="182">
        <v>1.9699999999999999E-2</v>
      </c>
      <c r="H101" s="175" t="s">
        <v>165</v>
      </c>
      <c r="I101" s="175" t="s">
        <v>165</v>
      </c>
      <c r="J101" s="175" t="s">
        <v>165</v>
      </c>
      <c r="K101" s="175">
        <v>11.69</v>
      </c>
      <c r="L101" s="175">
        <v>12.89</v>
      </c>
      <c r="M101" s="175">
        <v>0.6</v>
      </c>
      <c r="N101" s="175" t="s">
        <v>163</v>
      </c>
      <c r="O101" s="175" t="s">
        <v>163</v>
      </c>
      <c r="P101" s="175" t="s">
        <v>163</v>
      </c>
      <c r="Q101" s="175">
        <v>36.229999999999997</v>
      </c>
      <c r="R101" s="127">
        <f>IF(Table36[[#This Row],[ Bran Content]]="-","-",IF(G101&lt;0.02,1,0))</f>
        <v>1</v>
      </c>
      <c r="S101" s="127">
        <f>IF(Table36[[#This Row],[Sieve Test]]="-","-",IF(Table36[[#This Row],[Sieve Test]]="P",1,0))</f>
        <v>1</v>
      </c>
      <c r="T101" s="127">
        <f>IF(Table36[[#This Row],[Odor]]="-","-",IF(Table36[[#This Row],[Odor]]="P",1,0))</f>
        <v>1</v>
      </c>
      <c r="U101" s="127">
        <f>IF(INDEX(MCmin,MATCH(Table36[[#This Row],[Grist]],SMI,0))="-","-",IF(Table36[[#This Row],[F1 %MC]]="-","-",IF(Table36[[#This Row],[F1 %MC]]&lt;INDEX(MCmin,MATCH(Table36[[#This Row],[Grist]],SMI,0)),0,IF(Table36[[#This Row],[F1 %MC]]&gt;INDEX(MCmax,MATCH(Table36[[#This Row],[Grist]],SMI,0)),0,1))))</f>
        <v>0</v>
      </c>
      <c r="V101" s="127">
        <f>IF(INDEX(Protmin,MATCH(Table36[[#This Row],[Grist]],SMI,0))="-","-",IF(Table36[[#This Row],[%Protein]]="-","-",IF(Table36[[#This Row],[%Protein]]&lt;INDEX(Protmin,MATCH(Table36[[#This Row],[Grist]],SMI,0)),0,IF(Table36[[#This Row],[%Protein]]&gt;INDEX(Protmax,MATCH(Table36[[#This Row],[Grist]],SMI,0)),0,1))))</f>
        <v>1</v>
      </c>
      <c r="W101" s="127">
        <f>IF(INDEX(Ashmin,MATCH(Table36[[#This Row],[Grist]],SMI,0))="-","-",IF(Table36[[#This Row],[%Ash]]="-","-",IF(Table36[[#This Row],[%Ash]]&lt;INDEX(Ashmin,MATCH(Table36[[#This Row],[Grist]],SMI,0)),0,IF(Table36[[#This Row],[%Ash]]&gt;INDEX(Ashmax,MATCH(Table36[[#This Row],[Grist]],SMI,0)),0,1))))</f>
        <v>1</v>
      </c>
      <c r="X101" s="127" t="str">
        <f>IF(INDEX(Absmin,MATCH(Table36[[#This Row],[Grist]],SMI,0))="-","-",IF(Table36[[#This Row],[%Absorption]]="-","-",IF(Table36[[#This Row],[%Absorption]]&lt;INDEX(Absmin,MATCH(Table36[[#This Row],[Grist]],SMI,0)),0,IF(Table36[[#This Row],[%Absorption]]&gt;INDEX(Absmax,MATCH(Table36[[#This Row],[Grist]],SMI,0)),0,1))))</f>
        <v>-</v>
      </c>
      <c r="Y101" s="127" t="str">
        <f>IF(INDEX(Extmin,MATCH(Table36[[#This Row],[Grist]],SMI,0))="-","-",IF(Table36[[#This Row],[%Extensibility]]="-","-",IF(Table36[[#This Row],[%Extensibility]]&lt;INDEX(Extmin,MATCH(Table36[[#This Row],[Grist]],SMI,0)),0,IF(Table36[[#This Row],[%Extensibility]]&gt;INDEX(Extmax,MATCH(Table36[[#This Row],[Grist]],SMI,0)),0,1))))</f>
        <v>-</v>
      </c>
      <c r="Z101" s="127" t="str">
        <f>IF(INDEX(Resmin,MATCH(Table36[[#This Row],[Grist]],SMI,0))="-","-",IF(Table36[[#This Row],[Resistance, max]]="-","-",IF(Table36[[#This Row],[Resistance, max]]&lt;INDEX(Resmin,MATCH(Table36[[#This Row],[Grist]],SMI,0)),0,IF(Table36[[#This Row],[Resistance, max]]&gt;INDEX(Resmax,MATCH(Table36[[#This Row],[Grist]],SMI,0)),0,1))))</f>
        <v>-</v>
      </c>
      <c r="AA101" s="127">
        <f>IF(INDEX(WGmin,MATCH(Table36[[#This Row],[Grist]],SMI,0))="-","-",IF(Table36[[#This Row],[%Wet Gluten]]="-","-",IF(Table36[[#This Row],[%Wet Gluten]]&lt;INDEX(WGmin,MATCH(Table36[[#This Row],[Grist]],SMI,0)),0,IF(Table36[[#This Row],[%Wet Gluten]]&gt;INDEX(WGmax,MATCH(Table36[[#This Row],[Grist]],SMI,0)),0,1))))</f>
        <v>1</v>
      </c>
      <c r="AB101" s="127">
        <f>SUM(Table36[[#This Row],[ QI Bran Content]:[QI WG]])</f>
        <v>6</v>
      </c>
      <c r="AC101" s="127">
        <f>COUNT(Table36[[#This Row],[ QI Bran Content]:[QI WG]])</f>
        <v>7</v>
      </c>
    </row>
    <row r="102" spans="1:29" x14ac:dyDescent="0.35">
      <c r="A102" s="177">
        <v>45292</v>
      </c>
      <c r="B102" s="178">
        <v>45309</v>
      </c>
      <c r="C102" s="178" t="s">
        <v>130</v>
      </c>
      <c r="D102" s="179">
        <v>1.2083333333333299</v>
      </c>
      <c r="E102" s="180" t="s">
        <v>0</v>
      </c>
      <c r="F102" s="181" t="s">
        <v>27</v>
      </c>
      <c r="G102" s="182">
        <v>1.6500000000000001E-2</v>
      </c>
      <c r="H102" s="175" t="s">
        <v>165</v>
      </c>
      <c r="I102" s="175" t="s">
        <v>165</v>
      </c>
      <c r="J102" s="175" t="s">
        <v>165</v>
      </c>
      <c r="K102" s="175">
        <v>12.5</v>
      </c>
      <c r="L102" s="175" t="s">
        <v>163</v>
      </c>
      <c r="M102" s="175" t="s">
        <v>163</v>
      </c>
      <c r="N102" s="175" t="s">
        <v>163</v>
      </c>
      <c r="O102" s="175" t="s">
        <v>163</v>
      </c>
      <c r="P102" s="175" t="s">
        <v>163</v>
      </c>
      <c r="Q102" s="175" t="s">
        <v>163</v>
      </c>
      <c r="R102" s="127">
        <f>IF(Table36[[#This Row],[ Bran Content]]="-","-",IF(G102&lt;0.02,1,0))</f>
        <v>1</v>
      </c>
      <c r="S102" s="127">
        <f>IF(Table36[[#This Row],[Sieve Test]]="-","-",IF(Table36[[#This Row],[Sieve Test]]="P",1,0))</f>
        <v>1</v>
      </c>
      <c r="T102" s="127">
        <f>IF(Table36[[#This Row],[Odor]]="-","-",IF(Table36[[#This Row],[Odor]]="P",1,0))</f>
        <v>1</v>
      </c>
      <c r="U102" s="127">
        <f>IF(INDEX(MCmin,MATCH(Table36[[#This Row],[Grist]],SMI,0))="-","-",IF(Table36[[#This Row],[F1 %MC]]="-","-",IF(Table36[[#This Row],[F1 %MC]]&lt;INDEX(MCmin,MATCH(Table36[[#This Row],[Grist]],SMI,0)),0,IF(Table36[[#This Row],[F1 %MC]]&gt;INDEX(MCmax,MATCH(Table36[[#This Row],[Grist]],SMI,0)),0,1))))</f>
        <v>1</v>
      </c>
      <c r="V102" s="127" t="str">
        <f>IF(INDEX(Protmin,MATCH(Table36[[#This Row],[Grist]],SMI,0))="-","-",IF(Table36[[#This Row],[%Protein]]="-","-",IF(Table36[[#This Row],[%Protein]]&lt;INDEX(Protmin,MATCH(Table36[[#This Row],[Grist]],SMI,0)),0,IF(Table36[[#This Row],[%Protein]]&gt;INDEX(Protmax,MATCH(Table36[[#This Row],[Grist]],SMI,0)),0,1))))</f>
        <v>-</v>
      </c>
      <c r="W102" s="127" t="str">
        <f>IF(INDEX(Ashmin,MATCH(Table36[[#This Row],[Grist]],SMI,0))="-","-",IF(Table36[[#This Row],[%Ash]]="-","-",IF(Table36[[#This Row],[%Ash]]&lt;INDEX(Ashmin,MATCH(Table36[[#This Row],[Grist]],SMI,0)),0,IF(Table36[[#This Row],[%Ash]]&gt;INDEX(Ashmax,MATCH(Table36[[#This Row],[Grist]],SMI,0)),0,1))))</f>
        <v>-</v>
      </c>
      <c r="X102" s="127" t="str">
        <f>IF(INDEX(Absmin,MATCH(Table36[[#This Row],[Grist]],SMI,0))="-","-",IF(Table36[[#This Row],[%Absorption]]="-","-",IF(Table36[[#This Row],[%Absorption]]&lt;INDEX(Absmin,MATCH(Table36[[#This Row],[Grist]],SMI,0)),0,IF(Table36[[#This Row],[%Absorption]]&gt;INDEX(Absmax,MATCH(Table36[[#This Row],[Grist]],SMI,0)),0,1))))</f>
        <v>-</v>
      </c>
      <c r="Y102" s="127" t="str">
        <f>IF(INDEX(Extmin,MATCH(Table36[[#This Row],[Grist]],SMI,0))="-","-",IF(Table36[[#This Row],[%Extensibility]]="-","-",IF(Table36[[#This Row],[%Extensibility]]&lt;INDEX(Extmin,MATCH(Table36[[#This Row],[Grist]],SMI,0)),0,IF(Table36[[#This Row],[%Extensibility]]&gt;INDEX(Extmax,MATCH(Table36[[#This Row],[Grist]],SMI,0)),0,1))))</f>
        <v>-</v>
      </c>
      <c r="Z102" s="127" t="str">
        <f>IF(INDEX(Resmin,MATCH(Table36[[#This Row],[Grist]],SMI,0))="-","-",IF(Table36[[#This Row],[Resistance, max]]="-","-",IF(Table36[[#This Row],[Resistance, max]]&lt;INDEX(Resmin,MATCH(Table36[[#This Row],[Grist]],SMI,0)),0,IF(Table36[[#This Row],[Resistance, max]]&gt;INDEX(Resmax,MATCH(Table36[[#This Row],[Grist]],SMI,0)),0,1))))</f>
        <v>-</v>
      </c>
      <c r="AA102" s="127" t="str">
        <f>IF(INDEX(WGmin,MATCH(Table36[[#This Row],[Grist]],SMI,0))="-","-",IF(Table36[[#This Row],[%Wet Gluten]]="-","-",IF(Table36[[#This Row],[%Wet Gluten]]&lt;INDEX(WGmin,MATCH(Table36[[#This Row],[Grist]],SMI,0)),0,IF(Table36[[#This Row],[%Wet Gluten]]&gt;INDEX(WGmax,MATCH(Table36[[#This Row],[Grist]],SMI,0)),0,1))))</f>
        <v>-</v>
      </c>
      <c r="AB102" s="127">
        <f>SUM(Table36[[#This Row],[ QI Bran Content]:[QI WG]])</f>
        <v>4</v>
      </c>
      <c r="AC102" s="127">
        <f>COUNT(Table36[[#This Row],[ QI Bran Content]:[QI WG]])</f>
        <v>4</v>
      </c>
    </row>
    <row r="103" spans="1:29" x14ac:dyDescent="0.35">
      <c r="A103" s="177">
        <v>45292</v>
      </c>
      <c r="B103" s="178">
        <v>45310</v>
      </c>
      <c r="C103" s="178" t="s">
        <v>128</v>
      </c>
      <c r="D103" s="179">
        <v>0.66666666666666696</v>
      </c>
      <c r="E103" s="180" t="s">
        <v>0</v>
      </c>
      <c r="F103" s="181" t="s">
        <v>19</v>
      </c>
      <c r="G103" s="182">
        <v>9.4000000000000004E-3</v>
      </c>
      <c r="H103" s="175" t="s">
        <v>165</v>
      </c>
      <c r="I103" s="175" t="s">
        <v>165</v>
      </c>
      <c r="J103" s="175" t="s">
        <v>165</v>
      </c>
      <c r="K103" s="175">
        <v>12.25</v>
      </c>
      <c r="L103" s="175" t="s">
        <v>163</v>
      </c>
      <c r="M103" s="175" t="s">
        <v>163</v>
      </c>
      <c r="N103" s="175" t="s">
        <v>163</v>
      </c>
      <c r="O103" s="175" t="s">
        <v>163</v>
      </c>
      <c r="P103" s="175" t="s">
        <v>163</v>
      </c>
      <c r="Q103" s="175" t="s">
        <v>163</v>
      </c>
      <c r="R103" s="127">
        <f>IF(Table36[[#This Row],[ Bran Content]]="-","-",IF(G103&lt;0.02,1,0))</f>
        <v>1</v>
      </c>
      <c r="S103" s="127">
        <f>IF(Table36[[#This Row],[Sieve Test]]="-","-",IF(Table36[[#This Row],[Sieve Test]]="P",1,0))</f>
        <v>1</v>
      </c>
      <c r="T103" s="127">
        <f>IF(Table36[[#This Row],[Odor]]="-","-",IF(Table36[[#This Row],[Odor]]="P",1,0))</f>
        <v>1</v>
      </c>
      <c r="U103" s="127">
        <f>IF(INDEX(MCmin,MATCH(Table36[[#This Row],[Grist]],SMI,0))="-","-",IF(Table36[[#This Row],[F1 %MC]]="-","-",IF(Table36[[#This Row],[F1 %MC]]&lt;INDEX(MCmin,MATCH(Table36[[#This Row],[Grist]],SMI,0)),0,IF(Table36[[#This Row],[F1 %MC]]&gt;INDEX(MCmax,MATCH(Table36[[#This Row],[Grist]],SMI,0)),0,1))))</f>
        <v>1</v>
      </c>
      <c r="V103" s="127" t="str">
        <f>IF(INDEX(Protmin,MATCH(Table36[[#This Row],[Grist]],SMI,0))="-","-",IF(Table36[[#This Row],[%Protein]]="-","-",IF(Table36[[#This Row],[%Protein]]&lt;INDEX(Protmin,MATCH(Table36[[#This Row],[Grist]],SMI,0)),0,IF(Table36[[#This Row],[%Protein]]&gt;INDEX(Protmax,MATCH(Table36[[#This Row],[Grist]],SMI,0)),0,1))))</f>
        <v>-</v>
      </c>
      <c r="W103" s="127" t="str">
        <f>IF(INDEX(Ashmin,MATCH(Table36[[#This Row],[Grist]],SMI,0))="-","-",IF(Table36[[#This Row],[%Ash]]="-","-",IF(Table36[[#This Row],[%Ash]]&lt;INDEX(Ashmin,MATCH(Table36[[#This Row],[Grist]],SMI,0)),0,IF(Table36[[#This Row],[%Ash]]&gt;INDEX(Ashmax,MATCH(Table36[[#This Row],[Grist]],SMI,0)),0,1))))</f>
        <v>-</v>
      </c>
      <c r="X103" s="127" t="str">
        <f>IF(INDEX(Absmin,MATCH(Table36[[#This Row],[Grist]],SMI,0))="-","-",IF(Table36[[#This Row],[%Absorption]]="-","-",IF(Table36[[#This Row],[%Absorption]]&lt;INDEX(Absmin,MATCH(Table36[[#This Row],[Grist]],SMI,0)),0,IF(Table36[[#This Row],[%Absorption]]&gt;INDEX(Absmax,MATCH(Table36[[#This Row],[Grist]],SMI,0)),0,1))))</f>
        <v>-</v>
      </c>
      <c r="Y103" s="127" t="str">
        <f>IF(INDEX(Extmin,MATCH(Table36[[#This Row],[Grist]],SMI,0))="-","-",IF(Table36[[#This Row],[%Extensibility]]="-","-",IF(Table36[[#This Row],[%Extensibility]]&lt;INDEX(Extmin,MATCH(Table36[[#This Row],[Grist]],SMI,0)),0,IF(Table36[[#This Row],[%Extensibility]]&gt;INDEX(Extmax,MATCH(Table36[[#This Row],[Grist]],SMI,0)),0,1))))</f>
        <v>-</v>
      </c>
      <c r="Z103" s="127" t="str">
        <f>IF(INDEX(Resmin,MATCH(Table36[[#This Row],[Grist]],SMI,0))="-","-",IF(Table36[[#This Row],[Resistance, max]]="-","-",IF(Table36[[#This Row],[Resistance, max]]&lt;INDEX(Resmin,MATCH(Table36[[#This Row],[Grist]],SMI,0)),0,IF(Table36[[#This Row],[Resistance, max]]&gt;INDEX(Resmax,MATCH(Table36[[#This Row],[Grist]],SMI,0)),0,1))))</f>
        <v>-</v>
      </c>
      <c r="AA103" s="127" t="str">
        <f>IF(INDEX(WGmin,MATCH(Table36[[#This Row],[Grist]],SMI,0))="-","-",IF(Table36[[#This Row],[%Wet Gluten]]="-","-",IF(Table36[[#This Row],[%Wet Gluten]]&lt;INDEX(WGmin,MATCH(Table36[[#This Row],[Grist]],SMI,0)),0,IF(Table36[[#This Row],[%Wet Gluten]]&gt;INDEX(WGmax,MATCH(Table36[[#This Row],[Grist]],SMI,0)),0,1))))</f>
        <v>-</v>
      </c>
      <c r="AB103" s="127">
        <f>SUM(Table36[[#This Row],[ QI Bran Content]:[QI WG]])</f>
        <v>4</v>
      </c>
      <c r="AC103" s="127">
        <f>COUNT(Table36[[#This Row],[ QI Bran Content]:[QI WG]])</f>
        <v>4</v>
      </c>
    </row>
    <row r="104" spans="1:29" x14ac:dyDescent="0.35">
      <c r="A104" s="177">
        <v>45292</v>
      </c>
      <c r="B104" s="178">
        <v>45310</v>
      </c>
      <c r="C104" s="178" t="s">
        <v>128</v>
      </c>
      <c r="D104" s="179">
        <v>0.70833333333333304</v>
      </c>
      <c r="E104" s="180" t="s">
        <v>0</v>
      </c>
      <c r="F104" s="181" t="s">
        <v>19</v>
      </c>
      <c r="G104" s="182">
        <v>9.4999999999999998E-3</v>
      </c>
      <c r="H104" s="175" t="s">
        <v>165</v>
      </c>
      <c r="I104" s="175" t="s">
        <v>165</v>
      </c>
      <c r="J104" s="175" t="s">
        <v>165</v>
      </c>
      <c r="K104" s="175">
        <v>11.83</v>
      </c>
      <c r="L104" s="175" t="s">
        <v>163</v>
      </c>
      <c r="M104" s="175" t="s">
        <v>163</v>
      </c>
      <c r="N104" s="175" t="s">
        <v>163</v>
      </c>
      <c r="O104" s="175" t="s">
        <v>163</v>
      </c>
      <c r="P104" s="175" t="s">
        <v>163</v>
      </c>
      <c r="Q104" s="175" t="s">
        <v>163</v>
      </c>
      <c r="R104" s="127">
        <f>IF(Table36[[#This Row],[ Bran Content]]="-","-",IF(G104&lt;0.02,1,0))</f>
        <v>1</v>
      </c>
      <c r="S104" s="127">
        <f>IF(Table36[[#This Row],[Sieve Test]]="-","-",IF(Table36[[#This Row],[Sieve Test]]="P",1,0))</f>
        <v>1</v>
      </c>
      <c r="T104" s="127">
        <f>IF(Table36[[#This Row],[Odor]]="-","-",IF(Table36[[#This Row],[Odor]]="P",1,0))</f>
        <v>1</v>
      </c>
      <c r="U104" s="127">
        <f>IF(INDEX(MCmin,MATCH(Table36[[#This Row],[Grist]],SMI,0))="-","-",IF(Table36[[#This Row],[F1 %MC]]="-","-",IF(Table36[[#This Row],[F1 %MC]]&lt;INDEX(MCmin,MATCH(Table36[[#This Row],[Grist]],SMI,0)),0,IF(Table36[[#This Row],[F1 %MC]]&gt;INDEX(MCmax,MATCH(Table36[[#This Row],[Grist]],SMI,0)),0,1))))</f>
        <v>1</v>
      </c>
      <c r="V104" s="127" t="str">
        <f>IF(INDEX(Protmin,MATCH(Table36[[#This Row],[Grist]],SMI,0))="-","-",IF(Table36[[#This Row],[%Protein]]="-","-",IF(Table36[[#This Row],[%Protein]]&lt;INDEX(Protmin,MATCH(Table36[[#This Row],[Grist]],SMI,0)),0,IF(Table36[[#This Row],[%Protein]]&gt;INDEX(Protmax,MATCH(Table36[[#This Row],[Grist]],SMI,0)),0,1))))</f>
        <v>-</v>
      </c>
      <c r="W104" s="127" t="str">
        <f>IF(INDEX(Ashmin,MATCH(Table36[[#This Row],[Grist]],SMI,0))="-","-",IF(Table36[[#This Row],[%Ash]]="-","-",IF(Table36[[#This Row],[%Ash]]&lt;INDEX(Ashmin,MATCH(Table36[[#This Row],[Grist]],SMI,0)),0,IF(Table36[[#This Row],[%Ash]]&gt;INDEX(Ashmax,MATCH(Table36[[#This Row],[Grist]],SMI,0)),0,1))))</f>
        <v>-</v>
      </c>
      <c r="X104" s="127" t="str">
        <f>IF(INDEX(Absmin,MATCH(Table36[[#This Row],[Grist]],SMI,0))="-","-",IF(Table36[[#This Row],[%Absorption]]="-","-",IF(Table36[[#This Row],[%Absorption]]&lt;INDEX(Absmin,MATCH(Table36[[#This Row],[Grist]],SMI,0)),0,IF(Table36[[#This Row],[%Absorption]]&gt;INDEX(Absmax,MATCH(Table36[[#This Row],[Grist]],SMI,0)),0,1))))</f>
        <v>-</v>
      </c>
      <c r="Y104" s="127" t="str">
        <f>IF(INDEX(Extmin,MATCH(Table36[[#This Row],[Grist]],SMI,0))="-","-",IF(Table36[[#This Row],[%Extensibility]]="-","-",IF(Table36[[#This Row],[%Extensibility]]&lt;INDEX(Extmin,MATCH(Table36[[#This Row],[Grist]],SMI,0)),0,IF(Table36[[#This Row],[%Extensibility]]&gt;INDEX(Extmax,MATCH(Table36[[#This Row],[Grist]],SMI,0)),0,1))))</f>
        <v>-</v>
      </c>
      <c r="Z104" s="127" t="str">
        <f>IF(INDEX(Resmin,MATCH(Table36[[#This Row],[Grist]],SMI,0))="-","-",IF(Table36[[#This Row],[Resistance, max]]="-","-",IF(Table36[[#This Row],[Resistance, max]]&lt;INDEX(Resmin,MATCH(Table36[[#This Row],[Grist]],SMI,0)),0,IF(Table36[[#This Row],[Resistance, max]]&gt;INDEX(Resmax,MATCH(Table36[[#This Row],[Grist]],SMI,0)),0,1))))</f>
        <v>-</v>
      </c>
      <c r="AA104" s="127" t="str">
        <f>IF(INDEX(WGmin,MATCH(Table36[[#This Row],[Grist]],SMI,0))="-","-",IF(Table36[[#This Row],[%Wet Gluten]]="-","-",IF(Table36[[#This Row],[%Wet Gluten]]&lt;INDEX(WGmin,MATCH(Table36[[#This Row],[Grist]],SMI,0)),0,IF(Table36[[#This Row],[%Wet Gluten]]&gt;INDEX(WGmax,MATCH(Table36[[#This Row],[Grist]],SMI,0)),0,1))))</f>
        <v>-</v>
      </c>
      <c r="AB104" s="127">
        <f>SUM(Table36[[#This Row],[ QI Bran Content]:[QI WG]])</f>
        <v>4</v>
      </c>
      <c r="AC104" s="127">
        <f>COUNT(Table36[[#This Row],[ QI Bran Content]:[QI WG]])</f>
        <v>4</v>
      </c>
    </row>
    <row r="105" spans="1:29" x14ac:dyDescent="0.35">
      <c r="A105" s="177">
        <v>45292</v>
      </c>
      <c r="B105" s="178">
        <v>45310</v>
      </c>
      <c r="C105" s="178" t="s">
        <v>128</v>
      </c>
      <c r="D105" s="179">
        <v>0.874999999999999</v>
      </c>
      <c r="E105" s="180" t="s">
        <v>0</v>
      </c>
      <c r="F105" s="181" t="s">
        <v>40</v>
      </c>
      <c r="G105" s="182">
        <v>1.6500000000000001E-2</v>
      </c>
      <c r="H105" s="175" t="s">
        <v>165</v>
      </c>
      <c r="I105" s="175" t="s">
        <v>165</v>
      </c>
      <c r="J105" s="175" t="s">
        <v>165</v>
      </c>
      <c r="K105" s="175">
        <v>12.5</v>
      </c>
      <c r="L105" s="175" t="s">
        <v>163</v>
      </c>
      <c r="M105" s="175" t="s">
        <v>163</v>
      </c>
      <c r="N105" s="175" t="s">
        <v>163</v>
      </c>
      <c r="O105" s="175" t="s">
        <v>163</v>
      </c>
      <c r="P105" s="175" t="s">
        <v>163</v>
      </c>
      <c r="Q105" s="175" t="s">
        <v>163</v>
      </c>
      <c r="R105" s="127">
        <f>IF(Table36[[#This Row],[ Bran Content]]="-","-",IF(G105&lt;0.02,1,0))</f>
        <v>1</v>
      </c>
      <c r="S105" s="127">
        <f>IF(Table36[[#This Row],[Sieve Test]]="-","-",IF(Table36[[#This Row],[Sieve Test]]="P",1,0))</f>
        <v>1</v>
      </c>
      <c r="T105" s="127">
        <f>IF(Table36[[#This Row],[Odor]]="-","-",IF(Table36[[#This Row],[Odor]]="P",1,0))</f>
        <v>1</v>
      </c>
      <c r="U105" s="127">
        <f>IF(INDEX(MCmin,MATCH(Table36[[#This Row],[Grist]],SMI,0))="-","-",IF(Table36[[#This Row],[F1 %MC]]="-","-",IF(Table36[[#This Row],[F1 %MC]]&lt;INDEX(MCmin,MATCH(Table36[[#This Row],[Grist]],SMI,0)),0,IF(Table36[[#This Row],[F1 %MC]]&gt;INDEX(MCmax,MATCH(Table36[[#This Row],[Grist]],SMI,0)),0,1))))</f>
        <v>1</v>
      </c>
      <c r="V105" s="127" t="str">
        <f>IF(INDEX(Protmin,MATCH(Table36[[#This Row],[Grist]],SMI,0))="-","-",IF(Table36[[#This Row],[%Protein]]="-","-",IF(Table36[[#This Row],[%Protein]]&lt;INDEX(Protmin,MATCH(Table36[[#This Row],[Grist]],SMI,0)),0,IF(Table36[[#This Row],[%Protein]]&gt;INDEX(Protmax,MATCH(Table36[[#This Row],[Grist]],SMI,0)),0,1))))</f>
        <v>-</v>
      </c>
      <c r="W105" s="127" t="str">
        <f>IF(INDEX(Ashmin,MATCH(Table36[[#This Row],[Grist]],SMI,0))="-","-",IF(Table36[[#This Row],[%Ash]]="-","-",IF(Table36[[#This Row],[%Ash]]&lt;INDEX(Ashmin,MATCH(Table36[[#This Row],[Grist]],SMI,0)),0,IF(Table36[[#This Row],[%Ash]]&gt;INDEX(Ashmax,MATCH(Table36[[#This Row],[Grist]],SMI,0)),0,1))))</f>
        <v>-</v>
      </c>
      <c r="X105" s="127" t="str">
        <f>IF(INDEX(Absmin,MATCH(Table36[[#This Row],[Grist]],SMI,0))="-","-",IF(Table36[[#This Row],[%Absorption]]="-","-",IF(Table36[[#This Row],[%Absorption]]&lt;INDEX(Absmin,MATCH(Table36[[#This Row],[Grist]],SMI,0)),0,IF(Table36[[#This Row],[%Absorption]]&gt;INDEX(Absmax,MATCH(Table36[[#This Row],[Grist]],SMI,0)),0,1))))</f>
        <v>-</v>
      </c>
      <c r="Y105" s="127" t="str">
        <f>IF(INDEX(Extmin,MATCH(Table36[[#This Row],[Grist]],SMI,0))="-","-",IF(Table36[[#This Row],[%Extensibility]]="-","-",IF(Table36[[#This Row],[%Extensibility]]&lt;INDEX(Extmin,MATCH(Table36[[#This Row],[Grist]],SMI,0)),0,IF(Table36[[#This Row],[%Extensibility]]&gt;INDEX(Extmax,MATCH(Table36[[#This Row],[Grist]],SMI,0)),0,1))))</f>
        <v>-</v>
      </c>
      <c r="Z105" s="127" t="str">
        <f>IF(INDEX(Resmin,MATCH(Table36[[#This Row],[Grist]],SMI,0))="-","-",IF(Table36[[#This Row],[Resistance, max]]="-","-",IF(Table36[[#This Row],[Resistance, max]]&lt;INDEX(Resmin,MATCH(Table36[[#This Row],[Grist]],SMI,0)),0,IF(Table36[[#This Row],[Resistance, max]]&gt;INDEX(Resmax,MATCH(Table36[[#This Row],[Grist]],SMI,0)),0,1))))</f>
        <v>-</v>
      </c>
      <c r="AA105" s="127" t="str">
        <f>IF(INDEX(WGmin,MATCH(Table36[[#This Row],[Grist]],SMI,0))="-","-",IF(Table36[[#This Row],[%Wet Gluten]]="-","-",IF(Table36[[#This Row],[%Wet Gluten]]&lt;INDEX(WGmin,MATCH(Table36[[#This Row],[Grist]],SMI,0)),0,IF(Table36[[#This Row],[%Wet Gluten]]&gt;INDEX(WGmax,MATCH(Table36[[#This Row],[Grist]],SMI,0)),0,1))))</f>
        <v>-</v>
      </c>
      <c r="AB105" s="127">
        <f>SUM(Table36[[#This Row],[ QI Bran Content]:[QI WG]])</f>
        <v>4</v>
      </c>
      <c r="AC105" s="127">
        <f>COUNT(Table36[[#This Row],[ QI Bran Content]:[QI WG]])</f>
        <v>4</v>
      </c>
    </row>
    <row r="106" spans="1:29" x14ac:dyDescent="0.35">
      <c r="A106" s="177">
        <v>45292</v>
      </c>
      <c r="B106" s="178">
        <v>45310</v>
      </c>
      <c r="C106" s="178" t="s">
        <v>125</v>
      </c>
      <c r="D106" s="179" t="s">
        <v>239</v>
      </c>
      <c r="E106" s="180" t="s">
        <v>0</v>
      </c>
      <c r="F106" s="181" t="s">
        <v>27</v>
      </c>
      <c r="G106" s="182">
        <v>7.1999999999999998E-3</v>
      </c>
      <c r="H106" s="175" t="s">
        <v>165</v>
      </c>
      <c r="I106" s="175" t="s">
        <v>165</v>
      </c>
      <c r="J106" s="175" t="s">
        <v>165</v>
      </c>
      <c r="K106" s="175">
        <v>11.63</v>
      </c>
      <c r="L106" s="175">
        <v>13.48</v>
      </c>
      <c r="M106" s="175">
        <v>0.61</v>
      </c>
      <c r="N106" s="175">
        <v>64.900000000000006</v>
      </c>
      <c r="O106" s="175" t="s">
        <v>163</v>
      </c>
      <c r="P106" s="175" t="s">
        <v>163</v>
      </c>
      <c r="Q106" s="175">
        <v>35.76</v>
      </c>
      <c r="R106" s="127">
        <f>IF(Table36[[#This Row],[ Bran Content]]="-","-",IF(G106&lt;0.02,1,0))</f>
        <v>1</v>
      </c>
      <c r="S106" s="127">
        <f>IF(Table36[[#This Row],[Sieve Test]]="-","-",IF(Table36[[#This Row],[Sieve Test]]="P",1,0))</f>
        <v>1</v>
      </c>
      <c r="T106" s="127">
        <f>IF(Table36[[#This Row],[Odor]]="-","-",IF(Table36[[#This Row],[Odor]]="P",1,0))</f>
        <v>1</v>
      </c>
      <c r="U106" s="127">
        <f>IF(INDEX(MCmin,MATCH(Table36[[#This Row],[Grist]],SMI,0))="-","-",IF(Table36[[#This Row],[F1 %MC]]="-","-",IF(Table36[[#This Row],[F1 %MC]]&lt;INDEX(MCmin,MATCH(Table36[[#This Row],[Grist]],SMI,0)),0,IF(Table36[[#This Row],[F1 %MC]]&gt;INDEX(MCmax,MATCH(Table36[[#This Row],[Grist]],SMI,0)),0,1))))</f>
        <v>0</v>
      </c>
      <c r="V106" s="127">
        <f>IF(INDEX(Protmin,MATCH(Table36[[#This Row],[Grist]],SMI,0))="-","-",IF(Table36[[#This Row],[%Protein]]="-","-",IF(Table36[[#This Row],[%Protein]]&lt;INDEX(Protmin,MATCH(Table36[[#This Row],[Grist]],SMI,0)),0,IF(Table36[[#This Row],[%Protein]]&gt;INDEX(Protmax,MATCH(Table36[[#This Row],[Grist]],SMI,0)),0,1))))</f>
        <v>1</v>
      </c>
      <c r="W106" s="127">
        <f>IF(INDEX(Ashmin,MATCH(Table36[[#This Row],[Grist]],SMI,0))="-","-",IF(Table36[[#This Row],[%Ash]]="-","-",IF(Table36[[#This Row],[%Ash]]&lt;INDEX(Ashmin,MATCH(Table36[[#This Row],[Grist]],SMI,0)),0,IF(Table36[[#This Row],[%Ash]]&gt;INDEX(Ashmax,MATCH(Table36[[#This Row],[Grist]],SMI,0)),0,1))))</f>
        <v>1</v>
      </c>
      <c r="X106" s="127">
        <f>IF(INDEX(Absmin,MATCH(Table36[[#This Row],[Grist]],SMI,0))="-","-",IF(Table36[[#This Row],[%Absorption]]="-","-",IF(Table36[[#This Row],[%Absorption]]&lt;INDEX(Absmin,MATCH(Table36[[#This Row],[Grist]],SMI,0)),0,IF(Table36[[#This Row],[%Absorption]]&gt;INDEX(Absmax,MATCH(Table36[[#This Row],[Grist]],SMI,0)),0,1))))</f>
        <v>1</v>
      </c>
      <c r="Y106" s="127" t="str">
        <f>IF(INDEX(Extmin,MATCH(Table36[[#This Row],[Grist]],SMI,0))="-","-",IF(Table36[[#This Row],[%Extensibility]]="-","-",IF(Table36[[#This Row],[%Extensibility]]&lt;INDEX(Extmin,MATCH(Table36[[#This Row],[Grist]],SMI,0)),0,IF(Table36[[#This Row],[%Extensibility]]&gt;INDEX(Extmax,MATCH(Table36[[#This Row],[Grist]],SMI,0)),0,1))))</f>
        <v>-</v>
      </c>
      <c r="Z106" s="127" t="str">
        <f>IF(INDEX(Resmin,MATCH(Table36[[#This Row],[Grist]],SMI,0))="-","-",IF(Table36[[#This Row],[Resistance, max]]="-","-",IF(Table36[[#This Row],[Resistance, max]]&lt;INDEX(Resmin,MATCH(Table36[[#This Row],[Grist]],SMI,0)),0,IF(Table36[[#This Row],[Resistance, max]]&gt;INDEX(Resmax,MATCH(Table36[[#This Row],[Grist]],SMI,0)),0,1))))</f>
        <v>-</v>
      </c>
      <c r="AA106" s="127">
        <f>IF(INDEX(WGmin,MATCH(Table36[[#This Row],[Grist]],SMI,0))="-","-",IF(Table36[[#This Row],[%Wet Gluten]]="-","-",IF(Table36[[#This Row],[%Wet Gluten]]&lt;INDEX(WGmin,MATCH(Table36[[#This Row],[Grist]],SMI,0)),0,IF(Table36[[#This Row],[%Wet Gluten]]&gt;INDEX(WGmax,MATCH(Table36[[#This Row],[Grist]],SMI,0)),0,1))))</f>
        <v>1</v>
      </c>
      <c r="AB106" s="127">
        <f>SUM(Table36[[#This Row],[ QI Bran Content]:[QI WG]])</f>
        <v>7</v>
      </c>
      <c r="AC106" s="127">
        <f>COUNT(Table36[[#This Row],[ QI Bran Content]:[QI WG]])</f>
        <v>8</v>
      </c>
    </row>
    <row r="107" spans="1:29" x14ac:dyDescent="0.35">
      <c r="A107" s="177">
        <v>45292</v>
      </c>
      <c r="B107" s="178">
        <v>45310</v>
      </c>
      <c r="C107" s="178" t="s">
        <v>125</v>
      </c>
      <c r="D107" s="179" t="s">
        <v>240</v>
      </c>
      <c r="E107" s="180" t="s">
        <v>0</v>
      </c>
      <c r="F107" s="181" t="s">
        <v>27</v>
      </c>
      <c r="G107" s="182">
        <v>5.0000000000000001E-3</v>
      </c>
      <c r="H107" s="175" t="s">
        <v>165</v>
      </c>
      <c r="I107" s="175" t="s">
        <v>165</v>
      </c>
      <c r="J107" s="175" t="s">
        <v>165</v>
      </c>
      <c r="K107" s="175">
        <v>12</v>
      </c>
      <c r="L107" s="175" t="s">
        <v>163</v>
      </c>
      <c r="M107" s="175" t="s">
        <v>163</v>
      </c>
      <c r="N107" s="175" t="s">
        <v>163</v>
      </c>
      <c r="O107" s="175" t="s">
        <v>163</v>
      </c>
      <c r="P107" s="175" t="s">
        <v>163</v>
      </c>
      <c r="Q107" s="175" t="s">
        <v>163</v>
      </c>
      <c r="R107" s="127">
        <f>IF(Table36[[#This Row],[ Bran Content]]="-","-",IF(G107&lt;0.02,1,0))</f>
        <v>1</v>
      </c>
      <c r="S107" s="127">
        <f>IF(Table36[[#This Row],[Sieve Test]]="-","-",IF(Table36[[#This Row],[Sieve Test]]="P",1,0))</f>
        <v>1</v>
      </c>
      <c r="T107" s="127">
        <f>IF(Table36[[#This Row],[Odor]]="-","-",IF(Table36[[#This Row],[Odor]]="P",1,0))</f>
        <v>1</v>
      </c>
      <c r="U107" s="127">
        <f>IF(INDEX(MCmin,MATCH(Table36[[#This Row],[Grist]],SMI,0))="-","-",IF(Table36[[#This Row],[F1 %MC]]="-","-",IF(Table36[[#This Row],[F1 %MC]]&lt;INDEX(MCmin,MATCH(Table36[[#This Row],[Grist]],SMI,0)),0,IF(Table36[[#This Row],[F1 %MC]]&gt;INDEX(MCmax,MATCH(Table36[[#This Row],[Grist]],SMI,0)),0,1))))</f>
        <v>1</v>
      </c>
      <c r="V107" s="127" t="str">
        <f>IF(INDEX(Protmin,MATCH(Table36[[#This Row],[Grist]],SMI,0))="-","-",IF(Table36[[#This Row],[%Protein]]="-","-",IF(Table36[[#This Row],[%Protein]]&lt;INDEX(Protmin,MATCH(Table36[[#This Row],[Grist]],SMI,0)),0,IF(Table36[[#This Row],[%Protein]]&gt;INDEX(Protmax,MATCH(Table36[[#This Row],[Grist]],SMI,0)),0,1))))</f>
        <v>-</v>
      </c>
      <c r="W107" s="127" t="str">
        <f>IF(INDEX(Ashmin,MATCH(Table36[[#This Row],[Grist]],SMI,0))="-","-",IF(Table36[[#This Row],[%Ash]]="-","-",IF(Table36[[#This Row],[%Ash]]&lt;INDEX(Ashmin,MATCH(Table36[[#This Row],[Grist]],SMI,0)),0,IF(Table36[[#This Row],[%Ash]]&gt;INDEX(Ashmax,MATCH(Table36[[#This Row],[Grist]],SMI,0)),0,1))))</f>
        <v>-</v>
      </c>
      <c r="X107" s="127" t="str">
        <f>IF(INDEX(Absmin,MATCH(Table36[[#This Row],[Grist]],SMI,0))="-","-",IF(Table36[[#This Row],[%Absorption]]="-","-",IF(Table36[[#This Row],[%Absorption]]&lt;INDEX(Absmin,MATCH(Table36[[#This Row],[Grist]],SMI,0)),0,IF(Table36[[#This Row],[%Absorption]]&gt;INDEX(Absmax,MATCH(Table36[[#This Row],[Grist]],SMI,0)),0,1))))</f>
        <v>-</v>
      </c>
      <c r="Y107" s="127" t="str">
        <f>IF(INDEX(Extmin,MATCH(Table36[[#This Row],[Grist]],SMI,0))="-","-",IF(Table36[[#This Row],[%Extensibility]]="-","-",IF(Table36[[#This Row],[%Extensibility]]&lt;INDEX(Extmin,MATCH(Table36[[#This Row],[Grist]],SMI,0)),0,IF(Table36[[#This Row],[%Extensibility]]&gt;INDEX(Extmax,MATCH(Table36[[#This Row],[Grist]],SMI,0)),0,1))))</f>
        <v>-</v>
      </c>
      <c r="Z107" s="127" t="str">
        <f>IF(INDEX(Resmin,MATCH(Table36[[#This Row],[Grist]],SMI,0))="-","-",IF(Table36[[#This Row],[Resistance, max]]="-","-",IF(Table36[[#This Row],[Resistance, max]]&lt;INDEX(Resmin,MATCH(Table36[[#This Row],[Grist]],SMI,0)),0,IF(Table36[[#This Row],[Resistance, max]]&gt;INDEX(Resmax,MATCH(Table36[[#This Row],[Grist]],SMI,0)),0,1))))</f>
        <v>-</v>
      </c>
      <c r="AA107" s="127" t="str">
        <f>IF(INDEX(WGmin,MATCH(Table36[[#This Row],[Grist]],SMI,0))="-","-",IF(Table36[[#This Row],[%Wet Gluten]]="-","-",IF(Table36[[#This Row],[%Wet Gluten]]&lt;INDEX(WGmin,MATCH(Table36[[#This Row],[Grist]],SMI,0)),0,IF(Table36[[#This Row],[%Wet Gluten]]&gt;INDEX(WGmax,MATCH(Table36[[#This Row],[Grist]],SMI,0)),0,1))))</f>
        <v>-</v>
      </c>
      <c r="AB107" s="127">
        <f>SUM(Table36[[#This Row],[ QI Bran Content]:[QI WG]])</f>
        <v>4</v>
      </c>
      <c r="AC107" s="127">
        <f>COUNT(Table36[[#This Row],[ QI Bran Content]:[QI WG]])</f>
        <v>4</v>
      </c>
    </row>
    <row r="108" spans="1:29" x14ac:dyDescent="0.35">
      <c r="A108" s="177">
        <v>45292</v>
      </c>
      <c r="B108" s="178">
        <v>45310</v>
      </c>
      <c r="C108" s="178" t="s">
        <v>125</v>
      </c>
      <c r="D108" s="179" t="s">
        <v>237</v>
      </c>
      <c r="E108" s="180" t="s">
        <v>0</v>
      </c>
      <c r="F108" s="181" t="s">
        <v>27</v>
      </c>
      <c r="G108" s="182">
        <v>6.7000000000000002E-3</v>
      </c>
      <c r="H108" s="175" t="s">
        <v>165</v>
      </c>
      <c r="I108" s="175" t="s">
        <v>165</v>
      </c>
      <c r="J108" s="175" t="s">
        <v>165</v>
      </c>
      <c r="K108" s="175">
        <v>12.38</v>
      </c>
      <c r="L108" s="175" t="s">
        <v>163</v>
      </c>
      <c r="M108" s="175" t="s">
        <v>163</v>
      </c>
      <c r="N108" s="175" t="s">
        <v>163</v>
      </c>
      <c r="O108" s="175" t="s">
        <v>163</v>
      </c>
      <c r="P108" s="175" t="s">
        <v>163</v>
      </c>
      <c r="Q108" s="175" t="s">
        <v>163</v>
      </c>
      <c r="R108" s="127">
        <f>IF(Table36[[#This Row],[ Bran Content]]="-","-",IF(G108&lt;0.02,1,0))</f>
        <v>1</v>
      </c>
      <c r="S108" s="127">
        <f>IF(Table36[[#This Row],[Sieve Test]]="-","-",IF(Table36[[#This Row],[Sieve Test]]="P",1,0))</f>
        <v>1</v>
      </c>
      <c r="T108" s="127">
        <f>IF(Table36[[#This Row],[Odor]]="-","-",IF(Table36[[#This Row],[Odor]]="P",1,0))</f>
        <v>1</v>
      </c>
      <c r="U108" s="127">
        <f>IF(INDEX(MCmin,MATCH(Table36[[#This Row],[Grist]],SMI,0))="-","-",IF(Table36[[#This Row],[F1 %MC]]="-","-",IF(Table36[[#This Row],[F1 %MC]]&lt;INDEX(MCmin,MATCH(Table36[[#This Row],[Grist]],SMI,0)),0,IF(Table36[[#This Row],[F1 %MC]]&gt;INDEX(MCmax,MATCH(Table36[[#This Row],[Grist]],SMI,0)),0,1))))</f>
        <v>1</v>
      </c>
      <c r="V108" s="127" t="str">
        <f>IF(INDEX(Protmin,MATCH(Table36[[#This Row],[Grist]],SMI,0))="-","-",IF(Table36[[#This Row],[%Protein]]="-","-",IF(Table36[[#This Row],[%Protein]]&lt;INDEX(Protmin,MATCH(Table36[[#This Row],[Grist]],SMI,0)),0,IF(Table36[[#This Row],[%Protein]]&gt;INDEX(Protmax,MATCH(Table36[[#This Row],[Grist]],SMI,0)),0,1))))</f>
        <v>-</v>
      </c>
      <c r="W108" s="127" t="str">
        <f>IF(INDEX(Ashmin,MATCH(Table36[[#This Row],[Grist]],SMI,0))="-","-",IF(Table36[[#This Row],[%Ash]]="-","-",IF(Table36[[#This Row],[%Ash]]&lt;INDEX(Ashmin,MATCH(Table36[[#This Row],[Grist]],SMI,0)),0,IF(Table36[[#This Row],[%Ash]]&gt;INDEX(Ashmax,MATCH(Table36[[#This Row],[Grist]],SMI,0)),0,1))))</f>
        <v>-</v>
      </c>
      <c r="X108" s="127" t="str">
        <f>IF(INDEX(Absmin,MATCH(Table36[[#This Row],[Grist]],SMI,0))="-","-",IF(Table36[[#This Row],[%Absorption]]="-","-",IF(Table36[[#This Row],[%Absorption]]&lt;INDEX(Absmin,MATCH(Table36[[#This Row],[Grist]],SMI,0)),0,IF(Table36[[#This Row],[%Absorption]]&gt;INDEX(Absmax,MATCH(Table36[[#This Row],[Grist]],SMI,0)),0,1))))</f>
        <v>-</v>
      </c>
      <c r="Y108" s="127" t="str">
        <f>IF(INDEX(Extmin,MATCH(Table36[[#This Row],[Grist]],SMI,0))="-","-",IF(Table36[[#This Row],[%Extensibility]]="-","-",IF(Table36[[#This Row],[%Extensibility]]&lt;INDEX(Extmin,MATCH(Table36[[#This Row],[Grist]],SMI,0)),0,IF(Table36[[#This Row],[%Extensibility]]&gt;INDEX(Extmax,MATCH(Table36[[#This Row],[Grist]],SMI,0)),0,1))))</f>
        <v>-</v>
      </c>
      <c r="Z108" s="127" t="str">
        <f>IF(INDEX(Resmin,MATCH(Table36[[#This Row],[Grist]],SMI,0))="-","-",IF(Table36[[#This Row],[Resistance, max]]="-","-",IF(Table36[[#This Row],[Resistance, max]]&lt;INDEX(Resmin,MATCH(Table36[[#This Row],[Grist]],SMI,0)),0,IF(Table36[[#This Row],[Resistance, max]]&gt;INDEX(Resmax,MATCH(Table36[[#This Row],[Grist]],SMI,0)),0,1))))</f>
        <v>-</v>
      </c>
      <c r="AA108" s="127" t="str">
        <f>IF(INDEX(WGmin,MATCH(Table36[[#This Row],[Grist]],SMI,0))="-","-",IF(Table36[[#This Row],[%Wet Gluten]]="-","-",IF(Table36[[#This Row],[%Wet Gluten]]&lt;INDEX(WGmin,MATCH(Table36[[#This Row],[Grist]],SMI,0)),0,IF(Table36[[#This Row],[%Wet Gluten]]&gt;INDEX(WGmax,MATCH(Table36[[#This Row],[Grist]],SMI,0)),0,1))))</f>
        <v>-</v>
      </c>
      <c r="AB108" s="127">
        <f>SUM(Table36[[#This Row],[ QI Bran Content]:[QI WG]])</f>
        <v>4</v>
      </c>
      <c r="AC108" s="127">
        <f>COUNT(Table36[[#This Row],[ QI Bran Content]:[QI WG]])</f>
        <v>4</v>
      </c>
    </row>
    <row r="109" spans="1:29" x14ac:dyDescent="0.35">
      <c r="A109" s="177">
        <v>45292</v>
      </c>
      <c r="B109" s="178">
        <v>45310</v>
      </c>
      <c r="C109" s="178" t="s">
        <v>125</v>
      </c>
      <c r="D109" s="179" t="s">
        <v>238</v>
      </c>
      <c r="E109" s="180" t="s">
        <v>0</v>
      </c>
      <c r="F109" s="181" t="s">
        <v>40</v>
      </c>
      <c r="G109" s="182">
        <v>1.5800000000000002E-2</v>
      </c>
      <c r="H109" s="175" t="s">
        <v>165</v>
      </c>
      <c r="I109" s="175" t="s">
        <v>165</v>
      </c>
      <c r="J109" s="175" t="s">
        <v>165</v>
      </c>
      <c r="K109" s="175">
        <v>11.96</v>
      </c>
      <c r="L109" s="175" t="s">
        <v>163</v>
      </c>
      <c r="M109" s="175" t="s">
        <v>163</v>
      </c>
      <c r="N109" s="175" t="s">
        <v>163</v>
      </c>
      <c r="O109" s="175" t="s">
        <v>163</v>
      </c>
      <c r="P109" s="175" t="s">
        <v>163</v>
      </c>
      <c r="Q109" s="175" t="s">
        <v>163</v>
      </c>
      <c r="R109" s="127">
        <f>IF(Table36[[#This Row],[ Bran Content]]="-","-",IF(G109&lt;0.02,1,0))</f>
        <v>1</v>
      </c>
      <c r="S109" s="127">
        <f>IF(Table36[[#This Row],[Sieve Test]]="-","-",IF(Table36[[#This Row],[Sieve Test]]="P",1,0))</f>
        <v>1</v>
      </c>
      <c r="T109" s="127">
        <f>IF(Table36[[#This Row],[Odor]]="-","-",IF(Table36[[#This Row],[Odor]]="P",1,0))</f>
        <v>1</v>
      </c>
      <c r="U109" s="127">
        <f>IF(INDEX(MCmin,MATCH(Table36[[#This Row],[Grist]],SMI,0))="-","-",IF(Table36[[#This Row],[F1 %MC]]="-","-",IF(Table36[[#This Row],[F1 %MC]]&lt;INDEX(MCmin,MATCH(Table36[[#This Row],[Grist]],SMI,0)),0,IF(Table36[[#This Row],[F1 %MC]]&gt;INDEX(MCmax,MATCH(Table36[[#This Row],[Grist]],SMI,0)),0,1))))</f>
        <v>0</v>
      </c>
      <c r="V109" s="127" t="str">
        <f>IF(INDEX(Protmin,MATCH(Table36[[#This Row],[Grist]],SMI,0))="-","-",IF(Table36[[#This Row],[%Protein]]="-","-",IF(Table36[[#This Row],[%Protein]]&lt;INDEX(Protmin,MATCH(Table36[[#This Row],[Grist]],SMI,0)),0,IF(Table36[[#This Row],[%Protein]]&gt;INDEX(Protmax,MATCH(Table36[[#This Row],[Grist]],SMI,0)),0,1))))</f>
        <v>-</v>
      </c>
      <c r="W109" s="127" t="str">
        <f>IF(INDEX(Ashmin,MATCH(Table36[[#This Row],[Grist]],SMI,0))="-","-",IF(Table36[[#This Row],[%Ash]]="-","-",IF(Table36[[#This Row],[%Ash]]&lt;INDEX(Ashmin,MATCH(Table36[[#This Row],[Grist]],SMI,0)),0,IF(Table36[[#This Row],[%Ash]]&gt;INDEX(Ashmax,MATCH(Table36[[#This Row],[Grist]],SMI,0)),0,1))))</f>
        <v>-</v>
      </c>
      <c r="X109" s="127" t="str">
        <f>IF(INDEX(Absmin,MATCH(Table36[[#This Row],[Grist]],SMI,0))="-","-",IF(Table36[[#This Row],[%Absorption]]="-","-",IF(Table36[[#This Row],[%Absorption]]&lt;INDEX(Absmin,MATCH(Table36[[#This Row],[Grist]],SMI,0)),0,IF(Table36[[#This Row],[%Absorption]]&gt;INDEX(Absmax,MATCH(Table36[[#This Row],[Grist]],SMI,0)),0,1))))</f>
        <v>-</v>
      </c>
      <c r="Y109" s="127" t="str">
        <f>IF(INDEX(Extmin,MATCH(Table36[[#This Row],[Grist]],SMI,0))="-","-",IF(Table36[[#This Row],[%Extensibility]]="-","-",IF(Table36[[#This Row],[%Extensibility]]&lt;INDEX(Extmin,MATCH(Table36[[#This Row],[Grist]],SMI,0)),0,IF(Table36[[#This Row],[%Extensibility]]&gt;INDEX(Extmax,MATCH(Table36[[#This Row],[Grist]],SMI,0)),0,1))))</f>
        <v>-</v>
      </c>
      <c r="Z109" s="127" t="str">
        <f>IF(INDEX(Resmin,MATCH(Table36[[#This Row],[Grist]],SMI,0))="-","-",IF(Table36[[#This Row],[Resistance, max]]="-","-",IF(Table36[[#This Row],[Resistance, max]]&lt;INDEX(Resmin,MATCH(Table36[[#This Row],[Grist]],SMI,0)),0,IF(Table36[[#This Row],[Resistance, max]]&gt;INDEX(Resmax,MATCH(Table36[[#This Row],[Grist]],SMI,0)),0,1))))</f>
        <v>-</v>
      </c>
      <c r="AA109" s="127" t="str">
        <f>IF(INDEX(WGmin,MATCH(Table36[[#This Row],[Grist]],SMI,0))="-","-",IF(Table36[[#This Row],[%Wet Gluten]]="-","-",IF(Table36[[#This Row],[%Wet Gluten]]&lt;INDEX(WGmin,MATCH(Table36[[#This Row],[Grist]],SMI,0)),0,IF(Table36[[#This Row],[%Wet Gluten]]&gt;INDEX(WGmax,MATCH(Table36[[#This Row],[Grist]],SMI,0)),0,1))))</f>
        <v>-</v>
      </c>
      <c r="AB109" s="127">
        <f>SUM(Table36[[#This Row],[ QI Bran Content]:[QI WG]])</f>
        <v>3</v>
      </c>
      <c r="AC109" s="127">
        <f>COUNT(Table36[[#This Row],[ QI Bran Content]:[QI WG]])</f>
        <v>4</v>
      </c>
    </row>
    <row r="110" spans="1:29" x14ac:dyDescent="0.35">
      <c r="A110" s="177">
        <v>45292</v>
      </c>
      <c r="B110" s="178">
        <v>45310</v>
      </c>
      <c r="C110" s="178" t="s">
        <v>128</v>
      </c>
      <c r="D110" s="179">
        <v>0.95833333333333337</v>
      </c>
      <c r="E110" s="180" t="s">
        <v>0</v>
      </c>
      <c r="F110" s="181" t="s">
        <v>40</v>
      </c>
      <c r="G110" s="182">
        <v>8.0999999999999996E-3</v>
      </c>
      <c r="H110" s="175" t="s">
        <v>165</v>
      </c>
      <c r="I110" s="175" t="s">
        <v>165</v>
      </c>
      <c r="J110" s="175" t="s">
        <v>165</v>
      </c>
      <c r="K110" s="175">
        <v>12.21</v>
      </c>
      <c r="L110" s="175">
        <v>12.69</v>
      </c>
      <c r="M110" s="175">
        <v>0.45</v>
      </c>
      <c r="N110" s="175">
        <v>65</v>
      </c>
      <c r="O110" s="175" t="s">
        <v>163</v>
      </c>
      <c r="P110" s="175" t="s">
        <v>163</v>
      </c>
      <c r="Q110" s="175">
        <v>35.479999999999997</v>
      </c>
      <c r="R110" s="127">
        <f>IF(Table36[[#This Row],[ Bran Content]]="-","-",IF(G110&lt;0.02,1,0))</f>
        <v>1</v>
      </c>
      <c r="S110" s="127">
        <f>IF(Table36[[#This Row],[Sieve Test]]="-","-",IF(Table36[[#This Row],[Sieve Test]]="P",1,0))</f>
        <v>1</v>
      </c>
      <c r="T110" s="127">
        <f>IF(Table36[[#This Row],[Odor]]="-","-",IF(Table36[[#This Row],[Odor]]="P",1,0))</f>
        <v>1</v>
      </c>
      <c r="U110" s="127">
        <f>IF(INDEX(MCmin,MATCH(Table36[[#This Row],[Grist]],SMI,0))="-","-",IF(Table36[[#This Row],[F1 %MC]]="-","-",IF(Table36[[#This Row],[F1 %MC]]&lt;INDEX(MCmin,MATCH(Table36[[#This Row],[Grist]],SMI,0)),0,IF(Table36[[#This Row],[F1 %MC]]&gt;INDEX(MCmax,MATCH(Table36[[#This Row],[Grist]],SMI,0)),0,1))))</f>
        <v>1</v>
      </c>
      <c r="V110" s="127">
        <f>IF(INDEX(Protmin,MATCH(Table36[[#This Row],[Grist]],SMI,0))="-","-",IF(Table36[[#This Row],[%Protein]]="-","-",IF(Table36[[#This Row],[%Protein]]&lt;INDEX(Protmin,MATCH(Table36[[#This Row],[Grist]],SMI,0)),0,IF(Table36[[#This Row],[%Protein]]&gt;INDEX(Protmax,MATCH(Table36[[#This Row],[Grist]],SMI,0)),0,1))))</f>
        <v>1</v>
      </c>
      <c r="W110" s="127">
        <f>IF(INDEX(Ashmin,MATCH(Table36[[#This Row],[Grist]],SMI,0))="-","-",IF(Table36[[#This Row],[%Ash]]="-","-",IF(Table36[[#This Row],[%Ash]]&lt;INDEX(Ashmin,MATCH(Table36[[#This Row],[Grist]],SMI,0)),0,IF(Table36[[#This Row],[%Ash]]&gt;INDEX(Ashmax,MATCH(Table36[[#This Row],[Grist]],SMI,0)),0,1))))</f>
        <v>1</v>
      </c>
      <c r="X110" s="127">
        <f>IF(INDEX(Absmin,MATCH(Table36[[#This Row],[Grist]],SMI,0))="-","-",IF(Table36[[#This Row],[%Absorption]]="-","-",IF(Table36[[#This Row],[%Absorption]]&lt;INDEX(Absmin,MATCH(Table36[[#This Row],[Grist]],SMI,0)),0,IF(Table36[[#This Row],[%Absorption]]&gt;INDEX(Absmax,MATCH(Table36[[#This Row],[Grist]],SMI,0)),0,1))))</f>
        <v>1</v>
      </c>
      <c r="Y110" s="127" t="str">
        <f>IF(INDEX(Extmin,MATCH(Table36[[#This Row],[Grist]],SMI,0))="-","-",IF(Table36[[#This Row],[%Extensibility]]="-","-",IF(Table36[[#This Row],[%Extensibility]]&lt;INDEX(Extmin,MATCH(Table36[[#This Row],[Grist]],SMI,0)),0,IF(Table36[[#This Row],[%Extensibility]]&gt;INDEX(Extmax,MATCH(Table36[[#This Row],[Grist]],SMI,0)),0,1))))</f>
        <v>-</v>
      </c>
      <c r="Z110" s="127" t="str">
        <f>IF(INDEX(Resmin,MATCH(Table36[[#This Row],[Grist]],SMI,0))="-","-",IF(Table36[[#This Row],[Resistance, max]]="-","-",IF(Table36[[#This Row],[Resistance, max]]&lt;INDEX(Resmin,MATCH(Table36[[#This Row],[Grist]],SMI,0)),0,IF(Table36[[#This Row],[Resistance, max]]&gt;INDEX(Resmax,MATCH(Table36[[#This Row],[Grist]],SMI,0)),0,1))))</f>
        <v>-</v>
      </c>
      <c r="AA110" s="127">
        <f>IF(INDEX(WGmin,MATCH(Table36[[#This Row],[Grist]],SMI,0))="-","-",IF(Table36[[#This Row],[%Wet Gluten]]="-","-",IF(Table36[[#This Row],[%Wet Gluten]]&lt;INDEX(WGmin,MATCH(Table36[[#This Row],[Grist]],SMI,0)),0,IF(Table36[[#This Row],[%Wet Gluten]]&gt;INDEX(WGmax,MATCH(Table36[[#This Row],[Grist]],SMI,0)),0,1))))</f>
        <v>1</v>
      </c>
      <c r="AB110" s="127">
        <f>SUM(Table36[[#This Row],[ QI Bran Content]:[QI WG]])</f>
        <v>8</v>
      </c>
      <c r="AC110" s="127">
        <f>COUNT(Table36[[#This Row],[ QI Bran Content]:[QI WG]])</f>
        <v>8</v>
      </c>
    </row>
    <row r="111" spans="1:29" x14ac:dyDescent="0.35">
      <c r="A111" s="177">
        <v>45292</v>
      </c>
      <c r="B111" s="178">
        <v>45310</v>
      </c>
      <c r="C111" s="178" t="s">
        <v>130</v>
      </c>
      <c r="D111" s="179">
        <v>1.125</v>
      </c>
      <c r="E111" s="180" t="s">
        <v>0</v>
      </c>
      <c r="F111" s="181" t="s">
        <v>40</v>
      </c>
      <c r="G111" s="182">
        <v>4.4999999999999997E-3</v>
      </c>
      <c r="H111" s="175" t="s">
        <v>165</v>
      </c>
      <c r="I111" s="175" t="s">
        <v>165</v>
      </c>
      <c r="J111" s="175" t="s">
        <v>165</v>
      </c>
      <c r="K111" s="175">
        <v>12.3</v>
      </c>
      <c r="L111" s="175" t="s">
        <v>163</v>
      </c>
      <c r="M111" s="175" t="s">
        <v>163</v>
      </c>
      <c r="N111" s="175" t="s">
        <v>163</v>
      </c>
      <c r="O111" s="175" t="s">
        <v>163</v>
      </c>
      <c r="P111" s="175" t="s">
        <v>163</v>
      </c>
      <c r="Q111" s="175" t="s">
        <v>163</v>
      </c>
      <c r="R111" s="127">
        <f>IF(Table36[[#This Row],[ Bran Content]]="-","-",IF(G111&lt;0.02,1,0))</f>
        <v>1</v>
      </c>
      <c r="S111" s="127">
        <f>IF(Table36[[#This Row],[Sieve Test]]="-","-",IF(Table36[[#This Row],[Sieve Test]]="P",1,0))</f>
        <v>1</v>
      </c>
      <c r="T111" s="127">
        <f>IF(Table36[[#This Row],[Odor]]="-","-",IF(Table36[[#This Row],[Odor]]="P",1,0))</f>
        <v>1</v>
      </c>
      <c r="U111" s="127">
        <f>IF(INDEX(MCmin,MATCH(Table36[[#This Row],[Grist]],SMI,0))="-","-",IF(Table36[[#This Row],[F1 %MC]]="-","-",IF(Table36[[#This Row],[F1 %MC]]&lt;INDEX(MCmin,MATCH(Table36[[#This Row],[Grist]],SMI,0)),0,IF(Table36[[#This Row],[F1 %MC]]&gt;INDEX(MCmax,MATCH(Table36[[#This Row],[Grist]],SMI,0)),0,1))))</f>
        <v>1</v>
      </c>
      <c r="V111" s="127" t="str">
        <f>IF(INDEX(Protmin,MATCH(Table36[[#This Row],[Grist]],SMI,0))="-","-",IF(Table36[[#This Row],[%Protein]]="-","-",IF(Table36[[#This Row],[%Protein]]&lt;INDEX(Protmin,MATCH(Table36[[#This Row],[Grist]],SMI,0)),0,IF(Table36[[#This Row],[%Protein]]&gt;INDEX(Protmax,MATCH(Table36[[#This Row],[Grist]],SMI,0)),0,1))))</f>
        <v>-</v>
      </c>
      <c r="W111" s="127" t="str">
        <f>IF(INDEX(Ashmin,MATCH(Table36[[#This Row],[Grist]],SMI,0))="-","-",IF(Table36[[#This Row],[%Ash]]="-","-",IF(Table36[[#This Row],[%Ash]]&lt;INDEX(Ashmin,MATCH(Table36[[#This Row],[Grist]],SMI,0)),0,IF(Table36[[#This Row],[%Ash]]&gt;INDEX(Ashmax,MATCH(Table36[[#This Row],[Grist]],SMI,0)),0,1))))</f>
        <v>-</v>
      </c>
      <c r="X111" s="127" t="str">
        <f>IF(INDEX(Absmin,MATCH(Table36[[#This Row],[Grist]],SMI,0))="-","-",IF(Table36[[#This Row],[%Absorption]]="-","-",IF(Table36[[#This Row],[%Absorption]]&lt;INDEX(Absmin,MATCH(Table36[[#This Row],[Grist]],SMI,0)),0,IF(Table36[[#This Row],[%Absorption]]&gt;INDEX(Absmax,MATCH(Table36[[#This Row],[Grist]],SMI,0)),0,1))))</f>
        <v>-</v>
      </c>
      <c r="Y111" s="127" t="str">
        <f>IF(INDEX(Extmin,MATCH(Table36[[#This Row],[Grist]],SMI,0))="-","-",IF(Table36[[#This Row],[%Extensibility]]="-","-",IF(Table36[[#This Row],[%Extensibility]]&lt;INDEX(Extmin,MATCH(Table36[[#This Row],[Grist]],SMI,0)),0,IF(Table36[[#This Row],[%Extensibility]]&gt;INDEX(Extmax,MATCH(Table36[[#This Row],[Grist]],SMI,0)),0,1))))</f>
        <v>-</v>
      </c>
      <c r="Z111" s="127" t="str">
        <f>IF(INDEX(Resmin,MATCH(Table36[[#This Row],[Grist]],SMI,0))="-","-",IF(Table36[[#This Row],[Resistance, max]]="-","-",IF(Table36[[#This Row],[Resistance, max]]&lt;INDEX(Resmin,MATCH(Table36[[#This Row],[Grist]],SMI,0)),0,IF(Table36[[#This Row],[Resistance, max]]&gt;INDEX(Resmax,MATCH(Table36[[#This Row],[Grist]],SMI,0)),0,1))))</f>
        <v>-</v>
      </c>
      <c r="AA111" s="127" t="str">
        <f>IF(INDEX(WGmin,MATCH(Table36[[#This Row],[Grist]],SMI,0))="-","-",IF(Table36[[#This Row],[%Wet Gluten]]="-","-",IF(Table36[[#This Row],[%Wet Gluten]]&lt;INDEX(WGmin,MATCH(Table36[[#This Row],[Grist]],SMI,0)),0,IF(Table36[[#This Row],[%Wet Gluten]]&gt;INDEX(WGmax,MATCH(Table36[[#This Row],[Grist]],SMI,0)),0,1))))</f>
        <v>-</v>
      </c>
      <c r="AB111" s="127">
        <f>SUM(Table36[[#This Row],[ QI Bran Content]:[QI WG]])</f>
        <v>4</v>
      </c>
      <c r="AC111" s="127">
        <f>COUNT(Table36[[#This Row],[ QI Bran Content]:[QI WG]])</f>
        <v>4</v>
      </c>
    </row>
    <row r="112" spans="1:29" x14ac:dyDescent="0.35">
      <c r="A112" s="177">
        <v>45292</v>
      </c>
      <c r="B112" s="178">
        <v>45310</v>
      </c>
      <c r="C112" s="178" t="s">
        <v>130</v>
      </c>
      <c r="D112" s="179">
        <v>1.2083333333333299</v>
      </c>
      <c r="E112" s="180" t="s">
        <v>0</v>
      </c>
      <c r="F112" s="181" t="s">
        <v>40</v>
      </c>
      <c r="G112" s="182">
        <v>5.7000000000000002E-3</v>
      </c>
      <c r="H112" s="175" t="s">
        <v>165</v>
      </c>
      <c r="I112" s="175" t="s">
        <v>165</v>
      </c>
      <c r="J112" s="175" t="s">
        <v>165</v>
      </c>
      <c r="K112" s="175">
        <v>13.21</v>
      </c>
      <c r="L112" s="175" t="s">
        <v>163</v>
      </c>
      <c r="M112" s="175" t="s">
        <v>163</v>
      </c>
      <c r="N112" s="175" t="s">
        <v>163</v>
      </c>
      <c r="O112" s="175" t="s">
        <v>163</v>
      </c>
      <c r="P112" s="175" t="s">
        <v>163</v>
      </c>
      <c r="Q112" s="175" t="s">
        <v>163</v>
      </c>
      <c r="R112" s="127">
        <f>IF(Table36[[#This Row],[ Bran Content]]="-","-",IF(G112&lt;0.02,1,0))</f>
        <v>1</v>
      </c>
      <c r="S112" s="127">
        <f>IF(Table36[[#This Row],[Sieve Test]]="-","-",IF(Table36[[#This Row],[Sieve Test]]="P",1,0))</f>
        <v>1</v>
      </c>
      <c r="T112" s="127">
        <f>IF(Table36[[#This Row],[Odor]]="-","-",IF(Table36[[#This Row],[Odor]]="P",1,0))</f>
        <v>1</v>
      </c>
      <c r="U112" s="127">
        <f>IF(INDEX(MCmin,MATCH(Table36[[#This Row],[Grist]],SMI,0))="-","-",IF(Table36[[#This Row],[F1 %MC]]="-","-",IF(Table36[[#This Row],[F1 %MC]]&lt;INDEX(MCmin,MATCH(Table36[[#This Row],[Grist]],SMI,0)),0,IF(Table36[[#This Row],[F1 %MC]]&gt;INDEX(MCmax,MATCH(Table36[[#This Row],[Grist]],SMI,0)),0,1))))</f>
        <v>1</v>
      </c>
      <c r="V112" s="127" t="str">
        <f>IF(INDEX(Protmin,MATCH(Table36[[#This Row],[Grist]],SMI,0))="-","-",IF(Table36[[#This Row],[%Protein]]="-","-",IF(Table36[[#This Row],[%Protein]]&lt;INDEX(Protmin,MATCH(Table36[[#This Row],[Grist]],SMI,0)),0,IF(Table36[[#This Row],[%Protein]]&gt;INDEX(Protmax,MATCH(Table36[[#This Row],[Grist]],SMI,0)),0,1))))</f>
        <v>-</v>
      </c>
      <c r="W112" s="127" t="str">
        <f>IF(INDEX(Ashmin,MATCH(Table36[[#This Row],[Grist]],SMI,0))="-","-",IF(Table36[[#This Row],[%Ash]]="-","-",IF(Table36[[#This Row],[%Ash]]&lt;INDEX(Ashmin,MATCH(Table36[[#This Row],[Grist]],SMI,0)),0,IF(Table36[[#This Row],[%Ash]]&gt;INDEX(Ashmax,MATCH(Table36[[#This Row],[Grist]],SMI,0)),0,1))))</f>
        <v>-</v>
      </c>
      <c r="X112" s="127" t="str">
        <f>IF(INDEX(Absmin,MATCH(Table36[[#This Row],[Grist]],SMI,0))="-","-",IF(Table36[[#This Row],[%Absorption]]="-","-",IF(Table36[[#This Row],[%Absorption]]&lt;INDEX(Absmin,MATCH(Table36[[#This Row],[Grist]],SMI,0)),0,IF(Table36[[#This Row],[%Absorption]]&gt;INDEX(Absmax,MATCH(Table36[[#This Row],[Grist]],SMI,0)),0,1))))</f>
        <v>-</v>
      </c>
      <c r="Y112" s="127" t="str">
        <f>IF(INDEX(Extmin,MATCH(Table36[[#This Row],[Grist]],SMI,0))="-","-",IF(Table36[[#This Row],[%Extensibility]]="-","-",IF(Table36[[#This Row],[%Extensibility]]&lt;INDEX(Extmin,MATCH(Table36[[#This Row],[Grist]],SMI,0)),0,IF(Table36[[#This Row],[%Extensibility]]&gt;INDEX(Extmax,MATCH(Table36[[#This Row],[Grist]],SMI,0)),0,1))))</f>
        <v>-</v>
      </c>
      <c r="Z112" s="127" t="str">
        <f>IF(INDEX(Resmin,MATCH(Table36[[#This Row],[Grist]],SMI,0))="-","-",IF(Table36[[#This Row],[Resistance, max]]="-","-",IF(Table36[[#This Row],[Resistance, max]]&lt;INDEX(Resmin,MATCH(Table36[[#This Row],[Grist]],SMI,0)),0,IF(Table36[[#This Row],[Resistance, max]]&gt;INDEX(Resmax,MATCH(Table36[[#This Row],[Grist]],SMI,0)),0,1))))</f>
        <v>-</v>
      </c>
      <c r="AA112" s="127" t="str">
        <f>IF(INDEX(WGmin,MATCH(Table36[[#This Row],[Grist]],SMI,0))="-","-",IF(Table36[[#This Row],[%Wet Gluten]]="-","-",IF(Table36[[#This Row],[%Wet Gluten]]&lt;INDEX(WGmin,MATCH(Table36[[#This Row],[Grist]],SMI,0)),0,IF(Table36[[#This Row],[%Wet Gluten]]&gt;INDEX(WGmax,MATCH(Table36[[#This Row],[Grist]],SMI,0)),0,1))))</f>
        <v>-</v>
      </c>
      <c r="AB112" s="127">
        <f>SUM(Table36[[#This Row],[ QI Bran Content]:[QI WG]])</f>
        <v>4</v>
      </c>
      <c r="AC112" s="127">
        <f>COUNT(Table36[[#This Row],[ QI Bran Content]:[QI WG]])</f>
        <v>4</v>
      </c>
    </row>
    <row r="113" spans="1:29" x14ac:dyDescent="0.35">
      <c r="A113" s="177">
        <v>45292</v>
      </c>
      <c r="B113" s="178">
        <v>45310</v>
      </c>
      <c r="C113" s="178" t="s">
        <v>128</v>
      </c>
      <c r="D113" s="179">
        <v>0.95833333333333337</v>
      </c>
      <c r="E113" s="180" t="s">
        <v>1</v>
      </c>
      <c r="F113" s="181" t="s">
        <v>241</v>
      </c>
      <c r="G113" s="182">
        <v>4.2000000000000003E-2</v>
      </c>
      <c r="H113" s="175" t="s">
        <v>165</v>
      </c>
      <c r="I113" s="175" t="s">
        <v>165</v>
      </c>
      <c r="J113" s="175" t="s">
        <v>165</v>
      </c>
      <c r="K113" s="175">
        <v>11.79</v>
      </c>
      <c r="L113" s="175" t="s">
        <v>163</v>
      </c>
      <c r="M113" s="175" t="s">
        <v>163</v>
      </c>
      <c r="N113" s="175" t="s">
        <v>163</v>
      </c>
      <c r="O113" s="175" t="s">
        <v>163</v>
      </c>
      <c r="P113" s="175" t="s">
        <v>163</v>
      </c>
      <c r="Q113" s="175" t="s">
        <v>163</v>
      </c>
      <c r="R113" s="127">
        <f>IF(Table36[[#This Row],[ Bran Content]]="-","-",IF(G113&lt;0.02,1,0))</f>
        <v>0</v>
      </c>
      <c r="S113" s="127">
        <f>IF(Table36[[#This Row],[Sieve Test]]="-","-",IF(Table36[[#This Row],[Sieve Test]]="P",1,0))</f>
        <v>1</v>
      </c>
      <c r="T113" s="127">
        <f>IF(Table36[[#This Row],[Odor]]="-","-",IF(Table36[[#This Row],[Odor]]="P",1,0))</f>
        <v>1</v>
      </c>
      <c r="U113" s="127" t="str">
        <f>IF(INDEX(MCmin,MATCH(Table36[[#This Row],[Grist]],SMI,0))="-","-",IF(Table36[[#This Row],[F1 %MC]]="-","-",IF(Table36[[#This Row],[F1 %MC]]&lt;INDEX(MCmin,MATCH(Table36[[#This Row],[Grist]],SMI,0)),0,IF(Table36[[#This Row],[F1 %MC]]&gt;INDEX(MCmax,MATCH(Table36[[#This Row],[Grist]],SMI,0)),0,1))))</f>
        <v>-</v>
      </c>
      <c r="V113" s="127" t="str">
        <f>IF(INDEX(Protmin,MATCH(Table36[[#This Row],[Grist]],SMI,0))="-","-",IF(Table36[[#This Row],[%Protein]]="-","-",IF(Table36[[#This Row],[%Protein]]&lt;INDEX(Protmin,MATCH(Table36[[#This Row],[Grist]],SMI,0)),0,IF(Table36[[#This Row],[%Protein]]&gt;INDEX(Protmax,MATCH(Table36[[#This Row],[Grist]],SMI,0)),0,1))))</f>
        <v>-</v>
      </c>
      <c r="W113" s="127" t="str">
        <f>IF(INDEX(Ashmin,MATCH(Table36[[#This Row],[Grist]],SMI,0))="-","-",IF(Table36[[#This Row],[%Ash]]="-","-",IF(Table36[[#This Row],[%Ash]]&lt;INDEX(Ashmin,MATCH(Table36[[#This Row],[Grist]],SMI,0)),0,IF(Table36[[#This Row],[%Ash]]&gt;INDEX(Ashmax,MATCH(Table36[[#This Row],[Grist]],SMI,0)),0,1))))</f>
        <v>-</v>
      </c>
      <c r="X113" s="127" t="str">
        <f>IF(INDEX(Absmin,MATCH(Table36[[#This Row],[Grist]],SMI,0))="-","-",IF(Table36[[#This Row],[%Absorption]]="-","-",IF(Table36[[#This Row],[%Absorption]]&lt;INDEX(Absmin,MATCH(Table36[[#This Row],[Grist]],SMI,0)),0,IF(Table36[[#This Row],[%Absorption]]&gt;INDEX(Absmax,MATCH(Table36[[#This Row],[Grist]],SMI,0)),0,1))))</f>
        <v>-</v>
      </c>
      <c r="Y113" s="127" t="str">
        <f>IF(INDEX(Extmin,MATCH(Table36[[#This Row],[Grist]],SMI,0))="-","-",IF(Table36[[#This Row],[%Extensibility]]="-","-",IF(Table36[[#This Row],[%Extensibility]]&lt;INDEX(Extmin,MATCH(Table36[[#This Row],[Grist]],SMI,0)),0,IF(Table36[[#This Row],[%Extensibility]]&gt;INDEX(Extmax,MATCH(Table36[[#This Row],[Grist]],SMI,0)),0,1))))</f>
        <v>-</v>
      </c>
      <c r="Z113" s="127" t="str">
        <f>IF(INDEX(Resmin,MATCH(Table36[[#This Row],[Grist]],SMI,0))="-","-",IF(Table36[[#This Row],[Resistance, max]]="-","-",IF(Table36[[#This Row],[Resistance, max]]&lt;INDEX(Resmin,MATCH(Table36[[#This Row],[Grist]],SMI,0)),0,IF(Table36[[#This Row],[Resistance, max]]&gt;INDEX(Resmax,MATCH(Table36[[#This Row],[Grist]],SMI,0)),0,1))))</f>
        <v>-</v>
      </c>
      <c r="AA113" s="127" t="str">
        <f>IF(INDEX(WGmin,MATCH(Table36[[#This Row],[Grist]],SMI,0))="-","-",IF(Table36[[#This Row],[%Wet Gluten]]="-","-",IF(Table36[[#This Row],[%Wet Gluten]]&lt;INDEX(WGmin,MATCH(Table36[[#This Row],[Grist]],SMI,0)),0,IF(Table36[[#This Row],[%Wet Gluten]]&gt;INDEX(WGmax,MATCH(Table36[[#This Row],[Grist]],SMI,0)),0,1))))</f>
        <v>-</v>
      </c>
      <c r="AB113" s="127">
        <f>SUM(Table36[[#This Row],[ QI Bran Content]:[QI WG]])</f>
        <v>2</v>
      </c>
      <c r="AC113" s="127">
        <f>COUNT(Table36[[#This Row],[ QI Bran Content]:[QI WG]])</f>
        <v>3</v>
      </c>
    </row>
    <row r="114" spans="1:29" x14ac:dyDescent="0.35">
      <c r="A114" s="177">
        <v>45292</v>
      </c>
      <c r="B114" s="178">
        <v>45310</v>
      </c>
      <c r="C114" s="178" t="s">
        <v>130</v>
      </c>
      <c r="D114" s="179">
        <v>1.125</v>
      </c>
      <c r="E114" s="180" t="s">
        <v>1</v>
      </c>
      <c r="F114" s="181" t="s">
        <v>241</v>
      </c>
      <c r="G114" s="182">
        <v>0.1487</v>
      </c>
      <c r="H114" s="175" t="s">
        <v>165</v>
      </c>
      <c r="I114" s="175" t="s">
        <v>165</v>
      </c>
      <c r="J114" s="175" t="s">
        <v>165</v>
      </c>
      <c r="K114" s="175">
        <v>11.39</v>
      </c>
      <c r="L114" s="175" t="s">
        <v>163</v>
      </c>
      <c r="M114" s="175" t="s">
        <v>163</v>
      </c>
      <c r="N114" s="175" t="s">
        <v>163</v>
      </c>
      <c r="O114" s="175" t="s">
        <v>163</v>
      </c>
      <c r="P114" s="175" t="s">
        <v>163</v>
      </c>
      <c r="Q114" s="175" t="s">
        <v>163</v>
      </c>
      <c r="R114" s="127">
        <f>IF(Table36[[#This Row],[ Bran Content]]="-","-",IF(G114&lt;0.02,1,0))</f>
        <v>0</v>
      </c>
      <c r="S114" s="127">
        <f>IF(Table36[[#This Row],[Sieve Test]]="-","-",IF(Table36[[#This Row],[Sieve Test]]="P",1,0))</f>
        <v>1</v>
      </c>
      <c r="T114" s="127">
        <f>IF(Table36[[#This Row],[Odor]]="-","-",IF(Table36[[#This Row],[Odor]]="P",1,0))</f>
        <v>1</v>
      </c>
      <c r="U114" s="127" t="str">
        <f>IF(INDEX(MCmin,MATCH(Table36[[#This Row],[Grist]],SMI,0))="-","-",IF(Table36[[#This Row],[F1 %MC]]="-","-",IF(Table36[[#This Row],[F1 %MC]]&lt;INDEX(MCmin,MATCH(Table36[[#This Row],[Grist]],SMI,0)),0,IF(Table36[[#This Row],[F1 %MC]]&gt;INDEX(MCmax,MATCH(Table36[[#This Row],[Grist]],SMI,0)),0,1))))</f>
        <v>-</v>
      </c>
      <c r="V114" s="127" t="str">
        <f>IF(INDEX(Protmin,MATCH(Table36[[#This Row],[Grist]],SMI,0))="-","-",IF(Table36[[#This Row],[%Protein]]="-","-",IF(Table36[[#This Row],[%Protein]]&lt;INDEX(Protmin,MATCH(Table36[[#This Row],[Grist]],SMI,0)),0,IF(Table36[[#This Row],[%Protein]]&gt;INDEX(Protmax,MATCH(Table36[[#This Row],[Grist]],SMI,0)),0,1))))</f>
        <v>-</v>
      </c>
      <c r="W114" s="127" t="str">
        <f>IF(INDEX(Ashmin,MATCH(Table36[[#This Row],[Grist]],SMI,0))="-","-",IF(Table36[[#This Row],[%Ash]]="-","-",IF(Table36[[#This Row],[%Ash]]&lt;INDEX(Ashmin,MATCH(Table36[[#This Row],[Grist]],SMI,0)),0,IF(Table36[[#This Row],[%Ash]]&gt;INDEX(Ashmax,MATCH(Table36[[#This Row],[Grist]],SMI,0)),0,1))))</f>
        <v>-</v>
      </c>
      <c r="X114" s="127" t="str">
        <f>IF(INDEX(Absmin,MATCH(Table36[[#This Row],[Grist]],SMI,0))="-","-",IF(Table36[[#This Row],[%Absorption]]="-","-",IF(Table36[[#This Row],[%Absorption]]&lt;INDEX(Absmin,MATCH(Table36[[#This Row],[Grist]],SMI,0)),0,IF(Table36[[#This Row],[%Absorption]]&gt;INDEX(Absmax,MATCH(Table36[[#This Row],[Grist]],SMI,0)),0,1))))</f>
        <v>-</v>
      </c>
      <c r="Y114" s="127" t="str">
        <f>IF(INDEX(Extmin,MATCH(Table36[[#This Row],[Grist]],SMI,0))="-","-",IF(Table36[[#This Row],[%Extensibility]]="-","-",IF(Table36[[#This Row],[%Extensibility]]&lt;INDEX(Extmin,MATCH(Table36[[#This Row],[Grist]],SMI,0)),0,IF(Table36[[#This Row],[%Extensibility]]&gt;INDEX(Extmax,MATCH(Table36[[#This Row],[Grist]],SMI,0)),0,1))))</f>
        <v>-</v>
      </c>
      <c r="Z114" s="127" t="str">
        <f>IF(INDEX(Resmin,MATCH(Table36[[#This Row],[Grist]],SMI,0))="-","-",IF(Table36[[#This Row],[Resistance, max]]="-","-",IF(Table36[[#This Row],[Resistance, max]]&lt;INDEX(Resmin,MATCH(Table36[[#This Row],[Grist]],SMI,0)),0,IF(Table36[[#This Row],[Resistance, max]]&gt;INDEX(Resmax,MATCH(Table36[[#This Row],[Grist]],SMI,0)),0,1))))</f>
        <v>-</v>
      </c>
      <c r="AA114" s="127" t="str">
        <f>IF(INDEX(WGmin,MATCH(Table36[[#This Row],[Grist]],SMI,0))="-","-",IF(Table36[[#This Row],[%Wet Gluten]]="-","-",IF(Table36[[#This Row],[%Wet Gluten]]&lt;INDEX(WGmin,MATCH(Table36[[#This Row],[Grist]],SMI,0)),0,IF(Table36[[#This Row],[%Wet Gluten]]&gt;INDEX(WGmax,MATCH(Table36[[#This Row],[Grist]],SMI,0)),0,1))))</f>
        <v>-</v>
      </c>
      <c r="AB114" s="127">
        <f>SUM(Table36[[#This Row],[ QI Bran Content]:[QI WG]])</f>
        <v>2</v>
      </c>
      <c r="AC114" s="127">
        <f>COUNT(Table36[[#This Row],[ QI Bran Content]:[QI WG]])</f>
        <v>3</v>
      </c>
    </row>
    <row r="115" spans="1:29" x14ac:dyDescent="0.35">
      <c r="A115" s="177">
        <v>45292</v>
      </c>
      <c r="B115" s="178">
        <v>45310</v>
      </c>
      <c r="C115" s="178" t="s">
        <v>130</v>
      </c>
      <c r="D115" s="179">
        <v>1.2083333333333299</v>
      </c>
      <c r="E115" s="180" t="s">
        <v>1</v>
      </c>
      <c r="F115" s="181" t="s">
        <v>241</v>
      </c>
      <c r="G115" s="182">
        <v>3.3799999999999997E-2</v>
      </c>
      <c r="H115" s="175" t="s">
        <v>165</v>
      </c>
      <c r="I115" s="175" t="s">
        <v>165</v>
      </c>
      <c r="J115" s="175" t="s">
        <v>165</v>
      </c>
      <c r="K115" s="175">
        <v>12.18</v>
      </c>
      <c r="L115" s="175" t="s">
        <v>163</v>
      </c>
      <c r="M115" s="175" t="s">
        <v>163</v>
      </c>
      <c r="N115" s="175" t="s">
        <v>163</v>
      </c>
      <c r="O115" s="175" t="s">
        <v>163</v>
      </c>
      <c r="P115" s="175" t="s">
        <v>163</v>
      </c>
      <c r="Q115" s="175" t="s">
        <v>163</v>
      </c>
      <c r="R115" s="127">
        <f>IF(Table36[[#This Row],[ Bran Content]]="-","-",IF(G115&lt;0.02,1,0))</f>
        <v>0</v>
      </c>
      <c r="S115" s="127">
        <f>IF(Table36[[#This Row],[Sieve Test]]="-","-",IF(Table36[[#This Row],[Sieve Test]]="P",1,0))</f>
        <v>1</v>
      </c>
      <c r="T115" s="127">
        <f>IF(Table36[[#This Row],[Odor]]="-","-",IF(Table36[[#This Row],[Odor]]="P",1,0))</f>
        <v>1</v>
      </c>
      <c r="U115" s="127" t="str">
        <f>IF(INDEX(MCmin,MATCH(Table36[[#This Row],[Grist]],SMI,0))="-","-",IF(Table36[[#This Row],[F1 %MC]]="-","-",IF(Table36[[#This Row],[F1 %MC]]&lt;INDEX(MCmin,MATCH(Table36[[#This Row],[Grist]],SMI,0)),0,IF(Table36[[#This Row],[F1 %MC]]&gt;INDEX(MCmax,MATCH(Table36[[#This Row],[Grist]],SMI,0)),0,1))))</f>
        <v>-</v>
      </c>
      <c r="V115" s="127" t="str">
        <f>IF(INDEX(Protmin,MATCH(Table36[[#This Row],[Grist]],SMI,0))="-","-",IF(Table36[[#This Row],[%Protein]]="-","-",IF(Table36[[#This Row],[%Protein]]&lt;INDEX(Protmin,MATCH(Table36[[#This Row],[Grist]],SMI,0)),0,IF(Table36[[#This Row],[%Protein]]&gt;INDEX(Protmax,MATCH(Table36[[#This Row],[Grist]],SMI,0)),0,1))))</f>
        <v>-</v>
      </c>
      <c r="W115" s="127" t="str">
        <f>IF(INDEX(Ashmin,MATCH(Table36[[#This Row],[Grist]],SMI,0))="-","-",IF(Table36[[#This Row],[%Ash]]="-","-",IF(Table36[[#This Row],[%Ash]]&lt;INDEX(Ashmin,MATCH(Table36[[#This Row],[Grist]],SMI,0)),0,IF(Table36[[#This Row],[%Ash]]&gt;INDEX(Ashmax,MATCH(Table36[[#This Row],[Grist]],SMI,0)),0,1))))</f>
        <v>-</v>
      </c>
      <c r="X115" s="127" t="str">
        <f>IF(INDEX(Absmin,MATCH(Table36[[#This Row],[Grist]],SMI,0))="-","-",IF(Table36[[#This Row],[%Absorption]]="-","-",IF(Table36[[#This Row],[%Absorption]]&lt;INDEX(Absmin,MATCH(Table36[[#This Row],[Grist]],SMI,0)),0,IF(Table36[[#This Row],[%Absorption]]&gt;INDEX(Absmax,MATCH(Table36[[#This Row],[Grist]],SMI,0)),0,1))))</f>
        <v>-</v>
      </c>
      <c r="Y115" s="127" t="str">
        <f>IF(INDEX(Extmin,MATCH(Table36[[#This Row],[Grist]],SMI,0))="-","-",IF(Table36[[#This Row],[%Extensibility]]="-","-",IF(Table36[[#This Row],[%Extensibility]]&lt;INDEX(Extmin,MATCH(Table36[[#This Row],[Grist]],SMI,0)),0,IF(Table36[[#This Row],[%Extensibility]]&gt;INDEX(Extmax,MATCH(Table36[[#This Row],[Grist]],SMI,0)),0,1))))</f>
        <v>-</v>
      </c>
      <c r="Z115" s="127" t="str">
        <f>IF(INDEX(Resmin,MATCH(Table36[[#This Row],[Grist]],SMI,0))="-","-",IF(Table36[[#This Row],[Resistance, max]]="-","-",IF(Table36[[#This Row],[Resistance, max]]&lt;INDEX(Resmin,MATCH(Table36[[#This Row],[Grist]],SMI,0)),0,IF(Table36[[#This Row],[Resistance, max]]&gt;INDEX(Resmax,MATCH(Table36[[#This Row],[Grist]],SMI,0)),0,1))))</f>
        <v>-</v>
      </c>
      <c r="AA115" s="127" t="str">
        <f>IF(INDEX(WGmin,MATCH(Table36[[#This Row],[Grist]],SMI,0))="-","-",IF(Table36[[#This Row],[%Wet Gluten]]="-","-",IF(Table36[[#This Row],[%Wet Gluten]]&lt;INDEX(WGmin,MATCH(Table36[[#This Row],[Grist]],SMI,0)),0,IF(Table36[[#This Row],[%Wet Gluten]]&gt;INDEX(WGmax,MATCH(Table36[[#This Row],[Grist]],SMI,0)),0,1))))</f>
        <v>-</v>
      </c>
      <c r="AB115" s="127">
        <f>SUM(Table36[[#This Row],[ QI Bran Content]:[QI WG]])</f>
        <v>2</v>
      </c>
      <c r="AC115" s="127">
        <f>COUNT(Table36[[#This Row],[ QI Bran Content]:[QI WG]])</f>
        <v>3</v>
      </c>
    </row>
    <row r="116" spans="1:29" x14ac:dyDescent="0.35">
      <c r="A116" s="177">
        <v>45292</v>
      </c>
      <c r="B116" s="178">
        <v>45311</v>
      </c>
      <c r="C116" s="178" t="s">
        <v>125</v>
      </c>
      <c r="D116" s="179" t="s">
        <v>239</v>
      </c>
      <c r="E116" s="180" t="s">
        <v>0</v>
      </c>
      <c r="F116" s="181" t="s">
        <v>40</v>
      </c>
      <c r="G116" s="182">
        <v>1.06E-2</v>
      </c>
      <c r="H116" s="175" t="s">
        <v>165</v>
      </c>
      <c r="I116" s="175" t="s">
        <v>165</v>
      </c>
      <c r="J116" s="175" t="s">
        <v>165</v>
      </c>
      <c r="K116" s="175">
        <v>13.05</v>
      </c>
      <c r="L116" s="175">
        <v>13.77</v>
      </c>
      <c r="M116" s="175">
        <v>0.47</v>
      </c>
      <c r="N116" s="175">
        <v>64.8</v>
      </c>
      <c r="O116" s="175" t="s">
        <v>163</v>
      </c>
      <c r="P116" s="175" t="s">
        <v>163</v>
      </c>
      <c r="Q116" s="175">
        <v>35.479999999999997</v>
      </c>
      <c r="R116" s="127">
        <f>IF(Table36[[#This Row],[ Bran Content]]="-","-",IF(G116&lt;0.02,1,0))</f>
        <v>1</v>
      </c>
      <c r="S116" s="127">
        <f>IF(Table36[[#This Row],[Sieve Test]]="-","-",IF(Table36[[#This Row],[Sieve Test]]="P",1,0))</f>
        <v>1</v>
      </c>
      <c r="T116" s="127">
        <f>IF(Table36[[#This Row],[Odor]]="-","-",IF(Table36[[#This Row],[Odor]]="P",1,0))</f>
        <v>1</v>
      </c>
      <c r="U116" s="127">
        <f>IF(INDEX(MCmin,MATCH(Table36[[#This Row],[Grist]],SMI,0))="-","-",IF(Table36[[#This Row],[F1 %MC]]="-","-",IF(Table36[[#This Row],[F1 %MC]]&lt;INDEX(MCmin,MATCH(Table36[[#This Row],[Grist]],SMI,0)),0,IF(Table36[[#This Row],[F1 %MC]]&gt;INDEX(MCmax,MATCH(Table36[[#This Row],[Grist]],SMI,0)),0,1))))</f>
        <v>1</v>
      </c>
      <c r="V116" s="127">
        <f>IF(INDEX(Protmin,MATCH(Table36[[#This Row],[Grist]],SMI,0))="-","-",IF(Table36[[#This Row],[%Protein]]="-","-",IF(Table36[[#This Row],[%Protein]]&lt;INDEX(Protmin,MATCH(Table36[[#This Row],[Grist]],SMI,0)),0,IF(Table36[[#This Row],[%Protein]]&gt;INDEX(Protmax,MATCH(Table36[[#This Row],[Grist]],SMI,0)),0,1))))</f>
        <v>1</v>
      </c>
      <c r="W116" s="127">
        <f>IF(INDEX(Ashmin,MATCH(Table36[[#This Row],[Grist]],SMI,0))="-","-",IF(Table36[[#This Row],[%Ash]]="-","-",IF(Table36[[#This Row],[%Ash]]&lt;INDEX(Ashmin,MATCH(Table36[[#This Row],[Grist]],SMI,0)),0,IF(Table36[[#This Row],[%Ash]]&gt;INDEX(Ashmax,MATCH(Table36[[#This Row],[Grist]],SMI,0)),0,1))))</f>
        <v>1</v>
      </c>
      <c r="X116" s="127">
        <f>IF(INDEX(Absmin,MATCH(Table36[[#This Row],[Grist]],SMI,0))="-","-",IF(Table36[[#This Row],[%Absorption]]="-","-",IF(Table36[[#This Row],[%Absorption]]&lt;INDEX(Absmin,MATCH(Table36[[#This Row],[Grist]],SMI,0)),0,IF(Table36[[#This Row],[%Absorption]]&gt;INDEX(Absmax,MATCH(Table36[[#This Row],[Grist]],SMI,0)),0,1))))</f>
        <v>1</v>
      </c>
      <c r="Y116" s="127" t="str">
        <f>IF(INDEX(Extmin,MATCH(Table36[[#This Row],[Grist]],SMI,0))="-","-",IF(Table36[[#This Row],[%Extensibility]]="-","-",IF(Table36[[#This Row],[%Extensibility]]&lt;INDEX(Extmin,MATCH(Table36[[#This Row],[Grist]],SMI,0)),0,IF(Table36[[#This Row],[%Extensibility]]&gt;INDEX(Extmax,MATCH(Table36[[#This Row],[Grist]],SMI,0)),0,1))))</f>
        <v>-</v>
      </c>
      <c r="Z116" s="127" t="str">
        <f>IF(INDEX(Resmin,MATCH(Table36[[#This Row],[Grist]],SMI,0))="-","-",IF(Table36[[#This Row],[Resistance, max]]="-","-",IF(Table36[[#This Row],[Resistance, max]]&lt;INDEX(Resmin,MATCH(Table36[[#This Row],[Grist]],SMI,0)),0,IF(Table36[[#This Row],[Resistance, max]]&gt;INDEX(Resmax,MATCH(Table36[[#This Row],[Grist]],SMI,0)),0,1))))</f>
        <v>-</v>
      </c>
      <c r="AA116" s="127">
        <f>IF(INDEX(WGmin,MATCH(Table36[[#This Row],[Grist]],SMI,0))="-","-",IF(Table36[[#This Row],[%Wet Gluten]]="-","-",IF(Table36[[#This Row],[%Wet Gluten]]&lt;INDEX(WGmin,MATCH(Table36[[#This Row],[Grist]],SMI,0)),0,IF(Table36[[#This Row],[%Wet Gluten]]&gt;INDEX(WGmax,MATCH(Table36[[#This Row],[Grist]],SMI,0)),0,1))))</f>
        <v>1</v>
      </c>
      <c r="AB116" s="127">
        <f>SUM(Table36[[#This Row],[ QI Bran Content]:[QI WG]])</f>
        <v>8</v>
      </c>
      <c r="AC116" s="127">
        <f>COUNT(Table36[[#This Row],[ QI Bran Content]:[QI WG]])</f>
        <v>8</v>
      </c>
    </row>
    <row r="117" spans="1:29" x14ac:dyDescent="0.35">
      <c r="A117" s="177">
        <v>45292</v>
      </c>
      <c r="B117" s="178">
        <v>45311</v>
      </c>
      <c r="C117" s="178" t="s">
        <v>125</v>
      </c>
      <c r="D117" s="179" t="s">
        <v>240</v>
      </c>
      <c r="E117" s="180" t="s">
        <v>0</v>
      </c>
      <c r="F117" s="181" t="s">
        <v>40</v>
      </c>
      <c r="G117" s="182">
        <v>1.06E-2</v>
      </c>
      <c r="H117" s="175" t="s">
        <v>165</v>
      </c>
      <c r="I117" s="175" t="s">
        <v>165</v>
      </c>
      <c r="J117" s="175" t="s">
        <v>165</v>
      </c>
      <c r="K117" s="175">
        <v>12.54</v>
      </c>
      <c r="L117" s="175" t="s">
        <v>163</v>
      </c>
      <c r="M117" s="175" t="s">
        <v>163</v>
      </c>
      <c r="N117" s="175" t="s">
        <v>163</v>
      </c>
      <c r="O117" s="175" t="s">
        <v>163</v>
      </c>
      <c r="P117" s="175" t="s">
        <v>163</v>
      </c>
      <c r="Q117" s="175" t="s">
        <v>163</v>
      </c>
      <c r="R117" s="127">
        <f>IF(Table36[[#This Row],[ Bran Content]]="-","-",IF(G117&lt;0.02,1,0))</f>
        <v>1</v>
      </c>
      <c r="S117" s="127">
        <f>IF(Table36[[#This Row],[Sieve Test]]="-","-",IF(Table36[[#This Row],[Sieve Test]]="P",1,0))</f>
        <v>1</v>
      </c>
      <c r="T117" s="127">
        <f>IF(Table36[[#This Row],[Odor]]="-","-",IF(Table36[[#This Row],[Odor]]="P",1,0))</f>
        <v>1</v>
      </c>
      <c r="U117" s="127">
        <f>IF(INDEX(MCmin,MATCH(Table36[[#This Row],[Grist]],SMI,0))="-","-",IF(Table36[[#This Row],[F1 %MC]]="-","-",IF(Table36[[#This Row],[F1 %MC]]&lt;INDEX(MCmin,MATCH(Table36[[#This Row],[Grist]],SMI,0)),0,IF(Table36[[#This Row],[F1 %MC]]&gt;INDEX(MCmax,MATCH(Table36[[#This Row],[Grist]],SMI,0)),0,1))))</f>
        <v>1</v>
      </c>
      <c r="V117" s="127" t="str">
        <f>IF(INDEX(Protmin,MATCH(Table36[[#This Row],[Grist]],SMI,0))="-","-",IF(Table36[[#This Row],[%Protein]]="-","-",IF(Table36[[#This Row],[%Protein]]&lt;INDEX(Protmin,MATCH(Table36[[#This Row],[Grist]],SMI,0)),0,IF(Table36[[#This Row],[%Protein]]&gt;INDEX(Protmax,MATCH(Table36[[#This Row],[Grist]],SMI,0)),0,1))))</f>
        <v>-</v>
      </c>
      <c r="W117" s="127" t="str">
        <f>IF(INDEX(Ashmin,MATCH(Table36[[#This Row],[Grist]],SMI,0))="-","-",IF(Table36[[#This Row],[%Ash]]="-","-",IF(Table36[[#This Row],[%Ash]]&lt;INDEX(Ashmin,MATCH(Table36[[#This Row],[Grist]],SMI,0)),0,IF(Table36[[#This Row],[%Ash]]&gt;INDEX(Ashmax,MATCH(Table36[[#This Row],[Grist]],SMI,0)),0,1))))</f>
        <v>-</v>
      </c>
      <c r="X117" s="127" t="str">
        <f>IF(INDEX(Absmin,MATCH(Table36[[#This Row],[Grist]],SMI,0))="-","-",IF(Table36[[#This Row],[%Absorption]]="-","-",IF(Table36[[#This Row],[%Absorption]]&lt;INDEX(Absmin,MATCH(Table36[[#This Row],[Grist]],SMI,0)),0,IF(Table36[[#This Row],[%Absorption]]&gt;INDEX(Absmax,MATCH(Table36[[#This Row],[Grist]],SMI,0)),0,1))))</f>
        <v>-</v>
      </c>
      <c r="Y117" s="127" t="str">
        <f>IF(INDEX(Extmin,MATCH(Table36[[#This Row],[Grist]],SMI,0))="-","-",IF(Table36[[#This Row],[%Extensibility]]="-","-",IF(Table36[[#This Row],[%Extensibility]]&lt;INDEX(Extmin,MATCH(Table36[[#This Row],[Grist]],SMI,0)),0,IF(Table36[[#This Row],[%Extensibility]]&gt;INDEX(Extmax,MATCH(Table36[[#This Row],[Grist]],SMI,0)),0,1))))</f>
        <v>-</v>
      </c>
      <c r="Z117" s="127" t="str">
        <f>IF(INDEX(Resmin,MATCH(Table36[[#This Row],[Grist]],SMI,0))="-","-",IF(Table36[[#This Row],[Resistance, max]]="-","-",IF(Table36[[#This Row],[Resistance, max]]&lt;INDEX(Resmin,MATCH(Table36[[#This Row],[Grist]],SMI,0)),0,IF(Table36[[#This Row],[Resistance, max]]&gt;INDEX(Resmax,MATCH(Table36[[#This Row],[Grist]],SMI,0)),0,1))))</f>
        <v>-</v>
      </c>
      <c r="AA117" s="127" t="str">
        <f>IF(INDEX(WGmin,MATCH(Table36[[#This Row],[Grist]],SMI,0))="-","-",IF(Table36[[#This Row],[%Wet Gluten]]="-","-",IF(Table36[[#This Row],[%Wet Gluten]]&lt;INDEX(WGmin,MATCH(Table36[[#This Row],[Grist]],SMI,0)),0,IF(Table36[[#This Row],[%Wet Gluten]]&gt;INDEX(WGmax,MATCH(Table36[[#This Row],[Grist]],SMI,0)),0,1))))</f>
        <v>-</v>
      </c>
      <c r="AB117" s="127">
        <f>SUM(Table36[[#This Row],[ QI Bran Content]:[QI WG]])</f>
        <v>4</v>
      </c>
      <c r="AC117" s="127">
        <f>COUNT(Table36[[#This Row],[ QI Bran Content]:[QI WG]])</f>
        <v>4</v>
      </c>
    </row>
    <row r="118" spans="1:29" x14ac:dyDescent="0.35">
      <c r="A118" s="177">
        <v>45292</v>
      </c>
      <c r="B118" s="178">
        <v>45311</v>
      </c>
      <c r="C118" s="178" t="s">
        <v>125</v>
      </c>
      <c r="D118" s="179" t="s">
        <v>237</v>
      </c>
      <c r="E118" s="180" t="s">
        <v>0</v>
      </c>
      <c r="F118" s="181" t="s">
        <v>27</v>
      </c>
      <c r="G118" s="182">
        <v>1.1299999999999999E-2</v>
      </c>
      <c r="H118" s="175" t="s">
        <v>165</v>
      </c>
      <c r="I118" s="175" t="s">
        <v>165</v>
      </c>
      <c r="J118" s="175" t="s">
        <v>165</v>
      </c>
      <c r="K118" s="175">
        <v>12.44</v>
      </c>
      <c r="L118" s="175">
        <v>13.83</v>
      </c>
      <c r="M118" s="175">
        <v>0.47</v>
      </c>
      <c r="N118" s="175">
        <v>64.099999999999994</v>
      </c>
      <c r="O118" s="175" t="s">
        <v>163</v>
      </c>
      <c r="P118" s="175" t="s">
        <v>163</v>
      </c>
      <c r="Q118" s="175">
        <v>36.4</v>
      </c>
      <c r="R118" s="127">
        <f>IF(Table36[[#This Row],[ Bran Content]]="-","-",IF(G118&lt;0.02,1,0))</f>
        <v>1</v>
      </c>
      <c r="S118" s="127">
        <f>IF(Table36[[#This Row],[Sieve Test]]="-","-",IF(Table36[[#This Row],[Sieve Test]]="P",1,0))</f>
        <v>1</v>
      </c>
      <c r="T118" s="127">
        <f>IF(Table36[[#This Row],[Odor]]="-","-",IF(Table36[[#This Row],[Odor]]="P",1,0))</f>
        <v>1</v>
      </c>
      <c r="U118" s="127">
        <f>IF(INDEX(MCmin,MATCH(Table36[[#This Row],[Grist]],SMI,0))="-","-",IF(Table36[[#This Row],[F1 %MC]]="-","-",IF(Table36[[#This Row],[F1 %MC]]&lt;INDEX(MCmin,MATCH(Table36[[#This Row],[Grist]],SMI,0)),0,IF(Table36[[#This Row],[F1 %MC]]&gt;INDEX(MCmax,MATCH(Table36[[#This Row],[Grist]],SMI,0)),0,1))))</f>
        <v>1</v>
      </c>
      <c r="V118" s="127">
        <f>IF(INDEX(Protmin,MATCH(Table36[[#This Row],[Grist]],SMI,0))="-","-",IF(Table36[[#This Row],[%Protein]]="-","-",IF(Table36[[#This Row],[%Protein]]&lt;INDEX(Protmin,MATCH(Table36[[#This Row],[Grist]],SMI,0)),0,IF(Table36[[#This Row],[%Protein]]&gt;INDEX(Protmax,MATCH(Table36[[#This Row],[Grist]],SMI,0)),0,1))))</f>
        <v>1</v>
      </c>
      <c r="W118" s="127">
        <f>IF(INDEX(Ashmin,MATCH(Table36[[#This Row],[Grist]],SMI,0))="-","-",IF(Table36[[#This Row],[%Ash]]="-","-",IF(Table36[[#This Row],[%Ash]]&lt;INDEX(Ashmin,MATCH(Table36[[#This Row],[Grist]],SMI,0)),0,IF(Table36[[#This Row],[%Ash]]&gt;INDEX(Ashmax,MATCH(Table36[[#This Row],[Grist]],SMI,0)),0,1))))</f>
        <v>1</v>
      </c>
      <c r="X118" s="127">
        <f>IF(INDEX(Absmin,MATCH(Table36[[#This Row],[Grist]],SMI,0))="-","-",IF(Table36[[#This Row],[%Absorption]]="-","-",IF(Table36[[#This Row],[%Absorption]]&lt;INDEX(Absmin,MATCH(Table36[[#This Row],[Grist]],SMI,0)),0,IF(Table36[[#This Row],[%Absorption]]&gt;INDEX(Absmax,MATCH(Table36[[#This Row],[Grist]],SMI,0)),0,1))))</f>
        <v>1</v>
      </c>
      <c r="Y118" s="127" t="str">
        <f>IF(INDEX(Extmin,MATCH(Table36[[#This Row],[Grist]],SMI,0))="-","-",IF(Table36[[#This Row],[%Extensibility]]="-","-",IF(Table36[[#This Row],[%Extensibility]]&lt;INDEX(Extmin,MATCH(Table36[[#This Row],[Grist]],SMI,0)),0,IF(Table36[[#This Row],[%Extensibility]]&gt;INDEX(Extmax,MATCH(Table36[[#This Row],[Grist]],SMI,0)),0,1))))</f>
        <v>-</v>
      </c>
      <c r="Z118" s="127" t="str">
        <f>IF(INDEX(Resmin,MATCH(Table36[[#This Row],[Grist]],SMI,0))="-","-",IF(Table36[[#This Row],[Resistance, max]]="-","-",IF(Table36[[#This Row],[Resistance, max]]&lt;INDEX(Resmin,MATCH(Table36[[#This Row],[Grist]],SMI,0)),0,IF(Table36[[#This Row],[Resistance, max]]&gt;INDEX(Resmax,MATCH(Table36[[#This Row],[Grist]],SMI,0)),0,1))))</f>
        <v>-</v>
      </c>
      <c r="AA118" s="127">
        <f>IF(INDEX(WGmin,MATCH(Table36[[#This Row],[Grist]],SMI,0))="-","-",IF(Table36[[#This Row],[%Wet Gluten]]="-","-",IF(Table36[[#This Row],[%Wet Gluten]]&lt;INDEX(WGmin,MATCH(Table36[[#This Row],[Grist]],SMI,0)),0,IF(Table36[[#This Row],[%Wet Gluten]]&gt;INDEX(WGmax,MATCH(Table36[[#This Row],[Grist]],SMI,0)),0,1))))</f>
        <v>1</v>
      </c>
      <c r="AB118" s="127">
        <f>SUM(Table36[[#This Row],[ QI Bran Content]:[QI WG]])</f>
        <v>8</v>
      </c>
      <c r="AC118" s="127">
        <f>COUNT(Table36[[#This Row],[ QI Bran Content]:[QI WG]])</f>
        <v>8</v>
      </c>
    </row>
    <row r="119" spans="1:29" x14ac:dyDescent="0.35">
      <c r="A119" s="177">
        <v>45292</v>
      </c>
      <c r="B119" s="178">
        <v>45311</v>
      </c>
      <c r="C119" s="178" t="s">
        <v>125</v>
      </c>
      <c r="D119" s="179" t="s">
        <v>238</v>
      </c>
      <c r="E119" s="180" t="s">
        <v>0</v>
      </c>
      <c r="F119" s="181" t="s">
        <v>27</v>
      </c>
      <c r="G119" s="182">
        <v>9.7999999999999997E-3</v>
      </c>
      <c r="H119" s="175" t="s">
        <v>165</v>
      </c>
      <c r="I119" s="175" t="s">
        <v>165</v>
      </c>
      <c r="J119" s="175" t="s">
        <v>165</v>
      </c>
      <c r="K119" s="175">
        <v>12.73</v>
      </c>
      <c r="L119" s="175" t="s">
        <v>163</v>
      </c>
      <c r="M119" s="175" t="s">
        <v>163</v>
      </c>
      <c r="N119" s="175" t="s">
        <v>163</v>
      </c>
      <c r="O119" s="175" t="s">
        <v>163</v>
      </c>
      <c r="P119" s="175" t="s">
        <v>163</v>
      </c>
      <c r="Q119" s="175" t="s">
        <v>163</v>
      </c>
      <c r="R119" s="127">
        <f>IF(Table36[[#This Row],[ Bran Content]]="-","-",IF(G119&lt;0.02,1,0))</f>
        <v>1</v>
      </c>
      <c r="S119" s="127">
        <f>IF(Table36[[#This Row],[Sieve Test]]="-","-",IF(Table36[[#This Row],[Sieve Test]]="P",1,0))</f>
        <v>1</v>
      </c>
      <c r="T119" s="127">
        <f>IF(Table36[[#This Row],[Odor]]="-","-",IF(Table36[[#This Row],[Odor]]="P",1,0))</f>
        <v>1</v>
      </c>
      <c r="U119" s="127">
        <f>IF(INDEX(MCmin,MATCH(Table36[[#This Row],[Grist]],SMI,0))="-","-",IF(Table36[[#This Row],[F1 %MC]]="-","-",IF(Table36[[#This Row],[F1 %MC]]&lt;INDEX(MCmin,MATCH(Table36[[#This Row],[Grist]],SMI,0)),0,IF(Table36[[#This Row],[F1 %MC]]&gt;INDEX(MCmax,MATCH(Table36[[#This Row],[Grist]],SMI,0)),0,1))))</f>
        <v>1</v>
      </c>
      <c r="V119" s="127" t="str">
        <f>IF(INDEX(Protmin,MATCH(Table36[[#This Row],[Grist]],SMI,0))="-","-",IF(Table36[[#This Row],[%Protein]]="-","-",IF(Table36[[#This Row],[%Protein]]&lt;INDEX(Protmin,MATCH(Table36[[#This Row],[Grist]],SMI,0)),0,IF(Table36[[#This Row],[%Protein]]&gt;INDEX(Protmax,MATCH(Table36[[#This Row],[Grist]],SMI,0)),0,1))))</f>
        <v>-</v>
      </c>
      <c r="W119" s="127" t="str">
        <f>IF(INDEX(Ashmin,MATCH(Table36[[#This Row],[Grist]],SMI,0))="-","-",IF(Table36[[#This Row],[%Ash]]="-","-",IF(Table36[[#This Row],[%Ash]]&lt;INDEX(Ashmin,MATCH(Table36[[#This Row],[Grist]],SMI,0)),0,IF(Table36[[#This Row],[%Ash]]&gt;INDEX(Ashmax,MATCH(Table36[[#This Row],[Grist]],SMI,0)),0,1))))</f>
        <v>-</v>
      </c>
      <c r="X119" s="127" t="str">
        <f>IF(INDEX(Absmin,MATCH(Table36[[#This Row],[Grist]],SMI,0))="-","-",IF(Table36[[#This Row],[%Absorption]]="-","-",IF(Table36[[#This Row],[%Absorption]]&lt;INDEX(Absmin,MATCH(Table36[[#This Row],[Grist]],SMI,0)),0,IF(Table36[[#This Row],[%Absorption]]&gt;INDEX(Absmax,MATCH(Table36[[#This Row],[Grist]],SMI,0)),0,1))))</f>
        <v>-</v>
      </c>
      <c r="Y119" s="127" t="str">
        <f>IF(INDEX(Extmin,MATCH(Table36[[#This Row],[Grist]],SMI,0))="-","-",IF(Table36[[#This Row],[%Extensibility]]="-","-",IF(Table36[[#This Row],[%Extensibility]]&lt;INDEX(Extmin,MATCH(Table36[[#This Row],[Grist]],SMI,0)),0,IF(Table36[[#This Row],[%Extensibility]]&gt;INDEX(Extmax,MATCH(Table36[[#This Row],[Grist]],SMI,0)),0,1))))</f>
        <v>-</v>
      </c>
      <c r="Z119" s="127" t="str">
        <f>IF(INDEX(Resmin,MATCH(Table36[[#This Row],[Grist]],SMI,0))="-","-",IF(Table36[[#This Row],[Resistance, max]]="-","-",IF(Table36[[#This Row],[Resistance, max]]&lt;INDEX(Resmin,MATCH(Table36[[#This Row],[Grist]],SMI,0)),0,IF(Table36[[#This Row],[Resistance, max]]&gt;INDEX(Resmax,MATCH(Table36[[#This Row],[Grist]],SMI,0)),0,1))))</f>
        <v>-</v>
      </c>
      <c r="AA119" s="127" t="str">
        <f>IF(INDEX(WGmin,MATCH(Table36[[#This Row],[Grist]],SMI,0))="-","-",IF(Table36[[#This Row],[%Wet Gluten]]="-","-",IF(Table36[[#This Row],[%Wet Gluten]]&lt;INDEX(WGmin,MATCH(Table36[[#This Row],[Grist]],SMI,0)),0,IF(Table36[[#This Row],[%Wet Gluten]]&gt;INDEX(WGmax,MATCH(Table36[[#This Row],[Grist]],SMI,0)),0,1))))</f>
        <v>-</v>
      </c>
      <c r="AB119" s="127">
        <f>SUM(Table36[[#This Row],[ QI Bran Content]:[QI WG]])</f>
        <v>4</v>
      </c>
      <c r="AC119" s="127">
        <f>COUNT(Table36[[#This Row],[ QI Bran Content]:[QI WG]])</f>
        <v>4</v>
      </c>
    </row>
    <row r="120" spans="1:29" x14ac:dyDescent="0.35">
      <c r="A120" s="177">
        <v>45292</v>
      </c>
      <c r="B120" s="178">
        <v>45311</v>
      </c>
      <c r="C120" s="178" t="s">
        <v>125</v>
      </c>
      <c r="D120" s="179" t="s">
        <v>239</v>
      </c>
      <c r="E120" s="180" t="s">
        <v>1</v>
      </c>
      <c r="F120" s="181" t="s">
        <v>241</v>
      </c>
      <c r="G120" s="182" t="s">
        <v>163</v>
      </c>
      <c r="H120" s="175" t="s">
        <v>165</v>
      </c>
      <c r="I120" s="175" t="s">
        <v>163</v>
      </c>
      <c r="J120" s="175" t="s">
        <v>165</v>
      </c>
      <c r="K120" s="175">
        <v>12.38</v>
      </c>
      <c r="L120" s="175" t="s">
        <v>163</v>
      </c>
      <c r="M120" s="175" t="s">
        <v>163</v>
      </c>
      <c r="N120" s="175" t="s">
        <v>163</v>
      </c>
      <c r="O120" s="175" t="s">
        <v>163</v>
      </c>
      <c r="P120" s="175" t="s">
        <v>163</v>
      </c>
      <c r="Q120" s="175" t="s">
        <v>163</v>
      </c>
      <c r="R120" s="127" t="str">
        <f>IF(Table36[[#This Row],[ Bran Content]]="-","-",IF(G120&lt;0.02,1,0))</f>
        <v>-</v>
      </c>
      <c r="S120" s="127">
        <f>IF(Table36[[#This Row],[Sieve Test]]="-","-",IF(Table36[[#This Row],[Sieve Test]]="P",1,0))</f>
        <v>1</v>
      </c>
      <c r="T120" s="127">
        <f>IF(Table36[[#This Row],[Odor]]="-","-",IF(Table36[[#This Row],[Odor]]="P",1,0))</f>
        <v>1</v>
      </c>
      <c r="U120" s="127" t="str">
        <f>IF(INDEX(MCmin,MATCH(Table36[[#This Row],[Grist]],SMI,0))="-","-",IF(Table36[[#This Row],[F1 %MC]]="-","-",IF(Table36[[#This Row],[F1 %MC]]&lt;INDEX(MCmin,MATCH(Table36[[#This Row],[Grist]],SMI,0)),0,IF(Table36[[#This Row],[F1 %MC]]&gt;INDEX(MCmax,MATCH(Table36[[#This Row],[Grist]],SMI,0)),0,1))))</f>
        <v>-</v>
      </c>
      <c r="V120" s="127" t="str">
        <f>IF(INDEX(Protmin,MATCH(Table36[[#This Row],[Grist]],SMI,0))="-","-",IF(Table36[[#This Row],[%Protein]]="-","-",IF(Table36[[#This Row],[%Protein]]&lt;INDEX(Protmin,MATCH(Table36[[#This Row],[Grist]],SMI,0)),0,IF(Table36[[#This Row],[%Protein]]&gt;INDEX(Protmax,MATCH(Table36[[#This Row],[Grist]],SMI,0)),0,1))))</f>
        <v>-</v>
      </c>
      <c r="W120" s="127" t="str">
        <f>IF(INDEX(Ashmin,MATCH(Table36[[#This Row],[Grist]],SMI,0))="-","-",IF(Table36[[#This Row],[%Ash]]="-","-",IF(Table36[[#This Row],[%Ash]]&lt;INDEX(Ashmin,MATCH(Table36[[#This Row],[Grist]],SMI,0)),0,IF(Table36[[#This Row],[%Ash]]&gt;INDEX(Ashmax,MATCH(Table36[[#This Row],[Grist]],SMI,0)),0,1))))</f>
        <v>-</v>
      </c>
      <c r="X120" s="127" t="str">
        <f>IF(INDEX(Absmin,MATCH(Table36[[#This Row],[Grist]],SMI,0))="-","-",IF(Table36[[#This Row],[%Absorption]]="-","-",IF(Table36[[#This Row],[%Absorption]]&lt;INDEX(Absmin,MATCH(Table36[[#This Row],[Grist]],SMI,0)),0,IF(Table36[[#This Row],[%Absorption]]&gt;INDEX(Absmax,MATCH(Table36[[#This Row],[Grist]],SMI,0)),0,1))))</f>
        <v>-</v>
      </c>
      <c r="Y120" s="127" t="str">
        <f>IF(INDEX(Extmin,MATCH(Table36[[#This Row],[Grist]],SMI,0))="-","-",IF(Table36[[#This Row],[%Extensibility]]="-","-",IF(Table36[[#This Row],[%Extensibility]]&lt;INDEX(Extmin,MATCH(Table36[[#This Row],[Grist]],SMI,0)),0,IF(Table36[[#This Row],[%Extensibility]]&gt;INDEX(Extmax,MATCH(Table36[[#This Row],[Grist]],SMI,0)),0,1))))</f>
        <v>-</v>
      </c>
      <c r="Z120" s="127" t="str">
        <f>IF(INDEX(Resmin,MATCH(Table36[[#This Row],[Grist]],SMI,0))="-","-",IF(Table36[[#This Row],[Resistance, max]]="-","-",IF(Table36[[#This Row],[Resistance, max]]&lt;INDEX(Resmin,MATCH(Table36[[#This Row],[Grist]],SMI,0)),0,IF(Table36[[#This Row],[Resistance, max]]&gt;INDEX(Resmax,MATCH(Table36[[#This Row],[Grist]],SMI,0)),0,1))))</f>
        <v>-</v>
      </c>
      <c r="AA120" s="127" t="str">
        <f>IF(INDEX(WGmin,MATCH(Table36[[#This Row],[Grist]],SMI,0))="-","-",IF(Table36[[#This Row],[%Wet Gluten]]="-","-",IF(Table36[[#This Row],[%Wet Gluten]]&lt;INDEX(WGmin,MATCH(Table36[[#This Row],[Grist]],SMI,0)),0,IF(Table36[[#This Row],[%Wet Gluten]]&gt;INDEX(WGmax,MATCH(Table36[[#This Row],[Grist]],SMI,0)),0,1))))</f>
        <v>-</v>
      </c>
      <c r="AB120" s="127">
        <f>SUM(Table36[[#This Row],[ QI Bran Content]:[QI WG]])</f>
        <v>2</v>
      </c>
      <c r="AC120" s="127">
        <f>COUNT(Table36[[#This Row],[ QI Bran Content]:[QI WG]])</f>
        <v>2</v>
      </c>
    </row>
    <row r="121" spans="1:29" x14ac:dyDescent="0.35">
      <c r="A121" s="177">
        <v>45292</v>
      </c>
      <c r="B121" s="178">
        <v>45311</v>
      </c>
      <c r="C121" s="178" t="s">
        <v>125</v>
      </c>
      <c r="D121" s="179" t="s">
        <v>240</v>
      </c>
      <c r="E121" s="180" t="s">
        <v>1</v>
      </c>
      <c r="F121" s="181" t="s">
        <v>241</v>
      </c>
      <c r="G121" s="182" t="s">
        <v>163</v>
      </c>
      <c r="H121" s="175" t="s">
        <v>165</v>
      </c>
      <c r="I121" s="175" t="s">
        <v>163</v>
      </c>
      <c r="J121" s="175" t="s">
        <v>165</v>
      </c>
      <c r="K121" s="175">
        <v>11.44</v>
      </c>
      <c r="L121" s="175" t="s">
        <v>163</v>
      </c>
      <c r="M121" s="175" t="s">
        <v>163</v>
      </c>
      <c r="N121" s="175" t="s">
        <v>163</v>
      </c>
      <c r="O121" s="175" t="s">
        <v>163</v>
      </c>
      <c r="P121" s="175" t="s">
        <v>163</v>
      </c>
      <c r="Q121" s="175" t="s">
        <v>163</v>
      </c>
      <c r="R121" s="127" t="str">
        <f>IF(Table36[[#This Row],[ Bran Content]]="-","-",IF(G121&lt;0.02,1,0))</f>
        <v>-</v>
      </c>
      <c r="S121" s="127">
        <f>IF(Table36[[#This Row],[Sieve Test]]="-","-",IF(Table36[[#This Row],[Sieve Test]]="P",1,0))</f>
        <v>1</v>
      </c>
      <c r="T121" s="127">
        <f>IF(Table36[[#This Row],[Odor]]="-","-",IF(Table36[[#This Row],[Odor]]="P",1,0))</f>
        <v>1</v>
      </c>
      <c r="U121" s="127" t="str">
        <f>IF(INDEX(MCmin,MATCH(Table36[[#This Row],[Grist]],SMI,0))="-","-",IF(Table36[[#This Row],[F1 %MC]]="-","-",IF(Table36[[#This Row],[F1 %MC]]&lt;INDEX(MCmin,MATCH(Table36[[#This Row],[Grist]],SMI,0)),0,IF(Table36[[#This Row],[F1 %MC]]&gt;INDEX(MCmax,MATCH(Table36[[#This Row],[Grist]],SMI,0)),0,1))))</f>
        <v>-</v>
      </c>
      <c r="V121" s="127" t="str">
        <f>IF(INDEX(Protmin,MATCH(Table36[[#This Row],[Grist]],SMI,0))="-","-",IF(Table36[[#This Row],[%Protein]]="-","-",IF(Table36[[#This Row],[%Protein]]&lt;INDEX(Protmin,MATCH(Table36[[#This Row],[Grist]],SMI,0)),0,IF(Table36[[#This Row],[%Protein]]&gt;INDEX(Protmax,MATCH(Table36[[#This Row],[Grist]],SMI,0)),0,1))))</f>
        <v>-</v>
      </c>
      <c r="W121" s="127" t="str">
        <f>IF(INDEX(Ashmin,MATCH(Table36[[#This Row],[Grist]],SMI,0))="-","-",IF(Table36[[#This Row],[%Ash]]="-","-",IF(Table36[[#This Row],[%Ash]]&lt;INDEX(Ashmin,MATCH(Table36[[#This Row],[Grist]],SMI,0)),0,IF(Table36[[#This Row],[%Ash]]&gt;INDEX(Ashmax,MATCH(Table36[[#This Row],[Grist]],SMI,0)),0,1))))</f>
        <v>-</v>
      </c>
      <c r="X121" s="127" t="str">
        <f>IF(INDEX(Absmin,MATCH(Table36[[#This Row],[Grist]],SMI,0))="-","-",IF(Table36[[#This Row],[%Absorption]]="-","-",IF(Table36[[#This Row],[%Absorption]]&lt;INDEX(Absmin,MATCH(Table36[[#This Row],[Grist]],SMI,0)),0,IF(Table36[[#This Row],[%Absorption]]&gt;INDEX(Absmax,MATCH(Table36[[#This Row],[Grist]],SMI,0)),0,1))))</f>
        <v>-</v>
      </c>
      <c r="Y121" s="127" t="str">
        <f>IF(INDEX(Extmin,MATCH(Table36[[#This Row],[Grist]],SMI,0))="-","-",IF(Table36[[#This Row],[%Extensibility]]="-","-",IF(Table36[[#This Row],[%Extensibility]]&lt;INDEX(Extmin,MATCH(Table36[[#This Row],[Grist]],SMI,0)),0,IF(Table36[[#This Row],[%Extensibility]]&gt;INDEX(Extmax,MATCH(Table36[[#This Row],[Grist]],SMI,0)),0,1))))</f>
        <v>-</v>
      </c>
      <c r="Z121" s="127" t="str">
        <f>IF(INDEX(Resmin,MATCH(Table36[[#This Row],[Grist]],SMI,0))="-","-",IF(Table36[[#This Row],[Resistance, max]]="-","-",IF(Table36[[#This Row],[Resistance, max]]&lt;INDEX(Resmin,MATCH(Table36[[#This Row],[Grist]],SMI,0)),0,IF(Table36[[#This Row],[Resistance, max]]&gt;INDEX(Resmax,MATCH(Table36[[#This Row],[Grist]],SMI,0)),0,1))))</f>
        <v>-</v>
      </c>
      <c r="AA121" s="127" t="str">
        <f>IF(INDEX(WGmin,MATCH(Table36[[#This Row],[Grist]],SMI,0))="-","-",IF(Table36[[#This Row],[%Wet Gluten]]="-","-",IF(Table36[[#This Row],[%Wet Gluten]]&lt;INDEX(WGmin,MATCH(Table36[[#This Row],[Grist]],SMI,0)),0,IF(Table36[[#This Row],[%Wet Gluten]]&gt;INDEX(WGmax,MATCH(Table36[[#This Row],[Grist]],SMI,0)),0,1))))</f>
        <v>-</v>
      </c>
      <c r="AB121" s="127">
        <f>SUM(Table36[[#This Row],[ QI Bran Content]:[QI WG]])</f>
        <v>2</v>
      </c>
      <c r="AC121" s="127">
        <f>COUNT(Table36[[#This Row],[ QI Bran Content]:[QI WG]])</f>
        <v>2</v>
      </c>
    </row>
    <row r="122" spans="1:29" x14ac:dyDescent="0.35">
      <c r="A122" s="177">
        <v>45292</v>
      </c>
      <c r="B122" s="178">
        <v>45311</v>
      </c>
      <c r="C122" s="178" t="s">
        <v>128</v>
      </c>
      <c r="D122" s="179">
        <v>0.625</v>
      </c>
      <c r="E122" s="180" t="s">
        <v>0</v>
      </c>
      <c r="F122" s="181" t="s">
        <v>27</v>
      </c>
      <c r="G122" s="182">
        <v>1.2800000000000001E-2</v>
      </c>
      <c r="H122" s="175" t="s">
        <v>165</v>
      </c>
      <c r="I122" s="175" t="s">
        <v>165</v>
      </c>
      <c r="J122" s="175" t="s">
        <v>165</v>
      </c>
      <c r="K122" s="175">
        <v>12.73</v>
      </c>
      <c r="L122" s="175">
        <v>12.67</v>
      </c>
      <c r="M122" s="175">
        <v>0.52</v>
      </c>
      <c r="N122" s="175">
        <v>64</v>
      </c>
      <c r="O122" s="175" t="s">
        <v>163</v>
      </c>
      <c r="P122" s="175" t="s">
        <v>163</v>
      </c>
      <c r="Q122" s="175">
        <v>35.43</v>
      </c>
      <c r="R122" s="127">
        <f>IF(Table36[[#This Row],[ Bran Content]]="-","-",IF(G122&lt;0.02,1,0))</f>
        <v>1</v>
      </c>
      <c r="S122" s="127">
        <f>IF(Table36[[#This Row],[Sieve Test]]="-","-",IF(Table36[[#This Row],[Sieve Test]]="P",1,0))</f>
        <v>1</v>
      </c>
      <c r="T122" s="127">
        <f>IF(Table36[[#This Row],[Odor]]="-","-",IF(Table36[[#This Row],[Odor]]="P",1,0))</f>
        <v>1</v>
      </c>
      <c r="U122" s="127">
        <f>IF(INDEX(MCmin,MATCH(Table36[[#This Row],[Grist]],SMI,0))="-","-",IF(Table36[[#This Row],[F1 %MC]]="-","-",IF(Table36[[#This Row],[F1 %MC]]&lt;INDEX(MCmin,MATCH(Table36[[#This Row],[Grist]],SMI,0)),0,IF(Table36[[#This Row],[F1 %MC]]&gt;INDEX(MCmax,MATCH(Table36[[#This Row],[Grist]],SMI,0)),0,1))))</f>
        <v>1</v>
      </c>
      <c r="V122" s="127">
        <f>IF(INDEX(Protmin,MATCH(Table36[[#This Row],[Grist]],SMI,0))="-","-",IF(Table36[[#This Row],[%Protein]]="-","-",IF(Table36[[#This Row],[%Protein]]&lt;INDEX(Protmin,MATCH(Table36[[#This Row],[Grist]],SMI,0)),0,IF(Table36[[#This Row],[%Protein]]&gt;INDEX(Protmax,MATCH(Table36[[#This Row],[Grist]],SMI,0)),0,1))))</f>
        <v>1</v>
      </c>
      <c r="W122" s="127">
        <f>IF(INDEX(Ashmin,MATCH(Table36[[#This Row],[Grist]],SMI,0))="-","-",IF(Table36[[#This Row],[%Ash]]="-","-",IF(Table36[[#This Row],[%Ash]]&lt;INDEX(Ashmin,MATCH(Table36[[#This Row],[Grist]],SMI,0)),0,IF(Table36[[#This Row],[%Ash]]&gt;INDEX(Ashmax,MATCH(Table36[[#This Row],[Grist]],SMI,0)),0,1))))</f>
        <v>1</v>
      </c>
      <c r="X122" s="127">
        <f>IF(INDEX(Absmin,MATCH(Table36[[#This Row],[Grist]],SMI,0))="-","-",IF(Table36[[#This Row],[%Absorption]]="-","-",IF(Table36[[#This Row],[%Absorption]]&lt;INDEX(Absmin,MATCH(Table36[[#This Row],[Grist]],SMI,0)),0,IF(Table36[[#This Row],[%Absorption]]&gt;INDEX(Absmax,MATCH(Table36[[#This Row],[Grist]],SMI,0)),0,1))))</f>
        <v>1</v>
      </c>
      <c r="Y122" s="127" t="str">
        <f>IF(INDEX(Extmin,MATCH(Table36[[#This Row],[Grist]],SMI,0))="-","-",IF(Table36[[#This Row],[%Extensibility]]="-","-",IF(Table36[[#This Row],[%Extensibility]]&lt;INDEX(Extmin,MATCH(Table36[[#This Row],[Grist]],SMI,0)),0,IF(Table36[[#This Row],[%Extensibility]]&gt;INDEX(Extmax,MATCH(Table36[[#This Row],[Grist]],SMI,0)),0,1))))</f>
        <v>-</v>
      </c>
      <c r="Z122" s="127" t="str">
        <f>IF(INDEX(Resmin,MATCH(Table36[[#This Row],[Grist]],SMI,0))="-","-",IF(Table36[[#This Row],[Resistance, max]]="-","-",IF(Table36[[#This Row],[Resistance, max]]&lt;INDEX(Resmin,MATCH(Table36[[#This Row],[Grist]],SMI,0)),0,IF(Table36[[#This Row],[Resistance, max]]&gt;INDEX(Resmax,MATCH(Table36[[#This Row],[Grist]],SMI,0)),0,1))))</f>
        <v>-</v>
      </c>
      <c r="AA122" s="127">
        <f>IF(INDEX(WGmin,MATCH(Table36[[#This Row],[Grist]],SMI,0))="-","-",IF(Table36[[#This Row],[%Wet Gluten]]="-","-",IF(Table36[[#This Row],[%Wet Gluten]]&lt;INDEX(WGmin,MATCH(Table36[[#This Row],[Grist]],SMI,0)),0,IF(Table36[[#This Row],[%Wet Gluten]]&gt;INDEX(WGmax,MATCH(Table36[[#This Row],[Grist]],SMI,0)),0,1))))</f>
        <v>1</v>
      </c>
      <c r="AB122" s="127">
        <f>SUM(Table36[[#This Row],[ QI Bran Content]:[QI WG]])</f>
        <v>8</v>
      </c>
      <c r="AC122" s="127">
        <f>COUNT(Table36[[#This Row],[ QI Bran Content]:[QI WG]])</f>
        <v>8</v>
      </c>
    </row>
    <row r="123" spans="1:29" x14ac:dyDescent="0.35">
      <c r="A123" s="177">
        <v>45292</v>
      </c>
      <c r="B123" s="178">
        <v>45311</v>
      </c>
      <c r="C123" s="178" t="s">
        <v>128</v>
      </c>
      <c r="D123" s="179">
        <v>0.70833333333333304</v>
      </c>
      <c r="E123" s="180" t="s">
        <v>0</v>
      </c>
      <c r="F123" s="181" t="s">
        <v>27</v>
      </c>
      <c r="G123" s="182">
        <v>1.0699999999999999E-2</v>
      </c>
      <c r="H123" s="175" t="s">
        <v>165</v>
      </c>
      <c r="I123" s="175" t="s">
        <v>165</v>
      </c>
      <c r="J123" s="175" t="s">
        <v>165</v>
      </c>
      <c r="K123" s="175">
        <v>12.86</v>
      </c>
      <c r="L123" s="175" t="s">
        <v>163</v>
      </c>
      <c r="M123" s="175" t="s">
        <v>163</v>
      </c>
      <c r="N123" s="175" t="s">
        <v>163</v>
      </c>
      <c r="O123" s="175" t="s">
        <v>163</v>
      </c>
      <c r="P123" s="175" t="s">
        <v>163</v>
      </c>
      <c r="Q123" s="175" t="s">
        <v>163</v>
      </c>
      <c r="R123" s="127">
        <f>IF(Table36[[#This Row],[ Bran Content]]="-","-",IF(G123&lt;0.02,1,0))</f>
        <v>1</v>
      </c>
      <c r="S123" s="127">
        <f>IF(Table36[[#This Row],[Sieve Test]]="-","-",IF(Table36[[#This Row],[Sieve Test]]="P",1,0))</f>
        <v>1</v>
      </c>
      <c r="T123" s="127">
        <f>IF(Table36[[#This Row],[Odor]]="-","-",IF(Table36[[#This Row],[Odor]]="P",1,0))</f>
        <v>1</v>
      </c>
      <c r="U123" s="127">
        <f>IF(INDEX(MCmin,MATCH(Table36[[#This Row],[Grist]],SMI,0))="-","-",IF(Table36[[#This Row],[F1 %MC]]="-","-",IF(Table36[[#This Row],[F1 %MC]]&lt;INDEX(MCmin,MATCH(Table36[[#This Row],[Grist]],SMI,0)),0,IF(Table36[[#This Row],[F1 %MC]]&gt;INDEX(MCmax,MATCH(Table36[[#This Row],[Grist]],SMI,0)),0,1))))</f>
        <v>1</v>
      </c>
      <c r="V123" s="127" t="str">
        <f>IF(INDEX(Protmin,MATCH(Table36[[#This Row],[Grist]],SMI,0))="-","-",IF(Table36[[#This Row],[%Protein]]="-","-",IF(Table36[[#This Row],[%Protein]]&lt;INDEX(Protmin,MATCH(Table36[[#This Row],[Grist]],SMI,0)),0,IF(Table36[[#This Row],[%Protein]]&gt;INDEX(Protmax,MATCH(Table36[[#This Row],[Grist]],SMI,0)),0,1))))</f>
        <v>-</v>
      </c>
      <c r="W123" s="127" t="str">
        <f>IF(INDEX(Ashmin,MATCH(Table36[[#This Row],[Grist]],SMI,0))="-","-",IF(Table36[[#This Row],[%Ash]]="-","-",IF(Table36[[#This Row],[%Ash]]&lt;INDEX(Ashmin,MATCH(Table36[[#This Row],[Grist]],SMI,0)),0,IF(Table36[[#This Row],[%Ash]]&gt;INDEX(Ashmax,MATCH(Table36[[#This Row],[Grist]],SMI,0)),0,1))))</f>
        <v>-</v>
      </c>
      <c r="X123" s="127" t="str">
        <f>IF(INDEX(Absmin,MATCH(Table36[[#This Row],[Grist]],SMI,0))="-","-",IF(Table36[[#This Row],[%Absorption]]="-","-",IF(Table36[[#This Row],[%Absorption]]&lt;INDEX(Absmin,MATCH(Table36[[#This Row],[Grist]],SMI,0)),0,IF(Table36[[#This Row],[%Absorption]]&gt;INDEX(Absmax,MATCH(Table36[[#This Row],[Grist]],SMI,0)),0,1))))</f>
        <v>-</v>
      </c>
      <c r="Y123" s="127" t="str">
        <f>IF(INDEX(Extmin,MATCH(Table36[[#This Row],[Grist]],SMI,0))="-","-",IF(Table36[[#This Row],[%Extensibility]]="-","-",IF(Table36[[#This Row],[%Extensibility]]&lt;INDEX(Extmin,MATCH(Table36[[#This Row],[Grist]],SMI,0)),0,IF(Table36[[#This Row],[%Extensibility]]&gt;INDEX(Extmax,MATCH(Table36[[#This Row],[Grist]],SMI,0)),0,1))))</f>
        <v>-</v>
      </c>
      <c r="Z123" s="127" t="str">
        <f>IF(INDEX(Resmin,MATCH(Table36[[#This Row],[Grist]],SMI,0))="-","-",IF(Table36[[#This Row],[Resistance, max]]="-","-",IF(Table36[[#This Row],[Resistance, max]]&lt;INDEX(Resmin,MATCH(Table36[[#This Row],[Grist]],SMI,0)),0,IF(Table36[[#This Row],[Resistance, max]]&gt;INDEX(Resmax,MATCH(Table36[[#This Row],[Grist]],SMI,0)),0,1))))</f>
        <v>-</v>
      </c>
      <c r="AA123" s="127" t="str">
        <f>IF(INDEX(WGmin,MATCH(Table36[[#This Row],[Grist]],SMI,0))="-","-",IF(Table36[[#This Row],[%Wet Gluten]]="-","-",IF(Table36[[#This Row],[%Wet Gluten]]&lt;INDEX(WGmin,MATCH(Table36[[#This Row],[Grist]],SMI,0)),0,IF(Table36[[#This Row],[%Wet Gluten]]&gt;INDEX(WGmax,MATCH(Table36[[#This Row],[Grist]],SMI,0)),0,1))))</f>
        <v>-</v>
      </c>
      <c r="AB123" s="127">
        <f>SUM(Table36[[#This Row],[ QI Bran Content]:[QI WG]])</f>
        <v>4</v>
      </c>
      <c r="AC123" s="127">
        <f>COUNT(Table36[[#This Row],[ QI Bran Content]:[QI WG]])</f>
        <v>4</v>
      </c>
    </row>
    <row r="124" spans="1:29" x14ac:dyDescent="0.35">
      <c r="A124" s="177">
        <v>45292</v>
      </c>
      <c r="B124" s="178">
        <v>45311</v>
      </c>
      <c r="C124" s="178" t="s">
        <v>128</v>
      </c>
      <c r="D124" s="179">
        <v>0.79166666666666596</v>
      </c>
      <c r="E124" s="180" t="s">
        <v>0</v>
      </c>
      <c r="F124" s="181" t="s">
        <v>27</v>
      </c>
      <c r="G124" s="182">
        <v>1.0200000000000001E-2</v>
      </c>
      <c r="H124" s="175" t="s">
        <v>165</v>
      </c>
      <c r="I124" s="175" t="s">
        <v>165</v>
      </c>
      <c r="J124" s="175" t="s">
        <v>165</v>
      </c>
      <c r="K124" s="175">
        <v>11.94</v>
      </c>
      <c r="L124" s="175" t="s">
        <v>163</v>
      </c>
      <c r="M124" s="175" t="s">
        <v>163</v>
      </c>
      <c r="N124" s="175" t="s">
        <v>163</v>
      </c>
      <c r="O124" s="175" t="s">
        <v>163</v>
      </c>
      <c r="P124" s="175" t="s">
        <v>163</v>
      </c>
      <c r="Q124" s="175" t="s">
        <v>163</v>
      </c>
      <c r="R124" s="127">
        <f>IF(Table36[[#This Row],[ Bran Content]]="-","-",IF(G124&lt;0.02,1,0))</f>
        <v>1</v>
      </c>
      <c r="S124" s="127">
        <f>IF(Table36[[#This Row],[Sieve Test]]="-","-",IF(Table36[[#This Row],[Sieve Test]]="P",1,0))</f>
        <v>1</v>
      </c>
      <c r="T124" s="127">
        <f>IF(Table36[[#This Row],[Odor]]="-","-",IF(Table36[[#This Row],[Odor]]="P",1,0))</f>
        <v>1</v>
      </c>
      <c r="U124" s="127">
        <f>IF(INDEX(MCmin,MATCH(Table36[[#This Row],[Grist]],SMI,0))="-","-",IF(Table36[[#This Row],[F1 %MC]]="-","-",IF(Table36[[#This Row],[F1 %MC]]&lt;INDEX(MCmin,MATCH(Table36[[#This Row],[Grist]],SMI,0)),0,IF(Table36[[#This Row],[F1 %MC]]&gt;INDEX(MCmax,MATCH(Table36[[#This Row],[Grist]],SMI,0)),0,1))))</f>
        <v>0</v>
      </c>
      <c r="V124" s="127" t="str">
        <f>IF(INDEX(Protmin,MATCH(Table36[[#This Row],[Grist]],SMI,0))="-","-",IF(Table36[[#This Row],[%Protein]]="-","-",IF(Table36[[#This Row],[%Protein]]&lt;INDEX(Protmin,MATCH(Table36[[#This Row],[Grist]],SMI,0)),0,IF(Table36[[#This Row],[%Protein]]&gt;INDEX(Protmax,MATCH(Table36[[#This Row],[Grist]],SMI,0)),0,1))))</f>
        <v>-</v>
      </c>
      <c r="W124" s="127" t="str">
        <f>IF(INDEX(Ashmin,MATCH(Table36[[#This Row],[Grist]],SMI,0))="-","-",IF(Table36[[#This Row],[%Ash]]="-","-",IF(Table36[[#This Row],[%Ash]]&lt;INDEX(Ashmin,MATCH(Table36[[#This Row],[Grist]],SMI,0)),0,IF(Table36[[#This Row],[%Ash]]&gt;INDEX(Ashmax,MATCH(Table36[[#This Row],[Grist]],SMI,0)),0,1))))</f>
        <v>-</v>
      </c>
      <c r="X124" s="127" t="str">
        <f>IF(INDEX(Absmin,MATCH(Table36[[#This Row],[Grist]],SMI,0))="-","-",IF(Table36[[#This Row],[%Absorption]]="-","-",IF(Table36[[#This Row],[%Absorption]]&lt;INDEX(Absmin,MATCH(Table36[[#This Row],[Grist]],SMI,0)),0,IF(Table36[[#This Row],[%Absorption]]&gt;INDEX(Absmax,MATCH(Table36[[#This Row],[Grist]],SMI,0)),0,1))))</f>
        <v>-</v>
      </c>
      <c r="Y124" s="127" t="str">
        <f>IF(INDEX(Extmin,MATCH(Table36[[#This Row],[Grist]],SMI,0))="-","-",IF(Table36[[#This Row],[%Extensibility]]="-","-",IF(Table36[[#This Row],[%Extensibility]]&lt;INDEX(Extmin,MATCH(Table36[[#This Row],[Grist]],SMI,0)),0,IF(Table36[[#This Row],[%Extensibility]]&gt;INDEX(Extmax,MATCH(Table36[[#This Row],[Grist]],SMI,0)),0,1))))</f>
        <v>-</v>
      </c>
      <c r="Z124" s="127" t="str">
        <f>IF(INDEX(Resmin,MATCH(Table36[[#This Row],[Grist]],SMI,0))="-","-",IF(Table36[[#This Row],[Resistance, max]]="-","-",IF(Table36[[#This Row],[Resistance, max]]&lt;INDEX(Resmin,MATCH(Table36[[#This Row],[Grist]],SMI,0)),0,IF(Table36[[#This Row],[Resistance, max]]&gt;INDEX(Resmax,MATCH(Table36[[#This Row],[Grist]],SMI,0)),0,1))))</f>
        <v>-</v>
      </c>
      <c r="AA124" s="127" t="str">
        <f>IF(INDEX(WGmin,MATCH(Table36[[#This Row],[Grist]],SMI,0))="-","-",IF(Table36[[#This Row],[%Wet Gluten]]="-","-",IF(Table36[[#This Row],[%Wet Gluten]]&lt;INDEX(WGmin,MATCH(Table36[[#This Row],[Grist]],SMI,0)),0,IF(Table36[[#This Row],[%Wet Gluten]]&gt;INDEX(WGmax,MATCH(Table36[[#This Row],[Grist]],SMI,0)),0,1))))</f>
        <v>-</v>
      </c>
      <c r="AB124" s="127">
        <f>SUM(Table36[[#This Row],[ QI Bran Content]:[QI WG]])</f>
        <v>3</v>
      </c>
      <c r="AC124" s="127">
        <f>COUNT(Table36[[#This Row],[ QI Bran Content]:[QI WG]])</f>
        <v>4</v>
      </c>
    </row>
    <row r="125" spans="1:29" x14ac:dyDescent="0.35">
      <c r="A125" s="177">
        <v>45292</v>
      </c>
      <c r="B125" s="178">
        <v>45311</v>
      </c>
      <c r="C125" s="178" t="s">
        <v>128</v>
      </c>
      <c r="D125" s="179">
        <v>0.874999999999999</v>
      </c>
      <c r="E125" s="180" t="s">
        <v>0</v>
      </c>
      <c r="F125" s="181" t="s">
        <v>27</v>
      </c>
      <c r="G125" s="182">
        <v>6.7999999999999996E-3</v>
      </c>
      <c r="H125" s="175" t="s">
        <v>165</v>
      </c>
      <c r="I125" s="175" t="s">
        <v>165</v>
      </c>
      <c r="J125" s="175" t="s">
        <v>165</v>
      </c>
      <c r="K125" s="175">
        <v>12.11</v>
      </c>
      <c r="L125" s="175" t="s">
        <v>163</v>
      </c>
      <c r="M125" s="175" t="s">
        <v>163</v>
      </c>
      <c r="N125" s="175" t="s">
        <v>163</v>
      </c>
      <c r="O125" s="175" t="s">
        <v>163</v>
      </c>
      <c r="P125" s="175" t="s">
        <v>163</v>
      </c>
      <c r="Q125" s="175" t="s">
        <v>163</v>
      </c>
      <c r="R125" s="127">
        <f>IF(Table36[[#This Row],[ Bran Content]]="-","-",IF(G125&lt;0.02,1,0))</f>
        <v>1</v>
      </c>
      <c r="S125" s="127">
        <f>IF(Table36[[#This Row],[Sieve Test]]="-","-",IF(Table36[[#This Row],[Sieve Test]]="P",1,0))</f>
        <v>1</v>
      </c>
      <c r="T125" s="127">
        <f>IF(Table36[[#This Row],[Odor]]="-","-",IF(Table36[[#This Row],[Odor]]="P",1,0))</f>
        <v>1</v>
      </c>
      <c r="U125" s="127">
        <f>IF(INDEX(MCmin,MATCH(Table36[[#This Row],[Grist]],SMI,0))="-","-",IF(Table36[[#This Row],[F1 %MC]]="-","-",IF(Table36[[#This Row],[F1 %MC]]&lt;INDEX(MCmin,MATCH(Table36[[#This Row],[Grist]],SMI,0)),0,IF(Table36[[#This Row],[F1 %MC]]&gt;INDEX(MCmax,MATCH(Table36[[#This Row],[Grist]],SMI,0)),0,1))))</f>
        <v>1</v>
      </c>
      <c r="V125" s="127" t="str">
        <f>IF(INDEX(Protmin,MATCH(Table36[[#This Row],[Grist]],SMI,0))="-","-",IF(Table36[[#This Row],[%Protein]]="-","-",IF(Table36[[#This Row],[%Protein]]&lt;INDEX(Protmin,MATCH(Table36[[#This Row],[Grist]],SMI,0)),0,IF(Table36[[#This Row],[%Protein]]&gt;INDEX(Protmax,MATCH(Table36[[#This Row],[Grist]],SMI,0)),0,1))))</f>
        <v>-</v>
      </c>
      <c r="W125" s="127" t="str">
        <f>IF(INDEX(Ashmin,MATCH(Table36[[#This Row],[Grist]],SMI,0))="-","-",IF(Table36[[#This Row],[%Ash]]="-","-",IF(Table36[[#This Row],[%Ash]]&lt;INDEX(Ashmin,MATCH(Table36[[#This Row],[Grist]],SMI,0)),0,IF(Table36[[#This Row],[%Ash]]&gt;INDEX(Ashmax,MATCH(Table36[[#This Row],[Grist]],SMI,0)),0,1))))</f>
        <v>-</v>
      </c>
      <c r="X125" s="127" t="str">
        <f>IF(INDEX(Absmin,MATCH(Table36[[#This Row],[Grist]],SMI,0))="-","-",IF(Table36[[#This Row],[%Absorption]]="-","-",IF(Table36[[#This Row],[%Absorption]]&lt;INDEX(Absmin,MATCH(Table36[[#This Row],[Grist]],SMI,0)),0,IF(Table36[[#This Row],[%Absorption]]&gt;INDEX(Absmax,MATCH(Table36[[#This Row],[Grist]],SMI,0)),0,1))))</f>
        <v>-</v>
      </c>
      <c r="Y125" s="127" t="str">
        <f>IF(INDEX(Extmin,MATCH(Table36[[#This Row],[Grist]],SMI,0))="-","-",IF(Table36[[#This Row],[%Extensibility]]="-","-",IF(Table36[[#This Row],[%Extensibility]]&lt;INDEX(Extmin,MATCH(Table36[[#This Row],[Grist]],SMI,0)),0,IF(Table36[[#This Row],[%Extensibility]]&gt;INDEX(Extmax,MATCH(Table36[[#This Row],[Grist]],SMI,0)),0,1))))</f>
        <v>-</v>
      </c>
      <c r="Z125" s="127" t="str">
        <f>IF(INDEX(Resmin,MATCH(Table36[[#This Row],[Grist]],SMI,0))="-","-",IF(Table36[[#This Row],[Resistance, max]]="-","-",IF(Table36[[#This Row],[Resistance, max]]&lt;INDEX(Resmin,MATCH(Table36[[#This Row],[Grist]],SMI,0)),0,IF(Table36[[#This Row],[Resistance, max]]&gt;INDEX(Resmax,MATCH(Table36[[#This Row],[Grist]],SMI,0)),0,1))))</f>
        <v>-</v>
      </c>
      <c r="AA125" s="127" t="str">
        <f>IF(INDEX(WGmin,MATCH(Table36[[#This Row],[Grist]],SMI,0))="-","-",IF(Table36[[#This Row],[%Wet Gluten]]="-","-",IF(Table36[[#This Row],[%Wet Gluten]]&lt;INDEX(WGmin,MATCH(Table36[[#This Row],[Grist]],SMI,0)),0,IF(Table36[[#This Row],[%Wet Gluten]]&gt;INDEX(WGmax,MATCH(Table36[[#This Row],[Grist]],SMI,0)),0,1))))</f>
        <v>-</v>
      </c>
      <c r="AB125" s="127">
        <f>SUM(Table36[[#This Row],[ QI Bran Content]:[QI WG]])</f>
        <v>4</v>
      </c>
      <c r="AC125" s="127">
        <f>COUNT(Table36[[#This Row],[ QI Bran Content]:[QI WG]])</f>
        <v>4</v>
      </c>
    </row>
    <row r="126" spans="1:29" x14ac:dyDescent="0.35">
      <c r="A126" s="177">
        <v>45292</v>
      </c>
      <c r="B126" s="178">
        <v>45311</v>
      </c>
      <c r="C126" s="178" t="s">
        <v>128</v>
      </c>
      <c r="D126" s="179">
        <v>0.95833333333333337</v>
      </c>
      <c r="E126" s="180" t="s">
        <v>0</v>
      </c>
      <c r="F126" s="181" t="s">
        <v>27</v>
      </c>
      <c r="G126" s="182">
        <v>5.5999999999999999E-3</v>
      </c>
      <c r="H126" s="175" t="s">
        <v>165</v>
      </c>
      <c r="I126" s="175" t="s">
        <v>165</v>
      </c>
      <c r="J126" s="175" t="s">
        <v>165</v>
      </c>
      <c r="K126" s="175">
        <v>11.86</v>
      </c>
      <c r="L126" s="175">
        <v>12.6</v>
      </c>
      <c r="M126" s="175">
        <v>0.51</v>
      </c>
      <c r="N126" s="175">
        <v>64.3</v>
      </c>
      <c r="O126" s="175" t="s">
        <v>163</v>
      </c>
      <c r="P126" s="175" t="s">
        <v>163</v>
      </c>
      <c r="Q126" s="175">
        <v>35.200000000000003</v>
      </c>
      <c r="R126" s="127">
        <f>IF(Table36[[#This Row],[ Bran Content]]="-","-",IF(G126&lt;0.02,1,0))</f>
        <v>1</v>
      </c>
      <c r="S126" s="127">
        <f>IF(Table36[[#This Row],[Sieve Test]]="-","-",IF(Table36[[#This Row],[Sieve Test]]="P",1,0))</f>
        <v>1</v>
      </c>
      <c r="T126" s="127">
        <f>IF(Table36[[#This Row],[Odor]]="-","-",IF(Table36[[#This Row],[Odor]]="P",1,0))</f>
        <v>1</v>
      </c>
      <c r="U126" s="127">
        <f>IF(INDEX(MCmin,MATCH(Table36[[#This Row],[Grist]],SMI,0))="-","-",IF(Table36[[#This Row],[F1 %MC]]="-","-",IF(Table36[[#This Row],[F1 %MC]]&lt;INDEX(MCmin,MATCH(Table36[[#This Row],[Grist]],SMI,0)),0,IF(Table36[[#This Row],[F1 %MC]]&gt;INDEX(MCmax,MATCH(Table36[[#This Row],[Grist]],SMI,0)),0,1))))</f>
        <v>0</v>
      </c>
      <c r="V126" s="127">
        <f>IF(INDEX(Protmin,MATCH(Table36[[#This Row],[Grist]],SMI,0))="-","-",IF(Table36[[#This Row],[%Protein]]="-","-",IF(Table36[[#This Row],[%Protein]]&lt;INDEX(Protmin,MATCH(Table36[[#This Row],[Grist]],SMI,0)),0,IF(Table36[[#This Row],[%Protein]]&gt;INDEX(Protmax,MATCH(Table36[[#This Row],[Grist]],SMI,0)),0,1))))</f>
        <v>1</v>
      </c>
      <c r="W126" s="127">
        <f>IF(INDEX(Ashmin,MATCH(Table36[[#This Row],[Grist]],SMI,0))="-","-",IF(Table36[[#This Row],[%Ash]]="-","-",IF(Table36[[#This Row],[%Ash]]&lt;INDEX(Ashmin,MATCH(Table36[[#This Row],[Grist]],SMI,0)),0,IF(Table36[[#This Row],[%Ash]]&gt;INDEX(Ashmax,MATCH(Table36[[#This Row],[Grist]],SMI,0)),0,1))))</f>
        <v>1</v>
      </c>
      <c r="X126" s="127">
        <f>IF(INDEX(Absmin,MATCH(Table36[[#This Row],[Grist]],SMI,0))="-","-",IF(Table36[[#This Row],[%Absorption]]="-","-",IF(Table36[[#This Row],[%Absorption]]&lt;INDEX(Absmin,MATCH(Table36[[#This Row],[Grist]],SMI,0)),0,IF(Table36[[#This Row],[%Absorption]]&gt;INDEX(Absmax,MATCH(Table36[[#This Row],[Grist]],SMI,0)),0,1))))</f>
        <v>1</v>
      </c>
      <c r="Y126" s="127" t="str">
        <f>IF(INDEX(Extmin,MATCH(Table36[[#This Row],[Grist]],SMI,0))="-","-",IF(Table36[[#This Row],[%Extensibility]]="-","-",IF(Table36[[#This Row],[%Extensibility]]&lt;INDEX(Extmin,MATCH(Table36[[#This Row],[Grist]],SMI,0)),0,IF(Table36[[#This Row],[%Extensibility]]&gt;INDEX(Extmax,MATCH(Table36[[#This Row],[Grist]],SMI,0)),0,1))))</f>
        <v>-</v>
      </c>
      <c r="Z126" s="127" t="str">
        <f>IF(INDEX(Resmin,MATCH(Table36[[#This Row],[Grist]],SMI,0))="-","-",IF(Table36[[#This Row],[Resistance, max]]="-","-",IF(Table36[[#This Row],[Resistance, max]]&lt;INDEX(Resmin,MATCH(Table36[[#This Row],[Grist]],SMI,0)),0,IF(Table36[[#This Row],[Resistance, max]]&gt;INDEX(Resmax,MATCH(Table36[[#This Row],[Grist]],SMI,0)),0,1))))</f>
        <v>-</v>
      </c>
      <c r="AA126" s="127">
        <f>IF(INDEX(WGmin,MATCH(Table36[[#This Row],[Grist]],SMI,0))="-","-",IF(Table36[[#This Row],[%Wet Gluten]]="-","-",IF(Table36[[#This Row],[%Wet Gluten]]&lt;INDEX(WGmin,MATCH(Table36[[#This Row],[Grist]],SMI,0)),0,IF(Table36[[#This Row],[%Wet Gluten]]&gt;INDEX(WGmax,MATCH(Table36[[#This Row],[Grist]],SMI,0)),0,1))))</f>
        <v>1</v>
      </c>
      <c r="AB126" s="127">
        <f>SUM(Table36[[#This Row],[ QI Bran Content]:[QI WG]])</f>
        <v>7</v>
      </c>
      <c r="AC126" s="127">
        <f>COUNT(Table36[[#This Row],[ QI Bran Content]:[QI WG]])</f>
        <v>8</v>
      </c>
    </row>
    <row r="127" spans="1:29" x14ac:dyDescent="0.35">
      <c r="A127" s="177">
        <v>45292</v>
      </c>
      <c r="B127" s="178">
        <v>45311</v>
      </c>
      <c r="C127" s="178" t="s">
        <v>130</v>
      </c>
      <c r="D127" s="179">
        <v>1.0416666666666701</v>
      </c>
      <c r="E127" s="180" t="s">
        <v>0</v>
      </c>
      <c r="F127" s="181" t="s">
        <v>27</v>
      </c>
      <c r="G127" s="182">
        <v>8.8000000000000005E-3</v>
      </c>
      <c r="H127" s="175" t="s">
        <v>165</v>
      </c>
      <c r="I127" s="175" t="s">
        <v>165</v>
      </c>
      <c r="J127" s="175" t="s">
        <v>165</v>
      </c>
      <c r="K127" s="175">
        <v>12.39</v>
      </c>
      <c r="L127" s="175" t="s">
        <v>163</v>
      </c>
      <c r="M127" s="175" t="s">
        <v>163</v>
      </c>
      <c r="N127" s="175" t="s">
        <v>163</v>
      </c>
      <c r="O127" s="175" t="s">
        <v>163</v>
      </c>
      <c r="P127" s="175" t="s">
        <v>163</v>
      </c>
      <c r="Q127" s="175" t="s">
        <v>163</v>
      </c>
      <c r="R127" s="127">
        <f>IF(Table36[[#This Row],[ Bran Content]]="-","-",IF(G127&lt;0.02,1,0))</f>
        <v>1</v>
      </c>
      <c r="S127" s="127">
        <f>IF(Table36[[#This Row],[Sieve Test]]="-","-",IF(Table36[[#This Row],[Sieve Test]]="P",1,0))</f>
        <v>1</v>
      </c>
      <c r="T127" s="127">
        <f>IF(Table36[[#This Row],[Odor]]="-","-",IF(Table36[[#This Row],[Odor]]="P",1,0))</f>
        <v>1</v>
      </c>
      <c r="U127" s="127">
        <f>IF(INDEX(MCmin,MATCH(Table36[[#This Row],[Grist]],SMI,0))="-","-",IF(Table36[[#This Row],[F1 %MC]]="-","-",IF(Table36[[#This Row],[F1 %MC]]&lt;INDEX(MCmin,MATCH(Table36[[#This Row],[Grist]],SMI,0)),0,IF(Table36[[#This Row],[F1 %MC]]&gt;INDEX(MCmax,MATCH(Table36[[#This Row],[Grist]],SMI,0)),0,1))))</f>
        <v>1</v>
      </c>
      <c r="V127" s="127" t="str">
        <f>IF(INDEX(Protmin,MATCH(Table36[[#This Row],[Grist]],SMI,0))="-","-",IF(Table36[[#This Row],[%Protein]]="-","-",IF(Table36[[#This Row],[%Protein]]&lt;INDEX(Protmin,MATCH(Table36[[#This Row],[Grist]],SMI,0)),0,IF(Table36[[#This Row],[%Protein]]&gt;INDEX(Protmax,MATCH(Table36[[#This Row],[Grist]],SMI,0)),0,1))))</f>
        <v>-</v>
      </c>
      <c r="W127" s="127" t="str">
        <f>IF(INDEX(Ashmin,MATCH(Table36[[#This Row],[Grist]],SMI,0))="-","-",IF(Table36[[#This Row],[%Ash]]="-","-",IF(Table36[[#This Row],[%Ash]]&lt;INDEX(Ashmin,MATCH(Table36[[#This Row],[Grist]],SMI,0)),0,IF(Table36[[#This Row],[%Ash]]&gt;INDEX(Ashmax,MATCH(Table36[[#This Row],[Grist]],SMI,0)),0,1))))</f>
        <v>-</v>
      </c>
      <c r="X127" s="127" t="str">
        <f>IF(INDEX(Absmin,MATCH(Table36[[#This Row],[Grist]],SMI,0))="-","-",IF(Table36[[#This Row],[%Absorption]]="-","-",IF(Table36[[#This Row],[%Absorption]]&lt;INDEX(Absmin,MATCH(Table36[[#This Row],[Grist]],SMI,0)),0,IF(Table36[[#This Row],[%Absorption]]&gt;INDEX(Absmax,MATCH(Table36[[#This Row],[Grist]],SMI,0)),0,1))))</f>
        <v>-</v>
      </c>
      <c r="Y127" s="127" t="str">
        <f>IF(INDEX(Extmin,MATCH(Table36[[#This Row],[Grist]],SMI,0))="-","-",IF(Table36[[#This Row],[%Extensibility]]="-","-",IF(Table36[[#This Row],[%Extensibility]]&lt;INDEX(Extmin,MATCH(Table36[[#This Row],[Grist]],SMI,0)),0,IF(Table36[[#This Row],[%Extensibility]]&gt;INDEX(Extmax,MATCH(Table36[[#This Row],[Grist]],SMI,0)),0,1))))</f>
        <v>-</v>
      </c>
      <c r="Z127" s="127" t="str">
        <f>IF(INDEX(Resmin,MATCH(Table36[[#This Row],[Grist]],SMI,0))="-","-",IF(Table36[[#This Row],[Resistance, max]]="-","-",IF(Table36[[#This Row],[Resistance, max]]&lt;INDEX(Resmin,MATCH(Table36[[#This Row],[Grist]],SMI,0)),0,IF(Table36[[#This Row],[Resistance, max]]&gt;INDEX(Resmax,MATCH(Table36[[#This Row],[Grist]],SMI,0)),0,1))))</f>
        <v>-</v>
      </c>
      <c r="AA127" s="127" t="str">
        <f>IF(INDEX(WGmin,MATCH(Table36[[#This Row],[Grist]],SMI,0))="-","-",IF(Table36[[#This Row],[%Wet Gluten]]="-","-",IF(Table36[[#This Row],[%Wet Gluten]]&lt;INDEX(WGmin,MATCH(Table36[[#This Row],[Grist]],SMI,0)),0,IF(Table36[[#This Row],[%Wet Gluten]]&gt;INDEX(WGmax,MATCH(Table36[[#This Row],[Grist]],SMI,0)),0,1))))</f>
        <v>-</v>
      </c>
      <c r="AB127" s="127">
        <f>SUM(Table36[[#This Row],[ QI Bran Content]:[QI WG]])</f>
        <v>4</v>
      </c>
      <c r="AC127" s="127">
        <f>COUNT(Table36[[#This Row],[ QI Bran Content]:[QI WG]])</f>
        <v>4</v>
      </c>
    </row>
    <row r="128" spans="1:29" x14ac:dyDescent="0.35">
      <c r="A128" s="177">
        <v>45292</v>
      </c>
      <c r="B128" s="178">
        <v>45311</v>
      </c>
      <c r="C128" s="178" t="s">
        <v>130</v>
      </c>
      <c r="D128" s="179">
        <v>1.125</v>
      </c>
      <c r="E128" s="180" t="s">
        <v>0</v>
      </c>
      <c r="F128" s="181" t="s">
        <v>27</v>
      </c>
      <c r="G128" s="182">
        <v>6.4999999999999997E-3</v>
      </c>
      <c r="H128" s="175" t="s">
        <v>165</v>
      </c>
      <c r="I128" s="175" t="s">
        <v>165</v>
      </c>
      <c r="J128" s="175" t="s">
        <v>165</v>
      </c>
      <c r="K128" s="175">
        <v>12.19</v>
      </c>
      <c r="L128" s="175" t="s">
        <v>163</v>
      </c>
      <c r="M128" s="175" t="s">
        <v>163</v>
      </c>
      <c r="N128" s="175" t="s">
        <v>163</v>
      </c>
      <c r="O128" s="175" t="s">
        <v>163</v>
      </c>
      <c r="P128" s="175" t="s">
        <v>163</v>
      </c>
      <c r="Q128" s="175" t="s">
        <v>163</v>
      </c>
      <c r="R128" s="127">
        <f>IF(Table36[[#This Row],[ Bran Content]]="-","-",IF(G128&lt;0.02,1,0))</f>
        <v>1</v>
      </c>
      <c r="S128" s="127">
        <f>IF(Table36[[#This Row],[Sieve Test]]="-","-",IF(Table36[[#This Row],[Sieve Test]]="P",1,0))</f>
        <v>1</v>
      </c>
      <c r="T128" s="127">
        <f>IF(Table36[[#This Row],[Odor]]="-","-",IF(Table36[[#This Row],[Odor]]="P",1,0))</f>
        <v>1</v>
      </c>
      <c r="U128" s="127">
        <f>IF(INDEX(MCmin,MATCH(Table36[[#This Row],[Grist]],SMI,0))="-","-",IF(Table36[[#This Row],[F1 %MC]]="-","-",IF(Table36[[#This Row],[F1 %MC]]&lt;INDEX(MCmin,MATCH(Table36[[#This Row],[Grist]],SMI,0)),0,IF(Table36[[#This Row],[F1 %MC]]&gt;INDEX(MCmax,MATCH(Table36[[#This Row],[Grist]],SMI,0)),0,1))))</f>
        <v>1</v>
      </c>
      <c r="V128" s="127" t="str">
        <f>IF(INDEX(Protmin,MATCH(Table36[[#This Row],[Grist]],SMI,0))="-","-",IF(Table36[[#This Row],[%Protein]]="-","-",IF(Table36[[#This Row],[%Protein]]&lt;INDEX(Protmin,MATCH(Table36[[#This Row],[Grist]],SMI,0)),0,IF(Table36[[#This Row],[%Protein]]&gt;INDEX(Protmax,MATCH(Table36[[#This Row],[Grist]],SMI,0)),0,1))))</f>
        <v>-</v>
      </c>
      <c r="W128" s="127" t="str">
        <f>IF(INDEX(Ashmin,MATCH(Table36[[#This Row],[Grist]],SMI,0))="-","-",IF(Table36[[#This Row],[%Ash]]="-","-",IF(Table36[[#This Row],[%Ash]]&lt;INDEX(Ashmin,MATCH(Table36[[#This Row],[Grist]],SMI,0)),0,IF(Table36[[#This Row],[%Ash]]&gt;INDEX(Ashmax,MATCH(Table36[[#This Row],[Grist]],SMI,0)),0,1))))</f>
        <v>-</v>
      </c>
      <c r="X128" s="127" t="str">
        <f>IF(INDEX(Absmin,MATCH(Table36[[#This Row],[Grist]],SMI,0))="-","-",IF(Table36[[#This Row],[%Absorption]]="-","-",IF(Table36[[#This Row],[%Absorption]]&lt;INDEX(Absmin,MATCH(Table36[[#This Row],[Grist]],SMI,0)),0,IF(Table36[[#This Row],[%Absorption]]&gt;INDEX(Absmax,MATCH(Table36[[#This Row],[Grist]],SMI,0)),0,1))))</f>
        <v>-</v>
      </c>
      <c r="Y128" s="127" t="str">
        <f>IF(INDEX(Extmin,MATCH(Table36[[#This Row],[Grist]],SMI,0))="-","-",IF(Table36[[#This Row],[%Extensibility]]="-","-",IF(Table36[[#This Row],[%Extensibility]]&lt;INDEX(Extmin,MATCH(Table36[[#This Row],[Grist]],SMI,0)),0,IF(Table36[[#This Row],[%Extensibility]]&gt;INDEX(Extmax,MATCH(Table36[[#This Row],[Grist]],SMI,0)),0,1))))</f>
        <v>-</v>
      </c>
      <c r="Z128" s="127" t="str">
        <f>IF(INDEX(Resmin,MATCH(Table36[[#This Row],[Grist]],SMI,0))="-","-",IF(Table36[[#This Row],[Resistance, max]]="-","-",IF(Table36[[#This Row],[Resistance, max]]&lt;INDEX(Resmin,MATCH(Table36[[#This Row],[Grist]],SMI,0)),0,IF(Table36[[#This Row],[Resistance, max]]&gt;INDEX(Resmax,MATCH(Table36[[#This Row],[Grist]],SMI,0)),0,1))))</f>
        <v>-</v>
      </c>
      <c r="AA128" s="127" t="str">
        <f>IF(INDEX(WGmin,MATCH(Table36[[#This Row],[Grist]],SMI,0))="-","-",IF(Table36[[#This Row],[%Wet Gluten]]="-","-",IF(Table36[[#This Row],[%Wet Gluten]]&lt;INDEX(WGmin,MATCH(Table36[[#This Row],[Grist]],SMI,0)),0,IF(Table36[[#This Row],[%Wet Gluten]]&gt;INDEX(WGmax,MATCH(Table36[[#This Row],[Grist]],SMI,0)),0,1))))</f>
        <v>-</v>
      </c>
      <c r="AB128" s="127">
        <f>SUM(Table36[[#This Row],[ QI Bran Content]:[QI WG]])</f>
        <v>4</v>
      </c>
      <c r="AC128" s="127">
        <f>COUNT(Table36[[#This Row],[ QI Bran Content]:[QI WG]])</f>
        <v>4</v>
      </c>
    </row>
    <row r="129" spans="1:29" x14ac:dyDescent="0.35">
      <c r="A129" s="177">
        <v>45292</v>
      </c>
      <c r="B129" s="178">
        <v>45311</v>
      </c>
      <c r="C129" s="178" t="s">
        <v>130</v>
      </c>
      <c r="D129" s="179">
        <v>1.2083333333333299</v>
      </c>
      <c r="E129" s="180" t="s">
        <v>0</v>
      </c>
      <c r="F129" s="181" t="s">
        <v>27</v>
      </c>
      <c r="G129" s="182">
        <v>7.7999999999999996E-3</v>
      </c>
      <c r="H129" s="175" t="s">
        <v>165</v>
      </c>
      <c r="I129" s="175" t="s">
        <v>165</v>
      </c>
      <c r="J129" s="175" t="s">
        <v>165</v>
      </c>
      <c r="K129" s="175">
        <v>12.44</v>
      </c>
      <c r="L129" s="175" t="s">
        <v>163</v>
      </c>
      <c r="M129" s="175" t="s">
        <v>163</v>
      </c>
      <c r="N129" s="175" t="s">
        <v>163</v>
      </c>
      <c r="O129" s="175" t="s">
        <v>163</v>
      </c>
      <c r="P129" s="175" t="s">
        <v>163</v>
      </c>
      <c r="Q129" s="175" t="s">
        <v>163</v>
      </c>
      <c r="R129" s="127">
        <f>IF(Table36[[#This Row],[ Bran Content]]="-","-",IF(G129&lt;0.02,1,0))</f>
        <v>1</v>
      </c>
      <c r="S129" s="127">
        <f>IF(Table36[[#This Row],[Sieve Test]]="-","-",IF(Table36[[#This Row],[Sieve Test]]="P",1,0))</f>
        <v>1</v>
      </c>
      <c r="T129" s="127">
        <f>IF(Table36[[#This Row],[Odor]]="-","-",IF(Table36[[#This Row],[Odor]]="P",1,0))</f>
        <v>1</v>
      </c>
      <c r="U129" s="127">
        <f>IF(INDEX(MCmin,MATCH(Table36[[#This Row],[Grist]],SMI,0))="-","-",IF(Table36[[#This Row],[F1 %MC]]="-","-",IF(Table36[[#This Row],[F1 %MC]]&lt;INDEX(MCmin,MATCH(Table36[[#This Row],[Grist]],SMI,0)),0,IF(Table36[[#This Row],[F1 %MC]]&gt;INDEX(MCmax,MATCH(Table36[[#This Row],[Grist]],SMI,0)),0,1))))</f>
        <v>1</v>
      </c>
      <c r="V129" s="127" t="str">
        <f>IF(INDEX(Protmin,MATCH(Table36[[#This Row],[Grist]],SMI,0))="-","-",IF(Table36[[#This Row],[%Protein]]="-","-",IF(Table36[[#This Row],[%Protein]]&lt;INDEX(Protmin,MATCH(Table36[[#This Row],[Grist]],SMI,0)),0,IF(Table36[[#This Row],[%Protein]]&gt;INDEX(Protmax,MATCH(Table36[[#This Row],[Grist]],SMI,0)),0,1))))</f>
        <v>-</v>
      </c>
      <c r="W129" s="127" t="str">
        <f>IF(INDEX(Ashmin,MATCH(Table36[[#This Row],[Grist]],SMI,0))="-","-",IF(Table36[[#This Row],[%Ash]]="-","-",IF(Table36[[#This Row],[%Ash]]&lt;INDEX(Ashmin,MATCH(Table36[[#This Row],[Grist]],SMI,0)),0,IF(Table36[[#This Row],[%Ash]]&gt;INDEX(Ashmax,MATCH(Table36[[#This Row],[Grist]],SMI,0)),0,1))))</f>
        <v>-</v>
      </c>
      <c r="X129" s="127" t="str">
        <f>IF(INDEX(Absmin,MATCH(Table36[[#This Row],[Grist]],SMI,0))="-","-",IF(Table36[[#This Row],[%Absorption]]="-","-",IF(Table36[[#This Row],[%Absorption]]&lt;INDEX(Absmin,MATCH(Table36[[#This Row],[Grist]],SMI,0)),0,IF(Table36[[#This Row],[%Absorption]]&gt;INDEX(Absmax,MATCH(Table36[[#This Row],[Grist]],SMI,0)),0,1))))</f>
        <v>-</v>
      </c>
      <c r="Y129" s="127" t="str">
        <f>IF(INDEX(Extmin,MATCH(Table36[[#This Row],[Grist]],SMI,0))="-","-",IF(Table36[[#This Row],[%Extensibility]]="-","-",IF(Table36[[#This Row],[%Extensibility]]&lt;INDEX(Extmin,MATCH(Table36[[#This Row],[Grist]],SMI,0)),0,IF(Table36[[#This Row],[%Extensibility]]&gt;INDEX(Extmax,MATCH(Table36[[#This Row],[Grist]],SMI,0)),0,1))))</f>
        <v>-</v>
      </c>
      <c r="Z129" s="127" t="str">
        <f>IF(INDEX(Resmin,MATCH(Table36[[#This Row],[Grist]],SMI,0))="-","-",IF(Table36[[#This Row],[Resistance, max]]="-","-",IF(Table36[[#This Row],[Resistance, max]]&lt;INDEX(Resmin,MATCH(Table36[[#This Row],[Grist]],SMI,0)),0,IF(Table36[[#This Row],[Resistance, max]]&gt;INDEX(Resmax,MATCH(Table36[[#This Row],[Grist]],SMI,0)),0,1))))</f>
        <v>-</v>
      </c>
      <c r="AA129" s="127" t="str">
        <f>IF(INDEX(WGmin,MATCH(Table36[[#This Row],[Grist]],SMI,0))="-","-",IF(Table36[[#This Row],[%Wet Gluten]]="-","-",IF(Table36[[#This Row],[%Wet Gluten]]&lt;INDEX(WGmin,MATCH(Table36[[#This Row],[Grist]],SMI,0)),0,IF(Table36[[#This Row],[%Wet Gluten]]&gt;INDEX(WGmax,MATCH(Table36[[#This Row],[Grist]],SMI,0)),0,1))))</f>
        <v>-</v>
      </c>
      <c r="AB129" s="127">
        <f>SUM(Table36[[#This Row],[ QI Bran Content]:[QI WG]])</f>
        <v>4</v>
      </c>
      <c r="AC129" s="127">
        <f>COUNT(Table36[[#This Row],[ QI Bran Content]:[QI WG]])</f>
        <v>4</v>
      </c>
    </row>
    <row r="130" spans="1:29" x14ac:dyDescent="0.35">
      <c r="A130" s="177">
        <v>45292</v>
      </c>
      <c r="B130" s="178">
        <v>45312</v>
      </c>
      <c r="C130" s="178" t="s">
        <v>125</v>
      </c>
      <c r="D130" s="179" t="s">
        <v>239</v>
      </c>
      <c r="E130" s="180" t="s">
        <v>0</v>
      </c>
      <c r="F130" s="181" t="s">
        <v>27</v>
      </c>
      <c r="G130" s="182">
        <v>1.11E-2</v>
      </c>
      <c r="H130" s="175" t="s">
        <v>165</v>
      </c>
      <c r="I130" s="175" t="s">
        <v>165</v>
      </c>
      <c r="J130" s="175" t="s">
        <v>165</v>
      </c>
      <c r="K130" s="175">
        <v>12.22</v>
      </c>
      <c r="L130" s="175" t="s">
        <v>163</v>
      </c>
      <c r="M130" s="175" t="s">
        <v>163</v>
      </c>
      <c r="N130" s="175" t="s">
        <v>163</v>
      </c>
      <c r="O130" s="175" t="s">
        <v>163</v>
      </c>
      <c r="P130" s="175" t="s">
        <v>163</v>
      </c>
      <c r="Q130" s="175" t="s">
        <v>163</v>
      </c>
      <c r="R130" s="127">
        <f>IF(Table36[[#This Row],[ Bran Content]]="-","-",IF(G130&lt;0.02,1,0))</f>
        <v>1</v>
      </c>
      <c r="S130" s="127">
        <f>IF(Table36[[#This Row],[Sieve Test]]="-","-",IF(Table36[[#This Row],[Sieve Test]]="P",1,0))</f>
        <v>1</v>
      </c>
      <c r="T130" s="127">
        <f>IF(Table36[[#This Row],[Odor]]="-","-",IF(Table36[[#This Row],[Odor]]="P",1,0))</f>
        <v>1</v>
      </c>
      <c r="U130" s="127">
        <f>IF(INDEX(MCmin,MATCH(Table36[[#This Row],[Grist]],SMI,0))="-","-",IF(Table36[[#This Row],[F1 %MC]]="-","-",IF(Table36[[#This Row],[F1 %MC]]&lt;INDEX(MCmin,MATCH(Table36[[#This Row],[Grist]],SMI,0)),0,IF(Table36[[#This Row],[F1 %MC]]&gt;INDEX(MCmax,MATCH(Table36[[#This Row],[Grist]],SMI,0)),0,1))))</f>
        <v>1</v>
      </c>
      <c r="V130" s="127" t="str">
        <f>IF(INDEX(Protmin,MATCH(Table36[[#This Row],[Grist]],SMI,0))="-","-",IF(Table36[[#This Row],[%Protein]]="-","-",IF(Table36[[#This Row],[%Protein]]&lt;INDEX(Protmin,MATCH(Table36[[#This Row],[Grist]],SMI,0)),0,IF(Table36[[#This Row],[%Protein]]&gt;INDEX(Protmax,MATCH(Table36[[#This Row],[Grist]],SMI,0)),0,1))))</f>
        <v>-</v>
      </c>
      <c r="W130" s="127" t="str">
        <f>IF(INDEX(Ashmin,MATCH(Table36[[#This Row],[Grist]],SMI,0))="-","-",IF(Table36[[#This Row],[%Ash]]="-","-",IF(Table36[[#This Row],[%Ash]]&lt;INDEX(Ashmin,MATCH(Table36[[#This Row],[Grist]],SMI,0)),0,IF(Table36[[#This Row],[%Ash]]&gt;INDEX(Ashmax,MATCH(Table36[[#This Row],[Grist]],SMI,0)),0,1))))</f>
        <v>-</v>
      </c>
      <c r="X130" s="127" t="str">
        <f>IF(INDEX(Absmin,MATCH(Table36[[#This Row],[Grist]],SMI,0))="-","-",IF(Table36[[#This Row],[%Absorption]]="-","-",IF(Table36[[#This Row],[%Absorption]]&lt;INDEX(Absmin,MATCH(Table36[[#This Row],[Grist]],SMI,0)),0,IF(Table36[[#This Row],[%Absorption]]&gt;INDEX(Absmax,MATCH(Table36[[#This Row],[Grist]],SMI,0)),0,1))))</f>
        <v>-</v>
      </c>
      <c r="Y130" s="127" t="str">
        <f>IF(INDEX(Extmin,MATCH(Table36[[#This Row],[Grist]],SMI,0))="-","-",IF(Table36[[#This Row],[%Extensibility]]="-","-",IF(Table36[[#This Row],[%Extensibility]]&lt;INDEX(Extmin,MATCH(Table36[[#This Row],[Grist]],SMI,0)),0,IF(Table36[[#This Row],[%Extensibility]]&gt;INDEX(Extmax,MATCH(Table36[[#This Row],[Grist]],SMI,0)),0,1))))</f>
        <v>-</v>
      </c>
      <c r="Z130" s="127" t="str">
        <f>IF(INDEX(Resmin,MATCH(Table36[[#This Row],[Grist]],SMI,0))="-","-",IF(Table36[[#This Row],[Resistance, max]]="-","-",IF(Table36[[#This Row],[Resistance, max]]&lt;INDEX(Resmin,MATCH(Table36[[#This Row],[Grist]],SMI,0)),0,IF(Table36[[#This Row],[Resistance, max]]&gt;INDEX(Resmax,MATCH(Table36[[#This Row],[Grist]],SMI,0)),0,1))))</f>
        <v>-</v>
      </c>
      <c r="AA130" s="127" t="str">
        <f>IF(INDEX(WGmin,MATCH(Table36[[#This Row],[Grist]],SMI,0))="-","-",IF(Table36[[#This Row],[%Wet Gluten]]="-","-",IF(Table36[[#This Row],[%Wet Gluten]]&lt;INDEX(WGmin,MATCH(Table36[[#This Row],[Grist]],SMI,0)),0,IF(Table36[[#This Row],[%Wet Gluten]]&gt;INDEX(WGmax,MATCH(Table36[[#This Row],[Grist]],SMI,0)),0,1))))</f>
        <v>-</v>
      </c>
      <c r="AB130" s="127">
        <f>SUM(Table36[[#This Row],[ QI Bran Content]:[QI WG]])</f>
        <v>4</v>
      </c>
      <c r="AC130" s="127">
        <f>COUNT(Table36[[#This Row],[ QI Bran Content]:[QI WG]])</f>
        <v>4</v>
      </c>
    </row>
    <row r="131" spans="1:29" x14ac:dyDescent="0.35">
      <c r="A131" s="177">
        <v>45292</v>
      </c>
      <c r="B131" s="178">
        <v>45312</v>
      </c>
      <c r="C131" s="178" t="s">
        <v>125</v>
      </c>
      <c r="D131" s="179" t="s">
        <v>240</v>
      </c>
      <c r="E131" s="180" t="s">
        <v>0</v>
      </c>
      <c r="F131" s="181" t="s">
        <v>27</v>
      </c>
      <c r="G131" s="182">
        <v>1.3100000000000001E-2</v>
      </c>
      <c r="H131" s="175" t="s">
        <v>165</v>
      </c>
      <c r="I131" s="175" t="s">
        <v>165</v>
      </c>
      <c r="J131" s="175" t="s">
        <v>165</v>
      </c>
      <c r="K131" s="175">
        <v>12.16</v>
      </c>
      <c r="L131" s="175" t="s">
        <v>163</v>
      </c>
      <c r="M131" s="175" t="s">
        <v>163</v>
      </c>
      <c r="N131" s="175" t="s">
        <v>163</v>
      </c>
      <c r="O131" s="175" t="s">
        <v>163</v>
      </c>
      <c r="P131" s="175" t="s">
        <v>163</v>
      </c>
      <c r="Q131" s="175" t="s">
        <v>163</v>
      </c>
      <c r="R131" s="127">
        <f>IF(Table36[[#This Row],[ Bran Content]]="-","-",IF(G131&lt;0.02,1,0))</f>
        <v>1</v>
      </c>
      <c r="S131" s="127">
        <f>IF(Table36[[#This Row],[Sieve Test]]="-","-",IF(Table36[[#This Row],[Sieve Test]]="P",1,0))</f>
        <v>1</v>
      </c>
      <c r="T131" s="127">
        <f>IF(Table36[[#This Row],[Odor]]="-","-",IF(Table36[[#This Row],[Odor]]="P",1,0))</f>
        <v>1</v>
      </c>
      <c r="U131" s="127">
        <f>IF(INDEX(MCmin,MATCH(Table36[[#This Row],[Grist]],SMI,0))="-","-",IF(Table36[[#This Row],[F1 %MC]]="-","-",IF(Table36[[#This Row],[F1 %MC]]&lt;INDEX(MCmin,MATCH(Table36[[#This Row],[Grist]],SMI,0)),0,IF(Table36[[#This Row],[F1 %MC]]&gt;INDEX(MCmax,MATCH(Table36[[#This Row],[Grist]],SMI,0)),0,1))))</f>
        <v>1</v>
      </c>
      <c r="V131" s="127" t="str">
        <f>IF(INDEX(Protmin,MATCH(Table36[[#This Row],[Grist]],SMI,0))="-","-",IF(Table36[[#This Row],[%Protein]]="-","-",IF(Table36[[#This Row],[%Protein]]&lt;INDEX(Protmin,MATCH(Table36[[#This Row],[Grist]],SMI,0)),0,IF(Table36[[#This Row],[%Protein]]&gt;INDEX(Protmax,MATCH(Table36[[#This Row],[Grist]],SMI,0)),0,1))))</f>
        <v>-</v>
      </c>
      <c r="W131" s="127" t="str">
        <f>IF(INDEX(Ashmin,MATCH(Table36[[#This Row],[Grist]],SMI,0))="-","-",IF(Table36[[#This Row],[%Ash]]="-","-",IF(Table36[[#This Row],[%Ash]]&lt;INDEX(Ashmin,MATCH(Table36[[#This Row],[Grist]],SMI,0)),0,IF(Table36[[#This Row],[%Ash]]&gt;INDEX(Ashmax,MATCH(Table36[[#This Row],[Grist]],SMI,0)),0,1))))</f>
        <v>-</v>
      </c>
      <c r="X131" s="127" t="str">
        <f>IF(INDEX(Absmin,MATCH(Table36[[#This Row],[Grist]],SMI,0))="-","-",IF(Table36[[#This Row],[%Absorption]]="-","-",IF(Table36[[#This Row],[%Absorption]]&lt;INDEX(Absmin,MATCH(Table36[[#This Row],[Grist]],SMI,0)),0,IF(Table36[[#This Row],[%Absorption]]&gt;INDEX(Absmax,MATCH(Table36[[#This Row],[Grist]],SMI,0)),0,1))))</f>
        <v>-</v>
      </c>
      <c r="Y131" s="127" t="str">
        <f>IF(INDEX(Extmin,MATCH(Table36[[#This Row],[Grist]],SMI,0))="-","-",IF(Table36[[#This Row],[%Extensibility]]="-","-",IF(Table36[[#This Row],[%Extensibility]]&lt;INDEX(Extmin,MATCH(Table36[[#This Row],[Grist]],SMI,0)),0,IF(Table36[[#This Row],[%Extensibility]]&gt;INDEX(Extmax,MATCH(Table36[[#This Row],[Grist]],SMI,0)),0,1))))</f>
        <v>-</v>
      </c>
      <c r="Z131" s="127" t="str">
        <f>IF(INDEX(Resmin,MATCH(Table36[[#This Row],[Grist]],SMI,0))="-","-",IF(Table36[[#This Row],[Resistance, max]]="-","-",IF(Table36[[#This Row],[Resistance, max]]&lt;INDEX(Resmin,MATCH(Table36[[#This Row],[Grist]],SMI,0)),0,IF(Table36[[#This Row],[Resistance, max]]&gt;INDEX(Resmax,MATCH(Table36[[#This Row],[Grist]],SMI,0)),0,1))))</f>
        <v>-</v>
      </c>
      <c r="AA131" s="127" t="str">
        <f>IF(INDEX(WGmin,MATCH(Table36[[#This Row],[Grist]],SMI,0))="-","-",IF(Table36[[#This Row],[%Wet Gluten]]="-","-",IF(Table36[[#This Row],[%Wet Gluten]]&lt;INDEX(WGmin,MATCH(Table36[[#This Row],[Grist]],SMI,0)),0,IF(Table36[[#This Row],[%Wet Gluten]]&gt;INDEX(WGmax,MATCH(Table36[[#This Row],[Grist]],SMI,0)),0,1))))</f>
        <v>-</v>
      </c>
      <c r="AB131" s="127">
        <f>SUM(Table36[[#This Row],[ QI Bran Content]:[QI WG]])</f>
        <v>4</v>
      </c>
      <c r="AC131" s="127">
        <f>COUNT(Table36[[#This Row],[ QI Bran Content]:[QI WG]])</f>
        <v>4</v>
      </c>
    </row>
    <row r="132" spans="1:29" x14ac:dyDescent="0.35">
      <c r="A132" s="177">
        <v>45292</v>
      </c>
      <c r="B132" s="178">
        <v>45312</v>
      </c>
      <c r="C132" s="178" t="s">
        <v>128</v>
      </c>
      <c r="D132" s="179">
        <v>0.874999999999999</v>
      </c>
      <c r="E132" s="180" t="s">
        <v>0</v>
      </c>
      <c r="F132" s="181" t="s">
        <v>27</v>
      </c>
      <c r="G132" s="182">
        <v>4.7000000000000002E-3</v>
      </c>
      <c r="H132" s="175" t="s">
        <v>165</v>
      </c>
      <c r="I132" s="175" t="s">
        <v>165</v>
      </c>
      <c r="J132" s="175" t="s">
        <v>165</v>
      </c>
      <c r="K132" s="175">
        <v>11.73</v>
      </c>
      <c r="L132" s="175">
        <v>12.97</v>
      </c>
      <c r="M132" s="175">
        <v>0.53</v>
      </c>
      <c r="N132" s="175">
        <v>64.3</v>
      </c>
      <c r="O132" s="175">
        <v>21</v>
      </c>
      <c r="P132" s="175">
        <v>615</v>
      </c>
      <c r="Q132" s="175">
        <v>36.299999999999997</v>
      </c>
      <c r="R132" s="127">
        <f>IF(Table36[[#This Row],[ Bran Content]]="-","-",IF(G132&lt;0.02,1,0))</f>
        <v>1</v>
      </c>
      <c r="S132" s="127">
        <f>IF(Table36[[#This Row],[Sieve Test]]="-","-",IF(Table36[[#This Row],[Sieve Test]]="P",1,0))</f>
        <v>1</v>
      </c>
      <c r="T132" s="127">
        <f>IF(Table36[[#This Row],[Odor]]="-","-",IF(Table36[[#This Row],[Odor]]="P",1,0))</f>
        <v>1</v>
      </c>
      <c r="U132" s="127">
        <f>IF(INDEX(MCmin,MATCH(Table36[[#This Row],[Grist]],SMI,0))="-","-",IF(Table36[[#This Row],[F1 %MC]]="-","-",IF(Table36[[#This Row],[F1 %MC]]&lt;INDEX(MCmin,MATCH(Table36[[#This Row],[Grist]],SMI,0)),0,IF(Table36[[#This Row],[F1 %MC]]&gt;INDEX(MCmax,MATCH(Table36[[#This Row],[Grist]],SMI,0)),0,1))))</f>
        <v>0</v>
      </c>
      <c r="V132" s="127">
        <f>IF(INDEX(Protmin,MATCH(Table36[[#This Row],[Grist]],SMI,0))="-","-",IF(Table36[[#This Row],[%Protein]]="-","-",IF(Table36[[#This Row],[%Protein]]&lt;INDEX(Protmin,MATCH(Table36[[#This Row],[Grist]],SMI,0)),0,IF(Table36[[#This Row],[%Protein]]&gt;INDEX(Protmax,MATCH(Table36[[#This Row],[Grist]],SMI,0)),0,1))))</f>
        <v>1</v>
      </c>
      <c r="W132" s="127">
        <f>IF(INDEX(Ashmin,MATCH(Table36[[#This Row],[Grist]],SMI,0))="-","-",IF(Table36[[#This Row],[%Ash]]="-","-",IF(Table36[[#This Row],[%Ash]]&lt;INDEX(Ashmin,MATCH(Table36[[#This Row],[Grist]],SMI,0)),0,IF(Table36[[#This Row],[%Ash]]&gt;INDEX(Ashmax,MATCH(Table36[[#This Row],[Grist]],SMI,0)),0,1))))</f>
        <v>1</v>
      </c>
      <c r="X132" s="127">
        <f>IF(INDEX(Absmin,MATCH(Table36[[#This Row],[Grist]],SMI,0))="-","-",IF(Table36[[#This Row],[%Absorption]]="-","-",IF(Table36[[#This Row],[%Absorption]]&lt;INDEX(Absmin,MATCH(Table36[[#This Row],[Grist]],SMI,0)),0,IF(Table36[[#This Row],[%Absorption]]&gt;INDEX(Absmax,MATCH(Table36[[#This Row],[Grist]],SMI,0)),0,1))))</f>
        <v>1</v>
      </c>
      <c r="Y132" s="127">
        <f>IF(INDEX(Extmin,MATCH(Table36[[#This Row],[Grist]],SMI,0))="-","-",IF(Table36[[#This Row],[%Extensibility]]="-","-",IF(Table36[[#This Row],[%Extensibility]]&lt;INDEX(Extmin,MATCH(Table36[[#This Row],[Grist]],SMI,0)),0,IF(Table36[[#This Row],[%Extensibility]]&gt;INDEX(Extmax,MATCH(Table36[[#This Row],[Grist]],SMI,0)),0,1))))</f>
        <v>1</v>
      </c>
      <c r="Z132" s="127">
        <f>IF(INDEX(Resmin,MATCH(Table36[[#This Row],[Grist]],SMI,0))="-","-",IF(Table36[[#This Row],[Resistance, max]]="-","-",IF(Table36[[#This Row],[Resistance, max]]&lt;INDEX(Resmin,MATCH(Table36[[#This Row],[Grist]],SMI,0)),0,IF(Table36[[#This Row],[Resistance, max]]&gt;INDEX(Resmax,MATCH(Table36[[#This Row],[Grist]],SMI,0)),0,1))))</f>
        <v>1</v>
      </c>
      <c r="AA132" s="127">
        <f>IF(INDEX(WGmin,MATCH(Table36[[#This Row],[Grist]],SMI,0))="-","-",IF(Table36[[#This Row],[%Wet Gluten]]="-","-",IF(Table36[[#This Row],[%Wet Gluten]]&lt;INDEX(WGmin,MATCH(Table36[[#This Row],[Grist]],SMI,0)),0,IF(Table36[[#This Row],[%Wet Gluten]]&gt;INDEX(WGmax,MATCH(Table36[[#This Row],[Grist]],SMI,0)),0,1))))</f>
        <v>1</v>
      </c>
      <c r="AB132" s="127">
        <f>SUM(Table36[[#This Row],[ QI Bran Content]:[QI WG]])</f>
        <v>9</v>
      </c>
      <c r="AC132" s="127">
        <f>COUNT(Table36[[#This Row],[ QI Bran Content]:[QI WG]])</f>
        <v>10</v>
      </c>
    </row>
    <row r="133" spans="1:29" x14ac:dyDescent="0.35">
      <c r="A133" s="177">
        <v>45292</v>
      </c>
      <c r="B133" s="178">
        <v>45312</v>
      </c>
      <c r="C133" s="178" t="s">
        <v>128</v>
      </c>
      <c r="D133" s="179">
        <v>0.95833333333333337</v>
      </c>
      <c r="E133" s="180" t="s">
        <v>0</v>
      </c>
      <c r="F133" s="181" t="s">
        <v>27</v>
      </c>
      <c r="G133" s="182">
        <v>4.7999999999999996E-3</v>
      </c>
      <c r="H133" s="175" t="s">
        <v>165</v>
      </c>
      <c r="I133" s="175" t="s">
        <v>165</v>
      </c>
      <c r="J133" s="175" t="s">
        <v>165</v>
      </c>
      <c r="K133" s="175">
        <v>11.95</v>
      </c>
      <c r="L133" s="175">
        <v>12.97</v>
      </c>
      <c r="M133" s="175">
        <v>0.53</v>
      </c>
      <c r="N133" s="175">
        <v>64.3</v>
      </c>
      <c r="O133" s="175">
        <v>21</v>
      </c>
      <c r="P133" s="175">
        <v>615</v>
      </c>
      <c r="Q133" s="175">
        <v>36.299999999999997</v>
      </c>
      <c r="R133" s="127">
        <f>IF(Table36[[#This Row],[ Bran Content]]="-","-",IF(G133&lt;0.02,1,0))</f>
        <v>1</v>
      </c>
      <c r="S133" s="127">
        <f>IF(Table36[[#This Row],[Sieve Test]]="-","-",IF(Table36[[#This Row],[Sieve Test]]="P",1,0))</f>
        <v>1</v>
      </c>
      <c r="T133" s="127">
        <f>IF(Table36[[#This Row],[Odor]]="-","-",IF(Table36[[#This Row],[Odor]]="P",1,0))</f>
        <v>1</v>
      </c>
      <c r="U133" s="127">
        <f>IF(INDEX(MCmin,MATCH(Table36[[#This Row],[Grist]],SMI,0))="-","-",IF(Table36[[#This Row],[F1 %MC]]="-","-",IF(Table36[[#This Row],[F1 %MC]]&lt;INDEX(MCmin,MATCH(Table36[[#This Row],[Grist]],SMI,0)),0,IF(Table36[[#This Row],[F1 %MC]]&gt;INDEX(MCmax,MATCH(Table36[[#This Row],[Grist]],SMI,0)),0,1))))</f>
        <v>0</v>
      </c>
      <c r="V133" s="127">
        <f>IF(INDEX(Protmin,MATCH(Table36[[#This Row],[Grist]],SMI,0))="-","-",IF(Table36[[#This Row],[%Protein]]="-","-",IF(Table36[[#This Row],[%Protein]]&lt;INDEX(Protmin,MATCH(Table36[[#This Row],[Grist]],SMI,0)),0,IF(Table36[[#This Row],[%Protein]]&gt;INDEX(Protmax,MATCH(Table36[[#This Row],[Grist]],SMI,0)),0,1))))</f>
        <v>1</v>
      </c>
      <c r="W133" s="127">
        <f>IF(INDEX(Ashmin,MATCH(Table36[[#This Row],[Grist]],SMI,0))="-","-",IF(Table36[[#This Row],[%Ash]]="-","-",IF(Table36[[#This Row],[%Ash]]&lt;INDEX(Ashmin,MATCH(Table36[[#This Row],[Grist]],SMI,0)),0,IF(Table36[[#This Row],[%Ash]]&gt;INDEX(Ashmax,MATCH(Table36[[#This Row],[Grist]],SMI,0)),0,1))))</f>
        <v>1</v>
      </c>
      <c r="X133" s="127">
        <f>IF(INDEX(Absmin,MATCH(Table36[[#This Row],[Grist]],SMI,0))="-","-",IF(Table36[[#This Row],[%Absorption]]="-","-",IF(Table36[[#This Row],[%Absorption]]&lt;INDEX(Absmin,MATCH(Table36[[#This Row],[Grist]],SMI,0)),0,IF(Table36[[#This Row],[%Absorption]]&gt;INDEX(Absmax,MATCH(Table36[[#This Row],[Grist]],SMI,0)),0,1))))</f>
        <v>1</v>
      </c>
      <c r="Y133" s="127">
        <f>IF(INDEX(Extmin,MATCH(Table36[[#This Row],[Grist]],SMI,0))="-","-",IF(Table36[[#This Row],[%Extensibility]]="-","-",IF(Table36[[#This Row],[%Extensibility]]&lt;INDEX(Extmin,MATCH(Table36[[#This Row],[Grist]],SMI,0)),0,IF(Table36[[#This Row],[%Extensibility]]&gt;INDEX(Extmax,MATCH(Table36[[#This Row],[Grist]],SMI,0)),0,1))))</f>
        <v>1</v>
      </c>
      <c r="Z133" s="127">
        <f>IF(INDEX(Resmin,MATCH(Table36[[#This Row],[Grist]],SMI,0))="-","-",IF(Table36[[#This Row],[Resistance, max]]="-","-",IF(Table36[[#This Row],[Resistance, max]]&lt;INDEX(Resmin,MATCH(Table36[[#This Row],[Grist]],SMI,0)),0,IF(Table36[[#This Row],[Resistance, max]]&gt;INDEX(Resmax,MATCH(Table36[[#This Row],[Grist]],SMI,0)),0,1))))</f>
        <v>1</v>
      </c>
      <c r="AA133" s="127">
        <f>IF(INDEX(WGmin,MATCH(Table36[[#This Row],[Grist]],SMI,0))="-","-",IF(Table36[[#This Row],[%Wet Gluten]]="-","-",IF(Table36[[#This Row],[%Wet Gluten]]&lt;INDEX(WGmin,MATCH(Table36[[#This Row],[Grist]],SMI,0)),0,IF(Table36[[#This Row],[%Wet Gluten]]&gt;INDEX(WGmax,MATCH(Table36[[#This Row],[Grist]],SMI,0)),0,1))))</f>
        <v>1</v>
      </c>
      <c r="AB133" s="127">
        <f>SUM(Table36[[#This Row],[ QI Bran Content]:[QI WG]])</f>
        <v>9</v>
      </c>
      <c r="AC133" s="127">
        <f>COUNT(Table36[[#This Row],[ QI Bran Content]:[QI WG]])</f>
        <v>10</v>
      </c>
    </row>
    <row r="134" spans="1:29" x14ac:dyDescent="0.35">
      <c r="A134" s="177">
        <v>45292</v>
      </c>
      <c r="B134" s="178">
        <v>45312</v>
      </c>
      <c r="C134" s="178" t="s">
        <v>130</v>
      </c>
      <c r="D134" s="179">
        <v>1.0416666666666701</v>
      </c>
      <c r="E134" s="180" t="s">
        <v>0</v>
      </c>
      <c r="F134" s="181" t="s">
        <v>27</v>
      </c>
      <c r="G134" s="182">
        <v>9.4999999999999998E-3</v>
      </c>
      <c r="H134" s="175" t="s">
        <v>165</v>
      </c>
      <c r="I134" s="175" t="s">
        <v>165</v>
      </c>
      <c r="J134" s="175" t="s">
        <v>165</v>
      </c>
      <c r="K134" s="175">
        <v>12.14</v>
      </c>
      <c r="L134" s="175" t="s">
        <v>163</v>
      </c>
      <c r="M134" s="175" t="s">
        <v>163</v>
      </c>
      <c r="N134" s="175" t="s">
        <v>163</v>
      </c>
      <c r="O134" s="175" t="s">
        <v>163</v>
      </c>
      <c r="P134" s="175" t="s">
        <v>163</v>
      </c>
      <c r="Q134" s="175" t="s">
        <v>163</v>
      </c>
      <c r="R134" s="127">
        <f>IF(Table36[[#This Row],[ Bran Content]]="-","-",IF(G134&lt;0.02,1,0))</f>
        <v>1</v>
      </c>
      <c r="S134" s="127">
        <f>IF(Table36[[#This Row],[Sieve Test]]="-","-",IF(Table36[[#This Row],[Sieve Test]]="P",1,0))</f>
        <v>1</v>
      </c>
      <c r="T134" s="127">
        <f>IF(Table36[[#This Row],[Odor]]="-","-",IF(Table36[[#This Row],[Odor]]="P",1,0))</f>
        <v>1</v>
      </c>
      <c r="U134" s="127">
        <f>IF(INDEX(MCmin,MATCH(Table36[[#This Row],[Grist]],SMI,0))="-","-",IF(Table36[[#This Row],[F1 %MC]]="-","-",IF(Table36[[#This Row],[F1 %MC]]&lt;INDEX(MCmin,MATCH(Table36[[#This Row],[Grist]],SMI,0)),0,IF(Table36[[#This Row],[F1 %MC]]&gt;INDEX(MCmax,MATCH(Table36[[#This Row],[Grist]],SMI,0)),0,1))))</f>
        <v>1</v>
      </c>
      <c r="V134" s="127" t="str">
        <f>IF(INDEX(Protmin,MATCH(Table36[[#This Row],[Grist]],SMI,0))="-","-",IF(Table36[[#This Row],[%Protein]]="-","-",IF(Table36[[#This Row],[%Protein]]&lt;INDEX(Protmin,MATCH(Table36[[#This Row],[Grist]],SMI,0)),0,IF(Table36[[#This Row],[%Protein]]&gt;INDEX(Protmax,MATCH(Table36[[#This Row],[Grist]],SMI,0)),0,1))))</f>
        <v>-</v>
      </c>
      <c r="W134" s="127" t="str">
        <f>IF(INDEX(Ashmin,MATCH(Table36[[#This Row],[Grist]],SMI,0))="-","-",IF(Table36[[#This Row],[%Ash]]="-","-",IF(Table36[[#This Row],[%Ash]]&lt;INDEX(Ashmin,MATCH(Table36[[#This Row],[Grist]],SMI,0)),0,IF(Table36[[#This Row],[%Ash]]&gt;INDEX(Ashmax,MATCH(Table36[[#This Row],[Grist]],SMI,0)),0,1))))</f>
        <v>-</v>
      </c>
      <c r="X134" s="127" t="str">
        <f>IF(INDEX(Absmin,MATCH(Table36[[#This Row],[Grist]],SMI,0))="-","-",IF(Table36[[#This Row],[%Absorption]]="-","-",IF(Table36[[#This Row],[%Absorption]]&lt;INDEX(Absmin,MATCH(Table36[[#This Row],[Grist]],SMI,0)),0,IF(Table36[[#This Row],[%Absorption]]&gt;INDEX(Absmax,MATCH(Table36[[#This Row],[Grist]],SMI,0)),0,1))))</f>
        <v>-</v>
      </c>
      <c r="Y134" s="127" t="str">
        <f>IF(INDEX(Extmin,MATCH(Table36[[#This Row],[Grist]],SMI,0))="-","-",IF(Table36[[#This Row],[%Extensibility]]="-","-",IF(Table36[[#This Row],[%Extensibility]]&lt;INDEX(Extmin,MATCH(Table36[[#This Row],[Grist]],SMI,0)),0,IF(Table36[[#This Row],[%Extensibility]]&gt;INDEX(Extmax,MATCH(Table36[[#This Row],[Grist]],SMI,0)),0,1))))</f>
        <v>-</v>
      </c>
      <c r="Z134" s="127" t="str">
        <f>IF(INDEX(Resmin,MATCH(Table36[[#This Row],[Grist]],SMI,0))="-","-",IF(Table36[[#This Row],[Resistance, max]]="-","-",IF(Table36[[#This Row],[Resistance, max]]&lt;INDEX(Resmin,MATCH(Table36[[#This Row],[Grist]],SMI,0)),0,IF(Table36[[#This Row],[Resistance, max]]&gt;INDEX(Resmax,MATCH(Table36[[#This Row],[Grist]],SMI,0)),0,1))))</f>
        <v>-</v>
      </c>
      <c r="AA134" s="127" t="str">
        <f>IF(INDEX(WGmin,MATCH(Table36[[#This Row],[Grist]],SMI,0))="-","-",IF(Table36[[#This Row],[%Wet Gluten]]="-","-",IF(Table36[[#This Row],[%Wet Gluten]]&lt;INDEX(WGmin,MATCH(Table36[[#This Row],[Grist]],SMI,0)),0,IF(Table36[[#This Row],[%Wet Gluten]]&gt;INDEX(WGmax,MATCH(Table36[[#This Row],[Grist]],SMI,0)),0,1))))</f>
        <v>-</v>
      </c>
      <c r="AB134" s="127">
        <f>SUM(Table36[[#This Row],[ QI Bran Content]:[QI WG]])</f>
        <v>4</v>
      </c>
      <c r="AC134" s="127">
        <f>COUNT(Table36[[#This Row],[ QI Bran Content]:[QI WG]])</f>
        <v>4</v>
      </c>
    </row>
    <row r="135" spans="1:29" x14ac:dyDescent="0.35">
      <c r="A135" s="177">
        <v>45292</v>
      </c>
      <c r="B135" s="178">
        <v>45312</v>
      </c>
      <c r="C135" s="178" t="s">
        <v>130</v>
      </c>
      <c r="D135" s="179">
        <v>1.125</v>
      </c>
      <c r="E135" s="180" t="s">
        <v>0</v>
      </c>
      <c r="F135" s="181" t="s">
        <v>27</v>
      </c>
      <c r="G135" s="182">
        <v>8.0000000000000002E-3</v>
      </c>
      <c r="H135" s="175" t="s">
        <v>165</v>
      </c>
      <c r="I135" s="175" t="s">
        <v>165</v>
      </c>
      <c r="J135" s="175" t="s">
        <v>165</v>
      </c>
      <c r="K135" s="175">
        <v>12.06</v>
      </c>
      <c r="L135" s="175" t="s">
        <v>163</v>
      </c>
      <c r="M135" s="175" t="s">
        <v>163</v>
      </c>
      <c r="N135" s="175" t="s">
        <v>163</v>
      </c>
      <c r="O135" s="175" t="s">
        <v>163</v>
      </c>
      <c r="P135" s="175" t="s">
        <v>163</v>
      </c>
      <c r="Q135" s="175" t="s">
        <v>163</v>
      </c>
      <c r="R135" s="127">
        <f>IF(Table36[[#This Row],[ Bran Content]]="-","-",IF(G135&lt;0.02,1,0))</f>
        <v>1</v>
      </c>
      <c r="S135" s="127">
        <f>IF(Table36[[#This Row],[Sieve Test]]="-","-",IF(Table36[[#This Row],[Sieve Test]]="P",1,0))</f>
        <v>1</v>
      </c>
      <c r="T135" s="127">
        <f>IF(Table36[[#This Row],[Odor]]="-","-",IF(Table36[[#This Row],[Odor]]="P",1,0))</f>
        <v>1</v>
      </c>
      <c r="U135" s="127">
        <f>IF(INDEX(MCmin,MATCH(Table36[[#This Row],[Grist]],SMI,0))="-","-",IF(Table36[[#This Row],[F1 %MC]]="-","-",IF(Table36[[#This Row],[F1 %MC]]&lt;INDEX(MCmin,MATCH(Table36[[#This Row],[Grist]],SMI,0)),0,IF(Table36[[#This Row],[F1 %MC]]&gt;INDEX(MCmax,MATCH(Table36[[#This Row],[Grist]],SMI,0)),0,1))))</f>
        <v>1</v>
      </c>
      <c r="V135" s="127" t="str">
        <f>IF(INDEX(Protmin,MATCH(Table36[[#This Row],[Grist]],SMI,0))="-","-",IF(Table36[[#This Row],[%Protein]]="-","-",IF(Table36[[#This Row],[%Protein]]&lt;INDEX(Protmin,MATCH(Table36[[#This Row],[Grist]],SMI,0)),0,IF(Table36[[#This Row],[%Protein]]&gt;INDEX(Protmax,MATCH(Table36[[#This Row],[Grist]],SMI,0)),0,1))))</f>
        <v>-</v>
      </c>
      <c r="W135" s="127" t="str">
        <f>IF(INDEX(Ashmin,MATCH(Table36[[#This Row],[Grist]],SMI,0))="-","-",IF(Table36[[#This Row],[%Ash]]="-","-",IF(Table36[[#This Row],[%Ash]]&lt;INDEX(Ashmin,MATCH(Table36[[#This Row],[Grist]],SMI,0)),0,IF(Table36[[#This Row],[%Ash]]&gt;INDEX(Ashmax,MATCH(Table36[[#This Row],[Grist]],SMI,0)),0,1))))</f>
        <v>-</v>
      </c>
      <c r="X135" s="127" t="str">
        <f>IF(INDEX(Absmin,MATCH(Table36[[#This Row],[Grist]],SMI,0))="-","-",IF(Table36[[#This Row],[%Absorption]]="-","-",IF(Table36[[#This Row],[%Absorption]]&lt;INDEX(Absmin,MATCH(Table36[[#This Row],[Grist]],SMI,0)),0,IF(Table36[[#This Row],[%Absorption]]&gt;INDEX(Absmax,MATCH(Table36[[#This Row],[Grist]],SMI,0)),0,1))))</f>
        <v>-</v>
      </c>
      <c r="Y135" s="127" t="str">
        <f>IF(INDEX(Extmin,MATCH(Table36[[#This Row],[Grist]],SMI,0))="-","-",IF(Table36[[#This Row],[%Extensibility]]="-","-",IF(Table36[[#This Row],[%Extensibility]]&lt;INDEX(Extmin,MATCH(Table36[[#This Row],[Grist]],SMI,0)),0,IF(Table36[[#This Row],[%Extensibility]]&gt;INDEX(Extmax,MATCH(Table36[[#This Row],[Grist]],SMI,0)),0,1))))</f>
        <v>-</v>
      </c>
      <c r="Z135" s="127" t="str">
        <f>IF(INDEX(Resmin,MATCH(Table36[[#This Row],[Grist]],SMI,0))="-","-",IF(Table36[[#This Row],[Resistance, max]]="-","-",IF(Table36[[#This Row],[Resistance, max]]&lt;INDEX(Resmin,MATCH(Table36[[#This Row],[Grist]],SMI,0)),0,IF(Table36[[#This Row],[Resistance, max]]&gt;INDEX(Resmax,MATCH(Table36[[#This Row],[Grist]],SMI,0)),0,1))))</f>
        <v>-</v>
      </c>
      <c r="AA135" s="127" t="str">
        <f>IF(INDEX(WGmin,MATCH(Table36[[#This Row],[Grist]],SMI,0))="-","-",IF(Table36[[#This Row],[%Wet Gluten]]="-","-",IF(Table36[[#This Row],[%Wet Gluten]]&lt;INDEX(WGmin,MATCH(Table36[[#This Row],[Grist]],SMI,0)),0,IF(Table36[[#This Row],[%Wet Gluten]]&gt;INDEX(WGmax,MATCH(Table36[[#This Row],[Grist]],SMI,0)),0,1))))</f>
        <v>-</v>
      </c>
      <c r="AB135" s="127">
        <f>SUM(Table36[[#This Row],[ QI Bran Content]:[QI WG]])</f>
        <v>4</v>
      </c>
      <c r="AC135" s="127">
        <f>COUNT(Table36[[#This Row],[ QI Bran Content]:[QI WG]])</f>
        <v>4</v>
      </c>
    </row>
    <row r="136" spans="1:29" x14ac:dyDescent="0.35">
      <c r="A136" s="177">
        <v>45292</v>
      </c>
      <c r="B136" s="178">
        <v>45312</v>
      </c>
      <c r="C136" s="178" t="s">
        <v>130</v>
      </c>
      <c r="D136" s="179">
        <v>1.2083333333333299</v>
      </c>
      <c r="E136" s="180" t="s">
        <v>0</v>
      </c>
      <c r="F136" s="181" t="s">
        <v>27</v>
      </c>
      <c r="G136" s="182">
        <v>4.7000000000000002E-3</v>
      </c>
      <c r="H136" s="175" t="s">
        <v>165</v>
      </c>
      <c r="I136" s="175" t="s">
        <v>165</v>
      </c>
      <c r="J136" s="175" t="s">
        <v>165</v>
      </c>
      <c r="K136" s="175">
        <v>12.19</v>
      </c>
      <c r="L136" s="175" t="s">
        <v>163</v>
      </c>
      <c r="M136" s="175" t="s">
        <v>163</v>
      </c>
      <c r="N136" s="175" t="s">
        <v>163</v>
      </c>
      <c r="O136" s="175" t="s">
        <v>163</v>
      </c>
      <c r="P136" s="175" t="s">
        <v>163</v>
      </c>
      <c r="Q136" s="175" t="s">
        <v>163</v>
      </c>
      <c r="R136" s="127">
        <f>IF(Table36[[#This Row],[ Bran Content]]="-","-",IF(G136&lt;0.02,1,0))</f>
        <v>1</v>
      </c>
      <c r="S136" s="127">
        <f>IF(Table36[[#This Row],[Sieve Test]]="-","-",IF(Table36[[#This Row],[Sieve Test]]="P",1,0))</f>
        <v>1</v>
      </c>
      <c r="T136" s="127">
        <f>IF(Table36[[#This Row],[Odor]]="-","-",IF(Table36[[#This Row],[Odor]]="P",1,0))</f>
        <v>1</v>
      </c>
      <c r="U136" s="127">
        <f>IF(INDEX(MCmin,MATCH(Table36[[#This Row],[Grist]],SMI,0))="-","-",IF(Table36[[#This Row],[F1 %MC]]="-","-",IF(Table36[[#This Row],[F1 %MC]]&lt;INDEX(MCmin,MATCH(Table36[[#This Row],[Grist]],SMI,0)),0,IF(Table36[[#This Row],[F1 %MC]]&gt;INDEX(MCmax,MATCH(Table36[[#This Row],[Grist]],SMI,0)),0,1))))</f>
        <v>1</v>
      </c>
      <c r="V136" s="127" t="str">
        <f>IF(INDEX(Protmin,MATCH(Table36[[#This Row],[Grist]],SMI,0))="-","-",IF(Table36[[#This Row],[%Protein]]="-","-",IF(Table36[[#This Row],[%Protein]]&lt;INDEX(Protmin,MATCH(Table36[[#This Row],[Grist]],SMI,0)),0,IF(Table36[[#This Row],[%Protein]]&gt;INDEX(Protmax,MATCH(Table36[[#This Row],[Grist]],SMI,0)),0,1))))</f>
        <v>-</v>
      </c>
      <c r="W136" s="127" t="str">
        <f>IF(INDEX(Ashmin,MATCH(Table36[[#This Row],[Grist]],SMI,0))="-","-",IF(Table36[[#This Row],[%Ash]]="-","-",IF(Table36[[#This Row],[%Ash]]&lt;INDEX(Ashmin,MATCH(Table36[[#This Row],[Grist]],SMI,0)),0,IF(Table36[[#This Row],[%Ash]]&gt;INDEX(Ashmax,MATCH(Table36[[#This Row],[Grist]],SMI,0)),0,1))))</f>
        <v>-</v>
      </c>
      <c r="X136" s="127" t="str">
        <f>IF(INDEX(Absmin,MATCH(Table36[[#This Row],[Grist]],SMI,0))="-","-",IF(Table36[[#This Row],[%Absorption]]="-","-",IF(Table36[[#This Row],[%Absorption]]&lt;INDEX(Absmin,MATCH(Table36[[#This Row],[Grist]],SMI,0)),0,IF(Table36[[#This Row],[%Absorption]]&gt;INDEX(Absmax,MATCH(Table36[[#This Row],[Grist]],SMI,0)),0,1))))</f>
        <v>-</v>
      </c>
      <c r="Y136" s="127" t="str">
        <f>IF(INDEX(Extmin,MATCH(Table36[[#This Row],[Grist]],SMI,0))="-","-",IF(Table36[[#This Row],[%Extensibility]]="-","-",IF(Table36[[#This Row],[%Extensibility]]&lt;INDEX(Extmin,MATCH(Table36[[#This Row],[Grist]],SMI,0)),0,IF(Table36[[#This Row],[%Extensibility]]&gt;INDEX(Extmax,MATCH(Table36[[#This Row],[Grist]],SMI,0)),0,1))))</f>
        <v>-</v>
      </c>
      <c r="Z136" s="127" t="str">
        <f>IF(INDEX(Resmin,MATCH(Table36[[#This Row],[Grist]],SMI,0))="-","-",IF(Table36[[#This Row],[Resistance, max]]="-","-",IF(Table36[[#This Row],[Resistance, max]]&lt;INDEX(Resmin,MATCH(Table36[[#This Row],[Grist]],SMI,0)),0,IF(Table36[[#This Row],[Resistance, max]]&gt;INDEX(Resmax,MATCH(Table36[[#This Row],[Grist]],SMI,0)),0,1))))</f>
        <v>-</v>
      </c>
      <c r="AA136" s="127" t="str">
        <f>IF(INDEX(WGmin,MATCH(Table36[[#This Row],[Grist]],SMI,0))="-","-",IF(Table36[[#This Row],[%Wet Gluten]]="-","-",IF(Table36[[#This Row],[%Wet Gluten]]&lt;INDEX(WGmin,MATCH(Table36[[#This Row],[Grist]],SMI,0)),0,IF(Table36[[#This Row],[%Wet Gluten]]&gt;INDEX(WGmax,MATCH(Table36[[#This Row],[Grist]],SMI,0)),0,1))))</f>
        <v>-</v>
      </c>
      <c r="AB136" s="127">
        <f>SUM(Table36[[#This Row],[ QI Bran Content]:[QI WG]])</f>
        <v>4</v>
      </c>
      <c r="AC136" s="127">
        <f>COUNT(Table36[[#This Row],[ QI Bran Content]:[QI WG]])</f>
        <v>4</v>
      </c>
    </row>
    <row r="137" spans="1:29" x14ac:dyDescent="0.35">
      <c r="A137" s="177">
        <v>45292</v>
      </c>
      <c r="B137" s="178">
        <v>45313</v>
      </c>
      <c r="C137" s="178" t="s">
        <v>125</v>
      </c>
      <c r="D137" s="179" t="s">
        <v>239</v>
      </c>
      <c r="E137" s="180" t="s">
        <v>0</v>
      </c>
      <c r="F137" s="181" t="s">
        <v>27</v>
      </c>
      <c r="G137" s="182">
        <v>8.8999999999999999E-3</v>
      </c>
      <c r="H137" s="175" t="s">
        <v>165</v>
      </c>
      <c r="I137" s="175" t="s">
        <v>165</v>
      </c>
      <c r="J137" s="175" t="s">
        <v>165</v>
      </c>
      <c r="K137" s="175">
        <v>12.19</v>
      </c>
      <c r="L137" s="175">
        <v>13.83</v>
      </c>
      <c r="M137" s="175">
        <v>0.51</v>
      </c>
      <c r="N137" s="175">
        <v>64.8</v>
      </c>
      <c r="O137" s="175" t="s">
        <v>163</v>
      </c>
      <c r="P137" s="175" t="s">
        <v>163</v>
      </c>
      <c r="Q137" s="175">
        <v>35.700000000000003</v>
      </c>
      <c r="R137" s="127">
        <f>IF(Table36[[#This Row],[ Bran Content]]="-","-",IF(G137&lt;0.02,1,0))</f>
        <v>1</v>
      </c>
      <c r="S137" s="127">
        <f>IF(Table36[[#This Row],[Sieve Test]]="-","-",IF(Table36[[#This Row],[Sieve Test]]="P",1,0))</f>
        <v>1</v>
      </c>
      <c r="T137" s="127">
        <f>IF(Table36[[#This Row],[Odor]]="-","-",IF(Table36[[#This Row],[Odor]]="P",1,0))</f>
        <v>1</v>
      </c>
      <c r="U137" s="127">
        <f>IF(INDEX(MCmin,MATCH(Table36[[#This Row],[Grist]],SMI,0))="-","-",IF(Table36[[#This Row],[F1 %MC]]="-","-",IF(Table36[[#This Row],[F1 %MC]]&lt;INDEX(MCmin,MATCH(Table36[[#This Row],[Grist]],SMI,0)),0,IF(Table36[[#This Row],[F1 %MC]]&gt;INDEX(MCmax,MATCH(Table36[[#This Row],[Grist]],SMI,0)),0,1))))</f>
        <v>1</v>
      </c>
      <c r="V137" s="127">
        <f>IF(INDEX(Protmin,MATCH(Table36[[#This Row],[Grist]],SMI,0))="-","-",IF(Table36[[#This Row],[%Protein]]="-","-",IF(Table36[[#This Row],[%Protein]]&lt;INDEX(Protmin,MATCH(Table36[[#This Row],[Grist]],SMI,0)),0,IF(Table36[[#This Row],[%Protein]]&gt;INDEX(Protmax,MATCH(Table36[[#This Row],[Grist]],SMI,0)),0,1))))</f>
        <v>1</v>
      </c>
      <c r="W137" s="127">
        <f>IF(INDEX(Ashmin,MATCH(Table36[[#This Row],[Grist]],SMI,0))="-","-",IF(Table36[[#This Row],[%Ash]]="-","-",IF(Table36[[#This Row],[%Ash]]&lt;INDEX(Ashmin,MATCH(Table36[[#This Row],[Grist]],SMI,0)),0,IF(Table36[[#This Row],[%Ash]]&gt;INDEX(Ashmax,MATCH(Table36[[#This Row],[Grist]],SMI,0)),0,1))))</f>
        <v>1</v>
      </c>
      <c r="X137" s="127">
        <f>IF(INDEX(Absmin,MATCH(Table36[[#This Row],[Grist]],SMI,0))="-","-",IF(Table36[[#This Row],[%Absorption]]="-","-",IF(Table36[[#This Row],[%Absorption]]&lt;INDEX(Absmin,MATCH(Table36[[#This Row],[Grist]],SMI,0)),0,IF(Table36[[#This Row],[%Absorption]]&gt;INDEX(Absmax,MATCH(Table36[[#This Row],[Grist]],SMI,0)),0,1))))</f>
        <v>1</v>
      </c>
      <c r="Y137" s="127" t="str">
        <f>IF(INDEX(Extmin,MATCH(Table36[[#This Row],[Grist]],SMI,0))="-","-",IF(Table36[[#This Row],[%Extensibility]]="-","-",IF(Table36[[#This Row],[%Extensibility]]&lt;INDEX(Extmin,MATCH(Table36[[#This Row],[Grist]],SMI,0)),0,IF(Table36[[#This Row],[%Extensibility]]&gt;INDEX(Extmax,MATCH(Table36[[#This Row],[Grist]],SMI,0)),0,1))))</f>
        <v>-</v>
      </c>
      <c r="Z137" s="127" t="str">
        <f>IF(INDEX(Resmin,MATCH(Table36[[#This Row],[Grist]],SMI,0))="-","-",IF(Table36[[#This Row],[Resistance, max]]="-","-",IF(Table36[[#This Row],[Resistance, max]]&lt;INDEX(Resmin,MATCH(Table36[[#This Row],[Grist]],SMI,0)),0,IF(Table36[[#This Row],[Resistance, max]]&gt;INDEX(Resmax,MATCH(Table36[[#This Row],[Grist]],SMI,0)),0,1))))</f>
        <v>-</v>
      </c>
      <c r="AA137" s="127">
        <f>IF(INDEX(WGmin,MATCH(Table36[[#This Row],[Grist]],SMI,0))="-","-",IF(Table36[[#This Row],[%Wet Gluten]]="-","-",IF(Table36[[#This Row],[%Wet Gluten]]&lt;INDEX(WGmin,MATCH(Table36[[#This Row],[Grist]],SMI,0)),0,IF(Table36[[#This Row],[%Wet Gluten]]&gt;INDEX(WGmax,MATCH(Table36[[#This Row],[Grist]],SMI,0)),0,1))))</f>
        <v>1</v>
      </c>
      <c r="AB137" s="127">
        <f>SUM(Table36[[#This Row],[ QI Bran Content]:[QI WG]])</f>
        <v>8</v>
      </c>
      <c r="AC137" s="127">
        <f>COUNT(Table36[[#This Row],[ QI Bran Content]:[QI WG]])</f>
        <v>8</v>
      </c>
    </row>
    <row r="138" spans="1:29" x14ac:dyDescent="0.35">
      <c r="A138" s="177">
        <v>45292</v>
      </c>
      <c r="B138" s="178">
        <v>45313</v>
      </c>
      <c r="C138" s="178" t="s">
        <v>125</v>
      </c>
      <c r="D138" s="179" t="s">
        <v>240</v>
      </c>
      <c r="E138" s="180" t="s">
        <v>0</v>
      </c>
      <c r="F138" s="181" t="s">
        <v>27</v>
      </c>
      <c r="G138" s="182">
        <v>1.43E-2</v>
      </c>
      <c r="H138" s="175" t="s">
        <v>165</v>
      </c>
      <c r="I138" s="175" t="s">
        <v>165</v>
      </c>
      <c r="J138" s="175" t="s">
        <v>165</v>
      </c>
      <c r="K138" s="175">
        <v>12.15</v>
      </c>
      <c r="L138" s="175" t="s">
        <v>163</v>
      </c>
      <c r="M138" s="175" t="s">
        <v>163</v>
      </c>
      <c r="N138" s="175" t="s">
        <v>163</v>
      </c>
      <c r="O138" s="175" t="s">
        <v>163</v>
      </c>
      <c r="P138" s="175" t="s">
        <v>163</v>
      </c>
      <c r="Q138" s="175" t="s">
        <v>163</v>
      </c>
      <c r="R138" s="127">
        <f>IF(Table36[[#This Row],[ Bran Content]]="-","-",IF(G138&lt;0.02,1,0))</f>
        <v>1</v>
      </c>
      <c r="S138" s="127">
        <f>IF(Table36[[#This Row],[Sieve Test]]="-","-",IF(Table36[[#This Row],[Sieve Test]]="P",1,0))</f>
        <v>1</v>
      </c>
      <c r="T138" s="127">
        <f>IF(Table36[[#This Row],[Odor]]="-","-",IF(Table36[[#This Row],[Odor]]="P",1,0))</f>
        <v>1</v>
      </c>
      <c r="U138" s="127">
        <f>IF(INDEX(MCmin,MATCH(Table36[[#This Row],[Grist]],SMI,0))="-","-",IF(Table36[[#This Row],[F1 %MC]]="-","-",IF(Table36[[#This Row],[F1 %MC]]&lt;INDEX(MCmin,MATCH(Table36[[#This Row],[Grist]],SMI,0)),0,IF(Table36[[#This Row],[F1 %MC]]&gt;INDEX(MCmax,MATCH(Table36[[#This Row],[Grist]],SMI,0)),0,1))))</f>
        <v>1</v>
      </c>
      <c r="V138" s="127" t="str">
        <f>IF(INDEX(Protmin,MATCH(Table36[[#This Row],[Grist]],SMI,0))="-","-",IF(Table36[[#This Row],[%Protein]]="-","-",IF(Table36[[#This Row],[%Protein]]&lt;INDEX(Protmin,MATCH(Table36[[#This Row],[Grist]],SMI,0)),0,IF(Table36[[#This Row],[%Protein]]&gt;INDEX(Protmax,MATCH(Table36[[#This Row],[Grist]],SMI,0)),0,1))))</f>
        <v>-</v>
      </c>
      <c r="W138" s="127" t="str">
        <f>IF(INDEX(Ashmin,MATCH(Table36[[#This Row],[Grist]],SMI,0))="-","-",IF(Table36[[#This Row],[%Ash]]="-","-",IF(Table36[[#This Row],[%Ash]]&lt;INDEX(Ashmin,MATCH(Table36[[#This Row],[Grist]],SMI,0)),0,IF(Table36[[#This Row],[%Ash]]&gt;INDEX(Ashmax,MATCH(Table36[[#This Row],[Grist]],SMI,0)),0,1))))</f>
        <v>-</v>
      </c>
      <c r="X138" s="127" t="str">
        <f>IF(INDEX(Absmin,MATCH(Table36[[#This Row],[Grist]],SMI,0))="-","-",IF(Table36[[#This Row],[%Absorption]]="-","-",IF(Table36[[#This Row],[%Absorption]]&lt;INDEX(Absmin,MATCH(Table36[[#This Row],[Grist]],SMI,0)),0,IF(Table36[[#This Row],[%Absorption]]&gt;INDEX(Absmax,MATCH(Table36[[#This Row],[Grist]],SMI,0)),0,1))))</f>
        <v>-</v>
      </c>
      <c r="Y138" s="127" t="str">
        <f>IF(INDEX(Extmin,MATCH(Table36[[#This Row],[Grist]],SMI,0))="-","-",IF(Table36[[#This Row],[%Extensibility]]="-","-",IF(Table36[[#This Row],[%Extensibility]]&lt;INDEX(Extmin,MATCH(Table36[[#This Row],[Grist]],SMI,0)),0,IF(Table36[[#This Row],[%Extensibility]]&gt;INDEX(Extmax,MATCH(Table36[[#This Row],[Grist]],SMI,0)),0,1))))</f>
        <v>-</v>
      </c>
      <c r="Z138" s="127" t="str">
        <f>IF(INDEX(Resmin,MATCH(Table36[[#This Row],[Grist]],SMI,0))="-","-",IF(Table36[[#This Row],[Resistance, max]]="-","-",IF(Table36[[#This Row],[Resistance, max]]&lt;INDEX(Resmin,MATCH(Table36[[#This Row],[Grist]],SMI,0)),0,IF(Table36[[#This Row],[Resistance, max]]&gt;INDEX(Resmax,MATCH(Table36[[#This Row],[Grist]],SMI,0)),0,1))))</f>
        <v>-</v>
      </c>
      <c r="AA138" s="127" t="str">
        <f>IF(INDEX(WGmin,MATCH(Table36[[#This Row],[Grist]],SMI,0))="-","-",IF(Table36[[#This Row],[%Wet Gluten]]="-","-",IF(Table36[[#This Row],[%Wet Gluten]]&lt;INDEX(WGmin,MATCH(Table36[[#This Row],[Grist]],SMI,0)),0,IF(Table36[[#This Row],[%Wet Gluten]]&gt;INDEX(WGmax,MATCH(Table36[[#This Row],[Grist]],SMI,0)),0,1))))</f>
        <v>-</v>
      </c>
      <c r="AB138" s="127">
        <f>SUM(Table36[[#This Row],[ QI Bran Content]:[QI WG]])</f>
        <v>4</v>
      </c>
      <c r="AC138" s="127">
        <f>COUNT(Table36[[#This Row],[ QI Bran Content]:[QI WG]])</f>
        <v>4</v>
      </c>
    </row>
    <row r="139" spans="1:29" x14ac:dyDescent="0.35">
      <c r="A139" s="177">
        <v>45292</v>
      </c>
      <c r="B139" s="178">
        <v>45314</v>
      </c>
      <c r="C139" s="178" t="s">
        <v>125</v>
      </c>
      <c r="D139" s="179" t="s">
        <v>238</v>
      </c>
      <c r="E139" s="180" t="s">
        <v>0</v>
      </c>
      <c r="F139" s="181" t="s">
        <v>27</v>
      </c>
      <c r="G139" s="182">
        <v>7.9000000000000008E-3</v>
      </c>
      <c r="H139" s="175" t="s">
        <v>165</v>
      </c>
      <c r="I139" s="175" t="s">
        <v>165</v>
      </c>
      <c r="J139" s="175" t="s">
        <v>165</v>
      </c>
      <c r="K139" s="175">
        <v>12.1</v>
      </c>
      <c r="L139" s="175" t="s">
        <v>163</v>
      </c>
      <c r="M139" s="175" t="s">
        <v>163</v>
      </c>
      <c r="N139" s="175" t="s">
        <v>163</v>
      </c>
      <c r="O139" s="175" t="s">
        <v>163</v>
      </c>
      <c r="P139" s="175" t="s">
        <v>163</v>
      </c>
      <c r="Q139" s="175" t="s">
        <v>163</v>
      </c>
      <c r="R139" s="127">
        <f>IF(Table36[[#This Row],[ Bran Content]]="-","-",IF(G139&lt;0.02,1,0))</f>
        <v>1</v>
      </c>
      <c r="S139" s="127">
        <f>IF(Table36[[#This Row],[Sieve Test]]="-","-",IF(Table36[[#This Row],[Sieve Test]]="P",1,0))</f>
        <v>1</v>
      </c>
      <c r="T139" s="127">
        <f>IF(Table36[[#This Row],[Odor]]="-","-",IF(Table36[[#This Row],[Odor]]="P",1,0))</f>
        <v>1</v>
      </c>
      <c r="U139" s="127">
        <f>IF(INDEX(MCmin,MATCH(Table36[[#This Row],[Grist]],SMI,0))="-","-",IF(Table36[[#This Row],[F1 %MC]]="-","-",IF(Table36[[#This Row],[F1 %MC]]&lt;INDEX(MCmin,MATCH(Table36[[#This Row],[Grist]],SMI,0)),0,IF(Table36[[#This Row],[F1 %MC]]&gt;INDEX(MCmax,MATCH(Table36[[#This Row],[Grist]],SMI,0)),0,1))))</f>
        <v>1</v>
      </c>
      <c r="V139" s="127" t="str">
        <f>IF(INDEX(Protmin,MATCH(Table36[[#This Row],[Grist]],SMI,0))="-","-",IF(Table36[[#This Row],[%Protein]]="-","-",IF(Table36[[#This Row],[%Protein]]&lt;INDEX(Protmin,MATCH(Table36[[#This Row],[Grist]],SMI,0)),0,IF(Table36[[#This Row],[%Protein]]&gt;INDEX(Protmax,MATCH(Table36[[#This Row],[Grist]],SMI,0)),0,1))))</f>
        <v>-</v>
      </c>
      <c r="W139" s="127" t="str">
        <f>IF(INDEX(Ashmin,MATCH(Table36[[#This Row],[Grist]],SMI,0))="-","-",IF(Table36[[#This Row],[%Ash]]="-","-",IF(Table36[[#This Row],[%Ash]]&lt;INDEX(Ashmin,MATCH(Table36[[#This Row],[Grist]],SMI,0)),0,IF(Table36[[#This Row],[%Ash]]&gt;INDEX(Ashmax,MATCH(Table36[[#This Row],[Grist]],SMI,0)),0,1))))</f>
        <v>-</v>
      </c>
      <c r="X139" s="127" t="str">
        <f>IF(INDEX(Absmin,MATCH(Table36[[#This Row],[Grist]],SMI,0))="-","-",IF(Table36[[#This Row],[%Absorption]]="-","-",IF(Table36[[#This Row],[%Absorption]]&lt;INDEX(Absmin,MATCH(Table36[[#This Row],[Grist]],SMI,0)),0,IF(Table36[[#This Row],[%Absorption]]&gt;INDEX(Absmax,MATCH(Table36[[#This Row],[Grist]],SMI,0)),0,1))))</f>
        <v>-</v>
      </c>
      <c r="Y139" s="127" t="str">
        <f>IF(INDEX(Extmin,MATCH(Table36[[#This Row],[Grist]],SMI,0))="-","-",IF(Table36[[#This Row],[%Extensibility]]="-","-",IF(Table36[[#This Row],[%Extensibility]]&lt;INDEX(Extmin,MATCH(Table36[[#This Row],[Grist]],SMI,0)),0,IF(Table36[[#This Row],[%Extensibility]]&gt;INDEX(Extmax,MATCH(Table36[[#This Row],[Grist]],SMI,0)),0,1))))</f>
        <v>-</v>
      </c>
      <c r="Z139" s="127" t="str">
        <f>IF(INDEX(Resmin,MATCH(Table36[[#This Row],[Grist]],SMI,0))="-","-",IF(Table36[[#This Row],[Resistance, max]]="-","-",IF(Table36[[#This Row],[Resistance, max]]&lt;INDEX(Resmin,MATCH(Table36[[#This Row],[Grist]],SMI,0)),0,IF(Table36[[#This Row],[Resistance, max]]&gt;INDEX(Resmax,MATCH(Table36[[#This Row],[Grist]],SMI,0)),0,1))))</f>
        <v>-</v>
      </c>
      <c r="AA139" s="127" t="str">
        <f>IF(INDEX(WGmin,MATCH(Table36[[#This Row],[Grist]],SMI,0))="-","-",IF(Table36[[#This Row],[%Wet Gluten]]="-","-",IF(Table36[[#This Row],[%Wet Gluten]]&lt;INDEX(WGmin,MATCH(Table36[[#This Row],[Grist]],SMI,0)),0,IF(Table36[[#This Row],[%Wet Gluten]]&gt;INDEX(WGmax,MATCH(Table36[[#This Row],[Grist]],SMI,0)),0,1))))</f>
        <v>-</v>
      </c>
      <c r="AB139" s="127">
        <f>SUM(Table36[[#This Row],[ QI Bran Content]:[QI WG]])</f>
        <v>4</v>
      </c>
      <c r="AC139" s="127">
        <f>COUNT(Table36[[#This Row],[ QI Bran Content]:[QI WG]])</f>
        <v>4</v>
      </c>
    </row>
    <row r="140" spans="1:29" x14ac:dyDescent="0.35">
      <c r="A140" s="177">
        <v>45292</v>
      </c>
      <c r="B140" s="178">
        <v>45314</v>
      </c>
      <c r="C140" s="178" t="s">
        <v>128</v>
      </c>
      <c r="D140" s="179">
        <v>0.625</v>
      </c>
      <c r="E140" s="180" t="s">
        <v>0</v>
      </c>
      <c r="F140" s="181" t="s">
        <v>32</v>
      </c>
      <c r="G140" s="182">
        <v>1.3899999999999999E-2</v>
      </c>
      <c r="H140" s="175" t="s">
        <v>165</v>
      </c>
      <c r="I140" s="175" t="s">
        <v>165</v>
      </c>
      <c r="J140" s="175" t="s">
        <v>165</v>
      </c>
      <c r="K140" s="175">
        <v>12.2</v>
      </c>
      <c r="L140" s="175">
        <v>13.41</v>
      </c>
      <c r="M140" s="175">
        <v>0.52</v>
      </c>
      <c r="N140" s="175">
        <v>65.3</v>
      </c>
      <c r="O140" s="175" t="s">
        <v>163</v>
      </c>
      <c r="P140" s="175" t="s">
        <v>163</v>
      </c>
      <c r="Q140" s="175">
        <v>37.72</v>
      </c>
      <c r="R140" s="127">
        <f>IF(Table36[[#This Row],[ Bran Content]]="-","-",IF(G140&lt;0.02,1,0))</f>
        <v>1</v>
      </c>
      <c r="S140" s="127">
        <f>IF(Table36[[#This Row],[Sieve Test]]="-","-",IF(Table36[[#This Row],[Sieve Test]]="P",1,0))</f>
        <v>1</v>
      </c>
      <c r="T140" s="127">
        <f>IF(Table36[[#This Row],[Odor]]="-","-",IF(Table36[[#This Row],[Odor]]="P",1,0))</f>
        <v>1</v>
      </c>
      <c r="U140" s="127">
        <f>IF(INDEX(MCmin,MATCH(Table36[[#This Row],[Grist]],SMI,0))="-","-",IF(Table36[[#This Row],[F1 %MC]]="-","-",IF(Table36[[#This Row],[F1 %MC]]&lt;INDEX(MCmin,MATCH(Table36[[#This Row],[Grist]],SMI,0)),0,IF(Table36[[#This Row],[F1 %MC]]&gt;INDEX(MCmax,MATCH(Table36[[#This Row],[Grist]],SMI,0)),0,1))))</f>
        <v>1</v>
      </c>
      <c r="V140" s="127">
        <f>IF(INDEX(Protmin,MATCH(Table36[[#This Row],[Grist]],SMI,0))="-","-",IF(Table36[[#This Row],[%Protein]]="-","-",IF(Table36[[#This Row],[%Protein]]&lt;INDEX(Protmin,MATCH(Table36[[#This Row],[Grist]],SMI,0)),0,IF(Table36[[#This Row],[%Protein]]&gt;INDEX(Protmax,MATCH(Table36[[#This Row],[Grist]],SMI,0)),0,1))))</f>
        <v>1</v>
      </c>
      <c r="W140" s="127">
        <f>IF(INDEX(Ashmin,MATCH(Table36[[#This Row],[Grist]],SMI,0))="-","-",IF(Table36[[#This Row],[%Ash]]="-","-",IF(Table36[[#This Row],[%Ash]]&lt;INDEX(Ashmin,MATCH(Table36[[#This Row],[Grist]],SMI,0)),0,IF(Table36[[#This Row],[%Ash]]&gt;INDEX(Ashmax,MATCH(Table36[[#This Row],[Grist]],SMI,0)),0,1))))</f>
        <v>1</v>
      </c>
      <c r="X140" s="127">
        <f>IF(INDEX(Absmin,MATCH(Table36[[#This Row],[Grist]],SMI,0))="-","-",IF(Table36[[#This Row],[%Absorption]]="-","-",IF(Table36[[#This Row],[%Absorption]]&lt;INDEX(Absmin,MATCH(Table36[[#This Row],[Grist]],SMI,0)),0,IF(Table36[[#This Row],[%Absorption]]&gt;INDEX(Absmax,MATCH(Table36[[#This Row],[Grist]],SMI,0)),0,1))))</f>
        <v>1</v>
      </c>
      <c r="Y140" s="127" t="str">
        <f>IF(INDEX(Extmin,MATCH(Table36[[#This Row],[Grist]],SMI,0))="-","-",IF(Table36[[#This Row],[%Extensibility]]="-","-",IF(Table36[[#This Row],[%Extensibility]]&lt;INDEX(Extmin,MATCH(Table36[[#This Row],[Grist]],SMI,0)),0,IF(Table36[[#This Row],[%Extensibility]]&gt;INDEX(Extmax,MATCH(Table36[[#This Row],[Grist]],SMI,0)),0,1))))</f>
        <v>-</v>
      </c>
      <c r="Z140" s="127" t="str">
        <f>IF(INDEX(Resmin,MATCH(Table36[[#This Row],[Grist]],SMI,0))="-","-",IF(Table36[[#This Row],[Resistance, max]]="-","-",IF(Table36[[#This Row],[Resistance, max]]&lt;INDEX(Resmin,MATCH(Table36[[#This Row],[Grist]],SMI,0)),0,IF(Table36[[#This Row],[Resistance, max]]&gt;INDEX(Resmax,MATCH(Table36[[#This Row],[Grist]],SMI,0)),0,1))))</f>
        <v>-</v>
      </c>
      <c r="AA140" s="127">
        <f>IF(INDEX(WGmin,MATCH(Table36[[#This Row],[Grist]],SMI,0))="-","-",IF(Table36[[#This Row],[%Wet Gluten]]="-","-",IF(Table36[[#This Row],[%Wet Gluten]]&lt;INDEX(WGmin,MATCH(Table36[[#This Row],[Grist]],SMI,0)),0,IF(Table36[[#This Row],[%Wet Gluten]]&gt;INDEX(WGmax,MATCH(Table36[[#This Row],[Grist]],SMI,0)),0,1))))</f>
        <v>1</v>
      </c>
      <c r="AB140" s="127">
        <f>SUM(Table36[[#This Row],[ QI Bran Content]:[QI WG]])</f>
        <v>8</v>
      </c>
      <c r="AC140" s="127">
        <f>COUNT(Table36[[#This Row],[ QI Bran Content]:[QI WG]])</f>
        <v>8</v>
      </c>
    </row>
    <row r="141" spans="1:29" x14ac:dyDescent="0.35">
      <c r="A141" s="177">
        <v>45292</v>
      </c>
      <c r="B141" s="178">
        <v>45314</v>
      </c>
      <c r="C141" s="178" t="s">
        <v>128</v>
      </c>
      <c r="D141" s="179">
        <v>0.79166666666666596</v>
      </c>
      <c r="E141" s="180" t="s">
        <v>0</v>
      </c>
      <c r="F141" s="181" t="s">
        <v>32</v>
      </c>
      <c r="G141" s="182">
        <v>1.2699999999999999E-2</v>
      </c>
      <c r="H141" s="175" t="s">
        <v>165</v>
      </c>
      <c r="I141" s="175" t="s">
        <v>165</v>
      </c>
      <c r="J141" s="175" t="s">
        <v>165</v>
      </c>
      <c r="K141" s="175">
        <v>12.6</v>
      </c>
      <c r="L141" s="175" t="s">
        <v>163</v>
      </c>
      <c r="M141" s="175" t="s">
        <v>163</v>
      </c>
      <c r="N141" s="175" t="s">
        <v>163</v>
      </c>
      <c r="O141" s="175" t="s">
        <v>163</v>
      </c>
      <c r="P141" s="175" t="s">
        <v>163</v>
      </c>
      <c r="Q141" s="175" t="s">
        <v>163</v>
      </c>
      <c r="R141" s="127">
        <f>IF(Table36[[#This Row],[ Bran Content]]="-","-",IF(G141&lt;0.02,1,0))</f>
        <v>1</v>
      </c>
      <c r="S141" s="127">
        <f>IF(Table36[[#This Row],[Sieve Test]]="-","-",IF(Table36[[#This Row],[Sieve Test]]="P",1,0))</f>
        <v>1</v>
      </c>
      <c r="T141" s="127">
        <f>IF(Table36[[#This Row],[Odor]]="-","-",IF(Table36[[#This Row],[Odor]]="P",1,0))</f>
        <v>1</v>
      </c>
      <c r="U141" s="127">
        <f>IF(INDEX(MCmin,MATCH(Table36[[#This Row],[Grist]],SMI,0))="-","-",IF(Table36[[#This Row],[F1 %MC]]="-","-",IF(Table36[[#This Row],[F1 %MC]]&lt;INDEX(MCmin,MATCH(Table36[[#This Row],[Grist]],SMI,0)),0,IF(Table36[[#This Row],[F1 %MC]]&gt;INDEX(MCmax,MATCH(Table36[[#This Row],[Grist]],SMI,0)),0,1))))</f>
        <v>1</v>
      </c>
      <c r="V141" s="127" t="str">
        <f>IF(INDEX(Protmin,MATCH(Table36[[#This Row],[Grist]],SMI,0))="-","-",IF(Table36[[#This Row],[%Protein]]="-","-",IF(Table36[[#This Row],[%Protein]]&lt;INDEX(Protmin,MATCH(Table36[[#This Row],[Grist]],SMI,0)),0,IF(Table36[[#This Row],[%Protein]]&gt;INDEX(Protmax,MATCH(Table36[[#This Row],[Grist]],SMI,0)),0,1))))</f>
        <v>-</v>
      </c>
      <c r="W141" s="127" t="str">
        <f>IF(INDEX(Ashmin,MATCH(Table36[[#This Row],[Grist]],SMI,0))="-","-",IF(Table36[[#This Row],[%Ash]]="-","-",IF(Table36[[#This Row],[%Ash]]&lt;INDEX(Ashmin,MATCH(Table36[[#This Row],[Grist]],SMI,0)),0,IF(Table36[[#This Row],[%Ash]]&gt;INDEX(Ashmax,MATCH(Table36[[#This Row],[Grist]],SMI,0)),0,1))))</f>
        <v>-</v>
      </c>
      <c r="X141" s="127" t="str">
        <f>IF(INDEX(Absmin,MATCH(Table36[[#This Row],[Grist]],SMI,0))="-","-",IF(Table36[[#This Row],[%Absorption]]="-","-",IF(Table36[[#This Row],[%Absorption]]&lt;INDEX(Absmin,MATCH(Table36[[#This Row],[Grist]],SMI,0)),0,IF(Table36[[#This Row],[%Absorption]]&gt;INDEX(Absmax,MATCH(Table36[[#This Row],[Grist]],SMI,0)),0,1))))</f>
        <v>-</v>
      </c>
      <c r="Y141" s="127" t="str">
        <f>IF(INDEX(Extmin,MATCH(Table36[[#This Row],[Grist]],SMI,0))="-","-",IF(Table36[[#This Row],[%Extensibility]]="-","-",IF(Table36[[#This Row],[%Extensibility]]&lt;INDEX(Extmin,MATCH(Table36[[#This Row],[Grist]],SMI,0)),0,IF(Table36[[#This Row],[%Extensibility]]&gt;INDEX(Extmax,MATCH(Table36[[#This Row],[Grist]],SMI,0)),0,1))))</f>
        <v>-</v>
      </c>
      <c r="Z141" s="127" t="str">
        <f>IF(INDEX(Resmin,MATCH(Table36[[#This Row],[Grist]],SMI,0))="-","-",IF(Table36[[#This Row],[Resistance, max]]="-","-",IF(Table36[[#This Row],[Resistance, max]]&lt;INDEX(Resmin,MATCH(Table36[[#This Row],[Grist]],SMI,0)),0,IF(Table36[[#This Row],[Resistance, max]]&gt;INDEX(Resmax,MATCH(Table36[[#This Row],[Grist]],SMI,0)),0,1))))</f>
        <v>-</v>
      </c>
      <c r="AA141" s="127" t="str">
        <f>IF(INDEX(WGmin,MATCH(Table36[[#This Row],[Grist]],SMI,0))="-","-",IF(Table36[[#This Row],[%Wet Gluten]]="-","-",IF(Table36[[#This Row],[%Wet Gluten]]&lt;INDEX(WGmin,MATCH(Table36[[#This Row],[Grist]],SMI,0)),0,IF(Table36[[#This Row],[%Wet Gluten]]&gt;INDEX(WGmax,MATCH(Table36[[#This Row],[Grist]],SMI,0)),0,1))))</f>
        <v>-</v>
      </c>
      <c r="AB141" s="127">
        <f>SUM(Table36[[#This Row],[ QI Bran Content]:[QI WG]])</f>
        <v>4</v>
      </c>
      <c r="AC141" s="127">
        <f>COUNT(Table36[[#This Row],[ QI Bran Content]:[QI WG]])</f>
        <v>4</v>
      </c>
    </row>
    <row r="142" spans="1:29" x14ac:dyDescent="0.35">
      <c r="A142" s="177">
        <v>45292</v>
      </c>
      <c r="B142" s="178">
        <v>45314</v>
      </c>
      <c r="C142" s="178" t="s">
        <v>128</v>
      </c>
      <c r="D142" s="179">
        <v>0.874999999999999</v>
      </c>
      <c r="E142" s="180" t="s">
        <v>0</v>
      </c>
      <c r="F142" s="181" t="s">
        <v>32</v>
      </c>
      <c r="G142" s="182">
        <v>9.1000000000000004E-3</v>
      </c>
      <c r="H142" s="175" t="s">
        <v>165</v>
      </c>
      <c r="I142" s="175" t="s">
        <v>165</v>
      </c>
      <c r="J142" s="175" t="s">
        <v>165</v>
      </c>
      <c r="K142" s="175">
        <v>12.12</v>
      </c>
      <c r="L142" s="175" t="s">
        <v>163</v>
      </c>
      <c r="M142" s="175" t="s">
        <v>163</v>
      </c>
      <c r="N142" s="175" t="s">
        <v>163</v>
      </c>
      <c r="O142" s="175" t="s">
        <v>163</v>
      </c>
      <c r="P142" s="175" t="s">
        <v>163</v>
      </c>
      <c r="Q142" s="175" t="s">
        <v>163</v>
      </c>
      <c r="R142" s="127">
        <f>IF(Table36[[#This Row],[ Bran Content]]="-","-",IF(G142&lt;0.02,1,0))</f>
        <v>1</v>
      </c>
      <c r="S142" s="127">
        <f>IF(Table36[[#This Row],[Sieve Test]]="-","-",IF(Table36[[#This Row],[Sieve Test]]="P",1,0))</f>
        <v>1</v>
      </c>
      <c r="T142" s="127">
        <f>IF(Table36[[#This Row],[Odor]]="-","-",IF(Table36[[#This Row],[Odor]]="P",1,0))</f>
        <v>1</v>
      </c>
      <c r="U142" s="127">
        <f>IF(INDEX(MCmin,MATCH(Table36[[#This Row],[Grist]],SMI,0))="-","-",IF(Table36[[#This Row],[F1 %MC]]="-","-",IF(Table36[[#This Row],[F1 %MC]]&lt;INDEX(MCmin,MATCH(Table36[[#This Row],[Grist]],SMI,0)),0,IF(Table36[[#This Row],[F1 %MC]]&gt;INDEX(MCmax,MATCH(Table36[[#This Row],[Grist]],SMI,0)),0,1))))</f>
        <v>1</v>
      </c>
      <c r="V142" s="127" t="str">
        <f>IF(INDEX(Protmin,MATCH(Table36[[#This Row],[Grist]],SMI,0))="-","-",IF(Table36[[#This Row],[%Protein]]="-","-",IF(Table36[[#This Row],[%Protein]]&lt;INDEX(Protmin,MATCH(Table36[[#This Row],[Grist]],SMI,0)),0,IF(Table36[[#This Row],[%Protein]]&gt;INDEX(Protmax,MATCH(Table36[[#This Row],[Grist]],SMI,0)),0,1))))</f>
        <v>-</v>
      </c>
      <c r="W142" s="127" t="str">
        <f>IF(INDEX(Ashmin,MATCH(Table36[[#This Row],[Grist]],SMI,0))="-","-",IF(Table36[[#This Row],[%Ash]]="-","-",IF(Table36[[#This Row],[%Ash]]&lt;INDEX(Ashmin,MATCH(Table36[[#This Row],[Grist]],SMI,0)),0,IF(Table36[[#This Row],[%Ash]]&gt;INDEX(Ashmax,MATCH(Table36[[#This Row],[Grist]],SMI,0)),0,1))))</f>
        <v>-</v>
      </c>
      <c r="X142" s="127" t="str">
        <f>IF(INDEX(Absmin,MATCH(Table36[[#This Row],[Grist]],SMI,0))="-","-",IF(Table36[[#This Row],[%Absorption]]="-","-",IF(Table36[[#This Row],[%Absorption]]&lt;INDEX(Absmin,MATCH(Table36[[#This Row],[Grist]],SMI,0)),0,IF(Table36[[#This Row],[%Absorption]]&gt;INDEX(Absmax,MATCH(Table36[[#This Row],[Grist]],SMI,0)),0,1))))</f>
        <v>-</v>
      </c>
      <c r="Y142" s="127" t="str">
        <f>IF(INDEX(Extmin,MATCH(Table36[[#This Row],[Grist]],SMI,0))="-","-",IF(Table36[[#This Row],[%Extensibility]]="-","-",IF(Table36[[#This Row],[%Extensibility]]&lt;INDEX(Extmin,MATCH(Table36[[#This Row],[Grist]],SMI,0)),0,IF(Table36[[#This Row],[%Extensibility]]&gt;INDEX(Extmax,MATCH(Table36[[#This Row],[Grist]],SMI,0)),0,1))))</f>
        <v>-</v>
      </c>
      <c r="Z142" s="127" t="str">
        <f>IF(INDEX(Resmin,MATCH(Table36[[#This Row],[Grist]],SMI,0))="-","-",IF(Table36[[#This Row],[Resistance, max]]="-","-",IF(Table36[[#This Row],[Resistance, max]]&lt;INDEX(Resmin,MATCH(Table36[[#This Row],[Grist]],SMI,0)),0,IF(Table36[[#This Row],[Resistance, max]]&gt;INDEX(Resmax,MATCH(Table36[[#This Row],[Grist]],SMI,0)),0,1))))</f>
        <v>-</v>
      </c>
      <c r="AA142" s="127" t="str">
        <f>IF(INDEX(WGmin,MATCH(Table36[[#This Row],[Grist]],SMI,0))="-","-",IF(Table36[[#This Row],[%Wet Gluten]]="-","-",IF(Table36[[#This Row],[%Wet Gluten]]&lt;INDEX(WGmin,MATCH(Table36[[#This Row],[Grist]],SMI,0)),0,IF(Table36[[#This Row],[%Wet Gluten]]&gt;INDEX(WGmax,MATCH(Table36[[#This Row],[Grist]],SMI,0)),0,1))))</f>
        <v>-</v>
      </c>
      <c r="AB142" s="127">
        <f>SUM(Table36[[#This Row],[ QI Bran Content]:[QI WG]])</f>
        <v>4</v>
      </c>
      <c r="AC142" s="127">
        <f>COUNT(Table36[[#This Row],[ QI Bran Content]:[QI WG]])</f>
        <v>4</v>
      </c>
    </row>
    <row r="143" spans="1:29" x14ac:dyDescent="0.35">
      <c r="A143" s="177">
        <v>45292</v>
      </c>
      <c r="B143" s="178">
        <v>45314</v>
      </c>
      <c r="C143" s="178" t="s">
        <v>128</v>
      </c>
      <c r="D143" s="179">
        <v>0.79166666666666596</v>
      </c>
      <c r="E143" s="180" t="s">
        <v>2</v>
      </c>
      <c r="F143" s="181" t="s">
        <v>242</v>
      </c>
      <c r="G143" s="182">
        <v>5.1000000000000004E-3</v>
      </c>
      <c r="H143" s="175" t="s">
        <v>165</v>
      </c>
      <c r="I143" s="175" t="s">
        <v>165</v>
      </c>
      <c r="J143" s="175" t="s">
        <v>165</v>
      </c>
      <c r="K143" s="175">
        <v>11.98</v>
      </c>
      <c r="L143" s="175">
        <v>11.92</v>
      </c>
      <c r="M143" s="175">
        <v>0.35</v>
      </c>
      <c r="N143" s="175">
        <v>62.3</v>
      </c>
      <c r="O143" s="175" t="s">
        <v>163</v>
      </c>
      <c r="P143" s="175" t="s">
        <v>163</v>
      </c>
      <c r="Q143" s="175">
        <v>33.19</v>
      </c>
      <c r="R143" s="127">
        <f>IF(Table36[[#This Row],[ Bran Content]]="-","-",IF(G143&lt;0.02,1,0))</f>
        <v>1</v>
      </c>
      <c r="S143" s="127">
        <f>IF(Table36[[#This Row],[Sieve Test]]="-","-",IF(Table36[[#This Row],[Sieve Test]]="P",1,0))</f>
        <v>1</v>
      </c>
      <c r="T143" s="127">
        <f>IF(Table36[[#This Row],[Odor]]="-","-",IF(Table36[[#This Row],[Odor]]="P",1,0))</f>
        <v>1</v>
      </c>
      <c r="U143" s="127">
        <f>IF(INDEX(MCmin,MATCH(Table36[[#This Row],[Grist]],SMI,0))="-","-",IF(Table36[[#This Row],[F1 %MC]]="-","-",IF(Table36[[#This Row],[F1 %MC]]&lt;INDEX(MCmin,MATCH(Table36[[#This Row],[Grist]],SMI,0)),0,IF(Table36[[#This Row],[F1 %MC]]&gt;INDEX(MCmax,MATCH(Table36[[#This Row],[Grist]],SMI,0)),0,1))))</f>
        <v>0</v>
      </c>
      <c r="V143" s="127">
        <f>IF(INDEX(Protmin,MATCH(Table36[[#This Row],[Grist]],SMI,0))="-","-",IF(Table36[[#This Row],[%Protein]]="-","-",IF(Table36[[#This Row],[%Protein]]&lt;INDEX(Protmin,MATCH(Table36[[#This Row],[Grist]],SMI,0)),0,IF(Table36[[#This Row],[%Protein]]&gt;INDEX(Protmax,MATCH(Table36[[#This Row],[Grist]],SMI,0)),0,1))))</f>
        <v>1</v>
      </c>
      <c r="W143" s="127">
        <f>IF(INDEX(Ashmin,MATCH(Table36[[#This Row],[Grist]],SMI,0))="-","-",IF(Table36[[#This Row],[%Ash]]="-","-",IF(Table36[[#This Row],[%Ash]]&lt;INDEX(Ashmin,MATCH(Table36[[#This Row],[Grist]],SMI,0)),0,IF(Table36[[#This Row],[%Ash]]&gt;INDEX(Ashmax,MATCH(Table36[[#This Row],[Grist]],SMI,0)),0,1))))</f>
        <v>1</v>
      </c>
      <c r="X143" s="127">
        <f>IF(INDEX(Absmin,MATCH(Table36[[#This Row],[Grist]],SMI,0))="-","-",IF(Table36[[#This Row],[%Absorption]]="-","-",IF(Table36[[#This Row],[%Absorption]]&lt;INDEX(Absmin,MATCH(Table36[[#This Row],[Grist]],SMI,0)),0,IF(Table36[[#This Row],[%Absorption]]&gt;INDEX(Absmax,MATCH(Table36[[#This Row],[Grist]],SMI,0)),0,1))))</f>
        <v>0</v>
      </c>
      <c r="Y143" s="127" t="str">
        <f>IF(INDEX(Extmin,MATCH(Table36[[#This Row],[Grist]],SMI,0))="-","-",IF(Table36[[#This Row],[%Extensibility]]="-","-",IF(Table36[[#This Row],[%Extensibility]]&lt;INDEX(Extmin,MATCH(Table36[[#This Row],[Grist]],SMI,0)),0,IF(Table36[[#This Row],[%Extensibility]]&gt;INDEX(Extmax,MATCH(Table36[[#This Row],[Grist]],SMI,0)),0,1))))</f>
        <v>-</v>
      </c>
      <c r="Z143" s="127" t="str">
        <f>IF(INDEX(Resmin,MATCH(Table36[[#This Row],[Grist]],SMI,0))="-","-",IF(Table36[[#This Row],[Resistance, max]]="-","-",IF(Table36[[#This Row],[Resistance, max]]&lt;INDEX(Resmin,MATCH(Table36[[#This Row],[Grist]],SMI,0)),0,IF(Table36[[#This Row],[Resistance, max]]&gt;INDEX(Resmax,MATCH(Table36[[#This Row],[Grist]],SMI,0)),0,1))))</f>
        <v>-</v>
      </c>
      <c r="AA143" s="127">
        <f>IF(INDEX(WGmin,MATCH(Table36[[#This Row],[Grist]],SMI,0))="-","-",IF(Table36[[#This Row],[%Wet Gluten]]="-","-",IF(Table36[[#This Row],[%Wet Gluten]]&lt;INDEX(WGmin,MATCH(Table36[[#This Row],[Grist]],SMI,0)),0,IF(Table36[[#This Row],[%Wet Gluten]]&gt;INDEX(WGmax,MATCH(Table36[[#This Row],[Grist]],SMI,0)),0,1))))</f>
        <v>1</v>
      </c>
      <c r="AB143" s="127">
        <f>SUM(Table36[[#This Row],[ QI Bran Content]:[QI WG]])</f>
        <v>6</v>
      </c>
      <c r="AC143" s="127">
        <f>COUNT(Table36[[#This Row],[ QI Bran Content]:[QI WG]])</f>
        <v>8</v>
      </c>
    </row>
    <row r="144" spans="1:29" x14ac:dyDescent="0.35">
      <c r="A144" s="177">
        <v>45292</v>
      </c>
      <c r="B144" s="178">
        <v>45314</v>
      </c>
      <c r="C144" s="178" t="s">
        <v>128</v>
      </c>
      <c r="D144" s="179">
        <v>0.874999999999999</v>
      </c>
      <c r="E144" s="180" t="s">
        <v>2</v>
      </c>
      <c r="F144" s="181" t="s">
        <v>242</v>
      </c>
      <c r="G144" s="182">
        <v>6.7999999999999996E-3</v>
      </c>
      <c r="H144" s="175" t="s">
        <v>165</v>
      </c>
      <c r="I144" s="175" t="s">
        <v>165</v>
      </c>
      <c r="J144" s="175" t="s">
        <v>165</v>
      </c>
      <c r="K144" s="175">
        <v>11.94</v>
      </c>
      <c r="L144" s="175" t="s">
        <v>163</v>
      </c>
      <c r="M144" s="175" t="s">
        <v>163</v>
      </c>
      <c r="N144" s="175" t="s">
        <v>163</v>
      </c>
      <c r="O144" s="175" t="s">
        <v>163</v>
      </c>
      <c r="P144" s="175" t="s">
        <v>163</v>
      </c>
      <c r="Q144" s="175" t="s">
        <v>163</v>
      </c>
      <c r="R144" s="127">
        <f>IF(Table36[[#This Row],[ Bran Content]]="-","-",IF(G144&lt;0.02,1,0))</f>
        <v>1</v>
      </c>
      <c r="S144" s="127">
        <f>IF(Table36[[#This Row],[Sieve Test]]="-","-",IF(Table36[[#This Row],[Sieve Test]]="P",1,0))</f>
        <v>1</v>
      </c>
      <c r="T144" s="127">
        <f>IF(Table36[[#This Row],[Odor]]="-","-",IF(Table36[[#This Row],[Odor]]="P",1,0))</f>
        <v>1</v>
      </c>
      <c r="U144" s="127">
        <f>IF(INDEX(MCmin,MATCH(Table36[[#This Row],[Grist]],SMI,0))="-","-",IF(Table36[[#This Row],[F1 %MC]]="-","-",IF(Table36[[#This Row],[F1 %MC]]&lt;INDEX(MCmin,MATCH(Table36[[#This Row],[Grist]],SMI,0)),0,IF(Table36[[#This Row],[F1 %MC]]&gt;INDEX(MCmax,MATCH(Table36[[#This Row],[Grist]],SMI,0)),0,1))))</f>
        <v>0</v>
      </c>
      <c r="V144" s="127" t="str">
        <f>IF(INDEX(Protmin,MATCH(Table36[[#This Row],[Grist]],SMI,0))="-","-",IF(Table36[[#This Row],[%Protein]]="-","-",IF(Table36[[#This Row],[%Protein]]&lt;INDEX(Protmin,MATCH(Table36[[#This Row],[Grist]],SMI,0)),0,IF(Table36[[#This Row],[%Protein]]&gt;INDEX(Protmax,MATCH(Table36[[#This Row],[Grist]],SMI,0)),0,1))))</f>
        <v>-</v>
      </c>
      <c r="W144" s="127" t="str">
        <f>IF(INDEX(Ashmin,MATCH(Table36[[#This Row],[Grist]],SMI,0))="-","-",IF(Table36[[#This Row],[%Ash]]="-","-",IF(Table36[[#This Row],[%Ash]]&lt;INDEX(Ashmin,MATCH(Table36[[#This Row],[Grist]],SMI,0)),0,IF(Table36[[#This Row],[%Ash]]&gt;INDEX(Ashmax,MATCH(Table36[[#This Row],[Grist]],SMI,0)),0,1))))</f>
        <v>-</v>
      </c>
      <c r="X144" s="127" t="str">
        <f>IF(INDEX(Absmin,MATCH(Table36[[#This Row],[Grist]],SMI,0))="-","-",IF(Table36[[#This Row],[%Absorption]]="-","-",IF(Table36[[#This Row],[%Absorption]]&lt;INDEX(Absmin,MATCH(Table36[[#This Row],[Grist]],SMI,0)),0,IF(Table36[[#This Row],[%Absorption]]&gt;INDEX(Absmax,MATCH(Table36[[#This Row],[Grist]],SMI,0)),0,1))))</f>
        <v>-</v>
      </c>
      <c r="Y144" s="127" t="str">
        <f>IF(INDEX(Extmin,MATCH(Table36[[#This Row],[Grist]],SMI,0))="-","-",IF(Table36[[#This Row],[%Extensibility]]="-","-",IF(Table36[[#This Row],[%Extensibility]]&lt;INDEX(Extmin,MATCH(Table36[[#This Row],[Grist]],SMI,0)),0,IF(Table36[[#This Row],[%Extensibility]]&gt;INDEX(Extmax,MATCH(Table36[[#This Row],[Grist]],SMI,0)),0,1))))</f>
        <v>-</v>
      </c>
      <c r="Z144" s="127" t="str">
        <f>IF(INDEX(Resmin,MATCH(Table36[[#This Row],[Grist]],SMI,0))="-","-",IF(Table36[[#This Row],[Resistance, max]]="-","-",IF(Table36[[#This Row],[Resistance, max]]&lt;INDEX(Resmin,MATCH(Table36[[#This Row],[Grist]],SMI,0)),0,IF(Table36[[#This Row],[Resistance, max]]&gt;INDEX(Resmax,MATCH(Table36[[#This Row],[Grist]],SMI,0)),0,1))))</f>
        <v>-</v>
      </c>
      <c r="AA144" s="127" t="str">
        <f>IF(INDEX(WGmin,MATCH(Table36[[#This Row],[Grist]],SMI,0))="-","-",IF(Table36[[#This Row],[%Wet Gluten]]="-","-",IF(Table36[[#This Row],[%Wet Gluten]]&lt;INDEX(WGmin,MATCH(Table36[[#This Row],[Grist]],SMI,0)),0,IF(Table36[[#This Row],[%Wet Gluten]]&gt;INDEX(WGmax,MATCH(Table36[[#This Row],[Grist]],SMI,0)),0,1))))</f>
        <v>-</v>
      </c>
      <c r="AB144" s="127">
        <f>SUM(Table36[[#This Row],[ QI Bran Content]:[QI WG]])</f>
        <v>3</v>
      </c>
      <c r="AC144" s="127">
        <f>COUNT(Table36[[#This Row],[ QI Bran Content]:[QI WG]])</f>
        <v>4</v>
      </c>
    </row>
    <row r="145" spans="1:29" x14ac:dyDescent="0.35">
      <c r="A145" s="177">
        <v>45292</v>
      </c>
      <c r="B145" s="178">
        <v>45314</v>
      </c>
      <c r="C145" s="178" t="s">
        <v>128</v>
      </c>
      <c r="D145" s="179">
        <v>0.95833333333333337</v>
      </c>
      <c r="E145" s="180" t="s">
        <v>0</v>
      </c>
      <c r="F145" s="181" t="s">
        <v>32</v>
      </c>
      <c r="G145" s="182">
        <v>7.0000000000000001E-3</v>
      </c>
      <c r="H145" s="175" t="s">
        <v>165</v>
      </c>
      <c r="I145" s="175" t="s">
        <v>165</v>
      </c>
      <c r="J145" s="175" t="s">
        <v>165</v>
      </c>
      <c r="K145" s="175">
        <v>12.02</v>
      </c>
      <c r="L145" s="175">
        <v>13.02</v>
      </c>
      <c r="M145" s="175">
        <v>0.54</v>
      </c>
      <c r="N145" s="175">
        <v>65.7</v>
      </c>
      <c r="O145" s="175" t="s">
        <v>163</v>
      </c>
      <c r="P145" s="175" t="s">
        <v>163</v>
      </c>
      <c r="Q145" s="175">
        <v>36.56</v>
      </c>
      <c r="R145" s="127">
        <f>IF(Table36[[#This Row],[ Bran Content]]="-","-",IF(G145&lt;0.02,1,0))</f>
        <v>1</v>
      </c>
      <c r="S145" s="127">
        <f>IF(Table36[[#This Row],[Sieve Test]]="-","-",IF(Table36[[#This Row],[Sieve Test]]="P",1,0))</f>
        <v>1</v>
      </c>
      <c r="T145" s="127">
        <f>IF(Table36[[#This Row],[Odor]]="-","-",IF(Table36[[#This Row],[Odor]]="P",1,0))</f>
        <v>1</v>
      </c>
      <c r="U145" s="127">
        <f>IF(INDEX(MCmin,MATCH(Table36[[#This Row],[Grist]],SMI,0))="-","-",IF(Table36[[#This Row],[F1 %MC]]="-","-",IF(Table36[[#This Row],[F1 %MC]]&lt;INDEX(MCmin,MATCH(Table36[[#This Row],[Grist]],SMI,0)),0,IF(Table36[[#This Row],[F1 %MC]]&gt;INDEX(MCmax,MATCH(Table36[[#This Row],[Grist]],SMI,0)),0,1))))</f>
        <v>1</v>
      </c>
      <c r="V145" s="127">
        <f>IF(INDEX(Protmin,MATCH(Table36[[#This Row],[Grist]],SMI,0))="-","-",IF(Table36[[#This Row],[%Protein]]="-","-",IF(Table36[[#This Row],[%Protein]]&lt;INDEX(Protmin,MATCH(Table36[[#This Row],[Grist]],SMI,0)),0,IF(Table36[[#This Row],[%Protein]]&gt;INDEX(Protmax,MATCH(Table36[[#This Row],[Grist]],SMI,0)),0,1))))</f>
        <v>1</v>
      </c>
      <c r="W145" s="127">
        <f>IF(INDEX(Ashmin,MATCH(Table36[[#This Row],[Grist]],SMI,0))="-","-",IF(Table36[[#This Row],[%Ash]]="-","-",IF(Table36[[#This Row],[%Ash]]&lt;INDEX(Ashmin,MATCH(Table36[[#This Row],[Grist]],SMI,0)),0,IF(Table36[[#This Row],[%Ash]]&gt;INDEX(Ashmax,MATCH(Table36[[#This Row],[Grist]],SMI,0)),0,1))))</f>
        <v>1</v>
      </c>
      <c r="X145" s="127">
        <f>IF(INDEX(Absmin,MATCH(Table36[[#This Row],[Grist]],SMI,0))="-","-",IF(Table36[[#This Row],[%Absorption]]="-","-",IF(Table36[[#This Row],[%Absorption]]&lt;INDEX(Absmin,MATCH(Table36[[#This Row],[Grist]],SMI,0)),0,IF(Table36[[#This Row],[%Absorption]]&gt;INDEX(Absmax,MATCH(Table36[[#This Row],[Grist]],SMI,0)),0,1))))</f>
        <v>1</v>
      </c>
      <c r="Y145" s="127" t="str">
        <f>IF(INDEX(Extmin,MATCH(Table36[[#This Row],[Grist]],SMI,0))="-","-",IF(Table36[[#This Row],[%Extensibility]]="-","-",IF(Table36[[#This Row],[%Extensibility]]&lt;INDEX(Extmin,MATCH(Table36[[#This Row],[Grist]],SMI,0)),0,IF(Table36[[#This Row],[%Extensibility]]&gt;INDEX(Extmax,MATCH(Table36[[#This Row],[Grist]],SMI,0)),0,1))))</f>
        <v>-</v>
      </c>
      <c r="Z145" s="127" t="str">
        <f>IF(INDEX(Resmin,MATCH(Table36[[#This Row],[Grist]],SMI,0))="-","-",IF(Table36[[#This Row],[Resistance, max]]="-","-",IF(Table36[[#This Row],[Resistance, max]]&lt;INDEX(Resmin,MATCH(Table36[[#This Row],[Grist]],SMI,0)),0,IF(Table36[[#This Row],[Resistance, max]]&gt;INDEX(Resmax,MATCH(Table36[[#This Row],[Grist]],SMI,0)),0,1))))</f>
        <v>-</v>
      </c>
      <c r="AA145" s="127">
        <f>IF(INDEX(WGmin,MATCH(Table36[[#This Row],[Grist]],SMI,0))="-","-",IF(Table36[[#This Row],[%Wet Gluten]]="-","-",IF(Table36[[#This Row],[%Wet Gluten]]&lt;INDEX(WGmin,MATCH(Table36[[#This Row],[Grist]],SMI,0)),0,IF(Table36[[#This Row],[%Wet Gluten]]&gt;INDEX(WGmax,MATCH(Table36[[#This Row],[Grist]],SMI,0)),0,1))))</f>
        <v>1</v>
      </c>
      <c r="AB145" s="127">
        <f>SUM(Table36[[#This Row],[ QI Bran Content]:[QI WG]])</f>
        <v>8</v>
      </c>
      <c r="AC145" s="127">
        <f>COUNT(Table36[[#This Row],[ QI Bran Content]:[QI WG]])</f>
        <v>8</v>
      </c>
    </row>
    <row r="146" spans="1:29" x14ac:dyDescent="0.35">
      <c r="A146" s="177">
        <v>45292</v>
      </c>
      <c r="B146" s="178">
        <v>45314</v>
      </c>
      <c r="C146" s="178" t="s">
        <v>130</v>
      </c>
      <c r="D146" s="179">
        <v>1.0416666666666701</v>
      </c>
      <c r="E146" s="180" t="s">
        <v>0</v>
      </c>
      <c r="F146" s="181" t="s">
        <v>32</v>
      </c>
      <c r="G146" s="182">
        <v>1.1199999999999999E-3</v>
      </c>
      <c r="H146" s="175" t="s">
        <v>165</v>
      </c>
      <c r="I146" s="175" t="s">
        <v>165</v>
      </c>
      <c r="J146" s="175" t="s">
        <v>165</v>
      </c>
      <c r="K146" s="175">
        <v>11.87</v>
      </c>
      <c r="L146" s="175" t="s">
        <v>163</v>
      </c>
      <c r="M146" s="175" t="s">
        <v>163</v>
      </c>
      <c r="N146" s="175" t="s">
        <v>163</v>
      </c>
      <c r="O146" s="175" t="s">
        <v>163</v>
      </c>
      <c r="P146" s="175" t="s">
        <v>163</v>
      </c>
      <c r="Q146" s="175" t="s">
        <v>163</v>
      </c>
      <c r="R146" s="127">
        <f>IF(Table36[[#This Row],[ Bran Content]]="-","-",IF(G146&lt;0.02,1,0))</f>
        <v>1</v>
      </c>
      <c r="S146" s="127">
        <f>IF(Table36[[#This Row],[Sieve Test]]="-","-",IF(Table36[[#This Row],[Sieve Test]]="P",1,0))</f>
        <v>1</v>
      </c>
      <c r="T146" s="127">
        <f>IF(Table36[[#This Row],[Odor]]="-","-",IF(Table36[[#This Row],[Odor]]="P",1,0))</f>
        <v>1</v>
      </c>
      <c r="U146" s="127">
        <f>IF(INDEX(MCmin,MATCH(Table36[[#This Row],[Grist]],SMI,0))="-","-",IF(Table36[[#This Row],[F1 %MC]]="-","-",IF(Table36[[#This Row],[F1 %MC]]&lt;INDEX(MCmin,MATCH(Table36[[#This Row],[Grist]],SMI,0)),0,IF(Table36[[#This Row],[F1 %MC]]&gt;INDEX(MCmax,MATCH(Table36[[#This Row],[Grist]],SMI,0)),0,1))))</f>
        <v>0</v>
      </c>
      <c r="V146" s="127" t="str">
        <f>IF(INDEX(Protmin,MATCH(Table36[[#This Row],[Grist]],SMI,0))="-","-",IF(Table36[[#This Row],[%Protein]]="-","-",IF(Table36[[#This Row],[%Protein]]&lt;INDEX(Protmin,MATCH(Table36[[#This Row],[Grist]],SMI,0)),0,IF(Table36[[#This Row],[%Protein]]&gt;INDEX(Protmax,MATCH(Table36[[#This Row],[Grist]],SMI,0)),0,1))))</f>
        <v>-</v>
      </c>
      <c r="W146" s="127" t="str">
        <f>IF(INDEX(Ashmin,MATCH(Table36[[#This Row],[Grist]],SMI,0))="-","-",IF(Table36[[#This Row],[%Ash]]="-","-",IF(Table36[[#This Row],[%Ash]]&lt;INDEX(Ashmin,MATCH(Table36[[#This Row],[Grist]],SMI,0)),0,IF(Table36[[#This Row],[%Ash]]&gt;INDEX(Ashmax,MATCH(Table36[[#This Row],[Grist]],SMI,0)),0,1))))</f>
        <v>-</v>
      </c>
      <c r="X146" s="127" t="str">
        <f>IF(INDEX(Absmin,MATCH(Table36[[#This Row],[Grist]],SMI,0))="-","-",IF(Table36[[#This Row],[%Absorption]]="-","-",IF(Table36[[#This Row],[%Absorption]]&lt;INDEX(Absmin,MATCH(Table36[[#This Row],[Grist]],SMI,0)),0,IF(Table36[[#This Row],[%Absorption]]&gt;INDEX(Absmax,MATCH(Table36[[#This Row],[Grist]],SMI,0)),0,1))))</f>
        <v>-</v>
      </c>
      <c r="Y146" s="127" t="str">
        <f>IF(INDEX(Extmin,MATCH(Table36[[#This Row],[Grist]],SMI,0))="-","-",IF(Table36[[#This Row],[%Extensibility]]="-","-",IF(Table36[[#This Row],[%Extensibility]]&lt;INDEX(Extmin,MATCH(Table36[[#This Row],[Grist]],SMI,0)),0,IF(Table36[[#This Row],[%Extensibility]]&gt;INDEX(Extmax,MATCH(Table36[[#This Row],[Grist]],SMI,0)),0,1))))</f>
        <v>-</v>
      </c>
      <c r="Z146" s="127" t="str">
        <f>IF(INDEX(Resmin,MATCH(Table36[[#This Row],[Grist]],SMI,0))="-","-",IF(Table36[[#This Row],[Resistance, max]]="-","-",IF(Table36[[#This Row],[Resistance, max]]&lt;INDEX(Resmin,MATCH(Table36[[#This Row],[Grist]],SMI,0)),0,IF(Table36[[#This Row],[Resistance, max]]&gt;INDEX(Resmax,MATCH(Table36[[#This Row],[Grist]],SMI,0)),0,1))))</f>
        <v>-</v>
      </c>
      <c r="AA146" s="127" t="str">
        <f>IF(INDEX(WGmin,MATCH(Table36[[#This Row],[Grist]],SMI,0))="-","-",IF(Table36[[#This Row],[%Wet Gluten]]="-","-",IF(Table36[[#This Row],[%Wet Gluten]]&lt;INDEX(WGmin,MATCH(Table36[[#This Row],[Grist]],SMI,0)),0,IF(Table36[[#This Row],[%Wet Gluten]]&gt;INDEX(WGmax,MATCH(Table36[[#This Row],[Grist]],SMI,0)),0,1))))</f>
        <v>-</v>
      </c>
      <c r="AB146" s="127">
        <f>SUM(Table36[[#This Row],[ QI Bran Content]:[QI WG]])</f>
        <v>3</v>
      </c>
      <c r="AC146" s="127">
        <f>COUNT(Table36[[#This Row],[ QI Bran Content]:[QI WG]])</f>
        <v>4</v>
      </c>
    </row>
    <row r="147" spans="1:29" x14ac:dyDescent="0.35">
      <c r="A147" s="177">
        <v>45292</v>
      </c>
      <c r="B147" s="178">
        <v>45314</v>
      </c>
      <c r="C147" s="178" t="s">
        <v>130</v>
      </c>
      <c r="D147" s="179">
        <v>1.125</v>
      </c>
      <c r="E147" s="180" t="s">
        <v>0</v>
      </c>
      <c r="F147" s="181" t="s">
        <v>32</v>
      </c>
      <c r="G147" s="182">
        <v>9.4000000000000004E-3</v>
      </c>
      <c r="H147" s="175" t="s">
        <v>165</v>
      </c>
      <c r="I147" s="175" t="s">
        <v>165</v>
      </c>
      <c r="J147" s="175" t="s">
        <v>165</v>
      </c>
      <c r="K147" s="175">
        <v>11.98</v>
      </c>
      <c r="L147" s="175" t="s">
        <v>163</v>
      </c>
      <c r="M147" s="175" t="s">
        <v>163</v>
      </c>
      <c r="N147" s="175" t="s">
        <v>163</v>
      </c>
      <c r="O147" s="175" t="s">
        <v>163</v>
      </c>
      <c r="P147" s="175" t="s">
        <v>163</v>
      </c>
      <c r="Q147" s="175" t="s">
        <v>163</v>
      </c>
      <c r="R147" s="127">
        <f>IF(Table36[[#This Row],[ Bran Content]]="-","-",IF(G147&lt;0.02,1,0))</f>
        <v>1</v>
      </c>
      <c r="S147" s="127">
        <f>IF(Table36[[#This Row],[Sieve Test]]="-","-",IF(Table36[[#This Row],[Sieve Test]]="P",1,0))</f>
        <v>1</v>
      </c>
      <c r="T147" s="127">
        <f>IF(Table36[[#This Row],[Odor]]="-","-",IF(Table36[[#This Row],[Odor]]="P",1,0))</f>
        <v>1</v>
      </c>
      <c r="U147" s="127">
        <f>IF(INDEX(MCmin,MATCH(Table36[[#This Row],[Grist]],SMI,0))="-","-",IF(Table36[[#This Row],[F1 %MC]]="-","-",IF(Table36[[#This Row],[F1 %MC]]&lt;INDEX(MCmin,MATCH(Table36[[#This Row],[Grist]],SMI,0)),0,IF(Table36[[#This Row],[F1 %MC]]&gt;INDEX(MCmax,MATCH(Table36[[#This Row],[Grist]],SMI,0)),0,1))))</f>
        <v>0</v>
      </c>
      <c r="V147" s="127" t="str">
        <f>IF(INDEX(Protmin,MATCH(Table36[[#This Row],[Grist]],SMI,0))="-","-",IF(Table36[[#This Row],[%Protein]]="-","-",IF(Table36[[#This Row],[%Protein]]&lt;INDEX(Protmin,MATCH(Table36[[#This Row],[Grist]],SMI,0)),0,IF(Table36[[#This Row],[%Protein]]&gt;INDEX(Protmax,MATCH(Table36[[#This Row],[Grist]],SMI,0)),0,1))))</f>
        <v>-</v>
      </c>
      <c r="W147" s="127" t="str">
        <f>IF(INDEX(Ashmin,MATCH(Table36[[#This Row],[Grist]],SMI,0))="-","-",IF(Table36[[#This Row],[%Ash]]="-","-",IF(Table36[[#This Row],[%Ash]]&lt;INDEX(Ashmin,MATCH(Table36[[#This Row],[Grist]],SMI,0)),0,IF(Table36[[#This Row],[%Ash]]&gt;INDEX(Ashmax,MATCH(Table36[[#This Row],[Grist]],SMI,0)),0,1))))</f>
        <v>-</v>
      </c>
      <c r="X147" s="127" t="str">
        <f>IF(INDEX(Absmin,MATCH(Table36[[#This Row],[Grist]],SMI,0))="-","-",IF(Table36[[#This Row],[%Absorption]]="-","-",IF(Table36[[#This Row],[%Absorption]]&lt;INDEX(Absmin,MATCH(Table36[[#This Row],[Grist]],SMI,0)),0,IF(Table36[[#This Row],[%Absorption]]&gt;INDEX(Absmax,MATCH(Table36[[#This Row],[Grist]],SMI,0)),0,1))))</f>
        <v>-</v>
      </c>
      <c r="Y147" s="127" t="str">
        <f>IF(INDEX(Extmin,MATCH(Table36[[#This Row],[Grist]],SMI,0))="-","-",IF(Table36[[#This Row],[%Extensibility]]="-","-",IF(Table36[[#This Row],[%Extensibility]]&lt;INDEX(Extmin,MATCH(Table36[[#This Row],[Grist]],SMI,0)),0,IF(Table36[[#This Row],[%Extensibility]]&gt;INDEX(Extmax,MATCH(Table36[[#This Row],[Grist]],SMI,0)),0,1))))</f>
        <v>-</v>
      </c>
      <c r="Z147" s="127" t="str">
        <f>IF(INDEX(Resmin,MATCH(Table36[[#This Row],[Grist]],SMI,0))="-","-",IF(Table36[[#This Row],[Resistance, max]]="-","-",IF(Table36[[#This Row],[Resistance, max]]&lt;INDEX(Resmin,MATCH(Table36[[#This Row],[Grist]],SMI,0)),0,IF(Table36[[#This Row],[Resistance, max]]&gt;INDEX(Resmax,MATCH(Table36[[#This Row],[Grist]],SMI,0)),0,1))))</f>
        <v>-</v>
      </c>
      <c r="AA147" s="127" t="str">
        <f>IF(INDEX(WGmin,MATCH(Table36[[#This Row],[Grist]],SMI,0))="-","-",IF(Table36[[#This Row],[%Wet Gluten]]="-","-",IF(Table36[[#This Row],[%Wet Gluten]]&lt;INDEX(WGmin,MATCH(Table36[[#This Row],[Grist]],SMI,0)),0,IF(Table36[[#This Row],[%Wet Gluten]]&gt;INDEX(WGmax,MATCH(Table36[[#This Row],[Grist]],SMI,0)),0,1))))</f>
        <v>-</v>
      </c>
      <c r="AB147" s="127">
        <f>SUM(Table36[[#This Row],[ QI Bran Content]:[QI WG]])</f>
        <v>3</v>
      </c>
      <c r="AC147" s="127">
        <f>COUNT(Table36[[#This Row],[ QI Bran Content]:[QI WG]])</f>
        <v>4</v>
      </c>
    </row>
    <row r="148" spans="1:29" x14ac:dyDescent="0.35">
      <c r="A148" s="177">
        <v>45292</v>
      </c>
      <c r="B148" s="178">
        <v>45314</v>
      </c>
      <c r="C148" s="178" t="s">
        <v>130</v>
      </c>
      <c r="D148" s="179">
        <v>1.2083333333333299</v>
      </c>
      <c r="E148" s="180" t="s">
        <v>0</v>
      </c>
      <c r="F148" s="181" t="s">
        <v>32</v>
      </c>
      <c r="G148" s="182">
        <v>1.23E-2</v>
      </c>
      <c r="H148" s="175" t="s">
        <v>165</v>
      </c>
      <c r="I148" s="175" t="s">
        <v>165</v>
      </c>
      <c r="J148" s="175" t="s">
        <v>165</v>
      </c>
      <c r="K148" s="175">
        <v>11.64</v>
      </c>
      <c r="L148" s="175" t="s">
        <v>163</v>
      </c>
      <c r="M148" s="175" t="s">
        <v>163</v>
      </c>
      <c r="N148" s="175" t="s">
        <v>163</v>
      </c>
      <c r="O148" s="175" t="s">
        <v>163</v>
      </c>
      <c r="P148" s="175" t="s">
        <v>163</v>
      </c>
      <c r="Q148" s="175" t="s">
        <v>163</v>
      </c>
      <c r="R148" s="127">
        <f>IF(Table36[[#This Row],[ Bran Content]]="-","-",IF(G148&lt;0.02,1,0))</f>
        <v>1</v>
      </c>
      <c r="S148" s="127">
        <f>IF(Table36[[#This Row],[Sieve Test]]="-","-",IF(Table36[[#This Row],[Sieve Test]]="P",1,0))</f>
        <v>1</v>
      </c>
      <c r="T148" s="127">
        <f>IF(Table36[[#This Row],[Odor]]="-","-",IF(Table36[[#This Row],[Odor]]="P",1,0))</f>
        <v>1</v>
      </c>
      <c r="U148" s="127">
        <f>IF(INDEX(MCmin,MATCH(Table36[[#This Row],[Grist]],SMI,0))="-","-",IF(Table36[[#This Row],[F1 %MC]]="-","-",IF(Table36[[#This Row],[F1 %MC]]&lt;INDEX(MCmin,MATCH(Table36[[#This Row],[Grist]],SMI,0)),0,IF(Table36[[#This Row],[F1 %MC]]&gt;INDEX(MCmax,MATCH(Table36[[#This Row],[Grist]],SMI,0)),0,1))))</f>
        <v>0</v>
      </c>
      <c r="V148" s="127" t="str">
        <f>IF(INDEX(Protmin,MATCH(Table36[[#This Row],[Grist]],SMI,0))="-","-",IF(Table36[[#This Row],[%Protein]]="-","-",IF(Table36[[#This Row],[%Protein]]&lt;INDEX(Protmin,MATCH(Table36[[#This Row],[Grist]],SMI,0)),0,IF(Table36[[#This Row],[%Protein]]&gt;INDEX(Protmax,MATCH(Table36[[#This Row],[Grist]],SMI,0)),0,1))))</f>
        <v>-</v>
      </c>
      <c r="W148" s="127" t="str">
        <f>IF(INDEX(Ashmin,MATCH(Table36[[#This Row],[Grist]],SMI,0))="-","-",IF(Table36[[#This Row],[%Ash]]="-","-",IF(Table36[[#This Row],[%Ash]]&lt;INDEX(Ashmin,MATCH(Table36[[#This Row],[Grist]],SMI,0)),0,IF(Table36[[#This Row],[%Ash]]&gt;INDEX(Ashmax,MATCH(Table36[[#This Row],[Grist]],SMI,0)),0,1))))</f>
        <v>-</v>
      </c>
      <c r="X148" s="127" t="str">
        <f>IF(INDEX(Absmin,MATCH(Table36[[#This Row],[Grist]],SMI,0))="-","-",IF(Table36[[#This Row],[%Absorption]]="-","-",IF(Table36[[#This Row],[%Absorption]]&lt;INDEX(Absmin,MATCH(Table36[[#This Row],[Grist]],SMI,0)),0,IF(Table36[[#This Row],[%Absorption]]&gt;INDEX(Absmax,MATCH(Table36[[#This Row],[Grist]],SMI,0)),0,1))))</f>
        <v>-</v>
      </c>
      <c r="Y148" s="127" t="str">
        <f>IF(INDEX(Extmin,MATCH(Table36[[#This Row],[Grist]],SMI,0))="-","-",IF(Table36[[#This Row],[%Extensibility]]="-","-",IF(Table36[[#This Row],[%Extensibility]]&lt;INDEX(Extmin,MATCH(Table36[[#This Row],[Grist]],SMI,0)),0,IF(Table36[[#This Row],[%Extensibility]]&gt;INDEX(Extmax,MATCH(Table36[[#This Row],[Grist]],SMI,0)),0,1))))</f>
        <v>-</v>
      </c>
      <c r="Z148" s="127" t="str">
        <f>IF(INDEX(Resmin,MATCH(Table36[[#This Row],[Grist]],SMI,0))="-","-",IF(Table36[[#This Row],[Resistance, max]]="-","-",IF(Table36[[#This Row],[Resistance, max]]&lt;INDEX(Resmin,MATCH(Table36[[#This Row],[Grist]],SMI,0)),0,IF(Table36[[#This Row],[Resistance, max]]&gt;INDEX(Resmax,MATCH(Table36[[#This Row],[Grist]],SMI,0)),0,1))))</f>
        <v>-</v>
      </c>
      <c r="AA148" s="127" t="str">
        <f>IF(INDEX(WGmin,MATCH(Table36[[#This Row],[Grist]],SMI,0))="-","-",IF(Table36[[#This Row],[%Wet Gluten]]="-","-",IF(Table36[[#This Row],[%Wet Gluten]]&lt;INDEX(WGmin,MATCH(Table36[[#This Row],[Grist]],SMI,0)),0,IF(Table36[[#This Row],[%Wet Gluten]]&gt;INDEX(WGmax,MATCH(Table36[[#This Row],[Grist]],SMI,0)),0,1))))</f>
        <v>-</v>
      </c>
      <c r="AB148" s="127">
        <f>SUM(Table36[[#This Row],[ QI Bran Content]:[QI WG]])</f>
        <v>3</v>
      </c>
      <c r="AC148" s="127">
        <f>COUNT(Table36[[#This Row],[ QI Bran Content]:[QI WG]])</f>
        <v>4</v>
      </c>
    </row>
    <row r="149" spans="1:29" x14ac:dyDescent="0.35">
      <c r="A149" s="177">
        <v>45292</v>
      </c>
      <c r="B149" s="178">
        <v>45314</v>
      </c>
      <c r="C149" s="178" t="s">
        <v>128</v>
      </c>
      <c r="D149" s="179">
        <v>0.95833333333333337</v>
      </c>
      <c r="E149" s="180" t="s">
        <v>2</v>
      </c>
      <c r="F149" s="181" t="s">
        <v>242</v>
      </c>
      <c r="G149" s="182">
        <v>5.5999999999999999E-3</v>
      </c>
      <c r="H149" s="175" t="s">
        <v>165</v>
      </c>
      <c r="I149" s="175" t="s">
        <v>165</v>
      </c>
      <c r="J149" s="175" t="s">
        <v>165</v>
      </c>
      <c r="K149" s="175">
        <v>11.66</v>
      </c>
      <c r="L149" s="175">
        <v>12.08</v>
      </c>
      <c r="M149" s="175">
        <v>0.35</v>
      </c>
      <c r="N149" s="175">
        <v>63.4</v>
      </c>
      <c r="O149" s="175" t="s">
        <v>163</v>
      </c>
      <c r="P149" s="175" t="s">
        <v>163</v>
      </c>
      <c r="Q149" s="175">
        <v>33.67</v>
      </c>
      <c r="R149" s="127">
        <f>IF(Table36[[#This Row],[ Bran Content]]="-","-",IF(G149&lt;0.02,1,0))</f>
        <v>1</v>
      </c>
      <c r="S149" s="127">
        <f>IF(Table36[[#This Row],[Sieve Test]]="-","-",IF(Table36[[#This Row],[Sieve Test]]="P",1,0))</f>
        <v>1</v>
      </c>
      <c r="T149" s="127">
        <f>IF(Table36[[#This Row],[Odor]]="-","-",IF(Table36[[#This Row],[Odor]]="P",1,0))</f>
        <v>1</v>
      </c>
      <c r="U149" s="127">
        <f>IF(INDEX(MCmin,MATCH(Table36[[#This Row],[Grist]],SMI,0))="-","-",IF(Table36[[#This Row],[F1 %MC]]="-","-",IF(Table36[[#This Row],[F1 %MC]]&lt;INDEX(MCmin,MATCH(Table36[[#This Row],[Grist]],SMI,0)),0,IF(Table36[[#This Row],[F1 %MC]]&gt;INDEX(MCmax,MATCH(Table36[[#This Row],[Grist]],SMI,0)),0,1))))</f>
        <v>0</v>
      </c>
      <c r="V149" s="127">
        <f>IF(INDEX(Protmin,MATCH(Table36[[#This Row],[Grist]],SMI,0))="-","-",IF(Table36[[#This Row],[%Protein]]="-","-",IF(Table36[[#This Row],[%Protein]]&lt;INDEX(Protmin,MATCH(Table36[[#This Row],[Grist]],SMI,0)),0,IF(Table36[[#This Row],[%Protein]]&gt;INDEX(Protmax,MATCH(Table36[[#This Row],[Grist]],SMI,0)),0,1))))</f>
        <v>1</v>
      </c>
      <c r="W149" s="127">
        <f>IF(INDEX(Ashmin,MATCH(Table36[[#This Row],[Grist]],SMI,0))="-","-",IF(Table36[[#This Row],[%Ash]]="-","-",IF(Table36[[#This Row],[%Ash]]&lt;INDEX(Ashmin,MATCH(Table36[[#This Row],[Grist]],SMI,0)),0,IF(Table36[[#This Row],[%Ash]]&gt;INDEX(Ashmax,MATCH(Table36[[#This Row],[Grist]],SMI,0)),0,1))))</f>
        <v>1</v>
      </c>
      <c r="X149" s="127">
        <f>IF(INDEX(Absmin,MATCH(Table36[[#This Row],[Grist]],SMI,0))="-","-",IF(Table36[[#This Row],[%Absorption]]="-","-",IF(Table36[[#This Row],[%Absorption]]&lt;INDEX(Absmin,MATCH(Table36[[#This Row],[Grist]],SMI,0)),0,IF(Table36[[#This Row],[%Absorption]]&gt;INDEX(Absmax,MATCH(Table36[[#This Row],[Grist]],SMI,0)),0,1))))</f>
        <v>1</v>
      </c>
      <c r="Y149" s="127" t="str">
        <f>IF(INDEX(Extmin,MATCH(Table36[[#This Row],[Grist]],SMI,0))="-","-",IF(Table36[[#This Row],[%Extensibility]]="-","-",IF(Table36[[#This Row],[%Extensibility]]&lt;INDEX(Extmin,MATCH(Table36[[#This Row],[Grist]],SMI,0)),0,IF(Table36[[#This Row],[%Extensibility]]&gt;INDEX(Extmax,MATCH(Table36[[#This Row],[Grist]],SMI,0)),0,1))))</f>
        <v>-</v>
      </c>
      <c r="Z149" s="127" t="str">
        <f>IF(INDEX(Resmin,MATCH(Table36[[#This Row],[Grist]],SMI,0))="-","-",IF(Table36[[#This Row],[Resistance, max]]="-","-",IF(Table36[[#This Row],[Resistance, max]]&lt;INDEX(Resmin,MATCH(Table36[[#This Row],[Grist]],SMI,0)),0,IF(Table36[[#This Row],[Resistance, max]]&gt;INDEX(Resmax,MATCH(Table36[[#This Row],[Grist]],SMI,0)),0,1))))</f>
        <v>-</v>
      </c>
      <c r="AA149" s="127">
        <f>IF(INDEX(WGmin,MATCH(Table36[[#This Row],[Grist]],SMI,0))="-","-",IF(Table36[[#This Row],[%Wet Gluten]]="-","-",IF(Table36[[#This Row],[%Wet Gluten]]&lt;INDEX(WGmin,MATCH(Table36[[#This Row],[Grist]],SMI,0)),0,IF(Table36[[#This Row],[%Wet Gluten]]&gt;INDEX(WGmax,MATCH(Table36[[#This Row],[Grist]],SMI,0)),0,1))))</f>
        <v>1</v>
      </c>
      <c r="AB149" s="127">
        <f>SUM(Table36[[#This Row],[ QI Bran Content]:[QI WG]])</f>
        <v>7</v>
      </c>
      <c r="AC149" s="127">
        <f>COUNT(Table36[[#This Row],[ QI Bran Content]:[QI WG]])</f>
        <v>8</v>
      </c>
    </row>
    <row r="150" spans="1:29" x14ac:dyDescent="0.35">
      <c r="A150" s="177">
        <v>45292</v>
      </c>
      <c r="B150" s="178">
        <v>45314</v>
      </c>
      <c r="C150" s="178" t="s">
        <v>130</v>
      </c>
      <c r="D150" s="179">
        <v>1.0416666666666701</v>
      </c>
      <c r="E150" s="180" t="s">
        <v>2</v>
      </c>
      <c r="F150" s="181" t="s">
        <v>242</v>
      </c>
      <c r="G150" s="182">
        <v>5.0000000000000001E-3</v>
      </c>
      <c r="H150" s="175" t="s">
        <v>165</v>
      </c>
      <c r="I150" s="175" t="s">
        <v>165</v>
      </c>
      <c r="J150" s="175" t="s">
        <v>165</v>
      </c>
      <c r="K150" s="175">
        <v>12.06</v>
      </c>
      <c r="L150" s="175" t="s">
        <v>163</v>
      </c>
      <c r="M150" s="175" t="s">
        <v>163</v>
      </c>
      <c r="N150" s="175" t="s">
        <v>163</v>
      </c>
      <c r="O150" s="175" t="s">
        <v>163</v>
      </c>
      <c r="P150" s="175" t="s">
        <v>163</v>
      </c>
      <c r="Q150" s="175" t="s">
        <v>163</v>
      </c>
      <c r="R150" s="127">
        <f>IF(Table36[[#This Row],[ Bran Content]]="-","-",IF(G150&lt;0.02,1,0))</f>
        <v>1</v>
      </c>
      <c r="S150" s="127">
        <f>IF(Table36[[#This Row],[Sieve Test]]="-","-",IF(Table36[[#This Row],[Sieve Test]]="P",1,0))</f>
        <v>1</v>
      </c>
      <c r="T150" s="127">
        <f>IF(Table36[[#This Row],[Odor]]="-","-",IF(Table36[[#This Row],[Odor]]="P",1,0))</f>
        <v>1</v>
      </c>
      <c r="U150" s="127">
        <f>IF(INDEX(MCmin,MATCH(Table36[[#This Row],[Grist]],SMI,0))="-","-",IF(Table36[[#This Row],[F1 %MC]]="-","-",IF(Table36[[#This Row],[F1 %MC]]&lt;INDEX(MCmin,MATCH(Table36[[#This Row],[Grist]],SMI,0)),0,IF(Table36[[#This Row],[F1 %MC]]&gt;INDEX(MCmax,MATCH(Table36[[#This Row],[Grist]],SMI,0)),0,1))))</f>
        <v>1</v>
      </c>
      <c r="V150" s="127" t="str">
        <f>IF(INDEX(Protmin,MATCH(Table36[[#This Row],[Grist]],SMI,0))="-","-",IF(Table36[[#This Row],[%Protein]]="-","-",IF(Table36[[#This Row],[%Protein]]&lt;INDEX(Protmin,MATCH(Table36[[#This Row],[Grist]],SMI,0)),0,IF(Table36[[#This Row],[%Protein]]&gt;INDEX(Protmax,MATCH(Table36[[#This Row],[Grist]],SMI,0)),0,1))))</f>
        <v>-</v>
      </c>
      <c r="W150" s="127" t="str">
        <f>IF(INDEX(Ashmin,MATCH(Table36[[#This Row],[Grist]],SMI,0))="-","-",IF(Table36[[#This Row],[%Ash]]="-","-",IF(Table36[[#This Row],[%Ash]]&lt;INDEX(Ashmin,MATCH(Table36[[#This Row],[Grist]],SMI,0)),0,IF(Table36[[#This Row],[%Ash]]&gt;INDEX(Ashmax,MATCH(Table36[[#This Row],[Grist]],SMI,0)),0,1))))</f>
        <v>-</v>
      </c>
      <c r="X150" s="127" t="str">
        <f>IF(INDEX(Absmin,MATCH(Table36[[#This Row],[Grist]],SMI,0))="-","-",IF(Table36[[#This Row],[%Absorption]]="-","-",IF(Table36[[#This Row],[%Absorption]]&lt;INDEX(Absmin,MATCH(Table36[[#This Row],[Grist]],SMI,0)),0,IF(Table36[[#This Row],[%Absorption]]&gt;INDEX(Absmax,MATCH(Table36[[#This Row],[Grist]],SMI,0)),0,1))))</f>
        <v>-</v>
      </c>
      <c r="Y150" s="127" t="str">
        <f>IF(INDEX(Extmin,MATCH(Table36[[#This Row],[Grist]],SMI,0))="-","-",IF(Table36[[#This Row],[%Extensibility]]="-","-",IF(Table36[[#This Row],[%Extensibility]]&lt;INDEX(Extmin,MATCH(Table36[[#This Row],[Grist]],SMI,0)),0,IF(Table36[[#This Row],[%Extensibility]]&gt;INDEX(Extmax,MATCH(Table36[[#This Row],[Grist]],SMI,0)),0,1))))</f>
        <v>-</v>
      </c>
      <c r="Z150" s="127" t="str">
        <f>IF(INDEX(Resmin,MATCH(Table36[[#This Row],[Grist]],SMI,0))="-","-",IF(Table36[[#This Row],[Resistance, max]]="-","-",IF(Table36[[#This Row],[Resistance, max]]&lt;INDEX(Resmin,MATCH(Table36[[#This Row],[Grist]],SMI,0)),0,IF(Table36[[#This Row],[Resistance, max]]&gt;INDEX(Resmax,MATCH(Table36[[#This Row],[Grist]],SMI,0)),0,1))))</f>
        <v>-</v>
      </c>
      <c r="AA150" s="127" t="str">
        <f>IF(INDEX(WGmin,MATCH(Table36[[#This Row],[Grist]],SMI,0))="-","-",IF(Table36[[#This Row],[%Wet Gluten]]="-","-",IF(Table36[[#This Row],[%Wet Gluten]]&lt;INDEX(WGmin,MATCH(Table36[[#This Row],[Grist]],SMI,0)),0,IF(Table36[[#This Row],[%Wet Gluten]]&gt;INDEX(WGmax,MATCH(Table36[[#This Row],[Grist]],SMI,0)),0,1))))</f>
        <v>-</v>
      </c>
      <c r="AB150" s="127">
        <f>SUM(Table36[[#This Row],[ QI Bran Content]:[QI WG]])</f>
        <v>4</v>
      </c>
      <c r="AC150" s="127">
        <f>COUNT(Table36[[#This Row],[ QI Bran Content]:[QI WG]])</f>
        <v>4</v>
      </c>
    </row>
    <row r="151" spans="1:29" x14ac:dyDescent="0.35">
      <c r="A151" s="177">
        <v>45292</v>
      </c>
      <c r="B151" s="178">
        <v>45314</v>
      </c>
      <c r="C151" s="178" t="s">
        <v>130</v>
      </c>
      <c r="D151" s="179">
        <v>1.125</v>
      </c>
      <c r="E151" s="180" t="s">
        <v>2</v>
      </c>
      <c r="F151" s="181" t="s">
        <v>242</v>
      </c>
      <c r="G151" s="182">
        <v>1.09E-2</v>
      </c>
      <c r="H151" s="175" t="s">
        <v>165</v>
      </c>
      <c r="I151" s="175" t="s">
        <v>165</v>
      </c>
      <c r="J151" s="175" t="s">
        <v>165</v>
      </c>
      <c r="K151" s="175">
        <v>11.68</v>
      </c>
      <c r="L151" s="175" t="s">
        <v>163</v>
      </c>
      <c r="M151" s="175" t="s">
        <v>163</v>
      </c>
      <c r="N151" s="175" t="s">
        <v>163</v>
      </c>
      <c r="O151" s="175" t="s">
        <v>163</v>
      </c>
      <c r="P151" s="175" t="s">
        <v>163</v>
      </c>
      <c r="Q151" s="175" t="s">
        <v>163</v>
      </c>
      <c r="R151" s="127">
        <f>IF(Table36[[#This Row],[ Bran Content]]="-","-",IF(G151&lt;0.02,1,0))</f>
        <v>1</v>
      </c>
      <c r="S151" s="127">
        <f>IF(Table36[[#This Row],[Sieve Test]]="-","-",IF(Table36[[#This Row],[Sieve Test]]="P",1,0))</f>
        <v>1</v>
      </c>
      <c r="T151" s="127">
        <f>IF(Table36[[#This Row],[Odor]]="-","-",IF(Table36[[#This Row],[Odor]]="P",1,0))</f>
        <v>1</v>
      </c>
      <c r="U151" s="127">
        <f>IF(INDEX(MCmin,MATCH(Table36[[#This Row],[Grist]],SMI,0))="-","-",IF(Table36[[#This Row],[F1 %MC]]="-","-",IF(Table36[[#This Row],[F1 %MC]]&lt;INDEX(MCmin,MATCH(Table36[[#This Row],[Grist]],SMI,0)),0,IF(Table36[[#This Row],[F1 %MC]]&gt;INDEX(MCmax,MATCH(Table36[[#This Row],[Grist]],SMI,0)),0,1))))</f>
        <v>0</v>
      </c>
      <c r="V151" s="127" t="str">
        <f>IF(INDEX(Protmin,MATCH(Table36[[#This Row],[Grist]],SMI,0))="-","-",IF(Table36[[#This Row],[%Protein]]="-","-",IF(Table36[[#This Row],[%Protein]]&lt;INDEX(Protmin,MATCH(Table36[[#This Row],[Grist]],SMI,0)),0,IF(Table36[[#This Row],[%Protein]]&gt;INDEX(Protmax,MATCH(Table36[[#This Row],[Grist]],SMI,0)),0,1))))</f>
        <v>-</v>
      </c>
      <c r="W151" s="127" t="str">
        <f>IF(INDEX(Ashmin,MATCH(Table36[[#This Row],[Grist]],SMI,0))="-","-",IF(Table36[[#This Row],[%Ash]]="-","-",IF(Table36[[#This Row],[%Ash]]&lt;INDEX(Ashmin,MATCH(Table36[[#This Row],[Grist]],SMI,0)),0,IF(Table36[[#This Row],[%Ash]]&gt;INDEX(Ashmax,MATCH(Table36[[#This Row],[Grist]],SMI,0)),0,1))))</f>
        <v>-</v>
      </c>
      <c r="X151" s="127" t="str">
        <f>IF(INDEX(Absmin,MATCH(Table36[[#This Row],[Grist]],SMI,0))="-","-",IF(Table36[[#This Row],[%Absorption]]="-","-",IF(Table36[[#This Row],[%Absorption]]&lt;INDEX(Absmin,MATCH(Table36[[#This Row],[Grist]],SMI,0)),0,IF(Table36[[#This Row],[%Absorption]]&gt;INDEX(Absmax,MATCH(Table36[[#This Row],[Grist]],SMI,0)),0,1))))</f>
        <v>-</v>
      </c>
      <c r="Y151" s="127" t="str">
        <f>IF(INDEX(Extmin,MATCH(Table36[[#This Row],[Grist]],SMI,0))="-","-",IF(Table36[[#This Row],[%Extensibility]]="-","-",IF(Table36[[#This Row],[%Extensibility]]&lt;INDEX(Extmin,MATCH(Table36[[#This Row],[Grist]],SMI,0)),0,IF(Table36[[#This Row],[%Extensibility]]&gt;INDEX(Extmax,MATCH(Table36[[#This Row],[Grist]],SMI,0)),0,1))))</f>
        <v>-</v>
      </c>
      <c r="Z151" s="127" t="str">
        <f>IF(INDEX(Resmin,MATCH(Table36[[#This Row],[Grist]],SMI,0))="-","-",IF(Table36[[#This Row],[Resistance, max]]="-","-",IF(Table36[[#This Row],[Resistance, max]]&lt;INDEX(Resmin,MATCH(Table36[[#This Row],[Grist]],SMI,0)),0,IF(Table36[[#This Row],[Resistance, max]]&gt;INDEX(Resmax,MATCH(Table36[[#This Row],[Grist]],SMI,0)),0,1))))</f>
        <v>-</v>
      </c>
      <c r="AA151" s="127" t="str">
        <f>IF(INDEX(WGmin,MATCH(Table36[[#This Row],[Grist]],SMI,0))="-","-",IF(Table36[[#This Row],[%Wet Gluten]]="-","-",IF(Table36[[#This Row],[%Wet Gluten]]&lt;INDEX(WGmin,MATCH(Table36[[#This Row],[Grist]],SMI,0)),0,IF(Table36[[#This Row],[%Wet Gluten]]&gt;INDEX(WGmax,MATCH(Table36[[#This Row],[Grist]],SMI,0)),0,1))))</f>
        <v>-</v>
      </c>
      <c r="AB151" s="127">
        <f>SUM(Table36[[#This Row],[ QI Bran Content]:[QI WG]])</f>
        <v>3</v>
      </c>
      <c r="AC151" s="127">
        <f>COUNT(Table36[[#This Row],[ QI Bran Content]:[QI WG]])</f>
        <v>4</v>
      </c>
    </row>
    <row r="152" spans="1:29" x14ac:dyDescent="0.35">
      <c r="A152" s="177">
        <v>45292</v>
      </c>
      <c r="B152" s="178">
        <v>45314</v>
      </c>
      <c r="C152" s="178" t="s">
        <v>130</v>
      </c>
      <c r="D152" s="179">
        <v>1.2083333333333299</v>
      </c>
      <c r="E152" s="180" t="s">
        <v>2</v>
      </c>
      <c r="F152" s="181" t="s">
        <v>242</v>
      </c>
      <c r="G152" s="182">
        <v>1.04E-2</v>
      </c>
      <c r="H152" s="175" t="s">
        <v>165</v>
      </c>
      <c r="I152" s="175" t="s">
        <v>165</v>
      </c>
      <c r="J152" s="175" t="s">
        <v>165</v>
      </c>
      <c r="K152" s="175">
        <v>11.44</v>
      </c>
      <c r="L152" s="175" t="s">
        <v>163</v>
      </c>
      <c r="M152" s="175" t="s">
        <v>163</v>
      </c>
      <c r="N152" s="175" t="s">
        <v>163</v>
      </c>
      <c r="O152" s="175" t="s">
        <v>163</v>
      </c>
      <c r="P152" s="175" t="s">
        <v>163</v>
      </c>
      <c r="Q152" s="175" t="s">
        <v>163</v>
      </c>
      <c r="R152" s="127">
        <f>IF(Table36[[#This Row],[ Bran Content]]="-","-",IF(G152&lt;0.02,1,0))</f>
        <v>1</v>
      </c>
      <c r="S152" s="127">
        <f>IF(Table36[[#This Row],[Sieve Test]]="-","-",IF(Table36[[#This Row],[Sieve Test]]="P",1,0))</f>
        <v>1</v>
      </c>
      <c r="T152" s="127">
        <f>IF(Table36[[#This Row],[Odor]]="-","-",IF(Table36[[#This Row],[Odor]]="P",1,0))</f>
        <v>1</v>
      </c>
      <c r="U152" s="127">
        <f>IF(INDEX(MCmin,MATCH(Table36[[#This Row],[Grist]],SMI,0))="-","-",IF(Table36[[#This Row],[F1 %MC]]="-","-",IF(Table36[[#This Row],[F1 %MC]]&lt;INDEX(MCmin,MATCH(Table36[[#This Row],[Grist]],SMI,0)),0,IF(Table36[[#This Row],[F1 %MC]]&gt;INDEX(MCmax,MATCH(Table36[[#This Row],[Grist]],SMI,0)),0,1))))</f>
        <v>0</v>
      </c>
      <c r="V152" s="127" t="str">
        <f>IF(INDEX(Protmin,MATCH(Table36[[#This Row],[Grist]],SMI,0))="-","-",IF(Table36[[#This Row],[%Protein]]="-","-",IF(Table36[[#This Row],[%Protein]]&lt;INDEX(Protmin,MATCH(Table36[[#This Row],[Grist]],SMI,0)),0,IF(Table36[[#This Row],[%Protein]]&gt;INDEX(Protmax,MATCH(Table36[[#This Row],[Grist]],SMI,0)),0,1))))</f>
        <v>-</v>
      </c>
      <c r="W152" s="127" t="str">
        <f>IF(INDEX(Ashmin,MATCH(Table36[[#This Row],[Grist]],SMI,0))="-","-",IF(Table36[[#This Row],[%Ash]]="-","-",IF(Table36[[#This Row],[%Ash]]&lt;INDEX(Ashmin,MATCH(Table36[[#This Row],[Grist]],SMI,0)),0,IF(Table36[[#This Row],[%Ash]]&gt;INDEX(Ashmax,MATCH(Table36[[#This Row],[Grist]],SMI,0)),0,1))))</f>
        <v>-</v>
      </c>
      <c r="X152" s="127" t="str">
        <f>IF(INDEX(Absmin,MATCH(Table36[[#This Row],[Grist]],SMI,0))="-","-",IF(Table36[[#This Row],[%Absorption]]="-","-",IF(Table36[[#This Row],[%Absorption]]&lt;INDEX(Absmin,MATCH(Table36[[#This Row],[Grist]],SMI,0)),0,IF(Table36[[#This Row],[%Absorption]]&gt;INDEX(Absmax,MATCH(Table36[[#This Row],[Grist]],SMI,0)),0,1))))</f>
        <v>-</v>
      </c>
      <c r="Y152" s="127" t="str">
        <f>IF(INDEX(Extmin,MATCH(Table36[[#This Row],[Grist]],SMI,0))="-","-",IF(Table36[[#This Row],[%Extensibility]]="-","-",IF(Table36[[#This Row],[%Extensibility]]&lt;INDEX(Extmin,MATCH(Table36[[#This Row],[Grist]],SMI,0)),0,IF(Table36[[#This Row],[%Extensibility]]&gt;INDEX(Extmax,MATCH(Table36[[#This Row],[Grist]],SMI,0)),0,1))))</f>
        <v>-</v>
      </c>
      <c r="Z152" s="127" t="str">
        <f>IF(INDEX(Resmin,MATCH(Table36[[#This Row],[Grist]],SMI,0))="-","-",IF(Table36[[#This Row],[Resistance, max]]="-","-",IF(Table36[[#This Row],[Resistance, max]]&lt;INDEX(Resmin,MATCH(Table36[[#This Row],[Grist]],SMI,0)),0,IF(Table36[[#This Row],[Resistance, max]]&gt;INDEX(Resmax,MATCH(Table36[[#This Row],[Grist]],SMI,0)),0,1))))</f>
        <v>-</v>
      </c>
      <c r="AA152" s="127" t="str">
        <f>IF(INDEX(WGmin,MATCH(Table36[[#This Row],[Grist]],SMI,0))="-","-",IF(Table36[[#This Row],[%Wet Gluten]]="-","-",IF(Table36[[#This Row],[%Wet Gluten]]&lt;INDEX(WGmin,MATCH(Table36[[#This Row],[Grist]],SMI,0)),0,IF(Table36[[#This Row],[%Wet Gluten]]&gt;INDEX(WGmax,MATCH(Table36[[#This Row],[Grist]],SMI,0)),0,1))))</f>
        <v>-</v>
      </c>
      <c r="AB152" s="127">
        <f>SUM(Table36[[#This Row],[ QI Bran Content]:[QI WG]])</f>
        <v>3</v>
      </c>
      <c r="AC152" s="127">
        <f>COUNT(Table36[[#This Row],[ QI Bran Content]:[QI WG]])</f>
        <v>4</v>
      </c>
    </row>
    <row r="153" spans="1:29" x14ac:dyDescent="0.35">
      <c r="A153" s="177">
        <v>45292</v>
      </c>
      <c r="B153" s="178">
        <v>45315</v>
      </c>
      <c r="C153" s="178" t="s">
        <v>125</v>
      </c>
      <c r="D153" s="179" t="s">
        <v>239</v>
      </c>
      <c r="E153" s="180" t="s">
        <v>0</v>
      </c>
      <c r="F153" s="181" t="s">
        <v>32</v>
      </c>
      <c r="G153" s="182">
        <v>1.26E-2</v>
      </c>
      <c r="H153" s="175" t="s">
        <v>165</v>
      </c>
      <c r="I153" s="175" t="s">
        <v>165</v>
      </c>
      <c r="J153" s="175" t="s">
        <v>165</v>
      </c>
      <c r="K153" s="175">
        <v>12.37</v>
      </c>
      <c r="L153" s="175">
        <v>13.48</v>
      </c>
      <c r="M153" s="175">
        <v>0.56000000000000005</v>
      </c>
      <c r="N153" s="175">
        <v>64.8</v>
      </c>
      <c r="O153" s="175" t="s">
        <v>163</v>
      </c>
      <c r="P153" s="175" t="s">
        <v>163</v>
      </c>
      <c r="Q153" s="175" t="s">
        <v>163</v>
      </c>
      <c r="R153" s="127">
        <f>IF(Table36[[#This Row],[ Bran Content]]="-","-",IF(G153&lt;0.02,1,0))</f>
        <v>1</v>
      </c>
      <c r="S153" s="127">
        <f>IF(Table36[[#This Row],[Sieve Test]]="-","-",IF(Table36[[#This Row],[Sieve Test]]="P",1,0))</f>
        <v>1</v>
      </c>
      <c r="T153" s="127">
        <f>IF(Table36[[#This Row],[Odor]]="-","-",IF(Table36[[#This Row],[Odor]]="P",1,0))</f>
        <v>1</v>
      </c>
      <c r="U153" s="127">
        <f>IF(INDEX(MCmin,MATCH(Table36[[#This Row],[Grist]],SMI,0))="-","-",IF(Table36[[#This Row],[F1 %MC]]="-","-",IF(Table36[[#This Row],[F1 %MC]]&lt;INDEX(MCmin,MATCH(Table36[[#This Row],[Grist]],SMI,0)),0,IF(Table36[[#This Row],[F1 %MC]]&gt;INDEX(MCmax,MATCH(Table36[[#This Row],[Grist]],SMI,0)),0,1))))</f>
        <v>1</v>
      </c>
      <c r="V153" s="127">
        <f>IF(INDEX(Protmin,MATCH(Table36[[#This Row],[Grist]],SMI,0))="-","-",IF(Table36[[#This Row],[%Protein]]="-","-",IF(Table36[[#This Row],[%Protein]]&lt;INDEX(Protmin,MATCH(Table36[[#This Row],[Grist]],SMI,0)),0,IF(Table36[[#This Row],[%Protein]]&gt;INDEX(Protmax,MATCH(Table36[[#This Row],[Grist]],SMI,0)),0,1))))</f>
        <v>1</v>
      </c>
      <c r="W153" s="127">
        <f>IF(INDEX(Ashmin,MATCH(Table36[[#This Row],[Grist]],SMI,0))="-","-",IF(Table36[[#This Row],[%Ash]]="-","-",IF(Table36[[#This Row],[%Ash]]&lt;INDEX(Ashmin,MATCH(Table36[[#This Row],[Grist]],SMI,0)),0,IF(Table36[[#This Row],[%Ash]]&gt;INDEX(Ashmax,MATCH(Table36[[#This Row],[Grist]],SMI,0)),0,1))))</f>
        <v>1</v>
      </c>
      <c r="X153" s="127">
        <f>IF(INDEX(Absmin,MATCH(Table36[[#This Row],[Grist]],SMI,0))="-","-",IF(Table36[[#This Row],[%Absorption]]="-","-",IF(Table36[[#This Row],[%Absorption]]&lt;INDEX(Absmin,MATCH(Table36[[#This Row],[Grist]],SMI,0)),0,IF(Table36[[#This Row],[%Absorption]]&gt;INDEX(Absmax,MATCH(Table36[[#This Row],[Grist]],SMI,0)),0,1))))</f>
        <v>1</v>
      </c>
      <c r="Y153" s="127" t="str">
        <f>IF(INDEX(Extmin,MATCH(Table36[[#This Row],[Grist]],SMI,0))="-","-",IF(Table36[[#This Row],[%Extensibility]]="-","-",IF(Table36[[#This Row],[%Extensibility]]&lt;INDEX(Extmin,MATCH(Table36[[#This Row],[Grist]],SMI,0)),0,IF(Table36[[#This Row],[%Extensibility]]&gt;INDEX(Extmax,MATCH(Table36[[#This Row],[Grist]],SMI,0)),0,1))))</f>
        <v>-</v>
      </c>
      <c r="Z153" s="127" t="str">
        <f>IF(INDEX(Resmin,MATCH(Table36[[#This Row],[Grist]],SMI,0))="-","-",IF(Table36[[#This Row],[Resistance, max]]="-","-",IF(Table36[[#This Row],[Resistance, max]]&lt;INDEX(Resmin,MATCH(Table36[[#This Row],[Grist]],SMI,0)),0,IF(Table36[[#This Row],[Resistance, max]]&gt;INDEX(Resmax,MATCH(Table36[[#This Row],[Grist]],SMI,0)),0,1))))</f>
        <v>-</v>
      </c>
      <c r="AA153" s="127" t="str">
        <f>IF(INDEX(WGmin,MATCH(Table36[[#This Row],[Grist]],SMI,0))="-","-",IF(Table36[[#This Row],[%Wet Gluten]]="-","-",IF(Table36[[#This Row],[%Wet Gluten]]&lt;INDEX(WGmin,MATCH(Table36[[#This Row],[Grist]],SMI,0)),0,IF(Table36[[#This Row],[%Wet Gluten]]&gt;INDEX(WGmax,MATCH(Table36[[#This Row],[Grist]],SMI,0)),0,1))))</f>
        <v>-</v>
      </c>
      <c r="AB153" s="127">
        <f>SUM(Table36[[#This Row],[ QI Bran Content]:[QI WG]])</f>
        <v>7</v>
      </c>
      <c r="AC153" s="127">
        <f>COUNT(Table36[[#This Row],[ QI Bran Content]:[QI WG]])</f>
        <v>7</v>
      </c>
    </row>
    <row r="154" spans="1:29" x14ac:dyDescent="0.35">
      <c r="A154" s="177">
        <v>45292</v>
      </c>
      <c r="B154" s="178">
        <v>45315</v>
      </c>
      <c r="C154" s="178" t="s">
        <v>125</v>
      </c>
      <c r="D154" s="179" t="s">
        <v>240</v>
      </c>
      <c r="E154" s="180" t="s">
        <v>0</v>
      </c>
      <c r="F154" s="181" t="s">
        <v>32</v>
      </c>
      <c r="G154" s="182">
        <v>1.2999999999999999E-2</v>
      </c>
      <c r="H154" s="175" t="s">
        <v>165</v>
      </c>
      <c r="I154" s="175" t="s">
        <v>165</v>
      </c>
      <c r="J154" s="175" t="s">
        <v>165</v>
      </c>
      <c r="K154" s="175">
        <v>12.17</v>
      </c>
      <c r="L154" s="175">
        <v>13.48</v>
      </c>
      <c r="M154" s="175">
        <v>0.56000000000000005</v>
      </c>
      <c r="N154" s="175">
        <v>64.8</v>
      </c>
      <c r="O154" s="175" t="s">
        <v>163</v>
      </c>
      <c r="P154" s="175" t="s">
        <v>163</v>
      </c>
      <c r="Q154" s="175" t="s">
        <v>163</v>
      </c>
      <c r="R154" s="127">
        <f>IF(Table36[[#This Row],[ Bran Content]]="-","-",IF(G154&lt;0.02,1,0))</f>
        <v>1</v>
      </c>
      <c r="S154" s="127">
        <f>IF(Table36[[#This Row],[Sieve Test]]="-","-",IF(Table36[[#This Row],[Sieve Test]]="P",1,0))</f>
        <v>1</v>
      </c>
      <c r="T154" s="127">
        <f>IF(Table36[[#This Row],[Odor]]="-","-",IF(Table36[[#This Row],[Odor]]="P",1,0))</f>
        <v>1</v>
      </c>
      <c r="U154" s="127">
        <f>IF(INDEX(MCmin,MATCH(Table36[[#This Row],[Grist]],SMI,0))="-","-",IF(Table36[[#This Row],[F1 %MC]]="-","-",IF(Table36[[#This Row],[F1 %MC]]&lt;INDEX(MCmin,MATCH(Table36[[#This Row],[Grist]],SMI,0)),0,IF(Table36[[#This Row],[F1 %MC]]&gt;INDEX(MCmax,MATCH(Table36[[#This Row],[Grist]],SMI,0)),0,1))))</f>
        <v>1</v>
      </c>
      <c r="V154" s="127">
        <f>IF(INDEX(Protmin,MATCH(Table36[[#This Row],[Grist]],SMI,0))="-","-",IF(Table36[[#This Row],[%Protein]]="-","-",IF(Table36[[#This Row],[%Protein]]&lt;INDEX(Protmin,MATCH(Table36[[#This Row],[Grist]],SMI,0)),0,IF(Table36[[#This Row],[%Protein]]&gt;INDEX(Protmax,MATCH(Table36[[#This Row],[Grist]],SMI,0)),0,1))))</f>
        <v>1</v>
      </c>
      <c r="W154" s="127">
        <f>IF(INDEX(Ashmin,MATCH(Table36[[#This Row],[Grist]],SMI,0))="-","-",IF(Table36[[#This Row],[%Ash]]="-","-",IF(Table36[[#This Row],[%Ash]]&lt;INDEX(Ashmin,MATCH(Table36[[#This Row],[Grist]],SMI,0)),0,IF(Table36[[#This Row],[%Ash]]&gt;INDEX(Ashmax,MATCH(Table36[[#This Row],[Grist]],SMI,0)),0,1))))</f>
        <v>1</v>
      </c>
      <c r="X154" s="127">
        <f>IF(INDEX(Absmin,MATCH(Table36[[#This Row],[Grist]],SMI,0))="-","-",IF(Table36[[#This Row],[%Absorption]]="-","-",IF(Table36[[#This Row],[%Absorption]]&lt;INDEX(Absmin,MATCH(Table36[[#This Row],[Grist]],SMI,0)),0,IF(Table36[[#This Row],[%Absorption]]&gt;INDEX(Absmax,MATCH(Table36[[#This Row],[Grist]],SMI,0)),0,1))))</f>
        <v>1</v>
      </c>
      <c r="Y154" s="127" t="str">
        <f>IF(INDEX(Extmin,MATCH(Table36[[#This Row],[Grist]],SMI,0))="-","-",IF(Table36[[#This Row],[%Extensibility]]="-","-",IF(Table36[[#This Row],[%Extensibility]]&lt;INDEX(Extmin,MATCH(Table36[[#This Row],[Grist]],SMI,0)),0,IF(Table36[[#This Row],[%Extensibility]]&gt;INDEX(Extmax,MATCH(Table36[[#This Row],[Grist]],SMI,0)),0,1))))</f>
        <v>-</v>
      </c>
      <c r="Z154" s="127" t="str">
        <f>IF(INDEX(Resmin,MATCH(Table36[[#This Row],[Grist]],SMI,0))="-","-",IF(Table36[[#This Row],[Resistance, max]]="-","-",IF(Table36[[#This Row],[Resistance, max]]&lt;INDEX(Resmin,MATCH(Table36[[#This Row],[Grist]],SMI,0)),0,IF(Table36[[#This Row],[Resistance, max]]&gt;INDEX(Resmax,MATCH(Table36[[#This Row],[Grist]],SMI,0)),0,1))))</f>
        <v>-</v>
      </c>
      <c r="AA154" s="127" t="str">
        <f>IF(INDEX(WGmin,MATCH(Table36[[#This Row],[Grist]],SMI,0))="-","-",IF(Table36[[#This Row],[%Wet Gluten]]="-","-",IF(Table36[[#This Row],[%Wet Gluten]]&lt;INDEX(WGmin,MATCH(Table36[[#This Row],[Grist]],SMI,0)),0,IF(Table36[[#This Row],[%Wet Gluten]]&gt;INDEX(WGmax,MATCH(Table36[[#This Row],[Grist]],SMI,0)),0,1))))</f>
        <v>-</v>
      </c>
      <c r="AB154" s="127">
        <f>SUM(Table36[[#This Row],[ QI Bran Content]:[QI WG]])</f>
        <v>7</v>
      </c>
      <c r="AC154" s="127">
        <f>COUNT(Table36[[#This Row],[ QI Bran Content]:[QI WG]])</f>
        <v>7</v>
      </c>
    </row>
    <row r="155" spans="1:29" x14ac:dyDescent="0.35">
      <c r="A155" s="177">
        <v>45292</v>
      </c>
      <c r="B155" s="178">
        <v>45315</v>
      </c>
      <c r="C155" s="178" t="s">
        <v>125</v>
      </c>
      <c r="D155" s="179" t="s">
        <v>237</v>
      </c>
      <c r="E155" s="180" t="s">
        <v>0</v>
      </c>
      <c r="F155" s="181" t="s">
        <v>32</v>
      </c>
      <c r="G155" s="182">
        <v>7.7000000000000002E-3</v>
      </c>
      <c r="H155" s="175" t="s">
        <v>165</v>
      </c>
      <c r="I155" s="175" t="s">
        <v>165</v>
      </c>
      <c r="J155" s="175" t="s">
        <v>165</v>
      </c>
      <c r="K155" s="175">
        <v>11.59</v>
      </c>
      <c r="L155" s="175">
        <v>13.48</v>
      </c>
      <c r="M155" s="175">
        <v>0.56000000000000005</v>
      </c>
      <c r="N155" s="175">
        <v>64.8</v>
      </c>
      <c r="O155" s="175" t="s">
        <v>163</v>
      </c>
      <c r="P155" s="175" t="s">
        <v>163</v>
      </c>
      <c r="Q155" s="175" t="s">
        <v>163</v>
      </c>
      <c r="R155" s="127">
        <f>IF(Table36[[#This Row],[ Bran Content]]="-","-",IF(G155&lt;0.02,1,0))</f>
        <v>1</v>
      </c>
      <c r="S155" s="127">
        <f>IF(Table36[[#This Row],[Sieve Test]]="-","-",IF(Table36[[#This Row],[Sieve Test]]="P",1,0))</f>
        <v>1</v>
      </c>
      <c r="T155" s="127">
        <f>IF(Table36[[#This Row],[Odor]]="-","-",IF(Table36[[#This Row],[Odor]]="P",1,0))</f>
        <v>1</v>
      </c>
      <c r="U155" s="127">
        <f>IF(INDEX(MCmin,MATCH(Table36[[#This Row],[Grist]],SMI,0))="-","-",IF(Table36[[#This Row],[F1 %MC]]="-","-",IF(Table36[[#This Row],[F1 %MC]]&lt;INDEX(MCmin,MATCH(Table36[[#This Row],[Grist]],SMI,0)),0,IF(Table36[[#This Row],[F1 %MC]]&gt;INDEX(MCmax,MATCH(Table36[[#This Row],[Grist]],SMI,0)),0,1))))</f>
        <v>0</v>
      </c>
      <c r="V155" s="127">
        <f>IF(INDEX(Protmin,MATCH(Table36[[#This Row],[Grist]],SMI,0))="-","-",IF(Table36[[#This Row],[%Protein]]="-","-",IF(Table36[[#This Row],[%Protein]]&lt;INDEX(Protmin,MATCH(Table36[[#This Row],[Grist]],SMI,0)),0,IF(Table36[[#This Row],[%Protein]]&gt;INDEX(Protmax,MATCH(Table36[[#This Row],[Grist]],SMI,0)),0,1))))</f>
        <v>1</v>
      </c>
      <c r="W155" s="127">
        <f>IF(INDEX(Ashmin,MATCH(Table36[[#This Row],[Grist]],SMI,0))="-","-",IF(Table36[[#This Row],[%Ash]]="-","-",IF(Table36[[#This Row],[%Ash]]&lt;INDEX(Ashmin,MATCH(Table36[[#This Row],[Grist]],SMI,0)),0,IF(Table36[[#This Row],[%Ash]]&gt;INDEX(Ashmax,MATCH(Table36[[#This Row],[Grist]],SMI,0)),0,1))))</f>
        <v>1</v>
      </c>
      <c r="X155" s="127">
        <f>IF(INDEX(Absmin,MATCH(Table36[[#This Row],[Grist]],SMI,0))="-","-",IF(Table36[[#This Row],[%Absorption]]="-","-",IF(Table36[[#This Row],[%Absorption]]&lt;INDEX(Absmin,MATCH(Table36[[#This Row],[Grist]],SMI,0)),0,IF(Table36[[#This Row],[%Absorption]]&gt;INDEX(Absmax,MATCH(Table36[[#This Row],[Grist]],SMI,0)),0,1))))</f>
        <v>1</v>
      </c>
      <c r="Y155" s="127" t="str">
        <f>IF(INDEX(Extmin,MATCH(Table36[[#This Row],[Grist]],SMI,0))="-","-",IF(Table36[[#This Row],[%Extensibility]]="-","-",IF(Table36[[#This Row],[%Extensibility]]&lt;INDEX(Extmin,MATCH(Table36[[#This Row],[Grist]],SMI,0)),0,IF(Table36[[#This Row],[%Extensibility]]&gt;INDEX(Extmax,MATCH(Table36[[#This Row],[Grist]],SMI,0)),0,1))))</f>
        <v>-</v>
      </c>
      <c r="Z155" s="127" t="str">
        <f>IF(INDEX(Resmin,MATCH(Table36[[#This Row],[Grist]],SMI,0))="-","-",IF(Table36[[#This Row],[Resistance, max]]="-","-",IF(Table36[[#This Row],[Resistance, max]]&lt;INDEX(Resmin,MATCH(Table36[[#This Row],[Grist]],SMI,0)),0,IF(Table36[[#This Row],[Resistance, max]]&gt;INDEX(Resmax,MATCH(Table36[[#This Row],[Grist]],SMI,0)),0,1))))</f>
        <v>-</v>
      </c>
      <c r="AA155" s="127" t="str">
        <f>IF(INDEX(WGmin,MATCH(Table36[[#This Row],[Grist]],SMI,0))="-","-",IF(Table36[[#This Row],[%Wet Gluten]]="-","-",IF(Table36[[#This Row],[%Wet Gluten]]&lt;INDEX(WGmin,MATCH(Table36[[#This Row],[Grist]],SMI,0)),0,IF(Table36[[#This Row],[%Wet Gluten]]&gt;INDEX(WGmax,MATCH(Table36[[#This Row],[Grist]],SMI,0)),0,1))))</f>
        <v>-</v>
      </c>
      <c r="AB155" s="127">
        <f>SUM(Table36[[#This Row],[ QI Bran Content]:[QI WG]])</f>
        <v>6</v>
      </c>
      <c r="AC155" s="127">
        <f>COUNT(Table36[[#This Row],[ QI Bran Content]:[QI WG]])</f>
        <v>7</v>
      </c>
    </row>
    <row r="156" spans="1:29" x14ac:dyDescent="0.35">
      <c r="A156" s="177">
        <v>45292</v>
      </c>
      <c r="B156" s="178">
        <v>45315</v>
      </c>
      <c r="C156" s="178" t="s">
        <v>125</v>
      </c>
      <c r="D156" s="179" t="s">
        <v>238</v>
      </c>
      <c r="E156" s="180" t="s">
        <v>0</v>
      </c>
      <c r="F156" s="181" t="s">
        <v>32</v>
      </c>
      <c r="G156" s="182">
        <v>1.14E-2</v>
      </c>
      <c r="H156" s="175" t="s">
        <v>165</v>
      </c>
      <c r="I156" s="175" t="s">
        <v>165</v>
      </c>
      <c r="J156" s="175" t="s">
        <v>165</v>
      </c>
      <c r="K156" s="175">
        <v>12.4</v>
      </c>
      <c r="L156" s="175">
        <v>13.48</v>
      </c>
      <c r="M156" s="175">
        <v>0.56000000000000005</v>
      </c>
      <c r="N156" s="175">
        <v>64.8</v>
      </c>
      <c r="O156" s="175" t="s">
        <v>163</v>
      </c>
      <c r="P156" s="175" t="s">
        <v>163</v>
      </c>
      <c r="Q156" s="175" t="s">
        <v>163</v>
      </c>
      <c r="R156" s="127">
        <f>IF(Table36[[#This Row],[ Bran Content]]="-","-",IF(G156&lt;0.02,1,0))</f>
        <v>1</v>
      </c>
      <c r="S156" s="127">
        <f>IF(Table36[[#This Row],[Sieve Test]]="-","-",IF(Table36[[#This Row],[Sieve Test]]="P",1,0))</f>
        <v>1</v>
      </c>
      <c r="T156" s="127">
        <f>IF(Table36[[#This Row],[Odor]]="-","-",IF(Table36[[#This Row],[Odor]]="P",1,0))</f>
        <v>1</v>
      </c>
      <c r="U156" s="127">
        <f>IF(INDEX(MCmin,MATCH(Table36[[#This Row],[Grist]],SMI,0))="-","-",IF(Table36[[#This Row],[F1 %MC]]="-","-",IF(Table36[[#This Row],[F1 %MC]]&lt;INDEX(MCmin,MATCH(Table36[[#This Row],[Grist]],SMI,0)),0,IF(Table36[[#This Row],[F1 %MC]]&gt;INDEX(MCmax,MATCH(Table36[[#This Row],[Grist]],SMI,0)),0,1))))</f>
        <v>1</v>
      </c>
      <c r="V156" s="127">
        <f>IF(INDEX(Protmin,MATCH(Table36[[#This Row],[Grist]],SMI,0))="-","-",IF(Table36[[#This Row],[%Protein]]="-","-",IF(Table36[[#This Row],[%Protein]]&lt;INDEX(Protmin,MATCH(Table36[[#This Row],[Grist]],SMI,0)),0,IF(Table36[[#This Row],[%Protein]]&gt;INDEX(Protmax,MATCH(Table36[[#This Row],[Grist]],SMI,0)),0,1))))</f>
        <v>1</v>
      </c>
      <c r="W156" s="127">
        <f>IF(INDEX(Ashmin,MATCH(Table36[[#This Row],[Grist]],SMI,0))="-","-",IF(Table36[[#This Row],[%Ash]]="-","-",IF(Table36[[#This Row],[%Ash]]&lt;INDEX(Ashmin,MATCH(Table36[[#This Row],[Grist]],SMI,0)),0,IF(Table36[[#This Row],[%Ash]]&gt;INDEX(Ashmax,MATCH(Table36[[#This Row],[Grist]],SMI,0)),0,1))))</f>
        <v>1</v>
      </c>
      <c r="X156" s="127">
        <f>IF(INDEX(Absmin,MATCH(Table36[[#This Row],[Grist]],SMI,0))="-","-",IF(Table36[[#This Row],[%Absorption]]="-","-",IF(Table36[[#This Row],[%Absorption]]&lt;INDEX(Absmin,MATCH(Table36[[#This Row],[Grist]],SMI,0)),0,IF(Table36[[#This Row],[%Absorption]]&gt;INDEX(Absmax,MATCH(Table36[[#This Row],[Grist]],SMI,0)),0,1))))</f>
        <v>1</v>
      </c>
      <c r="Y156" s="127" t="str">
        <f>IF(INDEX(Extmin,MATCH(Table36[[#This Row],[Grist]],SMI,0))="-","-",IF(Table36[[#This Row],[%Extensibility]]="-","-",IF(Table36[[#This Row],[%Extensibility]]&lt;INDEX(Extmin,MATCH(Table36[[#This Row],[Grist]],SMI,0)),0,IF(Table36[[#This Row],[%Extensibility]]&gt;INDEX(Extmax,MATCH(Table36[[#This Row],[Grist]],SMI,0)),0,1))))</f>
        <v>-</v>
      </c>
      <c r="Z156" s="127" t="str">
        <f>IF(INDEX(Resmin,MATCH(Table36[[#This Row],[Grist]],SMI,0))="-","-",IF(Table36[[#This Row],[Resistance, max]]="-","-",IF(Table36[[#This Row],[Resistance, max]]&lt;INDEX(Resmin,MATCH(Table36[[#This Row],[Grist]],SMI,0)),0,IF(Table36[[#This Row],[Resistance, max]]&gt;INDEX(Resmax,MATCH(Table36[[#This Row],[Grist]],SMI,0)),0,1))))</f>
        <v>-</v>
      </c>
      <c r="AA156" s="127" t="str">
        <f>IF(INDEX(WGmin,MATCH(Table36[[#This Row],[Grist]],SMI,0))="-","-",IF(Table36[[#This Row],[%Wet Gluten]]="-","-",IF(Table36[[#This Row],[%Wet Gluten]]&lt;INDEX(WGmin,MATCH(Table36[[#This Row],[Grist]],SMI,0)),0,IF(Table36[[#This Row],[%Wet Gluten]]&gt;INDEX(WGmax,MATCH(Table36[[#This Row],[Grist]],SMI,0)),0,1))))</f>
        <v>-</v>
      </c>
      <c r="AB156" s="127">
        <f>SUM(Table36[[#This Row],[ QI Bran Content]:[QI WG]])</f>
        <v>7</v>
      </c>
      <c r="AC156" s="127">
        <f>COUNT(Table36[[#This Row],[ QI Bran Content]:[QI WG]])</f>
        <v>7</v>
      </c>
    </row>
    <row r="157" spans="1:29" x14ac:dyDescent="0.35">
      <c r="A157" s="177">
        <v>45292</v>
      </c>
      <c r="B157" s="178">
        <v>45315</v>
      </c>
      <c r="C157" s="178" t="s">
        <v>125</v>
      </c>
      <c r="D157" s="179" t="s">
        <v>239</v>
      </c>
      <c r="E157" s="180" t="s">
        <v>2</v>
      </c>
      <c r="F157" s="181" t="s">
        <v>242</v>
      </c>
      <c r="G157" s="182">
        <v>1.0999999999999999E-2</v>
      </c>
      <c r="H157" s="175" t="s">
        <v>165</v>
      </c>
      <c r="I157" s="175" t="s">
        <v>165</v>
      </c>
      <c r="J157" s="175" t="s">
        <v>165</v>
      </c>
      <c r="K157" s="175">
        <v>12.29</v>
      </c>
      <c r="L157" s="175">
        <v>12.53</v>
      </c>
      <c r="M157" s="175">
        <v>0.36</v>
      </c>
      <c r="N157" s="175">
        <v>63.29</v>
      </c>
      <c r="O157" s="175" t="s">
        <v>163</v>
      </c>
      <c r="P157" s="175" t="s">
        <v>163</v>
      </c>
      <c r="Q157" s="175" t="s">
        <v>163</v>
      </c>
      <c r="R157" s="127">
        <f>IF(Table36[[#This Row],[ Bran Content]]="-","-",IF(G157&lt;0.02,1,0))</f>
        <v>1</v>
      </c>
      <c r="S157" s="127">
        <f>IF(Table36[[#This Row],[Sieve Test]]="-","-",IF(Table36[[#This Row],[Sieve Test]]="P",1,0))</f>
        <v>1</v>
      </c>
      <c r="T157" s="127">
        <f>IF(Table36[[#This Row],[Odor]]="-","-",IF(Table36[[#This Row],[Odor]]="P",1,0))</f>
        <v>1</v>
      </c>
      <c r="U157" s="127">
        <f>IF(INDEX(MCmin,MATCH(Table36[[#This Row],[Grist]],SMI,0))="-","-",IF(Table36[[#This Row],[F1 %MC]]="-","-",IF(Table36[[#This Row],[F1 %MC]]&lt;INDEX(MCmin,MATCH(Table36[[#This Row],[Grist]],SMI,0)),0,IF(Table36[[#This Row],[F1 %MC]]&gt;INDEX(MCmax,MATCH(Table36[[#This Row],[Grist]],SMI,0)),0,1))))</f>
        <v>1</v>
      </c>
      <c r="V157" s="127">
        <f>IF(INDEX(Protmin,MATCH(Table36[[#This Row],[Grist]],SMI,0))="-","-",IF(Table36[[#This Row],[%Protein]]="-","-",IF(Table36[[#This Row],[%Protein]]&lt;INDEX(Protmin,MATCH(Table36[[#This Row],[Grist]],SMI,0)),0,IF(Table36[[#This Row],[%Protein]]&gt;INDEX(Protmax,MATCH(Table36[[#This Row],[Grist]],SMI,0)),0,1))))</f>
        <v>1</v>
      </c>
      <c r="W157" s="127">
        <f>IF(INDEX(Ashmin,MATCH(Table36[[#This Row],[Grist]],SMI,0))="-","-",IF(Table36[[#This Row],[%Ash]]="-","-",IF(Table36[[#This Row],[%Ash]]&lt;INDEX(Ashmin,MATCH(Table36[[#This Row],[Grist]],SMI,0)),0,IF(Table36[[#This Row],[%Ash]]&gt;INDEX(Ashmax,MATCH(Table36[[#This Row],[Grist]],SMI,0)),0,1))))</f>
        <v>1</v>
      </c>
      <c r="X157" s="127">
        <f>IF(INDEX(Absmin,MATCH(Table36[[#This Row],[Grist]],SMI,0))="-","-",IF(Table36[[#This Row],[%Absorption]]="-","-",IF(Table36[[#This Row],[%Absorption]]&lt;INDEX(Absmin,MATCH(Table36[[#This Row],[Grist]],SMI,0)),0,IF(Table36[[#This Row],[%Absorption]]&gt;INDEX(Absmax,MATCH(Table36[[#This Row],[Grist]],SMI,0)),0,1))))</f>
        <v>1</v>
      </c>
      <c r="Y157" s="127" t="str">
        <f>IF(INDEX(Extmin,MATCH(Table36[[#This Row],[Grist]],SMI,0))="-","-",IF(Table36[[#This Row],[%Extensibility]]="-","-",IF(Table36[[#This Row],[%Extensibility]]&lt;INDEX(Extmin,MATCH(Table36[[#This Row],[Grist]],SMI,0)),0,IF(Table36[[#This Row],[%Extensibility]]&gt;INDEX(Extmax,MATCH(Table36[[#This Row],[Grist]],SMI,0)),0,1))))</f>
        <v>-</v>
      </c>
      <c r="Z157" s="127" t="str">
        <f>IF(INDEX(Resmin,MATCH(Table36[[#This Row],[Grist]],SMI,0))="-","-",IF(Table36[[#This Row],[Resistance, max]]="-","-",IF(Table36[[#This Row],[Resistance, max]]&lt;INDEX(Resmin,MATCH(Table36[[#This Row],[Grist]],SMI,0)),0,IF(Table36[[#This Row],[Resistance, max]]&gt;INDEX(Resmax,MATCH(Table36[[#This Row],[Grist]],SMI,0)),0,1))))</f>
        <v>-</v>
      </c>
      <c r="AA157" s="127" t="str">
        <f>IF(INDEX(WGmin,MATCH(Table36[[#This Row],[Grist]],SMI,0))="-","-",IF(Table36[[#This Row],[%Wet Gluten]]="-","-",IF(Table36[[#This Row],[%Wet Gluten]]&lt;INDEX(WGmin,MATCH(Table36[[#This Row],[Grist]],SMI,0)),0,IF(Table36[[#This Row],[%Wet Gluten]]&gt;INDEX(WGmax,MATCH(Table36[[#This Row],[Grist]],SMI,0)),0,1))))</f>
        <v>-</v>
      </c>
      <c r="AB157" s="127">
        <f>SUM(Table36[[#This Row],[ QI Bran Content]:[QI WG]])</f>
        <v>7</v>
      </c>
      <c r="AC157" s="127">
        <f>COUNT(Table36[[#This Row],[ QI Bran Content]:[QI WG]])</f>
        <v>7</v>
      </c>
    </row>
    <row r="158" spans="1:29" x14ac:dyDescent="0.35">
      <c r="A158" s="177">
        <v>45292</v>
      </c>
      <c r="B158" s="178">
        <v>45315</v>
      </c>
      <c r="C158" s="178" t="s">
        <v>125</v>
      </c>
      <c r="D158" s="179" t="s">
        <v>240</v>
      </c>
      <c r="E158" s="180" t="s">
        <v>2</v>
      </c>
      <c r="F158" s="181" t="s">
        <v>242</v>
      </c>
      <c r="G158" s="182">
        <v>1.26E-2</v>
      </c>
      <c r="H158" s="175" t="s">
        <v>165</v>
      </c>
      <c r="I158" s="175" t="s">
        <v>165</v>
      </c>
      <c r="J158" s="175" t="s">
        <v>165</v>
      </c>
      <c r="K158" s="175">
        <v>12.03</v>
      </c>
      <c r="L158" s="175">
        <v>12.53</v>
      </c>
      <c r="M158" s="175">
        <v>0.36</v>
      </c>
      <c r="N158" s="175">
        <v>63.29</v>
      </c>
      <c r="O158" s="175" t="s">
        <v>163</v>
      </c>
      <c r="P158" s="175" t="s">
        <v>163</v>
      </c>
      <c r="Q158" s="175" t="s">
        <v>163</v>
      </c>
      <c r="R158" s="127">
        <f>IF(Table36[[#This Row],[ Bran Content]]="-","-",IF(G158&lt;0.02,1,0))</f>
        <v>1</v>
      </c>
      <c r="S158" s="127">
        <f>IF(Table36[[#This Row],[Sieve Test]]="-","-",IF(Table36[[#This Row],[Sieve Test]]="P",1,0))</f>
        <v>1</v>
      </c>
      <c r="T158" s="127">
        <f>IF(Table36[[#This Row],[Odor]]="-","-",IF(Table36[[#This Row],[Odor]]="P",1,0))</f>
        <v>1</v>
      </c>
      <c r="U158" s="127">
        <f>IF(INDEX(MCmin,MATCH(Table36[[#This Row],[Grist]],SMI,0))="-","-",IF(Table36[[#This Row],[F1 %MC]]="-","-",IF(Table36[[#This Row],[F1 %MC]]&lt;INDEX(MCmin,MATCH(Table36[[#This Row],[Grist]],SMI,0)),0,IF(Table36[[#This Row],[F1 %MC]]&gt;INDEX(MCmax,MATCH(Table36[[#This Row],[Grist]],SMI,0)),0,1))))</f>
        <v>1</v>
      </c>
      <c r="V158" s="127">
        <f>IF(INDEX(Protmin,MATCH(Table36[[#This Row],[Grist]],SMI,0))="-","-",IF(Table36[[#This Row],[%Protein]]="-","-",IF(Table36[[#This Row],[%Protein]]&lt;INDEX(Protmin,MATCH(Table36[[#This Row],[Grist]],SMI,0)),0,IF(Table36[[#This Row],[%Protein]]&gt;INDEX(Protmax,MATCH(Table36[[#This Row],[Grist]],SMI,0)),0,1))))</f>
        <v>1</v>
      </c>
      <c r="W158" s="127">
        <f>IF(INDEX(Ashmin,MATCH(Table36[[#This Row],[Grist]],SMI,0))="-","-",IF(Table36[[#This Row],[%Ash]]="-","-",IF(Table36[[#This Row],[%Ash]]&lt;INDEX(Ashmin,MATCH(Table36[[#This Row],[Grist]],SMI,0)),0,IF(Table36[[#This Row],[%Ash]]&gt;INDEX(Ashmax,MATCH(Table36[[#This Row],[Grist]],SMI,0)),0,1))))</f>
        <v>1</v>
      </c>
      <c r="X158" s="127">
        <f>IF(INDEX(Absmin,MATCH(Table36[[#This Row],[Grist]],SMI,0))="-","-",IF(Table36[[#This Row],[%Absorption]]="-","-",IF(Table36[[#This Row],[%Absorption]]&lt;INDEX(Absmin,MATCH(Table36[[#This Row],[Grist]],SMI,0)),0,IF(Table36[[#This Row],[%Absorption]]&gt;INDEX(Absmax,MATCH(Table36[[#This Row],[Grist]],SMI,0)),0,1))))</f>
        <v>1</v>
      </c>
      <c r="Y158" s="127" t="str">
        <f>IF(INDEX(Extmin,MATCH(Table36[[#This Row],[Grist]],SMI,0))="-","-",IF(Table36[[#This Row],[%Extensibility]]="-","-",IF(Table36[[#This Row],[%Extensibility]]&lt;INDEX(Extmin,MATCH(Table36[[#This Row],[Grist]],SMI,0)),0,IF(Table36[[#This Row],[%Extensibility]]&gt;INDEX(Extmax,MATCH(Table36[[#This Row],[Grist]],SMI,0)),0,1))))</f>
        <v>-</v>
      </c>
      <c r="Z158" s="127" t="str">
        <f>IF(INDEX(Resmin,MATCH(Table36[[#This Row],[Grist]],SMI,0))="-","-",IF(Table36[[#This Row],[Resistance, max]]="-","-",IF(Table36[[#This Row],[Resistance, max]]&lt;INDEX(Resmin,MATCH(Table36[[#This Row],[Grist]],SMI,0)),0,IF(Table36[[#This Row],[Resistance, max]]&gt;INDEX(Resmax,MATCH(Table36[[#This Row],[Grist]],SMI,0)),0,1))))</f>
        <v>-</v>
      </c>
      <c r="AA158" s="127" t="str">
        <f>IF(INDEX(WGmin,MATCH(Table36[[#This Row],[Grist]],SMI,0))="-","-",IF(Table36[[#This Row],[%Wet Gluten]]="-","-",IF(Table36[[#This Row],[%Wet Gluten]]&lt;INDEX(WGmin,MATCH(Table36[[#This Row],[Grist]],SMI,0)),0,IF(Table36[[#This Row],[%Wet Gluten]]&gt;INDEX(WGmax,MATCH(Table36[[#This Row],[Grist]],SMI,0)),0,1))))</f>
        <v>-</v>
      </c>
      <c r="AB158" s="127">
        <f>SUM(Table36[[#This Row],[ QI Bran Content]:[QI WG]])</f>
        <v>7</v>
      </c>
      <c r="AC158" s="127">
        <f>COUNT(Table36[[#This Row],[ QI Bran Content]:[QI WG]])</f>
        <v>7</v>
      </c>
    </row>
    <row r="159" spans="1:29" x14ac:dyDescent="0.35">
      <c r="A159" s="177">
        <v>45292</v>
      </c>
      <c r="B159" s="178">
        <v>45315</v>
      </c>
      <c r="C159" s="178" t="s">
        <v>125</v>
      </c>
      <c r="D159" s="179" t="s">
        <v>237</v>
      </c>
      <c r="E159" s="180" t="s">
        <v>2</v>
      </c>
      <c r="F159" s="181" t="s">
        <v>242</v>
      </c>
      <c r="G159" s="182">
        <v>0.01</v>
      </c>
      <c r="H159" s="175" t="s">
        <v>165</v>
      </c>
      <c r="I159" s="175" t="s">
        <v>165</v>
      </c>
      <c r="J159" s="175" t="s">
        <v>165</v>
      </c>
      <c r="K159" s="175">
        <v>11.31</v>
      </c>
      <c r="L159" s="175">
        <v>12.53</v>
      </c>
      <c r="M159" s="175">
        <v>0.36</v>
      </c>
      <c r="N159" s="175">
        <v>63.29</v>
      </c>
      <c r="O159" s="175" t="s">
        <v>163</v>
      </c>
      <c r="P159" s="175" t="s">
        <v>163</v>
      </c>
      <c r="Q159" s="175" t="s">
        <v>163</v>
      </c>
      <c r="R159" s="127">
        <f>IF(Table36[[#This Row],[ Bran Content]]="-","-",IF(G159&lt;0.02,1,0))</f>
        <v>1</v>
      </c>
      <c r="S159" s="127">
        <f>IF(Table36[[#This Row],[Sieve Test]]="-","-",IF(Table36[[#This Row],[Sieve Test]]="P",1,0))</f>
        <v>1</v>
      </c>
      <c r="T159" s="127">
        <f>IF(Table36[[#This Row],[Odor]]="-","-",IF(Table36[[#This Row],[Odor]]="P",1,0))</f>
        <v>1</v>
      </c>
      <c r="U159" s="127">
        <f>IF(INDEX(MCmin,MATCH(Table36[[#This Row],[Grist]],SMI,0))="-","-",IF(Table36[[#This Row],[F1 %MC]]="-","-",IF(Table36[[#This Row],[F1 %MC]]&lt;INDEX(MCmin,MATCH(Table36[[#This Row],[Grist]],SMI,0)),0,IF(Table36[[#This Row],[F1 %MC]]&gt;INDEX(MCmax,MATCH(Table36[[#This Row],[Grist]],SMI,0)),0,1))))</f>
        <v>0</v>
      </c>
      <c r="V159" s="127">
        <f>IF(INDEX(Protmin,MATCH(Table36[[#This Row],[Grist]],SMI,0))="-","-",IF(Table36[[#This Row],[%Protein]]="-","-",IF(Table36[[#This Row],[%Protein]]&lt;INDEX(Protmin,MATCH(Table36[[#This Row],[Grist]],SMI,0)),0,IF(Table36[[#This Row],[%Protein]]&gt;INDEX(Protmax,MATCH(Table36[[#This Row],[Grist]],SMI,0)),0,1))))</f>
        <v>1</v>
      </c>
      <c r="W159" s="127">
        <f>IF(INDEX(Ashmin,MATCH(Table36[[#This Row],[Grist]],SMI,0))="-","-",IF(Table36[[#This Row],[%Ash]]="-","-",IF(Table36[[#This Row],[%Ash]]&lt;INDEX(Ashmin,MATCH(Table36[[#This Row],[Grist]],SMI,0)),0,IF(Table36[[#This Row],[%Ash]]&gt;INDEX(Ashmax,MATCH(Table36[[#This Row],[Grist]],SMI,0)),0,1))))</f>
        <v>1</v>
      </c>
      <c r="X159" s="127">
        <f>IF(INDEX(Absmin,MATCH(Table36[[#This Row],[Grist]],SMI,0))="-","-",IF(Table36[[#This Row],[%Absorption]]="-","-",IF(Table36[[#This Row],[%Absorption]]&lt;INDEX(Absmin,MATCH(Table36[[#This Row],[Grist]],SMI,0)),0,IF(Table36[[#This Row],[%Absorption]]&gt;INDEX(Absmax,MATCH(Table36[[#This Row],[Grist]],SMI,0)),0,1))))</f>
        <v>1</v>
      </c>
      <c r="Y159" s="127" t="str">
        <f>IF(INDEX(Extmin,MATCH(Table36[[#This Row],[Grist]],SMI,0))="-","-",IF(Table36[[#This Row],[%Extensibility]]="-","-",IF(Table36[[#This Row],[%Extensibility]]&lt;INDEX(Extmin,MATCH(Table36[[#This Row],[Grist]],SMI,0)),0,IF(Table36[[#This Row],[%Extensibility]]&gt;INDEX(Extmax,MATCH(Table36[[#This Row],[Grist]],SMI,0)),0,1))))</f>
        <v>-</v>
      </c>
      <c r="Z159" s="127" t="str">
        <f>IF(INDEX(Resmin,MATCH(Table36[[#This Row],[Grist]],SMI,0))="-","-",IF(Table36[[#This Row],[Resistance, max]]="-","-",IF(Table36[[#This Row],[Resistance, max]]&lt;INDEX(Resmin,MATCH(Table36[[#This Row],[Grist]],SMI,0)),0,IF(Table36[[#This Row],[Resistance, max]]&gt;INDEX(Resmax,MATCH(Table36[[#This Row],[Grist]],SMI,0)),0,1))))</f>
        <v>-</v>
      </c>
      <c r="AA159" s="127" t="str">
        <f>IF(INDEX(WGmin,MATCH(Table36[[#This Row],[Grist]],SMI,0))="-","-",IF(Table36[[#This Row],[%Wet Gluten]]="-","-",IF(Table36[[#This Row],[%Wet Gluten]]&lt;INDEX(WGmin,MATCH(Table36[[#This Row],[Grist]],SMI,0)),0,IF(Table36[[#This Row],[%Wet Gluten]]&gt;INDEX(WGmax,MATCH(Table36[[#This Row],[Grist]],SMI,0)),0,1))))</f>
        <v>-</v>
      </c>
      <c r="AB159" s="127">
        <f>SUM(Table36[[#This Row],[ QI Bran Content]:[QI WG]])</f>
        <v>6</v>
      </c>
      <c r="AC159" s="127">
        <f>COUNT(Table36[[#This Row],[ QI Bran Content]:[QI WG]])</f>
        <v>7</v>
      </c>
    </row>
    <row r="160" spans="1:29" x14ac:dyDescent="0.35">
      <c r="A160" s="177">
        <v>45292</v>
      </c>
      <c r="B160" s="178">
        <v>45315</v>
      </c>
      <c r="C160" s="178" t="s">
        <v>125</v>
      </c>
      <c r="D160" s="179" t="s">
        <v>238</v>
      </c>
      <c r="E160" s="180" t="s">
        <v>2</v>
      </c>
      <c r="F160" s="181" t="s">
        <v>242</v>
      </c>
      <c r="G160" s="182">
        <v>1.41E-2</v>
      </c>
      <c r="H160" s="175" t="s">
        <v>165</v>
      </c>
      <c r="I160" s="175" t="s">
        <v>165</v>
      </c>
      <c r="J160" s="175" t="s">
        <v>165</v>
      </c>
      <c r="K160" s="175">
        <v>12.04</v>
      </c>
      <c r="L160" s="175">
        <v>12.53</v>
      </c>
      <c r="M160" s="175">
        <v>0.36</v>
      </c>
      <c r="N160" s="175">
        <v>63.29</v>
      </c>
      <c r="O160" s="175" t="s">
        <v>163</v>
      </c>
      <c r="P160" s="175" t="s">
        <v>163</v>
      </c>
      <c r="Q160" s="175" t="s">
        <v>163</v>
      </c>
      <c r="R160" s="127">
        <f>IF(Table36[[#This Row],[ Bran Content]]="-","-",IF(G160&lt;0.02,1,0))</f>
        <v>1</v>
      </c>
      <c r="S160" s="127">
        <f>IF(Table36[[#This Row],[Sieve Test]]="-","-",IF(Table36[[#This Row],[Sieve Test]]="P",1,0))</f>
        <v>1</v>
      </c>
      <c r="T160" s="127">
        <f>IF(Table36[[#This Row],[Odor]]="-","-",IF(Table36[[#This Row],[Odor]]="P",1,0))</f>
        <v>1</v>
      </c>
      <c r="U160" s="127">
        <f>IF(INDEX(MCmin,MATCH(Table36[[#This Row],[Grist]],SMI,0))="-","-",IF(Table36[[#This Row],[F1 %MC]]="-","-",IF(Table36[[#This Row],[F1 %MC]]&lt;INDEX(MCmin,MATCH(Table36[[#This Row],[Grist]],SMI,0)),0,IF(Table36[[#This Row],[F1 %MC]]&gt;INDEX(MCmax,MATCH(Table36[[#This Row],[Grist]],SMI,0)),0,1))))</f>
        <v>1</v>
      </c>
      <c r="V160" s="127">
        <f>IF(INDEX(Protmin,MATCH(Table36[[#This Row],[Grist]],SMI,0))="-","-",IF(Table36[[#This Row],[%Protein]]="-","-",IF(Table36[[#This Row],[%Protein]]&lt;INDEX(Protmin,MATCH(Table36[[#This Row],[Grist]],SMI,0)),0,IF(Table36[[#This Row],[%Protein]]&gt;INDEX(Protmax,MATCH(Table36[[#This Row],[Grist]],SMI,0)),0,1))))</f>
        <v>1</v>
      </c>
      <c r="W160" s="127">
        <f>IF(INDEX(Ashmin,MATCH(Table36[[#This Row],[Grist]],SMI,0))="-","-",IF(Table36[[#This Row],[%Ash]]="-","-",IF(Table36[[#This Row],[%Ash]]&lt;INDEX(Ashmin,MATCH(Table36[[#This Row],[Grist]],SMI,0)),0,IF(Table36[[#This Row],[%Ash]]&gt;INDEX(Ashmax,MATCH(Table36[[#This Row],[Grist]],SMI,0)),0,1))))</f>
        <v>1</v>
      </c>
      <c r="X160" s="127">
        <f>IF(INDEX(Absmin,MATCH(Table36[[#This Row],[Grist]],SMI,0))="-","-",IF(Table36[[#This Row],[%Absorption]]="-","-",IF(Table36[[#This Row],[%Absorption]]&lt;INDEX(Absmin,MATCH(Table36[[#This Row],[Grist]],SMI,0)),0,IF(Table36[[#This Row],[%Absorption]]&gt;INDEX(Absmax,MATCH(Table36[[#This Row],[Grist]],SMI,0)),0,1))))</f>
        <v>1</v>
      </c>
      <c r="Y160" s="127" t="str">
        <f>IF(INDEX(Extmin,MATCH(Table36[[#This Row],[Grist]],SMI,0))="-","-",IF(Table36[[#This Row],[%Extensibility]]="-","-",IF(Table36[[#This Row],[%Extensibility]]&lt;INDEX(Extmin,MATCH(Table36[[#This Row],[Grist]],SMI,0)),0,IF(Table36[[#This Row],[%Extensibility]]&gt;INDEX(Extmax,MATCH(Table36[[#This Row],[Grist]],SMI,0)),0,1))))</f>
        <v>-</v>
      </c>
      <c r="Z160" s="127" t="str">
        <f>IF(INDEX(Resmin,MATCH(Table36[[#This Row],[Grist]],SMI,0))="-","-",IF(Table36[[#This Row],[Resistance, max]]="-","-",IF(Table36[[#This Row],[Resistance, max]]&lt;INDEX(Resmin,MATCH(Table36[[#This Row],[Grist]],SMI,0)),0,IF(Table36[[#This Row],[Resistance, max]]&gt;INDEX(Resmax,MATCH(Table36[[#This Row],[Grist]],SMI,0)),0,1))))</f>
        <v>-</v>
      </c>
      <c r="AA160" s="127" t="str">
        <f>IF(INDEX(WGmin,MATCH(Table36[[#This Row],[Grist]],SMI,0))="-","-",IF(Table36[[#This Row],[%Wet Gluten]]="-","-",IF(Table36[[#This Row],[%Wet Gluten]]&lt;INDEX(WGmin,MATCH(Table36[[#This Row],[Grist]],SMI,0)),0,IF(Table36[[#This Row],[%Wet Gluten]]&gt;INDEX(WGmax,MATCH(Table36[[#This Row],[Grist]],SMI,0)),0,1))))</f>
        <v>-</v>
      </c>
      <c r="AB160" s="127">
        <f>SUM(Table36[[#This Row],[ QI Bran Content]:[QI WG]])</f>
        <v>7</v>
      </c>
      <c r="AC160" s="127">
        <f>COUNT(Table36[[#This Row],[ QI Bran Content]:[QI WG]])</f>
        <v>7</v>
      </c>
    </row>
    <row r="161" spans="1:29" x14ac:dyDescent="0.35">
      <c r="A161" s="177">
        <v>45292</v>
      </c>
      <c r="B161" s="178">
        <v>45315</v>
      </c>
      <c r="C161" s="178" t="s">
        <v>128</v>
      </c>
      <c r="D161" s="179">
        <v>0.625</v>
      </c>
      <c r="E161" s="180" t="s">
        <v>0</v>
      </c>
      <c r="F161" s="181" t="s">
        <v>27</v>
      </c>
      <c r="G161" s="182">
        <v>1.3100000000000001E-2</v>
      </c>
      <c r="H161" s="175" t="s">
        <v>165</v>
      </c>
      <c r="I161" s="175" t="s">
        <v>165</v>
      </c>
      <c r="J161" s="175" t="s">
        <v>165</v>
      </c>
      <c r="K161" s="175">
        <v>11.73</v>
      </c>
      <c r="L161" s="175" t="s">
        <v>163</v>
      </c>
      <c r="M161" s="175" t="s">
        <v>163</v>
      </c>
      <c r="N161" s="175" t="s">
        <v>163</v>
      </c>
      <c r="O161" s="175" t="s">
        <v>163</v>
      </c>
      <c r="P161" s="175" t="s">
        <v>163</v>
      </c>
      <c r="Q161" s="175" t="s">
        <v>163</v>
      </c>
      <c r="R161" s="127">
        <f>IF(Table36[[#This Row],[ Bran Content]]="-","-",IF(G161&lt;0.02,1,0))</f>
        <v>1</v>
      </c>
      <c r="S161" s="127">
        <f>IF(Table36[[#This Row],[Sieve Test]]="-","-",IF(Table36[[#This Row],[Sieve Test]]="P",1,0))</f>
        <v>1</v>
      </c>
      <c r="T161" s="127">
        <f>IF(Table36[[#This Row],[Odor]]="-","-",IF(Table36[[#This Row],[Odor]]="P",1,0))</f>
        <v>1</v>
      </c>
      <c r="U161" s="127">
        <f>IF(INDEX(MCmin,MATCH(Table36[[#This Row],[Grist]],SMI,0))="-","-",IF(Table36[[#This Row],[F1 %MC]]="-","-",IF(Table36[[#This Row],[F1 %MC]]&lt;INDEX(MCmin,MATCH(Table36[[#This Row],[Grist]],SMI,0)),0,IF(Table36[[#This Row],[F1 %MC]]&gt;INDEX(MCmax,MATCH(Table36[[#This Row],[Grist]],SMI,0)),0,1))))</f>
        <v>0</v>
      </c>
      <c r="V161" s="127" t="str">
        <f>IF(INDEX(Protmin,MATCH(Table36[[#This Row],[Grist]],SMI,0))="-","-",IF(Table36[[#This Row],[%Protein]]="-","-",IF(Table36[[#This Row],[%Protein]]&lt;INDEX(Protmin,MATCH(Table36[[#This Row],[Grist]],SMI,0)),0,IF(Table36[[#This Row],[%Protein]]&gt;INDEX(Protmax,MATCH(Table36[[#This Row],[Grist]],SMI,0)),0,1))))</f>
        <v>-</v>
      </c>
      <c r="W161" s="127" t="str">
        <f>IF(INDEX(Ashmin,MATCH(Table36[[#This Row],[Grist]],SMI,0))="-","-",IF(Table36[[#This Row],[%Ash]]="-","-",IF(Table36[[#This Row],[%Ash]]&lt;INDEX(Ashmin,MATCH(Table36[[#This Row],[Grist]],SMI,0)),0,IF(Table36[[#This Row],[%Ash]]&gt;INDEX(Ashmax,MATCH(Table36[[#This Row],[Grist]],SMI,0)),0,1))))</f>
        <v>-</v>
      </c>
      <c r="X161" s="127" t="str">
        <f>IF(INDEX(Absmin,MATCH(Table36[[#This Row],[Grist]],SMI,0))="-","-",IF(Table36[[#This Row],[%Absorption]]="-","-",IF(Table36[[#This Row],[%Absorption]]&lt;INDEX(Absmin,MATCH(Table36[[#This Row],[Grist]],SMI,0)),0,IF(Table36[[#This Row],[%Absorption]]&gt;INDEX(Absmax,MATCH(Table36[[#This Row],[Grist]],SMI,0)),0,1))))</f>
        <v>-</v>
      </c>
      <c r="Y161" s="127" t="str">
        <f>IF(INDEX(Extmin,MATCH(Table36[[#This Row],[Grist]],SMI,0))="-","-",IF(Table36[[#This Row],[%Extensibility]]="-","-",IF(Table36[[#This Row],[%Extensibility]]&lt;INDEX(Extmin,MATCH(Table36[[#This Row],[Grist]],SMI,0)),0,IF(Table36[[#This Row],[%Extensibility]]&gt;INDEX(Extmax,MATCH(Table36[[#This Row],[Grist]],SMI,0)),0,1))))</f>
        <v>-</v>
      </c>
      <c r="Z161" s="127" t="str">
        <f>IF(INDEX(Resmin,MATCH(Table36[[#This Row],[Grist]],SMI,0))="-","-",IF(Table36[[#This Row],[Resistance, max]]="-","-",IF(Table36[[#This Row],[Resistance, max]]&lt;INDEX(Resmin,MATCH(Table36[[#This Row],[Grist]],SMI,0)),0,IF(Table36[[#This Row],[Resistance, max]]&gt;INDEX(Resmax,MATCH(Table36[[#This Row],[Grist]],SMI,0)),0,1))))</f>
        <v>-</v>
      </c>
      <c r="AA161" s="127" t="str">
        <f>IF(INDEX(WGmin,MATCH(Table36[[#This Row],[Grist]],SMI,0))="-","-",IF(Table36[[#This Row],[%Wet Gluten]]="-","-",IF(Table36[[#This Row],[%Wet Gluten]]&lt;INDEX(WGmin,MATCH(Table36[[#This Row],[Grist]],SMI,0)),0,IF(Table36[[#This Row],[%Wet Gluten]]&gt;INDEX(WGmax,MATCH(Table36[[#This Row],[Grist]],SMI,0)),0,1))))</f>
        <v>-</v>
      </c>
      <c r="AB161" s="127">
        <f>SUM(Table36[[#This Row],[ QI Bran Content]:[QI WG]])</f>
        <v>3</v>
      </c>
      <c r="AC161" s="127">
        <f>COUNT(Table36[[#This Row],[ QI Bran Content]:[QI WG]])</f>
        <v>4</v>
      </c>
    </row>
    <row r="162" spans="1:29" x14ac:dyDescent="0.35">
      <c r="A162" s="177">
        <v>45292</v>
      </c>
      <c r="B162" s="178">
        <v>45315</v>
      </c>
      <c r="C162" s="178" t="s">
        <v>128</v>
      </c>
      <c r="D162" s="179">
        <v>0.625</v>
      </c>
      <c r="E162" s="180" t="s">
        <v>2</v>
      </c>
      <c r="F162" s="181" t="s">
        <v>242</v>
      </c>
      <c r="G162" s="182">
        <v>3.5999999999999999E-3</v>
      </c>
      <c r="H162" s="175" t="s">
        <v>165</v>
      </c>
      <c r="I162" s="175" t="s">
        <v>165</v>
      </c>
      <c r="J162" s="175" t="s">
        <v>165</v>
      </c>
      <c r="K162" s="175">
        <v>11.87</v>
      </c>
      <c r="L162" s="175" t="s">
        <v>163</v>
      </c>
      <c r="M162" s="175" t="s">
        <v>163</v>
      </c>
      <c r="N162" s="175" t="s">
        <v>163</v>
      </c>
      <c r="O162" s="175" t="s">
        <v>163</v>
      </c>
      <c r="P162" s="175" t="s">
        <v>163</v>
      </c>
      <c r="Q162" s="175" t="s">
        <v>163</v>
      </c>
      <c r="R162" s="127">
        <f>IF(Table36[[#This Row],[ Bran Content]]="-","-",IF(G162&lt;0.02,1,0))</f>
        <v>1</v>
      </c>
      <c r="S162" s="127">
        <f>IF(Table36[[#This Row],[Sieve Test]]="-","-",IF(Table36[[#This Row],[Sieve Test]]="P",1,0))</f>
        <v>1</v>
      </c>
      <c r="T162" s="127">
        <f>IF(Table36[[#This Row],[Odor]]="-","-",IF(Table36[[#This Row],[Odor]]="P",1,0))</f>
        <v>1</v>
      </c>
      <c r="U162" s="127">
        <f>IF(INDEX(MCmin,MATCH(Table36[[#This Row],[Grist]],SMI,0))="-","-",IF(Table36[[#This Row],[F1 %MC]]="-","-",IF(Table36[[#This Row],[F1 %MC]]&lt;INDEX(MCmin,MATCH(Table36[[#This Row],[Grist]],SMI,0)),0,IF(Table36[[#This Row],[F1 %MC]]&gt;INDEX(MCmax,MATCH(Table36[[#This Row],[Grist]],SMI,0)),0,1))))</f>
        <v>0</v>
      </c>
      <c r="V162" s="127" t="str">
        <f>IF(INDEX(Protmin,MATCH(Table36[[#This Row],[Grist]],SMI,0))="-","-",IF(Table36[[#This Row],[%Protein]]="-","-",IF(Table36[[#This Row],[%Protein]]&lt;INDEX(Protmin,MATCH(Table36[[#This Row],[Grist]],SMI,0)),0,IF(Table36[[#This Row],[%Protein]]&gt;INDEX(Protmax,MATCH(Table36[[#This Row],[Grist]],SMI,0)),0,1))))</f>
        <v>-</v>
      </c>
      <c r="W162" s="127" t="str">
        <f>IF(INDEX(Ashmin,MATCH(Table36[[#This Row],[Grist]],SMI,0))="-","-",IF(Table36[[#This Row],[%Ash]]="-","-",IF(Table36[[#This Row],[%Ash]]&lt;INDEX(Ashmin,MATCH(Table36[[#This Row],[Grist]],SMI,0)),0,IF(Table36[[#This Row],[%Ash]]&gt;INDEX(Ashmax,MATCH(Table36[[#This Row],[Grist]],SMI,0)),0,1))))</f>
        <v>-</v>
      </c>
      <c r="X162" s="127" t="str">
        <f>IF(INDEX(Absmin,MATCH(Table36[[#This Row],[Grist]],SMI,0))="-","-",IF(Table36[[#This Row],[%Absorption]]="-","-",IF(Table36[[#This Row],[%Absorption]]&lt;INDEX(Absmin,MATCH(Table36[[#This Row],[Grist]],SMI,0)),0,IF(Table36[[#This Row],[%Absorption]]&gt;INDEX(Absmax,MATCH(Table36[[#This Row],[Grist]],SMI,0)),0,1))))</f>
        <v>-</v>
      </c>
      <c r="Y162" s="127" t="str">
        <f>IF(INDEX(Extmin,MATCH(Table36[[#This Row],[Grist]],SMI,0))="-","-",IF(Table36[[#This Row],[%Extensibility]]="-","-",IF(Table36[[#This Row],[%Extensibility]]&lt;INDEX(Extmin,MATCH(Table36[[#This Row],[Grist]],SMI,0)),0,IF(Table36[[#This Row],[%Extensibility]]&gt;INDEX(Extmax,MATCH(Table36[[#This Row],[Grist]],SMI,0)),0,1))))</f>
        <v>-</v>
      </c>
      <c r="Z162" s="127" t="str">
        <f>IF(INDEX(Resmin,MATCH(Table36[[#This Row],[Grist]],SMI,0))="-","-",IF(Table36[[#This Row],[Resistance, max]]="-","-",IF(Table36[[#This Row],[Resistance, max]]&lt;INDEX(Resmin,MATCH(Table36[[#This Row],[Grist]],SMI,0)),0,IF(Table36[[#This Row],[Resistance, max]]&gt;INDEX(Resmax,MATCH(Table36[[#This Row],[Grist]],SMI,0)),0,1))))</f>
        <v>-</v>
      </c>
      <c r="AA162" s="127" t="str">
        <f>IF(INDEX(WGmin,MATCH(Table36[[#This Row],[Grist]],SMI,0))="-","-",IF(Table36[[#This Row],[%Wet Gluten]]="-","-",IF(Table36[[#This Row],[%Wet Gluten]]&lt;INDEX(WGmin,MATCH(Table36[[#This Row],[Grist]],SMI,0)),0,IF(Table36[[#This Row],[%Wet Gluten]]&gt;INDEX(WGmax,MATCH(Table36[[#This Row],[Grist]],SMI,0)),0,1))))</f>
        <v>-</v>
      </c>
      <c r="AB162" s="127">
        <f>SUM(Table36[[#This Row],[ QI Bran Content]:[QI WG]])</f>
        <v>3</v>
      </c>
      <c r="AC162" s="127">
        <f>COUNT(Table36[[#This Row],[ QI Bran Content]:[QI WG]])</f>
        <v>4</v>
      </c>
    </row>
    <row r="163" spans="1:29" x14ac:dyDescent="0.35">
      <c r="A163" s="177">
        <v>45292</v>
      </c>
      <c r="B163" s="178">
        <v>45316</v>
      </c>
      <c r="C163" s="178" t="s">
        <v>128</v>
      </c>
      <c r="D163" s="179">
        <v>0.625</v>
      </c>
      <c r="E163" s="180" t="s">
        <v>0</v>
      </c>
      <c r="F163" s="181" t="s">
        <v>27</v>
      </c>
      <c r="G163" s="182">
        <v>8.6E-3</v>
      </c>
      <c r="H163" s="175" t="s">
        <v>165</v>
      </c>
      <c r="I163" s="175" t="s">
        <v>165</v>
      </c>
      <c r="J163" s="175" t="s">
        <v>165</v>
      </c>
      <c r="K163" s="175">
        <v>11.74</v>
      </c>
      <c r="L163" s="175" t="s">
        <v>163</v>
      </c>
      <c r="M163" s="175" t="s">
        <v>163</v>
      </c>
      <c r="N163" s="175" t="s">
        <v>163</v>
      </c>
      <c r="O163" s="175" t="s">
        <v>163</v>
      </c>
      <c r="P163" s="175" t="s">
        <v>163</v>
      </c>
      <c r="Q163" s="175" t="s">
        <v>163</v>
      </c>
      <c r="R163" s="127">
        <f>IF(Table36[[#This Row],[ Bran Content]]="-","-",IF(G163&lt;0.02,1,0))</f>
        <v>1</v>
      </c>
      <c r="S163" s="127">
        <f>IF(Table36[[#This Row],[Sieve Test]]="-","-",IF(Table36[[#This Row],[Sieve Test]]="P",1,0))</f>
        <v>1</v>
      </c>
      <c r="T163" s="127">
        <f>IF(Table36[[#This Row],[Odor]]="-","-",IF(Table36[[#This Row],[Odor]]="P",1,0))</f>
        <v>1</v>
      </c>
      <c r="U163" s="127">
        <f>IF(INDEX(MCmin,MATCH(Table36[[#This Row],[Grist]],SMI,0))="-","-",IF(Table36[[#This Row],[F1 %MC]]="-","-",IF(Table36[[#This Row],[F1 %MC]]&lt;INDEX(MCmin,MATCH(Table36[[#This Row],[Grist]],SMI,0)),0,IF(Table36[[#This Row],[F1 %MC]]&gt;INDEX(MCmax,MATCH(Table36[[#This Row],[Grist]],SMI,0)),0,1))))</f>
        <v>0</v>
      </c>
      <c r="V163" s="127" t="str">
        <f>IF(INDEX(Protmin,MATCH(Table36[[#This Row],[Grist]],SMI,0))="-","-",IF(Table36[[#This Row],[%Protein]]="-","-",IF(Table36[[#This Row],[%Protein]]&lt;INDEX(Protmin,MATCH(Table36[[#This Row],[Grist]],SMI,0)),0,IF(Table36[[#This Row],[%Protein]]&gt;INDEX(Protmax,MATCH(Table36[[#This Row],[Grist]],SMI,0)),0,1))))</f>
        <v>-</v>
      </c>
      <c r="W163" s="127" t="str">
        <f>IF(INDEX(Ashmin,MATCH(Table36[[#This Row],[Grist]],SMI,0))="-","-",IF(Table36[[#This Row],[%Ash]]="-","-",IF(Table36[[#This Row],[%Ash]]&lt;INDEX(Ashmin,MATCH(Table36[[#This Row],[Grist]],SMI,0)),0,IF(Table36[[#This Row],[%Ash]]&gt;INDEX(Ashmax,MATCH(Table36[[#This Row],[Grist]],SMI,0)),0,1))))</f>
        <v>-</v>
      </c>
      <c r="X163" s="127" t="str">
        <f>IF(INDEX(Absmin,MATCH(Table36[[#This Row],[Grist]],SMI,0))="-","-",IF(Table36[[#This Row],[%Absorption]]="-","-",IF(Table36[[#This Row],[%Absorption]]&lt;INDEX(Absmin,MATCH(Table36[[#This Row],[Grist]],SMI,0)),0,IF(Table36[[#This Row],[%Absorption]]&gt;INDEX(Absmax,MATCH(Table36[[#This Row],[Grist]],SMI,0)),0,1))))</f>
        <v>-</v>
      </c>
      <c r="Y163" s="127" t="str">
        <f>IF(INDEX(Extmin,MATCH(Table36[[#This Row],[Grist]],SMI,0))="-","-",IF(Table36[[#This Row],[%Extensibility]]="-","-",IF(Table36[[#This Row],[%Extensibility]]&lt;INDEX(Extmin,MATCH(Table36[[#This Row],[Grist]],SMI,0)),0,IF(Table36[[#This Row],[%Extensibility]]&gt;INDEX(Extmax,MATCH(Table36[[#This Row],[Grist]],SMI,0)),0,1))))</f>
        <v>-</v>
      </c>
      <c r="Z163" s="127" t="str">
        <f>IF(INDEX(Resmin,MATCH(Table36[[#This Row],[Grist]],SMI,0))="-","-",IF(Table36[[#This Row],[Resistance, max]]="-","-",IF(Table36[[#This Row],[Resistance, max]]&lt;INDEX(Resmin,MATCH(Table36[[#This Row],[Grist]],SMI,0)),0,IF(Table36[[#This Row],[Resistance, max]]&gt;INDEX(Resmax,MATCH(Table36[[#This Row],[Grist]],SMI,0)),0,1))))</f>
        <v>-</v>
      </c>
      <c r="AA163" s="127" t="str">
        <f>IF(INDEX(WGmin,MATCH(Table36[[#This Row],[Grist]],SMI,0))="-","-",IF(Table36[[#This Row],[%Wet Gluten]]="-","-",IF(Table36[[#This Row],[%Wet Gluten]]&lt;INDEX(WGmin,MATCH(Table36[[#This Row],[Grist]],SMI,0)),0,IF(Table36[[#This Row],[%Wet Gluten]]&gt;INDEX(WGmax,MATCH(Table36[[#This Row],[Grist]],SMI,0)),0,1))))</f>
        <v>-</v>
      </c>
      <c r="AB163" s="127">
        <f>SUM(Table36[[#This Row],[ QI Bran Content]:[QI WG]])</f>
        <v>3</v>
      </c>
      <c r="AC163" s="127">
        <f>COUNT(Table36[[#This Row],[ QI Bran Content]:[QI WG]])</f>
        <v>4</v>
      </c>
    </row>
    <row r="164" spans="1:29" x14ac:dyDescent="0.35">
      <c r="A164" s="177">
        <v>45292</v>
      </c>
      <c r="B164" s="178">
        <v>45316</v>
      </c>
      <c r="C164" s="178" t="s">
        <v>128</v>
      </c>
      <c r="D164" s="179">
        <v>0.70833333333333304</v>
      </c>
      <c r="E164" s="180" t="s">
        <v>0</v>
      </c>
      <c r="F164" s="181" t="s">
        <v>27</v>
      </c>
      <c r="G164" s="182">
        <v>8.3999999999999995E-3</v>
      </c>
      <c r="H164" s="175" t="s">
        <v>165</v>
      </c>
      <c r="I164" s="175" t="s">
        <v>165</v>
      </c>
      <c r="J164" s="175" t="s">
        <v>165</v>
      </c>
      <c r="K164" s="175">
        <v>11.61</v>
      </c>
      <c r="L164" s="175" t="s">
        <v>163</v>
      </c>
      <c r="M164" s="175" t="s">
        <v>163</v>
      </c>
      <c r="N164" s="175" t="s">
        <v>163</v>
      </c>
      <c r="O164" s="175" t="s">
        <v>163</v>
      </c>
      <c r="P164" s="175" t="s">
        <v>163</v>
      </c>
      <c r="Q164" s="175" t="s">
        <v>163</v>
      </c>
      <c r="R164" s="127">
        <f>IF(Table36[[#This Row],[ Bran Content]]="-","-",IF(G164&lt;0.02,1,0))</f>
        <v>1</v>
      </c>
      <c r="S164" s="127">
        <f>IF(Table36[[#This Row],[Sieve Test]]="-","-",IF(Table36[[#This Row],[Sieve Test]]="P",1,0))</f>
        <v>1</v>
      </c>
      <c r="T164" s="127">
        <f>IF(Table36[[#This Row],[Odor]]="-","-",IF(Table36[[#This Row],[Odor]]="P",1,0))</f>
        <v>1</v>
      </c>
      <c r="U164" s="127">
        <f>IF(INDEX(MCmin,MATCH(Table36[[#This Row],[Grist]],SMI,0))="-","-",IF(Table36[[#This Row],[F1 %MC]]="-","-",IF(Table36[[#This Row],[F1 %MC]]&lt;INDEX(MCmin,MATCH(Table36[[#This Row],[Grist]],SMI,0)),0,IF(Table36[[#This Row],[F1 %MC]]&gt;INDEX(MCmax,MATCH(Table36[[#This Row],[Grist]],SMI,0)),0,1))))</f>
        <v>0</v>
      </c>
      <c r="V164" s="127" t="str">
        <f>IF(INDEX(Protmin,MATCH(Table36[[#This Row],[Grist]],SMI,0))="-","-",IF(Table36[[#This Row],[%Protein]]="-","-",IF(Table36[[#This Row],[%Protein]]&lt;INDEX(Protmin,MATCH(Table36[[#This Row],[Grist]],SMI,0)),0,IF(Table36[[#This Row],[%Protein]]&gt;INDEX(Protmax,MATCH(Table36[[#This Row],[Grist]],SMI,0)),0,1))))</f>
        <v>-</v>
      </c>
      <c r="W164" s="127" t="str">
        <f>IF(INDEX(Ashmin,MATCH(Table36[[#This Row],[Grist]],SMI,0))="-","-",IF(Table36[[#This Row],[%Ash]]="-","-",IF(Table36[[#This Row],[%Ash]]&lt;INDEX(Ashmin,MATCH(Table36[[#This Row],[Grist]],SMI,0)),0,IF(Table36[[#This Row],[%Ash]]&gt;INDEX(Ashmax,MATCH(Table36[[#This Row],[Grist]],SMI,0)),0,1))))</f>
        <v>-</v>
      </c>
      <c r="X164" s="127" t="str">
        <f>IF(INDEX(Absmin,MATCH(Table36[[#This Row],[Grist]],SMI,0))="-","-",IF(Table36[[#This Row],[%Absorption]]="-","-",IF(Table36[[#This Row],[%Absorption]]&lt;INDEX(Absmin,MATCH(Table36[[#This Row],[Grist]],SMI,0)),0,IF(Table36[[#This Row],[%Absorption]]&gt;INDEX(Absmax,MATCH(Table36[[#This Row],[Grist]],SMI,0)),0,1))))</f>
        <v>-</v>
      </c>
      <c r="Y164" s="127" t="str">
        <f>IF(INDEX(Extmin,MATCH(Table36[[#This Row],[Grist]],SMI,0))="-","-",IF(Table36[[#This Row],[%Extensibility]]="-","-",IF(Table36[[#This Row],[%Extensibility]]&lt;INDEX(Extmin,MATCH(Table36[[#This Row],[Grist]],SMI,0)),0,IF(Table36[[#This Row],[%Extensibility]]&gt;INDEX(Extmax,MATCH(Table36[[#This Row],[Grist]],SMI,0)),0,1))))</f>
        <v>-</v>
      </c>
      <c r="Z164" s="127" t="str">
        <f>IF(INDEX(Resmin,MATCH(Table36[[#This Row],[Grist]],SMI,0))="-","-",IF(Table36[[#This Row],[Resistance, max]]="-","-",IF(Table36[[#This Row],[Resistance, max]]&lt;INDEX(Resmin,MATCH(Table36[[#This Row],[Grist]],SMI,0)),0,IF(Table36[[#This Row],[Resistance, max]]&gt;INDEX(Resmax,MATCH(Table36[[#This Row],[Grist]],SMI,0)),0,1))))</f>
        <v>-</v>
      </c>
      <c r="AA164" s="127" t="str">
        <f>IF(INDEX(WGmin,MATCH(Table36[[#This Row],[Grist]],SMI,0))="-","-",IF(Table36[[#This Row],[%Wet Gluten]]="-","-",IF(Table36[[#This Row],[%Wet Gluten]]&lt;INDEX(WGmin,MATCH(Table36[[#This Row],[Grist]],SMI,0)),0,IF(Table36[[#This Row],[%Wet Gluten]]&gt;INDEX(WGmax,MATCH(Table36[[#This Row],[Grist]],SMI,0)),0,1))))</f>
        <v>-</v>
      </c>
      <c r="AB164" s="127">
        <f>SUM(Table36[[#This Row],[ QI Bran Content]:[QI WG]])</f>
        <v>3</v>
      </c>
      <c r="AC164" s="127">
        <f>COUNT(Table36[[#This Row],[ QI Bran Content]:[QI WG]])</f>
        <v>4</v>
      </c>
    </row>
    <row r="165" spans="1:29" x14ac:dyDescent="0.35">
      <c r="A165" s="177">
        <v>45292</v>
      </c>
      <c r="B165" s="178">
        <v>45316</v>
      </c>
      <c r="C165" s="178" t="s">
        <v>128</v>
      </c>
      <c r="D165" s="179">
        <v>0.95833333333333337</v>
      </c>
      <c r="E165" s="180" t="s">
        <v>0</v>
      </c>
      <c r="F165" s="181" t="s">
        <v>27</v>
      </c>
      <c r="G165" s="182">
        <v>1.38E-2</v>
      </c>
      <c r="H165" s="175" t="s">
        <v>165</v>
      </c>
      <c r="I165" s="175" t="s">
        <v>165</v>
      </c>
      <c r="J165" s="175" t="s">
        <v>165</v>
      </c>
      <c r="K165" s="175">
        <v>11.73</v>
      </c>
      <c r="L165" s="175">
        <v>13.35</v>
      </c>
      <c r="M165" s="175">
        <v>0.57999999999999996</v>
      </c>
      <c r="N165" s="175">
        <v>66</v>
      </c>
      <c r="O165" s="175" t="s">
        <v>163</v>
      </c>
      <c r="P165" s="175" t="s">
        <v>163</v>
      </c>
      <c r="Q165" s="175">
        <v>37.58</v>
      </c>
      <c r="R165" s="127">
        <f>IF(Table36[[#This Row],[ Bran Content]]="-","-",IF(G165&lt;0.02,1,0))</f>
        <v>1</v>
      </c>
      <c r="S165" s="127">
        <f>IF(Table36[[#This Row],[Sieve Test]]="-","-",IF(Table36[[#This Row],[Sieve Test]]="P",1,0))</f>
        <v>1</v>
      </c>
      <c r="T165" s="127">
        <f>IF(Table36[[#This Row],[Odor]]="-","-",IF(Table36[[#This Row],[Odor]]="P",1,0))</f>
        <v>1</v>
      </c>
      <c r="U165" s="127">
        <f>IF(INDEX(MCmin,MATCH(Table36[[#This Row],[Grist]],SMI,0))="-","-",IF(Table36[[#This Row],[F1 %MC]]="-","-",IF(Table36[[#This Row],[F1 %MC]]&lt;INDEX(MCmin,MATCH(Table36[[#This Row],[Grist]],SMI,0)),0,IF(Table36[[#This Row],[F1 %MC]]&gt;INDEX(MCmax,MATCH(Table36[[#This Row],[Grist]],SMI,0)),0,1))))</f>
        <v>0</v>
      </c>
      <c r="V165" s="127">
        <f>IF(INDEX(Protmin,MATCH(Table36[[#This Row],[Grist]],SMI,0))="-","-",IF(Table36[[#This Row],[%Protein]]="-","-",IF(Table36[[#This Row],[%Protein]]&lt;INDEX(Protmin,MATCH(Table36[[#This Row],[Grist]],SMI,0)),0,IF(Table36[[#This Row],[%Protein]]&gt;INDEX(Protmax,MATCH(Table36[[#This Row],[Grist]],SMI,0)),0,1))))</f>
        <v>1</v>
      </c>
      <c r="W165" s="127">
        <f>IF(INDEX(Ashmin,MATCH(Table36[[#This Row],[Grist]],SMI,0))="-","-",IF(Table36[[#This Row],[%Ash]]="-","-",IF(Table36[[#This Row],[%Ash]]&lt;INDEX(Ashmin,MATCH(Table36[[#This Row],[Grist]],SMI,0)),0,IF(Table36[[#This Row],[%Ash]]&gt;INDEX(Ashmax,MATCH(Table36[[#This Row],[Grist]],SMI,0)),0,1))))</f>
        <v>1</v>
      </c>
      <c r="X165" s="127">
        <f>IF(INDEX(Absmin,MATCH(Table36[[#This Row],[Grist]],SMI,0))="-","-",IF(Table36[[#This Row],[%Absorption]]="-","-",IF(Table36[[#This Row],[%Absorption]]&lt;INDEX(Absmin,MATCH(Table36[[#This Row],[Grist]],SMI,0)),0,IF(Table36[[#This Row],[%Absorption]]&gt;INDEX(Absmax,MATCH(Table36[[#This Row],[Grist]],SMI,0)),0,1))))</f>
        <v>1</v>
      </c>
      <c r="Y165" s="127" t="str">
        <f>IF(INDEX(Extmin,MATCH(Table36[[#This Row],[Grist]],SMI,0))="-","-",IF(Table36[[#This Row],[%Extensibility]]="-","-",IF(Table36[[#This Row],[%Extensibility]]&lt;INDEX(Extmin,MATCH(Table36[[#This Row],[Grist]],SMI,0)),0,IF(Table36[[#This Row],[%Extensibility]]&gt;INDEX(Extmax,MATCH(Table36[[#This Row],[Grist]],SMI,0)),0,1))))</f>
        <v>-</v>
      </c>
      <c r="Z165" s="127" t="str">
        <f>IF(INDEX(Resmin,MATCH(Table36[[#This Row],[Grist]],SMI,0))="-","-",IF(Table36[[#This Row],[Resistance, max]]="-","-",IF(Table36[[#This Row],[Resistance, max]]&lt;INDEX(Resmin,MATCH(Table36[[#This Row],[Grist]],SMI,0)),0,IF(Table36[[#This Row],[Resistance, max]]&gt;INDEX(Resmax,MATCH(Table36[[#This Row],[Grist]],SMI,0)),0,1))))</f>
        <v>-</v>
      </c>
      <c r="AA165" s="127">
        <f>IF(INDEX(WGmin,MATCH(Table36[[#This Row],[Grist]],SMI,0))="-","-",IF(Table36[[#This Row],[%Wet Gluten]]="-","-",IF(Table36[[#This Row],[%Wet Gluten]]&lt;INDEX(WGmin,MATCH(Table36[[#This Row],[Grist]],SMI,0)),0,IF(Table36[[#This Row],[%Wet Gluten]]&gt;INDEX(WGmax,MATCH(Table36[[#This Row],[Grist]],SMI,0)),0,1))))</f>
        <v>1</v>
      </c>
      <c r="AB165" s="127">
        <f>SUM(Table36[[#This Row],[ QI Bran Content]:[QI WG]])</f>
        <v>7</v>
      </c>
      <c r="AC165" s="127">
        <f>COUNT(Table36[[#This Row],[ QI Bran Content]:[QI WG]])</f>
        <v>8</v>
      </c>
    </row>
    <row r="166" spans="1:29" x14ac:dyDescent="0.35">
      <c r="A166" s="177">
        <v>45292</v>
      </c>
      <c r="B166" s="178">
        <v>45316</v>
      </c>
      <c r="C166" s="178" t="s">
        <v>130</v>
      </c>
      <c r="D166" s="179">
        <v>1.0416666666666701</v>
      </c>
      <c r="E166" s="180" t="s">
        <v>0</v>
      </c>
      <c r="F166" s="181" t="s">
        <v>27</v>
      </c>
      <c r="G166" s="182">
        <v>0.112</v>
      </c>
      <c r="H166" s="175" t="s">
        <v>165</v>
      </c>
      <c r="I166" s="175" t="s">
        <v>165</v>
      </c>
      <c r="J166" s="175" t="s">
        <v>165</v>
      </c>
      <c r="K166" s="175">
        <v>11.41</v>
      </c>
      <c r="L166" s="175" t="s">
        <v>163</v>
      </c>
      <c r="M166" s="175" t="s">
        <v>163</v>
      </c>
      <c r="N166" s="175" t="s">
        <v>163</v>
      </c>
      <c r="O166" s="175" t="s">
        <v>163</v>
      </c>
      <c r="P166" s="175" t="s">
        <v>163</v>
      </c>
      <c r="Q166" s="175" t="s">
        <v>163</v>
      </c>
      <c r="R166" s="127">
        <f>IF(Table36[[#This Row],[ Bran Content]]="-","-",IF(G166&lt;0.02,1,0))</f>
        <v>0</v>
      </c>
      <c r="S166" s="127">
        <f>IF(Table36[[#This Row],[Sieve Test]]="-","-",IF(Table36[[#This Row],[Sieve Test]]="P",1,0))</f>
        <v>1</v>
      </c>
      <c r="T166" s="127">
        <f>IF(Table36[[#This Row],[Odor]]="-","-",IF(Table36[[#This Row],[Odor]]="P",1,0))</f>
        <v>1</v>
      </c>
      <c r="U166" s="127">
        <f>IF(INDEX(MCmin,MATCH(Table36[[#This Row],[Grist]],SMI,0))="-","-",IF(Table36[[#This Row],[F1 %MC]]="-","-",IF(Table36[[#This Row],[F1 %MC]]&lt;INDEX(MCmin,MATCH(Table36[[#This Row],[Grist]],SMI,0)),0,IF(Table36[[#This Row],[F1 %MC]]&gt;INDEX(MCmax,MATCH(Table36[[#This Row],[Grist]],SMI,0)),0,1))))</f>
        <v>0</v>
      </c>
      <c r="V166" s="127" t="str">
        <f>IF(INDEX(Protmin,MATCH(Table36[[#This Row],[Grist]],SMI,0))="-","-",IF(Table36[[#This Row],[%Protein]]="-","-",IF(Table36[[#This Row],[%Protein]]&lt;INDEX(Protmin,MATCH(Table36[[#This Row],[Grist]],SMI,0)),0,IF(Table36[[#This Row],[%Protein]]&gt;INDEX(Protmax,MATCH(Table36[[#This Row],[Grist]],SMI,0)),0,1))))</f>
        <v>-</v>
      </c>
      <c r="W166" s="127" t="str">
        <f>IF(INDEX(Ashmin,MATCH(Table36[[#This Row],[Grist]],SMI,0))="-","-",IF(Table36[[#This Row],[%Ash]]="-","-",IF(Table36[[#This Row],[%Ash]]&lt;INDEX(Ashmin,MATCH(Table36[[#This Row],[Grist]],SMI,0)),0,IF(Table36[[#This Row],[%Ash]]&gt;INDEX(Ashmax,MATCH(Table36[[#This Row],[Grist]],SMI,0)),0,1))))</f>
        <v>-</v>
      </c>
      <c r="X166" s="127" t="str">
        <f>IF(INDEX(Absmin,MATCH(Table36[[#This Row],[Grist]],SMI,0))="-","-",IF(Table36[[#This Row],[%Absorption]]="-","-",IF(Table36[[#This Row],[%Absorption]]&lt;INDEX(Absmin,MATCH(Table36[[#This Row],[Grist]],SMI,0)),0,IF(Table36[[#This Row],[%Absorption]]&gt;INDEX(Absmax,MATCH(Table36[[#This Row],[Grist]],SMI,0)),0,1))))</f>
        <v>-</v>
      </c>
      <c r="Y166" s="127" t="str">
        <f>IF(INDEX(Extmin,MATCH(Table36[[#This Row],[Grist]],SMI,0))="-","-",IF(Table36[[#This Row],[%Extensibility]]="-","-",IF(Table36[[#This Row],[%Extensibility]]&lt;INDEX(Extmin,MATCH(Table36[[#This Row],[Grist]],SMI,0)),0,IF(Table36[[#This Row],[%Extensibility]]&gt;INDEX(Extmax,MATCH(Table36[[#This Row],[Grist]],SMI,0)),0,1))))</f>
        <v>-</v>
      </c>
      <c r="Z166" s="127" t="str">
        <f>IF(INDEX(Resmin,MATCH(Table36[[#This Row],[Grist]],SMI,0))="-","-",IF(Table36[[#This Row],[Resistance, max]]="-","-",IF(Table36[[#This Row],[Resistance, max]]&lt;INDEX(Resmin,MATCH(Table36[[#This Row],[Grist]],SMI,0)),0,IF(Table36[[#This Row],[Resistance, max]]&gt;INDEX(Resmax,MATCH(Table36[[#This Row],[Grist]],SMI,0)),0,1))))</f>
        <v>-</v>
      </c>
      <c r="AA166" s="127" t="str">
        <f>IF(INDEX(WGmin,MATCH(Table36[[#This Row],[Grist]],SMI,0))="-","-",IF(Table36[[#This Row],[%Wet Gluten]]="-","-",IF(Table36[[#This Row],[%Wet Gluten]]&lt;INDEX(WGmin,MATCH(Table36[[#This Row],[Grist]],SMI,0)),0,IF(Table36[[#This Row],[%Wet Gluten]]&gt;INDEX(WGmax,MATCH(Table36[[#This Row],[Grist]],SMI,0)),0,1))))</f>
        <v>-</v>
      </c>
      <c r="AB166" s="127">
        <f>SUM(Table36[[#This Row],[ QI Bran Content]:[QI WG]])</f>
        <v>2</v>
      </c>
      <c r="AC166" s="127">
        <f>COUNT(Table36[[#This Row],[ QI Bran Content]:[QI WG]])</f>
        <v>4</v>
      </c>
    </row>
    <row r="167" spans="1:29" x14ac:dyDescent="0.35">
      <c r="A167" s="177">
        <v>45292</v>
      </c>
      <c r="B167" s="178">
        <v>45316</v>
      </c>
      <c r="C167" s="178" t="s">
        <v>130</v>
      </c>
      <c r="D167" s="179">
        <v>1.125</v>
      </c>
      <c r="E167" s="180" t="s">
        <v>0</v>
      </c>
      <c r="F167" s="181" t="s">
        <v>27</v>
      </c>
      <c r="G167" s="182">
        <v>6.0000000000000001E-3</v>
      </c>
      <c r="H167" s="175" t="s">
        <v>165</v>
      </c>
      <c r="I167" s="175" t="s">
        <v>165</v>
      </c>
      <c r="J167" s="175" t="s">
        <v>165</v>
      </c>
      <c r="K167" s="175">
        <v>11.4</v>
      </c>
      <c r="L167" s="175" t="s">
        <v>163</v>
      </c>
      <c r="M167" s="175" t="s">
        <v>163</v>
      </c>
      <c r="N167" s="175" t="s">
        <v>163</v>
      </c>
      <c r="O167" s="175" t="s">
        <v>163</v>
      </c>
      <c r="P167" s="175" t="s">
        <v>163</v>
      </c>
      <c r="Q167" s="175" t="s">
        <v>163</v>
      </c>
      <c r="R167" s="127">
        <f>IF(Table36[[#This Row],[ Bran Content]]="-","-",IF(G167&lt;0.02,1,0))</f>
        <v>1</v>
      </c>
      <c r="S167" s="127">
        <f>IF(Table36[[#This Row],[Sieve Test]]="-","-",IF(Table36[[#This Row],[Sieve Test]]="P",1,0))</f>
        <v>1</v>
      </c>
      <c r="T167" s="127">
        <f>IF(Table36[[#This Row],[Odor]]="-","-",IF(Table36[[#This Row],[Odor]]="P",1,0))</f>
        <v>1</v>
      </c>
      <c r="U167" s="127">
        <f>IF(INDEX(MCmin,MATCH(Table36[[#This Row],[Grist]],SMI,0))="-","-",IF(Table36[[#This Row],[F1 %MC]]="-","-",IF(Table36[[#This Row],[F1 %MC]]&lt;INDEX(MCmin,MATCH(Table36[[#This Row],[Grist]],SMI,0)),0,IF(Table36[[#This Row],[F1 %MC]]&gt;INDEX(MCmax,MATCH(Table36[[#This Row],[Grist]],SMI,0)),0,1))))</f>
        <v>0</v>
      </c>
      <c r="V167" s="127" t="str">
        <f>IF(INDEX(Protmin,MATCH(Table36[[#This Row],[Grist]],SMI,0))="-","-",IF(Table36[[#This Row],[%Protein]]="-","-",IF(Table36[[#This Row],[%Protein]]&lt;INDEX(Protmin,MATCH(Table36[[#This Row],[Grist]],SMI,0)),0,IF(Table36[[#This Row],[%Protein]]&gt;INDEX(Protmax,MATCH(Table36[[#This Row],[Grist]],SMI,0)),0,1))))</f>
        <v>-</v>
      </c>
      <c r="W167" s="127" t="str">
        <f>IF(INDEX(Ashmin,MATCH(Table36[[#This Row],[Grist]],SMI,0))="-","-",IF(Table36[[#This Row],[%Ash]]="-","-",IF(Table36[[#This Row],[%Ash]]&lt;INDEX(Ashmin,MATCH(Table36[[#This Row],[Grist]],SMI,0)),0,IF(Table36[[#This Row],[%Ash]]&gt;INDEX(Ashmax,MATCH(Table36[[#This Row],[Grist]],SMI,0)),0,1))))</f>
        <v>-</v>
      </c>
      <c r="X167" s="127" t="str">
        <f>IF(INDEX(Absmin,MATCH(Table36[[#This Row],[Grist]],SMI,0))="-","-",IF(Table36[[#This Row],[%Absorption]]="-","-",IF(Table36[[#This Row],[%Absorption]]&lt;INDEX(Absmin,MATCH(Table36[[#This Row],[Grist]],SMI,0)),0,IF(Table36[[#This Row],[%Absorption]]&gt;INDEX(Absmax,MATCH(Table36[[#This Row],[Grist]],SMI,0)),0,1))))</f>
        <v>-</v>
      </c>
      <c r="Y167" s="127" t="str">
        <f>IF(INDEX(Extmin,MATCH(Table36[[#This Row],[Grist]],SMI,0))="-","-",IF(Table36[[#This Row],[%Extensibility]]="-","-",IF(Table36[[#This Row],[%Extensibility]]&lt;INDEX(Extmin,MATCH(Table36[[#This Row],[Grist]],SMI,0)),0,IF(Table36[[#This Row],[%Extensibility]]&gt;INDEX(Extmax,MATCH(Table36[[#This Row],[Grist]],SMI,0)),0,1))))</f>
        <v>-</v>
      </c>
      <c r="Z167" s="127" t="str">
        <f>IF(INDEX(Resmin,MATCH(Table36[[#This Row],[Grist]],SMI,0))="-","-",IF(Table36[[#This Row],[Resistance, max]]="-","-",IF(Table36[[#This Row],[Resistance, max]]&lt;INDEX(Resmin,MATCH(Table36[[#This Row],[Grist]],SMI,0)),0,IF(Table36[[#This Row],[Resistance, max]]&gt;INDEX(Resmax,MATCH(Table36[[#This Row],[Grist]],SMI,0)),0,1))))</f>
        <v>-</v>
      </c>
      <c r="AA167" s="127" t="str">
        <f>IF(INDEX(WGmin,MATCH(Table36[[#This Row],[Grist]],SMI,0))="-","-",IF(Table36[[#This Row],[%Wet Gluten]]="-","-",IF(Table36[[#This Row],[%Wet Gluten]]&lt;INDEX(WGmin,MATCH(Table36[[#This Row],[Grist]],SMI,0)),0,IF(Table36[[#This Row],[%Wet Gluten]]&gt;INDEX(WGmax,MATCH(Table36[[#This Row],[Grist]],SMI,0)),0,1))))</f>
        <v>-</v>
      </c>
      <c r="AB167" s="127">
        <f>SUM(Table36[[#This Row],[ QI Bran Content]:[QI WG]])</f>
        <v>3</v>
      </c>
      <c r="AC167" s="127">
        <f>COUNT(Table36[[#This Row],[ QI Bran Content]:[QI WG]])</f>
        <v>4</v>
      </c>
    </row>
    <row r="168" spans="1:29" x14ac:dyDescent="0.35">
      <c r="A168" s="177">
        <v>45292</v>
      </c>
      <c r="B168" s="178">
        <v>45316</v>
      </c>
      <c r="C168" s="178" t="s">
        <v>130</v>
      </c>
      <c r="D168" s="179">
        <v>1.2083333333333299</v>
      </c>
      <c r="E168" s="180" t="s">
        <v>0</v>
      </c>
      <c r="F168" s="181" t="s">
        <v>27</v>
      </c>
      <c r="G168" s="182">
        <v>8.3000000000000001E-3</v>
      </c>
      <c r="H168" s="175" t="s">
        <v>165</v>
      </c>
      <c r="I168" s="175" t="s">
        <v>165</v>
      </c>
      <c r="J168" s="175" t="s">
        <v>165</v>
      </c>
      <c r="K168" s="175">
        <v>11.73</v>
      </c>
      <c r="L168" s="175" t="s">
        <v>163</v>
      </c>
      <c r="M168" s="175" t="s">
        <v>163</v>
      </c>
      <c r="N168" s="175" t="s">
        <v>163</v>
      </c>
      <c r="O168" s="175" t="s">
        <v>163</v>
      </c>
      <c r="P168" s="175" t="s">
        <v>163</v>
      </c>
      <c r="Q168" s="175" t="s">
        <v>163</v>
      </c>
      <c r="R168" s="127">
        <f>IF(Table36[[#This Row],[ Bran Content]]="-","-",IF(G168&lt;0.02,1,0))</f>
        <v>1</v>
      </c>
      <c r="S168" s="127">
        <f>IF(Table36[[#This Row],[Sieve Test]]="-","-",IF(Table36[[#This Row],[Sieve Test]]="P",1,0))</f>
        <v>1</v>
      </c>
      <c r="T168" s="127">
        <f>IF(Table36[[#This Row],[Odor]]="-","-",IF(Table36[[#This Row],[Odor]]="P",1,0))</f>
        <v>1</v>
      </c>
      <c r="U168" s="127">
        <f>IF(INDEX(MCmin,MATCH(Table36[[#This Row],[Grist]],SMI,0))="-","-",IF(Table36[[#This Row],[F1 %MC]]="-","-",IF(Table36[[#This Row],[F1 %MC]]&lt;INDEX(MCmin,MATCH(Table36[[#This Row],[Grist]],SMI,0)),0,IF(Table36[[#This Row],[F1 %MC]]&gt;INDEX(MCmax,MATCH(Table36[[#This Row],[Grist]],SMI,0)),0,1))))</f>
        <v>0</v>
      </c>
      <c r="V168" s="127" t="str">
        <f>IF(INDEX(Protmin,MATCH(Table36[[#This Row],[Grist]],SMI,0))="-","-",IF(Table36[[#This Row],[%Protein]]="-","-",IF(Table36[[#This Row],[%Protein]]&lt;INDEX(Protmin,MATCH(Table36[[#This Row],[Grist]],SMI,0)),0,IF(Table36[[#This Row],[%Protein]]&gt;INDEX(Protmax,MATCH(Table36[[#This Row],[Grist]],SMI,0)),0,1))))</f>
        <v>-</v>
      </c>
      <c r="W168" s="127" t="str">
        <f>IF(INDEX(Ashmin,MATCH(Table36[[#This Row],[Grist]],SMI,0))="-","-",IF(Table36[[#This Row],[%Ash]]="-","-",IF(Table36[[#This Row],[%Ash]]&lt;INDEX(Ashmin,MATCH(Table36[[#This Row],[Grist]],SMI,0)),0,IF(Table36[[#This Row],[%Ash]]&gt;INDEX(Ashmax,MATCH(Table36[[#This Row],[Grist]],SMI,0)),0,1))))</f>
        <v>-</v>
      </c>
      <c r="X168" s="127" t="str">
        <f>IF(INDEX(Absmin,MATCH(Table36[[#This Row],[Grist]],SMI,0))="-","-",IF(Table36[[#This Row],[%Absorption]]="-","-",IF(Table36[[#This Row],[%Absorption]]&lt;INDEX(Absmin,MATCH(Table36[[#This Row],[Grist]],SMI,0)),0,IF(Table36[[#This Row],[%Absorption]]&gt;INDEX(Absmax,MATCH(Table36[[#This Row],[Grist]],SMI,0)),0,1))))</f>
        <v>-</v>
      </c>
      <c r="Y168" s="127" t="str">
        <f>IF(INDEX(Extmin,MATCH(Table36[[#This Row],[Grist]],SMI,0))="-","-",IF(Table36[[#This Row],[%Extensibility]]="-","-",IF(Table36[[#This Row],[%Extensibility]]&lt;INDEX(Extmin,MATCH(Table36[[#This Row],[Grist]],SMI,0)),0,IF(Table36[[#This Row],[%Extensibility]]&gt;INDEX(Extmax,MATCH(Table36[[#This Row],[Grist]],SMI,0)),0,1))))</f>
        <v>-</v>
      </c>
      <c r="Z168" s="127" t="str">
        <f>IF(INDEX(Resmin,MATCH(Table36[[#This Row],[Grist]],SMI,0))="-","-",IF(Table36[[#This Row],[Resistance, max]]="-","-",IF(Table36[[#This Row],[Resistance, max]]&lt;INDEX(Resmin,MATCH(Table36[[#This Row],[Grist]],SMI,0)),0,IF(Table36[[#This Row],[Resistance, max]]&gt;INDEX(Resmax,MATCH(Table36[[#This Row],[Grist]],SMI,0)),0,1))))</f>
        <v>-</v>
      </c>
      <c r="AA168" s="127" t="str">
        <f>IF(INDEX(WGmin,MATCH(Table36[[#This Row],[Grist]],SMI,0))="-","-",IF(Table36[[#This Row],[%Wet Gluten]]="-","-",IF(Table36[[#This Row],[%Wet Gluten]]&lt;INDEX(WGmin,MATCH(Table36[[#This Row],[Grist]],SMI,0)),0,IF(Table36[[#This Row],[%Wet Gluten]]&gt;INDEX(WGmax,MATCH(Table36[[#This Row],[Grist]],SMI,0)),0,1))))</f>
        <v>-</v>
      </c>
      <c r="AB168" s="127">
        <f>SUM(Table36[[#This Row],[ QI Bran Content]:[QI WG]])</f>
        <v>3</v>
      </c>
      <c r="AC168" s="127">
        <f>COUNT(Table36[[#This Row],[ QI Bran Content]:[QI WG]])</f>
        <v>4</v>
      </c>
    </row>
    <row r="169" spans="1:29" x14ac:dyDescent="0.35">
      <c r="A169" s="177">
        <v>45292</v>
      </c>
      <c r="B169" s="178">
        <v>45317</v>
      </c>
      <c r="C169" s="178" t="s">
        <v>128</v>
      </c>
      <c r="D169" s="179">
        <v>0.95833333333333337</v>
      </c>
      <c r="E169" s="180" t="s">
        <v>0</v>
      </c>
      <c r="F169" s="181" t="s">
        <v>27</v>
      </c>
      <c r="G169" s="182">
        <v>1.38E-2</v>
      </c>
      <c r="H169" s="175" t="s">
        <v>165</v>
      </c>
      <c r="I169" s="175" t="s">
        <v>165</v>
      </c>
      <c r="J169" s="175" t="s">
        <v>165</v>
      </c>
      <c r="K169" s="175">
        <v>11.73</v>
      </c>
      <c r="L169" s="175" t="s">
        <v>163</v>
      </c>
      <c r="M169" s="175" t="s">
        <v>163</v>
      </c>
      <c r="N169" s="175" t="s">
        <v>163</v>
      </c>
      <c r="O169" s="175" t="s">
        <v>163</v>
      </c>
      <c r="P169" s="175" t="s">
        <v>163</v>
      </c>
      <c r="Q169" s="175" t="s">
        <v>163</v>
      </c>
      <c r="R169" s="127">
        <f>IF(Table36[[#This Row],[ Bran Content]]="-","-",IF(G169&lt;0.02,1,0))</f>
        <v>1</v>
      </c>
      <c r="S169" s="127">
        <f>IF(Table36[[#This Row],[Sieve Test]]="-","-",IF(Table36[[#This Row],[Sieve Test]]="P",1,0))</f>
        <v>1</v>
      </c>
      <c r="T169" s="127">
        <f>IF(Table36[[#This Row],[Odor]]="-","-",IF(Table36[[#This Row],[Odor]]="P",1,0))</f>
        <v>1</v>
      </c>
      <c r="U169" s="127">
        <f>IF(INDEX(MCmin,MATCH(Table36[[#This Row],[Grist]],SMI,0))="-","-",IF(Table36[[#This Row],[F1 %MC]]="-","-",IF(Table36[[#This Row],[F1 %MC]]&lt;INDEX(MCmin,MATCH(Table36[[#This Row],[Grist]],SMI,0)),0,IF(Table36[[#This Row],[F1 %MC]]&gt;INDEX(MCmax,MATCH(Table36[[#This Row],[Grist]],SMI,0)),0,1))))</f>
        <v>0</v>
      </c>
      <c r="V169" s="127" t="str">
        <f>IF(INDEX(Protmin,MATCH(Table36[[#This Row],[Grist]],SMI,0))="-","-",IF(Table36[[#This Row],[%Protein]]="-","-",IF(Table36[[#This Row],[%Protein]]&lt;INDEX(Protmin,MATCH(Table36[[#This Row],[Grist]],SMI,0)),0,IF(Table36[[#This Row],[%Protein]]&gt;INDEX(Protmax,MATCH(Table36[[#This Row],[Grist]],SMI,0)),0,1))))</f>
        <v>-</v>
      </c>
      <c r="W169" s="127" t="str">
        <f>IF(INDEX(Ashmin,MATCH(Table36[[#This Row],[Grist]],SMI,0))="-","-",IF(Table36[[#This Row],[%Ash]]="-","-",IF(Table36[[#This Row],[%Ash]]&lt;INDEX(Ashmin,MATCH(Table36[[#This Row],[Grist]],SMI,0)),0,IF(Table36[[#This Row],[%Ash]]&gt;INDEX(Ashmax,MATCH(Table36[[#This Row],[Grist]],SMI,0)),0,1))))</f>
        <v>-</v>
      </c>
      <c r="X169" s="127" t="str">
        <f>IF(INDEX(Absmin,MATCH(Table36[[#This Row],[Grist]],SMI,0))="-","-",IF(Table36[[#This Row],[%Absorption]]="-","-",IF(Table36[[#This Row],[%Absorption]]&lt;INDEX(Absmin,MATCH(Table36[[#This Row],[Grist]],SMI,0)),0,IF(Table36[[#This Row],[%Absorption]]&gt;INDEX(Absmax,MATCH(Table36[[#This Row],[Grist]],SMI,0)),0,1))))</f>
        <v>-</v>
      </c>
      <c r="Y169" s="127" t="str">
        <f>IF(INDEX(Extmin,MATCH(Table36[[#This Row],[Grist]],SMI,0))="-","-",IF(Table36[[#This Row],[%Extensibility]]="-","-",IF(Table36[[#This Row],[%Extensibility]]&lt;INDEX(Extmin,MATCH(Table36[[#This Row],[Grist]],SMI,0)),0,IF(Table36[[#This Row],[%Extensibility]]&gt;INDEX(Extmax,MATCH(Table36[[#This Row],[Grist]],SMI,0)),0,1))))</f>
        <v>-</v>
      </c>
      <c r="Z169" s="127" t="str">
        <f>IF(INDEX(Resmin,MATCH(Table36[[#This Row],[Grist]],SMI,0))="-","-",IF(Table36[[#This Row],[Resistance, max]]="-","-",IF(Table36[[#This Row],[Resistance, max]]&lt;INDEX(Resmin,MATCH(Table36[[#This Row],[Grist]],SMI,0)),0,IF(Table36[[#This Row],[Resistance, max]]&gt;INDEX(Resmax,MATCH(Table36[[#This Row],[Grist]],SMI,0)),0,1))))</f>
        <v>-</v>
      </c>
      <c r="AA169" s="127" t="str">
        <f>IF(INDEX(WGmin,MATCH(Table36[[#This Row],[Grist]],SMI,0))="-","-",IF(Table36[[#This Row],[%Wet Gluten]]="-","-",IF(Table36[[#This Row],[%Wet Gluten]]&lt;INDEX(WGmin,MATCH(Table36[[#This Row],[Grist]],SMI,0)),0,IF(Table36[[#This Row],[%Wet Gluten]]&gt;INDEX(WGmax,MATCH(Table36[[#This Row],[Grist]],SMI,0)),0,1))))</f>
        <v>-</v>
      </c>
      <c r="AB169" s="127">
        <f>SUM(Table36[[#This Row],[ QI Bran Content]:[QI WG]])</f>
        <v>3</v>
      </c>
      <c r="AC169" s="127">
        <f>COUNT(Table36[[#This Row],[ QI Bran Content]:[QI WG]])</f>
        <v>4</v>
      </c>
    </row>
    <row r="170" spans="1:29" x14ac:dyDescent="0.35">
      <c r="A170" s="177">
        <v>45292</v>
      </c>
      <c r="B170" s="178">
        <v>45317</v>
      </c>
      <c r="C170" s="178" t="s">
        <v>130</v>
      </c>
      <c r="D170" s="179">
        <v>1.0416666666666701</v>
      </c>
      <c r="E170" s="180" t="s">
        <v>0</v>
      </c>
      <c r="F170" s="181" t="s">
        <v>27</v>
      </c>
      <c r="G170" s="182">
        <v>1.12E-2</v>
      </c>
      <c r="H170" s="175" t="s">
        <v>165</v>
      </c>
      <c r="I170" s="175" t="s">
        <v>165</v>
      </c>
      <c r="J170" s="175" t="s">
        <v>165</v>
      </c>
      <c r="K170" s="175">
        <v>11.41</v>
      </c>
      <c r="L170" s="175" t="s">
        <v>163</v>
      </c>
      <c r="M170" s="175" t="s">
        <v>163</v>
      </c>
      <c r="N170" s="175" t="s">
        <v>163</v>
      </c>
      <c r="O170" s="175" t="s">
        <v>163</v>
      </c>
      <c r="P170" s="175" t="s">
        <v>163</v>
      </c>
      <c r="Q170" s="175" t="s">
        <v>163</v>
      </c>
      <c r="R170" s="127">
        <f>IF(Table36[[#This Row],[ Bran Content]]="-","-",IF(G170&lt;0.02,1,0))</f>
        <v>1</v>
      </c>
      <c r="S170" s="127">
        <f>IF(Table36[[#This Row],[Sieve Test]]="-","-",IF(Table36[[#This Row],[Sieve Test]]="P",1,0))</f>
        <v>1</v>
      </c>
      <c r="T170" s="127">
        <f>IF(Table36[[#This Row],[Odor]]="-","-",IF(Table36[[#This Row],[Odor]]="P",1,0))</f>
        <v>1</v>
      </c>
      <c r="U170" s="127">
        <f>IF(INDEX(MCmin,MATCH(Table36[[#This Row],[Grist]],SMI,0))="-","-",IF(Table36[[#This Row],[F1 %MC]]="-","-",IF(Table36[[#This Row],[F1 %MC]]&lt;INDEX(MCmin,MATCH(Table36[[#This Row],[Grist]],SMI,0)),0,IF(Table36[[#This Row],[F1 %MC]]&gt;INDEX(MCmax,MATCH(Table36[[#This Row],[Grist]],SMI,0)),0,1))))</f>
        <v>0</v>
      </c>
      <c r="V170" s="127" t="str">
        <f>IF(INDEX(Protmin,MATCH(Table36[[#This Row],[Grist]],SMI,0))="-","-",IF(Table36[[#This Row],[%Protein]]="-","-",IF(Table36[[#This Row],[%Protein]]&lt;INDEX(Protmin,MATCH(Table36[[#This Row],[Grist]],SMI,0)),0,IF(Table36[[#This Row],[%Protein]]&gt;INDEX(Protmax,MATCH(Table36[[#This Row],[Grist]],SMI,0)),0,1))))</f>
        <v>-</v>
      </c>
      <c r="W170" s="127" t="str">
        <f>IF(INDEX(Ashmin,MATCH(Table36[[#This Row],[Grist]],SMI,0))="-","-",IF(Table36[[#This Row],[%Ash]]="-","-",IF(Table36[[#This Row],[%Ash]]&lt;INDEX(Ashmin,MATCH(Table36[[#This Row],[Grist]],SMI,0)),0,IF(Table36[[#This Row],[%Ash]]&gt;INDEX(Ashmax,MATCH(Table36[[#This Row],[Grist]],SMI,0)),0,1))))</f>
        <v>-</v>
      </c>
      <c r="X170" s="127" t="str">
        <f>IF(INDEX(Absmin,MATCH(Table36[[#This Row],[Grist]],SMI,0))="-","-",IF(Table36[[#This Row],[%Absorption]]="-","-",IF(Table36[[#This Row],[%Absorption]]&lt;INDEX(Absmin,MATCH(Table36[[#This Row],[Grist]],SMI,0)),0,IF(Table36[[#This Row],[%Absorption]]&gt;INDEX(Absmax,MATCH(Table36[[#This Row],[Grist]],SMI,0)),0,1))))</f>
        <v>-</v>
      </c>
      <c r="Y170" s="127" t="str">
        <f>IF(INDEX(Extmin,MATCH(Table36[[#This Row],[Grist]],SMI,0))="-","-",IF(Table36[[#This Row],[%Extensibility]]="-","-",IF(Table36[[#This Row],[%Extensibility]]&lt;INDEX(Extmin,MATCH(Table36[[#This Row],[Grist]],SMI,0)),0,IF(Table36[[#This Row],[%Extensibility]]&gt;INDEX(Extmax,MATCH(Table36[[#This Row],[Grist]],SMI,0)),0,1))))</f>
        <v>-</v>
      </c>
      <c r="Z170" s="127" t="str">
        <f>IF(INDEX(Resmin,MATCH(Table36[[#This Row],[Grist]],SMI,0))="-","-",IF(Table36[[#This Row],[Resistance, max]]="-","-",IF(Table36[[#This Row],[Resistance, max]]&lt;INDEX(Resmin,MATCH(Table36[[#This Row],[Grist]],SMI,0)),0,IF(Table36[[#This Row],[Resistance, max]]&gt;INDEX(Resmax,MATCH(Table36[[#This Row],[Grist]],SMI,0)),0,1))))</f>
        <v>-</v>
      </c>
      <c r="AA170" s="127" t="str">
        <f>IF(INDEX(WGmin,MATCH(Table36[[#This Row],[Grist]],SMI,0))="-","-",IF(Table36[[#This Row],[%Wet Gluten]]="-","-",IF(Table36[[#This Row],[%Wet Gluten]]&lt;INDEX(WGmin,MATCH(Table36[[#This Row],[Grist]],SMI,0)),0,IF(Table36[[#This Row],[%Wet Gluten]]&gt;INDEX(WGmax,MATCH(Table36[[#This Row],[Grist]],SMI,0)),0,1))))</f>
        <v>-</v>
      </c>
      <c r="AB170" s="127">
        <f>SUM(Table36[[#This Row],[ QI Bran Content]:[QI WG]])</f>
        <v>3</v>
      </c>
      <c r="AC170" s="127">
        <f>COUNT(Table36[[#This Row],[ QI Bran Content]:[QI WG]])</f>
        <v>4</v>
      </c>
    </row>
    <row r="171" spans="1:29" x14ac:dyDescent="0.35">
      <c r="A171" s="177">
        <v>45292</v>
      </c>
      <c r="B171" s="178">
        <v>45317</v>
      </c>
      <c r="C171" s="178" t="s">
        <v>130</v>
      </c>
      <c r="D171" s="179">
        <v>1.125</v>
      </c>
      <c r="E171" s="180" t="s">
        <v>0</v>
      </c>
      <c r="F171" s="181" t="s">
        <v>27</v>
      </c>
      <c r="G171" s="182">
        <v>6.0000000000000001E-3</v>
      </c>
      <c r="H171" s="175" t="s">
        <v>165</v>
      </c>
      <c r="I171" s="175" t="s">
        <v>165</v>
      </c>
      <c r="J171" s="175" t="s">
        <v>165</v>
      </c>
      <c r="K171" s="175">
        <v>11.4</v>
      </c>
      <c r="L171" s="175" t="s">
        <v>163</v>
      </c>
      <c r="M171" s="175" t="s">
        <v>163</v>
      </c>
      <c r="N171" s="175" t="s">
        <v>163</v>
      </c>
      <c r="O171" s="175" t="s">
        <v>163</v>
      </c>
      <c r="P171" s="175" t="s">
        <v>163</v>
      </c>
      <c r="Q171" s="175" t="s">
        <v>163</v>
      </c>
      <c r="R171" s="127">
        <f>IF(Table36[[#This Row],[ Bran Content]]="-","-",IF(G171&lt;0.02,1,0))</f>
        <v>1</v>
      </c>
      <c r="S171" s="127">
        <f>IF(Table36[[#This Row],[Sieve Test]]="-","-",IF(Table36[[#This Row],[Sieve Test]]="P",1,0))</f>
        <v>1</v>
      </c>
      <c r="T171" s="127">
        <f>IF(Table36[[#This Row],[Odor]]="-","-",IF(Table36[[#This Row],[Odor]]="P",1,0))</f>
        <v>1</v>
      </c>
      <c r="U171" s="127">
        <f>IF(INDEX(MCmin,MATCH(Table36[[#This Row],[Grist]],SMI,0))="-","-",IF(Table36[[#This Row],[F1 %MC]]="-","-",IF(Table36[[#This Row],[F1 %MC]]&lt;INDEX(MCmin,MATCH(Table36[[#This Row],[Grist]],SMI,0)),0,IF(Table36[[#This Row],[F1 %MC]]&gt;INDEX(MCmax,MATCH(Table36[[#This Row],[Grist]],SMI,0)),0,1))))</f>
        <v>0</v>
      </c>
      <c r="V171" s="127" t="str">
        <f>IF(INDEX(Protmin,MATCH(Table36[[#This Row],[Grist]],SMI,0))="-","-",IF(Table36[[#This Row],[%Protein]]="-","-",IF(Table36[[#This Row],[%Protein]]&lt;INDEX(Protmin,MATCH(Table36[[#This Row],[Grist]],SMI,0)),0,IF(Table36[[#This Row],[%Protein]]&gt;INDEX(Protmax,MATCH(Table36[[#This Row],[Grist]],SMI,0)),0,1))))</f>
        <v>-</v>
      </c>
      <c r="W171" s="127" t="str">
        <f>IF(INDEX(Ashmin,MATCH(Table36[[#This Row],[Grist]],SMI,0))="-","-",IF(Table36[[#This Row],[%Ash]]="-","-",IF(Table36[[#This Row],[%Ash]]&lt;INDEX(Ashmin,MATCH(Table36[[#This Row],[Grist]],SMI,0)),0,IF(Table36[[#This Row],[%Ash]]&gt;INDEX(Ashmax,MATCH(Table36[[#This Row],[Grist]],SMI,0)),0,1))))</f>
        <v>-</v>
      </c>
      <c r="X171" s="127" t="str">
        <f>IF(INDEX(Absmin,MATCH(Table36[[#This Row],[Grist]],SMI,0))="-","-",IF(Table36[[#This Row],[%Absorption]]="-","-",IF(Table36[[#This Row],[%Absorption]]&lt;INDEX(Absmin,MATCH(Table36[[#This Row],[Grist]],SMI,0)),0,IF(Table36[[#This Row],[%Absorption]]&gt;INDEX(Absmax,MATCH(Table36[[#This Row],[Grist]],SMI,0)),0,1))))</f>
        <v>-</v>
      </c>
      <c r="Y171" s="127" t="str">
        <f>IF(INDEX(Extmin,MATCH(Table36[[#This Row],[Grist]],SMI,0))="-","-",IF(Table36[[#This Row],[%Extensibility]]="-","-",IF(Table36[[#This Row],[%Extensibility]]&lt;INDEX(Extmin,MATCH(Table36[[#This Row],[Grist]],SMI,0)),0,IF(Table36[[#This Row],[%Extensibility]]&gt;INDEX(Extmax,MATCH(Table36[[#This Row],[Grist]],SMI,0)),0,1))))</f>
        <v>-</v>
      </c>
      <c r="Z171" s="127" t="str">
        <f>IF(INDEX(Resmin,MATCH(Table36[[#This Row],[Grist]],SMI,0))="-","-",IF(Table36[[#This Row],[Resistance, max]]="-","-",IF(Table36[[#This Row],[Resistance, max]]&lt;INDEX(Resmin,MATCH(Table36[[#This Row],[Grist]],SMI,0)),0,IF(Table36[[#This Row],[Resistance, max]]&gt;INDEX(Resmax,MATCH(Table36[[#This Row],[Grist]],SMI,0)),0,1))))</f>
        <v>-</v>
      </c>
      <c r="AA171" s="127" t="str">
        <f>IF(INDEX(WGmin,MATCH(Table36[[#This Row],[Grist]],SMI,0))="-","-",IF(Table36[[#This Row],[%Wet Gluten]]="-","-",IF(Table36[[#This Row],[%Wet Gluten]]&lt;INDEX(WGmin,MATCH(Table36[[#This Row],[Grist]],SMI,0)),0,IF(Table36[[#This Row],[%Wet Gluten]]&gt;INDEX(WGmax,MATCH(Table36[[#This Row],[Grist]],SMI,0)),0,1))))</f>
        <v>-</v>
      </c>
      <c r="AB171" s="127">
        <f>SUM(Table36[[#This Row],[ QI Bran Content]:[QI WG]])</f>
        <v>3</v>
      </c>
      <c r="AC171" s="127">
        <f>COUNT(Table36[[#This Row],[ QI Bran Content]:[QI WG]])</f>
        <v>4</v>
      </c>
    </row>
    <row r="172" spans="1:29" x14ac:dyDescent="0.35">
      <c r="A172" s="177">
        <v>45292</v>
      </c>
      <c r="B172" s="178">
        <v>45317</v>
      </c>
      <c r="C172" s="178" t="s">
        <v>130</v>
      </c>
      <c r="D172" s="179">
        <v>1.2083333333333299</v>
      </c>
      <c r="E172" s="180" t="s">
        <v>0</v>
      </c>
      <c r="F172" s="181" t="s">
        <v>27</v>
      </c>
      <c r="G172" s="182">
        <v>8.3000000000000001E-3</v>
      </c>
      <c r="H172" s="175" t="s">
        <v>165</v>
      </c>
      <c r="I172" s="175" t="s">
        <v>165</v>
      </c>
      <c r="J172" s="175" t="s">
        <v>165</v>
      </c>
      <c r="K172" s="175">
        <v>11.73</v>
      </c>
      <c r="L172" s="175" t="s">
        <v>163</v>
      </c>
      <c r="M172" s="175" t="s">
        <v>163</v>
      </c>
      <c r="N172" s="175" t="s">
        <v>163</v>
      </c>
      <c r="O172" s="175" t="s">
        <v>163</v>
      </c>
      <c r="P172" s="175" t="s">
        <v>163</v>
      </c>
      <c r="Q172" s="175" t="s">
        <v>163</v>
      </c>
      <c r="R172" s="127">
        <f>IF(Table36[[#This Row],[ Bran Content]]="-","-",IF(G172&lt;0.02,1,0))</f>
        <v>1</v>
      </c>
      <c r="S172" s="127">
        <f>IF(Table36[[#This Row],[Sieve Test]]="-","-",IF(Table36[[#This Row],[Sieve Test]]="P",1,0))</f>
        <v>1</v>
      </c>
      <c r="T172" s="127">
        <f>IF(Table36[[#This Row],[Odor]]="-","-",IF(Table36[[#This Row],[Odor]]="P",1,0))</f>
        <v>1</v>
      </c>
      <c r="U172" s="127">
        <f>IF(INDEX(MCmin,MATCH(Table36[[#This Row],[Grist]],SMI,0))="-","-",IF(Table36[[#This Row],[F1 %MC]]="-","-",IF(Table36[[#This Row],[F1 %MC]]&lt;INDEX(MCmin,MATCH(Table36[[#This Row],[Grist]],SMI,0)),0,IF(Table36[[#This Row],[F1 %MC]]&gt;INDEX(MCmax,MATCH(Table36[[#This Row],[Grist]],SMI,0)),0,1))))</f>
        <v>0</v>
      </c>
      <c r="V172" s="127" t="str">
        <f>IF(INDEX(Protmin,MATCH(Table36[[#This Row],[Grist]],SMI,0))="-","-",IF(Table36[[#This Row],[%Protein]]="-","-",IF(Table36[[#This Row],[%Protein]]&lt;INDEX(Protmin,MATCH(Table36[[#This Row],[Grist]],SMI,0)),0,IF(Table36[[#This Row],[%Protein]]&gt;INDEX(Protmax,MATCH(Table36[[#This Row],[Grist]],SMI,0)),0,1))))</f>
        <v>-</v>
      </c>
      <c r="W172" s="127" t="str">
        <f>IF(INDEX(Ashmin,MATCH(Table36[[#This Row],[Grist]],SMI,0))="-","-",IF(Table36[[#This Row],[%Ash]]="-","-",IF(Table36[[#This Row],[%Ash]]&lt;INDEX(Ashmin,MATCH(Table36[[#This Row],[Grist]],SMI,0)),0,IF(Table36[[#This Row],[%Ash]]&gt;INDEX(Ashmax,MATCH(Table36[[#This Row],[Grist]],SMI,0)),0,1))))</f>
        <v>-</v>
      </c>
      <c r="X172" s="127" t="str">
        <f>IF(INDEX(Absmin,MATCH(Table36[[#This Row],[Grist]],SMI,0))="-","-",IF(Table36[[#This Row],[%Absorption]]="-","-",IF(Table36[[#This Row],[%Absorption]]&lt;INDEX(Absmin,MATCH(Table36[[#This Row],[Grist]],SMI,0)),0,IF(Table36[[#This Row],[%Absorption]]&gt;INDEX(Absmax,MATCH(Table36[[#This Row],[Grist]],SMI,0)),0,1))))</f>
        <v>-</v>
      </c>
      <c r="Y172" s="127" t="str">
        <f>IF(INDEX(Extmin,MATCH(Table36[[#This Row],[Grist]],SMI,0))="-","-",IF(Table36[[#This Row],[%Extensibility]]="-","-",IF(Table36[[#This Row],[%Extensibility]]&lt;INDEX(Extmin,MATCH(Table36[[#This Row],[Grist]],SMI,0)),0,IF(Table36[[#This Row],[%Extensibility]]&gt;INDEX(Extmax,MATCH(Table36[[#This Row],[Grist]],SMI,0)),0,1))))</f>
        <v>-</v>
      </c>
      <c r="Z172" s="127" t="str">
        <f>IF(INDEX(Resmin,MATCH(Table36[[#This Row],[Grist]],SMI,0))="-","-",IF(Table36[[#This Row],[Resistance, max]]="-","-",IF(Table36[[#This Row],[Resistance, max]]&lt;INDEX(Resmin,MATCH(Table36[[#This Row],[Grist]],SMI,0)),0,IF(Table36[[#This Row],[Resistance, max]]&gt;INDEX(Resmax,MATCH(Table36[[#This Row],[Grist]],SMI,0)),0,1))))</f>
        <v>-</v>
      </c>
      <c r="AA172" s="127" t="str">
        <f>IF(INDEX(WGmin,MATCH(Table36[[#This Row],[Grist]],SMI,0))="-","-",IF(Table36[[#This Row],[%Wet Gluten]]="-","-",IF(Table36[[#This Row],[%Wet Gluten]]&lt;INDEX(WGmin,MATCH(Table36[[#This Row],[Grist]],SMI,0)),0,IF(Table36[[#This Row],[%Wet Gluten]]&gt;INDEX(WGmax,MATCH(Table36[[#This Row],[Grist]],SMI,0)),0,1))))</f>
        <v>-</v>
      </c>
      <c r="AB172" s="127">
        <f>SUM(Table36[[#This Row],[ QI Bran Content]:[QI WG]])</f>
        <v>3</v>
      </c>
      <c r="AC172" s="127">
        <f>COUNT(Table36[[#This Row],[ QI Bran Content]:[QI WG]])</f>
        <v>4</v>
      </c>
    </row>
    <row r="173" spans="1:29" x14ac:dyDescent="0.35">
      <c r="A173" s="177">
        <v>45292</v>
      </c>
      <c r="B173" s="178">
        <v>45317</v>
      </c>
      <c r="C173" s="178" t="s">
        <v>130</v>
      </c>
      <c r="D173" s="179">
        <v>1.0416666666666701</v>
      </c>
      <c r="E173" s="180" t="s">
        <v>0</v>
      </c>
      <c r="F173" s="181" t="s">
        <v>27</v>
      </c>
      <c r="G173" s="182">
        <v>8.0000000000000002E-3</v>
      </c>
      <c r="H173" s="175" t="s">
        <v>165</v>
      </c>
      <c r="I173" s="175" t="s">
        <v>165</v>
      </c>
      <c r="J173" s="175" t="s">
        <v>165</v>
      </c>
      <c r="K173" s="175">
        <v>10.73</v>
      </c>
      <c r="L173" s="175">
        <v>12.91</v>
      </c>
      <c r="M173" s="175">
        <v>0.65</v>
      </c>
      <c r="N173" s="175">
        <v>65.900000000000006</v>
      </c>
      <c r="O173" s="175" t="s">
        <v>163</v>
      </c>
      <c r="P173" s="175" t="s">
        <v>163</v>
      </c>
      <c r="Q173" s="175">
        <v>36.22</v>
      </c>
      <c r="R173" s="127">
        <f>IF(Table36[[#This Row],[ Bran Content]]="-","-",IF(G173&lt;0.02,1,0))</f>
        <v>1</v>
      </c>
      <c r="S173" s="127">
        <f>IF(Table36[[#This Row],[Sieve Test]]="-","-",IF(Table36[[#This Row],[Sieve Test]]="P",1,0))</f>
        <v>1</v>
      </c>
      <c r="T173" s="127">
        <f>IF(Table36[[#This Row],[Odor]]="-","-",IF(Table36[[#This Row],[Odor]]="P",1,0))</f>
        <v>1</v>
      </c>
      <c r="U173" s="127">
        <f>IF(INDEX(MCmin,MATCH(Table36[[#This Row],[Grist]],SMI,0))="-","-",IF(Table36[[#This Row],[F1 %MC]]="-","-",IF(Table36[[#This Row],[F1 %MC]]&lt;INDEX(MCmin,MATCH(Table36[[#This Row],[Grist]],SMI,0)),0,IF(Table36[[#This Row],[F1 %MC]]&gt;INDEX(MCmax,MATCH(Table36[[#This Row],[Grist]],SMI,0)),0,1))))</f>
        <v>0</v>
      </c>
      <c r="V173" s="127">
        <f>IF(INDEX(Protmin,MATCH(Table36[[#This Row],[Grist]],SMI,0))="-","-",IF(Table36[[#This Row],[%Protein]]="-","-",IF(Table36[[#This Row],[%Protein]]&lt;INDEX(Protmin,MATCH(Table36[[#This Row],[Grist]],SMI,0)),0,IF(Table36[[#This Row],[%Protein]]&gt;INDEX(Protmax,MATCH(Table36[[#This Row],[Grist]],SMI,0)),0,1))))</f>
        <v>1</v>
      </c>
      <c r="W173" s="127">
        <f>IF(INDEX(Ashmin,MATCH(Table36[[#This Row],[Grist]],SMI,0))="-","-",IF(Table36[[#This Row],[%Ash]]="-","-",IF(Table36[[#This Row],[%Ash]]&lt;INDEX(Ashmin,MATCH(Table36[[#This Row],[Grist]],SMI,0)),0,IF(Table36[[#This Row],[%Ash]]&gt;INDEX(Ashmax,MATCH(Table36[[#This Row],[Grist]],SMI,0)),0,1))))</f>
        <v>1</v>
      </c>
      <c r="X173" s="127">
        <f>IF(INDEX(Absmin,MATCH(Table36[[#This Row],[Grist]],SMI,0))="-","-",IF(Table36[[#This Row],[%Absorption]]="-","-",IF(Table36[[#This Row],[%Absorption]]&lt;INDEX(Absmin,MATCH(Table36[[#This Row],[Grist]],SMI,0)),0,IF(Table36[[#This Row],[%Absorption]]&gt;INDEX(Absmax,MATCH(Table36[[#This Row],[Grist]],SMI,0)),0,1))))</f>
        <v>1</v>
      </c>
      <c r="Y173" s="127" t="str">
        <f>IF(INDEX(Extmin,MATCH(Table36[[#This Row],[Grist]],SMI,0))="-","-",IF(Table36[[#This Row],[%Extensibility]]="-","-",IF(Table36[[#This Row],[%Extensibility]]&lt;INDEX(Extmin,MATCH(Table36[[#This Row],[Grist]],SMI,0)),0,IF(Table36[[#This Row],[%Extensibility]]&gt;INDEX(Extmax,MATCH(Table36[[#This Row],[Grist]],SMI,0)),0,1))))</f>
        <v>-</v>
      </c>
      <c r="Z173" s="127" t="str">
        <f>IF(INDEX(Resmin,MATCH(Table36[[#This Row],[Grist]],SMI,0))="-","-",IF(Table36[[#This Row],[Resistance, max]]="-","-",IF(Table36[[#This Row],[Resistance, max]]&lt;INDEX(Resmin,MATCH(Table36[[#This Row],[Grist]],SMI,0)),0,IF(Table36[[#This Row],[Resistance, max]]&gt;INDEX(Resmax,MATCH(Table36[[#This Row],[Grist]],SMI,0)),0,1))))</f>
        <v>-</v>
      </c>
      <c r="AA173" s="127">
        <f>IF(INDEX(WGmin,MATCH(Table36[[#This Row],[Grist]],SMI,0))="-","-",IF(Table36[[#This Row],[%Wet Gluten]]="-","-",IF(Table36[[#This Row],[%Wet Gluten]]&lt;INDEX(WGmin,MATCH(Table36[[#This Row],[Grist]],SMI,0)),0,IF(Table36[[#This Row],[%Wet Gluten]]&gt;INDEX(WGmax,MATCH(Table36[[#This Row],[Grist]],SMI,0)),0,1))))</f>
        <v>1</v>
      </c>
      <c r="AB173" s="127">
        <f>SUM(Table36[[#This Row],[ QI Bran Content]:[QI WG]])</f>
        <v>7</v>
      </c>
      <c r="AC173" s="127">
        <f>COUNT(Table36[[#This Row],[ QI Bran Content]:[QI WG]])</f>
        <v>8</v>
      </c>
    </row>
    <row r="174" spans="1:29" x14ac:dyDescent="0.35">
      <c r="A174" s="177">
        <v>45292</v>
      </c>
      <c r="B174" s="178">
        <v>45317</v>
      </c>
      <c r="C174" s="178" t="s">
        <v>130</v>
      </c>
      <c r="D174" s="179">
        <v>1.125</v>
      </c>
      <c r="E174" s="180" t="s">
        <v>0</v>
      </c>
      <c r="F174" s="181" t="s">
        <v>27</v>
      </c>
      <c r="G174" s="182">
        <v>8.6E-3</v>
      </c>
      <c r="H174" s="175" t="s">
        <v>165</v>
      </c>
      <c r="I174" s="175" t="s">
        <v>165</v>
      </c>
      <c r="J174" s="175" t="s">
        <v>165</v>
      </c>
      <c r="K174" s="175">
        <v>11.26</v>
      </c>
      <c r="L174" s="175" t="s">
        <v>163</v>
      </c>
      <c r="M174" s="175" t="s">
        <v>163</v>
      </c>
      <c r="N174" s="175" t="s">
        <v>163</v>
      </c>
      <c r="O174" s="175" t="s">
        <v>163</v>
      </c>
      <c r="P174" s="175" t="s">
        <v>163</v>
      </c>
      <c r="Q174" s="175" t="s">
        <v>163</v>
      </c>
      <c r="R174" s="127">
        <f>IF(Table36[[#This Row],[ Bran Content]]="-","-",IF(G174&lt;0.02,1,0))</f>
        <v>1</v>
      </c>
      <c r="S174" s="127">
        <f>IF(Table36[[#This Row],[Sieve Test]]="-","-",IF(Table36[[#This Row],[Sieve Test]]="P",1,0))</f>
        <v>1</v>
      </c>
      <c r="T174" s="127">
        <f>IF(Table36[[#This Row],[Odor]]="-","-",IF(Table36[[#This Row],[Odor]]="P",1,0))</f>
        <v>1</v>
      </c>
      <c r="U174" s="127">
        <f>IF(INDEX(MCmin,MATCH(Table36[[#This Row],[Grist]],SMI,0))="-","-",IF(Table36[[#This Row],[F1 %MC]]="-","-",IF(Table36[[#This Row],[F1 %MC]]&lt;INDEX(MCmin,MATCH(Table36[[#This Row],[Grist]],SMI,0)),0,IF(Table36[[#This Row],[F1 %MC]]&gt;INDEX(MCmax,MATCH(Table36[[#This Row],[Grist]],SMI,0)),0,1))))</f>
        <v>0</v>
      </c>
      <c r="V174" s="127" t="str">
        <f>IF(INDEX(Protmin,MATCH(Table36[[#This Row],[Grist]],SMI,0))="-","-",IF(Table36[[#This Row],[%Protein]]="-","-",IF(Table36[[#This Row],[%Protein]]&lt;INDEX(Protmin,MATCH(Table36[[#This Row],[Grist]],SMI,0)),0,IF(Table36[[#This Row],[%Protein]]&gt;INDEX(Protmax,MATCH(Table36[[#This Row],[Grist]],SMI,0)),0,1))))</f>
        <v>-</v>
      </c>
      <c r="W174" s="127" t="str">
        <f>IF(INDEX(Ashmin,MATCH(Table36[[#This Row],[Grist]],SMI,0))="-","-",IF(Table36[[#This Row],[%Ash]]="-","-",IF(Table36[[#This Row],[%Ash]]&lt;INDEX(Ashmin,MATCH(Table36[[#This Row],[Grist]],SMI,0)),0,IF(Table36[[#This Row],[%Ash]]&gt;INDEX(Ashmax,MATCH(Table36[[#This Row],[Grist]],SMI,0)),0,1))))</f>
        <v>-</v>
      </c>
      <c r="X174" s="127" t="str">
        <f>IF(INDEX(Absmin,MATCH(Table36[[#This Row],[Grist]],SMI,0))="-","-",IF(Table36[[#This Row],[%Absorption]]="-","-",IF(Table36[[#This Row],[%Absorption]]&lt;INDEX(Absmin,MATCH(Table36[[#This Row],[Grist]],SMI,0)),0,IF(Table36[[#This Row],[%Absorption]]&gt;INDEX(Absmax,MATCH(Table36[[#This Row],[Grist]],SMI,0)),0,1))))</f>
        <v>-</v>
      </c>
      <c r="Y174" s="127" t="str">
        <f>IF(INDEX(Extmin,MATCH(Table36[[#This Row],[Grist]],SMI,0))="-","-",IF(Table36[[#This Row],[%Extensibility]]="-","-",IF(Table36[[#This Row],[%Extensibility]]&lt;INDEX(Extmin,MATCH(Table36[[#This Row],[Grist]],SMI,0)),0,IF(Table36[[#This Row],[%Extensibility]]&gt;INDEX(Extmax,MATCH(Table36[[#This Row],[Grist]],SMI,0)),0,1))))</f>
        <v>-</v>
      </c>
      <c r="Z174" s="127" t="str">
        <f>IF(INDEX(Resmin,MATCH(Table36[[#This Row],[Grist]],SMI,0))="-","-",IF(Table36[[#This Row],[Resistance, max]]="-","-",IF(Table36[[#This Row],[Resistance, max]]&lt;INDEX(Resmin,MATCH(Table36[[#This Row],[Grist]],SMI,0)),0,IF(Table36[[#This Row],[Resistance, max]]&gt;INDEX(Resmax,MATCH(Table36[[#This Row],[Grist]],SMI,0)),0,1))))</f>
        <v>-</v>
      </c>
      <c r="AA174" s="127" t="str">
        <f>IF(INDEX(WGmin,MATCH(Table36[[#This Row],[Grist]],SMI,0))="-","-",IF(Table36[[#This Row],[%Wet Gluten]]="-","-",IF(Table36[[#This Row],[%Wet Gluten]]&lt;INDEX(WGmin,MATCH(Table36[[#This Row],[Grist]],SMI,0)),0,IF(Table36[[#This Row],[%Wet Gluten]]&gt;INDEX(WGmax,MATCH(Table36[[#This Row],[Grist]],SMI,0)),0,1))))</f>
        <v>-</v>
      </c>
      <c r="AB174" s="127">
        <f>SUM(Table36[[#This Row],[ QI Bran Content]:[QI WG]])</f>
        <v>3</v>
      </c>
      <c r="AC174" s="127">
        <f>COUNT(Table36[[#This Row],[ QI Bran Content]:[QI WG]])</f>
        <v>4</v>
      </c>
    </row>
    <row r="175" spans="1:29" x14ac:dyDescent="0.35">
      <c r="A175" s="177">
        <v>45292</v>
      </c>
      <c r="B175" s="178">
        <v>45317</v>
      </c>
      <c r="C175" s="178" t="s">
        <v>130</v>
      </c>
      <c r="D175" s="179">
        <v>1.2083333333333299</v>
      </c>
      <c r="E175" s="180" t="s">
        <v>0</v>
      </c>
      <c r="F175" s="181" t="s">
        <v>27</v>
      </c>
      <c r="G175" s="182">
        <v>1.18E-2</v>
      </c>
      <c r="H175" s="175" t="s">
        <v>165</v>
      </c>
      <c r="I175" s="175" t="s">
        <v>165</v>
      </c>
      <c r="J175" s="175" t="s">
        <v>165</v>
      </c>
      <c r="K175" s="175">
        <v>11.26</v>
      </c>
      <c r="L175" s="175" t="s">
        <v>163</v>
      </c>
      <c r="M175" s="175" t="s">
        <v>163</v>
      </c>
      <c r="N175" s="175" t="s">
        <v>163</v>
      </c>
      <c r="O175" s="175" t="s">
        <v>163</v>
      </c>
      <c r="P175" s="175" t="s">
        <v>163</v>
      </c>
      <c r="Q175" s="175" t="s">
        <v>163</v>
      </c>
      <c r="R175" s="127">
        <f>IF(Table36[[#This Row],[ Bran Content]]="-","-",IF(G175&lt;0.02,1,0))</f>
        <v>1</v>
      </c>
      <c r="S175" s="127">
        <f>IF(Table36[[#This Row],[Sieve Test]]="-","-",IF(Table36[[#This Row],[Sieve Test]]="P",1,0))</f>
        <v>1</v>
      </c>
      <c r="T175" s="127">
        <f>IF(Table36[[#This Row],[Odor]]="-","-",IF(Table36[[#This Row],[Odor]]="P",1,0))</f>
        <v>1</v>
      </c>
      <c r="U175" s="127">
        <f>IF(INDEX(MCmin,MATCH(Table36[[#This Row],[Grist]],SMI,0))="-","-",IF(Table36[[#This Row],[F1 %MC]]="-","-",IF(Table36[[#This Row],[F1 %MC]]&lt;INDEX(MCmin,MATCH(Table36[[#This Row],[Grist]],SMI,0)),0,IF(Table36[[#This Row],[F1 %MC]]&gt;INDEX(MCmax,MATCH(Table36[[#This Row],[Grist]],SMI,0)),0,1))))</f>
        <v>0</v>
      </c>
      <c r="V175" s="127" t="str">
        <f>IF(INDEX(Protmin,MATCH(Table36[[#This Row],[Grist]],SMI,0))="-","-",IF(Table36[[#This Row],[%Protein]]="-","-",IF(Table36[[#This Row],[%Protein]]&lt;INDEX(Protmin,MATCH(Table36[[#This Row],[Grist]],SMI,0)),0,IF(Table36[[#This Row],[%Protein]]&gt;INDEX(Protmax,MATCH(Table36[[#This Row],[Grist]],SMI,0)),0,1))))</f>
        <v>-</v>
      </c>
      <c r="W175" s="127" t="str">
        <f>IF(INDEX(Ashmin,MATCH(Table36[[#This Row],[Grist]],SMI,0))="-","-",IF(Table36[[#This Row],[%Ash]]="-","-",IF(Table36[[#This Row],[%Ash]]&lt;INDEX(Ashmin,MATCH(Table36[[#This Row],[Grist]],SMI,0)),0,IF(Table36[[#This Row],[%Ash]]&gt;INDEX(Ashmax,MATCH(Table36[[#This Row],[Grist]],SMI,0)),0,1))))</f>
        <v>-</v>
      </c>
      <c r="X175" s="127" t="str">
        <f>IF(INDEX(Absmin,MATCH(Table36[[#This Row],[Grist]],SMI,0))="-","-",IF(Table36[[#This Row],[%Absorption]]="-","-",IF(Table36[[#This Row],[%Absorption]]&lt;INDEX(Absmin,MATCH(Table36[[#This Row],[Grist]],SMI,0)),0,IF(Table36[[#This Row],[%Absorption]]&gt;INDEX(Absmax,MATCH(Table36[[#This Row],[Grist]],SMI,0)),0,1))))</f>
        <v>-</v>
      </c>
      <c r="Y175" s="127" t="str">
        <f>IF(INDEX(Extmin,MATCH(Table36[[#This Row],[Grist]],SMI,0))="-","-",IF(Table36[[#This Row],[%Extensibility]]="-","-",IF(Table36[[#This Row],[%Extensibility]]&lt;INDEX(Extmin,MATCH(Table36[[#This Row],[Grist]],SMI,0)),0,IF(Table36[[#This Row],[%Extensibility]]&gt;INDEX(Extmax,MATCH(Table36[[#This Row],[Grist]],SMI,0)),0,1))))</f>
        <v>-</v>
      </c>
      <c r="Z175" s="127" t="str">
        <f>IF(INDEX(Resmin,MATCH(Table36[[#This Row],[Grist]],SMI,0))="-","-",IF(Table36[[#This Row],[Resistance, max]]="-","-",IF(Table36[[#This Row],[Resistance, max]]&lt;INDEX(Resmin,MATCH(Table36[[#This Row],[Grist]],SMI,0)),0,IF(Table36[[#This Row],[Resistance, max]]&gt;INDEX(Resmax,MATCH(Table36[[#This Row],[Grist]],SMI,0)),0,1))))</f>
        <v>-</v>
      </c>
      <c r="AA175" s="127" t="str">
        <f>IF(INDEX(WGmin,MATCH(Table36[[#This Row],[Grist]],SMI,0))="-","-",IF(Table36[[#This Row],[%Wet Gluten]]="-","-",IF(Table36[[#This Row],[%Wet Gluten]]&lt;INDEX(WGmin,MATCH(Table36[[#This Row],[Grist]],SMI,0)),0,IF(Table36[[#This Row],[%Wet Gluten]]&gt;INDEX(WGmax,MATCH(Table36[[#This Row],[Grist]],SMI,0)),0,1))))</f>
        <v>-</v>
      </c>
      <c r="AB175" s="127">
        <f>SUM(Table36[[#This Row],[ QI Bran Content]:[QI WG]])</f>
        <v>3</v>
      </c>
      <c r="AC175" s="127">
        <f>COUNT(Table36[[#This Row],[ QI Bran Content]:[QI WG]])</f>
        <v>4</v>
      </c>
    </row>
    <row r="176" spans="1:29" x14ac:dyDescent="0.35">
      <c r="A176" s="177">
        <v>45292</v>
      </c>
      <c r="B176" s="178">
        <v>45317</v>
      </c>
      <c r="C176" s="178" t="s">
        <v>128</v>
      </c>
      <c r="D176" s="179">
        <v>0.625</v>
      </c>
      <c r="E176" s="180" t="s">
        <v>0</v>
      </c>
      <c r="F176" s="181" t="s">
        <v>27</v>
      </c>
      <c r="G176" s="182">
        <v>1.29E-2</v>
      </c>
      <c r="H176" s="175" t="s">
        <v>165</v>
      </c>
      <c r="I176" s="175" t="s">
        <v>165</v>
      </c>
      <c r="J176" s="175" t="s">
        <v>165</v>
      </c>
      <c r="K176" s="175">
        <v>11.49</v>
      </c>
      <c r="L176" s="175">
        <v>13.13</v>
      </c>
      <c r="M176" s="175">
        <v>0.56999999999999995</v>
      </c>
      <c r="N176" s="175">
        <v>65.8</v>
      </c>
      <c r="O176" s="175" t="s">
        <v>163</v>
      </c>
      <c r="P176" s="175" t="s">
        <v>163</v>
      </c>
      <c r="Q176" s="175">
        <v>36.93</v>
      </c>
      <c r="R176" s="127">
        <f>IF(Table36[[#This Row],[ Bran Content]]="-","-",IF(G176&lt;0.02,1,0))</f>
        <v>1</v>
      </c>
      <c r="S176" s="127">
        <f>IF(Table36[[#This Row],[Sieve Test]]="-","-",IF(Table36[[#This Row],[Sieve Test]]="P",1,0))</f>
        <v>1</v>
      </c>
      <c r="T176" s="127">
        <f>IF(Table36[[#This Row],[Odor]]="-","-",IF(Table36[[#This Row],[Odor]]="P",1,0))</f>
        <v>1</v>
      </c>
      <c r="U176" s="127">
        <f>IF(INDEX(MCmin,MATCH(Table36[[#This Row],[Grist]],SMI,0))="-","-",IF(Table36[[#This Row],[F1 %MC]]="-","-",IF(Table36[[#This Row],[F1 %MC]]&lt;INDEX(MCmin,MATCH(Table36[[#This Row],[Grist]],SMI,0)),0,IF(Table36[[#This Row],[F1 %MC]]&gt;INDEX(MCmax,MATCH(Table36[[#This Row],[Grist]],SMI,0)),0,1))))</f>
        <v>0</v>
      </c>
      <c r="V176" s="127">
        <f>IF(INDEX(Protmin,MATCH(Table36[[#This Row],[Grist]],SMI,0))="-","-",IF(Table36[[#This Row],[%Protein]]="-","-",IF(Table36[[#This Row],[%Protein]]&lt;INDEX(Protmin,MATCH(Table36[[#This Row],[Grist]],SMI,0)),0,IF(Table36[[#This Row],[%Protein]]&gt;INDEX(Protmax,MATCH(Table36[[#This Row],[Grist]],SMI,0)),0,1))))</f>
        <v>1</v>
      </c>
      <c r="W176" s="127">
        <f>IF(INDEX(Ashmin,MATCH(Table36[[#This Row],[Grist]],SMI,0))="-","-",IF(Table36[[#This Row],[%Ash]]="-","-",IF(Table36[[#This Row],[%Ash]]&lt;INDEX(Ashmin,MATCH(Table36[[#This Row],[Grist]],SMI,0)),0,IF(Table36[[#This Row],[%Ash]]&gt;INDEX(Ashmax,MATCH(Table36[[#This Row],[Grist]],SMI,0)),0,1))))</f>
        <v>1</v>
      </c>
      <c r="X176" s="127">
        <f>IF(INDEX(Absmin,MATCH(Table36[[#This Row],[Grist]],SMI,0))="-","-",IF(Table36[[#This Row],[%Absorption]]="-","-",IF(Table36[[#This Row],[%Absorption]]&lt;INDEX(Absmin,MATCH(Table36[[#This Row],[Grist]],SMI,0)),0,IF(Table36[[#This Row],[%Absorption]]&gt;INDEX(Absmax,MATCH(Table36[[#This Row],[Grist]],SMI,0)),0,1))))</f>
        <v>1</v>
      </c>
      <c r="Y176" s="127" t="str">
        <f>IF(INDEX(Extmin,MATCH(Table36[[#This Row],[Grist]],SMI,0))="-","-",IF(Table36[[#This Row],[%Extensibility]]="-","-",IF(Table36[[#This Row],[%Extensibility]]&lt;INDEX(Extmin,MATCH(Table36[[#This Row],[Grist]],SMI,0)),0,IF(Table36[[#This Row],[%Extensibility]]&gt;INDEX(Extmax,MATCH(Table36[[#This Row],[Grist]],SMI,0)),0,1))))</f>
        <v>-</v>
      </c>
      <c r="Z176" s="127" t="str">
        <f>IF(INDEX(Resmin,MATCH(Table36[[#This Row],[Grist]],SMI,0))="-","-",IF(Table36[[#This Row],[Resistance, max]]="-","-",IF(Table36[[#This Row],[Resistance, max]]&lt;INDEX(Resmin,MATCH(Table36[[#This Row],[Grist]],SMI,0)),0,IF(Table36[[#This Row],[Resistance, max]]&gt;INDEX(Resmax,MATCH(Table36[[#This Row],[Grist]],SMI,0)),0,1))))</f>
        <v>-</v>
      </c>
      <c r="AA176" s="127">
        <f>IF(INDEX(WGmin,MATCH(Table36[[#This Row],[Grist]],SMI,0))="-","-",IF(Table36[[#This Row],[%Wet Gluten]]="-","-",IF(Table36[[#This Row],[%Wet Gluten]]&lt;INDEX(WGmin,MATCH(Table36[[#This Row],[Grist]],SMI,0)),0,IF(Table36[[#This Row],[%Wet Gluten]]&gt;INDEX(WGmax,MATCH(Table36[[#This Row],[Grist]],SMI,0)),0,1))))</f>
        <v>1</v>
      </c>
      <c r="AB176" s="127">
        <f>SUM(Table36[[#This Row],[ QI Bran Content]:[QI WG]])</f>
        <v>7</v>
      </c>
      <c r="AC176" s="127">
        <f>COUNT(Table36[[#This Row],[ QI Bran Content]:[QI WG]])</f>
        <v>8</v>
      </c>
    </row>
    <row r="177" spans="1:29" x14ac:dyDescent="0.35">
      <c r="A177" s="177">
        <v>45292</v>
      </c>
      <c r="B177" s="178">
        <v>45317</v>
      </c>
      <c r="C177" s="178" t="s">
        <v>128</v>
      </c>
      <c r="D177" s="179">
        <v>0.70833333333333304</v>
      </c>
      <c r="E177" s="180" t="s">
        <v>0</v>
      </c>
      <c r="F177" s="181" t="s">
        <v>27</v>
      </c>
      <c r="G177" s="182">
        <v>1.06E-2</v>
      </c>
      <c r="H177" s="175" t="s">
        <v>165</v>
      </c>
      <c r="I177" s="175" t="s">
        <v>165</v>
      </c>
      <c r="J177" s="175" t="s">
        <v>165</v>
      </c>
      <c r="K177" s="175">
        <v>11.55</v>
      </c>
      <c r="L177" s="175" t="s">
        <v>163</v>
      </c>
      <c r="M177" s="175" t="s">
        <v>163</v>
      </c>
      <c r="N177" s="175" t="s">
        <v>163</v>
      </c>
      <c r="O177" s="175" t="s">
        <v>163</v>
      </c>
      <c r="P177" s="175" t="s">
        <v>163</v>
      </c>
      <c r="Q177" s="175" t="s">
        <v>163</v>
      </c>
      <c r="R177" s="127">
        <f>IF(Table36[[#This Row],[ Bran Content]]="-","-",IF(G177&lt;0.02,1,0))</f>
        <v>1</v>
      </c>
      <c r="S177" s="127">
        <f>IF(Table36[[#This Row],[Sieve Test]]="-","-",IF(Table36[[#This Row],[Sieve Test]]="P",1,0))</f>
        <v>1</v>
      </c>
      <c r="T177" s="127">
        <f>IF(Table36[[#This Row],[Odor]]="-","-",IF(Table36[[#This Row],[Odor]]="P",1,0))</f>
        <v>1</v>
      </c>
      <c r="U177" s="127">
        <f>IF(INDEX(MCmin,MATCH(Table36[[#This Row],[Grist]],SMI,0))="-","-",IF(Table36[[#This Row],[F1 %MC]]="-","-",IF(Table36[[#This Row],[F1 %MC]]&lt;INDEX(MCmin,MATCH(Table36[[#This Row],[Grist]],SMI,0)),0,IF(Table36[[#This Row],[F1 %MC]]&gt;INDEX(MCmax,MATCH(Table36[[#This Row],[Grist]],SMI,0)),0,1))))</f>
        <v>0</v>
      </c>
      <c r="V177" s="127" t="str">
        <f>IF(INDEX(Protmin,MATCH(Table36[[#This Row],[Grist]],SMI,0))="-","-",IF(Table36[[#This Row],[%Protein]]="-","-",IF(Table36[[#This Row],[%Protein]]&lt;INDEX(Protmin,MATCH(Table36[[#This Row],[Grist]],SMI,0)),0,IF(Table36[[#This Row],[%Protein]]&gt;INDEX(Protmax,MATCH(Table36[[#This Row],[Grist]],SMI,0)),0,1))))</f>
        <v>-</v>
      </c>
      <c r="W177" s="127" t="str">
        <f>IF(INDEX(Ashmin,MATCH(Table36[[#This Row],[Grist]],SMI,0))="-","-",IF(Table36[[#This Row],[%Ash]]="-","-",IF(Table36[[#This Row],[%Ash]]&lt;INDEX(Ashmin,MATCH(Table36[[#This Row],[Grist]],SMI,0)),0,IF(Table36[[#This Row],[%Ash]]&gt;INDEX(Ashmax,MATCH(Table36[[#This Row],[Grist]],SMI,0)),0,1))))</f>
        <v>-</v>
      </c>
      <c r="X177" s="127" t="str">
        <f>IF(INDEX(Absmin,MATCH(Table36[[#This Row],[Grist]],SMI,0))="-","-",IF(Table36[[#This Row],[%Absorption]]="-","-",IF(Table36[[#This Row],[%Absorption]]&lt;INDEX(Absmin,MATCH(Table36[[#This Row],[Grist]],SMI,0)),0,IF(Table36[[#This Row],[%Absorption]]&gt;INDEX(Absmax,MATCH(Table36[[#This Row],[Grist]],SMI,0)),0,1))))</f>
        <v>-</v>
      </c>
      <c r="Y177" s="127" t="str">
        <f>IF(INDEX(Extmin,MATCH(Table36[[#This Row],[Grist]],SMI,0))="-","-",IF(Table36[[#This Row],[%Extensibility]]="-","-",IF(Table36[[#This Row],[%Extensibility]]&lt;INDEX(Extmin,MATCH(Table36[[#This Row],[Grist]],SMI,0)),0,IF(Table36[[#This Row],[%Extensibility]]&gt;INDEX(Extmax,MATCH(Table36[[#This Row],[Grist]],SMI,0)),0,1))))</f>
        <v>-</v>
      </c>
      <c r="Z177" s="127" t="str">
        <f>IF(INDEX(Resmin,MATCH(Table36[[#This Row],[Grist]],SMI,0))="-","-",IF(Table36[[#This Row],[Resistance, max]]="-","-",IF(Table36[[#This Row],[Resistance, max]]&lt;INDEX(Resmin,MATCH(Table36[[#This Row],[Grist]],SMI,0)),0,IF(Table36[[#This Row],[Resistance, max]]&gt;INDEX(Resmax,MATCH(Table36[[#This Row],[Grist]],SMI,0)),0,1))))</f>
        <v>-</v>
      </c>
      <c r="AA177" s="127" t="str">
        <f>IF(INDEX(WGmin,MATCH(Table36[[#This Row],[Grist]],SMI,0))="-","-",IF(Table36[[#This Row],[%Wet Gluten]]="-","-",IF(Table36[[#This Row],[%Wet Gluten]]&lt;INDEX(WGmin,MATCH(Table36[[#This Row],[Grist]],SMI,0)),0,IF(Table36[[#This Row],[%Wet Gluten]]&gt;INDEX(WGmax,MATCH(Table36[[#This Row],[Grist]],SMI,0)),0,1))))</f>
        <v>-</v>
      </c>
      <c r="AB177" s="127">
        <f>SUM(Table36[[#This Row],[ QI Bran Content]:[QI WG]])</f>
        <v>3</v>
      </c>
      <c r="AC177" s="127">
        <f>COUNT(Table36[[#This Row],[ QI Bran Content]:[QI WG]])</f>
        <v>4</v>
      </c>
    </row>
    <row r="178" spans="1:29" x14ac:dyDescent="0.35">
      <c r="A178" s="177">
        <v>45292</v>
      </c>
      <c r="B178" s="178">
        <v>45317</v>
      </c>
      <c r="C178" s="178" t="s">
        <v>128</v>
      </c>
      <c r="D178" s="179">
        <v>0.79166666666666596</v>
      </c>
      <c r="E178" s="180" t="s">
        <v>0</v>
      </c>
      <c r="F178" s="181" t="s">
        <v>27</v>
      </c>
      <c r="G178" s="182">
        <v>7.9000000000000008E-3</v>
      </c>
      <c r="H178" s="175" t="s">
        <v>165</v>
      </c>
      <c r="I178" s="175" t="s">
        <v>165</v>
      </c>
      <c r="J178" s="175" t="s">
        <v>165</v>
      </c>
      <c r="K178" s="175">
        <v>11.53</v>
      </c>
      <c r="L178" s="175" t="s">
        <v>163</v>
      </c>
      <c r="M178" s="175" t="s">
        <v>163</v>
      </c>
      <c r="N178" s="175" t="s">
        <v>163</v>
      </c>
      <c r="O178" s="175" t="s">
        <v>163</v>
      </c>
      <c r="P178" s="175" t="s">
        <v>163</v>
      </c>
      <c r="Q178" s="175" t="s">
        <v>163</v>
      </c>
      <c r="R178" s="127">
        <f>IF(Table36[[#This Row],[ Bran Content]]="-","-",IF(G178&lt;0.02,1,0))</f>
        <v>1</v>
      </c>
      <c r="S178" s="127">
        <f>IF(Table36[[#This Row],[Sieve Test]]="-","-",IF(Table36[[#This Row],[Sieve Test]]="P",1,0))</f>
        <v>1</v>
      </c>
      <c r="T178" s="127">
        <f>IF(Table36[[#This Row],[Odor]]="-","-",IF(Table36[[#This Row],[Odor]]="P",1,0))</f>
        <v>1</v>
      </c>
      <c r="U178" s="127">
        <f>IF(INDEX(MCmin,MATCH(Table36[[#This Row],[Grist]],SMI,0))="-","-",IF(Table36[[#This Row],[F1 %MC]]="-","-",IF(Table36[[#This Row],[F1 %MC]]&lt;INDEX(MCmin,MATCH(Table36[[#This Row],[Grist]],SMI,0)),0,IF(Table36[[#This Row],[F1 %MC]]&gt;INDEX(MCmax,MATCH(Table36[[#This Row],[Grist]],SMI,0)),0,1))))</f>
        <v>0</v>
      </c>
      <c r="V178" s="127" t="str">
        <f>IF(INDEX(Protmin,MATCH(Table36[[#This Row],[Grist]],SMI,0))="-","-",IF(Table36[[#This Row],[%Protein]]="-","-",IF(Table36[[#This Row],[%Protein]]&lt;INDEX(Protmin,MATCH(Table36[[#This Row],[Grist]],SMI,0)),0,IF(Table36[[#This Row],[%Protein]]&gt;INDEX(Protmax,MATCH(Table36[[#This Row],[Grist]],SMI,0)),0,1))))</f>
        <v>-</v>
      </c>
      <c r="W178" s="127" t="str">
        <f>IF(INDEX(Ashmin,MATCH(Table36[[#This Row],[Grist]],SMI,0))="-","-",IF(Table36[[#This Row],[%Ash]]="-","-",IF(Table36[[#This Row],[%Ash]]&lt;INDEX(Ashmin,MATCH(Table36[[#This Row],[Grist]],SMI,0)),0,IF(Table36[[#This Row],[%Ash]]&gt;INDEX(Ashmax,MATCH(Table36[[#This Row],[Grist]],SMI,0)),0,1))))</f>
        <v>-</v>
      </c>
      <c r="X178" s="127" t="str">
        <f>IF(INDEX(Absmin,MATCH(Table36[[#This Row],[Grist]],SMI,0))="-","-",IF(Table36[[#This Row],[%Absorption]]="-","-",IF(Table36[[#This Row],[%Absorption]]&lt;INDEX(Absmin,MATCH(Table36[[#This Row],[Grist]],SMI,0)),0,IF(Table36[[#This Row],[%Absorption]]&gt;INDEX(Absmax,MATCH(Table36[[#This Row],[Grist]],SMI,0)),0,1))))</f>
        <v>-</v>
      </c>
      <c r="Y178" s="127" t="str">
        <f>IF(INDEX(Extmin,MATCH(Table36[[#This Row],[Grist]],SMI,0))="-","-",IF(Table36[[#This Row],[%Extensibility]]="-","-",IF(Table36[[#This Row],[%Extensibility]]&lt;INDEX(Extmin,MATCH(Table36[[#This Row],[Grist]],SMI,0)),0,IF(Table36[[#This Row],[%Extensibility]]&gt;INDEX(Extmax,MATCH(Table36[[#This Row],[Grist]],SMI,0)),0,1))))</f>
        <v>-</v>
      </c>
      <c r="Z178" s="127" t="str">
        <f>IF(INDEX(Resmin,MATCH(Table36[[#This Row],[Grist]],SMI,0))="-","-",IF(Table36[[#This Row],[Resistance, max]]="-","-",IF(Table36[[#This Row],[Resistance, max]]&lt;INDEX(Resmin,MATCH(Table36[[#This Row],[Grist]],SMI,0)),0,IF(Table36[[#This Row],[Resistance, max]]&gt;INDEX(Resmax,MATCH(Table36[[#This Row],[Grist]],SMI,0)),0,1))))</f>
        <v>-</v>
      </c>
      <c r="AA178" s="127" t="str">
        <f>IF(INDEX(WGmin,MATCH(Table36[[#This Row],[Grist]],SMI,0))="-","-",IF(Table36[[#This Row],[%Wet Gluten]]="-","-",IF(Table36[[#This Row],[%Wet Gluten]]&lt;INDEX(WGmin,MATCH(Table36[[#This Row],[Grist]],SMI,0)),0,IF(Table36[[#This Row],[%Wet Gluten]]&gt;INDEX(WGmax,MATCH(Table36[[#This Row],[Grist]],SMI,0)),0,1))))</f>
        <v>-</v>
      </c>
      <c r="AB178" s="127">
        <f>SUM(Table36[[#This Row],[ QI Bran Content]:[QI WG]])</f>
        <v>3</v>
      </c>
      <c r="AC178" s="127">
        <f>COUNT(Table36[[#This Row],[ QI Bran Content]:[QI WG]])</f>
        <v>4</v>
      </c>
    </row>
    <row r="179" spans="1:29" x14ac:dyDescent="0.35">
      <c r="A179" s="177">
        <v>45292</v>
      </c>
      <c r="B179" s="178">
        <v>45317</v>
      </c>
      <c r="C179" s="178" t="s">
        <v>128</v>
      </c>
      <c r="D179" s="179">
        <v>0.874999999999999</v>
      </c>
      <c r="E179" s="180" t="s">
        <v>0</v>
      </c>
      <c r="F179" s="181" t="s">
        <v>27</v>
      </c>
      <c r="G179" s="182">
        <v>8.6999999999999994E-3</v>
      </c>
      <c r="H179" s="175" t="s">
        <v>165</v>
      </c>
      <c r="I179" s="175" t="s">
        <v>165</v>
      </c>
      <c r="J179" s="175" t="s">
        <v>165</v>
      </c>
      <c r="K179" s="175">
        <v>10.83</v>
      </c>
      <c r="L179" s="175" t="s">
        <v>163</v>
      </c>
      <c r="M179" s="175" t="s">
        <v>163</v>
      </c>
      <c r="N179" s="175" t="s">
        <v>163</v>
      </c>
      <c r="O179" s="175" t="s">
        <v>163</v>
      </c>
      <c r="P179" s="175" t="s">
        <v>163</v>
      </c>
      <c r="Q179" s="175" t="s">
        <v>163</v>
      </c>
      <c r="R179" s="127">
        <f>IF(Table36[[#This Row],[ Bran Content]]="-","-",IF(G179&lt;0.02,1,0))</f>
        <v>1</v>
      </c>
      <c r="S179" s="127">
        <f>IF(Table36[[#This Row],[Sieve Test]]="-","-",IF(Table36[[#This Row],[Sieve Test]]="P",1,0))</f>
        <v>1</v>
      </c>
      <c r="T179" s="127">
        <f>IF(Table36[[#This Row],[Odor]]="-","-",IF(Table36[[#This Row],[Odor]]="P",1,0))</f>
        <v>1</v>
      </c>
      <c r="U179" s="127">
        <f>IF(INDEX(MCmin,MATCH(Table36[[#This Row],[Grist]],SMI,0))="-","-",IF(Table36[[#This Row],[F1 %MC]]="-","-",IF(Table36[[#This Row],[F1 %MC]]&lt;INDEX(MCmin,MATCH(Table36[[#This Row],[Grist]],SMI,0)),0,IF(Table36[[#This Row],[F1 %MC]]&gt;INDEX(MCmax,MATCH(Table36[[#This Row],[Grist]],SMI,0)),0,1))))</f>
        <v>0</v>
      </c>
      <c r="V179" s="127" t="str">
        <f>IF(INDEX(Protmin,MATCH(Table36[[#This Row],[Grist]],SMI,0))="-","-",IF(Table36[[#This Row],[%Protein]]="-","-",IF(Table36[[#This Row],[%Protein]]&lt;INDEX(Protmin,MATCH(Table36[[#This Row],[Grist]],SMI,0)),0,IF(Table36[[#This Row],[%Protein]]&gt;INDEX(Protmax,MATCH(Table36[[#This Row],[Grist]],SMI,0)),0,1))))</f>
        <v>-</v>
      </c>
      <c r="W179" s="127" t="str">
        <f>IF(INDEX(Ashmin,MATCH(Table36[[#This Row],[Grist]],SMI,0))="-","-",IF(Table36[[#This Row],[%Ash]]="-","-",IF(Table36[[#This Row],[%Ash]]&lt;INDEX(Ashmin,MATCH(Table36[[#This Row],[Grist]],SMI,0)),0,IF(Table36[[#This Row],[%Ash]]&gt;INDEX(Ashmax,MATCH(Table36[[#This Row],[Grist]],SMI,0)),0,1))))</f>
        <v>-</v>
      </c>
      <c r="X179" s="127" t="str">
        <f>IF(INDEX(Absmin,MATCH(Table36[[#This Row],[Grist]],SMI,0))="-","-",IF(Table36[[#This Row],[%Absorption]]="-","-",IF(Table36[[#This Row],[%Absorption]]&lt;INDEX(Absmin,MATCH(Table36[[#This Row],[Grist]],SMI,0)),0,IF(Table36[[#This Row],[%Absorption]]&gt;INDEX(Absmax,MATCH(Table36[[#This Row],[Grist]],SMI,0)),0,1))))</f>
        <v>-</v>
      </c>
      <c r="Y179" s="127" t="str">
        <f>IF(INDEX(Extmin,MATCH(Table36[[#This Row],[Grist]],SMI,0))="-","-",IF(Table36[[#This Row],[%Extensibility]]="-","-",IF(Table36[[#This Row],[%Extensibility]]&lt;INDEX(Extmin,MATCH(Table36[[#This Row],[Grist]],SMI,0)),0,IF(Table36[[#This Row],[%Extensibility]]&gt;INDEX(Extmax,MATCH(Table36[[#This Row],[Grist]],SMI,0)),0,1))))</f>
        <v>-</v>
      </c>
      <c r="Z179" s="127" t="str">
        <f>IF(INDEX(Resmin,MATCH(Table36[[#This Row],[Grist]],SMI,0))="-","-",IF(Table36[[#This Row],[Resistance, max]]="-","-",IF(Table36[[#This Row],[Resistance, max]]&lt;INDEX(Resmin,MATCH(Table36[[#This Row],[Grist]],SMI,0)),0,IF(Table36[[#This Row],[Resistance, max]]&gt;INDEX(Resmax,MATCH(Table36[[#This Row],[Grist]],SMI,0)),0,1))))</f>
        <v>-</v>
      </c>
      <c r="AA179" s="127" t="str">
        <f>IF(INDEX(WGmin,MATCH(Table36[[#This Row],[Grist]],SMI,0))="-","-",IF(Table36[[#This Row],[%Wet Gluten]]="-","-",IF(Table36[[#This Row],[%Wet Gluten]]&lt;INDEX(WGmin,MATCH(Table36[[#This Row],[Grist]],SMI,0)),0,IF(Table36[[#This Row],[%Wet Gluten]]&gt;INDEX(WGmax,MATCH(Table36[[#This Row],[Grist]],SMI,0)),0,1))))</f>
        <v>-</v>
      </c>
      <c r="AB179" s="127">
        <f>SUM(Table36[[#This Row],[ QI Bran Content]:[QI WG]])</f>
        <v>3</v>
      </c>
      <c r="AC179" s="127">
        <f>COUNT(Table36[[#This Row],[ QI Bran Content]:[QI WG]])</f>
        <v>4</v>
      </c>
    </row>
    <row r="180" spans="1:29" x14ac:dyDescent="0.35">
      <c r="A180" s="177">
        <v>45292</v>
      </c>
      <c r="B180" s="178">
        <v>45317</v>
      </c>
      <c r="C180" s="178" t="s">
        <v>125</v>
      </c>
      <c r="D180" s="179" t="s">
        <v>239</v>
      </c>
      <c r="E180" s="180" t="s">
        <v>0</v>
      </c>
      <c r="F180" s="181" t="s">
        <v>27</v>
      </c>
      <c r="G180" s="182">
        <v>1.3299999999999999E-2</v>
      </c>
      <c r="H180" s="175" t="s">
        <v>165</v>
      </c>
      <c r="I180" s="175" t="s">
        <v>165</v>
      </c>
      <c r="J180" s="175" t="s">
        <v>165</v>
      </c>
      <c r="K180" s="175">
        <v>12.01</v>
      </c>
      <c r="L180" s="175">
        <v>13.23</v>
      </c>
      <c r="M180" s="175">
        <v>0.56000000000000005</v>
      </c>
      <c r="N180" s="175">
        <v>66.2</v>
      </c>
      <c r="O180" s="175" t="s">
        <v>163</v>
      </c>
      <c r="P180" s="175" t="s">
        <v>163</v>
      </c>
      <c r="Q180" s="175">
        <v>37.15</v>
      </c>
      <c r="R180" s="127">
        <f>IF(Table36[[#This Row],[ Bran Content]]="-","-",IF(G180&lt;0.02,1,0))</f>
        <v>1</v>
      </c>
      <c r="S180" s="127">
        <f>IF(Table36[[#This Row],[Sieve Test]]="-","-",IF(Table36[[#This Row],[Sieve Test]]="P",1,0))</f>
        <v>1</v>
      </c>
      <c r="T180" s="127">
        <f>IF(Table36[[#This Row],[Odor]]="-","-",IF(Table36[[#This Row],[Odor]]="P",1,0))</f>
        <v>1</v>
      </c>
      <c r="U180" s="127">
        <f>IF(INDEX(MCmin,MATCH(Table36[[#This Row],[Grist]],SMI,0))="-","-",IF(Table36[[#This Row],[F1 %MC]]="-","-",IF(Table36[[#This Row],[F1 %MC]]&lt;INDEX(MCmin,MATCH(Table36[[#This Row],[Grist]],SMI,0)),0,IF(Table36[[#This Row],[F1 %MC]]&gt;INDEX(MCmax,MATCH(Table36[[#This Row],[Grist]],SMI,0)),0,1))))</f>
        <v>1</v>
      </c>
      <c r="V180" s="127">
        <f>IF(INDEX(Protmin,MATCH(Table36[[#This Row],[Grist]],SMI,0))="-","-",IF(Table36[[#This Row],[%Protein]]="-","-",IF(Table36[[#This Row],[%Protein]]&lt;INDEX(Protmin,MATCH(Table36[[#This Row],[Grist]],SMI,0)),0,IF(Table36[[#This Row],[%Protein]]&gt;INDEX(Protmax,MATCH(Table36[[#This Row],[Grist]],SMI,0)),0,1))))</f>
        <v>1</v>
      </c>
      <c r="W180" s="127">
        <f>IF(INDEX(Ashmin,MATCH(Table36[[#This Row],[Grist]],SMI,0))="-","-",IF(Table36[[#This Row],[%Ash]]="-","-",IF(Table36[[#This Row],[%Ash]]&lt;INDEX(Ashmin,MATCH(Table36[[#This Row],[Grist]],SMI,0)),0,IF(Table36[[#This Row],[%Ash]]&gt;INDEX(Ashmax,MATCH(Table36[[#This Row],[Grist]],SMI,0)),0,1))))</f>
        <v>1</v>
      </c>
      <c r="X180" s="127">
        <f>IF(INDEX(Absmin,MATCH(Table36[[#This Row],[Grist]],SMI,0))="-","-",IF(Table36[[#This Row],[%Absorption]]="-","-",IF(Table36[[#This Row],[%Absorption]]&lt;INDEX(Absmin,MATCH(Table36[[#This Row],[Grist]],SMI,0)),0,IF(Table36[[#This Row],[%Absorption]]&gt;INDEX(Absmax,MATCH(Table36[[#This Row],[Grist]],SMI,0)),0,1))))</f>
        <v>1</v>
      </c>
      <c r="Y180" s="127" t="str">
        <f>IF(INDEX(Extmin,MATCH(Table36[[#This Row],[Grist]],SMI,0))="-","-",IF(Table36[[#This Row],[%Extensibility]]="-","-",IF(Table36[[#This Row],[%Extensibility]]&lt;INDEX(Extmin,MATCH(Table36[[#This Row],[Grist]],SMI,0)),0,IF(Table36[[#This Row],[%Extensibility]]&gt;INDEX(Extmax,MATCH(Table36[[#This Row],[Grist]],SMI,0)),0,1))))</f>
        <v>-</v>
      </c>
      <c r="Z180" s="127" t="str">
        <f>IF(INDEX(Resmin,MATCH(Table36[[#This Row],[Grist]],SMI,0))="-","-",IF(Table36[[#This Row],[Resistance, max]]="-","-",IF(Table36[[#This Row],[Resistance, max]]&lt;INDEX(Resmin,MATCH(Table36[[#This Row],[Grist]],SMI,0)),0,IF(Table36[[#This Row],[Resistance, max]]&gt;INDEX(Resmax,MATCH(Table36[[#This Row],[Grist]],SMI,0)),0,1))))</f>
        <v>-</v>
      </c>
      <c r="AA180" s="127">
        <f>IF(INDEX(WGmin,MATCH(Table36[[#This Row],[Grist]],SMI,0))="-","-",IF(Table36[[#This Row],[%Wet Gluten]]="-","-",IF(Table36[[#This Row],[%Wet Gluten]]&lt;INDEX(WGmin,MATCH(Table36[[#This Row],[Grist]],SMI,0)),0,IF(Table36[[#This Row],[%Wet Gluten]]&gt;INDEX(WGmax,MATCH(Table36[[#This Row],[Grist]],SMI,0)),0,1))))</f>
        <v>1</v>
      </c>
      <c r="AB180" s="127">
        <f>SUM(Table36[[#This Row],[ QI Bran Content]:[QI WG]])</f>
        <v>8</v>
      </c>
      <c r="AC180" s="127">
        <f>COUNT(Table36[[#This Row],[ QI Bran Content]:[QI WG]])</f>
        <v>8</v>
      </c>
    </row>
    <row r="181" spans="1:29" x14ac:dyDescent="0.35">
      <c r="A181" s="177">
        <v>45292</v>
      </c>
      <c r="B181" s="178">
        <v>45317</v>
      </c>
      <c r="C181" s="178" t="s">
        <v>125</v>
      </c>
      <c r="D181" s="179" t="s">
        <v>240</v>
      </c>
      <c r="E181" s="180" t="s">
        <v>0</v>
      </c>
      <c r="F181" s="181" t="s">
        <v>27</v>
      </c>
      <c r="G181" s="182">
        <v>1.0800000000000001E-2</v>
      </c>
      <c r="H181" s="175" t="s">
        <v>165</v>
      </c>
      <c r="I181" s="175" t="s">
        <v>165</v>
      </c>
      <c r="J181" s="175" t="s">
        <v>165</v>
      </c>
      <c r="K181" s="175">
        <v>12.27</v>
      </c>
      <c r="L181" s="175" t="s">
        <v>163</v>
      </c>
      <c r="M181" s="175" t="s">
        <v>163</v>
      </c>
      <c r="N181" s="175" t="s">
        <v>163</v>
      </c>
      <c r="O181" s="175" t="s">
        <v>163</v>
      </c>
      <c r="P181" s="175" t="s">
        <v>163</v>
      </c>
      <c r="Q181" s="175" t="s">
        <v>163</v>
      </c>
      <c r="R181" s="127">
        <f>IF(Table36[[#This Row],[ Bran Content]]="-","-",IF(G181&lt;0.02,1,0))</f>
        <v>1</v>
      </c>
      <c r="S181" s="127">
        <f>IF(Table36[[#This Row],[Sieve Test]]="-","-",IF(Table36[[#This Row],[Sieve Test]]="P",1,0))</f>
        <v>1</v>
      </c>
      <c r="T181" s="127">
        <f>IF(Table36[[#This Row],[Odor]]="-","-",IF(Table36[[#This Row],[Odor]]="P",1,0))</f>
        <v>1</v>
      </c>
      <c r="U181" s="127">
        <f>IF(INDEX(MCmin,MATCH(Table36[[#This Row],[Grist]],SMI,0))="-","-",IF(Table36[[#This Row],[F1 %MC]]="-","-",IF(Table36[[#This Row],[F1 %MC]]&lt;INDEX(MCmin,MATCH(Table36[[#This Row],[Grist]],SMI,0)),0,IF(Table36[[#This Row],[F1 %MC]]&gt;INDEX(MCmax,MATCH(Table36[[#This Row],[Grist]],SMI,0)),0,1))))</f>
        <v>1</v>
      </c>
      <c r="V181" s="127" t="str">
        <f>IF(INDEX(Protmin,MATCH(Table36[[#This Row],[Grist]],SMI,0))="-","-",IF(Table36[[#This Row],[%Protein]]="-","-",IF(Table36[[#This Row],[%Protein]]&lt;INDEX(Protmin,MATCH(Table36[[#This Row],[Grist]],SMI,0)),0,IF(Table36[[#This Row],[%Protein]]&gt;INDEX(Protmax,MATCH(Table36[[#This Row],[Grist]],SMI,0)),0,1))))</f>
        <v>-</v>
      </c>
      <c r="W181" s="127" t="str">
        <f>IF(INDEX(Ashmin,MATCH(Table36[[#This Row],[Grist]],SMI,0))="-","-",IF(Table36[[#This Row],[%Ash]]="-","-",IF(Table36[[#This Row],[%Ash]]&lt;INDEX(Ashmin,MATCH(Table36[[#This Row],[Grist]],SMI,0)),0,IF(Table36[[#This Row],[%Ash]]&gt;INDEX(Ashmax,MATCH(Table36[[#This Row],[Grist]],SMI,0)),0,1))))</f>
        <v>-</v>
      </c>
      <c r="X181" s="127" t="str">
        <f>IF(INDEX(Absmin,MATCH(Table36[[#This Row],[Grist]],SMI,0))="-","-",IF(Table36[[#This Row],[%Absorption]]="-","-",IF(Table36[[#This Row],[%Absorption]]&lt;INDEX(Absmin,MATCH(Table36[[#This Row],[Grist]],SMI,0)),0,IF(Table36[[#This Row],[%Absorption]]&gt;INDEX(Absmax,MATCH(Table36[[#This Row],[Grist]],SMI,0)),0,1))))</f>
        <v>-</v>
      </c>
      <c r="Y181" s="127" t="str">
        <f>IF(INDEX(Extmin,MATCH(Table36[[#This Row],[Grist]],SMI,0))="-","-",IF(Table36[[#This Row],[%Extensibility]]="-","-",IF(Table36[[#This Row],[%Extensibility]]&lt;INDEX(Extmin,MATCH(Table36[[#This Row],[Grist]],SMI,0)),0,IF(Table36[[#This Row],[%Extensibility]]&gt;INDEX(Extmax,MATCH(Table36[[#This Row],[Grist]],SMI,0)),0,1))))</f>
        <v>-</v>
      </c>
      <c r="Z181" s="127" t="str">
        <f>IF(INDEX(Resmin,MATCH(Table36[[#This Row],[Grist]],SMI,0))="-","-",IF(Table36[[#This Row],[Resistance, max]]="-","-",IF(Table36[[#This Row],[Resistance, max]]&lt;INDEX(Resmin,MATCH(Table36[[#This Row],[Grist]],SMI,0)),0,IF(Table36[[#This Row],[Resistance, max]]&gt;INDEX(Resmax,MATCH(Table36[[#This Row],[Grist]],SMI,0)),0,1))))</f>
        <v>-</v>
      </c>
      <c r="AA181" s="127" t="str">
        <f>IF(INDEX(WGmin,MATCH(Table36[[#This Row],[Grist]],SMI,0))="-","-",IF(Table36[[#This Row],[%Wet Gluten]]="-","-",IF(Table36[[#This Row],[%Wet Gluten]]&lt;INDEX(WGmin,MATCH(Table36[[#This Row],[Grist]],SMI,0)),0,IF(Table36[[#This Row],[%Wet Gluten]]&gt;INDEX(WGmax,MATCH(Table36[[#This Row],[Grist]],SMI,0)),0,1))))</f>
        <v>-</v>
      </c>
      <c r="AB181" s="127">
        <f>SUM(Table36[[#This Row],[ QI Bran Content]:[QI WG]])</f>
        <v>4</v>
      </c>
      <c r="AC181" s="127">
        <f>COUNT(Table36[[#This Row],[ QI Bran Content]:[QI WG]])</f>
        <v>4</v>
      </c>
    </row>
    <row r="182" spans="1:29" x14ac:dyDescent="0.35">
      <c r="A182" s="177">
        <v>45292</v>
      </c>
      <c r="B182" s="178">
        <v>45317</v>
      </c>
      <c r="C182" s="178" t="s">
        <v>125</v>
      </c>
      <c r="D182" s="179" t="s">
        <v>237</v>
      </c>
      <c r="E182" s="180" t="s">
        <v>0</v>
      </c>
      <c r="F182" s="181" t="s">
        <v>27</v>
      </c>
      <c r="G182" s="182">
        <v>9.7999999999999997E-3</v>
      </c>
      <c r="H182" s="175" t="s">
        <v>165</v>
      </c>
      <c r="I182" s="175" t="s">
        <v>165</v>
      </c>
      <c r="J182" s="175" t="s">
        <v>165</v>
      </c>
      <c r="K182" s="175">
        <v>11.51</v>
      </c>
      <c r="L182" s="175" t="s">
        <v>163</v>
      </c>
      <c r="M182" s="175" t="s">
        <v>163</v>
      </c>
      <c r="N182" s="175" t="s">
        <v>163</v>
      </c>
      <c r="O182" s="175" t="s">
        <v>163</v>
      </c>
      <c r="P182" s="175" t="s">
        <v>163</v>
      </c>
      <c r="Q182" s="175" t="s">
        <v>163</v>
      </c>
      <c r="R182" s="127">
        <f>IF(Table36[[#This Row],[ Bran Content]]="-","-",IF(G182&lt;0.02,1,0))</f>
        <v>1</v>
      </c>
      <c r="S182" s="127">
        <f>IF(Table36[[#This Row],[Sieve Test]]="-","-",IF(Table36[[#This Row],[Sieve Test]]="P",1,0))</f>
        <v>1</v>
      </c>
      <c r="T182" s="127">
        <f>IF(Table36[[#This Row],[Odor]]="-","-",IF(Table36[[#This Row],[Odor]]="P",1,0))</f>
        <v>1</v>
      </c>
      <c r="U182" s="127">
        <f>IF(INDEX(MCmin,MATCH(Table36[[#This Row],[Grist]],SMI,0))="-","-",IF(Table36[[#This Row],[F1 %MC]]="-","-",IF(Table36[[#This Row],[F1 %MC]]&lt;INDEX(MCmin,MATCH(Table36[[#This Row],[Grist]],SMI,0)),0,IF(Table36[[#This Row],[F1 %MC]]&gt;INDEX(MCmax,MATCH(Table36[[#This Row],[Grist]],SMI,0)),0,1))))</f>
        <v>0</v>
      </c>
      <c r="V182" s="127" t="str">
        <f>IF(INDEX(Protmin,MATCH(Table36[[#This Row],[Grist]],SMI,0))="-","-",IF(Table36[[#This Row],[%Protein]]="-","-",IF(Table36[[#This Row],[%Protein]]&lt;INDEX(Protmin,MATCH(Table36[[#This Row],[Grist]],SMI,0)),0,IF(Table36[[#This Row],[%Protein]]&gt;INDEX(Protmax,MATCH(Table36[[#This Row],[Grist]],SMI,0)),0,1))))</f>
        <v>-</v>
      </c>
      <c r="W182" s="127" t="str">
        <f>IF(INDEX(Ashmin,MATCH(Table36[[#This Row],[Grist]],SMI,0))="-","-",IF(Table36[[#This Row],[%Ash]]="-","-",IF(Table36[[#This Row],[%Ash]]&lt;INDEX(Ashmin,MATCH(Table36[[#This Row],[Grist]],SMI,0)),0,IF(Table36[[#This Row],[%Ash]]&gt;INDEX(Ashmax,MATCH(Table36[[#This Row],[Grist]],SMI,0)),0,1))))</f>
        <v>-</v>
      </c>
      <c r="X182" s="127" t="str">
        <f>IF(INDEX(Absmin,MATCH(Table36[[#This Row],[Grist]],SMI,0))="-","-",IF(Table36[[#This Row],[%Absorption]]="-","-",IF(Table36[[#This Row],[%Absorption]]&lt;INDEX(Absmin,MATCH(Table36[[#This Row],[Grist]],SMI,0)),0,IF(Table36[[#This Row],[%Absorption]]&gt;INDEX(Absmax,MATCH(Table36[[#This Row],[Grist]],SMI,0)),0,1))))</f>
        <v>-</v>
      </c>
      <c r="Y182" s="127" t="str">
        <f>IF(INDEX(Extmin,MATCH(Table36[[#This Row],[Grist]],SMI,0))="-","-",IF(Table36[[#This Row],[%Extensibility]]="-","-",IF(Table36[[#This Row],[%Extensibility]]&lt;INDEX(Extmin,MATCH(Table36[[#This Row],[Grist]],SMI,0)),0,IF(Table36[[#This Row],[%Extensibility]]&gt;INDEX(Extmax,MATCH(Table36[[#This Row],[Grist]],SMI,0)),0,1))))</f>
        <v>-</v>
      </c>
      <c r="Z182" s="127" t="str">
        <f>IF(INDEX(Resmin,MATCH(Table36[[#This Row],[Grist]],SMI,0))="-","-",IF(Table36[[#This Row],[Resistance, max]]="-","-",IF(Table36[[#This Row],[Resistance, max]]&lt;INDEX(Resmin,MATCH(Table36[[#This Row],[Grist]],SMI,0)),0,IF(Table36[[#This Row],[Resistance, max]]&gt;INDEX(Resmax,MATCH(Table36[[#This Row],[Grist]],SMI,0)),0,1))))</f>
        <v>-</v>
      </c>
      <c r="AA182" s="127" t="str">
        <f>IF(INDEX(WGmin,MATCH(Table36[[#This Row],[Grist]],SMI,0))="-","-",IF(Table36[[#This Row],[%Wet Gluten]]="-","-",IF(Table36[[#This Row],[%Wet Gluten]]&lt;INDEX(WGmin,MATCH(Table36[[#This Row],[Grist]],SMI,0)),0,IF(Table36[[#This Row],[%Wet Gluten]]&gt;INDEX(WGmax,MATCH(Table36[[#This Row],[Grist]],SMI,0)),0,1))))</f>
        <v>-</v>
      </c>
      <c r="AB182" s="127">
        <f>SUM(Table36[[#This Row],[ QI Bran Content]:[QI WG]])</f>
        <v>3</v>
      </c>
      <c r="AC182" s="127">
        <f>COUNT(Table36[[#This Row],[ QI Bran Content]:[QI WG]])</f>
        <v>4</v>
      </c>
    </row>
    <row r="183" spans="1:29" x14ac:dyDescent="0.35">
      <c r="A183" s="177">
        <v>45292</v>
      </c>
      <c r="B183" s="178">
        <v>45317</v>
      </c>
      <c r="C183" s="178" t="s">
        <v>125</v>
      </c>
      <c r="D183" s="179" t="s">
        <v>238</v>
      </c>
      <c r="E183" s="180" t="s">
        <v>0</v>
      </c>
      <c r="F183" s="181" t="s">
        <v>27</v>
      </c>
      <c r="G183" s="182">
        <v>7.1000000000000004E-3</v>
      </c>
      <c r="H183" s="175" t="s">
        <v>165</v>
      </c>
      <c r="I183" s="175" t="s">
        <v>165</v>
      </c>
      <c r="J183" s="175" t="s">
        <v>165</v>
      </c>
      <c r="K183" s="175">
        <v>12.13</v>
      </c>
      <c r="L183" s="175" t="s">
        <v>163</v>
      </c>
      <c r="M183" s="175" t="s">
        <v>163</v>
      </c>
      <c r="N183" s="175" t="s">
        <v>163</v>
      </c>
      <c r="O183" s="175" t="s">
        <v>163</v>
      </c>
      <c r="P183" s="175" t="s">
        <v>163</v>
      </c>
      <c r="Q183" s="175" t="s">
        <v>163</v>
      </c>
      <c r="R183" s="127">
        <f>IF(Table36[[#This Row],[ Bran Content]]="-","-",IF(G183&lt;0.02,1,0))</f>
        <v>1</v>
      </c>
      <c r="S183" s="127">
        <f>IF(Table36[[#This Row],[Sieve Test]]="-","-",IF(Table36[[#This Row],[Sieve Test]]="P",1,0))</f>
        <v>1</v>
      </c>
      <c r="T183" s="127">
        <f>IF(Table36[[#This Row],[Odor]]="-","-",IF(Table36[[#This Row],[Odor]]="P",1,0))</f>
        <v>1</v>
      </c>
      <c r="U183" s="127">
        <f>IF(INDEX(MCmin,MATCH(Table36[[#This Row],[Grist]],SMI,0))="-","-",IF(Table36[[#This Row],[F1 %MC]]="-","-",IF(Table36[[#This Row],[F1 %MC]]&lt;INDEX(MCmin,MATCH(Table36[[#This Row],[Grist]],SMI,0)),0,IF(Table36[[#This Row],[F1 %MC]]&gt;INDEX(MCmax,MATCH(Table36[[#This Row],[Grist]],SMI,0)),0,1))))</f>
        <v>1</v>
      </c>
      <c r="V183" s="127" t="str">
        <f>IF(INDEX(Protmin,MATCH(Table36[[#This Row],[Grist]],SMI,0))="-","-",IF(Table36[[#This Row],[%Protein]]="-","-",IF(Table36[[#This Row],[%Protein]]&lt;INDEX(Protmin,MATCH(Table36[[#This Row],[Grist]],SMI,0)),0,IF(Table36[[#This Row],[%Protein]]&gt;INDEX(Protmax,MATCH(Table36[[#This Row],[Grist]],SMI,0)),0,1))))</f>
        <v>-</v>
      </c>
      <c r="W183" s="127" t="str">
        <f>IF(INDEX(Ashmin,MATCH(Table36[[#This Row],[Grist]],SMI,0))="-","-",IF(Table36[[#This Row],[%Ash]]="-","-",IF(Table36[[#This Row],[%Ash]]&lt;INDEX(Ashmin,MATCH(Table36[[#This Row],[Grist]],SMI,0)),0,IF(Table36[[#This Row],[%Ash]]&gt;INDEX(Ashmax,MATCH(Table36[[#This Row],[Grist]],SMI,0)),0,1))))</f>
        <v>-</v>
      </c>
      <c r="X183" s="127" t="str">
        <f>IF(INDEX(Absmin,MATCH(Table36[[#This Row],[Grist]],SMI,0))="-","-",IF(Table36[[#This Row],[%Absorption]]="-","-",IF(Table36[[#This Row],[%Absorption]]&lt;INDEX(Absmin,MATCH(Table36[[#This Row],[Grist]],SMI,0)),0,IF(Table36[[#This Row],[%Absorption]]&gt;INDEX(Absmax,MATCH(Table36[[#This Row],[Grist]],SMI,0)),0,1))))</f>
        <v>-</v>
      </c>
      <c r="Y183" s="127" t="str">
        <f>IF(INDEX(Extmin,MATCH(Table36[[#This Row],[Grist]],SMI,0))="-","-",IF(Table36[[#This Row],[%Extensibility]]="-","-",IF(Table36[[#This Row],[%Extensibility]]&lt;INDEX(Extmin,MATCH(Table36[[#This Row],[Grist]],SMI,0)),0,IF(Table36[[#This Row],[%Extensibility]]&gt;INDEX(Extmax,MATCH(Table36[[#This Row],[Grist]],SMI,0)),0,1))))</f>
        <v>-</v>
      </c>
      <c r="Z183" s="127" t="str">
        <f>IF(INDEX(Resmin,MATCH(Table36[[#This Row],[Grist]],SMI,0))="-","-",IF(Table36[[#This Row],[Resistance, max]]="-","-",IF(Table36[[#This Row],[Resistance, max]]&lt;INDEX(Resmin,MATCH(Table36[[#This Row],[Grist]],SMI,0)),0,IF(Table36[[#This Row],[Resistance, max]]&gt;INDEX(Resmax,MATCH(Table36[[#This Row],[Grist]],SMI,0)),0,1))))</f>
        <v>-</v>
      </c>
      <c r="AA183" s="127" t="str">
        <f>IF(INDEX(WGmin,MATCH(Table36[[#This Row],[Grist]],SMI,0))="-","-",IF(Table36[[#This Row],[%Wet Gluten]]="-","-",IF(Table36[[#This Row],[%Wet Gluten]]&lt;INDEX(WGmin,MATCH(Table36[[#This Row],[Grist]],SMI,0)),0,IF(Table36[[#This Row],[%Wet Gluten]]&gt;INDEX(WGmax,MATCH(Table36[[#This Row],[Grist]],SMI,0)),0,1))))</f>
        <v>-</v>
      </c>
      <c r="AB183" s="127">
        <f>SUM(Table36[[#This Row],[ QI Bran Content]:[QI WG]])</f>
        <v>4</v>
      </c>
      <c r="AC183" s="127">
        <f>COUNT(Table36[[#This Row],[ QI Bran Content]:[QI WG]])</f>
        <v>4</v>
      </c>
    </row>
    <row r="184" spans="1:29" x14ac:dyDescent="0.35">
      <c r="A184" s="177">
        <v>45292</v>
      </c>
      <c r="B184" s="178">
        <v>45318</v>
      </c>
      <c r="C184" s="178" t="s">
        <v>125</v>
      </c>
      <c r="D184" s="179" t="s">
        <v>239</v>
      </c>
      <c r="E184" s="180" t="s">
        <v>0</v>
      </c>
      <c r="F184" s="181" t="s">
        <v>32</v>
      </c>
      <c r="G184" s="182">
        <v>1.09E-2</v>
      </c>
      <c r="H184" s="175" t="s">
        <v>165</v>
      </c>
      <c r="I184" s="175" t="s">
        <v>165</v>
      </c>
      <c r="J184" s="175" t="s">
        <v>165</v>
      </c>
      <c r="K184" s="175">
        <v>11.56</v>
      </c>
      <c r="L184" s="175">
        <v>12.62</v>
      </c>
      <c r="M184" s="175">
        <v>0.59</v>
      </c>
      <c r="N184" s="175">
        <v>65.900000000000006</v>
      </c>
      <c r="O184" s="175" t="s">
        <v>163</v>
      </c>
      <c r="P184" s="175" t="s">
        <v>163</v>
      </c>
      <c r="Q184" s="175">
        <v>35.42</v>
      </c>
      <c r="R184" s="127">
        <f>IF(Table36[[#This Row],[ Bran Content]]="-","-",IF(G184&lt;0.02,1,0))</f>
        <v>1</v>
      </c>
      <c r="S184" s="127">
        <f>IF(Table36[[#This Row],[Sieve Test]]="-","-",IF(Table36[[#This Row],[Sieve Test]]="P",1,0))</f>
        <v>1</v>
      </c>
      <c r="T184" s="127">
        <f>IF(Table36[[#This Row],[Odor]]="-","-",IF(Table36[[#This Row],[Odor]]="P",1,0))</f>
        <v>1</v>
      </c>
      <c r="U184" s="127">
        <f>IF(INDEX(MCmin,MATCH(Table36[[#This Row],[Grist]],SMI,0))="-","-",IF(Table36[[#This Row],[F1 %MC]]="-","-",IF(Table36[[#This Row],[F1 %MC]]&lt;INDEX(MCmin,MATCH(Table36[[#This Row],[Grist]],SMI,0)),0,IF(Table36[[#This Row],[F1 %MC]]&gt;INDEX(MCmax,MATCH(Table36[[#This Row],[Grist]],SMI,0)),0,1))))</f>
        <v>0</v>
      </c>
      <c r="V184" s="127">
        <f>IF(INDEX(Protmin,MATCH(Table36[[#This Row],[Grist]],SMI,0))="-","-",IF(Table36[[#This Row],[%Protein]]="-","-",IF(Table36[[#This Row],[%Protein]]&lt;INDEX(Protmin,MATCH(Table36[[#This Row],[Grist]],SMI,0)),0,IF(Table36[[#This Row],[%Protein]]&gt;INDEX(Protmax,MATCH(Table36[[#This Row],[Grist]],SMI,0)),0,1))))</f>
        <v>1</v>
      </c>
      <c r="W184" s="127">
        <f>IF(INDEX(Ashmin,MATCH(Table36[[#This Row],[Grist]],SMI,0))="-","-",IF(Table36[[#This Row],[%Ash]]="-","-",IF(Table36[[#This Row],[%Ash]]&lt;INDEX(Ashmin,MATCH(Table36[[#This Row],[Grist]],SMI,0)),0,IF(Table36[[#This Row],[%Ash]]&gt;INDEX(Ashmax,MATCH(Table36[[#This Row],[Grist]],SMI,0)),0,1))))</f>
        <v>1</v>
      </c>
      <c r="X184" s="127">
        <f>IF(INDEX(Absmin,MATCH(Table36[[#This Row],[Grist]],SMI,0))="-","-",IF(Table36[[#This Row],[%Absorption]]="-","-",IF(Table36[[#This Row],[%Absorption]]&lt;INDEX(Absmin,MATCH(Table36[[#This Row],[Grist]],SMI,0)),0,IF(Table36[[#This Row],[%Absorption]]&gt;INDEX(Absmax,MATCH(Table36[[#This Row],[Grist]],SMI,0)),0,1))))</f>
        <v>1</v>
      </c>
      <c r="Y184" s="127" t="str">
        <f>IF(INDEX(Extmin,MATCH(Table36[[#This Row],[Grist]],SMI,0))="-","-",IF(Table36[[#This Row],[%Extensibility]]="-","-",IF(Table36[[#This Row],[%Extensibility]]&lt;INDEX(Extmin,MATCH(Table36[[#This Row],[Grist]],SMI,0)),0,IF(Table36[[#This Row],[%Extensibility]]&gt;INDEX(Extmax,MATCH(Table36[[#This Row],[Grist]],SMI,0)),0,1))))</f>
        <v>-</v>
      </c>
      <c r="Z184" s="127" t="str">
        <f>IF(INDEX(Resmin,MATCH(Table36[[#This Row],[Grist]],SMI,0))="-","-",IF(Table36[[#This Row],[Resistance, max]]="-","-",IF(Table36[[#This Row],[Resistance, max]]&lt;INDEX(Resmin,MATCH(Table36[[#This Row],[Grist]],SMI,0)),0,IF(Table36[[#This Row],[Resistance, max]]&gt;INDEX(Resmax,MATCH(Table36[[#This Row],[Grist]],SMI,0)),0,1))))</f>
        <v>-</v>
      </c>
      <c r="AA184" s="127">
        <f>IF(INDEX(WGmin,MATCH(Table36[[#This Row],[Grist]],SMI,0))="-","-",IF(Table36[[#This Row],[%Wet Gluten]]="-","-",IF(Table36[[#This Row],[%Wet Gluten]]&lt;INDEX(WGmin,MATCH(Table36[[#This Row],[Grist]],SMI,0)),0,IF(Table36[[#This Row],[%Wet Gluten]]&gt;INDEX(WGmax,MATCH(Table36[[#This Row],[Grist]],SMI,0)),0,1))))</f>
        <v>1</v>
      </c>
      <c r="AB184" s="127">
        <f>SUM(Table36[[#This Row],[ QI Bran Content]:[QI WG]])</f>
        <v>7</v>
      </c>
      <c r="AC184" s="127">
        <f>COUNT(Table36[[#This Row],[ QI Bran Content]:[QI WG]])</f>
        <v>8</v>
      </c>
    </row>
    <row r="185" spans="1:29" x14ac:dyDescent="0.35">
      <c r="A185" s="177">
        <v>45292</v>
      </c>
      <c r="B185" s="178">
        <v>45318</v>
      </c>
      <c r="C185" s="178" t="s">
        <v>125</v>
      </c>
      <c r="D185" s="179" t="s">
        <v>240</v>
      </c>
      <c r="E185" s="180" t="s">
        <v>0</v>
      </c>
      <c r="F185" s="181" t="s">
        <v>32</v>
      </c>
      <c r="G185" s="182">
        <v>9.2999999999999992E-3</v>
      </c>
      <c r="H185" s="175" t="s">
        <v>165</v>
      </c>
      <c r="I185" s="175" t="s">
        <v>165</v>
      </c>
      <c r="J185" s="175" t="s">
        <v>165</v>
      </c>
      <c r="K185" s="175">
        <v>11.33</v>
      </c>
      <c r="L185" s="175" t="s">
        <v>163</v>
      </c>
      <c r="M185" s="175" t="s">
        <v>163</v>
      </c>
      <c r="N185" s="175" t="s">
        <v>163</v>
      </c>
      <c r="O185" s="175" t="s">
        <v>163</v>
      </c>
      <c r="P185" s="175" t="s">
        <v>163</v>
      </c>
      <c r="Q185" s="175" t="s">
        <v>163</v>
      </c>
      <c r="R185" s="127">
        <f>IF(Table36[[#This Row],[ Bran Content]]="-","-",IF(G185&lt;0.02,1,0))</f>
        <v>1</v>
      </c>
      <c r="S185" s="127">
        <f>IF(Table36[[#This Row],[Sieve Test]]="-","-",IF(Table36[[#This Row],[Sieve Test]]="P",1,0))</f>
        <v>1</v>
      </c>
      <c r="T185" s="127">
        <f>IF(Table36[[#This Row],[Odor]]="-","-",IF(Table36[[#This Row],[Odor]]="P",1,0))</f>
        <v>1</v>
      </c>
      <c r="U185" s="127">
        <f>IF(INDEX(MCmin,MATCH(Table36[[#This Row],[Grist]],SMI,0))="-","-",IF(Table36[[#This Row],[F1 %MC]]="-","-",IF(Table36[[#This Row],[F1 %MC]]&lt;INDEX(MCmin,MATCH(Table36[[#This Row],[Grist]],SMI,0)),0,IF(Table36[[#This Row],[F1 %MC]]&gt;INDEX(MCmax,MATCH(Table36[[#This Row],[Grist]],SMI,0)),0,1))))</f>
        <v>0</v>
      </c>
      <c r="V185" s="127" t="str">
        <f>IF(INDEX(Protmin,MATCH(Table36[[#This Row],[Grist]],SMI,0))="-","-",IF(Table36[[#This Row],[%Protein]]="-","-",IF(Table36[[#This Row],[%Protein]]&lt;INDEX(Protmin,MATCH(Table36[[#This Row],[Grist]],SMI,0)),0,IF(Table36[[#This Row],[%Protein]]&gt;INDEX(Protmax,MATCH(Table36[[#This Row],[Grist]],SMI,0)),0,1))))</f>
        <v>-</v>
      </c>
      <c r="W185" s="127" t="str">
        <f>IF(INDEX(Ashmin,MATCH(Table36[[#This Row],[Grist]],SMI,0))="-","-",IF(Table36[[#This Row],[%Ash]]="-","-",IF(Table36[[#This Row],[%Ash]]&lt;INDEX(Ashmin,MATCH(Table36[[#This Row],[Grist]],SMI,0)),0,IF(Table36[[#This Row],[%Ash]]&gt;INDEX(Ashmax,MATCH(Table36[[#This Row],[Grist]],SMI,0)),0,1))))</f>
        <v>-</v>
      </c>
      <c r="X185" s="127" t="str">
        <f>IF(INDEX(Absmin,MATCH(Table36[[#This Row],[Grist]],SMI,0))="-","-",IF(Table36[[#This Row],[%Absorption]]="-","-",IF(Table36[[#This Row],[%Absorption]]&lt;INDEX(Absmin,MATCH(Table36[[#This Row],[Grist]],SMI,0)),0,IF(Table36[[#This Row],[%Absorption]]&gt;INDEX(Absmax,MATCH(Table36[[#This Row],[Grist]],SMI,0)),0,1))))</f>
        <v>-</v>
      </c>
      <c r="Y185" s="127" t="str">
        <f>IF(INDEX(Extmin,MATCH(Table36[[#This Row],[Grist]],SMI,0))="-","-",IF(Table36[[#This Row],[%Extensibility]]="-","-",IF(Table36[[#This Row],[%Extensibility]]&lt;INDEX(Extmin,MATCH(Table36[[#This Row],[Grist]],SMI,0)),0,IF(Table36[[#This Row],[%Extensibility]]&gt;INDEX(Extmax,MATCH(Table36[[#This Row],[Grist]],SMI,0)),0,1))))</f>
        <v>-</v>
      </c>
      <c r="Z185" s="127" t="str">
        <f>IF(INDEX(Resmin,MATCH(Table36[[#This Row],[Grist]],SMI,0))="-","-",IF(Table36[[#This Row],[Resistance, max]]="-","-",IF(Table36[[#This Row],[Resistance, max]]&lt;INDEX(Resmin,MATCH(Table36[[#This Row],[Grist]],SMI,0)),0,IF(Table36[[#This Row],[Resistance, max]]&gt;INDEX(Resmax,MATCH(Table36[[#This Row],[Grist]],SMI,0)),0,1))))</f>
        <v>-</v>
      </c>
      <c r="AA185" s="127" t="str">
        <f>IF(INDEX(WGmin,MATCH(Table36[[#This Row],[Grist]],SMI,0))="-","-",IF(Table36[[#This Row],[%Wet Gluten]]="-","-",IF(Table36[[#This Row],[%Wet Gluten]]&lt;INDEX(WGmin,MATCH(Table36[[#This Row],[Grist]],SMI,0)),0,IF(Table36[[#This Row],[%Wet Gluten]]&gt;INDEX(WGmax,MATCH(Table36[[#This Row],[Grist]],SMI,0)),0,1))))</f>
        <v>-</v>
      </c>
      <c r="AB185" s="127">
        <f>SUM(Table36[[#This Row],[ QI Bran Content]:[QI WG]])</f>
        <v>3</v>
      </c>
      <c r="AC185" s="127">
        <f>COUNT(Table36[[#This Row],[ QI Bran Content]:[QI WG]])</f>
        <v>4</v>
      </c>
    </row>
    <row r="186" spans="1:29" x14ac:dyDescent="0.35">
      <c r="A186" s="177">
        <v>45292</v>
      </c>
      <c r="B186" s="178">
        <v>45318</v>
      </c>
      <c r="C186" s="178" t="s">
        <v>125</v>
      </c>
      <c r="D186" s="179" t="s">
        <v>237</v>
      </c>
      <c r="E186" s="180" t="s">
        <v>0</v>
      </c>
      <c r="F186" s="181" t="s">
        <v>32</v>
      </c>
      <c r="G186" s="182">
        <v>1.04E-2</v>
      </c>
      <c r="H186" s="175" t="s">
        <v>165</v>
      </c>
      <c r="I186" s="175" t="s">
        <v>165</v>
      </c>
      <c r="J186" s="175" t="s">
        <v>165</v>
      </c>
      <c r="K186" s="175">
        <v>11.48</v>
      </c>
      <c r="L186" s="175" t="s">
        <v>163</v>
      </c>
      <c r="M186" s="175" t="s">
        <v>163</v>
      </c>
      <c r="N186" s="175" t="s">
        <v>163</v>
      </c>
      <c r="O186" s="175" t="s">
        <v>163</v>
      </c>
      <c r="P186" s="175" t="s">
        <v>163</v>
      </c>
      <c r="Q186" s="175" t="s">
        <v>163</v>
      </c>
      <c r="R186" s="127">
        <f>IF(Table36[[#This Row],[ Bran Content]]="-","-",IF(G186&lt;0.02,1,0))</f>
        <v>1</v>
      </c>
      <c r="S186" s="127">
        <f>IF(Table36[[#This Row],[Sieve Test]]="-","-",IF(Table36[[#This Row],[Sieve Test]]="P",1,0))</f>
        <v>1</v>
      </c>
      <c r="T186" s="127">
        <f>IF(Table36[[#This Row],[Odor]]="-","-",IF(Table36[[#This Row],[Odor]]="P",1,0))</f>
        <v>1</v>
      </c>
      <c r="U186" s="127">
        <f>IF(INDEX(MCmin,MATCH(Table36[[#This Row],[Grist]],SMI,0))="-","-",IF(Table36[[#This Row],[F1 %MC]]="-","-",IF(Table36[[#This Row],[F1 %MC]]&lt;INDEX(MCmin,MATCH(Table36[[#This Row],[Grist]],SMI,0)),0,IF(Table36[[#This Row],[F1 %MC]]&gt;INDEX(MCmax,MATCH(Table36[[#This Row],[Grist]],SMI,0)),0,1))))</f>
        <v>0</v>
      </c>
      <c r="V186" s="127" t="str">
        <f>IF(INDEX(Protmin,MATCH(Table36[[#This Row],[Grist]],SMI,0))="-","-",IF(Table36[[#This Row],[%Protein]]="-","-",IF(Table36[[#This Row],[%Protein]]&lt;INDEX(Protmin,MATCH(Table36[[#This Row],[Grist]],SMI,0)),0,IF(Table36[[#This Row],[%Protein]]&gt;INDEX(Protmax,MATCH(Table36[[#This Row],[Grist]],SMI,0)),0,1))))</f>
        <v>-</v>
      </c>
      <c r="W186" s="127" t="str">
        <f>IF(INDEX(Ashmin,MATCH(Table36[[#This Row],[Grist]],SMI,0))="-","-",IF(Table36[[#This Row],[%Ash]]="-","-",IF(Table36[[#This Row],[%Ash]]&lt;INDEX(Ashmin,MATCH(Table36[[#This Row],[Grist]],SMI,0)),0,IF(Table36[[#This Row],[%Ash]]&gt;INDEX(Ashmax,MATCH(Table36[[#This Row],[Grist]],SMI,0)),0,1))))</f>
        <v>-</v>
      </c>
      <c r="X186" s="127" t="str">
        <f>IF(INDEX(Absmin,MATCH(Table36[[#This Row],[Grist]],SMI,0))="-","-",IF(Table36[[#This Row],[%Absorption]]="-","-",IF(Table36[[#This Row],[%Absorption]]&lt;INDEX(Absmin,MATCH(Table36[[#This Row],[Grist]],SMI,0)),0,IF(Table36[[#This Row],[%Absorption]]&gt;INDEX(Absmax,MATCH(Table36[[#This Row],[Grist]],SMI,0)),0,1))))</f>
        <v>-</v>
      </c>
      <c r="Y186" s="127" t="str">
        <f>IF(INDEX(Extmin,MATCH(Table36[[#This Row],[Grist]],SMI,0))="-","-",IF(Table36[[#This Row],[%Extensibility]]="-","-",IF(Table36[[#This Row],[%Extensibility]]&lt;INDEX(Extmin,MATCH(Table36[[#This Row],[Grist]],SMI,0)),0,IF(Table36[[#This Row],[%Extensibility]]&gt;INDEX(Extmax,MATCH(Table36[[#This Row],[Grist]],SMI,0)),0,1))))</f>
        <v>-</v>
      </c>
      <c r="Z186" s="127" t="str">
        <f>IF(INDEX(Resmin,MATCH(Table36[[#This Row],[Grist]],SMI,0))="-","-",IF(Table36[[#This Row],[Resistance, max]]="-","-",IF(Table36[[#This Row],[Resistance, max]]&lt;INDEX(Resmin,MATCH(Table36[[#This Row],[Grist]],SMI,0)),0,IF(Table36[[#This Row],[Resistance, max]]&gt;INDEX(Resmax,MATCH(Table36[[#This Row],[Grist]],SMI,0)),0,1))))</f>
        <v>-</v>
      </c>
      <c r="AA186" s="127" t="str">
        <f>IF(INDEX(WGmin,MATCH(Table36[[#This Row],[Grist]],SMI,0))="-","-",IF(Table36[[#This Row],[%Wet Gluten]]="-","-",IF(Table36[[#This Row],[%Wet Gluten]]&lt;INDEX(WGmin,MATCH(Table36[[#This Row],[Grist]],SMI,0)),0,IF(Table36[[#This Row],[%Wet Gluten]]&gt;INDEX(WGmax,MATCH(Table36[[#This Row],[Grist]],SMI,0)),0,1))))</f>
        <v>-</v>
      </c>
      <c r="AB186" s="127">
        <f>SUM(Table36[[#This Row],[ QI Bran Content]:[QI WG]])</f>
        <v>3</v>
      </c>
      <c r="AC186" s="127">
        <f>COUNT(Table36[[#This Row],[ QI Bran Content]:[QI WG]])</f>
        <v>4</v>
      </c>
    </row>
    <row r="187" spans="1:29" x14ac:dyDescent="0.35">
      <c r="A187" s="177">
        <v>45292</v>
      </c>
      <c r="B187" s="178">
        <v>45318</v>
      </c>
      <c r="C187" s="178" t="s">
        <v>125</v>
      </c>
      <c r="D187" s="179" t="s">
        <v>238</v>
      </c>
      <c r="E187" s="180" t="s">
        <v>0</v>
      </c>
      <c r="F187" s="181" t="s">
        <v>32</v>
      </c>
      <c r="G187" s="182">
        <v>1.1900000000000001E-2</v>
      </c>
      <c r="H187" s="175" t="s">
        <v>165</v>
      </c>
      <c r="I187" s="175" t="s">
        <v>165</v>
      </c>
      <c r="J187" s="175" t="s">
        <v>165</v>
      </c>
      <c r="K187" s="175">
        <v>11.45</v>
      </c>
      <c r="L187" s="175" t="s">
        <v>163</v>
      </c>
      <c r="M187" s="175" t="s">
        <v>163</v>
      </c>
      <c r="N187" s="175" t="s">
        <v>163</v>
      </c>
      <c r="O187" s="175" t="s">
        <v>163</v>
      </c>
      <c r="P187" s="175" t="s">
        <v>163</v>
      </c>
      <c r="Q187" s="175" t="s">
        <v>163</v>
      </c>
      <c r="R187" s="127">
        <f>IF(Table36[[#This Row],[ Bran Content]]="-","-",IF(G187&lt;0.02,1,0))</f>
        <v>1</v>
      </c>
      <c r="S187" s="127">
        <f>IF(Table36[[#This Row],[Sieve Test]]="-","-",IF(Table36[[#This Row],[Sieve Test]]="P",1,0))</f>
        <v>1</v>
      </c>
      <c r="T187" s="127">
        <f>IF(Table36[[#This Row],[Odor]]="-","-",IF(Table36[[#This Row],[Odor]]="P",1,0))</f>
        <v>1</v>
      </c>
      <c r="U187" s="127">
        <f>IF(INDEX(MCmin,MATCH(Table36[[#This Row],[Grist]],SMI,0))="-","-",IF(Table36[[#This Row],[F1 %MC]]="-","-",IF(Table36[[#This Row],[F1 %MC]]&lt;INDEX(MCmin,MATCH(Table36[[#This Row],[Grist]],SMI,0)),0,IF(Table36[[#This Row],[F1 %MC]]&gt;INDEX(MCmax,MATCH(Table36[[#This Row],[Grist]],SMI,0)),0,1))))</f>
        <v>0</v>
      </c>
      <c r="V187" s="127" t="str">
        <f>IF(INDEX(Protmin,MATCH(Table36[[#This Row],[Grist]],SMI,0))="-","-",IF(Table36[[#This Row],[%Protein]]="-","-",IF(Table36[[#This Row],[%Protein]]&lt;INDEX(Protmin,MATCH(Table36[[#This Row],[Grist]],SMI,0)),0,IF(Table36[[#This Row],[%Protein]]&gt;INDEX(Protmax,MATCH(Table36[[#This Row],[Grist]],SMI,0)),0,1))))</f>
        <v>-</v>
      </c>
      <c r="W187" s="127" t="str">
        <f>IF(INDEX(Ashmin,MATCH(Table36[[#This Row],[Grist]],SMI,0))="-","-",IF(Table36[[#This Row],[%Ash]]="-","-",IF(Table36[[#This Row],[%Ash]]&lt;INDEX(Ashmin,MATCH(Table36[[#This Row],[Grist]],SMI,0)),0,IF(Table36[[#This Row],[%Ash]]&gt;INDEX(Ashmax,MATCH(Table36[[#This Row],[Grist]],SMI,0)),0,1))))</f>
        <v>-</v>
      </c>
      <c r="X187" s="127" t="str">
        <f>IF(INDEX(Absmin,MATCH(Table36[[#This Row],[Grist]],SMI,0))="-","-",IF(Table36[[#This Row],[%Absorption]]="-","-",IF(Table36[[#This Row],[%Absorption]]&lt;INDEX(Absmin,MATCH(Table36[[#This Row],[Grist]],SMI,0)),0,IF(Table36[[#This Row],[%Absorption]]&gt;INDEX(Absmax,MATCH(Table36[[#This Row],[Grist]],SMI,0)),0,1))))</f>
        <v>-</v>
      </c>
      <c r="Y187" s="127" t="str">
        <f>IF(INDEX(Extmin,MATCH(Table36[[#This Row],[Grist]],SMI,0))="-","-",IF(Table36[[#This Row],[%Extensibility]]="-","-",IF(Table36[[#This Row],[%Extensibility]]&lt;INDEX(Extmin,MATCH(Table36[[#This Row],[Grist]],SMI,0)),0,IF(Table36[[#This Row],[%Extensibility]]&gt;INDEX(Extmax,MATCH(Table36[[#This Row],[Grist]],SMI,0)),0,1))))</f>
        <v>-</v>
      </c>
      <c r="Z187" s="127" t="str">
        <f>IF(INDEX(Resmin,MATCH(Table36[[#This Row],[Grist]],SMI,0))="-","-",IF(Table36[[#This Row],[Resistance, max]]="-","-",IF(Table36[[#This Row],[Resistance, max]]&lt;INDEX(Resmin,MATCH(Table36[[#This Row],[Grist]],SMI,0)),0,IF(Table36[[#This Row],[Resistance, max]]&gt;INDEX(Resmax,MATCH(Table36[[#This Row],[Grist]],SMI,0)),0,1))))</f>
        <v>-</v>
      </c>
      <c r="AA187" s="127" t="str">
        <f>IF(INDEX(WGmin,MATCH(Table36[[#This Row],[Grist]],SMI,0))="-","-",IF(Table36[[#This Row],[%Wet Gluten]]="-","-",IF(Table36[[#This Row],[%Wet Gluten]]&lt;INDEX(WGmin,MATCH(Table36[[#This Row],[Grist]],SMI,0)),0,IF(Table36[[#This Row],[%Wet Gluten]]&gt;INDEX(WGmax,MATCH(Table36[[#This Row],[Grist]],SMI,0)),0,1))))</f>
        <v>-</v>
      </c>
      <c r="AB187" s="127">
        <f>SUM(Table36[[#This Row],[ QI Bran Content]:[QI WG]])</f>
        <v>3</v>
      </c>
      <c r="AC187" s="127">
        <f>COUNT(Table36[[#This Row],[ QI Bran Content]:[QI WG]])</f>
        <v>4</v>
      </c>
    </row>
    <row r="188" spans="1:29" x14ac:dyDescent="0.35">
      <c r="A188" s="177">
        <v>45292</v>
      </c>
      <c r="B188" s="178">
        <v>45318</v>
      </c>
      <c r="C188" s="178" t="s">
        <v>125</v>
      </c>
      <c r="D188" s="179" t="s">
        <v>240</v>
      </c>
      <c r="E188" s="180" t="s">
        <v>2</v>
      </c>
      <c r="F188" s="181" t="s">
        <v>242</v>
      </c>
      <c r="G188" s="182">
        <v>4.8999999999999998E-3</v>
      </c>
      <c r="H188" s="175" t="s">
        <v>165</v>
      </c>
      <c r="I188" s="175" t="s">
        <v>165</v>
      </c>
      <c r="J188" s="175" t="s">
        <v>165</v>
      </c>
      <c r="K188" s="175">
        <v>11.17</v>
      </c>
      <c r="L188" s="175">
        <v>12.1</v>
      </c>
      <c r="M188" s="175">
        <v>0.4</v>
      </c>
      <c r="N188" s="175">
        <v>64.3</v>
      </c>
      <c r="O188" s="175" t="s">
        <v>163</v>
      </c>
      <c r="P188" s="175" t="s">
        <v>163</v>
      </c>
      <c r="Q188" s="175">
        <v>33.67</v>
      </c>
      <c r="R188" s="127">
        <f>IF(Table36[[#This Row],[ Bran Content]]="-","-",IF(G188&lt;0.02,1,0))</f>
        <v>1</v>
      </c>
      <c r="S188" s="127">
        <f>IF(Table36[[#This Row],[Sieve Test]]="-","-",IF(Table36[[#This Row],[Sieve Test]]="P",1,0))</f>
        <v>1</v>
      </c>
      <c r="T188" s="127">
        <f>IF(Table36[[#This Row],[Odor]]="-","-",IF(Table36[[#This Row],[Odor]]="P",1,0))</f>
        <v>1</v>
      </c>
      <c r="U188" s="127">
        <f>IF(INDEX(MCmin,MATCH(Table36[[#This Row],[Grist]],SMI,0))="-","-",IF(Table36[[#This Row],[F1 %MC]]="-","-",IF(Table36[[#This Row],[F1 %MC]]&lt;INDEX(MCmin,MATCH(Table36[[#This Row],[Grist]],SMI,0)),0,IF(Table36[[#This Row],[F1 %MC]]&gt;INDEX(MCmax,MATCH(Table36[[#This Row],[Grist]],SMI,0)),0,1))))</f>
        <v>0</v>
      </c>
      <c r="V188" s="127">
        <f>IF(INDEX(Protmin,MATCH(Table36[[#This Row],[Grist]],SMI,0))="-","-",IF(Table36[[#This Row],[%Protein]]="-","-",IF(Table36[[#This Row],[%Protein]]&lt;INDEX(Protmin,MATCH(Table36[[#This Row],[Grist]],SMI,0)),0,IF(Table36[[#This Row],[%Protein]]&gt;INDEX(Protmax,MATCH(Table36[[#This Row],[Grist]],SMI,0)),0,1))))</f>
        <v>1</v>
      </c>
      <c r="W188" s="127">
        <f>IF(INDEX(Ashmin,MATCH(Table36[[#This Row],[Grist]],SMI,0))="-","-",IF(Table36[[#This Row],[%Ash]]="-","-",IF(Table36[[#This Row],[%Ash]]&lt;INDEX(Ashmin,MATCH(Table36[[#This Row],[Grist]],SMI,0)),0,IF(Table36[[#This Row],[%Ash]]&gt;INDEX(Ashmax,MATCH(Table36[[#This Row],[Grist]],SMI,0)),0,1))))</f>
        <v>1</v>
      </c>
      <c r="X188" s="127">
        <f>IF(INDEX(Absmin,MATCH(Table36[[#This Row],[Grist]],SMI,0))="-","-",IF(Table36[[#This Row],[%Absorption]]="-","-",IF(Table36[[#This Row],[%Absorption]]&lt;INDEX(Absmin,MATCH(Table36[[#This Row],[Grist]],SMI,0)),0,IF(Table36[[#This Row],[%Absorption]]&gt;INDEX(Absmax,MATCH(Table36[[#This Row],[Grist]],SMI,0)),0,1))))</f>
        <v>1</v>
      </c>
      <c r="Y188" s="127" t="str">
        <f>IF(INDEX(Extmin,MATCH(Table36[[#This Row],[Grist]],SMI,0))="-","-",IF(Table36[[#This Row],[%Extensibility]]="-","-",IF(Table36[[#This Row],[%Extensibility]]&lt;INDEX(Extmin,MATCH(Table36[[#This Row],[Grist]],SMI,0)),0,IF(Table36[[#This Row],[%Extensibility]]&gt;INDEX(Extmax,MATCH(Table36[[#This Row],[Grist]],SMI,0)),0,1))))</f>
        <v>-</v>
      </c>
      <c r="Z188" s="127" t="str">
        <f>IF(INDEX(Resmin,MATCH(Table36[[#This Row],[Grist]],SMI,0))="-","-",IF(Table36[[#This Row],[Resistance, max]]="-","-",IF(Table36[[#This Row],[Resistance, max]]&lt;INDEX(Resmin,MATCH(Table36[[#This Row],[Grist]],SMI,0)),0,IF(Table36[[#This Row],[Resistance, max]]&gt;INDEX(Resmax,MATCH(Table36[[#This Row],[Grist]],SMI,0)),0,1))))</f>
        <v>-</v>
      </c>
      <c r="AA188" s="127">
        <f>IF(INDEX(WGmin,MATCH(Table36[[#This Row],[Grist]],SMI,0))="-","-",IF(Table36[[#This Row],[%Wet Gluten]]="-","-",IF(Table36[[#This Row],[%Wet Gluten]]&lt;INDEX(WGmin,MATCH(Table36[[#This Row],[Grist]],SMI,0)),0,IF(Table36[[#This Row],[%Wet Gluten]]&gt;INDEX(WGmax,MATCH(Table36[[#This Row],[Grist]],SMI,0)),0,1))))</f>
        <v>1</v>
      </c>
      <c r="AB188" s="127">
        <f>SUM(Table36[[#This Row],[ QI Bran Content]:[QI WG]])</f>
        <v>7</v>
      </c>
      <c r="AC188" s="127">
        <f>COUNT(Table36[[#This Row],[ QI Bran Content]:[QI WG]])</f>
        <v>8</v>
      </c>
    </row>
    <row r="189" spans="1:29" x14ac:dyDescent="0.35">
      <c r="A189" s="177">
        <v>45292</v>
      </c>
      <c r="B189" s="178">
        <v>45318</v>
      </c>
      <c r="C189" s="178" t="s">
        <v>125</v>
      </c>
      <c r="D189" s="179" t="s">
        <v>237</v>
      </c>
      <c r="E189" s="180" t="s">
        <v>2</v>
      </c>
      <c r="F189" s="181" t="s">
        <v>242</v>
      </c>
      <c r="G189" s="182">
        <v>4.1999999999999997E-3</v>
      </c>
      <c r="H189" s="175" t="s">
        <v>165</v>
      </c>
      <c r="I189" s="175" t="s">
        <v>165</v>
      </c>
      <c r="J189" s="175" t="s">
        <v>165</v>
      </c>
      <c r="K189" s="175">
        <v>11.18</v>
      </c>
      <c r="L189" s="175" t="s">
        <v>163</v>
      </c>
      <c r="M189" s="175" t="s">
        <v>163</v>
      </c>
      <c r="N189" s="175" t="s">
        <v>163</v>
      </c>
      <c r="O189" s="175" t="s">
        <v>163</v>
      </c>
      <c r="P189" s="175" t="s">
        <v>163</v>
      </c>
      <c r="Q189" s="175" t="s">
        <v>163</v>
      </c>
      <c r="R189" s="127">
        <f>IF(Table36[[#This Row],[ Bran Content]]="-","-",IF(G189&lt;0.02,1,0))</f>
        <v>1</v>
      </c>
      <c r="S189" s="127">
        <f>IF(Table36[[#This Row],[Sieve Test]]="-","-",IF(Table36[[#This Row],[Sieve Test]]="P",1,0))</f>
        <v>1</v>
      </c>
      <c r="T189" s="127">
        <f>IF(Table36[[#This Row],[Odor]]="-","-",IF(Table36[[#This Row],[Odor]]="P",1,0))</f>
        <v>1</v>
      </c>
      <c r="U189" s="127">
        <f>IF(INDEX(MCmin,MATCH(Table36[[#This Row],[Grist]],SMI,0))="-","-",IF(Table36[[#This Row],[F1 %MC]]="-","-",IF(Table36[[#This Row],[F1 %MC]]&lt;INDEX(MCmin,MATCH(Table36[[#This Row],[Grist]],SMI,0)),0,IF(Table36[[#This Row],[F1 %MC]]&gt;INDEX(MCmax,MATCH(Table36[[#This Row],[Grist]],SMI,0)),0,1))))</f>
        <v>0</v>
      </c>
      <c r="V189" s="127" t="str">
        <f>IF(INDEX(Protmin,MATCH(Table36[[#This Row],[Grist]],SMI,0))="-","-",IF(Table36[[#This Row],[%Protein]]="-","-",IF(Table36[[#This Row],[%Protein]]&lt;INDEX(Protmin,MATCH(Table36[[#This Row],[Grist]],SMI,0)),0,IF(Table36[[#This Row],[%Protein]]&gt;INDEX(Protmax,MATCH(Table36[[#This Row],[Grist]],SMI,0)),0,1))))</f>
        <v>-</v>
      </c>
      <c r="W189" s="127" t="str">
        <f>IF(INDEX(Ashmin,MATCH(Table36[[#This Row],[Grist]],SMI,0))="-","-",IF(Table36[[#This Row],[%Ash]]="-","-",IF(Table36[[#This Row],[%Ash]]&lt;INDEX(Ashmin,MATCH(Table36[[#This Row],[Grist]],SMI,0)),0,IF(Table36[[#This Row],[%Ash]]&gt;INDEX(Ashmax,MATCH(Table36[[#This Row],[Grist]],SMI,0)),0,1))))</f>
        <v>-</v>
      </c>
      <c r="X189" s="127" t="str">
        <f>IF(INDEX(Absmin,MATCH(Table36[[#This Row],[Grist]],SMI,0))="-","-",IF(Table36[[#This Row],[%Absorption]]="-","-",IF(Table36[[#This Row],[%Absorption]]&lt;INDEX(Absmin,MATCH(Table36[[#This Row],[Grist]],SMI,0)),0,IF(Table36[[#This Row],[%Absorption]]&gt;INDEX(Absmax,MATCH(Table36[[#This Row],[Grist]],SMI,0)),0,1))))</f>
        <v>-</v>
      </c>
      <c r="Y189" s="127" t="str">
        <f>IF(INDEX(Extmin,MATCH(Table36[[#This Row],[Grist]],SMI,0))="-","-",IF(Table36[[#This Row],[%Extensibility]]="-","-",IF(Table36[[#This Row],[%Extensibility]]&lt;INDEX(Extmin,MATCH(Table36[[#This Row],[Grist]],SMI,0)),0,IF(Table36[[#This Row],[%Extensibility]]&gt;INDEX(Extmax,MATCH(Table36[[#This Row],[Grist]],SMI,0)),0,1))))</f>
        <v>-</v>
      </c>
      <c r="Z189" s="127" t="str">
        <f>IF(INDEX(Resmin,MATCH(Table36[[#This Row],[Grist]],SMI,0))="-","-",IF(Table36[[#This Row],[Resistance, max]]="-","-",IF(Table36[[#This Row],[Resistance, max]]&lt;INDEX(Resmin,MATCH(Table36[[#This Row],[Grist]],SMI,0)),0,IF(Table36[[#This Row],[Resistance, max]]&gt;INDEX(Resmax,MATCH(Table36[[#This Row],[Grist]],SMI,0)),0,1))))</f>
        <v>-</v>
      </c>
      <c r="AA189" s="127" t="str">
        <f>IF(INDEX(WGmin,MATCH(Table36[[#This Row],[Grist]],SMI,0))="-","-",IF(Table36[[#This Row],[%Wet Gluten]]="-","-",IF(Table36[[#This Row],[%Wet Gluten]]&lt;INDEX(WGmin,MATCH(Table36[[#This Row],[Grist]],SMI,0)),0,IF(Table36[[#This Row],[%Wet Gluten]]&gt;INDEX(WGmax,MATCH(Table36[[#This Row],[Grist]],SMI,0)),0,1))))</f>
        <v>-</v>
      </c>
      <c r="AB189" s="127">
        <f>SUM(Table36[[#This Row],[ QI Bran Content]:[QI WG]])</f>
        <v>3</v>
      </c>
      <c r="AC189" s="127">
        <f>COUNT(Table36[[#This Row],[ QI Bran Content]:[QI WG]])</f>
        <v>4</v>
      </c>
    </row>
    <row r="190" spans="1:29" x14ac:dyDescent="0.35">
      <c r="A190" s="177">
        <v>45292</v>
      </c>
      <c r="B190" s="178">
        <v>45318</v>
      </c>
      <c r="C190" s="178" t="s">
        <v>125</v>
      </c>
      <c r="D190" s="179" t="s">
        <v>238</v>
      </c>
      <c r="E190" s="180" t="s">
        <v>2</v>
      </c>
      <c r="F190" s="181" t="s">
        <v>242</v>
      </c>
      <c r="G190" s="182">
        <v>7.4999999999999997E-3</v>
      </c>
      <c r="H190" s="175" t="s">
        <v>165</v>
      </c>
      <c r="I190" s="175" t="s">
        <v>165</v>
      </c>
      <c r="J190" s="175" t="s">
        <v>165</v>
      </c>
      <c r="K190" s="175">
        <v>11.39</v>
      </c>
      <c r="L190" s="175" t="s">
        <v>163</v>
      </c>
      <c r="M190" s="175" t="s">
        <v>163</v>
      </c>
      <c r="N190" s="175" t="s">
        <v>163</v>
      </c>
      <c r="O190" s="175" t="s">
        <v>163</v>
      </c>
      <c r="P190" s="175" t="s">
        <v>163</v>
      </c>
      <c r="Q190" s="175" t="s">
        <v>163</v>
      </c>
      <c r="R190" s="127">
        <f>IF(Table36[[#This Row],[ Bran Content]]="-","-",IF(G190&lt;0.02,1,0))</f>
        <v>1</v>
      </c>
      <c r="S190" s="127">
        <f>IF(Table36[[#This Row],[Sieve Test]]="-","-",IF(Table36[[#This Row],[Sieve Test]]="P",1,0))</f>
        <v>1</v>
      </c>
      <c r="T190" s="127">
        <f>IF(Table36[[#This Row],[Odor]]="-","-",IF(Table36[[#This Row],[Odor]]="P",1,0))</f>
        <v>1</v>
      </c>
      <c r="U190" s="127">
        <f>IF(INDEX(MCmin,MATCH(Table36[[#This Row],[Grist]],SMI,0))="-","-",IF(Table36[[#This Row],[F1 %MC]]="-","-",IF(Table36[[#This Row],[F1 %MC]]&lt;INDEX(MCmin,MATCH(Table36[[#This Row],[Grist]],SMI,0)),0,IF(Table36[[#This Row],[F1 %MC]]&gt;INDEX(MCmax,MATCH(Table36[[#This Row],[Grist]],SMI,0)),0,1))))</f>
        <v>0</v>
      </c>
      <c r="V190" s="127" t="str">
        <f>IF(INDEX(Protmin,MATCH(Table36[[#This Row],[Grist]],SMI,0))="-","-",IF(Table36[[#This Row],[%Protein]]="-","-",IF(Table36[[#This Row],[%Protein]]&lt;INDEX(Protmin,MATCH(Table36[[#This Row],[Grist]],SMI,0)),0,IF(Table36[[#This Row],[%Protein]]&gt;INDEX(Protmax,MATCH(Table36[[#This Row],[Grist]],SMI,0)),0,1))))</f>
        <v>-</v>
      </c>
      <c r="W190" s="127" t="str">
        <f>IF(INDEX(Ashmin,MATCH(Table36[[#This Row],[Grist]],SMI,0))="-","-",IF(Table36[[#This Row],[%Ash]]="-","-",IF(Table36[[#This Row],[%Ash]]&lt;INDEX(Ashmin,MATCH(Table36[[#This Row],[Grist]],SMI,0)),0,IF(Table36[[#This Row],[%Ash]]&gt;INDEX(Ashmax,MATCH(Table36[[#This Row],[Grist]],SMI,0)),0,1))))</f>
        <v>-</v>
      </c>
      <c r="X190" s="127" t="str">
        <f>IF(INDEX(Absmin,MATCH(Table36[[#This Row],[Grist]],SMI,0))="-","-",IF(Table36[[#This Row],[%Absorption]]="-","-",IF(Table36[[#This Row],[%Absorption]]&lt;INDEX(Absmin,MATCH(Table36[[#This Row],[Grist]],SMI,0)),0,IF(Table36[[#This Row],[%Absorption]]&gt;INDEX(Absmax,MATCH(Table36[[#This Row],[Grist]],SMI,0)),0,1))))</f>
        <v>-</v>
      </c>
      <c r="Y190" s="127" t="str">
        <f>IF(INDEX(Extmin,MATCH(Table36[[#This Row],[Grist]],SMI,0))="-","-",IF(Table36[[#This Row],[%Extensibility]]="-","-",IF(Table36[[#This Row],[%Extensibility]]&lt;INDEX(Extmin,MATCH(Table36[[#This Row],[Grist]],SMI,0)),0,IF(Table36[[#This Row],[%Extensibility]]&gt;INDEX(Extmax,MATCH(Table36[[#This Row],[Grist]],SMI,0)),0,1))))</f>
        <v>-</v>
      </c>
      <c r="Z190" s="127" t="str">
        <f>IF(INDEX(Resmin,MATCH(Table36[[#This Row],[Grist]],SMI,0))="-","-",IF(Table36[[#This Row],[Resistance, max]]="-","-",IF(Table36[[#This Row],[Resistance, max]]&lt;INDEX(Resmin,MATCH(Table36[[#This Row],[Grist]],SMI,0)),0,IF(Table36[[#This Row],[Resistance, max]]&gt;INDEX(Resmax,MATCH(Table36[[#This Row],[Grist]],SMI,0)),0,1))))</f>
        <v>-</v>
      </c>
      <c r="AA190" s="127" t="str">
        <f>IF(INDEX(WGmin,MATCH(Table36[[#This Row],[Grist]],SMI,0))="-","-",IF(Table36[[#This Row],[%Wet Gluten]]="-","-",IF(Table36[[#This Row],[%Wet Gluten]]&lt;INDEX(WGmin,MATCH(Table36[[#This Row],[Grist]],SMI,0)),0,IF(Table36[[#This Row],[%Wet Gluten]]&gt;INDEX(WGmax,MATCH(Table36[[#This Row],[Grist]],SMI,0)),0,1))))</f>
        <v>-</v>
      </c>
      <c r="AB190" s="127">
        <f>SUM(Table36[[#This Row],[ QI Bran Content]:[QI WG]])</f>
        <v>3</v>
      </c>
      <c r="AC190" s="127">
        <f>COUNT(Table36[[#This Row],[ QI Bran Content]:[QI WG]])</f>
        <v>4</v>
      </c>
    </row>
    <row r="191" spans="1:29" x14ac:dyDescent="0.35">
      <c r="A191" s="177">
        <v>45292</v>
      </c>
      <c r="B191" s="178">
        <v>45318</v>
      </c>
      <c r="C191" s="178" t="s">
        <v>128</v>
      </c>
      <c r="D191" s="179">
        <v>0.625</v>
      </c>
      <c r="E191" s="180" t="s">
        <v>0</v>
      </c>
      <c r="F191" s="181" t="s">
        <v>32</v>
      </c>
      <c r="G191" s="182">
        <v>1.2500000000000001E-2</v>
      </c>
      <c r="H191" s="175" t="s">
        <v>165</v>
      </c>
      <c r="I191" s="175" t="s">
        <v>165</v>
      </c>
      <c r="J191" s="175" t="s">
        <v>165</v>
      </c>
      <c r="K191" s="175">
        <v>11.3</v>
      </c>
      <c r="L191" s="175">
        <v>13.49</v>
      </c>
      <c r="M191" s="175">
        <v>0.65</v>
      </c>
      <c r="N191" s="175">
        <v>67.3</v>
      </c>
      <c r="O191" s="175" t="s">
        <v>163</v>
      </c>
      <c r="P191" s="175" t="s">
        <v>163</v>
      </c>
      <c r="Q191" s="175">
        <v>36.58</v>
      </c>
      <c r="R191" s="127">
        <f>IF(Table36[[#This Row],[ Bran Content]]="-","-",IF(G191&lt;0.02,1,0))</f>
        <v>1</v>
      </c>
      <c r="S191" s="127">
        <f>IF(Table36[[#This Row],[Sieve Test]]="-","-",IF(Table36[[#This Row],[Sieve Test]]="P",1,0))</f>
        <v>1</v>
      </c>
      <c r="T191" s="127">
        <f>IF(Table36[[#This Row],[Odor]]="-","-",IF(Table36[[#This Row],[Odor]]="P",1,0))</f>
        <v>1</v>
      </c>
      <c r="U191" s="127">
        <f>IF(INDEX(MCmin,MATCH(Table36[[#This Row],[Grist]],SMI,0))="-","-",IF(Table36[[#This Row],[F1 %MC]]="-","-",IF(Table36[[#This Row],[F1 %MC]]&lt;INDEX(MCmin,MATCH(Table36[[#This Row],[Grist]],SMI,0)),0,IF(Table36[[#This Row],[F1 %MC]]&gt;INDEX(MCmax,MATCH(Table36[[#This Row],[Grist]],SMI,0)),0,1))))</f>
        <v>0</v>
      </c>
      <c r="V191" s="127">
        <f>IF(INDEX(Protmin,MATCH(Table36[[#This Row],[Grist]],SMI,0))="-","-",IF(Table36[[#This Row],[%Protein]]="-","-",IF(Table36[[#This Row],[%Protein]]&lt;INDEX(Protmin,MATCH(Table36[[#This Row],[Grist]],SMI,0)),0,IF(Table36[[#This Row],[%Protein]]&gt;INDEX(Protmax,MATCH(Table36[[#This Row],[Grist]],SMI,0)),0,1))))</f>
        <v>1</v>
      </c>
      <c r="W191" s="127">
        <f>IF(INDEX(Ashmin,MATCH(Table36[[#This Row],[Grist]],SMI,0))="-","-",IF(Table36[[#This Row],[%Ash]]="-","-",IF(Table36[[#This Row],[%Ash]]&lt;INDEX(Ashmin,MATCH(Table36[[#This Row],[Grist]],SMI,0)),0,IF(Table36[[#This Row],[%Ash]]&gt;INDEX(Ashmax,MATCH(Table36[[#This Row],[Grist]],SMI,0)),0,1))))</f>
        <v>1</v>
      </c>
      <c r="X191" s="127">
        <f>IF(INDEX(Absmin,MATCH(Table36[[#This Row],[Grist]],SMI,0))="-","-",IF(Table36[[#This Row],[%Absorption]]="-","-",IF(Table36[[#This Row],[%Absorption]]&lt;INDEX(Absmin,MATCH(Table36[[#This Row],[Grist]],SMI,0)),0,IF(Table36[[#This Row],[%Absorption]]&gt;INDEX(Absmax,MATCH(Table36[[#This Row],[Grist]],SMI,0)),0,1))))</f>
        <v>1</v>
      </c>
      <c r="Y191" s="127" t="str">
        <f>IF(INDEX(Extmin,MATCH(Table36[[#This Row],[Grist]],SMI,0))="-","-",IF(Table36[[#This Row],[%Extensibility]]="-","-",IF(Table36[[#This Row],[%Extensibility]]&lt;INDEX(Extmin,MATCH(Table36[[#This Row],[Grist]],SMI,0)),0,IF(Table36[[#This Row],[%Extensibility]]&gt;INDEX(Extmax,MATCH(Table36[[#This Row],[Grist]],SMI,0)),0,1))))</f>
        <v>-</v>
      </c>
      <c r="Z191" s="127" t="str">
        <f>IF(INDEX(Resmin,MATCH(Table36[[#This Row],[Grist]],SMI,0))="-","-",IF(Table36[[#This Row],[Resistance, max]]="-","-",IF(Table36[[#This Row],[Resistance, max]]&lt;INDEX(Resmin,MATCH(Table36[[#This Row],[Grist]],SMI,0)),0,IF(Table36[[#This Row],[Resistance, max]]&gt;INDEX(Resmax,MATCH(Table36[[#This Row],[Grist]],SMI,0)),0,1))))</f>
        <v>-</v>
      </c>
      <c r="AA191" s="127">
        <f>IF(INDEX(WGmin,MATCH(Table36[[#This Row],[Grist]],SMI,0))="-","-",IF(Table36[[#This Row],[%Wet Gluten]]="-","-",IF(Table36[[#This Row],[%Wet Gluten]]&lt;INDEX(WGmin,MATCH(Table36[[#This Row],[Grist]],SMI,0)),0,IF(Table36[[#This Row],[%Wet Gluten]]&gt;INDEX(WGmax,MATCH(Table36[[#This Row],[Grist]],SMI,0)),0,1))))</f>
        <v>1</v>
      </c>
      <c r="AB191" s="127">
        <f>SUM(Table36[[#This Row],[ QI Bran Content]:[QI WG]])</f>
        <v>7</v>
      </c>
      <c r="AC191" s="127">
        <f>COUNT(Table36[[#This Row],[ QI Bran Content]:[QI WG]])</f>
        <v>8</v>
      </c>
    </row>
    <row r="192" spans="1:29" x14ac:dyDescent="0.35">
      <c r="A192" s="177">
        <v>45292</v>
      </c>
      <c r="B192" s="178">
        <v>45318</v>
      </c>
      <c r="C192" s="178" t="s">
        <v>128</v>
      </c>
      <c r="D192" s="179">
        <v>0.70833333333333304</v>
      </c>
      <c r="E192" s="180" t="s">
        <v>0</v>
      </c>
      <c r="F192" s="181" t="s">
        <v>32</v>
      </c>
      <c r="G192" s="182">
        <v>1.44E-2</v>
      </c>
      <c r="H192" s="175" t="s">
        <v>165</v>
      </c>
      <c r="I192" s="175" t="s">
        <v>165</v>
      </c>
      <c r="J192" s="175" t="s">
        <v>165</v>
      </c>
      <c r="K192" s="175">
        <v>11.44</v>
      </c>
      <c r="L192" s="175" t="s">
        <v>163</v>
      </c>
      <c r="M192" s="175" t="s">
        <v>163</v>
      </c>
      <c r="N192" s="175" t="s">
        <v>163</v>
      </c>
      <c r="O192" s="175" t="s">
        <v>163</v>
      </c>
      <c r="P192" s="175" t="s">
        <v>163</v>
      </c>
      <c r="Q192" s="175" t="s">
        <v>163</v>
      </c>
      <c r="R192" s="127">
        <f>IF(Table36[[#This Row],[ Bran Content]]="-","-",IF(G192&lt;0.02,1,0))</f>
        <v>1</v>
      </c>
      <c r="S192" s="127">
        <f>IF(Table36[[#This Row],[Sieve Test]]="-","-",IF(Table36[[#This Row],[Sieve Test]]="P",1,0))</f>
        <v>1</v>
      </c>
      <c r="T192" s="127">
        <f>IF(Table36[[#This Row],[Odor]]="-","-",IF(Table36[[#This Row],[Odor]]="P",1,0))</f>
        <v>1</v>
      </c>
      <c r="U192" s="127">
        <f>IF(INDEX(MCmin,MATCH(Table36[[#This Row],[Grist]],SMI,0))="-","-",IF(Table36[[#This Row],[F1 %MC]]="-","-",IF(Table36[[#This Row],[F1 %MC]]&lt;INDEX(MCmin,MATCH(Table36[[#This Row],[Grist]],SMI,0)),0,IF(Table36[[#This Row],[F1 %MC]]&gt;INDEX(MCmax,MATCH(Table36[[#This Row],[Grist]],SMI,0)),0,1))))</f>
        <v>0</v>
      </c>
      <c r="V192" s="127" t="str">
        <f>IF(INDEX(Protmin,MATCH(Table36[[#This Row],[Grist]],SMI,0))="-","-",IF(Table36[[#This Row],[%Protein]]="-","-",IF(Table36[[#This Row],[%Protein]]&lt;INDEX(Protmin,MATCH(Table36[[#This Row],[Grist]],SMI,0)),0,IF(Table36[[#This Row],[%Protein]]&gt;INDEX(Protmax,MATCH(Table36[[#This Row],[Grist]],SMI,0)),0,1))))</f>
        <v>-</v>
      </c>
      <c r="W192" s="127" t="str">
        <f>IF(INDEX(Ashmin,MATCH(Table36[[#This Row],[Grist]],SMI,0))="-","-",IF(Table36[[#This Row],[%Ash]]="-","-",IF(Table36[[#This Row],[%Ash]]&lt;INDEX(Ashmin,MATCH(Table36[[#This Row],[Grist]],SMI,0)),0,IF(Table36[[#This Row],[%Ash]]&gt;INDEX(Ashmax,MATCH(Table36[[#This Row],[Grist]],SMI,0)),0,1))))</f>
        <v>-</v>
      </c>
      <c r="X192" s="127" t="str">
        <f>IF(INDEX(Absmin,MATCH(Table36[[#This Row],[Grist]],SMI,0))="-","-",IF(Table36[[#This Row],[%Absorption]]="-","-",IF(Table36[[#This Row],[%Absorption]]&lt;INDEX(Absmin,MATCH(Table36[[#This Row],[Grist]],SMI,0)),0,IF(Table36[[#This Row],[%Absorption]]&gt;INDEX(Absmax,MATCH(Table36[[#This Row],[Grist]],SMI,0)),0,1))))</f>
        <v>-</v>
      </c>
      <c r="Y192" s="127" t="str">
        <f>IF(INDEX(Extmin,MATCH(Table36[[#This Row],[Grist]],SMI,0))="-","-",IF(Table36[[#This Row],[%Extensibility]]="-","-",IF(Table36[[#This Row],[%Extensibility]]&lt;INDEX(Extmin,MATCH(Table36[[#This Row],[Grist]],SMI,0)),0,IF(Table36[[#This Row],[%Extensibility]]&gt;INDEX(Extmax,MATCH(Table36[[#This Row],[Grist]],SMI,0)),0,1))))</f>
        <v>-</v>
      </c>
      <c r="Z192" s="127" t="str">
        <f>IF(INDEX(Resmin,MATCH(Table36[[#This Row],[Grist]],SMI,0))="-","-",IF(Table36[[#This Row],[Resistance, max]]="-","-",IF(Table36[[#This Row],[Resistance, max]]&lt;INDEX(Resmin,MATCH(Table36[[#This Row],[Grist]],SMI,0)),0,IF(Table36[[#This Row],[Resistance, max]]&gt;INDEX(Resmax,MATCH(Table36[[#This Row],[Grist]],SMI,0)),0,1))))</f>
        <v>-</v>
      </c>
      <c r="AA192" s="127" t="str">
        <f>IF(INDEX(WGmin,MATCH(Table36[[#This Row],[Grist]],SMI,0))="-","-",IF(Table36[[#This Row],[%Wet Gluten]]="-","-",IF(Table36[[#This Row],[%Wet Gluten]]&lt;INDEX(WGmin,MATCH(Table36[[#This Row],[Grist]],SMI,0)),0,IF(Table36[[#This Row],[%Wet Gluten]]&gt;INDEX(WGmax,MATCH(Table36[[#This Row],[Grist]],SMI,0)),0,1))))</f>
        <v>-</v>
      </c>
      <c r="AB192" s="127">
        <f>SUM(Table36[[#This Row],[ QI Bran Content]:[QI WG]])</f>
        <v>3</v>
      </c>
      <c r="AC192" s="127">
        <f>COUNT(Table36[[#This Row],[ QI Bran Content]:[QI WG]])</f>
        <v>4</v>
      </c>
    </row>
    <row r="193" spans="1:29" x14ac:dyDescent="0.35">
      <c r="A193" s="177">
        <v>45292</v>
      </c>
      <c r="B193" s="178">
        <v>45318</v>
      </c>
      <c r="C193" s="178" t="s">
        <v>128</v>
      </c>
      <c r="D193" s="179">
        <v>0.79166666666666596</v>
      </c>
      <c r="E193" s="180" t="s">
        <v>0</v>
      </c>
      <c r="F193" s="181" t="s">
        <v>32</v>
      </c>
      <c r="G193" s="182">
        <v>8.3999999999999995E-3</v>
      </c>
      <c r="H193" s="175" t="s">
        <v>165</v>
      </c>
      <c r="I193" s="175" t="s">
        <v>165</v>
      </c>
      <c r="J193" s="175" t="s">
        <v>165</v>
      </c>
      <c r="K193" s="175">
        <v>11.37</v>
      </c>
      <c r="L193" s="175" t="s">
        <v>163</v>
      </c>
      <c r="M193" s="175" t="s">
        <v>163</v>
      </c>
      <c r="N193" s="175" t="s">
        <v>163</v>
      </c>
      <c r="O193" s="175" t="s">
        <v>163</v>
      </c>
      <c r="P193" s="175" t="s">
        <v>163</v>
      </c>
      <c r="Q193" s="175" t="s">
        <v>163</v>
      </c>
      <c r="R193" s="127">
        <f>IF(Table36[[#This Row],[ Bran Content]]="-","-",IF(G193&lt;0.02,1,0))</f>
        <v>1</v>
      </c>
      <c r="S193" s="127">
        <f>IF(Table36[[#This Row],[Sieve Test]]="-","-",IF(Table36[[#This Row],[Sieve Test]]="P",1,0))</f>
        <v>1</v>
      </c>
      <c r="T193" s="127">
        <f>IF(Table36[[#This Row],[Odor]]="-","-",IF(Table36[[#This Row],[Odor]]="P",1,0))</f>
        <v>1</v>
      </c>
      <c r="U193" s="127">
        <f>IF(INDEX(MCmin,MATCH(Table36[[#This Row],[Grist]],SMI,0))="-","-",IF(Table36[[#This Row],[F1 %MC]]="-","-",IF(Table36[[#This Row],[F1 %MC]]&lt;INDEX(MCmin,MATCH(Table36[[#This Row],[Grist]],SMI,0)),0,IF(Table36[[#This Row],[F1 %MC]]&gt;INDEX(MCmax,MATCH(Table36[[#This Row],[Grist]],SMI,0)),0,1))))</f>
        <v>0</v>
      </c>
      <c r="V193" s="127" t="str">
        <f>IF(INDEX(Protmin,MATCH(Table36[[#This Row],[Grist]],SMI,0))="-","-",IF(Table36[[#This Row],[%Protein]]="-","-",IF(Table36[[#This Row],[%Protein]]&lt;INDEX(Protmin,MATCH(Table36[[#This Row],[Grist]],SMI,0)),0,IF(Table36[[#This Row],[%Protein]]&gt;INDEX(Protmax,MATCH(Table36[[#This Row],[Grist]],SMI,0)),0,1))))</f>
        <v>-</v>
      </c>
      <c r="W193" s="127" t="str">
        <f>IF(INDEX(Ashmin,MATCH(Table36[[#This Row],[Grist]],SMI,0))="-","-",IF(Table36[[#This Row],[%Ash]]="-","-",IF(Table36[[#This Row],[%Ash]]&lt;INDEX(Ashmin,MATCH(Table36[[#This Row],[Grist]],SMI,0)),0,IF(Table36[[#This Row],[%Ash]]&gt;INDEX(Ashmax,MATCH(Table36[[#This Row],[Grist]],SMI,0)),0,1))))</f>
        <v>-</v>
      </c>
      <c r="X193" s="127" t="str">
        <f>IF(INDEX(Absmin,MATCH(Table36[[#This Row],[Grist]],SMI,0))="-","-",IF(Table36[[#This Row],[%Absorption]]="-","-",IF(Table36[[#This Row],[%Absorption]]&lt;INDEX(Absmin,MATCH(Table36[[#This Row],[Grist]],SMI,0)),0,IF(Table36[[#This Row],[%Absorption]]&gt;INDEX(Absmax,MATCH(Table36[[#This Row],[Grist]],SMI,0)),0,1))))</f>
        <v>-</v>
      </c>
      <c r="Y193" s="127" t="str">
        <f>IF(INDEX(Extmin,MATCH(Table36[[#This Row],[Grist]],SMI,0))="-","-",IF(Table36[[#This Row],[%Extensibility]]="-","-",IF(Table36[[#This Row],[%Extensibility]]&lt;INDEX(Extmin,MATCH(Table36[[#This Row],[Grist]],SMI,0)),0,IF(Table36[[#This Row],[%Extensibility]]&gt;INDEX(Extmax,MATCH(Table36[[#This Row],[Grist]],SMI,0)),0,1))))</f>
        <v>-</v>
      </c>
      <c r="Z193" s="127" t="str">
        <f>IF(INDEX(Resmin,MATCH(Table36[[#This Row],[Grist]],SMI,0))="-","-",IF(Table36[[#This Row],[Resistance, max]]="-","-",IF(Table36[[#This Row],[Resistance, max]]&lt;INDEX(Resmin,MATCH(Table36[[#This Row],[Grist]],SMI,0)),0,IF(Table36[[#This Row],[Resistance, max]]&gt;INDEX(Resmax,MATCH(Table36[[#This Row],[Grist]],SMI,0)),0,1))))</f>
        <v>-</v>
      </c>
      <c r="AA193" s="127" t="str">
        <f>IF(INDEX(WGmin,MATCH(Table36[[#This Row],[Grist]],SMI,0))="-","-",IF(Table36[[#This Row],[%Wet Gluten]]="-","-",IF(Table36[[#This Row],[%Wet Gluten]]&lt;INDEX(WGmin,MATCH(Table36[[#This Row],[Grist]],SMI,0)),0,IF(Table36[[#This Row],[%Wet Gluten]]&gt;INDEX(WGmax,MATCH(Table36[[#This Row],[Grist]],SMI,0)),0,1))))</f>
        <v>-</v>
      </c>
      <c r="AB193" s="127">
        <f>SUM(Table36[[#This Row],[ QI Bran Content]:[QI WG]])</f>
        <v>3</v>
      </c>
      <c r="AC193" s="127">
        <f>COUNT(Table36[[#This Row],[ QI Bran Content]:[QI WG]])</f>
        <v>4</v>
      </c>
    </row>
    <row r="194" spans="1:29" x14ac:dyDescent="0.35">
      <c r="A194" s="177">
        <v>45292</v>
      </c>
      <c r="B194" s="178">
        <v>45318</v>
      </c>
      <c r="C194" s="178" t="s">
        <v>128</v>
      </c>
      <c r="D194" s="179">
        <v>0.874999999999999</v>
      </c>
      <c r="E194" s="180" t="s">
        <v>0</v>
      </c>
      <c r="F194" s="181" t="s">
        <v>32</v>
      </c>
      <c r="G194" s="182">
        <v>1.06E-2</v>
      </c>
      <c r="H194" s="175" t="s">
        <v>165</v>
      </c>
      <c r="I194" s="175" t="s">
        <v>165</v>
      </c>
      <c r="J194" s="175" t="s">
        <v>165</v>
      </c>
      <c r="K194" s="175">
        <v>11.12</v>
      </c>
      <c r="L194" s="175" t="s">
        <v>163</v>
      </c>
      <c r="M194" s="175" t="s">
        <v>163</v>
      </c>
      <c r="N194" s="175" t="s">
        <v>163</v>
      </c>
      <c r="O194" s="175" t="s">
        <v>163</v>
      </c>
      <c r="P194" s="175" t="s">
        <v>163</v>
      </c>
      <c r="Q194" s="175" t="s">
        <v>163</v>
      </c>
      <c r="R194" s="127">
        <f>IF(Table36[[#This Row],[ Bran Content]]="-","-",IF(G194&lt;0.02,1,0))</f>
        <v>1</v>
      </c>
      <c r="S194" s="127">
        <f>IF(Table36[[#This Row],[Sieve Test]]="-","-",IF(Table36[[#This Row],[Sieve Test]]="P",1,0))</f>
        <v>1</v>
      </c>
      <c r="T194" s="127">
        <f>IF(Table36[[#This Row],[Odor]]="-","-",IF(Table36[[#This Row],[Odor]]="P",1,0))</f>
        <v>1</v>
      </c>
      <c r="U194" s="127">
        <f>IF(INDEX(MCmin,MATCH(Table36[[#This Row],[Grist]],SMI,0))="-","-",IF(Table36[[#This Row],[F1 %MC]]="-","-",IF(Table36[[#This Row],[F1 %MC]]&lt;INDEX(MCmin,MATCH(Table36[[#This Row],[Grist]],SMI,0)),0,IF(Table36[[#This Row],[F1 %MC]]&gt;INDEX(MCmax,MATCH(Table36[[#This Row],[Grist]],SMI,0)),0,1))))</f>
        <v>0</v>
      </c>
      <c r="V194" s="127" t="str">
        <f>IF(INDEX(Protmin,MATCH(Table36[[#This Row],[Grist]],SMI,0))="-","-",IF(Table36[[#This Row],[%Protein]]="-","-",IF(Table36[[#This Row],[%Protein]]&lt;INDEX(Protmin,MATCH(Table36[[#This Row],[Grist]],SMI,0)),0,IF(Table36[[#This Row],[%Protein]]&gt;INDEX(Protmax,MATCH(Table36[[#This Row],[Grist]],SMI,0)),0,1))))</f>
        <v>-</v>
      </c>
      <c r="W194" s="127" t="str">
        <f>IF(INDEX(Ashmin,MATCH(Table36[[#This Row],[Grist]],SMI,0))="-","-",IF(Table36[[#This Row],[%Ash]]="-","-",IF(Table36[[#This Row],[%Ash]]&lt;INDEX(Ashmin,MATCH(Table36[[#This Row],[Grist]],SMI,0)),0,IF(Table36[[#This Row],[%Ash]]&gt;INDEX(Ashmax,MATCH(Table36[[#This Row],[Grist]],SMI,0)),0,1))))</f>
        <v>-</v>
      </c>
      <c r="X194" s="127" t="str">
        <f>IF(INDEX(Absmin,MATCH(Table36[[#This Row],[Grist]],SMI,0))="-","-",IF(Table36[[#This Row],[%Absorption]]="-","-",IF(Table36[[#This Row],[%Absorption]]&lt;INDEX(Absmin,MATCH(Table36[[#This Row],[Grist]],SMI,0)),0,IF(Table36[[#This Row],[%Absorption]]&gt;INDEX(Absmax,MATCH(Table36[[#This Row],[Grist]],SMI,0)),0,1))))</f>
        <v>-</v>
      </c>
      <c r="Y194" s="127" t="str">
        <f>IF(INDEX(Extmin,MATCH(Table36[[#This Row],[Grist]],SMI,0))="-","-",IF(Table36[[#This Row],[%Extensibility]]="-","-",IF(Table36[[#This Row],[%Extensibility]]&lt;INDEX(Extmin,MATCH(Table36[[#This Row],[Grist]],SMI,0)),0,IF(Table36[[#This Row],[%Extensibility]]&gt;INDEX(Extmax,MATCH(Table36[[#This Row],[Grist]],SMI,0)),0,1))))</f>
        <v>-</v>
      </c>
      <c r="Z194" s="127" t="str">
        <f>IF(INDEX(Resmin,MATCH(Table36[[#This Row],[Grist]],SMI,0))="-","-",IF(Table36[[#This Row],[Resistance, max]]="-","-",IF(Table36[[#This Row],[Resistance, max]]&lt;INDEX(Resmin,MATCH(Table36[[#This Row],[Grist]],SMI,0)),0,IF(Table36[[#This Row],[Resistance, max]]&gt;INDEX(Resmax,MATCH(Table36[[#This Row],[Grist]],SMI,0)),0,1))))</f>
        <v>-</v>
      </c>
      <c r="AA194" s="127" t="str">
        <f>IF(INDEX(WGmin,MATCH(Table36[[#This Row],[Grist]],SMI,0))="-","-",IF(Table36[[#This Row],[%Wet Gluten]]="-","-",IF(Table36[[#This Row],[%Wet Gluten]]&lt;INDEX(WGmin,MATCH(Table36[[#This Row],[Grist]],SMI,0)),0,IF(Table36[[#This Row],[%Wet Gluten]]&gt;INDEX(WGmax,MATCH(Table36[[#This Row],[Grist]],SMI,0)),0,1))))</f>
        <v>-</v>
      </c>
      <c r="AB194" s="127">
        <f>SUM(Table36[[#This Row],[ QI Bran Content]:[QI WG]])</f>
        <v>3</v>
      </c>
      <c r="AC194" s="127">
        <f>COUNT(Table36[[#This Row],[ QI Bran Content]:[QI WG]])</f>
        <v>4</v>
      </c>
    </row>
    <row r="195" spans="1:29" x14ac:dyDescent="0.35">
      <c r="A195" s="177">
        <v>45292</v>
      </c>
      <c r="B195" s="178">
        <v>45318</v>
      </c>
      <c r="C195" s="178" t="s">
        <v>128</v>
      </c>
      <c r="D195" s="179">
        <v>0.625</v>
      </c>
      <c r="E195" s="180" t="s">
        <v>2</v>
      </c>
      <c r="F195" s="181" t="s">
        <v>242</v>
      </c>
      <c r="G195" s="182">
        <v>5.7000000000000002E-3</v>
      </c>
      <c r="H195" s="175" t="s">
        <v>165</v>
      </c>
      <c r="I195" s="175" t="s">
        <v>165</v>
      </c>
      <c r="J195" s="175" t="s">
        <v>165</v>
      </c>
      <c r="K195" s="175">
        <v>11.01</v>
      </c>
      <c r="L195" s="175" t="s">
        <v>163</v>
      </c>
      <c r="M195" s="175" t="s">
        <v>163</v>
      </c>
      <c r="N195" s="175" t="s">
        <v>163</v>
      </c>
      <c r="O195" s="175" t="s">
        <v>163</v>
      </c>
      <c r="P195" s="175" t="s">
        <v>163</v>
      </c>
      <c r="Q195" s="175" t="s">
        <v>163</v>
      </c>
      <c r="R195" s="127">
        <f>IF(Table36[[#This Row],[ Bran Content]]="-","-",IF(G195&lt;0.02,1,0))</f>
        <v>1</v>
      </c>
      <c r="S195" s="127">
        <f>IF(Table36[[#This Row],[Sieve Test]]="-","-",IF(Table36[[#This Row],[Sieve Test]]="P",1,0))</f>
        <v>1</v>
      </c>
      <c r="T195" s="127">
        <f>IF(Table36[[#This Row],[Odor]]="-","-",IF(Table36[[#This Row],[Odor]]="P",1,0))</f>
        <v>1</v>
      </c>
      <c r="U195" s="127">
        <f>IF(INDEX(MCmin,MATCH(Table36[[#This Row],[Grist]],SMI,0))="-","-",IF(Table36[[#This Row],[F1 %MC]]="-","-",IF(Table36[[#This Row],[F1 %MC]]&lt;INDEX(MCmin,MATCH(Table36[[#This Row],[Grist]],SMI,0)),0,IF(Table36[[#This Row],[F1 %MC]]&gt;INDEX(MCmax,MATCH(Table36[[#This Row],[Grist]],SMI,0)),0,1))))</f>
        <v>0</v>
      </c>
      <c r="V195" s="127" t="str">
        <f>IF(INDEX(Protmin,MATCH(Table36[[#This Row],[Grist]],SMI,0))="-","-",IF(Table36[[#This Row],[%Protein]]="-","-",IF(Table36[[#This Row],[%Protein]]&lt;INDEX(Protmin,MATCH(Table36[[#This Row],[Grist]],SMI,0)),0,IF(Table36[[#This Row],[%Protein]]&gt;INDEX(Protmax,MATCH(Table36[[#This Row],[Grist]],SMI,0)),0,1))))</f>
        <v>-</v>
      </c>
      <c r="W195" s="127" t="str">
        <f>IF(INDEX(Ashmin,MATCH(Table36[[#This Row],[Grist]],SMI,0))="-","-",IF(Table36[[#This Row],[%Ash]]="-","-",IF(Table36[[#This Row],[%Ash]]&lt;INDEX(Ashmin,MATCH(Table36[[#This Row],[Grist]],SMI,0)),0,IF(Table36[[#This Row],[%Ash]]&gt;INDEX(Ashmax,MATCH(Table36[[#This Row],[Grist]],SMI,0)),0,1))))</f>
        <v>-</v>
      </c>
      <c r="X195" s="127" t="str">
        <f>IF(INDEX(Absmin,MATCH(Table36[[#This Row],[Grist]],SMI,0))="-","-",IF(Table36[[#This Row],[%Absorption]]="-","-",IF(Table36[[#This Row],[%Absorption]]&lt;INDEX(Absmin,MATCH(Table36[[#This Row],[Grist]],SMI,0)),0,IF(Table36[[#This Row],[%Absorption]]&gt;INDEX(Absmax,MATCH(Table36[[#This Row],[Grist]],SMI,0)),0,1))))</f>
        <v>-</v>
      </c>
      <c r="Y195" s="127" t="str">
        <f>IF(INDEX(Extmin,MATCH(Table36[[#This Row],[Grist]],SMI,0))="-","-",IF(Table36[[#This Row],[%Extensibility]]="-","-",IF(Table36[[#This Row],[%Extensibility]]&lt;INDEX(Extmin,MATCH(Table36[[#This Row],[Grist]],SMI,0)),0,IF(Table36[[#This Row],[%Extensibility]]&gt;INDEX(Extmax,MATCH(Table36[[#This Row],[Grist]],SMI,0)),0,1))))</f>
        <v>-</v>
      </c>
      <c r="Z195" s="127" t="str">
        <f>IF(INDEX(Resmin,MATCH(Table36[[#This Row],[Grist]],SMI,0))="-","-",IF(Table36[[#This Row],[Resistance, max]]="-","-",IF(Table36[[#This Row],[Resistance, max]]&lt;INDEX(Resmin,MATCH(Table36[[#This Row],[Grist]],SMI,0)),0,IF(Table36[[#This Row],[Resistance, max]]&gt;INDEX(Resmax,MATCH(Table36[[#This Row],[Grist]],SMI,0)),0,1))))</f>
        <v>-</v>
      </c>
      <c r="AA195" s="127" t="str">
        <f>IF(INDEX(WGmin,MATCH(Table36[[#This Row],[Grist]],SMI,0))="-","-",IF(Table36[[#This Row],[%Wet Gluten]]="-","-",IF(Table36[[#This Row],[%Wet Gluten]]&lt;INDEX(WGmin,MATCH(Table36[[#This Row],[Grist]],SMI,0)),0,IF(Table36[[#This Row],[%Wet Gluten]]&gt;INDEX(WGmax,MATCH(Table36[[#This Row],[Grist]],SMI,0)),0,1))))</f>
        <v>-</v>
      </c>
      <c r="AB195" s="127">
        <f>SUM(Table36[[#This Row],[ QI Bran Content]:[QI WG]])</f>
        <v>3</v>
      </c>
      <c r="AC195" s="127">
        <f>COUNT(Table36[[#This Row],[ QI Bran Content]:[QI WG]])</f>
        <v>4</v>
      </c>
    </row>
    <row r="196" spans="1:29" x14ac:dyDescent="0.35">
      <c r="A196" s="177">
        <v>45292</v>
      </c>
      <c r="B196" s="178">
        <v>45318</v>
      </c>
      <c r="C196" s="178" t="s">
        <v>128</v>
      </c>
      <c r="D196" s="179">
        <v>0.70833333333333304</v>
      </c>
      <c r="E196" s="180" t="s">
        <v>2</v>
      </c>
      <c r="F196" s="181" t="s">
        <v>242</v>
      </c>
      <c r="G196" s="182">
        <v>6.6800000000000002E-3</v>
      </c>
      <c r="H196" s="175" t="s">
        <v>165</v>
      </c>
      <c r="I196" s="175" t="s">
        <v>165</v>
      </c>
      <c r="J196" s="175" t="s">
        <v>165</v>
      </c>
      <c r="K196" s="175">
        <v>11.15</v>
      </c>
      <c r="L196" s="175" t="s">
        <v>163</v>
      </c>
      <c r="M196" s="175" t="s">
        <v>163</v>
      </c>
      <c r="N196" s="175" t="s">
        <v>163</v>
      </c>
      <c r="O196" s="175" t="s">
        <v>163</v>
      </c>
      <c r="P196" s="175" t="s">
        <v>163</v>
      </c>
      <c r="Q196" s="175" t="s">
        <v>163</v>
      </c>
      <c r="R196" s="127">
        <f>IF(Table36[[#This Row],[ Bran Content]]="-","-",IF(G196&lt;0.02,1,0))</f>
        <v>1</v>
      </c>
      <c r="S196" s="127">
        <f>IF(Table36[[#This Row],[Sieve Test]]="-","-",IF(Table36[[#This Row],[Sieve Test]]="P",1,0))</f>
        <v>1</v>
      </c>
      <c r="T196" s="127">
        <f>IF(Table36[[#This Row],[Odor]]="-","-",IF(Table36[[#This Row],[Odor]]="P",1,0))</f>
        <v>1</v>
      </c>
      <c r="U196" s="127">
        <f>IF(INDEX(MCmin,MATCH(Table36[[#This Row],[Grist]],SMI,0))="-","-",IF(Table36[[#This Row],[F1 %MC]]="-","-",IF(Table36[[#This Row],[F1 %MC]]&lt;INDEX(MCmin,MATCH(Table36[[#This Row],[Grist]],SMI,0)),0,IF(Table36[[#This Row],[F1 %MC]]&gt;INDEX(MCmax,MATCH(Table36[[#This Row],[Grist]],SMI,0)),0,1))))</f>
        <v>0</v>
      </c>
      <c r="V196" s="127" t="str">
        <f>IF(INDEX(Protmin,MATCH(Table36[[#This Row],[Grist]],SMI,0))="-","-",IF(Table36[[#This Row],[%Protein]]="-","-",IF(Table36[[#This Row],[%Protein]]&lt;INDEX(Protmin,MATCH(Table36[[#This Row],[Grist]],SMI,0)),0,IF(Table36[[#This Row],[%Protein]]&gt;INDEX(Protmax,MATCH(Table36[[#This Row],[Grist]],SMI,0)),0,1))))</f>
        <v>-</v>
      </c>
      <c r="W196" s="127" t="str">
        <f>IF(INDEX(Ashmin,MATCH(Table36[[#This Row],[Grist]],SMI,0))="-","-",IF(Table36[[#This Row],[%Ash]]="-","-",IF(Table36[[#This Row],[%Ash]]&lt;INDEX(Ashmin,MATCH(Table36[[#This Row],[Grist]],SMI,0)),0,IF(Table36[[#This Row],[%Ash]]&gt;INDEX(Ashmax,MATCH(Table36[[#This Row],[Grist]],SMI,0)),0,1))))</f>
        <v>-</v>
      </c>
      <c r="X196" s="127" t="str">
        <f>IF(INDEX(Absmin,MATCH(Table36[[#This Row],[Grist]],SMI,0))="-","-",IF(Table36[[#This Row],[%Absorption]]="-","-",IF(Table36[[#This Row],[%Absorption]]&lt;INDEX(Absmin,MATCH(Table36[[#This Row],[Grist]],SMI,0)),0,IF(Table36[[#This Row],[%Absorption]]&gt;INDEX(Absmax,MATCH(Table36[[#This Row],[Grist]],SMI,0)),0,1))))</f>
        <v>-</v>
      </c>
      <c r="Y196" s="127" t="str">
        <f>IF(INDEX(Extmin,MATCH(Table36[[#This Row],[Grist]],SMI,0))="-","-",IF(Table36[[#This Row],[%Extensibility]]="-","-",IF(Table36[[#This Row],[%Extensibility]]&lt;INDEX(Extmin,MATCH(Table36[[#This Row],[Grist]],SMI,0)),0,IF(Table36[[#This Row],[%Extensibility]]&gt;INDEX(Extmax,MATCH(Table36[[#This Row],[Grist]],SMI,0)),0,1))))</f>
        <v>-</v>
      </c>
      <c r="Z196" s="127" t="str">
        <f>IF(INDEX(Resmin,MATCH(Table36[[#This Row],[Grist]],SMI,0))="-","-",IF(Table36[[#This Row],[Resistance, max]]="-","-",IF(Table36[[#This Row],[Resistance, max]]&lt;INDEX(Resmin,MATCH(Table36[[#This Row],[Grist]],SMI,0)),0,IF(Table36[[#This Row],[Resistance, max]]&gt;INDEX(Resmax,MATCH(Table36[[#This Row],[Grist]],SMI,0)),0,1))))</f>
        <v>-</v>
      </c>
      <c r="AA196" s="127" t="str">
        <f>IF(INDEX(WGmin,MATCH(Table36[[#This Row],[Grist]],SMI,0))="-","-",IF(Table36[[#This Row],[%Wet Gluten]]="-","-",IF(Table36[[#This Row],[%Wet Gluten]]&lt;INDEX(WGmin,MATCH(Table36[[#This Row],[Grist]],SMI,0)),0,IF(Table36[[#This Row],[%Wet Gluten]]&gt;INDEX(WGmax,MATCH(Table36[[#This Row],[Grist]],SMI,0)),0,1))))</f>
        <v>-</v>
      </c>
      <c r="AB196" s="127">
        <f>SUM(Table36[[#This Row],[ QI Bran Content]:[QI WG]])</f>
        <v>3</v>
      </c>
      <c r="AC196" s="127">
        <f>COUNT(Table36[[#This Row],[ QI Bran Content]:[QI WG]])</f>
        <v>4</v>
      </c>
    </row>
    <row r="197" spans="1:29" x14ac:dyDescent="0.35">
      <c r="A197" s="177">
        <v>45292</v>
      </c>
      <c r="B197" s="178">
        <v>45318</v>
      </c>
      <c r="C197" s="178" t="s">
        <v>130</v>
      </c>
      <c r="D197" s="179">
        <v>1.0416666666666701</v>
      </c>
      <c r="E197" s="180" t="s">
        <v>0</v>
      </c>
      <c r="F197" s="181" t="s">
        <v>27</v>
      </c>
      <c r="G197" s="182">
        <v>1.06E-2</v>
      </c>
      <c r="H197" s="175" t="s">
        <v>165</v>
      </c>
      <c r="I197" s="175" t="s">
        <v>165</v>
      </c>
      <c r="J197" s="175" t="s">
        <v>165</v>
      </c>
      <c r="K197" s="175">
        <v>11.44</v>
      </c>
      <c r="L197" s="175">
        <v>14.15</v>
      </c>
      <c r="M197" s="175">
        <v>0.63</v>
      </c>
      <c r="N197" s="175">
        <v>66.099999999999994</v>
      </c>
      <c r="O197" s="175" t="s">
        <v>163</v>
      </c>
      <c r="P197" s="175" t="s">
        <v>163</v>
      </c>
      <c r="Q197" s="175">
        <v>36.6</v>
      </c>
      <c r="R197" s="127">
        <f>IF(Table36[[#This Row],[ Bran Content]]="-","-",IF(G197&lt;0.02,1,0))</f>
        <v>1</v>
      </c>
      <c r="S197" s="127">
        <f>IF(Table36[[#This Row],[Sieve Test]]="-","-",IF(Table36[[#This Row],[Sieve Test]]="P",1,0))</f>
        <v>1</v>
      </c>
      <c r="T197" s="127">
        <f>IF(Table36[[#This Row],[Odor]]="-","-",IF(Table36[[#This Row],[Odor]]="P",1,0))</f>
        <v>1</v>
      </c>
      <c r="U197" s="127">
        <f>IF(INDEX(MCmin,MATCH(Table36[[#This Row],[Grist]],SMI,0))="-","-",IF(Table36[[#This Row],[F1 %MC]]="-","-",IF(Table36[[#This Row],[F1 %MC]]&lt;INDEX(MCmin,MATCH(Table36[[#This Row],[Grist]],SMI,0)),0,IF(Table36[[#This Row],[F1 %MC]]&gt;INDEX(MCmax,MATCH(Table36[[#This Row],[Grist]],SMI,0)),0,1))))</f>
        <v>0</v>
      </c>
      <c r="V197" s="127">
        <f>IF(INDEX(Protmin,MATCH(Table36[[#This Row],[Grist]],SMI,0))="-","-",IF(Table36[[#This Row],[%Protein]]="-","-",IF(Table36[[#This Row],[%Protein]]&lt;INDEX(Protmin,MATCH(Table36[[#This Row],[Grist]],SMI,0)),0,IF(Table36[[#This Row],[%Protein]]&gt;INDEX(Protmax,MATCH(Table36[[#This Row],[Grist]],SMI,0)),0,1))))</f>
        <v>1</v>
      </c>
      <c r="W197" s="127">
        <f>IF(INDEX(Ashmin,MATCH(Table36[[#This Row],[Grist]],SMI,0))="-","-",IF(Table36[[#This Row],[%Ash]]="-","-",IF(Table36[[#This Row],[%Ash]]&lt;INDEX(Ashmin,MATCH(Table36[[#This Row],[Grist]],SMI,0)),0,IF(Table36[[#This Row],[%Ash]]&gt;INDEX(Ashmax,MATCH(Table36[[#This Row],[Grist]],SMI,0)),0,1))))</f>
        <v>1</v>
      </c>
      <c r="X197" s="127">
        <f>IF(INDEX(Absmin,MATCH(Table36[[#This Row],[Grist]],SMI,0))="-","-",IF(Table36[[#This Row],[%Absorption]]="-","-",IF(Table36[[#This Row],[%Absorption]]&lt;INDEX(Absmin,MATCH(Table36[[#This Row],[Grist]],SMI,0)),0,IF(Table36[[#This Row],[%Absorption]]&gt;INDEX(Absmax,MATCH(Table36[[#This Row],[Grist]],SMI,0)),0,1))))</f>
        <v>1</v>
      </c>
      <c r="Y197" s="127" t="str">
        <f>IF(INDEX(Extmin,MATCH(Table36[[#This Row],[Grist]],SMI,0))="-","-",IF(Table36[[#This Row],[%Extensibility]]="-","-",IF(Table36[[#This Row],[%Extensibility]]&lt;INDEX(Extmin,MATCH(Table36[[#This Row],[Grist]],SMI,0)),0,IF(Table36[[#This Row],[%Extensibility]]&gt;INDEX(Extmax,MATCH(Table36[[#This Row],[Grist]],SMI,0)),0,1))))</f>
        <v>-</v>
      </c>
      <c r="Z197" s="127" t="str">
        <f>IF(INDEX(Resmin,MATCH(Table36[[#This Row],[Grist]],SMI,0))="-","-",IF(Table36[[#This Row],[Resistance, max]]="-","-",IF(Table36[[#This Row],[Resistance, max]]&lt;INDEX(Resmin,MATCH(Table36[[#This Row],[Grist]],SMI,0)),0,IF(Table36[[#This Row],[Resistance, max]]&gt;INDEX(Resmax,MATCH(Table36[[#This Row],[Grist]],SMI,0)),0,1))))</f>
        <v>-</v>
      </c>
      <c r="AA197" s="127">
        <f>IF(INDEX(WGmin,MATCH(Table36[[#This Row],[Grist]],SMI,0))="-","-",IF(Table36[[#This Row],[%Wet Gluten]]="-","-",IF(Table36[[#This Row],[%Wet Gluten]]&lt;INDEX(WGmin,MATCH(Table36[[#This Row],[Grist]],SMI,0)),0,IF(Table36[[#This Row],[%Wet Gluten]]&gt;INDEX(WGmax,MATCH(Table36[[#This Row],[Grist]],SMI,0)),0,1))))</f>
        <v>1</v>
      </c>
      <c r="AB197" s="127">
        <f>SUM(Table36[[#This Row],[ QI Bran Content]:[QI WG]])</f>
        <v>7</v>
      </c>
      <c r="AC197" s="127">
        <f>COUNT(Table36[[#This Row],[ QI Bran Content]:[QI WG]])</f>
        <v>8</v>
      </c>
    </row>
    <row r="198" spans="1:29" x14ac:dyDescent="0.35">
      <c r="A198" s="177">
        <v>45292</v>
      </c>
      <c r="B198" s="178">
        <v>45318</v>
      </c>
      <c r="C198" s="178" t="s">
        <v>130</v>
      </c>
      <c r="D198" s="179">
        <v>1.125</v>
      </c>
      <c r="E198" s="180" t="s">
        <v>0</v>
      </c>
      <c r="F198" s="181" t="s">
        <v>27</v>
      </c>
      <c r="G198" s="182">
        <v>6.7000000000000002E-3</v>
      </c>
      <c r="H198" s="175" t="s">
        <v>165</v>
      </c>
      <c r="I198" s="175" t="s">
        <v>165</v>
      </c>
      <c r="J198" s="175" t="s">
        <v>165</v>
      </c>
      <c r="K198" s="175">
        <v>11.37</v>
      </c>
      <c r="L198" s="175" t="s">
        <v>163</v>
      </c>
      <c r="M198" s="175" t="s">
        <v>163</v>
      </c>
      <c r="N198" s="175" t="s">
        <v>163</v>
      </c>
      <c r="O198" s="175" t="s">
        <v>163</v>
      </c>
      <c r="P198" s="175" t="s">
        <v>163</v>
      </c>
      <c r="Q198" s="175" t="s">
        <v>163</v>
      </c>
      <c r="R198" s="127">
        <f>IF(Table36[[#This Row],[ Bran Content]]="-","-",IF(G198&lt;0.02,1,0))</f>
        <v>1</v>
      </c>
      <c r="S198" s="127">
        <f>IF(Table36[[#This Row],[Sieve Test]]="-","-",IF(Table36[[#This Row],[Sieve Test]]="P",1,0))</f>
        <v>1</v>
      </c>
      <c r="T198" s="127">
        <f>IF(Table36[[#This Row],[Odor]]="-","-",IF(Table36[[#This Row],[Odor]]="P",1,0))</f>
        <v>1</v>
      </c>
      <c r="U198" s="127">
        <f>IF(INDEX(MCmin,MATCH(Table36[[#This Row],[Grist]],SMI,0))="-","-",IF(Table36[[#This Row],[F1 %MC]]="-","-",IF(Table36[[#This Row],[F1 %MC]]&lt;INDEX(MCmin,MATCH(Table36[[#This Row],[Grist]],SMI,0)),0,IF(Table36[[#This Row],[F1 %MC]]&gt;INDEX(MCmax,MATCH(Table36[[#This Row],[Grist]],SMI,0)),0,1))))</f>
        <v>0</v>
      </c>
      <c r="V198" s="127" t="str">
        <f>IF(INDEX(Protmin,MATCH(Table36[[#This Row],[Grist]],SMI,0))="-","-",IF(Table36[[#This Row],[%Protein]]="-","-",IF(Table36[[#This Row],[%Protein]]&lt;INDEX(Protmin,MATCH(Table36[[#This Row],[Grist]],SMI,0)),0,IF(Table36[[#This Row],[%Protein]]&gt;INDEX(Protmax,MATCH(Table36[[#This Row],[Grist]],SMI,0)),0,1))))</f>
        <v>-</v>
      </c>
      <c r="W198" s="127" t="str">
        <f>IF(INDEX(Ashmin,MATCH(Table36[[#This Row],[Grist]],SMI,0))="-","-",IF(Table36[[#This Row],[%Ash]]="-","-",IF(Table36[[#This Row],[%Ash]]&lt;INDEX(Ashmin,MATCH(Table36[[#This Row],[Grist]],SMI,0)),0,IF(Table36[[#This Row],[%Ash]]&gt;INDEX(Ashmax,MATCH(Table36[[#This Row],[Grist]],SMI,0)),0,1))))</f>
        <v>-</v>
      </c>
      <c r="X198" s="127" t="str">
        <f>IF(INDEX(Absmin,MATCH(Table36[[#This Row],[Grist]],SMI,0))="-","-",IF(Table36[[#This Row],[%Absorption]]="-","-",IF(Table36[[#This Row],[%Absorption]]&lt;INDEX(Absmin,MATCH(Table36[[#This Row],[Grist]],SMI,0)),0,IF(Table36[[#This Row],[%Absorption]]&gt;INDEX(Absmax,MATCH(Table36[[#This Row],[Grist]],SMI,0)),0,1))))</f>
        <v>-</v>
      </c>
      <c r="Y198" s="127" t="str">
        <f>IF(INDEX(Extmin,MATCH(Table36[[#This Row],[Grist]],SMI,0))="-","-",IF(Table36[[#This Row],[%Extensibility]]="-","-",IF(Table36[[#This Row],[%Extensibility]]&lt;INDEX(Extmin,MATCH(Table36[[#This Row],[Grist]],SMI,0)),0,IF(Table36[[#This Row],[%Extensibility]]&gt;INDEX(Extmax,MATCH(Table36[[#This Row],[Grist]],SMI,0)),0,1))))</f>
        <v>-</v>
      </c>
      <c r="Z198" s="127" t="str">
        <f>IF(INDEX(Resmin,MATCH(Table36[[#This Row],[Grist]],SMI,0))="-","-",IF(Table36[[#This Row],[Resistance, max]]="-","-",IF(Table36[[#This Row],[Resistance, max]]&lt;INDEX(Resmin,MATCH(Table36[[#This Row],[Grist]],SMI,0)),0,IF(Table36[[#This Row],[Resistance, max]]&gt;INDEX(Resmax,MATCH(Table36[[#This Row],[Grist]],SMI,0)),0,1))))</f>
        <v>-</v>
      </c>
      <c r="AA198" s="127" t="str">
        <f>IF(INDEX(WGmin,MATCH(Table36[[#This Row],[Grist]],SMI,0))="-","-",IF(Table36[[#This Row],[%Wet Gluten]]="-","-",IF(Table36[[#This Row],[%Wet Gluten]]&lt;INDEX(WGmin,MATCH(Table36[[#This Row],[Grist]],SMI,0)),0,IF(Table36[[#This Row],[%Wet Gluten]]&gt;INDEX(WGmax,MATCH(Table36[[#This Row],[Grist]],SMI,0)),0,1))))</f>
        <v>-</v>
      </c>
      <c r="AB198" s="127">
        <f>SUM(Table36[[#This Row],[ QI Bran Content]:[QI WG]])</f>
        <v>3</v>
      </c>
      <c r="AC198" s="127">
        <f>COUNT(Table36[[#This Row],[ QI Bran Content]:[QI WG]])</f>
        <v>4</v>
      </c>
    </row>
    <row r="199" spans="1:29" x14ac:dyDescent="0.35">
      <c r="A199" s="177">
        <v>45292</v>
      </c>
      <c r="B199" s="178">
        <v>45318</v>
      </c>
      <c r="C199" s="178" t="s">
        <v>130</v>
      </c>
      <c r="D199" s="179">
        <v>1.2083333333333299</v>
      </c>
      <c r="E199" s="180" t="s">
        <v>0</v>
      </c>
      <c r="F199" s="181" t="s">
        <v>32</v>
      </c>
      <c r="G199" s="182">
        <v>5.5999999999999999E-3</v>
      </c>
      <c r="H199" s="175" t="s">
        <v>165</v>
      </c>
      <c r="I199" s="175" t="s">
        <v>165</v>
      </c>
      <c r="J199" s="175" t="s">
        <v>165</v>
      </c>
      <c r="K199" s="175">
        <v>11.12</v>
      </c>
      <c r="L199" s="175" t="s">
        <v>163</v>
      </c>
      <c r="M199" s="175" t="s">
        <v>163</v>
      </c>
      <c r="N199" s="175" t="s">
        <v>163</v>
      </c>
      <c r="O199" s="175" t="s">
        <v>163</v>
      </c>
      <c r="P199" s="175" t="s">
        <v>163</v>
      </c>
      <c r="Q199" s="175" t="s">
        <v>163</v>
      </c>
      <c r="R199" s="127">
        <f>IF(Table36[[#This Row],[ Bran Content]]="-","-",IF(G199&lt;0.02,1,0))</f>
        <v>1</v>
      </c>
      <c r="S199" s="127">
        <f>IF(Table36[[#This Row],[Sieve Test]]="-","-",IF(Table36[[#This Row],[Sieve Test]]="P",1,0))</f>
        <v>1</v>
      </c>
      <c r="T199" s="127">
        <f>IF(Table36[[#This Row],[Odor]]="-","-",IF(Table36[[#This Row],[Odor]]="P",1,0))</f>
        <v>1</v>
      </c>
      <c r="U199" s="127">
        <f>IF(INDEX(MCmin,MATCH(Table36[[#This Row],[Grist]],SMI,0))="-","-",IF(Table36[[#This Row],[F1 %MC]]="-","-",IF(Table36[[#This Row],[F1 %MC]]&lt;INDEX(MCmin,MATCH(Table36[[#This Row],[Grist]],SMI,0)),0,IF(Table36[[#This Row],[F1 %MC]]&gt;INDEX(MCmax,MATCH(Table36[[#This Row],[Grist]],SMI,0)),0,1))))</f>
        <v>0</v>
      </c>
      <c r="V199" s="127" t="str">
        <f>IF(INDEX(Protmin,MATCH(Table36[[#This Row],[Grist]],SMI,0))="-","-",IF(Table36[[#This Row],[%Protein]]="-","-",IF(Table36[[#This Row],[%Protein]]&lt;INDEX(Protmin,MATCH(Table36[[#This Row],[Grist]],SMI,0)),0,IF(Table36[[#This Row],[%Protein]]&gt;INDEX(Protmax,MATCH(Table36[[#This Row],[Grist]],SMI,0)),0,1))))</f>
        <v>-</v>
      </c>
      <c r="W199" s="127" t="str">
        <f>IF(INDEX(Ashmin,MATCH(Table36[[#This Row],[Grist]],SMI,0))="-","-",IF(Table36[[#This Row],[%Ash]]="-","-",IF(Table36[[#This Row],[%Ash]]&lt;INDEX(Ashmin,MATCH(Table36[[#This Row],[Grist]],SMI,0)),0,IF(Table36[[#This Row],[%Ash]]&gt;INDEX(Ashmax,MATCH(Table36[[#This Row],[Grist]],SMI,0)),0,1))))</f>
        <v>-</v>
      </c>
      <c r="X199" s="127" t="str">
        <f>IF(INDEX(Absmin,MATCH(Table36[[#This Row],[Grist]],SMI,0))="-","-",IF(Table36[[#This Row],[%Absorption]]="-","-",IF(Table36[[#This Row],[%Absorption]]&lt;INDEX(Absmin,MATCH(Table36[[#This Row],[Grist]],SMI,0)),0,IF(Table36[[#This Row],[%Absorption]]&gt;INDEX(Absmax,MATCH(Table36[[#This Row],[Grist]],SMI,0)),0,1))))</f>
        <v>-</v>
      </c>
      <c r="Y199" s="127" t="str">
        <f>IF(INDEX(Extmin,MATCH(Table36[[#This Row],[Grist]],SMI,0))="-","-",IF(Table36[[#This Row],[%Extensibility]]="-","-",IF(Table36[[#This Row],[%Extensibility]]&lt;INDEX(Extmin,MATCH(Table36[[#This Row],[Grist]],SMI,0)),0,IF(Table36[[#This Row],[%Extensibility]]&gt;INDEX(Extmax,MATCH(Table36[[#This Row],[Grist]],SMI,0)),0,1))))</f>
        <v>-</v>
      </c>
      <c r="Z199" s="127" t="str">
        <f>IF(INDEX(Resmin,MATCH(Table36[[#This Row],[Grist]],SMI,0))="-","-",IF(Table36[[#This Row],[Resistance, max]]="-","-",IF(Table36[[#This Row],[Resistance, max]]&lt;INDEX(Resmin,MATCH(Table36[[#This Row],[Grist]],SMI,0)),0,IF(Table36[[#This Row],[Resistance, max]]&gt;INDEX(Resmax,MATCH(Table36[[#This Row],[Grist]],SMI,0)),0,1))))</f>
        <v>-</v>
      </c>
      <c r="AA199" s="127" t="str">
        <f>IF(INDEX(WGmin,MATCH(Table36[[#This Row],[Grist]],SMI,0))="-","-",IF(Table36[[#This Row],[%Wet Gluten]]="-","-",IF(Table36[[#This Row],[%Wet Gluten]]&lt;INDEX(WGmin,MATCH(Table36[[#This Row],[Grist]],SMI,0)),0,IF(Table36[[#This Row],[%Wet Gluten]]&gt;INDEX(WGmax,MATCH(Table36[[#This Row],[Grist]],SMI,0)),0,1))))</f>
        <v>-</v>
      </c>
      <c r="AB199" s="127">
        <f>SUM(Table36[[#This Row],[ QI Bran Content]:[QI WG]])</f>
        <v>3</v>
      </c>
      <c r="AC199" s="127">
        <f>COUNT(Table36[[#This Row],[ QI Bran Content]:[QI WG]])</f>
        <v>4</v>
      </c>
    </row>
    <row r="200" spans="1:29" x14ac:dyDescent="0.35">
      <c r="A200" s="177">
        <v>45292</v>
      </c>
      <c r="B200" s="178">
        <v>45318</v>
      </c>
      <c r="C200" s="178" t="s">
        <v>130</v>
      </c>
      <c r="D200" s="179">
        <v>1.2083333333333299</v>
      </c>
      <c r="E200" s="180" t="s">
        <v>2</v>
      </c>
      <c r="F200" s="181" t="s">
        <v>242</v>
      </c>
      <c r="G200" s="182">
        <v>3.5000000000000001E-3</v>
      </c>
      <c r="H200" s="175" t="s">
        <v>165</v>
      </c>
      <c r="I200" s="175" t="s">
        <v>165</v>
      </c>
      <c r="J200" s="175" t="s">
        <v>165</v>
      </c>
      <c r="K200" s="175">
        <v>11.94</v>
      </c>
      <c r="L200" s="175" t="s">
        <v>163</v>
      </c>
      <c r="M200" s="175" t="s">
        <v>163</v>
      </c>
      <c r="N200" s="175" t="s">
        <v>163</v>
      </c>
      <c r="O200" s="175" t="s">
        <v>163</v>
      </c>
      <c r="P200" s="175" t="s">
        <v>163</v>
      </c>
      <c r="Q200" s="175" t="s">
        <v>163</v>
      </c>
      <c r="R200" s="127">
        <f>IF(Table36[[#This Row],[ Bran Content]]="-","-",IF(G200&lt;0.02,1,0))</f>
        <v>1</v>
      </c>
      <c r="S200" s="127">
        <f>IF(Table36[[#This Row],[Sieve Test]]="-","-",IF(Table36[[#This Row],[Sieve Test]]="P",1,0))</f>
        <v>1</v>
      </c>
      <c r="T200" s="127">
        <f>IF(Table36[[#This Row],[Odor]]="-","-",IF(Table36[[#This Row],[Odor]]="P",1,0))</f>
        <v>1</v>
      </c>
      <c r="U200" s="127">
        <f>IF(INDEX(MCmin,MATCH(Table36[[#This Row],[Grist]],SMI,0))="-","-",IF(Table36[[#This Row],[F1 %MC]]="-","-",IF(Table36[[#This Row],[F1 %MC]]&lt;INDEX(MCmin,MATCH(Table36[[#This Row],[Grist]],SMI,0)),0,IF(Table36[[#This Row],[F1 %MC]]&gt;INDEX(MCmax,MATCH(Table36[[#This Row],[Grist]],SMI,0)),0,1))))</f>
        <v>0</v>
      </c>
      <c r="V200" s="127" t="str">
        <f>IF(INDEX(Protmin,MATCH(Table36[[#This Row],[Grist]],SMI,0))="-","-",IF(Table36[[#This Row],[%Protein]]="-","-",IF(Table36[[#This Row],[%Protein]]&lt;INDEX(Protmin,MATCH(Table36[[#This Row],[Grist]],SMI,0)),0,IF(Table36[[#This Row],[%Protein]]&gt;INDEX(Protmax,MATCH(Table36[[#This Row],[Grist]],SMI,0)),0,1))))</f>
        <v>-</v>
      </c>
      <c r="W200" s="127" t="str">
        <f>IF(INDEX(Ashmin,MATCH(Table36[[#This Row],[Grist]],SMI,0))="-","-",IF(Table36[[#This Row],[%Ash]]="-","-",IF(Table36[[#This Row],[%Ash]]&lt;INDEX(Ashmin,MATCH(Table36[[#This Row],[Grist]],SMI,0)),0,IF(Table36[[#This Row],[%Ash]]&gt;INDEX(Ashmax,MATCH(Table36[[#This Row],[Grist]],SMI,0)),0,1))))</f>
        <v>-</v>
      </c>
      <c r="X200" s="127" t="str">
        <f>IF(INDEX(Absmin,MATCH(Table36[[#This Row],[Grist]],SMI,0))="-","-",IF(Table36[[#This Row],[%Absorption]]="-","-",IF(Table36[[#This Row],[%Absorption]]&lt;INDEX(Absmin,MATCH(Table36[[#This Row],[Grist]],SMI,0)),0,IF(Table36[[#This Row],[%Absorption]]&gt;INDEX(Absmax,MATCH(Table36[[#This Row],[Grist]],SMI,0)),0,1))))</f>
        <v>-</v>
      </c>
      <c r="Y200" s="127" t="str">
        <f>IF(INDEX(Extmin,MATCH(Table36[[#This Row],[Grist]],SMI,0))="-","-",IF(Table36[[#This Row],[%Extensibility]]="-","-",IF(Table36[[#This Row],[%Extensibility]]&lt;INDEX(Extmin,MATCH(Table36[[#This Row],[Grist]],SMI,0)),0,IF(Table36[[#This Row],[%Extensibility]]&gt;INDEX(Extmax,MATCH(Table36[[#This Row],[Grist]],SMI,0)),0,1))))</f>
        <v>-</v>
      </c>
      <c r="Z200" s="127" t="str">
        <f>IF(INDEX(Resmin,MATCH(Table36[[#This Row],[Grist]],SMI,0))="-","-",IF(Table36[[#This Row],[Resistance, max]]="-","-",IF(Table36[[#This Row],[Resistance, max]]&lt;INDEX(Resmin,MATCH(Table36[[#This Row],[Grist]],SMI,0)),0,IF(Table36[[#This Row],[Resistance, max]]&gt;INDEX(Resmax,MATCH(Table36[[#This Row],[Grist]],SMI,0)),0,1))))</f>
        <v>-</v>
      </c>
      <c r="AA200" s="127" t="str">
        <f>IF(INDEX(WGmin,MATCH(Table36[[#This Row],[Grist]],SMI,0))="-","-",IF(Table36[[#This Row],[%Wet Gluten]]="-","-",IF(Table36[[#This Row],[%Wet Gluten]]&lt;INDEX(WGmin,MATCH(Table36[[#This Row],[Grist]],SMI,0)),0,IF(Table36[[#This Row],[%Wet Gluten]]&gt;INDEX(WGmax,MATCH(Table36[[#This Row],[Grist]],SMI,0)),0,1))))</f>
        <v>-</v>
      </c>
      <c r="AB200" s="127">
        <f>SUM(Table36[[#This Row],[ QI Bran Content]:[QI WG]])</f>
        <v>3</v>
      </c>
      <c r="AC200" s="127">
        <f>COUNT(Table36[[#This Row],[ QI Bran Content]:[QI WG]])</f>
        <v>4</v>
      </c>
    </row>
    <row r="201" spans="1:29" x14ac:dyDescent="0.35">
      <c r="A201" s="177">
        <v>45292</v>
      </c>
      <c r="B201" s="178">
        <v>45319</v>
      </c>
      <c r="C201" s="178" t="s">
        <v>125</v>
      </c>
      <c r="D201" s="179" t="s">
        <v>237</v>
      </c>
      <c r="E201" s="180" t="s">
        <v>0</v>
      </c>
      <c r="F201" s="181" t="s">
        <v>27</v>
      </c>
      <c r="G201" s="182">
        <v>5.5999999999999999E-3</v>
      </c>
      <c r="H201" s="175" t="s">
        <v>165</v>
      </c>
      <c r="I201" s="175" t="s">
        <v>165</v>
      </c>
      <c r="J201" s="175" t="s">
        <v>165</v>
      </c>
      <c r="K201" s="175">
        <v>11.17</v>
      </c>
      <c r="L201" s="175">
        <v>13.07</v>
      </c>
      <c r="M201" s="175">
        <v>0.6</v>
      </c>
      <c r="N201" s="175">
        <v>66.400000000000006</v>
      </c>
      <c r="O201" s="175" t="s">
        <v>163</v>
      </c>
      <c r="P201" s="175" t="s">
        <v>163</v>
      </c>
      <c r="Q201" s="175">
        <v>36.79</v>
      </c>
      <c r="R201" s="127">
        <f>IF(Table36[[#This Row],[ Bran Content]]="-","-",IF(G201&lt;0.02,1,0))</f>
        <v>1</v>
      </c>
      <c r="S201" s="127">
        <f>IF(Table36[[#This Row],[Sieve Test]]="-","-",IF(Table36[[#This Row],[Sieve Test]]="P",1,0))</f>
        <v>1</v>
      </c>
      <c r="T201" s="127">
        <f>IF(Table36[[#This Row],[Odor]]="-","-",IF(Table36[[#This Row],[Odor]]="P",1,0))</f>
        <v>1</v>
      </c>
      <c r="U201" s="127">
        <f>IF(INDEX(MCmin,MATCH(Table36[[#This Row],[Grist]],SMI,0))="-","-",IF(Table36[[#This Row],[F1 %MC]]="-","-",IF(Table36[[#This Row],[F1 %MC]]&lt;INDEX(MCmin,MATCH(Table36[[#This Row],[Grist]],SMI,0)),0,IF(Table36[[#This Row],[F1 %MC]]&gt;INDEX(MCmax,MATCH(Table36[[#This Row],[Grist]],SMI,0)),0,1))))</f>
        <v>0</v>
      </c>
      <c r="V201" s="127">
        <f>IF(INDEX(Protmin,MATCH(Table36[[#This Row],[Grist]],SMI,0))="-","-",IF(Table36[[#This Row],[%Protein]]="-","-",IF(Table36[[#This Row],[%Protein]]&lt;INDEX(Protmin,MATCH(Table36[[#This Row],[Grist]],SMI,0)),0,IF(Table36[[#This Row],[%Protein]]&gt;INDEX(Protmax,MATCH(Table36[[#This Row],[Grist]],SMI,0)),0,1))))</f>
        <v>1</v>
      </c>
      <c r="W201" s="127">
        <f>IF(INDEX(Ashmin,MATCH(Table36[[#This Row],[Grist]],SMI,0))="-","-",IF(Table36[[#This Row],[%Ash]]="-","-",IF(Table36[[#This Row],[%Ash]]&lt;INDEX(Ashmin,MATCH(Table36[[#This Row],[Grist]],SMI,0)),0,IF(Table36[[#This Row],[%Ash]]&gt;INDEX(Ashmax,MATCH(Table36[[#This Row],[Grist]],SMI,0)),0,1))))</f>
        <v>1</v>
      </c>
      <c r="X201" s="127">
        <f>IF(INDEX(Absmin,MATCH(Table36[[#This Row],[Grist]],SMI,0))="-","-",IF(Table36[[#This Row],[%Absorption]]="-","-",IF(Table36[[#This Row],[%Absorption]]&lt;INDEX(Absmin,MATCH(Table36[[#This Row],[Grist]],SMI,0)),0,IF(Table36[[#This Row],[%Absorption]]&gt;INDEX(Absmax,MATCH(Table36[[#This Row],[Grist]],SMI,0)),0,1))))</f>
        <v>1</v>
      </c>
      <c r="Y201" s="127" t="str">
        <f>IF(INDEX(Extmin,MATCH(Table36[[#This Row],[Grist]],SMI,0))="-","-",IF(Table36[[#This Row],[%Extensibility]]="-","-",IF(Table36[[#This Row],[%Extensibility]]&lt;INDEX(Extmin,MATCH(Table36[[#This Row],[Grist]],SMI,0)),0,IF(Table36[[#This Row],[%Extensibility]]&gt;INDEX(Extmax,MATCH(Table36[[#This Row],[Grist]],SMI,0)),0,1))))</f>
        <v>-</v>
      </c>
      <c r="Z201" s="127" t="str">
        <f>IF(INDEX(Resmin,MATCH(Table36[[#This Row],[Grist]],SMI,0))="-","-",IF(Table36[[#This Row],[Resistance, max]]="-","-",IF(Table36[[#This Row],[Resistance, max]]&lt;INDEX(Resmin,MATCH(Table36[[#This Row],[Grist]],SMI,0)),0,IF(Table36[[#This Row],[Resistance, max]]&gt;INDEX(Resmax,MATCH(Table36[[#This Row],[Grist]],SMI,0)),0,1))))</f>
        <v>-</v>
      </c>
      <c r="AA201" s="127">
        <f>IF(INDEX(WGmin,MATCH(Table36[[#This Row],[Grist]],SMI,0))="-","-",IF(Table36[[#This Row],[%Wet Gluten]]="-","-",IF(Table36[[#This Row],[%Wet Gluten]]&lt;INDEX(WGmin,MATCH(Table36[[#This Row],[Grist]],SMI,0)),0,IF(Table36[[#This Row],[%Wet Gluten]]&gt;INDEX(WGmax,MATCH(Table36[[#This Row],[Grist]],SMI,0)),0,1))))</f>
        <v>1</v>
      </c>
      <c r="AB201" s="127">
        <f>SUM(Table36[[#This Row],[ QI Bran Content]:[QI WG]])</f>
        <v>7</v>
      </c>
      <c r="AC201" s="127">
        <f>COUNT(Table36[[#This Row],[ QI Bran Content]:[QI WG]])</f>
        <v>8</v>
      </c>
    </row>
    <row r="202" spans="1:29" x14ac:dyDescent="0.35">
      <c r="A202" s="177">
        <v>45292</v>
      </c>
      <c r="B202" s="178">
        <v>45319</v>
      </c>
      <c r="C202" s="178" t="s">
        <v>125</v>
      </c>
      <c r="D202" s="179" t="s">
        <v>238</v>
      </c>
      <c r="E202" s="180" t="s">
        <v>0</v>
      </c>
      <c r="F202" s="181" t="s">
        <v>27</v>
      </c>
      <c r="G202" s="182">
        <v>6.1000000000000004E-3</v>
      </c>
      <c r="H202" s="175" t="s">
        <v>165</v>
      </c>
      <c r="I202" s="175" t="s">
        <v>165</v>
      </c>
      <c r="J202" s="175" t="s">
        <v>165</v>
      </c>
      <c r="K202" s="175">
        <v>12.02</v>
      </c>
      <c r="L202" s="175" t="s">
        <v>163</v>
      </c>
      <c r="M202" s="175" t="s">
        <v>163</v>
      </c>
      <c r="N202" s="175" t="s">
        <v>163</v>
      </c>
      <c r="O202" s="175" t="s">
        <v>163</v>
      </c>
      <c r="P202" s="175" t="s">
        <v>163</v>
      </c>
      <c r="Q202" s="175" t="s">
        <v>163</v>
      </c>
      <c r="R202" s="127">
        <f>IF(Table36[[#This Row],[ Bran Content]]="-","-",IF(G202&lt;0.02,1,0))</f>
        <v>1</v>
      </c>
      <c r="S202" s="127">
        <f>IF(Table36[[#This Row],[Sieve Test]]="-","-",IF(Table36[[#This Row],[Sieve Test]]="P",1,0))</f>
        <v>1</v>
      </c>
      <c r="T202" s="127">
        <f>IF(Table36[[#This Row],[Odor]]="-","-",IF(Table36[[#This Row],[Odor]]="P",1,0))</f>
        <v>1</v>
      </c>
      <c r="U202" s="127">
        <f>IF(INDEX(MCmin,MATCH(Table36[[#This Row],[Grist]],SMI,0))="-","-",IF(Table36[[#This Row],[F1 %MC]]="-","-",IF(Table36[[#This Row],[F1 %MC]]&lt;INDEX(MCmin,MATCH(Table36[[#This Row],[Grist]],SMI,0)),0,IF(Table36[[#This Row],[F1 %MC]]&gt;INDEX(MCmax,MATCH(Table36[[#This Row],[Grist]],SMI,0)),0,1))))</f>
        <v>1</v>
      </c>
      <c r="V202" s="127" t="str">
        <f>IF(INDEX(Protmin,MATCH(Table36[[#This Row],[Grist]],SMI,0))="-","-",IF(Table36[[#This Row],[%Protein]]="-","-",IF(Table36[[#This Row],[%Protein]]&lt;INDEX(Protmin,MATCH(Table36[[#This Row],[Grist]],SMI,0)),0,IF(Table36[[#This Row],[%Protein]]&gt;INDEX(Protmax,MATCH(Table36[[#This Row],[Grist]],SMI,0)),0,1))))</f>
        <v>-</v>
      </c>
      <c r="W202" s="127" t="str">
        <f>IF(INDEX(Ashmin,MATCH(Table36[[#This Row],[Grist]],SMI,0))="-","-",IF(Table36[[#This Row],[%Ash]]="-","-",IF(Table36[[#This Row],[%Ash]]&lt;INDEX(Ashmin,MATCH(Table36[[#This Row],[Grist]],SMI,0)),0,IF(Table36[[#This Row],[%Ash]]&gt;INDEX(Ashmax,MATCH(Table36[[#This Row],[Grist]],SMI,0)),0,1))))</f>
        <v>-</v>
      </c>
      <c r="X202" s="127" t="str">
        <f>IF(INDEX(Absmin,MATCH(Table36[[#This Row],[Grist]],SMI,0))="-","-",IF(Table36[[#This Row],[%Absorption]]="-","-",IF(Table36[[#This Row],[%Absorption]]&lt;INDEX(Absmin,MATCH(Table36[[#This Row],[Grist]],SMI,0)),0,IF(Table36[[#This Row],[%Absorption]]&gt;INDEX(Absmax,MATCH(Table36[[#This Row],[Grist]],SMI,0)),0,1))))</f>
        <v>-</v>
      </c>
      <c r="Y202" s="127" t="str">
        <f>IF(INDEX(Extmin,MATCH(Table36[[#This Row],[Grist]],SMI,0))="-","-",IF(Table36[[#This Row],[%Extensibility]]="-","-",IF(Table36[[#This Row],[%Extensibility]]&lt;INDEX(Extmin,MATCH(Table36[[#This Row],[Grist]],SMI,0)),0,IF(Table36[[#This Row],[%Extensibility]]&gt;INDEX(Extmax,MATCH(Table36[[#This Row],[Grist]],SMI,0)),0,1))))</f>
        <v>-</v>
      </c>
      <c r="Z202" s="127" t="str">
        <f>IF(INDEX(Resmin,MATCH(Table36[[#This Row],[Grist]],SMI,0))="-","-",IF(Table36[[#This Row],[Resistance, max]]="-","-",IF(Table36[[#This Row],[Resistance, max]]&lt;INDEX(Resmin,MATCH(Table36[[#This Row],[Grist]],SMI,0)),0,IF(Table36[[#This Row],[Resistance, max]]&gt;INDEX(Resmax,MATCH(Table36[[#This Row],[Grist]],SMI,0)),0,1))))</f>
        <v>-</v>
      </c>
      <c r="AA202" s="127" t="str">
        <f>IF(INDEX(WGmin,MATCH(Table36[[#This Row],[Grist]],SMI,0))="-","-",IF(Table36[[#This Row],[%Wet Gluten]]="-","-",IF(Table36[[#This Row],[%Wet Gluten]]&lt;INDEX(WGmin,MATCH(Table36[[#This Row],[Grist]],SMI,0)),0,IF(Table36[[#This Row],[%Wet Gluten]]&gt;INDEX(WGmax,MATCH(Table36[[#This Row],[Grist]],SMI,0)),0,1))))</f>
        <v>-</v>
      </c>
      <c r="AB202" s="127">
        <f>SUM(Table36[[#This Row],[ QI Bran Content]:[QI WG]])</f>
        <v>4</v>
      </c>
      <c r="AC202" s="127">
        <f>COUNT(Table36[[#This Row],[ QI Bran Content]:[QI WG]])</f>
        <v>4</v>
      </c>
    </row>
    <row r="203" spans="1:29" x14ac:dyDescent="0.35">
      <c r="A203" s="177">
        <v>45292</v>
      </c>
      <c r="B203" s="178">
        <v>45319</v>
      </c>
      <c r="C203" s="178" t="s">
        <v>128</v>
      </c>
      <c r="D203" s="179">
        <v>0.625</v>
      </c>
      <c r="E203" s="180" t="s">
        <v>0</v>
      </c>
      <c r="F203" s="181" t="s">
        <v>27</v>
      </c>
      <c r="G203" s="182">
        <v>2E-3</v>
      </c>
      <c r="H203" s="175" t="s">
        <v>165</v>
      </c>
      <c r="I203" s="175" t="s">
        <v>165</v>
      </c>
      <c r="J203" s="175" t="s">
        <v>165</v>
      </c>
      <c r="K203" s="175">
        <v>11.63</v>
      </c>
      <c r="L203" s="175">
        <v>13.24</v>
      </c>
      <c r="M203" s="175">
        <v>0.61</v>
      </c>
      <c r="N203" s="175">
        <v>65.5</v>
      </c>
      <c r="O203" s="175" t="s">
        <v>163</v>
      </c>
      <c r="P203" s="175" t="s">
        <v>163</v>
      </c>
      <c r="Q203" s="175">
        <v>37.21</v>
      </c>
      <c r="R203" s="127">
        <f>IF(Table36[[#This Row],[ Bran Content]]="-","-",IF(G203&lt;0.02,1,0))</f>
        <v>1</v>
      </c>
      <c r="S203" s="127">
        <f>IF(Table36[[#This Row],[Sieve Test]]="-","-",IF(Table36[[#This Row],[Sieve Test]]="P",1,0))</f>
        <v>1</v>
      </c>
      <c r="T203" s="127">
        <f>IF(Table36[[#This Row],[Odor]]="-","-",IF(Table36[[#This Row],[Odor]]="P",1,0))</f>
        <v>1</v>
      </c>
      <c r="U203" s="127">
        <f>IF(INDEX(MCmin,MATCH(Table36[[#This Row],[Grist]],SMI,0))="-","-",IF(Table36[[#This Row],[F1 %MC]]="-","-",IF(Table36[[#This Row],[F1 %MC]]&lt;INDEX(MCmin,MATCH(Table36[[#This Row],[Grist]],SMI,0)),0,IF(Table36[[#This Row],[F1 %MC]]&gt;INDEX(MCmax,MATCH(Table36[[#This Row],[Grist]],SMI,0)),0,1))))</f>
        <v>0</v>
      </c>
      <c r="V203" s="127">
        <f>IF(INDEX(Protmin,MATCH(Table36[[#This Row],[Grist]],SMI,0))="-","-",IF(Table36[[#This Row],[%Protein]]="-","-",IF(Table36[[#This Row],[%Protein]]&lt;INDEX(Protmin,MATCH(Table36[[#This Row],[Grist]],SMI,0)),0,IF(Table36[[#This Row],[%Protein]]&gt;INDEX(Protmax,MATCH(Table36[[#This Row],[Grist]],SMI,0)),0,1))))</f>
        <v>1</v>
      </c>
      <c r="W203" s="127">
        <f>IF(INDEX(Ashmin,MATCH(Table36[[#This Row],[Grist]],SMI,0))="-","-",IF(Table36[[#This Row],[%Ash]]="-","-",IF(Table36[[#This Row],[%Ash]]&lt;INDEX(Ashmin,MATCH(Table36[[#This Row],[Grist]],SMI,0)),0,IF(Table36[[#This Row],[%Ash]]&gt;INDEX(Ashmax,MATCH(Table36[[#This Row],[Grist]],SMI,0)),0,1))))</f>
        <v>1</v>
      </c>
      <c r="X203" s="127">
        <f>IF(INDEX(Absmin,MATCH(Table36[[#This Row],[Grist]],SMI,0))="-","-",IF(Table36[[#This Row],[%Absorption]]="-","-",IF(Table36[[#This Row],[%Absorption]]&lt;INDEX(Absmin,MATCH(Table36[[#This Row],[Grist]],SMI,0)),0,IF(Table36[[#This Row],[%Absorption]]&gt;INDEX(Absmax,MATCH(Table36[[#This Row],[Grist]],SMI,0)),0,1))))</f>
        <v>1</v>
      </c>
      <c r="Y203" s="127" t="str">
        <f>IF(INDEX(Extmin,MATCH(Table36[[#This Row],[Grist]],SMI,0))="-","-",IF(Table36[[#This Row],[%Extensibility]]="-","-",IF(Table36[[#This Row],[%Extensibility]]&lt;INDEX(Extmin,MATCH(Table36[[#This Row],[Grist]],SMI,0)),0,IF(Table36[[#This Row],[%Extensibility]]&gt;INDEX(Extmax,MATCH(Table36[[#This Row],[Grist]],SMI,0)),0,1))))</f>
        <v>-</v>
      </c>
      <c r="Z203" s="127" t="str">
        <f>IF(INDEX(Resmin,MATCH(Table36[[#This Row],[Grist]],SMI,0))="-","-",IF(Table36[[#This Row],[Resistance, max]]="-","-",IF(Table36[[#This Row],[Resistance, max]]&lt;INDEX(Resmin,MATCH(Table36[[#This Row],[Grist]],SMI,0)),0,IF(Table36[[#This Row],[Resistance, max]]&gt;INDEX(Resmax,MATCH(Table36[[#This Row],[Grist]],SMI,0)),0,1))))</f>
        <v>-</v>
      </c>
      <c r="AA203" s="127">
        <f>IF(INDEX(WGmin,MATCH(Table36[[#This Row],[Grist]],SMI,0))="-","-",IF(Table36[[#This Row],[%Wet Gluten]]="-","-",IF(Table36[[#This Row],[%Wet Gluten]]&lt;INDEX(WGmin,MATCH(Table36[[#This Row],[Grist]],SMI,0)),0,IF(Table36[[#This Row],[%Wet Gluten]]&gt;INDEX(WGmax,MATCH(Table36[[#This Row],[Grist]],SMI,0)),0,1))))</f>
        <v>1</v>
      </c>
      <c r="AB203" s="127">
        <f>SUM(Table36[[#This Row],[ QI Bran Content]:[QI WG]])</f>
        <v>7</v>
      </c>
      <c r="AC203" s="127">
        <f>COUNT(Table36[[#This Row],[ QI Bran Content]:[QI WG]])</f>
        <v>8</v>
      </c>
    </row>
    <row r="204" spans="1:29" x14ac:dyDescent="0.35">
      <c r="A204" s="177">
        <v>45292</v>
      </c>
      <c r="B204" s="178">
        <v>45319</v>
      </c>
      <c r="C204" s="178" t="s">
        <v>128</v>
      </c>
      <c r="D204" s="179">
        <v>0.70833333333333304</v>
      </c>
      <c r="E204" s="180" t="s">
        <v>0</v>
      </c>
      <c r="F204" s="181" t="s">
        <v>27</v>
      </c>
      <c r="G204" s="182">
        <v>9.9000000000000008E-3</v>
      </c>
      <c r="H204" s="175" t="s">
        <v>165</v>
      </c>
      <c r="I204" s="175" t="s">
        <v>165</v>
      </c>
      <c r="J204" s="175" t="s">
        <v>165</v>
      </c>
      <c r="K204" s="175">
        <v>11.73</v>
      </c>
      <c r="L204" s="175" t="s">
        <v>163</v>
      </c>
      <c r="M204" s="175" t="s">
        <v>163</v>
      </c>
      <c r="N204" s="175" t="s">
        <v>163</v>
      </c>
      <c r="O204" s="175" t="s">
        <v>163</v>
      </c>
      <c r="P204" s="175" t="s">
        <v>163</v>
      </c>
      <c r="Q204" s="175" t="s">
        <v>163</v>
      </c>
      <c r="R204" s="127">
        <f>IF(Table36[[#This Row],[ Bran Content]]="-","-",IF(G204&lt;0.02,1,0))</f>
        <v>1</v>
      </c>
      <c r="S204" s="127">
        <f>IF(Table36[[#This Row],[Sieve Test]]="-","-",IF(Table36[[#This Row],[Sieve Test]]="P",1,0))</f>
        <v>1</v>
      </c>
      <c r="T204" s="127">
        <f>IF(Table36[[#This Row],[Odor]]="-","-",IF(Table36[[#This Row],[Odor]]="P",1,0))</f>
        <v>1</v>
      </c>
      <c r="U204" s="127">
        <f>IF(INDEX(MCmin,MATCH(Table36[[#This Row],[Grist]],SMI,0))="-","-",IF(Table36[[#This Row],[F1 %MC]]="-","-",IF(Table36[[#This Row],[F1 %MC]]&lt;INDEX(MCmin,MATCH(Table36[[#This Row],[Grist]],SMI,0)),0,IF(Table36[[#This Row],[F1 %MC]]&gt;INDEX(MCmax,MATCH(Table36[[#This Row],[Grist]],SMI,0)),0,1))))</f>
        <v>0</v>
      </c>
      <c r="V204" s="127" t="str">
        <f>IF(INDEX(Protmin,MATCH(Table36[[#This Row],[Grist]],SMI,0))="-","-",IF(Table36[[#This Row],[%Protein]]="-","-",IF(Table36[[#This Row],[%Protein]]&lt;INDEX(Protmin,MATCH(Table36[[#This Row],[Grist]],SMI,0)),0,IF(Table36[[#This Row],[%Protein]]&gt;INDEX(Protmax,MATCH(Table36[[#This Row],[Grist]],SMI,0)),0,1))))</f>
        <v>-</v>
      </c>
      <c r="W204" s="127" t="str">
        <f>IF(INDEX(Ashmin,MATCH(Table36[[#This Row],[Grist]],SMI,0))="-","-",IF(Table36[[#This Row],[%Ash]]="-","-",IF(Table36[[#This Row],[%Ash]]&lt;INDEX(Ashmin,MATCH(Table36[[#This Row],[Grist]],SMI,0)),0,IF(Table36[[#This Row],[%Ash]]&gt;INDEX(Ashmax,MATCH(Table36[[#This Row],[Grist]],SMI,0)),0,1))))</f>
        <v>-</v>
      </c>
      <c r="X204" s="127" t="str">
        <f>IF(INDEX(Absmin,MATCH(Table36[[#This Row],[Grist]],SMI,0))="-","-",IF(Table36[[#This Row],[%Absorption]]="-","-",IF(Table36[[#This Row],[%Absorption]]&lt;INDEX(Absmin,MATCH(Table36[[#This Row],[Grist]],SMI,0)),0,IF(Table36[[#This Row],[%Absorption]]&gt;INDEX(Absmax,MATCH(Table36[[#This Row],[Grist]],SMI,0)),0,1))))</f>
        <v>-</v>
      </c>
      <c r="Y204" s="127" t="str">
        <f>IF(INDEX(Extmin,MATCH(Table36[[#This Row],[Grist]],SMI,0))="-","-",IF(Table36[[#This Row],[%Extensibility]]="-","-",IF(Table36[[#This Row],[%Extensibility]]&lt;INDEX(Extmin,MATCH(Table36[[#This Row],[Grist]],SMI,0)),0,IF(Table36[[#This Row],[%Extensibility]]&gt;INDEX(Extmax,MATCH(Table36[[#This Row],[Grist]],SMI,0)),0,1))))</f>
        <v>-</v>
      </c>
      <c r="Z204" s="127" t="str">
        <f>IF(INDEX(Resmin,MATCH(Table36[[#This Row],[Grist]],SMI,0))="-","-",IF(Table36[[#This Row],[Resistance, max]]="-","-",IF(Table36[[#This Row],[Resistance, max]]&lt;INDEX(Resmin,MATCH(Table36[[#This Row],[Grist]],SMI,0)),0,IF(Table36[[#This Row],[Resistance, max]]&gt;INDEX(Resmax,MATCH(Table36[[#This Row],[Grist]],SMI,0)),0,1))))</f>
        <v>-</v>
      </c>
      <c r="AA204" s="127" t="str">
        <f>IF(INDEX(WGmin,MATCH(Table36[[#This Row],[Grist]],SMI,0))="-","-",IF(Table36[[#This Row],[%Wet Gluten]]="-","-",IF(Table36[[#This Row],[%Wet Gluten]]&lt;INDEX(WGmin,MATCH(Table36[[#This Row],[Grist]],SMI,0)),0,IF(Table36[[#This Row],[%Wet Gluten]]&gt;INDEX(WGmax,MATCH(Table36[[#This Row],[Grist]],SMI,0)),0,1))))</f>
        <v>-</v>
      </c>
      <c r="AB204" s="127">
        <f>SUM(Table36[[#This Row],[ QI Bran Content]:[QI WG]])</f>
        <v>3</v>
      </c>
      <c r="AC204" s="127">
        <f>COUNT(Table36[[#This Row],[ QI Bran Content]:[QI WG]])</f>
        <v>4</v>
      </c>
    </row>
    <row r="205" spans="1:29" x14ac:dyDescent="0.35">
      <c r="A205" s="177">
        <v>45292</v>
      </c>
      <c r="B205" s="178">
        <v>45319</v>
      </c>
      <c r="C205" s="178" t="s">
        <v>128</v>
      </c>
      <c r="D205" s="179">
        <v>0.79166666666666596</v>
      </c>
      <c r="E205" s="180" t="s">
        <v>0</v>
      </c>
      <c r="F205" s="181" t="s">
        <v>27</v>
      </c>
      <c r="G205" s="182">
        <v>8.5000000000000006E-3</v>
      </c>
      <c r="H205" s="175" t="s">
        <v>165</v>
      </c>
      <c r="I205" s="175" t="s">
        <v>165</v>
      </c>
      <c r="J205" s="175" t="s">
        <v>165</v>
      </c>
      <c r="K205" s="175">
        <v>11.97</v>
      </c>
      <c r="L205" s="175" t="s">
        <v>163</v>
      </c>
      <c r="M205" s="175" t="s">
        <v>163</v>
      </c>
      <c r="N205" s="175" t="s">
        <v>163</v>
      </c>
      <c r="O205" s="175" t="s">
        <v>163</v>
      </c>
      <c r="P205" s="175" t="s">
        <v>163</v>
      </c>
      <c r="Q205" s="175" t="s">
        <v>163</v>
      </c>
      <c r="R205" s="127">
        <f>IF(Table36[[#This Row],[ Bran Content]]="-","-",IF(G205&lt;0.02,1,0))</f>
        <v>1</v>
      </c>
      <c r="S205" s="127">
        <f>IF(Table36[[#This Row],[Sieve Test]]="-","-",IF(Table36[[#This Row],[Sieve Test]]="P",1,0))</f>
        <v>1</v>
      </c>
      <c r="T205" s="127">
        <f>IF(Table36[[#This Row],[Odor]]="-","-",IF(Table36[[#This Row],[Odor]]="P",1,0))</f>
        <v>1</v>
      </c>
      <c r="U205" s="127">
        <f>IF(INDEX(MCmin,MATCH(Table36[[#This Row],[Grist]],SMI,0))="-","-",IF(Table36[[#This Row],[F1 %MC]]="-","-",IF(Table36[[#This Row],[F1 %MC]]&lt;INDEX(MCmin,MATCH(Table36[[#This Row],[Grist]],SMI,0)),0,IF(Table36[[#This Row],[F1 %MC]]&gt;INDEX(MCmax,MATCH(Table36[[#This Row],[Grist]],SMI,0)),0,1))))</f>
        <v>0</v>
      </c>
      <c r="V205" s="127" t="str">
        <f>IF(INDEX(Protmin,MATCH(Table36[[#This Row],[Grist]],SMI,0))="-","-",IF(Table36[[#This Row],[%Protein]]="-","-",IF(Table36[[#This Row],[%Protein]]&lt;INDEX(Protmin,MATCH(Table36[[#This Row],[Grist]],SMI,0)),0,IF(Table36[[#This Row],[%Protein]]&gt;INDEX(Protmax,MATCH(Table36[[#This Row],[Grist]],SMI,0)),0,1))))</f>
        <v>-</v>
      </c>
      <c r="W205" s="127" t="str">
        <f>IF(INDEX(Ashmin,MATCH(Table36[[#This Row],[Grist]],SMI,0))="-","-",IF(Table36[[#This Row],[%Ash]]="-","-",IF(Table36[[#This Row],[%Ash]]&lt;INDEX(Ashmin,MATCH(Table36[[#This Row],[Grist]],SMI,0)),0,IF(Table36[[#This Row],[%Ash]]&gt;INDEX(Ashmax,MATCH(Table36[[#This Row],[Grist]],SMI,0)),0,1))))</f>
        <v>-</v>
      </c>
      <c r="X205" s="127" t="str">
        <f>IF(INDEX(Absmin,MATCH(Table36[[#This Row],[Grist]],SMI,0))="-","-",IF(Table36[[#This Row],[%Absorption]]="-","-",IF(Table36[[#This Row],[%Absorption]]&lt;INDEX(Absmin,MATCH(Table36[[#This Row],[Grist]],SMI,0)),0,IF(Table36[[#This Row],[%Absorption]]&gt;INDEX(Absmax,MATCH(Table36[[#This Row],[Grist]],SMI,0)),0,1))))</f>
        <v>-</v>
      </c>
      <c r="Y205" s="127" t="str">
        <f>IF(INDEX(Extmin,MATCH(Table36[[#This Row],[Grist]],SMI,0))="-","-",IF(Table36[[#This Row],[%Extensibility]]="-","-",IF(Table36[[#This Row],[%Extensibility]]&lt;INDEX(Extmin,MATCH(Table36[[#This Row],[Grist]],SMI,0)),0,IF(Table36[[#This Row],[%Extensibility]]&gt;INDEX(Extmax,MATCH(Table36[[#This Row],[Grist]],SMI,0)),0,1))))</f>
        <v>-</v>
      </c>
      <c r="Z205" s="127" t="str">
        <f>IF(INDEX(Resmin,MATCH(Table36[[#This Row],[Grist]],SMI,0))="-","-",IF(Table36[[#This Row],[Resistance, max]]="-","-",IF(Table36[[#This Row],[Resistance, max]]&lt;INDEX(Resmin,MATCH(Table36[[#This Row],[Grist]],SMI,0)),0,IF(Table36[[#This Row],[Resistance, max]]&gt;INDEX(Resmax,MATCH(Table36[[#This Row],[Grist]],SMI,0)),0,1))))</f>
        <v>-</v>
      </c>
      <c r="AA205" s="127" t="str">
        <f>IF(INDEX(WGmin,MATCH(Table36[[#This Row],[Grist]],SMI,0))="-","-",IF(Table36[[#This Row],[%Wet Gluten]]="-","-",IF(Table36[[#This Row],[%Wet Gluten]]&lt;INDEX(WGmin,MATCH(Table36[[#This Row],[Grist]],SMI,0)),0,IF(Table36[[#This Row],[%Wet Gluten]]&gt;INDEX(WGmax,MATCH(Table36[[#This Row],[Grist]],SMI,0)),0,1))))</f>
        <v>-</v>
      </c>
      <c r="AB205" s="127">
        <f>SUM(Table36[[#This Row],[ QI Bran Content]:[QI WG]])</f>
        <v>3</v>
      </c>
      <c r="AC205" s="127">
        <f>COUNT(Table36[[#This Row],[ QI Bran Content]:[QI WG]])</f>
        <v>4</v>
      </c>
    </row>
    <row r="206" spans="1:29" x14ac:dyDescent="0.35">
      <c r="A206" s="177">
        <v>45292</v>
      </c>
      <c r="B206" s="178">
        <v>45319</v>
      </c>
      <c r="C206" s="178" t="s">
        <v>128</v>
      </c>
      <c r="D206" s="179">
        <v>0.874999999999999</v>
      </c>
      <c r="E206" s="180" t="s">
        <v>0</v>
      </c>
      <c r="F206" s="181" t="s">
        <v>27</v>
      </c>
      <c r="G206" s="182">
        <v>3.0000000000000001E-3</v>
      </c>
      <c r="H206" s="175" t="s">
        <v>165</v>
      </c>
      <c r="I206" s="175" t="s">
        <v>165</v>
      </c>
      <c r="J206" s="175" t="s">
        <v>165</v>
      </c>
      <c r="K206" s="175">
        <v>11.96</v>
      </c>
      <c r="L206" s="175" t="s">
        <v>163</v>
      </c>
      <c r="M206" s="175" t="s">
        <v>163</v>
      </c>
      <c r="N206" s="175" t="s">
        <v>163</v>
      </c>
      <c r="O206" s="175" t="s">
        <v>163</v>
      </c>
      <c r="P206" s="175" t="s">
        <v>163</v>
      </c>
      <c r="Q206" s="175" t="s">
        <v>163</v>
      </c>
      <c r="R206" s="127">
        <f>IF(Table36[[#This Row],[ Bran Content]]="-","-",IF(G206&lt;0.02,1,0))</f>
        <v>1</v>
      </c>
      <c r="S206" s="127">
        <f>IF(Table36[[#This Row],[Sieve Test]]="-","-",IF(Table36[[#This Row],[Sieve Test]]="P",1,0))</f>
        <v>1</v>
      </c>
      <c r="T206" s="127">
        <f>IF(Table36[[#This Row],[Odor]]="-","-",IF(Table36[[#This Row],[Odor]]="P",1,0))</f>
        <v>1</v>
      </c>
      <c r="U206" s="127">
        <f>IF(INDEX(MCmin,MATCH(Table36[[#This Row],[Grist]],SMI,0))="-","-",IF(Table36[[#This Row],[F1 %MC]]="-","-",IF(Table36[[#This Row],[F1 %MC]]&lt;INDEX(MCmin,MATCH(Table36[[#This Row],[Grist]],SMI,0)),0,IF(Table36[[#This Row],[F1 %MC]]&gt;INDEX(MCmax,MATCH(Table36[[#This Row],[Grist]],SMI,0)),0,1))))</f>
        <v>0</v>
      </c>
      <c r="V206" s="127" t="str">
        <f>IF(INDEX(Protmin,MATCH(Table36[[#This Row],[Grist]],SMI,0))="-","-",IF(Table36[[#This Row],[%Protein]]="-","-",IF(Table36[[#This Row],[%Protein]]&lt;INDEX(Protmin,MATCH(Table36[[#This Row],[Grist]],SMI,0)),0,IF(Table36[[#This Row],[%Protein]]&gt;INDEX(Protmax,MATCH(Table36[[#This Row],[Grist]],SMI,0)),0,1))))</f>
        <v>-</v>
      </c>
      <c r="W206" s="127" t="str">
        <f>IF(INDEX(Ashmin,MATCH(Table36[[#This Row],[Grist]],SMI,0))="-","-",IF(Table36[[#This Row],[%Ash]]="-","-",IF(Table36[[#This Row],[%Ash]]&lt;INDEX(Ashmin,MATCH(Table36[[#This Row],[Grist]],SMI,0)),0,IF(Table36[[#This Row],[%Ash]]&gt;INDEX(Ashmax,MATCH(Table36[[#This Row],[Grist]],SMI,0)),0,1))))</f>
        <v>-</v>
      </c>
      <c r="X206" s="127" t="str">
        <f>IF(INDEX(Absmin,MATCH(Table36[[#This Row],[Grist]],SMI,0))="-","-",IF(Table36[[#This Row],[%Absorption]]="-","-",IF(Table36[[#This Row],[%Absorption]]&lt;INDEX(Absmin,MATCH(Table36[[#This Row],[Grist]],SMI,0)),0,IF(Table36[[#This Row],[%Absorption]]&gt;INDEX(Absmax,MATCH(Table36[[#This Row],[Grist]],SMI,0)),0,1))))</f>
        <v>-</v>
      </c>
      <c r="Y206" s="127" t="str">
        <f>IF(INDEX(Extmin,MATCH(Table36[[#This Row],[Grist]],SMI,0))="-","-",IF(Table36[[#This Row],[%Extensibility]]="-","-",IF(Table36[[#This Row],[%Extensibility]]&lt;INDEX(Extmin,MATCH(Table36[[#This Row],[Grist]],SMI,0)),0,IF(Table36[[#This Row],[%Extensibility]]&gt;INDEX(Extmax,MATCH(Table36[[#This Row],[Grist]],SMI,0)),0,1))))</f>
        <v>-</v>
      </c>
      <c r="Z206" s="127" t="str">
        <f>IF(INDEX(Resmin,MATCH(Table36[[#This Row],[Grist]],SMI,0))="-","-",IF(Table36[[#This Row],[Resistance, max]]="-","-",IF(Table36[[#This Row],[Resistance, max]]&lt;INDEX(Resmin,MATCH(Table36[[#This Row],[Grist]],SMI,0)),0,IF(Table36[[#This Row],[Resistance, max]]&gt;INDEX(Resmax,MATCH(Table36[[#This Row],[Grist]],SMI,0)),0,1))))</f>
        <v>-</v>
      </c>
      <c r="AA206" s="127" t="str">
        <f>IF(INDEX(WGmin,MATCH(Table36[[#This Row],[Grist]],SMI,0))="-","-",IF(Table36[[#This Row],[%Wet Gluten]]="-","-",IF(Table36[[#This Row],[%Wet Gluten]]&lt;INDEX(WGmin,MATCH(Table36[[#This Row],[Grist]],SMI,0)),0,IF(Table36[[#This Row],[%Wet Gluten]]&gt;INDEX(WGmax,MATCH(Table36[[#This Row],[Grist]],SMI,0)),0,1))))</f>
        <v>-</v>
      </c>
      <c r="AB206" s="127">
        <f>SUM(Table36[[#This Row],[ QI Bran Content]:[QI WG]])</f>
        <v>3</v>
      </c>
      <c r="AC206" s="127">
        <f>COUNT(Table36[[#This Row],[ QI Bran Content]:[QI WG]])</f>
        <v>4</v>
      </c>
    </row>
    <row r="207" spans="1:29" x14ac:dyDescent="0.35">
      <c r="A207" s="177">
        <v>45292</v>
      </c>
      <c r="B207" s="178">
        <v>45319</v>
      </c>
      <c r="C207" s="178" t="s">
        <v>128</v>
      </c>
      <c r="D207" s="179">
        <v>0.95833333333333337</v>
      </c>
      <c r="E207" s="180" t="s">
        <v>0</v>
      </c>
      <c r="F207" s="181" t="s">
        <v>40</v>
      </c>
      <c r="G207" s="182">
        <v>3.3999999999999998E-3</v>
      </c>
      <c r="H207" s="175" t="s">
        <v>165</v>
      </c>
      <c r="I207" s="175" t="s">
        <v>165</v>
      </c>
      <c r="J207" s="175" t="s">
        <v>165</v>
      </c>
      <c r="K207" s="175">
        <v>11.12</v>
      </c>
      <c r="L207" s="175">
        <v>13.12</v>
      </c>
      <c r="M207" s="175">
        <v>0.64</v>
      </c>
      <c r="N207" s="175">
        <v>65.400000000000006</v>
      </c>
      <c r="O207" s="175" t="s">
        <v>163</v>
      </c>
      <c r="P207" s="175" t="s">
        <v>163</v>
      </c>
      <c r="Q207" s="175">
        <v>37.9</v>
      </c>
      <c r="R207" s="127">
        <f>IF(Table36[[#This Row],[ Bran Content]]="-","-",IF(G207&lt;0.02,1,0))</f>
        <v>1</v>
      </c>
      <c r="S207" s="127">
        <f>IF(Table36[[#This Row],[Sieve Test]]="-","-",IF(Table36[[#This Row],[Sieve Test]]="P",1,0))</f>
        <v>1</v>
      </c>
      <c r="T207" s="127">
        <f>IF(Table36[[#This Row],[Odor]]="-","-",IF(Table36[[#This Row],[Odor]]="P",1,0))</f>
        <v>1</v>
      </c>
      <c r="U207" s="127">
        <f>IF(INDEX(MCmin,MATCH(Table36[[#This Row],[Grist]],SMI,0))="-","-",IF(Table36[[#This Row],[F1 %MC]]="-","-",IF(Table36[[#This Row],[F1 %MC]]&lt;INDEX(MCmin,MATCH(Table36[[#This Row],[Grist]],SMI,0)),0,IF(Table36[[#This Row],[F1 %MC]]&gt;INDEX(MCmax,MATCH(Table36[[#This Row],[Grist]],SMI,0)),0,1))))</f>
        <v>0</v>
      </c>
      <c r="V207" s="127">
        <f>IF(INDEX(Protmin,MATCH(Table36[[#This Row],[Grist]],SMI,0))="-","-",IF(Table36[[#This Row],[%Protein]]="-","-",IF(Table36[[#This Row],[%Protein]]&lt;INDEX(Protmin,MATCH(Table36[[#This Row],[Grist]],SMI,0)),0,IF(Table36[[#This Row],[%Protein]]&gt;INDEX(Protmax,MATCH(Table36[[#This Row],[Grist]],SMI,0)),0,1))))</f>
        <v>1</v>
      </c>
      <c r="W207" s="127">
        <f>IF(INDEX(Ashmin,MATCH(Table36[[#This Row],[Grist]],SMI,0))="-","-",IF(Table36[[#This Row],[%Ash]]="-","-",IF(Table36[[#This Row],[%Ash]]&lt;INDEX(Ashmin,MATCH(Table36[[#This Row],[Grist]],SMI,0)),0,IF(Table36[[#This Row],[%Ash]]&gt;INDEX(Ashmax,MATCH(Table36[[#This Row],[Grist]],SMI,0)),0,1))))</f>
        <v>0</v>
      </c>
      <c r="X207" s="127">
        <f>IF(INDEX(Absmin,MATCH(Table36[[#This Row],[Grist]],SMI,0))="-","-",IF(Table36[[#This Row],[%Absorption]]="-","-",IF(Table36[[#This Row],[%Absorption]]&lt;INDEX(Absmin,MATCH(Table36[[#This Row],[Grist]],SMI,0)),0,IF(Table36[[#This Row],[%Absorption]]&gt;INDEX(Absmax,MATCH(Table36[[#This Row],[Grist]],SMI,0)),0,1))))</f>
        <v>1</v>
      </c>
      <c r="Y207" s="127" t="str">
        <f>IF(INDEX(Extmin,MATCH(Table36[[#This Row],[Grist]],SMI,0))="-","-",IF(Table36[[#This Row],[%Extensibility]]="-","-",IF(Table36[[#This Row],[%Extensibility]]&lt;INDEX(Extmin,MATCH(Table36[[#This Row],[Grist]],SMI,0)),0,IF(Table36[[#This Row],[%Extensibility]]&gt;INDEX(Extmax,MATCH(Table36[[#This Row],[Grist]],SMI,0)),0,1))))</f>
        <v>-</v>
      </c>
      <c r="Z207" s="127" t="str">
        <f>IF(INDEX(Resmin,MATCH(Table36[[#This Row],[Grist]],SMI,0))="-","-",IF(Table36[[#This Row],[Resistance, max]]="-","-",IF(Table36[[#This Row],[Resistance, max]]&lt;INDEX(Resmin,MATCH(Table36[[#This Row],[Grist]],SMI,0)),0,IF(Table36[[#This Row],[Resistance, max]]&gt;INDEX(Resmax,MATCH(Table36[[#This Row],[Grist]],SMI,0)),0,1))))</f>
        <v>-</v>
      </c>
      <c r="AA207" s="127">
        <f>IF(INDEX(WGmin,MATCH(Table36[[#This Row],[Grist]],SMI,0))="-","-",IF(Table36[[#This Row],[%Wet Gluten]]="-","-",IF(Table36[[#This Row],[%Wet Gluten]]&lt;INDEX(WGmin,MATCH(Table36[[#This Row],[Grist]],SMI,0)),0,IF(Table36[[#This Row],[%Wet Gluten]]&gt;INDEX(WGmax,MATCH(Table36[[#This Row],[Grist]],SMI,0)),0,1))))</f>
        <v>1</v>
      </c>
      <c r="AB207" s="127">
        <f>SUM(Table36[[#This Row],[ QI Bran Content]:[QI WG]])</f>
        <v>6</v>
      </c>
      <c r="AC207" s="127">
        <f>COUNT(Table36[[#This Row],[ QI Bran Content]:[QI WG]])</f>
        <v>8</v>
      </c>
    </row>
    <row r="208" spans="1:29" x14ac:dyDescent="0.35">
      <c r="A208" s="177">
        <v>45292</v>
      </c>
      <c r="B208" s="178">
        <v>45319</v>
      </c>
      <c r="C208" s="178" t="s">
        <v>130</v>
      </c>
      <c r="D208" s="179">
        <v>1.0416666666666701</v>
      </c>
      <c r="E208" s="180" t="s">
        <v>0</v>
      </c>
      <c r="F208" s="181" t="s">
        <v>40</v>
      </c>
      <c r="G208" s="182">
        <v>8.8999999999999999E-3</v>
      </c>
      <c r="H208" s="175" t="s">
        <v>165</v>
      </c>
      <c r="I208" s="175" t="s">
        <v>165</v>
      </c>
      <c r="J208" s="175" t="s">
        <v>165</v>
      </c>
      <c r="K208" s="175">
        <v>11.56</v>
      </c>
      <c r="L208" s="175" t="s">
        <v>163</v>
      </c>
      <c r="M208" s="175" t="s">
        <v>163</v>
      </c>
      <c r="N208" s="175" t="s">
        <v>163</v>
      </c>
      <c r="O208" s="175" t="s">
        <v>163</v>
      </c>
      <c r="P208" s="175" t="s">
        <v>163</v>
      </c>
      <c r="Q208" s="175" t="s">
        <v>163</v>
      </c>
      <c r="R208" s="127">
        <f>IF(Table36[[#This Row],[ Bran Content]]="-","-",IF(G208&lt;0.02,1,0))</f>
        <v>1</v>
      </c>
      <c r="S208" s="127">
        <f>IF(Table36[[#This Row],[Sieve Test]]="-","-",IF(Table36[[#This Row],[Sieve Test]]="P",1,0))</f>
        <v>1</v>
      </c>
      <c r="T208" s="127">
        <f>IF(Table36[[#This Row],[Odor]]="-","-",IF(Table36[[#This Row],[Odor]]="P",1,0))</f>
        <v>1</v>
      </c>
      <c r="U208" s="127">
        <f>IF(INDEX(MCmin,MATCH(Table36[[#This Row],[Grist]],SMI,0))="-","-",IF(Table36[[#This Row],[F1 %MC]]="-","-",IF(Table36[[#This Row],[F1 %MC]]&lt;INDEX(MCmin,MATCH(Table36[[#This Row],[Grist]],SMI,0)),0,IF(Table36[[#This Row],[F1 %MC]]&gt;INDEX(MCmax,MATCH(Table36[[#This Row],[Grist]],SMI,0)),0,1))))</f>
        <v>0</v>
      </c>
      <c r="V208" s="127" t="str">
        <f>IF(INDEX(Protmin,MATCH(Table36[[#This Row],[Grist]],SMI,0))="-","-",IF(Table36[[#This Row],[%Protein]]="-","-",IF(Table36[[#This Row],[%Protein]]&lt;INDEX(Protmin,MATCH(Table36[[#This Row],[Grist]],SMI,0)),0,IF(Table36[[#This Row],[%Protein]]&gt;INDEX(Protmax,MATCH(Table36[[#This Row],[Grist]],SMI,0)),0,1))))</f>
        <v>-</v>
      </c>
      <c r="W208" s="127" t="str">
        <f>IF(INDEX(Ashmin,MATCH(Table36[[#This Row],[Grist]],SMI,0))="-","-",IF(Table36[[#This Row],[%Ash]]="-","-",IF(Table36[[#This Row],[%Ash]]&lt;INDEX(Ashmin,MATCH(Table36[[#This Row],[Grist]],SMI,0)),0,IF(Table36[[#This Row],[%Ash]]&gt;INDEX(Ashmax,MATCH(Table36[[#This Row],[Grist]],SMI,0)),0,1))))</f>
        <v>-</v>
      </c>
      <c r="X208" s="127" t="str">
        <f>IF(INDEX(Absmin,MATCH(Table36[[#This Row],[Grist]],SMI,0))="-","-",IF(Table36[[#This Row],[%Absorption]]="-","-",IF(Table36[[#This Row],[%Absorption]]&lt;INDEX(Absmin,MATCH(Table36[[#This Row],[Grist]],SMI,0)),0,IF(Table36[[#This Row],[%Absorption]]&gt;INDEX(Absmax,MATCH(Table36[[#This Row],[Grist]],SMI,0)),0,1))))</f>
        <v>-</v>
      </c>
      <c r="Y208" s="127" t="str">
        <f>IF(INDEX(Extmin,MATCH(Table36[[#This Row],[Grist]],SMI,0))="-","-",IF(Table36[[#This Row],[%Extensibility]]="-","-",IF(Table36[[#This Row],[%Extensibility]]&lt;INDEX(Extmin,MATCH(Table36[[#This Row],[Grist]],SMI,0)),0,IF(Table36[[#This Row],[%Extensibility]]&gt;INDEX(Extmax,MATCH(Table36[[#This Row],[Grist]],SMI,0)),0,1))))</f>
        <v>-</v>
      </c>
      <c r="Z208" s="127" t="str">
        <f>IF(INDEX(Resmin,MATCH(Table36[[#This Row],[Grist]],SMI,0))="-","-",IF(Table36[[#This Row],[Resistance, max]]="-","-",IF(Table36[[#This Row],[Resistance, max]]&lt;INDEX(Resmin,MATCH(Table36[[#This Row],[Grist]],SMI,0)),0,IF(Table36[[#This Row],[Resistance, max]]&gt;INDEX(Resmax,MATCH(Table36[[#This Row],[Grist]],SMI,0)),0,1))))</f>
        <v>-</v>
      </c>
      <c r="AA208" s="127" t="str">
        <f>IF(INDEX(WGmin,MATCH(Table36[[#This Row],[Grist]],SMI,0))="-","-",IF(Table36[[#This Row],[%Wet Gluten]]="-","-",IF(Table36[[#This Row],[%Wet Gluten]]&lt;INDEX(WGmin,MATCH(Table36[[#This Row],[Grist]],SMI,0)),0,IF(Table36[[#This Row],[%Wet Gluten]]&gt;INDEX(WGmax,MATCH(Table36[[#This Row],[Grist]],SMI,0)),0,1))))</f>
        <v>-</v>
      </c>
      <c r="AB208" s="127">
        <f>SUM(Table36[[#This Row],[ QI Bran Content]:[QI WG]])</f>
        <v>3</v>
      </c>
      <c r="AC208" s="127">
        <f>COUNT(Table36[[#This Row],[ QI Bran Content]:[QI WG]])</f>
        <v>4</v>
      </c>
    </row>
    <row r="209" spans="1:29" x14ac:dyDescent="0.35">
      <c r="A209" s="177">
        <v>45292</v>
      </c>
      <c r="B209" s="178">
        <v>45319</v>
      </c>
      <c r="C209" s="178" t="s">
        <v>130</v>
      </c>
      <c r="D209" s="179">
        <v>1.125</v>
      </c>
      <c r="E209" s="180" t="s">
        <v>0</v>
      </c>
      <c r="F209" s="181" t="s">
        <v>40</v>
      </c>
      <c r="G209" s="182">
        <v>1.35E-2</v>
      </c>
      <c r="H209" s="175" t="s">
        <v>165</v>
      </c>
      <c r="I209" s="175" t="s">
        <v>165</v>
      </c>
      <c r="J209" s="175" t="s">
        <v>165</v>
      </c>
      <c r="K209" s="175">
        <v>12</v>
      </c>
      <c r="L209" s="175" t="s">
        <v>163</v>
      </c>
      <c r="M209" s="175" t="s">
        <v>163</v>
      </c>
      <c r="N209" s="175" t="s">
        <v>163</v>
      </c>
      <c r="O209" s="175" t="s">
        <v>163</v>
      </c>
      <c r="P209" s="175" t="s">
        <v>163</v>
      </c>
      <c r="Q209" s="175" t="s">
        <v>163</v>
      </c>
      <c r="R209" s="127">
        <f>IF(Table36[[#This Row],[ Bran Content]]="-","-",IF(G209&lt;0.02,1,0))</f>
        <v>1</v>
      </c>
      <c r="S209" s="127">
        <f>IF(Table36[[#This Row],[Sieve Test]]="-","-",IF(Table36[[#This Row],[Sieve Test]]="P",1,0))</f>
        <v>1</v>
      </c>
      <c r="T209" s="127">
        <f>IF(Table36[[#This Row],[Odor]]="-","-",IF(Table36[[#This Row],[Odor]]="P",1,0))</f>
        <v>1</v>
      </c>
      <c r="U209" s="127">
        <f>IF(INDEX(MCmin,MATCH(Table36[[#This Row],[Grist]],SMI,0))="-","-",IF(Table36[[#This Row],[F1 %MC]]="-","-",IF(Table36[[#This Row],[F1 %MC]]&lt;INDEX(MCmin,MATCH(Table36[[#This Row],[Grist]],SMI,0)),0,IF(Table36[[#This Row],[F1 %MC]]&gt;INDEX(MCmax,MATCH(Table36[[#This Row],[Grist]],SMI,0)),0,1))))</f>
        <v>1</v>
      </c>
      <c r="V209" s="127" t="str">
        <f>IF(INDEX(Protmin,MATCH(Table36[[#This Row],[Grist]],SMI,0))="-","-",IF(Table36[[#This Row],[%Protein]]="-","-",IF(Table36[[#This Row],[%Protein]]&lt;INDEX(Protmin,MATCH(Table36[[#This Row],[Grist]],SMI,0)),0,IF(Table36[[#This Row],[%Protein]]&gt;INDEX(Protmax,MATCH(Table36[[#This Row],[Grist]],SMI,0)),0,1))))</f>
        <v>-</v>
      </c>
      <c r="W209" s="127" t="str">
        <f>IF(INDEX(Ashmin,MATCH(Table36[[#This Row],[Grist]],SMI,0))="-","-",IF(Table36[[#This Row],[%Ash]]="-","-",IF(Table36[[#This Row],[%Ash]]&lt;INDEX(Ashmin,MATCH(Table36[[#This Row],[Grist]],SMI,0)),0,IF(Table36[[#This Row],[%Ash]]&gt;INDEX(Ashmax,MATCH(Table36[[#This Row],[Grist]],SMI,0)),0,1))))</f>
        <v>-</v>
      </c>
      <c r="X209" s="127" t="str">
        <f>IF(INDEX(Absmin,MATCH(Table36[[#This Row],[Grist]],SMI,0))="-","-",IF(Table36[[#This Row],[%Absorption]]="-","-",IF(Table36[[#This Row],[%Absorption]]&lt;INDEX(Absmin,MATCH(Table36[[#This Row],[Grist]],SMI,0)),0,IF(Table36[[#This Row],[%Absorption]]&gt;INDEX(Absmax,MATCH(Table36[[#This Row],[Grist]],SMI,0)),0,1))))</f>
        <v>-</v>
      </c>
      <c r="Y209" s="127" t="str">
        <f>IF(INDEX(Extmin,MATCH(Table36[[#This Row],[Grist]],SMI,0))="-","-",IF(Table36[[#This Row],[%Extensibility]]="-","-",IF(Table36[[#This Row],[%Extensibility]]&lt;INDEX(Extmin,MATCH(Table36[[#This Row],[Grist]],SMI,0)),0,IF(Table36[[#This Row],[%Extensibility]]&gt;INDEX(Extmax,MATCH(Table36[[#This Row],[Grist]],SMI,0)),0,1))))</f>
        <v>-</v>
      </c>
      <c r="Z209" s="127" t="str">
        <f>IF(INDEX(Resmin,MATCH(Table36[[#This Row],[Grist]],SMI,0))="-","-",IF(Table36[[#This Row],[Resistance, max]]="-","-",IF(Table36[[#This Row],[Resistance, max]]&lt;INDEX(Resmin,MATCH(Table36[[#This Row],[Grist]],SMI,0)),0,IF(Table36[[#This Row],[Resistance, max]]&gt;INDEX(Resmax,MATCH(Table36[[#This Row],[Grist]],SMI,0)),0,1))))</f>
        <v>-</v>
      </c>
      <c r="AA209" s="127" t="str">
        <f>IF(INDEX(WGmin,MATCH(Table36[[#This Row],[Grist]],SMI,0))="-","-",IF(Table36[[#This Row],[%Wet Gluten]]="-","-",IF(Table36[[#This Row],[%Wet Gluten]]&lt;INDEX(WGmin,MATCH(Table36[[#This Row],[Grist]],SMI,0)),0,IF(Table36[[#This Row],[%Wet Gluten]]&gt;INDEX(WGmax,MATCH(Table36[[#This Row],[Grist]],SMI,0)),0,1))))</f>
        <v>-</v>
      </c>
      <c r="AB209" s="127">
        <f>SUM(Table36[[#This Row],[ QI Bran Content]:[QI WG]])</f>
        <v>4</v>
      </c>
      <c r="AC209" s="127">
        <f>COUNT(Table36[[#This Row],[ QI Bran Content]:[QI WG]])</f>
        <v>4</v>
      </c>
    </row>
    <row r="210" spans="1:29" x14ac:dyDescent="0.35">
      <c r="A210" s="177">
        <v>45292</v>
      </c>
      <c r="B210" s="178">
        <v>45319</v>
      </c>
      <c r="C210" s="178" t="s">
        <v>130</v>
      </c>
      <c r="D210" s="179">
        <v>1.2083333333333299</v>
      </c>
      <c r="E210" s="180" t="s">
        <v>0</v>
      </c>
      <c r="F210" s="181" t="s">
        <v>40</v>
      </c>
      <c r="G210" s="182">
        <v>5.1000000000000004E-3</v>
      </c>
      <c r="H210" s="175" t="s">
        <v>165</v>
      </c>
      <c r="I210" s="175" t="s">
        <v>165</v>
      </c>
      <c r="J210" s="175" t="s">
        <v>165</v>
      </c>
      <c r="K210" s="175">
        <v>11.83</v>
      </c>
      <c r="L210" s="175" t="s">
        <v>163</v>
      </c>
      <c r="M210" s="175" t="s">
        <v>163</v>
      </c>
      <c r="N210" s="175" t="s">
        <v>163</v>
      </c>
      <c r="O210" s="175" t="s">
        <v>163</v>
      </c>
      <c r="P210" s="175" t="s">
        <v>163</v>
      </c>
      <c r="Q210" s="175" t="s">
        <v>163</v>
      </c>
      <c r="R210" s="127">
        <f>IF(Table36[[#This Row],[ Bran Content]]="-","-",IF(G210&lt;0.02,1,0))</f>
        <v>1</v>
      </c>
      <c r="S210" s="127">
        <f>IF(Table36[[#This Row],[Sieve Test]]="-","-",IF(Table36[[#This Row],[Sieve Test]]="P",1,0))</f>
        <v>1</v>
      </c>
      <c r="T210" s="127">
        <f>IF(Table36[[#This Row],[Odor]]="-","-",IF(Table36[[#This Row],[Odor]]="P",1,0))</f>
        <v>1</v>
      </c>
      <c r="U210" s="127">
        <f>IF(INDEX(MCmin,MATCH(Table36[[#This Row],[Grist]],SMI,0))="-","-",IF(Table36[[#This Row],[F1 %MC]]="-","-",IF(Table36[[#This Row],[F1 %MC]]&lt;INDEX(MCmin,MATCH(Table36[[#This Row],[Grist]],SMI,0)),0,IF(Table36[[#This Row],[F1 %MC]]&gt;INDEX(MCmax,MATCH(Table36[[#This Row],[Grist]],SMI,0)),0,1))))</f>
        <v>0</v>
      </c>
      <c r="V210" s="127" t="str">
        <f>IF(INDEX(Protmin,MATCH(Table36[[#This Row],[Grist]],SMI,0))="-","-",IF(Table36[[#This Row],[%Protein]]="-","-",IF(Table36[[#This Row],[%Protein]]&lt;INDEX(Protmin,MATCH(Table36[[#This Row],[Grist]],SMI,0)),0,IF(Table36[[#This Row],[%Protein]]&gt;INDEX(Protmax,MATCH(Table36[[#This Row],[Grist]],SMI,0)),0,1))))</f>
        <v>-</v>
      </c>
      <c r="W210" s="127" t="str">
        <f>IF(INDEX(Ashmin,MATCH(Table36[[#This Row],[Grist]],SMI,0))="-","-",IF(Table36[[#This Row],[%Ash]]="-","-",IF(Table36[[#This Row],[%Ash]]&lt;INDEX(Ashmin,MATCH(Table36[[#This Row],[Grist]],SMI,0)),0,IF(Table36[[#This Row],[%Ash]]&gt;INDEX(Ashmax,MATCH(Table36[[#This Row],[Grist]],SMI,0)),0,1))))</f>
        <v>-</v>
      </c>
      <c r="X210" s="127" t="str">
        <f>IF(INDEX(Absmin,MATCH(Table36[[#This Row],[Grist]],SMI,0))="-","-",IF(Table36[[#This Row],[%Absorption]]="-","-",IF(Table36[[#This Row],[%Absorption]]&lt;INDEX(Absmin,MATCH(Table36[[#This Row],[Grist]],SMI,0)),0,IF(Table36[[#This Row],[%Absorption]]&gt;INDEX(Absmax,MATCH(Table36[[#This Row],[Grist]],SMI,0)),0,1))))</f>
        <v>-</v>
      </c>
      <c r="Y210" s="127" t="str">
        <f>IF(INDEX(Extmin,MATCH(Table36[[#This Row],[Grist]],SMI,0))="-","-",IF(Table36[[#This Row],[%Extensibility]]="-","-",IF(Table36[[#This Row],[%Extensibility]]&lt;INDEX(Extmin,MATCH(Table36[[#This Row],[Grist]],SMI,0)),0,IF(Table36[[#This Row],[%Extensibility]]&gt;INDEX(Extmax,MATCH(Table36[[#This Row],[Grist]],SMI,0)),0,1))))</f>
        <v>-</v>
      </c>
      <c r="Z210" s="127" t="str">
        <f>IF(INDEX(Resmin,MATCH(Table36[[#This Row],[Grist]],SMI,0))="-","-",IF(Table36[[#This Row],[Resistance, max]]="-","-",IF(Table36[[#This Row],[Resistance, max]]&lt;INDEX(Resmin,MATCH(Table36[[#This Row],[Grist]],SMI,0)),0,IF(Table36[[#This Row],[Resistance, max]]&gt;INDEX(Resmax,MATCH(Table36[[#This Row],[Grist]],SMI,0)),0,1))))</f>
        <v>-</v>
      </c>
      <c r="AA210" s="127" t="str">
        <f>IF(INDEX(WGmin,MATCH(Table36[[#This Row],[Grist]],SMI,0))="-","-",IF(Table36[[#This Row],[%Wet Gluten]]="-","-",IF(Table36[[#This Row],[%Wet Gluten]]&lt;INDEX(WGmin,MATCH(Table36[[#This Row],[Grist]],SMI,0)),0,IF(Table36[[#This Row],[%Wet Gluten]]&gt;INDEX(WGmax,MATCH(Table36[[#This Row],[Grist]],SMI,0)),0,1))))</f>
        <v>-</v>
      </c>
      <c r="AB210" s="127">
        <f>SUM(Table36[[#This Row],[ QI Bran Content]:[QI WG]])</f>
        <v>3</v>
      </c>
      <c r="AC210" s="127">
        <f>COUNT(Table36[[#This Row],[ QI Bran Content]:[QI WG]])</f>
        <v>4</v>
      </c>
    </row>
    <row r="211" spans="1:29" x14ac:dyDescent="0.35">
      <c r="A211" s="177">
        <v>45292</v>
      </c>
      <c r="B211" s="178">
        <v>45319</v>
      </c>
      <c r="C211" s="178" t="s">
        <v>128</v>
      </c>
      <c r="D211" s="179">
        <v>0.95833333333333337</v>
      </c>
      <c r="E211" s="180" t="s">
        <v>1</v>
      </c>
      <c r="F211" s="181" t="s">
        <v>241</v>
      </c>
      <c r="G211" s="182">
        <v>1.6500000000000001E-2</v>
      </c>
      <c r="H211" s="175" t="s">
        <v>165</v>
      </c>
      <c r="I211" s="175" t="s">
        <v>165</v>
      </c>
      <c r="J211" s="175" t="s">
        <v>165</v>
      </c>
      <c r="K211" s="175">
        <v>10.57</v>
      </c>
      <c r="L211" s="175" t="s">
        <v>163</v>
      </c>
      <c r="M211" s="175" t="s">
        <v>163</v>
      </c>
      <c r="N211" s="175" t="s">
        <v>163</v>
      </c>
      <c r="O211" s="175" t="s">
        <v>163</v>
      </c>
      <c r="P211" s="175" t="s">
        <v>163</v>
      </c>
      <c r="Q211" s="175" t="s">
        <v>163</v>
      </c>
      <c r="R211" s="127">
        <f>IF(Table36[[#This Row],[ Bran Content]]="-","-",IF(G211&lt;0.02,1,0))</f>
        <v>1</v>
      </c>
      <c r="S211" s="127">
        <f>IF(Table36[[#This Row],[Sieve Test]]="-","-",IF(Table36[[#This Row],[Sieve Test]]="P",1,0))</f>
        <v>1</v>
      </c>
      <c r="T211" s="127">
        <f>IF(Table36[[#This Row],[Odor]]="-","-",IF(Table36[[#This Row],[Odor]]="P",1,0))</f>
        <v>1</v>
      </c>
      <c r="U211" s="127" t="str">
        <f>IF(INDEX(MCmin,MATCH(Table36[[#This Row],[Grist]],SMI,0))="-","-",IF(Table36[[#This Row],[F1 %MC]]="-","-",IF(Table36[[#This Row],[F1 %MC]]&lt;INDEX(MCmin,MATCH(Table36[[#This Row],[Grist]],SMI,0)),0,IF(Table36[[#This Row],[F1 %MC]]&gt;INDEX(MCmax,MATCH(Table36[[#This Row],[Grist]],SMI,0)),0,1))))</f>
        <v>-</v>
      </c>
      <c r="V211" s="127" t="str">
        <f>IF(INDEX(Protmin,MATCH(Table36[[#This Row],[Grist]],SMI,0))="-","-",IF(Table36[[#This Row],[%Protein]]="-","-",IF(Table36[[#This Row],[%Protein]]&lt;INDEX(Protmin,MATCH(Table36[[#This Row],[Grist]],SMI,0)),0,IF(Table36[[#This Row],[%Protein]]&gt;INDEX(Protmax,MATCH(Table36[[#This Row],[Grist]],SMI,0)),0,1))))</f>
        <v>-</v>
      </c>
      <c r="W211" s="127" t="str">
        <f>IF(INDEX(Ashmin,MATCH(Table36[[#This Row],[Grist]],SMI,0))="-","-",IF(Table36[[#This Row],[%Ash]]="-","-",IF(Table36[[#This Row],[%Ash]]&lt;INDEX(Ashmin,MATCH(Table36[[#This Row],[Grist]],SMI,0)),0,IF(Table36[[#This Row],[%Ash]]&gt;INDEX(Ashmax,MATCH(Table36[[#This Row],[Grist]],SMI,0)),0,1))))</f>
        <v>-</v>
      </c>
      <c r="X211" s="127" t="str">
        <f>IF(INDEX(Absmin,MATCH(Table36[[#This Row],[Grist]],SMI,0))="-","-",IF(Table36[[#This Row],[%Absorption]]="-","-",IF(Table36[[#This Row],[%Absorption]]&lt;INDEX(Absmin,MATCH(Table36[[#This Row],[Grist]],SMI,0)),0,IF(Table36[[#This Row],[%Absorption]]&gt;INDEX(Absmax,MATCH(Table36[[#This Row],[Grist]],SMI,0)),0,1))))</f>
        <v>-</v>
      </c>
      <c r="Y211" s="127" t="str">
        <f>IF(INDEX(Extmin,MATCH(Table36[[#This Row],[Grist]],SMI,0))="-","-",IF(Table36[[#This Row],[%Extensibility]]="-","-",IF(Table36[[#This Row],[%Extensibility]]&lt;INDEX(Extmin,MATCH(Table36[[#This Row],[Grist]],SMI,0)),0,IF(Table36[[#This Row],[%Extensibility]]&gt;INDEX(Extmax,MATCH(Table36[[#This Row],[Grist]],SMI,0)),0,1))))</f>
        <v>-</v>
      </c>
      <c r="Z211" s="127" t="str">
        <f>IF(INDEX(Resmin,MATCH(Table36[[#This Row],[Grist]],SMI,0))="-","-",IF(Table36[[#This Row],[Resistance, max]]="-","-",IF(Table36[[#This Row],[Resistance, max]]&lt;INDEX(Resmin,MATCH(Table36[[#This Row],[Grist]],SMI,0)),0,IF(Table36[[#This Row],[Resistance, max]]&gt;INDEX(Resmax,MATCH(Table36[[#This Row],[Grist]],SMI,0)),0,1))))</f>
        <v>-</v>
      </c>
      <c r="AA211" s="127" t="str">
        <f>IF(INDEX(WGmin,MATCH(Table36[[#This Row],[Grist]],SMI,0))="-","-",IF(Table36[[#This Row],[%Wet Gluten]]="-","-",IF(Table36[[#This Row],[%Wet Gluten]]&lt;INDEX(WGmin,MATCH(Table36[[#This Row],[Grist]],SMI,0)),0,IF(Table36[[#This Row],[%Wet Gluten]]&gt;INDEX(WGmax,MATCH(Table36[[#This Row],[Grist]],SMI,0)),0,1))))</f>
        <v>-</v>
      </c>
      <c r="AB211" s="127">
        <f>SUM(Table36[[#This Row],[ QI Bran Content]:[QI WG]])</f>
        <v>3</v>
      </c>
      <c r="AC211" s="127">
        <f>COUNT(Table36[[#This Row],[ QI Bran Content]:[QI WG]])</f>
        <v>3</v>
      </c>
    </row>
    <row r="212" spans="1:29" x14ac:dyDescent="0.35">
      <c r="A212" s="177">
        <v>45292</v>
      </c>
      <c r="B212" s="178">
        <v>45319</v>
      </c>
      <c r="C212" s="178" t="s">
        <v>130</v>
      </c>
      <c r="D212" s="179">
        <v>1.0416666666666701</v>
      </c>
      <c r="E212" s="180" t="s">
        <v>1</v>
      </c>
      <c r="F212" s="181" t="s">
        <v>241</v>
      </c>
      <c r="G212" s="182">
        <v>0.1229</v>
      </c>
      <c r="H212" s="175" t="s">
        <v>165</v>
      </c>
      <c r="I212" s="175" t="s">
        <v>165</v>
      </c>
      <c r="J212" s="175" t="s">
        <v>165</v>
      </c>
      <c r="K212" s="175">
        <v>10.62</v>
      </c>
      <c r="L212" s="175" t="s">
        <v>163</v>
      </c>
      <c r="M212" s="175" t="s">
        <v>163</v>
      </c>
      <c r="N212" s="175" t="s">
        <v>163</v>
      </c>
      <c r="O212" s="175" t="s">
        <v>163</v>
      </c>
      <c r="P212" s="175" t="s">
        <v>163</v>
      </c>
      <c r="Q212" s="175" t="s">
        <v>163</v>
      </c>
      <c r="R212" s="127">
        <f>IF(Table36[[#This Row],[ Bran Content]]="-","-",IF(G212&lt;0.02,1,0))</f>
        <v>0</v>
      </c>
      <c r="S212" s="127">
        <f>IF(Table36[[#This Row],[Sieve Test]]="-","-",IF(Table36[[#This Row],[Sieve Test]]="P",1,0))</f>
        <v>1</v>
      </c>
      <c r="T212" s="127">
        <f>IF(Table36[[#This Row],[Odor]]="-","-",IF(Table36[[#This Row],[Odor]]="P",1,0))</f>
        <v>1</v>
      </c>
      <c r="U212" s="127" t="str">
        <f>IF(INDEX(MCmin,MATCH(Table36[[#This Row],[Grist]],SMI,0))="-","-",IF(Table36[[#This Row],[F1 %MC]]="-","-",IF(Table36[[#This Row],[F1 %MC]]&lt;INDEX(MCmin,MATCH(Table36[[#This Row],[Grist]],SMI,0)),0,IF(Table36[[#This Row],[F1 %MC]]&gt;INDEX(MCmax,MATCH(Table36[[#This Row],[Grist]],SMI,0)),0,1))))</f>
        <v>-</v>
      </c>
      <c r="V212" s="127" t="str">
        <f>IF(INDEX(Protmin,MATCH(Table36[[#This Row],[Grist]],SMI,0))="-","-",IF(Table36[[#This Row],[%Protein]]="-","-",IF(Table36[[#This Row],[%Protein]]&lt;INDEX(Protmin,MATCH(Table36[[#This Row],[Grist]],SMI,0)),0,IF(Table36[[#This Row],[%Protein]]&gt;INDEX(Protmax,MATCH(Table36[[#This Row],[Grist]],SMI,0)),0,1))))</f>
        <v>-</v>
      </c>
      <c r="W212" s="127" t="str">
        <f>IF(INDEX(Ashmin,MATCH(Table36[[#This Row],[Grist]],SMI,0))="-","-",IF(Table36[[#This Row],[%Ash]]="-","-",IF(Table36[[#This Row],[%Ash]]&lt;INDEX(Ashmin,MATCH(Table36[[#This Row],[Grist]],SMI,0)),0,IF(Table36[[#This Row],[%Ash]]&gt;INDEX(Ashmax,MATCH(Table36[[#This Row],[Grist]],SMI,0)),0,1))))</f>
        <v>-</v>
      </c>
      <c r="X212" s="127" t="str">
        <f>IF(INDEX(Absmin,MATCH(Table36[[#This Row],[Grist]],SMI,0))="-","-",IF(Table36[[#This Row],[%Absorption]]="-","-",IF(Table36[[#This Row],[%Absorption]]&lt;INDEX(Absmin,MATCH(Table36[[#This Row],[Grist]],SMI,0)),0,IF(Table36[[#This Row],[%Absorption]]&gt;INDEX(Absmax,MATCH(Table36[[#This Row],[Grist]],SMI,0)),0,1))))</f>
        <v>-</v>
      </c>
      <c r="Y212" s="127" t="str">
        <f>IF(INDEX(Extmin,MATCH(Table36[[#This Row],[Grist]],SMI,0))="-","-",IF(Table36[[#This Row],[%Extensibility]]="-","-",IF(Table36[[#This Row],[%Extensibility]]&lt;INDEX(Extmin,MATCH(Table36[[#This Row],[Grist]],SMI,0)),0,IF(Table36[[#This Row],[%Extensibility]]&gt;INDEX(Extmax,MATCH(Table36[[#This Row],[Grist]],SMI,0)),0,1))))</f>
        <v>-</v>
      </c>
      <c r="Z212" s="127" t="str">
        <f>IF(INDEX(Resmin,MATCH(Table36[[#This Row],[Grist]],SMI,0))="-","-",IF(Table36[[#This Row],[Resistance, max]]="-","-",IF(Table36[[#This Row],[Resistance, max]]&lt;INDEX(Resmin,MATCH(Table36[[#This Row],[Grist]],SMI,0)),0,IF(Table36[[#This Row],[Resistance, max]]&gt;INDEX(Resmax,MATCH(Table36[[#This Row],[Grist]],SMI,0)),0,1))))</f>
        <v>-</v>
      </c>
      <c r="AA212" s="127" t="str">
        <f>IF(INDEX(WGmin,MATCH(Table36[[#This Row],[Grist]],SMI,0))="-","-",IF(Table36[[#This Row],[%Wet Gluten]]="-","-",IF(Table36[[#This Row],[%Wet Gluten]]&lt;INDEX(WGmin,MATCH(Table36[[#This Row],[Grist]],SMI,0)),0,IF(Table36[[#This Row],[%Wet Gluten]]&gt;INDEX(WGmax,MATCH(Table36[[#This Row],[Grist]],SMI,0)),0,1))))</f>
        <v>-</v>
      </c>
      <c r="AB212" s="127">
        <f>SUM(Table36[[#This Row],[ QI Bran Content]:[QI WG]])</f>
        <v>2</v>
      </c>
      <c r="AC212" s="127">
        <f>COUNT(Table36[[#This Row],[ QI Bran Content]:[QI WG]])</f>
        <v>3</v>
      </c>
    </row>
    <row r="213" spans="1:29" x14ac:dyDescent="0.35">
      <c r="A213" s="177">
        <v>45292</v>
      </c>
      <c r="B213" s="178">
        <v>45319</v>
      </c>
      <c r="C213" s="178" t="s">
        <v>130</v>
      </c>
      <c r="D213" s="179">
        <v>1.125</v>
      </c>
      <c r="E213" s="180" t="s">
        <v>1</v>
      </c>
      <c r="F213" s="181" t="s">
        <v>241</v>
      </c>
      <c r="G213" s="182">
        <v>5.28E-2</v>
      </c>
      <c r="H213" s="175" t="s">
        <v>165</v>
      </c>
      <c r="I213" s="175" t="s">
        <v>165</v>
      </c>
      <c r="J213" s="175" t="s">
        <v>165</v>
      </c>
      <c r="K213" s="175">
        <v>11.08</v>
      </c>
      <c r="L213" s="175" t="s">
        <v>163</v>
      </c>
      <c r="M213" s="175" t="s">
        <v>163</v>
      </c>
      <c r="N213" s="175" t="s">
        <v>163</v>
      </c>
      <c r="O213" s="175" t="s">
        <v>163</v>
      </c>
      <c r="P213" s="175" t="s">
        <v>163</v>
      </c>
      <c r="Q213" s="175" t="s">
        <v>163</v>
      </c>
      <c r="R213" s="127">
        <f>IF(Table36[[#This Row],[ Bran Content]]="-","-",IF(G213&lt;0.02,1,0))</f>
        <v>0</v>
      </c>
      <c r="S213" s="127">
        <f>IF(Table36[[#This Row],[Sieve Test]]="-","-",IF(Table36[[#This Row],[Sieve Test]]="P",1,0))</f>
        <v>1</v>
      </c>
      <c r="T213" s="127">
        <f>IF(Table36[[#This Row],[Odor]]="-","-",IF(Table36[[#This Row],[Odor]]="P",1,0))</f>
        <v>1</v>
      </c>
      <c r="U213" s="127" t="str">
        <f>IF(INDEX(MCmin,MATCH(Table36[[#This Row],[Grist]],SMI,0))="-","-",IF(Table36[[#This Row],[F1 %MC]]="-","-",IF(Table36[[#This Row],[F1 %MC]]&lt;INDEX(MCmin,MATCH(Table36[[#This Row],[Grist]],SMI,0)),0,IF(Table36[[#This Row],[F1 %MC]]&gt;INDEX(MCmax,MATCH(Table36[[#This Row],[Grist]],SMI,0)),0,1))))</f>
        <v>-</v>
      </c>
      <c r="V213" s="127" t="str">
        <f>IF(INDEX(Protmin,MATCH(Table36[[#This Row],[Grist]],SMI,0))="-","-",IF(Table36[[#This Row],[%Protein]]="-","-",IF(Table36[[#This Row],[%Protein]]&lt;INDEX(Protmin,MATCH(Table36[[#This Row],[Grist]],SMI,0)),0,IF(Table36[[#This Row],[%Protein]]&gt;INDEX(Protmax,MATCH(Table36[[#This Row],[Grist]],SMI,0)),0,1))))</f>
        <v>-</v>
      </c>
      <c r="W213" s="127" t="str">
        <f>IF(INDEX(Ashmin,MATCH(Table36[[#This Row],[Grist]],SMI,0))="-","-",IF(Table36[[#This Row],[%Ash]]="-","-",IF(Table36[[#This Row],[%Ash]]&lt;INDEX(Ashmin,MATCH(Table36[[#This Row],[Grist]],SMI,0)),0,IF(Table36[[#This Row],[%Ash]]&gt;INDEX(Ashmax,MATCH(Table36[[#This Row],[Grist]],SMI,0)),0,1))))</f>
        <v>-</v>
      </c>
      <c r="X213" s="127" t="str">
        <f>IF(INDEX(Absmin,MATCH(Table36[[#This Row],[Grist]],SMI,0))="-","-",IF(Table36[[#This Row],[%Absorption]]="-","-",IF(Table36[[#This Row],[%Absorption]]&lt;INDEX(Absmin,MATCH(Table36[[#This Row],[Grist]],SMI,0)),0,IF(Table36[[#This Row],[%Absorption]]&gt;INDEX(Absmax,MATCH(Table36[[#This Row],[Grist]],SMI,0)),0,1))))</f>
        <v>-</v>
      </c>
      <c r="Y213" s="127" t="str">
        <f>IF(INDEX(Extmin,MATCH(Table36[[#This Row],[Grist]],SMI,0))="-","-",IF(Table36[[#This Row],[%Extensibility]]="-","-",IF(Table36[[#This Row],[%Extensibility]]&lt;INDEX(Extmin,MATCH(Table36[[#This Row],[Grist]],SMI,0)),0,IF(Table36[[#This Row],[%Extensibility]]&gt;INDEX(Extmax,MATCH(Table36[[#This Row],[Grist]],SMI,0)),0,1))))</f>
        <v>-</v>
      </c>
      <c r="Z213" s="127" t="str">
        <f>IF(INDEX(Resmin,MATCH(Table36[[#This Row],[Grist]],SMI,0))="-","-",IF(Table36[[#This Row],[Resistance, max]]="-","-",IF(Table36[[#This Row],[Resistance, max]]&lt;INDEX(Resmin,MATCH(Table36[[#This Row],[Grist]],SMI,0)),0,IF(Table36[[#This Row],[Resistance, max]]&gt;INDEX(Resmax,MATCH(Table36[[#This Row],[Grist]],SMI,0)),0,1))))</f>
        <v>-</v>
      </c>
      <c r="AA213" s="127" t="str">
        <f>IF(INDEX(WGmin,MATCH(Table36[[#This Row],[Grist]],SMI,0))="-","-",IF(Table36[[#This Row],[%Wet Gluten]]="-","-",IF(Table36[[#This Row],[%Wet Gluten]]&lt;INDEX(WGmin,MATCH(Table36[[#This Row],[Grist]],SMI,0)),0,IF(Table36[[#This Row],[%Wet Gluten]]&gt;INDEX(WGmax,MATCH(Table36[[#This Row],[Grist]],SMI,0)),0,1))))</f>
        <v>-</v>
      </c>
      <c r="AB213" s="127">
        <f>SUM(Table36[[#This Row],[ QI Bran Content]:[QI WG]])</f>
        <v>2</v>
      </c>
      <c r="AC213" s="127">
        <f>COUNT(Table36[[#This Row],[ QI Bran Content]:[QI WG]])</f>
        <v>3</v>
      </c>
    </row>
    <row r="214" spans="1:29" x14ac:dyDescent="0.35">
      <c r="A214" s="177">
        <v>45292</v>
      </c>
      <c r="B214" s="178">
        <v>45319</v>
      </c>
      <c r="C214" s="178" t="s">
        <v>130</v>
      </c>
      <c r="D214" s="179">
        <v>1.2083333333333299</v>
      </c>
      <c r="E214" s="180" t="s">
        <v>1</v>
      </c>
      <c r="F214" s="181" t="s">
        <v>241</v>
      </c>
      <c r="G214" s="182">
        <v>3.15E-2</v>
      </c>
      <c r="H214" s="175" t="s">
        <v>165</v>
      </c>
      <c r="I214" s="175" t="s">
        <v>165</v>
      </c>
      <c r="J214" s="175" t="s">
        <v>165</v>
      </c>
      <c r="K214" s="175">
        <v>10.86</v>
      </c>
      <c r="L214" s="175" t="s">
        <v>163</v>
      </c>
      <c r="M214" s="175" t="s">
        <v>163</v>
      </c>
      <c r="N214" s="175" t="s">
        <v>163</v>
      </c>
      <c r="O214" s="175" t="s">
        <v>163</v>
      </c>
      <c r="P214" s="175" t="s">
        <v>163</v>
      </c>
      <c r="Q214" s="175" t="s">
        <v>163</v>
      </c>
      <c r="R214" s="127">
        <f>IF(Table36[[#This Row],[ Bran Content]]="-","-",IF(G214&lt;0.02,1,0))</f>
        <v>0</v>
      </c>
      <c r="S214" s="127">
        <f>IF(Table36[[#This Row],[Sieve Test]]="-","-",IF(Table36[[#This Row],[Sieve Test]]="P",1,0))</f>
        <v>1</v>
      </c>
      <c r="T214" s="127">
        <f>IF(Table36[[#This Row],[Odor]]="-","-",IF(Table36[[#This Row],[Odor]]="P",1,0))</f>
        <v>1</v>
      </c>
      <c r="U214" s="127" t="str">
        <f>IF(INDEX(MCmin,MATCH(Table36[[#This Row],[Grist]],SMI,0))="-","-",IF(Table36[[#This Row],[F1 %MC]]="-","-",IF(Table36[[#This Row],[F1 %MC]]&lt;INDEX(MCmin,MATCH(Table36[[#This Row],[Grist]],SMI,0)),0,IF(Table36[[#This Row],[F1 %MC]]&gt;INDEX(MCmax,MATCH(Table36[[#This Row],[Grist]],SMI,0)),0,1))))</f>
        <v>-</v>
      </c>
      <c r="V214" s="127" t="str">
        <f>IF(INDEX(Protmin,MATCH(Table36[[#This Row],[Grist]],SMI,0))="-","-",IF(Table36[[#This Row],[%Protein]]="-","-",IF(Table36[[#This Row],[%Protein]]&lt;INDEX(Protmin,MATCH(Table36[[#This Row],[Grist]],SMI,0)),0,IF(Table36[[#This Row],[%Protein]]&gt;INDEX(Protmax,MATCH(Table36[[#This Row],[Grist]],SMI,0)),0,1))))</f>
        <v>-</v>
      </c>
      <c r="W214" s="127" t="str">
        <f>IF(INDEX(Ashmin,MATCH(Table36[[#This Row],[Grist]],SMI,0))="-","-",IF(Table36[[#This Row],[%Ash]]="-","-",IF(Table36[[#This Row],[%Ash]]&lt;INDEX(Ashmin,MATCH(Table36[[#This Row],[Grist]],SMI,0)),0,IF(Table36[[#This Row],[%Ash]]&gt;INDEX(Ashmax,MATCH(Table36[[#This Row],[Grist]],SMI,0)),0,1))))</f>
        <v>-</v>
      </c>
      <c r="X214" s="127" t="str">
        <f>IF(INDEX(Absmin,MATCH(Table36[[#This Row],[Grist]],SMI,0))="-","-",IF(Table36[[#This Row],[%Absorption]]="-","-",IF(Table36[[#This Row],[%Absorption]]&lt;INDEX(Absmin,MATCH(Table36[[#This Row],[Grist]],SMI,0)),0,IF(Table36[[#This Row],[%Absorption]]&gt;INDEX(Absmax,MATCH(Table36[[#This Row],[Grist]],SMI,0)),0,1))))</f>
        <v>-</v>
      </c>
      <c r="Y214" s="127" t="str">
        <f>IF(INDEX(Extmin,MATCH(Table36[[#This Row],[Grist]],SMI,0))="-","-",IF(Table36[[#This Row],[%Extensibility]]="-","-",IF(Table36[[#This Row],[%Extensibility]]&lt;INDEX(Extmin,MATCH(Table36[[#This Row],[Grist]],SMI,0)),0,IF(Table36[[#This Row],[%Extensibility]]&gt;INDEX(Extmax,MATCH(Table36[[#This Row],[Grist]],SMI,0)),0,1))))</f>
        <v>-</v>
      </c>
      <c r="Z214" s="127" t="str">
        <f>IF(INDEX(Resmin,MATCH(Table36[[#This Row],[Grist]],SMI,0))="-","-",IF(Table36[[#This Row],[Resistance, max]]="-","-",IF(Table36[[#This Row],[Resistance, max]]&lt;INDEX(Resmin,MATCH(Table36[[#This Row],[Grist]],SMI,0)),0,IF(Table36[[#This Row],[Resistance, max]]&gt;INDEX(Resmax,MATCH(Table36[[#This Row],[Grist]],SMI,0)),0,1))))</f>
        <v>-</v>
      </c>
      <c r="AA214" s="127" t="str">
        <f>IF(INDEX(WGmin,MATCH(Table36[[#This Row],[Grist]],SMI,0))="-","-",IF(Table36[[#This Row],[%Wet Gluten]]="-","-",IF(Table36[[#This Row],[%Wet Gluten]]&lt;INDEX(WGmin,MATCH(Table36[[#This Row],[Grist]],SMI,0)),0,IF(Table36[[#This Row],[%Wet Gluten]]&gt;INDEX(WGmax,MATCH(Table36[[#This Row],[Grist]],SMI,0)),0,1))))</f>
        <v>-</v>
      </c>
      <c r="AB214" s="127">
        <f>SUM(Table36[[#This Row],[ QI Bran Content]:[QI WG]])</f>
        <v>2</v>
      </c>
      <c r="AC214" s="127">
        <f>COUNT(Table36[[#This Row],[ QI Bran Content]:[QI WG]])</f>
        <v>3</v>
      </c>
    </row>
    <row r="215" spans="1:29" x14ac:dyDescent="0.35">
      <c r="A215" s="177">
        <v>45292</v>
      </c>
      <c r="B215" s="178">
        <v>45320</v>
      </c>
      <c r="C215" s="178" t="s">
        <v>125</v>
      </c>
      <c r="D215" s="179" t="s">
        <v>239</v>
      </c>
      <c r="E215" s="180" t="s">
        <v>0</v>
      </c>
      <c r="F215" s="181" t="s">
        <v>40</v>
      </c>
      <c r="G215" s="182">
        <v>3.3E-3</v>
      </c>
      <c r="H215" s="175" t="s">
        <v>165</v>
      </c>
      <c r="I215" s="175" t="s">
        <v>165</v>
      </c>
      <c r="J215" s="175" t="s">
        <v>165</v>
      </c>
      <c r="K215" s="175">
        <v>11.86</v>
      </c>
      <c r="L215" s="175">
        <v>9.5</v>
      </c>
      <c r="M215" s="175">
        <v>0.55000000000000004</v>
      </c>
      <c r="N215" s="175">
        <v>66.3</v>
      </c>
      <c r="O215" s="175">
        <v>11.9</v>
      </c>
      <c r="P215" s="175">
        <v>517</v>
      </c>
      <c r="Q215" s="175">
        <v>35.799999999999997</v>
      </c>
      <c r="R215" s="127">
        <f>IF(Table36[[#This Row],[ Bran Content]]="-","-",IF(G215&lt;0.02,1,0))</f>
        <v>1</v>
      </c>
      <c r="S215" s="127">
        <f>IF(Table36[[#This Row],[Sieve Test]]="-","-",IF(Table36[[#This Row],[Sieve Test]]="P",1,0))</f>
        <v>1</v>
      </c>
      <c r="T215" s="127">
        <f>IF(Table36[[#This Row],[Odor]]="-","-",IF(Table36[[#This Row],[Odor]]="P",1,0))</f>
        <v>1</v>
      </c>
      <c r="U215" s="127">
        <f>IF(INDEX(MCmin,MATCH(Table36[[#This Row],[Grist]],SMI,0))="-","-",IF(Table36[[#This Row],[F1 %MC]]="-","-",IF(Table36[[#This Row],[F1 %MC]]&lt;INDEX(MCmin,MATCH(Table36[[#This Row],[Grist]],SMI,0)),0,IF(Table36[[#This Row],[F1 %MC]]&gt;INDEX(MCmax,MATCH(Table36[[#This Row],[Grist]],SMI,0)),0,1))))</f>
        <v>0</v>
      </c>
      <c r="V215" s="127">
        <f>IF(INDEX(Protmin,MATCH(Table36[[#This Row],[Grist]],SMI,0))="-","-",IF(Table36[[#This Row],[%Protein]]="-","-",IF(Table36[[#This Row],[%Protein]]&lt;INDEX(Protmin,MATCH(Table36[[#This Row],[Grist]],SMI,0)),0,IF(Table36[[#This Row],[%Protein]]&gt;INDEX(Protmax,MATCH(Table36[[#This Row],[Grist]],SMI,0)),0,1))))</f>
        <v>0</v>
      </c>
      <c r="W215" s="127">
        <f>IF(INDEX(Ashmin,MATCH(Table36[[#This Row],[Grist]],SMI,0))="-","-",IF(Table36[[#This Row],[%Ash]]="-","-",IF(Table36[[#This Row],[%Ash]]&lt;INDEX(Ashmin,MATCH(Table36[[#This Row],[Grist]],SMI,0)),0,IF(Table36[[#This Row],[%Ash]]&gt;INDEX(Ashmax,MATCH(Table36[[#This Row],[Grist]],SMI,0)),0,1))))</f>
        <v>1</v>
      </c>
      <c r="X215" s="127">
        <f>IF(INDEX(Absmin,MATCH(Table36[[#This Row],[Grist]],SMI,0))="-","-",IF(Table36[[#This Row],[%Absorption]]="-","-",IF(Table36[[#This Row],[%Absorption]]&lt;INDEX(Absmin,MATCH(Table36[[#This Row],[Grist]],SMI,0)),0,IF(Table36[[#This Row],[%Absorption]]&gt;INDEX(Absmax,MATCH(Table36[[#This Row],[Grist]],SMI,0)),0,1))))</f>
        <v>1</v>
      </c>
      <c r="Y215" s="127">
        <f>IF(INDEX(Extmin,MATCH(Table36[[#This Row],[Grist]],SMI,0))="-","-",IF(Table36[[#This Row],[%Extensibility]]="-","-",IF(Table36[[#This Row],[%Extensibility]]&lt;INDEX(Extmin,MATCH(Table36[[#This Row],[Grist]],SMI,0)),0,IF(Table36[[#This Row],[%Extensibility]]&gt;INDEX(Extmax,MATCH(Table36[[#This Row],[Grist]],SMI,0)),0,1))))</f>
        <v>0</v>
      </c>
      <c r="Z215" s="127">
        <f>IF(INDEX(Resmin,MATCH(Table36[[#This Row],[Grist]],SMI,0))="-","-",IF(Table36[[#This Row],[Resistance, max]]="-","-",IF(Table36[[#This Row],[Resistance, max]]&lt;INDEX(Resmin,MATCH(Table36[[#This Row],[Grist]],SMI,0)),0,IF(Table36[[#This Row],[Resistance, max]]&gt;INDEX(Resmax,MATCH(Table36[[#This Row],[Grist]],SMI,0)),0,1))))</f>
        <v>0</v>
      </c>
      <c r="AA215" s="127">
        <f>IF(INDEX(WGmin,MATCH(Table36[[#This Row],[Grist]],SMI,0))="-","-",IF(Table36[[#This Row],[%Wet Gluten]]="-","-",IF(Table36[[#This Row],[%Wet Gluten]]&lt;INDEX(WGmin,MATCH(Table36[[#This Row],[Grist]],SMI,0)),0,IF(Table36[[#This Row],[%Wet Gluten]]&gt;INDEX(WGmax,MATCH(Table36[[#This Row],[Grist]],SMI,0)),0,1))))</f>
        <v>1</v>
      </c>
      <c r="AB215" s="127">
        <f>SUM(Table36[[#This Row],[ QI Bran Content]:[QI WG]])</f>
        <v>6</v>
      </c>
      <c r="AC215" s="127">
        <f>COUNT(Table36[[#This Row],[ QI Bran Content]:[QI WG]])</f>
        <v>10</v>
      </c>
    </row>
    <row r="216" spans="1:29" x14ac:dyDescent="0.35">
      <c r="A216" s="177">
        <v>45292</v>
      </c>
      <c r="B216" s="178">
        <v>45320</v>
      </c>
      <c r="C216" s="178" t="s">
        <v>125</v>
      </c>
      <c r="D216" s="179" t="s">
        <v>240</v>
      </c>
      <c r="E216" s="180" t="s">
        <v>0</v>
      </c>
      <c r="F216" s="181" t="s">
        <v>40</v>
      </c>
      <c r="G216" s="182">
        <v>6.1000000000000004E-3</v>
      </c>
      <c r="H216" s="175" t="s">
        <v>165</v>
      </c>
      <c r="I216" s="175" t="s">
        <v>165</v>
      </c>
      <c r="J216" s="175" t="s">
        <v>165</v>
      </c>
      <c r="K216" s="175">
        <v>11.45</v>
      </c>
      <c r="L216" s="175" t="s">
        <v>163</v>
      </c>
      <c r="M216" s="175" t="s">
        <v>163</v>
      </c>
      <c r="N216" s="175" t="s">
        <v>163</v>
      </c>
      <c r="O216" s="175" t="s">
        <v>163</v>
      </c>
      <c r="P216" s="175" t="s">
        <v>163</v>
      </c>
      <c r="Q216" s="175" t="s">
        <v>163</v>
      </c>
      <c r="R216" s="127">
        <f>IF(Table36[[#This Row],[ Bran Content]]="-","-",IF(G216&lt;0.02,1,0))</f>
        <v>1</v>
      </c>
      <c r="S216" s="127">
        <f>IF(Table36[[#This Row],[Sieve Test]]="-","-",IF(Table36[[#This Row],[Sieve Test]]="P",1,0))</f>
        <v>1</v>
      </c>
      <c r="T216" s="127">
        <f>IF(Table36[[#This Row],[Odor]]="-","-",IF(Table36[[#This Row],[Odor]]="P",1,0))</f>
        <v>1</v>
      </c>
      <c r="U216" s="127">
        <f>IF(INDEX(MCmin,MATCH(Table36[[#This Row],[Grist]],SMI,0))="-","-",IF(Table36[[#This Row],[F1 %MC]]="-","-",IF(Table36[[#This Row],[F1 %MC]]&lt;INDEX(MCmin,MATCH(Table36[[#This Row],[Grist]],SMI,0)),0,IF(Table36[[#This Row],[F1 %MC]]&gt;INDEX(MCmax,MATCH(Table36[[#This Row],[Grist]],SMI,0)),0,1))))</f>
        <v>0</v>
      </c>
      <c r="V216" s="127" t="str">
        <f>IF(INDEX(Protmin,MATCH(Table36[[#This Row],[Grist]],SMI,0))="-","-",IF(Table36[[#This Row],[%Protein]]="-","-",IF(Table36[[#This Row],[%Protein]]&lt;INDEX(Protmin,MATCH(Table36[[#This Row],[Grist]],SMI,0)),0,IF(Table36[[#This Row],[%Protein]]&gt;INDEX(Protmax,MATCH(Table36[[#This Row],[Grist]],SMI,0)),0,1))))</f>
        <v>-</v>
      </c>
      <c r="W216" s="127" t="str">
        <f>IF(INDEX(Ashmin,MATCH(Table36[[#This Row],[Grist]],SMI,0))="-","-",IF(Table36[[#This Row],[%Ash]]="-","-",IF(Table36[[#This Row],[%Ash]]&lt;INDEX(Ashmin,MATCH(Table36[[#This Row],[Grist]],SMI,0)),0,IF(Table36[[#This Row],[%Ash]]&gt;INDEX(Ashmax,MATCH(Table36[[#This Row],[Grist]],SMI,0)),0,1))))</f>
        <v>-</v>
      </c>
      <c r="X216" s="127" t="str">
        <f>IF(INDEX(Absmin,MATCH(Table36[[#This Row],[Grist]],SMI,0))="-","-",IF(Table36[[#This Row],[%Absorption]]="-","-",IF(Table36[[#This Row],[%Absorption]]&lt;INDEX(Absmin,MATCH(Table36[[#This Row],[Grist]],SMI,0)),0,IF(Table36[[#This Row],[%Absorption]]&gt;INDEX(Absmax,MATCH(Table36[[#This Row],[Grist]],SMI,0)),0,1))))</f>
        <v>-</v>
      </c>
      <c r="Y216" s="127" t="str">
        <f>IF(INDEX(Extmin,MATCH(Table36[[#This Row],[Grist]],SMI,0))="-","-",IF(Table36[[#This Row],[%Extensibility]]="-","-",IF(Table36[[#This Row],[%Extensibility]]&lt;INDEX(Extmin,MATCH(Table36[[#This Row],[Grist]],SMI,0)),0,IF(Table36[[#This Row],[%Extensibility]]&gt;INDEX(Extmax,MATCH(Table36[[#This Row],[Grist]],SMI,0)),0,1))))</f>
        <v>-</v>
      </c>
      <c r="Z216" s="127" t="str">
        <f>IF(INDEX(Resmin,MATCH(Table36[[#This Row],[Grist]],SMI,0))="-","-",IF(Table36[[#This Row],[Resistance, max]]="-","-",IF(Table36[[#This Row],[Resistance, max]]&lt;INDEX(Resmin,MATCH(Table36[[#This Row],[Grist]],SMI,0)),0,IF(Table36[[#This Row],[Resistance, max]]&gt;INDEX(Resmax,MATCH(Table36[[#This Row],[Grist]],SMI,0)),0,1))))</f>
        <v>-</v>
      </c>
      <c r="AA216" s="127" t="str">
        <f>IF(INDEX(WGmin,MATCH(Table36[[#This Row],[Grist]],SMI,0))="-","-",IF(Table36[[#This Row],[%Wet Gluten]]="-","-",IF(Table36[[#This Row],[%Wet Gluten]]&lt;INDEX(WGmin,MATCH(Table36[[#This Row],[Grist]],SMI,0)),0,IF(Table36[[#This Row],[%Wet Gluten]]&gt;INDEX(WGmax,MATCH(Table36[[#This Row],[Grist]],SMI,0)),0,1))))</f>
        <v>-</v>
      </c>
      <c r="AB216" s="127">
        <f>SUM(Table36[[#This Row],[ QI Bran Content]:[QI WG]])</f>
        <v>3</v>
      </c>
      <c r="AC216" s="127">
        <f>COUNT(Table36[[#This Row],[ QI Bran Content]:[QI WG]])</f>
        <v>4</v>
      </c>
    </row>
    <row r="217" spans="1:29" x14ac:dyDescent="0.35">
      <c r="A217" s="177">
        <v>45292</v>
      </c>
      <c r="B217" s="178">
        <v>45320</v>
      </c>
      <c r="C217" s="178" t="s">
        <v>125</v>
      </c>
      <c r="D217" s="179" t="s">
        <v>237</v>
      </c>
      <c r="E217" s="180" t="s">
        <v>0</v>
      </c>
      <c r="F217" s="181" t="s">
        <v>27</v>
      </c>
      <c r="G217" s="182">
        <v>8.9999999999999993E-3</v>
      </c>
      <c r="H217" s="175" t="s">
        <v>165</v>
      </c>
      <c r="I217" s="175" t="s">
        <v>165</v>
      </c>
      <c r="J217" s="175" t="s">
        <v>165</v>
      </c>
      <c r="K217" s="175">
        <v>11.72</v>
      </c>
      <c r="L217" s="175" t="s">
        <v>163</v>
      </c>
      <c r="M217" s="175" t="s">
        <v>163</v>
      </c>
      <c r="N217" s="175" t="s">
        <v>163</v>
      </c>
      <c r="O217" s="175" t="s">
        <v>163</v>
      </c>
      <c r="P217" s="175" t="s">
        <v>163</v>
      </c>
      <c r="Q217" s="175" t="s">
        <v>163</v>
      </c>
      <c r="R217" s="127">
        <f>IF(Table36[[#This Row],[ Bran Content]]="-","-",IF(G217&lt;0.02,1,0))</f>
        <v>1</v>
      </c>
      <c r="S217" s="127">
        <f>IF(Table36[[#This Row],[Sieve Test]]="-","-",IF(Table36[[#This Row],[Sieve Test]]="P",1,0))</f>
        <v>1</v>
      </c>
      <c r="T217" s="127">
        <f>IF(Table36[[#This Row],[Odor]]="-","-",IF(Table36[[#This Row],[Odor]]="P",1,0))</f>
        <v>1</v>
      </c>
      <c r="U217" s="127">
        <f>IF(INDEX(MCmin,MATCH(Table36[[#This Row],[Grist]],SMI,0))="-","-",IF(Table36[[#This Row],[F1 %MC]]="-","-",IF(Table36[[#This Row],[F1 %MC]]&lt;INDEX(MCmin,MATCH(Table36[[#This Row],[Grist]],SMI,0)),0,IF(Table36[[#This Row],[F1 %MC]]&gt;INDEX(MCmax,MATCH(Table36[[#This Row],[Grist]],SMI,0)),0,1))))</f>
        <v>0</v>
      </c>
      <c r="V217" s="127" t="str">
        <f>IF(INDEX(Protmin,MATCH(Table36[[#This Row],[Grist]],SMI,0))="-","-",IF(Table36[[#This Row],[%Protein]]="-","-",IF(Table36[[#This Row],[%Protein]]&lt;INDEX(Protmin,MATCH(Table36[[#This Row],[Grist]],SMI,0)),0,IF(Table36[[#This Row],[%Protein]]&gt;INDEX(Protmax,MATCH(Table36[[#This Row],[Grist]],SMI,0)),0,1))))</f>
        <v>-</v>
      </c>
      <c r="W217" s="127" t="str">
        <f>IF(INDEX(Ashmin,MATCH(Table36[[#This Row],[Grist]],SMI,0))="-","-",IF(Table36[[#This Row],[%Ash]]="-","-",IF(Table36[[#This Row],[%Ash]]&lt;INDEX(Ashmin,MATCH(Table36[[#This Row],[Grist]],SMI,0)),0,IF(Table36[[#This Row],[%Ash]]&gt;INDEX(Ashmax,MATCH(Table36[[#This Row],[Grist]],SMI,0)),0,1))))</f>
        <v>-</v>
      </c>
      <c r="X217" s="127" t="str">
        <f>IF(INDEX(Absmin,MATCH(Table36[[#This Row],[Grist]],SMI,0))="-","-",IF(Table36[[#This Row],[%Absorption]]="-","-",IF(Table36[[#This Row],[%Absorption]]&lt;INDEX(Absmin,MATCH(Table36[[#This Row],[Grist]],SMI,0)),0,IF(Table36[[#This Row],[%Absorption]]&gt;INDEX(Absmax,MATCH(Table36[[#This Row],[Grist]],SMI,0)),0,1))))</f>
        <v>-</v>
      </c>
      <c r="Y217" s="127" t="str">
        <f>IF(INDEX(Extmin,MATCH(Table36[[#This Row],[Grist]],SMI,0))="-","-",IF(Table36[[#This Row],[%Extensibility]]="-","-",IF(Table36[[#This Row],[%Extensibility]]&lt;INDEX(Extmin,MATCH(Table36[[#This Row],[Grist]],SMI,0)),0,IF(Table36[[#This Row],[%Extensibility]]&gt;INDEX(Extmax,MATCH(Table36[[#This Row],[Grist]],SMI,0)),0,1))))</f>
        <v>-</v>
      </c>
      <c r="Z217" s="127" t="str">
        <f>IF(INDEX(Resmin,MATCH(Table36[[#This Row],[Grist]],SMI,0))="-","-",IF(Table36[[#This Row],[Resistance, max]]="-","-",IF(Table36[[#This Row],[Resistance, max]]&lt;INDEX(Resmin,MATCH(Table36[[#This Row],[Grist]],SMI,0)),0,IF(Table36[[#This Row],[Resistance, max]]&gt;INDEX(Resmax,MATCH(Table36[[#This Row],[Grist]],SMI,0)),0,1))))</f>
        <v>-</v>
      </c>
      <c r="AA217" s="127" t="str">
        <f>IF(INDEX(WGmin,MATCH(Table36[[#This Row],[Grist]],SMI,0))="-","-",IF(Table36[[#This Row],[%Wet Gluten]]="-","-",IF(Table36[[#This Row],[%Wet Gluten]]&lt;INDEX(WGmin,MATCH(Table36[[#This Row],[Grist]],SMI,0)),0,IF(Table36[[#This Row],[%Wet Gluten]]&gt;INDEX(WGmax,MATCH(Table36[[#This Row],[Grist]],SMI,0)),0,1))))</f>
        <v>-</v>
      </c>
      <c r="AB217" s="127">
        <f>SUM(Table36[[#This Row],[ QI Bran Content]:[QI WG]])</f>
        <v>3</v>
      </c>
      <c r="AC217" s="127">
        <f>COUNT(Table36[[#This Row],[ QI Bran Content]:[QI WG]])</f>
        <v>4</v>
      </c>
    </row>
    <row r="218" spans="1:29" x14ac:dyDescent="0.35">
      <c r="A218" s="177">
        <v>45292</v>
      </c>
      <c r="B218" s="178">
        <v>45320</v>
      </c>
      <c r="C218" s="178" t="s">
        <v>125</v>
      </c>
      <c r="D218" s="179" t="s">
        <v>238</v>
      </c>
      <c r="E218" s="180" t="s">
        <v>0</v>
      </c>
      <c r="F218" s="181" t="s">
        <v>27</v>
      </c>
      <c r="G218" s="182">
        <v>8.6E-3</v>
      </c>
      <c r="H218" s="175" t="s">
        <v>165</v>
      </c>
      <c r="I218" s="175" t="s">
        <v>165</v>
      </c>
      <c r="J218" s="175" t="s">
        <v>165</v>
      </c>
      <c r="K218" s="175">
        <v>11.35</v>
      </c>
      <c r="L218" s="175" t="s">
        <v>163</v>
      </c>
      <c r="M218" s="175" t="s">
        <v>163</v>
      </c>
      <c r="N218" s="175" t="s">
        <v>163</v>
      </c>
      <c r="O218" s="175" t="s">
        <v>163</v>
      </c>
      <c r="P218" s="175" t="s">
        <v>163</v>
      </c>
      <c r="Q218" s="175" t="s">
        <v>163</v>
      </c>
      <c r="R218" s="127">
        <f>IF(Table36[[#This Row],[ Bran Content]]="-","-",IF(G218&lt;0.02,1,0))</f>
        <v>1</v>
      </c>
      <c r="S218" s="127">
        <f>IF(Table36[[#This Row],[Sieve Test]]="-","-",IF(Table36[[#This Row],[Sieve Test]]="P",1,0))</f>
        <v>1</v>
      </c>
      <c r="T218" s="127">
        <f>IF(Table36[[#This Row],[Odor]]="-","-",IF(Table36[[#This Row],[Odor]]="P",1,0))</f>
        <v>1</v>
      </c>
      <c r="U218" s="127">
        <f>IF(INDEX(MCmin,MATCH(Table36[[#This Row],[Grist]],SMI,0))="-","-",IF(Table36[[#This Row],[F1 %MC]]="-","-",IF(Table36[[#This Row],[F1 %MC]]&lt;INDEX(MCmin,MATCH(Table36[[#This Row],[Grist]],SMI,0)),0,IF(Table36[[#This Row],[F1 %MC]]&gt;INDEX(MCmax,MATCH(Table36[[#This Row],[Grist]],SMI,0)),0,1))))</f>
        <v>0</v>
      </c>
      <c r="V218" s="127" t="str">
        <f>IF(INDEX(Protmin,MATCH(Table36[[#This Row],[Grist]],SMI,0))="-","-",IF(Table36[[#This Row],[%Protein]]="-","-",IF(Table36[[#This Row],[%Protein]]&lt;INDEX(Protmin,MATCH(Table36[[#This Row],[Grist]],SMI,0)),0,IF(Table36[[#This Row],[%Protein]]&gt;INDEX(Protmax,MATCH(Table36[[#This Row],[Grist]],SMI,0)),0,1))))</f>
        <v>-</v>
      </c>
      <c r="W218" s="127" t="str">
        <f>IF(INDEX(Ashmin,MATCH(Table36[[#This Row],[Grist]],SMI,0))="-","-",IF(Table36[[#This Row],[%Ash]]="-","-",IF(Table36[[#This Row],[%Ash]]&lt;INDEX(Ashmin,MATCH(Table36[[#This Row],[Grist]],SMI,0)),0,IF(Table36[[#This Row],[%Ash]]&gt;INDEX(Ashmax,MATCH(Table36[[#This Row],[Grist]],SMI,0)),0,1))))</f>
        <v>-</v>
      </c>
      <c r="X218" s="127" t="str">
        <f>IF(INDEX(Absmin,MATCH(Table36[[#This Row],[Grist]],SMI,0))="-","-",IF(Table36[[#This Row],[%Absorption]]="-","-",IF(Table36[[#This Row],[%Absorption]]&lt;INDEX(Absmin,MATCH(Table36[[#This Row],[Grist]],SMI,0)),0,IF(Table36[[#This Row],[%Absorption]]&gt;INDEX(Absmax,MATCH(Table36[[#This Row],[Grist]],SMI,0)),0,1))))</f>
        <v>-</v>
      </c>
      <c r="Y218" s="127" t="str">
        <f>IF(INDEX(Extmin,MATCH(Table36[[#This Row],[Grist]],SMI,0))="-","-",IF(Table36[[#This Row],[%Extensibility]]="-","-",IF(Table36[[#This Row],[%Extensibility]]&lt;INDEX(Extmin,MATCH(Table36[[#This Row],[Grist]],SMI,0)),0,IF(Table36[[#This Row],[%Extensibility]]&gt;INDEX(Extmax,MATCH(Table36[[#This Row],[Grist]],SMI,0)),0,1))))</f>
        <v>-</v>
      </c>
      <c r="Z218" s="127" t="str">
        <f>IF(INDEX(Resmin,MATCH(Table36[[#This Row],[Grist]],SMI,0))="-","-",IF(Table36[[#This Row],[Resistance, max]]="-","-",IF(Table36[[#This Row],[Resistance, max]]&lt;INDEX(Resmin,MATCH(Table36[[#This Row],[Grist]],SMI,0)),0,IF(Table36[[#This Row],[Resistance, max]]&gt;INDEX(Resmax,MATCH(Table36[[#This Row],[Grist]],SMI,0)),0,1))))</f>
        <v>-</v>
      </c>
      <c r="AA218" s="127" t="str">
        <f>IF(INDEX(WGmin,MATCH(Table36[[#This Row],[Grist]],SMI,0))="-","-",IF(Table36[[#This Row],[%Wet Gluten]]="-","-",IF(Table36[[#This Row],[%Wet Gluten]]&lt;INDEX(WGmin,MATCH(Table36[[#This Row],[Grist]],SMI,0)),0,IF(Table36[[#This Row],[%Wet Gluten]]&gt;INDEX(WGmax,MATCH(Table36[[#This Row],[Grist]],SMI,0)),0,1))))</f>
        <v>-</v>
      </c>
      <c r="AB218" s="127">
        <f>SUM(Table36[[#This Row],[ QI Bran Content]:[QI WG]])</f>
        <v>3</v>
      </c>
      <c r="AC218" s="127">
        <f>COUNT(Table36[[#This Row],[ QI Bran Content]:[QI WG]])</f>
        <v>4</v>
      </c>
    </row>
    <row r="219" spans="1:29" x14ac:dyDescent="0.35">
      <c r="A219" s="177">
        <v>45292</v>
      </c>
      <c r="B219" s="178">
        <v>45320</v>
      </c>
      <c r="C219" s="178" t="s">
        <v>125</v>
      </c>
      <c r="D219" s="179" t="s">
        <v>239</v>
      </c>
      <c r="E219" s="180" t="s">
        <v>1</v>
      </c>
      <c r="F219" s="181" t="s">
        <v>241</v>
      </c>
      <c r="G219" s="182" t="s">
        <v>163</v>
      </c>
      <c r="H219" s="175" t="s">
        <v>163</v>
      </c>
      <c r="I219" s="175" t="s">
        <v>163</v>
      </c>
      <c r="J219" s="175" t="s">
        <v>163</v>
      </c>
      <c r="K219" s="175">
        <v>11.16</v>
      </c>
      <c r="L219" s="175" t="s">
        <v>163</v>
      </c>
      <c r="M219" s="175" t="s">
        <v>163</v>
      </c>
      <c r="N219" s="175" t="s">
        <v>163</v>
      </c>
      <c r="O219" s="175" t="s">
        <v>163</v>
      </c>
      <c r="P219" s="175" t="s">
        <v>163</v>
      </c>
      <c r="Q219" s="175" t="s">
        <v>163</v>
      </c>
      <c r="R219" s="127" t="str">
        <f>IF(Table36[[#This Row],[ Bran Content]]="-","-",IF(G219&lt;0.02,1,0))</f>
        <v>-</v>
      </c>
      <c r="S219" s="127" t="str">
        <f>IF(Table36[[#This Row],[Sieve Test]]="-","-",IF(Table36[[#This Row],[Sieve Test]]="P",1,0))</f>
        <v>-</v>
      </c>
      <c r="T219" s="127" t="str">
        <f>IF(Table36[[#This Row],[Odor]]="-","-",IF(Table36[[#This Row],[Odor]]="P",1,0))</f>
        <v>-</v>
      </c>
      <c r="U219" s="127" t="str">
        <f>IF(INDEX(MCmin,MATCH(Table36[[#This Row],[Grist]],SMI,0))="-","-",IF(Table36[[#This Row],[F1 %MC]]="-","-",IF(Table36[[#This Row],[F1 %MC]]&lt;INDEX(MCmin,MATCH(Table36[[#This Row],[Grist]],SMI,0)),0,IF(Table36[[#This Row],[F1 %MC]]&gt;INDEX(MCmax,MATCH(Table36[[#This Row],[Grist]],SMI,0)),0,1))))</f>
        <v>-</v>
      </c>
      <c r="V219" s="127" t="str">
        <f>IF(INDEX(Protmin,MATCH(Table36[[#This Row],[Grist]],SMI,0))="-","-",IF(Table36[[#This Row],[%Protein]]="-","-",IF(Table36[[#This Row],[%Protein]]&lt;INDEX(Protmin,MATCH(Table36[[#This Row],[Grist]],SMI,0)),0,IF(Table36[[#This Row],[%Protein]]&gt;INDEX(Protmax,MATCH(Table36[[#This Row],[Grist]],SMI,0)),0,1))))</f>
        <v>-</v>
      </c>
      <c r="W219" s="127" t="str">
        <f>IF(INDEX(Ashmin,MATCH(Table36[[#This Row],[Grist]],SMI,0))="-","-",IF(Table36[[#This Row],[%Ash]]="-","-",IF(Table36[[#This Row],[%Ash]]&lt;INDEX(Ashmin,MATCH(Table36[[#This Row],[Grist]],SMI,0)),0,IF(Table36[[#This Row],[%Ash]]&gt;INDEX(Ashmax,MATCH(Table36[[#This Row],[Grist]],SMI,0)),0,1))))</f>
        <v>-</v>
      </c>
      <c r="X219" s="127" t="str">
        <f>IF(INDEX(Absmin,MATCH(Table36[[#This Row],[Grist]],SMI,0))="-","-",IF(Table36[[#This Row],[%Absorption]]="-","-",IF(Table36[[#This Row],[%Absorption]]&lt;INDEX(Absmin,MATCH(Table36[[#This Row],[Grist]],SMI,0)),0,IF(Table36[[#This Row],[%Absorption]]&gt;INDEX(Absmax,MATCH(Table36[[#This Row],[Grist]],SMI,0)),0,1))))</f>
        <v>-</v>
      </c>
      <c r="Y219" s="127" t="str">
        <f>IF(INDEX(Extmin,MATCH(Table36[[#This Row],[Grist]],SMI,0))="-","-",IF(Table36[[#This Row],[%Extensibility]]="-","-",IF(Table36[[#This Row],[%Extensibility]]&lt;INDEX(Extmin,MATCH(Table36[[#This Row],[Grist]],SMI,0)),0,IF(Table36[[#This Row],[%Extensibility]]&gt;INDEX(Extmax,MATCH(Table36[[#This Row],[Grist]],SMI,0)),0,1))))</f>
        <v>-</v>
      </c>
      <c r="Z219" s="127" t="str">
        <f>IF(INDEX(Resmin,MATCH(Table36[[#This Row],[Grist]],SMI,0))="-","-",IF(Table36[[#This Row],[Resistance, max]]="-","-",IF(Table36[[#This Row],[Resistance, max]]&lt;INDEX(Resmin,MATCH(Table36[[#This Row],[Grist]],SMI,0)),0,IF(Table36[[#This Row],[Resistance, max]]&gt;INDEX(Resmax,MATCH(Table36[[#This Row],[Grist]],SMI,0)),0,1))))</f>
        <v>-</v>
      </c>
      <c r="AA219" s="127" t="str">
        <f>IF(INDEX(WGmin,MATCH(Table36[[#This Row],[Grist]],SMI,0))="-","-",IF(Table36[[#This Row],[%Wet Gluten]]="-","-",IF(Table36[[#This Row],[%Wet Gluten]]&lt;INDEX(WGmin,MATCH(Table36[[#This Row],[Grist]],SMI,0)),0,IF(Table36[[#This Row],[%Wet Gluten]]&gt;INDEX(WGmax,MATCH(Table36[[#This Row],[Grist]],SMI,0)),0,1))))</f>
        <v>-</v>
      </c>
      <c r="AB219" s="127">
        <f>SUM(Table36[[#This Row],[ QI Bran Content]:[QI WG]])</f>
        <v>0</v>
      </c>
      <c r="AC219" s="127">
        <f>COUNT(Table36[[#This Row],[ QI Bran Content]:[QI WG]])</f>
        <v>0</v>
      </c>
    </row>
    <row r="220" spans="1:29" x14ac:dyDescent="0.35">
      <c r="A220" s="177">
        <v>45292</v>
      </c>
      <c r="B220" s="178">
        <v>45320</v>
      </c>
      <c r="C220" s="178" t="s">
        <v>125</v>
      </c>
      <c r="D220" s="179" t="s">
        <v>240</v>
      </c>
      <c r="E220" s="180" t="s">
        <v>1</v>
      </c>
      <c r="F220" s="181" t="s">
        <v>241</v>
      </c>
      <c r="G220" s="182" t="s">
        <v>163</v>
      </c>
      <c r="H220" s="175" t="s">
        <v>163</v>
      </c>
      <c r="I220" s="175" t="s">
        <v>163</v>
      </c>
      <c r="J220" s="175" t="s">
        <v>163</v>
      </c>
      <c r="K220" s="175">
        <v>10.97</v>
      </c>
      <c r="L220" s="175" t="s">
        <v>163</v>
      </c>
      <c r="M220" s="175" t="s">
        <v>163</v>
      </c>
      <c r="N220" s="175" t="s">
        <v>163</v>
      </c>
      <c r="O220" s="175" t="s">
        <v>163</v>
      </c>
      <c r="P220" s="175" t="s">
        <v>163</v>
      </c>
      <c r="Q220" s="175" t="s">
        <v>163</v>
      </c>
      <c r="R220" s="127" t="str">
        <f>IF(Table36[[#This Row],[ Bran Content]]="-","-",IF(G220&lt;0.02,1,0))</f>
        <v>-</v>
      </c>
      <c r="S220" s="127" t="str">
        <f>IF(Table36[[#This Row],[Sieve Test]]="-","-",IF(Table36[[#This Row],[Sieve Test]]="P",1,0))</f>
        <v>-</v>
      </c>
      <c r="T220" s="127" t="str">
        <f>IF(Table36[[#This Row],[Odor]]="-","-",IF(Table36[[#This Row],[Odor]]="P",1,0))</f>
        <v>-</v>
      </c>
      <c r="U220" s="127" t="str">
        <f>IF(INDEX(MCmin,MATCH(Table36[[#This Row],[Grist]],SMI,0))="-","-",IF(Table36[[#This Row],[F1 %MC]]="-","-",IF(Table36[[#This Row],[F1 %MC]]&lt;INDEX(MCmin,MATCH(Table36[[#This Row],[Grist]],SMI,0)),0,IF(Table36[[#This Row],[F1 %MC]]&gt;INDEX(MCmax,MATCH(Table36[[#This Row],[Grist]],SMI,0)),0,1))))</f>
        <v>-</v>
      </c>
      <c r="V220" s="127" t="str">
        <f>IF(INDEX(Protmin,MATCH(Table36[[#This Row],[Grist]],SMI,0))="-","-",IF(Table36[[#This Row],[%Protein]]="-","-",IF(Table36[[#This Row],[%Protein]]&lt;INDEX(Protmin,MATCH(Table36[[#This Row],[Grist]],SMI,0)),0,IF(Table36[[#This Row],[%Protein]]&gt;INDEX(Protmax,MATCH(Table36[[#This Row],[Grist]],SMI,0)),0,1))))</f>
        <v>-</v>
      </c>
      <c r="W220" s="127" t="str">
        <f>IF(INDEX(Ashmin,MATCH(Table36[[#This Row],[Grist]],SMI,0))="-","-",IF(Table36[[#This Row],[%Ash]]="-","-",IF(Table36[[#This Row],[%Ash]]&lt;INDEX(Ashmin,MATCH(Table36[[#This Row],[Grist]],SMI,0)),0,IF(Table36[[#This Row],[%Ash]]&gt;INDEX(Ashmax,MATCH(Table36[[#This Row],[Grist]],SMI,0)),0,1))))</f>
        <v>-</v>
      </c>
      <c r="X220" s="127" t="str">
        <f>IF(INDEX(Absmin,MATCH(Table36[[#This Row],[Grist]],SMI,0))="-","-",IF(Table36[[#This Row],[%Absorption]]="-","-",IF(Table36[[#This Row],[%Absorption]]&lt;INDEX(Absmin,MATCH(Table36[[#This Row],[Grist]],SMI,0)),0,IF(Table36[[#This Row],[%Absorption]]&gt;INDEX(Absmax,MATCH(Table36[[#This Row],[Grist]],SMI,0)),0,1))))</f>
        <v>-</v>
      </c>
      <c r="Y220" s="127" t="str">
        <f>IF(INDEX(Extmin,MATCH(Table36[[#This Row],[Grist]],SMI,0))="-","-",IF(Table36[[#This Row],[%Extensibility]]="-","-",IF(Table36[[#This Row],[%Extensibility]]&lt;INDEX(Extmin,MATCH(Table36[[#This Row],[Grist]],SMI,0)),0,IF(Table36[[#This Row],[%Extensibility]]&gt;INDEX(Extmax,MATCH(Table36[[#This Row],[Grist]],SMI,0)),0,1))))</f>
        <v>-</v>
      </c>
      <c r="Z220" s="127" t="str">
        <f>IF(INDEX(Resmin,MATCH(Table36[[#This Row],[Grist]],SMI,0))="-","-",IF(Table36[[#This Row],[Resistance, max]]="-","-",IF(Table36[[#This Row],[Resistance, max]]&lt;INDEX(Resmin,MATCH(Table36[[#This Row],[Grist]],SMI,0)),0,IF(Table36[[#This Row],[Resistance, max]]&gt;INDEX(Resmax,MATCH(Table36[[#This Row],[Grist]],SMI,0)),0,1))))</f>
        <v>-</v>
      </c>
      <c r="AA220" s="127" t="str">
        <f>IF(INDEX(WGmin,MATCH(Table36[[#This Row],[Grist]],SMI,0))="-","-",IF(Table36[[#This Row],[%Wet Gluten]]="-","-",IF(Table36[[#This Row],[%Wet Gluten]]&lt;INDEX(WGmin,MATCH(Table36[[#This Row],[Grist]],SMI,0)),0,IF(Table36[[#This Row],[%Wet Gluten]]&gt;INDEX(WGmax,MATCH(Table36[[#This Row],[Grist]],SMI,0)),0,1))))</f>
        <v>-</v>
      </c>
      <c r="AB220" s="127">
        <f>SUM(Table36[[#This Row],[ QI Bran Content]:[QI WG]])</f>
        <v>0</v>
      </c>
      <c r="AC220" s="127">
        <f>COUNT(Table36[[#This Row],[ QI Bran Content]:[QI WG]])</f>
        <v>0</v>
      </c>
    </row>
    <row r="221" spans="1:29" x14ac:dyDescent="0.35">
      <c r="A221" s="177">
        <v>45292</v>
      </c>
      <c r="B221" s="178">
        <v>45320</v>
      </c>
      <c r="C221" s="178" t="s">
        <v>128</v>
      </c>
      <c r="D221" s="179">
        <v>0.625</v>
      </c>
      <c r="E221" s="180" t="s">
        <v>0</v>
      </c>
      <c r="F221" s="181" t="s">
        <v>27</v>
      </c>
      <c r="G221" s="182">
        <v>3.7000000000000002E-3</v>
      </c>
      <c r="H221" s="175" t="s">
        <v>165</v>
      </c>
      <c r="I221" s="175" t="s">
        <v>165</v>
      </c>
      <c r="J221" s="175" t="s">
        <v>165</v>
      </c>
      <c r="K221" s="175">
        <v>11.22</v>
      </c>
      <c r="L221" s="175">
        <v>13.08</v>
      </c>
      <c r="M221" s="175">
        <v>0.6</v>
      </c>
      <c r="N221" s="175">
        <v>65.599999999999994</v>
      </c>
      <c r="O221" s="175" t="s">
        <v>163</v>
      </c>
      <c r="P221" s="175" t="s">
        <v>163</v>
      </c>
      <c r="Q221" s="175">
        <v>37.700000000000003</v>
      </c>
      <c r="R221" s="127">
        <f>IF(Table36[[#This Row],[ Bran Content]]="-","-",IF(G221&lt;0.02,1,0))</f>
        <v>1</v>
      </c>
      <c r="S221" s="127">
        <f>IF(Table36[[#This Row],[Sieve Test]]="-","-",IF(Table36[[#This Row],[Sieve Test]]="P",1,0))</f>
        <v>1</v>
      </c>
      <c r="T221" s="127">
        <f>IF(Table36[[#This Row],[Odor]]="-","-",IF(Table36[[#This Row],[Odor]]="P",1,0))</f>
        <v>1</v>
      </c>
      <c r="U221" s="127">
        <f>IF(INDEX(MCmin,MATCH(Table36[[#This Row],[Grist]],SMI,0))="-","-",IF(Table36[[#This Row],[F1 %MC]]="-","-",IF(Table36[[#This Row],[F1 %MC]]&lt;INDEX(MCmin,MATCH(Table36[[#This Row],[Grist]],SMI,0)),0,IF(Table36[[#This Row],[F1 %MC]]&gt;INDEX(MCmax,MATCH(Table36[[#This Row],[Grist]],SMI,0)),0,1))))</f>
        <v>0</v>
      </c>
      <c r="V221" s="127">
        <f>IF(INDEX(Protmin,MATCH(Table36[[#This Row],[Grist]],SMI,0))="-","-",IF(Table36[[#This Row],[%Protein]]="-","-",IF(Table36[[#This Row],[%Protein]]&lt;INDEX(Protmin,MATCH(Table36[[#This Row],[Grist]],SMI,0)),0,IF(Table36[[#This Row],[%Protein]]&gt;INDEX(Protmax,MATCH(Table36[[#This Row],[Grist]],SMI,0)),0,1))))</f>
        <v>1</v>
      </c>
      <c r="W221" s="127">
        <f>IF(INDEX(Ashmin,MATCH(Table36[[#This Row],[Grist]],SMI,0))="-","-",IF(Table36[[#This Row],[%Ash]]="-","-",IF(Table36[[#This Row],[%Ash]]&lt;INDEX(Ashmin,MATCH(Table36[[#This Row],[Grist]],SMI,0)),0,IF(Table36[[#This Row],[%Ash]]&gt;INDEX(Ashmax,MATCH(Table36[[#This Row],[Grist]],SMI,0)),0,1))))</f>
        <v>1</v>
      </c>
      <c r="X221" s="127">
        <f>IF(INDEX(Absmin,MATCH(Table36[[#This Row],[Grist]],SMI,0))="-","-",IF(Table36[[#This Row],[%Absorption]]="-","-",IF(Table36[[#This Row],[%Absorption]]&lt;INDEX(Absmin,MATCH(Table36[[#This Row],[Grist]],SMI,0)),0,IF(Table36[[#This Row],[%Absorption]]&gt;INDEX(Absmax,MATCH(Table36[[#This Row],[Grist]],SMI,0)),0,1))))</f>
        <v>1</v>
      </c>
      <c r="Y221" s="127" t="str">
        <f>IF(INDEX(Extmin,MATCH(Table36[[#This Row],[Grist]],SMI,0))="-","-",IF(Table36[[#This Row],[%Extensibility]]="-","-",IF(Table36[[#This Row],[%Extensibility]]&lt;INDEX(Extmin,MATCH(Table36[[#This Row],[Grist]],SMI,0)),0,IF(Table36[[#This Row],[%Extensibility]]&gt;INDEX(Extmax,MATCH(Table36[[#This Row],[Grist]],SMI,0)),0,1))))</f>
        <v>-</v>
      </c>
      <c r="Z221" s="127" t="str">
        <f>IF(INDEX(Resmin,MATCH(Table36[[#This Row],[Grist]],SMI,0))="-","-",IF(Table36[[#This Row],[Resistance, max]]="-","-",IF(Table36[[#This Row],[Resistance, max]]&lt;INDEX(Resmin,MATCH(Table36[[#This Row],[Grist]],SMI,0)),0,IF(Table36[[#This Row],[Resistance, max]]&gt;INDEX(Resmax,MATCH(Table36[[#This Row],[Grist]],SMI,0)),0,1))))</f>
        <v>-</v>
      </c>
      <c r="AA221" s="127">
        <f>IF(INDEX(WGmin,MATCH(Table36[[#This Row],[Grist]],SMI,0))="-","-",IF(Table36[[#This Row],[%Wet Gluten]]="-","-",IF(Table36[[#This Row],[%Wet Gluten]]&lt;INDEX(WGmin,MATCH(Table36[[#This Row],[Grist]],SMI,0)),0,IF(Table36[[#This Row],[%Wet Gluten]]&gt;INDEX(WGmax,MATCH(Table36[[#This Row],[Grist]],SMI,0)),0,1))))</f>
        <v>1</v>
      </c>
      <c r="AB221" s="127">
        <f>SUM(Table36[[#This Row],[ QI Bran Content]:[QI WG]])</f>
        <v>7</v>
      </c>
      <c r="AC221" s="127">
        <f>COUNT(Table36[[#This Row],[ QI Bran Content]:[QI WG]])</f>
        <v>8</v>
      </c>
    </row>
    <row r="222" spans="1:29" x14ac:dyDescent="0.35">
      <c r="A222" s="177">
        <v>45292</v>
      </c>
      <c r="B222" s="178">
        <v>45320</v>
      </c>
      <c r="C222" s="178" t="s">
        <v>128</v>
      </c>
      <c r="D222" s="179">
        <v>0.70833333333333304</v>
      </c>
      <c r="E222" s="180" t="s">
        <v>0</v>
      </c>
      <c r="F222" s="181" t="s">
        <v>27</v>
      </c>
      <c r="G222" s="182">
        <v>5.7999999999999996E-3</v>
      </c>
      <c r="H222" s="175" t="s">
        <v>165</v>
      </c>
      <c r="I222" s="175" t="s">
        <v>165</v>
      </c>
      <c r="J222" s="175" t="s">
        <v>165</v>
      </c>
      <c r="K222" s="175">
        <v>11.75</v>
      </c>
      <c r="L222" s="175" t="s">
        <v>163</v>
      </c>
      <c r="M222" s="175" t="s">
        <v>163</v>
      </c>
      <c r="N222" s="175" t="s">
        <v>163</v>
      </c>
      <c r="O222" s="175" t="s">
        <v>163</v>
      </c>
      <c r="P222" s="175" t="s">
        <v>163</v>
      </c>
      <c r="Q222" s="175" t="s">
        <v>163</v>
      </c>
      <c r="R222" s="127">
        <f>IF(Table36[[#This Row],[ Bran Content]]="-","-",IF(G222&lt;0.02,1,0))</f>
        <v>1</v>
      </c>
      <c r="S222" s="127">
        <f>IF(Table36[[#This Row],[Sieve Test]]="-","-",IF(Table36[[#This Row],[Sieve Test]]="P",1,0))</f>
        <v>1</v>
      </c>
      <c r="T222" s="127">
        <f>IF(Table36[[#This Row],[Odor]]="-","-",IF(Table36[[#This Row],[Odor]]="P",1,0))</f>
        <v>1</v>
      </c>
      <c r="U222" s="127">
        <f>IF(INDEX(MCmin,MATCH(Table36[[#This Row],[Grist]],SMI,0))="-","-",IF(Table36[[#This Row],[F1 %MC]]="-","-",IF(Table36[[#This Row],[F1 %MC]]&lt;INDEX(MCmin,MATCH(Table36[[#This Row],[Grist]],SMI,0)),0,IF(Table36[[#This Row],[F1 %MC]]&gt;INDEX(MCmax,MATCH(Table36[[#This Row],[Grist]],SMI,0)),0,1))))</f>
        <v>0</v>
      </c>
      <c r="V222" s="127" t="str">
        <f>IF(INDEX(Protmin,MATCH(Table36[[#This Row],[Grist]],SMI,0))="-","-",IF(Table36[[#This Row],[%Protein]]="-","-",IF(Table36[[#This Row],[%Protein]]&lt;INDEX(Protmin,MATCH(Table36[[#This Row],[Grist]],SMI,0)),0,IF(Table36[[#This Row],[%Protein]]&gt;INDEX(Protmax,MATCH(Table36[[#This Row],[Grist]],SMI,0)),0,1))))</f>
        <v>-</v>
      </c>
      <c r="W222" s="127" t="str">
        <f>IF(INDEX(Ashmin,MATCH(Table36[[#This Row],[Grist]],SMI,0))="-","-",IF(Table36[[#This Row],[%Ash]]="-","-",IF(Table36[[#This Row],[%Ash]]&lt;INDEX(Ashmin,MATCH(Table36[[#This Row],[Grist]],SMI,0)),0,IF(Table36[[#This Row],[%Ash]]&gt;INDEX(Ashmax,MATCH(Table36[[#This Row],[Grist]],SMI,0)),0,1))))</f>
        <v>-</v>
      </c>
      <c r="X222" s="127" t="str">
        <f>IF(INDEX(Absmin,MATCH(Table36[[#This Row],[Grist]],SMI,0))="-","-",IF(Table36[[#This Row],[%Absorption]]="-","-",IF(Table36[[#This Row],[%Absorption]]&lt;INDEX(Absmin,MATCH(Table36[[#This Row],[Grist]],SMI,0)),0,IF(Table36[[#This Row],[%Absorption]]&gt;INDEX(Absmax,MATCH(Table36[[#This Row],[Grist]],SMI,0)),0,1))))</f>
        <v>-</v>
      </c>
      <c r="Y222" s="127" t="str">
        <f>IF(INDEX(Extmin,MATCH(Table36[[#This Row],[Grist]],SMI,0))="-","-",IF(Table36[[#This Row],[%Extensibility]]="-","-",IF(Table36[[#This Row],[%Extensibility]]&lt;INDEX(Extmin,MATCH(Table36[[#This Row],[Grist]],SMI,0)),0,IF(Table36[[#This Row],[%Extensibility]]&gt;INDEX(Extmax,MATCH(Table36[[#This Row],[Grist]],SMI,0)),0,1))))</f>
        <v>-</v>
      </c>
      <c r="Z222" s="127" t="str">
        <f>IF(INDEX(Resmin,MATCH(Table36[[#This Row],[Grist]],SMI,0))="-","-",IF(Table36[[#This Row],[Resistance, max]]="-","-",IF(Table36[[#This Row],[Resistance, max]]&lt;INDEX(Resmin,MATCH(Table36[[#This Row],[Grist]],SMI,0)),0,IF(Table36[[#This Row],[Resistance, max]]&gt;INDEX(Resmax,MATCH(Table36[[#This Row],[Grist]],SMI,0)),0,1))))</f>
        <v>-</v>
      </c>
      <c r="AA222" s="127" t="str">
        <f>IF(INDEX(WGmin,MATCH(Table36[[#This Row],[Grist]],SMI,0))="-","-",IF(Table36[[#This Row],[%Wet Gluten]]="-","-",IF(Table36[[#This Row],[%Wet Gluten]]&lt;INDEX(WGmin,MATCH(Table36[[#This Row],[Grist]],SMI,0)),0,IF(Table36[[#This Row],[%Wet Gluten]]&gt;INDEX(WGmax,MATCH(Table36[[#This Row],[Grist]],SMI,0)),0,1))))</f>
        <v>-</v>
      </c>
      <c r="AB222" s="127">
        <f>SUM(Table36[[#This Row],[ QI Bran Content]:[QI WG]])</f>
        <v>3</v>
      </c>
      <c r="AC222" s="127">
        <f>COUNT(Table36[[#This Row],[ QI Bran Content]:[QI WG]])</f>
        <v>4</v>
      </c>
    </row>
    <row r="223" spans="1:29" x14ac:dyDescent="0.35">
      <c r="A223" s="177">
        <v>45292</v>
      </c>
      <c r="B223" s="178">
        <v>45320</v>
      </c>
      <c r="C223" s="178" t="s">
        <v>128</v>
      </c>
      <c r="D223" s="179">
        <v>0.79166666666666596</v>
      </c>
      <c r="E223" s="180" t="s">
        <v>0</v>
      </c>
      <c r="F223" s="181" t="s">
        <v>27</v>
      </c>
      <c r="G223" s="182">
        <v>1.0800000000000001E-2</v>
      </c>
      <c r="H223" s="175" t="s">
        <v>165</v>
      </c>
      <c r="I223" s="175" t="s">
        <v>165</v>
      </c>
      <c r="J223" s="175" t="s">
        <v>165</v>
      </c>
      <c r="K223" s="175">
        <v>11.53</v>
      </c>
      <c r="L223" s="175" t="s">
        <v>163</v>
      </c>
      <c r="M223" s="175" t="s">
        <v>163</v>
      </c>
      <c r="N223" s="175" t="s">
        <v>163</v>
      </c>
      <c r="O223" s="175" t="s">
        <v>163</v>
      </c>
      <c r="P223" s="175" t="s">
        <v>163</v>
      </c>
      <c r="Q223" s="175" t="s">
        <v>163</v>
      </c>
      <c r="R223" s="127">
        <f>IF(Table36[[#This Row],[ Bran Content]]="-","-",IF(G223&lt;0.02,1,0))</f>
        <v>1</v>
      </c>
      <c r="S223" s="127">
        <f>IF(Table36[[#This Row],[Sieve Test]]="-","-",IF(Table36[[#This Row],[Sieve Test]]="P",1,0))</f>
        <v>1</v>
      </c>
      <c r="T223" s="127">
        <f>IF(Table36[[#This Row],[Odor]]="-","-",IF(Table36[[#This Row],[Odor]]="P",1,0))</f>
        <v>1</v>
      </c>
      <c r="U223" s="127">
        <f>IF(INDEX(MCmin,MATCH(Table36[[#This Row],[Grist]],SMI,0))="-","-",IF(Table36[[#This Row],[F1 %MC]]="-","-",IF(Table36[[#This Row],[F1 %MC]]&lt;INDEX(MCmin,MATCH(Table36[[#This Row],[Grist]],SMI,0)),0,IF(Table36[[#This Row],[F1 %MC]]&gt;INDEX(MCmax,MATCH(Table36[[#This Row],[Grist]],SMI,0)),0,1))))</f>
        <v>0</v>
      </c>
      <c r="V223" s="127" t="str">
        <f>IF(INDEX(Protmin,MATCH(Table36[[#This Row],[Grist]],SMI,0))="-","-",IF(Table36[[#This Row],[%Protein]]="-","-",IF(Table36[[#This Row],[%Protein]]&lt;INDEX(Protmin,MATCH(Table36[[#This Row],[Grist]],SMI,0)),0,IF(Table36[[#This Row],[%Protein]]&gt;INDEX(Protmax,MATCH(Table36[[#This Row],[Grist]],SMI,0)),0,1))))</f>
        <v>-</v>
      </c>
      <c r="W223" s="127" t="str">
        <f>IF(INDEX(Ashmin,MATCH(Table36[[#This Row],[Grist]],SMI,0))="-","-",IF(Table36[[#This Row],[%Ash]]="-","-",IF(Table36[[#This Row],[%Ash]]&lt;INDEX(Ashmin,MATCH(Table36[[#This Row],[Grist]],SMI,0)),0,IF(Table36[[#This Row],[%Ash]]&gt;INDEX(Ashmax,MATCH(Table36[[#This Row],[Grist]],SMI,0)),0,1))))</f>
        <v>-</v>
      </c>
      <c r="X223" s="127" t="str">
        <f>IF(INDEX(Absmin,MATCH(Table36[[#This Row],[Grist]],SMI,0))="-","-",IF(Table36[[#This Row],[%Absorption]]="-","-",IF(Table36[[#This Row],[%Absorption]]&lt;INDEX(Absmin,MATCH(Table36[[#This Row],[Grist]],SMI,0)),0,IF(Table36[[#This Row],[%Absorption]]&gt;INDEX(Absmax,MATCH(Table36[[#This Row],[Grist]],SMI,0)),0,1))))</f>
        <v>-</v>
      </c>
      <c r="Y223" s="127" t="str">
        <f>IF(INDEX(Extmin,MATCH(Table36[[#This Row],[Grist]],SMI,0))="-","-",IF(Table36[[#This Row],[%Extensibility]]="-","-",IF(Table36[[#This Row],[%Extensibility]]&lt;INDEX(Extmin,MATCH(Table36[[#This Row],[Grist]],SMI,0)),0,IF(Table36[[#This Row],[%Extensibility]]&gt;INDEX(Extmax,MATCH(Table36[[#This Row],[Grist]],SMI,0)),0,1))))</f>
        <v>-</v>
      </c>
      <c r="Z223" s="127" t="str">
        <f>IF(INDEX(Resmin,MATCH(Table36[[#This Row],[Grist]],SMI,0))="-","-",IF(Table36[[#This Row],[Resistance, max]]="-","-",IF(Table36[[#This Row],[Resistance, max]]&lt;INDEX(Resmin,MATCH(Table36[[#This Row],[Grist]],SMI,0)),0,IF(Table36[[#This Row],[Resistance, max]]&gt;INDEX(Resmax,MATCH(Table36[[#This Row],[Grist]],SMI,0)),0,1))))</f>
        <v>-</v>
      </c>
      <c r="AA223" s="127" t="str">
        <f>IF(INDEX(WGmin,MATCH(Table36[[#This Row],[Grist]],SMI,0))="-","-",IF(Table36[[#This Row],[%Wet Gluten]]="-","-",IF(Table36[[#This Row],[%Wet Gluten]]&lt;INDEX(WGmin,MATCH(Table36[[#This Row],[Grist]],SMI,0)),0,IF(Table36[[#This Row],[%Wet Gluten]]&gt;INDEX(WGmax,MATCH(Table36[[#This Row],[Grist]],SMI,0)),0,1))))</f>
        <v>-</v>
      </c>
      <c r="AB223" s="127">
        <f>SUM(Table36[[#This Row],[ QI Bran Content]:[QI WG]])</f>
        <v>3</v>
      </c>
      <c r="AC223" s="127">
        <f>COUNT(Table36[[#This Row],[ QI Bran Content]:[QI WG]])</f>
        <v>4</v>
      </c>
    </row>
    <row r="224" spans="1:29" x14ac:dyDescent="0.35">
      <c r="A224" s="177">
        <v>45292</v>
      </c>
      <c r="B224" s="178">
        <v>45320</v>
      </c>
      <c r="C224" s="178" t="s">
        <v>128</v>
      </c>
      <c r="D224" s="179">
        <v>0.874999999999999</v>
      </c>
      <c r="E224" s="180" t="s">
        <v>0</v>
      </c>
      <c r="F224" s="181" t="s">
        <v>27</v>
      </c>
      <c r="G224" s="182">
        <v>8.5000000000000006E-3</v>
      </c>
      <c r="H224" s="175" t="s">
        <v>165</v>
      </c>
      <c r="I224" s="175" t="s">
        <v>165</v>
      </c>
      <c r="J224" s="175" t="s">
        <v>165</v>
      </c>
      <c r="K224" s="175">
        <v>11.52</v>
      </c>
      <c r="L224" s="175" t="s">
        <v>163</v>
      </c>
      <c r="M224" s="175" t="s">
        <v>163</v>
      </c>
      <c r="N224" s="175" t="s">
        <v>163</v>
      </c>
      <c r="O224" s="175" t="s">
        <v>163</v>
      </c>
      <c r="P224" s="175" t="s">
        <v>163</v>
      </c>
      <c r="Q224" s="175" t="s">
        <v>163</v>
      </c>
      <c r="R224" s="127">
        <f>IF(Table36[[#This Row],[ Bran Content]]="-","-",IF(G224&lt;0.02,1,0))</f>
        <v>1</v>
      </c>
      <c r="S224" s="127">
        <f>IF(Table36[[#This Row],[Sieve Test]]="-","-",IF(Table36[[#This Row],[Sieve Test]]="P",1,0))</f>
        <v>1</v>
      </c>
      <c r="T224" s="127">
        <f>IF(Table36[[#This Row],[Odor]]="-","-",IF(Table36[[#This Row],[Odor]]="P",1,0))</f>
        <v>1</v>
      </c>
      <c r="U224" s="127">
        <f>IF(INDEX(MCmin,MATCH(Table36[[#This Row],[Grist]],SMI,0))="-","-",IF(Table36[[#This Row],[F1 %MC]]="-","-",IF(Table36[[#This Row],[F1 %MC]]&lt;INDEX(MCmin,MATCH(Table36[[#This Row],[Grist]],SMI,0)),0,IF(Table36[[#This Row],[F1 %MC]]&gt;INDEX(MCmax,MATCH(Table36[[#This Row],[Grist]],SMI,0)),0,1))))</f>
        <v>0</v>
      </c>
      <c r="V224" s="127" t="str">
        <f>IF(INDEX(Protmin,MATCH(Table36[[#This Row],[Grist]],SMI,0))="-","-",IF(Table36[[#This Row],[%Protein]]="-","-",IF(Table36[[#This Row],[%Protein]]&lt;INDEX(Protmin,MATCH(Table36[[#This Row],[Grist]],SMI,0)),0,IF(Table36[[#This Row],[%Protein]]&gt;INDEX(Protmax,MATCH(Table36[[#This Row],[Grist]],SMI,0)),0,1))))</f>
        <v>-</v>
      </c>
      <c r="W224" s="127" t="str">
        <f>IF(INDEX(Ashmin,MATCH(Table36[[#This Row],[Grist]],SMI,0))="-","-",IF(Table36[[#This Row],[%Ash]]="-","-",IF(Table36[[#This Row],[%Ash]]&lt;INDEX(Ashmin,MATCH(Table36[[#This Row],[Grist]],SMI,0)),0,IF(Table36[[#This Row],[%Ash]]&gt;INDEX(Ashmax,MATCH(Table36[[#This Row],[Grist]],SMI,0)),0,1))))</f>
        <v>-</v>
      </c>
      <c r="X224" s="127" t="str">
        <f>IF(INDEX(Absmin,MATCH(Table36[[#This Row],[Grist]],SMI,0))="-","-",IF(Table36[[#This Row],[%Absorption]]="-","-",IF(Table36[[#This Row],[%Absorption]]&lt;INDEX(Absmin,MATCH(Table36[[#This Row],[Grist]],SMI,0)),0,IF(Table36[[#This Row],[%Absorption]]&gt;INDEX(Absmax,MATCH(Table36[[#This Row],[Grist]],SMI,0)),0,1))))</f>
        <v>-</v>
      </c>
      <c r="Y224" s="127" t="str">
        <f>IF(INDEX(Extmin,MATCH(Table36[[#This Row],[Grist]],SMI,0))="-","-",IF(Table36[[#This Row],[%Extensibility]]="-","-",IF(Table36[[#This Row],[%Extensibility]]&lt;INDEX(Extmin,MATCH(Table36[[#This Row],[Grist]],SMI,0)),0,IF(Table36[[#This Row],[%Extensibility]]&gt;INDEX(Extmax,MATCH(Table36[[#This Row],[Grist]],SMI,0)),0,1))))</f>
        <v>-</v>
      </c>
      <c r="Z224" s="127" t="str">
        <f>IF(INDEX(Resmin,MATCH(Table36[[#This Row],[Grist]],SMI,0))="-","-",IF(Table36[[#This Row],[Resistance, max]]="-","-",IF(Table36[[#This Row],[Resistance, max]]&lt;INDEX(Resmin,MATCH(Table36[[#This Row],[Grist]],SMI,0)),0,IF(Table36[[#This Row],[Resistance, max]]&gt;INDEX(Resmax,MATCH(Table36[[#This Row],[Grist]],SMI,0)),0,1))))</f>
        <v>-</v>
      </c>
      <c r="AA224" s="127" t="str">
        <f>IF(INDEX(WGmin,MATCH(Table36[[#This Row],[Grist]],SMI,0))="-","-",IF(Table36[[#This Row],[%Wet Gluten]]="-","-",IF(Table36[[#This Row],[%Wet Gluten]]&lt;INDEX(WGmin,MATCH(Table36[[#This Row],[Grist]],SMI,0)),0,IF(Table36[[#This Row],[%Wet Gluten]]&gt;INDEX(WGmax,MATCH(Table36[[#This Row],[Grist]],SMI,0)),0,1))))</f>
        <v>-</v>
      </c>
      <c r="AB224" s="127">
        <f>SUM(Table36[[#This Row],[ QI Bran Content]:[QI WG]])</f>
        <v>3</v>
      </c>
      <c r="AC224" s="127">
        <f>COUNT(Table36[[#This Row],[ QI Bran Content]:[QI WG]])</f>
        <v>4</v>
      </c>
    </row>
    <row r="225" spans="1:29" x14ac:dyDescent="0.35">
      <c r="A225" s="177">
        <v>45292</v>
      </c>
      <c r="B225" s="178">
        <v>45320</v>
      </c>
      <c r="C225" s="178" t="s">
        <v>128</v>
      </c>
      <c r="D225" s="179">
        <v>0.95833333333333337</v>
      </c>
      <c r="E225" s="180" t="s">
        <v>0</v>
      </c>
      <c r="F225" s="181" t="s">
        <v>27</v>
      </c>
      <c r="G225" s="182">
        <v>1.11E-2</v>
      </c>
      <c r="H225" s="175" t="s">
        <v>165</v>
      </c>
      <c r="I225" s="175" t="s">
        <v>165</v>
      </c>
      <c r="J225" s="175" t="s">
        <v>165</v>
      </c>
      <c r="K225" s="175">
        <v>11.75</v>
      </c>
      <c r="L225" s="175">
        <v>13.9</v>
      </c>
      <c r="M225" s="175">
        <v>0.59</v>
      </c>
      <c r="N225" s="175">
        <v>65.5</v>
      </c>
      <c r="O225" s="175" t="s">
        <v>163</v>
      </c>
      <c r="P225" s="175" t="s">
        <v>163</v>
      </c>
      <c r="Q225" s="175">
        <v>37.299999999999997</v>
      </c>
      <c r="R225" s="127">
        <f>IF(Table36[[#This Row],[ Bran Content]]="-","-",IF(G225&lt;0.02,1,0))</f>
        <v>1</v>
      </c>
      <c r="S225" s="127">
        <f>IF(Table36[[#This Row],[Sieve Test]]="-","-",IF(Table36[[#This Row],[Sieve Test]]="P",1,0))</f>
        <v>1</v>
      </c>
      <c r="T225" s="127">
        <f>IF(Table36[[#This Row],[Odor]]="-","-",IF(Table36[[#This Row],[Odor]]="P",1,0))</f>
        <v>1</v>
      </c>
      <c r="U225" s="127">
        <f>IF(INDEX(MCmin,MATCH(Table36[[#This Row],[Grist]],SMI,0))="-","-",IF(Table36[[#This Row],[F1 %MC]]="-","-",IF(Table36[[#This Row],[F1 %MC]]&lt;INDEX(MCmin,MATCH(Table36[[#This Row],[Grist]],SMI,0)),0,IF(Table36[[#This Row],[F1 %MC]]&gt;INDEX(MCmax,MATCH(Table36[[#This Row],[Grist]],SMI,0)),0,1))))</f>
        <v>0</v>
      </c>
      <c r="V225" s="127">
        <f>IF(INDEX(Protmin,MATCH(Table36[[#This Row],[Grist]],SMI,0))="-","-",IF(Table36[[#This Row],[%Protein]]="-","-",IF(Table36[[#This Row],[%Protein]]&lt;INDEX(Protmin,MATCH(Table36[[#This Row],[Grist]],SMI,0)),0,IF(Table36[[#This Row],[%Protein]]&gt;INDEX(Protmax,MATCH(Table36[[#This Row],[Grist]],SMI,0)),0,1))))</f>
        <v>1</v>
      </c>
      <c r="W225" s="127">
        <f>IF(INDEX(Ashmin,MATCH(Table36[[#This Row],[Grist]],SMI,0))="-","-",IF(Table36[[#This Row],[%Ash]]="-","-",IF(Table36[[#This Row],[%Ash]]&lt;INDEX(Ashmin,MATCH(Table36[[#This Row],[Grist]],SMI,0)),0,IF(Table36[[#This Row],[%Ash]]&gt;INDEX(Ashmax,MATCH(Table36[[#This Row],[Grist]],SMI,0)),0,1))))</f>
        <v>1</v>
      </c>
      <c r="X225" s="127">
        <f>IF(INDEX(Absmin,MATCH(Table36[[#This Row],[Grist]],SMI,0))="-","-",IF(Table36[[#This Row],[%Absorption]]="-","-",IF(Table36[[#This Row],[%Absorption]]&lt;INDEX(Absmin,MATCH(Table36[[#This Row],[Grist]],SMI,0)),0,IF(Table36[[#This Row],[%Absorption]]&gt;INDEX(Absmax,MATCH(Table36[[#This Row],[Grist]],SMI,0)),0,1))))</f>
        <v>1</v>
      </c>
      <c r="Y225" s="127" t="str">
        <f>IF(INDEX(Extmin,MATCH(Table36[[#This Row],[Grist]],SMI,0))="-","-",IF(Table36[[#This Row],[%Extensibility]]="-","-",IF(Table36[[#This Row],[%Extensibility]]&lt;INDEX(Extmin,MATCH(Table36[[#This Row],[Grist]],SMI,0)),0,IF(Table36[[#This Row],[%Extensibility]]&gt;INDEX(Extmax,MATCH(Table36[[#This Row],[Grist]],SMI,0)),0,1))))</f>
        <v>-</v>
      </c>
      <c r="Z225" s="127" t="str">
        <f>IF(INDEX(Resmin,MATCH(Table36[[#This Row],[Grist]],SMI,0))="-","-",IF(Table36[[#This Row],[Resistance, max]]="-","-",IF(Table36[[#This Row],[Resistance, max]]&lt;INDEX(Resmin,MATCH(Table36[[#This Row],[Grist]],SMI,0)),0,IF(Table36[[#This Row],[Resistance, max]]&gt;INDEX(Resmax,MATCH(Table36[[#This Row],[Grist]],SMI,0)),0,1))))</f>
        <v>-</v>
      </c>
      <c r="AA225" s="127">
        <f>IF(INDEX(WGmin,MATCH(Table36[[#This Row],[Grist]],SMI,0))="-","-",IF(Table36[[#This Row],[%Wet Gluten]]="-","-",IF(Table36[[#This Row],[%Wet Gluten]]&lt;INDEX(WGmin,MATCH(Table36[[#This Row],[Grist]],SMI,0)),0,IF(Table36[[#This Row],[%Wet Gluten]]&gt;INDEX(WGmax,MATCH(Table36[[#This Row],[Grist]],SMI,0)),0,1))))</f>
        <v>1</v>
      </c>
      <c r="AB225" s="127">
        <f>SUM(Table36[[#This Row],[ QI Bran Content]:[QI WG]])</f>
        <v>7</v>
      </c>
      <c r="AC225" s="127">
        <f>COUNT(Table36[[#This Row],[ QI Bran Content]:[QI WG]])</f>
        <v>8</v>
      </c>
    </row>
    <row r="226" spans="1:29" x14ac:dyDescent="0.35">
      <c r="A226" s="177">
        <v>45292</v>
      </c>
      <c r="B226" s="178">
        <v>45320</v>
      </c>
      <c r="C226" s="178" t="s">
        <v>130</v>
      </c>
      <c r="D226" s="179">
        <v>1.0416666666666701</v>
      </c>
      <c r="E226" s="180" t="s">
        <v>0</v>
      </c>
      <c r="F226" s="181" t="s">
        <v>27</v>
      </c>
      <c r="G226" s="182">
        <v>1.32E-2</v>
      </c>
      <c r="H226" s="175" t="s">
        <v>165</v>
      </c>
      <c r="I226" s="175" t="s">
        <v>165</v>
      </c>
      <c r="J226" s="175" t="s">
        <v>165</v>
      </c>
      <c r="K226" s="175">
        <v>11.68</v>
      </c>
      <c r="L226" s="175" t="s">
        <v>163</v>
      </c>
      <c r="M226" s="175" t="s">
        <v>163</v>
      </c>
      <c r="N226" s="175" t="s">
        <v>163</v>
      </c>
      <c r="O226" s="175" t="s">
        <v>163</v>
      </c>
      <c r="P226" s="175" t="s">
        <v>163</v>
      </c>
      <c r="Q226" s="175" t="s">
        <v>163</v>
      </c>
      <c r="R226" s="127">
        <f>IF(Table36[[#This Row],[ Bran Content]]="-","-",IF(G226&lt;0.02,1,0))</f>
        <v>1</v>
      </c>
      <c r="S226" s="127">
        <f>IF(Table36[[#This Row],[Sieve Test]]="-","-",IF(Table36[[#This Row],[Sieve Test]]="P",1,0))</f>
        <v>1</v>
      </c>
      <c r="T226" s="127">
        <f>IF(Table36[[#This Row],[Odor]]="-","-",IF(Table36[[#This Row],[Odor]]="P",1,0))</f>
        <v>1</v>
      </c>
      <c r="U226" s="127">
        <f>IF(INDEX(MCmin,MATCH(Table36[[#This Row],[Grist]],SMI,0))="-","-",IF(Table36[[#This Row],[F1 %MC]]="-","-",IF(Table36[[#This Row],[F1 %MC]]&lt;INDEX(MCmin,MATCH(Table36[[#This Row],[Grist]],SMI,0)),0,IF(Table36[[#This Row],[F1 %MC]]&gt;INDEX(MCmax,MATCH(Table36[[#This Row],[Grist]],SMI,0)),0,1))))</f>
        <v>0</v>
      </c>
      <c r="V226" s="127" t="str">
        <f>IF(INDEX(Protmin,MATCH(Table36[[#This Row],[Grist]],SMI,0))="-","-",IF(Table36[[#This Row],[%Protein]]="-","-",IF(Table36[[#This Row],[%Protein]]&lt;INDEX(Protmin,MATCH(Table36[[#This Row],[Grist]],SMI,0)),0,IF(Table36[[#This Row],[%Protein]]&gt;INDEX(Protmax,MATCH(Table36[[#This Row],[Grist]],SMI,0)),0,1))))</f>
        <v>-</v>
      </c>
      <c r="W226" s="127" t="str">
        <f>IF(INDEX(Ashmin,MATCH(Table36[[#This Row],[Grist]],SMI,0))="-","-",IF(Table36[[#This Row],[%Ash]]="-","-",IF(Table36[[#This Row],[%Ash]]&lt;INDEX(Ashmin,MATCH(Table36[[#This Row],[Grist]],SMI,0)),0,IF(Table36[[#This Row],[%Ash]]&gt;INDEX(Ashmax,MATCH(Table36[[#This Row],[Grist]],SMI,0)),0,1))))</f>
        <v>-</v>
      </c>
      <c r="X226" s="127" t="str">
        <f>IF(INDEX(Absmin,MATCH(Table36[[#This Row],[Grist]],SMI,0))="-","-",IF(Table36[[#This Row],[%Absorption]]="-","-",IF(Table36[[#This Row],[%Absorption]]&lt;INDEX(Absmin,MATCH(Table36[[#This Row],[Grist]],SMI,0)),0,IF(Table36[[#This Row],[%Absorption]]&gt;INDEX(Absmax,MATCH(Table36[[#This Row],[Grist]],SMI,0)),0,1))))</f>
        <v>-</v>
      </c>
      <c r="Y226" s="127" t="str">
        <f>IF(INDEX(Extmin,MATCH(Table36[[#This Row],[Grist]],SMI,0))="-","-",IF(Table36[[#This Row],[%Extensibility]]="-","-",IF(Table36[[#This Row],[%Extensibility]]&lt;INDEX(Extmin,MATCH(Table36[[#This Row],[Grist]],SMI,0)),0,IF(Table36[[#This Row],[%Extensibility]]&gt;INDEX(Extmax,MATCH(Table36[[#This Row],[Grist]],SMI,0)),0,1))))</f>
        <v>-</v>
      </c>
      <c r="Z226" s="127" t="str">
        <f>IF(INDEX(Resmin,MATCH(Table36[[#This Row],[Grist]],SMI,0))="-","-",IF(Table36[[#This Row],[Resistance, max]]="-","-",IF(Table36[[#This Row],[Resistance, max]]&lt;INDEX(Resmin,MATCH(Table36[[#This Row],[Grist]],SMI,0)),0,IF(Table36[[#This Row],[Resistance, max]]&gt;INDEX(Resmax,MATCH(Table36[[#This Row],[Grist]],SMI,0)),0,1))))</f>
        <v>-</v>
      </c>
      <c r="AA226" s="127" t="str">
        <f>IF(INDEX(WGmin,MATCH(Table36[[#This Row],[Grist]],SMI,0))="-","-",IF(Table36[[#This Row],[%Wet Gluten]]="-","-",IF(Table36[[#This Row],[%Wet Gluten]]&lt;INDEX(WGmin,MATCH(Table36[[#This Row],[Grist]],SMI,0)),0,IF(Table36[[#This Row],[%Wet Gluten]]&gt;INDEX(WGmax,MATCH(Table36[[#This Row],[Grist]],SMI,0)),0,1))))</f>
        <v>-</v>
      </c>
      <c r="AB226" s="127">
        <f>SUM(Table36[[#This Row],[ QI Bran Content]:[QI WG]])</f>
        <v>3</v>
      </c>
      <c r="AC226" s="127">
        <f>COUNT(Table36[[#This Row],[ QI Bran Content]:[QI WG]])</f>
        <v>4</v>
      </c>
    </row>
    <row r="227" spans="1:29" x14ac:dyDescent="0.35">
      <c r="A227" s="177">
        <v>45292</v>
      </c>
      <c r="B227" s="178">
        <v>45320</v>
      </c>
      <c r="C227" s="178" t="s">
        <v>130</v>
      </c>
      <c r="D227" s="179">
        <v>1.125</v>
      </c>
      <c r="E227" s="180" t="s">
        <v>0</v>
      </c>
      <c r="F227" s="181" t="s">
        <v>27</v>
      </c>
      <c r="G227" s="182">
        <v>8.0000000000000002E-3</v>
      </c>
      <c r="H227" s="175" t="s">
        <v>165</v>
      </c>
      <c r="I227" s="175" t="s">
        <v>165</v>
      </c>
      <c r="J227" s="175" t="s">
        <v>165</v>
      </c>
      <c r="K227" s="175">
        <v>12.4</v>
      </c>
      <c r="L227" s="175" t="s">
        <v>163</v>
      </c>
      <c r="M227" s="175" t="s">
        <v>163</v>
      </c>
      <c r="N227" s="175" t="s">
        <v>163</v>
      </c>
      <c r="O227" s="175" t="s">
        <v>163</v>
      </c>
      <c r="P227" s="175" t="s">
        <v>163</v>
      </c>
      <c r="Q227" s="175" t="s">
        <v>163</v>
      </c>
      <c r="R227" s="127">
        <f>IF(Table36[[#This Row],[ Bran Content]]="-","-",IF(G227&lt;0.02,1,0))</f>
        <v>1</v>
      </c>
      <c r="S227" s="127">
        <f>IF(Table36[[#This Row],[Sieve Test]]="-","-",IF(Table36[[#This Row],[Sieve Test]]="P",1,0))</f>
        <v>1</v>
      </c>
      <c r="T227" s="127">
        <f>IF(Table36[[#This Row],[Odor]]="-","-",IF(Table36[[#This Row],[Odor]]="P",1,0))</f>
        <v>1</v>
      </c>
      <c r="U227" s="127">
        <f>IF(INDEX(MCmin,MATCH(Table36[[#This Row],[Grist]],SMI,0))="-","-",IF(Table36[[#This Row],[F1 %MC]]="-","-",IF(Table36[[#This Row],[F1 %MC]]&lt;INDEX(MCmin,MATCH(Table36[[#This Row],[Grist]],SMI,0)),0,IF(Table36[[#This Row],[F1 %MC]]&gt;INDEX(MCmax,MATCH(Table36[[#This Row],[Grist]],SMI,0)),0,1))))</f>
        <v>1</v>
      </c>
      <c r="V227" s="127" t="str">
        <f>IF(INDEX(Protmin,MATCH(Table36[[#This Row],[Grist]],SMI,0))="-","-",IF(Table36[[#This Row],[%Protein]]="-","-",IF(Table36[[#This Row],[%Protein]]&lt;INDEX(Protmin,MATCH(Table36[[#This Row],[Grist]],SMI,0)),0,IF(Table36[[#This Row],[%Protein]]&gt;INDEX(Protmax,MATCH(Table36[[#This Row],[Grist]],SMI,0)),0,1))))</f>
        <v>-</v>
      </c>
      <c r="W227" s="127" t="str">
        <f>IF(INDEX(Ashmin,MATCH(Table36[[#This Row],[Grist]],SMI,0))="-","-",IF(Table36[[#This Row],[%Ash]]="-","-",IF(Table36[[#This Row],[%Ash]]&lt;INDEX(Ashmin,MATCH(Table36[[#This Row],[Grist]],SMI,0)),0,IF(Table36[[#This Row],[%Ash]]&gt;INDEX(Ashmax,MATCH(Table36[[#This Row],[Grist]],SMI,0)),0,1))))</f>
        <v>-</v>
      </c>
      <c r="X227" s="127" t="str">
        <f>IF(INDEX(Absmin,MATCH(Table36[[#This Row],[Grist]],SMI,0))="-","-",IF(Table36[[#This Row],[%Absorption]]="-","-",IF(Table36[[#This Row],[%Absorption]]&lt;INDEX(Absmin,MATCH(Table36[[#This Row],[Grist]],SMI,0)),0,IF(Table36[[#This Row],[%Absorption]]&gt;INDEX(Absmax,MATCH(Table36[[#This Row],[Grist]],SMI,0)),0,1))))</f>
        <v>-</v>
      </c>
      <c r="Y227" s="127" t="str">
        <f>IF(INDEX(Extmin,MATCH(Table36[[#This Row],[Grist]],SMI,0))="-","-",IF(Table36[[#This Row],[%Extensibility]]="-","-",IF(Table36[[#This Row],[%Extensibility]]&lt;INDEX(Extmin,MATCH(Table36[[#This Row],[Grist]],SMI,0)),0,IF(Table36[[#This Row],[%Extensibility]]&gt;INDEX(Extmax,MATCH(Table36[[#This Row],[Grist]],SMI,0)),0,1))))</f>
        <v>-</v>
      </c>
      <c r="Z227" s="127" t="str">
        <f>IF(INDEX(Resmin,MATCH(Table36[[#This Row],[Grist]],SMI,0))="-","-",IF(Table36[[#This Row],[Resistance, max]]="-","-",IF(Table36[[#This Row],[Resistance, max]]&lt;INDEX(Resmin,MATCH(Table36[[#This Row],[Grist]],SMI,0)),0,IF(Table36[[#This Row],[Resistance, max]]&gt;INDEX(Resmax,MATCH(Table36[[#This Row],[Grist]],SMI,0)),0,1))))</f>
        <v>-</v>
      </c>
      <c r="AA227" s="127" t="str">
        <f>IF(INDEX(WGmin,MATCH(Table36[[#This Row],[Grist]],SMI,0))="-","-",IF(Table36[[#This Row],[%Wet Gluten]]="-","-",IF(Table36[[#This Row],[%Wet Gluten]]&lt;INDEX(WGmin,MATCH(Table36[[#This Row],[Grist]],SMI,0)),0,IF(Table36[[#This Row],[%Wet Gluten]]&gt;INDEX(WGmax,MATCH(Table36[[#This Row],[Grist]],SMI,0)),0,1))))</f>
        <v>-</v>
      </c>
      <c r="AB227" s="127">
        <f>SUM(Table36[[#This Row],[ QI Bran Content]:[QI WG]])</f>
        <v>4</v>
      </c>
      <c r="AC227" s="127">
        <f>COUNT(Table36[[#This Row],[ QI Bran Content]:[QI WG]])</f>
        <v>4</v>
      </c>
    </row>
    <row r="228" spans="1:29" x14ac:dyDescent="0.35">
      <c r="A228" s="177">
        <v>45292</v>
      </c>
      <c r="B228" s="178">
        <v>45320</v>
      </c>
      <c r="C228" s="178" t="s">
        <v>130</v>
      </c>
      <c r="D228" s="179">
        <v>1.2083333333333299</v>
      </c>
      <c r="E228" s="180" t="s">
        <v>0</v>
      </c>
      <c r="F228" s="181" t="s">
        <v>27</v>
      </c>
      <c r="G228" s="182">
        <v>4.7999999999999996E-3</v>
      </c>
      <c r="H228" s="175" t="s">
        <v>165</v>
      </c>
      <c r="I228" s="175" t="s">
        <v>165</v>
      </c>
      <c r="J228" s="175" t="s">
        <v>165</v>
      </c>
      <c r="K228" s="175">
        <v>12.91</v>
      </c>
      <c r="L228" s="175" t="s">
        <v>163</v>
      </c>
      <c r="M228" s="175" t="s">
        <v>163</v>
      </c>
      <c r="N228" s="175" t="s">
        <v>163</v>
      </c>
      <c r="O228" s="175" t="s">
        <v>163</v>
      </c>
      <c r="P228" s="175" t="s">
        <v>163</v>
      </c>
      <c r="Q228" s="175" t="s">
        <v>163</v>
      </c>
      <c r="R228" s="127">
        <f>IF(Table36[[#This Row],[ Bran Content]]="-","-",IF(G228&lt;0.02,1,0))</f>
        <v>1</v>
      </c>
      <c r="S228" s="127">
        <f>IF(Table36[[#This Row],[Sieve Test]]="-","-",IF(Table36[[#This Row],[Sieve Test]]="P",1,0))</f>
        <v>1</v>
      </c>
      <c r="T228" s="127">
        <f>IF(Table36[[#This Row],[Odor]]="-","-",IF(Table36[[#This Row],[Odor]]="P",1,0))</f>
        <v>1</v>
      </c>
      <c r="U228" s="127">
        <f>IF(INDEX(MCmin,MATCH(Table36[[#This Row],[Grist]],SMI,0))="-","-",IF(Table36[[#This Row],[F1 %MC]]="-","-",IF(Table36[[#This Row],[F1 %MC]]&lt;INDEX(MCmin,MATCH(Table36[[#This Row],[Grist]],SMI,0)),0,IF(Table36[[#This Row],[F1 %MC]]&gt;INDEX(MCmax,MATCH(Table36[[#This Row],[Grist]],SMI,0)),0,1))))</f>
        <v>1</v>
      </c>
      <c r="V228" s="127" t="str">
        <f>IF(INDEX(Protmin,MATCH(Table36[[#This Row],[Grist]],SMI,0))="-","-",IF(Table36[[#This Row],[%Protein]]="-","-",IF(Table36[[#This Row],[%Protein]]&lt;INDEX(Protmin,MATCH(Table36[[#This Row],[Grist]],SMI,0)),0,IF(Table36[[#This Row],[%Protein]]&gt;INDEX(Protmax,MATCH(Table36[[#This Row],[Grist]],SMI,0)),0,1))))</f>
        <v>-</v>
      </c>
      <c r="W228" s="127" t="str">
        <f>IF(INDEX(Ashmin,MATCH(Table36[[#This Row],[Grist]],SMI,0))="-","-",IF(Table36[[#This Row],[%Ash]]="-","-",IF(Table36[[#This Row],[%Ash]]&lt;INDEX(Ashmin,MATCH(Table36[[#This Row],[Grist]],SMI,0)),0,IF(Table36[[#This Row],[%Ash]]&gt;INDEX(Ashmax,MATCH(Table36[[#This Row],[Grist]],SMI,0)),0,1))))</f>
        <v>-</v>
      </c>
      <c r="X228" s="127" t="str">
        <f>IF(INDEX(Absmin,MATCH(Table36[[#This Row],[Grist]],SMI,0))="-","-",IF(Table36[[#This Row],[%Absorption]]="-","-",IF(Table36[[#This Row],[%Absorption]]&lt;INDEX(Absmin,MATCH(Table36[[#This Row],[Grist]],SMI,0)),0,IF(Table36[[#This Row],[%Absorption]]&gt;INDEX(Absmax,MATCH(Table36[[#This Row],[Grist]],SMI,0)),0,1))))</f>
        <v>-</v>
      </c>
      <c r="Y228" s="127" t="str">
        <f>IF(INDEX(Extmin,MATCH(Table36[[#This Row],[Grist]],SMI,0))="-","-",IF(Table36[[#This Row],[%Extensibility]]="-","-",IF(Table36[[#This Row],[%Extensibility]]&lt;INDEX(Extmin,MATCH(Table36[[#This Row],[Grist]],SMI,0)),0,IF(Table36[[#This Row],[%Extensibility]]&gt;INDEX(Extmax,MATCH(Table36[[#This Row],[Grist]],SMI,0)),0,1))))</f>
        <v>-</v>
      </c>
      <c r="Z228" s="127" t="str">
        <f>IF(INDEX(Resmin,MATCH(Table36[[#This Row],[Grist]],SMI,0))="-","-",IF(Table36[[#This Row],[Resistance, max]]="-","-",IF(Table36[[#This Row],[Resistance, max]]&lt;INDEX(Resmin,MATCH(Table36[[#This Row],[Grist]],SMI,0)),0,IF(Table36[[#This Row],[Resistance, max]]&gt;INDEX(Resmax,MATCH(Table36[[#This Row],[Grist]],SMI,0)),0,1))))</f>
        <v>-</v>
      </c>
      <c r="AA228" s="127" t="str">
        <f>IF(INDEX(WGmin,MATCH(Table36[[#This Row],[Grist]],SMI,0))="-","-",IF(Table36[[#This Row],[%Wet Gluten]]="-","-",IF(Table36[[#This Row],[%Wet Gluten]]&lt;INDEX(WGmin,MATCH(Table36[[#This Row],[Grist]],SMI,0)),0,IF(Table36[[#This Row],[%Wet Gluten]]&gt;INDEX(WGmax,MATCH(Table36[[#This Row],[Grist]],SMI,0)),0,1))))</f>
        <v>-</v>
      </c>
      <c r="AB228" s="127">
        <f>SUM(Table36[[#This Row],[ QI Bran Content]:[QI WG]])</f>
        <v>4</v>
      </c>
      <c r="AC228" s="127">
        <f>COUNT(Table36[[#This Row],[ QI Bran Content]:[QI WG]])</f>
        <v>4</v>
      </c>
    </row>
    <row r="229" spans="1:29" x14ac:dyDescent="0.35">
      <c r="A229" s="177">
        <v>45292</v>
      </c>
      <c r="B229" s="178">
        <v>45321</v>
      </c>
      <c r="C229" s="178" t="s">
        <v>125</v>
      </c>
      <c r="D229" s="179" t="s">
        <v>239</v>
      </c>
      <c r="E229" s="180" t="s">
        <v>0</v>
      </c>
      <c r="F229" s="181" t="s">
        <v>27</v>
      </c>
      <c r="G229" s="182">
        <v>7.3000000000000001E-3</v>
      </c>
      <c r="H229" s="175" t="s">
        <v>165</v>
      </c>
      <c r="I229" s="175" t="s">
        <v>165</v>
      </c>
      <c r="J229" s="175" t="s">
        <v>165</v>
      </c>
      <c r="K229" s="175">
        <v>12.89</v>
      </c>
      <c r="L229" s="175">
        <v>13.04</v>
      </c>
      <c r="M229" s="175">
        <v>0.5</v>
      </c>
      <c r="N229" s="175">
        <v>64.2</v>
      </c>
      <c r="O229" s="175" t="s">
        <v>163</v>
      </c>
      <c r="P229" s="175" t="s">
        <v>163</v>
      </c>
      <c r="Q229" s="175">
        <v>36.43</v>
      </c>
      <c r="R229" s="127">
        <f>IF(Table36[[#This Row],[ Bran Content]]="-","-",IF(G229&lt;0.02,1,0))</f>
        <v>1</v>
      </c>
      <c r="S229" s="127">
        <f>IF(Table36[[#This Row],[Sieve Test]]="-","-",IF(Table36[[#This Row],[Sieve Test]]="P",1,0))</f>
        <v>1</v>
      </c>
      <c r="T229" s="127">
        <f>IF(Table36[[#This Row],[Odor]]="-","-",IF(Table36[[#This Row],[Odor]]="P",1,0))</f>
        <v>1</v>
      </c>
      <c r="U229" s="127">
        <f>IF(INDEX(MCmin,MATCH(Table36[[#This Row],[Grist]],SMI,0))="-","-",IF(Table36[[#This Row],[F1 %MC]]="-","-",IF(Table36[[#This Row],[F1 %MC]]&lt;INDEX(MCmin,MATCH(Table36[[#This Row],[Grist]],SMI,0)),0,IF(Table36[[#This Row],[F1 %MC]]&gt;INDEX(MCmax,MATCH(Table36[[#This Row],[Grist]],SMI,0)),0,1))))</f>
        <v>1</v>
      </c>
      <c r="V229" s="127">
        <f>IF(INDEX(Protmin,MATCH(Table36[[#This Row],[Grist]],SMI,0))="-","-",IF(Table36[[#This Row],[%Protein]]="-","-",IF(Table36[[#This Row],[%Protein]]&lt;INDEX(Protmin,MATCH(Table36[[#This Row],[Grist]],SMI,0)),0,IF(Table36[[#This Row],[%Protein]]&gt;INDEX(Protmax,MATCH(Table36[[#This Row],[Grist]],SMI,0)),0,1))))</f>
        <v>1</v>
      </c>
      <c r="W229" s="127">
        <f>IF(INDEX(Ashmin,MATCH(Table36[[#This Row],[Grist]],SMI,0))="-","-",IF(Table36[[#This Row],[%Ash]]="-","-",IF(Table36[[#This Row],[%Ash]]&lt;INDEX(Ashmin,MATCH(Table36[[#This Row],[Grist]],SMI,0)),0,IF(Table36[[#This Row],[%Ash]]&gt;INDEX(Ashmax,MATCH(Table36[[#This Row],[Grist]],SMI,0)),0,1))))</f>
        <v>1</v>
      </c>
      <c r="X229" s="127">
        <f>IF(INDEX(Absmin,MATCH(Table36[[#This Row],[Grist]],SMI,0))="-","-",IF(Table36[[#This Row],[%Absorption]]="-","-",IF(Table36[[#This Row],[%Absorption]]&lt;INDEX(Absmin,MATCH(Table36[[#This Row],[Grist]],SMI,0)),0,IF(Table36[[#This Row],[%Absorption]]&gt;INDEX(Absmax,MATCH(Table36[[#This Row],[Grist]],SMI,0)),0,1))))</f>
        <v>1</v>
      </c>
      <c r="Y229" s="127" t="str">
        <f>IF(INDEX(Extmin,MATCH(Table36[[#This Row],[Grist]],SMI,0))="-","-",IF(Table36[[#This Row],[%Extensibility]]="-","-",IF(Table36[[#This Row],[%Extensibility]]&lt;INDEX(Extmin,MATCH(Table36[[#This Row],[Grist]],SMI,0)),0,IF(Table36[[#This Row],[%Extensibility]]&gt;INDEX(Extmax,MATCH(Table36[[#This Row],[Grist]],SMI,0)),0,1))))</f>
        <v>-</v>
      </c>
      <c r="Z229" s="127" t="str">
        <f>IF(INDEX(Resmin,MATCH(Table36[[#This Row],[Grist]],SMI,0))="-","-",IF(Table36[[#This Row],[Resistance, max]]="-","-",IF(Table36[[#This Row],[Resistance, max]]&lt;INDEX(Resmin,MATCH(Table36[[#This Row],[Grist]],SMI,0)),0,IF(Table36[[#This Row],[Resistance, max]]&gt;INDEX(Resmax,MATCH(Table36[[#This Row],[Grist]],SMI,0)),0,1))))</f>
        <v>-</v>
      </c>
      <c r="AA229" s="127">
        <f>IF(INDEX(WGmin,MATCH(Table36[[#This Row],[Grist]],SMI,0))="-","-",IF(Table36[[#This Row],[%Wet Gluten]]="-","-",IF(Table36[[#This Row],[%Wet Gluten]]&lt;INDEX(WGmin,MATCH(Table36[[#This Row],[Grist]],SMI,0)),0,IF(Table36[[#This Row],[%Wet Gluten]]&gt;INDEX(WGmax,MATCH(Table36[[#This Row],[Grist]],SMI,0)),0,1))))</f>
        <v>1</v>
      </c>
      <c r="AB229" s="127">
        <f>SUM(Table36[[#This Row],[ QI Bran Content]:[QI WG]])</f>
        <v>8</v>
      </c>
      <c r="AC229" s="127">
        <f>COUNT(Table36[[#This Row],[ QI Bran Content]:[QI WG]])</f>
        <v>8</v>
      </c>
    </row>
    <row r="230" spans="1:29" x14ac:dyDescent="0.35">
      <c r="A230" s="177">
        <v>45292</v>
      </c>
      <c r="B230" s="178">
        <v>45321</v>
      </c>
      <c r="C230" s="178" t="s">
        <v>125</v>
      </c>
      <c r="D230" s="179" t="s">
        <v>240</v>
      </c>
      <c r="E230" s="180" t="s">
        <v>0</v>
      </c>
      <c r="F230" s="181" t="s">
        <v>27</v>
      </c>
      <c r="G230" s="182">
        <v>5.8999999999999999E-3</v>
      </c>
      <c r="H230" s="175" t="s">
        <v>165</v>
      </c>
      <c r="I230" s="175" t="s">
        <v>165</v>
      </c>
      <c r="J230" s="175" t="s">
        <v>165</v>
      </c>
      <c r="K230" s="175">
        <v>12.68</v>
      </c>
      <c r="L230" s="175" t="s">
        <v>163</v>
      </c>
      <c r="M230" s="175" t="s">
        <v>163</v>
      </c>
      <c r="N230" s="175" t="s">
        <v>163</v>
      </c>
      <c r="O230" s="175" t="s">
        <v>163</v>
      </c>
      <c r="P230" s="175" t="s">
        <v>163</v>
      </c>
      <c r="Q230" s="175" t="s">
        <v>163</v>
      </c>
      <c r="R230" s="127">
        <f>IF(Table36[[#This Row],[ Bran Content]]="-","-",IF(G230&lt;0.02,1,0))</f>
        <v>1</v>
      </c>
      <c r="S230" s="127">
        <f>IF(Table36[[#This Row],[Sieve Test]]="-","-",IF(Table36[[#This Row],[Sieve Test]]="P",1,0))</f>
        <v>1</v>
      </c>
      <c r="T230" s="127">
        <f>IF(Table36[[#This Row],[Odor]]="-","-",IF(Table36[[#This Row],[Odor]]="P",1,0))</f>
        <v>1</v>
      </c>
      <c r="U230" s="127">
        <f>IF(INDEX(MCmin,MATCH(Table36[[#This Row],[Grist]],SMI,0))="-","-",IF(Table36[[#This Row],[F1 %MC]]="-","-",IF(Table36[[#This Row],[F1 %MC]]&lt;INDEX(MCmin,MATCH(Table36[[#This Row],[Grist]],SMI,0)),0,IF(Table36[[#This Row],[F1 %MC]]&gt;INDEX(MCmax,MATCH(Table36[[#This Row],[Grist]],SMI,0)),0,1))))</f>
        <v>1</v>
      </c>
      <c r="V230" s="127" t="str">
        <f>IF(INDEX(Protmin,MATCH(Table36[[#This Row],[Grist]],SMI,0))="-","-",IF(Table36[[#This Row],[%Protein]]="-","-",IF(Table36[[#This Row],[%Protein]]&lt;INDEX(Protmin,MATCH(Table36[[#This Row],[Grist]],SMI,0)),0,IF(Table36[[#This Row],[%Protein]]&gt;INDEX(Protmax,MATCH(Table36[[#This Row],[Grist]],SMI,0)),0,1))))</f>
        <v>-</v>
      </c>
      <c r="W230" s="127" t="str">
        <f>IF(INDEX(Ashmin,MATCH(Table36[[#This Row],[Grist]],SMI,0))="-","-",IF(Table36[[#This Row],[%Ash]]="-","-",IF(Table36[[#This Row],[%Ash]]&lt;INDEX(Ashmin,MATCH(Table36[[#This Row],[Grist]],SMI,0)),0,IF(Table36[[#This Row],[%Ash]]&gt;INDEX(Ashmax,MATCH(Table36[[#This Row],[Grist]],SMI,0)),0,1))))</f>
        <v>-</v>
      </c>
      <c r="X230" s="127" t="str">
        <f>IF(INDEX(Absmin,MATCH(Table36[[#This Row],[Grist]],SMI,0))="-","-",IF(Table36[[#This Row],[%Absorption]]="-","-",IF(Table36[[#This Row],[%Absorption]]&lt;INDEX(Absmin,MATCH(Table36[[#This Row],[Grist]],SMI,0)),0,IF(Table36[[#This Row],[%Absorption]]&gt;INDEX(Absmax,MATCH(Table36[[#This Row],[Grist]],SMI,0)),0,1))))</f>
        <v>-</v>
      </c>
      <c r="Y230" s="127" t="str">
        <f>IF(INDEX(Extmin,MATCH(Table36[[#This Row],[Grist]],SMI,0))="-","-",IF(Table36[[#This Row],[%Extensibility]]="-","-",IF(Table36[[#This Row],[%Extensibility]]&lt;INDEX(Extmin,MATCH(Table36[[#This Row],[Grist]],SMI,0)),0,IF(Table36[[#This Row],[%Extensibility]]&gt;INDEX(Extmax,MATCH(Table36[[#This Row],[Grist]],SMI,0)),0,1))))</f>
        <v>-</v>
      </c>
      <c r="Z230" s="127" t="str">
        <f>IF(INDEX(Resmin,MATCH(Table36[[#This Row],[Grist]],SMI,0))="-","-",IF(Table36[[#This Row],[Resistance, max]]="-","-",IF(Table36[[#This Row],[Resistance, max]]&lt;INDEX(Resmin,MATCH(Table36[[#This Row],[Grist]],SMI,0)),0,IF(Table36[[#This Row],[Resistance, max]]&gt;INDEX(Resmax,MATCH(Table36[[#This Row],[Grist]],SMI,0)),0,1))))</f>
        <v>-</v>
      </c>
      <c r="AA230" s="127" t="str">
        <f>IF(INDEX(WGmin,MATCH(Table36[[#This Row],[Grist]],SMI,0))="-","-",IF(Table36[[#This Row],[%Wet Gluten]]="-","-",IF(Table36[[#This Row],[%Wet Gluten]]&lt;INDEX(WGmin,MATCH(Table36[[#This Row],[Grist]],SMI,0)),0,IF(Table36[[#This Row],[%Wet Gluten]]&gt;INDEX(WGmax,MATCH(Table36[[#This Row],[Grist]],SMI,0)),0,1))))</f>
        <v>-</v>
      </c>
      <c r="AB230" s="127">
        <f>SUM(Table36[[#This Row],[ QI Bran Content]:[QI WG]])</f>
        <v>4</v>
      </c>
      <c r="AC230" s="127">
        <f>COUNT(Table36[[#This Row],[ QI Bran Content]:[QI WG]])</f>
        <v>4</v>
      </c>
    </row>
    <row r="231" spans="1:29" x14ac:dyDescent="0.35">
      <c r="A231" s="177">
        <v>45292</v>
      </c>
      <c r="B231" s="178">
        <v>45321</v>
      </c>
      <c r="C231" s="178" t="s">
        <v>125</v>
      </c>
      <c r="D231" s="179" t="s">
        <v>237</v>
      </c>
      <c r="E231" s="180" t="s">
        <v>0</v>
      </c>
      <c r="F231" s="181" t="s">
        <v>27</v>
      </c>
      <c r="G231" s="182">
        <v>5.4999999999999997E-3</v>
      </c>
      <c r="H231" s="175" t="s">
        <v>165</v>
      </c>
      <c r="I231" s="175" t="s">
        <v>165</v>
      </c>
      <c r="J231" s="175" t="s">
        <v>165</v>
      </c>
      <c r="K231" s="175">
        <v>12.58</v>
      </c>
      <c r="L231" s="175" t="s">
        <v>163</v>
      </c>
      <c r="M231" s="175" t="s">
        <v>163</v>
      </c>
      <c r="N231" s="175" t="s">
        <v>163</v>
      </c>
      <c r="O231" s="175" t="s">
        <v>163</v>
      </c>
      <c r="P231" s="175" t="s">
        <v>163</v>
      </c>
      <c r="Q231" s="175" t="s">
        <v>163</v>
      </c>
      <c r="R231" s="127">
        <f>IF(Table36[[#This Row],[ Bran Content]]="-","-",IF(G231&lt;0.02,1,0))</f>
        <v>1</v>
      </c>
      <c r="S231" s="127">
        <f>IF(Table36[[#This Row],[Sieve Test]]="-","-",IF(Table36[[#This Row],[Sieve Test]]="P",1,0))</f>
        <v>1</v>
      </c>
      <c r="T231" s="127">
        <f>IF(Table36[[#This Row],[Odor]]="-","-",IF(Table36[[#This Row],[Odor]]="P",1,0))</f>
        <v>1</v>
      </c>
      <c r="U231" s="127">
        <f>IF(INDEX(MCmin,MATCH(Table36[[#This Row],[Grist]],SMI,0))="-","-",IF(Table36[[#This Row],[F1 %MC]]="-","-",IF(Table36[[#This Row],[F1 %MC]]&lt;INDEX(MCmin,MATCH(Table36[[#This Row],[Grist]],SMI,0)),0,IF(Table36[[#This Row],[F1 %MC]]&gt;INDEX(MCmax,MATCH(Table36[[#This Row],[Grist]],SMI,0)),0,1))))</f>
        <v>1</v>
      </c>
      <c r="V231" s="127" t="str">
        <f>IF(INDEX(Protmin,MATCH(Table36[[#This Row],[Grist]],SMI,0))="-","-",IF(Table36[[#This Row],[%Protein]]="-","-",IF(Table36[[#This Row],[%Protein]]&lt;INDEX(Protmin,MATCH(Table36[[#This Row],[Grist]],SMI,0)),0,IF(Table36[[#This Row],[%Protein]]&gt;INDEX(Protmax,MATCH(Table36[[#This Row],[Grist]],SMI,0)),0,1))))</f>
        <v>-</v>
      </c>
      <c r="W231" s="127" t="str">
        <f>IF(INDEX(Ashmin,MATCH(Table36[[#This Row],[Grist]],SMI,0))="-","-",IF(Table36[[#This Row],[%Ash]]="-","-",IF(Table36[[#This Row],[%Ash]]&lt;INDEX(Ashmin,MATCH(Table36[[#This Row],[Grist]],SMI,0)),0,IF(Table36[[#This Row],[%Ash]]&gt;INDEX(Ashmax,MATCH(Table36[[#This Row],[Grist]],SMI,0)),0,1))))</f>
        <v>-</v>
      </c>
      <c r="X231" s="127" t="str">
        <f>IF(INDEX(Absmin,MATCH(Table36[[#This Row],[Grist]],SMI,0))="-","-",IF(Table36[[#This Row],[%Absorption]]="-","-",IF(Table36[[#This Row],[%Absorption]]&lt;INDEX(Absmin,MATCH(Table36[[#This Row],[Grist]],SMI,0)),0,IF(Table36[[#This Row],[%Absorption]]&gt;INDEX(Absmax,MATCH(Table36[[#This Row],[Grist]],SMI,0)),0,1))))</f>
        <v>-</v>
      </c>
      <c r="Y231" s="127" t="str">
        <f>IF(INDEX(Extmin,MATCH(Table36[[#This Row],[Grist]],SMI,0))="-","-",IF(Table36[[#This Row],[%Extensibility]]="-","-",IF(Table36[[#This Row],[%Extensibility]]&lt;INDEX(Extmin,MATCH(Table36[[#This Row],[Grist]],SMI,0)),0,IF(Table36[[#This Row],[%Extensibility]]&gt;INDEX(Extmax,MATCH(Table36[[#This Row],[Grist]],SMI,0)),0,1))))</f>
        <v>-</v>
      </c>
      <c r="Z231" s="127" t="str">
        <f>IF(INDEX(Resmin,MATCH(Table36[[#This Row],[Grist]],SMI,0))="-","-",IF(Table36[[#This Row],[Resistance, max]]="-","-",IF(Table36[[#This Row],[Resistance, max]]&lt;INDEX(Resmin,MATCH(Table36[[#This Row],[Grist]],SMI,0)),0,IF(Table36[[#This Row],[Resistance, max]]&gt;INDEX(Resmax,MATCH(Table36[[#This Row],[Grist]],SMI,0)),0,1))))</f>
        <v>-</v>
      </c>
      <c r="AA231" s="127" t="str">
        <f>IF(INDEX(WGmin,MATCH(Table36[[#This Row],[Grist]],SMI,0))="-","-",IF(Table36[[#This Row],[%Wet Gluten]]="-","-",IF(Table36[[#This Row],[%Wet Gluten]]&lt;INDEX(WGmin,MATCH(Table36[[#This Row],[Grist]],SMI,0)),0,IF(Table36[[#This Row],[%Wet Gluten]]&gt;INDEX(WGmax,MATCH(Table36[[#This Row],[Grist]],SMI,0)),0,1))))</f>
        <v>-</v>
      </c>
      <c r="AB231" s="127">
        <f>SUM(Table36[[#This Row],[ QI Bran Content]:[QI WG]])</f>
        <v>4</v>
      </c>
      <c r="AC231" s="127">
        <f>COUNT(Table36[[#This Row],[ QI Bran Content]:[QI WG]])</f>
        <v>4</v>
      </c>
    </row>
    <row r="232" spans="1:29" x14ac:dyDescent="0.35">
      <c r="A232" s="177">
        <v>45292</v>
      </c>
      <c r="B232" s="178">
        <v>45321</v>
      </c>
      <c r="C232" s="178" t="s">
        <v>125</v>
      </c>
      <c r="D232" s="179" t="s">
        <v>238</v>
      </c>
      <c r="E232" s="180" t="s">
        <v>0</v>
      </c>
      <c r="F232" s="181" t="s">
        <v>27</v>
      </c>
      <c r="G232" s="182">
        <v>9.1000000000000004E-3</v>
      </c>
      <c r="H232" s="175" t="s">
        <v>165</v>
      </c>
      <c r="I232" s="175" t="s">
        <v>165</v>
      </c>
      <c r="J232" s="175" t="s">
        <v>165</v>
      </c>
      <c r="K232" s="175">
        <v>11.75</v>
      </c>
      <c r="L232" s="175" t="s">
        <v>163</v>
      </c>
      <c r="M232" s="175" t="s">
        <v>163</v>
      </c>
      <c r="N232" s="175" t="s">
        <v>163</v>
      </c>
      <c r="O232" s="175" t="s">
        <v>163</v>
      </c>
      <c r="P232" s="175" t="s">
        <v>163</v>
      </c>
      <c r="Q232" s="175" t="s">
        <v>163</v>
      </c>
      <c r="R232" s="127">
        <f>IF(Table36[[#This Row],[ Bran Content]]="-","-",IF(G232&lt;0.02,1,0))</f>
        <v>1</v>
      </c>
      <c r="S232" s="127">
        <f>IF(Table36[[#This Row],[Sieve Test]]="-","-",IF(Table36[[#This Row],[Sieve Test]]="P",1,0))</f>
        <v>1</v>
      </c>
      <c r="T232" s="127">
        <f>IF(Table36[[#This Row],[Odor]]="-","-",IF(Table36[[#This Row],[Odor]]="P",1,0))</f>
        <v>1</v>
      </c>
      <c r="U232" s="127">
        <f>IF(INDEX(MCmin,MATCH(Table36[[#This Row],[Grist]],SMI,0))="-","-",IF(Table36[[#This Row],[F1 %MC]]="-","-",IF(Table36[[#This Row],[F1 %MC]]&lt;INDEX(MCmin,MATCH(Table36[[#This Row],[Grist]],SMI,0)),0,IF(Table36[[#This Row],[F1 %MC]]&gt;INDEX(MCmax,MATCH(Table36[[#This Row],[Grist]],SMI,0)),0,1))))</f>
        <v>0</v>
      </c>
      <c r="V232" s="127" t="str">
        <f>IF(INDEX(Protmin,MATCH(Table36[[#This Row],[Grist]],SMI,0))="-","-",IF(Table36[[#This Row],[%Protein]]="-","-",IF(Table36[[#This Row],[%Protein]]&lt;INDEX(Protmin,MATCH(Table36[[#This Row],[Grist]],SMI,0)),0,IF(Table36[[#This Row],[%Protein]]&gt;INDEX(Protmax,MATCH(Table36[[#This Row],[Grist]],SMI,0)),0,1))))</f>
        <v>-</v>
      </c>
      <c r="W232" s="127" t="str">
        <f>IF(INDEX(Ashmin,MATCH(Table36[[#This Row],[Grist]],SMI,0))="-","-",IF(Table36[[#This Row],[%Ash]]="-","-",IF(Table36[[#This Row],[%Ash]]&lt;INDEX(Ashmin,MATCH(Table36[[#This Row],[Grist]],SMI,0)),0,IF(Table36[[#This Row],[%Ash]]&gt;INDEX(Ashmax,MATCH(Table36[[#This Row],[Grist]],SMI,0)),0,1))))</f>
        <v>-</v>
      </c>
      <c r="X232" s="127" t="str">
        <f>IF(INDEX(Absmin,MATCH(Table36[[#This Row],[Grist]],SMI,0))="-","-",IF(Table36[[#This Row],[%Absorption]]="-","-",IF(Table36[[#This Row],[%Absorption]]&lt;INDEX(Absmin,MATCH(Table36[[#This Row],[Grist]],SMI,0)),0,IF(Table36[[#This Row],[%Absorption]]&gt;INDEX(Absmax,MATCH(Table36[[#This Row],[Grist]],SMI,0)),0,1))))</f>
        <v>-</v>
      </c>
      <c r="Y232" s="127" t="str">
        <f>IF(INDEX(Extmin,MATCH(Table36[[#This Row],[Grist]],SMI,0))="-","-",IF(Table36[[#This Row],[%Extensibility]]="-","-",IF(Table36[[#This Row],[%Extensibility]]&lt;INDEX(Extmin,MATCH(Table36[[#This Row],[Grist]],SMI,0)),0,IF(Table36[[#This Row],[%Extensibility]]&gt;INDEX(Extmax,MATCH(Table36[[#This Row],[Grist]],SMI,0)),0,1))))</f>
        <v>-</v>
      </c>
      <c r="Z232" s="127" t="str">
        <f>IF(INDEX(Resmin,MATCH(Table36[[#This Row],[Grist]],SMI,0))="-","-",IF(Table36[[#This Row],[Resistance, max]]="-","-",IF(Table36[[#This Row],[Resistance, max]]&lt;INDEX(Resmin,MATCH(Table36[[#This Row],[Grist]],SMI,0)),0,IF(Table36[[#This Row],[Resistance, max]]&gt;INDEX(Resmax,MATCH(Table36[[#This Row],[Grist]],SMI,0)),0,1))))</f>
        <v>-</v>
      </c>
      <c r="AA232" s="127" t="str">
        <f>IF(INDEX(WGmin,MATCH(Table36[[#This Row],[Grist]],SMI,0))="-","-",IF(Table36[[#This Row],[%Wet Gluten]]="-","-",IF(Table36[[#This Row],[%Wet Gluten]]&lt;INDEX(WGmin,MATCH(Table36[[#This Row],[Grist]],SMI,0)),0,IF(Table36[[#This Row],[%Wet Gluten]]&gt;INDEX(WGmax,MATCH(Table36[[#This Row],[Grist]],SMI,0)),0,1))))</f>
        <v>-</v>
      </c>
      <c r="AB232" s="127">
        <f>SUM(Table36[[#This Row],[ QI Bran Content]:[QI WG]])</f>
        <v>3</v>
      </c>
      <c r="AC232" s="127">
        <f>COUNT(Table36[[#This Row],[ QI Bran Content]:[QI WG]])</f>
        <v>4</v>
      </c>
    </row>
    <row r="233" spans="1:29" x14ac:dyDescent="0.35">
      <c r="A233" s="177">
        <v>45292</v>
      </c>
      <c r="B233" s="178">
        <v>45321</v>
      </c>
      <c r="C233" s="178" t="s">
        <v>128</v>
      </c>
      <c r="D233" s="179">
        <v>0.625</v>
      </c>
      <c r="E233" s="180" t="s">
        <v>0</v>
      </c>
      <c r="F233" s="181" t="s">
        <v>27</v>
      </c>
      <c r="G233" s="182">
        <v>4.8999999999999998E-3</v>
      </c>
      <c r="H233" s="175" t="s">
        <v>165</v>
      </c>
      <c r="I233" s="175" t="s">
        <v>165</v>
      </c>
      <c r="J233" s="175" t="s">
        <v>165</v>
      </c>
      <c r="K233" s="175">
        <v>10.92</v>
      </c>
      <c r="L233" s="175">
        <v>12.91</v>
      </c>
      <c r="M233" s="175">
        <v>0.63</v>
      </c>
      <c r="N233" s="175">
        <v>64.099999999999994</v>
      </c>
      <c r="O233" s="175" t="s">
        <v>163</v>
      </c>
      <c r="P233" s="175" t="s">
        <v>163</v>
      </c>
      <c r="Q233" s="175">
        <v>36.71</v>
      </c>
      <c r="R233" s="127">
        <f>IF(Table36[[#This Row],[ Bran Content]]="-","-",IF(G233&lt;0.02,1,0))</f>
        <v>1</v>
      </c>
      <c r="S233" s="127">
        <f>IF(Table36[[#This Row],[Sieve Test]]="-","-",IF(Table36[[#This Row],[Sieve Test]]="P",1,0))</f>
        <v>1</v>
      </c>
      <c r="T233" s="127">
        <f>IF(Table36[[#This Row],[Odor]]="-","-",IF(Table36[[#This Row],[Odor]]="P",1,0))</f>
        <v>1</v>
      </c>
      <c r="U233" s="127">
        <f>IF(INDEX(MCmin,MATCH(Table36[[#This Row],[Grist]],SMI,0))="-","-",IF(Table36[[#This Row],[F1 %MC]]="-","-",IF(Table36[[#This Row],[F1 %MC]]&lt;INDEX(MCmin,MATCH(Table36[[#This Row],[Grist]],SMI,0)),0,IF(Table36[[#This Row],[F1 %MC]]&gt;INDEX(MCmax,MATCH(Table36[[#This Row],[Grist]],SMI,0)),0,1))))</f>
        <v>0</v>
      </c>
      <c r="V233" s="127">
        <f>IF(INDEX(Protmin,MATCH(Table36[[#This Row],[Grist]],SMI,0))="-","-",IF(Table36[[#This Row],[%Protein]]="-","-",IF(Table36[[#This Row],[%Protein]]&lt;INDEX(Protmin,MATCH(Table36[[#This Row],[Grist]],SMI,0)),0,IF(Table36[[#This Row],[%Protein]]&gt;INDEX(Protmax,MATCH(Table36[[#This Row],[Grist]],SMI,0)),0,1))))</f>
        <v>1</v>
      </c>
      <c r="W233" s="127">
        <f>IF(INDEX(Ashmin,MATCH(Table36[[#This Row],[Grist]],SMI,0))="-","-",IF(Table36[[#This Row],[%Ash]]="-","-",IF(Table36[[#This Row],[%Ash]]&lt;INDEX(Ashmin,MATCH(Table36[[#This Row],[Grist]],SMI,0)),0,IF(Table36[[#This Row],[%Ash]]&gt;INDEX(Ashmax,MATCH(Table36[[#This Row],[Grist]],SMI,0)),0,1))))</f>
        <v>1</v>
      </c>
      <c r="X233" s="127">
        <f>IF(INDEX(Absmin,MATCH(Table36[[#This Row],[Grist]],SMI,0))="-","-",IF(Table36[[#This Row],[%Absorption]]="-","-",IF(Table36[[#This Row],[%Absorption]]&lt;INDEX(Absmin,MATCH(Table36[[#This Row],[Grist]],SMI,0)),0,IF(Table36[[#This Row],[%Absorption]]&gt;INDEX(Absmax,MATCH(Table36[[#This Row],[Grist]],SMI,0)),0,1))))</f>
        <v>1</v>
      </c>
      <c r="Y233" s="127" t="str">
        <f>IF(INDEX(Extmin,MATCH(Table36[[#This Row],[Grist]],SMI,0))="-","-",IF(Table36[[#This Row],[%Extensibility]]="-","-",IF(Table36[[#This Row],[%Extensibility]]&lt;INDEX(Extmin,MATCH(Table36[[#This Row],[Grist]],SMI,0)),0,IF(Table36[[#This Row],[%Extensibility]]&gt;INDEX(Extmax,MATCH(Table36[[#This Row],[Grist]],SMI,0)),0,1))))</f>
        <v>-</v>
      </c>
      <c r="Z233" s="127" t="str">
        <f>IF(INDEX(Resmin,MATCH(Table36[[#This Row],[Grist]],SMI,0))="-","-",IF(Table36[[#This Row],[Resistance, max]]="-","-",IF(Table36[[#This Row],[Resistance, max]]&lt;INDEX(Resmin,MATCH(Table36[[#This Row],[Grist]],SMI,0)),0,IF(Table36[[#This Row],[Resistance, max]]&gt;INDEX(Resmax,MATCH(Table36[[#This Row],[Grist]],SMI,0)),0,1))))</f>
        <v>-</v>
      </c>
      <c r="AA233" s="127">
        <f>IF(INDEX(WGmin,MATCH(Table36[[#This Row],[Grist]],SMI,0))="-","-",IF(Table36[[#This Row],[%Wet Gluten]]="-","-",IF(Table36[[#This Row],[%Wet Gluten]]&lt;INDEX(WGmin,MATCH(Table36[[#This Row],[Grist]],SMI,0)),0,IF(Table36[[#This Row],[%Wet Gluten]]&gt;INDEX(WGmax,MATCH(Table36[[#This Row],[Grist]],SMI,0)),0,1))))</f>
        <v>1</v>
      </c>
      <c r="AB233" s="127">
        <f>SUM(Table36[[#This Row],[ QI Bran Content]:[QI WG]])</f>
        <v>7</v>
      </c>
      <c r="AC233" s="127">
        <f>COUNT(Table36[[#This Row],[ QI Bran Content]:[QI WG]])</f>
        <v>8</v>
      </c>
    </row>
    <row r="234" spans="1:29" x14ac:dyDescent="0.35">
      <c r="A234" s="177">
        <v>45292</v>
      </c>
      <c r="B234" s="178">
        <v>45321</v>
      </c>
      <c r="C234" s="178" t="s">
        <v>128</v>
      </c>
      <c r="D234" s="179">
        <v>0.79166666666666596</v>
      </c>
      <c r="E234" s="180" t="s">
        <v>0</v>
      </c>
      <c r="F234" s="181" t="s">
        <v>27</v>
      </c>
      <c r="G234" s="182">
        <v>7.1000000000000004E-3</v>
      </c>
      <c r="H234" s="175" t="s">
        <v>165</v>
      </c>
      <c r="I234" s="175" t="s">
        <v>165</v>
      </c>
      <c r="J234" s="175" t="s">
        <v>165</v>
      </c>
      <c r="K234" s="175">
        <v>10.72</v>
      </c>
      <c r="L234" s="175" t="s">
        <v>163</v>
      </c>
      <c r="M234" s="175" t="s">
        <v>163</v>
      </c>
      <c r="N234" s="175" t="s">
        <v>163</v>
      </c>
      <c r="O234" s="175" t="s">
        <v>163</v>
      </c>
      <c r="P234" s="175" t="s">
        <v>163</v>
      </c>
      <c r="Q234" s="175" t="s">
        <v>163</v>
      </c>
      <c r="R234" s="127">
        <f>IF(Table36[[#This Row],[ Bran Content]]="-","-",IF(G234&lt;0.02,1,0))</f>
        <v>1</v>
      </c>
      <c r="S234" s="127">
        <f>IF(Table36[[#This Row],[Sieve Test]]="-","-",IF(Table36[[#This Row],[Sieve Test]]="P",1,0))</f>
        <v>1</v>
      </c>
      <c r="T234" s="127">
        <f>IF(Table36[[#This Row],[Odor]]="-","-",IF(Table36[[#This Row],[Odor]]="P",1,0))</f>
        <v>1</v>
      </c>
      <c r="U234" s="127">
        <f>IF(INDEX(MCmin,MATCH(Table36[[#This Row],[Grist]],SMI,0))="-","-",IF(Table36[[#This Row],[F1 %MC]]="-","-",IF(Table36[[#This Row],[F1 %MC]]&lt;INDEX(MCmin,MATCH(Table36[[#This Row],[Grist]],SMI,0)),0,IF(Table36[[#This Row],[F1 %MC]]&gt;INDEX(MCmax,MATCH(Table36[[#This Row],[Grist]],SMI,0)),0,1))))</f>
        <v>0</v>
      </c>
      <c r="V234" s="127" t="str">
        <f>IF(INDEX(Protmin,MATCH(Table36[[#This Row],[Grist]],SMI,0))="-","-",IF(Table36[[#This Row],[%Protein]]="-","-",IF(Table36[[#This Row],[%Protein]]&lt;INDEX(Protmin,MATCH(Table36[[#This Row],[Grist]],SMI,0)),0,IF(Table36[[#This Row],[%Protein]]&gt;INDEX(Protmax,MATCH(Table36[[#This Row],[Grist]],SMI,0)),0,1))))</f>
        <v>-</v>
      </c>
      <c r="W234" s="127" t="str">
        <f>IF(INDEX(Ashmin,MATCH(Table36[[#This Row],[Grist]],SMI,0))="-","-",IF(Table36[[#This Row],[%Ash]]="-","-",IF(Table36[[#This Row],[%Ash]]&lt;INDEX(Ashmin,MATCH(Table36[[#This Row],[Grist]],SMI,0)),0,IF(Table36[[#This Row],[%Ash]]&gt;INDEX(Ashmax,MATCH(Table36[[#This Row],[Grist]],SMI,0)),0,1))))</f>
        <v>-</v>
      </c>
      <c r="X234" s="127" t="str">
        <f>IF(INDEX(Absmin,MATCH(Table36[[#This Row],[Grist]],SMI,0))="-","-",IF(Table36[[#This Row],[%Absorption]]="-","-",IF(Table36[[#This Row],[%Absorption]]&lt;INDEX(Absmin,MATCH(Table36[[#This Row],[Grist]],SMI,0)),0,IF(Table36[[#This Row],[%Absorption]]&gt;INDEX(Absmax,MATCH(Table36[[#This Row],[Grist]],SMI,0)),0,1))))</f>
        <v>-</v>
      </c>
      <c r="Y234" s="127" t="str">
        <f>IF(INDEX(Extmin,MATCH(Table36[[#This Row],[Grist]],SMI,0))="-","-",IF(Table36[[#This Row],[%Extensibility]]="-","-",IF(Table36[[#This Row],[%Extensibility]]&lt;INDEX(Extmin,MATCH(Table36[[#This Row],[Grist]],SMI,0)),0,IF(Table36[[#This Row],[%Extensibility]]&gt;INDEX(Extmax,MATCH(Table36[[#This Row],[Grist]],SMI,0)),0,1))))</f>
        <v>-</v>
      </c>
      <c r="Z234" s="127" t="str">
        <f>IF(INDEX(Resmin,MATCH(Table36[[#This Row],[Grist]],SMI,0))="-","-",IF(Table36[[#This Row],[Resistance, max]]="-","-",IF(Table36[[#This Row],[Resistance, max]]&lt;INDEX(Resmin,MATCH(Table36[[#This Row],[Grist]],SMI,0)),0,IF(Table36[[#This Row],[Resistance, max]]&gt;INDEX(Resmax,MATCH(Table36[[#This Row],[Grist]],SMI,0)),0,1))))</f>
        <v>-</v>
      </c>
      <c r="AA234" s="127" t="str">
        <f>IF(INDEX(WGmin,MATCH(Table36[[#This Row],[Grist]],SMI,0))="-","-",IF(Table36[[#This Row],[%Wet Gluten]]="-","-",IF(Table36[[#This Row],[%Wet Gluten]]&lt;INDEX(WGmin,MATCH(Table36[[#This Row],[Grist]],SMI,0)),0,IF(Table36[[#This Row],[%Wet Gluten]]&gt;INDEX(WGmax,MATCH(Table36[[#This Row],[Grist]],SMI,0)),0,1))))</f>
        <v>-</v>
      </c>
      <c r="AB234" s="127">
        <f>SUM(Table36[[#This Row],[ QI Bran Content]:[QI WG]])</f>
        <v>3</v>
      </c>
      <c r="AC234" s="127">
        <f>COUNT(Table36[[#This Row],[ QI Bran Content]:[QI WG]])</f>
        <v>4</v>
      </c>
    </row>
    <row r="235" spans="1:29" x14ac:dyDescent="0.35">
      <c r="A235" s="177">
        <v>45292</v>
      </c>
      <c r="B235" s="178">
        <v>45322</v>
      </c>
      <c r="C235" s="178" t="s">
        <v>128</v>
      </c>
      <c r="D235" s="179">
        <v>0.625</v>
      </c>
      <c r="E235" s="180" t="s">
        <v>0</v>
      </c>
      <c r="F235" s="181" t="s">
        <v>38</v>
      </c>
      <c r="G235" s="182">
        <v>7.4000000000000003E-3</v>
      </c>
      <c r="H235" s="175" t="s">
        <v>165</v>
      </c>
      <c r="I235" s="175" t="s">
        <v>165</v>
      </c>
      <c r="J235" s="175" t="s">
        <v>165</v>
      </c>
      <c r="K235" s="175">
        <v>11.08</v>
      </c>
      <c r="L235" s="175">
        <v>13.04</v>
      </c>
      <c r="M235" s="175">
        <v>0.61</v>
      </c>
      <c r="N235" s="175">
        <v>65.7</v>
      </c>
      <c r="O235" s="175" t="s">
        <v>163</v>
      </c>
      <c r="P235" s="175" t="s">
        <v>163</v>
      </c>
      <c r="Q235" s="175">
        <v>36.6</v>
      </c>
      <c r="R235" s="127">
        <f>IF(Table36[[#This Row],[ Bran Content]]="-","-",IF(G235&lt;0.02,1,0))</f>
        <v>1</v>
      </c>
      <c r="S235" s="127">
        <f>IF(Table36[[#This Row],[Sieve Test]]="-","-",IF(Table36[[#This Row],[Sieve Test]]="P",1,0))</f>
        <v>1</v>
      </c>
      <c r="T235" s="127">
        <f>IF(Table36[[#This Row],[Odor]]="-","-",IF(Table36[[#This Row],[Odor]]="P",1,0))</f>
        <v>1</v>
      </c>
      <c r="U235" s="127">
        <f>IF(INDEX(MCmin,MATCH(Table36[[#This Row],[Grist]],SMI,0))="-","-",IF(Table36[[#This Row],[F1 %MC]]="-","-",IF(Table36[[#This Row],[F1 %MC]]&lt;INDEX(MCmin,MATCH(Table36[[#This Row],[Grist]],SMI,0)),0,IF(Table36[[#This Row],[F1 %MC]]&gt;INDEX(MCmax,MATCH(Table36[[#This Row],[Grist]],SMI,0)),0,1))))</f>
        <v>1</v>
      </c>
      <c r="V235" s="127">
        <f>IF(INDEX(Protmin,MATCH(Table36[[#This Row],[Grist]],SMI,0))="-","-",IF(Table36[[#This Row],[%Protein]]="-","-",IF(Table36[[#This Row],[%Protein]]&lt;INDEX(Protmin,MATCH(Table36[[#This Row],[Grist]],SMI,0)),0,IF(Table36[[#This Row],[%Protein]]&gt;INDEX(Protmax,MATCH(Table36[[#This Row],[Grist]],SMI,0)),0,1))))</f>
        <v>1</v>
      </c>
      <c r="W235" s="127">
        <f>IF(INDEX(Ashmin,MATCH(Table36[[#This Row],[Grist]],SMI,0))="-","-",IF(Table36[[#This Row],[%Ash]]="-","-",IF(Table36[[#This Row],[%Ash]]&lt;INDEX(Ashmin,MATCH(Table36[[#This Row],[Grist]],SMI,0)),0,IF(Table36[[#This Row],[%Ash]]&gt;INDEX(Ashmax,MATCH(Table36[[#This Row],[Grist]],SMI,0)),0,1))))</f>
        <v>0</v>
      </c>
      <c r="X235" s="127">
        <f>IF(INDEX(Absmin,MATCH(Table36[[#This Row],[Grist]],SMI,0))="-","-",IF(Table36[[#This Row],[%Absorption]]="-","-",IF(Table36[[#This Row],[%Absorption]]&lt;INDEX(Absmin,MATCH(Table36[[#This Row],[Grist]],SMI,0)),0,IF(Table36[[#This Row],[%Absorption]]&gt;INDEX(Absmax,MATCH(Table36[[#This Row],[Grist]],SMI,0)),0,1))))</f>
        <v>1</v>
      </c>
      <c r="Y235" s="127" t="str">
        <f>IF(INDEX(Extmin,MATCH(Table36[[#This Row],[Grist]],SMI,0))="-","-",IF(Table36[[#This Row],[%Extensibility]]="-","-",IF(Table36[[#This Row],[%Extensibility]]&lt;INDEX(Extmin,MATCH(Table36[[#This Row],[Grist]],SMI,0)),0,IF(Table36[[#This Row],[%Extensibility]]&gt;INDEX(Extmax,MATCH(Table36[[#This Row],[Grist]],SMI,0)),0,1))))</f>
        <v>-</v>
      </c>
      <c r="Z235" s="127" t="str">
        <f>IF(INDEX(Resmin,MATCH(Table36[[#This Row],[Grist]],SMI,0))="-","-",IF(Table36[[#This Row],[Resistance, max]]="-","-",IF(Table36[[#This Row],[Resistance, max]]&lt;INDEX(Resmin,MATCH(Table36[[#This Row],[Grist]],SMI,0)),0,IF(Table36[[#This Row],[Resistance, max]]&gt;INDEX(Resmax,MATCH(Table36[[#This Row],[Grist]],SMI,0)),0,1))))</f>
        <v>-</v>
      </c>
      <c r="AA235" s="127" t="str">
        <f>IF(INDEX(WGmin,MATCH(Table36[[#This Row],[Grist]],SMI,0))="-","-",IF(Table36[[#This Row],[%Wet Gluten]]="-","-",IF(Table36[[#This Row],[%Wet Gluten]]&lt;INDEX(WGmin,MATCH(Table36[[#This Row],[Grist]],SMI,0)),0,IF(Table36[[#This Row],[%Wet Gluten]]&gt;INDEX(WGmax,MATCH(Table36[[#This Row],[Grist]],SMI,0)),0,1))))</f>
        <v>-</v>
      </c>
      <c r="AB235" s="127">
        <f>SUM(Table36[[#This Row],[ QI Bran Content]:[QI WG]])</f>
        <v>6</v>
      </c>
      <c r="AC235" s="127">
        <f>COUNT(Table36[[#This Row],[ QI Bran Content]:[QI WG]])</f>
        <v>7</v>
      </c>
    </row>
    <row r="236" spans="1:29" x14ac:dyDescent="0.35">
      <c r="A236" s="177">
        <v>45292</v>
      </c>
      <c r="B236" s="178">
        <v>45322</v>
      </c>
      <c r="C236" s="178" t="s">
        <v>128</v>
      </c>
      <c r="D236" s="179">
        <v>0.70833333333333304</v>
      </c>
      <c r="E236" s="180" t="s">
        <v>0</v>
      </c>
      <c r="F236" s="181" t="s">
        <v>38</v>
      </c>
      <c r="G236" s="182">
        <v>7.9000000000000008E-3</v>
      </c>
      <c r="H236" s="175" t="s">
        <v>165</v>
      </c>
      <c r="I236" s="175" t="s">
        <v>165</v>
      </c>
      <c r="J236" s="175" t="s">
        <v>165</v>
      </c>
      <c r="K236" s="175">
        <v>11.75</v>
      </c>
      <c r="L236" s="175" t="s">
        <v>163</v>
      </c>
      <c r="M236" s="175" t="s">
        <v>163</v>
      </c>
      <c r="N236" s="175" t="s">
        <v>163</v>
      </c>
      <c r="O236" s="175" t="s">
        <v>163</v>
      </c>
      <c r="P236" s="175" t="s">
        <v>163</v>
      </c>
      <c r="Q236" s="175" t="s">
        <v>163</v>
      </c>
      <c r="R236" s="127">
        <f>IF(Table36[[#This Row],[ Bran Content]]="-","-",IF(G236&lt;0.02,1,0))</f>
        <v>1</v>
      </c>
      <c r="S236" s="127">
        <f>IF(Table36[[#This Row],[Sieve Test]]="-","-",IF(Table36[[#This Row],[Sieve Test]]="P",1,0))</f>
        <v>1</v>
      </c>
      <c r="T236" s="127">
        <f>IF(Table36[[#This Row],[Odor]]="-","-",IF(Table36[[#This Row],[Odor]]="P",1,0))</f>
        <v>1</v>
      </c>
      <c r="U236" s="127">
        <f>IF(INDEX(MCmin,MATCH(Table36[[#This Row],[Grist]],SMI,0))="-","-",IF(Table36[[#This Row],[F1 %MC]]="-","-",IF(Table36[[#This Row],[F1 %MC]]&lt;INDEX(MCmin,MATCH(Table36[[#This Row],[Grist]],SMI,0)),0,IF(Table36[[#This Row],[F1 %MC]]&gt;INDEX(MCmax,MATCH(Table36[[#This Row],[Grist]],SMI,0)),0,1))))</f>
        <v>1</v>
      </c>
      <c r="V236" s="127" t="str">
        <f>IF(INDEX(Protmin,MATCH(Table36[[#This Row],[Grist]],SMI,0))="-","-",IF(Table36[[#This Row],[%Protein]]="-","-",IF(Table36[[#This Row],[%Protein]]&lt;INDEX(Protmin,MATCH(Table36[[#This Row],[Grist]],SMI,0)),0,IF(Table36[[#This Row],[%Protein]]&gt;INDEX(Protmax,MATCH(Table36[[#This Row],[Grist]],SMI,0)),0,1))))</f>
        <v>-</v>
      </c>
      <c r="W236" s="127" t="str">
        <f>IF(INDEX(Ashmin,MATCH(Table36[[#This Row],[Grist]],SMI,0))="-","-",IF(Table36[[#This Row],[%Ash]]="-","-",IF(Table36[[#This Row],[%Ash]]&lt;INDEX(Ashmin,MATCH(Table36[[#This Row],[Grist]],SMI,0)),0,IF(Table36[[#This Row],[%Ash]]&gt;INDEX(Ashmax,MATCH(Table36[[#This Row],[Grist]],SMI,0)),0,1))))</f>
        <v>-</v>
      </c>
      <c r="X236" s="127" t="str">
        <f>IF(INDEX(Absmin,MATCH(Table36[[#This Row],[Grist]],SMI,0))="-","-",IF(Table36[[#This Row],[%Absorption]]="-","-",IF(Table36[[#This Row],[%Absorption]]&lt;INDEX(Absmin,MATCH(Table36[[#This Row],[Grist]],SMI,0)),0,IF(Table36[[#This Row],[%Absorption]]&gt;INDEX(Absmax,MATCH(Table36[[#This Row],[Grist]],SMI,0)),0,1))))</f>
        <v>-</v>
      </c>
      <c r="Y236" s="127" t="str">
        <f>IF(INDEX(Extmin,MATCH(Table36[[#This Row],[Grist]],SMI,0))="-","-",IF(Table36[[#This Row],[%Extensibility]]="-","-",IF(Table36[[#This Row],[%Extensibility]]&lt;INDEX(Extmin,MATCH(Table36[[#This Row],[Grist]],SMI,0)),0,IF(Table36[[#This Row],[%Extensibility]]&gt;INDEX(Extmax,MATCH(Table36[[#This Row],[Grist]],SMI,0)),0,1))))</f>
        <v>-</v>
      </c>
      <c r="Z236" s="127" t="str">
        <f>IF(INDEX(Resmin,MATCH(Table36[[#This Row],[Grist]],SMI,0))="-","-",IF(Table36[[#This Row],[Resistance, max]]="-","-",IF(Table36[[#This Row],[Resistance, max]]&lt;INDEX(Resmin,MATCH(Table36[[#This Row],[Grist]],SMI,0)),0,IF(Table36[[#This Row],[Resistance, max]]&gt;INDEX(Resmax,MATCH(Table36[[#This Row],[Grist]],SMI,0)),0,1))))</f>
        <v>-</v>
      </c>
      <c r="AA236" s="127" t="str">
        <f>IF(INDEX(WGmin,MATCH(Table36[[#This Row],[Grist]],SMI,0))="-","-",IF(Table36[[#This Row],[%Wet Gluten]]="-","-",IF(Table36[[#This Row],[%Wet Gluten]]&lt;INDEX(WGmin,MATCH(Table36[[#This Row],[Grist]],SMI,0)),0,IF(Table36[[#This Row],[%Wet Gluten]]&gt;INDEX(WGmax,MATCH(Table36[[#This Row],[Grist]],SMI,0)),0,1))))</f>
        <v>-</v>
      </c>
      <c r="AB236" s="127">
        <f>SUM(Table36[[#This Row],[ QI Bran Content]:[QI WG]])</f>
        <v>4</v>
      </c>
      <c r="AC236" s="127">
        <f>COUNT(Table36[[#This Row],[ QI Bran Content]:[QI WG]])</f>
        <v>4</v>
      </c>
    </row>
    <row r="237" spans="1:29" x14ac:dyDescent="0.35">
      <c r="A237" s="177">
        <v>45292</v>
      </c>
      <c r="B237" s="178">
        <v>45322</v>
      </c>
      <c r="C237" s="178" t="s">
        <v>128</v>
      </c>
      <c r="D237" s="179">
        <v>0.79166666666666596</v>
      </c>
      <c r="E237" s="180" t="s">
        <v>0</v>
      </c>
      <c r="F237" s="181" t="s">
        <v>38</v>
      </c>
      <c r="G237" s="182">
        <v>3.8999999999999998E-3</v>
      </c>
      <c r="H237" s="175" t="s">
        <v>165</v>
      </c>
      <c r="I237" s="175" t="s">
        <v>165</v>
      </c>
      <c r="J237" s="175" t="s">
        <v>165</v>
      </c>
      <c r="K237" s="175">
        <v>11.95</v>
      </c>
      <c r="L237" s="175" t="s">
        <v>163</v>
      </c>
      <c r="M237" s="175" t="s">
        <v>163</v>
      </c>
      <c r="N237" s="175" t="s">
        <v>163</v>
      </c>
      <c r="O237" s="175" t="s">
        <v>163</v>
      </c>
      <c r="P237" s="175" t="s">
        <v>163</v>
      </c>
      <c r="Q237" s="175" t="s">
        <v>163</v>
      </c>
      <c r="R237" s="127">
        <f>IF(Table36[[#This Row],[ Bran Content]]="-","-",IF(G237&lt;0.02,1,0))</f>
        <v>1</v>
      </c>
      <c r="S237" s="127">
        <f>IF(Table36[[#This Row],[Sieve Test]]="-","-",IF(Table36[[#This Row],[Sieve Test]]="P",1,0))</f>
        <v>1</v>
      </c>
      <c r="T237" s="127">
        <f>IF(Table36[[#This Row],[Odor]]="-","-",IF(Table36[[#This Row],[Odor]]="P",1,0))</f>
        <v>1</v>
      </c>
      <c r="U237" s="127">
        <f>IF(INDEX(MCmin,MATCH(Table36[[#This Row],[Grist]],SMI,0))="-","-",IF(Table36[[#This Row],[F1 %MC]]="-","-",IF(Table36[[#This Row],[F1 %MC]]&lt;INDEX(MCmin,MATCH(Table36[[#This Row],[Grist]],SMI,0)),0,IF(Table36[[#This Row],[F1 %MC]]&gt;INDEX(MCmax,MATCH(Table36[[#This Row],[Grist]],SMI,0)),0,1))))</f>
        <v>1</v>
      </c>
      <c r="V237" s="127" t="str">
        <f>IF(INDEX(Protmin,MATCH(Table36[[#This Row],[Grist]],SMI,0))="-","-",IF(Table36[[#This Row],[%Protein]]="-","-",IF(Table36[[#This Row],[%Protein]]&lt;INDEX(Protmin,MATCH(Table36[[#This Row],[Grist]],SMI,0)),0,IF(Table36[[#This Row],[%Protein]]&gt;INDEX(Protmax,MATCH(Table36[[#This Row],[Grist]],SMI,0)),0,1))))</f>
        <v>-</v>
      </c>
      <c r="W237" s="127" t="str">
        <f>IF(INDEX(Ashmin,MATCH(Table36[[#This Row],[Grist]],SMI,0))="-","-",IF(Table36[[#This Row],[%Ash]]="-","-",IF(Table36[[#This Row],[%Ash]]&lt;INDEX(Ashmin,MATCH(Table36[[#This Row],[Grist]],SMI,0)),0,IF(Table36[[#This Row],[%Ash]]&gt;INDEX(Ashmax,MATCH(Table36[[#This Row],[Grist]],SMI,0)),0,1))))</f>
        <v>-</v>
      </c>
      <c r="X237" s="127" t="str">
        <f>IF(INDEX(Absmin,MATCH(Table36[[#This Row],[Grist]],SMI,0))="-","-",IF(Table36[[#This Row],[%Absorption]]="-","-",IF(Table36[[#This Row],[%Absorption]]&lt;INDEX(Absmin,MATCH(Table36[[#This Row],[Grist]],SMI,0)),0,IF(Table36[[#This Row],[%Absorption]]&gt;INDEX(Absmax,MATCH(Table36[[#This Row],[Grist]],SMI,0)),0,1))))</f>
        <v>-</v>
      </c>
      <c r="Y237" s="127" t="str">
        <f>IF(INDEX(Extmin,MATCH(Table36[[#This Row],[Grist]],SMI,0))="-","-",IF(Table36[[#This Row],[%Extensibility]]="-","-",IF(Table36[[#This Row],[%Extensibility]]&lt;INDEX(Extmin,MATCH(Table36[[#This Row],[Grist]],SMI,0)),0,IF(Table36[[#This Row],[%Extensibility]]&gt;INDEX(Extmax,MATCH(Table36[[#This Row],[Grist]],SMI,0)),0,1))))</f>
        <v>-</v>
      </c>
      <c r="Z237" s="127" t="str">
        <f>IF(INDEX(Resmin,MATCH(Table36[[#This Row],[Grist]],SMI,0))="-","-",IF(Table36[[#This Row],[Resistance, max]]="-","-",IF(Table36[[#This Row],[Resistance, max]]&lt;INDEX(Resmin,MATCH(Table36[[#This Row],[Grist]],SMI,0)),0,IF(Table36[[#This Row],[Resistance, max]]&gt;INDEX(Resmax,MATCH(Table36[[#This Row],[Grist]],SMI,0)),0,1))))</f>
        <v>-</v>
      </c>
      <c r="AA237" s="127" t="str">
        <f>IF(INDEX(WGmin,MATCH(Table36[[#This Row],[Grist]],SMI,0))="-","-",IF(Table36[[#This Row],[%Wet Gluten]]="-","-",IF(Table36[[#This Row],[%Wet Gluten]]&lt;INDEX(WGmin,MATCH(Table36[[#This Row],[Grist]],SMI,0)),0,IF(Table36[[#This Row],[%Wet Gluten]]&gt;INDEX(WGmax,MATCH(Table36[[#This Row],[Grist]],SMI,0)),0,1))))</f>
        <v>-</v>
      </c>
      <c r="AB237" s="127">
        <f>SUM(Table36[[#This Row],[ QI Bran Content]:[QI WG]])</f>
        <v>4</v>
      </c>
      <c r="AC237" s="127">
        <f>COUNT(Table36[[#This Row],[ QI Bran Content]:[QI WG]])</f>
        <v>4</v>
      </c>
    </row>
    <row r="238" spans="1:29" x14ac:dyDescent="0.35">
      <c r="A238" s="177">
        <v>45292</v>
      </c>
      <c r="B238" s="178">
        <v>45322</v>
      </c>
      <c r="C238" s="178" t="s">
        <v>128</v>
      </c>
      <c r="D238" s="179">
        <v>0.874999999999999</v>
      </c>
      <c r="E238" s="180" t="s">
        <v>0</v>
      </c>
      <c r="F238" s="181" t="s">
        <v>38</v>
      </c>
      <c r="G238" s="182">
        <v>7.7999999999999996E-3</v>
      </c>
      <c r="H238" s="175" t="s">
        <v>165</v>
      </c>
      <c r="I238" s="175" t="s">
        <v>165</v>
      </c>
      <c r="J238" s="175" t="s">
        <v>165</v>
      </c>
      <c r="K238" s="175">
        <v>11.64</v>
      </c>
      <c r="L238" s="175" t="s">
        <v>163</v>
      </c>
      <c r="M238" s="175" t="s">
        <v>163</v>
      </c>
      <c r="N238" s="175" t="s">
        <v>163</v>
      </c>
      <c r="O238" s="175" t="s">
        <v>163</v>
      </c>
      <c r="P238" s="175" t="s">
        <v>163</v>
      </c>
      <c r="Q238" s="175" t="s">
        <v>163</v>
      </c>
      <c r="R238" s="127">
        <f>IF(Table36[[#This Row],[ Bran Content]]="-","-",IF(G238&lt;0.02,1,0))</f>
        <v>1</v>
      </c>
      <c r="S238" s="127">
        <f>IF(Table36[[#This Row],[Sieve Test]]="-","-",IF(Table36[[#This Row],[Sieve Test]]="P",1,0))</f>
        <v>1</v>
      </c>
      <c r="T238" s="127">
        <f>IF(Table36[[#This Row],[Odor]]="-","-",IF(Table36[[#This Row],[Odor]]="P",1,0))</f>
        <v>1</v>
      </c>
      <c r="U238" s="127">
        <f>IF(INDEX(MCmin,MATCH(Table36[[#This Row],[Grist]],SMI,0))="-","-",IF(Table36[[#This Row],[F1 %MC]]="-","-",IF(Table36[[#This Row],[F1 %MC]]&lt;INDEX(MCmin,MATCH(Table36[[#This Row],[Grist]],SMI,0)),0,IF(Table36[[#This Row],[F1 %MC]]&gt;INDEX(MCmax,MATCH(Table36[[#This Row],[Grist]],SMI,0)),0,1))))</f>
        <v>1</v>
      </c>
      <c r="V238" s="127" t="str">
        <f>IF(INDEX(Protmin,MATCH(Table36[[#This Row],[Grist]],SMI,0))="-","-",IF(Table36[[#This Row],[%Protein]]="-","-",IF(Table36[[#This Row],[%Protein]]&lt;INDEX(Protmin,MATCH(Table36[[#This Row],[Grist]],SMI,0)),0,IF(Table36[[#This Row],[%Protein]]&gt;INDEX(Protmax,MATCH(Table36[[#This Row],[Grist]],SMI,0)),0,1))))</f>
        <v>-</v>
      </c>
      <c r="W238" s="127" t="str">
        <f>IF(INDEX(Ashmin,MATCH(Table36[[#This Row],[Grist]],SMI,0))="-","-",IF(Table36[[#This Row],[%Ash]]="-","-",IF(Table36[[#This Row],[%Ash]]&lt;INDEX(Ashmin,MATCH(Table36[[#This Row],[Grist]],SMI,0)),0,IF(Table36[[#This Row],[%Ash]]&gt;INDEX(Ashmax,MATCH(Table36[[#This Row],[Grist]],SMI,0)),0,1))))</f>
        <v>-</v>
      </c>
      <c r="X238" s="127" t="str">
        <f>IF(INDEX(Absmin,MATCH(Table36[[#This Row],[Grist]],SMI,0))="-","-",IF(Table36[[#This Row],[%Absorption]]="-","-",IF(Table36[[#This Row],[%Absorption]]&lt;INDEX(Absmin,MATCH(Table36[[#This Row],[Grist]],SMI,0)),0,IF(Table36[[#This Row],[%Absorption]]&gt;INDEX(Absmax,MATCH(Table36[[#This Row],[Grist]],SMI,0)),0,1))))</f>
        <v>-</v>
      </c>
      <c r="Y238" s="127" t="str">
        <f>IF(INDEX(Extmin,MATCH(Table36[[#This Row],[Grist]],SMI,0))="-","-",IF(Table36[[#This Row],[%Extensibility]]="-","-",IF(Table36[[#This Row],[%Extensibility]]&lt;INDEX(Extmin,MATCH(Table36[[#This Row],[Grist]],SMI,0)),0,IF(Table36[[#This Row],[%Extensibility]]&gt;INDEX(Extmax,MATCH(Table36[[#This Row],[Grist]],SMI,0)),0,1))))</f>
        <v>-</v>
      </c>
      <c r="Z238" s="127" t="str">
        <f>IF(INDEX(Resmin,MATCH(Table36[[#This Row],[Grist]],SMI,0))="-","-",IF(Table36[[#This Row],[Resistance, max]]="-","-",IF(Table36[[#This Row],[Resistance, max]]&lt;INDEX(Resmin,MATCH(Table36[[#This Row],[Grist]],SMI,0)),0,IF(Table36[[#This Row],[Resistance, max]]&gt;INDEX(Resmax,MATCH(Table36[[#This Row],[Grist]],SMI,0)),0,1))))</f>
        <v>-</v>
      </c>
      <c r="AA238" s="127" t="str">
        <f>IF(INDEX(WGmin,MATCH(Table36[[#This Row],[Grist]],SMI,0))="-","-",IF(Table36[[#This Row],[%Wet Gluten]]="-","-",IF(Table36[[#This Row],[%Wet Gluten]]&lt;INDEX(WGmin,MATCH(Table36[[#This Row],[Grist]],SMI,0)),0,IF(Table36[[#This Row],[%Wet Gluten]]&gt;INDEX(WGmax,MATCH(Table36[[#This Row],[Grist]],SMI,0)),0,1))))</f>
        <v>-</v>
      </c>
      <c r="AB238" s="127">
        <f>SUM(Table36[[#This Row],[ QI Bran Content]:[QI WG]])</f>
        <v>4</v>
      </c>
      <c r="AC238" s="127">
        <f>COUNT(Table36[[#This Row],[ QI Bran Content]:[QI WG]])</f>
        <v>4</v>
      </c>
    </row>
    <row r="239" spans="1:29" x14ac:dyDescent="0.35">
      <c r="A239" s="177">
        <v>45292</v>
      </c>
      <c r="B239" s="178">
        <v>45322</v>
      </c>
      <c r="C239" s="178" t="s">
        <v>128</v>
      </c>
      <c r="D239" s="179">
        <v>0.95833333333333337</v>
      </c>
      <c r="E239" s="180" t="s">
        <v>0</v>
      </c>
      <c r="F239" s="181" t="s">
        <v>27</v>
      </c>
      <c r="G239" s="182">
        <v>7.9000000000000008E-3</v>
      </c>
      <c r="H239" s="175" t="s">
        <v>165</v>
      </c>
      <c r="I239" s="175" t="s">
        <v>165</v>
      </c>
      <c r="J239" s="175" t="s">
        <v>165</v>
      </c>
      <c r="K239" s="175">
        <v>12.08</v>
      </c>
      <c r="L239" s="175">
        <v>13.48</v>
      </c>
      <c r="M239" s="175">
        <v>0.56000000000000005</v>
      </c>
      <c r="N239" s="175">
        <v>65.5</v>
      </c>
      <c r="O239" s="175" t="s">
        <v>163</v>
      </c>
      <c r="P239" s="175" t="s">
        <v>163</v>
      </c>
      <c r="Q239" s="175">
        <v>37.18</v>
      </c>
      <c r="R239" s="127">
        <f>IF(Table36[[#This Row],[ Bran Content]]="-","-",IF(G239&lt;0.02,1,0))</f>
        <v>1</v>
      </c>
      <c r="S239" s="127">
        <f>IF(Table36[[#This Row],[Sieve Test]]="-","-",IF(Table36[[#This Row],[Sieve Test]]="P",1,0))</f>
        <v>1</v>
      </c>
      <c r="T239" s="127">
        <f>IF(Table36[[#This Row],[Odor]]="-","-",IF(Table36[[#This Row],[Odor]]="P",1,0))</f>
        <v>1</v>
      </c>
      <c r="U239" s="127">
        <f>IF(INDEX(MCmin,MATCH(Table36[[#This Row],[Grist]],SMI,0))="-","-",IF(Table36[[#This Row],[F1 %MC]]="-","-",IF(Table36[[#This Row],[F1 %MC]]&lt;INDEX(MCmin,MATCH(Table36[[#This Row],[Grist]],SMI,0)),0,IF(Table36[[#This Row],[F1 %MC]]&gt;INDEX(MCmax,MATCH(Table36[[#This Row],[Grist]],SMI,0)),0,1))))</f>
        <v>1</v>
      </c>
      <c r="V239" s="127">
        <f>IF(INDEX(Protmin,MATCH(Table36[[#This Row],[Grist]],SMI,0))="-","-",IF(Table36[[#This Row],[%Protein]]="-","-",IF(Table36[[#This Row],[%Protein]]&lt;INDEX(Protmin,MATCH(Table36[[#This Row],[Grist]],SMI,0)),0,IF(Table36[[#This Row],[%Protein]]&gt;INDEX(Protmax,MATCH(Table36[[#This Row],[Grist]],SMI,0)),0,1))))</f>
        <v>1</v>
      </c>
      <c r="W239" s="127">
        <f>IF(INDEX(Ashmin,MATCH(Table36[[#This Row],[Grist]],SMI,0))="-","-",IF(Table36[[#This Row],[%Ash]]="-","-",IF(Table36[[#This Row],[%Ash]]&lt;INDEX(Ashmin,MATCH(Table36[[#This Row],[Grist]],SMI,0)),0,IF(Table36[[#This Row],[%Ash]]&gt;INDEX(Ashmax,MATCH(Table36[[#This Row],[Grist]],SMI,0)),0,1))))</f>
        <v>1</v>
      </c>
      <c r="X239" s="127">
        <f>IF(INDEX(Absmin,MATCH(Table36[[#This Row],[Grist]],SMI,0))="-","-",IF(Table36[[#This Row],[%Absorption]]="-","-",IF(Table36[[#This Row],[%Absorption]]&lt;INDEX(Absmin,MATCH(Table36[[#This Row],[Grist]],SMI,0)),0,IF(Table36[[#This Row],[%Absorption]]&gt;INDEX(Absmax,MATCH(Table36[[#This Row],[Grist]],SMI,0)),0,1))))</f>
        <v>1</v>
      </c>
      <c r="Y239" s="127" t="str">
        <f>IF(INDEX(Extmin,MATCH(Table36[[#This Row],[Grist]],SMI,0))="-","-",IF(Table36[[#This Row],[%Extensibility]]="-","-",IF(Table36[[#This Row],[%Extensibility]]&lt;INDEX(Extmin,MATCH(Table36[[#This Row],[Grist]],SMI,0)),0,IF(Table36[[#This Row],[%Extensibility]]&gt;INDEX(Extmax,MATCH(Table36[[#This Row],[Grist]],SMI,0)),0,1))))</f>
        <v>-</v>
      </c>
      <c r="Z239" s="127" t="str">
        <f>IF(INDEX(Resmin,MATCH(Table36[[#This Row],[Grist]],SMI,0))="-","-",IF(Table36[[#This Row],[Resistance, max]]="-","-",IF(Table36[[#This Row],[Resistance, max]]&lt;INDEX(Resmin,MATCH(Table36[[#This Row],[Grist]],SMI,0)),0,IF(Table36[[#This Row],[Resistance, max]]&gt;INDEX(Resmax,MATCH(Table36[[#This Row],[Grist]],SMI,0)),0,1))))</f>
        <v>-</v>
      </c>
      <c r="AA239" s="127">
        <f>IF(INDEX(WGmin,MATCH(Table36[[#This Row],[Grist]],SMI,0))="-","-",IF(Table36[[#This Row],[%Wet Gluten]]="-","-",IF(Table36[[#This Row],[%Wet Gluten]]&lt;INDEX(WGmin,MATCH(Table36[[#This Row],[Grist]],SMI,0)),0,IF(Table36[[#This Row],[%Wet Gluten]]&gt;INDEX(WGmax,MATCH(Table36[[#This Row],[Grist]],SMI,0)),0,1))))</f>
        <v>1</v>
      </c>
      <c r="AB239" s="127">
        <f>SUM(Table36[[#This Row],[ QI Bran Content]:[QI WG]])</f>
        <v>8</v>
      </c>
      <c r="AC239" s="127">
        <f>COUNT(Table36[[#This Row],[ QI Bran Content]:[QI WG]])</f>
        <v>8</v>
      </c>
    </row>
    <row r="240" spans="1:29" x14ac:dyDescent="0.35">
      <c r="A240" s="177">
        <v>45292</v>
      </c>
      <c r="B240" s="178">
        <v>45322</v>
      </c>
      <c r="C240" s="178" t="s">
        <v>130</v>
      </c>
      <c r="D240" s="179">
        <v>1.0416666666666701</v>
      </c>
      <c r="E240" s="180" t="s">
        <v>0</v>
      </c>
      <c r="F240" s="181" t="s">
        <v>27</v>
      </c>
      <c r="G240" s="182">
        <v>8.6999999999999994E-3</v>
      </c>
      <c r="H240" s="175" t="s">
        <v>165</v>
      </c>
      <c r="I240" s="175" t="s">
        <v>165</v>
      </c>
      <c r="J240" s="175" t="s">
        <v>165</v>
      </c>
      <c r="K240" s="175">
        <v>11.85</v>
      </c>
      <c r="L240" s="175" t="s">
        <v>163</v>
      </c>
      <c r="M240" s="175" t="s">
        <v>163</v>
      </c>
      <c r="N240" s="175" t="s">
        <v>163</v>
      </c>
      <c r="O240" s="175" t="s">
        <v>163</v>
      </c>
      <c r="P240" s="175" t="s">
        <v>163</v>
      </c>
      <c r="Q240" s="175" t="s">
        <v>163</v>
      </c>
      <c r="R240" s="127">
        <f>IF(Table36[[#This Row],[ Bran Content]]="-","-",IF(G240&lt;0.02,1,0))</f>
        <v>1</v>
      </c>
      <c r="S240" s="127">
        <f>IF(Table36[[#This Row],[Sieve Test]]="-","-",IF(Table36[[#This Row],[Sieve Test]]="P",1,0))</f>
        <v>1</v>
      </c>
      <c r="T240" s="127">
        <f>IF(Table36[[#This Row],[Odor]]="-","-",IF(Table36[[#This Row],[Odor]]="P",1,0))</f>
        <v>1</v>
      </c>
      <c r="U240" s="127">
        <f>IF(INDEX(MCmin,MATCH(Table36[[#This Row],[Grist]],SMI,0))="-","-",IF(Table36[[#This Row],[F1 %MC]]="-","-",IF(Table36[[#This Row],[F1 %MC]]&lt;INDEX(MCmin,MATCH(Table36[[#This Row],[Grist]],SMI,0)),0,IF(Table36[[#This Row],[F1 %MC]]&gt;INDEX(MCmax,MATCH(Table36[[#This Row],[Grist]],SMI,0)),0,1))))</f>
        <v>0</v>
      </c>
      <c r="V240" s="127" t="str">
        <f>IF(INDEX(Protmin,MATCH(Table36[[#This Row],[Grist]],SMI,0))="-","-",IF(Table36[[#This Row],[%Protein]]="-","-",IF(Table36[[#This Row],[%Protein]]&lt;INDEX(Protmin,MATCH(Table36[[#This Row],[Grist]],SMI,0)),0,IF(Table36[[#This Row],[%Protein]]&gt;INDEX(Protmax,MATCH(Table36[[#This Row],[Grist]],SMI,0)),0,1))))</f>
        <v>-</v>
      </c>
      <c r="W240" s="127" t="str">
        <f>IF(INDEX(Ashmin,MATCH(Table36[[#This Row],[Grist]],SMI,0))="-","-",IF(Table36[[#This Row],[%Ash]]="-","-",IF(Table36[[#This Row],[%Ash]]&lt;INDEX(Ashmin,MATCH(Table36[[#This Row],[Grist]],SMI,0)),0,IF(Table36[[#This Row],[%Ash]]&gt;INDEX(Ashmax,MATCH(Table36[[#This Row],[Grist]],SMI,0)),0,1))))</f>
        <v>-</v>
      </c>
      <c r="X240" s="127" t="str">
        <f>IF(INDEX(Absmin,MATCH(Table36[[#This Row],[Grist]],SMI,0))="-","-",IF(Table36[[#This Row],[%Absorption]]="-","-",IF(Table36[[#This Row],[%Absorption]]&lt;INDEX(Absmin,MATCH(Table36[[#This Row],[Grist]],SMI,0)),0,IF(Table36[[#This Row],[%Absorption]]&gt;INDEX(Absmax,MATCH(Table36[[#This Row],[Grist]],SMI,0)),0,1))))</f>
        <v>-</v>
      </c>
      <c r="Y240" s="127" t="str">
        <f>IF(INDEX(Extmin,MATCH(Table36[[#This Row],[Grist]],SMI,0))="-","-",IF(Table36[[#This Row],[%Extensibility]]="-","-",IF(Table36[[#This Row],[%Extensibility]]&lt;INDEX(Extmin,MATCH(Table36[[#This Row],[Grist]],SMI,0)),0,IF(Table36[[#This Row],[%Extensibility]]&gt;INDEX(Extmax,MATCH(Table36[[#This Row],[Grist]],SMI,0)),0,1))))</f>
        <v>-</v>
      </c>
      <c r="Z240" s="127" t="str">
        <f>IF(INDEX(Resmin,MATCH(Table36[[#This Row],[Grist]],SMI,0))="-","-",IF(Table36[[#This Row],[Resistance, max]]="-","-",IF(Table36[[#This Row],[Resistance, max]]&lt;INDEX(Resmin,MATCH(Table36[[#This Row],[Grist]],SMI,0)),0,IF(Table36[[#This Row],[Resistance, max]]&gt;INDEX(Resmax,MATCH(Table36[[#This Row],[Grist]],SMI,0)),0,1))))</f>
        <v>-</v>
      </c>
      <c r="AA240" s="127" t="str">
        <f>IF(INDEX(WGmin,MATCH(Table36[[#This Row],[Grist]],SMI,0))="-","-",IF(Table36[[#This Row],[%Wet Gluten]]="-","-",IF(Table36[[#This Row],[%Wet Gluten]]&lt;INDEX(WGmin,MATCH(Table36[[#This Row],[Grist]],SMI,0)),0,IF(Table36[[#This Row],[%Wet Gluten]]&gt;INDEX(WGmax,MATCH(Table36[[#This Row],[Grist]],SMI,0)),0,1))))</f>
        <v>-</v>
      </c>
      <c r="AB240" s="127">
        <f>SUM(Table36[[#This Row],[ QI Bran Content]:[QI WG]])</f>
        <v>3</v>
      </c>
      <c r="AC240" s="127">
        <f>COUNT(Table36[[#This Row],[ QI Bran Content]:[QI WG]])</f>
        <v>4</v>
      </c>
    </row>
    <row r="241" spans="1:29" x14ac:dyDescent="0.35">
      <c r="A241" s="177">
        <v>45292</v>
      </c>
      <c r="B241" s="178">
        <v>45322</v>
      </c>
      <c r="C241" s="178" t="s">
        <v>130</v>
      </c>
      <c r="D241" s="179">
        <v>1.125</v>
      </c>
      <c r="E241" s="180" t="s">
        <v>0</v>
      </c>
      <c r="F241" s="181" t="s">
        <v>27</v>
      </c>
      <c r="G241" s="182">
        <v>6.3E-3</v>
      </c>
      <c r="H241" s="175" t="s">
        <v>165</v>
      </c>
      <c r="I241" s="175" t="s">
        <v>165</v>
      </c>
      <c r="J241" s="175" t="s">
        <v>165</v>
      </c>
      <c r="K241" s="175">
        <v>11.6</v>
      </c>
      <c r="L241" s="175" t="s">
        <v>163</v>
      </c>
      <c r="M241" s="175" t="s">
        <v>163</v>
      </c>
      <c r="N241" s="175" t="s">
        <v>163</v>
      </c>
      <c r="O241" s="175" t="s">
        <v>163</v>
      </c>
      <c r="P241" s="175" t="s">
        <v>163</v>
      </c>
      <c r="Q241" s="175" t="s">
        <v>163</v>
      </c>
      <c r="R241" s="127">
        <f>IF(Table36[[#This Row],[ Bran Content]]="-","-",IF(G241&lt;0.02,1,0))</f>
        <v>1</v>
      </c>
      <c r="S241" s="127">
        <f>IF(Table36[[#This Row],[Sieve Test]]="-","-",IF(Table36[[#This Row],[Sieve Test]]="P",1,0))</f>
        <v>1</v>
      </c>
      <c r="T241" s="127">
        <f>IF(Table36[[#This Row],[Odor]]="-","-",IF(Table36[[#This Row],[Odor]]="P",1,0))</f>
        <v>1</v>
      </c>
      <c r="U241" s="127">
        <f>IF(INDEX(MCmin,MATCH(Table36[[#This Row],[Grist]],SMI,0))="-","-",IF(Table36[[#This Row],[F1 %MC]]="-","-",IF(Table36[[#This Row],[F1 %MC]]&lt;INDEX(MCmin,MATCH(Table36[[#This Row],[Grist]],SMI,0)),0,IF(Table36[[#This Row],[F1 %MC]]&gt;INDEX(MCmax,MATCH(Table36[[#This Row],[Grist]],SMI,0)),0,1))))</f>
        <v>0</v>
      </c>
      <c r="V241" s="127" t="str">
        <f>IF(INDEX(Protmin,MATCH(Table36[[#This Row],[Grist]],SMI,0))="-","-",IF(Table36[[#This Row],[%Protein]]="-","-",IF(Table36[[#This Row],[%Protein]]&lt;INDEX(Protmin,MATCH(Table36[[#This Row],[Grist]],SMI,0)),0,IF(Table36[[#This Row],[%Protein]]&gt;INDEX(Protmax,MATCH(Table36[[#This Row],[Grist]],SMI,0)),0,1))))</f>
        <v>-</v>
      </c>
      <c r="W241" s="127" t="str">
        <f>IF(INDEX(Ashmin,MATCH(Table36[[#This Row],[Grist]],SMI,0))="-","-",IF(Table36[[#This Row],[%Ash]]="-","-",IF(Table36[[#This Row],[%Ash]]&lt;INDEX(Ashmin,MATCH(Table36[[#This Row],[Grist]],SMI,0)),0,IF(Table36[[#This Row],[%Ash]]&gt;INDEX(Ashmax,MATCH(Table36[[#This Row],[Grist]],SMI,0)),0,1))))</f>
        <v>-</v>
      </c>
      <c r="X241" s="127" t="str">
        <f>IF(INDEX(Absmin,MATCH(Table36[[#This Row],[Grist]],SMI,0))="-","-",IF(Table36[[#This Row],[%Absorption]]="-","-",IF(Table36[[#This Row],[%Absorption]]&lt;INDEX(Absmin,MATCH(Table36[[#This Row],[Grist]],SMI,0)),0,IF(Table36[[#This Row],[%Absorption]]&gt;INDEX(Absmax,MATCH(Table36[[#This Row],[Grist]],SMI,0)),0,1))))</f>
        <v>-</v>
      </c>
      <c r="Y241" s="127" t="str">
        <f>IF(INDEX(Extmin,MATCH(Table36[[#This Row],[Grist]],SMI,0))="-","-",IF(Table36[[#This Row],[%Extensibility]]="-","-",IF(Table36[[#This Row],[%Extensibility]]&lt;INDEX(Extmin,MATCH(Table36[[#This Row],[Grist]],SMI,0)),0,IF(Table36[[#This Row],[%Extensibility]]&gt;INDEX(Extmax,MATCH(Table36[[#This Row],[Grist]],SMI,0)),0,1))))</f>
        <v>-</v>
      </c>
      <c r="Z241" s="127" t="str">
        <f>IF(INDEX(Resmin,MATCH(Table36[[#This Row],[Grist]],SMI,0))="-","-",IF(Table36[[#This Row],[Resistance, max]]="-","-",IF(Table36[[#This Row],[Resistance, max]]&lt;INDEX(Resmin,MATCH(Table36[[#This Row],[Grist]],SMI,0)),0,IF(Table36[[#This Row],[Resistance, max]]&gt;INDEX(Resmax,MATCH(Table36[[#This Row],[Grist]],SMI,0)),0,1))))</f>
        <v>-</v>
      </c>
      <c r="AA241" s="127" t="str">
        <f>IF(INDEX(WGmin,MATCH(Table36[[#This Row],[Grist]],SMI,0))="-","-",IF(Table36[[#This Row],[%Wet Gluten]]="-","-",IF(Table36[[#This Row],[%Wet Gluten]]&lt;INDEX(WGmin,MATCH(Table36[[#This Row],[Grist]],SMI,0)),0,IF(Table36[[#This Row],[%Wet Gluten]]&gt;INDEX(WGmax,MATCH(Table36[[#This Row],[Grist]],SMI,0)),0,1))))</f>
        <v>-</v>
      </c>
      <c r="AB241" s="127">
        <f>SUM(Table36[[#This Row],[ QI Bran Content]:[QI WG]])</f>
        <v>3</v>
      </c>
      <c r="AC241" s="127">
        <f>COUNT(Table36[[#This Row],[ QI Bran Content]:[QI WG]])</f>
        <v>4</v>
      </c>
    </row>
    <row r="242" spans="1:29" x14ac:dyDescent="0.35">
      <c r="A242" s="177">
        <v>45292</v>
      </c>
      <c r="B242" s="178">
        <v>45322</v>
      </c>
      <c r="C242" s="178" t="s">
        <v>130</v>
      </c>
      <c r="D242" s="179">
        <v>1.2083333333333299</v>
      </c>
      <c r="E242" s="180" t="s">
        <v>0</v>
      </c>
      <c r="F242" s="181" t="s">
        <v>27</v>
      </c>
      <c r="G242" s="182">
        <v>5.0000000000000001E-3</v>
      </c>
      <c r="H242" s="175" t="s">
        <v>165</v>
      </c>
      <c r="I242" s="175" t="s">
        <v>165</v>
      </c>
      <c r="J242" s="175" t="s">
        <v>165</v>
      </c>
      <c r="K242" s="175">
        <v>12.73</v>
      </c>
      <c r="L242" s="175" t="s">
        <v>163</v>
      </c>
      <c r="M242" s="175" t="s">
        <v>163</v>
      </c>
      <c r="N242" s="175" t="s">
        <v>163</v>
      </c>
      <c r="O242" s="175" t="s">
        <v>163</v>
      </c>
      <c r="P242" s="175" t="s">
        <v>163</v>
      </c>
      <c r="Q242" s="175" t="s">
        <v>163</v>
      </c>
      <c r="R242" s="127">
        <f>IF(Table36[[#This Row],[ Bran Content]]="-","-",IF(G242&lt;0.02,1,0))</f>
        <v>1</v>
      </c>
      <c r="S242" s="127">
        <f>IF(Table36[[#This Row],[Sieve Test]]="-","-",IF(Table36[[#This Row],[Sieve Test]]="P",1,0))</f>
        <v>1</v>
      </c>
      <c r="T242" s="127">
        <f>IF(Table36[[#This Row],[Odor]]="-","-",IF(Table36[[#This Row],[Odor]]="P",1,0))</f>
        <v>1</v>
      </c>
      <c r="U242" s="127">
        <f>IF(INDEX(MCmin,MATCH(Table36[[#This Row],[Grist]],SMI,0))="-","-",IF(Table36[[#This Row],[F1 %MC]]="-","-",IF(Table36[[#This Row],[F1 %MC]]&lt;INDEX(MCmin,MATCH(Table36[[#This Row],[Grist]],SMI,0)),0,IF(Table36[[#This Row],[F1 %MC]]&gt;INDEX(MCmax,MATCH(Table36[[#This Row],[Grist]],SMI,0)),0,1))))</f>
        <v>1</v>
      </c>
      <c r="V242" s="127" t="str">
        <f>IF(INDEX(Protmin,MATCH(Table36[[#This Row],[Grist]],SMI,0))="-","-",IF(Table36[[#This Row],[%Protein]]="-","-",IF(Table36[[#This Row],[%Protein]]&lt;INDEX(Protmin,MATCH(Table36[[#This Row],[Grist]],SMI,0)),0,IF(Table36[[#This Row],[%Protein]]&gt;INDEX(Protmax,MATCH(Table36[[#This Row],[Grist]],SMI,0)),0,1))))</f>
        <v>-</v>
      </c>
      <c r="W242" s="127" t="str">
        <f>IF(INDEX(Ashmin,MATCH(Table36[[#This Row],[Grist]],SMI,0))="-","-",IF(Table36[[#This Row],[%Ash]]="-","-",IF(Table36[[#This Row],[%Ash]]&lt;INDEX(Ashmin,MATCH(Table36[[#This Row],[Grist]],SMI,0)),0,IF(Table36[[#This Row],[%Ash]]&gt;INDEX(Ashmax,MATCH(Table36[[#This Row],[Grist]],SMI,0)),0,1))))</f>
        <v>-</v>
      </c>
      <c r="X242" s="127" t="str">
        <f>IF(INDEX(Absmin,MATCH(Table36[[#This Row],[Grist]],SMI,0))="-","-",IF(Table36[[#This Row],[%Absorption]]="-","-",IF(Table36[[#This Row],[%Absorption]]&lt;INDEX(Absmin,MATCH(Table36[[#This Row],[Grist]],SMI,0)),0,IF(Table36[[#This Row],[%Absorption]]&gt;INDEX(Absmax,MATCH(Table36[[#This Row],[Grist]],SMI,0)),0,1))))</f>
        <v>-</v>
      </c>
      <c r="Y242" s="127" t="str">
        <f>IF(INDEX(Extmin,MATCH(Table36[[#This Row],[Grist]],SMI,0))="-","-",IF(Table36[[#This Row],[%Extensibility]]="-","-",IF(Table36[[#This Row],[%Extensibility]]&lt;INDEX(Extmin,MATCH(Table36[[#This Row],[Grist]],SMI,0)),0,IF(Table36[[#This Row],[%Extensibility]]&gt;INDEX(Extmax,MATCH(Table36[[#This Row],[Grist]],SMI,0)),0,1))))</f>
        <v>-</v>
      </c>
      <c r="Z242" s="127" t="str">
        <f>IF(INDEX(Resmin,MATCH(Table36[[#This Row],[Grist]],SMI,0))="-","-",IF(Table36[[#This Row],[Resistance, max]]="-","-",IF(Table36[[#This Row],[Resistance, max]]&lt;INDEX(Resmin,MATCH(Table36[[#This Row],[Grist]],SMI,0)),0,IF(Table36[[#This Row],[Resistance, max]]&gt;INDEX(Resmax,MATCH(Table36[[#This Row],[Grist]],SMI,0)),0,1))))</f>
        <v>-</v>
      </c>
      <c r="AA242" s="127" t="str">
        <f>IF(INDEX(WGmin,MATCH(Table36[[#This Row],[Grist]],SMI,0))="-","-",IF(Table36[[#This Row],[%Wet Gluten]]="-","-",IF(Table36[[#This Row],[%Wet Gluten]]&lt;INDEX(WGmin,MATCH(Table36[[#This Row],[Grist]],SMI,0)),0,IF(Table36[[#This Row],[%Wet Gluten]]&gt;INDEX(WGmax,MATCH(Table36[[#This Row],[Grist]],SMI,0)),0,1))))</f>
        <v>-</v>
      </c>
      <c r="AB242" s="127">
        <f>SUM(Table36[[#This Row],[ QI Bran Content]:[QI WG]])</f>
        <v>4</v>
      </c>
      <c r="AC242" s="127">
        <f>COUNT(Table36[[#This Row],[ QI Bran Content]:[QI WG]])</f>
        <v>4</v>
      </c>
    </row>
    <row r="243" spans="1:29" x14ac:dyDescent="0.35">
      <c r="A243" s="177">
        <v>45323</v>
      </c>
      <c r="B243" s="178">
        <v>45323</v>
      </c>
      <c r="C243" s="178" t="s">
        <v>128</v>
      </c>
      <c r="D243" s="179">
        <v>0.95833333333333337</v>
      </c>
      <c r="E243" s="180" t="s">
        <v>0</v>
      </c>
      <c r="F243" s="181" t="s">
        <v>27</v>
      </c>
      <c r="G243" s="182">
        <v>7.9000000000000008E-3</v>
      </c>
      <c r="H243" s="175" t="s">
        <v>165</v>
      </c>
      <c r="I243" s="175" t="s">
        <v>165</v>
      </c>
      <c r="J243" s="175" t="s">
        <v>165</v>
      </c>
      <c r="K243" s="175">
        <v>12.08</v>
      </c>
      <c r="L243" s="175">
        <v>13.48</v>
      </c>
      <c r="M243" s="175">
        <v>0.86</v>
      </c>
      <c r="N243" s="175">
        <v>65.5</v>
      </c>
      <c r="O243" s="175" t="s">
        <v>163</v>
      </c>
      <c r="P243" s="175" t="s">
        <v>163</v>
      </c>
      <c r="Q243" s="175" t="s">
        <v>163</v>
      </c>
      <c r="R243" s="127">
        <f>IF(Table36[[#This Row],[ Bran Content]]="-","-",IF(G243&lt;0.02,1,0))</f>
        <v>1</v>
      </c>
      <c r="S243" s="127">
        <f>IF(Table36[[#This Row],[Sieve Test]]="-","-",IF(Table36[[#This Row],[Sieve Test]]="P",1,0))</f>
        <v>1</v>
      </c>
      <c r="T243" s="127">
        <f>IF(Table36[[#This Row],[Odor]]="-","-",IF(Table36[[#This Row],[Odor]]="P",1,0))</f>
        <v>1</v>
      </c>
      <c r="U243" s="127">
        <f>IF(INDEX(MCmin,MATCH(Table36[[#This Row],[Grist]],SMI,0))="-","-",IF(Table36[[#This Row],[F1 %MC]]="-","-",IF(Table36[[#This Row],[F1 %MC]]&lt;INDEX(MCmin,MATCH(Table36[[#This Row],[Grist]],SMI,0)),0,IF(Table36[[#This Row],[F1 %MC]]&gt;INDEX(MCmax,MATCH(Table36[[#This Row],[Grist]],SMI,0)),0,1))))</f>
        <v>1</v>
      </c>
      <c r="V243" s="127">
        <f>IF(INDEX(Protmin,MATCH(Table36[[#This Row],[Grist]],SMI,0))="-","-",IF(Table36[[#This Row],[%Protein]]="-","-",IF(Table36[[#This Row],[%Protein]]&lt;INDEX(Protmin,MATCH(Table36[[#This Row],[Grist]],SMI,0)),0,IF(Table36[[#This Row],[%Protein]]&gt;INDEX(Protmax,MATCH(Table36[[#This Row],[Grist]],SMI,0)),0,1))))</f>
        <v>1</v>
      </c>
      <c r="W243" s="127">
        <f>IF(INDEX(Ashmin,MATCH(Table36[[#This Row],[Grist]],SMI,0))="-","-",IF(Table36[[#This Row],[%Ash]]="-","-",IF(Table36[[#This Row],[%Ash]]&lt;INDEX(Ashmin,MATCH(Table36[[#This Row],[Grist]],SMI,0)),0,IF(Table36[[#This Row],[%Ash]]&gt;INDEX(Ashmax,MATCH(Table36[[#This Row],[Grist]],SMI,0)),0,1))))</f>
        <v>0</v>
      </c>
      <c r="X243" s="127">
        <f>IF(INDEX(Absmin,MATCH(Table36[[#This Row],[Grist]],SMI,0))="-","-",IF(Table36[[#This Row],[%Absorption]]="-","-",IF(Table36[[#This Row],[%Absorption]]&lt;INDEX(Absmin,MATCH(Table36[[#This Row],[Grist]],SMI,0)),0,IF(Table36[[#This Row],[%Absorption]]&gt;INDEX(Absmax,MATCH(Table36[[#This Row],[Grist]],SMI,0)),0,1))))</f>
        <v>1</v>
      </c>
      <c r="Y243" s="127" t="str">
        <f>IF(INDEX(Extmin,MATCH(Table36[[#This Row],[Grist]],SMI,0))="-","-",IF(Table36[[#This Row],[%Extensibility]]="-","-",IF(Table36[[#This Row],[%Extensibility]]&lt;INDEX(Extmin,MATCH(Table36[[#This Row],[Grist]],SMI,0)),0,IF(Table36[[#This Row],[%Extensibility]]&gt;INDEX(Extmax,MATCH(Table36[[#This Row],[Grist]],SMI,0)),0,1))))</f>
        <v>-</v>
      </c>
      <c r="Z243" s="127" t="str">
        <f>IF(INDEX(Resmin,MATCH(Table36[[#This Row],[Grist]],SMI,0))="-","-",IF(Table36[[#This Row],[Resistance, max]]="-","-",IF(Table36[[#This Row],[Resistance, max]]&lt;INDEX(Resmin,MATCH(Table36[[#This Row],[Grist]],SMI,0)),0,IF(Table36[[#This Row],[Resistance, max]]&gt;INDEX(Resmax,MATCH(Table36[[#This Row],[Grist]],SMI,0)),0,1))))</f>
        <v>-</v>
      </c>
      <c r="AA243" s="127" t="str">
        <f>IF(INDEX(WGmin,MATCH(Table36[[#This Row],[Grist]],SMI,0))="-","-",IF(Table36[[#This Row],[%Wet Gluten]]="-","-",IF(Table36[[#This Row],[%Wet Gluten]]&lt;INDEX(WGmin,MATCH(Table36[[#This Row],[Grist]],SMI,0)),0,IF(Table36[[#This Row],[%Wet Gluten]]&gt;INDEX(WGmax,MATCH(Table36[[#This Row],[Grist]],SMI,0)),0,1))))</f>
        <v>-</v>
      </c>
      <c r="AB243" s="127">
        <f>SUM(Table36[[#This Row],[ QI Bran Content]:[QI WG]])</f>
        <v>6</v>
      </c>
      <c r="AC243" s="127">
        <f>COUNT(Table36[[#This Row],[ QI Bran Content]:[QI WG]])</f>
        <v>7</v>
      </c>
    </row>
    <row r="244" spans="1:29" x14ac:dyDescent="0.35">
      <c r="A244" s="177">
        <v>45323</v>
      </c>
      <c r="B244" s="178">
        <v>45323</v>
      </c>
      <c r="C244" s="178" t="s">
        <v>130</v>
      </c>
      <c r="D244" s="179">
        <v>1.0416666666666701</v>
      </c>
      <c r="E244" s="180" t="s">
        <v>0</v>
      </c>
      <c r="F244" s="181" t="s">
        <v>27</v>
      </c>
      <c r="G244" s="182">
        <v>8.6999999999999994E-3</v>
      </c>
      <c r="H244" s="175" t="s">
        <v>165</v>
      </c>
      <c r="I244" s="175" t="s">
        <v>165</v>
      </c>
      <c r="J244" s="175" t="s">
        <v>165</v>
      </c>
      <c r="K244" s="175">
        <v>11.85</v>
      </c>
      <c r="L244" s="175" t="s">
        <v>163</v>
      </c>
      <c r="M244" s="175" t="s">
        <v>163</v>
      </c>
      <c r="N244" s="175" t="s">
        <v>163</v>
      </c>
      <c r="O244" s="175" t="s">
        <v>163</v>
      </c>
      <c r="P244" s="175" t="s">
        <v>163</v>
      </c>
      <c r="Q244" s="175" t="s">
        <v>163</v>
      </c>
      <c r="R244" s="127">
        <f>IF(Table36[[#This Row],[ Bran Content]]="-","-",IF(G244&lt;0.02,1,0))</f>
        <v>1</v>
      </c>
      <c r="S244" s="127">
        <f>IF(Table36[[#This Row],[Sieve Test]]="-","-",IF(Table36[[#This Row],[Sieve Test]]="P",1,0))</f>
        <v>1</v>
      </c>
      <c r="T244" s="127">
        <f>IF(Table36[[#This Row],[Odor]]="-","-",IF(Table36[[#This Row],[Odor]]="P",1,0))</f>
        <v>1</v>
      </c>
      <c r="U244" s="127">
        <f>IF(INDEX(MCmin,MATCH(Table36[[#This Row],[Grist]],SMI,0))="-","-",IF(Table36[[#This Row],[F1 %MC]]="-","-",IF(Table36[[#This Row],[F1 %MC]]&lt;INDEX(MCmin,MATCH(Table36[[#This Row],[Grist]],SMI,0)),0,IF(Table36[[#This Row],[F1 %MC]]&gt;INDEX(MCmax,MATCH(Table36[[#This Row],[Grist]],SMI,0)),0,1))))</f>
        <v>0</v>
      </c>
      <c r="V244" s="127" t="str">
        <f>IF(INDEX(Protmin,MATCH(Table36[[#This Row],[Grist]],SMI,0))="-","-",IF(Table36[[#This Row],[%Protein]]="-","-",IF(Table36[[#This Row],[%Protein]]&lt;INDEX(Protmin,MATCH(Table36[[#This Row],[Grist]],SMI,0)),0,IF(Table36[[#This Row],[%Protein]]&gt;INDEX(Protmax,MATCH(Table36[[#This Row],[Grist]],SMI,0)),0,1))))</f>
        <v>-</v>
      </c>
      <c r="W244" s="127" t="str">
        <f>IF(INDEX(Ashmin,MATCH(Table36[[#This Row],[Grist]],SMI,0))="-","-",IF(Table36[[#This Row],[%Ash]]="-","-",IF(Table36[[#This Row],[%Ash]]&lt;INDEX(Ashmin,MATCH(Table36[[#This Row],[Grist]],SMI,0)),0,IF(Table36[[#This Row],[%Ash]]&gt;INDEX(Ashmax,MATCH(Table36[[#This Row],[Grist]],SMI,0)),0,1))))</f>
        <v>-</v>
      </c>
      <c r="X244" s="127" t="str">
        <f>IF(INDEX(Absmin,MATCH(Table36[[#This Row],[Grist]],SMI,0))="-","-",IF(Table36[[#This Row],[%Absorption]]="-","-",IF(Table36[[#This Row],[%Absorption]]&lt;INDEX(Absmin,MATCH(Table36[[#This Row],[Grist]],SMI,0)),0,IF(Table36[[#This Row],[%Absorption]]&gt;INDEX(Absmax,MATCH(Table36[[#This Row],[Grist]],SMI,0)),0,1))))</f>
        <v>-</v>
      </c>
      <c r="Y244" s="127" t="str">
        <f>IF(INDEX(Extmin,MATCH(Table36[[#This Row],[Grist]],SMI,0))="-","-",IF(Table36[[#This Row],[%Extensibility]]="-","-",IF(Table36[[#This Row],[%Extensibility]]&lt;INDEX(Extmin,MATCH(Table36[[#This Row],[Grist]],SMI,0)),0,IF(Table36[[#This Row],[%Extensibility]]&gt;INDEX(Extmax,MATCH(Table36[[#This Row],[Grist]],SMI,0)),0,1))))</f>
        <v>-</v>
      </c>
      <c r="Z244" s="127" t="str">
        <f>IF(INDEX(Resmin,MATCH(Table36[[#This Row],[Grist]],SMI,0))="-","-",IF(Table36[[#This Row],[Resistance, max]]="-","-",IF(Table36[[#This Row],[Resistance, max]]&lt;INDEX(Resmin,MATCH(Table36[[#This Row],[Grist]],SMI,0)),0,IF(Table36[[#This Row],[Resistance, max]]&gt;INDEX(Resmax,MATCH(Table36[[#This Row],[Grist]],SMI,0)),0,1))))</f>
        <v>-</v>
      </c>
      <c r="AA244" s="127" t="str">
        <f>IF(INDEX(WGmin,MATCH(Table36[[#This Row],[Grist]],SMI,0))="-","-",IF(Table36[[#This Row],[%Wet Gluten]]="-","-",IF(Table36[[#This Row],[%Wet Gluten]]&lt;INDEX(WGmin,MATCH(Table36[[#This Row],[Grist]],SMI,0)),0,IF(Table36[[#This Row],[%Wet Gluten]]&gt;INDEX(WGmax,MATCH(Table36[[#This Row],[Grist]],SMI,0)),0,1))))</f>
        <v>-</v>
      </c>
      <c r="AB244" s="127">
        <f>SUM(Table36[[#This Row],[ QI Bran Content]:[QI WG]])</f>
        <v>3</v>
      </c>
      <c r="AC244" s="127">
        <f>COUNT(Table36[[#This Row],[ QI Bran Content]:[QI WG]])</f>
        <v>4</v>
      </c>
    </row>
    <row r="245" spans="1:29" x14ac:dyDescent="0.35">
      <c r="A245" s="177">
        <v>45323</v>
      </c>
      <c r="B245" s="178">
        <v>45323</v>
      </c>
      <c r="C245" s="178" t="s">
        <v>130</v>
      </c>
      <c r="D245" s="179">
        <v>1.125</v>
      </c>
      <c r="E245" s="180" t="s">
        <v>0</v>
      </c>
      <c r="F245" s="181" t="s">
        <v>27</v>
      </c>
      <c r="G245" s="182">
        <v>6.3E-3</v>
      </c>
      <c r="H245" s="175" t="s">
        <v>165</v>
      </c>
      <c r="I245" s="175" t="s">
        <v>165</v>
      </c>
      <c r="J245" s="175" t="s">
        <v>165</v>
      </c>
      <c r="K245" s="175">
        <v>11.6</v>
      </c>
      <c r="L245" s="175" t="s">
        <v>163</v>
      </c>
      <c r="M245" s="175" t="s">
        <v>163</v>
      </c>
      <c r="N245" s="175" t="s">
        <v>163</v>
      </c>
      <c r="O245" s="175" t="s">
        <v>163</v>
      </c>
      <c r="P245" s="175" t="s">
        <v>163</v>
      </c>
      <c r="Q245" s="175" t="s">
        <v>163</v>
      </c>
      <c r="R245" s="127">
        <f>IF(Table36[[#This Row],[ Bran Content]]="-","-",IF(G245&lt;0.02,1,0))</f>
        <v>1</v>
      </c>
      <c r="S245" s="127">
        <f>IF(Table36[[#This Row],[Sieve Test]]="-","-",IF(Table36[[#This Row],[Sieve Test]]="P",1,0))</f>
        <v>1</v>
      </c>
      <c r="T245" s="127">
        <f>IF(Table36[[#This Row],[Odor]]="-","-",IF(Table36[[#This Row],[Odor]]="P",1,0))</f>
        <v>1</v>
      </c>
      <c r="U245" s="127">
        <f>IF(INDEX(MCmin,MATCH(Table36[[#This Row],[Grist]],SMI,0))="-","-",IF(Table36[[#This Row],[F1 %MC]]="-","-",IF(Table36[[#This Row],[F1 %MC]]&lt;INDEX(MCmin,MATCH(Table36[[#This Row],[Grist]],SMI,0)),0,IF(Table36[[#This Row],[F1 %MC]]&gt;INDEX(MCmax,MATCH(Table36[[#This Row],[Grist]],SMI,0)),0,1))))</f>
        <v>0</v>
      </c>
      <c r="V245" s="127" t="str">
        <f>IF(INDEX(Protmin,MATCH(Table36[[#This Row],[Grist]],SMI,0))="-","-",IF(Table36[[#This Row],[%Protein]]="-","-",IF(Table36[[#This Row],[%Protein]]&lt;INDEX(Protmin,MATCH(Table36[[#This Row],[Grist]],SMI,0)),0,IF(Table36[[#This Row],[%Protein]]&gt;INDEX(Protmax,MATCH(Table36[[#This Row],[Grist]],SMI,0)),0,1))))</f>
        <v>-</v>
      </c>
      <c r="W245" s="127" t="str">
        <f>IF(INDEX(Ashmin,MATCH(Table36[[#This Row],[Grist]],SMI,0))="-","-",IF(Table36[[#This Row],[%Ash]]="-","-",IF(Table36[[#This Row],[%Ash]]&lt;INDEX(Ashmin,MATCH(Table36[[#This Row],[Grist]],SMI,0)),0,IF(Table36[[#This Row],[%Ash]]&gt;INDEX(Ashmax,MATCH(Table36[[#This Row],[Grist]],SMI,0)),0,1))))</f>
        <v>-</v>
      </c>
      <c r="X245" s="127" t="str">
        <f>IF(INDEX(Absmin,MATCH(Table36[[#This Row],[Grist]],SMI,0))="-","-",IF(Table36[[#This Row],[%Absorption]]="-","-",IF(Table36[[#This Row],[%Absorption]]&lt;INDEX(Absmin,MATCH(Table36[[#This Row],[Grist]],SMI,0)),0,IF(Table36[[#This Row],[%Absorption]]&gt;INDEX(Absmax,MATCH(Table36[[#This Row],[Grist]],SMI,0)),0,1))))</f>
        <v>-</v>
      </c>
      <c r="Y245" s="127" t="str">
        <f>IF(INDEX(Extmin,MATCH(Table36[[#This Row],[Grist]],SMI,0))="-","-",IF(Table36[[#This Row],[%Extensibility]]="-","-",IF(Table36[[#This Row],[%Extensibility]]&lt;INDEX(Extmin,MATCH(Table36[[#This Row],[Grist]],SMI,0)),0,IF(Table36[[#This Row],[%Extensibility]]&gt;INDEX(Extmax,MATCH(Table36[[#This Row],[Grist]],SMI,0)),0,1))))</f>
        <v>-</v>
      </c>
      <c r="Z245" s="127" t="str">
        <f>IF(INDEX(Resmin,MATCH(Table36[[#This Row],[Grist]],SMI,0))="-","-",IF(Table36[[#This Row],[Resistance, max]]="-","-",IF(Table36[[#This Row],[Resistance, max]]&lt;INDEX(Resmin,MATCH(Table36[[#This Row],[Grist]],SMI,0)),0,IF(Table36[[#This Row],[Resistance, max]]&gt;INDEX(Resmax,MATCH(Table36[[#This Row],[Grist]],SMI,0)),0,1))))</f>
        <v>-</v>
      </c>
      <c r="AA245" s="127" t="str">
        <f>IF(INDEX(WGmin,MATCH(Table36[[#This Row],[Grist]],SMI,0))="-","-",IF(Table36[[#This Row],[%Wet Gluten]]="-","-",IF(Table36[[#This Row],[%Wet Gluten]]&lt;INDEX(WGmin,MATCH(Table36[[#This Row],[Grist]],SMI,0)),0,IF(Table36[[#This Row],[%Wet Gluten]]&gt;INDEX(WGmax,MATCH(Table36[[#This Row],[Grist]],SMI,0)),0,1))))</f>
        <v>-</v>
      </c>
      <c r="AB245" s="127">
        <f>SUM(Table36[[#This Row],[ QI Bran Content]:[QI WG]])</f>
        <v>3</v>
      </c>
      <c r="AC245" s="127">
        <f>COUNT(Table36[[#This Row],[ QI Bran Content]:[QI WG]])</f>
        <v>4</v>
      </c>
    </row>
    <row r="246" spans="1:29" x14ac:dyDescent="0.35">
      <c r="A246" s="177">
        <v>45323</v>
      </c>
      <c r="B246" s="178">
        <v>45323</v>
      </c>
      <c r="C246" s="178" t="s">
        <v>130</v>
      </c>
      <c r="D246" s="179">
        <v>1.2083333333333299</v>
      </c>
      <c r="E246" s="180" t="s">
        <v>0</v>
      </c>
      <c r="F246" s="181" t="s">
        <v>27</v>
      </c>
      <c r="G246" s="182">
        <v>5.0000000000000001E-3</v>
      </c>
      <c r="H246" s="175" t="s">
        <v>165</v>
      </c>
      <c r="I246" s="175" t="s">
        <v>165</v>
      </c>
      <c r="J246" s="175" t="s">
        <v>165</v>
      </c>
      <c r="K246" s="175">
        <v>12.73</v>
      </c>
      <c r="L246" s="175" t="s">
        <v>163</v>
      </c>
      <c r="M246" s="175" t="s">
        <v>163</v>
      </c>
      <c r="N246" s="175" t="s">
        <v>163</v>
      </c>
      <c r="O246" s="175" t="s">
        <v>163</v>
      </c>
      <c r="P246" s="175" t="s">
        <v>163</v>
      </c>
      <c r="Q246" s="175" t="s">
        <v>163</v>
      </c>
      <c r="R246" s="127">
        <f>IF(Table36[[#This Row],[ Bran Content]]="-","-",IF(G246&lt;0.02,1,0))</f>
        <v>1</v>
      </c>
      <c r="S246" s="127">
        <f>IF(Table36[[#This Row],[Sieve Test]]="-","-",IF(Table36[[#This Row],[Sieve Test]]="P",1,0))</f>
        <v>1</v>
      </c>
      <c r="T246" s="127">
        <f>IF(Table36[[#This Row],[Odor]]="-","-",IF(Table36[[#This Row],[Odor]]="P",1,0))</f>
        <v>1</v>
      </c>
      <c r="U246" s="127">
        <f>IF(INDEX(MCmin,MATCH(Table36[[#This Row],[Grist]],SMI,0))="-","-",IF(Table36[[#This Row],[F1 %MC]]="-","-",IF(Table36[[#This Row],[F1 %MC]]&lt;INDEX(MCmin,MATCH(Table36[[#This Row],[Grist]],SMI,0)),0,IF(Table36[[#This Row],[F1 %MC]]&gt;INDEX(MCmax,MATCH(Table36[[#This Row],[Grist]],SMI,0)),0,1))))</f>
        <v>1</v>
      </c>
      <c r="V246" s="127" t="str">
        <f>IF(INDEX(Protmin,MATCH(Table36[[#This Row],[Grist]],SMI,0))="-","-",IF(Table36[[#This Row],[%Protein]]="-","-",IF(Table36[[#This Row],[%Protein]]&lt;INDEX(Protmin,MATCH(Table36[[#This Row],[Grist]],SMI,0)),0,IF(Table36[[#This Row],[%Protein]]&gt;INDEX(Protmax,MATCH(Table36[[#This Row],[Grist]],SMI,0)),0,1))))</f>
        <v>-</v>
      </c>
      <c r="W246" s="127" t="str">
        <f>IF(INDEX(Ashmin,MATCH(Table36[[#This Row],[Grist]],SMI,0))="-","-",IF(Table36[[#This Row],[%Ash]]="-","-",IF(Table36[[#This Row],[%Ash]]&lt;INDEX(Ashmin,MATCH(Table36[[#This Row],[Grist]],SMI,0)),0,IF(Table36[[#This Row],[%Ash]]&gt;INDEX(Ashmax,MATCH(Table36[[#This Row],[Grist]],SMI,0)),0,1))))</f>
        <v>-</v>
      </c>
      <c r="X246" s="127" t="str">
        <f>IF(INDEX(Absmin,MATCH(Table36[[#This Row],[Grist]],SMI,0))="-","-",IF(Table36[[#This Row],[%Absorption]]="-","-",IF(Table36[[#This Row],[%Absorption]]&lt;INDEX(Absmin,MATCH(Table36[[#This Row],[Grist]],SMI,0)),0,IF(Table36[[#This Row],[%Absorption]]&gt;INDEX(Absmax,MATCH(Table36[[#This Row],[Grist]],SMI,0)),0,1))))</f>
        <v>-</v>
      </c>
      <c r="Y246" s="127" t="str">
        <f>IF(INDEX(Extmin,MATCH(Table36[[#This Row],[Grist]],SMI,0))="-","-",IF(Table36[[#This Row],[%Extensibility]]="-","-",IF(Table36[[#This Row],[%Extensibility]]&lt;INDEX(Extmin,MATCH(Table36[[#This Row],[Grist]],SMI,0)),0,IF(Table36[[#This Row],[%Extensibility]]&gt;INDEX(Extmax,MATCH(Table36[[#This Row],[Grist]],SMI,0)),0,1))))</f>
        <v>-</v>
      </c>
      <c r="Z246" s="127" t="str">
        <f>IF(INDEX(Resmin,MATCH(Table36[[#This Row],[Grist]],SMI,0))="-","-",IF(Table36[[#This Row],[Resistance, max]]="-","-",IF(Table36[[#This Row],[Resistance, max]]&lt;INDEX(Resmin,MATCH(Table36[[#This Row],[Grist]],SMI,0)),0,IF(Table36[[#This Row],[Resistance, max]]&gt;INDEX(Resmax,MATCH(Table36[[#This Row],[Grist]],SMI,0)),0,1))))</f>
        <v>-</v>
      </c>
      <c r="AA246" s="127" t="str">
        <f>IF(INDEX(WGmin,MATCH(Table36[[#This Row],[Grist]],SMI,0))="-","-",IF(Table36[[#This Row],[%Wet Gluten]]="-","-",IF(Table36[[#This Row],[%Wet Gluten]]&lt;INDEX(WGmin,MATCH(Table36[[#This Row],[Grist]],SMI,0)),0,IF(Table36[[#This Row],[%Wet Gluten]]&gt;INDEX(WGmax,MATCH(Table36[[#This Row],[Grist]],SMI,0)),0,1))))</f>
        <v>-</v>
      </c>
      <c r="AB246" s="127">
        <f>SUM(Table36[[#This Row],[ QI Bran Content]:[QI WG]])</f>
        <v>4</v>
      </c>
      <c r="AC246" s="127">
        <f>COUNT(Table36[[#This Row],[ QI Bran Content]:[QI WG]])</f>
        <v>4</v>
      </c>
    </row>
    <row r="247" spans="1:29" x14ac:dyDescent="0.35">
      <c r="A247" s="177">
        <v>45323</v>
      </c>
      <c r="B247" s="178">
        <v>45323</v>
      </c>
      <c r="C247" s="178" t="s">
        <v>128</v>
      </c>
      <c r="D247" s="179">
        <v>0.625</v>
      </c>
      <c r="E247" s="180" t="s">
        <v>0</v>
      </c>
      <c r="F247" s="181" t="s">
        <v>32</v>
      </c>
      <c r="G247" s="182">
        <v>4.0000000000000001E-3</v>
      </c>
      <c r="H247" s="175" t="s">
        <v>165</v>
      </c>
      <c r="I247" s="175" t="s">
        <v>165</v>
      </c>
      <c r="J247" s="175" t="s">
        <v>165</v>
      </c>
      <c r="K247" s="175">
        <v>12.04</v>
      </c>
      <c r="L247" s="175" t="s">
        <v>163</v>
      </c>
      <c r="M247" s="175" t="s">
        <v>163</v>
      </c>
      <c r="N247" s="175" t="s">
        <v>163</v>
      </c>
      <c r="O247" s="175" t="s">
        <v>163</v>
      </c>
      <c r="P247" s="175" t="s">
        <v>163</v>
      </c>
      <c r="Q247" s="175" t="s">
        <v>163</v>
      </c>
      <c r="R247" s="127">
        <f>IF(Table36[[#This Row],[ Bran Content]]="-","-",IF(G247&lt;0.02,1,0))</f>
        <v>1</v>
      </c>
      <c r="S247" s="127">
        <f>IF(Table36[[#This Row],[Sieve Test]]="-","-",IF(Table36[[#This Row],[Sieve Test]]="P",1,0))</f>
        <v>1</v>
      </c>
      <c r="T247" s="127">
        <f>IF(Table36[[#This Row],[Odor]]="-","-",IF(Table36[[#This Row],[Odor]]="P",1,0))</f>
        <v>1</v>
      </c>
      <c r="U247" s="127">
        <f>IF(INDEX(MCmin,MATCH(Table36[[#This Row],[Grist]],SMI,0))="-","-",IF(Table36[[#This Row],[F1 %MC]]="-","-",IF(Table36[[#This Row],[F1 %MC]]&lt;INDEX(MCmin,MATCH(Table36[[#This Row],[Grist]],SMI,0)),0,IF(Table36[[#This Row],[F1 %MC]]&gt;INDEX(MCmax,MATCH(Table36[[#This Row],[Grist]],SMI,0)),0,1))))</f>
        <v>1</v>
      </c>
      <c r="V247" s="127" t="str">
        <f>IF(INDEX(Protmin,MATCH(Table36[[#This Row],[Grist]],SMI,0))="-","-",IF(Table36[[#This Row],[%Protein]]="-","-",IF(Table36[[#This Row],[%Protein]]&lt;INDEX(Protmin,MATCH(Table36[[#This Row],[Grist]],SMI,0)),0,IF(Table36[[#This Row],[%Protein]]&gt;INDEX(Protmax,MATCH(Table36[[#This Row],[Grist]],SMI,0)),0,1))))</f>
        <v>-</v>
      </c>
      <c r="W247" s="127" t="str">
        <f>IF(INDEX(Ashmin,MATCH(Table36[[#This Row],[Grist]],SMI,0))="-","-",IF(Table36[[#This Row],[%Ash]]="-","-",IF(Table36[[#This Row],[%Ash]]&lt;INDEX(Ashmin,MATCH(Table36[[#This Row],[Grist]],SMI,0)),0,IF(Table36[[#This Row],[%Ash]]&gt;INDEX(Ashmax,MATCH(Table36[[#This Row],[Grist]],SMI,0)),0,1))))</f>
        <v>-</v>
      </c>
      <c r="X247" s="127" t="str">
        <f>IF(INDEX(Absmin,MATCH(Table36[[#This Row],[Grist]],SMI,0))="-","-",IF(Table36[[#This Row],[%Absorption]]="-","-",IF(Table36[[#This Row],[%Absorption]]&lt;INDEX(Absmin,MATCH(Table36[[#This Row],[Grist]],SMI,0)),0,IF(Table36[[#This Row],[%Absorption]]&gt;INDEX(Absmax,MATCH(Table36[[#This Row],[Grist]],SMI,0)),0,1))))</f>
        <v>-</v>
      </c>
      <c r="Y247" s="127" t="str">
        <f>IF(INDEX(Extmin,MATCH(Table36[[#This Row],[Grist]],SMI,0))="-","-",IF(Table36[[#This Row],[%Extensibility]]="-","-",IF(Table36[[#This Row],[%Extensibility]]&lt;INDEX(Extmin,MATCH(Table36[[#This Row],[Grist]],SMI,0)),0,IF(Table36[[#This Row],[%Extensibility]]&gt;INDEX(Extmax,MATCH(Table36[[#This Row],[Grist]],SMI,0)),0,1))))</f>
        <v>-</v>
      </c>
      <c r="Z247" s="127" t="str">
        <f>IF(INDEX(Resmin,MATCH(Table36[[#This Row],[Grist]],SMI,0))="-","-",IF(Table36[[#This Row],[Resistance, max]]="-","-",IF(Table36[[#This Row],[Resistance, max]]&lt;INDEX(Resmin,MATCH(Table36[[#This Row],[Grist]],SMI,0)),0,IF(Table36[[#This Row],[Resistance, max]]&gt;INDEX(Resmax,MATCH(Table36[[#This Row],[Grist]],SMI,0)),0,1))))</f>
        <v>-</v>
      </c>
      <c r="AA247" s="127" t="str">
        <f>IF(INDEX(WGmin,MATCH(Table36[[#This Row],[Grist]],SMI,0))="-","-",IF(Table36[[#This Row],[%Wet Gluten]]="-","-",IF(Table36[[#This Row],[%Wet Gluten]]&lt;INDEX(WGmin,MATCH(Table36[[#This Row],[Grist]],SMI,0)),0,IF(Table36[[#This Row],[%Wet Gluten]]&gt;INDEX(WGmax,MATCH(Table36[[#This Row],[Grist]],SMI,0)),0,1))))</f>
        <v>-</v>
      </c>
      <c r="AB247" s="127">
        <f>SUM(Table36[[#This Row],[ QI Bran Content]:[QI WG]])</f>
        <v>4</v>
      </c>
      <c r="AC247" s="127">
        <f>COUNT(Table36[[#This Row],[ QI Bran Content]:[QI WG]])</f>
        <v>4</v>
      </c>
    </row>
    <row r="248" spans="1:29" x14ac:dyDescent="0.35">
      <c r="A248" s="177">
        <v>45323</v>
      </c>
      <c r="B248" s="178">
        <v>45323</v>
      </c>
      <c r="C248" s="178" t="s">
        <v>128</v>
      </c>
      <c r="D248" s="179">
        <v>0.70833333333333304</v>
      </c>
      <c r="E248" s="180" t="s">
        <v>0</v>
      </c>
      <c r="F248" s="181" t="s">
        <v>32</v>
      </c>
      <c r="G248" s="182">
        <v>5.7999999999999996E-3</v>
      </c>
      <c r="H248" s="175" t="s">
        <v>165</v>
      </c>
      <c r="I248" s="175" t="s">
        <v>165</v>
      </c>
      <c r="J248" s="175" t="s">
        <v>165</v>
      </c>
      <c r="K248" s="175">
        <v>12.04</v>
      </c>
      <c r="L248" s="175" t="s">
        <v>163</v>
      </c>
      <c r="M248" s="175" t="s">
        <v>163</v>
      </c>
      <c r="N248" s="175" t="s">
        <v>163</v>
      </c>
      <c r="O248" s="175" t="s">
        <v>163</v>
      </c>
      <c r="P248" s="175" t="s">
        <v>163</v>
      </c>
      <c r="Q248" s="175" t="s">
        <v>163</v>
      </c>
      <c r="R248" s="127">
        <f>IF(Table36[[#This Row],[ Bran Content]]="-","-",IF(G248&lt;0.02,1,0))</f>
        <v>1</v>
      </c>
      <c r="S248" s="127">
        <f>IF(Table36[[#This Row],[Sieve Test]]="-","-",IF(Table36[[#This Row],[Sieve Test]]="P",1,0))</f>
        <v>1</v>
      </c>
      <c r="T248" s="127">
        <f>IF(Table36[[#This Row],[Odor]]="-","-",IF(Table36[[#This Row],[Odor]]="P",1,0))</f>
        <v>1</v>
      </c>
      <c r="U248" s="127">
        <f>IF(INDEX(MCmin,MATCH(Table36[[#This Row],[Grist]],SMI,0))="-","-",IF(Table36[[#This Row],[F1 %MC]]="-","-",IF(Table36[[#This Row],[F1 %MC]]&lt;INDEX(MCmin,MATCH(Table36[[#This Row],[Grist]],SMI,0)),0,IF(Table36[[#This Row],[F1 %MC]]&gt;INDEX(MCmax,MATCH(Table36[[#This Row],[Grist]],SMI,0)),0,1))))</f>
        <v>1</v>
      </c>
      <c r="V248" s="127" t="str">
        <f>IF(INDEX(Protmin,MATCH(Table36[[#This Row],[Grist]],SMI,0))="-","-",IF(Table36[[#This Row],[%Protein]]="-","-",IF(Table36[[#This Row],[%Protein]]&lt;INDEX(Protmin,MATCH(Table36[[#This Row],[Grist]],SMI,0)),0,IF(Table36[[#This Row],[%Protein]]&gt;INDEX(Protmax,MATCH(Table36[[#This Row],[Grist]],SMI,0)),0,1))))</f>
        <v>-</v>
      </c>
      <c r="W248" s="127" t="str">
        <f>IF(INDEX(Ashmin,MATCH(Table36[[#This Row],[Grist]],SMI,0))="-","-",IF(Table36[[#This Row],[%Ash]]="-","-",IF(Table36[[#This Row],[%Ash]]&lt;INDEX(Ashmin,MATCH(Table36[[#This Row],[Grist]],SMI,0)),0,IF(Table36[[#This Row],[%Ash]]&gt;INDEX(Ashmax,MATCH(Table36[[#This Row],[Grist]],SMI,0)),0,1))))</f>
        <v>-</v>
      </c>
      <c r="X248" s="127" t="str">
        <f>IF(INDEX(Absmin,MATCH(Table36[[#This Row],[Grist]],SMI,0))="-","-",IF(Table36[[#This Row],[%Absorption]]="-","-",IF(Table36[[#This Row],[%Absorption]]&lt;INDEX(Absmin,MATCH(Table36[[#This Row],[Grist]],SMI,0)),0,IF(Table36[[#This Row],[%Absorption]]&gt;INDEX(Absmax,MATCH(Table36[[#This Row],[Grist]],SMI,0)),0,1))))</f>
        <v>-</v>
      </c>
      <c r="Y248" s="127" t="str">
        <f>IF(INDEX(Extmin,MATCH(Table36[[#This Row],[Grist]],SMI,0))="-","-",IF(Table36[[#This Row],[%Extensibility]]="-","-",IF(Table36[[#This Row],[%Extensibility]]&lt;INDEX(Extmin,MATCH(Table36[[#This Row],[Grist]],SMI,0)),0,IF(Table36[[#This Row],[%Extensibility]]&gt;INDEX(Extmax,MATCH(Table36[[#This Row],[Grist]],SMI,0)),0,1))))</f>
        <v>-</v>
      </c>
      <c r="Z248" s="127" t="str">
        <f>IF(INDEX(Resmin,MATCH(Table36[[#This Row],[Grist]],SMI,0))="-","-",IF(Table36[[#This Row],[Resistance, max]]="-","-",IF(Table36[[#This Row],[Resistance, max]]&lt;INDEX(Resmin,MATCH(Table36[[#This Row],[Grist]],SMI,0)),0,IF(Table36[[#This Row],[Resistance, max]]&gt;INDEX(Resmax,MATCH(Table36[[#This Row],[Grist]],SMI,0)),0,1))))</f>
        <v>-</v>
      </c>
      <c r="AA248" s="127" t="str">
        <f>IF(INDEX(WGmin,MATCH(Table36[[#This Row],[Grist]],SMI,0))="-","-",IF(Table36[[#This Row],[%Wet Gluten]]="-","-",IF(Table36[[#This Row],[%Wet Gluten]]&lt;INDEX(WGmin,MATCH(Table36[[#This Row],[Grist]],SMI,0)),0,IF(Table36[[#This Row],[%Wet Gluten]]&gt;INDEX(WGmax,MATCH(Table36[[#This Row],[Grist]],SMI,0)),0,1))))</f>
        <v>-</v>
      </c>
      <c r="AB248" s="127">
        <f>SUM(Table36[[#This Row],[ QI Bran Content]:[QI WG]])</f>
        <v>4</v>
      </c>
      <c r="AC248" s="127">
        <f>COUNT(Table36[[#This Row],[ QI Bran Content]:[QI WG]])</f>
        <v>4</v>
      </c>
    </row>
    <row r="249" spans="1:29" x14ac:dyDescent="0.35">
      <c r="A249" s="177">
        <v>45323</v>
      </c>
      <c r="B249" s="178">
        <v>45323</v>
      </c>
      <c r="C249" s="178" t="s">
        <v>128</v>
      </c>
      <c r="D249" s="179">
        <v>0.79166666666666596</v>
      </c>
      <c r="E249" s="180" t="s">
        <v>0</v>
      </c>
      <c r="F249" s="181" t="s">
        <v>32</v>
      </c>
      <c r="G249" s="182">
        <v>8.6E-3</v>
      </c>
      <c r="H249" s="175" t="s">
        <v>165</v>
      </c>
      <c r="I249" s="175" t="s">
        <v>165</v>
      </c>
      <c r="J249" s="175" t="s">
        <v>165</v>
      </c>
      <c r="K249" s="175">
        <v>12.18</v>
      </c>
      <c r="L249" s="175" t="s">
        <v>163</v>
      </c>
      <c r="M249" s="175" t="s">
        <v>163</v>
      </c>
      <c r="N249" s="175" t="s">
        <v>163</v>
      </c>
      <c r="O249" s="175" t="s">
        <v>163</v>
      </c>
      <c r="P249" s="175" t="s">
        <v>163</v>
      </c>
      <c r="Q249" s="175" t="s">
        <v>163</v>
      </c>
      <c r="R249" s="127">
        <f>IF(Table36[[#This Row],[ Bran Content]]="-","-",IF(G249&lt;0.02,1,0))</f>
        <v>1</v>
      </c>
      <c r="S249" s="127">
        <f>IF(Table36[[#This Row],[Sieve Test]]="-","-",IF(Table36[[#This Row],[Sieve Test]]="P",1,0))</f>
        <v>1</v>
      </c>
      <c r="T249" s="127">
        <f>IF(Table36[[#This Row],[Odor]]="-","-",IF(Table36[[#This Row],[Odor]]="P",1,0))</f>
        <v>1</v>
      </c>
      <c r="U249" s="127">
        <f>IF(INDEX(MCmin,MATCH(Table36[[#This Row],[Grist]],SMI,0))="-","-",IF(Table36[[#This Row],[F1 %MC]]="-","-",IF(Table36[[#This Row],[F1 %MC]]&lt;INDEX(MCmin,MATCH(Table36[[#This Row],[Grist]],SMI,0)),0,IF(Table36[[#This Row],[F1 %MC]]&gt;INDEX(MCmax,MATCH(Table36[[#This Row],[Grist]],SMI,0)),0,1))))</f>
        <v>1</v>
      </c>
      <c r="V249" s="127" t="str">
        <f>IF(INDEX(Protmin,MATCH(Table36[[#This Row],[Grist]],SMI,0))="-","-",IF(Table36[[#This Row],[%Protein]]="-","-",IF(Table36[[#This Row],[%Protein]]&lt;INDEX(Protmin,MATCH(Table36[[#This Row],[Grist]],SMI,0)),0,IF(Table36[[#This Row],[%Protein]]&gt;INDEX(Protmax,MATCH(Table36[[#This Row],[Grist]],SMI,0)),0,1))))</f>
        <v>-</v>
      </c>
      <c r="W249" s="127" t="str">
        <f>IF(INDEX(Ashmin,MATCH(Table36[[#This Row],[Grist]],SMI,0))="-","-",IF(Table36[[#This Row],[%Ash]]="-","-",IF(Table36[[#This Row],[%Ash]]&lt;INDEX(Ashmin,MATCH(Table36[[#This Row],[Grist]],SMI,0)),0,IF(Table36[[#This Row],[%Ash]]&gt;INDEX(Ashmax,MATCH(Table36[[#This Row],[Grist]],SMI,0)),0,1))))</f>
        <v>-</v>
      </c>
      <c r="X249" s="127" t="str">
        <f>IF(INDEX(Absmin,MATCH(Table36[[#This Row],[Grist]],SMI,0))="-","-",IF(Table36[[#This Row],[%Absorption]]="-","-",IF(Table36[[#This Row],[%Absorption]]&lt;INDEX(Absmin,MATCH(Table36[[#This Row],[Grist]],SMI,0)),0,IF(Table36[[#This Row],[%Absorption]]&gt;INDEX(Absmax,MATCH(Table36[[#This Row],[Grist]],SMI,0)),0,1))))</f>
        <v>-</v>
      </c>
      <c r="Y249" s="127" t="str">
        <f>IF(INDEX(Extmin,MATCH(Table36[[#This Row],[Grist]],SMI,0))="-","-",IF(Table36[[#This Row],[%Extensibility]]="-","-",IF(Table36[[#This Row],[%Extensibility]]&lt;INDEX(Extmin,MATCH(Table36[[#This Row],[Grist]],SMI,0)),0,IF(Table36[[#This Row],[%Extensibility]]&gt;INDEX(Extmax,MATCH(Table36[[#This Row],[Grist]],SMI,0)),0,1))))</f>
        <v>-</v>
      </c>
      <c r="Z249" s="127" t="str">
        <f>IF(INDEX(Resmin,MATCH(Table36[[#This Row],[Grist]],SMI,0))="-","-",IF(Table36[[#This Row],[Resistance, max]]="-","-",IF(Table36[[#This Row],[Resistance, max]]&lt;INDEX(Resmin,MATCH(Table36[[#This Row],[Grist]],SMI,0)),0,IF(Table36[[#This Row],[Resistance, max]]&gt;INDEX(Resmax,MATCH(Table36[[#This Row],[Grist]],SMI,0)),0,1))))</f>
        <v>-</v>
      </c>
      <c r="AA249" s="127" t="str">
        <f>IF(INDEX(WGmin,MATCH(Table36[[#This Row],[Grist]],SMI,0))="-","-",IF(Table36[[#This Row],[%Wet Gluten]]="-","-",IF(Table36[[#This Row],[%Wet Gluten]]&lt;INDEX(WGmin,MATCH(Table36[[#This Row],[Grist]],SMI,0)),0,IF(Table36[[#This Row],[%Wet Gluten]]&gt;INDEX(WGmax,MATCH(Table36[[#This Row],[Grist]],SMI,0)),0,1))))</f>
        <v>-</v>
      </c>
      <c r="AB249" s="127">
        <f>SUM(Table36[[#This Row],[ QI Bran Content]:[QI WG]])</f>
        <v>4</v>
      </c>
      <c r="AC249" s="127">
        <f>COUNT(Table36[[#This Row],[ QI Bran Content]:[QI WG]])</f>
        <v>4</v>
      </c>
    </row>
    <row r="250" spans="1:29" x14ac:dyDescent="0.35">
      <c r="A250" s="177">
        <v>45323</v>
      </c>
      <c r="B250" s="178">
        <v>45323</v>
      </c>
      <c r="C250" s="178" t="s">
        <v>128</v>
      </c>
      <c r="D250" s="179">
        <v>0.874999999999999</v>
      </c>
      <c r="E250" s="180" t="s">
        <v>0</v>
      </c>
      <c r="F250" s="181" t="s">
        <v>32</v>
      </c>
      <c r="G250" s="182">
        <v>6.7000000000000002E-3</v>
      </c>
      <c r="H250" s="175" t="s">
        <v>165</v>
      </c>
      <c r="I250" s="175" t="s">
        <v>165</v>
      </c>
      <c r="J250" s="175" t="s">
        <v>165</v>
      </c>
      <c r="K250" s="175">
        <v>12.17</v>
      </c>
      <c r="L250" s="175" t="s">
        <v>163</v>
      </c>
      <c r="M250" s="175" t="s">
        <v>163</v>
      </c>
      <c r="N250" s="175" t="s">
        <v>163</v>
      </c>
      <c r="O250" s="175" t="s">
        <v>163</v>
      </c>
      <c r="P250" s="175" t="s">
        <v>163</v>
      </c>
      <c r="Q250" s="175" t="s">
        <v>163</v>
      </c>
      <c r="R250" s="127">
        <f>IF(Table36[[#This Row],[ Bran Content]]="-","-",IF(G250&lt;0.02,1,0))</f>
        <v>1</v>
      </c>
      <c r="S250" s="127">
        <f>IF(Table36[[#This Row],[Sieve Test]]="-","-",IF(Table36[[#This Row],[Sieve Test]]="P",1,0))</f>
        <v>1</v>
      </c>
      <c r="T250" s="127">
        <f>IF(Table36[[#This Row],[Odor]]="-","-",IF(Table36[[#This Row],[Odor]]="P",1,0))</f>
        <v>1</v>
      </c>
      <c r="U250" s="127">
        <f>IF(INDEX(MCmin,MATCH(Table36[[#This Row],[Grist]],SMI,0))="-","-",IF(Table36[[#This Row],[F1 %MC]]="-","-",IF(Table36[[#This Row],[F1 %MC]]&lt;INDEX(MCmin,MATCH(Table36[[#This Row],[Grist]],SMI,0)),0,IF(Table36[[#This Row],[F1 %MC]]&gt;INDEX(MCmax,MATCH(Table36[[#This Row],[Grist]],SMI,0)),0,1))))</f>
        <v>1</v>
      </c>
      <c r="V250" s="127" t="str">
        <f>IF(INDEX(Protmin,MATCH(Table36[[#This Row],[Grist]],SMI,0))="-","-",IF(Table36[[#This Row],[%Protein]]="-","-",IF(Table36[[#This Row],[%Protein]]&lt;INDEX(Protmin,MATCH(Table36[[#This Row],[Grist]],SMI,0)),0,IF(Table36[[#This Row],[%Protein]]&gt;INDEX(Protmax,MATCH(Table36[[#This Row],[Grist]],SMI,0)),0,1))))</f>
        <v>-</v>
      </c>
      <c r="W250" s="127" t="str">
        <f>IF(INDEX(Ashmin,MATCH(Table36[[#This Row],[Grist]],SMI,0))="-","-",IF(Table36[[#This Row],[%Ash]]="-","-",IF(Table36[[#This Row],[%Ash]]&lt;INDEX(Ashmin,MATCH(Table36[[#This Row],[Grist]],SMI,0)),0,IF(Table36[[#This Row],[%Ash]]&gt;INDEX(Ashmax,MATCH(Table36[[#This Row],[Grist]],SMI,0)),0,1))))</f>
        <v>-</v>
      </c>
      <c r="X250" s="127" t="str">
        <f>IF(INDEX(Absmin,MATCH(Table36[[#This Row],[Grist]],SMI,0))="-","-",IF(Table36[[#This Row],[%Absorption]]="-","-",IF(Table36[[#This Row],[%Absorption]]&lt;INDEX(Absmin,MATCH(Table36[[#This Row],[Grist]],SMI,0)),0,IF(Table36[[#This Row],[%Absorption]]&gt;INDEX(Absmax,MATCH(Table36[[#This Row],[Grist]],SMI,0)),0,1))))</f>
        <v>-</v>
      </c>
      <c r="Y250" s="127" t="str">
        <f>IF(INDEX(Extmin,MATCH(Table36[[#This Row],[Grist]],SMI,0))="-","-",IF(Table36[[#This Row],[%Extensibility]]="-","-",IF(Table36[[#This Row],[%Extensibility]]&lt;INDEX(Extmin,MATCH(Table36[[#This Row],[Grist]],SMI,0)),0,IF(Table36[[#This Row],[%Extensibility]]&gt;INDEX(Extmax,MATCH(Table36[[#This Row],[Grist]],SMI,0)),0,1))))</f>
        <v>-</v>
      </c>
      <c r="Z250" s="127" t="str">
        <f>IF(INDEX(Resmin,MATCH(Table36[[#This Row],[Grist]],SMI,0))="-","-",IF(Table36[[#This Row],[Resistance, max]]="-","-",IF(Table36[[#This Row],[Resistance, max]]&lt;INDEX(Resmin,MATCH(Table36[[#This Row],[Grist]],SMI,0)),0,IF(Table36[[#This Row],[Resistance, max]]&gt;INDEX(Resmax,MATCH(Table36[[#This Row],[Grist]],SMI,0)),0,1))))</f>
        <v>-</v>
      </c>
      <c r="AA250" s="127" t="str">
        <f>IF(INDEX(WGmin,MATCH(Table36[[#This Row],[Grist]],SMI,0))="-","-",IF(Table36[[#This Row],[%Wet Gluten]]="-","-",IF(Table36[[#This Row],[%Wet Gluten]]&lt;INDEX(WGmin,MATCH(Table36[[#This Row],[Grist]],SMI,0)),0,IF(Table36[[#This Row],[%Wet Gluten]]&gt;INDEX(WGmax,MATCH(Table36[[#This Row],[Grist]],SMI,0)),0,1))))</f>
        <v>-</v>
      </c>
      <c r="AB250" s="127">
        <f>SUM(Table36[[#This Row],[ QI Bran Content]:[QI WG]])</f>
        <v>4</v>
      </c>
      <c r="AC250" s="127">
        <f>COUNT(Table36[[#This Row],[ QI Bran Content]:[QI WG]])</f>
        <v>4</v>
      </c>
    </row>
    <row r="251" spans="1:29" x14ac:dyDescent="0.35">
      <c r="A251" s="177">
        <v>45323</v>
      </c>
      <c r="B251" s="178">
        <v>45323</v>
      </c>
      <c r="C251" s="178" t="s">
        <v>128</v>
      </c>
      <c r="D251" s="179">
        <v>0.625</v>
      </c>
      <c r="E251" s="180" t="s">
        <v>2</v>
      </c>
      <c r="F251" s="181" t="s">
        <v>242</v>
      </c>
      <c r="G251" s="182">
        <v>5.0000000000000001E-3</v>
      </c>
      <c r="H251" s="175" t="s">
        <v>165</v>
      </c>
      <c r="I251" s="175" t="s">
        <v>165</v>
      </c>
      <c r="J251" s="175" t="s">
        <v>165</v>
      </c>
      <c r="K251" s="175">
        <v>11.56</v>
      </c>
      <c r="L251" s="175" t="s">
        <v>163</v>
      </c>
      <c r="M251" s="175" t="s">
        <v>163</v>
      </c>
      <c r="N251" s="175" t="s">
        <v>163</v>
      </c>
      <c r="O251" s="175" t="s">
        <v>163</v>
      </c>
      <c r="P251" s="175" t="s">
        <v>163</v>
      </c>
      <c r="Q251" s="175" t="s">
        <v>163</v>
      </c>
      <c r="R251" s="127">
        <f>IF(Table36[[#This Row],[ Bran Content]]="-","-",IF(G251&lt;0.02,1,0))</f>
        <v>1</v>
      </c>
      <c r="S251" s="127">
        <f>IF(Table36[[#This Row],[Sieve Test]]="-","-",IF(Table36[[#This Row],[Sieve Test]]="P",1,0))</f>
        <v>1</v>
      </c>
      <c r="T251" s="127">
        <f>IF(Table36[[#This Row],[Odor]]="-","-",IF(Table36[[#This Row],[Odor]]="P",1,0))</f>
        <v>1</v>
      </c>
      <c r="U251" s="127">
        <f>IF(INDEX(MCmin,MATCH(Table36[[#This Row],[Grist]],SMI,0))="-","-",IF(Table36[[#This Row],[F1 %MC]]="-","-",IF(Table36[[#This Row],[F1 %MC]]&lt;INDEX(MCmin,MATCH(Table36[[#This Row],[Grist]],SMI,0)),0,IF(Table36[[#This Row],[F1 %MC]]&gt;INDEX(MCmax,MATCH(Table36[[#This Row],[Grist]],SMI,0)),0,1))))</f>
        <v>0</v>
      </c>
      <c r="V251" s="127" t="str">
        <f>IF(INDEX(Protmin,MATCH(Table36[[#This Row],[Grist]],SMI,0))="-","-",IF(Table36[[#This Row],[%Protein]]="-","-",IF(Table36[[#This Row],[%Protein]]&lt;INDEX(Protmin,MATCH(Table36[[#This Row],[Grist]],SMI,0)),0,IF(Table36[[#This Row],[%Protein]]&gt;INDEX(Protmax,MATCH(Table36[[#This Row],[Grist]],SMI,0)),0,1))))</f>
        <v>-</v>
      </c>
      <c r="W251" s="127" t="str">
        <f>IF(INDEX(Ashmin,MATCH(Table36[[#This Row],[Grist]],SMI,0))="-","-",IF(Table36[[#This Row],[%Ash]]="-","-",IF(Table36[[#This Row],[%Ash]]&lt;INDEX(Ashmin,MATCH(Table36[[#This Row],[Grist]],SMI,0)),0,IF(Table36[[#This Row],[%Ash]]&gt;INDEX(Ashmax,MATCH(Table36[[#This Row],[Grist]],SMI,0)),0,1))))</f>
        <v>-</v>
      </c>
      <c r="X251" s="127" t="str">
        <f>IF(INDEX(Absmin,MATCH(Table36[[#This Row],[Grist]],SMI,0))="-","-",IF(Table36[[#This Row],[%Absorption]]="-","-",IF(Table36[[#This Row],[%Absorption]]&lt;INDEX(Absmin,MATCH(Table36[[#This Row],[Grist]],SMI,0)),0,IF(Table36[[#This Row],[%Absorption]]&gt;INDEX(Absmax,MATCH(Table36[[#This Row],[Grist]],SMI,0)),0,1))))</f>
        <v>-</v>
      </c>
      <c r="Y251" s="127" t="str">
        <f>IF(INDEX(Extmin,MATCH(Table36[[#This Row],[Grist]],SMI,0))="-","-",IF(Table36[[#This Row],[%Extensibility]]="-","-",IF(Table36[[#This Row],[%Extensibility]]&lt;INDEX(Extmin,MATCH(Table36[[#This Row],[Grist]],SMI,0)),0,IF(Table36[[#This Row],[%Extensibility]]&gt;INDEX(Extmax,MATCH(Table36[[#This Row],[Grist]],SMI,0)),0,1))))</f>
        <v>-</v>
      </c>
      <c r="Z251" s="127" t="str">
        <f>IF(INDEX(Resmin,MATCH(Table36[[#This Row],[Grist]],SMI,0))="-","-",IF(Table36[[#This Row],[Resistance, max]]="-","-",IF(Table36[[#This Row],[Resistance, max]]&lt;INDEX(Resmin,MATCH(Table36[[#This Row],[Grist]],SMI,0)),0,IF(Table36[[#This Row],[Resistance, max]]&gt;INDEX(Resmax,MATCH(Table36[[#This Row],[Grist]],SMI,0)),0,1))))</f>
        <v>-</v>
      </c>
      <c r="AA251" s="127" t="str">
        <f>IF(INDEX(WGmin,MATCH(Table36[[#This Row],[Grist]],SMI,0))="-","-",IF(Table36[[#This Row],[%Wet Gluten]]="-","-",IF(Table36[[#This Row],[%Wet Gluten]]&lt;INDEX(WGmin,MATCH(Table36[[#This Row],[Grist]],SMI,0)),0,IF(Table36[[#This Row],[%Wet Gluten]]&gt;INDEX(WGmax,MATCH(Table36[[#This Row],[Grist]],SMI,0)),0,1))))</f>
        <v>-</v>
      </c>
      <c r="AB251" s="127">
        <f>SUM(Table36[[#This Row],[ QI Bran Content]:[QI WG]])</f>
        <v>3</v>
      </c>
      <c r="AC251" s="127">
        <f>COUNT(Table36[[#This Row],[ QI Bran Content]:[QI WG]])</f>
        <v>4</v>
      </c>
    </row>
    <row r="252" spans="1:29" x14ac:dyDescent="0.35">
      <c r="A252" s="177">
        <v>45323</v>
      </c>
      <c r="B252" s="178">
        <v>45323</v>
      </c>
      <c r="C252" s="178" t="s">
        <v>128</v>
      </c>
      <c r="D252" s="179">
        <v>0.70833333333333304</v>
      </c>
      <c r="E252" s="180" t="s">
        <v>2</v>
      </c>
      <c r="F252" s="181" t="s">
        <v>242</v>
      </c>
      <c r="G252" s="182">
        <v>4.4999999999999997E-3</v>
      </c>
      <c r="H252" s="175" t="s">
        <v>165</v>
      </c>
      <c r="I252" s="175" t="s">
        <v>165</v>
      </c>
      <c r="J252" s="175" t="s">
        <v>165</v>
      </c>
      <c r="K252" s="175">
        <v>12.01</v>
      </c>
      <c r="L252" s="175" t="s">
        <v>163</v>
      </c>
      <c r="M252" s="175" t="s">
        <v>163</v>
      </c>
      <c r="N252" s="175" t="s">
        <v>163</v>
      </c>
      <c r="O252" s="175" t="s">
        <v>163</v>
      </c>
      <c r="P252" s="175" t="s">
        <v>163</v>
      </c>
      <c r="Q252" s="175" t="s">
        <v>163</v>
      </c>
      <c r="R252" s="127">
        <f>IF(Table36[[#This Row],[ Bran Content]]="-","-",IF(G252&lt;0.02,1,0))</f>
        <v>1</v>
      </c>
      <c r="S252" s="127">
        <f>IF(Table36[[#This Row],[Sieve Test]]="-","-",IF(Table36[[#This Row],[Sieve Test]]="P",1,0))</f>
        <v>1</v>
      </c>
      <c r="T252" s="127">
        <f>IF(Table36[[#This Row],[Odor]]="-","-",IF(Table36[[#This Row],[Odor]]="P",1,0))</f>
        <v>1</v>
      </c>
      <c r="U252" s="127">
        <f>IF(INDEX(MCmin,MATCH(Table36[[#This Row],[Grist]],SMI,0))="-","-",IF(Table36[[#This Row],[F1 %MC]]="-","-",IF(Table36[[#This Row],[F1 %MC]]&lt;INDEX(MCmin,MATCH(Table36[[#This Row],[Grist]],SMI,0)),0,IF(Table36[[#This Row],[F1 %MC]]&gt;INDEX(MCmax,MATCH(Table36[[#This Row],[Grist]],SMI,0)),0,1))))</f>
        <v>1</v>
      </c>
      <c r="V252" s="127" t="str">
        <f>IF(INDEX(Protmin,MATCH(Table36[[#This Row],[Grist]],SMI,0))="-","-",IF(Table36[[#This Row],[%Protein]]="-","-",IF(Table36[[#This Row],[%Protein]]&lt;INDEX(Protmin,MATCH(Table36[[#This Row],[Grist]],SMI,0)),0,IF(Table36[[#This Row],[%Protein]]&gt;INDEX(Protmax,MATCH(Table36[[#This Row],[Grist]],SMI,0)),0,1))))</f>
        <v>-</v>
      </c>
      <c r="W252" s="127" t="str">
        <f>IF(INDEX(Ashmin,MATCH(Table36[[#This Row],[Grist]],SMI,0))="-","-",IF(Table36[[#This Row],[%Ash]]="-","-",IF(Table36[[#This Row],[%Ash]]&lt;INDEX(Ashmin,MATCH(Table36[[#This Row],[Grist]],SMI,0)),0,IF(Table36[[#This Row],[%Ash]]&gt;INDEX(Ashmax,MATCH(Table36[[#This Row],[Grist]],SMI,0)),0,1))))</f>
        <v>-</v>
      </c>
      <c r="X252" s="127" t="str">
        <f>IF(INDEX(Absmin,MATCH(Table36[[#This Row],[Grist]],SMI,0))="-","-",IF(Table36[[#This Row],[%Absorption]]="-","-",IF(Table36[[#This Row],[%Absorption]]&lt;INDEX(Absmin,MATCH(Table36[[#This Row],[Grist]],SMI,0)),0,IF(Table36[[#This Row],[%Absorption]]&gt;INDEX(Absmax,MATCH(Table36[[#This Row],[Grist]],SMI,0)),0,1))))</f>
        <v>-</v>
      </c>
      <c r="Y252" s="127" t="str">
        <f>IF(INDEX(Extmin,MATCH(Table36[[#This Row],[Grist]],SMI,0))="-","-",IF(Table36[[#This Row],[%Extensibility]]="-","-",IF(Table36[[#This Row],[%Extensibility]]&lt;INDEX(Extmin,MATCH(Table36[[#This Row],[Grist]],SMI,0)),0,IF(Table36[[#This Row],[%Extensibility]]&gt;INDEX(Extmax,MATCH(Table36[[#This Row],[Grist]],SMI,0)),0,1))))</f>
        <v>-</v>
      </c>
      <c r="Z252" s="127" t="str">
        <f>IF(INDEX(Resmin,MATCH(Table36[[#This Row],[Grist]],SMI,0))="-","-",IF(Table36[[#This Row],[Resistance, max]]="-","-",IF(Table36[[#This Row],[Resistance, max]]&lt;INDEX(Resmin,MATCH(Table36[[#This Row],[Grist]],SMI,0)),0,IF(Table36[[#This Row],[Resistance, max]]&gt;INDEX(Resmax,MATCH(Table36[[#This Row],[Grist]],SMI,0)),0,1))))</f>
        <v>-</v>
      </c>
      <c r="AA252" s="127" t="str">
        <f>IF(INDEX(WGmin,MATCH(Table36[[#This Row],[Grist]],SMI,0))="-","-",IF(Table36[[#This Row],[%Wet Gluten]]="-","-",IF(Table36[[#This Row],[%Wet Gluten]]&lt;INDEX(WGmin,MATCH(Table36[[#This Row],[Grist]],SMI,0)),0,IF(Table36[[#This Row],[%Wet Gluten]]&gt;INDEX(WGmax,MATCH(Table36[[#This Row],[Grist]],SMI,0)),0,1))))</f>
        <v>-</v>
      </c>
      <c r="AB252" s="127">
        <f>SUM(Table36[[#This Row],[ QI Bran Content]:[QI WG]])</f>
        <v>4</v>
      </c>
      <c r="AC252" s="127">
        <f>COUNT(Table36[[#This Row],[ QI Bran Content]:[QI WG]])</f>
        <v>4</v>
      </c>
    </row>
    <row r="253" spans="1:29" x14ac:dyDescent="0.35">
      <c r="A253" s="177">
        <v>45323</v>
      </c>
      <c r="B253" s="178">
        <v>45323</v>
      </c>
      <c r="C253" s="178" t="s">
        <v>128</v>
      </c>
      <c r="D253" s="179">
        <v>0.79166666666666596</v>
      </c>
      <c r="E253" s="180" t="s">
        <v>2</v>
      </c>
      <c r="F253" s="181" t="s">
        <v>242</v>
      </c>
      <c r="G253" s="182">
        <v>5.5999999999999999E-3</v>
      </c>
      <c r="H253" s="175" t="s">
        <v>165</v>
      </c>
      <c r="I253" s="175" t="s">
        <v>165</v>
      </c>
      <c r="J253" s="175" t="s">
        <v>165</v>
      </c>
      <c r="K253" s="175">
        <v>12.08</v>
      </c>
      <c r="L253" s="175" t="s">
        <v>163</v>
      </c>
      <c r="M253" s="175" t="s">
        <v>163</v>
      </c>
      <c r="N253" s="175" t="s">
        <v>163</v>
      </c>
      <c r="O253" s="175" t="s">
        <v>163</v>
      </c>
      <c r="P253" s="175" t="s">
        <v>163</v>
      </c>
      <c r="Q253" s="175" t="s">
        <v>163</v>
      </c>
      <c r="R253" s="127">
        <f>IF(Table36[[#This Row],[ Bran Content]]="-","-",IF(G253&lt;0.02,1,0))</f>
        <v>1</v>
      </c>
      <c r="S253" s="127">
        <f>IF(Table36[[#This Row],[Sieve Test]]="-","-",IF(Table36[[#This Row],[Sieve Test]]="P",1,0))</f>
        <v>1</v>
      </c>
      <c r="T253" s="127">
        <f>IF(Table36[[#This Row],[Odor]]="-","-",IF(Table36[[#This Row],[Odor]]="P",1,0))</f>
        <v>1</v>
      </c>
      <c r="U253" s="127">
        <f>IF(INDEX(MCmin,MATCH(Table36[[#This Row],[Grist]],SMI,0))="-","-",IF(Table36[[#This Row],[F1 %MC]]="-","-",IF(Table36[[#This Row],[F1 %MC]]&lt;INDEX(MCmin,MATCH(Table36[[#This Row],[Grist]],SMI,0)),0,IF(Table36[[#This Row],[F1 %MC]]&gt;INDEX(MCmax,MATCH(Table36[[#This Row],[Grist]],SMI,0)),0,1))))</f>
        <v>1</v>
      </c>
      <c r="V253" s="127" t="str">
        <f>IF(INDEX(Protmin,MATCH(Table36[[#This Row],[Grist]],SMI,0))="-","-",IF(Table36[[#This Row],[%Protein]]="-","-",IF(Table36[[#This Row],[%Protein]]&lt;INDEX(Protmin,MATCH(Table36[[#This Row],[Grist]],SMI,0)),0,IF(Table36[[#This Row],[%Protein]]&gt;INDEX(Protmax,MATCH(Table36[[#This Row],[Grist]],SMI,0)),0,1))))</f>
        <v>-</v>
      </c>
      <c r="W253" s="127" t="str">
        <f>IF(INDEX(Ashmin,MATCH(Table36[[#This Row],[Grist]],SMI,0))="-","-",IF(Table36[[#This Row],[%Ash]]="-","-",IF(Table36[[#This Row],[%Ash]]&lt;INDEX(Ashmin,MATCH(Table36[[#This Row],[Grist]],SMI,0)),0,IF(Table36[[#This Row],[%Ash]]&gt;INDEX(Ashmax,MATCH(Table36[[#This Row],[Grist]],SMI,0)),0,1))))</f>
        <v>-</v>
      </c>
      <c r="X253" s="127" t="str">
        <f>IF(INDEX(Absmin,MATCH(Table36[[#This Row],[Grist]],SMI,0))="-","-",IF(Table36[[#This Row],[%Absorption]]="-","-",IF(Table36[[#This Row],[%Absorption]]&lt;INDEX(Absmin,MATCH(Table36[[#This Row],[Grist]],SMI,0)),0,IF(Table36[[#This Row],[%Absorption]]&gt;INDEX(Absmax,MATCH(Table36[[#This Row],[Grist]],SMI,0)),0,1))))</f>
        <v>-</v>
      </c>
      <c r="Y253" s="127" t="str">
        <f>IF(INDEX(Extmin,MATCH(Table36[[#This Row],[Grist]],SMI,0))="-","-",IF(Table36[[#This Row],[%Extensibility]]="-","-",IF(Table36[[#This Row],[%Extensibility]]&lt;INDEX(Extmin,MATCH(Table36[[#This Row],[Grist]],SMI,0)),0,IF(Table36[[#This Row],[%Extensibility]]&gt;INDEX(Extmax,MATCH(Table36[[#This Row],[Grist]],SMI,0)),0,1))))</f>
        <v>-</v>
      </c>
      <c r="Z253" s="127" t="str">
        <f>IF(INDEX(Resmin,MATCH(Table36[[#This Row],[Grist]],SMI,0))="-","-",IF(Table36[[#This Row],[Resistance, max]]="-","-",IF(Table36[[#This Row],[Resistance, max]]&lt;INDEX(Resmin,MATCH(Table36[[#This Row],[Grist]],SMI,0)),0,IF(Table36[[#This Row],[Resistance, max]]&gt;INDEX(Resmax,MATCH(Table36[[#This Row],[Grist]],SMI,0)),0,1))))</f>
        <v>-</v>
      </c>
      <c r="AA253" s="127" t="str">
        <f>IF(INDEX(WGmin,MATCH(Table36[[#This Row],[Grist]],SMI,0))="-","-",IF(Table36[[#This Row],[%Wet Gluten]]="-","-",IF(Table36[[#This Row],[%Wet Gluten]]&lt;INDEX(WGmin,MATCH(Table36[[#This Row],[Grist]],SMI,0)),0,IF(Table36[[#This Row],[%Wet Gluten]]&gt;INDEX(WGmax,MATCH(Table36[[#This Row],[Grist]],SMI,0)),0,1))))</f>
        <v>-</v>
      </c>
      <c r="AB253" s="127">
        <f>SUM(Table36[[#This Row],[ QI Bran Content]:[QI WG]])</f>
        <v>4</v>
      </c>
      <c r="AC253" s="127">
        <f>COUNT(Table36[[#This Row],[ QI Bran Content]:[QI WG]])</f>
        <v>4</v>
      </c>
    </row>
    <row r="254" spans="1:29" x14ac:dyDescent="0.35">
      <c r="A254" s="177">
        <v>45323</v>
      </c>
      <c r="B254" s="178">
        <v>45323</v>
      </c>
      <c r="C254" s="178" t="s">
        <v>128</v>
      </c>
      <c r="D254" s="179">
        <v>0.874999999999999</v>
      </c>
      <c r="E254" s="180" t="s">
        <v>2</v>
      </c>
      <c r="F254" s="181" t="s">
        <v>242</v>
      </c>
      <c r="G254" s="182">
        <v>7.1000000000000004E-3</v>
      </c>
      <c r="H254" s="175" t="s">
        <v>165</v>
      </c>
      <c r="I254" s="175" t="s">
        <v>165</v>
      </c>
      <c r="J254" s="175" t="s">
        <v>165</v>
      </c>
      <c r="K254" s="175">
        <v>11.83</v>
      </c>
      <c r="L254" s="175" t="s">
        <v>163</v>
      </c>
      <c r="M254" s="175" t="s">
        <v>163</v>
      </c>
      <c r="N254" s="175" t="s">
        <v>163</v>
      </c>
      <c r="O254" s="175" t="s">
        <v>163</v>
      </c>
      <c r="P254" s="175" t="s">
        <v>163</v>
      </c>
      <c r="Q254" s="175" t="s">
        <v>163</v>
      </c>
      <c r="R254" s="127">
        <f>IF(Table36[[#This Row],[ Bran Content]]="-","-",IF(G254&lt;0.02,1,0))</f>
        <v>1</v>
      </c>
      <c r="S254" s="127">
        <f>IF(Table36[[#This Row],[Sieve Test]]="-","-",IF(Table36[[#This Row],[Sieve Test]]="P",1,0))</f>
        <v>1</v>
      </c>
      <c r="T254" s="127">
        <f>IF(Table36[[#This Row],[Odor]]="-","-",IF(Table36[[#This Row],[Odor]]="P",1,0))</f>
        <v>1</v>
      </c>
      <c r="U254" s="127">
        <f>IF(INDEX(MCmin,MATCH(Table36[[#This Row],[Grist]],SMI,0))="-","-",IF(Table36[[#This Row],[F1 %MC]]="-","-",IF(Table36[[#This Row],[F1 %MC]]&lt;INDEX(MCmin,MATCH(Table36[[#This Row],[Grist]],SMI,0)),0,IF(Table36[[#This Row],[F1 %MC]]&gt;INDEX(MCmax,MATCH(Table36[[#This Row],[Grist]],SMI,0)),0,1))))</f>
        <v>0</v>
      </c>
      <c r="V254" s="127" t="str">
        <f>IF(INDEX(Protmin,MATCH(Table36[[#This Row],[Grist]],SMI,0))="-","-",IF(Table36[[#This Row],[%Protein]]="-","-",IF(Table36[[#This Row],[%Protein]]&lt;INDEX(Protmin,MATCH(Table36[[#This Row],[Grist]],SMI,0)),0,IF(Table36[[#This Row],[%Protein]]&gt;INDEX(Protmax,MATCH(Table36[[#This Row],[Grist]],SMI,0)),0,1))))</f>
        <v>-</v>
      </c>
      <c r="W254" s="127" t="str">
        <f>IF(INDEX(Ashmin,MATCH(Table36[[#This Row],[Grist]],SMI,0))="-","-",IF(Table36[[#This Row],[%Ash]]="-","-",IF(Table36[[#This Row],[%Ash]]&lt;INDEX(Ashmin,MATCH(Table36[[#This Row],[Grist]],SMI,0)),0,IF(Table36[[#This Row],[%Ash]]&gt;INDEX(Ashmax,MATCH(Table36[[#This Row],[Grist]],SMI,0)),0,1))))</f>
        <v>-</v>
      </c>
      <c r="X254" s="127" t="str">
        <f>IF(INDEX(Absmin,MATCH(Table36[[#This Row],[Grist]],SMI,0))="-","-",IF(Table36[[#This Row],[%Absorption]]="-","-",IF(Table36[[#This Row],[%Absorption]]&lt;INDEX(Absmin,MATCH(Table36[[#This Row],[Grist]],SMI,0)),0,IF(Table36[[#This Row],[%Absorption]]&gt;INDEX(Absmax,MATCH(Table36[[#This Row],[Grist]],SMI,0)),0,1))))</f>
        <v>-</v>
      </c>
      <c r="Y254" s="127" t="str">
        <f>IF(INDEX(Extmin,MATCH(Table36[[#This Row],[Grist]],SMI,0))="-","-",IF(Table36[[#This Row],[%Extensibility]]="-","-",IF(Table36[[#This Row],[%Extensibility]]&lt;INDEX(Extmin,MATCH(Table36[[#This Row],[Grist]],SMI,0)),0,IF(Table36[[#This Row],[%Extensibility]]&gt;INDEX(Extmax,MATCH(Table36[[#This Row],[Grist]],SMI,0)),0,1))))</f>
        <v>-</v>
      </c>
      <c r="Z254" s="127" t="str">
        <f>IF(INDEX(Resmin,MATCH(Table36[[#This Row],[Grist]],SMI,0))="-","-",IF(Table36[[#This Row],[Resistance, max]]="-","-",IF(Table36[[#This Row],[Resistance, max]]&lt;INDEX(Resmin,MATCH(Table36[[#This Row],[Grist]],SMI,0)),0,IF(Table36[[#This Row],[Resistance, max]]&gt;INDEX(Resmax,MATCH(Table36[[#This Row],[Grist]],SMI,0)),0,1))))</f>
        <v>-</v>
      </c>
      <c r="AA254" s="127" t="str">
        <f>IF(INDEX(WGmin,MATCH(Table36[[#This Row],[Grist]],SMI,0))="-","-",IF(Table36[[#This Row],[%Wet Gluten]]="-","-",IF(Table36[[#This Row],[%Wet Gluten]]&lt;INDEX(WGmin,MATCH(Table36[[#This Row],[Grist]],SMI,0)),0,IF(Table36[[#This Row],[%Wet Gluten]]&gt;INDEX(WGmax,MATCH(Table36[[#This Row],[Grist]],SMI,0)),0,1))))</f>
        <v>-</v>
      </c>
      <c r="AB254" s="127">
        <f>SUM(Table36[[#This Row],[ QI Bran Content]:[QI WG]])</f>
        <v>3</v>
      </c>
      <c r="AC254" s="127">
        <f>COUNT(Table36[[#This Row],[ QI Bran Content]:[QI WG]])</f>
        <v>4</v>
      </c>
    </row>
    <row r="255" spans="1:29" x14ac:dyDescent="0.35">
      <c r="A255" s="177">
        <v>45324</v>
      </c>
      <c r="B255" s="178">
        <v>45324</v>
      </c>
      <c r="C255" s="178" t="s">
        <v>128</v>
      </c>
      <c r="D255" s="179">
        <v>0.95833333333333337</v>
      </c>
      <c r="E255" s="180" t="s">
        <v>0</v>
      </c>
      <c r="F255" s="181" t="s">
        <v>32</v>
      </c>
      <c r="G255" s="182">
        <v>6.7000000000000002E-3</v>
      </c>
      <c r="H255" s="175" t="s">
        <v>165</v>
      </c>
      <c r="I255" s="175" t="s">
        <v>165</v>
      </c>
      <c r="J255" s="175" t="s">
        <v>165</v>
      </c>
      <c r="K255" s="175">
        <v>12.17</v>
      </c>
      <c r="L255" s="175">
        <v>14</v>
      </c>
      <c r="M255" s="175">
        <v>0.56999999999999995</v>
      </c>
      <c r="N255" s="175">
        <v>65.400000000000006</v>
      </c>
      <c r="O255" s="175" t="s">
        <v>163</v>
      </c>
      <c r="P255" s="175" t="s">
        <v>163</v>
      </c>
      <c r="Q255" s="175" t="s">
        <v>163</v>
      </c>
      <c r="R255" s="127">
        <f>IF(Table36[[#This Row],[ Bran Content]]="-","-",IF(G255&lt;0.02,1,0))</f>
        <v>1</v>
      </c>
      <c r="S255" s="127">
        <f>IF(Table36[[#This Row],[Sieve Test]]="-","-",IF(Table36[[#This Row],[Sieve Test]]="P",1,0))</f>
        <v>1</v>
      </c>
      <c r="T255" s="127">
        <f>IF(Table36[[#This Row],[Odor]]="-","-",IF(Table36[[#This Row],[Odor]]="P",1,0))</f>
        <v>1</v>
      </c>
      <c r="U255" s="127">
        <f>IF(INDEX(MCmin,MATCH(Table36[[#This Row],[Grist]],SMI,0))="-","-",IF(Table36[[#This Row],[F1 %MC]]="-","-",IF(Table36[[#This Row],[F1 %MC]]&lt;INDEX(MCmin,MATCH(Table36[[#This Row],[Grist]],SMI,0)),0,IF(Table36[[#This Row],[F1 %MC]]&gt;INDEX(MCmax,MATCH(Table36[[#This Row],[Grist]],SMI,0)),0,1))))</f>
        <v>1</v>
      </c>
      <c r="V255" s="127">
        <f>IF(INDEX(Protmin,MATCH(Table36[[#This Row],[Grist]],SMI,0))="-","-",IF(Table36[[#This Row],[%Protein]]="-","-",IF(Table36[[#This Row],[%Protein]]&lt;INDEX(Protmin,MATCH(Table36[[#This Row],[Grist]],SMI,0)),0,IF(Table36[[#This Row],[%Protein]]&gt;INDEX(Protmax,MATCH(Table36[[#This Row],[Grist]],SMI,0)),0,1))))</f>
        <v>1</v>
      </c>
      <c r="W255" s="127">
        <f>IF(INDEX(Ashmin,MATCH(Table36[[#This Row],[Grist]],SMI,0))="-","-",IF(Table36[[#This Row],[%Ash]]="-","-",IF(Table36[[#This Row],[%Ash]]&lt;INDEX(Ashmin,MATCH(Table36[[#This Row],[Grist]],SMI,0)),0,IF(Table36[[#This Row],[%Ash]]&gt;INDEX(Ashmax,MATCH(Table36[[#This Row],[Grist]],SMI,0)),0,1))))</f>
        <v>1</v>
      </c>
      <c r="X255" s="127">
        <f>IF(INDEX(Absmin,MATCH(Table36[[#This Row],[Grist]],SMI,0))="-","-",IF(Table36[[#This Row],[%Absorption]]="-","-",IF(Table36[[#This Row],[%Absorption]]&lt;INDEX(Absmin,MATCH(Table36[[#This Row],[Grist]],SMI,0)),0,IF(Table36[[#This Row],[%Absorption]]&gt;INDEX(Absmax,MATCH(Table36[[#This Row],[Grist]],SMI,0)),0,1))))</f>
        <v>1</v>
      </c>
      <c r="Y255" s="127" t="str">
        <f>IF(INDEX(Extmin,MATCH(Table36[[#This Row],[Grist]],SMI,0))="-","-",IF(Table36[[#This Row],[%Extensibility]]="-","-",IF(Table36[[#This Row],[%Extensibility]]&lt;INDEX(Extmin,MATCH(Table36[[#This Row],[Grist]],SMI,0)),0,IF(Table36[[#This Row],[%Extensibility]]&gt;INDEX(Extmax,MATCH(Table36[[#This Row],[Grist]],SMI,0)),0,1))))</f>
        <v>-</v>
      </c>
      <c r="Z255" s="127" t="str">
        <f>IF(INDEX(Resmin,MATCH(Table36[[#This Row],[Grist]],SMI,0))="-","-",IF(Table36[[#This Row],[Resistance, max]]="-","-",IF(Table36[[#This Row],[Resistance, max]]&lt;INDEX(Resmin,MATCH(Table36[[#This Row],[Grist]],SMI,0)),0,IF(Table36[[#This Row],[Resistance, max]]&gt;INDEX(Resmax,MATCH(Table36[[#This Row],[Grist]],SMI,0)),0,1))))</f>
        <v>-</v>
      </c>
      <c r="AA255" s="127" t="str">
        <f>IF(INDEX(WGmin,MATCH(Table36[[#This Row],[Grist]],SMI,0))="-","-",IF(Table36[[#This Row],[%Wet Gluten]]="-","-",IF(Table36[[#This Row],[%Wet Gluten]]&lt;INDEX(WGmin,MATCH(Table36[[#This Row],[Grist]],SMI,0)),0,IF(Table36[[#This Row],[%Wet Gluten]]&gt;INDEX(WGmax,MATCH(Table36[[#This Row],[Grist]],SMI,0)),0,1))))</f>
        <v>-</v>
      </c>
      <c r="AB255" s="127">
        <f>SUM(Table36[[#This Row],[ QI Bran Content]:[QI WG]])</f>
        <v>7</v>
      </c>
      <c r="AC255" s="127">
        <f>COUNT(Table36[[#This Row],[ QI Bran Content]:[QI WG]])</f>
        <v>7</v>
      </c>
    </row>
    <row r="256" spans="1:29" x14ac:dyDescent="0.35">
      <c r="A256" s="177">
        <v>45324</v>
      </c>
      <c r="B256" s="178">
        <v>45324</v>
      </c>
      <c r="C256" s="178" t="s">
        <v>130</v>
      </c>
      <c r="D256" s="179">
        <v>1.0416666666666701</v>
      </c>
      <c r="E256" s="180" t="s">
        <v>0</v>
      </c>
      <c r="F256" s="181" t="s">
        <v>32</v>
      </c>
      <c r="G256" s="182">
        <v>7.7000000000000002E-3</v>
      </c>
      <c r="H256" s="175" t="s">
        <v>165</v>
      </c>
      <c r="I256" s="175" t="s">
        <v>165</v>
      </c>
      <c r="J256" s="175" t="s">
        <v>165</v>
      </c>
      <c r="K256" s="175">
        <v>12.14</v>
      </c>
      <c r="L256" s="175" t="s">
        <v>163</v>
      </c>
      <c r="M256" s="175" t="s">
        <v>163</v>
      </c>
      <c r="N256" s="175" t="s">
        <v>163</v>
      </c>
      <c r="O256" s="175" t="s">
        <v>163</v>
      </c>
      <c r="P256" s="175" t="s">
        <v>163</v>
      </c>
      <c r="Q256" s="175" t="s">
        <v>163</v>
      </c>
      <c r="R256" s="127">
        <f>IF(Table36[[#This Row],[ Bran Content]]="-","-",IF(G256&lt;0.02,1,0))</f>
        <v>1</v>
      </c>
      <c r="S256" s="127">
        <f>IF(Table36[[#This Row],[Sieve Test]]="-","-",IF(Table36[[#This Row],[Sieve Test]]="P",1,0))</f>
        <v>1</v>
      </c>
      <c r="T256" s="127">
        <f>IF(Table36[[#This Row],[Odor]]="-","-",IF(Table36[[#This Row],[Odor]]="P",1,0))</f>
        <v>1</v>
      </c>
      <c r="U256" s="127">
        <f>IF(INDEX(MCmin,MATCH(Table36[[#This Row],[Grist]],SMI,0))="-","-",IF(Table36[[#This Row],[F1 %MC]]="-","-",IF(Table36[[#This Row],[F1 %MC]]&lt;INDEX(MCmin,MATCH(Table36[[#This Row],[Grist]],SMI,0)),0,IF(Table36[[#This Row],[F1 %MC]]&gt;INDEX(MCmax,MATCH(Table36[[#This Row],[Grist]],SMI,0)),0,1))))</f>
        <v>1</v>
      </c>
      <c r="V256" s="127" t="str">
        <f>IF(INDEX(Protmin,MATCH(Table36[[#This Row],[Grist]],SMI,0))="-","-",IF(Table36[[#This Row],[%Protein]]="-","-",IF(Table36[[#This Row],[%Protein]]&lt;INDEX(Protmin,MATCH(Table36[[#This Row],[Grist]],SMI,0)),0,IF(Table36[[#This Row],[%Protein]]&gt;INDEX(Protmax,MATCH(Table36[[#This Row],[Grist]],SMI,0)),0,1))))</f>
        <v>-</v>
      </c>
      <c r="W256" s="127" t="str">
        <f>IF(INDEX(Ashmin,MATCH(Table36[[#This Row],[Grist]],SMI,0))="-","-",IF(Table36[[#This Row],[%Ash]]="-","-",IF(Table36[[#This Row],[%Ash]]&lt;INDEX(Ashmin,MATCH(Table36[[#This Row],[Grist]],SMI,0)),0,IF(Table36[[#This Row],[%Ash]]&gt;INDEX(Ashmax,MATCH(Table36[[#This Row],[Grist]],SMI,0)),0,1))))</f>
        <v>-</v>
      </c>
      <c r="X256" s="127" t="str">
        <f>IF(INDEX(Absmin,MATCH(Table36[[#This Row],[Grist]],SMI,0))="-","-",IF(Table36[[#This Row],[%Absorption]]="-","-",IF(Table36[[#This Row],[%Absorption]]&lt;INDEX(Absmin,MATCH(Table36[[#This Row],[Grist]],SMI,0)),0,IF(Table36[[#This Row],[%Absorption]]&gt;INDEX(Absmax,MATCH(Table36[[#This Row],[Grist]],SMI,0)),0,1))))</f>
        <v>-</v>
      </c>
      <c r="Y256" s="127" t="str">
        <f>IF(INDEX(Extmin,MATCH(Table36[[#This Row],[Grist]],SMI,0))="-","-",IF(Table36[[#This Row],[%Extensibility]]="-","-",IF(Table36[[#This Row],[%Extensibility]]&lt;INDEX(Extmin,MATCH(Table36[[#This Row],[Grist]],SMI,0)),0,IF(Table36[[#This Row],[%Extensibility]]&gt;INDEX(Extmax,MATCH(Table36[[#This Row],[Grist]],SMI,0)),0,1))))</f>
        <v>-</v>
      </c>
      <c r="Z256" s="127" t="str">
        <f>IF(INDEX(Resmin,MATCH(Table36[[#This Row],[Grist]],SMI,0))="-","-",IF(Table36[[#This Row],[Resistance, max]]="-","-",IF(Table36[[#This Row],[Resistance, max]]&lt;INDEX(Resmin,MATCH(Table36[[#This Row],[Grist]],SMI,0)),0,IF(Table36[[#This Row],[Resistance, max]]&gt;INDEX(Resmax,MATCH(Table36[[#This Row],[Grist]],SMI,0)),0,1))))</f>
        <v>-</v>
      </c>
      <c r="AA256" s="127" t="str">
        <f>IF(INDEX(WGmin,MATCH(Table36[[#This Row],[Grist]],SMI,0))="-","-",IF(Table36[[#This Row],[%Wet Gluten]]="-","-",IF(Table36[[#This Row],[%Wet Gluten]]&lt;INDEX(WGmin,MATCH(Table36[[#This Row],[Grist]],SMI,0)),0,IF(Table36[[#This Row],[%Wet Gluten]]&gt;INDEX(WGmax,MATCH(Table36[[#This Row],[Grist]],SMI,0)),0,1))))</f>
        <v>-</v>
      </c>
      <c r="AB256" s="127">
        <f>SUM(Table36[[#This Row],[ QI Bran Content]:[QI WG]])</f>
        <v>4</v>
      </c>
      <c r="AC256" s="127">
        <f>COUNT(Table36[[#This Row],[ QI Bran Content]:[QI WG]])</f>
        <v>4</v>
      </c>
    </row>
    <row r="257" spans="1:29" x14ac:dyDescent="0.35">
      <c r="A257" s="177">
        <v>45324</v>
      </c>
      <c r="B257" s="178">
        <v>45324</v>
      </c>
      <c r="C257" s="178" t="s">
        <v>130</v>
      </c>
      <c r="D257" s="179">
        <v>1.125</v>
      </c>
      <c r="E257" s="180" t="s">
        <v>0</v>
      </c>
      <c r="F257" s="181" t="s">
        <v>32</v>
      </c>
      <c r="G257" s="182">
        <v>9.9000000000000008E-3</v>
      </c>
      <c r="H257" s="175" t="s">
        <v>165</v>
      </c>
      <c r="I257" s="175" t="s">
        <v>165</v>
      </c>
      <c r="J257" s="175" t="s">
        <v>165</v>
      </c>
      <c r="K257" s="175">
        <v>12.24</v>
      </c>
      <c r="L257" s="175" t="s">
        <v>163</v>
      </c>
      <c r="M257" s="175" t="s">
        <v>163</v>
      </c>
      <c r="N257" s="175" t="s">
        <v>163</v>
      </c>
      <c r="O257" s="175" t="s">
        <v>163</v>
      </c>
      <c r="P257" s="175" t="s">
        <v>163</v>
      </c>
      <c r="Q257" s="175" t="s">
        <v>163</v>
      </c>
      <c r="R257" s="127">
        <f>IF(Table36[[#This Row],[ Bran Content]]="-","-",IF(G257&lt;0.02,1,0))</f>
        <v>1</v>
      </c>
      <c r="S257" s="127">
        <f>IF(Table36[[#This Row],[Sieve Test]]="-","-",IF(Table36[[#This Row],[Sieve Test]]="P",1,0))</f>
        <v>1</v>
      </c>
      <c r="T257" s="127">
        <f>IF(Table36[[#This Row],[Odor]]="-","-",IF(Table36[[#This Row],[Odor]]="P",1,0))</f>
        <v>1</v>
      </c>
      <c r="U257" s="127">
        <f>IF(INDEX(MCmin,MATCH(Table36[[#This Row],[Grist]],SMI,0))="-","-",IF(Table36[[#This Row],[F1 %MC]]="-","-",IF(Table36[[#This Row],[F1 %MC]]&lt;INDEX(MCmin,MATCH(Table36[[#This Row],[Grist]],SMI,0)),0,IF(Table36[[#This Row],[F1 %MC]]&gt;INDEX(MCmax,MATCH(Table36[[#This Row],[Grist]],SMI,0)),0,1))))</f>
        <v>1</v>
      </c>
      <c r="V257" s="127" t="str">
        <f>IF(INDEX(Protmin,MATCH(Table36[[#This Row],[Grist]],SMI,0))="-","-",IF(Table36[[#This Row],[%Protein]]="-","-",IF(Table36[[#This Row],[%Protein]]&lt;INDEX(Protmin,MATCH(Table36[[#This Row],[Grist]],SMI,0)),0,IF(Table36[[#This Row],[%Protein]]&gt;INDEX(Protmax,MATCH(Table36[[#This Row],[Grist]],SMI,0)),0,1))))</f>
        <v>-</v>
      </c>
      <c r="W257" s="127" t="str">
        <f>IF(INDEX(Ashmin,MATCH(Table36[[#This Row],[Grist]],SMI,0))="-","-",IF(Table36[[#This Row],[%Ash]]="-","-",IF(Table36[[#This Row],[%Ash]]&lt;INDEX(Ashmin,MATCH(Table36[[#This Row],[Grist]],SMI,0)),0,IF(Table36[[#This Row],[%Ash]]&gt;INDEX(Ashmax,MATCH(Table36[[#This Row],[Grist]],SMI,0)),0,1))))</f>
        <v>-</v>
      </c>
      <c r="X257" s="127" t="str">
        <f>IF(INDEX(Absmin,MATCH(Table36[[#This Row],[Grist]],SMI,0))="-","-",IF(Table36[[#This Row],[%Absorption]]="-","-",IF(Table36[[#This Row],[%Absorption]]&lt;INDEX(Absmin,MATCH(Table36[[#This Row],[Grist]],SMI,0)),0,IF(Table36[[#This Row],[%Absorption]]&gt;INDEX(Absmax,MATCH(Table36[[#This Row],[Grist]],SMI,0)),0,1))))</f>
        <v>-</v>
      </c>
      <c r="Y257" s="127" t="str">
        <f>IF(INDEX(Extmin,MATCH(Table36[[#This Row],[Grist]],SMI,0))="-","-",IF(Table36[[#This Row],[%Extensibility]]="-","-",IF(Table36[[#This Row],[%Extensibility]]&lt;INDEX(Extmin,MATCH(Table36[[#This Row],[Grist]],SMI,0)),0,IF(Table36[[#This Row],[%Extensibility]]&gt;INDEX(Extmax,MATCH(Table36[[#This Row],[Grist]],SMI,0)),0,1))))</f>
        <v>-</v>
      </c>
      <c r="Z257" s="127" t="str">
        <f>IF(INDEX(Resmin,MATCH(Table36[[#This Row],[Grist]],SMI,0))="-","-",IF(Table36[[#This Row],[Resistance, max]]="-","-",IF(Table36[[#This Row],[Resistance, max]]&lt;INDEX(Resmin,MATCH(Table36[[#This Row],[Grist]],SMI,0)),0,IF(Table36[[#This Row],[Resistance, max]]&gt;INDEX(Resmax,MATCH(Table36[[#This Row],[Grist]],SMI,0)),0,1))))</f>
        <v>-</v>
      </c>
      <c r="AA257" s="127" t="str">
        <f>IF(INDEX(WGmin,MATCH(Table36[[#This Row],[Grist]],SMI,0))="-","-",IF(Table36[[#This Row],[%Wet Gluten]]="-","-",IF(Table36[[#This Row],[%Wet Gluten]]&lt;INDEX(WGmin,MATCH(Table36[[#This Row],[Grist]],SMI,0)),0,IF(Table36[[#This Row],[%Wet Gluten]]&gt;INDEX(WGmax,MATCH(Table36[[#This Row],[Grist]],SMI,0)),0,1))))</f>
        <v>-</v>
      </c>
      <c r="AB257" s="127">
        <f>SUM(Table36[[#This Row],[ QI Bran Content]:[QI WG]])</f>
        <v>4</v>
      </c>
      <c r="AC257" s="127">
        <f>COUNT(Table36[[#This Row],[ QI Bran Content]:[QI WG]])</f>
        <v>4</v>
      </c>
    </row>
    <row r="258" spans="1:29" x14ac:dyDescent="0.35">
      <c r="A258" s="177">
        <v>45324</v>
      </c>
      <c r="B258" s="178">
        <v>45324</v>
      </c>
      <c r="C258" s="178" t="s">
        <v>130</v>
      </c>
      <c r="D258" s="179">
        <v>1.2083333333333299</v>
      </c>
      <c r="E258" s="180" t="s">
        <v>0</v>
      </c>
      <c r="F258" s="181" t="s">
        <v>32</v>
      </c>
      <c r="G258" s="182">
        <v>7.6E-3</v>
      </c>
      <c r="H258" s="175" t="s">
        <v>165</v>
      </c>
      <c r="I258" s="175" t="s">
        <v>165</v>
      </c>
      <c r="J258" s="175" t="s">
        <v>165</v>
      </c>
      <c r="K258" s="175">
        <v>11.81</v>
      </c>
      <c r="L258" s="175" t="s">
        <v>163</v>
      </c>
      <c r="M258" s="175" t="s">
        <v>163</v>
      </c>
      <c r="N258" s="175" t="s">
        <v>163</v>
      </c>
      <c r="O258" s="175" t="s">
        <v>163</v>
      </c>
      <c r="P258" s="175" t="s">
        <v>163</v>
      </c>
      <c r="Q258" s="175" t="s">
        <v>163</v>
      </c>
      <c r="R258" s="127">
        <f>IF(Table36[[#This Row],[ Bran Content]]="-","-",IF(G258&lt;0.02,1,0))</f>
        <v>1</v>
      </c>
      <c r="S258" s="127">
        <f>IF(Table36[[#This Row],[Sieve Test]]="-","-",IF(Table36[[#This Row],[Sieve Test]]="P",1,0))</f>
        <v>1</v>
      </c>
      <c r="T258" s="127">
        <f>IF(Table36[[#This Row],[Odor]]="-","-",IF(Table36[[#This Row],[Odor]]="P",1,0))</f>
        <v>1</v>
      </c>
      <c r="U258" s="127">
        <f>IF(INDEX(MCmin,MATCH(Table36[[#This Row],[Grist]],SMI,0))="-","-",IF(Table36[[#This Row],[F1 %MC]]="-","-",IF(Table36[[#This Row],[F1 %MC]]&lt;INDEX(MCmin,MATCH(Table36[[#This Row],[Grist]],SMI,0)),0,IF(Table36[[#This Row],[F1 %MC]]&gt;INDEX(MCmax,MATCH(Table36[[#This Row],[Grist]],SMI,0)),0,1))))</f>
        <v>0</v>
      </c>
      <c r="V258" s="127" t="str">
        <f>IF(INDEX(Protmin,MATCH(Table36[[#This Row],[Grist]],SMI,0))="-","-",IF(Table36[[#This Row],[%Protein]]="-","-",IF(Table36[[#This Row],[%Protein]]&lt;INDEX(Protmin,MATCH(Table36[[#This Row],[Grist]],SMI,0)),0,IF(Table36[[#This Row],[%Protein]]&gt;INDEX(Protmax,MATCH(Table36[[#This Row],[Grist]],SMI,0)),0,1))))</f>
        <v>-</v>
      </c>
      <c r="W258" s="127" t="str">
        <f>IF(INDEX(Ashmin,MATCH(Table36[[#This Row],[Grist]],SMI,0))="-","-",IF(Table36[[#This Row],[%Ash]]="-","-",IF(Table36[[#This Row],[%Ash]]&lt;INDEX(Ashmin,MATCH(Table36[[#This Row],[Grist]],SMI,0)),0,IF(Table36[[#This Row],[%Ash]]&gt;INDEX(Ashmax,MATCH(Table36[[#This Row],[Grist]],SMI,0)),0,1))))</f>
        <v>-</v>
      </c>
      <c r="X258" s="127" t="str">
        <f>IF(INDEX(Absmin,MATCH(Table36[[#This Row],[Grist]],SMI,0))="-","-",IF(Table36[[#This Row],[%Absorption]]="-","-",IF(Table36[[#This Row],[%Absorption]]&lt;INDEX(Absmin,MATCH(Table36[[#This Row],[Grist]],SMI,0)),0,IF(Table36[[#This Row],[%Absorption]]&gt;INDEX(Absmax,MATCH(Table36[[#This Row],[Grist]],SMI,0)),0,1))))</f>
        <v>-</v>
      </c>
      <c r="Y258" s="127" t="str">
        <f>IF(INDEX(Extmin,MATCH(Table36[[#This Row],[Grist]],SMI,0))="-","-",IF(Table36[[#This Row],[%Extensibility]]="-","-",IF(Table36[[#This Row],[%Extensibility]]&lt;INDEX(Extmin,MATCH(Table36[[#This Row],[Grist]],SMI,0)),0,IF(Table36[[#This Row],[%Extensibility]]&gt;INDEX(Extmax,MATCH(Table36[[#This Row],[Grist]],SMI,0)),0,1))))</f>
        <v>-</v>
      </c>
      <c r="Z258" s="127" t="str">
        <f>IF(INDEX(Resmin,MATCH(Table36[[#This Row],[Grist]],SMI,0))="-","-",IF(Table36[[#This Row],[Resistance, max]]="-","-",IF(Table36[[#This Row],[Resistance, max]]&lt;INDEX(Resmin,MATCH(Table36[[#This Row],[Grist]],SMI,0)),0,IF(Table36[[#This Row],[Resistance, max]]&gt;INDEX(Resmax,MATCH(Table36[[#This Row],[Grist]],SMI,0)),0,1))))</f>
        <v>-</v>
      </c>
      <c r="AA258" s="127" t="str">
        <f>IF(INDEX(WGmin,MATCH(Table36[[#This Row],[Grist]],SMI,0))="-","-",IF(Table36[[#This Row],[%Wet Gluten]]="-","-",IF(Table36[[#This Row],[%Wet Gluten]]&lt;INDEX(WGmin,MATCH(Table36[[#This Row],[Grist]],SMI,0)),0,IF(Table36[[#This Row],[%Wet Gluten]]&gt;INDEX(WGmax,MATCH(Table36[[#This Row],[Grist]],SMI,0)),0,1))))</f>
        <v>-</v>
      </c>
      <c r="AB258" s="127">
        <f>SUM(Table36[[#This Row],[ QI Bran Content]:[QI WG]])</f>
        <v>3</v>
      </c>
      <c r="AC258" s="127">
        <f>COUNT(Table36[[#This Row],[ QI Bran Content]:[QI WG]])</f>
        <v>4</v>
      </c>
    </row>
    <row r="259" spans="1:29" x14ac:dyDescent="0.35">
      <c r="A259" s="177">
        <v>45324</v>
      </c>
      <c r="B259" s="178">
        <v>45324</v>
      </c>
      <c r="C259" s="178" t="s">
        <v>128</v>
      </c>
      <c r="D259" s="179">
        <v>0.95833333333333337</v>
      </c>
      <c r="E259" s="180" t="s">
        <v>2</v>
      </c>
      <c r="F259" s="181" t="s">
        <v>242</v>
      </c>
      <c r="G259" s="182">
        <v>4.1999999999999997E-3</v>
      </c>
      <c r="H259" s="175" t="s">
        <v>165</v>
      </c>
      <c r="I259" s="175" t="s">
        <v>165</v>
      </c>
      <c r="J259" s="175" t="s">
        <v>165</v>
      </c>
      <c r="K259" s="175">
        <v>12.19</v>
      </c>
      <c r="L259" s="175">
        <v>11.97</v>
      </c>
      <c r="M259" s="175">
        <v>0.34</v>
      </c>
      <c r="N259" s="175">
        <v>64</v>
      </c>
      <c r="O259" s="175" t="s">
        <v>163</v>
      </c>
      <c r="P259" s="175" t="s">
        <v>163</v>
      </c>
      <c r="Q259" s="175" t="s">
        <v>163</v>
      </c>
      <c r="R259" s="127">
        <f>IF(Table36[[#This Row],[ Bran Content]]="-","-",IF(G259&lt;0.02,1,0))</f>
        <v>1</v>
      </c>
      <c r="S259" s="127">
        <f>IF(Table36[[#This Row],[Sieve Test]]="-","-",IF(Table36[[#This Row],[Sieve Test]]="P",1,0))</f>
        <v>1</v>
      </c>
      <c r="T259" s="127">
        <f>IF(Table36[[#This Row],[Odor]]="-","-",IF(Table36[[#This Row],[Odor]]="P",1,0))</f>
        <v>1</v>
      </c>
      <c r="U259" s="127">
        <f>IF(INDEX(MCmin,MATCH(Table36[[#This Row],[Grist]],SMI,0))="-","-",IF(Table36[[#This Row],[F1 %MC]]="-","-",IF(Table36[[#This Row],[F1 %MC]]&lt;INDEX(MCmin,MATCH(Table36[[#This Row],[Grist]],SMI,0)),0,IF(Table36[[#This Row],[F1 %MC]]&gt;INDEX(MCmax,MATCH(Table36[[#This Row],[Grist]],SMI,0)),0,1))))</f>
        <v>1</v>
      </c>
      <c r="V259" s="127">
        <f>IF(INDEX(Protmin,MATCH(Table36[[#This Row],[Grist]],SMI,0))="-","-",IF(Table36[[#This Row],[%Protein]]="-","-",IF(Table36[[#This Row],[%Protein]]&lt;INDEX(Protmin,MATCH(Table36[[#This Row],[Grist]],SMI,0)),0,IF(Table36[[#This Row],[%Protein]]&gt;INDEX(Protmax,MATCH(Table36[[#This Row],[Grist]],SMI,0)),0,1))))</f>
        <v>1</v>
      </c>
      <c r="W259" s="127">
        <f>IF(INDEX(Ashmin,MATCH(Table36[[#This Row],[Grist]],SMI,0))="-","-",IF(Table36[[#This Row],[%Ash]]="-","-",IF(Table36[[#This Row],[%Ash]]&lt;INDEX(Ashmin,MATCH(Table36[[#This Row],[Grist]],SMI,0)),0,IF(Table36[[#This Row],[%Ash]]&gt;INDEX(Ashmax,MATCH(Table36[[#This Row],[Grist]],SMI,0)),0,1))))</f>
        <v>1</v>
      </c>
      <c r="X259" s="127">
        <f>IF(INDEX(Absmin,MATCH(Table36[[#This Row],[Grist]],SMI,0))="-","-",IF(Table36[[#This Row],[%Absorption]]="-","-",IF(Table36[[#This Row],[%Absorption]]&lt;INDEX(Absmin,MATCH(Table36[[#This Row],[Grist]],SMI,0)),0,IF(Table36[[#This Row],[%Absorption]]&gt;INDEX(Absmax,MATCH(Table36[[#This Row],[Grist]],SMI,0)),0,1))))</f>
        <v>1</v>
      </c>
      <c r="Y259" s="127" t="str">
        <f>IF(INDEX(Extmin,MATCH(Table36[[#This Row],[Grist]],SMI,0))="-","-",IF(Table36[[#This Row],[%Extensibility]]="-","-",IF(Table36[[#This Row],[%Extensibility]]&lt;INDEX(Extmin,MATCH(Table36[[#This Row],[Grist]],SMI,0)),0,IF(Table36[[#This Row],[%Extensibility]]&gt;INDEX(Extmax,MATCH(Table36[[#This Row],[Grist]],SMI,0)),0,1))))</f>
        <v>-</v>
      </c>
      <c r="Z259" s="127" t="str">
        <f>IF(INDEX(Resmin,MATCH(Table36[[#This Row],[Grist]],SMI,0))="-","-",IF(Table36[[#This Row],[Resistance, max]]="-","-",IF(Table36[[#This Row],[Resistance, max]]&lt;INDEX(Resmin,MATCH(Table36[[#This Row],[Grist]],SMI,0)),0,IF(Table36[[#This Row],[Resistance, max]]&gt;INDEX(Resmax,MATCH(Table36[[#This Row],[Grist]],SMI,0)),0,1))))</f>
        <v>-</v>
      </c>
      <c r="AA259" s="127" t="str">
        <f>IF(INDEX(WGmin,MATCH(Table36[[#This Row],[Grist]],SMI,0))="-","-",IF(Table36[[#This Row],[%Wet Gluten]]="-","-",IF(Table36[[#This Row],[%Wet Gluten]]&lt;INDEX(WGmin,MATCH(Table36[[#This Row],[Grist]],SMI,0)),0,IF(Table36[[#This Row],[%Wet Gluten]]&gt;INDEX(WGmax,MATCH(Table36[[#This Row],[Grist]],SMI,0)),0,1))))</f>
        <v>-</v>
      </c>
      <c r="AB259" s="127">
        <f>SUM(Table36[[#This Row],[ QI Bran Content]:[QI WG]])</f>
        <v>7</v>
      </c>
      <c r="AC259" s="127">
        <f>COUNT(Table36[[#This Row],[ QI Bran Content]:[QI WG]])</f>
        <v>7</v>
      </c>
    </row>
    <row r="260" spans="1:29" x14ac:dyDescent="0.35">
      <c r="A260" s="177">
        <v>45324</v>
      </c>
      <c r="B260" s="178">
        <v>45324</v>
      </c>
      <c r="C260" s="178" t="s">
        <v>130</v>
      </c>
      <c r="D260" s="179">
        <v>1.0416666666666701</v>
      </c>
      <c r="E260" s="180" t="s">
        <v>2</v>
      </c>
      <c r="F260" s="181" t="s">
        <v>242</v>
      </c>
      <c r="G260" s="182">
        <v>4.5999999999999999E-3</v>
      </c>
      <c r="H260" s="175" t="s">
        <v>165</v>
      </c>
      <c r="I260" s="175" t="s">
        <v>165</v>
      </c>
      <c r="J260" s="175" t="s">
        <v>165</v>
      </c>
      <c r="K260" s="175">
        <v>12.09</v>
      </c>
      <c r="L260" s="175" t="s">
        <v>163</v>
      </c>
      <c r="M260" s="175" t="s">
        <v>163</v>
      </c>
      <c r="N260" s="175" t="s">
        <v>163</v>
      </c>
      <c r="O260" s="175" t="s">
        <v>163</v>
      </c>
      <c r="P260" s="175" t="s">
        <v>163</v>
      </c>
      <c r="Q260" s="175" t="s">
        <v>163</v>
      </c>
      <c r="R260" s="127">
        <f>IF(Table36[[#This Row],[ Bran Content]]="-","-",IF(G260&lt;0.02,1,0))</f>
        <v>1</v>
      </c>
      <c r="S260" s="127">
        <f>IF(Table36[[#This Row],[Sieve Test]]="-","-",IF(Table36[[#This Row],[Sieve Test]]="P",1,0))</f>
        <v>1</v>
      </c>
      <c r="T260" s="127">
        <f>IF(Table36[[#This Row],[Odor]]="-","-",IF(Table36[[#This Row],[Odor]]="P",1,0))</f>
        <v>1</v>
      </c>
      <c r="U260" s="127">
        <f>IF(INDEX(MCmin,MATCH(Table36[[#This Row],[Grist]],SMI,0))="-","-",IF(Table36[[#This Row],[F1 %MC]]="-","-",IF(Table36[[#This Row],[F1 %MC]]&lt;INDEX(MCmin,MATCH(Table36[[#This Row],[Grist]],SMI,0)),0,IF(Table36[[#This Row],[F1 %MC]]&gt;INDEX(MCmax,MATCH(Table36[[#This Row],[Grist]],SMI,0)),0,1))))</f>
        <v>1</v>
      </c>
      <c r="V260" s="127" t="str">
        <f>IF(INDEX(Protmin,MATCH(Table36[[#This Row],[Grist]],SMI,0))="-","-",IF(Table36[[#This Row],[%Protein]]="-","-",IF(Table36[[#This Row],[%Protein]]&lt;INDEX(Protmin,MATCH(Table36[[#This Row],[Grist]],SMI,0)),0,IF(Table36[[#This Row],[%Protein]]&gt;INDEX(Protmax,MATCH(Table36[[#This Row],[Grist]],SMI,0)),0,1))))</f>
        <v>-</v>
      </c>
      <c r="W260" s="127" t="str">
        <f>IF(INDEX(Ashmin,MATCH(Table36[[#This Row],[Grist]],SMI,0))="-","-",IF(Table36[[#This Row],[%Ash]]="-","-",IF(Table36[[#This Row],[%Ash]]&lt;INDEX(Ashmin,MATCH(Table36[[#This Row],[Grist]],SMI,0)),0,IF(Table36[[#This Row],[%Ash]]&gt;INDEX(Ashmax,MATCH(Table36[[#This Row],[Grist]],SMI,0)),0,1))))</f>
        <v>-</v>
      </c>
      <c r="X260" s="127" t="str">
        <f>IF(INDEX(Absmin,MATCH(Table36[[#This Row],[Grist]],SMI,0))="-","-",IF(Table36[[#This Row],[%Absorption]]="-","-",IF(Table36[[#This Row],[%Absorption]]&lt;INDEX(Absmin,MATCH(Table36[[#This Row],[Grist]],SMI,0)),0,IF(Table36[[#This Row],[%Absorption]]&gt;INDEX(Absmax,MATCH(Table36[[#This Row],[Grist]],SMI,0)),0,1))))</f>
        <v>-</v>
      </c>
      <c r="Y260" s="127" t="str">
        <f>IF(INDEX(Extmin,MATCH(Table36[[#This Row],[Grist]],SMI,0))="-","-",IF(Table36[[#This Row],[%Extensibility]]="-","-",IF(Table36[[#This Row],[%Extensibility]]&lt;INDEX(Extmin,MATCH(Table36[[#This Row],[Grist]],SMI,0)),0,IF(Table36[[#This Row],[%Extensibility]]&gt;INDEX(Extmax,MATCH(Table36[[#This Row],[Grist]],SMI,0)),0,1))))</f>
        <v>-</v>
      </c>
      <c r="Z260" s="127" t="str">
        <f>IF(INDEX(Resmin,MATCH(Table36[[#This Row],[Grist]],SMI,0))="-","-",IF(Table36[[#This Row],[Resistance, max]]="-","-",IF(Table36[[#This Row],[Resistance, max]]&lt;INDEX(Resmin,MATCH(Table36[[#This Row],[Grist]],SMI,0)),0,IF(Table36[[#This Row],[Resistance, max]]&gt;INDEX(Resmax,MATCH(Table36[[#This Row],[Grist]],SMI,0)),0,1))))</f>
        <v>-</v>
      </c>
      <c r="AA260" s="127" t="str">
        <f>IF(INDEX(WGmin,MATCH(Table36[[#This Row],[Grist]],SMI,0))="-","-",IF(Table36[[#This Row],[%Wet Gluten]]="-","-",IF(Table36[[#This Row],[%Wet Gluten]]&lt;INDEX(WGmin,MATCH(Table36[[#This Row],[Grist]],SMI,0)),0,IF(Table36[[#This Row],[%Wet Gluten]]&gt;INDEX(WGmax,MATCH(Table36[[#This Row],[Grist]],SMI,0)),0,1))))</f>
        <v>-</v>
      </c>
      <c r="AB260" s="127">
        <f>SUM(Table36[[#This Row],[ QI Bran Content]:[QI WG]])</f>
        <v>4</v>
      </c>
      <c r="AC260" s="127">
        <f>COUNT(Table36[[#This Row],[ QI Bran Content]:[QI WG]])</f>
        <v>4</v>
      </c>
    </row>
    <row r="261" spans="1:29" x14ac:dyDescent="0.35">
      <c r="A261" s="177">
        <v>45324</v>
      </c>
      <c r="B261" s="178">
        <v>45324</v>
      </c>
      <c r="C261" s="178" t="s">
        <v>130</v>
      </c>
      <c r="D261" s="179">
        <v>1.125</v>
      </c>
      <c r="E261" s="180" t="s">
        <v>2</v>
      </c>
      <c r="F261" s="181" t="s">
        <v>242</v>
      </c>
      <c r="G261" s="182">
        <v>5.4000000000000003E-3</v>
      </c>
      <c r="H261" s="175" t="s">
        <v>165</v>
      </c>
      <c r="I261" s="175" t="s">
        <v>165</v>
      </c>
      <c r="J261" s="175" t="s">
        <v>165</v>
      </c>
      <c r="K261" s="175">
        <v>11.73</v>
      </c>
      <c r="L261" s="175" t="s">
        <v>163</v>
      </c>
      <c r="M261" s="175" t="s">
        <v>163</v>
      </c>
      <c r="N261" s="175" t="s">
        <v>163</v>
      </c>
      <c r="O261" s="175" t="s">
        <v>163</v>
      </c>
      <c r="P261" s="175" t="s">
        <v>163</v>
      </c>
      <c r="Q261" s="175" t="s">
        <v>163</v>
      </c>
      <c r="R261" s="127">
        <f>IF(Table36[[#This Row],[ Bran Content]]="-","-",IF(G261&lt;0.02,1,0))</f>
        <v>1</v>
      </c>
      <c r="S261" s="127">
        <f>IF(Table36[[#This Row],[Sieve Test]]="-","-",IF(Table36[[#This Row],[Sieve Test]]="P",1,0))</f>
        <v>1</v>
      </c>
      <c r="T261" s="127">
        <f>IF(Table36[[#This Row],[Odor]]="-","-",IF(Table36[[#This Row],[Odor]]="P",1,0))</f>
        <v>1</v>
      </c>
      <c r="U261" s="127">
        <f>IF(INDEX(MCmin,MATCH(Table36[[#This Row],[Grist]],SMI,0))="-","-",IF(Table36[[#This Row],[F1 %MC]]="-","-",IF(Table36[[#This Row],[F1 %MC]]&lt;INDEX(MCmin,MATCH(Table36[[#This Row],[Grist]],SMI,0)),0,IF(Table36[[#This Row],[F1 %MC]]&gt;INDEX(MCmax,MATCH(Table36[[#This Row],[Grist]],SMI,0)),0,1))))</f>
        <v>0</v>
      </c>
      <c r="V261" s="127" t="str">
        <f>IF(INDEX(Protmin,MATCH(Table36[[#This Row],[Grist]],SMI,0))="-","-",IF(Table36[[#This Row],[%Protein]]="-","-",IF(Table36[[#This Row],[%Protein]]&lt;INDEX(Protmin,MATCH(Table36[[#This Row],[Grist]],SMI,0)),0,IF(Table36[[#This Row],[%Protein]]&gt;INDEX(Protmax,MATCH(Table36[[#This Row],[Grist]],SMI,0)),0,1))))</f>
        <v>-</v>
      </c>
      <c r="W261" s="127" t="str">
        <f>IF(INDEX(Ashmin,MATCH(Table36[[#This Row],[Grist]],SMI,0))="-","-",IF(Table36[[#This Row],[%Ash]]="-","-",IF(Table36[[#This Row],[%Ash]]&lt;INDEX(Ashmin,MATCH(Table36[[#This Row],[Grist]],SMI,0)),0,IF(Table36[[#This Row],[%Ash]]&gt;INDEX(Ashmax,MATCH(Table36[[#This Row],[Grist]],SMI,0)),0,1))))</f>
        <v>-</v>
      </c>
      <c r="X261" s="127" t="str">
        <f>IF(INDEX(Absmin,MATCH(Table36[[#This Row],[Grist]],SMI,0))="-","-",IF(Table36[[#This Row],[%Absorption]]="-","-",IF(Table36[[#This Row],[%Absorption]]&lt;INDEX(Absmin,MATCH(Table36[[#This Row],[Grist]],SMI,0)),0,IF(Table36[[#This Row],[%Absorption]]&gt;INDEX(Absmax,MATCH(Table36[[#This Row],[Grist]],SMI,0)),0,1))))</f>
        <v>-</v>
      </c>
      <c r="Y261" s="127" t="str">
        <f>IF(INDEX(Extmin,MATCH(Table36[[#This Row],[Grist]],SMI,0))="-","-",IF(Table36[[#This Row],[%Extensibility]]="-","-",IF(Table36[[#This Row],[%Extensibility]]&lt;INDEX(Extmin,MATCH(Table36[[#This Row],[Grist]],SMI,0)),0,IF(Table36[[#This Row],[%Extensibility]]&gt;INDEX(Extmax,MATCH(Table36[[#This Row],[Grist]],SMI,0)),0,1))))</f>
        <v>-</v>
      </c>
      <c r="Z261" s="127" t="str">
        <f>IF(INDEX(Resmin,MATCH(Table36[[#This Row],[Grist]],SMI,0))="-","-",IF(Table36[[#This Row],[Resistance, max]]="-","-",IF(Table36[[#This Row],[Resistance, max]]&lt;INDEX(Resmin,MATCH(Table36[[#This Row],[Grist]],SMI,0)),0,IF(Table36[[#This Row],[Resistance, max]]&gt;INDEX(Resmax,MATCH(Table36[[#This Row],[Grist]],SMI,0)),0,1))))</f>
        <v>-</v>
      </c>
      <c r="AA261" s="127" t="str">
        <f>IF(INDEX(WGmin,MATCH(Table36[[#This Row],[Grist]],SMI,0))="-","-",IF(Table36[[#This Row],[%Wet Gluten]]="-","-",IF(Table36[[#This Row],[%Wet Gluten]]&lt;INDEX(WGmin,MATCH(Table36[[#This Row],[Grist]],SMI,0)),0,IF(Table36[[#This Row],[%Wet Gluten]]&gt;INDEX(WGmax,MATCH(Table36[[#This Row],[Grist]],SMI,0)),0,1))))</f>
        <v>-</v>
      </c>
      <c r="AB261" s="127">
        <f>SUM(Table36[[#This Row],[ QI Bran Content]:[QI WG]])</f>
        <v>3</v>
      </c>
      <c r="AC261" s="127">
        <f>COUNT(Table36[[#This Row],[ QI Bran Content]:[QI WG]])</f>
        <v>4</v>
      </c>
    </row>
    <row r="262" spans="1:29" x14ac:dyDescent="0.35">
      <c r="A262" s="177">
        <v>45324</v>
      </c>
      <c r="B262" s="178">
        <v>45324</v>
      </c>
      <c r="C262" s="178" t="s">
        <v>130</v>
      </c>
      <c r="D262" s="179">
        <v>1.2083333333333299</v>
      </c>
      <c r="E262" s="180" t="s">
        <v>2</v>
      </c>
      <c r="F262" s="181" t="s">
        <v>242</v>
      </c>
      <c r="G262" s="182">
        <v>6.7999999999999996E-3</v>
      </c>
      <c r="H262" s="175" t="s">
        <v>165</v>
      </c>
      <c r="I262" s="175" t="s">
        <v>165</v>
      </c>
      <c r="J262" s="175" t="s">
        <v>165</v>
      </c>
      <c r="K262" s="175">
        <v>12.03</v>
      </c>
      <c r="L262" s="175" t="s">
        <v>163</v>
      </c>
      <c r="M262" s="175" t="s">
        <v>163</v>
      </c>
      <c r="N262" s="175" t="s">
        <v>163</v>
      </c>
      <c r="O262" s="175" t="s">
        <v>163</v>
      </c>
      <c r="P262" s="175" t="s">
        <v>163</v>
      </c>
      <c r="Q262" s="175" t="s">
        <v>163</v>
      </c>
      <c r="R262" s="127">
        <f>IF(Table36[[#This Row],[ Bran Content]]="-","-",IF(G262&lt;0.02,1,0))</f>
        <v>1</v>
      </c>
      <c r="S262" s="127">
        <f>IF(Table36[[#This Row],[Sieve Test]]="-","-",IF(Table36[[#This Row],[Sieve Test]]="P",1,0))</f>
        <v>1</v>
      </c>
      <c r="T262" s="127">
        <f>IF(Table36[[#This Row],[Odor]]="-","-",IF(Table36[[#This Row],[Odor]]="P",1,0))</f>
        <v>1</v>
      </c>
      <c r="U262" s="127">
        <f>IF(INDEX(MCmin,MATCH(Table36[[#This Row],[Grist]],SMI,0))="-","-",IF(Table36[[#This Row],[F1 %MC]]="-","-",IF(Table36[[#This Row],[F1 %MC]]&lt;INDEX(MCmin,MATCH(Table36[[#This Row],[Grist]],SMI,0)),0,IF(Table36[[#This Row],[F1 %MC]]&gt;INDEX(MCmax,MATCH(Table36[[#This Row],[Grist]],SMI,0)),0,1))))</f>
        <v>1</v>
      </c>
      <c r="V262" s="127" t="str">
        <f>IF(INDEX(Protmin,MATCH(Table36[[#This Row],[Grist]],SMI,0))="-","-",IF(Table36[[#This Row],[%Protein]]="-","-",IF(Table36[[#This Row],[%Protein]]&lt;INDEX(Protmin,MATCH(Table36[[#This Row],[Grist]],SMI,0)),0,IF(Table36[[#This Row],[%Protein]]&gt;INDEX(Protmax,MATCH(Table36[[#This Row],[Grist]],SMI,0)),0,1))))</f>
        <v>-</v>
      </c>
      <c r="W262" s="127" t="str">
        <f>IF(INDEX(Ashmin,MATCH(Table36[[#This Row],[Grist]],SMI,0))="-","-",IF(Table36[[#This Row],[%Ash]]="-","-",IF(Table36[[#This Row],[%Ash]]&lt;INDEX(Ashmin,MATCH(Table36[[#This Row],[Grist]],SMI,0)),0,IF(Table36[[#This Row],[%Ash]]&gt;INDEX(Ashmax,MATCH(Table36[[#This Row],[Grist]],SMI,0)),0,1))))</f>
        <v>-</v>
      </c>
      <c r="X262" s="127" t="str">
        <f>IF(INDEX(Absmin,MATCH(Table36[[#This Row],[Grist]],SMI,0))="-","-",IF(Table36[[#This Row],[%Absorption]]="-","-",IF(Table36[[#This Row],[%Absorption]]&lt;INDEX(Absmin,MATCH(Table36[[#This Row],[Grist]],SMI,0)),0,IF(Table36[[#This Row],[%Absorption]]&gt;INDEX(Absmax,MATCH(Table36[[#This Row],[Grist]],SMI,0)),0,1))))</f>
        <v>-</v>
      </c>
      <c r="Y262" s="127" t="str">
        <f>IF(INDEX(Extmin,MATCH(Table36[[#This Row],[Grist]],SMI,0))="-","-",IF(Table36[[#This Row],[%Extensibility]]="-","-",IF(Table36[[#This Row],[%Extensibility]]&lt;INDEX(Extmin,MATCH(Table36[[#This Row],[Grist]],SMI,0)),0,IF(Table36[[#This Row],[%Extensibility]]&gt;INDEX(Extmax,MATCH(Table36[[#This Row],[Grist]],SMI,0)),0,1))))</f>
        <v>-</v>
      </c>
      <c r="Z262" s="127" t="str">
        <f>IF(INDEX(Resmin,MATCH(Table36[[#This Row],[Grist]],SMI,0))="-","-",IF(Table36[[#This Row],[Resistance, max]]="-","-",IF(Table36[[#This Row],[Resistance, max]]&lt;INDEX(Resmin,MATCH(Table36[[#This Row],[Grist]],SMI,0)),0,IF(Table36[[#This Row],[Resistance, max]]&gt;INDEX(Resmax,MATCH(Table36[[#This Row],[Grist]],SMI,0)),0,1))))</f>
        <v>-</v>
      </c>
      <c r="AA262" s="127" t="str">
        <f>IF(INDEX(WGmin,MATCH(Table36[[#This Row],[Grist]],SMI,0))="-","-",IF(Table36[[#This Row],[%Wet Gluten]]="-","-",IF(Table36[[#This Row],[%Wet Gluten]]&lt;INDEX(WGmin,MATCH(Table36[[#This Row],[Grist]],SMI,0)),0,IF(Table36[[#This Row],[%Wet Gluten]]&gt;INDEX(WGmax,MATCH(Table36[[#This Row],[Grist]],SMI,0)),0,1))))</f>
        <v>-</v>
      </c>
      <c r="AB262" s="127">
        <f>SUM(Table36[[#This Row],[ QI Bran Content]:[QI WG]])</f>
        <v>4</v>
      </c>
      <c r="AC262" s="127">
        <f>COUNT(Table36[[#This Row],[ QI Bran Content]:[QI WG]])</f>
        <v>4</v>
      </c>
    </row>
    <row r="263" spans="1:29" x14ac:dyDescent="0.35">
      <c r="A263" s="177">
        <v>45327</v>
      </c>
      <c r="B263" s="178">
        <v>45327</v>
      </c>
      <c r="C263" s="178" t="s">
        <v>128</v>
      </c>
      <c r="D263" s="179">
        <v>0.625</v>
      </c>
      <c r="E263" s="180" t="s">
        <v>0</v>
      </c>
      <c r="F263" s="181" t="s">
        <v>27</v>
      </c>
      <c r="G263" s="182">
        <v>4.0000000000000001E-3</v>
      </c>
      <c r="H263" s="175" t="s">
        <v>165</v>
      </c>
      <c r="I263" s="175" t="s">
        <v>165</v>
      </c>
      <c r="J263" s="175" t="s">
        <v>165</v>
      </c>
      <c r="K263" s="175">
        <v>11.42</v>
      </c>
      <c r="L263" s="175">
        <v>12.91</v>
      </c>
      <c r="M263" s="175">
        <v>0.56000000000000005</v>
      </c>
      <c r="N263" s="175">
        <v>65.48</v>
      </c>
      <c r="O263" s="175" t="s">
        <v>163</v>
      </c>
      <c r="P263" s="175" t="s">
        <v>163</v>
      </c>
      <c r="Q263" s="175"/>
      <c r="R263" s="127">
        <f>IF(Table36[[#This Row],[ Bran Content]]="-","-",IF(G263&lt;0.02,1,0))</f>
        <v>1</v>
      </c>
      <c r="S263" s="127">
        <f>IF(Table36[[#This Row],[Sieve Test]]="-","-",IF(Table36[[#This Row],[Sieve Test]]="P",1,0))</f>
        <v>1</v>
      </c>
      <c r="T263" s="127">
        <f>IF(Table36[[#This Row],[Odor]]="-","-",IF(Table36[[#This Row],[Odor]]="P",1,0))</f>
        <v>1</v>
      </c>
      <c r="U263" s="127">
        <f>IF(INDEX(MCmin,MATCH(Table36[[#This Row],[Grist]],SMI,0))="-","-",IF(Table36[[#This Row],[F1 %MC]]="-","-",IF(Table36[[#This Row],[F1 %MC]]&lt;INDEX(MCmin,MATCH(Table36[[#This Row],[Grist]],SMI,0)),0,IF(Table36[[#This Row],[F1 %MC]]&gt;INDEX(MCmax,MATCH(Table36[[#This Row],[Grist]],SMI,0)),0,1))))</f>
        <v>0</v>
      </c>
      <c r="V263" s="127">
        <f>IF(INDEX(Protmin,MATCH(Table36[[#This Row],[Grist]],SMI,0))="-","-",IF(Table36[[#This Row],[%Protein]]="-","-",IF(Table36[[#This Row],[%Protein]]&lt;INDEX(Protmin,MATCH(Table36[[#This Row],[Grist]],SMI,0)),0,IF(Table36[[#This Row],[%Protein]]&gt;INDEX(Protmax,MATCH(Table36[[#This Row],[Grist]],SMI,0)),0,1))))</f>
        <v>1</v>
      </c>
      <c r="W263" s="127">
        <f>IF(INDEX(Ashmin,MATCH(Table36[[#This Row],[Grist]],SMI,0))="-","-",IF(Table36[[#This Row],[%Ash]]="-","-",IF(Table36[[#This Row],[%Ash]]&lt;INDEX(Ashmin,MATCH(Table36[[#This Row],[Grist]],SMI,0)),0,IF(Table36[[#This Row],[%Ash]]&gt;INDEX(Ashmax,MATCH(Table36[[#This Row],[Grist]],SMI,0)),0,1))))</f>
        <v>1</v>
      </c>
      <c r="X263" s="127">
        <f>IF(INDEX(Absmin,MATCH(Table36[[#This Row],[Grist]],SMI,0))="-","-",IF(Table36[[#This Row],[%Absorption]]="-","-",IF(Table36[[#This Row],[%Absorption]]&lt;INDEX(Absmin,MATCH(Table36[[#This Row],[Grist]],SMI,0)),0,IF(Table36[[#This Row],[%Absorption]]&gt;INDEX(Absmax,MATCH(Table36[[#This Row],[Grist]],SMI,0)),0,1))))</f>
        <v>1</v>
      </c>
      <c r="Y263" s="127" t="str">
        <f>IF(INDEX(Extmin,MATCH(Table36[[#This Row],[Grist]],SMI,0))="-","-",IF(Table36[[#This Row],[%Extensibility]]="-","-",IF(Table36[[#This Row],[%Extensibility]]&lt;INDEX(Extmin,MATCH(Table36[[#This Row],[Grist]],SMI,0)),0,IF(Table36[[#This Row],[%Extensibility]]&gt;INDEX(Extmax,MATCH(Table36[[#This Row],[Grist]],SMI,0)),0,1))))</f>
        <v>-</v>
      </c>
      <c r="Z263" s="127" t="str">
        <f>IF(INDEX(Resmin,MATCH(Table36[[#This Row],[Grist]],SMI,0))="-","-",IF(Table36[[#This Row],[Resistance, max]]="-","-",IF(Table36[[#This Row],[Resistance, max]]&lt;INDEX(Resmin,MATCH(Table36[[#This Row],[Grist]],SMI,0)),0,IF(Table36[[#This Row],[Resistance, max]]&gt;INDEX(Resmax,MATCH(Table36[[#This Row],[Grist]],SMI,0)),0,1))))</f>
        <v>-</v>
      </c>
      <c r="AA263" s="127">
        <f>IF(INDEX(WGmin,MATCH(Table36[[#This Row],[Grist]],SMI,0))="-","-",IF(Table36[[#This Row],[%Wet Gluten]]="-","-",IF(Table36[[#This Row],[%Wet Gluten]]&lt;INDEX(WGmin,MATCH(Table36[[#This Row],[Grist]],SMI,0)),0,IF(Table36[[#This Row],[%Wet Gluten]]&gt;INDEX(WGmax,MATCH(Table36[[#This Row],[Grist]],SMI,0)),0,1))))</f>
        <v>0</v>
      </c>
      <c r="AB263" s="127">
        <f>SUM(Table36[[#This Row],[ QI Bran Content]:[QI WG]])</f>
        <v>6</v>
      </c>
      <c r="AC263" s="127">
        <f>COUNT(Table36[[#This Row],[ QI Bran Content]:[QI WG]])</f>
        <v>8</v>
      </c>
    </row>
    <row r="264" spans="1:29" x14ac:dyDescent="0.35">
      <c r="A264" s="177">
        <v>45327</v>
      </c>
      <c r="B264" s="178">
        <v>45327</v>
      </c>
      <c r="C264" s="178" t="s">
        <v>128</v>
      </c>
      <c r="D264" s="179">
        <v>0.70833333333333304</v>
      </c>
      <c r="E264" s="180" t="s">
        <v>0</v>
      </c>
      <c r="F264" s="181" t="s">
        <v>27</v>
      </c>
      <c r="G264" s="182">
        <v>4.7999999999999996E-3</v>
      </c>
      <c r="H264" s="175" t="s">
        <v>165</v>
      </c>
      <c r="I264" s="175" t="s">
        <v>165</v>
      </c>
      <c r="J264" s="175" t="s">
        <v>165</v>
      </c>
      <c r="K264" s="175">
        <v>12.1</v>
      </c>
      <c r="L264" s="175">
        <v>12.91</v>
      </c>
      <c r="M264" s="175">
        <v>0.56000000000000005</v>
      </c>
      <c r="N264" s="175">
        <v>65.48</v>
      </c>
      <c r="O264" s="175" t="s">
        <v>163</v>
      </c>
      <c r="P264" s="175" t="s">
        <v>163</v>
      </c>
      <c r="Q264" s="175"/>
      <c r="R264" s="127">
        <f>IF(Table36[[#This Row],[ Bran Content]]="-","-",IF(G264&lt;0.02,1,0))</f>
        <v>1</v>
      </c>
      <c r="S264" s="127">
        <f>IF(Table36[[#This Row],[Sieve Test]]="-","-",IF(Table36[[#This Row],[Sieve Test]]="P",1,0))</f>
        <v>1</v>
      </c>
      <c r="T264" s="127">
        <f>IF(Table36[[#This Row],[Odor]]="-","-",IF(Table36[[#This Row],[Odor]]="P",1,0))</f>
        <v>1</v>
      </c>
      <c r="U264" s="127">
        <f>IF(INDEX(MCmin,MATCH(Table36[[#This Row],[Grist]],SMI,0))="-","-",IF(Table36[[#This Row],[F1 %MC]]="-","-",IF(Table36[[#This Row],[F1 %MC]]&lt;INDEX(MCmin,MATCH(Table36[[#This Row],[Grist]],SMI,0)),0,IF(Table36[[#This Row],[F1 %MC]]&gt;INDEX(MCmax,MATCH(Table36[[#This Row],[Grist]],SMI,0)),0,1))))</f>
        <v>1</v>
      </c>
      <c r="V264" s="127">
        <f>IF(INDEX(Protmin,MATCH(Table36[[#This Row],[Grist]],SMI,0))="-","-",IF(Table36[[#This Row],[%Protein]]="-","-",IF(Table36[[#This Row],[%Protein]]&lt;INDEX(Protmin,MATCH(Table36[[#This Row],[Grist]],SMI,0)),0,IF(Table36[[#This Row],[%Protein]]&gt;INDEX(Protmax,MATCH(Table36[[#This Row],[Grist]],SMI,0)),0,1))))</f>
        <v>1</v>
      </c>
      <c r="W264" s="127">
        <f>IF(INDEX(Ashmin,MATCH(Table36[[#This Row],[Grist]],SMI,0))="-","-",IF(Table36[[#This Row],[%Ash]]="-","-",IF(Table36[[#This Row],[%Ash]]&lt;INDEX(Ashmin,MATCH(Table36[[#This Row],[Grist]],SMI,0)),0,IF(Table36[[#This Row],[%Ash]]&gt;INDEX(Ashmax,MATCH(Table36[[#This Row],[Grist]],SMI,0)),0,1))))</f>
        <v>1</v>
      </c>
      <c r="X264" s="127">
        <f>IF(INDEX(Absmin,MATCH(Table36[[#This Row],[Grist]],SMI,0))="-","-",IF(Table36[[#This Row],[%Absorption]]="-","-",IF(Table36[[#This Row],[%Absorption]]&lt;INDEX(Absmin,MATCH(Table36[[#This Row],[Grist]],SMI,0)),0,IF(Table36[[#This Row],[%Absorption]]&gt;INDEX(Absmax,MATCH(Table36[[#This Row],[Grist]],SMI,0)),0,1))))</f>
        <v>1</v>
      </c>
      <c r="Y264" s="127" t="str">
        <f>IF(INDEX(Extmin,MATCH(Table36[[#This Row],[Grist]],SMI,0))="-","-",IF(Table36[[#This Row],[%Extensibility]]="-","-",IF(Table36[[#This Row],[%Extensibility]]&lt;INDEX(Extmin,MATCH(Table36[[#This Row],[Grist]],SMI,0)),0,IF(Table36[[#This Row],[%Extensibility]]&gt;INDEX(Extmax,MATCH(Table36[[#This Row],[Grist]],SMI,0)),0,1))))</f>
        <v>-</v>
      </c>
      <c r="Z264" s="127" t="str">
        <f>IF(INDEX(Resmin,MATCH(Table36[[#This Row],[Grist]],SMI,0))="-","-",IF(Table36[[#This Row],[Resistance, max]]="-","-",IF(Table36[[#This Row],[Resistance, max]]&lt;INDEX(Resmin,MATCH(Table36[[#This Row],[Grist]],SMI,0)),0,IF(Table36[[#This Row],[Resistance, max]]&gt;INDEX(Resmax,MATCH(Table36[[#This Row],[Grist]],SMI,0)),0,1))))</f>
        <v>-</v>
      </c>
      <c r="AA264" s="127">
        <f>IF(INDEX(WGmin,MATCH(Table36[[#This Row],[Grist]],SMI,0))="-","-",IF(Table36[[#This Row],[%Wet Gluten]]="-","-",IF(Table36[[#This Row],[%Wet Gluten]]&lt;INDEX(WGmin,MATCH(Table36[[#This Row],[Grist]],SMI,0)),0,IF(Table36[[#This Row],[%Wet Gluten]]&gt;INDEX(WGmax,MATCH(Table36[[#This Row],[Grist]],SMI,0)),0,1))))</f>
        <v>0</v>
      </c>
      <c r="AB264" s="127">
        <f>SUM(Table36[[#This Row],[ QI Bran Content]:[QI WG]])</f>
        <v>7</v>
      </c>
      <c r="AC264" s="127">
        <f>COUNT(Table36[[#This Row],[ QI Bran Content]:[QI WG]])</f>
        <v>8</v>
      </c>
    </row>
    <row r="265" spans="1:29" x14ac:dyDescent="0.35">
      <c r="A265" s="177">
        <v>45327</v>
      </c>
      <c r="B265" s="178">
        <v>45327</v>
      </c>
      <c r="C265" s="178" t="s">
        <v>128</v>
      </c>
      <c r="D265" s="179">
        <v>0.79166666666666596</v>
      </c>
      <c r="E265" s="180" t="s">
        <v>0</v>
      </c>
      <c r="F265" s="181" t="s">
        <v>27</v>
      </c>
      <c r="G265" s="182">
        <v>6.4999999999999997E-3</v>
      </c>
      <c r="H265" s="175" t="s">
        <v>165</v>
      </c>
      <c r="I265" s="175" t="s">
        <v>165</v>
      </c>
      <c r="J265" s="175" t="s">
        <v>165</v>
      </c>
      <c r="K265" s="175">
        <v>11.52</v>
      </c>
      <c r="L265" s="175">
        <v>12.91</v>
      </c>
      <c r="M265" s="175">
        <v>0.56000000000000005</v>
      </c>
      <c r="N265" s="175">
        <v>65.48</v>
      </c>
      <c r="O265" s="175" t="s">
        <v>163</v>
      </c>
      <c r="P265" s="175" t="s">
        <v>163</v>
      </c>
      <c r="Q265" s="175"/>
      <c r="R265" s="127">
        <f>IF(Table36[[#This Row],[ Bran Content]]="-","-",IF(G265&lt;0.02,1,0))</f>
        <v>1</v>
      </c>
      <c r="S265" s="127">
        <f>IF(Table36[[#This Row],[Sieve Test]]="-","-",IF(Table36[[#This Row],[Sieve Test]]="P",1,0))</f>
        <v>1</v>
      </c>
      <c r="T265" s="127">
        <f>IF(Table36[[#This Row],[Odor]]="-","-",IF(Table36[[#This Row],[Odor]]="P",1,0))</f>
        <v>1</v>
      </c>
      <c r="U265" s="127">
        <f>IF(INDEX(MCmin,MATCH(Table36[[#This Row],[Grist]],SMI,0))="-","-",IF(Table36[[#This Row],[F1 %MC]]="-","-",IF(Table36[[#This Row],[F1 %MC]]&lt;INDEX(MCmin,MATCH(Table36[[#This Row],[Grist]],SMI,0)),0,IF(Table36[[#This Row],[F1 %MC]]&gt;INDEX(MCmax,MATCH(Table36[[#This Row],[Grist]],SMI,0)),0,1))))</f>
        <v>0</v>
      </c>
      <c r="V265" s="127">
        <f>IF(INDEX(Protmin,MATCH(Table36[[#This Row],[Grist]],SMI,0))="-","-",IF(Table36[[#This Row],[%Protein]]="-","-",IF(Table36[[#This Row],[%Protein]]&lt;INDEX(Protmin,MATCH(Table36[[#This Row],[Grist]],SMI,0)),0,IF(Table36[[#This Row],[%Protein]]&gt;INDEX(Protmax,MATCH(Table36[[#This Row],[Grist]],SMI,0)),0,1))))</f>
        <v>1</v>
      </c>
      <c r="W265" s="127">
        <f>IF(INDEX(Ashmin,MATCH(Table36[[#This Row],[Grist]],SMI,0))="-","-",IF(Table36[[#This Row],[%Ash]]="-","-",IF(Table36[[#This Row],[%Ash]]&lt;INDEX(Ashmin,MATCH(Table36[[#This Row],[Grist]],SMI,0)),0,IF(Table36[[#This Row],[%Ash]]&gt;INDEX(Ashmax,MATCH(Table36[[#This Row],[Grist]],SMI,0)),0,1))))</f>
        <v>1</v>
      </c>
      <c r="X265" s="127">
        <f>IF(INDEX(Absmin,MATCH(Table36[[#This Row],[Grist]],SMI,0))="-","-",IF(Table36[[#This Row],[%Absorption]]="-","-",IF(Table36[[#This Row],[%Absorption]]&lt;INDEX(Absmin,MATCH(Table36[[#This Row],[Grist]],SMI,0)),0,IF(Table36[[#This Row],[%Absorption]]&gt;INDEX(Absmax,MATCH(Table36[[#This Row],[Grist]],SMI,0)),0,1))))</f>
        <v>1</v>
      </c>
      <c r="Y265" s="127" t="str">
        <f>IF(INDEX(Extmin,MATCH(Table36[[#This Row],[Grist]],SMI,0))="-","-",IF(Table36[[#This Row],[%Extensibility]]="-","-",IF(Table36[[#This Row],[%Extensibility]]&lt;INDEX(Extmin,MATCH(Table36[[#This Row],[Grist]],SMI,0)),0,IF(Table36[[#This Row],[%Extensibility]]&gt;INDEX(Extmax,MATCH(Table36[[#This Row],[Grist]],SMI,0)),0,1))))</f>
        <v>-</v>
      </c>
      <c r="Z265" s="127" t="str">
        <f>IF(INDEX(Resmin,MATCH(Table36[[#This Row],[Grist]],SMI,0))="-","-",IF(Table36[[#This Row],[Resistance, max]]="-","-",IF(Table36[[#This Row],[Resistance, max]]&lt;INDEX(Resmin,MATCH(Table36[[#This Row],[Grist]],SMI,0)),0,IF(Table36[[#This Row],[Resistance, max]]&gt;INDEX(Resmax,MATCH(Table36[[#This Row],[Grist]],SMI,0)),0,1))))</f>
        <v>-</v>
      </c>
      <c r="AA265" s="127">
        <f>IF(INDEX(WGmin,MATCH(Table36[[#This Row],[Grist]],SMI,0))="-","-",IF(Table36[[#This Row],[%Wet Gluten]]="-","-",IF(Table36[[#This Row],[%Wet Gluten]]&lt;INDEX(WGmin,MATCH(Table36[[#This Row],[Grist]],SMI,0)),0,IF(Table36[[#This Row],[%Wet Gluten]]&gt;INDEX(WGmax,MATCH(Table36[[#This Row],[Grist]],SMI,0)),0,1))))</f>
        <v>0</v>
      </c>
      <c r="AB265" s="127">
        <f>SUM(Table36[[#This Row],[ QI Bran Content]:[QI WG]])</f>
        <v>6</v>
      </c>
      <c r="AC265" s="127">
        <f>COUNT(Table36[[#This Row],[ QI Bran Content]:[QI WG]])</f>
        <v>8</v>
      </c>
    </row>
    <row r="266" spans="1:29" x14ac:dyDescent="0.35">
      <c r="A266" s="177">
        <v>45327</v>
      </c>
      <c r="B266" s="178">
        <v>45327</v>
      </c>
      <c r="C266" s="178" t="s">
        <v>128</v>
      </c>
      <c r="D266" s="179">
        <v>0.874999999999999</v>
      </c>
      <c r="E266" s="180" t="s">
        <v>0</v>
      </c>
      <c r="F266" s="181" t="s">
        <v>27</v>
      </c>
      <c r="G266" s="182">
        <v>8.0000000000000002E-3</v>
      </c>
      <c r="H266" s="175" t="s">
        <v>165</v>
      </c>
      <c r="I266" s="175" t="s">
        <v>165</v>
      </c>
      <c r="J266" s="175" t="s">
        <v>165</v>
      </c>
      <c r="K266" s="175">
        <v>12.21</v>
      </c>
      <c r="L266" s="175">
        <v>12.91</v>
      </c>
      <c r="M266" s="175">
        <v>0.56000000000000005</v>
      </c>
      <c r="N266" s="175">
        <v>65.48</v>
      </c>
      <c r="O266" s="175" t="s">
        <v>163</v>
      </c>
      <c r="P266" s="175" t="s">
        <v>163</v>
      </c>
      <c r="Q266" s="175"/>
      <c r="R266" s="127">
        <f>IF(Table36[[#This Row],[ Bran Content]]="-","-",IF(G266&lt;0.02,1,0))</f>
        <v>1</v>
      </c>
      <c r="S266" s="127">
        <f>IF(Table36[[#This Row],[Sieve Test]]="-","-",IF(Table36[[#This Row],[Sieve Test]]="P",1,0))</f>
        <v>1</v>
      </c>
      <c r="T266" s="127">
        <f>IF(Table36[[#This Row],[Odor]]="-","-",IF(Table36[[#This Row],[Odor]]="P",1,0))</f>
        <v>1</v>
      </c>
      <c r="U266" s="127">
        <f>IF(INDEX(MCmin,MATCH(Table36[[#This Row],[Grist]],SMI,0))="-","-",IF(Table36[[#This Row],[F1 %MC]]="-","-",IF(Table36[[#This Row],[F1 %MC]]&lt;INDEX(MCmin,MATCH(Table36[[#This Row],[Grist]],SMI,0)),0,IF(Table36[[#This Row],[F1 %MC]]&gt;INDEX(MCmax,MATCH(Table36[[#This Row],[Grist]],SMI,0)),0,1))))</f>
        <v>1</v>
      </c>
      <c r="V266" s="127">
        <f>IF(INDEX(Protmin,MATCH(Table36[[#This Row],[Grist]],SMI,0))="-","-",IF(Table36[[#This Row],[%Protein]]="-","-",IF(Table36[[#This Row],[%Protein]]&lt;INDEX(Protmin,MATCH(Table36[[#This Row],[Grist]],SMI,0)),0,IF(Table36[[#This Row],[%Protein]]&gt;INDEX(Protmax,MATCH(Table36[[#This Row],[Grist]],SMI,0)),0,1))))</f>
        <v>1</v>
      </c>
      <c r="W266" s="127">
        <f>IF(INDEX(Ashmin,MATCH(Table36[[#This Row],[Grist]],SMI,0))="-","-",IF(Table36[[#This Row],[%Ash]]="-","-",IF(Table36[[#This Row],[%Ash]]&lt;INDEX(Ashmin,MATCH(Table36[[#This Row],[Grist]],SMI,0)),0,IF(Table36[[#This Row],[%Ash]]&gt;INDEX(Ashmax,MATCH(Table36[[#This Row],[Grist]],SMI,0)),0,1))))</f>
        <v>1</v>
      </c>
      <c r="X266" s="127">
        <f>IF(INDEX(Absmin,MATCH(Table36[[#This Row],[Grist]],SMI,0))="-","-",IF(Table36[[#This Row],[%Absorption]]="-","-",IF(Table36[[#This Row],[%Absorption]]&lt;INDEX(Absmin,MATCH(Table36[[#This Row],[Grist]],SMI,0)),0,IF(Table36[[#This Row],[%Absorption]]&gt;INDEX(Absmax,MATCH(Table36[[#This Row],[Grist]],SMI,0)),0,1))))</f>
        <v>1</v>
      </c>
      <c r="Y266" s="127" t="str">
        <f>IF(INDEX(Extmin,MATCH(Table36[[#This Row],[Grist]],SMI,0))="-","-",IF(Table36[[#This Row],[%Extensibility]]="-","-",IF(Table36[[#This Row],[%Extensibility]]&lt;INDEX(Extmin,MATCH(Table36[[#This Row],[Grist]],SMI,0)),0,IF(Table36[[#This Row],[%Extensibility]]&gt;INDEX(Extmax,MATCH(Table36[[#This Row],[Grist]],SMI,0)),0,1))))</f>
        <v>-</v>
      </c>
      <c r="Z266" s="127" t="str">
        <f>IF(INDEX(Resmin,MATCH(Table36[[#This Row],[Grist]],SMI,0))="-","-",IF(Table36[[#This Row],[Resistance, max]]="-","-",IF(Table36[[#This Row],[Resistance, max]]&lt;INDEX(Resmin,MATCH(Table36[[#This Row],[Grist]],SMI,0)),0,IF(Table36[[#This Row],[Resistance, max]]&gt;INDEX(Resmax,MATCH(Table36[[#This Row],[Grist]],SMI,0)),0,1))))</f>
        <v>-</v>
      </c>
      <c r="AA266" s="127">
        <f>IF(INDEX(WGmin,MATCH(Table36[[#This Row],[Grist]],SMI,0))="-","-",IF(Table36[[#This Row],[%Wet Gluten]]="-","-",IF(Table36[[#This Row],[%Wet Gluten]]&lt;INDEX(WGmin,MATCH(Table36[[#This Row],[Grist]],SMI,0)),0,IF(Table36[[#This Row],[%Wet Gluten]]&gt;INDEX(WGmax,MATCH(Table36[[#This Row],[Grist]],SMI,0)),0,1))))</f>
        <v>0</v>
      </c>
      <c r="AB266" s="127">
        <f>SUM(Table36[[#This Row],[ QI Bran Content]:[QI WG]])</f>
        <v>7</v>
      </c>
      <c r="AC266" s="127">
        <f>COUNT(Table36[[#This Row],[ QI Bran Content]:[QI WG]])</f>
        <v>8</v>
      </c>
    </row>
    <row r="267" spans="1:29" x14ac:dyDescent="0.35">
      <c r="A267" s="177">
        <v>45328</v>
      </c>
      <c r="B267" s="178">
        <v>45328</v>
      </c>
      <c r="C267" s="178" t="s">
        <v>130</v>
      </c>
      <c r="D267" s="179">
        <v>0.95833333333333337</v>
      </c>
      <c r="E267" s="180" t="s">
        <v>0</v>
      </c>
      <c r="F267" s="181" t="s">
        <v>27</v>
      </c>
      <c r="G267" s="182">
        <v>6.7000000000000002E-3</v>
      </c>
      <c r="H267" s="175" t="s">
        <v>165</v>
      </c>
      <c r="I267" s="175" t="s">
        <v>165</v>
      </c>
      <c r="J267" s="175" t="s">
        <v>165</v>
      </c>
      <c r="K267" s="175">
        <v>12.17</v>
      </c>
      <c r="L267" s="175">
        <v>13.18</v>
      </c>
      <c r="M267" s="175">
        <v>0.49</v>
      </c>
      <c r="N267" s="175">
        <v>65.05</v>
      </c>
      <c r="O267" s="175" t="s">
        <v>163</v>
      </c>
      <c r="P267" s="175" t="s">
        <v>163</v>
      </c>
      <c r="Q267" s="175"/>
      <c r="R267" s="127">
        <f>IF(Table36[[#This Row],[ Bran Content]]="-","-",IF(G267&lt;0.02,1,0))</f>
        <v>1</v>
      </c>
      <c r="S267" s="127">
        <f>IF(Table36[[#This Row],[Sieve Test]]="-","-",IF(Table36[[#This Row],[Sieve Test]]="P",1,0))</f>
        <v>1</v>
      </c>
      <c r="T267" s="127">
        <f>IF(Table36[[#This Row],[Odor]]="-","-",IF(Table36[[#This Row],[Odor]]="P",1,0))</f>
        <v>1</v>
      </c>
      <c r="U267" s="127">
        <f>IF(INDEX(MCmin,MATCH(Table36[[#This Row],[Grist]],SMI,0))="-","-",IF(Table36[[#This Row],[F1 %MC]]="-","-",IF(Table36[[#This Row],[F1 %MC]]&lt;INDEX(MCmin,MATCH(Table36[[#This Row],[Grist]],SMI,0)),0,IF(Table36[[#This Row],[F1 %MC]]&gt;INDEX(MCmax,MATCH(Table36[[#This Row],[Grist]],SMI,0)),0,1))))</f>
        <v>1</v>
      </c>
      <c r="V267" s="127">
        <f>IF(INDEX(Protmin,MATCH(Table36[[#This Row],[Grist]],SMI,0))="-","-",IF(Table36[[#This Row],[%Protein]]="-","-",IF(Table36[[#This Row],[%Protein]]&lt;INDEX(Protmin,MATCH(Table36[[#This Row],[Grist]],SMI,0)),0,IF(Table36[[#This Row],[%Protein]]&gt;INDEX(Protmax,MATCH(Table36[[#This Row],[Grist]],SMI,0)),0,1))))</f>
        <v>1</v>
      </c>
      <c r="W267" s="127">
        <f>IF(INDEX(Ashmin,MATCH(Table36[[#This Row],[Grist]],SMI,0))="-","-",IF(Table36[[#This Row],[%Ash]]="-","-",IF(Table36[[#This Row],[%Ash]]&lt;INDEX(Ashmin,MATCH(Table36[[#This Row],[Grist]],SMI,0)),0,IF(Table36[[#This Row],[%Ash]]&gt;INDEX(Ashmax,MATCH(Table36[[#This Row],[Grist]],SMI,0)),0,1))))</f>
        <v>1</v>
      </c>
      <c r="X267" s="127">
        <f>IF(INDEX(Absmin,MATCH(Table36[[#This Row],[Grist]],SMI,0))="-","-",IF(Table36[[#This Row],[%Absorption]]="-","-",IF(Table36[[#This Row],[%Absorption]]&lt;INDEX(Absmin,MATCH(Table36[[#This Row],[Grist]],SMI,0)),0,IF(Table36[[#This Row],[%Absorption]]&gt;INDEX(Absmax,MATCH(Table36[[#This Row],[Grist]],SMI,0)),0,1))))</f>
        <v>1</v>
      </c>
      <c r="Y267" s="127" t="str">
        <f>IF(INDEX(Extmin,MATCH(Table36[[#This Row],[Grist]],SMI,0))="-","-",IF(Table36[[#This Row],[%Extensibility]]="-","-",IF(Table36[[#This Row],[%Extensibility]]&lt;INDEX(Extmin,MATCH(Table36[[#This Row],[Grist]],SMI,0)),0,IF(Table36[[#This Row],[%Extensibility]]&gt;INDEX(Extmax,MATCH(Table36[[#This Row],[Grist]],SMI,0)),0,1))))</f>
        <v>-</v>
      </c>
      <c r="Z267" s="127" t="str">
        <f>IF(INDEX(Resmin,MATCH(Table36[[#This Row],[Grist]],SMI,0))="-","-",IF(Table36[[#This Row],[Resistance, max]]="-","-",IF(Table36[[#This Row],[Resistance, max]]&lt;INDEX(Resmin,MATCH(Table36[[#This Row],[Grist]],SMI,0)),0,IF(Table36[[#This Row],[Resistance, max]]&gt;INDEX(Resmax,MATCH(Table36[[#This Row],[Grist]],SMI,0)),0,1))))</f>
        <v>-</v>
      </c>
      <c r="AA267" s="127">
        <f>IF(INDEX(WGmin,MATCH(Table36[[#This Row],[Grist]],SMI,0))="-","-",IF(Table36[[#This Row],[%Wet Gluten]]="-","-",IF(Table36[[#This Row],[%Wet Gluten]]&lt;INDEX(WGmin,MATCH(Table36[[#This Row],[Grist]],SMI,0)),0,IF(Table36[[#This Row],[%Wet Gluten]]&gt;INDEX(WGmax,MATCH(Table36[[#This Row],[Grist]],SMI,0)),0,1))))</f>
        <v>0</v>
      </c>
      <c r="AB267" s="127">
        <f>SUM(Table36[[#This Row],[ QI Bran Content]:[QI WG]])</f>
        <v>7</v>
      </c>
      <c r="AC267" s="127">
        <f>COUNT(Table36[[#This Row],[ QI Bran Content]:[QI WG]])</f>
        <v>8</v>
      </c>
    </row>
    <row r="268" spans="1:29" x14ac:dyDescent="0.35">
      <c r="A268" s="177">
        <v>45328</v>
      </c>
      <c r="B268" s="178">
        <v>45328</v>
      </c>
      <c r="C268" s="178" t="s">
        <v>130</v>
      </c>
      <c r="D268" s="179">
        <v>1.0416666666666701</v>
      </c>
      <c r="E268" s="180" t="s">
        <v>0</v>
      </c>
      <c r="F268" s="181" t="s">
        <v>27</v>
      </c>
      <c r="G268" s="182">
        <v>8.0000000000000002E-3</v>
      </c>
      <c r="H268" s="175" t="s">
        <v>165</v>
      </c>
      <c r="I268" s="175" t="s">
        <v>165</v>
      </c>
      <c r="J268" s="175" t="s">
        <v>165</v>
      </c>
      <c r="K268" s="175">
        <v>11.7</v>
      </c>
      <c r="L268" s="175">
        <v>13.18</v>
      </c>
      <c r="M268" s="175">
        <v>0.49</v>
      </c>
      <c r="N268" s="175">
        <v>65.05</v>
      </c>
      <c r="O268" s="175" t="s">
        <v>163</v>
      </c>
      <c r="P268" s="175" t="s">
        <v>163</v>
      </c>
      <c r="Q268" s="175"/>
      <c r="R268" s="127">
        <f>IF(Table36[[#This Row],[ Bran Content]]="-","-",IF(G268&lt;0.02,1,0))</f>
        <v>1</v>
      </c>
      <c r="S268" s="127">
        <f>IF(Table36[[#This Row],[Sieve Test]]="-","-",IF(Table36[[#This Row],[Sieve Test]]="P",1,0))</f>
        <v>1</v>
      </c>
      <c r="T268" s="127">
        <f>IF(Table36[[#This Row],[Odor]]="-","-",IF(Table36[[#This Row],[Odor]]="P",1,0))</f>
        <v>1</v>
      </c>
      <c r="U268" s="127">
        <f>IF(INDEX(MCmin,MATCH(Table36[[#This Row],[Grist]],SMI,0))="-","-",IF(Table36[[#This Row],[F1 %MC]]="-","-",IF(Table36[[#This Row],[F1 %MC]]&lt;INDEX(MCmin,MATCH(Table36[[#This Row],[Grist]],SMI,0)),0,IF(Table36[[#This Row],[F1 %MC]]&gt;INDEX(MCmax,MATCH(Table36[[#This Row],[Grist]],SMI,0)),0,1))))</f>
        <v>0</v>
      </c>
      <c r="V268" s="127">
        <f>IF(INDEX(Protmin,MATCH(Table36[[#This Row],[Grist]],SMI,0))="-","-",IF(Table36[[#This Row],[%Protein]]="-","-",IF(Table36[[#This Row],[%Protein]]&lt;INDEX(Protmin,MATCH(Table36[[#This Row],[Grist]],SMI,0)),0,IF(Table36[[#This Row],[%Protein]]&gt;INDEX(Protmax,MATCH(Table36[[#This Row],[Grist]],SMI,0)),0,1))))</f>
        <v>1</v>
      </c>
      <c r="W268" s="127">
        <f>IF(INDEX(Ashmin,MATCH(Table36[[#This Row],[Grist]],SMI,0))="-","-",IF(Table36[[#This Row],[%Ash]]="-","-",IF(Table36[[#This Row],[%Ash]]&lt;INDEX(Ashmin,MATCH(Table36[[#This Row],[Grist]],SMI,0)),0,IF(Table36[[#This Row],[%Ash]]&gt;INDEX(Ashmax,MATCH(Table36[[#This Row],[Grist]],SMI,0)),0,1))))</f>
        <v>1</v>
      </c>
      <c r="X268" s="127">
        <f>IF(INDEX(Absmin,MATCH(Table36[[#This Row],[Grist]],SMI,0))="-","-",IF(Table36[[#This Row],[%Absorption]]="-","-",IF(Table36[[#This Row],[%Absorption]]&lt;INDEX(Absmin,MATCH(Table36[[#This Row],[Grist]],SMI,0)),0,IF(Table36[[#This Row],[%Absorption]]&gt;INDEX(Absmax,MATCH(Table36[[#This Row],[Grist]],SMI,0)),0,1))))</f>
        <v>1</v>
      </c>
      <c r="Y268" s="127" t="str">
        <f>IF(INDEX(Extmin,MATCH(Table36[[#This Row],[Grist]],SMI,0))="-","-",IF(Table36[[#This Row],[%Extensibility]]="-","-",IF(Table36[[#This Row],[%Extensibility]]&lt;INDEX(Extmin,MATCH(Table36[[#This Row],[Grist]],SMI,0)),0,IF(Table36[[#This Row],[%Extensibility]]&gt;INDEX(Extmax,MATCH(Table36[[#This Row],[Grist]],SMI,0)),0,1))))</f>
        <v>-</v>
      </c>
      <c r="Z268" s="127" t="str">
        <f>IF(INDEX(Resmin,MATCH(Table36[[#This Row],[Grist]],SMI,0))="-","-",IF(Table36[[#This Row],[Resistance, max]]="-","-",IF(Table36[[#This Row],[Resistance, max]]&lt;INDEX(Resmin,MATCH(Table36[[#This Row],[Grist]],SMI,0)),0,IF(Table36[[#This Row],[Resistance, max]]&gt;INDEX(Resmax,MATCH(Table36[[#This Row],[Grist]],SMI,0)),0,1))))</f>
        <v>-</v>
      </c>
      <c r="AA268" s="127">
        <f>IF(INDEX(WGmin,MATCH(Table36[[#This Row],[Grist]],SMI,0))="-","-",IF(Table36[[#This Row],[%Wet Gluten]]="-","-",IF(Table36[[#This Row],[%Wet Gluten]]&lt;INDEX(WGmin,MATCH(Table36[[#This Row],[Grist]],SMI,0)),0,IF(Table36[[#This Row],[%Wet Gluten]]&gt;INDEX(WGmax,MATCH(Table36[[#This Row],[Grist]],SMI,0)),0,1))))</f>
        <v>0</v>
      </c>
      <c r="AB268" s="127">
        <f>SUM(Table36[[#This Row],[ QI Bran Content]:[QI WG]])</f>
        <v>6</v>
      </c>
      <c r="AC268" s="127">
        <f>COUNT(Table36[[#This Row],[ QI Bran Content]:[QI WG]])</f>
        <v>8</v>
      </c>
    </row>
    <row r="269" spans="1:29" x14ac:dyDescent="0.35">
      <c r="A269" s="177">
        <v>45328</v>
      </c>
      <c r="B269" s="178">
        <v>45328</v>
      </c>
      <c r="C269" s="178" t="s">
        <v>130</v>
      </c>
      <c r="D269" s="179">
        <v>1.125</v>
      </c>
      <c r="E269" s="180" t="s">
        <v>0</v>
      </c>
      <c r="F269" s="181" t="s">
        <v>19</v>
      </c>
      <c r="G269" s="182">
        <v>6.3E-3</v>
      </c>
      <c r="H269" s="175" t="s">
        <v>165</v>
      </c>
      <c r="I269" s="175" t="s">
        <v>165</v>
      </c>
      <c r="J269" s="175" t="s">
        <v>165</v>
      </c>
      <c r="K269" s="175">
        <v>12.18</v>
      </c>
      <c r="L269" s="175">
        <v>13.15</v>
      </c>
      <c r="M269" s="175">
        <v>0.4</v>
      </c>
      <c r="N269" s="175">
        <v>63.41</v>
      </c>
      <c r="O269" s="175">
        <v>12.81</v>
      </c>
      <c r="P269" s="175">
        <v>513</v>
      </c>
      <c r="Q269" s="175"/>
      <c r="R269" s="127">
        <f>IF(Table36[[#This Row],[ Bran Content]]="-","-",IF(G269&lt;0.02,1,0))</f>
        <v>1</v>
      </c>
      <c r="S269" s="127">
        <f>IF(Table36[[#This Row],[Sieve Test]]="-","-",IF(Table36[[#This Row],[Sieve Test]]="P",1,0))</f>
        <v>1</v>
      </c>
      <c r="T269" s="127">
        <f>IF(Table36[[#This Row],[Odor]]="-","-",IF(Table36[[#This Row],[Odor]]="P",1,0))</f>
        <v>1</v>
      </c>
      <c r="U269" s="127">
        <f>IF(INDEX(MCmin,MATCH(Table36[[#This Row],[Grist]],SMI,0))="-","-",IF(Table36[[#This Row],[F1 %MC]]="-","-",IF(Table36[[#This Row],[F1 %MC]]&lt;INDEX(MCmin,MATCH(Table36[[#This Row],[Grist]],SMI,0)),0,IF(Table36[[#This Row],[F1 %MC]]&gt;INDEX(MCmax,MATCH(Table36[[#This Row],[Grist]],SMI,0)),0,1))))</f>
        <v>1</v>
      </c>
      <c r="V269" s="127">
        <f>IF(INDEX(Protmin,MATCH(Table36[[#This Row],[Grist]],SMI,0))="-","-",IF(Table36[[#This Row],[%Protein]]="-","-",IF(Table36[[#This Row],[%Protein]]&lt;INDEX(Protmin,MATCH(Table36[[#This Row],[Grist]],SMI,0)),0,IF(Table36[[#This Row],[%Protein]]&gt;INDEX(Protmax,MATCH(Table36[[#This Row],[Grist]],SMI,0)),0,1))))</f>
        <v>1</v>
      </c>
      <c r="W269" s="127">
        <f>IF(INDEX(Ashmin,MATCH(Table36[[#This Row],[Grist]],SMI,0))="-","-",IF(Table36[[#This Row],[%Ash]]="-","-",IF(Table36[[#This Row],[%Ash]]&lt;INDEX(Ashmin,MATCH(Table36[[#This Row],[Grist]],SMI,0)),0,IF(Table36[[#This Row],[%Ash]]&gt;INDEX(Ashmax,MATCH(Table36[[#This Row],[Grist]],SMI,0)),0,1))))</f>
        <v>0</v>
      </c>
      <c r="X269" s="127">
        <f>IF(INDEX(Absmin,MATCH(Table36[[#This Row],[Grist]],SMI,0))="-","-",IF(Table36[[#This Row],[%Absorption]]="-","-",IF(Table36[[#This Row],[%Absorption]]&lt;INDEX(Absmin,MATCH(Table36[[#This Row],[Grist]],SMI,0)),0,IF(Table36[[#This Row],[%Absorption]]&gt;INDEX(Absmax,MATCH(Table36[[#This Row],[Grist]],SMI,0)),0,1))))</f>
        <v>1</v>
      </c>
      <c r="Y269" s="127" t="str">
        <f>IF(INDEX(Extmin,MATCH(Table36[[#This Row],[Grist]],SMI,0))="-","-",IF(Table36[[#This Row],[%Extensibility]]="-","-",IF(Table36[[#This Row],[%Extensibility]]&lt;INDEX(Extmin,MATCH(Table36[[#This Row],[Grist]],SMI,0)),0,IF(Table36[[#This Row],[%Extensibility]]&gt;INDEX(Extmax,MATCH(Table36[[#This Row],[Grist]],SMI,0)),0,1))))</f>
        <v>-</v>
      </c>
      <c r="Z269" s="127" t="str">
        <f>IF(INDEX(Resmin,MATCH(Table36[[#This Row],[Grist]],SMI,0))="-","-",IF(Table36[[#This Row],[Resistance, max]]="-","-",IF(Table36[[#This Row],[Resistance, max]]&lt;INDEX(Resmin,MATCH(Table36[[#This Row],[Grist]],SMI,0)),0,IF(Table36[[#This Row],[Resistance, max]]&gt;INDEX(Resmax,MATCH(Table36[[#This Row],[Grist]],SMI,0)),0,1))))</f>
        <v>-</v>
      </c>
      <c r="AA269" s="127">
        <f>IF(INDEX(WGmin,MATCH(Table36[[#This Row],[Grist]],SMI,0))="-","-",IF(Table36[[#This Row],[%Wet Gluten]]="-","-",IF(Table36[[#This Row],[%Wet Gluten]]&lt;INDEX(WGmin,MATCH(Table36[[#This Row],[Grist]],SMI,0)),0,IF(Table36[[#This Row],[%Wet Gluten]]&gt;INDEX(WGmax,MATCH(Table36[[#This Row],[Grist]],SMI,0)),0,1))))</f>
        <v>0</v>
      </c>
      <c r="AB269" s="127">
        <f>SUM(Table36[[#This Row],[ QI Bran Content]:[QI WG]])</f>
        <v>6</v>
      </c>
      <c r="AC269" s="127">
        <f>COUNT(Table36[[#This Row],[ QI Bran Content]:[QI WG]])</f>
        <v>8</v>
      </c>
    </row>
    <row r="270" spans="1:29" x14ac:dyDescent="0.35">
      <c r="A270" s="177">
        <v>45328</v>
      </c>
      <c r="B270" s="178">
        <v>45328</v>
      </c>
      <c r="C270" s="178" t="s">
        <v>130</v>
      </c>
      <c r="D270" s="179">
        <v>1.2083333333333299</v>
      </c>
      <c r="E270" s="180" t="s">
        <v>0</v>
      </c>
      <c r="F270" s="181" t="s">
        <v>19</v>
      </c>
      <c r="G270" s="182">
        <v>8.5000000000000006E-3</v>
      </c>
      <c r="H270" s="175" t="s">
        <v>165</v>
      </c>
      <c r="I270" s="175" t="s">
        <v>165</v>
      </c>
      <c r="J270" s="175" t="s">
        <v>165</v>
      </c>
      <c r="K270" s="175">
        <v>12.86</v>
      </c>
      <c r="L270" s="175">
        <v>13.15</v>
      </c>
      <c r="M270" s="175">
        <v>0.4</v>
      </c>
      <c r="N270" s="175">
        <v>63.41</v>
      </c>
      <c r="O270" s="175">
        <v>12.81</v>
      </c>
      <c r="P270" s="175">
        <v>513</v>
      </c>
      <c r="Q270" s="175"/>
      <c r="R270" s="127">
        <f>IF(Table36[[#This Row],[ Bran Content]]="-","-",IF(G270&lt;0.02,1,0))</f>
        <v>1</v>
      </c>
      <c r="S270" s="127">
        <f>IF(Table36[[#This Row],[Sieve Test]]="-","-",IF(Table36[[#This Row],[Sieve Test]]="P",1,0))</f>
        <v>1</v>
      </c>
      <c r="T270" s="127">
        <f>IF(Table36[[#This Row],[Odor]]="-","-",IF(Table36[[#This Row],[Odor]]="P",1,0))</f>
        <v>1</v>
      </c>
      <c r="U270" s="127">
        <f>IF(INDEX(MCmin,MATCH(Table36[[#This Row],[Grist]],SMI,0))="-","-",IF(Table36[[#This Row],[F1 %MC]]="-","-",IF(Table36[[#This Row],[F1 %MC]]&lt;INDEX(MCmin,MATCH(Table36[[#This Row],[Grist]],SMI,0)),0,IF(Table36[[#This Row],[F1 %MC]]&gt;INDEX(MCmax,MATCH(Table36[[#This Row],[Grist]],SMI,0)),0,1))))</f>
        <v>1</v>
      </c>
      <c r="V270" s="127">
        <f>IF(INDEX(Protmin,MATCH(Table36[[#This Row],[Grist]],SMI,0))="-","-",IF(Table36[[#This Row],[%Protein]]="-","-",IF(Table36[[#This Row],[%Protein]]&lt;INDEX(Protmin,MATCH(Table36[[#This Row],[Grist]],SMI,0)),0,IF(Table36[[#This Row],[%Protein]]&gt;INDEX(Protmax,MATCH(Table36[[#This Row],[Grist]],SMI,0)),0,1))))</f>
        <v>1</v>
      </c>
      <c r="W270" s="127">
        <f>IF(INDEX(Ashmin,MATCH(Table36[[#This Row],[Grist]],SMI,0))="-","-",IF(Table36[[#This Row],[%Ash]]="-","-",IF(Table36[[#This Row],[%Ash]]&lt;INDEX(Ashmin,MATCH(Table36[[#This Row],[Grist]],SMI,0)),0,IF(Table36[[#This Row],[%Ash]]&gt;INDEX(Ashmax,MATCH(Table36[[#This Row],[Grist]],SMI,0)),0,1))))</f>
        <v>0</v>
      </c>
      <c r="X270" s="127">
        <f>IF(INDEX(Absmin,MATCH(Table36[[#This Row],[Grist]],SMI,0))="-","-",IF(Table36[[#This Row],[%Absorption]]="-","-",IF(Table36[[#This Row],[%Absorption]]&lt;INDEX(Absmin,MATCH(Table36[[#This Row],[Grist]],SMI,0)),0,IF(Table36[[#This Row],[%Absorption]]&gt;INDEX(Absmax,MATCH(Table36[[#This Row],[Grist]],SMI,0)),0,1))))</f>
        <v>1</v>
      </c>
      <c r="Y270" s="127" t="str">
        <f>IF(INDEX(Extmin,MATCH(Table36[[#This Row],[Grist]],SMI,0))="-","-",IF(Table36[[#This Row],[%Extensibility]]="-","-",IF(Table36[[#This Row],[%Extensibility]]&lt;INDEX(Extmin,MATCH(Table36[[#This Row],[Grist]],SMI,0)),0,IF(Table36[[#This Row],[%Extensibility]]&gt;INDEX(Extmax,MATCH(Table36[[#This Row],[Grist]],SMI,0)),0,1))))</f>
        <v>-</v>
      </c>
      <c r="Z270" s="127" t="str">
        <f>IF(INDEX(Resmin,MATCH(Table36[[#This Row],[Grist]],SMI,0))="-","-",IF(Table36[[#This Row],[Resistance, max]]="-","-",IF(Table36[[#This Row],[Resistance, max]]&lt;INDEX(Resmin,MATCH(Table36[[#This Row],[Grist]],SMI,0)),0,IF(Table36[[#This Row],[Resistance, max]]&gt;INDEX(Resmax,MATCH(Table36[[#This Row],[Grist]],SMI,0)),0,1))))</f>
        <v>-</v>
      </c>
      <c r="AA270" s="127">
        <f>IF(INDEX(WGmin,MATCH(Table36[[#This Row],[Grist]],SMI,0))="-","-",IF(Table36[[#This Row],[%Wet Gluten]]="-","-",IF(Table36[[#This Row],[%Wet Gluten]]&lt;INDEX(WGmin,MATCH(Table36[[#This Row],[Grist]],SMI,0)),0,IF(Table36[[#This Row],[%Wet Gluten]]&gt;INDEX(WGmax,MATCH(Table36[[#This Row],[Grist]],SMI,0)),0,1))))</f>
        <v>0</v>
      </c>
      <c r="AB270" s="127">
        <f>SUM(Table36[[#This Row],[ QI Bran Content]:[QI WG]])</f>
        <v>6</v>
      </c>
      <c r="AC270" s="127">
        <f>COUNT(Table36[[#This Row],[ QI Bran Content]:[QI WG]])</f>
        <v>8</v>
      </c>
    </row>
    <row r="271" spans="1:29" x14ac:dyDescent="0.35">
      <c r="A271" s="177">
        <v>45328</v>
      </c>
      <c r="B271" s="178">
        <v>45328</v>
      </c>
      <c r="C271" s="178" t="s">
        <v>130</v>
      </c>
      <c r="D271" s="179">
        <v>1.125</v>
      </c>
      <c r="E271" s="180" t="s">
        <v>1</v>
      </c>
      <c r="F271" s="181" t="s">
        <v>241</v>
      </c>
      <c r="G271" s="182" t="s">
        <v>163</v>
      </c>
      <c r="H271" s="175" t="s">
        <v>163</v>
      </c>
      <c r="I271" s="175" t="s">
        <v>163</v>
      </c>
      <c r="J271" s="175" t="s">
        <v>163</v>
      </c>
      <c r="K271" s="175">
        <v>11.33</v>
      </c>
      <c r="L271" s="175" t="s">
        <v>163</v>
      </c>
      <c r="M271" s="175" t="s">
        <v>163</v>
      </c>
      <c r="N271" s="175" t="s">
        <v>163</v>
      </c>
      <c r="O271" s="175" t="s">
        <v>163</v>
      </c>
      <c r="P271" s="175" t="s">
        <v>163</v>
      </c>
      <c r="Q271" s="175"/>
      <c r="R271" s="127" t="str">
        <f>IF(Table36[[#This Row],[ Bran Content]]="-","-",IF(G271&lt;0.02,1,0))</f>
        <v>-</v>
      </c>
      <c r="S271" s="127" t="str">
        <f>IF(Table36[[#This Row],[Sieve Test]]="-","-",IF(Table36[[#This Row],[Sieve Test]]="P",1,0))</f>
        <v>-</v>
      </c>
      <c r="T271" s="127" t="str">
        <f>IF(Table36[[#This Row],[Odor]]="-","-",IF(Table36[[#This Row],[Odor]]="P",1,0))</f>
        <v>-</v>
      </c>
      <c r="U271" s="127" t="str">
        <f>IF(INDEX(MCmin,MATCH(Table36[[#This Row],[Grist]],SMI,0))="-","-",IF(Table36[[#This Row],[F1 %MC]]="-","-",IF(Table36[[#This Row],[F1 %MC]]&lt;INDEX(MCmin,MATCH(Table36[[#This Row],[Grist]],SMI,0)),0,IF(Table36[[#This Row],[F1 %MC]]&gt;INDEX(MCmax,MATCH(Table36[[#This Row],[Grist]],SMI,0)),0,1))))</f>
        <v>-</v>
      </c>
      <c r="V271" s="127" t="str">
        <f>IF(INDEX(Protmin,MATCH(Table36[[#This Row],[Grist]],SMI,0))="-","-",IF(Table36[[#This Row],[%Protein]]="-","-",IF(Table36[[#This Row],[%Protein]]&lt;INDEX(Protmin,MATCH(Table36[[#This Row],[Grist]],SMI,0)),0,IF(Table36[[#This Row],[%Protein]]&gt;INDEX(Protmax,MATCH(Table36[[#This Row],[Grist]],SMI,0)),0,1))))</f>
        <v>-</v>
      </c>
      <c r="W271" s="127" t="str">
        <f>IF(INDEX(Ashmin,MATCH(Table36[[#This Row],[Grist]],SMI,0))="-","-",IF(Table36[[#This Row],[%Ash]]="-","-",IF(Table36[[#This Row],[%Ash]]&lt;INDEX(Ashmin,MATCH(Table36[[#This Row],[Grist]],SMI,0)),0,IF(Table36[[#This Row],[%Ash]]&gt;INDEX(Ashmax,MATCH(Table36[[#This Row],[Grist]],SMI,0)),0,1))))</f>
        <v>-</v>
      </c>
      <c r="X271" s="127" t="str">
        <f>IF(INDEX(Absmin,MATCH(Table36[[#This Row],[Grist]],SMI,0))="-","-",IF(Table36[[#This Row],[%Absorption]]="-","-",IF(Table36[[#This Row],[%Absorption]]&lt;INDEX(Absmin,MATCH(Table36[[#This Row],[Grist]],SMI,0)),0,IF(Table36[[#This Row],[%Absorption]]&gt;INDEX(Absmax,MATCH(Table36[[#This Row],[Grist]],SMI,0)),0,1))))</f>
        <v>-</v>
      </c>
      <c r="Y271" s="127" t="str">
        <f>IF(INDEX(Extmin,MATCH(Table36[[#This Row],[Grist]],SMI,0))="-","-",IF(Table36[[#This Row],[%Extensibility]]="-","-",IF(Table36[[#This Row],[%Extensibility]]&lt;INDEX(Extmin,MATCH(Table36[[#This Row],[Grist]],SMI,0)),0,IF(Table36[[#This Row],[%Extensibility]]&gt;INDEX(Extmax,MATCH(Table36[[#This Row],[Grist]],SMI,0)),0,1))))</f>
        <v>-</v>
      </c>
      <c r="Z271" s="127" t="str">
        <f>IF(INDEX(Resmin,MATCH(Table36[[#This Row],[Grist]],SMI,0))="-","-",IF(Table36[[#This Row],[Resistance, max]]="-","-",IF(Table36[[#This Row],[Resistance, max]]&lt;INDEX(Resmin,MATCH(Table36[[#This Row],[Grist]],SMI,0)),0,IF(Table36[[#This Row],[Resistance, max]]&gt;INDEX(Resmax,MATCH(Table36[[#This Row],[Grist]],SMI,0)),0,1))))</f>
        <v>-</v>
      </c>
      <c r="AA271" s="127" t="str">
        <f>IF(INDEX(WGmin,MATCH(Table36[[#This Row],[Grist]],SMI,0))="-","-",IF(Table36[[#This Row],[%Wet Gluten]]="-","-",IF(Table36[[#This Row],[%Wet Gluten]]&lt;INDEX(WGmin,MATCH(Table36[[#This Row],[Grist]],SMI,0)),0,IF(Table36[[#This Row],[%Wet Gluten]]&gt;INDEX(WGmax,MATCH(Table36[[#This Row],[Grist]],SMI,0)),0,1))))</f>
        <v>-</v>
      </c>
      <c r="AB271" s="127">
        <f>SUM(Table36[[#This Row],[ QI Bran Content]:[QI WG]])</f>
        <v>0</v>
      </c>
      <c r="AC271" s="127">
        <f>COUNT(Table36[[#This Row],[ QI Bran Content]:[QI WG]])</f>
        <v>0</v>
      </c>
    </row>
    <row r="272" spans="1:29" x14ac:dyDescent="0.35">
      <c r="A272" s="177">
        <v>45328</v>
      </c>
      <c r="B272" s="178">
        <v>45328</v>
      </c>
      <c r="C272" s="178" t="s">
        <v>130</v>
      </c>
      <c r="D272" s="179">
        <v>1.2083333333333299</v>
      </c>
      <c r="E272" s="180" t="s">
        <v>1</v>
      </c>
      <c r="F272" s="181" t="s">
        <v>241</v>
      </c>
      <c r="G272" s="182" t="s">
        <v>163</v>
      </c>
      <c r="H272" s="175" t="s">
        <v>163</v>
      </c>
      <c r="I272" s="175" t="s">
        <v>163</v>
      </c>
      <c r="J272" s="175" t="s">
        <v>163</v>
      </c>
      <c r="K272" s="175">
        <v>11.45</v>
      </c>
      <c r="L272" s="175" t="s">
        <v>163</v>
      </c>
      <c r="M272" s="175" t="s">
        <v>163</v>
      </c>
      <c r="N272" s="175" t="s">
        <v>163</v>
      </c>
      <c r="O272" s="175" t="s">
        <v>163</v>
      </c>
      <c r="P272" s="175" t="s">
        <v>163</v>
      </c>
      <c r="Q272" s="175"/>
      <c r="R272" s="127" t="str">
        <f>IF(Table36[[#This Row],[ Bran Content]]="-","-",IF(G272&lt;0.02,1,0))</f>
        <v>-</v>
      </c>
      <c r="S272" s="127" t="str">
        <f>IF(Table36[[#This Row],[Sieve Test]]="-","-",IF(Table36[[#This Row],[Sieve Test]]="P",1,0))</f>
        <v>-</v>
      </c>
      <c r="T272" s="127" t="str">
        <f>IF(Table36[[#This Row],[Odor]]="-","-",IF(Table36[[#This Row],[Odor]]="P",1,0))</f>
        <v>-</v>
      </c>
      <c r="U272" s="127" t="str">
        <f>IF(INDEX(MCmin,MATCH(Table36[[#This Row],[Grist]],SMI,0))="-","-",IF(Table36[[#This Row],[F1 %MC]]="-","-",IF(Table36[[#This Row],[F1 %MC]]&lt;INDEX(MCmin,MATCH(Table36[[#This Row],[Grist]],SMI,0)),0,IF(Table36[[#This Row],[F1 %MC]]&gt;INDEX(MCmax,MATCH(Table36[[#This Row],[Grist]],SMI,0)),0,1))))</f>
        <v>-</v>
      </c>
      <c r="V272" s="127" t="str">
        <f>IF(INDEX(Protmin,MATCH(Table36[[#This Row],[Grist]],SMI,0))="-","-",IF(Table36[[#This Row],[%Protein]]="-","-",IF(Table36[[#This Row],[%Protein]]&lt;INDEX(Protmin,MATCH(Table36[[#This Row],[Grist]],SMI,0)),0,IF(Table36[[#This Row],[%Protein]]&gt;INDEX(Protmax,MATCH(Table36[[#This Row],[Grist]],SMI,0)),0,1))))</f>
        <v>-</v>
      </c>
      <c r="W272" s="127" t="str">
        <f>IF(INDEX(Ashmin,MATCH(Table36[[#This Row],[Grist]],SMI,0))="-","-",IF(Table36[[#This Row],[%Ash]]="-","-",IF(Table36[[#This Row],[%Ash]]&lt;INDEX(Ashmin,MATCH(Table36[[#This Row],[Grist]],SMI,0)),0,IF(Table36[[#This Row],[%Ash]]&gt;INDEX(Ashmax,MATCH(Table36[[#This Row],[Grist]],SMI,0)),0,1))))</f>
        <v>-</v>
      </c>
      <c r="X272" s="127" t="str">
        <f>IF(INDEX(Absmin,MATCH(Table36[[#This Row],[Grist]],SMI,0))="-","-",IF(Table36[[#This Row],[%Absorption]]="-","-",IF(Table36[[#This Row],[%Absorption]]&lt;INDEX(Absmin,MATCH(Table36[[#This Row],[Grist]],SMI,0)),0,IF(Table36[[#This Row],[%Absorption]]&gt;INDEX(Absmax,MATCH(Table36[[#This Row],[Grist]],SMI,0)),0,1))))</f>
        <v>-</v>
      </c>
      <c r="Y272" s="127" t="str">
        <f>IF(INDEX(Extmin,MATCH(Table36[[#This Row],[Grist]],SMI,0))="-","-",IF(Table36[[#This Row],[%Extensibility]]="-","-",IF(Table36[[#This Row],[%Extensibility]]&lt;INDEX(Extmin,MATCH(Table36[[#This Row],[Grist]],SMI,0)),0,IF(Table36[[#This Row],[%Extensibility]]&gt;INDEX(Extmax,MATCH(Table36[[#This Row],[Grist]],SMI,0)),0,1))))</f>
        <v>-</v>
      </c>
      <c r="Z272" s="127" t="str">
        <f>IF(INDEX(Resmin,MATCH(Table36[[#This Row],[Grist]],SMI,0))="-","-",IF(Table36[[#This Row],[Resistance, max]]="-","-",IF(Table36[[#This Row],[Resistance, max]]&lt;INDEX(Resmin,MATCH(Table36[[#This Row],[Grist]],SMI,0)),0,IF(Table36[[#This Row],[Resistance, max]]&gt;INDEX(Resmax,MATCH(Table36[[#This Row],[Grist]],SMI,0)),0,1))))</f>
        <v>-</v>
      </c>
      <c r="AA272" s="127" t="str">
        <f>IF(INDEX(WGmin,MATCH(Table36[[#This Row],[Grist]],SMI,0))="-","-",IF(Table36[[#This Row],[%Wet Gluten]]="-","-",IF(Table36[[#This Row],[%Wet Gluten]]&lt;INDEX(WGmin,MATCH(Table36[[#This Row],[Grist]],SMI,0)),0,IF(Table36[[#This Row],[%Wet Gluten]]&gt;INDEX(WGmax,MATCH(Table36[[#This Row],[Grist]],SMI,0)),0,1))))</f>
        <v>-</v>
      </c>
      <c r="AB272" s="127">
        <f>SUM(Table36[[#This Row],[ QI Bran Content]:[QI WG]])</f>
        <v>0</v>
      </c>
      <c r="AC272" s="127">
        <f>COUNT(Table36[[#This Row],[ QI Bran Content]:[QI WG]])</f>
        <v>0</v>
      </c>
    </row>
    <row r="273" spans="1:29" x14ac:dyDescent="0.35">
      <c r="A273" s="177">
        <v>45328</v>
      </c>
      <c r="B273" s="178">
        <v>45324</v>
      </c>
      <c r="C273" s="178" t="s">
        <v>128</v>
      </c>
      <c r="D273" s="179">
        <v>0.625</v>
      </c>
      <c r="E273" s="180" t="s">
        <v>0</v>
      </c>
      <c r="F273" s="181" t="s">
        <v>32</v>
      </c>
      <c r="G273" s="182">
        <v>1.72E-2</v>
      </c>
      <c r="H273" s="175" t="s">
        <v>165</v>
      </c>
      <c r="I273" s="175" t="s">
        <v>165</v>
      </c>
      <c r="J273" s="175" t="s">
        <v>165</v>
      </c>
      <c r="K273" s="175">
        <v>11.95</v>
      </c>
      <c r="L273" s="175">
        <v>13.44</v>
      </c>
      <c r="M273" s="175">
        <v>0.54</v>
      </c>
      <c r="N273" s="175">
        <v>65</v>
      </c>
      <c r="O273" s="175" t="s">
        <v>163</v>
      </c>
      <c r="P273" s="175" t="s">
        <v>163</v>
      </c>
      <c r="Q273" s="175"/>
      <c r="R273" s="127">
        <f>IF(Table36[[#This Row],[ Bran Content]]="-","-",IF(G273&lt;0.02,1,0))</f>
        <v>1</v>
      </c>
      <c r="S273" s="127">
        <f>IF(Table36[[#This Row],[Sieve Test]]="-","-",IF(Table36[[#This Row],[Sieve Test]]="P",1,0))</f>
        <v>1</v>
      </c>
      <c r="T273" s="127">
        <f>IF(Table36[[#This Row],[Odor]]="-","-",IF(Table36[[#This Row],[Odor]]="P",1,0))</f>
        <v>1</v>
      </c>
      <c r="U273" s="127">
        <f>IF(INDEX(MCmin,MATCH(Table36[[#This Row],[Grist]],SMI,0))="-","-",IF(Table36[[#This Row],[F1 %MC]]="-","-",IF(Table36[[#This Row],[F1 %MC]]&lt;INDEX(MCmin,MATCH(Table36[[#This Row],[Grist]],SMI,0)),0,IF(Table36[[#This Row],[F1 %MC]]&gt;INDEX(MCmax,MATCH(Table36[[#This Row],[Grist]],SMI,0)),0,1))))</f>
        <v>0</v>
      </c>
      <c r="V273" s="127">
        <f>IF(INDEX(Protmin,MATCH(Table36[[#This Row],[Grist]],SMI,0))="-","-",IF(Table36[[#This Row],[%Protein]]="-","-",IF(Table36[[#This Row],[%Protein]]&lt;INDEX(Protmin,MATCH(Table36[[#This Row],[Grist]],SMI,0)),0,IF(Table36[[#This Row],[%Protein]]&gt;INDEX(Protmax,MATCH(Table36[[#This Row],[Grist]],SMI,0)),0,1))))</f>
        <v>1</v>
      </c>
      <c r="W273" s="127">
        <f>IF(INDEX(Ashmin,MATCH(Table36[[#This Row],[Grist]],SMI,0))="-","-",IF(Table36[[#This Row],[%Ash]]="-","-",IF(Table36[[#This Row],[%Ash]]&lt;INDEX(Ashmin,MATCH(Table36[[#This Row],[Grist]],SMI,0)),0,IF(Table36[[#This Row],[%Ash]]&gt;INDEX(Ashmax,MATCH(Table36[[#This Row],[Grist]],SMI,0)),0,1))))</f>
        <v>1</v>
      </c>
      <c r="X273" s="127">
        <f>IF(INDEX(Absmin,MATCH(Table36[[#This Row],[Grist]],SMI,0))="-","-",IF(Table36[[#This Row],[%Absorption]]="-","-",IF(Table36[[#This Row],[%Absorption]]&lt;INDEX(Absmin,MATCH(Table36[[#This Row],[Grist]],SMI,0)),0,IF(Table36[[#This Row],[%Absorption]]&gt;INDEX(Absmax,MATCH(Table36[[#This Row],[Grist]],SMI,0)),0,1))))</f>
        <v>1</v>
      </c>
      <c r="Y273" s="127" t="str">
        <f>IF(INDEX(Extmin,MATCH(Table36[[#This Row],[Grist]],SMI,0))="-","-",IF(Table36[[#This Row],[%Extensibility]]="-","-",IF(Table36[[#This Row],[%Extensibility]]&lt;INDEX(Extmin,MATCH(Table36[[#This Row],[Grist]],SMI,0)),0,IF(Table36[[#This Row],[%Extensibility]]&gt;INDEX(Extmax,MATCH(Table36[[#This Row],[Grist]],SMI,0)),0,1))))</f>
        <v>-</v>
      </c>
      <c r="Z273" s="127" t="str">
        <f>IF(INDEX(Resmin,MATCH(Table36[[#This Row],[Grist]],SMI,0))="-","-",IF(Table36[[#This Row],[Resistance, max]]="-","-",IF(Table36[[#This Row],[Resistance, max]]&lt;INDEX(Resmin,MATCH(Table36[[#This Row],[Grist]],SMI,0)),0,IF(Table36[[#This Row],[Resistance, max]]&gt;INDEX(Resmax,MATCH(Table36[[#This Row],[Grist]],SMI,0)),0,1))))</f>
        <v>-</v>
      </c>
      <c r="AA273" s="127">
        <f>IF(INDEX(WGmin,MATCH(Table36[[#This Row],[Grist]],SMI,0))="-","-",IF(Table36[[#This Row],[%Wet Gluten]]="-","-",IF(Table36[[#This Row],[%Wet Gluten]]&lt;INDEX(WGmin,MATCH(Table36[[#This Row],[Grist]],SMI,0)),0,IF(Table36[[#This Row],[%Wet Gluten]]&gt;INDEX(WGmax,MATCH(Table36[[#This Row],[Grist]],SMI,0)),0,1))))</f>
        <v>0</v>
      </c>
      <c r="AB273" s="127">
        <f>SUM(Table36[[#This Row],[ QI Bran Content]:[QI WG]])</f>
        <v>6</v>
      </c>
      <c r="AC273" s="127">
        <f>COUNT(Table36[[#This Row],[ QI Bran Content]:[QI WG]])</f>
        <v>8</v>
      </c>
    </row>
    <row r="274" spans="1:29" x14ac:dyDescent="0.35">
      <c r="A274" s="177">
        <v>45328</v>
      </c>
      <c r="B274" s="178">
        <v>45324</v>
      </c>
      <c r="C274" s="178" t="s">
        <v>128</v>
      </c>
      <c r="D274" s="179">
        <v>0.70833333333333304</v>
      </c>
      <c r="E274" s="180" t="s">
        <v>0</v>
      </c>
      <c r="F274" s="181" t="s">
        <v>32</v>
      </c>
      <c r="G274" s="182">
        <v>1.4800000000000001E-2</v>
      </c>
      <c r="H274" s="175" t="s">
        <v>165</v>
      </c>
      <c r="I274" s="175" t="s">
        <v>165</v>
      </c>
      <c r="J274" s="175" t="s">
        <v>165</v>
      </c>
      <c r="K274" s="175">
        <v>12.9</v>
      </c>
      <c r="L274" s="175">
        <v>13.44</v>
      </c>
      <c r="M274" s="175">
        <v>0.54</v>
      </c>
      <c r="N274" s="175">
        <v>65</v>
      </c>
      <c r="O274" s="175" t="s">
        <v>163</v>
      </c>
      <c r="P274" s="175" t="s">
        <v>163</v>
      </c>
      <c r="Q274" s="175"/>
      <c r="R274" s="127">
        <f>IF(Table36[[#This Row],[ Bran Content]]="-","-",IF(G274&lt;0.02,1,0))</f>
        <v>1</v>
      </c>
      <c r="S274" s="127">
        <f>IF(Table36[[#This Row],[Sieve Test]]="-","-",IF(Table36[[#This Row],[Sieve Test]]="P",1,0))</f>
        <v>1</v>
      </c>
      <c r="T274" s="127">
        <f>IF(Table36[[#This Row],[Odor]]="-","-",IF(Table36[[#This Row],[Odor]]="P",1,0))</f>
        <v>1</v>
      </c>
      <c r="U274" s="127">
        <f>IF(INDEX(MCmin,MATCH(Table36[[#This Row],[Grist]],SMI,0))="-","-",IF(Table36[[#This Row],[F1 %MC]]="-","-",IF(Table36[[#This Row],[F1 %MC]]&lt;INDEX(MCmin,MATCH(Table36[[#This Row],[Grist]],SMI,0)),0,IF(Table36[[#This Row],[F1 %MC]]&gt;INDEX(MCmax,MATCH(Table36[[#This Row],[Grist]],SMI,0)),0,1))))</f>
        <v>1</v>
      </c>
      <c r="V274" s="127">
        <f>IF(INDEX(Protmin,MATCH(Table36[[#This Row],[Grist]],SMI,0))="-","-",IF(Table36[[#This Row],[%Protein]]="-","-",IF(Table36[[#This Row],[%Protein]]&lt;INDEX(Protmin,MATCH(Table36[[#This Row],[Grist]],SMI,0)),0,IF(Table36[[#This Row],[%Protein]]&gt;INDEX(Protmax,MATCH(Table36[[#This Row],[Grist]],SMI,0)),0,1))))</f>
        <v>1</v>
      </c>
      <c r="W274" s="127">
        <f>IF(INDEX(Ashmin,MATCH(Table36[[#This Row],[Grist]],SMI,0))="-","-",IF(Table36[[#This Row],[%Ash]]="-","-",IF(Table36[[#This Row],[%Ash]]&lt;INDEX(Ashmin,MATCH(Table36[[#This Row],[Grist]],SMI,0)),0,IF(Table36[[#This Row],[%Ash]]&gt;INDEX(Ashmax,MATCH(Table36[[#This Row],[Grist]],SMI,0)),0,1))))</f>
        <v>1</v>
      </c>
      <c r="X274" s="127">
        <f>IF(INDEX(Absmin,MATCH(Table36[[#This Row],[Grist]],SMI,0))="-","-",IF(Table36[[#This Row],[%Absorption]]="-","-",IF(Table36[[#This Row],[%Absorption]]&lt;INDEX(Absmin,MATCH(Table36[[#This Row],[Grist]],SMI,0)),0,IF(Table36[[#This Row],[%Absorption]]&gt;INDEX(Absmax,MATCH(Table36[[#This Row],[Grist]],SMI,0)),0,1))))</f>
        <v>1</v>
      </c>
      <c r="Y274" s="127" t="str">
        <f>IF(INDEX(Extmin,MATCH(Table36[[#This Row],[Grist]],SMI,0))="-","-",IF(Table36[[#This Row],[%Extensibility]]="-","-",IF(Table36[[#This Row],[%Extensibility]]&lt;INDEX(Extmin,MATCH(Table36[[#This Row],[Grist]],SMI,0)),0,IF(Table36[[#This Row],[%Extensibility]]&gt;INDEX(Extmax,MATCH(Table36[[#This Row],[Grist]],SMI,0)),0,1))))</f>
        <v>-</v>
      </c>
      <c r="Z274" s="127" t="str">
        <f>IF(INDEX(Resmin,MATCH(Table36[[#This Row],[Grist]],SMI,0))="-","-",IF(Table36[[#This Row],[Resistance, max]]="-","-",IF(Table36[[#This Row],[Resistance, max]]&lt;INDEX(Resmin,MATCH(Table36[[#This Row],[Grist]],SMI,0)),0,IF(Table36[[#This Row],[Resistance, max]]&gt;INDEX(Resmax,MATCH(Table36[[#This Row],[Grist]],SMI,0)),0,1))))</f>
        <v>-</v>
      </c>
      <c r="AA274" s="127">
        <f>IF(INDEX(WGmin,MATCH(Table36[[#This Row],[Grist]],SMI,0))="-","-",IF(Table36[[#This Row],[%Wet Gluten]]="-","-",IF(Table36[[#This Row],[%Wet Gluten]]&lt;INDEX(WGmin,MATCH(Table36[[#This Row],[Grist]],SMI,0)),0,IF(Table36[[#This Row],[%Wet Gluten]]&gt;INDEX(WGmax,MATCH(Table36[[#This Row],[Grist]],SMI,0)),0,1))))</f>
        <v>0</v>
      </c>
      <c r="AB274" s="127">
        <f>SUM(Table36[[#This Row],[ QI Bran Content]:[QI WG]])</f>
        <v>7</v>
      </c>
      <c r="AC274" s="127">
        <f>COUNT(Table36[[#This Row],[ QI Bran Content]:[QI WG]])</f>
        <v>8</v>
      </c>
    </row>
    <row r="275" spans="1:29" x14ac:dyDescent="0.35">
      <c r="A275" s="177">
        <v>45328</v>
      </c>
      <c r="B275" s="178">
        <v>45324</v>
      </c>
      <c r="C275" s="178" t="s">
        <v>128</v>
      </c>
      <c r="D275" s="179">
        <v>0.79166666666666596</v>
      </c>
      <c r="E275" s="180" t="s">
        <v>0</v>
      </c>
      <c r="F275" s="181" t="s">
        <v>32</v>
      </c>
      <c r="G275" s="182">
        <v>1.5599999999999999E-2</v>
      </c>
      <c r="H275" s="175" t="s">
        <v>165</v>
      </c>
      <c r="I275" s="175" t="s">
        <v>165</v>
      </c>
      <c r="J275" s="175" t="s">
        <v>165</v>
      </c>
      <c r="K275" s="175">
        <v>12.77</v>
      </c>
      <c r="L275" s="175">
        <v>13.44</v>
      </c>
      <c r="M275" s="175">
        <v>0.54</v>
      </c>
      <c r="N275" s="175">
        <v>65</v>
      </c>
      <c r="O275" s="175" t="s">
        <v>163</v>
      </c>
      <c r="P275" s="175" t="s">
        <v>163</v>
      </c>
      <c r="Q275" s="175"/>
      <c r="R275" s="127">
        <f>IF(Table36[[#This Row],[ Bran Content]]="-","-",IF(G275&lt;0.02,1,0))</f>
        <v>1</v>
      </c>
      <c r="S275" s="127">
        <f>IF(Table36[[#This Row],[Sieve Test]]="-","-",IF(Table36[[#This Row],[Sieve Test]]="P",1,0))</f>
        <v>1</v>
      </c>
      <c r="T275" s="127">
        <f>IF(Table36[[#This Row],[Odor]]="-","-",IF(Table36[[#This Row],[Odor]]="P",1,0))</f>
        <v>1</v>
      </c>
      <c r="U275" s="127">
        <f>IF(INDEX(MCmin,MATCH(Table36[[#This Row],[Grist]],SMI,0))="-","-",IF(Table36[[#This Row],[F1 %MC]]="-","-",IF(Table36[[#This Row],[F1 %MC]]&lt;INDEX(MCmin,MATCH(Table36[[#This Row],[Grist]],SMI,0)),0,IF(Table36[[#This Row],[F1 %MC]]&gt;INDEX(MCmax,MATCH(Table36[[#This Row],[Grist]],SMI,0)),0,1))))</f>
        <v>1</v>
      </c>
      <c r="V275" s="127">
        <f>IF(INDEX(Protmin,MATCH(Table36[[#This Row],[Grist]],SMI,0))="-","-",IF(Table36[[#This Row],[%Protein]]="-","-",IF(Table36[[#This Row],[%Protein]]&lt;INDEX(Protmin,MATCH(Table36[[#This Row],[Grist]],SMI,0)),0,IF(Table36[[#This Row],[%Protein]]&gt;INDEX(Protmax,MATCH(Table36[[#This Row],[Grist]],SMI,0)),0,1))))</f>
        <v>1</v>
      </c>
      <c r="W275" s="127">
        <f>IF(INDEX(Ashmin,MATCH(Table36[[#This Row],[Grist]],SMI,0))="-","-",IF(Table36[[#This Row],[%Ash]]="-","-",IF(Table36[[#This Row],[%Ash]]&lt;INDEX(Ashmin,MATCH(Table36[[#This Row],[Grist]],SMI,0)),0,IF(Table36[[#This Row],[%Ash]]&gt;INDEX(Ashmax,MATCH(Table36[[#This Row],[Grist]],SMI,0)),0,1))))</f>
        <v>1</v>
      </c>
      <c r="X275" s="127">
        <f>IF(INDEX(Absmin,MATCH(Table36[[#This Row],[Grist]],SMI,0))="-","-",IF(Table36[[#This Row],[%Absorption]]="-","-",IF(Table36[[#This Row],[%Absorption]]&lt;INDEX(Absmin,MATCH(Table36[[#This Row],[Grist]],SMI,0)),0,IF(Table36[[#This Row],[%Absorption]]&gt;INDEX(Absmax,MATCH(Table36[[#This Row],[Grist]],SMI,0)),0,1))))</f>
        <v>1</v>
      </c>
      <c r="Y275" s="127" t="str">
        <f>IF(INDEX(Extmin,MATCH(Table36[[#This Row],[Grist]],SMI,0))="-","-",IF(Table36[[#This Row],[%Extensibility]]="-","-",IF(Table36[[#This Row],[%Extensibility]]&lt;INDEX(Extmin,MATCH(Table36[[#This Row],[Grist]],SMI,0)),0,IF(Table36[[#This Row],[%Extensibility]]&gt;INDEX(Extmax,MATCH(Table36[[#This Row],[Grist]],SMI,0)),0,1))))</f>
        <v>-</v>
      </c>
      <c r="Z275" s="127" t="str">
        <f>IF(INDEX(Resmin,MATCH(Table36[[#This Row],[Grist]],SMI,0))="-","-",IF(Table36[[#This Row],[Resistance, max]]="-","-",IF(Table36[[#This Row],[Resistance, max]]&lt;INDEX(Resmin,MATCH(Table36[[#This Row],[Grist]],SMI,0)),0,IF(Table36[[#This Row],[Resistance, max]]&gt;INDEX(Resmax,MATCH(Table36[[#This Row],[Grist]],SMI,0)),0,1))))</f>
        <v>-</v>
      </c>
      <c r="AA275" s="127">
        <f>IF(INDEX(WGmin,MATCH(Table36[[#This Row],[Grist]],SMI,0))="-","-",IF(Table36[[#This Row],[%Wet Gluten]]="-","-",IF(Table36[[#This Row],[%Wet Gluten]]&lt;INDEX(WGmin,MATCH(Table36[[#This Row],[Grist]],SMI,0)),0,IF(Table36[[#This Row],[%Wet Gluten]]&gt;INDEX(WGmax,MATCH(Table36[[#This Row],[Grist]],SMI,0)),0,1))))</f>
        <v>0</v>
      </c>
      <c r="AB275" s="127">
        <f>SUM(Table36[[#This Row],[ QI Bran Content]:[QI WG]])</f>
        <v>7</v>
      </c>
      <c r="AC275" s="127">
        <f>COUNT(Table36[[#This Row],[ QI Bran Content]:[QI WG]])</f>
        <v>8</v>
      </c>
    </row>
    <row r="276" spans="1:29" x14ac:dyDescent="0.35">
      <c r="A276" s="177">
        <v>45328</v>
      </c>
      <c r="B276" s="178">
        <v>45324</v>
      </c>
      <c r="C276" s="178" t="s">
        <v>128</v>
      </c>
      <c r="D276" s="179">
        <v>0.874999999999999</v>
      </c>
      <c r="E276" s="180" t="s">
        <v>0</v>
      </c>
      <c r="F276" s="181" t="s">
        <v>32</v>
      </c>
      <c r="G276" s="182">
        <v>1.6E-2</v>
      </c>
      <c r="H276" s="175" t="s">
        <v>165</v>
      </c>
      <c r="I276" s="175" t="s">
        <v>165</v>
      </c>
      <c r="J276" s="175" t="s">
        <v>165</v>
      </c>
      <c r="K276" s="175">
        <v>13</v>
      </c>
      <c r="L276" s="175">
        <v>13.44</v>
      </c>
      <c r="M276" s="175">
        <v>0.54</v>
      </c>
      <c r="N276" s="175">
        <v>65</v>
      </c>
      <c r="O276" s="175" t="s">
        <v>163</v>
      </c>
      <c r="P276" s="175" t="s">
        <v>163</v>
      </c>
      <c r="Q276" s="175"/>
      <c r="R276" s="127">
        <f>IF(Table36[[#This Row],[ Bran Content]]="-","-",IF(G276&lt;0.02,1,0))</f>
        <v>1</v>
      </c>
      <c r="S276" s="127">
        <f>IF(Table36[[#This Row],[Sieve Test]]="-","-",IF(Table36[[#This Row],[Sieve Test]]="P",1,0))</f>
        <v>1</v>
      </c>
      <c r="T276" s="127">
        <f>IF(Table36[[#This Row],[Odor]]="-","-",IF(Table36[[#This Row],[Odor]]="P",1,0))</f>
        <v>1</v>
      </c>
      <c r="U276" s="127">
        <f>IF(INDEX(MCmin,MATCH(Table36[[#This Row],[Grist]],SMI,0))="-","-",IF(Table36[[#This Row],[F1 %MC]]="-","-",IF(Table36[[#This Row],[F1 %MC]]&lt;INDEX(MCmin,MATCH(Table36[[#This Row],[Grist]],SMI,0)),0,IF(Table36[[#This Row],[F1 %MC]]&gt;INDEX(MCmax,MATCH(Table36[[#This Row],[Grist]],SMI,0)),0,1))))</f>
        <v>1</v>
      </c>
      <c r="V276" s="127">
        <f>IF(INDEX(Protmin,MATCH(Table36[[#This Row],[Grist]],SMI,0))="-","-",IF(Table36[[#This Row],[%Protein]]="-","-",IF(Table36[[#This Row],[%Protein]]&lt;INDEX(Protmin,MATCH(Table36[[#This Row],[Grist]],SMI,0)),0,IF(Table36[[#This Row],[%Protein]]&gt;INDEX(Protmax,MATCH(Table36[[#This Row],[Grist]],SMI,0)),0,1))))</f>
        <v>1</v>
      </c>
      <c r="W276" s="127">
        <f>IF(INDEX(Ashmin,MATCH(Table36[[#This Row],[Grist]],SMI,0))="-","-",IF(Table36[[#This Row],[%Ash]]="-","-",IF(Table36[[#This Row],[%Ash]]&lt;INDEX(Ashmin,MATCH(Table36[[#This Row],[Grist]],SMI,0)),0,IF(Table36[[#This Row],[%Ash]]&gt;INDEX(Ashmax,MATCH(Table36[[#This Row],[Grist]],SMI,0)),0,1))))</f>
        <v>1</v>
      </c>
      <c r="X276" s="127">
        <f>IF(INDEX(Absmin,MATCH(Table36[[#This Row],[Grist]],SMI,0))="-","-",IF(Table36[[#This Row],[%Absorption]]="-","-",IF(Table36[[#This Row],[%Absorption]]&lt;INDEX(Absmin,MATCH(Table36[[#This Row],[Grist]],SMI,0)),0,IF(Table36[[#This Row],[%Absorption]]&gt;INDEX(Absmax,MATCH(Table36[[#This Row],[Grist]],SMI,0)),0,1))))</f>
        <v>1</v>
      </c>
      <c r="Y276" s="127" t="str">
        <f>IF(INDEX(Extmin,MATCH(Table36[[#This Row],[Grist]],SMI,0))="-","-",IF(Table36[[#This Row],[%Extensibility]]="-","-",IF(Table36[[#This Row],[%Extensibility]]&lt;INDEX(Extmin,MATCH(Table36[[#This Row],[Grist]],SMI,0)),0,IF(Table36[[#This Row],[%Extensibility]]&gt;INDEX(Extmax,MATCH(Table36[[#This Row],[Grist]],SMI,0)),0,1))))</f>
        <v>-</v>
      </c>
      <c r="Z276" s="127" t="str">
        <f>IF(INDEX(Resmin,MATCH(Table36[[#This Row],[Grist]],SMI,0))="-","-",IF(Table36[[#This Row],[Resistance, max]]="-","-",IF(Table36[[#This Row],[Resistance, max]]&lt;INDEX(Resmin,MATCH(Table36[[#This Row],[Grist]],SMI,0)),0,IF(Table36[[#This Row],[Resistance, max]]&gt;INDEX(Resmax,MATCH(Table36[[#This Row],[Grist]],SMI,0)),0,1))))</f>
        <v>-</v>
      </c>
      <c r="AA276" s="127">
        <f>IF(INDEX(WGmin,MATCH(Table36[[#This Row],[Grist]],SMI,0))="-","-",IF(Table36[[#This Row],[%Wet Gluten]]="-","-",IF(Table36[[#This Row],[%Wet Gluten]]&lt;INDEX(WGmin,MATCH(Table36[[#This Row],[Grist]],SMI,0)),0,IF(Table36[[#This Row],[%Wet Gluten]]&gt;INDEX(WGmax,MATCH(Table36[[#This Row],[Grist]],SMI,0)),0,1))))</f>
        <v>0</v>
      </c>
      <c r="AB276" s="127">
        <f>SUM(Table36[[#This Row],[ QI Bran Content]:[QI WG]])</f>
        <v>7</v>
      </c>
      <c r="AC276" s="127">
        <f>COUNT(Table36[[#This Row],[ QI Bran Content]:[QI WG]])</f>
        <v>8</v>
      </c>
    </row>
    <row r="277" spans="1:29" x14ac:dyDescent="0.35">
      <c r="A277" s="177">
        <v>45328</v>
      </c>
      <c r="B277" s="178">
        <v>45324</v>
      </c>
      <c r="C277" s="178" t="s">
        <v>128</v>
      </c>
      <c r="D277" s="179">
        <v>0.625</v>
      </c>
      <c r="E277" s="180" t="s">
        <v>2</v>
      </c>
      <c r="F277" s="181" t="s">
        <v>242</v>
      </c>
      <c r="G277" s="182" t="s">
        <v>243</v>
      </c>
      <c r="H277" s="175" t="s">
        <v>165</v>
      </c>
      <c r="I277" s="175" t="s">
        <v>165</v>
      </c>
      <c r="J277" s="175" t="s">
        <v>165</v>
      </c>
      <c r="K277" s="175">
        <v>11.74</v>
      </c>
      <c r="L277" s="175" t="s">
        <v>244</v>
      </c>
      <c r="M277" s="175" t="s">
        <v>245</v>
      </c>
      <c r="N277" s="175">
        <v>63.9</v>
      </c>
      <c r="O277" s="175" t="s">
        <v>163</v>
      </c>
      <c r="P277" s="175" t="s">
        <v>163</v>
      </c>
      <c r="Q277" s="175"/>
      <c r="R277" s="127">
        <f>IF(Table36[[#This Row],[ Bran Content]]="-","-",IF(G277&lt;0.02,1,0))</f>
        <v>0</v>
      </c>
      <c r="S277" s="127">
        <f>IF(Table36[[#This Row],[Sieve Test]]="-","-",IF(Table36[[#This Row],[Sieve Test]]="P",1,0))</f>
        <v>1</v>
      </c>
      <c r="T277" s="127">
        <f>IF(Table36[[#This Row],[Odor]]="-","-",IF(Table36[[#This Row],[Odor]]="P",1,0))</f>
        <v>1</v>
      </c>
      <c r="U277" s="127">
        <f>IF(INDEX(MCmin,MATCH(Table36[[#This Row],[Grist]],SMI,0))="-","-",IF(Table36[[#This Row],[F1 %MC]]="-","-",IF(Table36[[#This Row],[F1 %MC]]&lt;INDEX(MCmin,MATCH(Table36[[#This Row],[Grist]],SMI,0)),0,IF(Table36[[#This Row],[F1 %MC]]&gt;INDEX(MCmax,MATCH(Table36[[#This Row],[Grist]],SMI,0)),0,1))))</f>
        <v>0</v>
      </c>
      <c r="V277" s="127">
        <f>IF(INDEX(Protmin,MATCH(Table36[[#This Row],[Grist]],SMI,0))="-","-",IF(Table36[[#This Row],[%Protein]]="-","-",IF(Table36[[#This Row],[%Protein]]&lt;INDEX(Protmin,MATCH(Table36[[#This Row],[Grist]],SMI,0)),0,IF(Table36[[#This Row],[%Protein]]&gt;INDEX(Protmax,MATCH(Table36[[#This Row],[Grist]],SMI,0)),0,1))))</f>
        <v>0</v>
      </c>
      <c r="W277" s="127">
        <f>IF(INDEX(Ashmin,MATCH(Table36[[#This Row],[Grist]],SMI,0))="-","-",IF(Table36[[#This Row],[%Ash]]="-","-",IF(Table36[[#This Row],[%Ash]]&lt;INDEX(Ashmin,MATCH(Table36[[#This Row],[Grist]],SMI,0)),0,IF(Table36[[#This Row],[%Ash]]&gt;INDEX(Ashmax,MATCH(Table36[[#This Row],[Grist]],SMI,0)),0,1))))</f>
        <v>0</v>
      </c>
      <c r="X277" s="127">
        <f>IF(INDEX(Absmin,MATCH(Table36[[#This Row],[Grist]],SMI,0))="-","-",IF(Table36[[#This Row],[%Absorption]]="-","-",IF(Table36[[#This Row],[%Absorption]]&lt;INDEX(Absmin,MATCH(Table36[[#This Row],[Grist]],SMI,0)),0,IF(Table36[[#This Row],[%Absorption]]&gt;INDEX(Absmax,MATCH(Table36[[#This Row],[Grist]],SMI,0)),0,1))))</f>
        <v>1</v>
      </c>
      <c r="Y277" s="127" t="str">
        <f>IF(INDEX(Extmin,MATCH(Table36[[#This Row],[Grist]],SMI,0))="-","-",IF(Table36[[#This Row],[%Extensibility]]="-","-",IF(Table36[[#This Row],[%Extensibility]]&lt;INDEX(Extmin,MATCH(Table36[[#This Row],[Grist]],SMI,0)),0,IF(Table36[[#This Row],[%Extensibility]]&gt;INDEX(Extmax,MATCH(Table36[[#This Row],[Grist]],SMI,0)),0,1))))</f>
        <v>-</v>
      </c>
      <c r="Z277" s="127" t="str">
        <f>IF(INDEX(Resmin,MATCH(Table36[[#This Row],[Grist]],SMI,0))="-","-",IF(Table36[[#This Row],[Resistance, max]]="-","-",IF(Table36[[#This Row],[Resistance, max]]&lt;INDEX(Resmin,MATCH(Table36[[#This Row],[Grist]],SMI,0)),0,IF(Table36[[#This Row],[Resistance, max]]&gt;INDEX(Resmax,MATCH(Table36[[#This Row],[Grist]],SMI,0)),0,1))))</f>
        <v>-</v>
      </c>
      <c r="AA277" s="127">
        <f>IF(INDEX(WGmin,MATCH(Table36[[#This Row],[Grist]],SMI,0))="-","-",IF(Table36[[#This Row],[%Wet Gluten]]="-","-",IF(Table36[[#This Row],[%Wet Gluten]]&lt;INDEX(WGmin,MATCH(Table36[[#This Row],[Grist]],SMI,0)),0,IF(Table36[[#This Row],[%Wet Gluten]]&gt;INDEX(WGmax,MATCH(Table36[[#This Row],[Grist]],SMI,0)),0,1))))</f>
        <v>0</v>
      </c>
      <c r="AB277" s="127">
        <f>SUM(Table36[[#This Row],[ QI Bran Content]:[QI WG]])</f>
        <v>3</v>
      </c>
      <c r="AC277" s="127">
        <f>COUNT(Table36[[#This Row],[ QI Bran Content]:[QI WG]])</f>
        <v>8</v>
      </c>
    </row>
    <row r="278" spans="1:29" x14ac:dyDescent="0.35">
      <c r="A278" s="177">
        <v>45328</v>
      </c>
      <c r="B278" s="178">
        <v>45324</v>
      </c>
      <c r="C278" s="178" t="s">
        <v>128</v>
      </c>
      <c r="D278" s="179">
        <v>0.70833333333333304</v>
      </c>
      <c r="E278" s="180" t="s">
        <v>2</v>
      </c>
      <c r="F278" s="181" t="s">
        <v>242</v>
      </c>
      <c r="G278" s="182" t="s">
        <v>246</v>
      </c>
      <c r="H278" s="175" t="s">
        <v>165</v>
      </c>
      <c r="I278" s="175" t="s">
        <v>165</v>
      </c>
      <c r="J278" s="175" t="s">
        <v>165</v>
      </c>
      <c r="K278" s="175">
        <v>12.04</v>
      </c>
      <c r="L278" s="175" t="s">
        <v>244</v>
      </c>
      <c r="M278" s="175" t="s">
        <v>245</v>
      </c>
      <c r="N278" s="175">
        <v>63.9</v>
      </c>
      <c r="O278" s="175" t="s">
        <v>163</v>
      </c>
      <c r="P278" s="175" t="s">
        <v>163</v>
      </c>
      <c r="Q278" s="175"/>
      <c r="R278" s="127">
        <f>IF(Table36[[#This Row],[ Bran Content]]="-","-",IF(G278&lt;0.02,1,0))</f>
        <v>0</v>
      </c>
      <c r="S278" s="127">
        <f>IF(Table36[[#This Row],[Sieve Test]]="-","-",IF(Table36[[#This Row],[Sieve Test]]="P",1,0))</f>
        <v>1</v>
      </c>
      <c r="T278" s="127">
        <f>IF(Table36[[#This Row],[Odor]]="-","-",IF(Table36[[#This Row],[Odor]]="P",1,0))</f>
        <v>1</v>
      </c>
      <c r="U278" s="127">
        <f>IF(INDEX(MCmin,MATCH(Table36[[#This Row],[Grist]],SMI,0))="-","-",IF(Table36[[#This Row],[F1 %MC]]="-","-",IF(Table36[[#This Row],[F1 %MC]]&lt;INDEX(MCmin,MATCH(Table36[[#This Row],[Grist]],SMI,0)),0,IF(Table36[[#This Row],[F1 %MC]]&gt;INDEX(MCmax,MATCH(Table36[[#This Row],[Grist]],SMI,0)),0,1))))</f>
        <v>1</v>
      </c>
      <c r="V278" s="127">
        <f>IF(INDEX(Protmin,MATCH(Table36[[#This Row],[Grist]],SMI,0))="-","-",IF(Table36[[#This Row],[%Protein]]="-","-",IF(Table36[[#This Row],[%Protein]]&lt;INDEX(Protmin,MATCH(Table36[[#This Row],[Grist]],SMI,0)),0,IF(Table36[[#This Row],[%Protein]]&gt;INDEX(Protmax,MATCH(Table36[[#This Row],[Grist]],SMI,0)),0,1))))</f>
        <v>0</v>
      </c>
      <c r="W278" s="127">
        <f>IF(INDEX(Ashmin,MATCH(Table36[[#This Row],[Grist]],SMI,0))="-","-",IF(Table36[[#This Row],[%Ash]]="-","-",IF(Table36[[#This Row],[%Ash]]&lt;INDEX(Ashmin,MATCH(Table36[[#This Row],[Grist]],SMI,0)),0,IF(Table36[[#This Row],[%Ash]]&gt;INDEX(Ashmax,MATCH(Table36[[#This Row],[Grist]],SMI,0)),0,1))))</f>
        <v>0</v>
      </c>
      <c r="X278" s="127">
        <f>IF(INDEX(Absmin,MATCH(Table36[[#This Row],[Grist]],SMI,0))="-","-",IF(Table36[[#This Row],[%Absorption]]="-","-",IF(Table36[[#This Row],[%Absorption]]&lt;INDEX(Absmin,MATCH(Table36[[#This Row],[Grist]],SMI,0)),0,IF(Table36[[#This Row],[%Absorption]]&gt;INDEX(Absmax,MATCH(Table36[[#This Row],[Grist]],SMI,0)),0,1))))</f>
        <v>1</v>
      </c>
      <c r="Y278" s="127" t="str">
        <f>IF(INDEX(Extmin,MATCH(Table36[[#This Row],[Grist]],SMI,0))="-","-",IF(Table36[[#This Row],[%Extensibility]]="-","-",IF(Table36[[#This Row],[%Extensibility]]&lt;INDEX(Extmin,MATCH(Table36[[#This Row],[Grist]],SMI,0)),0,IF(Table36[[#This Row],[%Extensibility]]&gt;INDEX(Extmax,MATCH(Table36[[#This Row],[Grist]],SMI,0)),0,1))))</f>
        <v>-</v>
      </c>
      <c r="Z278" s="127" t="str">
        <f>IF(INDEX(Resmin,MATCH(Table36[[#This Row],[Grist]],SMI,0))="-","-",IF(Table36[[#This Row],[Resistance, max]]="-","-",IF(Table36[[#This Row],[Resistance, max]]&lt;INDEX(Resmin,MATCH(Table36[[#This Row],[Grist]],SMI,0)),0,IF(Table36[[#This Row],[Resistance, max]]&gt;INDEX(Resmax,MATCH(Table36[[#This Row],[Grist]],SMI,0)),0,1))))</f>
        <v>-</v>
      </c>
      <c r="AA278" s="127">
        <f>IF(INDEX(WGmin,MATCH(Table36[[#This Row],[Grist]],SMI,0))="-","-",IF(Table36[[#This Row],[%Wet Gluten]]="-","-",IF(Table36[[#This Row],[%Wet Gluten]]&lt;INDEX(WGmin,MATCH(Table36[[#This Row],[Grist]],SMI,0)),0,IF(Table36[[#This Row],[%Wet Gluten]]&gt;INDEX(WGmax,MATCH(Table36[[#This Row],[Grist]],SMI,0)),0,1))))</f>
        <v>0</v>
      </c>
      <c r="AB278" s="127">
        <f>SUM(Table36[[#This Row],[ QI Bran Content]:[QI WG]])</f>
        <v>4</v>
      </c>
      <c r="AC278" s="127">
        <f>COUNT(Table36[[#This Row],[ QI Bran Content]:[QI WG]])</f>
        <v>8</v>
      </c>
    </row>
    <row r="279" spans="1:29" x14ac:dyDescent="0.35">
      <c r="A279" s="177">
        <v>45328</v>
      </c>
      <c r="B279" s="178">
        <v>45324</v>
      </c>
      <c r="C279" s="178" t="s">
        <v>128</v>
      </c>
      <c r="D279" s="179">
        <v>0.79166666666666596</v>
      </c>
      <c r="E279" s="180" t="s">
        <v>2</v>
      </c>
      <c r="F279" s="181" t="s">
        <v>242</v>
      </c>
      <c r="G279" s="182" t="s">
        <v>247</v>
      </c>
      <c r="H279" s="175" t="s">
        <v>165</v>
      </c>
      <c r="I279" s="175" t="s">
        <v>165</v>
      </c>
      <c r="J279" s="175" t="s">
        <v>165</v>
      </c>
      <c r="K279" s="175">
        <v>12.15</v>
      </c>
      <c r="L279" s="175" t="s">
        <v>244</v>
      </c>
      <c r="M279" s="175" t="s">
        <v>245</v>
      </c>
      <c r="N279" s="175">
        <v>63.9</v>
      </c>
      <c r="O279" s="175" t="s">
        <v>163</v>
      </c>
      <c r="P279" s="175" t="s">
        <v>163</v>
      </c>
      <c r="Q279" s="175"/>
      <c r="R279" s="127">
        <f>IF(Table36[[#This Row],[ Bran Content]]="-","-",IF(G279&lt;0.02,1,0))</f>
        <v>0</v>
      </c>
      <c r="S279" s="127">
        <f>IF(Table36[[#This Row],[Sieve Test]]="-","-",IF(Table36[[#This Row],[Sieve Test]]="P",1,0))</f>
        <v>1</v>
      </c>
      <c r="T279" s="127">
        <f>IF(Table36[[#This Row],[Odor]]="-","-",IF(Table36[[#This Row],[Odor]]="P",1,0))</f>
        <v>1</v>
      </c>
      <c r="U279" s="127">
        <f>IF(INDEX(MCmin,MATCH(Table36[[#This Row],[Grist]],SMI,0))="-","-",IF(Table36[[#This Row],[F1 %MC]]="-","-",IF(Table36[[#This Row],[F1 %MC]]&lt;INDEX(MCmin,MATCH(Table36[[#This Row],[Grist]],SMI,0)),0,IF(Table36[[#This Row],[F1 %MC]]&gt;INDEX(MCmax,MATCH(Table36[[#This Row],[Grist]],SMI,0)),0,1))))</f>
        <v>1</v>
      </c>
      <c r="V279" s="127">
        <f>IF(INDEX(Protmin,MATCH(Table36[[#This Row],[Grist]],SMI,0))="-","-",IF(Table36[[#This Row],[%Protein]]="-","-",IF(Table36[[#This Row],[%Protein]]&lt;INDEX(Protmin,MATCH(Table36[[#This Row],[Grist]],SMI,0)),0,IF(Table36[[#This Row],[%Protein]]&gt;INDEX(Protmax,MATCH(Table36[[#This Row],[Grist]],SMI,0)),0,1))))</f>
        <v>0</v>
      </c>
      <c r="W279" s="127">
        <f>IF(INDEX(Ashmin,MATCH(Table36[[#This Row],[Grist]],SMI,0))="-","-",IF(Table36[[#This Row],[%Ash]]="-","-",IF(Table36[[#This Row],[%Ash]]&lt;INDEX(Ashmin,MATCH(Table36[[#This Row],[Grist]],SMI,0)),0,IF(Table36[[#This Row],[%Ash]]&gt;INDEX(Ashmax,MATCH(Table36[[#This Row],[Grist]],SMI,0)),0,1))))</f>
        <v>0</v>
      </c>
      <c r="X279" s="127">
        <f>IF(INDEX(Absmin,MATCH(Table36[[#This Row],[Grist]],SMI,0))="-","-",IF(Table36[[#This Row],[%Absorption]]="-","-",IF(Table36[[#This Row],[%Absorption]]&lt;INDEX(Absmin,MATCH(Table36[[#This Row],[Grist]],SMI,0)),0,IF(Table36[[#This Row],[%Absorption]]&gt;INDEX(Absmax,MATCH(Table36[[#This Row],[Grist]],SMI,0)),0,1))))</f>
        <v>1</v>
      </c>
      <c r="Y279" s="127" t="str">
        <f>IF(INDEX(Extmin,MATCH(Table36[[#This Row],[Grist]],SMI,0))="-","-",IF(Table36[[#This Row],[%Extensibility]]="-","-",IF(Table36[[#This Row],[%Extensibility]]&lt;INDEX(Extmin,MATCH(Table36[[#This Row],[Grist]],SMI,0)),0,IF(Table36[[#This Row],[%Extensibility]]&gt;INDEX(Extmax,MATCH(Table36[[#This Row],[Grist]],SMI,0)),0,1))))</f>
        <v>-</v>
      </c>
      <c r="Z279" s="127" t="str">
        <f>IF(INDEX(Resmin,MATCH(Table36[[#This Row],[Grist]],SMI,0))="-","-",IF(Table36[[#This Row],[Resistance, max]]="-","-",IF(Table36[[#This Row],[Resistance, max]]&lt;INDEX(Resmin,MATCH(Table36[[#This Row],[Grist]],SMI,0)),0,IF(Table36[[#This Row],[Resistance, max]]&gt;INDEX(Resmax,MATCH(Table36[[#This Row],[Grist]],SMI,0)),0,1))))</f>
        <v>-</v>
      </c>
      <c r="AA279" s="127">
        <f>IF(INDEX(WGmin,MATCH(Table36[[#This Row],[Grist]],SMI,0))="-","-",IF(Table36[[#This Row],[%Wet Gluten]]="-","-",IF(Table36[[#This Row],[%Wet Gluten]]&lt;INDEX(WGmin,MATCH(Table36[[#This Row],[Grist]],SMI,0)),0,IF(Table36[[#This Row],[%Wet Gluten]]&gt;INDEX(WGmax,MATCH(Table36[[#This Row],[Grist]],SMI,0)),0,1))))</f>
        <v>0</v>
      </c>
      <c r="AB279" s="127">
        <f>SUM(Table36[[#This Row],[ QI Bran Content]:[QI WG]])</f>
        <v>4</v>
      </c>
      <c r="AC279" s="127">
        <f>COUNT(Table36[[#This Row],[ QI Bran Content]:[QI WG]])</f>
        <v>8</v>
      </c>
    </row>
    <row r="280" spans="1:29" x14ac:dyDescent="0.35">
      <c r="A280" s="177">
        <v>45328</v>
      </c>
      <c r="B280" s="178">
        <v>45324</v>
      </c>
      <c r="C280" s="178" t="s">
        <v>128</v>
      </c>
      <c r="D280" s="179">
        <v>0.874999999999999</v>
      </c>
      <c r="E280" s="180" t="s">
        <v>2</v>
      </c>
      <c r="F280" s="181" t="s">
        <v>242</v>
      </c>
      <c r="G280" s="182" t="s">
        <v>243</v>
      </c>
      <c r="H280" s="175" t="s">
        <v>165</v>
      </c>
      <c r="I280" s="175" t="s">
        <v>165</v>
      </c>
      <c r="J280" s="175" t="s">
        <v>165</v>
      </c>
      <c r="K280" s="175">
        <v>12.35</v>
      </c>
      <c r="L280" s="175" t="s">
        <v>244</v>
      </c>
      <c r="M280" s="175" t="s">
        <v>245</v>
      </c>
      <c r="N280" s="175">
        <v>63.9</v>
      </c>
      <c r="O280" s="175" t="s">
        <v>163</v>
      </c>
      <c r="P280" s="175" t="s">
        <v>163</v>
      </c>
      <c r="Q280" s="175"/>
      <c r="R280" s="127">
        <f>IF(Table36[[#This Row],[ Bran Content]]="-","-",IF(G280&lt;0.02,1,0))</f>
        <v>0</v>
      </c>
      <c r="S280" s="127">
        <f>IF(Table36[[#This Row],[Sieve Test]]="-","-",IF(Table36[[#This Row],[Sieve Test]]="P",1,0))</f>
        <v>1</v>
      </c>
      <c r="T280" s="127">
        <f>IF(Table36[[#This Row],[Odor]]="-","-",IF(Table36[[#This Row],[Odor]]="P",1,0))</f>
        <v>1</v>
      </c>
      <c r="U280" s="127">
        <f>IF(INDEX(MCmin,MATCH(Table36[[#This Row],[Grist]],SMI,0))="-","-",IF(Table36[[#This Row],[F1 %MC]]="-","-",IF(Table36[[#This Row],[F1 %MC]]&lt;INDEX(MCmin,MATCH(Table36[[#This Row],[Grist]],SMI,0)),0,IF(Table36[[#This Row],[F1 %MC]]&gt;INDEX(MCmax,MATCH(Table36[[#This Row],[Grist]],SMI,0)),0,1))))</f>
        <v>1</v>
      </c>
      <c r="V280" s="127">
        <f>IF(INDEX(Protmin,MATCH(Table36[[#This Row],[Grist]],SMI,0))="-","-",IF(Table36[[#This Row],[%Protein]]="-","-",IF(Table36[[#This Row],[%Protein]]&lt;INDEX(Protmin,MATCH(Table36[[#This Row],[Grist]],SMI,0)),0,IF(Table36[[#This Row],[%Protein]]&gt;INDEX(Protmax,MATCH(Table36[[#This Row],[Grist]],SMI,0)),0,1))))</f>
        <v>0</v>
      </c>
      <c r="W280" s="127">
        <f>IF(INDEX(Ashmin,MATCH(Table36[[#This Row],[Grist]],SMI,0))="-","-",IF(Table36[[#This Row],[%Ash]]="-","-",IF(Table36[[#This Row],[%Ash]]&lt;INDEX(Ashmin,MATCH(Table36[[#This Row],[Grist]],SMI,0)),0,IF(Table36[[#This Row],[%Ash]]&gt;INDEX(Ashmax,MATCH(Table36[[#This Row],[Grist]],SMI,0)),0,1))))</f>
        <v>0</v>
      </c>
      <c r="X280" s="127">
        <f>IF(INDEX(Absmin,MATCH(Table36[[#This Row],[Grist]],SMI,0))="-","-",IF(Table36[[#This Row],[%Absorption]]="-","-",IF(Table36[[#This Row],[%Absorption]]&lt;INDEX(Absmin,MATCH(Table36[[#This Row],[Grist]],SMI,0)),0,IF(Table36[[#This Row],[%Absorption]]&gt;INDEX(Absmax,MATCH(Table36[[#This Row],[Grist]],SMI,0)),0,1))))</f>
        <v>1</v>
      </c>
      <c r="Y280" s="127" t="str">
        <f>IF(INDEX(Extmin,MATCH(Table36[[#This Row],[Grist]],SMI,0))="-","-",IF(Table36[[#This Row],[%Extensibility]]="-","-",IF(Table36[[#This Row],[%Extensibility]]&lt;INDEX(Extmin,MATCH(Table36[[#This Row],[Grist]],SMI,0)),0,IF(Table36[[#This Row],[%Extensibility]]&gt;INDEX(Extmax,MATCH(Table36[[#This Row],[Grist]],SMI,0)),0,1))))</f>
        <v>-</v>
      </c>
      <c r="Z280" s="127" t="str">
        <f>IF(INDEX(Resmin,MATCH(Table36[[#This Row],[Grist]],SMI,0))="-","-",IF(Table36[[#This Row],[Resistance, max]]="-","-",IF(Table36[[#This Row],[Resistance, max]]&lt;INDEX(Resmin,MATCH(Table36[[#This Row],[Grist]],SMI,0)),0,IF(Table36[[#This Row],[Resistance, max]]&gt;INDEX(Resmax,MATCH(Table36[[#This Row],[Grist]],SMI,0)),0,1))))</f>
        <v>-</v>
      </c>
      <c r="AA280" s="127">
        <f>IF(INDEX(WGmin,MATCH(Table36[[#This Row],[Grist]],SMI,0))="-","-",IF(Table36[[#This Row],[%Wet Gluten]]="-","-",IF(Table36[[#This Row],[%Wet Gluten]]&lt;INDEX(WGmin,MATCH(Table36[[#This Row],[Grist]],SMI,0)),0,IF(Table36[[#This Row],[%Wet Gluten]]&gt;INDEX(WGmax,MATCH(Table36[[#This Row],[Grist]],SMI,0)),0,1))))</f>
        <v>0</v>
      </c>
      <c r="AB280" s="127">
        <f>SUM(Table36[[#This Row],[ QI Bran Content]:[QI WG]])</f>
        <v>4</v>
      </c>
      <c r="AC280" s="127">
        <f>COUNT(Table36[[#This Row],[ QI Bran Content]:[QI WG]])</f>
        <v>8</v>
      </c>
    </row>
    <row r="281" spans="1:29" x14ac:dyDescent="0.35">
      <c r="A281" s="177">
        <v>45328</v>
      </c>
      <c r="B281" s="178">
        <v>45328</v>
      </c>
      <c r="C281" s="178" t="s">
        <v>128</v>
      </c>
      <c r="D281" s="179">
        <v>0.70833333333333304</v>
      </c>
      <c r="E281" s="180" t="s">
        <v>0</v>
      </c>
      <c r="F281" s="181" t="s">
        <v>27</v>
      </c>
      <c r="G281" s="182">
        <v>4.8999999999999998E-3</v>
      </c>
      <c r="H281" s="175" t="s">
        <v>165</v>
      </c>
      <c r="I281" s="175" t="s">
        <v>165</v>
      </c>
      <c r="J281" s="175" t="s">
        <v>165</v>
      </c>
      <c r="K281" s="175">
        <v>12.09</v>
      </c>
      <c r="L281" s="175">
        <v>13.44</v>
      </c>
      <c r="M281" s="175">
        <v>0.54</v>
      </c>
      <c r="N281" s="175">
        <v>65.5</v>
      </c>
      <c r="O281" s="175" t="s">
        <v>163</v>
      </c>
      <c r="P281" s="175" t="s">
        <v>163</v>
      </c>
      <c r="Q281" s="175"/>
      <c r="R281" s="127">
        <f>IF(Table36[[#This Row],[ Bran Content]]="-","-",IF(G281&lt;0.02,1,0))</f>
        <v>1</v>
      </c>
      <c r="S281" s="127">
        <f>IF(Table36[[#This Row],[Sieve Test]]="-","-",IF(Table36[[#This Row],[Sieve Test]]="P",1,0))</f>
        <v>1</v>
      </c>
      <c r="T281" s="127">
        <f>IF(Table36[[#This Row],[Odor]]="-","-",IF(Table36[[#This Row],[Odor]]="P",1,0))</f>
        <v>1</v>
      </c>
      <c r="U281" s="127">
        <f>IF(INDEX(MCmin,MATCH(Table36[[#This Row],[Grist]],SMI,0))="-","-",IF(Table36[[#This Row],[F1 %MC]]="-","-",IF(Table36[[#This Row],[F1 %MC]]&lt;INDEX(MCmin,MATCH(Table36[[#This Row],[Grist]],SMI,0)),0,IF(Table36[[#This Row],[F1 %MC]]&gt;INDEX(MCmax,MATCH(Table36[[#This Row],[Grist]],SMI,0)),0,1))))</f>
        <v>1</v>
      </c>
      <c r="V281" s="127">
        <f>IF(INDEX(Protmin,MATCH(Table36[[#This Row],[Grist]],SMI,0))="-","-",IF(Table36[[#This Row],[%Protein]]="-","-",IF(Table36[[#This Row],[%Protein]]&lt;INDEX(Protmin,MATCH(Table36[[#This Row],[Grist]],SMI,0)),0,IF(Table36[[#This Row],[%Protein]]&gt;INDEX(Protmax,MATCH(Table36[[#This Row],[Grist]],SMI,0)),0,1))))</f>
        <v>1</v>
      </c>
      <c r="W281" s="127">
        <f>IF(INDEX(Ashmin,MATCH(Table36[[#This Row],[Grist]],SMI,0))="-","-",IF(Table36[[#This Row],[%Ash]]="-","-",IF(Table36[[#This Row],[%Ash]]&lt;INDEX(Ashmin,MATCH(Table36[[#This Row],[Grist]],SMI,0)),0,IF(Table36[[#This Row],[%Ash]]&gt;INDEX(Ashmax,MATCH(Table36[[#This Row],[Grist]],SMI,0)),0,1))))</f>
        <v>1</v>
      </c>
      <c r="X281" s="127">
        <f>IF(INDEX(Absmin,MATCH(Table36[[#This Row],[Grist]],SMI,0))="-","-",IF(Table36[[#This Row],[%Absorption]]="-","-",IF(Table36[[#This Row],[%Absorption]]&lt;INDEX(Absmin,MATCH(Table36[[#This Row],[Grist]],SMI,0)),0,IF(Table36[[#This Row],[%Absorption]]&gt;INDEX(Absmax,MATCH(Table36[[#This Row],[Grist]],SMI,0)),0,1))))</f>
        <v>1</v>
      </c>
      <c r="Y281" s="127" t="str">
        <f>IF(INDEX(Extmin,MATCH(Table36[[#This Row],[Grist]],SMI,0))="-","-",IF(Table36[[#This Row],[%Extensibility]]="-","-",IF(Table36[[#This Row],[%Extensibility]]&lt;INDEX(Extmin,MATCH(Table36[[#This Row],[Grist]],SMI,0)),0,IF(Table36[[#This Row],[%Extensibility]]&gt;INDEX(Extmax,MATCH(Table36[[#This Row],[Grist]],SMI,0)),0,1))))</f>
        <v>-</v>
      </c>
      <c r="Z281" s="127" t="str">
        <f>IF(INDEX(Resmin,MATCH(Table36[[#This Row],[Grist]],SMI,0))="-","-",IF(Table36[[#This Row],[Resistance, max]]="-","-",IF(Table36[[#This Row],[Resistance, max]]&lt;INDEX(Resmin,MATCH(Table36[[#This Row],[Grist]],SMI,0)),0,IF(Table36[[#This Row],[Resistance, max]]&gt;INDEX(Resmax,MATCH(Table36[[#This Row],[Grist]],SMI,0)),0,1))))</f>
        <v>-</v>
      </c>
      <c r="AA281" s="127">
        <f>IF(INDEX(WGmin,MATCH(Table36[[#This Row],[Grist]],SMI,0))="-","-",IF(Table36[[#This Row],[%Wet Gluten]]="-","-",IF(Table36[[#This Row],[%Wet Gluten]]&lt;INDEX(WGmin,MATCH(Table36[[#This Row],[Grist]],SMI,0)),0,IF(Table36[[#This Row],[%Wet Gluten]]&gt;INDEX(WGmax,MATCH(Table36[[#This Row],[Grist]],SMI,0)),0,1))))</f>
        <v>0</v>
      </c>
      <c r="AB281" s="127">
        <f>SUM(Table36[[#This Row],[ QI Bran Content]:[QI WG]])</f>
        <v>7</v>
      </c>
      <c r="AC281" s="127">
        <f>COUNT(Table36[[#This Row],[ QI Bran Content]:[QI WG]])</f>
        <v>8</v>
      </c>
    </row>
    <row r="282" spans="1:29" x14ac:dyDescent="0.35">
      <c r="A282" s="177">
        <v>45328</v>
      </c>
      <c r="B282" s="178">
        <v>45328</v>
      </c>
      <c r="C282" s="178" t="s">
        <v>128</v>
      </c>
      <c r="D282" s="179">
        <v>0.79166666666666596</v>
      </c>
      <c r="E282" s="180" t="s">
        <v>0</v>
      </c>
      <c r="F282" s="181" t="s">
        <v>27</v>
      </c>
      <c r="G282" s="182">
        <v>6.7000000000000002E-3</v>
      </c>
      <c r="H282" s="175" t="s">
        <v>165</v>
      </c>
      <c r="I282" s="175" t="s">
        <v>165</v>
      </c>
      <c r="J282" s="175" t="s">
        <v>165</v>
      </c>
      <c r="K282" s="175">
        <v>11.63</v>
      </c>
      <c r="L282" s="175">
        <v>13.44</v>
      </c>
      <c r="M282" s="175">
        <v>0.54</v>
      </c>
      <c r="N282" s="175">
        <v>65.5</v>
      </c>
      <c r="O282" s="175" t="s">
        <v>163</v>
      </c>
      <c r="P282" s="175" t="s">
        <v>163</v>
      </c>
      <c r="Q282" s="175"/>
      <c r="R282" s="127">
        <f>IF(Table36[[#This Row],[ Bran Content]]="-","-",IF(G282&lt;0.02,1,0))</f>
        <v>1</v>
      </c>
      <c r="S282" s="127">
        <f>IF(Table36[[#This Row],[Sieve Test]]="-","-",IF(Table36[[#This Row],[Sieve Test]]="P",1,0))</f>
        <v>1</v>
      </c>
      <c r="T282" s="127">
        <f>IF(Table36[[#This Row],[Odor]]="-","-",IF(Table36[[#This Row],[Odor]]="P",1,0))</f>
        <v>1</v>
      </c>
      <c r="U282" s="127">
        <f>IF(INDEX(MCmin,MATCH(Table36[[#This Row],[Grist]],SMI,0))="-","-",IF(Table36[[#This Row],[F1 %MC]]="-","-",IF(Table36[[#This Row],[F1 %MC]]&lt;INDEX(MCmin,MATCH(Table36[[#This Row],[Grist]],SMI,0)),0,IF(Table36[[#This Row],[F1 %MC]]&gt;INDEX(MCmax,MATCH(Table36[[#This Row],[Grist]],SMI,0)),0,1))))</f>
        <v>0</v>
      </c>
      <c r="V282" s="127">
        <f>IF(INDEX(Protmin,MATCH(Table36[[#This Row],[Grist]],SMI,0))="-","-",IF(Table36[[#This Row],[%Protein]]="-","-",IF(Table36[[#This Row],[%Protein]]&lt;INDEX(Protmin,MATCH(Table36[[#This Row],[Grist]],SMI,0)),0,IF(Table36[[#This Row],[%Protein]]&gt;INDEX(Protmax,MATCH(Table36[[#This Row],[Grist]],SMI,0)),0,1))))</f>
        <v>1</v>
      </c>
      <c r="W282" s="127">
        <f>IF(INDEX(Ashmin,MATCH(Table36[[#This Row],[Grist]],SMI,0))="-","-",IF(Table36[[#This Row],[%Ash]]="-","-",IF(Table36[[#This Row],[%Ash]]&lt;INDEX(Ashmin,MATCH(Table36[[#This Row],[Grist]],SMI,0)),0,IF(Table36[[#This Row],[%Ash]]&gt;INDEX(Ashmax,MATCH(Table36[[#This Row],[Grist]],SMI,0)),0,1))))</f>
        <v>1</v>
      </c>
      <c r="X282" s="127">
        <f>IF(INDEX(Absmin,MATCH(Table36[[#This Row],[Grist]],SMI,0))="-","-",IF(Table36[[#This Row],[%Absorption]]="-","-",IF(Table36[[#This Row],[%Absorption]]&lt;INDEX(Absmin,MATCH(Table36[[#This Row],[Grist]],SMI,0)),0,IF(Table36[[#This Row],[%Absorption]]&gt;INDEX(Absmax,MATCH(Table36[[#This Row],[Grist]],SMI,0)),0,1))))</f>
        <v>1</v>
      </c>
      <c r="Y282" s="127" t="str">
        <f>IF(INDEX(Extmin,MATCH(Table36[[#This Row],[Grist]],SMI,0))="-","-",IF(Table36[[#This Row],[%Extensibility]]="-","-",IF(Table36[[#This Row],[%Extensibility]]&lt;INDEX(Extmin,MATCH(Table36[[#This Row],[Grist]],SMI,0)),0,IF(Table36[[#This Row],[%Extensibility]]&gt;INDEX(Extmax,MATCH(Table36[[#This Row],[Grist]],SMI,0)),0,1))))</f>
        <v>-</v>
      </c>
      <c r="Z282" s="127" t="str">
        <f>IF(INDEX(Resmin,MATCH(Table36[[#This Row],[Grist]],SMI,0))="-","-",IF(Table36[[#This Row],[Resistance, max]]="-","-",IF(Table36[[#This Row],[Resistance, max]]&lt;INDEX(Resmin,MATCH(Table36[[#This Row],[Grist]],SMI,0)),0,IF(Table36[[#This Row],[Resistance, max]]&gt;INDEX(Resmax,MATCH(Table36[[#This Row],[Grist]],SMI,0)),0,1))))</f>
        <v>-</v>
      </c>
      <c r="AA282" s="127">
        <f>IF(INDEX(WGmin,MATCH(Table36[[#This Row],[Grist]],SMI,0))="-","-",IF(Table36[[#This Row],[%Wet Gluten]]="-","-",IF(Table36[[#This Row],[%Wet Gluten]]&lt;INDEX(WGmin,MATCH(Table36[[#This Row],[Grist]],SMI,0)),0,IF(Table36[[#This Row],[%Wet Gluten]]&gt;INDEX(WGmax,MATCH(Table36[[#This Row],[Grist]],SMI,0)),0,1))))</f>
        <v>0</v>
      </c>
      <c r="AB282" s="127">
        <f>SUM(Table36[[#This Row],[ QI Bran Content]:[QI WG]])</f>
        <v>6</v>
      </c>
      <c r="AC282" s="127">
        <f>COUNT(Table36[[#This Row],[ QI Bran Content]:[QI WG]])</f>
        <v>8</v>
      </c>
    </row>
    <row r="283" spans="1:29" x14ac:dyDescent="0.35">
      <c r="A283" s="177">
        <v>45328</v>
      </c>
      <c r="B283" s="178">
        <v>45328</v>
      </c>
      <c r="C283" s="178" t="s">
        <v>128</v>
      </c>
      <c r="D283" s="179">
        <v>0.874999999999999</v>
      </c>
      <c r="E283" s="180" t="s">
        <v>0</v>
      </c>
      <c r="F283" s="181" t="s">
        <v>27</v>
      </c>
      <c r="G283" s="182">
        <v>1.2500000000000001E-2</v>
      </c>
      <c r="H283" s="175" t="s">
        <v>165</v>
      </c>
      <c r="I283" s="175" t="s">
        <v>165</v>
      </c>
      <c r="J283" s="175" t="s">
        <v>165</v>
      </c>
      <c r="K283" s="175">
        <v>12.25</v>
      </c>
      <c r="L283" s="175">
        <v>13.44</v>
      </c>
      <c r="M283" s="175">
        <v>0.54</v>
      </c>
      <c r="N283" s="175">
        <v>65.5</v>
      </c>
      <c r="O283" s="175" t="s">
        <v>163</v>
      </c>
      <c r="P283" s="175" t="s">
        <v>163</v>
      </c>
      <c r="Q283" s="175"/>
      <c r="R283" s="127">
        <f>IF(Table36[[#This Row],[ Bran Content]]="-","-",IF(G283&lt;0.02,1,0))</f>
        <v>1</v>
      </c>
      <c r="S283" s="127">
        <f>IF(Table36[[#This Row],[Sieve Test]]="-","-",IF(Table36[[#This Row],[Sieve Test]]="P",1,0))</f>
        <v>1</v>
      </c>
      <c r="T283" s="127">
        <f>IF(Table36[[#This Row],[Odor]]="-","-",IF(Table36[[#This Row],[Odor]]="P",1,0))</f>
        <v>1</v>
      </c>
      <c r="U283" s="127">
        <f>IF(INDEX(MCmin,MATCH(Table36[[#This Row],[Grist]],SMI,0))="-","-",IF(Table36[[#This Row],[F1 %MC]]="-","-",IF(Table36[[#This Row],[F1 %MC]]&lt;INDEX(MCmin,MATCH(Table36[[#This Row],[Grist]],SMI,0)),0,IF(Table36[[#This Row],[F1 %MC]]&gt;INDEX(MCmax,MATCH(Table36[[#This Row],[Grist]],SMI,0)),0,1))))</f>
        <v>1</v>
      </c>
      <c r="V283" s="127">
        <f>IF(INDEX(Protmin,MATCH(Table36[[#This Row],[Grist]],SMI,0))="-","-",IF(Table36[[#This Row],[%Protein]]="-","-",IF(Table36[[#This Row],[%Protein]]&lt;INDEX(Protmin,MATCH(Table36[[#This Row],[Grist]],SMI,0)),0,IF(Table36[[#This Row],[%Protein]]&gt;INDEX(Protmax,MATCH(Table36[[#This Row],[Grist]],SMI,0)),0,1))))</f>
        <v>1</v>
      </c>
      <c r="W283" s="127">
        <f>IF(INDEX(Ashmin,MATCH(Table36[[#This Row],[Grist]],SMI,0))="-","-",IF(Table36[[#This Row],[%Ash]]="-","-",IF(Table36[[#This Row],[%Ash]]&lt;INDEX(Ashmin,MATCH(Table36[[#This Row],[Grist]],SMI,0)),0,IF(Table36[[#This Row],[%Ash]]&gt;INDEX(Ashmax,MATCH(Table36[[#This Row],[Grist]],SMI,0)),0,1))))</f>
        <v>1</v>
      </c>
      <c r="X283" s="127">
        <f>IF(INDEX(Absmin,MATCH(Table36[[#This Row],[Grist]],SMI,0))="-","-",IF(Table36[[#This Row],[%Absorption]]="-","-",IF(Table36[[#This Row],[%Absorption]]&lt;INDEX(Absmin,MATCH(Table36[[#This Row],[Grist]],SMI,0)),0,IF(Table36[[#This Row],[%Absorption]]&gt;INDEX(Absmax,MATCH(Table36[[#This Row],[Grist]],SMI,0)),0,1))))</f>
        <v>1</v>
      </c>
      <c r="Y283" s="127" t="str">
        <f>IF(INDEX(Extmin,MATCH(Table36[[#This Row],[Grist]],SMI,0))="-","-",IF(Table36[[#This Row],[%Extensibility]]="-","-",IF(Table36[[#This Row],[%Extensibility]]&lt;INDEX(Extmin,MATCH(Table36[[#This Row],[Grist]],SMI,0)),0,IF(Table36[[#This Row],[%Extensibility]]&gt;INDEX(Extmax,MATCH(Table36[[#This Row],[Grist]],SMI,0)),0,1))))</f>
        <v>-</v>
      </c>
      <c r="Z283" s="127" t="str">
        <f>IF(INDEX(Resmin,MATCH(Table36[[#This Row],[Grist]],SMI,0))="-","-",IF(Table36[[#This Row],[Resistance, max]]="-","-",IF(Table36[[#This Row],[Resistance, max]]&lt;INDEX(Resmin,MATCH(Table36[[#This Row],[Grist]],SMI,0)),0,IF(Table36[[#This Row],[Resistance, max]]&gt;INDEX(Resmax,MATCH(Table36[[#This Row],[Grist]],SMI,0)),0,1))))</f>
        <v>-</v>
      </c>
      <c r="AA283" s="127">
        <f>IF(INDEX(WGmin,MATCH(Table36[[#This Row],[Grist]],SMI,0))="-","-",IF(Table36[[#This Row],[%Wet Gluten]]="-","-",IF(Table36[[#This Row],[%Wet Gluten]]&lt;INDEX(WGmin,MATCH(Table36[[#This Row],[Grist]],SMI,0)),0,IF(Table36[[#This Row],[%Wet Gluten]]&gt;INDEX(WGmax,MATCH(Table36[[#This Row],[Grist]],SMI,0)),0,1))))</f>
        <v>0</v>
      </c>
      <c r="AB283" s="127">
        <f>SUM(Table36[[#This Row],[ QI Bran Content]:[QI WG]])</f>
        <v>7</v>
      </c>
      <c r="AC283" s="127">
        <f>COUNT(Table36[[#This Row],[ QI Bran Content]:[QI WG]])</f>
        <v>8</v>
      </c>
    </row>
    <row r="284" spans="1:29" x14ac:dyDescent="0.35">
      <c r="A284" s="177">
        <v>45328</v>
      </c>
      <c r="B284" s="178">
        <v>45328</v>
      </c>
      <c r="C284" s="178" t="s">
        <v>130</v>
      </c>
      <c r="D284" s="179">
        <v>0.95833333333333337</v>
      </c>
      <c r="E284" s="180" t="s">
        <v>0</v>
      </c>
      <c r="F284" s="181" t="s">
        <v>27</v>
      </c>
      <c r="G284" s="182">
        <v>7.4999999999999997E-3</v>
      </c>
      <c r="H284" s="175" t="s">
        <v>165</v>
      </c>
      <c r="I284" s="175" t="s">
        <v>165</v>
      </c>
      <c r="J284" s="175" t="s">
        <v>165</v>
      </c>
      <c r="K284" s="175">
        <v>12.25</v>
      </c>
      <c r="L284" s="175">
        <v>13.11</v>
      </c>
      <c r="M284" s="175">
        <v>0.54</v>
      </c>
      <c r="N284" s="175">
        <v>65.400000000000006</v>
      </c>
      <c r="O284" s="175" t="s">
        <v>163</v>
      </c>
      <c r="P284" s="175" t="s">
        <v>163</v>
      </c>
      <c r="Q284" s="175"/>
      <c r="R284" s="127">
        <f>IF(Table36[[#This Row],[ Bran Content]]="-","-",IF(G284&lt;0.02,1,0))</f>
        <v>1</v>
      </c>
      <c r="S284" s="127">
        <f>IF(Table36[[#This Row],[Sieve Test]]="-","-",IF(Table36[[#This Row],[Sieve Test]]="P",1,0))</f>
        <v>1</v>
      </c>
      <c r="T284" s="127">
        <f>IF(Table36[[#This Row],[Odor]]="-","-",IF(Table36[[#This Row],[Odor]]="P",1,0))</f>
        <v>1</v>
      </c>
      <c r="U284" s="127">
        <f>IF(INDEX(MCmin,MATCH(Table36[[#This Row],[Grist]],SMI,0))="-","-",IF(Table36[[#This Row],[F1 %MC]]="-","-",IF(Table36[[#This Row],[F1 %MC]]&lt;INDEX(MCmin,MATCH(Table36[[#This Row],[Grist]],SMI,0)),0,IF(Table36[[#This Row],[F1 %MC]]&gt;INDEX(MCmax,MATCH(Table36[[#This Row],[Grist]],SMI,0)),0,1))))</f>
        <v>1</v>
      </c>
      <c r="V284" s="127">
        <f>IF(INDEX(Protmin,MATCH(Table36[[#This Row],[Grist]],SMI,0))="-","-",IF(Table36[[#This Row],[%Protein]]="-","-",IF(Table36[[#This Row],[%Protein]]&lt;INDEX(Protmin,MATCH(Table36[[#This Row],[Grist]],SMI,0)),0,IF(Table36[[#This Row],[%Protein]]&gt;INDEX(Protmax,MATCH(Table36[[#This Row],[Grist]],SMI,0)),0,1))))</f>
        <v>1</v>
      </c>
      <c r="W284" s="127">
        <f>IF(INDEX(Ashmin,MATCH(Table36[[#This Row],[Grist]],SMI,0))="-","-",IF(Table36[[#This Row],[%Ash]]="-","-",IF(Table36[[#This Row],[%Ash]]&lt;INDEX(Ashmin,MATCH(Table36[[#This Row],[Grist]],SMI,0)),0,IF(Table36[[#This Row],[%Ash]]&gt;INDEX(Ashmax,MATCH(Table36[[#This Row],[Grist]],SMI,0)),0,1))))</f>
        <v>1</v>
      </c>
      <c r="X284" s="127">
        <f>IF(INDEX(Absmin,MATCH(Table36[[#This Row],[Grist]],SMI,0))="-","-",IF(Table36[[#This Row],[%Absorption]]="-","-",IF(Table36[[#This Row],[%Absorption]]&lt;INDEX(Absmin,MATCH(Table36[[#This Row],[Grist]],SMI,0)),0,IF(Table36[[#This Row],[%Absorption]]&gt;INDEX(Absmax,MATCH(Table36[[#This Row],[Grist]],SMI,0)),0,1))))</f>
        <v>1</v>
      </c>
      <c r="Y284" s="127" t="str">
        <f>IF(INDEX(Extmin,MATCH(Table36[[#This Row],[Grist]],SMI,0))="-","-",IF(Table36[[#This Row],[%Extensibility]]="-","-",IF(Table36[[#This Row],[%Extensibility]]&lt;INDEX(Extmin,MATCH(Table36[[#This Row],[Grist]],SMI,0)),0,IF(Table36[[#This Row],[%Extensibility]]&gt;INDEX(Extmax,MATCH(Table36[[#This Row],[Grist]],SMI,0)),0,1))))</f>
        <v>-</v>
      </c>
      <c r="Z284" s="127" t="str">
        <f>IF(INDEX(Resmin,MATCH(Table36[[#This Row],[Grist]],SMI,0))="-","-",IF(Table36[[#This Row],[Resistance, max]]="-","-",IF(Table36[[#This Row],[Resistance, max]]&lt;INDEX(Resmin,MATCH(Table36[[#This Row],[Grist]],SMI,0)),0,IF(Table36[[#This Row],[Resistance, max]]&gt;INDEX(Resmax,MATCH(Table36[[#This Row],[Grist]],SMI,0)),0,1))))</f>
        <v>-</v>
      </c>
      <c r="AA284" s="127">
        <f>IF(INDEX(WGmin,MATCH(Table36[[#This Row],[Grist]],SMI,0))="-","-",IF(Table36[[#This Row],[%Wet Gluten]]="-","-",IF(Table36[[#This Row],[%Wet Gluten]]&lt;INDEX(WGmin,MATCH(Table36[[#This Row],[Grist]],SMI,0)),0,IF(Table36[[#This Row],[%Wet Gluten]]&gt;INDEX(WGmax,MATCH(Table36[[#This Row],[Grist]],SMI,0)),0,1))))</f>
        <v>0</v>
      </c>
      <c r="AB284" s="127">
        <f>SUM(Table36[[#This Row],[ QI Bran Content]:[QI WG]])</f>
        <v>7</v>
      </c>
      <c r="AC284" s="127">
        <f>COUNT(Table36[[#This Row],[ QI Bran Content]:[QI WG]])</f>
        <v>8</v>
      </c>
    </row>
    <row r="285" spans="1:29" x14ac:dyDescent="0.35">
      <c r="A285" s="177">
        <v>45328</v>
      </c>
      <c r="B285" s="178">
        <v>45328</v>
      </c>
      <c r="C285" s="178" t="s">
        <v>130</v>
      </c>
      <c r="D285" s="179">
        <v>1.0416666666666701</v>
      </c>
      <c r="E285" s="180" t="s">
        <v>0</v>
      </c>
      <c r="F285" s="181" t="s">
        <v>27</v>
      </c>
      <c r="G285" s="182">
        <v>6.7000000000000002E-3</v>
      </c>
      <c r="H285" s="175" t="s">
        <v>165</v>
      </c>
      <c r="I285" s="175" t="s">
        <v>165</v>
      </c>
      <c r="J285" s="175" t="s">
        <v>165</v>
      </c>
      <c r="K285" s="175">
        <v>12.12</v>
      </c>
      <c r="L285" s="175">
        <v>13.11</v>
      </c>
      <c r="M285" s="175">
        <v>0.54</v>
      </c>
      <c r="N285" s="175">
        <v>65.400000000000006</v>
      </c>
      <c r="O285" s="175" t="s">
        <v>163</v>
      </c>
      <c r="P285" s="175" t="s">
        <v>163</v>
      </c>
      <c r="Q285" s="175"/>
      <c r="R285" s="127">
        <f>IF(Table36[[#This Row],[ Bran Content]]="-","-",IF(G285&lt;0.02,1,0))</f>
        <v>1</v>
      </c>
      <c r="S285" s="127">
        <f>IF(Table36[[#This Row],[Sieve Test]]="-","-",IF(Table36[[#This Row],[Sieve Test]]="P",1,0))</f>
        <v>1</v>
      </c>
      <c r="T285" s="127">
        <f>IF(Table36[[#This Row],[Odor]]="-","-",IF(Table36[[#This Row],[Odor]]="P",1,0))</f>
        <v>1</v>
      </c>
      <c r="U285" s="127">
        <f>IF(INDEX(MCmin,MATCH(Table36[[#This Row],[Grist]],SMI,0))="-","-",IF(Table36[[#This Row],[F1 %MC]]="-","-",IF(Table36[[#This Row],[F1 %MC]]&lt;INDEX(MCmin,MATCH(Table36[[#This Row],[Grist]],SMI,0)),0,IF(Table36[[#This Row],[F1 %MC]]&gt;INDEX(MCmax,MATCH(Table36[[#This Row],[Grist]],SMI,0)),0,1))))</f>
        <v>1</v>
      </c>
      <c r="V285" s="127">
        <f>IF(INDEX(Protmin,MATCH(Table36[[#This Row],[Grist]],SMI,0))="-","-",IF(Table36[[#This Row],[%Protein]]="-","-",IF(Table36[[#This Row],[%Protein]]&lt;INDEX(Protmin,MATCH(Table36[[#This Row],[Grist]],SMI,0)),0,IF(Table36[[#This Row],[%Protein]]&gt;INDEX(Protmax,MATCH(Table36[[#This Row],[Grist]],SMI,0)),0,1))))</f>
        <v>1</v>
      </c>
      <c r="W285" s="127">
        <f>IF(INDEX(Ashmin,MATCH(Table36[[#This Row],[Grist]],SMI,0))="-","-",IF(Table36[[#This Row],[%Ash]]="-","-",IF(Table36[[#This Row],[%Ash]]&lt;INDEX(Ashmin,MATCH(Table36[[#This Row],[Grist]],SMI,0)),0,IF(Table36[[#This Row],[%Ash]]&gt;INDEX(Ashmax,MATCH(Table36[[#This Row],[Grist]],SMI,0)),0,1))))</f>
        <v>1</v>
      </c>
      <c r="X285" s="127">
        <f>IF(INDEX(Absmin,MATCH(Table36[[#This Row],[Grist]],SMI,0))="-","-",IF(Table36[[#This Row],[%Absorption]]="-","-",IF(Table36[[#This Row],[%Absorption]]&lt;INDEX(Absmin,MATCH(Table36[[#This Row],[Grist]],SMI,0)),0,IF(Table36[[#This Row],[%Absorption]]&gt;INDEX(Absmax,MATCH(Table36[[#This Row],[Grist]],SMI,0)),0,1))))</f>
        <v>1</v>
      </c>
      <c r="Y285" s="127" t="str">
        <f>IF(INDEX(Extmin,MATCH(Table36[[#This Row],[Grist]],SMI,0))="-","-",IF(Table36[[#This Row],[%Extensibility]]="-","-",IF(Table36[[#This Row],[%Extensibility]]&lt;INDEX(Extmin,MATCH(Table36[[#This Row],[Grist]],SMI,0)),0,IF(Table36[[#This Row],[%Extensibility]]&gt;INDEX(Extmax,MATCH(Table36[[#This Row],[Grist]],SMI,0)),0,1))))</f>
        <v>-</v>
      </c>
      <c r="Z285" s="127" t="str">
        <f>IF(INDEX(Resmin,MATCH(Table36[[#This Row],[Grist]],SMI,0))="-","-",IF(Table36[[#This Row],[Resistance, max]]="-","-",IF(Table36[[#This Row],[Resistance, max]]&lt;INDEX(Resmin,MATCH(Table36[[#This Row],[Grist]],SMI,0)),0,IF(Table36[[#This Row],[Resistance, max]]&gt;INDEX(Resmax,MATCH(Table36[[#This Row],[Grist]],SMI,0)),0,1))))</f>
        <v>-</v>
      </c>
      <c r="AA285" s="127">
        <f>IF(INDEX(WGmin,MATCH(Table36[[#This Row],[Grist]],SMI,0))="-","-",IF(Table36[[#This Row],[%Wet Gluten]]="-","-",IF(Table36[[#This Row],[%Wet Gluten]]&lt;INDEX(WGmin,MATCH(Table36[[#This Row],[Grist]],SMI,0)),0,IF(Table36[[#This Row],[%Wet Gluten]]&gt;INDEX(WGmax,MATCH(Table36[[#This Row],[Grist]],SMI,0)),0,1))))</f>
        <v>0</v>
      </c>
      <c r="AB285" s="127">
        <f>SUM(Table36[[#This Row],[ QI Bran Content]:[QI WG]])</f>
        <v>7</v>
      </c>
      <c r="AC285" s="127">
        <f>COUNT(Table36[[#This Row],[ QI Bran Content]:[QI WG]])</f>
        <v>8</v>
      </c>
    </row>
    <row r="286" spans="1:29" x14ac:dyDescent="0.35">
      <c r="A286" s="177">
        <v>45328</v>
      </c>
      <c r="B286" s="178">
        <v>45328</v>
      </c>
      <c r="C286" s="178" t="s">
        <v>130</v>
      </c>
      <c r="D286" s="179">
        <v>1.125</v>
      </c>
      <c r="E286" s="180" t="s">
        <v>0</v>
      </c>
      <c r="F286" s="181" t="s">
        <v>27</v>
      </c>
      <c r="G286" s="182">
        <v>8.0000000000000002E-3</v>
      </c>
      <c r="H286" s="175" t="s">
        <v>165</v>
      </c>
      <c r="I286" s="175" t="s">
        <v>165</v>
      </c>
      <c r="J286" s="175" t="s">
        <v>165</v>
      </c>
      <c r="K286" s="175">
        <v>12.13</v>
      </c>
      <c r="L286" s="175">
        <v>13.11</v>
      </c>
      <c r="M286" s="175">
        <v>0.54</v>
      </c>
      <c r="N286" s="175">
        <v>65.400000000000006</v>
      </c>
      <c r="O286" s="175" t="s">
        <v>163</v>
      </c>
      <c r="P286" s="175" t="s">
        <v>163</v>
      </c>
      <c r="Q286" s="175"/>
      <c r="R286" s="127">
        <f>IF(Table36[[#This Row],[ Bran Content]]="-","-",IF(G286&lt;0.02,1,0))</f>
        <v>1</v>
      </c>
      <c r="S286" s="127">
        <f>IF(Table36[[#This Row],[Sieve Test]]="-","-",IF(Table36[[#This Row],[Sieve Test]]="P",1,0))</f>
        <v>1</v>
      </c>
      <c r="T286" s="127">
        <f>IF(Table36[[#This Row],[Odor]]="-","-",IF(Table36[[#This Row],[Odor]]="P",1,0))</f>
        <v>1</v>
      </c>
      <c r="U286" s="127">
        <f>IF(INDEX(MCmin,MATCH(Table36[[#This Row],[Grist]],SMI,0))="-","-",IF(Table36[[#This Row],[F1 %MC]]="-","-",IF(Table36[[#This Row],[F1 %MC]]&lt;INDEX(MCmin,MATCH(Table36[[#This Row],[Grist]],SMI,0)),0,IF(Table36[[#This Row],[F1 %MC]]&gt;INDEX(MCmax,MATCH(Table36[[#This Row],[Grist]],SMI,0)),0,1))))</f>
        <v>1</v>
      </c>
      <c r="V286" s="127">
        <f>IF(INDEX(Protmin,MATCH(Table36[[#This Row],[Grist]],SMI,0))="-","-",IF(Table36[[#This Row],[%Protein]]="-","-",IF(Table36[[#This Row],[%Protein]]&lt;INDEX(Protmin,MATCH(Table36[[#This Row],[Grist]],SMI,0)),0,IF(Table36[[#This Row],[%Protein]]&gt;INDEX(Protmax,MATCH(Table36[[#This Row],[Grist]],SMI,0)),0,1))))</f>
        <v>1</v>
      </c>
      <c r="W286" s="127">
        <f>IF(INDEX(Ashmin,MATCH(Table36[[#This Row],[Grist]],SMI,0))="-","-",IF(Table36[[#This Row],[%Ash]]="-","-",IF(Table36[[#This Row],[%Ash]]&lt;INDEX(Ashmin,MATCH(Table36[[#This Row],[Grist]],SMI,0)),0,IF(Table36[[#This Row],[%Ash]]&gt;INDEX(Ashmax,MATCH(Table36[[#This Row],[Grist]],SMI,0)),0,1))))</f>
        <v>1</v>
      </c>
      <c r="X286" s="127">
        <f>IF(INDEX(Absmin,MATCH(Table36[[#This Row],[Grist]],SMI,0))="-","-",IF(Table36[[#This Row],[%Absorption]]="-","-",IF(Table36[[#This Row],[%Absorption]]&lt;INDEX(Absmin,MATCH(Table36[[#This Row],[Grist]],SMI,0)),0,IF(Table36[[#This Row],[%Absorption]]&gt;INDEX(Absmax,MATCH(Table36[[#This Row],[Grist]],SMI,0)),0,1))))</f>
        <v>1</v>
      </c>
      <c r="Y286" s="127" t="str">
        <f>IF(INDEX(Extmin,MATCH(Table36[[#This Row],[Grist]],SMI,0))="-","-",IF(Table36[[#This Row],[%Extensibility]]="-","-",IF(Table36[[#This Row],[%Extensibility]]&lt;INDEX(Extmin,MATCH(Table36[[#This Row],[Grist]],SMI,0)),0,IF(Table36[[#This Row],[%Extensibility]]&gt;INDEX(Extmax,MATCH(Table36[[#This Row],[Grist]],SMI,0)),0,1))))</f>
        <v>-</v>
      </c>
      <c r="Z286" s="127" t="str">
        <f>IF(INDEX(Resmin,MATCH(Table36[[#This Row],[Grist]],SMI,0))="-","-",IF(Table36[[#This Row],[Resistance, max]]="-","-",IF(Table36[[#This Row],[Resistance, max]]&lt;INDEX(Resmin,MATCH(Table36[[#This Row],[Grist]],SMI,0)),0,IF(Table36[[#This Row],[Resistance, max]]&gt;INDEX(Resmax,MATCH(Table36[[#This Row],[Grist]],SMI,0)),0,1))))</f>
        <v>-</v>
      </c>
      <c r="AA286" s="127">
        <f>IF(INDEX(WGmin,MATCH(Table36[[#This Row],[Grist]],SMI,0))="-","-",IF(Table36[[#This Row],[%Wet Gluten]]="-","-",IF(Table36[[#This Row],[%Wet Gluten]]&lt;INDEX(WGmin,MATCH(Table36[[#This Row],[Grist]],SMI,0)),0,IF(Table36[[#This Row],[%Wet Gluten]]&gt;INDEX(WGmax,MATCH(Table36[[#This Row],[Grist]],SMI,0)),0,1))))</f>
        <v>0</v>
      </c>
      <c r="AB286" s="127">
        <f>SUM(Table36[[#This Row],[ QI Bran Content]:[QI WG]])</f>
        <v>7</v>
      </c>
      <c r="AC286" s="127">
        <f>COUNT(Table36[[#This Row],[ QI Bran Content]:[QI WG]])</f>
        <v>8</v>
      </c>
    </row>
    <row r="287" spans="1:29" x14ac:dyDescent="0.35">
      <c r="A287" s="177">
        <v>45328</v>
      </c>
      <c r="B287" s="178">
        <v>45328</v>
      </c>
      <c r="C287" s="178" t="s">
        <v>130</v>
      </c>
      <c r="D287" s="179">
        <v>1.2083333333333299</v>
      </c>
      <c r="E287" s="180" t="s">
        <v>0</v>
      </c>
      <c r="F287" s="181" t="s">
        <v>27</v>
      </c>
      <c r="G287" s="182">
        <v>1.11E-2</v>
      </c>
      <c r="H287" s="175" t="s">
        <v>165</v>
      </c>
      <c r="I287" s="175" t="s">
        <v>165</v>
      </c>
      <c r="J287" s="175" t="s">
        <v>165</v>
      </c>
      <c r="K287" s="175">
        <v>12.2</v>
      </c>
      <c r="L287" s="175">
        <v>13.11</v>
      </c>
      <c r="M287" s="175">
        <v>0.54</v>
      </c>
      <c r="N287" s="175">
        <v>65.400000000000006</v>
      </c>
      <c r="O287" s="175" t="s">
        <v>163</v>
      </c>
      <c r="P287" s="175" t="s">
        <v>163</v>
      </c>
      <c r="Q287" s="175"/>
      <c r="R287" s="127">
        <f>IF(Table36[[#This Row],[ Bran Content]]="-","-",IF(G287&lt;0.02,1,0))</f>
        <v>1</v>
      </c>
      <c r="S287" s="127">
        <f>IF(Table36[[#This Row],[Sieve Test]]="-","-",IF(Table36[[#This Row],[Sieve Test]]="P",1,0))</f>
        <v>1</v>
      </c>
      <c r="T287" s="127">
        <f>IF(Table36[[#This Row],[Odor]]="-","-",IF(Table36[[#This Row],[Odor]]="P",1,0))</f>
        <v>1</v>
      </c>
      <c r="U287" s="127">
        <f>IF(INDEX(MCmin,MATCH(Table36[[#This Row],[Grist]],SMI,0))="-","-",IF(Table36[[#This Row],[F1 %MC]]="-","-",IF(Table36[[#This Row],[F1 %MC]]&lt;INDEX(MCmin,MATCH(Table36[[#This Row],[Grist]],SMI,0)),0,IF(Table36[[#This Row],[F1 %MC]]&gt;INDEX(MCmax,MATCH(Table36[[#This Row],[Grist]],SMI,0)),0,1))))</f>
        <v>1</v>
      </c>
      <c r="V287" s="127">
        <f>IF(INDEX(Protmin,MATCH(Table36[[#This Row],[Grist]],SMI,0))="-","-",IF(Table36[[#This Row],[%Protein]]="-","-",IF(Table36[[#This Row],[%Protein]]&lt;INDEX(Protmin,MATCH(Table36[[#This Row],[Grist]],SMI,0)),0,IF(Table36[[#This Row],[%Protein]]&gt;INDEX(Protmax,MATCH(Table36[[#This Row],[Grist]],SMI,0)),0,1))))</f>
        <v>1</v>
      </c>
      <c r="W287" s="127">
        <f>IF(INDEX(Ashmin,MATCH(Table36[[#This Row],[Grist]],SMI,0))="-","-",IF(Table36[[#This Row],[%Ash]]="-","-",IF(Table36[[#This Row],[%Ash]]&lt;INDEX(Ashmin,MATCH(Table36[[#This Row],[Grist]],SMI,0)),0,IF(Table36[[#This Row],[%Ash]]&gt;INDEX(Ashmax,MATCH(Table36[[#This Row],[Grist]],SMI,0)),0,1))))</f>
        <v>1</v>
      </c>
      <c r="X287" s="127">
        <f>IF(INDEX(Absmin,MATCH(Table36[[#This Row],[Grist]],SMI,0))="-","-",IF(Table36[[#This Row],[%Absorption]]="-","-",IF(Table36[[#This Row],[%Absorption]]&lt;INDEX(Absmin,MATCH(Table36[[#This Row],[Grist]],SMI,0)),0,IF(Table36[[#This Row],[%Absorption]]&gt;INDEX(Absmax,MATCH(Table36[[#This Row],[Grist]],SMI,0)),0,1))))</f>
        <v>1</v>
      </c>
      <c r="Y287" s="127" t="str">
        <f>IF(INDEX(Extmin,MATCH(Table36[[#This Row],[Grist]],SMI,0))="-","-",IF(Table36[[#This Row],[%Extensibility]]="-","-",IF(Table36[[#This Row],[%Extensibility]]&lt;INDEX(Extmin,MATCH(Table36[[#This Row],[Grist]],SMI,0)),0,IF(Table36[[#This Row],[%Extensibility]]&gt;INDEX(Extmax,MATCH(Table36[[#This Row],[Grist]],SMI,0)),0,1))))</f>
        <v>-</v>
      </c>
      <c r="Z287" s="127" t="str">
        <f>IF(INDEX(Resmin,MATCH(Table36[[#This Row],[Grist]],SMI,0))="-","-",IF(Table36[[#This Row],[Resistance, max]]="-","-",IF(Table36[[#This Row],[Resistance, max]]&lt;INDEX(Resmin,MATCH(Table36[[#This Row],[Grist]],SMI,0)),0,IF(Table36[[#This Row],[Resistance, max]]&gt;INDEX(Resmax,MATCH(Table36[[#This Row],[Grist]],SMI,0)),0,1))))</f>
        <v>-</v>
      </c>
      <c r="AA287" s="127">
        <f>IF(INDEX(WGmin,MATCH(Table36[[#This Row],[Grist]],SMI,0))="-","-",IF(Table36[[#This Row],[%Wet Gluten]]="-","-",IF(Table36[[#This Row],[%Wet Gluten]]&lt;INDEX(WGmin,MATCH(Table36[[#This Row],[Grist]],SMI,0)),0,IF(Table36[[#This Row],[%Wet Gluten]]&gt;INDEX(WGmax,MATCH(Table36[[#This Row],[Grist]],SMI,0)),0,1))))</f>
        <v>0</v>
      </c>
      <c r="AB287" s="127">
        <f>SUM(Table36[[#This Row],[ QI Bran Content]:[QI WG]])</f>
        <v>7</v>
      </c>
      <c r="AC287" s="127">
        <f>COUNT(Table36[[#This Row],[ QI Bran Content]:[QI WG]])</f>
        <v>8</v>
      </c>
    </row>
    <row r="288" spans="1:29" x14ac:dyDescent="0.35">
      <c r="A288" s="177">
        <v>45328</v>
      </c>
      <c r="B288" s="178">
        <v>45324</v>
      </c>
      <c r="C288" s="178" t="s">
        <v>130</v>
      </c>
      <c r="D288" s="179">
        <v>0.95833333333333337</v>
      </c>
      <c r="E288" s="180" t="s">
        <v>0</v>
      </c>
      <c r="F288" s="181" t="s">
        <v>27</v>
      </c>
      <c r="G288" s="182">
        <v>1.78E-2</v>
      </c>
      <c r="H288" s="175" t="s">
        <v>165</v>
      </c>
      <c r="I288" s="175" t="s">
        <v>165</v>
      </c>
      <c r="J288" s="175" t="s">
        <v>165</v>
      </c>
      <c r="K288" s="175">
        <v>12.74</v>
      </c>
      <c r="L288" s="175">
        <v>13.44</v>
      </c>
      <c r="M288" s="175">
        <v>0.56999999999999995</v>
      </c>
      <c r="N288" s="175">
        <v>64.400000000000006</v>
      </c>
      <c r="O288" s="175" t="s">
        <v>163</v>
      </c>
      <c r="P288" s="175" t="s">
        <v>163</v>
      </c>
      <c r="Q288" s="175"/>
      <c r="R288" s="127">
        <f>IF(Table36[[#This Row],[ Bran Content]]="-","-",IF(G288&lt;0.02,1,0))</f>
        <v>1</v>
      </c>
      <c r="S288" s="127">
        <f>IF(Table36[[#This Row],[Sieve Test]]="-","-",IF(Table36[[#This Row],[Sieve Test]]="P",1,0))</f>
        <v>1</v>
      </c>
      <c r="T288" s="127">
        <f>IF(Table36[[#This Row],[Odor]]="-","-",IF(Table36[[#This Row],[Odor]]="P",1,0))</f>
        <v>1</v>
      </c>
      <c r="U288" s="127">
        <f>IF(INDEX(MCmin,MATCH(Table36[[#This Row],[Grist]],SMI,0))="-","-",IF(Table36[[#This Row],[F1 %MC]]="-","-",IF(Table36[[#This Row],[F1 %MC]]&lt;INDEX(MCmin,MATCH(Table36[[#This Row],[Grist]],SMI,0)),0,IF(Table36[[#This Row],[F1 %MC]]&gt;INDEX(MCmax,MATCH(Table36[[#This Row],[Grist]],SMI,0)),0,1))))</f>
        <v>1</v>
      </c>
      <c r="V288" s="127">
        <f>IF(INDEX(Protmin,MATCH(Table36[[#This Row],[Grist]],SMI,0))="-","-",IF(Table36[[#This Row],[%Protein]]="-","-",IF(Table36[[#This Row],[%Protein]]&lt;INDEX(Protmin,MATCH(Table36[[#This Row],[Grist]],SMI,0)),0,IF(Table36[[#This Row],[%Protein]]&gt;INDEX(Protmax,MATCH(Table36[[#This Row],[Grist]],SMI,0)),0,1))))</f>
        <v>1</v>
      </c>
      <c r="W288" s="127">
        <f>IF(INDEX(Ashmin,MATCH(Table36[[#This Row],[Grist]],SMI,0))="-","-",IF(Table36[[#This Row],[%Ash]]="-","-",IF(Table36[[#This Row],[%Ash]]&lt;INDEX(Ashmin,MATCH(Table36[[#This Row],[Grist]],SMI,0)),0,IF(Table36[[#This Row],[%Ash]]&gt;INDEX(Ashmax,MATCH(Table36[[#This Row],[Grist]],SMI,0)),0,1))))</f>
        <v>1</v>
      </c>
      <c r="X288" s="127">
        <f>IF(INDEX(Absmin,MATCH(Table36[[#This Row],[Grist]],SMI,0))="-","-",IF(Table36[[#This Row],[%Absorption]]="-","-",IF(Table36[[#This Row],[%Absorption]]&lt;INDEX(Absmin,MATCH(Table36[[#This Row],[Grist]],SMI,0)),0,IF(Table36[[#This Row],[%Absorption]]&gt;INDEX(Absmax,MATCH(Table36[[#This Row],[Grist]],SMI,0)),0,1))))</f>
        <v>1</v>
      </c>
      <c r="Y288" s="127" t="str">
        <f>IF(INDEX(Extmin,MATCH(Table36[[#This Row],[Grist]],SMI,0))="-","-",IF(Table36[[#This Row],[%Extensibility]]="-","-",IF(Table36[[#This Row],[%Extensibility]]&lt;INDEX(Extmin,MATCH(Table36[[#This Row],[Grist]],SMI,0)),0,IF(Table36[[#This Row],[%Extensibility]]&gt;INDEX(Extmax,MATCH(Table36[[#This Row],[Grist]],SMI,0)),0,1))))</f>
        <v>-</v>
      </c>
      <c r="Z288" s="127" t="str">
        <f>IF(INDEX(Resmin,MATCH(Table36[[#This Row],[Grist]],SMI,0))="-","-",IF(Table36[[#This Row],[Resistance, max]]="-","-",IF(Table36[[#This Row],[Resistance, max]]&lt;INDEX(Resmin,MATCH(Table36[[#This Row],[Grist]],SMI,0)),0,IF(Table36[[#This Row],[Resistance, max]]&gt;INDEX(Resmax,MATCH(Table36[[#This Row],[Grist]],SMI,0)),0,1))))</f>
        <v>-</v>
      </c>
      <c r="AA288" s="127">
        <f>IF(INDEX(WGmin,MATCH(Table36[[#This Row],[Grist]],SMI,0))="-","-",IF(Table36[[#This Row],[%Wet Gluten]]="-","-",IF(Table36[[#This Row],[%Wet Gluten]]&lt;INDEX(WGmin,MATCH(Table36[[#This Row],[Grist]],SMI,0)),0,IF(Table36[[#This Row],[%Wet Gluten]]&gt;INDEX(WGmax,MATCH(Table36[[#This Row],[Grist]],SMI,0)),0,1))))</f>
        <v>0</v>
      </c>
      <c r="AB288" s="127">
        <f>SUM(Table36[[#This Row],[ QI Bran Content]:[QI WG]])</f>
        <v>7</v>
      </c>
      <c r="AC288" s="127">
        <f>COUNT(Table36[[#This Row],[ QI Bran Content]:[QI WG]])</f>
        <v>8</v>
      </c>
    </row>
    <row r="289" spans="1:29" x14ac:dyDescent="0.35">
      <c r="A289" s="177">
        <v>45328</v>
      </c>
      <c r="B289" s="178">
        <v>45324</v>
      </c>
      <c r="C289" s="178" t="s">
        <v>130</v>
      </c>
      <c r="D289" s="179">
        <v>1.0416666666666701</v>
      </c>
      <c r="E289" s="180" t="s">
        <v>0</v>
      </c>
      <c r="F289" s="181" t="s">
        <v>27</v>
      </c>
      <c r="G289" s="182">
        <v>1.1599999999999999E-2</v>
      </c>
      <c r="H289" s="175" t="s">
        <v>165</v>
      </c>
      <c r="I289" s="175" t="s">
        <v>165</v>
      </c>
      <c r="J289" s="175" t="s">
        <v>165</v>
      </c>
      <c r="K289" s="175">
        <v>12.86</v>
      </c>
      <c r="L289" s="175">
        <v>13.44</v>
      </c>
      <c r="M289" s="175">
        <v>0.56999999999999995</v>
      </c>
      <c r="N289" s="175">
        <v>64.400000000000006</v>
      </c>
      <c r="O289" s="175" t="s">
        <v>163</v>
      </c>
      <c r="P289" s="175" t="s">
        <v>163</v>
      </c>
      <c r="Q289" s="175"/>
      <c r="R289" s="127">
        <f>IF(Table36[[#This Row],[ Bran Content]]="-","-",IF(G289&lt;0.02,1,0))</f>
        <v>1</v>
      </c>
      <c r="S289" s="127">
        <f>IF(Table36[[#This Row],[Sieve Test]]="-","-",IF(Table36[[#This Row],[Sieve Test]]="P",1,0))</f>
        <v>1</v>
      </c>
      <c r="T289" s="127">
        <f>IF(Table36[[#This Row],[Odor]]="-","-",IF(Table36[[#This Row],[Odor]]="P",1,0))</f>
        <v>1</v>
      </c>
      <c r="U289" s="127">
        <f>IF(INDEX(MCmin,MATCH(Table36[[#This Row],[Grist]],SMI,0))="-","-",IF(Table36[[#This Row],[F1 %MC]]="-","-",IF(Table36[[#This Row],[F1 %MC]]&lt;INDEX(MCmin,MATCH(Table36[[#This Row],[Grist]],SMI,0)),0,IF(Table36[[#This Row],[F1 %MC]]&gt;INDEX(MCmax,MATCH(Table36[[#This Row],[Grist]],SMI,0)),0,1))))</f>
        <v>1</v>
      </c>
      <c r="V289" s="127">
        <f>IF(INDEX(Protmin,MATCH(Table36[[#This Row],[Grist]],SMI,0))="-","-",IF(Table36[[#This Row],[%Protein]]="-","-",IF(Table36[[#This Row],[%Protein]]&lt;INDEX(Protmin,MATCH(Table36[[#This Row],[Grist]],SMI,0)),0,IF(Table36[[#This Row],[%Protein]]&gt;INDEX(Protmax,MATCH(Table36[[#This Row],[Grist]],SMI,0)),0,1))))</f>
        <v>1</v>
      </c>
      <c r="W289" s="127">
        <f>IF(INDEX(Ashmin,MATCH(Table36[[#This Row],[Grist]],SMI,0))="-","-",IF(Table36[[#This Row],[%Ash]]="-","-",IF(Table36[[#This Row],[%Ash]]&lt;INDEX(Ashmin,MATCH(Table36[[#This Row],[Grist]],SMI,0)),0,IF(Table36[[#This Row],[%Ash]]&gt;INDEX(Ashmax,MATCH(Table36[[#This Row],[Grist]],SMI,0)),0,1))))</f>
        <v>1</v>
      </c>
      <c r="X289" s="127">
        <f>IF(INDEX(Absmin,MATCH(Table36[[#This Row],[Grist]],SMI,0))="-","-",IF(Table36[[#This Row],[%Absorption]]="-","-",IF(Table36[[#This Row],[%Absorption]]&lt;INDEX(Absmin,MATCH(Table36[[#This Row],[Grist]],SMI,0)),0,IF(Table36[[#This Row],[%Absorption]]&gt;INDEX(Absmax,MATCH(Table36[[#This Row],[Grist]],SMI,0)),0,1))))</f>
        <v>1</v>
      </c>
      <c r="Y289" s="127" t="str">
        <f>IF(INDEX(Extmin,MATCH(Table36[[#This Row],[Grist]],SMI,0))="-","-",IF(Table36[[#This Row],[%Extensibility]]="-","-",IF(Table36[[#This Row],[%Extensibility]]&lt;INDEX(Extmin,MATCH(Table36[[#This Row],[Grist]],SMI,0)),0,IF(Table36[[#This Row],[%Extensibility]]&gt;INDEX(Extmax,MATCH(Table36[[#This Row],[Grist]],SMI,0)),0,1))))</f>
        <v>-</v>
      </c>
      <c r="Z289" s="127" t="str">
        <f>IF(INDEX(Resmin,MATCH(Table36[[#This Row],[Grist]],SMI,0))="-","-",IF(Table36[[#This Row],[Resistance, max]]="-","-",IF(Table36[[#This Row],[Resistance, max]]&lt;INDEX(Resmin,MATCH(Table36[[#This Row],[Grist]],SMI,0)),0,IF(Table36[[#This Row],[Resistance, max]]&gt;INDEX(Resmax,MATCH(Table36[[#This Row],[Grist]],SMI,0)),0,1))))</f>
        <v>-</v>
      </c>
      <c r="AA289" s="127">
        <f>IF(INDEX(WGmin,MATCH(Table36[[#This Row],[Grist]],SMI,0))="-","-",IF(Table36[[#This Row],[%Wet Gluten]]="-","-",IF(Table36[[#This Row],[%Wet Gluten]]&lt;INDEX(WGmin,MATCH(Table36[[#This Row],[Grist]],SMI,0)),0,IF(Table36[[#This Row],[%Wet Gluten]]&gt;INDEX(WGmax,MATCH(Table36[[#This Row],[Grist]],SMI,0)),0,1))))</f>
        <v>0</v>
      </c>
      <c r="AB289" s="127">
        <f>SUM(Table36[[#This Row],[ QI Bran Content]:[QI WG]])</f>
        <v>7</v>
      </c>
      <c r="AC289" s="127">
        <f>COUNT(Table36[[#This Row],[ QI Bran Content]:[QI WG]])</f>
        <v>8</v>
      </c>
    </row>
    <row r="290" spans="1:29" x14ac:dyDescent="0.35">
      <c r="A290" s="177">
        <v>45328</v>
      </c>
      <c r="B290" s="178">
        <v>45324</v>
      </c>
      <c r="C290" s="178" t="s">
        <v>130</v>
      </c>
      <c r="D290" s="179">
        <v>1.125</v>
      </c>
      <c r="E290" s="180" t="s">
        <v>0</v>
      </c>
      <c r="F290" s="181" t="s">
        <v>19</v>
      </c>
      <c r="G290" s="182">
        <v>7.9000000000000008E-3</v>
      </c>
      <c r="H290" s="175" t="s">
        <v>165</v>
      </c>
      <c r="I290" s="175" t="s">
        <v>165</v>
      </c>
      <c r="J290" s="175" t="s">
        <v>165</v>
      </c>
      <c r="K290" s="175">
        <v>13.42</v>
      </c>
      <c r="L290" s="175">
        <v>13.41</v>
      </c>
      <c r="M290" s="175">
        <v>0.43</v>
      </c>
      <c r="N290" s="175" t="s">
        <v>163</v>
      </c>
      <c r="O290" s="175" t="s">
        <v>163</v>
      </c>
      <c r="P290" s="175" t="s">
        <v>163</v>
      </c>
      <c r="Q290" s="175"/>
      <c r="R290" s="127">
        <f>IF(Table36[[#This Row],[ Bran Content]]="-","-",IF(G290&lt;0.02,1,0))</f>
        <v>1</v>
      </c>
      <c r="S290" s="127">
        <f>IF(Table36[[#This Row],[Sieve Test]]="-","-",IF(Table36[[#This Row],[Sieve Test]]="P",1,0))</f>
        <v>1</v>
      </c>
      <c r="T290" s="127">
        <f>IF(Table36[[#This Row],[Odor]]="-","-",IF(Table36[[#This Row],[Odor]]="P",1,0))</f>
        <v>1</v>
      </c>
      <c r="U290" s="127">
        <f>IF(INDEX(MCmin,MATCH(Table36[[#This Row],[Grist]],SMI,0))="-","-",IF(Table36[[#This Row],[F1 %MC]]="-","-",IF(Table36[[#This Row],[F1 %MC]]&lt;INDEX(MCmin,MATCH(Table36[[#This Row],[Grist]],SMI,0)),0,IF(Table36[[#This Row],[F1 %MC]]&gt;INDEX(MCmax,MATCH(Table36[[#This Row],[Grist]],SMI,0)),0,1))))</f>
        <v>1</v>
      </c>
      <c r="V290" s="127">
        <f>IF(INDEX(Protmin,MATCH(Table36[[#This Row],[Grist]],SMI,0))="-","-",IF(Table36[[#This Row],[%Protein]]="-","-",IF(Table36[[#This Row],[%Protein]]&lt;INDEX(Protmin,MATCH(Table36[[#This Row],[Grist]],SMI,0)),0,IF(Table36[[#This Row],[%Protein]]&gt;INDEX(Protmax,MATCH(Table36[[#This Row],[Grist]],SMI,0)),0,1))))</f>
        <v>1</v>
      </c>
      <c r="W290" s="127">
        <f>IF(INDEX(Ashmin,MATCH(Table36[[#This Row],[Grist]],SMI,0))="-","-",IF(Table36[[#This Row],[%Ash]]="-","-",IF(Table36[[#This Row],[%Ash]]&lt;INDEX(Ashmin,MATCH(Table36[[#This Row],[Grist]],SMI,0)),0,IF(Table36[[#This Row],[%Ash]]&gt;INDEX(Ashmax,MATCH(Table36[[#This Row],[Grist]],SMI,0)),0,1))))</f>
        <v>0</v>
      </c>
      <c r="X290" s="127" t="str">
        <f>IF(INDEX(Absmin,MATCH(Table36[[#This Row],[Grist]],SMI,0))="-","-",IF(Table36[[#This Row],[%Absorption]]="-","-",IF(Table36[[#This Row],[%Absorption]]&lt;INDEX(Absmin,MATCH(Table36[[#This Row],[Grist]],SMI,0)),0,IF(Table36[[#This Row],[%Absorption]]&gt;INDEX(Absmax,MATCH(Table36[[#This Row],[Grist]],SMI,0)),0,1))))</f>
        <v>-</v>
      </c>
      <c r="Y290" s="127" t="str">
        <f>IF(INDEX(Extmin,MATCH(Table36[[#This Row],[Grist]],SMI,0))="-","-",IF(Table36[[#This Row],[%Extensibility]]="-","-",IF(Table36[[#This Row],[%Extensibility]]&lt;INDEX(Extmin,MATCH(Table36[[#This Row],[Grist]],SMI,0)),0,IF(Table36[[#This Row],[%Extensibility]]&gt;INDEX(Extmax,MATCH(Table36[[#This Row],[Grist]],SMI,0)),0,1))))</f>
        <v>-</v>
      </c>
      <c r="Z290" s="127" t="str">
        <f>IF(INDEX(Resmin,MATCH(Table36[[#This Row],[Grist]],SMI,0))="-","-",IF(Table36[[#This Row],[Resistance, max]]="-","-",IF(Table36[[#This Row],[Resistance, max]]&lt;INDEX(Resmin,MATCH(Table36[[#This Row],[Grist]],SMI,0)),0,IF(Table36[[#This Row],[Resistance, max]]&gt;INDEX(Resmax,MATCH(Table36[[#This Row],[Grist]],SMI,0)),0,1))))</f>
        <v>-</v>
      </c>
      <c r="AA290" s="127">
        <f>IF(INDEX(WGmin,MATCH(Table36[[#This Row],[Grist]],SMI,0))="-","-",IF(Table36[[#This Row],[%Wet Gluten]]="-","-",IF(Table36[[#This Row],[%Wet Gluten]]&lt;INDEX(WGmin,MATCH(Table36[[#This Row],[Grist]],SMI,0)),0,IF(Table36[[#This Row],[%Wet Gluten]]&gt;INDEX(WGmax,MATCH(Table36[[#This Row],[Grist]],SMI,0)),0,1))))</f>
        <v>0</v>
      </c>
      <c r="AB290" s="127">
        <f>SUM(Table36[[#This Row],[ QI Bran Content]:[QI WG]])</f>
        <v>5</v>
      </c>
      <c r="AC290" s="127">
        <f>COUNT(Table36[[#This Row],[ QI Bran Content]:[QI WG]])</f>
        <v>7</v>
      </c>
    </row>
    <row r="291" spans="1:29" x14ac:dyDescent="0.35">
      <c r="A291" s="177">
        <v>45328</v>
      </c>
      <c r="B291" s="178">
        <v>45324</v>
      </c>
      <c r="C291" s="178" t="s">
        <v>130</v>
      </c>
      <c r="D291" s="179">
        <v>1.2083333333333299</v>
      </c>
      <c r="E291" s="180" t="s">
        <v>0</v>
      </c>
      <c r="F291" s="181" t="s">
        <v>19</v>
      </c>
      <c r="G291" s="182">
        <v>6.7999999999999996E-3</v>
      </c>
      <c r="H291" s="175" t="s">
        <v>165</v>
      </c>
      <c r="I291" s="175" t="s">
        <v>165</v>
      </c>
      <c r="J291" s="175" t="s">
        <v>165</v>
      </c>
      <c r="K291" s="175">
        <v>13.11</v>
      </c>
      <c r="L291" s="175">
        <v>13.41</v>
      </c>
      <c r="M291" s="175">
        <v>0.43</v>
      </c>
      <c r="N291" s="175" t="s">
        <v>163</v>
      </c>
      <c r="O291" s="175" t="s">
        <v>163</v>
      </c>
      <c r="P291" s="175" t="s">
        <v>163</v>
      </c>
      <c r="Q291" s="175"/>
      <c r="R291" s="127">
        <f>IF(Table36[[#This Row],[ Bran Content]]="-","-",IF(G291&lt;0.02,1,0))</f>
        <v>1</v>
      </c>
      <c r="S291" s="127">
        <f>IF(Table36[[#This Row],[Sieve Test]]="-","-",IF(Table36[[#This Row],[Sieve Test]]="P",1,0))</f>
        <v>1</v>
      </c>
      <c r="T291" s="127">
        <f>IF(Table36[[#This Row],[Odor]]="-","-",IF(Table36[[#This Row],[Odor]]="P",1,0))</f>
        <v>1</v>
      </c>
      <c r="U291" s="127">
        <f>IF(INDEX(MCmin,MATCH(Table36[[#This Row],[Grist]],SMI,0))="-","-",IF(Table36[[#This Row],[F1 %MC]]="-","-",IF(Table36[[#This Row],[F1 %MC]]&lt;INDEX(MCmin,MATCH(Table36[[#This Row],[Grist]],SMI,0)),0,IF(Table36[[#This Row],[F1 %MC]]&gt;INDEX(MCmax,MATCH(Table36[[#This Row],[Grist]],SMI,0)),0,1))))</f>
        <v>1</v>
      </c>
      <c r="V291" s="127">
        <f>IF(INDEX(Protmin,MATCH(Table36[[#This Row],[Grist]],SMI,0))="-","-",IF(Table36[[#This Row],[%Protein]]="-","-",IF(Table36[[#This Row],[%Protein]]&lt;INDEX(Protmin,MATCH(Table36[[#This Row],[Grist]],SMI,0)),0,IF(Table36[[#This Row],[%Protein]]&gt;INDEX(Protmax,MATCH(Table36[[#This Row],[Grist]],SMI,0)),0,1))))</f>
        <v>1</v>
      </c>
      <c r="W291" s="127">
        <f>IF(INDEX(Ashmin,MATCH(Table36[[#This Row],[Grist]],SMI,0))="-","-",IF(Table36[[#This Row],[%Ash]]="-","-",IF(Table36[[#This Row],[%Ash]]&lt;INDEX(Ashmin,MATCH(Table36[[#This Row],[Grist]],SMI,0)),0,IF(Table36[[#This Row],[%Ash]]&gt;INDEX(Ashmax,MATCH(Table36[[#This Row],[Grist]],SMI,0)),0,1))))</f>
        <v>0</v>
      </c>
      <c r="X291" s="127" t="str">
        <f>IF(INDEX(Absmin,MATCH(Table36[[#This Row],[Grist]],SMI,0))="-","-",IF(Table36[[#This Row],[%Absorption]]="-","-",IF(Table36[[#This Row],[%Absorption]]&lt;INDEX(Absmin,MATCH(Table36[[#This Row],[Grist]],SMI,0)),0,IF(Table36[[#This Row],[%Absorption]]&gt;INDEX(Absmax,MATCH(Table36[[#This Row],[Grist]],SMI,0)),0,1))))</f>
        <v>-</v>
      </c>
      <c r="Y291" s="127" t="str">
        <f>IF(INDEX(Extmin,MATCH(Table36[[#This Row],[Grist]],SMI,0))="-","-",IF(Table36[[#This Row],[%Extensibility]]="-","-",IF(Table36[[#This Row],[%Extensibility]]&lt;INDEX(Extmin,MATCH(Table36[[#This Row],[Grist]],SMI,0)),0,IF(Table36[[#This Row],[%Extensibility]]&gt;INDEX(Extmax,MATCH(Table36[[#This Row],[Grist]],SMI,0)),0,1))))</f>
        <v>-</v>
      </c>
      <c r="Z291" s="127" t="str">
        <f>IF(INDEX(Resmin,MATCH(Table36[[#This Row],[Grist]],SMI,0))="-","-",IF(Table36[[#This Row],[Resistance, max]]="-","-",IF(Table36[[#This Row],[Resistance, max]]&lt;INDEX(Resmin,MATCH(Table36[[#This Row],[Grist]],SMI,0)),0,IF(Table36[[#This Row],[Resistance, max]]&gt;INDEX(Resmax,MATCH(Table36[[#This Row],[Grist]],SMI,0)),0,1))))</f>
        <v>-</v>
      </c>
      <c r="AA291" s="127">
        <f>IF(INDEX(WGmin,MATCH(Table36[[#This Row],[Grist]],SMI,0))="-","-",IF(Table36[[#This Row],[%Wet Gluten]]="-","-",IF(Table36[[#This Row],[%Wet Gluten]]&lt;INDEX(WGmin,MATCH(Table36[[#This Row],[Grist]],SMI,0)),0,IF(Table36[[#This Row],[%Wet Gluten]]&gt;INDEX(WGmax,MATCH(Table36[[#This Row],[Grist]],SMI,0)),0,1))))</f>
        <v>0</v>
      </c>
      <c r="AB291" s="127">
        <f>SUM(Table36[[#This Row],[ QI Bran Content]:[QI WG]])</f>
        <v>5</v>
      </c>
      <c r="AC291" s="127">
        <f>COUNT(Table36[[#This Row],[ QI Bran Content]:[QI WG]])</f>
        <v>7</v>
      </c>
    </row>
    <row r="292" spans="1:29" x14ac:dyDescent="0.35">
      <c r="A292" s="177">
        <v>45328</v>
      </c>
      <c r="B292" s="178">
        <v>45324</v>
      </c>
      <c r="C292" s="178" t="s">
        <v>130</v>
      </c>
      <c r="D292" s="179">
        <v>1.2083333333333299</v>
      </c>
      <c r="E292" s="180" t="s">
        <v>1</v>
      </c>
      <c r="F292" s="181" t="s">
        <v>241</v>
      </c>
      <c r="G292" s="182">
        <v>1.2200000000000001E-2</v>
      </c>
      <c r="H292" s="175" t="s">
        <v>163</v>
      </c>
      <c r="I292" s="175" t="s">
        <v>163</v>
      </c>
      <c r="J292" s="175" t="s">
        <v>163</v>
      </c>
      <c r="K292" s="175">
        <v>12.32</v>
      </c>
      <c r="L292" s="175" t="s">
        <v>163</v>
      </c>
      <c r="M292" s="175" t="s">
        <v>163</v>
      </c>
      <c r="N292" s="175" t="s">
        <v>163</v>
      </c>
      <c r="O292" s="175" t="s">
        <v>163</v>
      </c>
      <c r="P292" s="175" t="s">
        <v>163</v>
      </c>
      <c r="Q292" s="175"/>
      <c r="R292" s="127">
        <f>IF(Table36[[#This Row],[ Bran Content]]="-","-",IF(G292&lt;0.02,1,0))</f>
        <v>1</v>
      </c>
      <c r="S292" s="127" t="str">
        <f>IF(Table36[[#This Row],[Sieve Test]]="-","-",IF(Table36[[#This Row],[Sieve Test]]="P",1,0))</f>
        <v>-</v>
      </c>
      <c r="T292" s="127" t="str">
        <f>IF(Table36[[#This Row],[Odor]]="-","-",IF(Table36[[#This Row],[Odor]]="P",1,0))</f>
        <v>-</v>
      </c>
      <c r="U292" s="127" t="str">
        <f>IF(INDEX(MCmin,MATCH(Table36[[#This Row],[Grist]],SMI,0))="-","-",IF(Table36[[#This Row],[F1 %MC]]="-","-",IF(Table36[[#This Row],[F1 %MC]]&lt;INDEX(MCmin,MATCH(Table36[[#This Row],[Grist]],SMI,0)),0,IF(Table36[[#This Row],[F1 %MC]]&gt;INDEX(MCmax,MATCH(Table36[[#This Row],[Grist]],SMI,0)),0,1))))</f>
        <v>-</v>
      </c>
      <c r="V292" s="127" t="str">
        <f>IF(INDEX(Protmin,MATCH(Table36[[#This Row],[Grist]],SMI,0))="-","-",IF(Table36[[#This Row],[%Protein]]="-","-",IF(Table36[[#This Row],[%Protein]]&lt;INDEX(Protmin,MATCH(Table36[[#This Row],[Grist]],SMI,0)),0,IF(Table36[[#This Row],[%Protein]]&gt;INDEX(Protmax,MATCH(Table36[[#This Row],[Grist]],SMI,0)),0,1))))</f>
        <v>-</v>
      </c>
      <c r="W292" s="127" t="str">
        <f>IF(INDEX(Ashmin,MATCH(Table36[[#This Row],[Grist]],SMI,0))="-","-",IF(Table36[[#This Row],[%Ash]]="-","-",IF(Table36[[#This Row],[%Ash]]&lt;INDEX(Ashmin,MATCH(Table36[[#This Row],[Grist]],SMI,0)),0,IF(Table36[[#This Row],[%Ash]]&gt;INDEX(Ashmax,MATCH(Table36[[#This Row],[Grist]],SMI,0)),0,1))))</f>
        <v>-</v>
      </c>
      <c r="X292" s="127" t="str">
        <f>IF(INDEX(Absmin,MATCH(Table36[[#This Row],[Grist]],SMI,0))="-","-",IF(Table36[[#This Row],[%Absorption]]="-","-",IF(Table36[[#This Row],[%Absorption]]&lt;INDEX(Absmin,MATCH(Table36[[#This Row],[Grist]],SMI,0)),0,IF(Table36[[#This Row],[%Absorption]]&gt;INDEX(Absmax,MATCH(Table36[[#This Row],[Grist]],SMI,0)),0,1))))</f>
        <v>-</v>
      </c>
      <c r="Y292" s="127" t="str">
        <f>IF(INDEX(Extmin,MATCH(Table36[[#This Row],[Grist]],SMI,0))="-","-",IF(Table36[[#This Row],[%Extensibility]]="-","-",IF(Table36[[#This Row],[%Extensibility]]&lt;INDEX(Extmin,MATCH(Table36[[#This Row],[Grist]],SMI,0)),0,IF(Table36[[#This Row],[%Extensibility]]&gt;INDEX(Extmax,MATCH(Table36[[#This Row],[Grist]],SMI,0)),0,1))))</f>
        <v>-</v>
      </c>
      <c r="Z292" s="127" t="str">
        <f>IF(INDEX(Resmin,MATCH(Table36[[#This Row],[Grist]],SMI,0))="-","-",IF(Table36[[#This Row],[Resistance, max]]="-","-",IF(Table36[[#This Row],[Resistance, max]]&lt;INDEX(Resmin,MATCH(Table36[[#This Row],[Grist]],SMI,0)),0,IF(Table36[[#This Row],[Resistance, max]]&gt;INDEX(Resmax,MATCH(Table36[[#This Row],[Grist]],SMI,0)),0,1))))</f>
        <v>-</v>
      </c>
      <c r="AA292" s="127" t="str">
        <f>IF(INDEX(WGmin,MATCH(Table36[[#This Row],[Grist]],SMI,0))="-","-",IF(Table36[[#This Row],[%Wet Gluten]]="-","-",IF(Table36[[#This Row],[%Wet Gluten]]&lt;INDEX(WGmin,MATCH(Table36[[#This Row],[Grist]],SMI,0)),0,IF(Table36[[#This Row],[%Wet Gluten]]&gt;INDEX(WGmax,MATCH(Table36[[#This Row],[Grist]],SMI,0)),0,1))))</f>
        <v>-</v>
      </c>
      <c r="AB292" s="127">
        <f>SUM(Table36[[#This Row],[ QI Bran Content]:[QI WG]])</f>
        <v>1</v>
      </c>
      <c r="AC292" s="127">
        <f>COUNT(Table36[[#This Row],[ QI Bran Content]:[QI WG]])</f>
        <v>1</v>
      </c>
    </row>
    <row r="293" spans="1:29" x14ac:dyDescent="0.35">
      <c r="A293" s="177">
        <v>45328</v>
      </c>
      <c r="B293" s="178">
        <v>45325</v>
      </c>
      <c r="C293" s="178" t="s">
        <v>125</v>
      </c>
      <c r="D293" s="179" t="s">
        <v>239</v>
      </c>
      <c r="E293" s="180" t="s">
        <v>0</v>
      </c>
      <c r="F293" s="181" t="s">
        <v>32</v>
      </c>
      <c r="G293" s="182">
        <v>5.1000000000000004E-3</v>
      </c>
      <c r="H293" s="175" t="s">
        <v>165</v>
      </c>
      <c r="I293" s="175" t="s">
        <v>165</v>
      </c>
      <c r="J293" s="175" t="s">
        <v>165</v>
      </c>
      <c r="K293" s="175">
        <v>12.88</v>
      </c>
      <c r="L293" s="175">
        <v>12.85</v>
      </c>
      <c r="M293" s="175">
        <v>0.55000000000000004</v>
      </c>
      <c r="N293" s="175">
        <v>64.2</v>
      </c>
      <c r="O293" s="175" t="s">
        <v>163</v>
      </c>
      <c r="P293" s="175" t="s">
        <v>163</v>
      </c>
      <c r="Q293" s="175"/>
      <c r="R293" s="127">
        <f>IF(Table36[[#This Row],[ Bran Content]]="-","-",IF(G293&lt;0.02,1,0))</f>
        <v>1</v>
      </c>
      <c r="S293" s="127">
        <f>IF(Table36[[#This Row],[Sieve Test]]="-","-",IF(Table36[[#This Row],[Sieve Test]]="P",1,0))</f>
        <v>1</v>
      </c>
      <c r="T293" s="127">
        <f>IF(Table36[[#This Row],[Odor]]="-","-",IF(Table36[[#This Row],[Odor]]="P",1,0))</f>
        <v>1</v>
      </c>
      <c r="U293" s="127">
        <f>IF(INDEX(MCmin,MATCH(Table36[[#This Row],[Grist]],SMI,0))="-","-",IF(Table36[[#This Row],[F1 %MC]]="-","-",IF(Table36[[#This Row],[F1 %MC]]&lt;INDEX(MCmin,MATCH(Table36[[#This Row],[Grist]],SMI,0)),0,IF(Table36[[#This Row],[F1 %MC]]&gt;INDEX(MCmax,MATCH(Table36[[#This Row],[Grist]],SMI,0)),0,1))))</f>
        <v>1</v>
      </c>
      <c r="V293" s="127">
        <f>IF(INDEX(Protmin,MATCH(Table36[[#This Row],[Grist]],SMI,0))="-","-",IF(Table36[[#This Row],[%Protein]]="-","-",IF(Table36[[#This Row],[%Protein]]&lt;INDEX(Protmin,MATCH(Table36[[#This Row],[Grist]],SMI,0)),0,IF(Table36[[#This Row],[%Protein]]&gt;INDEX(Protmax,MATCH(Table36[[#This Row],[Grist]],SMI,0)),0,1))))</f>
        <v>1</v>
      </c>
      <c r="W293" s="127">
        <f>IF(INDEX(Ashmin,MATCH(Table36[[#This Row],[Grist]],SMI,0))="-","-",IF(Table36[[#This Row],[%Ash]]="-","-",IF(Table36[[#This Row],[%Ash]]&lt;INDEX(Ashmin,MATCH(Table36[[#This Row],[Grist]],SMI,0)),0,IF(Table36[[#This Row],[%Ash]]&gt;INDEX(Ashmax,MATCH(Table36[[#This Row],[Grist]],SMI,0)),0,1))))</f>
        <v>1</v>
      </c>
      <c r="X293" s="127">
        <f>IF(INDEX(Absmin,MATCH(Table36[[#This Row],[Grist]],SMI,0))="-","-",IF(Table36[[#This Row],[%Absorption]]="-","-",IF(Table36[[#This Row],[%Absorption]]&lt;INDEX(Absmin,MATCH(Table36[[#This Row],[Grist]],SMI,0)),0,IF(Table36[[#This Row],[%Absorption]]&gt;INDEX(Absmax,MATCH(Table36[[#This Row],[Grist]],SMI,0)),0,1))))</f>
        <v>1</v>
      </c>
      <c r="Y293" s="127" t="str">
        <f>IF(INDEX(Extmin,MATCH(Table36[[#This Row],[Grist]],SMI,0))="-","-",IF(Table36[[#This Row],[%Extensibility]]="-","-",IF(Table36[[#This Row],[%Extensibility]]&lt;INDEX(Extmin,MATCH(Table36[[#This Row],[Grist]],SMI,0)),0,IF(Table36[[#This Row],[%Extensibility]]&gt;INDEX(Extmax,MATCH(Table36[[#This Row],[Grist]],SMI,0)),0,1))))</f>
        <v>-</v>
      </c>
      <c r="Z293" s="127" t="str">
        <f>IF(INDEX(Resmin,MATCH(Table36[[#This Row],[Grist]],SMI,0))="-","-",IF(Table36[[#This Row],[Resistance, max]]="-","-",IF(Table36[[#This Row],[Resistance, max]]&lt;INDEX(Resmin,MATCH(Table36[[#This Row],[Grist]],SMI,0)),0,IF(Table36[[#This Row],[Resistance, max]]&gt;INDEX(Resmax,MATCH(Table36[[#This Row],[Grist]],SMI,0)),0,1))))</f>
        <v>-</v>
      </c>
      <c r="AA293" s="127">
        <f>IF(INDEX(WGmin,MATCH(Table36[[#This Row],[Grist]],SMI,0))="-","-",IF(Table36[[#This Row],[%Wet Gluten]]="-","-",IF(Table36[[#This Row],[%Wet Gluten]]&lt;INDEX(WGmin,MATCH(Table36[[#This Row],[Grist]],SMI,0)),0,IF(Table36[[#This Row],[%Wet Gluten]]&gt;INDEX(WGmax,MATCH(Table36[[#This Row],[Grist]],SMI,0)),0,1))))</f>
        <v>0</v>
      </c>
      <c r="AB293" s="127">
        <f>SUM(Table36[[#This Row],[ QI Bran Content]:[QI WG]])</f>
        <v>7</v>
      </c>
      <c r="AC293" s="127">
        <f>COUNT(Table36[[#This Row],[ QI Bran Content]:[QI WG]])</f>
        <v>8</v>
      </c>
    </row>
    <row r="294" spans="1:29" x14ac:dyDescent="0.35">
      <c r="A294" s="177">
        <v>45328</v>
      </c>
      <c r="B294" s="178">
        <v>45325</v>
      </c>
      <c r="C294" s="178" t="s">
        <v>125</v>
      </c>
      <c r="D294" s="179" t="s">
        <v>240</v>
      </c>
      <c r="E294" s="180" t="s">
        <v>0</v>
      </c>
      <c r="F294" s="181" t="s">
        <v>32</v>
      </c>
      <c r="G294" s="182">
        <v>4.1999999999999997E-3</v>
      </c>
      <c r="H294" s="175" t="s">
        <v>165</v>
      </c>
      <c r="I294" s="175" t="s">
        <v>165</v>
      </c>
      <c r="J294" s="175" t="s">
        <v>165</v>
      </c>
      <c r="K294" s="175">
        <v>12.4</v>
      </c>
      <c r="L294" s="175">
        <v>12.85</v>
      </c>
      <c r="M294" s="175">
        <v>0.55000000000000004</v>
      </c>
      <c r="N294" s="175">
        <v>64.2</v>
      </c>
      <c r="O294" s="175" t="s">
        <v>163</v>
      </c>
      <c r="P294" s="175" t="s">
        <v>163</v>
      </c>
      <c r="Q294" s="175"/>
      <c r="R294" s="127">
        <f>IF(Table36[[#This Row],[ Bran Content]]="-","-",IF(G294&lt;0.02,1,0))</f>
        <v>1</v>
      </c>
      <c r="S294" s="127">
        <f>IF(Table36[[#This Row],[Sieve Test]]="-","-",IF(Table36[[#This Row],[Sieve Test]]="P",1,0))</f>
        <v>1</v>
      </c>
      <c r="T294" s="127">
        <f>IF(Table36[[#This Row],[Odor]]="-","-",IF(Table36[[#This Row],[Odor]]="P",1,0))</f>
        <v>1</v>
      </c>
      <c r="U294" s="127">
        <f>IF(INDEX(MCmin,MATCH(Table36[[#This Row],[Grist]],SMI,0))="-","-",IF(Table36[[#This Row],[F1 %MC]]="-","-",IF(Table36[[#This Row],[F1 %MC]]&lt;INDEX(MCmin,MATCH(Table36[[#This Row],[Grist]],SMI,0)),0,IF(Table36[[#This Row],[F1 %MC]]&gt;INDEX(MCmax,MATCH(Table36[[#This Row],[Grist]],SMI,0)),0,1))))</f>
        <v>1</v>
      </c>
      <c r="V294" s="127">
        <f>IF(INDEX(Protmin,MATCH(Table36[[#This Row],[Grist]],SMI,0))="-","-",IF(Table36[[#This Row],[%Protein]]="-","-",IF(Table36[[#This Row],[%Protein]]&lt;INDEX(Protmin,MATCH(Table36[[#This Row],[Grist]],SMI,0)),0,IF(Table36[[#This Row],[%Protein]]&gt;INDEX(Protmax,MATCH(Table36[[#This Row],[Grist]],SMI,0)),0,1))))</f>
        <v>1</v>
      </c>
      <c r="W294" s="127">
        <f>IF(INDEX(Ashmin,MATCH(Table36[[#This Row],[Grist]],SMI,0))="-","-",IF(Table36[[#This Row],[%Ash]]="-","-",IF(Table36[[#This Row],[%Ash]]&lt;INDEX(Ashmin,MATCH(Table36[[#This Row],[Grist]],SMI,0)),0,IF(Table36[[#This Row],[%Ash]]&gt;INDEX(Ashmax,MATCH(Table36[[#This Row],[Grist]],SMI,0)),0,1))))</f>
        <v>1</v>
      </c>
      <c r="X294" s="127">
        <f>IF(INDEX(Absmin,MATCH(Table36[[#This Row],[Grist]],SMI,0))="-","-",IF(Table36[[#This Row],[%Absorption]]="-","-",IF(Table36[[#This Row],[%Absorption]]&lt;INDEX(Absmin,MATCH(Table36[[#This Row],[Grist]],SMI,0)),0,IF(Table36[[#This Row],[%Absorption]]&gt;INDEX(Absmax,MATCH(Table36[[#This Row],[Grist]],SMI,0)),0,1))))</f>
        <v>1</v>
      </c>
      <c r="Y294" s="127" t="str">
        <f>IF(INDEX(Extmin,MATCH(Table36[[#This Row],[Grist]],SMI,0))="-","-",IF(Table36[[#This Row],[%Extensibility]]="-","-",IF(Table36[[#This Row],[%Extensibility]]&lt;INDEX(Extmin,MATCH(Table36[[#This Row],[Grist]],SMI,0)),0,IF(Table36[[#This Row],[%Extensibility]]&gt;INDEX(Extmax,MATCH(Table36[[#This Row],[Grist]],SMI,0)),0,1))))</f>
        <v>-</v>
      </c>
      <c r="Z294" s="127" t="str">
        <f>IF(INDEX(Resmin,MATCH(Table36[[#This Row],[Grist]],SMI,0))="-","-",IF(Table36[[#This Row],[Resistance, max]]="-","-",IF(Table36[[#This Row],[Resistance, max]]&lt;INDEX(Resmin,MATCH(Table36[[#This Row],[Grist]],SMI,0)),0,IF(Table36[[#This Row],[Resistance, max]]&gt;INDEX(Resmax,MATCH(Table36[[#This Row],[Grist]],SMI,0)),0,1))))</f>
        <v>-</v>
      </c>
      <c r="AA294" s="127">
        <f>IF(INDEX(WGmin,MATCH(Table36[[#This Row],[Grist]],SMI,0))="-","-",IF(Table36[[#This Row],[%Wet Gluten]]="-","-",IF(Table36[[#This Row],[%Wet Gluten]]&lt;INDEX(WGmin,MATCH(Table36[[#This Row],[Grist]],SMI,0)),0,IF(Table36[[#This Row],[%Wet Gluten]]&gt;INDEX(WGmax,MATCH(Table36[[#This Row],[Grist]],SMI,0)),0,1))))</f>
        <v>0</v>
      </c>
      <c r="AB294" s="127">
        <f>SUM(Table36[[#This Row],[ QI Bran Content]:[QI WG]])</f>
        <v>7</v>
      </c>
      <c r="AC294" s="127">
        <f>COUNT(Table36[[#This Row],[ QI Bran Content]:[QI WG]])</f>
        <v>8</v>
      </c>
    </row>
    <row r="295" spans="1:29" x14ac:dyDescent="0.35">
      <c r="A295" s="177">
        <v>45328</v>
      </c>
      <c r="B295" s="178">
        <v>45325</v>
      </c>
      <c r="C295" s="178" t="s">
        <v>125</v>
      </c>
      <c r="D295" s="179" t="s">
        <v>237</v>
      </c>
      <c r="E295" s="180" t="s">
        <v>0</v>
      </c>
      <c r="F295" s="181" t="s">
        <v>32</v>
      </c>
      <c r="G295" s="182">
        <v>8.0999999999999996E-3</v>
      </c>
      <c r="H295" s="175" t="s">
        <v>165</v>
      </c>
      <c r="I295" s="175" t="s">
        <v>165</v>
      </c>
      <c r="J295" s="175" t="s">
        <v>165</v>
      </c>
      <c r="K295" s="175">
        <v>12.23</v>
      </c>
      <c r="L295" s="175">
        <v>12.85</v>
      </c>
      <c r="M295" s="175">
        <v>0.55000000000000004</v>
      </c>
      <c r="N295" s="175">
        <v>64.2</v>
      </c>
      <c r="O295" s="175" t="s">
        <v>163</v>
      </c>
      <c r="P295" s="175" t="s">
        <v>163</v>
      </c>
      <c r="Q295" s="175"/>
      <c r="R295" s="127">
        <f>IF(Table36[[#This Row],[ Bran Content]]="-","-",IF(G295&lt;0.02,1,0))</f>
        <v>1</v>
      </c>
      <c r="S295" s="127">
        <f>IF(Table36[[#This Row],[Sieve Test]]="-","-",IF(Table36[[#This Row],[Sieve Test]]="P",1,0))</f>
        <v>1</v>
      </c>
      <c r="T295" s="127">
        <f>IF(Table36[[#This Row],[Odor]]="-","-",IF(Table36[[#This Row],[Odor]]="P",1,0))</f>
        <v>1</v>
      </c>
      <c r="U295" s="127">
        <f>IF(INDEX(MCmin,MATCH(Table36[[#This Row],[Grist]],SMI,0))="-","-",IF(Table36[[#This Row],[F1 %MC]]="-","-",IF(Table36[[#This Row],[F1 %MC]]&lt;INDEX(MCmin,MATCH(Table36[[#This Row],[Grist]],SMI,0)),0,IF(Table36[[#This Row],[F1 %MC]]&gt;INDEX(MCmax,MATCH(Table36[[#This Row],[Grist]],SMI,0)),0,1))))</f>
        <v>1</v>
      </c>
      <c r="V295" s="127">
        <f>IF(INDEX(Protmin,MATCH(Table36[[#This Row],[Grist]],SMI,0))="-","-",IF(Table36[[#This Row],[%Protein]]="-","-",IF(Table36[[#This Row],[%Protein]]&lt;INDEX(Protmin,MATCH(Table36[[#This Row],[Grist]],SMI,0)),0,IF(Table36[[#This Row],[%Protein]]&gt;INDEX(Protmax,MATCH(Table36[[#This Row],[Grist]],SMI,0)),0,1))))</f>
        <v>1</v>
      </c>
      <c r="W295" s="127">
        <f>IF(INDEX(Ashmin,MATCH(Table36[[#This Row],[Grist]],SMI,0))="-","-",IF(Table36[[#This Row],[%Ash]]="-","-",IF(Table36[[#This Row],[%Ash]]&lt;INDEX(Ashmin,MATCH(Table36[[#This Row],[Grist]],SMI,0)),0,IF(Table36[[#This Row],[%Ash]]&gt;INDEX(Ashmax,MATCH(Table36[[#This Row],[Grist]],SMI,0)),0,1))))</f>
        <v>1</v>
      </c>
      <c r="X295" s="127">
        <f>IF(INDEX(Absmin,MATCH(Table36[[#This Row],[Grist]],SMI,0))="-","-",IF(Table36[[#This Row],[%Absorption]]="-","-",IF(Table36[[#This Row],[%Absorption]]&lt;INDEX(Absmin,MATCH(Table36[[#This Row],[Grist]],SMI,0)),0,IF(Table36[[#This Row],[%Absorption]]&gt;INDEX(Absmax,MATCH(Table36[[#This Row],[Grist]],SMI,0)),0,1))))</f>
        <v>1</v>
      </c>
      <c r="Y295" s="127" t="str">
        <f>IF(INDEX(Extmin,MATCH(Table36[[#This Row],[Grist]],SMI,0))="-","-",IF(Table36[[#This Row],[%Extensibility]]="-","-",IF(Table36[[#This Row],[%Extensibility]]&lt;INDEX(Extmin,MATCH(Table36[[#This Row],[Grist]],SMI,0)),0,IF(Table36[[#This Row],[%Extensibility]]&gt;INDEX(Extmax,MATCH(Table36[[#This Row],[Grist]],SMI,0)),0,1))))</f>
        <v>-</v>
      </c>
      <c r="Z295" s="127" t="str">
        <f>IF(INDEX(Resmin,MATCH(Table36[[#This Row],[Grist]],SMI,0))="-","-",IF(Table36[[#This Row],[Resistance, max]]="-","-",IF(Table36[[#This Row],[Resistance, max]]&lt;INDEX(Resmin,MATCH(Table36[[#This Row],[Grist]],SMI,0)),0,IF(Table36[[#This Row],[Resistance, max]]&gt;INDEX(Resmax,MATCH(Table36[[#This Row],[Grist]],SMI,0)),0,1))))</f>
        <v>-</v>
      </c>
      <c r="AA295" s="127">
        <f>IF(INDEX(WGmin,MATCH(Table36[[#This Row],[Grist]],SMI,0))="-","-",IF(Table36[[#This Row],[%Wet Gluten]]="-","-",IF(Table36[[#This Row],[%Wet Gluten]]&lt;INDEX(WGmin,MATCH(Table36[[#This Row],[Grist]],SMI,0)),0,IF(Table36[[#This Row],[%Wet Gluten]]&gt;INDEX(WGmax,MATCH(Table36[[#This Row],[Grist]],SMI,0)),0,1))))</f>
        <v>0</v>
      </c>
      <c r="AB295" s="127">
        <f>SUM(Table36[[#This Row],[ QI Bran Content]:[QI WG]])</f>
        <v>7</v>
      </c>
      <c r="AC295" s="127">
        <f>COUNT(Table36[[#This Row],[ QI Bran Content]:[QI WG]])</f>
        <v>8</v>
      </c>
    </row>
    <row r="296" spans="1:29" x14ac:dyDescent="0.35">
      <c r="A296" s="177">
        <v>45328</v>
      </c>
      <c r="B296" s="178">
        <v>45325</v>
      </c>
      <c r="C296" s="178" t="s">
        <v>125</v>
      </c>
      <c r="D296" s="179" t="s">
        <v>238</v>
      </c>
      <c r="E296" s="180" t="s">
        <v>0</v>
      </c>
      <c r="F296" s="181" t="s">
        <v>32</v>
      </c>
      <c r="G296" s="182">
        <v>8.2000000000000007E-3</v>
      </c>
      <c r="H296" s="175" t="s">
        <v>165</v>
      </c>
      <c r="I296" s="175" t="s">
        <v>165</v>
      </c>
      <c r="J296" s="175" t="s">
        <v>165</v>
      </c>
      <c r="K296" s="175">
        <v>12.48</v>
      </c>
      <c r="L296" s="175">
        <v>12.85</v>
      </c>
      <c r="M296" s="175">
        <v>0.55000000000000004</v>
      </c>
      <c r="N296" s="175">
        <v>64.2</v>
      </c>
      <c r="O296" s="175" t="s">
        <v>163</v>
      </c>
      <c r="P296" s="175" t="s">
        <v>163</v>
      </c>
      <c r="Q296" s="175"/>
      <c r="R296" s="127">
        <f>IF(Table36[[#This Row],[ Bran Content]]="-","-",IF(G296&lt;0.02,1,0))</f>
        <v>1</v>
      </c>
      <c r="S296" s="127">
        <f>IF(Table36[[#This Row],[Sieve Test]]="-","-",IF(Table36[[#This Row],[Sieve Test]]="P",1,0))</f>
        <v>1</v>
      </c>
      <c r="T296" s="127">
        <f>IF(Table36[[#This Row],[Odor]]="-","-",IF(Table36[[#This Row],[Odor]]="P",1,0))</f>
        <v>1</v>
      </c>
      <c r="U296" s="127">
        <f>IF(INDEX(MCmin,MATCH(Table36[[#This Row],[Grist]],SMI,0))="-","-",IF(Table36[[#This Row],[F1 %MC]]="-","-",IF(Table36[[#This Row],[F1 %MC]]&lt;INDEX(MCmin,MATCH(Table36[[#This Row],[Grist]],SMI,0)),0,IF(Table36[[#This Row],[F1 %MC]]&gt;INDEX(MCmax,MATCH(Table36[[#This Row],[Grist]],SMI,0)),0,1))))</f>
        <v>1</v>
      </c>
      <c r="V296" s="127">
        <f>IF(INDEX(Protmin,MATCH(Table36[[#This Row],[Grist]],SMI,0))="-","-",IF(Table36[[#This Row],[%Protein]]="-","-",IF(Table36[[#This Row],[%Protein]]&lt;INDEX(Protmin,MATCH(Table36[[#This Row],[Grist]],SMI,0)),0,IF(Table36[[#This Row],[%Protein]]&gt;INDEX(Protmax,MATCH(Table36[[#This Row],[Grist]],SMI,0)),0,1))))</f>
        <v>1</v>
      </c>
      <c r="W296" s="127">
        <f>IF(INDEX(Ashmin,MATCH(Table36[[#This Row],[Grist]],SMI,0))="-","-",IF(Table36[[#This Row],[%Ash]]="-","-",IF(Table36[[#This Row],[%Ash]]&lt;INDEX(Ashmin,MATCH(Table36[[#This Row],[Grist]],SMI,0)),0,IF(Table36[[#This Row],[%Ash]]&gt;INDEX(Ashmax,MATCH(Table36[[#This Row],[Grist]],SMI,0)),0,1))))</f>
        <v>1</v>
      </c>
      <c r="X296" s="127">
        <f>IF(INDEX(Absmin,MATCH(Table36[[#This Row],[Grist]],SMI,0))="-","-",IF(Table36[[#This Row],[%Absorption]]="-","-",IF(Table36[[#This Row],[%Absorption]]&lt;INDEX(Absmin,MATCH(Table36[[#This Row],[Grist]],SMI,0)),0,IF(Table36[[#This Row],[%Absorption]]&gt;INDEX(Absmax,MATCH(Table36[[#This Row],[Grist]],SMI,0)),0,1))))</f>
        <v>1</v>
      </c>
      <c r="Y296" s="127" t="str">
        <f>IF(INDEX(Extmin,MATCH(Table36[[#This Row],[Grist]],SMI,0))="-","-",IF(Table36[[#This Row],[%Extensibility]]="-","-",IF(Table36[[#This Row],[%Extensibility]]&lt;INDEX(Extmin,MATCH(Table36[[#This Row],[Grist]],SMI,0)),0,IF(Table36[[#This Row],[%Extensibility]]&gt;INDEX(Extmax,MATCH(Table36[[#This Row],[Grist]],SMI,0)),0,1))))</f>
        <v>-</v>
      </c>
      <c r="Z296" s="127" t="str">
        <f>IF(INDEX(Resmin,MATCH(Table36[[#This Row],[Grist]],SMI,0))="-","-",IF(Table36[[#This Row],[Resistance, max]]="-","-",IF(Table36[[#This Row],[Resistance, max]]&lt;INDEX(Resmin,MATCH(Table36[[#This Row],[Grist]],SMI,0)),0,IF(Table36[[#This Row],[Resistance, max]]&gt;INDEX(Resmax,MATCH(Table36[[#This Row],[Grist]],SMI,0)),0,1))))</f>
        <v>-</v>
      </c>
      <c r="AA296" s="127">
        <f>IF(INDEX(WGmin,MATCH(Table36[[#This Row],[Grist]],SMI,0))="-","-",IF(Table36[[#This Row],[%Wet Gluten]]="-","-",IF(Table36[[#This Row],[%Wet Gluten]]&lt;INDEX(WGmin,MATCH(Table36[[#This Row],[Grist]],SMI,0)),0,IF(Table36[[#This Row],[%Wet Gluten]]&gt;INDEX(WGmax,MATCH(Table36[[#This Row],[Grist]],SMI,0)),0,1))))</f>
        <v>0</v>
      </c>
      <c r="AB296" s="127">
        <f>SUM(Table36[[#This Row],[ QI Bran Content]:[QI WG]])</f>
        <v>7</v>
      </c>
      <c r="AC296" s="127">
        <f>COUNT(Table36[[#This Row],[ QI Bran Content]:[QI WG]])</f>
        <v>8</v>
      </c>
    </row>
    <row r="297" spans="1:29" x14ac:dyDescent="0.35">
      <c r="A297" s="177">
        <v>45328</v>
      </c>
      <c r="B297" s="178">
        <v>45325</v>
      </c>
      <c r="C297" s="178" t="s">
        <v>125</v>
      </c>
      <c r="D297" s="179" t="s">
        <v>239</v>
      </c>
      <c r="E297" s="180" t="s">
        <v>2</v>
      </c>
      <c r="F297" s="181" t="s">
        <v>242</v>
      </c>
      <c r="G297" s="182" t="s">
        <v>248</v>
      </c>
      <c r="H297" s="175" t="s">
        <v>165</v>
      </c>
      <c r="I297" s="175" t="s">
        <v>165</v>
      </c>
      <c r="J297" s="175" t="s">
        <v>165</v>
      </c>
      <c r="K297" s="175">
        <v>12.51</v>
      </c>
      <c r="L297" s="175" t="s">
        <v>249</v>
      </c>
      <c r="M297" s="175" t="s">
        <v>250</v>
      </c>
      <c r="N297" s="175">
        <v>63.6</v>
      </c>
      <c r="O297" s="175" t="s">
        <v>163</v>
      </c>
      <c r="P297" s="175" t="s">
        <v>163</v>
      </c>
      <c r="Q297" s="175"/>
      <c r="R297" s="127">
        <f>IF(Table36[[#This Row],[ Bran Content]]="-","-",IF(G297&lt;0.02,1,0))</f>
        <v>0</v>
      </c>
      <c r="S297" s="127">
        <f>IF(Table36[[#This Row],[Sieve Test]]="-","-",IF(Table36[[#This Row],[Sieve Test]]="P",1,0))</f>
        <v>1</v>
      </c>
      <c r="T297" s="127">
        <f>IF(Table36[[#This Row],[Odor]]="-","-",IF(Table36[[#This Row],[Odor]]="P",1,0))</f>
        <v>1</v>
      </c>
      <c r="U297" s="127">
        <f>IF(INDEX(MCmin,MATCH(Table36[[#This Row],[Grist]],SMI,0))="-","-",IF(Table36[[#This Row],[F1 %MC]]="-","-",IF(Table36[[#This Row],[F1 %MC]]&lt;INDEX(MCmin,MATCH(Table36[[#This Row],[Grist]],SMI,0)),0,IF(Table36[[#This Row],[F1 %MC]]&gt;INDEX(MCmax,MATCH(Table36[[#This Row],[Grist]],SMI,0)),0,1))))</f>
        <v>1</v>
      </c>
      <c r="V297" s="127">
        <f>IF(INDEX(Protmin,MATCH(Table36[[#This Row],[Grist]],SMI,0))="-","-",IF(Table36[[#This Row],[%Protein]]="-","-",IF(Table36[[#This Row],[%Protein]]&lt;INDEX(Protmin,MATCH(Table36[[#This Row],[Grist]],SMI,0)),0,IF(Table36[[#This Row],[%Protein]]&gt;INDEX(Protmax,MATCH(Table36[[#This Row],[Grist]],SMI,0)),0,1))))</f>
        <v>0</v>
      </c>
      <c r="W297" s="127">
        <f>IF(INDEX(Ashmin,MATCH(Table36[[#This Row],[Grist]],SMI,0))="-","-",IF(Table36[[#This Row],[%Ash]]="-","-",IF(Table36[[#This Row],[%Ash]]&lt;INDEX(Ashmin,MATCH(Table36[[#This Row],[Grist]],SMI,0)),0,IF(Table36[[#This Row],[%Ash]]&gt;INDEX(Ashmax,MATCH(Table36[[#This Row],[Grist]],SMI,0)),0,1))))</f>
        <v>0</v>
      </c>
      <c r="X297" s="127">
        <f>IF(INDEX(Absmin,MATCH(Table36[[#This Row],[Grist]],SMI,0))="-","-",IF(Table36[[#This Row],[%Absorption]]="-","-",IF(Table36[[#This Row],[%Absorption]]&lt;INDEX(Absmin,MATCH(Table36[[#This Row],[Grist]],SMI,0)),0,IF(Table36[[#This Row],[%Absorption]]&gt;INDEX(Absmax,MATCH(Table36[[#This Row],[Grist]],SMI,0)),0,1))))</f>
        <v>1</v>
      </c>
      <c r="Y297" s="127" t="str">
        <f>IF(INDEX(Extmin,MATCH(Table36[[#This Row],[Grist]],SMI,0))="-","-",IF(Table36[[#This Row],[%Extensibility]]="-","-",IF(Table36[[#This Row],[%Extensibility]]&lt;INDEX(Extmin,MATCH(Table36[[#This Row],[Grist]],SMI,0)),0,IF(Table36[[#This Row],[%Extensibility]]&gt;INDEX(Extmax,MATCH(Table36[[#This Row],[Grist]],SMI,0)),0,1))))</f>
        <v>-</v>
      </c>
      <c r="Z297" s="127" t="str">
        <f>IF(INDEX(Resmin,MATCH(Table36[[#This Row],[Grist]],SMI,0))="-","-",IF(Table36[[#This Row],[Resistance, max]]="-","-",IF(Table36[[#This Row],[Resistance, max]]&lt;INDEX(Resmin,MATCH(Table36[[#This Row],[Grist]],SMI,0)),0,IF(Table36[[#This Row],[Resistance, max]]&gt;INDEX(Resmax,MATCH(Table36[[#This Row],[Grist]],SMI,0)),0,1))))</f>
        <v>-</v>
      </c>
      <c r="AA297" s="127">
        <f>IF(INDEX(WGmin,MATCH(Table36[[#This Row],[Grist]],SMI,0))="-","-",IF(Table36[[#This Row],[%Wet Gluten]]="-","-",IF(Table36[[#This Row],[%Wet Gluten]]&lt;INDEX(WGmin,MATCH(Table36[[#This Row],[Grist]],SMI,0)),0,IF(Table36[[#This Row],[%Wet Gluten]]&gt;INDEX(WGmax,MATCH(Table36[[#This Row],[Grist]],SMI,0)),0,1))))</f>
        <v>0</v>
      </c>
      <c r="AB297" s="127">
        <f>SUM(Table36[[#This Row],[ QI Bran Content]:[QI WG]])</f>
        <v>4</v>
      </c>
      <c r="AC297" s="127">
        <f>COUNT(Table36[[#This Row],[ QI Bran Content]:[QI WG]])</f>
        <v>8</v>
      </c>
    </row>
    <row r="298" spans="1:29" x14ac:dyDescent="0.35">
      <c r="A298" s="177">
        <v>45328</v>
      </c>
      <c r="B298" s="178">
        <v>45325</v>
      </c>
      <c r="C298" s="178" t="s">
        <v>125</v>
      </c>
      <c r="D298" s="179" t="s">
        <v>240</v>
      </c>
      <c r="E298" s="180" t="s">
        <v>2</v>
      </c>
      <c r="F298" s="181" t="s">
        <v>242</v>
      </c>
      <c r="G298" s="182" t="s">
        <v>251</v>
      </c>
      <c r="H298" s="175" t="s">
        <v>165</v>
      </c>
      <c r="I298" s="175" t="s">
        <v>165</v>
      </c>
      <c r="J298" s="175" t="s">
        <v>165</v>
      </c>
      <c r="K298" s="175">
        <v>12.1</v>
      </c>
      <c r="L298" s="175" t="s">
        <v>249</v>
      </c>
      <c r="M298" s="175" t="s">
        <v>250</v>
      </c>
      <c r="N298" s="175">
        <v>63.6</v>
      </c>
      <c r="O298" s="175" t="s">
        <v>163</v>
      </c>
      <c r="P298" s="175" t="s">
        <v>163</v>
      </c>
      <c r="Q298" s="175"/>
      <c r="R298" s="127">
        <f>IF(Table36[[#This Row],[ Bran Content]]="-","-",IF(G298&lt;0.02,1,0))</f>
        <v>0</v>
      </c>
      <c r="S298" s="127">
        <f>IF(Table36[[#This Row],[Sieve Test]]="-","-",IF(Table36[[#This Row],[Sieve Test]]="P",1,0))</f>
        <v>1</v>
      </c>
      <c r="T298" s="127">
        <f>IF(Table36[[#This Row],[Odor]]="-","-",IF(Table36[[#This Row],[Odor]]="P",1,0))</f>
        <v>1</v>
      </c>
      <c r="U298" s="127">
        <f>IF(INDEX(MCmin,MATCH(Table36[[#This Row],[Grist]],SMI,0))="-","-",IF(Table36[[#This Row],[F1 %MC]]="-","-",IF(Table36[[#This Row],[F1 %MC]]&lt;INDEX(MCmin,MATCH(Table36[[#This Row],[Grist]],SMI,0)),0,IF(Table36[[#This Row],[F1 %MC]]&gt;INDEX(MCmax,MATCH(Table36[[#This Row],[Grist]],SMI,0)),0,1))))</f>
        <v>1</v>
      </c>
      <c r="V298" s="127">
        <f>IF(INDEX(Protmin,MATCH(Table36[[#This Row],[Grist]],SMI,0))="-","-",IF(Table36[[#This Row],[%Protein]]="-","-",IF(Table36[[#This Row],[%Protein]]&lt;INDEX(Protmin,MATCH(Table36[[#This Row],[Grist]],SMI,0)),0,IF(Table36[[#This Row],[%Protein]]&gt;INDEX(Protmax,MATCH(Table36[[#This Row],[Grist]],SMI,0)),0,1))))</f>
        <v>0</v>
      </c>
      <c r="W298" s="127">
        <f>IF(INDEX(Ashmin,MATCH(Table36[[#This Row],[Grist]],SMI,0))="-","-",IF(Table36[[#This Row],[%Ash]]="-","-",IF(Table36[[#This Row],[%Ash]]&lt;INDEX(Ashmin,MATCH(Table36[[#This Row],[Grist]],SMI,0)),0,IF(Table36[[#This Row],[%Ash]]&gt;INDEX(Ashmax,MATCH(Table36[[#This Row],[Grist]],SMI,0)),0,1))))</f>
        <v>0</v>
      </c>
      <c r="X298" s="127">
        <f>IF(INDEX(Absmin,MATCH(Table36[[#This Row],[Grist]],SMI,0))="-","-",IF(Table36[[#This Row],[%Absorption]]="-","-",IF(Table36[[#This Row],[%Absorption]]&lt;INDEX(Absmin,MATCH(Table36[[#This Row],[Grist]],SMI,0)),0,IF(Table36[[#This Row],[%Absorption]]&gt;INDEX(Absmax,MATCH(Table36[[#This Row],[Grist]],SMI,0)),0,1))))</f>
        <v>1</v>
      </c>
      <c r="Y298" s="127" t="str">
        <f>IF(INDEX(Extmin,MATCH(Table36[[#This Row],[Grist]],SMI,0))="-","-",IF(Table36[[#This Row],[%Extensibility]]="-","-",IF(Table36[[#This Row],[%Extensibility]]&lt;INDEX(Extmin,MATCH(Table36[[#This Row],[Grist]],SMI,0)),0,IF(Table36[[#This Row],[%Extensibility]]&gt;INDEX(Extmax,MATCH(Table36[[#This Row],[Grist]],SMI,0)),0,1))))</f>
        <v>-</v>
      </c>
      <c r="Z298" s="127" t="str">
        <f>IF(INDEX(Resmin,MATCH(Table36[[#This Row],[Grist]],SMI,0))="-","-",IF(Table36[[#This Row],[Resistance, max]]="-","-",IF(Table36[[#This Row],[Resistance, max]]&lt;INDEX(Resmin,MATCH(Table36[[#This Row],[Grist]],SMI,0)),0,IF(Table36[[#This Row],[Resistance, max]]&gt;INDEX(Resmax,MATCH(Table36[[#This Row],[Grist]],SMI,0)),0,1))))</f>
        <v>-</v>
      </c>
      <c r="AA298" s="127">
        <f>IF(INDEX(WGmin,MATCH(Table36[[#This Row],[Grist]],SMI,0))="-","-",IF(Table36[[#This Row],[%Wet Gluten]]="-","-",IF(Table36[[#This Row],[%Wet Gluten]]&lt;INDEX(WGmin,MATCH(Table36[[#This Row],[Grist]],SMI,0)),0,IF(Table36[[#This Row],[%Wet Gluten]]&gt;INDEX(WGmax,MATCH(Table36[[#This Row],[Grist]],SMI,0)),0,1))))</f>
        <v>0</v>
      </c>
      <c r="AB298" s="127">
        <f>SUM(Table36[[#This Row],[ QI Bran Content]:[QI WG]])</f>
        <v>4</v>
      </c>
      <c r="AC298" s="127">
        <f>COUNT(Table36[[#This Row],[ QI Bran Content]:[QI WG]])</f>
        <v>8</v>
      </c>
    </row>
    <row r="299" spans="1:29" x14ac:dyDescent="0.35">
      <c r="A299" s="177">
        <v>45328</v>
      </c>
      <c r="B299" s="178">
        <v>45325</v>
      </c>
      <c r="C299" s="178" t="s">
        <v>125</v>
      </c>
      <c r="D299" s="179" t="s">
        <v>237</v>
      </c>
      <c r="E299" s="180" t="s">
        <v>2</v>
      </c>
      <c r="F299" s="181" t="s">
        <v>242</v>
      </c>
      <c r="G299" s="182" t="s">
        <v>252</v>
      </c>
      <c r="H299" s="175" t="s">
        <v>165</v>
      </c>
      <c r="I299" s="175" t="s">
        <v>165</v>
      </c>
      <c r="J299" s="175" t="s">
        <v>165</v>
      </c>
      <c r="K299" s="175">
        <v>11.99</v>
      </c>
      <c r="L299" s="175" t="s">
        <v>249</v>
      </c>
      <c r="M299" s="175" t="s">
        <v>250</v>
      </c>
      <c r="N299" s="175">
        <v>63.6</v>
      </c>
      <c r="O299" s="175" t="s">
        <v>163</v>
      </c>
      <c r="P299" s="175" t="s">
        <v>163</v>
      </c>
      <c r="Q299" s="175"/>
      <c r="R299" s="127">
        <f>IF(Table36[[#This Row],[ Bran Content]]="-","-",IF(G299&lt;0.02,1,0))</f>
        <v>0</v>
      </c>
      <c r="S299" s="127">
        <f>IF(Table36[[#This Row],[Sieve Test]]="-","-",IF(Table36[[#This Row],[Sieve Test]]="P",1,0))</f>
        <v>1</v>
      </c>
      <c r="T299" s="127">
        <f>IF(Table36[[#This Row],[Odor]]="-","-",IF(Table36[[#This Row],[Odor]]="P",1,0))</f>
        <v>1</v>
      </c>
      <c r="U299" s="127">
        <f>IF(INDEX(MCmin,MATCH(Table36[[#This Row],[Grist]],SMI,0))="-","-",IF(Table36[[#This Row],[F1 %MC]]="-","-",IF(Table36[[#This Row],[F1 %MC]]&lt;INDEX(MCmin,MATCH(Table36[[#This Row],[Grist]],SMI,0)),0,IF(Table36[[#This Row],[F1 %MC]]&gt;INDEX(MCmax,MATCH(Table36[[#This Row],[Grist]],SMI,0)),0,1))))</f>
        <v>0</v>
      </c>
      <c r="V299" s="127">
        <f>IF(INDEX(Protmin,MATCH(Table36[[#This Row],[Grist]],SMI,0))="-","-",IF(Table36[[#This Row],[%Protein]]="-","-",IF(Table36[[#This Row],[%Protein]]&lt;INDEX(Protmin,MATCH(Table36[[#This Row],[Grist]],SMI,0)),0,IF(Table36[[#This Row],[%Protein]]&gt;INDEX(Protmax,MATCH(Table36[[#This Row],[Grist]],SMI,0)),0,1))))</f>
        <v>0</v>
      </c>
      <c r="W299" s="127">
        <f>IF(INDEX(Ashmin,MATCH(Table36[[#This Row],[Grist]],SMI,0))="-","-",IF(Table36[[#This Row],[%Ash]]="-","-",IF(Table36[[#This Row],[%Ash]]&lt;INDEX(Ashmin,MATCH(Table36[[#This Row],[Grist]],SMI,0)),0,IF(Table36[[#This Row],[%Ash]]&gt;INDEX(Ashmax,MATCH(Table36[[#This Row],[Grist]],SMI,0)),0,1))))</f>
        <v>0</v>
      </c>
      <c r="X299" s="127">
        <f>IF(INDEX(Absmin,MATCH(Table36[[#This Row],[Grist]],SMI,0))="-","-",IF(Table36[[#This Row],[%Absorption]]="-","-",IF(Table36[[#This Row],[%Absorption]]&lt;INDEX(Absmin,MATCH(Table36[[#This Row],[Grist]],SMI,0)),0,IF(Table36[[#This Row],[%Absorption]]&gt;INDEX(Absmax,MATCH(Table36[[#This Row],[Grist]],SMI,0)),0,1))))</f>
        <v>1</v>
      </c>
      <c r="Y299" s="127" t="str">
        <f>IF(INDEX(Extmin,MATCH(Table36[[#This Row],[Grist]],SMI,0))="-","-",IF(Table36[[#This Row],[%Extensibility]]="-","-",IF(Table36[[#This Row],[%Extensibility]]&lt;INDEX(Extmin,MATCH(Table36[[#This Row],[Grist]],SMI,0)),0,IF(Table36[[#This Row],[%Extensibility]]&gt;INDEX(Extmax,MATCH(Table36[[#This Row],[Grist]],SMI,0)),0,1))))</f>
        <v>-</v>
      </c>
      <c r="Z299" s="127" t="str">
        <f>IF(INDEX(Resmin,MATCH(Table36[[#This Row],[Grist]],SMI,0))="-","-",IF(Table36[[#This Row],[Resistance, max]]="-","-",IF(Table36[[#This Row],[Resistance, max]]&lt;INDEX(Resmin,MATCH(Table36[[#This Row],[Grist]],SMI,0)),0,IF(Table36[[#This Row],[Resistance, max]]&gt;INDEX(Resmax,MATCH(Table36[[#This Row],[Grist]],SMI,0)),0,1))))</f>
        <v>-</v>
      </c>
      <c r="AA299" s="127">
        <f>IF(INDEX(WGmin,MATCH(Table36[[#This Row],[Grist]],SMI,0))="-","-",IF(Table36[[#This Row],[%Wet Gluten]]="-","-",IF(Table36[[#This Row],[%Wet Gluten]]&lt;INDEX(WGmin,MATCH(Table36[[#This Row],[Grist]],SMI,0)),0,IF(Table36[[#This Row],[%Wet Gluten]]&gt;INDEX(WGmax,MATCH(Table36[[#This Row],[Grist]],SMI,0)),0,1))))</f>
        <v>0</v>
      </c>
      <c r="AB299" s="127">
        <f>SUM(Table36[[#This Row],[ QI Bran Content]:[QI WG]])</f>
        <v>3</v>
      </c>
      <c r="AC299" s="127">
        <f>COUNT(Table36[[#This Row],[ QI Bran Content]:[QI WG]])</f>
        <v>8</v>
      </c>
    </row>
    <row r="300" spans="1:29" x14ac:dyDescent="0.35">
      <c r="A300" s="177">
        <v>45328</v>
      </c>
      <c r="B300" s="178">
        <v>45325</v>
      </c>
      <c r="C300" s="178" t="s">
        <v>125</v>
      </c>
      <c r="D300" s="179" t="s">
        <v>238</v>
      </c>
      <c r="E300" s="180" t="s">
        <v>2</v>
      </c>
      <c r="F300" s="181" t="s">
        <v>242</v>
      </c>
      <c r="G300" s="182" t="s">
        <v>253</v>
      </c>
      <c r="H300" s="175" t="s">
        <v>165</v>
      </c>
      <c r="I300" s="175" t="s">
        <v>165</v>
      </c>
      <c r="J300" s="175" t="s">
        <v>165</v>
      </c>
      <c r="K300" s="175">
        <v>11.97</v>
      </c>
      <c r="L300" s="175" t="s">
        <v>249</v>
      </c>
      <c r="M300" s="175" t="s">
        <v>250</v>
      </c>
      <c r="N300" s="175">
        <v>63.6</v>
      </c>
      <c r="O300" s="175" t="s">
        <v>163</v>
      </c>
      <c r="P300" s="175" t="s">
        <v>163</v>
      </c>
      <c r="Q300" s="175"/>
      <c r="R300" s="127">
        <f>IF(Table36[[#This Row],[ Bran Content]]="-","-",IF(G300&lt;0.02,1,0))</f>
        <v>0</v>
      </c>
      <c r="S300" s="127">
        <f>IF(Table36[[#This Row],[Sieve Test]]="-","-",IF(Table36[[#This Row],[Sieve Test]]="P",1,0))</f>
        <v>1</v>
      </c>
      <c r="T300" s="127">
        <f>IF(Table36[[#This Row],[Odor]]="-","-",IF(Table36[[#This Row],[Odor]]="P",1,0))</f>
        <v>1</v>
      </c>
      <c r="U300" s="127">
        <f>IF(INDEX(MCmin,MATCH(Table36[[#This Row],[Grist]],SMI,0))="-","-",IF(Table36[[#This Row],[F1 %MC]]="-","-",IF(Table36[[#This Row],[F1 %MC]]&lt;INDEX(MCmin,MATCH(Table36[[#This Row],[Grist]],SMI,0)),0,IF(Table36[[#This Row],[F1 %MC]]&gt;INDEX(MCmax,MATCH(Table36[[#This Row],[Grist]],SMI,0)),0,1))))</f>
        <v>0</v>
      </c>
      <c r="V300" s="127">
        <f>IF(INDEX(Protmin,MATCH(Table36[[#This Row],[Grist]],SMI,0))="-","-",IF(Table36[[#This Row],[%Protein]]="-","-",IF(Table36[[#This Row],[%Protein]]&lt;INDEX(Protmin,MATCH(Table36[[#This Row],[Grist]],SMI,0)),0,IF(Table36[[#This Row],[%Protein]]&gt;INDEX(Protmax,MATCH(Table36[[#This Row],[Grist]],SMI,0)),0,1))))</f>
        <v>0</v>
      </c>
      <c r="W300" s="127">
        <f>IF(INDEX(Ashmin,MATCH(Table36[[#This Row],[Grist]],SMI,0))="-","-",IF(Table36[[#This Row],[%Ash]]="-","-",IF(Table36[[#This Row],[%Ash]]&lt;INDEX(Ashmin,MATCH(Table36[[#This Row],[Grist]],SMI,0)),0,IF(Table36[[#This Row],[%Ash]]&gt;INDEX(Ashmax,MATCH(Table36[[#This Row],[Grist]],SMI,0)),0,1))))</f>
        <v>0</v>
      </c>
      <c r="X300" s="127">
        <f>IF(INDEX(Absmin,MATCH(Table36[[#This Row],[Grist]],SMI,0))="-","-",IF(Table36[[#This Row],[%Absorption]]="-","-",IF(Table36[[#This Row],[%Absorption]]&lt;INDEX(Absmin,MATCH(Table36[[#This Row],[Grist]],SMI,0)),0,IF(Table36[[#This Row],[%Absorption]]&gt;INDEX(Absmax,MATCH(Table36[[#This Row],[Grist]],SMI,0)),0,1))))</f>
        <v>1</v>
      </c>
      <c r="Y300" s="127" t="str">
        <f>IF(INDEX(Extmin,MATCH(Table36[[#This Row],[Grist]],SMI,0))="-","-",IF(Table36[[#This Row],[%Extensibility]]="-","-",IF(Table36[[#This Row],[%Extensibility]]&lt;INDEX(Extmin,MATCH(Table36[[#This Row],[Grist]],SMI,0)),0,IF(Table36[[#This Row],[%Extensibility]]&gt;INDEX(Extmax,MATCH(Table36[[#This Row],[Grist]],SMI,0)),0,1))))</f>
        <v>-</v>
      </c>
      <c r="Z300" s="127" t="str">
        <f>IF(INDEX(Resmin,MATCH(Table36[[#This Row],[Grist]],SMI,0))="-","-",IF(Table36[[#This Row],[Resistance, max]]="-","-",IF(Table36[[#This Row],[Resistance, max]]&lt;INDEX(Resmin,MATCH(Table36[[#This Row],[Grist]],SMI,0)),0,IF(Table36[[#This Row],[Resistance, max]]&gt;INDEX(Resmax,MATCH(Table36[[#This Row],[Grist]],SMI,0)),0,1))))</f>
        <v>-</v>
      </c>
      <c r="AA300" s="127">
        <f>IF(INDEX(WGmin,MATCH(Table36[[#This Row],[Grist]],SMI,0))="-","-",IF(Table36[[#This Row],[%Wet Gluten]]="-","-",IF(Table36[[#This Row],[%Wet Gluten]]&lt;INDEX(WGmin,MATCH(Table36[[#This Row],[Grist]],SMI,0)),0,IF(Table36[[#This Row],[%Wet Gluten]]&gt;INDEX(WGmax,MATCH(Table36[[#This Row],[Grist]],SMI,0)),0,1))))</f>
        <v>0</v>
      </c>
      <c r="AB300" s="127">
        <f>SUM(Table36[[#This Row],[ QI Bran Content]:[QI WG]])</f>
        <v>3</v>
      </c>
      <c r="AC300" s="127">
        <f>COUNT(Table36[[#This Row],[ QI Bran Content]:[QI WG]])</f>
        <v>8</v>
      </c>
    </row>
    <row r="301" spans="1:29" x14ac:dyDescent="0.35">
      <c r="A301" s="177">
        <v>45328</v>
      </c>
      <c r="B301" s="178">
        <v>45329</v>
      </c>
      <c r="C301" s="178" t="s">
        <v>128</v>
      </c>
      <c r="D301" s="179">
        <v>0.874999999999999</v>
      </c>
      <c r="E301" s="180" t="s">
        <v>0</v>
      </c>
      <c r="F301" s="181" t="s">
        <v>27</v>
      </c>
      <c r="G301" s="182">
        <v>3.7000000000000002E-3</v>
      </c>
      <c r="H301" s="175" t="s">
        <v>165</v>
      </c>
      <c r="I301" s="175" t="s">
        <v>165</v>
      </c>
      <c r="J301" s="175" t="s">
        <v>165</v>
      </c>
      <c r="K301" s="175">
        <v>12.5</v>
      </c>
      <c r="L301" s="175" t="s">
        <v>163</v>
      </c>
      <c r="M301" s="175" t="s">
        <v>163</v>
      </c>
      <c r="N301" s="175" t="s">
        <v>163</v>
      </c>
      <c r="O301" s="175" t="s">
        <v>163</v>
      </c>
      <c r="P301" s="175" t="s">
        <v>163</v>
      </c>
      <c r="Q301" s="175"/>
      <c r="R301" s="127">
        <f>IF(Table36[[#This Row],[ Bran Content]]="-","-",IF(G301&lt;0.02,1,0))</f>
        <v>1</v>
      </c>
      <c r="S301" s="127">
        <f>IF(Table36[[#This Row],[Sieve Test]]="-","-",IF(Table36[[#This Row],[Sieve Test]]="P",1,0))</f>
        <v>1</v>
      </c>
      <c r="T301" s="127">
        <f>IF(Table36[[#This Row],[Odor]]="-","-",IF(Table36[[#This Row],[Odor]]="P",1,0))</f>
        <v>1</v>
      </c>
      <c r="U301" s="127">
        <f>IF(INDEX(MCmin,MATCH(Table36[[#This Row],[Grist]],SMI,0))="-","-",IF(Table36[[#This Row],[F1 %MC]]="-","-",IF(Table36[[#This Row],[F1 %MC]]&lt;INDEX(MCmin,MATCH(Table36[[#This Row],[Grist]],SMI,0)),0,IF(Table36[[#This Row],[F1 %MC]]&gt;INDEX(MCmax,MATCH(Table36[[#This Row],[Grist]],SMI,0)),0,1))))</f>
        <v>1</v>
      </c>
      <c r="V301" s="127" t="str">
        <f>IF(INDEX(Protmin,MATCH(Table36[[#This Row],[Grist]],SMI,0))="-","-",IF(Table36[[#This Row],[%Protein]]="-","-",IF(Table36[[#This Row],[%Protein]]&lt;INDEX(Protmin,MATCH(Table36[[#This Row],[Grist]],SMI,0)),0,IF(Table36[[#This Row],[%Protein]]&gt;INDEX(Protmax,MATCH(Table36[[#This Row],[Grist]],SMI,0)),0,1))))</f>
        <v>-</v>
      </c>
      <c r="W301" s="127" t="str">
        <f>IF(INDEX(Ashmin,MATCH(Table36[[#This Row],[Grist]],SMI,0))="-","-",IF(Table36[[#This Row],[%Ash]]="-","-",IF(Table36[[#This Row],[%Ash]]&lt;INDEX(Ashmin,MATCH(Table36[[#This Row],[Grist]],SMI,0)),0,IF(Table36[[#This Row],[%Ash]]&gt;INDEX(Ashmax,MATCH(Table36[[#This Row],[Grist]],SMI,0)),0,1))))</f>
        <v>-</v>
      </c>
      <c r="X301" s="127" t="str">
        <f>IF(INDEX(Absmin,MATCH(Table36[[#This Row],[Grist]],SMI,0))="-","-",IF(Table36[[#This Row],[%Absorption]]="-","-",IF(Table36[[#This Row],[%Absorption]]&lt;INDEX(Absmin,MATCH(Table36[[#This Row],[Grist]],SMI,0)),0,IF(Table36[[#This Row],[%Absorption]]&gt;INDEX(Absmax,MATCH(Table36[[#This Row],[Grist]],SMI,0)),0,1))))</f>
        <v>-</v>
      </c>
      <c r="Y301" s="127" t="str">
        <f>IF(INDEX(Extmin,MATCH(Table36[[#This Row],[Grist]],SMI,0))="-","-",IF(Table36[[#This Row],[%Extensibility]]="-","-",IF(Table36[[#This Row],[%Extensibility]]&lt;INDEX(Extmin,MATCH(Table36[[#This Row],[Grist]],SMI,0)),0,IF(Table36[[#This Row],[%Extensibility]]&gt;INDEX(Extmax,MATCH(Table36[[#This Row],[Grist]],SMI,0)),0,1))))</f>
        <v>-</v>
      </c>
      <c r="Z301" s="127" t="str">
        <f>IF(INDEX(Resmin,MATCH(Table36[[#This Row],[Grist]],SMI,0))="-","-",IF(Table36[[#This Row],[Resistance, max]]="-","-",IF(Table36[[#This Row],[Resistance, max]]&lt;INDEX(Resmin,MATCH(Table36[[#This Row],[Grist]],SMI,0)),0,IF(Table36[[#This Row],[Resistance, max]]&gt;INDEX(Resmax,MATCH(Table36[[#This Row],[Grist]],SMI,0)),0,1))))</f>
        <v>-</v>
      </c>
      <c r="AA301" s="127">
        <f>IF(INDEX(WGmin,MATCH(Table36[[#This Row],[Grist]],SMI,0))="-","-",IF(Table36[[#This Row],[%Wet Gluten]]="-","-",IF(Table36[[#This Row],[%Wet Gluten]]&lt;INDEX(WGmin,MATCH(Table36[[#This Row],[Grist]],SMI,0)),0,IF(Table36[[#This Row],[%Wet Gluten]]&gt;INDEX(WGmax,MATCH(Table36[[#This Row],[Grist]],SMI,0)),0,1))))</f>
        <v>0</v>
      </c>
      <c r="AB301" s="127">
        <f>SUM(Table36[[#This Row],[ QI Bran Content]:[QI WG]])</f>
        <v>4</v>
      </c>
      <c r="AC301" s="127">
        <f>COUNT(Table36[[#This Row],[ QI Bran Content]:[QI WG]])</f>
        <v>5</v>
      </c>
    </row>
    <row r="302" spans="1:29" x14ac:dyDescent="0.35">
      <c r="A302" s="177">
        <v>45328</v>
      </c>
      <c r="B302" s="178">
        <v>45329</v>
      </c>
      <c r="C302" s="178" t="s">
        <v>130</v>
      </c>
      <c r="D302" s="179">
        <v>1.0416666666666701</v>
      </c>
      <c r="E302" s="180" t="s">
        <v>0</v>
      </c>
      <c r="F302" s="181" t="s">
        <v>27</v>
      </c>
      <c r="G302" s="182">
        <v>5.7999999999999996E-3</v>
      </c>
      <c r="H302" s="175" t="s">
        <v>165</v>
      </c>
      <c r="I302" s="175" t="s">
        <v>165</v>
      </c>
      <c r="J302" s="175" t="s">
        <v>165</v>
      </c>
      <c r="K302" s="175">
        <v>12.32</v>
      </c>
      <c r="L302" s="175">
        <v>12.85</v>
      </c>
      <c r="M302" s="175">
        <v>0.48</v>
      </c>
      <c r="N302" s="175">
        <v>65.400000000000006</v>
      </c>
      <c r="O302" s="175" t="s">
        <v>163</v>
      </c>
      <c r="P302" s="175" t="s">
        <v>163</v>
      </c>
      <c r="Q302" s="175"/>
      <c r="R302" s="127">
        <f>IF(Table36[[#This Row],[ Bran Content]]="-","-",IF(G302&lt;0.02,1,0))</f>
        <v>1</v>
      </c>
      <c r="S302" s="127">
        <f>IF(Table36[[#This Row],[Sieve Test]]="-","-",IF(Table36[[#This Row],[Sieve Test]]="P",1,0))</f>
        <v>1</v>
      </c>
      <c r="T302" s="127">
        <f>IF(Table36[[#This Row],[Odor]]="-","-",IF(Table36[[#This Row],[Odor]]="P",1,0))</f>
        <v>1</v>
      </c>
      <c r="U302" s="127">
        <f>IF(INDEX(MCmin,MATCH(Table36[[#This Row],[Grist]],SMI,0))="-","-",IF(Table36[[#This Row],[F1 %MC]]="-","-",IF(Table36[[#This Row],[F1 %MC]]&lt;INDEX(MCmin,MATCH(Table36[[#This Row],[Grist]],SMI,0)),0,IF(Table36[[#This Row],[F1 %MC]]&gt;INDEX(MCmax,MATCH(Table36[[#This Row],[Grist]],SMI,0)),0,1))))</f>
        <v>1</v>
      </c>
      <c r="V302" s="127">
        <f>IF(INDEX(Protmin,MATCH(Table36[[#This Row],[Grist]],SMI,0))="-","-",IF(Table36[[#This Row],[%Protein]]="-","-",IF(Table36[[#This Row],[%Protein]]&lt;INDEX(Protmin,MATCH(Table36[[#This Row],[Grist]],SMI,0)),0,IF(Table36[[#This Row],[%Protein]]&gt;INDEX(Protmax,MATCH(Table36[[#This Row],[Grist]],SMI,0)),0,1))))</f>
        <v>1</v>
      </c>
      <c r="W302" s="127">
        <f>IF(INDEX(Ashmin,MATCH(Table36[[#This Row],[Grist]],SMI,0))="-","-",IF(Table36[[#This Row],[%Ash]]="-","-",IF(Table36[[#This Row],[%Ash]]&lt;INDEX(Ashmin,MATCH(Table36[[#This Row],[Grist]],SMI,0)),0,IF(Table36[[#This Row],[%Ash]]&gt;INDEX(Ashmax,MATCH(Table36[[#This Row],[Grist]],SMI,0)),0,1))))</f>
        <v>1</v>
      </c>
      <c r="X302" s="127">
        <f>IF(INDEX(Absmin,MATCH(Table36[[#This Row],[Grist]],SMI,0))="-","-",IF(Table36[[#This Row],[%Absorption]]="-","-",IF(Table36[[#This Row],[%Absorption]]&lt;INDEX(Absmin,MATCH(Table36[[#This Row],[Grist]],SMI,0)),0,IF(Table36[[#This Row],[%Absorption]]&gt;INDEX(Absmax,MATCH(Table36[[#This Row],[Grist]],SMI,0)),0,1))))</f>
        <v>1</v>
      </c>
      <c r="Y302" s="127" t="str">
        <f>IF(INDEX(Extmin,MATCH(Table36[[#This Row],[Grist]],SMI,0))="-","-",IF(Table36[[#This Row],[%Extensibility]]="-","-",IF(Table36[[#This Row],[%Extensibility]]&lt;INDEX(Extmin,MATCH(Table36[[#This Row],[Grist]],SMI,0)),0,IF(Table36[[#This Row],[%Extensibility]]&gt;INDEX(Extmax,MATCH(Table36[[#This Row],[Grist]],SMI,0)),0,1))))</f>
        <v>-</v>
      </c>
      <c r="Z302" s="127" t="str">
        <f>IF(INDEX(Resmin,MATCH(Table36[[#This Row],[Grist]],SMI,0))="-","-",IF(Table36[[#This Row],[Resistance, max]]="-","-",IF(Table36[[#This Row],[Resistance, max]]&lt;INDEX(Resmin,MATCH(Table36[[#This Row],[Grist]],SMI,0)),0,IF(Table36[[#This Row],[Resistance, max]]&gt;INDEX(Resmax,MATCH(Table36[[#This Row],[Grist]],SMI,0)),0,1))))</f>
        <v>-</v>
      </c>
      <c r="AA302" s="127">
        <f>IF(INDEX(WGmin,MATCH(Table36[[#This Row],[Grist]],SMI,0))="-","-",IF(Table36[[#This Row],[%Wet Gluten]]="-","-",IF(Table36[[#This Row],[%Wet Gluten]]&lt;INDEX(WGmin,MATCH(Table36[[#This Row],[Grist]],SMI,0)),0,IF(Table36[[#This Row],[%Wet Gluten]]&gt;INDEX(WGmax,MATCH(Table36[[#This Row],[Grist]],SMI,0)),0,1))))</f>
        <v>0</v>
      </c>
      <c r="AB302" s="127">
        <f>SUM(Table36[[#This Row],[ QI Bran Content]:[QI WG]])</f>
        <v>7</v>
      </c>
      <c r="AC302" s="127">
        <f>COUNT(Table36[[#This Row],[ QI Bran Content]:[QI WG]])</f>
        <v>8</v>
      </c>
    </row>
    <row r="303" spans="1:29" x14ac:dyDescent="0.35">
      <c r="A303" s="177">
        <v>45328</v>
      </c>
      <c r="B303" s="178">
        <v>45329</v>
      </c>
      <c r="C303" s="178" t="s">
        <v>130</v>
      </c>
      <c r="D303" s="179">
        <v>1.125</v>
      </c>
      <c r="E303" s="180" t="s">
        <v>0</v>
      </c>
      <c r="F303" s="181" t="s">
        <v>27</v>
      </c>
      <c r="G303" s="182">
        <v>5.1000000000000004E-3</v>
      </c>
      <c r="H303" s="175" t="s">
        <v>165</v>
      </c>
      <c r="I303" s="175" t="s">
        <v>165</v>
      </c>
      <c r="J303" s="175" t="s">
        <v>165</v>
      </c>
      <c r="K303" s="175">
        <v>12.19</v>
      </c>
      <c r="L303" s="175">
        <v>12.85</v>
      </c>
      <c r="M303" s="175">
        <v>0.48</v>
      </c>
      <c r="N303" s="175">
        <v>65.400000000000006</v>
      </c>
      <c r="O303" s="175" t="s">
        <v>163</v>
      </c>
      <c r="P303" s="175" t="s">
        <v>163</v>
      </c>
      <c r="Q303" s="175"/>
      <c r="R303" s="127">
        <f>IF(Table36[[#This Row],[ Bran Content]]="-","-",IF(G303&lt;0.02,1,0))</f>
        <v>1</v>
      </c>
      <c r="S303" s="127">
        <f>IF(Table36[[#This Row],[Sieve Test]]="-","-",IF(Table36[[#This Row],[Sieve Test]]="P",1,0))</f>
        <v>1</v>
      </c>
      <c r="T303" s="127">
        <f>IF(Table36[[#This Row],[Odor]]="-","-",IF(Table36[[#This Row],[Odor]]="P",1,0))</f>
        <v>1</v>
      </c>
      <c r="U303" s="127">
        <f>IF(INDEX(MCmin,MATCH(Table36[[#This Row],[Grist]],SMI,0))="-","-",IF(Table36[[#This Row],[F1 %MC]]="-","-",IF(Table36[[#This Row],[F1 %MC]]&lt;INDEX(MCmin,MATCH(Table36[[#This Row],[Grist]],SMI,0)),0,IF(Table36[[#This Row],[F1 %MC]]&gt;INDEX(MCmax,MATCH(Table36[[#This Row],[Grist]],SMI,0)),0,1))))</f>
        <v>1</v>
      </c>
      <c r="V303" s="127">
        <f>IF(INDEX(Protmin,MATCH(Table36[[#This Row],[Grist]],SMI,0))="-","-",IF(Table36[[#This Row],[%Protein]]="-","-",IF(Table36[[#This Row],[%Protein]]&lt;INDEX(Protmin,MATCH(Table36[[#This Row],[Grist]],SMI,0)),0,IF(Table36[[#This Row],[%Protein]]&gt;INDEX(Protmax,MATCH(Table36[[#This Row],[Grist]],SMI,0)),0,1))))</f>
        <v>1</v>
      </c>
      <c r="W303" s="127">
        <f>IF(INDEX(Ashmin,MATCH(Table36[[#This Row],[Grist]],SMI,0))="-","-",IF(Table36[[#This Row],[%Ash]]="-","-",IF(Table36[[#This Row],[%Ash]]&lt;INDEX(Ashmin,MATCH(Table36[[#This Row],[Grist]],SMI,0)),0,IF(Table36[[#This Row],[%Ash]]&gt;INDEX(Ashmax,MATCH(Table36[[#This Row],[Grist]],SMI,0)),0,1))))</f>
        <v>1</v>
      </c>
      <c r="X303" s="127">
        <f>IF(INDEX(Absmin,MATCH(Table36[[#This Row],[Grist]],SMI,0))="-","-",IF(Table36[[#This Row],[%Absorption]]="-","-",IF(Table36[[#This Row],[%Absorption]]&lt;INDEX(Absmin,MATCH(Table36[[#This Row],[Grist]],SMI,0)),0,IF(Table36[[#This Row],[%Absorption]]&gt;INDEX(Absmax,MATCH(Table36[[#This Row],[Grist]],SMI,0)),0,1))))</f>
        <v>1</v>
      </c>
      <c r="Y303" s="127" t="str">
        <f>IF(INDEX(Extmin,MATCH(Table36[[#This Row],[Grist]],SMI,0))="-","-",IF(Table36[[#This Row],[%Extensibility]]="-","-",IF(Table36[[#This Row],[%Extensibility]]&lt;INDEX(Extmin,MATCH(Table36[[#This Row],[Grist]],SMI,0)),0,IF(Table36[[#This Row],[%Extensibility]]&gt;INDEX(Extmax,MATCH(Table36[[#This Row],[Grist]],SMI,0)),0,1))))</f>
        <v>-</v>
      </c>
      <c r="Z303" s="127" t="str">
        <f>IF(INDEX(Resmin,MATCH(Table36[[#This Row],[Grist]],SMI,0))="-","-",IF(Table36[[#This Row],[Resistance, max]]="-","-",IF(Table36[[#This Row],[Resistance, max]]&lt;INDEX(Resmin,MATCH(Table36[[#This Row],[Grist]],SMI,0)),0,IF(Table36[[#This Row],[Resistance, max]]&gt;INDEX(Resmax,MATCH(Table36[[#This Row],[Grist]],SMI,0)),0,1))))</f>
        <v>-</v>
      </c>
      <c r="AA303" s="127">
        <f>IF(INDEX(WGmin,MATCH(Table36[[#This Row],[Grist]],SMI,0))="-","-",IF(Table36[[#This Row],[%Wet Gluten]]="-","-",IF(Table36[[#This Row],[%Wet Gluten]]&lt;INDEX(WGmin,MATCH(Table36[[#This Row],[Grist]],SMI,0)),0,IF(Table36[[#This Row],[%Wet Gluten]]&gt;INDEX(WGmax,MATCH(Table36[[#This Row],[Grist]],SMI,0)),0,1))))</f>
        <v>0</v>
      </c>
      <c r="AB303" s="127">
        <f>SUM(Table36[[#This Row],[ QI Bran Content]:[QI WG]])</f>
        <v>7</v>
      </c>
      <c r="AC303" s="127">
        <f>COUNT(Table36[[#This Row],[ QI Bran Content]:[QI WG]])</f>
        <v>8</v>
      </c>
    </row>
    <row r="304" spans="1:29" x14ac:dyDescent="0.35">
      <c r="A304" s="177">
        <v>45328</v>
      </c>
      <c r="B304" s="178">
        <v>45329</v>
      </c>
      <c r="C304" s="178" t="s">
        <v>130</v>
      </c>
      <c r="D304" s="179">
        <v>1.2083333333333299</v>
      </c>
      <c r="E304" s="180" t="s">
        <v>0</v>
      </c>
      <c r="F304" s="181" t="s">
        <v>27</v>
      </c>
      <c r="G304" s="182">
        <v>9.2999999999999992E-3</v>
      </c>
      <c r="H304" s="175" t="s">
        <v>165</v>
      </c>
      <c r="I304" s="175" t="s">
        <v>165</v>
      </c>
      <c r="J304" s="175" t="s">
        <v>165</v>
      </c>
      <c r="K304" s="175">
        <v>12.3</v>
      </c>
      <c r="L304" s="175">
        <v>12.85</v>
      </c>
      <c r="M304" s="175">
        <v>0.48</v>
      </c>
      <c r="N304" s="175">
        <v>65.400000000000006</v>
      </c>
      <c r="O304" s="175" t="s">
        <v>163</v>
      </c>
      <c r="P304" s="175" t="s">
        <v>163</v>
      </c>
      <c r="Q304" s="175"/>
      <c r="R304" s="127">
        <f>IF(Table36[[#This Row],[ Bran Content]]="-","-",IF(G304&lt;0.02,1,0))</f>
        <v>1</v>
      </c>
      <c r="S304" s="127">
        <f>IF(Table36[[#This Row],[Sieve Test]]="-","-",IF(Table36[[#This Row],[Sieve Test]]="P",1,0))</f>
        <v>1</v>
      </c>
      <c r="T304" s="127">
        <f>IF(Table36[[#This Row],[Odor]]="-","-",IF(Table36[[#This Row],[Odor]]="P",1,0))</f>
        <v>1</v>
      </c>
      <c r="U304" s="127">
        <f>IF(INDEX(MCmin,MATCH(Table36[[#This Row],[Grist]],SMI,0))="-","-",IF(Table36[[#This Row],[F1 %MC]]="-","-",IF(Table36[[#This Row],[F1 %MC]]&lt;INDEX(MCmin,MATCH(Table36[[#This Row],[Grist]],SMI,0)),0,IF(Table36[[#This Row],[F1 %MC]]&gt;INDEX(MCmax,MATCH(Table36[[#This Row],[Grist]],SMI,0)),0,1))))</f>
        <v>1</v>
      </c>
      <c r="V304" s="127">
        <f>IF(INDEX(Protmin,MATCH(Table36[[#This Row],[Grist]],SMI,0))="-","-",IF(Table36[[#This Row],[%Protein]]="-","-",IF(Table36[[#This Row],[%Protein]]&lt;INDEX(Protmin,MATCH(Table36[[#This Row],[Grist]],SMI,0)),0,IF(Table36[[#This Row],[%Protein]]&gt;INDEX(Protmax,MATCH(Table36[[#This Row],[Grist]],SMI,0)),0,1))))</f>
        <v>1</v>
      </c>
      <c r="W304" s="127">
        <f>IF(INDEX(Ashmin,MATCH(Table36[[#This Row],[Grist]],SMI,0))="-","-",IF(Table36[[#This Row],[%Ash]]="-","-",IF(Table36[[#This Row],[%Ash]]&lt;INDEX(Ashmin,MATCH(Table36[[#This Row],[Grist]],SMI,0)),0,IF(Table36[[#This Row],[%Ash]]&gt;INDEX(Ashmax,MATCH(Table36[[#This Row],[Grist]],SMI,0)),0,1))))</f>
        <v>1</v>
      </c>
      <c r="X304" s="127">
        <f>IF(INDEX(Absmin,MATCH(Table36[[#This Row],[Grist]],SMI,0))="-","-",IF(Table36[[#This Row],[%Absorption]]="-","-",IF(Table36[[#This Row],[%Absorption]]&lt;INDEX(Absmin,MATCH(Table36[[#This Row],[Grist]],SMI,0)),0,IF(Table36[[#This Row],[%Absorption]]&gt;INDEX(Absmax,MATCH(Table36[[#This Row],[Grist]],SMI,0)),0,1))))</f>
        <v>1</v>
      </c>
      <c r="Y304" s="127" t="str">
        <f>IF(INDEX(Extmin,MATCH(Table36[[#This Row],[Grist]],SMI,0))="-","-",IF(Table36[[#This Row],[%Extensibility]]="-","-",IF(Table36[[#This Row],[%Extensibility]]&lt;INDEX(Extmin,MATCH(Table36[[#This Row],[Grist]],SMI,0)),0,IF(Table36[[#This Row],[%Extensibility]]&gt;INDEX(Extmax,MATCH(Table36[[#This Row],[Grist]],SMI,0)),0,1))))</f>
        <v>-</v>
      </c>
      <c r="Z304" s="127" t="str">
        <f>IF(INDEX(Resmin,MATCH(Table36[[#This Row],[Grist]],SMI,0))="-","-",IF(Table36[[#This Row],[Resistance, max]]="-","-",IF(Table36[[#This Row],[Resistance, max]]&lt;INDEX(Resmin,MATCH(Table36[[#This Row],[Grist]],SMI,0)),0,IF(Table36[[#This Row],[Resistance, max]]&gt;INDEX(Resmax,MATCH(Table36[[#This Row],[Grist]],SMI,0)),0,1))))</f>
        <v>-</v>
      </c>
      <c r="AA304" s="127">
        <f>IF(INDEX(WGmin,MATCH(Table36[[#This Row],[Grist]],SMI,0))="-","-",IF(Table36[[#This Row],[%Wet Gluten]]="-","-",IF(Table36[[#This Row],[%Wet Gluten]]&lt;INDEX(WGmin,MATCH(Table36[[#This Row],[Grist]],SMI,0)),0,IF(Table36[[#This Row],[%Wet Gluten]]&gt;INDEX(WGmax,MATCH(Table36[[#This Row],[Grist]],SMI,0)),0,1))))</f>
        <v>0</v>
      </c>
      <c r="AB304" s="127">
        <f>SUM(Table36[[#This Row],[ QI Bran Content]:[QI WG]])</f>
        <v>7</v>
      </c>
      <c r="AC304" s="127">
        <f>COUNT(Table36[[#This Row],[ QI Bran Content]:[QI WG]])</f>
        <v>8</v>
      </c>
    </row>
    <row r="305" spans="1:29" x14ac:dyDescent="0.35">
      <c r="A305" s="177">
        <v>45328</v>
      </c>
      <c r="B305" s="178">
        <v>45325</v>
      </c>
      <c r="C305" s="178" t="s">
        <v>128</v>
      </c>
      <c r="D305" s="179">
        <v>0.625</v>
      </c>
      <c r="E305" s="180" t="s">
        <v>0</v>
      </c>
      <c r="F305" s="181" t="s">
        <v>32</v>
      </c>
      <c r="G305" s="182">
        <v>3.8999999999999998E-3</v>
      </c>
      <c r="H305" s="175" t="s">
        <v>163</v>
      </c>
      <c r="I305" s="175" t="s">
        <v>163</v>
      </c>
      <c r="J305" s="175" t="s">
        <v>163</v>
      </c>
      <c r="K305" s="175">
        <v>12.38</v>
      </c>
      <c r="L305" s="175">
        <v>12.94</v>
      </c>
      <c r="M305" s="175">
        <v>0.53</v>
      </c>
      <c r="N305" s="175">
        <v>64.900000000000006</v>
      </c>
      <c r="O305" s="175" t="s">
        <v>163</v>
      </c>
      <c r="P305" s="175" t="s">
        <v>163</v>
      </c>
      <c r="Q305" s="175"/>
      <c r="R305" s="127">
        <f>IF(Table36[[#This Row],[ Bran Content]]="-","-",IF(G305&lt;0.02,1,0))</f>
        <v>1</v>
      </c>
      <c r="S305" s="127" t="str">
        <f>IF(Table36[[#This Row],[Sieve Test]]="-","-",IF(Table36[[#This Row],[Sieve Test]]="P",1,0))</f>
        <v>-</v>
      </c>
      <c r="T305" s="127" t="str">
        <f>IF(Table36[[#This Row],[Odor]]="-","-",IF(Table36[[#This Row],[Odor]]="P",1,0))</f>
        <v>-</v>
      </c>
      <c r="U305" s="127">
        <f>IF(INDEX(MCmin,MATCH(Table36[[#This Row],[Grist]],SMI,0))="-","-",IF(Table36[[#This Row],[F1 %MC]]="-","-",IF(Table36[[#This Row],[F1 %MC]]&lt;INDEX(MCmin,MATCH(Table36[[#This Row],[Grist]],SMI,0)),0,IF(Table36[[#This Row],[F1 %MC]]&gt;INDEX(MCmax,MATCH(Table36[[#This Row],[Grist]],SMI,0)),0,1))))</f>
        <v>1</v>
      </c>
      <c r="V305" s="127">
        <f>IF(INDEX(Protmin,MATCH(Table36[[#This Row],[Grist]],SMI,0))="-","-",IF(Table36[[#This Row],[%Protein]]="-","-",IF(Table36[[#This Row],[%Protein]]&lt;INDEX(Protmin,MATCH(Table36[[#This Row],[Grist]],SMI,0)),0,IF(Table36[[#This Row],[%Protein]]&gt;INDEX(Protmax,MATCH(Table36[[#This Row],[Grist]],SMI,0)),0,1))))</f>
        <v>1</v>
      </c>
      <c r="W305" s="127">
        <f>IF(INDEX(Ashmin,MATCH(Table36[[#This Row],[Grist]],SMI,0))="-","-",IF(Table36[[#This Row],[%Ash]]="-","-",IF(Table36[[#This Row],[%Ash]]&lt;INDEX(Ashmin,MATCH(Table36[[#This Row],[Grist]],SMI,0)),0,IF(Table36[[#This Row],[%Ash]]&gt;INDEX(Ashmax,MATCH(Table36[[#This Row],[Grist]],SMI,0)),0,1))))</f>
        <v>1</v>
      </c>
      <c r="X305" s="127">
        <f>IF(INDEX(Absmin,MATCH(Table36[[#This Row],[Grist]],SMI,0))="-","-",IF(Table36[[#This Row],[%Absorption]]="-","-",IF(Table36[[#This Row],[%Absorption]]&lt;INDEX(Absmin,MATCH(Table36[[#This Row],[Grist]],SMI,0)),0,IF(Table36[[#This Row],[%Absorption]]&gt;INDEX(Absmax,MATCH(Table36[[#This Row],[Grist]],SMI,0)),0,1))))</f>
        <v>1</v>
      </c>
      <c r="Y305" s="127" t="str">
        <f>IF(INDEX(Extmin,MATCH(Table36[[#This Row],[Grist]],SMI,0))="-","-",IF(Table36[[#This Row],[%Extensibility]]="-","-",IF(Table36[[#This Row],[%Extensibility]]&lt;INDEX(Extmin,MATCH(Table36[[#This Row],[Grist]],SMI,0)),0,IF(Table36[[#This Row],[%Extensibility]]&gt;INDEX(Extmax,MATCH(Table36[[#This Row],[Grist]],SMI,0)),0,1))))</f>
        <v>-</v>
      </c>
      <c r="Z305" s="127" t="str">
        <f>IF(INDEX(Resmin,MATCH(Table36[[#This Row],[Grist]],SMI,0))="-","-",IF(Table36[[#This Row],[Resistance, max]]="-","-",IF(Table36[[#This Row],[Resistance, max]]&lt;INDEX(Resmin,MATCH(Table36[[#This Row],[Grist]],SMI,0)),0,IF(Table36[[#This Row],[Resistance, max]]&gt;INDEX(Resmax,MATCH(Table36[[#This Row],[Grist]],SMI,0)),0,1))))</f>
        <v>-</v>
      </c>
      <c r="AA305" s="127">
        <f>IF(INDEX(WGmin,MATCH(Table36[[#This Row],[Grist]],SMI,0))="-","-",IF(Table36[[#This Row],[%Wet Gluten]]="-","-",IF(Table36[[#This Row],[%Wet Gluten]]&lt;INDEX(WGmin,MATCH(Table36[[#This Row],[Grist]],SMI,0)),0,IF(Table36[[#This Row],[%Wet Gluten]]&gt;INDEX(WGmax,MATCH(Table36[[#This Row],[Grist]],SMI,0)),0,1))))</f>
        <v>0</v>
      </c>
      <c r="AB305" s="127">
        <f>SUM(Table36[[#This Row],[ QI Bran Content]:[QI WG]])</f>
        <v>5</v>
      </c>
      <c r="AC305" s="127">
        <f>COUNT(Table36[[#This Row],[ QI Bran Content]:[QI WG]])</f>
        <v>6</v>
      </c>
    </row>
    <row r="306" spans="1:29" x14ac:dyDescent="0.35">
      <c r="A306" s="177">
        <v>45328</v>
      </c>
      <c r="B306" s="178">
        <v>45325</v>
      </c>
      <c r="C306" s="178" t="s">
        <v>128</v>
      </c>
      <c r="D306" s="179">
        <v>0.66666666666666696</v>
      </c>
      <c r="E306" s="180" t="s">
        <v>0</v>
      </c>
      <c r="F306" s="181" t="s">
        <v>40</v>
      </c>
      <c r="G306" s="182">
        <v>6.0000000000000001E-3</v>
      </c>
      <c r="H306" s="175" t="s">
        <v>165</v>
      </c>
      <c r="I306" s="175" t="s">
        <v>165</v>
      </c>
      <c r="J306" s="175" t="s">
        <v>165</v>
      </c>
      <c r="K306" s="175">
        <v>13.03</v>
      </c>
      <c r="L306" s="175" t="s">
        <v>163</v>
      </c>
      <c r="M306" s="175" t="s">
        <v>163</v>
      </c>
      <c r="N306" s="175" t="s">
        <v>163</v>
      </c>
      <c r="O306" s="175" t="s">
        <v>163</v>
      </c>
      <c r="P306" s="175" t="s">
        <v>163</v>
      </c>
      <c r="Q306" s="175"/>
      <c r="R306" s="127">
        <f>IF(Table36[[#This Row],[ Bran Content]]="-","-",IF(G306&lt;0.02,1,0))</f>
        <v>1</v>
      </c>
      <c r="S306" s="127">
        <f>IF(Table36[[#This Row],[Sieve Test]]="-","-",IF(Table36[[#This Row],[Sieve Test]]="P",1,0))</f>
        <v>1</v>
      </c>
      <c r="T306" s="127">
        <f>IF(Table36[[#This Row],[Odor]]="-","-",IF(Table36[[#This Row],[Odor]]="P",1,0))</f>
        <v>1</v>
      </c>
      <c r="U306" s="127">
        <f>IF(INDEX(MCmin,MATCH(Table36[[#This Row],[Grist]],SMI,0))="-","-",IF(Table36[[#This Row],[F1 %MC]]="-","-",IF(Table36[[#This Row],[F1 %MC]]&lt;INDEX(MCmin,MATCH(Table36[[#This Row],[Grist]],SMI,0)),0,IF(Table36[[#This Row],[F1 %MC]]&gt;INDEX(MCmax,MATCH(Table36[[#This Row],[Grist]],SMI,0)),0,1))))</f>
        <v>1</v>
      </c>
      <c r="V306" s="127" t="str">
        <f>IF(INDEX(Protmin,MATCH(Table36[[#This Row],[Grist]],SMI,0))="-","-",IF(Table36[[#This Row],[%Protein]]="-","-",IF(Table36[[#This Row],[%Protein]]&lt;INDEX(Protmin,MATCH(Table36[[#This Row],[Grist]],SMI,0)),0,IF(Table36[[#This Row],[%Protein]]&gt;INDEX(Protmax,MATCH(Table36[[#This Row],[Grist]],SMI,0)),0,1))))</f>
        <v>-</v>
      </c>
      <c r="W306" s="127" t="str">
        <f>IF(INDEX(Ashmin,MATCH(Table36[[#This Row],[Grist]],SMI,0))="-","-",IF(Table36[[#This Row],[%Ash]]="-","-",IF(Table36[[#This Row],[%Ash]]&lt;INDEX(Ashmin,MATCH(Table36[[#This Row],[Grist]],SMI,0)),0,IF(Table36[[#This Row],[%Ash]]&gt;INDEX(Ashmax,MATCH(Table36[[#This Row],[Grist]],SMI,0)),0,1))))</f>
        <v>-</v>
      </c>
      <c r="X306" s="127" t="str">
        <f>IF(INDEX(Absmin,MATCH(Table36[[#This Row],[Grist]],SMI,0))="-","-",IF(Table36[[#This Row],[%Absorption]]="-","-",IF(Table36[[#This Row],[%Absorption]]&lt;INDEX(Absmin,MATCH(Table36[[#This Row],[Grist]],SMI,0)),0,IF(Table36[[#This Row],[%Absorption]]&gt;INDEX(Absmax,MATCH(Table36[[#This Row],[Grist]],SMI,0)),0,1))))</f>
        <v>-</v>
      </c>
      <c r="Y306" s="127" t="str">
        <f>IF(INDEX(Extmin,MATCH(Table36[[#This Row],[Grist]],SMI,0))="-","-",IF(Table36[[#This Row],[%Extensibility]]="-","-",IF(Table36[[#This Row],[%Extensibility]]&lt;INDEX(Extmin,MATCH(Table36[[#This Row],[Grist]],SMI,0)),0,IF(Table36[[#This Row],[%Extensibility]]&gt;INDEX(Extmax,MATCH(Table36[[#This Row],[Grist]],SMI,0)),0,1))))</f>
        <v>-</v>
      </c>
      <c r="Z306" s="127" t="str">
        <f>IF(INDEX(Resmin,MATCH(Table36[[#This Row],[Grist]],SMI,0))="-","-",IF(Table36[[#This Row],[Resistance, max]]="-","-",IF(Table36[[#This Row],[Resistance, max]]&lt;INDEX(Resmin,MATCH(Table36[[#This Row],[Grist]],SMI,0)),0,IF(Table36[[#This Row],[Resistance, max]]&gt;INDEX(Resmax,MATCH(Table36[[#This Row],[Grist]],SMI,0)),0,1))))</f>
        <v>-</v>
      </c>
      <c r="AA306" s="127">
        <f>IF(INDEX(WGmin,MATCH(Table36[[#This Row],[Grist]],SMI,0))="-","-",IF(Table36[[#This Row],[%Wet Gluten]]="-","-",IF(Table36[[#This Row],[%Wet Gluten]]&lt;INDEX(WGmin,MATCH(Table36[[#This Row],[Grist]],SMI,0)),0,IF(Table36[[#This Row],[%Wet Gluten]]&gt;INDEX(WGmax,MATCH(Table36[[#This Row],[Grist]],SMI,0)),0,1))))</f>
        <v>0</v>
      </c>
      <c r="AB306" s="127">
        <f>SUM(Table36[[#This Row],[ QI Bran Content]:[QI WG]])</f>
        <v>4</v>
      </c>
      <c r="AC306" s="127">
        <f>COUNT(Table36[[#This Row],[ QI Bran Content]:[QI WG]])</f>
        <v>5</v>
      </c>
    </row>
    <row r="307" spans="1:29" x14ac:dyDescent="0.35">
      <c r="A307" s="177">
        <v>45328</v>
      </c>
      <c r="B307" s="178">
        <v>45325</v>
      </c>
      <c r="C307" s="178" t="s">
        <v>128</v>
      </c>
      <c r="D307" s="179">
        <v>0.79166666666666596</v>
      </c>
      <c r="E307" s="180" t="s">
        <v>0</v>
      </c>
      <c r="F307" s="181" t="s">
        <v>40</v>
      </c>
      <c r="G307" s="182">
        <v>3.7000000000000002E-3</v>
      </c>
      <c r="H307" s="175" t="s">
        <v>165</v>
      </c>
      <c r="I307" s="175" t="s">
        <v>165</v>
      </c>
      <c r="J307" s="175" t="s">
        <v>165</v>
      </c>
      <c r="K307" s="175">
        <v>13.15</v>
      </c>
      <c r="L307" s="175">
        <v>13.18</v>
      </c>
      <c r="M307" s="175">
        <v>0.49</v>
      </c>
      <c r="N307" s="175">
        <v>64.2</v>
      </c>
      <c r="O307" s="175" t="s">
        <v>163</v>
      </c>
      <c r="P307" s="175" t="s">
        <v>163</v>
      </c>
      <c r="Q307" s="175"/>
      <c r="R307" s="127">
        <f>IF(Table36[[#This Row],[ Bran Content]]="-","-",IF(G307&lt;0.02,1,0))</f>
        <v>1</v>
      </c>
      <c r="S307" s="127">
        <f>IF(Table36[[#This Row],[Sieve Test]]="-","-",IF(Table36[[#This Row],[Sieve Test]]="P",1,0))</f>
        <v>1</v>
      </c>
      <c r="T307" s="127">
        <f>IF(Table36[[#This Row],[Odor]]="-","-",IF(Table36[[#This Row],[Odor]]="P",1,0))</f>
        <v>1</v>
      </c>
      <c r="U307" s="127">
        <f>IF(INDEX(MCmin,MATCH(Table36[[#This Row],[Grist]],SMI,0))="-","-",IF(Table36[[#This Row],[F1 %MC]]="-","-",IF(Table36[[#This Row],[F1 %MC]]&lt;INDEX(MCmin,MATCH(Table36[[#This Row],[Grist]],SMI,0)),0,IF(Table36[[#This Row],[F1 %MC]]&gt;INDEX(MCmax,MATCH(Table36[[#This Row],[Grist]],SMI,0)),0,1))))</f>
        <v>1</v>
      </c>
      <c r="V307" s="127">
        <f>IF(INDEX(Protmin,MATCH(Table36[[#This Row],[Grist]],SMI,0))="-","-",IF(Table36[[#This Row],[%Protein]]="-","-",IF(Table36[[#This Row],[%Protein]]&lt;INDEX(Protmin,MATCH(Table36[[#This Row],[Grist]],SMI,0)),0,IF(Table36[[#This Row],[%Protein]]&gt;INDEX(Protmax,MATCH(Table36[[#This Row],[Grist]],SMI,0)),0,1))))</f>
        <v>1</v>
      </c>
      <c r="W307" s="127">
        <f>IF(INDEX(Ashmin,MATCH(Table36[[#This Row],[Grist]],SMI,0))="-","-",IF(Table36[[#This Row],[%Ash]]="-","-",IF(Table36[[#This Row],[%Ash]]&lt;INDEX(Ashmin,MATCH(Table36[[#This Row],[Grist]],SMI,0)),0,IF(Table36[[#This Row],[%Ash]]&gt;INDEX(Ashmax,MATCH(Table36[[#This Row],[Grist]],SMI,0)),0,1))))</f>
        <v>1</v>
      </c>
      <c r="X307" s="127">
        <f>IF(INDEX(Absmin,MATCH(Table36[[#This Row],[Grist]],SMI,0))="-","-",IF(Table36[[#This Row],[%Absorption]]="-","-",IF(Table36[[#This Row],[%Absorption]]&lt;INDEX(Absmin,MATCH(Table36[[#This Row],[Grist]],SMI,0)),0,IF(Table36[[#This Row],[%Absorption]]&gt;INDEX(Absmax,MATCH(Table36[[#This Row],[Grist]],SMI,0)),0,1))))</f>
        <v>1</v>
      </c>
      <c r="Y307" s="127" t="str">
        <f>IF(INDEX(Extmin,MATCH(Table36[[#This Row],[Grist]],SMI,0))="-","-",IF(Table36[[#This Row],[%Extensibility]]="-","-",IF(Table36[[#This Row],[%Extensibility]]&lt;INDEX(Extmin,MATCH(Table36[[#This Row],[Grist]],SMI,0)),0,IF(Table36[[#This Row],[%Extensibility]]&gt;INDEX(Extmax,MATCH(Table36[[#This Row],[Grist]],SMI,0)),0,1))))</f>
        <v>-</v>
      </c>
      <c r="Z307" s="127" t="str">
        <f>IF(INDEX(Resmin,MATCH(Table36[[#This Row],[Grist]],SMI,0))="-","-",IF(Table36[[#This Row],[Resistance, max]]="-","-",IF(Table36[[#This Row],[Resistance, max]]&lt;INDEX(Resmin,MATCH(Table36[[#This Row],[Grist]],SMI,0)),0,IF(Table36[[#This Row],[Resistance, max]]&gt;INDEX(Resmax,MATCH(Table36[[#This Row],[Grist]],SMI,0)),0,1))))</f>
        <v>-</v>
      </c>
      <c r="AA307" s="127">
        <f>IF(INDEX(WGmin,MATCH(Table36[[#This Row],[Grist]],SMI,0))="-","-",IF(Table36[[#This Row],[%Wet Gluten]]="-","-",IF(Table36[[#This Row],[%Wet Gluten]]&lt;INDEX(WGmin,MATCH(Table36[[#This Row],[Grist]],SMI,0)),0,IF(Table36[[#This Row],[%Wet Gluten]]&gt;INDEX(WGmax,MATCH(Table36[[#This Row],[Grist]],SMI,0)),0,1))))</f>
        <v>0</v>
      </c>
      <c r="AB307" s="127">
        <f>SUM(Table36[[#This Row],[ QI Bran Content]:[QI WG]])</f>
        <v>7</v>
      </c>
      <c r="AC307" s="127">
        <f>COUNT(Table36[[#This Row],[ QI Bran Content]:[QI WG]])</f>
        <v>8</v>
      </c>
    </row>
    <row r="308" spans="1:29" x14ac:dyDescent="0.35">
      <c r="A308" s="177">
        <v>45328</v>
      </c>
      <c r="B308" s="178">
        <v>45325</v>
      </c>
      <c r="C308" s="178" t="s">
        <v>128</v>
      </c>
      <c r="D308" s="179">
        <v>0.874999999999999</v>
      </c>
      <c r="E308" s="180" t="s">
        <v>0</v>
      </c>
      <c r="F308" s="181" t="s">
        <v>40</v>
      </c>
      <c r="G308" s="182">
        <v>3.8E-3</v>
      </c>
      <c r="H308" s="175" t="s">
        <v>165</v>
      </c>
      <c r="I308" s="175" t="s">
        <v>165</v>
      </c>
      <c r="J308" s="175" t="s">
        <v>165</v>
      </c>
      <c r="K308" s="175">
        <v>12.83</v>
      </c>
      <c r="L308" s="175" t="s">
        <v>163</v>
      </c>
      <c r="M308" s="175" t="s">
        <v>163</v>
      </c>
      <c r="N308" s="175" t="s">
        <v>163</v>
      </c>
      <c r="O308" s="175" t="s">
        <v>163</v>
      </c>
      <c r="P308" s="175" t="s">
        <v>163</v>
      </c>
      <c r="Q308" s="175"/>
      <c r="R308" s="127">
        <f>IF(Table36[[#This Row],[ Bran Content]]="-","-",IF(G308&lt;0.02,1,0))</f>
        <v>1</v>
      </c>
      <c r="S308" s="127">
        <f>IF(Table36[[#This Row],[Sieve Test]]="-","-",IF(Table36[[#This Row],[Sieve Test]]="P",1,0))</f>
        <v>1</v>
      </c>
      <c r="T308" s="127">
        <f>IF(Table36[[#This Row],[Odor]]="-","-",IF(Table36[[#This Row],[Odor]]="P",1,0))</f>
        <v>1</v>
      </c>
      <c r="U308" s="127">
        <f>IF(INDEX(MCmin,MATCH(Table36[[#This Row],[Grist]],SMI,0))="-","-",IF(Table36[[#This Row],[F1 %MC]]="-","-",IF(Table36[[#This Row],[F1 %MC]]&lt;INDEX(MCmin,MATCH(Table36[[#This Row],[Grist]],SMI,0)),0,IF(Table36[[#This Row],[F1 %MC]]&gt;INDEX(MCmax,MATCH(Table36[[#This Row],[Grist]],SMI,0)),0,1))))</f>
        <v>1</v>
      </c>
      <c r="V308" s="127" t="str">
        <f>IF(INDEX(Protmin,MATCH(Table36[[#This Row],[Grist]],SMI,0))="-","-",IF(Table36[[#This Row],[%Protein]]="-","-",IF(Table36[[#This Row],[%Protein]]&lt;INDEX(Protmin,MATCH(Table36[[#This Row],[Grist]],SMI,0)),0,IF(Table36[[#This Row],[%Protein]]&gt;INDEX(Protmax,MATCH(Table36[[#This Row],[Grist]],SMI,0)),0,1))))</f>
        <v>-</v>
      </c>
      <c r="W308" s="127" t="str">
        <f>IF(INDEX(Ashmin,MATCH(Table36[[#This Row],[Grist]],SMI,0))="-","-",IF(Table36[[#This Row],[%Ash]]="-","-",IF(Table36[[#This Row],[%Ash]]&lt;INDEX(Ashmin,MATCH(Table36[[#This Row],[Grist]],SMI,0)),0,IF(Table36[[#This Row],[%Ash]]&gt;INDEX(Ashmax,MATCH(Table36[[#This Row],[Grist]],SMI,0)),0,1))))</f>
        <v>-</v>
      </c>
      <c r="X308" s="127" t="str">
        <f>IF(INDEX(Absmin,MATCH(Table36[[#This Row],[Grist]],SMI,0))="-","-",IF(Table36[[#This Row],[%Absorption]]="-","-",IF(Table36[[#This Row],[%Absorption]]&lt;INDEX(Absmin,MATCH(Table36[[#This Row],[Grist]],SMI,0)),0,IF(Table36[[#This Row],[%Absorption]]&gt;INDEX(Absmax,MATCH(Table36[[#This Row],[Grist]],SMI,0)),0,1))))</f>
        <v>-</v>
      </c>
      <c r="Y308" s="127" t="str">
        <f>IF(INDEX(Extmin,MATCH(Table36[[#This Row],[Grist]],SMI,0))="-","-",IF(Table36[[#This Row],[%Extensibility]]="-","-",IF(Table36[[#This Row],[%Extensibility]]&lt;INDEX(Extmin,MATCH(Table36[[#This Row],[Grist]],SMI,0)),0,IF(Table36[[#This Row],[%Extensibility]]&gt;INDEX(Extmax,MATCH(Table36[[#This Row],[Grist]],SMI,0)),0,1))))</f>
        <v>-</v>
      </c>
      <c r="Z308" s="127" t="str">
        <f>IF(INDEX(Resmin,MATCH(Table36[[#This Row],[Grist]],SMI,0))="-","-",IF(Table36[[#This Row],[Resistance, max]]="-","-",IF(Table36[[#This Row],[Resistance, max]]&lt;INDEX(Resmin,MATCH(Table36[[#This Row],[Grist]],SMI,0)),0,IF(Table36[[#This Row],[Resistance, max]]&gt;INDEX(Resmax,MATCH(Table36[[#This Row],[Grist]],SMI,0)),0,1))))</f>
        <v>-</v>
      </c>
      <c r="AA308" s="127">
        <f>IF(INDEX(WGmin,MATCH(Table36[[#This Row],[Grist]],SMI,0))="-","-",IF(Table36[[#This Row],[%Wet Gluten]]="-","-",IF(Table36[[#This Row],[%Wet Gluten]]&lt;INDEX(WGmin,MATCH(Table36[[#This Row],[Grist]],SMI,0)),0,IF(Table36[[#This Row],[%Wet Gluten]]&gt;INDEX(WGmax,MATCH(Table36[[#This Row],[Grist]],SMI,0)),0,1))))</f>
        <v>0</v>
      </c>
      <c r="AB308" s="127">
        <f>SUM(Table36[[#This Row],[ QI Bran Content]:[QI WG]])</f>
        <v>4</v>
      </c>
      <c r="AC308" s="127">
        <f>COUNT(Table36[[#This Row],[ QI Bran Content]:[QI WG]])</f>
        <v>5</v>
      </c>
    </row>
    <row r="309" spans="1:29" x14ac:dyDescent="0.35">
      <c r="A309" s="177">
        <v>45328</v>
      </c>
      <c r="B309" s="178">
        <v>45325</v>
      </c>
      <c r="C309" s="178" t="s">
        <v>128</v>
      </c>
      <c r="D309" s="179">
        <v>0.79166666666666596</v>
      </c>
      <c r="E309" s="180" t="s">
        <v>1</v>
      </c>
      <c r="F309" s="181" t="s">
        <v>241</v>
      </c>
      <c r="G309" s="182">
        <v>1.84E-2</v>
      </c>
      <c r="H309" s="175" t="s">
        <v>165</v>
      </c>
      <c r="I309" s="175" t="s">
        <v>165</v>
      </c>
      <c r="J309" s="175" t="s">
        <v>165</v>
      </c>
      <c r="K309" s="175">
        <v>12.07</v>
      </c>
      <c r="L309" s="175" t="s">
        <v>163</v>
      </c>
      <c r="M309" s="175" t="s">
        <v>163</v>
      </c>
      <c r="N309" s="175" t="s">
        <v>163</v>
      </c>
      <c r="O309" s="175" t="s">
        <v>163</v>
      </c>
      <c r="P309" s="175" t="s">
        <v>163</v>
      </c>
      <c r="Q309" s="175"/>
      <c r="R309" s="127">
        <f>IF(Table36[[#This Row],[ Bran Content]]="-","-",IF(G309&lt;0.02,1,0))</f>
        <v>1</v>
      </c>
      <c r="S309" s="127">
        <f>IF(Table36[[#This Row],[Sieve Test]]="-","-",IF(Table36[[#This Row],[Sieve Test]]="P",1,0))</f>
        <v>1</v>
      </c>
      <c r="T309" s="127">
        <f>IF(Table36[[#This Row],[Odor]]="-","-",IF(Table36[[#This Row],[Odor]]="P",1,0))</f>
        <v>1</v>
      </c>
      <c r="U309" s="127" t="str">
        <f>IF(INDEX(MCmin,MATCH(Table36[[#This Row],[Grist]],SMI,0))="-","-",IF(Table36[[#This Row],[F1 %MC]]="-","-",IF(Table36[[#This Row],[F1 %MC]]&lt;INDEX(MCmin,MATCH(Table36[[#This Row],[Grist]],SMI,0)),0,IF(Table36[[#This Row],[F1 %MC]]&gt;INDEX(MCmax,MATCH(Table36[[#This Row],[Grist]],SMI,0)),0,1))))</f>
        <v>-</v>
      </c>
      <c r="V309" s="127" t="str">
        <f>IF(INDEX(Protmin,MATCH(Table36[[#This Row],[Grist]],SMI,0))="-","-",IF(Table36[[#This Row],[%Protein]]="-","-",IF(Table36[[#This Row],[%Protein]]&lt;INDEX(Protmin,MATCH(Table36[[#This Row],[Grist]],SMI,0)),0,IF(Table36[[#This Row],[%Protein]]&gt;INDEX(Protmax,MATCH(Table36[[#This Row],[Grist]],SMI,0)),0,1))))</f>
        <v>-</v>
      </c>
      <c r="W309" s="127" t="str">
        <f>IF(INDEX(Ashmin,MATCH(Table36[[#This Row],[Grist]],SMI,0))="-","-",IF(Table36[[#This Row],[%Ash]]="-","-",IF(Table36[[#This Row],[%Ash]]&lt;INDEX(Ashmin,MATCH(Table36[[#This Row],[Grist]],SMI,0)),0,IF(Table36[[#This Row],[%Ash]]&gt;INDEX(Ashmax,MATCH(Table36[[#This Row],[Grist]],SMI,0)),0,1))))</f>
        <v>-</v>
      </c>
      <c r="X309" s="127" t="str">
        <f>IF(INDEX(Absmin,MATCH(Table36[[#This Row],[Grist]],SMI,0))="-","-",IF(Table36[[#This Row],[%Absorption]]="-","-",IF(Table36[[#This Row],[%Absorption]]&lt;INDEX(Absmin,MATCH(Table36[[#This Row],[Grist]],SMI,0)),0,IF(Table36[[#This Row],[%Absorption]]&gt;INDEX(Absmax,MATCH(Table36[[#This Row],[Grist]],SMI,0)),0,1))))</f>
        <v>-</v>
      </c>
      <c r="Y309" s="127" t="str">
        <f>IF(INDEX(Extmin,MATCH(Table36[[#This Row],[Grist]],SMI,0))="-","-",IF(Table36[[#This Row],[%Extensibility]]="-","-",IF(Table36[[#This Row],[%Extensibility]]&lt;INDEX(Extmin,MATCH(Table36[[#This Row],[Grist]],SMI,0)),0,IF(Table36[[#This Row],[%Extensibility]]&gt;INDEX(Extmax,MATCH(Table36[[#This Row],[Grist]],SMI,0)),0,1))))</f>
        <v>-</v>
      </c>
      <c r="Z309" s="127" t="str">
        <f>IF(INDEX(Resmin,MATCH(Table36[[#This Row],[Grist]],SMI,0))="-","-",IF(Table36[[#This Row],[Resistance, max]]="-","-",IF(Table36[[#This Row],[Resistance, max]]&lt;INDEX(Resmin,MATCH(Table36[[#This Row],[Grist]],SMI,0)),0,IF(Table36[[#This Row],[Resistance, max]]&gt;INDEX(Resmax,MATCH(Table36[[#This Row],[Grist]],SMI,0)),0,1))))</f>
        <v>-</v>
      </c>
      <c r="AA309" s="127" t="str">
        <f>IF(INDEX(WGmin,MATCH(Table36[[#This Row],[Grist]],SMI,0))="-","-",IF(Table36[[#This Row],[%Wet Gluten]]="-","-",IF(Table36[[#This Row],[%Wet Gluten]]&lt;INDEX(WGmin,MATCH(Table36[[#This Row],[Grist]],SMI,0)),0,IF(Table36[[#This Row],[%Wet Gluten]]&gt;INDEX(WGmax,MATCH(Table36[[#This Row],[Grist]],SMI,0)),0,1))))</f>
        <v>-</v>
      </c>
      <c r="AB309" s="127">
        <f>SUM(Table36[[#This Row],[ QI Bran Content]:[QI WG]])</f>
        <v>3</v>
      </c>
      <c r="AC309" s="127">
        <f>COUNT(Table36[[#This Row],[ QI Bran Content]:[QI WG]])</f>
        <v>3</v>
      </c>
    </row>
    <row r="310" spans="1:29" x14ac:dyDescent="0.35">
      <c r="A310" s="177">
        <v>45328</v>
      </c>
      <c r="B310" s="178">
        <v>45325</v>
      </c>
      <c r="C310" s="178" t="s">
        <v>128</v>
      </c>
      <c r="D310" s="179">
        <v>0.874999999999999</v>
      </c>
      <c r="E310" s="180" t="s">
        <v>1</v>
      </c>
      <c r="F310" s="181" t="s">
        <v>241</v>
      </c>
      <c r="G310" s="182">
        <v>2.6100000000000002E-2</v>
      </c>
      <c r="H310" s="175" t="s">
        <v>165</v>
      </c>
      <c r="I310" s="175" t="s">
        <v>165</v>
      </c>
      <c r="J310" s="175" t="s">
        <v>165</v>
      </c>
      <c r="K310" s="175">
        <v>11.96</v>
      </c>
      <c r="L310" s="175" t="s">
        <v>163</v>
      </c>
      <c r="M310" s="175" t="s">
        <v>163</v>
      </c>
      <c r="N310" s="175" t="s">
        <v>163</v>
      </c>
      <c r="O310" s="175" t="s">
        <v>163</v>
      </c>
      <c r="P310" s="175" t="s">
        <v>163</v>
      </c>
      <c r="Q310" s="175"/>
      <c r="R310" s="127">
        <f>IF(Table36[[#This Row],[ Bran Content]]="-","-",IF(G310&lt;0.02,1,0))</f>
        <v>0</v>
      </c>
      <c r="S310" s="127">
        <f>IF(Table36[[#This Row],[Sieve Test]]="-","-",IF(Table36[[#This Row],[Sieve Test]]="P",1,0))</f>
        <v>1</v>
      </c>
      <c r="T310" s="127">
        <f>IF(Table36[[#This Row],[Odor]]="-","-",IF(Table36[[#This Row],[Odor]]="P",1,0))</f>
        <v>1</v>
      </c>
      <c r="U310" s="127" t="str">
        <f>IF(INDEX(MCmin,MATCH(Table36[[#This Row],[Grist]],SMI,0))="-","-",IF(Table36[[#This Row],[F1 %MC]]="-","-",IF(Table36[[#This Row],[F1 %MC]]&lt;INDEX(MCmin,MATCH(Table36[[#This Row],[Grist]],SMI,0)),0,IF(Table36[[#This Row],[F1 %MC]]&gt;INDEX(MCmax,MATCH(Table36[[#This Row],[Grist]],SMI,0)),0,1))))</f>
        <v>-</v>
      </c>
      <c r="V310" s="127" t="str">
        <f>IF(INDEX(Protmin,MATCH(Table36[[#This Row],[Grist]],SMI,0))="-","-",IF(Table36[[#This Row],[%Protein]]="-","-",IF(Table36[[#This Row],[%Protein]]&lt;INDEX(Protmin,MATCH(Table36[[#This Row],[Grist]],SMI,0)),0,IF(Table36[[#This Row],[%Protein]]&gt;INDEX(Protmax,MATCH(Table36[[#This Row],[Grist]],SMI,0)),0,1))))</f>
        <v>-</v>
      </c>
      <c r="W310" s="127" t="str">
        <f>IF(INDEX(Ashmin,MATCH(Table36[[#This Row],[Grist]],SMI,0))="-","-",IF(Table36[[#This Row],[%Ash]]="-","-",IF(Table36[[#This Row],[%Ash]]&lt;INDEX(Ashmin,MATCH(Table36[[#This Row],[Grist]],SMI,0)),0,IF(Table36[[#This Row],[%Ash]]&gt;INDEX(Ashmax,MATCH(Table36[[#This Row],[Grist]],SMI,0)),0,1))))</f>
        <v>-</v>
      </c>
      <c r="X310" s="127" t="str">
        <f>IF(INDEX(Absmin,MATCH(Table36[[#This Row],[Grist]],SMI,0))="-","-",IF(Table36[[#This Row],[%Absorption]]="-","-",IF(Table36[[#This Row],[%Absorption]]&lt;INDEX(Absmin,MATCH(Table36[[#This Row],[Grist]],SMI,0)),0,IF(Table36[[#This Row],[%Absorption]]&gt;INDEX(Absmax,MATCH(Table36[[#This Row],[Grist]],SMI,0)),0,1))))</f>
        <v>-</v>
      </c>
      <c r="Y310" s="127" t="str">
        <f>IF(INDEX(Extmin,MATCH(Table36[[#This Row],[Grist]],SMI,0))="-","-",IF(Table36[[#This Row],[%Extensibility]]="-","-",IF(Table36[[#This Row],[%Extensibility]]&lt;INDEX(Extmin,MATCH(Table36[[#This Row],[Grist]],SMI,0)),0,IF(Table36[[#This Row],[%Extensibility]]&gt;INDEX(Extmax,MATCH(Table36[[#This Row],[Grist]],SMI,0)),0,1))))</f>
        <v>-</v>
      </c>
      <c r="Z310" s="127" t="str">
        <f>IF(INDEX(Resmin,MATCH(Table36[[#This Row],[Grist]],SMI,0))="-","-",IF(Table36[[#This Row],[Resistance, max]]="-","-",IF(Table36[[#This Row],[Resistance, max]]&lt;INDEX(Resmin,MATCH(Table36[[#This Row],[Grist]],SMI,0)),0,IF(Table36[[#This Row],[Resistance, max]]&gt;INDEX(Resmax,MATCH(Table36[[#This Row],[Grist]],SMI,0)),0,1))))</f>
        <v>-</v>
      </c>
      <c r="AA310" s="127" t="str">
        <f>IF(INDEX(WGmin,MATCH(Table36[[#This Row],[Grist]],SMI,0))="-","-",IF(Table36[[#This Row],[%Wet Gluten]]="-","-",IF(Table36[[#This Row],[%Wet Gluten]]&lt;INDEX(WGmin,MATCH(Table36[[#This Row],[Grist]],SMI,0)),0,IF(Table36[[#This Row],[%Wet Gluten]]&gt;INDEX(WGmax,MATCH(Table36[[#This Row],[Grist]],SMI,0)),0,1))))</f>
        <v>-</v>
      </c>
      <c r="AB310" s="127">
        <f>SUM(Table36[[#This Row],[ QI Bran Content]:[QI WG]])</f>
        <v>2</v>
      </c>
      <c r="AC310" s="127">
        <f>COUNT(Table36[[#This Row],[ QI Bran Content]:[QI WG]])</f>
        <v>3</v>
      </c>
    </row>
    <row r="311" spans="1:29" x14ac:dyDescent="0.35">
      <c r="A311" s="177">
        <v>45328</v>
      </c>
      <c r="B311" s="178">
        <v>45325</v>
      </c>
      <c r="C311" s="178" t="s">
        <v>128</v>
      </c>
      <c r="D311" s="179">
        <v>0.625</v>
      </c>
      <c r="E311" s="180" t="s">
        <v>2</v>
      </c>
      <c r="F311" s="181" t="s">
        <v>242</v>
      </c>
      <c r="G311" s="182" t="s">
        <v>254</v>
      </c>
      <c r="H311" s="175" t="s">
        <v>165</v>
      </c>
      <c r="I311" s="175" t="s">
        <v>165</v>
      </c>
      <c r="J311" s="175" t="s">
        <v>165</v>
      </c>
      <c r="K311" s="175">
        <v>11.93</v>
      </c>
      <c r="L311" s="175" t="s">
        <v>255</v>
      </c>
      <c r="M311" s="175" t="s">
        <v>245</v>
      </c>
      <c r="N311" s="175">
        <v>63.7</v>
      </c>
      <c r="O311" s="175" t="s">
        <v>163</v>
      </c>
      <c r="P311" s="175" t="s">
        <v>163</v>
      </c>
      <c r="Q311" s="175"/>
      <c r="R311" s="127">
        <f>IF(Table36[[#This Row],[ Bran Content]]="-","-",IF(G311&lt;0.02,1,0))</f>
        <v>0</v>
      </c>
      <c r="S311" s="127">
        <f>IF(Table36[[#This Row],[Sieve Test]]="-","-",IF(Table36[[#This Row],[Sieve Test]]="P",1,0))</f>
        <v>1</v>
      </c>
      <c r="T311" s="127">
        <f>IF(Table36[[#This Row],[Odor]]="-","-",IF(Table36[[#This Row],[Odor]]="P",1,0))</f>
        <v>1</v>
      </c>
      <c r="U311" s="127">
        <f>IF(INDEX(MCmin,MATCH(Table36[[#This Row],[Grist]],SMI,0))="-","-",IF(Table36[[#This Row],[F1 %MC]]="-","-",IF(Table36[[#This Row],[F1 %MC]]&lt;INDEX(MCmin,MATCH(Table36[[#This Row],[Grist]],SMI,0)),0,IF(Table36[[#This Row],[F1 %MC]]&gt;INDEX(MCmax,MATCH(Table36[[#This Row],[Grist]],SMI,0)),0,1))))</f>
        <v>0</v>
      </c>
      <c r="V311" s="127">
        <f>IF(INDEX(Protmin,MATCH(Table36[[#This Row],[Grist]],SMI,0))="-","-",IF(Table36[[#This Row],[%Protein]]="-","-",IF(Table36[[#This Row],[%Protein]]&lt;INDEX(Protmin,MATCH(Table36[[#This Row],[Grist]],SMI,0)),0,IF(Table36[[#This Row],[%Protein]]&gt;INDEX(Protmax,MATCH(Table36[[#This Row],[Grist]],SMI,0)),0,1))))</f>
        <v>0</v>
      </c>
      <c r="W311" s="127">
        <f>IF(INDEX(Ashmin,MATCH(Table36[[#This Row],[Grist]],SMI,0))="-","-",IF(Table36[[#This Row],[%Ash]]="-","-",IF(Table36[[#This Row],[%Ash]]&lt;INDEX(Ashmin,MATCH(Table36[[#This Row],[Grist]],SMI,0)),0,IF(Table36[[#This Row],[%Ash]]&gt;INDEX(Ashmax,MATCH(Table36[[#This Row],[Grist]],SMI,0)),0,1))))</f>
        <v>0</v>
      </c>
      <c r="X311" s="127">
        <f>IF(INDEX(Absmin,MATCH(Table36[[#This Row],[Grist]],SMI,0))="-","-",IF(Table36[[#This Row],[%Absorption]]="-","-",IF(Table36[[#This Row],[%Absorption]]&lt;INDEX(Absmin,MATCH(Table36[[#This Row],[Grist]],SMI,0)),0,IF(Table36[[#This Row],[%Absorption]]&gt;INDEX(Absmax,MATCH(Table36[[#This Row],[Grist]],SMI,0)),0,1))))</f>
        <v>1</v>
      </c>
      <c r="Y311" s="127" t="str">
        <f>IF(INDEX(Extmin,MATCH(Table36[[#This Row],[Grist]],SMI,0))="-","-",IF(Table36[[#This Row],[%Extensibility]]="-","-",IF(Table36[[#This Row],[%Extensibility]]&lt;INDEX(Extmin,MATCH(Table36[[#This Row],[Grist]],SMI,0)),0,IF(Table36[[#This Row],[%Extensibility]]&gt;INDEX(Extmax,MATCH(Table36[[#This Row],[Grist]],SMI,0)),0,1))))</f>
        <v>-</v>
      </c>
      <c r="Z311" s="127" t="str">
        <f>IF(INDEX(Resmin,MATCH(Table36[[#This Row],[Grist]],SMI,0))="-","-",IF(Table36[[#This Row],[Resistance, max]]="-","-",IF(Table36[[#This Row],[Resistance, max]]&lt;INDEX(Resmin,MATCH(Table36[[#This Row],[Grist]],SMI,0)),0,IF(Table36[[#This Row],[Resistance, max]]&gt;INDEX(Resmax,MATCH(Table36[[#This Row],[Grist]],SMI,0)),0,1))))</f>
        <v>-</v>
      </c>
      <c r="AA311" s="127">
        <f>IF(INDEX(WGmin,MATCH(Table36[[#This Row],[Grist]],SMI,0))="-","-",IF(Table36[[#This Row],[%Wet Gluten]]="-","-",IF(Table36[[#This Row],[%Wet Gluten]]&lt;INDEX(WGmin,MATCH(Table36[[#This Row],[Grist]],SMI,0)),0,IF(Table36[[#This Row],[%Wet Gluten]]&gt;INDEX(WGmax,MATCH(Table36[[#This Row],[Grist]],SMI,0)),0,1))))</f>
        <v>0</v>
      </c>
      <c r="AB311" s="127">
        <f>SUM(Table36[[#This Row],[ QI Bran Content]:[QI WG]])</f>
        <v>3</v>
      </c>
      <c r="AC311" s="127">
        <f>COUNT(Table36[[#This Row],[ QI Bran Content]:[QI WG]])</f>
        <v>8</v>
      </c>
    </row>
    <row r="312" spans="1:29" x14ac:dyDescent="0.35">
      <c r="A312" s="177">
        <v>45328</v>
      </c>
      <c r="B312" s="178">
        <v>45325</v>
      </c>
      <c r="C312" s="178" t="s">
        <v>130</v>
      </c>
      <c r="D312" s="179">
        <v>0.95833333333333337</v>
      </c>
      <c r="E312" s="180" t="s">
        <v>0</v>
      </c>
      <c r="F312" s="181" t="s">
        <v>40</v>
      </c>
      <c r="G312" s="182">
        <v>4.7999999999999996E-3</v>
      </c>
      <c r="H312" s="175" t="s">
        <v>165</v>
      </c>
      <c r="I312" s="175" t="s">
        <v>165</v>
      </c>
      <c r="J312" s="175" t="s">
        <v>165</v>
      </c>
      <c r="K312" s="175">
        <v>13.05</v>
      </c>
      <c r="L312" s="175" t="s">
        <v>163</v>
      </c>
      <c r="M312" s="175" t="s">
        <v>163</v>
      </c>
      <c r="N312" s="175" t="s">
        <v>163</v>
      </c>
      <c r="O312" s="175" t="s">
        <v>163</v>
      </c>
      <c r="P312" s="175" t="s">
        <v>163</v>
      </c>
      <c r="Q312" s="175"/>
      <c r="R312" s="127">
        <f>IF(Table36[[#This Row],[ Bran Content]]="-","-",IF(G312&lt;0.02,1,0))</f>
        <v>1</v>
      </c>
      <c r="S312" s="127">
        <f>IF(Table36[[#This Row],[Sieve Test]]="-","-",IF(Table36[[#This Row],[Sieve Test]]="P",1,0))</f>
        <v>1</v>
      </c>
      <c r="T312" s="127">
        <f>IF(Table36[[#This Row],[Odor]]="-","-",IF(Table36[[#This Row],[Odor]]="P",1,0))</f>
        <v>1</v>
      </c>
      <c r="U312" s="127">
        <f>IF(INDEX(MCmin,MATCH(Table36[[#This Row],[Grist]],SMI,0))="-","-",IF(Table36[[#This Row],[F1 %MC]]="-","-",IF(Table36[[#This Row],[F1 %MC]]&lt;INDEX(MCmin,MATCH(Table36[[#This Row],[Grist]],SMI,0)),0,IF(Table36[[#This Row],[F1 %MC]]&gt;INDEX(MCmax,MATCH(Table36[[#This Row],[Grist]],SMI,0)),0,1))))</f>
        <v>1</v>
      </c>
      <c r="V312" s="127" t="str">
        <f>IF(INDEX(Protmin,MATCH(Table36[[#This Row],[Grist]],SMI,0))="-","-",IF(Table36[[#This Row],[%Protein]]="-","-",IF(Table36[[#This Row],[%Protein]]&lt;INDEX(Protmin,MATCH(Table36[[#This Row],[Grist]],SMI,0)),0,IF(Table36[[#This Row],[%Protein]]&gt;INDEX(Protmax,MATCH(Table36[[#This Row],[Grist]],SMI,0)),0,1))))</f>
        <v>-</v>
      </c>
      <c r="W312" s="127" t="str">
        <f>IF(INDEX(Ashmin,MATCH(Table36[[#This Row],[Grist]],SMI,0))="-","-",IF(Table36[[#This Row],[%Ash]]="-","-",IF(Table36[[#This Row],[%Ash]]&lt;INDEX(Ashmin,MATCH(Table36[[#This Row],[Grist]],SMI,0)),0,IF(Table36[[#This Row],[%Ash]]&gt;INDEX(Ashmax,MATCH(Table36[[#This Row],[Grist]],SMI,0)),0,1))))</f>
        <v>-</v>
      </c>
      <c r="X312" s="127" t="str">
        <f>IF(INDEX(Absmin,MATCH(Table36[[#This Row],[Grist]],SMI,0))="-","-",IF(Table36[[#This Row],[%Absorption]]="-","-",IF(Table36[[#This Row],[%Absorption]]&lt;INDEX(Absmin,MATCH(Table36[[#This Row],[Grist]],SMI,0)),0,IF(Table36[[#This Row],[%Absorption]]&gt;INDEX(Absmax,MATCH(Table36[[#This Row],[Grist]],SMI,0)),0,1))))</f>
        <v>-</v>
      </c>
      <c r="Y312" s="127" t="str">
        <f>IF(INDEX(Extmin,MATCH(Table36[[#This Row],[Grist]],SMI,0))="-","-",IF(Table36[[#This Row],[%Extensibility]]="-","-",IF(Table36[[#This Row],[%Extensibility]]&lt;INDEX(Extmin,MATCH(Table36[[#This Row],[Grist]],SMI,0)),0,IF(Table36[[#This Row],[%Extensibility]]&gt;INDEX(Extmax,MATCH(Table36[[#This Row],[Grist]],SMI,0)),0,1))))</f>
        <v>-</v>
      </c>
      <c r="Z312" s="127" t="str">
        <f>IF(INDEX(Resmin,MATCH(Table36[[#This Row],[Grist]],SMI,0))="-","-",IF(Table36[[#This Row],[Resistance, max]]="-","-",IF(Table36[[#This Row],[Resistance, max]]&lt;INDEX(Resmin,MATCH(Table36[[#This Row],[Grist]],SMI,0)),0,IF(Table36[[#This Row],[Resistance, max]]&gt;INDEX(Resmax,MATCH(Table36[[#This Row],[Grist]],SMI,0)),0,1))))</f>
        <v>-</v>
      </c>
      <c r="AA312" s="127">
        <f>IF(INDEX(WGmin,MATCH(Table36[[#This Row],[Grist]],SMI,0))="-","-",IF(Table36[[#This Row],[%Wet Gluten]]="-","-",IF(Table36[[#This Row],[%Wet Gluten]]&lt;INDEX(WGmin,MATCH(Table36[[#This Row],[Grist]],SMI,0)),0,IF(Table36[[#This Row],[%Wet Gluten]]&gt;INDEX(WGmax,MATCH(Table36[[#This Row],[Grist]],SMI,0)),0,1))))</f>
        <v>0</v>
      </c>
      <c r="AB312" s="127">
        <f>SUM(Table36[[#This Row],[ QI Bran Content]:[QI WG]])</f>
        <v>4</v>
      </c>
      <c r="AC312" s="127">
        <f>COUNT(Table36[[#This Row],[ QI Bran Content]:[QI WG]])</f>
        <v>5</v>
      </c>
    </row>
    <row r="313" spans="1:29" x14ac:dyDescent="0.35">
      <c r="A313" s="177">
        <v>45328</v>
      </c>
      <c r="B313" s="178">
        <v>45325</v>
      </c>
      <c r="C313" s="178" t="s">
        <v>130</v>
      </c>
      <c r="D313" s="179">
        <v>1.0416666666666701</v>
      </c>
      <c r="E313" s="180" t="s">
        <v>0</v>
      </c>
      <c r="F313" s="181" t="s">
        <v>27</v>
      </c>
      <c r="G313" s="182">
        <v>4.4999999999999997E-3</v>
      </c>
      <c r="H313" s="175" t="s">
        <v>165</v>
      </c>
      <c r="I313" s="175" t="s">
        <v>165</v>
      </c>
      <c r="J313" s="175" t="s">
        <v>165</v>
      </c>
      <c r="K313" s="175">
        <v>13.09</v>
      </c>
      <c r="L313" s="175" t="s">
        <v>163</v>
      </c>
      <c r="M313" s="175" t="s">
        <v>163</v>
      </c>
      <c r="N313" s="175" t="s">
        <v>163</v>
      </c>
      <c r="O313" s="175" t="s">
        <v>163</v>
      </c>
      <c r="P313" s="175" t="s">
        <v>163</v>
      </c>
      <c r="Q313" s="175"/>
      <c r="R313" s="127">
        <f>IF(Table36[[#This Row],[ Bran Content]]="-","-",IF(G313&lt;0.02,1,0))</f>
        <v>1</v>
      </c>
      <c r="S313" s="127">
        <f>IF(Table36[[#This Row],[Sieve Test]]="-","-",IF(Table36[[#This Row],[Sieve Test]]="P",1,0))</f>
        <v>1</v>
      </c>
      <c r="T313" s="127">
        <f>IF(Table36[[#This Row],[Odor]]="-","-",IF(Table36[[#This Row],[Odor]]="P",1,0))</f>
        <v>1</v>
      </c>
      <c r="U313" s="127">
        <f>IF(INDEX(MCmin,MATCH(Table36[[#This Row],[Grist]],SMI,0))="-","-",IF(Table36[[#This Row],[F1 %MC]]="-","-",IF(Table36[[#This Row],[F1 %MC]]&lt;INDEX(MCmin,MATCH(Table36[[#This Row],[Grist]],SMI,0)),0,IF(Table36[[#This Row],[F1 %MC]]&gt;INDEX(MCmax,MATCH(Table36[[#This Row],[Grist]],SMI,0)),0,1))))</f>
        <v>1</v>
      </c>
      <c r="V313" s="127" t="str">
        <f>IF(INDEX(Protmin,MATCH(Table36[[#This Row],[Grist]],SMI,0))="-","-",IF(Table36[[#This Row],[%Protein]]="-","-",IF(Table36[[#This Row],[%Protein]]&lt;INDEX(Protmin,MATCH(Table36[[#This Row],[Grist]],SMI,0)),0,IF(Table36[[#This Row],[%Protein]]&gt;INDEX(Protmax,MATCH(Table36[[#This Row],[Grist]],SMI,0)),0,1))))</f>
        <v>-</v>
      </c>
      <c r="W313" s="127" t="str">
        <f>IF(INDEX(Ashmin,MATCH(Table36[[#This Row],[Grist]],SMI,0))="-","-",IF(Table36[[#This Row],[%Ash]]="-","-",IF(Table36[[#This Row],[%Ash]]&lt;INDEX(Ashmin,MATCH(Table36[[#This Row],[Grist]],SMI,0)),0,IF(Table36[[#This Row],[%Ash]]&gt;INDEX(Ashmax,MATCH(Table36[[#This Row],[Grist]],SMI,0)),0,1))))</f>
        <v>-</v>
      </c>
      <c r="X313" s="127" t="str">
        <f>IF(INDEX(Absmin,MATCH(Table36[[#This Row],[Grist]],SMI,0))="-","-",IF(Table36[[#This Row],[%Absorption]]="-","-",IF(Table36[[#This Row],[%Absorption]]&lt;INDEX(Absmin,MATCH(Table36[[#This Row],[Grist]],SMI,0)),0,IF(Table36[[#This Row],[%Absorption]]&gt;INDEX(Absmax,MATCH(Table36[[#This Row],[Grist]],SMI,0)),0,1))))</f>
        <v>-</v>
      </c>
      <c r="Y313" s="127" t="str">
        <f>IF(INDEX(Extmin,MATCH(Table36[[#This Row],[Grist]],SMI,0))="-","-",IF(Table36[[#This Row],[%Extensibility]]="-","-",IF(Table36[[#This Row],[%Extensibility]]&lt;INDEX(Extmin,MATCH(Table36[[#This Row],[Grist]],SMI,0)),0,IF(Table36[[#This Row],[%Extensibility]]&gt;INDEX(Extmax,MATCH(Table36[[#This Row],[Grist]],SMI,0)),0,1))))</f>
        <v>-</v>
      </c>
      <c r="Z313" s="127" t="str">
        <f>IF(INDEX(Resmin,MATCH(Table36[[#This Row],[Grist]],SMI,0))="-","-",IF(Table36[[#This Row],[Resistance, max]]="-","-",IF(Table36[[#This Row],[Resistance, max]]&lt;INDEX(Resmin,MATCH(Table36[[#This Row],[Grist]],SMI,0)),0,IF(Table36[[#This Row],[Resistance, max]]&gt;INDEX(Resmax,MATCH(Table36[[#This Row],[Grist]],SMI,0)),0,1))))</f>
        <v>-</v>
      </c>
      <c r="AA313" s="127">
        <f>IF(INDEX(WGmin,MATCH(Table36[[#This Row],[Grist]],SMI,0))="-","-",IF(Table36[[#This Row],[%Wet Gluten]]="-","-",IF(Table36[[#This Row],[%Wet Gluten]]&lt;INDEX(WGmin,MATCH(Table36[[#This Row],[Grist]],SMI,0)),0,IF(Table36[[#This Row],[%Wet Gluten]]&gt;INDEX(WGmax,MATCH(Table36[[#This Row],[Grist]],SMI,0)),0,1))))</f>
        <v>0</v>
      </c>
      <c r="AB313" s="127">
        <f>SUM(Table36[[#This Row],[ QI Bran Content]:[QI WG]])</f>
        <v>4</v>
      </c>
      <c r="AC313" s="127">
        <f>COUNT(Table36[[#This Row],[ QI Bran Content]:[QI WG]])</f>
        <v>5</v>
      </c>
    </row>
    <row r="314" spans="1:29" x14ac:dyDescent="0.35">
      <c r="A314" s="177">
        <v>45328</v>
      </c>
      <c r="B314" s="178">
        <v>45325</v>
      </c>
      <c r="C314" s="178" t="s">
        <v>130</v>
      </c>
      <c r="D314" s="179">
        <v>0.95833333333333337</v>
      </c>
      <c r="E314" s="180" t="s">
        <v>1</v>
      </c>
      <c r="F314" s="181" t="s">
        <v>241</v>
      </c>
      <c r="G314" s="182">
        <v>4.1099999999999998E-2</v>
      </c>
      <c r="H314" s="175" t="s">
        <v>163</v>
      </c>
      <c r="I314" s="175" t="s">
        <v>163</v>
      </c>
      <c r="J314" s="175" t="s">
        <v>163</v>
      </c>
      <c r="K314" s="175">
        <v>12.03</v>
      </c>
      <c r="L314" s="175" t="s">
        <v>163</v>
      </c>
      <c r="M314" s="175" t="s">
        <v>163</v>
      </c>
      <c r="N314" s="175" t="s">
        <v>163</v>
      </c>
      <c r="O314" s="175" t="s">
        <v>163</v>
      </c>
      <c r="P314" s="175" t="s">
        <v>163</v>
      </c>
      <c r="Q314" s="175"/>
      <c r="R314" s="127">
        <f>IF(Table36[[#This Row],[ Bran Content]]="-","-",IF(G314&lt;0.02,1,0))</f>
        <v>0</v>
      </c>
      <c r="S314" s="127" t="str">
        <f>IF(Table36[[#This Row],[Sieve Test]]="-","-",IF(Table36[[#This Row],[Sieve Test]]="P",1,0))</f>
        <v>-</v>
      </c>
      <c r="T314" s="127" t="str">
        <f>IF(Table36[[#This Row],[Odor]]="-","-",IF(Table36[[#This Row],[Odor]]="P",1,0))</f>
        <v>-</v>
      </c>
      <c r="U314" s="127" t="str">
        <f>IF(INDEX(MCmin,MATCH(Table36[[#This Row],[Grist]],SMI,0))="-","-",IF(Table36[[#This Row],[F1 %MC]]="-","-",IF(Table36[[#This Row],[F1 %MC]]&lt;INDEX(MCmin,MATCH(Table36[[#This Row],[Grist]],SMI,0)),0,IF(Table36[[#This Row],[F1 %MC]]&gt;INDEX(MCmax,MATCH(Table36[[#This Row],[Grist]],SMI,0)),0,1))))</f>
        <v>-</v>
      </c>
      <c r="V314" s="127" t="str">
        <f>IF(INDEX(Protmin,MATCH(Table36[[#This Row],[Grist]],SMI,0))="-","-",IF(Table36[[#This Row],[%Protein]]="-","-",IF(Table36[[#This Row],[%Protein]]&lt;INDEX(Protmin,MATCH(Table36[[#This Row],[Grist]],SMI,0)),0,IF(Table36[[#This Row],[%Protein]]&gt;INDEX(Protmax,MATCH(Table36[[#This Row],[Grist]],SMI,0)),0,1))))</f>
        <v>-</v>
      </c>
      <c r="W314" s="127" t="str">
        <f>IF(INDEX(Ashmin,MATCH(Table36[[#This Row],[Grist]],SMI,0))="-","-",IF(Table36[[#This Row],[%Ash]]="-","-",IF(Table36[[#This Row],[%Ash]]&lt;INDEX(Ashmin,MATCH(Table36[[#This Row],[Grist]],SMI,0)),0,IF(Table36[[#This Row],[%Ash]]&gt;INDEX(Ashmax,MATCH(Table36[[#This Row],[Grist]],SMI,0)),0,1))))</f>
        <v>-</v>
      </c>
      <c r="X314" s="127" t="str">
        <f>IF(INDEX(Absmin,MATCH(Table36[[#This Row],[Grist]],SMI,0))="-","-",IF(Table36[[#This Row],[%Absorption]]="-","-",IF(Table36[[#This Row],[%Absorption]]&lt;INDEX(Absmin,MATCH(Table36[[#This Row],[Grist]],SMI,0)),0,IF(Table36[[#This Row],[%Absorption]]&gt;INDEX(Absmax,MATCH(Table36[[#This Row],[Grist]],SMI,0)),0,1))))</f>
        <v>-</v>
      </c>
      <c r="Y314" s="127" t="str">
        <f>IF(INDEX(Extmin,MATCH(Table36[[#This Row],[Grist]],SMI,0))="-","-",IF(Table36[[#This Row],[%Extensibility]]="-","-",IF(Table36[[#This Row],[%Extensibility]]&lt;INDEX(Extmin,MATCH(Table36[[#This Row],[Grist]],SMI,0)),0,IF(Table36[[#This Row],[%Extensibility]]&gt;INDEX(Extmax,MATCH(Table36[[#This Row],[Grist]],SMI,0)),0,1))))</f>
        <v>-</v>
      </c>
      <c r="Z314" s="127" t="str">
        <f>IF(INDEX(Resmin,MATCH(Table36[[#This Row],[Grist]],SMI,0))="-","-",IF(Table36[[#This Row],[Resistance, max]]="-","-",IF(Table36[[#This Row],[Resistance, max]]&lt;INDEX(Resmin,MATCH(Table36[[#This Row],[Grist]],SMI,0)),0,IF(Table36[[#This Row],[Resistance, max]]&gt;INDEX(Resmax,MATCH(Table36[[#This Row],[Grist]],SMI,0)),0,1))))</f>
        <v>-</v>
      </c>
      <c r="AA314" s="127" t="str">
        <f>IF(INDEX(WGmin,MATCH(Table36[[#This Row],[Grist]],SMI,0))="-","-",IF(Table36[[#This Row],[%Wet Gluten]]="-","-",IF(Table36[[#This Row],[%Wet Gluten]]&lt;INDEX(WGmin,MATCH(Table36[[#This Row],[Grist]],SMI,0)),0,IF(Table36[[#This Row],[%Wet Gluten]]&gt;INDEX(WGmax,MATCH(Table36[[#This Row],[Grist]],SMI,0)),0,1))))</f>
        <v>-</v>
      </c>
      <c r="AB314" s="127">
        <f>SUM(Table36[[#This Row],[ QI Bran Content]:[QI WG]])</f>
        <v>0</v>
      </c>
      <c r="AC314" s="127">
        <f>COUNT(Table36[[#This Row],[ QI Bran Content]:[QI WG]])</f>
        <v>1</v>
      </c>
    </row>
    <row r="315" spans="1:29" x14ac:dyDescent="0.35">
      <c r="A315" s="177">
        <v>45328</v>
      </c>
      <c r="B315" s="178">
        <v>45330</v>
      </c>
      <c r="C315" s="178" t="s">
        <v>128</v>
      </c>
      <c r="D315" s="179">
        <v>0.625</v>
      </c>
      <c r="E315" s="180" t="s">
        <v>0</v>
      </c>
      <c r="F315" s="181" t="s">
        <v>27</v>
      </c>
      <c r="G315" s="182">
        <v>1.12E-2</v>
      </c>
      <c r="H315" s="175" t="s">
        <v>165</v>
      </c>
      <c r="I315" s="175" t="s">
        <v>165</v>
      </c>
      <c r="J315" s="175" t="s">
        <v>165</v>
      </c>
      <c r="K315" s="175">
        <v>11.98</v>
      </c>
      <c r="L315" s="175">
        <v>13.71</v>
      </c>
      <c r="M315" s="175">
        <v>0.5</v>
      </c>
      <c r="N315" s="175">
        <v>64.599999999999994</v>
      </c>
      <c r="O315" s="175" t="s">
        <v>163</v>
      </c>
      <c r="P315" s="175" t="s">
        <v>163</v>
      </c>
      <c r="Q315" s="175"/>
      <c r="R315" s="127">
        <f>IF(Table36[[#This Row],[ Bran Content]]="-","-",IF(G315&lt;0.02,1,0))</f>
        <v>1</v>
      </c>
      <c r="S315" s="127">
        <f>IF(Table36[[#This Row],[Sieve Test]]="-","-",IF(Table36[[#This Row],[Sieve Test]]="P",1,0))</f>
        <v>1</v>
      </c>
      <c r="T315" s="127">
        <f>IF(Table36[[#This Row],[Odor]]="-","-",IF(Table36[[#This Row],[Odor]]="P",1,0))</f>
        <v>1</v>
      </c>
      <c r="U315" s="127">
        <f>IF(INDEX(MCmin,MATCH(Table36[[#This Row],[Grist]],SMI,0))="-","-",IF(Table36[[#This Row],[F1 %MC]]="-","-",IF(Table36[[#This Row],[F1 %MC]]&lt;INDEX(MCmin,MATCH(Table36[[#This Row],[Grist]],SMI,0)),0,IF(Table36[[#This Row],[F1 %MC]]&gt;INDEX(MCmax,MATCH(Table36[[#This Row],[Grist]],SMI,0)),0,1))))</f>
        <v>0</v>
      </c>
      <c r="V315" s="127">
        <f>IF(INDEX(Protmin,MATCH(Table36[[#This Row],[Grist]],SMI,0))="-","-",IF(Table36[[#This Row],[%Protein]]="-","-",IF(Table36[[#This Row],[%Protein]]&lt;INDEX(Protmin,MATCH(Table36[[#This Row],[Grist]],SMI,0)),0,IF(Table36[[#This Row],[%Protein]]&gt;INDEX(Protmax,MATCH(Table36[[#This Row],[Grist]],SMI,0)),0,1))))</f>
        <v>1</v>
      </c>
      <c r="W315" s="127">
        <f>IF(INDEX(Ashmin,MATCH(Table36[[#This Row],[Grist]],SMI,0))="-","-",IF(Table36[[#This Row],[%Ash]]="-","-",IF(Table36[[#This Row],[%Ash]]&lt;INDEX(Ashmin,MATCH(Table36[[#This Row],[Grist]],SMI,0)),0,IF(Table36[[#This Row],[%Ash]]&gt;INDEX(Ashmax,MATCH(Table36[[#This Row],[Grist]],SMI,0)),0,1))))</f>
        <v>1</v>
      </c>
      <c r="X315" s="127">
        <f>IF(INDEX(Absmin,MATCH(Table36[[#This Row],[Grist]],SMI,0))="-","-",IF(Table36[[#This Row],[%Absorption]]="-","-",IF(Table36[[#This Row],[%Absorption]]&lt;INDEX(Absmin,MATCH(Table36[[#This Row],[Grist]],SMI,0)),0,IF(Table36[[#This Row],[%Absorption]]&gt;INDEX(Absmax,MATCH(Table36[[#This Row],[Grist]],SMI,0)),0,1))))</f>
        <v>1</v>
      </c>
      <c r="Y315" s="127" t="str">
        <f>IF(INDEX(Extmin,MATCH(Table36[[#This Row],[Grist]],SMI,0))="-","-",IF(Table36[[#This Row],[%Extensibility]]="-","-",IF(Table36[[#This Row],[%Extensibility]]&lt;INDEX(Extmin,MATCH(Table36[[#This Row],[Grist]],SMI,0)),0,IF(Table36[[#This Row],[%Extensibility]]&gt;INDEX(Extmax,MATCH(Table36[[#This Row],[Grist]],SMI,0)),0,1))))</f>
        <v>-</v>
      </c>
      <c r="Z315" s="127" t="str">
        <f>IF(INDEX(Resmin,MATCH(Table36[[#This Row],[Grist]],SMI,0))="-","-",IF(Table36[[#This Row],[Resistance, max]]="-","-",IF(Table36[[#This Row],[Resistance, max]]&lt;INDEX(Resmin,MATCH(Table36[[#This Row],[Grist]],SMI,0)),0,IF(Table36[[#This Row],[Resistance, max]]&gt;INDEX(Resmax,MATCH(Table36[[#This Row],[Grist]],SMI,0)),0,1))))</f>
        <v>-</v>
      </c>
      <c r="AA315" s="127">
        <f>IF(INDEX(WGmin,MATCH(Table36[[#This Row],[Grist]],SMI,0))="-","-",IF(Table36[[#This Row],[%Wet Gluten]]="-","-",IF(Table36[[#This Row],[%Wet Gluten]]&lt;INDEX(WGmin,MATCH(Table36[[#This Row],[Grist]],SMI,0)),0,IF(Table36[[#This Row],[%Wet Gluten]]&gt;INDEX(WGmax,MATCH(Table36[[#This Row],[Grist]],SMI,0)),0,1))))</f>
        <v>0</v>
      </c>
      <c r="AB315" s="127">
        <f>SUM(Table36[[#This Row],[ QI Bran Content]:[QI WG]])</f>
        <v>6</v>
      </c>
      <c r="AC315" s="127">
        <f>COUNT(Table36[[#This Row],[ QI Bran Content]:[QI WG]])</f>
        <v>8</v>
      </c>
    </row>
    <row r="316" spans="1:29" x14ac:dyDescent="0.35">
      <c r="A316" s="177">
        <v>45328</v>
      </c>
      <c r="B316" s="178">
        <v>45330</v>
      </c>
      <c r="C316" s="178" t="s">
        <v>128</v>
      </c>
      <c r="D316" s="179">
        <v>0.70833333333333304</v>
      </c>
      <c r="E316" s="180" t="s">
        <v>0</v>
      </c>
      <c r="F316" s="181" t="s">
        <v>27</v>
      </c>
      <c r="G316" s="182">
        <v>1.3299999999999999E-2</v>
      </c>
      <c r="H316" s="175" t="s">
        <v>165</v>
      </c>
      <c r="I316" s="175" t="s">
        <v>165</v>
      </c>
      <c r="J316" s="175" t="s">
        <v>165</v>
      </c>
      <c r="K316" s="175">
        <v>11.89</v>
      </c>
      <c r="L316" s="175">
        <v>13.71</v>
      </c>
      <c r="M316" s="175">
        <v>0.5</v>
      </c>
      <c r="N316" s="175">
        <v>64.599999999999994</v>
      </c>
      <c r="O316" s="175" t="s">
        <v>163</v>
      </c>
      <c r="P316" s="175" t="s">
        <v>163</v>
      </c>
      <c r="Q316" s="175"/>
      <c r="R316" s="127">
        <f>IF(Table36[[#This Row],[ Bran Content]]="-","-",IF(G316&lt;0.02,1,0))</f>
        <v>1</v>
      </c>
      <c r="S316" s="127">
        <f>IF(Table36[[#This Row],[Sieve Test]]="-","-",IF(Table36[[#This Row],[Sieve Test]]="P",1,0))</f>
        <v>1</v>
      </c>
      <c r="T316" s="127">
        <f>IF(Table36[[#This Row],[Odor]]="-","-",IF(Table36[[#This Row],[Odor]]="P",1,0))</f>
        <v>1</v>
      </c>
      <c r="U316" s="127">
        <f>IF(INDEX(MCmin,MATCH(Table36[[#This Row],[Grist]],SMI,0))="-","-",IF(Table36[[#This Row],[F1 %MC]]="-","-",IF(Table36[[#This Row],[F1 %MC]]&lt;INDEX(MCmin,MATCH(Table36[[#This Row],[Grist]],SMI,0)),0,IF(Table36[[#This Row],[F1 %MC]]&gt;INDEX(MCmax,MATCH(Table36[[#This Row],[Grist]],SMI,0)),0,1))))</f>
        <v>0</v>
      </c>
      <c r="V316" s="127">
        <f>IF(INDEX(Protmin,MATCH(Table36[[#This Row],[Grist]],SMI,0))="-","-",IF(Table36[[#This Row],[%Protein]]="-","-",IF(Table36[[#This Row],[%Protein]]&lt;INDEX(Protmin,MATCH(Table36[[#This Row],[Grist]],SMI,0)),0,IF(Table36[[#This Row],[%Protein]]&gt;INDEX(Protmax,MATCH(Table36[[#This Row],[Grist]],SMI,0)),0,1))))</f>
        <v>1</v>
      </c>
      <c r="W316" s="127">
        <f>IF(INDEX(Ashmin,MATCH(Table36[[#This Row],[Grist]],SMI,0))="-","-",IF(Table36[[#This Row],[%Ash]]="-","-",IF(Table36[[#This Row],[%Ash]]&lt;INDEX(Ashmin,MATCH(Table36[[#This Row],[Grist]],SMI,0)),0,IF(Table36[[#This Row],[%Ash]]&gt;INDEX(Ashmax,MATCH(Table36[[#This Row],[Grist]],SMI,0)),0,1))))</f>
        <v>1</v>
      </c>
      <c r="X316" s="127">
        <f>IF(INDEX(Absmin,MATCH(Table36[[#This Row],[Grist]],SMI,0))="-","-",IF(Table36[[#This Row],[%Absorption]]="-","-",IF(Table36[[#This Row],[%Absorption]]&lt;INDEX(Absmin,MATCH(Table36[[#This Row],[Grist]],SMI,0)),0,IF(Table36[[#This Row],[%Absorption]]&gt;INDEX(Absmax,MATCH(Table36[[#This Row],[Grist]],SMI,0)),0,1))))</f>
        <v>1</v>
      </c>
      <c r="Y316" s="127" t="str">
        <f>IF(INDEX(Extmin,MATCH(Table36[[#This Row],[Grist]],SMI,0))="-","-",IF(Table36[[#This Row],[%Extensibility]]="-","-",IF(Table36[[#This Row],[%Extensibility]]&lt;INDEX(Extmin,MATCH(Table36[[#This Row],[Grist]],SMI,0)),0,IF(Table36[[#This Row],[%Extensibility]]&gt;INDEX(Extmax,MATCH(Table36[[#This Row],[Grist]],SMI,0)),0,1))))</f>
        <v>-</v>
      </c>
      <c r="Z316" s="127" t="str">
        <f>IF(INDEX(Resmin,MATCH(Table36[[#This Row],[Grist]],SMI,0))="-","-",IF(Table36[[#This Row],[Resistance, max]]="-","-",IF(Table36[[#This Row],[Resistance, max]]&lt;INDEX(Resmin,MATCH(Table36[[#This Row],[Grist]],SMI,0)),0,IF(Table36[[#This Row],[Resistance, max]]&gt;INDEX(Resmax,MATCH(Table36[[#This Row],[Grist]],SMI,0)),0,1))))</f>
        <v>-</v>
      </c>
      <c r="AA316" s="127">
        <f>IF(INDEX(WGmin,MATCH(Table36[[#This Row],[Grist]],SMI,0))="-","-",IF(Table36[[#This Row],[%Wet Gluten]]="-","-",IF(Table36[[#This Row],[%Wet Gluten]]&lt;INDEX(WGmin,MATCH(Table36[[#This Row],[Grist]],SMI,0)),0,IF(Table36[[#This Row],[%Wet Gluten]]&gt;INDEX(WGmax,MATCH(Table36[[#This Row],[Grist]],SMI,0)),0,1))))</f>
        <v>0</v>
      </c>
      <c r="AB316" s="127">
        <f>SUM(Table36[[#This Row],[ QI Bran Content]:[QI WG]])</f>
        <v>6</v>
      </c>
      <c r="AC316" s="127">
        <f>COUNT(Table36[[#This Row],[ QI Bran Content]:[QI WG]])</f>
        <v>8</v>
      </c>
    </row>
    <row r="317" spans="1:29" x14ac:dyDescent="0.35">
      <c r="A317" s="177">
        <v>45328</v>
      </c>
      <c r="B317" s="178">
        <v>45330</v>
      </c>
      <c r="C317" s="178" t="s">
        <v>130</v>
      </c>
      <c r="D317" s="179">
        <v>0.95833333333333337</v>
      </c>
      <c r="E317" s="180" t="s">
        <v>0</v>
      </c>
      <c r="F317" s="181" t="s">
        <v>27</v>
      </c>
      <c r="G317" s="182">
        <v>8.8999999999999999E-3</v>
      </c>
      <c r="H317" s="175" t="s">
        <v>165</v>
      </c>
      <c r="I317" s="175" t="s">
        <v>165</v>
      </c>
      <c r="J317" s="175" t="s">
        <v>165</v>
      </c>
      <c r="K317" s="175">
        <v>12.64</v>
      </c>
      <c r="L317" s="175" t="s">
        <v>163</v>
      </c>
      <c r="M317" s="175" t="s">
        <v>163</v>
      </c>
      <c r="N317" s="175" t="s">
        <v>163</v>
      </c>
      <c r="O317" s="175" t="s">
        <v>163</v>
      </c>
      <c r="P317" s="175" t="s">
        <v>163</v>
      </c>
      <c r="Q317" s="175"/>
      <c r="R317" s="127">
        <f>IF(Table36[[#This Row],[ Bran Content]]="-","-",IF(G317&lt;0.02,1,0))</f>
        <v>1</v>
      </c>
      <c r="S317" s="127">
        <f>IF(Table36[[#This Row],[Sieve Test]]="-","-",IF(Table36[[#This Row],[Sieve Test]]="P",1,0))</f>
        <v>1</v>
      </c>
      <c r="T317" s="127">
        <f>IF(Table36[[#This Row],[Odor]]="-","-",IF(Table36[[#This Row],[Odor]]="P",1,0))</f>
        <v>1</v>
      </c>
      <c r="U317" s="127">
        <f>IF(INDEX(MCmin,MATCH(Table36[[#This Row],[Grist]],SMI,0))="-","-",IF(Table36[[#This Row],[F1 %MC]]="-","-",IF(Table36[[#This Row],[F1 %MC]]&lt;INDEX(MCmin,MATCH(Table36[[#This Row],[Grist]],SMI,0)),0,IF(Table36[[#This Row],[F1 %MC]]&gt;INDEX(MCmax,MATCH(Table36[[#This Row],[Grist]],SMI,0)),0,1))))</f>
        <v>1</v>
      </c>
      <c r="V317" s="127" t="str">
        <f>IF(INDEX(Protmin,MATCH(Table36[[#This Row],[Grist]],SMI,0))="-","-",IF(Table36[[#This Row],[%Protein]]="-","-",IF(Table36[[#This Row],[%Protein]]&lt;INDEX(Protmin,MATCH(Table36[[#This Row],[Grist]],SMI,0)),0,IF(Table36[[#This Row],[%Protein]]&gt;INDEX(Protmax,MATCH(Table36[[#This Row],[Grist]],SMI,0)),0,1))))</f>
        <v>-</v>
      </c>
      <c r="W317" s="127" t="str">
        <f>IF(INDEX(Ashmin,MATCH(Table36[[#This Row],[Grist]],SMI,0))="-","-",IF(Table36[[#This Row],[%Ash]]="-","-",IF(Table36[[#This Row],[%Ash]]&lt;INDEX(Ashmin,MATCH(Table36[[#This Row],[Grist]],SMI,0)),0,IF(Table36[[#This Row],[%Ash]]&gt;INDEX(Ashmax,MATCH(Table36[[#This Row],[Grist]],SMI,0)),0,1))))</f>
        <v>-</v>
      </c>
      <c r="X317" s="127" t="str">
        <f>IF(INDEX(Absmin,MATCH(Table36[[#This Row],[Grist]],SMI,0))="-","-",IF(Table36[[#This Row],[%Absorption]]="-","-",IF(Table36[[#This Row],[%Absorption]]&lt;INDEX(Absmin,MATCH(Table36[[#This Row],[Grist]],SMI,0)),0,IF(Table36[[#This Row],[%Absorption]]&gt;INDEX(Absmax,MATCH(Table36[[#This Row],[Grist]],SMI,0)),0,1))))</f>
        <v>-</v>
      </c>
      <c r="Y317" s="127" t="str">
        <f>IF(INDEX(Extmin,MATCH(Table36[[#This Row],[Grist]],SMI,0))="-","-",IF(Table36[[#This Row],[%Extensibility]]="-","-",IF(Table36[[#This Row],[%Extensibility]]&lt;INDEX(Extmin,MATCH(Table36[[#This Row],[Grist]],SMI,0)),0,IF(Table36[[#This Row],[%Extensibility]]&gt;INDEX(Extmax,MATCH(Table36[[#This Row],[Grist]],SMI,0)),0,1))))</f>
        <v>-</v>
      </c>
      <c r="Z317" s="127" t="str">
        <f>IF(INDEX(Resmin,MATCH(Table36[[#This Row],[Grist]],SMI,0))="-","-",IF(Table36[[#This Row],[Resistance, max]]="-","-",IF(Table36[[#This Row],[Resistance, max]]&lt;INDEX(Resmin,MATCH(Table36[[#This Row],[Grist]],SMI,0)),0,IF(Table36[[#This Row],[Resistance, max]]&gt;INDEX(Resmax,MATCH(Table36[[#This Row],[Grist]],SMI,0)),0,1))))</f>
        <v>-</v>
      </c>
      <c r="AA317" s="127">
        <f>IF(INDEX(WGmin,MATCH(Table36[[#This Row],[Grist]],SMI,0))="-","-",IF(Table36[[#This Row],[%Wet Gluten]]="-","-",IF(Table36[[#This Row],[%Wet Gluten]]&lt;INDEX(WGmin,MATCH(Table36[[#This Row],[Grist]],SMI,0)),0,IF(Table36[[#This Row],[%Wet Gluten]]&gt;INDEX(WGmax,MATCH(Table36[[#This Row],[Grist]],SMI,0)),0,1))))</f>
        <v>0</v>
      </c>
      <c r="AB317" s="127">
        <f>SUM(Table36[[#This Row],[ QI Bran Content]:[QI WG]])</f>
        <v>4</v>
      </c>
      <c r="AC317" s="127">
        <f>COUNT(Table36[[#This Row],[ QI Bran Content]:[QI WG]])</f>
        <v>5</v>
      </c>
    </row>
    <row r="318" spans="1:29" x14ac:dyDescent="0.35">
      <c r="A318" s="177">
        <v>45328</v>
      </c>
      <c r="B318" s="178">
        <v>45330</v>
      </c>
      <c r="C318" s="178" t="s">
        <v>130</v>
      </c>
      <c r="D318" s="179">
        <v>1.0416666666666701</v>
      </c>
      <c r="E318" s="180" t="s">
        <v>0</v>
      </c>
      <c r="F318" s="181" t="s">
        <v>27</v>
      </c>
      <c r="G318" s="182">
        <v>1.06E-2</v>
      </c>
      <c r="H318" s="175" t="s">
        <v>165</v>
      </c>
      <c r="I318" s="175" t="s">
        <v>165</v>
      </c>
      <c r="J318" s="175" t="s">
        <v>165</v>
      </c>
      <c r="K318" s="175">
        <v>12.47</v>
      </c>
      <c r="L318" s="175" t="s">
        <v>163</v>
      </c>
      <c r="M318" s="175" t="s">
        <v>163</v>
      </c>
      <c r="N318" s="175" t="s">
        <v>163</v>
      </c>
      <c r="O318" s="175" t="s">
        <v>163</v>
      </c>
      <c r="P318" s="175" t="s">
        <v>163</v>
      </c>
      <c r="Q318" s="175"/>
      <c r="R318" s="127">
        <f>IF(Table36[[#This Row],[ Bran Content]]="-","-",IF(G318&lt;0.02,1,0))</f>
        <v>1</v>
      </c>
      <c r="S318" s="127">
        <f>IF(Table36[[#This Row],[Sieve Test]]="-","-",IF(Table36[[#This Row],[Sieve Test]]="P",1,0))</f>
        <v>1</v>
      </c>
      <c r="T318" s="127">
        <f>IF(Table36[[#This Row],[Odor]]="-","-",IF(Table36[[#This Row],[Odor]]="P",1,0))</f>
        <v>1</v>
      </c>
      <c r="U318" s="127">
        <f>IF(INDEX(MCmin,MATCH(Table36[[#This Row],[Grist]],SMI,0))="-","-",IF(Table36[[#This Row],[F1 %MC]]="-","-",IF(Table36[[#This Row],[F1 %MC]]&lt;INDEX(MCmin,MATCH(Table36[[#This Row],[Grist]],SMI,0)),0,IF(Table36[[#This Row],[F1 %MC]]&gt;INDEX(MCmax,MATCH(Table36[[#This Row],[Grist]],SMI,0)),0,1))))</f>
        <v>1</v>
      </c>
      <c r="V318" s="127" t="str">
        <f>IF(INDEX(Protmin,MATCH(Table36[[#This Row],[Grist]],SMI,0))="-","-",IF(Table36[[#This Row],[%Protein]]="-","-",IF(Table36[[#This Row],[%Protein]]&lt;INDEX(Protmin,MATCH(Table36[[#This Row],[Grist]],SMI,0)),0,IF(Table36[[#This Row],[%Protein]]&gt;INDEX(Protmax,MATCH(Table36[[#This Row],[Grist]],SMI,0)),0,1))))</f>
        <v>-</v>
      </c>
      <c r="W318" s="127" t="str">
        <f>IF(INDEX(Ashmin,MATCH(Table36[[#This Row],[Grist]],SMI,0))="-","-",IF(Table36[[#This Row],[%Ash]]="-","-",IF(Table36[[#This Row],[%Ash]]&lt;INDEX(Ashmin,MATCH(Table36[[#This Row],[Grist]],SMI,0)),0,IF(Table36[[#This Row],[%Ash]]&gt;INDEX(Ashmax,MATCH(Table36[[#This Row],[Grist]],SMI,0)),0,1))))</f>
        <v>-</v>
      </c>
      <c r="X318" s="127" t="str">
        <f>IF(INDEX(Absmin,MATCH(Table36[[#This Row],[Grist]],SMI,0))="-","-",IF(Table36[[#This Row],[%Absorption]]="-","-",IF(Table36[[#This Row],[%Absorption]]&lt;INDEX(Absmin,MATCH(Table36[[#This Row],[Grist]],SMI,0)),0,IF(Table36[[#This Row],[%Absorption]]&gt;INDEX(Absmax,MATCH(Table36[[#This Row],[Grist]],SMI,0)),0,1))))</f>
        <v>-</v>
      </c>
      <c r="Y318" s="127" t="str">
        <f>IF(INDEX(Extmin,MATCH(Table36[[#This Row],[Grist]],SMI,0))="-","-",IF(Table36[[#This Row],[%Extensibility]]="-","-",IF(Table36[[#This Row],[%Extensibility]]&lt;INDEX(Extmin,MATCH(Table36[[#This Row],[Grist]],SMI,0)),0,IF(Table36[[#This Row],[%Extensibility]]&gt;INDEX(Extmax,MATCH(Table36[[#This Row],[Grist]],SMI,0)),0,1))))</f>
        <v>-</v>
      </c>
      <c r="Z318" s="127" t="str">
        <f>IF(INDEX(Resmin,MATCH(Table36[[#This Row],[Grist]],SMI,0))="-","-",IF(Table36[[#This Row],[Resistance, max]]="-","-",IF(Table36[[#This Row],[Resistance, max]]&lt;INDEX(Resmin,MATCH(Table36[[#This Row],[Grist]],SMI,0)),0,IF(Table36[[#This Row],[Resistance, max]]&gt;INDEX(Resmax,MATCH(Table36[[#This Row],[Grist]],SMI,0)),0,1))))</f>
        <v>-</v>
      </c>
      <c r="AA318" s="127">
        <f>IF(INDEX(WGmin,MATCH(Table36[[#This Row],[Grist]],SMI,0))="-","-",IF(Table36[[#This Row],[%Wet Gluten]]="-","-",IF(Table36[[#This Row],[%Wet Gluten]]&lt;INDEX(WGmin,MATCH(Table36[[#This Row],[Grist]],SMI,0)),0,IF(Table36[[#This Row],[%Wet Gluten]]&gt;INDEX(WGmax,MATCH(Table36[[#This Row],[Grist]],SMI,0)),0,1))))</f>
        <v>0</v>
      </c>
      <c r="AB318" s="127">
        <f>SUM(Table36[[#This Row],[ QI Bran Content]:[QI WG]])</f>
        <v>4</v>
      </c>
      <c r="AC318" s="127">
        <f>COUNT(Table36[[#This Row],[ QI Bran Content]:[QI WG]])</f>
        <v>5</v>
      </c>
    </row>
    <row r="319" spans="1:29" x14ac:dyDescent="0.35">
      <c r="A319" s="177">
        <v>45328</v>
      </c>
      <c r="B319" s="178">
        <v>45330</v>
      </c>
      <c r="C319" s="178" t="s">
        <v>130</v>
      </c>
      <c r="D319" s="179">
        <v>1.125</v>
      </c>
      <c r="E319" s="180" t="s">
        <v>0</v>
      </c>
      <c r="F319" s="181" t="s">
        <v>40</v>
      </c>
      <c r="G319" s="182">
        <v>8.6999999999999994E-3</v>
      </c>
      <c r="H319" s="175" t="s">
        <v>165</v>
      </c>
      <c r="I319" s="175" t="s">
        <v>165</v>
      </c>
      <c r="J319" s="175" t="s">
        <v>165</v>
      </c>
      <c r="K319" s="175">
        <v>12.32</v>
      </c>
      <c r="L319" s="175" t="s">
        <v>163</v>
      </c>
      <c r="M319" s="175" t="s">
        <v>163</v>
      </c>
      <c r="N319" s="175" t="s">
        <v>163</v>
      </c>
      <c r="O319" s="175" t="s">
        <v>163</v>
      </c>
      <c r="P319" s="175" t="s">
        <v>163</v>
      </c>
      <c r="Q319" s="175"/>
      <c r="R319" s="127">
        <f>IF(Table36[[#This Row],[ Bran Content]]="-","-",IF(G319&lt;0.02,1,0))</f>
        <v>1</v>
      </c>
      <c r="S319" s="127">
        <f>IF(Table36[[#This Row],[Sieve Test]]="-","-",IF(Table36[[#This Row],[Sieve Test]]="P",1,0))</f>
        <v>1</v>
      </c>
      <c r="T319" s="127">
        <f>IF(Table36[[#This Row],[Odor]]="-","-",IF(Table36[[#This Row],[Odor]]="P",1,0))</f>
        <v>1</v>
      </c>
      <c r="U319" s="127">
        <f>IF(INDEX(MCmin,MATCH(Table36[[#This Row],[Grist]],SMI,0))="-","-",IF(Table36[[#This Row],[F1 %MC]]="-","-",IF(Table36[[#This Row],[F1 %MC]]&lt;INDEX(MCmin,MATCH(Table36[[#This Row],[Grist]],SMI,0)),0,IF(Table36[[#This Row],[F1 %MC]]&gt;INDEX(MCmax,MATCH(Table36[[#This Row],[Grist]],SMI,0)),0,1))))</f>
        <v>1</v>
      </c>
      <c r="V319" s="127" t="str">
        <f>IF(INDEX(Protmin,MATCH(Table36[[#This Row],[Grist]],SMI,0))="-","-",IF(Table36[[#This Row],[%Protein]]="-","-",IF(Table36[[#This Row],[%Protein]]&lt;INDEX(Protmin,MATCH(Table36[[#This Row],[Grist]],SMI,0)),0,IF(Table36[[#This Row],[%Protein]]&gt;INDEX(Protmax,MATCH(Table36[[#This Row],[Grist]],SMI,0)),0,1))))</f>
        <v>-</v>
      </c>
      <c r="W319" s="127" t="str">
        <f>IF(INDEX(Ashmin,MATCH(Table36[[#This Row],[Grist]],SMI,0))="-","-",IF(Table36[[#This Row],[%Ash]]="-","-",IF(Table36[[#This Row],[%Ash]]&lt;INDEX(Ashmin,MATCH(Table36[[#This Row],[Grist]],SMI,0)),0,IF(Table36[[#This Row],[%Ash]]&gt;INDEX(Ashmax,MATCH(Table36[[#This Row],[Grist]],SMI,0)),0,1))))</f>
        <v>-</v>
      </c>
      <c r="X319" s="127" t="str">
        <f>IF(INDEX(Absmin,MATCH(Table36[[#This Row],[Grist]],SMI,0))="-","-",IF(Table36[[#This Row],[%Absorption]]="-","-",IF(Table36[[#This Row],[%Absorption]]&lt;INDEX(Absmin,MATCH(Table36[[#This Row],[Grist]],SMI,0)),0,IF(Table36[[#This Row],[%Absorption]]&gt;INDEX(Absmax,MATCH(Table36[[#This Row],[Grist]],SMI,0)),0,1))))</f>
        <v>-</v>
      </c>
      <c r="Y319" s="127" t="str">
        <f>IF(INDEX(Extmin,MATCH(Table36[[#This Row],[Grist]],SMI,0))="-","-",IF(Table36[[#This Row],[%Extensibility]]="-","-",IF(Table36[[#This Row],[%Extensibility]]&lt;INDEX(Extmin,MATCH(Table36[[#This Row],[Grist]],SMI,0)),0,IF(Table36[[#This Row],[%Extensibility]]&gt;INDEX(Extmax,MATCH(Table36[[#This Row],[Grist]],SMI,0)),0,1))))</f>
        <v>-</v>
      </c>
      <c r="Z319" s="127" t="str">
        <f>IF(INDEX(Resmin,MATCH(Table36[[#This Row],[Grist]],SMI,0))="-","-",IF(Table36[[#This Row],[Resistance, max]]="-","-",IF(Table36[[#This Row],[Resistance, max]]&lt;INDEX(Resmin,MATCH(Table36[[#This Row],[Grist]],SMI,0)),0,IF(Table36[[#This Row],[Resistance, max]]&gt;INDEX(Resmax,MATCH(Table36[[#This Row],[Grist]],SMI,0)),0,1))))</f>
        <v>-</v>
      </c>
      <c r="AA319" s="127">
        <f>IF(INDEX(WGmin,MATCH(Table36[[#This Row],[Grist]],SMI,0))="-","-",IF(Table36[[#This Row],[%Wet Gluten]]="-","-",IF(Table36[[#This Row],[%Wet Gluten]]&lt;INDEX(WGmin,MATCH(Table36[[#This Row],[Grist]],SMI,0)),0,IF(Table36[[#This Row],[%Wet Gluten]]&gt;INDEX(WGmax,MATCH(Table36[[#This Row],[Grist]],SMI,0)),0,1))))</f>
        <v>0</v>
      </c>
      <c r="AB319" s="127">
        <f>SUM(Table36[[#This Row],[ QI Bran Content]:[QI WG]])</f>
        <v>4</v>
      </c>
      <c r="AC319" s="127">
        <f>COUNT(Table36[[#This Row],[ QI Bran Content]:[QI WG]])</f>
        <v>5</v>
      </c>
    </row>
    <row r="320" spans="1:29" x14ac:dyDescent="0.35">
      <c r="A320" s="177">
        <v>45328</v>
      </c>
      <c r="B320" s="178">
        <v>45330</v>
      </c>
      <c r="C320" s="178" t="s">
        <v>130</v>
      </c>
      <c r="D320" s="179">
        <v>1.2083333333333299</v>
      </c>
      <c r="E320" s="180" t="s">
        <v>0</v>
      </c>
      <c r="F320" s="181" t="s">
        <v>40</v>
      </c>
      <c r="G320" s="182">
        <v>7.0000000000000001E-3</v>
      </c>
      <c r="H320" s="175" t="s">
        <v>165</v>
      </c>
      <c r="I320" s="175" t="s">
        <v>165</v>
      </c>
      <c r="J320" s="175" t="s">
        <v>165</v>
      </c>
      <c r="K320" s="175">
        <v>12.5</v>
      </c>
      <c r="L320" s="175" t="s">
        <v>163</v>
      </c>
      <c r="M320" s="175" t="s">
        <v>163</v>
      </c>
      <c r="N320" s="175" t="s">
        <v>163</v>
      </c>
      <c r="O320" s="175" t="s">
        <v>163</v>
      </c>
      <c r="P320" s="175" t="s">
        <v>163</v>
      </c>
      <c r="Q320" s="175"/>
      <c r="R320" s="127">
        <f>IF(Table36[[#This Row],[ Bran Content]]="-","-",IF(G320&lt;0.02,1,0))</f>
        <v>1</v>
      </c>
      <c r="S320" s="127">
        <f>IF(Table36[[#This Row],[Sieve Test]]="-","-",IF(Table36[[#This Row],[Sieve Test]]="P",1,0))</f>
        <v>1</v>
      </c>
      <c r="T320" s="127">
        <f>IF(Table36[[#This Row],[Odor]]="-","-",IF(Table36[[#This Row],[Odor]]="P",1,0))</f>
        <v>1</v>
      </c>
      <c r="U320" s="127">
        <f>IF(INDEX(MCmin,MATCH(Table36[[#This Row],[Grist]],SMI,0))="-","-",IF(Table36[[#This Row],[F1 %MC]]="-","-",IF(Table36[[#This Row],[F1 %MC]]&lt;INDEX(MCmin,MATCH(Table36[[#This Row],[Grist]],SMI,0)),0,IF(Table36[[#This Row],[F1 %MC]]&gt;INDEX(MCmax,MATCH(Table36[[#This Row],[Grist]],SMI,0)),0,1))))</f>
        <v>1</v>
      </c>
      <c r="V320" s="127" t="str">
        <f>IF(INDEX(Protmin,MATCH(Table36[[#This Row],[Grist]],SMI,0))="-","-",IF(Table36[[#This Row],[%Protein]]="-","-",IF(Table36[[#This Row],[%Protein]]&lt;INDEX(Protmin,MATCH(Table36[[#This Row],[Grist]],SMI,0)),0,IF(Table36[[#This Row],[%Protein]]&gt;INDEX(Protmax,MATCH(Table36[[#This Row],[Grist]],SMI,0)),0,1))))</f>
        <v>-</v>
      </c>
      <c r="W320" s="127" t="str">
        <f>IF(INDEX(Ashmin,MATCH(Table36[[#This Row],[Grist]],SMI,0))="-","-",IF(Table36[[#This Row],[%Ash]]="-","-",IF(Table36[[#This Row],[%Ash]]&lt;INDEX(Ashmin,MATCH(Table36[[#This Row],[Grist]],SMI,0)),0,IF(Table36[[#This Row],[%Ash]]&gt;INDEX(Ashmax,MATCH(Table36[[#This Row],[Grist]],SMI,0)),0,1))))</f>
        <v>-</v>
      </c>
      <c r="X320" s="127" t="str">
        <f>IF(INDEX(Absmin,MATCH(Table36[[#This Row],[Grist]],SMI,0))="-","-",IF(Table36[[#This Row],[%Absorption]]="-","-",IF(Table36[[#This Row],[%Absorption]]&lt;INDEX(Absmin,MATCH(Table36[[#This Row],[Grist]],SMI,0)),0,IF(Table36[[#This Row],[%Absorption]]&gt;INDEX(Absmax,MATCH(Table36[[#This Row],[Grist]],SMI,0)),0,1))))</f>
        <v>-</v>
      </c>
      <c r="Y320" s="127" t="str">
        <f>IF(INDEX(Extmin,MATCH(Table36[[#This Row],[Grist]],SMI,0))="-","-",IF(Table36[[#This Row],[%Extensibility]]="-","-",IF(Table36[[#This Row],[%Extensibility]]&lt;INDEX(Extmin,MATCH(Table36[[#This Row],[Grist]],SMI,0)),0,IF(Table36[[#This Row],[%Extensibility]]&gt;INDEX(Extmax,MATCH(Table36[[#This Row],[Grist]],SMI,0)),0,1))))</f>
        <v>-</v>
      </c>
      <c r="Z320" s="127" t="str">
        <f>IF(INDEX(Resmin,MATCH(Table36[[#This Row],[Grist]],SMI,0))="-","-",IF(Table36[[#This Row],[Resistance, max]]="-","-",IF(Table36[[#This Row],[Resistance, max]]&lt;INDEX(Resmin,MATCH(Table36[[#This Row],[Grist]],SMI,0)),0,IF(Table36[[#This Row],[Resistance, max]]&gt;INDEX(Resmax,MATCH(Table36[[#This Row],[Grist]],SMI,0)),0,1))))</f>
        <v>-</v>
      </c>
      <c r="AA320" s="127">
        <f>IF(INDEX(WGmin,MATCH(Table36[[#This Row],[Grist]],SMI,0))="-","-",IF(Table36[[#This Row],[%Wet Gluten]]="-","-",IF(Table36[[#This Row],[%Wet Gluten]]&lt;INDEX(WGmin,MATCH(Table36[[#This Row],[Grist]],SMI,0)),0,IF(Table36[[#This Row],[%Wet Gluten]]&gt;INDEX(WGmax,MATCH(Table36[[#This Row],[Grist]],SMI,0)),0,1))))</f>
        <v>0</v>
      </c>
      <c r="AB320" s="127">
        <f>SUM(Table36[[#This Row],[ QI Bran Content]:[QI WG]])</f>
        <v>4</v>
      </c>
      <c r="AC320" s="127">
        <f>COUNT(Table36[[#This Row],[ QI Bran Content]:[QI WG]])</f>
        <v>5</v>
      </c>
    </row>
    <row r="321" spans="1:29" x14ac:dyDescent="0.35">
      <c r="A321" s="177">
        <v>45328</v>
      </c>
      <c r="B321" s="178">
        <v>45330</v>
      </c>
      <c r="C321" s="178" t="s">
        <v>130</v>
      </c>
      <c r="D321" s="179">
        <v>1.125</v>
      </c>
      <c r="E321" s="180" t="s">
        <v>1</v>
      </c>
      <c r="F321" s="181" t="s">
        <v>241</v>
      </c>
      <c r="G321" s="182" t="s">
        <v>163</v>
      </c>
      <c r="H321" s="175" t="s">
        <v>165</v>
      </c>
      <c r="I321" s="175" t="s">
        <v>165</v>
      </c>
      <c r="J321" s="175" t="s">
        <v>165</v>
      </c>
      <c r="K321" s="175">
        <v>11.53</v>
      </c>
      <c r="L321" s="175" t="s">
        <v>163</v>
      </c>
      <c r="M321" s="175" t="s">
        <v>163</v>
      </c>
      <c r="N321" s="175" t="s">
        <v>163</v>
      </c>
      <c r="O321" s="175" t="s">
        <v>163</v>
      </c>
      <c r="P321" s="175" t="s">
        <v>163</v>
      </c>
      <c r="Q321" s="175"/>
      <c r="R321" s="127" t="str">
        <f>IF(Table36[[#This Row],[ Bran Content]]="-","-",IF(G321&lt;0.02,1,0))</f>
        <v>-</v>
      </c>
      <c r="S321" s="127">
        <f>IF(Table36[[#This Row],[Sieve Test]]="-","-",IF(Table36[[#This Row],[Sieve Test]]="P",1,0))</f>
        <v>1</v>
      </c>
      <c r="T321" s="127">
        <f>IF(Table36[[#This Row],[Odor]]="-","-",IF(Table36[[#This Row],[Odor]]="P",1,0))</f>
        <v>1</v>
      </c>
      <c r="U321" s="127" t="str">
        <f>IF(INDEX(MCmin,MATCH(Table36[[#This Row],[Grist]],SMI,0))="-","-",IF(Table36[[#This Row],[F1 %MC]]="-","-",IF(Table36[[#This Row],[F1 %MC]]&lt;INDEX(MCmin,MATCH(Table36[[#This Row],[Grist]],SMI,0)),0,IF(Table36[[#This Row],[F1 %MC]]&gt;INDEX(MCmax,MATCH(Table36[[#This Row],[Grist]],SMI,0)),0,1))))</f>
        <v>-</v>
      </c>
      <c r="V321" s="127" t="str">
        <f>IF(INDEX(Protmin,MATCH(Table36[[#This Row],[Grist]],SMI,0))="-","-",IF(Table36[[#This Row],[%Protein]]="-","-",IF(Table36[[#This Row],[%Protein]]&lt;INDEX(Protmin,MATCH(Table36[[#This Row],[Grist]],SMI,0)),0,IF(Table36[[#This Row],[%Protein]]&gt;INDEX(Protmax,MATCH(Table36[[#This Row],[Grist]],SMI,0)),0,1))))</f>
        <v>-</v>
      </c>
      <c r="W321" s="127" t="str">
        <f>IF(INDEX(Ashmin,MATCH(Table36[[#This Row],[Grist]],SMI,0))="-","-",IF(Table36[[#This Row],[%Ash]]="-","-",IF(Table36[[#This Row],[%Ash]]&lt;INDEX(Ashmin,MATCH(Table36[[#This Row],[Grist]],SMI,0)),0,IF(Table36[[#This Row],[%Ash]]&gt;INDEX(Ashmax,MATCH(Table36[[#This Row],[Grist]],SMI,0)),0,1))))</f>
        <v>-</v>
      </c>
      <c r="X321" s="127" t="str">
        <f>IF(INDEX(Absmin,MATCH(Table36[[#This Row],[Grist]],SMI,0))="-","-",IF(Table36[[#This Row],[%Absorption]]="-","-",IF(Table36[[#This Row],[%Absorption]]&lt;INDEX(Absmin,MATCH(Table36[[#This Row],[Grist]],SMI,0)),0,IF(Table36[[#This Row],[%Absorption]]&gt;INDEX(Absmax,MATCH(Table36[[#This Row],[Grist]],SMI,0)),0,1))))</f>
        <v>-</v>
      </c>
      <c r="Y321" s="127" t="str">
        <f>IF(INDEX(Extmin,MATCH(Table36[[#This Row],[Grist]],SMI,0))="-","-",IF(Table36[[#This Row],[%Extensibility]]="-","-",IF(Table36[[#This Row],[%Extensibility]]&lt;INDEX(Extmin,MATCH(Table36[[#This Row],[Grist]],SMI,0)),0,IF(Table36[[#This Row],[%Extensibility]]&gt;INDEX(Extmax,MATCH(Table36[[#This Row],[Grist]],SMI,0)),0,1))))</f>
        <v>-</v>
      </c>
      <c r="Z321" s="127" t="str">
        <f>IF(INDEX(Resmin,MATCH(Table36[[#This Row],[Grist]],SMI,0))="-","-",IF(Table36[[#This Row],[Resistance, max]]="-","-",IF(Table36[[#This Row],[Resistance, max]]&lt;INDEX(Resmin,MATCH(Table36[[#This Row],[Grist]],SMI,0)),0,IF(Table36[[#This Row],[Resistance, max]]&gt;INDEX(Resmax,MATCH(Table36[[#This Row],[Grist]],SMI,0)),0,1))))</f>
        <v>-</v>
      </c>
      <c r="AA321" s="127" t="str">
        <f>IF(INDEX(WGmin,MATCH(Table36[[#This Row],[Grist]],SMI,0))="-","-",IF(Table36[[#This Row],[%Wet Gluten]]="-","-",IF(Table36[[#This Row],[%Wet Gluten]]&lt;INDEX(WGmin,MATCH(Table36[[#This Row],[Grist]],SMI,0)),0,IF(Table36[[#This Row],[%Wet Gluten]]&gt;INDEX(WGmax,MATCH(Table36[[#This Row],[Grist]],SMI,0)),0,1))))</f>
        <v>-</v>
      </c>
      <c r="AB321" s="127">
        <f>SUM(Table36[[#This Row],[ QI Bran Content]:[QI WG]])</f>
        <v>2</v>
      </c>
      <c r="AC321" s="127">
        <f>COUNT(Table36[[#This Row],[ QI Bran Content]:[QI WG]])</f>
        <v>2</v>
      </c>
    </row>
    <row r="322" spans="1:29" x14ac:dyDescent="0.35">
      <c r="A322" s="177">
        <v>45328</v>
      </c>
      <c r="B322" s="178">
        <v>45330</v>
      </c>
      <c r="C322" s="178" t="s">
        <v>130</v>
      </c>
      <c r="D322" s="179">
        <v>1.2083333333333299</v>
      </c>
      <c r="E322" s="180" t="s">
        <v>1</v>
      </c>
      <c r="F322" s="181" t="s">
        <v>241</v>
      </c>
      <c r="G322" s="182" t="s">
        <v>163</v>
      </c>
      <c r="H322" s="175" t="s">
        <v>165</v>
      </c>
      <c r="I322" s="175" t="s">
        <v>165</v>
      </c>
      <c r="J322" s="175" t="s">
        <v>165</v>
      </c>
      <c r="K322" s="175">
        <v>11.45</v>
      </c>
      <c r="L322" s="175" t="s">
        <v>163</v>
      </c>
      <c r="M322" s="175" t="s">
        <v>163</v>
      </c>
      <c r="N322" s="175" t="s">
        <v>163</v>
      </c>
      <c r="O322" s="175" t="s">
        <v>163</v>
      </c>
      <c r="P322" s="175" t="s">
        <v>163</v>
      </c>
      <c r="Q322" s="175"/>
      <c r="R322" s="127" t="str">
        <f>IF(Table36[[#This Row],[ Bran Content]]="-","-",IF(G322&lt;0.02,1,0))</f>
        <v>-</v>
      </c>
      <c r="S322" s="127">
        <f>IF(Table36[[#This Row],[Sieve Test]]="-","-",IF(Table36[[#This Row],[Sieve Test]]="P",1,0))</f>
        <v>1</v>
      </c>
      <c r="T322" s="127">
        <f>IF(Table36[[#This Row],[Odor]]="-","-",IF(Table36[[#This Row],[Odor]]="P",1,0))</f>
        <v>1</v>
      </c>
      <c r="U322" s="127" t="str">
        <f>IF(INDEX(MCmin,MATCH(Table36[[#This Row],[Grist]],SMI,0))="-","-",IF(Table36[[#This Row],[F1 %MC]]="-","-",IF(Table36[[#This Row],[F1 %MC]]&lt;INDEX(MCmin,MATCH(Table36[[#This Row],[Grist]],SMI,0)),0,IF(Table36[[#This Row],[F1 %MC]]&gt;INDEX(MCmax,MATCH(Table36[[#This Row],[Grist]],SMI,0)),0,1))))</f>
        <v>-</v>
      </c>
      <c r="V322" s="127" t="str">
        <f>IF(INDEX(Protmin,MATCH(Table36[[#This Row],[Grist]],SMI,0))="-","-",IF(Table36[[#This Row],[%Protein]]="-","-",IF(Table36[[#This Row],[%Protein]]&lt;INDEX(Protmin,MATCH(Table36[[#This Row],[Grist]],SMI,0)),0,IF(Table36[[#This Row],[%Protein]]&gt;INDEX(Protmax,MATCH(Table36[[#This Row],[Grist]],SMI,0)),0,1))))</f>
        <v>-</v>
      </c>
      <c r="W322" s="127" t="str">
        <f>IF(INDEX(Ashmin,MATCH(Table36[[#This Row],[Grist]],SMI,0))="-","-",IF(Table36[[#This Row],[%Ash]]="-","-",IF(Table36[[#This Row],[%Ash]]&lt;INDEX(Ashmin,MATCH(Table36[[#This Row],[Grist]],SMI,0)),0,IF(Table36[[#This Row],[%Ash]]&gt;INDEX(Ashmax,MATCH(Table36[[#This Row],[Grist]],SMI,0)),0,1))))</f>
        <v>-</v>
      </c>
      <c r="X322" s="127" t="str">
        <f>IF(INDEX(Absmin,MATCH(Table36[[#This Row],[Grist]],SMI,0))="-","-",IF(Table36[[#This Row],[%Absorption]]="-","-",IF(Table36[[#This Row],[%Absorption]]&lt;INDEX(Absmin,MATCH(Table36[[#This Row],[Grist]],SMI,0)),0,IF(Table36[[#This Row],[%Absorption]]&gt;INDEX(Absmax,MATCH(Table36[[#This Row],[Grist]],SMI,0)),0,1))))</f>
        <v>-</v>
      </c>
      <c r="Y322" s="127" t="str">
        <f>IF(INDEX(Extmin,MATCH(Table36[[#This Row],[Grist]],SMI,0))="-","-",IF(Table36[[#This Row],[%Extensibility]]="-","-",IF(Table36[[#This Row],[%Extensibility]]&lt;INDEX(Extmin,MATCH(Table36[[#This Row],[Grist]],SMI,0)),0,IF(Table36[[#This Row],[%Extensibility]]&gt;INDEX(Extmax,MATCH(Table36[[#This Row],[Grist]],SMI,0)),0,1))))</f>
        <v>-</v>
      </c>
      <c r="Z322" s="127" t="str">
        <f>IF(INDEX(Resmin,MATCH(Table36[[#This Row],[Grist]],SMI,0))="-","-",IF(Table36[[#This Row],[Resistance, max]]="-","-",IF(Table36[[#This Row],[Resistance, max]]&lt;INDEX(Resmin,MATCH(Table36[[#This Row],[Grist]],SMI,0)),0,IF(Table36[[#This Row],[Resistance, max]]&gt;INDEX(Resmax,MATCH(Table36[[#This Row],[Grist]],SMI,0)),0,1))))</f>
        <v>-</v>
      </c>
      <c r="AA322" s="127" t="str">
        <f>IF(INDEX(WGmin,MATCH(Table36[[#This Row],[Grist]],SMI,0))="-","-",IF(Table36[[#This Row],[%Wet Gluten]]="-","-",IF(Table36[[#This Row],[%Wet Gluten]]&lt;INDEX(WGmin,MATCH(Table36[[#This Row],[Grist]],SMI,0)),0,IF(Table36[[#This Row],[%Wet Gluten]]&gt;INDEX(WGmax,MATCH(Table36[[#This Row],[Grist]],SMI,0)),0,1))))</f>
        <v>-</v>
      </c>
      <c r="AB322" s="127">
        <f>SUM(Table36[[#This Row],[ QI Bran Content]:[QI WG]])</f>
        <v>2</v>
      </c>
      <c r="AC322" s="127">
        <f>COUNT(Table36[[#This Row],[ QI Bran Content]:[QI WG]])</f>
        <v>2</v>
      </c>
    </row>
    <row r="323" spans="1:29" x14ac:dyDescent="0.35">
      <c r="A323" s="177">
        <v>45328</v>
      </c>
      <c r="B323" s="178">
        <v>45331</v>
      </c>
      <c r="C323" s="178" t="s">
        <v>125</v>
      </c>
      <c r="D323" s="179" t="s">
        <v>239</v>
      </c>
      <c r="E323" s="180" t="s">
        <v>0</v>
      </c>
      <c r="F323" s="181" t="s">
        <v>40</v>
      </c>
      <c r="G323" s="182">
        <v>4.3E-3</v>
      </c>
      <c r="H323" s="175" t="s">
        <v>165</v>
      </c>
      <c r="I323" s="175" t="s">
        <v>165</v>
      </c>
      <c r="J323" s="175" t="s">
        <v>165</v>
      </c>
      <c r="K323" s="175">
        <v>12.13</v>
      </c>
      <c r="L323" s="175" t="s">
        <v>163</v>
      </c>
      <c r="M323" s="175" t="s">
        <v>163</v>
      </c>
      <c r="N323" s="175" t="s">
        <v>163</v>
      </c>
      <c r="O323" s="175" t="s">
        <v>163</v>
      </c>
      <c r="P323" s="175" t="s">
        <v>163</v>
      </c>
      <c r="Q323" s="175"/>
      <c r="R323" s="127">
        <f>IF(Table36[[#This Row],[ Bran Content]]="-","-",IF(G323&lt;0.02,1,0))</f>
        <v>1</v>
      </c>
      <c r="S323" s="127">
        <f>IF(Table36[[#This Row],[Sieve Test]]="-","-",IF(Table36[[#This Row],[Sieve Test]]="P",1,0))</f>
        <v>1</v>
      </c>
      <c r="T323" s="127">
        <f>IF(Table36[[#This Row],[Odor]]="-","-",IF(Table36[[#This Row],[Odor]]="P",1,0))</f>
        <v>1</v>
      </c>
      <c r="U323" s="127">
        <f>IF(INDEX(MCmin,MATCH(Table36[[#This Row],[Grist]],SMI,0))="-","-",IF(Table36[[#This Row],[F1 %MC]]="-","-",IF(Table36[[#This Row],[F1 %MC]]&lt;INDEX(MCmin,MATCH(Table36[[#This Row],[Grist]],SMI,0)),0,IF(Table36[[#This Row],[F1 %MC]]&gt;INDEX(MCmax,MATCH(Table36[[#This Row],[Grist]],SMI,0)),0,1))))</f>
        <v>1</v>
      </c>
      <c r="V323" s="127" t="str">
        <f>IF(INDEX(Protmin,MATCH(Table36[[#This Row],[Grist]],SMI,0))="-","-",IF(Table36[[#This Row],[%Protein]]="-","-",IF(Table36[[#This Row],[%Protein]]&lt;INDEX(Protmin,MATCH(Table36[[#This Row],[Grist]],SMI,0)),0,IF(Table36[[#This Row],[%Protein]]&gt;INDEX(Protmax,MATCH(Table36[[#This Row],[Grist]],SMI,0)),0,1))))</f>
        <v>-</v>
      </c>
      <c r="W323" s="127" t="str">
        <f>IF(INDEX(Ashmin,MATCH(Table36[[#This Row],[Grist]],SMI,0))="-","-",IF(Table36[[#This Row],[%Ash]]="-","-",IF(Table36[[#This Row],[%Ash]]&lt;INDEX(Ashmin,MATCH(Table36[[#This Row],[Grist]],SMI,0)),0,IF(Table36[[#This Row],[%Ash]]&gt;INDEX(Ashmax,MATCH(Table36[[#This Row],[Grist]],SMI,0)),0,1))))</f>
        <v>-</v>
      </c>
      <c r="X323" s="127" t="str">
        <f>IF(INDEX(Absmin,MATCH(Table36[[#This Row],[Grist]],SMI,0))="-","-",IF(Table36[[#This Row],[%Absorption]]="-","-",IF(Table36[[#This Row],[%Absorption]]&lt;INDEX(Absmin,MATCH(Table36[[#This Row],[Grist]],SMI,0)),0,IF(Table36[[#This Row],[%Absorption]]&gt;INDEX(Absmax,MATCH(Table36[[#This Row],[Grist]],SMI,0)),0,1))))</f>
        <v>-</v>
      </c>
      <c r="Y323" s="127" t="str">
        <f>IF(INDEX(Extmin,MATCH(Table36[[#This Row],[Grist]],SMI,0))="-","-",IF(Table36[[#This Row],[%Extensibility]]="-","-",IF(Table36[[#This Row],[%Extensibility]]&lt;INDEX(Extmin,MATCH(Table36[[#This Row],[Grist]],SMI,0)),0,IF(Table36[[#This Row],[%Extensibility]]&gt;INDEX(Extmax,MATCH(Table36[[#This Row],[Grist]],SMI,0)),0,1))))</f>
        <v>-</v>
      </c>
      <c r="Z323" s="127" t="str">
        <f>IF(INDEX(Resmin,MATCH(Table36[[#This Row],[Grist]],SMI,0))="-","-",IF(Table36[[#This Row],[Resistance, max]]="-","-",IF(Table36[[#This Row],[Resistance, max]]&lt;INDEX(Resmin,MATCH(Table36[[#This Row],[Grist]],SMI,0)),0,IF(Table36[[#This Row],[Resistance, max]]&gt;INDEX(Resmax,MATCH(Table36[[#This Row],[Grist]],SMI,0)),0,1))))</f>
        <v>-</v>
      </c>
      <c r="AA323" s="127">
        <f>IF(INDEX(WGmin,MATCH(Table36[[#This Row],[Grist]],SMI,0))="-","-",IF(Table36[[#This Row],[%Wet Gluten]]="-","-",IF(Table36[[#This Row],[%Wet Gluten]]&lt;INDEX(WGmin,MATCH(Table36[[#This Row],[Grist]],SMI,0)),0,IF(Table36[[#This Row],[%Wet Gluten]]&gt;INDEX(WGmax,MATCH(Table36[[#This Row],[Grist]],SMI,0)),0,1))))</f>
        <v>0</v>
      </c>
      <c r="AB323" s="127">
        <f>SUM(Table36[[#This Row],[ QI Bran Content]:[QI WG]])</f>
        <v>4</v>
      </c>
      <c r="AC323" s="127">
        <f>COUNT(Table36[[#This Row],[ QI Bran Content]:[QI WG]])</f>
        <v>5</v>
      </c>
    </row>
    <row r="324" spans="1:29" x14ac:dyDescent="0.35">
      <c r="A324" s="177">
        <v>45328</v>
      </c>
      <c r="B324" s="178">
        <v>45331</v>
      </c>
      <c r="C324" s="178" t="s">
        <v>125</v>
      </c>
      <c r="D324" s="179" t="s">
        <v>238</v>
      </c>
      <c r="E324" s="180" t="s">
        <v>0</v>
      </c>
      <c r="F324" s="181" t="s">
        <v>19</v>
      </c>
      <c r="G324" s="182">
        <v>8.5000000000000006E-3</v>
      </c>
      <c r="H324" s="175" t="s">
        <v>165</v>
      </c>
      <c r="I324" s="175" t="s">
        <v>165</v>
      </c>
      <c r="J324" s="175" t="s">
        <v>165</v>
      </c>
      <c r="K324" s="175">
        <v>13.26</v>
      </c>
      <c r="L324" s="175" t="s">
        <v>163</v>
      </c>
      <c r="M324" s="175" t="s">
        <v>163</v>
      </c>
      <c r="N324" s="175" t="s">
        <v>163</v>
      </c>
      <c r="O324" s="175" t="s">
        <v>163</v>
      </c>
      <c r="P324" s="175" t="s">
        <v>163</v>
      </c>
      <c r="Q324" s="175"/>
      <c r="R324" s="127">
        <f>IF(Table36[[#This Row],[ Bran Content]]="-","-",IF(G324&lt;0.02,1,0))</f>
        <v>1</v>
      </c>
      <c r="S324" s="127">
        <f>IF(Table36[[#This Row],[Sieve Test]]="-","-",IF(Table36[[#This Row],[Sieve Test]]="P",1,0))</f>
        <v>1</v>
      </c>
      <c r="T324" s="127">
        <f>IF(Table36[[#This Row],[Odor]]="-","-",IF(Table36[[#This Row],[Odor]]="P",1,0))</f>
        <v>1</v>
      </c>
      <c r="U324" s="127">
        <f>IF(INDEX(MCmin,MATCH(Table36[[#This Row],[Grist]],SMI,0))="-","-",IF(Table36[[#This Row],[F1 %MC]]="-","-",IF(Table36[[#This Row],[F1 %MC]]&lt;INDEX(MCmin,MATCH(Table36[[#This Row],[Grist]],SMI,0)),0,IF(Table36[[#This Row],[F1 %MC]]&gt;INDEX(MCmax,MATCH(Table36[[#This Row],[Grist]],SMI,0)),0,1))))</f>
        <v>1</v>
      </c>
      <c r="V324" s="127" t="str">
        <f>IF(INDEX(Protmin,MATCH(Table36[[#This Row],[Grist]],SMI,0))="-","-",IF(Table36[[#This Row],[%Protein]]="-","-",IF(Table36[[#This Row],[%Protein]]&lt;INDEX(Protmin,MATCH(Table36[[#This Row],[Grist]],SMI,0)),0,IF(Table36[[#This Row],[%Protein]]&gt;INDEX(Protmax,MATCH(Table36[[#This Row],[Grist]],SMI,0)),0,1))))</f>
        <v>-</v>
      </c>
      <c r="W324" s="127" t="str">
        <f>IF(INDEX(Ashmin,MATCH(Table36[[#This Row],[Grist]],SMI,0))="-","-",IF(Table36[[#This Row],[%Ash]]="-","-",IF(Table36[[#This Row],[%Ash]]&lt;INDEX(Ashmin,MATCH(Table36[[#This Row],[Grist]],SMI,0)),0,IF(Table36[[#This Row],[%Ash]]&gt;INDEX(Ashmax,MATCH(Table36[[#This Row],[Grist]],SMI,0)),0,1))))</f>
        <v>-</v>
      </c>
      <c r="X324" s="127" t="str">
        <f>IF(INDEX(Absmin,MATCH(Table36[[#This Row],[Grist]],SMI,0))="-","-",IF(Table36[[#This Row],[%Absorption]]="-","-",IF(Table36[[#This Row],[%Absorption]]&lt;INDEX(Absmin,MATCH(Table36[[#This Row],[Grist]],SMI,0)),0,IF(Table36[[#This Row],[%Absorption]]&gt;INDEX(Absmax,MATCH(Table36[[#This Row],[Grist]],SMI,0)),0,1))))</f>
        <v>-</v>
      </c>
      <c r="Y324" s="127" t="str">
        <f>IF(INDEX(Extmin,MATCH(Table36[[#This Row],[Grist]],SMI,0))="-","-",IF(Table36[[#This Row],[%Extensibility]]="-","-",IF(Table36[[#This Row],[%Extensibility]]&lt;INDEX(Extmin,MATCH(Table36[[#This Row],[Grist]],SMI,0)),0,IF(Table36[[#This Row],[%Extensibility]]&gt;INDEX(Extmax,MATCH(Table36[[#This Row],[Grist]],SMI,0)),0,1))))</f>
        <v>-</v>
      </c>
      <c r="Z324" s="127" t="str">
        <f>IF(INDEX(Resmin,MATCH(Table36[[#This Row],[Grist]],SMI,0))="-","-",IF(Table36[[#This Row],[Resistance, max]]="-","-",IF(Table36[[#This Row],[Resistance, max]]&lt;INDEX(Resmin,MATCH(Table36[[#This Row],[Grist]],SMI,0)),0,IF(Table36[[#This Row],[Resistance, max]]&gt;INDEX(Resmax,MATCH(Table36[[#This Row],[Grist]],SMI,0)),0,1))))</f>
        <v>-</v>
      </c>
      <c r="AA324" s="127">
        <f>IF(INDEX(WGmin,MATCH(Table36[[#This Row],[Grist]],SMI,0))="-","-",IF(Table36[[#This Row],[%Wet Gluten]]="-","-",IF(Table36[[#This Row],[%Wet Gluten]]&lt;INDEX(WGmin,MATCH(Table36[[#This Row],[Grist]],SMI,0)),0,IF(Table36[[#This Row],[%Wet Gluten]]&gt;INDEX(WGmax,MATCH(Table36[[#This Row],[Grist]],SMI,0)),0,1))))</f>
        <v>0</v>
      </c>
      <c r="AB324" s="127">
        <f>SUM(Table36[[#This Row],[ QI Bran Content]:[QI WG]])</f>
        <v>4</v>
      </c>
      <c r="AC324" s="127">
        <f>COUNT(Table36[[#This Row],[ QI Bran Content]:[QI WG]])</f>
        <v>5</v>
      </c>
    </row>
    <row r="325" spans="1:29" x14ac:dyDescent="0.35">
      <c r="A325" s="177">
        <v>45328</v>
      </c>
      <c r="B325" s="178">
        <v>45331</v>
      </c>
      <c r="C325" s="178" t="s">
        <v>125</v>
      </c>
      <c r="D325" s="179" t="s">
        <v>238</v>
      </c>
      <c r="E325" s="180" t="s">
        <v>1</v>
      </c>
      <c r="F325" s="181" t="s">
        <v>241</v>
      </c>
      <c r="G325" s="182">
        <v>9.4999999999999998E-3</v>
      </c>
      <c r="H325" s="175" t="s">
        <v>165</v>
      </c>
      <c r="I325" s="175" t="s">
        <v>165</v>
      </c>
      <c r="J325" s="175" t="s">
        <v>165</v>
      </c>
      <c r="K325" s="175">
        <v>12.32</v>
      </c>
      <c r="L325" s="175" t="s">
        <v>163</v>
      </c>
      <c r="M325" s="175" t="s">
        <v>163</v>
      </c>
      <c r="N325" s="175" t="s">
        <v>163</v>
      </c>
      <c r="O325" s="175" t="s">
        <v>163</v>
      </c>
      <c r="P325" s="175" t="s">
        <v>163</v>
      </c>
      <c r="Q325" s="175"/>
      <c r="R325" s="127">
        <f>IF(Table36[[#This Row],[ Bran Content]]="-","-",IF(G325&lt;0.02,1,0))</f>
        <v>1</v>
      </c>
      <c r="S325" s="127">
        <f>IF(Table36[[#This Row],[Sieve Test]]="-","-",IF(Table36[[#This Row],[Sieve Test]]="P",1,0))</f>
        <v>1</v>
      </c>
      <c r="T325" s="127">
        <f>IF(Table36[[#This Row],[Odor]]="-","-",IF(Table36[[#This Row],[Odor]]="P",1,0))</f>
        <v>1</v>
      </c>
      <c r="U325" s="127" t="str">
        <f>IF(INDEX(MCmin,MATCH(Table36[[#This Row],[Grist]],SMI,0))="-","-",IF(Table36[[#This Row],[F1 %MC]]="-","-",IF(Table36[[#This Row],[F1 %MC]]&lt;INDEX(MCmin,MATCH(Table36[[#This Row],[Grist]],SMI,0)),0,IF(Table36[[#This Row],[F1 %MC]]&gt;INDEX(MCmax,MATCH(Table36[[#This Row],[Grist]],SMI,0)),0,1))))</f>
        <v>-</v>
      </c>
      <c r="V325" s="127" t="str">
        <f>IF(INDEX(Protmin,MATCH(Table36[[#This Row],[Grist]],SMI,0))="-","-",IF(Table36[[#This Row],[%Protein]]="-","-",IF(Table36[[#This Row],[%Protein]]&lt;INDEX(Protmin,MATCH(Table36[[#This Row],[Grist]],SMI,0)),0,IF(Table36[[#This Row],[%Protein]]&gt;INDEX(Protmax,MATCH(Table36[[#This Row],[Grist]],SMI,0)),0,1))))</f>
        <v>-</v>
      </c>
      <c r="W325" s="127" t="str">
        <f>IF(INDEX(Ashmin,MATCH(Table36[[#This Row],[Grist]],SMI,0))="-","-",IF(Table36[[#This Row],[%Ash]]="-","-",IF(Table36[[#This Row],[%Ash]]&lt;INDEX(Ashmin,MATCH(Table36[[#This Row],[Grist]],SMI,0)),0,IF(Table36[[#This Row],[%Ash]]&gt;INDEX(Ashmax,MATCH(Table36[[#This Row],[Grist]],SMI,0)),0,1))))</f>
        <v>-</v>
      </c>
      <c r="X325" s="127" t="str">
        <f>IF(INDEX(Absmin,MATCH(Table36[[#This Row],[Grist]],SMI,0))="-","-",IF(Table36[[#This Row],[%Absorption]]="-","-",IF(Table36[[#This Row],[%Absorption]]&lt;INDEX(Absmin,MATCH(Table36[[#This Row],[Grist]],SMI,0)),0,IF(Table36[[#This Row],[%Absorption]]&gt;INDEX(Absmax,MATCH(Table36[[#This Row],[Grist]],SMI,0)),0,1))))</f>
        <v>-</v>
      </c>
      <c r="Y325" s="127" t="str">
        <f>IF(INDEX(Extmin,MATCH(Table36[[#This Row],[Grist]],SMI,0))="-","-",IF(Table36[[#This Row],[%Extensibility]]="-","-",IF(Table36[[#This Row],[%Extensibility]]&lt;INDEX(Extmin,MATCH(Table36[[#This Row],[Grist]],SMI,0)),0,IF(Table36[[#This Row],[%Extensibility]]&gt;INDEX(Extmax,MATCH(Table36[[#This Row],[Grist]],SMI,0)),0,1))))</f>
        <v>-</v>
      </c>
      <c r="Z325" s="127" t="str">
        <f>IF(INDEX(Resmin,MATCH(Table36[[#This Row],[Grist]],SMI,0))="-","-",IF(Table36[[#This Row],[Resistance, max]]="-","-",IF(Table36[[#This Row],[Resistance, max]]&lt;INDEX(Resmin,MATCH(Table36[[#This Row],[Grist]],SMI,0)),0,IF(Table36[[#This Row],[Resistance, max]]&gt;INDEX(Resmax,MATCH(Table36[[#This Row],[Grist]],SMI,0)),0,1))))</f>
        <v>-</v>
      </c>
      <c r="AA325" s="127" t="str">
        <f>IF(INDEX(WGmin,MATCH(Table36[[#This Row],[Grist]],SMI,0))="-","-",IF(Table36[[#This Row],[%Wet Gluten]]="-","-",IF(Table36[[#This Row],[%Wet Gluten]]&lt;INDEX(WGmin,MATCH(Table36[[#This Row],[Grist]],SMI,0)),0,IF(Table36[[#This Row],[%Wet Gluten]]&gt;INDEX(WGmax,MATCH(Table36[[#This Row],[Grist]],SMI,0)),0,1))))</f>
        <v>-</v>
      </c>
      <c r="AB325" s="127">
        <f>SUM(Table36[[#This Row],[ QI Bran Content]:[QI WG]])</f>
        <v>3</v>
      </c>
      <c r="AC325" s="127">
        <f>COUNT(Table36[[#This Row],[ QI Bran Content]:[QI WG]])</f>
        <v>3</v>
      </c>
    </row>
    <row r="326" spans="1:29" x14ac:dyDescent="0.35">
      <c r="A326" s="177">
        <v>45328</v>
      </c>
      <c r="B326" s="178">
        <v>45331</v>
      </c>
      <c r="C326" s="178" t="s">
        <v>128</v>
      </c>
      <c r="D326" s="179">
        <v>0.625</v>
      </c>
      <c r="E326" s="180" t="s">
        <v>0</v>
      </c>
      <c r="F326" s="181" t="s">
        <v>19</v>
      </c>
      <c r="G326" s="182">
        <v>8.0999999999999996E-3</v>
      </c>
      <c r="H326" s="175" t="s">
        <v>165</v>
      </c>
      <c r="I326" s="175" t="s">
        <v>165</v>
      </c>
      <c r="J326" s="175" t="s">
        <v>165</v>
      </c>
      <c r="K326" s="175">
        <v>13.11</v>
      </c>
      <c r="L326" s="175">
        <v>13.5</v>
      </c>
      <c r="M326" s="175">
        <v>0.43</v>
      </c>
      <c r="N326" s="175">
        <v>64.3</v>
      </c>
      <c r="O326" s="175" t="s">
        <v>163</v>
      </c>
      <c r="P326" s="175" t="s">
        <v>163</v>
      </c>
      <c r="Q326" s="175"/>
      <c r="R326" s="127">
        <f>IF(Table36[[#This Row],[ Bran Content]]="-","-",IF(G326&lt;0.02,1,0))</f>
        <v>1</v>
      </c>
      <c r="S326" s="127">
        <f>IF(Table36[[#This Row],[Sieve Test]]="-","-",IF(Table36[[#This Row],[Sieve Test]]="P",1,0))</f>
        <v>1</v>
      </c>
      <c r="T326" s="127">
        <f>IF(Table36[[#This Row],[Odor]]="-","-",IF(Table36[[#This Row],[Odor]]="P",1,0))</f>
        <v>1</v>
      </c>
      <c r="U326" s="127">
        <f>IF(INDEX(MCmin,MATCH(Table36[[#This Row],[Grist]],SMI,0))="-","-",IF(Table36[[#This Row],[F1 %MC]]="-","-",IF(Table36[[#This Row],[F1 %MC]]&lt;INDEX(MCmin,MATCH(Table36[[#This Row],[Grist]],SMI,0)),0,IF(Table36[[#This Row],[F1 %MC]]&gt;INDEX(MCmax,MATCH(Table36[[#This Row],[Grist]],SMI,0)),0,1))))</f>
        <v>1</v>
      </c>
      <c r="V326" s="127">
        <f>IF(INDEX(Protmin,MATCH(Table36[[#This Row],[Grist]],SMI,0))="-","-",IF(Table36[[#This Row],[%Protein]]="-","-",IF(Table36[[#This Row],[%Protein]]&lt;INDEX(Protmin,MATCH(Table36[[#This Row],[Grist]],SMI,0)),0,IF(Table36[[#This Row],[%Protein]]&gt;INDEX(Protmax,MATCH(Table36[[#This Row],[Grist]],SMI,0)),0,1))))</f>
        <v>1</v>
      </c>
      <c r="W326" s="127">
        <f>IF(INDEX(Ashmin,MATCH(Table36[[#This Row],[Grist]],SMI,0))="-","-",IF(Table36[[#This Row],[%Ash]]="-","-",IF(Table36[[#This Row],[%Ash]]&lt;INDEX(Ashmin,MATCH(Table36[[#This Row],[Grist]],SMI,0)),0,IF(Table36[[#This Row],[%Ash]]&gt;INDEX(Ashmax,MATCH(Table36[[#This Row],[Grist]],SMI,0)),0,1))))</f>
        <v>0</v>
      </c>
      <c r="X326" s="127">
        <f>IF(INDEX(Absmin,MATCH(Table36[[#This Row],[Grist]],SMI,0))="-","-",IF(Table36[[#This Row],[%Absorption]]="-","-",IF(Table36[[#This Row],[%Absorption]]&lt;INDEX(Absmin,MATCH(Table36[[#This Row],[Grist]],SMI,0)),0,IF(Table36[[#This Row],[%Absorption]]&gt;INDEX(Absmax,MATCH(Table36[[#This Row],[Grist]],SMI,0)),0,1))))</f>
        <v>1</v>
      </c>
      <c r="Y326" s="127" t="str">
        <f>IF(INDEX(Extmin,MATCH(Table36[[#This Row],[Grist]],SMI,0))="-","-",IF(Table36[[#This Row],[%Extensibility]]="-","-",IF(Table36[[#This Row],[%Extensibility]]&lt;INDEX(Extmin,MATCH(Table36[[#This Row],[Grist]],SMI,0)),0,IF(Table36[[#This Row],[%Extensibility]]&gt;INDEX(Extmax,MATCH(Table36[[#This Row],[Grist]],SMI,0)),0,1))))</f>
        <v>-</v>
      </c>
      <c r="Z326" s="127" t="str">
        <f>IF(INDEX(Resmin,MATCH(Table36[[#This Row],[Grist]],SMI,0))="-","-",IF(Table36[[#This Row],[Resistance, max]]="-","-",IF(Table36[[#This Row],[Resistance, max]]&lt;INDEX(Resmin,MATCH(Table36[[#This Row],[Grist]],SMI,0)),0,IF(Table36[[#This Row],[Resistance, max]]&gt;INDEX(Resmax,MATCH(Table36[[#This Row],[Grist]],SMI,0)),0,1))))</f>
        <v>-</v>
      </c>
      <c r="AA326" s="127">
        <f>IF(INDEX(WGmin,MATCH(Table36[[#This Row],[Grist]],SMI,0))="-","-",IF(Table36[[#This Row],[%Wet Gluten]]="-","-",IF(Table36[[#This Row],[%Wet Gluten]]&lt;INDEX(WGmin,MATCH(Table36[[#This Row],[Grist]],SMI,0)),0,IF(Table36[[#This Row],[%Wet Gluten]]&gt;INDEX(WGmax,MATCH(Table36[[#This Row],[Grist]],SMI,0)),0,1))))</f>
        <v>0</v>
      </c>
      <c r="AB326" s="127">
        <f>SUM(Table36[[#This Row],[ QI Bran Content]:[QI WG]])</f>
        <v>6</v>
      </c>
      <c r="AC326" s="127">
        <f>COUNT(Table36[[#This Row],[ QI Bran Content]:[QI WG]])</f>
        <v>8</v>
      </c>
    </row>
    <row r="327" spans="1:29" x14ac:dyDescent="0.35">
      <c r="A327" s="177">
        <v>45328</v>
      </c>
      <c r="B327" s="178">
        <v>45331</v>
      </c>
      <c r="C327" s="178" t="s">
        <v>128</v>
      </c>
      <c r="D327" s="179">
        <v>0.70833333333333304</v>
      </c>
      <c r="E327" s="180" t="s">
        <v>0</v>
      </c>
      <c r="F327" s="181" t="s">
        <v>27</v>
      </c>
      <c r="G327" s="182">
        <v>2.5000000000000001E-3</v>
      </c>
      <c r="H327" s="175" t="s">
        <v>165</v>
      </c>
      <c r="I327" s="175" t="s">
        <v>165</v>
      </c>
      <c r="J327" s="175" t="s">
        <v>165</v>
      </c>
      <c r="K327" s="175">
        <v>11.6</v>
      </c>
      <c r="L327" s="175">
        <v>13.24</v>
      </c>
      <c r="M327" s="175">
        <v>0.51</v>
      </c>
      <c r="N327" s="175">
        <v>64.900000000000006</v>
      </c>
      <c r="O327" s="175" t="s">
        <v>163</v>
      </c>
      <c r="P327" s="175" t="s">
        <v>163</v>
      </c>
      <c r="Q327" s="175"/>
      <c r="R327" s="127">
        <f>IF(Table36[[#This Row],[ Bran Content]]="-","-",IF(G327&lt;0.02,1,0))</f>
        <v>1</v>
      </c>
      <c r="S327" s="127">
        <f>IF(Table36[[#This Row],[Sieve Test]]="-","-",IF(Table36[[#This Row],[Sieve Test]]="P",1,0))</f>
        <v>1</v>
      </c>
      <c r="T327" s="127">
        <f>IF(Table36[[#This Row],[Odor]]="-","-",IF(Table36[[#This Row],[Odor]]="P",1,0))</f>
        <v>1</v>
      </c>
      <c r="U327" s="127">
        <f>IF(INDEX(MCmin,MATCH(Table36[[#This Row],[Grist]],SMI,0))="-","-",IF(Table36[[#This Row],[F1 %MC]]="-","-",IF(Table36[[#This Row],[F1 %MC]]&lt;INDEX(MCmin,MATCH(Table36[[#This Row],[Grist]],SMI,0)),0,IF(Table36[[#This Row],[F1 %MC]]&gt;INDEX(MCmax,MATCH(Table36[[#This Row],[Grist]],SMI,0)),0,1))))</f>
        <v>0</v>
      </c>
      <c r="V327" s="127">
        <f>IF(INDEX(Protmin,MATCH(Table36[[#This Row],[Grist]],SMI,0))="-","-",IF(Table36[[#This Row],[%Protein]]="-","-",IF(Table36[[#This Row],[%Protein]]&lt;INDEX(Protmin,MATCH(Table36[[#This Row],[Grist]],SMI,0)),0,IF(Table36[[#This Row],[%Protein]]&gt;INDEX(Protmax,MATCH(Table36[[#This Row],[Grist]],SMI,0)),0,1))))</f>
        <v>1</v>
      </c>
      <c r="W327" s="127">
        <f>IF(INDEX(Ashmin,MATCH(Table36[[#This Row],[Grist]],SMI,0))="-","-",IF(Table36[[#This Row],[%Ash]]="-","-",IF(Table36[[#This Row],[%Ash]]&lt;INDEX(Ashmin,MATCH(Table36[[#This Row],[Grist]],SMI,0)),0,IF(Table36[[#This Row],[%Ash]]&gt;INDEX(Ashmax,MATCH(Table36[[#This Row],[Grist]],SMI,0)),0,1))))</f>
        <v>1</v>
      </c>
      <c r="X327" s="127">
        <f>IF(INDEX(Absmin,MATCH(Table36[[#This Row],[Grist]],SMI,0))="-","-",IF(Table36[[#This Row],[%Absorption]]="-","-",IF(Table36[[#This Row],[%Absorption]]&lt;INDEX(Absmin,MATCH(Table36[[#This Row],[Grist]],SMI,0)),0,IF(Table36[[#This Row],[%Absorption]]&gt;INDEX(Absmax,MATCH(Table36[[#This Row],[Grist]],SMI,0)),0,1))))</f>
        <v>1</v>
      </c>
      <c r="Y327" s="127" t="str">
        <f>IF(INDEX(Extmin,MATCH(Table36[[#This Row],[Grist]],SMI,0))="-","-",IF(Table36[[#This Row],[%Extensibility]]="-","-",IF(Table36[[#This Row],[%Extensibility]]&lt;INDEX(Extmin,MATCH(Table36[[#This Row],[Grist]],SMI,0)),0,IF(Table36[[#This Row],[%Extensibility]]&gt;INDEX(Extmax,MATCH(Table36[[#This Row],[Grist]],SMI,0)),0,1))))</f>
        <v>-</v>
      </c>
      <c r="Z327" s="127" t="str">
        <f>IF(INDEX(Resmin,MATCH(Table36[[#This Row],[Grist]],SMI,0))="-","-",IF(Table36[[#This Row],[Resistance, max]]="-","-",IF(Table36[[#This Row],[Resistance, max]]&lt;INDEX(Resmin,MATCH(Table36[[#This Row],[Grist]],SMI,0)),0,IF(Table36[[#This Row],[Resistance, max]]&gt;INDEX(Resmax,MATCH(Table36[[#This Row],[Grist]],SMI,0)),0,1))))</f>
        <v>-</v>
      </c>
      <c r="AA327" s="127">
        <f>IF(INDEX(WGmin,MATCH(Table36[[#This Row],[Grist]],SMI,0))="-","-",IF(Table36[[#This Row],[%Wet Gluten]]="-","-",IF(Table36[[#This Row],[%Wet Gluten]]&lt;INDEX(WGmin,MATCH(Table36[[#This Row],[Grist]],SMI,0)),0,IF(Table36[[#This Row],[%Wet Gluten]]&gt;INDEX(WGmax,MATCH(Table36[[#This Row],[Grist]],SMI,0)),0,1))))</f>
        <v>0</v>
      </c>
      <c r="AB327" s="127">
        <f>SUM(Table36[[#This Row],[ QI Bran Content]:[QI WG]])</f>
        <v>6</v>
      </c>
      <c r="AC327" s="127">
        <f>COUNT(Table36[[#This Row],[ QI Bran Content]:[QI WG]])</f>
        <v>8</v>
      </c>
    </row>
    <row r="328" spans="1:29" x14ac:dyDescent="0.35">
      <c r="A328" s="177">
        <v>45328</v>
      </c>
      <c r="B328" s="178">
        <v>45331</v>
      </c>
      <c r="C328" s="178" t="s">
        <v>128</v>
      </c>
      <c r="D328" s="179">
        <v>0.79166666666666596</v>
      </c>
      <c r="E328" s="180" t="s">
        <v>0</v>
      </c>
      <c r="F328" s="181" t="s">
        <v>27</v>
      </c>
      <c r="G328" s="182">
        <v>9.5999999999999992E-3</v>
      </c>
      <c r="H328" s="175" t="s">
        <v>165</v>
      </c>
      <c r="I328" s="175" t="s">
        <v>165</v>
      </c>
      <c r="J328" s="175" t="s">
        <v>165</v>
      </c>
      <c r="K328" s="175">
        <v>12.3</v>
      </c>
      <c r="L328" s="175">
        <v>13.24</v>
      </c>
      <c r="M328" s="175">
        <v>0.51</v>
      </c>
      <c r="N328" s="175">
        <v>64.900000000000006</v>
      </c>
      <c r="O328" s="175" t="s">
        <v>163</v>
      </c>
      <c r="P328" s="175" t="s">
        <v>163</v>
      </c>
      <c r="Q328" s="175"/>
      <c r="R328" s="127">
        <f>IF(Table36[[#This Row],[ Bran Content]]="-","-",IF(G328&lt;0.02,1,0))</f>
        <v>1</v>
      </c>
      <c r="S328" s="127">
        <f>IF(Table36[[#This Row],[Sieve Test]]="-","-",IF(Table36[[#This Row],[Sieve Test]]="P",1,0))</f>
        <v>1</v>
      </c>
      <c r="T328" s="127">
        <f>IF(Table36[[#This Row],[Odor]]="-","-",IF(Table36[[#This Row],[Odor]]="P",1,0))</f>
        <v>1</v>
      </c>
      <c r="U328" s="127">
        <f>IF(INDEX(MCmin,MATCH(Table36[[#This Row],[Grist]],SMI,0))="-","-",IF(Table36[[#This Row],[F1 %MC]]="-","-",IF(Table36[[#This Row],[F1 %MC]]&lt;INDEX(MCmin,MATCH(Table36[[#This Row],[Grist]],SMI,0)),0,IF(Table36[[#This Row],[F1 %MC]]&gt;INDEX(MCmax,MATCH(Table36[[#This Row],[Grist]],SMI,0)),0,1))))</f>
        <v>1</v>
      </c>
      <c r="V328" s="127">
        <f>IF(INDEX(Protmin,MATCH(Table36[[#This Row],[Grist]],SMI,0))="-","-",IF(Table36[[#This Row],[%Protein]]="-","-",IF(Table36[[#This Row],[%Protein]]&lt;INDEX(Protmin,MATCH(Table36[[#This Row],[Grist]],SMI,0)),0,IF(Table36[[#This Row],[%Protein]]&gt;INDEX(Protmax,MATCH(Table36[[#This Row],[Grist]],SMI,0)),0,1))))</f>
        <v>1</v>
      </c>
      <c r="W328" s="127">
        <f>IF(INDEX(Ashmin,MATCH(Table36[[#This Row],[Grist]],SMI,0))="-","-",IF(Table36[[#This Row],[%Ash]]="-","-",IF(Table36[[#This Row],[%Ash]]&lt;INDEX(Ashmin,MATCH(Table36[[#This Row],[Grist]],SMI,0)),0,IF(Table36[[#This Row],[%Ash]]&gt;INDEX(Ashmax,MATCH(Table36[[#This Row],[Grist]],SMI,0)),0,1))))</f>
        <v>1</v>
      </c>
      <c r="X328" s="127">
        <f>IF(INDEX(Absmin,MATCH(Table36[[#This Row],[Grist]],SMI,0))="-","-",IF(Table36[[#This Row],[%Absorption]]="-","-",IF(Table36[[#This Row],[%Absorption]]&lt;INDEX(Absmin,MATCH(Table36[[#This Row],[Grist]],SMI,0)),0,IF(Table36[[#This Row],[%Absorption]]&gt;INDEX(Absmax,MATCH(Table36[[#This Row],[Grist]],SMI,0)),0,1))))</f>
        <v>1</v>
      </c>
      <c r="Y328" s="127" t="str">
        <f>IF(INDEX(Extmin,MATCH(Table36[[#This Row],[Grist]],SMI,0))="-","-",IF(Table36[[#This Row],[%Extensibility]]="-","-",IF(Table36[[#This Row],[%Extensibility]]&lt;INDEX(Extmin,MATCH(Table36[[#This Row],[Grist]],SMI,0)),0,IF(Table36[[#This Row],[%Extensibility]]&gt;INDEX(Extmax,MATCH(Table36[[#This Row],[Grist]],SMI,0)),0,1))))</f>
        <v>-</v>
      </c>
      <c r="Z328" s="127" t="str">
        <f>IF(INDEX(Resmin,MATCH(Table36[[#This Row],[Grist]],SMI,0))="-","-",IF(Table36[[#This Row],[Resistance, max]]="-","-",IF(Table36[[#This Row],[Resistance, max]]&lt;INDEX(Resmin,MATCH(Table36[[#This Row],[Grist]],SMI,0)),0,IF(Table36[[#This Row],[Resistance, max]]&gt;INDEX(Resmax,MATCH(Table36[[#This Row],[Grist]],SMI,0)),0,1))))</f>
        <v>-</v>
      </c>
      <c r="AA328" s="127">
        <f>IF(INDEX(WGmin,MATCH(Table36[[#This Row],[Grist]],SMI,0))="-","-",IF(Table36[[#This Row],[%Wet Gluten]]="-","-",IF(Table36[[#This Row],[%Wet Gluten]]&lt;INDEX(WGmin,MATCH(Table36[[#This Row],[Grist]],SMI,0)),0,IF(Table36[[#This Row],[%Wet Gluten]]&gt;INDEX(WGmax,MATCH(Table36[[#This Row],[Grist]],SMI,0)),0,1))))</f>
        <v>0</v>
      </c>
      <c r="AB328" s="127">
        <f>SUM(Table36[[#This Row],[ QI Bran Content]:[QI WG]])</f>
        <v>7</v>
      </c>
      <c r="AC328" s="127">
        <f>COUNT(Table36[[#This Row],[ QI Bran Content]:[QI WG]])</f>
        <v>8</v>
      </c>
    </row>
    <row r="329" spans="1:29" x14ac:dyDescent="0.35">
      <c r="A329" s="177">
        <v>45328</v>
      </c>
      <c r="B329" s="178">
        <v>45331</v>
      </c>
      <c r="C329" s="178" t="s">
        <v>128</v>
      </c>
      <c r="D329" s="179">
        <v>0.874999999999999</v>
      </c>
      <c r="E329" s="180" t="s">
        <v>0</v>
      </c>
      <c r="F329" s="181" t="s">
        <v>27</v>
      </c>
      <c r="G329" s="182">
        <v>6.7000000000000002E-3</v>
      </c>
      <c r="H329" s="175" t="s">
        <v>165</v>
      </c>
      <c r="I329" s="175" t="s">
        <v>165</v>
      </c>
      <c r="J329" s="175" t="s">
        <v>165</v>
      </c>
      <c r="K329" s="175">
        <v>12.36</v>
      </c>
      <c r="L329" s="175">
        <v>13.24</v>
      </c>
      <c r="M329" s="175">
        <v>0.51</v>
      </c>
      <c r="N329" s="175">
        <v>64.900000000000006</v>
      </c>
      <c r="O329" s="175" t="s">
        <v>163</v>
      </c>
      <c r="P329" s="175" t="s">
        <v>163</v>
      </c>
      <c r="Q329" s="175"/>
      <c r="R329" s="127">
        <f>IF(Table36[[#This Row],[ Bran Content]]="-","-",IF(G329&lt;0.02,1,0))</f>
        <v>1</v>
      </c>
      <c r="S329" s="127">
        <f>IF(Table36[[#This Row],[Sieve Test]]="-","-",IF(Table36[[#This Row],[Sieve Test]]="P",1,0))</f>
        <v>1</v>
      </c>
      <c r="T329" s="127">
        <f>IF(Table36[[#This Row],[Odor]]="-","-",IF(Table36[[#This Row],[Odor]]="P",1,0))</f>
        <v>1</v>
      </c>
      <c r="U329" s="127">
        <f>IF(INDEX(MCmin,MATCH(Table36[[#This Row],[Grist]],SMI,0))="-","-",IF(Table36[[#This Row],[F1 %MC]]="-","-",IF(Table36[[#This Row],[F1 %MC]]&lt;INDEX(MCmin,MATCH(Table36[[#This Row],[Grist]],SMI,0)),0,IF(Table36[[#This Row],[F1 %MC]]&gt;INDEX(MCmax,MATCH(Table36[[#This Row],[Grist]],SMI,0)),0,1))))</f>
        <v>1</v>
      </c>
      <c r="V329" s="127">
        <f>IF(INDEX(Protmin,MATCH(Table36[[#This Row],[Grist]],SMI,0))="-","-",IF(Table36[[#This Row],[%Protein]]="-","-",IF(Table36[[#This Row],[%Protein]]&lt;INDEX(Protmin,MATCH(Table36[[#This Row],[Grist]],SMI,0)),0,IF(Table36[[#This Row],[%Protein]]&gt;INDEX(Protmax,MATCH(Table36[[#This Row],[Grist]],SMI,0)),0,1))))</f>
        <v>1</v>
      </c>
      <c r="W329" s="127">
        <f>IF(INDEX(Ashmin,MATCH(Table36[[#This Row],[Grist]],SMI,0))="-","-",IF(Table36[[#This Row],[%Ash]]="-","-",IF(Table36[[#This Row],[%Ash]]&lt;INDEX(Ashmin,MATCH(Table36[[#This Row],[Grist]],SMI,0)),0,IF(Table36[[#This Row],[%Ash]]&gt;INDEX(Ashmax,MATCH(Table36[[#This Row],[Grist]],SMI,0)),0,1))))</f>
        <v>1</v>
      </c>
      <c r="X329" s="127">
        <f>IF(INDEX(Absmin,MATCH(Table36[[#This Row],[Grist]],SMI,0))="-","-",IF(Table36[[#This Row],[%Absorption]]="-","-",IF(Table36[[#This Row],[%Absorption]]&lt;INDEX(Absmin,MATCH(Table36[[#This Row],[Grist]],SMI,0)),0,IF(Table36[[#This Row],[%Absorption]]&gt;INDEX(Absmax,MATCH(Table36[[#This Row],[Grist]],SMI,0)),0,1))))</f>
        <v>1</v>
      </c>
      <c r="Y329" s="127" t="str">
        <f>IF(INDEX(Extmin,MATCH(Table36[[#This Row],[Grist]],SMI,0))="-","-",IF(Table36[[#This Row],[%Extensibility]]="-","-",IF(Table36[[#This Row],[%Extensibility]]&lt;INDEX(Extmin,MATCH(Table36[[#This Row],[Grist]],SMI,0)),0,IF(Table36[[#This Row],[%Extensibility]]&gt;INDEX(Extmax,MATCH(Table36[[#This Row],[Grist]],SMI,0)),0,1))))</f>
        <v>-</v>
      </c>
      <c r="Z329" s="127" t="str">
        <f>IF(INDEX(Resmin,MATCH(Table36[[#This Row],[Grist]],SMI,0))="-","-",IF(Table36[[#This Row],[Resistance, max]]="-","-",IF(Table36[[#This Row],[Resistance, max]]&lt;INDEX(Resmin,MATCH(Table36[[#This Row],[Grist]],SMI,0)),0,IF(Table36[[#This Row],[Resistance, max]]&gt;INDEX(Resmax,MATCH(Table36[[#This Row],[Grist]],SMI,0)),0,1))))</f>
        <v>-</v>
      </c>
      <c r="AA329" s="127">
        <f>IF(INDEX(WGmin,MATCH(Table36[[#This Row],[Grist]],SMI,0))="-","-",IF(Table36[[#This Row],[%Wet Gluten]]="-","-",IF(Table36[[#This Row],[%Wet Gluten]]&lt;INDEX(WGmin,MATCH(Table36[[#This Row],[Grist]],SMI,0)),0,IF(Table36[[#This Row],[%Wet Gluten]]&gt;INDEX(WGmax,MATCH(Table36[[#This Row],[Grist]],SMI,0)),0,1))))</f>
        <v>0</v>
      </c>
      <c r="AB329" s="127">
        <f>SUM(Table36[[#This Row],[ QI Bran Content]:[QI WG]])</f>
        <v>7</v>
      </c>
      <c r="AC329" s="127">
        <f>COUNT(Table36[[#This Row],[ QI Bran Content]:[QI WG]])</f>
        <v>8</v>
      </c>
    </row>
    <row r="330" spans="1:29" x14ac:dyDescent="0.35">
      <c r="A330" s="177">
        <v>45328</v>
      </c>
      <c r="B330" s="178">
        <v>45331</v>
      </c>
      <c r="C330" s="178" t="s">
        <v>128</v>
      </c>
      <c r="D330" s="179">
        <v>0.625</v>
      </c>
      <c r="E330" s="180" t="s">
        <v>1</v>
      </c>
      <c r="F330" s="181" t="s">
        <v>241</v>
      </c>
      <c r="G330" s="182">
        <v>7.4000000000000003E-3</v>
      </c>
      <c r="H330" s="175" t="s">
        <v>165</v>
      </c>
      <c r="I330" s="175" t="s">
        <v>165</v>
      </c>
      <c r="J330" s="175" t="s">
        <v>165</v>
      </c>
      <c r="K330" s="175">
        <v>12.19</v>
      </c>
      <c r="L330" s="175" t="s">
        <v>163</v>
      </c>
      <c r="M330" s="175" t="s">
        <v>163</v>
      </c>
      <c r="N330" s="175" t="s">
        <v>163</v>
      </c>
      <c r="O330" s="175" t="s">
        <v>163</v>
      </c>
      <c r="P330" s="175" t="s">
        <v>163</v>
      </c>
      <c r="Q330" s="175"/>
      <c r="R330" s="127">
        <f>IF(Table36[[#This Row],[ Bran Content]]="-","-",IF(G330&lt;0.02,1,0))</f>
        <v>1</v>
      </c>
      <c r="S330" s="127">
        <f>IF(Table36[[#This Row],[Sieve Test]]="-","-",IF(Table36[[#This Row],[Sieve Test]]="P",1,0))</f>
        <v>1</v>
      </c>
      <c r="T330" s="127">
        <f>IF(Table36[[#This Row],[Odor]]="-","-",IF(Table36[[#This Row],[Odor]]="P",1,0))</f>
        <v>1</v>
      </c>
      <c r="U330" s="127" t="str">
        <f>IF(INDEX(MCmin,MATCH(Table36[[#This Row],[Grist]],SMI,0))="-","-",IF(Table36[[#This Row],[F1 %MC]]="-","-",IF(Table36[[#This Row],[F1 %MC]]&lt;INDEX(MCmin,MATCH(Table36[[#This Row],[Grist]],SMI,0)),0,IF(Table36[[#This Row],[F1 %MC]]&gt;INDEX(MCmax,MATCH(Table36[[#This Row],[Grist]],SMI,0)),0,1))))</f>
        <v>-</v>
      </c>
      <c r="V330" s="127" t="str">
        <f>IF(INDEX(Protmin,MATCH(Table36[[#This Row],[Grist]],SMI,0))="-","-",IF(Table36[[#This Row],[%Protein]]="-","-",IF(Table36[[#This Row],[%Protein]]&lt;INDEX(Protmin,MATCH(Table36[[#This Row],[Grist]],SMI,0)),0,IF(Table36[[#This Row],[%Protein]]&gt;INDEX(Protmax,MATCH(Table36[[#This Row],[Grist]],SMI,0)),0,1))))</f>
        <v>-</v>
      </c>
      <c r="W330" s="127" t="str">
        <f>IF(INDEX(Ashmin,MATCH(Table36[[#This Row],[Grist]],SMI,0))="-","-",IF(Table36[[#This Row],[%Ash]]="-","-",IF(Table36[[#This Row],[%Ash]]&lt;INDEX(Ashmin,MATCH(Table36[[#This Row],[Grist]],SMI,0)),0,IF(Table36[[#This Row],[%Ash]]&gt;INDEX(Ashmax,MATCH(Table36[[#This Row],[Grist]],SMI,0)),0,1))))</f>
        <v>-</v>
      </c>
      <c r="X330" s="127" t="str">
        <f>IF(INDEX(Absmin,MATCH(Table36[[#This Row],[Grist]],SMI,0))="-","-",IF(Table36[[#This Row],[%Absorption]]="-","-",IF(Table36[[#This Row],[%Absorption]]&lt;INDEX(Absmin,MATCH(Table36[[#This Row],[Grist]],SMI,0)),0,IF(Table36[[#This Row],[%Absorption]]&gt;INDEX(Absmax,MATCH(Table36[[#This Row],[Grist]],SMI,0)),0,1))))</f>
        <v>-</v>
      </c>
      <c r="Y330" s="127" t="str">
        <f>IF(INDEX(Extmin,MATCH(Table36[[#This Row],[Grist]],SMI,0))="-","-",IF(Table36[[#This Row],[%Extensibility]]="-","-",IF(Table36[[#This Row],[%Extensibility]]&lt;INDEX(Extmin,MATCH(Table36[[#This Row],[Grist]],SMI,0)),0,IF(Table36[[#This Row],[%Extensibility]]&gt;INDEX(Extmax,MATCH(Table36[[#This Row],[Grist]],SMI,0)),0,1))))</f>
        <v>-</v>
      </c>
      <c r="Z330" s="127" t="str">
        <f>IF(INDEX(Resmin,MATCH(Table36[[#This Row],[Grist]],SMI,0))="-","-",IF(Table36[[#This Row],[Resistance, max]]="-","-",IF(Table36[[#This Row],[Resistance, max]]&lt;INDEX(Resmin,MATCH(Table36[[#This Row],[Grist]],SMI,0)),0,IF(Table36[[#This Row],[Resistance, max]]&gt;INDEX(Resmax,MATCH(Table36[[#This Row],[Grist]],SMI,0)),0,1))))</f>
        <v>-</v>
      </c>
      <c r="AA330" s="127" t="str">
        <f>IF(INDEX(WGmin,MATCH(Table36[[#This Row],[Grist]],SMI,0))="-","-",IF(Table36[[#This Row],[%Wet Gluten]]="-","-",IF(Table36[[#This Row],[%Wet Gluten]]&lt;INDEX(WGmin,MATCH(Table36[[#This Row],[Grist]],SMI,0)),0,IF(Table36[[#This Row],[%Wet Gluten]]&gt;INDEX(WGmax,MATCH(Table36[[#This Row],[Grist]],SMI,0)),0,1))))</f>
        <v>-</v>
      </c>
      <c r="AB330" s="127">
        <f>SUM(Table36[[#This Row],[ QI Bran Content]:[QI WG]])</f>
        <v>3</v>
      </c>
      <c r="AC330" s="127">
        <f>COUNT(Table36[[#This Row],[ QI Bran Content]:[QI WG]])</f>
        <v>3</v>
      </c>
    </row>
    <row r="331" spans="1:29" x14ac:dyDescent="0.35">
      <c r="A331" s="177">
        <v>45328</v>
      </c>
      <c r="B331" s="178">
        <v>45331</v>
      </c>
      <c r="C331" s="178" t="s">
        <v>130</v>
      </c>
      <c r="D331" s="179">
        <v>0.95833333333333337</v>
      </c>
      <c r="E331" s="180" t="s">
        <v>0</v>
      </c>
      <c r="F331" s="181" t="s">
        <v>27</v>
      </c>
      <c r="G331" s="182">
        <v>7.3000000000000001E-3</v>
      </c>
      <c r="H331" s="175" t="s">
        <v>165</v>
      </c>
      <c r="I331" s="175" t="s">
        <v>165</v>
      </c>
      <c r="J331" s="175" t="s">
        <v>165</v>
      </c>
      <c r="K331" s="175">
        <v>12.94</v>
      </c>
      <c r="L331" s="175">
        <v>13.33</v>
      </c>
      <c r="M331" s="175">
        <v>0.51</v>
      </c>
      <c r="N331" s="175">
        <v>65.400000000000006</v>
      </c>
      <c r="O331" s="175" t="s">
        <v>163</v>
      </c>
      <c r="P331" s="175" t="s">
        <v>163</v>
      </c>
      <c r="Q331" s="175"/>
      <c r="R331" s="127">
        <f>IF(Table36[[#This Row],[ Bran Content]]="-","-",IF(G331&lt;0.02,1,0))</f>
        <v>1</v>
      </c>
      <c r="S331" s="127">
        <f>IF(Table36[[#This Row],[Sieve Test]]="-","-",IF(Table36[[#This Row],[Sieve Test]]="P",1,0))</f>
        <v>1</v>
      </c>
      <c r="T331" s="127">
        <f>IF(Table36[[#This Row],[Odor]]="-","-",IF(Table36[[#This Row],[Odor]]="P",1,0))</f>
        <v>1</v>
      </c>
      <c r="U331" s="127">
        <f>IF(INDEX(MCmin,MATCH(Table36[[#This Row],[Grist]],SMI,0))="-","-",IF(Table36[[#This Row],[F1 %MC]]="-","-",IF(Table36[[#This Row],[F1 %MC]]&lt;INDEX(MCmin,MATCH(Table36[[#This Row],[Grist]],SMI,0)),0,IF(Table36[[#This Row],[F1 %MC]]&gt;INDEX(MCmax,MATCH(Table36[[#This Row],[Grist]],SMI,0)),0,1))))</f>
        <v>1</v>
      </c>
      <c r="V331" s="127">
        <f>IF(INDEX(Protmin,MATCH(Table36[[#This Row],[Grist]],SMI,0))="-","-",IF(Table36[[#This Row],[%Protein]]="-","-",IF(Table36[[#This Row],[%Protein]]&lt;INDEX(Protmin,MATCH(Table36[[#This Row],[Grist]],SMI,0)),0,IF(Table36[[#This Row],[%Protein]]&gt;INDEX(Protmax,MATCH(Table36[[#This Row],[Grist]],SMI,0)),0,1))))</f>
        <v>1</v>
      </c>
      <c r="W331" s="127">
        <f>IF(INDEX(Ashmin,MATCH(Table36[[#This Row],[Grist]],SMI,0))="-","-",IF(Table36[[#This Row],[%Ash]]="-","-",IF(Table36[[#This Row],[%Ash]]&lt;INDEX(Ashmin,MATCH(Table36[[#This Row],[Grist]],SMI,0)),0,IF(Table36[[#This Row],[%Ash]]&gt;INDEX(Ashmax,MATCH(Table36[[#This Row],[Grist]],SMI,0)),0,1))))</f>
        <v>1</v>
      </c>
      <c r="X331" s="127">
        <f>IF(INDEX(Absmin,MATCH(Table36[[#This Row],[Grist]],SMI,0))="-","-",IF(Table36[[#This Row],[%Absorption]]="-","-",IF(Table36[[#This Row],[%Absorption]]&lt;INDEX(Absmin,MATCH(Table36[[#This Row],[Grist]],SMI,0)),0,IF(Table36[[#This Row],[%Absorption]]&gt;INDEX(Absmax,MATCH(Table36[[#This Row],[Grist]],SMI,0)),0,1))))</f>
        <v>1</v>
      </c>
      <c r="Y331" s="127" t="str">
        <f>IF(INDEX(Extmin,MATCH(Table36[[#This Row],[Grist]],SMI,0))="-","-",IF(Table36[[#This Row],[%Extensibility]]="-","-",IF(Table36[[#This Row],[%Extensibility]]&lt;INDEX(Extmin,MATCH(Table36[[#This Row],[Grist]],SMI,0)),0,IF(Table36[[#This Row],[%Extensibility]]&gt;INDEX(Extmax,MATCH(Table36[[#This Row],[Grist]],SMI,0)),0,1))))</f>
        <v>-</v>
      </c>
      <c r="Z331" s="127" t="str">
        <f>IF(INDEX(Resmin,MATCH(Table36[[#This Row],[Grist]],SMI,0))="-","-",IF(Table36[[#This Row],[Resistance, max]]="-","-",IF(Table36[[#This Row],[Resistance, max]]&lt;INDEX(Resmin,MATCH(Table36[[#This Row],[Grist]],SMI,0)),0,IF(Table36[[#This Row],[Resistance, max]]&gt;INDEX(Resmax,MATCH(Table36[[#This Row],[Grist]],SMI,0)),0,1))))</f>
        <v>-</v>
      </c>
      <c r="AA331" s="127">
        <f>IF(INDEX(WGmin,MATCH(Table36[[#This Row],[Grist]],SMI,0))="-","-",IF(Table36[[#This Row],[%Wet Gluten]]="-","-",IF(Table36[[#This Row],[%Wet Gluten]]&lt;INDEX(WGmin,MATCH(Table36[[#This Row],[Grist]],SMI,0)),0,IF(Table36[[#This Row],[%Wet Gluten]]&gt;INDEX(WGmax,MATCH(Table36[[#This Row],[Grist]],SMI,0)),0,1))))</f>
        <v>0</v>
      </c>
      <c r="AB331" s="127">
        <f>SUM(Table36[[#This Row],[ QI Bran Content]:[QI WG]])</f>
        <v>7</v>
      </c>
      <c r="AC331" s="127">
        <f>COUNT(Table36[[#This Row],[ QI Bran Content]:[QI WG]])</f>
        <v>8</v>
      </c>
    </row>
    <row r="332" spans="1:29" x14ac:dyDescent="0.35">
      <c r="A332" s="177">
        <v>45328</v>
      </c>
      <c r="B332" s="178">
        <v>45331</v>
      </c>
      <c r="C332" s="178" t="s">
        <v>130</v>
      </c>
      <c r="D332" s="179">
        <v>1.0416666666666701</v>
      </c>
      <c r="E332" s="180" t="s">
        <v>0</v>
      </c>
      <c r="F332" s="181" t="s">
        <v>27</v>
      </c>
      <c r="G332" s="182">
        <v>9.4999999999999998E-3</v>
      </c>
      <c r="H332" s="175" t="s">
        <v>165</v>
      </c>
      <c r="I332" s="175" t="s">
        <v>165</v>
      </c>
      <c r="J332" s="175" t="s">
        <v>165</v>
      </c>
      <c r="K332" s="175">
        <v>12.57</v>
      </c>
      <c r="L332" s="175">
        <v>13.33</v>
      </c>
      <c r="M332" s="175">
        <v>0.51</v>
      </c>
      <c r="N332" s="175">
        <v>65.400000000000006</v>
      </c>
      <c r="O332" s="175" t="s">
        <v>163</v>
      </c>
      <c r="P332" s="175" t="s">
        <v>163</v>
      </c>
      <c r="Q332" s="175"/>
      <c r="R332" s="127">
        <f>IF(Table36[[#This Row],[ Bran Content]]="-","-",IF(G332&lt;0.02,1,0))</f>
        <v>1</v>
      </c>
      <c r="S332" s="127">
        <f>IF(Table36[[#This Row],[Sieve Test]]="-","-",IF(Table36[[#This Row],[Sieve Test]]="P",1,0))</f>
        <v>1</v>
      </c>
      <c r="T332" s="127">
        <f>IF(Table36[[#This Row],[Odor]]="-","-",IF(Table36[[#This Row],[Odor]]="P",1,0))</f>
        <v>1</v>
      </c>
      <c r="U332" s="127">
        <f>IF(INDEX(MCmin,MATCH(Table36[[#This Row],[Grist]],SMI,0))="-","-",IF(Table36[[#This Row],[F1 %MC]]="-","-",IF(Table36[[#This Row],[F1 %MC]]&lt;INDEX(MCmin,MATCH(Table36[[#This Row],[Grist]],SMI,0)),0,IF(Table36[[#This Row],[F1 %MC]]&gt;INDEX(MCmax,MATCH(Table36[[#This Row],[Grist]],SMI,0)),0,1))))</f>
        <v>1</v>
      </c>
      <c r="V332" s="127">
        <f>IF(INDEX(Protmin,MATCH(Table36[[#This Row],[Grist]],SMI,0))="-","-",IF(Table36[[#This Row],[%Protein]]="-","-",IF(Table36[[#This Row],[%Protein]]&lt;INDEX(Protmin,MATCH(Table36[[#This Row],[Grist]],SMI,0)),0,IF(Table36[[#This Row],[%Protein]]&gt;INDEX(Protmax,MATCH(Table36[[#This Row],[Grist]],SMI,0)),0,1))))</f>
        <v>1</v>
      </c>
      <c r="W332" s="127">
        <f>IF(INDEX(Ashmin,MATCH(Table36[[#This Row],[Grist]],SMI,0))="-","-",IF(Table36[[#This Row],[%Ash]]="-","-",IF(Table36[[#This Row],[%Ash]]&lt;INDEX(Ashmin,MATCH(Table36[[#This Row],[Grist]],SMI,0)),0,IF(Table36[[#This Row],[%Ash]]&gt;INDEX(Ashmax,MATCH(Table36[[#This Row],[Grist]],SMI,0)),0,1))))</f>
        <v>1</v>
      </c>
      <c r="X332" s="127">
        <f>IF(INDEX(Absmin,MATCH(Table36[[#This Row],[Grist]],SMI,0))="-","-",IF(Table36[[#This Row],[%Absorption]]="-","-",IF(Table36[[#This Row],[%Absorption]]&lt;INDEX(Absmin,MATCH(Table36[[#This Row],[Grist]],SMI,0)),0,IF(Table36[[#This Row],[%Absorption]]&gt;INDEX(Absmax,MATCH(Table36[[#This Row],[Grist]],SMI,0)),0,1))))</f>
        <v>1</v>
      </c>
      <c r="Y332" s="127" t="str">
        <f>IF(INDEX(Extmin,MATCH(Table36[[#This Row],[Grist]],SMI,0))="-","-",IF(Table36[[#This Row],[%Extensibility]]="-","-",IF(Table36[[#This Row],[%Extensibility]]&lt;INDEX(Extmin,MATCH(Table36[[#This Row],[Grist]],SMI,0)),0,IF(Table36[[#This Row],[%Extensibility]]&gt;INDEX(Extmax,MATCH(Table36[[#This Row],[Grist]],SMI,0)),0,1))))</f>
        <v>-</v>
      </c>
      <c r="Z332" s="127" t="str">
        <f>IF(INDEX(Resmin,MATCH(Table36[[#This Row],[Grist]],SMI,0))="-","-",IF(Table36[[#This Row],[Resistance, max]]="-","-",IF(Table36[[#This Row],[Resistance, max]]&lt;INDEX(Resmin,MATCH(Table36[[#This Row],[Grist]],SMI,0)),0,IF(Table36[[#This Row],[Resistance, max]]&gt;INDEX(Resmax,MATCH(Table36[[#This Row],[Grist]],SMI,0)),0,1))))</f>
        <v>-</v>
      </c>
      <c r="AA332" s="127">
        <f>IF(INDEX(WGmin,MATCH(Table36[[#This Row],[Grist]],SMI,0))="-","-",IF(Table36[[#This Row],[%Wet Gluten]]="-","-",IF(Table36[[#This Row],[%Wet Gluten]]&lt;INDEX(WGmin,MATCH(Table36[[#This Row],[Grist]],SMI,0)),0,IF(Table36[[#This Row],[%Wet Gluten]]&gt;INDEX(WGmax,MATCH(Table36[[#This Row],[Grist]],SMI,0)),0,1))))</f>
        <v>0</v>
      </c>
      <c r="AB332" s="127">
        <f>SUM(Table36[[#This Row],[ QI Bran Content]:[QI WG]])</f>
        <v>7</v>
      </c>
      <c r="AC332" s="127">
        <f>COUNT(Table36[[#This Row],[ QI Bran Content]:[QI WG]])</f>
        <v>8</v>
      </c>
    </row>
    <row r="333" spans="1:29" x14ac:dyDescent="0.35">
      <c r="A333" s="177">
        <v>45328</v>
      </c>
      <c r="B333" s="178">
        <v>45331</v>
      </c>
      <c r="C333" s="178" t="s">
        <v>130</v>
      </c>
      <c r="D333" s="179">
        <v>1.125</v>
      </c>
      <c r="E333" s="180" t="s">
        <v>0</v>
      </c>
      <c r="F333" s="181" t="s">
        <v>27</v>
      </c>
      <c r="G333" s="182">
        <v>1.14E-2</v>
      </c>
      <c r="H333" s="175" t="s">
        <v>165</v>
      </c>
      <c r="I333" s="175" t="s">
        <v>165</v>
      </c>
      <c r="J333" s="175" t="s">
        <v>165</v>
      </c>
      <c r="K333" s="175">
        <v>12.32</v>
      </c>
      <c r="L333" s="175">
        <v>13.33</v>
      </c>
      <c r="M333" s="175">
        <v>0.51</v>
      </c>
      <c r="N333" s="175">
        <v>65.400000000000006</v>
      </c>
      <c r="O333" s="175" t="s">
        <v>163</v>
      </c>
      <c r="P333" s="175" t="s">
        <v>163</v>
      </c>
      <c r="Q333" s="175"/>
      <c r="R333" s="127">
        <f>IF(Table36[[#This Row],[ Bran Content]]="-","-",IF(G333&lt;0.02,1,0))</f>
        <v>1</v>
      </c>
      <c r="S333" s="127">
        <f>IF(Table36[[#This Row],[Sieve Test]]="-","-",IF(Table36[[#This Row],[Sieve Test]]="P",1,0))</f>
        <v>1</v>
      </c>
      <c r="T333" s="127">
        <f>IF(Table36[[#This Row],[Odor]]="-","-",IF(Table36[[#This Row],[Odor]]="P",1,0))</f>
        <v>1</v>
      </c>
      <c r="U333" s="127">
        <f>IF(INDEX(MCmin,MATCH(Table36[[#This Row],[Grist]],SMI,0))="-","-",IF(Table36[[#This Row],[F1 %MC]]="-","-",IF(Table36[[#This Row],[F1 %MC]]&lt;INDEX(MCmin,MATCH(Table36[[#This Row],[Grist]],SMI,0)),0,IF(Table36[[#This Row],[F1 %MC]]&gt;INDEX(MCmax,MATCH(Table36[[#This Row],[Grist]],SMI,0)),0,1))))</f>
        <v>1</v>
      </c>
      <c r="V333" s="127">
        <f>IF(INDEX(Protmin,MATCH(Table36[[#This Row],[Grist]],SMI,0))="-","-",IF(Table36[[#This Row],[%Protein]]="-","-",IF(Table36[[#This Row],[%Protein]]&lt;INDEX(Protmin,MATCH(Table36[[#This Row],[Grist]],SMI,0)),0,IF(Table36[[#This Row],[%Protein]]&gt;INDEX(Protmax,MATCH(Table36[[#This Row],[Grist]],SMI,0)),0,1))))</f>
        <v>1</v>
      </c>
      <c r="W333" s="127">
        <f>IF(INDEX(Ashmin,MATCH(Table36[[#This Row],[Grist]],SMI,0))="-","-",IF(Table36[[#This Row],[%Ash]]="-","-",IF(Table36[[#This Row],[%Ash]]&lt;INDEX(Ashmin,MATCH(Table36[[#This Row],[Grist]],SMI,0)),0,IF(Table36[[#This Row],[%Ash]]&gt;INDEX(Ashmax,MATCH(Table36[[#This Row],[Grist]],SMI,0)),0,1))))</f>
        <v>1</v>
      </c>
      <c r="X333" s="127">
        <f>IF(INDEX(Absmin,MATCH(Table36[[#This Row],[Grist]],SMI,0))="-","-",IF(Table36[[#This Row],[%Absorption]]="-","-",IF(Table36[[#This Row],[%Absorption]]&lt;INDEX(Absmin,MATCH(Table36[[#This Row],[Grist]],SMI,0)),0,IF(Table36[[#This Row],[%Absorption]]&gt;INDEX(Absmax,MATCH(Table36[[#This Row],[Grist]],SMI,0)),0,1))))</f>
        <v>1</v>
      </c>
      <c r="Y333" s="127" t="str">
        <f>IF(INDEX(Extmin,MATCH(Table36[[#This Row],[Grist]],SMI,0))="-","-",IF(Table36[[#This Row],[%Extensibility]]="-","-",IF(Table36[[#This Row],[%Extensibility]]&lt;INDEX(Extmin,MATCH(Table36[[#This Row],[Grist]],SMI,0)),0,IF(Table36[[#This Row],[%Extensibility]]&gt;INDEX(Extmax,MATCH(Table36[[#This Row],[Grist]],SMI,0)),0,1))))</f>
        <v>-</v>
      </c>
      <c r="Z333" s="127" t="str">
        <f>IF(INDEX(Resmin,MATCH(Table36[[#This Row],[Grist]],SMI,0))="-","-",IF(Table36[[#This Row],[Resistance, max]]="-","-",IF(Table36[[#This Row],[Resistance, max]]&lt;INDEX(Resmin,MATCH(Table36[[#This Row],[Grist]],SMI,0)),0,IF(Table36[[#This Row],[Resistance, max]]&gt;INDEX(Resmax,MATCH(Table36[[#This Row],[Grist]],SMI,0)),0,1))))</f>
        <v>-</v>
      </c>
      <c r="AA333" s="127">
        <f>IF(INDEX(WGmin,MATCH(Table36[[#This Row],[Grist]],SMI,0))="-","-",IF(Table36[[#This Row],[%Wet Gluten]]="-","-",IF(Table36[[#This Row],[%Wet Gluten]]&lt;INDEX(WGmin,MATCH(Table36[[#This Row],[Grist]],SMI,0)),0,IF(Table36[[#This Row],[%Wet Gluten]]&gt;INDEX(WGmax,MATCH(Table36[[#This Row],[Grist]],SMI,0)),0,1))))</f>
        <v>0</v>
      </c>
      <c r="AB333" s="127">
        <f>SUM(Table36[[#This Row],[ QI Bran Content]:[QI WG]])</f>
        <v>7</v>
      </c>
      <c r="AC333" s="127">
        <f>COUNT(Table36[[#This Row],[ QI Bran Content]:[QI WG]])</f>
        <v>8</v>
      </c>
    </row>
    <row r="334" spans="1:29" x14ac:dyDescent="0.35">
      <c r="A334" s="177">
        <v>45328</v>
      </c>
      <c r="B334" s="178">
        <v>45331</v>
      </c>
      <c r="C334" s="178" t="s">
        <v>130</v>
      </c>
      <c r="D334" s="179">
        <v>1.2083333333333299</v>
      </c>
      <c r="E334" s="180" t="s">
        <v>0</v>
      </c>
      <c r="F334" s="181" t="s">
        <v>27</v>
      </c>
      <c r="G334" s="182">
        <v>8.8000000000000005E-3</v>
      </c>
      <c r="H334" s="175" t="s">
        <v>165</v>
      </c>
      <c r="I334" s="175" t="s">
        <v>165</v>
      </c>
      <c r="J334" s="175" t="s">
        <v>165</v>
      </c>
      <c r="K334" s="175">
        <v>12.53</v>
      </c>
      <c r="L334" s="175">
        <v>13.33</v>
      </c>
      <c r="M334" s="175">
        <v>0.51</v>
      </c>
      <c r="N334" s="175">
        <v>65.400000000000006</v>
      </c>
      <c r="O334" s="175" t="s">
        <v>163</v>
      </c>
      <c r="P334" s="175" t="s">
        <v>163</v>
      </c>
      <c r="Q334" s="175"/>
      <c r="R334" s="127">
        <f>IF(Table36[[#This Row],[ Bran Content]]="-","-",IF(G334&lt;0.02,1,0))</f>
        <v>1</v>
      </c>
      <c r="S334" s="127">
        <f>IF(Table36[[#This Row],[Sieve Test]]="-","-",IF(Table36[[#This Row],[Sieve Test]]="P",1,0))</f>
        <v>1</v>
      </c>
      <c r="T334" s="127">
        <f>IF(Table36[[#This Row],[Odor]]="-","-",IF(Table36[[#This Row],[Odor]]="P",1,0))</f>
        <v>1</v>
      </c>
      <c r="U334" s="127">
        <f>IF(INDEX(MCmin,MATCH(Table36[[#This Row],[Grist]],SMI,0))="-","-",IF(Table36[[#This Row],[F1 %MC]]="-","-",IF(Table36[[#This Row],[F1 %MC]]&lt;INDEX(MCmin,MATCH(Table36[[#This Row],[Grist]],SMI,0)),0,IF(Table36[[#This Row],[F1 %MC]]&gt;INDEX(MCmax,MATCH(Table36[[#This Row],[Grist]],SMI,0)),0,1))))</f>
        <v>1</v>
      </c>
      <c r="V334" s="127">
        <f>IF(INDEX(Protmin,MATCH(Table36[[#This Row],[Grist]],SMI,0))="-","-",IF(Table36[[#This Row],[%Protein]]="-","-",IF(Table36[[#This Row],[%Protein]]&lt;INDEX(Protmin,MATCH(Table36[[#This Row],[Grist]],SMI,0)),0,IF(Table36[[#This Row],[%Protein]]&gt;INDEX(Protmax,MATCH(Table36[[#This Row],[Grist]],SMI,0)),0,1))))</f>
        <v>1</v>
      </c>
      <c r="W334" s="127">
        <f>IF(INDEX(Ashmin,MATCH(Table36[[#This Row],[Grist]],SMI,0))="-","-",IF(Table36[[#This Row],[%Ash]]="-","-",IF(Table36[[#This Row],[%Ash]]&lt;INDEX(Ashmin,MATCH(Table36[[#This Row],[Grist]],SMI,0)),0,IF(Table36[[#This Row],[%Ash]]&gt;INDEX(Ashmax,MATCH(Table36[[#This Row],[Grist]],SMI,0)),0,1))))</f>
        <v>1</v>
      </c>
      <c r="X334" s="127">
        <f>IF(INDEX(Absmin,MATCH(Table36[[#This Row],[Grist]],SMI,0))="-","-",IF(Table36[[#This Row],[%Absorption]]="-","-",IF(Table36[[#This Row],[%Absorption]]&lt;INDEX(Absmin,MATCH(Table36[[#This Row],[Grist]],SMI,0)),0,IF(Table36[[#This Row],[%Absorption]]&gt;INDEX(Absmax,MATCH(Table36[[#This Row],[Grist]],SMI,0)),0,1))))</f>
        <v>1</v>
      </c>
      <c r="Y334" s="127" t="str">
        <f>IF(INDEX(Extmin,MATCH(Table36[[#This Row],[Grist]],SMI,0))="-","-",IF(Table36[[#This Row],[%Extensibility]]="-","-",IF(Table36[[#This Row],[%Extensibility]]&lt;INDEX(Extmin,MATCH(Table36[[#This Row],[Grist]],SMI,0)),0,IF(Table36[[#This Row],[%Extensibility]]&gt;INDEX(Extmax,MATCH(Table36[[#This Row],[Grist]],SMI,0)),0,1))))</f>
        <v>-</v>
      </c>
      <c r="Z334" s="127" t="str">
        <f>IF(INDEX(Resmin,MATCH(Table36[[#This Row],[Grist]],SMI,0))="-","-",IF(Table36[[#This Row],[Resistance, max]]="-","-",IF(Table36[[#This Row],[Resistance, max]]&lt;INDEX(Resmin,MATCH(Table36[[#This Row],[Grist]],SMI,0)),0,IF(Table36[[#This Row],[Resistance, max]]&gt;INDEX(Resmax,MATCH(Table36[[#This Row],[Grist]],SMI,0)),0,1))))</f>
        <v>-</v>
      </c>
      <c r="AA334" s="127">
        <f>IF(INDEX(WGmin,MATCH(Table36[[#This Row],[Grist]],SMI,0))="-","-",IF(Table36[[#This Row],[%Wet Gluten]]="-","-",IF(Table36[[#This Row],[%Wet Gluten]]&lt;INDEX(WGmin,MATCH(Table36[[#This Row],[Grist]],SMI,0)),0,IF(Table36[[#This Row],[%Wet Gluten]]&gt;INDEX(WGmax,MATCH(Table36[[#This Row],[Grist]],SMI,0)),0,1))))</f>
        <v>0</v>
      </c>
      <c r="AB334" s="127">
        <f>SUM(Table36[[#This Row],[ QI Bran Content]:[QI WG]])</f>
        <v>7</v>
      </c>
      <c r="AC334" s="127">
        <f>COUNT(Table36[[#This Row],[ QI Bran Content]:[QI WG]])</f>
        <v>8</v>
      </c>
    </row>
    <row r="335" spans="1:29" x14ac:dyDescent="0.35">
      <c r="A335" s="177">
        <v>45328</v>
      </c>
      <c r="B335" s="178">
        <v>45332</v>
      </c>
      <c r="C335" s="178" t="s">
        <v>125</v>
      </c>
      <c r="D335" s="179" t="s">
        <v>239</v>
      </c>
      <c r="E335" s="180" t="s">
        <v>0</v>
      </c>
      <c r="F335" s="181" t="s">
        <v>27</v>
      </c>
      <c r="G335" s="182">
        <v>1.26E-2</v>
      </c>
      <c r="H335" s="175" t="s">
        <v>165</v>
      </c>
      <c r="I335" s="175" t="s">
        <v>165</v>
      </c>
      <c r="J335" s="175" t="s">
        <v>165</v>
      </c>
      <c r="K335" s="175">
        <v>12.18</v>
      </c>
      <c r="L335" s="175" t="s">
        <v>163</v>
      </c>
      <c r="M335" s="175" t="s">
        <v>163</v>
      </c>
      <c r="N335" s="175" t="s">
        <v>163</v>
      </c>
      <c r="O335" s="175" t="s">
        <v>163</v>
      </c>
      <c r="P335" s="175" t="s">
        <v>163</v>
      </c>
      <c r="Q335" s="175"/>
      <c r="R335" s="127">
        <f>IF(Table36[[#This Row],[ Bran Content]]="-","-",IF(G335&lt;0.02,1,0))</f>
        <v>1</v>
      </c>
      <c r="S335" s="127">
        <f>IF(Table36[[#This Row],[Sieve Test]]="-","-",IF(Table36[[#This Row],[Sieve Test]]="P",1,0))</f>
        <v>1</v>
      </c>
      <c r="T335" s="127">
        <f>IF(Table36[[#This Row],[Odor]]="-","-",IF(Table36[[#This Row],[Odor]]="P",1,0))</f>
        <v>1</v>
      </c>
      <c r="U335" s="127">
        <f>IF(INDEX(MCmin,MATCH(Table36[[#This Row],[Grist]],SMI,0))="-","-",IF(Table36[[#This Row],[F1 %MC]]="-","-",IF(Table36[[#This Row],[F1 %MC]]&lt;INDEX(MCmin,MATCH(Table36[[#This Row],[Grist]],SMI,0)),0,IF(Table36[[#This Row],[F1 %MC]]&gt;INDEX(MCmax,MATCH(Table36[[#This Row],[Grist]],SMI,0)),0,1))))</f>
        <v>1</v>
      </c>
      <c r="V335" s="127" t="str">
        <f>IF(INDEX(Protmin,MATCH(Table36[[#This Row],[Grist]],SMI,0))="-","-",IF(Table36[[#This Row],[%Protein]]="-","-",IF(Table36[[#This Row],[%Protein]]&lt;INDEX(Protmin,MATCH(Table36[[#This Row],[Grist]],SMI,0)),0,IF(Table36[[#This Row],[%Protein]]&gt;INDEX(Protmax,MATCH(Table36[[#This Row],[Grist]],SMI,0)),0,1))))</f>
        <v>-</v>
      </c>
      <c r="W335" s="127" t="str">
        <f>IF(INDEX(Ashmin,MATCH(Table36[[#This Row],[Grist]],SMI,0))="-","-",IF(Table36[[#This Row],[%Ash]]="-","-",IF(Table36[[#This Row],[%Ash]]&lt;INDEX(Ashmin,MATCH(Table36[[#This Row],[Grist]],SMI,0)),0,IF(Table36[[#This Row],[%Ash]]&gt;INDEX(Ashmax,MATCH(Table36[[#This Row],[Grist]],SMI,0)),0,1))))</f>
        <v>-</v>
      </c>
      <c r="X335" s="127" t="str">
        <f>IF(INDEX(Absmin,MATCH(Table36[[#This Row],[Grist]],SMI,0))="-","-",IF(Table36[[#This Row],[%Absorption]]="-","-",IF(Table36[[#This Row],[%Absorption]]&lt;INDEX(Absmin,MATCH(Table36[[#This Row],[Grist]],SMI,0)),0,IF(Table36[[#This Row],[%Absorption]]&gt;INDEX(Absmax,MATCH(Table36[[#This Row],[Grist]],SMI,0)),0,1))))</f>
        <v>-</v>
      </c>
      <c r="Y335" s="127" t="str">
        <f>IF(INDEX(Extmin,MATCH(Table36[[#This Row],[Grist]],SMI,0))="-","-",IF(Table36[[#This Row],[%Extensibility]]="-","-",IF(Table36[[#This Row],[%Extensibility]]&lt;INDEX(Extmin,MATCH(Table36[[#This Row],[Grist]],SMI,0)),0,IF(Table36[[#This Row],[%Extensibility]]&gt;INDEX(Extmax,MATCH(Table36[[#This Row],[Grist]],SMI,0)),0,1))))</f>
        <v>-</v>
      </c>
      <c r="Z335" s="127" t="str">
        <f>IF(INDEX(Resmin,MATCH(Table36[[#This Row],[Grist]],SMI,0))="-","-",IF(Table36[[#This Row],[Resistance, max]]="-","-",IF(Table36[[#This Row],[Resistance, max]]&lt;INDEX(Resmin,MATCH(Table36[[#This Row],[Grist]],SMI,0)),0,IF(Table36[[#This Row],[Resistance, max]]&gt;INDEX(Resmax,MATCH(Table36[[#This Row],[Grist]],SMI,0)),0,1))))</f>
        <v>-</v>
      </c>
      <c r="AA335" s="127">
        <f>IF(INDEX(WGmin,MATCH(Table36[[#This Row],[Grist]],SMI,0))="-","-",IF(Table36[[#This Row],[%Wet Gluten]]="-","-",IF(Table36[[#This Row],[%Wet Gluten]]&lt;INDEX(WGmin,MATCH(Table36[[#This Row],[Grist]],SMI,0)),0,IF(Table36[[#This Row],[%Wet Gluten]]&gt;INDEX(WGmax,MATCH(Table36[[#This Row],[Grist]],SMI,0)),0,1))))</f>
        <v>0</v>
      </c>
      <c r="AB335" s="127">
        <f>SUM(Table36[[#This Row],[ QI Bran Content]:[QI WG]])</f>
        <v>4</v>
      </c>
      <c r="AC335" s="127">
        <f>COUNT(Table36[[#This Row],[ QI Bran Content]:[QI WG]])</f>
        <v>5</v>
      </c>
    </row>
    <row r="336" spans="1:29" x14ac:dyDescent="0.35">
      <c r="A336" s="177">
        <v>45328</v>
      </c>
      <c r="B336" s="178">
        <v>45332</v>
      </c>
      <c r="C336" s="178" t="s">
        <v>125</v>
      </c>
      <c r="D336" s="179" t="s">
        <v>240</v>
      </c>
      <c r="E336" s="180" t="s">
        <v>0</v>
      </c>
      <c r="F336" s="181" t="s">
        <v>27</v>
      </c>
      <c r="G336" s="182">
        <v>8.6999999999999994E-3</v>
      </c>
      <c r="H336" s="175" t="s">
        <v>165</v>
      </c>
      <c r="I336" s="175" t="s">
        <v>165</v>
      </c>
      <c r="J336" s="175" t="s">
        <v>165</v>
      </c>
      <c r="K336" s="175">
        <v>12.32</v>
      </c>
      <c r="L336" s="175" t="s">
        <v>163</v>
      </c>
      <c r="M336" s="175" t="s">
        <v>163</v>
      </c>
      <c r="N336" s="175" t="s">
        <v>163</v>
      </c>
      <c r="O336" s="175" t="s">
        <v>163</v>
      </c>
      <c r="P336" s="175" t="s">
        <v>163</v>
      </c>
      <c r="Q336" s="175"/>
      <c r="R336" s="127">
        <f>IF(Table36[[#This Row],[ Bran Content]]="-","-",IF(G336&lt;0.02,1,0))</f>
        <v>1</v>
      </c>
      <c r="S336" s="127">
        <f>IF(Table36[[#This Row],[Sieve Test]]="-","-",IF(Table36[[#This Row],[Sieve Test]]="P",1,0))</f>
        <v>1</v>
      </c>
      <c r="T336" s="127">
        <f>IF(Table36[[#This Row],[Odor]]="-","-",IF(Table36[[#This Row],[Odor]]="P",1,0))</f>
        <v>1</v>
      </c>
      <c r="U336" s="127">
        <f>IF(INDEX(MCmin,MATCH(Table36[[#This Row],[Grist]],SMI,0))="-","-",IF(Table36[[#This Row],[F1 %MC]]="-","-",IF(Table36[[#This Row],[F1 %MC]]&lt;INDEX(MCmin,MATCH(Table36[[#This Row],[Grist]],SMI,0)),0,IF(Table36[[#This Row],[F1 %MC]]&gt;INDEX(MCmax,MATCH(Table36[[#This Row],[Grist]],SMI,0)),0,1))))</f>
        <v>1</v>
      </c>
      <c r="V336" s="127" t="str">
        <f>IF(INDEX(Protmin,MATCH(Table36[[#This Row],[Grist]],SMI,0))="-","-",IF(Table36[[#This Row],[%Protein]]="-","-",IF(Table36[[#This Row],[%Protein]]&lt;INDEX(Protmin,MATCH(Table36[[#This Row],[Grist]],SMI,0)),0,IF(Table36[[#This Row],[%Protein]]&gt;INDEX(Protmax,MATCH(Table36[[#This Row],[Grist]],SMI,0)),0,1))))</f>
        <v>-</v>
      </c>
      <c r="W336" s="127" t="str">
        <f>IF(INDEX(Ashmin,MATCH(Table36[[#This Row],[Grist]],SMI,0))="-","-",IF(Table36[[#This Row],[%Ash]]="-","-",IF(Table36[[#This Row],[%Ash]]&lt;INDEX(Ashmin,MATCH(Table36[[#This Row],[Grist]],SMI,0)),0,IF(Table36[[#This Row],[%Ash]]&gt;INDEX(Ashmax,MATCH(Table36[[#This Row],[Grist]],SMI,0)),0,1))))</f>
        <v>-</v>
      </c>
      <c r="X336" s="127" t="str">
        <f>IF(INDEX(Absmin,MATCH(Table36[[#This Row],[Grist]],SMI,0))="-","-",IF(Table36[[#This Row],[%Absorption]]="-","-",IF(Table36[[#This Row],[%Absorption]]&lt;INDEX(Absmin,MATCH(Table36[[#This Row],[Grist]],SMI,0)),0,IF(Table36[[#This Row],[%Absorption]]&gt;INDEX(Absmax,MATCH(Table36[[#This Row],[Grist]],SMI,0)),0,1))))</f>
        <v>-</v>
      </c>
      <c r="Y336" s="127" t="str">
        <f>IF(INDEX(Extmin,MATCH(Table36[[#This Row],[Grist]],SMI,0))="-","-",IF(Table36[[#This Row],[%Extensibility]]="-","-",IF(Table36[[#This Row],[%Extensibility]]&lt;INDEX(Extmin,MATCH(Table36[[#This Row],[Grist]],SMI,0)),0,IF(Table36[[#This Row],[%Extensibility]]&gt;INDEX(Extmax,MATCH(Table36[[#This Row],[Grist]],SMI,0)),0,1))))</f>
        <v>-</v>
      </c>
      <c r="Z336" s="127" t="str">
        <f>IF(INDEX(Resmin,MATCH(Table36[[#This Row],[Grist]],SMI,0))="-","-",IF(Table36[[#This Row],[Resistance, max]]="-","-",IF(Table36[[#This Row],[Resistance, max]]&lt;INDEX(Resmin,MATCH(Table36[[#This Row],[Grist]],SMI,0)),0,IF(Table36[[#This Row],[Resistance, max]]&gt;INDEX(Resmax,MATCH(Table36[[#This Row],[Grist]],SMI,0)),0,1))))</f>
        <v>-</v>
      </c>
      <c r="AA336" s="127">
        <f>IF(INDEX(WGmin,MATCH(Table36[[#This Row],[Grist]],SMI,0))="-","-",IF(Table36[[#This Row],[%Wet Gluten]]="-","-",IF(Table36[[#This Row],[%Wet Gluten]]&lt;INDEX(WGmin,MATCH(Table36[[#This Row],[Grist]],SMI,0)),0,IF(Table36[[#This Row],[%Wet Gluten]]&gt;INDEX(WGmax,MATCH(Table36[[#This Row],[Grist]],SMI,0)),0,1))))</f>
        <v>0</v>
      </c>
      <c r="AB336" s="127">
        <f>SUM(Table36[[#This Row],[ QI Bran Content]:[QI WG]])</f>
        <v>4</v>
      </c>
      <c r="AC336" s="127">
        <f>COUNT(Table36[[#This Row],[ QI Bran Content]:[QI WG]])</f>
        <v>5</v>
      </c>
    </row>
    <row r="337" spans="1:29" x14ac:dyDescent="0.35">
      <c r="A337" s="177">
        <v>45328</v>
      </c>
      <c r="B337" s="178">
        <v>45325</v>
      </c>
      <c r="C337" s="178" t="s">
        <v>130</v>
      </c>
      <c r="D337" s="179">
        <v>0.95833333333333337</v>
      </c>
      <c r="E337" s="180" t="s">
        <v>0</v>
      </c>
      <c r="F337" s="181" t="s">
        <v>40</v>
      </c>
      <c r="G337" s="182">
        <v>4.7999999999999996E-3</v>
      </c>
      <c r="H337" s="175" t="s">
        <v>165</v>
      </c>
      <c r="I337" s="175" t="s">
        <v>165</v>
      </c>
      <c r="J337" s="175" t="s">
        <v>165</v>
      </c>
      <c r="K337" s="175">
        <v>13.05</v>
      </c>
      <c r="L337" s="175" t="s">
        <v>163</v>
      </c>
      <c r="M337" s="175" t="s">
        <v>163</v>
      </c>
      <c r="N337" s="175" t="s">
        <v>163</v>
      </c>
      <c r="O337" s="175" t="s">
        <v>163</v>
      </c>
      <c r="P337" s="175" t="s">
        <v>163</v>
      </c>
      <c r="Q337" s="175"/>
      <c r="R337" s="127">
        <f>IF(Table36[[#This Row],[ Bran Content]]="-","-",IF(G337&lt;0.02,1,0))</f>
        <v>1</v>
      </c>
      <c r="S337" s="127">
        <f>IF(Table36[[#This Row],[Sieve Test]]="-","-",IF(Table36[[#This Row],[Sieve Test]]="P",1,0))</f>
        <v>1</v>
      </c>
      <c r="T337" s="127">
        <f>IF(Table36[[#This Row],[Odor]]="-","-",IF(Table36[[#This Row],[Odor]]="P",1,0))</f>
        <v>1</v>
      </c>
      <c r="U337" s="127">
        <f>IF(INDEX(MCmin,MATCH(Table36[[#This Row],[Grist]],SMI,0))="-","-",IF(Table36[[#This Row],[F1 %MC]]="-","-",IF(Table36[[#This Row],[F1 %MC]]&lt;INDEX(MCmin,MATCH(Table36[[#This Row],[Grist]],SMI,0)),0,IF(Table36[[#This Row],[F1 %MC]]&gt;INDEX(MCmax,MATCH(Table36[[#This Row],[Grist]],SMI,0)),0,1))))</f>
        <v>1</v>
      </c>
      <c r="V337" s="127" t="str">
        <f>IF(INDEX(Protmin,MATCH(Table36[[#This Row],[Grist]],SMI,0))="-","-",IF(Table36[[#This Row],[%Protein]]="-","-",IF(Table36[[#This Row],[%Protein]]&lt;INDEX(Protmin,MATCH(Table36[[#This Row],[Grist]],SMI,0)),0,IF(Table36[[#This Row],[%Protein]]&gt;INDEX(Protmax,MATCH(Table36[[#This Row],[Grist]],SMI,0)),0,1))))</f>
        <v>-</v>
      </c>
      <c r="W337" s="127" t="str">
        <f>IF(INDEX(Ashmin,MATCH(Table36[[#This Row],[Grist]],SMI,0))="-","-",IF(Table36[[#This Row],[%Ash]]="-","-",IF(Table36[[#This Row],[%Ash]]&lt;INDEX(Ashmin,MATCH(Table36[[#This Row],[Grist]],SMI,0)),0,IF(Table36[[#This Row],[%Ash]]&gt;INDEX(Ashmax,MATCH(Table36[[#This Row],[Grist]],SMI,0)),0,1))))</f>
        <v>-</v>
      </c>
      <c r="X337" s="127" t="str">
        <f>IF(INDEX(Absmin,MATCH(Table36[[#This Row],[Grist]],SMI,0))="-","-",IF(Table36[[#This Row],[%Absorption]]="-","-",IF(Table36[[#This Row],[%Absorption]]&lt;INDEX(Absmin,MATCH(Table36[[#This Row],[Grist]],SMI,0)),0,IF(Table36[[#This Row],[%Absorption]]&gt;INDEX(Absmax,MATCH(Table36[[#This Row],[Grist]],SMI,0)),0,1))))</f>
        <v>-</v>
      </c>
      <c r="Y337" s="127" t="str">
        <f>IF(INDEX(Extmin,MATCH(Table36[[#This Row],[Grist]],SMI,0))="-","-",IF(Table36[[#This Row],[%Extensibility]]="-","-",IF(Table36[[#This Row],[%Extensibility]]&lt;INDEX(Extmin,MATCH(Table36[[#This Row],[Grist]],SMI,0)),0,IF(Table36[[#This Row],[%Extensibility]]&gt;INDEX(Extmax,MATCH(Table36[[#This Row],[Grist]],SMI,0)),0,1))))</f>
        <v>-</v>
      </c>
      <c r="Z337" s="127" t="str">
        <f>IF(INDEX(Resmin,MATCH(Table36[[#This Row],[Grist]],SMI,0))="-","-",IF(Table36[[#This Row],[Resistance, max]]="-","-",IF(Table36[[#This Row],[Resistance, max]]&lt;INDEX(Resmin,MATCH(Table36[[#This Row],[Grist]],SMI,0)),0,IF(Table36[[#This Row],[Resistance, max]]&gt;INDEX(Resmax,MATCH(Table36[[#This Row],[Grist]],SMI,0)),0,1))))</f>
        <v>-</v>
      </c>
      <c r="AA337" s="127">
        <f>IF(INDEX(WGmin,MATCH(Table36[[#This Row],[Grist]],SMI,0))="-","-",IF(Table36[[#This Row],[%Wet Gluten]]="-","-",IF(Table36[[#This Row],[%Wet Gluten]]&lt;INDEX(WGmin,MATCH(Table36[[#This Row],[Grist]],SMI,0)),0,IF(Table36[[#This Row],[%Wet Gluten]]&gt;INDEX(WGmax,MATCH(Table36[[#This Row],[Grist]],SMI,0)),0,1))))</f>
        <v>0</v>
      </c>
      <c r="AB337" s="127">
        <f>SUM(Table36[[#This Row],[ QI Bran Content]:[QI WG]])</f>
        <v>4</v>
      </c>
      <c r="AC337" s="127">
        <f>COUNT(Table36[[#This Row],[ QI Bran Content]:[QI WG]])</f>
        <v>5</v>
      </c>
    </row>
    <row r="338" spans="1:29" x14ac:dyDescent="0.35">
      <c r="A338" s="177">
        <v>45328</v>
      </c>
      <c r="B338" s="178">
        <v>45325</v>
      </c>
      <c r="C338" s="178" t="s">
        <v>130</v>
      </c>
      <c r="D338" s="179">
        <v>1.0416666666666701</v>
      </c>
      <c r="E338" s="180" t="s">
        <v>0</v>
      </c>
      <c r="F338" s="181" t="s">
        <v>27</v>
      </c>
      <c r="G338" s="182">
        <v>4.4999999999999997E-3</v>
      </c>
      <c r="H338" s="175" t="s">
        <v>165</v>
      </c>
      <c r="I338" s="175" t="s">
        <v>165</v>
      </c>
      <c r="J338" s="175" t="s">
        <v>165</v>
      </c>
      <c r="K338" s="175">
        <v>13.09</v>
      </c>
      <c r="L338" s="175">
        <v>13.5</v>
      </c>
      <c r="M338" s="175">
        <v>0.55000000000000004</v>
      </c>
      <c r="N338" s="175">
        <v>65.400000000000006</v>
      </c>
      <c r="O338" s="175" t="s">
        <v>163</v>
      </c>
      <c r="P338" s="175" t="s">
        <v>163</v>
      </c>
      <c r="Q338" s="175"/>
      <c r="R338" s="127">
        <f>IF(Table36[[#This Row],[ Bran Content]]="-","-",IF(G338&lt;0.02,1,0))</f>
        <v>1</v>
      </c>
      <c r="S338" s="127">
        <f>IF(Table36[[#This Row],[Sieve Test]]="-","-",IF(Table36[[#This Row],[Sieve Test]]="P",1,0))</f>
        <v>1</v>
      </c>
      <c r="T338" s="127">
        <f>IF(Table36[[#This Row],[Odor]]="-","-",IF(Table36[[#This Row],[Odor]]="P",1,0))</f>
        <v>1</v>
      </c>
      <c r="U338" s="127">
        <f>IF(INDEX(MCmin,MATCH(Table36[[#This Row],[Grist]],SMI,0))="-","-",IF(Table36[[#This Row],[F1 %MC]]="-","-",IF(Table36[[#This Row],[F1 %MC]]&lt;INDEX(MCmin,MATCH(Table36[[#This Row],[Grist]],SMI,0)),0,IF(Table36[[#This Row],[F1 %MC]]&gt;INDEX(MCmax,MATCH(Table36[[#This Row],[Grist]],SMI,0)),0,1))))</f>
        <v>1</v>
      </c>
      <c r="V338" s="127">
        <f>IF(INDEX(Protmin,MATCH(Table36[[#This Row],[Grist]],SMI,0))="-","-",IF(Table36[[#This Row],[%Protein]]="-","-",IF(Table36[[#This Row],[%Protein]]&lt;INDEX(Protmin,MATCH(Table36[[#This Row],[Grist]],SMI,0)),0,IF(Table36[[#This Row],[%Protein]]&gt;INDEX(Protmax,MATCH(Table36[[#This Row],[Grist]],SMI,0)),0,1))))</f>
        <v>1</v>
      </c>
      <c r="W338" s="127">
        <f>IF(INDEX(Ashmin,MATCH(Table36[[#This Row],[Grist]],SMI,0))="-","-",IF(Table36[[#This Row],[%Ash]]="-","-",IF(Table36[[#This Row],[%Ash]]&lt;INDEX(Ashmin,MATCH(Table36[[#This Row],[Grist]],SMI,0)),0,IF(Table36[[#This Row],[%Ash]]&gt;INDEX(Ashmax,MATCH(Table36[[#This Row],[Grist]],SMI,0)),0,1))))</f>
        <v>1</v>
      </c>
      <c r="X338" s="127">
        <f>IF(INDEX(Absmin,MATCH(Table36[[#This Row],[Grist]],SMI,0))="-","-",IF(Table36[[#This Row],[%Absorption]]="-","-",IF(Table36[[#This Row],[%Absorption]]&lt;INDEX(Absmin,MATCH(Table36[[#This Row],[Grist]],SMI,0)),0,IF(Table36[[#This Row],[%Absorption]]&gt;INDEX(Absmax,MATCH(Table36[[#This Row],[Grist]],SMI,0)),0,1))))</f>
        <v>1</v>
      </c>
      <c r="Y338" s="127" t="str">
        <f>IF(INDEX(Extmin,MATCH(Table36[[#This Row],[Grist]],SMI,0))="-","-",IF(Table36[[#This Row],[%Extensibility]]="-","-",IF(Table36[[#This Row],[%Extensibility]]&lt;INDEX(Extmin,MATCH(Table36[[#This Row],[Grist]],SMI,0)),0,IF(Table36[[#This Row],[%Extensibility]]&gt;INDEX(Extmax,MATCH(Table36[[#This Row],[Grist]],SMI,0)),0,1))))</f>
        <v>-</v>
      </c>
      <c r="Z338" s="127" t="str">
        <f>IF(INDEX(Resmin,MATCH(Table36[[#This Row],[Grist]],SMI,0))="-","-",IF(Table36[[#This Row],[Resistance, max]]="-","-",IF(Table36[[#This Row],[Resistance, max]]&lt;INDEX(Resmin,MATCH(Table36[[#This Row],[Grist]],SMI,0)),0,IF(Table36[[#This Row],[Resistance, max]]&gt;INDEX(Resmax,MATCH(Table36[[#This Row],[Grist]],SMI,0)),0,1))))</f>
        <v>-</v>
      </c>
      <c r="AA338" s="127">
        <f>IF(INDEX(WGmin,MATCH(Table36[[#This Row],[Grist]],SMI,0))="-","-",IF(Table36[[#This Row],[%Wet Gluten]]="-","-",IF(Table36[[#This Row],[%Wet Gluten]]&lt;INDEX(WGmin,MATCH(Table36[[#This Row],[Grist]],SMI,0)),0,IF(Table36[[#This Row],[%Wet Gluten]]&gt;INDEX(WGmax,MATCH(Table36[[#This Row],[Grist]],SMI,0)),0,1))))</f>
        <v>0</v>
      </c>
      <c r="AB338" s="127">
        <f>SUM(Table36[[#This Row],[ QI Bran Content]:[QI WG]])</f>
        <v>7</v>
      </c>
      <c r="AC338" s="127">
        <f>COUNT(Table36[[#This Row],[ QI Bran Content]:[QI WG]])</f>
        <v>8</v>
      </c>
    </row>
    <row r="339" spans="1:29" x14ac:dyDescent="0.35">
      <c r="A339" s="177">
        <v>45328</v>
      </c>
      <c r="B339" s="178">
        <v>45325</v>
      </c>
      <c r="C339" s="178" t="s">
        <v>130</v>
      </c>
      <c r="D339" s="179">
        <v>1.125</v>
      </c>
      <c r="E339" s="180" t="s">
        <v>0</v>
      </c>
      <c r="F339" s="181" t="s">
        <v>27</v>
      </c>
      <c r="G339" s="182">
        <v>1.18E-2</v>
      </c>
      <c r="H339" s="175" t="s">
        <v>165</v>
      </c>
      <c r="I339" s="175" t="s">
        <v>165</v>
      </c>
      <c r="J339" s="175" t="s">
        <v>165</v>
      </c>
      <c r="K339" s="175">
        <v>12.21</v>
      </c>
      <c r="L339" s="175" t="s">
        <v>163</v>
      </c>
      <c r="M339" s="175" t="s">
        <v>163</v>
      </c>
      <c r="N339" s="175" t="s">
        <v>163</v>
      </c>
      <c r="O339" s="175" t="s">
        <v>163</v>
      </c>
      <c r="P339" s="175" t="s">
        <v>163</v>
      </c>
      <c r="Q339" s="175"/>
      <c r="R339" s="127">
        <f>IF(Table36[[#This Row],[ Bran Content]]="-","-",IF(G339&lt;0.02,1,0))</f>
        <v>1</v>
      </c>
      <c r="S339" s="127">
        <f>IF(Table36[[#This Row],[Sieve Test]]="-","-",IF(Table36[[#This Row],[Sieve Test]]="P",1,0))</f>
        <v>1</v>
      </c>
      <c r="T339" s="127">
        <f>IF(Table36[[#This Row],[Odor]]="-","-",IF(Table36[[#This Row],[Odor]]="P",1,0))</f>
        <v>1</v>
      </c>
      <c r="U339" s="127">
        <f>IF(INDEX(MCmin,MATCH(Table36[[#This Row],[Grist]],SMI,0))="-","-",IF(Table36[[#This Row],[F1 %MC]]="-","-",IF(Table36[[#This Row],[F1 %MC]]&lt;INDEX(MCmin,MATCH(Table36[[#This Row],[Grist]],SMI,0)),0,IF(Table36[[#This Row],[F1 %MC]]&gt;INDEX(MCmax,MATCH(Table36[[#This Row],[Grist]],SMI,0)),0,1))))</f>
        <v>1</v>
      </c>
      <c r="V339" s="127" t="str">
        <f>IF(INDEX(Protmin,MATCH(Table36[[#This Row],[Grist]],SMI,0))="-","-",IF(Table36[[#This Row],[%Protein]]="-","-",IF(Table36[[#This Row],[%Protein]]&lt;INDEX(Protmin,MATCH(Table36[[#This Row],[Grist]],SMI,0)),0,IF(Table36[[#This Row],[%Protein]]&gt;INDEX(Protmax,MATCH(Table36[[#This Row],[Grist]],SMI,0)),0,1))))</f>
        <v>-</v>
      </c>
      <c r="W339" s="127" t="str">
        <f>IF(INDEX(Ashmin,MATCH(Table36[[#This Row],[Grist]],SMI,0))="-","-",IF(Table36[[#This Row],[%Ash]]="-","-",IF(Table36[[#This Row],[%Ash]]&lt;INDEX(Ashmin,MATCH(Table36[[#This Row],[Grist]],SMI,0)),0,IF(Table36[[#This Row],[%Ash]]&gt;INDEX(Ashmax,MATCH(Table36[[#This Row],[Grist]],SMI,0)),0,1))))</f>
        <v>-</v>
      </c>
      <c r="X339" s="127" t="str">
        <f>IF(INDEX(Absmin,MATCH(Table36[[#This Row],[Grist]],SMI,0))="-","-",IF(Table36[[#This Row],[%Absorption]]="-","-",IF(Table36[[#This Row],[%Absorption]]&lt;INDEX(Absmin,MATCH(Table36[[#This Row],[Grist]],SMI,0)),0,IF(Table36[[#This Row],[%Absorption]]&gt;INDEX(Absmax,MATCH(Table36[[#This Row],[Grist]],SMI,0)),0,1))))</f>
        <v>-</v>
      </c>
      <c r="Y339" s="127" t="str">
        <f>IF(INDEX(Extmin,MATCH(Table36[[#This Row],[Grist]],SMI,0))="-","-",IF(Table36[[#This Row],[%Extensibility]]="-","-",IF(Table36[[#This Row],[%Extensibility]]&lt;INDEX(Extmin,MATCH(Table36[[#This Row],[Grist]],SMI,0)),0,IF(Table36[[#This Row],[%Extensibility]]&gt;INDEX(Extmax,MATCH(Table36[[#This Row],[Grist]],SMI,0)),0,1))))</f>
        <v>-</v>
      </c>
      <c r="Z339" s="127" t="str">
        <f>IF(INDEX(Resmin,MATCH(Table36[[#This Row],[Grist]],SMI,0))="-","-",IF(Table36[[#This Row],[Resistance, max]]="-","-",IF(Table36[[#This Row],[Resistance, max]]&lt;INDEX(Resmin,MATCH(Table36[[#This Row],[Grist]],SMI,0)),0,IF(Table36[[#This Row],[Resistance, max]]&gt;INDEX(Resmax,MATCH(Table36[[#This Row],[Grist]],SMI,0)),0,1))))</f>
        <v>-</v>
      </c>
      <c r="AA339" s="127">
        <f>IF(INDEX(WGmin,MATCH(Table36[[#This Row],[Grist]],SMI,0))="-","-",IF(Table36[[#This Row],[%Wet Gluten]]="-","-",IF(Table36[[#This Row],[%Wet Gluten]]&lt;INDEX(WGmin,MATCH(Table36[[#This Row],[Grist]],SMI,0)),0,IF(Table36[[#This Row],[%Wet Gluten]]&gt;INDEX(WGmax,MATCH(Table36[[#This Row],[Grist]],SMI,0)),0,1))))</f>
        <v>0</v>
      </c>
      <c r="AB339" s="127">
        <f>SUM(Table36[[#This Row],[ QI Bran Content]:[QI WG]])</f>
        <v>4</v>
      </c>
      <c r="AC339" s="127">
        <f>COUNT(Table36[[#This Row],[ QI Bran Content]:[QI WG]])</f>
        <v>5</v>
      </c>
    </row>
    <row r="340" spans="1:29" x14ac:dyDescent="0.35">
      <c r="A340" s="177">
        <v>45328</v>
      </c>
      <c r="B340" s="178">
        <v>45325</v>
      </c>
      <c r="C340" s="178" t="s">
        <v>130</v>
      </c>
      <c r="D340" s="179">
        <v>0.95833333333333337</v>
      </c>
      <c r="E340" s="180" t="s">
        <v>1</v>
      </c>
      <c r="F340" s="181" t="s">
        <v>241</v>
      </c>
      <c r="G340" s="182">
        <v>4.1099999999999998E-2</v>
      </c>
      <c r="H340" s="175" t="s">
        <v>163</v>
      </c>
      <c r="I340" s="175" t="s">
        <v>163</v>
      </c>
      <c r="J340" s="175" t="s">
        <v>163</v>
      </c>
      <c r="K340" s="175">
        <v>12.03</v>
      </c>
      <c r="L340" s="175" t="s">
        <v>163</v>
      </c>
      <c r="M340" s="175" t="s">
        <v>163</v>
      </c>
      <c r="N340" s="175" t="s">
        <v>163</v>
      </c>
      <c r="O340" s="175" t="s">
        <v>163</v>
      </c>
      <c r="P340" s="175" t="s">
        <v>163</v>
      </c>
      <c r="Q340" s="175"/>
      <c r="R340" s="127">
        <f>IF(Table36[[#This Row],[ Bran Content]]="-","-",IF(G340&lt;0.02,1,0))</f>
        <v>0</v>
      </c>
      <c r="S340" s="127" t="str">
        <f>IF(Table36[[#This Row],[Sieve Test]]="-","-",IF(Table36[[#This Row],[Sieve Test]]="P",1,0))</f>
        <v>-</v>
      </c>
      <c r="T340" s="127" t="str">
        <f>IF(Table36[[#This Row],[Odor]]="-","-",IF(Table36[[#This Row],[Odor]]="P",1,0))</f>
        <v>-</v>
      </c>
      <c r="U340" s="127" t="str">
        <f>IF(INDEX(MCmin,MATCH(Table36[[#This Row],[Grist]],SMI,0))="-","-",IF(Table36[[#This Row],[F1 %MC]]="-","-",IF(Table36[[#This Row],[F1 %MC]]&lt;INDEX(MCmin,MATCH(Table36[[#This Row],[Grist]],SMI,0)),0,IF(Table36[[#This Row],[F1 %MC]]&gt;INDEX(MCmax,MATCH(Table36[[#This Row],[Grist]],SMI,0)),0,1))))</f>
        <v>-</v>
      </c>
      <c r="V340" s="127" t="str">
        <f>IF(INDEX(Protmin,MATCH(Table36[[#This Row],[Grist]],SMI,0))="-","-",IF(Table36[[#This Row],[%Protein]]="-","-",IF(Table36[[#This Row],[%Protein]]&lt;INDEX(Protmin,MATCH(Table36[[#This Row],[Grist]],SMI,0)),0,IF(Table36[[#This Row],[%Protein]]&gt;INDEX(Protmax,MATCH(Table36[[#This Row],[Grist]],SMI,0)),0,1))))</f>
        <v>-</v>
      </c>
      <c r="W340" s="127" t="str">
        <f>IF(INDEX(Ashmin,MATCH(Table36[[#This Row],[Grist]],SMI,0))="-","-",IF(Table36[[#This Row],[%Ash]]="-","-",IF(Table36[[#This Row],[%Ash]]&lt;INDEX(Ashmin,MATCH(Table36[[#This Row],[Grist]],SMI,0)),0,IF(Table36[[#This Row],[%Ash]]&gt;INDEX(Ashmax,MATCH(Table36[[#This Row],[Grist]],SMI,0)),0,1))))</f>
        <v>-</v>
      </c>
      <c r="X340" s="127" t="str">
        <f>IF(INDEX(Absmin,MATCH(Table36[[#This Row],[Grist]],SMI,0))="-","-",IF(Table36[[#This Row],[%Absorption]]="-","-",IF(Table36[[#This Row],[%Absorption]]&lt;INDEX(Absmin,MATCH(Table36[[#This Row],[Grist]],SMI,0)),0,IF(Table36[[#This Row],[%Absorption]]&gt;INDEX(Absmax,MATCH(Table36[[#This Row],[Grist]],SMI,0)),0,1))))</f>
        <v>-</v>
      </c>
      <c r="Y340" s="127" t="str">
        <f>IF(INDEX(Extmin,MATCH(Table36[[#This Row],[Grist]],SMI,0))="-","-",IF(Table36[[#This Row],[%Extensibility]]="-","-",IF(Table36[[#This Row],[%Extensibility]]&lt;INDEX(Extmin,MATCH(Table36[[#This Row],[Grist]],SMI,0)),0,IF(Table36[[#This Row],[%Extensibility]]&gt;INDEX(Extmax,MATCH(Table36[[#This Row],[Grist]],SMI,0)),0,1))))</f>
        <v>-</v>
      </c>
      <c r="Z340" s="127" t="str">
        <f>IF(INDEX(Resmin,MATCH(Table36[[#This Row],[Grist]],SMI,0))="-","-",IF(Table36[[#This Row],[Resistance, max]]="-","-",IF(Table36[[#This Row],[Resistance, max]]&lt;INDEX(Resmin,MATCH(Table36[[#This Row],[Grist]],SMI,0)),0,IF(Table36[[#This Row],[Resistance, max]]&gt;INDEX(Resmax,MATCH(Table36[[#This Row],[Grist]],SMI,0)),0,1))))</f>
        <v>-</v>
      </c>
      <c r="AA340" s="127" t="str">
        <f>IF(INDEX(WGmin,MATCH(Table36[[#This Row],[Grist]],SMI,0))="-","-",IF(Table36[[#This Row],[%Wet Gluten]]="-","-",IF(Table36[[#This Row],[%Wet Gluten]]&lt;INDEX(WGmin,MATCH(Table36[[#This Row],[Grist]],SMI,0)),0,IF(Table36[[#This Row],[%Wet Gluten]]&gt;INDEX(WGmax,MATCH(Table36[[#This Row],[Grist]],SMI,0)),0,1))))</f>
        <v>-</v>
      </c>
      <c r="AB340" s="127">
        <f>SUM(Table36[[#This Row],[ QI Bran Content]:[QI WG]])</f>
        <v>0</v>
      </c>
      <c r="AC340" s="127">
        <f>COUNT(Table36[[#This Row],[ QI Bran Content]:[QI WG]])</f>
        <v>1</v>
      </c>
    </row>
    <row r="341" spans="1:29" x14ac:dyDescent="0.35">
      <c r="A341" s="177">
        <v>45328</v>
      </c>
      <c r="B341" s="178">
        <v>45333</v>
      </c>
      <c r="C341" s="178" t="s">
        <v>125</v>
      </c>
      <c r="D341" s="179" t="s">
        <v>239</v>
      </c>
      <c r="E341" s="180" t="s">
        <v>0</v>
      </c>
      <c r="F341" s="181" t="s">
        <v>27</v>
      </c>
      <c r="G341" s="182">
        <v>8.3999999999999995E-3</v>
      </c>
      <c r="H341" s="175" t="s">
        <v>165</v>
      </c>
      <c r="I341" s="175" t="s">
        <v>165</v>
      </c>
      <c r="J341" s="175" t="s">
        <v>165</v>
      </c>
      <c r="K341" s="175">
        <v>12.04</v>
      </c>
      <c r="L341" s="175" t="s">
        <v>163</v>
      </c>
      <c r="M341" s="175" t="s">
        <v>163</v>
      </c>
      <c r="N341" s="175" t="s">
        <v>163</v>
      </c>
      <c r="O341" s="175" t="s">
        <v>163</v>
      </c>
      <c r="P341" s="175" t="s">
        <v>163</v>
      </c>
      <c r="Q341" s="175"/>
      <c r="R341" s="127">
        <f>IF(Table36[[#This Row],[ Bran Content]]="-","-",IF(G341&lt;0.02,1,0))</f>
        <v>1</v>
      </c>
      <c r="S341" s="127">
        <f>IF(Table36[[#This Row],[Sieve Test]]="-","-",IF(Table36[[#This Row],[Sieve Test]]="P",1,0))</f>
        <v>1</v>
      </c>
      <c r="T341" s="127">
        <f>IF(Table36[[#This Row],[Odor]]="-","-",IF(Table36[[#This Row],[Odor]]="P",1,0))</f>
        <v>1</v>
      </c>
      <c r="U341" s="127">
        <f>IF(INDEX(MCmin,MATCH(Table36[[#This Row],[Grist]],SMI,0))="-","-",IF(Table36[[#This Row],[F1 %MC]]="-","-",IF(Table36[[#This Row],[F1 %MC]]&lt;INDEX(MCmin,MATCH(Table36[[#This Row],[Grist]],SMI,0)),0,IF(Table36[[#This Row],[F1 %MC]]&gt;INDEX(MCmax,MATCH(Table36[[#This Row],[Grist]],SMI,0)),0,1))))</f>
        <v>1</v>
      </c>
      <c r="V341" s="127" t="str">
        <f>IF(INDEX(Protmin,MATCH(Table36[[#This Row],[Grist]],SMI,0))="-","-",IF(Table36[[#This Row],[%Protein]]="-","-",IF(Table36[[#This Row],[%Protein]]&lt;INDEX(Protmin,MATCH(Table36[[#This Row],[Grist]],SMI,0)),0,IF(Table36[[#This Row],[%Protein]]&gt;INDEX(Protmax,MATCH(Table36[[#This Row],[Grist]],SMI,0)),0,1))))</f>
        <v>-</v>
      </c>
      <c r="W341" s="127" t="str">
        <f>IF(INDEX(Ashmin,MATCH(Table36[[#This Row],[Grist]],SMI,0))="-","-",IF(Table36[[#This Row],[%Ash]]="-","-",IF(Table36[[#This Row],[%Ash]]&lt;INDEX(Ashmin,MATCH(Table36[[#This Row],[Grist]],SMI,0)),0,IF(Table36[[#This Row],[%Ash]]&gt;INDEX(Ashmax,MATCH(Table36[[#This Row],[Grist]],SMI,0)),0,1))))</f>
        <v>-</v>
      </c>
      <c r="X341" s="127" t="str">
        <f>IF(INDEX(Absmin,MATCH(Table36[[#This Row],[Grist]],SMI,0))="-","-",IF(Table36[[#This Row],[%Absorption]]="-","-",IF(Table36[[#This Row],[%Absorption]]&lt;INDEX(Absmin,MATCH(Table36[[#This Row],[Grist]],SMI,0)),0,IF(Table36[[#This Row],[%Absorption]]&gt;INDEX(Absmax,MATCH(Table36[[#This Row],[Grist]],SMI,0)),0,1))))</f>
        <v>-</v>
      </c>
      <c r="Y341" s="127" t="str">
        <f>IF(INDEX(Extmin,MATCH(Table36[[#This Row],[Grist]],SMI,0))="-","-",IF(Table36[[#This Row],[%Extensibility]]="-","-",IF(Table36[[#This Row],[%Extensibility]]&lt;INDEX(Extmin,MATCH(Table36[[#This Row],[Grist]],SMI,0)),0,IF(Table36[[#This Row],[%Extensibility]]&gt;INDEX(Extmax,MATCH(Table36[[#This Row],[Grist]],SMI,0)),0,1))))</f>
        <v>-</v>
      </c>
      <c r="Z341" s="127" t="str">
        <f>IF(INDEX(Resmin,MATCH(Table36[[#This Row],[Grist]],SMI,0))="-","-",IF(Table36[[#This Row],[Resistance, max]]="-","-",IF(Table36[[#This Row],[Resistance, max]]&lt;INDEX(Resmin,MATCH(Table36[[#This Row],[Grist]],SMI,0)),0,IF(Table36[[#This Row],[Resistance, max]]&gt;INDEX(Resmax,MATCH(Table36[[#This Row],[Grist]],SMI,0)),0,1))))</f>
        <v>-</v>
      </c>
      <c r="AA341" s="127">
        <f>IF(INDEX(WGmin,MATCH(Table36[[#This Row],[Grist]],SMI,0))="-","-",IF(Table36[[#This Row],[%Wet Gluten]]="-","-",IF(Table36[[#This Row],[%Wet Gluten]]&lt;INDEX(WGmin,MATCH(Table36[[#This Row],[Grist]],SMI,0)),0,IF(Table36[[#This Row],[%Wet Gluten]]&gt;INDEX(WGmax,MATCH(Table36[[#This Row],[Grist]],SMI,0)),0,1))))</f>
        <v>0</v>
      </c>
      <c r="AB341" s="127">
        <f>SUM(Table36[[#This Row],[ QI Bran Content]:[QI WG]])</f>
        <v>4</v>
      </c>
      <c r="AC341" s="127">
        <f>COUNT(Table36[[#This Row],[ QI Bran Content]:[QI WG]])</f>
        <v>5</v>
      </c>
    </row>
    <row r="342" spans="1:29" x14ac:dyDescent="0.35">
      <c r="A342" s="177">
        <v>45328</v>
      </c>
      <c r="B342" s="178">
        <v>45333</v>
      </c>
      <c r="C342" s="178" t="s">
        <v>125</v>
      </c>
      <c r="D342" s="179" t="s">
        <v>240</v>
      </c>
      <c r="E342" s="180" t="s">
        <v>0</v>
      </c>
      <c r="F342" s="181" t="s">
        <v>27</v>
      </c>
      <c r="G342" s="182">
        <v>7.0000000000000001E-3</v>
      </c>
      <c r="H342" s="175" t="s">
        <v>165</v>
      </c>
      <c r="I342" s="175" t="s">
        <v>165</v>
      </c>
      <c r="J342" s="175" t="s">
        <v>165</v>
      </c>
      <c r="K342" s="175">
        <v>12.15</v>
      </c>
      <c r="L342" s="175" t="s">
        <v>163</v>
      </c>
      <c r="M342" s="175" t="s">
        <v>163</v>
      </c>
      <c r="N342" s="175" t="s">
        <v>163</v>
      </c>
      <c r="O342" s="175" t="s">
        <v>163</v>
      </c>
      <c r="P342" s="175" t="s">
        <v>163</v>
      </c>
      <c r="Q342" s="175"/>
      <c r="R342" s="127">
        <f>IF(Table36[[#This Row],[ Bran Content]]="-","-",IF(G342&lt;0.02,1,0))</f>
        <v>1</v>
      </c>
      <c r="S342" s="127">
        <f>IF(Table36[[#This Row],[Sieve Test]]="-","-",IF(Table36[[#This Row],[Sieve Test]]="P",1,0))</f>
        <v>1</v>
      </c>
      <c r="T342" s="127">
        <f>IF(Table36[[#This Row],[Odor]]="-","-",IF(Table36[[#This Row],[Odor]]="P",1,0))</f>
        <v>1</v>
      </c>
      <c r="U342" s="127">
        <f>IF(INDEX(MCmin,MATCH(Table36[[#This Row],[Grist]],SMI,0))="-","-",IF(Table36[[#This Row],[F1 %MC]]="-","-",IF(Table36[[#This Row],[F1 %MC]]&lt;INDEX(MCmin,MATCH(Table36[[#This Row],[Grist]],SMI,0)),0,IF(Table36[[#This Row],[F1 %MC]]&gt;INDEX(MCmax,MATCH(Table36[[#This Row],[Grist]],SMI,0)),0,1))))</f>
        <v>1</v>
      </c>
      <c r="V342" s="127" t="str">
        <f>IF(INDEX(Protmin,MATCH(Table36[[#This Row],[Grist]],SMI,0))="-","-",IF(Table36[[#This Row],[%Protein]]="-","-",IF(Table36[[#This Row],[%Protein]]&lt;INDEX(Protmin,MATCH(Table36[[#This Row],[Grist]],SMI,0)),0,IF(Table36[[#This Row],[%Protein]]&gt;INDEX(Protmax,MATCH(Table36[[#This Row],[Grist]],SMI,0)),0,1))))</f>
        <v>-</v>
      </c>
      <c r="W342" s="127" t="str">
        <f>IF(INDEX(Ashmin,MATCH(Table36[[#This Row],[Grist]],SMI,0))="-","-",IF(Table36[[#This Row],[%Ash]]="-","-",IF(Table36[[#This Row],[%Ash]]&lt;INDEX(Ashmin,MATCH(Table36[[#This Row],[Grist]],SMI,0)),0,IF(Table36[[#This Row],[%Ash]]&gt;INDEX(Ashmax,MATCH(Table36[[#This Row],[Grist]],SMI,0)),0,1))))</f>
        <v>-</v>
      </c>
      <c r="X342" s="127" t="str">
        <f>IF(INDEX(Absmin,MATCH(Table36[[#This Row],[Grist]],SMI,0))="-","-",IF(Table36[[#This Row],[%Absorption]]="-","-",IF(Table36[[#This Row],[%Absorption]]&lt;INDEX(Absmin,MATCH(Table36[[#This Row],[Grist]],SMI,0)),0,IF(Table36[[#This Row],[%Absorption]]&gt;INDEX(Absmax,MATCH(Table36[[#This Row],[Grist]],SMI,0)),0,1))))</f>
        <v>-</v>
      </c>
      <c r="Y342" s="127" t="str">
        <f>IF(INDEX(Extmin,MATCH(Table36[[#This Row],[Grist]],SMI,0))="-","-",IF(Table36[[#This Row],[%Extensibility]]="-","-",IF(Table36[[#This Row],[%Extensibility]]&lt;INDEX(Extmin,MATCH(Table36[[#This Row],[Grist]],SMI,0)),0,IF(Table36[[#This Row],[%Extensibility]]&gt;INDEX(Extmax,MATCH(Table36[[#This Row],[Grist]],SMI,0)),0,1))))</f>
        <v>-</v>
      </c>
      <c r="Z342" s="127" t="str">
        <f>IF(INDEX(Resmin,MATCH(Table36[[#This Row],[Grist]],SMI,0))="-","-",IF(Table36[[#This Row],[Resistance, max]]="-","-",IF(Table36[[#This Row],[Resistance, max]]&lt;INDEX(Resmin,MATCH(Table36[[#This Row],[Grist]],SMI,0)),0,IF(Table36[[#This Row],[Resistance, max]]&gt;INDEX(Resmax,MATCH(Table36[[#This Row],[Grist]],SMI,0)),0,1))))</f>
        <v>-</v>
      </c>
      <c r="AA342" s="127">
        <f>IF(INDEX(WGmin,MATCH(Table36[[#This Row],[Grist]],SMI,0))="-","-",IF(Table36[[#This Row],[%Wet Gluten]]="-","-",IF(Table36[[#This Row],[%Wet Gluten]]&lt;INDEX(WGmin,MATCH(Table36[[#This Row],[Grist]],SMI,0)),0,IF(Table36[[#This Row],[%Wet Gluten]]&gt;INDEX(WGmax,MATCH(Table36[[#This Row],[Grist]],SMI,0)),0,1))))</f>
        <v>0</v>
      </c>
      <c r="AB342" s="127">
        <f>SUM(Table36[[#This Row],[ QI Bran Content]:[QI WG]])</f>
        <v>4</v>
      </c>
      <c r="AC342" s="127">
        <f>COUNT(Table36[[#This Row],[ QI Bran Content]:[QI WG]])</f>
        <v>5</v>
      </c>
    </row>
    <row r="343" spans="1:29" x14ac:dyDescent="0.35">
      <c r="A343" s="177">
        <v>45328</v>
      </c>
      <c r="B343" s="178">
        <v>45333</v>
      </c>
      <c r="C343" s="178" t="s">
        <v>125</v>
      </c>
      <c r="D343" s="179" t="s">
        <v>237</v>
      </c>
      <c r="E343" s="180" t="s">
        <v>0</v>
      </c>
      <c r="F343" s="181" t="s">
        <v>27</v>
      </c>
      <c r="G343" s="182">
        <v>1.2200000000000001E-2</v>
      </c>
      <c r="H343" s="175" t="s">
        <v>165</v>
      </c>
      <c r="I343" s="175" t="s">
        <v>165</v>
      </c>
      <c r="J343" s="175" t="s">
        <v>165</v>
      </c>
      <c r="K343" s="175">
        <v>11.82</v>
      </c>
      <c r="L343" s="175" t="s">
        <v>163</v>
      </c>
      <c r="M343" s="175" t="s">
        <v>163</v>
      </c>
      <c r="N343" s="175" t="s">
        <v>163</v>
      </c>
      <c r="O343" s="175" t="s">
        <v>163</v>
      </c>
      <c r="P343" s="175" t="s">
        <v>163</v>
      </c>
      <c r="Q343" s="175"/>
      <c r="R343" s="127">
        <f>IF(Table36[[#This Row],[ Bran Content]]="-","-",IF(G343&lt;0.02,1,0))</f>
        <v>1</v>
      </c>
      <c r="S343" s="127">
        <f>IF(Table36[[#This Row],[Sieve Test]]="-","-",IF(Table36[[#This Row],[Sieve Test]]="P",1,0))</f>
        <v>1</v>
      </c>
      <c r="T343" s="127">
        <f>IF(Table36[[#This Row],[Odor]]="-","-",IF(Table36[[#This Row],[Odor]]="P",1,0))</f>
        <v>1</v>
      </c>
      <c r="U343" s="127">
        <f>IF(INDEX(MCmin,MATCH(Table36[[#This Row],[Grist]],SMI,0))="-","-",IF(Table36[[#This Row],[F1 %MC]]="-","-",IF(Table36[[#This Row],[F1 %MC]]&lt;INDEX(MCmin,MATCH(Table36[[#This Row],[Grist]],SMI,0)),0,IF(Table36[[#This Row],[F1 %MC]]&gt;INDEX(MCmax,MATCH(Table36[[#This Row],[Grist]],SMI,0)),0,1))))</f>
        <v>0</v>
      </c>
      <c r="V343" s="127" t="str">
        <f>IF(INDEX(Protmin,MATCH(Table36[[#This Row],[Grist]],SMI,0))="-","-",IF(Table36[[#This Row],[%Protein]]="-","-",IF(Table36[[#This Row],[%Protein]]&lt;INDEX(Protmin,MATCH(Table36[[#This Row],[Grist]],SMI,0)),0,IF(Table36[[#This Row],[%Protein]]&gt;INDEX(Protmax,MATCH(Table36[[#This Row],[Grist]],SMI,0)),0,1))))</f>
        <v>-</v>
      </c>
      <c r="W343" s="127" t="str">
        <f>IF(INDEX(Ashmin,MATCH(Table36[[#This Row],[Grist]],SMI,0))="-","-",IF(Table36[[#This Row],[%Ash]]="-","-",IF(Table36[[#This Row],[%Ash]]&lt;INDEX(Ashmin,MATCH(Table36[[#This Row],[Grist]],SMI,0)),0,IF(Table36[[#This Row],[%Ash]]&gt;INDEX(Ashmax,MATCH(Table36[[#This Row],[Grist]],SMI,0)),0,1))))</f>
        <v>-</v>
      </c>
      <c r="X343" s="127" t="str">
        <f>IF(INDEX(Absmin,MATCH(Table36[[#This Row],[Grist]],SMI,0))="-","-",IF(Table36[[#This Row],[%Absorption]]="-","-",IF(Table36[[#This Row],[%Absorption]]&lt;INDEX(Absmin,MATCH(Table36[[#This Row],[Grist]],SMI,0)),0,IF(Table36[[#This Row],[%Absorption]]&gt;INDEX(Absmax,MATCH(Table36[[#This Row],[Grist]],SMI,0)),0,1))))</f>
        <v>-</v>
      </c>
      <c r="Y343" s="127" t="str">
        <f>IF(INDEX(Extmin,MATCH(Table36[[#This Row],[Grist]],SMI,0))="-","-",IF(Table36[[#This Row],[%Extensibility]]="-","-",IF(Table36[[#This Row],[%Extensibility]]&lt;INDEX(Extmin,MATCH(Table36[[#This Row],[Grist]],SMI,0)),0,IF(Table36[[#This Row],[%Extensibility]]&gt;INDEX(Extmax,MATCH(Table36[[#This Row],[Grist]],SMI,0)),0,1))))</f>
        <v>-</v>
      </c>
      <c r="Z343" s="127" t="str">
        <f>IF(INDEX(Resmin,MATCH(Table36[[#This Row],[Grist]],SMI,0))="-","-",IF(Table36[[#This Row],[Resistance, max]]="-","-",IF(Table36[[#This Row],[Resistance, max]]&lt;INDEX(Resmin,MATCH(Table36[[#This Row],[Grist]],SMI,0)),0,IF(Table36[[#This Row],[Resistance, max]]&gt;INDEX(Resmax,MATCH(Table36[[#This Row],[Grist]],SMI,0)),0,1))))</f>
        <v>-</v>
      </c>
      <c r="AA343" s="127">
        <f>IF(INDEX(WGmin,MATCH(Table36[[#This Row],[Grist]],SMI,0))="-","-",IF(Table36[[#This Row],[%Wet Gluten]]="-","-",IF(Table36[[#This Row],[%Wet Gluten]]&lt;INDEX(WGmin,MATCH(Table36[[#This Row],[Grist]],SMI,0)),0,IF(Table36[[#This Row],[%Wet Gluten]]&gt;INDEX(WGmax,MATCH(Table36[[#This Row],[Grist]],SMI,0)),0,1))))</f>
        <v>0</v>
      </c>
      <c r="AB343" s="127">
        <f>SUM(Table36[[#This Row],[ QI Bran Content]:[QI WG]])</f>
        <v>3</v>
      </c>
      <c r="AC343" s="127">
        <f>COUNT(Table36[[#This Row],[ QI Bran Content]:[QI WG]])</f>
        <v>5</v>
      </c>
    </row>
    <row r="344" spans="1:29" x14ac:dyDescent="0.35">
      <c r="A344" s="177">
        <v>45328</v>
      </c>
      <c r="B344" s="178">
        <v>45333</v>
      </c>
      <c r="C344" s="178" t="s">
        <v>125</v>
      </c>
      <c r="D344" s="179" t="s">
        <v>238</v>
      </c>
      <c r="E344" s="180" t="s">
        <v>0</v>
      </c>
      <c r="F344" s="181" t="s">
        <v>27</v>
      </c>
      <c r="G344" s="182">
        <v>1.7899999999999999E-2</v>
      </c>
      <c r="H344" s="175" t="s">
        <v>165</v>
      </c>
      <c r="I344" s="175" t="s">
        <v>165</v>
      </c>
      <c r="J344" s="175" t="s">
        <v>165</v>
      </c>
      <c r="K344" s="175">
        <v>11.5</v>
      </c>
      <c r="L344" s="175" t="s">
        <v>163</v>
      </c>
      <c r="M344" s="175" t="s">
        <v>163</v>
      </c>
      <c r="N344" s="175" t="s">
        <v>163</v>
      </c>
      <c r="O344" s="175" t="s">
        <v>163</v>
      </c>
      <c r="P344" s="175" t="s">
        <v>163</v>
      </c>
      <c r="Q344" s="175"/>
      <c r="R344" s="127">
        <f>IF(Table36[[#This Row],[ Bran Content]]="-","-",IF(G344&lt;0.02,1,0))</f>
        <v>1</v>
      </c>
      <c r="S344" s="127">
        <f>IF(Table36[[#This Row],[Sieve Test]]="-","-",IF(Table36[[#This Row],[Sieve Test]]="P",1,0))</f>
        <v>1</v>
      </c>
      <c r="T344" s="127">
        <f>IF(Table36[[#This Row],[Odor]]="-","-",IF(Table36[[#This Row],[Odor]]="P",1,0))</f>
        <v>1</v>
      </c>
      <c r="U344" s="127">
        <f>IF(INDEX(MCmin,MATCH(Table36[[#This Row],[Grist]],SMI,0))="-","-",IF(Table36[[#This Row],[F1 %MC]]="-","-",IF(Table36[[#This Row],[F1 %MC]]&lt;INDEX(MCmin,MATCH(Table36[[#This Row],[Grist]],SMI,0)),0,IF(Table36[[#This Row],[F1 %MC]]&gt;INDEX(MCmax,MATCH(Table36[[#This Row],[Grist]],SMI,0)),0,1))))</f>
        <v>0</v>
      </c>
      <c r="V344" s="127" t="str">
        <f>IF(INDEX(Protmin,MATCH(Table36[[#This Row],[Grist]],SMI,0))="-","-",IF(Table36[[#This Row],[%Protein]]="-","-",IF(Table36[[#This Row],[%Protein]]&lt;INDEX(Protmin,MATCH(Table36[[#This Row],[Grist]],SMI,0)),0,IF(Table36[[#This Row],[%Protein]]&gt;INDEX(Protmax,MATCH(Table36[[#This Row],[Grist]],SMI,0)),0,1))))</f>
        <v>-</v>
      </c>
      <c r="W344" s="127" t="str">
        <f>IF(INDEX(Ashmin,MATCH(Table36[[#This Row],[Grist]],SMI,0))="-","-",IF(Table36[[#This Row],[%Ash]]="-","-",IF(Table36[[#This Row],[%Ash]]&lt;INDEX(Ashmin,MATCH(Table36[[#This Row],[Grist]],SMI,0)),0,IF(Table36[[#This Row],[%Ash]]&gt;INDEX(Ashmax,MATCH(Table36[[#This Row],[Grist]],SMI,0)),0,1))))</f>
        <v>-</v>
      </c>
      <c r="X344" s="127" t="str">
        <f>IF(INDEX(Absmin,MATCH(Table36[[#This Row],[Grist]],SMI,0))="-","-",IF(Table36[[#This Row],[%Absorption]]="-","-",IF(Table36[[#This Row],[%Absorption]]&lt;INDEX(Absmin,MATCH(Table36[[#This Row],[Grist]],SMI,0)),0,IF(Table36[[#This Row],[%Absorption]]&gt;INDEX(Absmax,MATCH(Table36[[#This Row],[Grist]],SMI,0)),0,1))))</f>
        <v>-</v>
      </c>
      <c r="Y344" s="127" t="str">
        <f>IF(INDEX(Extmin,MATCH(Table36[[#This Row],[Grist]],SMI,0))="-","-",IF(Table36[[#This Row],[%Extensibility]]="-","-",IF(Table36[[#This Row],[%Extensibility]]&lt;INDEX(Extmin,MATCH(Table36[[#This Row],[Grist]],SMI,0)),0,IF(Table36[[#This Row],[%Extensibility]]&gt;INDEX(Extmax,MATCH(Table36[[#This Row],[Grist]],SMI,0)),0,1))))</f>
        <v>-</v>
      </c>
      <c r="Z344" s="127" t="str">
        <f>IF(INDEX(Resmin,MATCH(Table36[[#This Row],[Grist]],SMI,0))="-","-",IF(Table36[[#This Row],[Resistance, max]]="-","-",IF(Table36[[#This Row],[Resistance, max]]&lt;INDEX(Resmin,MATCH(Table36[[#This Row],[Grist]],SMI,0)),0,IF(Table36[[#This Row],[Resistance, max]]&gt;INDEX(Resmax,MATCH(Table36[[#This Row],[Grist]],SMI,0)),0,1))))</f>
        <v>-</v>
      </c>
      <c r="AA344" s="127">
        <f>IF(INDEX(WGmin,MATCH(Table36[[#This Row],[Grist]],SMI,0))="-","-",IF(Table36[[#This Row],[%Wet Gluten]]="-","-",IF(Table36[[#This Row],[%Wet Gluten]]&lt;INDEX(WGmin,MATCH(Table36[[#This Row],[Grist]],SMI,0)),0,IF(Table36[[#This Row],[%Wet Gluten]]&gt;INDEX(WGmax,MATCH(Table36[[#This Row],[Grist]],SMI,0)),0,1))))</f>
        <v>0</v>
      </c>
      <c r="AB344" s="127">
        <f>SUM(Table36[[#This Row],[ QI Bran Content]:[QI WG]])</f>
        <v>3</v>
      </c>
      <c r="AC344" s="127">
        <f>COUNT(Table36[[#This Row],[ QI Bran Content]:[QI WG]])</f>
        <v>5</v>
      </c>
    </row>
    <row r="345" spans="1:29" x14ac:dyDescent="0.35">
      <c r="A345" s="177">
        <v>45328</v>
      </c>
      <c r="B345" s="178">
        <v>45333</v>
      </c>
      <c r="C345" s="178" t="s">
        <v>125</v>
      </c>
      <c r="D345" s="179" t="s">
        <v>238</v>
      </c>
      <c r="E345" s="180" t="s">
        <v>2</v>
      </c>
      <c r="F345" s="181" t="s">
        <v>242</v>
      </c>
      <c r="G345" s="182" t="s">
        <v>256</v>
      </c>
      <c r="H345" s="175" t="s">
        <v>165</v>
      </c>
      <c r="I345" s="175" t="s">
        <v>165</v>
      </c>
      <c r="J345" s="175" t="s">
        <v>165</v>
      </c>
      <c r="K345" s="175">
        <v>11.25</v>
      </c>
      <c r="L345" s="175" t="s">
        <v>163</v>
      </c>
      <c r="M345" s="175" t="s">
        <v>163</v>
      </c>
      <c r="N345" s="175" t="s">
        <v>163</v>
      </c>
      <c r="O345" s="175" t="s">
        <v>163</v>
      </c>
      <c r="P345" s="175" t="s">
        <v>163</v>
      </c>
      <c r="Q345" s="175"/>
      <c r="R345" s="127">
        <f>IF(Table36[[#This Row],[ Bran Content]]="-","-",IF(G345&lt;0.02,1,0))</f>
        <v>0</v>
      </c>
      <c r="S345" s="127">
        <f>IF(Table36[[#This Row],[Sieve Test]]="-","-",IF(Table36[[#This Row],[Sieve Test]]="P",1,0))</f>
        <v>1</v>
      </c>
      <c r="T345" s="127">
        <f>IF(Table36[[#This Row],[Odor]]="-","-",IF(Table36[[#This Row],[Odor]]="P",1,0))</f>
        <v>1</v>
      </c>
      <c r="U345" s="127">
        <f>IF(INDEX(MCmin,MATCH(Table36[[#This Row],[Grist]],SMI,0))="-","-",IF(Table36[[#This Row],[F1 %MC]]="-","-",IF(Table36[[#This Row],[F1 %MC]]&lt;INDEX(MCmin,MATCH(Table36[[#This Row],[Grist]],SMI,0)),0,IF(Table36[[#This Row],[F1 %MC]]&gt;INDEX(MCmax,MATCH(Table36[[#This Row],[Grist]],SMI,0)),0,1))))</f>
        <v>0</v>
      </c>
      <c r="V345" s="127" t="str">
        <f>IF(INDEX(Protmin,MATCH(Table36[[#This Row],[Grist]],SMI,0))="-","-",IF(Table36[[#This Row],[%Protein]]="-","-",IF(Table36[[#This Row],[%Protein]]&lt;INDEX(Protmin,MATCH(Table36[[#This Row],[Grist]],SMI,0)),0,IF(Table36[[#This Row],[%Protein]]&gt;INDEX(Protmax,MATCH(Table36[[#This Row],[Grist]],SMI,0)),0,1))))</f>
        <v>-</v>
      </c>
      <c r="W345" s="127" t="str">
        <f>IF(INDEX(Ashmin,MATCH(Table36[[#This Row],[Grist]],SMI,0))="-","-",IF(Table36[[#This Row],[%Ash]]="-","-",IF(Table36[[#This Row],[%Ash]]&lt;INDEX(Ashmin,MATCH(Table36[[#This Row],[Grist]],SMI,0)),0,IF(Table36[[#This Row],[%Ash]]&gt;INDEX(Ashmax,MATCH(Table36[[#This Row],[Grist]],SMI,0)),0,1))))</f>
        <v>-</v>
      </c>
      <c r="X345" s="127" t="str">
        <f>IF(INDEX(Absmin,MATCH(Table36[[#This Row],[Grist]],SMI,0))="-","-",IF(Table36[[#This Row],[%Absorption]]="-","-",IF(Table36[[#This Row],[%Absorption]]&lt;INDEX(Absmin,MATCH(Table36[[#This Row],[Grist]],SMI,0)),0,IF(Table36[[#This Row],[%Absorption]]&gt;INDEX(Absmax,MATCH(Table36[[#This Row],[Grist]],SMI,0)),0,1))))</f>
        <v>-</v>
      </c>
      <c r="Y345" s="127" t="str">
        <f>IF(INDEX(Extmin,MATCH(Table36[[#This Row],[Grist]],SMI,0))="-","-",IF(Table36[[#This Row],[%Extensibility]]="-","-",IF(Table36[[#This Row],[%Extensibility]]&lt;INDEX(Extmin,MATCH(Table36[[#This Row],[Grist]],SMI,0)),0,IF(Table36[[#This Row],[%Extensibility]]&gt;INDEX(Extmax,MATCH(Table36[[#This Row],[Grist]],SMI,0)),0,1))))</f>
        <v>-</v>
      </c>
      <c r="Z345" s="127" t="str">
        <f>IF(INDEX(Resmin,MATCH(Table36[[#This Row],[Grist]],SMI,0))="-","-",IF(Table36[[#This Row],[Resistance, max]]="-","-",IF(Table36[[#This Row],[Resistance, max]]&lt;INDEX(Resmin,MATCH(Table36[[#This Row],[Grist]],SMI,0)),0,IF(Table36[[#This Row],[Resistance, max]]&gt;INDEX(Resmax,MATCH(Table36[[#This Row],[Grist]],SMI,0)),0,1))))</f>
        <v>-</v>
      </c>
      <c r="AA345" s="127">
        <f>IF(INDEX(WGmin,MATCH(Table36[[#This Row],[Grist]],SMI,0))="-","-",IF(Table36[[#This Row],[%Wet Gluten]]="-","-",IF(Table36[[#This Row],[%Wet Gluten]]&lt;INDEX(WGmin,MATCH(Table36[[#This Row],[Grist]],SMI,0)),0,IF(Table36[[#This Row],[%Wet Gluten]]&gt;INDEX(WGmax,MATCH(Table36[[#This Row],[Grist]],SMI,0)),0,1))))</f>
        <v>0</v>
      </c>
      <c r="AB345" s="127">
        <f>SUM(Table36[[#This Row],[ QI Bran Content]:[QI WG]])</f>
        <v>2</v>
      </c>
      <c r="AC345" s="127">
        <f>COUNT(Table36[[#This Row],[ QI Bran Content]:[QI WG]])</f>
        <v>5</v>
      </c>
    </row>
    <row r="346" spans="1:29" x14ac:dyDescent="0.35">
      <c r="A346" s="177">
        <v>45328</v>
      </c>
      <c r="B346" s="178">
        <v>45328</v>
      </c>
      <c r="C346" s="178" t="s">
        <v>125</v>
      </c>
      <c r="D346" s="179" t="s">
        <v>239</v>
      </c>
      <c r="E346" s="180" t="s">
        <v>0</v>
      </c>
      <c r="F346" s="181" t="s">
        <v>19</v>
      </c>
      <c r="G346" s="182">
        <v>4.5999999999999999E-3</v>
      </c>
      <c r="H346" s="175" t="s">
        <v>165</v>
      </c>
      <c r="I346" s="175" t="s">
        <v>165</v>
      </c>
      <c r="J346" s="175" t="s">
        <v>165</v>
      </c>
      <c r="K346" s="175">
        <v>12.41</v>
      </c>
      <c r="L346" s="175">
        <v>13.69</v>
      </c>
      <c r="M346" s="175">
        <v>0.46</v>
      </c>
      <c r="N346" s="175">
        <v>64.599999999999994</v>
      </c>
      <c r="O346" s="175" t="s">
        <v>163</v>
      </c>
      <c r="P346" s="175" t="s">
        <v>163</v>
      </c>
      <c r="Q346" s="175"/>
      <c r="R346" s="127">
        <f>IF(Table36[[#This Row],[ Bran Content]]="-","-",IF(G346&lt;0.02,1,0))</f>
        <v>1</v>
      </c>
      <c r="S346" s="127">
        <f>IF(Table36[[#This Row],[Sieve Test]]="-","-",IF(Table36[[#This Row],[Sieve Test]]="P",1,0))</f>
        <v>1</v>
      </c>
      <c r="T346" s="127">
        <f>IF(Table36[[#This Row],[Odor]]="-","-",IF(Table36[[#This Row],[Odor]]="P",1,0))</f>
        <v>1</v>
      </c>
      <c r="U346" s="127">
        <f>IF(INDEX(MCmin,MATCH(Table36[[#This Row],[Grist]],SMI,0))="-","-",IF(Table36[[#This Row],[F1 %MC]]="-","-",IF(Table36[[#This Row],[F1 %MC]]&lt;INDEX(MCmin,MATCH(Table36[[#This Row],[Grist]],SMI,0)),0,IF(Table36[[#This Row],[F1 %MC]]&gt;INDEX(MCmax,MATCH(Table36[[#This Row],[Grist]],SMI,0)),0,1))))</f>
        <v>1</v>
      </c>
      <c r="V346" s="127">
        <f>IF(INDEX(Protmin,MATCH(Table36[[#This Row],[Grist]],SMI,0))="-","-",IF(Table36[[#This Row],[%Protein]]="-","-",IF(Table36[[#This Row],[%Protein]]&lt;INDEX(Protmin,MATCH(Table36[[#This Row],[Grist]],SMI,0)),0,IF(Table36[[#This Row],[%Protein]]&gt;INDEX(Protmax,MATCH(Table36[[#This Row],[Grist]],SMI,0)),0,1))))</f>
        <v>0</v>
      </c>
      <c r="W346" s="127">
        <f>IF(INDEX(Ashmin,MATCH(Table36[[#This Row],[Grist]],SMI,0))="-","-",IF(Table36[[#This Row],[%Ash]]="-","-",IF(Table36[[#This Row],[%Ash]]&lt;INDEX(Ashmin,MATCH(Table36[[#This Row],[Grist]],SMI,0)),0,IF(Table36[[#This Row],[%Ash]]&gt;INDEX(Ashmax,MATCH(Table36[[#This Row],[Grist]],SMI,0)),0,1))))</f>
        <v>1</v>
      </c>
      <c r="X346" s="127">
        <f>IF(INDEX(Absmin,MATCH(Table36[[#This Row],[Grist]],SMI,0))="-","-",IF(Table36[[#This Row],[%Absorption]]="-","-",IF(Table36[[#This Row],[%Absorption]]&lt;INDEX(Absmin,MATCH(Table36[[#This Row],[Grist]],SMI,0)),0,IF(Table36[[#This Row],[%Absorption]]&gt;INDEX(Absmax,MATCH(Table36[[#This Row],[Grist]],SMI,0)),0,1))))</f>
        <v>1</v>
      </c>
      <c r="Y346" s="127" t="str">
        <f>IF(INDEX(Extmin,MATCH(Table36[[#This Row],[Grist]],SMI,0))="-","-",IF(Table36[[#This Row],[%Extensibility]]="-","-",IF(Table36[[#This Row],[%Extensibility]]&lt;INDEX(Extmin,MATCH(Table36[[#This Row],[Grist]],SMI,0)),0,IF(Table36[[#This Row],[%Extensibility]]&gt;INDEX(Extmax,MATCH(Table36[[#This Row],[Grist]],SMI,0)),0,1))))</f>
        <v>-</v>
      </c>
      <c r="Z346" s="127" t="str">
        <f>IF(INDEX(Resmin,MATCH(Table36[[#This Row],[Grist]],SMI,0))="-","-",IF(Table36[[#This Row],[Resistance, max]]="-","-",IF(Table36[[#This Row],[Resistance, max]]&lt;INDEX(Resmin,MATCH(Table36[[#This Row],[Grist]],SMI,0)),0,IF(Table36[[#This Row],[Resistance, max]]&gt;INDEX(Resmax,MATCH(Table36[[#This Row],[Grist]],SMI,0)),0,1))))</f>
        <v>-</v>
      </c>
      <c r="AA346" s="127">
        <f>IF(INDEX(WGmin,MATCH(Table36[[#This Row],[Grist]],SMI,0))="-","-",IF(Table36[[#This Row],[%Wet Gluten]]="-","-",IF(Table36[[#This Row],[%Wet Gluten]]&lt;INDEX(WGmin,MATCH(Table36[[#This Row],[Grist]],SMI,0)),0,IF(Table36[[#This Row],[%Wet Gluten]]&gt;INDEX(WGmax,MATCH(Table36[[#This Row],[Grist]],SMI,0)),0,1))))</f>
        <v>0</v>
      </c>
      <c r="AB346" s="127">
        <f>SUM(Table36[[#This Row],[ QI Bran Content]:[QI WG]])</f>
        <v>6</v>
      </c>
      <c r="AC346" s="127">
        <f>COUNT(Table36[[#This Row],[ QI Bran Content]:[QI WG]])</f>
        <v>8</v>
      </c>
    </row>
    <row r="347" spans="1:29" x14ac:dyDescent="0.35">
      <c r="A347" s="177">
        <v>45328</v>
      </c>
      <c r="B347" s="178">
        <v>45328</v>
      </c>
      <c r="C347" s="178" t="s">
        <v>125</v>
      </c>
      <c r="D347" s="179" t="s">
        <v>240</v>
      </c>
      <c r="E347" s="180" t="s">
        <v>0</v>
      </c>
      <c r="F347" s="181" t="s">
        <v>19</v>
      </c>
      <c r="G347" s="182">
        <v>6.0000000000000001E-3</v>
      </c>
      <c r="H347" s="175" t="s">
        <v>165</v>
      </c>
      <c r="I347" s="175" t="s">
        <v>165</v>
      </c>
      <c r="J347" s="175" t="s">
        <v>165</v>
      </c>
      <c r="K347" s="175">
        <v>12.3</v>
      </c>
      <c r="L347" s="175" t="s">
        <v>163</v>
      </c>
      <c r="M347" s="175" t="s">
        <v>163</v>
      </c>
      <c r="N347" s="175" t="s">
        <v>163</v>
      </c>
      <c r="O347" s="175" t="s">
        <v>163</v>
      </c>
      <c r="P347" s="175" t="s">
        <v>163</v>
      </c>
      <c r="Q347" s="175"/>
      <c r="R347" s="127">
        <f>IF(Table36[[#This Row],[ Bran Content]]="-","-",IF(G347&lt;0.02,1,0))</f>
        <v>1</v>
      </c>
      <c r="S347" s="127">
        <f>IF(Table36[[#This Row],[Sieve Test]]="-","-",IF(Table36[[#This Row],[Sieve Test]]="P",1,0))</f>
        <v>1</v>
      </c>
      <c r="T347" s="127">
        <f>IF(Table36[[#This Row],[Odor]]="-","-",IF(Table36[[#This Row],[Odor]]="P",1,0))</f>
        <v>1</v>
      </c>
      <c r="U347" s="127">
        <f>IF(INDEX(MCmin,MATCH(Table36[[#This Row],[Grist]],SMI,0))="-","-",IF(Table36[[#This Row],[F1 %MC]]="-","-",IF(Table36[[#This Row],[F1 %MC]]&lt;INDEX(MCmin,MATCH(Table36[[#This Row],[Grist]],SMI,0)),0,IF(Table36[[#This Row],[F1 %MC]]&gt;INDEX(MCmax,MATCH(Table36[[#This Row],[Grist]],SMI,0)),0,1))))</f>
        <v>1</v>
      </c>
      <c r="V347" s="127" t="str">
        <f>IF(INDEX(Protmin,MATCH(Table36[[#This Row],[Grist]],SMI,0))="-","-",IF(Table36[[#This Row],[%Protein]]="-","-",IF(Table36[[#This Row],[%Protein]]&lt;INDEX(Protmin,MATCH(Table36[[#This Row],[Grist]],SMI,0)),0,IF(Table36[[#This Row],[%Protein]]&gt;INDEX(Protmax,MATCH(Table36[[#This Row],[Grist]],SMI,0)),0,1))))</f>
        <v>-</v>
      </c>
      <c r="W347" s="127" t="str">
        <f>IF(INDEX(Ashmin,MATCH(Table36[[#This Row],[Grist]],SMI,0))="-","-",IF(Table36[[#This Row],[%Ash]]="-","-",IF(Table36[[#This Row],[%Ash]]&lt;INDEX(Ashmin,MATCH(Table36[[#This Row],[Grist]],SMI,0)),0,IF(Table36[[#This Row],[%Ash]]&gt;INDEX(Ashmax,MATCH(Table36[[#This Row],[Grist]],SMI,0)),0,1))))</f>
        <v>-</v>
      </c>
      <c r="X347" s="127" t="str">
        <f>IF(INDEX(Absmin,MATCH(Table36[[#This Row],[Grist]],SMI,0))="-","-",IF(Table36[[#This Row],[%Absorption]]="-","-",IF(Table36[[#This Row],[%Absorption]]&lt;INDEX(Absmin,MATCH(Table36[[#This Row],[Grist]],SMI,0)),0,IF(Table36[[#This Row],[%Absorption]]&gt;INDEX(Absmax,MATCH(Table36[[#This Row],[Grist]],SMI,0)),0,1))))</f>
        <v>-</v>
      </c>
      <c r="Y347" s="127" t="str">
        <f>IF(INDEX(Extmin,MATCH(Table36[[#This Row],[Grist]],SMI,0))="-","-",IF(Table36[[#This Row],[%Extensibility]]="-","-",IF(Table36[[#This Row],[%Extensibility]]&lt;INDEX(Extmin,MATCH(Table36[[#This Row],[Grist]],SMI,0)),0,IF(Table36[[#This Row],[%Extensibility]]&gt;INDEX(Extmax,MATCH(Table36[[#This Row],[Grist]],SMI,0)),0,1))))</f>
        <v>-</v>
      </c>
      <c r="Z347" s="127" t="str">
        <f>IF(INDEX(Resmin,MATCH(Table36[[#This Row],[Grist]],SMI,0))="-","-",IF(Table36[[#This Row],[Resistance, max]]="-","-",IF(Table36[[#This Row],[Resistance, max]]&lt;INDEX(Resmin,MATCH(Table36[[#This Row],[Grist]],SMI,0)),0,IF(Table36[[#This Row],[Resistance, max]]&gt;INDEX(Resmax,MATCH(Table36[[#This Row],[Grist]],SMI,0)),0,1))))</f>
        <v>-</v>
      </c>
      <c r="AA347" s="127">
        <f>IF(INDEX(WGmin,MATCH(Table36[[#This Row],[Grist]],SMI,0))="-","-",IF(Table36[[#This Row],[%Wet Gluten]]="-","-",IF(Table36[[#This Row],[%Wet Gluten]]&lt;INDEX(WGmin,MATCH(Table36[[#This Row],[Grist]],SMI,0)),0,IF(Table36[[#This Row],[%Wet Gluten]]&gt;INDEX(WGmax,MATCH(Table36[[#This Row],[Grist]],SMI,0)),0,1))))</f>
        <v>0</v>
      </c>
      <c r="AB347" s="127">
        <f>SUM(Table36[[#This Row],[ QI Bran Content]:[QI WG]])</f>
        <v>4</v>
      </c>
      <c r="AC347" s="127">
        <f>COUNT(Table36[[#This Row],[ QI Bran Content]:[QI WG]])</f>
        <v>5</v>
      </c>
    </row>
    <row r="348" spans="1:29" x14ac:dyDescent="0.35">
      <c r="A348" s="177">
        <v>45328</v>
      </c>
      <c r="B348" s="178">
        <v>45328</v>
      </c>
      <c r="C348" s="178" t="s">
        <v>125</v>
      </c>
      <c r="D348" s="179" t="s">
        <v>238</v>
      </c>
      <c r="E348" s="180" t="s">
        <v>0</v>
      </c>
      <c r="F348" s="181" t="s">
        <v>27</v>
      </c>
      <c r="G348" s="182">
        <v>6.1999999999999998E-3</v>
      </c>
      <c r="H348" s="175" t="s">
        <v>165</v>
      </c>
      <c r="I348" s="175" t="s">
        <v>165</v>
      </c>
      <c r="J348" s="175" t="s">
        <v>165</v>
      </c>
      <c r="K348" s="175">
        <v>11.92</v>
      </c>
      <c r="L348" s="175">
        <v>13.19</v>
      </c>
      <c r="M348" s="175">
        <v>0.56000000000000005</v>
      </c>
      <c r="N348" s="175">
        <v>65.7</v>
      </c>
      <c r="O348" s="175" t="s">
        <v>163</v>
      </c>
      <c r="P348" s="175" t="s">
        <v>163</v>
      </c>
      <c r="Q348" s="175"/>
      <c r="R348" s="127">
        <f>IF(Table36[[#This Row],[ Bran Content]]="-","-",IF(G348&lt;0.02,1,0))</f>
        <v>1</v>
      </c>
      <c r="S348" s="127">
        <f>IF(Table36[[#This Row],[Sieve Test]]="-","-",IF(Table36[[#This Row],[Sieve Test]]="P",1,0))</f>
        <v>1</v>
      </c>
      <c r="T348" s="127">
        <f>IF(Table36[[#This Row],[Odor]]="-","-",IF(Table36[[#This Row],[Odor]]="P",1,0))</f>
        <v>1</v>
      </c>
      <c r="U348" s="127">
        <f>IF(INDEX(MCmin,MATCH(Table36[[#This Row],[Grist]],SMI,0))="-","-",IF(Table36[[#This Row],[F1 %MC]]="-","-",IF(Table36[[#This Row],[F1 %MC]]&lt;INDEX(MCmin,MATCH(Table36[[#This Row],[Grist]],SMI,0)),0,IF(Table36[[#This Row],[F1 %MC]]&gt;INDEX(MCmax,MATCH(Table36[[#This Row],[Grist]],SMI,0)),0,1))))</f>
        <v>0</v>
      </c>
      <c r="V348" s="127">
        <f>IF(INDEX(Protmin,MATCH(Table36[[#This Row],[Grist]],SMI,0))="-","-",IF(Table36[[#This Row],[%Protein]]="-","-",IF(Table36[[#This Row],[%Protein]]&lt;INDEX(Protmin,MATCH(Table36[[#This Row],[Grist]],SMI,0)),0,IF(Table36[[#This Row],[%Protein]]&gt;INDEX(Protmax,MATCH(Table36[[#This Row],[Grist]],SMI,0)),0,1))))</f>
        <v>1</v>
      </c>
      <c r="W348" s="127">
        <f>IF(INDEX(Ashmin,MATCH(Table36[[#This Row],[Grist]],SMI,0))="-","-",IF(Table36[[#This Row],[%Ash]]="-","-",IF(Table36[[#This Row],[%Ash]]&lt;INDEX(Ashmin,MATCH(Table36[[#This Row],[Grist]],SMI,0)),0,IF(Table36[[#This Row],[%Ash]]&gt;INDEX(Ashmax,MATCH(Table36[[#This Row],[Grist]],SMI,0)),0,1))))</f>
        <v>1</v>
      </c>
      <c r="X348" s="127">
        <f>IF(INDEX(Absmin,MATCH(Table36[[#This Row],[Grist]],SMI,0))="-","-",IF(Table36[[#This Row],[%Absorption]]="-","-",IF(Table36[[#This Row],[%Absorption]]&lt;INDEX(Absmin,MATCH(Table36[[#This Row],[Grist]],SMI,0)),0,IF(Table36[[#This Row],[%Absorption]]&gt;INDEX(Absmax,MATCH(Table36[[#This Row],[Grist]],SMI,0)),0,1))))</f>
        <v>1</v>
      </c>
      <c r="Y348" s="127" t="str">
        <f>IF(INDEX(Extmin,MATCH(Table36[[#This Row],[Grist]],SMI,0))="-","-",IF(Table36[[#This Row],[%Extensibility]]="-","-",IF(Table36[[#This Row],[%Extensibility]]&lt;INDEX(Extmin,MATCH(Table36[[#This Row],[Grist]],SMI,0)),0,IF(Table36[[#This Row],[%Extensibility]]&gt;INDEX(Extmax,MATCH(Table36[[#This Row],[Grist]],SMI,0)),0,1))))</f>
        <v>-</v>
      </c>
      <c r="Z348" s="127" t="str">
        <f>IF(INDEX(Resmin,MATCH(Table36[[#This Row],[Grist]],SMI,0))="-","-",IF(Table36[[#This Row],[Resistance, max]]="-","-",IF(Table36[[#This Row],[Resistance, max]]&lt;INDEX(Resmin,MATCH(Table36[[#This Row],[Grist]],SMI,0)),0,IF(Table36[[#This Row],[Resistance, max]]&gt;INDEX(Resmax,MATCH(Table36[[#This Row],[Grist]],SMI,0)),0,1))))</f>
        <v>-</v>
      </c>
      <c r="AA348" s="127">
        <f>IF(INDEX(WGmin,MATCH(Table36[[#This Row],[Grist]],SMI,0))="-","-",IF(Table36[[#This Row],[%Wet Gluten]]="-","-",IF(Table36[[#This Row],[%Wet Gluten]]&lt;INDEX(WGmin,MATCH(Table36[[#This Row],[Grist]],SMI,0)),0,IF(Table36[[#This Row],[%Wet Gluten]]&gt;INDEX(WGmax,MATCH(Table36[[#This Row],[Grist]],SMI,0)),0,1))))</f>
        <v>0</v>
      </c>
      <c r="AB348" s="127">
        <f>SUM(Table36[[#This Row],[ QI Bran Content]:[QI WG]])</f>
        <v>6</v>
      </c>
      <c r="AC348" s="127">
        <f>COUNT(Table36[[#This Row],[ QI Bran Content]:[QI WG]])</f>
        <v>8</v>
      </c>
    </row>
    <row r="349" spans="1:29" x14ac:dyDescent="0.35">
      <c r="A349" s="177">
        <v>45328</v>
      </c>
      <c r="B349" s="178">
        <v>45333</v>
      </c>
      <c r="C349" s="178" t="s">
        <v>128</v>
      </c>
      <c r="D349" s="179">
        <v>0.625</v>
      </c>
      <c r="E349" s="180" t="s">
        <v>0</v>
      </c>
      <c r="F349" s="181" t="s">
        <v>32</v>
      </c>
      <c r="G349" s="182">
        <v>1.3299999999999999E-2</v>
      </c>
      <c r="H349" s="175" t="s">
        <v>165</v>
      </c>
      <c r="I349" s="175" t="s">
        <v>165</v>
      </c>
      <c r="J349" s="175" t="s">
        <v>165</v>
      </c>
      <c r="K349" s="175">
        <v>11.45</v>
      </c>
      <c r="L349" s="175">
        <v>13.39</v>
      </c>
      <c r="M349" s="175">
        <v>0.61</v>
      </c>
      <c r="N349" s="175">
        <v>65.400000000000006</v>
      </c>
      <c r="O349" s="175" t="s">
        <v>163</v>
      </c>
      <c r="P349" s="175" t="s">
        <v>163</v>
      </c>
      <c r="Q349" s="175"/>
      <c r="R349" s="127">
        <f>IF(Table36[[#This Row],[ Bran Content]]="-","-",IF(G349&lt;0.02,1,0))</f>
        <v>1</v>
      </c>
      <c r="S349" s="127">
        <f>IF(Table36[[#This Row],[Sieve Test]]="-","-",IF(Table36[[#This Row],[Sieve Test]]="P",1,0))</f>
        <v>1</v>
      </c>
      <c r="T349" s="127">
        <f>IF(Table36[[#This Row],[Odor]]="-","-",IF(Table36[[#This Row],[Odor]]="P",1,0))</f>
        <v>1</v>
      </c>
      <c r="U349" s="127">
        <f>IF(INDEX(MCmin,MATCH(Table36[[#This Row],[Grist]],SMI,0))="-","-",IF(Table36[[#This Row],[F1 %MC]]="-","-",IF(Table36[[#This Row],[F1 %MC]]&lt;INDEX(MCmin,MATCH(Table36[[#This Row],[Grist]],SMI,0)),0,IF(Table36[[#This Row],[F1 %MC]]&gt;INDEX(MCmax,MATCH(Table36[[#This Row],[Grist]],SMI,0)),0,1))))</f>
        <v>0</v>
      </c>
      <c r="V349" s="127">
        <f>IF(INDEX(Protmin,MATCH(Table36[[#This Row],[Grist]],SMI,0))="-","-",IF(Table36[[#This Row],[%Protein]]="-","-",IF(Table36[[#This Row],[%Protein]]&lt;INDEX(Protmin,MATCH(Table36[[#This Row],[Grist]],SMI,0)),0,IF(Table36[[#This Row],[%Protein]]&gt;INDEX(Protmax,MATCH(Table36[[#This Row],[Grist]],SMI,0)),0,1))))</f>
        <v>1</v>
      </c>
      <c r="W349" s="127">
        <f>IF(INDEX(Ashmin,MATCH(Table36[[#This Row],[Grist]],SMI,0))="-","-",IF(Table36[[#This Row],[%Ash]]="-","-",IF(Table36[[#This Row],[%Ash]]&lt;INDEX(Ashmin,MATCH(Table36[[#This Row],[Grist]],SMI,0)),0,IF(Table36[[#This Row],[%Ash]]&gt;INDEX(Ashmax,MATCH(Table36[[#This Row],[Grist]],SMI,0)),0,1))))</f>
        <v>1</v>
      </c>
      <c r="X349" s="127">
        <f>IF(INDEX(Absmin,MATCH(Table36[[#This Row],[Grist]],SMI,0))="-","-",IF(Table36[[#This Row],[%Absorption]]="-","-",IF(Table36[[#This Row],[%Absorption]]&lt;INDEX(Absmin,MATCH(Table36[[#This Row],[Grist]],SMI,0)),0,IF(Table36[[#This Row],[%Absorption]]&gt;INDEX(Absmax,MATCH(Table36[[#This Row],[Grist]],SMI,0)),0,1))))</f>
        <v>1</v>
      </c>
      <c r="Y349" s="127" t="str">
        <f>IF(INDEX(Extmin,MATCH(Table36[[#This Row],[Grist]],SMI,0))="-","-",IF(Table36[[#This Row],[%Extensibility]]="-","-",IF(Table36[[#This Row],[%Extensibility]]&lt;INDEX(Extmin,MATCH(Table36[[#This Row],[Grist]],SMI,0)),0,IF(Table36[[#This Row],[%Extensibility]]&gt;INDEX(Extmax,MATCH(Table36[[#This Row],[Grist]],SMI,0)),0,1))))</f>
        <v>-</v>
      </c>
      <c r="Z349" s="127" t="str">
        <f>IF(INDEX(Resmin,MATCH(Table36[[#This Row],[Grist]],SMI,0))="-","-",IF(Table36[[#This Row],[Resistance, max]]="-","-",IF(Table36[[#This Row],[Resistance, max]]&lt;INDEX(Resmin,MATCH(Table36[[#This Row],[Grist]],SMI,0)),0,IF(Table36[[#This Row],[Resistance, max]]&gt;INDEX(Resmax,MATCH(Table36[[#This Row],[Grist]],SMI,0)),0,1))))</f>
        <v>-</v>
      </c>
      <c r="AA349" s="127">
        <f>IF(INDEX(WGmin,MATCH(Table36[[#This Row],[Grist]],SMI,0))="-","-",IF(Table36[[#This Row],[%Wet Gluten]]="-","-",IF(Table36[[#This Row],[%Wet Gluten]]&lt;INDEX(WGmin,MATCH(Table36[[#This Row],[Grist]],SMI,0)),0,IF(Table36[[#This Row],[%Wet Gluten]]&gt;INDEX(WGmax,MATCH(Table36[[#This Row],[Grist]],SMI,0)),0,1))))</f>
        <v>0</v>
      </c>
      <c r="AB349" s="127">
        <f>SUM(Table36[[#This Row],[ QI Bran Content]:[QI WG]])</f>
        <v>6</v>
      </c>
      <c r="AC349" s="127">
        <f>COUNT(Table36[[#This Row],[ QI Bran Content]:[QI WG]])</f>
        <v>8</v>
      </c>
    </row>
    <row r="350" spans="1:29" x14ac:dyDescent="0.35">
      <c r="A350" s="177">
        <v>45328</v>
      </c>
      <c r="B350" s="178">
        <v>45333</v>
      </c>
      <c r="C350" s="178" t="s">
        <v>128</v>
      </c>
      <c r="D350" s="179">
        <v>0.70833333333333304</v>
      </c>
      <c r="E350" s="180" t="s">
        <v>0</v>
      </c>
      <c r="F350" s="181" t="s">
        <v>32</v>
      </c>
      <c r="G350" s="182">
        <v>1.0800000000000001E-2</v>
      </c>
      <c r="H350" s="175" t="s">
        <v>165</v>
      </c>
      <c r="I350" s="175" t="s">
        <v>165</v>
      </c>
      <c r="J350" s="175" t="s">
        <v>165</v>
      </c>
      <c r="K350" s="175">
        <v>11.43</v>
      </c>
      <c r="L350" s="175" t="s">
        <v>163</v>
      </c>
      <c r="M350" s="175" t="s">
        <v>163</v>
      </c>
      <c r="N350" s="175" t="s">
        <v>163</v>
      </c>
      <c r="O350" s="175" t="s">
        <v>163</v>
      </c>
      <c r="P350" s="175" t="s">
        <v>163</v>
      </c>
      <c r="Q350" s="175"/>
      <c r="R350" s="127">
        <f>IF(Table36[[#This Row],[ Bran Content]]="-","-",IF(G350&lt;0.02,1,0))</f>
        <v>1</v>
      </c>
      <c r="S350" s="127">
        <f>IF(Table36[[#This Row],[Sieve Test]]="-","-",IF(Table36[[#This Row],[Sieve Test]]="P",1,0))</f>
        <v>1</v>
      </c>
      <c r="T350" s="127">
        <f>IF(Table36[[#This Row],[Odor]]="-","-",IF(Table36[[#This Row],[Odor]]="P",1,0))</f>
        <v>1</v>
      </c>
      <c r="U350" s="127">
        <f>IF(INDEX(MCmin,MATCH(Table36[[#This Row],[Grist]],SMI,0))="-","-",IF(Table36[[#This Row],[F1 %MC]]="-","-",IF(Table36[[#This Row],[F1 %MC]]&lt;INDEX(MCmin,MATCH(Table36[[#This Row],[Grist]],SMI,0)),0,IF(Table36[[#This Row],[F1 %MC]]&gt;INDEX(MCmax,MATCH(Table36[[#This Row],[Grist]],SMI,0)),0,1))))</f>
        <v>0</v>
      </c>
      <c r="V350" s="127" t="str">
        <f>IF(INDEX(Protmin,MATCH(Table36[[#This Row],[Grist]],SMI,0))="-","-",IF(Table36[[#This Row],[%Protein]]="-","-",IF(Table36[[#This Row],[%Protein]]&lt;INDEX(Protmin,MATCH(Table36[[#This Row],[Grist]],SMI,0)),0,IF(Table36[[#This Row],[%Protein]]&gt;INDEX(Protmax,MATCH(Table36[[#This Row],[Grist]],SMI,0)),0,1))))</f>
        <v>-</v>
      </c>
      <c r="W350" s="127" t="str">
        <f>IF(INDEX(Ashmin,MATCH(Table36[[#This Row],[Grist]],SMI,0))="-","-",IF(Table36[[#This Row],[%Ash]]="-","-",IF(Table36[[#This Row],[%Ash]]&lt;INDEX(Ashmin,MATCH(Table36[[#This Row],[Grist]],SMI,0)),0,IF(Table36[[#This Row],[%Ash]]&gt;INDEX(Ashmax,MATCH(Table36[[#This Row],[Grist]],SMI,0)),0,1))))</f>
        <v>-</v>
      </c>
      <c r="X350" s="127" t="str">
        <f>IF(INDEX(Absmin,MATCH(Table36[[#This Row],[Grist]],SMI,0))="-","-",IF(Table36[[#This Row],[%Absorption]]="-","-",IF(Table36[[#This Row],[%Absorption]]&lt;INDEX(Absmin,MATCH(Table36[[#This Row],[Grist]],SMI,0)),0,IF(Table36[[#This Row],[%Absorption]]&gt;INDEX(Absmax,MATCH(Table36[[#This Row],[Grist]],SMI,0)),0,1))))</f>
        <v>-</v>
      </c>
      <c r="Y350" s="127" t="str">
        <f>IF(INDEX(Extmin,MATCH(Table36[[#This Row],[Grist]],SMI,0))="-","-",IF(Table36[[#This Row],[%Extensibility]]="-","-",IF(Table36[[#This Row],[%Extensibility]]&lt;INDEX(Extmin,MATCH(Table36[[#This Row],[Grist]],SMI,0)),0,IF(Table36[[#This Row],[%Extensibility]]&gt;INDEX(Extmax,MATCH(Table36[[#This Row],[Grist]],SMI,0)),0,1))))</f>
        <v>-</v>
      </c>
      <c r="Z350" s="127" t="str">
        <f>IF(INDEX(Resmin,MATCH(Table36[[#This Row],[Grist]],SMI,0))="-","-",IF(Table36[[#This Row],[Resistance, max]]="-","-",IF(Table36[[#This Row],[Resistance, max]]&lt;INDEX(Resmin,MATCH(Table36[[#This Row],[Grist]],SMI,0)),0,IF(Table36[[#This Row],[Resistance, max]]&gt;INDEX(Resmax,MATCH(Table36[[#This Row],[Grist]],SMI,0)),0,1))))</f>
        <v>-</v>
      </c>
      <c r="AA350" s="127">
        <f>IF(INDEX(WGmin,MATCH(Table36[[#This Row],[Grist]],SMI,0))="-","-",IF(Table36[[#This Row],[%Wet Gluten]]="-","-",IF(Table36[[#This Row],[%Wet Gluten]]&lt;INDEX(WGmin,MATCH(Table36[[#This Row],[Grist]],SMI,0)),0,IF(Table36[[#This Row],[%Wet Gluten]]&gt;INDEX(WGmax,MATCH(Table36[[#This Row],[Grist]],SMI,0)),0,1))))</f>
        <v>0</v>
      </c>
      <c r="AB350" s="127">
        <f>SUM(Table36[[#This Row],[ QI Bran Content]:[QI WG]])</f>
        <v>3</v>
      </c>
      <c r="AC350" s="127">
        <f>COUNT(Table36[[#This Row],[ QI Bran Content]:[QI WG]])</f>
        <v>5</v>
      </c>
    </row>
    <row r="351" spans="1:29" x14ac:dyDescent="0.35">
      <c r="A351" s="177">
        <v>45328</v>
      </c>
      <c r="B351" s="178">
        <v>45333</v>
      </c>
      <c r="C351" s="178" t="s">
        <v>128</v>
      </c>
      <c r="D351" s="179">
        <v>0.79166666666666596</v>
      </c>
      <c r="E351" s="180" t="s">
        <v>0</v>
      </c>
      <c r="F351" s="181" t="s">
        <v>32</v>
      </c>
      <c r="G351" s="182">
        <v>2.1299999999999999E-2</v>
      </c>
      <c r="H351" s="175" t="s">
        <v>167</v>
      </c>
      <c r="I351" s="175" t="s">
        <v>165</v>
      </c>
      <c r="J351" s="175" t="s">
        <v>165</v>
      </c>
      <c r="K351" s="175">
        <v>11.6</v>
      </c>
      <c r="L351" s="175" t="s">
        <v>163</v>
      </c>
      <c r="M351" s="175" t="s">
        <v>163</v>
      </c>
      <c r="N351" s="175" t="s">
        <v>163</v>
      </c>
      <c r="O351" s="175" t="s">
        <v>163</v>
      </c>
      <c r="P351" s="175" t="s">
        <v>163</v>
      </c>
      <c r="Q351" s="175"/>
      <c r="R351" s="127">
        <f>IF(Table36[[#This Row],[ Bran Content]]="-","-",IF(G351&lt;0.02,1,0))</f>
        <v>0</v>
      </c>
      <c r="S351" s="127">
        <f>IF(Table36[[#This Row],[Sieve Test]]="-","-",IF(Table36[[#This Row],[Sieve Test]]="P",1,0))</f>
        <v>0</v>
      </c>
      <c r="T351" s="127">
        <f>IF(Table36[[#This Row],[Odor]]="-","-",IF(Table36[[#This Row],[Odor]]="P",1,0))</f>
        <v>1</v>
      </c>
      <c r="U351" s="127">
        <f>IF(INDEX(MCmin,MATCH(Table36[[#This Row],[Grist]],SMI,0))="-","-",IF(Table36[[#This Row],[F1 %MC]]="-","-",IF(Table36[[#This Row],[F1 %MC]]&lt;INDEX(MCmin,MATCH(Table36[[#This Row],[Grist]],SMI,0)),0,IF(Table36[[#This Row],[F1 %MC]]&gt;INDEX(MCmax,MATCH(Table36[[#This Row],[Grist]],SMI,0)),0,1))))</f>
        <v>0</v>
      </c>
      <c r="V351" s="127" t="str">
        <f>IF(INDEX(Protmin,MATCH(Table36[[#This Row],[Grist]],SMI,0))="-","-",IF(Table36[[#This Row],[%Protein]]="-","-",IF(Table36[[#This Row],[%Protein]]&lt;INDEX(Protmin,MATCH(Table36[[#This Row],[Grist]],SMI,0)),0,IF(Table36[[#This Row],[%Protein]]&gt;INDEX(Protmax,MATCH(Table36[[#This Row],[Grist]],SMI,0)),0,1))))</f>
        <v>-</v>
      </c>
      <c r="W351" s="127" t="str">
        <f>IF(INDEX(Ashmin,MATCH(Table36[[#This Row],[Grist]],SMI,0))="-","-",IF(Table36[[#This Row],[%Ash]]="-","-",IF(Table36[[#This Row],[%Ash]]&lt;INDEX(Ashmin,MATCH(Table36[[#This Row],[Grist]],SMI,0)),0,IF(Table36[[#This Row],[%Ash]]&gt;INDEX(Ashmax,MATCH(Table36[[#This Row],[Grist]],SMI,0)),0,1))))</f>
        <v>-</v>
      </c>
      <c r="X351" s="127" t="str">
        <f>IF(INDEX(Absmin,MATCH(Table36[[#This Row],[Grist]],SMI,0))="-","-",IF(Table36[[#This Row],[%Absorption]]="-","-",IF(Table36[[#This Row],[%Absorption]]&lt;INDEX(Absmin,MATCH(Table36[[#This Row],[Grist]],SMI,0)),0,IF(Table36[[#This Row],[%Absorption]]&gt;INDEX(Absmax,MATCH(Table36[[#This Row],[Grist]],SMI,0)),0,1))))</f>
        <v>-</v>
      </c>
      <c r="Y351" s="127" t="str">
        <f>IF(INDEX(Extmin,MATCH(Table36[[#This Row],[Grist]],SMI,0))="-","-",IF(Table36[[#This Row],[%Extensibility]]="-","-",IF(Table36[[#This Row],[%Extensibility]]&lt;INDEX(Extmin,MATCH(Table36[[#This Row],[Grist]],SMI,0)),0,IF(Table36[[#This Row],[%Extensibility]]&gt;INDEX(Extmax,MATCH(Table36[[#This Row],[Grist]],SMI,0)),0,1))))</f>
        <v>-</v>
      </c>
      <c r="Z351" s="127" t="str">
        <f>IF(INDEX(Resmin,MATCH(Table36[[#This Row],[Grist]],SMI,0))="-","-",IF(Table36[[#This Row],[Resistance, max]]="-","-",IF(Table36[[#This Row],[Resistance, max]]&lt;INDEX(Resmin,MATCH(Table36[[#This Row],[Grist]],SMI,0)),0,IF(Table36[[#This Row],[Resistance, max]]&gt;INDEX(Resmax,MATCH(Table36[[#This Row],[Grist]],SMI,0)),0,1))))</f>
        <v>-</v>
      </c>
      <c r="AA351" s="127">
        <f>IF(INDEX(WGmin,MATCH(Table36[[#This Row],[Grist]],SMI,0))="-","-",IF(Table36[[#This Row],[%Wet Gluten]]="-","-",IF(Table36[[#This Row],[%Wet Gluten]]&lt;INDEX(WGmin,MATCH(Table36[[#This Row],[Grist]],SMI,0)),0,IF(Table36[[#This Row],[%Wet Gluten]]&gt;INDEX(WGmax,MATCH(Table36[[#This Row],[Grist]],SMI,0)),0,1))))</f>
        <v>0</v>
      </c>
      <c r="AB351" s="127">
        <f>SUM(Table36[[#This Row],[ QI Bran Content]:[QI WG]])</f>
        <v>1</v>
      </c>
      <c r="AC351" s="127">
        <f>COUNT(Table36[[#This Row],[ QI Bran Content]:[QI WG]])</f>
        <v>5</v>
      </c>
    </row>
    <row r="352" spans="1:29" x14ac:dyDescent="0.35">
      <c r="A352" s="177">
        <v>45328</v>
      </c>
      <c r="B352" s="178">
        <v>45333</v>
      </c>
      <c r="C352" s="178" t="s">
        <v>128</v>
      </c>
      <c r="D352" s="179">
        <v>0.625</v>
      </c>
      <c r="E352" s="180" t="s">
        <v>2</v>
      </c>
      <c r="F352" s="181" t="s">
        <v>242</v>
      </c>
      <c r="G352" s="182" t="s">
        <v>257</v>
      </c>
      <c r="H352" s="175" t="s">
        <v>165</v>
      </c>
      <c r="I352" s="175" t="s">
        <v>165</v>
      </c>
      <c r="J352" s="175" t="s">
        <v>165</v>
      </c>
      <c r="K352" s="175">
        <v>11.22</v>
      </c>
      <c r="L352" s="175" t="s">
        <v>258</v>
      </c>
      <c r="M352" s="175" t="s">
        <v>259</v>
      </c>
      <c r="N352" s="175">
        <v>63.3</v>
      </c>
      <c r="O352" s="175" t="s">
        <v>163</v>
      </c>
      <c r="P352" s="175" t="s">
        <v>163</v>
      </c>
      <c r="Q352" s="175"/>
      <c r="R352" s="127">
        <f>IF(Table36[[#This Row],[ Bran Content]]="-","-",IF(G352&lt;0.02,1,0))</f>
        <v>0</v>
      </c>
      <c r="S352" s="127">
        <f>IF(Table36[[#This Row],[Sieve Test]]="-","-",IF(Table36[[#This Row],[Sieve Test]]="P",1,0))</f>
        <v>1</v>
      </c>
      <c r="T352" s="127">
        <f>IF(Table36[[#This Row],[Odor]]="-","-",IF(Table36[[#This Row],[Odor]]="P",1,0))</f>
        <v>1</v>
      </c>
      <c r="U352" s="127">
        <f>IF(INDEX(MCmin,MATCH(Table36[[#This Row],[Grist]],SMI,0))="-","-",IF(Table36[[#This Row],[F1 %MC]]="-","-",IF(Table36[[#This Row],[F1 %MC]]&lt;INDEX(MCmin,MATCH(Table36[[#This Row],[Grist]],SMI,0)),0,IF(Table36[[#This Row],[F1 %MC]]&gt;INDEX(MCmax,MATCH(Table36[[#This Row],[Grist]],SMI,0)),0,1))))</f>
        <v>0</v>
      </c>
      <c r="V352" s="127">
        <f>IF(INDEX(Protmin,MATCH(Table36[[#This Row],[Grist]],SMI,0))="-","-",IF(Table36[[#This Row],[%Protein]]="-","-",IF(Table36[[#This Row],[%Protein]]&lt;INDEX(Protmin,MATCH(Table36[[#This Row],[Grist]],SMI,0)),0,IF(Table36[[#This Row],[%Protein]]&gt;INDEX(Protmax,MATCH(Table36[[#This Row],[Grist]],SMI,0)),0,1))))</f>
        <v>0</v>
      </c>
      <c r="W352" s="127">
        <f>IF(INDEX(Ashmin,MATCH(Table36[[#This Row],[Grist]],SMI,0))="-","-",IF(Table36[[#This Row],[%Ash]]="-","-",IF(Table36[[#This Row],[%Ash]]&lt;INDEX(Ashmin,MATCH(Table36[[#This Row],[Grist]],SMI,0)),0,IF(Table36[[#This Row],[%Ash]]&gt;INDEX(Ashmax,MATCH(Table36[[#This Row],[Grist]],SMI,0)),0,1))))</f>
        <v>0</v>
      </c>
      <c r="X352" s="127">
        <f>IF(INDEX(Absmin,MATCH(Table36[[#This Row],[Grist]],SMI,0))="-","-",IF(Table36[[#This Row],[%Absorption]]="-","-",IF(Table36[[#This Row],[%Absorption]]&lt;INDEX(Absmin,MATCH(Table36[[#This Row],[Grist]],SMI,0)),0,IF(Table36[[#This Row],[%Absorption]]&gt;INDEX(Absmax,MATCH(Table36[[#This Row],[Grist]],SMI,0)),0,1))))</f>
        <v>1</v>
      </c>
      <c r="Y352" s="127" t="str">
        <f>IF(INDEX(Extmin,MATCH(Table36[[#This Row],[Grist]],SMI,0))="-","-",IF(Table36[[#This Row],[%Extensibility]]="-","-",IF(Table36[[#This Row],[%Extensibility]]&lt;INDEX(Extmin,MATCH(Table36[[#This Row],[Grist]],SMI,0)),0,IF(Table36[[#This Row],[%Extensibility]]&gt;INDEX(Extmax,MATCH(Table36[[#This Row],[Grist]],SMI,0)),0,1))))</f>
        <v>-</v>
      </c>
      <c r="Z352" s="127" t="str">
        <f>IF(INDEX(Resmin,MATCH(Table36[[#This Row],[Grist]],SMI,0))="-","-",IF(Table36[[#This Row],[Resistance, max]]="-","-",IF(Table36[[#This Row],[Resistance, max]]&lt;INDEX(Resmin,MATCH(Table36[[#This Row],[Grist]],SMI,0)),0,IF(Table36[[#This Row],[Resistance, max]]&gt;INDEX(Resmax,MATCH(Table36[[#This Row],[Grist]],SMI,0)),0,1))))</f>
        <v>-</v>
      </c>
      <c r="AA352" s="127">
        <f>IF(INDEX(WGmin,MATCH(Table36[[#This Row],[Grist]],SMI,0))="-","-",IF(Table36[[#This Row],[%Wet Gluten]]="-","-",IF(Table36[[#This Row],[%Wet Gluten]]&lt;INDEX(WGmin,MATCH(Table36[[#This Row],[Grist]],SMI,0)),0,IF(Table36[[#This Row],[%Wet Gluten]]&gt;INDEX(WGmax,MATCH(Table36[[#This Row],[Grist]],SMI,0)),0,1))))</f>
        <v>0</v>
      </c>
      <c r="AB352" s="127">
        <f>SUM(Table36[[#This Row],[ QI Bran Content]:[QI WG]])</f>
        <v>3</v>
      </c>
      <c r="AC352" s="127">
        <f>COUNT(Table36[[#This Row],[ QI Bran Content]:[QI WG]])</f>
        <v>8</v>
      </c>
    </row>
    <row r="353" spans="1:29" x14ac:dyDescent="0.35">
      <c r="A353" s="177">
        <v>45328</v>
      </c>
      <c r="B353" s="178">
        <v>45333</v>
      </c>
      <c r="C353" s="178" t="s">
        <v>128</v>
      </c>
      <c r="D353" s="179">
        <v>0.70833333333333304</v>
      </c>
      <c r="E353" s="180" t="s">
        <v>2</v>
      </c>
      <c r="F353" s="181" t="s">
        <v>242</v>
      </c>
      <c r="G353" s="182" t="s">
        <v>260</v>
      </c>
      <c r="H353" s="175" t="s">
        <v>165</v>
      </c>
      <c r="I353" s="175" t="s">
        <v>165</v>
      </c>
      <c r="J353" s="175" t="s">
        <v>165</v>
      </c>
      <c r="K353" s="175">
        <v>11.03</v>
      </c>
      <c r="L353" s="175" t="s">
        <v>163</v>
      </c>
      <c r="M353" s="175" t="s">
        <v>163</v>
      </c>
      <c r="N353" s="175" t="s">
        <v>163</v>
      </c>
      <c r="O353" s="175" t="s">
        <v>163</v>
      </c>
      <c r="P353" s="175" t="s">
        <v>163</v>
      </c>
      <c r="Q353" s="175"/>
      <c r="R353" s="127">
        <f>IF(Table36[[#This Row],[ Bran Content]]="-","-",IF(G353&lt;0.02,1,0))</f>
        <v>0</v>
      </c>
      <c r="S353" s="127">
        <f>IF(Table36[[#This Row],[Sieve Test]]="-","-",IF(Table36[[#This Row],[Sieve Test]]="P",1,0))</f>
        <v>1</v>
      </c>
      <c r="T353" s="127">
        <f>IF(Table36[[#This Row],[Odor]]="-","-",IF(Table36[[#This Row],[Odor]]="P",1,0))</f>
        <v>1</v>
      </c>
      <c r="U353" s="127">
        <f>IF(INDEX(MCmin,MATCH(Table36[[#This Row],[Grist]],SMI,0))="-","-",IF(Table36[[#This Row],[F1 %MC]]="-","-",IF(Table36[[#This Row],[F1 %MC]]&lt;INDEX(MCmin,MATCH(Table36[[#This Row],[Grist]],SMI,0)),0,IF(Table36[[#This Row],[F1 %MC]]&gt;INDEX(MCmax,MATCH(Table36[[#This Row],[Grist]],SMI,0)),0,1))))</f>
        <v>0</v>
      </c>
      <c r="V353" s="127" t="str">
        <f>IF(INDEX(Protmin,MATCH(Table36[[#This Row],[Grist]],SMI,0))="-","-",IF(Table36[[#This Row],[%Protein]]="-","-",IF(Table36[[#This Row],[%Protein]]&lt;INDEX(Protmin,MATCH(Table36[[#This Row],[Grist]],SMI,0)),0,IF(Table36[[#This Row],[%Protein]]&gt;INDEX(Protmax,MATCH(Table36[[#This Row],[Grist]],SMI,0)),0,1))))</f>
        <v>-</v>
      </c>
      <c r="W353" s="127" t="str">
        <f>IF(INDEX(Ashmin,MATCH(Table36[[#This Row],[Grist]],SMI,0))="-","-",IF(Table36[[#This Row],[%Ash]]="-","-",IF(Table36[[#This Row],[%Ash]]&lt;INDEX(Ashmin,MATCH(Table36[[#This Row],[Grist]],SMI,0)),0,IF(Table36[[#This Row],[%Ash]]&gt;INDEX(Ashmax,MATCH(Table36[[#This Row],[Grist]],SMI,0)),0,1))))</f>
        <v>-</v>
      </c>
      <c r="X353" s="127" t="str">
        <f>IF(INDEX(Absmin,MATCH(Table36[[#This Row],[Grist]],SMI,0))="-","-",IF(Table36[[#This Row],[%Absorption]]="-","-",IF(Table36[[#This Row],[%Absorption]]&lt;INDEX(Absmin,MATCH(Table36[[#This Row],[Grist]],SMI,0)),0,IF(Table36[[#This Row],[%Absorption]]&gt;INDEX(Absmax,MATCH(Table36[[#This Row],[Grist]],SMI,0)),0,1))))</f>
        <v>-</v>
      </c>
      <c r="Y353" s="127" t="str">
        <f>IF(INDEX(Extmin,MATCH(Table36[[#This Row],[Grist]],SMI,0))="-","-",IF(Table36[[#This Row],[%Extensibility]]="-","-",IF(Table36[[#This Row],[%Extensibility]]&lt;INDEX(Extmin,MATCH(Table36[[#This Row],[Grist]],SMI,0)),0,IF(Table36[[#This Row],[%Extensibility]]&gt;INDEX(Extmax,MATCH(Table36[[#This Row],[Grist]],SMI,0)),0,1))))</f>
        <v>-</v>
      </c>
      <c r="Z353" s="127" t="str">
        <f>IF(INDEX(Resmin,MATCH(Table36[[#This Row],[Grist]],SMI,0))="-","-",IF(Table36[[#This Row],[Resistance, max]]="-","-",IF(Table36[[#This Row],[Resistance, max]]&lt;INDEX(Resmin,MATCH(Table36[[#This Row],[Grist]],SMI,0)),0,IF(Table36[[#This Row],[Resistance, max]]&gt;INDEX(Resmax,MATCH(Table36[[#This Row],[Grist]],SMI,0)),0,1))))</f>
        <v>-</v>
      </c>
      <c r="AA353" s="127">
        <f>IF(INDEX(WGmin,MATCH(Table36[[#This Row],[Grist]],SMI,0))="-","-",IF(Table36[[#This Row],[%Wet Gluten]]="-","-",IF(Table36[[#This Row],[%Wet Gluten]]&lt;INDEX(WGmin,MATCH(Table36[[#This Row],[Grist]],SMI,0)),0,IF(Table36[[#This Row],[%Wet Gluten]]&gt;INDEX(WGmax,MATCH(Table36[[#This Row],[Grist]],SMI,0)),0,1))))</f>
        <v>0</v>
      </c>
      <c r="AB353" s="127">
        <f>SUM(Table36[[#This Row],[ QI Bran Content]:[QI WG]])</f>
        <v>2</v>
      </c>
      <c r="AC353" s="127">
        <f>COUNT(Table36[[#This Row],[ QI Bran Content]:[QI WG]])</f>
        <v>5</v>
      </c>
    </row>
    <row r="354" spans="1:29" x14ac:dyDescent="0.35">
      <c r="A354" s="177">
        <v>45328</v>
      </c>
      <c r="B354" s="178">
        <v>45333</v>
      </c>
      <c r="C354" s="178" t="s">
        <v>128</v>
      </c>
      <c r="D354" s="179">
        <v>0.79166666666666596</v>
      </c>
      <c r="E354" s="180" t="s">
        <v>2</v>
      </c>
      <c r="F354" s="181" t="s">
        <v>242</v>
      </c>
      <c r="G354" s="182" t="s">
        <v>261</v>
      </c>
      <c r="H354" s="175" t="s">
        <v>165</v>
      </c>
      <c r="I354" s="175" t="s">
        <v>165</v>
      </c>
      <c r="J354" s="175" t="s">
        <v>165</v>
      </c>
      <c r="K354" s="175">
        <v>11.43</v>
      </c>
      <c r="L354" s="175" t="s">
        <v>163</v>
      </c>
      <c r="M354" s="175" t="s">
        <v>163</v>
      </c>
      <c r="N354" s="175" t="s">
        <v>163</v>
      </c>
      <c r="O354" s="175" t="s">
        <v>163</v>
      </c>
      <c r="P354" s="175" t="s">
        <v>163</v>
      </c>
      <c r="Q354" s="175"/>
      <c r="R354" s="127">
        <f>IF(Table36[[#This Row],[ Bran Content]]="-","-",IF(G354&lt;0.02,1,0))</f>
        <v>0</v>
      </c>
      <c r="S354" s="127">
        <f>IF(Table36[[#This Row],[Sieve Test]]="-","-",IF(Table36[[#This Row],[Sieve Test]]="P",1,0))</f>
        <v>1</v>
      </c>
      <c r="T354" s="127">
        <f>IF(Table36[[#This Row],[Odor]]="-","-",IF(Table36[[#This Row],[Odor]]="P",1,0))</f>
        <v>1</v>
      </c>
      <c r="U354" s="127">
        <f>IF(INDEX(MCmin,MATCH(Table36[[#This Row],[Grist]],SMI,0))="-","-",IF(Table36[[#This Row],[F1 %MC]]="-","-",IF(Table36[[#This Row],[F1 %MC]]&lt;INDEX(MCmin,MATCH(Table36[[#This Row],[Grist]],SMI,0)),0,IF(Table36[[#This Row],[F1 %MC]]&gt;INDEX(MCmax,MATCH(Table36[[#This Row],[Grist]],SMI,0)),0,1))))</f>
        <v>0</v>
      </c>
      <c r="V354" s="127" t="str">
        <f>IF(INDEX(Protmin,MATCH(Table36[[#This Row],[Grist]],SMI,0))="-","-",IF(Table36[[#This Row],[%Protein]]="-","-",IF(Table36[[#This Row],[%Protein]]&lt;INDEX(Protmin,MATCH(Table36[[#This Row],[Grist]],SMI,0)),0,IF(Table36[[#This Row],[%Protein]]&gt;INDEX(Protmax,MATCH(Table36[[#This Row],[Grist]],SMI,0)),0,1))))</f>
        <v>-</v>
      </c>
      <c r="W354" s="127" t="str">
        <f>IF(INDEX(Ashmin,MATCH(Table36[[#This Row],[Grist]],SMI,0))="-","-",IF(Table36[[#This Row],[%Ash]]="-","-",IF(Table36[[#This Row],[%Ash]]&lt;INDEX(Ashmin,MATCH(Table36[[#This Row],[Grist]],SMI,0)),0,IF(Table36[[#This Row],[%Ash]]&gt;INDEX(Ashmax,MATCH(Table36[[#This Row],[Grist]],SMI,0)),0,1))))</f>
        <v>-</v>
      </c>
      <c r="X354" s="127" t="str">
        <f>IF(INDEX(Absmin,MATCH(Table36[[#This Row],[Grist]],SMI,0))="-","-",IF(Table36[[#This Row],[%Absorption]]="-","-",IF(Table36[[#This Row],[%Absorption]]&lt;INDEX(Absmin,MATCH(Table36[[#This Row],[Grist]],SMI,0)),0,IF(Table36[[#This Row],[%Absorption]]&gt;INDEX(Absmax,MATCH(Table36[[#This Row],[Grist]],SMI,0)),0,1))))</f>
        <v>-</v>
      </c>
      <c r="Y354" s="127" t="str">
        <f>IF(INDEX(Extmin,MATCH(Table36[[#This Row],[Grist]],SMI,0))="-","-",IF(Table36[[#This Row],[%Extensibility]]="-","-",IF(Table36[[#This Row],[%Extensibility]]&lt;INDEX(Extmin,MATCH(Table36[[#This Row],[Grist]],SMI,0)),0,IF(Table36[[#This Row],[%Extensibility]]&gt;INDEX(Extmax,MATCH(Table36[[#This Row],[Grist]],SMI,0)),0,1))))</f>
        <v>-</v>
      </c>
      <c r="Z354" s="127" t="str">
        <f>IF(INDEX(Resmin,MATCH(Table36[[#This Row],[Grist]],SMI,0))="-","-",IF(Table36[[#This Row],[Resistance, max]]="-","-",IF(Table36[[#This Row],[Resistance, max]]&lt;INDEX(Resmin,MATCH(Table36[[#This Row],[Grist]],SMI,0)),0,IF(Table36[[#This Row],[Resistance, max]]&gt;INDEX(Resmax,MATCH(Table36[[#This Row],[Grist]],SMI,0)),0,1))))</f>
        <v>-</v>
      </c>
      <c r="AA354" s="127">
        <f>IF(INDEX(WGmin,MATCH(Table36[[#This Row],[Grist]],SMI,0))="-","-",IF(Table36[[#This Row],[%Wet Gluten]]="-","-",IF(Table36[[#This Row],[%Wet Gluten]]&lt;INDEX(WGmin,MATCH(Table36[[#This Row],[Grist]],SMI,0)),0,IF(Table36[[#This Row],[%Wet Gluten]]&gt;INDEX(WGmax,MATCH(Table36[[#This Row],[Grist]],SMI,0)),0,1))))</f>
        <v>0</v>
      </c>
      <c r="AB354" s="127">
        <f>SUM(Table36[[#This Row],[ QI Bran Content]:[QI WG]])</f>
        <v>2</v>
      </c>
      <c r="AC354" s="127">
        <f>COUNT(Table36[[#This Row],[ QI Bran Content]:[QI WG]])</f>
        <v>5</v>
      </c>
    </row>
    <row r="355" spans="1:29" x14ac:dyDescent="0.35">
      <c r="A355" s="177">
        <v>45328</v>
      </c>
      <c r="B355" s="178">
        <v>45329</v>
      </c>
      <c r="C355" s="178" t="s">
        <v>125</v>
      </c>
      <c r="D355" s="179" t="s">
        <v>239</v>
      </c>
      <c r="E355" s="180" t="s">
        <v>0</v>
      </c>
      <c r="F355" s="181" t="s">
        <v>27</v>
      </c>
      <c r="G355" s="182">
        <v>7.0000000000000001E-3</v>
      </c>
      <c r="H355" s="175" t="s">
        <v>165</v>
      </c>
      <c r="I355" s="175" t="s">
        <v>165</v>
      </c>
      <c r="J355" s="175" t="s">
        <v>165</v>
      </c>
      <c r="K355" s="175">
        <v>12.28</v>
      </c>
      <c r="L355" s="175">
        <v>3.43</v>
      </c>
      <c r="M355" s="175">
        <v>0.51</v>
      </c>
      <c r="N355" s="175">
        <v>64.900000000000006</v>
      </c>
      <c r="O355" s="175" t="s">
        <v>163</v>
      </c>
      <c r="P355" s="175" t="s">
        <v>163</v>
      </c>
      <c r="Q355" s="175"/>
      <c r="R355" s="127">
        <f>IF(Table36[[#This Row],[ Bran Content]]="-","-",IF(G355&lt;0.02,1,0))</f>
        <v>1</v>
      </c>
      <c r="S355" s="127">
        <f>IF(Table36[[#This Row],[Sieve Test]]="-","-",IF(Table36[[#This Row],[Sieve Test]]="P",1,0))</f>
        <v>1</v>
      </c>
      <c r="T355" s="127">
        <f>IF(Table36[[#This Row],[Odor]]="-","-",IF(Table36[[#This Row],[Odor]]="P",1,0))</f>
        <v>1</v>
      </c>
      <c r="U355" s="127">
        <f>IF(INDEX(MCmin,MATCH(Table36[[#This Row],[Grist]],SMI,0))="-","-",IF(Table36[[#This Row],[F1 %MC]]="-","-",IF(Table36[[#This Row],[F1 %MC]]&lt;INDEX(MCmin,MATCH(Table36[[#This Row],[Grist]],SMI,0)),0,IF(Table36[[#This Row],[F1 %MC]]&gt;INDEX(MCmax,MATCH(Table36[[#This Row],[Grist]],SMI,0)),0,1))))</f>
        <v>1</v>
      </c>
      <c r="V355" s="127">
        <f>IF(INDEX(Protmin,MATCH(Table36[[#This Row],[Grist]],SMI,0))="-","-",IF(Table36[[#This Row],[%Protein]]="-","-",IF(Table36[[#This Row],[%Protein]]&lt;INDEX(Protmin,MATCH(Table36[[#This Row],[Grist]],SMI,0)),0,IF(Table36[[#This Row],[%Protein]]&gt;INDEX(Protmax,MATCH(Table36[[#This Row],[Grist]],SMI,0)),0,1))))</f>
        <v>0</v>
      </c>
      <c r="W355" s="127">
        <f>IF(INDEX(Ashmin,MATCH(Table36[[#This Row],[Grist]],SMI,0))="-","-",IF(Table36[[#This Row],[%Ash]]="-","-",IF(Table36[[#This Row],[%Ash]]&lt;INDEX(Ashmin,MATCH(Table36[[#This Row],[Grist]],SMI,0)),0,IF(Table36[[#This Row],[%Ash]]&gt;INDEX(Ashmax,MATCH(Table36[[#This Row],[Grist]],SMI,0)),0,1))))</f>
        <v>1</v>
      </c>
      <c r="X355" s="127">
        <f>IF(INDEX(Absmin,MATCH(Table36[[#This Row],[Grist]],SMI,0))="-","-",IF(Table36[[#This Row],[%Absorption]]="-","-",IF(Table36[[#This Row],[%Absorption]]&lt;INDEX(Absmin,MATCH(Table36[[#This Row],[Grist]],SMI,0)),0,IF(Table36[[#This Row],[%Absorption]]&gt;INDEX(Absmax,MATCH(Table36[[#This Row],[Grist]],SMI,0)),0,1))))</f>
        <v>1</v>
      </c>
      <c r="Y355" s="127" t="str">
        <f>IF(INDEX(Extmin,MATCH(Table36[[#This Row],[Grist]],SMI,0))="-","-",IF(Table36[[#This Row],[%Extensibility]]="-","-",IF(Table36[[#This Row],[%Extensibility]]&lt;INDEX(Extmin,MATCH(Table36[[#This Row],[Grist]],SMI,0)),0,IF(Table36[[#This Row],[%Extensibility]]&gt;INDEX(Extmax,MATCH(Table36[[#This Row],[Grist]],SMI,0)),0,1))))</f>
        <v>-</v>
      </c>
      <c r="Z355" s="127" t="str">
        <f>IF(INDEX(Resmin,MATCH(Table36[[#This Row],[Grist]],SMI,0))="-","-",IF(Table36[[#This Row],[Resistance, max]]="-","-",IF(Table36[[#This Row],[Resistance, max]]&lt;INDEX(Resmin,MATCH(Table36[[#This Row],[Grist]],SMI,0)),0,IF(Table36[[#This Row],[Resistance, max]]&gt;INDEX(Resmax,MATCH(Table36[[#This Row],[Grist]],SMI,0)),0,1))))</f>
        <v>-</v>
      </c>
      <c r="AA355" s="127">
        <f>IF(INDEX(WGmin,MATCH(Table36[[#This Row],[Grist]],SMI,0))="-","-",IF(Table36[[#This Row],[%Wet Gluten]]="-","-",IF(Table36[[#This Row],[%Wet Gluten]]&lt;INDEX(WGmin,MATCH(Table36[[#This Row],[Grist]],SMI,0)),0,IF(Table36[[#This Row],[%Wet Gluten]]&gt;INDEX(WGmax,MATCH(Table36[[#This Row],[Grist]],SMI,0)),0,1))))</f>
        <v>0</v>
      </c>
      <c r="AB355" s="127">
        <f>SUM(Table36[[#This Row],[ QI Bran Content]:[QI WG]])</f>
        <v>6</v>
      </c>
      <c r="AC355" s="127">
        <f>COUNT(Table36[[#This Row],[ QI Bran Content]:[QI WG]])</f>
        <v>8</v>
      </c>
    </row>
    <row r="356" spans="1:29" x14ac:dyDescent="0.35">
      <c r="A356" s="177">
        <v>45328</v>
      </c>
      <c r="B356" s="178">
        <v>45329</v>
      </c>
      <c r="C356" s="178" t="s">
        <v>125</v>
      </c>
      <c r="D356" s="179" t="s">
        <v>240</v>
      </c>
      <c r="E356" s="180" t="s">
        <v>0</v>
      </c>
      <c r="F356" s="181" t="s">
        <v>27</v>
      </c>
      <c r="G356" s="182">
        <v>6.1999999999999998E-3</v>
      </c>
      <c r="H356" s="175" t="s">
        <v>165</v>
      </c>
      <c r="I356" s="175" t="s">
        <v>165</v>
      </c>
      <c r="J356" s="175" t="s">
        <v>165</v>
      </c>
      <c r="K356" s="175">
        <v>12.51</v>
      </c>
      <c r="L356" s="175" t="s">
        <v>163</v>
      </c>
      <c r="M356" s="175" t="s">
        <v>163</v>
      </c>
      <c r="N356" s="175" t="s">
        <v>163</v>
      </c>
      <c r="O356" s="175" t="s">
        <v>163</v>
      </c>
      <c r="P356" s="175" t="s">
        <v>163</v>
      </c>
      <c r="Q356" s="175"/>
      <c r="R356" s="127">
        <f>IF(Table36[[#This Row],[ Bran Content]]="-","-",IF(G356&lt;0.02,1,0))</f>
        <v>1</v>
      </c>
      <c r="S356" s="127">
        <f>IF(Table36[[#This Row],[Sieve Test]]="-","-",IF(Table36[[#This Row],[Sieve Test]]="P",1,0))</f>
        <v>1</v>
      </c>
      <c r="T356" s="127">
        <f>IF(Table36[[#This Row],[Odor]]="-","-",IF(Table36[[#This Row],[Odor]]="P",1,0))</f>
        <v>1</v>
      </c>
      <c r="U356" s="127">
        <f>IF(INDEX(MCmin,MATCH(Table36[[#This Row],[Grist]],SMI,0))="-","-",IF(Table36[[#This Row],[F1 %MC]]="-","-",IF(Table36[[#This Row],[F1 %MC]]&lt;INDEX(MCmin,MATCH(Table36[[#This Row],[Grist]],SMI,0)),0,IF(Table36[[#This Row],[F1 %MC]]&gt;INDEX(MCmax,MATCH(Table36[[#This Row],[Grist]],SMI,0)),0,1))))</f>
        <v>1</v>
      </c>
      <c r="V356" s="127" t="str">
        <f>IF(INDEX(Protmin,MATCH(Table36[[#This Row],[Grist]],SMI,0))="-","-",IF(Table36[[#This Row],[%Protein]]="-","-",IF(Table36[[#This Row],[%Protein]]&lt;INDEX(Protmin,MATCH(Table36[[#This Row],[Grist]],SMI,0)),0,IF(Table36[[#This Row],[%Protein]]&gt;INDEX(Protmax,MATCH(Table36[[#This Row],[Grist]],SMI,0)),0,1))))</f>
        <v>-</v>
      </c>
      <c r="W356" s="127" t="str">
        <f>IF(INDEX(Ashmin,MATCH(Table36[[#This Row],[Grist]],SMI,0))="-","-",IF(Table36[[#This Row],[%Ash]]="-","-",IF(Table36[[#This Row],[%Ash]]&lt;INDEX(Ashmin,MATCH(Table36[[#This Row],[Grist]],SMI,0)),0,IF(Table36[[#This Row],[%Ash]]&gt;INDEX(Ashmax,MATCH(Table36[[#This Row],[Grist]],SMI,0)),0,1))))</f>
        <v>-</v>
      </c>
      <c r="X356" s="127" t="str">
        <f>IF(INDEX(Absmin,MATCH(Table36[[#This Row],[Grist]],SMI,0))="-","-",IF(Table36[[#This Row],[%Absorption]]="-","-",IF(Table36[[#This Row],[%Absorption]]&lt;INDEX(Absmin,MATCH(Table36[[#This Row],[Grist]],SMI,0)),0,IF(Table36[[#This Row],[%Absorption]]&gt;INDEX(Absmax,MATCH(Table36[[#This Row],[Grist]],SMI,0)),0,1))))</f>
        <v>-</v>
      </c>
      <c r="Y356" s="127" t="str">
        <f>IF(INDEX(Extmin,MATCH(Table36[[#This Row],[Grist]],SMI,0))="-","-",IF(Table36[[#This Row],[%Extensibility]]="-","-",IF(Table36[[#This Row],[%Extensibility]]&lt;INDEX(Extmin,MATCH(Table36[[#This Row],[Grist]],SMI,0)),0,IF(Table36[[#This Row],[%Extensibility]]&gt;INDEX(Extmax,MATCH(Table36[[#This Row],[Grist]],SMI,0)),0,1))))</f>
        <v>-</v>
      </c>
      <c r="Z356" s="127" t="str">
        <f>IF(INDEX(Resmin,MATCH(Table36[[#This Row],[Grist]],SMI,0))="-","-",IF(Table36[[#This Row],[Resistance, max]]="-","-",IF(Table36[[#This Row],[Resistance, max]]&lt;INDEX(Resmin,MATCH(Table36[[#This Row],[Grist]],SMI,0)),0,IF(Table36[[#This Row],[Resistance, max]]&gt;INDEX(Resmax,MATCH(Table36[[#This Row],[Grist]],SMI,0)),0,1))))</f>
        <v>-</v>
      </c>
      <c r="AA356" s="127">
        <f>IF(INDEX(WGmin,MATCH(Table36[[#This Row],[Grist]],SMI,0))="-","-",IF(Table36[[#This Row],[%Wet Gluten]]="-","-",IF(Table36[[#This Row],[%Wet Gluten]]&lt;INDEX(WGmin,MATCH(Table36[[#This Row],[Grist]],SMI,0)),0,IF(Table36[[#This Row],[%Wet Gluten]]&gt;INDEX(WGmax,MATCH(Table36[[#This Row],[Grist]],SMI,0)),0,1))))</f>
        <v>0</v>
      </c>
      <c r="AB356" s="127">
        <f>SUM(Table36[[#This Row],[ QI Bran Content]:[QI WG]])</f>
        <v>4</v>
      </c>
      <c r="AC356" s="127">
        <f>COUNT(Table36[[#This Row],[ QI Bran Content]:[QI WG]])</f>
        <v>5</v>
      </c>
    </row>
    <row r="357" spans="1:29" x14ac:dyDescent="0.35">
      <c r="A357" s="177">
        <v>45328</v>
      </c>
      <c r="B357" s="178">
        <v>45329</v>
      </c>
      <c r="C357" s="178" t="s">
        <v>125</v>
      </c>
      <c r="D357" s="179" t="s">
        <v>237</v>
      </c>
      <c r="E357" s="180" t="s">
        <v>0</v>
      </c>
      <c r="F357" s="181" t="s">
        <v>27</v>
      </c>
      <c r="G357" s="182">
        <v>2.8400000000000002E-2</v>
      </c>
      <c r="H357" s="175" t="s">
        <v>167</v>
      </c>
      <c r="I357" s="175" t="s">
        <v>165</v>
      </c>
      <c r="J357" s="175" t="s">
        <v>165</v>
      </c>
      <c r="K357" s="175">
        <v>11.65</v>
      </c>
      <c r="L357" s="175" t="s">
        <v>163</v>
      </c>
      <c r="M357" s="175" t="s">
        <v>163</v>
      </c>
      <c r="N357" s="175" t="s">
        <v>163</v>
      </c>
      <c r="O357" s="175" t="s">
        <v>163</v>
      </c>
      <c r="P357" s="175" t="s">
        <v>163</v>
      </c>
      <c r="Q357" s="175"/>
      <c r="R357" s="127">
        <f>IF(Table36[[#This Row],[ Bran Content]]="-","-",IF(G357&lt;0.02,1,0))</f>
        <v>0</v>
      </c>
      <c r="S357" s="127">
        <f>IF(Table36[[#This Row],[Sieve Test]]="-","-",IF(Table36[[#This Row],[Sieve Test]]="P",1,0))</f>
        <v>0</v>
      </c>
      <c r="T357" s="127">
        <f>IF(Table36[[#This Row],[Odor]]="-","-",IF(Table36[[#This Row],[Odor]]="P",1,0))</f>
        <v>1</v>
      </c>
      <c r="U357" s="127">
        <f>IF(INDEX(MCmin,MATCH(Table36[[#This Row],[Grist]],SMI,0))="-","-",IF(Table36[[#This Row],[F1 %MC]]="-","-",IF(Table36[[#This Row],[F1 %MC]]&lt;INDEX(MCmin,MATCH(Table36[[#This Row],[Grist]],SMI,0)),0,IF(Table36[[#This Row],[F1 %MC]]&gt;INDEX(MCmax,MATCH(Table36[[#This Row],[Grist]],SMI,0)),0,1))))</f>
        <v>0</v>
      </c>
      <c r="V357" s="127" t="str">
        <f>IF(INDEX(Protmin,MATCH(Table36[[#This Row],[Grist]],SMI,0))="-","-",IF(Table36[[#This Row],[%Protein]]="-","-",IF(Table36[[#This Row],[%Protein]]&lt;INDEX(Protmin,MATCH(Table36[[#This Row],[Grist]],SMI,0)),0,IF(Table36[[#This Row],[%Protein]]&gt;INDEX(Protmax,MATCH(Table36[[#This Row],[Grist]],SMI,0)),0,1))))</f>
        <v>-</v>
      </c>
      <c r="W357" s="127" t="str">
        <f>IF(INDEX(Ashmin,MATCH(Table36[[#This Row],[Grist]],SMI,0))="-","-",IF(Table36[[#This Row],[%Ash]]="-","-",IF(Table36[[#This Row],[%Ash]]&lt;INDEX(Ashmin,MATCH(Table36[[#This Row],[Grist]],SMI,0)),0,IF(Table36[[#This Row],[%Ash]]&gt;INDEX(Ashmax,MATCH(Table36[[#This Row],[Grist]],SMI,0)),0,1))))</f>
        <v>-</v>
      </c>
      <c r="X357" s="127" t="str">
        <f>IF(INDEX(Absmin,MATCH(Table36[[#This Row],[Grist]],SMI,0))="-","-",IF(Table36[[#This Row],[%Absorption]]="-","-",IF(Table36[[#This Row],[%Absorption]]&lt;INDEX(Absmin,MATCH(Table36[[#This Row],[Grist]],SMI,0)),0,IF(Table36[[#This Row],[%Absorption]]&gt;INDEX(Absmax,MATCH(Table36[[#This Row],[Grist]],SMI,0)),0,1))))</f>
        <v>-</v>
      </c>
      <c r="Y357" s="127" t="str">
        <f>IF(INDEX(Extmin,MATCH(Table36[[#This Row],[Grist]],SMI,0))="-","-",IF(Table36[[#This Row],[%Extensibility]]="-","-",IF(Table36[[#This Row],[%Extensibility]]&lt;INDEX(Extmin,MATCH(Table36[[#This Row],[Grist]],SMI,0)),0,IF(Table36[[#This Row],[%Extensibility]]&gt;INDEX(Extmax,MATCH(Table36[[#This Row],[Grist]],SMI,0)),0,1))))</f>
        <v>-</v>
      </c>
      <c r="Z357" s="127" t="str">
        <f>IF(INDEX(Resmin,MATCH(Table36[[#This Row],[Grist]],SMI,0))="-","-",IF(Table36[[#This Row],[Resistance, max]]="-","-",IF(Table36[[#This Row],[Resistance, max]]&lt;INDEX(Resmin,MATCH(Table36[[#This Row],[Grist]],SMI,0)),0,IF(Table36[[#This Row],[Resistance, max]]&gt;INDEX(Resmax,MATCH(Table36[[#This Row],[Grist]],SMI,0)),0,1))))</f>
        <v>-</v>
      </c>
      <c r="AA357" s="127">
        <f>IF(INDEX(WGmin,MATCH(Table36[[#This Row],[Grist]],SMI,0))="-","-",IF(Table36[[#This Row],[%Wet Gluten]]="-","-",IF(Table36[[#This Row],[%Wet Gluten]]&lt;INDEX(WGmin,MATCH(Table36[[#This Row],[Grist]],SMI,0)),0,IF(Table36[[#This Row],[%Wet Gluten]]&gt;INDEX(WGmax,MATCH(Table36[[#This Row],[Grist]],SMI,0)),0,1))))</f>
        <v>0</v>
      </c>
      <c r="AB357" s="127">
        <f>SUM(Table36[[#This Row],[ QI Bran Content]:[QI WG]])</f>
        <v>1</v>
      </c>
      <c r="AC357" s="127">
        <f>COUNT(Table36[[#This Row],[ QI Bran Content]:[QI WG]])</f>
        <v>5</v>
      </c>
    </row>
    <row r="358" spans="1:29" x14ac:dyDescent="0.35">
      <c r="A358" s="177">
        <v>45328</v>
      </c>
      <c r="B358" s="178">
        <v>45330</v>
      </c>
      <c r="C358" s="178" t="s">
        <v>125</v>
      </c>
      <c r="D358" s="179" t="s">
        <v>239</v>
      </c>
      <c r="E358" s="180" t="s">
        <v>0</v>
      </c>
      <c r="F358" s="181" t="s">
        <v>27</v>
      </c>
      <c r="G358" s="182">
        <v>5.7999999999999996E-3</v>
      </c>
      <c r="H358" s="175" t="s">
        <v>165</v>
      </c>
      <c r="I358" s="175" t="s">
        <v>165</v>
      </c>
      <c r="J358" s="175" t="s">
        <v>165</v>
      </c>
      <c r="K358" s="175">
        <v>12.07</v>
      </c>
      <c r="L358" s="175">
        <v>13.29</v>
      </c>
      <c r="M358" s="175">
        <v>0.54</v>
      </c>
      <c r="N358" s="175">
        <v>64.2</v>
      </c>
      <c r="O358" s="175" t="s">
        <v>163</v>
      </c>
      <c r="P358" s="175" t="s">
        <v>163</v>
      </c>
      <c r="Q358" s="175"/>
      <c r="R358" s="127">
        <f>IF(Table36[[#This Row],[ Bran Content]]="-","-",IF(G358&lt;0.02,1,0))</f>
        <v>1</v>
      </c>
      <c r="S358" s="127">
        <f>IF(Table36[[#This Row],[Sieve Test]]="-","-",IF(Table36[[#This Row],[Sieve Test]]="P",1,0))</f>
        <v>1</v>
      </c>
      <c r="T358" s="127">
        <f>IF(Table36[[#This Row],[Odor]]="-","-",IF(Table36[[#This Row],[Odor]]="P",1,0))</f>
        <v>1</v>
      </c>
      <c r="U358" s="127">
        <f>IF(INDEX(MCmin,MATCH(Table36[[#This Row],[Grist]],SMI,0))="-","-",IF(Table36[[#This Row],[F1 %MC]]="-","-",IF(Table36[[#This Row],[F1 %MC]]&lt;INDEX(MCmin,MATCH(Table36[[#This Row],[Grist]],SMI,0)),0,IF(Table36[[#This Row],[F1 %MC]]&gt;INDEX(MCmax,MATCH(Table36[[#This Row],[Grist]],SMI,0)),0,1))))</f>
        <v>1</v>
      </c>
      <c r="V358" s="127">
        <f>IF(INDEX(Protmin,MATCH(Table36[[#This Row],[Grist]],SMI,0))="-","-",IF(Table36[[#This Row],[%Protein]]="-","-",IF(Table36[[#This Row],[%Protein]]&lt;INDEX(Protmin,MATCH(Table36[[#This Row],[Grist]],SMI,0)),0,IF(Table36[[#This Row],[%Protein]]&gt;INDEX(Protmax,MATCH(Table36[[#This Row],[Grist]],SMI,0)),0,1))))</f>
        <v>1</v>
      </c>
      <c r="W358" s="127">
        <f>IF(INDEX(Ashmin,MATCH(Table36[[#This Row],[Grist]],SMI,0))="-","-",IF(Table36[[#This Row],[%Ash]]="-","-",IF(Table36[[#This Row],[%Ash]]&lt;INDEX(Ashmin,MATCH(Table36[[#This Row],[Grist]],SMI,0)),0,IF(Table36[[#This Row],[%Ash]]&gt;INDEX(Ashmax,MATCH(Table36[[#This Row],[Grist]],SMI,0)),0,1))))</f>
        <v>1</v>
      </c>
      <c r="X358" s="127">
        <f>IF(INDEX(Absmin,MATCH(Table36[[#This Row],[Grist]],SMI,0))="-","-",IF(Table36[[#This Row],[%Absorption]]="-","-",IF(Table36[[#This Row],[%Absorption]]&lt;INDEX(Absmin,MATCH(Table36[[#This Row],[Grist]],SMI,0)),0,IF(Table36[[#This Row],[%Absorption]]&gt;INDEX(Absmax,MATCH(Table36[[#This Row],[Grist]],SMI,0)),0,1))))</f>
        <v>1</v>
      </c>
      <c r="Y358" s="127" t="str">
        <f>IF(INDEX(Extmin,MATCH(Table36[[#This Row],[Grist]],SMI,0))="-","-",IF(Table36[[#This Row],[%Extensibility]]="-","-",IF(Table36[[#This Row],[%Extensibility]]&lt;INDEX(Extmin,MATCH(Table36[[#This Row],[Grist]],SMI,0)),0,IF(Table36[[#This Row],[%Extensibility]]&gt;INDEX(Extmax,MATCH(Table36[[#This Row],[Grist]],SMI,0)),0,1))))</f>
        <v>-</v>
      </c>
      <c r="Z358" s="127" t="str">
        <f>IF(INDEX(Resmin,MATCH(Table36[[#This Row],[Grist]],SMI,0))="-","-",IF(Table36[[#This Row],[Resistance, max]]="-","-",IF(Table36[[#This Row],[Resistance, max]]&lt;INDEX(Resmin,MATCH(Table36[[#This Row],[Grist]],SMI,0)),0,IF(Table36[[#This Row],[Resistance, max]]&gt;INDEX(Resmax,MATCH(Table36[[#This Row],[Grist]],SMI,0)),0,1))))</f>
        <v>-</v>
      </c>
      <c r="AA358" s="127">
        <f>IF(INDEX(WGmin,MATCH(Table36[[#This Row],[Grist]],SMI,0))="-","-",IF(Table36[[#This Row],[%Wet Gluten]]="-","-",IF(Table36[[#This Row],[%Wet Gluten]]&lt;INDEX(WGmin,MATCH(Table36[[#This Row],[Grist]],SMI,0)),0,IF(Table36[[#This Row],[%Wet Gluten]]&gt;INDEX(WGmax,MATCH(Table36[[#This Row],[Grist]],SMI,0)),0,1))))</f>
        <v>0</v>
      </c>
      <c r="AB358" s="127">
        <f>SUM(Table36[[#This Row],[ QI Bran Content]:[QI WG]])</f>
        <v>7</v>
      </c>
      <c r="AC358" s="127">
        <f>COUNT(Table36[[#This Row],[ QI Bran Content]:[QI WG]])</f>
        <v>8</v>
      </c>
    </row>
    <row r="359" spans="1:29" x14ac:dyDescent="0.35">
      <c r="A359" s="177">
        <v>45328</v>
      </c>
      <c r="B359" s="178">
        <v>45330</v>
      </c>
      <c r="C359" s="178" t="s">
        <v>125</v>
      </c>
      <c r="D359" s="179" t="s">
        <v>240</v>
      </c>
      <c r="E359" s="180" t="s">
        <v>0</v>
      </c>
      <c r="F359" s="181" t="s">
        <v>27</v>
      </c>
      <c r="G359" s="182">
        <v>6.4999999999999997E-3</v>
      </c>
      <c r="H359" s="175" t="s">
        <v>165</v>
      </c>
      <c r="I359" s="175" t="s">
        <v>165</v>
      </c>
      <c r="J359" s="175" t="s">
        <v>165</v>
      </c>
      <c r="K359" s="175">
        <v>12.09</v>
      </c>
      <c r="L359" s="175" t="s">
        <v>163</v>
      </c>
      <c r="M359" s="175" t="s">
        <v>163</v>
      </c>
      <c r="N359" s="175" t="s">
        <v>163</v>
      </c>
      <c r="O359" s="175" t="s">
        <v>163</v>
      </c>
      <c r="P359" s="175" t="s">
        <v>163</v>
      </c>
      <c r="Q359" s="175"/>
      <c r="R359" s="127">
        <f>IF(Table36[[#This Row],[ Bran Content]]="-","-",IF(G359&lt;0.02,1,0))</f>
        <v>1</v>
      </c>
      <c r="S359" s="127">
        <f>IF(Table36[[#This Row],[Sieve Test]]="-","-",IF(Table36[[#This Row],[Sieve Test]]="P",1,0))</f>
        <v>1</v>
      </c>
      <c r="T359" s="127">
        <f>IF(Table36[[#This Row],[Odor]]="-","-",IF(Table36[[#This Row],[Odor]]="P",1,0))</f>
        <v>1</v>
      </c>
      <c r="U359" s="127">
        <f>IF(INDEX(MCmin,MATCH(Table36[[#This Row],[Grist]],SMI,0))="-","-",IF(Table36[[#This Row],[F1 %MC]]="-","-",IF(Table36[[#This Row],[F1 %MC]]&lt;INDEX(MCmin,MATCH(Table36[[#This Row],[Grist]],SMI,0)),0,IF(Table36[[#This Row],[F1 %MC]]&gt;INDEX(MCmax,MATCH(Table36[[#This Row],[Grist]],SMI,0)),0,1))))</f>
        <v>1</v>
      </c>
      <c r="V359" s="127" t="str">
        <f>IF(INDEX(Protmin,MATCH(Table36[[#This Row],[Grist]],SMI,0))="-","-",IF(Table36[[#This Row],[%Protein]]="-","-",IF(Table36[[#This Row],[%Protein]]&lt;INDEX(Protmin,MATCH(Table36[[#This Row],[Grist]],SMI,0)),0,IF(Table36[[#This Row],[%Protein]]&gt;INDEX(Protmax,MATCH(Table36[[#This Row],[Grist]],SMI,0)),0,1))))</f>
        <v>-</v>
      </c>
      <c r="W359" s="127" t="str">
        <f>IF(INDEX(Ashmin,MATCH(Table36[[#This Row],[Grist]],SMI,0))="-","-",IF(Table36[[#This Row],[%Ash]]="-","-",IF(Table36[[#This Row],[%Ash]]&lt;INDEX(Ashmin,MATCH(Table36[[#This Row],[Grist]],SMI,0)),0,IF(Table36[[#This Row],[%Ash]]&gt;INDEX(Ashmax,MATCH(Table36[[#This Row],[Grist]],SMI,0)),0,1))))</f>
        <v>-</v>
      </c>
      <c r="X359" s="127" t="str">
        <f>IF(INDEX(Absmin,MATCH(Table36[[#This Row],[Grist]],SMI,0))="-","-",IF(Table36[[#This Row],[%Absorption]]="-","-",IF(Table36[[#This Row],[%Absorption]]&lt;INDEX(Absmin,MATCH(Table36[[#This Row],[Grist]],SMI,0)),0,IF(Table36[[#This Row],[%Absorption]]&gt;INDEX(Absmax,MATCH(Table36[[#This Row],[Grist]],SMI,0)),0,1))))</f>
        <v>-</v>
      </c>
      <c r="Y359" s="127" t="str">
        <f>IF(INDEX(Extmin,MATCH(Table36[[#This Row],[Grist]],SMI,0))="-","-",IF(Table36[[#This Row],[%Extensibility]]="-","-",IF(Table36[[#This Row],[%Extensibility]]&lt;INDEX(Extmin,MATCH(Table36[[#This Row],[Grist]],SMI,0)),0,IF(Table36[[#This Row],[%Extensibility]]&gt;INDEX(Extmax,MATCH(Table36[[#This Row],[Grist]],SMI,0)),0,1))))</f>
        <v>-</v>
      </c>
      <c r="Z359" s="127" t="str">
        <f>IF(INDEX(Resmin,MATCH(Table36[[#This Row],[Grist]],SMI,0))="-","-",IF(Table36[[#This Row],[Resistance, max]]="-","-",IF(Table36[[#This Row],[Resistance, max]]&lt;INDEX(Resmin,MATCH(Table36[[#This Row],[Grist]],SMI,0)),0,IF(Table36[[#This Row],[Resistance, max]]&gt;INDEX(Resmax,MATCH(Table36[[#This Row],[Grist]],SMI,0)),0,1))))</f>
        <v>-</v>
      </c>
      <c r="AA359" s="127">
        <f>IF(INDEX(WGmin,MATCH(Table36[[#This Row],[Grist]],SMI,0))="-","-",IF(Table36[[#This Row],[%Wet Gluten]]="-","-",IF(Table36[[#This Row],[%Wet Gluten]]&lt;INDEX(WGmin,MATCH(Table36[[#This Row],[Grist]],SMI,0)),0,IF(Table36[[#This Row],[%Wet Gluten]]&gt;INDEX(WGmax,MATCH(Table36[[#This Row],[Grist]],SMI,0)),0,1))))</f>
        <v>0</v>
      </c>
      <c r="AB359" s="127">
        <f>SUM(Table36[[#This Row],[ QI Bran Content]:[QI WG]])</f>
        <v>4</v>
      </c>
      <c r="AC359" s="127">
        <f>COUNT(Table36[[#This Row],[ QI Bran Content]:[QI WG]])</f>
        <v>5</v>
      </c>
    </row>
    <row r="360" spans="1:29" x14ac:dyDescent="0.35">
      <c r="A360" s="177">
        <v>45328</v>
      </c>
      <c r="B360" s="178">
        <v>45330</v>
      </c>
      <c r="C360" s="178" t="s">
        <v>125</v>
      </c>
      <c r="D360" s="179" t="s">
        <v>237</v>
      </c>
      <c r="E360" s="180" t="s">
        <v>0</v>
      </c>
      <c r="F360" s="181" t="s">
        <v>27</v>
      </c>
      <c r="G360" s="182">
        <v>4.1000000000000003E-3</v>
      </c>
      <c r="H360" s="175" t="s">
        <v>165</v>
      </c>
      <c r="I360" s="175" t="s">
        <v>165</v>
      </c>
      <c r="J360" s="175" t="s">
        <v>165</v>
      </c>
      <c r="K360" s="175">
        <v>11.91</v>
      </c>
      <c r="L360" s="175" t="s">
        <v>163</v>
      </c>
      <c r="M360" s="175" t="s">
        <v>163</v>
      </c>
      <c r="N360" s="175" t="s">
        <v>163</v>
      </c>
      <c r="O360" s="175" t="s">
        <v>163</v>
      </c>
      <c r="P360" s="175" t="s">
        <v>163</v>
      </c>
      <c r="Q360" s="175"/>
      <c r="R360" s="127">
        <f>IF(Table36[[#This Row],[ Bran Content]]="-","-",IF(G360&lt;0.02,1,0))</f>
        <v>1</v>
      </c>
      <c r="S360" s="127">
        <f>IF(Table36[[#This Row],[Sieve Test]]="-","-",IF(Table36[[#This Row],[Sieve Test]]="P",1,0))</f>
        <v>1</v>
      </c>
      <c r="T360" s="127">
        <f>IF(Table36[[#This Row],[Odor]]="-","-",IF(Table36[[#This Row],[Odor]]="P",1,0))</f>
        <v>1</v>
      </c>
      <c r="U360" s="127">
        <f>IF(INDEX(MCmin,MATCH(Table36[[#This Row],[Grist]],SMI,0))="-","-",IF(Table36[[#This Row],[F1 %MC]]="-","-",IF(Table36[[#This Row],[F1 %MC]]&lt;INDEX(MCmin,MATCH(Table36[[#This Row],[Grist]],SMI,0)),0,IF(Table36[[#This Row],[F1 %MC]]&gt;INDEX(MCmax,MATCH(Table36[[#This Row],[Grist]],SMI,0)),0,1))))</f>
        <v>0</v>
      </c>
      <c r="V360" s="127" t="str">
        <f>IF(INDEX(Protmin,MATCH(Table36[[#This Row],[Grist]],SMI,0))="-","-",IF(Table36[[#This Row],[%Protein]]="-","-",IF(Table36[[#This Row],[%Protein]]&lt;INDEX(Protmin,MATCH(Table36[[#This Row],[Grist]],SMI,0)),0,IF(Table36[[#This Row],[%Protein]]&gt;INDEX(Protmax,MATCH(Table36[[#This Row],[Grist]],SMI,0)),0,1))))</f>
        <v>-</v>
      </c>
      <c r="W360" s="127" t="str">
        <f>IF(INDEX(Ashmin,MATCH(Table36[[#This Row],[Grist]],SMI,0))="-","-",IF(Table36[[#This Row],[%Ash]]="-","-",IF(Table36[[#This Row],[%Ash]]&lt;INDEX(Ashmin,MATCH(Table36[[#This Row],[Grist]],SMI,0)),0,IF(Table36[[#This Row],[%Ash]]&gt;INDEX(Ashmax,MATCH(Table36[[#This Row],[Grist]],SMI,0)),0,1))))</f>
        <v>-</v>
      </c>
      <c r="X360" s="127" t="str">
        <f>IF(INDEX(Absmin,MATCH(Table36[[#This Row],[Grist]],SMI,0))="-","-",IF(Table36[[#This Row],[%Absorption]]="-","-",IF(Table36[[#This Row],[%Absorption]]&lt;INDEX(Absmin,MATCH(Table36[[#This Row],[Grist]],SMI,0)),0,IF(Table36[[#This Row],[%Absorption]]&gt;INDEX(Absmax,MATCH(Table36[[#This Row],[Grist]],SMI,0)),0,1))))</f>
        <v>-</v>
      </c>
      <c r="Y360" s="127" t="str">
        <f>IF(INDEX(Extmin,MATCH(Table36[[#This Row],[Grist]],SMI,0))="-","-",IF(Table36[[#This Row],[%Extensibility]]="-","-",IF(Table36[[#This Row],[%Extensibility]]&lt;INDEX(Extmin,MATCH(Table36[[#This Row],[Grist]],SMI,0)),0,IF(Table36[[#This Row],[%Extensibility]]&gt;INDEX(Extmax,MATCH(Table36[[#This Row],[Grist]],SMI,0)),0,1))))</f>
        <v>-</v>
      </c>
      <c r="Z360" s="127" t="str">
        <f>IF(INDEX(Resmin,MATCH(Table36[[#This Row],[Grist]],SMI,0))="-","-",IF(Table36[[#This Row],[Resistance, max]]="-","-",IF(Table36[[#This Row],[Resistance, max]]&lt;INDEX(Resmin,MATCH(Table36[[#This Row],[Grist]],SMI,0)),0,IF(Table36[[#This Row],[Resistance, max]]&gt;INDEX(Resmax,MATCH(Table36[[#This Row],[Grist]],SMI,0)),0,1))))</f>
        <v>-</v>
      </c>
      <c r="AA360" s="127">
        <f>IF(INDEX(WGmin,MATCH(Table36[[#This Row],[Grist]],SMI,0))="-","-",IF(Table36[[#This Row],[%Wet Gluten]]="-","-",IF(Table36[[#This Row],[%Wet Gluten]]&lt;INDEX(WGmin,MATCH(Table36[[#This Row],[Grist]],SMI,0)),0,IF(Table36[[#This Row],[%Wet Gluten]]&gt;INDEX(WGmax,MATCH(Table36[[#This Row],[Grist]],SMI,0)),0,1))))</f>
        <v>0</v>
      </c>
      <c r="AB360" s="127">
        <f>SUM(Table36[[#This Row],[ QI Bran Content]:[QI WG]])</f>
        <v>3</v>
      </c>
      <c r="AC360" s="127">
        <f>COUNT(Table36[[#This Row],[ QI Bran Content]:[QI WG]])</f>
        <v>5</v>
      </c>
    </row>
    <row r="361" spans="1:29" x14ac:dyDescent="0.35">
      <c r="A361" s="177">
        <v>45328</v>
      </c>
      <c r="B361" s="178">
        <v>45330</v>
      </c>
      <c r="C361" s="178" t="s">
        <v>125</v>
      </c>
      <c r="D361" s="179" t="s">
        <v>238</v>
      </c>
      <c r="E361" s="180" t="s">
        <v>0</v>
      </c>
      <c r="F361" s="181" t="s">
        <v>27</v>
      </c>
      <c r="G361" s="182">
        <v>9.1999999999999998E-3</v>
      </c>
      <c r="H361" s="175" t="s">
        <v>165</v>
      </c>
      <c r="I361" s="175" t="s">
        <v>165</v>
      </c>
      <c r="J361" s="175" t="s">
        <v>165</v>
      </c>
      <c r="K361" s="175">
        <v>12.05</v>
      </c>
      <c r="L361" s="175" t="s">
        <v>163</v>
      </c>
      <c r="M361" s="175" t="s">
        <v>163</v>
      </c>
      <c r="N361" s="175" t="s">
        <v>163</v>
      </c>
      <c r="O361" s="175" t="s">
        <v>163</v>
      </c>
      <c r="P361" s="175" t="s">
        <v>163</v>
      </c>
      <c r="Q361" s="175"/>
      <c r="R361" s="127">
        <f>IF(Table36[[#This Row],[ Bran Content]]="-","-",IF(G361&lt;0.02,1,0))</f>
        <v>1</v>
      </c>
      <c r="S361" s="127">
        <f>IF(Table36[[#This Row],[Sieve Test]]="-","-",IF(Table36[[#This Row],[Sieve Test]]="P",1,0))</f>
        <v>1</v>
      </c>
      <c r="T361" s="127">
        <f>IF(Table36[[#This Row],[Odor]]="-","-",IF(Table36[[#This Row],[Odor]]="P",1,0))</f>
        <v>1</v>
      </c>
      <c r="U361" s="127">
        <f>IF(INDEX(MCmin,MATCH(Table36[[#This Row],[Grist]],SMI,0))="-","-",IF(Table36[[#This Row],[F1 %MC]]="-","-",IF(Table36[[#This Row],[F1 %MC]]&lt;INDEX(MCmin,MATCH(Table36[[#This Row],[Grist]],SMI,0)),0,IF(Table36[[#This Row],[F1 %MC]]&gt;INDEX(MCmax,MATCH(Table36[[#This Row],[Grist]],SMI,0)),0,1))))</f>
        <v>1</v>
      </c>
      <c r="V361" s="127" t="str">
        <f>IF(INDEX(Protmin,MATCH(Table36[[#This Row],[Grist]],SMI,0))="-","-",IF(Table36[[#This Row],[%Protein]]="-","-",IF(Table36[[#This Row],[%Protein]]&lt;INDEX(Protmin,MATCH(Table36[[#This Row],[Grist]],SMI,0)),0,IF(Table36[[#This Row],[%Protein]]&gt;INDEX(Protmax,MATCH(Table36[[#This Row],[Grist]],SMI,0)),0,1))))</f>
        <v>-</v>
      </c>
      <c r="W361" s="127" t="str">
        <f>IF(INDEX(Ashmin,MATCH(Table36[[#This Row],[Grist]],SMI,0))="-","-",IF(Table36[[#This Row],[%Ash]]="-","-",IF(Table36[[#This Row],[%Ash]]&lt;INDEX(Ashmin,MATCH(Table36[[#This Row],[Grist]],SMI,0)),0,IF(Table36[[#This Row],[%Ash]]&gt;INDEX(Ashmax,MATCH(Table36[[#This Row],[Grist]],SMI,0)),0,1))))</f>
        <v>-</v>
      </c>
      <c r="X361" s="127" t="str">
        <f>IF(INDEX(Absmin,MATCH(Table36[[#This Row],[Grist]],SMI,0))="-","-",IF(Table36[[#This Row],[%Absorption]]="-","-",IF(Table36[[#This Row],[%Absorption]]&lt;INDEX(Absmin,MATCH(Table36[[#This Row],[Grist]],SMI,0)),0,IF(Table36[[#This Row],[%Absorption]]&gt;INDEX(Absmax,MATCH(Table36[[#This Row],[Grist]],SMI,0)),0,1))))</f>
        <v>-</v>
      </c>
      <c r="Y361" s="127" t="str">
        <f>IF(INDEX(Extmin,MATCH(Table36[[#This Row],[Grist]],SMI,0))="-","-",IF(Table36[[#This Row],[%Extensibility]]="-","-",IF(Table36[[#This Row],[%Extensibility]]&lt;INDEX(Extmin,MATCH(Table36[[#This Row],[Grist]],SMI,0)),0,IF(Table36[[#This Row],[%Extensibility]]&gt;INDEX(Extmax,MATCH(Table36[[#This Row],[Grist]],SMI,0)),0,1))))</f>
        <v>-</v>
      </c>
      <c r="Z361" s="127" t="str">
        <f>IF(INDEX(Resmin,MATCH(Table36[[#This Row],[Grist]],SMI,0))="-","-",IF(Table36[[#This Row],[Resistance, max]]="-","-",IF(Table36[[#This Row],[Resistance, max]]&lt;INDEX(Resmin,MATCH(Table36[[#This Row],[Grist]],SMI,0)),0,IF(Table36[[#This Row],[Resistance, max]]&gt;INDEX(Resmax,MATCH(Table36[[#This Row],[Grist]],SMI,0)),0,1))))</f>
        <v>-</v>
      </c>
      <c r="AA361" s="127">
        <f>IF(INDEX(WGmin,MATCH(Table36[[#This Row],[Grist]],SMI,0))="-","-",IF(Table36[[#This Row],[%Wet Gluten]]="-","-",IF(Table36[[#This Row],[%Wet Gluten]]&lt;INDEX(WGmin,MATCH(Table36[[#This Row],[Grist]],SMI,0)),0,IF(Table36[[#This Row],[%Wet Gluten]]&gt;INDEX(WGmax,MATCH(Table36[[#This Row],[Grist]],SMI,0)),0,1))))</f>
        <v>0</v>
      </c>
      <c r="AB361" s="127">
        <f>SUM(Table36[[#This Row],[ QI Bran Content]:[QI WG]])</f>
        <v>4</v>
      </c>
      <c r="AC361" s="127">
        <f>COUNT(Table36[[#This Row],[ QI Bran Content]:[QI WG]])</f>
        <v>5</v>
      </c>
    </row>
    <row r="362" spans="1:29" x14ac:dyDescent="0.35">
      <c r="A362" s="177">
        <v>45328</v>
      </c>
      <c r="B362" s="178">
        <v>45330</v>
      </c>
      <c r="C362" s="178" t="s">
        <v>128</v>
      </c>
      <c r="D362" s="179">
        <v>0.874999999999999</v>
      </c>
      <c r="E362" s="180" t="s">
        <v>0</v>
      </c>
      <c r="F362" s="181" t="s">
        <v>27</v>
      </c>
      <c r="G362" s="182">
        <v>1.4E-2</v>
      </c>
      <c r="H362" s="175" t="s">
        <v>165</v>
      </c>
      <c r="I362" s="175" t="s">
        <v>165</v>
      </c>
      <c r="J362" s="175" t="s">
        <v>165</v>
      </c>
      <c r="K362" s="175">
        <v>12.59</v>
      </c>
      <c r="L362" s="175" t="s">
        <v>163</v>
      </c>
      <c r="M362" s="175" t="s">
        <v>163</v>
      </c>
      <c r="N362" s="175" t="s">
        <v>163</v>
      </c>
      <c r="O362" s="175" t="s">
        <v>163</v>
      </c>
      <c r="P362" s="175" t="s">
        <v>163</v>
      </c>
      <c r="Q362" s="175"/>
      <c r="R362" s="127">
        <f>IF(Table36[[#This Row],[ Bran Content]]="-","-",IF(G362&lt;0.02,1,0))</f>
        <v>1</v>
      </c>
      <c r="S362" s="127">
        <f>IF(Table36[[#This Row],[Sieve Test]]="-","-",IF(Table36[[#This Row],[Sieve Test]]="P",1,0))</f>
        <v>1</v>
      </c>
      <c r="T362" s="127">
        <f>IF(Table36[[#This Row],[Odor]]="-","-",IF(Table36[[#This Row],[Odor]]="P",1,0))</f>
        <v>1</v>
      </c>
      <c r="U362" s="127">
        <f>IF(INDEX(MCmin,MATCH(Table36[[#This Row],[Grist]],SMI,0))="-","-",IF(Table36[[#This Row],[F1 %MC]]="-","-",IF(Table36[[#This Row],[F1 %MC]]&lt;INDEX(MCmin,MATCH(Table36[[#This Row],[Grist]],SMI,0)),0,IF(Table36[[#This Row],[F1 %MC]]&gt;INDEX(MCmax,MATCH(Table36[[#This Row],[Grist]],SMI,0)),0,1))))</f>
        <v>1</v>
      </c>
      <c r="V362" s="127" t="str">
        <f>IF(INDEX(Protmin,MATCH(Table36[[#This Row],[Grist]],SMI,0))="-","-",IF(Table36[[#This Row],[%Protein]]="-","-",IF(Table36[[#This Row],[%Protein]]&lt;INDEX(Protmin,MATCH(Table36[[#This Row],[Grist]],SMI,0)),0,IF(Table36[[#This Row],[%Protein]]&gt;INDEX(Protmax,MATCH(Table36[[#This Row],[Grist]],SMI,0)),0,1))))</f>
        <v>-</v>
      </c>
      <c r="W362" s="127" t="str">
        <f>IF(INDEX(Ashmin,MATCH(Table36[[#This Row],[Grist]],SMI,0))="-","-",IF(Table36[[#This Row],[%Ash]]="-","-",IF(Table36[[#This Row],[%Ash]]&lt;INDEX(Ashmin,MATCH(Table36[[#This Row],[Grist]],SMI,0)),0,IF(Table36[[#This Row],[%Ash]]&gt;INDEX(Ashmax,MATCH(Table36[[#This Row],[Grist]],SMI,0)),0,1))))</f>
        <v>-</v>
      </c>
      <c r="X362" s="127" t="str">
        <f>IF(INDEX(Absmin,MATCH(Table36[[#This Row],[Grist]],SMI,0))="-","-",IF(Table36[[#This Row],[%Absorption]]="-","-",IF(Table36[[#This Row],[%Absorption]]&lt;INDEX(Absmin,MATCH(Table36[[#This Row],[Grist]],SMI,0)),0,IF(Table36[[#This Row],[%Absorption]]&gt;INDEX(Absmax,MATCH(Table36[[#This Row],[Grist]],SMI,0)),0,1))))</f>
        <v>-</v>
      </c>
      <c r="Y362" s="127" t="str">
        <f>IF(INDEX(Extmin,MATCH(Table36[[#This Row],[Grist]],SMI,0))="-","-",IF(Table36[[#This Row],[%Extensibility]]="-","-",IF(Table36[[#This Row],[%Extensibility]]&lt;INDEX(Extmin,MATCH(Table36[[#This Row],[Grist]],SMI,0)),0,IF(Table36[[#This Row],[%Extensibility]]&gt;INDEX(Extmax,MATCH(Table36[[#This Row],[Grist]],SMI,0)),0,1))))</f>
        <v>-</v>
      </c>
      <c r="Z362" s="127" t="str">
        <f>IF(INDEX(Resmin,MATCH(Table36[[#This Row],[Grist]],SMI,0))="-","-",IF(Table36[[#This Row],[Resistance, max]]="-","-",IF(Table36[[#This Row],[Resistance, max]]&lt;INDEX(Resmin,MATCH(Table36[[#This Row],[Grist]],SMI,0)),0,IF(Table36[[#This Row],[Resistance, max]]&gt;INDEX(Resmax,MATCH(Table36[[#This Row],[Grist]],SMI,0)),0,1))))</f>
        <v>-</v>
      </c>
      <c r="AA362" s="127">
        <f>IF(INDEX(WGmin,MATCH(Table36[[#This Row],[Grist]],SMI,0))="-","-",IF(Table36[[#This Row],[%Wet Gluten]]="-","-",IF(Table36[[#This Row],[%Wet Gluten]]&lt;INDEX(WGmin,MATCH(Table36[[#This Row],[Grist]],SMI,0)),0,IF(Table36[[#This Row],[%Wet Gluten]]&gt;INDEX(WGmax,MATCH(Table36[[#This Row],[Grist]],SMI,0)),0,1))))</f>
        <v>0</v>
      </c>
      <c r="AB362" s="127">
        <f>SUM(Table36[[#This Row],[ QI Bran Content]:[QI WG]])</f>
        <v>4</v>
      </c>
      <c r="AC362" s="127">
        <f>COUNT(Table36[[#This Row],[ QI Bran Content]:[QI WG]])</f>
        <v>5</v>
      </c>
    </row>
    <row r="363" spans="1:29" x14ac:dyDescent="0.35">
      <c r="A363" s="177">
        <v>45328</v>
      </c>
      <c r="B363" s="178">
        <v>45334</v>
      </c>
      <c r="C363" s="178" t="s">
        <v>125</v>
      </c>
      <c r="D363" s="179" t="s">
        <v>237</v>
      </c>
      <c r="E363" s="180" t="s">
        <v>0</v>
      </c>
      <c r="F363" s="181" t="s">
        <v>27</v>
      </c>
      <c r="G363" s="182">
        <v>2.9700000000000001E-2</v>
      </c>
      <c r="H363" s="175" t="s">
        <v>165</v>
      </c>
      <c r="I363" s="175" t="s">
        <v>165</v>
      </c>
      <c r="J363" s="175" t="s">
        <v>165</v>
      </c>
      <c r="K363" s="175">
        <v>12.11</v>
      </c>
      <c r="L363" s="175" t="s">
        <v>163</v>
      </c>
      <c r="M363" s="175" t="s">
        <v>163</v>
      </c>
      <c r="N363" s="175" t="s">
        <v>163</v>
      </c>
      <c r="O363" s="175" t="s">
        <v>163</v>
      </c>
      <c r="P363" s="175" t="s">
        <v>163</v>
      </c>
      <c r="Q363" s="175"/>
      <c r="R363" s="127">
        <f>IF(Table36[[#This Row],[ Bran Content]]="-","-",IF(G363&lt;0.02,1,0))</f>
        <v>0</v>
      </c>
      <c r="S363" s="127">
        <f>IF(Table36[[#This Row],[Sieve Test]]="-","-",IF(Table36[[#This Row],[Sieve Test]]="P",1,0))</f>
        <v>1</v>
      </c>
      <c r="T363" s="127">
        <f>IF(Table36[[#This Row],[Odor]]="-","-",IF(Table36[[#This Row],[Odor]]="P",1,0))</f>
        <v>1</v>
      </c>
      <c r="U363" s="127">
        <f>IF(INDEX(MCmin,MATCH(Table36[[#This Row],[Grist]],SMI,0))="-","-",IF(Table36[[#This Row],[F1 %MC]]="-","-",IF(Table36[[#This Row],[F1 %MC]]&lt;INDEX(MCmin,MATCH(Table36[[#This Row],[Grist]],SMI,0)),0,IF(Table36[[#This Row],[F1 %MC]]&gt;INDEX(MCmax,MATCH(Table36[[#This Row],[Grist]],SMI,0)),0,1))))</f>
        <v>1</v>
      </c>
      <c r="V363" s="127" t="str">
        <f>IF(INDEX(Protmin,MATCH(Table36[[#This Row],[Grist]],SMI,0))="-","-",IF(Table36[[#This Row],[%Protein]]="-","-",IF(Table36[[#This Row],[%Protein]]&lt;INDEX(Protmin,MATCH(Table36[[#This Row],[Grist]],SMI,0)),0,IF(Table36[[#This Row],[%Protein]]&gt;INDEX(Protmax,MATCH(Table36[[#This Row],[Grist]],SMI,0)),0,1))))</f>
        <v>-</v>
      </c>
      <c r="W363" s="127" t="str">
        <f>IF(INDEX(Ashmin,MATCH(Table36[[#This Row],[Grist]],SMI,0))="-","-",IF(Table36[[#This Row],[%Ash]]="-","-",IF(Table36[[#This Row],[%Ash]]&lt;INDEX(Ashmin,MATCH(Table36[[#This Row],[Grist]],SMI,0)),0,IF(Table36[[#This Row],[%Ash]]&gt;INDEX(Ashmax,MATCH(Table36[[#This Row],[Grist]],SMI,0)),0,1))))</f>
        <v>-</v>
      </c>
      <c r="X363" s="127" t="str">
        <f>IF(INDEX(Absmin,MATCH(Table36[[#This Row],[Grist]],SMI,0))="-","-",IF(Table36[[#This Row],[%Absorption]]="-","-",IF(Table36[[#This Row],[%Absorption]]&lt;INDEX(Absmin,MATCH(Table36[[#This Row],[Grist]],SMI,0)),0,IF(Table36[[#This Row],[%Absorption]]&gt;INDEX(Absmax,MATCH(Table36[[#This Row],[Grist]],SMI,0)),0,1))))</f>
        <v>-</v>
      </c>
      <c r="Y363" s="127" t="str">
        <f>IF(INDEX(Extmin,MATCH(Table36[[#This Row],[Grist]],SMI,0))="-","-",IF(Table36[[#This Row],[%Extensibility]]="-","-",IF(Table36[[#This Row],[%Extensibility]]&lt;INDEX(Extmin,MATCH(Table36[[#This Row],[Grist]],SMI,0)),0,IF(Table36[[#This Row],[%Extensibility]]&gt;INDEX(Extmax,MATCH(Table36[[#This Row],[Grist]],SMI,0)),0,1))))</f>
        <v>-</v>
      </c>
      <c r="Z363" s="127" t="str">
        <f>IF(INDEX(Resmin,MATCH(Table36[[#This Row],[Grist]],SMI,0))="-","-",IF(Table36[[#This Row],[Resistance, max]]="-","-",IF(Table36[[#This Row],[Resistance, max]]&lt;INDEX(Resmin,MATCH(Table36[[#This Row],[Grist]],SMI,0)),0,IF(Table36[[#This Row],[Resistance, max]]&gt;INDEX(Resmax,MATCH(Table36[[#This Row],[Grist]],SMI,0)),0,1))))</f>
        <v>-</v>
      </c>
      <c r="AA363" s="127">
        <f>IF(INDEX(WGmin,MATCH(Table36[[#This Row],[Grist]],SMI,0))="-","-",IF(Table36[[#This Row],[%Wet Gluten]]="-","-",IF(Table36[[#This Row],[%Wet Gluten]]&lt;INDEX(WGmin,MATCH(Table36[[#This Row],[Grist]],SMI,0)),0,IF(Table36[[#This Row],[%Wet Gluten]]&gt;INDEX(WGmax,MATCH(Table36[[#This Row],[Grist]],SMI,0)),0,1))))</f>
        <v>0</v>
      </c>
      <c r="AB363" s="127">
        <f>SUM(Table36[[#This Row],[ QI Bran Content]:[QI WG]])</f>
        <v>3</v>
      </c>
      <c r="AC363" s="127">
        <f>COUNT(Table36[[#This Row],[ QI Bran Content]:[QI WG]])</f>
        <v>5</v>
      </c>
    </row>
    <row r="364" spans="1:29" x14ac:dyDescent="0.35">
      <c r="A364" s="177">
        <v>45328</v>
      </c>
      <c r="B364" s="178">
        <v>45334</v>
      </c>
      <c r="C364" s="178" t="s">
        <v>125</v>
      </c>
      <c r="D364" s="179" t="s">
        <v>238</v>
      </c>
      <c r="E364" s="180" t="s">
        <v>0</v>
      </c>
      <c r="F364" s="181" t="s">
        <v>27</v>
      </c>
      <c r="G364" s="182">
        <v>1.3899999999999999E-2</v>
      </c>
      <c r="H364" s="175" t="s">
        <v>165</v>
      </c>
      <c r="I364" s="175" t="s">
        <v>165</v>
      </c>
      <c r="J364" s="175" t="s">
        <v>165</v>
      </c>
      <c r="K364" s="175">
        <v>11.37</v>
      </c>
      <c r="L364" s="175" t="s">
        <v>163</v>
      </c>
      <c r="M364" s="175" t="s">
        <v>163</v>
      </c>
      <c r="N364" s="175" t="s">
        <v>163</v>
      </c>
      <c r="O364" s="175" t="s">
        <v>163</v>
      </c>
      <c r="P364" s="175" t="s">
        <v>163</v>
      </c>
      <c r="Q364" s="175"/>
      <c r="R364" s="127">
        <f>IF(Table36[[#This Row],[ Bran Content]]="-","-",IF(G364&lt;0.02,1,0))</f>
        <v>1</v>
      </c>
      <c r="S364" s="127">
        <f>IF(Table36[[#This Row],[Sieve Test]]="-","-",IF(Table36[[#This Row],[Sieve Test]]="P",1,0))</f>
        <v>1</v>
      </c>
      <c r="T364" s="127">
        <f>IF(Table36[[#This Row],[Odor]]="-","-",IF(Table36[[#This Row],[Odor]]="P",1,0))</f>
        <v>1</v>
      </c>
      <c r="U364" s="127">
        <f>IF(INDEX(MCmin,MATCH(Table36[[#This Row],[Grist]],SMI,0))="-","-",IF(Table36[[#This Row],[F1 %MC]]="-","-",IF(Table36[[#This Row],[F1 %MC]]&lt;INDEX(MCmin,MATCH(Table36[[#This Row],[Grist]],SMI,0)),0,IF(Table36[[#This Row],[F1 %MC]]&gt;INDEX(MCmax,MATCH(Table36[[#This Row],[Grist]],SMI,0)),0,1))))</f>
        <v>0</v>
      </c>
      <c r="V364" s="127" t="str">
        <f>IF(INDEX(Protmin,MATCH(Table36[[#This Row],[Grist]],SMI,0))="-","-",IF(Table36[[#This Row],[%Protein]]="-","-",IF(Table36[[#This Row],[%Protein]]&lt;INDEX(Protmin,MATCH(Table36[[#This Row],[Grist]],SMI,0)),0,IF(Table36[[#This Row],[%Protein]]&gt;INDEX(Protmax,MATCH(Table36[[#This Row],[Grist]],SMI,0)),0,1))))</f>
        <v>-</v>
      </c>
      <c r="W364" s="127" t="str">
        <f>IF(INDEX(Ashmin,MATCH(Table36[[#This Row],[Grist]],SMI,0))="-","-",IF(Table36[[#This Row],[%Ash]]="-","-",IF(Table36[[#This Row],[%Ash]]&lt;INDEX(Ashmin,MATCH(Table36[[#This Row],[Grist]],SMI,0)),0,IF(Table36[[#This Row],[%Ash]]&gt;INDEX(Ashmax,MATCH(Table36[[#This Row],[Grist]],SMI,0)),0,1))))</f>
        <v>-</v>
      </c>
      <c r="X364" s="127" t="str">
        <f>IF(INDEX(Absmin,MATCH(Table36[[#This Row],[Grist]],SMI,0))="-","-",IF(Table36[[#This Row],[%Absorption]]="-","-",IF(Table36[[#This Row],[%Absorption]]&lt;INDEX(Absmin,MATCH(Table36[[#This Row],[Grist]],SMI,0)),0,IF(Table36[[#This Row],[%Absorption]]&gt;INDEX(Absmax,MATCH(Table36[[#This Row],[Grist]],SMI,0)),0,1))))</f>
        <v>-</v>
      </c>
      <c r="Y364" s="127" t="str">
        <f>IF(INDEX(Extmin,MATCH(Table36[[#This Row],[Grist]],SMI,0))="-","-",IF(Table36[[#This Row],[%Extensibility]]="-","-",IF(Table36[[#This Row],[%Extensibility]]&lt;INDEX(Extmin,MATCH(Table36[[#This Row],[Grist]],SMI,0)),0,IF(Table36[[#This Row],[%Extensibility]]&gt;INDEX(Extmax,MATCH(Table36[[#This Row],[Grist]],SMI,0)),0,1))))</f>
        <v>-</v>
      </c>
      <c r="Z364" s="127" t="str">
        <f>IF(INDEX(Resmin,MATCH(Table36[[#This Row],[Grist]],SMI,0))="-","-",IF(Table36[[#This Row],[Resistance, max]]="-","-",IF(Table36[[#This Row],[Resistance, max]]&lt;INDEX(Resmin,MATCH(Table36[[#This Row],[Grist]],SMI,0)),0,IF(Table36[[#This Row],[Resistance, max]]&gt;INDEX(Resmax,MATCH(Table36[[#This Row],[Grist]],SMI,0)),0,1))))</f>
        <v>-</v>
      </c>
      <c r="AA364" s="127">
        <f>IF(INDEX(WGmin,MATCH(Table36[[#This Row],[Grist]],SMI,0))="-","-",IF(Table36[[#This Row],[%Wet Gluten]]="-","-",IF(Table36[[#This Row],[%Wet Gluten]]&lt;INDEX(WGmin,MATCH(Table36[[#This Row],[Grist]],SMI,0)),0,IF(Table36[[#This Row],[%Wet Gluten]]&gt;INDEX(WGmax,MATCH(Table36[[#This Row],[Grist]],SMI,0)),0,1))))</f>
        <v>0</v>
      </c>
      <c r="AB364" s="127">
        <f>SUM(Table36[[#This Row],[ QI Bran Content]:[QI WG]])</f>
        <v>3</v>
      </c>
      <c r="AC364" s="127">
        <f>COUNT(Table36[[#This Row],[ QI Bran Content]:[QI WG]])</f>
        <v>5</v>
      </c>
    </row>
    <row r="365" spans="1:29" x14ac:dyDescent="0.35">
      <c r="A365" s="177">
        <v>45328</v>
      </c>
      <c r="B365" s="178">
        <v>45334</v>
      </c>
      <c r="C365" s="178" t="s">
        <v>128</v>
      </c>
      <c r="D365" s="179">
        <v>0.625</v>
      </c>
      <c r="E365" s="180" t="s">
        <v>0</v>
      </c>
      <c r="F365" s="181" t="s">
        <v>27</v>
      </c>
      <c r="G365" s="182">
        <v>1.2999999999999999E-2</v>
      </c>
      <c r="H365" s="175" t="s">
        <v>165</v>
      </c>
      <c r="I365" s="175" t="s">
        <v>165</v>
      </c>
      <c r="J365" s="175" t="s">
        <v>165</v>
      </c>
      <c r="K365" s="175">
        <v>12.22</v>
      </c>
      <c r="L365" s="175">
        <v>12.86</v>
      </c>
      <c r="M365" s="175">
        <v>0.56999999999999995</v>
      </c>
      <c r="N365" s="175">
        <v>66.099999999999994</v>
      </c>
      <c r="O365" s="175">
        <v>11.52</v>
      </c>
      <c r="P365" s="175">
        <v>516</v>
      </c>
      <c r="Q365" s="175"/>
      <c r="R365" s="127">
        <f>IF(Table36[[#This Row],[ Bran Content]]="-","-",IF(G365&lt;0.02,1,0))</f>
        <v>1</v>
      </c>
      <c r="S365" s="127">
        <f>IF(Table36[[#This Row],[Sieve Test]]="-","-",IF(Table36[[#This Row],[Sieve Test]]="P",1,0))</f>
        <v>1</v>
      </c>
      <c r="T365" s="127">
        <f>IF(Table36[[#This Row],[Odor]]="-","-",IF(Table36[[#This Row],[Odor]]="P",1,0))</f>
        <v>1</v>
      </c>
      <c r="U365" s="127">
        <f>IF(INDEX(MCmin,MATCH(Table36[[#This Row],[Grist]],SMI,0))="-","-",IF(Table36[[#This Row],[F1 %MC]]="-","-",IF(Table36[[#This Row],[F1 %MC]]&lt;INDEX(MCmin,MATCH(Table36[[#This Row],[Grist]],SMI,0)),0,IF(Table36[[#This Row],[F1 %MC]]&gt;INDEX(MCmax,MATCH(Table36[[#This Row],[Grist]],SMI,0)),0,1))))</f>
        <v>1</v>
      </c>
      <c r="V365" s="127">
        <f>IF(INDEX(Protmin,MATCH(Table36[[#This Row],[Grist]],SMI,0))="-","-",IF(Table36[[#This Row],[%Protein]]="-","-",IF(Table36[[#This Row],[%Protein]]&lt;INDEX(Protmin,MATCH(Table36[[#This Row],[Grist]],SMI,0)),0,IF(Table36[[#This Row],[%Protein]]&gt;INDEX(Protmax,MATCH(Table36[[#This Row],[Grist]],SMI,0)),0,1))))</f>
        <v>1</v>
      </c>
      <c r="W365" s="127">
        <f>IF(INDEX(Ashmin,MATCH(Table36[[#This Row],[Grist]],SMI,0))="-","-",IF(Table36[[#This Row],[%Ash]]="-","-",IF(Table36[[#This Row],[%Ash]]&lt;INDEX(Ashmin,MATCH(Table36[[#This Row],[Grist]],SMI,0)),0,IF(Table36[[#This Row],[%Ash]]&gt;INDEX(Ashmax,MATCH(Table36[[#This Row],[Grist]],SMI,0)),0,1))))</f>
        <v>1</v>
      </c>
      <c r="X365" s="127">
        <f>IF(INDEX(Absmin,MATCH(Table36[[#This Row],[Grist]],SMI,0))="-","-",IF(Table36[[#This Row],[%Absorption]]="-","-",IF(Table36[[#This Row],[%Absorption]]&lt;INDEX(Absmin,MATCH(Table36[[#This Row],[Grist]],SMI,0)),0,IF(Table36[[#This Row],[%Absorption]]&gt;INDEX(Absmax,MATCH(Table36[[#This Row],[Grist]],SMI,0)),0,1))))</f>
        <v>1</v>
      </c>
      <c r="Y365" s="127">
        <f>IF(INDEX(Extmin,MATCH(Table36[[#This Row],[Grist]],SMI,0))="-","-",IF(Table36[[#This Row],[%Extensibility]]="-","-",IF(Table36[[#This Row],[%Extensibility]]&lt;INDEX(Extmin,MATCH(Table36[[#This Row],[Grist]],SMI,0)),0,IF(Table36[[#This Row],[%Extensibility]]&gt;INDEX(Extmax,MATCH(Table36[[#This Row],[Grist]],SMI,0)),0,1))))</f>
        <v>0</v>
      </c>
      <c r="Z365" s="127">
        <f>IF(INDEX(Resmin,MATCH(Table36[[#This Row],[Grist]],SMI,0))="-","-",IF(Table36[[#This Row],[Resistance, max]]="-","-",IF(Table36[[#This Row],[Resistance, max]]&lt;INDEX(Resmin,MATCH(Table36[[#This Row],[Grist]],SMI,0)),0,IF(Table36[[#This Row],[Resistance, max]]&gt;INDEX(Resmax,MATCH(Table36[[#This Row],[Grist]],SMI,0)),0,1))))</f>
        <v>0</v>
      </c>
      <c r="AA365" s="127">
        <f>IF(INDEX(WGmin,MATCH(Table36[[#This Row],[Grist]],SMI,0))="-","-",IF(Table36[[#This Row],[%Wet Gluten]]="-","-",IF(Table36[[#This Row],[%Wet Gluten]]&lt;INDEX(WGmin,MATCH(Table36[[#This Row],[Grist]],SMI,0)),0,IF(Table36[[#This Row],[%Wet Gluten]]&gt;INDEX(WGmax,MATCH(Table36[[#This Row],[Grist]],SMI,0)),0,1))))</f>
        <v>0</v>
      </c>
      <c r="AB365" s="127">
        <f>SUM(Table36[[#This Row],[ QI Bran Content]:[QI WG]])</f>
        <v>7</v>
      </c>
      <c r="AC365" s="127">
        <f>COUNT(Table36[[#This Row],[ QI Bran Content]:[QI WG]])</f>
        <v>10</v>
      </c>
    </row>
    <row r="366" spans="1:29" x14ac:dyDescent="0.35">
      <c r="A366" s="177">
        <v>45328</v>
      </c>
      <c r="B366" s="178">
        <v>45334</v>
      </c>
      <c r="C366" s="178" t="s">
        <v>128</v>
      </c>
      <c r="D366" s="179">
        <v>0.70833333333333304</v>
      </c>
      <c r="E366" s="180" t="s">
        <v>0</v>
      </c>
      <c r="F366" s="181" t="s">
        <v>27</v>
      </c>
      <c r="G366" s="182">
        <v>2.12E-2</v>
      </c>
      <c r="H366" s="175" t="s">
        <v>165</v>
      </c>
      <c r="I366" s="175" t="s">
        <v>165</v>
      </c>
      <c r="J366" s="175" t="s">
        <v>165</v>
      </c>
      <c r="K366" s="175">
        <v>11.87</v>
      </c>
      <c r="L366" s="175" t="s">
        <v>163</v>
      </c>
      <c r="M366" s="175" t="s">
        <v>163</v>
      </c>
      <c r="N366" s="175" t="s">
        <v>163</v>
      </c>
      <c r="O366" s="175" t="s">
        <v>163</v>
      </c>
      <c r="P366" s="175" t="s">
        <v>163</v>
      </c>
      <c r="Q366" s="175"/>
      <c r="R366" s="127">
        <f>IF(Table36[[#This Row],[ Bran Content]]="-","-",IF(G366&lt;0.02,1,0))</f>
        <v>0</v>
      </c>
      <c r="S366" s="127">
        <f>IF(Table36[[#This Row],[Sieve Test]]="-","-",IF(Table36[[#This Row],[Sieve Test]]="P",1,0))</f>
        <v>1</v>
      </c>
      <c r="T366" s="127">
        <f>IF(Table36[[#This Row],[Odor]]="-","-",IF(Table36[[#This Row],[Odor]]="P",1,0))</f>
        <v>1</v>
      </c>
      <c r="U366" s="127">
        <f>IF(INDEX(MCmin,MATCH(Table36[[#This Row],[Grist]],SMI,0))="-","-",IF(Table36[[#This Row],[F1 %MC]]="-","-",IF(Table36[[#This Row],[F1 %MC]]&lt;INDEX(MCmin,MATCH(Table36[[#This Row],[Grist]],SMI,0)),0,IF(Table36[[#This Row],[F1 %MC]]&gt;INDEX(MCmax,MATCH(Table36[[#This Row],[Grist]],SMI,0)),0,1))))</f>
        <v>0</v>
      </c>
      <c r="V366" s="127" t="str">
        <f>IF(INDEX(Protmin,MATCH(Table36[[#This Row],[Grist]],SMI,0))="-","-",IF(Table36[[#This Row],[%Protein]]="-","-",IF(Table36[[#This Row],[%Protein]]&lt;INDEX(Protmin,MATCH(Table36[[#This Row],[Grist]],SMI,0)),0,IF(Table36[[#This Row],[%Protein]]&gt;INDEX(Protmax,MATCH(Table36[[#This Row],[Grist]],SMI,0)),0,1))))</f>
        <v>-</v>
      </c>
      <c r="W366" s="127" t="str">
        <f>IF(INDEX(Ashmin,MATCH(Table36[[#This Row],[Grist]],SMI,0))="-","-",IF(Table36[[#This Row],[%Ash]]="-","-",IF(Table36[[#This Row],[%Ash]]&lt;INDEX(Ashmin,MATCH(Table36[[#This Row],[Grist]],SMI,0)),0,IF(Table36[[#This Row],[%Ash]]&gt;INDEX(Ashmax,MATCH(Table36[[#This Row],[Grist]],SMI,0)),0,1))))</f>
        <v>-</v>
      </c>
      <c r="X366" s="127" t="str">
        <f>IF(INDEX(Absmin,MATCH(Table36[[#This Row],[Grist]],SMI,0))="-","-",IF(Table36[[#This Row],[%Absorption]]="-","-",IF(Table36[[#This Row],[%Absorption]]&lt;INDEX(Absmin,MATCH(Table36[[#This Row],[Grist]],SMI,0)),0,IF(Table36[[#This Row],[%Absorption]]&gt;INDEX(Absmax,MATCH(Table36[[#This Row],[Grist]],SMI,0)),0,1))))</f>
        <v>-</v>
      </c>
      <c r="Y366" s="127" t="str">
        <f>IF(INDEX(Extmin,MATCH(Table36[[#This Row],[Grist]],SMI,0))="-","-",IF(Table36[[#This Row],[%Extensibility]]="-","-",IF(Table36[[#This Row],[%Extensibility]]&lt;INDEX(Extmin,MATCH(Table36[[#This Row],[Grist]],SMI,0)),0,IF(Table36[[#This Row],[%Extensibility]]&gt;INDEX(Extmax,MATCH(Table36[[#This Row],[Grist]],SMI,0)),0,1))))</f>
        <v>-</v>
      </c>
      <c r="Z366" s="127" t="str">
        <f>IF(INDEX(Resmin,MATCH(Table36[[#This Row],[Grist]],SMI,0))="-","-",IF(Table36[[#This Row],[Resistance, max]]="-","-",IF(Table36[[#This Row],[Resistance, max]]&lt;INDEX(Resmin,MATCH(Table36[[#This Row],[Grist]],SMI,0)),0,IF(Table36[[#This Row],[Resistance, max]]&gt;INDEX(Resmax,MATCH(Table36[[#This Row],[Grist]],SMI,0)),0,1))))</f>
        <v>-</v>
      </c>
      <c r="AA366" s="127">
        <f>IF(INDEX(WGmin,MATCH(Table36[[#This Row],[Grist]],SMI,0))="-","-",IF(Table36[[#This Row],[%Wet Gluten]]="-","-",IF(Table36[[#This Row],[%Wet Gluten]]&lt;INDEX(WGmin,MATCH(Table36[[#This Row],[Grist]],SMI,0)),0,IF(Table36[[#This Row],[%Wet Gluten]]&gt;INDEX(WGmax,MATCH(Table36[[#This Row],[Grist]],SMI,0)),0,1))))</f>
        <v>0</v>
      </c>
      <c r="AB366" s="127">
        <f>SUM(Table36[[#This Row],[ QI Bran Content]:[QI WG]])</f>
        <v>2</v>
      </c>
      <c r="AC366" s="127">
        <f>COUNT(Table36[[#This Row],[ QI Bran Content]:[QI WG]])</f>
        <v>5</v>
      </c>
    </row>
    <row r="367" spans="1:29" x14ac:dyDescent="0.35">
      <c r="A367" s="177">
        <v>45328</v>
      </c>
      <c r="B367" s="178">
        <v>45334</v>
      </c>
      <c r="C367" s="178" t="s">
        <v>128</v>
      </c>
      <c r="D367" s="179">
        <v>0.79166666666666596</v>
      </c>
      <c r="E367" s="180" t="s">
        <v>0</v>
      </c>
      <c r="F367" s="181" t="s">
        <v>32</v>
      </c>
      <c r="G367" s="182">
        <v>9.4999999999999998E-3</v>
      </c>
      <c r="H367" s="175" t="s">
        <v>165</v>
      </c>
      <c r="I367" s="175" t="s">
        <v>165</v>
      </c>
      <c r="J367" s="175" t="s">
        <v>165</v>
      </c>
      <c r="K367" s="175">
        <v>12.27</v>
      </c>
      <c r="L367" s="175" t="s">
        <v>163</v>
      </c>
      <c r="M367" s="175" t="s">
        <v>163</v>
      </c>
      <c r="N367" s="175" t="s">
        <v>163</v>
      </c>
      <c r="O367" s="175" t="s">
        <v>163</v>
      </c>
      <c r="P367" s="175" t="s">
        <v>163</v>
      </c>
      <c r="Q367" s="175"/>
      <c r="R367" s="127">
        <f>IF(Table36[[#This Row],[ Bran Content]]="-","-",IF(G367&lt;0.02,1,0))</f>
        <v>1</v>
      </c>
      <c r="S367" s="127">
        <f>IF(Table36[[#This Row],[Sieve Test]]="-","-",IF(Table36[[#This Row],[Sieve Test]]="P",1,0))</f>
        <v>1</v>
      </c>
      <c r="T367" s="127">
        <f>IF(Table36[[#This Row],[Odor]]="-","-",IF(Table36[[#This Row],[Odor]]="P",1,0))</f>
        <v>1</v>
      </c>
      <c r="U367" s="127">
        <f>IF(INDEX(MCmin,MATCH(Table36[[#This Row],[Grist]],SMI,0))="-","-",IF(Table36[[#This Row],[F1 %MC]]="-","-",IF(Table36[[#This Row],[F1 %MC]]&lt;INDEX(MCmin,MATCH(Table36[[#This Row],[Grist]],SMI,0)),0,IF(Table36[[#This Row],[F1 %MC]]&gt;INDEX(MCmax,MATCH(Table36[[#This Row],[Grist]],SMI,0)),0,1))))</f>
        <v>1</v>
      </c>
      <c r="V367" s="127" t="str">
        <f>IF(INDEX(Protmin,MATCH(Table36[[#This Row],[Grist]],SMI,0))="-","-",IF(Table36[[#This Row],[%Protein]]="-","-",IF(Table36[[#This Row],[%Protein]]&lt;INDEX(Protmin,MATCH(Table36[[#This Row],[Grist]],SMI,0)),0,IF(Table36[[#This Row],[%Protein]]&gt;INDEX(Protmax,MATCH(Table36[[#This Row],[Grist]],SMI,0)),0,1))))</f>
        <v>-</v>
      </c>
      <c r="W367" s="127" t="str">
        <f>IF(INDEX(Ashmin,MATCH(Table36[[#This Row],[Grist]],SMI,0))="-","-",IF(Table36[[#This Row],[%Ash]]="-","-",IF(Table36[[#This Row],[%Ash]]&lt;INDEX(Ashmin,MATCH(Table36[[#This Row],[Grist]],SMI,0)),0,IF(Table36[[#This Row],[%Ash]]&gt;INDEX(Ashmax,MATCH(Table36[[#This Row],[Grist]],SMI,0)),0,1))))</f>
        <v>-</v>
      </c>
      <c r="X367" s="127" t="str">
        <f>IF(INDEX(Absmin,MATCH(Table36[[#This Row],[Grist]],SMI,0))="-","-",IF(Table36[[#This Row],[%Absorption]]="-","-",IF(Table36[[#This Row],[%Absorption]]&lt;INDEX(Absmin,MATCH(Table36[[#This Row],[Grist]],SMI,0)),0,IF(Table36[[#This Row],[%Absorption]]&gt;INDEX(Absmax,MATCH(Table36[[#This Row],[Grist]],SMI,0)),0,1))))</f>
        <v>-</v>
      </c>
      <c r="Y367" s="127" t="str">
        <f>IF(INDEX(Extmin,MATCH(Table36[[#This Row],[Grist]],SMI,0))="-","-",IF(Table36[[#This Row],[%Extensibility]]="-","-",IF(Table36[[#This Row],[%Extensibility]]&lt;INDEX(Extmin,MATCH(Table36[[#This Row],[Grist]],SMI,0)),0,IF(Table36[[#This Row],[%Extensibility]]&gt;INDEX(Extmax,MATCH(Table36[[#This Row],[Grist]],SMI,0)),0,1))))</f>
        <v>-</v>
      </c>
      <c r="Z367" s="127" t="str">
        <f>IF(INDEX(Resmin,MATCH(Table36[[#This Row],[Grist]],SMI,0))="-","-",IF(Table36[[#This Row],[Resistance, max]]="-","-",IF(Table36[[#This Row],[Resistance, max]]&lt;INDEX(Resmin,MATCH(Table36[[#This Row],[Grist]],SMI,0)),0,IF(Table36[[#This Row],[Resistance, max]]&gt;INDEX(Resmax,MATCH(Table36[[#This Row],[Grist]],SMI,0)),0,1))))</f>
        <v>-</v>
      </c>
      <c r="AA367" s="127">
        <f>IF(INDEX(WGmin,MATCH(Table36[[#This Row],[Grist]],SMI,0))="-","-",IF(Table36[[#This Row],[%Wet Gluten]]="-","-",IF(Table36[[#This Row],[%Wet Gluten]]&lt;INDEX(WGmin,MATCH(Table36[[#This Row],[Grist]],SMI,0)),0,IF(Table36[[#This Row],[%Wet Gluten]]&gt;INDEX(WGmax,MATCH(Table36[[#This Row],[Grist]],SMI,0)),0,1))))</f>
        <v>0</v>
      </c>
      <c r="AB367" s="127">
        <f>SUM(Table36[[#This Row],[ QI Bran Content]:[QI WG]])</f>
        <v>4</v>
      </c>
      <c r="AC367" s="127">
        <f>COUNT(Table36[[#This Row],[ QI Bran Content]:[QI WG]])</f>
        <v>5</v>
      </c>
    </row>
    <row r="368" spans="1:29" x14ac:dyDescent="0.35">
      <c r="A368" s="177">
        <v>45328</v>
      </c>
      <c r="B368" s="178">
        <v>45334</v>
      </c>
      <c r="C368" s="178" t="s">
        <v>128</v>
      </c>
      <c r="D368" s="179">
        <v>0.625</v>
      </c>
      <c r="E368" s="180" t="s">
        <v>2</v>
      </c>
      <c r="F368" s="181" t="s">
        <v>242</v>
      </c>
      <c r="G368" s="182" t="s">
        <v>262</v>
      </c>
      <c r="H368" s="175" t="s">
        <v>165</v>
      </c>
      <c r="I368" s="175" t="s">
        <v>165</v>
      </c>
      <c r="J368" s="175" t="s">
        <v>165</v>
      </c>
      <c r="K368" s="175">
        <v>12.09</v>
      </c>
      <c r="L368" s="175" t="s">
        <v>263</v>
      </c>
      <c r="M368" s="175" t="s">
        <v>250</v>
      </c>
      <c r="N368" s="175">
        <v>63.92</v>
      </c>
      <c r="O368" s="175">
        <v>8.7200000000000006</v>
      </c>
      <c r="P368" s="175">
        <v>635</v>
      </c>
      <c r="Q368" s="175"/>
      <c r="R368" s="127">
        <f>IF(Table36[[#This Row],[ Bran Content]]="-","-",IF(G368&lt;0.02,1,0))</f>
        <v>0</v>
      </c>
      <c r="S368" s="127">
        <f>IF(Table36[[#This Row],[Sieve Test]]="-","-",IF(Table36[[#This Row],[Sieve Test]]="P",1,0))</f>
        <v>1</v>
      </c>
      <c r="T368" s="127">
        <f>IF(Table36[[#This Row],[Odor]]="-","-",IF(Table36[[#This Row],[Odor]]="P",1,0))</f>
        <v>1</v>
      </c>
      <c r="U368" s="127">
        <f>IF(INDEX(MCmin,MATCH(Table36[[#This Row],[Grist]],SMI,0))="-","-",IF(Table36[[#This Row],[F1 %MC]]="-","-",IF(Table36[[#This Row],[F1 %MC]]&lt;INDEX(MCmin,MATCH(Table36[[#This Row],[Grist]],SMI,0)),0,IF(Table36[[#This Row],[F1 %MC]]&gt;INDEX(MCmax,MATCH(Table36[[#This Row],[Grist]],SMI,0)),0,1))))</f>
        <v>1</v>
      </c>
      <c r="V368" s="127">
        <f>IF(INDEX(Protmin,MATCH(Table36[[#This Row],[Grist]],SMI,0))="-","-",IF(Table36[[#This Row],[%Protein]]="-","-",IF(Table36[[#This Row],[%Protein]]&lt;INDEX(Protmin,MATCH(Table36[[#This Row],[Grist]],SMI,0)),0,IF(Table36[[#This Row],[%Protein]]&gt;INDEX(Protmax,MATCH(Table36[[#This Row],[Grist]],SMI,0)),0,1))))</f>
        <v>0</v>
      </c>
      <c r="W368" s="127">
        <f>IF(INDEX(Ashmin,MATCH(Table36[[#This Row],[Grist]],SMI,0))="-","-",IF(Table36[[#This Row],[%Ash]]="-","-",IF(Table36[[#This Row],[%Ash]]&lt;INDEX(Ashmin,MATCH(Table36[[#This Row],[Grist]],SMI,0)),0,IF(Table36[[#This Row],[%Ash]]&gt;INDEX(Ashmax,MATCH(Table36[[#This Row],[Grist]],SMI,0)),0,1))))</f>
        <v>0</v>
      </c>
      <c r="X368" s="127">
        <f>IF(INDEX(Absmin,MATCH(Table36[[#This Row],[Grist]],SMI,0))="-","-",IF(Table36[[#This Row],[%Absorption]]="-","-",IF(Table36[[#This Row],[%Absorption]]&lt;INDEX(Absmin,MATCH(Table36[[#This Row],[Grist]],SMI,0)),0,IF(Table36[[#This Row],[%Absorption]]&gt;INDEX(Absmax,MATCH(Table36[[#This Row],[Grist]],SMI,0)),0,1))))</f>
        <v>1</v>
      </c>
      <c r="Y368" s="127">
        <f>IF(INDEX(Extmin,MATCH(Table36[[#This Row],[Grist]],SMI,0))="-","-",IF(Table36[[#This Row],[%Extensibility]]="-","-",IF(Table36[[#This Row],[%Extensibility]]&lt;INDEX(Extmin,MATCH(Table36[[#This Row],[Grist]],SMI,0)),0,IF(Table36[[#This Row],[%Extensibility]]&gt;INDEX(Extmax,MATCH(Table36[[#This Row],[Grist]],SMI,0)),0,1))))</f>
        <v>0</v>
      </c>
      <c r="Z368" s="127">
        <f>IF(INDEX(Resmin,MATCH(Table36[[#This Row],[Grist]],SMI,0))="-","-",IF(Table36[[#This Row],[Resistance, max]]="-","-",IF(Table36[[#This Row],[Resistance, max]]&lt;INDEX(Resmin,MATCH(Table36[[#This Row],[Grist]],SMI,0)),0,IF(Table36[[#This Row],[Resistance, max]]&gt;INDEX(Resmax,MATCH(Table36[[#This Row],[Grist]],SMI,0)),0,1))))</f>
        <v>1</v>
      </c>
      <c r="AA368" s="127">
        <f>IF(INDEX(WGmin,MATCH(Table36[[#This Row],[Grist]],SMI,0))="-","-",IF(Table36[[#This Row],[%Wet Gluten]]="-","-",IF(Table36[[#This Row],[%Wet Gluten]]&lt;INDEX(WGmin,MATCH(Table36[[#This Row],[Grist]],SMI,0)),0,IF(Table36[[#This Row],[%Wet Gluten]]&gt;INDEX(WGmax,MATCH(Table36[[#This Row],[Grist]],SMI,0)),0,1))))</f>
        <v>0</v>
      </c>
      <c r="AB368" s="127">
        <f>SUM(Table36[[#This Row],[ QI Bran Content]:[QI WG]])</f>
        <v>5</v>
      </c>
      <c r="AC368" s="127">
        <f>COUNT(Table36[[#This Row],[ QI Bran Content]:[QI WG]])</f>
        <v>10</v>
      </c>
    </row>
    <row r="369" spans="1:29" x14ac:dyDescent="0.35">
      <c r="A369" s="177">
        <v>45328</v>
      </c>
      <c r="B369" s="178">
        <v>45334</v>
      </c>
      <c r="C369" s="178" t="s">
        <v>130</v>
      </c>
      <c r="D369" s="179">
        <v>1.0416666666666701</v>
      </c>
      <c r="E369" s="180" t="s">
        <v>0</v>
      </c>
      <c r="F369" s="181" t="s">
        <v>32</v>
      </c>
      <c r="G369" s="182">
        <v>2.3599999999999999E-2</v>
      </c>
      <c r="H369" s="175" t="s">
        <v>167</v>
      </c>
      <c r="I369" s="175" t="s">
        <v>165</v>
      </c>
      <c r="J369" s="175" t="s">
        <v>165</v>
      </c>
      <c r="K369" s="175">
        <v>12.42</v>
      </c>
      <c r="L369" s="175" t="s">
        <v>163</v>
      </c>
      <c r="M369" s="175" t="s">
        <v>163</v>
      </c>
      <c r="N369" s="175" t="s">
        <v>163</v>
      </c>
      <c r="O369" s="175" t="s">
        <v>163</v>
      </c>
      <c r="P369" s="175" t="s">
        <v>163</v>
      </c>
      <c r="Q369" s="175"/>
      <c r="R369" s="127">
        <f>IF(Table36[[#This Row],[ Bran Content]]="-","-",IF(G369&lt;0.02,1,0))</f>
        <v>0</v>
      </c>
      <c r="S369" s="127">
        <f>IF(Table36[[#This Row],[Sieve Test]]="-","-",IF(Table36[[#This Row],[Sieve Test]]="P",1,0))</f>
        <v>0</v>
      </c>
      <c r="T369" s="127">
        <f>IF(Table36[[#This Row],[Odor]]="-","-",IF(Table36[[#This Row],[Odor]]="P",1,0))</f>
        <v>1</v>
      </c>
      <c r="U369" s="127">
        <f>IF(INDEX(MCmin,MATCH(Table36[[#This Row],[Grist]],SMI,0))="-","-",IF(Table36[[#This Row],[F1 %MC]]="-","-",IF(Table36[[#This Row],[F1 %MC]]&lt;INDEX(MCmin,MATCH(Table36[[#This Row],[Grist]],SMI,0)),0,IF(Table36[[#This Row],[F1 %MC]]&gt;INDEX(MCmax,MATCH(Table36[[#This Row],[Grist]],SMI,0)),0,1))))</f>
        <v>1</v>
      </c>
      <c r="V369" s="127" t="str">
        <f>IF(INDEX(Protmin,MATCH(Table36[[#This Row],[Grist]],SMI,0))="-","-",IF(Table36[[#This Row],[%Protein]]="-","-",IF(Table36[[#This Row],[%Protein]]&lt;INDEX(Protmin,MATCH(Table36[[#This Row],[Grist]],SMI,0)),0,IF(Table36[[#This Row],[%Protein]]&gt;INDEX(Protmax,MATCH(Table36[[#This Row],[Grist]],SMI,0)),0,1))))</f>
        <v>-</v>
      </c>
      <c r="W369" s="127" t="str">
        <f>IF(INDEX(Ashmin,MATCH(Table36[[#This Row],[Grist]],SMI,0))="-","-",IF(Table36[[#This Row],[%Ash]]="-","-",IF(Table36[[#This Row],[%Ash]]&lt;INDEX(Ashmin,MATCH(Table36[[#This Row],[Grist]],SMI,0)),0,IF(Table36[[#This Row],[%Ash]]&gt;INDEX(Ashmax,MATCH(Table36[[#This Row],[Grist]],SMI,0)),0,1))))</f>
        <v>-</v>
      </c>
      <c r="X369" s="127" t="str">
        <f>IF(INDEX(Absmin,MATCH(Table36[[#This Row],[Grist]],SMI,0))="-","-",IF(Table36[[#This Row],[%Absorption]]="-","-",IF(Table36[[#This Row],[%Absorption]]&lt;INDEX(Absmin,MATCH(Table36[[#This Row],[Grist]],SMI,0)),0,IF(Table36[[#This Row],[%Absorption]]&gt;INDEX(Absmax,MATCH(Table36[[#This Row],[Grist]],SMI,0)),0,1))))</f>
        <v>-</v>
      </c>
      <c r="Y369" s="127" t="str">
        <f>IF(INDEX(Extmin,MATCH(Table36[[#This Row],[Grist]],SMI,0))="-","-",IF(Table36[[#This Row],[%Extensibility]]="-","-",IF(Table36[[#This Row],[%Extensibility]]&lt;INDEX(Extmin,MATCH(Table36[[#This Row],[Grist]],SMI,0)),0,IF(Table36[[#This Row],[%Extensibility]]&gt;INDEX(Extmax,MATCH(Table36[[#This Row],[Grist]],SMI,0)),0,1))))</f>
        <v>-</v>
      </c>
      <c r="Z369" s="127" t="str">
        <f>IF(INDEX(Resmin,MATCH(Table36[[#This Row],[Grist]],SMI,0))="-","-",IF(Table36[[#This Row],[Resistance, max]]="-","-",IF(Table36[[#This Row],[Resistance, max]]&lt;INDEX(Resmin,MATCH(Table36[[#This Row],[Grist]],SMI,0)),0,IF(Table36[[#This Row],[Resistance, max]]&gt;INDEX(Resmax,MATCH(Table36[[#This Row],[Grist]],SMI,0)),0,1))))</f>
        <v>-</v>
      </c>
      <c r="AA369" s="127">
        <f>IF(INDEX(WGmin,MATCH(Table36[[#This Row],[Grist]],SMI,0))="-","-",IF(Table36[[#This Row],[%Wet Gluten]]="-","-",IF(Table36[[#This Row],[%Wet Gluten]]&lt;INDEX(WGmin,MATCH(Table36[[#This Row],[Grist]],SMI,0)),0,IF(Table36[[#This Row],[%Wet Gluten]]&gt;INDEX(WGmax,MATCH(Table36[[#This Row],[Grist]],SMI,0)),0,1))))</f>
        <v>0</v>
      </c>
      <c r="AB369" s="127">
        <f>SUM(Table36[[#This Row],[ QI Bran Content]:[QI WG]])</f>
        <v>2</v>
      </c>
      <c r="AC369" s="127">
        <f>COUNT(Table36[[#This Row],[ QI Bran Content]:[QI WG]])</f>
        <v>5</v>
      </c>
    </row>
    <row r="370" spans="1:29" x14ac:dyDescent="0.35">
      <c r="A370" s="177">
        <v>45328</v>
      </c>
      <c r="B370" s="178">
        <v>45334</v>
      </c>
      <c r="C370" s="178" t="s">
        <v>130</v>
      </c>
      <c r="D370" s="179">
        <v>1.0833333333333299</v>
      </c>
      <c r="E370" s="180" t="s">
        <v>0</v>
      </c>
      <c r="F370" s="181" t="s">
        <v>32</v>
      </c>
      <c r="G370" s="182">
        <v>1.78E-2</v>
      </c>
      <c r="H370" s="175" t="s">
        <v>165</v>
      </c>
      <c r="I370" s="175" t="s">
        <v>165</v>
      </c>
      <c r="J370" s="175" t="s">
        <v>165</v>
      </c>
      <c r="K370" s="175">
        <v>12.58</v>
      </c>
      <c r="L370" s="175" t="s">
        <v>163</v>
      </c>
      <c r="M370" s="175" t="s">
        <v>163</v>
      </c>
      <c r="N370" s="175" t="s">
        <v>163</v>
      </c>
      <c r="O370" s="175" t="s">
        <v>163</v>
      </c>
      <c r="P370" s="175" t="s">
        <v>163</v>
      </c>
      <c r="Q370" s="175"/>
      <c r="R370" s="127">
        <f>IF(Table36[[#This Row],[ Bran Content]]="-","-",IF(G370&lt;0.02,1,0))</f>
        <v>1</v>
      </c>
      <c r="S370" s="127">
        <f>IF(Table36[[#This Row],[Sieve Test]]="-","-",IF(Table36[[#This Row],[Sieve Test]]="P",1,0))</f>
        <v>1</v>
      </c>
      <c r="T370" s="127">
        <f>IF(Table36[[#This Row],[Odor]]="-","-",IF(Table36[[#This Row],[Odor]]="P",1,0))</f>
        <v>1</v>
      </c>
      <c r="U370" s="127">
        <f>IF(INDEX(MCmin,MATCH(Table36[[#This Row],[Grist]],SMI,0))="-","-",IF(Table36[[#This Row],[F1 %MC]]="-","-",IF(Table36[[#This Row],[F1 %MC]]&lt;INDEX(MCmin,MATCH(Table36[[#This Row],[Grist]],SMI,0)),0,IF(Table36[[#This Row],[F1 %MC]]&gt;INDEX(MCmax,MATCH(Table36[[#This Row],[Grist]],SMI,0)),0,1))))</f>
        <v>1</v>
      </c>
      <c r="V370" s="127" t="str">
        <f>IF(INDEX(Protmin,MATCH(Table36[[#This Row],[Grist]],SMI,0))="-","-",IF(Table36[[#This Row],[%Protein]]="-","-",IF(Table36[[#This Row],[%Protein]]&lt;INDEX(Protmin,MATCH(Table36[[#This Row],[Grist]],SMI,0)),0,IF(Table36[[#This Row],[%Protein]]&gt;INDEX(Protmax,MATCH(Table36[[#This Row],[Grist]],SMI,0)),0,1))))</f>
        <v>-</v>
      </c>
      <c r="W370" s="127" t="str">
        <f>IF(INDEX(Ashmin,MATCH(Table36[[#This Row],[Grist]],SMI,0))="-","-",IF(Table36[[#This Row],[%Ash]]="-","-",IF(Table36[[#This Row],[%Ash]]&lt;INDEX(Ashmin,MATCH(Table36[[#This Row],[Grist]],SMI,0)),0,IF(Table36[[#This Row],[%Ash]]&gt;INDEX(Ashmax,MATCH(Table36[[#This Row],[Grist]],SMI,0)),0,1))))</f>
        <v>-</v>
      </c>
      <c r="X370" s="127" t="str">
        <f>IF(INDEX(Absmin,MATCH(Table36[[#This Row],[Grist]],SMI,0))="-","-",IF(Table36[[#This Row],[%Absorption]]="-","-",IF(Table36[[#This Row],[%Absorption]]&lt;INDEX(Absmin,MATCH(Table36[[#This Row],[Grist]],SMI,0)),0,IF(Table36[[#This Row],[%Absorption]]&gt;INDEX(Absmax,MATCH(Table36[[#This Row],[Grist]],SMI,0)),0,1))))</f>
        <v>-</v>
      </c>
      <c r="Y370" s="127" t="str">
        <f>IF(INDEX(Extmin,MATCH(Table36[[#This Row],[Grist]],SMI,0))="-","-",IF(Table36[[#This Row],[%Extensibility]]="-","-",IF(Table36[[#This Row],[%Extensibility]]&lt;INDEX(Extmin,MATCH(Table36[[#This Row],[Grist]],SMI,0)),0,IF(Table36[[#This Row],[%Extensibility]]&gt;INDEX(Extmax,MATCH(Table36[[#This Row],[Grist]],SMI,0)),0,1))))</f>
        <v>-</v>
      </c>
      <c r="Z370" s="127" t="str">
        <f>IF(INDEX(Resmin,MATCH(Table36[[#This Row],[Grist]],SMI,0))="-","-",IF(Table36[[#This Row],[Resistance, max]]="-","-",IF(Table36[[#This Row],[Resistance, max]]&lt;INDEX(Resmin,MATCH(Table36[[#This Row],[Grist]],SMI,0)),0,IF(Table36[[#This Row],[Resistance, max]]&gt;INDEX(Resmax,MATCH(Table36[[#This Row],[Grist]],SMI,0)),0,1))))</f>
        <v>-</v>
      </c>
      <c r="AA370" s="127">
        <f>IF(INDEX(WGmin,MATCH(Table36[[#This Row],[Grist]],SMI,0))="-","-",IF(Table36[[#This Row],[%Wet Gluten]]="-","-",IF(Table36[[#This Row],[%Wet Gluten]]&lt;INDEX(WGmin,MATCH(Table36[[#This Row],[Grist]],SMI,0)),0,IF(Table36[[#This Row],[%Wet Gluten]]&gt;INDEX(WGmax,MATCH(Table36[[#This Row],[Grist]],SMI,0)),0,1))))</f>
        <v>0</v>
      </c>
      <c r="AB370" s="127">
        <f>SUM(Table36[[#This Row],[ QI Bran Content]:[QI WG]])</f>
        <v>4</v>
      </c>
      <c r="AC370" s="127">
        <f>COUNT(Table36[[#This Row],[ QI Bran Content]:[QI WG]])</f>
        <v>5</v>
      </c>
    </row>
    <row r="371" spans="1:29" x14ac:dyDescent="0.35">
      <c r="A371" s="177">
        <v>45328</v>
      </c>
      <c r="B371" s="178">
        <v>45334</v>
      </c>
      <c r="C371" s="178" t="s">
        <v>130</v>
      </c>
      <c r="D371" s="179">
        <v>1.125</v>
      </c>
      <c r="E371" s="180" t="s">
        <v>0</v>
      </c>
      <c r="F371" s="181" t="s">
        <v>27</v>
      </c>
      <c r="G371" s="182">
        <v>1.4500000000000001E-2</v>
      </c>
      <c r="H371" s="175" t="s">
        <v>165</v>
      </c>
      <c r="I371" s="175" t="s">
        <v>165</v>
      </c>
      <c r="J371" s="175" t="s">
        <v>165</v>
      </c>
      <c r="K371" s="175">
        <v>12.58</v>
      </c>
      <c r="L371" s="175" t="s">
        <v>163</v>
      </c>
      <c r="M371" s="175" t="s">
        <v>163</v>
      </c>
      <c r="N371" s="175" t="s">
        <v>163</v>
      </c>
      <c r="O371" s="175" t="s">
        <v>163</v>
      </c>
      <c r="P371" s="175" t="s">
        <v>163</v>
      </c>
      <c r="Q371" s="175"/>
      <c r="R371" s="127">
        <f>IF(Table36[[#This Row],[ Bran Content]]="-","-",IF(G371&lt;0.02,1,0))</f>
        <v>1</v>
      </c>
      <c r="S371" s="127">
        <f>IF(Table36[[#This Row],[Sieve Test]]="-","-",IF(Table36[[#This Row],[Sieve Test]]="P",1,0))</f>
        <v>1</v>
      </c>
      <c r="T371" s="127">
        <f>IF(Table36[[#This Row],[Odor]]="-","-",IF(Table36[[#This Row],[Odor]]="P",1,0))</f>
        <v>1</v>
      </c>
      <c r="U371" s="127">
        <f>IF(INDEX(MCmin,MATCH(Table36[[#This Row],[Grist]],SMI,0))="-","-",IF(Table36[[#This Row],[F1 %MC]]="-","-",IF(Table36[[#This Row],[F1 %MC]]&lt;INDEX(MCmin,MATCH(Table36[[#This Row],[Grist]],SMI,0)),0,IF(Table36[[#This Row],[F1 %MC]]&gt;INDEX(MCmax,MATCH(Table36[[#This Row],[Grist]],SMI,0)),0,1))))</f>
        <v>1</v>
      </c>
      <c r="V371" s="127" t="str">
        <f>IF(INDEX(Protmin,MATCH(Table36[[#This Row],[Grist]],SMI,0))="-","-",IF(Table36[[#This Row],[%Protein]]="-","-",IF(Table36[[#This Row],[%Protein]]&lt;INDEX(Protmin,MATCH(Table36[[#This Row],[Grist]],SMI,0)),0,IF(Table36[[#This Row],[%Protein]]&gt;INDEX(Protmax,MATCH(Table36[[#This Row],[Grist]],SMI,0)),0,1))))</f>
        <v>-</v>
      </c>
      <c r="W371" s="127" t="str">
        <f>IF(INDEX(Ashmin,MATCH(Table36[[#This Row],[Grist]],SMI,0))="-","-",IF(Table36[[#This Row],[%Ash]]="-","-",IF(Table36[[#This Row],[%Ash]]&lt;INDEX(Ashmin,MATCH(Table36[[#This Row],[Grist]],SMI,0)),0,IF(Table36[[#This Row],[%Ash]]&gt;INDEX(Ashmax,MATCH(Table36[[#This Row],[Grist]],SMI,0)),0,1))))</f>
        <v>-</v>
      </c>
      <c r="X371" s="127" t="str">
        <f>IF(INDEX(Absmin,MATCH(Table36[[#This Row],[Grist]],SMI,0))="-","-",IF(Table36[[#This Row],[%Absorption]]="-","-",IF(Table36[[#This Row],[%Absorption]]&lt;INDEX(Absmin,MATCH(Table36[[#This Row],[Grist]],SMI,0)),0,IF(Table36[[#This Row],[%Absorption]]&gt;INDEX(Absmax,MATCH(Table36[[#This Row],[Grist]],SMI,0)),0,1))))</f>
        <v>-</v>
      </c>
      <c r="Y371" s="127" t="str">
        <f>IF(INDEX(Extmin,MATCH(Table36[[#This Row],[Grist]],SMI,0))="-","-",IF(Table36[[#This Row],[%Extensibility]]="-","-",IF(Table36[[#This Row],[%Extensibility]]&lt;INDEX(Extmin,MATCH(Table36[[#This Row],[Grist]],SMI,0)),0,IF(Table36[[#This Row],[%Extensibility]]&gt;INDEX(Extmax,MATCH(Table36[[#This Row],[Grist]],SMI,0)),0,1))))</f>
        <v>-</v>
      </c>
      <c r="Z371" s="127" t="str">
        <f>IF(INDEX(Resmin,MATCH(Table36[[#This Row],[Grist]],SMI,0))="-","-",IF(Table36[[#This Row],[Resistance, max]]="-","-",IF(Table36[[#This Row],[Resistance, max]]&lt;INDEX(Resmin,MATCH(Table36[[#This Row],[Grist]],SMI,0)),0,IF(Table36[[#This Row],[Resistance, max]]&gt;INDEX(Resmax,MATCH(Table36[[#This Row],[Grist]],SMI,0)),0,1))))</f>
        <v>-</v>
      </c>
      <c r="AA371" s="127">
        <f>IF(INDEX(WGmin,MATCH(Table36[[#This Row],[Grist]],SMI,0))="-","-",IF(Table36[[#This Row],[%Wet Gluten]]="-","-",IF(Table36[[#This Row],[%Wet Gluten]]&lt;INDEX(WGmin,MATCH(Table36[[#This Row],[Grist]],SMI,0)),0,IF(Table36[[#This Row],[%Wet Gluten]]&gt;INDEX(WGmax,MATCH(Table36[[#This Row],[Grist]],SMI,0)),0,1))))</f>
        <v>0</v>
      </c>
      <c r="AB371" s="127">
        <f>SUM(Table36[[#This Row],[ QI Bran Content]:[QI WG]])</f>
        <v>4</v>
      </c>
      <c r="AC371" s="127">
        <f>COUNT(Table36[[#This Row],[ QI Bran Content]:[QI WG]])</f>
        <v>5</v>
      </c>
    </row>
    <row r="372" spans="1:29" x14ac:dyDescent="0.35">
      <c r="A372" s="177">
        <v>45328</v>
      </c>
      <c r="B372" s="178">
        <v>45334</v>
      </c>
      <c r="C372" s="178" t="s">
        <v>130</v>
      </c>
      <c r="D372" s="179">
        <v>1.2083333333333299</v>
      </c>
      <c r="E372" s="180" t="s">
        <v>0</v>
      </c>
      <c r="F372" s="181" t="s">
        <v>27</v>
      </c>
      <c r="G372" s="182">
        <v>1.4800000000000001E-2</v>
      </c>
      <c r="H372" s="175" t="s">
        <v>165</v>
      </c>
      <c r="I372" s="175" t="s">
        <v>165</v>
      </c>
      <c r="J372" s="175" t="s">
        <v>165</v>
      </c>
      <c r="K372" s="175">
        <v>12.51</v>
      </c>
      <c r="L372" s="175" t="s">
        <v>163</v>
      </c>
      <c r="M372" s="175" t="s">
        <v>163</v>
      </c>
      <c r="N372" s="175" t="s">
        <v>163</v>
      </c>
      <c r="O372" s="175" t="s">
        <v>163</v>
      </c>
      <c r="P372" s="175" t="s">
        <v>163</v>
      </c>
      <c r="Q372" s="175"/>
      <c r="R372" s="127">
        <f>IF(Table36[[#This Row],[ Bran Content]]="-","-",IF(G372&lt;0.02,1,0))</f>
        <v>1</v>
      </c>
      <c r="S372" s="127">
        <f>IF(Table36[[#This Row],[Sieve Test]]="-","-",IF(Table36[[#This Row],[Sieve Test]]="P",1,0))</f>
        <v>1</v>
      </c>
      <c r="T372" s="127">
        <f>IF(Table36[[#This Row],[Odor]]="-","-",IF(Table36[[#This Row],[Odor]]="P",1,0))</f>
        <v>1</v>
      </c>
      <c r="U372" s="127">
        <f>IF(INDEX(MCmin,MATCH(Table36[[#This Row],[Grist]],SMI,0))="-","-",IF(Table36[[#This Row],[F1 %MC]]="-","-",IF(Table36[[#This Row],[F1 %MC]]&lt;INDEX(MCmin,MATCH(Table36[[#This Row],[Grist]],SMI,0)),0,IF(Table36[[#This Row],[F1 %MC]]&gt;INDEX(MCmax,MATCH(Table36[[#This Row],[Grist]],SMI,0)),0,1))))</f>
        <v>1</v>
      </c>
      <c r="V372" s="127" t="str">
        <f>IF(INDEX(Protmin,MATCH(Table36[[#This Row],[Grist]],SMI,0))="-","-",IF(Table36[[#This Row],[%Protein]]="-","-",IF(Table36[[#This Row],[%Protein]]&lt;INDEX(Protmin,MATCH(Table36[[#This Row],[Grist]],SMI,0)),0,IF(Table36[[#This Row],[%Protein]]&gt;INDEX(Protmax,MATCH(Table36[[#This Row],[Grist]],SMI,0)),0,1))))</f>
        <v>-</v>
      </c>
      <c r="W372" s="127" t="str">
        <f>IF(INDEX(Ashmin,MATCH(Table36[[#This Row],[Grist]],SMI,0))="-","-",IF(Table36[[#This Row],[%Ash]]="-","-",IF(Table36[[#This Row],[%Ash]]&lt;INDEX(Ashmin,MATCH(Table36[[#This Row],[Grist]],SMI,0)),0,IF(Table36[[#This Row],[%Ash]]&gt;INDEX(Ashmax,MATCH(Table36[[#This Row],[Grist]],SMI,0)),0,1))))</f>
        <v>-</v>
      </c>
      <c r="X372" s="127" t="str">
        <f>IF(INDEX(Absmin,MATCH(Table36[[#This Row],[Grist]],SMI,0))="-","-",IF(Table36[[#This Row],[%Absorption]]="-","-",IF(Table36[[#This Row],[%Absorption]]&lt;INDEX(Absmin,MATCH(Table36[[#This Row],[Grist]],SMI,0)),0,IF(Table36[[#This Row],[%Absorption]]&gt;INDEX(Absmax,MATCH(Table36[[#This Row],[Grist]],SMI,0)),0,1))))</f>
        <v>-</v>
      </c>
      <c r="Y372" s="127" t="str">
        <f>IF(INDEX(Extmin,MATCH(Table36[[#This Row],[Grist]],SMI,0))="-","-",IF(Table36[[#This Row],[%Extensibility]]="-","-",IF(Table36[[#This Row],[%Extensibility]]&lt;INDEX(Extmin,MATCH(Table36[[#This Row],[Grist]],SMI,0)),0,IF(Table36[[#This Row],[%Extensibility]]&gt;INDEX(Extmax,MATCH(Table36[[#This Row],[Grist]],SMI,0)),0,1))))</f>
        <v>-</v>
      </c>
      <c r="Z372" s="127" t="str">
        <f>IF(INDEX(Resmin,MATCH(Table36[[#This Row],[Grist]],SMI,0))="-","-",IF(Table36[[#This Row],[Resistance, max]]="-","-",IF(Table36[[#This Row],[Resistance, max]]&lt;INDEX(Resmin,MATCH(Table36[[#This Row],[Grist]],SMI,0)),0,IF(Table36[[#This Row],[Resistance, max]]&gt;INDEX(Resmax,MATCH(Table36[[#This Row],[Grist]],SMI,0)),0,1))))</f>
        <v>-</v>
      </c>
      <c r="AA372" s="127">
        <f>IF(INDEX(WGmin,MATCH(Table36[[#This Row],[Grist]],SMI,0))="-","-",IF(Table36[[#This Row],[%Wet Gluten]]="-","-",IF(Table36[[#This Row],[%Wet Gluten]]&lt;INDEX(WGmin,MATCH(Table36[[#This Row],[Grist]],SMI,0)),0,IF(Table36[[#This Row],[%Wet Gluten]]&gt;INDEX(WGmax,MATCH(Table36[[#This Row],[Grist]],SMI,0)),0,1))))</f>
        <v>0</v>
      </c>
      <c r="AB372" s="127">
        <f>SUM(Table36[[#This Row],[ QI Bran Content]:[QI WG]])</f>
        <v>4</v>
      </c>
      <c r="AC372" s="127">
        <f>COUNT(Table36[[#This Row],[ QI Bran Content]:[QI WG]])</f>
        <v>5</v>
      </c>
    </row>
    <row r="373" spans="1:29" x14ac:dyDescent="0.35">
      <c r="A373" s="177">
        <v>45328</v>
      </c>
      <c r="B373" s="178">
        <v>45334</v>
      </c>
      <c r="C373" s="178" t="s">
        <v>130</v>
      </c>
      <c r="D373" s="179">
        <v>1.0416666666666701</v>
      </c>
      <c r="E373" s="180" t="s">
        <v>2</v>
      </c>
      <c r="F373" s="181" t="s">
        <v>242</v>
      </c>
      <c r="G373" s="182" t="s">
        <v>264</v>
      </c>
      <c r="H373" s="175" t="s">
        <v>165</v>
      </c>
      <c r="I373" s="175" t="s">
        <v>165</v>
      </c>
      <c r="J373" s="175" t="s">
        <v>165</v>
      </c>
      <c r="K373" s="175">
        <v>11.93</v>
      </c>
      <c r="L373" s="175" t="s">
        <v>163</v>
      </c>
      <c r="M373" s="175" t="s">
        <v>163</v>
      </c>
      <c r="N373" s="175" t="s">
        <v>163</v>
      </c>
      <c r="O373" s="175" t="s">
        <v>163</v>
      </c>
      <c r="P373" s="175" t="s">
        <v>163</v>
      </c>
      <c r="Q373" s="175"/>
      <c r="R373" s="127">
        <f>IF(Table36[[#This Row],[ Bran Content]]="-","-",IF(G373&lt;0.02,1,0))</f>
        <v>0</v>
      </c>
      <c r="S373" s="127">
        <f>IF(Table36[[#This Row],[Sieve Test]]="-","-",IF(Table36[[#This Row],[Sieve Test]]="P",1,0))</f>
        <v>1</v>
      </c>
      <c r="T373" s="127">
        <f>IF(Table36[[#This Row],[Odor]]="-","-",IF(Table36[[#This Row],[Odor]]="P",1,0))</f>
        <v>1</v>
      </c>
      <c r="U373" s="127">
        <f>IF(INDEX(MCmin,MATCH(Table36[[#This Row],[Grist]],SMI,0))="-","-",IF(Table36[[#This Row],[F1 %MC]]="-","-",IF(Table36[[#This Row],[F1 %MC]]&lt;INDEX(MCmin,MATCH(Table36[[#This Row],[Grist]],SMI,0)),0,IF(Table36[[#This Row],[F1 %MC]]&gt;INDEX(MCmax,MATCH(Table36[[#This Row],[Grist]],SMI,0)),0,1))))</f>
        <v>0</v>
      </c>
      <c r="V373" s="127" t="str">
        <f>IF(INDEX(Protmin,MATCH(Table36[[#This Row],[Grist]],SMI,0))="-","-",IF(Table36[[#This Row],[%Protein]]="-","-",IF(Table36[[#This Row],[%Protein]]&lt;INDEX(Protmin,MATCH(Table36[[#This Row],[Grist]],SMI,0)),0,IF(Table36[[#This Row],[%Protein]]&gt;INDEX(Protmax,MATCH(Table36[[#This Row],[Grist]],SMI,0)),0,1))))</f>
        <v>-</v>
      </c>
      <c r="W373" s="127" t="str">
        <f>IF(INDEX(Ashmin,MATCH(Table36[[#This Row],[Grist]],SMI,0))="-","-",IF(Table36[[#This Row],[%Ash]]="-","-",IF(Table36[[#This Row],[%Ash]]&lt;INDEX(Ashmin,MATCH(Table36[[#This Row],[Grist]],SMI,0)),0,IF(Table36[[#This Row],[%Ash]]&gt;INDEX(Ashmax,MATCH(Table36[[#This Row],[Grist]],SMI,0)),0,1))))</f>
        <v>-</v>
      </c>
      <c r="X373" s="127" t="str">
        <f>IF(INDEX(Absmin,MATCH(Table36[[#This Row],[Grist]],SMI,0))="-","-",IF(Table36[[#This Row],[%Absorption]]="-","-",IF(Table36[[#This Row],[%Absorption]]&lt;INDEX(Absmin,MATCH(Table36[[#This Row],[Grist]],SMI,0)),0,IF(Table36[[#This Row],[%Absorption]]&gt;INDEX(Absmax,MATCH(Table36[[#This Row],[Grist]],SMI,0)),0,1))))</f>
        <v>-</v>
      </c>
      <c r="Y373" s="127" t="str">
        <f>IF(INDEX(Extmin,MATCH(Table36[[#This Row],[Grist]],SMI,0))="-","-",IF(Table36[[#This Row],[%Extensibility]]="-","-",IF(Table36[[#This Row],[%Extensibility]]&lt;INDEX(Extmin,MATCH(Table36[[#This Row],[Grist]],SMI,0)),0,IF(Table36[[#This Row],[%Extensibility]]&gt;INDEX(Extmax,MATCH(Table36[[#This Row],[Grist]],SMI,0)),0,1))))</f>
        <v>-</v>
      </c>
      <c r="Z373" s="127" t="str">
        <f>IF(INDEX(Resmin,MATCH(Table36[[#This Row],[Grist]],SMI,0))="-","-",IF(Table36[[#This Row],[Resistance, max]]="-","-",IF(Table36[[#This Row],[Resistance, max]]&lt;INDEX(Resmin,MATCH(Table36[[#This Row],[Grist]],SMI,0)),0,IF(Table36[[#This Row],[Resistance, max]]&gt;INDEX(Resmax,MATCH(Table36[[#This Row],[Grist]],SMI,0)),0,1))))</f>
        <v>-</v>
      </c>
      <c r="AA373" s="127">
        <f>IF(INDEX(WGmin,MATCH(Table36[[#This Row],[Grist]],SMI,0))="-","-",IF(Table36[[#This Row],[%Wet Gluten]]="-","-",IF(Table36[[#This Row],[%Wet Gluten]]&lt;INDEX(WGmin,MATCH(Table36[[#This Row],[Grist]],SMI,0)),0,IF(Table36[[#This Row],[%Wet Gluten]]&gt;INDEX(WGmax,MATCH(Table36[[#This Row],[Grist]],SMI,0)),0,1))))</f>
        <v>0</v>
      </c>
      <c r="AB373" s="127">
        <f>SUM(Table36[[#This Row],[ QI Bran Content]:[QI WG]])</f>
        <v>2</v>
      </c>
      <c r="AC373" s="127">
        <f>COUNT(Table36[[#This Row],[ QI Bran Content]:[QI WG]])</f>
        <v>5</v>
      </c>
    </row>
    <row r="374" spans="1:29" x14ac:dyDescent="0.35">
      <c r="A374" s="177">
        <v>45328</v>
      </c>
      <c r="B374" s="178">
        <v>45335</v>
      </c>
      <c r="C374" s="178" t="s">
        <v>125</v>
      </c>
      <c r="D374" s="179" t="s">
        <v>239</v>
      </c>
      <c r="E374" s="180" t="s">
        <v>0</v>
      </c>
      <c r="F374" s="181" t="s">
        <v>27</v>
      </c>
      <c r="G374" s="182">
        <v>3.3000000000000002E-2</v>
      </c>
      <c r="H374" s="175" t="s">
        <v>165</v>
      </c>
      <c r="I374" s="175" t="s">
        <v>165</v>
      </c>
      <c r="J374" s="175" t="s">
        <v>165</v>
      </c>
      <c r="K374" s="175">
        <v>12.22</v>
      </c>
      <c r="L374" s="175" t="s">
        <v>163</v>
      </c>
      <c r="M374" s="175" t="s">
        <v>163</v>
      </c>
      <c r="N374" s="175" t="s">
        <v>163</v>
      </c>
      <c r="O374" s="175" t="s">
        <v>163</v>
      </c>
      <c r="P374" s="175" t="s">
        <v>163</v>
      </c>
      <c r="Q374" s="175"/>
      <c r="R374" s="127">
        <f>IF(Table36[[#This Row],[ Bran Content]]="-","-",IF(G374&lt;0.02,1,0))</f>
        <v>0</v>
      </c>
      <c r="S374" s="127">
        <f>IF(Table36[[#This Row],[Sieve Test]]="-","-",IF(Table36[[#This Row],[Sieve Test]]="P",1,0))</f>
        <v>1</v>
      </c>
      <c r="T374" s="127">
        <f>IF(Table36[[#This Row],[Odor]]="-","-",IF(Table36[[#This Row],[Odor]]="P",1,0))</f>
        <v>1</v>
      </c>
      <c r="U374" s="127">
        <f>IF(INDEX(MCmin,MATCH(Table36[[#This Row],[Grist]],SMI,0))="-","-",IF(Table36[[#This Row],[F1 %MC]]="-","-",IF(Table36[[#This Row],[F1 %MC]]&lt;INDEX(MCmin,MATCH(Table36[[#This Row],[Grist]],SMI,0)),0,IF(Table36[[#This Row],[F1 %MC]]&gt;INDEX(MCmax,MATCH(Table36[[#This Row],[Grist]],SMI,0)),0,1))))</f>
        <v>1</v>
      </c>
      <c r="V374" s="127" t="str">
        <f>IF(INDEX(Protmin,MATCH(Table36[[#This Row],[Grist]],SMI,0))="-","-",IF(Table36[[#This Row],[%Protein]]="-","-",IF(Table36[[#This Row],[%Protein]]&lt;INDEX(Protmin,MATCH(Table36[[#This Row],[Grist]],SMI,0)),0,IF(Table36[[#This Row],[%Protein]]&gt;INDEX(Protmax,MATCH(Table36[[#This Row],[Grist]],SMI,0)),0,1))))</f>
        <v>-</v>
      </c>
      <c r="W374" s="127" t="str">
        <f>IF(INDEX(Ashmin,MATCH(Table36[[#This Row],[Grist]],SMI,0))="-","-",IF(Table36[[#This Row],[%Ash]]="-","-",IF(Table36[[#This Row],[%Ash]]&lt;INDEX(Ashmin,MATCH(Table36[[#This Row],[Grist]],SMI,0)),0,IF(Table36[[#This Row],[%Ash]]&gt;INDEX(Ashmax,MATCH(Table36[[#This Row],[Grist]],SMI,0)),0,1))))</f>
        <v>-</v>
      </c>
      <c r="X374" s="127" t="str">
        <f>IF(INDEX(Absmin,MATCH(Table36[[#This Row],[Grist]],SMI,0))="-","-",IF(Table36[[#This Row],[%Absorption]]="-","-",IF(Table36[[#This Row],[%Absorption]]&lt;INDEX(Absmin,MATCH(Table36[[#This Row],[Grist]],SMI,0)),0,IF(Table36[[#This Row],[%Absorption]]&gt;INDEX(Absmax,MATCH(Table36[[#This Row],[Grist]],SMI,0)),0,1))))</f>
        <v>-</v>
      </c>
      <c r="Y374" s="127" t="str">
        <f>IF(INDEX(Extmin,MATCH(Table36[[#This Row],[Grist]],SMI,0))="-","-",IF(Table36[[#This Row],[%Extensibility]]="-","-",IF(Table36[[#This Row],[%Extensibility]]&lt;INDEX(Extmin,MATCH(Table36[[#This Row],[Grist]],SMI,0)),0,IF(Table36[[#This Row],[%Extensibility]]&gt;INDEX(Extmax,MATCH(Table36[[#This Row],[Grist]],SMI,0)),0,1))))</f>
        <v>-</v>
      </c>
      <c r="Z374" s="127" t="str">
        <f>IF(INDEX(Resmin,MATCH(Table36[[#This Row],[Grist]],SMI,0))="-","-",IF(Table36[[#This Row],[Resistance, max]]="-","-",IF(Table36[[#This Row],[Resistance, max]]&lt;INDEX(Resmin,MATCH(Table36[[#This Row],[Grist]],SMI,0)),0,IF(Table36[[#This Row],[Resistance, max]]&gt;INDEX(Resmax,MATCH(Table36[[#This Row],[Grist]],SMI,0)),0,1))))</f>
        <v>-</v>
      </c>
      <c r="AA374" s="127">
        <f>IF(INDEX(WGmin,MATCH(Table36[[#This Row],[Grist]],SMI,0))="-","-",IF(Table36[[#This Row],[%Wet Gluten]]="-","-",IF(Table36[[#This Row],[%Wet Gluten]]&lt;INDEX(WGmin,MATCH(Table36[[#This Row],[Grist]],SMI,0)),0,IF(Table36[[#This Row],[%Wet Gluten]]&gt;INDEX(WGmax,MATCH(Table36[[#This Row],[Grist]],SMI,0)),0,1))))</f>
        <v>0</v>
      </c>
      <c r="AB374" s="127">
        <f>SUM(Table36[[#This Row],[ QI Bran Content]:[QI WG]])</f>
        <v>3</v>
      </c>
      <c r="AC374" s="127">
        <f>COUNT(Table36[[#This Row],[ QI Bran Content]:[QI WG]])</f>
        <v>5</v>
      </c>
    </row>
    <row r="375" spans="1:29" x14ac:dyDescent="0.35">
      <c r="A375" s="177">
        <v>45328</v>
      </c>
      <c r="B375" s="178">
        <v>45336</v>
      </c>
      <c r="C375" s="178" t="s">
        <v>125</v>
      </c>
      <c r="D375" s="179" t="s">
        <v>240</v>
      </c>
      <c r="E375" s="180" t="s">
        <v>0</v>
      </c>
      <c r="F375" s="181" t="s">
        <v>27</v>
      </c>
      <c r="G375" s="182">
        <v>3.3E-3</v>
      </c>
      <c r="H375" s="175" t="s">
        <v>165</v>
      </c>
      <c r="I375" s="175" t="s">
        <v>165</v>
      </c>
      <c r="J375" s="175" t="s">
        <v>165</v>
      </c>
      <c r="K375" s="175">
        <v>13.38</v>
      </c>
      <c r="L375" s="175">
        <v>12.83</v>
      </c>
      <c r="M375" s="175">
        <v>0.43</v>
      </c>
      <c r="N375" s="175">
        <v>65</v>
      </c>
      <c r="O375" s="175" t="s">
        <v>163</v>
      </c>
      <c r="P375" s="175" t="s">
        <v>163</v>
      </c>
      <c r="Q375" s="175"/>
      <c r="R375" s="127">
        <f>IF(Table36[[#This Row],[ Bran Content]]="-","-",IF(G375&lt;0.02,1,0))</f>
        <v>1</v>
      </c>
      <c r="S375" s="127">
        <f>IF(Table36[[#This Row],[Sieve Test]]="-","-",IF(Table36[[#This Row],[Sieve Test]]="P",1,0))</f>
        <v>1</v>
      </c>
      <c r="T375" s="127">
        <f>IF(Table36[[#This Row],[Odor]]="-","-",IF(Table36[[#This Row],[Odor]]="P",1,0))</f>
        <v>1</v>
      </c>
      <c r="U375" s="127">
        <f>IF(INDEX(MCmin,MATCH(Table36[[#This Row],[Grist]],SMI,0))="-","-",IF(Table36[[#This Row],[F1 %MC]]="-","-",IF(Table36[[#This Row],[F1 %MC]]&lt;INDEX(MCmin,MATCH(Table36[[#This Row],[Grist]],SMI,0)),0,IF(Table36[[#This Row],[F1 %MC]]&gt;INDEX(MCmax,MATCH(Table36[[#This Row],[Grist]],SMI,0)),0,1))))</f>
        <v>1</v>
      </c>
      <c r="V375" s="127">
        <f>IF(INDEX(Protmin,MATCH(Table36[[#This Row],[Grist]],SMI,0))="-","-",IF(Table36[[#This Row],[%Protein]]="-","-",IF(Table36[[#This Row],[%Protein]]&lt;INDEX(Protmin,MATCH(Table36[[#This Row],[Grist]],SMI,0)),0,IF(Table36[[#This Row],[%Protein]]&gt;INDEX(Protmax,MATCH(Table36[[#This Row],[Grist]],SMI,0)),0,1))))</f>
        <v>1</v>
      </c>
      <c r="W375" s="127">
        <f>IF(INDEX(Ashmin,MATCH(Table36[[#This Row],[Grist]],SMI,0))="-","-",IF(Table36[[#This Row],[%Ash]]="-","-",IF(Table36[[#This Row],[%Ash]]&lt;INDEX(Ashmin,MATCH(Table36[[#This Row],[Grist]],SMI,0)),0,IF(Table36[[#This Row],[%Ash]]&gt;INDEX(Ashmax,MATCH(Table36[[#This Row],[Grist]],SMI,0)),0,1))))</f>
        <v>1</v>
      </c>
      <c r="X375" s="127">
        <f>IF(INDEX(Absmin,MATCH(Table36[[#This Row],[Grist]],SMI,0))="-","-",IF(Table36[[#This Row],[%Absorption]]="-","-",IF(Table36[[#This Row],[%Absorption]]&lt;INDEX(Absmin,MATCH(Table36[[#This Row],[Grist]],SMI,0)),0,IF(Table36[[#This Row],[%Absorption]]&gt;INDEX(Absmax,MATCH(Table36[[#This Row],[Grist]],SMI,0)),0,1))))</f>
        <v>1</v>
      </c>
      <c r="Y375" s="127" t="str">
        <f>IF(INDEX(Extmin,MATCH(Table36[[#This Row],[Grist]],SMI,0))="-","-",IF(Table36[[#This Row],[%Extensibility]]="-","-",IF(Table36[[#This Row],[%Extensibility]]&lt;INDEX(Extmin,MATCH(Table36[[#This Row],[Grist]],SMI,0)),0,IF(Table36[[#This Row],[%Extensibility]]&gt;INDEX(Extmax,MATCH(Table36[[#This Row],[Grist]],SMI,0)),0,1))))</f>
        <v>-</v>
      </c>
      <c r="Z375" s="127" t="str">
        <f>IF(INDEX(Resmin,MATCH(Table36[[#This Row],[Grist]],SMI,0))="-","-",IF(Table36[[#This Row],[Resistance, max]]="-","-",IF(Table36[[#This Row],[Resistance, max]]&lt;INDEX(Resmin,MATCH(Table36[[#This Row],[Grist]],SMI,0)),0,IF(Table36[[#This Row],[Resistance, max]]&gt;INDEX(Resmax,MATCH(Table36[[#This Row],[Grist]],SMI,0)),0,1))))</f>
        <v>-</v>
      </c>
      <c r="AA375" s="127">
        <f>IF(INDEX(WGmin,MATCH(Table36[[#This Row],[Grist]],SMI,0))="-","-",IF(Table36[[#This Row],[%Wet Gluten]]="-","-",IF(Table36[[#This Row],[%Wet Gluten]]&lt;INDEX(WGmin,MATCH(Table36[[#This Row],[Grist]],SMI,0)),0,IF(Table36[[#This Row],[%Wet Gluten]]&gt;INDEX(WGmax,MATCH(Table36[[#This Row],[Grist]],SMI,0)),0,1))))</f>
        <v>0</v>
      </c>
      <c r="AB375" s="127">
        <f>SUM(Table36[[#This Row],[ QI Bran Content]:[QI WG]])</f>
        <v>7</v>
      </c>
      <c r="AC375" s="127">
        <f>COUNT(Table36[[#This Row],[ QI Bran Content]:[QI WG]])</f>
        <v>8</v>
      </c>
    </row>
    <row r="376" spans="1:29" x14ac:dyDescent="0.35">
      <c r="A376" s="177">
        <v>45328</v>
      </c>
      <c r="B376" s="178">
        <v>45336</v>
      </c>
      <c r="C376" s="178" t="s">
        <v>125</v>
      </c>
      <c r="D376" s="179" t="s">
        <v>237</v>
      </c>
      <c r="E376" s="180" t="s">
        <v>0</v>
      </c>
      <c r="F376" s="181" t="s">
        <v>27</v>
      </c>
      <c r="G376" s="182">
        <v>5.7999999999999996E-3</v>
      </c>
      <c r="H376" s="175" t="s">
        <v>165</v>
      </c>
      <c r="I376" s="175" t="s">
        <v>165</v>
      </c>
      <c r="J376" s="175" t="s">
        <v>165</v>
      </c>
      <c r="K376" s="175">
        <v>13.28</v>
      </c>
      <c r="L376" s="175">
        <v>12.83</v>
      </c>
      <c r="M376" s="175">
        <v>0.43</v>
      </c>
      <c r="N376" s="175">
        <v>65</v>
      </c>
      <c r="O376" s="175" t="s">
        <v>163</v>
      </c>
      <c r="P376" s="175" t="s">
        <v>163</v>
      </c>
      <c r="Q376" s="175"/>
      <c r="R376" s="127">
        <f>IF(Table36[[#This Row],[ Bran Content]]="-","-",IF(G376&lt;0.02,1,0))</f>
        <v>1</v>
      </c>
      <c r="S376" s="127">
        <f>IF(Table36[[#This Row],[Sieve Test]]="-","-",IF(Table36[[#This Row],[Sieve Test]]="P",1,0))</f>
        <v>1</v>
      </c>
      <c r="T376" s="127">
        <f>IF(Table36[[#This Row],[Odor]]="-","-",IF(Table36[[#This Row],[Odor]]="P",1,0))</f>
        <v>1</v>
      </c>
      <c r="U376" s="127">
        <f>IF(INDEX(MCmin,MATCH(Table36[[#This Row],[Grist]],SMI,0))="-","-",IF(Table36[[#This Row],[F1 %MC]]="-","-",IF(Table36[[#This Row],[F1 %MC]]&lt;INDEX(MCmin,MATCH(Table36[[#This Row],[Grist]],SMI,0)),0,IF(Table36[[#This Row],[F1 %MC]]&gt;INDEX(MCmax,MATCH(Table36[[#This Row],[Grist]],SMI,0)),0,1))))</f>
        <v>1</v>
      </c>
      <c r="V376" s="127">
        <f>IF(INDEX(Protmin,MATCH(Table36[[#This Row],[Grist]],SMI,0))="-","-",IF(Table36[[#This Row],[%Protein]]="-","-",IF(Table36[[#This Row],[%Protein]]&lt;INDEX(Protmin,MATCH(Table36[[#This Row],[Grist]],SMI,0)),0,IF(Table36[[#This Row],[%Protein]]&gt;INDEX(Protmax,MATCH(Table36[[#This Row],[Grist]],SMI,0)),0,1))))</f>
        <v>1</v>
      </c>
      <c r="W376" s="127">
        <f>IF(INDEX(Ashmin,MATCH(Table36[[#This Row],[Grist]],SMI,0))="-","-",IF(Table36[[#This Row],[%Ash]]="-","-",IF(Table36[[#This Row],[%Ash]]&lt;INDEX(Ashmin,MATCH(Table36[[#This Row],[Grist]],SMI,0)),0,IF(Table36[[#This Row],[%Ash]]&gt;INDEX(Ashmax,MATCH(Table36[[#This Row],[Grist]],SMI,0)),0,1))))</f>
        <v>1</v>
      </c>
      <c r="X376" s="127">
        <f>IF(INDEX(Absmin,MATCH(Table36[[#This Row],[Grist]],SMI,0))="-","-",IF(Table36[[#This Row],[%Absorption]]="-","-",IF(Table36[[#This Row],[%Absorption]]&lt;INDEX(Absmin,MATCH(Table36[[#This Row],[Grist]],SMI,0)),0,IF(Table36[[#This Row],[%Absorption]]&gt;INDEX(Absmax,MATCH(Table36[[#This Row],[Grist]],SMI,0)),0,1))))</f>
        <v>1</v>
      </c>
      <c r="Y376" s="127" t="str">
        <f>IF(INDEX(Extmin,MATCH(Table36[[#This Row],[Grist]],SMI,0))="-","-",IF(Table36[[#This Row],[%Extensibility]]="-","-",IF(Table36[[#This Row],[%Extensibility]]&lt;INDEX(Extmin,MATCH(Table36[[#This Row],[Grist]],SMI,0)),0,IF(Table36[[#This Row],[%Extensibility]]&gt;INDEX(Extmax,MATCH(Table36[[#This Row],[Grist]],SMI,0)),0,1))))</f>
        <v>-</v>
      </c>
      <c r="Z376" s="127" t="str">
        <f>IF(INDEX(Resmin,MATCH(Table36[[#This Row],[Grist]],SMI,0))="-","-",IF(Table36[[#This Row],[Resistance, max]]="-","-",IF(Table36[[#This Row],[Resistance, max]]&lt;INDEX(Resmin,MATCH(Table36[[#This Row],[Grist]],SMI,0)),0,IF(Table36[[#This Row],[Resistance, max]]&gt;INDEX(Resmax,MATCH(Table36[[#This Row],[Grist]],SMI,0)),0,1))))</f>
        <v>-</v>
      </c>
      <c r="AA376" s="127">
        <f>IF(INDEX(WGmin,MATCH(Table36[[#This Row],[Grist]],SMI,0))="-","-",IF(Table36[[#This Row],[%Wet Gluten]]="-","-",IF(Table36[[#This Row],[%Wet Gluten]]&lt;INDEX(WGmin,MATCH(Table36[[#This Row],[Grist]],SMI,0)),0,IF(Table36[[#This Row],[%Wet Gluten]]&gt;INDEX(WGmax,MATCH(Table36[[#This Row],[Grist]],SMI,0)),0,1))))</f>
        <v>0</v>
      </c>
      <c r="AB376" s="127">
        <f>SUM(Table36[[#This Row],[ QI Bran Content]:[QI WG]])</f>
        <v>7</v>
      </c>
      <c r="AC376" s="127">
        <f>COUNT(Table36[[#This Row],[ QI Bran Content]:[QI WG]])</f>
        <v>8</v>
      </c>
    </row>
    <row r="377" spans="1:29" x14ac:dyDescent="0.35">
      <c r="A377" s="177">
        <v>45328</v>
      </c>
      <c r="B377" s="178">
        <v>45336</v>
      </c>
      <c r="C377" s="178" t="s">
        <v>125</v>
      </c>
      <c r="D377" s="179" t="s">
        <v>238</v>
      </c>
      <c r="E377" s="180" t="s">
        <v>0</v>
      </c>
      <c r="F377" s="181" t="s">
        <v>27</v>
      </c>
      <c r="G377" s="182">
        <v>8.6E-3</v>
      </c>
      <c r="H377" s="175" t="s">
        <v>165</v>
      </c>
      <c r="I377" s="175" t="s">
        <v>165</v>
      </c>
      <c r="J377" s="175" t="s">
        <v>165</v>
      </c>
      <c r="K377" s="175">
        <v>13.3</v>
      </c>
      <c r="L377" s="175">
        <v>12.83</v>
      </c>
      <c r="M377" s="175">
        <v>0.43</v>
      </c>
      <c r="N377" s="175">
        <v>65</v>
      </c>
      <c r="O377" s="175" t="s">
        <v>163</v>
      </c>
      <c r="P377" s="175" t="s">
        <v>163</v>
      </c>
      <c r="Q377" s="175"/>
      <c r="R377" s="127">
        <f>IF(Table36[[#This Row],[ Bran Content]]="-","-",IF(G377&lt;0.02,1,0))</f>
        <v>1</v>
      </c>
      <c r="S377" s="127">
        <f>IF(Table36[[#This Row],[Sieve Test]]="-","-",IF(Table36[[#This Row],[Sieve Test]]="P",1,0))</f>
        <v>1</v>
      </c>
      <c r="T377" s="127">
        <f>IF(Table36[[#This Row],[Odor]]="-","-",IF(Table36[[#This Row],[Odor]]="P",1,0))</f>
        <v>1</v>
      </c>
      <c r="U377" s="127">
        <f>IF(INDEX(MCmin,MATCH(Table36[[#This Row],[Grist]],SMI,0))="-","-",IF(Table36[[#This Row],[F1 %MC]]="-","-",IF(Table36[[#This Row],[F1 %MC]]&lt;INDEX(MCmin,MATCH(Table36[[#This Row],[Grist]],SMI,0)),0,IF(Table36[[#This Row],[F1 %MC]]&gt;INDEX(MCmax,MATCH(Table36[[#This Row],[Grist]],SMI,0)),0,1))))</f>
        <v>1</v>
      </c>
      <c r="V377" s="127">
        <f>IF(INDEX(Protmin,MATCH(Table36[[#This Row],[Grist]],SMI,0))="-","-",IF(Table36[[#This Row],[%Protein]]="-","-",IF(Table36[[#This Row],[%Protein]]&lt;INDEX(Protmin,MATCH(Table36[[#This Row],[Grist]],SMI,0)),0,IF(Table36[[#This Row],[%Protein]]&gt;INDEX(Protmax,MATCH(Table36[[#This Row],[Grist]],SMI,0)),0,1))))</f>
        <v>1</v>
      </c>
      <c r="W377" s="127">
        <f>IF(INDEX(Ashmin,MATCH(Table36[[#This Row],[Grist]],SMI,0))="-","-",IF(Table36[[#This Row],[%Ash]]="-","-",IF(Table36[[#This Row],[%Ash]]&lt;INDEX(Ashmin,MATCH(Table36[[#This Row],[Grist]],SMI,0)),0,IF(Table36[[#This Row],[%Ash]]&gt;INDEX(Ashmax,MATCH(Table36[[#This Row],[Grist]],SMI,0)),0,1))))</f>
        <v>1</v>
      </c>
      <c r="X377" s="127">
        <f>IF(INDEX(Absmin,MATCH(Table36[[#This Row],[Grist]],SMI,0))="-","-",IF(Table36[[#This Row],[%Absorption]]="-","-",IF(Table36[[#This Row],[%Absorption]]&lt;INDEX(Absmin,MATCH(Table36[[#This Row],[Grist]],SMI,0)),0,IF(Table36[[#This Row],[%Absorption]]&gt;INDEX(Absmax,MATCH(Table36[[#This Row],[Grist]],SMI,0)),0,1))))</f>
        <v>1</v>
      </c>
      <c r="Y377" s="127" t="str">
        <f>IF(INDEX(Extmin,MATCH(Table36[[#This Row],[Grist]],SMI,0))="-","-",IF(Table36[[#This Row],[%Extensibility]]="-","-",IF(Table36[[#This Row],[%Extensibility]]&lt;INDEX(Extmin,MATCH(Table36[[#This Row],[Grist]],SMI,0)),0,IF(Table36[[#This Row],[%Extensibility]]&gt;INDEX(Extmax,MATCH(Table36[[#This Row],[Grist]],SMI,0)),0,1))))</f>
        <v>-</v>
      </c>
      <c r="Z377" s="127" t="str">
        <f>IF(INDEX(Resmin,MATCH(Table36[[#This Row],[Grist]],SMI,0))="-","-",IF(Table36[[#This Row],[Resistance, max]]="-","-",IF(Table36[[#This Row],[Resistance, max]]&lt;INDEX(Resmin,MATCH(Table36[[#This Row],[Grist]],SMI,0)),0,IF(Table36[[#This Row],[Resistance, max]]&gt;INDEX(Resmax,MATCH(Table36[[#This Row],[Grist]],SMI,0)),0,1))))</f>
        <v>-</v>
      </c>
      <c r="AA377" s="127">
        <f>IF(INDEX(WGmin,MATCH(Table36[[#This Row],[Grist]],SMI,0))="-","-",IF(Table36[[#This Row],[%Wet Gluten]]="-","-",IF(Table36[[#This Row],[%Wet Gluten]]&lt;INDEX(WGmin,MATCH(Table36[[#This Row],[Grist]],SMI,0)),0,IF(Table36[[#This Row],[%Wet Gluten]]&gt;INDEX(WGmax,MATCH(Table36[[#This Row],[Grist]],SMI,0)),0,1))))</f>
        <v>0</v>
      </c>
      <c r="AB377" s="127">
        <f>SUM(Table36[[#This Row],[ QI Bran Content]:[QI WG]])</f>
        <v>7</v>
      </c>
      <c r="AC377" s="127">
        <f>COUNT(Table36[[#This Row],[ QI Bran Content]:[QI WG]])</f>
        <v>8</v>
      </c>
    </row>
    <row r="378" spans="1:29" x14ac:dyDescent="0.35">
      <c r="A378" s="177">
        <v>45328</v>
      </c>
      <c r="B378" s="178">
        <v>45337</v>
      </c>
      <c r="C378" s="178" t="s">
        <v>125</v>
      </c>
      <c r="D378" s="179" t="s">
        <v>239</v>
      </c>
      <c r="E378" s="180" t="s">
        <v>0</v>
      </c>
      <c r="F378" s="181" t="s">
        <v>38</v>
      </c>
      <c r="G378" s="182">
        <v>1.3899999999999999E-2</v>
      </c>
      <c r="H378" s="175" t="s">
        <v>165</v>
      </c>
      <c r="I378" s="175" t="s">
        <v>165</v>
      </c>
      <c r="J378" s="175" t="s">
        <v>165</v>
      </c>
      <c r="K378" s="175">
        <v>12.11</v>
      </c>
      <c r="L378" s="175">
        <v>13.79</v>
      </c>
      <c r="M378" s="175">
        <v>0.49</v>
      </c>
      <c r="N378" s="175">
        <v>64</v>
      </c>
      <c r="O378" s="175" t="s">
        <v>163</v>
      </c>
      <c r="P378" s="175" t="s">
        <v>163</v>
      </c>
      <c r="Q378" s="175"/>
      <c r="R378" s="127">
        <f>IF(Table36[[#This Row],[ Bran Content]]="-","-",IF(G378&lt;0.02,1,0))</f>
        <v>1</v>
      </c>
      <c r="S378" s="127">
        <f>IF(Table36[[#This Row],[Sieve Test]]="-","-",IF(Table36[[#This Row],[Sieve Test]]="P",1,0))</f>
        <v>1</v>
      </c>
      <c r="T378" s="127">
        <f>IF(Table36[[#This Row],[Odor]]="-","-",IF(Table36[[#This Row],[Odor]]="P",1,0))</f>
        <v>1</v>
      </c>
      <c r="U378" s="127">
        <f>IF(INDEX(MCmin,MATCH(Table36[[#This Row],[Grist]],SMI,0))="-","-",IF(Table36[[#This Row],[F1 %MC]]="-","-",IF(Table36[[#This Row],[F1 %MC]]&lt;INDEX(MCmin,MATCH(Table36[[#This Row],[Grist]],SMI,0)),0,IF(Table36[[#This Row],[F1 %MC]]&gt;INDEX(MCmax,MATCH(Table36[[#This Row],[Grist]],SMI,0)),0,1))))</f>
        <v>1</v>
      </c>
      <c r="V378" s="127">
        <f>IF(INDEX(Protmin,MATCH(Table36[[#This Row],[Grist]],SMI,0))="-","-",IF(Table36[[#This Row],[%Protein]]="-","-",IF(Table36[[#This Row],[%Protein]]&lt;INDEX(Protmin,MATCH(Table36[[#This Row],[Grist]],SMI,0)),0,IF(Table36[[#This Row],[%Protein]]&gt;INDEX(Protmax,MATCH(Table36[[#This Row],[Grist]],SMI,0)),0,1))))</f>
        <v>1</v>
      </c>
      <c r="W378" s="127">
        <f>IF(INDEX(Ashmin,MATCH(Table36[[#This Row],[Grist]],SMI,0))="-","-",IF(Table36[[#This Row],[%Ash]]="-","-",IF(Table36[[#This Row],[%Ash]]&lt;INDEX(Ashmin,MATCH(Table36[[#This Row],[Grist]],SMI,0)),0,IF(Table36[[#This Row],[%Ash]]&gt;INDEX(Ashmax,MATCH(Table36[[#This Row],[Grist]],SMI,0)),0,1))))</f>
        <v>1</v>
      </c>
      <c r="X378" s="127">
        <f>IF(INDEX(Absmin,MATCH(Table36[[#This Row],[Grist]],SMI,0))="-","-",IF(Table36[[#This Row],[%Absorption]]="-","-",IF(Table36[[#This Row],[%Absorption]]&lt;INDEX(Absmin,MATCH(Table36[[#This Row],[Grist]],SMI,0)),0,IF(Table36[[#This Row],[%Absorption]]&gt;INDEX(Absmax,MATCH(Table36[[#This Row],[Grist]],SMI,0)),0,1))))</f>
        <v>1</v>
      </c>
      <c r="Y378" s="127" t="str">
        <f>IF(INDEX(Extmin,MATCH(Table36[[#This Row],[Grist]],SMI,0))="-","-",IF(Table36[[#This Row],[%Extensibility]]="-","-",IF(Table36[[#This Row],[%Extensibility]]&lt;INDEX(Extmin,MATCH(Table36[[#This Row],[Grist]],SMI,0)),0,IF(Table36[[#This Row],[%Extensibility]]&gt;INDEX(Extmax,MATCH(Table36[[#This Row],[Grist]],SMI,0)),0,1))))</f>
        <v>-</v>
      </c>
      <c r="Z378" s="127" t="str">
        <f>IF(INDEX(Resmin,MATCH(Table36[[#This Row],[Grist]],SMI,0))="-","-",IF(Table36[[#This Row],[Resistance, max]]="-","-",IF(Table36[[#This Row],[Resistance, max]]&lt;INDEX(Resmin,MATCH(Table36[[#This Row],[Grist]],SMI,0)),0,IF(Table36[[#This Row],[Resistance, max]]&gt;INDEX(Resmax,MATCH(Table36[[#This Row],[Grist]],SMI,0)),0,1))))</f>
        <v>-</v>
      </c>
      <c r="AA378" s="127" t="str">
        <f>IF(INDEX(WGmin,MATCH(Table36[[#This Row],[Grist]],SMI,0))="-","-",IF(Table36[[#This Row],[%Wet Gluten]]="-","-",IF(Table36[[#This Row],[%Wet Gluten]]&lt;INDEX(WGmin,MATCH(Table36[[#This Row],[Grist]],SMI,0)),0,IF(Table36[[#This Row],[%Wet Gluten]]&gt;INDEX(WGmax,MATCH(Table36[[#This Row],[Grist]],SMI,0)),0,1))))</f>
        <v>-</v>
      </c>
      <c r="AB378" s="127">
        <f>SUM(Table36[[#This Row],[ QI Bran Content]:[QI WG]])</f>
        <v>7</v>
      </c>
      <c r="AC378" s="127">
        <f>COUNT(Table36[[#This Row],[ QI Bran Content]:[QI WG]])</f>
        <v>7</v>
      </c>
    </row>
    <row r="379" spans="1:29" x14ac:dyDescent="0.35">
      <c r="A379" s="177">
        <v>45328</v>
      </c>
      <c r="B379" s="178">
        <v>45337</v>
      </c>
      <c r="C379" s="178" t="s">
        <v>125</v>
      </c>
      <c r="D379" s="179" t="s">
        <v>240</v>
      </c>
      <c r="E379" s="180" t="s">
        <v>0</v>
      </c>
      <c r="F379" s="181" t="s">
        <v>27</v>
      </c>
      <c r="G379" s="182">
        <v>8.0000000000000002E-3</v>
      </c>
      <c r="H379" s="175" t="s">
        <v>165</v>
      </c>
      <c r="I379" s="175" t="s">
        <v>165</v>
      </c>
      <c r="J379" s="175" t="s">
        <v>165</v>
      </c>
      <c r="K379" s="175">
        <v>12.41</v>
      </c>
      <c r="L379" s="175">
        <v>13.79</v>
      </c>
      <c r="M379" s="175">
        <v>0.49</v>
      </c>
      <c r="N379" s="175">
        <v>64</v>
      </c>
      <c r="O379" s="175" t="s">
        <v>163</v>
      </c>
      <c r="P379" s="175" t="s">
        <v>163</v>
      </c>
      <c r="Q379" s="175"/>
      <c r="R379" s="127">
        <f>IF(Table36[[#This Row],[ Bran Content]]="-","-",IF(G379&lt;0.02,1,0))</f>
        <v>1</v>
      </c>
      <c r="S379" s="127">
        <f>IF(Table36[[#This Row],[Sieve Test]]="-","-",IF(Table36[[#This Row],[Sieve Test]]="P",1,0))</f>
        <v>1</v>
      </c>
      <c r="T379" s="127">
        <f>IF(Table36[[#This Row],[Odor]]="-","-",IF(Table36[[#This Row],[Odor]]="P",1,0))</f>
        <v>1</v>
      </c>
      <c r="U379" s="127">
        <f>IF(INDEX(MCmin,MATCH(Table36[[#This Row],[Grist]],SMI,0))="-","-",IF(Table36[[#This Row],[F1 %MC]]="-","-",IF(Table36[[#This Row],[F1 %MC]]&lt;INDEX(MCmin,MATCH(Table36[[#This Row],[Grist]],SMI,0)),0,IF(Table36[[#This Row],[F1 %MC]]&gt;INDEX(MCmax,MATCH(Table36[[#This Row],[Grist]],SMI,0)),0,1))))</f>
        <v>1</v>
      </c>
      <c r="V379" s="127">
        <f>IF(INDEX(Protmin,MATCH(Table36[[#This Row],[Grist]],SMI,0))="-","-",IF(Table36[[#This Row],[%Protein]]="-","-",IF(Table36[[#This Row],[%Protein]]&lt;INDEX(Protmin,MATCH(Table36[[#This Row],[Grist]],SMI,0)),0,IF(Table36[[#This Row],[%Protein]]&gt;INDEX(Protmax,MATCH(Table36[[#This Row],[Grist]],SMI,0)),0,1))))</f>
        <v>1</v>
      </c>
      <c r="W379" s="127">
        <f>IF(INDEX(Ashmin,MATCH(Table36[[#This Row],[Grist]],SMI,0))="-","-",IF(Table36[[#This Row],[%Ash]]="-","-",IF(Table36[[#This Row],[%Ash]]&lt;INDEX(Ashmin,MATCH(Table36[[#This Row],[Grist]],SMI,0)),0,IF(Table36[[#This Row],[%Ash]]&gt;INDEX(Ashmax,MATCH(Table36[[#This Row],[Grist]],SMI,0)),0,1))))</f>
        <v>1</v>
      </c>
      <c r="X379" s="127">
        <f>IF(INDEX(Absmin,MATCH(Table36[[#This Row],[Grist]],SMI,0))="-","-",IF(Table36[[#This Row],[%Absorption]]="-","-",IF(Table36[[#This Row],[%Absorption]]&lt;INDEX(Absmin,MATCH(Table36[[#This Row],[Grist]],SMI,0)),0,IF(Table36[[#This Row],[%Absorption]]&gt;INDEX(Absmax,MATCH(Table36[[#This Row],[Grist]],SMI,0)),0,1))))</f>
        <v>1</v>
      </c>
      <c r="Y379" s="127" t="str">
        <f>IF(INDEX(Extmin,MATCH(Table36[[#This Row],[Grist]],SMI,0))="-","-",IF(Table36[[#This Row],[%Extensibility]]="-","-",IF(Table36[[#This Row],[%Extensibility]]&lt;INDEX(Extmin,MATCH(Table36[[#This Row],[Grist]],SMI,0)),0,IF(Table36[[#This Row],[%Extensibility]]&gt;INDEX(Extmax,MATCH(Table36[[#This Row],[Grist]],SMI,0)),0,1))))</f>
        <v>-</v>
      </c>
      <c r="Z379" s="127" t="str">
        <f>IF(INDEX(Resmin,MATCH(Table36[[#This Row],[Grist]],SMI,0))="-","-",IF(Table36[[#This Row],[Resistance, max]]="-","-",IF(Table36[[#This Row],[Resistance, max]]&lt;INDEX(Resmin,MATCH(Table36[[#This Row],[Grist]],SMI,0)),0,IF(Table36[[#This Row],[Resistance, max]]&gt;INDEX(Resmax,MATCH(Table36[[#This Row],[Grist]],SMI,0)),0,1))))</f>
        <v>-</v>
      </c>
      <c r="AA379" s="127">
        <f>IF(INDEX(WGmin,MATCH(Table36[[#This Row],[Grist]],SMI,0))="-","-",IF(Table36[[#This Row],[%Wet Gluten]]="-","-",IF(Table36[[#This Row],[%Wet Gluten]]&lt;INDEX(WGmin,MATCH(Table36[[#This Row],[Grist]],SMI,0)),0,IF(Table36[[#This Row],[%Wet Gluten]]&gt;INDEX(WGmax,MATCH(Table36[[#This Row],[Grist]],SMI,0)),0,1))))</f>
        <v>0</v>
      </c>
      <c r="AB379" s="127">
        <f>SUM(Table36[[#This Row],[ QI Bran Content]:[QI WG]])</f>
        <v>7</v>
      </c>
      <c r="AC379" s="127">
        <f>COUNT(Table36[[#This Row],[ QI Bran Content]:[QI WG]])</f>
        <v>8</v>
      </c>
    </row>
    <row r="380" spans="1:29" x14ac:dyDescent="0.35">
      <c r="A380" s="177">
        <v>45328</v>
      </c>
      <c r="B380" s="178">
        <v>45337</v>
      </c>
      <c r="C380" s="178" t="s">
        <v>125</v>
      </c>
      <c r="D380" s="179" t="s">
        <v>237</v>
      </c>
      <c r="E380" s="180" t="s">
        <v>0</v>
      </c>
      <c r="F380" s="181" t="s">
        <v>32</v>
      </c>
      <c r="G380" s="182">
        <v>1.17E-2</v>
      </c>
      <c r="H380" s="175" t="s">
        <v>165</v>
      </c>
      <c r="I380" s="175" t="s">
        <v>165</v>
      </c>
      <c r="J380" s="175" t="s">
        <v>165</v>
      </c>
      <c r="K380" s="175">
        <v>12.13</v>
      </c>
      <c r="L380" s="175">
        <v>13.79</v>
      </c>
      <c r="M380" s="175">
        <v>0.49</v>
      </c>
      <c r="N380" s="175">
        <v>64</v>
      </c>
      <c r="O380" s="175" t="s">
        <v>163</v>
      </c>
      <c r="P380" s="175" t="s">
        <v>163</v>
      </c>
      <c r="Q380" s="175"/>
      <c r="R380" s="127">
        <f>IF(Table36[[#This Row],[ Bran Content]]="-","-",IF(G380&lt;0.02,1,0))</f>
        <v>1</v>
      </c>
      <c r="S380" s="127">
        <f>IF(Table36[[#This Row],[Sieve Test]]="-","-",IF(Table36[[#This Row],[Sieve Test]]="P",1,0))</f>
        <v>1</v>
      </c>
      <c r="T380" s="127">
        <f>IF(Table36[[#This Row],[Odor]]="-","-",IF(Table36[[#This Row],[Odor]]="P",1,0))</f>
        <v>1</v>
      </c>
      <c r="U380" s="127">
        <f>IF(INDEX(MCmin,MATCH(Table36[[#This Row],[Grist]],SMI,0))="-","-",IF(Table36[[#This Row],[F1 %MC]]="-","-",IF(Table36[[#This Row],[F1 %MC]]&lt;INDEX(MCmin,MATCH(Table36[[#This Row],[Grist]],SMI,0)),0,IF(Table36[[#This Row],[F1 %MC]]&gt;INDEX(MCmax,MATCH(Table36[[#This Row],[Grist]],SMI,0)),0,1))))</f>
        <v>1</v>
      </c>
      <c r="V380" s="127">
        <f>IF(INDEX(Protmin,MATCH(Table36[[#This Row],[Grist]],SMI,0))="-","-",IF(Table36[[#This Row],[%Protein]]="-","-",IF(Table36[[#This Row],[%Protein]]&lt;INDEX(Protmin,MATCH(Table36[[#This Row],[Grist]],SMI,0)),0,IF(Table36[[#This Row],[%Protein]]&gt;INDEX(Protmax,MATCH(Table36[[#This Row],[Grist]],SMI,0)),0,1))))</f>
        <v>1</v>
      </c>
      <c r="W380" s="127">
        <f>IF(INDEX(Ashmin,MATCH(Table36[[#This Row],[Grist]],SMI,0))="-","-",IF(Table36[[#This Row],[%Ash]]="-","-",IF(Table36[[#This Row],[%Ash]]&lt;INDEX(Ashmin,MATCH(Table36[[#This Row],[Grist]],SMI,0)),0,IF(Table36[[#This Row],[%Ash]]&gt;INDEX(Ashmax,MATCH(Table36[[#This Row],[Grist]],SMI,0)),0,1))))</f>
        <v>1</v>
      </c>
      <c r="X380" s="127">
        <f>IF(INDEX(Absmin,MATCH(Table36[[#This Row],[Grist]],SMI,0))="-","-",IF(Table36[[#This Row],[%Absorption]]="-","-",IF(Table36[[#This Row],[%Absorption]]&lt;INDEX(Absmin,MATCH(Table36[[#This Row],[Grist]],SMI,0)),0,IF(Table36[[#This Row],[%Absorption]]&gt;INDEX(Absmax,MATCH(Table36[[#This Row],[Grist]],SMI,0)),0,1))))</f>
        <v>1</v>
      </c>
      <c r="Y380" s="127" t="str">
        <f>IF(INDEX(Extmin,MATCH(Table36[[#This Row],[Grist]],SMI,0))="-","-",IF(Table36[[#This Row],[%Extensibility]]="-","-",IF(Table36[[#This Row],[%Extensibility]]&lt;INDEX(Extmin,MATCH(Table36[[#This Row],[Grist]],SMI,0)),0,IF(Table36[[#This Row],[%Extensibility]]&gt;INDEX(Extmax,MATCH(Table36[[#This Row],[Grist]],SMI,0)),0,1))))</f>
        <v>-</v>
      </c>
      <c r="Z380" s="127" t="str">
        <f>IF(INDEX(Resmin,MATCH(Table36[[#This Row],[Grist]],SMI,0))="-","-",IF(Table36[[#This Row],[Resistance, max]]="-","-",IF(Table36[[#This Row],[Resistance, max]]&lt;INDEX(Resmin,MATCH(Table36[[#This Row],[Grist]],SMI,0)),0,IF(Table36[[#This Row],[Resistance, max]]&gt;INDEX(Resmax,MATCH(Table36[[#This Row],[Grist]],SMI,0)),0,1))))</f>
        <v>-</v>
      </c>
      <c r="AA380" s="127">
        <f>IF(INDEX(WGmin,MATCH(Table36[[#This Row],[Grist]],SMI,0))="-","-",IF(Table36[[#This Row],[%Wet Gluten]]="-","-",IF(Table36[[#This Row],[%Wet Gluten]]&lt;INDEX(WGmin,MATCH(Table36[[#This Row],[Grist]],SMI,0)),0,IF(Table36[[#This Row],[%Wet Gluten]]&gt;INDEX(WGmax,MATCH(Table36[[#This Row],[Grist]],SMI,0)),0,1))))</f>
        <v>0</v>
      </c>
      <c r="AB380" s="127">
        <f>SUM(Table36[[#This Row],[ QI Bran Content]:[QI WG]])</f>
        <v>7</v>
      </c>
      <c r="AC380" s="127">
        <f>COUNT(Table36[[#This Row],[ QI Bran Content]:[QI WG]])</f>
        <v>8</v>
      </c>
    </row>
    <row r="381" spans="1:29" x14ac:dyDescent="0.35">
      <c r="A381" s="177">
        <v>45328</v>
      </c>
      <c r="B381" s="178">
        <v>45337</v>
      </c>
      <c r="C381" s="178" t="s">
        <v>125</v>
      </c>
      <c r="D381" s="179" t="s">
        <v>237</v>
      </c>
      <c r="E381" s="180" t="s">
        <v>2</v>
      </c>
      <c r="F381" s="181" t="s">
        <v>242</v>
      </c>
      <c r="G381" s="182" t="s">
        <v>265</v>
      </c>
      <c r="H381" s="175" t="s">
        <v>165</v>
      </c>
      <c r="I381" s="175" t="s">
        <v>165</v>
      </c>
      <c r="J381" s="175" t="s">
        <v>165</v>
      </c>
      <c r="K381" s="175">
        <v>12.67</v>
      </c>
      <c r="L381" s="175" t="s">
        <v>266</v>
      </c>
      <c r="M381" s="175" t="s">
        <v>267</v>
      </c>
      <c r="N381" s="175">
        <v>63.1</v>
      </c>
      <c r="O381" s="175" t="s">
        <v>163</v>
      </c>
      <c r="P381" s="175" t="s">
        <v>163</v>
      </c>
      <c r="Q381" s="175"/>
      <c r="R381" s="127">
        <f>IF(Table36[[#This Row],[ Bran Content]]="-","-",IF(G381&lt;0.02,1,0))</f>
        <v>0</v>
      </c>
      <c r="S381" s="127">
        <f>IF(Table36[[#This Row],[Sieve Test]]="-","-",IF(Table36[[#This Row],[Sieve Test]]="P",1,0))</f>
        <v>1</v>
      </c>
      <c r="T381" s="127">
        <f>IF(Table36[[#This Row],[Odor]]="-","-",IF(Table36[[#This Row],[Odor]]="P",1,0))</f>
        <v>1</v>
      </c>
      <c r="U381" s="127">
        <f>IF(INDEX(MCmin,MATCH(Table36[[#This Row],[Grist]],SMI,0))="-","-",IF(Table36[[#This Row],[F1 %MC]]="-","-",IF(Table36[[#This Row],[F1 %MC]]&lt;INDEX(MCmin,MATCH(Table36[[#This Row],[Grist]],SMI,0)),0,IF(Table36[[#This Row],[F1 %MC]]&gt;INDEX(MCmax,MATCH(Table36[[#This Row],[Grist]],SMI,0)),0,1))))</f>
        <v>1</v>
      </c>
      <c r="V381" s="127">
        <f>IF(INDEX(Protmin,MATCH(Table36[[#This Row],[Grist]],SMI,0))="-","-",IF(Table36[[#This Row],[%Protein]]="-","-",IF(Table36[[#This Row],[%Protein]]&lt;INDEX(Protmin,MATCH(Table36[[#This Row],[Grist]],SMI,0)),0,IF(Table36[[#This Row],[%Protein]]&gt;INDEX(Protmax,MATCH(Table36[[#This Row],[Grist]],SMI,0)),0,1))))</f>
        <v>0</v>
      </c>
      <c r="W381" s="127">
        <f>IF(INDEX(Ashmin,MATCH(Table36[[#This Row],[Grist]],SMI,0))="-","-",IF(Table36[[#This Row],[%Ash]]="-","-",IF(Table36[[#This Row],[%Ash]]&lt;INDEX(Ashmin,MATCH(Table36[[#This Row],[Grist]],SMI,0)),0,IF(Table36[[#This Row],[%Ash]]&gt;INDEX(Ashmax,MATCH(Table36[[#This Row],[Grist]],SMI,0)),0,1))))</f>
        <v>0</v>
      </c>
      <c r="X381" s="127">
        <f>IF(INDEX(Absmin,MATCH(Table36[[#This Row],[Grist]],SMI,0))="-","-",IF(Table36[[#This Row],[%Absorption]]="-","-",IF(Table36[[#This Row],[%Absorption]]&lt;INDEX(Absmin,MATCH(Table36[[#This Row],[Grist]],SMI,0)),0,IF(Table36[[#This Row],[%Absorption]]&gt;INDEX(Absmax,MATCH(Table36[[#This Row],[Grist]],SMI,0)),0,1))))</f>
        <v>1</v>
      </c>
      <c r="Y381" s="127" t="str">
        <f>IF(INDEX(Extmin,MATCH(Table36[[#This Row],[Grist]],SMI,0))="-","-",IF(Table36[[#This Row],[%Extensibility]]="-","-",IF(Table36[[#This Row],[%Extensibility]]&lt;INDEX(Extmin,MATCH(Table36[[#This Row],[Grist]],SMI,0)),0,IF(Table36[[#This Row],[%Extensibility]]&gt;INDEX(Extmax,MATCH(Table36[[#This Row],[Grist]],SMI,0)),0,1))))</f>
        <v>-</v>
      </c>
      <c r="Z381" s="127" t="str">
        <f>IF(INDEX(Resmin,MATCH(Table36[[#This Row],[Grist]],SMI,0))="-","-",IF(Table36[[#This Row],[Resistance, max]]="-","-",IF(Table36[[#This Row],[Resistance, max]]&lt;INDEX(Resmin,MATCH(Table36[[#This Row],[Grist]],SMI,0)),0,IF(Table36[[#This Row],[Resistance, max]]&gt;INDEX(Resmax,MATCH(Table36[[#This Row],[Grist]],SMI,0)),0,1))))</f>
        <v>-</v>
      </c>
      <c r="AA381" s="127">
        <f>IF(INDEX(WGmin,MATCH(Table36[[#This Row],[Grist]],SMI,0))="-","-",IF(Table36[[#This Row],[%Wet Gluten]]="-","-",IF(Table36[[#This Row],[%Wet Gluten]]&lt;INDEX(WGmin,MATCH(Table36[[#This Row],[Grist]],SMI,0)),0,IF(Table36[[#This Row],[%Wet Gluten]]&gt;INDEX(WGmax,MATCH(Table36[[#This Row],[Grist]],SMI,0)),0,1))))</f>
        <v>0</v>
      </c>
      <c r="AB381" s="127">
        <f>SUM(Table36[[#This Row],[ QI Bran Content]:[QI WG]])</f>
        <v>4</v>
      </c>
      <c r="AC381" s="127">
        <f>COUNT(Table36[[#This Row],[ QI Bran Content]:[QI WG]])</f>
        <v>8</v>
      </c>
    </row>
    <row r="382" spans="1:29" x14ac:dyDescent="0.35">
      <c r="A382" s="177">
        <v>45328</v>
      </c>
      <c r="B382" s="178">
        <v>45337</v>
      </c>
      <c r="C382" s="178" t="s">
        <v>128</v>
      </c>
      <c r="D382" s="179">
        <v>0.79166666666666596</v>
      </c>
      <c r="E382" s="180" t="s">
        <v>0</v>
      </c>
      <c r="F382" s="181" t="s">
        <v>27</v>
      </c>
      <c r="G382" s="182">
        <v>1.9900000000000001E-2</v>
      </c>
      <c r="H382" s="175" t="s">
        <v>165</v>
      </c>
      <c r="I382" s="175" t="s">
        <v>165</v>
      </c>
      <c r="J382" s="175" t="s">
        <v>165</v>
      </c>
      <c r="K382" s="175">
        <v>12.78</v>
      </c>
      <c r="L382" s="175" t="s">
        <v>163</v>
      </c>
      <c r="M382" s="175" t="s">
        <v>163</v>
      </c>
      <c r="N382" s="175" t="s">
        <v>163</v>
      </c>
      <c r="O382" s="175" t="s">
        <v>163</v>
      </c>
      <c r="P382" s="175" t="s">
        <v>163</v>
      </c>
      <c r="Q382" s="175"/>
      <c r="R382" s="127">
        <f>IF(Table36[[#This Row],[ Bran Content]]="-","-",IF(G382&lt;0.02,1,0))</f>
        <v>1</v>
      </c>
      <c r="S382" s="127">
        <f>IF(Table36[[#This Row],[Sieve Test]]="-","-",IF(Table36[[#This Row],[Sieve Test]]="P",1,0))</f>
        <v>1</v>
      </c>
      <c r="T382" s="127">
        <f>IF(Table36[[#This Row],[Odor]]="-","-",IF(Table36[[#This Row],[Odor]]="P",1,0))</f>
        <v>1</v>
      </c>
      <c r="U382" s="127">
        <f>IF(INDEX(MCmin,MATCH(Table36[[#This Row],[Grist]],SMI,0))="-","-",IF(Table36[[#This Row],[F1 %MC]]="-","-",IF(Table36[[#This Row],[F1 %MC]]&lt;INDEX(MCmin,MATCH(Table36[[#This Row],[Grist]],SMI,0)),0,IF(Table36[[#This Row],[F1 %MC]]&gt;INDEX(MCmax,MATCH(Table36[[#This Row],[Grist]],SMI,0)),0,1))))</f>
        <v>1</v>
      </c>
      <c r="V382" s="127" t="str">
        <f>IF(INDEX(Protmin,MATCH(Table36[[#This Row],[Grist]],SMI,0))="-","-",IF(Table36[[#This Row],[%Protein]]="-","-",IF(Table36[[#This Row],[%Protein]]&lt;INDEX(Protmin,MATCH(Table36[[#This Row],[Grist]],SMI,0)),0,IF(Table36[[#This Row],[%Protein]]&gt;INDEX(Protmax,MATCH(Table36[[#This Row],[Grist]],SMI,0)),0,1))))</f>
        <v>-</v>
      </c>
      <c r="W382" s="127" t="str">
        <f>IF(INDEX(Ashmin,MATCH(Table36[[#This Row],[Grist]],SMI,0))="-","-",IF(Table36[[#This Row],[%Ash]]="-","-",IF(Table36[[#This Row],[%Ash]]&lt;INDEX(Ashmin,MATCH(Table36[[#This Row],[Grist]],SMI,0)),0,IF(Table36[[#This Row],[%Ash]]&gt;INDEX(Ashmax,MATCH(Table36[[#This Row],[Grist]],SMI,0)),0,1))))</f>
        <v>-</v>
      </c>
      <c r="X382" s="127" t="str">
        <f>IF(INDEX(Absmin,MATCH(Table36[[#This Row],[Grist]],SMI,0))="-","-",IF(Table36[[#This Row],[%Absorption]]="-","-",IF(Table36[[#This Row],[%Absorption]]&lt;INDEX(Absmin,MATCH(Table36[[#This Row],[Grist]],SMI,0)),0,IF(Table36[[#This Row],[%Absorption]]&gt;INDEX(Absmax,MATCH(Table36[[#This Row],[Grist]],SMI,0)),0,1))))</f>
        <v>-</v>
      </c>
      <c r="Y382" s="127" t="str">
        <f>IF(INDEX(Extmin,MATCH(Table36[[#This Row],[Grist]],SMI,0))="-","-",IF(Table36[[#This Row],[%Extensibility]]="-","-",IF(Table36[[#This Row],[%Extensibility]]&lt;INDEX(Extmin,MATCH(Table36[[#This Row],[Grist]],SMI,0)),0,IF(Table36[[#This Row],[%Extensibility]]&gt;INDEX(Extmax,MATCH(Table36[[#This Row],[Grist]],SMI,0)),0,1))))</f>
        <v>-</v>
      </c>
      <c r="Z382" s="127" t="str">
        <f>IF(INDEX(Resmin,MATCH(Table36[[#This Row],[Grist]],SMI,0))="-","-",IF(Table36[[#This Row],[Resistance, max]]="-","-",IF(Table36[[#This Row],[Resistance, max]]&lt;INDEX(Resmin,MATCH(Table36[[#This Row],[Grist]],SMI,0)),0,IF(Table36[[#This Row],[Resistance, max]]&gt;INDEX(Resmax,MATCH(Table36[[#This Row],[Grist]],SMI,0)),0,1))))</f>
        <v>-</v>
      </c>
      <c r="AA382" s="127">
        <f>IF(INDEX(WGmin,MATCH(Table36[[#This Row],[Grist]],SMI,0))="-","-",IF(Table36[[#This Row],[%Wet Gluten]]="-","-",IF(Table36[[#This Row],[%Wet Gluten]]&lt;INDEX(WGmin,MATCH(Table36[[#This Row],[Grist]],SMI,0)),0,IF(Table36[[#This Row],[%Wet Gluten]]&gt;INDEX(WGmax,MATCH(Table36[[#This Row],[Grist]],SMI,0)),0,1))))</f>
        <v>0</v>
      </c>
      <c r="AB382" s="127">
        <f>SUM(Table36[[#This Row],[ QI Bran Content]:[QI WG]])</f>
        <v>4</v>
      </c>
      <c r="AC382" s="127">
        <f>COUNT(Table36[[#This Row],[ QI Bran Content]:[QI WG]])</f>
        <v>5</v>
      </c>
    </row>
    <row r="383" spans="1:29" x14ac:dyDescent="0.35">
      <c r="A383" s="177">
        <v>45328</v>
      </c>
      <c r="B383" s="178">
        <v>45337</v>
      </c>
      <c r="C383" s="178" t="s">
        <v>128</v>
      </c>
      <c r="D383" s="179">
        <v>0.874999999999999</v>
      </c>
      <c r="E383" s="180" t="s">
        <v>0</v>
      </c>
      <c r="F383" s="181" t="s">
        <v>27</v>
      </c>
      <c r="G383" s="182">
        <v>1.83E-2</v>
      </c>
      <c r="H383" s="175" t="s">
        <v>165</v>
      </c>
      <c r="I383" s="175" t="s">
        <v>165</v>
      </c>
      <c r="J383" s="175" t="s">
        <v>165</v>
      </c>
      <c r="K383" s="175">
        <v>12.5</v>
      </c>
      <c r="L383" s="175" t="s">
        <v>163</v>
      </c>
      <c r="M383" s="175" t="s">
        <v>163</v>
      </c>
      <c r="N383" s="175" t="s">
        <v>163</v>
      </c>
      <c r="O383" s="175" t="s">
        <v>163</v>
      </c>
      <c r="P383" s="175" t="s">
        <v>163</v>
      </c>
      <c r="Q383" s="175"/>
      <c r="R383" s="127">
        <f>IF(Table36[[#This Row],[ Bran Content]]="-","-",IF(G383&lt;0.02,1,0))</f>
        <v>1</v>
      </c>
      <c r="S383" s="127">
        <f>IF(Table36[[#This Row],[Sieve Test]]="-","-",IF(Table36[[#This Row],[Sieve Test]]="P",1,0))</f>
        <v>1</v>
      </c>
      <c r="T383" s="127">
        <f>IF(Table36[[#This Row],[Odor]]="-","-",IF(Table36[[#This Row],[Odor]]="P",1,0))</f>
        <v>1</v>
      </c>
      <c r="U383" s="127">
        <f>IF(INDEX(MCmin,MATCH(Table36[[#This Row],[Grist]],SMI,0))="-","-",IF(Table36[[#This Row],[F1 %MC]]="-","-",IF(Table36[[#This Row],[F1 %MC]]&lt;INDEX(MCmin,MATCH(Table36[[#This Row],[Grist]],SMI,0)),0,IF(Table36[[#This Row],[F1 %MC]]&gt;INDEX(MCmax,MATCH(Table36[[#This Row],[Grist]],SMI,0)),0,1))))</f>
        <v>1</v>
      </c>
      <c r="V383" s="127" t="str">
        <f>IF(INDEX(Protmin,MATCH(Table36[[#This Row],[Grist]],SMI,0))="-","-",IF(Table36[[#This Row],[%Protein]]="-","-",IF(Table36[[#This Row],[%Protein]]&lt;INDEX(Protmin,MATCH(Table36[[#This Row],[Grist]],SMI,0)),0,IF(Table36[[#This Row],[%Protein]]&gt;INDEX(Protmax,MATCH(Table36[[#This Row],[Grist]],SMI,0)),0,1))))</f>
        <v>-</v>
      </c>
      <c r="W383" s="127" t="str">
        <f>IF(INDEX(Ashmin,MATCH(Table36[[#This Row],[Grist]],SMI,0))="-","-",IF(Table36[[#This Row],[%Ash]]="-","-",IF(Table36[[#This Row],[%Ash]]&lt;INDEX(Ashmin,MATCH(Table36[[#This Row],[Grist]],SMI,0)),0,IF(Table36[[#This Row],[%Ash]]&gt;INDEX(Ashmax,MATCH(Table36[[#This Row],[Grist]],SMI,0)),0,1))))</f>
        <v>-</v>
      </c>
      <c r="X383" s="127" t="str">
        <f>IF(INDEX(Absmin,MATCH(Table36[[#This Row],[Grist]],SMI,0))="-","-",IF(Table36[[#This Row],[%Absorption]]="-","-",IF(Table36[[#This Row],[%Absorption]]&lt;INDEX(Absmin,MATCH(Table36[[#This Row],[Grist]],SMI,0)),0,IF(Table36[[#This Row],[%Absorption]]&gt;INDEX(Absmax,MATCH(Table36[[#This Row],[Grist]],SMI,0)),0,1))))</f>
        <v>-</v>
      </c>
      <c r="Y383" s="127" t="str">
        <f>IF(INDEX(Extmin,MATCH(Table36[[#This Row],[Grist]],SMI,0))="-","-",IF(Table36[[#This Row],[%Extensibility]]="-","-",IF(Table36[[#This Row],[%Extensibility]]&lt;INDEX(Extmin,MATCH(Table36[[#This Row],[Grist]],SMI,0)),0,IF(Table36[[#This Row],[%Extensibility]]&gt;INDEX(Extmax,MATCH(Table36[[#This Row],[Grist]],SMI,0)),0,1))))</f>
        <v>-</v>
      </c>
      <c r="Z383" s="127" t="str">
        <f>IF(INDEX(Resmin,MATCH(Table36[[#This Row],[Grist]],SMI,0))="-","-",IF(Table36[[#This Row],[Resistance, max]]="-","-",IF(Table36[[#This Row],[Resistance, max]]&lt;INDEX(Resmin,MATCH(Table36[[#This Row],[Grist]],SMI,0)),0,IF(Table36[[#This Row],[Resistance, max]]&gt;INDEX(Resmax,MATCH(Table36[[#This Row],[Grist]],SMI,0)),0,1))))</f>
        <v>-</v>
      </c>
      <c r="AA383" s="127">
        <f>IF(INDEX(WGmin,MATCH(Table36[[#This Row],[Grist]],SMI,0))="-","-",IF(Table36[[#This Row],[%Wet Gluten]]="-","-",IF(Table36[[#This Row],[%Wet Gluten]]&lt;INDEX(WGmin,MATCH(Table36[[#This Row],[Grist]],SMI,0)),0,IF(Table36[[#This Row],[%Wet Gluten]]&gt;INDEX(WGmax,MATCH(Table36[[#This Row],[Grist]],SMI,0)),0,1))))</f>
        <v>0</v>
      </c>
      <c r="AB383" s="127">
        <f>SUM(Table36[[#This Row],[ QI Bran Content]:[QI WG]])</f>
        <v>4</v>
      </c>
      <c r="AC383" s="127">
        <f>COUNT(Table36[[#This Row],[ QI Bran Content]:[QI WG]])</f>
        <v>5</v>
      </c>
    </row>
    <row r="384" spans="1:29" x14ac:dyDescent="0.35">
      <c r="A384" s="177">
        <v>45328</v>
      </c>
      <c r="B384" s="178">
        <v>45337</v>
      </c>
      <c r="C384" s="178" t="s">
        <v>128</v>
      </c>
      <c r="D384" s="179">
        <v>0.79166666666666596</v>
      </c>
      <c r="E384" s="180" t="s">
        <v>2</v>
      </c>
      <c r="F384" s="181" t="s">
        <v>242</v>
      </c>
      <c r="G384" s="182" t="s">
        <v>268</v>
      </c>
      <c r="H384" s="175" t="s">
        <v>165</v>
      </c>
      <c r="I384" s="175" t="s">
        <v>165</v>
      </c>
      <c r="J384" s="175" t="s">
        <v>165</v>
      </c>
      <c r="K384" s="175">
        <v>12.39</v>
      </c>
      <c r="L384" s="175" t="s">
        <v>163</v>
      </c>
      <c r="M384" s="175" t="s">
        <v>163</v>
      </c>
      <c r="N384" s="175" t="s">
        <v>163</v>
      </c>
      <c r="O384" s="175" t="s">
        <v>163</v>
      </c>
      <c r="P384" s="175" t="s">
        <v>163</v>
      </c>
      <c r="Q384" s="175"/>
      <c r="R384" s="127">
        <f>IF(Table36[[#This Row],[ Bran Content]]="-","-",IF(G384&lt;0.02,1,0))</f>
        <v>0</v>
      </c>
      <c r="S384" s="127">
        <f>IF(Table36[[#This Row],[Sieve Test]]="-","-",IF(Table36[[#This Row],[Sieve Test]]="P",1,0))</f>
        <v>1</v>
      </c>
      <c r="T384" s="127">
        <f>IF(Table36[[#This Row],[Odor]]="-","-",IF(Table36[[#This Row],[Odor]]="P",1,0))</f>
        <v>1</v>
      </c>
      <c r="U384" s="127">
        <f>IF(INDEX(MCmin,MATCH(Table36[[#This Row],[Grist]],SMI,0))="-","-",IF(Table36[[#This Row],[F1 %MC]]="-","-",IF(Table36[[#This Row],[F1 %MC]]&lt;INDEX(MCmin,MATCH(Table36[[#This Row],[Grist]],SMI,0)),0,IF(Table36[[#This Row],[F1 %MC]]&gt;INDEX(MCmax,MATCH(Table36[[#This Row],[Grist]],SMI,0)),0,1))))</f>
        <v>1</v>
      </c>
      <c r="V384" s="127" t="str">
        <f>IF(INDEX(Protmin,MATCH(Table36[[#This Row],[Grist]],SMI,0))="-","-",IF(Table36[[#This Row],[%Protein]]="-","-",IF(Table36[[#This Row],[%Protein]]&lt;INDEX(Protmin,MATCH(Table36[[#This Row],[Grist]],SMI,0)),0,IF(Table36[[#This Row],[%Protein]]&gt;INDEX(Protmax,MATCH(Table36[[#This Row],[Grist]],SMI,0)),0,1))))</f>
        <v>-</v>
      </c>
      <c r="W384" s="127" t="str">
        <f>IF(INDEX(Ashmin,MATCH(Table36[[#This Row],[Grist]],SMI,0))="-","-",IF(Table36[[#This Row],[%Ash]]="-","-",IF(Table36[[#This Row],[%Ash]]&lt;INDEX(Ashmin,MATCH(Table36[[#This Row],[Grist]],SMI,0)),0,IF(Table36[[#This Row],[%Ash]]&gt;INDEX(Ashmax,MATCH(Table36[[#This Row],[Grist]],SMI,0)),0,1))))</f>
        <v>-</v>
      </c>
      <c r="X384" s="127" t="str">
        <f>IF(INDEX(Absmin,MATCH(Table36[[#This Row],[Grist]],SMI,0))="-","-",IF(Table36[[#This Row],[%Absorption]]="-","-",IF(Table36[[#This Row],[%Absorption]]&lt;INDEX(Absmin,MATCH(Table36[[#This Row],[Grist]],SMI,0)),0,IF(Table36[[#This Row],[%Absorption]]&gt;INDEX(Absmax,MATCH(Table36[[#This Row],[Grist]],SMI,0)),0,1))))</f>
        <v>-</v>
      </c>
      <c r="Y384" s="127" t="str">
        <f>IF(INDEX(Extmin,MATCH(Table36[[#This Row],[Grist]],SMI,0))="-","-",IF(Table36[[#This Row],[%Extensibility]]="-","-",IF(Table36[[#This Row],[%Extensibility]]&lt;INDEX(Extmin,MATCH(Table36[[#This Row],[Grist]],SMI,0)),0,IF(Table36[[#This Row],[%Extensibility]]&gt;INDEX(Extmax,MATCH(Table36[[#This Row],[Grist]],SMI,0)),0,1))))</f>
        <v>-</v>
      </c>
      <c r="Z384" s="127" t="str">
        <f>IF(INDEX(Resmin,MATCH(Table36[[#This Row],[Grist]],SMI,0))="-","-",IF(Table36[[#This Row],[Resistance, max]]="-","-",IF(Table36[[#This Row],[Resistance, max]]&lt;INDEX(Resmin,MATCH(Table36[[#This Row],[Grist]],SMI,0)),0,IF(Table36[[#This Row],[Resistance, max]]&gt;INDEX(Resmax,MATCH(Table36[[#This Row],[Grist]],SMI,0)),0,1))))</f>
        <v>-</v>
      </c>
      <c r="AA384" s="127">
        <f>IF(INDEX(WGmin,MATCH(Table36[[#This Row],[Grist]],SMI,0))="-","-",IF(Table36[[#This Row],[%Wet Gluten]]="-","-",IF(Table36[[#This Row],[%Wet Gluten]]&lt;INDEX(WGmin,MATCH(Table36[[#This Row],[Grist]],SMI,0)),0,IF(Table36[[#This Row],[%Wet Gluten]]&gt;INDEX(WGmax,MATCH(Table36[[#This Row],[Grist]],SMI,0)),0,1))))</f>
        <v>0</v>
      </c>
      <c r="AB384" s="127">
        <f>SUM(Table36[[#This Row],[ QI Bran Content]:[QI WG]])</f>
        <v>3</v>
      </c>
      <c r="AC384" s="127">
        <f>COUNT(Table36[[#This Row],[ QI Bran Content]:[QI WG]])</f>
        <v>5</v>
      </c>
    </row>
    <row r="385" spans="1:29" x14ac:dyDescent="0.35">
      <c r="A385" s="177">
        <v>45328</v>
      </c>
      <c r="B385" s="178">
        <v>45337</v>
      </c>
      <c r="C385" s="178" t="s">
        <v>128</v>
      </c>
      <c r="D385" s="179">
        <v>0.874999999999999</v>
      </c>
      <c r="E385" s="180" t="s">
        <v>2</v>
      </c>
      <c r="F385" s="181" t="s">
        <v>242</v>
      </c>
      <c r="G385" s="182" t="s">
        <v>269</v>
      </c>
      <c r="H385" s="175" t="s">
        <v>165</v>
      </c>
      <c r="I385" s="175" t="s">
        <v>165</v>
      </c>
      <c r="J385" s="175" t="s">
        <v>165</v>
      </c>
      <c r="K385" s="175">
        <v>12.35</v>
      </c>
      <c r="L385" s="175" t="s">
        <v>163</v>
      </c>
      <c r="M385" s="175" t="s">
        <v>163</v>
      </c>
      <c r="N385" s="175" t="s">
        <v>163</v>
      </c>
      <c r="O385" s="175" t="s">
        <v>163</v>
      </c>
      <c r="P385" s="175" t="s">
        <v>163</v>
      </c>
      <c r="Q385" s="175"/>
      <c r="R385" s="127">
        <f>IF(Table36[[#This Row],[ Bran Content]]="-","-",IF(G385&lt;0.02,1,0))</f>
        <v>0</v>
      </c>
      <c r="S385" s="127">
        <f>IF(Table36[[#This Row],[Sieve Test]]="-","-",IF(Table36[[#This Row],[Sieve Test]]="P",1,0))</f>
        <v>1</v>
      </c>
      <c r="T385" s="127">
        <f>IF(Table36[[#This Row],[Odor]]="-","-",IF(Table36[[#This Row],[Odor]]="P",1,0))</f>
        <v>1</v>
      </c>
      <c r="U385" s="127">
        <f>IF(INDEX(MCmin,MATCH(Table36[[#This Row],[Grist]],SMI,0))="-","-",IF(Table36[[#This Row],[F1 %MC]]="-","-",IF(Table36[[#This Row],[F1 %MC]]&lt;INDEX(MCmin,MATCH(Table36[[#This Row],[Grist]],SMI,0)),0,IF(Table36[[#This Row],[F1 %MC]]&gt;INDEX(MCmax,MATCH(Table36[[#This Row],[Grist]],SMI,0)),0,1))))</f>
        <v>1</v>
      </c>
      <c r="V385" s="127" t="str">
        <f>IF(INDEX(Protmin,MATCH(Table36[[#This Row],[Grist]],SMI,0))="-","-",IF(Table36[[#This Row],[%Protein]]="-","-",IF(Table36[[#This Row],[%Protein]]&lt;INDEX(Protmin,MATCH(Table36[[#This Row],[Grist]],SMI,0)),0,IF(Table36[[#This Row],[%Protein]]&gt;INDEX(Protmax,MATCH(Table36[[#This Row],[Grist]],SMI,0)),0,1))))</f>
        <v>-</v>
      </c>
      <c r="W385" s="127" t="str">
        <f>IF(INDEX(Ashmin,MATCH(Table36[[#This Row],[Grist]],SMI,0))="-","-",IF(Table36[[#This Row],[%Ash]]="-","-",IF(Table36[[#This Row],[%Ash]]&lt;INDEX(Ashmin,MATCH(Table36[[#This Row],[Grist]],SMI,0)),0,IF(Table36[[#This Row],[%Ash]]&gt;INDEX(Ashmax,MATCH(Table36[[#This Row],[Grist]],SMI,0)),0,1))))</f>
        <v>-</v>
      </c>
      <c r="X385" s="127" t="str">
        <f>IF(INDEX(Absmin,MATCH(Table36[[#This Row],[Grist]],SMI,0))="-","-",IF(Table36[[#This Row],[%Absorption]]="-","-",IF(Table36[[#This Row],[%Absorption]]&lt;INDEX(Absmin,MATCH(Table36[[#This Row],[Grist]],SMI,0)),0,IF(Table36[[#This Row],[%Absorption]]&gt;INDEX(Absmax,MATCH(Table36[[#This Row],[Grist]],SMI,0)),0,1))))</f>
        <v>-</v>
      </c>
      <c r="Y385" s="127" t="str">
        <f>IF(INDEX(Extmin,MATCH(Table36[[#This Row],[Grist]],SMI,0))="-","-",IF(Table36[[#This Row],[%Extensibility]]="-","-",IF(Table36[[#This Row],[%Extensibility]]&lt;INDEX(Extmin,MATCH(Table36[[#This Row],[Grist]],SMI,0)),0,IF(Table36[[#This Row],[%Extensibility]]&gt;INDEX(Extmax,MATCH(Table36[[#This Row],[Grist]],SMI,0)),0,1))))</f>
        <v>-</v>
      </c>
      <c r="Z385" s="127" t="str">
        <f>IF(INDEX(Resmin,MATCH(Table36[[#This Row],[Grist]],SMI,0))="-","-",IF(Table36[[#This Row],[Resistance, max]]="-","-",IF(Table36[[#This Row],[Resistance, max]]&lt;INDEX(Resmin,MATCH(Table36[[#This Row],[Grist]],SMI,0)),0,IF(Table36[[#This Row],[Resistance, max]]&gt;INDEX(Resmax,MATCH(Table36[[#This Row],[Grist]],SMI,0)),0,1))))</f>
        <v>-</v>
      </c>
      <c r="AA385" s="127">
        <f>IF(INDEX(WGmin,MATCH(Table36[[#This Row],[Grist]],SMI,0))="-","-",IF(Table36[[#This Row],[%Wet Gluten]]="-","-",IF(Table36[[#This Row],[%Wet Gluten]]&lt;INDEX(WGmin,MATCH(Table36[[#This Row],[Grist]],SMI,0)),0,IF(Table36[[#This Row],[%Wet Gluten]]&gt;INDEX(WGmax,MATCH(Table36[[#This Row],[Grist]],SMI,0)),0,1))))</f>
        <v>0</v>
      </c>
      <c r="AB385" s="127">
        <f>SUM(Table36[[#This Row],[ QI Bran Content]:[QI WG]])</f>
        <v>3</v>
      </c>
      <c r="AC385" s="127">
        <f>COUNT(Table36[[#This Row],[ QI Bran Content]:[QI WG]])</f>
        <v>5</v>
      </c>
    </row>
    <row r="386" spans="1:29" x14ac:dyDescent="0.35">
      <c r="A386" s="177">
        <v>45328</v>
      </c>
      <c r="B386" s="178">
        <v>45337</v>
      </c>
      <c r="C386" s="178" t="s">
        <v>130</v>
      </c>
      <c r="D386" s="179">
        <v>0.95833333333333337</v>
      </c>
      <c r="E386" s="180" t="s">
        <v>0</v>
      </c>
      <c r="F386" s="181" t="s">
        <v>32</v>
      </c>
      <c r="G386" s="182">
        <v>2.1000000000000001E-2</v>
      </c>
      <c r="H386" s="175" t="s">
        <v>167</v>
      </c>
      <c r="I386" s="175" t="s">
        <v>165</v>
      </c>
      <c r="J386" s="175" t="s">
        <v>165</v>
      </c>
      <c r="K386" s="175">
        <v>13.13</v>
      </c>
      <c r="L386" s="175" t="s">
        <v>163</v>
      </c>
      <c r="M386" s="175" t="s">
        <v>163</v>
      </c>
      <c r="N386" s="175" t="s">
        <v>163</v>
      </c>
      <c r="O386" s="175" t="s">
        <v>163</v>
      </c>
      <c r="P386" s="175" t="s">
        <v>163</v>
      </c>
      <c r="Q386" s="175"/>
      <c r="R386" s="127">
        <f>IF(Table36[[#This Row],[ Bran Content]]="-","-",IF(G386&lt;0.02,1,0))</f>
        <v>0</v>
      </c>
      <c r="S386" s="127">
        <f>IF(Table36[[#This Row],[Sieve Test]]="-","-",IF(Table36[[#This Row],[Sieve Test]]="P",1,0))</f>
        <v>0</v>
      </c>
      <c r="T386" s="127">
        <f>IF(Table36[[#This Row],[Odor]]="-","-",IF(Table36[[#This Row],[Odor]]="P",1,0))</f>
        <v>1</v>
      </c>
      <c r="U386" s="127">
        <f>IF(INDEX(MCmin,MATCH(Table36[[#This Row],[Grist]],SMI,0))="-","-",IF(Table36[[#This Row],[F1 %MC]]="-","-",IF(Table36[[#This Row],[F1 %MC]]&lt;INDEX(MCmin,MATCH(Table36[[#This Row],[Grist]],SMI,0)),0,IF(Table36[[#This Row],[F1 %MC]]&gt;INDEX(MCmax,MATCH(Table36[[#This Row],[Grist]],SMI,0)),0,1))))</f>
        <v>1</v>
      </c>
      <c r="V386" s="127" t="str">
        <f>IF(INDEX(Protmin,MATCH(Table36[[#This Row],[Grist]],SMI,0))="-","-",IF(Table36[[#This Row],[%Protein]]="-","-",IF(Table36[[#This Row],[%Protein]]&lt;INDEX(Protmin,MATCH(Table36[[#This Row],[Grist]],SMI,0)),0,IF(Table36[[#This Row],[%Protein]]&gt;INDEX(Protmax,MATCH(Table36[[#This Row],[Grist]],SMI,0)),0,1))))</f>
        <v>-</v>
      </c>
      <c r="W386" s="127" t="str">
        <f>IF(INDEX(Ashmin,MATCH(Table36[[#This Row],[Grist]],SMI,0))="-","-",IF(Table36[[#This Row],[%Ash]]="-","-",IF(Table36[[#This Row],[%Ash]]&lt;INDEX(Ashmin,MATCH(Table36[[#This Row],[Grist]],SMI,0)),0,IF(Table36[[#This Row],[%Ash]]&gt;INDEX(Ashmax,MATCH(Table36[[#This Row],[Grist]],SMI,0)),0,1))))</f>
        <v>-</v>
      </c>
      <c r="X386" s="127" t="str">
        <f>IF(INDEX(Absmin,MATCH(Table36[[#This Row],[Grist]],SMI,0))="-","-",IF(Table36[[#This Row],[%Absorption]]="-","-",IF(Table36[[#This Row],[%Absorption]]&lt;INDEX(Absmin,MATCH(Table36[[#This Row],[Grist]],SMI,0)),0,IF(Table36[[#This Row],[%Absorption]]&gt;INDEX(Absmax,MATCH(Table36[[#This Row],[Grist]],SMI,0)),0,1))))</f>
        <v>-</v>
      </c>
      <c r="Y386" s="127" t="str">
        <f>IF(INDEX(Extmin,MATCH(Table36[[#This Row],[Grist]],SMI,0))="-","-",IF(Table36[[#This Row],[%Extensibility]]="-","-",IF(Table36[[#This Row],[%Extensibility]]&lt;INDEX(Extmin,MATCH(Table36[[#This Row],[Grist]],SMI,0)),0,IF(Table36[[#This Row],[%Extensibility]]&gt;INDEX(Extmax,MATCH(Table36[[#This Row],[Grist]],SMI,0)),0,1))))</f>
        <v>-</v>
      </c>
      <c r="Z386" s="127" t="str">
        <f>IF(INDEX(Resmin,MATCH(Table36[[#This Row],[Grist]],SMI,0))="-","-",IF(Table36[[#This Row],[Resistance, max]]="-","-",IF(Table36[[#This Row],[Resistance, max]]&lt;INDEX(Resmin,MATCH(Table36[[#This Row],[Grist]],SMI,0)),0,IF(Table36[[#This Row],[Resistance, max]]&gt;INDEX(Resmax,MATCH(Table36[[#This Row],[Grist]],SMI,0)),0,1))))</f>
        <v>-</v>
      </c>
      <c r="AA386" s="127">
        <f>IF(INDEX(WGmin,MATCH(Table36[[#This Row],[Grist]],SMI,0))="-","-",IF(Table36[[#This Row],[%Wet Gluten]]="-","-",IF(Table36[[#This Row],[%Wet Gluten]]&lt;INDEX(WGmin,MATCH(Table36[[#This Row],[Grist]],SMI,0)),0,IF(Table36[[#This Row],[%Wet Gluten]]&gt;INDEX(WGmax,MATCH(Table36[[#This Row],[Grist]],SMI,0)),0,1))))</f>
        <v>0</v>
      </c>
      <c r="AB386" s="127">
        <f>SUM(Table36[[#This Row],[ QI Bran Content]:[QI WG]])</f>
        <v>2</v>
      </c>
      <c r="AC386" s="127">
        <f>COUNT(Table36[[#This Row],[ QI Bran Content]:[QI WG]])</f>
        <v>5</v>
      </c>
    </row>
    <row r="387" spans="1:29" x14ac:dyDescent="0.35">
      <c r="A387" s="177">
        <v>45328</v>
      </c>
      <c r="B387" s="178">
        <v>45337</v>
      </c>
      <c r="C387" s="178" t="s">
        <v>130</v>
      </c>
      <c r="D387" s="179">
        <v>1.1666666666666701</v>
      </c>
      <c r="E387" s="180" t="s">
        <v>0</v>
      </c>
      <c r="F387" s="181" t="s">
        <v>40</v>
      </c>
      <c r="G387" s="182" t="s">
        <v>270</v>
      </c>
      <c r="H387" s="175" t="s">
        <v>165</v>
      </c>
      <c r="I387" s="175" t="s">
        <v>165</v>
      </c>
      <c r="J387" s="175" t="s">
        <v>165</v>
      </c>
      <c r="K387" s="175" t="s">
        <v>271</v>
      </c>
      <c r="L387" s="175" t="s">
        <v>163</v>
      </c>
      <c r="M387" s="175" t="s">
        <v>163</v>
      </c>
      <c r="N387" s="175" t="s">
        <v>163</v>
      </c>
      <c r="O387" s="175" t="s">
        <v>163</v>
      </c>
      <c r="P387" s="175" t="s">
        <v>163</v>
      </c>
      <c r="Q387" s="175"/>
      <c r="R387" s="127">
        <f>IF(Table36[[#This Row],[ Bran Content]]="-","-",IF(G387&lt;0.02,1,0))</f>
        <v>0</v>
      </c>
      <c r="S387" s="127">
        <f>IF(Table36[[#This Row],[Sieve Test]]="-","-",IF(Table36[[#This Row],[Sieve Test]]="P",1,0))</f>
        <v>1</v>
      </c>
      <c r="T387" s="127">
        <f>IF(Table36[[#This Row],[Odor]]="-","-",IF(Table36[[#This Row],[Odor]]="P",1,0))</f>
        <v>1</v>
      </c>
      <c r="U387" s="127">
        <f>IF(INDEX(MCmin,MATCH(Table36[[#This Row],[Grist]],SMI,0))="-","-",IF(Table36[[#This Row],[F1 %MC]]="-","-",IF(Table36[[#This Row],[F1 %MC]]&lt;INDEX(MCmin,MATCH(Table36[[#This Row],[Grist]],SMI,0)),0,IF(Table36[[#This Row],[F1 %MC]]&gt;INDEX(MCmax,MATCH(Table36[[#This Row],[Grist]],SMI,0)),0,1))))</f>
        <v>0</v>
      </c>
      <c r="V387" s="127" t="str">
        <f>IF(INDEX(Protmin,MATCH(Table36[[#This Row],[Grist]],SMI,0))="-","-",IF(Table36[[#This Row],[%Protein]]="-","-",IF(Table36[[#This Row],[%Protein]]&lt;INDEX(Protmin,MATCH(Table36[[#This Row],[Grist]],SMI,0)),0,IF(Table36[[#This Row],[%Protein]]&gt;INDEX(Protmax,MATCH(Table36[[#This Row],[Grist]],SMI,0)),0,1))))</f>
        <v>-</v>
      </c>
      <c r="W387" s="127" t="str">
        <f>IF(INDEX(Ashmin,MATCH(Table36[[#This Row],[Grist]],SMI,0))="-","-",IF(Table36[[#This Row],[%Ash]]="-","-",IF(Table36[[#This Row],[%Ash]]&lt;INDEX(Ashmin,MATCH(Table36[[#This Row],[Grist]],SMI,0)),0,IF(Table36[[#This Row],[%Ash]]&gt;INDEX(Ashmax,MATCH(Table36[[#This Row],[Grist]],SMI,0)),0,1))))</f>
        <v>-</v>
      </c>
      <c r="X387" s="127" t="str">
        <f>IF(INDEX(Absmin,MATCH(Table36[[#This Row],[Grist]],SMI,0))="-","-",IF(Table36[[#This Row],[%Absorption]]="-","-",IF(Table36[[#This Row],[%Absorption]]&lt;INDEX(Absmin,MATCH(Table36[[#This Row],[Grist]],SMI,0)),0,IF(Table36[[#This Row],[%Absorption]]&gt;INDEX(Absmax,MATCH(Table36[[#This Row],[Grist]],SMI,0)),0,1))))</f>
        <v>-</v>
      </c>
      <c r="Y387" s="127" t="str">
        <f>IF(INDEX(Extmin,MATCH(Table36[[#This Row],[Grist]],SMI,0))="-","-",IF(Table36[[#This Row],[%Extensibility]]="-","-",IF(Table36[[#This Row],[%Extensibility]]&lt;INDEX(Extmin,MATCH(Table36[[#This Row],[Grist]],SMI,0)),0,IF(Table36[[#This Row],[%Extensibility]]&gt;INDEX(Extmax,MATCH(Table36[[#This Row],[Grist]],SMI,0)),0,1))))</f>
        <v>-</v>
      </c>
      <c r="Z387" s="127" t="str">
        <f>IF(INDEX(Resmin,MATCH(Table36[[#This Row],[Grist]],SMI,0))="-","-",IF(Table36[[#This Row],[Resistance, max]]="-","-",IF(Table36[[#This Row],[Resistance, max]]&lt;INDEX(Resmin,MATCH(Table36[[#This Row],[Grist]],SMI,0)),0,IF(Table36[[#This Row],[Resistance, max]]&gt;INDEX(Resmax,MATCH(Table36[[#This Row],[Grist]],SMI,0)),0,1))))</f>
        <v>-</v>
      </c>
      <c r="AA387" s="127">
        <f>IF(INDEX(WGmin,MATCH(Table36[[#This Row],[Grist]],SMI,0))="-","-",IF(Table36[[#This Row],[%Wet Gluten]]="-","-",IF(Table36[[#This Row],[%Wet Gluten]]&lt;INDEX(WGmin,MATCH(Table36[[#This Row],[Grist]],SMI,0)),0,IF(Table36[[#This Row],[%Wet Gluten]]&gt;INDEX(WGmax,MATCH(Table36[[#This Row],[Grist]],SMI,0)),0,1))))</f>
        <v>0</v>
      </c>
      <c r="AB387" s="127">
        <f>SUM(Table36[[#This Row],[ QI Bran Content]:[QI WG]])</f>
        <v>2</v>
      </c>
      <c r="AC387" s="127">
        <f>COUNT(Table36[[#This Row],[ QI Bran Content]:[QI WG]])</f>
        <v>5</v>
      </c>
    </row>
    <row r="388" spans="1:29" x14ac:dyDescent="0.35">
      <c r="A388" s="177">
        <v>45328</v>
      </c>
      <c r="B388" s="178">
        <v>45337</v>
      </c>
      <c r="C388" s="178" t="s">
        <v>130</v>
      </c>
      <c r="D388" s="179">
        <v>0.95833333333333337</v>
      </c>
      <c r="E388" s="180" t="s">
        <v>2</v>
      </c>
      <c r="F388" s="181" t="s">
        <v>242</v>
      </c>
      <c r="G388" s="182" t="s">
        <v>272</v>
      </c>
      <c r="H388" s="175" t="s">
        <v>165</v>
      </c>
      <c r="I388" s="175" t="s">
        <v>165</v>
      </c>
      <c r="J388" s="175" t="s">
        <v>165</v>
      </c>
      <c r="K388" s="175">
        <v>12.72</v>
      </c>
      <c r="L388" s="175" t="s">
        <v>163</v>
      </c>
      <c r="M388" s="175" t="s">
        <v>163</v>
      </c>
      <c r="N388" s="175" t="s">
        <v>163</v>
      </c>
      <c r="O388" s="175" t="s">
        <v>163</v>
      </c>
      <c r="P388" s="175" t="s">
        <v>163</v>
      </c>
      <c r="Q388" s="175"/>
      <c r="R388" s="127">
        <f>IF(Table36[[#This Row],[ Bran Content]]="-","-",IF(G388&lt;0.02,1,0))</f>
        <v>0</v>
      </c>
      <c r="S388" s="127">
        <f>IF(Table36[[#This Row],[Sieve Test]]="-","-",IF(Table36[[#This Row],[Sieve Test]]="P",1,0))</f>
        <v>1</v>
      </c>
      <c r="T388" s="127">
        <f>IF(Table36[[#This Row],[Odor]]="-","-",IF(Table36[[#This Row],[Odor]]="P",1,0))</f>
        <v>1</v>
      </c>
      <c r="U388" s="127">
        <f>IF(INDEX(MCmin,MATCH(Table36[[#This Row],[Grist]],SMI,0))="-","-",IF(Table36[[#This Row],[F1 %MC]]="-","-",IF(Table36[[#This Row],[F1 %MC]]&lt;INDEX(MCmin,MATCH(Table36[[#This Row],[Grist]],SMI,0)),0,IF(Table36[[#This Row],[F1 %MC]]&gt;INDEX(MCmax,MATCH(Table36[[#This Row],[Grist]],SMI,0)),0,1))))</f>
        <v>1</v>
      </c>
      <c r="V388" s="127" t="str">
        <f>IF(INDEX(Protmin,MATCH(Table36[[#This Row],[Grist]],SMI,0))="-","-",IF(Table36[[#This Row],[%Protein]]="-","-",IF(Table36[[#This Row],[%Protein]]&lt;INDEX(Protmin,MATCH(Table36[[#This Row],[Grist]],SMI,0)),0,IF(Table36[[#This Row],[%Protein]]&gt;INDEX(Protmax,MATCH(Table36[[#This Row],[Grist]],SMI,0)),0,1))))</f>
        <v>-</v>
      </c>
      <c r="W388" s="127" t="str">
        <f>IF(INDEX(Ashmin,MATCH(Table36[[#This Row],[Grist]],SMI,0))="-","-",IF(Table36[[#This Row],[%Ash]]="-","-",IF(Table36[[#This Row],[%Ash]]&lt;INDEX(Ashmin,MATCH(Table36[[#This Row],[Grist]],SMI,0)),0,IF(Table36[[#This Row],[%Ash]]&gt;INDEX(Ashmax,MATCH(Table36[[#This Row],[Grist]],SMI,0)),0,1))))</f>
        <v>-</v>
      </c>
      <c r="X388" s="127" t="str">
        <f>IF(INDEX(Absmin,MATCH(Table36[[#This Row],[Grist]],SMI,0))="-","-",IF(Table36[[#This Row],[%Absorption]]="-","-",IF(Table36[[#This Row],[%Absorption]]&lt;INDEX(Absmin,MATCH(Table36[[#This Row],[Grist]],SMI,0)),0,IF(Table36[[#This Row],[%Absorption]]&gt;INDEX(Absmax,MATCH(Table36[[#This Row],[Grist]],SMI,0)),0,1))))</f>
        <v>-</v>
      </c>
      <c r="Y388" s="127" t="str">
        <f>IF(INDEX(Extmin,MATCH(Table36[[#This Row],[Grist]],SMI,0))="-","-",IF(Table36[[#This Row],[%Extensibility]]="-","-",IF(Table36[[#This Row],[%Extensibility]]&lt;INDEX(Extmin,MATCH(Table36[[#This Row],[Grist]],SMI,0)),0,IF(Table36[[#This Row],[%Extensibility]]&gt;INDEX(Extmax,MATCH(Table36[[#This Row],[Grist]],SMI,0)),0,1))))</f>
        <v>-</v>
      </c>
      <c r="Z388" s="127" t="str">
        <f>IF(INDEX(Resmin,MATCH(Table36[[#This Row],[Grist]],SMI,0))="-","-",IF(Table36[[#This Row],[Resistance, max]]="-","-",IF(Table36[[#This Row],[Resistance, max]]&lt;INDEX(Resmin,MATCH(Table36[[#This Row],[Grist]],SMI,0)),0,IF(Table36[[#This Row],[Resistance, max]]&gt;INDEX(Resmax,MATCH(Table36[[#This Row],[Grist]],SMI,0)),0,1))))</f>
        <v>-</v>
      </c>
      <c r="AA388" s="127">
        <f>IF(INDEX(WGmin,MATCH(Table36[[#This Row],[Grist]],SMI,0))="-","-",IF(Table36[[#This Row],[%Wet Gluten]]="-","-",IF(Table36[[#This Row],[%Wet Gluten]]&lt;INDEX(WGmin,MATCH(Table36[[#This Row],[Grist]],SMI,0)),0,IF(Table36[[#This Row],[%Wet Gluten]]&gt;INDEX(WGmax,MATCH(Table36[[#This Row],[Grist]],SMI,0)),0,1))))</f>
        <v>0</v>
      </c>
      <c r="AB388" s="127">
        <f>SUM(Table36[[#This Row],[ QI Bran Content]:[QI WG]])</f>
        <v>3</v>
      </c>
      <c r="AC388" s="127">
        <f>COUNT(Table36[[#This Row],[ QI Bran Content]:[QI WG]])</f>
        <v>5</v>
      </c>
    </row>
    <row r="389" spans="1:29" x14ac:dyDescent="0.35">
      <c r="A389" s="177">
        <v>45328</v>
      </c>
      <c r="B389" s="178">
        <v>45338</v>
      </c>
      <c r="C389" s="178" t="s">
        <v>125</v>
      </c>
      <c r="D389" s="179" t="s">
        <v>273</v>
      </c>
      <c r="E389" s="180" t="s">
        <v>0</v>
      </c>
      <c r="F389" s="181" t="s">
        <v>27</v>
      </c>
      <c r="G389" s="182">
        <v>2.1000000000000001E-2</v>
      </c>
      <c r="H389" s="175" t="s">
        <v>165</v>
      </c>
      <c r="I389" s="175" t="s">
        <v>165</v>
      </c>
      <c r="J389" s="175" t="s">
        <v>165</v>
      </c>
      <c r="K389" s="175">
        <v>12.75</v>
      </c>
      <c r="L389" s="175">
        <v>12.95</v>
      </c>
      <c r="M389" s="175">
        <v>0.44</v>
      </c>
      <c r="N389" s="175">
        <v>64.7</v>
      </c>
      <c r="O389" s="175" t="s">
        <v>163</v>
      </c>
      <c r="P389" s="175" t="s">
        <v>163</v>
      </c>
      <c r="Q389" s="175"/>
      <c r="R389" s="127">
        <f>IF(Table36[[#This Row],[ Bran Content]]="-","-",IF(G389&lt;0.02,1,0))</f>
        <v>0</v>
      </c>
      <c r="S389" s="127">
        <f>IF(Table36[[#This Row],[Sieve Test]]="-","-",IF(Table36[[#This Row],[Sieve Test]]="P",1,0))</f>
        <v>1</v>
      </c>
      <c r="T389" s="127">
        <f>IF(Table36[[#This Row],[Odor]]="-","-",IF(Table36[[#This Row],[Odor]]="P",1,0))</f>
        <v>1</v>
      </c>
      <c r="U389" s="127">
        <f>IF(INDEX(MCmin,MATCH(Table36[[#This Row],[Grist]],SMI,0))="-","-",IF(Table36[[#This Row],[F1 %MC]]="-","-",IF(Table36[[#This Row],[F1 %MC]]&lt;INDEX(MCmin,MATCH(Table36[[#This Row],[Grist]],SMI,0)),0,IF(Table36[[#This Row],[F1 %MC]]&gt;INDEX(MCmax,MATCH(Table36[[#This Row],[Grist]],SMI,0)),0,1))))</f>
        <v>1</v>
      </c>
      <c r="V389" s="127">
        <f>IF(INDEX(Protmin,MATCH(Table36[[#This Row],[Grist]],SMI,0))="-","-",IF(Table36[[#This Row],[%Protein]]="-","-",IF(Table36[[#This Row],[%Protein]]&lt;INDEX(Protmin,MATCH(Table36[[#This Row],[Grist]],SMI,0)),0,IF(Table36[[#This Row],[%Protein]]&gt;INDEX(Protmax,MATCH(Table36[[#This Row],[Grist]],SMI,0)),0,1))))</f>
        <v>1</v>
      </c>
      <c r="W389" s="127">
        <f>IF(INDEX(Ashmin,MATCH(Table36[[#This Row],[Grist]],SMI,0))="-","-",IF(Table36[[#This Row],[%Ash]]="-","-",IF(Table36[[#This Row],[%Ash]]&lt;INDEX(Ashmin,MATCH(Table36[[#This Row],[Grist]],SMI,0)),0,IF(Table36[[#This Row],[%Ash]]&gt;INDEX(Ashmax,MATCH(Table36[[#This Row],[Grist]],SMI,0)),0,1))))</f>
        <v>1</v>
      </c>
      <c r="X389" s="127">
        <f>IF(INDEX(Absmin,MATCH(Table36[[#This Row],[Grist]],SMI,0))="-","-",IF(Table36[[#This Row],[%Absorption]]="-","-",IF(Table36[[#This Row],[%Absorption]]&lt;INDEX(Absmin,MATCH(Table36[[#This Row],[Grist]],SMI,0)),0,IF(Table36[[#This Row],[%Absorption]]&gt;INDEX(Absmax,MATCH(Table36[[#This Row],[Grist]],SMI,0)),0,1))))</f>
        <v>1</v>
      </c>
      <c r="Y389" s="127" t="str">
        <f>IF(INDEX(Extmin,MATCH(Table36[[#This Row],[Grist]],SMI,0))="-","-",IF(Table36[[#This Row],[%Extensibility]]="-","-",IF(Table36[[#This Row],[%Extensibility]]&lt;INDEX(Extmin,MATCH(Table36[[#This Row],[Grist]],SMI,0)),0,IF(Table36[[#This Row],[%Extensibility]]&gt;INDEX(Extmax,MATCH(Table36[[#This Row],[Grist]],SMI,0)),0,1))))</f>
        <v>-</v>
      </c>
      <c r="Z389" s="127" t="str">
        <f>IF(INDEX(Resmin,MATCH(Table36[[#This Row],[Grist]],SMI,0))="-","-",IF(Table36[[#This Row],[Resistance, max]]="-","-",IF(Table36[[#This Row],[Resistance, max]]&lt;INDEX(Resmin,MATCH(Table36[[#This Row],[Grist]],SMI,0)),0,IF(Table36[[#This Row],[Resistance, max]]&gt;INDEX(Resmax,MATCH(Table36[[#This Row],[Grist]],SMI,0)),0,1))))</f>
        <v>-</v>
      </c>
      <c r="AA389" s="127">
        <f>IF(INDEX(WGmin,MATCH(Table36[[#This Row],[Grist]],SMI,0))="-","-",IF(Table36[[#This Row],[%Wet Gluten]]="-","-",IF(Table36[[#This Row],[%Wet Gluten]]&lt;INDEX(WGmin,MATCH(Table36[[#This Row],[Grist]],SMI,0)),0,IF(Table36[[#This Row],[%Wet Gluten]]&gt;INDEX(WGmax,MATCH(Table36[[#This Row],[Grist]],SMI,0)),0,1))))</f>
        <v>0</v>
      </c>
      <c r="AB389" s="127">
        <f>SUM(Table36[[#This Row],[ QI Bran Content]:[QI WG]])</f>
        <v>6</v>
      </c>
      <c r="AC389" s="127">
        <f>COUNT(Table36[[#This Row],[ QI Bran Content]:[QI WG]])</f>
        <v>8</v>
      </c>
    </row>
    <row r="390" spans="1:29" x14ac:dyDescent="0.35">
      <c r="A390" s="177">
        <v>45328</v>
      </c>
      <c r="B390" s="178">
        <v>45338</v>
      </c>
      <c r="C390" s="178" t="s">
        <v>125</v>
      </c>
      <c r="D390" s="179" t="s">
        <v>240</v>
      </c>
      <c r="E390" s="180" t="s">
        <v>0</v>
      </c>
      <c r="F390" s="181" t="s">
        <v>27</v>
      </c>
      <c r="G390" s="182">
        <v>3.1300000000000001E-2</v>
      </c>
      <c r="H390" s="175" t="s">
        <v>165</v>
      </c>
      <c r="I390" s="175" t="s">
        <v>165</v>
      </c>
      <c r="J390" s="175" t="s">
        <v>165</v>
      </c>
      <c r="K390" s="175">
        <v>13.1</v>
      </c>
      <c r="L390" s="175">
        <v>12.95</v>
      </c>
      <c r="M390" s="175">
        <v>0.44</v>
      </c>
      <c r="N390" s="175">
        <v>64.7</v>
      </c>
      <c r="O390" s="175" t="s">
        <v>163</v>
      </c>
      <c r="P390" s="175" t="s">
        <v>163</v>
      </c>
      <c r="Q390" s="175"/>
      <c r="R390" s="127">
        <f>IF(Table36[[#This Row],[ Bran Content]]="-","-",IF(G390&lt;0.02,1,0))</f>
        <v>0</v>
      </c>
      <c r="S390" s="127">
        <f>IF(Table36[[#This Row],[Sieve Test]]="-","-",IF(Table36[[#This Row],[Sieve Test]]="P",1,0))</f>
        <v>1</v>
      </c>
      <c r="T390" s="127">
        <f>IF(Table36[[#This Row],[Odor]]="-","-",IF(Table36[[#This Row],[Odor]]="P",1,0))</f>
        <v>1</v>
      </c>
      <c r="U390" s="127">
        <f>IF(INDEX(MCmin,MATCH(Table36[[#This Row],[Grist]],SMI,0))="-","-",IF(Table36[[#This Row],[F1 %MC]]="-","-",IF(Table36[[#This Row],[F1 %MC]]&lt;INDEX(MCmin,MATCH(Table36[[#This Row],[Grist]],SMI,0)),0,IF(Table36[[#This Row],[F1 %MC]]&gt;INDEX(MCmax,MATCH(Table36[[#This Row],[Grist]],SMI,0)),0,1))))</f>
        <v>1</v>
      </c>
      <c r="V390" s="127">
        <f>IF(INDEX(Protmin,MATCH(Table36[[#This Row],[Grist]],SMI,0))="-","-",IF(Table36[[#This Row],[%Protein]]="-","-",IF(Table36[[#This Row],[%Protein]]&lt;INDEX(Protmin,MATCH(Table36[[#This Row],[Grist]],SMI,0)),0,IF(Table36[[#This Row],[%Protein]]&gt;INDEX(Protmax,MATCH(Table36[[#This Row],[Grist]],SMI,0)),0,1))))</f>
        <v>1</v>
      </c>
      <c r="W390" s="127">
        <f>IF(INDEX(Ashmin,MATCH(Table36[[#This Row],[Grist]],SMI,0))="-","-",IF(Table36[[#This Row],[%Ash]]="-","-",IF(Table36[[#This Row],[%Ash]]&lt;INDEX(Ashmin,MATCH(Table36[[#This Row],[Grist]],SMI,0)),0,IF(Table36[[#This Row],[%Ash]]&gt;INDEX(Ashmax,MATCH(Table36[[#This Row],[Grist]],SMI,0)),0,1))))</f>
        <v>1</v>
      </c>
      <c r="X390" s="127">
        <f>IF(INDEX(Absmin,MATCH(Table36[[#This Row],[Grist]],SMI,0))="-","-",IF(Table36[[#This Row],[%Absorption]]="-","-",IF(Table36[[#This Row],[%Absorption]]&lt;INDEX(Absmin,MATCH(Table36[[#This Row],[Grist]],SMI,0)),0,IF(Table36[[#This Row],[%Absorption]]&gt;INDEX(Absmax,MATCH(Table36[[#This Row],[Grist]],SMI,0)),0,1))))</f>
        <v>1</v>
      </c>
      <c r="Y390" s="127" t="str">
        <f>IF(INDEX(Extmin,MATCH(Table36[[#This Row],[Grist]],SMI,0))="-","-",IF(Table36[[#This Row],[%Extensibility]]="-","-",IF(Table36[[#This Row],[%Extensibility]]&lt;INDEX(Extmin,MATCH(Table36[[#This Row],[Grist]],SMI,0)),0,IF(Table36[[#This Row],[%Extensibility]]&gt;INDEX(Extmax,MATCH(Table36[[#This Row],[Grist]],SMI,0)),0,1))))</f>
        <v>-</v>
      </c>
      <c r="Z390" s="127" t="str">
        <f>IF(INDEX(Resmin,MATCH(Table36[[#This Row],[Grist]],SMI,0))="-","-",IF(Table36[[#This Row],[Resistance, max]]="-","-",IF(Table36[[#This Row],[Resistance, max]]&lt;INDEX(Resmin,MATCH(Table36[[#This Row],[Grist]],SMI,0)),0,IF(Table36[[#This Row],[Resistance, max]]&gt;INDEX(Resmax,MATCH(Table36[[#This Row],[Grist]],SMI,0)),0,1))))</f>
        <v>-</v>
      </c>
      <c r="AA390" s="127">
        <f>IF(INDEX(WGmin,MATCH(Table36[[#This Row],[Grist]],SMI,0))="-","-",IF(Table36[[#This Row],[%Wet Gluten]]="-","-",IF(Table36[[#This Row],[%Wet Gluten]]&lt;INDEX(WGmin,MATCH(Table36[[#This Row],[Grist]],SMI,0)),0,IF(Table36[[#This Row],[%Wet Gluten]]&gt;INDEX(WGmax,MATCH(Table36[[#This Row],[Grist]],SMI,0)),0,1))))</f>
        <v>0</v>
      </c>
      <c r="AB390" s="127">
        <f>SUM(Table36[[#This Row],[ QI Bran Content]:[QI WG]])</f>
        <v>6</v>
      </c>
      <c r="AC390" s="127">
        <f>COUNT(Table36[[#This Row],[ QI Bran Content]:[QI WG]])</f>
        <v>8</v>
      </c>
    </row>
    <row r="391" spans="1:29" x14ac:dyDescent="0.35">
      <c r="A391" s="177">
        <v>45328</v>
      </c>
      <c r="B391" s="178">
        <v>45338</v>
      </c>
      <c r="C391" s="178" t="s">
        <v>125</v>
      </c>
      <c r="D391" s="179" t="s">
        <v>237</v>
      </c>
      <c r="E391" s="180" t="s">
        <v>0</v>
      </c>
      <c r="F391" s="181" t="s">
        <v>27</v>
      </c>
      <c r="G391" s="182">
        <v>1.67E-2</v>
      </c>
      <c r="H391" s="175" t="s">
        <v>165</v>
      </c>
      <c r="I391" s="175" t="s">
        <v>165</v>
      </c>
      <c r="J391" s="175" t="s">
        <v>165</v>
      </c>
      <c r="K391" s="175">
        <v>12.9</v>
      </c>
      <c r="L391" s="175">
        <v>12.95</v>
      </c>
      <c r="M391" s="175">
        <v>0.44</v>
      </c>
      <c r="N391" s="175">
        <v>64.7</v>
      </c>
      <c r="O391" s="175" t="s">
        <v>163</v>
      </c>
      <c r="P391" s="175" t="s">
        <v>163</v>
      </c>
      <c r="Q391" s="175"/>
      <c r="R391" s="127">
        <f>IF(Table36[[#This Row],[ Bran Content]]="-","-",IF(G391&lt;0.02,1,0))</f>
        <v>1</v>
      </c>
      <c r="S391" s="127">
        <f>IF(Table36[[#This Row],[Sieve Test]]="-","-",IF(Table36[[#This Row],[Sieve Test]]="P",1,0))</f>
        <v>1</v>
      </c>
      <c r="T391" s="127">
        <f>IF(Table36[[#This Row],[Odor]]="-","-",IF(Table36[[#This Row],[Odor]]="P",1,0))</f>
        <v>1</v>
      </c>
      <c r="U391" s="127">
        <f>IF(INDEX(MCmin,MATCH(Table36[[#This Row],[Grist]],SMI,0))="-","-",IF(Table36[[#This Row],[F1 %MC]]="-","-",IF(Table36[[#This Row],[F1 %MC]]&lt;INDEX(MCmin,MATCH(Table36[[#This Row],[Grist]],SMI,0)),0,IF(Table36[[#This Row],[F1 %MC]]&gt;INDEX(MCmax,MATCH(Table36[[#This Row],[Grist]],SMI,0)),0,1))))</f>
        <v>1</v>
      </c>
      <c r="V391" s="127">
        <f>IF(INDEX(Protmin,MATCH(Table36[[#This Row],[Grist]],SMI,0))="-","-",IF(Table36[[#This Row],[%Protein]]="-","-",IF(Table36[[#This Row],[%Protein]]&lt;INDEX(Protmin,MATCH(Table36[[#This Row],[Grist]],SMI,0)),0,IF(Table36[[#This Row],[%Protein]]&gt;INDEX(Protmax,MATCH(Table36[[#This Row],[Grist]],SMI,0)),0,1))))</f>
        <v>1</v>
      </c>
      <c r="W391" s="127">
        <f>IF(INDEX(Ashmin,MATCH(Table36[[#This Row],[Grist]],SMI,0))="-","-",IF(Table36[[#This Row],[%Ash]]="-","-",IF(Table36[[#This Row],[%Ash]]&lt;INDEX(Ashmin,MATCH(Table36[[#This Row],[Grist]],SMI,0)),0,IF(Table36[[#This Row],[%Ash]]&gt;INDEX(Ashmax,MATCH(Table36[[#This Row],[Grist]],SMI,0)),0,1))))</f>
        <v>1</v>
      </c>
      <c r="X391" s="127">
        <f>IF(INDEX(Absmin,MATCH(Table36[[#This Row],[Grist]],SMI,0))="-","-",IF(Table36[[#This Row],[%Absorption]]="-","-",IF(Table36[[#This Row],[%Absorption]]&lt;INDEX(Absmin,MATCH(Table36[[#This Row],[Grist]],SMI,0)),0,IF(Table36[[#This Row],[%Absorption]]&gt;INDEX(Absmax,MATCH(Table36[[#This Row],[Grist]],SMI,0)),0,1))))</f>
        <v>1</v>
      </c>
      <c r="Y391" s="127" t="str">
        <f>IF(INDEX(Extmin,MATCH(Table36[[#This Row],[Grist]],SMI,0))="-","-",IF(Table36[[#This Row],[%Extensibility]]="-","-",IF(Table36[[#This Row],[%Extensibility]]&lt;INDEX(Extmin,MATCH(Table36[[#This Row],[Grist]],SMI,0)),0,IF(Table36[[#This Row],[%Extensibility]]&gt;INDEX(Extmax,MATCH(Table36[[#This Row],[Grist]],SMI,0)),0,1))))</f>
        <v>-</v>
      </c>
      <c r="Z391" s="127" t="str">
        <f>IF(INDEX(Resmin,MATCH(Table36[[#This Row],[Grist]],SMI,0))="-","-",IF(Table36[[#This Row],[Resistance, max]]="-","-",IF(Table36[[#This Row],[Resistance, max]]&lt;INDEX(Resmin,MATCH(Table36[[#This Row],[Grist]],SMI,0)),0,IF(Table36[[#This Row],[Resistance, max]]&gt;INDEX(Resmax,MATCH(Table36[[#This Row],[Grist]],SMI,0)),0,1))))</f>
        <v>-</v>
      </c>
      <c r="AA391" s="127">
        <f>IF(INDEX(WGmin,MATCH(Table36[[#This Row],[Grist]],SMI,0))="-","-",IF(Table36[[#This Row],[%Wet Gluten]]="-","-",IF(Table36[[#This Row],[%Wet Gluten]]&lt;INDEX(WGmin,MATCH(Table36[[#This Row],[Grist]],SMI,0)),0,IF(Table36[[#This Row],[%Wet Gluten]]&gt;INDEX(WGmax,MATCH(Table36[[#This Row],[Grist]],SMI,0)),0,1))))</f>
        <v>0</v>
      </c>
      <c r="AB391" s="127">
        <f>SUM(Table36[[#This Row],[ QI Bran Content]:[QI WG]])</f>
        <v>7</v>
      </c>
      <c r="AC391" s="127">
        <f>COUNT(Table36[[#This Row],[ QI Bran Content]:[QI WG]])</f>
        <v>8</v>
      </c>
    </row>
    <row r="392" spans="1:29" x14ac:dyDescent="0.35">
      <c r="A392" s="177">
        <v>45328</v>
      </c>
      <c r="B392" s="178">
        <v>45338</v>
      </c>
      <c r="C392" s="178" t="s">
        <v>125</v>
      </c>
      <c r="D392" s="179" t="s">
        <v>273</v>
      </c>
      <c r="E392" s="180" t="s">
        <v>1</v>
      </c>
      <c r="F392" s="181" t="s">
        <v>241</v>
      </c>
      <c r="G392" s="182" t="s">
        <v>163</v>
      </c>
      <c r="H392" s="175" t="s">
        <v>165</v>
      </c>
      <c r="I392" s="175" t="s">
        <v>165</v>
      </c>
      <c r="J392" s="175" t="s">
        <v>165</v>
      </c>
      <c r="K392" s="175">
        <v>11.93</v>
      </c>
      <c r="L392" s="175" t="s">
        <v>163</v>
      </c>
      <c r="M392" s="175" t="s">
        <v>163</v>
      </c>
      <c r="N392" s="175" t="s">
        <v>163</v>
      </c>
      <c r="O392" s="175" t="s">
        <v>163</v>
      </c>
      <c r="P392" s="175" t="s">
        <v>163</v>
      </c>
      <c r="Q392" s="175"/>
      <c r="R392" s="127" t="str">
        <f>IF(Table36[[#This Row],[ Bran Content]]="-","-",IF(G392&lt;0.02,1,0))</f>
        <v>-</v>
      </c>
      <c r="S392" s="127">
        <f>IF(Table36[[#This Row],[Sieve Test]]="-","-",IF(Table36[[#This Row],[Sieve Test]]="P",1,0))</f>
        <v>1</v>
      </c>
      <c r="T392" s="127">
        <f>IF(Table36[[#This Row],[Odor]]="-","-",IF(Table36[[#This Row],[Odor]]="P",1,0))</f>
        <v>1</v>
      </c>
      <c r="U392" s="127" t="str">
        <f>IF(INDEX(MCmin,MATCH(Table36[[#This Row],[Grist]],SMI,0))="-","-",IF(Table36[[#This Row],[F1 %MC]]="-","-",IF(Table36[[#This Row],[F1 %MC]]&lt;INDEX(MCmin,MATCH(Table36[[#This Row],[Grist]],SMI,0)),0,IF(Table36[[#This Row],[F1 %MC]]&gt;INDEX(MCmax,MATCH(Table36[[#This Row],[Grist]],SMI,0)),0,1))))</f>
        <v>-</v>
      </c>
      <c r="V392" s="127" t="str">
        <f>IF(INDEX(Protmin,MATCH(Table36[[#This Row],[Grist]],SMI,0))="-","-",IF(Table36[[#This Row],[%Protein]]="-","-",IF(Table36[[#This Row],[%Protein]]&lt;INDEX(Protmin,MATCH(Table36[[#This Row],[Grist]],SMI,0)),0,IF(Table36[[#This Row],[%Protein]]&gt;INDEX(Protmax,MATCH(Table36[[#This Row],[Grist]],SMI,0)),0,1))))</f>
        <v>-</v>
      </c>
      <c r="W392" s="127" t="str">
        <f>IF(INDEX(Ashmin,MATCH(Table36[[#This Row],[Grist]],SMI,0))="-","-",IF(Table36[[#This Row],[%Ash]]="-","-",IF(Table36[[#This Row],[%Ash]]&lt;INDEX(Ashmin,MATCH(Table36[[#This Row],[Grist]],SMI,0)),0,IF(Table36[[#This Row],[%Ash]]&gt;INDEX(Ashmax,MATCH(Table36[[#This Row],[Grist]],SMI,0)),0,1))))</f>
        <v>-</v>
      </c>
      <c r="X392" s="127" t="str">
        <f>IF(INDEX(Absmin,MATCH(Table36[[#This Row],[Grist]],SMI,0))="-","-",IF(Table36[[#This Row],[%Absorption]]="-","-",IF(Table36[[#This Row],[%Absorption]]&lt;INDEX(Absmin,MATCH(Table36[[#This Row],[Grist]],SMI,0)),0,IF(Table36[[#This Row],[%Absorption]]&gt;INDEX(Absmax,MATCH(Table36[[#This Row],[Grist]],SMI,0)),0,1))))</f>
        <v>-</v>
      </c>
      <c r="Y392" s="127" t="str">
        <f>IF(INDEX(Extmin,MATCH(Table36[[#This Row],[Grist]],SMI,0))="-","-",IF(Table36[[#This Row],[%Extensibility]]="-","-",IF(Table36[[#This Row],[%Extensibility]]&lt;INDEX(Extmin,MATCH(Table36[[#This Row],[Grist]],SMI,0)),0,IF(Table36[[#This Row],[%Extensibility]]&gt;INDEX(Extmax,MATCH(Table36[[#This Row],[Grist]],SMI,0)),0,1))))</f>
        <v>-</v>
      </c>
      <c r="Z392" s="127" t="str">
        <f>IF(INDEX(Resmin,MATCH(Table36[[#This Row],[Grist]],SMI,0))="-","-",IF(Table36[[#This Row],[Resistance, max]]="-","-",IF(Table36[[#This Row],[Resistance, max]]&lt;INDEX(Resmin,MATCH(Table36[[#This Row],[Grist]],SMI,0)),0,IF(Table36[[#This Row],[Resistance, max]]&gt;INDEX(Resmax,MATCH(Table36[[#This Row],[Grist]],SMI,0)),0,1))))</f>
        <v>-</v>
      </c>
      <c r="AA392" s="127" t="str">
        <f>IF(INDEX(WGmin,MATCH(Table36[[#This Row],[Grist]],SMI,0))="-","-",IF(Table36[[#This Row],[%Wet Gluten]]="-","-",IF(Table36[[#This Row],[%Wet Gluten]]&lt;INDEX(WGmin,MATCH(Table36[[#This Row],[Grist]],SMI,0)),0,IF(Table36[[#This Row],[%Wet Gluten]]&gt;INDEX(WGmax,MATCH(Table36[[#This Row],[Grist]],SMI,0)),0,1))))</f>
        <v>-</v>
      </c>
      <c r="AB392" s="127">
        <f>SUM(Table36[[#This Row],[ QI Bran Content]:[QI WG]])</f>
        <v>2</v>
      </c>
      <c r="AC392" s="127">
        <f>COUNT(Table36[[#This Row],[ QI Bran Content]:[QI WG]])</f>
        <v>2</v>
      </c>
    </row>
    <row r="393" spans="1:29" x14ac:dyDescent="0.35">
      <c r="A393" s="177">
        <v>45328</v>
      </c>
      <c r="B393" s="178">
        <v>45338</v>
      </c>
      <c r="C393" s="178" t="s">
        <v>125</v>
      </c>
      <c r="D393" s="179" t="s">
        <v>240</v>
      </c>
      <c r="E393" s="180" t="s">
        <v>1</v>
      </c>
      <c r="F393" s="181" t="s">
        <v>241</v>
      </c>
      <c r="G393" s="182" t="s">
        <v>163</v>
      </c>
      <c r="H393" s="175" t="s">
        <v>165</v>
      </c>
      <c r="I393" s="175" t="s">
        <v>165</v>
      </c>
      <c r="J393" s="175" t="s">
        <v>165</v>
      </c>
      <c r="K393" s="175">
        <v>11.68</v>
      </c>
      <c r="L393" s="175" t="s">
        <v>163</v>
      </c>
      <c r="M393" s="175" t="s">
        <v>163</v>
      </c>
      <c r="N393" s="175" t="s">
        <v>163</v>
      </c>
      <c r="O393" s="175" t="s">
        <v>163</v>
      </c>
      <c r="P393" s="175" t="s">
        <v>163</v>
      </c>
      <c r="Q393" s="175"/>
      <c r="R393" s="127" t="str">
        <f>IF(Table36[[#This Row],[ Bran Content]]="-","-",IF(G393&lt;0.02,1,0))</f>
        <v>-</v>
      </c>
      <c r="S393" s="127">
        <f>IF(Table36[[#This Row],[Sieve Test]]="-","-",IF(Table36[[#This Row],[Sieve Test]]="P",1,0))</f>
        <v>1</v>
      </c>
      <c r="T393" s="127">
        <f>IF(Table36[[#This Row],[Odor]]="-","-",IF(Table36[[#This Row],[Odor]]="P",1,0))</f>
        <v>1</v>
      </c>
      <c r="U393" s="127" t="str">
        <f>IF(INDEX(MCmin,MATCH(Table36[[#This Row],[Grist]],SMI,0))="-","-",IF(Table36[[#This Row],[F1 %MC]]="-","-",IF(Table36[[#This Row],[F1 %MC]]&lt;INDEX(MCmin,MATCH(Table36[[#This Row],[Grist]],SMI,0)),0,IF(Table36[[#This Row],[F1 %MC]]&gt;INDEX(MCmax,MATCH(Table36[[#This Row],[Grist]],SMI,0)),0,1))))</f>
        <v>-</v>
      </c>
      <c r="V393" s="127" t="str">
        <f>IF(INDEX(Protmin,MATCH(Table36[[#This Row],[Grist]],SMI,0))="-","-",IF(Table36[[#This Row],[%Protein]]="-","-",IF(Table36[[#This Row],[%Protein]]&lt;INDEX(Protmin,MATCH(Table36[[#This Row],[Grist]],SMI,0)),0,IF(Table36[[#This Row],[%Protein]]&gt;INDEX(Protmax,MATCH(Table36[[#This Row],[Grist]],SMI,0)),0,1))))</f>
        <v>-</v>
      </c>
      <c r="W393" s="127" t="str">
        <f>IF(INDEX(Ashmin,MATCH(Table36[[#This Row],[Grist]],SMI,0))="-","-",IF(Table36[[#This Row],[%Ash]]="-","-",IF(Table36[[#This Row],[%Ash]]&lt;INDEX(Ashmin,MATCH(Table36[[#This Row],[Grist]],SMI,0)),0,IF(Table36[[#This Row],[%Ash]]&gt;INDEX(Ashmax,MATCH(Table36[[#This Row],[Grist]],SMI,0)),0,1))))</f>
        <v>-</v>
      </c>
      <c r="X393" s="127" t="str">
        <f>IF(INDEX(Absmin,MATCH(Table36[[#This Row],[Grist]],SMI,0))="-","-",IF(Table36[[#This Row],[%Absorption]]="-","-",IF(Table36[[#This Row],[%Absorption]]&lt;INDEX(Absmin,MATCH(Table36[[#This Row],[Grist]],SMI,0)),0,IF(Table36[[#This Row],[%Absorption]]&gt;INDEX(Absmax,MATCH(Table36[[#This Row],[Grist]],SMI,0)),0,1))))</f>
        <v>-</v>
      </c>
      <c r="Y393" s="127" t="str">
        <f>IF(INDEX(Extmin,MATCH(Table36[[#This Row],[Grist]],SMI,0))="-","-",IF(Table36[[#This Row],[%Extensibility]]="-","-",IF(Table36[[#This Row],[%Extensibility]]&lt;INDEX(Extmin,MATCH(Table36[[#This Row],[Grist]],SMI,0)),0,IF(Table36[[#This Row],[%Extensibility]]&gt;INDEX(Extmax,MATCH(Table36[[#This Row],[Grist]],SMI,0)),0,1))))</f>
        <v>-</v>
      </c>
      <c r="Z393" s="127" t="str">
        <f>IF(INDEX(Resmin,MATCH(Table36[[#This Row],[Grist]],SMI,0))="-","-",IF(Table36[[#This Row],[Resistance, max]]="-","-",IF(Table36[[#This Row],[Resistance, max]]&lt;INDEX(Resmin,MATCH(Table36[[#This Row],[Grist]],SMI,0)),0,IF(Table36[[#This Row],[Resistance, max]]&gt;INDEX(Resmax,MATCH(Table36[[#This Row],[Grist]],SMI,0)),0,1))))</f>
        <v>-</v>
      </c>
      <c r="AA393" s="127" t="str">
        <f>IF(INDEX(WGmin,MATCH(Table36[[#This Row],[Grist]],SMI,0))="-","-",IF(Table36[[#This Row],[%Wet Gluten]]="-","-",IF(Table36[[#This Row],[%Wet Gluten]]&lt;INDEX(WGmin,MATCH(Table36[[#This Row],[Grist]],SMI,0)),0,IF(Table36[[#This Row],[%Wet Gluten]]&gt;INDEX(WGmax,MATCH(Table36[[#This Row],[Grist]],SMI,0)),0,1))))</f>
        <v>-</v>
      </c>
      <c r="AB393" s="127">
        <f>SUM(Table36[[#This Row],[ QI Bran Content]:[QI WG]])</f>
        <v>2</v>
      </c>
      <c r="AC393" s="127">
        <f>COUNT(Table36[[#This Row],[ QI Bran Content]:[QI WG]])</f>
        <v>2</v>
      </c>
    </row>
    <row r="394" spans="1:29" x14ac:dyDescent="0.35">
      <c r="A394" s="177">
        <v>45328</v>
      </c>
      <c r="B394" s="178">
        <v>45338</v>
      </c>
      <c r="C394" s="178" t="s">
        <v>125</v>
      </c>
      <c r="D394" s="179" t="s">
        <v>237</v>
      </c>
      <c r="E394" s="180" t="s">
        <v>1</v>
      </c>
      <c r="F394" s="181" t="s">
        <v>241</v>
      </c>
      <c r="G394" s="182" t="s">
        <v>163</v>
      </c>
      <c r="H394" s="175" t="s">
        <v>165</v>
      </c>
      <c r="I394" s="175" t="s">
        <v>165</v>
      </c>
      <c r="J394" s="175" t="s">
        <v>165</v>
      </c>
      <c r="K394" s="175">
        <v>11.81</v>
      </c>
      <c r="L394" s="175" t="s">
        <v>163</v>
      </c>
      <c r="M394" s="175" t="s">
        <v>163</v>
      </c>
      <c r="N394" s="175" t="s">
        <v>163</v>
      </c>
      <c r="O394" s="175" t="s">
        <v>163</v>
      </c>
      <c r="P394" s="175" t="s">
        <v>163</v>
      </c>
      <c r="Q394" s="175"/>
      <c r="R394" s="127" t="str">
        <f>IF(Table36[[#This Row],[ Bran Content]]="-","-",IF(G394&lt;0.02,1,0))</f>
        <v>-</v>
      </c>
      <c r="S394" s="127">
        <f>IF(Table36[[#This Row],[Sieve Test]]="-","-",IF(Table36[[#This Row],[Sieve Test]]="P",1,0))</f>
        <v>1</v>
      </c>
      <c r="T394" s="127">
        <f>IF(Table36[[#This Row],[Odor]]="-","-",IF(Table36[[#This Row],[Odor]]="P",1,0))</f>
        <v>1</v>
      </c>
      <c r="U394" s="127" t="str">
        <f>IF(INDEX(MCmin,MATCH(Table36[[#This Row],[Grist]],SMI,0))="-","-",IF(Table36[[#This Row],[F1 %MC]]="-","-",IF(Table36[[#This Row],[F1 %MC]]&lt;INDEX(MCmin,MATCH(Table36[[#This Row],[Grist]],SMI,0)),0,IF(Table36[[#This Row],[F1 %MC]]&gt;INDEX(MCmax,MATCH(Table36[[#This Row],[Grist]],SMI,0)),0,1))))</f>
        <v>-</v>
      </c>
      <c r="V394" s="127" t="str">
        <f>IF(INDEX(Protmin,MATCH(Table36[[#This Row],[Grist]],SMI,0))="-","-",IF(Table36[[#This Row],[%Protein]]="-","-",IF(Table36[[#This Row],[%Protein]]&lt;INDEX(Protmin,MATCH(Table36[[#This Row],[Grist]],SMI,0)),0,IF(Table36[[#This Row],[%Protein]]&gt;INDEX(Protmax,MATCH(Table36[[#This Row],[Grist]],SMI,0)),0,1))))</f>
        <v>-</v>
      </c>
      <c r="W394" s="127" t="str">
        <f>IF(INDEX(Ashmin,MATCH(Table36[[#This Row],[Grist]],SMI,0))="-","-",IF(Table36[[#This Row],[%Ash]]="-","-",IF(Table36[[#This Row],[%Ash]]&lt;INDEX(Ashmin,MATCH(Table36[[#This Row],[Grist]],SMI,0)),0,IF(Table36[[#This Row],[%Ash]]&gt;INDEX(Ashmax,MATCH(Table36[[#This Row],[Grist]],SMI,0)),0,1))))</f>
        <v>-</v>
      </c>
      <c r="X394" s="127" t="str">
        <f>IF(INDEX(Absmin,MATCH(Table36[[#This Row],[Grist]],SMI,0))="-","-",IF(Table36[[#This Row],[%Absorption]]="-","-",IF(Table36[[#This Row],[%Absorption]]&lt;INDEX(Absmin,MATCH(Table36[[#This Row],[Grist]],SMI,0)),0,IF(Table36[[#This Row],[%Absorption]]&gt;INDEX(Absmax,MATCH(Table36[[#This Row],[Grist]],SMI,0)),0,1))))</f>
        <v>-</v>
      </c>
      <c r="Y394" s="127" t="str">
        <f>IF(INDEX(Extmin,MATCH(Table36[[#This Row],[Grist]],SMI,0))="-","-",IF(Table36[[#This Row],[%Extensibility]]="-","-",IF(Table36[[#This Row],[%Extensibility]]&lt;INDEX(Extmin,MATCH(Table36[[#This Row],[Grist]],SMI,0)),0,IF(Table36[[#This Row],[%Extensibility]]&gt;INDEX(Extmax,MATCH(Table36[[#This Row],[Grist]],SMI,0)),0,1))))</f>
        <v>-</v>
      </c>
      <c r="Z394" s="127" t="str">
        <f>IF(INDEX(Resmin,MATCH(Table36[[#This Row],[Grist]],SMI,0))="-","-",IF(Table36[[#This Row],[Resistance, max]]="-","-",IF(Table36[[#This Row],[Resistance, max]]&lt;INDEX(Resmin,MATCH(Table36[[#This Row],[Grist]],SMI,0)),0,IF(Table36[[#This Row],[Resistance, max]]&gt;INDEX(Resmax,MATCH(Table36[[#This Row],[Grist]],SMI,0)),0,1))))</f>
        <v>-</v>
      </c>
      <c r="AA394" s="127" t="str">
        <f>IF(INDEX(WGmin,MATCH(Table36[[#This Row],[Grist]],SMI,0))="-","-",IF(Table36[[#This Row],[%Wet Gluten]]="-","-",IF(Table36[[#This Row],[%Wet Gluten]]&lt;INDEX(WGmin,MATCH(Table36[[#This Row],[Grist]],SMI,0)),0,IF(Table36[[#This Row],[%Wet Gluten]]&gt;INDEX(WGmax,MATCH(Table36[[#This Row],[Grist]],SMI,0)),0,1))))</f>
        <v>-</v>
      </c>
      <c r="AB394" s="127">
        <f>SUM(Table36[[#This Row],[ QI Bran Content]:[QI WG]])</f>
        <v>2</v>
      </c>
      <c r="AC394" s="127">
        <f>COUNT(Table36[[#This Row],[ QI Bran Content]:[QI WG]])</f>
        <v>2</v>
      </c>
    </row>
    <row r="395" spans="1:29" x14ac:dyDescent="0.35">
      <c r="A395" s="177">
        <v>45328</v>
      </c>
      <c r="B395" s="178">
        <v>45338</v>
      </c>
      <c r="C395" s="178" t="s">
        <v>130</v>
      </c>
      <c r="D395" s="179">
        <v>0.95833333333333337</v>
      </c>
      <c r="E395" s="180" t="s">
        <v>0</v>
      </c>
      <c r="F395" s="181" t="s">
        <v>27</v>
      </c>
      <c r="G395" s="182">
        <v>5.0500000000000003E-2</v>
      </c>
      <c r="H395" s="175" t="s">
        <v>167</v>
      </c>
      <c r="I395" s="175" t="s">
        <v>165</v>
      </c>
      <c r="J395" s="175" t="s">
        <v>165</v>
      </c>
      <c r="K395" s="175">
        <v>12.9</v>
      </c>
      <c r="L395" s="175" t="s">
        <v>163</v>
      </c>
      <c r="M395" s="175" t="s">
        <v>163</v>
      </c>
      <c r="N395" s="175" t="s">
        <v>163</v>
      </c>
      <c r="O395" s="175" t="s">
        <v>163</v>
      </c>
      <c r="P395" s="175" t="s">
        <v>163</v>
      </c>
      <c r="Q395" s="175"/>
      <c r="R395" s="127">
        <f>IF(Table36[[#This Row],[ Bran Content]]="-","-",IF(G395&lt;0.02,1,0))</f>
        <v>0</v>
      </c>
      <c r="S395" s="127">
        <f>IF(Table36[[#This Row],[Sieve Test]]="-","-",IF(Table36[[#This Row],[Sieve Test]]="P",1,0))</f>
        <v>0</v>
      </c>
      <c r="T395" s="127">
        <f>IF(Table36[[#This Row],[Odor]]="-","-",IF(Table36[[#This Row],[Odor]]="P",1,0))</f>
        <v>1</v>
      </c>
      <c r="U395" s="127">
        <f>IF(INDEX(MCmin,MATCH(Table36[[#This Row],[Grist]],SMI,0))="-","-",IF(Table36[[#This Row],[F1 %MC]]="-","-",IF(Table36[[#This Row],[F1 %MC]]&lt;INDEX(MCmin,MATCH(Table36[[#This Row],[Grist]],SMI,0)),0,IF(Table36[[#This Row],[F1 %MC]]&gt;INDEX(MCmax,MATCH(Table36[[#This Row],[Grist]],SMI,0)),0,1))))</f>
        <v>1</v>
      </c>
      <c r="V395" s="127" t="str">
        <f>IF(INDEX(Protmin,MATCH(Table36[[#This Row],[Grist]],SMI,0))="-","-",IF(Table36[[#This Row],[%Protein]]="-","-",IF(Table36[[#This Row],[%Protein]]&lt;INDEX(Protmin,MATCH(Table36[[#This Row],[Grist]],SMI,0)),0,IF(Table36[[#This Row],[%Protein]]&gt;INDEX(Protmax,MATCH(Table36[[#This Row],[Grist]],SMI,0)),0,1))))</f>
        <v>-</v>
      </c>
      <c r="W395" s="127" t="str">
        <f>IF(INDEX(Ashmin,MATCH(Table36[[#This Row],[Grist]],SMI,0))="-","-",IF(Table36[[#This Row],[%Ash]]="-","-",IF(Table36[[#This Row],[%Ash]]&lt;INDEX(Ashmin,MATCH(Table36[[#This Row],[Grist]],SMI,0)),0,IF(Table36[[#This Row],[%Ash]]&gt;INDEX(Ashmax,MATCH(Table36[[#This Row],[Grist]],SMI,0)),0,1))))</f>
        <v>-</v>
      </c>
      <c r="X395" s="127" t="str">
        <f>IF(INDEX(Absmin,MATCH(Table36[[#This Row],[Grist]],SMI,0))="-","-",IF(Table36[[#This Row],[%Absorption]]="-","-",IF(Table36[[#This Row],[%Absorption]]&lt;INDEX(Absmin,MATCH(Table36[[#This Row],[Grist]],SMI,0)),0,IF(Table36[[#This Row],[%Absorption]]&gt;INDEX(Absmax,MATCH(Table36[[#This Row],[Grist]],SMI,0)),0,1))))</f>
        <v>-</v>
      </c>
      <c r="Y395" s="127" t="str">
        <f>IF(INDEX(Extmin,MATCH(Table36[[#This Row],[Grist]],SMI,0))="-","-",IF(Table36[[#This Row],[%Extensibility]]="-","-",IF(Table36[[#This Row],[%Extensibility]]&lt;INDEX(Extmin,MATCH(Table36[[#This Row],[Grist]],SMI,0)),0,IF(Table36[[#This Row],[%Extensibility]]&gt;INDEX(Extmax,MATCH(Table36[[#This Row],[Grist]],SMI,0)),0,1))))</f>
        <v>-</v>
      </c>
      <c r="Z395" s="127" t="str">
        <f>IF(INDEX(Resmin,MATCH(Table36[[#This Row],[Grist]],SMI,0))="-","-",IF(Table36[[#This Row],[Resistance, max]]="-","-",IF(Table36[[#This Row],[Resistance, max]]&lt;INDEX(Resmin,MATCH(Table36[[#This Row],[Grist]],SMI,0)),0,IF(Table36[[#This Row],[Resistance, max]]&gt;INDEX(Resmax,MATCH(Table36[[#This Row],[Grist]],SMI,0)),0,1))))</f>
        <v>-</v>
      </c>
      <c r="AA395" s="127">
        <f>IF(INDEX(WGmin,MATCH(Table36[[#This Row],[Grist]],SMI,0))="-","-",IF(Table36[[#This Row],[%Wet Gluten]]="-","-",IF(Table36[[#This Row],[%Wet Gluten]]&lt;INDEX(WGmin,MATCH(Table36[[#This Row],[Grist]],SMI,0)),0,IF(Table36[[#This Row],[%Wet Gluten]]&gt;INDEX(WGmax,MATCH(Table36[[#This Row],[Grist]],SMI,0)),0,1))))</f>
        <v>0</v>
      </c>
      <c r="AB395" s="127">
        <f>SUM(Table36[[#This Row],[ QI Bran Content]:[QI WG]])</f>
        <v>2</v>
      </c>
      <c r="AC395" s="127">
        <f>COUNT(Table36[[#This Row],[ QI Bran Content]:[QI WG]])</f>
        <v>5</v>
      </c>
    </row>
    <row r="396" spans="1:29" x14ac:dyDescent="0.35">
      <c r="A396" s="177">
        <v>45328</v>
      </c>
      <c r="B396" s="178">
        <v>45339</v>
      </c>
      <c r="C396" s="178" t="s">
        <v>125</v>
      </c>
      <c r="D396" s="179" t="s">
        <v>239</v>
      </c>
      <c r="E396" s="180" t="s">
        <v>0</v>
      </c>
      <c r="F396" s="181" t="s">
        <v>27</v>
      </c>
      <c r="G396" s="182">
        <v>7.3000000000000001E-3</v>
      </c>
      <c r="H396" s="175" t="s">
        <v>165</v>
      </c>
      <c r="I396" s="175" t="s">
        <v>165</v>
      </c>
      <c r="J396" s="175" t="s">
        <v>165</v>
      </c>
      <c r="K396" s="175">
        <v>12.85</v>
      </c>
      <c r="L396" s="175">
        <v>13.04</v>
      </c>
      <c r="M396" s="175">
        <v>0.47</v>
      </c>
      <c r="N396" s="175">
        <v>65.5</v>
      </c>
      <c r="O396" s="175" t="s">
        <v>163</v>
      </c>
      <c r="P396" s="175" t="s">
        <v>163</v>
      </c>
      <c r="Q396" s="175"/>
      <c r="R396" s="127">
        <f>IF(Table36[[#This Row],[ Bran Content]]="-","-",IF(G396&lt;0.02,1,0))</f>
        <v>1</v>
      </c>
      <c r="S396" s="127">
        <f>IF(Table36[[#This Row],[Sieve Test]]="-","-",IF(Table36[[#This Row],[Sieve Test]]="P",1,0))</f>
        <v>1</v>
      </c>
      <c r="T396" s="127">
        <f>IF(Table36[[#This Row],[Odor]]="-","-",IF(Table36[[#This Row],[Odor]]="P",1,0))</f>
        <v>1</v>
      </c>
      <c r="U396" s="127">
        <f>IF(INDEX(MCmin,MATCH(Table36[[#This Row],[Grist]],SMI,0))="-","-",IF(Table36[[#This Row],[F1 %MC]]="-","-",IF(Table36[[#This Row],[F1 %MC]]&lt;INDEX(MCmin,MATCH(Table36[[#This Row],[Grist]],SMI,0)),0,IF(Table36[[#This Row],[F1 %MC]]&gt;INDEX(MCmax,MATCH(Table36[[#This Row],[Grist]],SMI,0)),0,1))))</f>
        <v>1</v>
      </c>
      <c r="V396" s="127">
        <f>IF(INDEX(Protmin,MATCH(Table36[[#This Row],[Grist]],SMI,0))="-","-",IF(Table36[[#This Row],[%Protein]]="-","-",IF(Table36[[#This Row],[%Protein]]&lt;INDEX(Protmin,MATCH(Table36[[#This Row],[Grist]],SMI,0)),0,IF(Table36[[#This Row],[%Protein]]&gt;INDEX(Protmax,MATCH(Table36[[#This Row],[Grist]],SMI,0)),0,1))))</f>
        <v>1</v>
      </c>
      <c r="W396" s="127">
        <f>IF(INDEX(Ashmin,MATCH(Table36[[#This Row],[Grist]],SMI,0))="-","-",IF(Table36[[#This Row],[%Ash]]="-","-",IF(Table36[[#This Row],[%Ash]]&lt;INDEX(Ashmin,MATCH(Table36[[#This Row],[Grist]],SMI,0)),0,IF(Table36[[#This Row],[%Ash]]&gt;INDEX(Ashmax,MATCH(Table36[[#This Row],[Grist]],SMI,0)),0,1))))</f>
        <v>1</v>
      </c>
      <c r="X396" s="127">
        <f>IF(INDEX(Absmin,MATCH(Table36[[#This Row],[Grist]],SMI,0))="-","-",IF(Table36[[#This Row],[%Absorption]]="-","-",IF(Table36[[#This Row],[%Absorption]]&lt;INDEX(Absmin,MATCH(Table36[[#This Row],[Grist]],SMI,0)),0,IF(Table36[[#This Row],[%Absorption]]&gt;INDEX(Absmax,MATCH(Table36[[#This Row],[Grist]],SMI,0)),0,1))))</f>
        <v>1</v>
      </c>
      <c r="Y396" s="127" t="str">
        <f>IF(INDEX(Extmin,MATCH(Table36[[#This Row],[Grist]],SMI,0))="-","-",IF(Table36[[#This Row],[%Extensibility]]="-","-",IF(Table36[[#This Row],[%Extensibility]]&lt;INDEX(Extmin,MATCH(Table36[[#This Row],[Grist]],SMI,0)),0,IF(Table36[[#This Row],[%Extensibility]]&gt;INDEX(Extmax,MATCH(Table36[[#This Row],[Grist]],SMI,0)),0,1))))</f>
        <v>-</v>
      </c>
      <c r="Z396" s="127" t="str">
        <f>IF(INDEX(Resmin,MATCH(Table36[[#This Row],[Grist]],SMI,0))="-","-",IF(Table36[[#This Row],[Resistance, max]]="-","-",IF(Table36[[#This Row],[Resistance, max]]&lt;INDEX(Resmin,MATCH(Table36[[#This Row],[Grist]],SMI,0)),0,IF(Table36[[#This Row],[Resistance, max]]&gt;INDEX(Resmax,MATCH(Table36[[#This Row],[Grist]],SMI,0)),0,1))))</f>
        <v>-</v>
      </c>
      <c r="AA396" s="127">
        <f>IF(INDEX(WGmin,MATCH(Table36[[#This Row],[Grist]],SMI,0))="-","-",IF(Table36[[#This Row],[%Wet Gluten]]="-","-",IF(Table36[[#This Row],[%Wet Gluten]]&lt;INDEX(WGmin,MATCH(Table36[[#This Row],[Grist]],SMI,0)),0,IF(Table36[[#This Row],[%Wet Gluten]]&gt;INDEX(WGmax,MATCH(Table36[[#This Row],[Grist]],SMI,0)),0,1))))</f>
        <v>0</v>
      </c>
      <c r="AB396" s="127">
        <f>SUM(Table36[[#This Row],[ QI Bran Content]:[QI WG]])</f>
        <v>7</v>
      </c>
      <c r="AC396" s="127">
        <f>COUNT(Table36[[#This Row],[ QI Bran Content]:[QI WG]])</f>
        <v>8</v>
      </c>
    </row>
    <row r="397" spans="1:29" x14ac:dyDescent="0.35">
      <c r="A397" s="177">
        <v>45328</v>
      </c>
      <c r="B397" s="178">
        <v>45339</v>
      </c>
      <c r="C397" s="178" t="s">
        <v>125</v>
      </c>
      <c r="D397" s="179" t="s">
        <v>240</v>
      </c>
      <c r="E397" s="180" t="s">
        <v>0</v>
      </c>
      <c r="F397" s="181" t="s">
        <v>27</v>
      </c>
      <c r="G397" s="182">
        <v>3.2000000000000002E-3</v>
      </c>
      <c r="H397" s="175" t="s">
        <v>165</v>
      </c>
      <c r="I397" s="175" t="s">
        <v>165</v>
      </c>
      <c r="J397" s="175" t="s">
        <v>165</v>
      </c>
      <c r="K397" s="175">
        <v>12.41</v>
      </c>
      <c r="L397" s="175">
        <v>13.04</v>
      </c>
      <c r="M397" s="175">
        <v>0.47</v>
      </c>
      <c r="N397" s="175">
        <v>65.5</v>
      </c>
      <c r="O397" s="175" t="s">
        <v>163</v>
      </c>
      <c r="P397" s="175" t="s">
        <v>163</v>
      </c>
      <c r="Q397" s="175"/>
      <c r="R397" s="127">
        <f>IF(Table36[[#This Row],[ Bran Content]]="-","-",IF(G397&lt;0.02,1,0))</f>
        <v>1</v>
      </c>
      <c r="S397" s="127">
        <f>IF(Table36[[#This Row],[Sieve Test]]="-","-",IF(Table36[[#This Row],[Sieve Test]]="P",1,0))</f>
        <v>1</v>
      </c>
      <c r="T397" s="127">
        <f>IF(Table36[[#This Row],[Odor]]="-","-",IF(Table36[[#This Row],[Odor]]="P",1,0))</f>
        <v>1</v>
      </c>
      <c r="U397" s="127">
        <f>IF(INDEX(MCmin,MATCH(Table36[[#This Row],[Grist]],SMI,0))="-","-",IF(Table36[[#This Row],[F1 %MC]]="-","-",IF(Table36[[#This Row],[F1 %MC]]&lt;INDEX(MCmin,MATCH(Table36[[#This Row],[Grist]],SMI,0)),0,IF(Table36[[#This Row],[F1 %MC]]&gt;INDEX(MCmax,MATCH(Table36[[#This Row],[Grist]],SMI,0)),0,1))))</f>
        <v>1</v>
      </c>
      <c r="V397" s="127">
        <f>IF(INDEX(Protmin,MATCH(Table36[[#This Row],[Grist]],SMI,0))="-","-",IF(Table36[[#This Row],[%Protein]]="-","-",IF(Table36[[#This Row],[%Protein]]&lt;INDEX(Protmin,MATCH(Table36[[#This Row],[Grist]],SMI,0)),0,IF(Table36[[#This Row],[%Protein]]&gt;INDEX(Protmax,MATCH(Table36[[#This Row],[Grist]],SMI,0)),0,1))))</f>
        <v>1</v>
      </c>
      <c r="W397" s="127">
        <f>IF(INDEX(Ashmin,MATCH(Table36[[#This Row],[Grist]],SMI,0))="-","-",IF(Table36[[#This Row],[%Ash]]="-","-",IF(Table36[[#This Row],[%Ash]]&lt;INDEX(Ashmin,MATCH(Table36[[#This Row],[Grist]],SMI,0)),0,IF(Table36[[#This Row],[%Ash]]&gt;INDEX(Ashmax,MATCH(Table36[[#This Row],[Grist]],SMI,0)),0,1))))</f>
        <v>1</v>
      </c>
      <c r="X397" s="127">
        <f>IF(INDEX(Absmin,MATCH(Table36[[#This Row],[Grist]],SMI,0))="-","-",IF(Table36[[#This Row],[%Absorption]]="-","-",IF(Table36[[#This Row],[%Absorption]]&lt;INDEX(Absmin,MATCH(Table36[[#This Row],[Grist]],SMI,0)),0,IF(Table36[[#This Row],[%Absorption]]&gt;INDEX(Absmax,MATCH(Table36[[#This Row],[Grist]],SMI,0)),0,1))))</f>
        <v>1</v>
      </c>
      <c r="Y397" s="127" t="str">
        <f>IF(INDEX(Extmin,MATCH(Table36[[#This Row],[Grist]],SMI,0))="-","-",IF(Table36[[#This Row],[%Extensibility]]="-","-",IF(Table36[[#This Row],[%Extensibility]]&lt;INDEX(Extmin,MATCH(Table36[[#This Row],[Grist]],SMI,0)),0,IF(Table36[[#This Row],[%Extensibility]]&gt;INDEX(Extmax,MATCH(Table36[[#This Row],[Grist]],SMI,0)),0,1))))</f>
        <v>-</v>
      </c>
      <c r="Z397" s="127" t="str">
        <f>IF(INDEX(Resmin,MATCH(Table36[[#This Row],[Grist]],SMI,0))="-","-",IF(Table36[[#This Row],[Resistance, max]]="-","-",IF(Table36[[#This Row],[Resistance, max]]&lt;INDEX(Resmin,MATCH(Table36[[#This Row],[Grist]],SMI,0)),0,IF(Table36[[#This Row],[Resistance, max]]&gt;INDEX(Resmax,MATCH(Table36[[#This Row],[Grist]],SMI,0)),0,1))))</f>
        <v>-</v>
      </c>
      <c r="AA397" s="127">
        <f>IF(INDEX(WGmin,MATCH(Table36[[#This Row],[Grist]],SMI,0))="-","-",IF(Table36[[#This Row],[%Wet Gluten]]="-","-",IF(Table36[[#This Row],[%Wet Gluten]]&lt;INDEX(WGmin,MATCH(Table36[[#This Row],[Grist]],SMI,0)),0,IF(Table36[[#This Row],[%Wet Gluten]]&gt;INDEX(WGmax,MATCH(Table36[[#This Row],[Grist]],SMI,0)),0,1))))</f>
        <v>0</v>
      </c>
      <c r="AB397" s="127">
        <f>SUM(Table36[[#This Row],[ QI Bran Content]:[QI WG]])</f>
        <v>7</v>
      </c>
      <c r="AC397" s="127">
        <f>COUNT(Table36[[#This Row],[ QI Bran Content]:[QI WG]])</f>
        <v>8</v>
      </c>
    </row>
    <row r="398" spans="1:29" x14ac:dyDescent="0.35">
      <c r="A398" s="177">
        <v>45328</v>
      </c>
      <c r="B398" s="178">
        <v>45339</v>
      </c>
      <c r="C398" s="178" t="s">
        <v>125</v>
      </c>
      <c r="D398" s="179" t="s">
        <v>237</v>
      </c>
      <c r="E398" s="180" t="s">
        <v>0</v>
      </c>
      <c r="F398" s="181" t="s">
        <v>27</v>
      </c>
      <c r="G398" s="182">
        <v>1.8499999999999999E-2</v>
      </c>
      <c r="H398" s="175" t="s">
        <v>165</v>
      </c>
      <c r="I398" s="175" t="s">
        <v>165</v>
      </c>
      <c r="J398" s="175" t="s">
        <v>165</v>
      </c>
      <c r="K398" s="175">
        <v>12.66</v>
      </c>
      <c r="L398" s="175">
        <v>13.04</v>
      </c>
      <c r="M398" s="175">
        <v>0.47</v>
      </c>
      <c r="N398" s="175">
        <v>65.5</v>
      </c>
      <c r="O398" s="175" t="s">
        <v>163</v>
      </c>
      <c r="P398" s="175" t="s">
        <v>163</v>
      </c>
      <c r="Q398" s="175"/>
      <c r="R398" s="127">
        <f>IF(Table36[[#This Row],[ Bran Content]]="-","-",IF(G398&lt;0.02,1,0))</f>
        <v>1</v>
      </c>
      <c r="S398" s="127">
        <f>IF(Table36[[#This Row],[Sieve Test]]="-","-",IF(Table36[[#This Row],[Sieve Test]]="P",1,0))</f>
        <v>1</v>
      </c>
      <c r="T398" s="127">
        <f>IF(Table36[[#This Row],[Odor]]="-","-",IF(Table36[[#This Row],[Odor]]="P",1,0))</f>
        <v>1</v>
      </c>
      <c r="U398" s="127">
        <f>IF(INDEX(MCmin,MATCH(Table36[[#This Row],[Grist]],SMI,0))="-","-",IF(Table36[[#This Row],[F1 %MC]]="-","-",IF(Table36[[#This Row],[F1 %MC]]&lt;INDEX(MCmin,MATCH(Table36[[#This Row],[Grist]],SMI,0)),0,IF(Table36[[#This Row],[F1 %MC]]&gt;INDEX(MCmax,MATCH(Table36[[#This Row],[Grist]],SMI,0)),0,1))))</f>
        <v>1</v>
      </c>
      <c r="V398" s="127">
        <f>IF(INDEX(Protmin,MATCH(Table36[[#This Row],[Grist]],SMI,0))="-","-",IF(Table36[[#This Row],[%Protein]]="-","-",IF(Table36[[#This Row],[%Protein]]&lt;INDEX(Protmin,MATCH(Table36[[#This Row],[Grist]],SMI,0)),0,IF(Table36[[#This Row],[%Protein]]&gt;INDEX(Protmax,MATCH(Table36[[#This Row],[Grist]],SMI,0)),0,1))))</f>
        <v>1</v>
      </c>
      <c r="W398" s="127">
        <f>IF(INDEX(Ashmin,MATCH(Table36[[#This Row],[Grist]],SMI,0))="-","-",IF(Table36[[#This Row],[%Ash]]="-","-",IF(Table36[[#This Row],[%Ash]]&lt;INDEX(Ashmin,MATCH(Table36[[#This Row],[Grist]],SMI,0)),0,IF(Table36[[#This Row],[%Ash]]&gt;INDEX(Ashmax,MATCH(Table36[[#This Row],[Grist]],SMI,0)),0,1))))</f>
        <v>1</v>
      </c>
      <c r="X398" s="127">
        <f>IF(INDEX(Absmin,MATCH(Table36[[#This Row],[Grist]],SMI,0))="-","-",IF(Table36[[#This Row],[%Absorption]]="-","-",IF(Table36[[#This Row],[%Absorption]]&lt;INDEX(Absmin,MATCH(Table36[[#This Row],[Grist]],SMI,0)),0,IF(Table36[[#This Row],[%Absorption]]&gt;INDEX(Absmax,MATCH(Table36[[#This Row],[Grist]],SMI,0)),0,1))))</f>
        <v>1</v>
      </c>
      <c r="Y398" s="127" t="str">
        <f>IF(INDEX(Extmin,MATCH(Table36[[#This Row],[Grist]],SMI,0))="-","-",IF(Table36[[#This Row],[%Extensibility]]="-","-",IF(Table36[[#This Row],[%Extensibility]]&lt;INDEX(Extmin,MATCH(Table36[[#This Row],[Grist]],SMI,0)),0,IF(Table36[[#This Row],[%Extensibility]]&gt;INDEX(Extmax,MATCH(Table36[[#This Row],[Grist]],SMI,0)),0,1))))</f>
        <v>-</v>
      </c>
      <c r="Z398" s="127" t="str">
        <f>IF(INDEX(Resmin,MATCH(Table36[[#This Row],[Grist]],SMI,0))="-","-",IF(Table36[[#This Row],[Resistance, max]]="-","-",IF(Table36[[#This Row],[Resistance, max]]&lt;INDEX(Resmin,MATCH(Table36[[#This Row],[Grist]],SMI,0)),0,IF(Table36[[#This Row],[Resistance, max]]&gt;INDEX(Resmax,MATCH(Table36[[#This Row],[Grist]],SMI,0)),0,1))))</f>
        <v>-</v>
      </c>
      <c r="AA398" s="127">
        <f>IF(INDEX(WGmin,MATCH(Table36[[#This Row],[Grist]],SMI,0))="-","-",IF(Table36[[#This Row],[%Wet Gluten]]="-","-",IF(Table36[[#This Row],[%Wet Gluten]]&lt;INDEX(WGmin,MATCH(Table36[[#This Row],[Grist]],SMI,0)),0,IF(Table36[[#This Row],[%Wet Gluten]]&gt;INDEX(WGmax,MATCH(Table36[[#This Row],[Grist]],SMI,0)),0,1))))</f>
        <v>0</v>
      </c>
      <c r="AB398" s="127">
        <f>SUM(Table36[[#This Row],[ QI Bran Content]:[QI WG]])</f>
        <v>7</v>
      </c>
      <c r="AC398" s="127">
        <f>COUNT(Table36[[#This Row],[ QI Bran Content]:[QI WG]])</f>
        <v>8</v>
      </c>
    </row>
    <row r="399" spans="1:29" x14ac:dyDescent="0.35">
      <c r="A399" s="177">
        <v>45328</v>
      </c>
      <c r="B399" s="178">
        <v>45339</v>
      </c>
      <c r="C399" s="178" t="s">
        <v>128</v>
      </c>
      <c r="D399" s="179">
        <v>0.625</v>
      </c>
      <c r="E399" s="180" t="s">
        <v>0</v>
      </c>
      <c r="F399" s="181" t="s">
        <v>27</v>
      </c>
      <c r="G399" s="182">
        <v>6.1000000000000004E-3</v>
      </c>
      <c r="H399" s="175" t="s">
        <v>165</v>
      </c>
      <c r="I399" s="175" t="s">
        <v>165</v>
      </c>
      <c r="J399" s="175" t="s">
        <v>165</v>
      </c>
      <c r="K399" s="175">
        <v>12.89</v>
      </c>
      <c r="L399" s="175" t="s">
        <v>163</v>
      </c>
      <c r="M399" s="175" t="s">
        <v>163</v>
      </c>
      <c r="N399" s="175" t="s">
        <v>163</v>
      </c>
      <c r="O399" s="175" t="s">
        <v>163</v>
      </c>
      <c r="P399" s="175" t="s">
        <v>163</v>
      </c>
      <c r="Q399" s="175"/>
      <c r="R399" s="127">
        <f>IF(Table36[[#This Row],[ Bran Content]]="-","-",IF(G399&lt;0.02,1,0))</f>
        <v>1</v>
      </c>
      <c r="S399" s="127">
        <f>IF(Table36[[#This Row],[Sieve Test]]="-","-",IF(Table36[[#This Row],[Sieve Test]]="P",1,0))</f>
        <v>1</v>
      </c>
      <c r="T399" s="127">
        <f>IF(Table36[[#This Row],[Odor]]="-","-",IF(Table36[[#This Row],[Odor]]="P",1,0))</f>
        <v>1</v>
      </c>
      <c r="U399" s="127">
        <f>IF(INDEX(MCmin,MATCH(Table36[[#This Row],[Grist]],SMI,0))="-","-",IF(Table36[[#This Row],[F1 %MC]]="-","-",IF(Table36[[#This Row],[F1 %MC]]&lt;INDEX(MCmin,MATCH(Table36[[#This Row],[Grist]],SMI,0)),0,IF(Table36[[#This Row],[F1 %MC]]&gt;INDEX(MCmax,MATCH(Table36[[#This Row],[Grist]],SMI,0)),0,1))))</f>
        <v>1</v>
      </c>
      <c r="V399" s="127" t="str">
        <f>IF(INDEX(Protmin,MATCH(Table36[[#This Row],[Grist]],SMI,0))="-","-",IF(Table36[[#This Row],[%Protein]]="-","-",IF(Table36[[#This Row],[%Protein]]&lt;INDEX(Protmin,MATCH(Table36[[#This Row],[Grist]],SMI,0)),0,IF(Table36[[#This Row],[%Protein]]&gt;INDEX(Protmax,MATCH(Table36[[#This Row],[Grist]],SMI,0)),0,1))))</f>
        <v>-</v>
      </c>
      <c r="W399" s="127" t="str">
        <f>IF(INDEX(Ashmin,MATCH(Table36[[#This Row],[Grist]],SMI,0))="-","-",IF(Table36[[#This Row],[%Ash]]="-","-",IF(Table36[[#This Row],[%Ash]]&lt;INDEX(Ashmin,MATCH(Table36[[#This Row],[Grist]],SMI,0)),0,IF(Table36[[#This Row],[%Ash]]&gt;INDEX(Ashmax,MATCH(Table36[[#This Row],[Grist]],SMI,0)),0,1))))</f>
        <v>-</v>
      </c>
      <c r="X399" s="127" t="str">
        <f>IF(INDEX(Absmin,MATCH(Table36[[#This Row],[Grist]],SMI,0))="-","-",IF(Table36[[#This Row],[%Absorption]]="-","-",IF(Table36[[#This Row],[%Absorption]]&lt;INDEX(Absmin,MATCH(Table36[[#This Row],[Grist]],SMI,0)),0,IF(Table36[[#This Row],[%Absorption]]&gt;INDEX(Absmax,MATCH(Table36[[#This Row],[Grist]],SMI,0)),0,1))))</f>
        <v>-</v>
      </c>
      <c r="Y399" s="127" t="str">
        <f>IF(INDEX(Extmin,MATCH(Table36[[#This Row],[Grist]],SMI,0))="-","-",IF(Table36[[#This Row],[%Extensibility]]="-","-",IF(Table36[[#This Row],[%Extensibility]]&lt;INDEX(Extmin,MATCH(Table36[[#This Row],[Grist]],SMI,0)),0,IF(Table36[[#This Row],[%Extensibility]]&gt;INDEX(Extmax,MATCH(Table36[[#This Row],[Grist]],SMI,0)),0,1))))</f>
        <v>-</v>
      </c>
      <c r="Z399" s="127" t="str">
        <f>IF(INDEX(Resmin,MATCH(Table36[[#This Row],[Grist]],SMI,0))="-","-",IF(Table36[[#This Row],[Resistance, max]]="-","-",IF(Table36[[#This Row],[Resistance, max]]&lt;INDEX(Resmin,MATCH(Table36[[#This Row],[Grist]],SMI,0)),0,IF(Table36[[#This Row],[Resistance, max]]&gt;INDEX(Resmax,MATCH(Table36[[#This Row],[Grist]],SMI,0)),0,1))))</f>
        <v>-</v>
      </c>
      <c r="AA399" s="127">
        <f>IF(INDEX(WGmin,MATCH(Table36[[#This Row],[Grist]],SMI,0))="-","-",IF(Table36[[#This Row],[%Wet Gluten]]="-","-",IF(Table36[[#This Row],[%Wet Gluten]]&lt;INDEX(WGmin,MATCH(Table36[[#This Row],[Grist]],SMI,0)),0,IF(Table36[[#This Row],[%Wet Gluten]]&gt;INDEX(WGmax,MATCH(Table36[[#This Row],[Grist]],SMI,0)),0,1))))</f>
        <v>0</v>
      </c>
      <c r="AB399" s="127">
        <f>SUM(Table36[[#This Row],[ QI Bran Content]:[QI WG]])</f>
        <v>4</v>
      </c>
      <c r="AC399" s="127">
        <f>COUNT(Table36[[#This Row],[ QI Bran Content]:[QI WG]])</f>
        <v>5</v>
      </c>
    </row>
    <row r="400" spans="1:29" x14ac:dyDescent="0.35">
      <c r="A400" s="177">
        <v>45328</v>
      </c>
      <c r="B400" s="178">
        <v>45339</v>
      </c>
      <c r="C400" s="178" t="s">
        <v>128</v>
      </c>
      <c r="D400" s="179">
        <v>0.70833333333333304</v>
      </c>
      <c r="E400" s="180" t="s">
        <v>0</v>
      </c>
      <c r="F400" s="181" t="s">
        <v>27</v>
      </c>
      <c r="G400" s="182">
        <v>9.7000000000000003E-3</v>
      </c>
      <c r="H400" s="175" t="s">
        <v>165</v>
      </c>
      <c r="I400" s="175" t="s">
        <v>165</v>
      </c>
      <c r="J400" s="175" t="s">
        <v>165</v>
      </c>
      <c r="K400" s="175">
        <v>11.8</v>
      </c>
      <c r="L400" s="175" t="s">
        <v>163</v>
      </c>
      <c r="M400" s="175" t="s">
        <v>163</v>
      </c>
      <c r="N400" s="175" t="s">
        <v>163</v>
      </c>
      <c r="O400" s="175" t="s">
        <v>163</v>
      </c>
      <c r="P400" s="175" t="s">
        <v>163</v>
      </c>
      <c r="Q400" s="175"/>
      <c r="R400" s="127">
        <f>IF(Table36[[#This Row],[ Bran Content]]="-","-",IF(G400&lt;0.02,1,0))</f>
        <v>1</v>
      </c>
      <c r="S400" s="127">
        <f>IF(Table36[[#This Row],[Sieve Test]]="-","-",IF(Table36[[#This Row],[Sieve Test]]="P",1,0))</f>
        <v>1</v>
      </c>
      <c r="T400" s="127">
        <f>IF(Table36[[#This Row],[Odor]]="-","-",IF(Table36[[#This Row],[Odor]]="P",1,0))</f>
        <v>1</v>
      </c>
      <c r="U400" s="127">
        <f>IF(INDEX(MCmin,MATCH(Table36[[#This Row],[Grist]],SMI,0))="-","-",IF(Table36[[#This Row],[F1 %MC]]="-","-",IF(Table36[[#This Row],[F1 %MC]]&lt;INDEX(MCmin,MATCH(Table36[[#This Row],[Grist]],SMI,0)),0,IF(Table36[[#This Row],[F1 %MC]]&gt;INDEX(MCmax,MATCH(Table36[[#This Row],[Grist]],SMI,0)),0,1))))</f>
        <v>0</v>
      </c>
      <c r="V400" s="127" t="str">
        <f>IF(INDEX(Protmin,MATCH(Table36[[#This Row],[Grist]],SMI,0))="-","-",IF(Table36[[#This Row],[%Protein]]="-","-",IF(Table36[[#This Row],[%Protein]]&lt;INDEX(Protmin,MATCH(Table36[[#This Row],[Grist]],SMI,0)),0,IF(Table36[[#This Row],[%Protein]]&gt;INDEX(Protmax,MATCH(Table36[[#This Row],[Grist]],SMI,0)),0,1))))</f>
        <v>-</v>
      </c>
      <c r="W400" s="127" t="str">
        <f>IF(INDEX(Ashmin,MATCH(Table36[[#This Row],[Grist]],SMI,0))="-","-",IF(Table36[[#This Row],[%Ash]]="-","-",IF(Table36[[#This Row],[%Ash]]&lt;INDEX(Ashmin,MATCH(Table36[[#This Row],[Grist]],SMI,0)),0,IF(Table36[[#This Row],[%Ash]]&gt;INDEX(Ashmax,MATCH(Table36[[#This Row],[Grist]],SMI,0)),0,1))))</f>
        <v>-</v>
      </c>
      <c r="X400" s="127" t="str">
        <f>IF(INDEX(Absmin,MATCH(Table36[[#This Row],[Grist]],SMI,0))="-","-",IF(Table36[[#This Row],[%Absorption]]="-","-",IF(Table36[[#This Row],[%Absorption]]&lt;INDEX(Absmin,MATCH(Table36[[#This Row],[Grist]],SMI,0)),0,IF(Table36[[#This Row],[%Absorption]]&gt;INDEX(Absmax,MATCH(Table36[[#This Row],[Grist]],SMI,0)),0,1))))</f>
        <v>-</v>
      </c>
      <c r="Y400" s="127" t="str">
        <f>IF(INDEX(Extmin,MATCH(Table36[[#This Row],[Grist]],SMI,0))="-","-",IF(Table36[[#This Row],[%Extensibility]]="-","-",IF(Table36[[#This Row],[%Extensibility]]&lt;INDEX(Extmin,MATCH(Table36[[#This Row],[Grist]],SMI,0)),0,IF(Table36[[#This Row],[%Extensibility]]&gt;INDEX(Extmax,MATCH(Table36[[#This Row],[Grist]],SMI,0)),0,1))))</f>
        <v>-</v>
      </c>
      <c r="Z400" s="127" t="str">
        <f>IF(INDEX(Resmin,MATCH(Table36[[#This Row],[Grist]],SMI,0))="-","-",IF(Table36[[#This Row],[Resistance, max]]="-","-",IF(Table36[[#This Row],[Resistance, max]]&lt;INDEX(Resmin,MATCH(Table36[[#This Row],[Grist]],SMI,0)),0,IF(Table36[[#This Row],[Resistance, max]]&gt;INDEX(Resmax,MATCH(Table36[[#This Row],[Grist]],SMI,0)),0,1))))</f>
        <v>-</v>
      </c>
      <c r="AA400" s="127">
        <f>IF(INDEX(WGmin,MATCH(Table36[[#This Row],[Grist]],SMI,0))="-","-",IF(Table36[[#This Row],[%Wet Gluten]]="-","-",IF(Table36[[#This Row],[%Wet Gluten]]&lt;INDEX(WGmin,MATCH(Table36[[#This Row],[Grist]],SMI,0)),0,IF(Table36[[#This Row],[%Wet Gluten]]&gt;INDEX(WGmax,MATCH(Table36[[#This Row],[Grist]],SMI,0)),0,1))))</f>
        <v>0</v>
      </c>
      <c r="AB400" s="127">
        <f>SUM(Table36[[#This Row],[ QI Bran Content]:[QI WG]])</f>
        <v>3</v>
      </c>
      <c r="AC400" s="127">
        <f>COUNT(Table36[[#This Row],[ QI Bran Content]:[QI WG]])</f>
        <v>5</v>
      </c>
    </row>
    <row r="401" spans="1:29" x14ac:dyDescent="0.35">
      <c r="A401" s="177">
        <v>45328</v>
      </c>
      <c r="B401" s="178">
        <v>45339</v>
      </c>
      <c r="C401" s="178" t="s">
        <v>128</v>
      </c>
      <c r="D401" s="179">
        <v>0.79166666666666596</v>
      </c>
      <c r="E401" s="180" t="s">
        <v>0</v>
      </c>
      <c r="F401" s="181" t="s">
        <v>27</v>
      </c>
      <c r="G401" s="182">
        <v>3.8E-3</v>
      </c>
      <c r="H401" s="175" t="s">
        <v>165</v>
      </c>
      <c r="I401" s="175" t="s">
        <v>165</v>
      </c>
      <c r="J401" s="175" t="s">
        <v>165</v>
      </c>
      <c r="K401" s="175">
        <v>13.4</v>
      </c>
      <c r="L401" s="175" t="s">
        <v>163</v>
      </c>
      <c r="M401" s="175" t="s">
        <v>163</v>
      </c>
      <c r="N401" s="175" t="s">
        <v>163</v>
      </c>
      <c r="O401" s="175" t="s">
        <v>163</v>
      </c>
      <c r="P401" s="175" t="s">
        <v>163</v>
      </c>
      <c r="Q401" s="175"/>
      <c r="R401" s="127">
        <f>IF(Table36[[#This Row],[ Bran Content]]="-","-",IF(G401&lt;0.02,1,0))</f>
        <v>1</v>
      </c>
      <c r="S401" s="127">
        <f>IF(Table36[[#This Row],[Sieve Test]]="-","-",IF(Table36[[#This Row],[Sieve Test]]="P",1,0))</f>
        <v>1</v>
      </c>
      <c r="T401" s="127">
        <f>IF(Table36[[#This Row],[Odor]]="-","-",IF(Table36[[#This Row],[Odor]]="P",1,0))</f>
        <v>1</v>
      </c>
      <c r="U401" s="127">
        <f>IF(INDEX(MCmin,MATCH(Table36[[#This Row],[Grist]],SMI,0))="-","-",IF(Table36[[#This Row],[F1 %MC]]="-","-",IF(Table36[[#This Row],[F1 %MC]]&lt;INDEX(MCmin,MATCH(Table36[[#This Row],[Grist]],SMI,0)),0,IF(Table36[[#This Row],[F1 %MC]]&gt;INDEX(MCmax,MATCH(Table36[[#This Row],[Grist]],SMI,0)),0,1))))</f>
        <v>1</v>
      </c>
      <c r="V401" s="127" t="str">
        <f>IF(INDEX(Protmin,MATCH(Table36[[#This Row],[Grist]],SMI,0))="-","-",IF(Table36[[#This Row],[%Protein]]="-","-",IF(Table36[[#This Row],[%Protein]]&lt;INDEX(Protmin,MATCH(Table36[[#This Row],[Grist]],SMI,0)),0,IF(Table36[[#This Row],[%Protein]]&gt;INDEX(Protmax,MATCH(Table36[[#This Row],[Grist]],SMI,0)),0,1))))</f>
        <v>-</v>
      </c>
      <c r="W401" s="127" t="str">
        <f>IF(INDEX(Ashmin,MATCH(Table36[[#This Row],[Grist]],SMI,0))="-","-",IF(Table36[[#This Row],[%Ash]]="-","-",IF(Table36[[#This Row],[%Ash]]&lt;INDEX(Ashmin,MATCH(Table36[[#This Row],[Grist]],SMI,0)),0,IF(Table36[[#This Row],[%Ash]]&gt;INDEX(Ashmax,MATCH(Table36[[#This Row],[Grist]],SMI,0)),0,1))))</f>
        <v>-</v>
      </c>
      <c r="X401" s="127" t="str">
        <f>IF(INDEX(Absmin,MATCH(Table36[[#This Row],[Grist]],SMI,0))="-","-",IF(Table36[[#This Row],[%Absorption]]="-","-",IF(Table36[[#This Row],[%Absorption]]&lt;INDEX(Absmin,MATCH(Table36[[#This Row],[Grist]],SMI,0)),0,IF(Table36[[#This Row],[%Absorption]]&gt;INDEX(Absmax,MATCH(Table36[[#This Row],[Grist]],SMI,0)),0,1))))</f>
        <v>-</v>
      </c>
      <c r="Y401" s="127" t="str">
        <f>IF(INDEX(Extmin,MATCH(Table36[[#This Row],[Grist]],SMI,0))="-","-",IF(Table36[[#This Row],[%Extensibility]]="-","-",IF(Table36[[#This Row],[%Extensibility]]&lt;INDEX(Extmin,MATCH(Table36[[#This Row],[Grist]],SMI,0)),0,IF(Table36[[#This Row],[%Extensibility]]&gt;INDEX(Extmax,MATCH(Table36[[#This Row],[Grist]],SMI,0)),0,1))))</f>
        <v>-</v>
      </c>
      <c r="Z401" s="127" t="str">
        <f>IF(INDEX(Resmin,MATCH(Table36[[#This Row],[Grist]],SMI,0))="-","-",IF(Table36[[#This Row],[Resistance, max]]="-","-",IF(Table36[[#This Row],[Resistance, max]]&lt;INDEX(Resmin,MATCH(Table36[[#This Row],[Grist]],SMI,0)),0,IF(Table36[[#This Row],[Resistance, max]]&gt;INDEX(Resmax,MATCH(Table36[[#This Row],[Grist]],SMI,0)),0,1))))</f>
        <v>-</v>
      </c>
      <c r="AA401" s="127">
        <f>IF(INDEX(WGmin,MATCH(Table36[[#This Row],[Grist]],SMI,0))="-","-",IF(Table36[[#This Row],[%Wet Gluten]]="-","-",IF(Table36[[#This Row],[%Wet Gluten]]&lt;INDEX(WGmin,MATCH(Table36[[#This Row],[Grist]],SMI,0)),0,IF(Table36[[#This Row],[%Wet Gluten]]&gt;INDEX(WGmax,MATCH(Table36[[#This Row],[Grist]],SMI,0)),0,1))))</f>
        <v>0</v>
      </c>
      <c r="AB401" s="127">
        <f>SUM(Table36[[#This Row],[ QI Bran Content]:[QI WG]])</f>
        <v>4</v>
      </c>
      <c r="AC401" s="127">
        <f>COUNT(Table36[[#This Row],[ QI Bran Content]:[QI WG]])</f>
        <v>5</v>
      </c>
    </row>
    <row r="402" spans="1:29" x14ac:dyDescent="0.35">
      <c r="A402" s="177">
        <v>45328</v>
      </c>
      <c r="B402" s="178">
        <v>45339</v>
      </c>
      <c r="C402" s="178" t="s">
        <v>130</v>
      </c>
      <c r="D402" s="179">
        <v>1.2083333333333299</v>
      </c>
      <c r="E402" s="180" t="s">
        <v>0</v>
      </c>
      <c r="F402" s="181" t="s">
        <v>27</v>
      </c>
      <c r="G402" s="182">
        <v>4.1000000000000003E-3</v>
      </c>
      <c r="H402" s="175" t="s">
        <v>165</v>
      </c>
      <c r="I402" s="175" t="s">
        <v>165</v>
      </c>
      <c r="J402" s="175" t="s">
        <v>165</v>
      </c>
      <c r="K402" s="175">
        <v>13.39</v>
      </c>
      <c r="L402" s="175" t="s">
        <v>163</v>
      </c>
      <c r="M402" s="175" t="s">
        <v>163</v>
      </c>
      <c r="N402" s="175" t="s">
        <v>163</v>
      </c>
      <c r="O402" s="175" t="s">
        <v>163</v>
      </c>
      <c r="P402" s="175" t="s">
        <v>163</v>
      </c>
      <c r="Q402" s="175"/>
      <c r="R402" s="127">
        <f>IF(Table36[[#This Row],[ Bran Content]]="-","-",IF(G402&lt;0.02,1,0))</f>
        <v>1</v>
      </c>
      <c r="S402" s="127">
        <f>IF(Table36[[#This Row],[Sieve Test]]="-","-",IF(Table36[[#This Row],[Sieve Test]]="P",1,0))</f>
        <v>1</v>
      </c>
      <c r="T402" s="127">
        <f>IF(Table36[[#This Row],[Odor]]="-","-",IF(Table36[[#This Row],[Odor]]="P",1,0))</f>
        <v>1</v>
      </c>
      <c r="U402" s="127">
        <f>IF(INDEX(MCmin,MATCH(Table36[[#This Row],[Grist]],SMI,0))="-","-",IF(Table36[[#This Row],[F1 %MC]]="-","-",IF(Table36[[#This Row],[F1 %MC]]&lt;INDEX(MCmin,MATCH(Table36[[#This Row],[Grist]],SMI,0)),0,IF(Table36[[#This Row],[F1 %MC]]&gt;INDEX(MCmax,MATCH(Table36[[#This Row],[Grist]],SMI,0)),0,1))))</f>
        <v>1</v>
      </c>
      <c r="V402" s="127" t="str">
        <f>IF(INDEX(Protmin,MATCH(Table36[[#This Row],[Grist]],SMI,0))="-","-",IF(Table36[[#This Row],[%Protein]]="-","-",IF(Table36[[#This Row],[%Protein]]&lt;INDEX(Protmin,MATCH(Table36[[#This Row],[Grist]],SMI,0)),0,IF(Table36[[#This Row],[%Protein]]&gt;INDEX(Protmax,MATCH(Table36[[#This Row],[Grist]],SMI,0)),0,1))))</f>
        <v>-</v>
      </c>
      <c r="W402" s="127" t="str">
        <f>IF(INDEX(Ashmin,MATCH(Table36[[#This Row],[Grist]],SMI,0))="-","-",IF(Table36[[#This Row],[%Ash]]="-","-",IF(Table36[[#This Row],[%Ash]]&lt;INDEX(Ashmin,MATCH(Table36[[#This Row],[Grist]],SMI,0)),0,IF(Table36[[#This Row],[%Ash]]&gt;INDEX(Ashmax,MATCH(Table36[[#This Row],[Grist]],SMI,0)),0,1))))</f>
        <v>-</v>
      </c>
      <c r="X402" s="127" t="str">
        <f>IF(INDEX(Absmin,MATCH(Table36[[#This Row],[Grist]],SMI,0))="-","-",IF(Table36[[#This Row],[%Absorption]]="-","-",IF(Table36[[#This Row],[%Absorption]]&lt;INDEX(Absmin,MATCH(Table36[[#This Row],[Grist]],SMI,0)),0,IF(Table36[[#This Row],[%Absorption]]&gt;INDEX(Absmax,MATCH(Table36[[#This Row],[Grist]],SMI,0)),0,1))))</f>
        <v>-</v>
      </c>
      <c r="Y402" s="127" t="str">
        <f>IF(INDEX(Extmin,MATCH(Table36[[#This Row],[Grist]],SMI,0))="-","-",IF(Table36[[#This Row],[%Extensibility]]="-","-",IF(Table36[[#This Row],[%Extensibility]]&lt;INDEX(Extmin,MATCH(Table36[[#This Row],[Grist]],SMI,0)),0,IF(Table36[[#This Row],[%Extensibility]]&gt;INDEX(Extmax,MATCH(Table36[[#This Row],[Grist]],SMI,0)),0,1))))</f>
        <v>-</v>
      </c>
      <c r="Z402" s="127" t="str">
        <f>IF(INDEX(Resmin,MATCH(Table36[[#This Row],[Grist]],SMI,0))="-","-",IF(Table36[[#This Row],[Resistance, max]]="-","-",IF(Table36[[#This Row],[Resistance, max]]&lt;INDEX(Resmin,MATCH(Table36[[#This Row],[Grist]],SMI,0)),0,IF(Table36[[#This Row],[Resistance, max]]&gt;INDEX(Resmax,MATCH(Table36[[#This Row],[Grist]],SMI,0)),0,1))))</f>
        <v>-</v>
      </c>
      <c r="AA402" s="127">
        <f>IF(INDEX(WGmin,MATCH(Table36[[#This Row],[Grist]],SMI,0))="-","-",IF(Table36[[#This Row],[%Wet Gluten]]="-","-",IF(Table36[[#This Row],[%Wet Gluten]]&lt;INDEX(WGmin,MATCH(Table36[[#This Row],[Grist]],SMI,0)),0,IF(Table36[[#This Row],[%Wet Gluten]]&gt;INDEX(WGmax,MATCH(Table36[[#This Row],[Grist]],SMI,0)),0,1))))</f>
        <v>0</v>
      </c>
      <c r="AB402" s="127">
        <f>SUM(Table36[[#This Row],[ QI Bran Content]:[QI WG]])</f>
        <v>4</v>
      </c>
      <c r="AC402" s="127">
        <f>COUNT(Table36[[#This Row],[ QI Bran Content]:[QI WG]])</f>
        <v>5</v>
      </c>
    </row>
    <row r="403" spans="1:29" x14ac:dyDescent="0.35">
      <c r="A403" s="177">
        <v>45328</v>
      </c>
      <c r="B403" s="178">
        <v>45340</v>
      </c>
      <c r="C403" s="178" t="s">
        <v>125</v>
      </c>
      <c r="D403" s="179" t="s">
        <v>239</v>
      </c>
      <c r="E403" s="180" t="s">
        <v>0</v>
      </c>
      <c r="F403" s="181" t="s">
        <v>27</v>
      </c>
      <c r="G403" s="182">
        <v>9.7000000000000003E-3</v>
      </c>
      <c r="H403" s="175" t="s">
        <v>165</v>
      </c>
      <c r="I403" s="175" t="s">
        <v>165</v>
      </c>
      <c r="J403" s="175" t="s">
        <v>165</v>
      </c>
      <c r="K403" s="175">
        <v>13.1</v>
      </c>
      <c r="L403" s="175">
        <v>13</v>
      </c>
      <c r="M403" s="175">
        <v>0.51</v>
      </c>
      <c r="N403" s="175">
        <v>63.8</v>
      </c>
      <c r="O403" s="175" t="s">
        <v>163</v>
      </c>
      <c r="P403" s="175" t="s">
        <v>163</v>
      </c>
      <c r="Q403" s="175"/>
      <c r="R403" s="127">
        <f>IF(Table36[[#This Row],[ Bran Content]]="-","-",IF(G403&lt;0.02,1,0))</f>
        <v>1</v>
      </c>
      <c r="S403" s="127">
        <f>IF(Table36[[#This Row],[Sieve Test]]="-","-",IF(Table36[[#This Row],[Sieve Test]]="P",1,0))</f>
        <v>1</v>
      </c>
      <c r="T403" s="127">
        <f>IF(Table36[[#This Row],[Odor]]="-","-",IF(Table36[[#This Row],[Odor]]="P",1,0))</f>
        <v>1</v>
      </c>
      <c r="U403" s="127">
        <f>IF(INDEX(MCmin,MATCH(Table36[[#This Row],[Grist]],SMI,0))="-","-",IF(Table36[[#This Row],[F1 %MC]]="-","-",IF(Table36[[#This Row],[F1 %MC]]&lt;INDEX(MCmin,MATCH(Table36[[#This Row],[Grist]],SMI,0)),0,IF(Table36[[#This Row],[F1 %MC]]&gt;INDEX(MCmax,MATCH(Table36[[#This Row],[Grist]],SMI,0)),0,1))))</f>
        <v>1</v>
      </c>
      <c r="V403" s="127">
        <f>IF(INDEX(Protmin,MATCH(Table36[[#This Row],[Grist]],SMI,0))="-","-",IF(Table36[[#This Row],[%Protein]]="-","-",IF(Table36[[#This Row],[%Protein]]&lt;INDEX(Protmin,MATCH(Table36[[#This Row],[Grist]],SMI,0)),0,IF(Table36[[#This Row],[%Protein]]&gt;INDEX(Protmax,MATCH(Table36[[#This Row],[Grist]],SMI,0)),0,1))))</f>
        <v>1</v>
      </c>
      <c r="W403" s="127">
        <f>IF(INDEX(Ashmin,MATCH(Table36[[#This Row],[Grist]],SMI,0))="-","-",IF(Table36[[#This Row],[%Ash]]="-","-",IF(Table36[[#This Row],[%Ash]]&lt;INDEX(Ashmin,MATCH(Table36[[#This Row],[Grist]],SMI,0)),0,IF(Table36[[#This Row],[%Ash]]&gt;INDEX(Ashmax,MATCH(Table36[[#This Row],[Grist]],SMI,0)),0,1))))</f>
        <v>1</v>
      </c>
      <c r="X403" s="127">
        <f>IF(INDEX(Absmin,MATCH(Table36[[#This Row],[Grist]],SMI,0))="-","-",IF(Table36[[#This Row],[%Absorption]]="-","-",IF(Table36[[#This Row],[%Absorption]]&lt;INDEX(Absmin,MATCH(Table36[[#This Row],[Grist]],SMI,0)),0,IF(Table36[[#This Row],[%Absorption]]&gt;INDEX(Absmax,MATCH(Table36[[#This Row],[Grist]],SMI,0)),0,1))))</f>
        <v>0</v>
      </c>
      <c r="Y403" s="127" t="str">
        <f>IF(INDEX(Extmin,MATCH(Table36[[#This Row],[Grist]],SMI,0))="-","-",IF(Table36[[#This Row],[%Extensibility]]="-","-",IF(Table36[[#This Row],[%Extensibility]]&lt;INDEX(Extmin,MATCH(Table36[[#This Row],[Grist]],SMI,0)),0,IF(Table36[[#This Row],[%Extensibility]]&gt;INDEX(Extmax,MATCH(Table36[[#This Row],[Grist]],SMI,0)),0,1))))</f>
        <v>-</v>
      </c>
      <c r="Z403" s="127" t="str">
        <f>IF(INDEX(Resmin,MATCH(Table36[[#This Row],[Grist]],SMI,0))="-","-",IF(Table36[[#This Row],[Resistance, max]]="-","-",IF(Table36[[#This Row],[Resistance, max]]&lt;INDEX(Resmin,MATCH(Table36[[#This Row],[Grist]],SMI,0)),0,IF(Table36[[#This Row],[Resistance, max]]&gt;INDEX(Resmax,MATCH(Table36[[#This Row],[Grist]],SMI,0)),0,1))))</f>
        <v>-</v>
      </c>
      <c r="AA403" s="127">
        <f>IF(INDEX(WGmin,MATCH(Table36[[#This Row],[Grist]],SMI,0))="-","-",IF(Table36[[#This Row],[%Wet Gluten]]="-","-",IF(Table36[[#This Row],[%Wet Gluten]]&lt;INDEX(WGmin,MATCH(Table36[[#This Row],[Grist]],SMI,0)),0,IF(Table36[[#This Row],[%Wet Gluten]]&gt;INDEX(WGmax,MATCH(Table36[[#This Row],[Grist]],SMI,0)),0,1))))</f>
        <v>0</v>
      </c>
      <c r="AB403" s="127">
        <f>SUM(Table36[[#This Row],[ QI Bran Content]:[QI WG]])</f>
        <v>6</v>
      </c>
      <c r="AC403" s="127">
        <f>COUNT(Table36[[#This Row],[ QI Bran Content]:[QI WG]])</f>
        <v>8</v>
      </c>
    </row>
    <row r="404" spans="1:29" x14ac:dyDescent="0.35">
      <c r="A404" s="177">
        <v>45328</v>
      </c>
      <c r="B404" s="178">
        <v>45340</v>
      </c>
      <c r="C404" s="178" t="s">
        <v>125</v>
      </c>
      <c r="D404" s="179" t="s">
        <v>237</v>
      </c>
      <c r="E404" s="180" t="s">
        <v>0</v>
      </c>
      <c r="F404" s="181" t="s">
        <v>27</v>
      </c>
      <c r="G404" s="182">
        <v>5.7999999999999996E-3</v>
      </c>
      <c r="H404" s="175" t="s">
        <v>165</v>
      </c>
      <c r="I404" s="175" t="s">
        <v>165</v>
      </c>
      <c r="J404" s="175" t="s">
        <v>165</v>
      </c>
      <c r="K404" s="175">
        <v>12.99</v>
      </c>
      <c r="L404" s="175">
        <v>13</v>
      </c>
      <c r="M404" s="175">
        <v>0.51</v>
      </c>
      <c r="N404" s="175">
        <v>63.8</v>
      </c>
      <c r="O404" s="175" t="s">
        <v>163</v>
      </c>
      <c r="P404" s="175" t="s">
        <v>163</v>
      </c>
      <c r="Q404" s="175"/>
      <c r="R404" s="127">
        <f>IF(Table36[[#This Row],[ Bran Content]]="-","-",IF(G404&lt;0.02,1,0))</f>
        <v>1</v>
      </c>
      <c r="S404" s="127">
        <f>IF(Table36[[#This Row],[Sieve Test]]="-","-",IF(Table36[[#This Row],[Sieve Test]]="P",1,0))</f>
        <v>1</v>
      </c>
      <c r="T404" s="127">
        <f>IF(Table36[[#This Row],[Odor]]="-","-",IF(Table36[[#This Row],[Odor]]="P",1,0))</f>
        <v>1</v>
      </c>
      <c r="U404" s="127">
        <f>IF(INDEX(MCmin,MATCH(Table36[[#This Row],[Grist]],SMI,0))="-","-",IF(Table36[[#This Row],[F1 %MC]]="-","-",IF(Table36[[#This Row],[F1 %MC]]&lt;INDEX(MCmin,MATCH(Table36[[#This Row],[Grist]],SMI,0)),0,IF(Table36[[#This Row],[F1 %MC]]&gt;INDEX(MCmax,MATCH(Table36[[#This Row],[Grist]],SMI,0)),0,1))))</f>
        <v>1</v>
      </c>
      <c r="V404" s="127">
        <f>IF(INDEX(Protmin,MATCH(Table36[[#This Row],[Grist]],SMI,0))="-","-",IF(Table36[[#This Row],[%Protein]]="-","-",IF(Table36[[#This Row],[%Protein]]&lt;INDEX(Protmin,MATCH(Table36[[#This Row],[Grist]],SMI,0)),0,IF(Table36[[#This Row],[%Protein]]&gt;INDEX(Protmax,MATCH(Table36[[#This Row],[Grist]],SMI,0)),0,1))))</f>
        <v>1</v>
      </c>
      <c r="W404" s="127">
        <f>IF(INDEX(Ashmin,MATCH(Table36[[#This Row],[Grist]],SMI,0))="-","-",IF(Table36[[#This Row],[%Ash]]="-","-",IF(Table36[[#This Row],[%Ash]]&lt;INDEX(Ashmin,MATCH(Table36[[#This Row],[Grist]],SMI,0)),0,IF(Table36[[#This Row],[%Ash]]&gt;INDEX(Ashmax,MATCH(Table36[[#This Row],[Grist]],SMI,0)),0,1))))</f>
        <v>1</v>
      </c>
      <c r="X404" s="127">
        <f>IF(INDEX(Absmin,MATCH(Table36[[#This Row],[Grist]],SMI,0))="-","-",IF(Table36[[#This Row],[%Absorption]]="-","-",IF(Table36[[#This Row],[%Absorption]]&lt;INDEX(Absmin,MATCH(Table36[[#This Row],[Grist]],SMI,0)),0,IF(Table36[[#This Row],[%Absorption]]&gt;INDEX(Absmax,MATCH(Table36[[#This Row],[Grist]],SMI,0)),0,1))))</f>
        <v>0</v>
      </c>
      <c r="Y404" s="127" t="str">
        <f>IF(INDEX(Extmin,MATCH(Table36[[#This Row],[Grist]],SMI,0))="-","-",IF(Table36[[#This Row],[%Extensibility]]="-","-",IF(Table36[[#This Row],[%Extensibility]]&lt;INDEX(Extmin,MATCH(Table36[[#This Row],[Grist]],SMI,0)),0,IF(Table36[[#This Row],[%Extensibility]]&gt;INDEX(Extmax,MATCH(Table36[[#This Row],[Grist]],SMI,0)),0,1))))</f>
        <v>-</v>
      </c>
      <c r="Z404" s="127" t="str">
        <f>IF(INDEX(Resmin,MATCH(Table36[[#This Row],[Grist]],SMI,0))="-","-",IF(Table36[[#This Row],[Resistance, max]]="-","-",IF(Table36[[#This Row],[Resistance, max]]&lt;INDEX(Resmin,MATCH(Table36[[#This Row],[Grist]],SMI,0)),0,IF(Table36[[#This Row],[Resistance, max]]&gt;INDEX(Resmax,MATCH(Table36[[#This Row],[Grist]],SMI,0)),0,1))))</f>
        <v>-</v>
      </c>
      <c r="AA404" s="127">
        <f>IF(INDEX(WGmin,MATCH(Table36[[#This Row],[Grist]],SMI,0))="-","-",IF(Table36[[#This Row],[%Wet Gluten]]="-","-",IF(Table36[[#This Row],[%Wet Gluten]]&lt;INDEX(WGmin,MATCH(Table36[[#This Row],[Grist]],SMI,0)),0,IF(Table36[[#This Row],[%Wet Gluten]]&gt;INDEX(WGmax,MATCH(Table36[[#This Row],[Grist]],SMI,0)),0,1))))</f>
        <v>0</v>
      </c>
      <c r="AB404" s="127">
        <f>SUM(Table36[[#This Row],[ QI Bran Content]:[QI WG]])</f>
        <v>6</v>
      </c>
      <c r="AC404" s="127">
        <f>COUNT(Table36[[#This Row],[ QI Bran Content]:[QI WG]])</f>
        <v>8</v>
      </c>
    </row>
    <row r="405" spans="1:29" x14ac:dyDescent="0.35">
      <c r="A405" s="177">
        <v>45328</v>
      </c>
      <c r="B405" s="178">
        <v>45340</v>
      </c>
      <c r="C405" s="178" t="s">
        <v>128</v>
      </c>
      <c r="D405" s="179">
        <v>0.625</v>
      </c>
      <c r="E405" s="180" t="s">
        <v>0</v>
      </c>
      <c r="F405" s="181" t="s">
        <v>27</v>
      </c>
      <c r="G405" s="182">
        <v>5.5999999999999999E-3</v>
      </c>
      <c r="H405" s="175" t="s">
        <v>165</v>
      </c>
      <c r="I405" s="175" t="s">
        <v>165</v>
      </c>
      <c r="J405" s="175" t="s">
        <v>165</v>
      </c>
      <c r="K405" s="175">
        <v>13.77</v>
      </c>
      <c r="L405" s="175">
        <v>13.65</v>
      </c>
      <c r="M405" s="175">
        <v>0.47</v>
      </c>
      <c r="N405" s="175" t="s">
        <v>163</v>
      </c>
      <c r="O405" s="175" t="s">
        <v>163</v>
      </c>
      <c r="P405" s="175" t="s">
        <v>163</v>
      </c>
      <c r="Q405" s="175"/>
      <c r="R405" s="127">
        <f>IF(Table36[[#This Row],[ Bran Content]]="-","-",IF(G405&lt;0.02,1,0))</f>
        <v>1</v>
      </c>
      <c r="S405" s="127">
        <f>IF(Table36[[#This Row],[Sieve Test]]="-","-",IF(Table36[[#This Row],[Sieve Test]]="P",1,0))</f>
        <v>1</v>
      </c>
      <c r="T405" s="127">
        <f>IF(Table36[[#This Row],[Odor]]="-","-",IF(Table36[[#This Row],[Odor]]="P",1,0))</f>
        <v>1</v>
      </c>
      <c r="U405" s="127">
        <f>IF(INDEX(MCmin,MATCH(Table36[[#This Row],[Grist]],SMI,0))="-","-",IF(Table36[[#This Row],[F1 %MC]]="-","-",IF(Table36[[#This Row],[F1 %MC]]&lt;INDEX(MCmin,MATCH(Table36[[#This Row],[Grist]],SMI,0)),0,IF(Table36[[#This Row],[F1 %MC]]&gt;INDEX(MCmax,MATCH(Table36[[#This Row],[Grist]],SMI,0)),0,1))))</f>
        <v>1</v>
      </c>
      <c r="V405" s="127">
        <f>IF(INDEX(Protmin,MATCH(Table36[[#This Row],[Grist]],SMI,0))="-","-",IF(Table36[[#This Row],[%Protein]]="-","-",IF(Table36[[#This Row],[%Protein]]&lt;INDEX(Protmin,MATCH(Table36[[#This Row],[Grist]],SMI,0)),0,IF(Table36[[#This Row],[%Protein]]&gt;INDEX(Protmax,MATCH(Table36[[#This Row],[Grist]],SMI,0)),0,1))))</f>
        <v>1</v>
      </c>
      <c r="W405" s="127">
        <f>IF(INDEX(Ashmin,MATCH(Table36[[#This Row],[Grist]],SMI,0))="-","-",IF(Table36[[#This Row],[%Ash]]="-","-",IF(Table36[[#This Row],[%Ash]]&lt;INDEX(Ashmin,MATCH(Table36[[#This Row],[Grist]],SMI,0)),0,IF(Table36[[#This Row],[%Ash]]&gt;INDEX(Ashmax,MATCH(Table36[[#This Row],[Grist]],SMI,0)),0,1))))</f>
        <v>1</v>
      </c>
      <c r="X405" s="127" t="str">
        <f>IF(INDEX(Absmin,MATCH(Table36[[#This Row],[Grist]],SMI,0))="-","-",IF(Table36[[#This Row],[%Absorption]]="-","-",IF(Table36[[#This Row],[%Absorption]]&lt;INDEX(Absmin,MATCH(Table36[[#This Row],[Grist]],SMI,0)),0,IF(Table36[[#This Row],[%Absorption]]&gt;INDEX(Absmax,MATCH(Table36[[#This Row],[Grist]],SMI,0)),0,1))))</f>
        <v>-</v>
      </c>
      <c r="Y405" s="127" t="str">
        <f>IF(INDEX(Extmin,MATCH(Table36[[#This Row],[Grist]],SMI,0))="-","-",IF(Table36[[#This Row],[%Extensibility]]="-","-",IF(Table36[[#This Row],[%Extensibility]]&lt;INDEX(Extmin,MATCH(Table36[[#This Row],[Grist]],SMI,0)),0,IF(Table36[[#This Row],[%Extensibility]]&gt;INDEX(Extmax,MATCH(Table36[[#This Row],[Grist]],SMI,0)),0,1))))</f>
        <v>-</v>
      </c>
      <c r="Z405" s="127" t="str">
        <f>IF(INDEX(Resmin,MATCH(Table36[[#This Row],[Grist]],SMI,0))="-","-",IF(Table36[[#This Row],[Resistance, max]]="-","-",IF(Table36[[#This Row],[Resistance, max]]&lt;INDEX(Resmin,MATCH(Table36[[#This Row],[Grist]],SMI,0)),0,IF(Table36[[#This Row],[Resistance, max]]&gt;INDEX(Resmax,MATCH(Table36[[#This Row],[Grist]],SMI,0)),0,1))))</f>
        <v>-</v>
      </c>
      <c r="AA405" s="127">
        <f>IF(INDEX(WGmin,MATCH(Table36[[#This Row],[Grist]],SMI,0))="-","-",IF(Table36[[#This Row],[%Wet Gluten]]="-","-",IF(Table36[[#This Row],[%Wet Gluten]]&lt;INDEX(WGmin,MATCH(Table36[[#This Row],[Grist]],SMI,0)),0,IF(Table36[[#This Row],[%Wet Gluten]]&gt;INDEX(WGmax,MATCH(Table36[[#This Row],[Grist]],SMI,0)),0,1))))</f>
        <v>0</v>
      </c>
      <c r="AB405" s="127">
        <f>SUM(Table36[[#This Row],[ QI Bran Content]:[QI WG]])</f>
        <v>6</v>
      </c>
      <c r="AC405" s="127">
        <f>COUNT(Table36[[#This Row],[ QI Bran Content]:[QI WG]])</f>
        <v>7</v>
      </c>
    </row>
    <row r="406" spans="1:29" x14ac:dyDescent="0.35">
      <c r="A406" s="177">
        <v>45328</v>
      </c>
      <c r="B406" s="178">
        <v>45340</v>
      </c>
      <c r="C406" s="178" t="s">
        <v>130</v>
      </c>
      <c r="D406" s="179">
        <v>1.0416666666666701</v>
      </c>
      <c r="E406" s="180" t="s">
        <v>0</v>
      </c>
      <c r="F406" s="181" t="s">
        <v>27</v>
      </c>
      <c r="G406" s="182">
        <v>7.7999999999999996E-3</v>
      </c>
      <c r="H406" s="175" t="s">
        <v>165</v>
      </c>
      <c r="I406" s="175" t="s">
        <v>165</v>
      </c>
      <c r="J406" s="175" t="s">
        <v>165</v>
      </c>
      <c r="K406" s="175">
        <v>13.51</v>
      </c>
      <c r="L406" s="175">
        <v>13.46</v>
      </c>
      <c r="M406" s="175">
        <v>0.5</v>
      </c>
      <c r="N406" s="175">
        <v>63.1</v>
      </c>
      <c r="O406" s="175" t="s">
        <v>163</v>
      </c>
      <c r="P406" s="175" t="s">
        <v>163</v>
      </c>
      <c r="Q406" s="175"/>
      <c r="R406" s="127">
        <f>IF(Table36[[#This Row],[ Bran Content]]="-","-",IF(G406&lt;0.02,1,0))</f>
        <v>1</v>
      </c>
      <c r="S406" s="127">
        <f>IF(Table36[[#This Row],[Sieve Test]]="-","-",IF(Table36[[#This Row],[Sieve Test]]="P",1,0))</f>
        <v>1</v>
      </c>
      <c r="T406" s="127">
        <f>IF(Table36[[#This Row],[Odor]]="-","-",IF(Table36[[#This Row],[Odor]]="P",1,0))</f>
        <v>1</v>
      </c>
      <c r="U406" s="127">
        <f>IF(INDEX(MCmin,MATCH(Table36[[#This Row],[Grist]],SMI,0))="-","-",IF(Table36[[#This Row],[F1 %MC]]="-","-",IF(Table36[[#This Row],[F1 %MC]]&lt;INDEX(MCmin,MATCH(Table36[[#This Row],[Grist]],SMI,0)),0,IF(Table36[[#This Row],[F1 %MC]]&gt;INDEX(MCmax,MATCH(Table36[[#This Row],[Grist]],SMI,0)),0,1))))</f>
        <v>1</v>
      </c>
      <c r="V406" s="127">
        <f>IF(INDEX(Protmin,MATCH(Table36[[#This Row],[Grist]],SMI,0))="-","-",IF(Table36[[#This Row],[%Protein]]="-","-",IF(Table36[[#This Row],[%Protein]]&lt;INDEX(Protmin,MATCH(Table36[[#This Row],[Grist]],SMI,0)),0,IF(Table36[[#This Row],[%Protein]]&gt;INDEX(Protmax,MATCH(Table36[[#This Row],[Grist]],SMI,0)),0,1))))</f>
        <v>1</v>
      </c>
      <c r="W406" s="127">
        <f>IF(INDEX(Ashmin,MATCH(Table36[[#This Row],[Grist]],SMI,0))="-","-",IF(Table36[[#This Row],[%Ash]]="-","-",IF(Table36[[#This Row],[%Ash]]&lt;INDEX(Ashmin,MATCH(Table36[[#This Row],[Grist]],SMI,0)),0,IF(Table36[[#This Row],[%Ash]]&gt;INDEX(Ashmax,MATCH(Table36[[#This Row],[Grist]],SMI,0)),0,1))))</f>
        <v>1</v>
      </c>
      <c r="X406" s="127">
        <f>IF(INDEX(Absmin,MATCH(Table36[[#This Row],[Grist]],SMI,0))="-","-",IF(Table36[[#This Row],[%Absorption]]="-","-",IF(Table36[[#This Row],[%Absorption]]&lt;INDEX(Absmin,MATCH(Table36[[#This Row],[Grist]],SMI,0)),0,IF(Table36[[#This Row],[%Absorption]]&gt;INDEX(Absmax,MATCH(Table36[[#This Row],[Grist]],SMI,0)),0,1))))</f>
        <v>0</v>
      </c>
      <c r="Y406" s="127" t="str">
        <f>IF(INDEX(Extmin,MATCH(Table36[[#This Row],[Grist]],SMI,0))="-","-",IF(Table36[[#This Row],[%Extensibility]]="-","-",IF(Table36[[#This Row],[%Extensibility]]&lt;INDEX(Extmin,MATCH(Table36[[#This Row],[Grist]],SMI,0)),0,IF(Table36[[#This Row],[%Extensibility]]&gt;INDEX(Extmax,MATCH(Table36[[#This Row],[Grist]],SMI,0)),0,1))))</f>
        <v>-</v>
      </c>
      <c r="Z406" s="127" t="str">
        <f>IF(INDEX(Resmin,MATCH(Table36[[#This Row],[Grist]],SMI,0))="-","-",IF(Table36[[#This Row],[Resistance, max]]="-","-",IF(Table36[[#This Row],[Resistance, max]]&lt;INDEX(Resmin,MATCH(Table36[[#This Row],[Grist]],SMI,0)),0,IF(Table36[[#This Row],[Resistance, max]]&gt;INDEX(Resmax,MATCH(Table36[[#This Row],[Grist]],SMI,0)),0,1))))</f>
        <v>-</v>
      </c>
      <c r="AA406" s="127">
        <f>IF(INDEX(WGmin,MATCH(Table36[[#This Row],[Grist]],SMI,0))="-","-",IF(Table36[[#This Row],[%Wet Gluten]]="-","-",IF(Table36[[#This Row],[%Wet Gluten]]&lt;INDEX(WGmin,MATCH(Table36[[#This Row],[Grist]],SMI,0)),0,IF(Table36[[#This Row],[%Wet Gluten]]&gt;INDEX(WGmax,MATCH(Table36[[#This Row],[Grist]],SMI,0)),0,1))))</f>
        <v>0</v>
      </c>
      <c r="AB406" s="127">
        <f>SUM(Table36[[#This Row],[ QI Bran Content]:[QI WG]])</f>
        <v>6</v>
      </c>
      <c r="AC406" s="127">
        <f>COUNT(Table36[[#This Row],[ QI Bran Content]:[QI WG]])</f>
        <v>8</v>
      </c>
    </row>
    <row r="407" spans="1:29" x14ac:dyDescent="0.35">
      <c r="A407" s="177">
        <v>45328</v>
      </c>
      <c r="B407" s="178">
        <v>45340</v>
      </c>
      <c r="C407" s="178" t="s">
        <v>130</v>
      </c>
      <c r="D407" s="179">
        <v>1.2083333333333299</v>
      </c>
      <c r="E407" s="180" t="s">
        <v>0</v>
      </c>
      <c r="F407" s="181" t="s">
        <v>27</v>
      </c>
      <c r="G407" s="182">
        <v>8.0000000000000002E-3</v>
      </c>
      <c r="H407" s="175" t="s">
        <v>165</v>
      </c>
      <c r="I407" s="175" t="s">
        <v>165</v>
      </c>
      <c r="J407" s="175" t="s">
        <v>165</v>
      </c>
      <c r="K407" s="175">
        <v>13.81</v>
      </c>
      <c r="L407" s="175">
        <v>13.46</v>
      </c>
      <c r="M407" s="175">
        <v>0.5</v>
      </c>
      <c r="N407" s="175">
        <v>63.1</v>
      </c>
      <c r="O407" s="175" t="s">
        <v>163</v>
      </c>
      <c r="P407" s="175" t="s">
        <v>163</v>
      </c>
      <c r="Q407" s="175"/>
      <c r="R407" s="127">
        <f>IF(Table36[[#This Row],[ Bran Content]]="-","-",IF(G407&lt;0.02,1,0))</f>
        <v>1</v>
      </c>
      <c r="S407" s="127">
        <f>IF(Table36[[#This Row],[Sieve Test]]="-","-",IF(Table36[[#This Row],[Sieve Test]]="P",1,0))</f>
        <v>1</v>
      </c>
      <c r="T407" s="127">
        <f>IF(Table36[[#This Row],[Odor]]="-","-",IF(Table36[[#This Row],[Odor]]="P",1,0))</f>
        <v>1</v>
      </c>
      <c r="U407" s="127">
        <f>IF(INDEX(MCmin,MATCH(Table36[[#This Row],[Grist]],SMI,0))="-","-",IF(Table36[[#This Row],[F1 %MC]]="-","-",IF(Table36[[#This Row],[F1 %MC]]&lt;INDEX(MCmin,MATCH(Table36[[#This Row],[Grist]],SMI,0)),0,IF(Table36[[#This Row],[F1 %MC]]&gt;INDEX(MCmax,MATCH(Table36[[#This Row],[Grist]],SMI,0)),0,1))))</f>
        <v>1</v>
      </c>
      <c r="V407" s="127">
        <f>IF(INDEX(Protmin,MATCH(Table36[[#This Row],[Grist]],SMI,0))="-","-",IF(Table36[[#This Row],[%Protein]]="-","-",IF(Table36[[#This Row],[%Protein]]&lt;INDEX(Protmin,MATCH(Table36[[#This Row],[Grist]],SMI,0)),0,IF(Table36[[#This Row],[%Protein]]&gt;INDEX(Protmax,MATCH(Table36[[#This Row],[Grist]],SMI,0)),0,1))))</f>
        <v>1</v>
      </c>
      <c r="W407" s="127">
        <f>IF(INDEX(Ashmin,MATCH(Table36[[#This Row],[Grist]],SMI,0))="-","-",IF(Table36[[#This Row],[%Ash]]="-","-",IF(Table36[[#This Row],[%Ash]]&lt;INDEX(Ashmin,MATCH(Table36[[#This Row],[Grist]],SMI,0)),0,IF(Table36[[#This Row],[%Ash]]&gt;INDEX(Ashmax,MATCH(Table36[[#This Row],[Grist]],SMI,0)),0,1))))</f>
        <v>1</v>
      </c>
      <c r="X407" s="127">
        <f>IF(INDEX(Absmin,MATCH(Table36[[#This Row],[Grist]],SMI,0))="-","-",IF(Table36[[#This Row],[%Absorption]]="-","-",IF(Table36[[#This Row],[%Absorption]]&lt;INDEX(Absmin,MATCH(Table36[[#This Row],[Grist]],SMI,0)),0,IF(Table36[[#This Row],[%Absorption]]&gt;INDEX(Absmax,MATCH(Table36[[#This Row],[Grist]],SMI,0)),0,1))))</f>
        <v>0</v>
      </c>
      <c r="Y407" s="127" t="str">
        <f>IF(INDEX(Extmin,MATCH(Table36[[#This Row],[Grist]],SMI,0))="-","-",IF(Table36[[#This Row],[%Extensibility]]="-","-",IF(Table36[[#This Row],[%Extensibility]]&lt;INDEX(Extmin,MATCH(Table36[[#This Row],[Grist]],SMI,0)),0,IF(Table36[[#This Row],[%Extensibility]]&gt;INDEX(Extmax,MATCH(Table36[[#This Row],[Grist]],SMI,0)),0,1))))</f>
        <v>-</v>
      </c>
      <c r="Z407" s="127" t="str">
        <f>IF(INDEX(Resmin,MATCH(Table36[[#This Row],[Grist]],SMI,0))="-","-",IF(Table36[[#This Row],[Resistance, max]]="-","-",IF(Table36[[#This Row],[Resistance, max]]&lt;INDEX(Resmin,MATCH(Table36[[#This Row],[Grist]],SMI,0)),0,IF(Table36[[#This Row],[Resistance, max]]&gt;INDEX(Resmax,MATCH(Table36[[#This Row],[Grist]],SMI,0)),0,1))))</f>
        <v>-</v>
      </c>
      <c r="AA407" s="127">
        <f>IF(INDEX(WGmin,MATCH(Table36[[#This Row],[Grist]],SMI,0))="-","-",IF(Table36[[#This Row],[%Wet Gluten]]="-","-",IF(Table36[[#This Row],[%Wet Gluten]]&lt;INDEX(WGmin,MATCH(Table36[[#This Row],[Grist]],SMI,0)),0,IF(Table36[[#This Row],[%Wet Gluten]]&gt;INDEX(WGmax,MATCH(Table36[[#This Row],[Grist]],SMI,0)),0,1))))</f>
        <v>0</v>
      </c>
      <c r="AB407" s="127">
        <f>SUM(Table36[[#This Row],[ QI Bran Content]:[QI WG]])</f>
        <v>6</v>
      </c>
      <c r="AC407" s="127">
        <f>COUNT(Table36[[#This Row],[ QI Bran Content]:[QI WG]])</f>
        <v>8</v>
      </c>
    </row>
    <row r="408" spans="1:29" x14ac:dyDescent="0.35">
      <c r="A408" s="177">
        <v>45328</v>
      </c>
      <c r="B408" s="178">
        <v>45341</v>
      </c>
      <c r="C408" s="178" t="s">
        <v>125</v>
      </c>
      <c r="D408" s="179" t="s">
        <v>239</v>
      </c>
      <c r="E408" s="180" t="s">
        <v>0</v>
      </c>
      <c r="F408" s="181" t="s">
        <v>27</v>
      </c>
      <c r="G408" s="182">
        <v>6.4000000000000003E-3</v>
      </c>
      <c r="H408" s="175" t="s">
        <v>165</v>
      </c>
      <c r="I408" s="175" t="s">
        <v>165</v>
      </c>
      <c r="J408" s="175" t="s">
        <v>165</v>
      </c>
      <c r="K408" s="175">
        <v>13.13</v>
      </c>
      <c r="L408" s="175" t="s">
        <v>163</v>
      </c>
      <c r="M408" s="175" t="s">
        <v>163</v>
      </c>
      <c r="N408" s="175" t="s">
        <v>163</v>
      </c>
      <c r="O408" s="175" t="s">
        <v>163</v>
      </c>
      <c r="P408" s="175" t="s">
        <v>163</v>
      </c>
      <c r="Q408" s="175"/>
      <c r="R408" s="127">
        <f>IF(Table36[[#This Row],[ Bran Content]]="-","-",IF(G408&lt;0.02,1,0))</f>
        <v>1</v>
      </c>
      <c r="S408" s="127">
        <f>IF(Table36[[#This Row],[Sieve Test]]="-","-",IF(Table36[[#This Row],[Sieve Test]]="P",1,0))</f>
        <v>1</v>
      </c>
      <c r="T408" s="127">
        <f>IF(Table36[[#This Row],[Odor]]="-","-",IF(Table36[[#This Row],[Odor]]="P",1,0))</f>
        <v>1</v>
      </c>
      <c r="U408" s="127">
        <f>IF(INDEX(MCmin,MATCH(Table36[[#This Row],[Grist]],SMI,0))="-","-",IF(Table36[[#This Row],[F1 %MC]]="-","-",IF(Table36[[#This Row],[F1 %MC]]&lt;INDEX(MCmin,MATCH(Table36[[#This Row],[Grist]],SMI,0)),0,IF(Table36[[#This Row],[F1 %MC]]&gt;INDEX(MCmax,MATCH(Table36[[#This Row],[Grist]],SMI,0)),0,1))))</f>
        <v>1</v>
      </c>
      <c r="V408" s="127" t="str">
        <f>IF(INDEX(Protmin,MATCH(Table36[[#This Row],[Grist]],SMI,0))="-","-",IF(Table36[[#This Row],[%Protein]]="-","-",IF(Table36[[#This Row],[%Protein]]&lt;INDEX(Protmin,MATCH(Table36[[#This Row],[Grist]],SMI,0)),0,IF(Table36[[#This Row],[%Protein]]&gt;INDEX(Protmax,MATCH(Table36[[#This Row],[Grist]],SMI,0)),0,1))))</f>
        <v>-</v>
      </c>
      <c r="W408" s="127" t="str">
        <f>IF(INDEX(Ashmin,MATCH(Table36[[#This Row],[Grist]],SMI,0))="-","-",IF(Table36[[#This Row],[%Ash]]="-","-",IF(Table36[[#This Row],[%Ash]]&lt;INDEX(Ashmin,MATCH(Table36[[#This Row],[Grist]],SMI,0)),0,IF(Table36[[#This Row],[%Ash]]&gt;INDEX(Ashmax,MATCH(Table36[[#This Row],[Grist]],SMI,0)),0,1))))</f>
        <v>-</v>
      </c>
      <c r="X408" s="127" t="str">
        <f>IF(INDEX(Absmin,MATCH(Table36[[#This Row],[Grist]],SMI,0))="-","-",IF(Table36[[#This Row],[%Absorption]]="-","-",IF(Table36[[#This Row],[%Absorption]]&lt;INDEX(Absmin,MATCH(Table36[[#This Row],[Grist]],SMI,0)),0,IF(Table36[[#This Row],[%Absorption]]&gt;INDEX(Absmax,MATCH(Table36[[#This Row],[Grist]],SMI,0)),0,1))))</f>
        <v>-</v>
      </c>
      <c r="Y408" s="127" t="str">
        <f>IF(INDEX(Extmin,MATCH(Table36[[#This Row],[Grist]],SMI,0))="-","-",IF(Table36[[#This Row],[%Extensibility]]="-","-",IF(Table36[[#This Row],[%Extensibility]]&lt;INDEX(Extmin,MATCH(Table36[[#This Row],[Grist]],SMI,0)),0,IF(Table36[[#This Row],[%Extensibility]]&gt;INDEX(Extmax,MATCH(Table36[[#This Row],[Grist]],SMI,0)),0,1))))</f>
        <v>-</v>
      </c>
      <c r="Z408" s="127" t="str">
        <f>IF(INDEX(Resmin,MATCH(Table36[[#This Row],[Grist]],SMI,0))="-","-",IF(Table36[[#This Row],[Resistance, max]]="-","-",IF(Table36[[#This Row],[Resistance, max]]&lt;INDEX(Resmin,MATCH(Table36[[#This Row],[Grist]],SMI,0)),0,IF(Table36[[#This Row],[Resistance, max]]&gt;INDEX(Resmax,MATCH(Table36[[#This Row],[Grist]],SMI,0)),0,1))))</f>
        <v>-</v>
      </c>
      <c r="AA408" s="127">
        <f>IF(INDEX(WGmin,MATCH(Table36[[#This Row],[Grist]],SMI,0))="-","-",IF(Table36[[#This Row],[%Wet Gluten]]="-","-",IF(Table36[[#This Row],[%Wet Gluten]]&lt;INDEX(WGmin,MATCH(Table36[[#This Row],[Grist]],SMI,0)),0,IF(Table36[[#This Row],[%Wet Gluten]]&gt;INDEX(WGmax,MATCH(Table36[[#This Row],[Grist]],SMI,0)),0,1))))</f>
        <v>0</v>
      </c>
      <c r="AB408" s="127">
        <f>SUM(Table36[[#This Row],[ QI Bran Content]:[QI WG]])</f>
        <v>4</v>
      </c>
      <c r="AC408" s="127">
        <f>COUNT(Table36[[#This Row],[ QI Bran Content]:[QI WG]])</f>
        <v>5</v>
      </c>
    </row>
    <row r="409" spans="1:29" x14ac:dyDescent="0.35">
      <c r="A409" s="177">
        <v>45328</v>
      </c>
      <c r="B409" s="178">
        <v>45341</v>
      </c>
      <c r="C409" s="178" t="s">
        <v>125</v>
      </c>
      <c r="D409" s="179" t="s">
        <v>240</v>
      </c>
      <c r="E409" s="180" t="s">
        <v>0</v>
      </c>
      <c r="F409" s="181" t="s">
        <v>27</v>
      </c>
      <c r="G409" s="182">
        <v>3.3E-3</v>
      </c>
      <c r="H409" s="175" t="s">
        <v>165</v>
      </c>
      <c r="I409" s="175" t="s">
        <v>165</v>
      </c>
      <c r="J409" s="175" t="s">
        <v>165</v>
      </c>
      <c r="K409" s="175">
        <v>13.16</v>
      </c>
      <c r="L409" s="175" t="s">
        <v>163</v>
      </c>
      <c r="M409" s="175" t="s">
        <v>163</v>
      </c>
      <c r="N409" s="175" t="s">
        <v>163</v>
      </c>
      <c r="O409" s="175" t="s">
        <v>163</v>
      </c>
      <c r="P409" s="175" t="s">
        <v>163</v>
      </c>
      <c r="Q409" s="175"/>
      <c r="R409" s="127">
        <f>IF(Table36[[#This Row],[ Bran Content]]="-","-",IF(G409&lt;0.02,1,0))</f>
        <v>1</v>
      </c>
      <c r="S409" s="127">
        <f>IF(Table36[[#This Row],[Sieve Test]]="-","-",IF(Table36[[#This Row],[Sieve Test]]="P",1,0))</f>
        <v>1</v>
      </c>
      <c r="T409" s="127">
        <f>IF(Table36[[#This Row],[Odor]]="-","-",IF(Table36[[#This Row],[Odor]]="P",1,0))</f>
        <v>1</v>
      </c>
      <c r="U409" s="127">
        <f>IF(INDEX(MCmin,MATCH(Table36[[#This Row],[Grist]],SMI,0))="-","-",IF(Table36[[#This Row],[F1 %MC]]="-","-",IF(Table36[[#This Row],[F1 %MC]]&lt;INDEX(MCmin,MATCH(Table36[[#This Row],[Grist]],SMI,0)),0,IF(Table36[[#This Row],[F1 %MC]]&gt;INDEX(MCmax,MATCH(Table36[[#This Row],[Grist]],SMI,0)),0,1))))</f>
        <v>1</v>
      </c>
      <c r="V409" s="127" t="str">
        <f>IF(INDEX(Protmin,MATCH(Table36[[#This Row],[Grist]],SMI,0))="-","-",IF(Table36[[#This Row],[%Protein]]="-","-",IF(Table36[[#This Row],[%Protein]]&lt;INDEX(Protmin,MATCH(Table36[[#This Row],[Grist]],SMI,0)),0,IF(Table36[[#This Row],[%Protein]]&gt;INDEX(Protmax,MATCH(Table36[[#This Row],[Grist]],SMI,0)),0,1))))</f>
        <v>-</v>
      </c>
      <c r="W409" s="127" t="str">
        <f>IF(INDEX(Ashmin,MATCH(Table36[[#This Row],[Grist]],SMI,0))="-","-",IF(Table36[[#This Row],[%Ash]]="-","-",IF(Table36[[#This Row],[%Ash]]&lt;INDEX(Ashmin,MATCH(Table36[[#This Row],[Grist]],SMI,0)),0,IF(Table36[[#This Row],[%Ash]]&gt;INDEX(Ashmax,MATCH(Table36[[#This Row],[Grist]],SMI,0)),0,1))))</f>
        <v>-</v>
      </c>
      <c r="X409" s="127" t="str">
        <f>IF(INDEX(Absmin,MATCH(Table36[[#This Row],[Grist]],SMI,0))="-","-",IF(Table36[[#This Row],[%Absorption]]="-","-",IF(Table36[[#This Row],[%Absorption]]&lt;INDEX(Absmin,MATCH(Table36[[#This Row],[Grist]],SMI,0)),0,IF(Table36[[#This Row],[%Absorption]]&gt;INDEX(Absmax,MATCH(Table36[[#This Row],[Grist]],SMI,0)),0,1))))</f>
        <v>-</v>
      </c>
      <c r="Y409" s="127" t="str">
        <f>IF(INDEX(Extmin,MATCH(Table36[[#This Row],[Grist]],SMI,0))="-","-",IF(Table36[[#This Row],[%Extensibility]]="-","-",IF(Table36[[#This Row],[%Extensibility]]&lt;INDEX(Extmin,MATCH(Table36[[#This Row],[Grist]],SMI,0)),0,IF(Table36[[#This Row],[%Extensibility]]&gt;INDEX(Extmax,MATCH(Table36[[#This Row],[Grist]],SMI,0)),0,1))))</f>
        <v>-</v>
      </c>
      <c r="Z409" s="127" t="str">
        <f>IF(INDEX(Resmin,MATCH(Table36[[#This Row],[Grist]],SMI,0))="-","-",IF(Table36[[#This Row],[Resistance, max]]="-","-",IF(Table36[[#This Row],[Resistance, max]]&lt;INDEX(Resmin,MATCH(Table36[[#This Row],[Grist]],SMI,0)),0,IF(Table36[[#This Row],[Resistance, max]]&gt;INDEX(Resmax,MATCH(Table36[[#This Row],[Grist]],SMI,0)),0,1))))</f>
        <v>-</v>
      </c>
      <c r="AA409" s="127">
        <f>IF(INDEX(WGmin,MATCH(Table36[[#This Row],[Grist]],SMI,0))="-","-",IF(Table36[[#This Row],[%Wet Gluten]]="-","-",IF(Table36[[#This Row],[%Wet Gluten]]&lt;INDEX(WGmin,MATCH(Table36[[#This Row],[Grist]],SMI,0)),0,IF(Table36[[#This Row],[%Wet Gluten]]&gt;INDEX(WGmax,MATCH(Table36[[#This Row],[Grist]],SMI,0)),0,1))))</f>
        <v>0</v>
      </c>
      <c r="AB409" s="127">
        <f>SUM(Table36[[#This Row],[ QI Bran Content]:[QI WG]])</f>
        <v>4</v>
      </c>
      <c r="AC409" s="127">
        <f>COUNT(Table36[[#This Row],[ QI Bran Content]:[QI WG]])</f>
        <v>5</v>
      </c>
    </row>
    <row r="410" spans="1:29" x14ac:dyDescent="0.35">
      <c r="A410" s="177">
        <v>45328</v>
      </c>
      <c r="B410" s="178">
        <v>45341</v>
      </c>
      <c r="C410" s="178" t="s">
        <v>125</v>
      </c>
      <c r="D410" s="179" t="s">
        <v>237</v>
      </c>
      <c r="E410" s="180" t="s">
        <v>0</v>
      </c>
      <c r="F410" s="181" t="s">
        <v>27</v>
      </c>
      <c r="G410" s="182">
        <v>3.0000000000000001E-3</v>
      </c>
      <c r="H410" s="175" t="s">
        <v>165</v>
      </c>
      <c r="I410" s="175" t="s">
        <v>165</v>
      </c>
      <c r="J410" s="175" t="s">
        <v>165</v>
      </c>
      <c r="K410" s="175">
        <v>12.6</v>
      </c>
      <c r="L410" s="175" t="s">
        <v>163</v>
      </c>
      <c r="M410" s="175" t="s">
        <v>163</v>
      </c>
      <c r="N410" s="175" t="s">
        <v>163</v>
      </c>
      <c r="O410" s="175" t="s">
        <v>163</v>
      </c>
      <c r="P410" s="175" t="s">
        <v>163</v>
      </c>
      <c r="Q410" s="175"/>
      <c r="R410" s="127">
        <f>IF(Table36[[#This Row],[ Bran Content]]="-","-",IF(G410&lt;0.02,1,0))</f>
        <v>1</v>
      </c>
      <c r="S410" s="127">
        <f>IF(Table36[[#This Row],[Sieve Test]]="-","-",IF(Table36[[#This Row],[Sieve Test]]="P",1,0))</f>
        <v>1</v>
      </c>
      <c r="T410" s="127">
        <f>IF(Table36[[#This Row],[Odor]]="-","-",IF(Table36[[#This Row],[Odor]]="P",1,0))</f>
        <v>1</v>
      </c>
      <c r="U410" s="127">
        <f>IF(INDEX(MCmin,MATCH(Table36[[#This Row],[Grist]],SMI,0))="-","-",IF(Table36[[#This Row],[F1 %MC]]="-","-",IF(Table36[[#This Row],[F1 %MC]]&lt;INDEX(MCmin,MATCH(Table36[[#This Row],[Grist]],SMI,0)),0,IF(Table36[[#This Row],[F1 %MC]]&gt;INDEX(MCmax,MATCH(Table36[[#This Row],[Grist]],SMI,0)),0,1))))</f>
        <v>1</v>
      </c>
      <c r="V410" s="127" t="str">
        <f>IF(INDEX(Protmin,MATCH(Table36[[#This Row],[Grist]],SMI,0))="-","-",IF(Table36[[#This Row],[%Protein]]="-","-",IF(Table36[[#This Row],[%Protein]]&lt;INDEX(Protmin,MATCH(Table36[[#This Row],[Grist]],SMI,0)),0,IF(Table36[[#This Row],[%Protein]]&gt;INDEX(Protmax,MATCH(Table36[[#This Row],[Grist]],SMI,0)),0,1))))</f>
        <v>-</v>
      </c>
      <c r="W410" s="127" t="str">
        <f>IF(INDEX(Ashmin,MATCH(Table36[[#This Row],[Grist]],SMI,0))="-","-",IF(Table36[[#This Row],[%Ash]]="-","-",IF(Table36[[#This Row],[%Ash]]&lt;INDEX(Ashmin,MATCH(Table36[[#This Row],[Grist]],SMI,0)),0,IF(Table36[[#This Row],[%Ash]]&gt;INDEX(Ashmax,MATCH(Table36[[#This Row],[Grist]],SMI,0)),0,1))))</f>
        <v>-</v>
      </c>
      <c r="X410" s="127" t="str">
        <f>IF(INDEX(Absmin,MATCH(Table36[[#This Row],[Grist]],SMI,0))="-","-",IF(Table36[[#This Row],[%Absorption]]="-","-",IF(Table36[[#This Row],[%Absorption]]&lt;INDEX(Absmin,MATCH(Table36[[#This Row],[Grist]],SMI,0)),0,IF(Table36[[#This Row],[%Absorption]]&gt;INDEX(Absmax,MATCH(Table36[[#This Row],[Grist]],SMI,0)),0,1))))</f>
        <v>-</v>
      </c>
      <c r="Y410" s="127" t="str">
        <f>IF(INDEX(Extmin,MATCH(Table36[[#This Row],[Grist]],SMI,0))="-","-",IF(Table36[[#This Row],[%Extensibility]]="-","-",IF(Table36[[#This Row],[%Extensibility]]&lt;INDEX(Extmin,MATCH(Table36[[#This Row],[Grist]],SMI,0)),0,IF(Table36[[#This Row],[%Extensibility]]&gt;INDEX(Extmax,MATCH(Table36[[#This Row],[Grist]],SMI,0)),0,1))))</f>
        <v>-</v>
      </c>
      <c r="Z410" s="127" t="str">
        <f>IF(INDEX(Resmin,MATCH(Table36[[#This Row],[Grist]],SMI,0))="-","-",IF(Table36[[#This Row],[Resistance, max]]="-","-",IF(Table36[[#This Row],[Resistance, max]]&lt;INDEX(Resmin,MATCH(Table36[[#This Row],[Grist]],SMI,0)),0,IF(Table36[[#This Row],[Resistance, max]]&gt;INDEX(Resmax,MATCH(Table36[[#This Row],[Grist]],SMI,0)),0,1))))</f>
        <v>-</v>
      </c>
      <c r="AA410" s="127">
        <f>IF(INDEX(WGmin,MATCH(Table36[[#This Row],[Grist]],SMI,0))="-","-",IF(Table36[[#This Row],[%Wet Gluten]]="-","-",IF(Table36[[#This Row],[%Wet Gluten]]&lt;INDEX(WGmin,MATCH(Table36[[#This Row],[Grist]],SMI,0)),0,IF(Table36[[#This Row],[%Wet Gluten]]&gt;INDEX(WGmax,MATCH(Table36[[#This Row],[Grist]],SMI,0)),0,1))))</f>
        <v>0</v>
      </c>
      <c r="AB410" s="127">
        <f>SUM(Table36[[#This Row],[ QI Bran Content]:[QI WG]])</f>
        <v>4</v>
      </c>
      <c r="AC410" s="127">
        <f>COUNT(Table36[[#This Row],[ QI Bran Content]:[QI WG]])</f>
        <v>5</v>
      </c>
    </row>
    <row r="411" spans="1:29" x14ac:dyDescent="0.35">
      <c r="A411" s="177">
        <v>45328</v>
      </c>
      <c r="B411" s="178">
        <v>45341</v>
      </c>
      <c r="C411" s="178" t="s">
        <v>125</v>
      </c>
      <c r="D411" s="179" t="s">
        <v>238</v>
      </c>
      <c r="E411" s="180" t="s">
        <v>0</v>
      </c>
      <c r="F411" s="181" t="s">
        <v>27</v>
      </c>
      <c r="G411" s="182">
        <v>7.0000000000000001E-3</v>
      </c>
      <c r="H411" s="175" t="s">
        <v>165</v>
      </c>
      <c r="I411" s="175" t="s">
        <v>165</v>
      </c>
      <c r="J411" s="175" t="s">
        <v>165</v>
      </c>
      <c r="K411" s="175">
        <v>12.77</v>
      </c>
      <c r="L411" s="175" t="s">
        <v>163</v>
      </c>
      <c r="M411" s="175" t="s">
        <v>163</v>
      </c>
      <c r="N411" s="175" t="s">
        <v>163</v>
      </c>
      <c r="O411" s="175" t="s">
        <v>163</v>
      </c>
      <c r="P411" s="175" t="s">
        <v>163</v>
      </c>
      <c r="Q411" s="175"/>
      <c r="R411" s="127">
        <f>IF(Table36[[#This Row],[ Bran Content]]="-","-",IF(G411&lt;0.02,1,0))</f>
        <v>1</v>
      </c>
      <c r="S411" s="127">
        <f>IF(Table36[[#This Row],[Sieve Test]]="-","-",IF(Table36[[#This Row],[Sieve Test]]="P",1,0))</f>
        <v>1</v>
      </c>
      <c r="T411" s="127">
        <f>IF(Table36[[#This Row],[Odor]]="-","-",IF(Table36[[#This Row],[Odor]]="P",1,0))</f>
        <v>1</v>
      </c>
      <c r="U411" s="127">
        <f>IF(INDEX(MCmin,MATCH(Table36[[#This Row],[Grist]],SMI,0))="-","-",IF(Table36[[#This Row],[F1 %MC]]="-","-",IF(Table36[[#This Row],[F1 %MC]]&lt;INDEX(MCmin,MATCH(Table36[[#This Row],[Grist]],SMI,0)),0,IF(Table36[[#This Row],[F1 %MC]]&gt;INDEX(MCmax,MATCH(Table36[[#This Row],[Grist]],SMI,0)),0,1))))</f>
        <v>1</v>
      </c>
      <c r="V411" s="127" t="str">
        <f>IF(INDEX(Protmin,MATCH(Table36[[#This Row],[Grist]],SMI,0))="-","-",IF(Table36[[#This Row],[%Protein]]="-","-",IF(Table36[[#This Row],[%Protein]]&lt;INDEX(Protmin,MATCH(Table36[[#This Row],[Grist]],SMI,0)),0,IF(Table36[[#This Row],[%Protein]]&gt;INDEX(Protmax,MATCH(Table36[[#This Row],[Grist]],SMI,0)),0,1))))</f>
        <v>-</v>
      </c>
      <c r="W411" s="127" t="str">
        <f>IF(INDEX(Ashmin,MATCH(Table36[[#This Row],[Grist]],SMI,0))="-","-",IF(Table36[[#This Row],[%Ash]]="-","-",IF(Table36[[#This Row],[%Ash]]&lt;INDEX(Ashmin,MATCH(Table36[[#This Row],[Grist]],SMI,0)),0,IF(Table36[[#This Row],[%Ash]]&gt;INDEX(Ashmax,MATCH(Table36[[#This Row],[Grist]],SMI,0)),0,1))))</f>
        <v>-</v>
      </c>
      <c r="X411" s="127" t="str">
        <f>IF(INDEX(Absmin,MATCH(Table36[[#This Row],[Grist]],SMI,0))="-","-",IF(Table36[[#This Row],[%Absorption]]="-","-",IF(Table36[[#This Row],[%Absorption]]&lt;INDEX(Absmin,MATCH(Table36[[#This Row],[Grist]],SMI,0)),0,IF(Table36[[#This Row],[%Absorption]]&gt;INDEX(Absmax,MATCH(Table36[[#This Row],[Grist]],SMI,0)),0,1))))</f>
        <v>-</v>
      </c>
      <c r="Y411" s="127" t="str">
        <f>IF(INDEX(Extmin,MATCH(Table36[[#This Row],[Grist]],SMI,0))="-","-",IF(Table36[[#This Row],[%Extensibility]]="-","-",IF(Table36[[#This Row],[%Extensibility]]&lt;INDEX(Extmin,MATCH(Table36[[#This Row],[Grist]],SMI,0)),0,IF(Table36[[#This Row],[%Extensibility]]&gt;INDEX(Extmax,MATCH(Table36[[#This Row],[Grist]],SMI,0)),0,1))))</f>
        <v>-</v>
      </c>
      <c r="Z411" s="127" t="str">
        <f>IF(INDEX(Resmin,MATCH(Table36[[#This Row],[Grist]],SMI,0))="-","-",IF(Table36[[#This Row],[Resistance, max]]="-","-",IF(Table36[[#This Row],[Resistance, max]]&lt;INDEX(Resmin,MATCH(Table36[[#This Row],[Grist]],SMI,0)),0,IF(Table36[[#This Row],[Resistance, max]]&gt;INDEX(Resmax,MATCH(Table36[[#This Row],[Grist]],SMI,0)),0,1))))</f>
        <v>-</v>
      </c>
      <c r="AA411" s="127">
        <f>IF(INDEX(WGmin,MATCH(Table36[[#This Row],[Grist]],SMI,0))="-","-",IF(Table36[[#This Row],[%Wet Gluten]]="-","-",IF(Table36[[#This Row],[%Wet Gluten]]&lt;INDEX(WGmin,MATCH(Table36[[#This Row],[Grist]],SMI,0)),0,IF(Table36[[#This Row],[%Wet Gluten]]&gt;INDEX(WGmax,MATCH(Table36[[#This Row],[Grist]],SMI,0)),0,1))))</f>
        <v>0</v>
      </c>
      <c r="AB411" s="127">
        <f>SUM(Table36[[#This Row],[ QI Bran Content]:[QI WG]])</f>
        <v>4</v>
      </c>
      <c r="AC411" s="127">
        <f>COUNT(Table36[[#This Row],[ QI Bran Content]:[QI WG]])</f>
        <v>5</v>
      </c>
    </row>
    <row r="412" spans="1:29" x14ac:dyDescent="0.35">
      <c r="A412" s="177">
        <v>45328</v>
      </c>
      <c r="B412" s="178">
        <v>45341</v>
      </c>
      <c r="C412" s="178" t="s">
        <v>128</v>
      </c>
      <c r="D412" s="179">
        <v>0.625</v>
      </c>
      <c r="E412" s="180" t="s">
        <v>0</v>
      </c>
      <c r="F412" s="181" t="s">
        <v>27</v>
      </c>
      <c r="G412" s="182">
        <v>5.4999999999999997E-3</v>
      </c>
      <c r="H412" s="175" t="s">
        <v>165</v>
      </c>
      <c r="I412" s="175" t="s">
        <v>165</v>
      </c>
      <c r="J412" s="175" t="s">
        <v>165</v>
      </c>
      <c r="K412" s="175">
        <v>12.23</v>
      </c>
      <c r="L412" s="175">
        <v>13.35</v>
      </c>
      <c r="M412" s="175">
        <v>0.5</v>
      </c>
      <c r="N412" s="175">
        <v>64.2</v>
      </c>
      <c r="O412" s="175" t="s">
        <v>163</v>
      </c>
      <c r="P412" s="175" t="s">
        <v>163</v>
      </c>
      <c r="Q412" s="175"/>
      <c r="R412" s="127">
        <f>IF(Table36[[#This Row],[ Bran Content]]="-","-",IF(G412&lt;0.02,1,0))</f>
        <v>1</v>
      </c>
      <c r="S412" s="127">
        <f>IF(Table36[[#This Row],[Sieve Test]]="-","-",IF(Table36[[#This Row],[Sieve Test]]="P",1,0))</f>
        <v>1</v>
      </c>
      <c r="T412" s="127">
        <f>IF(Table36[[#This Row],[Odor]]="-","-",IF(Table36[[#This Row],[Odor]]="P",1,0))</f>
        <v>1</v>
      </c>
      <c r="U412" s="127">
        <f>IF(INDEX(MCmin,MATCH(Table36[[#This Row],[Grist]],SMI,0))="-","-",IF(Table36[[#This Row],[F1 %MC]]="-","-",IF(Table36[[#This Row],[F1 %MC]]&lt;INDEX(MCmin,MATCH(Table36[[#This Row],[Grist]],SMI,0)),0,IF(Table36[[#This Row],[F1 %MC]]&gt;INDEX(MCmax,MATCH(Table36[[#This Row],[Grist]],SMI,0)),0,1))))</f>
        <v>1</v>
      </c>
      <c r="V412" s="127">
        <f>IF(INDEX(Protmin,MATCH(Table36[[#This Row],[Grist]],SMI,0))="-","-",IF(Table36[[#This Row],[%Protein]]="-","-",IF(Table36[[#This Row],[%Protein]]&lt;INDEX(Protmin,MATCH(Table36[[#This Row],[Grist]],SMI,0)),0,IF(Table36[[#This Row],[%Protein]]&gt;INDEX(Protmax,MATCH(Table36[[#This Row],[Grist]],SMI,0)),0,1))))</f>
        <v>1</v>
      </c>
      <c r="W412" s="127">
        <f>IF(INDEX(Ashmin,MATCH(Table36[[#This Row],[Grist]],SMI,0))="-","-",IF(Table36[[#This Row],[%Ash]]="-","-",IF(Table36[[#This Row],[%Ash]]&lt;INDEX(Ashmin,MATCH(Table36[[#This Row],[Grist]],SMI,0)),0,IF(Table36[[#This Row],[%Ash]]&gt;INDEX(Ashmax,MATCH(Table36[[#This Row],[Grist]],SMI,0)),0,1))))</f>
        <v>1</v>
      </c>
      <c r="X412" s="127">
        <f>IF(INDEX(Absmin,MATCH(Table36[[#This Row],[Grist]],SMI,0))="-","-",IF(Table36[[#This Row],[%Absorption]]="-","-",IF(Table36[[#This Row],[%Absorption]]&lt;INDEX(Absmin,MATCH(Table36[[#This Row],[Grist]],SMI,0)),0,IF(Table36[[#This Row],[%Absorption]]&gt;INDEX(Absmax,MATCH(Table36[[#This Row],[Grist]],SMI,0)),0,1))))</f>
        <v>1</v>
      </c>
      <c r="Y412" s="127" t="str">
        <f>IF(INDEX(Extmin,MATCH(Table36[[#This Row],[Grist]],SMI,0))="-","-",IF(Table36[[#This Row],[%Extensibility]]="-","-",IF(Table36[[#This Row],[%Extensibility]]&lt;INDEX(Extmin,MATCH(Table36[[#This Row],[Grist]],SMI,0)),0,IF(Table36[[#This Row],[%Extensibility]]&gt;INDEX(Extmax,MATCH(Table36[[#This Row],[Grist]],SMI,0)),0,1))))</f>
        <v>-</v>
      </c>
      <c r="Z412" s="127" t="str">
        <f>IF(INDEX(Resmin,MATCH(Table36[[#This Row],[Grist]],SMI,0))="-","-",IF(Table36[[#This Row],[Resistance, max]]="-","-",IF(Table36[[#This Row],[Resistance, max]]&lt;INDEX(Resmin,MATCH(Table36[[#This Row],[Grist]],SMI,0)),0,IF(Table36[[#This Row],[Resistance, max]]&gt;INDEX(Resmax,MATCH(Table36[[#This Row],[Grist]],SMI,0)),0,1))))</f>
        <v>-</v>
      </c>
      <c r="AA412" s="127">
        <f>IF(INDEX(WGmin,MATCH(Table36[[#This Row],[Grist]],SMI,0))="-","-",IF(Table36[[#This Row],[%Wet Gluten]]="-","-",IF(Table36[[#This Row],[%Wet Gluten]]&lt;INDEX(WGmin,MATCH(Table36[[#This Row],[Grist]],SMI,0)),0,IF(Table36[[#This Row],[%Wet Gluten]]&gt;INDEX(WGmax,MATCH(Table36[[#This Row],[Grist]],SMI,0)),0,1))))</f>
        <v>0</v>
      </c>
      <c r="AB412" s="127">
        <f>SUM(Table36[[#This Row],[ QI Bran Content]:[QI WG]])</f>
        <v>7</v>
      </c>
      <c r="AC412" s="127">
        <f>COUNT(Table36[[#This Row],[ QI Bran Content]:[QI WG]])</f>
        <v>8</v>
      </c>
    </row>
    <row r="413" spans="1:29" x14ac:dyDescent="0.35">
      <c r="A413" s="177">
        <v>45328</v>
      </c>
      <c r="B413" s="178">
        <v>45341</v>
      </c>
      <c r="C413" s="178" t="s">
        <v>128</v>
      </c>
      <c r="D413" s="179">
        <v>0.70833333333333304</v>
      </c>
      <c r="E413" s="180" t="s">
        <v>0</v>
      </c>
      <c r="F413" s="181" t="s">
        <v>27</v>
      </c>
      <c r="G413" s="182">
        <v>4.5999999999999999E-3</v>
      </c>
      <c r="H413" s="175" t="s">
        <v>165</v>
      </c>
      <c r="I413" s="175" t="s">
        <v>165</v>
      </c>
      <c r="J413" s="175" t="s">
        <v>165</v>
      </c>
      <c r="K413" s="175">
        <v>12.37</v>
      </c>
      <c r="L413" s="175">
        <v>13.35</v>
      </c>
      <c r="M413" s="175">
        <v>0.5</v>
      </c>
      <c r="N413" s="175">
        <v>64.2</v>
      </c>
      <c r="O413" s="175" t="s">
        <v>163</v>
      </c>
      <c r="P413" s="175" t="s">
        <v>163</v>
      </c>
      <c r="Q413" s="175"/>
      <c r="R413" s="127">
        <f>IF(Table36[[#This Row],[ Bran Content]]="-","-",IF(G413&lt;0.02,1,0))</f>
        <v>1</v>
      </c>
      <c r="S413" s="127">
        <f>IF(Table36[[#This Row],[Sieve Test]]="-","-",IF(Table36[[#This Row],[Sieve Test]]="P",1,0))</f>
        <v>1</v>
      </c>
      <c r="T413" s="127">
        <f>IF(Table36[[#This Row],[Odor]]="-","-",IF(Table36[[#This Row],[Odor]]="P",1,0))</f>
        <v>1</v>
      </c>
      <c r="U413" s="127">
        <f>IF(INDEX(MCmin,MATCH(Table36[[#This Row],[Grist]],SMI,0))="-","-",IF(Table36[[#This Row],[F1 %MC]]="-","-",IF(Table36[[#This Row],[F1 %MC]]&lt;INDEX(MCmin,MATCH(Table36[[#This Row],[Grist]],SMI,0)),0,IF(Table36[[#This Row],[F1 %MC]]&gt;INDEX(MCmax,MATCH(Table36[[#This Row],[Grist]],SMI,0)),0,1))))</f>
        <v>1</v>
      </c>
      <c r="V413" s="127">
        <f>IF(INDEX(Protmin,MATCH(Table36[[#This Row],[Grist]],SMI,0))="-","-",IF(Table36[[#This Row],[%Protein]]="-","-",IF(Table36[[#This Row],[%Protein]]&lt;INDEX(Protmin,MATCH(Table36[[#This Row],[Grist]],SMI,0)),0,IF(Table36[[#This Row],[%Protein]]&gt;INDEX(Protmax,MATCH(Table36[[#This Row],[Grist]],SMI,0)),0,1))))</f>
        <v>1</v>
      </c>
      <c r="W413" s="127">
        <f>IF(INDEX(Ashmin,MATCH(Table36[[#This Row],[Grist]],SMI,0))="-","-",IF(Table36[[#This Row],[%Ash]]="-","-",IF(Table36[[#This Row],[%Ash]]&lt;INDEX(Ashmin,MATCH(Table36[[#This Row],[Grist]],SMI,0)),0,IF(Table36[[#This Row],[%Ash]]&gt;INDEX(Ashmax,MATCH(Table36[[#This Row],[Grist]],SMI,0)),0,1))))</f>
        <v>1</v>
      </c>
      <c r="X413" s="127">
        <f>IF(INDEX(Absmin,MATCH(Table36[[#This Row],[Grist]],SMI,0))="-","-",IF(Table36[[#This Row],[%Absorption]]="-","-",IF(Table36[[#This Row],[%Absorption]]&lt;INDEX(Absmin,MATCH(Table36[[#This Row],[Grist]],SMI,0)),0,IF(Table36[[#This Row],[%Absorption]]&gt;INDEX(Absmax,MATCH(Table36[[#This Row],[Grist]],SMI,0)),0,1))))</f>
        <v>1</v>
      </c>
      <c r="Y413" s="127" t="str">
        <f>IF(INDEX(Extmin,MATCH(Table36[[#This Row],[Grist]],SMI,0))="-","-",IF(Table36[[#This Row],[%Extensibility]]="-","-",IF(Table36[[#This Row],[%Extensibility]]&lt;INDEX(Extmin,MATCH(Table36[[#This Row],[Grist]],SMI,0)),0,IF(Table36[[#This Row],[%Extensibility]]&gt;INDEX(Extmax,MATCH(Table36[[#This Row],[Grist]],SMI,0)),0,1))))</f>
        <v>-</v>
      </c>
      <c r="Z413" s="127" t="str">
        <f>IF(INDEX(Resmin,MATCH(Table36[[#This Row],[Grist]],SMI,0))="-","-",IF(Table36[[#This Row],[Resistance, max]]="-","-",IF(Table36[[#This Row],[Resistance, max]]&lt;INDEX(Resmin,MATCH(Table36[[#This Row],[Grist]],SMI,0)),0,IF(Table36[[#This Row],[Resistance, max]]&gt;INDEX(Resmax,MATCH(Table36[[#This Row],[Grist]],SMI,0)),0,1))))</f>
        <v>-</v>
      </c>
      <c r="AA413" s="127">
        <f>IF(INDEX(WGmin,MATCH(Table36[[#This Row],[Grist]],SMI,0))="-","-",IF(Table36[[#This Row],[%Wet Gluten]]="-","-",IF(Table36[[#This Row],[%Wet Gluten]]&lt;INDEX(WGmin,MATCH(Table36[[#This Row],[Grist]],SMI,0)),0,IF(Table36[[#This Row],[%Wet Gluten]]&gt;INDEX(WGmax,MATCH(Table36[[#This Row],[Grist]],SMI,0)),0,1))))</f>
        <v>0</v>
      </c>
      <c r="AB413" s="127">
        <f>SUM(Table36[[#This Row],[ QI Bran Content]:[QI WG]])</f>
        <v>7</v>
      </c>
      <c r="AC413" s="127">
        <f>COUNT(Table36[[#This Row],[ QI Bran Content]:[QI WG]])</f>
        <v>8</v>
      </c>
    </row>
    <row r="414" spans="1:29" x14ac:dyDescent="0.35">
      <c r="A414" s="177">
        <v>45328</v>
      </c>
      <c r="B414" s="178">
        <v>45341</v>
      </c>
      <c r="C414" s="178" t="s">
        <v>128</v>
      </c>
      <c r="D414" s="179">
        <v>0.79166666666666596</v>
      </c>
      <c r="E414" s="180" t="s">
        <v>0</v>
      </c>
      <c r="F414" s="181" t="s">
        <v>27</v>
      </c>
      <c r="G414" s="182">
        <v>7.1000000000000004E-3</v>
      </c>
      <c r="H414" s="175" t="s">
        <v>165</v>
      </c>
      <c r="I414" s="175" t="s">
        <v>165</v>
      </c>
      <c r="J414" s="175" t="s">
        <v>165</v>
      </c>
      <c r="K414" s="175">
        <v>12.63</v>
      </c>
      <c r="L414" s="175">
        <v>13.35</v>
      </c>
      <c r="M414" s="175">
        <v>0.5</v>
      </c>
      <c r="N414" s="175">
        <v>64.2</v>
      </c>
      <c r="O414" s="175" t="s">
        <v>163</v>
      </c>
      <c r="P414" s="175" t="s">
        <v>163</v>
      </c>
      <c r="Q414" s="175"/>
      <c r="R414" s="127">
        <f>IF(Table36[[#This Row],[ Bran Content]]="-","-",IF(G414&lt;0.02,1,0))</f>
        <v>1</v>
      </c>
      <c r="S414" s="127">
        <f>IF(Table36[[#This Row],[Sieve Test]]="-","-",IF(Table36[[#This Row],[Sieve Test]]="P",1,0))</f>
        <v>1</v>
      </c>
      <c r="T414" s="127">
        <f>IF(Table36[[#This Row],[Odor]]="-","-",IF(Table36[[#This Row],[Odor]]="P",1,0))</f>
        <v>1</v>
      </c>
      <c r="U414" s="127">
        <f>IF(INDEX(MCmin,MATCH(Table36[[#This Row],[Grist]],SMI,0))="-","-",IF(Table36[[#This Row],[F1 %MC]]="-","-",IF(Table36[[#This Row],[F1 %MC]]&lt;INDEX(MCmin,MATCH(Table36[[#This Row],[Grist]],SMI,0)),0,IF(Table36[[#This Row],[F1 %MC]]&gt;INDEX(MCmax,MATCH(Table36[[#This Row],[Grist]],SMI,0)),0,1))))</f>
        <v>1</v>
      </c>
      <c r="V414" s="127">
        <f>IF(INDEX(Protmin,MATCH(Table36[[#This Row],[Grist]],SMI,0))="-","-",IF(Table36[[#This Row],[%Protein]]="-","-",IF(Table36[[#This Row],[%Protein]]&lt;INDEX(Protmin,MATCH(Table36[[#This Row],[Grist]],SMI,0)),0,IF(Table36[[#This Row],[%Protein]]&gt;INDEX(Protmax,MATCH(Table36[[#This Row],[Grist]],SMI,0)),0,1))))</f>
        <v>1</v>
      </c>
      <c r="W414" s="127">
        <f>IF(INDEX(Ashmin,MATCH(Table36[[#This Row],[Grist]],SMI,0))="-","-",IF(Table36[[#This Row],[%Ash]]="-","-",IF(Table36[[#This Row],[%Ash]]&lt;INDEX(Ashmin,MATCH(Table36[[#This Row],[Grist]],SMI,0)),0,IF(Table36[[#This Row],[%Ash]]&gt;INDEX(Ashmax,MATCH(Table36[[#This Row],[Grist]],SMI,0)),0,1))))</f>
        <v>1</v>
      </c>
      <c r="X414" s="127">
        <f>IF(INDEX(Absmin,MATCH(Table36[[#This Row],[Grist]],SMI,0))="-","-",IF(Table36[[#This Row],[%Absorption]]="-","-",IF(Table36[[#This Row],[%Absorption]]&lt;INDEX(Absmin,MATCH(Table36[[#This Row],[Grist]],SMI,0)),0,IF(Table36[[#This Row],[%Absorption]]&gt;INDEX(Absmax,MATCH(Table36[[#This Row],[Grist]],SMI,0)),0,1))))</f>
        <v>1</v>
      </c>
      <c r="Y414" s="127" t="str">
        <f>IF(INDEX(Extmin,MATCH(Table36[[#This Row],[Grist]],SMI,0))="-","-",IF(Table36[[#This Row],[%Extensibility]]="-","-",IF(Table36[[#This Row],[%Extensibility]]&lt;INDEX(Extmin,MATCH(Table36[[#This Row],[Grist]],SMI,0)),0,IF(Table36[[#This Row],[%Extensibility]]&gt;INDEX(Extmax,MATCH(Table36[[#This Row],[Grist]],SMI,0)),0,1))))</f>
        <v>-</v>
      </c>
      <c r="Z414" s="127" t="str">
        <f>IF(INDEX(Resmin,MATCH(Table36[[#This Row],[Grist]],SMI,0))="-","-",IF(Table36[[#This Row],[Resistance, max]]="-","-",IF(Table36[[#This Row],[Resistance, max]]&lt;INDEX(Resmin,MATCH(Table36[[#This Row],[Grist]],SMI,0)),0,IF(Table36[[#This Row],[Resistance, max]]&gt;INDEX(Resmax,MATCH(Table36[[#This Row],[Grist]],SMI,0)),0,1))))</f>
        <v>-</v>
      </c>
      <c r="AA414" s="127">
        <f>IF(INDEX(WGmin,MATCH(Table36[[#This Row],[Grist]],SMI,0))="-","-",IF(Table36[[#This Row],[%Wet Gluten]]="-","-",IF(Table36[[#This Row],[%Wet Gluten]]&lt;INDEX(WGmin,MATCH(Table36[[#This Row],[Grist]],SMI,0)),0,IF(Table36[[#This Row],[%Wet Gluten]]&gt;INDEX(WGmax,MATCH(Table36[[#This Row],[Grist]],SMI,0)),0,1))))</f>
        <v>0</v>
      </c>
      <c r="AB414" s="127">
        <f>SUM(Table36[[#This Row],[ QI Bran Content]:[QI WG]])</f>
        <v>7</v>
      </c>
      <c r="AC414" s="127">
        <f>COUNT(Table36[[#This Row],[ QI Bran Content]:[QI WG]])</f>
        <v>8</v>
      </c>
    </row>
    <row r="415" spans="1:29" x14ac:dyDescent="0.35">
      <c r="A415" s="177">
        <v>45328</v>
      </c>
      <c r="B415" s="178">
        <v>45341</v>
      </c>
      <c r="C415" s="178" t="s">
        <v>128</v>
      </c>
      <c r="D415" s="179">
        <v>0.874999999999999</v>
      </c>
      <c r="E415" s="180" t="s">
        <v>0</v>
      </c>
      <c r="F415" s="181" t="s">
        <v>27</v>
      </c>
      <c r="G415" s="182">
        <v>8.0000000000000002E-3</v>
      </c>
      <c r="H415" s="175" t="s">
        <v>165</v>
      </c>
      <c r="I415" s="175" t="s">
        <v>165</v>
      </c>
      <c r="J415" s="175" t="s">
        <v>165</v>
      </c>
      <c r="K415" s="175">
        <v>12.46</v>
      </c>
      <c r="L415" s="175">
        <v>13.35</v>
      </c>
      <c r="M415" s="175">
        <v>0.5</v>
      </c>
      <c r="N415" s="175">
        <v>64.2</v>
      </c>
      <c r="O415" s="175" t="s">
        <v>163</v>
      </c>
      <c r="P415" s="175" t="s">
        <v>163</v>
      </c>
      <c r="Q415" s="175"/>
      <c r="R415" s="127">
        <f>IF(Table36[[#This Row],[ Bran Content]]="-","-",IF(G415&lt;0.02,1,0))</f>
        <v>1</v>
      </c>
      <c r="S415" s="127">
        <f>IF(Table36[[#This Row],[Sieve Test]]="-","-",IF(Table36[[#This Row],[Sieve Test]]="P",1,0))</f>
        <v>1</v>
      </c>
      <c r="T415" s="127">
        <f>IF(Table36[[#This Row],[Odor]]="-","-",IF(Table36[[#This Row],[Odor]]="P",1,0))</f>
        <v>1</v>
      </c>
      <c r="U415" s="127">
        <f>IF(INDEX(MCmin,MATCH(Table36[[#This Row],[Grist]],SMI,0))="-","-",IF(Table36[[#This Row],[F1 %MC]]="-","-",IF(Table36[[#This Row],[F1 %MC]]&lt;INDEX(MCmin,MATCH(Table36[[#This Row],[Grist]],SMI,0)),0,IF(Table36[[#This Row],[F1 %MC]]&gt;INDEX(MCmax,MATCH(Table36[[#This Row],[Grist]],SMI,0)),0,1))))</f>
        <v>1</v>
      </c>
      <c r="V415" s="127">
        <f>IF(INDEX(Protmin,MATCH(Table36[[#This Row],[Grist]],SMI,0))="-","-",IF(Table36[[#This Row],[%Protein]]="-","-",IF(Table36[[#This Row],[%Protein]]&lt;INDEX(Protmin,MATCH(Table36[[#This Row],[Grist]],SMI,0)),0,IF(Table36[[#This Row],[%Protein]]&gt;INDEX(Protmax,MATCH(Table36[[#This Row],[Grist]],SMI,0)),0,1))))</f>
        <v>1</v>
      </c>
      <c r="W415" s="127">
        <f>IF(INDEX(Ashmin,MATCH(Table36[[#This Row],[Grist]],SMI,0))="-","-",IF(Table36[[#This Row],[%Ash]]="-","-",IF(Table36[[#This Row],[%Ash]]&lt;INDEX(Ashmin,MATCH(Table36[[#This Row],[Grist]],SMI,0)),0,IF(Table36[[#This Row],[%Ash]]&gt;INDEX(Ashmax,MATCH(Table36[[#This Row],[Grist]],SMI,0)),0,1))))</f>
        <v>1</v>
      </c>
      <c r="X415" s="127">
        <f>IF(INDEX(Absmin,MATCH(Table36[[#This Row],[Grist]],SMI,0))="-","-",IF(Table36[[#This Row],[%Absorption]]="-","-",IF(Table36[[#This Row],[%Absorption]]&lt;INDEX(Absmin,MATCH(Table36[[#This Row],[Grist]],SMI,0)),0,IF(Table36[[#This Row],[%Absorption]]&gt;INDEX(Absmax,MATCH(Table36[[#This Row],[Grist]],SMI,0)),0,1))))</f>
        <v>1</v>
      </c>
      <c r="Y415" s="127" t="str">
        <f>IF(INDEX(Extmin,MATCH(Table36[[#This Row],[Grist]],SMI,0))="-","-",IF(Table36[[#This Row],[%Extensibility]]="-","-",IF(Table36[[#This Row],[%Extensibility]]&lt;INDEX(Extmin,MATCH(Table36[[#This Row],[Grist]],SMI,0)),0,IF(Table36[[#This Row],[%Extensibility]]&gt;INDEX(Extmax,MATCH(Table36[[#This Row],[Grist]],SMI,0)),0,1))))</f>
        <v>-</v>
      </c>
      <c r="Z415" s="127" t="str">
        <f>IF(INDEX(Resmin,MATCH(Table36[[#This Row],[Grist]],SMI,0))="-","-",IF(Table36[[#This Row],[Resistance, max]]="-","-",IF(Table36[[#This Row],[Resistance, max]]&lt;INDEX(Resmin,MATCH(Table36[[#This Row],[Grist]],SMI,0)),0,IF(Table36[[#This Row],[Resistance, max]]&gt;INDEX(Resmax,MATCH(Table36[[#This Row],[Grist]],SMI,0)),0,1))))</f>
        <v>-</v>
      </c>
      <c r="AA415" s="127">
        <f>IF(INDEX(WGmin,MATCH(Table36[[#This Row],[Grist]],SMI,0))="-","-",IF(Table36[[#This Row],[%Wet Gluten]]="-","-",IF(Table36[[#This Row],[%Wet Gluten]]&lt;INDEX(WGmin,MATCH(Table36[[#This Row],[Grist]],SMI,0)),0,IF(Table36[[#This Row],[%Wet Gluten]]&gt;INDEX(WGmax,MATCH(Table36[[#This Row],[Grist]],SMI,0)),0,1))))</f>
        <v>0</v>
      </c>
      <c r="AB415" s="127">
        <f>SUM(Table36[[#This Row],[ QI Bran Content]:[QI WG]])</f>
        <v>7</v>
      </c>
      <c r="AC415" s="127">
        <f>COUNT(Table36[[#This Row],[ QI Bran Content]:[QI WG]])</f>
        <v>8</v>
      </c>
    </row>
    <row r="416" spans="1:29" x14ac:dyDescent="0.35">
      <c r="A416" s="177">
        <v>45328</v>
      </c>
      <c r="B416" s="178">
        <v>45342</v>
      </c>
      <c r="C416" s="178" t="s">
        <v>130</v>
      </c>
      <c r="D416" s="179">
        <v>0.95833333333333337</v>
      </c>
      <c r="E416" s="180" t="s">
        <v>0</v>
      </c>
      <c r="F416" s="181" t="s">
        <v>27</v>
      </c>
      <c r="G416" s="182">
        <v>6.6E-3</v>
      </c>
      <c r="H416" s="175" t="s">
        <v>165</v>
      </c>
      <c r="I416" s="175" t="s">
        <v>165</v>
      </c>
      <c r="J416" s="175" t="s">
        <v>165</v>
      </c>
      <c r="K416" s="175">
        <v>12.96</v>
      </c>
      <c r="L416" s="175">
        <v>13.71</v>
      </c>
      <c r="M416" s="175">
        <v>0.48</v>
      </c>
      <c r="N416" s="175">
        <v>64.7</v>
      </c>
      <c r="O416" s="175" t="s">
        <v>163</v>
      </c>
      <c r="P416" s="175" t="s">
        <v>163</v>
      </c>
      <c r="Q416" s="175"/>
      <c r="R416" s="127">
        <f>IF(Table36[[#This Row],[ Bran Content]]="-","-",IF(G416&lt;0.02,1,0))</f>
        <v>1</v>
      </c>
      <c r="S416" s="127">
        <f>IF(Table36[[#This Row],[Sieve Test]]="-","-",IF(Table36[[#This Row],[Sieve Test]]="P",1,0))</f>
        <v>1</v>
      </c>
      <c r="T416" s="127">
        <f>IF(Table36[[#This Row],[Odor]]="-","-",IF(Table36[[#This Row],[Odor]]="P",1,0))</f>
        <v>1</v>
      </c>
      <c r="U416" s="127">
        <f>IF(INDEX(MCmin,MATCH(Table36[[#This Row],[Grist]],SMI,0))="-","-",IF(Table36[[#This Row],[F1 %MC]]="-","-",IF(Table36[[#This Row],[F1 %MC]]&lt;INDEX(MCmin,MATCH(Table36[[#This Row],[Grist]],SMI,0)),0,IF(Table36[[#This Row],[F1 %MC]]&gt;INDEX(MCmax,MATCH(Table36[[#This Row],[Grist]],SMI,0)),0,1))))</f>
        <v>1</v>
      </c>
      <c r="V416" s="127">
        <f>IF(INDEX(Protmin,MATCH(Table36[[#This Row],[Grist]],SMI,0))="-","-",IF(Table36[[#This Row],[%Protein]]="-","-",IF(Table36[[#This Row],[%Protein]]&lt;INDEX(Protmin,MATCH(Table36[[#This Row],[Grist]],SMI,0)),0,IF(Table36[[#This Row],[%Protein]]&gt;INDEX(Protmax,MATCH(Table36[[#This Row],[Grist]],SMI,0)),0,1))))</f>
        <v>1</v>
      </c>
      <c r="W416" s="127">
        <f>IF(INDEX(Ashmin,MATCH(Table36[[#This Row],[Grist]],SMI,0))="-","-",IF(Table36[[#This Row],[%Ash]]="-","-",IF(Table36[[#This Row],[%Ash]]&lt;INDEX(Ashmin,MATCH(Table36[[#This Row],[Grist]],SMI,0)),0,IF(Table36[[#This Row],[%Ash]]&gt;INDEX(Ashmax,MATCH(Table36[[#This Row],[Grist]],SMI,0)),0,1))))</f>
        <v>1</v>
      </c>
      <c r="X416" s="127">
        <f>IF(INDEX(Absmin,MATCH(Table36[[#This Row],[Grist]],SMI,0))="-","-",IF(Table36[[#This Row],[%Absorption]]="-","-",IF(Table36[[#This Row],[%Absorption]]&lt;INDEX(Absmin,MATCH(Table36[[#This Row],[Grist]],SMI,0)),0,IF(Table36[[#This Row],[%Absorption]]&gt;INDEX(Absmax,MATCH(Table36[[#This Row],[Grist]],SMI,0)),0,1))))</f>
        <v>1</v>
      </c>
      <c r="Y416" s="127" t="str">
        <f>IF(INDEX(Extmin,MATCH(Table36[[#This Row],[Grist]],SMI,0))="-","-",IF(Table36[[#This Row],[%Extensibility]]="-","-",IF(Table36[[#This Row],[%Extensibility]]&lt;INDEX(Extmin,MATCH(Table36[[#This Row],[Grist]],SMI,0)),0,IF(Table36[[#This Row],[%Extensibility]]&gt;INDEX(Extmax,MATCH(Table36[[#This Row],[Grist]],SMI,0)),0,1))))</f>
        <v>-</v>
      </c>
      <c r="Z416" s="127" t="str">
        <f>IF(INDEX(Resmin,MATCH(Table36[[#This Row],[Grist]],SMI,0))="-","-",IF(Table36[[#This Row],[Resistance, max]]="-","-",IF(Table36[[#This Row],[Resistance, max]]&lt;INDEX(Resmin,MATCH(Table36[[#This Row],[Grist]],SMI,0)),0,IF(Table36[[#This Row],[Resistance, max]]&gt;INDEX(Resmax,MATCH(Table36[[#This Row],[Grist]],SMI,0)),0,1))))</f>
        <v>-</v>
      </c>
      <c r="AA416" s="127">
        <f>IF(INDEX(WGmin,MATCH(Table36[[#This Row],[Grist]],SMI,0))="-","-",IF(Table36[[#This Row],[%Wet Gluten]]="-","-",IF(Table36[[#This Row],[%Wet Gluten]]&lt;INDEX(WGmin,MATCH(Table36[[#This Row],[Grist]],SMI,0)),0,IF(Table36[[#This Row],[%Wet Gluten]]&gt;INDEX(WGmax,MATCH(Table36[[#This Row],[Grist]],SMI,0)),0,1))))</f>
        <v>0</v>
      </c>
      <c r="AB416" s="127">
        <f>SUM(Table36[[#This Row],[ QI Bran Content]:[QI WG]])</f>
        <v>7</v>
      </c>
      <c r="AC416" s="127">
        <f>COUNT(Table36[[#This Row],[ QI Bran Content]:[QI WG]])</f>
        <v>8</v>
      </c>
    </row>
    <row r="417" spans="1:29" x14ac:dyDescent="0.35">
      <c r="A417" s="177">
        <v>45328</v>
      </c>
      <c r="B417" s="178">
        <v>45342</v>
      </c>
      <c r="C417" s="178" t="s">
        <v>130</v>
      </c>
      <c r="D417" s="179">
        <v>1.0416666666666701</v>
      </c>
      <c r="E417" s="180" t="s">
        <v>0</v>
      </c>
      <c r="F417" s="181" t="s">
        <v>27</v>
      </c>
      <c r="G417" s="182">
        <v>8.6999999999999994E-3</v>
      </c>
      <c r="H417" s="175" t="s">
        <v>165</v>
      </c>
      <c r="I417" s="175" t="s">
        <v>165</v>
      </c>
      <c r="J417" s="175" t="s">
        <v>165</v>
      </c>
      <c r="K417" s="175">
        <v>12.74</v>
      </c>
      <c r="L417" s="175">
        <v>13.71</v>
      </c>
      <c r="M417" s="175">
        <v>0.48</v>
      </c>
      <c r="N417" s="175">
        <v>64.7</v>
      </c>
      <c r="O417" s="175" t="s">
        <v>163</v>
      </c>
      <c r="P417" s="175" t="s">
        <v>163</v>
      </c>
      <c r="Q417" s="175"/>
      <c r="R417" s="127">
        <f>IF(Table36[[#This Row],[ Bran Content]]="-","-",IF(G417&lt;0.02,1,0))</f>
        <v>1</v>
      </c>
      <c r="S417" s="127">
        <f>IF(Table36[[#This Row],[Sieve Test]]="-","-",IF(Table36[[#This Row],[Sieve Test]]="P",1,0))</f>
        <v>1</v>
      </c>
      <c r="T417" s="127">
        <f>IF(Table36[[#This Row],[Odor]]="-","-",IF(Table36[[#This Row],[Odor]]="P",1,0))</f>
        <v>1</v>
      </c>
      <c r="U417" s="127">
        <f>IF(INDEX(MCmin,MATCH(Table36[[#This Row],[Grist]],SMI,0))="-","-",IF(Table36[[#This Row],[F1 %MC]]="-","-",IF(Table36[[#This Row],[F1 %MC]]&lt;INDEX(MCmin,MATCH(Table36[[#This Row],[Grist]],SMI,0)),0,IF(Table36[[#This Row],[F1 %MC]]&gt;INDEX(MCmax,MATCH(Table36[[#This Row],[Grist]],SMI,0)),0,1))))</f>
        <v>1</v>
      </c>
      <c r="V417" s="127">
        <f>IF(INDEX(Protmin,MATCH(Table36[[#This Row],[Grist]],SMI,0))="-","-",IF(Table36[[#This Row],[%Protein]]="-","-",IF(Table36[[#This Row],[%Protein]]&lt;INDEX(Protmin,MATCH(Table36[[#This Row],[Grist]],SMI,0)),0,IF(Table36[[#This Row],[%Protein]]&gt;INDEX(Protmax,MATCH(Table36[[#This Row],[Grist]],SMI,0)),0,1))))</f>
        <v>1</v>
      </c>
      <c r="W417" s="127">
        <f>IF(INDEX(Ashmin,MATCH(Table36[[#This Row],[Grist]],SMI,0))="-","-",IF(Table36[[#This Row],[%Ash]]="-","-",IF(Table36[[#This Row],[%Ash]]&lt;INDEX(Ashmin,MATCH(Table36[[#This Row],[Grist]],SMI,0)),0,IF(Table36[[#This Row],[%Ash]]&gt;INDEX(Ashmax,MATCH(Table36[[#This Row],[Grist]],SMI,0)),0,1))))</f>
        <v>1</v>
      </c>
      <c r="X417" s="127">
        <f>IF(INDEX(Absmin,MATCH(Table36[[#This Row],[Grist]],SMI,0))="-","-",IF(Table36[[#This Row],[%Absorption]]="-","-",IF(Table36[[#This Row],[%Absorption]]&lt;INDEX(Absmin,MATCH(Table36[[#This Row],[Grist]],SMI,0)),0,IF(Table36[[#This Row],[%Absorption]]&gt;INDEX(Absmax,MATCH(Table36[[#This Row],[Grist]],SMI,0)),0,1))))</f>
        <v>1</v>
      </c>
      <c r="Y417" s="127" t="str">
        <f>IF(INDEX(Extmin,MATCH(Table36[[#This Row],[Grist]],SMI,0))="-","-",IF(Table36[[#This Row],[%Extensibility]]="-","-",IF(Table36[[#This Row],[%Extensibility]]&lt;INDEX(Extmin,MATCH(Table36[[#This Row],[Grist]],SMI,0)),0,IF(Table36[[#This Row],[%Extensibility]]&gt;INDEX(Extmax,MATCH(Table36[[#This Row],[Grist]],SMI,0)),0,1))))</f>
        <v>-</v>
      </c>
      <c r="Z417" s="127" t="str">
        <f>IF(INDEX(Resmin,MATCH(Table36[[#This Row],[Grist]],SMI,0))="-","-",IF(Table36[[#This Row],[Resistance, max]]="-","-",IF(Table36[[#This Row],[Resistance, max]]&lt;INDEX(Resmin,MATCH(Table36[[#This Row],[Grist]],SMI,0)),0,IF(Table36[[#This Row],[Resistance, max]]&gt;INDEX(Resmax,MATCH(Table36[[#This Row],[Grist]],SMI,0)),0,1))))</f>
        <v>-</v>
      </c>
      <c r="AA417" s="127">
        <f>IF(INDEX(WGmin,MATCH(Table36[[#This Row],[Grist]],SMI,0))="-","-",IF(Table36[[#This Row],[%Wet Gluten]]="-","-",IF(Table36[[#This Row],[%Wet Gluten]]&lt;INDEX(WGmin,MATCH(Table36[[#This Row],[Grist]],SMI,0)),0,IF(Table36[[#This Row],[%Wet Gluten]]&gt;INDEX(WGmax,MATCH(Table36[[#This Row],[Grist]],SMI,0)),0,1))))</f>
        <v>0</v>
      </c>
      <c r="AB417" s="127">
        <f>SUM(Table36[[#This Row],[ QI Bran Content]:[QI WG]])</f>
        <v>7</v>
      </c>
      <c r="AC417" s="127">
        <f>COUNT(Table36[[#This Row],[ QI Bran Content]:[QI WG]])</f>
        <v>8</v>
      </c>
    </row>
    <row r="418" spans="1:29" x14ac:dyDescent="0.35">
      <c r="A418" s="177">
        <v>45328</v>
      </c>
      <c r="B418" s="178">
        <v>45342</v>
      </c>
      <c r="C418" s="178" t="s">
        <v>130</v>
      </c>
      <c r="D418" s="179">
        <v>1.125</v>
      </c>
      <c r="E418" s="180" t="s">
        <v>0</v>
      </c>
      <c r="F418" s="181" t="s">
        <v>27</v>
      </c>
      <c r="G418" s="182">
        <v>9.2999999999999992E-3</v>
      </c>
      <c r="H418" s="175" t="s">
        <v>165</v>
      </c>
      <c r="I418" s="175" t="s">
        <v>165</v>
      </c>
      <c r="J418" s="175" t="s">
        <v>165</v>
      </c>
      <c r="K418" s="175">
        <v>12.82</v>
      </c>
      <c r="L418" s="175">
        <v>13.71</v>
      </c>
      <c r="M418" s="175">
        <v>0.48</v>
      </c>
      <c r="N418" s="175">
        <v>64.7</v>
      </c>
      <c r="O418" s="175" t="s">
        <v>163</v>
      </c>
      <c r="P418" s="175" t="s">
        <v>163</v>
      </c>
      <c r="Q418" s="175"/>
      <c r="R418" s="127">
        <f>IF(Table36[[#This Row],[ Bran Content]]="-","-",IF(G418&lt;0.02,1,0))</f>
        <v>1</v>
      </c>
      <c r="S418" s="127">
        <f>IF(Table36[[#This Row],[Sieve Test]]="-","-",IF(Table36[[#This Row],[Sieve Test]]="P",1,0))</f>
        <v>1</v>
      </c>
      <c r="T418" s="127">
        <f>IF(Table36[[#This Row],[Odor]]="-","-",IF(Table36[[#This Row],[Odor]]="P",1,0))</f>
        <v>1</v>
      </c>
      <c r="U418" s="127">
        <f>IF(INDEX(MCmin,MATCH(Table36[[#This Row],[Grist]],SMI,0))="-","-",IF(Table36[[#This Row],[F1 %MC]]="-","-",IF(Table36[[#This Row],[F1 %MC]]&lt;INDEX(MCmin,MATCH(Table36[[#This Row],[Grist]],SMI,0)),0,IF(Table36[[#This Row],[F1 %MC]]&gt;INDEX(MCmax,MATCH(Table36[[#This Row],[Grist]],SMI,0)),0,1))))</f>
        <v>1</v>
      </c>
      <c r="V418" s="127">
        <f>IF(INDEX(Protmin,MATCH(Table36[[#This Row],[Grist]],SMI,0))="-","-",IF(Table36[[#This Row],[%Protein]]="-","-",IF(Table36[[#This Row],[%Protein]]&lt;INDEX(Protmin,MATCH(Table36[[#This Row],[Grist]],SMI,0)),0,IF(Table36[[#This Row],[%Protein]]&gt;INDEX(Protmax,MATCH(Table36[[#This Row],[Grist]],SMI,0)),0,1))))</f>
        <v>1</v>
      </c>
      <c r="W418" s="127">
        <f>IF(INDEX(Ashmin,MATCH(Table36[[#This Row],[Grist]],SMI,0))="-","-",IF(Table36[[#This Row],[%Ash]]="-","-",IF(Table36[[#This Row],[%Ash]]&lt;INDEX(Ashmin,MATCH(Table36[[#This Row],[Grist]],SMI,0)),0,IF(Table36[[#This Row],[%Ash]]&gt;INDEX(Ashmax,MATCH(Table36[[#This Row],[Grist]],SMI,0)),0,1))))</f>
        <v>1</v>
      </c>
      <c r="X418" s="127">
        <f>IF(INDEX(Absmin,MATCH(Table36[[#This Row],[Grist]],SMI,0))="-","-",IF(Table36[[#This Row],[%Absorption]]="-","-",IF(Table36[[#This Row],[%Absorption]]&lt;INDEX(Absmin,MATCH(Table36[[#This Row],[Grist]],SMI,0)),0,IF(Table36[[#This Row],[%Absorption]]&gt;INDEX(Absmax,MATCH(Table36[[#This Row],[Grist]],SMI,0)),0,1))))</f>
        <v>1</v>
      </c>
      <c r="Y418" s="127" t="str">
        <f>IF(INDEX(Extmin,MATCH(Table36[[#This Row],[Grist]],SMI,0))="-","-",IF(Table36[[#This Row],[%Extensibility]]="-","-",IF(Table36[[#This Row],[%Extensibility]]&lt;INDEX(Extmin,MATCH(Table36[[#This Row],[Grist]],SMI,0)),0,IF(Table36[[#This Row],[%Extensibility]]&gt;INDEX(Extmax,MATCH(Table36[[#This Row],[Grist]],SMI,0)),0,1))))</f>
        <v>-</v>
      </c>
      <c r="Z418" s="127" t="str">
        <f>IF(INDEX(Resmin,MATCH(Table36[[#This Row],[Grist]],SMI,0))="-","-",IF(Table36[[#This Row],[Resistance, max]]="-","-",IF(Table36[[#This Row],[Resistance, max]]&lt;INDEX(Resmin,MATCH(Table36[[#This Row],[Grist]],SMI,0)),0,IF(Table36[[#This Row],[Resistance, max]]&gt;INDEX(Resmax,MATCH(Table36[[#This Row],[Grist]],SMI,0)),0,1))))</f>
        <v>-</v>
      </c>
      <c r="AA418" s="127">
        <f>IF(INDEX(WGmin,MATCH(Table36[[#This Row],[Grist]],SMI,0))="-","-",IF(Table36[[#This Row],[%Wet Gluten]]="-","-",IF(Table36[[#This Row],[%Wet Gluten]]&lt;INDEX(WGmin,MATCH(Table36[[#This Row],[Grist]],SMI,0)),0,IF(Table36[[#This Row],[%Wet Gluten]]&gt;INDEX(WGmax,MATCH(Table36[[#This Row],[Grist]],SMI,0)),0,1))))</f>
        <v>0</v>
      </c>
      <c r="AB418" s="127">
        <f>SUM(Table36[[#This Row],[ QI Bran Content]:[QI WG]])</f>
        <v>7</v>
      </c>
      <c r="AC418" s="127">
        <f>COUNT(Table36[[#This Row],[ QI Bran Content]:[QI WG]])</f>
        <v>8</v>
      </c>
    </row>
    <row r="419" spans="1:29" x14ac:dyDescent="0.35">
      <c r="A419" s="177">
        <v>45328</v>
      </c>
      <c r="B419" s="178">
        <v>45342</v>
      </c>
      <c r="C419" s="178" t="s">
        <v>130</v>
      </c>
      <c r="D419" s="179">
        <v>1.2083333333333299</v>
      </c>
      <c r="E419" s="180" t="s">
        <v>0</v>
      </c>
      <c r="F419" s="181" t="s">
        <v>27</v>
      </c>
      <c r="G419" s="182">
        <v>1.01E-2</v>
      </c>
      <c r="H419" s="175" t="s">
        <v>165</v>
      </c>
      <c r="I419" s="175" t="s">
        <v>165</v>
      </c>
      <c r="J419" s="175" t="s">
        <v>165</v>
      </c>
      <c r="K419" s="175">
        <v>12.88</v>
      </c>
      <c r="L419" s="175">
        <v>13.71</v>
      </c>
      <c r="M419" s="175">
        <v>0.48</v>
      </c>
      <c r="N419" s="175">
        <v>64.7</v>
      </c>
      <c r="O419" s="175" t="s">
        <v>163</v>
      </c>
      <c r="P419" s="175" t="s">
        <v>163</v>
      </c>
      <c r="Q419" s="175"/>
      <c r="R419" s="127">
        <f>IF(Table36[[#This Row],[ Bran Content]]="-","-",IF(G419&lt;0.02,1,0))</f>
        <v>1</v>
      </c>
      <c r="S419" s="127">
        <f>IF(Table36[[#This Row],[Sieve Test]]="-","-",IF(Table36[[#This Row],[Sieve Test]]="P",1,0))</f>
        <v>1</v>
      </c>
      <c r="T419" s="127">
        <f>IF(Table36[[#This Row],[Odor]]="-","-",IF(Table36[[#This Row],[Odor]]="P",1,0))</f>
        <v>1</v>
      </c>
      <c r="U419" s="127">
        <f>IF(INDEX(MCmin,MATCH(Table36[[#This Row],[Grist]],SMI,0))="-","-",IF(Table36[[#This Row],[F1 %MC]]="-","-",IF(Table36[[#This Row],[F1 %MC]]&lt;INDEX(MCmin,MATCH(Table36[[#This Row],[Grist]],SMI,0)),0,IF(Table36[[#This Row],[F1 %MC]]&gt;INDEX(MCmax,MATCH(Table36[[#This Row],[Grist]],SMI,0)),0,1))))</f>
        <v>1</v>
      </c>
      <c r="V419" s="127">
        <f>IF(INDEX(Protmin,MATCH(Table36[[#This Row],[Grist]],SMI,0))="-","-",IF(Table36[[#This Row],[%Protein]]="-","-",IF(Table36[[#This Row],[%Protein]]&lt;INDEX(Protmin,MATCH(Table36[[#This Row],[Grist]],SMI,0)),0,IF(Table36[[#This Row],[%Protein]]&gt;INDEX(Protmax,MATCH(Table36[[#This Row],[Grist]],SMI,0)),0,1))))</f>
        <v>1</v>
      </c>
      <c r="W419" s="127">
        <f>IF(INDEX(Ashmin,MATCH(Table36[[#This Row],[Grist]],SMI,0))="-","-",IF(Table36[[#This Row],[%Ash]]="-","-",IF(Table36[[#This Row],[%Ash]]&lt;INDEX(Ashmin,MATCH(Table36[[#This Row],[Grist]],SMI,0)),0,IF(Table36[[#This Row],[%Ash]]&gt;INDEX(Ashmax,MATCH(Table36[[#This Row],[Grist]],SMI,0)),0,1))))</f>
        <v>1</v>
      </c>
      <c r="X419" s="127">
        <f>IF(INDEX(Absmin,MATCH(Table36[[#This Row],[Grist]],SMI,0))="-","-",IF(Table36[[#This Row],[%Absorption]]="-","-",IF(Table36[[#This Row],[%Absorption]]&lt;INDEX(Absmin,MATCH(Table36[[#This Row],[Grist]],SMI,0)),0,IF(Table36[[#This Row],[%Absorption]]&gt;INDEX(Absmax,MATCH(Table36[[#This Row],[Grist]],SMI,0)),0,1))))</f>
        <v>1</v>
      </c>
      <c r="Y419" s="127" t="str">
        <f>IF(INDEX(Extmin,MATCH(Table36[[#This Row],[Grist]],SMI,0))="-","-",IF(Table36[[#This Row],[%Extensibility]]="-","-",IF(Table36[[#This Row],[%Extensibility]]&lt;INDEX(Extmin,MATCH(Table36[[#This Row],[Grist]],SMI,0)),0,IF(Table36[[#This Row],[%Extensibility]]&gt;INDEX(Extmax,MATCH(Table36[[#This Row],[Grist]],SMI,0)),0,1))))</f>
        <v>-</v>
      </c>
      <c r="Z419" s="127" t="str">
        <f>IF(INDEX(Resmin,MATCH(Table36[[#This Row],[Grist]],SMI,0))="-","-",IF(Table36[[#This Row],[Resistance, max]]="-","-",IF(Table36[[#This Row],[Resistance, max]]&lt;INDEX(Resmin,MATCH(Table36[[#This Row],[Grist]],SMI,0)),0,IF(Table36[[#This Row],[Resistance, max]]&gt;INDEX(Resmax,MATCH(Table36[[#This Row],[Grist]],SMI,0)),0,1))))</f>
        <v>-</v>
      </c>
      <c r="AA419" s="127">
        <f>IF(INDEX(WGmin,MATCH(Table36[[#This Row],[Grist]],SMI,0))="-","-",IF(Table36[[#This Row],[%Wet Gluten]]="-","-",IF(Table36[[#This Row],[%Wet Gluten]]&lt;INDEX(WGmin,MATCH(Table36[[#This Row],[Grist]],SMI,0)),0,IF(Table36[[#This Row],[%Wet Gluten]]&gt;INDEX(WGmax,MATCH(Table36[[#This Row],[Grist]],SMI,0)),0,1))))</f>
        <v>0</v>
      </c>
      <c r="AB419" s="127">
        <f>SUM(Table36[[#This Row],[ QI Bran Content]:[QI WG]])</f>
        <v>7</v>
      </c>
      <c r="AC419" s="127">
        <f>COUNT(Table36[[#This Row],[ QI Bran Content]:[QI WG]])</f>
        <v>8</v>
      </c>
    </row>
    <row r="420" spans="1:29" x14ac:dyDescent="0.35">
      <c r="A420" s="177">
        <v>45328</v>
      </c>
      <c r="B420" s="178">
        <v>45342</v>
      </c>
      <c r="C420" s="178" t="s">
        <v>130</v>
      </c>
      <c r="D420" s="179">
        <v>1.125</v>
      </c>
      <c r="E420" s="180" t="s">
        <v>2</v>
      </c>
      <c r="F420" s="181" t="s">
        <v>242</v>
      </c>
      <c r="G420" s="182" t="s">
        <v>256</v>
      </c>
      <c r="H420" s="175" t="s">
        <v>165</v>
      </c>
      <c r="I420" s="175" t="s">
        <v>165</v>
      </c>
      <c r="J420" s="175" t="s">
        <v>165</v>
      </c>
      <c r="K420" s="175">
        <v>12.48</v>
      </c>
      <c r="L420" s="175" t="s">
        <v>274</v>
      </c>
      <c r="M420" s="175" t="s">
        <v>275</v>
      </c>
      <c r="N420" s="175">
        <v>63.7</v>
      </c>
      <c r="O420" s="175" t="s">
        <v>163</v>
      </c>
      <c r="P420" s="175" t="s">
        <v>163</v>
      </c>
      <c r="Q420" s="175"/>
      <c r="R420" s="127">
        <f>IF(Table36[[#This Row],[ Bran Content]]="-","-",IF(G420&lt;0.02,1,0))</f>
        <v>0</v>
      </c>
      <c r="S420" s="127">
        <f>IF(Table36[[#This Row],[Sieve Test]]="-","-",IF(Table36[[#This Row],[Sieve Test]]="P",1,0))</f>
        <v>1</v>
      </c>
      <c r="T420" s="127">
        <f>IF(Table36[[#This Row],[Odor]]="-","-",IF(Table36[[#This Row],[Odor]]="P",1,0))</f>
        <v>1</v>
      </c>
      <c r="U420" s="127">
        <f>IF(INDEX(MCmin,MATCH(Table36[[#This Row],[Grist]],SMI,0))="-","-",IF(Table36[[#This Row],[F1 %MC]]="-","-",IF(Table36[[#This Row],[F1 %MC]]&lt;INDEX(MCmin,MATCH(Table36[[#This Row],[Grist]],SMI,0)),0,IF(Table36[[#This Row],[F1 %MC]]&gt;INDEX(MCmax,MATCH(Table36[[#This Row],[Grist]],SMI,0)),0,1))))</f>
        <v>1</v>
      </c>
      <c r="V420" s="127">
        <f>IF(INDEX(Protmin,MATCH(Table36[[#This Row],[Grist]],SMI,0))="-","-",IF(Table36[[#This Row],[%Protein]]="-","-",IF(Table36[[#This Row],[%Protein]]&lt;INDEX(Protmin,MATCH(Table36[[#This Row],[Grist]],SMI,0)),0,IF(Table36[[#This Row],[%Protein]]&gt;INDEX(Protmax,MATCH(Table36[[#This Row],[Grist]],SMI,0)),0,1))))</f>
        <v>0</v>
      </c>
      <c r="W420" s="127">
        <f>IF(INDEX(Ashmin,MATCH(Table36[[#This Row],[Grist]],SMI,0))="-","-",IF(Table36[[#This Row],[%Ash]]="-","-",IF(Table36[[#This Row],[%Ash]]&lt;INDEX(Ashmin,MATCH(Table36[[#This Row],[Grist]],SMI,0)),0,IF(Table36[[#This Row],[%Ash]]&gt;INDEX(Ashmax,MATCH(Table36[[#This Row],[Grist]],SMI,0)),0,1))))</f>
        <v>0</v>
      </c>
      <c r="X420" s="127">
        <f>IF(INDEX(Absmin,MATCH(Table36[[#This Row],[Grist]],SMI,0))="-","-",IF(Table36[[#This Row],[%Absorption]]="-","-",IF(Table36[[#This Row],[%Absorption]]&lt;INDEX(Absmin,MATCH(Table36[[#This Row],[Grist]],SMI,0)),0,IF(Table36[[#This Row],[%Absorption]]&gt;INDEX(Absmax,MATCH(Table36[[#This Row],[Grist]],SMI,0)),0,1))))</f>
        <v>1</v>
      </c>
      <c r="Y420" s="127" t="str">
        <f>IF(INDEX(Extmin,MATCH(Table36[[#This Row],[Grist]],SMI,0))="-","-",IF(Table36[[#This Row],[%Extensibility]]="-","-",IF(Table36[[#This Row],[%Extensibility]]&lt;INDEX(Extmin,MATCH(Table36[[#This Row],[Grist]],SMI,0)),0,IF(Table36[[#This Row],[%Extensibility]]&gt;INDEX(Extmax,MATCH(Table36[[#This Row],[Grist]],SMI,0)),0,1))))</f>
        <v>-</v>
      </c>
      <c r="Z420" s="127" t="str">
        <f>IF(INDEX(Resmin,MATCH(Table36[[#This Row],[Grist]],SMI,0))="-","-",IF(Table36[[#This Row],[Resistance, max]]="-","-",IF(Table36[[#This Row],[Resistance, max]]&lt;INDEX(Resmin,MATCH(Table36[[#This Row],[Grist]],SMI,0)),0,IF(Table36[[#This Row],[Resistance, max]]&gt;INDEX(Resmax,MATCH(Table36[[#This Row],[Grist]],SMI,0)),0,1))))</f>
        <v>-</v>
      </c>
      <c r="AA420" s="127">
        <f>IF(INDEX(WGmin,MATCH(Table36[[#This Row],[Grist]],SMI,0))="-","-",IF(Table36[[#This Row],[%Wet Gluten]]="-","-",IF(Table36[[#This Row],[%Wet Gluten]]&lt;INDEX(WGmin,MATCH(Table36[[#This Row],[Grist]],SMI,0)),0,IF(Table36[[#This Row],[%Wet Gluten]]&gt;INDEX(WGmax,MATCH(Table36[[#This Row],[Grist]],SMI,0)),0,1))))</f>
        <v>0</v>
      </c>
      <c r="AB420" s="127">
        <f>SUM(Table36[[#This Row],[ QI Bran Content]:[QI WG]])</f>
        <v>4</v>
      </c>
      <c r="AC420" s="127">
        <f>COUNT(Table36[[#This Row],[ QI Bran Content]:[QI WG]])</f>
        <v>8</v>
      </c>
    </row>
    <row r="421" spans="1:29" x14ac:dyDescent="0.35">
      <c r="A421" s="177">
        <v>45328</v>
      </c>
      <c r="B421" s="178">
        <v>45342</v>
      </c>
      <c r="C421" s="178" t="s">
        <v>125</v>
      </c>
      <c r="D421" s="179" t="s">
        <v>239</v>
      </c>
      <c r="E421" s="180" t="s">
        <v>0</v>
      </c>
      <c r="F421" s="181" t="s">
        <v>27</v>
      </c>
      <c r="G421" s="182">
        <v>3.0999999999999999E-3</v>
      </c>
      <c r="H421" s="175" t="s">
        <v>165</v>
      </c>
      <c r="I421" s="175" t="s">
        <v>165</v>
      </c>
      <c r="J421" s="175" t="s">
        <v>165</v>
      </c>
      <c r="K421" s="175">
        <v>12.1</v>
      </c>
      <c r="L421" s="175" t="s">
        <v>163</v>
      </c>
      <c r="M421" s="175" t="s">
        <v>163</v>
      </c>
      <c r="N421" s="175" t="s">
        <v>163</v>
      </c>
      <c r="O421" s="175" t="s">
        <v>163</v>
      </c>
      <c r="P421" s="175" t="s">
        <v>163</v>
      </c>
      <c r="Q421" s="175"/>
      <c r="R421" s="127">
        <f>IF(Table36[[#This Row],[ Bran Content]]="-","-",IF(G421&lt;0.02,1,0))</f>
        <v>1</v>
      </c>
      <c r="S421" s="127">
        <f>IF(Table36[[#This Row],[Sieve Test]]="-","-",IF(Table36[[#This Row],[Sieve Test]]="P",1,0))</f>
        <v>1</v>
      </c>
      <c r="T421" s="127">
        <f>IF(Table36[[#This Row],[Odor]]="-","-",IF(Table36[[#This Row],[Odor]]="P",1,0))</f>
        <v>1</v>
      </c>
      <c r="U421" s="127">
        <f>IF(INDEX(MCmin,MATCH(Table36[[#This Row],[Grist]],SMI,0))="-","-",IF(Table36[[#This Row],[F1 %MC]]="-","-",IF(Table36[[#This Row],[F1 %MC]]&lt;INDEX(MCmin,MATCH(Table36[[#This Row],[Grist]],SMI,0)),0,IF(Table36[[#This Row],[F1 %MC]]&gt;INDEX(MCmax,MATCH(Table36[[#This Row],[Grist]],SMI,0)),0,1))))</f>
        <v>1</v>
      </c>
      <c r="V421" s="127" t="str">
        <f>IF(INDEX(Protmin,MATCH(Table36[[#This Row],[Grist]],SMI,0))="-","-",IF(Table36[[#This Row],[%Protein]]="-","-",IF(Table36[[#This Row],[%Protein]]&lt;INDEX(Protmin,MATCH(Table36[[#This Row],[Grist]],SMI,0)),0,IF(Table36[[#This Row],[%Protein]]&gt;INDEX(Protmax,MATCH(Table36[[#This Row],[Grist]],SMI,0)),0,1))))</f>
        <v>-</v>
      </c>
      <c r="W421" s="127" t="str">
        <f>IF(INDEX(Ashmin,MATCH(Table36[[#This Row],[Grist]],SMI,0))="-","-",IF(Table36[[#This Row],[%Ash]]="-","-",IF(Table36[[#This Row],[%Ash]]&lt;INDEX(Ashmin,MATCH(Table36[[#This Row],[Grist]],SMI,0)),0,IF(Table36[[#This Row],[%Ash]]&gt;INDEX(Ashmax,MATCH(Table36[[#This Row],[Grist]],SMI,0)),0,1))))</f>
        <v>-</v>
      </c>
      <c r="X421" s="127" t="str">
        <f>IF(INDEX(Absmin,MATCH(Table36[[#This Row],[Grist]],SMI,0))="-","-",IF(Table36[[#This Row],[%Absorption]]="-","-",IF(Table36[[#This Row],[%Absorption]]&lt;INDEX(Absmin,MATCH(Table36[[#This Row],[Grist]],SMI,0)),0,IF(Table36[[#This Row],[%Absorption]]&gt;INDEX(Absmax,MATCH(Table36[[#This Row],[Grist]],SMI,0)),0,1))))</f>
        <v>-</v>
      </c>
      <c r="Y421" s="127" t="str">
        <f>IF(INDEX(Extmin,MATCH(Table36[[#This Row],[Grist]],SMI,0))="-","-",IF(Table36[[#This Row],[%Extensibility]]="-","-",IF(Table36[[#This Row],[%Extensibility]]&lt;INDEX(Extmin,MATCH(Table36[[#This Row],[Grist]],SMI,0)),0,IF(Table36[[#This Row],[%Extensibility]]&gt;INDEX(Extmax,MATCH(Table36[[#This Row],[Grist]],SMI,0)),0,1))))</f>
        <v>-</v>
      </c>
      <c r="Z421" s="127" t="str">
        <f>IF(INDEX(Resmin,MATCH(Table36[[#This Row],[Grist]],SMI,0))="-","-",IF(Table36[[#This Row],[Resistance, max]]="-","-",IF(Table36[[#This Row],[Resistance, max]]&lt;INDEX(Resmin,MATCH(Table36[[#This Row],[Grist]],SMI,0)),0,IF(Table36[[#This Row],[Resistance, max]]&gt;INDEX(Resmax,MATCH(Table36[[#This Row],[Grist]],SMI,0)),0,1))))</f>
        <v>-</v>
      </c>
      <c r="AA421" s="127">
        <f>IF(INDEX(WGmin,MATCH(Table36[[#This Row],[Grist]],SMI,0))="-","-",IF(Table36[[#This Row],[%Wet Gluten]]="-","-",IF(Table36[[#This Row],[%Wet Gluten]]&lt;INDEX(WGmin,MATCH(Table36[[#This Row],[Grist]],SMI,0)),0,IF(Table36[[#This Row],[%Wet Gluten]]&gt;INDEX(WGmax,MATCH(Table36[[#This Row],[Grist]],SMI,0)),0,1))))</f>
        <v>0</v>
      </c>
      <c r="AB421" s="127">
        <f>SUM(Table36[[#This Row],[ QI Bran Content]:[QI WG]])</f>
        <v>4</v>
      </c>
      <c r="AC421" s="127">
        <f>COUNT(Table36[[#This Row],[ QI Bran Content]:[QI WG]])</f>
        <v>5</v>
      </c>
    </row>
    <row r="422" spans="1:29" x14ac:dyDescent="0.35">
      <c r="A422" s="177">
        <v>45328</v>
      </c>
      <c r="B422" s="178">
        <v>45342</v>
      </c>
      <c r="C422" s="178" t="s">
        <v>125</v>
      </c>
      <c r="D422" s="179" t="s">
        <v>240</v>
      </c>
      <c r="E422" s="180" t="s">
        <v>0</v>
      </c>
      <c r="F422" s="181" t="s">
        <v>32</v>
      </c>
      <c r="G422" s="182">
        <v>4.0000000000000001E-3</v>
      </c>
      <c r="H422" s="175" t="s">
        <v>165</v>
      </c>
      <c r="I422" s="175" t="s">
        <v>165</v>
      </c>
      <c r="J422" s="175" t="s">
        <v>165</v>
      </c>
      <c r="K422" s="175">
        <v>12.06</v>
      </c>
      <c r="L422" s="175" t="s">
        <v>163</v>
      </c>
      <c r="M422" s="175" t="s">
        <v>163</v>
      </c>
      <c r="N422" s="175" t="s">
        <v>163</v>
      </c>
      <c r="O422" s="175" t="s">
        <v>163</v>
      </c>
      <c r="P422" s="175" t="s">
        <v>163</v>
      </c>
      <c r="Q422" s="175"/>
      <c r="R422" s="127">
        <f>IF(Table36[[#This Row],[ Bran Content]]="-","-",IF(G422&lt;0.02,1,0))</f>
        <v>1</v>
      </c>
      <c r="S422" s="127">
        <f>IF(Table36[[#This Row],[Sieve Test]]="-","-",IF(Table36[[#This Row],[Sieve Test]]="P",1,0))</f>
        <v>1</v>
      </c>
      <c r="T422" s="127">
        <f>IF(Table36[[#This Row],[Odor]]="-","-",IF(Table36[[#This Row],[Odor]]="P",1,0))</f>
        <v>1</v>
      </c>
      <c r="U422" s="127">
        <f>IF(INDEX(MCmin,MATCH(Table36[[#This Row],[Grist]],SMI,0))="-","-",IF(Table36[[#This Row],[F1 %MC]]="-","-",IF(Table36[[#This Row],[F1 %MC]]&lt;INDEX(MCmin,MATCH(Table36[[#This Row],[Grist]],SMI,0)),0,IF(Table36[[#This Row],[F1 %MC]]&gt;INDEX(MCmax,MATCH(Table36[[#This Row],[Grist]],SMI,0)),0,1))))</f>
        <v>1</v>
      </c>
      <c r="V422" s="127" t="str">
        <f>IF(INDEX(Protmin,MATCH(Table36[[#This Row],[Grist]],SMI,0))="-","-",IF(Table36[[#This Row],[%Protein]]="-","-",IF(Table36[[#This Row],[%Protein]]&lt;INDEX(Protmin,MATCH(Table36[[#This Row],[Grist]],SMI,0)),0,IF(Table36[[#This Row],[%Protein]]&gt;INDEX(Protmax,MATCH(Table36[[#This Row],[Grist]],SMI,0)),0,1))))</f>
        <v>-</v>
      </c>
      <c r="W422" s="127" t="str">
        <f>IF(INDEX(Ashmin,MATCH(Table36[[#This Row],[Grist]],SMI,0))="-","-",IF(Table36[[#This Row],[%Ash]]="-","-",IF(Table36[[#This Row],[%Ash]]&lt;INDEX(Ashmin,MATCH(Table36[[#This Row],[Grist]],SMI,0)),0,IF(Table36[[#This Row],[%Ash]]&gt;INDEX(Ashmax,MATCH(Table36[[#This Row],[Grist]],SMI,0)),0,1))))</f>
        <v>-</v>
      </c>
      <c r="X422" s="127" t="str">
        <f>IF(INDEX(Absmin,MATCH(Table36[[#This Row],[Grist]],SMI,0))="-","-",IF(Table36[[#This Row],[%Absorption]]="-","-",IF(Table36[[#This Row],[%Absorption]]&lt;INDEX(Absmin,MATCH(Table36[[#This Row],[Grist]],SMI,0)),0,IF(Table36[[#This Row],[%Absorption]]&gt;INDEX(Absmax,MATCH(Table36[[#This Row],[Grist]],SMI,0)),0,1))))</f>
        <v>-</v>
      </c>
      <c r="Y422" s="127" t="str">
        <f>IF(INDEX(Extmin,MATCH(Table36[[#This Row],[Grist]],SMI,0))="-","-",IF(Table36[[#This Row],[%Extensibility]]="-","-",IF(Table36[[#This Row],[%Extensibility]]&lt;INDEX(Extmin,MATCH(Table36[[#This Row],[Grist]],SMI,0)),0,IF(Table36[[#This Row],[%Extensibility]]&gt;INDEX(Extmax,MATCH(Table36[[#This Row],[Grist]],SMI,0)),0,1))))</f>
        <v>-</v>
      </c>
      <c r="Z422" s="127" t="str">
        <f>IF(INDEX(Resmin,MATCH(Table36[[#This Row],[Grist]],SMI,0))="-","-",IF(Table36[[#This Row],[Resistance, max]]="-","-",IF(Table36[[#This Row],[Resistance, max]]&lt;INDEX(Resmin,MATCH(Table36[[#This Row],[Grist]],SMI,0)),0,IF(Table36[[#This Row],[Resistance, max]]&gt;INDEX(Resmax,MATCH(Table36[[#This Row],[Grist]],SMI,0)),0,1))))</f>
        <v>-</v>
      </c>
      <c r="AA422" s="127">
        <f>IF(INDEX(WGmin,MATCH(Table36[[#This Row],[Grist]],SMI,0))="-","-",IF(Table36[[#This Row],[%Wet Gluten]]="-","-",IF(Table36[[#This Row],[%Wet Gluten]]&lt;INDEX(WGmin,MATCH(Table36[[#This Row],[Grist]],SMI,0)),0,IF(Table36[[#This Row],[%Wet Gluten]]&gt;INDEX(WGmax,MATCH(Table36[[#This Row],[Grist]],SMI,0)),0,1))))</f>
        <v>0</v>
      </c>
      <c r="AB422" s="127">
        <f>SUM(Table36[[#This Row],[ QI Bran Content]:[QI WG]])</f>
        <v>4</v>
      </c>
      <c r="AC422" s="127">
        <f>COUNT(Table36[[#This Row],[ QI Bran Content]:[QI WG]])</f>
        <v>5</v>
      </c>
    </row>
    <row r="423" spans="1:29" x14ac:dyDescent="0.35">
      <c r="A423" s="177">
        <v>45328</v>
      </c>
      <c r="B423" s="178">
        <v>45342</v>
      </c>
      <c r="C423" s="178" t="s">
        <v>125</v>
      </c>
      <c r="D423" s="179" t="s">
        <v>237</v>
      </c>
      <c r="E423" s="180" t="s">
        <v>0</v>
      </c>
      <c r="F423" s="181" t="s">
        <v>32</v>
      </c>
      <c r="G423" s="182">
        <v>6.8999999999999999E-3</v>
      </c>
      <c r="H423" s="175" t="s">
        <v>165</v>
      </c>
      <c r="I423" s="175" t="s">
        <v>165</v>
      </c>
      <c r="J423" s="175" t="s">
        <v>165</v>
      </c>
      <c r="K423" s="175">
        <v>12.32</v>
      </c>
      <c r="L423" s="175" t="s">
        <v>163</v>
      </c>
      <c r="M423" s="175" t="s">
        <v>163</v>
      </c>
      <c r="N423" s="175" t="s">
        <v>163</v>
      </c>
      <c r="O423" s="175" t="s">
        <v>163</v>
      </c>
      <c r="P423" s="175" t="s">
        <v>163</v>
      </c>
      <c r="Q423" s="175"/>
      <c r="R423" s="127">
        <f>IF(Table36[[#This Row],[ Bran Content]]="-","-",IF(G423&lt;0.02,1,0))</f>
        <v>1</v>
      </c>
      <c r="S423" s="127">
        <f>IF(Table36[[#This Row],[Sieve Test]]="-","-",IF(Table36[[#This Row],[Sieve Test]]="P",1,0))</f>
        <v>1</v>
      </c>
      <c r="T423" s="127">
        <f>IF(Table36[[#This Row],[Odor]]="-","-",IF(Table36[[#This Row],[Odor]]="P",1,0))</f>
        <v>1</v>
      </c>
      <c r="U423" s="127">
        <f>IF(INDEX(MCmin,MATCH(Table36[[#This Row],[Grist]],SMI,0))="-","-",IF(Table36[[#This Row],[F1 %MC]]="-","-",IF(Table36[[#This Row],[F1 %MC]]&lt;INDEX(MCmin,MATCH(Table36[[#This Row],[Grist]],SMI,0)),0,IF(Table36[[#This Row],[F1 %MC]]&gt;INDEX(MCmax,MATCH(Table36[[#This Row],[Grist]],SMI,0)),0,1))))</f>
        <v>1</v>
      </c>
      <c r="V423" s="127" t="str">
        <f>IF(INDEX(Protmin,MATCH(Table36[[#This Row],[Grist]],SMI,0))="-","-",IF(Table36[[#This Row],[%Protein]]="-","-",IF(Table36[[#This Row],[%Protein]]&lt;INDEX(Protmin,MATCH(Table36[[#This Row],[Grist]],SMI,0)),0,IF(Table36[[#This Row],[%Protein]]&gt;INDEX(Protmax,MATCH(Table36[[#This Row],[Grist]],SMI,0)),0,1))))</f>
        <v>-</v>
      </c>
      <c r="W423" s="127" t="str">
        <f>IF(INDEX(Ashmin,MATCH(Table36[[#This Row],[Grist]],SMI,0))="-","-",IF(Table36[[#This Row],[%Ash]]="-","-",IF(Table36[[#This Row],[%Ash]]&lt;INDEX(Ashmin,MATCH(Table36[[#This Row],[Grist]],SMI,0)),0,IF(Table36[[#This Row],[%Ash]]&gt;INDEX(Ashmax,MATCH(Table36[[#This Row],[Grist]],SMI,0)),0,1))))</f>
        <v>-</v>
      </c>
      <c r="X423" s="127" t="str">
        <f>IF(INDEX(Absmin,MATCH(Table36[[#This Row],[Grist]],SMI,0))="-","-",IF(Table36[[#This Row],[%Absorption]]="-","-",IF(Table36[[#This Row],[%Absorption]]&lt;INDEX(Absmin,MATCH(Table36[[#This Row],[Grist]],SMI,0)),0,IF(Table36[[#This Row],[%Absorption]]&gt;INDEX(Absmax,MATCH(Table36[[#This Row],[Grist]],SMI,0)),0,1))))</f>
        <v>-</v>
      </c>
      <c r="Y423" s="127" t="str">
        <f>IF(INDEX(Extmin,MATCH(Table36[[#This Row],[Grist]],SMI,0))="-","-",IF(Table36[[#This Row],[%Extensibility]]="-","-",IF(Table36[[#This Row],[%Extensibility]]&lt;INDEX(Extmin,MATCH(Table36[[#This Row],[Grist]],SMI,0)),0,IF(Table36[[#This Row],[%Extensibility]]&gt;INDEX(Extmax,MATCH(Table36[[#This Row],[Grist]],SMI,0)),0,1))))</f>
        <v>-</v>
      </c>
      <c r="Z423" s="127" t="str">
        <f>IF(INDEX(Resmin,MATCH(Table36[[#This Row],[Grist]],SMI,0))="-","-",IF(Table36[[#This Row],[Resistance, max]]="-","-",IF(Table36[[#This Row],[Resistance, max]]&lt;INDEX(Resmin,MATCH(Table36[[#This Row],[Grist]],SMI,0)),0,IF(Table36[[#This Row],[Resistance, max]]&gt;INDEX(Resmax,MATCH(Table36[[#This Row],[Grist]],SMI,0)),0,1))))</f>
        <v>-</v>
      </c>
      <c r="AA423" s="127">
        <f>IF(INDEX(WGmin,MATCH(Table36[[#This Row],[Grist]],SMI,0))="-","-",IF(Table36[[#This Row],[%Wet Gluten]]="-","-",IF(Table36[[#This Row],[%Wet Gluten]]&lt;INDEX(WGmin,MATCH(Table36[[#This Row],[Grist]],SMI,0)),0,IF(Table36[[#This Row],[%Wet Gluten]]&gt;INDEX(WGmax,MATCH(Table36[[#This Row],[Grist]],SMI,0)),0,1))))</f>
        <v>0</v>
      </c>
      <c r="AB423" s="127">
        <f>SUM(Table36[[#This Row],[ QI Bran Content]:[QI WG]])</f>
        <v>4</v>
      </c>
      <c r="AC423" s="127">
        <f>COUNT(Table36[[#This Row],[ QI Bran Content]:[QI WG]])</f>
        <v>5</v>
      </c>
    </row>
    <row r="424" spans="1:29" x14ac:dyDescent="0.35">
      <c r="A424" s="177">
        <v>45328</v>
      </c>
      <c r="B424" s="178">
        <v>45342</v>
      </c>
      <c r="C424" s="178" t="s">
        <v>125</v>
      </c>
      <c r="D424" s="179" t="s">
        <v>238</v>
      </c>
      <c r="E424" s="180" t="s">
        <v>0</v>
      </c>
      <c r="F424" s="181" t="s">
        <v>32</v>
      </c>
      <c r="G424" s="182">
        <v>2.8999999999999998E-3</v>
      </c>
      <c r="H424" s="175" t="s">
        <v>165</v>
      </c>
      <c r="I424" s="175" t="s">
        <v>165</v>
      </c>
      <c r="J424" s="175" t="s">
        <v>165</v>
      </c>
      <c r="K424" s="175">
        <v>11.63</v>
      </c>
      <c r="L424" s="175" t="s">
        <v>163</v>
      </c>
      <c r="M424" s="175" t="s">
        <v>163</v>
      </c>
      <c r="N424" s="175" t="s">
        <v>163</v>
      </c>
      <c r="O424" s="175" t="s">
        <v>163</v>
      </c>
      <c r="P424" s="175" t="s">
        <v>163</v>
      </c>
      <c r="Q424" s="175"/>
      <c r="R424" s="127">
        <f>IF(Table36[[#This Row],[ Bran Content]]="-","-",IF(G424&lt;0.02,1,0))</f>
        <v>1</v>
      </c>
      <c r="S424" s="127">
        <f>IF(Table36[[#This Row],[Sieve Test]]="-","-",IF(Table36[[#This Row],[Sieve Test]]="P",1,0))</f>
        <v>1</v>
      </c>
      <c r="T424" s="127">
        <f>IF(Table36[[#This Row],[Odor]]="-","-",IF(Table36[[#This Row],[Odor]]="P",1,0))</f>
        <v>1</v>
      </c>
      <c r="U424" s="127">
        <f>IF(INDEX(MCmin,MATCH(Table36[[#This Row],[Grist]],SMI,0))="-","-",IF(Table36[[#This Row],[F1 %MC]]="-","-",IF(Table36[[#This Row],[F1 %MC]]&lt;INDEX(MCmin,MATCH(Table36[[#This Row],[Grist]],SMI,0)),0,IF(Table36[[#This Row],[F1 %MC]]&gt;INDEX(MCmax,MATCH(Table36[[#This Row],[Grist]],SMI,0)),0,1))))</f>
        <v>0</v>
      </c>
      <c r="V424" s="127" t="str">
        <f>IF(INDEX(Protmin,MATCH(Table36[[#This Row],[Grist]],SMI,0))="-","-",IF(Table36[[#This Row],[%Protein]]="-","-",IF(Table36[[#This Row],[%Protein]]&lt;INDEX(Protmin,MATCH(Table36[[#This Row],[Grist]],SMI,0)),0,IF(Table36[[#This Row],[%Protein]]&gt;INDEX(Protmax,MATCH(Table36[[#This Row],[Grist]],SMI,0)),0,1))))</f>
        <v>-</v>
      </c>
      <c r="W424" s="127" t="str">
        <f>IF(INDEX(Ashmin,MATCH(Table36[[#This Row],[Grist]],SMI,0))="-","-",IF(Table36[[#This Row],[%Ash]]="-","-",IF(Table36[[#This Row],[%Ash]]&lt;INDEX(Ashmin,MATCH(Table36[[#This Row],[Grist]],SMI,0)),0,IF(Table36[[#This Row],[%Ash]]&gt;INDEX(Ashmax,MATCH(Table36[[#This Row],[Grist]],SMI,0)),0,1))))</f>
        <v>-</v>
      </c>
      <c r="X424" s="127" t="str">
        <f>IF(INDEX(Absmin,MATCH(Table36[[#This Row],[Grist]],SMI,0))="-","-",IF(Table36[[#This Row],[%Absorption]]="-","-",IF(Table36[[#This Row],[%Absorption]]&lt;INDEX(Absmin,MATCH(Table36[[#This Row],[Grist]],SMI,0)),0,IF(Table36[[#This Row],[%Absorption]]&gt;INDEX(Absmax,MATCH(Table36[[#This Row],[Grist]],SMI,0)),0,1))))</f>
        <v>-</v>
      </c>
      <c r="Y424" s="127" t="str">
        <f>IF(INDEX(Extmin,MATCH(Table36[[#This Row],[Grist]],SMI,0))="-","-",IF(Table36[[#This Row],[%Extensibility]]="-","-",IF(Table36[[#This Row],[%Extensibility]]&lt;INDEX(Extmin,MATCH(Table36[[#This Row],[Grist]],SMI,0)),0,IF(Table36[[#This Row],[%Extensibility]]&gt;INDEX(Extmax,MATCH(Table36[[#This Row],[Grist]],SMI,0)),0,1))))</f>
        <v>-</v>
      </c>
      <c r="Z424" s="127" t="str">
        <f>IF(INDEX(Resmin,MATCH(Table36[[#This Row],[Grist]],SMI,0))="-","-",IF(Table36[[#This Row],[Resistance, max]]="-","-",IF(Table36[[#This Row],[Resistance, max]]&lt;INDEX(Resmin,MATCH(Table36[[#This Row],[Grist]],SMI,0)),0,IF(Table36[[#This Row],[Resistance, max]]&gt;INDEX(Resmax,MATCH(Table36[[#This Row],[Grist]],SMI,0)),0,1))))</f>
        <v>-</v>
      </c>
      <c r="AA424" s="127">
        <f>IF(INDEX(WGmin,MATCH(Table36[[#This Row],[Grist]],SMI,0))="-","-",IF(Table36[[#This Row],[%Wet Gluten]]="-","-",IF(Table36[[#This Row],[%Wet Gluten]]&lt;INDEX(WGmin,MATCH(Table36[[#This Row],[Grist]],SMI,0)),0,IF(Table36[[#This Row],[%Wet Gluten]]&gt;INDEX(WGmax,MATCH(Table36[[#This Row],[Grist]],SMI,0)),0,1))))</f>
        <v>0</v>
      </c>
      <c r="AB424" s="127">
        <f>SUM(Table36[[#This Row],[ QI Bran Content]:[QI WG]])</f>
        <v>3</v>
      </c>
      <c r="AC424" s="127">
        <f>COUNT(Table36[[#This Row],[ QI Bran Content]:[QI WG]])</f>
        <v>5</v>
      </c>
    </row>
    <row r="425" spans="1:29" x14ac:dyDescent="0.35">
      <c r="A425" s="177">
        <v>45328</v>
      </c>
      <c r="B425" s="178">
        <v>45342</v>
      </c>
      <c r="C425" s="178" t="s">
        <v>125</v>
      </c>
      <c r="D425" s="179" t="s">
        <v>240</v>
      </c>
      <c r="E425" s="180" t="s">
        <v>2</v>
      </c>
      <c r="F425" s="181" t="s">
        <v>242</v>
      </c>
      <c r="G425" s="182" t="s">
        <v>276</v>
      </c>
      <c r="H425" s="175" t="s">
        <v>165</v>
      </c>
      <c r="I425" s="175" t="s">
        <v>165</v>
      </c>
      <c r="J425" s="175" t="s">
        <v>165</v>
      </c>
      <c r="K425" s="175">
        <v>12.44</v>
      </c>
      <c r="L425" s="175" t="s">
        <v>163</v>
      </c>
      <c r="M425" s="175" t="s">
        <v>163</v>
      </c>
      <c r="N425" s="175" t="s">
        <v>163</v>
      </c>
      <c r="O425" s="175" t="s">
        <v>163</v>
      </c>
      <c r="P425" s="175" t="s">
        <v>163</v>
      </c>
      <c r="Q425" s="175"/>
      <c r="R425" s="127">
        <f>IF(Table36[[#This Row],[ Bran Content]]="-","-",IF(G425&lt;0.02,1,0))</f>
        <v>0</v>
      </c>
      <c r="S425" s="127">
        <f>IF(Table36[[#This Row],[Sieve Test]]="-","-",IF(Table36[[#This Row],[Sieve Test]]="P",1,0))</f>
        <v>1</v>
      </c>
      <c r="T425" s="127">
        <f>IF(Table36[[#This Row],[Odor]]="-","-",IF(Table36[[#This Row],[Odor]]="P",1,0))</f>
        <v>1</v>
      </c>
      <c r="U425" s="127">
        <f>IF(INDEX(MCmin,MATCH(Table36[[#This Row],[Grist]],SMI,0))="-","-",IF(Table36[[#This Row],[F1 %MC]]="-","-",IF(Table36[[#This Row],[F1 %MC]]&lt;INDEX(MCmin,MATCH(Table36[[#This Row],[Grist]],SMI,0)),0,IF(Table36[[#This Row],[F1 %MC]]&gt;INDEX(MCmax,MATCH(Table36[[#This Row],[Grist]],SMI,0)),0,1))))</f>
        <v>1</v>
      </c>
      <c r="V425" s="127" t="str">
        <f>IF(INDEX(Protmin,MATCH(Table36[[#This Row],[Grist]],SMI,0))="-","-",IF(Table36[[#This Row],[%Protein]]="-","-",IF(Table36[[#This Row],[%Protein]]&lt;INDEX(Protmin,MATCH(Table36[[#This Row],[Grist]],SMI,0)),0,IF(Table36[[#This Row],[%Protein]]&gt;INDEX(Protmax,MATCH(Table36[[#This Row],[Grist]],SMI,0)),0,1))))</f>
        <v>-</v>
      </c>
      <c r="W425" s="127" t="str">
        <f>IF(INDEX(Ashmin,MATCH(Table36[[#This Row],[Grist]],SMI,0))="-","-",IF(Table36[[#This Row],[%Ash]]="-","-",IF(Table36[[#This Row],[%Ash]]&lt;INDEX(Ashmin,MATCH(Table36[[#This Row],[Grist]],SMI,0)),0,IF(Table36[[#This Row],[%Ash]]&gt;INDEX(Ashmax,MATCH(Table36[[#This Row],[Grist]],SMI,0)),0,1))))</f>
        <v>-</v>
      </c>
      <c r="X425" s="127" t="str">
        <f>IF(INDEX(Absmin,MATCH(Table36[[#This Row],[Grist]],SMI,0))="-","-",IF(Table36[[#This Row],[%Absorption]]="-","-",IF(Table36[[#This Row],[%Absorption]]&lt;INDEX(Absmin,MATCH(Table36[[#This Row],[Grist]],SMI,0)),0,IF(Table36[[#This Row],[%Absorption]]&gt;INDEX(Absmax,MATCH(Table36[[#This Row],[Grist]],SMI,0)),0,1))))</f>
        <v>-</v>
      </c>
      <c r="Y425" s="127" t="str">
        <f>IF(INDEX(Extmin,MATCH(Table36[[#This Row],[Grist]],SMI,0))="-","-",IF(Table36[[#This Row],[%Extensibility]]="-","-",IF(Table36[[#This Row],[%Extensibility]]&lt;INDEX(Extmin,MATCH(Table36[[#This Row],[Grist]],SMI,0)),0,IF(Table36[[#This Row],[%Extensibility]]&gt;INDEX(Extmax,MATCH(Table36[[#This Row],[Grist]],SMI,0)),0,1))))</f>
        <v>-</v>
      </c>
      <c r="Z425" s="127" t="str">
        <f>IF(INDEX(Resmin,MATCH(Table36[[#This Row],[Grist]],SMI,0))="-","-",IF(Table36[[#This Row],[Resistance, max]]="-","-",IF(Table36[[#This Row],[Resistance, max]]&lt;INDEX(Resmin,MATCH(Table36[[#This Row],[Grist]],SMI,0)),0,IF(Table36[[#This Row],[Resistance, max]]&gt;INDEX(Resmax,MATCH(Table36[[#This Row],[Grist]],SMI,0)),0,1))))</f>
        <v>-</v>
      </c>
      <c r="AA425" s="127">
        <f>IF(INDEX(WGmin,MATCH(Table36[[#This Row],[Grist]],SMI,0))="-","-",IF(Table36[[#This Row],[%Wet Gluten]]="-","-",IF(Table36[[#This Row],[%Wet Gluten]]&lt;INDEX(WGmin,MATCH(Table36[[#This Row],[Grist]],SMI,0)),0,IF(Table36[[#This Row],[%Wet Gluten]]&gt;INDEX(WGmax,MATCH(Table36[[#This Row],[Grist]],SMI,0)),0,1))))</f>
        <v>0</v>
      </c>
      <c r="AB425" s="127">
        <f>SUM(Table36[[#This Row],[ QI Bran Content]:[QI WG]])</f>
        <v>3</v>
      </c>
      <c r="AC425" s="127">
        <f>COUNT(Table36[[#This Row],[ QI Bran Content]:[QI WG]])</f>
        <v>5</v>
      </c>
    </row>
    <row r="426" spans="1:29" x14ac:dyDescent="0.35">
      <c r="A426" s="177">
        <v>45328</v>
      </c>
      <c r="B426" s="178">
        <v>45342</v>
      </c>
      <c r="C426" s="178" t="s">
        <v>125</v>
      </c>
      <c r="D426" s="179" t="s">
        <v>237</v>
      </c>
      <c r="E426" s="180" t="s">
        <v>2</v>
      </c>
      <c r="F426" s="181" t="s">
        <v>242</v>
      </c>
      <c r="G426" s="182" t="s">
        <v>265</v>
      </c>
      <c r="H426" s="175" t="s">
        <v>165</v>
      </c>
      <c r="I426" s="175" t="s">
        <v>165</v>
      </c>
      <c r="J426" s="175" t="s">
        <v>165</v>
      </c>
      <c r="K426" s="175">
        <v>11.69</v>
      </c>
      <c r="L426" s="175" t="s">
        <v>163</v>
      </c>
      <c r="M426" s="175" t="s">
        <v>163</v>
      </c>
      <c r="N426" s="175" t="s">
        <v>163</v>
      </c>
      <c r="O426" s="175" t="s">
        <v>163</v>
      </c>
      <c r="P426" s="175" t="s">
        <v>163</v>
      </c>
      <c r="Q426" s="175"/>
      <c r="R426" s="127">
        <f>IF(Table36[[#This Row],[ Bran Content]]="-","-",IF(G426&lt;0.02,1,0))</f>
        <v>0</v>
      </c>
      <c r="S426" s="127">
        <f>IF(Table36[[#This Row],[Sieve Test]]="-","-",IF(Table36[[#This Row],[Sieve Test]]="P",1,0))</f>
        <v>1</v>
      </c>
      <c r="T426" s="127">
        <f>IF(Table36[[#This Row],[Odor]]="-","-",IF(Table36[[#This Row],[Odor]]="P",1,0))</f>
        <v>1</v>
      </c>
      <c r="U426" s="127">
        <f>IF(INDEX(MCmin,MATCH(Table36[[#This Row],[Grist]],SMI,0))="-","-",IF(Table36[[#This Row],[F1 %MC]]="-","-",IF(Table36[[#This Row],[F1 %MC]]&lt;INDEX(MCmin,MATCH(Table36[[#This Row],[Grist]],SMI,0)),0,IF(Table36[[#This Row],[F1 %MC]]&gt;INDEX(MCmax,MATCH(Table36[[#This Row],[Grist]],SMI,0)),0,1))))</f>
        <v>0</v>
      </c>
      <c r="V426" s="127" t="str">
        <f>IF(INDEX(Protmin,MATCH(Table36[[#This Row],[Grist]],SMI,0))="-","-",IF(Table36[[#This Row],[%Protein]]="-","-",IF(Table36[[#This Row],[%Protein]]&lt;INDEX(Protmin,MATCH(Table36[[#This Row],[Grist]],SMI,0)),0,IF(Table36[[#This Row],[%Protein]]&gt;INDEX(Protmax,MATCH(Table36[[#This Row],[Grist]],SMI,0)),0,1))))</f>
        <v>-</v>
      </c>
      <c r="W426" s="127" t="str">
        <f>IF(INDEX(Ashmin,MATCH(Table36[[#This Row],[Grist]],SMI,0))="-","-",IF(Table36[[#This Row],[%Ash]]="-","-",IF(Table36[[#This Row],[%Ash]]&lt;INDEX(Ashmin,MATCH(Table36[[#This Row],[Grist]],SMI,0)),0,IF(Table36[[#This Row],[%Ash]]&gt;INDEX(Ashmax,MATCH(Table36[[#This Row],[Grist]],SMI,0)),0,1))))</f>
        <v>-</v>
      </c>
      <c r="X426" s="127" t="str">
        <f>IF(INDEX(Absmin,MATCH(Table36[[#This Row],[Grist]],SMI,0))="-","-",IF(Table36[[#This Row],[%Absorption]]="-","-",IF(Table36[[#This Row],[%Absorption]]&lt;INDEX(Absmin,MATCH(Table36[[#This Row],[Grist]],SMI,0)),0,IF(Table36[[#This Row],[%Absorption]]&gt;INDEX(Absmax,MATCH(Table36[[#This Row],[Grist]],SMI,0)),0,1))))</f>
        <v>-</v>
      </c>
      <c r="Y426" s="127" t="str">
        <f>IF(INDEX(Extmin,MATCH(Table36[[#This Row],[Grist]],SMI,0))="-","-",IF(Table36[[#This Row],[%Extensibility]]="-","-",IF(Table36[[#This Row],[%Extensibility]]&lt;INDEX(Extmin,MATCH(Table36[[#This Row],[Grist]],SMI,0)),0,IF(Table36[[#This Row],[%Extensibility]]&gt;INDEX(Extmax,MATCH(Table36[[#This Row],[Grist]],SMI,0)),0,1))))</f>
        <v>-</v>
      </c>
      <c r="Z426" s="127" t="str">
        <f>IF(INDEX(Resmin,MATCH(Table36[[#This Row],[Grist]],SMI,0))="-","-",IF(Table36[[#This Row],[Resistance, max]]="-","-",IF(Table36[[#This Row],[Resistance, max]]&lt;INDEX(Resmin,MATCH(Table36[[#This Row],[Grist]],SMI,0)),0,IF(Table36[[#This Row],[Resistance, max]]&gt;INDEX(Resmax,MATCH(Table36[[#This Row],[Grist]],SMI,0)),0,1))))</f>
        <v>-</v>
      </c>
      <c r="AA426" s="127">
        <f>IF(INDEX(WGmin,MATCH(Table36[[#This Row],[Grist]],SMI,0))="-","-",IF(Table36[[#This Row],[%Wet Gluten]]="-","-",IF(Table36[[#This Row],[%Wet Gluten]]&lt;INDEX(WGmin,MATCH(Table36[[#This Row],[Grist]],SMI,0)),0,IF(Table36[[#This Row],[%Wet Gluten]]&gt;INDEX(WGmax,MATCH(Table36[[#This Row],[Grist]],SMI,0)),0,1))))</f>
        <v>0</v>
      </c>
      <c r="AB426" s="127">
        <f>SUM(Table36[[#This Row],[ QI Bran Content]:[QI WG]])</f>
        <v>2</v>
      </c>
      <c r="AC426" s="127">
        <f>COUNT(Table36[[#This Row],[ QI Bran Content]:[QI WG]])</f>
        <v>5</v>
      </c>
    </row>
    <row r="427" spans="1:29" x14ac:dyDescent="0.35">
      <c r="A427" s="177">
        <v>45328</v>
      </c>
      <c r="B427" s="178">
        <v>45342</v>
      </c>
      <c r="C427" s="178" t="s">
        <v>125</v>
      </c>
      <c r="D427" s="179" t="s">
        <v>238</v>
      </c>
      <c r="E427" s="180" t="s">
        <v>2</v>
      </c>
      <c r="F427" s="181" t="s">
        <v>242</v>
      </c>
      <c r="G427" s="182" t="s">
        <v>277</v>
      </c>
      <c r="H427" s="175" t="s">
        <v>165</v>
      </c>
      <c r="I427" s="175" t="s">
        <v>165</v>
      </c>
      <c r="J427" s="175" t="s">
        <v>165</v>
      </c>
      <c r="K427" s="175">
        <v>11.82</v>
      </c>
      <c r="L427" s="175" t="s">
        <v>163</v>
      </c>
      <c r="M427" s="175" t="s">
        <v>163</v>
      </c>
      <c r="N427" s="175" t="s">
        <v>163</v>
      </c>
      <c r="O427" s="175" t="s">
        <v>163</v>
      </c>
      <c r="P427" s="175" t="s">
        <v>163</v>
      </c>
      <c r="Q427" s="175"/>
      <c r="R427" s="127">
        <f>IF(Table36[[#This Row],[ Bran Content]]="-","-",IF(G427&lt;0.02,1,0))</f>
        <v>0</v>
      </c>
      <c r="S427" s="127">
        <f>IF(Table36[[#This Row],[Sieve Test]]="-","-",IF(Table36[[#This Row],[Sieve Test]]="P",1,0))</f>
        <v>1</v>
      </c>
      <c r="T427" s="127">
        <f>IF(Table36[[#This Row],[Odor]]="-","-",IF(Table36[[#This Row],[Odor]]="P",1,0))</f>
        <v>1</v>
      </c>
      <c r="U427" s="127">
        <f>IF(INDEX(MCmin,MATCH(Table36[[#This Row],[Grist]],SMI,0))="-","-",IF(Table36[[#This Row],[F1 %MC]]="-","-",IF(Table36[[#This Row],[F1 %MC]]&lt;INDEX(MCmin,MATCH(Table36[[#This Row],[Grist]],SMI,0)),0,IF(Table36[[#This Row],[F1 %MC]]&gt;INDEX(MCmax,MATCH(Table36[[#This Row],[Grist]],SMI,0)),0,1))))</f>
        <v>0</v>
      </c>
      <c r="V427" s="127" t="str">
        <f>IF(INDEX(Protmin,MATCH(Table36[[#This Row],[Grist]],SMI,0))="-","-",IF(Table36[[#This Row],[%Protein]]="-","-",IF(Table36[[#This Row],[%Protein]]&lt;INDEX(Protmin,MATCH(Table36[[#This Row],[Grist]],SMI,0)),0,IF(Table36[[#This Row],[%Protein]]&gt;INDEX(Protmax,MATCH(Table36[[#This Row],[Grist]],SMI,0)),0,1))))</f>
        <v>-</v>
      </c>
      <c r="W427" s="127" t="str">
        <f>IF(INDEX(Ashmin,MATCH(Table36[[#This Row],[Grist]],SMI,0))="-","-",IF(Table36[[#This Row],[%Ash]]="-","-",IF(Table36[[#This Row],[%Ash]]&lt;INDEX(Ashmin,MATCH(Table36[[#This Row],[Grist]],SMI,0)),0,IF(Table36[[#This Row],[%Ash]]&gt;INDEX(Ashmax,MATCH(Table36[[#This Row],[Grist]],SMI,0)),0,1))))</f>
        <v>-</v>
      </c>
      <c r="X427" s="127" t="str">
        <f>IF(INDEX(Absmin,MATCH(Table36[[#This Row],[Grist]],SMI,0))="-","-",IF(Table36[[#This Row],[%Absorption]]="-","-",IF(Table36[[#This Row],[%Absorption]]&lt;INDEX(Absmin,MATCH(Table36[[#This Row],[Grist]],SMI,0)),0,IF(Table36[[#This Row],[%Absorption]]&gt;INDEX(Absmax,MATCH(Table36[[#This Row],[Grist]],SMI,0)),0,1))))</f>
        <v>-</v>
      </c>
      <c r="Y427" s="127" t="str">
        <f>IF(INDEX(Extmin,MATCH(Table36[[#This Row],[Grist]],SMI,0))="-","-",IF(Table36[[#This Row],[%Extensibility]]="-","-",IF(Table36[[#This Row],[%Extensibility]]&lt;INDEX(Extmin,MATCH(Table36[[#This Row],[Grist]],SMI,0)),0,IF(Table36[[#This Row],[%Extensibility]]&gt;INDEX(Extmax,MATCH(Table36[[#This Row],[Grist]],SMI,0)),0,1))))</f>
        <v>-</v>
      </c>
      <c r="Z427" s="127" t="str">
        <f>IF(INDEX(Resmin,MATCH(Table36[[#This Row],[Grist]],SMI,0))="-","-",IF(Table36[[#This Row],[Resistance, max]]="-","-",IF(Table36[[#This Row],[Resistance, max]]&lt;INDEX(Resmin,MATCH(Table36[[#This Row],[Grist]],SMI,0)),0,IF(Table36[[#This Row],[Resistance, max]]&gt;INDEX(Resmax,MATCH(Table36[[#This Row],[Grist]],SMI,0)),0,1))))</f>
        <v>-</v>
      </c>
      <c r="AA427" s="127">
        <f>IF(INDEX(WGmin,MATCH(Table36[[#This Row],[Grist]],SMI,0))="-","-",IF(Table36[[#This Row],[%Wet Gluten]]="-","-",IF(Table36[[#This Row],[%Wet Gluten]]&lt;INDEX(WGmin,MATCH(Table36[[#This Row],[Grist]],SMI,0)),0,IF(Table36[[#This Row],[%Wet Gluten]]&gt;INDEX(WGmax,MATCH(Table36[[#This Row],[Grist]],SMI,0)),0,1))))</f>
        <v>0</v>
      </c>
      <c r="AB427" s="127">
        <f>SUM(Table36[[#This Row],[ QI Bran Content]:[QI WG]])</f>
        <v>2</v>
      </c>
      <c r="AC427" s="127">
        <f>COUNT(Table36[[#This Row],[ QI Bran Content]:[QI WG]])</f>
        <v>5</v>
      </c>
    </row>
    <row r="428" spans="1:29" x14ac:dyDescent="0.35">
      <c r="A428" s="177">
        <v>45328</v>
      </c>
      <c r="B428" s="178">
        <v>45342</v>
      </c>
      <c r="C428" s="178" t="s">
        <v>128</v>
      </c>
      <c r="D428" s="179">
        <v>0.625</v>
      </c>
      <c r="E428" s="180" t="s">
        <v>0</v>
      </c>
      <c r="F428" s="181" t="s">
        <v>27</v>
      </c>
      <c r="G428" s="182">
        <v>4.4000000000000003E-3</v>
      </c>
      <c r="H428" s="175" t="s">
        <v>165</v>
      </c>
      <c r="I428" s="175" t="s">
        <v>165</v>
      </c>
      <c r="J428" s="175" t="s">
        <v>165</v>
      </c>
      <c r="K428" s="175">
        <v>11.22</v>
      </c>
      <c r="L428" s="175">
        <v>13.27</v>
      </c>
      <c r="M428" s="175">
        <v>0.64</v>
      </c>
      <c r="N428" s="175">
        <v>65.2</v>
      </c>
      <c r="O428" s="175" t="s">
        <v>163</v>
      </c>
      <c r="P428" s="175" t="s">
        <v>163</v>
      </c>
      <c r="Q428" s="175"/>
      <c r="R428" s="127">
        <f>IF(Table36[[#This Row],[ Bran Content]]="-","-",IF(G428&lt;0.02,1,0))</f>
        <v>1</v>
      </c>
      <c r="S428" s="127">
        <f>IF(Table36[[#This Row],[Sieve Test]]="-","-",IF(Table36[[#This Row],[Sieve Test]]="P",1,0))</f>
        <v>1</v>
      </c>
      <c r="T428" s="127">
        <f>IF(Table36[[#This Row],[Odor]]="-","-",IF(Table36[[#This Row],[Odor]]="P",1,0))</f>
        <v>1</v>
      </c>
      <c r="U428" s="127">
        <f>IF(INDEX(MCmin,MATCH(Table36[[#This Row],[Grist]],SMI,0))="-","-",IF(Table36[[#This Row],[F1 %MC]]="-","-",IF(Table36[[#This Row],[F1 %MC]]&lt;INDEX(MCmin,MATCH(Table36[[#This Row],[Grist]],SMI,0)),0,IF(Table36[[#This Row],[F1 %MC]]&gt;INDEX(MCmax,MATCH(Table36[[#This Row],[Grist]],SMI,0)),0,1))))</f>
        <v>0</v>
      </c>
      <c r="V428" s="127">
        <f>IF(INDEX(Protmin,MATCH(Table36[[#This Row],[Grist]],SMI,0))="-","-",IF(Table36[[#This Row],[%Protein]]="-","-",IF(Table36[[#This Row],[%Protein]]&lt;INDEX(Protmin,MATCH(Table36[[#This Row],[Grist]],SMI,0)),0,IF(Table36[[#This Row],[%Protein]]&gt;INDEX(Protmax,MATCH(Table36[[#This Row],[Grist]],SMI,0)),0,1))))</f>
        <v>1</v>
      </c>
      <c r="W428" s="127">
        <f>IF(INDEX(Ashmin,MATCH(Table36[[#This Row],[Grist]],SMI,0))="-","-",IF(Table36[[#This Row],[%Ash]]="-","-",IF(Table36[[#This Row],[%Ash]]&lt;INDEX(Ashmin,MATCH(Table36[[#This Row],[Grist]],SMI,0)),0,IF(Table36[[#This Row],[%Ash]]&gt;INDEX(Ashmax,MATCH(Table36[[#This Row],[Grist]],SMI,0)),0,1))))</f>
        <v>1</v>
      </c>
      <c r="X428" s="127">
        <f>IF(INDEX(Absmin,MATCH(Table36[[#This Row],[Grist]],SMI,0))="-","-",IF(Table36[[#This Row],[%Absorption]]="-","-",IF(Table36[[#This Row],[%Absorption]]&lt;INDEX(Absmin,MATCH(Table36[[#This Row],[Grist]],SMI,0)),0,IF(Table36[[#This Row],[%Absorption]]&gt;INDEX(Absmax,MATCH(Table36[[#This Row],[Grist]],SMI,0)),0,1))))</f>
        <v>1</v>
      </c>
      <c r="Y428" s="127" t="str">
        <f>IF(INDEX(Extmin,MATCH(Table36[[#This Row],[Grist]],SMI,0))="-","-",IF(Table36[[#This Row],[%Extensibility]]="-","-",IF(Table36[[#This Row],[%Extensibility]]&lt;INDEX(Extmin,MATCH(Table36[[#This Row],[Grist]],SMI,0)),0,IF(Table36[[#This Row],[%Extensibility]]&gt;INDEX(Extmax,MATCH(Table36[[#This Row],[Grist]],SMI,0)),0,1))))</f>
        <v>-</v>
      </c>
      <c r="Z428" s="127" t="str">
        <f>IF(INDEX(Resmin,MATCH(Table36[[#This Row],[Grist]],SMI,0))="-","-",IF(Table36[[#This Row],[Resistance, max]]="-","-",IF(Table36[[#This Row],[Resistance, max]]&lt;INDEX(Resmin,MATCH(Table36[[#This Row],[Grist]],SMI,0)),0,IF(Table36[[#This Row],[Resistance, max]]&gt;INDEX(Resmax,MATCH(Table36[[#This Row],[Grist]],SMI,0)),0,1))))</f>
        <v>-</v>
      </c>
      <c r="AA428" s="127">
        <f>IF(INDEX(WGmin,MATCH(Table36[[#This Row],[Grist]],SMI,0))="-","-",IF(Table36[[#This Row],[%Wet Gluten]]="-","-",IF(Table36[[#This Row],[%Wet Gluten]]&lt;INDEX(WGmin,MATCH(Table36[[#This Row],[Grist]],SMI,0)),0,IF(Table36[[#This Row],[%Wet Gluten]]&gt;INDEX(WGmax,MATCH(Table36[[#This Row],[Grist]],SMI,0)),0,1))))</f>
        <v>0</v>
      </c>
      <c r="AB428" s="127">
        <f>SUM(Table36[[#This Row],[ QI Bran Content]:[QI WG]])</f>
        <v>6</v>
      </c>
      <c r="AC428" s="127">
        <f>COUNT(Table36[[#This Row],[ QI Bran Content]:[QI WG]])</f>
        <v>8</v>
      </c>
    </row>
    <row r="429" spans="1:29" x14ac:dyDescent="0.35">
      <c r="A429" s="177">
        <v>45328</v>
      </c>
      <c r="B429" s="178">
        <v>45342</v>
      </c>
      <c r="C429" s="178" t="s">
        <v>128</v>
      </c>
      <c r="D429" s="179">
        <v>0.70833333333333304</v>
      </c>
      <c r="E429" s="180" t="s">
        <v>0</v>
      </c>
      <c r="F429" s="181" t="s">
        <v>27</v>
      </c>
      <c r="G429" s="182">
        <v>1.06E-2</v>
      </c>
      <c r="H429" s="175" t="s">
        <v>165</v>
      </c>
      <c r="I429" s="175" t="s">
        <v>165</v>
      </c>
      <c r="J429" s="175" t="s">
        <v>165</v>
      </c>
      <c r="K429" s="175">
        <v>12.16</v>
      </c>
      <c r="L429" s="175">
        <v>13.27</v>
      </c>
      <c r="M429" s="175">
        <v>0.64</v>
      </c>
      <c r="N429" s="175">
        <v>65.2</v>
      </c>
      <c r="O429" s="175" t="s">
        <v>163</v>
      </c>
      <c r="P429" s="175" t="s">
        <v>163</v>
      </c>
      <c r="Q429" s="175"/>
      <c r="R429" s="127">
        <f>IF(Table36[[#This Row],[ Bran Content]]="-","-",IF(G429&lt;0.02,1,0))</f>
        <v>1</v>
      </c>
      <c r="S429" s="127">
        <f>IF(Table36[[#This Row],[Sieve Test]]="-","-",IF(Table36[[#This Row],[Sieve Test]]="P",1,0))</f>
        <v>1</v>
      </c>
      <c r="T429" s="127">
        <f>IF(Table36[[#This Row],[Odor]]="-","-",IF(Table36[[#This Row],[Odor]]="P",1,0))</f>
        <v>1</v>
      </c>
      <c r="U429" s="127">
        <f>IF(INDEX(MCmin,MATCH(Table36[[#This Row],[Grist]],SMI,0))="-","-",IF(Table36[[#This Row],[F1 %MC]]="-","-",IF(Table36[[#This Row],[F1 %MC]]&lt;INDEX(MCmin,MATCH(Table36[[#This Row],[Grist]],SMI,0)),0,IF(Table36[[#This Row],[F1 %MC]]&gt;INDEX(MCmax,MATCH(Table36[[#This Row],[Grist]],SMI,0)),0,1))))</f>
        <v>1</v>
      </c>
      <c r="V429" s="127">
        <f>IF(INDEX(Protmin,MATCH(Table36[[#This Row],[Grist]],SMI,0))="-","-",IF(Table36[[#This Row],[%Protein]]="-","-",IF(Table36[[#This Row],[%Protein]]&lt;INDEX(Protmin,MATCH(Table36[[#This Row],[Grist]],SMI,0)),0,IF(Table36[[#This Row],[%Protein]]&gt;INDEX(Protmax,MATCH(Table36[[#This Row],[Grist]],SMI,0)),0,1))))</f>
        <v>1</v>
      </c>
      <c r="W429" s="127">
        <f>IF(INDEX(Ashmin,MATCH(Table36[[#This Row],[Grist]],SMI,0))="-","-",IF(Table36[[#This Row],[%Ash]]="-","-",IF(Table36[[#This Row],[%Ash]]&lt;INDEX(Ashmin,MATCH(Table36[[#This Row],[Grist]],SMI,0)),0,IF(Table36[[#This Row],[%Ash]]&gt;INDEX(Ashmax,MATCH(Table36[[#This Row],[Grist]],SMI,0)),0,1))))</f>
        <v>1</v>
      </c>
      <c r="X429" s="127">
        <f>IF(INDEX(Absmin,MATCH(Table36[[#This Row],[Grist]],SMI,0))="-","-",IF(Table36[[#This Row],[%Absorption]]="-","-",IF(Table36[[#This Row],[%Absorption]]&lt;INDEX(Absmin,MATCH(Table36[[#This Row],[Grist]],SMI,0)),0,IF(Table36[[#This Row],[%Absorption]]&gt;INDEX(Absmax,MATCH(Table36[[#This Row],[Grist]],SMI,0)),0,1))))</f>
        <v>1</v>
      </c>
      <c r="Y429" s="127" t="str">
        <f>IF(INDEX(Extmin,MATCH(Table36[[#This Row],[Grist]],SMI,0))="-","-",IF(Table36[[#This Row],[%Extensibility]]="-","-",IF(Table36[[#This Row],[%Extensibility]]&lt;INDEX(Extmin,MATCH(Table36[[#This Row],[Grist]],SMI,0)),0,IF(Table36[[#This Row],[%Extensibility]]&gt;INDEX(Extmax,MATCH(Table36[[#This Row],[Grist]],SMI,0)),0,1))))</f>
        <v>-</v>
      </c>
      <c r="Z429" s="127" t="str">
        <f>IF(INDEX(Resmin,MATCH(Table36[[#This Row],[Grist]],SMI,0))="-","-",IF(Table36[[#This Row],[Resistance, max]]="-","-",IF(Table36[[#This Row],[Resistance, max]]&lt;INDEX(Resmin,MATCH(Table36[[#This Row],[Grist]],SMI,0)),0,IF(Table36[[#This Row],[Resistance, max]]&gt;INDEX(Resmax,MATCH(Table36[[#This Row],[Grist]],SMI,0)),0,1))))</f>
        <v>-</v>
      </c>
      <c r="AA429" s="127">
        <f>IF(INDEX(WGmin,MATCH(Table36[[#This Row],[Grist]],SMI,0))="-","-",IF(Table36[[#This Row],[%Wet Gluten]]="-","-",IF(Table36[[#This Row],[%Wet Gluten]]&lt;INDEX(WGmin,MATCH(Table36[[#This Row],[Grist]],SMI,0)),0,IF(Table36[[#This Row],[%Wet Gluten]]&gt;INDEX(WGmax,MATCH(Table36[[#This Row],[Grist]],SMI,0)),0,1))))</f>
        <v>0</v>
      </c>
      <c r="AB429" s="127">
        <f>SUM(Table36[[#This Row],[ QI Bran Content]:[QI WG]])</f>
        <v>7</v>
      </c>
      <c r="AC429" s="127">
        <f>COUNT(Table36[[#This Row],[ QI Bran Content]:[QI WG]])</f>
        <v>8</v>
      </c>
    </row>
    <row r="430" spans="1:29" x14ac:dyDescent="0.35">
      <c r="A430" s="177">
        <v>45328</v>
      </c>
      <c r="B430" s="178">
        <v>45342</v>
      </c>
      <c r="C430" s="178" t="s">
        <v>128</v>
      </c>
      <c r="D430" s="179">
        <v>0.79166666666666596</v>
      </c>
      <c r="E430" s="180" t="s">
        <v>0</v>
      </c>
      <c r="F430" s="181" t="s">
        <v>27</v>
      </c>
      <c r="G430" s="182">
        <v>8.3000000000000001E-3</v>
      </c>
      <c r="H430" s="175" t="s">
        <v>165</v>
      </c>
      <c r="I430" s="175" t="s">
        <v>165</v>
      </c>
      <c r="J430" s="175" t="s">
        <v>165</v>
      </c>
      <c r="K430" s="175">
        <v>11.35</v>
      </c>
      <c r="L430" s="175">
        <v>13.27</v>
      </c>
      <c r="M430" s="175">
        <v>0.64</v>
      </c>
      <c r="N430" s="175">
        <v>65.2</v>
      </c>
      <c r="O430" s="175" t="s">
        <v>163</v>
      </c>
      <c r="P430" s="175" t="s">
        <v>163</v>
      </c>
      <c r="Q430" s="175"/>
      <c r="R430" s="127">
        <f>IF(Table36[[#This Row],[ Bran Content]]="-","-",IF(G430&lt;0.02,1,0))</f>
        <v>1</v>
      </c>
      <c r="S430" s="127">
        <f>IF(Table36[[#This Row],[Sieve Test]]="-","-",IF(Table36[[#This Row],[Sieve Test]]="P",1,0))</f>
        <v>1</v>
      </c>
      <c r="T430" s="127">
        <f>IF(Table36[[#This Row],[Odor]]="-","-",IF(Table36[[#This Row],[Odor]]="P",1,0))</f>
        <v>1</v>
      </c>
      <c r="U430" s="127">
        <f>IF(INDEX(MCmin,MATCH(Table36[[#This Row],[Grist]],SMI,0))="-","-",IF(Table36[[#This Row],[F1 %MC]]="-","-",IF(Table36[[#This Row],[F1 %MC]]&lt;INDEX(MCmin,MATCH(Table36[[#This Row],[Grist]],SMI,0)),0,IF(Table36[[#This Row],[F1 %MC]]&gt;INDEX(MCmax,MATCH(Table36[[#This Row],[Grist]],SMI,0)),0,1))))</f>
        <v>0</v>
      </c>
      <c r="V430" s="127">
        <f>IF(INDEX(Protmin,MATCH(Table36[[#This Row],[Grist]],SMI,0))="-","-",IF(Table36[[#This Row],[%Protein]]="-","-",IF(Table36[[#This Row],[%Protein]]&lt;INDEX(Protmin,MATCH(Table36[[#This Row],[Grist]],SMI,0)),0,IF(Table36[[#This Row],[%Protein]]&gt;INDEX(Protmax,MATCH(Table36[[#This Row],[Grist]],SMI,0)),0,1))))</f>
        <v>1</v>
      </c>
      <c r="W430" s="127">
        <f>IF(INDEX(Ashmin,MATCH(Table36[[#This Row],[Grist]],SMI,0))="-","-",IF(Table36[[#This Row],[%Ash]]="-","-",IF(Table36[[#This Row],[%Ash]]&lt;INDEX(Ashmin,MATCH(Table36[[#This Row],[Grist]],SMI,0)),0,IF(Table36[[#This Row],[%Ash]]&gt;INDEX(Ashmax,MATCH(Table36[[#This Row],[Grist]],SMI,0)),0,1))))</f>
        <v>1</v>
      </c>
      <c r="X430" s="127">
        <f>IF(INDEX(Absmin,MATCH(Table36[[#This Row],[Grist]],SMI,0))="-","-",IF(Table36[[#This Row],[%Absorption]]="-","-",IF(Table36[[#This Row],[%Absorption]]&lt;INDEX(Absmin,MATCH(Table36[[#This Row],[Grist]],SMI,0)),0,IF(Table36[[#This Row],[%Absorption]]&gt;INDEX(Absmax,MATCH(Table36[[#This Row],[Grist]],SMI,0)),0,1))))</f>
        <v>1</v>
      </c>
      <c r="Y430" s="127" t="str">
        <f>IF(INDEX(Extmin,MATCH(Table36[[#This Row],[Grist]],SMI,0))="-","-",IF(Table36[[#This Row],[%Extensibility]]="-","-",IF(Table36[[#This Row],[%Extensibility]]&lt;INDEX(Extmin,MATCH(Table36[[#This Row],[Grist]],SMI,0)),0,IF(Table36[[#This Row],[%Extensibility]]&gt;INDEX(Extmax,MATCH(Table36[[#This Row],[Grist]],SMI,0)),0,1))))</f>
        <v>-</v>
      </c>
      <c r="Z430" s="127" t="str">
        <f>IF(INDEX(Resmin,MATCH(Table36[[#This Row],[Grist]],SMI,0))="-","-",IF(Table36[[#This Row],[Resistance, max]]="-","-",IF(Table36[[#This Row],[Resistance, max]]&lt;INDEX(Resmin,MATCH(Table36[[#This Row],[Grist]],SMI,0)),0,IF(Table36[[#This Row],[Resistance, max]]&gt;INDEX(Resmax,MATCH(Table36[[#This Row],[Grist]],SMI,0)),0,1))))</f>
        <v>-</v>
      </c>
      <c r="AA430" s="127">
        <f>IF(INDEX(WGmin,MATCH(Table36[[#This Row],[Grist]],SMI,0))="-","-",IF(Table36[[#This Row],[%Wet Gluten]]="-","-",IF(Table36[[#This Row],[%Wet Gluten]]&lt;INDEX(WGmin,MATCH(Table36[[#This Row],[Grist]],SMI,0)),0,IF(Table36[[#This Row],[%Wet Gluten]]&gt;INDEX(WGmax,MATCH(Table36[[#This Row],[Grist]],SMI,0)),0,1))))</f>
        <v>0</v>
      </c>
      <c r="AB430" s="127">
        <f>SUM(Table36[[#This Row],[ QI Bran Content]:[QI WG]])</f>
        <v>6</v>
      </c>
      <c r="AC430" s="127">
        <f>COUNT(Table36[[#This Row],[ QI Bran Content]:[QI WG]])</f>
        <v>8</v>
      </c>
    </row>
    <row r="431" spans="1:29" x14ac:dyDescent="0.35">
      <c r="A431" s="177">
        <v>45328</v>
      </c>
      <c r="B431" s="178">
        <v>45342</v>
      </c>
      <c r="C431" s="178" t="s">
        <v>128</v>
      </c>
      <c r="D431" s="179">
        <v>0.874999999999999</v>
      </c>
      <c r="E431" s="180" t="s">
        <v>0</v>
      </c>
      <c r="F431" s="181" t="s">
        <v>27</v>
      </c>
      <c r="G431" s="182">
        <v>9.2999999999999992E-3</v>
      </c>
      <c r="H431" s="175" t="s">
        <v>165</v>
      </c>
      <c r="I431" s="175" t="s">
        <v>165</v>
      </c>
      <c r="J431" s="175" t="s">
        <v>165</v>
      </c>
      <c r="K431" s="175">
        <v>11.44</v>
      </c>
      <c r="L431" s="175">
        <v>13.27</v>
      </c>
      <c r="M431" s="175">
        <v>0.64</v>
      </c>
      <c r="N431" s="175">
        <v>65.2</v>
      </c>
      <c r="O431" s="175" t="s">
        <v>163</v>
      </c>
      <c r="P431" s="175" t="s">
        <v>163</v>
      </c>
      <c r="Q431" s="175"/>
      <c r="R431" s="127">
        <f>IF(Table36[[#This Row],[ Bran Content]]="-","-",IF(G431&lt;0.02,1,0))</f>
        <v>1</v>
      </c>
      <c r="S431" s="127">
        <f>IF(Table36[[#This Row],[Sieve Test]]="-","-",IF(Table36[[#This Row],[Sieve Test]]="P",1,0))</f>
        <v>1</v>
      </c>
      <c r="T431" s="127">
        <f>IF(Table36[[#This Row],[Odor]]="-","-",IF(Table36[[#This Row],[Odor]]="P",1,0))</f>
        <v>1</v>
      </c>
      <c r="U431" s="127">
        <f>IF(INDEX(MCmin,MATCH(Table36[[#This Row],[Grist]],SMI,0))="-","-",IF(Table36[[#This Row],[F1 %MC]]="-","-",IF(Table36[[#This Row],[F1 %MC]]&lt;INDEX(MCmin,MATCH(Table36[[#This Row],[Grist]],SMI,0)),0,IF(Table36[[#This Row],[F1 %MC]]&gt;INDEX(MCmax,MATCH(Table36[[#This Row],[Grist]],SMI,0)),0,1))))</f>
        <v>0</v>
      </c>
      <c r="V431" s="127">
        <f>IF(INDEX(Protmin,MATCH(Table36[[#This Row],[Grist]],SMI,0))="-","-",IF(Table36[[#This Row],[%Protein]]="-","-",IF(Table36[[#This Row],[%Protein]]&lt;INDEX(Protmin,MATCH(Table36[[#This Row],[Grist]],SMI,0)),0,IF(Table36[[#This Row],[%Protein]]&gt;INDEX(Protmax,MATCH(Table36[[#This Row],[Grist]],SMI,0)),0,1))))</f>
        <v>1</v>
      </c>
      <c r="W431" s="127">
        <f>IF(INDEX(Ashmin,MATCH(Table36[[#This Row],[Grist]],SMI,0))="-","-",IF(Table36[[#This Row],[%Ash]]="-","-",IF(Table36[[#This Row],[%Ash]]&lt;INDEX(Ashmin,MATCH(Table36[[#This Row],[Grist]],SMI,0)),0,IF(Table36[[#This Row],[%Ash]]&gt;INDEX(Ashmax,MATCH(Table36[[#This Row],[Grist]],SMI,0)),0,1))))</f>
        <v>1</v>
      </c>
      <c r="X431" s="127">
        <f>IF(INDEX(Absmin,MATCH(Table36[[#This Row],[Grist]],SMI,0))="-","-",IF(Table36[[#This Row],[%Absorption]]="-","-",IF(Table36[[#This Row],[%Absorption]]&lt;INDEX(Absmin,MATCH(Table36[[#This Row],[Grist]],SMI,0)),0,IF(Table36[[#This Row],[%Absorption]]&gt;INDEX(Absmax,MATCH(Table36[[#This Row],[Grist]],SMI,0)),0,1))))</f>
        <v>1</v>
      </c>
      <c r="Y431" s="127" t="str">
        <f>IF(INDEX(Extmin,MATCH(Table36[[#This Row],[Grist]],SMI,0))="-","-",IF(Table36[[#This Row],[%Extensibility]]="-","-",IF(Table36[[#This Row],[%Extensibility]]&lt;INDEX(Extmin,MATCH(Table36[[#This Row],[Grist]],SMI,0)),0,IF(Table36[[#This Row],[%Extensibility]]&gt;INDEX(Extmax,MATCH(Table36[[#This Row],[Grist]],SMI,0)),0,1))))</f>
        <v>-</v>
      </c>
      <c r="Z431" s="127" t="str">
        <f>IF(INDEX(Resmin,MATCH(Table36[[#This Row],[Grist]],SMI,0))="-","-",IF(Table36[[#This Row],[Resistance, max]]="-","-",IF(Table36[[#This Row],[Resistance, max]]&lt;INDEX(Resmin,MATCH(Table36[[#This Row],[Grist]],SMI,0)),0,IF(Table36[[#This Row],[Resistance, max]]&gt;INDEX(Resmax,MATCH(Table36[[#This Row],[Grist]],SMI,0)),0,1))))</f>
        <v>-</v>
      </c>
      <c r="AA431" s="127">
        <f>IF(INDEX(WGmin,MATCH(Table36[[#This Row],[Grist]],SMI,0))="-","-",IF(Table36[[#This Row],[%Wet Gluten]]="-","-",IF(Table36[[#This Row],[%Wet Gluten]]&lt;INDEX(WGmin,MATCH(Table36[[#This Row],[Grist]],SMI,0)),0,IF(Table36[[#This Row],[%Wet Gluten]]&gt;INDEX(WGmax,MATCH(Table36[[#This Row],[Grist]],SMI,0)),0,1))))</f>
        <v>0</v>
      </c>
      <c r="AB431" s="127">
        <f>SUM(Table36[[#This Row],[ QI Bran Content]:[QI WG]])</f>
        <v>6</v>
      </c>
      <c r="AC431" s="127">
        <f>COUNT(Table36[[#This Row],[ QI Bran Content]:[QI WG]])</f>
        <v>8</v>
      </c>
    </row>
    <row r="432" spans="1:29" x14ac:dyDescent="0.35">
      <c r="A432" s="177">
        <v>45328</v>
      </c>
      <c r="B432" s="178">
        <v>45342</v>
      </c>
      <c r="C432" s="178" t="s">
        <v>128</v>
      </c>
      <c r="D432" s="179">
        <v>0.625</v>
      </c>
      <c r="E432" s="180" t="s">
        <v>2</v>
      </c>
      <c r="F432" s="181" t="s">
        <v>242</v>
      </c>
      <c r="G432" s="182" t="s">
        <v>278</v>
      </c>
      <c r="H432" s="175" t="s">
        <v>165</v>
      </c>
      <c r="I432" s="175" t="s">
        <v>165</v>
      </c>
      <c r="J432" s="175" t="s">
        <v>165</v>
      </c>
      <c r="K432" s="175">
        <v>12.44</v>
      </c>
      <c r="L432" s="175" t="s">
        <v>279</v>
      </c>
      <c r="M432" s="175" t="s">
        <v>280</v>
      </c>
      <c r="N432" s="175">
        <v>63.8</v>
      </c>
      <c r="O432" s="175" t="s">
        <v>163</v>
      </c>
      <c r="P432" s="175" t="s">
        <v>163</v>
      </c>
      <c r="Q432" s="175"/>
      <c r="R432" s="127">
        <f>IF(Table36[[#This Row],[ Bran Content]]="-","-",IF(G432&lt;0.02,1,0))</f>
        <v>0</v>
      </c>
      <c r="S432" s="127">
        <f>IF(Table36[[#This Row],[Sieve Test]]="-","-",IF(Table36[[#This Row],[Sieve Test]]="P",1,0))</f>
        <v>1</v>
      </c>
      <c r="T432" s="127">
        <f>IF(Table36[[#This Row],[Odor]]="-","-",IF(Table36[[#This Row],[Odor]]="P",1,0))</f>
        <v>1</v>
      </c>
      <c r="U432" s="127">
        <f>IF(INDEX(MCmin,MATCH(Table36[[#This Row],[Grist]],SMI,0))="-","-",IF(Table36[[#This Row],[F1 %MC]]="-","-",IF(Table36[[#This Row],[F1 %MC]]&lt;INDEX(MCmin,MATCH(Table36[[#This Row],[Grist]],SMI,0)),0,IF(Table36[[#This Row],[F1 %MC]]&gt;INDEX(MCmax,MATCH(Table36[[#This Row],[Grist]],SMI,0)),0,1))))</f>
        <v>1</v>
      </c>
      <c r="V432" s="127">
        <f>IF(INDEX(Protmin,MATCH(Table36[[#This Row],[Grist]],SMI,0))="-","-",IF(Table36[[#This Row],[%Protein]]="-","-",IF(Table36[[#This Row],[%Protein]]&lt;INDEX(Protmin,MATCH(Table36[[#This Row],[Grist]],SMI,0)),0,IF(Table36[[#This Row],[%Protein]]&gt;INDEX(Protmax,MATCH(Table36[[#This Row],[Grist]],SMI,0)),0,1))))</f>
        <v>0</v>
      </c>
      <c r="W432" s="127">
        <f>IF(INDEX(Ashmin,MATCH(Table36[[#This Row],[Grist]],SMI,0))="-","-",IF(Table36[[#This Row],[%Ash]]="-","-",IF(Table36[[#This Row],[%Ash]]&lt;INDEX(Ashmin,MATCH(Table36[[#This Row],[Grist]],SMI,0)),0,IF(Table36[[#This Row],[%Ash]]&gt;INDEX(Ashmax,MATCH(Table36[[#This Row],[Grist]],SMI,0)),0,1))))</f>
        <v>0</v>
      </c>
      <c r="X432" s="127">
        <f>IF(INDEX(Absmin,MATCH(Table36[[#This Row],[Grist]],SMI,0))="-","-",IF(Table36[[#This Row],[%Absorption]]="-","-",IF(Table36[[#This Row],[%Absorption]]&lt;INDEX(Absmin,MATCH(Table36[[#This Row],[Grist]],SMI,0)),0,IF(Table36[[#This Row],[%Absorption]]&gt;INDEX(Absmax,MATCH(Table36[[#This Row],[Grist]],SMI,0)),0,1))))</f>
        <v>1</v>
      </c>
      <c r="Y432" s="127" t="str">
        <f>IF(INDEX(Extmin,MATCH(Table36[[#This Row],[Grist]],SMI,0))="-","-",IF(Table36[[#This Row],[%Extensibility]]="-","-",IF(Table36[[#This Row],[%Extensibility]]&lt;INDEX(Extmin,MATCH(Table36[[#This Row],[Grist]],SMI,0)),0,IF(Table36[[#This Row],[%Extensibility]]&gt;INDEX(Extmax,MATCH(Table36[[#This Row],[Grist]],SMI,0)),0,1))))</f>
        <v>-</v>
      </c>
      <c r="Z432" s="127" t="str">
        <f>IF(INDEX(Resmin,MATCH(Table36[[#This Row],[Grist]],SMI,0))="-","-",IF(Table36[[#This Row],[Resistance, max]]="-","-",IF(Table36[[#This Row],[Resistance, max]]&lt;INDEX(Resmin,MATCH(Table36[[#This Row],[Grist]],SMI,0)),0,IF(Table36[[#This Row],[Resistance, max]]&gt;INDEX(Resmax,MATCH(Table36[[#This Row],[Grist]],SMI,0)),0,1))))</f>
        <v>-</v>
      </c>
      <c r="AA432" s="127">
        <f>IF(INDEX(WGmin,MATCH(Table36[[#This Row],[Grist]],SMI,0))="-","-",IF(Table36[[#This Row],[%Wet Gluten]]="-","-",IF(Table36[[#This Row],[%Wet Gluten]]&lt;INDEX(WGmin,MATCH(Table36[[#This Row],[Grist]],SMI,0)),0,IF(Table36[[#This Row],[%Wet Gluten]]&gt;INDEX(WGmax,MATCH(Table36[[#This Row],[Grist]],SMI,0)),0,1))))</f>
        <v>0</v>
      </c>
      <c r="AB432" s="127">
        <f>SUM(Table36[[#This Row],[ QI Bran Content]:[QI WG]])</f>
        <v>4</v>
      </c>
      <c r="AC432" s="127">
        <f>COUNT(Table36[[#This Row],[ QI Bran Content]:[QI WG]])</f>
        <v>8</v>
      </c>
    </row>
    <row r="433" spans="1:29" x14ac:dyDescent="0.35">
      <c r="A433" s="177">
        <v>45328</v>
      </c>
      <c r="B433" s="178">
        <v>45342</v>
      </c>
      <c r="C433" s="178" t="s">
        <v>128</v>
      </c>
      <c r="D433" s="179">
        <v>0.70833333333333304</v>
      </c>
      <c r="E433" s="180" t="s">
        <v>2</v>
      </c>
      <c r="F433" s="181" t="s">
        <v>242</v>
      </c>
      <c r="G433" s="182" t="s">
        <v>281</v>
      </c>
      <c r="H433" s="175" t="s">
        <v>165</v>
      </c>
      <c r="I433" s="175" t="s">
        <v>165</v>
      </c>
      <c r="J433" s="175" t="s">
        <v>165</v>
      </c>
      <c r="K433" s="175">
        <v>12.07</v>
      </c>
      <c r="L433" s="175" t="s">
        <v>279</v>
      </c>
      <c r="M433" s="175" t="s">
        <v>280</v>
      </c>
      <c r="N433" s="175">
        <v>63.8</v>
      </c>
      <c r="O433" s="175" t="s">
        <v>163</v>
      </c>
      <c r="P433" s="175" t="s">
        <v>163</v>
      </c>
      <c r="Q433" s="175"/>
      <c r="R433" s="127">
        <f>IF(Table36[[#This Row],[ Bran Content]]="-","-",IF(G433&lt;0.02,1,0))</f>
        <v>0</v>
      </c>
      <c r="S433" s="127">
        <f>IF(Table36[[#This Row],[Sieve Test]]="-","-",IF(Table36[[#This Row],[Sieve Test]]="P",1,0))</f>
        <v>1</v>
      </c>
      <c r="T433" s="127">
        <f>IF(Table36[[#This Row],[Odor]]="-","-",IF(Table36[[#This Row],[Odor]]="P",1,0))</f>
        <v>1</v>
      </c>
      <c r="U433" s="127">
        <f>IF(INDEX(MCmin,MATCH(Table36[[#This Row],[Grist]],SMI,0))="-","-",IF(Table36[[#This Row],[F1 %MC]]="-","-",IF(Table36[[#This Row],[F1 %MC]]&lt;INDEX(MCmin,MATCH(Table36[[#This Row],[Grist]],SMI,0)),0,IF(Table36[[#This Row],[F1 %MC]]&gt;INDEX(MCmax,MATCH(Table36[[#This Row],[Grist]],SMI,0)),0,1))))</f>
        <v>1</v>
      </c>
      <c r="V433" s="127">
        <f>IF(INDEX(Protmin,MATCH(Table36[[#This Row],[Grist]],SMI,0))="-","-",IF(Table36[[#This Row],[%Protein]]="-","-",IF(Table36[[#This Row],[%Protein]]&lt;INDEX(Protmin,MATCH(Table36[[#This Row],[Grist]],SMI,0)),0,IF(Table36[[#This Row],[%Protein]]&gt;INDEX(Protmax,MATCH(Table36[[#This Row],[Grist]],SMI,0)),0,1))))</f>
        <v>0</v>
      </c>
      <c r="W433" s="127">
        <f>IF(INDEX(Ashmin,MATCH(Table36[[#This Row],[Grist]],SMI,0))="-","-",IF(Table36[[#This Row],[%Ash]]="-","-",IF(Table36[[#This Row],[%Ash]]&lt;INDEX(Ashmin,MATCH(Table36[[#This Row],[Grist]],SMI,0)),0,IF(Table36[[#This Row],[%Ash]]&gt;INDEX(Ashmax,MATCH(Table36[[#This Row],[Grist]],SMI,0)),0,1))))</f>
        <v>0</v>
      </c>
      <c r="X433" s="127">
        <f>IF(INDEX(Absmin,MATCH(Table36[[#This Row],[Grist]],SMI,0))="-","-",IF(Table36[[#This Row],[%Absorption]]="-","-",IF(Table36[[#This Row],[%Absorption]]&lt;INDEX(Absmin,MATCH(Table36[[#This Row],[Grist]],SMI,0)),0,IF(Table36[[#This Row],[%Absorption]]&gt;INDEX(Absmax,MATCH(Table36[[#This Row],[Grist]],SMI,0)),0,1))))</f>
        <v>1</v>
      </c>
      <c r="Y433" s="127" t="str">
        <f>IF(INDEX(Extmin,MATCH(Table36[[#This Row],[Grist]],SMI,0))="-","-",IF(Table36[[#This Row],[%Extensibility]]="-","-",IF(Table36[[#This Row],[%Extensibility]]&lt;INDEX(Extmin,MATCH(Table36[[#This Row],[Grist]],SMI,0)),0,IF(Table36[[#This Row],[%Extensibility]]&gt;INDEX(Extmax,MATCH(Table36[[#This Row],[Grist]],SMI,0)),0,1))))</f>
        <v>-</v>
      </c>
      <c r="Z433" s="127" t="str">
        <f>IF(INDEX(Resmin,MATCH(Table36[[#This Row],[Grist]],SMI,0))="-","-",IF(Table36[[#This Row],[Resistance, max]]="-","-",IF(Table36[[#This Row],[Resistance, max]]&lt;INDEX(Resmin,MATCH(Table36[[#This Row],[Grist]],SMI,0)),0,IF(Table36[[#This Row],[Resistance, max]]&gt;INDEX(Resmax,MATCH(Table36[[#This Row],[Grist]],SMI,0)),0,1))))</f>
        <v>-</v>
      </c>
      <c r="AA433" s="127">
        <f>IF(INDEX(WGmin,MATCH(Table36[[#This Row],[Grist]],SMI,0))="-","-",IF(Table36[[#This Row],[%Wet Gluten]]="-","-",IF(Table36[[#This Row],[%Wet Gluten]]&lt;INDEX(WGmin,MATCH(Table36[[#This Row],[Grist]],SMI,0)),0,IF(Table36[[#This Row],[%Wet Gluten]]&gt;INDEX(WGmax,MATCH(Table36[[#This Row],[Grist]],SMI,0)),0,1))))</f>
        <v>0</v>
      </c>
      <c r="AB433" s="127">
        <f>SUM(Table36[[#This Row],[ QI Bran Content]:[QI WG]])</f>
        <v>4</v>
      </c>
      <c r="AC433" s="127">
        <f>COUNT(Table36[[#This Row],[ QI Bran Content]:[QI WG]])</f>
        <v>8</v>
      </c>
    </row>
    <row r="434" spans="1:29" x14ac:dyDescent="0.35">
      <c r="A434" s="177">
        <v>45328</v>
      </c>
      <c r="B434" s="178">
        <v>45342</v>
      </c>
      <c r="C434" s="178" t="s">
        <v>128</v>
      </c>
      <c r="D434" s="179">
        <v>0.79166666666666596</v>
      </c>
      <c r="E434" s="180" t="s">
        <v>2</v>
      </c>
      <c r="F434" s="181" t="s">
        <v>242</v>
      </c>
      <c r="G434" s="182" t="s">
        <v>260</v>
      </c>
      <c r="H434" s="175" t="s">
        <v>165</v>
      </c>
      <c r="I434" s="175" t="s">
        <v>165</v>
      </c>
      <c r="J434" s="175" t="s">
        <v>165</v>
      </c>
      <c r="K434" s="175">
        <v>11.21</v>
      </c>
      <c r="L434" s="175" t="s">
        <v>279</v>
      </c>
      <c r="M434" s="175" t="s">
        <v>280</v>
      </c>
      <c r="N434" s="175">
        <v>63.8</v>
      </c>
      <c r="O434" s="175" t="s">
        <v>163</v>
      </c>
      <c r="P434" s="175" t="s">
        <v>163</v>
      </c>
      <c r="Q434" s="175"/>
      <c r="R434" s="127">
        <f>IF(Table36[[#This Row],[ Bran Content]]="-","-",IF(G434&lt;0.02,1,0))</f>
        <v>0</v>
      </c>
      <c r="S434" s="127">
        <f>IF(Table36[[#This Row],[Sieve Test]]="-","-",IF(Table36[[#This Row],[Sieve Test]]="P",1,0))</f>
        <v>1</v>
      </c>
      <c r="T434" s="127">
        <f>IF(Table36[[#This Row],[Odor]]="-","-",IF(Table36[[#This Row],[Odor]]="P",1,0))</f>
        <v>1</v>
      </c>
      <c r="U434" s="127">
        <f>IF(INDEX(MCmin,MATCH(Table36[[#This Row],[Grist]],SMI,0))="-","-",IF(Table36[[#This Row],[F1 %MC]]="-","-",IF(Table36[[#This Row],[F1 %MC]]&lt;INDEX(MCmin,MATCH(Table36[[#This Row],[Grist]],SMI,0)),0,IF(Table36[[#This Row],[F1 %MC]]&gt;INDEX(MCmax,MATCH(Table36[[#This Row],[Grist]],SMI,0)),0,1))))</f>
        <v>0</v>
      </c>
      <c r="V434" s="127">
        <f>IF(INDEX(Protmin,MATCH(Table36[[#This Row],[Grist]],SMI,0))="-","-",IF(Table36[[#This Row],[%Protein]]="-","-",IF(Table36[[#This Row],[%Protein]]&lt;INDEX(Protmin,MATCH(Table36[[#This Row],[Grist]],SMI,0)),0,IF(Table36[[#This Row],[%Protein]]&gt;INDEX(Protmax,MATCH(Table36[[#This Row],[Grist]],SMI,0)),0,1))))</f>
        <v>0</v>
      </c>
      <c r="W434" s="127">
        <f>IF(INDEX(Ashmin,MATCH(Table36[[#This Row],[Grist]],SMI,0))="-","-",IF(Table36[[#This Row],[%Ash]]="-","-",IF(Table36[[#This Row],[%Ash]]&lt;INDEX(Ashmin,MATCH(Table36[[#This Row],[Grist]],SMI,0)),0,IF(Table36[[#This Row],[%Ash]]&gt;INDEX(Ashmax,MATCH(Table36[[#This Row],[Grist]],SMI,0)),0,1))))</f>
        <v>0</v>
      </c>
      <c r="X434" s="127">
        <f>IF(INDEX(Absmin,MATCH(Table36[[#This Row],[Grist]],SMI,0))="-","-",IF(Table36[[#This Row],[%Absorption]]="-","-",IF(Table36[[#This Row],[%Absorption]]&lt;INDEX(Absmin,MATCH(Table36[[#This Row],[Grist]],SMI,0)),0,IF(Table36[[#This Row],[%Absorption]]&gt;INDEX(Absmax,MATCH(Table36[[#This Row],[Grist]],SMI,0)),0,1))))</f>
        <v>1</v>
      </c>
      <c r="Y434" s="127" t="str">
        <f>IF(INDEX(Extmin,MATCH(Table36[[#This Row],[Grist]],SMI,0))="-","-",IF(Table36[[#This Row],[%Extensibility]]="-","-",IF(Table36[[#This Row],[%Extensibility]]&lt;INDEX(Extmin,MATCH(Table36[[#This Row],[Grist]],SMI,0)),0,IF(Table36[[#This Row],[%Extensibility]]&gt;INDEX(Extmax,MATCH(Table36[[#This Row],[Grist]],SMI,0)),0,1))))</f>
        <v>-</v>
      </c>
      <c r="Z434" s="127" t="str">
        <f>IF(INDEX(Resmin,MATCH(Table36[[#This Row],[Grist]],SMI,0))="-","-",IF(Table36[[#This Row],[Resistance, max]]="-","-",IF(Table36[[#This Row],[Resistance, max]]&lt;INDEX(Resmin,MATCH(Table36[[#This Row],[Grist]],SMI,0)),0,IF(Table36[[#This Row],[Resistance, max]]&gt;INDEX(Resmax,MATCH(Table36[[#This Row],[Grist]],SMI,0)),0,1))))</f>
        <v>-</v>
      </c>
      <c r="AA434" s="127">
        <f>IF(INDEX(WGmin,MATCH(Table36[[#This Row],[Grist]],SMI,0))="-","-",IF(Table36[[#This Row],[%Wet Gluten]]="-","-",IF(Table36[[#This Row],[%Wet Gluten]]&lt;INDEX(WGmin,MATCH(Table36[[#This Row],[Grist]],SMI,0)),0,IF(Table36[[#This Row],[%Wet Gluten]]&gt;INDEX(WGmax,MATCH(Table36[[#This Row],[Grist]],SMI,0)),0,1))))</f>
        <v>0</v>
      </c>
      <c r="AB434" s="127">
        <f>SUM(Table36[[#This Row],[ QI Bran Content]:[QI WG]])</f>
        <v>3</v>
      </c>
      <c r="AC434" s="127">
        <f>COUNT(Table36[[#This Row],[ QI Bran Content]:[QI WG]])</f>
        <v>8</v>
      </c>
    </row>
    <row r="435" spans="1:29" x14ac:dyDescent="0.35">
      <c r="A435" s="177">
        <v>45328</v>
      </c>
      <c r="B435" s="178">
        <v>45342</v>
      </c>
      <c r="C435" s="178" t="s">
        <v>128</v>
      </c>
      <c r="D435" s="179">
        <v>0.874999999999999</v>
      </c>
      <c r="E435" s="180" t="s">
        <v>2</v>
      </c>
      <c r="F435" s="181" t="s">
        <v>242</v>
      </c>
      <c r="G435" s="182" t="s">
        <v>257</v>
      </c>
      <c r="H435" s="175" t="s">
        <v>165</v>
      </c>
      <c r="I435" s="175" t="s">
        <v>165</v>
      </c>
      <c r="J435" s="175" t="s">
        <v>165</v>
      </c>
      <c r="K435" s="175">
        <v>12.01</v>
      </c>
      <c r="L435" s="175" t="s">
        <v>279</v>
      </c>
      <c r="M435" s="175" t="s">
        <v>280</v>
      </c>
      <c r="N435" s="175">
        <v>63.8</v>
      </c>
      <c r="O435" s="175" t="s">
        <v>163</v>
      </c>
      <c r="P435" s="175" t="s">
        <v>163</v>
      </c>
      <c r="Q435" s="175"/>
      <c r="R435" s="127">
        <f>IF(Table36[[#This Row],[ Bran Content]]="-","-",IF(G435&lt;0.02,1,0))</f>
        <v>0</v>
      </c>
      <c r="S435" s="127">
        <f>IF(Table36[[#This Row],[Sieve Test]]="-","-",IF(Table36[[#This Row],[Sieve Test]]="P",1,0))</f>
        <v>1</v>
      </c>
      <c r="T435" s="127">
        <f>IF(Table36[[#This Row],[Odor]]="-","-",IF(Table36[[#This Row],[Odor]]="P",1,0))</f>
        <v>1</v>
      </c>
      <c r="U435" s="127">
        <f>IF(INDEX(MCmin,MATCH(Table36[[#This Row],[Grist]],SMI,0))="-","-",IF(Table36[[#This Row],[F1 %MC]]="-","-",IF(Table36[[#This Row],[F1 %MC]]&lt;INDEX(MCmin,MATCH(Table36[[#This Row],[Grist]],SMI,0)),0,IF(Table36[[#This Row],[F1 %MC]]&gt;INDEX(MCmax,MATCH(Table36[[#This Row],[Grist]],SMI,0)),0,1))))</f>
        <v>1</v>
      </c>
      <c r="V435" s="127">
        <f>IF(INDEX(Protmin,MATCH(Table36[[#This Row],[Grist]],SMI,0))="-","-",IF(Table36[[#This Row],[%Protein]]="-","-",IF(Table36[[#This Row],[%Protein]]&lt;INDEX(Protmin,MATCH(Table36[[#This Row],[Grist]],SMI,0)),0,IF(Table36[[#This Row],[%Protein]]&gt;INDEX(Protmax,MATCH(Table36[[#This Row],[Grist]],SMI,0)),0,1))))</f>
        <v>0</v>
      </c>
      <c r="W435" s="127">
        <f>IF(INDEX(Ashmin,MATCH(Table36[[#This Row],[Grist]],SMI,0))="-","-",IF(Table36[[#This Row],[%Ash]]="-","-",IF(Table36[[#This Row],[%Ash]]&lt;INDEX(Ashmin,MATCH(Table36[[#This Row],[Grist]],SMI,0)),0,IF(Table36[[#This Row],[%Ash]]&gt;INDEX(Ashmax,MATCH(Table36[[#This Row],[Grist]],SMI,0)),0,1))))</f>
        <v>0</v>
      </c>
      <c r="X435" s="127">
        <f>IF(INDEX(Absmin,MATCH(Table36[[#This Row],[Grist]],SMI,0))="-","-",IF(Table36[[#This Row],[%Absorption]]="-","-",IF(Table36[[#This Row],[%Absorption]]&lt;INDEX(Absmin,MATCH(Table36[[#This Row],[Grist]],SMI,0)),0,IF(Table36[[#This Row],[%Absorption]]&gt;INDEX(Absmax,MATCH(Table36[[#This Row],[Grist]],SMI,0)),0,1))))</f>
        <v>1</v>
      </c>
      <c r="Y435" s="127" t="str">
        <f>IF(INDEX(Extmin,MATCH(Table36[[#This Row],[Grist]],SMI,0))="-","-",IF(Table36[[#This Row],[%Extensibility]]="-","-",IF(Table36[[#This Row],[%Extensibility]]&lt;INDEX(Extmin,MATCH(Table36[[#This Row],[Grist]],SMI,0)),0,IF(Table36[[#This Row],[%Extensibility]]&gt;INDEX(Extmax,MATCH(Table36[[#This Row],[Grist]],SMI,0)),0,1))))</f>
        <v>-</v>
      </c>
      <c r="Z435" s="127" t="str">
        <f>IF(INDEX(Resmin,MATCH(Table36[[#This Row],[Grist]],SMI,0))="-","-",IF(Table36[[#This Row],[Resistance, max]]="-","-",IF(Table36[[#This Row],[Resistance, max]]&lt;INDEX(Resmin,MATCH(Table36[[#This Row],[Grist]],SMI,0)),0,IF(Table36[[#This Row],[Resistance, max]]&gt;INDEX(Resmax,MATCH(Table36[[#This Row],[Grist]],SMI,0)),0,1))))</f>
        <v>-</v>
      </c>
      <c r="AA435" s="127">
        <f>IF(INDEX(WGmin,MATCH(Table36[[#This Row],[Grist]],SMI,0))="-","-",IF(Table36[[#This Row],[%Wet Gluten]]="-","-",IF(Table36[[#This Row],[%Wet Gluten]]&lt;INDEX(WGmin,MATCH(Table36[[#This Row],[Grist]],SMI,0)),0,IF(Table36[[#This Row],[%Wet Gluten]]&gt;INDEX(WGmax,MATCH(Table36[[#This Row],[Grist]],SMI,0)),0,1))))</f>
        <v>0</v>
      </c>
      <c r="AB435" s="127">
        <f>SUM(Table36[[#This Row],[ QI Bran Content]:[QI WG]])</f>
        <v>4</v>
      </c>
      <c r="AC435" s="127">
        <f>COUNT(Table36[[#This Row],[ QI Bran Content]:[QI WG]])</f>
        <v>8</v>
      </c>
    </row>
    <row r="436" spans="1:29" x14ac:dyDescent="0.35">
      <c r="A436" s="177">
        <v>45328</v>
      </c>
      <c r="B436" s="178">
        <v>45343</v>
      </c>
      <c r="C436" s="178" t="s">
        <v>130</v>
      </c>
      <c r="D436" s="179">
        <v>0.95833333333333337</v>
      </c>
      <c r="E436" s="180" t="s">
        <v>0</v>
      </c>
      <c r="F436" s="181" t="s">
        <v>27</v>
      </c>
      <c r="G436" s="182">
        <v>1.1299999999999999E-2</v>
      </c>
      <c r="H436" s="175" t="s">
        <v>165</v>
      </c>
      <c r="I436" s="175" t="s">
        <v>165</v>
      </c>
      <c r="J436" s="175" t="s">
        <v>165</v>
      </c>
      <c r="K436" s="175">
        <v>12.67</v>
      </c>
      <c r="L436" s="175">
        <v>13.5</v>
      </c>
      <c r="M436" s="175">
        <v>0.59</v>
      </c>
      <c r="N436" s="175">
        <v>66.2</v>
      </c>
      <c r="O436" s="175" t="s">
        <v>163</v>
      </c>
      <c r="P436" s="175" t="s">
        <v>163</v>
      </c>
      <c r="Q436" s="175"/>
      <c r="R436" s="127">
        <f>IF(Table36[[#This Row],[ Bran Content]]="-","-",IF(G436&lt;0.02,1,0))</f>
        <v>1</v>
      </c>
      <c r="S436" s="127">
        <f>IF(Table36[[#This Row],[Sieve Test]]="-","-",IF(Table36[[#This Row],[Sieve Test]]="P",1,0))</f>
        <v>1</v>
      </c>
      <c r="T436" s="127">
        <f>IF(Table36[[#This Row],[Odor]]="-","-",IF(Table36[[#This Row],[Odor]]="P",1,0))</f>
        <v>1</v>
      </c>
      <c r="U436" s="127">
        <f>IF(INDEX(MCmin,MATCH(Table36[[#This Row],[Grist]],SMI,0))="-","-",IF(Table36[[#This Row],[F1 %MC]]="-","-",IF(Table36[[#This Row],[F1 %MC]]&lt;INDEX(MCmin,MATCH(Table36[[#This Row],[Grist]],SMI,0)),0,IF(Table36[[#This Row],[F1 %MC]]&gt;INDEX(MCmax,MATCH(Table36[[#This Row],[Grist]],SMI,0)),0,1))))</f>
        <v>1</v>
      </c>
      <c r="V436" s="127">
        <f>IF(INDEX(Protmin,MATCH(Table36[[#This Row],[Grist]],SMI,0))="-","-",IF(Table36[[#This Row],[%Protein]]="-","-",IF(Table36[[#This Row],[%Protein]]&lt;INDEX(Protmin,MATCH(Table36[[#This Row],[Grist]],SMI,0)),0,IF(Table36[[#This Row],[%Protein]]&gt;INDEX(Protmax,MATCH(Table36[[#This Row],[Grist]],SMI,0)),0,1))))</f>
        <v>1</v>
      </c>
      <c r="W436" s="127">
        <f>IF(INDEX(Ashmin,MATCH(Table36[[#This Row],[Grist]],SMI,0))="-","-",IF(Table36[[#This Row],[%Ash]]="-","-",IF(Table36[[#This Row],[%Ash]]&lt;INDEX(Ashmin,MATCH(Table36[[#This Row],[Grist]],SMI,0)),0,IF(Table36[[#This Row],[%Ash]]&gt;INDEX(Ashmax,MATCH(Table36[[#This Row],[Grist]],SMI,0)),0,1))))</f>
        <v>1</v>
      </c>
      <c r="X436" s="127">
        <f>IF(INDEX(Absmin,MATCH(Table36[[#This Row],[Grist]],SMI,0))="-","-",IF(Table36[[#This Row],[%Absorption]]="-","-",IF(Table36[[#This Row],[%Absorption]]&lt;INDEX(Absmin,MATCH(Table36[[#This Row],[Grist]],SMI,0)),0,IF(Table36[[#This Row],[%Absorption]]&gt;INDEX(Absmax,MATCH(Table36[[#This Row],[Grist]],SMI,0)),0,1))))</f>
        <v>1</v>
      </c>
      <c r="Y436" s="127" t="str">
        <f>IF(INDEX(Extmin,MATCH(Table36[[#This Row],[Grist]],SMI,0))="-","-",IF(Table36[[#This Row],[%Extensibility]]="-","-",IF(Table36[[#This Row],[%Extensibility]]&lt;INDEX(Extmin,MATCH(Table36[[#This Row],[Grist]],SMI,0)),0,IF(Table36[[#This Row],[%Extensibility]]&gt;INDEX(Extmax,MATCH(Table36[[#This Row],[Grist]],SMI,0)),0,1))))</f>
        <v>-</v>
      </c>
      <c r="Z436" s="127" t="str">
        <f>IF(INDEX(Resmin,MATCH(Table36[[#This Row],[Grist]],SMI,0))="-","-",IF(Table36[[#This Row],[Resistance, max]]="-","-",IF(Table36[[#This Row],[Resistance, max]]&lt;INDEX(Resmin,MATCH(Table36[[#This Row],[Grist]],SMI,0)),0,IF(Table36[[#This Row],[Resistance, max]]&gt;INDEX(Resmax,MATCH(Table36[[#This Row],[Grist]],SMI,0)),0,1))))</f>
        <v>-</v>
      </c>
      <c r="AA436" s="127">
        <f>IF(INDEX(WGmin,MATCH(Table36[[#This Row],[Grist]],SMI,0))="-","-",IF(Table36[[#This Row],[%Wet Gluten]]="-","-",IF(Table36[[#This Row],[%Wet Gluten]]&lt;INDEX(WGmin,MATCH(Table36[[#This Row],[Grist]],SMI,0)),0,IF(Table36[[#This Row],[%Wet Gluten]]&gt;INDEX(WGmax,MATCH(Table36[[#This Row],[Grist]],SMI,0)),0,1))))</f>
        <v>0</v>
      </c>
      <c r="AB436" s="127">
        <f>SUM(Table36[[#This Row],[ QI Bran Content]:[QI WG]])</f>
        <v>7</v>
      </c>
      <c r="AC436" s="127">
        <f>COUNT(Table36[[#This Row],[ QI Bran Content]:[QI WG]])</f>
        <v>8</v>
      </c>
    </row>
    <row r="437" spans="1:29" x14ac:dyDescent="0.35">
      <c r="A437" s="177">
        <v>45328</v>
      </c>
      <c r="B437" s="178">
        <v>45343</v>
      </c>
      <c r="C437" s="178" t="s">
        <v>130</v>
      </c>
      <c r="D437" s="179">
        <v>1.0416666666666701</v>
      </c>
      <c r="E437" s="180" t="s">
        <v>0</v>
      </c>
      <c r="F437" s="181" t="s">
        <v>27</v>
      </c>
      <c r="G437" s="182">
        <v>1.09E-2</v>
      </c>
      <c r="H437" s="175" t="s">
        <v>165</v>
      </c>
      <c r="I437" s="175" t="s">
        <v>165</v>
      </c>
      <c r="J437" s="175" t="s">
        <v>165</v>
      </c>
      <c r="K437" s="175">
        <v>12.5</v>
      </c>
      <c r="L437" s="175">
        <v>13.5</v>
      </c>
      <c r="M437" s="175">
        <v>0.59</v>
      </c>
      <c r="N437" s="175">
        <v>66.2</v>
      </c>
      <c r="O437" s="175" t="s">
        <v>163</v>
      </c>
      <c r="P437" s="175" t="s">
        <v>163</v>
      </c>
      <c r="Q437" s="175"/>
      <c r="R437" s="127">
        <f>IF(Table36[[#This Row],[ Bran Content]]="-","-",IF(G437&lt;0.02,1,0))</f>
        <v>1</v>
      </c>
      <c r="S437" s="127">
        <f>IF(Table36[[#This Row],[Sieve Test]]="-","-",IF(Table36[[#This Row],[Sieve Test]]="P",1,0))</f>
        <v>1</v>
      </c>
      <c r="T437" s="127">
        <f>IF(Table36[[#This Row],[Odor]]="-","-",IF(Table36[[#This Row],[Odor]]="P",1,0))</f>
        <v>1</v>
      </c>
      <c r="U437" s="127">
        <f>IF(INDEX(MCmin,MATCH(Table36[[#This Row],[Grist]],SMI,0))="-","-",IF(Table36[[#This Row],[F1 %MC]]="-","-",IF(Table36[[#This Row],[F1 %MC]]&lt;INDEX(MCmin,MATCH(Table36[[#This Row],[Grist]],SMI,0)),0,IF(Table36[[#This Row],[F1 %MC]]&gt;INDEX(MCmax,MATCH(Table36[[#This Row],[Grist]],SMI,0)),0,1))))</f>
        <v>1</v>
      </c>
      <c r="V437" s="127">
        <f>IF(INDEX(Protmin,MATCH(Table36[[#This Row],[Grist]],SMI,0))="-","-",IF(Table36[[#This Row],[%Protein]]="-","-",IF(Table36[[#This Row],[%Protein]]&lt;INDEX(Protmin,MATCH(Table36[[#This Row],[Grist]],SMI,0)),0,IF(Table36[[#This Row],[%Protein]]&gt;INDEX(Protmax,MATCH(Table36[[#This Row],[Grist]],SMI,0)),0,1))))</f>
        <v>1</v>
      </c>
      <c r="W437" s="127">
        <f>IF(INDEX(Ashmin,MATCH(Table36[[#This Row],[Grist]],SMI,0))="-","-",IF(Table36[[#This Row],[%Ash]]="-","-",IF(Table36[[#This Row],[%Ash]]&lt;INDEX(Ashmin,MATCH(Table36[[#This Row],[Grist]],SMI,0)),0,IF(Table36[[#This Row],[%Ash]]&gt;INDEX(Ashmax,MATCH(Table36[[#This Row],[Grist]],SMI,0)),0,1))))</f>
        <v>1</v>
      </c>
      <c r="X437" s="127">
        <f>IF(INDEX(Absmin,MATCH(Table36[[#This Row],[Grist]],SMI,0))="-","-",IF(Table36[[#This Row],[%Absorption]]="-","-",IF(Table36[[#This Row],[%Absorption]]&lt;INDEX(Absmin,MATCH(Table36[[#This Row],[Grist]],SMI,0)),0,IF(Table36[[#This Row],[%Absorption]]&gt;INDEX(Absmax,MATCH(Table36[[#This Row],[Grist]],SMI,0)),0,1))))</f>
        <v>1</v>
      </c>
      <c r="Y437" s="127" t="str">
        <f>IF(INDEX(Extmin,MATCH(Table36[[#This Row],[Grist]],SMI,0))="-","-",IF(Table36[[#This Row],[%Extensibility]]="-","-",IF(Table36[[#This Row],[%Extensibility]]&lt;INDEX(Extmin,MATCH(Table36[[#This Row],[Grist]],SMI,0)),0,IF(Table36[[#This Row],[%Extensibility]]&gt;INDEX(Extmax,MATCH(Table36[[#This Row],[Grist]],SMI,0)),0,1))))</f>
        <v>-</v>
      </c>
      <c r="Z437" s="127" t="str">
        <f>IF(INDEX(Resmin,MATCH(Table36[[#This Row],[Grist]],SMI,0))="-","-",IF(Table36[[#This Row],[Resistance, max]]="-","-",IF(Table36[[#This Row],[Resistance, max]]&lt;INDEX(Resmin,MATCH(Table36[[#This Row],[Grist]],SMI,0)),0,IF(Table36[[#This Row],[Resistance, max]]&gt;INDEX(Resmax,MATCH(Table36[[#This Row],[Grist]],SMI,0)),0,1))))</f>
        <v>-</v>
      </c>
      <c r="AA437" s="127">
        <f>IF(INDEX(WGmin,MATCH(Table36[[#This Row],[Grist]],SMI,0))="-","-",IF(Table36[[#This Row],[%Wet Gluten]]="-","-",IF(Table36[[#This Row],[%Wet Gluten]]&lt;INDEX(WGmin,MATCH(Table36[[#This Row],[Grist]],SMI,0)),0,IF(Table36[[#This Row],[%Wet Gluten]]&gt;INDEX(WGmax,MATCH(Table36[[#This Row],[Grist]],SMI,0)),0,1))))</f>
        <v>0</v>
      </c>
      <c r="AB437" s="127">
        <f>SUM(Table36[[#This Row],[ QI Bran Content]:[QI WG]])</f>
        <v>7</v>
      </c>
      <c r="AC437" s="127">
        <f>COUNT(Table36[[#This Row],[ QI Bran Content]:[QI WG]])</f>
        <v>8</v>
      </c>
    </row>
    <row r="438" spans="1:29" x14ac:dyDescent="0.35">
      <c r="A438" s="177">
        <v>45328</v>
      </c>
      <c r="B438" s="178">
        <v>45343</v>
      </c>
      <c r="C438" s="178" t="s">
        <v>130</v>
      </c>
      <c r="D438" s="179">
        <v>1.125</v>
      </c>
      <c r="E438" s="180" t="s">
        <v>0</v>
      </c>
      <c r="F438" s="181" t="s">
        <v>27</v>
      </c>
      <c r="G438" s="182">
        <v>8.2000000000000007E-3</v>
      </c>
      <c r="H438" s="175" t="s">
        <v>165</v>
      </c>
      <c r="I438" s="175" t="s">
        <v>165</v>
      </c>
      <c r="J438" s="175" t="s">
        <v>165</v>
      </c>
      <c r="K438" s="175">
        <v>12.64</v>
      </c>
      <c r="L438" s="175">
        <v>13.5</v>
      </c>
      <c r="M438" s="175">
        <v>0.59</v>
      </c>
      <c r="N438" s="175">
        <v>66.2</v>
      </c>
      <c r="O438" s="175" t="s">
        <v>163</v>
      </c>
      <c r="P438" s="175" t="s">
        <v>163</v>
      </c>
      <c r="Q438" s="175"/>
      <c r="R438" s="127">
        <f>IF(Table36[[#This Row],[ Bran Content]]="-","-",IF(G438&lt;0.02,1,0))</f>
        <v>1</v>
      </c>
      <c r="S438" s="127">
        <f>IF(Table36[[#This Row],[Sieve Test]]="-","-",IF(Table36[[#This Row],[Sieve Test]]="P",1,0))</f>
        <v>1</v>
      </c>
      <c r="T438" s="127">
        <f>IF(Table36[[#This Row],[Odor]]="-","-",IF(Table36[[#This Row],[Odor]]="P",1,0))</f>
        <v>1</v>
      </c>
      <c r="U438" s="127">
        <f>IF(INDEX(MCmin,MATCH(Table36[[#This Row],[Grist]],SMI,0))="-","-",IF(Table36[[#This Row],[F1 %MC]]="-","-",IF(Table36[[#This Row],[F1 %MC]]&lt;INDEX(MCmin,MATCH(Table36[[#This Row],[Grist]],SMI,0)),0,IF(Table36[[#This Row],[F1 %MC]]&gt;INDEX(MCmax,MATCH(Table36[[#This Row],[Grist]],SMI,0)),0,1))))</f>
        <v>1</v>
      </c>
      <c r="V438" s="127">
        <f>IF(INDEX(Protmin,MATCH(Table36[[#This Row],[Grist]],SMI,0))="-","-",IF(Table36[[#This Row],[%Protein]]="-","-",IF(Table36[[#This Row],[%Protein]]&lt;INDEX(Protmin,MATCH(Table36[[#This Row],[Grist]],SMI,0)),0,IF(Table36[[#This Row],[%Protein]]&gt;INDEX(Protmax,MATCH(Table36[[#This Row],[Grist]],SMI,0)),0,1))))</f>
        <v>1</v>
      </c>
      <c r="W438" s="127">
        <f>IF(INDEX(Ashmin,MATCH(Table36[[#This Row],[Grist]],SMI,0))="-","-",IF(Table36[[#This Row],[%Ash]]="-","-",IF(Table36[[#This Row],[%Ash]]&lt;INDEX(Ashmin,MATCH(Table36[[#This Row],[Grist]],SMI,0)),0,IF(Table36[[#This Row],[%Ash]]&gt;INDEX(Ashmax,MATCH(Table36[[#This Row],[Grist]],SMI,0)),0,1))))</f>
        <v>1</v>
      </c>
      <c r="X438" s="127">
        <f>IF(INDEX(Absmin,MATCH(Table36[[#This Row],[Grist]],SMI,0))="-","-",IF(Table36[[#This Row],[%Absorption]]="-","-",IF(Table36[[#This Row],[%Absorption]]&lt;INDEX(Absmin,MATCH(Table36[[#This Row],[Grist]],SMI,0)),0,IF(Table36[[#This Row],[%Absorption]]&gt;INDEX(Absmax,MATCH(Table36[[#This Row],[Grist]],SMI,0)),0,1))))</f>
        <v>1</v>
      </c>
      <c r="Y438" s="127" t="str">
        <f>IF(INDEX(Extmin,MATCH(Table36[[#This Row],[Grist]],SMI,0))="-","-",IF(Table36[[#This Row],[%Extensibility]]="-","-",IF(Table36[[#This Row],[%Extensibility]]&lt;INDEX(Extmin,MATCH(Table36[[#This Row],[Grist]],SMI,0)),0,IF(Table36[[#This Row],[%Extensibility]]&gt;INDEX(Extmax,MATCH(Table36[[#This Row],[Grist]],SMI,0)),0,1))))</f>
        <v>-</v>
      </c>
      <c r="Z438" s="127" t="str">
        <f>IF(INDEX(Resmin,MATCH(Table36[[#This Row],[Grist]],SMI,0))="-","-",IF(Table36[[#This Row],[Resistance, max]]="-","-",IF(Table36[[#This Row],[Resistance, max]]&lt;INDEX(Resmin,MATCH(Table36[[#This Row],[Grist]],SMI,0)),0,IF(Table36[[#This Row],[Resistance, max]]&gt;INDEX(Resmax,MATCH(Table36[[#This Row],[Grist]],SMI,0)),0,1))))</f>
        <v>-</v>
      </c>
      <c r="AA438" s="127">
        <f>IF(INDEX(WGmin,MATCH(Table36[[#This Row],[Grist]],SMI,0))="-","-",IF(Table36[[#This Row],[%Wet Gluten]]="-","-",IF(Table36[[#This Row],[%Wet Gluten]]&lt;INDEX(WGmin,MATCH(Table36[[#This Row],[Grist]],SMI,0)),0,IF(Table36[[#This Row],[%Wet Gluten]]&gt;INDEX(WGmax,MATCH(Table36[[#This Row],[Grist]],SMI,0)),0,1))))</f>
        <v>0</v>
      </c>
      <c r="AB438" s="127">
        <f>SUM(Table36[[#This Row],[ QI Bran Content]:[QI WG]])</f>
        <v>7</v>
      </c>
      <c r="AC438" s="127">
        <f>COUNT(Table36[[#This Row],[ QI Bran Content]:[QI WG]])</f>
        <v>8</v>
      </c>
    </row>
    <row r="439" spans="1:29" x14ac:dyDescent="0.35">
      <c r="A439" s="177">
        <v>45328</v>
      </c>
      <c r="B439" s="178">
        <v>45343</v>
      </c>
      <c r="C439" s="178" t="s">
        <v>130</v>
      </c>
      <c r="D439" s="179">
        <v>1.2083333333333299</v>
      </c>
      <c r="E439" s="180" t="s">
        <v>0</v>
      </c>
      <c r="F439" s="181" t="s">
        <v>27</v>
      </c>
      <c r="G439" s="182">
        <v>9.2999999999999992E-3</v>
      </c>
      <c r="H439" s="175" t="s">
        <v>165</v>
      </c>
      <c r="I439" s="175" t="s">
        <v>165</v>
      </c>
      <c r="J439" s="175" t="s">
        <v>165</v>
      </c>
      <c r="K439" s="175">
        <v>12.63</v>
      </c>
      <c r="L439" s="175">
        <v>13.5</v>
      </c>
      <c r="M439" s="175">
        <v>0.59</v>
      </c>
      <c r="N439" s="175">
        <v>66.2</v>
      </c>
      <c r="O439" s="175" t="s">
        <v>163</v>
      </c>
      <c r="P439" s="175" t="s">
        <v>163</v>
      </c>
      <c r="Q439" s="175"/>
      <c r="R439" s="127">
        <f>IF(Table36[[#This Row],[ Bran Content]]="-","-",IF(G439&lt;0.02,1,0))</f>
        <v>1</v>
      </c>
      <c r="S439" s="127">
        <f>IF(Table36[[#This Row],[Sieve Test]]="-","-",IF(Table36[[#This Row],[Sieve Test]]="P",1,0))</f>
        <v>1</v>
      </c>
      <c r="T439" s="127">
        <f>IF(Table36[[#This Row],[Odor]]="-","-",IF(Table36[[#This Row],[Odor]]="P",1,0))</f>
        <v>1</v>
      </c>
      <c r="U439" s="127">
        <f>IF(INDEX(MCmin,MATCH(Table36[[#This Row],[Grist]],SMI,0))="-","-",IF(Table36[[#This Row],[F1 %MC]]="-","-",IF(Table36[[#This Row],[F1 %MC]]&lt;INDEX(MCmin,MATCH(Table36[[#This Row],[Grist]],SMI,0)),0,IF(Table36[[#This Row],[F1 %MC]]&gt;INDEX(MCmax,MATCH(Table36[[#This Row],[Grist]],SMI,0)),0,1))))</f>
        <v>1</v>
      </c>
      <c r="V439" s="127">
        <f>IF(INDEX(Protmin,MATCH(Table36[[#This Row],[Grist]],SMI,0))="-","-",IF(Table36[[#This Row],[%Protein]]="-","-",IF(Table36[[#This Row],[%Protein]]&lt;INDEX(Protmin,MATCH(Table36[[#This Row],[Grist]],SMI,0)),0,IF(Table36[[#This Row],[%Protein]]&gt;INDEX(Protmax,MATCH(Table36[[#This Row],[Grist]],SMI,0)),0,1))))</f>
        <v>1</v>
      </c>
      <c r="W439" s="127">
        <f>IF(INDEX(Ashmin,MATCH(Table36[[#This Row],[Grist]],SMI,0))="-","-",IF(Table36[[#This Row],[%Ash]]="-","-",IF(Table36[[#This Row],[%Ash]]&lt;INDEX(Ashmin,MATCH(Table36[[#This Row],[Grist]],SMI,0)),0,IF(Table36[[#This Row],[%Ash]]&gt;INDEX(Ashmax,MATCH(Table36[[#This Row],[Grist]],SMI,0)),0,1))))</f>
        <v>1</v>
      </c>
      <c r="X439" s="127">
        <f>IF(INDEX(Absmin,MATCH(Table36[[#This Row],[Grist]],SMI,0))="-","-",IF(Table36[[#This Row],[%Absorption]]="-","-",IF(Table36[[#This Row],[%Absorption]]&lt;INDEX(Absmin,MATCH(Table36[[#This Row],[Grist]],SMI,0)),0,IF(Table36[[#This Row],[%Absorption]]&gt;INDEX(Absmax,MATCH(Table36[[#This Row],[Grist]],SMI,0)),0,1))))</f>
        <v>1</v>
      </c>
      <c r="Y439" s="127" t="str">
        <f>IF(INDEX(Extmin,MATCH(Table36[[#This Row],[Grist]],SMI,0))="-","-",IF(Table36[[#This Row],[%Extensibility]]="-","-",IF(Table36[[#This Row],[%Extensibility]]&lt;INDEX(Extmin,MATCH(Table36[[#This Row],[Grist]],SMI,0)),0,IF(Table36[[#This Row],[%Extensibility]]&gt;INDEX(Extmax,MATCH(Table36[[#This Row],[Grist]],SMI,0)),0,1))))</f>
        <v>-</v>
      </c>
      <c r="Z439" s="127" t="str">
        <f>IF(INDEX(Resmin,MATCH(Table36[[#This Row],[Grist]],SMI,0))="-","-",IF(Table36[[#This Row],[Resistance, max]]="-","-",IF(Table36[[#This Row],[Resistance, max]]&lt;INDEX(Resmin,MATCH(Table36[[#This Row],[Grist]],SMI,0)),0,IF(Table36[[#This Row],[Resistance, max]]&gt;INDEX(Resmax,MATCH(Table36[[#This Row],[Grist]],SMI,0)),0,1))))</f>
        <v>-</v>
      </c>
      <c r="AA439" s="127">
        <f>IF(INDEX(WGmin,MATCH(Table36[[#This Row],[Grist]],SMI,0))="-","-",IF(Table36[[#This Row],[%Wet Gluten]]="-","-",IF(Table36[[#This Row],[%Wet Gluten]]&lt;INDEX(WGmin,MATCH(Table36[[#This Row],[Grist]],SMI,0)),0,IF(Table36[[#This Row],[%Wet Gluten]]&gt;INDEX(WGmax,MATCH(Table36[[#This Row],[Grist]],SMI,0)),0,1))))</f>
        <v>0</v>
      </c>
      <c r="AB439" s="127">
        <f>SUM(Table36[[#This Row],[ QI Bran Content]:[QI WG]])</f>
        <v>7</v>
      </c>
      <c r="AC439" s="127">
        <f>COUNT(Table36[[#This Row],[ QI Bran Content]:[QI WG]])</f>
        <v>8</v>
      </c>
    </row>
    <row r="440" spans="1:29" x14ac:dyDescent="0.35">
      <c r="A440" s="177">
        <v>45328</v>
      </c>
      <c r="B440" s="178">
        <v>45343</v>
      </c>
      <c r="C440" s="178" t="s">
        <v>130</v>
      </c>
      <c r="D440" s="179">
        <v>0.95833333333333337</v>
      </c>
      <c r="E440" s="180" t="s">
        <v>2</v>
      </c>
      <c r="F440" s="181" t="s">
        <v>242</v>
      </c>
      <c r="G440" s="182" t="s">
        <v>282</v>
      </c>
      <c r="H440" s="175" t="s">
        <v>165</v>
      </c>
      <c r="I440" s="175" t="s">
        <v>165</v>
      </c>
      <c r="J440" s="175" t="s">
        <v>165</v>
      </c>
      <c r="K440" s="175">
        <v>12.25</v>
      </c>
      <c r="L440" s="175" t="s">
        <v>283</v>
      </c>
      <c r="M440" s="175" t="s">
        <v>267</v>
      </c>
      <c r="N440" s="175">
        <v>63.7</v>
      </c>
      <c r="O440" s="175" t="s">
        <v>163</v>
      </c>
      <c r="P440" s="175" t="s">
        <v>163</v>
      </c>
      <c r="Q440" s="175"/>
      <c r="R440" s="127">
        <f>IF(Table36[[#This Row],[ Bran Content]]="-","-",IF(G440&lt;0.02,1,0))</f>
        <v>0</v>
      </c>
      <c r="S440" s="127">
        <f>IF(Table36[[#This Row],[Sieve Test]]="-","-",IF(Table36[[#This Row],[Sieve Test]]="P",1,0))</f>
        <v>1</v>
      </c>
      <c r="T440" s="127">
        <f>IF(Table36[[#This Row],[Odor]]="-","-",IF(Table36[[#This Row],[Odor]]="P",1,0))</f>
        <v>1</v>
      </c>
      <c r="U440" s="127">
        <f>IF(INDEX(MCmin,MATCH(Table36[[#This Row],[Grist]],SMI,0))="-","-",IF(Table36[[#This Row],[F1 %MC]]="-","-",IF(Table36[[#This Row],[F1 %MC]]&lt;INDEX(MCmin,MATCH(Table36[[#This Row],[Grist]],SMI,0)),0,IF(Table36[[#This Row],[F1 %MC]]&gt;INDEX(MCmax,MATCH(Table36[[#This Row],[Grist]],SMI,0)),0,1))))</f>
        <v>1</v>
      </c>
      <c r="V440" s="127">
        <f>IF(INDEX(Protmin,MATCH(Table36[[#This Row],[Grist]],SMI,0))="-","-",IF(Table36[[#This Row],[%Protein]]="-","-",IF(Table36[[#This Row],[%Protein]]&lt;INDEX(Protmin,MATCH(Table36[[#This Row],[Grist]],SMI,0)),0,IF(Table36[[#This Row],[%Protein]]&gt;INDEX(Protmax,MATCH(Table36[[#This Row],[Grist]],SMI,0)),0,1))))</f>
        <v>0</v>
      </c>
      <c r="W440" s="127">
        <f>IF(INDEX(Ashmin,MATCH(Table36[[#This Row],[Grist]],SMI,0))="-","-",IF(Table36[[#This Row],[%Ash]]="-","-",IF(Table36[[#This Row],[%Ash]]&lt;INDEX(Ashmin,MATCH(Table36[[#This Row],[Grist]],SMI,0)),0,IF(Table36[[#This Row],[%Ash]]&gt;INDEX(Ashmax,MATCH(Table36[[#This Row],[Grist]],SMI,0)),0,1))))</f>
        <v>0</v>
      </c>
      <c r="X440" s="127">
        <f>IF(INDEX(Absmin,MATCH(Table36[[#This Row],[Grist]],SMI,0))="-","-",IF(Table36[[#This Row],[%Absorption]]="-","-",IF(Table36[[#This Row],[%Absorption]]&lt;INDEX(Absmin,MATCH(Table36[[#This Row],[Grist]],SMI,0)),0,IF(Table36[[#This Row],[%Absorption]]&gt;INDEX(Absmax,MATCH(Table36[[#This Row],[Grist]],SMI,0)),0,1))))</f>
        <v>1</v>
      </c>
      <c r="Y440" s="127" t="str">
        <f>IF(INDEX(Extmin,MATCH(Table36[[#This Row],[Grist]],SMI,0))="-","-",IF(Table36[[#This Row],[%Extensibility]]="-","-",IF(Table36[[#This Row],[%Extensibility]]&lt;INDEX(Extmin,MATCH(Table36[[#This Row],[Grist]],SMI,0)),0,IF(Table36[[#This Row],[%Extensibility]]&gt;INDEX(Extmax,MATCH(Table36[[#This Row],[Grist]],SMI,0)),0,1))))</f>
        <v>-</v>
      </c>
      <c r="Z440" s="127" t="str">
        <f>IF(INDEX(Resmin,MATCH(Table36[[#This Row],[Grist]],SMI,0))="-","-",IF(Table36[[#This Row],[Resistance, max]]="-","-",IF(Table36[[#This Row],[Resistance, max]]&lt;INDEX(Resmin,MATCH(Table36[[#This Row],[Grist]],SMI,0)),0,IF(Table36[[#This Row],[Resistance, max]]&gt;INDEX(Resmax,MATCH(Table36[[#This Row],[Grist]],SMI,0)),0,1))))</f>
        <v>-</v>
      </c>
      <c r="AA440" s="127">
        <f>IF(INDEX(WGmin,MATCH(Table36[[#This Row],[Grist]],SMI,0))="-","-",IF(Table36[[#This Row],[%Wet Gluten]]="-","-",IF(Table36[[#This Row],[%Wet Gluten]]&lt;INDEX(WGmin,MATCH(Table36[[#This Row],[Grist]],SMI,0)),0,IF(Table36[[#This Row],[%Wet Gluten]]&gt;INDEX(WGmax,MATCH(Table36[[#This Row],[Grist]],SMI,0)),0,1))))</f>
        <v>0</v>
      </c>
      <c r="AB440" s="127">
        <f>SUM(Table36[[#This Row],[ QI Bran Content]:[QI WG]])</f>
        <v>4</v>
      </c>
      <c r="AC440" s="127">
        <f>COUNT(Table36[[#This Row],[ QI Bran Content]:[QI WG]])</f>
        <v>8</v>
      </c>
    </row>
    <row r="441" spans="1:29" x14ac:dyDescent="0.35">
      <c r="A441" s="177">
        <v>45328</v>
      </c>
      <c r="B441" s="178">
        <v>45343</v>
      </c>
      <c r="C441" s="178" t="s">
        <v>130</v>
      </c>
      <c r="D441" s="179">
        <v>1.0416666666666701</v>
      </c>
      <c r="E441" s="180" t="s">
        <v>2</v>
      </c>
      <c r="F441" s="181" t="s">
        <v>242</v>
      </c>
      <c r="G441" s="182" t="s">
        <v>284</v>
      </c>
      <c r="H441" s="175" t="s">
        <v>165</v>
      </c>
      <c r="I441" s="175" t="s">
        <v>165</v>
      </c>
      <c r="J441" s="175" t="s">
        <v>165</v>
      </c>
      <c r="K441" s="175">
        <v>11.25</v>
      </c>
      <c r="L441" s="175" t="s">
        <v>283</v>
      </c>
      <c r="M441" s="175" t="s">
        <v>267</v>
      </c>
      <c r="N441" s="175">
        <v>63.7</v>
      </c>
      <c r="O441" s="175" t="s">
        <v>163</v>
      </c>
      <c r="P441" s="175" t="s">
        <v>163</v>
      </c>
      <c r="Q441" s="175"/>
      <c r="R441" s="127">
        <f>IF(Table36[[#This Row],[ Bran Content]]="-","-",IF(G441&lt;0.02,1,0))</f>
        <v>0</v>
      </c>
      <c r="S441" s="127">
        <f>IF(Table36[[#This Row],[Sieve Test]]="-","-",IF(Table36[[#This Row],[Sieve Test]]="P",1,0))</f>
        <v>1</v>
      </c>
      <c r="T441" s="127">
        <f>IF(Table36[[#This Row],[Odor]]="-","-",IF(Table36[[#This Row],[Odor]]="P",1,0))</f>
        <v>1</v>
      </c>
      <c r="U441" s="127">
        <f>IF(INDEX(MCmin,MATCH(Table36[[#This Row],[Grist]],SMI,0))="-","-",IF(Table36[[#This Row],[F1 %MC]]="-","-",IF(Table36[[#This Row],[F1 %MC]]&lt;INDEX(MCmin,MATCH(Table36[[#This Row],[Grist]],SMI,0)),0,IF(Table36[[#This Row],[F1 %MC]]&gt;INDEX(MCmax,MATCH(Table36[[#This Row],[Grist]],SMI,0)),0,1))))</f>
        <v>0</v>
      </c>
      <c r="V441" s="127">
        <f>IF(INDEX(Protmin,MATCH(Table36[[#This Row],[Grist]],SMI,0))="-","-",IF(Table36[[#This Row],[%Protein]]="-","-",IF(Table36[[#This Row],[%Protein]]&lt;INDEX(Protmin,MATCH(Table36[[#This Row],[Grist]],SMI,0)),0,IF(Table36[[#This Row],[%Protein]]&gt;INDEX(Protmax,MATCH(Table36[[#This Row],[Grist]],SMI,0)),0,1))))</f>
        <v>0</v>
      </c>
      <c r="W441" s="127">
        <f>IF(INDEX(Ashmin,MATCH(Table36[[#This Row],[Grist]],SMI,0))="-","-",IF(Table36[[#This Row],[%Ash]]="-","-",IF(Table36[[#This Row],[%Ash]]&lt;INDEX(Ashmin,MATCH(Table36[[#This Row],[Grist]],SMI,0)),0,IF(Table36[[#This Row],[%Ash]]&gt;INDEX(Ashmax,MATCH(Table36[[#This Row],[Grist]],SMI,0)),0,1))))</f>
        <v>0</v>
      </c>
      <c r="X441" s="127">
        <f>IF(INDEX(Absmin,MATCH(Table36[[#This Row],[Grist]],SMI,0))="-","-",IF(Table36[[#This Row],[%Absorption]]="-","-",IF(Table36[[#This Row],[%Absorption]]&lt;INDEX(Absmin,MATCH(Table36[[#This Row],[Grist]],SMI,0)),0,IF(Table36[[#This Row],[%Absorption]]&gt;INDEX(Absmax,MATCH(Table36[[#This Row],[Grist]],SMI,0)),0,1))))</f>
        <v>1</v>
      </c>
      <c r="Y441" s="127" t="str">
        <f>IF(INDEX(Extmin,MATCH(Table36[[#This Row],[Grist]],SMI,0))="-","-",IF(Table36[[#This Row],[%Extensibility]]="-","-",IF(Table36[[#This Row],[%Extensibility]]&lt;INDEX(Extmin,MATCH(Table36[[#This Row],[Grist]],SMI,0)),0,IF(Table36[[#This Row],[%Extensibility]]&gt;INDEX(Extmax,MATCH(Table36[[#This Row],[Grist]],SMI,0)),0,1))))</f>
        <v>-</v>
      </c>
      <c r="Z441" s="127" t="str">
        <f>IF(INDEX(Resmin,MATCH(Table36[[#This Row],[Grist]],SMI,0))="-","-",IF(Table36[[#This Row],[Resistance, max]]="-","-",IF(Table36[[#This Row],[Resistance, max]]&lt;INDEX(Resmin,MATCH(Table36[[#This Row],[Grist]],SMI,0)),0,IF(Table36[[#This Row],[Resistance, max]]&gt;INDEX(Resmax,MATCH(Table36[[#This Row],[Grist]],SMI,0)),0,1))))</f>
        <v>-</v>
      </c>
      <c r="AA441" s="127">
        <f>IF(INDEX(WGmin,MATCH(Table36[[#This Row],[Grist]],SMI,0))="-","-",IF(Table36[[#This Row],[%Wet Gluten]]="-","-",IF(Table36[[#This Row],[%Wet Gluten]]&lt;INDEX(WGmin,MATCH(Table36[[#This Row],[Grist]],SMI,0)),0,IF(Table36[[#This Row],[%Wet Gluten]]&gt;INDEX(WGmax,MATCH(Table36[[#This Row],[Grist]],SMI,0)),0,1))))</f>
        <v>0</v>
      </c>
      <c r="AB441" s="127">
        <f>SUM(Table36[[#This Row],[ QI Bran Content]:[QI WG]])</f>
        <v>3</v>
      </c>
      <c r="AC441" s="127">
        <f>COUNT(Table36[[#This Row],[ QI Bran Content]:[QI WG]])</f>
        <v>8</v>
      </c>
    </row>
    <row r="442" spans="1:29" x14ac:dyDescent="0.35">
      <c r="A442" s="177">
        <v>45328</v>
      </c>
      <c r="B442" s="178">
        <v>45343</v>
      </c>
      <c r="C442" s="178" t="s">
        <v>130</v>
      </c>
      <c r="D442" s="179">
        <v>1.125</v>
      </c>
      <c r="E442" s="180" t="s">
        <v>2</v>
      </c>
      <c r="F442" s="181" t="s">
        <v>242</v>
      </c>
      <c r="G442" s="182" t="s">
        <v>285</v>
      </c>
      <c r="H442" s="175" t="s">
        <v>165</v>
      </c>
      <c r="I442" s="175" t="s">
        <v>165</v>
      </c>
      <c r="J442" s="175" t="s">
        <v>165</v>
      </c>
      <c r="K442" s="175">
        <v>12.54</v>
      </c>
      <c r="L442" s="175" t="s">
        <v>283</v>
      </c>
      <c r="M442" s="175" t="s">
        <v>267</v>
      </c>
      <c r="N442" s="175">
        <v>63.7</v>
      </c>
      <c r="O442" s="175" t="s">
        <v>163</v>
      </c>
      <c r="P442" s="175" t="s">
        <v>163</v>
      </c>
      <c r="Q442" s="175"/>
      <c r="R442" s="127">
        <f>IF(Table36[[#This Row],[ Bran Content]]="-","-",IF(G442&lt;0.02,1,0))</f>
        <v>0</v>
      </c>
      <c r="S442" s="127">
        <f>IF(Table36[[#This Row],[Sieve Test]]="-","-",IF(Table36[[#This Row],[Sieve Test]]="P",1,0))</f>
        <v>1</v>
      </c>
      <c r="T442" s="127">
        <f>IF(Table36[[#This Row],[Odor]]="-","-",IF(Table36[[#This Row],[Odor]]="P",1,0))</f>
        <v>1</v>
      </c>
      <c r="U442" s="127">
        <f>IF(INDEX(MCmin,MATCH(Table36[[#This Row],[Grist]],SMI,0))="-","-",IF(Table36[[#This Row],[F1 %MC]]="-","-",IF(Table36[[#This Row],[F1 %MC]]&lt;INDEX(MCmin,MATCH(Table36[[#This Row],[Grist]],SMI,0)),0,IF(Table36[[#This Row],[F1 %MC]]&gt;INDEX(MCmax,MATCH(Table36[[#This Row],[Grist]],SMI,0)),0,1))))</f>
        <v>1</v>
      </c>
      <c r="V442" s="127">
        <f>IF(INDEX(Protmin,MATCH(Table36[[#This Row],[Grist]],SMI,0))="-","-",IF(Table36[[#This Row],[%Protein]]="-","-",IF(Table36[[#This Row],[%Protein]]&lt;INDEX(Protmin,MATCH(Table36[[#This Row],[Grist]],SMI,0)),0,IF(Table36[[#This Row],[%Protein]]&gt;INDEX(Protmax,MATCH(Table36[[#This Row],[Grist]],SMI,0)),0,1))))</f>
        <v>0</v>
      </c>
      <c r="W442" s="127">
        <f>IF(INDEX(Ashmin,MATCH(Table36[[#This Row],[Grist]],SMI,0))="-","-",IF(Table36[[#This Row],[%Ash]]="-","-",IF(Table36[[#This Row],[%Ash]]&lt;INDEX(Ashmin,MATCH(Table36[[#This Row],[Grist]],SMI,0)),0,IF(Table36[[#This Row],[%Ash]]&gt;INDEX(Ashmax,MATCH(Table36[[#This Row],[Grist]],SMI,0)),0,1))))</f>
        <v>0</v>
      </c>
      <c r="X442" s="127">
        <f>IF(INDEX(Absmin,MATCH(Table36[[#This Row],[Grist]],SMI,0))="-","-",IF(Table36[[#This Row],[%Absorption]]="-","-",IF(Table36[[#This Row],[%Absorption]]&lt;INDEX(Absmin,MATCH(Table36[[#This Row],[Grist]],SMI,0)),0,IF(Table36[[#This Row],[%Absorption]]&gt;INDEX(Absmax,MATCH(Table36[[#This Row],[Grist]],SMI,0)),0,1))))</f>
        <v>1</v>
      </c>
      <c r="Y442" s="127" t="str">
        <f>IF(INDEX(Extmin,MATCH(Table36[[#This Row],[Grist]],SMI,0))="-","-",IF(Table36[[#This Row],[%Extensibility]]="-","-",IF(Table36[[#This Row],[%Extensibility]]&lt;INDEX(Extmin,MATCH(Table36[[#This Row],[Grist]],SMI,0)),0,IF(Table36[[#This Row],[%Extensibility]]&gt;INDEX(Extmax,MATCH(Table36[[#This Row],[Grist]],SMI,0)),0,1))))</f>
        <v>-</v>
      </c>
      <c r="Z442" s="127" t="str">
        <f>IF(INDEX(Resmin,MATCH(Table36[[#This Row],[Grist]],SMI,0))="-","-",IF(Table36[[#This Row],[Resistance, max]]="-","-",IF(Table36[[#This Row],[Resistance, max]]&lt;INDEX(Resmin,MATCH(Table36[[#This Row],[Grist]],SMI,0)),0,IF(Table36[[#This Row],[Resistance, max]]&gt;INDEX(Resmax,MATCH(Table36[[#This Row],[Grist]],SMI,0)),0,1))))</f>
        <v>-</v>
      </c>
      <c r="AA442" s="127">
        <f>IF(INDEX(WGmin,MATCH(Table36[[#This Row],[Grist]],SMI,0))="-","-",IF(Table36[[#This Row],[%Wet Gluten]]="-","-",IF(Table36[[#This Row],[%Wet Gluten]]&lt;INDEX(WGmin,MATCH(Table36[[#This Row],[Grist]],SMI,0)),0,IF(Table36[[#This Row],[%Wet Gluten]]&gt;INDEX(WGmax,MATCH(Table36[[#This Row],[Grist]],SMI,0)),0,1))))</f>
        <v>0</v>
      </c>
      <c r="AB442" s="127">
        <f>SUM(Table36[[#This Row],[ QI Bran Content]:[QI WG]])</f>
        <v>4</v>
      </c>
      <c r="AC442" s="127">
        <f>COUNT(Table36[[#This Row],[ QI Bran Content]:[QI WG]])</f>
        <v>8</v>
      </c>
    </row>
    <row r="443" spans="1:29" x14ac:dyDescent="0.35">
      <c r="A443" s="177">
        <v>45328</v>
      </c>
      <c r="B443" s="178">
        <v>45343</v>
      </c>
      <c r="C443" s="178" t="s">
        <v>130</v>
      </c>
      <c r="D443" s="179">
        <v>1.2083333333333299</v>
      </c>
      <c r="E443" s="180" t="s">
        <v>2</v>
      </c>
      <c r="F443" s="181" t="s">
        <v>242</v>
      </c>
      <c r="G443" s="182" t="s">
        <v>286</v>
      </c>
      <c r="H443" s="175" t="s">
        <v>165</v>
      </c>
      <c r="I443" s="175" t="s">
        <v>165</v>
      </c>
      <c r="J443" s="175" t="s">
        <v>165</v>
      </c>
      <c r="K443" s="175">
        <v>12.1</v>
      </c>
      <c r="L443" s="175" t="s">
        <v>283</v>
      </c>
      <c r="M443" s="175" t="s">
        <v>267</v>
      </c>
      <c r="N443" s="175">
        <v>63.7</v>
      </c>
      <c r="O443" s="175" t="s">
        <v>163</v>
      </c>
      <c r="P443" s="175" t="s">
        <v>163</v>
      </c>
      <c r="Q443" s="175"/>
      <c r="R443" s="127">
        <f>IF(Table36[[#This Row],[ Bran Content]]="-","-",IF(G443&lt;0.02,1,0))</f>
        <v>0</v>
      </c>
      <c r="S443" s="127">
        <f>IF(Table36[[#This Row],[Sieve Test]]="-","-",IF(Table36[[#This Row],[Sieve Test]]="P",1,0))</f>
        <v>1</v>
      </c>
      <c r="T443" s="127">
        <f>IF(Table36[[#This Row],[Odor]]="-","-",IF(Table36[[#This Row],[Odor]]="P",1,0))</f>
        <v>1</v>
      </c>
      <c r="U443" s="127">
        <f>IF(INDEX(MCmin,MATCH(Table36[[#This Row],[Grist]],SMI,0))="-","-",IF(Table36[[#This Row],[F1 %MC]]="-","-",IF(Table36[[#This Row],[F1 %MC]]&lt;INDEX(MCmin,MATCH(Table36[[#This Row],[Grist]],SMI,0)),0,IF(Table36[[#This Row],[F1 %MC]]&gt;INDEX(MCmax,MATCH(Table36[[#This Row],[Grist]],SMI,0)),0,1))))</f>
        <v>1</v>
      </c>
      <c r="V443" s="127">
        <f>IF(INDEX(Protmin,MATCH(Table36[[#This Row],[Grist]],SMI,0))="-","-",IF(Table36[[#This Row],[%Protein]]="-","-",IF(Table36[[#This Row],[%Protein]]&lt;INDEX(Protmin,MATCH(Table36[[#This Row],[Grist]],SMI,0)),0,IF(Table36[[#This Row],[%Protein]]&gt;INDEX(Protmax,MATCH(Table36[[#This Row],[Grist]],SMI,0)),0,1))))</f>
        <v>0</v>
      </c>
      <c r="W443" s="127">
        <f>IF(INDEX(Ashmin,MATCH(Table36[[#This Row],[Grist]],SMI,0))="-","-",IF(Table36[[#This Row],[%Ash]]="-","-",IF(Table36[[#This Row],[%Ash]]&lt;INDEX(Ashmin,MATCH(Table36[[#This Row],[Grist]],SMI,0)),0,IF(Table36[[#This Row],[%Ash]]&gt;INDEX(Ashmax,MATCH(Table36[[#This Row],[Grist]],SMI,0)),0,1))))</f>
        <v>0</v>
      </c>
      <c r="X443" s="127">
        <f>IF(INDEX(Absmin,MATCH(Table36[[#This Row],[Grist]],SMI,0))="-","-",IF(Table36[[#This Row],[%Absorption]]="-","-",IF(Table36[[#This Row],[%Absorption]]&lt;INDEX(Absmin,MATCH(Table36[[#This Row],[Grist]],SMI,0)),0,IF(Table36[[#This Row],[%Absorption]]&gt;INDEX(Absmax,MATCH(Table36[[#This Row],[Grist]],SMI,0)),0,1))))</f>
        <v>1</v>
      </c>
      <c r="Y443" s="127" t="str">
        <f>IF(INDEX(Extmin,MATCH(Table36[[#This Row],[Grist]],SMI,0))="-","-",IF(Table36[[#This Row],[%Extensibility]]="-","-",IF(Table36[[#This Row],[%Extensibility]]&lt;INDEX(Extmin,MATCH(Table36[[#This Row],[Grist]],SMI,0)),0,IF(Table36[[#This Row],[%Extensibility]]&gt;INDEX(Extmax,MATCH(Table36[[#This Row],[Grist]],SMI,0)),0,1))))</f>
        <v>-</v>
      </c>
      <c r="Z443" s="127" t="str">
        <f>IF(INDEX(Resmin,MATCH(Table36[[#This Row],[Grist]],SMI,0))="-","-",IF(Table36[[#This Row],[Resistance, max]]="-","-",IF(Table36[[#This Row],[Resistance, max]]&lt;INDEX(Resmin,MATCH(Table36[[#This Row],[Grist]],SMI,0)),0,IF(Table36[[#This Row],[Resistance, max]]&gt;INDEX(Resmax,MATCH(Table36[[#This Row],[Grist]],SMI,0)),0,1))))</f>
        <v>-</v>
      </c>
      <c r="AA443" s="127">
        <f>IF(INDEX(WGmin,MATCH(Table36[[#This Row],[Grist]],SMI,0))="-","-",IF(Table36[[#This Row],[%Wet Gluten]]="-","-",IF(Table36[[#This Row],[%Wet Gluten]]&lt;INDEX(WGmin,MATCH(Table36[[#This Row],[Grist]],SMI,0)),0,IF(Table36[[#This Row],[%Wet Gluten]]&gt;INDEX(WGmax,MATCH(Table36[[#This Row],[Grist]],SMI,0)),0,1))))</f>
        <v>0</v>
      </c>
      <c r="AB443" s="127">
        <f>SUM(Table36[[#This Row],[ QI Bran Content]:[QI WG]])</f>
        <v>4</v>
      </c>
      <c r="AC443" s="127">
        <f>COUNT(Table36[[#This Row],[ QI Bran Content]:[QI WG]])</f>
        <v>8</v>
      </c>
    </row>
    <row r="444" spans="1:29" x14ac:dyDescent="0.35">
      <c r="A444" s="177">
        <v>45328</v>
      </c>
      <c r="B444" s="178">
        <v>45343</v>
      </c>
      <c r="C444" s="178" t="s">
        <v>125</v>
      </c>
      <c r="D444" s="179" t="s">
        <v>239</v>
      </c>
      <c r="E444" s="180" t="s">
        <v>0</v>
      </c>
      <c r="F444" s="181" t="s">
        <v>32</v>
      </c>
      <c r="G444" s="182">
        <v>3.8E-3</v>
      </c>
      <c r="H444" s="175" t="s">
        <v>165</v>
      </c>
      <c r="I444" s="175" t="s">
        <v>165</v>
      </c>
      <c r="J444" s="175" t="s">
        <v>165</v>
      </c>
      <c r="K444" s="175">
        <v>12.44</v>
      </c>
      <c r="L444" s="175" t="s">
        <v>163</v>
      </c>
      <c r="M444" s="175" t="s">
        <v>163</v>
      </c>
      <c r="N444" s="175" t="s">
        <v>163</v>
      </c>
      <c r="O444" s="175" t="s">
        <v>163</v>
      </c>
      <c r="P444" s="175" t="s">
        <v>163</v>
      </c>
      <c r="Q444" s="175">
        <v>30.68</v>
      </c>
      <c r="R444" s="127">
        <f>IF(Table36[[#This Row],[ Bran Content]]="-","-",IF(G444&lt;0.02,1,0))</f>
        <v>1</v>
      </c>
      <c r="S444" s="127">
        <f>IF(Table36[[#This Row],[Sieve Test]]="-","-",IF(Table36[[#This Row],[Sieve Test]]="P",1,0))</f>
        <v>1</v>
      </c>
      <c r="T444" s="127">
        <f>IF(Table36[[#This Row],[Odor]]="-","-",IF(Table36[[#This Row],[Odor]]="P",1,0))</f>
        <v>1</v>
      </c>
      <c r="U444" s="127">
        <f>IF(INDEX(MCmin,MATCH(Table36[[#This Row],[Grist]],SMI,0))="-","-",IF(Table36[[#This Row],[F1 %MC]]="-","-",IF(Table36[[#This Row],[F1 %MC]]&lt;INDEX(MCmin,MATCH(Table36[[#This Row],[Grist]],SMI,0)),0,IF(Table36[[#This Row],[F1 %MC]]&gt;INDEX(MCmax,MATCH(Table36[[#This Row],[Grist]],SMI,0)),0,1))))</f>
        <v>1</v>
      </c>
      <c r="V444" s="127" t="str">
        <f>IF(INDEX(Protmin,MATCH(Table36[[#This Row],[Grist]],SMI,0))="-","-",IF(Table36[[#This Row],[%Protein]]="-","-",IF(Table36[[#This Row],[%Protein]]&lt;INDEX(Protmin,MATCH(Table36[[#This Row],[Grist]],SMI,0)),0,IF(Table36[[#This Row],[%Protein]]&gt;INDEX(Protmax,MATCH(Table36[[#This Row],[Grist]],SMI,0)),0,1))))</f>
        <v>-</v>
      </c>
      <c r="W444" s="127" t="str">
        <f>IF(INDEX(Ashmin,MATCH(Table36[[#This Row],[Grist]],SMI,0))="-","-",IF(Table36[[#This Row],[%Ash]]="-","-",IF(Table36[[#This Row],[%Ash]]&lt;INDEX(Ashmin,MATCH(Table36[[#This Row],[Grist]],SMI,0)),0,IF(Table36[[#This Row],[%Ash]]&gt;INDEX(Ashmax,MATCH(Table36[[#This Row],[Grist]],SMI,0)),0,1))))</f>
        <v>-</v>
      </c>
      <c r="X444" s="127" t="str">
        <f>IF(INDEX(Absmin,MATCH(Table36[[#This Row],[Grist]],SMI,0))="-","-",IF(Table36[[#This Row],[%Absorption]]="-","-",IF(Table36[[#This Row],[%Absorption]]&lt;INDEX(Absmin,MATCH(Table36[[#This Row],[Grist]],SMI,0)),0,IF(Table36[[#This Row],[%Absorption]]&gt;INDEX(Absmax,MATCH(Table36[[#This Row],[Grist]],SMI,0)),0,1))))</f>
        <v>-</v>
      </c>
      <c r="Y444" s="127" t="str">
        <f>IF(INDEX(Extmin,MATCH(Table36[[#This Row],[Grist]],SMI,0))="-","-",IF(Table36[[#This Row],[%Extensibility]]="-","-",IF(Table36[[#This Row],[%Extensibility]]&lt;INDEX(Extmin,MATCH(Table36[[#This Row],[Grist]],SMI,0)),0,IF(Table36[[#This Row],[%Extensibility]]&gt;INDEX(Extmax,MATCH(Table36[[#This Row],[Grist]],SMI,0)),0,1))))</f>
        <v>-</v>
      </c>
      <c r="Z444" s="127" t="str">
        <f>IF(INDEX(Resmin,MATCH(Table36[[#This Row],[Grist]],SMI,0))="-","-",IF(Table36[[#This Row],[Resistance, max]]="-","-",IF(Table36[[#This Row],[Resistance, max]]&lt;INDEX(Resmin,MATCH(Table36[[#This Row],[Grist]],SMI,0)),0,IF(Table36[[#This Row],[Resistance, max]]&gt;INDEX(Resmax,MATCH(Table36[[#This Row],[Grist]],SMI,0)),0,1))))</f>
        <v>-</v>
      </c>
      <c r="AA444" s="127">
        <f>IF(INDEX(WGmin,MATCH(Table36[[#This Row],[Grist]],SMI,0))="-","-",IF(Table36[[#This Row],[%Wet Gluten]]="-","-",IF(Table36[[#This Row],[%Wet Gluten]]&lt;INDEX(WGmin,MATCH(Table36[[#This Row],[Grist]],SMI,0)),0,IF(Table36[[#This Row],[%Wet Gluten]]&gt;INDEX(WGmax,MATCH(Table36[[#This Row],[Grist]],SMI,0)),0,1))))</f>
        <v>0</v>
      </c>
      <c r="AB444" s="127">
        <f>SUM(Table36[[#This Row],[ QI Bran Content]:[QI WG]])</f>
        <v>4</v>
      </c>
      <c r="AC444" s="127">
        <f>COUNT(Table36[[#This Row],[ QI Bran Content]:[QI WG]])</f>
        <v>5</v>
      </c>
    </row>
    <row r="445" spans="1:29" x14ac:dyDescent="0.35">
      <c r="A445" s="177">
        <v>45328</v>
      </c>
      <c r="B445" s="178">
        <v>45343</v>
      </c>
      <c r="C445" s="178" t="s">
        <v>125</v>
      </c>
      <c r="D445" s="179" t="s">
        <v>237</v>
      </c>
      <c r="E445" s="180" t="s">
        <v>0</v>
      </c>
      <c r="F445" s="181" t="s">
        <v>48</v>
      </c>
      <c r="G445" s="182">
        <v>5.7000000000000002E-3</v>
      </c>
      <c r="H445" s="175" t="s">
        <v>165</v>
      </c>
      <c r="I445" s="175" t="s">
        <v>165</v>
      </c>
      <c r="J445" s="175" t="s">
        <v>165</v>
      </c>
      <c r="K445" s="175">
        <v>10.84</v>
      </c>
      <c r="L445" s="175" t="s">
        <v>163</v>
      </c>
      <c r="M445" s="175" t="s">
        <v>163</v>
      </c>
      <c r="N445" s="175" t="s">
        <v>163</v>
      </c>
      <c r="O445" s="175" t="s">
        <v>163</v>
      </c>
      <c r="P445" s="175" t="s">
        <v>163</v>
      </c>
      <c r="Q445" s="175">
        <v>30.68</v>
      </c>
      <c r="R445" s="127">
        <f>IF(Table36[[#This Row],[ Bran Content]]="-","-",IF(G445&lt;0.02,1,0))</f>
        <v>1</v>
      </c>
      <c r="S445" s="127">
        <f>IF(Table36[[#This Row],[Sieve Test]]="-","-",IF(Table36[[#This Row],[Sieve Test]]="P",1,0))</f>
        <v>1</v>
      </c>
      <c r="T445" s="127">
        <f>IF(Table36[[#This Row],[Odor]]="-","-",IF(Table36[[#This Row],[Odor]]="P",1,0))</f>
        <v>1</v>
      </c>
      <c r="U445" s="127" t="str">
        <f>IF(INDEX(MCmin,MATCH(Table36[[#This Row],[Grist]],SMI,0))="-","-",IF(Table36[[#This Row],[F1 %MC]]="-","-",IF(Table36[[#This Row],[F1 %MC]]&lt;INDEX(MCmin,MATCH(Table36[[#This Row],[Grist]],SMI,0)),0,IF(Table36[[#This Row],[F1 %MC]]&gt;INDEX(MCmax,MATCH(Table36[[#This Row],[Grist]],SMI,0)),0,1))))</f>
        <v>-</v>
      </c>
      <c r="V445" s="127" t="str">
        <f>IF(INDEX(Protmin,MATCH(Table36[[#This Row],[Grist]],SMI,0))="-","-",IF(Table36[[#This Row],[%Protein]]="-","-",IF(Table36[[#This Row],[%Protein]]&lt;INDEX(Protmin,MATCH(Table36[[#This Row],[Grist]],SMI,0)),0,IF(Table36[[#This Row],[%Protein]]&gt;INDEX(Protmax,MATCH(Table36[[#This Row],[Grist]],SMI,0)),0,1))))</f>
        <v>-</v>
      </c>
      <c r="W445" s="127" t="str">
        <f>IF(INDEX(Ashmin,MATCH(Table36[[#This Row],[Grist]],SMI,0))="-","-",IF(Table36[[#This Row],[%Ash]]="-","-",IF(Table36[[#This Row],[%Ash]]&lt;INDEX(Ashmin,MATCH(Table36[[#This Row],[Grist]],SMI,0)),0,IF(Table36[[#This Row],[%Ash]]&gt;INDEX(Ashmax,MATCH(Table36[[#This Row],[Grist]],SMI,0)),0,1))))</f>
        <v>-</v>
      </c>
      <c r="X445" s="127" t="str">
        <f>IF(INDEX(Absmin,MATCH(Table36[[#This Row],[Grist]],SMI,0))="-","-",IF(Table36[[#This Row],[%Absorption]]="-","-",IF(Table36[[#This Row],[%Absorption]]&lt;INDEX(Absmin,MATCH(Table36[[#This Row],[Grist]],SMI,0)),0,IF(Table36[[#This Row],[%Absorption]]&gt;INDEX(Absmax,MATCH(Table36[[#This Row],[Grist]],SMI,0)),0,1))))</f>
        <v>-</v>
      </c>
      <c r="Y445" s="127" t="str">
        <f>IF(INDEX(Extmin,MATCH(Table36[[#This Row],[Grist]],SMI,0))="-","-",IF(Table36[[#This Row],[%Extensibility]]="-","-",IF(Table36[[#This Row],[%Extensibility]]&lt;INDEX(Extmin,MATCH(Table36[[#This Row],[Grist]],SMI,0)),0,IF(Table36[[#This Row],[%Extensibility]]&gt;INDEX(Extmax,MATCH(Table36[[#This Row],[Grist]],SMI,0)),0,1))))</f>
        <v>-</v>
      </c>
      <c r="Z445" s="127" t="str">
        <f>IF(INDEX(Resmin,MATCH(Table36[[#This Row],[Grist]],SMI,0))="-","-",IF(Table36[[#This Row],[Resistance, max]]="-","-",IF(Table36[[#This Row],[Resistance, max]]&lt;INDEX(Resmin,MATCH(Table36[[#This Row],[Grist]],SMI,0)),0,IF(Table36[[#This Row],[Resistance, max]]&gt;INDEX(Resmax,MATCH(Table36[[#This Row],[Grist]],SMI,0)),0,1))))</f>
        <v>-</v>
      </c>
      <c r="AA445" s="127" t="str">
        <f>IF(INDEX(WGmin,MATCH(Table36[[#This Row],[Grist]],SMI,0))="-","-",IF(Table36[[#This Row],[%Wet Gluten]]="-","-",IF(Table36[[#This Row],[%Wet Gluten]]&lt;INDEX(WGmin,MATCH(Table36[[#This Row],[Grist]],SMI,0)),0,IF(Table36[[#This Row],[%Wet Gluten]]&gt;INDEX(WGmax,MATCH(Table36[[#This Row],[Grist]],SMI,0)),0,1))))</f>
        <v>-</v>
      </c>
      <c r="AB445" s="127">
        <f>SUM(Table36[[#This Row],[ QI Bran Content]:[QI WG]])</f>
        <v>3</v>
      </c>
      <c r="AC445" s="127">
        <f>COUNT(Table36[[#This Row],[ QI Bran Content]:[QI WG]])</f>
        <v>3</v>
      </c>
    </row>
    <row r="446" spans="1:29" x14ac:dyDescent="0.35">
      <c r="A446" s="177">
        <v>45328</v>
      </c>
      <c r="B446" s="178">
        <v>45343</v>
      </c>
      <c r="C446" s="178" t="s">
        <v>125</v>
      </c>
      <c r="D446" s="179" t="s">
        <v>239</v>
      </c>
      <c r="E446" s="180" t="s">
        <v>2</v>
      </c>
      <c r="F446" s="181" t="s">
        <v>242</v>
      </c>
      <c r="G446" s="182" t="s">
        <v>260</v>
      </c>
      <c r="H446" s="175" t="s">
        <v>165</v>
      </c>
      <c r="I446" s="175" t="s">
        <v>165</v>
      </c>
      <c r="J446" s="175" t="s">
        <v>165</v>
      </c>
      <c r="K446" s="175">
        <v>12.38</v>
      </c>
      <c r="L446" s="175" t="s">
        <v>163</v>
      </c>
      <c r="M446" s="175" t="s">
        <v>163</v>
      </c>
      <c r="N446" s="175" t="s">
        <v>163</v>
      </c>
      <c r="O446" s="175" t="s">
        <v>163</v>
      </c>
      <c r="P446" s="175" t="s">
        <v>163</v>
      </c>
      <c r="Q446" s="175">
        <v>30.68</v>
      </c>
      <c r="R446" s="127">
        <f>IF(Table36[[#This Row],[ Bran Content]]="-","-",IF(G446&lt;0.02,1,0))</f>
        <v>0</v>
      </c>
      <c r="S446" s="127">
        <f>IF(Table36[[#This Row],[Sieve Test]]="-","-",IF(Table36[[#This Row],[Sieve Test]]="P",1,0))</f>
        <v>1</v>
      </c>
      <c r="T446" s="127">
        <f>IF(Table36[[#This Row],[Odor]]="-","-",IF(Table36[[#This Row],[Odor]]="P",1,0))</f>
        <v>1</v>
      </c>
      <c r="U446" s="127">
        <f>IF(INDEX(MCmin,MATCH(Table36[[#This Row],[Grist]],SMI,0))="-","-",IF(Table36[[#This Row],[F1 %MC]]="-","-",IF(Table36[[#This Row],[F1 %MC]]&lt;INDEX(MCmin,MATCH(Table36[[#This Row],[Grist]],SMI,0)),0,IF(Table36[[#This Row],[F1 %MC]]&gt;INDEX(MCmax,MATCH(Table36[[#This Row],[Grist]],SMI,0)),0,1))))</f>
        <v>1</v>
      </c>
      <c r="V446" s="127" t="str">
        <f>IF(INDEX(Protmin,MATCH(Table36[[#This Row],[Grist]],SMI,0))="-","-",IF(Table36[[#This Row],[%Protein]]="-","-",IF(Table36[[#This Row],[%Protein]]&lt;INDEX(Protmin,MATCH(Table36[[#This Row],[Grist]],SMI,0)),0,IF(Table36[[#This Row],[%Protein]]&gt;INDEX(Protmax,MATCH(Table36[[#This Row],[Grist]],SMI,0)),0,1))))</f>
        <v>-</v>
      </c>
      <c r="W446" s="127" t="str">
        <f>IF(INDEX(Ashmin,MATCH(Table36[[#This Row],[Grist]],SMI,0))="-","-",IF(Table36[[#This Row],[%Ash]]="-","-",IF(Table36[[#This Row],[%Ash]]&lt;INDEX(Ashmin,MATCH(Table36[[#This Row],[Grist]],SMI,0)),0,IF(Table36[[#This Row],[%Ash]]&gt;INDEX(Ashmax,MATCH(Table36[[#This Row],[Grist]],SMI,0)),0,1))))</f>
        <v>-</v>
      </c>
      <c r="X446" s="127" t="str">
        <f>IF(INDEX(Absmin,MATCH(Table36[[#This Row],[Grist]],SMI,0))="-","-",IF(Table36[[#This Row],[%Absorption]]="-","-",IF(Table36[[#This Row],[%Absorption]]&lt;INDEX(Absmin,MATCH(Table36[[#This Row],[Grist]],SMI,0)),0,IF(Table36[[#This Row],[%Absorption]]&gt;INDEX(Absmax,MATCH(Table36[[#This Row],[Grist]],SMI,0)),0,1))))</f>
        <v>-</v>
      </c>
      <c r="Y446" s="127" t="str">
        <f>IF(INDEX(Extmin,MATCH(Table36[[#This Row],[Grist]],SMI,0))="-","-",IF(Table36[[#This Row],[%Extensibility]]="-","-",IF(Table36[[#This Row],[%Extensibility]]&lt;INDEX(Extmin,MATCH(Table36[[#This Row],[Grist]],SMI,0)),0,IF(Table36[[#This Row],[%Extensibility]]&gt;INDEX(Extmax,MATCH(Table36[[#This Row],[Grist]],SMI,0)),0,1))))</f>
        <v>-</v>
      </c>
      <c r="Z446" s="127" t="str">
        <f>IF(INDEX(Resmin,MATCH(Table36[[#This Row],[Grist]],SMI,0))="-","-",IF(Table36[[#This Row],[Resistance, max]]="-","-",IF(Table36[[#This Row],[Resistance, max]]&lt;INDEX(Resmin,MATCH(Table36[[#This Row],[Grist]],SMI,0)),0,IF(Table36[[#This Row],[Resistance, max]]&gt;INDEX(Resmax,MATCH(Table36[[#This Row],[Grist]],SMI,0)),0,1))))</f>
        <v>-</v>
      </c>
      <c r="AA446" s="127">
        <f>IF(INDEX(WGmin,MATCH(Table36[[#This Row],[Grist]],SMI,0))="-","-",IF(Table36[[#This Row],[%Wet Gluten]]="-","-",IF(Table36[[#This Row],[%Wet Gluten]]&lt;INDEX(WGmin,MATCH(Table36[[#This Row],[Grist]],SMI,0)),0,IF(Table36[[#This Row],[%Wet Gluten]]&gt;INDEX(WGmax,MATCH(Table36[[#This Row],[Grist]],SMI,0)),0,1))))</f>
        <v>1</v>
      </c>
      <c r="AB446" s="127">
        <f>SUM(Table36[[#This Row],[ QI Bran Content]:[QI WG]])</f>
        <v>4</v>
      </c>
      <c r="AC446" s="127">
        <f>COUNT(Table36[[#This Row],[ QI Bran Content]:[QI WG]])</f>
        <v>5</v>
      </c>
    </row>
    <row r="447" spans="1:29" x14ac:dyDescent="0.35">
      <c r="A447" s="177">
        <v>45328</v>
      </c>
      <c r="B447" s="178">
        <v>45343</v>
      </c>
      <c r="C447" s="178" t="s">
        <v>128</v>
      </c>
      <c r="D447" s="179">
        <v>0.625</v>
      </c>
      <c r="E447" s="180" t="s">
        <v>0</v>
      </c>
      <c r="F447" s="181" t="s">
        <v>48</v>
      </c>
      <c r="G447" s="182">
        <v>5.4000000000000003E-3</v>
      </c>
      <c r="H447" s="175" t="s">
        <v>165</v>
      </c>
      <c r="I447" s="175" t="s">
        <v>165</v>
      </c>
      <c r="J447" s="175" t="s">
        <v>165</v>
      </c>
      <c r="K447" s="175">
        <v>11.84</v>
      </c>
      <c r="L447" s="175">
        <v>10.31</v>
      </c>
      <c r="M447" s="175">
        <v>0.5</v>
      </c>
      <c r="N447" s="175">
        <v>64.599999999999994</v>
      </c>
      <c r="O447" s="175" t="s">
        <v>163</v>
      </c>
      <c r="P447" s="175" t="s">
        <v>163</v>
      </c>
      <c r="Q447" s="175">
        <v>28.29</v>
      </c>
      <c r="R447" s="127">
        <f>IF(Table36[[#This Row],[ Bran Content]]="-","-",IF(G447&lt;0.02,1,0))</f>
        <v>1</v>
      </c>
      <c r="S447" s="127">
        <f>IF(Table36[[#This Row],[Sieve Test]]="-","-",IF(Table36[[#This Row],[Sieve Test]]="P",1,0))</f>
        <v>1</v>
      </c>
      <c r="T447" s="127">
        <f>IF(Table36[[#This Row],[Odor]]="-","-",IF(Table36[[#This Row],[Odor]]="P",1,0))</f>
        <v>1</v>
      </c>
      <c r="U447" s="127" t="str">
        <f>IF(INDEX(MCmin,MATCH(Table36[[#This Row],[Grist]],SMI,0))="-","-",IF(Table36[[#This Row],[F1 %MC]]="-","-",IF(Table36[[#This Row],[F1 %MC]]&lt;INDEX(MCmin,MATCH(Table36[[#This Row],[Grist]],SMI,0)),0,IF(Table36[[#This Row],[F1 %MC]]&gt;INDEX(MCmax,MATCH(Table36[[#This Row],[Grist]],SMI,0)),0,1))))</f>
        <v>-</v>
      </c>
      <c r="V447" s="127">
        <f>IF(INDEX(Protmin,MATCH(Table36[[#This Row],[Grist]],SMI,0))="-","-",IF(Table36[[#This Row],[%Protein]]="-","-",IF(Table36[[#This Row],[%Protein]]&lt;INDEX(Protmin,MATCH(Table36[[#This Row],[Grist]],SMI,0)),0,IF(Table36[[#This Row],[%Protein]]&gt;INDEX(Protmax,MATCH(Table36[[#This Row],[Grist]],SMI,0)),0,1))))</f>
        <v>0</v>
      </c>
      <c r="W447" s="127" t="str">
        <f>IF(INDEX(Ashmin,MATCH(Table36[[#This Row],[Grist]],SMI,0))="-","-",IF(Table36[[#This Row],[%Ash]]="-","-",IF(Table36[[#This Row],[%Ash]]&lt;INDEX(Ashmin,MATCH(Table36[[#This Row],[Grist]],SMI,0)),0,IF(Table36[[#This Row],[%Ash]]&gt;INDEX(Ashmax,MATCH(Table36[[#This Row],[Grist]],SMI,0)),0,1))))</f>
        <v>-</v>
      </c>
      <c r="X447" s="127" t="str">
        <f>IF(INDEX(Absmin,MATCH(Table36[[#This Row],[Grist]],SMI,0))="-","-",IF(Table36[[#This Row],[%Absorption]]="-","-",IF(Table36[[#This Row],[%Absorption]]&lt;INDEX(Absmin,MATCH(Table36[[#This Row],[Grist]],SMI,0)),0,IF(Table36[[#This Row],[%Absorption]]&gt;INDEX(Absmax,MATCH(Table36[[#This Row],[Grist]],SMI,0)),0,1))))</f>
        <v>-</v>
      </c>
      <c r="Y447" s="127" t="str">
        <f>IF(INDEX(Extmin,MATCH(Table36[[#This Row],[Grist]],SMI,0))="-","-",IF(Table36[[#This Row],[%Extensibility]]="-","-",IF(Table36[[#This Row],[%Extensibility]]&lt;INDEX(Extmin,MATCH(Table36[[#This Row],[Grist]],SMI,0)),0,IF(Table36[[#This Row],[%Extensibility]]&gt;INDEX(Extmax,MATCH(Table36[[#This Row],[Grist]],SMI,0)),0,1))))</f>
        <v>-</v>
      </c>
      <c r="Z447" s="127" t="str">
        <f>IF(INDEX(Resmin,MATCH(Table36[[#This Row],[Grist]],SMI,0))="-","-",IF(Table36[[#This Row],[Resistance, max]]="-","-",IF(Table36[[#This Row],[Resistance, max]]&lt;INDEX(Resmin,MATCH(Table36[[#This Row],[Grist]],SMI,0)),0,IF(Table36[[#This Row],[Resistance, max]]&gt;INDEX(Resmax,MATCH(Table36[[#This Row],[Grist]],SMI,0)),0,1))))</f>
        <v>-</v>
      </c>
      <c r="AA447" s="127" t="str">
        <f>IF(INDEX(WGmin,MATCH(Table36[[#This Row],[Grist]],SMI,0))="-","-",IF(Table36[[#This Row],[%Wet Gluten]]="-","-",IF(Table36[[#This Row],[%Wet Gluten]]&lt;INDEX(WGmin,MATCH(Table36[[#This Row],[Grist]],SMI,0)),0,IF(Table36[[#This Row],[%Wet Gluten]]&gt;INDEX(WGmax,MATCH(Table36[[#This Row],[Grist]],SMI,0)),0,1))))</f>
        <v>-</v>
      </c>
      <c r="AB447" s="127">
        <f>SUM(Table36[[#This Row],[ QI Bran Content]:[QI WG]])</f>
        <v>3</v>
      </c>
      <c r="AC447" s="127">
        <f>COUNT(Table36[[#This Row],[ QI Bran Content]:[QI WG]])</f>
        <v>4</v>
      </c>
    </row>
    <row r="448" spans="1:29" x14ac:dyDescent="0.35">
      <c r="A448" s="177">
        <v>45328</v>
      </c>
      <c r="B448" s="178">
        <v>45343</v>
      </c>
      <c r="C448" s="178" t="s">
        <v>130</v>
      </c>
      <c r="D448" s="179">
        <v>0.95833333333333337</v>
      </c>
      <c r="E448" s="180" t="s">
        <v>0</v>
      </c>
      <c r="F448" s="181" t="s">
        <v>48</v>
      </c>
      <c r="G448" s="182">
        <v>7.3000000000000001E-3</v>
      </c>
      <c r="H448" s="175" t="s">
        <v>165</v>
      </c>
      <c r="I448" s="175" t="s">
        <v>165</v>
      </c>
      <c r="J448" s="175" t="s">
        <v>165</v>
      </c>
      <c r="K448" s="175">
        <v>11.78</v>
      </c>
      <c r="L448" s="175">
        <v>10.210000000000001</v>
      </c>
      <c r="M448" s="175">
        <v>0.52</v>
      </c>
      <c r="N448" s="175">
        <v>64.2</v>
      </c>
      <c r="O448" s="175" t="s">
        <v>163</v>
      </c>
      <c r="P448" s="175" t="s">
        <v>163</v>
      </c>
      <c r="Q448" s="175">
        <v>27.12</v>
      </c>
      <c r="R448" s="127">
        <f>IF(Table36[[#This Row],[ Bran Content]]="-","-",IF(G448&lt;0.02,1,0))</f>
        <v>1</v>
      </c>
      <c r="S448" s="127">
        <f>IF(Table36[[#This Row],[Sieve Test]]="-","-",IF(Table36[[#This Row],[Sieve Test]]="P",1,0))</f>
        <v>1</v>
      </c>
      <c r="T448" s="127">
        <f>IF(Table36[[#This Row],[Odor]]="-","-",IF(Table36[[#This Row],[Odor]]="P",1,0))</f>
        <v>1</v>
      </c>
      <c r="U448" s="127" t="str">
        <f>IF(INDEX(MCmin,MATCH(Table36[[#This Row],[Grist]],SMI,0))="-","-",IF(Table36[[#This Row],[F1 %MC]]="-","-",IF(Table36[[#This Row],[F1 %MC]]&lt;INDEX(MCmin,MATCH(Table36[[#This Row],[Grist]],SMI,0)),0,IF(Table36[[#This Row],[F1 %MC]]&gt;INDEX(MCmax,MATCH(Table36[[#This Row],[Grist]],SMI,0)),0,1))))</f>
        <v>-</v>
      </c>
      <c r="V448" s="127">
        <f>IF(INDEX(Protmin,MATCH(Table36[[#This Row],[Grist]],SMI,0))="-","-",IF(Table36[[#This Row],[%Protein]]="-","-",IF(Table36[[#This Row],[%Protein]]&lt;INDEX(Protmin,MATCH(Table36[[#This Row],[Grist]],SMI,0)),0,IF(Table36[[#This Row],[%Protein]]&gt;INDEX(Protmax,MATCH(Table36[[#This Row],[Grist]],SMI,0)),0,1))))</f>
        <v>0</v>
      </c>
      <c r="W448" s="127" t="str">
        <f>IF(INDEX(Ashmin,MATCH(Table36[[#This Row],[Grist]],SMI,0))="-","-",IF(Table36[[#This Row],[%Ash]]="-","-",IF(Table36[[#This Row],[%Ash]]&lt;INDEX(Ashmin,MATCH(Table36[[#This Row],[Grist]],SMI,0)),0,IF(Table36[[#This Row],[%Ash]]&gt;INDEX(Ashmax,MATCH(Table36[[#This Row],[Grist]],SMI,0)),0,1))))</f>
        <v>-</v>
      </c>
      <c r="X448" s="127" t="str">
        <f>IF(INDEX(Absmin,MATCH(Table36[[#This Row],[Grist]],SMI,0))="-","-",IF(Table36[[#This Row],[%Absorption]]="-","-",IF(Table36[[#This Row],[%Absorption]]&lt;INDEX(Absmin,MATCH(Table36[[#This Row],[Grist]],SMI,0)),0,IF(Table36[[#This Row],[%Absorption]]&gt;INDEX(Absmax,MATCH(Table36[[#This Row],[Grist]],SMI,0)),0,1))))</f>
        <v>-</v>
      </c>
      <c r="Y448" s="127" t="str">
        <f>IF(INDEX(Extmin,MATCH(Table36[[#This Row],[Grist]],SMI,0))="-","-",IF(Table36[[#This Row],[%Extensibility]]="-","-",IF(Table36[[#This Row],[%Extensibility]]&lt;INDEX(Extmin,MATCH(Table36[[#This Row],[Grist]],SMI,0)),0,IF(Table36[[#This Row],[%Extensibility]]&gt;INDEX(Extmax,MATCH(Table36[[#This Row],[Grist]],SMI,0)),0,1))))</f>
        <v>-</v>
      </c>
      <c r="Z448" s="127" t="str">
        <f>IF(INDEX(Resmin,MATCH(Table36[[#This Row],[Grist]],SMI,0))="-","-",IF(Table36[[#This Row],[Resistance, max]]="-","-",IF(Table36[[#This Row],[Resistance, max]]&lt;INDEX(Resmin,MATCH(Table36[[#This Row],[Grist]],SMI,0)),0,IF(Table36[[#This Row],[Resistance, max]]&gt;INDEX(Resmax,MATCH(Table36[[#This Row],[Grist]],SMI,0)),0,1))))</f>
        <v>-</v>
      </c>
      <c r="AA448" s="127" t="str">
        <f>IF(INDEX(WGmin,MATCH(Table36[[#This Row],[Grist]],SMI,0))="-","-",IF(Table36[[#This Row],[%Wet Gluten]]="-","-",IF(Table36[[#This Row],[%Wet Gluten]]&lt;INDEX(WGmin,MATCH(Table36[[#This Row],[Grist]],SMI,0)),0,IF(Table36[[#This Row],[%Wet Gluten]]&gt;INDEX(WGmax,MATCH(Table36[[#This Row],[Grist]],SMI,0)),0,1))))</f>
        <v>-</v>
      </c>
      <c r="AB448" s="127">
        <f>SUM(Table36[[#This Row],[ QI Bran Content]:[QI WG]])</f>
        <v>3</v>
      </c>
      <c r="AC448" s="127">
        <f>COUNT(Table36[[#This Row],[ QI Bran Content]:[QI WG]])</f>
        <v>4</v>
      </c>
    </row>
    <row r="449" spans="1:29" x14ac:dyDescent="0.35">
      <c r="A449" s="177">
        <v>45328</v>
      </c>
      <c r="B449" s="178">
        <v>45343</v>
      </c>
      <c r="C449" s="178" t="s">
        <v>130</v>
      </c>
      <c r="D449" s="179">
        <v>1.0416666666666701</v>
      </c>
      <c r="E449" s="180" t="s">
        <v>0</v>
      </c>
      <c r="F449" s="181" t="s">
        <v>48</v>
      </c>
      <c r="G449" s="182">
        <v>5.7999999999999996E-3</v>
      </c>
      <c r="H449" s="175" t="s">
        <v>165</v>
      </c>
      <c r="I449" s="175" t="s">
        <v>165</v>
      </c>
      <c r="J449" s="175" t="s">
        <v>165</v>
      </c>
      <c r="K449" s="175">
        <v>11.38</v>
      </c>
      <c r="L449" s="175">
        <v>10.210000000000001</v>
      </c>
      <c r="M449" s="175">
        <v>0.52</v>
      </c>
      <c r="N449" s="175">
        <v>64.2</v>
      </c>
      <c r="O449" s="175" t="s">
        <v>163</v>
      </c>
      <c r="P449" s="175" t="s">
        <v>163</v>
      </c>
      <c r="Q449" s="175">
        <v>27.12</v>
      </c>
      <c r="R449" s="127">
        <f>IF(Table36[[#This Row],[ Bran Content]]="-","-",IF(G449&lt;0.02,1,0))</f>
        <v>1</v>
      </c>
      <c r="S449" s="127">
        <f>IF(Table36[[#This Row],[Sieve Test]]="-","-",IF(Table36[[#This Row],[Sieve Test]]="P",1,0))</f>
        <v>1</v>
      </c>
      <c r="T449" s="127">
        <f>IF(Table36[[#This Row],[Odor]]="-","-",IF(Table36[[#This Row],[Odor]]="P",1,0))</f>
        <v>1</v>
      </c>
      <c r="U449" s="127" t="str">
        <f>IF(INDEX(MCmin,MATCH(Table36[[#This Row],[Grist]],SMI,0))="-","-",IF(Table36[[#This Row],[F1 %MC]]="-","-",IF(Table36[[#This Row],[F1 %MC]]&lt;INDEX(MCmin,MATCH(Table36[[#This Row],[Grist]],SMI,0)),0,IF(Table36[[#This Row],[F1 %MC]]&gt;INDEX(MCmax,MATCH(Table36[[#This Row],[Grist]],SMI,0)),0,1))))</f>
        <v>-</v>
      </c>
      <c r="V449" s="127">
        <f>IF(INDEX(Protmin,MATCH(Table36[[#This Row],[Grist]],SMI,0))="-","-",IF(Table36[[#This Row],[%Protein]]="-","-",IF(Table36[[#This Row],[%Protein]]&lt;INDEX(Protmin,MATCH(Table36[[#This Row],[Grist]],SMI,0)),0,IF(Table36[[#This Row],[%Protein]]&gt;INDEX(Protmax,MATCH(Table36[[#This Row],[Grist]],SMI,0)),0,1))))</f>
        <v>0</v>
      </c>
      <c r="W449" s="127" t="str">
        <f>IF(INDEX(Ashmin,MATCH(Table36[[#This Row],[Grist]],SMI,0))="-","-",IF(Table36[[#This Row],[%Ash]]="-","-",IF(Table36[[#This Row],[%Ash]]&lt;INDEX(Ashmin,MATCH(Table36[[#This Row],[Grist]],SMI,0)),0,IF(Table36[[#This Row],[%Ash]]&gt;INDEX(Ashmax,MATCH(Table36[[#This Row],[Grist]],SMI,0)),0,1))))</f>
        <v>-</v>
      </c>
      <c r="X449" s="127" t="str">
        <f>IF(INDEX(Absmin,MATCH(Table36[[#This Row],[Grist]],SMI,0))="-","-",IF(Table36[[#This Row],[%Absorption]]="-","-",IF(Table36[[#This Row],[%Absorption]]&lt;INDEX(Absmin,MATCH(Table36[[#This Row],[Grist]],SMI,0)),0,IF(Table36[[#This Row],[%Absorption]]&gt;INDEX(Absmax,MATCH(Table36[[#This Row],[Grist]],SMI,0)),0,1))))</f>
        <v>-</v>
      </c>
      <c r="Y449" s="127" t="str">
        <f>IF(INDEX(Extmin,MATCH(Table36[[#This Row],[Grist]],SMI,0))="-","-",IF(Table36[[#This Row],[%Extensibility]]="-","-",IF(Table36[[#This Row],[%Extensibility]]&lt;INDEX(Extmin,MATCH(Table36[[#This Row],[Grist]],SMI,0)),0,IF(Table36[[#This Row],[%Extensibility]]&gt;INDEX(Extmax,MATCH(Table36[[#This Row],[Grist]],SMI,0)),0,1))))</f>
        <v>-</v>
      </c>
      <c r="Z449" s="127" t="str">
        <f>IF(INDEX(Resmin,MATCH(Table36[[#This Row],[Grist]],SMI,0))="-","-",IF(Table36[[#This Row],[Resistance, max]]="-","-",IF(Table36[[#This Row],[Resistance, max]]&lt;INDEX(Resmin,MATCH(Table36[[#This Row],[Grist]],SMI,0)),0,IF(Table36[[#This Row],[Resistance, max]]&gt;INDEX(Resmax,MATCH(Table36[[#This Row],[Grist]],SMI,0)),0,1))))</f>
        <v>-</v>
      </c>
      <c r="AA449" s="127" t="str">
        <f>IF(INDEX(WGmin,MATCH(Table36[[#This Row],[Grist]],SMI,0))="-","-",IF(Table36[[#This Row],[%Wet Gluten]]="-","-",IF(Table36[[#This Row],[%Wet Gluten]]&lt;INDEX(WGmin,MATCH(Table36[[#This Row],[Grist]],SMI,0)),0,IF(Table36[[#This Row],[%Wet Gluten]]&gt;INDEX(WGmax,MATCH(Table36[[#This Row],[Grist]],SMI,0)),0,1))))</f>
        <v>-</v>
      </c>
      <c r="AB449" s="127">
        <f>SUM(Table36[[#This Row],[ QI Bran Content]:[QI WG]])</f>
        <v>3</v>
      </c>
      <c r="AC449" s="127">
        <f>COUNT(Table36[[#This Row],[ QI Bran Content]:[QI WG]])</f>
        <v>4</v>
      </c>
    </row>
    <row r="450" spans="1:29" x14ac:dyDescent="0.35">
      <c r="A450" s="177">
        <v>45328</v>
      </c>
      <c r="B450" s="178">
        <v>45343</v>
      </c>
      <c r="C450" s="178" t="s">
        <v>130</v>
      </c>
      <c r="D450" s="179">
        <v>1.125</v>
      </c>
      <c r="E450" s="180" t="s">
        <v>0</v>
      </c>
      <c r="F450" s="181" t="s">
        <v>48</v>
      </c>
      <c r="G450" s="182">
        <v>6.4999999999999997E-3</v>
      </c>
      <c r="H450" s="175" t="s">
        <v>165</v>
      </c>
      <c r="I450" s="175" t="s">
        <v>165</v>
      </c>
      <c r="J450" s="175" t="s">
        <v>165</v>
      </c>
      <c r="K450" s="175">
        <v>11.6</v>
      </c>
      <c r="L450" s="175">
        <v>10.210000000000001</v>
      </c>
      <c r="M450" s="175">
        <v>0.52</v>
      </c>
      <c r="N450" s="175">
        <v>64.2</v>
      </c>
      <c r="O450" s="175" t="s">
        <v>163</v>
      </c>
      <c r="P450" s="175" t="s">
        <v>163</v>
      </c>
      <c r="Q450" s="175">
        <v>27.12</v>
      </c>
      <c r="R450" s="127">
        <f>IF(Table36[[#This Row],[ Bran Content]]="-","-",IF(G450&lt;0.02,1,0))</f>
        <v>1</v>
      </c>
      <c r="S450" s="127">
        <f>IF(Table36[[#This Row],[Sieve Test]]="-","-",IF(Table36[[#This Row],[Sieve Test]]="P",1,0))</f>
        <v>1</v>
      </c>
      <c r="T450" s="127">
        <f>IF(Table36[[#This Row],[Odor]]="-","-",IF(Table36[[#This Row],[Odor]]="P",1,0))</f>
        <v>1</v>
      </c>
      <c r="U450" s="127" t="str">
        <f>IF(INDEX(MCmin,MATCH(Table36[[#This Row],[Grist]],SMI,0))="-","-",IF(Table36[[#This Row],[F1 %MC]]="-","-",IF(Table36[[#This Row],[F1 %MC]]&lt;INDEX(MCmin,MATCH(Table36[[#This Row],[Grist]],SMI,0)),0,IF(Table36[[#This Row],[F1 %MC]]&gt;INDEX(MCmax,MATCH(Table36[[#This Row],[Grist]],SMI,0)),0,1))))</f>
        <v>-</v>
      </c>
      <c r="V450" s="127">
        <f>IF(INDEX(Protmin,MATCH(Table36[[#This Row],[Grist]],SMI,0))="-","-",IF(Table36[[#This Row],[%Protein]]="-","-",IF(Table36[[#This Row],[%Protein]]&lt;INDEX(Protmin,MATCH(Table36[[#This Row],[Grist]],SMI,0)),0,IF(Table36[[#This Row],[%Protein]]&gt;INDEX(Protmax,MATCH(Table36[[#This Row],[Grist]],SMI,0)),0,1))))</f>
        <v>0</v>
      </c>
      <c r="W450" s="127" t="str">
        <f>IF(INDEX(Ashmin,MATCH(Table36[[#This Row],[Grist]],SMI,0))="-","-",IF(Table36[[#This Row],[%Ash]]="-","-",IF(Table36[[#This Row],[%Ash]]&lt;INDEX(Ashmin,MATCH(Table36[[#This Row],[Grist]],SMI,0)),0,IF(Table36[[#This Row],[%Ash]]&gt;INDEX(Ashmax,MATCH(Table36[[#This Row],[Grist]],SMI,0)),0,1))))</f>
        <v>-</v>
      </c>
      <c r="X450" s="127" t="str">
        <f>IF(INDEX(Absmin,MATCH(Table36[[#This Row],[Grist]],SMI,0))="-","-",IF(Table36[[#This Row],[%Absorption]]="-","-",IF(Table36[[#This Row],[%Absorption]]&lt;INDEX(Absmin,MATCH(Table36[[#This Row],[Grist]],SMI,0)),0,IF(Table36[[#This Row],[%Absorption]]&gt;INDEX(Absmax,MATCH(Table36[[#This Row],[Grist]],SMI,0)),0,1))))</f>
        <v>-</v>
      </c>
      <c r="Y450" s="127" t="str">
        <f>IF(INDEX(Extmin,MATCH(Table36[[#This Row],[Grist]],SMI,0))="-","-",IF(Table36[[#This Row],[%Extensibility]]="-","-",IF(Table36[[#This Row],[%Extensibility]]&lt;INDEX(Extmin,MATCH(Table36[[#This Row],[Grist]],SMI,0)),0,IF(Table36[[#This Row],[%Extensibility]]&gt;INDEX(Extmax,MATCH(Table36[[#This Row],[Grist]],SMI,0)),0,1))))</f>
        <v>-</v>
      </c>
      <c r="Z450" s="127" t="str">
        <f>IF(INDEX(Resmin,MATCH(Table36[[#This Row],[Grist]],SMI,0))="-","-",IF(Table36[[#This Row],[Resistance, max]]="-","-",IF(Table36[[#This Row],[Resistance, max]]&lt;INDEX(Resmin,MATCH(Table36[[#This Row],[Grist]],SMI,0)),0,IF(Table36[[#This Row],[Resistance, max]]&gt;INDEX(Resmax,MATCH(Table36[[#This Row],[Grist]],SMI,0)),0,1))))</f>
        <v>-</v>
      </c>
      <c r="AA450" s="127" t="str">
        <f>IF(INDEX(WGmin,MATCH(Table36[[#This Row],[Grist]],SMI,0))="-","-",IF(Table36[[#This Row],[%Wet Gluten]]="-","-",IF(Table36[[#This Row],[%Wet Gluten]]&lt;INDEX(WGmin,MATCH(Table36[[#This Row],[Grist]],SMI,0)),0,IF(Table36[[#This Row],[%Wet Gluten]]&gt;INDEX(WGmax,MATCH(Table36[[#This Row],[Grist]],SMI,0)),0,1))))</f>
        <v>-</v>
      </c>
      <c r="AB450" s="127">
        <f>SUM(Table36[[#This Row],[ QI Bran Content]:[QI WG]])</f>
        <v>3</v>
      </c>
      <c r="AC450" s="127">
        <f>COUNT(Table36[[#This Row],[ QI Bran Content]:[QI WG]])</f>
        <v>4</v>
      </c>
    </row>
    <row r="451" spans="1:29" x14ac:dyDescent="0.35">
      <c r="A451" s="177">
        <v>45328</v>
      </c>
      <c r="B451" s="178">
        <v>45343</v>
      </c>
      <c r="C451" s="178" t="s">
        <v>130</v>
      </c>
      <c r="D451" s="179">
        <v>1.2083333333333299</v>
      </c>
      <c r="E451" s="180" t="s">
        <v>0</v>
      </c>
      <c r="F451" s="181" t="s">
        <v>48</v>
      </c>
      <c r="G451" s="182">
        <v>9.1000000000000004E-3</v>
      </c>
      <c r="H451" s="175" t="s">
        <v>165</v>
      </c>
      <c r="I451" s="175" t="s">
        <v>165</v>
      </c>
      <c r="J451" s="175" t="s">
        <v>165</v>
      </c>
      <c r="K451" s="175">
        <v>11.63</v>
      </c>
      <c r="L451" s="175">
        <v>10.210000000000001</v>
      </c>
      <c r="M451" s="175">
        <v>0.52</v>
      </c>
      <c r="N451" s="175">
        <v>64.2</v>
      </c>
      <c r="O451" s="175" t="s">
        <v>163</v>
      </c>
      <c r="P451" s="175" t="s">
        <v>163</v>
      </c>
      <c r="Q451" s="175">
        <v>27.12</v>
      </c>
      <c r="R451" s="127">
        <f>IF(Table36[[#This Row],[ Bran Content]]="-","-",IF(G451&lt;0.02,1,0))</f>
        <v>1</v>
      </c>
      <c r="S451" s="127">
        <f>IF(Table36[[#This Row],[Sieve Test]]="-","-",IF(Table36[[#This Row],[Sieve Test]]="P",1,0))</f>
        <v>1</v>
      </c>
      <c r="T451" s="127">
        <f>IF(Table36[[#This Row],[Odor]]="-","-",IF(Table36[[#This Row],[Odor]]="P",1,0))</f>
        <v>1</v>
      </c>
      <c r="U451" s="127" t="str">
        <f>IF(INDEX(MCmin,MATCH(Table36[[#This Row],[Grist]],SMI,0))="-","-",IF(Table36[[#This Row],[F1 %MC]]="-","-",IF(Table36[[#This Row],[F1 %MC]]&lt;INDEX(MCmin,MATCH(Table36[[#This Row],[Grist]],SMI,0)),0,IF(Table36[[#This Row],[F1 %MC]]&gt;INDEX(MCmax,MATCH(Table36[[#This Row],[Grist]],SMI,0)),0,1))))</f>
        <v>-</v>
      </c>
      <c r="V451" s="127">
        <f>IF(INDEX(Protmin,MATCH(Table36[[#This Row],[Grist]],SMI,0))="-","-",IF(Table36[[#This Row],[%Protein]]="-","-",IF(Table36[[#This Row],[%Protein]]&lt;INDEX(Protmin,MATCH(Table36[[#This Row],[Grist]],SMI,0)),0,IF(Table36[[#This Row],[%Protein]]&gt;INDEX(Protmax,MATCH(Table36[[#This Row],[Grist]],SMI,0)),0,1))))</f>
        <v>0</v>
      </c>
      <c r="W451" s="127" t="str">
        <f>IF(INDEX(Ashmin,MATCH(Table36[[#This Row],[Grist]],SMI,0))="-","-",IF(Table36[[#This Row],[%Ash]]="-","-",IF(Table36[[#This Row],[%Ash]]&lt;INDEX(Ashmin,MATCH(Table36[[#This Row],[Grist]],SMI,0)),0,IF(Table36[[#This Row],[%Ash]]&gt;INDEX(Ashmax,MATCH(Table36[[#This Row],[Grist]],SMI,0)),0,1))))</f>
        <v>-</v>
      </c>
      <c r="X451" s="127" t="str">
        <f>IF(INDEX(Absmin,MATCH(Table36[[#This Row],[Grist]],SMI,0))="-","-",IF(Table36[[#This Row],[%Absorption]]="-","-",IF(Table36[[#This Row],[%Absorption]]&lt;INDEX(Absmin,MATCH(Table36[[#This Row],[Grist]],SMI,0)),0,IF(Table36[[#This Row],[%Absorption]]&gt;INDEX(Absmax,MATCH(Table36[[#This Row],[Grist]],SMI,0)),0,1))))</f>
        <v>-</v>
      </c>
      <c r="Y451" s="127" t="str">
        <f>IF(INDEX(Extmin,MATCH(Table36[[#This Row],[Grist]],SMI,0))="-","-",IF(Table36[[#This Row],[%Extensibility]]="-","-",IF(Table36[[#This Row],[%Extensibility]]&lt;INDEX(Extmin,MATCH(Table36[[#This Row],[Grist]],SMI,0)),0,IF(Table36[[#This Row],[%Extensibility]]&gt;INDEX(Extmax,MATCH(Table36[[#This Row],[Grist]],SMI,0)),0,1))))</f>
        <v>-</v>
      </c>
      <c r="Z451" s="127" t="str">
        <f>IF(INDEX(Resmin,MATCH(Table36[[#This Row],[Grist]],SMI,0))="-","-",IF(Table36[[#This Row],[Resistance, max]]="-","-",IF(Table36[[#This Row],[Resistance, max]]&lt;INDEX(Resmin,MATCH(Table36[[#This Row],[Grist]],SMI,0)),0,IF(Table36[[#This Row],[Resistance, max]]&gt;INDEX(Resmax,MATCH(Table36[[#This Row],[Grist]],SMI,0)),0,1))))</f>
        <v>-</v>
      </c>
      <c r="AA451" s="127" t="str">
        <f>IF(INDEX(WGmin,MATCH(Table36[[#This Row],[Grist]],SMI,0))="-","-",IF(Table36[[#This Row],[%Wet Gluten]]="-","-",IF(Table36[[#This Row],[%Wet Gluten]]&lt;INDEX(WGmin,MATCH(Table36[[#This Row],[Grist]],SMI,0)),0,IF(Table36[[#This Row],[%Wet Gluten]]&gt;INDEX(WGmax,MATCH(Table36[[#This Row],[Grist]],SMI,0)),0,1))))</f>
        <v>-</v>
      </c>
      <c r="AB451" s="127">
        <f>SUM(Table36[[#This Row],[ QI Bran Content]:[QI WG]])</f>
        <v>3</v>
      </c>
      <c r="AC451" s="127">
        <f>COUNT(Table36[[#This Row],[ QI Bran Content]:[QI WG]])</f>
        <v>4</v>
      </c>
    </row>
    <row r="452" spans="1:29" x14ac:dyDescent="0.35">
      <c r="A452" s="177">
        <v>45328</v>
      </c>
      <c r="B452" s="178">
        <v>45344</v>
      </c>
      <c r="C452" s="178" t="s">
        <v>128</v>
      </c>
      <c r="D452" s="179">
        <v>0.70833333333333304</v>
      </c>
      <c r="E452" s="180" t="s">
        <v>0</v>
      </c>
      <c r="F452" s="181" t="s">
        <v>27</v>
      </c>
      <c r="G452" s="182">
        <v>3.5999999999999999E-3</v>
      </c>
      <c r="H452" s="175" t="s">
        <v>165</v>
      </c>
      <c r="I452" s="175" t="s">
        <v>165</v>
      </c>
      <c r="J452" s="175" t="s">
        <v>165</v>
      </c>
      <c r="K452" s="175">
        <v>12.1</v>
      </c>
      <c r="L452" s="175">
        <v>12.72</v>
      </c>
      <c r="M452" s="175">
        <v>0.56999999999999995</v>
      </c>
      <c r="N452" s="175">
        <v>64.7</v>
      </c>
      <c r="O452" s="175" t="s">
        <v>163</v>
      </c>
      <c r="P452" s="175" t="s">
        <v>163</v>
      </c>
      <c r="Q452" s="175">
        <v>36.25</v>
      </c>
      <c r="R452" s="127">
        <f>IF(Table36[[#This Row],[ Bran Content]]="-","-",IF(G452&lt;0.02,1,0))</f>
        <v>1</v>
      </c>
      <c r="S452" s="127">
        <f>IF(Table36[[#This Row],[Sieve Test]]="-","-",IF(Table36[[#This Row],[Sieve Test]]="P",1,0))</f>
        <v>1</v>
      </c>
      <c r="T452" s="127">
        <f>IF(Table36[[#This Row],[Odor]]="-","-",IF(Table36[[#This Row],[Odor]]="P",1,0))</f>
        <v>1</v>
      </c>
      <c r="U452" s="127">
        <f>IF(INDEX(MCmin,MATCH(Table36[[#This Row],[Grist]],SMI,0))="-","-",IF(Table36[[#This Row],[F1 %MC]]="-","-",IF(Table36[[#This Row],[F1 %MC]]&lt;INDEX(MCmin,MATCH(Table36[[#This Row],[Grist]],SMI,0)),0,IF(Table36[[#This Row],[F1 %MC]]&gt;INDEX(MCmax,MATCH(Table36[[#This Row],[Grist]],SMI,0)),0,1))))</f>
        <v>1</v>
      </c>
      <c r="V452" s="127">
        <f>IF(INDEX(Protmin,MATCH(Table36[[#This Row],[Grist]],SMI,0))="-","-",IF(Table36[[#This Row],[%Protein]]="-","-",IF(Table36[[#This Row],[%Protein]]&lt;INDEX(Protmin,MATCH(Table36[[#This Row],[Grist]],SMI,0)),0,IF(Table36[[#This Row],[%Protein]]&gt;INDEX(Protmax,MATCH(Table36[[#This Row],[Grist]],SMI,0)),0,1))))</f>
        <v>1</v>
      </c>
      <c r="W452" s="127">
        <f>IF(INDEX(Ashmin,MATCH(Table36[[#This Row],[Grist]],SMI,0))="-","-",IF(Table36[[#This Row],[%Ash]]="-","-",IF(Table36[[#This Row],[%Ash]]&lt;INDEX(Ashmin,MATCH(Table36[[#This Row],[Grist]],SMI,0)),0,IF(Table36[[#This Row],[%Ash]]&gt;INDEX(Ashmax,MATCH(Table36[[#This Row],[Grist]],SMI,0)),0,1))))</f>
        <v>1</v>
      </c>
      <c r="X452" s="127">
        <f>IF(INDEX(Absmin,MATCH(Table36[[#This Row],[Grist]],SMI,0))="-","-",IF(Table36[[#This Row],[%Absorption]]="-","-",IF(Table36[[#This Row],[%Absorption]]&lt;INDEX(Absmin,MATCH(Table36[[#This Row],[Grist]],SMI,0)),0,IF(Table36[[#This Row],[%Absorption]]&gt;INDEX(Absmax,MATCH(Table36[[#This Row],[Grist]],SMI,0)),0,1))))</f>
        <v>1</v>
      </c>
      <c r="Y452" s="127" t="str">
        <f>IF(INDEX(Extmin,MATCH(Table36[[#This Row],[Grist]],SMI,0))="-","-",IF(Table36[[#This Row],[%Extensibility]]="-","-",IF(Table36[[#This Row],[%Extensibility]]&lt;INDEX(Extmin,MATCH(Table36[[#This Row],[Grist]],SMI,0)),0,IF(Table36[[#This Row],[%Extensibility]]&gt;INDEX(Extmax,MATCH(Table36[[#This Row],[Grist]],SMI,0)),0,1))))</f>
        <v>-</v>
      </c>
      <c r="Z452" s="127" t="str">
        <f>IF(INDEX(Resmin,MATCH(Table36[[#This Row],[Grist]],SMI,0))="-","-",IF(Table36[[#This Row],[Resistance, max]]="-","-",IF(Table36[[#This Row],[Resistance, max]]&lt;INDEX(Resmin,MATCH(Table36[[#This Row],[Grist]],SMI,0)),0,IF(Table36[[#This Row],[Resistance, max]]&gt;INDEX(Resmax,MATCH(Table36[[#This Row],[Grist]],SMI,0)),0,1))))</f>
        <v>-</v>
      </c>
      <c r="AA452" s="127">
        <f>IF(INDEX(WGmin,MATCH(Table36[[#This Row],[Grist]],SMI,0))="-","-",IF(Table36[[#This Row],[%Wet Gluten]]="-","-",IF(Table36[[#This Row],[%Wet Gluten]]&lt;INDEX(WGmin,MATCH(Table36[[#This Row],[Grist]],SMI,0)),0,IF(Table36[[#This Row],[%Wet Gluten]]&gt;INDEX(WGmax,MATCH(Table36[[#This Row],[Grist]],SMI,0)),0,1))))</f>
        <v>1</v>
      </c>
      <c r="AB452" s="127">
        <f>SUM(Table36[[#This Row],[ QI Bran Content]:[QI WG]])</f>
        <v>8</v>
      </c>
      <c r="AC452" s="127">
        <f>COUNT(Table36[[#This Row],[ QI Bran Content]:[QI WG]])</f>
        <v>8</v>
      </c>
    </row>
    <row r="453" spans="1:29" x14ac:dyDescent="0.35">
      <c r="A453" s="177">
        <v>45328</v>
      </c>
      <c r="B453" s="178">
        <v>45344</v>
      </c>
      <c r="C453" s="178" t="s">
        <v>128</v>
      </c>
      <c r="D453" s="179">
        <v>0.79166666666666596</v>
      </c>
      <c r="E453" s="180" t="s">
        <v>0</v>
      </c>
      <c r="F453" s="181" t="s">
        <v>27</v>
      </c>
      <c r="G453" s="182">
        <v>6.4999999999999997E-3</v>
      </c>
      <c r="H453" s="175" t="s">
        <v>165</v>
      </c>
      <c r="I453" s="175" t="s">
        <v>165</v>
      </c>
      <c r="J453" s="175" t="s">
        <v>165</v>
      </c>
      <c r="K453" s="175">
        <v>12.73</v>
      </c>
      <c r="L453" s="175">
        <v>12.72</v>
      </c>
      <c r="M453" s="175">
        <v>0.56999999999999995</v>
      </c>
      <c r="N453" s="175">
        <v>64.7</v>
      </c>
      <c r="O453" s="175" t="s">
        <v>163</v>
      </c>
      <c r="P453" s="175" t="s">
        <v>163</v>
      </c>
      <c r="Q453" s="175">
        <v>36.25</v>
      </c>
      <c r="R453" s="127">
        <f>IF(Table36[[#This Row],[ Bran Content]]="-","-",IF(G453&lt;0.02,1,0))</f>
        <v>1</v>
      </c>
      <c r="S453" s="127">
        <f>IF(Table36[[#This Row],[Sieve Test]]="-","-",IF(Table36[[#This Row],[Sieve Test]]="P",1,0))</f>
        <v>1</v>
      </c>
      <c r="T453" s="127">
        <f>IF(Table36[[#This Row],[Odor]]="-","-",IF(Table36[[#This Row],[Odor]]="P",1,0))</f>
        <v>1</v>
      </c>
      <c r="U453" s="127">
        <f>IF(INDEX(MCmin,MATCH(Table36[[#This Row],[Grist]],SMI,0))="-","-",IF(Table36[[#This Row],[F1 %MC]]="-","-",IF(Table36[[#This Row],[F1 %MC]]&lt;INDEX(MCmin,MATCH(Table36[[#This Row],[Grist]],SMI,0)),0,IF(Table36[[#This Row],[F1 %MC]]&gt;INDEX(MCmax,MATCH(Table36[[#This Row],[Grist]],SMI,0)),0,1))))</f>
        <v>1</v>
      </c>
      <c r="V453" s="127">
        <f>IF(INDEX(Protmin,MATCH(Table36[[#This Row],[Grist]],SMI,0))="-","-",IF(Table36[[#This Row],[%Protein]]="-","-",IF(Table36[[#This Row],[%Protein]]&lt;INDEX(Protmin,MATCH(Table36[[#This Row],[Grist]],SMI,0)),0,IF(Table36[[#This Row],[%Protein]]&gt;INDEX(Protmax,MATCH(Table36[[#This Row],[Grist]],SMI,0)),0,1))))</f>
        <v>1</v>
      </c>
      <c r="W453" s="127">
        <f>IF(INDEX(Ashmin,MATCH(Table36[[#This Row],[Grist]],SMI,0))="-","-",IF(Table36[[#This Row],[%Ash]]="-","-",IF(Table36[[#This Row],[%Ash]]&lt;INDEX(Ashmin,MATCH(Table36[[#This Row],[Grist]],SMI,0)),0,IF(Table36[[#This Row],[%Ash]]&gt;INDEX(Ashmax,MATCH(Table36[[#This Row],[Grist]],SMI,0)),0,1))))</f>
        <v>1</v>
      </c>
      <c r="X453" s="127">
        <f>IF(INDEX(Absmin,MATCH(Table36[[#This Row],[Grist]],SMI,0))="-","-",IF(Table36[[#This Row],[%Absorption]]="-","-",IF(Table36[[#This Row],[%Absorption]]&lt;INDEX(Absmin,MATCH(Table36[[#This Row],[Grist]],SMI,0)),0,IF(Table36[[#This Row],[%Absorption]]&gt;INDEX(Absmax,MATCH(Table36[[#This Row],[Grist]],SMI,0)),0,1))))</f>
        <v>1</v>
      </c>
      <c r="Y453" s="127" t="str">
        <f>IF(INDEX(Extmin,MATCH(Table36[[#This Row],[Grist]],SMI,0))="-","-",IF(Table36[[#This Row],[%Extensibility]]="-","-",IF(Table36[[#This Row],[%Extensibility]]&lt;INDEX(Extmin,MATCH(Table36[[#This Row],[Grist]],SMI,0)),0,IF(Table36[[#This Row],[%Extensibility]]&gt;INDEX(Extmax,MATCH(Table36[[#This Row],[Grist]],SMI,0)),0,1))))</f>
        <v>-</v>
      </c>
      <c r="Z453" s="127" t="str">
        <f>IF(INDEX(Resmin,MATCH(Table36[[#This Row],[Grist]],SMI,0))="-","-",IF(Table36[[#This Row],[Resistance, max]]="-","-",IF(Table36[[#This Row],[Resistance, max]]&lt;INDEX(Resmin,MATCH(Table36[[#This Row],[Grist]],SMI,0)),0,IF(Table36[[#This Row],[Resistance, max]]&gt;INDEX(Resmax,MATCH(Table36[[#This Row],[Grist]],SMI,0)),0,1))))</f>
        <v>-</v>
      </c>
      <c r="AA453" s="127">
        <f>IF(INDEX(WGmin,MATCH(Table36[[#This Row],[Grist]],SMI,0))="-","-",IF(Table36[[#This Row],[%Wet Gluten]]="-","-",IF(Table36[[#This Row],[%Wet Gluten]]&lt;INDEX(WGmin,MATCH(Table36[[#This Row],[Grist]],SMI,0)),0,IF(Table36[[#This Row],[%Wet Gluten]]&gt;INDEX(WGmax,MATCH(Table36[[#This Row],[Grist]],SMI,0)),0,1))))</f>
        <v>1</v>
      </c>
      <c r="AB453" s="127">
        <f>SUM(Table36[[#This Row],[ QI Bran Content]:[QI WG]])</f>
        <v>8</v>
      </c>
      <c r="AC453" s="127">
        <f>COUNT(Table36[[#This Row],[ QI Bran Content]:[QI WG]])</f>
        <v>8</v>
      </c>
    </row>
    <row r="454" spans="1:29" x14ac:dyDescent="0.35">
      <c r="A454" s="177">
        <v>45328</v>
      </c>
      <c r="B454" s="178">
        <v>45344</v>
      </c>
      <c r="C454" s="178" t="s">
        <v>128</v>
      </c>
      <c r="D454" s="179">
        <v>0.874999999999999</v>
      </c>
      <c r="E454" s="180" t="s">
        <v>0</v>
      </c>
      <c r="F454" s="181" t="s">
        <v>27</v>
      </c>
      <c r="G454" s="182">
        <v>7.7000000000000002E-3</v>
      </c>
      <c r="H454" s="175" t="s">
        <v>165</v>
      </c>
      <c r="I454" s="175" t="s">
        <v>165</v>
      </c>
      <c r="J454" s="175" t="s">
        <v>165</v>
      </c>
      <c r="K454" s="175">
        <v>12.45</v>
      </c>
      <c r="L454" s="175">
        <v>12.72</v>
      </c>
      <c r="M454" s="175">
        <v>0.56999999999999995</v>
      </c>
      <c r="N454" s="175">
        <v>64.7</v>
      </c>
      <c r="O454" s="175" t="s">
        <v>163</v>
      </c>
      <c r="P454" s="175" t="s">
        <v>163</v>
      </c>
      <c r="Q454" s="175">
        <v>36.25</v>
      </c>
      <c r="R454" s="127">
        <f>IF(Table36[[#This Row],[ Bran Content]]="-","-",IF(G454&lt;0.02,1,0))</f>
        <v>1</v>
      </c>
      <c r="S454" s="127">
        <f>IF(Table36[[#This Row],[Sieve Test]]="-","-",IF(Table36[[#This Row],[Sieve Test]]="P",1,0))</f>
        <v>1</v>
      </c>
      <c r="T454" s="127">
        <f>IF(Table36[[#This Row],[Odor]]="-","-",IF(Table36[[#This Row],[Odor]]="P",1,0))</f>
        <v>1</v>
      </c>
      <c r="U454" s="127">
        <f>IF(INDEX(MCmin,MATCH(Table36[[#This Row],[Grist]],SMI,0))="-","-",IF(Table36[[#This Row],[F1 %MC]]="-","-",IF(Table36[[#This Row],[F1 %MC]]&lt;INDEX(MCmin,MATCH(Table36[[#This Row],[Grist]],SMI,0)),0,IF(Table36[[#This Row],[F1 %MC]]&gt;INDEX(MCmax,MATCH(Table36[[#This Row],[Grist]],SMI,0)),0,1))))</f>
        <v>1</v>
      </c>
      <c r="V454" s="127">
        <f>IF(INDEX(Protmin,MATCH(Table36[[#This Row],[Grist]],SMI,0))="-","-",IF(Table36[[#This Row],[%Protein]]="-","-",IF(Table36[[#This Row],[%Protein]]&lt;INDEX(Protmin,MATCH(Table36[[#This Row],[Grist]],SMI,0)),0,IF(Table36[[#This Row],[%Protein]]&gt;INDEX(Protmax,MATCH(Table36[[#This Row],[Grist]],SMI,0)),0,1))))</f>
        <v>1</v>
      </c>
      <c r="W454" s="127">
        <f>IF(INDEX(Ashmin,MATCH(Table36[[#This Row],[Grist]],SMI,0))="-","-",IF(Table36[[#This Row],[%Ash]]="-","-",IF(Table36[[#This Row],[%Ash]]&lt;INDEX(Ashmin,MATCH(Table36[[#This Row],[Grist]],SMI,0)),0,IF(Table36[[#This Row],[%Ash]]&gt;INDEX(Ashmax,MATCH(Table36[[#This Row],[Grist]],SMI,0)),0,1))))</f>
        <v>1</v>
      </c>
      <c r="X454" s="127">
        <f>IF(INDEX(Absmin,MATCH(Table36[[#This Row],[Grist]],SMI,0))="-","-",IF(Table36[[#This Row],[%Absorption]]="-","-",IF(Table36[[#This Row],[%Absorption]]&lt;INDEX(Absmin,MATCH(Table36[[#This Row],[Grist]],SMI,0)),0,IF(Table36[[#This Row],[%Absorption]]&gt;INDEX(Absmax,MATCH(Table36[[#This Row],[Grist]],SMI,0)),0,1))))</f>
        <v>1</v>
      </c>
      <c r="Y454" s="127" t="str">
        <f>IF(INDEX(Extmin,MATCH(Table36[[#This Row],[Grist]],SMI,0))="-","-",IF(Table36[[#This Row],[%Extensibility]]="-","-",IF(Table36[[#This Row],[%Extensibility]]&lt;INDEX(Extmin,MATCH(Table36[[#This Row],[Grist]],SMI,0)),0,IF(Table36[[#This Row],[%Extensibility]]&gt;INDEX(Extmax,MATCH(Table36[[#This Row],[Grist]],SMI,0)),0,1))))</f>
        <v>-</v>
      </c>
      <c r="Z454" s="127" t="str">
        <f>IF(INDEX(Resmin,MATCH(Table36[[#This Row],[Grist]],SMI,0))="-","-",IF(Table36[[#This Row],[Resistance, max]]="-","-",IF(Table36[[#This Row],[Resistance, max]]&lt;INDEX(Resmin,MATCH(Table36[[#This Row],[Grist]],SMI,0)),0,IF(Table36[[#This Row],[Resistance, max]]&gt;INDEX(Resmax,MATCH(Table36[[#This Row],[Grist]],SMI,0)),0,1))))</f>
        <v>-</v>
      </c>
      <c r="AA454" s="127">
        <f>IF(INDEX(WGmin,MATCH(Table36[[#This Row],[Grist]],SMI,0))="-","-",IF(Table36[[#This Row],[%Wet Gluten]]="-","-",IF(Table36[[#This Row],[%Wet Gluten]]&lt;INDEX(WGmin,MATCH(Table36[[#This Row],[Grist]],SMI,0)),0,IF(Table36[[#This Row],[%Wet Gluten]]&gt;INDEX(WGmax,MATCH(Table36[[#This Row],[Grist]],SMI,0)),0,1))))</f>
        <v>1</v>
      </c>
      <c r="AB454" s="127">
        <f>SUM(Table36[[#This Row],[ QI Bran Content]:[QI WG]])</f>
        <v>8</v>
      </c>
      <c r="AC454" s="127">
        <f>COUNT(Table36[[#This Row],[ QI Bran Content]:[QI WG]])</f>
        <v>8</v>
      </c>
    </row>
    <row r="455" spans="1:29" x14ac:dyDescent="0.35">
      <c r="A455" s="177">
        <v>45328</v>
      </c>
      <c r="B455" s="178">
        <v>45344</v>
      </c>
      <c r="C455" s="178" t="s">
        <v>130</v>
      </c>
      <c r="D455" s="179">
        <v>0.95833333333333337</v>
      </c>
      <c r="E455" s="180" t="s">
        <v>0</v>
      </c>
      <c r="F455" s="181" t="s">
        <v>27</v>
      </c>
      <c r="G455" s="182">
        <v>5.1000000000000004E-3</v>
      </c>
      <c r="H455" s="175" t="s">
        <v>165</v>
      </c>
      <c r="I455" s="175" t="s">
        <v>165</v>
      </c>
      <c r="J455" s="175" t="s">
        <v>165</v>
      </c>
      <c r="K455" s="175">
        <v>11.09</v>
      </c>
      <c r="L455" s="175">
        <v>13.5</v>
      </c>
      <c r="M455" s="175">
        <v>0.62</v>
      </c>
      <c r="N455" s="175">
        <v>66.400000000000006</v>
      </c>
      <c r="O455" s="175" t="s">
        <v>163</v>
      </c>
      <c r="P455" s="175" t="s">
        <v>163</v>
      </c>
      <c r="Q455" s="175">
        <v>37.74</v>
      </c>
      <c r="R455" s="127">
        <f>IF(Table36[[#This Row],[ Bran Content]]="-","-",IF(G455&lt;0.02,1,0))</f>
        <v>1</v>
      </c>
      <c r="S455" s="127">
        <f>IF(Table36[[#This Row],[Sieve Test]]="-","-",IF(Table36[[#This Row],[Sieve Test]]="P",1,0))</f>
        <v>1</v>
      </c>
      <c r="T455" s="127">
        <f>IF(Table36[[#This Row],[Odor]]="-","-",IF(Table36[[#This Row],[Odor]]="P",1,0))</f>
        <v>1</v>
      </c>
      <c r="U455" s="127">
        <f>IF(INDEX(MCmin,MATCH(Table36[[#This Row],[Grist]],SMI,0))="-","-",IF(Table36[[#This Row],[F1 %MC]]="-","-",IF(Table36[[#This Row],[F1 %MC]]&lt;INDEX(MCmin,MATCH(Table36[[#This Row],[Grist]],SMI,0)),0,IF(Table36[[#This Row],[F1 %MC]]&gt;INDEX(MCmax,MATCH(Table36[[#This Row],[Grist]],SMI,0)),0,1))))</f>
        <v>0</v>
      </c>
      <c r="V455" s="127">
        <f>IF(INDEX(Protmin,MATCH(Table36[[#This Row],[Grist]],SMI,0))="-","-",IF(Table36[[#This Row],[%Protein]]="-","-",IF(Table36[[#This Row],[%Protein]]&lt;INDEX(Protmin,MATCH(Table36[[#This Row],[Grist]],SMI,0)),0,IF(Table36[[#This Row],[%Protein]]&gt;INDEX(Protmax,MATCH(Table36[[#This Row],[Grist]],SMI,0)),0,1))))</f>
        <v>1</v>
      </c>
      <c r="W455" s="127">
        <f>IF(INDEX(Ashmin,MATCH(Table36[[#This Row],[Grist]],SMI,0))="-","-",IF(Table36[[#This Row],[%Ash]]="-","-",IF(Table36[[#This Row],[%Ash]]&lt;INDEX(Ashmin,MATCH(Table36[[#This Row],[Grist]],SMI,0)),0,IF(Table36[[#This Row],[%Ash]]&gt;INDEX(Ashmax,MATCH(Table36[[#This Row],[Grist]],SMI,0)),0,1))))</f>
        <v>1</v>
      </c>
      <c r="X455" s="127">
        <f>IF(INDEX(Absmin,MATCH(Table36[[#This Row],[Grist]],SMI,0))="-","-",IF(Table36[[#This Row],[%Absorption]]="-","-",IF(Table36[[#This Row],[%Absorption]]&lt;INDEX(Absmin,MATCH(Table36[[#This Row],[Grist]],SMI,0)),0,IF(Table36[[#This Row],[%Absorption]]&gt;INDEX(Absmax,MATCH(Table36[[#This Row],[Grist]],SMI,0)),0,1))))</f>
        <v>1</v>
      </c>
      <c r="Y455" s="127" t="str">
        <f>IF(INDEX(Extmin,MATCH(Table36[[#This Row],[Grist]],SMI,0))="-","-",IF(Table36[[#This Row],[%Extensibility]]="-","-",IF(Table36[[#This Row],[%Extensibility]]&lt;INDEX(Extmin,MATCH(Table36[[#This Row],[Grist]],SMI,0)),0,IF(Table36[[#This Row],[%Extensibility]]&gt;INDEX(Extmax,MATCH(Table36[[#This Row],[Grist]],SMI,0)),0,1))))</f>
        <v>-</v>
      </c>
      <c r="Z455" s="127" t="str">
        <f>IF(INDEX(Resmin,MATCH(Table36[[#This Row],[Grist]],SMI,0))="-","-",IF(Table36[[#This Row],[Resistance, max]]="-","-",IF(Table36[[#This Row],[Resistance, max]]&lt;INDEX(Resmin,MATCH(Table36[[#This Row],[Grist]],SMI,0)),0,IF(Table36[[#This Row],[Resistance, max]]&gt;INDEX(Resmax,MATCH(Table36[[#This Row],[Grist]],SMI,0)),0,1))))</f>
        <v>-</v>
      </c>
      <c r="AA455" s="127">
        <f>IF(INDEX(WGmin,MATCH(Table36[[#This Row],[Grist]],SMI,0))="-","-",IF(Table36[[#This Row],[%Wet Gluten]]="-","-",IF(Table36[[#This Row],[%Wet Gluten]]&lt;INDEX(WGmin,MATCH(Table36[[#This Row],[Grist]],SMI,0)),0,IF(Table36[[#This Row],[%Wet Gluten]]&gt;INDEX(WGmax,MATCH(Table36[[#This Row],[Grist]],SMI,0)),0,1))))</f>
        <v>1</v>
      </c>
      <c r="AB455" s="127">
        <f>SUM(Table36[[#This Row],[ QI Bran Content]:[QI WG]])</f>
        <v>7</v>
      </c>
      <c r="AC455" s="127">
        <f>COUNT(Table36[[#This Row],[ QI Bran Content]:[QI WG]])</f>
        <v>8</v>
      </c>
    </row>
    <row r="456" spans="1:29" x14ac:dyDescent="0.35">
      <c r="A456" s="177">
        <v>45328</v>
      </c>
      <c r="B456" s="178">
        <v>45344</v>
      </c>
      <c r="C456" s="178" t="s">
        <v>130</v>
      </c>
      <c r="D456" s="179">
        <v>1.0416666666666701</v>
      </c>
      <c r="E456" s="180" t="s">
        <v>0</v>
      </c>
      <c r="F456" s="181" t="s">
        <v>27</v>
      </c>
      <c r="G456" s="182">
        <v>9.2999999999999992E-3</v>
      </c>
      <c r="H456" s="175" t="s">
        <v>165</v>
      </c>
      <c r="I456" s="175" t="s">
        <v>165</v>
      </c>
      <c r="J456" s="175" t="s">
        <v>165</v>
      </c>
      <c r="K456" s="175">
        <v>11.6</v>
      </c>
      <c r="L456" s="175">
        <v>13.5</v>
      </c>
      <c r="M456" s="175">
        <v>0.62</v>
      </c>
      <c r="N456" s="175">
        <v>66.400000000000006</v>
      </c>
      <c r="O456" s="175" t="s">
        <v>163</v>
      </c>
      <c r="P456" s="175" t="s">
        <v>163</v>
      </c>
      <c r="Q456" s="175">
        <v>37.74</v>
      </c>
      <c r="R456" s="127">
        <f>IF(Table36[[#This Row],[ Bran Content]]="-","-",IF(G456&lt;0.02,1,0))</f>
        <v>1</v>
      </c>
      <c r="S456" s="127">
        <f>IF(Table36[[#This Row],[Sieve Test]]="-","-",IF(Table36[[#This Row],[Sieve Test]]="P",1,0))</f>
        <v>1</v>
      </c>
      <c r="T456" s="127">
        <f>IF(Table36[[#This Row],[Odor]]="-","-",IF(Table36[[#This Row],[Odor]]="P",1,0))</f>
        <v>1</v>
      </c>
      <c r="U456" s="127">
        <f>IF(INDEX(MCmin,MATCH(Table36[[#This Row],[Grist]],SMI,0))="-","-",IF(Table36[[#This Row],[F1 %MC]]="-","-",IF(Table36[[#This Row],[F1 %MC]]&lt;INDEX(MCmin,MATCH(Table36[[#This Row],[Grist]],SMI,0)),0,IF(Table36[[#This Row],[F1 %MC]]&gt;INDEX(MCmax,MATCH(Table36[[#This Row],[Grist]],SMI,0)),0,1))))</f>
        <v>0</v>
      </c>
      <c r="V456" s="127">
        <f>IF(INDEX(Protmin,MATCH(Table36[[#This Row],[Grist]],SMI,0))="-","-",IF(Table36[[#This Row],[%Protein]]="-","-",IF(Table36[[#This Row],[%Protein]]&lt;INDEX(Protmin,MATCH(Table36[[#This Row],[Grist]],SMI,0)),0,IF(Table36[[#This Row],[%Protein]]&gt;INDEX(Protmax,MATCH(Table36[[#This Row],[Grist]],SMI,0)),0,1))))</f>
        <v>1</v>
      </c>
      <c r="W456" s="127">
        <f>IF(INDEX(Ashmin,MATCH(Table36[[#This Row],[Grist]],SMI,0))="-","-",IF(Table36[[#This Row],[%Ash]]="-","-",IF(Table36[[#This Row],[%Ash]]&lt;INDEX(Ashmin,MATCH(Table36[[#This Row],[Grist]],SMI,0)),0,IF(Table36[[#This Row],[%Ash]]&gt;INDEX(Ashmax,MATCH(Table36[[#This Row],[Grist]],SMI,0)),0,1))))</f>
        <v>1</v>
      </c>
      <c r="X456" s="127">
        <f>IF(INDEX(Absmin,MATCH(Table36[[#This Row],[Grist]],SMI,0))="-","-",IF(Table36[[#This Row],[%Absorption]]="-","-",IF(Table36[[#This Row],[%Absorption]]&lt;INDEX(Absmin,MATCH(Table36[[#This Row],[Grist]],SMI,0)),0,IF(Table36[[#This Row],[%Absorption]]&gt;INDEX(Absmax,MATCH(Table36[[#This Row],[Grist]],SMI,0)),0,1))))</f>
        <v>1</v>
      </c>
      <c r="Y456" s="127" t="str">
        <f>IF(INDEX(Extmin,MATCH(Table36[[#This Row],[Grist]],SMI,0))="-","-",IF(Table36[[#This Row],[%Extensibility]]="-","-",IF(Table36[[#This Row],[%Extensibility]]&lt;INDEX(Extmin,MATCH(Table36[[#This Row],[Grist]],SMI,0)),0,IF(Table36[[#This Row],[%Extensibility]]&gt;INDEX(Extmax,MATCH(Table36[[#This Row],[Grist]],SMI,0)),0,1))))</f>
        <v>-</v>
      </c>
      <c r="Z456" s="127" t="str">
        <f>IF(INDEX(Resmin,MATCH(Table36[[#This Row],[Grist]],SMI,0))="-","-",IF(Table36[[#This Row],[Resistance, max]]="-","-",IF(Table36[[#This Row],[Resistance, max]]&lt;INDEX(Resmin,MATCH(Table36[[#This Row],[Grist]],SMI,0)),0,IF(Table36[[#This Row],[Resistance, max]]&gt;INDEX(Resmax,MATCH(Table36[[#This Row],[Grist]],SMI,0)),0,1))))</f>
        <v>-</v>
      </c>
      <c r="AA456" s="127">
        <f>IF(INDEX(WGmin,MATCH(Table36[[#This Row],[Grist]],SMI,0))="-","-",IF(Table36[[#This Row],[%Wet Gluten]]="-","-",IF(Table36[[#This Row],[%Wet Gluten]]&lt;INDEX(WGmin,MATCH(Table36[[#This Row],[Grist]],SMI,0)),0,IF(Table36[[#This Row],[%Wet Gluten]]&gt;INDEX(WGmax,MATCH(Table36[[#This Row],[Grist]],SMI,0)),0,1))))</f>
        <v>1</v>
      </c>
      <c r="AB456" s="127">
        <f>SUM(Table36[[#This Row],[ QI Bran Content]:[QI WG]])</f>
        <v>7</v>
      </c>
      <c r="AC456" s="127">
        <f>COUNT(Table36[[#This Row],[ QI Bran Content]:[QI WG]])</f>
        <v>8</v>
      </c>
    </row>
    <row r="457" spans="1:29" x14ac:dyDescent="0.35">
      <c r="A457" s="177">
        <v>45328</v>
      </c>
      <c r="B457" s="178">
        <v>45344</v>
      </c>
      <c r="C457" s="178" t="s">
        <v>130</v>
      </c>
      <c r="D457" s="179">
        <v>1.125</v>
      </c>
      <c r="E457" s="180" t="s">
        <v>0</v>
      </c>
      <c r="F457" s="181" t="s">
        <v>27</v>
      </c>
      <c r="G457" s="182">
        <v>6.6E-3</v>
      </c>
      <c r="H457" s="175" t="s">
        <v>165</v>
      </c>
      <c r="I457" s="175" t="s">
        <v>165</v>
      </c>
      <c r="J457" s="175" t="s">
        <v>165</v>
      </c>
      <c r="K457" s="175">
        <v>12.81</v>
      </c>
      <c r="L457" s="175">
        <v>13.5</v>
      </c>
      <c r="M457" s="175">
        <v>0.62</v>
      </c>
      <c r="N457" s="175">
        <v>66.400000000000006</v>
      </c>
      <c r="O457" s="175" t="s">
        <v>163</v>
      </c>
      <c r="P457" s="175" t="s">
        <v>163</v>
      </c>
      <c r="Q457" s="175">
        <v>37.74</v>
      </c>
      <c r="R457" s="127">
        <f>IF(Table36[[#This Row],[ Bran Content]]="-","-",IF(G457&lt;0.02,1,0))</f>
        <v>1</v>
      </c>
      <c r="S457" s="127">
        <f>IF(Table36[[#This Row],[Sieve Test]]="-","-",IF(Table36[[#This Row],[Sieve Test]]="P",1,0))</f>
        <v>1</v>
      </c>
      <c r="T457" s="127">
        <f>IF(Table36[[#This Row],[Odor]]="-","-",IF(Table36[[#This Row],[Odor]]="P",1,0))</f>
        <v>1</v>
      </c>
      <c r="U457" s="127">
        <f>IF(INDEX(MCmin,MATCH(Table36[[#This Row],[Grist]],SMI,0))="-","-",IF(Table36[[#This Row],[F1 %MC]]="-","-",IF(Table36[[#This Row],[F1 %MC]]&lt;INDEX(MCmin,MATCH(Table36[[#This Row],[Grist]],SMI,0)),0,IF(Table36[[#This Row],[F1 %MC]]&gt;INDEX(MCmax,MATCH(Table36[[#This Row],[Grist]],SMI,0)),0,1))))</f>
        <v>1</v>
      </c>
      <c r="V457" s="127">
        <f>IF(INDEX(Protmin,MATCH(Table36[[#This Row],[Grist]],SMI,0))="-","-",IF(Table36[[#This Row],[%Protein]]="-","-",IF(Table36[[#This Row],[%Protein]]&lt;INDEX(Protmin,MATCH(Table36[[#This Row],[Grist]],SMI,0)),0,IF(Table36[[#This Row],[%Protein]]&gt;INDEX(Protmax,MATCH(Table36[[#This Row],[Grist]],SMI,0)),0,1))))</f>
        <v>1</v>
      </c>
      <c r="W457" s="127">
        <f>IF(INDEX(Ashmin,MATCH(Table36[[#This Row],[Grist]],SMI,0))="-","-",IF(Table36[[#This Row],[%Ash]]="-","-",IF(Table36[[#This Row],[%Ash]]&lt;INDEX(Ashmin,MATCH(Table36[[#This Row],[Grist]],SMI,0)),0,IF(Table36[[#This Row],[%Ash]]&gt;INDEX(Ashmax,MATCH(Table36[[#This Row],[Grist]],SMI,0)),0,1))))</f>
        <v>1</v>
      </c>
      <c r="X457" s="127">
        <f>IF(INDEX(Absmin,MATCH(Table36[[#This Row],[Grist]],SMI,0))="-","-",IF(Table36[[#This Row],[%Absorption]]="-","-",IF(Table36[[#This Row],[%Absorption]]&lt;INDEX(Absmin,MATCH(Table36[[#This Row],[Grist]],SMI,0)),0,IF(Table36[[#This Row],[%Absorption]]&gt;INDEX(Absmax,MATCH(Table36[[#This Row],[Grist]],SMI,0)),0,1))))</f>
        <v>1</v>
      </c>
      <c r="Y457" s="127" t="str">
        <f>IF(INDEX(Extmin,MATCH(Table36[[#This Row],[Grist]],SMI,0))="-","-",IF(Table36[[#This Row],[%Extensibility]]="-","-",IF(Table36[[#This Row],[%Extensibility]]&lt;INDEX(Extmin,MATCH(Table36[[#This Row],[Grist]],SMI,0)),0,IF(Table36[[#This Row],[%Extensibility]]&gt;INDEX(Extmax,MATCH(Table36[[#This Row],[Grist]],SMI,0)),0,1))))</f>
        <v>-</v>
      </c>
      <c r="Z457" s="127" t="str">
        <f>IF(INDEX(Resmin,MATCH(Table36[[#This Row],[Grist]],SMI,0))="-","-",IF(Table36[[#This Row],[Resistance, max]]="-","-",IF(Table36[[#This Row],[Resistance, max]]&lt;INDEX(Resmin,MATCH(Table36[[#This Row],[Grist]],SMI,0)),0,IF(Table36[[#This Row],[Resistance, max]]&gt;INDEX(Resmax,MATCH(Table36[[#This Row],[Grist]],SMI,0)),0,1))))</f>
        <v>-</v>
      </c>
      <c r="AA457" s="127">
        <f>IF(INDEX(WGmin,MATCH(Table36[[#This Row],[Grist]],SMI,0))="-","-",IF(Table36[[#This Row],[%Wet Gluten]]="-","-",IF(Table36[[#This Row],[%Wet Gluten]]&lt;INDEX(WGmin,MATCH(Table36[[#This Row],[Grist]],SMI,0)),0,IF(Table36[[#This Row],[%Wet Gluten]]&gt;INDEX(WGmax,MATCH(Table36[[#This Row],[Grist]],SMI,0)),0,1))))</f>
        <v>1</v>
      </c>
      <c r="AB457" s="127">
        <f>SUM(Table36[[#This Row],[ QI Bran Content]:[QI WG]])</f>
        <v>8</v>
      </c>
      <c r="AC457" s="127">
        <f>COUNT(Table36[[#This Row],[ QI Bran Content]:[QI WG]])</f>
        <v>8</v>
      </c>
    </row>
    <row r="458" spans="1:29" x14ac:dyDescent="0.35">
      <c r="A458" s="177">
        <v>45328</v>
      </c>
      <c r="B458" s="184">
        <v>45344</v>
      </c>
      <c r="C458" s="184" t="s">
        <v>130</v>
      </c>
      <c r="D458" s="185">
        <v>1.2083333333333299</v>
      </c>
      <c r="E458" s="186" t="s">
        <v>0</v>
      </c>
      <c r="F458" s="187" t="s">
        <v>27</v>
      </c>
      <c r="G458" s="188">
        <v>6.7999999999999996E-3</v>
      </c>
      <c r="H458" s="176" t="s">
        <v>165</v>
      </c>
      <c r="I458" s="176" t="s">
        <v>165</v>
      </c>
      <c r="J458" s="176" t="s">
        <v>165</v>
      </c>
      <c r="K458" s="176">
        <v>12.75</v>
      </c>
      <c r="L458" s="176">
        <v>13.5</v>
      </c>
      <c r="M458" s="176">
        <v>0.62</v>
      </c>
      <c r="N458" s="176">
        <v>66.400000000000006</v>
      </c>
      <c r="O458" s="176" t="s">
        <v>163</v>
      </c>
      <c r="P458" s="176" t="s">
        <v>163</v>
      </c>
      <c r="Q458" s="175">
        <v>37.74</v>
      </c>
      <c r="R458" s="131">
        <f>IF(Table36[[#This Row],[ Bran Content]]="-","-",IF(G458&lt;0.02,1,0))</f>
        <v>1</v>
      </c>
      <c r="S458" s="131">
        <f>IF(Table36[[#This Row],[Sieve Test]]="-","-",IF(Table36[[#This Row],[Sieve Test]]="P",1,0))</f>
        <v>1</v>
      </c>
      <c r="T458" s="131">
        <f>IF(Table36[[#This Row],[Odor]]="-","-",IF(Table36[[#This Row],[Odor]]="P",1,0))</f>
        <v>1</v>
      </c>
      <c r="U458" s="131">
        <f>IF(INDEX(MCmin,MATCH(Table36[[#This Row],[Grist]],SMI,0))="-","-",IF(Table36[[#This Row],[F1 %MC]]="-","-",IF(Table36[[#This Row],[F1 %MC]]&lt;INDEX(MCmin,MATCH(Table36[[#This Row],[Grist]],SMI,0)),0,IF(Table36[[#This Row],[F1 %MC]]&gt;INDEX(MCmax,MATCH(Table36[[#This Row],[Grist]],SMI,0)),0,1))))</f>
        <v>1</v>
      </c>
      <c r="V458" s="131">
        <f>IF(INDEX(Protmin,MATCH(Table36[[#This Row],[Grist]],SMI,0))="-","-",IF(Table36[[#This Row],[%Protein]]="-","-",IF(Table36[[#This Row],[%Protein]]&lt;INDEX(Protmin,MATCH(Table36[[#This Row],[Grist]],SMI,0)),0,IF(Table36[[#This Row],[%Protein]]&gt;INDEX(Protmax,MATCH(Table36[[#This Row],[Grist]],SMI,0)),0,1))))</f>
        <v>1</v>
      </c>
      <c r="W458" s="131">
        <f>IF(INDEX(Ashmin,MATCH(Table36[[#This Row],[Grist]],SMI,0))="-","-",IF(Table36[[#This Row],[%Ash]]="-","-",IF(Table36[[#This Row],[%Ash]]&lt;INDEX(Ashmin,MATCH(Table36[[#This Row],[Grist]],SMI,0)),0,IF(Table36[[#This Row],[%Ash]]&gt;INDEX(Ashmax,MATCH(Table36[[#This Row],[Grist]],SMI,0)),0,1))))</f>
        <v>1</v>
      </c>
      <c r="X458" s="131">
        <f>IF(INDEX(Absmin,MATCH(Table36[[#This Row],[Grist]],SMI,0))="-","-",IF(Table36[[#This Row],[%Absorption]]="-","-",IF(Table36[[#This Row],[%Absorption]]&lt;INDEX(Absmin,MATCH(Table36[[#This Row],[Grist]],SMI,0)),0,IF(Table36[[#This Row],[%Absorption]]&gt;INDEX(Absmax,MATCH(Table36[[#This Row],[Grist]],SMI,0)),0,1))))</f>
        <v>1</v>
      </c>
      <c r="Y458" s="131" t="str">
        <f>IF(INDEX(Extmin,MATCH(Table36[[#This Row],[Grist]],SMI,0))="-","-",IF(Table36[[#This Row],[%Extensibility]]="-","-",IF(Table36[[#This Row],[%Extensibility]]&lt;INDEX(Extmin,MATCH(Table36[[#This Row],[Grist]],SMI,0)),0,IF(Table36[[#This Row],[%Extensibility]]&gt;INDEX(Extmax,MATCH(Table36[[#This Row],[Grist]],SMI,0)),0,1))))</f>
        <v>-</v>
      </c>
      <c r="Z458" s="131" t="str">
        <f>IF(INDEX(Resmin,MATCH(Table36[[#This Row],[Grist]],SMI,0))="-","-",IF(Table36[[#This Row],[Resistance, max]]="-","-",IF(Table36[[#This Row],[Resistance, max]]&lt;INDEX(Resmin,MATCH(Table36[[#This Row],[Grist]],SMI,0)),0,IF(Table36[[#This Row],[Resistance, max]]&gt;INDEX(Resmax,MATCH(Table36[[#This Row],[Grist]],SMI,0)),0,1))))</f>
        <v>-</v>
      </c>
      <c r="AA458" s="131">
        <f>IF(INDEX(WGmin,MATCH(Table36[[#This Row],[Grist]],SMI,0))="-","-",IF(Table36[[#This Row],[%Wet Gluten]]="-","-",IF(Table36[[#This Row],[%Wet Gluten]]&lt;INDEX(WGmin,MATCH(Table36[[#This Row],[Grist]],SMI,0)),0,IF(Table36[[#This Row],[%Wet Gluten]]&gt;INDEX(WGmax,MATCH(Table36[[#This Row],[Grist]],SMI,0)),0,1))))</f>
        <v>1</v>
      </c>
      <c r="AB458" s="131">
        <f>SUM(Table36[[#This Row],[ QI Bran Content]:[QI WG]])</f>
        <v>8</v>
      </c>
      <c r="AC458" s="131">
        <f>COUNT(Table36[[#This Row],[ QI Bran Content]:[QI WG]])</f>
        <v>8</v>
      </c>
    </row>
    <row r="459" spans="1:29" x14ac:dyDescent="0.35">
      <c r="A459" s="11">
        <v>45345</v>
      </c>
      <c r="B459" s="70">
        <v>45345</v>
      </c>
      <c r="C459" s="70" t="s">
        <v>125</v>
      </c>
      <c r="D459" s="28" t="s">
        <v>239</v>
      </c>
      <c r="E459" s="12" t="s">
        <v>0</v>
      </c>
      <c r="F459" s="13" t="s">
        <v>27</v>
      </c>
      <c r="G459" s="117">
        <v>8.3000000000000001E-3</v>
      </c>
      <c r="H459" s="14" t="s">
        <v>165</v>
      </c>
      <c r="I459" s="14" t="s">
        <v>165</v>
      </c>
      <c r="J459" s="14" t="s">
        <v>165</v>
      </c>
      <c r="K459" s="14">
        <v>12.58</v>
      </c>
      <c r="L459" s="14">
        <v>13.5</v>
      </c>
      <c r="M459" s="14">
        <v>0.56999999999999995</v>
      </c>
      <c r="N459" s="14">
        <v>65.900000000000006</v>
      </c>
      <c r="O459" s="14">
        <v>0</v>
      </c>
      <c r="P459" s="14">
        <v>0</v>
      </c>
      <c r="Q459" s="14">
        <v>37.9</v>
      </c>
      <c r="R459" s="127">
        <f>IF(Table36[[#This Row],[ Bran Content]]="-","-",IF(G459&lt;0.02,1,0))</f>
        <v>1</v>
      </c>
      <c r="S459" s="127">
        <f>IF(Table36[[#This Row],[Sieve Test]]="-","-",IF(Table36[[#This Row],[Sieve Test]]="P",1,0))</f>
        <v>1</v>
      </c>
      <c r="T459" s="127">
        <f>IF(Table36[[#This Row],[Odor]]="-","-",IF(Table36[[#This Row],[Odor]]="P",1,0))</f>
        <v>1</v>
      </c>
      <c r="U459" s="127">
        <f>IF(INDEX(MCmin,MATCH(Table36[[#This Row],[Grist]],SMI,0))="-","-",IF(Table36[[#This Row],[F1 %MC]]="-","-",IF(Table36[[#This Row],[F1 %MC]]&lt;INDEX(MCmin,MATCH(Table36[[#This Row],[Grist]],SMI,0)),0,IF(Table36[[#This Row],[F1 %MC]]&gt;INDEX(MCmax,MATCH(Table36[[#This Row],[Grist]],SMI,0)),0,1))))</f>
        <v>1</v>
      </c>
      <c r="V459" s="127">
        <f>IF(INDEX(Protmin,MATCH(Table36[[#This Row],[Grist]],SMI,0))="-","-",IF(Table36[[#This Row],[%Protein]]="-","-",IF(Table36[[#This Row],[%Protein]]&lt;INDEX(Protmin,MATCH(Table36[[#This Row],[Grist]],SMI,0)),0,IF(Table36[[#This Row],[%Protein]]&gt;INDEX(Protmax,MATCH(Table36[[#This Row],[Grist]],SMI,0)),0,1))))</f>
        <v>1</v>
      </c>
      <c r="W459" s="127">
        <f>IF(INDEX(Ashmin,MATCH(Table36[[#This Row],[Grist]],SMI,0))="-","-",IF(Table36[[#This Row],[%Ash]]="-","-",IF(Table36[[#This Row],[%Ash]]&lt;INDEX(Ashmin,MATCH(Table36[[#This Row],[Grist]],SMI,0)),0,IF(Table36[[#This Row],[%Ash]]&gt;INDEX(Ashmax,MATCH(Table36[[#This Row],[Grist]],SMI,0)),0,1))))</f>
        <v>1</v>
      </c>
      <c r="X459" s="127">
        <f>IF(INDEX(Absmin,MATCH(Table36[[#This Row],[Grist]],SMI,0))="-","-",IF(Table36[[#This Row],[%Absorption]]="-","-",IF(Table36[[#This Row],[%Absorption]]&lt;INDEX(Absmin,MATCH(Table36[[#This Row],[Grist]],SMI,0)),0,IF(Table36[[#This Row],[%Absorption]]&gt;INDEX(Absmax,MATCH(Table36[[#This Row],[Grist]],SMI,0)),0,1))))</f>
        <v>1</v>
      </c>
      <c r="Y459" s="127">
        <f>IF(INDEX(Extmin,MATCH(Table36[[#This Row],[Grist]],SMI,0))="-","-",IF(Table36[[#This Row],[%Extensibility]]="-","-",IF(Table36[[#This Row],[%Extensibility]]&lt;INDEX(Extmin,MATCH(Table36[[#This Row],[Grist]],SMI,0)),0,IF(Table36[[#This Row],[%Extensibility]]&gt;INDEX(Extmax,MATCH(Table36[[#This Row],[Grist]],SMI,0)),0,1))))</f>
        <v>0</v>
      </c>
      <c r="Z459" s="127">
        <f>IF(INDEX(Resmin,MATCH(Table36[[#This Row],[Grist]],SMI,0))="-","-",IF(Table36[[#This Row],[Resistance, max]]="-","-",IF(Table36[[#This Row],[Resistance, max]]&lt;INDEX(Resmin,MATCH(Table36[[#This Row],[Grist]],SMI,0)),0,IF(Table36[[#This Row],[Resistance, max]]&gt;INDEX(Resmax,MATCH(Table36[[#This Row],[Grist]],SMI,0)),0,1))))</f>
        <v>0</v>
      </c>
      <c r="AA459" s="127">
        <f>IF(INDEX(WGmin,MATCH(Table36[[#This Row],[Grist]],SMI,0))="-","-",IF(Table36[[#This Row],[%Wet Gluten]]="-","-",IF(Table36[[#This Row],[%Wet Gluten]]&lt;INDEX(WGmin,MATCH(Table36[[#This Row],[Grist]],SMI,0)),0,IF(Table36[[#This Row],[%Wet Gluten]]&gt;INDEX(WGmax,MATCH(Table36[[#This Row],[Grist]],SMI,0)),0,1))))</f>
        <v>1</v>
      </c>
      <c r="AB459" s="127">
        <f>SUM(Table36[[#This Row],[ QI Bran Content]:[QI WG]])</f>
        <v>8</v>
      </c>
      <c r="AC459" s="127">
        <f>COUNT(Table36[[#This Row],[ QI Bran Content]:[QI WG]])</f>
        <v>10</v>
      </c>
    </row>
    <row r="460" spans="1:29" x14ac:dyDescent="0.35">
      <c r="A460" s="11">
        <v>45345</v>
      </c>
      <c r="B460" s="70">
        <v>45345</v>
      </c>
      <c r="C460" s="70" t="s">
        <v>125</v>
      </c>
      <c r="D460" s="28" t="s">
        <v>240</v>
      </c>
      <c r="E460" s="12" t="s">
        <v>0</v>
      </c>
      <c r="F460" s="13" t="s">
        <v>19</v>
      </c>
      <c r="G460" s="117">
        <v>8.0000000000000002E-3</v>
      </c>
      <c r="H460" s="14" t="s">
        <v>165</v>
      </c>
      <c r="I460" s="14" t="s">
        <v>165</v>
      </c>
      <c r="J460" s="14" t="s">
        <v>165</v>
      </c>
      <c r="K460" s="14">
        <v>12.5</v>
      </c>
      <c r="L460" s="14">
        <v>12.87</v>
      </c>
      <c r="M460" s="14">
        <v>0.5</v>
      </c>
      <c r="N460" s="14">
        <v>66.8</v>
      </c>
      <c r="O460" s="14">
        <v>0</v>
      </c>
      <c r="P460" s="14">
        <v>0</v>
      </c>
      <c r="Q460" s="14">
        <v>36.04</v>
      </c>
      <c r="R460" s="127">
        <f>IF(Table36[[#This Row],[ Bran Content]]="-","-",IF(G460&lt;0.02,1,0))</f>
        <v>1</v>
      </c>
      <c r="S460" s="127">
        <f>IF(Table36[[#This Row],[Sieve Test]]="-","-",IF(Table36[[#This Row],[Sieve Test]]="P",1,0))</f>
        <v>1</v>
      </c>
      <c r="T460" s="127">
        <f>IF(Table36[[#This Row],[Odor]]="-","-",IF(Table36[[#This Row],[Odor]]="P",1,0))</f>
        <v>1</v>
      </c>
      <c r="U460" s="127">
        <f>IF(INDEX(MCmin,MATCH(Table36[[#This Row],[Grist]],SMI,0))="-","-",IF(Table36[[#This Row],[F1 %MC]]="-","-",IF(Table36[[#This Row],[F1 %MC]]&lt;INDEX(MCmin,MATCH(Table36[[#This Row],[Grist]],SMI,0)),0,IF(Table36[[#This Row],[F1 %MC]]&gt;INDEX(MCmax,MATCH(Table36[[#This Row],[Grist]],SMI,0)),0,1))))</f>
        <v>1</v>
      </c>
      <c r="V460" s="127">
        <f>IF(INDEX(Protmin,MATCH(Table36[[#This Row],[Grist]],SMI,0))="-","-",IF(Table36[[#This Row],[%Protein]]="-","-",IF(Table36[[#This Row],[%Protein]]&lt;INDEX(Protmin,MATCH(Table36[[#This Row],[Grist]],SMI,0)),0,IF(Table36[[#This Row],[%Protein]]&gt;INDEX(Protmax,MATCH(Table36[[#This Row],[Grist]],SMI,0)),0,1))))</f>
        <v>1</v>
      </c>
      <c r="W460" s="127">
        <f>IF(INDEX(Ashmin,MATCH(Table36[[#This Row],[Grist]],SMI,0))="-","-",IF(Table36[[#This Row],[%Ash]]="-","-",IF(Table36[[#This Row],[%Ash]]&lt;INDEX(Ashmin,MATCH(Table36[[#This Row],[Grist]],SMI,0)),0,IF(Table36[[#This Row],[%Ash]]&gt;INDEX(Ashmax,MATCH(Table36[[#This Row],[Grist]],SMI,0)),0,1))))</f>
        <v>1</v>
      </c>
      <c r="X460" s="127">
        <f>IF(INDEX(Absmin,MATCH(Table36[[#This Row],[Grist]],SMI,0))="-","-",IF(Table36[[#This Row],[%Absorption]]="-","-",IF(Table36[[#This Row],[%Absorption]]&lt;INDEX(Absmin,MATCH(Table36[[#This Row],[Grist]],SMI,0)),0,IF(Table36[[#This Row],[%Absorption]]&gt;INDEX(Absmax,MATCH(Table36[[#This Row],[Grist]],SMI,0)),0,1))))</f>
        <v>0</v>
      </c>
      <c r="Y460" s="127" t="str">
        <f>IF(INDEX(Extmin,MATCH(Table36[[#This Row],[Grist]],SMI,0))="-","-",IF(Table36[[#This Row],[%Extensibility]]="-","-",IF(Table36[[#This Row],[%Extensibility]]&lt;INDEX(Extmin,MATCH(Table36[[#This Row],[Grist]],SMI,0)),0,IF(Table36[[#This Row],[%Extensibility]]&gt;INDEX(Extmax,MATCH(Table36[[#This Row],[Grist]],SMI,0)),0,1))))</f>
        <v>-</v>
      </c>
      <c r="Z460" s="127" t="str">
        <f>IF(INDEX(Resmin,MATCH(Table36[[#This Row],[Grist]],SMI,0))="-","-",IF(Table36[[#This Row],[Resistance, max]]="-","-",IF(Table36[[#This Row],[Resistance, max]]&lt;INDEX(Resmin,MATCH(Table36[[#This Row],[Grist]],SMI,0)),0,IF(Table36[[#This Row],[Resistance, max]]&gt;INDEX(Resmax,MATCH(Table36[[#This Row],[Grist]],SMI,0)),0,1))))</f>
        <v>-</v>
      </c>
      <c r="AA460" s="127">
        <f>IF(INDEX(WGmin,MATCH(Table36[[#This Row],[Grist]],SMI,0))="-","-",IF(Table36[[#This Row],[%Wet Gluten]]="-","-",IF(Table36[[#This Row],[%Wet Gluten]]&lt;INDEX(WGmin,MATCH(Table36[[#This Row],[Grist]],SMI,0)),0,IF(Table36[[#This Row],[%Wet Gluten]]&gt;INDEX(WGmax,MATCH(Table36[[#This Row],[Grist]],SMI,0)),0,1))))</f>
        <v>1</v>
      </c>
      <c r="AB460" s="127">
        <f>SUM(Table36[[#This Row],[ QI Bran Content]:[QI WG]])</f>
        <v>7</v>
      </c>
      <c r="AC460" s="127">
        <f>COUNT(Table36[[#This Row],[ QI Bran Content]:[QI WG]])</f>
        <v>8</v>
      </c>
    </row>
    <row r="461" spans="1:29" x14ac:dyDescent="0.35">
      <c r="A461" s="11">
        <v>45345</v>
      </c>
      <c r="B461" s="70">
        <v>45345</v>
      </c>
      <c r="C461" s="70" t="s">
        <v>125</v>
      </c>
      <c r="D461" s="28" t="s">
        <v>237</v>
      </c>
      <c r="E461" s="12" t="s">
        <v>0</v>
      </c>
      <c r="F461" s="13" t="s">
        <v>19</v>
      </c>
      <c r="G461" s="117">
        <v>9.9000000000000008E-3</v>
      </c>
      <c r="H461" s="14" t="s">
        <v>165</v>
      </c>
      <c r="I461" s="14" t="s">
        <v>165</v>
      </c>
      <c r="J461" s="14" t="s">
        <v>165</v>
      </c>
      <c r="K461" s="14">
        <v>12.12</v>
      </c>
      <c r="L461" s="14">
        <v>12.87</v>
      </c>
      <c r="M461" s="14">
        <v>0.5</v>
      </c>
      <c r="N461" s="14">
        <v>66.8</v>
      </c>
      <c r="O461" s="14">
        <v>0</v>
      </c>
      <c r="P461" s="14">
        <v>0</v>
      </c>
      <c r="Q461" s="14">
        <v>36.04</v>
      </c>
      <c r="R461" s="127">
        <f>IF(Table36[[#This Row],[ Bran Content]]="-","-",IF(G461&lt;0.02,1,0))</f>
        <v>1</v>
      </c>
      <c r="S461" s="127">
        <f>IF(Table36[[#This Row],[Sieve Test]]="-","-",IF(Table36[[#This Row],[Sieve Test]]="P",1,0))</f>
        <v>1</v>
      </c>
      <c r="T461" s="127">
        <f>IF(Table36[[#This Row],[Odor]]="-","-",IF(Table36[[#This Row],[Odor]]="P",1,0))</f>
        <v>1</v>
      </c>
      <c r="U461" s="127">
        <f>IF(INDEX(MCmin,MATCH(Table36[[#This Row],[Grist]],SMI,0))="-","-",IF(Table36[[#This Row],[F1 %MC]]="-","-",IF(Table36[[#This Row],[F1 %MC]]&lt;INDEX(MCmin,MATCH(Table36[[#This Row],[Grist]],SMI,0)),0,IF(Table36[[#This Row],[F1 %MC]]&gt;INDEX(MCmax,MATCH(Table36[[#This Row],[Grist]],SMI,0)),0,1))))</f>
        <v>1</v>
      </c>
      <c r="V461" s="127">
        <f>IF(INDEX(Protmin,MATCH(Table36[[#This Row],[Grist]],SMI,0))="-","-",IF(Table36[[#This Row],[%Protein]]="-","-",IF(Table36[[#This Row],[%Protein]]&lt;INDEX(Protmin,MATCH(Table36[[#This Row],[Grist]],SMI,0)),0,IF(Table36[[#This Row],[%Protein]]&gt;INDEX(Protmax,MATCH(Table36[[#This Row],[Grist]],SMI,0)),0,1))))</f>
        <v>1</v>
      </c>
      <c r="W461" s="127">
        <f>IF(INDEX(Ashmin,MATCH(Table36[[#This Row],[Grist]],SMI,0))="-","-",IF(Table36[[#This Row],[%Ash]]="-","-",IF(Table36[[#This Row],[%Ash]]&lt;INDEX(Ashmin,MATCH(Table36[[#This Row],[Grist]],SMI,0)),0,IF(Table36[[#This Row],[%Ash]]&gt;INDEX(Ashmax,MATCH(Table36[[#This Row],[Grist]],SMI,0)),0,1))))</f>
        <v>1</v>
      </c>
      <c r="X461" s="127">
        <f>IF(INDEX(Absmin,MATCH(Table36[[#This Row],[Grist]],SMI,0))="-","-",IF(Table36[[#This Row],[%Absorption]]="-","-",IF(Table36[[#This Row],[%Absorption]]&lt;INDEX(Absmin,MATCH(Table36[[#This Row],[Grist]],SMI,0)),0,IF(Table36[[#This Row],[%Absorption]]&gt;INDEX(Absmax,MATCH(Table36[[#This Row],[Grist]],SMI,0)),0,1))))</f>
        <v>0</v>
      </c>
      <c r="Y461" s="127" t="str">
        <f>IF(INDEX(Extmin,MATCH(Table36[[#This Row],[Grist]],SMI,0))="-","-",IF(Table36[[#This Row],[%Extensibility]]="-","-",IF(Table36[[#This Row],[%Extensibility]]&lt;INDEX(Extmin,MATCH(Table36[[#This Row],[Grist]],SMI,0)),0,IF(Table36[[#This Row],[%Extensibility]]&gt;INDEX(Extmax,MATCH(Table36[[#This Row],[Grist]],SMI,0)),0,1))))</f>
        <v>-</v>
      </c>
      <c r="Z461" s="127" t="str">
        <f>IF(INDEX(Resmin,MATCH(Table36[[#This Row],[Grist]],SMI,0))="-","-",IF(Table36[[#This Row],[Resistance, max]]="-","-",IF(Table36[[#This Row],[Resistance, max]]&lt;INDEX(Resmin,MATCH(Table36[[#This Row],[Grist]],SMI,0)),0,IF(Table36[[#This Row],[Resistance, max]]&gt;INDEX(Resmax,MATCH(Table36[[#This Row],[Grist]],SMI,0)),0,1))))</f>
        <v>-</v>
      </c>
      <c r="AA461" s="127">
        <f>IF(INDEX(WGmin,MATCH(Table36[[#This Row],[Grist]],SMI,0))="-","-",IF(Table36[[#This Row],[%Wet Gluten]]="-","-",IF(Table36[[#This Row],[%Wet Gluten]]&lt;INDEX(WGmin,MATCH(Table36[[#This Row],[Grist]],SMI,0)),0,IF(Table36[[#This Row],[%Wet Gluten]]&gt;INDEX(WGmax,MATCH(Table36[[#This Row],[Grist]],SMI,0)),0,1))))</f>
        <v>1</v>
      </c>
      <c r="AB461" s="127">
        <f>SUM(Table36[[#This Row],[ QI Bran Content]:[QI WG]])</f>
        <v>7</v>
      </c>
      <c r="AC461" s="127">
        <f>COUNT(Table36[[#This Row],[ QI Bran Content]:[QI WG]])</f>
        <v>8</v>
      </c>
    </row>
    <row r="462" spans="1:29" x14ac:dyDescent="0.35">
      <c r="A462" s="11">
        <v>45345</v>
      </c>
      <c r="B462" s="70">
        <v>45345</v>
      </c>
      <c r="C462" s="70" t="s">
        <v>125</v>
      </c>
      <c r="D462" s="28" t="s">
        <v>238</v>
      </c>
      <c r="E462" s="12" t="s">
        <v>0</v>
      </c>
      <c r="F462" s="13" t="s">
        <v>19</v>
      </c>
      <c r="G462" s="117">
        <v>1.23E-2</v>
      </c>
      <c r="H462" s="14" t="s">
        <v>165</v>
      </c>
      <c r="I462" s="14" t="s">
        <v>165</v>
      </c>
      <c r="J462" s="14" t="s">
        <v>165</v>
      </c>
      <c r="K462" s="14">
        <v>13.57</v>
      </c>
      <c r="L462" s="14">
        <v>12.87</v>
      </c>
      <c r="M462" s="14">
        <v>0.5</v>
      </c>
      <c r="N462" s="14">
        <v>66.8</v>
      </c>
      <c r="O462" s="14">
        <v>0</v>
      </c>
      <c r="P462" s="14">
        <v>0</v>
      </c>
      <c r="Q462" s="14">
        <v>36.04</v>
      </c>
      <c r="R462" s="127">
        <f>IF(Table36[[#This Row],[ Bran Content]]="-","-",IF(G462&lt;0.02,1,0))</f>
        <v>1</v>
      </c>
      <c r="S462" s="127">
        <f>IF(Table36[[#This Row],[Sieve Test]]="-","-",IF(Table36[[#This Row],[Sieve Test]]="P",1,0))</f>
        <v>1</v>
      </c>
      <c r="T462" s="127">
        <f>IF(Table36[[#This Row],[Odor]]="-","-",IF(Table36[[#This Row],[Odor]]="P",1,0))</f>
        <v>1</v>
      </c>
      <c r="U462" s="127">
        <f>IF(INDEX(MCmin,MATCH(Table36[[#This Row],[Grist]],SMI,0))="-","-",IF(Table36[[#This Row],[F1 %MC]]="-","-",IF(Table36[[#This Row],[F1 %MC]]&lt;INDEX(MCmin,MATCH(Table36[[#This Row],[Grist]],SMI,0)),0,IF(Table36[[#This Row],[F1 %MC]]&gt;INDEX(MCmax,MATCH(Table36[[#This Row],[Grist]],SMI,0)),0,1))))</f>
        <v>1</v>
      </c>
      <c r="V462" s="127">
        <f>IF(INDEX(Protmin,MATCH(Table36[[#This Row],[Grist]],SMI,0))="-","-",IF(Table36[[#This Row],[%Protein]]="-","-",IF(Table36[[#This Row],[%Protein]]&lt;INDEX(Protmin,MATCH(Table36[[#This Row],[Grist]],SMI,0)),0,IF(Table36[[#This Row],[%Protein]]&gt;INDEX(Protmax,MATCH(Table36[[#This Row],[Grist]],SMI,0)),0,1))))</f>
        <v>1</v>
      </c>
      <c r="W462" s="127">
        <f>IF(INDEX(Ashmin,MATCH(Table36[[#This Row],[Grist]],SMI,0))="-","-",IF(Table36[[#This Row],[%Ash]]="-","-",IF(Table36[[#This Row],[%Ash]]&lt;INDEX(Ashmin,MATCH(Table36[[#This Row],[Grist]],SMI,0)),0,IF(Table36[[#This Row],[%Ash]]&gt;INDEX(Ashmax,MATCH(Table36[[#This Row],[Grist]],SMI,0)),0,1))))</f>
        <v>1</v>
      </c>
      <c r="X462" s="127">
        <f>IF(INDEX(Absmin,MATCH(Table36[[#This Row],[Grist]],SMI,0))="-","-",IF(Table36[[#This Row],[%Absorption]]="-","-",IF(Table36[[#This Row],[%Absorption]]&lt;INDEX(Absmin,MATCH(Table36[[#This Row],[Grist]],SMI,0)),0,IF(Table36[[#This Row],[%Absorption]]&gt;INDEX(Absmax,MATCH(Table36[[#This Row],[Grist]],SMI,0)),0,1))))</f>
        <v>0</v>
      </c>
      <c r="Y462" s="127" t="str">
        <f>IF(INDEX(Extmin,MATCH(Table36[[#This Row],[Grist]],SMI,0))="-","-",IF(Table36[[#This Row],[%Extensibility]]="-","-",IF(Table36[[#This Row],[%Extensibility]]&lt;INDEX(Extmin,MATCH(Table36[[#This Row],[Grist]],SMI,0)),0,IF(Table36[[#This Row],[%Extensibility]]&gt;INDEX(Extmax,MATCH(Table36[[#This Row],[Grist]],SMI,0)),0,1))))</f>
        <v>-</v>
      </c>
      <c r="Z462" s="127" t="str">
        <f>IF(INDEX(Resmin,MATCH(Table36[[#This Row],[Grist]],SMI,0))="-","-",IF(Table36[[#This Row],[Resistance, max]]="-","-",IF(Table36[[#This Row],[Resistance, max]]&lt;INDEX(Resmin,MATCH(Table36[[#This Row],[Grist]],SMI,0)),0,IF(Table36[[#This Row],[Resistance, max]]&gt;INDEX(Resmax,MATCH(Table36[[#This Row],[Grist]],SMI,0)),0,1))))</f>
        <v>-</v>
      </c>
      <c r="AA462" s="127">
        <f>IF(INDEX(WGmin,MATCH(Table36[[#This Row],[Grist]],SMI,0))="-","-",IF(Table36[[#This Row],[%Wet Gluten]]="-","-",IF(Table36[[#This Row],[%Wet Gluten]]&lt;INDEX(WGmin,MATCH(Table36[[#This Row],[Grist]],SMI,0)),0,IF(Table36[[#This Row],[%Wet Gluten]]&gt;INDEX(WGmax,MATCH(Table36[[#This Row],[Grist]],SMI,0)),0,1))))</f>
        <v>1</v>
      </c>
      <c r="AB462" s="127">
        <f>SUM(Table36[[#This Row],[ QI Bran Content]:[QI WG]])</f>
        <v>7</v>
      </c>
      <c r="AC462" s="127">
        <f>COUNT(Table36[[#This Row],[ QI Bran Content]:[QI WG]])</f>
        <v>8</v>
      </c>
    </row>
    <row r="463" spans="1:29" x14ac:dyDescent="0.35">
      <c r="A463" s="11">
        <v>45345</v>
      </c>
      <c r="B463" s="70">
        <v>45345</v>
      </c>
      <c r="C463" s="70" t="s">
        <v>125</v>
      </c>
      <c r="D463" s="28" t="s">
        <v>240</v>
      </c>
      <c r="E463" s="12" t="s">
        <v>1</v>
      </c>
      <c r="F463" s="13" t="s">
        <v>241</v>
      </c>
      <c r="G463" s="117">
        <v>0</v>
      </c>
      <c r="H463" s="14">
        <v>0</v>
      </c>
      <c r="I463" s="14">
        <v>0</v>
      </c>
      <c r="J463" s="14">
        <v>0</v>
      </c>
      <c r="K463" s="14">
        <v>11.41</v>
      </c>
      <c r="L463" s="14">
        <v>0</v>
      </c>
      <c r="M463" s="14">
        <v>0</v>
      </c>
      <c r="N463" s="14" t="s">
        <v>163</v>
      </c>
      <c r="O463" s="14" t="s">
        <v>163</v>
      </c>
      <c r="P463" s="14" t="s">
        <v>163</v>
      </c>
      <c r="Q463" s="14" t="s">
        <v>163</v>
      </c>
      <c r="R463" s="127">
        <f>IF(Table36[[#This Row],[ Bran Content]]="-","-",IF(G463&lt;0.02,1,0))</f>
        <v>1</v>
      </c>
      <c r="S463" s="127">
        <f>IF(Table36[[#This Row],[Sieve Test]]="-","-",IF(Table36[[#This Row],[Sieve Test]]="P",1,0))</f>
        <v>0</v>
      </c>
      <c r="T463" s="127">
        <f>IF(Table36[[#This Row],[Odor]]="-","-",IF(Table36[[#This Row],[Odor]]="P",1,0))</f>
        <v>0</v>
      </c>
      <c r="U463" s="127" t="str">
        <f>IF(INDEX(MCmin,MATCH(Table36[[#This Row],[Grist]],SMI,0))="-","-",IF(Table36[[#This Row],[F1 %MC]]="-","-",IF(Table36[[#This Row],[F1 %MC]]&lt;INDEX(MCmin,MATCH(Table36[[#This Row],[Grist]],SMI,0)),0,IF(Table36[[#This Row],[F1 %MC]]&gt;INDEX(MCmax,MATCH(Table36[[#This Row],[Grist]],SMI,0)),0,1))))</f>
        <v>-</v>
      </c>
      <c r="V463" s="127" t="str">
        <f>IF(INDEX(Protmin,MATCH(Table36[[#This Row],[Grist]],SMI,0))="-","-",IF(Table36[[#This Row],[%Protein]]="-","-",IF(Table36[[#This Row],[%Protein]]&lt;INDEX(Protmin,MATCH(Table36[[#This Row],[Grist]],SMI,0)),0,IF(Table36[[#This Row],[%Protein]]&gt;INDEX(Protmax,MATCH(Table36[[#This Row],[Grist]],SMI,0)),0,1))))</f>
        <v>-</v>
      </c>
      <c r="W463" s="127" t="str">
        <f>IF(INDEX(Ashmin,MATCH(Table36[[#This Row],[Grist]],SMI,0))="-","-",IF(Table36[[#This Row],[%Ash]]="-","-",IF(Table36[[#This Row],[%Ash]]&lt;INDEX(Ashmin,MATCH(Table36[[#This Row],[Grist]],SMI,0)),0,IF(Table36[[#This Row],[%Ash]]&gt;INDEX(Ashmax,MATCH(Table36[[#This Row],[Grist]],SMI,0)),0,1))))</f>
        <v>-</v>
      </c>
      <c r="X463" s="127" t="str">
        <f>IF(INDEX(Absmin,MATCH(Table36[[#This Row],[Grist]],SMI,0))="-","-",IF(Table36[[#This Row],[%Absorption]]="-","-",IF(Table36[[#This Row],[%Absorption]]&lt;INDEX(Absmin,MATCH(Table36[[#This Row],[Grist]],SMI,0)),0,IF(Table36[[#This Row],[%Absorption]]&gt;INDEX(Absmax,MATCH(Table36[[#This Row],[Grist]],SMI,0)),0,1))))</f>
        <v>-</v>
      </c>
      <c r="Y463" s="127" t="str">
        <f>IF(INDEX(Extmin,MATCH(Table36[[#This Row],[Grist]],SMI,0))="-","-",IF(Table36[[#This Row],[%Extensibility]]="-","-",IF(Table36[[#This Row],[%Extensibility]]&lt;INDEX(Extmin,MATCH(Table36[[#This Row],[Grist]],SMI,0)),0,IF(Table36[[#This Row],[%Extensibility]]&gt;INDEX(Extmax,MATCH(Table36[[#This Row],[Grist]],SMI,0)),0,1))))</f>
        <v>-</v>
      </c>
      <c r="Z463" s="127" t="str">
        <f>IF(INDEX(Resmin,MATCH(Table36[[#This Row],[Grist]],SMI,0))="-","-",IF(Table36[[#This Row],[Resistance, max]]="-","-",IF(Table36[[#This Row],[Resistance, max]]&lt;INDEX(Resmin,MATCH(Table36[[#This Row],[Grist]],SMI,0)),0,IF(Table36[[#This Row],[Resistance, max]]&gt;INDEX(Resmax,MATCH(Table36[[#This Row],[Grist]],SMI,0)),0,1))))</f>
        <v>-</v>
      </c>
      <c r="AA463" s="127" t="str">
        <f>IF(INDEX(WGmin,MATCH(Table36[[#This Row],[Grist]],SMI,0))="-","-",IF(Table36[[#This Row],[%Wet Gluten]]="-","-",IF(Table36[[#This Row],[%Wet Gluten]]&lt;INDEX(WGmin,MATCH(Table36[[#This Row],[Grist]],SMI,0)),0,IF(Table36[[#This Row],[%Wet Gluten]]&gt;INDEX(WGmax,MATCH(Table36[[#This Row],[Grist]],SMI,0)),0,1))))</f>
        <v>-</v>
      </c>
      <c r="AB463" s="127">
        <f>SUM(Table36[[#This Row],[ QI Bran Content]:[QI WG]])</f>
        <v>1</v>
      </c>
      <c r="AC463" s="127">
        <f>COUNT(Table36[[#This Row],[ QI Bran Content]:[QI WG]])</f>
        <v>3</v>
      </c>
    </row>
    <row r="464" spans="1:29" x14ac:dyDescent="0.35">
      <c r="A464" s="11">
        <v>45345</v>
      </c>
      <c r="B464" s="70">
        <v>45345</v>
      </c>
      <c r="C464" s="70" t="s">
        <v>125</v>
      </c>
      <c r="D464" s="28" t="s">
        <v>237</v>
      </c>
      <c r="E464" s="12" t="s">
        <v>1</v>
      </c>
      <c r="F464" s="13" t="s">
        <v>241</v>
      </c>
      <c r="G464" s="117">
        <v>0</v>
      </c>
      <c r="H464" s="14">
        <v>0</v>
      </c>
      <c r="I464" s="14">
        <v>0</v>
      </c>
      <c r="J464" s="14">
        <v>0</v>
      </c>
      <c r="K464" s="14">
        <v>12.01</v>
      </c>
      <c r="L464" s="14">
        <v>0</v>
      </c>
      <c r="M464" s="14">
        <v>0</v>
      </c>
      <c r="N464" s="14" t="s">
        <v>163</v>
      </c>
      <c r="O464" s="14" t="s">
        <v>163</v>
      </c>
      <c r="P464" s="14" t="s">
        <v>163</v>
      </c>
      <c r="Q464" s="14" t="s">
        <v>163</v>
      </c>
      <c r="R464" s="127">
        <f>IF(Table36[[#This Row],[ Bran Content]]="-","-",IF(G464&lt;0.02,1,0))</f>
        <v>1</v>
      </c>
      <c r="S464" s="127">
        <f>IF(Table36[[#This Row],[Sieve Test]]="-","-",IF(Table36[[#This Row],[Sieve Test]]="P",1,0))</f>
        <v>0</v>
      </c>
      <c r="T464" s="127">
        <f>IF(Table36[[#This Row],[Odor]]="-","-",IF(Table36[[#This Row],[Odor]]="P",1,0))</f>
        <v>0</v>
      </c>
      <c r="U464" s="127" t="str">
        <f>IF(INDEX(MCmin,MATCH(Table36[[#This Row],[Grist]],SMI,0))="-","-",IF(Table36[[#This Row],[F1 %MC]]="-","-",IF(Table36[[#This Row],[F1 %MC]]&lt;INDEX(MCmin,MATCH(Table36[[#This Row],[Grist]],SMI,0)),0,IF(Table36[[#This Row],[F1 %MC]]&gt;INDEX(MCmax,MATCH(Table36[[#This Row],[Grist]],SMI,0)),0,1))))</f>
        <v>-</v>
      </c>
      <c r="V464" s="127" t="str">
        <f>IF(INDEX(Protmin,MATCH(Table36[[#This Row],[Grist]],SMI,0))="-","-",IF(Table36[[#This Row],[%Protein]]="-","-",IF(Table36[[#This Row],[%Protein]]&lt;INDEX(Protmin,MATCH(Table36[[#This Row],[Grist]],SMI,0)),0,IF(Table36[[#This Row],[%Protein]]&gt;INDEX(Protmax,MATCH(Table36[[#This Row],[Grist]],SMI,0)),0,1))))</f>
        <v>-</v>
      </c>
      <c r="W464" s="127" t="str">
        <f>IF(INDEX(Ashmin,MATCH(Table36[[#This Row],[Grist]],SMI,0))="-","-",IF(Table36[[#This Row],[%Ash]]="-","-",IF(Table36[[#This Row],[%Ash]]&lt;INDEX(Ashmin,MATCH(Table36[[#This Row],[Grist]],SMI,0)),0,IF(Table36[[#This Row],[%Ash]]&gt;INDEX(Ashmax,MATCH(Table36[[#This Row],[Grist]],SMI,0)),0,1))))</f>
        <v>-</v>
      </c>
      <c r="X464" s="127" t="str">
        <f>IF(INDEX(Absmin,MATCH(Table36[[#This Row],[Grist]],SMI,0))="-","-",IF(Table36[[#This Row],[%Absorption]]="-","-",IF(Table36[[#This Row],[%Absorption]]&lt;INDEX(Absmin,MATCH(Table36[[#This Row],[Grist]],SMI,0)),0,IF(Table36[[#This Row],[%Absorption]]&gt;INDEX(Absmax,MATCH(Table36[[#This Row],[Grist]],SMI,0)),0,1))))</f>
        <v>-</v>
      </c>
      <c r="Y464" s="127" t="str">
        <f>IF(INDEX(Extmin,MATCH(Table36[[#This Row],[Grist]],SMI,0))="-","-",IF(Table36[[#This Row],[%Extensibility]]="-","-",IF(Table36[[#This Row],[%Extensibility]]&lt;INDEX(Extmin,MATCH(Table36[[#This Row],[Grist]],SMI,0)),0,IF(Table36[[#This Row],[%Extensibility]]&gt;INDEX(Extmax,MATCH(Table36[[#This Row],[Grist]],SMI,0)),0,1))))</f>
        <v>-</v>
      </c>
      <c r="Z464" s="127" t="str">
        <f>IF(INDEX(Resmin,MATCH(Table36[[#This Row],[Grist]],SMI,0))="-","-",IF(Table36[[#This Row],[Resistance, max]]="-","-",IF(Table36[[#This Row],[Resistance, max]]&lt;INDEX(Resmin,MATCH(Table36[[#This Row],[Grist]],SMI,0)),0,IF(Table36[[#This Row],[Resistance, max]]&gt;INDEX(Resmax,MATCH(Table36[[#This Row],[Grist]],SMI,0)),0,1))))</f>
        <v>-</v>
      </c>
      <c r="AA464" s="127" t="str">
        <f>IF(INDEX(WGmin,MATCH(Table36[[#This Row],[Grist]],SMI,0))="-","-",IF(Table36[[#This Row],[%Wet Gluten]]="-","-",IF(Table36[[#This Row],[%Wet Gluten]]&lt;INDEX(WGmin,MATCH(Table36[[#This Row],[Grist]],SMI,0)),0,IF(Table36[[#This Row],[%Wet Gluten]]&gt;INDEX(WGmax,MATCH(Table36[[#This Row],[Grist]],SMI,0)),0,1))))</f>
        <v>-</v>
      </c>
      <c r="AB464" s="127">
        <f>SUM(Table36[[#This Row],[ QI Bran Content]:[QI WG]])</f>
        <v>1</v>
      </c>
      <c r="AC464" s="127">
        <f>COUNT(Table36[[#This Row],[ QI Bran Content]:[QI WG]])</f>
        <v>3</v>
      </c>
    </row>
    <row r="465" spans="1:29" x14ac:dyDescent="0.35">
      <c r="A465" s="11">
        <v>45345</v>
      </c>
      <c r="B465" s="70">
        <v>45345</v>
      </c>
      <c r="C465" s="70" t="s">
        <v>125</v>
      </c>
      <c r="D465" s="28" t="s">
        <v>238</v>
      </c>
      <c r="E465" s="12" t="s">
        <v>1</v>
      </c>
      <c r="F465" s="13" t="s">
        <v>241</v>
      </c>
      <c r="G465" s="117">
        <v>0</v>
      </c>
      <c r="H465" s="14">
        <v>0</v>
      </c>
      <c r="I465" s="14">
        <v>0</v>
      </c>
      <c r="J465" s="14">
        <v>0</v>
      </c>
      <c r="K465" s="14">
        <v>1.23E-2</v>
      </c>
      <c r="L465" s="14">
        <v>0</v>
      </c>
      <c r="M465" s="14">
        <v>0</v>
      </c>
      <c r="N465" s="14" t="s">
        <v>163</v>
      </c>
      <c r="O465" s="14" t="s">
        <v>163</v>
      </c>
      <c r="P465" s="14" t="s">
        <v>163</v>
      </c>
      <c r="Q465" s="14" t="s">
        <v>163</v>
      </c>
      <c r="R465" s="127">
        <f>IF(Table36[[#This Row],[ Bran Content]]="-","-",IF(G465&lt;0.02,1,0))</f>
        <v>1</v>
      </c>
      <c r="S465" s="127">
        <f>IF(Table36[[#This Row],[Sieve Test]]="-","-",IF(Table36[[#This Row],[Sieve Test]]="P",1,0))</f>
        <v>0</v>
      </c>
      <c r="T465" s="127">
        <f>IF(Table36[[#This Row],[Odor]]="-","-",IF(Table36[[#This Row],[Odor]]="P",1,0))</f>
        <v>0</v>
      </c>
      <c r="U465" s="127" t="str">
        <f>IF(INDEX(MCmin,MATCH(Table36[[#This Row],[Grist]],SMI,0))="-","-",IF(Table36[[#This Row],[F1 %MC]]="-","-",IF(Table36[[#This Row],[F1 %MC]]&lt;INDEX(MCmin,MATCH(Table36[[#This Row],[Grist]],SMI,0)),0,IF(Table36[[#This Row],[F1 %MC]]&gt;INDEX(MCmax,MATCH(Table36[[#This Row],[Grist]],SMI,0)),0,1))))</f>
        <v>-</v>
      </c>
      <c r="V465" s="127" t="str">
        <f>IF(INDEX(Protmin,MATCH(Table36[[#This Row],[Grist]],SMI,0))="-","-",IF(Table36[[#This Row],[%Protein]]="-","-",IF(Table36[[#This Row],[%Protein]]&lt;INDEX(Protmin,MATCH(Table36[[#This Row],[Grist]],SMI,0)),0,IF(Table36[[#This Row],[%Protein]]&gt;INDEX(Protmax,MATCH(Table36[[#This Row],[Grist]],SMI,0)),0,1))))</f>
        <v>-</v>
      </c>
      <c r="W465" s="127" t="str">
        <f>IF(INDEX(Ashmin,MATCH(Table36[[#This Row],[Grist]],SMI,0))="-","-",IF(Table36[[#This Row],[%Ash]]="-","-",IF(Table36[[#This Row],[%Ash]]&lt;INDEX(Ashmin,MATCH(Table36[[#This Row],[Grist]],SMI,0)),0,IF(Table36[[#This Row],[%Ash]]&gt;INDEX(Ashmax,MATCH(Table36[[#This Row],[Grist]],SMI,0)),0,1))))</f>
        <v>-</v>
      </c>
      <c r="X465" s="127" t="str">
        <f>IF(INDEX(Absmin,MATCH(Table36[[#This Row],[Grist]],SMI,0))="-","-",IF(Table36[[#This Row],[%Absorption]]="-","-",IF(Table36[[#This Row],[%Absorption]]&lt;INDEX(Absmin,MATCH(Table36[[#This Row],[Grist]],SMI,0)),0,IF(Table36[[#This Row],[%Absorption]]&gt;INDEX(Absmax,MATCH(Table36[[#This Row],[Grist]],SMI,0)),0,1))))</f>
        <v>-</v>
      </c>
      <c r="Y465" s="127" t="str">
        <f>IF(INDEX(Extmin,MATCH(Table36[[#This Row],[Grist]],SMI,0))="-","-",IF(Table36[[#This Row],[%Extensibility]]="-","-",IF(Table36[[#This Row],[%Extensibility]]&lt;INDEX(Extmin,MATCH(Table36[[#This Row],[Grist]],SMI,0)),0,IF(Table36[[#This Row],[%Extensibility]]&gt;INDEX(Extmax,MATCH(Table36[[#This Row],[Grist]],SMI,0)),0,1))))</f>
        <v>-</v>
      </c>
      <c r="Z465" s="127" t="str">
        <f>IF(INDEX(Resmin,MATCH(Table36[[#This Row],[Grist]],SMI,0))="-","-",IF(Table36[[#This Row],[Resistance, max]]="-","-",IF(Table36[[#This Row],[Resistance, max]]&lt;INDEX(Resmin,MATCH(Table36[[#This Row],[Grist]],SMI,0)),0,IF(Table36[[#This Row],[Resistance, max]]&gt;INDEX(Resmax,MATCH(Table36[[#This Row],[Grist]],SMI,0)),0,1))))</f>
        <v>-</v>
      </c>
      <c r="AA465" s="127" t="str">
        <f>IF(INDEX(WGmin,MATCH(Table36[[#This Row],[Grist]],SMI,0))="-","-",IF(Table36[[#This Row],[%Wet Gluten]]="-","-",IF(Table36[[#This Row],[%Wet Gluten]]&lt;INDEX(WGmin,MATCH(Table36[[#This Row],[Grist]],SMI,0)),0,IF(Table36[[#This Row],[%Wet Gluten]]&gt;INDEX(WGmax,MATCH(Table36[[#This Row],[Grist]],SMI,0)),0,1))))</f>
        <v>-</v>
      </c>
      <c r="AB465" s="127">
        <f>SUM(Table36[[#This Row],[ QI Bran Content]:[QI WG]])</f>
        <v>1</v>
      </c>
      <c r="AC465" s="127">
        <f>COUNT(Table36[[#This Row],[ QI Bran Content]:[QI WG]])</f>
        <v>3</v>
      </c>
    </row>
    <row r="466" spans="1:29" x14ac:dyDescent="0.35">
      <c r="A466" s="11">
        <v>45345</v>
      </c>
      <c r="B466" s="70">
        <v>45345</v>
      </c>
      <c r="C466" s="70" t="s">
        <v>128</v>
      </c>
      <c r="D466" s="28">
        <v>0.625</v>
      </c>
      <c r="E466" s="12" t="s">
        <v>0</v>
      </c>
      <c r="F466" s="13" t="s">
        <v>40</v>
      </c>
      <c r="G466" s="117">
        <v>0.01</v>
      </c>
      <c r="H466" s="14" t="s">
        <v>165</v>
      </c>
      <c r="I466" s="14" t="s">
        <v>165</v>
      </c>
      <c r="J466" s="14" t="s">
        <v>165</v>
      </c>
      <c r="K466" s="14">
        <v>13.2</v>
      </c>
      <c r="L466" s="14">
        <v>0</v>
      </c>
      <c r="M466" s="14">
        <v>0</v>
      </c>
      <c r="N466" s="14">
        <v>0</v>
      </c>
      <c r="O466" s="14">
        <v>0</v>
      </c>
      <c r="P466" s="14">
        <v>0</v>
      </c>
      <c r="Q466" s="14">
        <v>0</v>
      </c>
      <c r="R466" s="127">
        <f>IF(Table36[[#This Row],[ Bran Content]]="-","-",IF(G466&lt;0.02,1,0))</f>
        <v>1</v>
      </c>
      <c r="S466" s="127">
        <f>IF(Table36[[#This Row],[Sieve Test]]="-","-",IF(Table36[[#This Row],[Sieve Test]]="P",1,0))</f>
        <v>1</v>
      </c>
      <c r="T466" s="127">
        <f>IF(Table36[[#This Row],[Odor]]="-","-",IF(Table36[[#This Row],[Odor]]="P",1,0))</f>
        <v>1</v>
      </c>
      <c r="U466" s="127">
        <f>IF(INDEX(MCmin,MATCH(Table36[[#This Row],[Grist]],SMI,0))="-","-",IF(Table36[[#This Row],[F1 %MC]]="-","-",IF(Table36[[#This Row],[F1 %MC]]&lt;INDEX(MCmin,MATCH(Table36[[#This Row],[Grist]],SMI,0)),0,IF(Table36[[#This Row],[F1 %MC]]&gt;INDEX(MCmax,MATCH(Table36[[#This Row],[Grist]],SMI,0)),0,1))))</f>
        <v>1</v>
      </c>
      <c r="V466" s="127">
        <f>IF(INDEX(Protmin,MATCH(Table36[[#This Row],[Grist]],SMI,0))="-","-",IF(Table36[[#This Row],[%Protein]]="-","-",IF(Table36[[#This Row],[%Protein]]&lt;INDEX(Protmin,MATCH(Table36[[#This Row],[Grist]],SMI,0)),0,IF(Table36[[#This Row],[%Protein]]&gt;INDEX(Protmax,MATCH(Table36[[#This Row],[Grist]],SMI,0)),0,1))))</f>
        <v>0</v>
      </c>
      <c r="W466" s="127">
        <f>IF(INDEX(Ashmin,MATCH(Table36[[#This Row],[Grist]],SMI,0))="-","-",IF(Table36[[#This Row],[%Ash]]="-","-",IF(Table36[[#This Row],[%Ash]]&lt;INDEX(Ashmin,MATCH(Table36[[#This Row],[Grist]],SMI,0)),0,IF(Table36[[#This Row],[%Ash]]&gt;INDEX(Ashmax,MATCH(Table36[[#This Row],[Grist]],SMI,0)),0,1))))</f>
        <v>1</v>
      </c>
      <c r="X466" s="127">
        <f>IF(INDEX(Absmin,MATCH(Table36[[#This Row],[Grist]],SMI,0))="-","-",IF(Table36[[#This Row],[%Absorption]]="-","-",IF(Table36[[#This Row],[%Absorption]]&lt;INDEX(Absmin,MATCH(Table36[[#This Row],[Grist]],SMI,0)),0,IF(Table36[[#This Row],[%Absorption]]&gt;INDEX(Absmax,MATCH(Table36[[#This Row],[Grist]],SMI,0)),0,1))))</f>
        <v>0</v>
      </c>
      <c r="Y466" s="127">
        <f>IF(INDEX(Extmin,MATCH(Table36[[#This Row],[Grist]],SMI,0))="-","-",IF(Table36[[#This Row],[%Extensibility]]="-","-",IF(Table36[[#This Row],[%Extensibility]]&lt;INDEX(Extmin,MATCH(Table36[[#This Row],[Grist]],SMI,0)),0,IF(Table36[[#This Row],[%Extensibility]]&gt;INDEX(Extmax,MATCH(Table36[[#This Row],[Grist]],SMI,0)),0,1))))</f>
        <v>0</v>
      </c>
      <c r="Z466" s="127">
        <f>IF(INDEX(Resmin,MATCH(Table36[[#This Row],[Grist]],SMI,0))="-","-",IF(Table36[[#This Row],[Resistance, max]]="-","-",IF(Table36[[#This Row],[Resistance, max]]&lt;INDEX(Resmin,MATCH(Table36[[#This Row],[Grist]],SMI,0)),0,IF(Table36[[#This Row],[Resistance, max]]&gt;INDEX(Resmax,MATCH(Table36[[#This Row],[Grist]],SMI,0)),0,1))))</f>
        <v>0</v>
      </c>
      <c r="AA466" s="127">
        <f>IF(INDEX(WGmin,MATCH(Table36[[#This Row],[Grist]],SMI,0))="-","-",IF(Table36[[#This Row],[%Wet Gluten]]="-","-",IF(Table36[[#This Row],[%Wet Gluten]]&lt;INDEX(WGmin,MATCH(Table36[[#This Row],[Grist]],SMI,0)),0,IF(Table36[[#This Row],[%Wet Gluten]]&gt;INDEX(WGmax,MATCH(Table36[[#This Row],[Grist]],SMI,0)),0,1))))</f>
        <v>0</v>
      </c>
      <c r="AB466" s="127">
        <f>SUM(Table36[[#This Row],[ QI Bran Content]:[QI WG]])</f>
        <v>5</v>
      </c>
      <c r="AC466" s="127">
        <f>COUNT(Table36[[#This Row],[ QI Bran Content]:[QI WG]])</f>
        <v>10</v>
      </c>
    </row>
    <row r="467" spans="1:29" x14ac:dyDescent="0.35">
      <c r="A467" s="11">
        <v>45345</v>
      </c>
      <c r="B467" s="70">
        <v>45345</v>
      </c>
      <c r="C467" s="70" t="s">
        <v>128</v>
      </c>
      <c r="D467" s="28">
        <v>0.70833333333333304</v>
      </c>
      <c r="E467" s="12" t="s">
        <v>0</v>
      </c>
      <c r="F467" s="13" t="s">
        <v>27</v>
      </c>
      <c r="G467" s="117">
        <v>5.7000000000000002E-3</v>
      </c>
      <c r="H467" s="14" t="s">
        <v>165</v>
      </c>
      <c r="I467" s="14" t="s">
        <v>165</v>
      </c>
      <c r="J467" s="14" t="s">
        <v>165</v>
      </c>
      <c r="K467" s="14">
        <v>12.59</v>
      </c>
      <c r="L467" s="14">
        <v>0</v>
      </c>
      <c r="M467" s="14">
        <v>0</v>
      </c>
      <c r="N467" s="14">
        <v>0</v>
      </c>
      <c r="O467" s="14">
        <v>0</v>
      </c>
      <c r="P467" s="14">
        <v>0</v>
      </c>
      <c r="Q467" s="14">
        <v>0</v>
      </c>
      <c r="R467" s="127">
        <f>IF(Table36[[#This Row],[ Bran Content]]="-","-",IF(G467&lt;0.02,1,0))</f>
        <v>1</v>
      </c>
      <c r="S467" s="127">
        <f>IF(Table36[[#This Row],[Sieve Test]]="-","-",IF(Table36[[#This Row],[Sieve Test]]="P",1,0))</f>
        <v>1</v>
      </c>
      <c r="T467" s="127">
        <f>IF(Table36[[#This Row],[Odor]]="-","-",IF(Table36[[#This Row],[Odor]]="P",1,0))</f>
        <v>1</v>
      </c>
      <c r="U467" s="127">
        <f>IF(INDEX(MCmin,MATCH(Table36[[#This Row],[Grist]],SMI,0))="-","-",IF(Table36[[#This Row],[F1 %MC]]="-","-",IF(Table36[[#This Row],[F1 %MC]]&lt;INDEX(MCmin,MATCH(Table36[[#This Row],[Grist]],SMI,0)),0,IF(Table36[[#This Row],[F1 %MC]]&gt;INDEX(MCmax,MATCH(Table36[[#This Row],[Grist]],SMI,0)),0,1))))</f>
        <v>1</v>
      </c>
      <c r="V467" s="127">
        <f>IF(INDEX(Protmin,MATCH(Table36[[#This Row],[Grist]],SMI,0))="-","-",IF(Table36[[#This Row],[%Protein]]="-","-",IF(Table36[[#This Row],[%Protein]]&lt;INDEX(Protmin,MATCH(Table36[[#This Row],[Grist]],SMI,0)),0,IF(Table36[[#This Row],[%Protein]]&gt;INDEX(Protmax,MATCH(Table36[[#This Row],[Grist]],SMI,0)),0,1))))</f>
        <v>0</v>
      </c>
      <c r="W467" s="127">
        <f>IF(INDEX(Ashmin,MATCH(Table36[[#This Row],[Grist]],SMI,0))="-","-",IF(Table36[[#This Row],[%Ash]]="-","-",IF(Table36[[#This Row],[%Ash]]&lt;INDEX(Ashmin,MATCH(Table36[[#This Row],[Grist]],SMI,0)),0,IF(Table36[[#This Row],[%Ash]]&gt;INDEX(Ashmax,MATCH(Table36[[#This Row],[Grist]],SMI,0)),0,1))))</f>
        <v>1</v>
      </c>
      <c r="X467" s="127">
        <f>IF(INDEX(Absmin,MATCH(Table36[[#This Row],[Grist]],SMI,0))="-","-",IF(Table36[[#This Row],[%Absorption]]="-","-",IF(Table36[[#This Row],[%Absorption]]&lt;INDEX(Absmin,MATCH(Table36[[#This Row],[Grist]],SMI,0)),0,IF(Table36[[#This Row],[%Absorption]]&gt;INDEX(Absmax,MATCH(Table36[[#This Row],[Grist]],SMI,0)),0,1))))</f>
        <v>0</v>
      </c>
      <c r="Y467" s="127">
        <f>IF(INDEX(Extmin,MATCH(Table36[[#This Row],[Grist]],SMI,0))="-","-",IF(Table36[[#This Row],[%Extensibility]]="-","-",IF(Table36[[#This Row],[%Extensibility]]&lt;INDEX(Extmin,MATCH(Table36[[#This Row],[Grist]],SMI,0)),0,IF(Table36[[#This Row],[%Extensibility]]&gt;INDEX(Extmax,MATCH(Table36[[#This Row],[Grist]],SMI,0)),0,1))))</f>
        <v>0</v>
      </c>
      <c r="Z467" s="127">
        <f>IF(INDEX(Resmin,MATCH(Table36[[#This Row],[Grist]],SMI,0))="-","-",IF(Table36[[#This Row],[Resistance, max]]="-","-",IF(Table36[[#This Row],[Resistance, max]]&lt;INDEX(Resmin,MATCH(Table36[[#This Row],[Grist]],SMI,0)),0,IF(Table36[[#This Row],[Resistance, max]]&gt;INDEX(Resmax,MATCH(Table36[[#This Row],[Grist]],SMI,0)),0,1))))</f>
        <v>0</v>
      </c>
      <c r="AA467" s="127">
        <f>IF(INDEX(WGmin,MATCH(Table36[[#This Row],[Grist]],SMI,0))="-","-",IF(Table36[[#This Row],[%Wet Gluten]]="-","-",IF(Table36[[#This Row],[%Wet Gluten]]&lt;INDEX(WGmin,MATCH(Table36[[#This Row],[Grist]],SMI,0)),0,IF(Table36[[#This Row],[%Wet Gluten]]&gt;INDEX(WGmax,MATCH(Table36[[#This Row],[Grist]],SMI,0)),0,1))))</f>
        <v>0</v>
      </c>
      <c r="AB467" s="127">
        <f>SUM(Table36[[#This Row],[ QI Bran Content]:[QI WG]])</f>
        <v>5</v>
      </c>
      <c r="AC467" s="127">
        <f>COUNT(Table36[[#This Row],[ QI Bran Content]:[QI WG]])</f>
        <v>10</v>
      </c>
    </row>
    <row r="468" spans="1:29" x14ac:dyDescent="0.35">
      <c r="A468" s="11">
        <v>45345</v>
      </c>
      <c r="B468" s="70">
        <v>45345</v>
      </c>
      <c r="C468" s="70" t="s">
        <v>128</v>
      </c>
      <c r="D468" s="28">
        <v>0.79166666666666596</v>
      </c>
      <c r="E468" s="12" t="s">
        <v>0</v>
      </c>
      <c r="F468" s="13" t="s">
        <v>27</v>
      </c>
      <c r="G468" s="117">
        <v>7.3000000000000001E-3</v>
      </c>
      <c r="H468" s="14" t="s">
        <v>165</v>
      </c>
      <c r="I468" s="14" t="s">
        <v>165</v>
      </c>
      <c r="J468" s="14" t="s">
        <v>165</v>
      </c>
      <c r="K468" s="14">
        <v>12.79</v>
      </c>
      <c r="L468" s="14">
        <v>0</v>
      </c>
      <c r="M468" s="14">
        <v>0</v>
      </c>
      <c r="N468" s="14">
        <v>0</v>
      </c>
      <c r="O468" s="14">
        <v>0</v>
      </c>
      <c r="P468" s="14">
        <v>0</v>
      </c>
      <c r="Q468" s="14">
        <v>0</v>
      </c>
      <c r="R468" s="127">
        <f>IF(Table36[[#This Row],[ Bran Content]]="-","-",IF(G468&lt;0.02,1,0))</f>
        <v>1</v>
      </c>
      <c r="S468" s="127">
        <f>IF(Table36[[#This Row],[Sieve Test]]="-","-",IF(Table36[[#This Row],[Sieve Test]]="P",1,0))</f>
        <v>1</v>
      </c>
      <c r="T468" s="127">
        <f>IF(Table36[[#This Row],[Odor]]="-","-",IF(Table36[[#This Row],[Odor]]="P",1,0))</f>
        <v>1</v>
      </c>
      <c r="U468" s="127">
        <f>IF(INDEX(MCmin,MATCH(Table36[[#This Row],[Grist]],SMI,0))="-","-",IF(Table36[[#This Row],[F1 %MC]]="-","-",IF(Table36[[#This Row],[F1 %MC]]&lt;INDEX(MCmin,MATCH(Table36[[#This Row],[Grist]],SMI,0)),0,IF(Table36[[#This Row],[F1 %MC]]&gt;INDEX(MCmax,MATCH(Table36[[#This Row],[Grist]],SMI,0)),0,1))))</f>
        <v>1</v>
      </c>
      <c r="V468" s="127">
        <f>IF(INDEX(Protmin,MATCH(Table36[[#This Row],[Grist]],SMI,0))="-","-",IF(Table36[[#This Row],[%Protein]]="-","-",IF(Table36[[#This Row],[%Protein]]&lt;INDEX(Protmin,MATCH(Table36[[#This Row],[Grist]],SMI,0)),0,IF(Table36[[#This Row],[%Protein]]&gt;INDEX(Protmax,MATCH(Table36[[#This Row],[Grist]],SMI,0)),0,1))))</f>
        <v>0</v>
      </c>
      <c r="W468" s="127">
        <f>IF(INDEX(Ashmin,MATCH(Table36[[#This Row],[Grist]],SMI,0))="-","-",IF(Table36[[#This Row],[%Ash]]="-","-",IF(Table36[[#This Row],[%Ash]]&lt;INDEX(Ashmin,MATCH(Table36[[#This Row],[Grist]],SMI,0)),0,IF(Table36[[#This Row],[%Ash]]&gt;INDEX(Ashmax,MATCH(Table36[[#This Row],[Grist]],SMI,0)),0,1))))</f>
        <v>1</v>
      </c>
      <c r="X468" s="127">
        <f>IF(INDEX(Absmin,MATCH(Table36[[#This Row],[Grist]],SMI,0))="-","-",IF(Table36[[#This Row],[%Absorption]]="-","-",IF(Table36[[#This Row],[%Absorption]]&lt;INDEX(Absmin,MATCH(Table36[[#This Row],[Grist]],SMI,0)),0,IF(Table36[[#This Row],[%Absorption]]&gt;INDEX(Absmax,MATCH(Table36[[#This Row],[Grist]],SMI,0)),0,1))))</f>
        <v>0</v>
      </c>
      <c r="Y468" s="127">
        <f>IF(INDEX(Extmin,MATCH(Table36[[#This Row],[Grist]],SMI,0))="-","-",IF(Table36[[#This Row],[%Extensibility]]="-","-",IF(Table36[[#This Row],[%Extensibility]]&lt;INDEX(Extmin,MATCH(Table36[[#This Row],[Grist]],SMI,0)),0,IF(Table36[[#This Row],[%Extensibility]]&gt;INDEX(Extmax,MATCH(Table36[[#This Row],[Grist]],SMI,0)),0,1))))</f>
        <v>0</v>
      </c>
      <c r="Z468" s="127">
        <f>IF(INDEX(Resmin,MATCH(Table36[[#This Row],[Grist]],SMI,0))="-","-",IF(Table36[[#This Row],[Resistance, max]]="-","-",IF(Table36[[#This Row],[Resistance, max]]&lt;INDEX(Resmin,MATCH(Table36[[#This Row],[Grist]],SMI,0)),0,IF(Table36[[#This Row],[Resistance, max]]&gt;INDEX(Resmax,MATCH(Table36[[#This Row],[Grist]],SMI,0)),0,1))))</f>
        <v>0</v>
      </c>
      <c r="AA468" s="127">
        <f>IF(INDEX(WGmin,MATCH(Table36[[#This Row],[Grist]],SMI,0))="-","-",IF(Table36[[#This Row],[%Wet Gluten]]="-","-",IF(Table36[[#This Row],[%Wet Gluten]]&lt;INDEX(WGmin,MATCH(Table36[[#This Row],[Grist]],SMI,0)),0,IF(Table36[[#This Row],[%Wet Gluten]]&gt;INDEX(WGmax,MATCH(Table36[[#This Row],[Grist]],SMI,0)),0,1))))</f>
        <v>0</v>
      </c>
      <c r="AB468" s="127">
        <f>SUM(Table36[[#This Row],[ QI Bran Content]:[QI WG]])</f>
        <v>5</v>
      </c>
      <c r="AC468" s="127">
        <f>COUNT(Table36[[#This Row],[ QI Bran Content]:[QI WG]])</f>
        <v>10</v>
      </c>
    </row>
    <row r="469" spans="1:29" x14ac:dyDescent="0.35">
      <c r="A469" s="11">
        <v>45345</v>
      </c>
      <c r="B469" s="70">
        <v>45345</v>
      </c>
      <c r="C469" s="70" t="s">
        <v>128</v>
      </c>
      <c r="D469" s="28">
        <v>0.874999999999999</v>
      </c>
      <c r="E469" s="12" t="s">
        <v>0</v>
      </c>
      <c r="F469" s="13" t="s">
        <v>27</v>
      </c>
      <c r="G469" s="117">
        <v>9.4999999999999998E-3</v>
      </c>
      <c r="H469" s="14" t="s">
        <v>165</v>
      </c>
      <c r="I469" s="14" t="s">
        <v>165</v>
      </c>
      <c r="J469" s="14" t="s">
        <v>165</v>
      </c>
      <c r="K469" s="14">
        <v>13.35</v>
      </c>
      <c r="L469" s="14">
        <v>0</v>
      </c>
      <c r="M469" s="14">
        <v>0</v>
      </c>
      <c r="N469" s="14">
        <v>0</v>
      </c>
      <c r="O469" s="14">
        <v>0</v>
      </c>
      <c r="P469" s="14">
        <v>0</v>
      </c>
      <c r="Q469" s="14">
        <v>0</v>
      </c>
      <c r="R469" s="127">
        <f>IF(Table36[[#This Row],[ Bran Content]]="-","-",IF(G469&lt;0.02,1,0))</f>
        <v>1</v>
      </c>
      <c r="S469" s="127">
        <f>IF(Table36[[#This Row],[Sieve Test]]="-","-",IF(Table36[[#This Row],[Sieve Test]]="P",1,0))</f>
        <v>1</v>
      </c>
      <c r="T469" s="127">
        <f>IF(Table36[[#This Row],[Odor]]="-","-",IF(Table36[[#This Row],[Odor]]="P",1,0))</f>
        <v>1</v>
      </c>
      <c r="U469" s="127">
        <f>IF(INDEX(MCmin,MATCH(Table36[[#This Row],[Grist]],SMI,0))="-","-",IF(Table36[[#This Row],[F1 %MC]]="-","-",IF(Table36[[#This Row],[F1 %MC]]&lt;INDEX(MCmin,MATCH(Table36[[#This Row],[Grist]],SMI,0)),0,IF(Table36[[#This Row],[F1 %MC]]&gt;INDEX(MCmax,MATCH(Table36[[#This Row],[Grist]],SMI,0)),0,1))))</f>
        <v>1</v>
      </c>
      <c r="V469" s="127">
        <f>IF(INDEX(Protmin,MATCH(Table36[[#This Row],[Grist]],SMI,0))="-","-",IF(Table36[[#This Row],[%Protein]]="-","-",IF(Table36[[#This Row],[%Protein]]&lt;INDEX(Protmin,MATCH(Table36[[#This Row],[Grist]],SMI,0)),0,IF(Table36[[#This Row],[%Protein]]&gt;INDEX(Protmax,MATCH(Table36[[#This Row],[Grist]],SMI,0)),0,1))))</f>
        <v>0</v>
      </c>
      <c r="W469" s="127">
        <f>IF(INDEX(Ashmin,MATCH(Table36[[#This Row],[Grist]],SMI,0))="-","-",IF(Table36[[#This Row],[%Ash]]="-","-",IF(Table36[[#This Row],[%Ash]]&lt;INDEX(Ashmin,MATCH(Table36[[#This Row],[Grist]],SMI,0)),0,IF(Table36[[#This Row],[%Ash]]&gt;INDEX(Ashmax,MATCH(Table36[[#This Row],[Grist]],SMI,0)),0,1))))</f>
        <v>1</v>
      </c>
      <c r="X469" s="127">
        <f>IF(INDEX(Absmin,MATCH(Table36[[#This Row],[Grist]],SMI,0))="-","-",IF(Table36[[#This Row],[%Absorption]]="-","-",IF(Table36[[#This Row],[%Absorption]]&lt;INDEX(Absmin,MATCH(Table36[[#This Row],[Grist]],SMI,0)),0,IF(Table36[[#This Row],[%Absorption]]&gt;INDEX(Absmax,MATCH(Table36[[#This Row],[Grist]],SMI,0)),0,1))))</f>
        <v>0</v>
      </c>
      <c r="Y469" s="127">
        <f>IF(INDEX(Extmin,MATCH(Table36[[#This Row],[Grist]],SMI,0))="-","-",IF(Table36[[#This Row],[%Extensibility]]="-","-",IF(Table36[[#This Row],[%Extensibility]]&lt;INDEX(Extmin,MATCH(Table36[[#This Row],[Grist]],SMI,0)),0,IF(Table36[[#This Row],[%Extensibility]]&gt;INDEX(Extmax,MATCH(Table36[[#This Row],[Grist]],SMI,0)),0,1))))</f>
        <v>0</v>
      </c>
      <c r="Z469" s="127">
        <f>IF(INDEX(Resmin,MATCH(Table36[[#This Row],[Grist]],SMI,0))="-","-",IF(Table36[[#This Row],[Resistance, max]]="-","-",IF(Table36[[#This Row],[Resistance, max]]&lt;INDEX(Resmin,MATCH(Table36[[#This Row],[Grist]],SMI,0)),0,IF(Table36[[#This Row],[Resistance, max]]&gt;INDEX(Resmax,MATCH(Table36[[#This Row],[Grist]],SMI,0)),0,1))))</f>
        <v>0</v>
      </c>
      <c r="AA469" s="127">
        <f>IF(INDEX(WGmin,MATCH(Table36[[#This Row],[Grist]],SMI,0))="-","-",IF(Table36[[#This Row],[%Wet Gluten]]="-","-",IF(Table36[[#This Row],[%Wet Gluten]]&lt;INDEX(WGmin,MATCH(Table36[[#This Row],[Grist]],SMI,0)),0,IF(Table36[[#This Row],[%Wet Gluten]]&gt;INDEX(WGmax,MATCH(Table36[[#This Row],[Grist]],SMI,0)),0,1))))</f>
        <v>0</v>
      </c>
      <c r="AB469" s="127">
        <f>SUM(Table36[[#This Row],[ QI Bran Content]:[QI WG]])</f>
        <v>5</v>
      </c>
      <c r="AC469" s="127">
        <f>COUNT(Table36[[#This Row],[ QI Bran Content]:[QI WG]])</f>
        <v>10</v>
      </c>
    </row>
    <row r="470" spans="1:29" x14ac:dyDescent="0.35">
      <c r="A470" s="11">
        <v>45345</v>
      </c>
      <c r="B470" s="70">
        <v>45345</v>
      </c>
      <c r="C470" s="70" t="s">
        <v>130</v>
      </c>
      <c r="D470" s="28">
        <v>0.95833333333333337</v>
      </c>
      <c r="E470" s="12" t="s">
        <v>0</v>
      </c>
      <c r="F470" s="13" t="s">
        <v>27</v>
      </c>
      <c r="G470" s="117">
        <v>7.3000000000000001E-3</v>
      </c>
      <c r="H470" s="14" t="s">
        <v>165</v>
      </c>
      <c r="I470" s="14" t="s">
        <v>165</v>
      </c>
      <c r="J470" s="14" t="s">
        <v>165</v>
      </c>
      <c r="K470" s="14">
        <v>12.94</v>
      </c>
      <c r="L470" s="14">
        <v>13.66</v>
      </c>
      <c r="M470" s="14">
        <v>0.52</v>
      </c>
      <c r="N470" s="14">
        <v>65.5</v>
      </c>
      <c r="O470" s="14">
        <v>0</v>
      </c>
      <c r="P470" s="14">
        <v>0</v>
      </c>
      <c r="Q470" s="14">
        <v>37.119999999999997</v>
      </c>
      <c r="R470" s="127">
        <f>IF(Table36[[#This Row],[ Bran Content]]="-","-",IF(G470&lt;0.02,1,0))</f>
        <v>1</v>
      </c>
      <c r="S470" s="127">
        <f>IF(Table36[[#This Row],[Sieve Test]]="-","-",IF(Table36[[#This Row],[Sieve Test]]="P",1,0))</f>
        <v>1</v>
      </c>
      <c r="T470" s="127">
        <f>IF(Table36[[#This Row],[Odor]]="-","-",IF(Table36[[#This Row],[Odor]]="P",1,0))</f>
        <v>1</v>
      </c>
      <c r="U470" s="127">
        <f>IF(INDEX(MCmin,MATCH(Table36[[#This Row],[Grist]],SMI,0))="-","-",IF(Table36[[#This Row],[F1 %MC]]="-","-",IF(Table36[[#This Row],[F1 %MC]]&lt;INDEX(MCmin,MATCH(Table36[[#This Row],[Grist]],SMI,0)),0,IF(Table36[[#This Row],[F1 %MC]]&gt;INDEX(MCmax,MATCH(Table36[[#This Row],[Grist]],SMI,0)),0,1))))</f>
        <v>1</v>
      </c>
      <c r="V470" s="127">
        <f>IF(INDEX(Protmin,MATCH(Table36[[#This Row],[Grist]],SMI,0))="-","-",IF(Table36[[#This Row],[%Protein]]="-","-",IF(Table36[[#This Row],[%Protein]]&lt;INDEX(Protmin,MATCH(Table36[[#This Row],[Grist]],SMI,0)),0,IF(Table36[[#This Row],[%Protein]]&gt;INDEX(Protmax,MATCH(Table36[[#This Row],[Grist]],SMI,0)),0,1))))</f>
        <v>1</v>
      </c>
      <c r="W470" s="127">
        <f>IF(INDEX(Ashmin,MATCH(Table36[[#This Row],[Grist]],SMI,0))="-","-",IF(Table36[[#This Row],[%Ash]]="-","-",IF(Table36[[#This Row],[%Ash]]&lt;INDEX(Ashmin,MATCH(Table36[[#This Row],[Grist]],SMI,0)),0,IF(Table36[[#This Row],[%Ash]]&gt;INDEX(Ashmax,MATCH(Table36[[#This Row],[Grist]],SMI,0)),0,1))))</f>
        <v>1</v>
      </c>
      <c r="X470" s="127">
        <f>IF(INDEX(Absmin,MATCH(Table36[[#This Row],[Grist]],SMI,0))="-","-",IF(Table36[[#This Row],[%Absorption]]="-","-",IF(Table36[[#This Row],[%Absorption]]&lt;INDEX(Absmin,MATCH(Table36[[#This Row],[Grist]],SMI,0)),0,IF(Table36[[#This Row],[%Absorption]]&gt;INDEX(Absmax,MATCH(Table36[[#This Row],[Grist]],SMI,0)),0,1))))</f>
        <v>1</v>
      </c>
      <c r="Y470" s="127">
        <f>IF(INDEX(Extmin,MATCH(Table36[[#This Row],[Grist]],SMI,0))="-","-",IF(Table36[[#This Row],[%Extensibility]]="-","-",IF(Table36[[#This Row],[%Extensibility]]&lt;INDEX(Extmin,MATCH(Table36[[#This Row],[Grist]],SMI,0)),0,IF(Table36[[#This Row],[%Extensibility]]&gt;INDEX(Extmax,MATCH(Table36[[#This Row],[Grist]],SMI,0)),0,1))))</f>
        <v>0</v>
      </c>
      <c r="Z470" s="127">
        <f>IF(INDEX(Resmin,MATCH(Table36[[#This Row],[Grist]],SMI,0))="-","-",IF(Table36[[#This Row],[Resistance, max]]="-","-",IF(Table36[[#This Row],[Resistance, max]]&lt;INDEX(Resmin,MATCH(Table36[[#This Row],[Grist]],SMI,0)),0,IF(Table36[[#This Row],[Resistance, max]]&gt;INDEX(Resmax,MATCH(Table36[[#This Row],[Grist]],SMI,0)),0,1))))</f>
        <v>0</v>
      </c>
      <c r="AA470" s="127">
        <f>IF(INDEX(WGmin,MATCH(Table36[[#This Row],[Grist]],SMI,0))="-","-",IF(Table36[[#This Row],[%Wet Gluten]]="-","-",IF(Table36[[#This Row],[%Wet Gluten]]&lt;INDEX(WGmin,MATCH(Table36[[#This Row],[Grist]],SMI,0)),0,IF(Table36[[#This Row],[%Wet Gluten]]&gt;INDEX(WGmax,MATCH(Table36[[#This Row],[Grist]],SMI,0)),0,1))))</f>
        <v>1</v>
      </c>
      <c r="AB470" s="127">
        <f>SUM(Table36[[#This Row],[ QI Bran Content]:[QI WG]])</f>
        <v>8</v>
      </c>
      <c r="AC470" s="127">
        <f>COUNT(Table36[[#This Row],[ QI Bran Content]:[QI WG]])</f>
        <v>10</v>
      </c>
    </row>
    <row r="471" spans="1:29" x14ac:dyDescent="0.35">
      <c r="A471" s="11">
        <v>45345</v>
      </c>
      <c r="B471" s="70">
        <v>45345</v>
      </c>
      <c r="C471" s="70" t="s">
        <v>130</v>
      </c>
      <c r="D471" s="28">
        <v>1.0416666666666701</v>
      </c>
      <c r="E471" s="12" t="s">
        <v>0</v>
      </c>
      <c r="F471" s="13" t="s">
        <v>27</v>
      </c>
      <c r="G471" s="117">
        <v>8.0000000000000002E-3</v>
      </c>
      <c r="H471" s="14" t="s">
        <v>165</v>
      </c>
      <c r="I471" s="14" t="s">
        <v>165</v>
      </c>
      <c r="J471" s="14" t="s">
        <v>165</v>
      </c>
      <c r="K471" s="14">
        <v>12.48</v>
      </c>
      <c r="L471" s="14">
        <v>13.66</v>
      </c>
      <c r="M471" s="14">
        <v>0.52</v>
      </c>
      <c r="N471" s="14">
        <v>65.5</v>
      </c>
      <c r="O471" s="14">
        <v>0</v>
      </c>
      <c r="P471" s="14">
        <v>0</v>
      </c>
      <c r="Q471" s="14">
        <v>37.119999999999997</v>
      </c>
      <c r="R471" s="127">
        <f>IF(Table36[[#This Row],[ Bran Content]]="-","-",IF(G471&lt;0.02,1,0))</f>
        <v>1</v>
      </c>
      <c r="S471" s="127">
        <f>IF(Table36[[#This Row],[Sieve Test]]="-","-",IF(Table36[[#This Row],[Sieve Test]]="P",1,0))</f>
        <v>1</v>
      </c>
      <c r="T471" s="127">
        <f>IF(Table36[[#This Row],[Odor]]="-","-",IF(Table36[[#This Row],[Odor]]="P",1,0))</f>
        <v>1</v>
      </c>
      <c r="U471" s="127">
        <f>IF(INDEX(MCmin,MATCH(Table36[[#This Row],[Grist]],SMI,0))="-","-",IF(Table36[[#This Row],[F1 %MC]]="-","-",IF(Table36[[#This Row],[F1 %MC]]&lt;INDEX(MCmin,MATCH(Table36[[#This Row],[Grist]],SMI,0)),0,IF(Table36[[#This Row],[F1 %MC]]&gt;INDEX(MCmax,MATCH(Table36[[#This Row],[Grist]],SMI,0)),0,1))))</f>
        <v>1</v>
      </c>
      <c r="V471" s="127">
        <f>IF(INDEX(Protmin,MATCH(Table36[[#This Row],[Grist]],SMI,0))="-","-",IF(Table36[[#This Row],[%Protein]]="-","-",IF(Table36[[#This Row],[%Protein]]&lt;INDEX(Protmin,MATCH(Table36[[#This Row],[Grist]],SMI,0)),0,IF(Table36[[#This Row],[%Protein]]&gt;INDEX(Protmax,MATCH(Table36[[#This Row],[Grist]],SMI,0)),0,1))))</f>
        <v>1</v>
      </c>
      <c r="W471" s="127">
        <f>IF(INDEX(Ashmin,MATCH(Table36[[#This Row],[Grist]],SMI,0))="-","-",IF(Table36[[#This Row],[%Ash]]="-","-",IF(Table36[[#This Row],[%Ash]]&lt;INDEX(Ashmin,MATCH(Table36[[#This Row],[Grist]],SMI,0)),0,IF(Table36[[#This Row],[%Ash]]&gt;INDEX(Ashmax,MATCH(Table36[[#This Row],[Grist]],SMI,0)),0,1))))</f>
        <v>1</v>
      </c>
      <c r="X471" s="127">
        <f>IF(INDEX(Absmin,MATCH(Table36[[#This Row],[Grist]],SMI,0))="-","-",IF(Table36[[#This Row],[%Absorption]]="-","-",IF(Table36[[#This Row],[%Absorption]]&lt;INDEX(Absmin,MATCH(Table36[[#This Row],[Grist]],SMI,0)),0,IF(Table36[[#This Row],[%Absorption]]&gt;INDEX(Absmax,MATCH(Table36[[#This Row],[Grist]],SMI,0)),0,1))))</f>
        <v>1</v>
      </c>
      <c r="Y471" s="127">
        <f>IF(INDEX(Extmin,MATCH(Table36[[#This Row],[Grist]],SMI,0))="-","-",IF(Table36[[#This Row],[%Extensibility]]="-","-",IF(Table36[[#This Row],[%Extensibility]]&lt;INDEX(Extmin,MATCH(Table36[[#This Row],[Grist]],SMI,0)),0,IF(Table36[[#This Row],[%Extensibility]]&gt;INDEX(Extmax,MATCH(Table36[[#This Row],[Grist]],SMI,0)),0,1))))</f>
        <v>0</v>
      </c>
      <c r="Z471" s="127">
        <f>IF(INDEX(Resmin,MATCH(Table36[[#This Row],[Grist]],SMI,0))="-","-",IF(Table36[[#This Row],[Resistance, max]]="-","-",IF(Table36[[#This Row],[Resistance, max]]&lt;INDEX(Resmin,MATCH(Table36[[#This Row],[Grist]],SMI,0)),0,IF(Table36[[#This Row],[Resistance, max]]&gt;INDEX(Resmax,MATCH(Table36[[#This Row],[Grist]],SMI,0)),0,1))))</f>
        <v>0</v>
      </c>
      <c r="AA471" s="127">
        <f>IF(INDEX(WGmin,MATCH(Table36[[#This Row],[Grist]],SMI,0))="-","-",IF(Table36[[#This Row],[%Wet Gluten]]="-","-",IF(Table36[[#This Row],[%Wet Gluten]]&lt;INDEX(WGmin,MATCH(Table36[[#This Row],[Grist]],SMI,0)),0,IF(Table36[[#This Row],[%Wet Gluten]]&gt;INDEX(WGmax,MATCH(Table36[[#This Row],[Grist]],SMI,0)),0,1))))</f>
        <v>1</v>
      </c>
      <c r="AB471" s="127">
        <f>SUM(Table36[[#This Row],[ QI Bran Content]:[QI WG]])</f>
        <v>8</v>
      </c>
      <c r="AC471" s="127">
        <f>COUNT(Table36[[#This Row],[ QI Bran Content]:[QI WG]])</f>
        <v>10</v>
      </c>
    </row>
    <row r="472" spans="1:29" x14ac:dyDescent="0.35">
      <c r="A472" s="11">
        <v>45345</v>
      </c>
      <c r="B472" s="70">
        <v>45345</v>
      </c>
      <c r="C472" s="70" t="s">
        <v>130</v>
      </c>
      <c r="D472" s="28">
        <v>1.125</v>
      </c>
      <c r="E472" s="12" t="s">
        <v>0</v>
      </c>
      <c r="F472" s="13" t="s">
        <v>27</v>
      </c>
      <c r="G472" s="117">
        <v>1.17E-2</v>
      </c>
      <c r="H472" s="14" t="s">
        <v>165</v>
      </c>
      <c r="I472" s="14" t="s">
        <v>165</v>
      </c>
      <c r="J472" s="14" t="s">
        <v>165</v>
      </c>
      <c r="K472" s="14">
        <v>13.32</v>
      </c>
      <c r="L472" s="14">
        <v>13.66</v>
      </c>
      <c r="M472" s="14">
        <v>0.52</v>
      </c>
      <c r="N472" s="14">
        <v>65.5</v>
      </c>
      <c r="O472" s="14">
        <v>0</v>
      </c>
      <c r="P472" s="14">
        <v>0</v>
      </c>
      <c r="Q472" s="14">
        <v>37.119999999999997</v>
      </c>
      <c r="R472" s="127">
        <f>IF(Table36[[#This Row],[ Bran Content]]="-","-",IF(G472&lt;0.02,1,0))</f>
        <v>1</v>
      </c>
      <c r="S472" s="127">
        <f>IF(Table36[[#This Row],[Sieve Test]]="-","-",IF(Table36[[#This Row],[Sieve Test]]="P",1,0))</f>
        <v>1</v>
      </c>
      <c r="T472" s="127">
        <f>IF(Table36[[#This Row],[Odor]]="-","-",IF(Table36[[#This Row],[Odor]]="P",1,0))</f>
        <v>1</v>
      </c>
      <c r="U472" s="127">
        <f>IF(INDEX(MCmin,MATCH(Table36[[#This Row],[Grist]],SMI,0))="-","-",IF(Table36[[#This Row],[F1 %MC]]="-","-",IF(Table36[[#This Row],[F1 %MC]]&lt;INDEX(MCmin,MATCH(Table36[[#This Row],[Grist]],SMI,0)),0,IF(Table36[[#This Row],[F1 %MC]]&gt;INDEX(MCmax,MATCH(Table36[[#This Row],[Grist]],SMI,0)),0,1))))</f>
        <v>1</v>
      </c>
      <c r="V472" s="127">
        <f>IF(INDEX(Protmin,MATCH(Table36[[#This Row],[Grist]],SMI,0))="-","-",IF(Table36[[#This Row],[%Protein]]="-","-",IF(Table36[[#This Row],[%Protein]]&lt;INDEX(Protmin,MATCH(Table36[[#This Row],[Grist]],SMI,0)),0,IF(Table36[[#This Row],[%Protein]]&gt;INDEX(Protmax,MATCH(Table36[[#This Row],[Grist]],SMI,0)),0,1))))</f>
        <v>1</v>
      </c>
      <c r="W472" s="127">
        <f>IF(INDEX(Ashmin,MATCH(Table36[[#This Row],[Grist]],SMI,0))="-","-",IF(Table36[[#This Row],[%Ash]]="-","-",IF(Table36[[#This Row],[%Ash]]&lt;INDEX(Ashmin,MATCH(Table36[[#This Row],[Grist]],SMI,0)),0,IF(Table36[[#This Row],[%Ash]]&gt;INDEX(Ashmax,MATCH(Table36[[#This Row],[Grist]],SMI,0)),0,1))))</f>
        <v>1</v>
      </c>
      <c r="X472" s="127">
        <f>IF(INDEX(Absmin,MATCH(Table36[[#This Row],[Grist]],SMI,0))="-","-",IF(Table36[[#This Row],[%Absorption]]="-","-",IF(Table36[[#This Row],[%Absorption]]&lt;INDEX(Absmin,MATCH(Table36[[#This Row],[Grist]],SMI,0)),0,IF(Table36[[#This Row],[%Absorption]]&gt;INDEX(Absmax,MATCH(Table36[[#This Row],[Grist]],SMI,0)),0,1))))</f>
        <v>1</v>
      </c>
      <c r="Y472" s="127">
        <f>IF(INDEX(Extmin,MATCH(Table36[[#This Row],[Grist]],SMI,0))="-","-",IF(Table36[[#This Row],[%Extensibility]]="-","-",IF(Table36[[#This Row],[%Extensibility]]&lt;INDEX(Extmin,MATCH(Table36[[#This Row],[Grist]],SMI,0)),0,IF(Table36[[#This Row],[%Extensibility]]&gt;INDEX(Extmax,MATCH(Table36[[#This Row],[Grist]],SMI,0)),0,1))))</f>
        <v>0</v>
      </c>
      <c r="Z472" s="127">
        <f>IF(INDEX(Resmin,MATCH(Table36[[#This Row],[Grist]],SMI,0))="-","-",IF(Table36[[#This Row],[Resistance, max]]="-","-",IF(Table36[[#This Row],[Resistance, max]]&lt;INDEX(Resmin,MATCH(Table36[[#This Row],[Grist]],SMI,0)),0,IF(Table36[[#This Row],[Resistance, max]]&gt;INDEX(Resmax,MATCH(Table36[[#This Row],[Grist]],SMI,0)),0,1))))</f>
        <v>0</v>
      </c>
      <c r="AA472" s="127">
        <f>IF(INDEX(WGmin,MATCH(Table36[[#This Row],[Grist]],SMI,0))="-","-",IF(Table36[[#This Row],[%Wet Gluten]]="-","-",IF(Table36[[#This Row],[%Wet Gluten]]&lt;INDEX(WGmin,MATCH(Table36[[#This Row],[Grist]],SMI,0)),0,IF(Table36[[#This Row],[%Wet Gluten]]&gt;INDEX(WGmax,MATCH(Table36[[#This Row],[Grist]],SMI,0)),0,1))))</f>
        <v>1</v>
      </c>
      <c r="AB472" s="127">
        <f>SUM(Table36[[#This Row],[ QI Bran Content]:[QI WG]])</f>
        <v>8</v>
      </c>
      <c r="AC472" s="127">
        <f>COUNT(Table36[[#This Row],[ QI Bran Content]:[QI WG]])</f>
        <v>10</v>
      </c>
    </row>
    <row r="473" spans="1:29" x14ac:dyDescent="0.35">
      <c r="A473" s="11">
        <v>45345</v>
      </c>
      <c r="B473" s="70">
        <v>45345</v>
      </c>
      <c r="C473" s="70" t="s">
        <v>130</v>
      </c>
      <c r="D473" s="28">
        <v>1.2083333333333299</v>
      </c>
      <c r="E473" s="12" t="s">
        <v>0</v>
      </c>
      <c r="F473" s="13" t="s">
        <v>27</v>
      </c>
      <c r="G473" s="117">
        <v>1.2E-2</v>
      </c>
      <c r="H473" s="14" t="s">
        <v>165</v>
      </c>
      <c r="I473" s="14" t="s">
        <v>165</v>
      </c>
      <c r="J473" s="14" t="s">
        <v>165</v>
      </c>
      <c r="K473" s="14">
        <v>13.12</v>
      </c>
      <c r="L473" s="14">
        <v>13.66</v>
      </c>
      <c r="M473" s="14">
        <v>0.52</v>
      </c>
      <c r="N473" s="14">
        <v>65.5</v>
      </c>
      <c r="O473" s="14">
        <v>0</v>
      </c>
      <c r="P473" s="14">
        <v>0</v>
      </c>
      <c r="Q473" s="14">
        <v>37.119999999999997</v>
      </c>
      <c r="R473" s="127">
        <f>IF(Table36[[#This Row],[ Bran Content]]="-","-",IF(G473&lt;0.02,1,0))</f>
        <v>1</v>
      </c>
      <c r="S473" s="127">
        <f>IF(Table36[[#This Row],[Sieve Test]]="-","-",IF(Table36[[#This Row],[Sieve Test]]="P",1,0))</f>
        <v>1</v>
      </c>
      <c r="T473" s="127">
        <f>IF(Table36[[#This Row],[Odor]]="-","-",IF(Table36[[#This Row],[Odor]]="P",1,0))</f>
        <v>1</v>
      </c>
      <c r="U473" s="127">
        <f>IF(INDEX(MCmin,MATCH(Table36[[#This Row],[Grist]],SMI,0))="-","-",IF(Table36[[#This Row],[F1 %MC]]="-","-",IF(Table36[[#This Row],[F1 %MC]]&lt;INDEX(MCmin,MATCH(Table36[[#This Row],[Grist]],SMI,0)),0,IF(Table36[[#This Row],[F1 %MC]]&gt;INDEX(MCmax,MATCH(Table36[[#This Row],[Grist]],SMI,0)),0,1))))</f>
        <v>1</v>
      </c>
      <c r="V473" s="127">
        <f>IF(INDEX(Protmin,MATCH(Table36[[#This Row],[Grist]],SMI,0))="-","-",IF(Table36[[#This Row],[%Protein]]="-","-",IF(Table36[[#This Row],[%Protein]]&lt;INDEX(Protmin,MATCH(Table36[[#This Row],[Grist]],SMI,0)),0,IF(Table36[[#This Row],[%Protein]]&gt;INDEX(Protmax,MATCH(Table36[[#This Row],[Grist]],SMI,0)),0,1))))</f>
        <v>1</v>
      </c>
      <c r="W473" s="127">
        <f>IF(INDEX(Ashmin,MATCH(Table36[[#This Row],[Grist]],SMI,0))="-","-",IF(Table36[[#This Row],[%Ash]]="-","-",IF(Table36[[#This Row],[%Ash]]&lt;INDEX(Ashmin,MATCH(Table36[[#This Row],[Grist]],SMI,0)),0,IF(Table36[[#This Row],[%Ash]]&gt;INDEX(Ashmax,MATCH(Table36[[#This Row],[Grist]],SMI,0)),0,1))))</f>
        <v>1</v>
      </c>
      <c r="X473" s="127">
        <f>IF(INDEX(Absmin,MATCH(Table36[[#This Row],[Grist]],SMI,0))="-","-",IF(Table36[[#This Row],[%Absorption]]="-","-",IF(Table36[[#This Row],[%Absorption]]&lt;INDEX(Absmin,MATCH(Table36[[#This Row],[Grist]],SMI,0)),0,IF(Table36[[#This Row],[%Absorption]]&gt;INDEX(Absmax,MATCH(Table36[[#This Row],[Grist]],SMI,0)),0,1))))</f>
        <v>1</v>
      </c>
      <c r="Y473" s="127">
        <f>IF(INDEX(Extmin,MATCH(Table36[[#This Row],[Grist]],SMI,0))="-","-",IF(Table36[[#This Row],[%Extensibility]]="-","-",IF(Table36[[#This Row],[%Extensibility]]&lt;INDEX(Extmin,MATCH(Table36[[#This Row],[Grist]],SMI,0)),0,IF(Table36[[#This Row],[%Extensibility]]&gt;INDEX(Extmax,MATCH(Table36[[#This Row],[Grist]],SMI,0)),0,1))))</f>
        <v>0</v>
      </c>
      <c r="Z473" s="127">
        <f>IF(INDEX(Resmin,MATCH(Table36[[#This Row],[Grist]],SMI,0))="-","-",IF(Table36[[#This Row],[Resistance, max]]="-","-",IF(Table36[[#This Row],[Resistance, max]]&lt;INDEX(Resmin,MATCH(Table36[[#This Row],[Grist]],SMI,0)),0,IF(Table36[[#This Row],[Resistance, max]]&gt;INDEX(Resmax,MATCH(Table36[[#This Row],[Grist]],SMI,0)),0,1))))</f>
        <v>0</v>
      </c>
      <c r="AA473" s="127">
        <f>IF(INDEX(WGmin,MATCH(Table36[[#This Row],[Grist]],SMI,0))="-","-",IF(Table36[[#This Row],[%Wet Gluten]]="-","-",IF(Table36[[#This Row],[%Wet Gluten]]&lt;INDEX(WGmin,MATCH(Table36[[#This Row],[Grist]],SMI,0)),0,IF(Table36[[#This Row],[%Wet Gluten]]&gt;INDEX(WGmax,MATCH(Table36[[#This Row],[Grist]],SMI,0)),0,1))))</f>
        <v>1</v>
      </c>
      <c r="AB473" s="127">
        <f>SUM(Table36[[#This Row],[ QI Bran Content]:[QI WG]])</f>
        <v>8</v>
      </c>
      <c r="AC473" s="127">
        <f>COUNT(Table36[[#This Row],[ QI Bran Content]:[QI WG]])</f>
        <v>10</v>
      </c>
    </row>
    <row r="474" spans="1:29" x14ac:dyDescent="0.35">
      <c r="A474" s="11">
        <v>45345</v>
      </c>
      <c r="B474" s="70">
        <v>45345</v>
      </c>
      <c r="C474" s="70" t="s">
        <v>130</v>
      </c>
      <c r="D474" s="28">
        <v>1.0416666666666701</v>
      </c>
      <c r="E474" s="12" t="s">
        <v>2</v>
      </c>
      <c r="F474" s="13" t="s">
        <v>242</v>
      </c>
      <c r="G474" s="117" t="s">
        <v>256</v>
      </c>
      <c r="H474" s="14" t="s">
        <v>165</v>
      </c>
      <c r="I474" s="14" t="s">
        <v>165</v>
      </c>
      <c r="J474" s="14" t="s">
        <v>165</v>
      </c>
      <c r="K474" s="14">
        <v>12.32</v>
      </c>
      <c r="L474" s="14" t="s">
        <v>287</v>
      </c>
      <c r="M474" s="14" t="s">
        <v>288</v>
      </c>
      <c r="N474" s="14">
        <v>65.400000000000006</v>
      </c>
      <c r="O474" s="14">
        <v>0</v>
      </c>
      <c r="P474" s="14">
        <v>0</v>
      </c>
      <c r="Q474" s="14">
        <v>34.200000000000003</v>
      </c>
      <c r="R474" s="127">
        <f>IF(Table36[[#This Row],[ Bran Content]]="-","-",IF(G474&lt;0.02,1,0))</f>
        <v>0</v>
      </c>
      <c r="S474" s="127">
        <f>IF(Table36[[#This Row],[Sieve Test]]="-","-",IF(Table36[[#This Row],[Sieve Test]]="P",1,0))</f>
        <v>1</v>
      </c>
      <c r="T474" s="127">
        <f>IF(Table36[[#This Row],[Odor]]="-","-",IF(Table36[[#This Row],[Odor]]="P",1,0))</f>
        <v>1</v>
      </c>
      <c r="U474" s="127">
        <f>IF(INDEX(MCmin,MATCH(Table36[[#This Row],[Grist]],SMI,0))="-","-",IF(Table36[[#This Row],[F1 %MC]]="-","-",IF(Table36[[#This Row],[F1 %MC]]&lt;INDEX(MCmin,MATCH(Table36[[#This Row],[Grist]],SMI,0)),0,IF(Table36[[#This Row],[F1 %MC]]&gt;INDEX(MCmax,MATCH(Table36[[#This Row],[Grist]],SMI,0)),0,1))))</f>
        <v>1</v>
      </c>
      <c r="V474" s="127">
        <f>IF(INDEX(Protmin,MATCH(Table36[[#This Row],[Grist]],SMI,0))="-","-",IF(Table36[[#This Row],[%Protein]]="-","-",IF(Table36[[#This Row],[%Protein]]&lt;INDEX(Protmin,MATCH(Table36[[#This Row],[Grist]],SMI,0)),0,IF(Table36[[#This Row],[%Protein]]&gt;INDEX(Protmax,MATCH(Table36[[#This Row],[Grist]],SMI,0)),0,1))))</f>
        <v>0</v>
      </c>
      <c r="W474" s="127">
        <f>IF(INDEX(Ashmin,MATCH(Table36[[#This Row],[Grist]],SMI,0))="-","-",IF(Table36[[#This Row],[%Ash]]="-","-",IF(Table36[[#This Row],[%Ash]]&lt;INDEX(Ashmin,MATCH(Table36[[#This Row],[Grist]],SMI,0)),0,IF(Table36[[#This Row],[%Ash]]&gt;INDEX(Ashmax,MATCH(Table36[[#This Row],[Grist]],SMI,0)),0,1))))</f>
        <v>0</v>
      </c>
      <c r="X474" s="127">
        <f>IF(INDEX(Absmin,MATCH(Table36[[#This Row],[Grist]],SMI,0))="-","-",IF(Table36[[#This Row],[%Absorption]]="-","-",IF(Table36[[#This Row],[%Absorption]]&lt;INDEX(Absmin,MATCH(Table36[[#This Row],[Grist]],SMI,0)),0,IF(Table36[[#This Row],[%Absorption]]&gt;INDEX(Absmax,MATCH(Table36[[#This Row],[Grist]],SMI,0)),0,1))))</f>
        <v>1</v>
      </c>
      <c r="Y474" s="127">
        <f>IF(INDEX(Extmin,MATCH(Table36[[#This Row],[Grist]],SMI,0))="-","-",IF(Table36[[#This Row],[%Extensibility]]="-","-",IF(Table36[[#This Row],[%Extensibility]]&lt;INDEX(Extmin,MATCH(Table36[[#This Row],[Grist]],SMI,0)),0,IF(Table36[[#This Row],[%Extensibility]]&gt;INDEX(Extmax,MATCH(Table36[[#This Row],[Grist]],SMI,0)),0,1))))</f>
        <v>0</v>
      </c>
      <c r="Z474" s="127">
        <f>IF(INDEX(Resmin,MATCH(Table36[[#This Row],[Grist]],SMI,0))="-","-",IF(Table36[[#This Row],[Resistance, max]]="-","-",IF(Table36[[#This Row],[Resistance, max]]&lt;INDEX(Resmin,MATCH(Table36[[#This Row],[Grist]],SMI,0)),0,IF(Table36[[#This Row],[Resistance, max]]&gt;INDEX(Resmax,MATCH(Table36[[#This Row],[Grist]],SMI,0)),0,1))))</f>
        <v>0</v>
      </c>
      <c r="AA474" s="127">
        <f>IF(INDEX(WGmin,MATCH(Table36[[#This Row],[Grist]],SMI,0))="-","-",IF(Table36[[#This Row],[%Wet Gluten]]="-","-",IF(Table36[[#This Row],[%Wet Gluten]]&lt;INDEX(WGmin,MATCH(Table36[[#This Row],[Grist]],SMI,0)),0,IF(Table36[[#This Row],[%Wet Gluten]]&gt;INDEX(WGmax,MATCH(Table36[[#This Row],[Grist]],SMI,0)),0,1))))</f>
        <v>1</v>
      </c>
      <c r="AB474" s="127">
        <f>SUM(Table36[[#This Row],[ QI Bran Content]:[QI WG]])</f>
        <v>5</v>
      </c>
      <c r="AC474" s="127">
        <f>COUNT(Table36[[#This Row],[ QI Bran Content]:[QI WG]])</f>
        <v>10</v>
      </c>
    </row>
    <row r="475" spans="1:29" x14ac:dyDescent="0.35">
      <c r="A475" s="11">
        <v>45345</v>
      </c>
      <c r="B475" s="70">
        <v>45345</v>
      </c>
      <c r="C475" s="70" t="s">
        <v>130</v>
      </c>
      <c r="D475" s="28">
        <v>1.125</v>
      </c>
      <c r="E475" s="12" t="s">
        <v>2</v>
      </c>
      <c r="F475" s="13" t="s">
        <v>242</v>
      </c>
      <c r="G475" s="117" t="s">
        <v>289</v>
      </c>
      <c r="H475" s="14" t="s">
        <v>165</v>
      </c>
      <c r="I475" s="14" t="s">
        <v>165</v>
      </c>
      <c r="J475" s="14" t="s">
        <v>165</v>
      </c>
      <c r="K475" s="14">
        <v>13.01</v>
      </c>
      <c r="L475" s="14" t="s">
        <v>287</v>
      </c>
      <c r="M475" s="14" t="s">
        <v>288</v>
      </c>
      <c r="N475" s="14">
        <v>65.400000000000006</v>
      </c>
      <c r="O475" s="14">
        <v>0</v>
      </c>
      <c r="P475" s="14">
        <v>0</v>
      </c>
      <c r="Q475" s="14">
        <v>34.200000000000003</v>
      </c>
      <c r="R475" s="127">
        <f>IF(Table36[[#This Row],[ Bran Content]]="-","-",IF(G475&lt;0.02,1,0))</f>
        <v>0</v>
      </c>
      <c r="S475" s="127">
        <f>IF(Table36[[#This Row],[Sieve Test]]="-","-",IF(Table36[[#This Row],[Sieve Test]]="P",1,0))</f>
        <v>1</v>
      </c>
      <c r="T475" s="127">
        <f>IF(Table36[[#This Row],[Odor]]="-","-",IF(Table36[[#This Row],[Odor]]="P",1,0))</f>
        <v>1</v>
      </c>
      <c r="U475" s="127">
        <f>IF(INDEX(MCmin,MATCH(Table36[[#This Row],[Grist]],SMI,0))="-","-",IF(Table36[[#This Row],[F1 %MC]]="-","-",IF(Table36[[#This Row],[F1 %MC]]&lt;INDEX(MCmin,MATCH(Table36[[#This Row],[Grist]],SMI,0)),0,IF(Table36[[#This Row],[F1 %MC]]&gt;INDEX(MCmax,MATCH(Table36[[#This Row],[Grist]],SMI,0)),0,1))))</f>
        <v>1</v>
      </c>
      <c r="V475" s="127">
        <f>IF(INDEX(Protmin,MATCH(Table36[[#This Row],[Grist]],SMI,0))="-","-",IF(Table36[[#This Row],[%Protein]]="-","-",IF(Table36[[#This Row],[%Protein]]&lt;INDEX(Protmin,MATCH(Table36[[#This Row],[Grist]],SMI,0)),0,IF(Table36[[#This Row],[%Protein]]&gt;INDEX(Protmax,MATCH(Table36[[#This Row],[Grist]],SMI,0)),0,1))))</f>
        <v>0</v>
      </c>
      <c r="W475" s="127">
        <f>IF(INDEX(Ashmin,MATCH(Table36[[#This Row],[Grist]],SMI,0))="-","-",IF(Table36[[#This Row],[%Ash]]="-","-",IF(Table36[[#This Row],[%Ash]]&lt;INDEX(Ashmin,MATCH(Table36[[#This Row],[Grist]],SMI,0)),0,IF(Table36[[#This Row],[%Ash]]&gt;INDEX(Ashmax,MATCH(Table36[[#This Row],[Grist]],SMI,0)),0,1))))</f>
        <v>0</v>
      </c>
      <c r="X475" s="127">
        <f>IF(INDEX(Absmin,MATCH(Table36[[#This Row],[Grist]],SMI,0))="-","-",IF(Table36[[#This Row],[%Absorption]]="-","-",IF(Table36[[#This Row],[%Absorption]]&lt;INDEX(Absmin,MATCH(Table36[[#This Row],[Grist]],SMI,0)),0,IF(Table36[[#This Row],[%Absorption]]&gt;INDEX(Absmax,MATCH(Table36[[#This Row],[Grist]],SMI,0)),0,1))))</f>
        <v>1</v>
      </c>
      <c r="Y475" s="127">
        <f>IF(INDEX(Extmin,MATCH(Table36[[#This Row],[Grist]],SMI,0))="-","-",IF(Table36[[#This Row],[%Extensibility]]="-","-",IF(Table36[[#This Row],[%Extensibility]]&lt;INDEX(Extmin,MATCH(Table36[[#This Row],[Grist]],SMI,0)),0,IF(Table36[[#This Row],[%Extensibility]]&gt;INDEX(Extmax,MATCH(Table36[[#This Row],[Grist]],SMI,0)),0,1))))</f>
        <v>0</v>
      </c>
      <c r="Z475" s="127">
        <f>IF(INDEX(Resmin,MATCH(Table36[[#This Row],[Grist]],SMI,0))="-","-",IF(Table36[[#This Row],[Resistance, max]]="-","-",IF(Table36[[#This Row],[Resistance, max]]&lt;INDEX(Resmin,MATCH(Table36[[#This Row],[Grist]],SMI,0)),0,IF(Table36[[#This Row],[Resistance, max]]&gt;INDEX(Resmax,MATCH(Table36[[#This Row],[Grist]],SMI,0)),0,1))))</f>
        <v>0</v>
      </c>
      <c r="AA475" s="127">
        <f>IF(INDEX(WGmin,MATCH(Table36[[#This Row],[Grist]],SMI,0))="-","-",IF(Table36[[#This Row],[%Wet Gluten]]="-","-",IF(Table36[[#This Row],[%Wet Gluten]]&lt;INDEX(WGmin,MATCH(Table36[[#This Row],[Grist]],SMI,0)),0,IF(Table36[[#This Row],[%Wet Gluten]]&gt;INDEX(WGmax,MATCH(Table36[[#This Row],[Grist]],SMI,0)),0,1))))</f>
        <v>1</v>
      </c>
      <c r="AB475" s="127">
        <f>SUM(Table36[[#This Row],[ QI Bran Content]:[QI WG]])</f>
        <v>5</v>
      </c>
      <c r="AC475" s="127">
        <f>COUNT(Table36[[#This Row],[ QI Bran Content]:[QI WG]])</f>
        <v>10</v>
      </c>
    </row>
    <row r="476" spans="1:29" x14ac:dyDescent="0.35">
      <c r="A476" s="11">
        <v>45345</v>
      </c>
      <c r="B476" s="70">
        <v>45345</v>
      </c>
      <c r="C476" s="70" t="s">
        <v>130</v>
      </c>
      <c r="D476" s="28">
        <v>1.2083333333333299</v>
      </c>
      <c r="E476" s="12" t="s">
        <v>2</v>
      </c>
      <c r="F476" s="13" t="s">
        <v>242</v>
      </c>
      <c r="G476" s="117" t="s">
        <v>290</v>
      </c>
      <c r="H476" s="14" t="s">
        <v>165</v>
      </c>
      <c r="I476" s="14" t="s">
        <v>165</v>
      </c>
      <c r="J476" s="14" t="s">
        <v>165</v>
      </c>
      <c r="K476" s="14">
        <v>12.9</v>
      </c>
      <c r="L476" s="14" t="s">
        <v>287</v>
      </c>
      <c r="M476" s="14" t="s">
        <v>288</v>
      </c>
      <c r="N476" s="14">
        <v>65.400000000000006</v>
      </c>
      <c r="O476" s="14">
        <v>0</v>
      </c>
      <c r="P476" s="14">
        <v>0</v>
      </c>
      <c r="Q476" s="14">
        <v>34.200000000000003</v>
      </c>
      <c r="R476" s="127">
        <f>IF(Table36[[#This Row],[ Bran Content]]="-","-",IF(G476&lt;0.02,1,0))</f>
        <v>0</v>
      </c>
      <c r="S476" s="127">
        <f>IF(Table36[[#This Row],[Sieve Test]]="-","-",IF(Table36[[#This Row],[Sieve Test]]="P",1,0))</f>
        <v>1</v>
      </c>
      <c r="T476" s="127">
        <f>IF(Table36[[#This Row],[Odor]]="-","-",IF(Table36[[#This Row],[Odor]]="P",1,0))</f>
        <v>1</v>
      </c>
      <c r="U476" s="127">
        <f>IF(INDEX(MCmin,MATCH(Table36[[#This Row],[Grist]],SMI,0))="-","-",IF(Table36[[#This Row],[F1 %MC]]="-","-",IF(Table36[[#This Row],[F1 %MC]]&lt;INDEX(MCmin,MATCH(Table36[[#This Row],[Grist]],SMI,0)),0,IF(Table36[[#This Row],[F1 %MC]]&gt;INDEX(MCmax,MATCH(Table36[[#This Row],[Grist]],SMI,0)),0,1))))</f>
        <v>1</v>
      </c>
      <c r="V476" s="127">
        <f>IF(INDEX(Protmin,MATCH(Table36[[#This Row],[Grist]],SMI,0))="-","-",IF(Table36[[#This Row],[%Protein]]="-","-",IF(Table36[[#This Row],[%Protein]]&lt;INDEX(Protmin,MATCH(Table36[[#This Row],[Grist]],SMI,0)),0,IF(Table36[[#This Row],[%Protein]]&gt;INDEX(Protmax,MATCH(Table36[[#This Row],[Grist]],SMI,0)),0,1))))</f>
        <v>0</v>
      </c>
      <c r="W476" s="127">
        <f>IF(INDEX(Ashmin,MATCH(Table36[[#This Row],[Grist]],SMI,0))="-","-",IF(Table36[[#This Row],[%Ash]]="-","-",IF(Table36[[#This Row],[%Ash]]&lt;INDEX(Ashmin,MATCH(Table36[[#This Row],[Grist]],SMI,0)),0,IF(Table36[[#This Row],[%Ash]]&gt;INDEX(Ashmax,MATCH(Table36[[#This Row],[Grist]],SMI,0)),0,1))))</f>
        <v>0</v>
      </c>
      <c r="X476" s="127">
        <f>IF(INDEX(Absmin,MATCH(Table36[[#This Row],[Grist]],SMI,0))="-","-",IF(Table36[[#This Row],[%Absorption]]="-","-",IF(Table36[[#This Row],[%Absorption]]&lt;INDEX(Absmin,MATCH(Table36[[#This Row],[Grist]],SMI,0)),0,IF(Table36[[#This Row],[%Absorption]]&gt;INDEX(Absmax,MATCH(Table36[[#This Row],[Grist]],SMI,0)),0,1))))</f>
        <v>1</v>
      </c>
      <c r="Y476" s="127">
        <f>IF(INDEX(Extmin,MATCH(Table36[[#This Row],[Grist]],SMI,0))="-","-",IF(Table36[[#This Row],[%Extensibility]]="-","-",IF(Table36[[#This Row],[%Extensibility]]&lt;INDEX(Extmin,MATCH(Table36[[#This Row],[Grist]],SMI,0)),0,IF(Table36[[#This Row],[%Extensibility]]&gt;INDEX(Extmax,MATCH(Table36[[#This Row],[Grist]],SMI,0)),0,1))))</f>
        <v>0</v>
      </c>
      <c r="Z476" s="127">
        <f>IF(INDEX(Resmin,MATCH(Table36[[#This Row],[Grist]],SMI,0))="-","-",IF(Table36[[#This Row],[Resistance, max]]="-","-",IF(Table36[[#This Row],[Resistance, max]]&lt;INDEX(Resmin,MATCH(Table36[[#This Row],[Grist]],SMI,0)),0,IF(Table36[[#This Row],[Resistance, max]]&gt;INDEX(Resmax,MATCH(Table36[[#This Row],[Grist]],SMI,0)),0,1))))</f>
        <v>0</v>
      </c>
      <c r="AA476" s="127">
        <f>IF(INDEX(WGmin,MATCH(Table36[[#This Row],[Grist]],SMI,0))="-","-",IF(Table36[[#This Row],[%Wet Gluten]]="-","-",IF(Table36[[#This Row],[%Wet Gluten]]&lt;INDEX(WGmin,MATCH(Table36[[#This Row],[Grist]],SMI,0)),0,IF(Table36[[#This Row],[%Wet Gluten]]&gt;INDEX(WGmax,MATCH(Table36[[#This Row],[Grist]],SMI,0)),0,1))))</f>
        <v>1</v>
      </c>
      <c r="AB476" s="127">
        <f>SUM(Table36[[#This Row],[ QI Bran Content]:[QI WG]])</f>
        <v>5</v>
      </c>
      <c r="AC476" s="127">
        <f>COUNT(Table36[[#This Row],[ QI Bran Content]:[QI WG]])</f>
        <v>10</v>
      </c>
    </row>
    <row r="477" spans="1:29" x14ac:dyDescent="0.35">
      <c r="A477" s="11">
        <v>45346</v>
      </c>
      <c r="B477" s="70">
        <v>45346</v>
      </c>
      <c r="C477" s="70" t="s">
        <v>128</v>
      </c>
      <c r="D477" s="28">
        <v>0.79166666666666596</v>
      </c>
      <c r="E477" s="12" t="s">
        <v>0</v>
      </c>
      <c r="F477" s="13" t="s">
        <v>27</v>
      </c>
      <c r="G477" s="117">
        <v>4.5999999999999999E-3</v>
      </c>
      <c r="H477" s="14" t="s">
        <v>165</v>
      </c>
      <c r="I477" s="14" t="s">
        <v>165</v>
      </c>
      <c r="J477" s="14" t="s">
        <v>165</v>
      </c>
      <c r="K477" s="14">
        <v>12.27</v>
      </c>
      <c r="L477" s="14">
        <v>0</v>
      </c>
      <c r="M477" s="14">
        <v>0</v>
      </c>
      <c r="N477" s="14">
        <v>0</v>
      </c>
      <c r="O477" s="14">
        <v>0</v>
      </c>
      <c r="P477" s="14">
        <v>0</v>
      </c>
      <c r="Q477" s="14">
        <v>0</v>
      </c>
      <c r="R477" s="127">
        <f>IF(Table36[[#This Row],[ Bran Content]]="-","-",IF(G477&lt;0.02,1,0))</f>
        <v>1</v>
      </c>
      <c r="S477" s="127">
        <f>IF(Table36[[#This Row],[Sieve Test]]="-","-",IF(Table36[[#This Row],[Sieve Test]]="P",1,0))</f>
        <v>1</v>
      </c>
      <c r="T477" s="127">
        <f>IF(Table36[[#This Row],[Odor]]="-","-",IF(Table36[[#This Row],[Odor]]="P",1,0))</f>
        <v>1</v>
      </c>
      <c r="U477" s="127">
        <f>IF(INDEX(MCmin,MATCH(Table36[[#This Row],[Grist]],SMI,0))="-","-",IF(Table36[[#This Row],[F1 %MC]]="-","-",IF(Table36[[#This Row],[F1 %MC]]&lt;INDEX(MCmin,MATCH(Table36[[#This Row],[Grist]],SMI,0)),0,IF(Table36[[#This Row],[F1 %MC]]&gt;INDEX(MCmax,MATCH(Table36[[#This Row],[Grist]],SMI,0)),0,1))))</f>
        <v>1</v>
      </c>
      <c r="V477" s="127">
        <f>IF(INDEX(Protmin,MATCH(Table36[[#This Row],[Grist]],SMI,0))="-","-",IF(Table36[[#This Row],[%Protein]]="-","-",IF(Table36[[#This Row],[%Protein]]&lt;INDEX(Protmin,MATCH(Table36[[#This Row],[Grist]],SMI,0)),0,IF(Table36[[#This Row],[%Protein]]&gt;INDEX(Protmax,MATCH(Table36[[#This Row],[Grist]],SMI,0)),0,1))))</f>
        <v>0</v>
      </c>
      <c r="W477" s="127">
        <f>IF(INDEX(Ashmin,MATCH(Table36[[#This Row],[Grist]],SMI,0))="-","-",IF(Table36[[#This Row],[%Ash]]="-","-",IF(Table36[[#This Row],[%Ash]]&lt;INDEX(Ashmin,MATCH(Table36[[#This Row],[Grist]],SMI,0)),0,IF(Table36[[#This Row],[%Ash]]&gt;INDEX(Ashmax,MATCH(Table36[[#This Row],[Grist]],SMI,0)),0,1))))</f>
        <v>1</v>
      </c>
      <c r="X477" s="127">
        <f>IF(INDEX(Absmin,MATCH(Table36[[#This Row],[Grist]],SMI,0))="-","-",IF(Table36[[#This Row],[%Absorption]]="-","-",IF(Table36[[#This Row],[%Absorption]]&lt;INDEX(Absmin,MATCH(Table36[[#This Row],[Grist]],SMI,0)),0,IF(Table36[[#This Row],[%Absorption]]&gt;INDEX(Absmax,MATCH(Table36[[#This Row],[Grist]],SMI,0)),0,1))))</f>
        <v>0</v>
      </c>
      <c r="Y477" s="127">
        <f>IF(INDEX(Extmin,MATCH(Table36[[#This Row],[Grist]],SMI,0))="-","-",IF(Table36[[#This Row],[%Extensibility]]="-","-",IF(Table36[[#This Row],[%Extensibility]]&lt;INDEX(Extmin,MATCH(Table36[[#This Row],[Grist]],SMI,0)),0,IF(Table36[[#This Row],[%Extensibility]]&gt;INDEX(Extmax,MATCH(Table36[[#This Row],[Grist]],SMI,0)),0,1))))</f>
        <v>0</v>
      </c>
      <c r="Z477" s="127">
        <f>IF(INDEX(Resmin,MATCH(Table36[[#This Row],[Grist]],SMI,0))="-","-",IF(Table36[[#This Row],[Resistance, max]]="-","-",IF(Table36[[#This Row],[Resistance, max]]&lt;INDEX(Resmin,MATCH(Table36[[#This Row],[Grist]],SMI,0)),0,IF(Table36[[#This Row],[Resistance, max]]&gt;INDEX(Resmax,MATCH(Table36[[#This Row],[Grist]],SMI,0)),0,1))))</f>
        <v>0</v>
      </c>
      <c r="AA477" s="127">
        <f>IF(INDEX(WGmin,MATCH(Table36[[#This Row],[Grist]],SMI,0))="-","-",IF(Table36[[#This Row],[%Wet Gluten]]="-","-",IF(Table36[[#This Row],[%Wet Gluten]]&lt;INDEX(WGmin,MATCH(Table36[[#This Row],[Grist]],SMI,0)),0,IF(Table36[[#This Row],[%Wet Gluten]]&gt;INDEX(WGmax,MATCH(Table36[[#This Row],[Grist]],SMI,0)),0,1))))</f>
        <v>0</v>
      </c>
      <c r="AB477" s="127">
        <f>SUM(Table36[[#This Row],[ QI Bran Content]:[QI WG]])</f>
        <v>5</v>
      </c>
      <c r="AC477" s="127">
        <f>COUNT(Table36[[#This Row],[ QI Bran Content]:[QI WG]])</f>
        <v>10</v>
      </c>
    </row>
    <row r="478" spans="1:29" x14ac:dyDescent="0.35">
      <c r="A478" s="11">
        <v>45346</v>
      </c>
      <c r="B478" s="70">
        <v>45346</v>
      </c>
      <c r="C478" s="70" t="s">
        <v>128</v>
      </c>
      <c r="D478" s="28">
        <v>0.874999999999999</v>
      </c>
      <c r="E478" s="12" t="s">
        <v>0</v>
      </c>
      <c r="F478" s="13" t="s">
        <v>27</v>
      </c>
      <c r="G478" s="117">
        <v>4.7000000000000002E-3</v>
      </c>
      <c r="H478" s="14" t="s">
        <v>165</v>
      </c>
      <c r="I478" s="14" t="s">
        <v>165</v>
      </c>
      <c r="J478" s="14" t="s">
        <v>165</v>
      </c>
      <c r="K478" s="14">
        <v>13.07</v>
      </c>
      <c r="L478" s="14">
        <v>0</v>
      </c>
      <c r="M478" s="14">
        <v>0</v>
      </c>
      <c r="N478" s="14">
        <v>0</v>
      </c>
      <c r="O478" s="14">
        <v>0</v>
      </c>
      <c r="P478" s="14">
        <v>0</v>
      </c>
      <c r="Q478" s="14">
        <v>0</v>
      </c>
      <c r="R478" s="127">
        <f>IF(Table36[[#This Row],[ Bran Content]]="-","-",IF(G478&lt;0.02,1,0))</f>
        <v>1</v>
      </c>
      <c r="S478" s="127">
        <f>IF(Table36[[#This Row],[Sieve Test]]="-","-",IF(Table36[[#This Row],[Sieve Test]]="P",1,0))</f>
        <v>1</v>
      </c>
      <c r="T478" s="127">
        <f>IF(Table36[[#This Row],[Odor]]="-","-",IF(Table36[[#This Row],[Odor]]="P",1,0))</f>
        <v>1</v>
      </c>
      <c r="U478" s="127">
        <f>IF(INDEX(MCmin,MATCH(Table36[[#This Row],[Grist]],SMI,0))="-","-",IF(Table36[[#This Row],[F1 %MC]]="-","-",IF(Table36[[#This Row],[F1 %MC]]&lt;INDEX(MCmin,MATCH(Table36[[#This Row],[Grist]],SMI,0)),0,IF(Table36[[#This Row],[F1 %MC]]&gt;INDEX(MCmax,MATCH(Table36[[#This Row],[Grist]],SMI,0)),0,1))))</f>
        <v>1</v>
      </c>
      <c r="V478" s="127">
        <f>IF(INDEX(Protmin,MATCH(Table36[[#This Row],[Grist]],SMI,0))="-","-",IF(Table36[[#This Row],[%Protein]]="-","-",IF(Table36[[#This Row],[%Protein]]&lt;INDEX(Protmin,MATCH(Table36[[#This Row],[Grist]],SMI,0)),0,IF(Table36[[#This Row],[%Protein]]&gt;INDEX(Protmax,MATCH(Table36[[#This Row],[Grist]],SMI,0)),0,1))))</f>
        <v>0</v>
      </c>
      <c r="W478" s="127">
        <f>IF(INDEX(Ashmin,MATCH(Table36[[#This Row],[Grist]],SMI,0))="-","-",IF(Table36[[#This Row],[%Ash]]="-","-",IF(Table36[[#This Row],[%Ash]]&lt;INDEX(Ashmin,MATCH(Table36[[#This Row],[Grist]],SMI,0)),0,IF(Table36[[#This Row],[%Ash]]&gt;INDEX(Ashmax,MATCH(Table36[[#This Row],[Grist]],SMI,0)),0,1))))</f>
        <v>1</v>
      </c>
      <c r="X478" s="127">
        <f>IF(INDEX(Absmin,MATCH(Table36[[#This Row],[Grist]],SMI,0))="-","-",IF(Table36[[#This Row],[%Absorption]]="-","-",IF(Table36[[#This Row],[%Absorption]]&lt;INDEX(Absmin,MATCH(Table36[[#This Row],[Grist]],SMI,0)),0,IF(Table36[[#This Row],[%Absorption]]&gt;INDEX(Absmax,MATCH(Table36[[#This Row],[Grist]],SMI,0)),0,1))))</f>
        <v>0</v>
      </c>
      <c r="Y478" s="127">
        <f>IF(INDEX(Extmin,MATCH(Table36[[#This Row],[Grist]],SMI,0))="-","-",IF(Table36[[#This Row],[%Extensibility]]="-","-",IF(Table36[[#This Row],[%Extensibility]]&lt;INDEX(Extmin,MATCH(Table36[[#This Row],[Grist]],SMI,0)),0,IF(Table36[[#This Row],[%Extensibility]]&gt;INDEX(Extmax,MATCH(Table36[[#This Row],[Grist]],SMI,0)),0,1))))</f>
        <v>0</v>
      </c>
      <c r="Z478" s="127">
        <f>IF(INDEX(Resmin,MATCH(Table36[[#This Row],[Grist]],SMI,0))="-","-",IF(Table36[[#This Row],[Resistance, max]]="-","-",IF(Table36[[#This Row],[Resistance, max]]&lt;INDEX(Resmin,MATCH(Table36[[#This Row],[Grist]],SMI,0)),0,IF(Table36[[#This Row],[Resistance, max]]&gt;INDEX(Resmax,MATCH(Table36[[#This Row],[Grist]],SMI,0)),0,1))))</f>
        <v>0</v>
      </c>
      <c r="AA478" s="127">
        <f>IF(INDEX(WGmin,MATCH(Table36[[#This Row],[Grist]],SMI,0))="-","-",IF(Table36[[#This Row],[%Wet Gluten]]="-","-",IF(Table36[[#This Row],[%Wet Gluten]]&lt;INDEX(WGmin,MATCH(Table36[[#This Row],[Grist]],SMI,0)),0,IF(Table36[[#This Row],[%Wet Gluten]]&gt;INDEX(WGmax,MATCH(Table36[[#This Row],[Grist]],SMI,0)),0,1))))</f>
        <v>0</v>
      </c>
      <c r="AB478" s="127">
        <f>SUM(Table36[[#This Row],[ QI Bran Content]:[QI WG]])</f>
        <v>5</v>
      </c>
      <c r="AC478" s="127">
        <f>COUNT(Table36[[#This Row],[ QI Bran Content]:[QI WG]])</f>
        <v>10</v>
      </c>
    </row>
    <row r="479" spans="1:29" x14ac:dyDescent="0.35">
      <c r="A479" s="11">
        <v>45346</v>
      </c>
      <c r="B479" s="70">
        <v>45346</v>
      </c>
      <c r="C479" s="70" t="s">
        <v>130</v>
      </c>
      <c r="D479" s="28">
        <v>0.95833333333333337</v>
      </c>
      <c r="E479" s="12" t="s">
        <v>0</v>
      </c>
      <c r="F479" s="13" t="s">
        <v>27</v>
      </c>
      <c r="G479" s="117">
        <v>5.4999999999999997E-3</v>
      </c>
      <c r="H479" s="14" t="s">
        <v>165</v>
      </c>
      <c r="I479" s="14" t="s">
        <v>165</v>
      </c>
      <c r="J479" s="14" t="s">
        <v>165</v>
      </c>
      <c r="K479" s="14">
        <v>13.24</v>
      </c>
      <c r="L479" s="14">
        <v>0</v>
      </c>
      <c r="M479" s="14">
        <v>0</v>
      </c>
      <c r="N479" s="14">
        <v>0</v>
      </c>
      <c r="O479" s="14">
        <v>0</v>
      </c>
      <c r="P479" s="14">
        <v>0</v>
      </c>
      <c r="Q479" s="14">
        <v>0</v>
      </c>
      <c r="R479" s="127">
        <f>IF(Table36[[#This Row],[ Bran Content]]="-","-",IF(G479&lt;0.02,1,0))</f>
        <v>1</v>
      </c>
      <c r="S479" s="127">
        <f>IF(Table36[[#This Row],[Sieve Test]]="-","-",IF(Table36[[#This Row],[Sieve Test]]="P",1,0))</f>
        <v>1</v>
      </c>
      <c r="T479" s="127">
        <f>IF(Table36[[#This Row],[Odor]]="-","-",IF(Table36[[#This Row],[Odor]]="P",1,0))</f>
        <v>1</v>
      </c>
      <c r="U479" s="127">
        <f>IF(INDEX(MCmin,MATCH(Table36[[#This Row],[Grist]],SMI,0))="-","-",IF(Table36[[#This Row],[F1 %MC]]="-","-",IF(Table36[[#This Row],[F1 %MC]]&lt;INDEX(MCmin,MATCH(Table36[[#This Row],[Grist]],SMI,0)),0,IF(Table36[[#This Row],[F1 %MC]]&gt;INDEX(MCmax,MATCH(Table36[[#This Row],[Grist]],SMI,0)),0,1))))</f>
        <v>1</v>
      </c>
      <c r="V479" s="127">
        <f>IF(INDEX(Protmin,MATCH(Table36[[#This Row],[Grist]],SMI,0))="-","-",IF(Table36[[#This Row],[%Protein]]="-","-",IF(Table36[[#This Row],[%Protein]]&lt;INDEX(Protmin,MATCH(Table36[[#This Row],[Grist]],SMI,0)),0,IF(Table36[[#This Row],[%Protein]]&gt;INDEX(Protmax,MATCH(Table36[[#This Row],[Grist]],SMI,0)),0,1))))</f>
        <v>0</v>
      </c>
      <c r="W479" s="127">
        <f>IF(INDEX(Ashmin,MATCH(Table36[[#This Row],[Grist]],SMI,0))="-","-",IF(Table36[[#This Row],[%Ash]]="-","-",IF(Table36[[#This Row],[%Ash]]&lt;INDEX(Ashmin,MATCH(Table36[[#This Row],[Grist]],SMI,0)),0,IF(Table36[[#This Row],[%Ash]]&gt;INDEX(Ashmax,MATCH(Table36[[#This Row],[Grist]],SMI,0)),0,1))))</f>
        <v>1</v>
      </c>
      <c r="X479" s="127">
        <f>IF(INDEX(Absmin,MATCH(Table36[[#This Row],[Grist]],SMI,0))="-","-",IF(Table36[[#This Row],[%Absorption]]="-","-",IF(Table36[[#This Row],[%Absorption]]&lt;INDEX(Absmin,MATCH(Table36[[#This Row],[Grist]],SMI,0)),0,IF(Table36[[#This Row],[%Absorption]]&gt;INDEX(Absmax,MATCH(Table36[[#This Row],[Grist]],SMI,0)),0,1))))</f>
        <v>0</v>
      </c>
      <c r="Y479" s="127">
        <f>IF(INDEX(Extmin,MATCH(Table36[[#This Row],[Grist]],SMI,0))="-","-",IF(Table36[[#This Row],[%Extensibility]]="-","-",IF(Table36[[#This Row],[%Extensibility]]&lt;INDEX(Extmin,MATCH(Table36[[#This Row],[Grist]],SMI,0)),0,IF(Table36[[#This Row],[%Extensibility]]&gt;INDEX(Extmax,MATCH(Table36[[#This Row],[Grist]],SMI,0)),0,1))))</f>
        <v>0</v>
      </c>
      <c r="Z479" s="127">
        <f>IF(INDEX(Resmin,MATCH(Table36[[#This Row],[Grist]],SMI,0))="-","-",IF(Table36[[#This Row],[Resistance, max]]="-","-",IF(Table36[[#This Row],[Resistance, max]]&lt;INDEX(Resmin,MATCH(Table36[[#This Row],[Grist]],SMI,0)),0,IF(Table36[[#This Row],[Resistance, max]]&gt;INDEX(Resmax,MATCH(Table36[[#This Row],[Grist]],SMI,0)),0,1))))</f>
        <v>0</v>
      </c>
      <c r="AA479" s="127">
        <f>IF(INDEX(WGmin,MATCH(Table36[[#This Row],[Grist]],SMI,0))="-","-",IF(Table36[[#This Row],[%Wet Gluten]]="-","-",IF(Table36[[#This Row],[%Wet Gluten]]&lt;INDEX(WGmin,MATCH(Table36[[#This Row],[Grist]],SMI,0)),0,IF(Table36[[#This Row],[%Wet Gluten]]&gt;INDEX(WGmax,MATCH(Table36[[#This Row],[Grist]],SMI,0)),0,1))))</f>
        <v>0</v>
      </c>
      <c r="AB479" s="127">
        <f>SUM(Table36[[#This Row],[ QI Bran Content]:[QI WG]])</f>
        <v>5</v>
      </c>
      <c r="AC479" s="127">
        <f>COUNT(Table36[[#This Row],[ QI Bran Content]:[QI WG]])</f>
        <v>10</v>
      </c>
    </row>
    <row r="480" spans="1:29" x14ac:dyDescent="0.35">
      <c r="A480" s="11">
        <v>45346</v>
      </c>
      <c r="B480" s="70">
        <v>45346</v>
      </c>
      <c r="C480" s="70" t="s">
        <v>130</v>
      </c>
      <c r="D480" s="28">
        <v>1.0416666666666701</v>
      </c>
      <c r="E480" s="12" t="s">
        <v>0</v>
      </c>
      <c r="F480" s="13" t="s">
        <v>27</v>
      </c>
      <c r="G480" s="117">
        <v>2.8E-3</v>
      </c>
      <c r="H480" s="14" t="s">
        <v>165</v>
      </c>
      <c r="I480" s="14" t="s">
        <v>165</v>
      </c>
      <c r="J480" s="14" t="s">
        <v>165</v>
      </c>
      <c r="K480" s="14">
        <v>13.46</v>
      </c>
      <c r="L480" s="14">
        <v>0</v>
      </c>
      <c r="M480" s="14">
        <v>0</v>
      </c>
      <c r="N480" s="14">
        <v>0</v>
      </c>
      <c r="O480" s="14">
        <v>0</v>
      </c>
      <c r="P480" s="14">
        <v>0</v>
      </c>
      <c r="Q480" s="14">
        <v>0</v>
      </c>
      <c r="R480" s="127">
        <f>IF(Table36[[#This Row],[ Bran Content]]="-","-",IF(G480&lt;0.02,1,0))</f>
        <v>1</v>
      </c>
      <c r="S480" s="127">
        <f>IF(Table36[[#This Row],[Sieve Test]]="-","-",IF(Table36[[#This Row],[Sieve Test]]="P",1,0))</f>
        <v>1</v>
      </c>
      <c r="T480" s="127">
        <f>IF(Table36[[#This Row],[Odor]]="-","-",IF(Table36[[#This Row],[Odor]]="P",1,0))</f>
        <v>1</v>
      </c>
      <c r="U480" s="127">
        <f>IF(INDEX(MCmin,MATCH(Table36[[#This Row],[Grist]],SMI,0))="-","-",IF(Table36[[#This Row],[F1 %MC]]="-","-",IF(Table36[[#This Row],[F1 %MC]]&lt;INDEX(MCmin,MATCH(Table36[[#This Row],[Grist]],SMI,0)),0,IF(Table36[[#This Row],[F1 %MC]]&gt;INDEX(MCmax,MATCH(Table36[[#This Row],[Grist]],SMI,0)),0,1))))</f>
        <v>1</v>
      </c>
      <c r="V480" s="127">
        <f>IF(INDEX(Protmin,MATCH(Table36[[#This Row],[Grist]],SMI,0))="-","-",IF(Table36[[#This Row],[%Protein]]="-","-",IF(Table36[[#This Row],[%Protein]]&lt;INDEX(Protmin,MATCH(Table36[[#This Row],[Grist]],SMI,0)),0,IF(Table36[[#This Row],[%Protein]]&gt;INDEX(Protmax,MATCH(Table36[[#This Row],[Grist]],SMI,0)),0,1))))</f>
        <v>0</v>
      </c>
      <c r="W480" s="127">
        <f>IF(INDEX(Ashmin,MATCH(Table36[[#This Row],[Grist]],SMI,0))="-","-",IF(Table36[[#This Row],[%Ash]]="-","-",IF(Table36[[#This Row],[%Ash]]&lt;INDEX(Ashmin,MATCH(Table36[[#This Row],[Grist]],SMI,0)),0,IF(Table36[[#This Row],[%Ash]]&gt;INDEX(Ashmax,MATCH(Table36[[#This Row],[Grist]],SMI,0)),0,1))))</f>
        <v>1</v>
      </c>
      <c r="X480" s="127">
        <f>IF(INDEX(Absmin,MATCH(Table36[[#This Row],[Grist]],SMI,0))="-","-",IF(Table36[[#This Row],[%Absorption]]="-","-",IF(Table36[[#This Row],[%Absorption]]&lt;INDEX(Absmin,MATCH(Table36[[#This Row],[Grist]],SMI,0)),0,IF(Table36[[#This Row],[%Absorption]]&gt;INDEX(Absmax,MATCH(Table36[[#This Row],[Grist]],SMI,0)),0,1))))</f>
        <v>0</v>
      </c>
      <c r="Y480" s="127">
        <f>IF(INDEX(Extmin,MATCH(Table36[[#This Row],[Grist]],SMI,0))="-","-",IF(Table36[[#This Row],[%Extensibility]]="-","-",IF(Table36[[#This Row],[%Extensibility]]&lt;INDEX(Extmin,MATCH(Table36[[#This Row],[Grist]],SMI,0)),0,IF(Table36[[#This Row],[%Extensibility]]&gt;INDEX(Extmax,MATCH(Table36[[#This Row],[Grist]],SMI,0)),0,1))))</f>
        <v>0</v>
      </c>
      <c r="Z480" s="127">
        <f>IF(INDEX(Resmin,MATCH(Table36[[#This Row],[Grist]],SMI,0))="-","-",IF(Table36[[#This Row],[Resistance, max]]="-","-",IF(Table36[[#This Row],[Resistance, max]]&lt;INDEX(Resmin,MATCH(Table36[[#This Row],[Grist]],SMI,0)),0,IF(Table36[[#This Row],[Resistance, max]]&gt;INDEX(Resmax,MATCH(Table36[[#This Row],[Grist]],SMI,0)),0,1))))</f>
        <v>0</v>
      </c>
      <c r="AA480" s="127">
        <f>IF(INDEX(WGmin,MATCH(Table36[[#This Row],[Grist]],SMI,0))="-","-",IF(Table36[[#This Row],[%Wet Gluten]]="-","-",IF(Table36[[#This Row],[%Wet Gluten]]&lt;INDEX(WGmin,MATCH(Table36[[#This Row],[Grist]],SMI,0)),0,IF(Table36[[#This Row],[%Wet Gluten]]&gt;INDEX(WGmax,MATCH(Table36[[#This Row],[Grist]],SMI,0)),0,1))))</f>
        <v>0</v>
      </c>
      <c r="AB480" s="127">
        <f>SUM(Table36[[#This Row],[ QI Bran Content]:[QI WG]])</f>
        <v>5</v>
      </c>
      <c r="AC480" s="127">
        <f>COUNT(Table36[[#This Row],[ QI Bran Content]:[QI WG]])</f>
        <v>10</v>
      </c>
    </row>
    <row r="481" spans="1:29" x14ac:dyDescent="0.35">
      <c r="A481" s="11">
        <v>45346</v>
      </c>
      <c r="B481" s="70">
        <v>45346</v>
      </c>
      <c r="C481" s="70" t="s">
        <v>130</v>
      </c>
      <c r="D481" s="28">
        <v>1.125</v>
      </c>
      <c r="E481" s="12" t="s">
        <v>0</v>
      </c>
      <c r="F481" s="13" t="s">
        <v>32</v>
      </c>
      <c r="G481" s="117">
        <v>1.0500000000000001E-2</v>
      </c>
      <c r="H481" s="14" t="s">
        <v>165</v>
      </c>
      <c r="I481" s="14" t="s">
        <v>165</v>
      </c>
      <c r="J481" s="14" t="s">
        <v>165</v>
      </c>
      <c r="K481" s="14">
        <v>12.81</v>
      </c>
      <c r="L481" s="14">
        <v>0</v>
      </c>
      <c r="M481" s="14">
        <v>0</v>
      </c>
      <c r="N481" s="14">
        <v>0</v>
      </c>
      <c r="O481" s="14">
        <v>0</v>
      </c>
      <c r="P481" s="14">
        <v>0</v>
      </c>
      <c r="Q481" s="14">
        <v>0</v>
      </c>
      <c r="R481" s="127">
        <f>IF(Table36[[#This Row],[ Bran Content]]="-","-",IF(G481&lt;0.02,1,0))</f>
        <v>1</v>
      </c>
      <c r="S481" s="127">
        <f>IF(Table36[[#This Row],[Sieve Test]]="-","-",IF(Table36[[#This Row],[Sieve Test]]="P",1,0))</f>
        <v>1</v>
      </c>
      <c r="T481" s="127">
        <f>IF(Table36[[#This Row],[Odor]]="-","-",IF(Table36[[#This Row],[Odor]]="P",1,0))</f>
        <v>1</v>
      </c>
      <c r="U481" s="127">
        <f>IF(INDEX(MCmin,MATCH(Table36[[#This Row],[Grist]],SMI,0))="-","-",IF(Table36[[#This Row],[F1 %MC]]="-","-",IF(Table36[[#This Row],[F1 %MC]]&lt;INDEX(MCmin,MATCH(Table36[[#This Row],[Grist]],SMI,0)),0,IF(Table36[[#This Row],[F1 %MC]]&gt;INDEX(MCmax,MATCH(Table36[[#This Row],[Grist]],SMI,0)),0,1))))</f>
        <v>1</v>
      </c>
      <c r="V481" s="127">
        <f>IF(INDEX(Protmin,MATCH(Table36[[#This Row],[Grist]],SMI,0))="-","-",IF(Table36[[#This Row],[%Protein]]="-","-",IF(Table36[[#This Row],[%Protein]]&lt;INDEX(Protmin,MATCH(Table36[[#This Row],[Grist]],SMI,0)),0,IF(Table36[[#This Row],[%Protein]]&gt;INDEX(Protmax,MATCH(Table36[[#This Row],[Grist]],SMI,0)),0,1))))</f>
        <v>0</v>
      </c>
      <c r="W481" s="127">
        <f>IF(INDEX(Ashmin,MATCH(Table36[[#This Row],[Grist]],SMI,0))="-","-",IF(Table36[[#This Row],[%Ash]]="-","-",IF(Table36[[#This Row],[%Ash]]&lt;INDEX(Ashmin,MATCH(Table36[[#This Row],[Grist]],SMI,0)),0,IF(Table36[[#This Row],[%Ash]]&gt;INDEX(Ashmax,MATCH(Table36[[#This Row],[Grist]],SMI,0)),0,1))))</f>
        <v>1</v>
      </c>
      <c r="X481" s="127">
        <f>IF(INDEX(Absmin,MATCH(Table36[[#This Row],[Grist]],SMI,0))="-","-",IF(Table36[[#This Row],[%Absorption]]="-","-",IF(Table36[[#This Row],[%Absorption]]&lt;INDEX(Absmin,MATCH(Table36[[#This Row],[Grist]],SMI,0)),0,IF(Table36[[#This Row],[%Absorption]]&gt;INDEX(Absmax,MATCH(Table36[[#This Row],[Grist]],SMI,0)),0,1))))</f>
        <v>0</v>
      </c>
      <c r="Y481" s="127">
        <f>IF(INDEX(Extmin,MATCH(Table36[[#This Row],[Grist]],SMI,0))="-","-",IF(Table36[[#This Row],[%Extensibility]]="-","-",IF(Table36[[#This Row],[%Extensibility]]&lt;INDEX(Extmin,MATCH(Table36[[#This Row],[Grist]],SMI,0)),0,IF(Table36[[#This Row],[%Extensibility]]&gt;INDEX(Extmax,MATCH(Table36[[#This Row],[Grist]],SMI,0)),0,1))))</f>
        <v>0</v>
      </c>
      <c r="Z481" s="127">
        <f>IF(INDEX(Resmin,MATCH(Table36[[#This Row],[Grist]],SMI,0))="-","-",IF(Table36[[#This Row],[Resistance, max]]="-","-",IF(Table36[[#This Row],[Resistance, max]]&lt;INDEX(Resmin,MATCH(Table36[[#This Row],[Grist]],SMI,0)),0,IF(Table36[[#This Row],[Resistance, max]]&gt;INDEX(Resmax,MATCH(Table36[[#This Row],[Grist]],SMI,0)),0,1))))</f>
        <v>0</v>
      </c>
      <c r="AA481" s="127">
        <f>IF(INDEX(WGmin,MATCH(Table36[[#This Row],[Grist]],SMI,0))="-","-",IF(Table36[[#This Row],[%Wet Gluten]]="-","-",IF(Table36[[#This Row],[%Wet Gluten]]&lt;INDEX(WGmin,MATCH(Table36[[#This Row],[Grist]],SMI,0)),0,IF(Table36[[#This Row],[%Wet Gluten]]&gt;INDEX(WGmax,MATCH(Table36[[#This Row],[Grist]],SMI,0)),0,1))))</f>
        <v>0</v>
      </c>
      <c r="AB481" s="127">
        <f>SUM(Table36[[#This Row],[ QI Bran Content]:[QI WG]])</f>
        <v>5</v>
      </c>
      <c r="AC481" s="127">
        <f>COUNT(Table36[[#This Row],[ QI Bran Content]:[QI WG]])</f>
        <v>10</v>
      </c>
    </row>
    <row r="482" spans="1:29" x14ac:dyDescent="0.35">
      <c r="A482" s="11">
        <v>45346</v>
      </c>
      <c r="B482" s="70">
        <v>45346</v>
      </c>
      <c r="C482" s="70" t="s">
        <v>130</v>
      </c>
      <c r="D482" s="28">
        <v>1.2083333333333299</v>
      </c>
      <c r="E482" s="12" t="s">
        <v>0</v>
      </c>
      <c r="F482" s="13" t="s">
        <v>32</v>
      </c>
      <c r="G482" s="117">
        <v>3.8999999999999998E-3</v>
      </c>
      <c r="H482" s="14" t="s">
        <v>165</v>
      </c>
      <c r="I482" s="14" t="s">
        <v>165</v>
      </c>
      <c r="J482" s="14" t="s">
        <v>165</v>
      </c>
      <c r="K482" s="14">
        <v>12.93</v>
      </c>
      <c r="L482" s="14">
        <v>0</v>
      </c>
      <c r="M482" s="14">
        <v>0</v>
      </c>
      <c r="N482" s="14">
        <v>0</v>
      </c>
      <c r="O482" s="14">
        <v>0</v>
      </c>
      <c r="P482" s="14">
        <v>0</v>
      </c>
      <c r="Q482" s="14">
        <v>0</v>
      </c>
      <c r="R482" s="127">
        <f>IF(Table36[[#This Row],[ Bran Content]]="-","-",IF(G482&lt;0.02,1,0))</f>
        <v>1</v>
      </c>
      <c r="S482" s="127">
        <f>IF(Table36[[#This Row],[Sieve Test]]="-","-",IF(Table36[[#This Row],[Sieve Test]]="P",1,0))</f>
        <v>1</v>
      </c>
      <c r="T482" s="127">
        <f>IF(Table36[[#This Row],[Odor]]="-","-",IF(Table36[[#This Row],[Odor]]="P",1,0))</f>
        <v>1</v>
      </c>
      <c r="U482" s="127">
        <f>IF(INDEX(MCmin,MATCH(Table36[[#This Row],[Grist]],SMI,0))="-","-",IF(Table36[[#This Row],[F1 %MC]]="-","-",IF(Table36[[#This Row],[F1 %MC]]&lt;INDEX(MCmin,MATCH(Table36[[#This Row],[Grist]],SMI,0)),0,IF(Table36[[#This Row],[F1 %MC]]&gt;INDEX(MCmax,MATCH(Table36[[#This Row],[Grist]],SMI,0)),0,1))))</f>
        <v>1</v>
      </c>
      <c r="V482" s="127">
        <f>IF(INDEX(Protmin,MATCH(Table36[[#This Row],[Grist]],SMI,0))="-","-",IF(Table36[[#This Row],[%Protein]]="-","-",IF(Table36[[#This Row],[%Protein]]&lt;INDEX(Protmin,MATCH(Table36[[#This Row],[Grist]],SMI,0)),0,IF(Table36[[#This Row],[%Protein]]&gt;INDEX(Protmax,MATCH(Table36[[#This Row],[Grist]],SMI,0)),0,1))))</f>
        <v>0</v>
      </c>
      <c r="W482" s="127">
        <f>IF(INDEX(Ashmin,MATCH(Table36[[#This Row],[Grist]],SMI,0))="-","-",IF(Table36[[#This Row],[%Ash]]="-","-",IF(Table36[[#This Row],[%Ash]]&lt;INDEX(Ashmin,MATCH(Table36[[#This Row],[Grist]],SMI,0)),0,IF(Table36[[#This Row],[%Ash]]&gt;INDEX(Ashmax,MATCH(Table36[[#This Row],[Grist]],SMI,0)),0,1))))</f>
        <v>1</v>
      </c>
      <c r="X482" s="127">
        <f>IF(INDEX(Absmin,MATCH(Table36[[#This Row],[Grist]],SMI,0))="-","-",IF(Table36[[#This Row],[%Absorption]]="-","-",IF(Table36[[#This Row],[%Absorption]]&lt;INDEX(Absmin,MATCH(Table36[[#This Row],[Grist]],SMI,0)),0,IF(Table36[[#This Row],[%Absorption]]&gt;INDEX(Absmax,MATCH(Table36[[#This Row],[Grist]],SMI,0)),0,1))))</f>
        <v>0</v>
      </c>
      <c r="Y482" s="127">
        <f>IF(INDEX(Extmin,MATCH(Table36[[#This Row],[Grist]],SMI,0))="-","-",IF(Table36[[#This Row],[%Extensibility]]="-","-",IF(Table36[[#This Row],[%Extensibility]]&lt;INDEX(Extmin,MATCH(Table36[[#This Row],[Grist]],SMI,0)),0,IF(Table36[[#This Row],[%Extensibility]]&gt;INDEX(Extmax,MATCH(Table36[[#This Row],[Grist]],SMI,0)),0,1))))</f>
        <v>0</v>
      </c>
      <c r="Z482" s="127">
        <f>IF(INDEX(Resmin,MATCH(Table36[[#This Row],[Grist]],SMI,0))="-","-",IF(Table36[[#This Row],[Resistance, max]]="-","-",IF(Table36[[#This Row],[Resistance, max]]&lt;INDEX(Resmin,MATCH(Table36[[#This Row],[Grist]],SMI,0)),0,IF(Table36[[#This Row],[Resistance, max]]&gt;INDEX(Resmax,MATCH(Table36[[#This Row],[Grist]],SMI,0)),0,1))))</f>
        <v>0</v>
      </c>
      <c r="AA482" s="127">
        <f>IF(INDEX(WGmin,MATCH(Table36[[#This Row],[Grist]],SMI,0))="-","-",IF(Table36[[#This Row],[%Wet Gluten]]="-","-",IF(Table36[[#This Row],[%Wet Gluten]]&lt;INDEX(WGmin,MATCH(Table36[[#This Row],[Grist]],SMI,0)),0,IF(Table36[[#This Row],[%Wet Gluten]]&gt;INDEX(WGmax,MATCH(Table36[[#This Row],[Grist]],SMI,0)),0,1))))</f>
        <v>0</v>
      </c>
      <c r="AB482" s="127">
        <f>SUM(Table36[[#This Row],[ QI Bran Content]:[QI WG]])</f>
        <v>5</v>
      </c>
      <c r="AC482" s="127">
        <f>COUNT(Table36[[#This Row],[ QI Bran Content]:[QI WG]])</f>
        <v>10</v>
      </c>
    </row>
    <row r="483" spans="1:29" x14ac:dyDescent="0.35">
      <c r="A483" s="11">
        <v>45346</v>
      </c>
      <c r="B483" s="70">
        <v>45346</v>
      </c>
      <c r="C483" s="70" t="s">
        <v>130</v>
      </c>
      <c r="D483" s="28">
        <v>1.125</v>
      </c>
      <c r="E483" s="12" t="s">
        <v>2</v>
      </c>
      <c r="F483" s="13" t="s">
        <v>242</v>
      </c>
      <c r="G483" s="117" t="s">
        <v>291</v>
      </c>
      <c r="H483" s="14" t="s">
        <v>165</v>
      </c>
      <c r="I483" s="14" t="s">
        <v>165</v>
      </c>
      <c r="J483" s="14" t="s">
        <v>165</v>
      </c>
      <c r="K483" s="14">
        <v>13.31</v>
      </c>
      <c r="L483" s="14">
        <v>0</v>
      </c>
      <c r="M483" s="14">
        <v>0</v>
      </c>
      <c r="N483" s="14">
        <v>0</v>
      </c>
      <c r="O483" s="14">
        <v>0</v>
      </c>
      <c r="P483" s="14">
        <v>0</v>
      </c>
      <c r="Q483" s="14">
        <v>0</v>
      </c>
      <c r="R483" s="127">
        <f>IF(Table36[[#This Row],[ Bran Content]]="-","-",IF(G483&lt;0.02,1,0))</f>
        <v>0</v>
      </c>
      <c r="S483" s="127">
        <f>IF(Table36[[#This Row],[Sieve Test]]="-","-",IF(Table36[[#This Row],[Sieve Test]]="P",1,0))</f>
        <v>1</v>
      </c>
      <c r="T483" s="127">
        <f>IF(Table36[[#This Row],[Odor]]="-","-",IF(Table36[[#This Row],[Odor]]="P",1,0))</f>
        <v>1</v>
      </c>
      <c r="U483" s="127">
        <f>IF(INDEX(MCmin,MATCH(Table36[[#This Row],[Grist]],SMI,0))="-","-",IF(Table36[[#This Row],[F1 %MC]]="-","-",IF(Table36[[#This Row],[F1 %MC]]&lt;INDEX(MCmin,MATCH(Table36[[#This Row],[Grist]],SMI,0)),0,IF(Table36[[#This Row],[F1 %MC]]&gt;INDEX(MCmax,MATCH(Table36[[#This Row],[Grist]],SMI,0)),0,1))))</f>
        <v>1</v>
      </c>
      <c r="V483" s="127">
        <f>IF(INDEX(Protmin,MATCH(Table36[[#This Row],[Grist]],SMI,0))="-","-",IF(Table36[[#This Row],[%Protein]]="-","-",IF(Table36[[#This Row],[%Protein]]&lt;INDEX(Protmin,MATCH(Table36[[#This Row],[Grist]],SMI,0)),0,IF(Table36[[#This Row],[%Protein]]&gt;INDEX(Protmax,MATCH(Table36[[#This Row],[Grist]],SMI,0)),0,1))))</f>
        <v>0</v>
      </c>
      <c r="W483" s="127">
        <f>IF(INDEX(Ashmin,MATCH(Table36[[#This Row],[Grist]],SMI,0))="-","-",IF(Table36[[#This Row],[%Ash]]="-","-",IF(Table36[[#This Row],[%Ash]]&lt;INDEX(Ashmin,MATCH(Table36[[#This Row],[Grist]],SMI,0)),0,IF(Table36[[#This Row],[%Ash]]&gt;INDEX(Ashmax,MATCH(Table36[[#This Row],[Grist]],SMI,0)),0,1))))</f>
        <v>1</v>
      </c>
      <c r="X483" s="127">
        <f>IF(INDEX(Absmin,MATCH(Table36[[#This Row],[Grist]],SMI,0))="-","-",IF(Table36[[#This Row],[%Absorption]]="-","-",IF(Table36[[#This Row],[%Absorption]]&lt;INDEX(Absmin,MATCH(Table36[[#This Row],[Grist]],SMI,0)),0,IF(Table36[[#This Row],[%Absorption]]&gt;INDEX(Absmax,MATCH(Table36[[#This Row],[Grist]],SMI,0)),0,1))))</f>
        <v>0</v>
      </c>
      <c r="Y483" s="127">
        <f>IF(INDEX(Extmin,MATCH(Table36[[#This Row],[Grist]],SMI,0))="-","-",IF(Table36[[#This Row],[%Extensibility]]="-","-",IF(Table36[[#This Row],[%Extensibility]]&lt;INDEX(Extmin,MATCH(Table36[[#This Row],[Grist]],SMI,0)),0,IF(Table36[[#This Row],[%Extensibility]]&gt;INDEX(Extmax,MATCH(Table36[[#This Row],[Grist]],SMI,0)),0,1))))</f>
        <v>0</v>
      </c>
      <c r="Z483" s="127">
        <f>IF(INDEX(Resmin,MATCH(Table36[[#This Row],[Grist]],SMI,0))="-","-",IF(Table36[[#This Row],[Resistance, max]]="-","-",IF(Table36[[#This Row],[Resistance, max]]&lt;INDEX(Resmin,MATCH(Table36[[#This Row],[Grist]],SMI,0)),0,IF(Table36[[#This Row],[Resistance, max]]&gt;INDEX(Resmax,MATCH(Table36[[#This Row],[Grist]],SMI,0)),0,1))))</f>
        <v>0</v>
      </c>
      <c r="AA483" s="127">
        <f>IF(INDEX(WGmin,MATCH(Table36[[#This Row],[Grist]],SMI,0))="-","-",IF(Table36[[#This Row],[%Wet Gluten]]="-","-",IF(Table36[[#This Row],[%Wet Gluten]]&lt;INDEX(WGmin,MATCH(Table36[[#This Row],[Grist]],SMI,0)),0,IF(Table36[[#This Row],[%Wet Gluten]]&gt;INDEX(WGmax,MATCH(Table36[[#This Row],[Grist]],SMI,0)),0,1))))</f>
        <v>0</v>
      </c>
      <c r="AB483" s="127">
        <f>SUM(Table36[[#This Row],[ QI Bran Content]:[QI WG]])</f>
        <v>4</v>
      </c>
      <c r="AC483" s="127">
        <f>COUNT(Table36[[#This Row],[ QI Bran Content]:[QI WG]])</f>
        <v>10</v>
      </c>
    </row>
    <row r="484" spans="1:29" x14ac:dyDescent="0.35">
      <c r="A484" s="11">
        <v>45346</v>
      </c>
      <c r="B484" s="70">
        <v>45346</v>
      </c>
      <c r="C484" s="70" t="s">
        <v>130</v>
      </c>
      <c r="D484" s="28">
        <v>1.2083333333333299</v>
      </c>
      <c r="E484" s="12" t="s">
        <v>2</v>
      </c>
      <c r="F484" s="13" t="s">
        <v>242</v>
      </c>
      <c r="G484" s="117" t="s">
        <v>292</v>
      </c>
      <c r="H484" s="14" t="s">
        <v>165</v>
      </c>
      <c r="I484" s="14" t="s">
        <v>165</v>
      </c>
      <c r="J484" s="14" t="s">
        <v>165</v>
      </c>
      <c r="K484" s="14">
        <v>13.01</v>
      </c>
      <c r="L484" s="14">
        <v>0</v>
      </c>
      <c r="M484" s="14">
        <v>0</v>
      </c>
      <c r="N484" s="14">
        <v>0</v>
      </c>
      <c r="O484" s="14">
        <v>0</v>
      </c>
      <c r="P484" s="14">
        <v>0</v>
      </c>
      <c r="Q484" s="14">
        <v>0</v>
      </c>
      <c r="R484" s="127">
        <f>IF(Table36[[#This Row],[ Bran Content]]="-","-",IF(G484&lt;0.02,1,0))</f>
        <v>0</v>
      </c>
      <c r="S484" s="127">
        <f>IF(Table36[[#This Row],[Sieve Test]]="-","-",IF(Table36[[#This Row],[Sieve Test]]="P",1,0))</f>
        <v>1</v>
      </c>
      <c r="T484" s="127">
        <f>IF(Table36[[#This Row],[Odor]]="-","-",IF(Table36[[#This Row],[Odor]]="P",1,0))</f>
        <v>1</v>
      </c>
      <c r="U484" s="127">
        <f>IF(INDEX(MCmin,MATCH(Table36[[#This Row],[Grist]],SMI,0))="-","-",IF(Table36[[#This Row],[F1 %MC]]="-","-",IF(Table36[[#This Row],[F1 %MC]]&lt;INDEX(MCmin,MATCH(Table36[[#This Row],[Grist]],SMI,0)),0,IF(Table36[[#This Row],[F1 %MC]]&gt;INDEX(MCmax,MATCH(Table36[[#This Row],[Grist]],SMI,0)),0,1))))</f>
        <v>1</v>
      </c>
      <c r="V484" s="127">
        <f>IF(INDEX(Protmin,MATCH(Table36[[#This Row],[Grist]],SMI,0))="-","-",IF(Table36[[#This Row],[%Protein]]="-","-",IF(Table36[[#This Row],[%Protein]]&lt;INDEX(Protmin,MATCH(Table36[[#This Row],[Grist]],SMI,0)),0,IF(Table36[[#This Row],[%Protein]]&gt;INDEX(Protmax,MATCH(Table36[[#This Row],[Grist]],SMI,0)),0,1))))</f>
        <v>0</v>
      </c>
      <c r="W484" s="127">
        <f>IF(INDEX(Ashmin,MATCH(Table36[[#This Row],[Grist]],SMI,0))="-","-",IF(Table36[[#This Row],[%Ash]]="-","-",IF(Table36[[#This Row],[%Ash]]&lt;INDEX(Ashmin,MATCH(Table36[[#This Row],[Grist]],SMI,0)),0,IF(Table36[[#This Row],[%Ash]]&gt;INDEX(Ashmax,MATCH(Table36[[#This Row],[Grist]],SMI,0)),0,1))))</f>
        <v>1</v>
      </c>
      <c r="X484" s="127">
        <f>IF(INDEX(Absmin,MATCH(Table36[[#This Row],[Grist]],SMI,0))="-","-",IF(Table36[[#This Row],[%Absorption]]="-","-",IF(Table36[[#This Row],[%Absorption]]&lt;INDEX(Absmin,MATCH(Table36[[#This Row],[Grist]],SMI,0)),0,IF(Table36[[#This Row],[%Absorption]]&gt;INDEX(Absmax,MATCH(Table36[[#This Row],[Grist]],SMI,0)),0,1))))</f>
        <v>0</v>
      </c>
      <c r="Y484" s="127">
        <f>IF(INDEX(Extmin,MATCH(Table36[[#This Row],[Grist]],SMI,0))="-","-",IF(Table36[[#This Row],[%Extensibility]]="-","-",IF(Table36[[#This Row],[%Extensibility]]&lt;INDEX(Extmin,MATCH(Table36[[#This Row],[Grist]],SMI,0)),0,IF(Table36[[#This Row],[%Extensibility]]&gt;INDEX(Extmax,MATCH(Table36[[#This Row],[Grist]],SMI,0)),0,1))))</f>
        <v>0</v>
      </c>
      <c r="Z484" s="127">
        <f>IF(INDEX(Resmin,MATCH(Table36[[#This Row],[Grist]],SMI,0))="-","-",IF(Table36[[#This Row],[Resistance, max]]="-","-",IF(Table36[[#This Row],[Resistance, max]]&lt;INDEX(Resmin,MATCH(Table36[[#This Row],[Grist]],SMI,0)),0,IF(Table36[[#This Row],[Resistance, max]]&gt;INDEX(Resmax,MATCH(Table36[[#This Row],[Grist]],SMI,0)),0,1))))</f>
        <v>0</v>
      </c>
      <c r="AA484" s="127">
        <f>IF(INDEX(WGmin,MATCH(Table36[[#This Row],[Grist]],SMI,0))="-","-",IF(Table36[[#This Row],[%Wet Gluten]]="-","-",IF(Table36[[#This Row],[%Wet Gluten]]&lt;INDEX(WGmin,MATCH(Table36[[#This Row],[Grist]],SMI,0)),0,IF(Table36[[#This Row],[%Wet Gluten]]&gt;INDEX(WGmax,MATCH(Table36[[#This Row],[Grist]],SMI,0)),0,1))))</f>
        <v>0</v>
      </c>
      <c r="AB484" s="127">
        <f>SUM(Table36[[#This Row],[ QI Bran Content]:[QI WG]])</f>
        <v>4</v>
      </c>
      <c r="AC484" s="127">
        <f>COUNT(Table36[[#This Row],[ QI Bran Content]:[QI WG]])</f>
        <v>10</v>
      </c>
    </row>
    <row r="485" spans="1:29" x14ac:dyDescent="0.35">
      <c r="A485" s="11">
        <v>45347</v>
      </c>
      <c r="B485" s="70">
        <v>45347</v>
      </c>
      <c r="C485" s="70" t="s">
        <v>125</v>
      </c>
      <c r="D485" s="28" t="s">
        <v>239</v>
      </c>
      <c r="E485" s="12" t="s">
        <v>0</v>
      </c>
      <c r="F485" s="13" t="s">
        <v>27</v>
      </c>
      <c r="G485" s="117">
        <v>6.1999999999999998E-3</v>
      </c>
      <c r="H485" s="14" t="s">
        <v>165</v>
      </c>
      <c r="I485" s="14" t="s">
        <v>165</v>
      </c>
      <c r="J485" s="14" t="s">
        <v>165</v>
      </c>
      <c r="K485" s="14">
        <v>13.11</v>
      </c>
      <c r="L485" s="14">
        <v>13.5</v>
      </c>
      <c r="M485" s="14">
        <v>0.61</v>
      </c>
      <c r="N485" s="14">
        <v>66</v>
      </c>
      <c r="O485" s="14">
        <v>0</v>
      </c>
      <c r="P485" s="14">
        <v>0</v>
      </c>
      <c r="Q485" s="14">
        <v>38.67</v>
      </c>
      <c r="R485" s="127">
        <f>IF(Table36[[#This Row],[ Bran Content]]="-","-",IF(G485&lt;0.02,1,0))</f>
        <v>1</v>
      </c>
      <c r="S485" s="127">
        <f>IF(Table36[[#This Row],[Sieve Test]]="-","-",IF(Table36[[#This Row],[Sieve Test]]="P",1,0))</f>
        <v>1</v>
      </c>
      <c r="T485" s="127">
        <f>IF(Table36[[#This Row],[Odor]]="-","-",IF(Table36[[#This Row],[Odor]]="P",1,0))</f>
        <v>1</v>
      </c>
      <c r="U485" s="127">
        <f>IF(INDEX(MCmin,MATCH(Table36[[#This Row],[Grist]],SMI,0))="-","-",IF(Table36[[#This Row],[F1 %MC]]="-","-",IF(Table36[[#This Row],[F1 %MC]]&lt;INDEX(MCmin,MATCH(Table36[[#This Row],[Grist]],SMI,0)),0,IF(Table36[[#This Row],[F1 %MC]]&gt;INDEX(MCmax,MATCH(Table36[[#This Row],[Grist]],SMI,0)),0,1))))</f>
        <v>1</v>
      </c>
      <c r="V485" s="127">
        <f>IF(INDEX(Protmin,MATCH(Table36[[#This Row],[Grist]],SMI,0))="-","-",IF(Table36[[#This Row],[%Protein]]="-","-",IF(Table36[[#This Row],[%Protein]]&lt;INDEX(Protmin,MATCH(Table36[[#This Row],[Grist]],SMI,0)),0,IF(Table36[[#This Row],[%Protein]]&gt;INDEX(Protmax,MATCH(Table36[[#This Row],[Grist]],SMI,0)),0,1))))</f>
        <v>1</v>
      </c>
      <c r="W485" s="127">
        <f>IF(INDEX(Ashmin,MATCH(Table36[[#This Row],[Grist]],SMI,0))="-","-",IF(Table36[[#This Row],[%Ash]]="-","-",IF(Table36[[#This Row],[%Ash]]&lt;INDEX(Ashmin,MATCH(Table36[[#This Row],[Grist]],SMI,0)),0,IF(Table36[[#This Row],[%Ash]]&gt;INDEX(Ashmax,MATCH(Table36[[#This Row],[Grist]],SMI,0)),0,1))))</f>
        <v>1</v>
      </c>
      <c r="X485" s="127">
        <f>IF(INDEX(Absmin,MATCH(Table36[[#This Row],[Grist]],SMI,0))="-","-",IF(Table36[[#This Row],[%Absorption]]="-","-",IF(Table36[[#This Row],[%Absorption]]&lt;INDEX(Absmin,MATCH(Table36[[#This Row],[Grist]],SMI,0)),0,IF(Table36[[#This Row],[%Absorption]]&gt;INDEX(Absmax,MATCH(Table36[[#This Row],[Grist]],SMI,0)),0,1))))</f>
        <v>1</v>
      </c>
      <c r="Y485" s="127">
        <f>IF(INDEX(Extmin,MATCH(Table36[[#This Row],[Grist]],SMI,0))="-","-",IF(Table36[[#This Row],[%Extensibility]]="-","-",IF(Table36[[#This Row],[%Extensibility]]&lt;INDEX(Extmin,MATCH(Table36[[#This Row],[Grist]],SMI,0)),0,IF(Table36[[#This Row],[%Extensibility]]&gt;INDEX(Extmax,MATCH(Table36[[#This Row],[Grist]],SMI,0)),0,1))))</f>
        <v>0</v>
      </c>
      <c r="Z485" s="127">
        <f>IF(INDEX(Resmin,MATCH(Table36[[#This Row],[Grist]],SMI,0))="-","-",IF(Table36[[#This Row],[Resistance, max]]="-","-",IF(Table36[[#This Row],[Resistance, max]]&lt;INDEX(Resmin,MATCH(Table36[[#This Row],[Grist]],SMI,0)),0,IF(Table36[[#This Row],[Resistance, max]]&gt;INDEX(Resmax,MATCH(Table36[[#This Row],[Grist]],SMI,0)),0,1))))</f>
        <v>0</v>
      </c>
      <c r="AA485" s="127">
        <f>IF(INDEX(WGmin,MATCH(Table36[[#This Row],[Grist]],SMI,0))="-","-",IF(Table36[[#This Row],[%Wet Gluten]]="-","-",IF(Table36[[#This Row],[%Wet Gluten]]&lt;INDEX(WGmin,MATCH(Table36[[#This Row],[Grist]],SMI,0)),0,IF(Table36[[#This Row],[%Wet Gluten]]&gt;INDEX(WGmax,MATCH(Table36[[#This Row],[Grist]],SMI,0)),0,1))))</f>
        <v>1</v>
      </c>
      <c r="AB485" s="127">
        <f>SUM(Table36[[#This Row],[ QI Bran Content]:[QI WG]])</f>
        <v>8</v>
      </c>
      <c r="AC485" s="127">
        <f>COUNT(Table36[[#This Row],[ QI Bran Content]:[QI WG]])</f>
        <v>10</v>
      </c>
    </row>
    <row r="486" spans="1:29" x14ac:dyDescent="0.35">
      <c r="A486" s="11">
        <v>45347</v>
      </c>
      <c r="B486" s="70">
        <v>45347</v>
      </c>
      <c r="C486" s="70" t="s">
        <v>125</v>
      </c>
      <c r="D486" s="28" t="s">
        <v>240</v>
      </c>
      <c r="E486" s="12" t="s">
        <v>0</v>
      </c>
      <c r="F486" s="13" t="s">
        <v>27</v>
      </c>
      <c r="G486" s="117">
        <v>1.17E-2</v>
      </c>
      <c r="H486" s="14" t="s">
        <v>165</v>
      </c>
      <c r="I486" s="14" t="s">
        <v>165</v>
      </c>
      <c r="J486" s="14" t="s">
        <v>165</v>
      </c>
      <c r="K486" s="14">
        <v>12.93</v>
      </c>
      <c r="L486" s="14">
        <v>13.5</v>
      </c>
      <c r="M486" s="14">
        <v>0.61</v>
      </c>
      <c r="N486" s="14">
        <v>66</v>
      </c>
      <c r="O486" s="14">
        <v>0</v>
      </c>
      <c r="P486" s="14">
        <v>0</v>
      </c>
      <c r="Q486" s="14">
        <v>38.67</v>
      </c>
      <c r="R486" s="127">
        <f>IF(Table36[[#This Row],[ Bran Content]]="-","-",IF(G486&lt;0.02,1,0))</f>
        <v>1</v>
      </c>
      <c r="S486" s="127">
        <f>IF(Table36[[#This Row],[Sieve Test]]="-","-",IF(Table36[[#This Row],[Sieve Test]]="P",1,0))</f>
        <v>1</v>
      </c>
      <c r="T486" s="127">
        <f>IF(Table36[[#This Row],[Odor]]="-","-",IF(Table36[[#This Row],[Odor]]="P",1,0))</f>
        <v>1</v>
      </c>
      <c r="U486" s="127">
        <f>IF(INDEX(MCmin,MATCH(Table36[[#This Row],[Grist]],SMI,0))="-","-",IF(Table36[[#This Row],[F1 %MC]]="-","-",IF(Table36[[#This Row],[F1 %MC]]&lt;INDEX(MCmin,MATCH(Table36[[#This Row],[Grist]],SMI,0)),0,IF(Table36[[#This Row],[F1 %MC]]&gt;INDEX(MCmax,MATCH(Table36[[#This Row],[Grist]],SMI,0)),0,1))))</f>
        <v>1</v>
      </c>
      <c r="V486" s="127">
        <f>IF(INDEX(Protmin,MATCH(Table36[[#This Row],[Grist]],SMI,0))="-","-",IF(Table36[[#This Row],[%Protein]]="-","-",IF(Table36[[#This Row],[%Protein]]&lt;INDEX(Protmin,MATCH(Table36[[#This Row],[Grist]],SMI,0)),0,IF(Table36[[#This Row],[%Protein]]&gt;INDEX(Protmax,MATCH(Table36[[#This Row],[Grist]],SMI,0)),0,1))))</f>
        <v>1</v>
      </c>
      <c r="W486" s="127">
        <f>IF(INDEX(Ashmin,MATCH(Table36[[#This Row],[Grist]],SMI,0))="-","-",IF(Table36[[#This Row],[%Ash]]="-","-",IF(Table36[[#This Row],[%Ash]]&lt;INDEX(Ashmin,MATCH(Table36[[#This Row],[Grist]],SMI,0)),0,IF(Table36[[#This Row],[%Ash]]&gt;INDEX(Ashmax,MATCH(Table36[[#This Row],[Grist]],SMI,0)),0,1))))</f>
        <v>1</v>
      </c>
      <c r="X486" s="127">
        <f>IF(INDEX(Absmin,MATCH(Table36[[#This Row],[Grist]],SMI,0))="-","-",IF(Table36[[#This Row],[%Absorption]]="-","-",IF(Table36[[#This Row],[%Absorption]]&lt;INDEX(Absmin,MATCH(Table36[[#This Row],[Grist]],SMI,0)),0,IF(Table36[[#This Row],[%Absorption]]&gt;INDEX(Absmax,MATCH(Table36[[#This Row],[Grist]],SMI,0)),0,1))))</f>
        <v>1</v>
      </c>
      <c r="Y486" s="127">
        <f>IF(INDEX(Extmin,MATCH(Table36[[#This Row],[Grist]],SMI,0))="-","-",IF(Table36[[#This Row],[%Extensibility]]="-","-",IF(Table36[[#This Row],[%Extensibility]]&lt;INDEX(Extmin,MATCH(Table36[[#This Row],[Grist]],SMI,0)),0,IF(Table36[[#This Row],[%Extensibility]]&gt;INDEX(Extmax,MATCH(Table36[[#This Row],[Grist]],SMI,0)),0,1))))</f>
        <v>0</v>
      </c>
      <c r="Z486" s="127">
        <f>IF(INDEX(Resmin,MATCH(Table36[[#This Row],[Grist]],SMI,0))="-","-",IF(Table36[[#This Row],[Resistance, max]]="-","-",IF(Table36[[#This Row],[Resistance, max]]&lt;INDEX(Resmin,MATCH(Table36[[#This Row],[Grist]],SMI,0)),0,IF(Table36[[#This Row],[Resistance, max]]&gt;INDEX(Resmax,MATCH(Table36[[#This Row],[Grist]],SMI,0)),0,1))))</f>
        <v>0</v>
      </c>
      <c r="AA486" s="127">
        <f>IF(INDEX(WGmin,MATCH(Table36[[#This Row],[Grist]],SMI,0))="-","-",IF(Table36[[#This Row],[%Wet Gluten]]="-","-",IF(Table36[[#This Row],[%Wet Gluten]]&lt;INDEX(WGmin,MATCH(Table36[[#This Row],[Grist]],SMI,0)),0,IF(Table36[[#This Row],[%Wet Gluten]]&gt;INDEX(WGmax,MATCH(Table36[[#This Row],[Grist]],SMI,0)),0,1))))</f>
        <v>1</v>
      </c>
      <c r="AB486" s="127">
        <f>SUM(Table36[[#This Row],[ QI Bran Content]:[QI WG]])</f>
        <v>8</v>
      </c>
      <c r="AC486" s="127">
        <f>COUNT(Table36[[#This Row],[ QI Bran Content]:[QI WG]])</f>
        <v>10</v>
      </c>
    </row>
    <row r="487" spans="1:29" x14ac:dyDescent="0.35">
      <c r="A487" s="11">
        <v>45347</v>
      </c>
      <c r="B487" s="70">
        <v>45347</v>
      </c>
      <c r="C487" s="70" t="s">
        <v>125</v>
      </c>
      <c r="D487" s="28" t="s">
        <v>237</v>
      </c>
      <c r="E487" s="12" t="s">
        <v>0</v>
      </c>
      <c r="F487" s="13" t="s">
        <v>27</v>
      </c>
      <c r="G487" s="117">
        <v>9.2999999999999992E-3</v>
      </c>
      <c r="H487" s="14" t="s">
        <v>165</v>
      </c>
      <c r="I487" s="14" t="s">
        <v>165</v>
      </c>
      <c r="J487" s="14" t="s">
        <v>165</v>
      </c>
      <c r="K487" s="14">
        <v>13.02</v>
      </c>
      <c r="L487" s="14">
        <v>13.5</v>
      </c>
      <c r="M487" s="14">
        <v>0.61</v>
      </c>
      <c r="N487" s="14">
        <v>66</v>
      </c>
      <c r="O487" s="14">
        <v>0</v>
      </c>
      <c r="P487" s="14">
        <v>0</v>
      </c>
      <c r="Q487" s="14">
        <v>38.67</v>
      </c>
      <c r="R487" s="127">
        <f>IF(Table36[[#This Row],[ Bran Content]]="-","-",IF(G487&lt;0.02,1,0))</f>
        <v>1</v>
      </c>
      <c r="S487" s="127">
        <f>IF(Table36[[#This Row],[Sieve Test]]="-","-",IF(Table36[[#This Row],[Sieve Test]]="P",1,0))</f>
        <v>1</v>
      </c>
      <c r="T487" s="127">
        <f>IF(Table36[[#This Row],[Odor]]="-","-",IF(Table36[[#This Row],[Odor]]="P",1,0))</f>
        <v>1</v>
      </c>
      <c r="U487" s="127">
        <f>IF(INDEX(MCmin,MATCH(Table36[[#This Row],[Grist]],SMI,0))="-","-",IF(Table36[[#This Row],[F1 %MC]]="-","-",IF(Table36[[#This Row],[F1 %MC]]&lt;INDEX(MCmin,MATCH(Table36[[#This Row],[Grist]],SMI,0)),0,IF(Table36[[#This Row],[F1 %MC]]&gt;INDEX(MCmax,MATCH(Table36[[#This Row],[Grist]],SMI,0)),0,1))))</f>
        <v>1</v>
      </c>
      <c r="V487" s="127">
        <f>IF(INDEX(Protmin,MATCH(Table36[[#This Row],[Grist]],SMI,0))="-","-",IF(Table36[[#This Row],[%Protein]]="-","-",IF(Table36[[#This Row],[%Protein]]&lt;INDEX(Protmin,MATCH(Table36[[#This Row],[Grist]],SMI,0)),0,IF(Table36[[#This Row],[%Protein]]&gt;INDEX(Protmax,MATCH(Table36[[#This Row],[Grist]],SMI,0)),0,1))))</f>
        <v>1</v>
      </c>
      <c r="W487" s="127">
        <f>IF(INDEX(Ashmin,MATCH(Table36[[#This Row],[Grist]],SMI,0))="-","-",IF(Table36[[#This Row],[%Ash]]="-","-",IF(Table36[[#This Row],[%Ash]]&lt;INDEX(Ashmin,MATCH(Table36[[#This Row],[Grist]],SMI,0)),0,IF(Table36[[#This Row],[%Ash]]&gt;INDEX(Ashmax,MATCH(Table36[[#This Row],[Grist]],SMI,0)),0,1))))</f>
        <v>1</v>
      </c>
      <c r="X487" s="127">
        <f>IF(INDEX(Absmin,MATCH(Table36[[#This Row],[Grist]],SMI,0))="-","-",IF(Table36[[#This Row],[%Absorption]]="-","-",IF(Table36[[#This Row],[%Absorption]]&lt;INDEX(Absmin,MATCH(Table36[[#This Row],[Grist]],SMI,0)),0,IF(Table36[[#This Row],[%Absorption]]&gt;INDEX(Absmax,MATCH(Table36[[#This Row],[Grist]],SMI,0)),0,1))))</f>
        <v>1</v>
      </c>
      <c r="Y487" s="127">
        <f>IF(INDEX(Extmin,MATCH(Table36[[#This Row],[Grist]],SMI,0))="-","-",IF(Table36[[#This Row],[%Extensibility]]="-","-",IF(Table36[[#This Row],[%Extensibility]]&lt;INDEX(Extmin,MATCH(Table36[[#This Row],[Grist]],SMI,0)),0,IF(Table36[[#This Row],[%Extensibility]]&gt;INDEX(Extmax,MATCH(Table36[[#This Row],[Grist]],SMI,0)),0,1))))</f>
        <v>0</v>
      </c>
      <c r="Z487" s="127">
        <f>IF(INDEX(Resmin,MATCH(Table36[[#This Row],[Grist]],SMI,0))="-","-",IF(Table36[[#This Row],[Resistance, max]]="-","-",IF(Table36[[#This Row],[Resistance, max]]&lt;INDEX(Resmin,MATCH(Table36[[#This Row],[Grist]],SMI,0)),0,IF(Table36[[#This Row],[Resistance, max]]&gt;INDEX(Resmax,MATCH(Table36[[#This Row],[Grist]],SMI,0)),0,1))))</f>
        <v>0</v>
      </c>
      <c r="AA487" s="127">
        <f>IF(INDEX(WGmin,MATCH(Table36[[#This Row],[Grist]],SMI,0))="-","-",IF(Table36[[#This Row],[%Wet Gluten]]="-","-",IF(Table36[[#This Row],[%Wet Gluten]]&lt;INDEX(WGmin,MATCH(Table36[[#This Row],[Grist]],SMI,0)),0,IF(Table36[[#This Row],[%Wet Gluten]]&gt;INDEX(WGmax,MATCH(Table36[[#This Row],[Grist]],SMI,0)),0,1))))</f>
        <v>1</v>
      </c>
      <c r="AB487" s="127">
        <f>SUM(Table36[[#This Row],[ QI Bran Content]:[QI WG]])</f>
        <v>8</v>
      </c>
      <c r="AC487" s="127">
        <f>COUNT(Table36[[#This Row],[ QI Bran Content]:[QI WG]])</f>
        <v>10</v>
      </c>
    </row>
    <row r="488" spans="1:29" x14ac:dyDescent="0.35">
      <c r="A488" s="11">
        <v>45347</v>
      </c>
      <c r="B488" s="70">
        <v>45347</v>
      </c>
      <c r="C488" s="70" t="s">
        <v>125</v>
      </c>
      <c r="D488" s="28" t="s">
        <v>238</v>
      </c>
      <c r="E488" s="12" t="s">
        <v>0</v>
      </c>
      <c r="F488" s="13" t="s">
        <v>27</v>
      </c>
      <c r="G488" s="117">
        <v>1.0200000000000001E-2</v>
      </c>
      <c r="H488" s="14" t="s">
        <v>165</v>
      </c>
      <c r="I488" s="14" t="s">
        <v>165</v>
      </c>
      <c r="J488" s="14" t="s">
        <v>165</v>
      </c>
      <c r="K488" s="14">
        <v>12.88</v>
      </c>
      <c r="L488" s="14">
        <v>13.5</v>
      </c>
      <c r="M488" s="14">
        <v>0.61</v>
      </c>
      <c r="N488" s="14">
        <v>66</v>
      </c>
      <c r="O488" s="14">
        <v>0</v>
      </c>
      <c r="P488" s="14">
        <v>0</v>
      </c>
      <c r="Q488" s="14">
        <v>38.67</v>
      </c>
      <c r="R488" s="127">
        <f>IF(Table36[[#This Row],[ Bran Content]]="-","-",IF(G488&lt;0.02,1,0))</f>
        <v>1</v>
      </c>
      <c r="S488" s="127">
        <f>IF(Table36[[#This Row],[Sieve Test]]="-","-",IF(Table36[[#This Row],[Sieve Test]]="P",1,0))</f>
        <v>1</v>
      </c>
      <c r="T488" s="127">
        <f>IF(Table36[[#This Row],[Odor]]="-","-",IF(Table36[[#This Row],[Odor]]="P",1,0))</f>
        <v>1</v>
      </c>
      <c r="U488" s="127">
        <f>IF(INDEX(MCmin,MATCH(Table36[[#This Row],[Grist]],SMI,0))="-","-",IF(Table36[[#This Row],[F1 %MC]]="-","-",IF(Table36[[#This Row],[F1 %MC]]&lt;INDEX(MCmin,MATCH(Table36[[#This Row],[Grist]],SMI,0)),0,IF(Table36[[#This Row],[F1 %MC]]&gt;INDEX(MCmax,MATCH(Table36[[#This Row],[Grist]],SMI,0)),0,1))))</f>
        <v>1</v>
      </c>
      <c r="V488" s="127">
        <f>IF(INDEX(Protmin,MATCH(Table36[[#This Row],[Grist]],SMI,0))="-","-",IF(Table36[[#This Row],[%Protein]]="-","-",IF(Table36[[#This Row],[%Protein]]&lt;INDEX(Protmin,MATCH(Table36[[#This Row],[Grist]],SMI,0)),0,IF(Table36[[#This Row],[%Protein]]&gt;INDEX(Protmax,MATCH(Table36[[#This Row],[Grist]],SMI,0)),0,1))))</f>
        <v>1</v>
      </c>
      <c r="W488" s="127">
        <f>IF(INDEX(Ashmin,MATCH(Table36[[#This Row],[Grist]],SMI,0))="-","-",IF(Table36[[#This Row],[%Ash]]="-","-",IF(Table36[[#This Row],[%Ash]]&lt;INDEX(Ashmin,MATCH(Table36[[#This Row],[Grist]],SMI,0)),0,IF(Table36[[#This Row],[%Ash]]&gt;INDEX(Ashmax,MATCH(Table36[[#This Row],[Grist]],SMI,0)),0,1))))</f>
        <v>1</v>
      </c>
      <c r="X488" s="127">
        <f>IF(INDEX(Absmin,MATCH(Table36[[#This Row],[Grist]],SMI,0))="-","-",IF(Table36[[#This Row],[%Absorption]]="-","-",IF(Table36[[#This Row],[%Absorption]]&lt;INDEX(Absmin,MATCH(Table36[[#This Row],[Grist]],SMI,0)),0,IF(Table36[[#This Row],[%Absorption]]&gt;INDEX(Absmax,MATCH(Table36[[#This Row],[Grist]],SMI,0)),0,1))))</f>
        <v>1</v>
      </c>
      <c r="Y488" s="127">
        <f>IF(INDEX(Extmin,MATCH(Table36[[#This Row],[Grist]],SMI,0))="-","-",IF(Table36[[#This Row],[%Extensibility]]="-","-",IF(Table36[[#This Row],[%Extensibility]]&lt;INDEX(Extmin,MATCH(Table36[[#This Row],[Grist]],SMI,0)),0,IF(Table36[[#This Row],[%Extensibility]]&gt;INDEX(Extmax,MATCH(Table36[[#This Row],[Grist]],SMI,0)),0,1))))</f>
        <v>0</v>
      </c>
      <c r="Z488" s="127">
        <f>IF(INDEX(Resmin,MATCH(Table36[[#This Row],[Grist]],SMI,0))="-","-",IF(Table36[[#This Row],[Resistance, max]]="-","-",IF(Table36[[#This Row],[Resistance, max]]&lt;INDEX(Resmin,MATCH(Table36[[#This Row],[Grist]],SMI,0)),0,IF(Table36[[#This Row],[Resistance, max]]&gt;INDEX(Resmax,MATCH(Table36[[#This Row],[Grist]],SMI,0)),0,1))))</f>
        <v>0</v>
      </c>
      <c r="AA488" s="127">
        <f>IF(INDEX(WGmin,MATCH(Table36[[#This Row],[Grist]],SMI,0))="-","-",IF(Table36[[#This Row],[%Wet Gluten]]="-","-",IF(Table36[[#This Row],[%Wet Gluten]]&lt;INDEX(WGmin,MATCH(Table36[[#This Row],[Grist]],SMI,0)),0,IF(Table36[[#This Row],[%Wet Gluten]]&gt;INDEX(WGmax,MATCH(Table36[[#This Row],[Grist]],SMI,0)),0,1))))</f>
        <v>1</v>
      </c>
      <c r="AB488" s="127">
        <f>SUM(Table36[[#This Row],[ QI Bran Content]:[QI WG]])</f>
        <v>8</v>
      </c>
      <c r="AC488" s="127">
        <f>COUNT(Table36[[#This Row],[ QI Bran Content]:[QI WG]])</f>
        <v>10</v>
      </c>
    </row>
    <row r="489" spans="1:29" x14ac:dyDescent="0.35">
      <c r="A489" s="11">
        <v>45347</v>
      </c>
      <c r="B489" s="70">
        <v>45347</v>
      </c>
      <c r="C489" s="70" t="s">
        <v>125</v>
      </c>
      <c r="D489" s="28" t="s">
        <v>239</v>
      </c>
      <c r="E489" s="12" t="s">
        <v>2</v>
      </c>
      <c r="F489" s="13" t="s">
        <v>242</v>
      </c>
      <c r="G489" s="117" t="s">
        <v>293</v>
      </c>
      <c r="H489" s="14" t="s">
        <v>165</v>
      </c>
      <c r="I489" s="14" t="s">
        <v>165</v>
      </c>
      <c r="J489" s="14" t="s">
        <v>165</v>
      </c>
      <c r="K489" s="14">
        <v>12.89</v>
      </c>
      <c r="L489" s="14" t="s">
        <v>294</v>
      </c>
      <c r="M489" s="14" t="s">
        <v>245</v>
      </c>
      <c r="N489" s="14">
        <v>63.4</v>
      </c>
      <c r="O489" s="14">
        <v>0</v>
      </c>
      <c r="P489" s="14">
        <v>0</v>
      </c>
      <c r="Q489" s="14">
        <v>34.770000000000003</v>
      </c>
      <c r="R489" s="127">
        <f>IF(Table36[[#This Row],[ Bran Content]]="-","-",IF(G489&lt;0.02,1,0))</f>
        <v>0</v>
      </c>
      <c r="S489" s="127">
        <f>IF(Table36[[#This Row],[Sieve Test]]="-","-",IF(Table36[[#This Row],[Sieve Test]]="P",1,0))</f>
        <v>1</v>
      </c>
      <c r="T489" s="127">
        <f>IF(Table36[[#This Row],[Odor]]="-","-",IF(Table36[[#This Row],[Odor]]="P",1,0))</f>
        <v>1</v>
      </c>
      <c r="U489" s="127">
        <f>IF(INDEX(MCmin,MATCH(Table36[[#This Row],[Grist]],SMI,0))="-","-",IF(Table36[[#This Row],[F1 %MC]]="-","-",IF(Table36[[#This Row],[F1 %MC]]&lt;INDEX(MCmin,MATCH(Table36[[#This Row],[Grist]],SMI,0)),0,IF(Table36[[#This Row],[F1 %MC]]&gt;INDEX(MCmax,MATCH(Table36[[#This Row],[Grist]],SMI,0)),0,1))))</f>
        <v>1</v>
      </c>
      <c r="V489" s="127">
        <f>IF(INDEX(Protmin,MATCH(Table36[[#This Row],[Grist]],SMI,0))="-","-",IF(Table36[[#This Row],[%Protein]]="-","-",IF(Table36[[#This Row],[%Protein]]&lt;INDEX(Protmin,MATCH(Table36[[#This Row],[Grist]],SMI,0)),0,IF(Table36[[#This Row],[%Protein]]&gt;INDEX(Protmax,MATCH(Table36[[#This Row],[Grist]],SMI,0)),0,1))))</f>
        <v>0</v>
      </c>
      <c r="W489" s="127">
        <f>IF(INDEX(Ashmin,MATCH(Table36[[#This Row],[Grist]],SMI,0))="-","-",IF(Table36[[#This Row],[%Ash]]="-","-",IF(Table36[[#This Row],[%Ash]]&lt;INDEX(Ashmin,MATCH(Table36[[#This Row],[Grist]],SMI,0)),0,IF(Table36[[#This Row],[%Ash]]&gt;INDEX(Ashmax,MATCH(Table36[[#This Row],[Grist]],SMI,0)),0,1))))</f>
        <v>0</v>
      </c>
      <c r="X489" s="127">
        <f>IF(INDEX(Absmin,MATCH(Table36[[#This Row],[Grist]],SMI,0))="-","-",IF(Table36[[#This Row],[%Absorption]]="-","-",IF(Table36[[#This Row],[%Absorption]]&lt;INDEX(Absmin,MATCH(Table36[[#This Row],[Grist]],SMI,0)),0,IF(Table36[[#This Row],[%Absorption]]&gt;INDEX(Absmax,MATCH(Table36[[#This Row],[Grist]],SMI,0)),0,1))))</f>
        <v>1</v>
      </c>
      <c r="Y489" s="127">
        <f>IF(INDEX(Extmin,MATCH(Table36[[#This Row],[Grist]],SMI,0))="-","-",IF(Table36[[#This Row],[%Extensibility]]="-","-",IF(Table36[[#This Row],[%Extensibility]]&lt;INDEX(Extmin,MATCH(Table36[[#This Row],[Grist]],SMI,0)),0,IF(Table36[[#This Row],[%Extensibility]]&gt;INDEX(Extmax,MATCH(Table36[[#This Row],[Grist]],SMI,0)),0,1))))</f>
        <v>0</v>
      </c>
      <c r="Z489" s="127">
        <f>IF(INDEX(Resmin,MATCH(Table36[[#This Row],[Grist]],SMI,0))="-","-",IF(Table36[[#This Row],[Resistance, max]]="-","-",IF(Table36[[#This Row],[Resistance, max]]&lt;INDEX(Resmin,MATCH(Table36[[#This Row],[Grist]],SMI,0)),0,IF(Table36[[#This Row],[Resistance, max]]&gt;INDEX(Resmax,MATCH(Table36[[#This Row],[Grist]],SMI,0)),0,1))))</f>
        <v>0</v>
      </c>
      <c r="AA489" s="127">
        <f>IF(INDEX(WGmin,MATCH(Table36[[#This Row],[Grist]],SMI,0))="-","-",IF(Table36[[#This Row],[%Wet Gluten]]="-","-",IF(Table36[[#This Row],[%Wet Gluten]]&lt;INDEX(WGmin,MATCH(Table36[[#This Row],[Grist]],SMI,0)),0,IF(Table36[[#This Row],[%Wet Gluten]]&gt;INDEX(WGmax,MATCH(Table36[[#This Row],[Grist]],SMI,0)),0,1))))</f>
        <v>1</v>
      </c>
      <c r="AB489" s="127">
        <f>SUM(Table36[[#This Row],[ QI Bran Content]:[QI WG]])</f>
        <v>5</v>
      </c>
      <c r="AC489" s="127">
        <f>COUNT(Table36[[#This Row],[ QI Bran Content]:[QI WG]])</f>
        <v>10</v>
      </c>
    </row>
    <row r="490" spans="1:29" x14ac:dyDescent="0.35">
      <c r="A490" s="11">
        <v>45347</v>
      </c>
      <c r="B490" s="70">
        <v>45347</v>
      </c>
      <c r="C490" s="70" t="s">
        <v>125</v>
      </c>
      <c r="D490" s="28" t="s">
        <v>240</v>
      </c>
      <c r="E490" s="12" t="s">
        <v>2</v>
      </c>
      <c r="F490" s="13" t="s">
        <v>242</v>
      </c>
      <c r="G490" s="117" t="s">
        <v>295</v>
      </c>
      <c r="H490" s="14" t="s">
        <v>165</v>
      </c>
      <c r="I490" s="14" t="s">
        <v>165</v>
      </c>
      <c r="J490" s="14" t="s">
        <v>165</v>
      </c>
      <c r="K490" s="14">
        <v>12.99</v>
      </c>
      <c r="L490" s="14" t="s">
        <v>294</v>
      </c>
      <c r="M490" s="14" t="s">
        <v>245</v>
      </c>
      <c r="N490" s="14">
        <v>63.4</v>
      </c>
      <c r="O490" s="14">
        <v>0</v>
      </c>
      <c r="P490" s="14">
        <v>0</v>
      </c>
      <c r="Q490" s="14">
        <v>34.770000000000003</v>
      </c>
      <c r="R490" s="127">
        <f>IF(Table36[[#This Row],[ Bran Content]]="-","-",IF(G490&lt;0.02,1,0))</f>
        <v>0</v>
      </c>
      <c r="S490" s="127">
        <f>IF(Table36[[#This Row],[Sieve Test]]="-","-",IF(Table36[[#This Row],[Sieve Test]]="P",1,0))</f>
        <v>1</v>
      </c>
      <c r="T490" s="127">
        <f>IF(Table36[[#This Row],[Odor]]="-","-",IF(Table36[[#This Row],[Odor]]="P",1,0))</f>
        <v>1</v>
      </c>
      <c r="U490" s="127">
        <f>IF(INDEX(MCmin,MATCH(Table36[[#This Row],[Grist]],SMI,0))="-","-",IF(Table36[[#This Row],[F1 %MC]]="-","-",IF(Table36[[#This Row],[F1 %MC]]&lt;INDEX(MCmin,MATCH(Table36[[#This Row],[Grist]],SMI,0)),0,IF(Table36[[#This Row],[F1 %MC]]&gt;INDEX(MCmax,MATCH(Table36[[#This Row],[Grist]],SMI,0)),0,1))))</f>
        <v>1</v>
      </c>
      <c r="V490" s="127">
        <f>IF(INDEX(Protmin,MATCH(Table36[[#This Row],[Grist]],SMI,0))="-","-",IF(Table36[[#This Row],[%Protein]]="-","-",IF(Table36[[#This Row],[%Protein]]&lt;INDEX(Protmin,MATCH(Table36[[#This Row],[Grist]],SMI,0)),0,IF(Table36[[#This Row],[%Protein]]&gt;INDEX(Protmax,MATCH(Table36[[#This Row],[Grist]],SMI,0)),0,1))))</f>
        <v>0</v>
      </c>
      <c r="W490" s="127">
        <f>IF(INDEX(Ashmin,MATCH(Table36[[#This Row],[Grist]],SMI,0))="-","-",IF(Table36[[#This Row],[%Ash]]="-","-",IF(Table36[[#This Row],[%Ash]]&lt;INDEX(Ashmin,MATCH(Table36[[#This Row],[Grist]],SMI,0)),0,IF(Table36[[#This Row],[%Ash]]&gt;INDEX(Ashmax,MATCH(Table36[[#This Row],[Grist]],SMI,0)),0,1))))</f>
        <v>0</v>
      </c>
      <c r="X490" s="127">
        <f>IF(INDEX(Absmin,MATCH(Table36[[#This Row],[Grist]],SMI,0))="-","-",IF(Table36[[#This Row],[%Absorption]]="-","-",IF(Table36[[#This Row],[%Absorption]]&lt;INDEX(Absmin,MATCH(Table36[[#This Row],[Grist]],SMI,0)),0,IF(Table36[[#This Row],[%Absorption]]&gt;INDEX(Absmax,MATCH(Table36[[#This Row],[Grist]],SMI,0)),0,1))))</f>
        <v>1</v>
      </c>
      <c r="Y490" s="127">
        <f>IF(INDEX(Extmin,MATCH(Table36[[#This Row],[Grist]],SMI,0))="-","-",IF(Table36[[#This Row],[%Extensibility]]="-","-",IF(Table36[[#This Row],[%Extensibility]]&lt;INDEX(Extmin,MATCH(Table36[[#This Row],[Grist]],SMI,0)),0,IF(Table36[[#This Row],[%Extensibility]]&gt;INDEX(Extmax,MATCH(Table36[[#This Row],[Grist]],SMI,0)),0,1))))</f>
        <v>0</v>
      </c>
      <c r="Z490" s="127">
        <f>IF(INDEX(Resmin,MATCH(Table36[[#This Row],[Grist]],SMI,0))="-","-",IF(Table36[[#This Row],[Resistance, max]]="-","-",IF(Table36[[#This Row],[Resistance, max]]&lt;INDEX(Resmin,MATCH(Table36[[#This Row],[Grist]],SMI,0)),0,IF(Table36[[#This Row],[Resistance, max]]&gt;INDEX(Resmax,MATCH(Table36[[#This Row],[Grist]],SMI,0)),0,1))))</f>
        <v>0</v>
      </c>
      <c r="AA490" s="127">
        <f>IF(INDEX(WGmin,MATCH(Table36[[#This Row],[Grist]],SMI,0))="-","-",IF(Table36[[#This Row],[%Wet Gluten]]="-","-",IF(Table36[[#This Row],[%Wet Gluten]]&lt;INDEX(WGmin,MATCH(Table36[[#This Row],[Grist]],SMI,0)),0,IF(Table36[[#This Row],[%Wet Gluten]]&gt;INDEX(WGmax,MATCH(Table36[[#This Row],[Grist]],SMI,0)),0,1))))</f>
        <v>1</v>
      </c>
      <c r="AB490" s="127">
        <f>SUM(Table36[[#This Row],[ QI Bran Content]:[QI WG]])</f>
        <v>5</v>
      </c>
      <c r="AC490" s="127">
        <f>COUNT(Table36[[#This Row],[ QI Bran Content]:[QI WG]])</f>
        <v>10</v>
      </c>
    </row>
    <row r="491" spans="1:29" x14ac:dyDescent="0.35">
      <c r="A491" s="11">
        <v>45347</v>
      </c>
      <c r="B491" s="70">
        <v>45347</v>
      </c>
      <c r="C491" s="70" t="s">
        <v>125</v>
      </c>
      <c r="D491" s="28" t="s">
        <v>237</v>
      </c>
      <c r="E491" s="12" t="s">
        <v>2</v>
      </c>
      <c r="F491" s="13" t="s">
        <v>242</v>
      </c>
      <c r="G491" s="117" t="s">
        <v>296</v>
      </c>
      <c r="H491" s="14" t="s">
        <v>165</v>
      </c>
      <c r="I491" s="14" t="s">
        <v>165</v>
      </c>
      <c r="J491" s="14" t="s">
        <v>165</v>
      </c>
      <c r="K491" s="14">
        <v>12.86</v>
      </c>
      <c r="L491" s="14" t="s">
        <v>294</v>
      </c>
      <c r="M491" s="14" t="s">
        <v>245</v>
      </c>
      <c r="N491" s="14">
        <v>63.4</v>
      </c>
      <c r="O491" s="14">
        <v>0</v>
      </c>
      <c r="P491" s="14">
        <v>0</v>
      </c>
      <c r="Q491" s="14">
        <v>34.770000000000003</v>
      </c>
      <c r="R491" s="127">
        <f>IF(Table36[[#This Row],[ Bran Content]]="-","-",IF(G491&lt;0.02,1,0))</f>
        <v>0</v>
      </c>
      <c r="S491" s="127">
        <f>IF(Table36[[#This Row],[Sieve Test]]="-","-",IF(Table36[[#This Row],[Sieve Test]]="P",1,0))</f>
        <v>1</v>
      </c>
      <c r="T491" s="127">
        <f>IF(Table36[[#This Row],[Odor]]="-","-",IF(Table36[[#This Row],[Odor]]="P",1,0))</f>
        <v>1</v>
      </c>
      <c r="U491" s="127">
        <f>IF(INDEX(MCmin,MATCH(Table36[[#This Row],[Grist]],SMI,0))="-","-",IF(Table36[[#This Row],[F1 %MC]]="-","-",IF(Table36[[#This Row],[F1 %MC]]&lt;INDEX(MCmin,MATCH(Table36[[#This Row],[Grist]],SMI,0)),0,IF(Table36[[#This Row],[F1 %MC]]&gt;INDEX(MCmax,MATCH(Table36[[#This Row],[Grist]],SMI,0)),0,1))))</f>
        <v>1</v>
      </c>
      <c r="V491" s="127">
        <f>IF(INDEX(Protmin,MATCH(Table36[[#This Row],[Grist]],SMI,0))="-","-",IF(Table36[[#This Row],[%Protein]]="-","-",IF(Table36[[#This Row],[%Protein]]&lt;INDEX(Protmin,MATCH(Table36[[#This Row],[Grist]],SMI,0)),0,IF(Table36[[#This Row],[%Protein]]&gt;INDEX(Protmax,MATCH(Table36[[#This Row],[Grist]],SMI,0)),0,1))))</f>
        <v>0</v>
      </c>
      <c r="W491" s="127">
        <f>IF(INDEX(Ashmin,MATCH(Table36[[#This Row],[Grist]],SMI,0))="-","-",IF(Table36[[#This Row],[%Ash]]="-","-",IF(Table36[[#This Row],[%Ash]]&lt;INDEX(Ashmin,MATCH(Table36[[#This Row],[Grist]],SMI,0)),0,IF(Table36[[#This Row],[%Ash]]&gt;INDEX(Ashmax,MATCH(Table36[[#This Row],[Grist]],SMI,0)),0,1))))</f>
        <v>0</v>
      </c>
      <c r="X491" s="127">
        <f>IF(INDEX(Absmin,MATCH(Table36[[#This Row],[Grist]],SMI,0))="-","-",IF(Table36[[#This Row],[%Absorption]]="-","-",IF(Table36[[#This Row],[%Absorption]]&lt;INDEX(Absmin,MATCH(Table36[[#This Row],[Grist]],SMI,0)),0,IF(Table36[[#This Row],[%Absorption]]&gt;INDEX(Absmax,MATCH(Table36[[#This Row],[Grist]],SMI,0)),0,1))))</f>
        <v>1</v>
      </c>
      <c r="Y491" s="127">
        <f>IF(INDEX(Extmin,MATCH(Table36[[#This Row],[Grist]],SMI,0))="-","-",IF(Table36[[#This Row],[%Extensibility]]="-","-",IF(Table36[[#This Row],[%Extensibility]]&lt;INDEX(Extmin,MATCH(Table36[[#This Row],[Grist]],SMI,0)),0,IF(Table36[[#This Row],[%Extensibility]]&gt;INDEX(Extmax,MATCH(Table36[[#This Row],[Grist]],SMI,0)),0,1))))</f>
        <v>0</v>
      </c>
      <c r="Z491" s="127">
        <f>IF(INDEX(Resmin,MATCH(Table36[[#This Row],[Grist]],SMI,0))="-","-",IF(Table36[[#This Row],[Resistance, max]]="-","-",IF(Table36[[#This Row],[Resistance, max]]&lt;INDEX(Resmin,MATCH(Table36[[#This Row],[Grist]],SMI,0)),0,IF(Table36[[#This Row],[Resistance, max]]&gt;INDEX(Resmax,MATCH(Table36[[#This Row],[Grist]],SMI,0)),0,1))))</f>
        <v>0</v>
      </c>
      <c r="AA491" s="127">
        <f>IF(INDEX(WGmin,MATCH(Table36[[#This Row],[Grist]],SMI,0))="-","-",IF(Table36[[#This Row],[%Wet Gluten]]="-","-",IF(Table36[[#This Row],[%Wet Gluten]]&lt;INDEX(WGmin,MATCH(Table36[[#This Row],[Grist]],SMI,0)),0,IF(Table36[[#This Row],[%Wet Gluten]]&gt;INDEX(WGmax,MATCH(Table36[[#This Row],[Grist]],SMI,0)),0,1))))</f>
        <v>1</v>
      </c>
      <c r="AB491" s="127">
        <f>SUM(Table36[[#This Row],[ QI Bran Content]:[QI WG]])</f>
        <v>5</v>
      </c>
      <c r="AC491" s="127">
        <f>COUNT(Table36[[#This Row],[ QI Bran Content]:[QI WG]])</f>
        <v>10</v>
      </c>
    </row>
    <row r="492" spans="1:29" x14ac:dyDescent="0.35">
      <c r="A492" s="11">
        <v>45347</v>
      </c>
      <c r="B492" s="70">
        <v>45347</v>
      </c>
      <c r="C492" s="70" t="s">
        <v>125</v>
      </c>
      <c r="D492" s="28" t="s">
        <v>238</v>
      </c>
      <c r="E492" s="12" t="s">
        <v>2</v>
      </c>
      <c r="F492" s="13" t="s">
        <v>242</v>
      </c>
      <c r="G492" s="117" t="s">
        <v>290</v>
      </c>
      <c r="H492" s="14" t="s">
        <v>165</v>
      </c>
      <c r="I492" s="14" t="s">
        <v>165</v>
      </c>
      <c r="J492" s="14" t="s">
        <v>165</v>
      </c>
      <c r="K492" s="14">
        <v>12.6</v>
      </c>
      <c r="L492" s="14" t="s">
        <v>294</v>
      </c>
      <c r="M492" s="14" t="s">
        <v>245</v>
      </c>
      <c r="N492" s="14">
        <v>63.4</v>
      </c>
      <c r="O492" s="14">
        <v>0</v>
      </c>
      <c r="P492" s="14">
        <v>0</v>
      </c>
      <c r="Q492" s="14">
        <v>34.770000000000003</v>
      </c>
      <c r="R492" s="127">
        <f>IF(Table36[[#This Row],[ Bran Content]]="-","-",IF(G492&lt;0.02,1,0))</f>
        <v>0</v>
      </c>
      <c r="S492" s="127">
        <f>IF(Table36[[#This Row],[Sieve Test]]="-","-",IF(Table36[[#This Row],[Sieve Test]]="P",1,0))</f>
        <v>1</v>
      </c>
      <c r="T492" s="127">
        <f>IF(Table36[[#This Row],[Odor]]="-","-",IF(Table36[[#This Row],[Odor]]="P",1,0))</f>
        <v>1</v>
      </c>
      <c r="U492" s="127">
        <f>IF(INDEX(MCmin,MATCH(Table36[[#This Row],[Grist]],SMI,0))="-","-",IF(Table36[[#This Row],[F1 %MC]]="-","-",IF(Table36[[#This Row],[F1 %MC]]&lt;INDEX(MCmin,MATCH(Table36[[#This Row],[Grist]],SMI,0)),0,IF(Table36[[#This Row],[F1 %MC]]&gt;INDEX(MCmax,MATCH(Table36[[#This Row],[Grist]],SMI,0)),0,1))))</f>
        <v>1</v>
      </c>
      <c r="V492" s="127">
        <f>IF(INDEX(Protmin,MATCH(Table36[[#This Row],[Grist]],SMI,0))="-","-",IF(Table36[[#This Row],[%Protein]]="-","-",IF(Table36[[#This Row],[%Protein]]&lt;INDEX(Protmin,MATCH(Table36[[#This Row],[Grist]],SMI,0)),0,IF(Table36[[#This Row],[%Protein]]&gt;INDEX(Protmax,MATCH(Table36[[#This Row],[Grist]],SMI,0)),0,1))))</f>
        <v>0</v>
      </c>
      <c r="W492" s="127">
        <f>IF(INDEX(Ashmin,MATCH(Table36[[#This Row],[Grist]],SMI,0))="-","-",IF(Table36[[#This Row],[%Ash]]="-","-",IF(Table36[[#This Row],[%Ash]]&lt;INDEX(Ashmin,MATCH(Table36[[#This Row],[Grist]],SMI,0)),0,IF(Table36[[#This Row],[%Ash]]&gt;INDEX(Ashmax,MATCH(Table36[[#This Row],[Grist]],SMI,0)),0,1))))</f>
        <v>0</v>
      </c>
      <c r="X492" s="127">
        <f>IF(INDEX(Absmin,MATCH(Table36[[#This Row],[Grist]],SMI,0))="-","-",IF(Table36[[#This Row],[%Absorption]]="-","-",IF(Table36[[#This Row],[%Absorption]]&lt;INDEX(Absmin,MATCH(Table36[[#This Row],[Grist]],SMI,0)),0,IF(Table36[[#This Row],[%Absorption]]&gt;INDEX(Absmax,MATCH(Table36[[#This Row],[Grist]],SMI,0)),0,1))))</f>
        <v>1</v>
      </c>
      <c r="Y492" s="127">
        <f>IF(INDEX(Extmin,MATCH(Table36[[#This Row],[Grist]],SMI,0))="-","-",IF(Table36[[#This Row],[%Extensibility]]="-","-",IF(Table36[[#This Row],[%Extensibility]]&lt;INDEX(Extmin,MATCH(Table36[[#This Row],[Grist]],SMI,0)),0,IF(Table36[[#This Row],[%Extensibility]]&gt;INDEX(Extmax,MATCH(Table36[[#This Row],[Grist]],SMI,0)),0,1))))</f>
        <v>0</v>
      </c>
      <c r="Z492" s="127">
        <f>IF(INDEX(Resmin,MATCH(Table36[[#This Row],[Grist]],SMI,0))="-","-",IF(Table36[[#This Row],[Resistance, max]]="-","-",IF(Table36[[#This Row],[Resistance, max]]&lt;INDEX(Resmin,MATCH(Table36[[#This Row],[Grist]],SMI,0)),0,IF(Table36[[#This Row],[Resistance, max]]&gt;INDEX(Resmax,MATCH(Table36[[#This Row],[Grist]],SMI,0)),0,1))))</f>
        <v>0</v>
      </c>
      <c r="AA492" s="127">
        <f>IF(INDEX(WGmin,MATCH(Table36[[#This Row],[Grist]],SMI,0))="-","-",IF(Table36[[#This Row],[%Wet Gluten]]="-","-",IF(Table36[[#This Row],[%Wet Gluten]]&lt;INDEX(WGmin,MATCH(Table36[[#This Row],[Grist]],SMI,0)),0,IF(Table36[[#This Row],[%Wet Gluten]]&gt;INDEX(WGmax,MATCH(Table36[[#This Row],[Grist]],SMI,0)),0,1))))</f>
        <v>1</v>
      </c>
      <c r="AB492" s="127">
        <f>SUM(Table36[[#This Row],[ QI Bran Content]:[QI WG]])</f>
        <v>5</v>
      </c>
      <c r="AC492" s="127">
        <f>COUNT(Table36[[#This Row],[ QI Bran Content]:[QI WG]])</f>
        <v>10</v>
      </c>
    </row>
    <row r="493" spans="1:29" x14ac:dyDescent="0.35">
      <c r="A493" s="11">
        <v>45347</v>
      </c>
      <c r="B493" s="70">
        <v>45347</v>
      </c>
      <c r="C493" s="70" t="s">
        <v>128</v>
      </c>
      <c r="D493" s="28">
        <v>0.625</v>
      </c>
      <c r="E493" s="12" t="s">
        <v>0</v>
      </c>
      <c r="F493" s="13" t="s">
        <v>32</v>
      </c>
      <c r="G493" s="117">
        <v>9.9000000000000008E-3</v>
      </c>
      <c r="H493" s="14" t="s">
        <v>165</v>
      </c>
      <c r="I493" s="14" t="s">
        <v>165</v>
      </c>
      <c r="J493" s="14" t="s">
        <v>165</v>
      </c>
      <c r="K493" s="14">
        <v>12.91</v>
      </c>
      <c r="L493" s="14">
        <v>0</v>
      </c>
      <c r="M493" s="14">
        <v>0</v>
      </c>
      <c r="N493" s="14">
        <v>0</v>
      </c>
      <c r="O493" s="14">
        <v>0</v>
      </c>
      <c r="P493" s="14">
        <v>0</v>
      </c>
      <c r="Q493" s="14">
        <v>0</v>
      </c>
      <c r="R493" s="127">
        <f>IF(Table36[[#This Row],[ Bran Content]]="-","-",IF(G493&lt;0.02,1,0))</f>
        <v>1</v>
      </c>
      <c r="S493" s="127">
        <f>IF(Table36[[#This Row],[Sieve Test]]="-","-",IF(Table36[[#This Row],[Sieve Test]]="P",1,0))</f>
        <v>1</v>
      </c>
      <c r="T493" s="127">
        <f>IF(Table36[[#This Row],[Odor]]="-","-",IF(Table36[[#This Row],[Odor]]="P",1,0))</f>
        <v>1</v>
      </c>
      <c r="U493" s="127">
        <f>IF(INDEX(MCmin,MATCH(Table36[[#This Row],[Grist]],SMI,0))="-","-",IF(Table36[[#This Row],[F1 %MC]]="-","-",IF(Table36[[#This Row],[F1 %MC]]&lt;INDEX(MCmin,MATCH(Table36[[#This Row],[Grist]],SMI,0)),0,IF(Table36[[#This Row],[F1 %MC]]&gt;INDEX(MCmax,MATCH(Table36[[#This Row],[Grist]],SMI,0)),0,1))))</f>
        <v>1</v>
      </c>
      <c r="V493" s="127">
        <f>IF(INDEX(Protmin,MATCH(Table36[[#This Row],[Grist]],SMI,0))="-","-",IF(Table36[[#This Row],[%Protein]]="-","-",IF(Table36[[#This Row],[%Protein]]&lt;INDEX(Protmin,MATCH(Table36[[#This Row],[Grist]],SMI,0)),0,IF(Table36[[#This Row],[%Protein]]&gt;INDEX(Protmax,MATCH(Table36[[#This Row],[Grist]],SMI,0)),0,1))))</f>
        <v>0</v>
      </c>
      <c r="W493" s="127">
        <f>IF(INDEX(Ashmin,MATCH(Table36[[#This Row],[Grist]],SMI,0))="-","-",IF(Table36[[#This Row],[%Ash]]="-","-",IF(Table36[[#This Row],[%Ash]]&lt;INDEX(Ashmin,MATCH(Table36[[#This Row],[Grist]],SMI,0)),0,IF(Table36[[#This Row],[%Ash]]&gt;INDEX(Ashmax,MATCH(Table36[[#This Row],[Grist]],SMI,0)),0,1))))</f>
        <v>1</v>
      </c>
      <c r="X493" s="127">
        <f>IF(INDEX(Absmin,MATCH(Table36[[#This Row],[Grist]],SMI,0))="-","-",IF(Table36[[#This Row],[%Absorption]]="-","-",IF(Table36[[#This Row],[%Absorption]]&lt;INDEX(Absmin,MATCH(Table36[[#This Row],[Grist]],SMI,0)),0,IF(Table36[[#This Row],[%Absorption]]&gt;INDEX(Absmax,MATCH(Table36[[#This Row],[Grist]],SMI,0)),0,1))))</f>
        <v>0</v>
      </c>
      <c r="Y493" s="127">
        <f>IF(INDEX(Extmin,MATCH(Table36[[#This Row],[Grist]],SMI,0))="-","-",IF(Table36[[#This Row],[%Extensibility]]="-","-",IF(Table36[[#This Row],[%Extensibility]]&lt;INDEX(Extmin,MATCH(Table36[[#This Row],[Grist]],SMI,0)),0,IF(Table36[[#This Row],[%Extensibility]]&gt;INDEX(Extmax,MATCH(Table36[[#This Row],[Grist]],SMI,0)),0,1))))</f>
        <v>0</v>
      </c>
      <c r="Z493" s="127">
        <f>IF(INDEX(Resmin,MATCH(Table36[[#This Row],[Grist]],SMI,0))="-","-",IF(Table36[[#This Row],[Resistance, max]]="-","-",IF(Table36[[#This Row],[Resistance, max]]&lt;INDEX(Resmin,MATCH(Table36[[#This Row],[Grist]],SMI,0)),0,IF(Table36[[#This Row],[Resistance, max]]&gt;INDEX(Resmax,MATCH(Table36[[#This Row],[Grist]],SMI,0)),0,1))))</f>
        <v>0</v>
      </c>
      <c r="AA493" s="127">
        <f>IF(INDEX(WGmin,MATCH(Table36[[#This Row],[Grist]],SMI,0))="-","-",IF(Table36[[#This Row],[%Wet Gluten]]="-","-",IF(Table36[[#This Row],[%Wet Gluten]]&lt;INDEX(WGmin,MATCH(Table36[[#This Row],[Grist]],SMI,0)),0,IF(Table36[[#This Row],[%Wet Gluten]]&gt;INDEX(WGmax,MATCH(Table36[[#This Row],[Grist]],SMI,0)),0,1))))</f>
        <v>0</v>
      </c>
      <c r="AB493" s="127">
        <f>SUM(Table36[[#This Row],[ QI Bran Content]:[QI WG]])</f>
        <v>5</v>
      </c>
      <c r="AC493" s="127">
        <f>COUNT(Table36[[#This Row],[ QI Bran Content]:[QI WG]])</f>
        <v>10</v>
      </c>
    </row>
    <row r="494" spans="1:29" x14ac:dyDescent="0.35">
      <c r="A494" s="11">
        <v>45347</v>
      </c>
      <c r="B494" s="70">
        <v>45347</v>
      </c>
      <c r="C494" s="70" t="s">
        <v>128</v>
      </c>
      <c r="D494" s="28">
        <v>0.70833333333333304</v>
      </c>
      <c r="E494" s="12" t="s">
        <v>0</v>
      </c>
      <c r="F494" s="13" t="s">
        <v>27</v>
      </c>
      <c r="G494" s="117">
        <v>1.1299999999999999E-2</v>
      </c>
      <c r="H494" s="14" t="s">
        <v>165</v>
      </c>
      <c r="I494" s="14" t="s">
        <v>165</v>
      </c>
      <c r="J494" s="14" t="s">
        <v>165</v>
      </c>
      <c r="K494" s="14">
        <v>13.43</v>
      </c>
      <c r="L494" s="14">
        <v>0</v>
      </c>
      <c r="M494" s="14">
        <v>0</v>
      </c>
      <c r="N494" s="14">
        <v>0</v>
      </c>
      <c r="O494" s="14">
        <v>0</v>
      </c>
      <c r="P494" s="14">
        <v>0</v>
      </c>
      <c r="Q494" s="14">
        <v>0</v>
      </c>
      <c r="R494" s="127">
        <f>IF(Table36[[#This Row],[ Bran Content]]="-","-",IF(G494&lt;0.02,1,0))</f>
        <v>1</v>
      </c>
      <c r="S494" s="127">
        <f>IF(Table36[[#This Row],[Sieve Test]]="-","-",IF(Table36[[#This Row],[Sieve Test]]="P",1,0))</f>
        <v>1</v>
      </c>
      <c r="T494" s="127">
        <f>IF(Table36[[#This Row],[Odor]]="-","-",IF(Table36[[#This Row],[Odor]]="P",1,0))</f>
        <v>1</v>
      </c>
      <c r="U494" s="127">
        <f>IF(INDEX(MCmin,MATCH(Table36[[#This Row],[Grist]],SMI,0))="-","-",IF(Table36[[#This Row],[F1 %MC]]="-","-",IF(Table36[[#This Row],[F1 %MC]]&lt;INDEX(MCmin,MATCH(Table36[[#This Row],[Grist]],SMI,0)),0,IF(Table36[[#This Row],[F1 %MC]]&gt;INDEX(MCmax,MATCH(Table36[[#This Row],[Grist]],SMI,0)),0,1))))</f>
        <v>1</v>
      </c>
      <c r="V494" s="127">
        <f>IF(INDEX(Protmin,MATCH(Table36[[#This Row],[Grist]],SMI,0))="-","-",IF(Table36[[#This Row],[%Protein]]="-","-",IF(Table36[[#This Row],[%Protein]]&lt;INDEX(Protmin,MATCH(Table36[[#This Row],[Grist]],SMI,0)),0,IF(Table36[[#This Row],[%Protein]]&gt;INDEX(Protmax,MATCH(Table36[[#This Row],[Grist]],SMI,0)),0,1))))</f>
        <v>0</v>
      </c>
      <c r="W494" s="127">
        <f>IF(INDEX(Ashmin,MATCH(Table36[[#This Row],[Grist]],SMI,0))="-","-",IF(Table36[[#This Row],[%Ash]]="-","-",IF(Table36[[#This Row],[%Ash]]&lt;INDEX(Ashmin,MATCH(Table36[[#This Row],[Grist]],SMI,0)),0,IF(Table36[[#This Row],[%Ash]]&gt;INDEX(Ashmax,MATCH(Table36[[#This Row],[Grist]],SMI,0)),0,1))))</f>
        <v>1</v>
      </c>
      <c r="X494" s="127">
        <f>IF(INDEX(Absmin,MATCH(Table36[[#This Row],[Grist]],SMI,0))="-","-",IF(Table36[[#This Row],[%Absorption]]="-","-",IF(Table36[[#This Row],[%Absorption]]&lt;INDEX(Absmin,MATCH(Table36[[#This Row],[Grist]],SMI,0)),0,IF(Table36[[#This Row],[%Absorption]]&gt;INDEX(Absmax,MATCH(Table36[[#This Row],[Grist]],SMI,0)),0,1))))</f>
        <v>0</v>
      </c>
      <c r="Y494" s="127">
        <f>IF(INDEX(Extmin,MATCH(Table36[[#This Row],[Grist]],SMI,0))="-","-",IF(Table36[[#This Row],[%Extensibility]]="-","-",IF(Table36[[#This Row],[%Extensibility]]&lt;INDEX(Extmin,MATCH(Table36[[#This Row],[Grist]],SMI,0)),0,IF(Table36[[#This Row],[%Extensibility]]&gt;INDEX(Extmax,MATCH(Table36[[#This Row],[Grist]],SMI,0)),0,1))))</f>
        <v>0</v>
      </c>
      <c r="Z494" s="127">
        <f>IF(INDEX(Resmin,MATCH(Table36[[#This Row],[Grist]],SMI,0))="-","-",IF(Table36[[#This Row],[Resistance, max]]="-","-",IF(Table36[[#This Row],[Resistance, max]]&lt;INDEX(Resmin,MATCH(Table36[[#This Row],[Grist]],SMI,0)),0,IF(Table36[[#This Row],[Resistance, max]]&gt;INDEX(Resmax,MATCH(Table36[[#This Row],[Grist]],SMI,0)),0,1))))</f>
        <v>0</v>
      </c>
      <c r="AA494" s="127">
        <f>IF(INDEX(WGmin,MATCH(Table36[[#This Row],[Grist]],SMI,0))="-","-",IF(Table36[[#This Row],[%Wet Gluten]]="-","-",IF(Table36[[#This Row],[%Wet Gluten]]&lt;INDEX(WGmin,MATCH(Table36[[#This Row],[Grist]],SMI,0)),0,IF(Table36[[#This Row],[%Wet Gluten]]&gt;INDEX(WGmax,MATCH(Table36[[#This Row],[Grist]],SMI,0)),0,1))))</f>
        <v>0</v>
      </c>
      <c r="AB494" s="127">
        <f>SUM(Table36[[#This Row],[ QI Bran Content]:[QI WG]])</f>
        <v>5</v>
      </c>
      <c r="AC494" s="127">
        <f>COUNT(Table36[[#This Row],[ QI Bran Content]:[QI WG]])</f>
        <v>10</v>
      </c>
    </row>
    <row r="495" spans="1:29" x14ac:dyDescent="0.35">
      <c r="A495" s="11">
        <v>45347</v>
      </c>
      <c r="B495" s="70">
        <v>45347</v>
      </c>
      <c r="C495" s="70" t="s">
        <v>128</v>
      </c>
      <c r="D495" s="28">
        <v>0.79166666666666596</v>
      </c>
      <c r="E495" s="12" t="s">
        <v>0</v>
      </c>
      <c r="F495" s="13" t="s">
        <v>27</v>
      </c>
      <c r="G495" s="117">
        <v>2.5000000000000001E-3</v>
      </c>
      <c r="H495" s="14" t="s">
        <v>165</v>
      </c>
      <c r="I495" s="14" t="s">
        <v>165</v>
      </c>
      <c r="J495" s="14" t="s">
        <v>165</v>
      </c>
      <c r="K495" s="14">
        <v>12.87</v>
      </c>
      <c r="L495" s="14">
        <v>0</v>
      </c>
      <c r="M495" s="14">
        <v>0</v>
      </c>
      <c r="N495" s="14">
        <v>0</v>
      </c>
      <c r="O495" s="14">
        <v>0</v>
      </c>
      <c r="P495" s="14">
        <v>0</v>
      </c>
      <c r="Q495" s="14">
        <v>0</v>
      </c>
      <c r="R495" s="127">
        <f>IF(Table36[[#This Row],[ Bran Content]]="-","-",IF(G495&lt;0.02,1,0))</f>
        <v>1</v>
      </c>
      <c r="S495" s="127">
        <f>IF(Table36[[#This Row],[Sieve Test]]="-","-",IF(Table36[[#This Row],[Sieve Test]]="P",1,0))</f>
        <v>1</v>
      </c>
      <c r="T495" s="127">
        <f>IF(Table36[[#This Row],[Odor]]="-","-",IF(Table36[[#This Row],[Odor]]="P",1,0))</f>
        <v>1</v>
      </c>
      <c r="U495" s="127">
        <f>IF(INDEX(MCmin,MATCH(Table36[[#This Row],[Grist]],SMI,0))="-","-",IF(Table36[[#This Row],[F1 %MC]]="-","-",IF(Table36[[#This Row],[F1 %MC]]&lt;INDEX(MCmin,MATCH(Table36[[#This Row],[Grist]],SMI,0)),0,IF(Table36[[#This Row],[F1 %MC]]&gt;INDEX(MCmax,MATCH(Table36[[#This Row],[Grist]],SMI,0)),0,1))))</f>
        <v>1</v>
      </c>
      <c r="V495" s="127">
        <f>IF(INDEX(Protmin,MATCH(Table36[[#This Row],[Grist]],SMI,0))="-","-",IF(Table36[[#This Row],[%Protein]]="-","-",IF(Table36[[#This Row],[%Protein]]&lt;INDEX(Protmin,MATCH(Table36[[#This Row],[Grist]],SMI,0)),0,IF(Table36[[#This Row],[%Protein]]&gt;INDEX(Protmax,MATCH(Table36[[#This Row],[Grist]],SMI,0)),0,1))))</f>
        <v>0</v>
      </c>
      <c r="W495" s="127">
        <f>IF(INDEX(Ashmin,MATCH(Table36[[#This Row],[Grist]],SMI,0))="-","-",IF(Table36[[#This Row],[%Ash]]="-","-",IF(Table36[[#This Row],[%Ash]]&lt;INDEX(Ashmin,MATCH(Table36[[#This Row],[Grist]],SMI,0)),0,IF(Table36[[#This Row],[%Ash]]&gt;INDEX(Ashmax,MATCH(Table36[[#This Row],[Grist]],SMI,0)),0,1))))</f>
        <v>1</v>
      </c>
      <c r="X495" s="127">
        <f>IF(INDEX(Absmin,MATCH(Table36[[#This Row],[Grist]],SMI,0))="-","-",IF(Table36[[#This Row],[%Absorption]]="-","-",IF(Table36[[#This Row],[%Absorption]]&lt;INDEX(Absmin,MATCH(Table36[[#This Row],[Grist]],SMI,0)),0,IF(Table36[[#This Row],[%Absorption]]&gt;INDEX(Absmax,MATCH(Table36[[#This Row],[Grist]],SMI,0)),0,1))))</f>
        <v>0</v>
      </c>
      <c r="Y495" s="127">
        <f>IF(INDEX(Extmin,MATCH(Table36[[#This Row],[Grist]],SMI,0))="-","-",IF(Table36[[#This Row],[%Extensibility]]="-","-",IF(Table36[[#This Row],[%Extensibility]]&lt;INDEX(Extmin,MATCH(Table36[[#This Row],[Grist]],SMI,0)),0,IF(Table36[[#This Row],[%Extensibility]]&gt;INDEX(Extmax,MATCH(Table36[[#This Row],[Grist]],SMI,0)),0,1))))</f>
        <v>0</v>
      </c>
      <c r="Z495" s="127">
        <f>IF(INDEX(Resmin,MATCH(Table36[[#This Row],[Grist]],SMI,0))="-","-",IF(Table36[[#This Row],[Resistance, max]]="-","-",IF(Table36[[#This Row],[Resistance, max]]&lt;INDEX(Resmin,MATCH(Table36[[#This Row],[Grist]],SMI,0)),0,IF(Table36[[#This Row],[Resistance, max]]&gt;INDEX(Resmax,MATCH(Table36[[#This Row],[Grist]],SMI,0)),0,1))))</f>
        <v>0</v>
      </c>
      <c r="AA495" s="127">
        <f>IF(INDEX(WGmin,MATCH(Table36[[#This Row],[Grist]],SMI,0))="-","-",IF(Table36[[#This Row],[%Wet Gluten]]="-","-",IF(Table36[[#This Row],[%Wet Gluten]]&lt;INDEX(WGmin,MATCH(Table36[[#This Row],[Grist]],SMI,0)),0,IF(Table36[[#This Row],[%Wet Gluten]]&gt;INDEX(WGmax,MATCH(Table36[[#This Row],[Grist]],SMI,0)),0,1))))</f>
        <v>0</v>
      </c>
      <c r="AB495" s="127">
        <f>SUM(Table36[[#This Row],[ QI Bran Content]:[QI WG]])</f>
        <v>5</v>
      </c>
      <c r="AC495" s="127">
        <f>COUNT(Table36[[#This Row],[ QI Bran Content]:[QI WG]])</f>
        <v>10</v>
      </c>
    </row>
    <row r="496" spans="1:29" x14ac:dyDescent="0.35">
      <c r="A496" s="11">
        <v>45347</v>
      </c>
      <c r="B496" s="70">
        <v>45347</v>
      </c>
      <c r="C496" s="70" t="s">
        <v>128</v>
      </c>
      <c r="D496" s="28">
        <v>0.874999999999999</v>
      </c>
      <c r="E496" s="12" t="s">
        <v>0</v>
      </c>
      <c r="F496" s="13" t="s">
        <v>27</v>
      </c>
      <c r="G496" s="117">
        <v>3.3E-3</v>
      </c>
      <c r="H496" s="14" t="s">
        <v>165</v>
      </c>
      <c r="I496" s="14" t="s">
        <v>165</v>
      </c>
      <c r="J496" s="14" t="s">
        <v>165</v>
      </c>
      <c r="K496" s="14">
        <v>13.04</v>
      </c>
      <c r="L496" s="14">
        <v>0</v>
      </c>
      <c r="M496" s="14">
        <v>0</v>
      </c>
      <c r="N496" s="14">
        <v>0</v>
      </c>
      <c r="O496" s="14">
        <v>0</v>
      </c>
      <c r="P496" s="14">
        <v>0</v>
      </c>
      <c r="Q496" s="14">
        <v>0</v>
      </c>
      <c r="R496" s="127">
        <f>IF(Table36[[#This Row],[ Bran Content]]="-","-",IF(G496&lt;0.02,1,0))</f>
        <v>1</v>
      </c>
      <c r="S496" s="127">
        <f>IF(Table36[[#This Row],[Sieve Test]]="-","-",IF(Table36[[#This Row],[Sieve Test]]="P",1,0))</f>
        <v>1</v>
      </c>
      <c r="T496" s="127">
        <f>IF(Table36[[#This Row],[Odor]]="-","-",IF(Table36[[#This Row],[Odor]]="P",1,0))</f>
        <v>1</v>
      </c>
      <c r="U496" s="127">
        <f>IF(INDEX(MCmin,MATCH(Table36[[#This Row],[Grist]],SMI,0))="-","-",IF(Table36[[#This Row],[F1 %MC]]="-","-",IF(Table36[[#This Row],[F1 %MC]]&lt;INDEX(MCmin,MATCH(Table36[[#This Row],[Grist]],SMI,0)),0,IF(Table36[[#This Row],[F1 %MC]]&gt;INDEX(MCmax,MATCH(Table36[[#This Row],[Grist]],SMI,0)),0,1))))</f>
        <v>1</v>
      </c>
      <c r="V496" s="127">
        <f>IF(INDEX(Protmin,MATCH(Table36[[#This Row],[Grist]],SMI,0))="-","-",IF(Table36[[#This Row],[%Protein]]="-","-",IF(Table36[[#This Row],[%Protein]]&lt;INDEX(Protmin,MATCH(Table36[[#This Row],[Grist]],SMI,0)),0,IF(Table36[[#This Row],[%Protein]]&gt;INDEX(Protmax,MATCH(Table36[[#This Row],[Grist]],SMI,0)),0,1))))</f>
        <v>0</v>
      </c>
      <c r="W496" s="127">
        <f>IF(INDEX(Ashmin,MATCH(Table36[[#This Row],[Grist]],SMI,0))="-","-",IF(Table36[[#This Row],[%Ash]]="-","-",IF(Table36[[#This Row],[%Ash]]&lt;INDEX(Ashmin,MATCH(Table36[[#This Row],[Grist]],SMI,0)),0,IF(Table36[[#This Row],[%Ash]]&gt;INDEX(Ashmax,MATCH(Table36[[#This Row],[Grist]],SMI,0)),0,1))))</f>
        <v>1</v>
      </c>
      <c r="X496" s="127">
        <f>IF(INDEX(Absmin,MATCH(Table36[[#This Row],[Grist]],SMI,0))="-","-",IF(Table36[[#This Row],[%Absorption]]="-","-",IF(Table36[[#This Row],[%Absorption]]&lt;INDEX(Absmin,MATCH(Table36[[#This Row],[Grist]],SMI,0)),0,IF(Table36[[#This Row],[%Absorption]]&gt;INDEX(Absmax,MATCH(Table36[[#This Row],[Grist]],SMI,0)),0,1))))</f>
        <v>0</v>
      </c>
      <c r="Y496" s="127">
        <f>IF(INDEX(Extmin,MATCH(Table36[[#This Row],[Grist]],SMI,0))="-","-",IF(Table36[[#This Row],[%Extensibility]]="-","-",IF(Table36[[#This Row],[%Extensibility]]&lt;INDEX(Extmin,MATCH(Table36[[#This Row],[Grist]],SMI,0)),0,IF(Table36[[#This Row],[%Extensibility]]&gt;INDEX(Extmax,MATCH(Table36[[#This Row],[Grist]],SMI,0)),0,1))))</f>
        <v>0</v>
      </c>
      <c r="Z496" s="127">
        <f>IF(INDEX(Resmin,MATCH(Table36[[#This Row],[Grist]],SMI,0))="-","-",IF(Table36[[#This Row],[Resistance, max]]="-","-",IF(Table36[[#This Row],[Resistance, max]]&lt;INDEX(Resmin,MATCH(Table36[[#This Row],[Grist]],SMI,0)),0,IF(Table36[[#This Row],[Resistance, max]]&gt;INDEX(Resmax,MATCH(Table36[[#This Row],[Grist]],SMI,0)),0,1))))</f>
        <v>0</v>
      </c>
      <c r="AA496" s="127">
        <f>IF(INDEX(WGmin,MATCH(Table36[[#This Row],[Grist]],SMI,0))="-","-",IF(Table36[[#This Row],[%Wet Gluten]]="-","-",IF(Table36[[#This Row],[%Wet Gluten]]&lt;INDEX(WGmin,MATCH(Table36[[#This Row],[Grist]],SMI,0)),0,IF(Table36[[#This Row],[%Wet Gluten]]&gt;INDEX(WGmax,MATCH(Table36[[#This Row],[Grist]],SMI,0)),0,1))))</f>
        <v>0</v>
      </c>
      <c r="AB496" s="127">
        <f>SUM(Table36[[#This Row],[ QI Bran Content]:[QI WG]])</f>
        <v>5</v>
      </c>
      <c r="AC496" s="127">
        <f>COUNT(Table36[[#This Row],[ QI Bran Content]:[QI WG]])</f>
        <v>10</v>
      </c>
    </row>
    <row r="497" spans="1:29" x14ac:dyDescent="0.35">
      <c r="A497" s="11">
        <v>45347</v>
      </c>
      <c r="B497" s="70">
        <v>45347</v>
      </c>
      <c r="C497" s="70" t="s">
        <v>128</v>
      </c>
      <c r="D497" s="28">
        <v>0.625</v>
      </c>
      <c r="E497" s="12" t="s">
        <v>2</v>
      </c>
      <c r="F497" s="13" t="s">
        <v>242</v>
      </c>
      <c r="G497" s="117" t="s">
        <v>272</v>
      </c>
      <c r="H497" s="14" t="s">
        <v>165</v>
      </c>
      <c r="I497" s="14" t="s">
        <v>165</v>
      </c>
      <c r="J497" s="14" t="s">
        <v>165</v>
      </c>
      <c r="K497" s="14">
        <v>12.72</v>
      </c>
      <c r="L497" s="14">
        <v>0</v>
      </c>
      <c r="M497" s="14">
        <v>0</v>
      </c>
      <c r="N497" s="14">
        <v>0</v>
      </c>
      <c r="O497" s="14">
        <v>0</v>
      </c>
      <c r="P497" s="14">
        <v>0</v>
      </c>
      <c r="Q497" s="14">
        <v>0</v>
      </c>
      <c r="R497" s="127">
        <f>IF(Table36[[#This Row],[ Bran Content]]="-","-",IF(G497&lt;0.02,1,0))</f>
        <v>0</v>
      </c>
      <c r="S497" s="127">
        <f>IF(Table36[[#This Row],[Sieve Test]]="-","-",IF(Table36[[#This Row],[Sieve Test]]="P",1,0))</f>
        <v>1</v>
      </c>
      <c r="T497" s="127">
        <f>IF(Table36[[#This Row],[Odor]]="-","-",IF(Table36[[#This Row],[Odor]]="P",1,0))</f>
        <v>1</v>
      </c>
      <c r="U497" s="127">
        <f>IF(INDEX(MCmin,MATCH(Table36[[#This Row],[Grist]],SMI,0))="-","-",IF(Table36[[#This Row],[F1 %MC]]="-","-",IF(Table36[[#This Row],[F1 %MC]]&lt;INDEX(MCmin,MATCH(Table36[[#This Row],[Grist]],SMI,0)),0,IF(Table36[[#This Row],[F1 %MC]]&gt;INDEX(MCmax,MATCH(Table36[[#This Row],[Grist]],SMI,0)),0,1))))</f>
        <v>1</v>
      </c>
      <c r="V497" s="127">
        <f>IF(INDEX(Protmin,MATCH(Table36[[#This Row],[Grist]],SMI,0))="-","-",IF(Table36[[#This Row],[%Protein]]="-","-",IF(Table36[[#This Row],[%Protein]]&lt;INDEX(Protmin,MATCH(Table36[[#This Row],[Grist]],SMI,0)),0,IF(Table36[[#This Row],[%Protein]]&gt;INDEX(Protmax,MATCH(Table36[[#This Row],[Grist]],SMI,0)),0,1))))</f>
        <v>0</v>
      </c>
      <c r="W497" s="127">
        <f>IF(INDEX(Ashmin,MATCH(Table36[[#This Row],[Grist]],SMI,0))="-","-",IF(Table36[[#This Row],[%Ash]]="-","-",IF(Table36[[#This Row],[%Ash]]&lt;INDEX(Ashmin,MATCH(Table36[[#This Row],[Grist]],SMI,0)),0,IF(Table36[[#This Row],[%Ash]]&gt;INDEX(Ashmax,MATCH(Table36[[#This Row],[Grist]],SMI,0)),0,1))))</f>
        <v>1</v>
      </c>
      <c r="X497" s="127">
        <f>IF(INDEX(Absmin,MATCH(Table36[[#This Row],[Grist]],SMI,0))="-","-",IF(Table36[[#This Row],[%Absorption]]="-","-",IF(Table36[[#This Row],[%Absorption]]&lt;INDEX(Absmin,MATCH(Table36[[#This Row],[Grist]],SMI,0)),0,IF(Table36[[#This Row],[%Absorption]]&gt;INDEX(Absmax,MATCH(Table36[[#This Row],[Grist]],SMI,0)),0,1))))</f>
        <v>0</v>
      </c>
      <c r="Y497" s="127">
        <f>IF(INDEX(Extmin,MATCH(Table36[[#This Row],[Grist]],SMI,0))="-","-",IF(Table36[[#This Row],[%Extensibility]]="-","-",IF(Table36[[#This Row],[%Extensibility]]&lt;INDEX(Extmin,MATCH(Table36[[#This Row],[Grist]],SMI,0)),0,IF(Table36[[#This Row],[%Extensibility]]&gt;INDEX(Extmax,MATCH(Table36[[#This Row],[Grist]],SMI,0)),0,1))))</f>
        <v>0</v>
      </c>
      <c r="Z497" s="127">
        <f>IF(INDEX(Resmin,MATCH(Table36[[#This Row],[Grist]],SMI,0))="-","-",IF(Table36[[#This Row],[Resistance, max]]="-","-",IF(Table36[[#This Row],[Resistance, max]]&lt;INDEX(Resmin,MATCH(Table36[[#This Row],[Grist]],SMI,0)),0,IF(Table36[[#This Row],[Resistance, max]]&gt;INDEX(Resmax,MATCH(Table36[[#This Row],[Grist]],SMI,0)),0,1))))</f>
        <v>0</v>
      </c>
      <c r="AA497" s="127">
        <f>IF(INDEX(WGmin,MATCH(Table36[[#This Row],[Grist]],SMI,0))="-","-",IF(Table36[[#This Row],[%Wet Gluten]]="-","-",IF(Table36[[#This Row],[%Wet Gluten]]&lt;INDEX(WGmin,MATCH(Table36[[#This Row],[Grist]],SMI,0)),0,IF(Table36[[#This Row],[%Wet Gluten]]&gt;INDEX(WGmax,MATCH(Table36[[#This Row],[Grist]],SMI,0)),0,1))))</f>
        <v>0</v>
      </c>
      <c r="AB497" s="127">
        <f>SUM(Table36[[#This Row],[ QI Bran Content]:[QI WG]])</f>
        <v>4</v>
      </c>
      <c r="AC497" s="127">
        <f>COUNT(Table36[[#This Row],[ QI Bran Content]:[QI WG]])</f>
        <v>10</v>
      </c>
    </row>
    <row r="498" spans="1:29" x14ac:dyDescent="0.35">
      <c r="A498" s="11">
        <v>45347</v>
      </c>
      <c r="B498" s="70">
        <v>45347</v>
      </c>
      <c r="C498" s="70" t="s">
        <v>130</v>
      </c>
      <c r="D498" s="28">
        <v>0.95833333333333337</v>
      </c>
      <c r="E498" s="12" t="s">
        <v>0</v>
      </c>
      <c r="F498" s="13" t="s">
        <v>27</v>
      </c>
      <c r="G498" s="117">
        <v>5.4999999999999997E-3</v>
      </c>
      <c r="H498" s="14" t="s">
        <v>165</v>
      </c>
      <c r="I498" s="14" t="s">
        <v>165</v>
      </c>
      <c r="J498" s="14" t="s">
        <v>165</v>
      </c>
      <c r="K498" s="14">
        <v>12.25</v>
      </c>
      <c r="L498" s="14">
        <v>0</v>
      </c>
      <c r="M498" s="14">
        <v>0</v>
      </c>
      <c r="N498" s="14">
        <v>0</v>
      </c>
      <c r="O498" s="14">
        <v>0</v>
      </c>
      <c r="P498" s="14">
        <v>0</v>
      </c>
      <c r="Q498" s="14">
        <v>0</v>
      </c>
      <c r="R498" s="127">
        <f>IF(Table36[[#This Row],[ Bran Content]]="-","-",IF(G498&lt;0.02,1,0))</f>
        <v>1</v>
      </c>
      <c r="S498" s="127">
        <f>IF(Table36[[#This Row],[Sieve Test]]="-","-",IF(Table36[[#This Row],[Sieve Test]]="P",1,0))</f>
        <v>1</v>
      </c>
      <c r="T498" s="127">
        <f>IF(Table36[[#This Row],[Odor]]="-","-",IF(Table36[[#This Row],[Odor]]="P",1,0))</f>
        <v>1</v>
      </c>
      <c r="U498" s="127">
        <f>IF(INDEX(MCmin,MATCH(Table36[[#This Row],[Grist]],SMI,0))="-","-",IF(Table36[[#This Row],[F1 %MC]]="-","-",IF(Table36[[#This Row],[F1 %MC]]&lt;INDEX(MCmin,MATCH(Table36[[#This Row],[Grist]],SMI,0)),0,IF(Table36[[#This Row],[F1 %MC]]&gt;INDEX(MCmax,MATCH(Table36[[#This Row],[Grist]],SMI,0)),0,1))))</f>
        <v>1</v>
      </c>
      <c r="V498" s="127">
        <f>IF(INDEX(Protmin,MATCH(Table36[[#This Row],[Grist]],SMI,0))="-","-",IF(Table36[[#This Row],[%Protein]]="-","-",IF(Table36[[#This Row],[%Protein]]&lt;INDEX(Protmin,MATCH(Table36[[#This Row],[Grist]],SMI,0)),0,IF(Table36[[#This Row],[%Protein]]&gt;INDEX(Protmax,MATCH(Table36[[#This Row],[Grist]],SMI,0)),0,1))))</f>
        <v>0</v>
      </c>
      <c r="W498" s="127">
        <f>IF(INDEX(Ashmin,MATCH(Table36[[#This Row],[Grist]],SMI,0))="-","-",IF(Table36[[#This Row],[%Ash]]="-","-",IF(Table36[[#This Row],[%Ash]]&lt;INDEX(Ashmin,MATCH(Table36[[#This Row],[Grist]],SMI,0)),0,IF(Table36[[#This Row],[%Ash]]&gt;INDEX(Ashmax,MATCH(Table36[[#This Row],[Grist]],SMI,0)),0,1))))</f>
        <v>1</v>
      </c>
      <c r="X498" s="127">
        <f>IF(INDEX(Absmin,MATCH(Table36[[#This Row],[Grist]],SMI,0))="-","-",IF(Table36[[#This Row],[%Absorption]]="-","-",IF(Table36[[#This Row],[%Absorption]]&lt;INDEX(Absmin,MATCH(Table36[[#This Row],[Grist]],SMI,0)),0,IF(Table36[[#This Row],[%Absorption]]&gt;INDEX(Absmax,MATCH(Table36[[#This Row],[Grist]],SMI,0)),0,1))))</f>
        <v>0</v>
      </c>
      <c r="Y498" s="127">
        <f>IF(INDEX(Extmin,MATCH(Table36[[#This Row],[Grist]],SMI,0))="-","-",IF(Table36[[#This Row],[%Extensibility]]="-","-",IF(Table36[[#This Row],[%Extensibility]]&lt;INDEX(Extmin,MATCH(Table36[[#This Row],[Grist]],SMI,0)),0,IF(Table36[[#This Row],[%Extensibility]]&gt;INDEX(Extmax,MATCH(Table36[[#This Row],[Grist]],SMI,0)),0,1))))</f>
        <v>0</v>
      </c>
      <c r="Z498" s="127">
        <f>IF(INDEX(Resmin,MATCH(Table36[[#This Row],[Grist]],SMI,0))="-","-",IF(Table36[[#This Row],[Resistance, max]]="-","-",IF(Table36[[#This Row],[Resistance, max]]&lt;INDEX(Resmin,MATCH(Table36[[#This Row],[Grist]],SMI,0)),0,IF(Table36[[#This Row],[Resistance, max]]&gt;INDEX(Resmax,MATCH(Table36[[#This Row],[Grist]],SMI,0)),0,1))))</f>
        <v>0</v>
      </c>
      <c r="AA498" s="127">
        <f>IF(INDEX(WGmin,MATCH(Table36[[#This Row],[Grist]],SMI,0))="-","-",IF(Table36[[#This Row],[%Wet Gluten]]="-","-",IF(Table36[[#This Row],[%Wet Gluten]]&lt;INDEX(WGmin,MATCH(Table36[[#This Row],[Grist]],SMI,0)),0,IF(Table36[[#This Row],[%Wet Gluten]]&gt;INDEX(WGmax,MATCH(Table36[[#This Row],[Grist]],SMI,0)),0,1))))</f>
        <v>0</v>
      </c>
      <c r="AB498" s="127">
        <f>SUM(Table36[[#This Row],[ QI Bran Content]:[QI WG]])</f>
        <v>5</v>
      </c>
      <c r="AC498" s="127">
        <f>COUNT(Table36[[#This Row],[ QI Bran Content]:[QI WG]])</f>
        <v>10</v>
      </c>
    </row>
    <row r="499" spans="1:29" x14ac:dyDescent="0.35">
      <c r="A499" s="11">
        <v>45347</v>
      </c>
      <c r="B499" s="70">
        <v>45347</v>
      </c>
      <c r="C499" s="70" t="s">
        <v>130</v>
      </c>
      <c r="D499" s="28">
        <v>1.0416666666666701</v>
      </c>
      <c r="E499" s="12" t="s">
        <v>0</v>
      </c>
      <c r="F499" s="13" t="s">
        <v>27</v>
      </c>
      <c r="G499" s="117">
        <v>2.5999999999999999E-3</v>
      </c>
      <c r="H499" s="14" t="s">
        <v>165</v>
      </c>
      <c r="I499" s="14" t="s">
        <v>165</v>
      </c>
      <c r="J499" s="14" t="s">
        <v>165</v>
      </c>
      <c r="K499" s="14">
        <v>13.3</v>
      </c>
      <c r="L499" s="14">
        <v>0</v>
      </c>
      <c r="M499" s="14">
        <v>0</v>
      </c>
      <c r="N499" s="14">
        <v>0</v>
      </c>
      <c r="O499" s="14">
        <v>0</v>
      </c>
      <c r="P499" s="14">
        <v>0</v>
      </c>
      <c r="Q499" s="14">
        <v>0</v>
      </c>
      <c r="R499" s="127">
        <f>IF(Table36[[#This Row],[ Bran Content]]="-","-",IF(G499&lt;0.02,1,0))</f>
        <v>1</v>
      </c>
      <c r="S499" s="127">
        <f>IF(Table36[[#This Row],[Sieve Test]]="-","-",IF(Table36[[#This Row],[Sieve Test]]="P",1,0))</f>
        <v>1</v>
      </c>
      <c r="T499" s="127">
        <f>IF(Table36[[#This Row],[Odor]]="-","-",IF(Table36[[#This Row],[Odor]]="P",1,0))</f>
        <v>1</v>
      </c>
      <c r="U499" s="127">
        <f>IF(INDEX(MCmin,MATCH(Table36[[#This Row],[Grist]],SMI,0))="-","-",IF(Table36[[#This Row],[F1 %MC]]="-","-",IF(Table36[[#This Row],[F1 %MC]]&lt;INDEX(MCmin,MATCH(Table36[[#This Row],[Grist]],SMI,0)),0,IF(Table36[[#This Row],[F1 %MC]]&gt;INDEX(MCmax,MATCH(Table36[[#This Row],[Grist]],SMI,0)),0,1))))</f>
        <v>1</v>
      </c>
      <c r="V499" s="127">
        <f>IF(INDEX(Protmin,MATCH(Table36[[#This Row],[Grist]],SMI,0))="-","-",IF(Table36[[#This Row],[%Protein]]="-","-",IF(Table36[[#This Row],[%Protein]]&lt;INDEX(Protmin,MATCH(Table36[[#This Row],[Grist]],SMI,0)),0,IF(Table36[[#This Row],[%Protein]]&gt;INDEX(Protmax,MATCH(Table36[[#This Row],[Grist]],SMI,0)),0,1))))</f>
        <v>0</v>
      </c>
      <c r="W499" s="127">
        <f>IF(INDEX(Ashmin,MATCH(Table36[[#This Row],[Grist]],SMI,0))="-","-",IF(Table36[[#This Row],[%Ash]]="-","-",IF(Table36[[#This Row],[%Ash]]&lt;INDEX(Ashmin,MATCH(Table36[[#This Row],[Grist]],SMI,0)),0,IF(Table36[[#This Row],[%Ash]]&gt;INDEX(Ashmax,MATCH(Table36[[#This Row],[Grist]],SMI,0)),0,1))))</f>
        <v>1</v>
      </c>
      <c r="X499" s="127">
        <f>IF(INDEX(Absmin,MATCH(Table36[[#This Row],[Grist]],SMI,0))="-","-",IF(Table36[[#This Row],[%Absorption]]="-","-",IF(Table36[[#This Row],[%Absorption]]&lt;INDEX(Absmin,MATCH(Table36[[#This Row],[Grist]],SMI,0)),0,IF(Table36[[#This Row],[%Absorption]]&gt;INDEX(Absmax,MATCH(Table36[[#This Row],[Grist]],SMI,0)),0,1))))</f>
        <v>0</v>
      </c>
      <c r="Y499" s="127">
        <f>IF(INDEX(Extmin,MATCH(Table36[[#This Row],[Grist]],SMI,0))="-","-",IF(Table36[[#This Row],[%Extensibility]]="-","-",IF(Table36[[#This Row],[%Extensibility]]&lt;INDEX(Extmin,MATCH(Table36[[#This Row],[Grist]],SMI,0)),0,IF(Table36[[#This Row],[%Extensibility]]&gt;INDEX(Extmax,MATCH(Table36[[#This Row],[Grist]],SMI,0)),0,1))))</f>
        <v>0</v>
      </c>
      <c r="Z499" s="127">
        <f>IF(INDEX(Resmin,MATCH(Table36[[#This Row],[Grist]],SMI,0))="-","-",IF(Table36[[#This Row],[Resistance, max]]="-","-",IF(Table36[[#This Row],[Resistance, max]]&lt;INDEX(Resmin,MATCH(Table36[[#This Row],[Grist]],SMI,0)),0,IF(Table36[[#This Row],[Resistance, max]]&gt;INDEX(Resmax,MATCH(Table36[[#This Row],[Grist]],SMI,0)),0,1))))</f>
        <v>0</v>
      </c>
      <c r="AA499" s="127">
        <f>IF(INDEX(WGmin,MATCH(Table36[[#This Row],[Grist]],SMI,0))="-","-",IF(Table36[[#This Row],[%Wet Gluten]]="-","-",IF(Table36[[#This Row],[%Wet Gluten]]&lt;INDEX(WGmin,MATCH(Table36[[#This Row],[Grist]],SMI,0)),0,IF(Table36[[#This Row],[%Wet Gluten]]&gt;INDEX(WGmax,MATCH(Table36[[#This Row],[Grist]],SMI,0)),0,1))))</f>
        <v>0</v>
      </c>
      <c r="AB499" s="127">
        <f>SUM(Table36[[#This Row],[ QI Bran Content]:[QI WG]])</f>
        <v>5</v>
      </c>
      <c r="AC499" s="127">
        <f>COUNT(Table36[[#This Row],[ QI Bran Content]:[QI WG]])</f>
        <v>10</v>
      </c>
    </row>
    <row r="500" spans="1:29" x14ac:dyDescent="0.35">
      <c r="A500" s="11">
        <v>45347</v>
      </c>
      <c r="B500" s="70">
        <v>45347</v>
      </c>
      <c r="C500" s="70" t="s">
        <v>130</v>
      </c>
      <c r="D500" s="28">
        <v>1.125</v>
      </c>
      <c r="E500" s="12" t="s">
        <v>0</v>
      </c>
      <c r="F500" s="13" t="s">
        <v>27</v>
      </c>
      <c r="G500" s="117">
        <v>2.8999999999999998E-3</v>
      </c>
      <c r="H500" s="14" t="s">
        <v>165</v>
      </c>
      <c r="I500" s="14" t="s">
        <v>165</v>
      </c>
      <c r="J500" s="14" t="s">
        <v>165</v>
      </c>
      <c r="K500" s="14">
        <v>12.84</v>
      </c>
      <c r="L500" s="14">
        <v>0</v>
      </c>
      <c r="M500" s="14">
        <v>0</v>
      </c>
      <c r="N500" s="14">
        <v>0</v>
      </c>
      <c r="O500" s="14">
        <v>0</v>
      </c>
      <c r="P500" s="14">
        <v>0</v>
      </c>
      <c r="Q500" s="14">
        <v>0</v>
      </c>
      <c r="R500" s="127">
        <f>IF(Table36[[#This Row],[ Bran Content]]="-","-",IF(G500&lt;0.02,1,0))</f>
        <v>1</v>
      </c>
      <c r="S500" s="127">
        <f>IF(Table36[[#This Row],[Sieve Test]]="-","-",IF(Table36[[#This Row],[Sieve Test]]="P",1,0))</f>
        <v>1</v>
      </c>
      <c r="T500" s="127">
        <f>IF(Table36[[#This Row],[Odor]]="-","-",IF(Table36[[#This Row],[Odor]]="P",1,0))</f>
        <v>1</v>
      </c>
      <c r="U500" s="127">
        <f>IF(INDEX(MCmin,MATCH(Table36[[#This Row],[Grist]],SMI,0))="-","-",IF(Table36[[#This Row],[F1 %MC]]="-","-",IF(Table36[[#This Row],[F1 %MC]]&lt;INDEX(MCmin,MATCH(Table36[[#This Row],[Grist]],SMI,0)),0,IF(Table36[[#This Row],[F1 %MC]]&gt;INDEX(MCmax,MATCH(Table36[[#This Row],[Grist]],SMI,0)),0,1))))</f>
        <v>1</v>
      </c>
      <c r="V500" s="127">
        <f>IF(INDEX(Protmin,MATCH(Table36[[#This Row],[Grist]],SMI,0))="-","-",IF(Table36[[#This Row],[%Protein]]="-","-",IF(Table36[[#This Row],[%Protein]]&lt;INDEX(Protmin,MATCH(Table36[[#This Row],[Grist]],SMI,0)),0,IF(Table36[[#This Row],[%Protein]]&gt;INDEX(Protmax,MATCH(Table36[[#This Row],[Grist]],SMI,0)),0,1))))</f>
        <v>0</v>
      </c>
      <c r="W500" s="127">
        <f>IF(INDEX(Ashmin,MATCH(Table36[[#This Row],[Grist]],SMI,0))="-","-",IF(Table36[[#This Row],[%Ash]]="-","-",IF(Table36[[#This Row],[%Ash]]&lt;INDEX(Ashmin,MATCH(Table36[[#This Row],[Grist]],SMI,0)),0,IF(Table36[[#This Row],[%Ash]]&gt;INDEX(Ashmax,MATCH(Table36[[#This Row],[Grist]],SMI,0)),0,1))))</f>
        <v>1</v>
      </c>
      <c r="X500" s="127">
        <f>IF(INDEX(Absmin,MATCH(Table36[[#This Row],[Grist]],SMI,0))="-","-",IF(Table36[[#This Row],[%Absorption]]="-","-",IF(Table36[[#This Row],[%Absorption]]&lt;INDEX(Absmin,MATCH(Table36[[#This Row],[Grist]],SMI,0)),0,IF(Table36[[#This Row],[%Absorption]]&gt;INDEX(Absmax,MATCH(Table36[[#This Row],[Grist]],SMI,0)),0,1))))</f>
        <v>0</v>
      </c>
      <c r="Y500" s="127">
        <f>IF(INDEX(Extmin,MATCH(Table36[[#This Row],[Grist]],SMI,0))="-","-",IF(Table36[[#This Row],[%Extensibility]]="-","-",IF(Table36[[#This Row],[%Extensibility]]&lt;INDEX(Extmin,MATCH(Table36[[#This Row],[Grist]],SMI,0)),0,IF(Table36[[#This Row],[%Extensibility]]&gt;INDEX(Extmax,MATCH(Table36[[#This Row],[Grist]],SMI,0)),0,1))))</f>
        <v>0</v>
      </c>
      <c r="Z500" s="127">
        <f>IF(INDEX(Resmin,MATCH(Table36[[#This Row],[Grist]],SMI,0))="-","-",IF(Table36[[#This Row],[Resistance, max]]="-","-",IF(Table36[[#This Row],[Resistance, max]]&lt;INDEX(Resmin,MATCH(Table36[[#This Row],[Grist]],SMI,0)),0,IF(Table36[[#This Row],[Resistance, max]]&gt;INDEX(Resmax,MATCH(Table36[[#This Row],[Grist]],SMI,0)),0,1))))</f>
        <v>0</v>
      </c>
      <c r="AA500" s="127">
        <f>IF(INDEX(WGmin,MATCH(Table36[[#This Row],[Grist]],SMI,0))="-","-",IF(Table36[[#This Row],[%Wet Gluten]]="-","-",IF(Table36[[#This Row],[%Wet Gluten]]&lt;INDEX(WGmin,MATCH(Table36[[#This Row],[Grist]],SMI,0)),0,IF(Table36[[#This Row],[%Wet Gluten]]&gt;INDEX(WGmax,MATCH(Table36[[#This Row],[Grist]],SMI,0)),0,1))))</f>
        <v>0</v>
      </c>
      <c r="AB500" s="127">
        <f>SUM(Table36[[#This Row],[ QI Bran Content]:[QI WG]])</f>
        <v>5</v>
      </c>
      <c r="AC500" s="127">
        <f>COUNT(Table36[[#This Row],[ QI Bran Content]:[QI WG]])</f>
        <v>10</v>
      </c>
    </row>
    <row r="501" spans="1:29" x14ac:dyDescent="0.35">
      <c r="A501" s="11">
        <v>45347</v>
      </c>
      <c r="B501" s="70">
        <v>45347</v>
      </c>
      <c r="C501" s="70" t="s">
        <v>130</v>
      </c>
      <c r="D501" s="28">
        <v>1.2083333333333299</v>
      </c>
      <c r="E501" s="12" t="s">
        <v>0</v>
      </c>
      <c r="F501" s="13" t="s">
        <v>27</v>
      </c>
      <c r="G501" s="117">
        <v>2.8999999999999998E-3</v>
      </c>
      <c r="H501" s="14" t="s">
        <v>165</v>
      </c>
      <c r="I501" s="14" t="s">
        <v>165</v>
      </c>
      <c r="J501" s="14" t="s">
        <v>165</v>
      </c>
      <c r="K501" s="14">
        <v>13.44</v>
      </c>
      <c r="L501" s="14">
        <v>0</v>
      </c>
      <c r="M501" s="14">
        <v>0</v>
      </c>
      <c r="N501" s="14">
        <v>0</v>
      </c>
      <c r="O501" s="14">
        <v>0</v>
      </c>
      <c r="P501" s="14">
        <v>0</v>
      </c>
      <c r="Q501" s="14">
        <v>0</v>
      </c>
      <c r="R501" s="127">
        <f>IF(Table36[[#This Row],[ Bran Content]]="-","-",IF(G501&lt;0.02,1,0))</f>
        <v>1</v>
      </c>
      <c r="S501" s="127">
        <f>IF(Table36[[#This Row],[Sieve Test]]="-","-",IF(Table36[[#This Row],[Sieve Test]]="P",1,0))</f>
        <v>1</v>
      </c>
      <c r="T501" s="127">
        <f>IF(Table36[[#This Row],[Odor]]="-","-",IF(Table36[[#This Row],[Odor]]="P",1,0))</f>
        <v>1</v>
      </c>
      <c r="U501" s="127">
        <f>IF(INDEX(MCmin,MATCH(Table36[[#This Row],[Grist]],SMI,0))="-","-",IF(Table36[[#This Row],[F1 %MC]]="-","-",IF(Table36[[#This Row],[F1 %MC]]&lt;INDEX(MCmin,MATCH(Table36[[#This Row],[Grist]],SMI,0)),0,IF(Table36[[#This Row],[F1 %MC]]&gt;INDEX(MCmax,MATCH(Table36[[#This Row],[Grist]],SMI,0)),0,1))))</f>
        <v>1</v>
      </c>
      <c r="V501" s="127">
        <f>IF(INDEX(Protmin,MATCH(Table36[[#This Row],[Grist]],SMI,0))="-","-",IF(Table36[[#This Row],[%Protein]]="-","-",IF(Table36[[#This Row],[%Protein]]&lt;INDEX(Protmin,MATCH(Table36[[#This Row],[Grist]],SMI,0)),0,IF(Table36[[#This Row],[%Protein]]&gt;INDEX(Protmax,MATCH(Table36[[#This Row],[Grist]],SMI,0)),0,1))))</f>
        <v>0</v>
      </c>
      <c r="W501" s="127">
        <f>IF(INDEX(Ashmin,MATCH(Table36[[#This Row],[Grist]],SMI,0))="-","-",IF(Table36[[#This Row],[%Ash]]="-","-",IF(Table36[[#This Row],[%Ash]]&lt;INDEX(Ashmin,MATCH(Table36[[#This Row],[Grist]],SMI,0)),0,IF(Table36[[#This Row],[%Ash]]&gt;INDEX(Ashmax,MATCH(Table36[[#This Row],[Grist]],SMI,0)),0,1))))</f>
        <v>1</v>
      </c>
      <c r="X501" s="127">
        <f>IF(INDEX(Absmin,MATCH(Table36[[#This Row],[Grist]],SMI,0))="-","-",IF(Table36[[#This Row],[%Absorption]]="-","-",IF(Table36[[#This Row],[%Absorption]]&lt;INDEX(Absmin,MATCH(Table36[[#This Row],[Grist]],SMI,0)),0,IF(Table36[[#This Row],[%Absorption]]&gt;INDEX(Absmax,MATCH(Table36[[#This Row],[Grist]],SMI,0)),0,1))))</f>
        <v>0</v>
      </c>
      <c r="Y501" s="127">
        <f>IF(INDEX(Extmin,MATCH(Table36[[#This Row],[Grist]],SMI,0))="-","-",IF(Table36[[#This Row],[%Extensibility]]="-","-",IF(Table36[[#This Row],[%Extensibility]]&lt;INDEX(Extmin,MATCH(Table36[[#This Row],[Grist]],SMI,0)),0,IF(Table36[[#This Row],[%Extensibility]]&gt;INDEX(Extmax,MATCH(Table36[[#This Row],[Grist]],SMI,0)),0,1))))</f>
        <v>0</v>
      </c>
      <c r="Z501" s="127">
        <f>IF(INDEX(Resmin,MATCH(Table36[[#This Row],[Grist]],SMI,0))="-","-",IF(Table36[[#This Row],[Resistance, max]]="-","-",IF(Table36[[#This Row],[Resistance, max]]&lt;INDEX(Resmin,MATCH(Table36[[#This Row],[Grist]],SMI,0)),0,IF(Table36[[#This Row],[Resistance, max]]&gt;INDEX(Resmax,MATCH(Table36[[#This Row],[Grist]],SMI,0)),0,1))))</f>
        <v>0</v>
      </c>
      <c r="AA501" s="127">
        <f>IF(INDEX(WGmin,MATCH(Table36[[#This Row],[Grist]],SMI,0))="-","-",IF(Table36[[#This Row],[%Wet Gluten]]="-","-",IF(Table36[[#This Row],[%Wet Gluten]]&lt;INDEX(WGmin,MATCH(Table36[[#This Row],[Grist]],SMI,0)),0,IF(Table36[[#This Row],[%Wet Gluten]]&gt;INDEX(WGmax,MATCH(Table36[[#This Row],[Grist]],SMI,0)),0,1))))</f>
        <v>0</v>
      </c>
      <c r="AB501" s="127">
        <f>SUM(Table36[[#This Row],[ QI Bran Content]:[QI WG]])</f>
        <v>5</v>
      </c>
      <c r="AC501" s="127">
        <f>COUNT(Table36[[#This Row],[ QI Bran Content]:[QI WG]])</f>
        <v>10</v>
      </c>
    </row>
    <row r="502" spans="1:29" x14ac:dyDescent="0.35">
      <c r="A502" s="11">
        <v>45348</v>
      </c>
      <c r="B502" s="70">
        <v>45348</v>
      </c>
      <c r="C502" s="70" t="s">
        <v>125</v>
      </c>
      <c r="D502" s="28" t="s">
        <v>239</v>
      </c>
      <c r="E502" s="12" t="s">
        <v>0</v>
      </c>
      <c r="F502" s="13" t="s">
        <v>27</v>
      </c>
      <c r="G502" s="117">
        <v>4.4999999999999997E-3</v>
      </c>
      <c r="H502" s="14" t="s">
        <v>165</v>
      </c>
      <c r="I502" s="14" t="s">
        <v>165</v>
      </c>
      <c r="J502" s="14" t="s">
        <v>165</v>
      </c>
      <c r="K502" s="14">
        <v>12.52</v>
      </c>
      <c r="L502" s="14">
        <v>0</v>
      </c>
      <c r="M502" s="14">
        <v>0</v>
      </c>
      <c r="N502" s="14">
        <v>0</v>
      </c>
      <c r="O502" s="14">
        <v>0</v>
      </c>
      <c r="P502" s="14">
        <v>0</v>
      </c>
      <c r="Q502" s="14">
        <v>0</v>
      </c>
      <c r="R502" s="127">
        <f>IF(Table36[[#This Row],[ Bran Content]]="-","-",IF(G502&lt;0.02,1,0))</f>
        <v>1</v>
      </c>
      <c r="S502" s="127">
        <f>IF(Table36[[#This Row],[Sieve Test]]="-","-",IF(Table36[[#This Row],[Sieve Test]]="P",1,0))</f>
        <v>1</v>
      </c>
      <c r="T502" s="127">
        <f>IF(Table36[[#This Row],[Odor]]="-","-",IF(Table36[[#This Row],[Odor]]="P",1,0))</f>
        <v>1</v>
      </c>
      <c r="U502" s="127">
        <f>IF(INDEX(MCmin,MATCH(Table36[[#This Row],[Grist]],SMI,0))="-","-",IF(Table36[[#This Row],[F1 %MC]]="-","-",IF(Table36[[#This Row],[F1 %MC]]&lt;INDEX(MCmin,MATCH(Table36[[#This Row],[Grist]],SMI,0)),0,IF(Table36[[#This Row],[F1 %MC]]&gt;INDEX(MCmax,MATCH(Table36[[#This Row],[Grist]],SMI,0)),0,1))))</f>
        <v>1</v>
      </c>
      <c r="V502" s="127">
        <f>IF(INDEX(Protmin,MATCH(Table36[[#This Row],[Grist]],SMI,0))="-","-",IF(Table36[[#This Row],[%Protein]]="-","-",IF(Table36[[#This Row],[%Protein]]&lt;INDEX(Protmin,MATCH(Table36[[#This Row],[Grist]],SMI,0)),0,IF(Table36[[#This Row],[%Protein]]&gt;INDEX(Protmax,MATCH(Table36[[#This Row],[Grist]],SMI,0)),0,1))))</f>
        <v>0</v>
      </c>
      <c r="W502" s="127">
        <f>IF(INDEX(Ashmin,MATCH(Table36[[#This Row],[Grist]],SMI,0))="-","-",IF(Table36[[#This Row],[%Ash]]="-","-",IF(Table36[[#This Row],[%Ash]]&lt;INDEX(Ashmin,MATCH(Table36[[#This Row],[Grist]],SMI,0)),0,IF(Table36[[#This Row],[%Ash]]&gt;INDEX(Ashmax,MATCH(Table36[[#This Row],[Grist]],SMI,0)),0,1))))</f>
        <v>1</v>
      </c>
      <c r="X502" s="127">
        <f>IF(INDEX(Absmin,MATCH(Table36[[#This Row],[Grist]],SMI,0))="-","-",IF(Table36[[#This Row],[%Absorption]]="-","-",IF(Table36[[#This Row],[%Absorption]]&lt;INDEX(Absmin,MATCH(Table36[[#This Row],[Grist]],SMI,0)),0,IF(Table36[[#This Row],[%Absorption]]&gt;INDEX(Absmax,MATCH(Table36[[#This Row],[Grist]],SMI,0)),0,1))))</f>
        <v>0</v>
      </c>
      <c r="Y502" s="127">
        <f>IF(INDEX(Extmin,MATCH(Table36[[#This Row],[Grist]],SMI,0))="-","-",IF(Table36[[#This Row],[%Extensibility]]="-","-",IF(Table36[[#This Row],[%Extensibility]]&lt;INDEX(Extmin,MATCH(Table36[[#This Row],[Grist]],SMI,0)),0,IF(Table36[[#This Row],[%Extensibility]]&gt;INDEX(Extmax,MATCH(Table36[[#This Row],[Grist]],SMI,0)),0,1))))</f>
        <v>0</v>
      </c>
      <c r="Z502" s="127">
        <f>IF(INDEX(Resmin,MATCH(Table36[[#This Row],[Grist]],SMI,0))="-","-",IF(Table36[[#This Row],[Resistance, max]]="-","-",IF(Table36[[#This Row],[Resistance, max]]&lt;INDEX(Resmin,MATCH(Table36[[#This Row],[Grist]],SMI,0)),0,IF(Table36[[#This Row],[Resistance, max]]&gt;INDEX(Resmax,MATCH(Table36[[#This Row],[Grist]],SMI,0)),0,1))))</f>
        <v>0</v>
      </c>
      <c r="AA502" s="127">
        <f>IF(INDEX(WGmin,MATCH(Table36[[#This Row],[Grist]],SMI,0))="-","-",IF(Table36[[#This Row],[%Wet Gluten]]="-","-",IF(Table36[[#This Row],[%Wet Gluten]]&lt;INDEX(WGmin,MATCH(Table36[[#This Row],[Grist]],SMI,0)),0,IF(Table36[[#This Row],[%Wet Gluten]]&gt;INDEX(WGmax,MATCH(Table36[[#This Row],[Grist]],SMI,0)),0,1))))</f>
        <v>0</v>
      </c>
      <c r="AB502" s="127">
        <f>SUM(Table36[[#This Row],[ QI Bran Content]:[QI WG]])</f>
        <v>5</v>
      </c>
      <c r="AC502" s="127">
        <f>COUNT(Table36[[#This Row],[ QI Bran Content]:[QI WG]])</f>
        <v>10</v>
      </c>
    </row>
    <row r="503" spans="1:29" x14ac:dyDescent="0.35">
      <c r="A503" s="11">
        <v>45348</v>
      </c>
      <c r="B503" s="70">
        <v>45348</v>
      </c>
      <c r="C503" s="70" t="s">
        <v>125</v>
      </c>
      <c r="D503" s="28" t="s">
        <v>240</v>
      </c>
      <c r="E503" s="12" t="s">
        <v>0</v>
      </c>
      <c r="F503" s="13" t="s">
        <v>27</v>
      </c>
      <c r="G503" s="117">
        <v>5.7000000000000002E-3</v>
      </c>
      <c r="H503" s="14" t="s">
        <v>165</v>
      </c>
      <c r="I503" s="14" t="s">
        <v>165</v>
      </c>
      <c r="J503" s="14" t="s">
        <v>165</v>
      </c>
      <c r="K503" s="14">
        <v>12.2</v>
      </c>
      <c r="L503" s="14">
        <v>0</v>
      </c>
      <c r="M503" s="14">
        <v>0</v>
      </c>
      <c r="N503" s="14">
        <v>0</v>
      </c>
      <c r="O503" s="14">
        <v>0</v>
      </c>
      <c r="P503" s="14">
        <v>0</v>
      </c>
      <c r="Q503" s="14">
        <v>0</v>
      </c>
      <c r="R503" s="127">
        <f>IF(Table36[[#This Row],[ Bran Content]]="-","-",IF(G503&lt;0.02,1,0))</f>
        <v>1</v>
      </c>
      <c r="S503" s="127">
        <f>IF(Table36[[#This Row],[Sieve Test]]="-","-",IF(Table36[[#This Row],[Sieve Test]]="P",1,0))</f>
        <v>1</v>
      </c>
      <c r="T503" s="127">
        <f>IF(Table36[[#This Row],[Odor]]="-","-",IF(Table36[[#This Row],[Odor]]="P",1,0))</f>
        <v>1</v>
      </c>
      <c r="U503" s="127">
        <f>IF(INDEX(MCmin,MATCH(Table36[[#This Row],[Grist]],SMI,0))="-","-",IF(Table36[[#This Row],[F1 %MC]]="-","-",IF(Table36[[#This Row],[F1 %MC]]&lt;INDEX(MCmin,MATCH(Table36[[#This Row],[Grist]],SMI,0)),0,IF(Table36[[#This Row],[F1 %MC]]&gt;INDEX(MCmax,MATCH(Table36[[#This Row],[Grist]],SMI,0)),0,1))))</f>
        <v>1</v>
      </c>
      <c r="V503" s="127">
        <f>IF(INDEX(Protmin,MATCH(Table36[[#This Row],[Grist]],SMI,0))="-","-",IF(Table36[[#This Row],[%Protein]]="-","-",IF(Table36[[#This Row],[%Protein]]&lt;INDEX(Protmin,MATCH(Table36[[#This Row],[Grist]],SMI,0)),0,IF(Table36[[#This Row],[%Protein]]&gt;INDEX(Protmax,MATCH(Table36[[#This Row],[Grist]],SMI,0)),0,1))))</f>
        <v>0</v>
      </c>
      <c r="W503" s="127">
        <f>IF(INDEX(Ashmin,MATCH(Table36[[#This Row],[Grist]],SMI,0))="-","-",IF(Table36[[#This Row],[%Ash]]="-","-",IF(Table36[[#This Row],[%Ash]]&lt;INDEX(Ashmin,MATCH(Table36[[#This Row],[Grist]],SMI,0)),0,IF(Table36[[#This Row],[%Ash]]&gt;INDEX(Ashmax,MATCH(Table36[[#This Row],[Grist]],SMI,0)),0,1))))</f>
        <v>1</v>
      </c>
      <c r="X503" s="127">
        <f>IF(INDEX(Absmin,MATCH(Table36[[#This Row],[Grist]],SMI,0))="-","-",IF(Table36[[#This Row],[%Absorption]]="-","-",IF(Table36[[#This Row],[%Absorption]]&lt;INDEX(Absmin,MATCH(Table36[[#This Row],[Grist]],SMI,0)),0,IF(Table36[[#This Row],[%Absorption]]&gt;INDEX(Absmax,MATCH(Table36[[#This Row],[Grist]],SMI,0)),0,1))))</f>
        <v>0</v>
      </c>
      <c r="Y503" s="127">
        <f>IF(INDEX(Extmin,MATCH(Table36[[#This Row],[Grist]],SMI,0))="-","-",IF(Table36[[#This Row],[%Extensibility]]="-","-",IF(Table36[[#This Row],[%Extensibility]]&lt;INDEX(Extmin,MATCH(Table36[[#This Row],[Grist]],SMI,0)),0,IF(Table36[[#This Row],[%Extensibility]]&gt;INDEX(Extmax,MATCH(Table36[[#This Row],[Grist]],SMI,0)),0,1))))</f>
        <v>0</v>
      </c>
      <c r="Z503" s="127">
        <f>IF(INDEX(Resmin,MATCH(Table36[[#This Row],[Grist]],SMI,0))="-","-",IF(Table36[[#This Row],[Resistance, max]]="-","-",IF(Table36[[#This Row],[Resistance, max]]&lt;INDEX(Resmin,MATCH(Table36[[#This Row],[Grist]],SMI,0)),0,IF(Table36[[#This Row],[Resistance, max]]&gt;INDEX(Resmax,MATCH(Table36[[#This Row],[Grist]],SMI,0)),0,1))))</f>
        <v>0</v>
      </c>
      <c r="AA503" s="127">
        <f>IF(INDEX(WGmin,MATCH(Table36[[#This Row],[Grist]],SMI,0))="-","-",IF(Table36[[#This Row],[%Wet Gluten]]="-","-",IF(Table36[[#This Row],[%Wet Gluten]]&lt;INDEX(WGmin,MATCH(Table36[[#This Row],[Grist]],SMI,0)),0,IF(Table36[[#This Row],[%Wet Gluten]]&gt;INDEX(WGmax,MATCH(Table36[[#This Row],[Grist]],SMI,0)),0,1))))</f>
        <v>0</v>
      </c>
      <c r="AB503" s="127">
        <f>SUM(Table36[[#This Row],[ QI Bran Content]:[QI WG]])</f>
        <v>5</v>
      </c>
      <c r="AC503" s="127">
        <f>COUNT(Table36[[#This Row],[ QI Bran Content]:[QI WG]])</f>
        <v>10</v>
      </c>
    </row>
    <row r="504" spans="1:29" x14ac:dyDescent="0.35">
      <c r="A504" s="11">
        <v>45348</v>
      </c>
      <c r="B504" s="70">
        <v>45348</v>
      </c>
      <c r="C504" s="70" t="s">
        <v>128</v>
      </c>
      <c r="D504" s="28">
        <v>0.70833333333333304</v>
      </c>
      <c r="E504" s="12" t="s">
        <v>0</v>
      </c>
      <c r="F504" s="13" t="s">
        <v>27</v>
      </c>
      <c r="G504" s="117">
        <v>6.7000000000000002E-3</v>
      </c>
      <c r="H504" s="14" t="s">
        <v>165</v>
      </c>
      <c r="I504" s="14" t="s">
        <v>165</v>
      </c>
      <c r="J504" s="14" t="s">
        <v>165</v>
      </c>
      <c r="K504" s="14">
        <v>12.54</v>
      </c>
      <c r="L504" s="14">
        <v>13.5</v>
      </c>
      <c r="M504" s="14">
        <v>0.56000000000000005</v>
      </c>
      <c r="N504" s="14">
        <v>64.099999999999994</v>
      </c>
      <c r="O504" s="14">
        <v>0</v>
      </c>
      <c r="P504" s="14">
        <v>0</v>
      </c>
      <c r="Q504" s="14">
        <v>37.6</v>
      </c>
      <c r="R504" s="127">
        <f>IF(Table36[[#This Row],[ Bran Content]]="-","-",IF(G504&lt;0.02,1,0))</f>
        <v>1</v>
      </c>
      <c r="S504" s="127">
        <f>IF(Table36[[#This Row],[Sieve Test]]="-","-",IF(Table36[[#This Row],[Sieve Test]]="P",1,0))</f>
        <v>1</v>
      </c>
      <c r="T504" s="127">
        <f>IF(Table36[[#This Row],[Odor]]="-","-",IF(Table36[[#This Row],[Odor]]="P",1,0))</f>
        <v>1</v>
      </c>
      <c r="U504" s="127">
        <f>IF(INDEX(MCmin,MATCH(Table36[[#This Row],[Grist]],SMI,0))="-","-",IF(Table36[[#This Row],[F1 %MC]]="-","-",IF(Table36[[#This Row],[F1 %MC]]&lt;INDEX(MCmin,MATCH(Table36[[#This Row],[Grist]],SMI,0)),0,IF(Table36[[#This Row],[F1 %MC]]&gt;INDEX(MCmax,MATCH(Table36[[#This Row],[Grist]],SMI,0)),0,1))))</f>
        <v>1</v>
      </c>
      <c r="V504" s="127">
        <f>IF(INDEX(Protmin,MATCH(Table36[[#This Row],[Grist]],SMI,0))="-","-",IF(Table36[[#This Row],[%Protein]]="-","-",IF(Table36[[#This Row],[%Protein]]&lt;INDEX(Protmin,MATCH(Table36[[#This Row],[Grist]],SMI,0)),0,IF(Table36[[#This Row],[%Protein]]&gt;INDEX(Protmax,MATCH(Table36[[#This Row],[Grist]],SMI,0)),0,1))))</f>
        <v>1</v>
      </c>
      <c r="W504" s="127">
        <f>IF(INDEX(Ashmin,MATCH(Table36[[#This Row],[Grist]],SMI,0))="-","-",IF(Table36[[#This Row],[%Ash]]="-","-",IF(Table36[[#This Row],[%Ash]]&lt;INDEX(Ashmin,MATCH(Table36[[#This Row],[Grist]],SMI,0)),0,IF(Table36[[#This Row],[%Ash]]&gt;INDEX(Ashmax,MATCH(Table36[[#This Row],[Grist]],SMI,0)),0,1))))</f>
        <v>1</v>
      </c>
      <c r="X504" s="127">
        <f>IF(INDEX(Absmin,MATCH(Table36[[#This Row],[Grist]],SMI,0))="-","-",IF(Table36[[#This Row],[%Absorption]]="-","-",IF(Table36[[#This Row],[%Absorption]]&lt;INDEX(Absmin,MATCH(Table36[[#This Row],[Grist]],SMI,0)),0,IF(Table36[[#This Row],[%Absorption]]&gt;INDEX(Absmax,MATCH(Table36[[#This Row],[Grist]],SMI,0)),0,1))))</f>
        <v>1</v>
      </c>
      <c r="Y504" s="127">
        <f>IF(INDEX(Extmin,MATCH(Table36[[#This Row],[Grist]],SMI,0))="-","-",IF(Table36[[#This Row],[%Extensibility]]="-","-",IF(Table36[[#This Row],[%Extensibility]]&lt;INDEX(Extmin,MATCH(Table36[[#This Row],[Grist]],SMI,0)),0,IF(Table36[[#This Row],[%Extensibility]]&gt;INDEX(Extmax,MATCH(Table36[[#This Row],[Grist]],SMI,0)),0,1))))</f>
        <v>0</v>
      </c>
      <c r="Z504" s="127">
        <f>IF(INDEX(Resmin,MATCH(Table36[[#This Row],[Grist]],SMI,0))="-","-",IF(Table36[[#This Row],[Resistance, max]]="-","-",IF(Table36[[#This Row],[Resistance, max]]&lt;INDEX(Resmin,MATCH(Table36[[#This Row],[Grist]],SMI,0)),0,IF(Table36[[#This Row],[Resistance, max]]&gt;INDEX(Resmax,MATCH(Table36[[#This Row],[Grist]],SMI,0)),0,1))))</f>
        <v>0</v>
      </c>
      <c r="AA504" s="127">
        <f>IF(INDEX(WGmin,MATCH(Table36[[#This Row],[Grist]],SMI,0))="-","-",IF(Table36[[#This Row],[%Wet Gluten]]="-","-",IF(Table36[[#This Row],[%Wet Gluten]]&lt;INDEX(WGmin,MATCH(Table36[[#This Row],[Grist]],SMI,0)),0,IF(Table36[[#This Row],[%Wet Gluten]]&gt;INDEX(WGmax,MATCH(Table36[[#This Row],[Grist]],SMI,0)),0,1))))</f>
        <v>1</v>
      </c>
      <c r="AB504" s="127">
        <f>SUM(Table36[[#This Row],[ QI Bran Content]:[QI WG]])</f>
        <v>8</v>
      </c>
      <c r="AC504" s="127">
        <f>COUNT(Table36[[#This Row],[ QI Bran Content]:[QI WG]])</f>
        <v>10</v>
      </c>
    </row>
    <row r="505" spans="1:29" x14ac:dyDescent="0.35">
      <c r="A505" s="11">
        <v>45348</v>
      </c>
      <c r="B505" s="70">
        <v>45348</v>
      </c>
      <c r="C505" s="70" t="s">
        <v>128</v>
      </c>
      <c r="D505" s="28">
        <v>0.79166666666666596</v>
      </c>
      <c r="E505" s="12" t="s">
        <v>0</v>
      </c>
      <c r="F505" s="13" t="s">
        <v>27</v>
      </c>
      <c r="G505" s="117">
        <v>8.3000000000000001E-3</v>
      </c>
      <c r="H505" s="14" t="s">
        <v>165</v>
      </c>
      <c r="I505" s="14" t="s">
        <v>165</v>
      </c>
      <c r="J505" s="14" t="s">
        <v>165</v>
      </c>
      <c r="K505" s="14">
        <v>12.83</v>
      </c>
      <c r="L505" s="14">
        <v>13.5</v>
      </c>
      <c r="M505" s="14">
        <v>0.56000000000000005</v>
      </c>
      <c r="N505" s="14">
        <v>64.099999999999994</v>
      </c>
      <c r="O505" s="14">
        <v>0</v>
      </c>
      <c r="P505" s="14">
        <v>0</v>
      </c>
      <c r="Q505" s="14">
        <v>37.6</v>
      </c>
      <c r="R505" s="127">
        <f>IF(Table36[[#This Row],[ Bran Content]]="-","-",IF(G505&lt;0.02,1,0))</f>
        <v>1</v>
      </c>
      <c r="S505" s="127">
        <f>IF(Table36[[#This Row],[Sieve Test]]="-","-",IF(Table36[[#This Row],[Sieve Test]]="P",1,0))</f>
        <v>1</v>
      </c>
      <c r="T505" s="127">
        <f>IF(Table36[[#This Row],[Odor]]="-","-",IF(Table36[[#This Row],[Odor]]="P",1,0))</f>
        <v>1</v>
      </c>
      <c r="U505" s="127">
        <f>IF(INDEX(MCmin,MATCH(Table36[[#This Row],[Grist]],SMI,0))="-","-",IF(Table36[[#This Row],[F1 %MC]]="-","-",IF(Table36[[#This Row],[F1 %MC]]&lt;INDEX(MCmin,MATCH(Table36[[#This Row],[Grist]],SMI,0)),0,IF(Table36[[#This Row],[F1 %MC]]&gt;INDEX(MCmax,MATCH(Table36[[#This Row],[Grist]],SMI,0)),0,1))))</f>
        <v>1</v>
      </c>
      <c r="V505" s="127">
        <f>IF(INDEX(Protmin,MATCH(Table36[[#This Row],[Grist]],SMI,0))="-","-",IF(Table36[[#This Row],[%Protein]]="-","-",IF(Table36[[#This Row],[%Protein]]&lt;INDEX(Protmin,MATCH(Table36[[#This Row],[Grist]],SMI,0)),0,IF(Table36[[#This Row],[%Protein]]&gt;INDEX(Protmax,MATCH(Table36[[#This Row],[Grist]],SMI,0)),0,1))))</f>
        <v>1</v>
      </c>
      <c r="W505" s="127">
        <f>IF(INDEX(Ashmin,MATCH(Table36[[#This Row],[Grist]],SMI,0))="-","-",IF(Table36[[#This Row],[%Ash]]="-","-",IF(Table36[[#This Row],[%Ash]]&lt;INDEX(Ashmin,MATCH(Table36[[#This Row],[Grist]],SMI,0)),0,IF(Table36[[#This Row],[%Ash]]&gt;INDEX(Ashmax,MATCH(Table36[[#This Row],[Grist]],SMI,0)),0,1))))</f>
        <v>1</v>
      </c>
      <c r="X505" s="127">
        <f>IF(INDEX(Absmin,MATCH(Table36[[#This Row],[Grist]],SMI,0))="-","-",IF(Table36[[#This Row],[%Absorption]]="-","-",IF(Table36[[#This Row],[%Absorption]]&lt;INDEX(Absmin,MATCH(Table36[[#This Row],[Grist]],SMI,0)),0,IF(Table36[[#This Row],[%Absorption]]&gt;INDEX(Absmax,MATCH(Table36[[#This Row],[Grist]],SMI,0)),0,1))))</f>
        <v>1</v>
      </c>
      <c r="Y505" s="127">
        <f>IF(INDEX(Extmin,MATCH(Table36[[#This Row],[Grist]],SMI,0))="-","-",IF(Table36[[#This Row],[%Extensibility]]="-","-",IF(Table36[[#This Row],[%Extensibility]]&lt;INDEX(Extmin,MATCH(Table36[[#This Row],[Grist]],SMI,0)),0,IF(Table36[[#This Row],[%Extensibility]]&gt;INDEX(Extmax,MATCH(Table36[[#This Row],[Grist]],SMI,0)),0,1))))</f>
        <v>0</v>
      </c>
      <c r="Z505" s="127">
        <f>IF(INDEX(Resmin,MATCH(Table36[[#This Row],[Grist]],SMI,0))="-","-",IF(Table36[[#This Row],[Resistance, max]]="-","-",IF(Table36[[#This Row],[Resistance, max]]&lt;INDEX(Resmin,MATCH(Table36[[#This Row],[Grist]],SMI,0)),0,IF(Table36[[#This Row],[Resistance, max]]&gt;INDEX(Resmax,MATCH(Table36[[#This Row],[Grist]],SMI,0)),0,1))))</f>
        <v>0</v>
      </c>
      <c r="AA505" s="127">
        <f>IF(INDEX(WGmin,MATCH(Table36[[#This Row],[Grist]],SMI,0))="-","-",IF(Table36[[#This Row],[%Wet Gluten]]="-","-",IF(Table36[[#This Row],[%Wet Gluten]]&lt;INDEX(WGmin,MATCH(Table36[[#This Row],[Grist]],SMI,0)),0,IF(Table36[[#This Row],[%Wet Gluten]]&gt;INDEX(WGmax,MATCH(Table36[[#This Row],[Grist]],SMI,0)),0,1))))</f>
        <v>1</v>
      </c>
      <c r="AB505" s="127">
        <f>SUM(Table36[[#This Row],[ QI Bran Content]:[QI WG]])</f>
        <v>8</v>
      </c>
      <c r="AC505" s="127">
        <f>COUNT(Table36[[#This Row],[ QI Bran Content]:[QI WG]])</f>
        <v>10</v>
      </c>
    </row>
    <row r="506" spans="1:29" x14ac:dyDescent="0.35">
      <c r="A506" s="11">
        <v>45348</v>
      </c>
      <c r="B506" s="70">
        <v>45348</v>
      </c>
      <c r="C506" s="70" t="s">
        <v>128</v>
      </c>
      <c r="D506" s="28">
        <v>0.874999999999999</v>
      </c>
      <c r="E506" s="12" t="s">
        <v>0</v>
      </c>
      <c r="F506" s="13" t="s">
        <v>27</v>
      </c>
      <c r="G506" s="117">
        <v>7.7000000000000002E-3</v>
      </c>
      <c r="H506" s="14" t="s">
        <v>165</v>
      </c>
      <c r="I506" s="14" t="s">
        <v>165</v>
      </c>
      <c r="J506" s="14" t="s">
        <v>165</v>
      </c>
      <c r="K506" s="14">
        <v>12.79</v>
      </c>
      <c r="L506" s="14">
        <v>13.5</v>
      </c>
      <c r="M506" s="14">
        <v>0.56000000000000005</v>
      </c>
      <c r="N506" s="14">
        <v>64.099999999999994</v>
      </c>
      <c r="O506" s="14">
        <v>0</v>
      </c>
      <c r="P506" s="14">
        <v>0</v>
      </c>
      <c r="Q506" s="14">
        <v>37.6</v>
      </c>
      <c r="R506" s="127">
        <f>IF(Table36[[#This Row],[ Bran Content]]="-","-",IF(G506&lt;0.02,1,0))</f>
        <v>1</v>
      </c>
      <c r="S506" s="127">
        <f>IF(Table36[[#This Row],[Sieve Test]]="-","-",IF(Table36[[#This Row],[Sieve Test]]="P",1,0))</f>
        <v>1</v>
      </c>
      <c r="T506" s="127">
        <f>IF(Table36[[#This Row],[Odor]]="-","-",IF(Table36[[#This Row],[Odor]]="P",1,0))</f>
        <v>1</v>
      </c>
      <c r="U506" s="127">
        <f>IF(INDEX(MCmin,MATCH(Table36[[#This Row],[Grist]],SMI,0))="-","-",IF(Table36[[#This Row],[F1 %MC]]="-","-",IF(Table36[[#This Row],[F1 %MC]]&lt;INDEX(MCmin,MATCH(Table36[[#This Row],[Grist]],SMI,0)),0,IF(Table36[[#This Row],[F1 %MC]]&gt;INDEX(MCmax,MATCH(Table36[[#This Row],[Grist]],SMI,0)),0,1))))</f>
        <v>1</v>
      </c>
      <c r="V506" s="127">
        <f>IF(INDEX(Protmin,MATCH(Table36[[#This Row],[Grist]],SMI,0))="-","-",IF(Table36[[#This Row],[%Protein]]="-","-",IF(Table36[[#This Row],[%Protein]]&lt;INDEX(Protmin,MATCH(Table36[[#This Row],[Grist]],SMI,0)),0,IF(Table36[[#This Row],[%Protein]]&gt;INDEX(Protmax,MATCH(Table36[[#This Row],[Grist]],SMI,0)),0,1))))</f>
        <v>1</v>
      </c>
      <c r="W506" s="127">
        <f>IF(INDEX(Ashmin,MATCH(Table36[[#This Row],[Grist]],SMI,0))="-","-",IF(Table36[[#This Row],[%Ash]]="-","-",IF(Table36[[#This Row],[%Ash]]&lt;INDEX(Ashmin,MATCH(Table36[[#This Row],[Grist]],SMI,0)),0,IF(Table36[[#This Row],[%Ash]]&gt;INDEX(Ashmax,MATCH(Table36[[#This Row],[Grist]],SMI,0)),0,1))))</f>
        <v>1</v>
      </c>
      <c r="X506" s="127">
        <f>IF(INDEX(Absmin,MATCH(Table36[[#This Row],[Grist]],SMI,0))="-","-",IF(Table36[[#This Row],[%Absorption]]="-","-",IF(Table36[[#This Row],[%Absorption]]&lt;INDEX(Absmin,MATCH(Table36[[#This Row],[Grist]],SMI,0)),0,IF(Table36[[#This Row],[%Absorption]]&gt;INDEX(Absmax,MATCH(Table36[[#This Row],[Grist]],SMI,0)),0,1))))</f>
        <v>1</v>
      </c>
      <c r="Y506" s="127">
        <f>IF(INDEX(Extmin,MATCH(Table36[[#This Row],[Grist]],SMI,0))="-","-",IF(Table36[[#This Row],[%Extensibility]]="-","-",IF(Table36[[#This Row],[%Extensibility]]&lt;INDEX(Extmin,MATCH(Table36[[#This Row],[Grist]],SMI,0)),0,IF(Table36[[#This Row],[%Extensibility]]&gt;INDEX(Extmax,MATCH(Table36[[#This Row],[Grist]],SMI,0)),0,1))))</f>
        <v>0</v>
      </c>
      <c r="Z506" s="127">
        <f>IF(INDEX(Resmin,MATCH(Table36[[#This Row],[Grist]],SMI,0))="-","-",IF(Table36[[#This Row],[Resistance, max]]="-","-",IF(Table36[[#This Row],[Resistance, max]]&lt;INDEX(Resmin,MATCH(Table36[[#This Row],[Grist]],SMI,0)),0,IF(Table36[[#This Row],[Resistance, max]]&gt;INDEX(Resmax,MATCH(Table36[[#This Row],[Grist]],SMI,0)),0,1))))</f>
        <v>0</v>
      </c>
      <c r="AA506" s="127">
        <f>IF(INDEX(WGmin,MATCH(Table36[[#This Row],[Grist]],SMI,0))="-","-",IF(Table36[[#This Row],[%Wet Gluten]]="-","-",IF(Table36[[#This Row],[%Wet Gluten]]&lt;INDEX(WGmin,MATCH(Table36[[#This Row],[Grist]],SMI,0)),0,IF(Table36[[#This Row],[%Wet Gluten]]&gt;INDEX(WGmax,MATCH(Table36[[#This Row],[Grist]],SMI,0)),0,1))))</f>
        <v>1</v>
      </c>
      <c r="AB506" s="127">
        <f>SUM(Table36[[#This Row],[ QI Bran Content]:[QI WG]])</f>
        <v>8</v>
      </c>
      <c r="AC506" s="127">
        <f>COUNT(Table36[[#This Row],[ QI Bran Content]:[QI WG]])</f>
        <v>10</v>
      </c>
    </row>
    <row r="507" spans="1:29" x14ac:dyDescent="0.35">
      <c r="A507" s="11">
        <v>45348</v>
      </c>
      <c r="B507" s="70">
        <v>45348</v>
      </c>
      <c r="C507" s="70" t="s">
        <v>130</v>
      </c>
      <c r="D507" s="28">
        <v>0.95833333333333337</v>
      </c>
      <c r="E507" s="12" t="s">
        <v>0</v>
      </c>
      <c r="F507" s="13" t="s">
        <v>27</v>
      </c>
      <c r="G507" s="117">
        <v>1.01E-2</v>
      </c>
      <c r="H507" s="14" t="s">
        <v>165</v>
      </c>
      <c r="I507" s="14" t="s">
        <v>165</v>
      </c>
      <c r="J507" s="14" t="s">
        <v>165</v>
      </c>
      <c r="K507" s="14">
        <v>12.85</v>
      </c>
      <c r="L507" s="14">
        <v>0</v>
      </c>
      <c r="M507" s="14">
        <v>0</v>
      </c>
      <c r="N507" s="14">
        <v>0</v>
      </c>
      <c r="O507" s="14">
        <v>0</v>
      </c>
      <c r="P507" s="14">
        <v>0</v>
      </c>
      <c r="Q507" s="14">
        <v>0</v>
      </c>
      <c r="R507" s="127">
        <f>IF(Table36[[#This Row],[ Bran Content]]="-","-",IF(G507&lt;0.02,1,0))</f>
        <v>1</v>
      </c>
      <c r="S507" s="127">
        <f>IF(Table36[[#This Row],[Sieve Test]]="-","-",IF(Table36[[#This Row],[Sieve Test]]="P",1,0))</f>
        <v>1</v>
      </c>
      <c r="T507" s="127">
        <f>IF(Table36[[#This Row],[Odor]]="-","-",IF(Table36[[#This Row],[Odor]]="P",1,0))</f>
        <v>1</v>
      </c>
      <c r="U507" s="127">
        <f>IF(INDEX(MCmin,MATCH(Table36[[#This Row],[Grist]],SMI,0))="-","-",IF(Table36[[#This Row],[F1 %MC]]="-","-",IF(Table36[[#This Row],[F1 %MC]]&lt;INDEX(MCmin,MATCH(Table36[[#This Row],[Grist]],SMI,0)),0,IF(Table36[[#This Row],[F1 %MC]]&gt;INDEX(MCmax,MATCH(Table36[[#This Row],[Grist]],SMI,0)),0,1))))</f>
        <v>1</v>
      </c>
      <c r="V507" s="127">
        <f>IF(INDEX(Protmin,MATCH(Table36[[#This Row],[Grist]],SMI,0))="-","-",IF(Table36[[#This Row],[%Protein]]="-","-",IF(Table36[[#This Row],[%Protein]]&lt;INDEX(Protmin,MATCH(Table36[[#This Row],[Grist]],SMI,0)),0,IF(Table36[[#This Row],[%Protein]]&gt;INDEX(Protmax,MATCH(Table36[[#This Row],[Grist]],SMI,0)),0,1))))</f>
        <v>0</v>
      </c>
      <c r="W507" s="127">
        <f>IF(INDEX(Ashmin,MATCH(Table36[[#This Row],[Grist]],SMI,0))="-","-",IF(Table36[[#This Row],[%Ash]]="-","-",IF(Table36[[#This Row],[%Ash]]&lt;INDEX(Ashmin,MATCH(Table36[[#This Row],[Grist]],SMI,0)),0,IF(Table36[[#This Row],[%Ash]]&gt;INDEX(Ashmax,MATCH(Table36[[#This Row],[Grist]],SMI,0)),0,1))))</f>
        <v>1</v>
      </c>
      <c r="X507" s="127">
        <f>IF(INDEX(Absmin,MATCH(Table36[[#This Row],[Grist]],SMI,0))="-","-",IF(Table36[[#This Row],[%Absorption]]="-","-",IF(Table36[[#This Row],[%Absorption]]&lt;INDEX(Absmin,MATCH(Table36[[#This Row],[Grist]],SMI,0)),0,IF(Table36[[#This Row],[%Absorption]]&gt;INDEX(Absmax,MATCH(Table36[[#This Row],[Grist]],SMI,0)),0,1))))</f>
        <v>0</v>
      </c>
      <c r="Y507" s="127">
        <f>IF(INDEX(Extmin,MATCH(Table36[[#This Row],[Grist]],SMI,0))="-","-",IF(Table36[[#This Row],[%Extensibility]]="-","-",IF(Table36[[#This Row],[%Extensibility]]&lt;INDEX(Extmin,MATCH(Table36[[#This Row],[Grist]],SMI,0)),0,IF(Table36[[#This Row],[%Extensibility]]&gt;INDEX(Extmax,MATCH(Table36[[#This Row],[Grist]],SMI,0)),0,1))))</f>
        <v>0</v>
      </c>
      <c r="Z507" s="127">
        <f>IF(INDEX(Resmin,MATCH(Table36[[#This Row],[Grist]],SMI,0))="-","-",IF(Table36[[#This Row],[Resistance, max]]="-","-",IF(Table36[[#This Row],[Resistance, max]]&lt;INDEX(Resmin,MATCH(Table36[[#This Row],[Grist]],SMI,0)),0,IF(Table36[[#This Row],[Resistance, max]]&gt;INDEX(Resmax,MATCH(Table36[[#This Row],[Grist]],SMI,0)),0,1))))</f>
        <v>0</v>
      </c>
      <c r="AA507" s="127">
        <f>IF(INDEX(WGmin,MATCH(Table36[[#This Row],[Grist]],SMI,0))="-","-",IF(Table36[[#This Row],[%Wet Gluten]]="-","-",IF(Table36[[#This Row],[%Wet Gluten]]&lt;INDEX(WGmin,MATCH(Table36[[#This Row],[Grist]],SMI,0)),0,IF(Table36[[#This Row],[%Wet Gluten]]&gt;INDEX(WGmax,MATCH(Table36[[#This Row],[Grist]],SMI,0)),0,1))))</f>
        <v>0</v>
      </c>
      <c r="AB507" s="127">
        <f>SUM(Table36[[#This Row],[ QI Bran Content]:[QI WG]])</f>
        <v>5</v>
      </c>
      <c r="AC507" s="127">
        <f>COUNT(Table36[[#This Row],[ QI Bran Content]:[QI WG]])</f>
        <v>10</v>
      </c>
    </row>
    <row r="508" spans="1:29" x14ac:dyDescent="0.35">
      <c r="A508" s="11">
        <v>45348</v>
      </c>
      <c r="B508" s="70">
        <v>45348</v>
      </c>
      <c r="C508" s="70" t="s">
        <v>130</v>
      </c>
      <c r="D508" s="28">
        <v>1.0416666666666701</v>
      </c>
      <c r="E508" s="12" t="s">
        <v>0</v>
      </c>
      <c r="F508" s="13" t="s">
        <v>27</v>
      </c>
      <c r="G508" s="117">
        <v>3.8E-3</v>
      </c>
      <c r="H508" s="14" t="s">
        <v>165</v>
      </c>
      <c r="I508" s="14" t="s">
        <v>165</v>
      </c>
      <c r="J508" s="14" t="s">
        <v>165</v>
      </c>
      <c r="K508" s="14">
        <v>12.61</v>
      </c>
      <c r="L508" s="14">
        <v>0</v>
      </c>
      <c r="M508" s="14">
        <v>0</v>
      </c>
      <c r="N508" s="14">
        <v>0</v>
      </c>
      <c r="O508" s="14">
        <v>0</v>
      </c>
      <c r="P508" s="14">
        <v>0</v>
      </c>
      <c r="Q508" s="14">
        <v>0</v>
      </c>
      <c r="R508" s="127">
        <f>IF(Table36[[#This Row],[ Bran Content]]="-","-",IF(G508&lt;0.02,1,0))</f>
        <v>1</v>
      </c>
      <c r="S508" s="127">
        <f>IF(Table36[[#This Row],[Sieve Test]]="-","-",IF(Table36[[#This Row],[Sieve Test]]="P",1,0))</f>
        <v>1</v>
      </c>
      <c r="T508" s="127">
        <f>IF(Table36[[#This Row],[Odor]]="-","-",IF(Table36[[#This Row],[Odor]]="P",1,0))</f>
        <v>1</v>
      </c>
      <c r="U508" s="127">
        <f>IF(INDEX(MCmin,MATCH(Table36[[#This Row],[Grist]],SMI,0))="-","-",IF(Table36[[#This Row],[F1 %MC]]="-","-",IF(Table36[[#This Row],[F1 %MC]]&lt;INDEX(MCmin,MATCH(Table36[[#This Row],[Grist]],SMI,0)),0,IF(Table36[[#This Row],[F1 %MC]]&gt;INDEX(MCmax,MATCH(Table36[[#This Row],[Grist]],SMI,0)),0,1))))</f>
        <v>1</v>
      </c>
      <c r="V508" s="127">
        <f>IF(INDEX(Protmin,MATCH(Table36[[#This Row],[Grist]],SMI,0))="-","-",IF(Table36[[#This Row],[%Protein]]="-","-",IF(Table36[[#This Row],[%Protein]]&lt;INDEX(Protmin,MATCH(Table36[[#This Row],[Grist]],SMI,0)),0,IF(Table36[[#This Row],[%Protein]]&gt;INDEX(Protmax,MATCH(Table36[[#This Row],[Grist]],SMI,0)),0,1))))</f>
        <v>0</v>
      </c>
      <c r="W508" s="127">
        <f>IF(INDEX(Ashmin,MATCH(Table36[[#This Row],[Grist]],SMI,0))="-","-",IF(Table36[[#This Row],[%Ash]]="-","-",IF(Table36[[#This Row],[%Ash]]&lt;INDEX(Ashmin,MATCH(Table36[[#This Row],[Grist]],SMI,0)),0,IF(Table36[[#This Row],[%Ash]]&gt;INDEX(Ashmax,MATCH(Table36[[#This Row],[Grist]],SMI,0)),0,1))))</f>
        <v>1</v>
      </c>
      <c r="X508" s="127">
        <f>IF(INDEX(Absmin,MATCH(Table36[[#This Row],[Grist]],SMI,0))="-","-",IF(Table36[[#This Row],[%Absorption]]="-","-",IF(Table36[[#This Row],[%Absorption]]&lt;INDEX(Absmin,MATCH(Table36[[#This Row],[Grist]],SMI,0)),0,IF(Table36[[#This Row],[%Absorption]]&gt;INDEX(Absmax,MATCH(Table36[[#This Row],[Grist]],SMI,0)),0,1))))</f>
        <v>0</v>
      </c>
      <c r="Y508" s="127">
        <f>IF(INDEX(Extmin,MATCH(Table36[[#This Row],[Grist]],SMI,0))="-","-",IF(Table36[[#This Row],[%Extensibility]]="-","-",IF(Table36[[#This Row],[%Extensibility]]&lt;INDEX(Extmin,MATCH(Table36[[#This Row],[Grist]],SMI,0)),0,IF(Table36[[#This Row],[%Extensibility]]&gt;INDEX(Extmax,MATCH(Table36[[#This Row],[Grist]],SMI,0)),0,1))))</f>
        <v>0</v>
      </c>
      <c r="Z508" s="127">
        <f>IF(INDEX(Resmin,MATCH(Table36[[#This Row],[Grist]],SMI,0))="-","-",IF(Table36[[#This Row],[Resistance, max]]="-","-",IF(Table36[[#This Row],[Resistance, max]]&lt;INDEX(Resmin,MATCH(Table36[[#This Row],[Grist]],SMI,0)),0,IF(Table36[[#This Row],[Resistance, max]]&gt;INDEX(Resmax,MATCH(Table36[[#This Row],[Grist]],SMI,0)),0,1))))</f>
        <v>0</v>
      </c>
      <c r="AA508" s="127">
        <f>IF(INDEX(WGmin,MATCH(Table36[[#This Row],[Grist]],SMI,0))="-","-",IF(Table36[[#This Row],[%Wet Gluten]]="-","-",IF(Table36[[#This Row],[%Wet Gluten]]&lt;INDEX(WGmin,MATCH(Table36[[#This Row],[Grist]],SMI,0)),0,IF(Table36[[#This Row],[%Wet Gluten]]&gt;INDEX(WGmax,MATCH(Table36[[#This Row],[Grist]],SMI,0)),0,1))))</f>
        <v>0</v>
      </c>
      <c r="AB508" s="127">
        <f>SUM(Table36[[#This Row],[ QI Bran Content]:[QI WG]])</f>
        <v>5</v>
      </c>
      <c r="AC508" s="127">
        <f>COUNT(Table36[[#This Row],[ QI Bran Content]:[QI WG]])</f>
        <v>10</v>
      </c>
    </row>
    <row r="509" spans="1:29" x14ac:dyDescent="0.35">
      <c r="A509" s="11">
        <v>45348</v>
      </c>
      <c r="B509" s="70">
        <v>45348</v>
      </c>
      <c r="C509" s="70" t="s">
        <v>130</v>
      </c>
      <c r="D509" s="28">
        <v>1.125</v>
      </c>
      <c r="E509" s="12" t="s">
        <v>0</v>
      </c>
      <c r="F509" s="13" t="s">
        <v>27</v>
      </c>
      <c r="G509" s="117">
        <v>4.7000000000000002E-3</v>
      </c>
      <c r="H509" s="14" t="s">
        <v>165</v>
      </c>
      <c r="I509" s="14" t="s">
        <v>165</v>
      </c>
      <c r="J509" s="14" t="s">
        <v>165</v>
      </c>
      <c r="K509" s="14">
        <v>13.2</v>
      </c>
      <c r="L509" s="14">
        <v>0</v>
      </c>
      <c r="M509" s="14">
        <v>0</v>
      </c>
      <c r="N509" s="14">
        <v>0</v>
      </c>
      <c r="O509" s="14">
        <v>0</v>
      </c>
      <c r="P509" s="14">
        <v>0</v>
      </c>
      <c r="Q509" s="14">
        <v>0</v>
      </c>
      <c r="R509" s="127">
        <f>IF(Table36[[#This Row],[ Bran Content]]="-","-",IF(G509&lt;0.02,1,0))</f>
        <v>1</v>
      </c>
      <c r="S509" s="127">
        <f>IF(Table36[[#This Row],[Sieve Test]]="-","-",IF(Table36[[#This Row],[Sieve Test]]="P",1,0))</f>
        <v>1</v>
      </c>
      <c r="T509" s="127">
        <f>IF(Table36[[#This Row],[Odor]]="-","-",IF(Table36[[#This Row],[Odor]]="P",1,0))</f>
        <v>1</v>
      </c>
      <c r="U509" s="127">
        <f>IF(INDEX(MCmin,MATCH(Table36[[#This Row],[Grist]],SMI,0))="-","-",IF(Table36[[#This Row],[F1 %MC]]="-","-",IF(Table36[[#This Row],[F1 %MC]]&lt;INDEX(MCmin,MATCH(Table36[[#This Row],[Grist]],SMI,0)),0,IF(Table36[[#This Row],[F1 %MC]]&gt;INDEX(MCmax,MATCH(Table36[[#This Row],[Grist]],SMI,0)),0,1))))</f>
        <v>1</v>
      </c>
      <c r="V509" s="127">
        <f>IF(INDEX(Protmin,MATCH(Table36[[#This Row],[Grist]],SMI,0))="-","-",IF(Table36[[#This Row],[%Protein]]="-","-",IF(Table36[[#This Row],[%Protein]]&lt;INDEX(Protmin,MATCH(Table36[[#This Row],[Grist]],SMI,0)),0,IF(Table36[[#This Row],[%Protein]]&gt;INDEX(Protmax,MATCH(Table36[[#This Row],[Grist]],SMI,0)),0,1))))</f>
        <v>0</v>
      </c>
      <c r="W509" s="127">
        <f>IF(INDEX(Ashmin,MATCH(Table36[[#This Row],[Grist]],SMI,0))="-","-",IF(Table36[[#This Row],[%Ash]]="-","-",IF(Table36[[#This Row],[%Ash]]&lt;INDEX(Ashmin,MATCH(Table36[[#This Row],[Grist]],SMI,0)),0,IF(Table36[[#This Row],[%Ash]]&gt;INDEX(Ashmax,MATCH(Table36[[#This Row],[Grist]],SMI,0)),0,1))))</f>
        <v>1</v>
      </c>
      <c r="X509" s="127">
        <f>IF(INDEX(Absmin,MATCH(Table36[[#This Row],[Grist]],SMI,0))="-","-",IF(Table36[[#This Row],[%Absorption]]="-","-",IF(Table36[[#This Row],[%Absorption]]&lt;INDEX(Absmin,MATCH(Table36[[#This Row],[Grist]],SMI,0)),0,IF(Table36[[#This Row],[%Absorption]]&gt;INDEX(Absmax,MATCH(Table36[[#This Row],[Grist]],SMI,0)),0,1))))</f>
        <v>0</v>
      </c>
      <c r="Y509" s="127">
        <f>IF(INDEX(Extmin,MATCH(Table36[[#This Row],[Grist]],SMI,0))="-","-",IF(Table36[[#This Row],[%Extensibility]]="-","-",IF(Table36[[#This Row],[%Extensibility]]&lt;INDEX(Extmin,MATCH(Table36[[#This Row],[Grist]],SMI,0)),0,IF(Table36[[#This Row],[%Extensibility]]&gt;INDEX(Extmax,MATCH(Table36[[#This Row],[Grist]],SMI,0)),0,1))))</f>
        <v>0</v>
      </c>
      <c r="Z509" s="127">
        <f>IF(INDEX(Resmin,MATCH(Table36[[#This Row],[Grist]],SMI,0))="-","-",IF(Table36[[#This Row],[Resistance, max]]="-","-",IF(Table36[[#This Row],[Resistance, max]]&lt;INDEX(Resmin,MATCH(Table36[[#This Row],[Grist]],SMI,0)),0,IF(Table36[[#This Row],[Resistance, max]]&gt;INDEX(Resmax,MATCH(Table36[[#This Row],[Grist]],SMI,0)),0,1))))</f>
        <v>0</v>
      </c>
      <c r="AA509" s="127">
        <f>IF(INDEX(WGmin,MATCH(Table36[[#This Row],[Grist]],SMI,0))="-","-",IF(Table36[[#This Row],[%Wet Gluten]]="-","-",IF(Table36[[#This Row],[%Wet Gluten]]&lt;INDEX(WGmin,MATCH(Table36[[#This Row],[Grist]],SMI,0)),0,IF(Table36[[#This Row],[%Wet Gluten]]&gt;INDEX(WGmax,MATCH(Table36[[#This Row],[Grist]],SMI,0)),0,1))))</f>
        <v>0</v>
      </c>
      <c r="AB509" s="127">
        <f>SUM(Table36[[#This Row],[ QI Bran Content]:[QI WG]])</f>
        <v>5</v>
      </c>
      <c r="AC509" s="127">
        <f>COUNT(Table36[[#This Row],[ QI Bran Content]:[QI WG]])</f>
        <v>10</v>
      </c>
    </row>
    <row r="510" spans="1:29" x14ac:dyDescent="0.35">
      <c r="A510" s="11">
        <v>45348</v>
      </c>
      <c r="B510" s="70">
        <v>45348</v>
      </c>
      <c r="C510" s="70" t="s">
        <v>130</v>
      </c>
      <c r="D510" s="28">
        <v>1.2083333333333299</v>
      </c>
      <c r="E510" s="12" t="s">
        <v>0</v>
      </c>
      <c r="F510" s="13" t="s">
        <v>27</v>
      </c>
      <c r="G510" s="117">
        <v>4.1000000000000003E-3</v>
      </c>
      <c r="H510" s="14" t="s">
        <v>165</v>
      </c>
      <c r="I510" s="14" t="s">
        <v>165</v>
      </c>
      <c r="J510" s="14" t="s">
        <v>165</v>
      </c>
      <c r="K510" s="14">
        <v>13.36</v>
      </c>
      <c r="L510" s="14">
        <v>0</v>
      </c>
      <c r="M510" s="14">
        <v>0</v>
      </c>
      <c r="N510" s="14">
        <v>0</v>
      </c>
      <c r="O510" s="14">
        <v>0</v>
      </c>
      <c r="P510" s="14">
        <v>0</v>
      </c>
      <c r="Q510" s="14">
        <v>0</v>
      </c>
      <c r="R510" s="127">
        <f>IF(Table36[[#This Row],[ Bran Content]]="-","-",IF(G510&lt;0.02,1,0))</f>
        <v>1</v>
      </c>
      <c r="S510" s="127">
        <f>IF(Table36[[#This Row],[Sieve Test]]="-","-",IF(Table36[[#This Row],[Sieve Test]]="P",1,0))</f>
        <v>1</v>
      </c>
      <c r="T510" s="127">
        <f>IF(Table36[[#This Row],[Odor]]="-","-",IF(Table36[[#This Row],[Odor]]="P",1,0))</f>
        <v>1</v>
      </c>
      <c r="U510" s="127">
        <f>IF(INDEX(MCmin,MATCH(Table36[[#This Row],[Grist]],SMI,0))="-","-",IF(Table36[[#This Row],[F1 %MC]]="-","-",IF(Table36[[#This Row],[F1 %MC]]&lt;INDEX(MCmin,MATCH(Table36[[#This Row],[Grist]],SMI,0)),0,IF(Table36[[#This Row],[F1 %MC]]&gt;INDEX(MCmax,MATCH(Table36[[#This Row],[Grist]],SMI,0)),0,1))))</f>
        <v>1</v>
      </c>
      <c r="V510" s="127">
        <f>IF(INDEX(Protmin,MATCH(Table36[[#This Row],[Grist]],SMI,0))="-","-",IF(Table36[[#This Row],[%Protein]]="-","-",IF(Table36[[#This Row],[%Protein]]&lt;INDEX(Protmin,MATCH(Table36[[#This Row],[Grist]],SMI,0)),0,IF(Table36[[#This Row],[%Protein]]&gt;INDEX(Protmax,MATCH(Table36[[#This Row],[Grist]],SMI,0)),0,1))))</f>
        <v>0</v>
      </c>
      <c r="W510" s="127">
        <f>IF(INDEX(Ashmin,MATCH(Table36[[#This Row],[Grist]],SMI,0))="-","-",IF(Table36[[#This Row],[%Ash]]="-","-",IF(Table36[[#This Row],[%Ash]]&lt;INDEX(Ashmin,MATCH(Table36[[#This Row],[Grist]],SMI,0)),0,IF(Table36[[#This Row],[%Ash]]&gt;INDEX(Ashmax,MATCH(Table36[[#This Row],[Grist]],SMI,0)),0,1))))</f>
        <v>1</v>
      </c>
      <c r="X510" s="127">
        <f>IF(INDEX(Absmin,MATCH(Table36[[#This Row],[Grist]],SMI,0))="-","-",IF(Table36[[#This Row],[%Absorption]]="-","-",IF(Table36[[#This Row],[%Absorption]]&lt;INDEX(Absmin,MATCH(Table36[[#This Row],[Grist]],SMI,0)),0,IF(Table36[[#This Row],[%Absorption]]&gt;INDEX(Absmax,MATCH(Table36[[#This Row],[Grist]],SMI,0)),0,1))))</f>
        <v>0</v>
      </c>
      <c r="Y510" s="127">
        <f>IF(INDEX(Extmin,MATCH(Table36[[#This Row],[Grist]],SMI,0))="-","-",IF(Table36[[#This Row],[%Extensibility]]="-","-",IF(Table36[[#This Row],[%Extensibility]]&lt;INDEX(Extmin,MATCH(Table36[[#This Row],[Grist]],SMI,0)),0,IF(Table36[[#This Row],[%Extensibility]]&gt;INDEX(Extmax,MATCH(Table36[[#This Row],[Grist]],SMI,0)),0,1))))</f>
        <v>0</v>
      </c>
      <c r="Z510" s="127">
        <f>IF(INDEX(Resmin,MATCH(Table36[[#This Row],[Grist]],SMI,0))="-","-",IF(Table36[[#This Row],[Resistance, max]]="-","-",IF(Table36[[#This Row],[Resistance, max]]&lt;INDEX(Resmin,MATCH(Table36[[#This Row],[Grist]],SMI,0)),0,IF(Table36[[#This Row],[Resistance, max]]&gt;INDEX(Resmax,MATCH(Table36[[#This Row],[Grist]],SMI,0)),0,1))))</f>
        <v>0</v>
      </c>
      <c r="AA510" s="127">
        <f>IF(INDEX(WGmin,MATCH(Table36[[#This Row],[Grist]],SMI,0))="-","-",IF(Table36[[#This Row],[%Wet Gluten]]="-","-",IF(Table36[[#This Row],[%Wet Gluten]]&lt;INDEX(WGmin,MATCH(Table36[[#This Row],[Grist]],SMI,0)),0,IF(Table36[[#This Row],[%Wet Gluten]]&gt;INDEX(WGmax,MATCH(Table36[[#This Row],[Grist]],SMI,0)),0,1))))</f>
        <v>0</v>
      </c>
      <c r="AB510" s="127">
        <f>SUM(Table36[[#This Row],[ QI Bran Content]:[QI WG]])</f>
        <v>5</v>
      </c>
      <c r="AC510" s="127">
        <f>COUNT(Table36[[#This Row],[ QI Bran Content]:[QI WG]])</f>
        <v>10</v>
      </c>
    </row>
    <row r="511" spans="1:29" x14ac:dyDescent="0.35">
      <c r="A511" s="11">
        <v>45349</v>
      </c>
      <c r="B511" s="70">
        <v>45349</v>
      </c>
      <c r="C511" s="70" t="s">
        <v>128</v>
      </c>
      <c r="D511" s="28">
        <v>0.79166666666666596</v>
      </c>
      <c r="E511" s="12" t="s">
        <v>0</v>
      </c>
      <c r="F511" s="13" t="s">
        <v>27</v>
      </c>
      <c r="G511" s="117">
        <v>5.4999999999999997E-3</v>
      </c>
      <c r="H511" s="14" t="s">
        <v>165</v>
      </c>
      <c r="I511" s="14" t="s">
        <v>165</v>
      </c>
      <c r="J511" s="14" t="s">
        <v>165</v>
      </c>
      <c r="K511" s="14">
        <v>13.39</v>
      </c>
      <c r="L511" s="14">
        <v>13.5</v>
      </c>
      <c r="M511" s="14">
        <v>0.56999999999999995</v>
      </c>
      <c r="N511" s="14">
        <v>64.8</v>
      </c>
      <c r="O511" s="14">
        <v>0</v>
      </c>
      <c r="P511" s="14">
        <v>0</v>
      </c>
      <c r="Q511" s="14">
        <v>37.25</v>
      </c>
      <c r="R511" s="127">
        <f>IF(Table36[[#This Row],[ Bran Content]]="-","-",IF(G511&lt;0.02,1,0))</f>
        <v>1</v>
      </c>
      <c r="S511" s="127">
        <f>IF(Table36[[#This Row],[Sieve Test]]="-","-",IF(Table36[[#This Row],[Sieve Test]]="P",1,0))</f>
        <v>1</v>
      </c>
      <c r="T511" s="127">
        <f>IF(Table36[[#This Row],[Odor]]="-","-",IF(Table36[[#This Row],[Odor]]="P",1,0))</f>
        <v>1</v>
      </c>
      <c r="U511" s="127">
        <f>IF(INDEX(MCmin,MATCH(Table36[[#This Row],[Grist]],SMI,0))="-","-",IF(Table36[[#This Row],[F1 %MC]]="-","-",IF(Table36[[#This Row],[F1 %MC]]&lt;INDEX(MCmin,MATCH(Table36[[#This Row],[Grist]],SMI,0)),0,IF(Table36[[#This Row],[F1 %MC]]&gt;INDEX(MCmax,MATCH(Table36[[#This Row],[Grist]],SMI,0)),0,1))))</f>
        <v>1</v>
      </c>
      <c r="V511" s="127">
        <f>IF(INDEX(Protmin,MATCH(Table36[[#This Row],[Grist]],SMI,0))="-","-",IF(Table36[[#This Row],[%Protein]]="-","-",IF(Table36[[#This Row],[%Protein]]&lt;INDEX(Protmin,MATCH(Table36[[#This Row],[Grist]],SMI,0)),0,IF(Table36[[#This Row],[%Protein]]&gt;INDEX(Protmax,MATCH(Table36[[#This Row],[Grist]],SMI,0)),0,1))))</f>
        <v>1</v>
      </c>
      <c r="W511" s="127">
        <f>IF(INDEX(Ashmin,MATCH(Table36[[#This Row],[Grist]],SMI,0))="-","-",IF(Table36[[#This Row],[%Ash]]="-","-",IF(Table36[[#This Row],[%Ash]]&lt;INDEX(Ashmin,MATCH(Table36[[#This Row],[Grist]],SMI,0)),0,IF(Table36[[#This Row],[%Ash]]&gt;INDEX(Ashmax,MATCH(Table36[[#This Row],[Grist]],SMI,0)),0,1))))</f>
        <v>1</v>
      </c>
      <c r="X511" s="127">
        <f>IF(INDEX(Absmin,MATCH(Table36[[#This Row],[Grist]],SMI,0))="-","-",IF(Table36[[#This Row],[%Absorption]]="-","-",IF(Table36[[#This Row],[%Absorption]]&lt;INDEX(Absmin,MATCH(Table36[[#This Row],[Grist]],SMI,0)),0,IF(Table36[[#This Row],[%Absorption]]&gt;INDEX(Absmax,MATCH(Table36[[#This Row],[Grist]],SMI,0)),0,1))))</f>
        <v>1</v>
      </c>
      <c r="Y511" s="127">
        <f>IF(INDEX(Extmin,MATCH(Table36[[#This Row],[Grist]],SMI,0))="-","-",IF(Table36[[#This Row],[%Extensibility]]="-","-",IF(Table36[[#This Row],[%Extensibility]]&lt;INDEX(Extmin,MATCH(Table36[[#This Row],[Grist]],SMI,0)),0,IF(Table36[[#This Row],[%Extensibility]]&gt;INDEX(Extmax,MATCH(Table36[[#This Row],[Grist]],SMI,0)),0,1))))</f>
        <v>0</v>
      </c>
      <c r="Z511" s="127">
        <f>IF(INDEX(Resmin,MATCH(Table36[[#This Row],[Grist]],SMI,0))="-","-",IF(Table36[[#This Row],[Resistance, max]]="-","-",IF(Table36[[#This Row],[Resistance, max]]&lt;INDEX(Resmin,MATCH(Table36[[#This Row],[Grist]],SMI,0)),0,IF(Table36[[#This Row],[Resistance, max]]&gt;INDEX(Resmax,MATCH(Table36[[#This Row],[Grist]],SMI,0)),0,1))))</f>
        <v>0</v>
      </c>
      <c r="AA511" s="127">
        <f>IF(INDEX(WGmin,MATCH(Table36[[#This Row],[Grist]],SMI,0))="-","-",IF(Table36[[#This Row],[%Wet Gluten]]="-","-",IF(Table36[[#This Row],[%Wet Gluten]]&lt;INDEX(WGmin,MATCH(Table36[[#This Row],[Grist]],SMI,0)),0,IF(Table36[[#This Row],[%Wet Gluten]]&gt;INDEX(WGmax,MATCH(Table36[[#This Row],[Grist]],SMI,0)),0,1))))</f>
        <v>1</v>
      </c>
      <c r="AB511" s="127">
        <f>SUM(Table36[[#This Row],[ QI Bran Content]:[QI WG]])</f>
        <v>8</v>
      </c>
      <c r="AC511" s="127">
        <f>COUNT(Table36[[#This Row],[ QI Bran Content]:[QI WG]])</f>
        <v>10</v>
      </c>
    </row>
    <row r="512" spans="1:29" x14ac:dyDescent="0.35">
      <c r="A512" s="11">
        <v>45349</v>
      </c>
      <c r="B512" s="70">
        <v>45349</v>
      </c>
      <c r="C512" s="70" t="s">
        <v>128</v>
      </c>
      <c r="D512" s="28">
        <v>0.874999999999999</v>
      </c>
      <c r="E512" s="12" t="s">
        <v>0</v>
      </c>
      <c r="F512" s="13" t="s">
        <v>27</v>
      </c>
      <c r="G512" s="117">
        <v>9.2999999999999992E-3</v>
      </c>
      <c r="H512" s="14" t="s">
        <v>165</v>
      </c>
      <c r="I512" s="14" t="s">
        <v>165</v>
      </c>
      <c r="J512" s="14" t="s">
        <v>165</v>
      </c>
      <c r="K512" s="14">
        <v>13.17</v>
      </c>
      <c r="L512" s="14">
        <v>13.5</v>
      </c>
      <c r="M512" s="14">
        <v>0.56999999999999995</v>
      </c>
      <c r="N512" s="14">
        <v>64.8</v>
      </c>
      <c r="O512" s="14">
        <v>0</v>
      </c>
      <c r="P512" s="14">
        <v>0</v>
      </c>
      <c r="Q512" s="14">
        <v>37.25</v>
      </c>
      <c r="R512" s="127">
        <f>IF(Table36[[#This Row],[ Bran Content]]="-","-",IF(G512&lt;0.02,1,0))</f>
        <v>1</v>
      </c>
      <c r="S512" s="127">
        <f>IF(Table36[[#This Row],[Sieve Test]]="-","-",IF(Table36[[#This Row],[Sieve Test]]="P",1,0))</f>
        <v>1</v>
      </c>
      <c r="T512" s="127">
        <f>IF(Table36[[#This Row],[Odor]]="-","-",IF(Table36[[#This Row],[Odor]]="P",1,0))</f>
        <v>1</v>
      </c>
      <c r="U512" s="127">
        <f>IF(INDEX(MCmin,MATCH(Table36[[#This Row],[Grist]],SMI,0))="-","-",IF(Table36[[#This Row],[F1 %MC]]="-","-",IF(Table36[[#This Row],[F1 %MC]]&lt;INDEX(MCmin,MATCH(Table36[[#This Row],[Grist]],SMI,0)),0,IF(Table36[[#This Row],[F1 %MC]]&gt;INDEX(MCmax,MATCH(Table36[[#This Row],[Grist]],SMI,0)),0,1))))</f>
        <v>1</v>
      </c>
      <c r="V512" s="127">
        <f>IF(INDEX(Protmin,MATCH(Table36[[#This Row],[Grist]],SMI,0))="-","-",IF(Table36[[#This Row],[%Protein]]="-","-",IF(Table36[[#This Row],[%Protein]]&lt;INDEX(Protmin,MATCH(Table36[[#This Row],[Grist]],SMI,0)),0,IF(Table36[[#This Row],[%Protein]]&gt;INDEX(Protmax,MATCH(Table36[[#This Row],[Grist]],SMI,0)),0,1))))</f>
        <v>1</v>
      </c>
      <c r="W512" s="127">
        <f>IF(INDEX(Ashmin,MATCH(Table36[[#This Row],[Grist]],SMI,0))="-","-",IF(Table36[[#This Row],[%Ash]]="-","-",IF(Table36[[#This Row],[%Ash]]&lt;INDEX(Ashmin,MATCH(Table36[[#This Row],[Grist]],SMI,0)),0,IF(Table36[[#This Row],[%Ash]]&gt;INDEX(Ashmax,MATCH(Table36[[#This Row],[Grist]],SMI,0)),0,1))))</f>
        <v>1</v>
      </c>
      <c r="X512" s="127">
        <f>IF(INDEX(Absmin,MATCH(Table36[[#This Row],[Grist]],SMI,0))="-","-",IF(Table36[[#This Row],[%Absorption]]="-","-",IF(Table36[[#This Row],[%Absorption]]&lt;INDEX(Absmin,MATCH(Table36[[#This Row],[Grist]],SMI,0)),0,IF(Table36[[#This Row],[%Absorption]]&gt;INDEX(Absmax,MATCH(Table36[[#This Row],[Grist]],SMI,0)),0,1))))</f>
        <v>1</v>
      </c>
      <c r="Y512" s="127">
        <f>IF(INDEX(Extmin,MATCH(Table36[[#This Row],[Grist]],SMI,0))="-","-",IF(Table36[[#This Row],[%Extensibility]]="-","-",IF(Table36[[#This Row],[%Extensibility]]&lt;INDEX(Extmin,MATCH(Table36[[#This Row],[Grist]],SMI,0)),0,IF(Table36[[#This Row],[%Extensibility]]&gt;INDEX(Extmax,MATCH(Table36[[#This Row],[Grist]],SMI,0)),0,1))))</f>
        <v>0</v>
      </c>
      <c r="Z512" s="127">
        <f>IF(INDEX(Resmin,MATCH(Table36[[#This Row],[Grist]],SMI,0))="-","-",IF(Table36[[#This Row],[Resistance, max]]="-","-",IF(Table36[[#This Row],[Resistance, max]]&lt;INDEX(Resmin,MATCH(Table36[[#This Row],[Grist]],SMI,0)),0,IF(Table36[[#This Row],[Resistance, max]]&gt;INDEX(Resmax,MATCH(Table36[[#This Row],[Grist]],SMI,0)),0,1))))</f>
        <v>0</v>
      </c>
      <c r="AA512" s="127">
        <f>IF(INDEX(WGmin,MATCH(Table36[[#This Row],[Grist]],SMI,0))="-","-",IF(Table36[[#This Row],[%Wet Gluten]]="-","-",IF(Table36[[#This Row],[%Wet Gluten]]&lt;INDEX(WGmin,MATCH(Table36[[#This Row],[Grist]],SMI,0)),0,IF(Table36[[#This Row],[%Wet Gluten]]&gt;INDEX(WGmax,MATCH(Table36[[#This Row],[Grist]],SMI,0)),0,1))))</f>
        <v>1</v>
      </c>
      <c r="AB512" s="127">
        <f>SUM(Table36[[#This Row],[ QI Bran Content]:[QI WG]])</f>
        <v>8</v>
      </c>
      <c r="AC512" s="127">
        <f>COUNT(Table36[[#This Row],[ QI Bran Content]:[QI WG]])</f>
        <v>10</v>
      </c>
    </row>
    <row r="513" spans="1:29" x14ac:dyDescent="0.35">
      <c r="A513" s="11">
        <v>45349</v>
      </c>
      <c r="B513" s="70">
        <v>45349</v>
      </c>
      <c r="C513" s="70" t="s">
        <v>130</v>
      </c>
      <c r="D513" s="28">
        <v>0.95833333333333337</v>
      </c>
      <c r="E513" s="12" t="s">
        <v>0</v>
      </c>
      <c r="F513" s="13" t="s">
        <v>27</v>
      </c>
      <c r="G513" s="117">
        <v>5.1999999999999998E-3</v>
      </c>
      <c r="H513" s="14" t="s">
        <v>165</v>
      </c>
      <c r="I513" s="14" t="s">
        <v>165</v>
      </c>
      <c r="J513" s="14" t="s">
        <v>165</v>
      </c>
      <c r="K513" s="14">
        <v>13.31</v>
      </c>
      <c r="L513" s="14">
        <v>13.32</v>
      </c>
      <c r="M513" s="14">
        <v>0.56999999999999995</v>
      </c>
      <c r="N513" s="14">
        <v>65.069999999999993</v>
      </c>
      <c r="O513" s="14">
        <v>0</v>
      </c>
      <c r="P513" s="14">
        <v>0</v>
      </c>
      <c r="Q513" s="14">
        <v>37.200000000000003</v>
      </c>
      <c r="R513" s="127">
        <f>IF(Table36[[#This Row],[ Bran Content]]="-","-",IF(G513&lt;0.02,1,0))</f>
        <v>1</v>
      </c>
      <c r="S513" s="127">
        <f>IF(Table36[[#This Row],[Sieve Test]]="-","-",IF(Table36[[#This Row],[Sieve Test]]="P",1,0))</f>
        <v>1</v>
      </c>
      <c r="T513" s="127">
        <f>IF(Table36[[#This Row],[Odor]]="-","-",IF(Table36[[#This Row],[Odor]]="P",1,0))</f>
        <v>1</v>
      </c>
      <c r="U513" s="127">
        <f>IF(INDEX(MCmin,MATCH(Table36[[#This Row],[Grist]],SMI,0))="-","-",IF(Table36[[#This Row],[F1 %MC]]="-","-",IF(Table36[[#This Row],[F1 %MC]]&lt;INDEX(MCmin,MATCH(Table36[[#This Row],[Grist]],SMI,0)),0,IF(Table36[[#This Row],[F1 %MC]]&gt;INDEX(MCmax,MATCH(Table36[[#This Row],[Grist]],SMI,0)),0,1))))</f>
        <v>1</v>
      </c>
      <c r="V513" s="127">
        <f>IF(INDEX(Protmin,MATCH(Table36[[#This Row],[Grist]],SMI,0))="-","-",IF(Table36[[#This Row],[%Protein]]="-","-",IF(Table36[[#This Row],[%Protein]]&lt;INDEX(Protmin,MATCH(Table36[[#This Row],[Grist]],SMI,0)),0,IF(Table36[[#This Row],[%Protein]]&gt;INDEX(Protmax,MATCH(Table36[[#This Row],[Grist]],SMI,0)),0,1))))</f>
        <v>1</v>
      </c>
      <c r="W513" s="127">
        <f>IF(INDEX(Ashmin,MATCH(Table36[[#This Row],[Grist]],SMI,0))="-","-",IF(Table36[[#This Row],[%Ash]]="-","-",IF(Table36[[#This Row],[%Ash]]&lt;INDEX(Ashmin,MATCH(Table36[[#This Row],[Grist]],SMI,0)),0,IF(Table36[[#This Row],[%Ash]]&gt;INDEX(Ashmax,MATCH(Table36[[#This Row],[Grist]],SMI,0)),0,1))))</f>
        <v>1</v>
      </c>
      <c r="X513" s="127">
        <f>IF(INDEX(Absmin,MATCH(Table36[[#This Row],[Grist]],SMI,0))="-","-",IF(Table36[[#This Row],[%Absorption]]="-","-",IF(Table36[[#This Row],[%Absorption]]&lt;INDEX(Absmin,MATCH(Table36[[#This Row],[Grist]],SMI,0)),0,IF(Table36[[#This Row],[%Absorption]]&gt;INDEX(Absmax,MATCH(Table36[[#This Row],[Grist]],SMI,0)),0,1))))</f>
        <v>1</v>
      </c>
      <c r="Y513" s="127">
        <f>IF(INDEX(Extmin,MATCH(Table36[[#This Row],[Grist]],SMI,0))="-","-",IF(Table36[[#This Row],[%Extensibility]]="-","-",IF(Table36[[#This Row],[%Extensibility]]&lt;INDEX(Extmin,MATCH(Table36[[#This Row],[Grist]],SMI,0)),0,IF(Table36[[#This Row],[%Extensibility]]&gt;INDEX(Extmax,MATCH(Table36[[#This Row],[Grist]],SMI,0)),0,1))))</f>
        <v>0</v>
      </c>
      <c r="Z513" s="127">
        <f>IF(INDEX(Resmin,MATCH(Table36[[#This Row],[Grist]],SMI,0))="-","-",IF(Table36[[#This Row],[Resistance, max]]="-","-",IF(Table36[[#This Row],[Resistance, max]]&lt;INDEX(Resmin,MATCH(Table36[[#This Row],[Grist]],SMI,0)),0,IF(Table36[[#This Row],[Resistance, max]]&gt;INDEX(Resmax,MATCH(Table36[[#This Row],[Grist]],SMI,0)),0,1))))</f>
        <v>0</v>
      </c>
      <c r="AA513" s="127">
        <f>IF(INDEX(WGmin,MATCH(Table36[[#This Row],[Grist]],SMI,0))="-","-",IF(Table36[[#This Row],[%Wet Gluten]]="-","-",IF(Table36[[#This Row],[%Wet Gluten]]&lt;INDEX(WGmin,MATCH(Table36[[#This Row],[Grist]],SMI,0)),0,IF(Table36[[#This Row],[%Wet Gluten]]&gt;INDEX(WGmax,MATCH(Table36[[#This Row],[Grist]],SMI,0)),0,1))))</f>
        <v>1</v>
      </c>
      <c r="AB513" s="127">
        <f>SUM(Table36[[#This Row],[ QI Bran Content]:[QI WG]])</f>
        <v>8</v>
      </c>
      <c r="AC513" s="127">
        <f>COUNT(Table36[[#This Row],[ QI Bran Content]:[QI WG]])</f>
        <v>10</v>
      </c>
    </row>
    <row r="514" spans="1:29" x14ac:dyDescent="0.35">
      <c r="A514" s="11">
        <v>45349</v>
      </c>
      <c r="B514" s="70">
        <v>45349</v>
      </c>
      <c r="C514" s="70" t="s">
        <v>130</v>
      </c>
      <c r="D514" s="28">
        <v>1.0416666666666701</v>
      </c>
      <c r="E514" s="12" t="s">
        <v>0</v>
      </c>
      <c r="F514" s="13" t="s">
        <v>27</v>
      </c>
      <c r="G514" s="117">
        <v>2.5999999999999999E-3</v>
      </c>
      <c r="H514" s="14" t="s">
        <v>165</v>
      </c>
      <c r="I514" s="14" t="s">
        <v>165</v>
      </c>
      <c r="J514" s="14" t="s">
        <v>165</v>
      </c>
      <c r="K514" s="14">
        <v>13.13</v>
      </c>
      <c r="L514" s="14">
        <v>0</v>
      </c>
      <c r="M514" s="14">
        <v>0</v>
      </c>
      <c r="N514" s="14">
        <v>0</v>
      </c>
      <c r="O514" s="14">
        <v>0</v>
      </c>
      <c r="P514" s="14">
        <v>0</v>
      </c>
      <c r="Q514" s="14">
        <v>0</v>
      </c>
      <c r="R514" s="127">
        <f>IF(Table36[[#This Row],[ Bran Content]]="-","-",IF(G514&lt;0.02,1,0))</f>
        <v>1</v>
      </c>
      <c r="S514" s="127">
        <f>IF(Table36[[#This Row],[Sieve Test]]="-","-",IF(Table36[[#This Row],[Sieve Test]]="P",1,0))</f>
        <v>1</v>
      </c>
      <c r="T514" s="127">
        <f>IF(Table36[[#This Row],[Odor]]="-","-",IF(Table36[[#This Row],[Odor]]="P",1,0))</f>
        <v>1</v>
      </c>
      <c r="U514" s="127">
        <f>IF(INDEX(MCmin,MATCH(Table36[[#This Row],[Grist]],SMI,0))="-","-",IF(Table36[[#This Row],[F1 %MC]]="-","-",IF(Table36[[#This Row],[F1 %MC]]&lt;INDEX(MCmin,MATCH(Table36[[#This Row],[Grist]],SMI,0)),0,IF(Table36[[#This Row],[F1 %MC]]&gt;INDEX(MCmax,MATCH(Table36[[#This Row],[Grist]],SMI,0)),0,1))))</f>
        <v>1</v>
      </c>
      <c r="V514" s="127">
        <f>IF(INDEX(Protmin,MATCH(Table36[[#This Row],[Grist]],SMI,0))="-","-",IF(Table36[[#This Row],[%Protein]]="-","-",IF(Table36[[#This Row],[%Protein]]&lt;INDEX(Protmin,MATCH(Table36[[#This Row],[Grist]],SMI,0)),0,IF(Table36[[#This Row],[%Protein]]&gt;INDEX(Protmax,MATCH(Table36[[#This Row],[Grist]],SMI,0)),0,1))))</f>
        <v>0</v>
      </c>
      <c r="W514" s="127">
        <f>IF(INDEX(Ashmin,MATCH(Table36[[#This Row],[Grist]],SMI,0))="-","-",IF(Table36[[#This Row],[%Ash]]="-","-",IF(Table36[[#This Row],[%Ash]]&lt;INDEX(Ashmin,MATCH(Table36[[#This Row],[Grist]],SMI,0)),0,IF(Table36[[#This Row],[%Ash]]&gt;INDEX(Ashmax,MATCH(Table36[[#This Row],[Grist]],SMI,0)),0,1))))</f>
        <v>1</v>
      </c>
      <c r="X514" s="127">
        <f>IF(INDEX(Absmin,MATCH(Table36[[#This Row],[Grist]],SMI,0))="-","-",IF(Table36[[#This Row],[%Absorption]]="-","-",IF(Table36[[#This Row],[%Absorption]]&lt;INDEX(Absmin,MATCH(Table36[[#This Row],[Grist]],SMI,0)),0,IF(Table36[[#This Row],[%Absorption]]&gt;INDEX(Absmax,MATCH(Table36[[#This Row],[Grist]],SMI,0)),0,1))))</f>
        <v>0</v>
      </c>
      <c r="Y514" s="127">
        <f>IF(INDEX(Extmin,MATCH(Table36[[#This Row],[Grist]],SMI,0))="-","-",IF(Table36[[#This Row],[%Extensibility]]="-","-",IF(Table36[[#This Row],[%Extensibility]]&lt;INDEX(Extmin,MATCH(Table36[[#This Row],[Grist]],SMI,0)),0,IF(Table36[[#This Row],[%Extensibility]]&gt;INDEX(Extmax,MATCH(Table36[[#This Row],[Grist]],SMI,0)),0,1))))</f>
        <v>0</v>
      </c>
      <c r="Z514" s="127">
        <f>IF(INDEX(Resmin,MATCH(Table36[[#This Row],[Grist]],SMI,0))="-","-",IF(Table36[[#This Row],[Resistance, max]]="-","-",IF(Table36[[#This Row],[Resistance, max]]&lt;INDEX(Resmin,MATCH(Table36[[#This Row],[Grist]],SMI,0)),0,IF(Table36[[#This Row],[Resistance, max]]&gt;INDEX(Resmax,MATCH(Table36[[#This Row],[Grist]],SMI,0)),0,1))))</f>
        <v>0</v>
      </c>
      <c r="AA514" s="127">
        <f>IF(INDEX(WGmin,MATCH(Table36[[#This Row],[Grist]],SMI,0))="-","-",IF(Table36[[#This Row],[%Wet Gluten]]="-","-",IF(Table36[[#This Row],[%Wet Gluten]]&lt;INDEX(WGmin,MATCH(Table36[[#This Row],[Grist]],SMI,0)),0,IF(Table36[[#This Row],[%Wet Gluten]]&gt;INDEX(WGmax,MATCH(Table36[[#This Row],[Grist]],SMI,0)),0,1))))</f>
        <v>0</v>
      </c>
      <c r="AB514" s="127">
        <f>SUM(Table36[[#This Row],[ QI Bran Content]:[QI WG]])</f>
        <v>5</v>
      </c>
      <c r="AC514" s="127">
        <f>COUNT(Table36[[#This Row],[ QI Bran Content]:[QI WG]])</f>
        <v>10</v>
      </c>
    </row>
    <row r="515" spans="1:29" x14ac:dyDescent="0.35">
      <c r="A515" s="11">
        <v>45349</v>
      </c>
      <c r="B515" s="70">
        <v>45349</v>
      </c>
      <c r="C515" s="70" t="s">
        <v>130</v>
      </c>
      <c r="D515" s="28">
        <v>1.125</v>
      </c>
      <c r="E515" s="12" t="s">
        <v>0</v>
      </c>
      <c r="F515" s="13" t="s">
        <v>27</v>
      </c>
      <c r="G515" s="117">
        <v>5.8999999999999999E-3</v>
      </c>
      <c r="H515" s="14" t="s">
        <v>165</v>
      </c>
      <c r="I515" s="14" t="s">
        <v>165</v>
      </c>
      <c r="J515" s="14" t="s">
        <v>165</v>
      </c>
      <c r="K515" s="14">
        <v>12.05</v>
      </c>
      <c r="L515" s="14">
        <v>0</v>
      </c>
      <c r="M515" s="14">
        <v>0</v>
      </c>
      <c r="N515" s="14">
        <v>0</v>
      </c>
      <c r="O515" s="14">
        <v>0</v>
      </c>
      <c r="P515" s="14">
        <v>0</v>
      </c>
      <c r="Q515" s="14">
        <v>0</v>
      </c>
      <c r="R515" s="127">
        <f>IF(Table36[[#This Row],[ Bran Content]]="-","-",IF(G515&lt;0.02,1,0))</f>
        <v>1</v>
      </c>
      <c r="S515" s="127">
        <f>IF(Table36[[#This Row],[Sieve Test]]="-","-",IF(Table36[[#This Row],[Sieve Test]]="P",1,0))</f>
        <v>1</v>
      </c>
      <c r="T515" s="127">
        <f>IF(Table36[[#This Row],[Odor]]="-","-",IF(Table36[[#This Row],[Odor]]="P",1,0))</f>
        <v>1</v>
      </c>
      <c r="U515" s="127">
        <f>IF(INDEX(MCmin,MATCH(Table36[[#This Row],[Grist]],SMI,0))="-","-",IF(Table36[[#This Row],[F1 %MC]]="-","-",IF(Table36[[#This Row],[F1 %MC]]&lt;INDEX(MCmin,MATCH(Table36[[#This Row],[Grist]],SMI,0)),0,IF(Table36[[#This Row],[F1 %MC]]&gt;INDEX(MCmax,MATCH(Table36[[#This Row],[Grist]],SMI,0)),0,1))))</f>
        <v>1</v>
      </c>
      <c r="V515" s="127">
        <f>IF(INDEX(Protmin,MATCH(Table36[[#This Row],[Grist]],SMI,0))="-","-",IF(Table36[[#This Row],[%Protein]]="-","-",IF(Table36[[#This Row],[%Protein]]&lt;INDEX(Protmin,MATCH(Table36[[#This Row],[Grist]],SMI,0)),0,IF(Table36[[#This Row],[%Protein]]&gt;INDEX(Protmax,MATCH(Table36[[#This Row],[Grist]],SMI,0)),0,1))))</f>
        <v>0</v>
      </c>
      <c r="W515" s="127">
        <f>IF(INDEX(Ashmin,MATCH(Table36[[#This Row],[Grist]],SMI,0))="-","-",IF(Table36[[#This Row],[%Ash]]="-","-",IF(Table36[[#This Row],[%Ash]]&lt;INDEX(Ashmin,MATCH(Table36[[#This Row],[Grist]],SMI,0)),0,IF(Table36[[#This Row],[%Ash]]&gt;INDEX(Ashmax,MATCH(Table36[[#This Row],[Grist]],SMI,0)),0,1))))</f>
        <v>1</v>
      </c>
      <c r="X515" s="127">
        <f>IF(INDEX(Absmin,MATCH(Table36[[#This Row],[Grist]],SMI,0))="-","-",IF(Table36[[#This Row],[%Absorption]]="-","-",IF(Table36[[#This Row],[%Absorption]]&lt;INDEX(Absmin,MATCH(Table36[[#This Row],[Grist]],SMI,0)),0,IF(Table36[[#This Row],[%Absorption]]&gt;INDEX(Absmax,MATCH(Table36[[#This Row],[Grist]],SMI,0)),0,1))))</f>
        <v>0</v>
      </c>
      <c r="Y515" s="127">
        <f>IF(INDEX(Extmin,MATCH(Table36[[#This Row],[Grist]],SMI,0))="-","-",IF(Table36[[#This Row],[%Extensibility]]="-","-",IF(Table36[[#This Row],[%Extensibility]]&lt;INDEX(Extmin,MATCH(Table36[[#This Row],[Grist]],SMI,0)),0,IF(Table36[[#This Row],[%Extensibility]]&gt;INDEX(Extmax,MATCH(Table36[[#This Row],[Grist]],SMI,0)),0,1))))</f>
        <v>0</v>
      </c>
      <c r="Z515" s="127">
        <f>IF(INDEX(Resmin,MATCH(Table36[[#This Row],[Grist]],SMI,0))="-","-",IF(Table36[[#This Row],[Resistance, max]]="-","-",IF(Table36[[#This Row],[Resistance, max]]&lt;INDEX(Resmin,MATCH(Table36[[#This Row],[Grist]],SMI,0)),0,IF(Table36[[#This Row],[Resistance, max]]&gt;INDEX(Resmax,MATCH(Table36[[#This Row],[Grist]],SMI,0)),0,1))))</f>
        <v>0</v>
      </c>
      <c r="AA515" s="127">
        <f>IF(INDEX(WGmin,MATCH(Table36[[#This Row],[Grist]],SMI,0))="-","-",IF(Table36[[#This Row],[%Wet Gluten]]="-","-",IF(Table36[[#This Row],[%Wet Gluten]]&lt;INDEX(WGmin,MATCH(Table36[[#This Row],[Grist]],SMI,0)),0,IF(Table36[[#This Row],[%Wet Gluten]]&gt;INDEX(WGmax,MATCH(Table36[[#This Row],[Grist]],SMI,0)),0,1))))</f>
        <v>0</v>
      </c>
      <c r="AB515" s="127">
        <f>SUM(Table36[[#This Row],[ QI Bran Content]:[QI WG]])</f>
        <v>5</v>
      </c>
      <c r="AC515" s="127">
        <f>COUNT(Table36[[#This Row],[ QI Bran Content]:[QI WG]])</f>
        <v>10</v>
      </c>
    </row>
    <row r="516" spans="1:29" x14ac:dyDescent="0.35">
      <c r="A516" s="11">
        <v>45349</v>
      </c>
      <c r="B516" s="70">
        <v>45349</v>
      </c>
      <c r="C516" s="70" t="s">
        <v>130</v>
      </c>
      <c r="D516" s="28">
        <v>1.2083333333333299</v>
      </c>
      <c r="E516" s="12" t="s">
        <v>0</v>
      </c>
      <c r="F516" s="13" t="s">
        <v>27</v>
      </c>
      <c r="G516" s="117">
        <v>3.0000000000000001E-3</v>
      </c>
      <c r="H516" s="14" t="s">
        <v>165</v>
      </c>
      <c r="I516" s="14" t="s">
        <v>165</v>
      </c>
      <c r="J516" s="14" t="s">
        <v>165</v>
      </c>
      <c r="K516" s="14">
        <v>12.88</v>
      </c>
      <c r="L516" s="14">
        <v>0</v>
      </c>
      <c r="M516" s="14">
        <v>0</v>
      </c>
      <c r="N516" s="14">
        <v>0</v>
      </c>
      <c r="O516" s="14">
        <v>0</v>
      </c>
      <c r="P516" s="14">
        <v>0</v>
      </c>
      <c r="Q516" s="14">
        <v>0</v>
      </c>
      <c r="R516" s="127">
        <f>IF(Table36[[#This Row],[ Bran Content]]="-","-",IF(G516&lt;0.02,1,0))</f>
        <v>1</v>
      </c>
      <c r="S516" s="127">
        <f>IF(Table36[[#This Row],[Sieve Test]]="-","-",IF(Table36[[#This Row],[Sieve Test]]="P",1,0))</f>
        <v>1</v>
      </c>
      <c r="T516" s="127">
        <f>IF(Table36[[#This Row],[Odor]]="-","-",IF(Table36[[#This Row],[Odor]]="P",1,0))</f>
        <v>1</v>
      </c>
      <c r="U516" s="127">
        <f>IF(INDEX(MCmin,MATCH(Table36[[#This Row],[Grist]],SMI,0))="-","-",IF(Table36[[#This Row],[F1 %MC]]="-","-",IF(Table36[[#This Row],[F1 %MC]]&lt;INDEX(MCmin,MATCH(Table36[[#This Row],[Grist]],SMI,0)),0,IF(Table36[[#This Row],[F1 %MC]]&gt;INDEX(MCmax,MATCH(Table36[[#This Row],[Grist]],SMI,0)),0,1))))</f>
        <v>1</v>
      </c>
      <c r="V516" s="127">
        <f>IF(INDEX(Protmin,MATCH(Table36[[#This Row],[Grist]],SMI,0))="-","-",IF(Table36[[#This Row],[%Protein]]="-","-",IF(Table36[[#This Row],[%Protein]]&lt;INDEX(Protmin,MATCH(Table36[[#This Row],[Grist]],SMI,0)),0,IF(Table36[[#This Row],[%Protein]]&gt;INDEX(Protmax,MATCH(Table36[[#This Row],[Grist]],SMI,0)),0,1))))</f>
        <v>0</v>
      </c>
      <c r="W516" s="127">
        <f>IF(INDEX(Ashmin,MATCH(Table36[[#This Row],[Grist]],SMI,0))="-","-",IF(Table36[[#This Row],[%Ash]]="-","-",IF(Table36[[#This Row],[%Ash]]&lt;INDEX(Ashmin,MATCH(Table36[[#This Row],[Grist]],SMI,0)),0,IF(Table36[[#This Row],[%Ash]]&gt;INDEX(Ashmax,MATCH(Table36[[#This Row],[Grist]],SMI,0)),0,1))))</f>
        <v>1</v>
      </c>
      <c r="X516" s="127">
        <f>IF(INDEX(Absmin,MATCH(Table36[[#This Row],[Grist]],SMI,0))="-","-",IF(Table36[[#This Row],[%Absorption]]="-","-",IF(Table36[[#This Row],[%Absorption]]&lt;INDEX(Absmin,MATCH(Table36[[#This Row],[Grist]],SMI,0)),0,IF(Table36[[#This Row],[%Absorption]]&gt;INDEX(Absmax,MATCH(Table36[[#This Row],[Grist]],SMI,0)),0,1))))</f>
        <v>0</v>
      </c>
      <c r="Y516" s="127">
        <f>IF(INDEX(Extmin,MATCH(Table36[[#This Row],[Grist]],SMI,0))="-","-",IF(Table36[[#This Row],[%Extensibility]]="-","-",IF(Table36[[#This Row],[%Extensibility]]&lt;INDEX(Extmin,MATCH(Table36[[#This Row],[Grist]],SMI,0)),0,IF(Table36[[#This Row],[%Extensibility]]&gt;INDEX(Extmax,MATCH(Table36[[#This Row],[Grist]],SMI,0)),0,1))))</f>
        <v>0</v>
      </c>
      <c r="Z516" s="127">
        <f>IF(INDEX(Resmin,MATCH(Table36[[#This Row],[Grist]],SMI,0))="-","-",IF(Table36[[#This Row],[Resistance, max]]="-","-",IF(Table36[[#This Row],[Resistance, max]]&lt;INDEX(Resmin,MATCH(Table36[[#This Row],[Grist]],SMI,0)),0,IF(Table36[[#This Row],[Resistance, max]]&gt;INDEX(Resmax,MATCH(Table36[[#This Row],[Grist]],SMI,0)),0,1))))</f>
        <v>0</v>
      </c>
      <c r="AA516" s="127">
        <f>IF(INDEX(WGmin,MATCH(Table36[[#This Row],[Grist]],SMI,0))="-","-",IF(Table36[[#This Row],[%Wet Gluten]]="-","-",IF(Table36[[#This Row],[%Wet Gluten]]&lt;INDEX(WGmin,MATCH(Table36[[#This Row],[Grist]],SMI,0)),0,IF(Table36[[#This Row],[%Wet Gluten]]&gt;INDEX(WGmax,MATCH(Table36[[#This Row],[Grist]],SMI,0)),0,1))))</f>
        <v>0</v>
      </c>
      <c r="AB516" s="127">
        <f>SUM(Table36[[#This Row],[ QI Bran Content]:[QI WG]])</f>
        <v>5</v>
      </c>
      <c r="AC516" s="127">
        <f>COUNT(Table36[[#This Row],[ QI Bran Content]:[QI WG]])</f>
        <v>10</v>
      </c>
    </row>
    <row r="517" spans="1:29" x14ac:dyDescent="0.35">
      <c r="A517" s="11">
        <v>45350</v>
      </c>
      <c r="B517" s="70">
        <v>45350</v>
      </c>
      <c r="C517" s="70" t="s">
        <v>125</v>
      </c>
      <c r="D517" s="28" t="s">
        <v>240</v>
      </c>
      <c r="E517" s="12" t="s">
        <v>0</v>
      </c>
      <c r="F517" s="13" t="s">
        <v>27</v>
      </c>
      <c r="G517" s="117">
        <v>8.3999999999999995E-3</v>
      </c>
      <c r="H517" s="14" t="s">
        <v>165</v>
      </c>
      <c r="I517" s="14" t="s">
        <v>165</v>
      </c>
      <c r="J517" s="14" t="s">
        <v>165</v>
      </c>
      <c r="K517" s="14">
        <v>12.92</v>
      </c>
      <c r="L517" s="14">
        <v>13.47</v>
      </c>
      <c r="M517" s="14">
        <v>0.59</v>
      </c>
      <c r="N517" s="14">
        <v>65.099999999999994</v>
      </c>
      <c r="O517" s="14">
        <v>0</v>
      </c>
      <c r="P517" s="14">
        <v>0</v>
      </c>
      <c r="Q517" s="14">
        <v>37.67</v>
      </c>
      <c r="R517" s="127">
        <f>IF(Table36[[#This Row],[ Bran Content]]="-","-",IF(G517&lt;0.02,1,0))</f>
        <v>1</v>
      </c>
      <c r="S517" s="127">
        <f>IF(Table36[[#This Row],[Sieve Test]]="-","-",IF(Table36[[#This Row],[Sieve Test]]="P",1,0))</f>
        <v>1</v>
      </c>
      <c r="T517" s="127">
        <f>IF(Table36[[#This Row],[Odor]]="-","-",IF(Table36[[#This Row],[Odor]]="P",1,0))</f>
        <v>1</v>
      </c>
      <c r="U517" s="127">
        <f>IF(INDEX(MCmin,MATCH(Table36[[#This Row],[Grist]],SMI,0))="-","-",IF(Table36[[#This Row],[F1 %MC]]="-","-",IF(Table36[[#This Row],[F1 %MC]]&lt;INDEX(MCmin,MATCH(Table36[[#This Row],[Grist]],SMI,0)),0,IF(Table36[[#This Row],[F1 %MC]]&gt;INDEX(MCmax,MATCH(Table36[[#This Row],[Grist]],SMI,0)),0,1))))</f>
        <v>1</v>
      </c>
      <c r="V517" s="127">
        <f>IF(INDEX(Protmin,MATCH(Table36[[#This Row],[Grist]],SMI,0))="-","-",IF(Table36[[#This Row],[%Protein]]="-","-",IF(Table36[[#This Row],[%Protein]]&lt;INDEX(Protmin,MATCH(Table36[[#This Row],[Grist]],SMI,0)),0,IF(Table36[[#This Row],[%Protein]]&gt;INDEX(Protmax,MATCH(Table36[[#This Row],[Grist]],SMI,0)),0,1))))</f>
        <v>1</v>
      </c>
      <c r="W517" s="127">
        <f>IF(INDEX(Ashmin,MATCH(Table36[[#This Row],[Grist]],SMI,0))="-","-",IF(Table36[[#This Row],[%Ash]]="-","-",IF(Table36[[#This Row],[%Ash]]&lt;INDEX(Ashmin,MATCH(Table36[[#This Row],[Grist]],SMI,0)),0,IF(Table36[[#This Row],[%Ash]]&gt;INDEX(Ashmax,MATCH(Table36[[#This Row],[Grist]],SMI,0)),0,1))))</f>
        <v>1</v>
      </c>
      <c r="X517" s="127">
        <f>IF(INDEX(Absmin,MATCH(Table36[[#This Row],[Grist]],SMI,0))="-","-",IF(Table36[[#This Row],[%Absorption]]="-","-",IF(Table36[[#This Row],[%Absorption]]&lt;INDEX(Absmin,MATCH(Table36[[#This Row],[Grist]],SMI,0)),0,IF(Table36[[#This Row],[%Absorption]]&gt;INDEX(Absmax,MATCH(Table36[[#This Row],[Grist]],SMI,0)),0,1))))</f>
        <v>1</v>
      </c>
      <c r="Y517" s="127">
        <f>IF(INDEX(Extmin,MATCH(Table36[[#This Row],[Grist]],SMI,0))="-","-",IF(Table36[[#This Row],[%Extensibility]]="-","-",IF(Table36[[#This Row],[%Extensibility]]&lt;INDEX(Extmin,MATCH(Table36[[#This Row],[Grist]],SMI,0)),0,IF(Table36[[#This Row],[%Extensibility]]&gt;INDEX(Extmax,MATCH(Table36[[#This Row],[Grist]],SMI,0)),0,1))))</f>
        <v>0</v>
      </c>
      <c r="Z517" s="127">
        <f>IF(INDEX(Resmin,MATCH(Table36[[#This Row],[Grist]],SMI,0))="-","-",IF(Table36[[#This Row],[Resistance, max]]="-","-",IF(Table36[[#This Row],[Resistance, max]]&lt;INDEX(Resmin,MATCH(Table36[[#This Row],[Grist]],SMI,0)),0,IF(Table36[[#This Row],[Resistance, max]]&gt;INDEX(Resmax,MATCH(Table36[[#This Row],[Grist]],SMI,0)),0,1))))</f>
        <v>0</v>
      </c>
      <c r="AA517" s="127">
        <f>IF(INDEX(WGmin,MATCH(Table36[[#This Row],[Grist]],SMI,0))="-","-",IF(Table36[[#This Row],[%Wet Gluten]]="-","-",IF(Table36[[#This Row],[%Wet Gluten]]&lt;INDEX(WGmin,MATCH(Table36[[#This Row],[Grist]],SMI,0)),0,IF(Table36[[#This Row],[%Wet Gluten]]&gt;INDEX(WGmax,MATCH(Table36[[#This Row],[Grist]],SMI,0)),0,1))))</f>
        <v>1</v>
      </c>
      <c r="AB517" s="127">
        <f>SUM(Table36[[#This Row],[ QI Bran Content]:[QI WG]])</f>
        <v>8</v>
      </c>
      <c r="AC517" s="127">
        <f>COUNT(Table36[[#This Row],[ QI Bran Content]:[QI WG]])</f>
        <v>10</v>
      </c>
    </row>
    <row r="518" spans="1:29" x14ac:dyDescent="0.35">
      <c r="A518" s="11">
        <v>45350</v>
      </c>
      <c r="B518" s="70">
        <v>45350</v>
      </c>
      <c r="C518" s="70" t="s">
        <v>125</v>
      </c>
      <c r="D518" s="28" t="s">
        <v>237</v>
      </c>
      <c r="E518" s="12" t="s">
        <v>0</v>
      </c>
      <c r="F518" s="13" t="s">
        <v>27</v>
      </c>
      <c r="G518" s="117">
        <v>1.4500000000000001E-2</v>
      </c>
      <c r="H518" s="14" t="s">
        <v>165</v>
      </c>
      <c r="I518" s="14" t="s">
        <v>165</v>
      </c>
      <c r="J518" s="14" t="s">
        <v>165</v>
      </c>
      <c r="K518" s="14">
        <v>13.11</v>
      </c>
      <c r="L518" s="14">
        <v>13.47</v>
      </c>
      <c r="M518" s="14">
        <v>0.59</v>
      </c>
      <c r="N518" s="14">
        <v>65.099999999999994</v>
      </c>
      <c r="O518" s="14">
        <v>0</v>
      </c>
      <c r="P518" s="14">
        <v>0</v>
      </c>
      <c r="Q518" s="14">
        <v>37.67</v>
      </c>
      <c r="R518" s="127">
        <f>IF(Table36[[#This Row],[ Bran Content]]="-","-",IF(G518&lt;0.02,1,0))</f>
        <v>1</v>
      </c>
      <c r="S518" s="127">
        <f>IF(Table36[[#This Row],[Sieve Test]]="-","-",IF(Table36[[#This Row],[Sieve Test]]="P",1,0))</f>
        <v>1</v>
      </c>
      <c r="T518" s="127">
        <f>IF(Table36[[#This Row],[Odor]]="-","-",IF(Table36[[#This Row],[Odor]]="P",1,0))</f>
        <v>1</v>
      </c>
      <c r="U518" s="127">
        <f>IF(INDEX(MCmin,MATCH(Table36[[#This Row],[Grist]],SMI,0))="-","-",IF(Table36[[#This Row],[F1 %MC]]="-","-",IF(Table36[[#This Row],[F1 %MC]]&lt;INDEX(MCmin,MATCH(Table36[[#This Row],[Grist]],SMI,0)),0,IF(Table36[[#This Row],[F1 %MC]]&gt;INDEX(MCmax,MATCH(Table36[[#This Row],[Grist]],SMI,0)),0,1))))</f>
        <v>1</v>
      </c>
      <c r="V518" s="127">
        <f>IF(INDEX(Protmin,MATCH(Table36[[#This Row],[Grist]],SMI,0))="-","-",IF(Table36[[#This Row],[%Protein]]="-","-",IF(Table36[[#This Row],[%Protein]]&lt;INDEX(Protmin,MATCH(Table36[[#This Row],[Grist]],SMI,0)),0,IF(Table36[[#This Row],[%Protein]]&gt;INDEX(Protmax,MATCH(Table36[[#This Row],[Grist]],SMI,0)),0,1))))</f>
        <v>1</v>
      </c>
      <c r="W518" s="127">
        <f>IF(INDEX(Ashmin,MATCH(Table36[[#This Row],[Grist]],SMI,0))="-","-",IF(Table36[[#This Row],[%Ash]]="-","-",IF(Table36[[#This Row],[%Ash]]&lt;INDEX(Ashmin,MATCH(Table36[[#This Row],[Grist]],SMI,0)),0,IF(Table36[[#This Row],[%Ash]]&gt;INDEX(Ashmax,MATCH(Table36[[#This Row],[Grist]],SMI,0)),0,1))))</f>
        <v>1</v>
      </c>
      <c r="X518" s="127">
        <f>IF(INDEX(Absmin,MATCH(Table36[[#This Row],[Grist]],SMI,0))="-","-",IF(Table36[[#This Row],[%Absorption]]="-","-",IF(Table36[[#This Row],[%Absorption]]&lt;INDEX(Absmin,MATCH(Table36[[#This Row],[Grist]],SMI,0)),0,IF(Table36[[#This Row],[%Absorption]]&gt;INDEX(Absmax,MATCH(Table36[[#This Row],[Grist]],SMI,0)),0,1))))</f>
        <v>1</v>
      </c>
      <c r="Y518" s="127">
        <f>IF(INDEX(Extmin,MATCH(Table36[[#This Row],[Grist]],SMI,0))="-","-",IF(Table36[[#This Row],[%Extensibility]]="-","-",IF(Table36[[#This Row],[%Extensibility]]&lt;INDEX(Extmin,MATCH(Table36[[#This Row],[Grist]],SMI,0)),0,IF(Table36[[#This Row],[%Extensibility]]&gt;INDEX(Extmax,MATCH(Table36[[#This Row],[Grist]],SMI,0)),0,1))))</f>
        <v>0</v>
      </c>
      <c r="Z518" s="127">
        <f>IF(INDEX(Resmin,MATCH(Table36[[#This Row],[Grist]],SMI,0))="-","-",IF(Table36[[#This Row],[Resistance, max]]="-","-",IF(Table36[[#This Row],[Resistance, max]]&lt;INDEX(Resmin,MATCH(Table36[[#This Row],[Grist]],SMI,0)),0,IF(Table36[[#This Row],[Resistance, max]]&gt;INDEX(Resmax,MATCH(Table36[[#This Row],[Grist]],SMI,0)),0,1))))</f>
        <v>0</v>
      </c>
      <c r="AA518" s="127">
        <f>IF(INDEX(WGmin,MATCH(Table36[[#This Row],[Grist]],SMI,0))="-","-",IF(Table36[[#This Row],[%Wet Gluten]]="-","-",IF(Table36[[#This Row],[%Wet Gluten]]&lt;INDEX(WGmin,MATCH(Table36[[#This Row],[Grist]],SMI,0)),0,IF(Table36[[#This Row],[%Wet Gluten]]&gt;INDEX(WGmax,MATCH(Table36[[#This Row],[Grist]],SMI,0)),0,1))))</f>
        <v>1</v>
      </c>
      <c r="AB518" s="127">
        <f>SUM(Table36[[#This Row],[ QI Bran Content]:[QI WG]])</f>
        <v>8</v>
      </c>
      <c r="AC518" s="127">
        <f>COUNT(Table36[[#This Row],[ QI Bran Content]:[QI WG]])</f>
        <v>10</v>
      </c>
    </row>
    <row r="519" spans="1:29" x14ac:dyDescent="0.35">
      <c r="A519" s="11">
        <v>45350</v>
      </c>
      <c r="B519" s="70">
        <v>45350</v>
      </c>
      <c r="C519" s="70" t="s">
        <v>125</v>
      </c>
      <c r="D519" s="28" t="s">
        <v>238</v>
      </c>
      <c r="E519" s="12" t="s">
        <v>0</v>
      </c>
      <c r="F519" s="13" t="s">
        <v>27</v>
      </c>
      <c r="G519" s="117">
        <v>1.15E-2</v>
      </c>
      <c r="H519" s="14" t="s">
        <v>165</v>
      </c>
      <c r="I519" s="14" t="s">
        <v>165</v>
      </c>
      <c r="J519" s="14" t="s">
        <v>165</v>
      </c>
      <c r="K519" s="14">
        <v>11.21</v>
      </c>
      <c r="L519" s="14">
        <v>13.47</v>
      </c>
      <c r="M519" s="14">
        <v>0.59</v>
      </c>
      <c r="N519" s="14">
        <v>65.099999999999994</v>
      </c>
      <c r="O519" s="14">
        <v>0</v>
      </c>
      <c r="P519" s="14">
        <v>0</v>
      </c>
      <c r="Q519" s="14">
        <v>37.67</v>
      </c>
      <c r="R519" s="127">
        <f>IF(Table36[[#This Row],[ Bran Content]]="-","-",IF(G519&lt;0.02,1,0))</f>
        <v>1</v>
      </c>
      <c r="S519" s="127">
        <f>IF(Table36[[#This Row],[Sieve Test]]="-","-",IF(Table36[[#This Row],[Sieve Test]]="P",1,0))</f>
        <v>1</v>
      </c>
      <c r="T519" s="127">
        <f>IF(Table36[[#This Row],[Odor]]="-","-",IF(Table36[[#This Row],[Odor]]="P",1,0))</f>
        <v>1</v>
      </c>
      <c r="U519" s="127">
        <f>IF(INDEX(MCmin,MATCH(Table36[[#This Row],[Grist]],SMI,0))="-","-",IF(Table36[[#This Row],[F1 %MC]]="-","-",IF(Table36[[#This Row],[F1 %MC]]&lt;INDEX(MCmin,MATCH(Table36[[#This Row],[Grist]],SMI,0)),0,IF(Table36[[#This Row],[F1 %MC]]&gt;INDEX(MCmax,MATCH(Table36[[#This Row],[Grist]],SMI,0)),0,1))))</f>
        <v>0</v>
      </c>
      <c r="V519" s="127">
        <f>IF(INDEX(Protmin,MATCH(Table36[[#This Row],[Grist]],SMI,0))="-","-",IF(Table36[[#This Row],[%Protein]]="-","-",IF(Table36[[#This Row],[%Protein]]&lt;INDEX(Protmin,MATCH(Table36[[#This Row],[Grist]],SMI,0)),0,IF(Table36[[#This Row],[%Protein]]&gt;INDEX(Protmax,MATCH(Table36[[#This Row],[Grist]],SMI,0)),0,1))))</f>
        <v>1</v>
      </c>
      <c r="W519" s="127">
        <f>IF(INDEX(Ashmin,MATCH(Table36[[#This Row],[Grist]],SMI,0))="-","-",IF(Table36[[#This Row],[%Ash]]="-","-",IF(Table36[[#This Row],[%Ash]]&lt;INDEX(Ashmin,MATCH(Table36[[#This Row],[Grist]],SMI,0)),0,IF(Table36[[#This Row],[%Ash]]&gt;INDEX(Ashmax,MATCH(Table36[[#This Row],[Grist]],SMI,0)),0,1))))</f>
        <v>1</v>
      </c>
      <c r="X519" s="127">
        <f>IF(INDEX(Absmin,MATCH(Table36[[#This Row],[Grist]],SMI,0))="-","-",IF(Table36[[#This Row],[%Absorption]]="-","-",IF(Table36[[#This Row],[%Absorption]]&lt;INDEX(Absmin,MATCH(Table36[[#This Row],[Grist]],SMI,0)),0,IF(Table36[[#This Row],[%Absorption]]&gt;INDEX(Absmax,MATCH(Table36[[#This Row],[Grist]],SMI,0)),0,1))))</f>
        <v>1</v>
      </c>
      <c r="Y519" s="127">
        <f>IF(INDEX(Extmin,MATCH(Table36[[#This Row],[Grist]],SMI,0))="-","-",IF(Table36[[#This Row],[%Extensibility]]="-","-",IF(Table36[[#This Row],[%Extensibility]]&lt;INDEX(Extmin,MATCH(Table36[[#This Row],[Grist]],SMI,0)),0,IF(Table36[[#This Row],[%Extensibility]]&gt;INDEX(Extmax,MATCH(Table36[[#This Row],[Grist]],SMI,0)),0,1))))</f>
        <v>0</v>
      </c>
      <c r="Z519" s="127">
        <f>IF(INDEX(Resmin,MATCH(Table36[[#This Row],[Grist]],SMI,0))="-","-",IF(Table36[[#This Row],[Resistance, max]]="-","-",IF(Table36[[#This Row],[Resistance, max]]&lt;INDEX(Resmin,MATCH(Table36[[#This Row],[Grist]],SMI,0)),0,IF(Table36[[#This Row],[Resistance, max]]&gt;INDEX(Resmax,MATCH(Table36[[#This Row],[Grist]],SMI,0)),0,1))))</f>
        <v>0</v>
      </c>
      <c r="AA519" s="127">
        <f>IF(INDEX(WGmin,MATCH(Table36[[#This Row],[Grist]],SMI,0))="-","-",IF(Table36[[#This Row],[%Wet Gluten]]="-","-",IF(Table36[[#This Row],[%Wet Gluten]]&lt;INDEX(WGmin,MATCH(Table36[[#This Row],[Grist]],SMI,0)),0,IF(Table36[[#This Row],[%Wet Gluten]]&gt;INDEX(WGmax,MATCH(Table36[[#This Row],[Grist]],SMI,0)),0,1))))</f>
        <v>1</v>
      </c>
      <c r="AB519" s="127">
        <f>SUM(Table36[[#This Row],[ QI Bran Content]:[QI WG]])</f>
        <v>7</v>
      </c>
      <c r="AC519" s="127">
        <f>COUNT(Table36[[#This Row],[ QI Bran Content]:[QI WG]])</f>
        <v>10</v>
      </c>
    </row>
    <row r="520" spans="1:29" x14ac:dyDescent="0.35">
      <c r="A520" s="11">
        <v>45350</v>
      </c>
      <c r="B520" s="70">
        <v>45350</v>
      </c>
      <c r="C520" s="70" t="s">
        <v>128</v>
      </c>
      <c r="D520" s="28">
        <v>0.625</v>
      </c>
      <c r="E520" s="12" t="s">
        <v>0</v>
      </c>
      <c r="F520" s="13" t="s">
        <v>27</v>
      </c>
      <c r="G520" s="117">
        <v>9.7000000000000003E-3</v>
      </c>
      <c r="H520" s="14" t="s">
        <v>165</v>
      </c>
      <c r="I520" s="14" t="s">
        <v>165</v>
      </c>
      <c r="J520" s="14" t="s">
        <v>165</v>
      </c>
      <c r="K520" s="14">
        <v>11.85</v>
      </c>
      <c r="L520" s="14">
        <v>13.5</v>
      </c>
      <c r="M520" s="14">
        <v>0.65</v>
      </c>
      <c r="N520" s="14">
        <v>65.7</v>
      </c>
      <c r="O520" s="14">
        <v>0</v>
      </c>
      <c r="P520" s="14">
        <v>0</v>
      </c>
      <c r="Q520" s="14">
        <v>38.619999999999997</v>
      </c>
      <c r="R520" s="127">
        <f>IF(Table36[[#This Row],[ Bran Content]]="-","-",IF(G520&lt;0.02,1,0))</f>
        <v>1</v>
      </c>
      <c r="S520" s="127">
        <f>IF(Table36[[#This Row],[Sieve Test]]="-","-",IF(Table36[[#This Row],[Sieve Test]]="P",1,0))</f>
        <v>1</v>
      </c>
      <c r="T520" s="127">
        <f>IF(Table36[[#This Row],[Odor]]="-","-",IF(Table36[[#This Row],[Odor]]="P",1,0))</f>
        <v>1</v>
      </c>
      <c r="U520" s="127">
        <f>IF(INDEX(MCmin,MATCH(Table36[[#This Row],[Grist]],SMI,0))="-","-",IF(Table36[[#This Row],[F1 %MC]]="-","-",IF(Table36[[#This Row],[F1 %MC]]&lt;INDEX(MCmin,MATCH(Table36[[#This Row],[Grist]],SMI,0)),0,IF(Table36[[#This Row],[F1 %MC]]&gt;INDEX(MCmax,MATCH(Table36[[#This Row],[Grist]],SMI,0)),0,1))))</f>
        <v>0</v>
      </c>
      <c r="V520" s="127">
        <f>IF(INDEX(Protmin,MATCH(Table36[[#This Row],[Grist]],SMI,0))="-","-",IF(Table36[[#This Row],[%Protein]]="-","-",IF(Table36[[#This Row],[%Protein]]&lt;INDEX(Protmin,MATCH(Table36[[#This Row],[Grist]],SMI,0)),0,IF(Table36[[#This Row],[%Protein]]&gt;INDEX(Protmax,MATCH(Table36[[#This Row],[Grist]],SMI,0)),0,1))))</f>
        <v>1</v>
      </c>
      <c r="W520" s="127">
        <f>IF(INDEX(Ashmin,MATCH(Table36[[#This Row],[Grist]],SMI,0))="-","-",IF(Table36[[#This Row],[%Ash]]="-","-",IF(Table36[[#This Row],[%Ash]]&lt;INDEX(Ashmin,MATCH(Table36[[#This Row],[Grist]],SMI,0)),0,IF(Table36[[#This Row],[%Ash]]&gt;INDEX(Ashmax,MATCH(Table36[[#This Row],[Grist]],SMI,0)),0,1))))</f>
        <v>1</v>
      </c>
      <c r="X520" s="127">
        <f>IF(INDEX(Absmin,MATCH(Table36[[#This Row],[Grist]],SMI,0))="-","-",IF(Table36[[#This Row],[%Absorption]]="-","-",IF(Table36[[#This Row],[%Absorption]]&lt;INDEX(Absmin,MATCH(Table36[[#This Row],[Grist]],SMI,0)),0,IF(Table36[[#This Row],[%Absorption]]&gt;INDEX(Absmax,MATCH(Table36[[#This Row],[Grist]],SMI,0)),0,1))))</f>
        <v>1</v>
      </c>
      <c r="Y520" s="127">
        <f>IF(INDEX(Extmin,MATCH(Table36[[#This Row],[Grist]],SMI,0))="-","-",IF(Table36[[#This Row],[%Extensibility]]="-","-",IF(Table36[[#This Row],[%Extensibility]]&lt;INDEX(Extmin,MATCH(Table36[[#This Row],[Grist]],SMI,0)),0,IF(Table36[[#This Row],[%Extensibility]]&gt;INDEX(Extmax,MATCH(Table36[[#This Row],[Grist]],SMI,0)),0,1))))</f>
        <v>0</v>
      </c>
      <c r="Z520" s="127">
        <f>IF(INDEX(Resmin,MATCH(Table36[[#This Row],[Grist]],SMI,0))="-","-",IF(Table36[[#This Row],[Resistance, max]]="-","-",IF(Table36[[#This Row],[Resistance, max]]&lt;INDEX(Resmin,MATCH(Table36[[#This Row],[Grist]],SMI,0)),0,IF(Table36[[#This Row],[Resistance, max]]&gt;INDEX(Resmax,MATCH(Table36[[#This Row],[Grist]],SMI,0)),0,1))))</f>
        <v>0</v>
      </c>
      <c r="AA520" s="127">
        <f>IF(INDEX(WGmin,MATCH(Table36[[#This Row],[Grist]],SMI,0))="-","-",IF(Table36[[#This Row],[%Wet Gluten]]="-","-",IF(Table36[[#This Row],[%Wet Gluten]]&lt;INDEX(WGmin,MATCH(Table36[[#This Row],[Grist]],SMI,0)),0,IF(Table36[[#This Row],[%Wet Gluten]]&gt;INDEX(WGmax,MATCH(Table36[[#This Row],[Grist]],SMI,0)),0,1))))</f>
        <v>1</v>
      </c>
      <c r="AB520" s="127">
        <f>SUM(Table36[[#This Row],[ QI Bran Content]:[QI WG]])</f>
        <v>7</v>
      </c>
      <c r="AC520" s="127">
        <f>COUNT(Table36[[#This Row],[ QI Bran Content]:[QI WG]])</f>
        <v>10</v>
      </c>
    </row>
    <row r="521" spans="1:29" x14ac:dyDescent="0.35">
      <c r="A521" s="11">
        <v>45350</v>
      </c>
      <c r="B521" s="70">
        <v>45350</v>
      </c>
      <c r="C521" s="70" t="s">
        <v>128</v>
      </c>
      <c r="D521" s="28">
        <v>0.70833333333333304</v>
      </c>
      <c r="E521" s="12" t="s">
        <v>0</v>
      </c>
      <c r="F521" s="13" t="s">
        <v>27</v>
      </c>
      <c r="G521" s="117">
        <v>8.2000000000000007E-3</v>
      </c>
      <c r="H521" s="14" t="s">
        <v>165</v>
      </c>
      <c r="I521" s="14" t="s">
        <v>165</v>
      </c>
      <c r="J521" s="14" t="s">
        <v>165</v>
      </c>
      <c r="K521" s="14">
        <v>12.83</v>
      </c>
      <c r="L521" s="14">
        <v>13.5</v>
      </c>
      <c r="M521" s="14">
        <v>0.65</v>
      </c>
      <c r="N521" s="14">
        <v>65.7</v>
      </c>
      <c r="O521" s="14">
        <v>0</v>
      </c>
      <c r="P521" s="14">
        <v>0</v>
      </c>
      <c r="Q521" s="14">
        <v>38.619999999999997</v>
      </c>
      <c r="R521" s="127">
        <f>IF(Table36[[#This Row],[ Bran Content]]="-","-",IF(G521&lt;0.02,1,0))</f>
        <v>1</v>
      </c>
      <c r="S521" s="127">
        <f>IF(Table36[[#This Row],[Sieve Test]]="-","-",IF(Table36[[#This Row],[Sieve Test]]="P",1,0))</f>
        <v>1</v>
      </c>
      <c r="T521" s="127">
        <f>IF(Table36[[#This Row],[Odor]]="-","-",IF(Table36[[#This Row],[Odor]]="P",1,0))</f>
        <v>1</v>
      </c>
      <c r="U521" s="127">
        <f>IF(INDEX(MCmin,MATCH(Table36[[#This Row],[Grist]],SMI,0))="-","-",IF(Table36[[#This Row],[F1 %MC]]="-","-",IF(Table36[[#This Row],[F1 %MC]]&lt;INDEX(MCmin,MATCH(Table36[[#This Row],[Grist]],SMI,0)),0,IF(Table36[[#This Row],[F1 %MC]]&gt;INDEX(MCmax,MATCH(Table36[[#This Row],[Grist]],SMI,0)),0,1))))</f>
        <v>1</v>
      </c>
      <c r="V521" s="127">
        <f>IF(INDEX(Protmin,MATCH(Table36[[#This Row],[Grist]],SMI,0))="-","-",IF(Table36[[#This Row],[%Protein]]="-","-",IF(Table36[[#This Row],[%Protein]]&lt;INDEX(Protmin,MATCH(Table36[[#This Row],[Grist]],SMI,0)),0,IF(Table36[[#This Row],[%Protein]]&gt;INDEX(Protmax,MATCH(Table36[[#This Row],[Grist]],SMI,0)),0,1))))</f>
        <v>1</v>
      </c>
      <c r="W521" s="127">
        <f>IF(INDEX(Ashmin,MATCH(Table36[[#This Row],[Grist]],SMI,0))="-","-",IF(Table36[[#This Row],[%Ash]]="-","-",IF(Table36[[#This Row],[%Ash]]&lt;INDEX(Ashmin,MATCH(Table36[[#This Row],[Grist]],SMI,0)),0,IF(Table36[[#This Row],[%Ash]]&gt;INDEX(Ashmax,MATCH(Table36[[#This Row],[Grist]],SMI,0)),0,1))))</f>
        <v>1</v>
      </c>
      <c r="X521" s="127">
        <f>IF(INDEX(Absmin,MATCH(Table36[[#This Row],[Grist]],SMI,0))="-","-",IF(Table36[[#This Row],[%Absorption]]="-","-",IF(Table36[[#This Row],[%Absorption]]&lt;INDEX(Absmin,MATCH(Table36[[#This Row],[Grist]],SMI,0)),0,IF(Table36[[#This Row],[%Absorption]]&gt;INDEX(Absmax,MATCH(Table36[[#This Row],[Grist]],SMI,0)),0,1))))</f>
        <v>1</v>
      </c>
      <c r="Y521" s="127">
        <f>IF(INDEX(Extmin,MATCH(Table36[[#This Row],[Grist]],SMI,0))="-","-",IF(Table36[[#This Row],[%Extensibility]]="-","-",IF(Table36[[#This Row],[%Extensibility]]&lt;INDEX(Extmin,MATCH(Table36[[#This Row],[Grist]],SMI,0)),0,IF(Table36[[#This Row],[%Extensibility]]&gt;INDEX(Extmax,MATCH(Table36[[#This Row],[Grist]],SMI,0)),0,1))))</f>
        <v>0</v>
      </c>
      <c r="Z521" s="127">
        <f>IF(INDEX(Resmin,MATCH(Table36[[#This Row],[Grist]],SMI,0))="-","-",IF(Table36[[#This Row],[Resistance, max]]="-","-",IF(Table36[[#This Row],[Resistance, max]]&lt;INDEX(Resmin,MATCH(Table36[[#This Row],[Grist]],SMI,0)),0,IF(Table36[[#This Row],[Resistance, max]]&gt;INDEX(Resmax,MATCH(Table36[[#This Row],[Grist]],SMI,0)),0,1))))</f>
        <v>0</v>
      </c>
      <c r="AA521" s="127">
        <f>IF(INDEX(WGmin,MATCH(Table36[[#This Row],[Grist]],SMI,0))="-","-",IF(Table36[[#This Row],[%Wet Gluten]]="-","-",IF(Table36[[#This Row],[%Wet Gluten]]&lt;INDEX(WGmin,MATCH(Table36[[#This Row],[Grist]],SMI,0)),0,IF(Table36[[#This Row],[%Wet Gluten]]&gt;INDEX(WGmax,MATCH(Table36[[#This Row],[Grist]],SMI,0)),0,1))))</f>
        <v>1</v>
      </c>
      <c r="AB521" s="127">
        <f>SUM(Table36[[#This Row],[ QI Bran Content]:[QI WG]])</f>
        <v>8</v>
      </c>
      <c r="AC521" s="127">
        <f>COUNT(Table36[[#This Row],[ QI Bran Content]:[QI WG]])</f>
        <v>10</v>
      </c>
    </row>
    <row r="522" spans="1:29" x14ac:dyDescent="0.35">
      <c r="A522" s="11">
        <v>45350</v>
      </c>
      <c r="B522" s="70">
        <v>45350</v>
      </c>
      <c r="C522" s="70" t="s">
        <v>128</v>
      </c>
      <c r="D522" s="28">
        <v>0.79166666666666596</v>
      </c>
      <c r="E522" s="12" t="s">
        <v>0</v>
      </c>
      <c r="F522" s="13" t="s">
        <v>27</v>
      </c>
      <c r="G522" s="117">
        <v>1.3100000000000001E-2</v>
      </c>
      <c r="H522" s="14" t="s">
        <v>165</v>
      </c>
      <c r="I522" s="14" t="s">
        <v>165</v>
      </c>
      <c r="J522" s="14" t="s">
        <v>165</v>
      </c>
      <c r="K522" s="14">
        <v>13.19</v>
      </c>
      <c r="L522" s="14">
        <v>13.5</v>
      </c>
      <c r="M522" s="14">
        <v>0.65</v>
      </c>
      <c r="N522" s="14">
        <v>65.7</v>
      </c>
      <c r="O522" s="14">
        <v>0</v>
      </c>
      <c r="P522" s="14">
        <v>0</v>
      </c>
      <c r="Q522" s="14">
        <v>38.619999999999997</v>
      </c>
      <c r="R522" s="127">
        <f>IF(Table36[[#This Row],[ Bran Content]]="-","-",IF(G522&lt;0.02,1,0))</f>
        <v>1</v>
      </c>
      <c r="S522" s="127">
        <f>IF(Table36[[#This Row],[Sieve Test]]="-","-",IF(Table36[[#This Row],[Sieve Test]]="P",1,0))</f>
        <v>1</v>
      </c>
      <c r="T522" s="127">
        <f>IF(Table36[[#This Row],[Odor]]="-","-",IF(Table36[[#This Row],[Odor]]="P",1,0))</f>
        <v>1</v>
      </c>
      <c r="U522" s="127">
        <f>IF(INDEX(MCmin,MATCH(Table36[[#This Row],[Grist]],SMI,0))="-","-",IF(Table36[[#This Row],[F1 %MC]]="-","-",IF(Table36[[#This Row],[F1 %MC]]&lt;INDEX(MCmin,MATCH(Table36[[#This Row],[Grist]],SMI,0)),0,IF(Table36[[#This Row],[F1 %MC]]&gt;INDEX(MCmax,MATCH(Table36[[#This Row],[Grist]],SMI,0)),0,1))))</f>
        <v>1</v>
      </c>
      <c r="V522" s="127">
        <f>IF(INDEX(Protmin,MATCH(Table36[[#This Row],[Grist]],SMI,0))="-","-",IF(Table36[[#This Row],[%Protein]]="-","-",IF(Table36[[#This Row],[%Protein]]&lt;INDEX(Protmin,MATCH(Table36[[#This Row],[Grist]],SMI,0)),0,IF(Table36[[#This Row],[%Protein]]&gt;INDEX(Protmax,MATCH(Table36[[#This Row],[Grist]],SMI,0)),0,1))))</f>
        <v>1</v>
      </c>
      <c r="W522" s="127">
        <f>IF(INDEX(Ashmin,MATCH(Table36[[#This Row],[Grist]],SMI,0))="-","-",IF(Table36[[#This Row],[%Ash]]="-","-",IF(Table36[[#This Row],[%Ash]]&lt;INDEX(Ashmin,MATCH(Table36[[#This Row],[Grist]],SMI,0)),0,IF(Table36[[#This Row],[%Ash]]&gt;INDEX(Ashmax,MATCH(Table36[[#This Row],[Grist]],SMI,0)),0,1))))</f>
        <v>1</v>
      </c>
      <c r="X522" s="127">
        <f>IF(INDEX(Absmin,MATCH(Table36[[#This Row],[Grist]],SMI,0))="-","-",IF(Table36[[#This Row],[%Absorption]]="-","-",IF(Table36[[#This Row],[%Absorption]]&lt;INDEX(Absmin,MATCH(Table36[[#This Row],[Grist]],SMI,0)),0,IF(Table36[[#This Row],[%Absorption]]&gt;INDEX(Absmax,MATCH(Table36[[#This Row],[Grist]],SMI,0)),0,1))))</f>
        <v>1</v>
      </c>
      <c r="Y522" s="127">
        <f>IF(INDEX(Extmin,MATCH(Table36[[#This Row],[Grist]],SMI,0))="-","-",IF(Table36[[#This Row],[%Extensibility]]="-","-",IF(Table36[[#This Row],[%Extensibility]]&lt;INDEX(Extmin,MATCH(Table36[[#This Row],[Grist]],SMI,0)),0,IF(Table36[[#This Row],[%Extensibility]]&gt;INDEX(Extmax,MATCH(Table36[[#This Row],[Grist]],SMI,0)),0,1))))</f>
        <v>0</v>
      </c>
      <c r="Z522" s="127">
        <f>IF(INDEX(Resmin,MATCH(Table36[[#This Row],[Grist]],SMI,0))="-","-",IF(Table36[[#This Row],[Resistance, max]]="-","-",IF(Table36[[#This Row],[Resistance, max]]&lt;INDEX(Resmin,MATCH(Table36[[#This Row],[Grist]],SMI,0)),0,IF(Table36[[#This Row],[Resistance, max]]&gt;INDEX(Resmax,MATCH(Table36[[#This Row],[Grist]],SMI,0)),0,1))))</f>
        <v>0</v>
      </c>
      <c r="AA522" s="127">
        <f>IF(INDEX(WGmin,MATCH(Table36[[#This Row],[Grist]],SMI,0))="-","-",IF(Table36[[#This Row],[%Wet Gluten]]="-","-",IF(Table36[[#This Row],[%Wet Gluten]]&lt;INDEX(WGmin,MATCH(Table36[[#This Row],[Grist]],SMI,0)),0,IF(Table36[[#This Row],[%Wet Gluten]]&gt;INDEX(WGmax,MATCH(Table36[[#This Row],[Grist]],SMI,0)),0,1))))</f>
        <v>1</v>
      </c>
      <c r="AB522" s="127">
        <f>SUM(Table36[[#This Row],[ QI Bran Content]:[QI WG]])</f>
        <v>8</v>
      </c>
      <c r="AC522" s="127">
        <f>COUNT(Table36[[#This Row],[ QI Bran Content]:[QI WG]])</f>
        <v>10</v>
      </c>
    </row>
    <row r="523" spans="1:29" x14ac:dyDescent="0.35">
      <c r="A523" s="11">
        <v>45350</v>
      </c>
      <c r="B523" s="70">
        <v>45350</v>
      </c>
      <c r="C523" s="70" t="s">
        <v>128</v>
      </c>
      <c r="D523" s="28">
        <v>0.874999999999999</v>
      </c>
      <c r="E523" s="12" t="s">
        <v>0</v>
      </c>
      <c r="F523" s="13" t="s">
        <v>27</v>
      </c>
      <c r="G523" s="117">
        <v>1.1599999999999999E-2</v>
      </c>
      <c r="H523" s="14" t="s">
        <v>165</v>
      </c>
      <c r="I523" s="14" t="s">
        <v>165</v>
      </c>
      <c r="J523" s="14" t="s">
        <v>165</v>
      </c>
      <c r="K523" s="14">
        <v>12.87</v>
      </c>
      <c r="L523" s="14">
        <v>13.5</v>
      </c>
      <c r="M523" s="14">
        <v>0.65</v>
      </c>
      <c r="N523" s="14">
        <v>65.7</v>
      </c>
      <c r="O523" s="14">
        <v>0</v>
      </c>
      <c r="P523" s="14">
        <v>0</v>
      </c>
      <c r="Q523" s="14">
        <v>38.619999999999997</v>
      </c>
      <c r="R523" s="127">
        <f>IF(Table36[[#This Row],[ Bran Content]]="-","-",IF(G523&lt;0.02,1,0))</f>
        <v>1</v>
      </c>
      <c r="S523" s="127">
        <f>IF(Table36[[#This Row],[Sieve Test]]="-","-",IF(Table36[[#This Row],[Sieve Test]]="P",1,0))</f>
        <v>1</v>
      </c>
      <c r="T523" s="127">
        <f>IF(Table36[[#This Row],[Odor]]="-","-",IF(Table36[[#This Row],[Odor]]="P",1,0))</f>
        <v>1</v>
      </c>
      <c r="U523" s="127">
        <f>IF(INDEX(MCmin,MATCH(Table36[[#This Row],[Grist]],SMI,0))="-","-",IF(Table36[[#This Row],[F1 %MC]]="-","-",IF(Table36[[#This Row],[F1 %MC]]&lt;INDEX(MCmin,MATCH(Table36[[#This Row],[Grist]],SMI,0)),0,IF(Table36[[#This Row],[F1 %MC]]&gt;INDEX(MCmax,MATCH(Table36[[#This Row],[Grist]],SMI,0)),0,1))))</f>
        <v>1</v>
      </c>
      <c r="V523" s="127">
        <f>IF(INDEX(Protmin,MATCH(Table36[[#This Row],[Grist]],SMI,0))="-","-",IF(Table36[[#This Row],[%Protein]]="-","-",IF(Table36[[#This Row],[%Protein]]&lt;INDEX(Protmin,MATCH(Table36[[#This Row],[Grist]],SMI,0)),0,IF(Table36[[#This Row],[%Protein]]&gt;INDEX(Protmax,MATCH(Table36[[#This Row],[Grist]],SMI,0)),0,1))))</f>
        <v>1</v>
      </c>
      <c r="W523" s="127">
        <f>IF(INDEX(Ashmin,MATCH(Table36[[#This Row],[Grist]],SMI,0))="-","-",IF(Table36[[#This Row],[%Ash]]="-","-",IF(Table36[[#This Row],[%Ash]]&lt;INDEX(Ashmin,MATCH(Table36[[#This Row],[Grist]],SMI,0)),0,IF(Table36[[#This Row],[%Ash]]&gt;INDEX(Ashmax,MATCH(Table36[[#This Row],[Grist]],SMI,0)),0,1))))</f>
        <v>1</v>
      </c>
      <c r="X523" s="127">
        <f>IF(INDEX(Absmin,MATCH(Table36[[#This Row],[Grist]],SMI,0))="-","-",IF(Table36[[#This Row],[%Absorption]]="-","-",IF(Table36[[#This Row],[%Absorption]]&lt;INDEX(Absmin,MATCH(Table36[[#This Row],[Grist]],SMI,0)),0,IF(Table36[[#This Row],[%Absorption]]&gt;INDEX(Absmax,MATCH(Table36[[#This Row],[Grist]],SMI,0)),0,1))))</f>
        <v>1</v>
      </c>
      <c r="Y523" s="127">
        <f>IF(INDEX(Extmin,MATCH(Table36[[#This Row],[Grist]],SMI,0))="-","-",IF(Table36[[#This Row],[%Extensibility]]="-","-",IF(Table36[[#This Row],[%Extensibility]]&lt;INDEX(Extmin,MATCH(Table36[[#This Row],[Grist]],SMI,0)),0,IF(Table36[[#This Row],[%Extensibility]]&gt;INDEX(Extmax,MATCH(Table36[[#This Row],[Grist]],SMI,0)),0,1))))</f>
        <v>0</v>
      </c>
      <c r="Z523" s="127">
        <f>IF(INDEX(Resmin,MATCH(Table36[[#This Row],[Grist]],SMI,0))="-","-",IF(Table36[[#This Row],[Resistance, max]]="-","-",IF(Table36[[#This Row],[Resistance, max]]&lt;INDEX(Resmin,MATCH(Table36[[#This Row],[Grist]],SMI,0)),0,IF(Table36[[#This Row],[Resistance, max]]&gt;INDEX(Resmax,MATCH(Table36[[#This Row],[Grist]],SMI,0)),0,1))))</f>
        <v>0</v>
      </c>
      <c r="AA523" s="127">
        <f>IF(INDEX(WGmin,MATCH(Table36[[#This Row],[Grist]],SMI,0))="-","-",IF(Table36[[#This Row],[%Wet Gluten]]="-","-",IF(Table36[[#This Row],[%Wet Gluten]]&lt;INDEX(WGmin,MATCH(Table36[[#This Row],[Grist]],SMI,0)),0,IF(Table36[[#This Row],[%Wet Gluten]]&gt;INDEX(WGmax,MATCH(Table36[[#This Row],[Grist]],SMI,0)),0,1))))</f>
        <v>1</v>
      </c>
      <c r="AB523" s="127">
        <f>SUM(Table36[[#This Row],[ QI Bran Content]:[QI WG]])</f>
        <v>8</v>
      </c>
      <c r="AC523" s="127">
        <f>COUNT(Table36[[#This Row],[ QI Bran Content]:[QI WG]])</f>
        <v>10</v>
      </c>
    </row>
    <row r="524" spans="1:29" x14ac:dyDescent="0.35">
      <c r="A524" s="11">
        <v>45350</v>
      </c>
      <c r="B524" s="70">
        <v>45350</v>
      </c>
      <c r="C524" s="70" t="s">
        <v>128</v>
      </c>
      <c r="D524" s="28">
        <v>0.70833333333333304</v>
      </c>
      <c r="E524" s="12" t="s">
        <v>2</v>
      </c>
      <c r="F524" s="13" t="s">
        <v>242</v>
      </c>
      <c r="G524" s="117">
        <v>5.4999999999999997E-3</v>
      </c>
      <c r="H524" s="14" t="s">
        <v>165</v>
      </c>
      <c r="I524" s="14" t="s">
        <v>165</v>
      </c>
      <c r="J524" s="14" t="s">
        <v>165</v>
      </c>
      <c r="K524" s="14">
        <v>12.68</v>
      </c>
      <c r="L524" s="14" t="s">
        <v>297</v>
      </c>
      <c r="M524" s="14" t="s">
        <v>288</v>
      </c>
      <c r="N524" s="14">
        <v>63.5</v>
      </c>
      <c r="O524" s="14">
        <v>0</v>
      </c>
      <c r="P524" s="14">
        <v>0</v>
      </c>
      <c r="Q524" s="14">
        <v>33.799999999999997</v>
      </c>
      <c r="R524" s="127">
        <f>IF(Table36[[#This Row],[ Bran Content]]="-","-",IF(G524&lt;0.02,1,0))</f>
        <v>1</v>
      </c>
      <c r="S524" s="127">
        <f>IF(Table36[[#This Row],[Sieve Test]]="-","-",IF(Table36[[#This Row],[Sieve Test]]="P",1,0))</f>
        <v>1</v>
      </c>
      <c r="T524" s="127">
        <f>IF(Table36[[#This Row],[Odor]]="-","-",IF(Table36[[#This Row],[Odor]]="P",1,0))</f>
        <v>1</v>
      </c>
      <c r="U524" s="127">
        <f>IF(INDEX(MCmin,MATCH(Table36[[#This Row],[Grist]],SMI,0))="-","-",IF(Table36[[#This Row],[F1 %MC]]="-","-",IF(Table36[[#This Row],[F1 %MC]]&lt;INDEX(MCmin,MATCH(Table36[[#This Row],[Grist]],SMI,0)),0,IF(Table36[[#This Row],[F1 %MC]]&gt;INDEX(MCmax,MATCH(Table36[[#This Row],[Grist]],SMI,0)),0,1))))</f>
        <v>1</v>
      </c>
      <c r="V524" s="127">
        <f>IF(INDEX(Protmin,MATCH(Table36[[#This Row],[Grist]],SMI,0))="-","-",IF(Table36[[#This Row],[%Protein]]="-","-",IF(Table36[[#This Row],[%Protein]]&lt;INDEX(Protmin,MATCH(Table36[[#This Row],[Grist]],SMI,0)),0,IF(Table36[[#This Row],[%Protein]]&gt;INDEX(Protmax,MATCH(Table36[[#This Row],[Grist]],SMI,0)),0,1))))</f>
        <v>0</v>
      </c>
      <c r="W524" s="127">
        <f>IF(INDEX(Ashmin,MATCH(Table36[[#This Row],[Grist]],SMI,0))="-","-",IF(Table36[[#This Row],[%Ash]]="-","-",IF(Table36[[#This Row],[%Ash]]&lt;INDEX(Ashmin,MATCH(Table36[[#This Row],[Grist]],SMI,0)),0,IF(Table36[[#This Row],[%Ash]]&gt;INDEX(Ashmax,MATCH(Table36[[#This Row],[Grist]],SMI,0)),0,1))))</f>
        <v>0</v>
      </c>
      <c r="X524" s="127">
        <f>IF(INDEX(Absmin,MATCH(Table36[[#This Row],[Grist]],SMI,0))="-","-",IF(Table36[[#This Row],[%Absorption]]="-","-",IF(Table36[[#This Row],[%Absorption]]&lt;INDEX(Absmin,MATCH(Table36[[#This Row],[Grist]],SMI,0)),0,IF(Table36[[#This Row],[%Absorption]]&gt;INDEX(Absmax,MATCH(Table36[[#This Row],[Grist]],SMI,0)),0,1))))</f>
        <v>1</v>
      </c>
      <c r="Y524" s="127">
        <f>IF(INDEX(Extmin,MATCH(Table36[[#This Row],[Grist]],SMI,0))="-","-",IF(Table36[[#This Row],[%Extensibility]]="-","-",IF(Table36[[#This Row],[%Extensibility]]&lt;INDEX(Extmin,MATCH(Table36[[#This Row],[Grist]],SMI,0)),0,IF(Table36[[#This Row],[%Extensibility]]&gt;INDEX(Extmax,MATCH(Table36[[#This Row],[Grist]],SMI,0)),0,1))))</f>
        <v>0</v>
      </c>
      <c r="Z524" s="127">
        <f>IF(INDEX(Resmin,MATCH(Table36[[#This Row],[Grist]],SMI,0))="-","-",IF(Table36[[#This Row],[Resistance, max]]="-","-",IF(Table36[[#This Row],[Resistance, max]]&lt;INDEX(Resmin,MATCH(Table36[[#This Row],[Grist]],SMI,0)),0,IF(Table36[[#This Row],[Resistance, max]]&gt;INDEX(Resmax,MATCH(Table36[[#This Row],[Grist]],SMI,0)),0,1))))</f>
        <v>0</v>
      </c>
      <c r="AA524" s="127">
        <f>IF(INDEX(WGmin,MATCH(Table36[[#This Row],[Grist]],SMI,0))="-","-",IF(Table36[[#This Row],[%Wet Gluten]]="-","-",IF(Table36[[#This Row],[%Wet Gluten]]&lt;INDEX(WGmin,MATCH(Table36[[#This Row],[Grist]],SMI,0)),0,IF(Table36[[#This Row],[%Wet Gluten]]&gt;INDEX(WGmax,MATCH(Table36[[#This Row],[Grist]],SMI,0)),0,1))))</f>
        <v>1</v>
      </c>
      <c r="AB524" s="127">
        <f>SUM(Table36[[#This Row],[ QI Bran Content]:[QI WG]])</f>
        <v>6</v>
      </c>
      <c r="AC524" s="127">
        <f>COUNT(Table36[[#This Row],[ QI Bran Content]:[QI WG]])</f>
        <v>10</v>
      </c>
    </row>
    <row r="525" spans="1:29" x14ac:dyDescent="0.35">
      <c r="A525" s="11">
        <v>45350</v>
      </c>
      <c r="B525" s="70">
        <v>45350</v>
      </c>
      <c r="C525" s="70" t="s">
        <v>128</v>
      </c>
      <c r="D525" s="28">
        <v>0.79166666666666596</v>
      </c>
      <c r="E525" s="12" t="s">
        <v>2</v>
      </c>
      <c r="F525" s="13" t="s">
        <v>242</v>
      </c>
      <c r="G525" s="117">
        <v>6.7999999999999996E-3</v>
      </c>
      <c r="H525" s="14" t="s">
        <v>165</v>
      </c>
      <c r="I525" s="14" t="s">
        <v>165</v>
      </c>
      <c r="J525" s="14" t="s">
        <v>165</v>
      </c>
      <c r="K525" s="14">
        <v>13.06</v>
      </c>
      <c r="L525" s="14" t="s">
        <v>297</v>
      </c>
      <c r="M525" s="14" t="s">
        <v>288</v>
      </c>
      <c r="N525" s="14">
        <v>63.5</v>
      </c>
      <c r="O525" s="14">
        <v>0</v>
      </c>
      <c r="P525" s="14">
        <v>0</v>
      </c>
      <c r="Q525" s="14">
        <v>33.799999999999997</v>
      </c>
      <c r="R525" s="127">
        <f>IF(Table36[[#This Row],[ Bran Content]]="-","-",IF(G525&lt;0.02,1,0))</f>
        <v>1</v>
      </c>
      <c r="S525" s="127">
        <f>IF(Table36[[#This Row],[Sieve Test]]="-","-",IF(Table36[[#This Row],[Sieve Test]]="P",1,0))</f>
        <v>1</v>
      </c>
      <c r="T525" s="127">
        <f>IF(Table36[[#This Row],[Odor]]="-","-",IF(Table36[[#This Row],[Odor]]="P",1,0))</f>
        <v>1</v>
      </c>
      <c r="U525" s="127">
        <f>IF(INDEX(MCmin,MATCH(Table36[[#This Row],[Grist]],SMI,0))="-","-",IF(Table36[[#This Row],[F1 %MC]]="-","-",IF(Table36[[#This Row],[F1 %MC]]&lt;INDEX(MCmin,MATCH(Table36[[#This Row],[Grist]],SMI,0)),0,IF(Table36[[#This Row],[F1 %MC]]&gt;INDEX(MCmax,MATCH(Table36[[#This Row],[Grist]],SMI,0)),0,1))))</f>
        <v>1</v>
      </c>
      <c r="V525" s="127">
        <f>IF(INDEX(Protmin,MATCH(Table36[[#This Row],[Grist]],SMI,0))="-","-",IF(Table36[[#This Row],[%Protein]]="-","-",IF(Table36[[#This Row],[%Protein]]&lt;INDEX(Protmin,MATCH(Table36[[#This Row],[Grist]],SMI,0)),0,IF(Table36[[#This Row],[%Protein]]&gt;INDEX(Protmax,MATCH(Table36[[#This Row],[Grist]],SMI,0)),0,1))))</f>
        <v>0</v>
      </c>
      <c r="W525" s="127">
        <f>IF(INDEX(Ashmin,MATCH(Table36[[#This Row],[Grist]],SMI,0))="-","-",IF(Table36[[#This Row],[%Ash]]="-","-",IF(Table36[[#This Row],[%Ash]]&lt;INDEX(Ashmin,MATCH(Table36[[#This Row],[Grist]],SMI,0)),0,IF(Table36[[#This Row],[%Ash]]&gt;INDEX(Ashmax,MATCH(Table36[[#This Row],[Grist]],SMI,0)),0,1))))</f>
        <v>0</v>
      </c>
      <c r="X525" s="127">
        <f>IF(INDEX(Absmin,MATCH(Table36[[#This Row],[Grist]],SMI,0))="-","-",IF(Table36[[#This Row],[%Absorption]]="-","-",IF(Table36[[#This Row],[%Absorption]]&lt;INDEX(Absmin,MATCH(Table36[[#This Row],[Grist]],SMI,0)),0,IF(Table36[[#This Row],[%Absorption]]&gt;INDEX(Absmax,MATCH(Table36[[#This Row],[Grist]],SMI,0)),0,1))))</f>
        <v>1</v>
      </c>
      <c r="Y525" s="127">
        <f>IF(INDEX(Extmin,MATCH(Table36[[#This Row],[Grist]],SMI,0))="-","-",IF(Table36[[#This Row],[%Extensibility]]="-","-",IF(Table36[[#This Row],[%Extensibility]]&lt;INDEX(Extmin,MATCH(Table36[[#This Row],[Grist]],SMI,0)),0,IF(Table36[[#This Row],[%Extensibility]]&gt;INDEX(Extmax,MATCH(Table36[[#This Row],[Grist]],SMI,0)),0,1))))</f>
        <v>0</v>
      </c>
      <c r="Z525" s="127">
        <f>IF(INDEX(Resmin,MATCH(Table36[[#This Row],[Grist]],SMI,0))="-","-",IF(Table36[[#This Row],[Resistance, max]]="-","-",IF(Table36[[#This Row],[Resistance, max]]&lt;INDEX(Resmin,MATCH(Table36[[#This Row],[Grist]],SMI,0)),0,IF(Table36[[#This Row],[Resistance, max]]&gt;INDEX(Resmax,MATCH(Table36[[#This Row],[Grist]],SMI,0)),0,1))))</f>
        <v>0</v>
      </c>
      <c r="AA525" s="127">
        <f>IF(INDEX(WGmin,MATCH(Table36[[#This Row],[Grist]],SMI,0))="-","-",IF(Table36[[#This Row],[%Wet Gluten]]="-","-",IF(Table36[[#This Row],[%Wet Gluten]]&lt;INDEX(WGmin,MATCH(Table36[[#This Row],[Grist]],SMI,0)),0,IF(Table36[[#This Row],[%Wet Gluten]]&gt;INDEX(WGmax,MATCH(Table36[[#This Row],[Grist]],SMI,0)),0,1))))</f>
        <v>1</v>
      </c>
      <c r="AB525" s="127">
        <f>SUM(Table36[[#This Row],[ QI Bran Content]:[QI WG]])</f>
        <v>6</v>
      </c>
      <c r="AC525" s="127">
        <f>COUNT(Table36[[#This Row],[ QI Bran Content]:[QI WG]])</f>
        <v>10</v>
      </c>
    </row>
    <row r="526" spans="1:29" x14ac:dyDescent="0.35">
      <c r="A526" s="11">
        <v>45350</v>
      </c>
      <c r="B526" s="70">
        <v>45350</v>
      </c>
      <c r="C526" s="70" t="s">
        <v>128</v>
      </c>
      <c r="D526" s="28">
        <v>0.874999999999999</v>
      </c>
      <c r="E526" s="12" t="s">
        <v>2</v>
      </c>
      <c r="F526" s="13" t="s">
        <v>242</v>
      </c>
      <c r="G526" s="117" t="s">
        <v>298</v>
      </c>
      <c r="H526" s="14" t="s">
        <v>165</v>
      </c>
      <c r="I526" s="14" t="s">
        <v>165</v>
      </c>
      <c r="J526" s="14" t="s">
        <v>165</v>
      </c>
      <c r="K526" s="14">
        <v>12.92</v>
      </c>
      <c r="L526" s="14" t="s">
        <v>297</v>
      </c>
      <c r="M526" s="14" t="s">
        <v>288</v>
      </c>
      <c r="N526" s="14">
        <v>63.5</v>
      </c>
      <c r="O526" s="14">
        <v>0</v>
      </c>
      <c r="P526" s="14">
        <v>0</v>
      </c>
      <c r="Q526" s="14">
        <v>33.799999999999997</v>
      </c>
      <c r="R526" s="127">
        <f>IF(Table36[[#This Row],[ Bran Content]]="-","-",IF(G526&lt;0.02,1,0))</f>
        <v>0</v>
      </c>
      <c r="S526" s="127">
        <f>IF(Table36[[#This Row],[Sieve Test]]="-","-",IF(Table36[[#This Row],[Sieve Test]]="P",1,0))</f>
        <v>1</v>
      </c>
      <c r="T526" s="127">
        <f>IF(Table36[[#This Row],[Odor]]="-","-",IF(Table36[[#This Row],[Odor]]="P",1,0))</f>
        <v>1</v>
      </c>
      <c r="U526" s="127">
        <f>IF(INDEX(MCmin,MATCH(Table36[[#This Row],[Grist]],SMI,0))="-","-",IF(Table36[[#This Row],[F1 %MC]]="-","-",IF(Table36[[#This Row],[F1 %MC]]&lt;INDEX(MCmin,MATCH(Table36[[#This Row],[Grist]],SMI,0)),0,IF(Table36[[#This Row],[F1 %MC]]&gt;INDEX(MCmax,MATCH(Table36[[#This Row],[Grist]],SMI,0)),0,1))))</f>
        <v>1</v>
      </c>
      <c r="V526" s="127">
        <f>IF(INDEX(Protmin,MATCH(Table36[[#This Row],[Grist]],SMI,0))="-","-",IF(Table36[[#This Row],[%Protein]]="-","-",IF(Table36[[#This Row],[%Protein]]&lt;INDEX(Protmin,MATCH(Table36[[#This Row],[Grist]],SMI,0)),0,IF(Table36[[#This Row],[%Protein]]&gt;INDEX(Protmax,MATCH(Table36[[#This Row],[Grist]],SMI,0)),0,1))))</f>
        <v>0</v>
      </c>
      <c r="W526" s="127">
        <f>IF(INDEX(Ashmin,MATCH(Table36[[#This Row],[Grist]],SMI,0))="-","-",IF(Table36[[#This Row],[%Ash]]="-","-",IF(Table36[[#This Row],[%Ash]]&lt;INDEX(Ashmin,MATCH(Table36[[#This Row],[Grist]],SMI,0)),0,IF(Table36[[#This Row],[%Ash]]&gt;INDEX(Ashmax,MATCH(Table36[[#This Row],[Grist]],SMI,0)),0,1))))</f>
        <v>0</v>
      </c>
      <c r="X526" s="127">
        <f>IF(INDEX(Absmin,MATCH(Table36[[#This Row],[Grist]],SMI,0))="-","-",IF(Table36[[#This Row],[%Absorption]]="-","-",IF(Table36[[#This Row],[%Absorption]]&lt;INDEX(Absmin,MATCH(Table36[[#This Row],[Grist]],SMI,0)),0,IF(Table36[[#This Row],[%Absorption]]&gt;INDEX(Absmax,MATCH(Table36[[#This Row],[Grist]],SMI,0)),0,1))))</f>
        <v>1</v>
      </c>
      <c r="Y526" s="127">
        <f>IF(INDEX(Extmin,MATCH(Table36[[#This Row],[Grist]],SMI,0))="-","-",IF(Table36[[#This Row],[%Extensibility]]="-","-",IF(Table36[[#This Row],[%Extensibility]]&lt;INDEX(Extmin,MATCH(Table36[[#This Row],[Grist]],SMI,0)),0,IF(Table36[[#This Row],[%Extensibility]]&gt;INDEX(Extmax,MATCH(Table36[[#This Row],[Grist]],SMI,0)),0,1))))</f>
        <v>0</v>
      </c>
      <c r="Z526" s="127">
        <f>IF(INDEX(Resmin,MATCH(Table36[[#This Row],[Grist]],SMI,0))="-","-",IF(Table36[[#This Row],[Resistance, max]]="-","-",IF(Table36[[#This Row],[Resistance, max]]&lt;INDEX(Resmin,MATCH(Table36[[#This Row],[Grist]],SMI,0)),0,IF(Table36[[#This Row],[Resistance, max]]&gt;INDEX(Resmax,MATCH(Table36[[#This Row],[Grist]],SMI,0)),0,1))))</f>
        <v>0</v>
      </c>
      <c r="AA526" s="127">
        <f>IF(INDEX(WGmin,MATCH(Table36[[#This Row],[Grist]],SMI,0))="-","-",IF(Table36[[#This Row],[%Wet Gluten]]="-","-",IF(Table36[[#This Row],[%Wet Gluten]]&lt;INDEX(WGmin,MATCH(Table36[[#This Row],[Grist]],SMI,0)),0,IF(Table36[[#This Row],[%Wet Gluten]]&gt;INDEX(WGmax,MATCH(Table36[[#This Row],[Grist]],SMI,0)),0,1))))</f>
        <v>1</v>
      </c>
      <c r="AB526" s="127">
        <f>SUM(Table36[[#This Row],[ QI Bran Content]:[QI WG]])</f>
        <v>5</v>
      </c>
      <c r="AC526" s="127">
        <f>COUNT(Table36[[#This Row],[ QI Bran Content]:[QI WG]])</f>
        <v>10</v>
      </c>
    </row>
    <row r="527" spans="1:29" x14ac:dyDescent="0.35">
      <c r="A527" s="11">
        <v>45350</v>
      </c>
      <c r="B527" s="70">
        <v>45350</v>
      </c>
      <c r="C527" s="70" t="s">
        <v>130</v>
      </c>
      <c r="D527" s="28">
        <v>0.95833333333333337</v>
      </c>
      <c r="E527" s="12" t="s">
        <v>0</v>
      </c>
      <c r="F527" s="13" t="s">
        <v>32</v>
      </c>
      <c r="G527" s="117">
        <v>3.2000000000000002E-3</v>
      </c>
      <c r="H527" s="14" t="s">
        <v>165</v>
      </c>
      <c r="I527" s="14" t="s">
        <v>165</v>
      </c>
      <c r="J527" s="14" t="s">
        <v>165</v>
      </c>
      <c r="K527" s="14">
        <v>12.38</v>
      </c>
      <c r="L527" s="14">
        <v>0</v>
      </c>
      <c r="M527" s="14">
        <v>0</v>
      </c>
      <c r="N527" s="14">
        <v>0</v>
      </c>
      <c r="O527" s="14">
        <v>0</v>
      </c>
      <c r="P527" s="14">
        <v>0</v>
      </c>
      <c r="Q527" s="14">
        <v>0</v>
      </c>
      <c r="R527" s="127">
        <f>IF(Table36[[#This Row],[ Bran Content]]="-","-",IF(G527&lt;0.02,1,0))</f>
        <v>1</v>
      </c>
      <c r="S527" s="127">
        <f>IF(Table36[[#This Row],[Sieve Test]]="-","-",IF(Table36[[#This Row],[Sieve Test]]="P",1,0))</f>
        <v>1</v>
      </c>
      <c r="T527" s="127">
        <f>IF(Table36[[#This Row],[Odor]]="-","-",IF(Table36[[#This Row],[Odor]]="P",1,0))</f>
        <v>1</v>
      </c>
      <c r="U527" s="127">
        <f>IF(INDEX(MCmin,MATCH(Table36[[#This Row],[Grist]],SMI,0))="-","-",IF(Table36[[#This Row],[F1 %MC]]="-","-",IF(Table36[[#This Row],[F1 %MC]]&lt;INDEX(MCmin,MATCH(Table36[[#This Row],[Grist]],SMI,0)),0,IF(Table36[[#This Row],[F1 %MC]]&gt;INDEX(MCmax,MATCH(Table36[[#This Row],[Grist]],SMI,0)),0,1))))</f>
        <v>1</v>
      </c>
      <c r="V527" s="127">
        <f>IF(INDEX(Protmin,MATCH(Table36[[#This Row],[Grist]],SMI,0))="-","-",IF(Table36[[#This Row],[%Protein]]="-","-",IF(Table36[[#This Row],[%Protein]]&lt;INDEX(Protmin,MATCH(Table36[[#This Row],[Grist]],SMI,0)),0,IF(Table36[[#This Row],[%Protein]]&gt;INDEX(Protmax,MATCH(Table36[[#This Row],[Grist]],SMI,0)),0,1))))</f>
        <v>0</v>
      </c>
      <c r="W527" s="127">
        <f>IF(INDEX(Ashmin,MATCH(Table36[[#This Row],[Grist]],SMI,0))="-","-",IF(Table36[[#This Row],[%Ash]]="-","-",IF(Table36[[#This Row],[%Ash]]&lt;INDEX(Ashmin,MATCH(Table36[[#This Row],[Grist]],SMI,0)),0,IF(Table36[[#This Row],[%Ash]]&gt;INDEX(Ashmax,MATCH(Table36[[#This Row],[Grist]],SMI,0)),0,1))))</f>
        <v>1</v>
      </c>
      <c r="X527" s="127">
        <f>IF(INDEX(Absmin,MATCH(Table36[[#This Row],[Grist]],SMI,0))="-","-",IF(Table36[[#This Row],[%Absorption]]="-","-",IF(Table36[[#This Row],[%Absorption]]&lt;INDEX(Absmin,MATCH(Table36[[#This Row],[Grist]],SMI,0)),0,IF(Table36[[#This Row],[%Absorption]]&gt;INDEX(Absmax,MATCH(Table36[[#This Row],[Grist]],SMI,0)),0,1))))</f>
        <v>0</v>
      </c>
      <c r="Y527" s="127">
        <f>IF(INDEX(Extmin,MATCH(Table36[[#This Row],[Grist]],SMI,0))="-","-",IF(Table36[[#This Row],[%Extensibility]]="-","-",IF(Table36[[#This Row],[%Extensibility]]&lt;INDEX(Extmin,MATCH(Table36[[#This Row],[Grist]],SMI,0)),0,IF(Table36[[#This Row],[%Extensibility]]&gt;INDEX(Extmax,MATCH(Table36[[#This Row],[Grist]],SMI,0)),0,1))))</f>
        <v>0</v>
      </c>
      <c r="Z527" s="127">
        <f>IF(INDEX(Resmin,MATCH(Table36[[#This Row],[Grist]],SMI,0))="-","-",IF(Table36[[#This Row],[Resistance, max]]="-","-",IF(Table36[[#This Row],[Resistance, max]]&lt;INDEX(Resmin,MATCH(Table36[[#This Row],[Grist]],SMI,0)),0,IF(Table36[[#This Row],[Resistance, max]]&gt;INDEX(Resmax,MATCH(Table36[[#This Row],[Grist]],SMI,0)),0,1))))</f>
        <v>0</v>
      </c>
      <c r="AA527" s="127">
        <f>IF(INDEX(WGmin,MATCH(Table36[[#This Row],[Grist]],SMI,0))="-","-",IF(Table36[[#This Row],[%Wet Gluten]]="-","-",IF(Table36[[#This Row],[%Wet Gluten]]&lt;INDEX(WGmin,MATCH(Table36[[#This Row],[Grist]],SMI,0)),0,IF(Table36[[#This Row],[%Wet Gluten]]&gt;INDEX(WGmax,MATCH(Table36[[#This Row],[Grist]],SMI,0)),0,1))))</f>
        <v>0</v>
      </c>
      <c r="AB527" s="127">
        <f>SUM(Table36[[#This Row],[ QI Bran Content]:[QI WG]])</f>
        <v>5</v>
      </c>
      <c r="AC527" s="127">
        <f>COUNT(Table36[[#This Row],[ QI Bran Content]:[QI WG]])</f>
        <v>10</v>
      </c>
    </row>
    <row r="528" spans="1:29" x14ac:dyDescent="0.35">
      <c r="A528" s="11">
        <v>45350</v>
      </c>
      <c r="B528" s="70">
        <v>45350</v>
      </c>
      <c r="C528" s="70" t="s">
        <v>130</v>
      </c>
      <c r="D528" s="28">
        <v>1.0416666666666701</v>
      </c>
      <c r="E528" s="12" t="s">
        <v>0</v>
      </c>
      <c r="F528" s="13" t="s">
        <v>32</v>
      </c>
      <c r="G528" s="117">
        <v>4.8999999999999998E-3</v>
      </c>
      <c r="H528" s="14" t="s">
        <v>165</v>
      </c>
      <c r="I528" s="14" t="s">
        <v>165</v>
      </c>
      <c r="J528" s="14" t="s">
        <v>165</v>
      </c>
      <c r="K528" s="14">
        <v>13.14</v>
      </c>
      <c r="L528" s="14">
        <v>0</v>
      </c>
      <c r="M528" s="14">
        <v>0</v>
      </c>
      <c r="N528" s="14">
        <v>0</v>
      </c>
      <c r="O528" s="14">
        <v>0</v>
      </c>
      <c r="P528" s="14">
        <v>0</v>
      </c>
      <c r="Q528" s="14">
        <v>0</v>
      </c>
      <c r="R528" s="127">
        <f>IF(Table36[[#This Row],[ Bran Content]]="-","-",IF(G528&lt;0.02,1,0))</f>
        <v>1</v>
      </c>
      <c r="S528" s="127">
        <f>IF(Table36[[#This Row],[Sieve Test]]="-","-",IF(Table36[[#This Row],[Sieve Test]]="P",1,0))</f>
        <v>1</v>
      </c>
      <c r="T528" s="127">
        <f>IF(Table36[[#This Row],[Odor]]="-","-",IF(Table36[[#This Row],[Odor]]="P",1,0))</f>
        <v>1</v>
      </c>
      <c r="U528" s="127">
        <f>IF(INDEX(MCmin,MATCH(Table36[[#This Row],[Grist]],SMI,0))="-","-",IF(Table36[[#This Row],[F1 %MC]]="-","-",IF(Table36[[#This Row],[F1 %MC]]&lt;INDEX(MCmin,MATCH(Table36[[#This Row],[Grist]],SMI,0)),0,IF(Table36[[#This Row],[F1 %MC]]&gt;INDEX(MCmax,MATCH(Table36[[#This Row],[Grist]],SMI,0)),0,1))))</f>
        <v>1</v>
      </c>
      <c r="V528" s="127">
        <f>IF(INDEX(Protmin,MATCH(Table36[[#This Row],[Grist]],SMI,0))="-","-",IF(Table36[[#This Row],[%Protein]]="-","-",IF(Table36[[#This Row],[%Protein]]&lt;INDEX(Protmin,MATCH(Table36[[#This Row],[Grist]],SMI,0)),0,IF(Table36[[#This Row],[%Protein]]&gt;INDEX(Protmax,MATCH(Table36[[#This Row],[Grist]],SMI,0)),0,1))))</f>
        <v>0</v>
      </c>
      <c r="W528" s="127">
        <f>IF(INDEX(Ashmin,MATCH(Table36[[#This Row],[Grist]],SMI,0))="-","-",IF(Table36[[#This Row],[%Ash]]="-","-",IF(Table36[[#This Row],[%Ash]]&lt;INDEX(Ashmin,MATCH(Table36[[#This Row],[Grist]],SMI,0)),0,IF(Table36[[#This Row],[%Ash]]&gt;INDEX(Ashmax,MATCH(Table36[[#This Row],[Grist]],SMI,0)),0,1))))</f>
        <v>1</v>
      </c>
      <c r="X528" s="127">
        <f>IF(INDEX(Absmin,MATCH(Table36[[#This Row],[Grist]],SMI,0))="-","-",IF(Table36[[#This Row],[%Absorption]]="-","-",IF(Table36[[#This Row],[%Absorption]]&lt;INDEX(Absmin,MATCH(Table36[[#This Row],[Grist]],SMI,0)),0,IF(Table36[[#This Row],[%Absorption]]&gt;INDEX(Absmax,MATCH(Table36[[#This Row],[Grist]],SMI,0)),0,1))))</f>
        <v>0</v>
      </c>
      <c r="Y528" s="127">
        <f>IF(INDEX(Extmin,MATCH(Table36[[#This Row],[Grist]],SMI,0))="-","-",IF(Table36[[#This Row],[%Extensibility]]="-","-",IF(Table36[[#This Row],[%Extensibility]]&lt;INDEX(Extmin,MATCH(Table36[[#This Row],[Grist]],SMI,0)),0,IF(Table36[[#This Row],[%Extensibility]]&gt;INDEX(Extmax,MATCH(Table36[[#This Row],[Grist]],SMI,0)),0,1))))</f>
        <v>0</v>
      </c>
      <c r="Z528" s="127">
        <f>IF(INDEX(Resmin,MATCH(Table36[[#This Row],[Grist]],SMI,0))="-","-",IF(Table36[[#This Row],[Resistance, max]]="-","-",IF(Table36[[#This Row],[Resistance, max]]&lt;INDEX(Resmin,MATCH(Table36[[#This Row],[Grist]],SMI,0)),0,IF(Table36[[#This Row],[Resistance, max]]&gt;INDEX(Resmax,MATCH(Table36[[#This Row],[Grist]],SMI,0)),0,1))))</f>
        <v>0</v>
      </c>
      <c r="AA528" s="127">
        <f>IF(INDEX(WGmin,MATCH(Table36[[#This Row],[Grist]],SMI,0))="-","-",IF(Table36[[#This Row],[%Wet Gluten]]="-","-",IF(Table36[[#This Row],[%Wet Gluten]]&lt;INDEX(WGmin,MATCH(Table36[[#This Row],[Grist]],SMI,0)),0,IF(Table36[[#This Row],[%Wet Gluten]]&gt;INDEX(WGmax,MATCH(Table36[[#This Row],[Grist]],SMI,0)),0,1))))</f>
        <v>0</v>
      </c>
      <c r="AB528" s="127">
        <f>SUM(Table36[[#This Row],[ QI Bran Content]:[QI WG]])</f>
        <v>5</v>
      </c>
      <c r="AC528" s="127">
        <f>COUNT(Table36[[#This Row],[ QI Bran Content]:[QI WG]])</f>
        <v>10</v>
      </c>
    </row>
    <row r="529" spans="1:29" x14ac:dyDescent="0.35">
      <c r="A529" s="11">
        <v>45350</v>
      </c>
      <c r="B529" s="70">
        <v>45350</v>
      </c>
      <c r="C529" s="70" t="s">
        <v>130</v>
      </c>
      <c r="D529" s="28">
        <v>1.125</v>
      </c>
      <c r="E529" s="12" t="s">
        <v>0</v>
      </c>
      <c r="F529" s="13" t="s">
        <v>48</v>
      </c>
      <c r="G529" s="117">
        <v>3.5999999999999999E-3</v>
      </c>
      <c r="H529" s="14" t="s">
        <v>165</v>
      </c>
      <c r="I529" s="14" t="s">
        <v>165</v>
      </c>
      <c r="J529" s="14" t="s">
        <v>165</v>
      </c>
      <c r="K529" s="14">
        <v>12.72</v>
      </c>
      <c r="L529" s="14">
        <v>0</v>
      </c>
      <c r="M529" s="14">
        <v>0</v>
      </c>
      <c r="N529" s="14">
        <v>0</v>
      </c>
      <c r="O529" s="14">
        <v>0</v>
      </c>
      <c r="P529" s="14">
        <v>0</v>
      </c>
      <c r="Q529" s="14">
        <v>0</v>
      </c>
      <c r="R529" s="127">
        <f>IF(Table36[[#This Row],[ Bran Content]]="-","-",IF(G529&lt;0.02,1,0))</f>
        <v>1</v>
      </c>
      <c r="S529" s="127">
        <f>IF(Table36[[#This Row],[Sieve Test]]="-","-",IF(Table36[[#This Row],[Sieve Test]]="P",1,0))</f>
        <v>1</v>
      </c>
      <c r="T529" s="127">
        <f>IF(Table36[[#This Row],[Odor]]="-","-",IF(Table36[[#This Row],[Odor]]="P",1,0))</f>
        <v>1</v>
      </c>
      <c r="U529" s="127" t="str">
        <f>IF(INDEX(MCmin,MATCH(Table36[[#This Row],[Grist]],SMI,0))="-","-",IF(Table36[[#This Row],[F1 %MC]]="-","-",IF(Table36[[#This Row],[F1 %MC]]&lt;INDEX(MCmin,MATCH(Table36[[#This Row],[Grist]],SMI,0)),0,IF(Table36[[#This Row],[F1 %MC]]&gt;INDEX(MCmax,MATCH(Table36[[#This Row],[Grist]],SMI,0)),0,1))))</f>
        <v>-</v>
      </c>
      <c r="V529" s="127">
        <f>IF(INDEX(Protmin,MATCH(Table36[[#This Row],[Grist]],SMI,0))="-","-",IF(Table36[[#This Row],[%Protein]]="-","-",IF(Table36[[#This Row],[%Protein]]&lt;INDEX(Protmin,MATCH(Table36[[#This Row],[Grist]],SMI,0)),0,IF(Table36[[#This Row],[%Protein]]&gt;INDEX(Protmax,MATCH(Table36[[#This Row],[Grist]],SMI,0)),0,1))))</f>
        <v>1</v>
      </c>
      <c r="W529" s="127" t="str">
        <f>IF(INDEX(Ashmin,MATCH(Table36[[#This Row],[Grist]],SMI,0))="-","-",IF(Table36[[#This Row],[%Ash]]="-","-",IF(Table36[[#This Row],[%Ash]]&lt;INDEX(Ashmin,MATCH(Table36[[#This Row],[Grist]],SMI,0)),0,IF(Table36[[#This Row],[%Ash]]&gt;INDEX(Ashmax,MATCH(Table36[[#This Row],[Grist]],SMI,0)),0,1))))</f>
        <v>-</v>
      </c>
      <c r="X529" s="127" t="str">
        <f>IF(INDEX(Absmin,MATCH(Table36[[#This Row],[Grist]],SMI,0))="-","-",IF(Table36[[#This Row],[%Absorption]]="-","-",IF(Table36[[#This Row],[%Absorption]]&lt;INDEX(Absmin,MATCH(Table36[[#This Row],[Grist]],SMI,0)),0,IF(Table36[[#This Row],[%Absorption]]&gt;INDEX(Absmax,MATCH(Table36[[#This Row],[Grist]],SMI,0)),0,1))))</f>
        <v>-</v>
      </c>
      <c r="Y529" s="127" t="str">
        <f>IF(INDEX(Extmin,MATCH(Table36[[#This Row],[Grist]],SMI,0))="-","-",IF(Table36[[#This Row],[%Extensibility]]="-","-",IF(Table36[[#This Row],[%Extensibility]]&lt;INDEX(Extmin,MATCH(Table36[[#This Row],[Grist]],SMI,0)),0,IF(Table36[[#This Row],[%Extensibility]]&gt;INDEX(Extmax,MATCH(Table36[[#This Row],[Grist]],SMI,0)),0,1))))</f>
        <v>-</v>
      </c>
      <c r="Z529" s="127" t="str">
        <f>IF(INDEX(Resmin,MATCH(Table36[[#This Row],[Grist]],SMI,0))="-","-",IF(Table36[[#This Row],[Resistance, max]]="-","-",IF(Table36[[#This Row],[Resistance, max]]&lt;INDEX(Resmin,MATCH(Table36[[#This Row],[Grist]],SMI,0)),0,IF(Table36[[#This Row],[Resistance, max]]&gt;INDEX(Resmax,MATCH(Table36[[#This Row],[Grist]],SMI,0)),0,1))))</f>
        <v>-</v>
      </c>
      <c r="AA529" s="127" t="str">
        <f>IF(INDEX(WGmin,MATCH(Table36[[#This Row],[Grist]],SMI,0))="-","-",IF(Table36[[#This Row],[%Wet Gluten]]="-","-",IF(Table36[[#This Row],[%Wet Gluten]]&lt;INDEX(WGmin,MATCH(Table36[[#This Row],[Grist]],SMI,0)),0,IF(Table36[[#This Row],[%Wet Gluten]]&gt;INDEX(WGmax,MATCH(Table36[[#This Row],[Grist]],SMI,0)),0,1))))</f>
        <v>-</v>
      </c>
      <c r="AB529" s="127">
        <f>SUM(Table36[[#This Row],[ QI Bran Content]:[QI WG]])</f>
        <v>4</v>
      </c>
      <c r="AC529" s="127">
        <f>COUNT(Table36[[#This Row],[ QI Bran Content]:[QI WG]])</f>
        <v>4</v>
      </c>
    </row>
    <row r="530" spans="1:29" x14ac:dyDescent="0.35">
      <c r="A530" s="11">
        <v>45350</v>
      </c>
      <c r="B530" s="70">
        <v>45350</v>
      </c>
      <c r="C530" s="70" t="s">
        <v>130</v>
      </c>
      <c r="D530" s="28">
        <v>1.2083333333333299</v>
      </c>
      <c r="E530" s="12" t="s">
        <v>0</v>
      </c>
      <c r="F530" s="13" t="s">
        <v>48</v>
      </c>
      <c r="G530" s="117">
        <v>2.7000000000000001E-3</v>
      </c>
      <c r="H530" s="14" t="s">
        <v>165</v>
      </c>
      <c r="I530" s="14" t="s">
        <v>165</v>
      </c>
      <c r="J530" s="14" t="s">
        <v>165</v>
      </c>
      <c r="K530" s="14">
        <v>13.02</v>
      </c>
      <c r="L530" s="14">
        <v>0</v>
      </c>
      <c r="M530" s="14">
        <v>0</v>
      </c>
      <c r="N530" s="14">
        <v>0</v>
      </c>
      <c r="O530" s="14">
        <v>0</v>
      </c>
      <c r="P530" s="14">
        <v>0</v>
      </c>
      <c r="Q530" s="14">
        <v>0</v>
      </c>
      <c r="R530" s="127">
        <f>IF(Table36[[#This Row],[ Bran Content]]="-","-",IF(G530&lt;0.02,1,0))</f>
        <v>1</v>
      </c>
      <c r="S530" s="127">
        <f>IF(Table36[[#This Row],[Sieve Test]]="-","-",IF(Table36[[#This Row],[Sieve Test]]="P",1,0))</f>
        <v>1</v>
      </c>
      <c r="T530" s="127">
        <f>IF(Table36[[#This Row],[Odor]]="-","-",IF(Table36[[#This Row],[Odor]]="P",1,0))</f>
        <v>1</v>
      </c>
      <c r="U530" s="127" t="str">
        <f>IF(INDEX(MCmin,MATCH(Table36[[#This Row],[Grist]],SMI,0))="-","-",IF(Table36[[#This Row],[F1 %MC]]="-","-",IF(Table36[[#This Row],[F1 %MC]]&lt;INDEX(MCmin,MATCH(Table36[[#This Row],[Grist]],SMI,0)),0,IF(Table36[[#This Row],[F1 %MC]]&gt;INDEX(MCmax,MATCH(Table36[[#This Row],[Grist]],SMI,0)),0,1))))</f>
        <v>-</v>
      </c>
      <c r="V530" s="127">
        <f>IF(INDEX(Protmin,MATCH(Table36[[#This Row],[Grist]],SMI,0))="-","-",IF(Table36[[#This Row],[%Protein]]="-","-",IF(Table36[[#This Row],[%Protein]]&lt;INDEX(Protmin,MATCH(Table36[[#This Row],[Grist]],SMI,0)),0,IF(Table36[[#This Row],[%Protein]]&gt;INDEX(Protmax,MATCH(Table36[[#This Row],[Grist]],SMI,0)),0,1))))</f>
        <v>1</v>
      </c>
      <c r="W530" s="127" t="str">
        <f>IF(INDEX(Ashmin,MATCH(Table36[[#This Row],[Grist]],SMI,0))="-","-",IF(Table36[[#This Row],[%Ash]]="-","-",IF(Table36[[#This Row],[%Ash]]&lt;INDEX(Ashmin,MATCH(Table36[[#This Row],[Grist]],SMI,0)),0,IF(Table36[[#This Row],[%Ash]]&gt;INDEX(Ashmax,MATCH(Table36[[#This Row],[Grist]],SMI,0)),0,1))))</f>
        <v>-</v>
      </c>
      <c r="X530" s="127" t="str">
        <f>IF(INDEX(Absmin,MATCH(Table36[[#This Row],[Grist]],SMI,0))="-","-",IF(Table36[[#This Row],[%Absorption]]="-","-",IF(Table36[[#This Row],[%Absorption]]&lt;INDEX(Absmin,MATCH(Table36[[#This Row],[Grist]],SMI,0)),0,IF(Table36[[#This Row],[%Absorption]]&gt;INDEX(Absmax,MATCH(Table36[[#This Row],[Grist]],SMI,0)),0,1))))</f>
        <v>-</v>
      </c>
      <c r="Y530" s="127" t="str">
        <f>IF(INDEX(Extmin,MATCH(Table36[[#This Row],[Grist]],SMI,0))="-","-",IF(Table36[[#This Row],[%Extensibility]]="-","-",IF(Table36[[#This Row],[%Extensibility]]&lt;INDEX(Extmin,MATCH(Table36[[#This Row],[Grist]],SMI,0)),0,IF(Table36[[#This Row],[%Extensibility]]&gt;INDEX(Extmax,MATCH(Table36[[#This Row],[Grist]],SMI,0)),0,1))))</f>
        <v>-</v>
      </c>
      <c r="Z530" s="127" t="str">
        <f>IF(INDEX(Resmin,MATCH(Table36[[#This Row],[Grist]],SMI,0))="-","-",IF(Table36[[#This Row],[Resistance, max]]="-","-",IF(Table36[[#This Row],[Resistance, max]]&lt;INDEX(Resmin,MATCH(Table36[[#This Row],[Grist]],SMI,0)),0,IF(Table36[[#This Row],[Resistance, max]]&gt;INDEX(Resmax,MATCH(Table36[[#This Row],[Grist]],SMI,0)),0,1))))</f>
        <v>-</v>
      </c>
      <c r="AA530" s="127" t="str">
        <f>IF(INDEX(WGmin,MATCH(Table36[[#This Row],[Grist]],SMI,0))="-","-",IF(Table36[[#This Row],[%Wet Gluten]]="-","-",IF(Table36[[#This Row],[%Wet Gluten]]&lt;INDEX(WGmin,MATCH(Table36[[#This Row],[Grist]],SMI,0)),0,IF(Table36[[#This Row],[%Wet Gluten]]&gt;INDEX(WGmax,MATCH(Table36[[#This Row],[Grist]],SMI,0)),0,1))))</f>
        <v>-</v>
      </c>
      <c r="AB530" s="127">
        <f>SUM(Table36[[#This Row],[ QI Bran Content]:[QI WG]])</f>
        <v>4</v>
      </c>
      <c r="AC530" s="127">
        <f>COUNT(Table36[[#This Row],[ QI Bran Content]:[QI WG]])</f>
        <v>4</v>
      </c>
    </row>
    <row r="531" spans="1:29" x14ac:dyDescent="0.35">
      <c r="A531" s="11">
        <v>45350</v>
      </c>
      <c r="B531" s="70">
        <v>45350</v>
      </c>
      <c r="C531" s="70" t="s">
        <v>130</v>
      </c>
      <c r="D531" s="28">
        <v>0.95833333333333337</v>
      </c>
      <c r="E531" s="12" t="s">
        <v>2</v>
      </c>
      <c r="F531" s="13" t="s">
        <v>242</v>
      </c>
      <c r="G531" s="117" t="s">
        <v>299</v>
      </c>
      <c r="H531" s="14" t="s">
        <v>165</v>
      </c>
      <c r="I531" s="14" t="s">
        <v>165</v>
      </c>
      <c r="J531" s="14" t="s">
        <v>165</v>
      </c>
      <c r="K531" s="14">
        <v>13.1</v>
      </c>
      <c r="L531" s="14">
        <v>0</v>
      </c>
      <c r="M531" s="14">
        <v>0</v>
      </c>
      <c r="N531" s="14">
        <v>0</v>
      </c>
      <c r="O531" s="14">
        <v>0</v>
      </c>
      <c r="P531" s="14">
        <v>0</v>
      </c>
      <c r="Q531" s="14">
        <v>0</v>
      </c>
      <c r="R531" s="127">
        <f>IF(Table36[[#This Row],[ Bran Content]]="-","-",IF(G531&lt;0.02,1,0))</f>
        <v>0</v>
      </c>
      <c r="S531" s="127">
        <f>IF(Table36[[#This Row],[Sieve Test]]="-","-",IF(Table36[[#This Row],[Sieve Test]]="P",1,0))</f>
        <v>1</v>
      </c>
      <c r="T531" s="127">
        <f>IF(Table36[[#This Row],[Odor]]="-","-",IF(Table36[[#This Row],[Odor]]="P",1,0))</f>
        <v>1</v>
      </c>
      <c r="U531" s="127">
        <f>IF(INDEX(MCmin,MATCH(Table36[[#This Row],[Grist]],SMI,0))="-","-",IF(Table36[[#This Row],[F1 %MC]]="-","-",IF(Table36[[#This Row],[F1 %MC]]&lt;INDEX(MCmin,MATCH(Table36[[#This Row],[Grist]],SMI,0)),0,IF(Table36[[#This Row],[F1 %MC]]&gt;INDEX(MCmax,MATCH(Table36[[#This Row],[Grist]],SMI,0)),0,1))))</f>
        <v>1</v>
      </c>
      <c r="V531" s="127">
        <f>IF(INDEX(Protmin,MATCH(Table36[[#This Row],[Grist]],SMI,0))="-","-",IF(Table36[[#This Row],[%Protein]]="-","-",IF(Table36[[#This Row],[%Protein]]&lt;INDEX(Protmin,MATCH(Table36[[#This Row],[Grist]],SMI,0)),0,IF(Table36[[#This Row],[%Protein]]&gt;INDEX(Protmax,MATCH(Table36[[#This Row],[Grist]],SMI,0)),0,1))))</f>
        <v>0</v>
      </c>
      <c r="W531" s="127">
        <f>IF(INDEX(Ashmin,MATCH(Table36[[#This Row],[Grist]],SMI,0))="-","-",IF(Table36[[#This Row],[%Ash]]="-","-",IF(Table36[[#This Row],[%Ash]]&lt;INDEX(Ashmin,MATCH(Table36[[#This Row],[Grist]],SMI,0)),0,IF(Table36[[#This Row],[%Ash]]&gt;INDEX(Ashmax,MATCH(Table36[[#This Row],[Grist]],SMI,0)),0,1))))</f>
        <v>1</v>
      </c>
      <c r="X531" s="127">
        <f>IF(INDEX(Absmin,MATCH(Table36[[#This Row],[Grist]],SMI,0))="-","-",IF(Table36[[#This Row],[%Absorption]]="-","-",IF(Table36[[#This Row],[%Absorption]]&lt;INDEX(Absmin,MATCH(Table36[[#This Row],[Grist]],SMI,0)),0,IF(Table36[[#This Row],[%Absorption]]&gt;INDEX(Absmax,MATCH(Table36[[#This Row],[Grist]],SMI,0)),0,1))))</f>
        <v>0</v>
      </c>
      <c r="Y531" s="127">
        <f>IF(INDEX(Extmin,MATCH(Table36[[#This Row],[Grist]],SMI,0))="-","-",IF(Table36[[#This Row],[%Extensibility]]="-","-",IF(Table36[[#This Row],[%Extensibility]]&lt;INDEX(Extmin,MATCH(Table36[[#This Row],[Grist]],SMI,0)),0,IF(Table36[[#This Row],[%Extensibility]]&gt;INDEX(Extmax,MATCH(Table36[[#This Row],[Grist]],SMI,0)),0,1))))</f>
        <v>0</v>
      </c>
      <c r="Z531" s="127">
        <f>IF(INDEX(Resmin,MATCH(Table36[[#This Row],[Grist]],SMI,0))="-","-",IF(Table36[[#This Row],[Resistance, max]]="-","-",IF(Table36[[#This Row],[Resistance, max]]&lt;INDEX(Resmin,MATCH(Table36[[#This Row],[Grist]],SMI,0)),0,IF(Table36[[#This Row],[Resistance, max]]&gt;INDEX(Resmax,MATCH(Table36[[#This Row],[Grist]],SMI,0)),0,1))))</f>
        <v>0</v>
      </c>
      <c r="AA531" s="127">
        <f>IF(INDEX(WGmin,MATCH(Table36[[#This Row],[Grist]],SMI,0))="-","-",IF(Table36[[#This Row],[%Wet Gluten]]="-","-",IF(Table36[[#This Row],[%Wet Gluten]]&lt;INDEX(WGmin,MATCH(Table36[[#This Row],[Grist]],SMI,0)),0,IF(Table36[[#This Row],[%Wet Gluten]]&gt;INDEX(WGmax,MATCH(Table36[[#This Row],[Grist]],SMI,0)),0,1))))</f>
        <v>0</v>
      </c>
      <c r="AB531" s="127">
        <f>SUM(Table36[[#This Row],[ QI Bran Content]:[QI WG]])</f>
        <v>4</v>
      </c>
      <c r="AC531" s="127">
        <f>COUNT(Table36[[#This Row],[ QI Bran Content]:[QI WG]])</f>
        <v>10</v>
      </c>
    </row>
    <row r="532" spans="1:29" x14ac:dyDescent="0.35">
      <c r="A532" s="11">
        <v>45350</v>
      </c>
      <c r="B532" s="70">
        <v>45350</v>
      </c>
      <c r="C532" s="70" t="s">
        <v>130</v>
      </c>
      <c r="D532" s="28">
        <v>1.0416666666666701</v>
      </c>
      <c r="E532" s="12" t="s">
        <v>2</v>
      </c>
      <c r="F532" s="13" t="s">
        <v>242</v>
      </c>
      <c r="G532" s="117">
        <v>2.3999999999999998E-3</v>
      </c>
      <c r="H532" s="14" t="s">
        <v>165</v>
      </c>
      <c r="I532" s="14" t="s">
        <v>165</v>
      </c>
      <c r="J532" s="14" t="s">
        <v>165</v>
      </c>
      <c r="K532" s="14">
        <v>12.91</v>
      </c>
      <c r="L532" s="14">
        <v>0</v>
      </c>
      <c r="M532" s="14">
        <v>0</v>
      </c>
      <c r="N532" s="14">
        <v>0</v>
      </c>
      <c r="O532" s="14">
        <v>0</v>
      </c>
      <c r="P532" s="14">
        <v>0</v>
      </c>
      <c r="Q532" s="14">
        <v>0</v>
      </c>
      <c r="R532" s="127">
        <f>IF(Table36[[#This Row],[ Bran Content]]="-","-",IF(G532&lt;0.02,1,0))</f>
        <v>1</v>
      </c>
      <c r="S532" s="127">
        <f>IF(Table36[[#This Row],[Sieve Test]]="-","-",IF(Table36[[#This Row],[Sieve Test]]="P",1,0))</f>
        <v>1</v>
      </c>
      <c r="T532" s="127">
        <f>IF(Table36[[#This Row],[Odor]]="-","-",IF(Table36[[#This Row],[Odor]]="P",1,0))</f>
        <v>1</v>
      </c>
      <c r="U532" s="127">
        <f>IF(INDEX(MCmin,MATCH(Table36[[#This Row],[Grist]],SMI,0))="-","-",IF(Table36[[#This Row],[F1 %MC]]="-","-",IF(Table36[[#This Row],[F1 %MC]]&lt;INDEX(MCmin,MATCH(Table36[[#This Row],[Grist]],SMI,0)),0,IF(Table36[[#This Row],[F1 %MC]]&gt;INDEX(MCmax,MATCH(Table36[[#This Row],[Grist]],SMI,0)),0,1))))</f>
        <v>1</v>
      </c>
      <c r="V532" s="127">
        <f>IF(INDEX(Protmin,MATCH(Table36[[#This Row],[Grist]],SMI,0))="-","-",IF(Table36[[#This Row],[%Protein]]="-","-",IF(Table36[[#This Row],[%Protein]]&lt;INDEX(Protmin,MATCH(Table36[[#This Row],[Grist]],SMI,0)),0,IF(Table36[[#This Row],[%Protein]]&gt;INDEX(Protmax,MATCH(Table36[[#This Row],[Grist]],SMI,0)),0,1))))</f>
        <v>0</v>
      </c>
      <c r="W532" s="127">
        <f>IF(INDEX(Ashmin,MATCH(Table36[[#This Row],[Grist]],SMI,0))="-","-",IF(Table36[[#This Row],[%Ash]]="-","-",IF(Table36[[#This Row],[%Ash]]&lt;INDEX(Ashmin,MATCH(Table36[[#This Row],[Grist]],SMI,0)),0,IF(Table36[[#This Row],[%Ash]]&gt;INDEX(Ashmax,MATCH(Table36[[#This Row],[Grist]],SMI,0)),0,1))))</f>
        <v>1</v>
      </c>
      <c r="X532" s="127">
        <f>IF(INDEX(Absmin,MATCH(Table36[[#This Row],[Grist]],SMI,0))="-","-",IF(Table36[[#This Row],[%Absorption]]="-","-",IF(Table36[[#This Row],[%Absorption]]&lt;INDEX(Absmin,MATCH(Table36[[#This Row],[Grist]],SMI,0)),0,IF(Table36[[#This Row],[%Absorption]]&gt;INDEX(Absmax,MATCH(Table36[[#This Row],[Grist]],SMI,0)),0,1))))</f>
        <v>0</v>
      </c>
      <c r="Y532" s="127">
        <f>IF(INDEX(Extmin,MATCH(Table36[[#This Row],[Grist]],SMI,0))="-","-",IF(Table36[[#This Row],[%Extensibility]]="-","-",IF(Table36[[#This Row],[%Extensibility]]&lt;INDEX(Extmin,MATCH(Table36[[#This Row],[Grist]],SMI,0)),0,IF(Table36[[#This Row],[%Extensibility]]&gt;INDEX(Extmax,MATCH(Table36[[#This Row],[Grist]],SMI,0)),0,1))))</f>
        <v>0</v>
      </c>
      <c r="Z532" s="127">
        <f>IF(INDEX(Resmin,MATCH(Table36[[#This Row],[Grist]],SMI,0))="-","-",IF(Table36[[#This Row],[Resistance, max]]="-","-",IF(Table36[[#This Row],[Resistance, max]]&lt;INDEX(Resmin,MATCH(Table36[[#This Row],[Grist]],SMI,0)),0,IF(Table36[[#This Row],[Resistance, max]]&gt;INDEX(Resmax,MATCH(Table36[[#This Row],[Grist]],SMI,0)),0,1))))</f>
        <v>0</v>
      </c>
      <c r="AA532" s="127">
        <f>IF(INDEX(WGmin,MATCH(Table36[[#This Row],[Grist]],SMI,0))="-","-",IF(Table36[[#This Row],[%Wet Gluten]]="-","-",IF(Table36[[#This Row],[%Wet Gluten]]&lt;INDEX(WGmin,MATCH(Table36[[#This Row],[Grist]],SMI,0)),0,IF(Table36[[#This Row],[%Wet Gluten]]&gt;INDEX(WGmax,MATCH(Table36[[#This Row],[Grist]],SMI,0)),0,1))))</f>
        <v>0</v>
      </c>
      <c r="AB532" s="127">
        <f>SUM(Table36[[#This Row],[ QI Bran Content]:[QI WG]])</f>
        <v>5</v>
      </c>
      <c r="AC532" s="127">
        <f>COUNT(Table36[[#This Row],[ QI Bran Content]:[QI WG]])</f>
        <v>10</v>
      </c>
    </row>
    <row r="533" spans="1:29" x14ac:dyDescent="0.35">
      <c r="A533" s="11">
        <v>45352</v>
      </c>
      <c r="B533" s="70">
        <v>45352</v>
      </c>
      <c r="C533" s="70" t="s">
        <v>125</v>
      </c>
      <c r="D533" s="28" t="s">
        <v>237</v>
      </c>
      <c r="E533" s="12" t="s">
        <v>0</v>
      </c>
      <c r="F533" s="13" t="s">
        <v>48</v>
      </c>
      <c r="G533" s="117">
        <v>4.1999999999999997E-3</v>
      </c>
      <c r="H533" s="14" t="s">
        <v>165</v>
      </c>
      <c r="I533" s="14" t="s">
        <v>165</v>
      </c>
      <c r="J533" s="14" t="s">
        <v>165</v>
      </c>
      <c r="K533" s="14">
        <v>13.22</v>
      </c>
      <c r="L533" s="14">
        <v>9.52</v>
      </c>
      <c r="M533" s="14">
        <v>0.5</v>
      </c>
      <c r="N533" s="14">
        <v>62.8</v>
      </c>
      <c r="O533" s="14">
        <v>0</v>
      </c>
      <c r="P533" s="14">
        <v>0</v>
      </c>
      <c r="Q533" s="14">
        <v>26.4</v>
      </c>
      <c r="R533" s="127">
        <f>IF(Table36[[#This Row],[ Bran Content]]="-","-",IF(G533&lt;0.02,1,0))</f>
        <v>1</v>
      </c>
      <c r="S533" s="127">
        <f>IF(Table36[[#This Row],[Sieve Test]]="-","-",IF(Table36[[#This Row],[Sieve Test]]="P",1,0))</f>
        <v>1</v>
      </c>
      <c r="T533" s="127">
        <f>IF(Table36[[#This Row],[Odor]]="-","-",IF(Table36[[#This Row],[Odor]]="P",1,0))</f>
        <v>1</v>
      </c>
      <c r="U533" s="127" t="str">
        <f>IF(INDEX(MCmin,MATCH(Table36[[#This Row],[Grist]],SMI,0))="-","-",IF(Table36[[#This Row],[F1 %MC]]="-","-",IF(Table36[[#This Row],[F1 %MC]]&lt;INDEX(MCmin,MATCH(Table36[[#This Row],[Grist]],SMI,0)),0,IF(Table36[[#This Row],[F1 %MC]]&gt;INDEX(MCmax,MATCH(Table36[[#This Row],[Grist]],SMI,0)),0,1))))</f>
        <v>-</v>
      </c>
      <c r="V533" s="127">
        <f>IF(INDEX(Protmin,MATCH(Table36[[#This Row],[Grist]],SMI,0))="-","-",IF(Table36[[#This Row],[%Protein]]="-","-",IF(Table36[[#This Row],[%Protein]]&lt;INDEX(Protmin,MATCH(Table36[[#This Row],[Grist]],SMI,0)),0,IF(Table36[[#This Row],[%Protein]]&gt;INDEX(Protmax,MATCH(Table36[[#This Row],[Grist]],SMI,0)),0,1))))</f>
        <v>0</v>
      </c>
      <c r="W533" s="127" t="str">
        <f>IF(INDEX(Ashmin,MATCH(Table36[[#This Row],[Grist]],SMI,0))="-","-",IF(Table36[[#This Row],[%Ash]]="-","-",IF(Table36[[#This Row],[%Ash]]&lt;INDEX(Ashmin,MATCH(Table36[[#This Row],[Grist]],SMI,0)),0,IF(Table36[[#This Row],[%Ash]]&gt;INDEX(Ashmax,MATCH(Table36[[#This Row],[Grist]],SMI,0)),0,1))))</f>
        <v>-</v>
      </c>
      <c r="X533" s="127" t="str">
        <f>IF(INDEX(Absmin,MATCH(Table36[[#This Row],[Grist]],SMI,0))="-","-",IF(Table36[[#This Row],[%Absorption]]="-","-",IF(Table36[[#This Row],[%Absorption]]&lt;INDEX(Absmin,MATCH(Table36[[#This Row],[Grist]],SMI,0)),0,IF(Table36[[#This Row],[%Absorption]]&gt;INDEX(Absmax,MATCH(Table36[[#This Row],[Grist]],SMI,0)),0,1))))</f>
        <v>-</v>
      </c>
      <c r="Y533" s="127" t="str">
        <f>IF(INDEX(Extmin,MATCH(Table36[[#This Row],[Grist]],SMI,0))="-","-",IF(Table36[[#This Row],[%Extensibility]]="-","-",IF(Table36[[#This Row],[%Extensibility]]&lt;INDEX(Extmin,MATCH(Table36[[#This Row],[Grist]],SMI,0)),0,IF(Table36[[#This Row],[%Extensibility]]&gt;INDEX(Extmax,MATCH(Table36[[#This Row],[Grist]],SMI,0)),0,1))))</f>
        <v>-</v>
      </c>
      <c r="Z533" s="127" t="str">
        <f>IF(INDEX(Resmin,MATCH(Table36[[#This Row],[Grist]],SMI,0))="-","-",IF(Table36[[#This Row],[Resistance, max]]="-","-",IF(Table36[[#This Row],[Resistance, max]]&lt;INDEX(Resmin,MATCH(Table36[[#This Row],[Grist]],SMI,0)),0,IF(Table36[[#This Row],[Resistance, max]]&gt;INDEX(Resmax,MATCH(Table36[[#This Row],[Grist]],SMI,0)),0,1))))</f>
        <v>-</v>
      </c>
      <c r="AA533" s="127" t="str">
        <f>IF(INDEX(WGmin,MATCH(Table36[[#This Row],[Grist]],SMI,0))="-","-",IF(Table36[[#This Row],[%Wet Gluten]]="-","-",IF(Table36[[#This Row],[%Wet Gluten]]&lt;INDEX(WGmin,MATCH(Table36[[#This Row],[Grist]],SMI,0)),0,IF(Table36[[#This Row],[%Wet Gluten]]&gt;INDEX(WGmax,MATCH(Table36[[#This Row],[Grist]],SMI,0)),0,1))))</f>
        <v>-</v>
      </c>
      <c r="AB533" s="127">
        <f>SUM(Table36[[#This Row],[ QI Bran Content]:[QI WG]])</f>
        <v>3</v>
      </c>
      <c r="AC533" s="127">
        <f>COUNT(Table36[[#This Row],[ QI Bran Content]:[QI WG]])</f>
        <v>4</v>
      </c>
    </row>
    <row r="534" spans="1:29" x14ac:dyDescent="0.35">
      <c r="A534" s="11">
        <v>45352</v>
      </c>
      <c r="B534" s="70">
        <v>45352</v>
      </c>
      <c r="C534" s="70" t="s">
        <v>125</v>
      </c>
      <c r="D534" s="28" t="s">
        <v>237</v>
      </c>
      <c r="E534" s="12" t="s">
        <v>0</v>
      </c>
      <c r="F534" s="13" t="s">
        <v>48</v>
      </c>
      <c r="G534" s="117">
        <v>4.1999999999999997E-3</v>
      </c>
      <c r="H534" s="14" t="s">
        <v>165</v>
      </c>
      <c r="I534" s="14" t="s">
        <v>165</v>
      </c>
      <c r="J534" s="14" t="s">
        <v>165</v>
      </c>
      <c r="K534" s="14">
        <v>13.22</v>
      </c>
      <c r="L534" s="14">
        <v>9.52</v>
      </c>
      <c r="M534" s="14">
        <v>0.5</v>
      </c>
      <c r="N534" s="14">
        <v>62.8</v>
      </c>
      <c r="O534" s="14">
        <v>0</v>
      </c>
      <c r="P534" s="14">
        <v>0</v>
      </c>
      <c r="Q534" s="14">
        <v>26.4</v>
      </c>
      <c r="R534" s="127">
        <f>IF(Table36[[#This Row],[ Bran Content]]="-","-",IF(G534&lt;0.02,1,0))</f>
        <v>1</v>
      </c>
      <c r="S534" s="127">
        <f>IF(Table36[[#This Row],[Sieve Test]]="-","-",IF(Table36[[#This Row],[Sieve Test]]="P",1,0))</f>
        <v>1</v>
      </c>
      <c r="T534" s="127">
        <f>IF(Table36[[#This Row],[Odor]]="-","-",IF(Table36[[#This Row],[Odor]]="P",1,0))</f>
        <v>1</v>
      </c>
      <c r="U534" s="127" t="str">
        <f>IF(INDEX(MCmin,MATCH(Table36[[#This Row],[Grist]],SMI,0))="-","-",IF(Table36[[#This Row],[F1 %MC]]="-","-",IF(Table36[[#This Row],[F1 %MC]]&lt;INDEX(MCmin,MATCH(Table36[[#This Row],[Grist]],SMI,0)),0,IF(Table36[[#This Row],[F1 %MC]]&gt;INDEX(MCmax,MATCH(Table36[[#This Row],[Grist]],SMI,0)),0,1))))</f>
        <v>-</v>
      </c>
      <c r="V534" s="127">
        <f>IF(INDEX(Protmin,MATCH(Table36[[#This Row],[Grist]],SMI,0))="-","-",IF(Table36[[#This Row],[%Protein]]="-","-",IF(Table36[[#This Row],[%Protein]]&lt;INDEX(Protmin,MATCH(Table36[[#This Row],[Grist]],SMI,0)),0,IF(Table36[[#This Row],[%Protein]]&gt;INDEX(Protmax,MATCH(Table36[[#This Row],[Grist]],SMI,0)),0,1))))</f>
        <v>0</v>
      </c>
      <c r="W534" s="127" t="str">
        <f>IF(INDEX(Ashmin,MATCH(Table36[[#This Row],[Grist]],SMI,0))="-","-",IF(Table36[[#This Row],[%Ash]]="-","-",IF(Table36[[#This Row],[%Ash]]&lt;INDEX(Ashmin,MATCH(Table36[[#This Row],[Grist]],SMI,0)),0,IF(Table36[[#This Row],[%Ash]]&gt;INDEX(Ashmax,MATCH(Table36[[#This Row],[Grist]],SMI,0)),0,1))))</f>
        <v>-</v>
      </c>
      <c r="X534" s="127" t="str">
        <f>IF(INDEX(Absmin,MATCH(Table36[[#This Row],[Grist]],SMI,0))="-","-",IF(Table36[[#This Row],[%Absorption]]="-","-",IF(Table36[[#This Row],[%Absorption]]&lt;INDEX(Absmin,MATCH(Table36[[#This Row],[Grist]],SMI,0)),0,IF(Table36[[#This Row],[%Absorption]]&gt;INDEX(Absmax,MATCH(Table36[[#This Row],[Grist]],SMI,0)),0,1))))</f>
        <v>-</v>
      </c>
      <c r="Y534" s="127" t="str">
        <f>IF(INDEX(Extmin,MATCH(Table36[[#This Row],[Grist]],SMI,0))="-","-",IF(Table36[[#This Row],[%Extensibility]]="-","-",IF(Table36[[#This Row],[%Extensibility]]&lt;INDEX(Extmin,MATCH(Table36[[#This Row],[Grist]],SMI,0)),0,IF(Table36[[#This Row],[%Extensibility]]&gt;INDEX(Extmax,MATCH(Table36[[#This Row],[Grist]],SMI,0)),0,1))))</f>
        <v>-</v>
      </c>
      <c r="Z534" s="127" t="str">
        <f>IF(INDEX(Resmin,MATCH(Table36[[#This Row],[Grist]],SMI,0))="-","-",IF(Table36[[#This Row],[Resistance, max]]="-","-",IF(Table36[[#This Row],[Resistance, max]]&lt;INDEX(Resmin,MATCH(Table36[[#This Row],[Grist]],SMI,0)),0,IF(Table36[[#This Row],[Resistance, max]]&gt;INDEX(Resmax,MATCH(Table36[[#This Row],[Grist]],SMI,0)),0,1))))</f>
        <v>-</v>
      </c>
      <c r="AA534" s="127" t="str">
        <f>IF(INDEX(WGmin,MATCH(Table36[[#This Row],[Grist]],SMI,0))="-","-",IF(Table36[[#This Row],[%Wet Gluten]]="-","-",IF(Table36[[#This Row],[%Wet Gluten]]&lt;INDEX(WGmin,MATCH(Table36[[#This Row],[Grist]],SMI,0)),0,IF(Table36[[#This Row],[%Wet Gluten]]&gt;INDEX(WGmax,MATCH(Table36[[#This Row],[Grist]],SMI,0)),0,1))))</f>
        <v>-</v>
      </c>
      <c r="AB534" s="127">
        <f>SUM(Table36[[#This Row],[ QI Bran Content]:[QI WG]])</f>
        <v>3</v>
      </c>
      <c r="AC534" s="127">
        <f>COUNT(Table36[[#This Row],[ QI Bran Content]:[QI WG]])</f>
        <v>4</v>
      </c>
    </row>
    <row r="535" spans="1:29" x14ac:dyDescent="0.35">
      <c r="A535" s="11">
        <v>45352</v>
      </c>
      <c r="B535" s="70">
        <v>45352</v>
      </c>
      <c r="C535" s="70" t="s">
        <v>125</v>
      </c>
      <c r="D535" s="28" t="s">
        <v>240</v>
      </c>
      <c r="E535" s="12" t="s">
        <v>0</v>
      </c>
      <c r="F535" s="13" t="s">
        <v>27</v>
      </c>
      <c r="G535" s="117">
        <v>3.8E-3</v>
      </c>
      <c r="H535" s="14" t="s">
        <v>165</v>
      </c>
      <c r="I535" s="14" t="s">
        <v>165</v>
      </c>
      <c r="J535" s="14" t="s">
        <v>165</v>
      </c>
      <c r="K535" s="14">
        <v>12.19</v>
      </c>
      <c r="L535" s="14">
        <v>0</v>
      </c>
      <c r="M535" s="14">
        <v>0</v>
      </c>
      <c r="N535" s="14">
        <v>0</v>
      </c>
      <c r="O535" s="14">
        <v>0</v>
      </c>
      <c r="P535" s="14">
        <v>0</v>
      </c>
      <c r="Q535" s="14">
        <v>0</v>
      </c>
      <c r="R535" s="127">
        <f>IF(Table36[[#This Row],[ Bran Content]]="-","-",IF(G535&lt;0.02,1,0))</f>
        <v>1</v>
      </c>
      <c r="S535" s="127">
        <f>IF(Table36[[#This Row],[Sieve Test]]="-","-",IF(Table36[[#This Row],[Sieve Test]]="P",1,0))</f>
        <v>1</v>
      </c>
      <c r="T535" s="127">
        <f>IF(Table36[[#This Row],[Odor]]="-","-",IF(Table36[[#This Row],[Odor]]="P",1,0))</f>
        <v>1</v>
      </c>
      <c r="U535" s="127">
        <f>IF(INDEX(MCmin,MATCH(Table36[[#This Row],[Grist]],SMI,0))="-","-",IF(Table36[[#This Row],[F1 %MC]]="-","-",IF(Table36[[#This Row],[F1 %MC]]&lt;INDEX(MCmin,MATCH(Table36[[#This Row],[Grist]],SMI,0)),0,IF(Table36[[#This Row],[F1 %MC]]&gt;INDEX(MCmax,MATCH(Table36[[#This Row],[Grist]],SMI,0)),0,1))))</f>
        <v>1</v>
      </c>
      <c r="V535" s="127">
        <f>IF(INDEX(Protmin,MATCH(Table36[[#This Row],[Grist]],SMI,0))="-","-",IF(Table36[[#This Row],[%Protein]]="-","-",IF(Table36[[#This Row],[%Protein]]&lt;INDEX(Protmin,MATCH(Table36[[#This Row],[Grist]],SMI,0)),0,IF(Table36[[#This Row],[%Protein]]&gt;INDEX(Protmax,MATCH(Table36[[#This Row],[Grist]],SMI,0)),0,1))))</f>
        <v>0</v>
      </c>
      <c r="W535" s="127">
        <f>IF(INDEX(Ashmin,MATCH(Table36[[#This Row],[Grist]],SMI,0))="-","-",IF(Table36[[#This Row],[%Ash]]="-","-",IF(Table36[[#This Row],[%Ash]]&lt;INDEX(Ashmin,MATCH(Table36[[#This Row],[Grist]],SMI,0)),0,IF(Table36[[#This Row],[%Ash]]&gt;INDEX(Ashmax,MATCH(Table36[[#This Row],[Grist]],SMI,0)),0,1))))</f>
        <v>1</v>
      </c>
      <c r="X535" s="127">
        <f>IF(INDEX(Absmin,MATCH(Table36[[#This Row],[Grist]],SMI,0))="-","-",IF(Table36[[#This Row],[%Absorption]]="-","-",IF(Table36[[#This Row],[%Absorption]]&lt;INDEX(Absmin,MATCH(Table36[[#This Row],[Grist]],SMI,0)),0,IF(Table36[[#This Row],[%Absorption]]&gt;INDEX(Absmax,MATCH(Table36[[#This Row],[Grist]],SMI,0)),0,1))))</f>
        <v>0</v>
      </c>
      <c r="Y535" s="127">
        <f>IF(INDEX(Extmin,MATCH(Table36[[#This Row],[Grist]],SMI,0))="-","-",IF(Table36[[#This Row],[%Extensibility]]="-","-",IF(Table36[[#This Row],[%Extensibility]]&lt;INDEX(Extmin,MATCH(Table36[[#This Row],[Grist]],SMI,0)),0,IF(Table36[[#This Row],[%Extensibility]]&gt;INDEX(Extmax,MATCH(Table36[[#This Row],[Grist]],SMI,0)),0,1))))</f>
        <v>0</v>
      </c>
      <c r="Z535" s="127">
        <f>IF(INDEX(Resmin,MATCH(Table36[[#This Row],[Grist]],SMI,0))="-","-",IF(Table36[[#This Row],[Resistance, max]]="-","-",IF(Table36[[#This Row],[Resistance, max]]&lt;INDEX(Resmin,MATCH(Table36[[#This Row],[Grist]],SMI,0)),0,IF(Table36[[#This Row],[Resistance, max]]&gt;INDEX(Resmax,MATCH(Table36[[#This Row],[Grist]],SMI,0)),0,1))))</f>
        <v>0</v>
      </c>
      <c r="AA535" s="127">
        <f>IF(INDEX(WGmin,MATCH(Table36[[#This Row],[Grist]],SMI,0))="-","-",IF(Table36[[#This Row],[%Wet Gluten]]="-","-",IF(Table36[[#This Row],[%Wet Gluten]]&lt;INDEX(WGmin,MATCH(Table36[[#This Row],[Grist]],SMI,0)),0,IF(Table36[[#This Row],[%Wet Gluten]]&gt;INDEX(WGmax,MATCH(Table36[[#This Row],[Grist]],SMI,0)),0,1))))</f>
        <v>0</v>
      </c>
      <c r="AB535" s="127">
        <f>SUM(Table36[[#This Row],[ QI Bran Content]:[QI WG]])</f>
        <v>5</v>
      </c>
      <c r="AC535" s="127">
        <f>COUNT(Table36[[#This Row],[ QI Bran Content]:[QI WG]])</f>
        <v>10</v>
      </c>
    </row>
    <row r="536" spans="1:29" x14ac:dyDescent="0.35">
      <c r="A536" s="11">
        <v>45352</v>
      </c>
      <c r="B536" s="70">
        <v>45352</v>
      </c>
      <c r="C536" s="70" t="s">
        <v>125</v>
      </c>
      <c r="D536" s="28" t="s">
        <v>237</v>
      </c>
      <c r="E536" s="12" t="s">
        <v>0</v>
      </c>
      <c r="F536" s="13" t="s">
        <v>48</v>
      </c>
      <c r="G536" s="117">
        <v>4.1999999999999997E-3</v>
      </c>
      <c r="H536" s="14" t="s">
        <v>165</v>
      </c>
      <c r="I536" s="14" t="s">
        <v>165</v>
      </c>
      <c r="J536" s="14" t="s">
        <v>165</v>
      </c>
      <c r="K536" s="14">
        <v>13.22</v>
      </c>
      <c r="L536" s="14">
        <v>9.52</v>
      </c>
      <c r="M536" s="14">
        <v>0.5</v>
      </c>
      <c r="N536" s="14">
        <v>62.8</v>
      </c>
      <c r="O536" s="14">
        <v>0</v>
      </c>
      <c r="P536" s="14">
        <v>0</v>
      </c>
      <c r="Q536" s="14">
        <v>26.4</v>
      </c>
      <c r="R536" s="127">
        <f>IF(Table36[[#This Row],[ Bran Content]]="-","-",IF(G536&lt;0.02,1,0))</f>
        <v>1</v>
      </c>
      <c r="S536" s="127">
        <f>IF(Table36[[#This Row],[Sieve Test]]="-","-",IF(Table36[[#This Row],[Sieve Test]]="P",1,0))</f>
        <v>1</v>
      </c>
      <c r="T536" s="127">
        <f>IF(Table36[[#This Row],[Odor]]="-","-",IF(Table36[[#This Row],[Odor]]="P",1,0))</f>
        <v>1</v>
      </c>
      <c r="U536" s="127" t="str">
        <f>IF(INDEX(MCmin,MATCH(Table36[[#This Row],[Grist]],SMI,0))="-","-",IF(Table36[[#This Row],[F1 %MC]]="-","-",IF(Table36[[#This Row],[F1 %MC]]&lt;INDEX(MCmin,MATCH(Table36[[#This Row],[Grist]],SMI,0)),0,IF(Table36[[#This Row],[F1 %MC]]&gt;INDEX(MCmax,MATCH(Table36[[#This Row],[Grist]],SMI,0)),0,1))))</f>
        <v>-</v>
      </c>
      <c r="V536" s="127">
        <f>IF(INDEX(Protmin,MATCH(Table36[[#This Row],[Grist]],SMI,0))="-","-",IF(Table36[[#This Row],[%Protein]]="-","-",IF(Table36[[#This Row],[%Protein]]&lt;INDEX(Protmin,MATCH(Table36[[#This Row],[Grist]],SMI,0)),0,IF(Table36[[#This Row],[%Protein]]&gt;INDEX(Protmax,MATCH(Table36[[#This Row],[Grist]],SMI,0)),0,1))))</f>
        <v>0</v>
      </c>
      <c r="W536" s="127" t="str">
        <f>IF(INDEX(Ashmin,MATCH(Table36[[#This Row],[Grist]],SMI,0))="-","-",IF(Table36[[#This Row],[%Ash]]="-","-",IF(Table36[[#This Row],[%Ash]]&lt;INDEX(Ashmin,MATCH(Table36[[#This Row],[Grist]],SMI,0)),0,IF(Table36[[#This Row],[%Ash]]&gt;INDEX(Ashmax,MATCH(Table36[[#This Row],[Grist]],SMI,0)),0,1))))</f>
        <v>-</v>
      </c>
      <c r="X536" s="127" t="str">
        <f>IF(INDEX(Absmin,MATCH(Table36[[#This Row],[Grist]],SMI,0))="-","-",IF(Table36[[#This Row],[%Absorption]]="-","-",IF(Table36[[#This Row],[%Absorption]]&lt;INDEX(Absmin,MATCH(Table36[[#This Row],[Grist]],SMI,0)),0,IF(Table36[[#This Row],[%Absorption]]&gt;INDEX(Absmax,MATCH(Table36[[#This Row],[Grist]],SMI,0)),0,1))))</f>
        <v>-</v>
      </c>
      <c r="Y536" s="127" t="str">
        <f>IF(INDEX(Extmin,MATCH(Table36[[#This Row],[Grist]],SMI,0))="-","-",IF(Table36[[#This Row],[%Extensibility]]="-","-",IF(Table36[[#This Row],[%Extensibility]]&lt;INDEX(Extmin,MATCH(Table36[[#This Row],[Grist]],SMI,0)),0,IF(Table36[[#This Row],[%Extensibility]]&gt;INDEX(Extmax,MATCH(Table36[[#This Row],[Grist]],SMI,0)),0,1))))</f>
        <v>-</v>
      </c>
      <c r="Z536" s="127" t="str">
        <f>IF(INDEX(Resmin,MATCH(Table36[[#This Row],[Grist]],SMI,0))="-","-",IF(Table36[[#This Row],[Resistance, max]]="-","-",IF(Table36[[#This Row],[Resistance, max]]&lt;INDEX(Resmin,MATCH(Table36[[#This Row],[Grist]],SMI,0)),0,IF(Table36[[#This Row],[Resistance, max]]&gt;INDEX(Resmax,MATCH(Table36[[#This Row],[Grist]],SMI,0)),0,1))))</f>
        <v>-</v>
      </c>
      <c r="AA536" s="127" t="str">
        <f>IF(INDEX(WGmin,MATCH(Table36[[#This Row],[Grist]],SMI,0))="-","-",IF(Table36[[#This Row],[%Wet Gluten]]="-","-",IF(Table36[[#This Row],[%Wet Gluten]]&lt;INDEX(WGmin,MATCH(Table36[[#This Row],[Grist]],SMI,0)),0,IF(Table36[[#This Row],[%Wet Gluten]]&gt;INDEX(WGmax,MATCH(Table36[[#This Row],[Grist]],SMI,0)),0,1))))</f>
        <v>-</v>
      </c>
      <c r="AB536" s="127">
        <f>SUM(Table36[[#This Row],[ QI Bran Content]:[QI WG]])</f>
        <v>3</v>
      </c>
      <c r="AC536" s="127">
        <f>COUNT(Table36[[#This Row],[ QI Bran Content]:[QI WG]])</f>
        <v>4</v>
      </c>
    </row>
    <row r="537" spans="1:29" x14ac:dyDescent="0.35">
      <c r="A537" s="11">
        <v>45352</v>
      </c>
      <c r="B537" s="70">
        <v>45352</v>
      </c>
      <c r="C537" s="70" t="s">
        <v>125</v>
      </c>
      <c r="D537" s="28" t="s">
        <v>238</v>
      </c>
      <c r="E537" s="12" t="s">
        <v>0</v>
      </c>
      <c r="F537" s="13" t="s">
        <v>103</v>
      </c>
      <c r="G537" s="117">
        <v>7.7000000000000002E-3</v>
      </c>
      <c r="H537" s="14" t="s">
        <v>165</v>
      </c>
      <c r="I537" s="14" t="s">
        <v>165</v>
      </c>
      <c r="J537" s="14" t="s">
        <v>165</v>
      </c>
      <c r="K537" s="14">
        <v>11.57</v>
      </c>
      <c r="L537" s="14">
        <v>0</v>
      </c>
      <c r="M537" s="14">
        <v>0</v>
      </c>
      <c r="N537" s="14">
        <v>0</v>
      </c>
      <c r="O537" s="14">
        <v>0</v>
      </c>
      <c r="P537" s="14">
        <v>0</v>
      </c>
      <c r="Q537" s="14">
        <v>0</v>
      </c>
      <c r="R537" s="127">
        <f>IF(Table36[[#This Row],[ Bran Content]]="-","-",IF(G537&lt;0.02,1,0))</f>
        <v>1</v>
      </c>
      <c r="S537" s="127">
        <f>IF(Table36[[#This Row],[Sieve Test]]="-","-",IF(Table36[[#This Row],[Sieve Test]]="P",1,0))</f>
        <v>1</v>
      </c>
      <c r="T537" s="127">
        <f>IF(Table36[[#This Row],[Odor]]="-","-",IF(Table36[[#This Row],[Odor]]="P",1,0))</f>
        <v>1</v>
      </c>
      <c r="U537" s="127" t="e">
        <f>IF(INDEX(MCmin,MATCH(Table36[[#This Row],[Grist]],SMI,0))="-","-",IF(Table36[[#This Row],[F1 %MC]]="-","-",IF(Table36[[#This Row],[F1 %MC]]&lt;INDEX(MCmin,MATCH(Table36[[#This Row],[Grist]],SMI,0)),0,IF(Table36[[#This Row],[F1 %MC]]&gt;INDEX(MCmax,MATCH(Table36[[#This Row],[Grist]],SMI,0)),0,1))))</f>
        <v>#N/A</v>
      </c>
      <c r="V537" s="127" t="e">
        <f>IF(INDEX(Protmin,MATCH(Table36[[#This Row],[Grist]],SMI,0))="-","-",IF(Table36[[#This Row],[%Protein]]="-","-",IF(Table36[[#This Row],[%Protein]]&lt;INDEX(Protmin,MATCH(Table36[[#This Row],[Grist]],SMI,0)),0,IF(Table36[[#This Row],[%Protein]]&gt;INDEX(Protmax,MATCH(Table36[[#This Row],[Grist]],SMI,0)),0,1))))</f>
        <v>#N/A</v>
      </c>
      <c r="W537" s="127" t="e">
        <f>IF(INDEX(Ashmin,MATCH(Table36[[#This Row],[Grist]],SMI,0))="-","-",IF(Table36[[#This Row],[%Ash]]="-","-",IF(Table36[[#This Row],[%Ash]]&lt;INDEX(Ashmin,MATCH(Table36[[#This Row],[Grist]],SMI,0)),0,IF(Table36[[#This Row],[%Ash]]&gt;INDEX(Ashmax,MATCH(Table36[[#This Row],[Grist]],SMI,0)),0,1))))</f>
        <v>#N/A</v>
      </c>
      <c r="X537" s="127" t="e">
        <f>IF(INDEX(Absmin,MATCH(Table36[[#This Row],[Grist]],SMI,0))="-","-",IF(Table36[[#This Row],[%Absorption]]="-","-",IF(Table36[[#This Row],[%Absorption]]&lt;INDEX(Absmin,MATCH(Table36[[#This Row],[Grist]],SMI,0)),0,IF(Table36[[#This Row],[%Absorption]]&gt;INDEX(Absmax,MATCH(Table36[[#This Row],[Grist]],SMI,0)),0,1))))</f>
        <v>#N/A</v>
      </c>
      <c r="Y537" s="127" t="e">
        <f>IF(INDEX(Extmin,MATCH(Table36[[#This Row],[Grist]],SMI,0))="-","-",IF(Table36[[#This Row],[%Extensibility]]="-","-",IF(Table36[[#This Row],[%Extensibility]]&lt;INDEX(Extmin,MATCH(Table36[[#This Row],[Grist]],SMI,0)),0,IF(Table36[[#This Row],[%Extensibility]]&gt;INDEX(Extmax,MATCH(Table36[[#This Row],[Grist]],SMI,0)),0,1))))</f>
        <v>#N/A</v>
      </c>
      <c r="Z537" s="127" t="e">
        <f>IF(INDEX(Resmin,MATCH(Table36[[#This Row],[Grist]],SMI,0))="-","-",IF(Table36[[#This Row],[Resistance, max]]="-","-",IF(Table36[[#This Row],[Resistance, max]]&lt;INDEX(Resmin,MATCH(Table36[[#This Row],[Grist]],SMI,0)),0,IF(Table36[[#This Row],[Resistance, max]]&gt;INDEX(Resmax,MATCH(Table36[[#This Row],[Grist]],SMI,0)),0,1))))</f>
        <v>#N/A</v>
      </c>
      <c r="AA537" s="127" t="e">
        <f>IF(INDEX(WGmin,MATCH(Table36[[#This Row],[Grist]],SMI,0))="-","-",IF(Table36[[#This Row],[%Wet Gluten]]="-","-",IF(Table36[[#This Row],[%Wet Gluten]]&lt;INDEX(WGmin,MATCH(Table36[[#This Row],[Grist]],SMI,0)),0,IF(Table36[[#This Row],[%Wet Gluten]]&gt;INDEX(WGmax,MATCH(Table36[[#This Row],[Grist]],SMI,0)),0,1))))</f>
        <v>#N/A</v>
      </c>
      <c r="AB537" s="127" t="e">
        <f>SUM(Table36[[#This Row],[ QI Bran Content]:[QI WG]])</f>
        <v>#N/A</v>
      </c>
      <c r="AC537" s="127">
        <f>COUNT(Table36[[#This Row],[ QI Bran Content]:[QI WG]])</f>
        <v>3</v>
      </c>
    </row>
    <row r="538" spans="1:29" x14ac:dyDescent="0.35">
      <c r="A538" s="11">
        <v>45353</v>
      </c>
      <c r="B538" s="70">
        <v>45353</v>
      </c>
      <c r="C538" s="70" t="s">
        <v>128</v>
      </c>
      <c r="D538" s="28">
        <v>0.625</v>
      </c>
      <c r="E538" s="12" t="s">
        <v>0</v>
      </c>
      <c r="F538" s="13" t="s">
        <v>52</v>
      </c>
      <c r="G538" s="117">
        <v>6.1999999999999998E-3</v>
      </c>
      <c r="H538" s="14" t="s">
        <v>165</v>
      </c>
      <c r="I538" s="14" t="s">
        <v>165</v>
      </c>
      <c r="J538" s="14" t="s">
        <v>165</v>
      </c>
      <c r="K538" s="14">
        <v>12.6</v>
      </c>
      <c r="L538" s="14">
        <v>0</v>
      </c>
      <c r="M538" s="14">
        <v>0</v>
      </c>
      <c r="N538" s="14">
        <v>0</v>
      </c>
      <c r="O538" s="14">
        <v>0</v>
      </c>
      <c r="P538" s="14">
        <v>0</v>
      </c>
      <c r="Q538" s="14">
        <v>0</v>
      </c>
      <c r="R538" s="127">
        <f>IF(Table36[[#This Row],[ Bran Content]]="-","-",IF(G538&lt;0.02,1,0))</f>
        <v>1</v>
      </c>
      <c r="S538" s="127">
        <f>IF(Table36[[#This Row],[Sieve Test]]="-","-",IF(Table36[[#This Row],[Sieve Test]]="P",1,0))</f>
        <v>1</v>
      </c>
      <c r="T538" s="127">
        <f>IF(Table36[[#This Row],[Odor]]="-","-",IF(Table36[[#This Row],[Odor]]="P",1,0))</f>
        <v>1</v>
      </c>
      <c r="U538" s="127" t="e">
        <f>IF(INDEX(MCmin,MATCH(Table36[[#This Row],[Grist]],SMI,0))="-","-",IF(Table36[[#This Row],[F1 %MC]]="-","-",IF(Table36[[#This Row],[F1 %MC]]&lt;INDEX(MCmin,MATCH(Table36[[#This Row],[Grist]],SMI,0)),0,IF(Table36[[#This Row],[F1 %MC]]&gt;INDEX(MCmax,MATCH(Table36[[#This Row],[Grist]],SMI,0)),0,1))))</f>
        <v>#N/A</v>
      </c>
      <c r="V538" s="127" t="e">
        <f>IF(INDEX(Protmin,MATCH(Table36[[#This Row],[Grist]],SMI,0))="-","-",IF(Table36[[#This Row],[%Protein]]="-","-",IF(Table36[[#This Row],[%Protein]]&lt;INDEX(Protmin,MATCH(Table36[[#This Row],[Grist]],SMI,0)),0,IF(Table36[[#This Row],[%Protein]]&gt;INDEX(Protmax,MATCH(Table36[[#This Row],[Grist]],SMI,0)),0,1))))</f>
        <v>#N/A</v>
      </c>
      <c r="W538" s="127" t="e">
        <f>IF(INDEX(Ashmin,MATCH(Table36[[#This Row],[Grist]],SMI,0))="-","-",IF(Table36[[#This Row],[%Ash]]="-","-",IF(Table36[[#This Row],[%Ash]]&lt;INDEX(Ashmin,MATCH(Table36[[#This Row],[Grist]],SMI,0)),0,IF(Table36[[#This Row],[%Ash]]&gt;INDEX(Ashmax,MATCH(Table36[[#This Row],[Grist]],SMI,0)),0,1))))</f>
        <v>#N/A</v>
      </c>
      <c r="X538" s="127" t="e">
        <f>IF(INDEX(Absmin,MATCH(Table36[[#This Row],[Grist]],SMI,0))="-","-",IF(Table36[[#This Row],[%Absorption]]="-","-",IF(Table36[[#This Row],[%Absorption]]&lt;INDEX(Absmin,MATCH(Table36[[#This Row],[Grist]],SMI,0)),0,IF(Table36[[#This Row],[%Absorption]]&gt;INDEX(Absmax,MATCH(Table36[[#This Row],[Grist]],SMI,0)),0,1))))</f>
        <v>#N/A</v>
      </c>
      <c r="Y538" s="127" t="e">
        <f>IF(INDEX(Extmin,MATCH(Table36[[#This Row],[Grist]],SMI,0))="-","-",IF(Table36[[#This Row],[%Extensibility]]="-","-",IF(Table36[[#This Row],[%Extensibility]]&lt;INDEX(Extmin,MATCH(Table36[[#This Row],[Grist]],SMI,0)),0,IF(Table36[[#This Row],[%Extensibility]]&gt;INDEX(Extmax,MATCH(Table36[[#This Row],[Grist]],SMI,0)),0,1))))</f>
        <v>#N/A</v>
      </c>
      <c r="Z538" s="127" t="e">
        <f>IF(INDEX(Resmin,MATCH(Table36[[#This Row],[Grist]],SMI,0))="-","-",IF(Table36[[#This Row],[Resistance, max]]="-","-",IF(Table36[[#This Row],[Resistance, max]]&lt;INDEX(Resmin,MATCH(Table36[[#This Row],[Grist]],SMI,0)),0,IF(Table36[[#This Row],[Resistance, max]]&gt;INDEX(Resmax,MATCH(Table36[[#This Row],[Grist]],SMI,0)),0,1))))</f>
        <v>#N/A</v>
      </c>
      <c r="AA538" s="127" t="e">
        <f>IF(INDEX(WGmin,MATCH(Table36[[#This Row],[Grist]],SMI,0))="-","-",IF(Table36[[#This Row],[%Wet Gluten]]="-","-",IF(Table36[[#This Row],[%Wet Gluten]]&lt;INDEX(WGmin,MATCH(Table36[[#This Row],[Grist]],SMI,0)),0,IF(Table36[[#This Row],[%Wet Gluten]]&gt;INDEX(WGmax,MATCH(Table36[[#This Row],[Grist]],SMI,0)),0,1))))</f>
        <v>#N/A</v>
      </c>
      <c r="AB538" s="127" t="e">
        <f>SUM(Table36[[#This Row],[ QI Bran Content]:[QI WG]])</f>
        <v>#N/A</v>
      </c>
      <c r="AC538" s="127">
        <f>COUNT(Table36[[#This Row],[ QI Bran Content]:[QI WG]])</f>
        <v>3</v>
      </c>
    </row>
    <row r="539" spans="1:29" x14ac:dyDescent="0.35">
      <c r="A539" s="11">
        <v>45353</v>
      </c>
      <c r="B539" s="70">
        <v>45353</v>
      </c>
      <c r="C539" s="70" t="s">
        <v>128</v>
      </c>
      <c r="D539" s="28">
        <v>0.70833333333333304</v>
      </c>
      <c r="E539" s="12" t="s">
        <v>0</v>
      </c>
      <c r="F539" s="13" t="s">
        <v>52</v>
      </c>
      <c r="G539" s="117">
        <v>9.7000000000000003E-3</v>
      </c>
      <c r="H539" s="14" t="s">
        <v>165</v>
      </c>
      <c r="I539" s="14" t="s">
        <v>165</v>
      </c>
      <c r="J539" s="14" t="s">
        <v>165</v>
      </c>
      <c r="K539" s="14">
        <v>13.28</v>
      </c>
      <c r="L539" s="14">
        <v>0</v>
      </c>
      <c r="M539" s="14">
        <v>0</v>
      </c>
      <c r="N539" s="14">
        <v>0</v>
      </c>
      <c r="O539" s="14">
        <v>0</v>
      </c>
      <c r="P539" s="14">
        <v>0</v>
      </c>
      <c r="Q539" s="14">
        <v>0</v>
      </c>
      <c r="R539" s="127">
        <f>IF(Table36[[#This Row],[ Bran Content]]="-","-",IF(G539&lt;0.02,1,0))</f>
        <v>1</v>
      </c>
      <c r="S539" s="127">
        <f>IF(Table36[[#This Row],[Sieve Test]]="-","-",IF(Table36[[#This Row],[Sieve Test]]="P",1,0))</f>
        <v>1</v>
      </c>
      <c r="T539" s="127">
        <f>IF(Table36[[#This Row],[Odor]]="-","-",IF(Table36[[#This Row],[Odor]]="P",1,0))</f>
        <v>1</v>
      </c>
      <c r="U539" s="127" t="e">
        <f>IF(INDEX(MCmin,MATCH(Table36[[#This Row],[Grist]],SMI,0))="-","-",IF(Table36[[#This Row],[F1 %MC]]="-","-",IF(Table36[[#This Row],[F1 %MC]]&lt;INDEX(MCmin,MATCH(Table36[[#This Row],[Grist]],SMI,0)),0,IF(Table36[[#This Row],[F1 %MC]]&gt;INDEX(MCmax,MATCH(Table36[[#This Row],[Grist]],SMI,0)),0,1))))</f>
        <v>#N/A</v>
      </c>
      <c r="V539" s="127" t="e">
        <f>IF(INDEX(Protmin,MATCH(Table36[[#This Row],[Grist]],SMI,0))="-","-",IF(Table36[[#This Row],[%Protein]]="-","-",IF(Table36[[#This Row],[%Protein]]&lt;INDEX(Protmin,MATCH(Table36[[#This Row],[Grist]],SMI,0)),0,IF(Table36[[#This Row],[%Protein]]&gt;INDEX(Protmax,MATCH(Table36[[#This Row],[Grist]],SMI,0)),0,1))))</f>
        <v>#N/A</v>
      </c>
      <c r="W539" s="127" t="e">
        <f>IF(INDEX(Ashmin,MATCH(Table36[[#This Row],[Grist]],SMI,0))="-","-",IF(Table36[[#This Row],[%Ash]]="-","-",IF(Table36[[#This Row],[%Ash]]&lt;INDEX(Ashmin,MATCH(Table36[[#This Row],[Grist]],SMI,0)),0,IF(Table36[[#This Row],[%Ash]]&gt;INDEX(Ashmax,MATCH(Table36[[#This Row],[Grist]],SMI,0)),0,1))))</f>
        <v>#N/A</v>
      </c>
      <c r="X539" s="127" t="e">
        <f>IF(INDEX(Absmin,MATCH(Table36[[#This Row],[Grist]],SMI,0))="-","-",IF(Table36[[#This Row],[%Absorption]]="-","-",IF(Table36[[#This Row],[%Absorption]]&lt;INDEX(Absmin,MATCH(Table36[[#This Row],[Grist]],SMI,0)),0,IF(Table36[[#This Row],[%Absorption]]&gt;INDEX(Absmax,MATCH(Table36[[#This Row],[Grist]],SMI,0)),0,1))))</f>
        <v>#N/A</v>
      </c>
      <c r="Y539" s="127" t="e">
        <f>IF(INDEX(Extmin,MATCH(Table36[[#This Row],[Grist]],SMI,0))="-","-",IF(Table36[[#This Row],[%Extensibility]]="-","-",IF(Table36[[#This Row],[%Extensibility]]&lt;INDEX(Extmin,MATCH(Table36[[#This Row],[Grist]],SMI,0)),0,IF(Table36[[#This Row],[%Extensibility]]&gt;INDEX(Extmax,MATCH(Table36[[#This Row],[Grist]],SMI,0)),0,1))))</f>
        <v>#N/A</v>
      </c>
      <c r="Z539" s="127" t="e">
        <f>IF(INDEX(Resmin,MATCH(Table36[[#This Row],[Grist]],SMI,0))="-","-",IF(Table36[[#This Row],[Resistance, max]]="-","-",IF(Table36[[#This Row],[Resistance, max]]&lt;INDEX(Resmin,MATCH(Table36[[#This Row],[Grist]],SMI,0)),0,IF(Table36[[#This Row],[Resistance, max]]&gt;INDEX(Resmax,MATCH(Table36[[#This Row],[Grist]],SMI,0)),0,1))))</f>
        <v>#N/A</v>
      </c>
      <c r="AA539" s="127" t="e">
        <f>IF(INDEX(WGmin,MATCH(Table36[[#This Row],[Grist]],SMI,0))="-","-",IF(Table36[[#This Row],[%Wet Gluten]]="-","-",IF(Table36[[#This Row],[%Wet Gluten]]&lt;INDEX(WGmin,MATCH(Table36[[#This Row],[Grist]],SMI,0)),0,IF(Table36[[#This Row],[%Wet Gluten]]&gt;INDEX(WGmax,MATCH(Table36[[#This Row],[Grist]],SMI,0)),0,1))))</f>
        <v>#N/A</v>
      </c>
      <c r="AB539" s="127" t="e">
        <f>SUM(Table36[[#This Row],[ QI Bran Content]:[QI WG]])</f>
        <v>#N/A</v>
      </c>
      <c r="AC539" s="127">
        <f>COUNT(Table36[[#This Row],[ QI Bran Content]:[QI WG]])</f>
        <v>3</v>
      </c>
    </row>
  </sheetData>
  <pageMargins left="0.7" right="0.7" top="0.75" bottom="0.75" header="0.3" footer="0.3"/>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239D-7A83-493A-9DFD-B6AB35C6293C}">
  <sheetPr codeName="Sheet7">
    <tabColor rgb="FFFFC000"/>
  </sheetPr>
  <dimension ref="A1:Q70"/>
  <sheetViews>
    <sheetView topLeftCell="A46" zoomScale="70" zoomScaleNormal="70" workbookViewId="0">
      <selection activeCell="J76" sqref="J76"/>
    </sheetView>
  </sheetViews>
  <sheetFormatPr defaultColWidth="11.81640625" defaultRowHeight="15.5" x14ac:dyDescent="0.35"/>
  <cols>
    <col min="1" max="1" width="42.26953125" style="84" bestFit="1" customWidth="1"/>
    <col min="2" max="2" width="14.1796875" style="84" customWidth="1"/>
    <col min="3" max="3" width="13.1796875" style="84" bestFit="1" customWidth="1"/>
    <col min="4" max="4" width="7" style="84" bestFit="1" customWidth="1"/>
    <col min="5" max="5" width="10.81640625" style="332" bestFit="1" customWidth="1"/>
    <col min="6" max="6" width="7.453125" style="84" bestFit="1" customWidth="1"/>
    <col min="7" max="7" width="14.453125" style="84" bestFit="1" customWidth="1"/>
    <col min="8" max="8" width="15.54296875" style="84" bestFit="1" customWidth="1"/>
    <col min="9" max="9" width="17.54296875" style="84" bestFit="1" customWidth="1"/>
    <col min="10" max="10" width="15" style="84" bestFit="1" customWidth="1"/>
    <col min="11" max="11" width="11.1796875" style="284" bestFit="1" customWidth="1"/>
    <col min="12" max="12" width="7.453125" style="284" bestFit="1" customWidth="1"/>
    <col min="13" max="14" width="8.1796875" style="284" bestFit="1" customWidth="1"/>
    <col min="15" max="15" width="15.54296875" style="84" bestFit="1" customWidth="1"/>
    <col min="16" max="16" width="17.54296875" style="84" bestFit="1" customWidth="1"/>
    <col min="17" max="16384" width="11.81640625" style="84"/>
  </cols>
  <sheetData>
    <row r="1" spans="1:16" x14ac:dyDescent="0.35">
      <c r="A1" s="385" t="s">
        <v>300</v>
      </c>
      <c r="B1" s="388" t="s">
        <v>301</v>
      </c>
      <c r="C1" s="386" t="s">
        <v>302</v>
      </c>
      <c r="D1" s="383" t="s">
        <v>303</v>
      </c>
      <c r="E1" s="383"/>
      <c r="F1" s="383"/>
      <c r="G1" s="383"/>
      <c r="H1" s="383"/>
      <c r="I1" s="383"/>
      <c r="J1" s="384"/>
      <c r="K1" s="387" t="s">
        <v>304</v>
      </c>
      <c r="L1" s="387"/>
      <c r="M1" s="387"/>
      <c r="N1" s="387"/>
      <c r="O1" s="387"/>
      <c r="P1" s="387"/>
    </row>
    <row r="2" spans="1:16" x14ac:dyDescent="0.35">
      <c r="A2" s="385"/>
      <c r="B2" s="389"/>
      <c r="C2" s="386"/>
      <c r="D2" s="281" t="s">
        <v>305</v>
      </c>
      <c r="E2" s="281" t="s">
        <v>211</v>
      </c>
      <c r="F2" s="281" t="s">
        <v>217</v>
      </c>
      <c r="G2" s="281" t="s">
        <v>216</v>
      </c>
      <c r="H2" s="281" t="s">
        <v>215</v>
      </c>
      <c r="I2" s="282" t="s">
        <v>213</v>
      </c>
      <c r="J2" s="291" t="s">
        <v>218</v>
      </c>
      <c r="K2" s="283" t="s">
        <v>305</v>
      </c>
      <c r="L2" s="283" t="s">
        <v>217</v>
      </c>
      <c r="M2" s="283" t="s">
        <v>306</v>
      </c>
      <c r="N2" s="283" t="s">
        <v>307</v>
      </c>
      <c r="O2" s="281" t="s">
        <v>215</v>
      </c>
      <c r="P2" s="282" t="s">
        <v>213</v>
      </c>
    </row>
    <row r="3" spans="1:16" x14ac:dyDescent="0.35">
      <c r="A3" s="286" t="s">
        <v>39</v>
      </c>
      <c r="B3" s="286"/>
      <c r="C3" s="287">
        <v>46190</v>
      </c>
      <c r="D3" s="288">
        <v>11.06</v>
      </c>
      <c r="E3" s="288">
        <v>8.8800000000000008</v>
      </c>
      <c r="F3" s="288" t="s">
        <v>163</v>
      </c>
      <c r="G3" s="288">
        <v>57.1</v>
      </c>
      <c r="H3" s="288" t="s">
        <v>163</v>
      </c>
      <c r="I3" s="289" t="s">
        <v>163</v>
      </c>
      <c r="J3" s="292">
        <v>24.1</v>
      </c>
      <c r="K3" s="290">
        <v>11.06</v>
      </c>
      <c r="L3" s="290"/>
      <c r="M3" s="290">
        <v>62.28</v>
      </c>
      <c r="N3" s="290">
        <v>23.9</v>
      </c>
      <c r="O3" s="285"/>
      <c r="P3" s="285"/>
    </row>
    <row r="4" spans="1:16" x14ac:dyDescent="0.35">
      <c r="A4" s="286" t="s">
        <v>78</v>
      </c>
      <c r="B4" s="286"/>
      <c r="C4" s="287">
        <v>46190</v>
      </c>
      <c r="D4" s="288">
        <v>11.97</v>
      </c>
      <c r="E4" s="288">
        <v>13.01</v>
      </c>
      <c r="F4" s="288">
        <v>0.68</v>
      </c>
      <c r="G4" s="288">
        <v>68.400000000000006</v>
      </c>
      <c r="H4" s="288" t="s">
        <v>163</v>
      </c>
      <c r="I4" s="289" t="s">
        <v>163</v>
      </c>
      <c r="J4" s="292">
        <v>36.5</v>
      </c>
      <c r="K4" s="290">
        <v>12</v>
      </c>
      <c r="L4" s="290"/>
      <c r="M4" s="290">
        <v>66.34</v>
      </c>
      <c r="N4" s="290">
        <v>37.1</v>
      </c>
      <c r="O4" s="285"/>
      <c r="P4" s="285"/>
    </row>
    <row r="5" spans="1:16" x14ac:dyDescent="0.35">
      <c r="A5" s="286" t="s">
        <v>39</v>
      </c>
      <c r="B5" s="286"/>
      <c r="C5" s="287">
        <v>46191</v>
      </c>
      <c r="D5" s="288">
        <v>11.19</v>
      </c>
      <c r="E5" s="288">
        <v>9.15</v>
      </c>
      <c r="F5" s="288" t="s">
        <v>163</v>
      </c>
      <c r="G5" s="288">
        <v>57.1</v>
      </c>
      <c r="H5" s="288" t="s">
        <v>163</v>
      </c>
      <c r="I5" s="289" t="s">
        <v>163</v>
      </c>
      <c r="J5" s="292">
        <v>24.9</v>
      </c>
      <c r="K5" s="290">
        <v>10.94</v>
      </c>
      <c r="L5" s="290"/>
      <c r="M5" s="290">
        <v>61.42</v>
      </c>
      <c r="N5" s="290">
        <v>23.2</v>
      </c>
      <c r="O5" s="285"/>
      <c r="P5" s="285"/>
    </row>
    <row r="6" spans="1:16" x14ac:dyDescent="0.35">
      <c r="A6" s="286" t="s">
        <v>134</v>
      </c>
      <c r="B6" s="286"/>
      <c r="C6" s="287">
        <v>46191</v>
      </c>
      <c r="D6" s="288">
        <v>10.97</v>
      </c>
      <c r="E6" s="288">
        <v>9.41</v>
      </c>
      <c r="F6" s="288" t="s">
        <v>163</v>
      </c>
      <c r="G6" s="288">
        <v>57.9</v>
      </c>
      <c r="H6" s="288" t="s">
        <v>163</v>
      </c>
      <c r="I6" s="289" t="s">
        <v>163</v>
      </c>
      <c r="J6" s="292">
        <v>25.8</v>
      </c>
      <c r="K6" s="290">
        <v>11</v>
      </c>
      <c r="L6" s="290"/>
      <c r="M6" s="290">
        <v>62.21</v>
      </c>
      <c r="N6" s="290">
        <v>23.2</v>
      </c>
      <c r="O6" s="285"/>
      <c r="P6" s="285"/>
    </row>
    <row r="7" spans="1:16" x14ac:dyDescent="0.35">
      <c r="A7" s="286" t="s">
        <v>101</v>
      </c>
      <c r="B7" s="286"/>
      <c r="C7" s="287">
        <v>46191</v>
      </c>
      <c r="D7" s="288">
        <v>11.58</v>
      </c>
      <c r="E7" s="288" t="s">
        <v>163</v>
      </c>
      <c r="F7" s="288" t="s">
        <v>163</v>
      </c>
      <c r="G7" s="288" t="s">
        <v>163</v>
      </c>
      <c r="H7" s="288" t="s">
        <v>163</v>
      </c>
      <c r="I7" s="289" t="s">
        <v>163</v>
      </c>
      <c r="J7" s="292" t="s">
        <v>163</v>
      </c>
      <c r="K7" s="290">
        <v>11.58</v>
      </c>
      <c r="L7" s="290"/>
      <c r="M7" s="290">
        <v>71.3</v>
      </c>
      <c r="N7" s="290">
        <v>37.6</v>
      </c>
      <c r="O7" s="285"/>
      <c r="P7" s="285"/>
    </row>
    <row r="8" spans="1:16" x14ac:dyDescent="0.35">
      <c r="A8" s="286" t="s">
        <v>39</v>
      </c>
      <c r="B8" s="286"/>
      <c r="C8" s="287">
        <v>46191</v>
      </c>
      <c r="D8" s="288">
        <v>10.87</v>
      </c>
      <c r="E8" s="288" t="s">
        <v>163</v>
      </c>
      <c r="F8" s="288" t="s">
        <v>163</v>
      </c>
      <c r="G8" s="288" t="s">
        <v>163</v>
      </c>
      <c r="H8" s="288" t="s">
        <v>163</v>
      </c>
      <c r="I8" s="289" t="s">
        <v>163</v>
      </c>
      <c r="J8" s="292" t="s">
        <v>163</v>
      </c>
      <c r="K8" s="290">
        <v>11.04</v>
      </c>
      <c r="L8" s="290"/>
      <c r="M8" s="290">
        <v>61.63</v>
      </c>
      <c r="N8" s="290">
        <v>22.9</v>
      </c>
      <c r="O8" s="285"/>
      <c r="P8" s="285"/>
    </row>
    <row r="9" spans="1:16" x14ac:dyDescent="0.35">
      <c r="A9" s="286" t="s">
        <v>179</v>
      </c>
      <c r="B9" s="286"/>
      <c r="C9" s="287">
        <v>46191</v>
      </c>
      <c r="D9" s="288">
        <v>13.46</v>
      </c>
      <c r="E9" s="288" t="s">
        <v>163</v>
      </c>
      <c r="F9" s="288" t="s">
        <v>163</v>
      </c>
      <c r="G9" s="288">
        <v>66.5</v>
      </c>
      <c r="H9" s="288" t="s">
        <v>163</v>
      </c>
      <c r="I9" s="289" t="s">
        <v>163</v>
      </c>
      <c r="J9" s="292">
        <v>35.700000000000003</v>
      </c>
      <c r="K9" s="290">
        <v>12.3</v>
      </c>
      <c r="L9" s="290"/>
      <c r="M9" s="290">
        <v>64.92</v>
      </c>
      <c r="N9" s="290">
        <v>35.6</v>
      </c>
      <c r="O9" s="285"/>
      <c r="P9" s="285"/>
    </row>
    <row r="10" spans="1:16" x14ac:dyDescent="0.35">
      <c r="A10" s="286" t="s">
        <v>123</v>
      </c>
      <c r="B10" s="286"/>
      <c r="C10" s="287">
        <v>46191</v>
      </c>
      <c r="D10" s="288">
        <v>12.24</v>
      </c>
      <c r="E10" s="288">
        <v>11.76</v>
      </c>
      <c r="F10" s="288">
        <v>0.5</v>
      </c>
      <c r="G10" s="288">
        <v>68</v>
      </c>
      <c r="H10" s="288" t="s">
        <v>163</v>
      </c>
      <c r="I10" s="289" t="s">
        <v>163</v>
      </c>
      <c r="J10" s="292">
        <v>32.799999999999997</v>
      </c>
      <c r="K10" s="290">
        <v>10.8</v>
      </c>
      <c r="L10" s="290"/>
      <c r="M10" s="290">
        <v>65.209999999999994</v>
      </c>
      <c r="N10" s="290">
        <v>33.299999999999997</v>
      </c>
      <c r="O10" s="285"/>
      <c r="P10" s="285"/>
    </row>
    <row r="11" spans="1:16" x14ac:dyDescent="0.35">
      <c r="A11" s="286" t="s">
        <v>145</v>
      </c>
      <c r="B11" s="286"/>
      <c r="C11" s="287">
        <v>46191</v>
      </c>
      <c r="D11" s="288">
        <v>10.85</v>
      </c>
      <c r="E11" s="288">
        <v>12.78</v>
      </c>
      <c r="F11" s="288">
        <v>0.53</v>
      </c>
      <c r="G11" s="288">
        <v>67.8</v>
      </c>
      <c r="H11" s="288" t="s">
        <v>163</v>
      </c>
      <c r="I11" s="289" t="s">
        <v>163</v>
      </c>
      <c r="J11" s="292">
        <v>36.1</v>
      </c>
      <c r="K11" s="290">
        <v>10.85</v>
      </c>
      <c r="L11" s="290"/>
      <c r="M11" s="290">
        <v>65.72</v>
      </c>
      <c r="N11" s="290">
        <v>35.799999999999997</v>
      </c>
      <c r="O11" s="285"/>
      <c r="P11" s="285"/>
    </row>
    <row r="12" spans="1:16" x14ac:dyDescent="0.35">
      <c r="A12" s="286" t="s">
        <v>123</v>
      </c>
      <c r="B12" s="286"/>
      <c r="C12" s="287">
        <v>46192</v>
      </c>
      <c r="D12" s="288">
        <v>11.5</v>
      </c>
      <c r="E12" s="288">
        <v>12.1</v>
      </c>
      <c r="F12" s="288">
        <v>0.49</v>
      </c>
      <c r="G12" s="288">
        <v>68.900000000000006</v>
      </c>
      <c r="H12" s="288" t="s">
        <v>163</v>
      </c>
      <c r="I12" s="289" t="s">
        <v>163</v>
      </c>
      <c r="J12" s="292">
        <v>33.9</v>
      </c>
      <c r="K12" s="290">
        <v>10.5</v>
      </c>
      <c r="L12" s="290"/>
      <c r="M12" s="290">
        <v>66.489999999999995</v>
      </c>
      <c r="N12" s="290">
        <v>37.4</v>
      </c>
      <c r="O12" s="285"/>
      <c r="P12" s="285"/>
    </row>
    <row r="13" spans="1:16" x14ac:dyDescent="0.35">
      <c r="A13" s="286" t="s">
        <v>145</v>
      </c>
      <c r="B13" s="286"/>
      <c r="C13" s="287">
        <v>46192</v>
      </c>
      <c r="D13" s="288">
        <v>11.38</v>
      </c>
      <c r="E13" s="288">
        <v>13.15</v>
      </c>
      <c r="F13" s="288">
        <v>0.52</v>
      </c>
      <c r="G13" s="288">
        <v>66.3</v>
      </c>
      <c r="H13" s="288" t="s">
        <v>163</v>
      </c>
      <c r="I13" s="289" t="s">
        <v>163</v>
      </c>
      <c r="J13" s="292">
        <v>37.299999999999997</v>
      </c>
      <c r="K13" s="290">
        <v>11.38</v>
      </c>
      <c r="L13" s="290"/>
      <c r="M13" s="290">
        <v>66.489999999999995</v>
      </c>
      <c r="N13" s="290">
        <v>35.5</v>
      </c>
      <c r="O13" s="285"/>
      <c r="P13" s="285"/>
    </row>
    <row r="14" spans="1:16" x14ac:dyDescent="0.35">
      <c r="A14" s="286" t="s">
        <v>41</v>
      </c>
      <c r="B14" s="286"/>
      <c r="C14" s="287">
        <v>46192</v>
      </c>
      <c r="D14" s="288">
        <v>12.35</v>
      </c>
      <c r="E14" s="288">
        <v>11.46</v>
      </c>
      <c r="F14" s="288" t="s">
        <v>163</v>
      </c>
      <c r="G14" s="288" t="s">
        <v>163</v>
      </c>
      <c r="H14" s="288" t="s">
        <v>163</v>
      </c>
      <c r="I14" s="289" t="s">
        <v>163</v>
      </c>
      <c r="J14" s="292">
        <v>31.8</v>
      </c>
      <c r="K14" s="290">
        <v>12.47</v>
      </c>
      <c r="L14" s="290"/>
      <c r="M14" s="290">
        <v>63.33</v>
      </c>
      <c r="N14" s="290">
        <v>33.299999999999997</v>
      </c>
      <c r="O14" s="285"/>
      <c r="P14" s="285"/>
    </row>
    <row r="15" spans="1:16" x14ac:dyDescent="0.35">
      <c r="A15" s="286" t="s">
        <v>101</v>
      </c>
      <c r="B15" s="286"/>
      <c r="C15" s="287">
        <v>46192</v>
      </c>
      <c r="D15" s="288">
        <v>11.82</v>
      </c>
      <c r="E15" s="288">
        <v>15.39</v>
      </c>
      <c r="F15" s="288">
        <v>1.33</v>
      </c>
      <c r="G15" s="288">
        <v>73.7</v>
      </c>
      <c r="H15" s="288" t="s">
        <v>163</v>
      </c>
      <c r="I15" s="289" t="s">
        <v>163</v>
      </c>
      <c r="J15" s="292">
        <v>44</v>
      </c>
      <c r="K15" s="290">
        <v>11.82</v>
      </c>
      <c r="L15" s="290"/>
      <c r="M15" s="290">
        <v>70.72</v>
      </c>
      <c r="N15" s="290">
        <v>35</v>
      </c>
      <c r="O15" s="285"/>
      <c r="P15" s="285"/>
    </row>
    <row r="16" spans="1:16" x14ac:dyDescent="0.35">
      <c r="A16" s="286" t="s">
        <v>140</v>
      </c>
      <c r="B16" s="286"/>
      <c r="C16" s="287">
        <v>46192</v>
      </c>
      <c r="D16" s="288">
        <v>11.42</v>
      </c>
      <c r="E16" s="288">
        <v>8.81</v>
      </c>
      <c r="F16" s="288">
        <v>0.56000000000000005</v>
      </c>
      <c r="G16" s="288" t="s">
        <v>163</v>
      </c>
      <c r="H16" s="288" t="s">
        <v>163</v>
      </c>
      <c r="I16" s="289" t="s">
        <v>163</v>
      </c>
      <c r="J16" s="292">
        <v>23.8</v>
      </c>
      <c r="K16" s="290">
        <v>11.68</v>
      </c>
      <c r="L16" s="290"/>
      <c r="M16" s="290">
        <v>60.7</v>
      </c>
      <c r="N16" s="290">
        <v>22.8</v>
      </c>
      <c r="O16" s="285"/>
      <c r="P16" s="285"/>
    </row>
    <row r="17" spans="1:16" x14ac:dyDescent="0.35">
      <c r="A17" s="286" t="s">
        <v>135</v>
      </c>
      <c r="B17" s="286"/>
      <c r="C17" s="287">
        <v>46192</v>
      </c>
      <c r="D17" s="288">
        <v>12.38</v>
      </c>
      <c r="E17" s="288">
        <v>12.77</v>
      </c>
      <c r="F17" s="288">
        <v>0.42</v>
      </c>
      <c r="G17" s="288">
        <v>65.2</v>
      </c>
      <c r="H17" s="288">
        <v>21.3</v>
      </c>
      <c r="I17" s="289">
        <v>662</v>
      </c>
      <c r="J17" s="292">
        <v>35.799999999999997</v>
      </c>
      <c r="K17" s="290">
        <v>12.38</v>
      </c>
      <c r="L17" s="290"/>
      <c r="M17" s="290">
        <v>63.99</v>
      </c>
      <c r="N17" s="290">
        <v>35.9</v>
      </c>
      <c r="O17" s="285"/>
      <c r="P17" s="285"/>
    </row>
    <row r="18" spans="1:16" x14ac:dyDescent="0.35">
      <c r="A18" s="286" t="s">
        <v>138</v>
      </c>
      <c r="B18" s="286"/>
      <c r="C18" s="287">
        <v>46193</v>
      </c>
      <c r="D18" s="288">
        <v>11.09</v>
      </c>
      <c r="E18" s="288">
        <v>8.64</v>
      </c>
      <c r="F18" s="288" t="s">
        <v>163</v>
      </c>
      <c r="G18" s="288">
        <v>57.1</v>
      </c>
      <c r="H18" s="288" t="s">
        <v>163</v>
      </c>
      <c r="I18" s="289" t="s">
        <v>163</v>
      </c>
      <c r="J18" s="292">
        <v>23.4</v>
      </c>
      <c r="K18" s="290">
        <v>11.09</v>
      </c>
      <c r="L18" s="290"/>
      <c r="M18" s="290">
        <v>60.79</v>
      </c>
      <c r="N18" s="290">
        <v>24.1</v>
      </c>
      <c r="O18" s="285"/>
      <c r="P18" s="285"/>
    </row>
    <row r="19" spans="1:16" x14ac:dyDescent="0.35">
      <c r="A19" s="286" t="s">
        <v>189</v>
      </c>
      <c r="B19" s="286"/>
      <c r="C19" s="287">
        <v>46193</v>
      </c>
      <c r="D19" s="294">
        <v>10.82</v>
      </c>
      <c r="E19" s="294">
        <v>8.85</v>
      </c>
      <c r="F19" s="294">
        <v>0.56999999999999995</v>
      </c>
      <c r="G19" s="294">
        <v>58.3</v>
      </c>
      <c r="H19" s="294" t="s">
        <v>163</v>
      </c>
      <c r="I19" s="295" t="s">
        <v>163</v>
      </c>
      <c r="J19" s="296">
        <v>24.1</v>
      </c>
      <c r="K19" s="297">
        <v>10.58</v>
      </c>
      <c r="L19" s="297"/>
      <c r="M19" s="297">
        <v>61.59</v>
      </c>
      <c r="N19" s="297">
        <v>25.8</v>
      </c>
      <c r="O19" s="303"/>
      <c r="P19" s="303"/>
    </row>
    <row r="20" spans="1:16" x14ac:dyDescent="0.35">
      <c r="A20" s="286" t="s">
        <v>145</v>
      </c>
      <c r="B20" s="316"/>
      <c r="C20" s="293">
        <v>46193</v>
      </c>
      <c r="D20" s="298">
        <v>12.49</v>
      </c>
      <c r="E20" s="298">
        <v>12.54</v>
      </c>
      <c r="F20" s="298">
        <v>0.52</v>
      </c>
      <c r="G20" s="298">
        <v>64.8</v>
      </c>
      <c r="H20" s="298" t="s">
        <v>163</v>
      </c>
      <c r="I20" s="299" t="s">
        <v>163</v>
      </c>
      <c r="J20" s="298">
        <v>35.1</v>
      </c>
      <c r="K20" s="300">
        <v>12.39</v>
      </c>
      <c r="L20" s="300"/>
      <c r="M20" s="300">
        <v>64.55</v>
      </c>
      <c r="N20" s="300">
        <v>36.22</v>
      </c>
      <c r="O20" s="301"/>
      <c r="P20" s="301"/>
    </row>
    <row r="21" spans="1:16" x14ac:dyDescent="0.35">
      <c r="A21" s="286" t="s">
        <v>78</v>
      </c>
      <c r="B21" s="316"/>
      <c r="C21" s="293">
        <v>46195</v>
      </c>
      <c r="D21" s="301">
        <v>12.61</v>
      </c>
      <c r="E21" s="330">
        <v>13.01</v>
      </c>
      <c r="F21" s="301">
        <v>0.59</v>
      </c>
      <c r="G21" s="308">
        <v>66.3</v>
      </c>
      <c r="H21" s="298">
        <v>14.9</v>
      </c>
      <c r="I21" s="299">
        <v>1029</v>
      </c>
      <c r="J21" s="308">
        <v>36.4</v>
      </c>
      <c r="K21" s="300">
        <v>12.13</v>
      </c>
      <c r="L21" s="300"/>
      <c r="M21" s="300">
        <v>65.010000000000005</v>
      </c>
      <c r="N21" s="300">
        <v>36.799999999999997</v>
      </c>
      <c r="O21" s="301"/>
      <c r="P21" s="301"/>
    </row>
    <row r="22" spans="1:16" x14ac:dyDescent="0.35">
      <c r="A22" s="286" t="s">
        <v>145</v>
      </c>
      <c r="B22" s="316"/>
      <c r="C22" s="293">
        <v>46195</v>
      </c>
      <c r="D22" s="301">
        <v>12.11</v>
      </c>
      <c r="E22" s="330">
        <v>13.24</v>
      </c>
      <c r="F22" s="301">
        <v>0.56000000000000005</v>
      </c>
      <c r="G22" s="308">
        <v>66.2</v>
      </c>
      <c r="H22" s="301">
        <v>18.8</v>
      </c>
      <c r="I22" s="301">
        <v>687</v>
      </c>
      <c r="J22" s="308">
        <v>37.200000000000003</v>
      </c>
      <c r="K22" s="302">
        <v>11.4</v>
      </c>
      <c r="L22" s="302"/>
      <c r="M22" s="302">
        <v>66.37</v>
      </c>
      <c r="N22" s="302">
        <v>36.9</v>
      </c>
      <c r="O22" s="301"/>
      <c r="P22" s="301"/>
    </row>
    <row r="23" spans="1:16" x14ac:dyDescent="0.35">
      <c r="A23" s="286" t="s">
        <v>308</v>
      </c>
      <c r="B23" s="316"/>
      <c r="C23" s="293">
        <v>46195</v>
      </c>
      <c r="D23" s="301">
        <v>11.35</v>
      </c>
      <c r="E23" s="330">
        <v>6.15</v>
      </c>
      <c r="F23" s="301">
        <v>0.55000000000000004</v>
      </c>
      <c r="G23" s="308">
        <v>54.5</v>
      </c>
      <c r="H23" s="301">
        <v>11.1</v>
      </c>
      <c r="I23" s="301">
        <v>381</v>
      </c>
      <c r="J23" s="308">
        <v>24.8</v>
      </c>
      <c r="K23" s="302">
        <v>12.17</v>
      </c>
      <c r="L23" s="302"/>
      <c r="M23" s="302">
        <v>60.07</v>
      </c>
      <c r="N23" s="302">
        <v>23.5</v>
      </c>
      <c r="O23" s="301"/>
      <c r="P23" s="301"/>
    </row>
    <row r="24" spans="1:16" x14ac:dyDescent="0.35">
      <c r="A24" s="286" t="s">
        <v>140</v>
      </c>
      <c r="B24" s="316"/>
      <c r="C24" s="293">
        <v>46195</v>
      </c>
      <c r="D24" s="301">
        <v>10.61</v>
      </c>
      <c r="E24" s="330">
        <v>9.25</v>
      </c>
      <c r="F24" s="301">
        <v>0.53</v>
      </c>
      <c r="G24" s="308">
        <v>57.2</v>
      </c>
      <c r="H24" s="301"/>
      <c r="I24" s="301"/>
      <c r="J24" s="308">
        <v>25.2</v>
      </c>
      <c r="K24" s="302">
        <v>11.37</v>
      </c>
      <c r="L24" s="302"/>
      <c r="M24" s="302">
        <v>60.99</v>
      </c>
      <c r="N24" s="302">
        <v>23.7</v>
      </c>
      <c r="O24" s="301"/>
      <c r="P24" s="301"/>
    </row>
    <row r="25" spans="1:16" x14ac:dyDescent="0.35">
      <c r="A25" s="286" t="s">
        <v>308</v>
      </c>
      <c r="B25" s="316"/>
      <c r="C25" s="293">
        <v>46196</v>
      </c>
      <c r="D25" s="301">
        <v>11.22</v>
      </c>
      <c r="E25" s="330">
        <v>9.98</v>
      </c>
      <c r="F25" s="301">
        <v>0.54</v>
      </c>
      <c r="G25" s="308">
        <v>52.4</v>
      </c>
      <c r="H25" s="301"/>
      <c r="I25" s="301"/>
      <c r="J25" s="308">
        <v>24.3</v>
      </c>
      <c r="K25" s="302">
        <v>11.12</v>
      </c>
      <c r="L25" s="302"/>
      <c r="M25" s="302">
        <v>60.52</v>
      </c>
      <c r="N25" s="302">
        <v>23.2</v>
      </c>
      <c r="O25" s="301"/>
      <c r="P25" s="301"/>
    </row>
    <row r="26" spans="1:16" x14ac:dyDescent="0.35">
      <c r="A26" s="286" t="s">
        <v>309</v>
      </c>
      <c r="B26" s="316"/>
      <c r="C26" s="293">
        <v>46196</v>
      </c>
      <c r="D26" s="301">
        <v>12.08</v>
      </c>
      <c r="E26" s="330">
        <v>11.97</v>
      </c>
      <c r="F26" s="301">
        <v>0.6</v>
      </c>
      <c r="G26" s="308">
        <v>65.099999999999994</v>
      </c>
      <c r="H26" s="301"/>
      <c r="I26" s="301"/>
      <c r="J26" s="308">
        <v>33.4</v>
      </c>
      <c r="K26" s="302">
        <v>11.85</v>
      </c>
      <c r="L26" s="302"/>
      <c r="M26" s="302">
        <v>64.12</v>
      </c>
      <c r="N26" s="302">
        <v>33.700000000000003</v>
      </c>
      <c r="O26" s="301"/>
      <c r="P26" s="301"/>
    </row>
    <row r="27" spans="1:16" x14ac:dyDescent="0.35">
      <c r="A27" s="304" t="s">
        <v>310</v>
      </c>
      <c r="B27" s="317"/>
      <c r="C27" s="305">
        <v>46196</v>
      </c>
      <c r="D27" s="306">
        <v>12.13</v>
      </c>
      <c r="E27" s="331">
        <v>11.67</v>
      </c>
      <c r="F27" s="306">
        <v>0.62</v>
      </c>
      <c r="G27" s="309">
        <v>64.5</v>
      </c>
      <c r="H27" s="306"/>
      <c r="I27" s="306"/>
      <c r="J27" s="309">
        <v>32.9</v>
      </c>
      <c r="K27" s="307">
        <v>12.7</v>
      </c>
      <c r="L27" s="307"/>
      <c r="M27" s="307">
        <v>64.989999999999995</v>
      </c>
      <c r="N27" s="307">
        <v>34.5</v>
      </c>
      <c r="O27" s="306"/>
      <c r="P27" s="306"/>
    </row>
    <row r="28" spans="1:16" x14ac:dyDescent="0.35">
      <c r="A28" s="314" t="s">
        <v>308</v>
      </c>
      <c r="B28" s="234"/>
      <c r="C28" s="320">
        <v>46196</v>
      </c>
      <c r="D28" s="301">
        <v>11.22</v>
      </c>
      <c r="E28" s="330">
        <v>8.64</v>
      </c>
      <c r="F28" s="301">
        <v>0.57999999999999996</v>
      </c>
      <c r="G28" s="308">
        <v>56.3</v>
      </c>
      <c r="H28" s="301"/>
      <c r="I28" s="301"/>
      <c r="J28" s="308">
        <v>23.2</v>
      </c>
      <c r="K28" s="302">
        <v>11.92</v>
      </c>
      <c r="L28" s="302"/>
      <c r="M28" s="302">
        <v>60.9</v>
      </c>
      <c r="N28" s="302">
        <v>23.5</v>
      </c>
      <c r="O28" s="301"/>
      <c r="P28" s="301"/>
    </row>
    <row r="29" spans="1:16" x14ac:dyDescent="0.35">
      <c r="A29" s="313" t="s">
        <v>311</v>
      </c>
      <c r="B29" s="235"/>
      <c r="C29" s="320">
        <v>46196</v>
      </c>
      <c r="D29" s="301">
        <v>11.79</v>
      </c>
      <c r="E29" s="330">
        <v>12.89</v>
      </c>
      <c r="F29" s="301"/>
      <c r="G29" s="308">
        <v>65.2</v>
      </c>
      <c r="H29" s="301"/>
      <c r="I29" s="301"/>
      <c r="J29" s="308">
        <v>36.200000000000003</v>
      </c>
      <c r="K29" s="302">
        <v>12.22</v>
      </c>
      <c r="L29" s="302"/>
      <c r="M29" s="302">
        <v>65.599999999999994</v>
      </c>
      <c r="N29" s="302">
        <v>36.5</v>
      </c>
      <c r="O29" s="301"/>
      <c r="P29" s="301"/>
    </row>
    <row r="30" spans="1:16" x14ac:dyDescent="0.35">
      <c r="A30" s="316" t="s">
        <v>123</v>
      </c>
      <c r="B30" s="234"/>
      <c r="C30" s="320">
        <v>46197</v>
      </c>
      <c r="D30" s="301"/>
      <c r="E30" s="330"/>
      <c r="F30" s="301"/>
      <c r="G30" s="308"/>
      <c r="H30" s="301"/>
      <c r="I30" s="301"/>
      <c r="J30" s="308"/>
      <c r="K30" s="302">
        <v>12.19</v>
      </c>
      <c r="L30" s="302"/>
      <c r="M30" s="302">
        <v>65.62</v>
      </c>
      <c r="N30" s="302">
        <v>36.9</v>
      </c>
      <c r="O30" s="301"/>
      <c r="P30" s="301"/>
    </row>
    <row r="31" spans="1:16" x14ac:dyDescent="0.35">
      <c r="A31" s="316" t="s">
        <v>138</v>
      </c>
      <c r="B31" s="234"/>
      <c r="C31" s="320">
        <v>46197</v>
      </c>
      <c r="D31" s="301"/>
      <c r="E31" s="330"/>
      <c r="F31" s="301"/>
      <c r="G31" s="308"/>
      <c r="H31" s="301"/>
      <c r="I31" s="301"/>
      <c r="J31" s="308"/>
      <c r="K31" s="302">
        <v>11.04</v>
      </c>
      <c r="L31" s="302"/>
      <c r="M31" s="302">
        <v>60.59</v>
      </c>
      <c r="N31" s="302">
        <v>23.4</v>
      </c>
      <c r="O31" s="301"/>
      <c r="P31" s="301"/>
    </row>
    <row r="32" spans="1:16" x14ac:dyDescent="0.35">
      <c r="A32" s="316" t="s">
        <v>312</v>
      </c>
      <c r="B32" s="234"/>
      <c r="C32" s="320">
        <v>46197</v>
      </c>
      <c r="D32" s="301"/>
      <c r="E32" s="330"/>
      <c r="F32" s="301"/>
      <c r="G32" s="308"/>
      <c r="H32" s="301"/>
      <c r="I32" s="301"/>
      <c r="J32" s="308"/>
      <c r="K32" s="302">
        <v>12.01</v>
      </c>
      <c r="L32" s="302"/>
      <c r="M32" s="302">
        <v>64.17</v>
      </c>
      <c r="N32" s="302">
        <v>35.299999999999997</v>
      </c>
      <c r="O32" s="301"/>
      <c r="P32" s="301"/>
    </row>
    <row r="33" spans="1:17" x14ac:dyDescent="0.35">
      <c r="A33" s="316" t="s">
        <v>39</v>
      </c>
      <c r="B33" s="234"/>
      <c r="C33" s="320">
        <v>46198</v>
      </c>
      <c r="D33" s="301">
        <v>10.83</v>
      </c>
      <c r="E33" s="330"/>
      <c r="F33" s="301"/>
      <c r="G33" s="308"/>
      <c r="H33" s="301"/>
      <c r="I33" s="301"/>
      <c r="J33" s="308"/>
      <c r="K33" s="302">
        <v>10.96</v>
      </c>
      <c r="L33" s="302"/>
      <c r="M33" s="302">
        <v>61.35</v>
      </c>
      <c r="N33" s="302">
        <v>24.6</v>
      </c>
      <c r="O33" s="301"/>
      <c r="P33" s="301"/>
    </row>
    <row r="34" spans="1:17" x14ac:dyDescent="0.35">
      <c r="A34" s="316" t="s">
        <v>313</v>
      </c>
      <c r="B34" s="234"/>
      <c r="C34" s="320">
        <v>46200</v>
      </c>
      <c r="D34" s="301">
        <v>10.34</v>
      </c>
      <c r="E34" s="330"/>
      <c r="F34" s="301"/>
      <c r="G34" s="308"/>
      <c r="H34" s="301"/>
      <c r="I34" s="301"/>
      <c r="J34" s="308"/>
      <c r="K34" s="302">
        <v>10.9</v>
      </c>
      <c r="L34" s="302"/>
      <c r="M34" s="302"/>
      <c r="N34" s="302"/>
      <c r="O34" s="301"/>
      <c r="P34" s="301"/>
    </row>
    <row r="35" spans="1:17" x14ac:dyDescent="0.35">
      <c r="B35" s="301"/>
    </row>
    <row r="36" spans="1:17" x14ac:dyDescent="0.35">
      <c r="A36" s="316" t="s">
        <v>123</v>
      </c>
      <c r="B36" s="234"/>
      <c r="C36" s="320">
        <v>46212</v>
      </c>
      <c r="D36" s="311">
        <v>12.11</v>
      </c>
      <c r="E36" s="333">
        <v>12.39</v>
      </c>
      <c r="F36" s="311">
        <v>0.57999999999999996</v>
      </c>
      <c r="G36" s="312">
        <v>61.6</v>
      </c>
      <c r="H36" s="301"/>
      <c r="I36" s="301"/>
      <c r="J36" s="308"/>
      <c r="K36" s="302">
        <v>13.04</v>
      </c>
      <c r="L36" s="302"/>
      <c r="M36" s="302">
        <v>63.79</v>
      </c>
      <c r="N36" s="302">
        <v>35.700000000000003</v>
      </c>
      <c r="O36" s="301"/>
      <c r="P36" s="301"/>
    </row>
    <row r="37" spans="1:17" x14ac:dyDescent="0.35">
      <c r="A37" s="316" t="s">
        <v>312</v>
      </c>
      <c r="B37" s="234"/>
      <c r="C37" s="320">
        <v>46212</v>
      </c>
      <c r="D37" s="311">
        <v>11.29</v>
      </c>
      <c r="E37" s="333">
        <v>12.44</v>
      </c>
      <c r="F37" s="311">
        <v>0.62</v>
      </c>
      <c r="G37" s="312">
        <v>64.2</v>
      </c>
      <c r="H37" s="301"/>
      <c r="I37" s="301"/>
      <c r="J37" s="308"/>
      <c r="K37" s="302">
        <v>11.96</v>
      </c>
      <c r="L37" s="302"/>
      <c r="M37" s="302">
        <v>65.97</v>
      </c>
      <c r="N37" s="302">
        <v>34.799999999999997</v>
      </c>
      <c r="O37" s="301"/>
      <c r="P37" s="301"/>
    </row>
    <row r="38" spans="1:17" x14ac:dyDescent="0.35">
      <c r="A38" s="316" t="s">
        <v>101</v>
      </c>
      <c r="B38" s="234"/>
      <c r="C38" s="320">
        <v>46212</v>
      </c>
      <c r="D38" s="311">
        <v>11.91</v>
      </c>
      <c r="E38" s="333">
        <v>14.95</v>
      </c>
      <c r="F38" s="311">
        <v>1.42</v>
      </c>
      <c r="G38" s="312">
        <v>70.900000000000006</v>
      </c>
      <c r="H38" s="301"/>
      <c r="I38" s="301"/>
      <c r="J38" s="308"/>
      <c r="K38" s="302">
        <v>12.77</v>
      </c>
      <c r="L38" s="302"/>
      <c r="M38" s="302">
        <v>69.98</v>
      </c>
      <c r="N38" s="302">
        <v>36.299999999999997</v>
      </c>
      <c r="O38" s="301"/>
      <c r="P38" s="301"/>
    </row>
    <row r="39" spans="1:17" x14ac:dyDescent="0.35">
      <c r="A39" s="318" t="s">
        <v>36</v>
      </c>
      <c r="B39" s="321"/>
      <c r="C39" s="320">
        <v>46212</v>
      </c>
      <c r="D39" s="311">
        <v>11.46</v>
      </c>
      <c r="E39" s="333">
        <v>12.05</v>
      </c>
      <c r="F39" s="311">
        <v>0.61</v>
      </c>
      <c r="G39" s="312">
        <v>63.1</v>
      </c>
      <c r="H39" s="301"/>
      <c r="I39" s="301"/>
      <c r="J39" s="308"/>
      <c r="K39" s="302">
        <v>12.1</v>
      </c>
      <c r="L39" s="302"/>
      <c r="M39" s="302">
        <v>66.03</v>
      </c>
      <c r="N39" s="302">
        <v>34.5</v>
      </c>
      <c r="O39" s="301"/>
      <c r="P39" s="301"/>
    </row>
    <row r="40" spans="1:17" x14ac:dyDescent="0.35">
      <c r="A40" s="318" t="s">
        <v>112</v>
      </c>
      <c r="B40" s="321"/>
      <c r="C40" s="320">
        <v>46213</v>
      </c>
      <c r="D40" s="311">
        <v>12</v>
      </c>
      <c r="E40" s="333">
        <v>13.2</v>
      </c>
      <c r="F40" s="311">
        <v>0.57999999999999996</v>
      </c>
      <c r="G40" s="312">
        <v>64</v>
      </c>
      <c r="H40" s="301"/>
      <c r="I40" s="301"/>
      <c r="J40" s="308">
        <v>37.1</v>
      </c>
      <c r="K40" s="302">
        <v>12.62</v>
      </c>
      <c r="L40" s="302"/>
      <c r="M40" s="302">
        <v>65.150000000000006</v>
      </c>
      <c r="N40" s="302">
        <v>35.299999999999997</v>
      </c>
      <c r="O40" s="301"/>
      <c r="P40" s="301"/>
    </row>
    <row r="41" spans="1:17" x14ac:dyDescent="0.35">
      <c r="A41" s="318" t="s">
        <v>158</v>
      </c>
      <c r="B41" s="325">
        <v>46211</v>
      </c>
      <c r="C41" s="320">
        <v>46213</v>
      </c>
      <c r="D41" s="311">
        <v>10.96</v>
      </c>
      <c r="E41" s="333">
        <v>8.1</v>
      </c>
      <c r="F41" s="311">
        <v>0.52</v>
      </c>
      <c r="G41" s="312">
        <v>55.2</v>
      </c>
      <c r="H41" s="301"/>
      <c r="I41" s="301"/>
      <c r="J41" s="308">
        <v>21.62</v>
      </c>
      <c r="K41" s="302">
        <v>11.5</v>
      </c>
      <c r="L41" s="302"/>
      <c r="M41" s="302">
        <v>60.9</v>
      </c>
      <c r="N41" s="302">
        <v>23.9</v>
      </c>
      <c r="O41" s="301"/>
      <c r="P41" s="301"/>
      <c r="Q41" s="84" t="s">
        <v>314</v>
      </c>
    </row>
    <row r="42" spans="1:17" x14ac:dyDescent="0.35">
      <c r="A42" s="318" t="s">
        <v>189</v>
      </c>
      <c r="B42" s="325">
        <v>46211</v>
      </c>
      <c r="C42" s="320">
        <v>46213</v>
      </c>
      <c r="D42" s="311">
        <v>10.48</v>
      </c>
      <c r="E42" s="333">
        <v>8.76</v>
      </c>
      <c r="F42" s="311">
        <v>0.63</v>
      </c>
      <c r="G42" s="312">
        <v>59.8</v>
      </c>
      <c r="H42" s="301"/>
      <c r="I42" s="301"/>
      <c r="J42" s="308">
        <v>23.7</v>
      </c>
      <c r="K42" s="302">
        <v>11.16</v>
      </c>
      <c r="L42" s="302"/>
      <c r="M42" s="302">
        <v>64.08</v>
      </c>
      <c r="N42" s="302">
        <v>26.4</v>
      </c>
      <c r="O42" s="301"/>
      <c r="P42" s="301"/>
    </row>
    <row r="43" spans="1:17" x14ac:dyDescent="0.35">
      <c r="A43" s="316" t="s">
        <v>312</v>
      </c>
      <c r="B43" s="325">
        <v>46204</v>
      </c>
      <c r="C43" s="320">
        <v>46213</v>
      </c>
      <c r="D43" s="311">
        <v>11.89</v>
      </c>
      <c r="E43" s="333">
        <v>12.47</v>
      </c>
      <c r="F43" s="311">
        <v>0.61</v>
      </c>
      <c r="G43" s="312">
        <v>64.5</v>
      </c>
      <c r="H43" s="301"/>
      <c r="I43" s="301"/>
      <c r="J43" s="308">
        <v>34.9</v>
      </c>
      <c r="K43" s="302">
        <v>12.39</v>
      </c>
      <c r="L43" s="302"/>
      <c r="M43" s="302">
        <v>66.09</v>
      </c>
      <c r="N43" s="302">
        <v>35.4</v>
      </c>
      <c r="O43" s="301"/>
      <c r="P43" s="301"/>
    </row>
    <row r="44" spans="1:17" x14ac:dyDescent="0.35">
      <c r="A44" s="316" t="s">
        <v>179</v>
      </c>
      <c r="B44" s="325">
        <v>46204</v>
      </c>
      <c r="C44" s="320">
        <v>46213</v>
      </c>
      <c r="D44" s="311">
        <v>12.43</v>
      </c>
      <c r="E44" s="333">
        <v>12.38</v>
      </c>
      <c r="F44" s="311">
        <v>0.59</v>
      </c>
      <c r="G44" s="312">
        <v>66</v>
      </c>
      <c r="H44" s="301"/>
      <c r="I44" s="301"/>
      <c r="J44" s="308">
        <v>34.5</v>
      </c>
      <c r="K44" s="302">
        <v>12.49</v>
      </c>
      <c r="L44" s="302"/>
      <c r="M44" s="302">
        <v>65.09</v>
      </c>
      <c r="N44" s="302">
        <v>35.4</v>
      </c>
      <c r="O44" s="301"/>
      <c r="P44" s="301"/>
    </row>
    <row r="45" spans="1:17" x14ac:dyDescent="0.35">
      <c r="A45" s="318" t="s">
        <v>158</v>
      </c>
      <c r="B45" s="325">
        <v>46211</v>
      </c>
      <c r="C45" s="320">
        <v>46216</v>
      </c>
      <c r="D45" s="311">
        <v>11.03</v>
      </c>
      <c r="E45" s="333">
        <v>8.2899999999999991</v>
      </c>
      <c r="F45" s="311">
        <v>0.52</v>
      </c>
      <c r="G45" s="312">
        <v>55.1</v>
      </c>
      <c r="H45" s="301">
        <v>15.4</v>
      </c>
      <c r="I45" s="301">
        <v>259</v>
      </c>
      <c r="J45" s="308">
        <v>22.2</v>
      </c>
      <c r="K45" s="302">
        <v>11.58</v>
      </c>
      <c r="L45" s="302"/>
      <c r="M45" s="302">
        <v>60.02</v>
      </c>
      <c r="N45" s="302">
        <v>22.9</v>
      </c>
      <c r="O45" s="301"/>
      <c r="P45" s="301"/>
    </row>
    <row r="46" spans="1:17" x14ac:dyDescent="0.35">
      <c r="A46" s="316" t="s">
        <v>117</v>
      </c>
      <c r="B46" s="325">
        <v>46204</v>
      </c>
      <c r="C46" s="320">
        <v>46216</v>
      </c>
      <c r="D46" s="311">
        <v>12.05</v>
      </c>
      <c r="E46" s="333">
        <v>11.99</v>
      </c>
      <c r="F46" s="311">
        <v>0.56999999999999995</v>
      </c>
      <c r="G46" s="312">
        <v>65.099999999999994</v>
      </c>
      <c r="H46" s="301">
        <v>12.5</v>
      </c>
      <c r="I46" s="301">
        <v>1135</v>
      </c>
      <c r="J46" s="308">
        <v>33.4</v>
      </c>
      <c r="K46" s="302">
        <v>12.27</v>
      </c>
      <c r="L46" s="302"/>
      <c r="M46" s="302">
        <v>65.239999999999995</v>
      </c>
      <c r="N46" s="302">
        <v>35</v>
      </c>
      <c r="O46" s="301"/>
      <c r="P46" s="301"/>
    </row>
    <row r="47" spans="1:17" x14ac:dyDescent="0.35">
      <c r="A47" s="316" t="s">
        <v>140</v>
      </c>
      <c r="B47" s="325">
        <v>46211</v>
      </c>
      <c r="C47" s="320">
        <v>46216</v>
      </c>
      <c r="D47" s="311">
        <v>10.69</v>
      </c>
      <c r="E47" s="333">
        <v>8.64</v>
      </c>
      <c r="F47" s="311">
        <v>0.51</v>
      </c>
      <c r="G47" s="312">
        <v>55.8</v>
      </c>
      <c r="H47" s="301"/>
      <c r="I47" s="301"/>
      <c r="J47" s="308"/>
      <c r="K47" s="302">
        <v>11.24</v>
      </c>
      <c r="L47" s="302"/>
      <c r="M47" s="302">
        <v>59.42</v>
      </c>
      <c r="N47" s="302">
        <v>22.9</v>
      </c>
      <c r="O47" s="301"/>
      <c r="P47" s="301"/>
    </row>
    <row r="48" spans="1:17" x14ac:dyDescent="0.35">
      <c r="A48" s="316" t="s">
        <v>123</v>
      </c>
      <c r="B48" s="325">
        <v>46211</v>
      </c>
      <c r="C48" s="320">
        <v>46216</v>
      </c>
      <c r="D48" s="311">
        <v>12.49</v>
      </c>
      <c r="E48" s="333">
        <v>11.99</v>
      </c>
      <c r="F48" s="311">
        <v>0.62</v>
      </c>
      <c r="G48" s="312">
        <v>64.2</v>
      </c>
      <c r="H48" s="301"/>
      <c r="I48" s="301"/>
      <c r="J48" s="308"/>
      <c r="K48" s="302">
        <v>12.45</v>
      </c>
      <c r="L48" s="302"/>
      <c r="M48" s="302">
        <v>64.59</v>
      </c>
      <c r="N48" s="302">
        <v>32.4</v>
      </c>
      <c r="O48" s="301"/>
      <c r="P48" s="301"/>
    </row>
    <row r="49" spans="1:16" x14ac:dyDescent="0.35">
      <c r="A49" s="318" t="s">
        <v>158</v>
      </c>
      <c r="B49" s="325">
        <v>46211</v>
      </c>
      <c r="C49" s="320">
        <v>46217</v>
      </c>
      <c r="D49" s="311">
        <v>11.21</v>
      </c>
      <c r="E49" s="333">
        <v>8.4600000000000009</v>
      </c>
      <c r="F49" s="311">
        <v>0.5</v>
      </c>
      <c r="G49" s="312">
        <v>55</v>
      </c>
      <c r="H49" s="301"/>
      <c r="I49" s="301"/>
      <c r="J49" s="308">
        <v>22.7</v>
      </c>
      <c r="K49" s="302">
        <v>11.84</v>
      </c>
      <c r="L49" s="302"/>
      <c r="M49" s="302">
        <v>59.21</v>
      </c>
      <c r="N49" s="302">
        <v>22.9</v>
      </c>
      <c r="O49" s="301"/>
      <c r="P49" s="301"/>
    </row>
    <row r="50" spans="1:16" x14ac:dyDescent="0.35">
      <c r="A50" s="316" t="s">
        <v>123</v>
      </c>
      <c r="B50" s="325">
        <v>46211</v>
      </c>
      <c r="C50" s="320">
        <v>46217</v>
      </c>
      <c r="D50" s="311">
        <v>12.26</v>
      </c>
      <c r="E50" s="333">
        <v>12.86</v>
      </c>
      <c r="F50" s="311">
        <v>0.6</v>
      </c>
      <c r="G50" s="312">
        <v>65.400000000000006</v>
      </c>
      <c r="H50" s="301"/>
      <c r="I50" s="301"/>
      <c r="J50" s="308">
        <v>36</v>
      </c>
      <c r="K50" s="302">
        <v>12.65</v>
      </c>
      <c r="L50" s="302"/>
      <c r="M50" s="302">
        <v>65.28</v>
      </c>
      <c r="N50" s="302">
        <v>35.6</v>
      </c>
      <c r="O50" s="301"/>
      <c r="P50" s="301"/>
    </row>
    <row r="51" spans="1:16" x14ac:dyDescent="0.35">
      <c r="A51" s="316" t="s">
        <v>92</v>
      </c>
      <c r="B51" s="325">
        <v>46212</v>
      </c>
      <c r="C51" s="320">
        <v>46217</v>
      </c>
      <c r="D51" s="311">
        <v>10.92</v>
      </c>
      <c r="E51" s="333">
        <v>8.7100000000000009</v>
      </c>
      <c r="F51" s="311">
        <v>0.42</v>
      </c>
      <c r="G51" s="312">
        <v>56.3</v>
      </c>
      <c r="H51" s="301">
        <v>6.2</v>
      </c>
      <c r="I51" s="301">
        <v>437</v>
      </c>
      <c r="J51" s="308">
        <v>23.5</v>
      </c>
      <c r="K51" s="302">
        <v>11.51</v>
      </c>
      <c r="L51" s="302"/>
      <c r="M51" s="302">
        <v>60.23</v>
      </c>
      <c r="N51" s="302">
        <v>21.9</v>
      </c>
      <c r="O51" s="301"/>
      <c r="P51" s="301"/>
    </row>
    <row r="52" spans="1:16" x14ac:dyDescent="0.35">
      <c r="A52" s="316" t="s">
        <v>141</v>
      </c>
      <c r="B52" s="328">
        <v>46211</v>
      </c>
      <c r="C52" s="320">
        <v>46217</v>
      </c>
      <c r="D52" s="311">
        <v>10.32</v>
      </c>
      <c r="E52" s="333">
        <v>8.2799999999999994</v>
      </c>
      <c r="F52" s="311">
        <v>0.54</v>
      </c>
      <c r="G52" s="312">
        <v>56.2</v>
      </c>
      <c r="H52" s="301"/>
      <c r="I52" s="301"/>
      <c r="J52" s="308"/>
      <c r="K52" s="302">
        <v>11.19</v>
      </c>
      <c r="L52" s="302"/>
      <c r="M52" s="302">
        <v>59.83</v>
      </c>
      <c r="N52" s="302">
        <v>22.9</v>
      </c>
      <c r="O52" s="301"/>
      <c r="P52" s="301"/>
    </row>
    <row r="53" spans="1:16" x14ac:dyDescent="0.35">
      <c r="A53" s="318" t="s">
        <v>158</v>
      </c>
      <c r="B53" s="328">
        <v>46216</v>
      </c>
      <c r="C53" s="320">
        <v>46218</v>
      </c>
      <c r="D53" s="311">
        <v>11.36</v>
      </c>
      <c r="E53" s="333">
        <v>8.41</v>
      </c>
      <c r="F53" s="311">
        <v>0.51</v>
      </c>
      <c r="G53" s="312">
        <v>56.5</v>
      </c>
      <c r="H53" s="301"/>
      <c r="I53" s="301"/>
      <c r="J53" s="308">
        <v>22.53</v>
      </c>
      <c r="K53" s="302">
        <v>11.74</v>
      </c>
      <c r="L53" s="302"/>
      <c r="M53" s="302">
        <v>60.79</v>
      </c>
      <c r="N53" s="302">
        <v>24.8</v>
      </c>
      <c r="O53" s="301"/>
      <c r="P53" s="301"/>
    </row>
    <row r="54" spans="1:16" x14ac:dyDescent="0.35">
      <c r="A54" s="317" t="s">
        <v>310</v>
      </c>
      <c r="B54" s="328">
        <v>46210</v>
      </c>
      <c r="C54" s="320">
        <v>46218</v>
      </c>
      <c r="D54" s="311">
        <v>11.66</v>
      </c>
      <c r="E54" s="333">
        <v>13.39</v>
      </c>
      <c r="F54" s="311">
        <v>0.55000000000000004</v>
      </c>
      <c r="G54" s="312">
        <v>64.8</v>
      </c>
      <c r="H54" s="301">
        <v>14</v>
      </c>
      <c r="I54" s="301">
        <v>750</v>
      </c>
      <c r="J54" s="308">
        <v>37.770000000000003</v>
      </c>
      <c r="K54" s="302">
        <v>11.78</v>
      </c>
      <c r="L54" s="302"/>
      <c r="M54" s="302">
        <v>65.11</v>
      </c>
      <c r="N54" s="302">
        <v>35.1</v>
      </c>
      <c r="O54" s="301"/>
      <c r="P54" s="301"/>
    </row>
    <row r="55" spans="1:16" x14ac:dyDescent="0.35">
      <c r="A55" s="316" t="s">
        <v>104</v>
      </c>
      <c r="B55" s="328">
        <v>46204</v>
      </c>
      <c r="C55" s="320">
        <v>46218</v>
      </c>
      <c r="D55" s="311">
        <v>12.05</v>
      </c>
      <c r="E55" s="333">
        <v>14.35</v>
      </c>
      <c r="F55" s="311">
        <v>1.25</v>
      </c>
      <c r="G55" s="312">
        <v>69.7</v>
      </c>
      <c r="H55" s="301"/>
      <c r="I55" s="301"/>
      <c r="J55" s="308">
        <v>44.76</v>
      </c>
      <c r="K55" s="302">
        <v>12.34</v>
      </c>
      <c r="L55" s="302"/>
      <c r="M55" s="302">
        <v>69.319999999999993</v>
      </c>
      <c r="N55" s="302">
        <v>36.299999999999997</v>
      </c>
      <c r="O55" s="301"/>
      <c r="P55" s="301"/>
    </row>
    <row r="56" spans="1:16" x14ac:dyDescent="0.35">
      <c r="A56" s="318" t="s">
        <v>158</v>
      </c>
      <c r="B56" s="328">
        <v>46214</v>
      </c>
      <c r="C56" s="320">
        <v>46218</v>
      </c>
      <c r="D56" s="311">
        <v>11.02</v>
      </c>
      <c r="E56" s="333">
        <v>8.61</v>
      </c>
      <c r="F56" s="311">
        <v>0.5</v>
      </c>
      <c r="G56" s="312">
        <v>24.5</v>
      </c>
      <c r="H56" s="301"/>
      <c r="I56" s="301"/>
      <c r="J56" s="308"/>
      <c r="K56" s="302">
        <v>11.45</v>
      </c>
      <c r="L56" s="302"/>
      <c r="M56" s="302">
        <v>61.01</v>
      </c>
      <c r="N56" s="302">
        <v>23.7</v>
      </c>
      <c r="O56" s="301"/>
      <c r="P56" s="301"/>
    </row>
    <row r="57" spans="1:16" x14ac:dyDescent="0.35">
      <c r="A57" s="318" t="s">
        <v>112</v>
      </c>
      <c r="B57" s="328">
        <v>46217</v>
      </c>
      <c r="C57" s="320">
        <v>46218</v>
      </c>
      <c r="D57" s="311">
        <v>11.31</v>
      </c>
      <c r="E57" s="333">
        <v>13.2</v>
      </c>
      <c r="F57" s="311">
        <v>0.62</v>
      </c>
      <c r="G57" s="312">
        <v>37.25</v>
      </c>
      <c r="H57" s="301"/>
      <c r="I57" s="301"/>
      <c r="J57" s="308"/>
      <c r="K57" s="302">
        <v>11.72</v>
      </c>
      <c r="L57" s="302"/>
      <c r="M57" s="302">
        <v>66.94</v>
      </c>
      <c r="N57" s="302">
        <v>36.200000000000003</v>
      </c>
      <c r="O57" s="301"/>
      <c r="P57" s="301"/>
    </row>
    <row r="58" spans="1:16" x14ac:dyDescent="0.35">
      <c r="A58" s="318" t="s">
        <v>140</v>
      </c>
      <c r="B58" s="328">
        <v>46211</v>
      </c>
      <c r="C58" s="320">
        <v>46218</v>
      </c>
      <c r="D58" s="322">
        <v>10.62</v>
      </c>
      <c r="E58" s="323">
        <v>8.44</v>
      </c>
      <c r="F58" s="323">
        <v>0.54</v>
      </c>
      <c r="G58" s="322">
        <v>56.4</v>
      </c>
      <c r="H58" s="323"/>
      <c r="I58" s="323"/>
      <c r="J58" s="323"/>
      <c r="K58" s="323">
        <v>11.35</v>
      </c>
      <c r="L58" s="323"/>
      <c r="M58" s="323">
        <v>60.59</v>
      </c>
      <c r="N58" s="324">
        <v>23</v>
      </c>
      <c r="O58" s="301"/>
      <c r="P58" s="301"/>
    </row>
    <row r="59" spans="1:16" x14ac:dyDescent="0.35">
      <c r="A59" s="318" t="s">
        <v>141</v>
      </c>
      <c r="B59" s="328">
        <v>46217</v>
      </c>
      <c r="C59" s="320">
        <v>46218</v>
      </c>
      <c r="D59" s="311">
        <v>10.79</v>
      </c>
      <c r="E59" s="333">
        <v>8.56</v>
      </c>
      <c r="F59" s="311">
        <v>0.52</v>
      </c>
      <c r="G59" s="312">
        <v>56.1</v>
      </c>
      <c r="H59" s="301"/>
      <c r="I59" s="301"/>
      <c r="J59" s="308"/>
      <c r="K59" s="302">
        <v>11.85</v>
      </c>
      <c r="L59" s="302"/>
      <c r="M59" s="302">
        <v>60.7</v>
      </c>
      <c r="N59" s="302">
        <v>23.4</v>
      </c>
      <c r="O59" s="301"/>
      <c r="P59" s="301"/>
    </row>
    <row r="60" spans="1:16" x14ac:dyDescent="0.35">
      <c r="A60" s="316" t="s">
        <v>312</v>
      </c>
      <c r="B60" s="328">
        <v>46217</v>
      </c>
      <c r="C60" s="320">
        <v>46218</v>
      </c>
      <c r="D60" s="311">
        <v>11.58</v>
      </c>
      <c r="E60" s="333">
        <v>13.04</v>
      </c>
      <c r="F60" s="311">
        <v>0.61</v>
      </c>
      <c r="G60" s="312">
        <v>65.2</v>
      </c>
      <c r="H60" s="301"/>
      <c r="I60" s="301"/>
      <c r="J60" s="308">
        <v>36.619999999999997</v>
      </c>
      <c r="K60" s="302">
        <v>11.98</v>
      </c>
      <c r="L60" s="302"/>
      <c r="M60" s="302">
        <v>65.58</v>
      </c>
      <c r="N60" s="302">
        <v>36.200000000000003</v>
      </c>
      <c r="O60" s="301"/>
      <c r="P60" s="301"/>
    </row>
    <row r="61" spans="1:16" x14ac:dyDescent="0.35">
      <c r="A61" s="318" t="s">
        <v>158</v>
      </c>
      <c r="B61" s="325">
        <v>46217</v>
      </c>
      <c r="C61" s="320">
        <v>46219</v>
      </c>
      <c r="D61" s="311">
        <v>10.76</v>
      </c>
      <c r="E61" s="333">
        <v>8.8000000000000007</v>
      </c>
      <c r="F61" s="311">
        <v>0.59</v>
      </c>
      <c r="G61" s="312">
        <v>55.7</v>
      </c>
      <c r="H61" s="301"/>
      <c r="I61" s="301"/>
      <c r="J61" s="308">
        <v>23.8</v>
      </c>
      <c r="K61" s="302">
        <v>11.27</v>
      </c>
      <c r="L61" s="302"/>
      <c r="M61" s="302">
        <v>60.22</v>
      </c>
      <c r="N61" s="302">
        <v>23.9</v>
      </c>
      <c r="O61" s="301"/>
      <c r="P61" s="301"/>
    </row>
    <row r="62" spans="1:16" x14ac:dyDescent="0.35">
      <c r="A62" s="316" t="s">
        <v>312</v>
      </c>
      <c r="B62" s="325">
        <v>46217</v>
      </c>
      <c r="C62" s="320">
        <v>46219</v>
      </c>
      <c r="D62" s="311">
        <v>11.69</v>
      </c>
      <c r="E62" s="333">
        <v>13.22</v>
      </c>
      <c r="F62" s="311">
        <v>0.59</v>
      </c>
      <c r="G62" s="312">
        <v>64.8</v>
      </c>
      <c r="H62" s="301"/>
      <c r="I62" s="301"/>
      <c r="J62" s="308">
        <v>37.24</v>
      </c>
      <c r="K62" s="302">
        <v>12.13</v>
      </c>
      <c r="L62" s="302"/>
      <c r="M62" s="302">
        <v>65.349999999999994</v>
      </c>
      <c r="N62" s="302">
        <v>36.299999999999997</v>
      </c>
      <c r="O62" s="301"/>
      <c r="P62" s="301"/>
    </row>
    <row r="63" spans="1:16" x14ac:dyDescent="0.35">
      <c r="A63" s="317" t="s">
        <v>315</v>
      </c>
      <c r="B63" s="326">
        <v>46218</v>
      </c>
      <c r="C63" s="320">
        <v>46219</v>
      </c>
      <c r="D63" s="311">
        <v>11.75</v>
      </c>
      <c r="E63" s="333">
        <v>13.25</v>
      </c>
      <c r="F63" s="311">
        <v>0.56000000000000005</v>
      </c>
      <c r="G63" s="312">
        <v>64.2</v>
      </c>
      <c r="H63" s="301"/>
      <c r="I63" s="301"/>
      <c r="J63" s="308">
        <v>37.299999999999997</v>
      </c>
      <c r="K63" s="302">
        <v>12.21</v>
      </c>
      <c r="L63" s="302"/>
      <c r="M63" s="302">
        <v>65.47</v>
      </c>
      <c r="N63" s="302">
        <v>36.299999999999997</v>
      </c>
      <c r="O63" s="301"/>
      <c r="P63" s="301"/>
    </row>
    <row r="64" spans="1:16" x14ac:dyDescent="0.35">
      <c r="A64" s="316" t="s">
        <v>138</v>
      </c>
      <c r="B64" s="325">
        <v>46217</v>
      </c>
      <c r="C64" s="320">
        <v>46219</v>
      </c>
      <c r="D64" s="311">
        <v>11.49</v>
      </c>
      <c r="E64" s="333">
        <v>8.7100000000000009</v>
      </c>
      <c r="F64" s="311">
        <v>0.55000000000000004</v>
      </c>
      <c r="G64" s="312">
        <v>56.2</v>
      </c>
      <c r="H64" s="301"/>
      <c r="I64" s="301"/>
      <c r="J64" s="308">
        <v>23.6</v>
      </c>
      <c r="K64" s="302">
        <v>10.96</v>
      </c>
      <c r="L64" s="302"/>
      <c r="M64" s="302">
        <v>61.68</v>
      </c>
      <c r="N64" s="302">
        <v>23.6</v>
      </c>
      <c r="O64" s="301"/>
      <c r="P64" s="301"/>
    </row>
    <row r="65" spans="1:16" x14ac:dyDescent="0.35">
      <c r="A65" s="316" t="s">
        <v>145</v>
      </c>
      <c r="B65" s="325">
        <v>46218</v>
      </c>
      <c r="C65" s="320">
        <v>46219</v>
      </c>
      <c r="D65" s="311">
        <v>11.43</v>
      </c>
      <c r="E65" s="333">
        <v>13.3</v>
      </c>
      <c r="F65" s="311">
        <v>0.56999999999999995</v>
      </c>
      <c r="G65" s="312">
        <v>65.099999999999994</v>
      </c>
      <c r="H65" s="301"/>
      <c r="I65" s="301"/>
      <c r="J65" s="308"/>
      <c r="K65" s="302">
        <v>11.93</v>
      </c>
      <c r="L65" s="302"/>
      <c r="M65" s="302">
        <v>65.69</v>
      </c>
      <c r="N65" s="302">
        <v>37</v>
      </c>
      <c r="O65" s="301"/>
      <c r="P65" s="301"/>
    </row>
    <row r="66" spans="1:16" x14ac:dyDescent="0.35">
      <c r="A66" s="316" t="s">
        <v>39</v>
      </c>
      <c r="B66" s="325">
        <v>46219</v>
      </c>
      <c r="C66" s="320">
        <v>46219</v>
      </c>
      <c r="D66" s="311">
        <v>10.1</v>
      </c>
      <c r="E66" s="333">
        <v>9.36</v>
      </c>
      <c r="F66" s="311">
        <v>0.49</v>
      </c>
      <c r="G66" s="312">
        <v>57.9</v>
      </c>
      <c r="H66" s="301"/>
      <c r="I66" s="301"/>
      <c r="J66" s="308"/>
      <c r="K66" s="302">
        <v>10.79</v>
      </c>
      <c r="L66" s="302"/>
      <c r="M66" s="302">
        <v>62.01</v>
      </c>
      <c r="N66" s="302">
        <v>25.4</v>
      </c>
      <c r="O66" s="301"/>
      <c r="P66" s="301"/>
    </row>
    <row r="67" spans="1:16" x14ac:dyDescent="0.35">
      <c r="A67" s="319" t="s">
        <v>158</v>
      </c>
      <c r="B67" s="325">
        <v>46218</v>
      </c>
      <c r="C67" s="320">
        <v>46219</v>
      </c>
      <c r="D67" s="311">
        <v>10.42</v>
      </c>
      <c r="E67" s="334">
        <v>8.8000000000000007</v>
      </c>
      <c r="F67" s="329">
        <v>0.6</v>
      </c>
      <c r="G67" s="329">
        <v>55.6</v>
      </c>
      <c r="H67" s="315"/>
      <c r="I67" s="315"/>
      <c r="J67" s="315"/>
      <c r="K67" s="302">
        <v>11.04</v>
      </c>
      <c r="L67" s="302"/>
      <c r="M67" s="302">
        <v>61.25</v>
      </c>
      <c r="N67" s="302">
        <v>23.3</v>
      </c>
      <c r="O67" s="301"/>
      <c r="P67" s="301"/>
    </row>
    <row r="68" spans="1:16" x14ac:dyDescent="0.35">
      <c r="A68" s="316" t="s">
        <v>312</v>
      </c>
      <c r="B68" s="327">
        <v>46211</v>
      </c>
      <c r="C68" s="320">
        <v>46219</v>
      </c>
      <c r="D68" s="311">
        <v>11.59</v>
      </c>
      <c r="E68" s="333">
        <v>13.75</v>
      </c>
      <c r="F68" s="311">
        <v>0.52</v>
      </c>
      <c r="G68" s="312">
        <v>65.599999999999994</v>
      </c>
      <c r="H68" s="301"/>
      <c r="I68" s="301"/>
      <c r="J68" s="308"/>
      <c r="K68" s="302">
        <v>12.39</v>
      </c>
      <c r="L68" s="302"/>
      <c r="M68" s="302">
        <v>65.47</v>
      </c>
      <c r="N68" s="302">
        <v>37</v>
      </c>
      <c r="O68" s="301"/>
      <c r="P68" s="301"/>
    </row>
    <row r="69" spans="1:16" x14ac:dyDescent="0.35">
      <c r="A69" s="239" t="s">
        <v>117</v>
      </c>
      <c r="B69" s="327">
        <v>46217</v>
      </c>
      <c r="C69" s="320">
        <v>46219</v>
      </c>
      <c r="D69" s="311">
        <v>11.86</v>
      </c>
      <c r="E69" s="333">
        <v>13.71</v>
      </c>
      <c r="F69" s="311">
        <v>0.52</v>
      </c>
      <c r="G69" s="312">
        <v>65.2</v>
      </c>
      <c r="H69" s="301"/>
      <c r="I69" s="301"/>
      <c r="J69" s="308"/>
      <c r="K69" s="302"/>
      <c r="L69" s="302"/>
      <c r="M69" s="302"/>
      <c r="N69" s="302"/>
      <c r="O69" s="301"/>
      <c r="P69" s="301"/>
    </row>
    <row r="70" spans="1:16" x14ac:dyDescent="0.35">
      <c r="A70" s="316" t="s">
        <v>312</v>
      </c>
      <c r="B70" s="327">
        <v>46217</v>
      </c>
      <c r="C70" s="320">
        <v>46219</v>
      </c>
      <c r="D70" s="311">
        <v>11.99</v>
      </c>
      <c r="E70" s="330">
        <v>13.64</v>
      </c>
      <c r="F70" s="301">
        <v>0.62</v>
      </c>
      <c r="G70" s="308">
        <v>64.599999999999994</v>
      </c>
      <c r="H70" s="301"/>
      <c r="I70" s="301"/>
      <c r="J70" s="308">
        <v>38.46</v>
      </c>
      <c r="K70" s="302">
        <v>12.31</v>
      </c>
      <c r="L70" s="302"/>
      <c r="M70" s="302">
        <v>64.94</v>
      </c>
      <c r="N70" s="302">
        <v>35.9</v>
      </c>
      <c r="O70" s="301"/>
      <c r="P70" s="301"/>
    </row>
  </sheetData>
  <mergeCells count="5">
    <mergeCell ref="D1:J1"/>
    <mergeCell ref="A1:A2"/>
    <mergeCell ref="C1:C2"/>
    <mergeCell ref="K1:P1"/>
    <mergeCell ref="B1:B2"/>
  </mergeCells>
  <dataValidations count="1">
    <dataValidation type="list" allowBlank="1" showInputMessage="1" showErrorMessage="1" sqref="A69" xr:uid="{96DB9805-1D17-408C-83EA-A4F0F49B7632}">
      <formula1>SKU.list</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1"/>
  </sheetPr>
  <dimension ref="A1:M97"/>
  <sheetViews>
    <sheetView zoomScale="70" zoomScaleNormal="70" workbookViewId="0">
      <pane ySplit="9" topLeftCell="A4264" activePane="bottomLeft" state="frozen"/>
      <selection pane="bottomLeft" activeCell="A4278" sqref="A98:XFD4278"/>
    </sheetView>
  </sheetViews>
  <sheetFormatPr defaultColWidth="9.1796875" defaultRowHeight="15.5" outlineLevelRow="1" x14ac:dyDescent="0.35"/>
  <cols>
    <col min="1" max="1" width="13.54296875" style="18" bestFit="1" customWidth="1"/>
    <col min="2" max="2" width="23" style="19" customWidth="1"/>
    <col min="3" max="3" width="16.1796875" style="19" bestFit="1" customWidth="1"/>
    <col min="4" max="4" width="11.453125" style="130" customWidth="1"/>
    <col min="5" max="6" width="15.7265625" style="14" customWidth="1"/>
    <col min="7" max="7" width="21.54296875" style="14" customWidth="1"/>
    <col min="8" max="8" width="16.1796875" style="132" bestFit="1" customWidth="1"/>
    <col min="9" max="9" width="14.26953125" style="132" bestFit="1" customWidth="1"/>
    <col min="10" max="10" width="14.26953125" style="193" bestFit="1" customWidth="1"/>
    <col min="11" max="11" width="17.54296875" style="193" bestFit="1" customWidth="1"/>
    <col min="12" max="12" width="14.453125" style="193" bestFit="1" customWidth="1"/>
    <col min="13" max="13" width="31.54296875" style="204" customWidth="1"/>
    <col min="14" max="16384" width="9.1796875" style="23"/>
  </cols>
  <sheetData>
    <row r="1" spans="1:13" s="33" customFormat="1" hidden="1" outlineLevel="1" x14ac:dyDescent="0.35">
      <c r="A1" s="115">
        <f>'VALIDATION LIST'!A48</f>
        <v>46296</v>
      </c>
      <c r="B1" s="112">
        <f>RESGEN!E1</f>
        <v>46303</v>
      </c>
      <c r="C1" s="112">
        <f>'MILL E'!J6</f>
        <v>0</v>
      </c>
      <c r="D1" s="128" t="str">
        <f>'MILL E'!E10</f>
        <v>06:00</v>
      </c>
      <c r="E1" s="113">
        <f>'MILL E'!G10</f>
        <v>0</v>
      </c>
      <c r="F1" s="113" t="str">
        <f>IF(E1="","-","E")</f>
        <v>E</v>
      </c>
      <c r="G1" s="114">
        <f>'MILL E'!F10</f>
        <v>0</v>
      </c>
      <c r="H1" s="191">
        <f>'MILL E'!I10</f>
        <v>0</v>
      </c>
      <c r="I1" s="191">
        <f>'MILL E'!K10</f>
        <v>0</v>
      </c>
      <c r="J1" s="191">
        <f>'MILL E'!M10</f>
        <v>0</v>
      </c>
      <c r="K1" s="191">
        <f>'MILL E'!O10</f>
        <v>0</v>
      </c>
      <c r="L1" s="191">
        <f>'MILL E'!P10</f>
        <v>0</v>
      </c>
      <c r="M1" s="165">
        <f>'MILL E'!Q10</f>
        <v>0</v>
      </c>
    </row>
    <row r="2" spans="1:13" s="33" customFormat="1" hidden="1" outlineLevel="1" x14ac:dyDescent="0.35">
      <c r="A2" s="115">
        <f t="shared" ref="A2:C3" si="0">A$1</f>
        <v>46296</v>
      </c>
      <c r="B2" s="112">
        <f t="shared" si="0"/>
        <v>46303</v>
      </c>
      <c r="C2" s="112">
        <f t="shared" si="0"/>
        <v>0</v>
      </c>
      <c r="D2" s="128" t="str">
        <f>'MILL E'!E11</f>
        <v>07:00</v>
      </c>
      <c r="E2" s="113">
        <f>'MILL E'!H11</f>
        <v>0</v>
      </c>
      <c r="F2" s="113" t="str">
        <f t="shared" ref="F2:F8" si="1">IF(E2="","-","E")</f>
        <v>E</v>
      </c>
      <c r="G2" s="114">
        <f>'MILL E'!F11</f>
        <v>0</v>
      </c>
      <c r="H2" s="191">
        <f>'MILL E'!I11</f>
        <v>0</v>
      </c>
      <c r="I2" s="191">
        <f>'MILL E'!K11</f>
        <v>0</v>
      </c>
      <c r="J2" s="191">
        <f>'MILL E'!M11</f>
        <v>0</v>
      </c>
      <c r="K2" s="191">
        <f>'MILL E'!O11</f>
        <v>0</v>
      </c>
      <c r="L2" s="191">
        <f>'MILL E'!P11</f>
        <v>0</v>
      </c>
      <c r="M2" s="165">
        <f>'MILL E'!Q11</f>
        <v>0</v>
      </c>
    </row>
    <row r="3" spans="1:13" s="33" customFormat="1" hidden="1" outlineLevel="1" x14ac:dyDescent="0.35">
      <c r="A3" s="115">
        <f t="shared" si="0"/>
        <v>46296</v>
      </c>
      <c r="B3" s="112">
        <f t="shared" si="0"/>
        <v>46303</v>
      </c>
      <c r="C3" s="112">
        <f t="shared" si="0"/>
        <v>0</v>
      </c>
      <c r="D3" s="128" t="str">
        <f>'MILL E'!E12</f>
        <v>08:00</v>
      </c>
      <c r="E3" s="113">
        <f>'MILL E'!G12</f>
        <v>0</v>
      </c>
      <c r="F3" s="113" t="str">
        <f t="shared" si="1"/>
        <v>E</v>
      </c>
      <c r="G3" s="114">
        <f>'MILL E'!F12</f>
        <v>0</v>
      </c>
      <c r="H3" s="191">
        <f>'MILL E'!I12</f>
        <v>0</v>
      </c>
      <c r="I3" s="191">
        <f>'MILL E'!K12</f>
        <v>0</v>
      </c>
      <c r="J3" s="191">
        <f>'MILL E'!M12</f>
        <v>0</v>
      </c>
      <c r="K3" s="191">
        <f>'MILL E'!O12</f>
        <v>0</v>
      </c>
      <c r="L3" s="191">
        <f>'MILL E'!P12</f>
        <v>0</v>
      </c>
      <c r="M3" s="165">
        <f>'MILL E'!Q12</f>
        <v>0</v>
      </c>
    </row>
    <row r="4" spans="1:13" s="33" customFormat="1" hidden="1" outlineLevel="1" x14ac:dyDescent="0.35">
      <c r="A4" s="115">
        <f t="shared" ref="A4:C8" si="2">A$1</f>
        <v>46296</v>
      </c>
      <c r="B4" s="112">
        <f t="shared" si="2"/>
        <v>46303</v>
      </c>
      <c r="C4" s="112">
        <f t="shared" si="2"/>
        <v>0</v>
      </c>
      <c r="D4" s="128" t="str">
        <f>'MILL E'!E13</f>
        <v>09:00</v>
      </c>
      <c r="E4" s="113">
        <f>'MILL E'!G13</f>
        <v>0</v>
      </c>
      <c r="F4" s="113" t="str">
        <f t="shared" si="1"/>
        <v>E</v>
      </c>
      <c r="G4" s="114">
        <f>'MILL E'!F13</f>
        <v>0</v>
      </c>
      <c r="H4" s="191">
        <f>'MILL E'!I13</f>
        <v>0</v>
      </c>
      <c r="I4" s="191">
        <f>'MILL E'!K13</f>
        <v>0</v>
      </c>
      <c r="J4" s="191">
        <f>'MILL E'!M13</f>
        <v>0</v>
      </c>
      <c r="K4" s="191">
        <f>'MILL E'!O13</f>
        <v>0</v>
      </c>
      <c r="L4" s="191">
        <f>'MILL E'!P13</f>
        <v>0</v>
      </c>
      <c r="M4" s="165">
        <f>'MILL E'!Q13</f>
        <v>0</v>
      </c>
    </row>
    <row r="5" spans="1:13" s="33" customFormat="1" hidden="1" outlineLevel="1" x14ac:dyDescent="0.35">
      <c r="A5" s="115">
        <f t="shared" si="2"/>
        <v>46296</v>
      </c>
      <c r="B5" s="112">
        <f t="shared" si="2"/>
        <v>46303</v>
      </c>
      <c r="C5" s="112">
        <f t="shared" si="2"/>
        <v>0</v>
      </c>
      <c r="D5" s="128" t="str">
        <f>'MILL E'!E14</f>
        <v>10:00</v>
      </c>
      <c r="E5" s="113">
        <f>'MILL E'!G14</f>
        <v>0</v>
      </c>
      <c r="F5" s="113" t="str">
        <f t="shared" si="1"/>
        <v>E</v>
      </c>
      <c r="G5" s="114">
        <f>'MILL E'!F14</f>
        <v>0</v>
      </c>
      <c r="H5" s="191">
        <f>'MILL E'!I14</f>
        <v>0</v>
      </c>
      <c r="I5" s="191">
        <f>'MILL E'!K14</f>
        <v>0</v>
      </c>
      <c r="J5" s="191">
        <f>'MILL E'!M14</f>
        <v>0</v>
      </c>
      <c r="K5" s="191">
        <f>'MILL E'!O14</f>
        <v>0</v>
      </c>
      <c r="L5" s="191">
        <f>'MILL E'!P14</f>
        <v>0</v>
      </c>
      <c r="M5" s="165">
        <f>'MILL E'!Q14</f>
        <v>0</v>
      </c>
    </row>
    <row r="6" spans="1:13" s="33" customFormat="1" hidden="1" outlineLevel="1" x14ac:dyDescent="0.35">
      <c r="A6" s="115">
        <f t="shared" si="2"/>
        <v>46296</v>
      </c>
      <c r="B6" s="112">
        <f t="shared" si="2"/>
        <v>46303</v>
      </c>
      <c r="C6" s="112">
        <f t="shared" si="2"/>
        <v>0</v>
      </c>
      <c r="D6" s="128" t="str">
        <f>'MILL E'!E15</f>
        <v>11:00</v>
      </c>
      <c r="E6" s="113">
        <f>'MILL E'!G15</f>
        <v>0</v>
      </c>
      <c r="F6" s="113" t="str">
        <f t="shared" si="1"/>
        <v>E</v>
      </c>
      <c r="G6" s="114">
        <f>'MILL E'!F15</f>
        <v>0</v>
      </c>
      <c r="H6" s="191">
        <f>'MILL E'!I15</f>
        <v>0</v>
      </c>
      <c r="I6" s="191">
        <f>'MILL E'!K15</f>
        <v>0</v>
      </c>
      <c r="J6" s="191">
        <f>'MILL E'!M15</f>
        <v>0</v>
      </c>
      <c r="K6" s="191">
        <f>'MILL E'!O15</f>
        <v>0</v>
      </c>
      <c r="L6" s="191">
        <f>'MILL E'!P15</f>
        <v>0</v>
      </c>
      <c r="M6" s="165">
        <f>'MILL E'!Q15</f>
        <v>0</v>
      </c>
    </row>
    <row r="7" spans="1:13" s="33" customFormat="1" hidden="1" outlineLevel="1" x14ac:dyDescent="0.35">
      <c r="A7" s="115">
        <f t="shared" si="2"/>
        <v>46296</v>
      </c>
      <c r="B7" s="112">
        <f t="shared" si="2"/>
        <v>46303</v>
      </c>
      <c r="C7" s="112">
        <f t="shared" si="2"/>
        <v>0</v>
      </c>
      <c r="D7" s="128" t="str">
        <f>'MILL E'!E16</f>
        <v>12:00</v>
      </c>
      <c r="E7" s="113">
        <f>'MILL E'!G16</f>
        <v>0</v>
      </c>
      <c r="F7" s="113" t="str">
        <f t="shared" si="1"/>
        <v>E</v>
      </c>
      <c r="G7" s="114">
        <f>'MILL E'!F16</f>
        <v>0</v>
      </c>
      <c r="H7" s="191">
        <f>'MILL E'!I16</f>
        <v>0</v>
      </c>
      <c r="I7" s="191">
        <f>'MILL E'!K16</f>
        <v>0</v>
      </c>
      <c r="J7" s="191">
        <f>'MILL E'!M16</f>
        <v>0</v>
      </c>
      <c r="K7" s="191">
        <f>'MILL E'!O16</f>
        <v>0</v>
      </c>
      <c r="L7" s="191">
        <f>'MILL E'!P16</f>
        <v>0</v>
      </c>
      <c r="M7" s="165">
        <f>'MILL E'!Q16</f>
        <v>0</v>
      </c>
    </row>
    <row r="8" spans="1:13" s="33" customFormat="1" hidden="1" outlineLevel="1" x14ac:dyDescent="0.35">
      <c r="A8" s="115">
        <f t="shared" si="2"/>
        <v>46296</v>
      </c>
      <c r="B8" s="112">
        <f t="shared" si="2"/>
        <v>46303</v>
      </c>
      <c r="C8" s="112">
        <f t="shared" si="2"/>
        <v>0</v>
      </c>
      <c r="D8" s="128" t="str">
        <f>'MILL E'!E17</f>
        <v>13:00</v>
      </c>
      <c r="E8" s="113">
        <f>'MILL E'!G17</f>
        <v>0</v>
      </c>
      <c r="F8" s="113" t="str">
        <f t="shared" si="1"/>
        <v>E</v>
      </c>
      <c r="G8" s="114">
        <f>'MILL E'!F17</f>
        <v>0</v>
      </c>
      <c r="H8" s="191">
        <f>'MILL E'!I22</f>
        <v>0</v>
      </c>
      <c r="I8" s="191">
        <f>'MILL E'!K17</f>
        <v>0</v>
      </c>
      <c r="J8" s="191">
        <f>'MILL E'!M17</f>
        <v>0</v>
      </c>
      <c r="K8" s="191">
        <f>'MILL E'!O17</f>
        <v>0</v>
      </c>
      <c r="L8" s="191">
        <f>'MILL E'!P17</f>
        <v>0</v>
      </c>
      <c r="M8" s="165">
        <f>'MILL E'!Q17</f>
        <v>0</v>
      </c>
    </row>
    <row r="9" spans="1:13" collapsed="1" x14ac:dyDescent="0.35">
      <c r="A9" s="1" t="s">
        <v>219</v>
      </c>
      <c r="B9" s="2" t="s">
        <v>220</v>
      </c>
      <c r="C9" s="2" t="s">
        <v>122</v>
      </c>
      <c r="D9" s="129" t="s">
        <v>221</v>
      </c>
      <c r="E9" s="21" t="s">
        <v>96</v>
      </c>
      <c r="F9" s="21" t="s">
        <v>316</v>
      </c>
      <c r="G9" s="3" t="s">
        <v>317</v>
      </c>
      <c r="H9" s="192" t="s">
        <v>318</v>
      </c>
      <c r="I9" s="192" t="s">
        <v>319</v>
      </c>
      <c r="J9" s="192" t="s">
        <v>320</v>
      </c>
      <c r="K9" s="192" t="s">
        <v>321</v>
      </c>
      <c r="L9" s="192" t="s">
        <v>322</v>
      </c>
      <c r="M9" s="202" t="s">
        <v>323</v>
      </c>
    </row>
    <row r="10" spans="1:13" x14ac:dyDescent="0.35">
      <c r="A10" s="18">
        <v>46023</v>
      </c>
      <c r="B10" s="19">
        <v>46024</v>
      </c>
      <c r="C10" s="19" t="s">
        <v>128</v>
      </c>
      <c r="D10" s="130">
        <v>0.58333333333333337</v>
      </c>
      <c r="E10" s="14" t="s">
        <v>163</v>
      </c>
      <c r="F10" s="14" t="s">
        <v>324</v>
      </c>
      <c r="G10" s="14" t="s">
        <v>163</v>
      </c>
      <c r="H10" s="132" t="s">
        <v>163</v>
      </c>
      <c r="I10" s="132" t="s">
        <v>163</v>
      </c>
      <c r="J10" s="193" t="s">
        <v>163</v>
      </c>
      <c r="K10" s="193" t="s">
        <v>163</v>
      </c>
      <c r="L10" s="193" t="s">
        <v>163</v>
      </c>
      <c r="M10" s="203" t="s">
        <v>163</v>
      </c>
    </row>
    <row r="11" spans="1:13" x14ac:dyDescent="0.35">
      <c r="A11" s="18">
        <v>46023</v>
      </c>
      <c r="B11" s="19">
        <v>46024</v>
      </c>
      <c r="C11" s="19" t="s">
        <v>128</v>
      </c>
      <c r="D11" s="130">
        <v>0.625</v>
      </c>
      <c r="E11" s="14" t="s">
        <v>99</v>
      </c>
      <c r="F11" s="14" t="s">
        <v>324</v>
      </c>
      <c r="G11" s="14" t="s">
        <v>325</v>
      </c>
      <c r="H11" s="132">
        <v>12.06</v>
      </c>
      <c r="I11" s="132">
        <v>15.71</v>
      </c>
      <c r="J11" s="193" t="s">
        <v>163</v>
      </c>
      <c r="K11" s="193" t="s">
        <v>163</v>
      </c>
      <c r="L11" s="193" t="s">
        <v>163</v>
      </c>
      <c r="M11" s="203" t="s">
        <v>163</v>
      </c>
    </row>
    <row r="12" spans="1:13" x14ac:dyDescent="0.35">
      <c r="A12" s="18">
        <v>46023</v>
      </c>
      <c r="B12" s="19">
        <v>46024</v>
      </c>
      <c r="C12" s="19" t="s">
        <v>128</v>
      </c>
      <c r="D12" s="130">
        <v>0.66666666666666696</v>
      </c>
      <c r="E12" s="14" t="s">
        <v>163</v>
      </c>
      <c r="F12" s="14" t="s">
        <v>324</v>
      </c>
      <c r="G12" s="14" t="s">
        <v>163</v>
      </c>
      <c r="H12" s="132" t="s">
        <v>163</v>
      </c>
      <c r="I12" s="132" t="s">
        <v>163</v>
      </c>
      <c r="J12" s="193" t="s">
        <v>163</v>
      </c>
      <c r="K12" s="193" t="s">
        <v>163</v>
      </c>
      <c r="L12" s="193" t="s">
        <v>163</v>
      </c>
      <c r="M12" s="203" t="s">
        <v>163</v>
      </c>
    </row>
    <row r="13" spans="1:13" x14ac:dyDescent="0.35">
      <c r="A13" s="18">
        <v>46023</v>
      </c>
      <c r="B13" s="19">
        <v>46024</v>
      </c>
      <c r="C13" s="19" t="s">
        <v>128</v>
      </c>
      <c r="D13" s="130">
        <v>0.70833333333333304</v>
      </c>
      <c r="E13" s="14" t="s">
        <v>99</v>
      </c>
      <c r="F13" s="14" t="s">
        <v>324</v>
      </c>
      <c r="G13" s="14" t="s">
        <v>325</v>
      </c>
      <c r="H13" s="132">
        <v>11.77</v>
      </c>
      <c r="I13" s="132">
        <v>15.29</v>
      </c>
      <c r="J13" s="193" t="s">
        <v>163</v>
      </c>
      <c r="K13" s="193" t="s">
        <v>163</v>
      </c>
      <c r="L13" s="193" t="s">
        <v>163</v>
      </c>
      <c r="M13" s="203" t="s">
        <v>163</v>
      </c>
    </row>
    <row r="14" spans="1:13" x14ac:dyDescent="0.35">
      <c r="A14" s="18">
        <v>46023</v>
      </c>
      <c r="B14" s="19">
        <v>46024</v>
      </c>
      <c r="C14" s="19" t="s">
        <v>128</v>
      </c>
      <c r="D14" s="130">
        <v>0.75</v>
      </c>
      <c r="E14" s="14" t="s">
        <v>163</v>
      </c>
      <c r="F14" s="14" t="s">
        <v>324</v>
      </c>
      <c r="G14" s="14" t="s">
        <v>163</v>
      </c>
      <c r="H14" s="132" t="s">
        <v>163</v>
      </c>
      <c r="I14" s="132" t="s">
        <v>163</v>
      </c>
      <c r="J14" s="193" t="s">
        <v>163</v>
      </c>
      <c r="K14" s="193" t="s">
        <v>163</v>
      </c>
      <c r="L14" s="193" t="s">
        <v>163</v>
      </c>
      <c r="M14" s="203" t="s">
        <v>163</v>
      </c>
    </row>
    <row r="15" spans="1:13" x14ac:dyDescent="0.35">
      <c r="A15" s="18">
        <v>46023</v>
      </c>
      <c r="B15" s="19">
        <v>46024</v>
      </c>
      <c r="C15" s="19" t="s">
        <v>128</v>
      </c>
      <c r="D15" s="130">
        <v>0.79166666666666596</v>
      </c>
      <c r="E15" s="14" t="s">
        <v>99</v>
      </c>
      <c r="F15" s="14" t="s">
        <v>324</v>
      </c>
      <c r="G15" s="14" t="s">
        <v>325</v>
      </c>
      <c r="H15" s="132">
        <v>11.98</v>
      </c>
      <c r="I15" s="132">
        <v>15.44</v>
      </c>
      <c r="J15" s="193" t="s">
        <v>163</v>
      </c>
      <c r="K15" s="193" t="s">
        <v>163</v>
      </c>
      <c r="L15" s="193" t="s">
        <v>163</v>
      </c>
      <c r="M15" s="203" t="s">
        <v>163</v>
      </c>
    </row>
    <row r="16" spans="1:13" x14ac:dyDescent="0.35">
      <c r="A16" s="18">
        <v>46023</v>
      </c>
      <c r="B16" s="19">
        <v>46024</v>
      </c>
      <c r="C16" s="19" t="s">
        <v>128</v>
      </c>
      <c r="D16" s="130">
        <v>0.83333333333333304</v>
      </c>
      <c r="E16" s="14" t="s">
        <v>163</v>
      </c>
      <c r="F16" s="14" t="s">
        <v>324</v>
      </c>
      <c r="G16" s="14" t="s">
        <v>163</v>
      </c>
      <c r="H16" s="132" t="s">
        <v>163</v>
      </c>
      <c r="I16" s="132" t="s">
        <v>163</v>
      </c>
      <c r="J16" s="193" t="s">
        <v>163</v>
      </c>
      <c r="K16" s="193" t="s">
        <v>163</v>
      </c>
      <c r="L16" s="193" t="s">
        <v>163</v>
      </c>
      <c r="M16" s="203" t="s">
        <v>163</v>
      </c>
    </row>
    <row r="17" spans="1:13" x14ac:dyDescent="0.35">
      <c r="A17" s="18">
        <v>46023</v>
      </c>
      <c r="B17" s="19">
        <v>46024</v>
      </c>
      <c r="C17" s="19" t="s">
        <v>128</v>
      </c>
      <c r="D17" s="130">
        <v>0.874999999999999</v>
      </c>
      <c r="E17" s="14" t="s">
        <v>99</v>
      </c>
      <c r="F17" s="14" t="s">
        <v>324</v>
      </c>
      <c r="G17" s="14" t="s">
        <v>325</v>
      </c>
      <c r="H17" s="132">
        <v>11.93</v>
      </c>
      <c r="I17" s="132">
        <v>14.76</v>
      </c>
      <c r="J17" s="193" t="s">
        <v>163</v>
      </c>
      <c r="K17" s="193" t="s">
        <v>163</v>
      </c>
      <c r="L17" s="193" t="s">
        <v>163</v>
      </c>
      <c r="M17" s="203" t="s">
        <v>163</v>
      </c>
    </row>
    <row r="18" spans="1:13" x14ac:dyDescent="0.35">
      <c r="A18" s="18">
        <v>46023</v>
      </c>
      <c r="B18" s="19">
        <v>46024</v>
      </c>
      <c r="C18" s="19" t="s">
        <v>130</v>
      </c>
      <c r="D18" s="130">
        <v>0.91666666666666663</v>
      </c>
      <c r="E18" s="14" t="s">
        <v>163</v>
      </c>
      <c r="F18" s="14" t="s">
        <v>324</v>
      </c>
      <c r="G18" s="14" t="s">
        <v>163</v>
      </c>
      <c r="H18" s="132" t="s">
        <v>163</v>
      </c>
      <c r="I18" s="132" t="s">
        <v>163</v>
      </c>
      <c r="J18" s="193" t="s">
        <v>163</v>
      </c>
      <c r="K18" s="193" t="s">
        <v>163</v>
      </c>
      <c r="L18" s="193" t="s">
        <v>163</v>
      </c>
      <c r="M18" s="203" t="s">
        <v>163</v>
      </c>
    </row>
    <row r="19" spans="1:13" x14ac:dyDescent="0.35">
      <c r="A19" s="18">
        <v>46023</v>
      </c>
      <c r="B19" s="19">
        <v>46024</v>
      </c>
      <c r="C19" s="19" t="s">
        <v>130</v>
      </c>
      <c r="D19" s="130">
        <v>0.95833333333333337</v>
      </c>
      <c r="E19" s="14" t="s">
        <v>99</v>
      </c>
      <c r="F19" s="14" t="s">
        <v>324</v>
      </c>
      <c r="G19" s="14" t="s">
        <v>325</v>
      </c>
      <c r="H19" s="132">
        <v>11.83</v>
      </c>
      <c r="I19" s="132" t="s">
        <v>163</v>
      </c>
      <c r="J19" s="193" t="s">
        <v>163</v>
      </c>
      <c r="K19" s="193" t="s">
        <v>163</v>
      </c>
      <c r="L19" s="193" t="s">
        <v>163</v>
      </c>
      <c r="M19" s="203" t="s">
        <v>163</v>
      </c>
    </row>
    <row r="20" spans="1:13" x14ac:dyDescent="0.35">
      <c r="A20" s="18">
        <v>46023</v>
      </c>
      <c r="B20" s="19">
        <v>46024</v>
      </c>
      <c r="C20" s="19" t="s">
        <v>130</v>
      </c>
      <c r="D20" s="130">
        <v>1</v>
      </c>
      <c r="E20" s="14" t="s">
        <v>163</v>
      </c>
      <c r="F20" s="14" t="s">
        <v>324</v>
      </c>
      <c r="G20" s="14" t="s">
        <v>163</v>
      </c>
      <c r="H20" s="132" t="s">
        <v>163</v>
      </c>
      <c r="I20" s="132" t="s">
        <v>163</v>
      </c>
      <c r="J20" s="193" t="s">
        <v>163</v>
      </c>
      <c r="K20" s="193" t="s">
        <v>163</v>
      </c>
      <c r="L20" s="193" t="s">
        <v>163</v>
      </c>
      <c r="M20" s="203" t="s">
        <v>163</v>
      </c>
    </row>
    <row r="21" spans="1:13" x14ac:dyDescent="0.35">
      <c r="A21" s="18">
        <v>46023</v>
      </c>
      <c r="B21" s="19">
        <v>46024</v>
      </c>
      <c r="C21" s="19" t="s">
        <v>130</v>
      </c>
      <c r="D21" s="130">
        <v>1.0416666666666701</v>
      </c>
      <c r="E21" s="14" t="s">
        <v>99</v>
      </c>
      <c r="F21" s="14" t="s">
        <v>324</v>
      </c>
      <c r="G21" s="14" t="s">
        <v>325</v>
      </c>
      <c r="H21" s="132">
        <v>11.84</v>
      </c>
      <c r="I21" s="132">
        <v>14.99</v>
      </c>
      <c r="J21" s="193" t="s">
        <v>163</v>
      </c>
      <c r="K21" s="193" t="s">
        <v>163</v>
      </c>
      <c r="L21" s="193" t="s">
        <v>163</v>
      </c>
      <c r="M21" s="203" t="s">
        <v>163</v>
      </c>
    </row>
    <row r="22" spans="1:13" x14ac:dyDescent="0.35">
      <c r="A22" s="18">
        <v>46023</v>
      </c>
      <c r="B22" s="19">
        <v>46024</v>
      </c>
      <c r="C22" s="19" t="s">
        <v>130</v>
      </c>
      <c r="D22" s="130">
        <v>1.0833333333333299</v>
      </c>
      <c r="E22" s="14" t="s">
        <v>163</v>
      </c>
      <c r="F22" s="14" t="s">
        <v>324</v>
      </c>
      <c r="G22" s="14" t="s">
        <v>163</v>
      </c>
      <c r="H22" s="132" t="s">
        <v>163</v>
      </c>
      <c r="I22" s="132" t="s">
        <v>163</v>
      </c>
      <c r="J22" s="193" t="s">
        <v>163</v>
      </c>
      <c r="K22" s="193" t="s">
        <v>163</v>
      </c>
      <c r="L22" s="193" t="s">
        <v>163</v>
      </c>
      <c r="M22" s="203" t="s">
        <v>163</v>
      </c>
    </row>
    <row r="23" spans="1:13" x14ac:dyDescent="0.35">
      <c r="A23" s="18">
        <v>46023</v>
      </c>
      <c r="B23" s="19">
        <v>46024</v>
      </c>
      <c r="C23" s="19" t="s">
        <v>130</v>
      </c>
      <c r="D23" s="130">
        <v>1.125</v>
      </c>
      <c r="E23" s="14" t="s">
        <v>99</v>
      </c>
      <c r="F23" s="14" t="s">
        <v>324</v>
      </c>
      <c r="G23" s="14" t="s">
        <v>325</v>
      </c>
      <c r="H23" s="132">
        <v>11.97</v>
      </c>
      <c r="I23" s="132">
        <v>15.81</v>
      </c>
      <c r="J23" s="193" t="s">
        <v>163</v>
      </c>
      <c r="K23" s="193" t="s">
        <v>163</v>
      </c>
      <c r="L23" s="193" t="s">
        <v>163</v>
      </c>
      <c r="M23" s="203" t="s">
        <v>163</v>
      </c>
    </row>
    <row r="24" spans="1:13" x14ac:dyDescent="0.35">
      <c r="A24" s="18">
        <v>46023</v>
      </c>
      <c r="B24" s="19">
        <v>46024</v>
      </c>
      <c r="C24" s="19" t="s">
        <v>130</v>
      </c>
      <c r="D24" s="130">
        <v>1.1666666666666701</v>
      </c>
      <c r="E24" s="14" t="s">
        <v>163</v>
      </c>
      <c r="F24" s="14" t="s">
        <v>324</v>
      </c>
      <c r="G24" s="14" t="s">
        <v>163</v>
      </c>
      <c r="H24" s="132" t="s">
        <v>163</v>
      </c>
      <c r="I24" s="132" t="s">
        <v>163</v>
      </c>
      <c r="J24" s="193" t="s">
        <v>163</v>
      </c>
      <c r="K24" s="193" t="s">
        <v>163</v>
      </c>
      <c r="L24" s="193" t="s">
        <v>163</v>
      </c>
      <c r="M24" s="203" t="s">
        <v>163</v>
      </c>
    </row>
    <row r="25" spans="1:13" x14ac:dyDescent="0.35">
      <c r="A25" s="18">
        <v>46023</v>
      </c>
      <c r="B25" s="19">
        <v>46024</v>
      </c>
      <c r="C25" s="19" t="s">
        <v>130</v>
      </c>
      <c r="D25" s="130">
        <v>1.2083333333333299</v>
      </c>
      <c r="E25" s="14" t="s">
        <v>99</v>
      </c>
      <c r="F25" s="14" t="s">
        <v>324</v>
      </c>
      <c r="G25" s="14" t="s">
        <v>325</v>
      </c>
      <c r="H25" s="132">
        <v>12.04</v>
      </c>
      <c r="I25" s="132" t="s">
        <v>163</v>
      </c>
      <c r="J25" s="193" t="s">
        <v>163</v>
      </c>
      <c r="K25" s="193" t="s">
        <v>163</v>
      </c>
      <c r="L25" s="193" t="s">
        <v>163</v>
      </c>
      <c r="M25" s="203" t="s">
        <v>163</v>
      </c>
    </row>
    <row r="26" spans="1:13" x14ac:dyDescent="0.35">
      <c r="A26" s="18">
        <v>46023</v>
      </c>
      <c r="B26" s="19">
        <v>46024</v>
      </c>
      <c r="C26" s="19" t="s">
        <v>125</v>
      </c>
      <c r="D26" s="130" t="s">
        <v>326</v>
      </c>
      <c r="E26" s="14" t="s">
        <v>163</v>
      </c>
      <c r="F26" s="14" t="s">
        <v>324</v>
      </c>
      <c r="G26" s="14" t="s">
        <v>163</v>
      </c>
      <c r="H26" s="132" t="s">
        <v>163</v>
      </c>
      <c r="I26" s="132" t="s">
        <v>163</v>
      </c>
      <c r="J26" s="193" t="s">
        <v>163</v>
      </c>
      <c r="K26" s="193" t="s">
        <v>163</v>
      </c>
      <c r="L26" s="193" t="s">
        <v>163</v>
      </c>
      <c r="M26" s="203" t="s">
        <v>163</v>
      </c>
    </row>
    <row r="27" spans="1:13" x14ac:dyDescent="0.35">
      <c r="A27" s="18">
        <v>46023</v>
      </c>
      <c r="B27" s="19">
        <v>46024</v>
      </c>
      <c r="C27" s="19" t="s">
        <v>125</v>
      </c>
      <c r="D27" s="130" t="s">
        <v>239</v>
      </c>
      <c r="E27" s="14" t="s">
        <v>99</v>
      </c>
      <c r="F27" s="14" t="s">
        <v>324</v>
      </c>
      <c r="G27" s="14" t="s">
        <v>325</v>
      </c>
      <c r="H27" s="132">
        <v>11.96</v>
      </c>
      <c r="I27" s="132">
        <v>14.93</v>
      </c>
      <c r="J27" s="193" t="s">
        <v>163</v>
      </c>
      <c r="K27" s="193" t="s">
        <v>163</v>
      </c>
      <c r="L27" s="193" t="s">
        <v>163</v>
      </c>
      <c r="M27" s="203" t="s">
        <v>163</v>
      </c>
    </row>
    <row r="28" spans="1:13" x14ac:dyDescent="0.35">
      <c r="A28" s="18">
        <v>46023</v>
      </c>
      <c r="B28" s="19">
        <v>46024</v>
      </c>
      <c r="C28" s="19" t="s">
        <v>125</v>
      </c>
      <c r="D28" s="130" t="s">
        <v>273</v>
      </c>
      <c r="E28" s="14" t="s">
        <v>163</v>
      </c>
      <c r="F28" s="14" t="s">
        <v>324</v>
      </c>
      <c r="G28" s="14" t="s">
        <v>163</v>
      </c>
      <c r="H28" s="132" t="s">
        <v>163</v>
      </c>
      <c r="I28" s="132" t="s">
        <v>163</v>
      </c>
      <c r="J28" s="193" t="s">
        <v>163</v>
      </c>
      <c r="K28" s="193" t="s">
        <v>163</v>
      </c>
      <c r="L28" s="193" t="s">
        <v>163</v>
      </c>
      <c r="M28" s="203" t="s">
        <v>163</v>
      </c>
    </row>
    <row r="29" spans="1:13" x14ac:dyDescent="0.35">
      <c r="A29" s="18">
        <v>46023</v>
      </c>
      <c r="B29" s="19">
        <v>46024</v>
      </c>
      <c r="C29" s="19" t="s">
        <v>125</v>
      </c>
      <c r="D29" s="130" t="s">
        <v>240</v>
      </c>
      <c r="E29" s="14" t="s">
        <v>99</v>
      </c>
      <c r="F29" s="14" t="s">
        <v>324</v>
      </c>
      <c r="G29" s="14" t="s">
        <v>325</v>
      </c>
      <c r="H29" s="132">
        <v>12.25</v>
      </c>
      <c r="I29" s="132">
        <v>15.25</v>
      </c>
      <c r="J29" s="193" t="s">
        <v>163</v>
      </c>
      <c r="K29" s="193" t="s">
        <v>163</v>
      </c>
      <c r="L29" s="193" t="s">
        <v>163</v>
      </c>
      <c r="M29" s="203" t="s">
        <v>163</v>
      </c>
    </row>
    <row r="30" spans="1:13" x14ac:dyDescent="0.35">
      <c r="A30" s="18">
        <v>46023</v>
      </c>
      <c r="B30" s="19">
        <v>46024</v>
      </c>
      <c r="C30" s="19" t="s">
        <v>125</v>
      </c>
      <c r="D30" s="130" t="s">
        <v>327</v>
      </c>
      <c r="E30" s="14" t="s">
        <v>163</v>
      </c>
      <c r="F30" s="14" t="s">
        <v>324</v>
      </c>
      <c r="G30" s="14" t="s">
        <v>163</v>
      </c>
      <c r="H30" s="132" t="s">
        <v>163</v>
      </c>
      <c r="I30" s="132" t="s">
        <v>163</v>
      </c>
      <c r="J30" s="193" t="s">
        <v>163</v>
      </c>
      <c r="K30" s="193" t="s">
        <v>163</v>
      </c>
      <c r="L30" s="193" t="s">
        <v>163</v>
      </c>
      <c r="M30" s="203" t="s">
        <v>163</v>
      </c>
    </row>
    <row r="31" spans="1:13" x14ac:dyDescent="0.35">
      <c r="A31" s="18">
        <v>46023</v>
      </c>
      <c r="B31" s="19">
        <v>46024</v>
      </c>
      <c r="C31" s="19" t="s">
        <v>125</v>
      </c>
      <c r="D31" s="130" t="s">
        <v>237</v>
      </c>
      <c r="E31" s="14" t="s">
        <v>99</v>
      </c>
      <c r="F31" s="14" t="s">
        <v>324</v>
      </c>
      <c r="G31" s="14" t="s">
        <v>325</v>
      </c>
      <c r="H31" s="132">
        <v>11.86</v>
      </c>
      <c r="I31" s="132">
        <v>15.55</v>
      </c>
      <c r="J31" s="193" t="s">
        <v>163</v>
      </c>
      <c r="K31" s="193" t="s">
        <v>163</v>
      </c>
      <c r="L31" s="193" t="s">
        <v>163</v>
      </c>
      <c r="M31" s="203" t="s">
        <v>163</v>
      </c>
    </row>
    <row r="32" spans="1:13" x14ac:dyDescent="0.35">
      <c r="A32" s="18">
        <v>46023</v>
      </c>
      <c r="B32" s="19">
        <v>46024</v>
      </c>
      <c r="C32" s="19" t="s">
        <v>125</v>
      </c>
      <c r="D32" s="130" t="s">
        <v>328</v>
      </c>
      <c r="E32" s="14" t="s">
        <v>163</v>
      </c>
      <c r="F32" s="14" t="s">
        <v>324</v>
      </c>
      <c r="G32" s="14" t="s">
        <v>163</v>
      </c>
      <c r="H32" s="132" t="s">
        <v>163</v>
      </c>
      <c r="I32" s="132" t="s">
        <v>163</v>
      </c>
      <c r="J32" s="193" t="s">
        <v>163</v>
      </c>
      <c r="K32" s="193" t="s">
        <v>163</v>
      </c>
      <c r="L32" s="193" t="s">
        <v>163</v>
      </c>
      <c r="M32" s="203" t="s">
        <v>163</v>
      </c>
    </row>
    <row r="33" spans="1:13" x14ac:dyDescent="0.35">
      <c r="A33" s="18">
        <v>46023</v>
      </c>
      <c r="B33" s="19">
        <v>46024</v>
      </c>
      <c r="C33" s="19" t="s">
        <v>125</v>
      </c>
      <c r="D33" s="130" t="s">
        <v>238</v>
      </c>
      <c r="E33" s="14" t="s">
        <v>99</v>
      </c>
      <c r="F33" s="14" t="s">
        <v>324</v>
      </c>
      <c r="G33" s="14" t="s">
        <v>325</v>
      </c>
      <c r="H33" s="132">
        <v>11.97</v>
      </c>
      <c r="I33" s="132">
        <v>15.27</v>
      </c>
      <c r="J33" s="193" t="s">
        <v>163</v>
      </c>
      <c r="K33" s="193" t="s">
        <v>163</v>
      </c>
      <c r="L33" s="193" t="s">
        <v>163</v>
      </c>
      <c r="M33" s="203" t="s">
        <v>163</v>
      </c>
    </row>
    <row r="34" spans="1:13" x14ac:dyDescent="0.35">
      <c r="A34" s="18">
        <v>46023</v>
      </c>
      <c r="B34" s="19">
        <v>46025</v>
      </c>
      <c r="C34" s="19" t="s">
        <v>128</v>
      </c>
      <c r="D34" s="130">
        <v>0.58333333333333337</v>
      </c>
      <c r="E34" s="14" t="s">
        <v>163</v>
      </c>
      <c r="F34" s="14" t="s">
        <v>324</v>
      </c>
      <c r="G34" s="14" t="s">
        <v>163</v>
      </c>
      <c r="H34" s="132" t="s">
        <v>163</v>
      </c>
      <c r="I34" s="132" t="s">
        <v>163</v>
      </c>
      <c r="J34" s="193" t="s">
        <v>163</v>
      </c>
      <c r="K34" s="193" t="s">
        <v>163</v>
      </c>
      <c r="L34" s="193" t="s">
        <v>163</v>
      </c>
      <c r="M34" s="203" t="s">
        <v>163</v>
      </c>
    </row>
    <row r="35" spans="1:13" x14ac:dyDescent="0.35">
      <c r="A35" s="18">
        <v>46023</v>
      </c>
      <c r="B35" s="19">
        <v>46025</v>
      </c>
      <c r="C35" s="19" t="s">
        <v>128</v>
      </c>
      <c r="D35" s="130">
        <v>0.625</v>
      </c>
      <c r="E35" s="14" t="s">
        <v>99</v>
      </c>
      <c r="F35" s="14" t="s">
        <v>324</v>
      </c>
      <c r="G35" s="14" t="s">
        <v>325</v>
      </c>
      <c r="H35" s="132">
        <v>11.95</v>
      </c>
      <c r="I35" s="132">
        <v>15.5</v>
      </c>
      <c r="J35" s="193">
        <v>14.34</v>
      </c>
      <c r="K35" s="193" t="s">
        <v>99</v>
      </c>
      <c r="L35" s="193">
        <v>14.37</v>
      </c>
      <c r="M35" s="203" t="s">
        <v>163</v>
      </c>
    </row>
    <row r="36" spans="1:13" x14ac:dyDescent="0.35">
      <c r="A36" s="18">
        <v>46023</v>
      </c>
      <c r="B36" s="19">
        <v>46025</v>
      </c>
      <c r="C36" s="19" t="s">
        <v>128</v>
      </c>
      <c r="D36" s="130">
        <v>0.66666666666666696</v>
      </c>
      <c r="E36" s="14" t="s">
        <v>163</v>
      </c>
      <c r="F36" s="14" t="s">
        <v>324</v>
      </c>
      <c r="G36" s="14" t="s">
        <v>163</v>
      </c>
      <c r="H36" s="132" t="s">
        <v>163</v>
      </c>
      <c r="I36" s="132" t="s">
        <v>163</v>
      </c>
      <c r="J36" s="193" t="s">
        <v>163</v>
      </c>
      <c r="K36" s="193" t="s">
        <v>163</v>
      </c>
      <c r="L36" s="193" t="s">
        <v>163</v>
      </c>
      <c r="M36" s="203" t="s">
        <v>163</v>
      </c>
    </row>
    <row r="37" spans="1:13" x14ac:dyDescent="0.35">
      <c r="A37" s="18">
        <v>46023</v>
      </c>
      <c r="B37" s="19">
        <v>46025</v>
      </c>
      <c r="C37" s="19" t="s">
        <v>128</v>
      </c>
      <c r="D37" s="130">
        <v>0.70833333333333304</v>
      </c>
      <c r="E37" s="14" t="s">
        <v>99</v>
      </c>
      <c r="F37" s="14" t="s">
        <v>324</v>
      </c>
      <c r="G37" s="14" t="s">
        <v>325</v>
      </c>
      <c r="H37" s="132">
        <v>12.26</v>
      </c>
      <c r="I37" s="132">
        <v>15.51</v>
      </c>
      <c r="J37" s="193">
        <v>14.37</v>
      </c>
      <c r="K37" s="193" t="s">
        <v>99</v>
      </c>
      <c r="L37" s="193">
        <v>13.95</v>
      </c>
      <c r="M37" s="203" t="s">
        <v>163</v>
      </c>
    </row>
    <row r="38" spans="1:13" x14ac:dyDescent="0.35">
      <c r="A38" s="18">
        <v>46023</v>
      </c>
      <c r="B38" s="19">
        <v>46025</v>
      </c>
      <c r="C38" s="19" t="s">
        <v>128</v>
      </c>
      <c r="D38" s="130">
        <v>0.75</v>
      </c>
      <c r="E38" s="14" t="s">
        <v>163</v>
      </c>
      <c r="F38" s="14" t="s">
        <v>324</v>
      </c>
      <c r="G38" s="14" t="s">
        <v>163</v>
      </c>
      <c r="H38" s="132" t="s">
        <v>163</v>
      </c>
      <c r="I38" s="132" t="s">
        <v>163</v>
      </c>
      <c r="J38" s="193" t="s">
        <v>163</v>
      </c>
      <c r="K38" s="193" t="s">
        <v>163</v>
      </c>
      <c r="L38" s="193" t="s">
        <v>163</v>
      </c>
      <c r="M38" s="203" t="s">
        <v>163</v>
      </c>
    </row>
    <row r="39" spans="1:13" x14ac:dyDescent="0.35">
      <c r="A39" s="18">
        <v>46023</v>
      </c>
      <c r="B39" s="19">
        <v>46025</v>
      </c>
      <c r="C39" s="19" t="s">
        <v>128</v>
      </c>
      <c r="D39" s="130">
        <v>0.79166666666666596</v>
      </c>
      <c r="E39" s="14" t="s">
        <v>99</v>
      </c>
      <c r="F39" s="14" t="s">
        <v>324</v>
      </c>
      <c r="G39" s="14" t="s">
        <v>325</v>
      </c>
      <c r="H39" s="132">
        <v>11.86</v>
      </c>
      <c r="I39" s="132" t="s">
        <v>163</v>
      </c>
      <c r="J39" s="193">
        <v>15.09</v>
      </c>
      <c r="K39" s="193" t="s">
        <v>99</v>
      </c>
      <c r="L39" s="193">
        <v>15.32</v>
      </c>
      <c r="M39" s="203" t="s">
        <v>163</v>
      </c>
    </row>
    <row r="40" spans="1:13" x14ac:dyDescent="0.35">
      <c r="A40" s="18">
        <v>46023</v>
      </c>
      <c r="B40" s="19">
        <v>46025</v>
      </c>
      <c r="C40" s="19" t="s">
        <v>128</v>
      </c>
      <c r="D40" s="130">
        <v>0.83333333333333304</v>
      </c>
      <c r="E40" s="14" t="s">
        <v>163</v>
      </c>
      <c r="F40" s="14" t="s">
        <v>324</v>
      </c>
      <c r="G40" s="14" t="s">
        <v>163</v>
      </c>
      <c r="H40" s="132" t="s">
        <v>163</v>
      </c>
      <c r="I40" s="132" t="s">
        <v>163</v>
      </c>
      <c r="J40" s="193" t="s">
        <v>163</v>
      </c>
      <c r="K40" s="193" t="s">
        <v>163</v>
      </c>
      <c r="L40" s="193" t="s">
        <v>163</v>
      </c>
      <c r="M40" s="203" t="s">
        <v>163</v>
      </c>
    </row>
    <row r="41" spans="1:13" x14ac:dyDescent="0.35">
      <c r="A41" s="18">
        <v>46023</v>
      </c>
      <c r="B41" s="19">
        <v>46025</v>
      </c>
      <c r="C41" s="19" t="s">
        <v>128</v>
      </c>
      <c r="D41" s="130">
        <v>0.874999999999999</v>
      </c>
      <c r="E41" s="14" t="s">
        <v>99</v>
      </c>
      <c r="F41" s="14" t="s">
        <v>324</v>
      </c>
      <c r="G41" s="14" t="s">
        <v>325</v>
      </c>
      <c r="H41" s="132">
        <v>12.11</v>
      </c>
      <c r="I41" s="132">
        <v>12</v>
      </c>
      <c r="J41" s="193">
        <v>15.19</v>
      </c>
      <c r="K41" s="193" t="s">
        <v>99</v>
      </c>
      <c r="L41" s="193">
        <v>15.1</v>
      </c>
      <c r="M41" s="203" t="s">
        <v>163</v>
      </c>
    </row>
    <row r="42" spans="1:13" x14ac:dyDescent="0.35">
      <c r="A42" s="18">
        <v>46023</v>
      </c>
      <c r="B42" s="19">
        <v>46025</v>
      </c>
      <c r="C42" s="19" t="s">
        <v>130</v>
      </c>
      <c r="D42" s="130">
        <v>0.91666666666666663</v>
      </c>
      <c r="E42" s="14" t="s">
        <v>163</v>
      </c>
      <c r="F42" s="14" t="s">
        <v>324</v>
      </c>
      <c r="G42" s="14" t="s">
        <v>163</v>
      </c>
      <c r="H42" s="132" t="s">
        <v>163</v>
      </c>
      <c r="I42" s="132" t="s">
        <v>163</v>
      </c>
      <c r="J42" s="193" t="s">
        <v>163</v>
      </c>
      <c r="K42" s="193" t="s">
        <v>163</v>
      </c>
      <c r="L42" s="193" t="s">
        <v>163</v>
      </c>
      <c r="M42" s="203" t="s">
        <v>163</v>
      </c>
    </row>
    <row r="43" spans="1:13" x14ac:dyDescent="0.35">
      <c r="A43" s="18">
        <v>46023</v>
      </c>
      <c r="B43" s="19">
        <v>46025</v>
      </c>
      <c r="C43" s="19" t="s">
        <v>130</v>
      </c>
      <c r="D43" s="130">
        <v>0.95833333333333337</v>
      </c>
      <c r="E43" s="14" t="s">
        <v>99</v>
      </c>
      <c r="F43" s="14" t="s">
        <v>324</v>
      </c>
      <c r="G43" s="14" t="s">
        <v>325</v>
      </c>
      <c r="H43" s="132" t="s">
        <v>163</v>
      </c>
      <c r="I43" s="132" t="s">
        <v>163</v>
      </c>
      <c r="J43" s="193">
        <v>15.82</v>
      </c>
      <c r="K43" s="193" t="s">
        <v>99</v>
      </c>
      <c r="L43" s="193">
        <v>15.24</v>
      </c>
      <c r="M43" s="203" t="s">
        <v>163</v>
      </c>
    </row>
    <row r="44" spans="1:13" x14ac:dyDescent="0.35">
      <c r="A44" s="18">
        <v>46023</v>
      </c>
      <c r="B44" s="19">
        <v>46025</v>
      </c>
      <c r="C44" s="19" t="s">
        <v>130</v>
      </c>
      <c r="D44" s="130">
        <v>1</v>
      </c>
      <c r="E44" s="14" t="s">
        <v>163</v>
      </c>
      <c r="F44" s="14" t="s">
        <v>324</v>
      </c>
      <c r="G44" s="14" t="s">
        <v>163</v>
      </c>
      <c r="H44" s="132" t="s">
        <v>163</v>
      </c>
      <c r="I44" s="132" t="s">
        <v>163</v>
      </c>
      <c r="J44" s="193" t="s">
        <v>163</v>
      </c>
      <c r="K44" s="193" t="s">
        <v>163</v>
      </c>
      <c r="L44" s="193" t="s">
        <v>163</v>
      </c>
      <c r="M44" s="203" t="s">
        <v>163</v>
      </c>
    </row>
    <row r="45" spans="1:13" x14ac:dyDescent="0.35">
      <c r="A45" s="18">
        <v>46023</v>
      </c>
      <c r="B45" s="19">
        <v>46025</v>
      </c>
      <c r="C45" s="19" t="s">
        <v>130</v>
      </c>
      <c r="D45" s="130">
        <v>1.0416666666666701</v>
      </c>
      <c r="E45" s="14" t="s">
        <v>163</v>
      </c>
      <c r="F45" s="14" t="s">
        <v>324</v>
      </c>
      <c r="G45" s="14" t="s">
        <v>163</v>
      </c>
      <c r="H45" s="132" t="s">
        <v>163</v>
      </c>
      <c r="I45" s="132" t="s">
        <v>163</v>
      </c>
      <c r="J45" s="193" t="s">
        <v>163</v>
      </c>
      <c r="K45" s="193" t="s">
        <v>163</v>
      </c>
      <c r="L45" s="193" t="s">
        <v>163</v>
      </c>
      <c r="M45" s="203" t="s">
        <v>163</v>
      </c>
    </row>
    <row r="46" spans="1:13" x14ac:dyDescent="0.35">
      <c r="A46" s="18">
        <v>46023</v>
      </c>
      <c r="B46" s="19">
        <v>46025</v>
      </c>
      <c r="C46" s="19" t="s">
        <v>130</v>
      </c>
      <c r="D46" s="130">
        <v>1.0833333333333299</v>
      </c>
      <c r="E46" s="14" t="s">
        <v>163</v>
      </c>
      <c r="F46" s="14" t="s">
        <v>324</v>
      </c>
      <c r="G46" s="14" t="s">
        <v>163</v>
      </c>
      <c r="H46" s="132" t="s">
        <v>163</v>
      </c>
      <c r="I46" s="132" t="s">
        <v>163</v>
      </c>
      <c r="J46" s="193" t="s">
        <v>163</v>
      </c>
      <c r="K46" s="193" t="s">
        <v>163</v>
      </c>
      <c r="L46" s="193" t="s">
        <v>163</v>
      </c>
      <c r="M46" s="203" t="s">
        <v>163</v>
      </c>
    </row>
    <row r="47" spans="1:13" x14ac:dyDescent="0.35">
      <c r="A47" s="18">
        <v>46023</v>
      </c>
      <c r="B47" s="19">
        <v>46025</v>
      </c>
      <c r="C47" s="19" t="s">
        <v>130</v>
      </c>
      <c r="D47" s="130">
        <v>1.125</v>
      </c>
      <c r="E47" s="14" t="s">
        <v>99</v>
      </c>
      <c r="F47" s="14" t="s">
        <v>324</v>
      </c>
      <c r="G47" s="14" t="s">
        <v>325</v>
      </c>
      <c r="H47" s="132" t="s">
        <v>163</v>
      </c>
      <c r="I47" s="132">
        <v>15.76</v>
      </c>
      <c r="J47" s="193">
        <v>15.29</v>
      </c>
      <c r="K47" s="193" t="s">
        <v>99</v>
      </c>
      <c r="L47" s="193">
        <v>15.47</v>
      </c>
      <c r="M47" s="203" t="s">
        <v>163</v>
      </c>
    </row>
    <row r="48" spans="1:13" x14ac:dyDescent="0.35">
      <c r="A48" s="18">
        <v>46023</v>
      </c>
      <c r="B48" s="19">
        <v>46025</v>
      </c>
      <c r="C48" s="19" t="s">
        <v>130</v>
      </c>
      <c r="D48" s="130">
        <v>1.1666666666666701</v>
      </c>
      <c r="E48" s="14" t="s">
        <v>163</v>
      </c>
      <c r="F48" s="14" t="s">
        <v>324</v>
      </c>
      <c r="G48" s="14" t="s">
        <v>163</v>
      </c>
      <c r="H48" s="132" t="s">
        <v>163</v>
      </c>
      <c r="I48" s="132" t="s">
        <v>163</v>
      </c>
      <c r="J48" s="193" t="s">
        <v>163</v>
      </c>
      <c r="K48" s="193" t="s">
        <v>163</v>
      </c>
      <c r="L48" s="193" t="s">
        <v>163</v>
      </c>
      <c r="M48" s="203" t="s">
        <v>163</v>
      </c>
    </row>
    <row r="49" spans="1:13" x14ac:dyDescent="0.35">
      <c r="A49" s="18">
        <v>46023</v>
      </c>
      <c r="B49" s="19">
        <v>46025</v>
      </c>
      <c r="C49" s="19" t="s">
        <v>130</v>
      </c>
      <c r="D49" s="130">
        <v>1.2083333333333299</v>
      </c>
      <c r="E49" s="14" t="s">
        <v>99</v>
      </c>
      <c r="F49" s="14" t="s">
        <v>324</v>
      </c>
      <c r="G49" s="14" t="s">
        <v>325</v>
      </c>
      <c r="H49" s="132" t="s">
        <v>163</v>
      </c>
      <c r="I49" s="132" t="s">
        <v>163</v>
      </c>
      <c r="J49" s="193">
        <v>15.69</v>
      </c>
      <c r="K49" s="193" t="s">
        <v>99</v>
      </c>
      <c r="L49" s="193">
        <v>15.63</v>
      </c>
      <c r="M49" s="203" t="s">
        <v>163</v>
      </c>
    </row>
    <row r="50" spans="1:13" x14ac:dyDescent="0.35">
      <c r="A50" s="18">
        <v>46023</v>
      </c>
      <c r="B50" s="19">
        <v>46026</v>
      </c>
      <c r="C50" s="19" t="s">
        <v>128</v>
      </c>
      <c r="D50" s="130">
        <v>0.58333333333333337</v>
      </c>
      <c r="E50" s="14" t="s">
        <v>163</v>
      </c>
      <c r="F50" s="14" t="s">
        <v>324</v>
      </c>
      <c r="G50" s="14" t="s">
        <v>163</v>
      </c>
      <c r="H50" s="132" t="s">
        <v>163</v>
      </c>
      <c r="I50" s="132" t="s">
        <v>163</v>
      </c>
      <c r="J50" s="193" t="s">
        <v>163</v>
      </c>
      <c r="K50" s="193" t="s">
        <v>163</v>
      </c>
      <c r="L50" s="193" t="s">
        <v>163</v>
      </c>
      <c r="M50" s="203" t="s">
        <v>163</v>
      </c>
    </row>
    <row r="51" spans="1:13" x14ac:dyDescent="0.35">
      <c r="A51" s="18">
        <v>46023</v>
      </c>
      <c r="B51" s="19">
        <v>46026</v>
      </c>
      <c r="C51" s="19" t="s">
        <v>128</v>
      </c>
      <c r="D51" s="130">
        <v>0.625</v>
      </c>
      <c r="E51" s="14" t="s">
        <v>163</v>
      </c>
      <c r="F51" s="14" t="s">
        <v>324</v>
      </c>
      <c r="G51" s="14" t="s">
        <v>163</v>
      </c>
      <c r="H51" s="132" t="s">
        <v>163</v>
      </c>
      <c r="I51" s="132" t="s">
        <v>163</v>
      </c>
      <c r="J51" s="193" t="s">
        <v>163</v>
      </c>
      <c r="K51" s="193" t="s">
        <v>163</v>
      </c>
      <c r="L51" s="193" t="s">
        <v>163</v>
      </c>
      <c r="M51" s="203" t="s">
        <v>163</v>
      </c>
    </row>
    <row r="52" spans="1:13" x14ac:dyDescent="0.35">
      <c r="A52" s="18">
        <v>46023</v>
      </c>
      <c r="B52" s="19">
        <v>46026</v>
      </c>
      <c r="C52" s="19" t="s">
        <v>128</v>
      </c>
      <c r="D52" s="130">
        <v>0.66666666666666696</v>
      </c>
      <c r="E52" s="14" t="s">
        <v>99</v>
      </c>
      <c r="F52" s="14" t="s">
        <v>324</v>
      </c>
      <c r="G52" s="14" t="s">
        <v>329</v>
      </c>
      <c r="H52" s="132">
        <v>12.05</v>
      </c>
      <c r="I52" s="132">
        <v>14.95</v>
      </c>
      <c r="J52" s="193">
        <v>15.41</v>
      </c>
      <c r="K52" s="193" t="s">
        <v>99</v>
      </c>
      <c r="L52" s="193">
        <v>15.39</v>
      </c>
      <c r="M52" s="203" t="s">
        <v>163</v>
      </c>
    </row>
    <row r="53" spans="1:13" x14ac:dyDescent="0.35">
      <c r="A53" s="18">
        <v>46023</v>
      </c>
      <c r="B53" s="19">
        <v>46026</v>
      </c>
      <c r="C53" s="19" t="s">
        <v>128</v>
      </c>
      <c r="D53" s="130">
        <v>0.70833333333333304</v>
      </c>
      <c r="E53" s="14" t="s">
        <v>163</v>
      </c>
      <c r="F53" s="14" t="s">
        <v>324</v>
      </c>
      <c r="G53" s="14" t="s">
        <v>163</v>
      </c>
      <c r="H53" s="132" t="s">
        <v>163</v>
      </c>
      <c r="I53" s="132" t="s">
        <v>163</v>
      </c>
      <c r="J53" s="193" t="s">
        <v>163</v>
      </c>
      <c r="K53" s="193" t="s">
        <v>163</v>
      </c>
      <c r="L53" s="193" t="s">
        <v>163</v>
      </c>
      <c r="M53" s="203" t="s">
        <v>163</v>
      </c>
    </row>
    <row r="54" spans="1:13" x14ac:dyDescent="0.35">
      <c r="A54" s="18">
        <v>46023</v>
      </c>
      <c r="B54" s="19">
        <v>46026</v>
      </c>
      <c r="C54" s="19" t="s">
        <v>128</v>
      </c>
      <c r="D54" s="130">
        <v>0.75</v>
      </c>
      <c r="E54" s="14" t="s">
        <v>163</v>
      </c>
      <c r="F54" s="14" t="s">
        <v>324</v>
      </c>
      <c r="G54" s="14" t="s">
        <v>163</v>
      </c>
      <c r="H54" s="132" t="s">
        <v>163</v>
      </c>
      <c r="I54" s="132" t="s">
        <v>163</v>
      </c>
      <c r="J54" s="193" t="s">
        <v>163</v>
      </c>
      <c r="K54" s="193" t="s">
        <v>163</v>
      </c>
      <c r="L54" s="193" t="s">
        <v>163</v>
      </c>
      <c r="M54" s="203" t="s">
        <v>163</v>
      </c>
    </row>
    <row r="55" spans="1:13" x14ac:dyDescent="0.35">
      <c r="A55" s="18">
        <v>46023</v>
      </c>
      <c r="B55" s="19">
        <v>46026</v>
      </c>
      <c r="C55" s="19" t="s">
        <v>128</v>
      </c>
      <c r="D55" s="130">
        <v>0.79166666666666596</v>
      </c>
      <c r="E55" s="14" t="s">
        <v>99</v>
      </c>
      <c r="F55" s="14" t="s">
        <v>324</v>
      </c>
      <c r="G55" s="14" t="s">
        <v>329</v>
      </c>
      <c r="H55" s="132">
        <v>11.62</v>
      </c>
      <c r="I55" s="132">
        <v>15.08</v>
      </c>
      <c r="J55" s="193">
        <v>15.12</v>
      </c>
      <c r="K55" s="193" t="s">
        <v>99</v>
      </c>
      <c r="L55" s="193">
        <v>15.19</v>
      </c>
      <c r="M55" s="203" t="s">
        <v>163</v>
      </c>
    </row>
    <row r="56" spans="1:13" x14ac:dyDescent="0.35">
      <c r="A56" s="18">
        <v>46023</v>
      </c>
      <c r="B56" s="19">
        <v>46026</v>
      </c>
      <c r="C56" s="19" t="s">
        <v>128</v>
      </c>
      <c r="D56" s="130">
        <v>0.83333333333333304</v>
      </c>
      <c r="E56" s="14" t="s">
        <v>163</v>
      </c>
      <c r="F56" s="14" t="s">
        <v>324</v>
      </c>
      <c r="G56" s="14" t="s">
        <v>163</v>
      </c>
      <c r="H56" s="132" t="s">
        <v>163</v>
      </c>
      <c r="I56" s="132" t="s">
        <v>163</v>
      </c>
      <c r="J56" s="193" t="s">
        <v>163</v>
      </c>
      <c r="K56" s="193" t="s">
        <v>163</v>
      </c>
      <c r="L56" s="193" t="s">
        <v>163</v>
      </c>
      <c r="M56" s="203" t="s">
        <v>163</v>
      </c>
    </row>
    <row r="57" spans="1:13" x14ac:dyDescent="0.35">
      <c r="A57" s="18">
        <v>46023</v>
      </c>
      <c r="B57" s="19">
        <v>46026</v>
      </c>
      <c r="C57" s="19" t="s">
        <v>128</v>
      </c>
      <c r="D57" s="130">
        <v>0.874999999999999</v>
      </c>
      <c r="E57" s="14" t="s">
        <v>163</v>
      </c>
      <c r="F57" s="14" t="s">
        <v>324</v>
      </c>
      <c r="G57" s="14" t="s">
        <v>163</v>
      </c>
      <c r="H57" s="132" t="s">
        <v>163</v>
      </c>
      <c r="I57" s="132" t="s">
        <v>163</v>
      </c>
      <c r="J57" s="193" t="s">
        <v>163</v>
      </c>
      <c r="K57" s="193" t="s">
        <v>163</v>
      </c>
      <c r="L57" s="193" t="s">
        <v>163</v>
      </c>
      <c r="M57" s="203" t="s">
        <v>163</v>
      </c>
    </row>
    <row r="58" spans="1:13" x14ac:dyDescent="0.35">
      <c r="A58" s="18">
        <v>46023</v>
      </c>
      <c r="B58" s="19">
        <v>46026</v>
      </c>
      <c r="C58" s="19" t="s">
        <v>130</v>
      </c>
      <c r="D58" s="130">
        <v>0.91666666666666663</v>
      </c>
      <c r="E58" s="14" t="s">
        <v>163</v>
      </c>
      <c r="F58" s="14" t="s">
        <v>324</v>
      </c>
      <c r="G58" s="14" t="s">
        <v>163</v>
      </c>
      <c r="H58" s="132" t="s">
        <v>163</v>
      </c>
      <c r="I58" s="132" t="s">
        <v>163</v>
      </c>
      <c r="J58" s="193" t="s">
        <v>163</v>
      </c>
      <c r="K58" s="193" t="s">
        <v>163</v>
      </c>
      <c r="L58" s="193" t="s">
        <v>163</v>
      </c>
      <c r="M58" s="203" t="s">
        <v>163</v>
      </c>
    </row>
    <row r="59" spans="1:13" x14ac:dyDescent="0.35">
      <c r="A59" s="18">
        <v>46023</v>
      </c>
      <c r="B59" s="19">
        <v>46026</v>
      </c>
      <c r="C59" s="19" t="s">
        <v>130</v>
      </c>
      <c r="D59" s="130">
        <v>0.95833333333333337</v>
      </c>
      <c r="E59" s="14" t="s">
        <v>99</v>
      </c>
      <c r="F59" s="14" t="s">
        <v>324</v>
      </c>
      <c r="G59" s="14" t="s">
        <v>330</v>
      </c>
      <c r="H59" s="132">
        <v>11.69</v>
      </c>
      <c r="I59" s="132">
        <v>14.46</v>
      </c>
      <c r="J59" s="193">
        <v>15.18</v>
      </c>
      <c r="K59" s="193" t="s">
        <v>99</v>
      </c>
      <c r="L59" s="193">
        <v>15.33</v>
      </c>
      <c r="M59" s="203" t="s">
        <v>163</v>
      </c>
    </row>
    <row r="60" spans="1:13" x14ac:dyDescent="0.35">
      <c r="A60" s="18">
        <v>46023</v>
      </c>
      <c r="B60" s="19">
        <v>46026</v>
      </c>
      <c r="C60" s="19" t="s">
        <v>130</v>
      </c>
      <c r="D60" s="130">
        <v>1</v>
      </c>
      <c r="E60" s="14" t="s">
        <v>163</v>
      </c>
      <c r="F60" s="14" t="s">
        <v>324</v>
      </c>
      <c r="G60" s="14" t="s">
        <v>163</v>
      </c>
      <c r="H60" s="132" t="s">
        <v>163</v>
      </c>
      <c r="I60" s="132" t="s">
        <v>163</v>
      </c>
      <c r="J60" s="193" t="s">
        <v>163</v>
      </c>
      <c r="K60" s="193" t="s">
        <v>163</v>
      </c>
      <c r="L60" s="193" t="s">
        <v>163</v>
      </c>
      <c r="M60" s="203" t="s">
        <v>163</v>
      </c>
    </row>
    <row r="61" spans="1:13" x14ac:dyDescent="0.35">
      <c r="A61" s="18">
        <v>46023</v>
      </c>
      <c r="B61" s="19">
        <v>46026</v>
      </c>
      <c r="C61" s="19" t="s">
        <v>130</v>
      </c>
      <c r="D61" s="130">
        <v>1.0416666666666701</v>
      </c>
      <c r="E61" s="14" t="s">
        <v>99</v>
      </c>
      <c r="F61" s="14" t="s">
        <v>324</v>
      </c>
      <c r="G61" s="14" t="s">
        <v>330</v>
      </c>
      <c r="H61" s="132">
        <v>11.2</v>
      </c>
      <c r="I61" s="132">
        <v>15.16</v>
      </c>
      <c r="J61" s="193">
        <v>12.36</v>
      </c>
      <c r="K61" s="193" t="s">
        <v>99</v>
      </c>
      <c r="L61" s="193">
        <v>14.87</v>
      </c>
      <c r="M61" s="203" t="s">
        <v>163</v>
      </c>
    </row>
    <row r="62" spans="1:13" x14ac:dyDescent="0.35">
      <c r="A62" s="18">
        <v>46023</v>
      </c>
      <c r="B62" s="19">
        <v>46026</v>
      </c>
      <c r="C62" s="19" t="s">
        <v>130</v>
      </c>
      <c r="D62" s="130">
        <v>1.0833333333333299</v>
      </c>
      <c r="E62" s="14" t="s">
        <v>163</v>
      </c>
      <c r="F62" s="14" t="s">
        <v>324</v>
      </c>
      <c r="G62" s="14" t="s">
        <v>163</v>
      </c>
      <c r="H62" s="132" t="s">
        <v>163</v>
      </c>
      <c r="I62" s="132" t="s">
        <v>163</v>
      </c>
      <c r="J62" s="193" t="s">
        <v>163</v>
      </c>
      <c r="K62" s="193" t="s">
        <v>163</v>
      </c>
      <c r="L62" s="193" t="s">
        <v>163</v>
      </c>
      <c r="M62" s="203" t="s">
        <v>163</v>
      </c>
    </row>
    <row r="63" spans="1:13" x14ac:dyDescent="0.35">
      <c r="A63" s="18">
        <v>46023</v>
      </c>
      <c r="B63" s="19">
        <v>46026</v>
      </c>
      <c r="C63" s="19" t="s">
        <v>130</v>
      </c>
      <c r="D63" s="130">
        <v>1.125</v>
      </c>
      <c r="E63" s="14" t="s">
        <v>99</v>
      </c>
      <c r="F63" s="14" t="s">
        <v>324</v>
      </c>
      <c r="G63" s="14" t="s">
        <v>330</v>
      </c>
      <c r="H63" s="132">
        <v>11.5</v>
      </c>
      <c r="I63" s="132">
        <v>14.92</v>
      </c>
      <c r="J63" s="193" t="s">
        <v>163</v>
      </c>
      <c r="K63" s="193" t="s">
        <v>99</v>
      </c>
      <c r="L63" s="193">
        <v>14.55</v>
      </c>
      <c r="M63" s="203" t="s">
        <v>163</v>
      </c>
    </row>
    <row r="64" spans="1:13" x14ac:dyDescent="0.35">
      <c r="A64" s="18">
        <v>46023</v>
      </c>
      <c r="B64" s="19">
        <v>46026</v>
      </c>
      <c r="C64" s="19" t="s">
        <v>130</v>
      </c>
      <c r="D64" s="130">
        <v>1.1666666666666701</v>
      </c>
      <c r="E64" s="14" t="s">
        <v>163</v>
      </c>
      <c r="F64" s="14" t="s">
        <v>324</v>
      </c>
      <c r="G64" s="14" t="s">
        <v>163</v>
      </c>
      <c r="H64" s="132" t="s">
        <v>163</v>
      </c>
      <c r="I64" s="132" t="s">
        <v>163</v>
      </c>
      <c r="J64" s="193" t="s">
        <v>163</v>
      </c>
      <c r="K64" s="193" t="s">
        <v>163</v>
      </c>
      <c r="L64" s="193" t="s">
        <v>163</v>
      </c>
      <c r="M64" s="203" t="s">
        <v>163</v>
      </c>
    </row>
    <row r="65" spans="1:13" x14ac:dyDescent="0.35">
      <c r="A65" s="18">
        <v>46023</v>
      </c>
      <c r="B65" s="19">
        <v>46026</v>
      </c>
      <c r="C65" s="19" t="s">
        <v>130</v>
      </c>
      <c r="D65" s="130">
        <v>1.2083333333333299</v>
      </c>
      <c r="E65" s="14" t="s">
        <v>99</v>
      </c>
      <c r="F65" s="14" t="s">
        <v>324</v>
      </c>
      <c r="G65" s="14" t="s">
        <v>330</v>
      </c>
      <c r="H65" s="132">
        <v>11.4</v>
      </c>
      <c r="I65" s="132">
        <v>14.86</v>
      </c>
      <c r="J65" s="193">
        <v>15.06</v>
      </c>
      <c r="K65" s="193" t="s">
        <v>99</v>
      </c>
      <c r="L65" s="193">
        <v>14.92</v>
      </c>
      <c r="M65" s="203" t="s">
        <v>163</v>
      </c>
    </row>
    <row r="66" spans="1:13" x14ac:dyDescent="0.35">
      <c r="A66" s="18">
        <v>46023</v>
      </c>
      <c r="B66" s="19">
        <v>46027</v>
      </c>
      <c r="C66" s="19" t="s">
        <v>125</v>
      </c>
      <c r="D66" s="130" t="s">
        <v>326</v>
      </c>
      <c r="E66" s="14" t="s">
        <v>163</v>
      </c>
      <c r="F66" s="14" t="s">
        <v>324</v>
      </c>
      <c r="G66" s="14" t="s">
        <v>163</v>
      </c>
      <c r="H66" s="132" t="s">
        <v>163</v>
      </c>
      <c r="I66" s="132" t="s">
        <v>163</v>
      </c>
      <c r="J66" s="193" t="s">
        <v>163</v>
      </c>
      <c r="K66" s="193" t="s">
        <v>163</v>
      </c>
      <c r="L66" s="193" t="s">
        <v>163</v>
      </c>
      <c r="M66" s="203" t="s">
        <v>163</v>
      </c>
    </row>
    <row r="67" spans="1:13" x14ac:dyDescent="0.35">
      <c r="A67" s="18">
        <v>46023</v>
      </c>
      <c r="B67" s="19">
        <v>46027</v>
      </c>
      <c r="C67" s="19" t="s">
        <v>125</v>
      </c>
      <c r="D67" s="130" t="s">
        <v>239</v>
      </c>
      <c r="E67" s="14" t="s">
        <v>99</v>
      </c>
      <c r="F67" s="14" t="s">
        <v>324</v>
      </c>
      <c r="G67" s="14" t="s">
        <v>325</v>
      </c>
      <c r="H67" s="132">
        <v>12.21</v>
      </c>
      <c r="I67" s="132">
        <v>13.77</v>
      </c>
      <c r="J67" s="193">
        <v>14.65</v>
      </c>
      <c r="K67" s="193" t="s">
        <v>99</v>
      </c>
      <c r="L67" s="193">
        <v>14.8</v>
      </c>
      <c r="M67" s="203" t="s">
        <v>163</v>
      </c>
    </row>
    <row r="68" spans="1:13" x14ac:dyDescent="0.35">
      <c r="A68" s="18">
        <v>46023</v>
      </c>
      <c r="B68" s="19">
        <v>46027</v>
      </c>
      <c r="C68" s="19" t="s">
        <v>125</v>
      </c>
      <c r="D68" s="130" t="s">
        <v>273</v>
      </c>
      <c r="E68" s="14" t="s">
        <v>163</v>
      </c>
      <c r="F68" s="14" t="s">
        <v>324</v>
      </c>
      <c r="G68" s="14" t="s">
        <v>163</v>
      </c>
      <c r="H68" s="132" t="s">
        <v>163</v>
      </c>
      <c r="I68" s="132" t="s">
        <v>163</v>
      </c>
      <c r="J68" s="193" t="s">
        <v>163</v>
      </c>
      <c r="K68" s="193" t="s">
        <v>163</v>
      </c>
      <c r="L68" s="193" t="s">
        <v>163</v>
      </c>
      <c r="M68" s="203" t="s">
        <v>163</v>
      </c>
    </row>
    <row r="69" spans="1:13" x14ac:dyDescent="0.35">
      <c r="A69" s="18">
        <v>46023</v>
      </c>
      <c r="B69" s="19">
        <v>46027</v>
      </c>
      <c r="C69" s="19" t="s">
        <v>125</v>
      </c>
      <c r="D69" s="130" t="s">
        <v>240</v>
      </c>
      <c r="E69" s="14" t="s">
        <v>99</v>
      </c>
      <c r="F69" s="14" t="s">
        <v>324</v>
      </c>
      <c r="G69" s="14" t="s">
        <v>325</v>
      </c>
      <c r="H69" s="132">
        <v>12.45</v>
      </c>
      <c r="I69" s="132">
        <v>14.52</v>
      </c>
      <c r="J69" s="193">
        <v>15.46</v>
      </c>
      <c r="K69" s="193" t="s">
        <v>99</v>
      </c>
      <c r="L69" s="193">
        <v>15.15</v>
      </c>
      <c r="M69" s="203" t="s">
        <v>163</v>
      </c>
    </row>
    <row r="70" spans="1:13" x14ac:dyDescent="0.35">
      <c r="A70" s="18">
        <v>46023</v>
      </c>
      <c r="B70" s="19">
        <v>46027</v>
      </c>
      <c r="C70" s="19" t="s">
        <v>125</v>
      </c>
      <c r="D70" s="130" t="s">
        <v>327</v>
      </c>
      <c r="E70" s="14" t="s">
        <v>163</v>
      </c>
      <c r="F70" s="14" t="s">
        <v>324</v>
      </c>
      <c r="G70" s="14" t="s">
        <v>163</v>
      </c>
      <c r="H70" s="132" t="s">
        <v>163</v>
      </c>
      <c r="I70" s="132" t="s">
        <v>163</v>
      </c>
      <c r="J70" s="193" t="s">
        <v>163</v>
      </c>
      <c r="K70" s="193" t="s">
        <v>163</v>
      </c>
      <c r="L70" s="193" t="s">
        <v>163</v>
      </c>
      <c r="M70" s="203" t="s">
        <v>163</v>
      </c>
    </row>
    <row r="71" spans="1:13" x14ac:dyDescent="0.35">
      <c r="A71" s="18">
        <v>46023</v>
      </c>
      <c r="B71" s="19">
        <v>46027</v>
      </c>
      <c r="C71" s="19" t="s">
        <v>125</v>
      </c>
      <c r="D71" s="130" t="s">
        <v>237</v>
      </c>
      <c r="E71" s="14" t="s">
        <v>99</v>
      </c>
      <c r="F71" s="14" t="s">
        <v>324</v>
      </c>
      <c r="G71" s="14" t="s">
        <v>325</v>
      </c>
      <c r="H71" s="132">
        <v>12.33</v>
      </c>
      <c r="I71" s="132">
        <v>14.77</v>
      </c>
      <c r="J71" s="193">
        <v>15.29</v>
      </c>
      <c r="K71" s="193" t="s">
        <v>99</v>
      </c>
      <c r="L71" s="193">
        <v>15.11</v>
      </c>
      <c r="M71" s="203" t="s">
        <v>163</v>
      </c>
    </row>
    <row r="72" spans="1:13" x14ac:dyDescent="0.35">
      <c r="A72" s="18">
        <v>46023</v>
      </c>
      <c r="B72" s="19">
        <v>46027</v>
      </c>
      <c r="C72" s="19" t="s">
        <v>125</v>
      </c>
      <c r="D72" s="130" t="s">
        <v>328</v>
      </c>
      <c r="E72" s="14" t="s">
        <v>163</v>
      </c>
      <c r="F72" s="14" t="s">
        <v>324</v>
      </c>
      <c r="G72" s="14" t="s">
        <v>163</v>
      </c>
      <c r="H72" s="132" t="s">
        <v>163</v>
      </c>
      <c r="I72" s="132" t="s">
        <v>163</v>
      </c>
      <c r="J72" s="193" t="s">
        <v>163</v>
      </c>
      <c r="K72" s="193" t="s">
        <v>163</v>
      </c>
      <c r="L72" s="193" t="s">
        <v>163</v>
      </c>
      <c r="M72" s="203" t="s">
        <v>163</v>
      </c>
    </row>
    <row r="73" spans="1:13" x14ac:dyDescent="0.35">
      <c r="A73" s="18">
        <v>46023</v>
      </c>
      <c r="B73" s="19">
        <v>46027</v>
      </c>
      <c r="C73" s="19" t="s">
        <v>125</v>
      </c>
      <c r="D73" s="130" t="s">
        <v>238</v>
      </c>
      <c r="E73" s="14" t="s">
        <v>163</v>
      </c>
      <c r="F73" s="14" t="s">
        <v>324</v>
      </c>
      <c r="G73" s="14" t="s">
        <v>163</v>
      </c>
      <c r="H73" s="132" t="s">
        <v>163</v>
      </c>
      <c r="I73" s="132" t="s">
        <v>163</v>
      </c>
      <c r="J73" s="193" t="s">
        <v>163</v>
      </c>
      <c r="K73" s="193" t="s">
        <v>163</v>
      </c>
      <c r="L73" s="193" t="s">
        <v>163</v>
      </c>
      <c r="M73" s="203" t="s">
        <v>163</v>
      </c>
    </row>
    <row r="74" spans="1:13" x14ac:dyDescent="0.35">
      <c r="A74" s="18">
        <v>46023</v>
      </c>
      <c r="B74" s="19">
        <v>46028</v>
      </c>
      <c r="C74" s="19" t="s">
        <v>130</v>
      </c>
      <c r="D74" s="130">
        <v>0.91666666666666663</v>
      </c>
      <c r="E74" s="14" t="s">
        <v>163</v>
      </c>
      <c r="F74" s="14" t="s">
        <v>324</v>
      </c>
      <c r="G74" s="14" t="s">
        <v>163</v>
      </c>
      <c r="H74" s="132" t="s">
        <v>163</v>
      </c>
      <c r="I74" s="132" t="s">
        <v>163</v>
      </c>
      <c r="J74" s="193" t="s">
        <v>163</v>
      </c>
      <c r="K74" s="193" t="s">
        <v>163</v>
      </c>
      <c r="L74" s="193" t="s">
        <v>163</v>
      </c>
      <c r="M74" s="203" t="s">
        <v>163</v>
      </c>
    </row>
    <row r="75" spans="1:13" x14ac:dyDescent="0.35">
      <c r="A75" s="18">
        <v>46023</v>
      </c>
      <c r="B75" s="19">
        <v>46028</v>
      </c>
      <c r="C75" s="19" t="s">
        <v>130</v>
      </c>
      <c r="D75" s="130">
        <v>0.95833333333333337</v>
      </c>
      <c r="E75" s="14" t="s">
        <v>99</v>
      </c>
      <c r="F75" s="14" t="s">
        <v>324</v>
      </c>
      <c r="G75" s="14" t="s">
        <v>329</v>
      </c>
      <c r="H75" s="132" t="s">
        <v>163</v>
      </c>
      <c r="I75" s="132">
        <v>14.42</v>
      </c>
      <c r="J75" s="193">
        <v>14.44</v>
      </c>
      <c r="K75" s="193" t="s">
        <v>99</v>
      </c>
      <c r="L75" s="193">
        <v>14.39</v>
      </c>
      <c r="M75" s="203" t="s">
        <v>163</v>
      </c>
    </row>
    <row r="76" spans="1:13" x14ac:dyDescent="0.35">
      <c r="A76" s="18">
        <v>46023</v>
      </c>
      <c r="B76" s="19">
        <v>46028</v>
      </c>
      <c r="C76" s="19" t="s">
        <v>130</v>
      </c>
      <c r="D76" s="130">
        <v>1</v>
      </c>
      <c r="E76" s="14" t="s">
        <v>163</v>
      </c>
      <c r="F76" s="14" t="s">
        <v>324</v>
      </c>
      <c r="G76" s="14" t="s">
        <v>163</v>
      </c>
      <c r="H76" s="132" t="s">
        <v>163</v>
      </c>
      <c r="I76" s="132" t="s">
        <v>163</v>
      </c>
      <c r="J76" s="193" t="s">
        <v>163</v>
      </c>
      <c r="K76" s="193" t="s">
        <v>163</v>
      </c>
      <c r="L76" s="193" t="s">
        <v>163</v>
      </c>
      <c r="M76" s="203" t="s">
        <v>163</v>
      </c>
    </row>
    <row r="77" spans="1:13" x14ac:dyDescent="0.35">
      <c r="A77" s="18">
        <v>46023</v>
      </c>
      <c r="B77" s="19">
        <v>46028</v>
      </c>
      <c r="C77" s="19" t="s">
        <v>130</v>
      </c>
      <c r="D77" s="130">
        <v>1.0416666666666701</v>
      </c>
      <c r="E77" s="14" t="s">
        <v>99</v>
      </c>
      <c r="F77" s="14" t="s">
        <v>324</v>
      </c>
      <c r="G77" s="14" t="s">
        <v>329</v>
      </c>
      <c r="H77" s="132" t="s">
        <v>163</v>
      </c>
      <c r="I77" s="132">
        <v>14.08</v>
      </c>
      <c r="J77" s="193">
        <v>14.54</v>
      </c>
      <c r="K77" s="193" t="s">
        <v>99</v>
      </c>
      <c r="L77" s="193">
        <v>14.09</v>
      </c>
      <c r="M77" s="203" t="s">
        <v>163</v>
      </c>
    </row>
    <row r="78" spans="1:13" x14ac:dyDescent="0.35">
      <c r="A78" s="18">
        <v>46023</v>
      </c>
      <c r="B78" s="19">
        <v>46028</v>
      </c>
      <c r="C78" s="19" t="s">
        <v>130</v>
      </c>
      <c r="D78" s="130">
        <v>1.0833333333333299</v>
      </c>
      <c r="E78" s="14" t="s">
        <v>163</v>
      </c>
      <c r="F78" s="14" t="s">
        <v>324</v>
      </c>
      <c r="G78" s="14" t="s">
        <v>163</v>
      </c>
      <c r="H78" s="132" t="s">
        <v>163</v>
      </c>
      <c r="I78" s="132" t="s">
        <v>163</v>
      </c>
      <c r="J78" s="193" t="s">
        <v>163</v>
      </c>
      <c r="K78" s="193" t="s">
        <v>163</v>
      </c>
      <c r="L78" s="193" t="s">
        <v>163</v>
      </c>
      <c r="M78" s="203" t="s">
        <v>163</v>
      </c>
    </row>
    <row r="79" spans="1:13" x14ac:dyDescent="0.35">
      <c r="A79" s="18">
        <v>46023</v>
      </c>
      <c r="B79" s="19">
        <v>46028</v>
      </c>
      <c r="C79" s="19" t="s">
        <v>130</v>
      </c>
      <c r="D79" s="130">
        <v>1.125</v>
      </c>
      <c r="E79" s="14" t="s">
        <v>99</v>
      </c>
      <c r="F79" s="14" t="s">
        <v>324</v>
      </c>
      <c r="G79" s="14" t="s">
        <v>329</v>
      </c>
      <c r="H79" s="132">
        <v>11.9</v>
      </c>
      <c r="I79" s="132">
        <v>14.29</v>
      </c>
      <c r="J79" s="193">
        <v>14.4</v>
      </c>
      <c r="K79" s="193" t="s">
        <v>99</v>
      </c>
      <c r="L79" s="193">
        <v>14.67</v>
      </c>
      <c r="M79" s="203" t="s">
        <v>163</v>
      </c>
    </row>
    <row r="80" spans="1:13" x14ac:dyDescent="0.35">
      <c r="A80" s="18">
        <v>46023</v>
      </c>
      <c r="B80" s="19">
        <v>46028</v>
      </c>
      <c r="C80" s="19" t="s">
        <v>130</v>
      </c>
      <c r="D80" s="130">
        <v>1.1666666666666701</v>
      </c>
      <c r="E80" s="14" t="s">
        <v>163</v>
      </c>
      <c r="F80" s="14" t="s">
        <v>324</v>
      </c>
      <c r="G80" s="14" t="s">
        <v>163</v>
      </c>
      <c r="H80" s="132" t="s">
        <v>163</v>
      </c>
      <c r="I80" s="132" t="s">
        <v>163</v>
      </c>
      <c r="J80" s="193" t="s">
        <v>163</v>
      </c>
      <c r="K80" s="193" t="s">
        <v>163</v>
      </c>
      <c r="L80" s="193" t="s">
        <v>163</v>
      </c>
      <c r="M80" s="203" t="s">
        <v>163</v>
      </c>
    </row>
    <row r="81" spans="1:13" x14ac:dyDescent="0.35">
      <c r="A81" s="18">
        <v>46023</v>
      </c>
      <c r="B81" s="19">
        <v>46028</v>
      </c>
      <c r="C81" s="19" t="s">
        <v>130</v>
      </c>
      <c r="D81" s="130">
        <v>1.2083333333333299</v>
      </c>
      <c r="E81" s="14" t="s">
        <v>99</v>
      </c>
      <c r="F81" s="14" t="s">
        <v>324</v>
      </c>
      <c r="G81" s="14" t="s">
        <v>329</v>
      </c>
      <c r="H81" s="132" t="s">
        <v>163</v>
      </c>
      <c r="I81" s="132">
        <v>14.17</v>
      </c>
      <c r="J81" s="193">
        <v>14.46</v>
      </c>
      <c r="K81" s="193" t="s">
        <v>99</v>
      </c>
      <c r="L81" s="193">
        <v>14.42</v>
      </c>
      <c r="M81" s="203" t="s">
        <v>163</v>
      </c>
    </row>
    <row r="82" spans="1:13" x14ac:dyDescent="0.35">
      <c r="A82" s="18">
        <v>46023</v>
      </c>
      <c r="B82" s="19">
        <v>46028</v>
      </c>
      <c r="C82" s="19" t="s">
        <v>128</v>
      </c>
      <c r="D82" s="130">
        <v>0.58333333333333337</v>
      </c>
      <c r="E82" s="14" t="s">
        <v>163</v>
      </c>
      <c r="F82" s="14" t="s">
        <v>324</v>
      </c>
      <c r="G82" s="14" t="s">
        <v>163</v>
      </c>
      <c r="H82" s="132" t="s">
        <v>163</v>
      </c>
      <c r="I82" s="132" t="s">
        <v>163</v>
      </c>
      <c r="J82" s="193" t="s">
        <v>163</v>
      </c>
      <c r="K82" s="193" t="s">
        <v>163</v>
      </c>
      <c r="L82" s="193" t="s">
        <v>163</v>
      </c>
      <c r="M82" s="203" t="s">
        <v>163</v>
      </c>
    </row>
    <row r="83" spans="1:13" x14ac:dyDescent="0.35">
      <c r="A83" s="18">
        <v>46023</v>
      </c>
      <c r="B83" s="19">
        <v>46028</v>
      </c>
      <c r="C83" s="19" t="s">
        <v>128</v>
      </c>
      <c r="D83" s="130">
        <v>0.625</v>
      </c>
      <c r="E83" s="14" t="s">
        <v>163</v>
      </c>
      <c r="F83" s="14" t="s">
        <v>324</v>
      </c>
      <c r="G83" s="14" t="s">
        <v>163</v>
      </c>
      <c r="H83" s="132" t="s">
        <v>163</v>
      </c>
      <c r="I83" s="132" t="s">
        <v>163</v>
      </c>
      <c r="J83" s="193" t="s">
        <v>163</v>
      </c>
      <c r="K83" s="193" t="s">
        <v>163</v>
      </c>
      <c r="L83" s="193" t="s">
        <v>163</v>
      </c>
      <c r="M83" s="203" t="s">
        <v>163</v>
      </c>
    </row>
    <row r="84" spans="1:13" x14ac:dyDescent="0.35">
      <c r="A84" s="18">
        <v>46023</v>
      </c>
      <c r="B84" s="19">
        <v>46028</v>
      </c>
      <c r="C84" s="19" t="s">
        <v>128</v>
      </c>
      <c r="D84" s="130">
        <v>0.66666666666666696</v>
      </c>
      <c r="E84" s="14" t="s">
        <v>163</v>
      </c>
      <c r="F84" s="14" t="s">
        <v>324</v>
      </c>
      <c r="G84" s="14" t="s">
        <v>163</v>
      </c>
      <c r="H84" s="132" t="s">
        <v>163</v>
      </c>
      <c r="I84" s="132" t="s">
        <v>163</v>
      </c>
      <c r="J84" s="193" t="s">
        <v>163</v>
      </c>
      <c r="K84" s="193" t="s">
        <v>163</v>
      </c>
      <c r="L84" s="193" t="s">
        <v>163</v>
      </c>
      <c r="M84" s="203" t="s">
        <v>163</v>
      </c>
    </row>
    <row r="85" spans="1:13" x14ac:dyDescent="0.35">
      <c r="A85" s="18">
        <v>46023</v>
      </c>
      <c r="B85" s="19">
        <v>46028</v>
      </c>
      <c r="C85" s="19" t="s">
        <v>128</v>
      </c>
      <c r="D85" s="130">
        <v>0.70833333333333304</v>
      </c>
      <c r="E85" s="14" t="s">
        <v>99</v>
      </c>
      <c r="F85" s="14" t="s">
        <v>324</v>
      </c>
      <c r="G85" s="14" t="s">
        <v>331</v>
      </c>
      <c r="H85" s="132">
        <v>11.69</v>
      </c>
      <c r="I85" s="132" t="s">
        <v>163</v>
      </c>
      <c r="J85" s="193">
        <v>14.6</v>
      </c>
      <c r="K85" s="193" t="s">
        <v>99</v>
      </c>
      <c r="L85" s="193">
        <v>14.61</v>
      </c>
      <c r="M85" s="203" t="s">
        <v>163</v>
      </c>
    </row>
    <row r="86" spans="1:13" x14ac:dyDescent="0.35">
      <c r="A86" s="18">
        <v>46023</v>
      </c>
      <c r="B86" s="19">
        <v>46028</v>
      </c>
      <c r="C86" s="19" t="s">
        <v>128</v>
      </c>
      <c r="D86" s="130">
        <v>0.75</v>
      </c>
      <c r="E86" s="14" t="s">
        <v>163</v>
      </c>
      <c r="F86" s="14" t="s">
        <v>324</v>
      </c>
      <c r="G86" s="14" t="s">
        <v>163</v>
      </c>
      <c r="H86" s="132" t="s">
        <v>163</v>
      </c>
      <c r="I86" s="132" t="s">
        <v>163</v>
      </c>
      <c r="J86" s="193" t="s">
        <v>163</v>
      </c>
      <c r="K86" s="193" t="s">
        <v>163</v>
      </c>
      <c r="L86" s="193" t="s">
        <v>163</v>
      </c>
      <c r="M86" s="203" t="s">
        <v>163</v>
      </c>
    </row>
    <row r="87" spans="1:13" x14ac:dyDescent="0.35">
      <c r="A87" s="18">
        <v>46023</v>
      </c>
      <c r="B87" s="19">
        <v>46028</v>
      </c>
      <c r="C87" s="19" t="s">
        <v>128</v>
      </c>
      <c r="D87" s="130">
        <v>0.79166666666666596</v>
      </c>
      <c r="E87" s="14" t="s">
        <v>99</v>
      </c>
      <c r="F87" s="14" t="s">
        <v>324</v>
      </c>
      <c r="G87" s="14" t="s">
        <v>331</v>
      </c>
      <c r="H87" s="132">
        <v>12.29</v>
      </c>
      <c r="I87" s="132" t="s">
        <v>163</v>
      </c>
      <c r="J87" s="193">
        <v>14.48</v>
      </c>
      <c r="K87" s="193" t="s">
        <v>99</v>
      </c>
      <c r="L87" s="193">
        <v>13.78</v>
      </c>
      <c r="M87" s="203" t="s">
        <v>163</v>
      </c>
    </row>
    <row r="88" spans="1:13" x14ac:dyDescent="0.35">
      <c r="A88" s="18">
        <v>46023</v>
      </c>
      <c r="B88" s="19">
        <v>46028</v>
      </c>
      <c r="C88" s="19" t="s">
        <v>128</v>
      </c>
      <c r="D88" s="130">
        <v>0.83333333333333304</v>
      </c>
      <c r="E88" s="14" t="s">
        <v>163</v>
      </c>
      <c r="F88" s="14" t="s">
        <v>324</v>
      </c>
      <c r="G88" s="14" t="s">
        <v>163</v>
      </c>
      <c r="H88" s="132" t="s">
        <v>163</v>
      </c>
      <c r="I88" s="132" t="s">
        <v>163</v>
      </c>
      <c r="J88" s="193" t="s">
        <v>163</v>
      </c>
      <c r="K88" s="193" t="s">
        <v>163</v>
      </c>
      <c r="L88" s="193" t="s">
        <v>163</v>
      </c>
      <c r="M88" s="203" t="s">
        <v>163</v>
      </c>
    </row>
    <row r="89" spans="1:13" x14ac:dyDescent="0.35">
      <c r="A89" s="18">
        <v>46023</v>
      </c>
      <c r="B89" s="19">
        <v>46028</v>
      </c>
      <c r="C89" s="19" t="s">
        <v>128</v>
      </c>
      <c r="D89" s="130">
        <v>0.874999999999999</v>
      </c>
      <c r="E89" s="14" t="s">
        <v>99</v>
      </c>
      <c r="F89" s="14" t="s">
        <v>324</v>
      </c>
      <c r="G89" s="14" t="s">
        <v>331</v>
      </c>
      <c r="H89" s="132">
        <v>12.67</v>
      </c>
      <c r="I89" s="132">
        <v>14.56</v>
      </c>
      <c r="J89" s="193">
        <v>14.56</v>
      </c>
      <c r="K89" s="193" t="s">
        <v>99</v>
      </c>
      <c r="L89" s="193">
        <v>14.54</v>
      </c>
      <c r="M89" s="203" t="s">
        <v>163</v>
      </c>
    </row>
    <row r="90" spans="1:13" x14ac:dyDescent="0.35">
      <c r="A90" s="18">
        <v>46023</v>
      </c>
      <c r="B90" s="19">
        <v>46028</v>
      </c>
      <c r="C90" s="19" t="s">
        <v>130</v>
      </c>
      <c r="D90" s="130">
        <v>0.91666666666666663</v>
      </c>
      <c r="E90" s="14" t="s">
        <v>163</v>
      </c>
      <c r="F90" s="14" t="s">
        <v>324</v>
      </c>
      <c r="G90" s="14" t="s">
        <v>163</v>
      </c>
      <c r="H90" s="132" t="s">
        <v>163</v>
      </c>
      <c r="I90" s="132" t="s">
        <v>163</v>
      </c>
      <c r="J90" s="193" t="s">
        <v>163</v>
      </c>
      <c r="K90" s="193" t="s">
        <v>163</v>
      </c>
      <c r="L90" s="193" t="s">
        <v>163</v>
      </c>
      <c r="M90" s="203" t="s">
        <v>163</v>
      </c>
    </row>
    <row r="91" spans="1:13" x14ac:dyDescent="0.35">
      <c r="A91" s="18">
        <v>46023</v>
      </c>
      <c r="B91" s="19">
        <v>46028</v>
      </c>
      <c r="C91" s="19" t="s">
        <v>130</v>
      </c>
      <c r="D91" s="130">
        <v>0.95833333333333337</v>
      </c>
      <c r="E91" s="14" t="s">
        <v>99</v>
      </c>
      <c r="F91" s="14" t="s">
        <v>324</v>
      </c>
      <c r="G91" s="14" t="s">
        <v>330</v>
      </c>
      <c r="H91" s="132">
        <v>11.8</v>
      </c>
      <c r="I91" s="132">
        <v>14.2</v>
      </c>
      <c r="J91" s="193">
        <v>14.25</v>
      </c>
      <c r="K91" s="193" t="s">
        <v>99</v>
      </c>
      <c r="L91" s="193">
        <v>14.32</v>
      </c>
      <c r="M91" s="203" t="s">
        <v>163</v>
      </c>
    </row>
    <row r="92" spans="1:13" x14ac:dyDescent="0.35">
      <c r="A92" s="18">
        <v>46023</v>
      </c>
      <c r="B92" s="19">
        <v>46028</v>
      </c>
      <c r="C92" s="19" t="s">
        <v>130</v>
      </c>
      <c r="D92" s="130">
        <v>1</v>
      </c>
      <c r="E92" s="14" t="s">
        <v>163</v>
      </c>
      <c r="F92" s="14" t="s">
        <v>324</v>
      </c>
      <c r="G92" s="14" t="s">
        <v>163</v>
      </c>
      <c r="H92" s="132" t="s">
        <v>163</v>
      </c>
      <c r="I92" s="132" t="s">
        <v>163</v>
      </c>
      <c r="J92" s="193" t="s">
        <v>163</v>
      </c>
      <c r="K92" s="193" t="s">
        <v>163</v>
      </c>
      <c r="L92" s="193" t="s">
        <v>163</v>
      </c>
      <c r="M92" s="203" t="s">
        <v>163</v>
      </c>
    </row>
    <row r="93" spans="1:13" x14ac:dyDescent="0.35">
      <c r="A93" s="18">
        <v>46023</v>
      </c>
      <c r="B93" s="19">
        <v>46028</v>
      </c>
      <c r="C93" s="19" t="s">
        <v>130</v>
      </c>
      <c r="D93" s="130">
        <v>1.0416666666666701</v>
      </c>
      <c r="E93" s="14" t="s">
        <v>163</v>
      </c>
      <c r="F93" s="14" t="s">
        <v>324</v>
      </c>
      <c r="G93" s="14" t="s">
        <v>163</v>
      </c>
      <c r="H93" s="132" t="s">
        <v>163</v>
      </c>
      <c r="I93" s="132" t="s">
        <v>163</v>
      </c>
      <c r="J93" s="193" t="s">
        <v>163</v>
      </c>
      <c r="K93" s="193" t="s">
        <v>163</v>
      </c>
      <c r="L93" s="193" t="s">
        <v>163</v>
      </c>
      <c r="M93" s="203" t="s">
        <v>163</v>
      </c>
    </row>
    <row r="94" spans="1:13" x14ac:dyDescent="0.35">
      <c r="A94" s="18">
        <v>46023</v>
      </c>
      <c r="B94" s="19">
        <v>46028</v>
      </c>
      <c r="C94" s="19" t="s">
        <v>130</v>
      </c>
      <c r="D94" s="130">
        <v>1.0833333333333299</v>
      </c>
      <c r="E94" s="14" t="s">
        <v>163</v>
      </c>
      <c r="F94" s="14" t="s">
        <v>324</v>
      </c>
      <c r="G94" s="14" t="s">
        <v>163</v>
      </c>
      <c r="H94" s="132" t="s">
        <v>163</v>
      </c>
      <c r="I94" s="132" t="s">
        <v>163</v>
      </c>
      <c r="J94" s="193" t="s">
        <v>163</v>
      </c>
      <c r="K94" s="193" t="s">
        <v>163</v>
      </c>
      <c r="L94" s="193" t="s">
        <v>163</v>
      </c>
      <c r="M94" s="203" t="s">
        <v>163</v>
      </c>
    </row>
    <row r="95" spans="1:13" x14ac:dyDescent="0.35">
      <c r="A95" s="18">
        <v>46023</v>
      </c>
      <c r="B95" s="19">
        <v>46028</v>
      </c>
      <c r="C95" s="19" t="s">
        <v>130</v>
      </c>
      <c r="D95" s="130">
        <v>1.125</v>
      </c>
      <c r="E95" s="14" t="s">
        <v>163</v>
      </c>
      <c r="F95" s="14" t="s">
        <v>324</v>
      </c>
      <c r="G95" s="14" t="s">
        <v>163</v>
      </c>
      <c r="H95" s="132" t="s">
        <v>163</v>
      </c>
      <c r="I95" s="132" t="s">
        <v>163</v>
      </c>
      <c r="J95" s="193" t="s">
        <v>163</v>
      </c>
      <c r="K95" s="193" t="s">
        <v>163</v>
      </c>
      <c r="L95" s="193" t="s">
        <v>163</v>
      </c>
      <c r="M95" s="203" t="s">
        <v>163</v>
      </c>
    </row>
    <row r="96" spans="1:13" x14ac:dyDescent="0.35">
      <c r="A96" s="18">
        <v>46023</v>
      </c>
      <c r="B96" s="19">
        <v>46028</v>
      </c>
      <c r="C96" s="19" t="s">
        <v>130</v>
      </c>
      <c r="D96" s="130">
        <v>1.1666666666666701</v>
      </c>
      <c r="E96" s="14" t="s">
        <v>163</v>
      </c>
      <c r="F96" s="14" t="s">
        <v>324</v>
      </c>
      <c r="G96" s="14" t="s">
        <v>163</v>
      </c>
      <c r="H96" s="132" t="s">
        <v>163</v>
      </c>
      <c r="I96" s="132" t="s">
        <v>163</v>
      </c>
      <c r="J96" s="193" t="s">
        <v>163</v>
      </c>
      <c r="K96" s="193" t="s">
        <v>163</v>
      </c>
      <c r="L96" s="193" t="s">
        <v>163</v>
      </c>
      <c r="M96" s="203" t="s">
        <v>163</v>
      </c>
    </row>
    <row r="97" spans="1:13" x14ac:dyDescent="0.35">
      <c r="A97" s="18">
        <v>46023</v>
      </c>
      <c r="B97" s="19">
        <v>46028</v>
      </c>
      <c r="C97" s="19" t="s">
        <v>130</v>
      </c>
      <c r="D97" s="130">
        <v>1.2083333333333299</v>
      </c>
      <c r="E97" s="14" t="s">
        <v>163</v>
      </c>
      <c r="F97" s="14" t="s">
        <v>324</v>
      </c>
      <c r="G97" s="14" t="s">
        <v>163</v>
      </c>
      <c r="H97" s="132" t="s">
        <v>163</v>
      </c>
      <c r="I97" s="132" t="s">
        <v>163</v>
      </c>
      <c r="J97" s="193" t="s">
        <v>163</v>
      </c>
      <c r="K97" s="193" t="s">
        <v>163</v>
      </c>
      <c r="L97" s="193" t="s">
        <v>163</v>
      </c>
      <c r="M97" s="203" t="s">
        <v>163</v>
      </c>
    </row>
  </sheetData>
  <phoneticPr fontId="28"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64B43-B3D7-4EFB-A311-A6C9EF919C3E}">
  <sheetPr codeName="Sheet12"/>
  <dimension ref="A3:HC54"/>
  <sheetViews>
    <sheetView workbookViewId="0">
      <pane xSplit="1" topLeftCell="B1" activePane="topRight" state="frozen"/>
      <selection pane="topRight" activeCell="AE20" sqref="AE20"/>
    </sheetView>
  </sheetViews>
  <sheetFormatPr defaultRowHeight="14.5" x14ac:dyDescent="0.35"/>
  <cols>
    <col min="1" max="1" width="45.1796875" bestFit="1" customWidth="1"/>
    <col min="2" max="210" width="12.26953125" bestFit="1" customWidth="1"/>
    <col min="211" max="211" width="11.26953125" bestFit="1" customWidth="1"/>
    <col min="212" max="213" width="11.1796875" bestFit="1" customWidth="1"/>
    <col min="214" max="230" width="12.1796875" bestFit="1" customWidth="1"/>
    <col min="231" max="238" width="11" bestFit="1" customWidth="1"/>
    <col min="239" max="258" width="12" bestFit="1" customWidth="1"/>
    <col min="259" max="264" width="11.453125" bestFit="1" customWidth="1"/>
    <col min="265" max="280" width="12.54296875" bestFit="1" customWidth="1"/>
    <col min="281" max="287" width="11.1796875" bestFit="1" customWidth="1"/>
    <col min="288" max="301" width="12.26953125" bestFit="1" customWidth="1"/>
    <col min="302" max="302" width="11.7265625" bestFit="1" customWidth="1"/>
  </cols>
  <sheetData>
    <row r="3" spans="1:211" x14ac:dyDescent="0.35">
      <c r="A3" s="126" t="s">
        <v>332</v>
      </c>
      <c r="B3" s="126" t="s">
        <v>302</v>
      </c>
    </row>
    <row r="4" spans="1:211" x14ac:dyDescent="0.35">
      <c r="A4" s="126" t="s">
        <v>3</v>
      </c>
      <c r="B4" s="189">
        <v>46024</v>
      </c>
      <c r="C4" s="189">
        <v>46025</v>
      </c>
      <c r="D4" s="189">
        <v>46027</v>
      </c>
      <c r="E4" s="189">
        <v>46028</v>
      </c>
      <c r="F4" s="189">
        <v>46029</v>
      </c>
      <c r="G4" s="189">
        <v>46030</v>
      </c>
      <c r="H4" s="189">
        <v>46031</v>
      </c>
      <c r="I4" s="189">
        <v>46034</v>
      </c>
      <c r="J4" s="189">
        <v>46035</v>
      </c>
      <c r="K4" s="189">
        <v>46036</v>
      </c>
      <c r="L4" s="189">
        <v>46037</v>
      </c>
      <c r="M4" s="189">
        <v>46038</v>
      </c>
      <c r="N4" s="189">
        <v>46039</v>
      </c>
      <c r="O4" s="189">
        <v>46041</v>
      </c>
      <c r="P4" s="189">
        <v>46042</v>
      </c>
      <c r="Q4" s="189">
        <v>46043</v>
      </c>
      <c r="R4" s="189">
        <v>46044</v>
      </c>
      <c r="S4" s="189">
        <v>46045</v>
      </c>
      <c r="T4" s="189">
        <v>46046</v>
      </c>
      <c r="U4" s="189">
        <v>46048</v>
      </c>
      <c r="V4" s="189">
        <v>46049</v>
      </c>
      <c r="W4" s="189">
        <v>46050</v>
      </c>
      <c r="X4" s="189">
        <v>46051</v>
      </c>
      <c r="Y4" s="189">
        <v>46052</v>
      </c>
      <c r="Z4" s="189">
        <v>46053</v>
      </c>
      <c r="AA4" s="189">
        <v>46055</v>
      </c>
      <c r="AB4" s="189">
        <v>46056</v>
      </c>
      <c r="AC4" s="189">
        <v>46057</v>
      </c>
      <c r="AD4" s="189">
        <v>46058</v>
      </c>
      <c r="AE4" s="189">
        <v>46059</v>
      </c>
      <c r="AF4" s="189">
        <v>46062</v>
      </c>
      <c r="AG4" s="189">
        <v>46063</v>
      </c>
      <c r="AH4" s="189">
        <v>46064</v>
      </c>
      <c r="AI4" s="189">
        <v>46065</v>
      </c>
      <c r="AJ4" s="189">
        <v>46066</v>
      </c>
      <c r="AK4" s="189">
        <v>46067</v>
      </c>
      <c r="AL4" s="189">
        <v>46068</v>
      </c>
      <c r="AM4" s="189">
        <v>46069</v>
      </c>
      <c r="AN4" s="189">
        <v>46070</v>
      </c>
      <c r="AO4" s="189">
        <v>46071</v>
      </c>
      <c r="AP4" s="189">
        <v>46072</v>
      </c>
      <c r="AQ4" s="189">
        <v>46073</v>
      </c>
      <c r="AR4" s="189">
        <v>46074</v>
      </c>
      <c r="AS4" s="189">
        <v>46076</v>
      </c>
      <c r="AT4" s="189">
        <v>46077</v>
      </c>
      <c r="AU4" s="189">
        <v>46078</v>
      </c>
      <c r="AV4" s="189">
        <v>46079</v>
      </c>
      <c r="AW4" s="189">
        <v>46080</v>
      </c>
      <c r="AX4" s="189">
        <v>46081</v>
      </c>
      <c r="AY4" s="189">
        <v>46083</v>
      </c>
      <c r="AZ4" s="189">
        <v>46084</v>
      </c>
      <c r="BA4" s="189">
        <v>46085</v>
      </c>
      <c r="BB4" s="189">
        <v>46086</v>
      </c>
      <c r="BC4" s="189">
        <v>46087</v>
      </c>
      <c r="BD4" s="189">
        <v>46088</v>
      </c>
      <c r="BE4" s="189">
        <v>46090</v>
      </c>
      <c r="BF4" s="189">
        <v>46091</v>
      </c>
      <c r="BG4" s="189">
        <v>46092</v>
      </c>
      <c r="BH4" s="189">
        <v>46093</v>
      </c>
      <c r="BI4" s="189">
        <v>46094</v>
      </c>
      <c r="BJ4" s="189">
        <v>46095</v>
      </c>
      <c r="BK4" s="189">
        <v>46097</v>
      </c>
      <c r="BL4" s="189">
        <v>46098</v>
      </c>
      <c r="BM4" s="189">
        <v>46099</v>
      </c>
      <c r="BN4" s="189">
        <v>46100</v>
      </c>
      <c r="BO4" s="189">
        <v>46101</v>
      </c>
      <c r="BP4" s="189">
        <v>46102</v>
      </c>
      <c r="BQ4" s="189">
        <v>46103</v>
      </c>
      <c r="BR4" s="189">
        <v>46104</v>
      </c>
      <c r="BS4" s="189">
        <v>46105</v>
      </c>
      <c r="BT4" s="189">
        <v>46106</v>
      </c>
      <c r="BU4" s="189">
        <v>46107</v>
      </c>
      <c r="BV4" s="189">
        <v>46108</v>
      </c>
      <c r="BW4" s="189">
        <v>46122</v>
      </c>
      <c r="BX4" s="189">
        <v>46123</v>
      </c>
      <c r="BY4" s="189">
        <v>46124</v>
      </c>
      <c r="BZ4" s="189">
        <v>46125</v>
      </c>
      <c r="CA4" s="189">
        <v>46126</v>
      </c>
      <c r="CB4" s="189">
        <v>46127</v>
      </c>
      <c r="CC4" s="189">
        <v>46128</v>
      </c>
      <c r="CD4" s="189">
        <v>46129</v>
      </c>
      <c r="CE4" s="189">
        <v>46130</v>
      </c>
      <c r="CF4" s="189">
        <v>46132</v>
      </c>
      <c r="CG4" s="189">
        <v>46133</v>
      </c>
      <c r="CH4" s="189">
        <v>46134</v>
      </c>
      <c r="CI4" s="189">
        <v>46135</v>
      </c>
      <c r="CJ4" s="189">
        <v>46136</v>
      </c>
      <c r="CK4" s="189">
        <v>46137</v>
      </c>
      <c r="CL4" s="189">
        <v>46139</v>
      </c>
      <c r="CM4" s="189">
        <v>46140</v>
      </c>
      <c r="CN4" s="189">
        <v>46141</v>
      </c>
      <c r="CO4" s="189">
        <v>46142</v>
      </c>
      <c r="CP4" s="189">
        <v>46146</v>
      </c>
      <c r="CQ4" s="189">
        <v>46147</v>
      </c>
      <c r="CR4" s="189">
        <v>46148</v>
      </c>
      <c r="CS4" s="189">
        <v>46149</v>
      </c>
      <c r="CT4" s="189">
        <v>46150</v>
      </c>
      <c r="CU4" s="189">
        <v>46151</v>
      </c>
      <c r="CV4" s="189">
        <v>46153</v>
      </c>
      <c r="CW4" s="189">
        <v>46154</v>
      </c>
      <c r="CX4" s="189">
        <v>46155</v>
      </c>
      <c r="CY4" s="189">
        <v>46156</v>
      </c>
      <c r="CZ4" s="189">
        <v>46157</v>
      </c>
      <c r="DA4" s="189">
        <v>46158</v>
      </c>
      <c r="DB4" s="189">
        <v>46160</v>
      </c>
      <c r="DC4" s="189">
        <v>46161</v>
      </c>
      <c r="DD4" s="189">
        <v>46162</v>
      </c>
      <c r="DE4" s="189">
        <v>46163</v>
      </c>
      <c r="DF4" s="189">
        <v>46164</v>
      </c>
      <c r="DG4" s="189">
        <v>46165</v>
      </c>
      <c r="DH4" s="189">
        <v>46167</v>
      </c>
      <c r="DI4" s="189">
        <v>46168</v>
      </c>
      <c r="DJ4" s="189">
        <v>46169</v>
      </c>
      <c r="DK4" s="189">
        <v>46170</v>
      </c>
      <c r="DL4" s="189">
        <v>46171</v>
      </c>
      <c r="DM4" s="189">
        <v>46172</v>
      </c>
      <c r="DN4" s="189">
        <v>46174</v>
      </c>
      <c r="DO4" s="189">
        <v>46175</v>
      </c>
      <c r="DP4" s="189">
        <v>46176</v>
      </c>
      <c r="DQ4" s="189">
        <v>46177</v>
      </c>
      <c r="DR4" s="189">
        <v>46178</v>
      </c>
      <c r="DS4" s="189">
        <v>46179</v>
      </c>
      <c r="DT4" s="189">
        <v>46182</v>
      </c>
      <c r="DU4" s="189">
        <v>46183</v>
      </c>
      <c r="DV4" s="189">
        <v>46184</v>
      </c>
      <c r="DW4" s="189">
        <v>46185</v>
      </c>
      <c r="DX4" s="189">
        <v>46186</v>
      </c>
      <c r="DY4" s="189">
        <v>46188</v>
      </c>
      <c r="DZ4" s="189">
        <v>46189</v>
      </c>
      <c r="EA4" s="189">
        <v>46190</v>
      </c>
      <c r="EB4" s="189">
        <v>46191</v>
      </c>
      <c r="EC4" s="189">
        <v>46192</v>
      </c>
      <c r="ED4" s="189">
        <v>46193</v>
      </c>
      <c r="EE4" s="189">
        <v>46195</v>
      </c>
      <c r="EF4" s="189">
        <v>46196</v>
      </c>
      <c r="EG4" s="189">
        <v>46197</v>
      </c>
      <c r="EH4" s="189">
        <v>46198</v>
      </c>
      <c r="EI4" s="189">
        <v>46199</v>
      </c>
      <c r="EJ4" s="189">
        <v>46200</v>
      </c>
      <c r="EK4" s="189">
        <v>46203</v>
      </c>
      <c r="EL4" s="189">
        <v>46204</v>
      </c>
      <c r="EM4" s="189">
        <v>46205</v>
      </c>
      <c r="EN4" s="189">
        <v>46206</v>
      </c>
      <c r="EO4" s="189">
        <v>46207</v>
      </c>
      <c r="EP4" s="189">
        <v>46209</v>
      </c>
      <c r="EQ4" s="189">
        <v>46210</v>
      </c>
      <c r="ER4" s="189">
        <v>46211</v>
      </c>
      <c r="ES4" s="189">
        <v>46212</v>
      </c>
      <c r="ET4" s="189">
        <v>46213</v>
      </c>
      <c r="EU4" s="189">
        <v>46214</v>
      </c>
      <c r="EV4" s="189">
        <v>46216</v>
      </c>
      <c r="EW4" s="189">
        <v>46217</v>
      </c>
      <c r="EX4" s="189">
        <v>46218</v>
      </c>
      <c r="EY4" s="189">
        <v>46219</v>
      </c>
      <c r="EZ4" s="189">
        <v>46220</v>
      </c>
      <c r="FA4" s="189">
        <v>46223</v>
      </c>
      <c r="FB4" s="189">
        <v>46224</v>
      </c>
      <c r="FC4" s="189">
        <v>46225</v>
      </c>
      <c r="FD4" s="189">
        <v>46226</v>
      </c>
      <c r="FE4" s="189">
        <v>46227</v>
      </c>
      <c r="FF4" s="189">
        <v>46228</v>
      </c>
      <c r="FG4" s="189">
        <v>46230</v>
      </c>
      <c r="FH4" s="189">
        <v>46231</v>
      </c>
      <c r="FI4" s="189">
        <v>46232</v>
      </c>
      <c r="FJ4" s="189">
        <v>46233</v>
      </c>
      <c r="FK4" s="189">
        <v>46234</v>
      </c>
      <c r="FL4" s="189">
        <v>46235</v>
      </c>
      <c r="FM4" s="189">
        <v>46238</v>
      </c>
      <c r="FN4" s="189">
        <v>46239</v>
      </c>
      <c r="FO4" s="189">
        <v>46240</v>
      </c>
      <c r="FP4" s="189">
        <v>46241</v>
      </c>
      <c r="FQ4" s="189">
        <v>46242</v>
      </c>
      <c r="FR4" s="189">
        <v>46244</v>
      </c>
      <c r="FS4" s="189">
        <v>46245</v>
      </c>
      <c r="FT4" s="189">
        <v>46246</v>
      </c>
      <c r="FU4" s="189">
        <v>46247</v>
      </c>
      <c r="FV4" s="189">
        <v>46248</v>
      </c>
      <c r="FW4" s="189">
        <v>46249</v>
      </c>
      <c r="FX4" s="189">
        <v>46251</v>
      </c>
      <c r="FY4" s="189">
        <v>46252</v>
      </c>
      <c r="FZ4" s="189">
        <v>46253</v>
      </c>
      <c r="GA4" s="189">
        <v>46254</v>
      </c>
      <c r="GB4" s="189">
        <v>46255</v>
      </c>
      <c r="GC4" s="189">
        <v>46256</v>
      </c>
      <c r="GD4" s="189">
        <v>46258</v>
      </c>
      <c r="GE4" s="189">
        <v>46259</v>
      </c>
      <c r="GF4" s="189">
        <v>46260</v>
      </c>
      <c r="GG4" s="189">
        <v>46261</v>
      </c>
      <c r="GH4" s="189">
        <v>46262</v>
      </c>
      <c r="GI4" s="189">
        <v>46263</v>
      </c>
      <c r="GJ4" s="189">
        <v>46266</v>
      </c>
      <c r="GK4" s="189">
        <v>46267</v>
      </c>
      <c r="GL4" s="189">
        <v>46268</v>
      </c>
      <c r="GM4" s="189">
        <v>46269</v>
      </c>
      <c r="GN4" s="189">
        <v>46270</v>
      </c>
      <c r="GO4" s="189">
        <v>46272</v>
      </c>
      <c r="GP4" s="189">
        <v>46273</v>
      </c>
      <c r="GQ4" s="189">
        <v>46274</v>
      </c>
      <c r="GR4" s="189">
        <v>46275</v>
      </c>
      <c r="GS4" s="189">
        <v>46276</v>
      </c>
      <c r="GT4" s="189">
        <v>46277</v>
      </c>
      <c r="GU4" s="189">
        <v>46278</v>
      </c>
      <c r="GV4" s="189">
        <v>46279</v>
      </c>
      <c r="GW4" s="189">
        <v>46280</v>
      </c>
      <c r="GX4" s="189">
        <v>46294</v>
      </c>
      <c r="GY4" s="189">
        <v>46295</v>
      </c>
      <c r="GZ4" s="189">
        <v>46296</v>
      </c>
      <c r="HA4" s="189">
        <v>46297</v>
      </c>
      <c r="HB4" s="189">
        <v>46298</v>
      </c>
      <c r="HC4" s="189" t="s">
        <v>333</v>
      </c>
    </row>
    <row r="5" spans="1:211" x14ac:dyDescent="0.35">
      <c r="A5" t="s">
        <v>33</v>
      </c>
      <c r="V5">
        <v>0</v>
      </c>
      <c r="AA5">
        <v>64</v>
      </c>
      <c r="BG5">
        <v>66.7</v>
      </c>
      <c r="GJ5">
        <v>63.5</v>
      </c>
      <c r="HC5">
        <v>194.2</v>
      </c>
    </row>
    <row r="6" spans="1:211" x14ac:dyDescent="0.35">
      <c r="A6" t="s">
        <v>36</v>
      </c>
      <c r="D6">
        <v>65</v>
      </c>
      <c r="F6">
        <v>128.6</v>
      </c>
      <c r="G6">
        <v>64.900000000000006</v>
      </c>
      <c r="I6">
        <v>64</v>
      </c>
      <c r="P6">
        <v>62.9</v>
      </c>
      <c r="Q6">
        <v>64</v>
      </c>
      <c r="R6">
        <v>64.599999999999994</v>
      </c>
      <c r="S6">
        <v>54</v>
      </c>
      <c r="U6">
        <v>64.099999999999994</v>
      </c>
      <c r="V6">
        <v>0</v>
      </c>
      <c r="Y6">
        <v>64.099999999999994</v>
      </c>
      <c r="AA6">
        <v>0</v>
      </c>
      <c r="AC6">
        <v>65.2</v>
      </c>
      <c r="AG6">
        <v>0</v>
      </c>
      <c r="AH6">
        <v>128.19999999999999</v>
      </c>
      <c r="AL6">
        <v>0</v>
      </c>
      <c r="AM6">
        <v>63.3</v>
      </c>
      <c r="AV6">
        <v>0</v>
      </c>
      <c r="BA6">
        <v>64.400000000000006</v>
      </c>
      <c r="BJ6">
        <v>128.19999999999999</v>
      </c>
      <c r="BK6">
        <v>64</v>
      </c>
      <c r="BM6">
        <v>64.900000000000006</v>
      </c>
      <c r="BQ6">
        <v>63.8</v>
      </c>
      <c r="BR6">
        <v>65.2</v>
      </c>
      <c r="CP6">
        <v>64.599999999999994</v>
      </c>
      <c r="CS6">
        <v>64.2</v>
      </c>
      <c r="CU6">
        <v>129.19999999999999</v>
      </c>
      <c r="CX6">
        <v>131.19999999999999</v>
      </c>
      <c r="DA6">
        <v>67.8</v>
      </c>
      <c r="DE6">
        <v>64.599999999999994</v>
      </c>
      <c r="DF6">
        <v>64.599999999999994</v>
      </c>
      <c r="DH6">
        <v>129.6</v>
      </c>
      <c r="DI6">
        <v>129.80000000000001</v>
      </c>
      <c r="DJ6">
        <v>65.3</v>
      </c>
      <c r="DK6">
        <v>64.7</v>
      </c>
      <c r="DT6">
        <v>0</v>
      </c>
      <c r="DU6">
        <v>67</v>
      </c>
      <c r="DW6">
        <v>67.3</v>
      </c>
      <c r="DX6">
        <v>131.80000000000001</v>
      </c>
      <c r="DY6">
        <v>64.8</v>
      </c>
      <c r="EF6">
        <v>64.5</v>
      </c>
      <c r="EP6">
        <v>63.54</v>
      </c>
      <c r="ES6">
        <v>63.1</v>
      </c>
      <c r="EX6">
        <v>65.349999999999994</v>
      </c>
      <c r="FA6">
        <v>1.1000000000000001</v>
      </c>
      <c r="FG6">
        <v>0</v>
      </c>
      <c r="FL6">
        <v>0</v>
      </c>
      <c r="FN6">
        <v>0</v>
      </c>
      <c r="FO6">
        <v>64</v>
      </c>
      <c r="FT6">
        <v>65.72</v>
      </c>
      <c r="FZ6">
        <v>0</v>
      </c>
      <c r="GH6">
        <v>0</v>
      </c>
      <c r="GJ6">
        <v>0</v>
      </c>
      <c r="GK6">
        <v>64</v>
      </c>
      <c r="GN6">
        <v>64.900000000000006</v>
      </c>
      <c r="GV6">
        <v>63.8</v>
      </c>
      <c r="HC6">
        <v>3289.9100000000003</v>
      </c>
    </row>
    <row r="7" spans="1:211" x14ac:dyDescent="0.35">
      <c r="A7" t="s">
        <v>39</v>
      </c>
      <c r="D7">
        <v>54.2</v>
      </c>
      <c r="J7">
        <v>54.1</v>
      </c>
      <c r="O7">
        <v>56.3</v>
      </c>
      <c r="P7">
        <v>56</v>
      </c>
      <c r="W7">
        <v>56.5</v>
      </c>
      <c r="X7">
        <v>56.8</v>
      </c>
      <c r="Z7">
        <v>172.4</v>
      </c>
      <c r="AB7">
        <v>55.8</v>
      </c>
      <c r="AD7">
        <v>55.8</v>
      </c>
      <c r="AM7">
        <v>56.1</v>
      </c>
      <c r="AN7">
        <v>55.5</v>
      </c>
      <c r="AP7">
        <v>56.2</v>
      </c>
      <c r="AV7">
        <v>112</v>
      </c>
      <c r="AW7">
        <v>0</v>
      </c>
      <c r="AX7">
        <v>56.1</v>
      </c>
      <c r="BH7">
        <v>57.2</v>
      </c>
      <c r="BI7">
        <v>55.6</v>
      </c>
      <c r="BJ7">
        <v>56.9</v>
      </c>
      <c r="BS7">
        <v>55.4</v>
      </c>
      <c r="BT7">
        <v>112.19999999999999</v>
      </c>
      <c r="BU7">
        <v>55.8</v>
      </c>
      <c r="BV7">
        <v>226.9</v>
      </c>
      <c r="BY7">
        <v>56.9</v>
      </c>
      <c r="BZ7">
        <v>55.7</v>
      </c>
      <c r="CB7">
        <v>56.7</v>
      </c>
      <c r="CH7">
        <v>57.6</v>
      </c>
      <c r="CI7">
        <v>0</v>
      </c>
      <c r="CR7">
        <v>56.5</v>
      </c>
      <c r="CV7">
        <v>56.2</v>
      </c>
      <c r="CW7">
        <v>170.4</v>
      </c>
      <c r="CX7">
        <v>54.2</v>
      </c>
      <c r="DB7">
        <v>173.1</v>
      </c>
      <c r="DC7">
        <v>58.1</v>
      </c>
      <c r="DG7">
        <v>114.2</v>
      </c>
      <c r="DH7">
        <v>56.7</v>
      </c>
      <c r="DI7">
        <v>52.1</v>
      </c>
      <c r="DL7">
        <v>58.6</v>
      </c>
      <c r="DM7">
        <v>58.6</v>
      </c>
      <c r="DP7">
        <v>56.6</v>
      </c>
      <c r="DQ7">
        <v>0</v>
      </c>
      <c r="DU7">
        <v>57.7</v>
      </c>
      <c r="DV7">
        <v>57.5</v>
      </c>
      <c r="EA7">
        <v>57.1</v>
      </c>
      <c r="EB7">
        <v>171.7</v>
      </c>
      <c r="EG7">
        <v>0</v>
      </c>
      <c r="EH7">
        <v>0</v>
      </c>
      <c r="EN7">
        <v>0</v>
      </c>
      <c r="EO7">
        <v>0</v>
      </c>
      <c r="EP7">
        <v>0</v>
      </c>
      <c r="EQ7">
        <v>0</v>
      </c>
      <c r="EY7">
        <v>0</v>
      </c>
      <c r="FD7">
        <v>57.3</v>
      </c>
      <c r="FH7">
        <v>0</v>
      </c>
      <c r="FI7">
        <v>0</v>
      </c>
      <c r="FJ7">
        <v>56.2</v>
      </c>
      <c r="FK7">
        <v>55.2</v>
      </c>
      <c r="FL7">
        <v>0</v>
      </c>
      <c r="FM7">
        <v>56.3</v>
      </c>
      <c r="FQ7">
        <v>110.2</v>
      </c>
      <c r="FR7">
        <v>0</v>
      </c>
      <c r="FY7">
        <v>54.6</v>
      </c>
      <c r="FZ7">
        <v>54</v>
      </c>
      <c r="GA7">
        <v>54.6</v>
      </c>
      <c r="GB7">
        <v>54.6</v>
      </c>
      <c r="GF7">
        <v>56.4</v>
      </c>
      <c r="GG7">
        <v>56.4</v>
      </c>
      <c r="GH7">
        <v>0</v>
      </c>
      <c r="GI7">
        <v>110.8</v>
      </c>
      <c r="GJ7">
        <v>55.4</v>
      </c>
      <c r="GL7">
        <v>0</v>
      </c>
      <c r="GM7">
        <v>54.7</v>
      </c>
      <c r="GO7">
        <v>53.8</v>
      </c>
      <c r="GP7">
        <v>0</v>
      </c>
      <c r="GS7">
        <v>0</v>
      </c>
      <c r="GV7">
        <v>0</v>
      </c>
      <c r="GX7">
        <v>55</v>
      </c>
      <c r="GY7">
        <v>0</v>
      </c>
      <c r="GZ7">
        <v>55.9</v>
      </c>
      <c r="HC7">
        <v>4161.3999999999987</v>
      </c>
    </row>
    <row r="8" spans="1:211" x14ac:dyDescent="0.35">
      <c r="A8" t="s">
        <v>41</v>
      </c>
      <c r="E8">
        <v>125.6</v>
      </c>
      <c r="F8">
        <v>63.4</v>
      </c>
      <c r="O8">
        <v>63.1</v>
      </c>
      <c r="U8">
        <v>0</v>
      </c>
      <c r="X8">
        <v>63</v>
      </c>
      <c r="Y8">
        <v>63.4</v>
      </c>
      <c r="AE8">
        <v>0</v>
      </c>
      <c r="AK8">
        <v>64.099999999999994</v>
      </c>
      <c r="AT8">
        <v>64.599999999999994</v>
      </c>
      <c r="AV8">
        <v>0</v>
      </c>
      <c r="AW8">
        <v>64.5</v>
      </c>
      <c r="BB8">
        <v>63.6</v>
      </c>
      <c r="BE8">
        <v>64.7</v>
      </c>
      <c r="BI8">
        <v>65.900000000000006</v>
      </c>
      <c r="BM8">
        <v>63.3</v>
      </c>
      <c r="BN8">
        <v>63.3</v>
      </c>
      <c r="BR8">
        <v>0</v>
      </c>
      <c r="CC8">
        <v>63.5</v>
      </c>
      <c r="CS8">
        <v>64.400000000000006</v>
      </c>
      <c r="CX8">
        <v>65.099999999999994</v>
      </c>
      <c r="CY8">
        <v>64.400000000000006</v>
      </c>
      <c r="DL8">
        <v>65.8</v>
      </c>
      <c r="DM8">
        <v>65.8</v>
      </c>
      <c r="DV8">
        <v>65.2</v>
      </c>
      <c r="EC8">
        <v>0</v>
      </c>
      <c r="EG8">
        <v>63.9</v>
      </c>
      <c r="EM8">
        <v>62.7</v>
      </c>
      <c r="EN8">
        <v>62.2</v>
      </c>
      <c r="FE8">
        <v>63.1</v>
      </c>
      <c r="GA8">
        <v>63.3</v>
      </c>
      <c r="GF8">
        <v>62.8</v>
      </c>
      <c r="GL8">
        <v>0</v>
      </c>
      <c r="GM8">
        <v>64.7</v>
      </c>
      <c r="GP8">
        <v>64.400000000000006</v>
      </c>
      <c r="GS8">
        <v>65.5</v>
      </c>
      <c r="HA8">
        <v>63.8</v>
      </c>
      <c r="HC8">
        <v>1983.1000000000001</v>
      </c>
    </row>
    <row r="9" spans="1:211" x14ac:dyDescent="0.35">
      <c r="A9" t="s">
        <v>90</v>
      </c>
      <c r="E9">
        <v>129.80000000000001</v>
      </c>
      <c r="L9">
        <v>64.099999999999994</v>
      </c>
      <c r="Q9">
        <v>64.400000000000006</v>
      </c>
      <c r="V9">
        <v>63.9</v>
      </c>
      <c r="AK9">
        <v>64.400000000000006</v>
      </c>
      <c r="AQ9">
        <v>64.3</v>
      </c>
      <c r="BT9">
        <v>129.4</v>
      </c>
      <c r="BY9">
        <v>64</v>
      </c>
      <c r="CB9">
        <v>64.900000000000006</v>
      </c>
      <c r="CI9">
        <v>0</v>
      </c>
      <c r="CN9">
        <v>130.6</v>
      </c>
      <c r="CR9">
        <v>65</v>
      </c>
      <c r="CW9">
        <v>64.599999999999994</v>
      </c>
      <c r="CZ9">
        <v>64.5</v>
      </c>
      <c r="DD9">
        <v>65.8</v>
      </c>
      <c r="DK9">
        <v>65.599999999999994</v>
      </c>
      <c r="DM9">
        <v>65.5</v>
      </c>
      <c r="DO9">
        <v>0</v>
      </c>
      <c r="DR9">
        <v>64.400000000000006</v>
      </c>
      <c r="DS9">
        <v>65</v>
      </c>
      <c r="DT9">
        <v>67.5</v>
      </c>
      <c r="DU9">
        <v>66.2</v>
      </c>
      <c r="DV9">
        <v>0</v>
      </c>
      <c r="DY9">
        <v>0</v>
      </c>
      <c r="EA9">
        <v>0</v>
      </c>
      <c r="EY9">
        <v>64.2</v>
      </c>
      <c r="FE9">
        <v>64.099999999999994</v>
      </c>
      <c r="FJ9">
        <v>0</v>
      </c>
      <c r="FK9">
        <v>64</v>
      </c>
      <c r="FO9">
        <v>64</v>
      </c>
      <c r="FV9">
        <v>63.8</v>
      </c>
      <c r="GF9">
        <v>64.13</v>
      </c>
      <c r="GL9">
        <v>0</v>
      </c>
      <c r="GR9">
        <v>0</v>
      </c>
      <c r="GZ9">
        <v>63.8</v>
      </c>
      <c r="HC9">
        <v>1941.93</v>
      </c>
    </row>
    <row r="10" spans="1:211" x14ac:dyDescent="0.35">
      <c r="A10" t="s">
        <v>92</v>
      </c>
      <c r="I10">
        <v>54</v>
      </c>
      <c r="J10">
        <v>56</v>
      </c>
      <c r="R10">
        <v>56.8</v>
      </c>
      <c r="S10">
        <v>56</v>
      </c>
      <c r="AI10">
        <v>56</v>
      </c>
      <c r="AP10">
        <v>113.4</v>
      </c>
      <c r="AQ10">
        <v>57.3</v>
      </c>
      <c r="BI10">
        <v>57</v>
      </c>
      <c r="BJ10">
        <v>56.2</v>
      </c>
      <c r="BR10">
        <v>112.6</v>
      </c>
      <c r="CB10">
        <v>57.9</v>
      </c>
      <c r="CK10">
        <v>58.2</v>
      </c>
      <c r="CR10">
        <v>57.6</v>
      </c>
      <c r="DA10">
        <v>57.1</v>
      </c>
      <c r="DL10">
        <v>57.8</v>
      </c>
      <c r="DV10">
        <v>55.8</v>
      </c>
      <c r="DW10">
        <v>56.5</v>
      </c>
      <c r="EI10">
        <v>0</v>
      </c>
      <c r="EW10">
        <v>56.3</v>
      </c>
      <c r="FP10">
        <v>55.1</v>
      </c>
      <c r="FQ10">
        <v>163.10000000000002</v>
      </c>
      <c r="FR10">
        <v>54.5</v>
      </c>
      <c r="GC10">
        <v>54</v>
      </c>
      <c r="GI10">
        <v>0</v>
      </c>
      <c r="GM10">
        <v>0</v>
      </c>
      <c r="GN10">
        <v>55.3</v>
      </c>
      <c r="GT10">
        <v>0</v>
      </c>
      <c r="GY10">
        <v>0</v>
      </c>
      <c r="HA10">
        <v>55.2</v>
      </c>
      <c r="HC10">
        <v>1569.6999999999998</v>
      </c>
    </row>
    <row r="11" spans="1:211" x14ac:dyDescent="0.35">
      <c r="A11" t="s">
        <v>104</v>
      </c>
      <c r="K11">
        <v>0</v>
      </c>
      <c r="L11">
        <v>68.760000000000005</v>
      </c>
      <c r="Q11">
        <v>0</v>
      </c>
      <c r="U11">
        <v>67.47</v>
      </c>
      <c r="X11">
        <v>66.8</v>
      </c>
      <c r="AE11">
        <v>70.349999999999994</v>
      </c>
      <c r="AI11">
        <v>69.13</v>
      </c>
      <c r="BJ11">
        <v>70.2</v>
      </c>
      <c r="BK11">
        <v>0</v>
      </c>
      <c r="DL11">
        <v>0</v>
      </c>
      <c r="DS11">
        <v>72.599999999999994</v>
      </c>
      <c r="DV11">
        <v>70.5</v>
      </c>
      <c r="EG11">
        <v>72.8</v>
      </c>
      <c r="ER11">
        <v>68.400000000000006</v>
      </c>
      <c r="EU11">
        <v>71</v>
      </c>
      <c r="EX11">
        <v>69.7</v>
      </c>
      <c r="FL11">
        <v>0</v>
      </c>
      <c r="GE11">
        <v>0</v>
      </c>
      <c r="GG11">
        <v>0</v>
      </c>
      <c r="GL11">
        <v>0</v>
      </c>
      <c r="GN11">
        <v>65.8</v>
      </c>
      <c r="GX11">
        <v>67.7</v>
      </c>
      <c r="GZ11">
        <v>69.599999999999994</v>
      </c>
      <c r="HC11">
        <v>1040.81</v>
      </c>
    </row>
    <row r="12" spans="1:211" x14ac:dyDescent="0.35">
      <c r="A12" t="s">
        <v>119</v>
      </c>
      <c r="B12">
        <v>0</v>
      </c>
      <c r="C12">
        <v>192.39999999999998</v>
      </c>
      <c r="D12">
        <v>64.5</v>
      </c>
      <c r="E12">
        <v>0</v>
      </c>
      <c r="G12">
        <v>194</v>
      </c>
      <c r="H12">
        <v>63.9</v>
      </c>
      <c r="I12">
        <v>0</v>
      </c>
      <c r="J12">
        <v>64</v>
      </c>
      <c r="K12">
        <v>64</v>
      </c>
      <c r="L12">
        <v>127.80000000000001</v>
      </c>
      <c r="M12">
        <v>0</v>
      </c>
      <c r="O12">
        <v>0</v>
      </c>
      <c r="P12">
        <v>64</v>
      </c>
      <c r="Q12">
        <v>64.400000000000006</v>
      </c>
      <c r="R12">
        <v>0</v>
      </c>
      <c r="S12">
        <v>0</v>
      </c>
      <c r="T12">
        <v>128.30000000000001</v>
      </c>
      <c r="U12">
        <v>129</v>
      </c>
      <c r="V12">
        <v>129.19999999999999</v>
      </c>
      <c r="X12">
        <v>0</v>
      </c>
      <c r="Y12">
        <v>65.3</v>
      </c>
      <c r="Z12">
        <v>65.3</v>
      </c>
      <c r="AA12">
        <v>65.5</v>
      </c>
      <c r="AB12">
        <v>63.8</v>
      </c>
      <c r="AF12">
        <v>64.2</v>
      </c>
      <c r="AG12">
        <v>64</v>
      </c>
      <c r="AI12">
        <v>64.599999999999994</v>
      </c>
      <c r="AK12">
        <v>63.9</v>
      </c>
      <c r="AM12">
        <v>64</v>
      </c>
      <c r="AN12">
        <v>256</v>
      </c>
      <c r="AO12">
        <v>63.5</v>
      </c>
      <c r="AQ12">
        <v>64.099999999999994</v>
      </c>
      <c r="AV12">
        <v>0</v>
      </c>
      <c r="AW12">
        <v>65.5</v>
      </c>
      <c r="AX12">
        <v>129</v>
      </c>
      <c r="AY12">
        <v>65.099999999999994</v>
      </c>
      <c r="AZ12">
        <v>128.19999999999999</v>
      </c>
      <c r="BA12">
        <v>64.599999999999994</v>
      </c>
      <c r="BB12">
        <v>64.5</v>
      </c>
      <c r="BD12">
        <v>195.8</v>
      </c>
      <c r="BE12">
        <v>64.599999999999994</v>
      </c>
      <c r="BG12">
        <v>0</v>
      </c>
      <c r="BI12">
        <v>64.400000000000006</v>
      </c>
      <c r="BJ12">
        <v>0</v>
      </c>
      <c r="BL12">
        <v>128</v>
      </c>
      <c r="BM12">
        <v>0</v>
      </c>
      <c r="BN12">
        <v>64.099999999999994</v>
      </c>
      <c r="BP12">
        <v>63.8</v>
      </c>
      <c r="BQ12">
        <v>379.3</v>
      </c>
      <c r="BR12">
        <v>64</v>
      </c>
      <c r="BS12">
        <v>64</v>
      </c>
      <c r="BT12">
        <v>63.7</v>
      </c>
      <c r="BU12">
        <v>64.099999999999994</v>
      </c>
      <c r="BZ12">
        <v>64.400000000000006</v>
      </c>
      <c r="CA12">
        <v>65</v>
      </c>
      <c r="CB12">
        <v>0</v>
      </c>
      <c r="CF12">
        <v>64.63</v>
      </c>
      <c r="CJ12">
        <v>131.13999999999999</v>
      </c>
      <c r="CK12">
        <v>128.80000000000001</v>
      </c>
      <c r="CL12">
        <v>197.89999999999998</v>
      </c>
      <c r="CM12">
        <v>129.19999999999999</v>
      </c>
      <c r="CN12">
        <v>63.9</v>
      </c>
      <c r="CO12">
        <v>64.400000000000006</v>
      </c>
      <c r="CP12">
        <v>129.30000000000001</v>
      </c>
      <c r="CS12">
        <v>0</v>
      </c>
      <c r="CT12">
        <v>64.900000000000006</v>
      </c>
      <c r="CV12">
        <v>127.9</v>
      </c>
      <c r="CW12">
        <v>64.7</v>
      </c>
      <c r="CX12">
        <v>64.8</v>
      </c>
      <c r="CZ12">
        <v>0</v>
      </c>
      <c r="DD12">
        <v>64.599999999999994</v>
      </c>
      <c r="DG12">
        <v>66</v>
      </c>
      <c r="DH12">
        <v>128</v>
      </c>
      <c r="DL12">
        <v>65.599999999999994</v>
      </c>
      <c r="DP12">
        <v>0</v>
      </c>
      <c r="DQ12">
        <v>65.3</v>
      </c>
      <c r="DR12">
        <v>65.8</v>
      </c>
      <c r="DS12">
        <v>65.400000000000006</v>
      </c>
      <c r="DT12">
        <v>66</v>
      </c>
      <c r="DW12">
        <v>0</v>
      </c>
      <c r="DZ12">
        <v>0</v>
      </c>
      <c r="EA12">
        <v>65.400000000000006</v>
      </c>
      <c r="EB12">
        <v>67.2</v>
      </c>
      <c r="EF12">
        <v>66.599999999999994</v>
      </c>
      <c r="EG12">
        <v>65.7</v>
      </c>
      <c r="EH12">
        <v>67.2</v>
      </c>
      <c r="EI12">
        <v>0</v>
      </c>
      <c r="EJ12">
        <v>65</v>
      </c>
      <c r="EK12">
        <v>64.8</v>
      </c>
      <c r="EL12">
        <v>129.80000000000001</v>
      </c>
      <c r="EM12">
        <v>0</v>
      </c>
      <c r="EN12">
        <v>63</v>
      </c>
      <c r="EP12">
        <v>64.3</v>
      </c>
      <c r="ER12">
        <v>62.7</v>
      </c>
      <c r="ES12">
        <v>64.2</v>
      </c>
      <c r="ET12">
        <v>0</v>
      </c>
      <c r="EV12">
        <v>0</v>
      </c>
      <c r="EX12">
        <v>0</v>
      </c>
      <c r="EY12">
        <v>130.39999999999998</v>
      </c>
      <c r="EZ12">
        <v>64.599999999999994</v>
      </c>
      <c r="FA12">
        <v>67</v>
      </c>
      <c r="FB12">
        <v>65</v>
      </c>
      <c r="FC12">
        <v>65</v>
      </c>
      <c r="FD12">
        <v>57.3</v>
      </c>
      <c r="FE12">
        <v>65.8</v>
      </c>
      <c r="FF12">
        <v>194.5</v>
      </c>
      <c r="FG12">
        <v>0</v>
      </c>
      <c r="FH12">
        <v>131.4</v>
      </c>
      <c r="FI12">
        <v>130.9</v>
      </c>
      <c r="FJ12">
        <v>65.599999999999994</v>
      </c>
      <c r="FK12">
        <v>0</v>
      </c>
      <c r="FL12">
        <v>199.2</v>
      </c>
      <c r="FM12">
        <v>66.259999999999991</v>
      </c>
      <c r="FN12">
        <v>64</v>
      </c>
      <c r="FO12">
        <v>0</v>
      </c>
      <c r="FP12">
        <v>0</v>
      </c>
      <c r="FQ12">
        <v>63.7</v>
      </c>
      <c r="FR12">
        <v>0</v>
      </c>
      <c r="FS12">
        <v>129.5</v>
      </c>
      <c r="FU12">
        <v>0</v>
      </c>
      <c r="FV12">
        <v>64</v>
      </c>
      <c r="FW12">
        <v>65.3</v>
      </c>
      <c r="FX12">
        <v>65.2</v>
      </c>
      <c r="FZ12">
        <v>63.3</v>
      </c>
      <c r="GA12">
        <v>0</v>
      </c>
      <c r="GD12">
        <v>0</v>
      </c>
      <c r="GE12">
        <v>63.9</v>
      </c>
      <c r="GF12">
        <v>0</v>
      </c>
      <c r="GG12">
        <v>63.9</v>
      </c>
      <c r="GH12">
        <v>128.4</v>
      </c>
      <c r="GJ12">
        <v>0.56999999999999995</v>
      </c>
      <c r="GK12">
        <v>64.2</v>
      </c>
      <c r="GL12">
        <v>0</v>
      </c>
      <c r="GM12">
        <v>0</v>
      </c>
      <c r="GN12">
        <v>128.9</v>
      </c>
      <c r="GO12">
        <v>127.80000000000001</v>
      </c>
      <c r="GP12">
        <v>64.099999999999994</v>
      </c>
      <c r="GQ12">
        <v>63.9</v>
      </c>
      <c r="GS12">
        <v>0.56000000000000005</v>
      </c>
      <c r="GT12">
        <v>0</v>
      </c>
      <c r="GV12">
        <v>0</v>
      </c>
      <c r="GW12">
        <v>127.1</v>
      </c>
      <c r="GX12">
        <v>129.05000000000001</v>
      </c>
      <c r="GY12">
        <v>63.9</v>
      </c>
      <c r="GZ12">
        <v>64</v>
      </c>
      <c r="HA12">
        <v>64</v>
      </c>
      <c r="HC12">
        <v>9748.2099999999955</v>
      </c>
    </row>
    <row r="13" spans="1:211" x14ac:dyDescent="0.35">
      <c r="A13" t="s">
        <v>123</v>
      </c>
      <c r="J13">
        <v>63.9</v>
      </c>
      <c r="M13">
        <v>63.7</v>
      </c>
      <c r="N13">
        <v>129.19999999999999</v>
      </c>
      <c r="P13">
        <v>56</v>
      </c>
      <c r="Q13">
        <v>64.400000000000006</v>
      </c>
      <c r="S13">
        <v>64.599999999999994</v>
      </c>
      <c r="T13">
        <v>129.80000000000001</v>
      </c>
      <c r="AD13">
        <v>66.099999999999994</v>
      </c>
      <c r="AH13">
        <v>0</v>
      </c>
      <c r="AI13">
        <v>130.30000000000001</v>
      </c>
      <c r="AO13">
        <v>129.69999999999999</v>
      </c>
      <c r="AS13">
        <v>64.2</v>
      </c>
      <c r="AT13">
        <v>0</v>
      </c>
      <c r="AY13">
        <v>129.5</v>
      </c>
      <c r="BD13">
        <v>64.7</v>
      </c>
      <c r="BE13">
        <v>65.900000000000006</v>
      </c>
      <c r="BF13">
        <v>65.599999999999994</v>
      </c>
      <c r="BG13">
        <v>132.5</v>
      </c>
      <c r="BH13">
        <v>65.8</v>
      </c>
      <c r="BI13">
        <v>68</v>
      </c>
      <c r="BJ13">
        <v>65.599999999999994</v>
      </c>
      <c r="BK13">
        <v>128.19999999999999</v>
      </c>
      <c r="BL13">
        <v>132.4</v>
      </c>
      <c r="BM13">
        <v>65.7</v>
      </c>
      <c r="BP13">
        <v>65.3</v>
      </c>
      <c r="BQ13">
        <v>65.2</v>
      </c>
      <c r="BR13">
        <v>65.400000000000006</v>
      </c>
      <c r="BY13">
        <v>67</v>
      </c>
      <c r="BZ13">
        <v>68.3</v>
      </c>
      <c r="CA13">
        <v>66.099999999999994</v>
      </c>
      <c r="CB13">
        <v>66.099999999999994</v>
      </c>
      <c r="CD13">
        <v>67.900000000000006</v>
      </c>
      <c r="CE13">
        <v>60.7</v>
      </c>
      <c r="CF13">
        <v>66.5</v>
      </c>
      <c r="CL13">
        <v>65.400000000000006</v>
      </c>
      <c r="CQ13">
        <v>65.5</v>
      </c>
      <c r="CR13">
        <v>65.900000000000006</v>
      </c>
      <c r="CU13">
        <v>131.6</v>
      </c>
      <c r="CY13">
        <v>65.599999999999994</v>
      </c>
      <c r="DA13">
        <v>65.900000000000006</v>
      </c>
      <c r="DE13">
        <v>65.5</v>
      </c>
      <c r="DK13">
        <v>66.3</v>
      </c>
      <c r="DO13">
        <v>0</v>
      </c>
      <c r="DQ13">
        <v>66.7</v>
      </c>
      <c r="DT13">
        <v>66.400000000000006</v>
      </c>
      <c r="EB13">
        <v>68</v>
      </c>
      <c r="EC13">
        <v>68.900000000000006</v>
      </c>
      <c r="EG13">
        <v>66.5</v>
      </c>
      <c r="EJ13">
        <v>64.5</v>
      </c>
      <c r="ER13">
        <v>63.6</v>
      </c>
      <c r="ES13">
        <v>189.10000000000002</v>
      </c>
      <c r="EV13">
        <v>0</v>
      </c>
      <c r="EW13">
        <v>65.400000000000006</v>
      </c>
      <c r="EZ13">
        <v>0</v>
      </c>
      <c r="FB13">
        <v>0</v>
      </c>
      <c r="FC13">
        <v>64.599999999999994</v>
      </c>
      <c r="FN13">
        <v>66.3</v>
      </c>
      <c r="FO13">
        <v>65.099999999999994</v>
      </c>
      <c r="FV13">
        <v>0</v>
      </c>
      <c r="FY13">
        <v>64.960000000000008</v>
      </c>
      <c r="GD13">
        <v>62.9</v>
      </c>
      <c r="GE13">
        <v>128.1</v>
      </c>
      <c r="GG13">
        <v>66.099999999999994</v>
      </c>
      <c r="GH13">
        <v>0</v>
      </c>
      <c r="GI13">
        <v>64.400000000000006</v>
      </c>
      <c r="GJ13">
        <v>63.8</v>
      </c>
      <c r="GK13">
        <v>0</v>
      </c>
      <c r="GL13">
        <v>65.3</v>
      </c>
      <c r="GM13">
        <v>65.7</v>
      </c>
      <c r="GN13">
        <v>65.8</v>
      </c>
      <c r="GO13">
        <v>62.7</v>
      </c>
      <c r="GP13">
        <v>64.7</v>
      </c>
      <c r="GQ13">
        <v>63.7</v>
      </c>
      <c r="GR13">
        <v>64.400000000000006</v>
      </c>
      <c r="GZ13">
        <v>65.2</v>
      </c>
      <c r="HA13">
        <v>65.3</v>
      </c>
      <c r="HC13">
        <v>5144.16</v>
      </c>
    </row>
    <row r="14" spans="1:211" x14ac:dyDescent="0.35">
      <c r="A14" t="s">
        <v>131</v>
      </c>
      <c r="M14">
        <v>130.30000000000001</v>
      </c>
      <c r="N14">
        <v>64.7</v>
      </c>
      <c r="V14">
        <v>64.099999999999994</v>
      </c>
      <c r="AT14">
        <v>65.7</v>
      </c>
      <c r="AU14">
        <v>129.4</v>
      </c>
      <c r="CT14">
        <v>129</v>
      </c>
      <c r="HC14">
        <v>583.20000000000005</v>
      </c>
    </row>
    <row r="15" spans="1:211" x14ac:dyDescent="0.35">
      <c r="A15" t="s">
        <v>132</v>
      </c>
      <c r="E15">
        <v>57.8</v>
      </c>
      <c r="F15">
        <v>59.5</v>
      </c>
      <c r="G15">
        <v>0</v>
      </c>
      <c r="Y15">
        <v>58.7</v>
      </c>
      <c r="AE15">
        <v>59.2</v>
      </c>
      <c r="AQ15">
        <v>58</v>
      </c>
      <c r="AR15">
        <v>59.1</v>
      </c>
      <c r="AV15">
        <v>59.4</v>
      </c>
      <c r="AW15">
        <v>57.6</v>
      </c>
      <c r="BG15">
        <v>56.8</v>
      </c>
      <c r="BM15">
        <v>57.8</v>
      </c>
      <c r="BN15">
        <v>58.6</v>
      </c>
      <c r="BO15">
        <v>58.5</v>
      </c>
      <c r="CS15">
        <v>116.6</v>
      </c>
      <c r="DJ15">
        <v>59.5</v>
      </c>
      <c r="DK15">
        <v>60</v>
      </c>
      <c r="DQ15">
        <v>57.3</v>
      </c>
      <c r="DR15">
        <v>59.2</v>
      </c>
      <c r="EJ15">
        <v>58.4</v>
      </c>
      <c r="EN15">
        <v>59.4</v>
      </c>
      <c r="FD15">
        <v>0</v>
      </c>
      <c r="FM15">
        <v>0</v>
      </c>
      <c r="FN15">
        <v>111.9</v>
      </c>
      <c r="FP15">
        <v>57.7</v>
      </c>
      <c r="GG15">
        <v>58.2</v>
      </c>
      <c r="GH15">
        <v>56</v>
      </c>
      <c r="GK15">
        <v>56.1</v>
      </c>
      <c r="GL15">
        <v>0</v>
      </c>
      <c r="GT15">
        <v>57.3</v>
      </c>
      <c r="HA15">
        <v>57.1</v>
      </c>
      <c r="HC15">
        <v>1625.7</v>
      </c>
    </row>
    <row r="16" spans="1:211" x14ac:dyDescent="0.35">
      <c r="A16" t="s">
        <v>133</v>
      </c>
      <c r="FP16">
        <v>54.4</v>
      </c>
      <c r="FQ16">
        <v>54.7</v>
      </c>
      <c r="HC16">
        <v>109.1</v>
      </c>
    </row>
    <row r="17" spans="1:211" x14ac:dyDescent="0.35">
      <c r="A17" t="s">
        <v>134</v>
      </c>
      <c r="E17">
        <v>107.7</v>
      </c>
      <c r="O17">
        <v>108</v>
      </c>
      <c r="Y17">
        <v>56.1</v>
      </c>
      <c r="AM17">
        <v>55</v>
      </c>
      <c r="AU17">
        <v>54.5</v>
      </c>
      <c r="BE17">
        <v>55.9</v>
      </c>
      <c r="CJ17">
        <v>55.8</v>
      </c>
      <c r="EB17">
        <v>57.9</v>
      </c>
      <c r="EI17">
        <v>0</v>
      </c>
      <c r="FF17">
        <v>54.9</v>
      </c>
      <c r="FZ17">
        <v>0</v>
      </c>
      <c r="HC17">
        <v>605.79999999999995</v>
      </c>
    </row>
    <row r="18" spans="1:211" x14ac:dyDescent="0.35">
      <c r="A18" t="s">
        <v>135</v>
      </c>
      <c r="V18">
        <v>64.599999999999994</v>
      </c>
      <c r="AU18">
        <v>65.099999999999994</v>
      </c>
      <c r="BO18">
        <v>63.2</v>
      </c>
      <c r="DE18">
        <v>64.599999999999994</v>
      </c>
      <c r="DF18">
        <v>64.7</v>
      </c>
      <c r="EC18">
        <v>65.2</v>
      </c>
      <c r="FO18">
        <v>125.6</v>
      </c>
      <c r="HC18">
        <v>513</v>
      </c>
    </row>
    <row r="19" spans="1:211" x14ac:dyDescent="0.35">
      <c r="A19" t="s">
        <v>136</v>
      </c>
      <c r="BO19">
        <v>63.4</v>
      </c>
      <c r="BP19">
        <v>63.2</v>
      </c>
      <c r="HC19">
        <v>126.6</v>
      </c>
    </row>
    <row r="20" spans="1:211" x14ac:dyDescent="0.35">
      <c r="A20" t="s">
        <v>138</v>
      </c>
      <c r="C20">
        <v>0</v>
      </c>
      <c r="D20">
        <v>54.2</v>
      </c>
      <c r="E20">
        <v>0</v>
      </c>
      <c r="G20">
        <v>54.7</v>
      </c>
      <c r="O20">
        <v>55.4</v>
      </c>
      <c r="Q20">
        <v>0</v>
      </c>
      <c r="S20">
        <v>54.1</v>
      </c>
      <c r="W20">
        <v>57.3</v>
      </c>
      <c r="Z20">
        <v>54.5</v>
      </c>
      <c r="AB20">
        <v>56.3</v>
      </c>
      <c r="AF20">
        <v>0</v>
      </c>
      <c r="AI20">
        <v>56.2</v>
      </c>
      <c r="AJ20">
        <v>0</v>
      </c>
      <c r="AK20">
        <v>54.6</v>
      </c>
      <c r="AM20">
        <v>0</v>
      </c>
      <c r="AO20">
        <v>54.9</v>
      </c>
      <c r="AP20">
        <v>55.2</v>
      </c>
      <c r="AT20">
        <v>56.3</v>
      </c>
      <c r="AV20">
        <v>55.2</v>
      </c>
      <c r="AW20">
        <v>114.1</v>
      </c>
      <c r="BA20">
        <v>0</v>
      </c>
      <c r="BE20">
        <v>0</v>
      </c>
      <c r="BF20">
        <v>54.3</v>
      </c>
      <c r="BJ20">
        <v>110.8</v>
      </c>
      <c r="BK20">
        <v>0</v>
      </c>
      <c r="BR20">
        <v>55.2</v>
      </c>
      <c r="BT20">
        <v>0</v>
      </c>
      <c r="BX20">
        <v>0</v>
      </c>
      <c r="BZ20">
        <v>0</v>
      </c>
      <c r="CF20">
        <v>0</v>
      </c>
      <c r="CL20">
        <v>54.9</v>
      </c>
      <c r="CM20">
        <v>166.8</v>
      </c>
      <c r="CO20">
        <v>56</v>
      </c>
      <c r="CQ20">
        <v>55.9</v>
      </c>
      <c r="CT20">
        <v>56.5</v>
      </c>
      <c r="CX20">
        <v>0</v>
      </c>
      <c r="DE20">
        <v>55.7</v>
      </c>
      <c r="DH20">
        <v>0</v>
      </c>
      <c r="DJ20">
        <v>55.3</v>
      </c>
      <c r="DQ20">
        <v>55.4</v>
      </c>
      <c r="DS20">
        <v>110.7</v>
      </c>
      <c r="DU20">
        <v>55.5</v>
      </c>
      <c r="DX20">
        <v>56</v>
      </c>
      <c r="EA20">
        <v>56.1</v>
      </c>
      <c r="ED20">
        <v>57.1</v>
      </c>
      <c r="EE20">
        <v>0</v>
      </c>
      <c r="EF20">
        <v>0</v>
      </c>
      <c r="EG20">
        <v>113</v>
      </c>
      <c r="EL20">
        <v>0</v>
      </c>
      <c r="EM20">
        <v>0</v>
      </c>
      <c r="EQ20">
        <v>0</v>
      </c>
      <c r="EV20">
        <v>0</v>
      </c>
      <c r="EY20">
        <v>56.2</v>
      </c>
      <c r="FA20">
        <v>0</v>
      </c>
      <c r="FD20">
        <v>0</v>
      </c>
      <c r="FI20">
        <v>0</v>
      </c>
      <c r="FJ20">
        <v>56.2</v>
      </c>
      <c r="FK20">
        <v>55.2</v>
      </c>
      <c r="FP20">
        <v>54.3</v>
      </c>
      <c r="FQ20">
        <v>54.2</v>
      </c>
      <c r="FR20">
        <v>0</v>
      </c>
      <c r="FW20">
        <v>220</v>
      </c>
      <c r="FX20">
        <v>54.6</v>
      </c>
      <c r="FY20">
        <v>54.4</v>
      </c>
      <c r="GC20">
        <v>54.4</v>
      </c>
      <c r="GE20">
        <v>54.1</v>
      </c>
      <c r="GF20">
        <v>55.5</v>
      </c>
      <c r="GG20">
        <v>0</v>
      </c>
      <c r="GH20">
        <v>54.5</v>
      </c>
      <c r="GK20">
        <v>0</v>
      </c>
      <c r="GL20">
        <v>0</v>
      </c>
      <c r="GO20">
        <v>0</v>
      </c>
      <c r="GR20">
        <v>0</v>
      </c>
      <c r="GS20">
        <v>0</v>
      </c>
      <c r="GU20">
        <v>0</v>
      </c>
      <c r="GY20">
        <v>0</v>
      </c>
      <c r="GZ20">
        <v>0</v>
      </c>
      <c r="HA20">
        <v>0</v>
      </c>
      <c r="HC20">
        <v>2881.7999999999993</v>
      </c>
    </row>
    <row r="21" spans="1:211" x14ac:dyDescent="0.35">
      <c r="A21" t="s">
        <v>140</v>
      </c>
      <c r="C21">
        <v>53.6</v>
      </c>
      <c r="D21">
        <v>0</v>
      </c>
      <c r="I21">
        <v>54.9</v>
      </c>
      <c r="K21">
        <v>54.2</v>
      </c>
      <c r="L21">
        <v>54.5</v>
      </c>
      <c r="AF21">
        <v>54.5</v>
      </c>
      <c r="AI21">
        <v>54.9</v>
      </c>
      <c r="AM21">
        <v>54.6</v>
      </c>
      <c r="AN21">
        <v>54.6</v>
      </c>
      <c r="AP21">
        <v>0</v>
      </c>
      <c r="AS21">
        <v>54.8</v>
      </c>
      <c r="AV21">
        <v>55.6</v>
      </c>
      <c r="AY21">
        <v>54.5</v>
      </c>
      <c r="AZ21">
        <v>55.5</v>
      </c>
      <c r="BA21">
        <v>56.6</v>
      </c>
      <c r="BK21">
        <v>110.4</v>
      </c>
      <c r="BS21">
        <v>55.2</v>
      </c>
      <c r="BT21">
        <v>109.2</v>
      </c>
      <c r="BW21">
        <v>54.2</v>
      </c>
      <c r="BZ21">
        <v>56</v>
      </c>
      <c r="CG21">
        <v>111.2</v>
      </c>
      <c r="CI21">
        <v>56</v>
      </c>
      <c r="CJ21">
        <v>110</v>
      </c>
      <c r="CL21">
        <v>54.9</v>
      </c>
      <c r="CM21">
        <v>56</v>
      </c>
      <c r="CN21">
        <v>55.8</v>
      </c>
      <c r="CP21">
        <v>55.9</v>
      </c>
      <c r="CQ21">
        <v>56</v>
      </c>
      <c r="DC21">
        <v>0</v>
      </c>
      <c r="DE21">
        <v>55.7</v>
      </c>
      <c r="DH21">
        <v>56.1</v>
      </c>
      <c r="DJ21">
        <v>0</v>
      </c>
      <c r="DO21">
        <v>57.6</v>
      </c>
      <c r="DP21">
        <v>56.9</v>
      </c>
      <c r="EC21">
        <v>0</v>
      </c>
      <c r="EE21">
        <v>57.2</v>
      </c>
      <c r="EL21">
        <v>0</v>
      </c>
      <c r="EM21">
        <v>0</v>
      </c>
      <c r="EP21">
        <v>55.5</v>
      </c>
      <c r="EQ21">
        <v>54.7</v>
      </c>
      <c r="EV21">
        <v>55.8</v>
      </c>
      <c r="EX21">
        <v>52.4</v>
      </c>
      <c r="FA21">
        <v>55.5</v>
      </c>
      <c r="FD21">
        <v>56.9</v>
      </c>
      <c r="FG21">
        <v>55.8</v>
      </c>
      <c r="FM21">
        <v>54.7</v>
      </c>
      <c r="FN21">
        <v>56.3</v>
      </c>
      <c r="FP21">
        <v>0</v>
      </c>
      <c r="FR21">
        <v>55.1</v>
      </c>
      <c r="GB21">
        <v>54.3</v>
      </c>
      <c r="GD21">
        <v>55</v>
      </c>
      <c r="GF21">
        <v>0</v>
      </c>
      <c r="GG21">
        <v>56.2</v>
      </c>
      <c r="GH21">
        <v>54.9</v>
      </c>
      <c r="GK21">
        <v>0</v>
      </c>
      <c r="GL21">
        <v>55.6</v>
      </c>
      <c r="GO21">
        <v>54.9</v>
      </c>
      <c r="GP21">
        <v>0</v>
      </c>
      <c r="GQ21">
        <v>53.9</v>
      </c>
      <c r="GR21">
        <v>0</v>
      </c>
      <c r="GS21">
        <v>0</v>
      </c>
      <c r="GU21">
        <v>54.3</v>
      </c>
      <c r="GY21">
        <v>0</v>
      </c>
      <c r="GZ21">
        <v>0</v>
      </c>
      <c r="HC21">
        <v>2928.900000000001</v>
      </c>
    </row>
    <row r="22" spans="1:211" x14ac:dyDescent="0.35">
      <c r="A22" t="s">
        <v>141</v>
      </c>
      <c r="J22">
        <v>54.8</v>
      </c>
      <c r="P22">
        <v>55.4</v>
      </c>
      <c r="Q22">
        <v>54.5</v>
      </c>
      <c r="AS22">
        <v>0</v>
      </c>
      <c r="BE22">
        <v>54.3</v>
      </c>
      <c r="BW22">
        <v>54.1</v>
      </c>
      <c r="BX22">
        <v>54.1</v>
      </c>
      <c r="CF22">
        <v>53</v>
      </c>
      <c r="CL22">
        <v>54.9</v>
      </c>
      <c r="CQ22">
        <v>56</v>
      </c>
      <c r="CW22">
        <v>56.2</v>
      </c>
      <c r="CX22">
        <v>56.5</v>
      </c>
      <c r="CZ22">
        <v>116.6</v>
      </c>
      <c r="DC22">
        <v>57.6</v>
      </c>
      <c r="DD22">
        <v>112.1</v>
      </c>
      <c r="DI22">
        <v>55.2</v>
      </c>
      <c r="DJ22">
        <v>0</v>
      </c>
      <c r="DK22">
        <v>56.1</v>
      </c>
      <c r="DR22">
        <v>56.2</v>
      </c>
      <c r="EL22">
        <v>0</v>
      </c>
      <c r="EW22">
        <v>0</v>
      </c>
      <c r="EX22">
        <v>56.1</v>
      </c>
      <c r="EY22">
        <v>0</v>
      </c>
      <c r="FA22">
        <v>0</v>
      </c>
      <c r="FI22">
        <v>57.5</v>
      </c>
      <c r="FP22">
        <v>0</v>
      </c>
      <c r="FV22">
        <v>54.4</v>
      </c>
      <c r="FW22">
        <v>0</v>
      </c>
      <c r="FZ22">
        <v>0</v>
      </c>
      <c r="GE22">
        <v>0</v>
      </c>
      <c r="GK22">
        <v>54.4</v>
      </c>
      <c r="GQ22">
        <v>0</v>
      </c>
      <c r="GS22">
        <v>0</v>
      </c>
      <c r="GV22">
        <v>0</v>
      </c>
      <c r="HC22">
        <v>1280.0000000000002</v>
      </c>
    </row>
    <row r="23" spans="1:211" x14ac:dyDescent="0.35">
      <c r="A23" t="s">
        <v>168</v>
      </c>
      <c r="R23">
        <v>63.2</v>
      </c>
      <c r="AF23">
        <v>64.8</v>
      </c>
      <c r="AI23">
        <v>62.9</v>
      </c>
      <c r="AT23">
        <v>0</v>
      </c>
      <c r="BH23">
        <v>64.2</v>
      </c>
      <c r="BI23">
        <v>63.7</v>
      </c>
      <c r="BQ23">
        <v>63.8</v>
      </c>
      <c r="BZ23">
        <v>64.2</v>
      </c>
      <c r="CY23">
        <v>64.099999999999994</v>
      </c>
      <c r="CZ23">
        <v>128.1</v>
      </c>
      <c r="DA23">
        <v>63.1</v>
      </c>
      <c r="DB23">
        <v>63.6</v>
      </c>
      <c r="EF23">
        <v>65.099999999999994</v>
      </c>
      <c r="HC23">
        <v>830.80000000000007</v>
      </c>
    </row>
    <row r="24" spans="1:211" x14ac:dyDescent="0.35">
      <c r="A24" t="s">
        <v>145</v>
      </c>
      <c r="E24">
        <v>64</v>
      </c>
      <c r="L24">
        <v>63.5</v>
      </c>
      <c r="M24">
        <v>63.7</v>
      </c>
      <c r="Q24">
        <v>64.400000000000006</v>
      </c>
      <c r="R24">
        <v>64</v>
      </c>
      <c r="W24">
        <v>64.8</v>
      </c>
      <c r="X24">
        <v>64.2</v>
      </c>
      <c r="AD24">
        <v>64.7</v>
      </c>
      <c r="AK24">
        <v>64.3</v>
      </c>
      <c r="AL24">
        <v>64.099999999999994</v>
      </c>
      <c r="AM24">
        <v>64.099999999999994</v>
      </c>
      <c r="AO24">
        <v>64.8</v>
      </c>
      <c r="AP24">
        <v>127.4</v>
      </c>
      <c r="AQ24">
        <v>64</v>
      </c>
      <c r="AR24">
        <v>63.9</v>
      </c>
      <c r="AW24">
        <v>65.7</v>
      </c>
      <c r="AX24">
        <v>63.5</v>
      </c>
      <c r="BB24">
        <v>64.2</v>
      </c>
      <c r="BC24">
        <v>63.2</v>
      </c>
      <c r="BK24">
        <v>0</v>
      </c>
      <c r="BL24">
        <v>128.4</v>
      </c>
      <c r="BM24">
        <v>64</v>
      </c>
      <c r="BP24">
        <v>128</v>
      </c>
      <c r="BT24">
        <v>0</v>
      </c>
      <c r="BU24">
        <v>63.9</v>
      </c>
      <c r="BY24">
        <v>63.5</v>
      </c>
      <c r="BZ24">
        <v>63.6</v>
      </c>
      <c r="CI24">
        <v>63.1</v>
      </c>
      <c r="CN24">
        <v>67.099999999999994</v>
      </c>
      <c r="CO24">
        <v>65.400000000000006</v>
      </c>
      <c r="CR24">
        <v>64.5</v>
      </c>
      <c r="CS24">
        <v>64.3</v>
      </c>
      <c r="CW24">
        <v>64.2</v>
      </c>
      <c r="DG24">
        <v>65.900000000000006</v>
      </c>
      <c r="DI24">
        <v>132</v>
      </c>
      <c r="DJ24">
        <v>66.3</v>
      </c>
      <c r="DM24">
        <v>65.2</v>
      </c>
      <c r="DN24">
        <v>0</v>
      </c>
      <c r="DS24">
        <v>67.400000000000006</v>
      </c>
      <c r="DV24">
        <v>0</v>
      </c>
      <c r="DY24">
        <v>0</v>
      </c>
      <c r="DZ24">
        <v>65.2</v>
      </c>
      <c r="EB24">
        <v>67.8</v>
      </c>
      <c r="EC24">
        <v>66.3</v>
      </c>
      <c r="ED24">
        <v>64.8</v>
      </c>
      <c r="EE24">
        <v>66.2</v>
      </c>
      <c r="EM24">
        <v>64.8</v>
      </c>
      <c r="ER24">
        <v>63.7</v>
      </c>
      <c r="EY24">
        <v>0</v>
      </c>
      <c r="FE24">
        <v>0</v>
      </c>
      <c r="FK24">
        <v>64.599999999999994</v>
      </c>
      <c r="FO24">
        <v>0</v>
      </c>
      <c r="FP24">
        <v>64.099999999999994</v>
      </c>
      <c r="FZ24">
        <v>62.8</v>
      </c>
      <c r="GA24">
        <v>64.099999999999994</v>
      </c>
      <c r="GF24">
        <v>65</v>
      </c>
      <c r="GL24">
        <v>65.8</v>
      </c>
      <c r="GR24">
        <v>64.7</v>
      </c>
      <c r="GW24">
        <v>64.099999999999994</v>
      </c>
      <c r="GY24">
        <v>63.1</v>
      </c>
      <c r="GZ24">
        <v>63.4</v>
      </c>
      <c r="HA24">
        <v>63.7</v>
      </c>
      <c r="HC24">
        <v>3743.5</v>
      </c>
    </row>
    <row r="25" spans="1:211" x14ac:dyDescent="0.35">
      <c r="A25" t="s">
        <v>157</v>
      </c>
      <c r="AK25">
        <v>54.9</v>
      </c>
      <c r="CT25">
        <v>0</v>
      </c>
      <c r="HC25">
        <v>54.9</v>
      </c>
    </row>
    <row r="26" spans="1:211" x14ac:dyDescent="0.35">
      <c r="A26" t="s">
        <v>158</v>
      </c>
      <c r="J26">
        <v>53.4</v>
      </c>
      <c r="K26">
        <v>54</v>
      </c>
      <c r="L26">
        <v>54.3</v>
      </c>
      <c r="M26">
        <v>58.6</v>
      </c>
      <c r="O26">
        <v>56</v>
      </c>
      <c r="P26">
        <v>54.1</v>
      </c>
      <c r="R26">
        <v>54.7</v>
      </c>
      <c r="S26">
        <v>54</v>
      </c>
      <c r="T26">
        <v>108.4</v>
      </c>
      <c r="U26">
        <v>110.4</v>
      </c>
      <c r="V26">
        <v>55.6</v>
      </c>
      <c r="AC26">
        <v>55.9</v>
      </c>
      <c r="AD26">
        <v>114.9</v>
      </c>
      <c r="AG26">
        <v>54.6</v>
      </c>
      <c r="AH26">
        <v>54.9</v>
      </c>
      <c r="AJ26">
        <v>0</v>
      </c>
      <c r="AK26">
        <v>0</v>
      </c>
      <c r="AM26">
        <v>54.9</v>
      </c>
      <c r="AN26">
        <v>54.1</v>
      </c>
      <c r="AP26">
        <v>56.3</v>
      </c>
      <c r="AQ26">
        <v>55.1</v>
      </c>
      <c r="AR26">
        <v>55</v>
      </c>
      <c r="AS26">
        <v>56.4</v>
      </c>
      <c r="AU26">
        <v>0</v>
      </c>
      <c r="AV26">
        <v>54.7</v>
      </c>
      <c r="AW26">
        <v>57.3</v>
      </c>
      <c r="AX26">
        <v>54.7</v>
      </c>
      <c r="BB26">
        <v>55.2</v>
      </c>
      <c r="BC26">
        <v>54.2</v>
      </c>
      <c r="BG26">
        <v>55.3</v>
      </c>
      <c r="BH26">
        <v>54.5</v>
      </c>
      <c r="BI26">
        <v>55.2</v>
      </c>
      <c r="BM26">
        <v>55.9</v>
      </c>
      <c r="BN26">
        <v>54.8</v>
      </c>
      <c r="BO26">
        <v>54.5</v>
      </c>
      <c r="BT26">
        <v>55.5</v>
      </c>
      <c r="BU26">
        <v>54.5</v>
      </c>
      <c r="BV26">
        <v>166.7</v>
      </c>
      <c r="BW26">
        <v>54.6</v>
      </c>
      <c r="BX26">
        <v>166.5</v>
      </c>
      <c r="BY26">
        <v>114</v>
      </c>
      <c r="CD26">
        <v>55.8</v>
      </c>
      <c r="CE26">
        <v>54.2</v>
      </c>
      <c r="CF26">
        <v>56.2</v>
      </c>
      <c r="CG26">
        <v>57.2</v>
      </c>
      <c r="CP26">
        <v>107</v>
      </c>
      <c r="CQ26">
        <v>111.2</v>
      </c>
      <c r="CT26">
        <v>112.6</v>
      </c>
      <c r="CU26">
        <v>56.4</v>
      </c>
      <c r="CY26">
        <v>112</v>
      </c>
      <c r="CZ26">
        <v>56.1</v>
      </c>
      <c r="DM26">
        <v>55.8</v>
      </c>
      <c r="DT26">
        <v>110</v>
      </c>
      <c r="DU26">
        <v>55</v>
      </c>
      <c r="DV26">
        <v>55.8</v>
      </c>
      <c r="DW26">
        <v>111.4</v>
      </c>
      <c r="DX26">
        <v>55.3</v>
      </c>
      <c r="EE26">
        <v>54.5</v>
      </c>
      <c r="EF26">
        <v>164.2</v>
      </c>
      <c r="EI26">
        <v>55.2</v>
      </c>
      <c r="EJ26">
        <v>55.2</v>
      </c>
      <c r="ES26">
        <v>56.7</v>
      </c>
      <c r="ET26">
        <v>55.2</v>
      </c>
      <c r="EV26">
        <v>55.1</v>
      </c>
      <c r="EW26">
        <v>55</v>
      </c>
      <c r="EX26">
        <v>111.8</v>
      </c>
      <c r="EY26">
        <v>55.6</v>
      </c>
      <c r="EZ26">
        <v>54.1</v>
      </c>
      <c r="FC26">
        <v>0</v>
      </c>
      <c r="FG26">
        <v>55.4</v>
      </c>
      <c r="FL26">
        <v>109.3</v>
      </c>
      <c r="FQ26">
        <v>54.5</v>
      </c>
      <c r="FR26">
        <v>54.6</v>
      </c>
      <c r="FS26">
        <v>55.3</v>
      </c>
      <c r="FW26">
        <v>54.1</v>
      </c>
      <c r="FX26">
        <v>165.6</v>
      </c>
      <c r="FY26">
        <v>53.8</v>
      </c>
      <c r="FZ26">
        <v>53</v>
      </c>
      <c r="GE26">
        <v>54.2</v>
      </c>
      <c r="GF26">
        <v>274</v>
      </c>
      <c r="GG26">
        <v>0.56999999999999995</v>
      </c>
      <c r="GJ26">
        <v>55</v>
      </c>
      <c r="GK26">
        <v>55.6</v>
      </c>
      <c r="GL26">
        <v>109.5</v>
      </c>
      <c r="GM26">
        <v>54.7</v>
      </c>
      <c r="GP26">
        <v>54.3</v>
      </c>
      <c r="GQ26">
        <v>52.3</v>
      </c>
      <c r="GR26">
        <v>0</v>
      </c>
      <c r="GS26">
        <v>112</v>
      </c>
      <c r="GT26">
        <v>0</v>
      </c>
      <c r="GX26">
        <v>53.6</v>
      </c>
      <c r="GY26">
        <v>54.3</v>
      </c>
      <c r="GZ26">
        <v>53.5</v>
      </c>
      <c r="HC26">
        <v>6177.4700000000021</v>
      </c>
    </row>
    <row r="27" spans="1:211" x14ac:dyDescent="0.35">
      <c r="A27" t="s">
        <v>160</v>
      </c>
      <c r="AD27">
        <v>0</v>
      </c>
      <c r="AF27">
        <v>54.4</v>
      </c>
      <c r="AG27">
        <v>59.1</v>
      </c>
      <c r="AH27">
        <v>54.9</v>
      </c>
      <c r="FR27">
        <v>0</v>
      </c>
      <c r="FZ27">
        <v>0</v>
      </c>
      <c r="GA27">
        <v>55</v>
      </c>
      <c r="GB27">
        <v>53.7</v>
      </c>
      <c r="GC27">
        <v>54</v>
      </c>
      <c r="GF27">
        <v>0</v>
      </c>
      <c r="GG27">
        <v>0</v>
      </c>
      <c r="GH27">
        <v>111.6</v>
      </c>
      <c r="HC27">
        <v>442.70000000000005</v>
      </c>
    </row>
    <row r="28" spans="1:211" x14ac:dyDescent="0.35">
      <c r="A28" t="s">
        <v>117</v>
      </c>
      <c r="B28">
        <v>62.2</v>
      </c>
      <c r="C28">
        <v>62.2</v>
      </c>
      <c r="E28">
        <v>63.9</v>
      </c>
      <c r="G28">
        <v>64.7</v>
      </c>
      <c r="I28">
        <v>63.5</v>
      </c>
      <c r="K28">
        <v>63.4</v>
      </c>
      <c r="M28">
        <v>64.7</v>
      </c>
      <c r="O28">
        <v>64.3</v>
      </c>
      <c r="P28">
        <v>0</v>
      </c>
      <c r="S28">
        <v>54.2</v>
      </c>
      <c r="X28">
        <v>64.099999999999994</v>
      </c>
      <c r="AA28">
        <v>65.8</v>
      </c>
      <c r="AC28">
        <v>65.5</v>
      </c>
      <c r="AF28">
        <v>64.900000000000006</v>
      </c>
      <c r="BH28">
        <v>64.400000000000006</v>
      </c>
      <c r="BJ28">
        <v>64.3</v>
      </c>
      <c r="BZ28">
        <v>64.400000000000006</v>
      </c>
      <c r="CB28">
        <v>66</v>
      </c>
      <c r="CP28">
        <v>63.7</v>
      </c>
      <c r="CS28">
        <v>64.3</v>
      </c>
      <c r="CZ28">
        <v>64.3</v>
      </c>
      <c r="DC28">
        <v>65.2</v>
      </c>
      <c r="DD28">
        <v>65.2</v>
      </c>
      <c r="DH28">
        <v>65</v>
      </c>
      <c r="DP28">
        <v>64.400000000000006</v>
      </c>
      <c r="DR28">
        <v>0</v>
      </c>
      <c r="DW28">
        <v>0</v>
      </c>
      <c r="DZ28">
        <v>0</v>
      </c>
      <c r="EL28">
        <v>0</v>
      </c>
      <c r="EP28">
        <v>0</v>
      </c>
      <c r="ET28">
        <v>64.5</v>
      </c>
      <c r="EV28">
        <v>65.099999999999994</v>
      </c>
      <c r="EY28">
        <v>65.2</v>
      </c>
      <c r="FD28">
        <v>64.8</v>
      </c>
      <c r="FE28">
        <v>0</v>
      </c>
      <c r="FG28">
        <v>0</v>
      </c>
      <c r="FH28">
        <v>0</v>
      </c>
      <c r="FL28">
        <v>0</v>
      </c>
      <c r="FR28">
        <v>65.3</v>
      </c>
      <c r="FT28">
        <v>66.040000000000006</v>
      </c>
      <c r="FW28">
        <v>65.3</v>
      </c>
      <c r="GD28">
        <v>64.400000000000006</v>
      </c>
      <c r="GJ28">
        <v>64.900000000000006</v>
      </c>
      <c r="GM28">
        <v>0</v>
      </c>
      <c r="GN28">
        <v>0</v>
      </c>
      <c r="GS28">
        <v>66.2</v>
      </c>
      <c r="GV28">
        <v>64.099999999999994</v>
      </c>
      <c r="HC28">
        <v>2250.4399999999996</v>
      </c>
    </row>
    <row r="29" spans="1:211" x14ac:dyDescent="0.35">
      <c r="A29" t="s">
        <v>75</v>
      </c>
      <c r="W29">
        <v>64</v>
      </c>
      <c r="BK29">
        <v>64.3</v>
      </c>
      <c r="BT29">
        <v>64.7</v>
      </c>
      <c r="BY29">
        <v>63.7</v>
      </c>
      <c r="CN29">
        <v>0</v>
      </c>
      <c r="CR29">
        <v>65.2</v>
      </c>
      <c r="DU29">
        <v>66.2</v>
      </c>
      <c r="DY29">
        <v>67.7</v>
      </c>
      <c r="EA29">
        <v>0</v>
      </c>
      <c r="EM29">
        <v>627</v>
      </c>
      <c r="EY29">
        <v>64.2</v>
      </c>
      <c r="FJ29">
        <v>0</v>
      </c>
      <c r="FK29">
        <v>0</v>
      </c>
      <c r="GY29">
        <v>63.5</v>
      </c>
      <c r="HA29">
        <v>0</v>
      </c>
      <c r="HC29">
        <v>1210.5</v>
      </c>
    </row>
    <row r="30" spans="1:211" x14ac:dyDescent="0.35">
      <c r="A30" t="s">
        <v>78</v>
      </c>
      <c r="E30">
        <v>65</v>
      </c>
      <c r="K30">
        <v>65.599999999999994</v>
      </c>
      <c r="S30">
        <v>65</v>
      </c>
      <c r="U30">
        <v>64.599999999999994</v>
      </c>
      <c r="AD30">
        <v>65</v>
      </c>
      <c r="AQ30">
        <v>64.5</v>
      </c>
      <c r="AV30">
        <v>65.099999999999994</v>
      </c>
      <c r="BF30">
        <v>65.5</v>
      </c>
      <c r="BK30">
        <v>64.599999999999994</v>
      </c>
      <c r="CA30">
        <v>66.5</v>
      </c>
      <c r="CO30">
        <v>66.099999999999994</v>
      </c>
      <c r="CX30">
        <v>64.3</v>
      </c>
      <c r="DL30">
        <v>66.3</v>
      </c>
      <c r="DU30">
        <v>0</v>
      </c>
      <c r="EA30">
        <v>68.400000000000006</v>
      </c>
      <c r="EE30">
        <v>0</v>
      </c>
      <c r="EH30">
        <v>0</v>
      </c>
      <c r="EM30">
        <v>64.7</v>
      </c>
      <c r="ER30">
        <v>64.33</v>
      </c>
      <c r="FF30">
        <v>64.64</v>
      </c>
      <c r="FM30">
        <v>65.8</v>
      </c>
      <c r="GA30">
        <v>65</v>
      </c>
      <c r="GP30">
        <v>64.900000000000006</v>
      </c>
      <c r="GS30">
        <v>65.400000000000006</v>
      </c>
      <c r="GZ30">
        <v>64.400000000000006</v>
      </c>
      <c r="HC30">
        <v>1435.6700000000003</v>
      </c>
    </row>
    <row r="31" spans="1:211" x14ac:dyDescent="0.35">
      <c r="A31" t="s">
        <v>112</v>
      </c>
      <c r="D31">
        <v>64</v>
      </c>
      <c r="E31">
        <v>63.3</v>
      </c>
      <c r="F31">
        <v>64.3</v>
      </c>
      <c r="G31">
        <v>64.2</v>
      </c>
      <c r="L31">
        <v>68.760000000000005</v>
      </c>
      <c r="M31">
        <v>64</v>
      </c>
      <c r="S31">
        <v>65.900000000000006</v>
      </c>
      <c r="T31">
        <v>0</v>
      </c>
      <c r="U31">
        <v>65.400000000000006</v>
      </c>
      <c r="V31">
        <v>64.599999999999994</v>
      </c>
      <c r="X31">
        <v>126.1</v>
      </c>
      <c r="Z31">
        <v>64.599999999999994</v>
      </c>
      <c r="AC31">
        <v>63.8</v>
      </c>
      <c r="AH31">
        <v>64</v>
      </c>
      <c r="AJ31">
        <v>64.400000000000006</v>
      </c>
      <c r="AK31">
        <v>0</v>
      </c>
      <c r="AM31">
        <v>63</v>
      </c>
      <c r="AN31">
        <v>64.099999999999994</v>
      </c>
      <c r="AP31">
        <v>65</v>
      </c>
      <c r="AQ31">
        <v>63.7</v>
      </c>
      <c r="BB31">
        <v>65</v>
      </c>
      <c r="BD31">
        <v>65.099999999999994</v>
      </c>
      <c r="BK31">
        <v>64.099999999999994</v>
      </c>
      <c r="BL31">
        <v>64</v>
      </c>
      <c r="BM31">
        <v>64</v>
      </c>
      <c r="BZ31">
        <v>65.2</v>
      </c>
      <c r="CD31">
        <v>64.400000000000006</v>
      </c>
      <c r="CM31">
        <v>128.6</v>
      </c>
      <c r="DB31">
        <v>131.6</v>
      </c>
      <c r="DC31">
        <v>64.7</v>
      </c>
      <c r="DK31">
        <v>67.3</v>
      </c>
      <c r="DL31">
        <v>132.89999999999998</v>
      </c>
      <c r="DS31">
        <v>64.5</v>
      </c>
      <c r="DT31">
        <v>0</v>
      </c>
      <c r="DV31">
        <v>65.099999999999994</v>
      </c>
      <c r="DW31">
        <v>0</v>
      </c>
      <c r="ES31">
        <v>63.6</v>
      </c>
      <c r="ET31">
        <v>0</v>
      </c>
      <c r="EX31">
        <v>0</v>
      </c>
      <c r="FC31">
        <v>0</v>
      </c>
      <c r="FI31">
        <v>64</v>
      </c>
      <c r="FJ31">
        <v>64.2</v>
      </c>
      <c r="HC31">
        <v>2521.4599999999996</v>
      </c>
    </row>
    <row r="32" spans="1:211" x14ac:dyDescent="0.35">
      <c r="A32" t="s">
        <v>173</v>
      </c>
      <c r="U32">
        <v>64.099999999999994</v>
      </c>
      <c r="AD32">
        <v>62.9</v>
      </c>
      <c r="AR32">
        <v>64.599999999999994</v>
      </c>
      <c r="AV32">
        <v>0</v>
      </c>
      <c r="BI32">
        <v>65.900000000000006</v>
      </c>
      <c r="BR32">
        <v>63.6</v>
      </c>
      <c r="FB32">
        <v>0</v>
      </c>
      <c r="HC32">
        <v>321.10000000000002</v>
      </c>
    </row>
    <row r="33" spans="1:211" x14ac:dyDescent="0.35">
      <c r="A33" t="s">
        <v>60</v>
      </c>
      <c r="AG33">
        <v>63.9</v>
      </c>
      <c r="BD33">
        <v>66.7</v>
      </c>
      <c r="CK33">
        <v>64.8</v>
      </c>
      <c r="CT33">
        <v>64.900000000000006</v>
      </c>
      <c r="CU33">
        <v>65</v>
      </c>
      <c r="DJ33">
        <v>63.7</v>
      </c>
      <c r="DZ33">
        <v>65.8</v>
      </c>
      <c r="EF33">
        <v>65.2</v>
      </c>
      <c r="FA33">
        <v>64.599999999999994</v>
      </c>
      <c r="FC33">
        <v>66</v>
      </c>
      <c r="FR33">
        <v>0</v>
      </c>
      <c r="GN33">
        <v>64.5</v>
      </c>
      <c r="HC33">
        <v>715.1</v>
      </c>
    </row>
    <row r="34" spans="1:211" x14ac:dyDescent="0.35">
      <c r="A34" t="s">
        <v>68</v>
      </c>
      <c r="BD34">
        <v>63.3</v>
      </c>
      <c r="BI34">
        <v>61.8</v>
      </c>
      <c r="BQ34">
        <v>61.9</v>
      </c>
      <c r="DJ34">
        <v>62.9</v>
      </c>
      <c r="HC34">
        <v>249.9</v>
      </c>
    </row>
    <row r="35" spans="1:211" x14ac:dyDescent="0.35">
      <c r="A35" t="s">
        <v>44</v>
      </c>
      <c r="K35">
        <v>64.400000000000006</v>
      </c>
      <c r="X35">
        <v>63.8</v>
      </c>
      <c r="AK35">
        <v>65.400000000000006</v>
      </c>
      <c r="AV35">
        <v>0</v>
      </c>
      <c r="HC35">
        <v>193.6</v>
      </c>
    </row>
    <row r="36" spans="1:211" x14ac:dyDescent="0.35">
      <c r="A36" t="s">
        <v>175</v>
      </c>
      <c r="R36">
        <v>65.5</v>
      </c>
      <c r="V36">
        <v>64.7</v>
      </c>
      <c r="AA36">
        <v>0</v>
      </c>
      <c r="AC36">
        <v>65.3</v>
      </c>
      <c r="AG36">
        <v>64.3</v>
      </c>
      <c r="AL36">
        <v>63.9</v>
      </c>
      <c r="AT36">
        <v>64</v>
      </c>
      <c r="AV36">
        <v>64.8</v>
      </c>
      <c r="BF36">
        <v>64.099999999999994</v>
      </c>
      <c r="BG36">
        <v>66.7</v>
      </c>
      <c r="CU36">
        <v>64.599999999999994</v>
      </c>
      <c r="FL36">
        <v>0</v>
      </c>
      <c r="GN36">
        <v>64.900000000000006</v>
      </c>
      <c r="HC36">
        <v>712.80000000000007</v>
      </c>
    </row>
    <row r="37" spans="1:211" x14ac:dyDescent="0.35">
      <c r="A37" t="s">
        <v>179</v>
      </c>
      <c r="O37">
        <v>64.599999999999994</v>
      </c>
      <c r="AM37">
        <v>124.2</v>
      </c>
      <c r="BZ37">
        <v>65.7</v>
      </c>
      <c r="EB37">
        <v>66.5</v>
      </c>
      <c r="ET37">
        <v>0</v>
      </c>
      <c r="FU37">
        <v>67.2</v>
      </c>
      <c r="HC37">
        <v>388.2</v>
      </c>
    </row>
    <row r="38" spans="1:211" x14ac:dyDescent="0.35">
      <c r="A38" t="s">
        <v>115</v>
      </c>
      <c r="X38">
        <v>64.400000000000006</v>
      </c>
      <c r="BA38">
        <v>64.599999999999994</v>
      </c>
      <c r="DT38">
        <v>66.900000000000006</v>
      </c>
      <c r="EL38">
        <v>0</v>
      </c>
      <c r="HC38">
        <v>195.9</v>
      </c>
    </row>
    <row r="39" spans="1:211" x14ac:dyDescent="0.35">
      <c r="A39" t="s">
        <v>101</v>
      </c>
      <c r="J39">
        <v>0</v>
      </c>
      <c r="M39">
        <v>70.599999999999994</v>
      </c>
      <c r="T39">
        <v>0</v>
      </c>
      <c r="AD39">
        <v>69.3</v>
      </c>
      <c r="AH39">
        <v>71.56</v>
      </c>
      <c r="AN39">
        <v>69.599999999999994</v>
      </c>
      <c r="AQ39">
        <v>70</v>
      </c>
      <c r="BB39">
        <v>0</v>
      </c>
      <c r="BC39">
        <v>72.099999999999994</v>
      </c>
      <c r="BI39">
        <v>72.2</v>
      </c>
      <c r="BJ39">
        <v>72.400000000000006</v>
      </c>
      <c r="BO39">
        <v>71.3</v>
      </c>
      <c r="CA39">
        <v>144.4</v>
      </c>
      <c r="CB39">
        <v>71.8</v>
      </c>
      <c r="CF39">
        <v>72.900000000000006</v>
      </c>
      <c r="CJ39">
        <v>71.2</v>
      </c>
      <c r="CN39">
        <v>0</v>
      </c>
      <c r="CV39">
        <v>73.5</v>
      </c>
      <c r="CX39">
        <v>73.7</v>
      </c>
      <c r="CY39">
        <v>72.7</v>
      </c>
      <c r="CZ39">
        <v>72.400000000000006</v>
      </c>
      <c r="DA39">
        <v>0</v>
      </c>
      <c r="DB39">
        <v>72.3</v>
      </c>
      <c r="DR39">
        <v>72.900000000000006</v>
      </c>
      <c r="DS39">
        <v>0</v>
      </c>
      <c r="EB39">
        <v>0</v>
      </c>
      <c r="EC39">
        <v>73.7</v>
      </c>
      <c r="EG39">
        <v>75</v>
      </c>
      <c r="EM39">
        <v>0</v>
      </c>
      <c r="EQ39">
        <v>71.7</v>
      </c>
      <c r="ES39">
        <v>70.400000000000006</v>
      </c>
      <c r="ET39">
        <v>0</v>
      </c>
      <c r="FI39">
        <v>0</v>
      </c>
      <c r="FL39">
        <v>0</v>
      </c>
      <c r="GB39">
        <v>70.599999999999994</v>
      </c>
      <c r="GF39">
        <v>70.099999999999994</v>
      </c>
      <c r="GL39">
        <v>0</v>
      </c>
      <c r="GX39">
        <v>72.5</v>
      </c>
      <c r="GY39">
        <v>70.8</v>
      </c>
      <c r="HC39">
        <v>2011.66</v>
      </c>
    </row>
    <row r="40" spans="1:211" x14ac:dyDescent="0.35">
      <c r="A40" t="s">
        <v>97</v>
      </c>
      <c r="K40">
        <v>78.58</v>
      </c>
      <c r="AH40">
        <v>73.14</v>
      </c>
      <c r="AV40">
        <v>0</v>
      </c>
      <c r="BA40">
        <v>73.5</v>
      </c>
      <c r="CI40">
        <v>71.099999999999994</v>
      </c>
      <c r="HC40">
        <v>296.32</v>
      </c>
    </row>
    <row r="41" spans="1:211" x14ac:dyDescent="0.35">
      <c r="A41" t="s">
        <v>129</v>
      </c>
      <c r="AT41">
        <v>0</v>
      </c>
      <c r="HC41">
        <v>0</v>
      </c>
    </row>
    <row r="42" spans="1:211" x14ac:dyDescent="0.35">
      <c r="A42" t="s">
        <v>186</v>
      </c>
      <c r="CT42">
        <v>58</v>
      </c>
      <c r="DS42">
        <v>0</v>
      </c>
      <c r="DY42">
        <v>58.2</v>
      </c>
      <c r="DZ42">
        <v>58.3</v>
      </c>
      <c r="ED42">
        <v>0</v>
      </c>
      <c r="FO42">
        <v>0</v>
      </c>
      <c r="FS42">
        <v>55.3</v>
      </c>
      <c r="FY42">
        <v>53.8</v>
      </c>
      <c r="HC42">
        <v>283.60000000000002</v>
      </c>
    </row>
    <row r="43" spans="1:211" x14ac:dyDescent="0.35">
      <c r="A43" t="s">
        <v>172</v>
      </c>
      <c r="D43">
        <v>0</v>
      </c>
      <c r="E43">
        <v>0</v>
      </c>
      <c r="F43">
        <v>0</v>
      </c>
      <c r="G43">
        <v>0</v>
      </c>
      <c r="H43">
        <v>0</v>
      </c>
      <c r="I43">
        <v>0</v>
      </c>
      <c r="K43">
        <v>0</v>
      </c>
      <c r="L43">
        <v>0</v>
      </c>
      <c r="Q43">
        <v>0</v>
      </c>
      <c r="R43">
        <v>0</v>
      </c>
      <c r="U43">
        <v>0</v>
      </c>
      <c r="V43">
        <v>0</v>
      </c>
      <c r="W43">
        <v>0</v>
      </c>
      <c r="X43">
        <v>0</v>
      </c>
      <c r="Y43">
        <v>0</v>
      </c>
      <c r="Z43">
        <v>0</v>
      </c>
      <c r="AA43">
        <v>0</v>
      </c>
      <c r="AB43">
        <v>0</v>
      </c>
      <c r="AC43">
        <v>0</v>
      </c>
      <c r="AD43">
        <v>0</v>
      </c>
      <c r="AG43">
        <v>0</v>
      </c>
      <c r="AI43">
        <v>0</v>
      </c>
      <c r="AJ43">
        <v>0</v>
      </c>
      <c r="AK43">
        <v>0</v>
      </c>
      <c r="AM43">
        <v>0</v>
      </c>
      <c r="AN43">
        <v>0</v>
      </c>
      <c r="AO43">
        <v>0</v>
      </c>
      <c r="AS43">
        <v>0</v>
      </c>
      <c r="BE43">
        <v>0</v>
      </c>
      <c r="BS43">
        <v>0</v>
      </c>
      <c r="CG43">
        <v>0</v>
      </c>
      <c r="CM43">
        <v>0</v>
      </c>
      <c r="CP43">
        <v>0</v>
      </c>
      <c r="CX43">
        <v>0</v>
      </c>
      <c r="DP43">
        <v>0</v>
      </c>
      <c r="DZ43">
        <v>0</v>
      </c>
      <c r="EF43">
        <v>0</v>
      </c>
      <c r="EL43">
        <v>0</v>
      </c>
      <c r="EW43">
        <v>0</v>
      </c>
      <c r="FC43">
        <v>0</v>
      </c>
      <c r="FH43">
        <v>0</v>
      </c>
      <c r="GE43">
        <v>0</v>
      </c>
      <c r="GP43">
        <v>0</v>
      </c>
      <c r="GY43">
        <v>0</v>
      </c>
      <c r="HC43">
        <v>0</v>
      </c>
    </row>
    <row r="44" spans="1:211" x14ac:dyDescent="0.35">
      <c r="A44" t="s">
        <v>183</v>
      </c>
      <c r="J44">
        <v>0</v>
      </c>
      <c r="DK44">
        <v>0</v>
      </c>
      <c r="FB44">
        <v>0</v>
      </c>
      <c r="HC44">
        <v>0</v>
      </c>
    </row>
    <row r="45" spans="1:211" x14ac:dyDescent="0.35">
      <c r="A45" t="s">
        <v>171</v>
      </c>
      <c r="E45">
        <v>0</v>
      </c>
      <c r="F45">
        <v>0</v>
      </c>
      <c r="G45">
        <v>0</v>
      </c>
      <c r="I45">
        <v>0</v>
      </c>
      <c r="J45">
        <v>0</v>
      </c>
      <c r="K45">
        <v>0</v>
      </c>
      <c r="L45">
        <v>0</v>
      </c>
      <c r="M45">
        <v>0</v>
      </c>
      <c r="Q45">
        <v>0</v>
      </c>
      <c r="R45">
        <v>0</v>
      </c>
      <c r="T45">
        <v>0</v>
      </c>
      <c r="U45">
        <v>0</v>
      </c>
      <c r="V45">
        <v>0</v>
      </c>
      <c r="W45">
        <v>0</v>
      </c>
      <c r="X45">
        <v>0</v>
      </c>
      <c r="Z45">
        <v>0</v>
      </c>
      <c r="AC45">
        <v>0</v>
      </c>
      <c r="AD45">
        <v>0</v>
      </c>
      <c r="AF45">
        <v>0</v>
      </c>
      <c r="AG45">
        <v>0</v>
      </c>
      <c r="AI45">
        <v>0</v>
      </c>
      <c r="AJ45">
        <v>0</v>
      </c>
      <c r="AK45">
        <v>0</v>
      </c>
      <c r="AM45">
        <v>0</v>
      </c>
      <c r="AN45">
        <v>0</v>
      </c>
      <c r="AO45">
        <v>0</v>
      </c>
      <c r="AS45">
        <v>0</v>
      </c>
      <c r="AZ45">
        <v>0</v>
      </c>
      <c r="BF45">
        <v>0</v>
      </c>
      <c r="BK45">
        <v>0</v>
      </c>
      <c r="BS45">
        <v>0</v>
      </c>
      <c r="CF45">
        <v>0</v>
      </c>
      <c r="CM45">
        <v>0</v>
      </c>
      <c r="CV45">
        <v>0</v>
      </c>
      <c r="DT45">
        <v>0</v>
      </c>
      <c r="DY45">
        <v>0</v>
      </c>
      <c r="EE45">
        <v>0</v>
      </c>
      <c r="EQ45">
        <v>0</v>
      </c>
      <c r="EW45">
        <v>0</v>
      </c>
      <c r="FH45">
        <v>0</v>
      </c>
      <c r="FL45">
        <v>0</v>
      </c>
      <c r="FR45">
        <v>0</v>
      </c>
      <c r="FZ45">
        <v>0</v>
      </c>
      <c r="GE45">
        <v>0</v>
      </c>
      <c r="GK45">
        <v>0</v>
      </c>
      <c r="GP45">
        <v>0</v>
      </c>
      <c r="HC45">
        <v>0</v>
      </c>
    </row>
    <row r="46" spans="1:211" x14ac:dyDescent="0.35">
      <c r="A46" t="s">
        <v>334</v>
      </c>
      <c r="C46">
        <v>0</v>
      </c>
      <c r="AC46">
        <v>0</v>
      </c>
      <c r="AG46">
        <v>0</v>
      </c>
      <c r="AO46">
        <v>0</v>
      </c>
      <c r="DD46">
        <v>0</v>
      </c>
      <c r="DJ46">
        <v>0</v>
      </c>
      <c r="DZ46">
        <v>0</v>
      </c>
      <c r="EL46">
        <v>0</v>
      </c>
      <c r="FB46">
        <v>0</v>
      </c>
      <c r="FH46">
        <v>0</v>
      </c>
      <c r="FN46">
        <v>0</v>
      </c>
      <c r="FZ46">
        <v>0</v>
      </c>
      <c r="GE46">
        <v>0</v>
      </c>
      <c r="GP46">
        <v>0</v>
      </c>
      <c r="GZ46">
        <v>0</v>
      </c>
      <c r="HC46">
        <v>0</v>
      </c>
    </row>
    <row r="47" spans="1:211" x14ac:dyDescent="0.35">
      <c r="A47" t="s">
        <v>335</v>
      </c>
      <c r="C47">
        <v>56.3</v>
      </c>
      <c r="F47">
        <v>58.6</v>
      </c>
      <c r="G47">
        <v>602</v>
      </c>
      <c r="L47">
        <v>58.1</v>
      </c>
      <c r="M47">
        <v>58.6</v>
      </c>
      <c r="P47">
        <v>55.4</v>
      </c>
      <c r="Q47">
        <v>55.8</v>
      </c>
      <c r="R47">
        <v>115.5</v>
      </c>
      <c r="BB47">
        <v>58.3</v>
      </c>
      <c r="BC47">
        <v>58.1</v>
      </c>
      <c r="BF47">
        <v>56.7</v>
      </c>
      <c r="BG47">
        <v>58</v>
      </c>
      <c r="BK47">
        <v>55.7</v>
      </c>
      <c r="BO47">
        <v>56.7</v>
      </c>
      <c r="BP47">
        <v>55.7</v>
      </c>
      <c r="BQ47">
        <v>57.5</v>
      </c>
      <c r="BR47">
        <v>57.1</v>
      </c>
      <c r="CB47">
        <v>57.1</v>
      </c>
      <c r="CF47">
        <v>58.7</v>
      </c>
      <c r="CG47">
        <v>57.5</v>
      </c>
      <c r="CJ47">
        <v>56.4</v>
      </c>
      <c r="CM47">
        <v>51.3</v>
      </c>
      <c r="CN47">
        <v>117</v>
      </c>
      <c r="CT47">
        <v>58</v>
      </c>
      <c r="CU47">
        <v>58</v>
      </c>
      <c r="CV47">
        <v>57.8</v>
      </c>
      <c r="CY47">
        <v>58.1</v>
      </c>
      <c r="DM47">
        <v>116.8</v>
      </c>
      <c r="DN47">
        <v>0</v>
      </c>
      <c r="DO47">
        <v>58.8</v>
      </c>
      <c r="DS47">
        <v>57.5</v>
      </c>
      <c r="DT47">
        <v>57.9</v>
      </c>
      <c r="EA47">
        <v>59.4</v>
      </c>
      <c r="ED47">
        <v>58.3</v>
      </c>
      <c r="EK47">
        <v>57.9</v>
      </c>
      <c r="EL47">
        <v>0</v>
      </c>
      <c r="EO47">
        <v>0</v>
      </c>
      <c r="ET47">
        <v>59.8</v>
      </c>
      <c r="FG47">
        <v>0</v>
      </c>
      <c r="FH47">
        <v>0</v>
      </c>
      <c r="FO47">
        <v>57.6</v>
      </c>
      <c r="FS47">
        <v>0</v>
      </c>
      <c r="FT47">
        <v>54.8</v>
      </c>
      <c r="FZ47">
        <v>53</v>
      </c>
      <c r="GD47">
        <v>0</v>
      </c>
      <c r="GJ47">
        <v>57.4</v>
      </c>
      <c r="GM47">
        <v>0</v>
      </c>
      <c r="GN47">
        <v>57.5</v>
      </c>
      <c r="GQ47">
        <v>0</v>
      </c>
      <c r="GR47">
        <v>0</v>
      </c>
      <c r="GT47">
        <v>0</v>
      </c>
      <c r="GU47">
        <v>0</v>
      </c>
      <c r="HA47">
        <v>57.9</v>
      </c>
      <c r="HB47">
        <v>0</v>
      </c>
      <c r="HC47">
        <v>3068.6000000000013</v>
      </c>
    </row>
    <row r="48" spans="1:211" x14ac:dyDescent="0.35">
      <c r="A48" t="s">
        <v>308</v>
      </c>
      <c r="L48">
        <v>0</v>
      </c>
      <c r="FI48">
        <v>54.3</v>
      </c>
      <c r="HC48">
        <v>54.3</v>
      </c>
    </row>
    <row r="49" spans="1:211" x14ac:dyDescent="0.35">
      <c r="A49" t="s">
        <v>336</v>
      </c>
      <c r="M49">
        <v>0</v>
      </c>
      <c r="HC49">
        <v>0</v>
      </c>
    </row>
    <row r="50" spans="1:211" x14ac:dyDescent="0.35">
      <c r="A50" t="s">
        <v>30</v>
      </c>
      <c r="V50">
        <v>0</v>
      </c>
      <c r="HC50">
        <v>0</v>
      </c>
    </row>
    <row r="51" spans="1:211" x14ac:dyDescent="0.35">
      <c r="A51" t="s">
        <v>187</v>
      </c>
      <c r="AU51">
        <v>65.599999999999994</v>
      </c>
      <c r="AW51">
        <v>0</v>
      </c>
      <c r="BE51">
        <v>65.7</v>
      </c>
      <c r="DG51">
        <v>134.6</v>
      </c>
      <c r="FB51">
        <v>65.2</v>
      </c>
      <c r="FF51">
        <v>65.3</v>
      </c>
      <c r="FH51">
        <v>66.400000000000006</v>
      </c>
      <c r="FK51">
        <v>64.900000000000006</v>
      </c>
      <c r="FM51">
        <v>63.4</v>
      </c>
      <c r="GF51">
        <v>63.7</v>
      </c>
      <c r="GH51">
        <v>0</v>
      </c>
      <c r="GR51">
        <v>62.3</v>
      </c>
      <c r="HC51">
        <v>717.09999999999991</v>
      </c>
    </row>
    <row r="52" spans="1:211" x14ac:dyDescent="0.35">
      <c r="A52" t="s">
        <v>191</v>
      </c>
      <c r="BK52">
        <v>64.5</v>
      </c>
      <c r="BT52">
        <v>63.9</v>
      </c>
      <c r="DS52">
        <v>65.2</v>
      </c>
      <c r="FE52">
        <v>0</v>
      </c>
      <c r="GF52">
        <v>65.099999999999994</v>
      </c>
      <c r="GR52">
        <v>0</v>
      </c>
      <c r="HC52">
        <v>258.70000000000005</v>
      </c>
    </row>
    <row r="53" spans="1:211" x14ac:dyDescent="0.35">
      <c r="A53" t="s">
        <v>337</v>
      </c>
      <c r="BL53">
        <v>55.2</v>
      </c>
      <c r="HC53">
        <v>55.2</v>
      </c>
    </row>
    <row r="54" spans="1:211" x14ac:dyDescent="0.35">
      <c r="A54" t="s">
        <v>333</v>
      </c>
      <c r="B54">
        <v>62.2</v>
      </c>
      <c r="C54">
        <v>364.5</v>
      </c>
      <c r="D54">
        <v>301.89999999999998</v>
      </c>
      <c r="E54">
        <v>677.09999999999991</v>
      </c>
      <c r="F54">
        <v>374.40000000000003</v>
      </c>
      <c r="G54">
        <v>1044.5</v>
      </c>
      <c r="H54">
        <v>63.9</v>
      </c>
      <c r="I54">
        <v>236.4</v>
      </c>
      <c r="J54">
        <v>346.2</v>
      </c>
      <c r="K54">
        <v>444.18</v>
      </c>
      <c r="L54">
        <v>559.82000000000005</v>
      </c>
      <c r="M54">
        <v>574.20000000000005</v>
      </c>
      <c r="N54">
        <v>193.89999999999998</v>
      </c>
      <c r="O54">
        <v>467.70000000000005</v>
      </c>
      <c r="P54">
        <v>403.8</v>
      </c>
      <c r="Q54">
        <v>431.90000000000003</v>
      </c>
      <c r="R54">
        <v>484.3</v>
      </c>
      <c r="S54">
        <v>467.79999999999995</v>
      </c>
      <c r="T54">
        <v>366.5</v>
      </c>
      <c r="U54">
        <v>565.07000000000005</v>
      </c>
      <c r="V54">
        <v>506.7</v>
      </c>
      <c r="W54">
        <v>242.6</v>
      </c>
      <c r="X54">
        <v>569.20000000000005</v>
      </c>
      <c r="Y54">
        <v>307.60000000000002</v>
      </c>
      <c r="Z54">
        <v>356.79999999999995</v>
      </c>
      <c r="AA54">
        <v>195.3</v>
      </c>
      <c r="AB54">
        <v>175.89999999999998</v>
      </c>
      <c r="AC54">
        <v>315.7</v>
      </c>
      <c r="AD54">
        <v>498.7</v>
      </c>
      <c r="AE54">
        <v>129.55000000000001</v>
      </c>
      <c r="AF54">
        <v>302.8</v>
      </c>
      <c r="AG54">
        <v>305.89999999999998</v>
      </c>
      <c r="AH54">
        <v>446.7</v>
      </c>
      <c r="AI54">
        <v>494.02999999999992</v>
      </c>
      <c r="AJ54">
        <v>64.400000000000006</v>
      </c>
      <c r="AK54">
        <v>431.6</v>
      </c>
      <c r="AL54">
        <v>128</v>
      </c>
      <c r="AM54">
        <v>599.20000000000005</v>
      </c>
      <c r="AN54">
        <v>553.90000000000009</v>
      </c>
      <c r="AO54">
        <v>312.89999999999998</v>
      </c>
      <c r="AP54">
        <v>473.50000000000006</v>
      </c>
      <c r="AQ54">
        <v>561</v>
      </c>
      <c r="AR54">
        <v>242.6</v>
      </c>
      <c r="AS54">
        <v>175.4</v>
      </c>
      <c r="AT54">
        <v>250.60000000000002</v>
      </c>
      <c r="AU54">
        <v>314.60000000000002</v>
      </c>
      <c r="AV54">
        <v>466.8</v>
      </c>
      <c r="AW54">
        <v>424.7</v>
      </c>
      <c r="AX54">
        <v>303.3</v>
      </c>
      <c r="AY54">
        <v>249.1</v>
      </c>
      <c r="AZ54">
        <v>183.7</v>
      </c>
      <c r="BA54">
        <v>323.7</v>
      </c>
      <c r="BB54">
        <v>370.8</v>
      </c>
      <c r="BC54">
        <v>247.6</v>
      </c>
      <c r="BD54">
        <v>455.6</v>
      </c>
      <c r="BE54">
        <v>371.1</v>
      </c>
      <c r="BF54">
        <v>306.2</v>
      </c>
      <c r="BG54">
        <v>436</v>
      </c>
      <c r="BH54">
        <v>306.10000000000002</v>
      </c>
      <c r="BI54">
        <v>629.69999999999993</v>
      </c>
      <c r="BJ54">
        <v>624.6</v>
      </c>
      <c r="BK54">
        <v>615.80000000000007</v>
      </c>
      <c r="BL54">
        <v>507.99999999999994</v>
      </c>
      <c r="BM54">
        <v>435.59999999999997</v>
      </c>
      <c r="BN54">
        <v>240.8</v>
      </c>
      <c r="BO54">
        <v>367.59999999999997</v>
      </c>
      <c r="BP54">
        <v>376</v>
      </c>
      <c r="BQ54">
        <v>691.5</v>
      </c>
      <c r="BR54">
        <v>483.10000000000008</v>
      </c>
      <c r="BS54">
        <v>174.60000000000002</v>
      </c>
      <c r="BT54">
        <v>598.6</v>
      </c>
      <c r="BU54">
        <v>238.29999999999998</v>
      </c>
      <c r="BV54">
        <v>393.6</v>
      </c>
      <c r="BW54">
        <v>162.9</v>
      </c>
      <c r="BX54">
        <v>220.6</v>
      </c>
      <c r="BY54">
        <v>429.09999999999997</v>
      </c>
      <c r="BZ54">
        <v>567.5</v>
      </c>
      <c r="CA54">
        <v>342</v>
      </c>
      <c r="CB54">
        <v>440.50000000000006</v>
      </c>
      <c r="CC54">
        <v>63.5</v>
      </c>
      <c r="CD54">
        <v>188.10000000000002</v>
      </c>
      <c r="CE54">
        <v>114.9</v>
      </c>
      <c r="CF54">
        <v>371.93</v>
      </c>
      <c r="CG54">
        <v>225.9</v>
      </c>
      <c r="CH54">
        <v>57.6</v>
      </c>
      <c r="CI54">
        <v>190.2</v>
      </c>
      <c r="CJ54">
        <v>424.53999999999996</v>
      </c>
      <c r="CK54">
        <v>251.8</v>
      </c>
      <c r="CL54">
        <v>427.99999999999989</v>
      </c>
      <c r="CM54">
        <v>531.9</v>
      </c>
      <c r="CN54">
        <v>434.4</v>
      </c>
      <c r="CO54">
        <v>251.9</v>
      </c>
      <c r="CP54">
        <v>420.5</v>
      </c>
      <c r="CQ54">
        <v>344.6</v>
      </c>
      <c r="CR54">
        <v>374.7</v>
      </c>
      <c r="CS54">
        <v>373.8</v>
      </c>
      <c r="CT54">
        <v>543.9</v>
      </c>
      <c r="CU54">
        <v>504.79999999999995</v>
      </c>
      <c r="CV54">
        <v>315.40000000000003</v>
      </c>
      <c r="CW54">
        <v>420.09999999999997</v>
      </c>
      <c r="CX54">
        <v>509.79999999999995</v>
      </c>
      <c r="CY54">
        <v>436.90000000000003</v>
      </c>
      <c r="CZ54">
        <v>502</v>
      </c>
      <c r="DA54">
        <v>253.9</v>
      </c>
      <c r="DB54">
        <v>440.59999999999997</v>
      </c>
      <c r="DC54">
        <v>245.60000000000002</v>
      </c>
      <c r="DD54">
        <v>307.7</v>
      </c>
      <c r="DE54">
        <v>306.09999999999997</v>
      </c>
      <c r="DF54">
        <v>129.30000000000001</v>
      </c>
      <c r="DG54">
        <v>380.7</v>
      </c>
      <c r="DH54">
        <v>435.40000000000003</v>
      </c>
      <c r="DI54">
        <v>369.1</v>
      </c>
      <c r="DJ54">
        <v>372.99999999999994</v>
      </c>
      <c r="DK54">
        <v>380.00000000000006</v>
      </c>
      <c r="DL54">
        <v>446.99999999999994</v>
      </c>
      <c r="DM54">
        <v>427.70000000000005</v>
      </c>
      <c r="DN54">
        <v>0</v>
      </c>
      <c r="DO54">
        <v>116.4</v>
      </c>
      <c r="DP54">
        <v>177.9</v>
      </c>
      <c r="DQ54">
        <v>244.70000000000002</v>
      </c>
      <c r="DR54">
        <v>318.5</v>
      </c>
      <c r="DS54">
        <v>568.30000000000007</v>
      </c>
      <c r="DT54">
        <v>434.69999999999993</v>
      </c>
      <c r="DU54">
        <v>367.59999999999997</v>
      </c>
      <c r="DV54">
        <v>369.9</v>
      </c>
      <c r="DW54">
        <v>235.2</v>
      </c>
      <c r="DX54">
        <v>243.10000000000002</v>
      </c>
      <c r="DY54">
        <v>190.7</v>
      </c>
      <c r="DZ54">
        <v>189.3</v>
      </c>
      <c r="EA54">
        <v>306.39999999999998</v>
      </c>
      <c r="EB54">
        <v>499.09999999999997</v>
      </c>
      <c r="EC54">
        <v>274.10000000000002</v>
      </c>
      <c r="ED54">
        <v>180.2</v>
      </c>
      <c r="EE54">
        <v>177.9</v>
      </c>
      <c r="EF54">
        <v>425.59999999999997</v>
      </c>
      <c r="EG54">
        <v>456.9</v>
      </c>
      <c r="EH54">
        <v>67.2</v>
      </c>
      <c r="EI54">
        <v>55.2</v>
      </c>
      <c r="EJ54">
        <v>243.10000000000002</v>
      </c>
      <c r="EK54">
        <v>122.69999999999999</v>
      </c>
      <c r="EL54">
        <v>129.80000000000001</v>
      </c>
      <c r="EM54">
        <v>819.2</v>
      </c>
      <c r="EN54">
        <v>184.6</v>
      </c>
      <c r="EO54">
        <v>0</v>
      </c>
      <c r="EP54">
        <v>183.34</v>
      </c>
      <c r="EQ54">
        <v>126.4</v>
      </c>
      <c r="ER54">
        <v>322.73</v>
      </c>
      <c r="ES54">
        <v>507.1</v>
      </c>
      <c r="ET54">
        <v>179.5</v>
      </c>
      <c r="EU54">
        <v>71</v>
      </c>
      <c r="EV54">
        <v>176</v>
      </c>
      <c r="EW54">
        <v>176.7</v>
      </c>
      <c r="EX54">
        <v>355.35</v>
      </c>
      <c r="EY54">
        <v>435.79999999999995</v>
      </c>
      <c r="EZ54">
        <v>118.69999999999999</v>
      </c>
      <c r="FA54">
        <v>188.2</v>
      </c>
      <c r="FB54">
        <v>130.19999999999999</v>
      </c>
      <c r="FC54">
        <v>195.6</v>
      </c>
      <c r="FD54">
        <v>236.3</v>
      </c>
      <c r="FE54">
        <v>193</v>
      </c>
      <c r="FF54">
        <v>379.34000000000003</v>
      </c>
      <c r="FG54">
        <v>111.19999999999999</v>
      </c>
      <c r="FH54">
        <v>197.8</v>
      </c>
      <c r="FI54">
        <v>306.7</v>
      </c>
      <c r="FJ54">
        <v>242.2</v>
      </c>
      <c r="FK54">
        <v>303.89999999999998</v>
      </c>
      <c r="FL54">
        <v>308.5</v>
      </c>
      <c r="FM54">
        <v>306.45999999999998</v>
      </c>
      <c r="FN54">
        <v>298.5</v>
      </c>
      <c r="FO54">
        <v>376.3</v>
      </c>
      <c r="FP54">
        <v>285.60000000000002</v>
      </c>
      <c r="FQ54">
        <v>500.4</v>
      </c>
      <c r="FR54">
        <v>229.5</v>
      </c>
      <c r="FS54">
        <v>240.10000000000002</v>
      </c>
      <c r="FT54">
        <v>186.56</v>
      </c>
      <c r="FU54">
        <v>67.2</v>
      </c>
      <c r="FV54">
        <v>182.2</v>
      </c>
      <c r="FW54">
        <v>404.70000000000005</v>
      </c>
      <c r="FX54">
        <v>285.39999999999998</v>
      </c>
      <c r="FY54">
        <v>281.56</v>
      </c>
      <c r="FZ54">
        <v>286.10000000000002</v>
      </c>
      <c r="GA54">
        <v>302</v>
      </c>
      <c r="GB54">
        <v>233.20000000000002</v>
      </c>
      <c r="GC54">
        <v>162.4</v>
      </c>
      <c r="GD54">
        <v>182.3</v>
      </c>
      <c r="GE54">
        <v>300.3</v>
      </c>
      <c r="GF54">
        <v>776.73</v>
      </c>
      <c r="GG54">
        <v>301.36999999999995</v>
      </c>
      <c r="GH54">
        <v>405.4</v>
      </c>
      <c r="GI54">
        <v>175.2</v>
      </c>
      <c r="GJ54">
        <v>360.56999999999994</v>
      </c>
      <c r="GK54">
        <v>294.3</v>
      </c>
      <c r="GL54">
        <v>296.2</v>
      </c>
      <c r="GM54">
        <v>239.8</v>
      </c>
      <c r="GN54">
        <v>567.6</v>
      </c>
      <c r="GO54">
        <v>299.2</v>
      </c>
      <c r="GP54">
        <v>312.39999999999998</v>
      </c>
      <c r="GQ54">
        <v>233.8</v>
      </c>
      <c r="GR54">
        <v>191.40000000000003</v>
      </c>
      <c r="GS54">
        <v>309.65999999999997</v>
      </c>
      <c r="GT54">
        <v>57.3</v>
      </c>
      <c r="GU54">
        <v>54.3</v>
      </c>
      <c r="GV54">
        <v>127.89999999999999</v>
      </c>
      <c r="GW54">
        <v>191.2</v>
      </c>
      <c r="GX54">
        <v>377.85</v>
      </c>
      <c r="GY54">
        <v>315.60000000000002</v>
      </c>
      <c r="GZ54">
        <v>499.79999999999995</v>
      </c>
      <c r="HA54">
        <v>427</v>
      </c>
      <c r="HB54">
        <v>0</v>
      </c>
      <c r="HC54">
        <v>67917.040000000008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1C3A-C061-42B2-AFC1-2E4BED51FCB4}">
  <sheetPr codeName="Sheet9">
    <tabColor theme="1"/>
  </sheetPr>
  <dimension ref="A1:Q63"/>
  <sheetViews>
    <sheetView topLeftCell="A38" zoomScale="55" zoomScaleNormal="55" workbookViewId="0">
      <pane xSplit="6" topLeftCell="G1" activePane="topRight" state="frozen"/>
      <selection activeCell="A26" sqref="A26"/>
      <selection pane="topRight" activeCell="A64" sqref="A64:XFD76"/>
    </sheetView>
  </sheetViews>
  <sheetFormatPr defaultColWidth="12.1796875" defaultRowHeight="15.5" outlineLevelRow="1" x14ac:dyDescent="0.35"/>
  <cols>
    <col min="1" max="1" width="9.7265625" style="11" customWidth="1"/>
    <col min="2" max="2" width="16.7265625" style="70" bestFit="1" customWidth="1"/>
    <col min="3" max="3" width="12.1796875" style="70" bestFit="1" customWidth="1"/>
    <col min="4" max="4" width="9" style="28" customWidth="1"/>
    <col min="5" max="5" width="7.453125" style="12" customWidth="1"/>
    <col min="6" max="6" width="20.26953125" style="13" bestFit="1" customWidth="1"/>
    <col min="7" max="7" width="11.26953125" style="117" customWidth="1"/>
    <col min="8" max="8" width="10.26953125" style="14" customWidth="1"/>
    <col min="9" max="9" width="15.81640625" style="14" customWidth="1"/>
    <col min="10" max="10" width="6.7265625" style="14" customWidth="1"/>
    <col min="11" max="11" width="11.453125" style="14" customWidth="1"/>
    <col min="12" max="12" width="12.54296875" style="14" customWidth="1"/>
    <col min="13" max="13" width="11.26953125" style="14" customWidth="1"/>
    <col min="14" max="14" width="13.453125" style="14" customWidth="1"/>
    <col min="15" max="15" width="14.1796875" style="14" customWidth="1"/>
    <col min="16" max="16" width="14.81640625" style="14" customWidth="1"/>
    <col min="17" max="17" width="12.54296875" style="14" customWidth="1"/>
    <col min="18" max="16384" width="12.1796875" style="23"/>
  </cols>
  <sheetData>
    <row r="1" spans="1:17" s="33" customFormat="1" hidden="1" outlineLevel="1" x14ac:dyDescent="0.35">
      <c r="A1" s="30">
        <f>'MILL E'!G6</f>
        <v>46303</v>
      </c>
      <c r="B1" s="68">
        <f>'MILL E'!G6</f>
        <v>46303</v>
      </c>
      <c r="C1" s="68">
        <f>'MILL E'!J6</f>
        <v>0</v>
      </c>
      <c r="D1" s="32" t="str">
        <f>'MILL E'!E21</f>
        <v>06:00</v>
      </c>
      <c r="E1" s="31" t="s">
        <v>0</v>
      </c>
      <c r="F1" s="7">
        <f>'MILL E'!F21</f>
        <v>0</v>
      </c>
      <c r="G1" s="116">
        <f>'MILL E'!H21</f>
        <v>0</v>
      </c>
      <c r="H1" s="190">
        <f>'MILL E'!I21</f>
        <v>0</v>
      </c>
      <c r="I1" s="190">
        <f>'MILL E'!J21</f>
        <v>0</v>
      </c>
      <c r="J1" s="190">
        <f>'MILL E'!K21</f>
        <v>0</v>
      </c>
      <c r="K1" s="190">
        <f>'MILL E'!L21</f>
        <v>0</v>
      </c>
      <c r="L1" s="190">
        <f>'MILL E'!M21</f>
        <v>0</v>
      </c>
      <c r="M1" s="190">
        <f>'MILL E'!N21</f>
        <v>0</v>
      </c>
      <c r="N1" s="190">
        <f>'MILL E'!O21</f>
        <v>0</v>
      </c>
      <c r="O1" s="190">
        <f>'MILL E'!P21</f>
        <v>0</v>
      </c>
      <c r="P1" s="190">
        <f>'MILL E'!Q21</f>
        <v>0</v>
      </c>
      <c r="Q1" s="190">
        <f>'MILL E'!R21</f>
        <v>0</v>
      </c>
    </row>
    <row r="2" spans="1:17" s="33" customFormat="1" hidden="1" outlineLevel="1" x14ac:dyDescent="0.35">
      <c r="A2" s="30">
        <f t="shared" ref="A2:A24" si="0">$A$1</f>
        <v>46303</v>
      </c>
      <c r="B2" s="68">
        <f t="shared" ref="B2:B24" si="1">$B$1</f>
        <v>46303</v>
      </c>
      <c r="C2" s="68">
        <f>C$1</f>
        <v>0</v>
      </c>
      <c r="D2" s="32" t="str">
        <f>'MILL E'!E22</f>
        <v>07:00</v>
      </c>
      <c r="E2" s="31" t="str">
        <f>E$1</f>
        <v>F1</v>
      </c>
      <c r="F2" s="7">
        <f>'MILL E'!F22</f>
        <v>0</v>
      </c>
      <c r="G2" s="116">
        <f>'MILL E'!H22</f>
        <v>0</v>
      </c>
      <c r="H2" s="190">
        <f>'MILL E'!I22</f>
        <v>0</v>
      </c>
      <c r="I2" s="190">
        <f>'MILL E'!J22</f>
        <v>0</v>
      </c>
      <c r="J2" s="190">
        <f>'MILL E'!K22</f>
        <v>0</v>
      </c>
      <c r="K2" s="190">
        <f>'MILL E'!L22</f>
        <v>0</v>
      </c>
      <c r="L2" s="190">
        <f>'MILL E'!M22</f>
        <v>0</v>
      </c>
      <c r="M2" s="190">
        <f>'MILL E'!N22</f>
        <v>0</v>
      </c>
      <c r="N2" s="190">
        <f>'MILL E'!O22</f>
        <v>0</v>
      </c>
      <c r="O2" s="190">
        <f>'MILL E'!P22</f>
        <v>0</v>
      </c>
      <c r="P2" s="190">
        <f>'MILL E'!Q22</f>
        <v>0</v>
      </c>
      <c r="Q2" s="190">
        <f>'MILL E'!R22</f>
        <v>0</v>
      </c>
    </row>
    <row r="3" spans="1:17" s="33" customFormat="1" hidden="1" outlineLevel="1" x14ac:dyDescent="0.35">
      <c r="A3" s="30">
        <f t="shared" si="0"/>
        <v>46303</v>
      </c>
      <c r="B3" s="68">
        <f t="shared" si="1"/>
        <v>46303</v>
      </c>
      <c r="C3" s="68">
        <f t="shared" ref="C3:C24" si="2">C$1</f>
        <v>0</v>
      </c>
      <c r="D3" s="32" t="str">
        <f>'MILL E'!E23</f>
        <v>08:00</v>
      </c>
      <c r="E3" s="31" t="str">
        <f t="shared" ref="E3:E8" si="3">E$1</f>
        <v>F1</v>
      </c>
      <c r="F3" s="7">
        <f>'MILL E'!F23</f>
        <v>0</v>
      </c>
      <c r="G3" s="116">
        <f>'MILL E'!H23</f>
        <v>0</v>
      </c>
      <c r="H3" s="190">
        <f>'MILL E'!I23</f>
        <v>0</v>
      </c>
      <c r="I3" s="190">
        <f>'MILL E'!J23</f>
        <v>0</v>
      </c>
      <c r="J3" s="190">
        <f>'MILL E'!K23</f>
        <v>0</v>
      </c>
      <c r="K3" s="190">
        <f>'MILL E'!L23</f>
        <v>0</v>
      </c>
      <c r="L3" s="190">
        <f>'MILL E'!M23</f>
        <v>0</v>
      </c>
      <c r="M3" s="190">
        <f>'MILL E'!N23</f>
        <v>0</v>
      </c>
      <c r="N3" s="190">
        <f>'MILL E'!O23</f>
        <v>0</v>
      </c>
      <c r="O3" s="190">
        <f>'MILL E'!P23</f>
        <v>0</v>
      </c>
      <c r="P3" s="190">
        <f>'MILL E'!Q23</f>
        <v>0</v>
      </c>
      <c r="Q3" s="190">
        <f>'MILL E'!R23</f>
        <v>0</v>
      </c>
    </row>
    <row r="4" spans="1:17" s="33" customFormat="1" hidden="1" outlineLevel="1" x14ac:dyDescent="0.35">
      <c r="A4" s="30">
        <f t="shared" si="0"/>
        <v>46303</v>
      </c>
      <c r="B4" s="68">
        <f t="shared" si="1"/>
        <v>46303</v>
      </c>
      <c r="C4" s="68">
        <f t="shared" si="2"/>
        <v>0</v>
      </c>
      <c r="D4" s="32" t="str">
        <f>'MILL E'!E24</f>
        <v>09:00</v>
      </c>
      <c r="E4" s="31" t="str">
        <f t="shared" si="3"/>
        <v>F1</v>
      </c>
      <c r="F4" s="7">
        <f>'MILL E'!F24</f>
        <v>0</v>
      </c>
      <c r="G4" s="116">
        <f>'MILL E'!H24</f>
        <v>0</v>
      </c>
      <c r="H4" s="190">
        <f>'MILL E'!I24</f>
        <v>0</v>
      </c>
      <c r="I4" s="190">
        <f>'MILL E'!J24</f>
        <v>0</v>
      </c>
      <c r="J4" s="190">
        <f>'MILL E'!K24</f>
        <v>0</v>
      </c>
      <c r="K4" s="190">
        <f>'MILL E'!L24</f>
        <v>0</v>
      </c>
      <c r="L4" s="190">
        <f>'MILL E'!M24</f>
        <v>0</v>
      </c>
      <c r="M4" s="190">
        <f>'MILL E'!N24</f>
        <v>0</v>
      </c>
      <c r="N4" s="190">
        <f>'MILL E'!O24</f>
        <v>0</v>
      </c>
      <c r="O4" s="190">
        <f>'MILL E'!P24</f>
        <v>0</v>
      </c>
      <c r="P4" s="190">
        <f>'MILL E'!Q24</f>
        <v>0</v>
      </c>
      <c r="Q4" s="190">
        <f>'MILL E'!R24</f>
        <v>0</v>
      </c>
    </row>
    <row r="5" spans="1:17" s="33" customFormat="1" hidden="1" outlineLevel="1" x14ac:dyDescent="0.35">
      <c r="A5" s="30">
        <f t="shared" si="0"/>
        <v>46303</v>
      </c>
      <c r="B5" s="68">
        <f t="shared" si="1"/>
        <v>46303</v>
      </c>
      <c r="C5" s="68">
        <f t="shared" si="2"/>
        <v>0</v>
      </c>
      <c r="D5" s="32" t="str">
        <f>'MILL E'!E25</f>
        <v>10:00</v>
      </c>
      <c r="E5" s="31" t="str">
        <f t="shared" si="3"/>
        <v>F1</v>
      </c>
      <c r="F5" s="7">
        <f>'MILL E'!F25</f>
        <v>0</v>
      </c>
      <c r="G5" s="116">
        <f>'MILL E'!H25</f>
        <v>0</v>
      </c>
      <c r="H5" s="190">
        <f>'MILL E'!I25</f>
        <v>0</v>
      </c>
      <c r="I5" s="190">
        <f>'MILL E'!J25</f>
        <v>0</v>
      </c>
      <c r="J5" s="190">
        <f>'MILL E'!K25</f>
        <v>0</v>
      </c>
      <c r="K5" s="190">
        <f>'MILL E'!L25</f>
        <v>0</v>
      </c>
      <c r="L5" s="190">
        <f>'MILL E'!M25</f>
        <v>0</v>
      </c>
      <c r="M5" s="190">
        <f>'MILL E'!N25</f>
        <v>0</v>
      </c>
      <c r="N5" s="190">
        <f>'MILL E'!O25</f>
        <v>0</v>
      </c>
      <c r="O5" s="190">
        <f>'MILL E'!P25</f>
        <v>0</v>
      </c>
      <c r="P5" s="190">
        <f>'MILL E'!Q25</f>
        <v>0</v>
      </c>
      <c r="Q5" s="190">
        <f>'MILL E'!R25</f>
        <v>0</v>
      </c>
    </row>
    <row r="6" spans="1:17" s="33" customFormat="1" hidden="1" outlineLevel="1" x14ac:dyDescent="0.35">
      <c r="A6" s="30">
        <f t="shared" si="0"/>
        <v>46303</v>
      </c>
      <c r="B6" s="68">
        <f t="shared" si="1"/>
        <v>46303</v>
      </c>
      <c r="C6" s="68">
        <f t="shared" si="2"/>
        <v>0</v>
      </c>
      <c r="D6" s="32" t="str">
        <f>'MILL E'!E26</f>
        <v>11:00</v>
      </c>
      <c r="E6" s="31" t="str">
        <f t="shared" si="3"/>
        <v>F1</v>
      </c>
      <c r="F6" s="7">
        <f>'MILL E'!F26</f>
        <v>0</v>
      </c>
      <c r="G6" s="116">
        <f>'MILL E'!H26</f>
        <v>0</v>
      </c>
      <c r="H6" s="190">
        <f>'MILL E'!I26</f>
        <v>0</v>
      </c>
      <c r="I6" s="190">
        <f>'MILL E'!J26</f>
        <v>0</v>
      </c>
      <c r="J6" s="190">
        <f>'MILL E'!K26</f>
        <v>0</v>
      </c>
      <c r="K6" s="190">
        <f>'MILL E'!L26</f>
        <v>0</v>
      </c>
      <c r="L6" s="190">
        <f>'MILL E'!M26</f>
        <v>0</v>
      </c>
      <c r="M6" s="190">
        <f>'MILL E'!N26</f>
        <v>0</v>
      </c>
      <c r="N6" s="190">
        <f>'MILL E'!O26</f>
        <v>0</v>
      </c>
      <c r="O6" s="190">
        <f>'MILL E'!P26</f>
        <v>0</v>
      </c>
      <c r="P6" s="190">
        <f>'MILL E'!Q26</f>
        <v>0</v>
      </c>
      <c r="Q6" s="190">
        <f>'MILL E'!R26</f>
        <v>0</v>
      </c>
    </row>
    <row r="7" spans="1:17" s="33" customFormat="1" hidden="1" outlineLevel="1" x14ac:dyDescent="0.35">
      <c r="A7" s="30">
        <f t="shared" si="0"/>
        <v>46303</v>
      </c>
      <c r="B7" s="68">
        <f t="shared" si="1"/>
        <v>46303</v>
      </c>
      <c r="C7" s="68">
        <f t="shared" si="2"/>
        <v>0</v>
      </c>
      <c r="D7" s="32" t="str">
        <f>'MILL E'!E27</f>
        <v>12:00</v>
      </c>
      <c r="E7" s="31" t="str">
        <f t="shared" si="3"/>
        <v>F1</v>
      </c>
      <c r="F7" s="7">
        <f>'MILL E'!F27</f>
        <v>0</v>
      </c>
      <c r="G7" s="116">
        <f>'MILL E'!H27</f>
        <v>0</v>
      </c>
      <c r="H7" s="190">
        <f>'MILL E'!I27</f>
        <v>0</v>
      </c>
      <c r="I7" s="190">
        <f>'MILL E'!J27</f>
        <v>0</v>
      </c>
      <c r="J7" s="190">
        <f>'MILL E'!K27</f>
        <v>0</v>
      </c>
      <c r="K7" s="190">
        <f>'MILL E'!L27</f>
        <v>0</v>
      </c>
      <c r="L7" s="190">
        <f>'MILL E'!M27</f>
        <v>0</v>
      </c>
      <c r="M7" s="190">
        <f>'MILL E'!N27</f>
        <v>0</v>
      </c>
      <c r="N7" s="190">
        <f>'MILL E'!O27</f>
        <v>0</v>
      </c>
      <c r="O7" s="190">
        <f>'MILL E'!P27</f>
        <v>0</v>
      </c>
      <c r="P7" s="190">
        <f>'MILL E'!Q27</f>
        <v>0</v>
      </c>
      <c r="Q7" s="190">
        <f>'MILL E'!R27</f>
        <v>0</v>
      </c>
    </row>
    <row r="8" spans="1:17" s="33" customFormat="1" hidden="1" outlineLevel="1" x14ac:dyDescent="0.35">
      <c r="A8" s="30">
        <f t="shared" si="0"/>
        <v>46303</v>
      </c>
      <c r="B8" s="68">
        <f t="shared" si="1"/>
        <v>46303</v>
      </c>
      <c r="C8" s="68">
        <f t="shared" si="2"/>
        <v>0</v>
      </c>
      <c r="D8" s="32" t="str">
        <f>'MILL E'!E28</f>
        <v>13:00</v>
      </c>
      <c r="E8" s="31" t="str">
        <f t="shared" si="3"/>
        <v>F1</v>
      </c>
      <c r="F8" s="7">
        <f>'MILL E'!F28</f>
        <v>0</v>
      </c>
      <c r="G8" s="116">
        <f>'MILL E'!H28</f>
        <v>0</v>
      </c>
      <c r="H8" s="190">
        <f>'MILL E'!I28</f>
        <v>0</v>
      </c>
      <c r="I8" s="190">
        <f>'MILL E'!J28</f>
        <v>0</v>
      </c>
      <c r="J8" s="190">
        <f>'MILL E'!K28</f>
        <v>0</v>
      </c>
      <c r="K8" s="190">
        <f>'MILL E'!L28</f>
        <v>0</v>
      </c>
      <c r="L8" s="190">
        <f>'MILL E'!M28</f>
        <v>0</v>
      </c>
      <c r="M8" s="190">
        <f>'MILL E'!N28</f>
        <v>0</v>
      </c>
      <c r="N8" s="190">
        <f>'MILL E'!O28</f>
        <v>0</v>
      </c>
      <c r="O8" s="190">
        <f>'MILL E'!P28</f>
        <v>0</v>
      </c>
      <c r="P8" s="190">
        <f>'MILL E'!Q28</f>
        <v>0</v>
      </c>
      <c r="Q8" s="190">
        <f>'MILL E'!R28</f>
        <v>0</v>
      </c>
    </row>
    <row r="9" spans="1:17" s="33" customFormat="1" hidden="1" outlineLevel="1" x14ac:dyDescent="0.35">
      <c r="A9" s="30">
        <f t="shared" si="0"/>
        <v>46303</v>
      </c>
      <c r="B9" s="68">
        <f t="shared" si="1"/>
        <v>46303</v>
      </c>
      <c r="C9" s="68">
        <f t="shared" si="2"/>
        <v>0</v>
      </c>
      <c r="D9" s="32" t="str">
        <f>'MILL E'!E30</f>
        <v>06:00</v>
      </c>
      <c r="E9" s="31" t="s">
        <v>1</v>
      </c>
      <c r="F9" s="7" t="str">
        <f>'MILL E'!F30</f>
        <v/>
      </c>
      <c r="G9" s="116">
        <f>'MILL E'!H30</f>
        <v>0</v>
      </c>
      <c r="H9" s="190">
        <f>'MILL E'!I30</f>
        <v>0</v>
      </c>
      <c r="I9" s="190">
        <f>'MILL E'!J30</f>
        <v>0</v>
      </c>
      <c r="J9" s="190">
        <f>'MILL E'!K30</f>
        <v>0</v>
      </c>
      <c r="K9" s="190">
        <f>'MILL E'!L30</f>
        <v>0</v>
      </c>
      <c r="L9" s="190">
        <f>'MILL E'!M30</f>
        <v>0</v>
      </c>
      <c r="M9" s="190">
        <f>'MILL E'!N30</f>
        <v>0</v>
      </c>
      <c r="N9" s="190" t="s">
        <v>163</v>
      </c>
      <c r="O9" s="190" t="s">
        <v>163</v>
      </c>
      <c r="P9" s="190" t="s">
        <v>163</v>
      </c>
      <c r="Q9" s="190" t="s">
        <v>163</v>
      </c>
    </row>
    <row r="10" spans="1:17" s="33" customFormat="1" hidden="1" outlineLevel="1" x14ac:dyDescent="0.35">
      <c r="A10" s="30">
        <f t="shared" si="0"/>
        <v>46303</v>
      </c>
      <c r="B10" s="68">
        <f t="shared" si="1"/>
        <v>46303</v>
      </c>
      <c r="C10" s="68">
        <f t="shared" si="2"/>
        <v>0</v>
      </c>
      <c r="D10" s="32" t="str">
        <f>'MILL E'!E31</f>
        <v>07:00</v>
      </c>
      <c r="E10" s="31" t="str">
        <f>E$9</f>
        <v>F2</v>
      </c>
      <c r="F10" s="7" t="str">
        <f>'MILL E'!F31</f>
        <v/>
      </c>
      <c r="G10" s="116">
        <f>'MILL E'!H31</f>
        <v>0</v>
      </c>
      <c r="H10" s="190">
        <f>'MILL E'!I31</f>
        <v>0</v>
      </c>
      <c r="I10" s="190">
        <f>'MILL E'!J31</f>
        <v>0</v>
      </c>
      <c r="J10" s="190">
        <f>'MILL E'!K31</f>
        <v>0</v>
      </c>
      <c r="K10" s="190">
        <f>'MILL E'!L31</f>
        <v>0</v>
      </c>
      <c r="L10" s="190">
        <f>'MILL E'!M31</f>
        <v>0</v>
      </c>
      <c r="M10" s="190">
        <f>'MILL E'!N31</f>
        <v>0</v>
      </c>
      <c r="N10" s="190" t="s">
        <v>163</v>
      </c>
      <c r="O10" s="190" t="s">
        <v>163</v>
      </c>
      <c r="P10" s="190" t="s">
        <v>163</v>
      </c>
      <c r="Q10" s="190" t="s">
        <v>163</v>
      </c>
    </row>
    <row r="11" spans="1:17" s="33" customFormat="1" hidden="1" outlineLevel="1" x14ac:dyDescent="0.35">
      <c r="A11" s="30">
        <f t="shared" si="0"/>
        <v>46303</v>
      </c>
      <c r="B11" s="68">
        <f t="shared" si="1"/>
        <v>46303</v>
      </c>
      <c r="C11" s="68">
        <f t="shared" si="2"/>
        <v>0</v>
      </c>
      <c r="D11" s="32" t="str">
        <f>'MILL E'!E32</f>
        <v>08:00</v>
      </c>
      <c r="E11" s="31" t="str">
        <f t="shared" ref="E11:E16" si="4">E$9</f>
        <v>F2</v>
      </c>
      <c r="F11" s="7" t="str">
        <f>'MILL E'!F32</f>
        <v/>
      </c>
      <c r="G11" s="116">
        <f>'MILL E'!H32</f>
        <v>0</v>
      </c>
      <c r="H11" s="190">
        <f>'MILL E'!I32</f>
        <v>0</v>
      </c>
      <c r="I11" s="190">
        <f>'MILL E'!J32</f>
        <v>0</v>
      </c>
      <c r="J11" s="190">
        <f>'MILL E'!K32</f>
        <v>0</v>
      </c>
      <c r="K11" s="190">
        <f>'MILL E'!L32</f>
        <v>0</v>
      </c>
      <c r="L11" s="190">
        <f>'MILL E'!M32</f>
        <v>0</v>
      </c>
      <c r="M11" s="190">
        <f>'MILL E'!N32</f>
        <v>0</v>
      </c>
      <c r="N11" s="190" t="s">
        <v>163</v>
      </c>
      <c r="O11" s="190" t="s">
        <v>163</v>
      </c>
      <c r="P11" s="190" t="s">
        <v>163</v>
      </c>
      <c r="Q11" s="190" t="s">
        <v>163</v>
      </c>
    </row>
    <row r="12" spans="1:17" s="33" customFormat="1" hidden="1" outlineLevel="1" x14ac:dyDescent="0.35">
      <c r="A12" s="30">
        <f t="shared" si="0"/>
        <v>46303</v>
      </c>
      <c r="B12" s="68">
        <f t="shared" si="1"/>
        <v>46303</v>
      </c>
      <c r="C12" s="68">
        <f t="shared" si="2"/>
        <v>0</v>
      </c>
      <c r="D12" s="32" t="str">
        <f>'MILL E'!E33</f>
        <v>09:00</v>
      </c>
      <c r="E12" s="31" t="str">
        <f t="shared" si="4"/>
        <v>F2</v>
      </c>
      <c r="F12" s="7" t="str">
        <f>'MILL E'!F33</f>
        <v/>
      </c>
      <c r="G12" s="116">
        <f>'MILL E'!H33</f>
        <v>0</v>
      </c>
      <c r="H12" s="190">
        <f>'MILL E'!I33</f>
        <v>0</v>
      </c>
      <c r="I12" s="190">
        <f>'MILL E'!J33</f>
        <v>0</v>
      </c>
      <c r="J12" s="190">
        <f>'MILL E'!K33</f>
        <v>0</v>
      </c>
      <c r="K12" s="190">
        <f>'MILL E'!L33</f>
        <v>0</v>
      </c>
      <c r="L12" s="190">
        <f>'MILL E'!M33</f>
        <v>0</v>
      </c>
      <c r="M12" s="190">
        <f>'MILL E'!N33</f>
        <v>0</v>
      </c>
      <c r="N12" s="190" t="s">
        <v>163</v>
      </c>
      <c r="O12" s="190" t="s">
        <v>163</v>
      </c>
      <c r="P12" s="190" t="s">
        <v>163</v>
      </c>
      <c r="Q12" s="190" t="s">
        <v>163</v>
      </c>
    </row>
    <row r="13" spans="1:17" s="33" customFormat="1" hidden="1" outlineLevel="1" x14ac:dyDescent="0.35">
      <c r="A13" s="30">
        <f t="shared" si="0"/>
        <v>46303</v>
      </c>
      <c r="B13" s="68">
        <f t="shared" si="1"/>
        <v>46303</v>
      </c>
      <c r="C13" s="68">
        <f t="shared" si="2"/>
        <v>0</v>
      </c>
      <c r="D13" s="32" t="str">
        <f>'MILL E'!E34</f>
        <v>10:00</v>
      </c>
      <c r="E13" s="31" t="str">
        <f t="shared" si="4"/>
        <v>F2</v>
      </c>
      <c r="F13" s="7" t="str">
        <f>'MILL E'!F34</f>
        <v/>
      </c>
      <c r="G13" s="116">
        <f>'MILL E'!H34</f>
        <v>0</v>
      </c>
      <c r="H13" s="190">
        <f>'MILL E'!I34</f>
        <v>0</v>
      </c>
      <c r="I13" s="190">
        <f>'MILL E'!J34</f>
        <v>0</v>
      </c>
      <c r="J13" s="190">
        <f>'MILL E'!K34</f>
        <v>0</v>
      </c>
      <c r="K13" s="190">
        <f>'MILL E'!L34</f>
        <v>0</v>
      </c>
      <c r="L13" s="190">
        <f>'MILL E'!M34</f>
        <v>0</v>
      </c>
      <c r="M13" s="190">
        <f>'MILL E'!N34</f>
        <v>0</v>
      </c>
      <c r="N13" s="190" t="s">
        <v>163</v>
      </c>
      <c r="O13" s="190" t="s">
        <v>163</v>
      </c>
      <c r="P13" s="190" t="s">
        <v>163</v>
      </c>
      <c r="Q13" s="190" t="s">
        <v>163</v>
      </c>
    </row>
    <row r="14" spans="1:17" s="33" customFormat="1" hidden="1" outlineLevel="1" x14ac:dyDescent="0.35">
      <c r="A14" s="30">
        <f t="shared" si="0"/>
        <v>46303</v>
      </c>
      <c r="B14" s="68">
        <f t="shared" si="1"/>
        <v>46303</v>
      </c>
      <c r="C14" s="68">
        <f t="shared" si="2"/>
        <v>0</v>
      </c>
      <c r="D14" s="32" t="str">
        <f>'MILL E'!E35</f>
        <v>11:00</v>
      </c>
      <c r="E14" s="31" t="str">
        <f t="shared" si="4"/>
        <v>F2</v>
      </c>
      <c r="F14" s="7" t="str">
        <f>'MILL E'!F35</f>
        <v/>
      </c>
      <c r="G14" s="116">
        <f>'MILL E'!H35</f>
        <v>0</v>
      </c>
      <c r="H14" s="190">
        <f>'MILL E'!I35</f>
        <v>0</v>
      </c>
      <c r="I14" s="190">
        <f>'MILL E'!J35</f>
        <v>0</v>
      </c>
      <c r="J14" s="190">
        <f>'MILL E'!K35</f>
        <v>0</v>
      </c>
      <c r="K14" s="190">
        <f>'MILL E'!L35</f>
        <v>0</v>
      </c>
      <c r="L14" s="190">
        <f>'MILL E'!M35</f>
        <v>0</v>
      </c>
      <c r="M14" s="190">
        <f>'MILL E'!N35</f>
        <v>0</v>
      </c>
      <c r="N14" s="190" t="s">
        <v>163</v>
      </c>
      <c r="O14" s="190" t="s">
        <v>163</v>
      </c>
      <c r="P14" s="190" t="s">
        <v>163</v>
      </c>
      <c r="Q14" s="190" t="s">
        <v>163</v>
      </c>
    </row>
    <row r="15" spans="1:17" s="33" customFormat="1" hidden="1" outlineLevel="1" x14ac:dyDescent="0.35">
      <c r="A15" s="30">
        <f t="shared" si="0"/>
        <v>46303</v>
      </c>
      <c r="B15" s="68">
        <f t="shared" si="1"/>
        <v>46303</v>
      </c>
      <c r="C15" s="68">
        <f t="shared" si="2"/>
        <v>0</v>
      </c>
      <c r="D15" s="32" t="str">
        <f>'MILL E'!E36</f>
        <v>12:00</v>
      </c>
      <c r="E15" s="31" t="str">
        <f t="shared" si="4"/>
        <v>F2</v>
      </c>
      <c r="F15" s="7" t="str">
        <f>'MILL E'!F36</f>
        <v/>
      </c>
      <c r="G15" s="116">
        <f>'MILL E'!H36</f>
        <v>0</v>
      </c>
      <c r="H15" s="190">
        <f>'MILL E'!I36</f>
        <v>0</v>
      </c>
      <c r="I15" s="190">
        <f>'MILL E'!J36</f>
        <v>0</v>
      </c>
      <c r="J15" s="190">
        <f>'MILL E'!K36</f>
        <v>0</v>
      </c>
      <c r="K15" s="190">
        <f>'MILL E'!L36</f>
        <v>0</v>
      </c>
      <c r="L15" s="190">
        <f>'MILL E'!M36</f>
        <v>0</v>
      </c>
      <c r="M15" s="190">
        <f>'MILL E'!N36</f>
        <v>0</v>
      </c>
      <c r="N15" s="190" t="s">
        <v>163</v>
      </c>
      <c r="O15" s="190" t="s">
        <v>163</v>
      </c>
      <c r="P15" s="190" t="s">
        <v>163</v>
      </c>
      <c r="Q15" s="190" t="s">
        <v>163</v>
      </c>
    </row>
    <row r="16" spans="1:17" s="33" customFormat="1" hidden="1" outlineLevel="1" x14ac:dyDescent="0.35">
      <c r="A16" s="30">
        <f t="shared" si="0"/>
        <v>46303</v>
      </c>
      <c r="B16" s="68">
        <f t="shared" si="1"/>
        <v>46303</v>
      </c>
      <c r="C16" s="68">
        <f t="shared" si="2"/>
        <v>0</v>
      </c>
      <c r="D16" s="32" t="str">
        <f>'MILL E'!E37</f>
        <v>13:00</v>
      </c>
      <c r="E16" s="31" t="str">
        <f t="shared" si="4"/>
        <v>F2</v>
      </c>
      <c r="F16" s="7" t="str">
        <f>'MILL E'!F37</f>
        <v/>
      </c>
      <c r="G16" s="116">
        <f>'MILL E'!H37</f>
        <v>0</v>
      </c>
      <c r="H16" s="190">
        <f>'MILL E'!I37</f>
        <v>0</v>
      </c>
      <c r="I16" s="190">
        <f>'MILL E'!J37</f>
        <v>0</v>
      </c>
      <c r="J16" s="190">
        <f>'MILL E'!K37</f>
        <v>0</v>
      </c>
      <c r="K16" s="190">
        <f>'MILL E'!L37</f>
        <v>0</v>
      </c>
      <c r="L16" s="190">
        <f>'MILL E'!M37</f>
        <v>0</v>
      </c>
      <c r="M16" s="190">
        <f>'MILL E'!N37</f>
        <v>0</v>
      </c>
      <c r="N16" s="190" t="s">
        <v>163</v>
      </c>
      <c r="O16" s="190" t="s">
        <v>163</v>
      </c>
      <c r="P16" s="190" t="s">
        <v>163</v>
      </c>
      <c r="Q16" s="190" t="s">
        <v>163</v>
      </c>
    </row>
    <row r="17" spans="1:17" s="33" customFormat="1" hidden="1" outlineLevel="1" x14ac:dyDescent="0.35">
      <c r="A17" s="30">
        <f t="shared" si="0"/>
        <v>46303</v>
      </c>
      <c r="B17" s="68">
        <f t="shared" si="1"/>
        <v>46303</v>
      </c>
      <c r="C17" s="68">
        <f t="shared" si="2"/>
        <v>0</v>
      </c>
      <c r="D17" s="32" t="str">
        <f>'MILL E'!E39</f>
        <v>06:00</v>
      </c>
      <c r="E17" s="31" t="s">
        <v>2</v>
      </c>
      <c r="F17" s="7" t="str">
        <f>'MILL E'!F39</f>
        <v/>
      </c>
      <c r="G17" s="116">
        <f>'MILL E'!H39</f>
        <v>0</v>
      </c>
      <c r="H17" s="190">
        <f>'MILL E'!I39</f>
        <v>0</v>
      </c>
      <c r="I17" s="190">
        <f>'MILL E'!J39</f>
        <v>0</v>
      </c>
      <c r="J17" s="190">
        <f>'MILL E'!K39</f>
        <v>0</v>
      </c>
      <c r="K17" s="190">
        <f>'MILL E'!L39</f>
        <v>0</v>
      </c>
      <c r="L17" s="190">
        <f>'MILL E'!M39</f>
        <v>0</v>
      </c>
      <c r="M17" s="190">
        <f>'MILL E'!N39</f>
        <v>0</v>
      </c>
      <c r="N17" s="190">
        <f>'MILL E'!O39</f>
        <v>0</v>
      </c>
      <c r="O17" s="190">
        <f>'MILL E'!P39</f>
        <v>0</v>
      </c>
      <c r="P17" s="190">
        <f>'MILL E'!Q39</f>
        <v>0</v>
      </c>
      <c r="Q17" s="190">
        <f>'MILL E'!R39</f>
        <v>0</v>
      </c>
    </row>
    <row r="18" spans="1:17" s="33" customFormat="1" hidden="1" outlineLevel="1" x14ac:dyDescent="0.35">
      <c r="A18" s="30">
        <f t="shared" si="0"/>
        <v>46303</v>
      </c>
      <c r="B18" s="68">
        <f t="shared" si="1"/>
        <v>46303</v>
      </c>
      <c r="C18" s="68">
        <f t="shared" si="2"/>
        <v>0</v>
      </c>
      <c r="D18" s="32" t="str">
        <f>'MILL E'!E40</f>
        <v>07:00</v>
      </c>
      <c r="E18" s="31" t="str">
        <f>E$17</f>
        <v>F3</v>
      </c>
      <c r="F18" s="7" t="str">
        <f>'MILL E'!F40</f>
        <v/>
      </c>
      <c r="G18" s="116">
        <f>'MILL E'!H40</f>
        <v>0</v>
      </c>
      <c r="H18" s="190">
        <f>'MILL E'!I40</f>
        <v>0</v>
      </c>
      <c r="I18" s="190">
        <f>'MILL E'!J40</f>
        <v>0</v>
      </c>
      <c r="J18" s="190">
        <f>'MILL E'!K40</f>
        <v>0</v>
      </c>
      <c r="K18" s="190">
        <f>'MILL E'!L40</f>
        <v>0</v>
      </c>
      <c r="L18" s="190">
        <f>'MILL E'!M40</f>
        <v>0</v>
      </c>
      <c r="M18" s="190">
        <f>'MILL E'!N40</f>
        <v>0</v>
      </c>
      <c r="N18" s="190">
        <f>'MILL E'!O40</f>
        <v>0</v>
      </c>
      <c r="O18" s="190">
        <f>'MILL E'!P40</f>
        <v>0</v>
      </c>
      <c r="P18" s="190">
        <f>'MILL E'!Q40</f>
        <v>0</v>
      </c>
      <c r="Q18" s="190">
        <f>'MILL E'!R40</f>
        <v>0</v>
      </c>
    </row>
    <row r="19" spans="1:17" s="33" customFormat="1" hidden="1" outlineLevel="1" x14ac:dyDescent="0.35">
      <c r="A19" s="30">
        <f t="shared" si="0"/>
        <v>46303</v>
      </c>
      <c r="B19" s="68">
        <f t="shared" si="1"/>
        <v>46303</v>
      </c>
      <c r="C19" s="68">
        <f t="shared" si="2"/>
        <v>0</v>
      </c>
      <c r="D19" s="32" t="str">
        <f>'MILL E'!E41</f>
        <v>08:00</v>
      </c>
      <c r="E19" s="31" t="str">
        <f t="shared" ref="E19:E24" si="5">E$17</f>
        <v>F3</v>
      </c>
      <c r="F19" s="7" t="str">
        <f>'MILL E'!F41</f>
        <v/>
      </c>
      <c r="G19" s="116">
        <f>'MILL E'!H41</f>
        <v>0</v>
      </c>
      <c r="H19" s="190">
        <f>'MILL E'!I41</f>
        <v>0</v>
      </c>
      <c r="I19" s="190">
        <f>'MILL E'!J41</f>
        <v>0</v>
      </c>
      <c r="J19" s="190">
        <f>'MILL E'!K41</f>
        <v>0</v>
      </c>
      <c r="K19" s="190">
        <f>'MILL E'!L41</f>
        <v>0</v>
      </c>
      <c r="L19" s="190">
        <f>'MILL E'!M41</f>
        <v>0</v>
      </c>
      <c r="M19" s="190">
        <f>'MILL E'!N41</f>
        <v>0</v>
      </c>
      <c r="N19" s="190">
        <f>'MILL E'!O41</f>
        <v>0</v>
      </c>
      <c r="O19" s="190">
        <f>'MILL E'!P41</f>
        <v>0</v>
      </c>
      <c r="P19" s="190">
        <f>'MILL E'!Q41</f>
        <v>0</v>
      </c>
      <c r="Q19" s="190">
        <f>'MILL E'!R41</f>
        <v>0</v>
      </c>
    </row>
    <row r="20" spans="1:17" s="33" customFormat="1" hidden="1" outlineLevel="1" x14ac:dyDescent="0.35">
      <c r="A20" s="30">
        <f t="shared" si="0"/>
        <v>46303</v>
      </c>
      <c r="B20" s="68">
        <f t="shared" si="1"/>
        <v>46303</v>
      </c>
      <c r="C20" s="68">
        <f t="shared" si="2"/>
        <v>0</v>
      </c>
      <c r="D20" s="32" t="str">
        <f>'MILL E'!E42</f>
        <v>09:00</v>
      </c>
      <c r="E20" s="31" t="str">
        <f t="shared" si="5"/>
        <v>F3</v>
      </c>
      <c r="F20" s="7" t="str">
        <f>'MILL E'!F42</f>
        <v/>
      </c>
      <c r="G20" s="116">
        <f>'MILL E'!H42</f>
        <v>0</v>
      </c>
      <c r="H20" s="190">
        <f>'MILL E'!I42</f>
        <v>0</v>
      </c>
      <c r="I20" s="190">
        <f>'MILL E'!J42</f>
        <v>0</v>
      </c>
      <c r="J20" s="190">
        <f>'MILL E'!K42</f>
        <v>0</v>
      </c>
      <c r="K20" s="190">
        <f>'MILL E'!L42</f>
        <v>0</v>
      </c>
      <c r="L20" s="190">
        <f>'MILL E'!M42</f>
        <v>0</v>
      </c>
      <c r="M20" s="190">
        <f>'MILL E'!N42</f>
        <v>0</v>
      </c>
      <c r="N20" s="190">
        <f>'MILL E'!O42</f>
        <v>0</v>
      </c>
      <c r="O20" s="190">
        <f>'MILL E'!P42</f>
        <v>0</v>
      </c>
      <c r="P20" s="190">
        <f>'MILL E'!Q42</f>
        <v>0</v>
      </c>
      <c r="Q20" s="190">
        <f>'MILL E'!R42</f>
        <v>0</v>
      </c>
    </row>
    <row r="21" spans="1:17" s="33" customFormat="1" hidden="1" outlineLevel="1" x14ac:dyDescent="0.35">
      <c r="A21" s="30">
        <f t="shared" si="0"/>
        <v>46303</v>
      </c>
      <c r="B21" s="68">
        <f t="shared" si="1"/>
        <v>46303</v>
      </c>
      <c r="C21" s="68">
        <f t="shared" si="2"/>
        <v>0</v>
      </c>
      <c r="D21" s="32" t="str">
        <f>'MILL E'!E43</f>
        <v>10:00</v>
      </c>
      <c r="E21" s="31" t="str">
        <f t="shared" si="5"/>
        <v>F3</v>
      </c>
      <c r="F21" s="7" t="str">
        <f>'MILL E'!F43</f>
        <v/>
      </c>
      <c r="G21" s="116">
        <f>'MILL E'!H43</f>
        <v>0</v>
      </c>
      <c r="H21" s="190">
        <f>'MILL E'!I43</f>
        <v>0</v>
      </c>
      <c r="I21" s="190">
        <f>'MILL E'!J43</f>
        <v>0</v>
      </c>
      <c r="J21" s="190">
        <f>'MILL E'!K43</f>
        <v>0</v>
      </c>
      <c r="K21" s="190">
        <f>'MILL E'!L43</f>
        <v>0</v>
      </c>
      <c r="L21" s="190">
        <f>'MILL E'!M43</f>
        <v>0</v>
      </c>
      <c r="M21" s="190">
        <f>'MILL E'!N43</f>
        <v>0</v>
      </c>
      <c r="N21" s="190">
        <f>'MILL E'!O43</f>
        <v>0</v>
      </c>
      <c r="O21" s="190">
        <f>'MILL E'!P43</f>
        <v>0</v>
      </c>
      <c r="P21" s="190">
        <f>'MILL E'!Q43</f>
        <v>0</v>
      </c>
      <c r="Q21" s="190">
        <f>'MILL E'!R43</f>
        <v>0</v>
      </c>
    </row>
    <row r="22" spans="1:17" s="33" customFormat="1" hidden="1" outlineLevel="1" x14ac:dyDescent="0.35">
      <c r="A22" s="30">
        <f t="shared" si="0"/>
        <v>46303</v>
      </c>
      <c r="B22" s="68">
        <f t="shared" si="1"/>
        <v>46303</v>
      </c>
      <c r="C22" s="68">
        <f t="shared" si="2"/>
        <v>0</v>
      </c>
      <c r="D22" s="32" t="str">
        <f>'MILL E'!E44</f>
        <v>11:00</v>
      </c>
      <c r="E22" s="31" t="str">
        <f t="shared" si="5"/>
        <v>F3</v>
      </c>
      <c r="F22" s="7" t="str">
        <f>'MILL E'!F44</f>
        <v/>
      </c>
      <c r="G22" s="116">
        <f>'MILL E'!H44</f>
        <v>0</v>
      </c>
      <c r="H22" s="190">
        <f>'MILL E'!I44</f>
        <v>0</v>
      </c>
      <c r="I22" s="190">
        <f>'MILL E'!J44</f>
        <v>0</v>
      </c>
      <c r="J22" s="190">
        <f>'MILL E'!K44</f>
        <v>0</v>
      </c>
      <c r="K22" s="190">
        <f>'MILL E'!L44</f>
        <v>0</v>
      </c>
      <c r="L22" s="190">
        <f>'MILL E'!M44</f>
        <v>0</v>
      </c>
      <c r="M22" s="190">
        <f>'MILL E'!N44</f>
        <v>0</v>
      </c>
      <c r="N22" s="190">
        <f>'MILL E'!O44</f>
        <v>0</v>
      </c>
      <c r="O22" s="190">
        <f>'MILL E'!P44</f>
        <v>0</v>
      </c>
      <c r="P22" s="190">
        <f>'MILL E'!Q44</f>
        <v>0</v>
      </c>
      <c r="Q22" s="190">
        <f>'MILL E'!R44</f>
        <v>0</v>
      </c>
    </row>
    <row r="23" spans="1:17" s="33" customFormat="1" hidden="1" outlineLevel="1" x14ac:dyDescent="0.35">
      <c r="A23" s="30">
        <f t="shared" si="0"/>
        <v>46303</v>
      </c>
      <c r="B23" s="68">
        <f t="shared" si="1"/>
        <v>46303</v>
      </c>
      <c r="C23" s="68">
        <f t="shared" si="2"/>
        <v>0</v>
      </c>
      <c r="D23" s="32" t="str">
        <f>'MILL E'!E45</f>
        <v>12:00</v>
      </c>
      <c r="E23" s="31" t="str">
        <f t="shared" si="5"/>
        <v>F3</v>
      </c>
      <c r="F23" s="7" t="str">
        <f>'MILL E'!F45</f>
        <v/>
      </c>
      <c r="G23" s="116">
        <f>'MILL E'!H45</f>
        <v>0</v>
      </c>
      <c r="H23" s="190">
        <f>'MILL E'!I45</f>
        <v>0</v>
      </c>
      <c r="I23" s="190">
        <f>'MILL E'!J45</f>
        <v>0</v>
      </c>
      <c r="J23" s="190">
        <f>'MILL E'!K45</f>
        <v>0</v>
      </c>
      <c r="K23" s="190">
        <f>'MILL E'!L45</f>
        <v>0</v>
      </c>
      <c r="L23" s="190">
        <f>'MILL E'!M45</f>
        <v>0</v>
      </c>
      <c r="M23" s="190">
        <f>'MILL E'!N45</f>
        <v>0</v>
      </c>
      <c r="N23" s="190">
        <f>'MILL E'!O45</f>
        <v>0</v>
      </c>
      <c r="O23" s="190">
        <f>'MILL E'!P45</f>
        <v>0</v>
      </c>
      <c r="P23" s="190">
        <f>'MILL E'!Q45</f>
        <v>0</v>
      </c>
      <c r="Q23" s="190">
        <f>'MILL E'!R45</f>
        <v>0</v>
      </c>
    </row>
    <row r="24" spans="1:17" s="33" customFormat="1" hidden="1" outlineLevel="1" x14ac:dyDescent="0.35">
      <c r="A24" s="30">
        <f t="shared" si="0"/>
        <v>46303</v>
      </c>
      <c r="B24" s="68">
        <f t="shared" si="1"/>
        <v>46303</v>
      </c>
      <c r="C24" s="68">
        <f t="shared" si="2"/>
        <v>0</v>
      </c>
      <c r="D24" s="32" t="str">
        <f>'MILL E'!E46</f>
        <v>13:00</v>
      </c>
      <c r="E24" s="31" t="str">
        <f t="shared" si="5"/>
        <v>F3</v>
      </c>
      <c r="F24" s="7" t="str">
        <f>'MILL E'!F46</f>
        <v/>
      </c>
      <c r="G24" s="116">
        <f>'MILL E'!H46</f>
        <v>0</v>
      </c>
      <c r="H24" s="190">
        <f>'MILL E'!I46</f>
        <v>0</v>
      </c>
      <c r="I24" s="190">
        <f>'MILL E'!J46</f>
        <v>0</v>
      </c>
      <c r="J24" s="190">
        <f>'MILL E'!K46</f>
        <v>0</v>
      </c>
      <c r="K24" s="190">
        <f>'MILL E'!L46</f>
        <v>0</v>
      </c>
      <c r="L24" s="190">
        <f>'MILL E'!M46</f>
        <v>0</v>
      </c>
      <c r="M24" s="190">
        <f>'MILL E'!N46</f>
        <v>0</v>
      </c>
      <c r="N24" s="190">
        <f>'MILL E'!O46</f>
        <v>0</v>
      </c>
      <c r="O24" s="190">
        <f>'MILL E'!P46</f>
        <v>0</v>
      </c>
      <c r="P24" s="190">
        <f>'MILL E'!Q46</f>
        <v>0</v>
      </c>
      <c r="Q24" s="190">
        <f>'MILL E'!R46</f>
        <v>0</v>
      </c>
    </row>
    <row r="25" spans="1:17" s="24" customFormat="1" ht="31" collapsed="1" x14ac:dyDescent="0.35">
      <c r="A25" s="16" t="s">
        <v>219</v>
      </c>
      <c r="B25" s="69" t="s">
        <v>220</v>
      </c>
      <c r="C25" s="69" t="s">
        <v>122</v>
      </c>
      <c r="D25" s="29" t="s">
        <v>221</v>
      </c>
      <c r="E25" s="17" t="s">
        <v>222</v>
      </c>
      <c r="F25" s="4" t="s">
        <v>223</v>
      </c>
      <c r="G25" s="124" t="s">
        <v>210</v>
      </c>
      <c r="H25" s="122" t="s">
        <v>224</v>
      </c>
      <c r="I25" s="122" t="s">
        <v>212</v>
      </c>
      <c r="J25" s="5" t="s">
        <v>214</v>
      </c>
      <c r="K25" s="5" t="s">
        <v>209</v>
      </c>
      <c r="L25" s="5" t="s">
        <v>211</v>
      </c>
      <c r="M25" s="5" t="s">
        <v>217</v>
      </c>
      <c r="N25" s="5" t="s">
        <v>216</v>
      </c>
      <c r="O25" s="5" t="s">
        <v>215</v>
      </c>
      <c r="P25" s="122" t="s">
        <v>213</v>
      </c>
      <c r="Q25" s="122" t="s">
        <v>218</v>
      </c>
    </row>
    <row r="26" spans="1:17" x14ac:dyDescent="0.35">
      <c r="A26" s="11">
        <v>46024</v>
      </c>
      <c r="B26" s="70">
        <v>46024</v>
      </c>
      <c r="C26" s="70" t="s">
        <v>125</v>
      </c>
      <c r="D26" s="28" t="s">
        <v>237</v>
      </c>
      <c r="E26" s="12" t="s">
        <v>0</v>
      </c>
      <c r="F26" s="13" t="s">
        <v>27</v>
      </c>
      <c r="G26" s="117">
        <v>8.8999999999999999E-3</v>
      </c>
      <c r="H26" s="14" t="s">
        <v>165</v>
      </c>
      <c r="I26" s="14" t="s">
        <v>165</v>
      </c>
      <c r="J26" s="14" t="s">
        <v>165</v>
      </c>
      <c r="K26" s="14">
        <v>12.26</v>
      </c>
      <c r="L26" s="14" t="s">
        <v>338</v>
      </c>
      <c r="M26" s="14" t="s">
        <v>339</v>
      </c>
      <c r="N26" s="14" t="s">
        <v>340</v>
      </c>
      <c r="O26" s="14" t="s">
        <v>163</v>
      </c>
      <c r="P26" s="14" t="s">
        <v>163</v>
      </c>
      <c r="Q26" s="14" t="s">
        <v>341</v>
      </c>
    </row>
    <row r="27" spans="1:17" x14ac:dyDescent="0.35">
      <c r="A27" s="11">
        <v>46024</v>
      </c>
      <c r="B27" s="70">
        <v>46024</v>
      </c>
      <c r="C27" s="70" t="s">
        <v>125</v>
      </c>
      <c r="D27" s="28" t="s">
        <v>238</v>
      </c>
      <c r="E27" s="12" t="s">
        <v>0</v>
      </c>
      <c r="F27" s="13" t="s">
        <v>27</v>
      </c>
      <c r="G27" s="117">
        <v>8.9999999999999993E-3</v>
      </c>
      <c r="H27" s="14" t="s">
        <v>165</v>
      </c>
      <c r="I27" s="14" t="s">
        <v>165</v>
      </c>
      <c r="J27" s="14" t="s">
        <v>165</v>
      </c>
      <c r="K27" s="14">
        <v>13.21</v>
      </c>
      <c r="L27" s="14" t="s">
        <v>163</v>
      </c>
      <c r="M27" s="14" t="s">
        <v>163</v>
      </c>
      <c r="N27" s="14" t="s">
        <v>163</v>
      </c>
      <c r="O27" s="14" t="s">
        <v>163</v>
      </c>
      <c r="P27" s="14" t="s">
        <v>163</v>
      </c>
      <c r="Q27" s="14" t="s">
        <v>163</v>
      </c>
    </row>
    <row r="28" spans="1:17" x14ac:dyDescent="0.35">
      <c r="A28" s="11">
        <v>46025</v>
      </c>
      <c r="B28" s="70">
        <v>46025</v>
      </c>
      <c r="C28" s="70" t="s">
        <v>128</v>
      </c>
      <c r="D28" s="28">
        <v>0.625</v>
      </c>
      <c r="E28" s="12" t="s">
        <v>0</v>
      </c>
      <c r="F28" s="13" t="s">
        <v>27</v>
      </c>
      <c r="G28" s="117">
        <v>8.6999999999999994E-3</v>
      </c>
      <c r="H28" s="14" t="s">
        <v>165</v>
      </c>
      <c r="I28" s="14" t="s">
        <v>165</v>
      </c>
      <c r="J28" s="14" t="s">
        <v>165</v>
      </c>
      <c r="K28" s="14">
        <v>13.6</v>
      </c>
      <c r="L28" s="14" t="s">
        <v>163</v>
      </c>
      <c r="M28" s="14" t="s">
        <v>163</v>
      </c>
      <c r="N28" s="14" t="s">
        <v>163</v>
      </c>
      <c r="O28" s="14" t="s">
        <v>163</v>
      </c>
      <c r="P28" s="14" t="s">
        <v>163</v>
      </c>
      <c r="Q28" s="14" t="s">
        <v>163</v>
      </c>
    </row>
    <row r="29" spans="1:17" x14ac:dyDescent="0.35">
      <c r="A29" s="11">
        <v>46025</v>
      </c>
      <c r="B29" s="70">
        <v>46025</v>
      </c>
      <c r="C29" s="70" t="s">
        <v>128</v>
      </c>
      <c r="D29" s="28">
        <v>0.70833333333333304</v>
      </c>
      <c r="E29" s="12" t="s">
        <v>0</v>
      </c>
      <c r="F29" s="13" t="s">
        <v>38</v>
      </c>
      <c r="G29" s="117">
        <v>9.1999999999999998E-3</v>
      </c>
      <c r="H29" s="14" t="s">
        <v>165</v>
      </c>
      <c r="I29" s="14" t="s">
        <v>165</v>
      </c>
      <c r="J29" s="14" t="s">
        <v>165</v>
      </c>
      <c r="K29" s="14">
        <v>11.97</v>
      </c>
      <c r="L29" s="14" t="s">
        <v>163</v>
      </c>
      <c r="M29" s="14" t="s">
        <v>163</v>
      </c>
      <c r="N29" s="14" t="s">
        <v>163</v>
      </c>
      <c r="O29" s="14" t="s">
        <v>163</v>
      </c>
      <c r="P29" s="14" t="s">
        <v>163</v>
      </c>
      <c r="Q29" s="14" t="s">
        <v>163</v>
      </c>
    </row>
    <row r="30" spans="1:17" x14ac:dyDescent="0.35">
      <c r="A30" s="11">
        <v>46025</v>
      </c>
      <c r="B30" s="70">
        <v>46025</v>
      </c>
      <c r="C30" s="70" t="s">
        <v>128</v>
      </c>
      <c r="D30" s="28">
        <v>0.79166666666666596</v>
      </c>
      <c r="E30" s="12" t="s">
        <v>0</v>
      </c>
      <c r="F30" s="13" t="s">
        <v>38</v>
      </c>
      <c r="G30" s="117">
        <v>1.04E-2</v>
      </c>
      <c r="H30" s="14" t="s">
        <v>165</v>
      </c>
      <c r="I30" s="14" t="s">
        <v>165</v>
      </c>
      <c r="J30" s="14" t="s">
        <v>165</v>
      </c>
      <c r="K30" s="14">
        <v>14.08</v>
      </c>
      <c r="L30" s="14" t="s">
        <v>163</v>
      </c>
      <c r="M30" s="14" t="s">
        <v>163</v>
      </c>
      <c r="N30" s="14" t="s">
        <v>163</v>
      </c>
      <c r="O30" s="14" t="s">
        <v>163</v>
      </c>
      <c r="P30" s="14" t="s">
        <v>163</v>
      </c>
      <c r="Q30" s="14" t="s">
        <v>163</v>
      </c>
    </row>
    <row r="31" spans="1:17" x14ac:dyDescent="0.35">
      <c r="A31" s="11">
        <v>46025</v>
      </c>
      <c r="B31" s="70">
        <v>46025</v>
      </c>
      <c r="C31" s="70" t="s">
        <v>128</v>
      </c>
      <c r="D31" s="28">
        <v>0.874999999999999</v>
      </c>
      <c r="E31" s="12" t="s">
        <v>0</v>
      </c>
      <c r="F31" s="13" t="s">
        <v>38</v>
      </c>
      <c r="G31" s="117">
        <v>1.4800000000000001E-2</v>
      </c>
      <c r="H31" s="14" t="s">
        <v>165</v>
      </c>
      <c r="I31" s="14" t="s">
        <v>165</v>
      </c>
      <c r="J31" s="14" t="s">
        <v>165</v>
      </c>
      <c r="K31" s="14">
        <v>13.33</v>
      </c>
      <c r="L31" s="14" t="s">
        <v>163</v>
      </c>
      <c r="M31" s="14" t="s">
        <v>163</v>
      </c>
      <c r="N31" s="14" t="s">
        <v>163</v>
      </c>
      <c r="O31" s="14" t="s">
        <v>163</v>
      </c>
      <c r="P31" s="14" t="s">
        <v>163</v>
      </c>
      <c r="Q31" s="14" t="s">
        <v>163</v>
      </c>
    </row>
    <row r="32" spans="1:17" x14ac:dyDescent="0.35">
      <c r="A32" s="11">
        <v>46025</v>
      </c>
      <c r="B32" s="70">
        <v>46025</v>
      </c>
      <c r="C32" s="70" t="s">
        <v>130</v>
      </c>
      <c r="D32" s="28">
        <v>0.95833333333333337</v>
      </c>
      <c r="E32" s="12" t="s">
        <v>0</v>
      </c>
      <c r="F32" s="13" t="s">
        <v>38</v>
      </c>
      <c r="G32" s="117">
        <v>1.37E-2</v>
      </c>
      <c r="H32" s="14" t="s">
        <v>165</v>
      </c>
      <c r="I32" s="14" t="s">
        <v>165</v>
      </c>
      <c r="J32" s="14" t="s">
        <v>165</v>
      </c>
      <c r="K32" s="14">
        <v>14.2</v>
      </c>
      <c r="L32" s="14" t="s">
        <v>342</v>
      </c>
      <c r="M32" s="14" t="s">
        <v>343</v>
      </c>
      <c r="N32" s="14" t="s">
        <v>163</v>
      </c>
      <c r="O32" s="14" t="s">
        <v>163</v>
      </c>
      <c r="P32" s="14" t="s">
        <v>163</v>
      </c>
      <c r="Q32" s="14" t="s">
        <v>344</v>
      </c>
    </row>
    <row r="33" spans="1:17" x14ac:dyDescent="0.35">
      <c r="A33" s="11">
        <v>46025</v>
      </c>
      <c r="B33" s="70">
        <v>46025</v>
      </c>
      <c r="C33" s="70" t="s">
        <v>130</v>
      </c>
      <c r="D33" s="28">
        <v>1.125</v>
      </c>
      <c r="E33" s="12" t="s">
        <v>0</v>
      </c>
      <c r="F33" s="13" t="s">
        <v>38</v>
      </c>
      <c r="G33" s="117">
        <v>1.4200000000000001E-2</v>
      </c>
      <c r="H33" s="14" t="s">
        <v>165</v>
      </c>
      <c r="I33" s="14" t="s">
        <v>165</v>
      </c>
      <c r="J33" s="14" t="s">
        <v>165</v>
      </c>
      <c r="K33" s="14">
        <v>14.19</v>
      </c>
      <c r="L33" s="14" t="s">
        <v>163</v>
      </c>
      <c r="M33" s="14" t="s">
        <v>163</v>
      </c>
      <c r="N33" s="14" t="s">
        <v>163</v>
      </c>
      <c r="O33" s="14" t="s">
        <v>163</v>
      </c>
      <c r="P33" s="14" t="s">
        <v>163</v>
      </c>
      <c r="Q33" s="14" t="s">
        <v>163</v>
      </c>
    </row>
    <row r="34" spans="1:17" x14ac:dyDescent="0.35">
      <c r="A34" s="11">
        <v>46025</v>
      </c>
      <c r="B34" s="70">
        <v>46025</v>
      </c>
      <c r="C34" s="70" t="s">
        <v>130</v>
      </c>
      <c r="D34" s="28">
        <v>1.2083333333333299</v>
      </c>
      <c r="E34" s="12" t="s">
        <v>0</v>
      </c>
      <c r="F34" s="13" t="s">
        <v>38</v>
      </c>
      <c r="G34" s="117">
        <v>1.0200000000000001E-2</v>
      </c>
      <c r="H34" s="14" t="s">
        <v>165</v>
      </c>
      <c r="I34" s="14" t="s">
        <v>165</v>
      </c>
      <c r="J34" s="14" t="s">
        <v>165</v>
      </c>
      <c r="K34" s="14">
        <v>14.38</v>
      </c>
      <c r="L34" s="14" t="s">
        <v>163</v>
      </c>
      <c r="M34" s="14" t="s">
        <v>163</v>
      </c>
      <c r="N34" s="14" t="s">
        <v>163</v>
      </c>
      <c r="O34" s="14" t="s">
        <v>163</v>
      </c>
      <c r="P34" s="14" t="s">
        <v>163</v>
      </c>
      <c r="Q34" s="14" t="s">
        <v>163</v>
      </c>
    </row>
    <row r="35" spans="1:17" x14ac:dyDescent="0.35">
      <c r="A35" s="11">
        <v>46026</v>
      </c>
      <c r="B35" s="70">
        <v>46026</v>
      </c>
      <c r="C35" s="70" t="s">
        <v>128</v>
      </c>
      <c r="D35" s="28">
        <v>0.66666666666666696</v>
      </c>
      <c r="E35" s="12" t="s">
        <v>0</v>
      </c>
      <c r="F35" s="13" t="s">
        <v>38</v>
      </c>
      <c r="G35" s="117">
        <v>1.3100000000000001E-2</v>
      </c>
      <c r="H35" s="14" t="s">
        <v>165</v>
      </c>
      <c r="I35" s="14" t="s">
        <v>165</v>
      </c>
      <c r="J35" s="14" t="s">
        <v>165</v>
      </c>
      <c r="K35" s="14">
        <v>13.38</v>
      </c>
      <c r="L35" s="14" t="s">
        <v>345</v>
      </c>
      <c r="M35" s="14" t="s">
        <v>346</v>
      </c>
      <c r="N35" s="14" t="s">
        <v>347</v>
      </c>
      <c r="O35" s="14" t="s">
        <v>163</v>
      </c>
      <c r="P35" s="14" t="s">
        <v>163</v>
      </c>
      <c r="Q35" s="14" t="s">
        <v>348</v>
      </c>
    </row>
    <row r="36" spans="1:17" x14ac:dyDescent="0.35">
      <c r="A36" s="11">
        <v>46026</v>
      </c>
      <c r="B36" s="70">
        <v>46026</v>
      </c>
      <c r="C36" s="70" t="s">
        <v>128</v>
      </c>
      <c r="D36" s="28">
        <v>0.79166666666666596</v>
      </c>
      <c r="E36" s="12" t="s">
        <v>0</v>
      </c>
      <c r="F36" s="13" t="s">
        <v>38</v>
      </c>
      <c r="G36" s="117">
        <v>1.23E-2</v>
      </c>
      <c r="H36" s="14" t="s">
        <v>165</v>
      </c>
      <c r="I36" s="14" t="s">
        <v>165</v>
      </c>
      <c r="J36" s="14" t="s">
        <v>165</v>
      </c>
      <c r="K36" s="14">
        <v>13.8</v>
      </c>
      <c r="L36" s="14" t="s">
        <v>163</v>
      </c>
      <c r="M36" s="14" t="s">
        <v>163</v>
      </c>
      <c r="N36" s="14" t="s">
        <v>163</v>
      </c>
      <c r="O36" s="14" t="s">
        <v>163</v>
      </c>
      <c r="P36" s="14" t="s">
        <v>163</v>
      </c>
      <c r="Q36" s="14" t="s">
        <v>163</v>
      </c>
    </row>
    <row r="37" spans="1:17" x14ac:dyDescent="0.35">
      <c r="A37" s="11">
        <v>46026</v>
      </c>
      <c r="B37" s="70">
        <v>46026</v>
      </c>
      <c r="C37" s="70" t="s">
        <v>130</v>
      </c>
      <c r="D37" s="28">
        <v>0.95833333333333337</v>
      </c>
      <c r="E37" s="12" t="s">
        <v>0</v>
      </c>
      <c r="F37" s="13" t="s">
        <v>40</v>
      </c>
      <c r="G37" s="117">
        <v>1.84E-2</v>
      </c>
      <c r="H37" s="14" t="s">
        <v>165</v>
      </c>
      <c r="I37" s="14" t="s">
        <v>165</v>
      </c>
      <c r="J37" s="14" t="s">
        <v>165</v>
      </c>
      <c r="K37" s="14">
        <v>14.03</v>
      </c>
      <c r="L37" s="14" t="s">
        <v>349</v>
      </c>
      <c r="M37" s="14" t="s">
        <v>350</v>
      </c>
      <c r="N37" s="14" t="s">
        <v>163</v>
      </c>
      <c r="O37" s="14" t="s">
        <v>163</v>
      </c>
      <c r="P37" s="14" t="s">
        <v>163</v>
      </c>
      <c r="Q37" s="14" t="s">
        <v>344</v>
      </c>
    </row>
    <row r="38" spans="1:17" x14ac:dyDescent="0.35">
      <c r="A38" s="11">
        <v>46026</v>
      </c>
      <c r="B38" s="70">
        <v>46026</v>
      </c>
      <c r="C38" s="70" t="s">
        <v>130</v>
      </c>
      <c r="D38" s="28">
        <v>1.0416666666666701</v>
      </c>
      <c r="E38" s="12" t="s">
        <v>0</v>
      </c>
      <c r="F38" s="13" t="s">
        <v>40</v>
      </c>
      <c r="G38" s="117">
        <v>1.2E-2</v>
      </c>
      <c r="H38" s="14" t="s">
        <v>165</v>
      </c>
      <c r="I38" s="14" t="s">
        <v>165</v>
      </c>
      <c r="J38" s="14" t="s">
        <v>165</v>
      </c>
      <c r="K38" s="14">
        <v>14.64</v>
      </c>
      <c r="L38" s="14" t="s">
        <v>163</v>
      </c>
      <c r="M38" s="14" t="s">
        <v>163</v>
      </c>
      <c r="N38" s="14" t="s">
        <v>163</v>
      </c>
      <c r="O38" s="14" t="s">
        <v>163</v>
      </c>
      <c r="P38" s="14" t="s">
        <v>163</v>
      </c>
      <c r="Q38" s="14" t="s">
        <v>163</v>
      </c>
    </row>
    <row r="39" spans="1:17" x14ac:dyDescent="0.35">
      <c r="A39" s="11">
        <v>46026</v>
      </c>
      <c r="B39" s="70">
        <v>46026</v>
      </c>
      <c r="C39" s="70" t="s">
        <v>130</v>
      </c>
      <c r="D39" s="28">
        <v>1.125</v>
      </c>
      <c r="E39" s="12" t="s">
        <v>0</v>
      </c>
      <c r="F39" s="13" t="s">
        <v>40</v>
      </c>
      <c r="G39" s="117">
        <v>1.37E-2</v>
      </c>
      <c r="H39" s="14" t="s">
        <v>165</v>
      </c>
      <c r="I39" s="14" t="s">
        <v>165</v>
      </c>
      <c r="J39" s="14" t="s">
        <v>165</v>
      </c>
      <c r="K39" s="14">
        <v>14.04</v>
      </c>
      <c r="L39" s="14" t="s">
        <v>163</v>
      </c>
      <c r="M39" s="14" t="s">
        <v>163</v>
      </c>
      <c r="N39" s="14" t="s">
        <v>163</v>
      </c>
      <c r="O39" s="14" t="s">
        <v>163</v>
      </c>
      <c r="P39" s="14" t="s">
        <v>163</v>
      </c>
      <c r="Q39" s="14" t="s">
        <v>163</v>
      </c>
    </row>
    <row r="40" spans="1:17" x14ac:dyDescent="0.35">
      <c r="A40" s="11">
        <v>46026</v>
      </c>
      <c r="B40" s="70">
        <v>46026</v>
      </c>
      <c r="C40" s="70" t="s">
        <v>130</v>
      </c>
      <c r="D40" s="28">
        <v>1.2083333333333299</v>
      </c>
      <c r="E40" s="12" t="s">
        <v>0</v>
      </c>
      <c r="F40" s="13" t="s">
        <v>40</v>
      </c>
      <c r="G40" s="117">
        <v>1.7100000000000001E-2</v>
      </c>
      <c r="H40" s="14" t="s">
        <v>165</v>
      </c>
      <c r="I40" s="14" t="s">
        <v>165</v>
      </c>
      <c r="J40" s="14" t="s">
        <v>165</v>
      </c>
      <c r="K40" s="14">
        <v>14.14</v>
      </c>
      <c r="L40" s="14" t="s">
        <v>163</v>
      </c>
      <c r="M40" s="14" t="s">
        <v>163</v>
      </c>
      <c r="N40" s="14" t="s">
        <v>163</v>
      </c>
      <c r="O40" s="14" t="s">
        <v>163</v>
      </c>
      <c r="P40" s="14" t="s">
        <v>163</v>
      </c>
      <c r="Q40" s="14" t="s">
        <v>163</v>
      </c>
    </row>
    <row r="41" spans="1:17" x14ac:dyDescent="0.35">
      <c r="A41" s="11">
        <v>46026</v>
      </c>
      <c r="B41" s="70">
        <v>46026</v>
      </c>
      <c r="C41" s="70" t="s">
        <v>130</v>
      </c>
      <c r="D41" s="28">
        <v>0.95833333333333337</v>
      </c>
      <c r="E41" s="12" t="s">
        <v>1</v>
      </c>
      <c r="F41" s="13" t="s">
        <v>351</v>
      </c>
      <c r="G41" s="117">
        <v>7.1000000000000004E-3</v>
      </c>
      <c r="H41" s="14" t="s">
        <v>165</v>
      </c>
      <c r="I41" s="14" t="s">
        <v>165</v>
      </c>
      <c r="J41" s="14" t="s">
        <v>165</v>
      </c>
      <c r="K41" s="14">
        <v>12.71</v>
      </c>
      <c r="L41" s="14" t="s">
        <v>163</v>
      </c>
      <c r="M41" s="14" t="s">
        <v>163</v>
      </c>
      <c r="N41" s="14" t="s">
        <v>163</v>
      </c>
      <c r="O41" s="14" t="s">
        <v>163</v>
      </c>
      <c r="P41" s="14" t="s">
        <v>163</v>
      </c>
      <c r="Q41" s="14" t="s">
        <v>163</v>
      </c>
    </row>
    <row r="42" spans="1:17" x14ac:dyDescent="0.35">
      <c r="A42" s="11">
        <v>46026</v>
      </c>
      <c r="B42" s="70">
        <v>46026</v>
      </c>
      <c r="C42" s="70" t="s">
        <v>130</v>
      </c>
      <c r="D42" s="28">
        <v>1.0416666666666701</v>
      </c>
      <c r="E42" s="12" t="s">
        <v>1</v>
      </c>
      <c r="F42" s="13" t="s">
        <v>351</v>
      </c>
      <c r="G42" s="117">
        <v>0.1711</v>
      </c>
      <c r="H42" s="14" t="s">
        <v>165</v>
      </c>
      <c r="I42" s="14" t="s">
        <v>165</v>
      </c>
      <c r="J42" s="14" t="s">
        <v>165</v>
      </c>
      <c r="K42" s="14">
        <v>11.78</v>
      </c>
      <c r="L42" s="14" t="s">
        <v>163</v>
      </c>
      <c r="M42" s="14" t="s">
        <v>163</v>
      </c>
      <c r="N42" s="14" t="s">
        <v>163</v>
      </c>
      <c r="O42" s="14" t="s">
        <v>163</v>
      </c>
      <c r="P42" s="14" t="s">
        <v>163</v>
      </c>
      <c r="Q42" s="14" t="s">
        <v>163</v>
      </c>
    </row>
    <row r="43" spans="1:17" x14ac:dyDescent="0.35">
      <c r="A43" s="11">
        <v>46026</v>
      </c>
      <c r="B43" s="70">
        <v>46026</v>
      </c>
      <c r="C43" s="70" t="s">
        <v>130</v>
      </c>
      <c r="D43" s="28">
        <v>1.125</v>
      </c>
      <c r="E43" s="12" t="s">
        <v>1</v>
      </c>
      <c r="F43" s="13" t="s">
        <v>351</v>
      </c>
      <c r="G43" s="117">
        <v>0.15340000000000001</v>
      </c>
      <c r="H43" s="14" t="s">
        <v>165</v>
      </c>
      <c r="I43" s="14" t="s">
        <v>165</v>
      </c>
      <c r="J43" s="14" t="s">
        <v>165</v>
      </c>
      <c r="K43" s="14">
        <v>12.42</v>
      </c>
      <c r="L43" s="14" t="s">
        <v>163</v>
      </c>
      <c r="M43" s="14" t="s">
        <v>163</v>
      </c>
      <c r="N43" s="14" t="s">
        <v>163</v>
      </c>
      <c r="O43" s="14" t="s">
        <v>163</v>
      </c>
      <c r="P43" s="14" t="s">
        <v>163</v>
      </c>
      <c r="Q43" s="14" t="s">
        <v>163</v>
      </c>
    </row>
    <row r="44" spans="1:17" x14ac:dyDescent="0.35">
      <c r="A44" s="11">
        <v>46026</v>
      </c>
      <c r="B44" s="70">
        <v>46026</v>
      </c>
      <c r="C44" s="70" t="s">
        <v>130</v>
      </c>
      <c r="D44" s="28">
        <v>1.2083333333333299</v>
      </c>
      <c r="E44" s="12" t="s">
        <v>1</v>
      </c>
      <c r="F44" s="13" t="s">
        <v>351</v>
      </c>
      <c r="G44" s="117">
        <v>8.4400000000000003E-2</v>
      </c>
      <c r="H44" s="14" t="s">
        <v>165</v>
      </c>
      <c r="I44" s="14" t="s">
        <v>165</v>
      </c>
      <c r="J44" s="14" t="s">
        <v>165</v>
      </c>
      <c r="K44" s="14">
        <v>12.66</v>
      </c>
      <c r="L44" s="14" t="s">
        <v>163</v>
      </c>
      <c r="M44" s="14" t="s">
        <v>163</v>
      </c>
      <c r="N44" s="14" t="s">
        <v>163</v>
      </c>
      <c r="O44" s="14" t="s">
        <v>163</v>
      </c>
      <c r="P44" s="14" t="s">
        <v>163</v>
      </c>
      <c r="Q44" s="14" t="s">
        <v>163</v>
      </c>
    </row>
    <row r="45" spans="1:17" x14ac:dyDescent="0.35">
      <c r="A45" s="11">
        <v>46027</v>
      </c>
      <c r="B45" s="70">
        <v>46027</v>
      </c>
      <c r="C45" s="70" t="s">
        <v>125</v>
      </c>
      <c r="D45" s="28" t="s">
        <v>239</v>
      </c>
      <c r="E45" s="12" t="s">
        <v>0</v>
      </c>
      <c r="F45" s="13" t="s">
        <v>38</v>
      </c>
      <c r="G45" s="117">
        <v>1.9300000000000001E-2</v>
      </c>
      <c r="H45" s="14" t="s">
        <v>165</v>
      </c>
      <c r="I45" s="14" t="s">
        <v>165</v>
      </c>
      <c r="J45" s="14" t="s">
        <v>165</v>
      </c>
      <c r="K45" s="14">
        <v>13.23</v>
      </c>
      <c r="L45" s="14" t="s">
        <v>352</v>
      </c>
      <c r="M45" s="14" t="s">
        <v>353</v>
      </c>
      <c r="N45" s="14" t="s">
        <v>163</v>
      </c>
      <c r="O45" s="14" t="s">
        <v>163</v>
      </c>
      <c r="P45" s="14" t="s">
        <v>163</v>
      </c>
      <c r="Q45" s="14" t="s">
        <v>354</v>
      </c>
    </row>
    <row r="46" spans="1:17" x14ac:dyDescent="0.35">
      <c r="A46" s="11">
        <v>46027</v>
      </c>
      <c r="B46" s="70">
        <v>46027</v>
      </c>
      <c r="C46" s="70" t="s">
        <v>125</v>
      </c>
      <c r="D46" s="28" t="s">
        <v>240</v>
      </c>
      <c r="E46" s="12" t="s">
        <v>0</v>
      </c>
      <c r="F46" s="13" t="s">
        <v>38</v>
      </c>
      <c r="G46" s="117">
        <v>1.18E-2</v>
      </c>
      <c r="H46" s="14" t="s">
        <v>165</v>
      </c>
      <c r="I46" s="14" t="s">
        <v>165</v>
      </c>
      <c r="J46" s="14" t="s">
        <v>165</v>
      </c>
      <c r="K46" s="14">
        <v>14.21</v>
      </c>
      <c r="L46" s="14" t="s">
        <v>163</v>
      </c>
      <c r="M46" s="14" t="s">
        <v>163</v>
      </c>
      <c r="N46" s="14" t="s">
        <v>163</v>
      </c>
      <c r="O46" s="14" t="s">
        <v>163</v>
      </c>
      <c r="P46" s="14" t="s">
        <v>163</v>
      </c>
      <c r="Q46" s="14" t="s">
        <v>163</v>
      </c>
    </row>
    <row r="47" spans="1:17" x14ac:dyDescent="0.35">
      <c r="A47" s="11">
        <v>46027</v>
      </c>
      <c r="B47" s="70">
        <v>46027</v>
      </c>
      <c r="C47" s="70" t="s">
        <v>125</v>
      </c>
      <c r="D47" s="28" t="s">
        <v>237</v>
      </c>
      <c r="E47" s="12" t="s">
        <v>0</v>
      </c>
      <c r="F47" s="13" t="s">
        <v>38</v>
      </c>
      <c r="G47" s="117">
        <v>1.1599999999999999E-2</v>
      </c>
      <c r="H47" s="14" t="s">
        <v>165</v>
      </c>
      <c r="I47" s="14" t="s">
        <v>165</v>
      </c>
      <c r="J47" s="14" t="s">
        <v>165</v>
      </c>
      <c r="K47" s="14">
        <v>14.01</v>
      </c>
      <c r="L47" s="14" t="s">
        <v>163</v>
      </c>
      <c r="M47" s="14" t="s">
        <v>163</v>
      </c>
      <c r="N47" s="14" t="s">
        <v>163</v>
      </c>
      <c r="O47" s="14" t="s">
        <v>163</v>
      </c>
      <c r="P47" s="14" t="s">
        <v>163</v>
      </c>
      <c r="Q47" s="14" t="s">
        <v>163</v>
      </c>
    </row>
    <row r="48" spans="1:17" x14ac:dyDescent="0.35">
      <c r="A48" s="11">
        <v>46028</v>
      </c>
      <c r="B48" s="70">
        <v>46028</v>
      </c>
      <c r="C48" s="70" t="s">
        <v>130</v>
      </c>
      <c r="D48" s="28">
        <v>0.95833333333333337</v>
      </c>
      <c r="E48" s="12" t="s">
        <v>0</v>
      </c>
      <c r="F48" s="13" t="s">
        <v>32</v>
      </c>
      <c r="G48" s="117">
        <v>1.8800000000000001E-2</v>
      </c>
      <c r="H48" s="14" t="s">
        <v>165</v>
      </c>
      <c r="I48" s="14" t="s">
        <v>165</v>
      </c>
      <c r="J48" s="14" t="s">
        <v>165</v>
      </c>
      <c r="K48" s="14">
        <v>13.94</v>
      </c>
      <c r="L48" s="14" t="s">
        <v>355</v>
      </c>
      <c r="M48" s="14" t="s">
        <v>356</v>
      </c>
      <c r="N48" s="14" t="s">
        <v>163</v>
      </c>
      <c r="O48" s="14" t="s">
        <v>163</v>
      </c>
      <c r="P48" s="14" t="s">
        <v>163</v>
      </c>
      <c r="Q48" s="14" t="s">
        <v>348</v>
      </c>
    </row>
    <row r="49" spans="1:17" x14ac:dyDescent="0.35">
      <c r="A49" s="11">
        <v>46028</v>
      </c>
      <c r="B49" s="70">
        <v>46028</v>
      </c>
      <c r="C49" s="70" t="s">
        <v>130</v>
      </c>
      <c r="D49" s="28">
        <v>1.0416666666666701</v>
      </c>
      <c r="E49" s="12" t="s">
        <v>0</v>
      </c>
      <c r="F49" s="13" t="s">
        <v>32</v>
      </c>
      <c r="G49" s="117">
        <v>1.2999999999999999E-2</v>
      </c>
      <c r="H49" s="14" t="s">
        <v>165</v>
      </c>
      <c r="I49" s="14" t="s">
        <v>165</v>
      </c>
      <c r="J49" s="14" t="s">
        <v>165</v>
      </c>
      <c r="K49" s="14">
        <v>13.37</v>
      </c>
      <c r="L49" s="14" t="s">
        <v>163</v>
      </c>
      <c r="M49" s="14" t="s">
        <v>163</v>
      </c>
      <c r="N49" s="14" t="s">
        <v>163</v>
      </c>
      <c r="O49" s="14" t="s">
        <v>163</v>
      </c>
      <c r="P49" s="14" t="s">
        <v>163</v>
      </c>
      <c r="Q49" s="14" t="s">
        <v>163</v>
      </c>
    </row>
    <row r="50" spans="1:17" x14ac:dyDescent="0.35">
      <c r="A50" s="11">
        <v>46028</v>
      </c>
      <c r="B50" s="70">
        <v>46028</v>
      </c>
      <c r="C50" s="70" t="s">
        <v>130</v>
      </c>
      <c r="D50" s="28">
        <v>1.125</v>
      </c>
      <c r="E50" s="12" t="s">
        <v>0</v>
      </c>
      <c r="F50" s="13" t="s">
        <v>32</v>
      </c>
      <c r="G50" s="117">
        <v>1.9800000000000002E-2</v>
      </c>
      <c r="H50" s="14" t="s">
        <v>165</v>
      </c>
      <c r="I50" s="14" t="s">
        <v>165</v>
      </c>
      <c r="J50" s="14" t="s">
        <v>165</v>
      </c>
      <c r="K50" s="14">
        <v>13.78</v>
      </c>
      <c r="L50" s="14" t="s">
        <v>163</v>
      </c>
      <c r="M50" s="14" t="s">
        <v>163</v>
      </c>
      <c r="N50" s="14" t="s">
        <v>163</v>
      </c>
      <c r="O50" s="14" t="s">
        <v>163</v>
      </c>
      <c r="P50" s="14" t="s">
        <v>163</v>
      </c>
      <c r="Q50" s="14" t="s">
        <v>163</v>
      </c>
    </row>
    <row r="51" spans="1:17" x14ac:dyDescent="0.35">
      <c r="A51" s="11">
        <v>46028</v>
      </c>
      <c r="B51" s="70">
        <v>46028</v>
      </c>
      <c r="C51" s="70" t="s">
        <v>130</v>
      </c>
      <c r="D51" s="28">
        <v>1.2083333333333299</v>
      </c>
      <c r="E51" s="12" t="s">
        <v>0</v>
      </c>
      <c r="F51" s="13" t="s">
        <v>32</v>
      </c>
      <c r="G51" s="117">
        <v>1.66E-2</v>
      </c>
      <c r="H51" s="14" t="s">
        <v>165</v>
      </c>
      <c r="I51" s="14" t="s">
        <v>165</v>
      </c>
      <c r="J51" s="14" t="s">
        <v>165</v>
      </c>
      <c r="K51" s="14">
        <v>13.88</v>
      </c>
      <c r="L51" s="14" t="s">
        <v>163</v>
      </c>
      <c r="M51" s="14" t="s">
        <v>163</v>
      </c>
      <c r="N51" s="14" t="s">
        <v>163</v>
      </c>
      <c r="O51" s="14" t="s">
        <v>163</v>
      </c>
      <c r="P51" s="14" t="s">
        <v>163</v>
      </c>
      <c r="Q51" s="14" t="s">
        <v>163</v>
      </c>
    </row>
    <row r="52" spans="1:17" x14ac:dyDescent="0.35">
      <c r="A52" s="11">
        <v>46028</v>
      </c>
      <c r="B52" s="70">
        <v>46028</v>
      </c>
      <c r="C52" s="70" t="s">
        <v>130</v>
      </c>
      <c r="D52" s="28">
        <v>0.95833333333333337</v>
      </c>
      <c r="E52" s="12" t="s">
        <v>2</v>
      </c>
      <c r="F52" s="13" t="s">
        <v>242</v>
      </c>
      <c r="G52" s="117">
        <v>3.7000000000000002E-3</v>
      </c>
      <c r="H52" s="14" t="s">
        <v>165</v>
      </c>
      <c r="I52" s="14" t="s">
        <v>165</v>
      </c>
      <c r="J52" s="14" t="s">
        <v>165</v>
      </c>
      <c r="K52" s="14">
        <v>13.76</v>
      </c>
      <c r="L52" s="14" t="s">
        <v>357</v>
      </c>
      <c r="M52" s="14" t="s">
        <v>358</v>
      </c>
      <c r="N52" s="14" t="s">
        <v>163</v>
      </c>
      <c r="O52" s="14" t="s">
        <v>163</v>
      </c>
      <c r="P52" s="14" t="s">
        <v>163</v>
      </c>
      <c r="Q52" s="14" t="s">
        <v>359</v>
      </c>
    </row>
    <row r="53" spans="1:17" x14ac:dyDescent="0.35">
      <c r="A53" s="11">
        <v>46028</v>
      </c>
      <c r="B53" s="70">
        <v>46028</v>
      </c>
      <c r="C53" s="70" t="s">
        <v>130</v>
      </c>
      <c r="D53" s="28">
        <v>1.0416666666666701</v>
      </c>
      <c r="E53" s="12" t="s">
        <v>2</v>
      </c>
      <c r="F53" s="13" t="s">
        <v>242</v>
      </c>
      <c r="G53" s="117">
        <v>1.7899999999999999E-2</v>
      </c>
      <c r="H53" s="14" t="s">
        <v>165</v>
      </c>
      <c r="I53" s="14" t="s">
        <v>165</v>
      </c>
      <c r="J53" s="14" t="s">
        <v>165</v>
      </c>
      <c r="K53" s="14">
        <v>12.91</v>
      </c>
      <c r="L53" s="14" t="s">
        <v>163</v>
      </c>
      <c r="M53" s="14" t="s">
        <v>163</v>
      </c>
      <c r="N53" s="14" t="s">
        <v>163</v>
      </c>
      <c r="O53" s="14" t="s">
        <v>163</v>
      </c>
      <c r="P53" s="14" t="s">
        <v>163</v>
      </c>
      <c r="Q53" s="14" t="s">
        <v>163</v>
      </c>
    </row>
    <row r="54" spans="1:17" x14ac:dyDescent="0.35">
      <c r="A54" s="11">
        <v>46028</v>
      </c>
      <c r="B54" s="70">
        <v>46028</v>
      </c>
      <c r="C54" s="70" t="s">
        <v>130</v>
      </c>
      <c r="D54" s="28">
        <v>1.125</v>
      </c>
      <c r="E54" s="12" t="s">
        <v>2</v>
      </c>
      <c r="F54" s="13" t="s">
        <v>242</v>
      </c>
      <c r="G54" s="117">
        <v>4.5999999999999999E-3</v>
      </c>
      <c r="H54" s="14" t="s">
        <v>165</v>
      </c>
      <c r="I54" s="14" t="s">
        <v>165</v>
      </c>
      <c r="J54" s="14" t="s">
        <v>165</v>
      </c>
      <c r="K54" s="14">
        <v>13.7</v>
      </c>
      <c r="L54" s="14" t="s">
        <v>163</v>
      </c>
      <c r="M54" s="14" t="s">
        <v>163</v>
      </c>
      <c r="N54" s="14" t="s">
        <v>163</v>
      </c>
      <c r="O54" s="14" t="s">
        <v>163</v>
      </c>
      <c r="P54" s="14" t="s">
        <v>163</v>
      </c>
      <c r="Q54" s="14" t="s">
        <v>163</v>
      </c>
    </row>
    <row r="55" spans="1:17" x14ac:dyDescent="0.35">
      <c r="A55" s="11">
        <v>46028</v>
      </c>
      <c r="B55" s="70">
        <v>46028</v>
      </c>
      <c r="C55" s="70" t="s">
        <v>130</v>
      </c>
      <c r="D55" s="28">
        <v>1.2083333333333299</v>
      </c>
      <c r="E55" s="12" t="s">
        <v>2</v>
      </c>
      <c r="F55" s="13" t="s">
        <v>242</v>
      </c>
      <c r="G55" s="117">
        <v>3.2000000000000002E-3</v>
      </c>
      <c r="H55" s="14" t="s">
        <v>165</v>
      </c>
      <c r="I55" s="14" t="s">
        <v>165</v>
      </c>
      <c r="J55" s="14" t="s">
        <v>165</v>
      </c>
      <c r="K55" s="14">
        <v>13.73</v>
      </c>
      <c r="L55" s="14" t="s">
        <v>163</v>
      </c>
      <c r="M55" s="14" t="s">
        <v>163</v>
      </c>
      <c r="N55" s="14" t="s">
        <v>163</v>
      </c>
      <c r="O55" s="14" t="s">
        <v>163</v>
      </c>
      <c r="P55" s="14" t="s">
        <v>163</v>
      </c>
      <c r="Q55" s="14" t="s">
        <v>163</v>
      </c>
    </row>
    <row r="56" spans="1:17" x14ac:dyDescent="0.35">
      <c r="A56" s="11">
        <v>46028</v>
      </c>
      <c r="B56" s="70">
        <v>46028</v>
      </c>
      <c r="C56" s="70" t="s">
        <v>128</v>
      </c>
      <c r="D56" s="28">
        <v>0.70833333333333304</v>
      </c>
      <c r="E56" s="12" t="s">
        <v>0</v>
      </c>
      <c r="F56" s="13" t="s">
        <v>32</v>
      </c>
      <c r="G56" s="117">
        <v>1.83E-2</v>
      </c>
      <c r="H56" s="14" t="s">
        <v>165</v>
      </c>
      <c r="I56" s="14" t="s">
        <v>165</v>
      </c>
      <c r="J56" s="14" t="s">
        <v>165</v>
      </c>
      <c r="K56" s="14">
        <v>13.61</v>
      </c>
      <c r="L56" s="14" t="s">
        <v>360</v>
      </c>
      <c r="M56" s="14" t="s">
        <v>361</v>
      </c>
      <c r="N56" s="14" t="s">
        <v>362</v>
      </c>
      <c r="O56" s="14" t="s">
        <v>163</v>
      </c>
      <c r="P56" s="14" t="s">
        <v>163</v>
      </c>
      <c r="Q56" s="14" t="s">
        <v>363</v>
      </c>
    </row>
    <row r="57" spans="1:17" x14ac:dyDescent="0.35">
      <c r="A57" s="11">
        <v>46028</v>
      </c>
      <c r="B57" s="70">
        <v>46028</v>
      </c>
      <c r="C57" s="70" t="s">
        <v>128</v>
      </c>
      <c r="D57" s="28">
        <v>0.79166666666666596</v>
      </c>
      <c r="E57" s="12" t="s">
        <v>0</v>
      </c>
      <c r="F57" s="13" t="s">
        <v>32</v>
      </c>
      <c r="G57" s="117">
        <v>9.7999999999999997E-3</v>
      </c>
      <c r="H57" s="14" t="s">
        <v>165</v>
      </c>
      <c r="I57" s="14" t="s">
        <v>165</v>
      </c>
      <c r="J57" s="14" t="s">
        <v>165</v>
      </c>
      <c r="K57" s="14">
        <v>13.29</v>
      </c>
      <c r="L57" s="14" t="s">
        <v>163</v>
      </c>
      <c r="M57" s="14" t="s">
        <v>163</v>
      </c>
      <c r="N57" s="14" t="s">
        <v>163</v>
      </c>
      <c r="O57" s="14" t="s">
        <v>163</v>
      </c>
      <c r="P57" s="14" t="s">
        <v>163</v>
      </c>
      <c r="Q57" s="14" t="s">
        <v>163</v>
      </c>
    </row>
    <row r="58" spans="1:17" x14ac:dyDescent="0.35">
      <c r="A58" s="11">
        <v>46028</v>
      </c>
      <c r="B58" s="70">
        <v>46028</v>
      </c>
      <c r="C58" s="70" t="s">
        <v>128</v>
      </c>
      <c r="D58" s="28">
        <v>0.874999999999999</v>
      </c>
      <c r="E58" s="12" t="s">
        <v>0</v>
      </c>
      <c r="F58" s="13" t="s">
        <v>32</v>
      </c>
      <c r="G58" s="117">
        <v>1.4E-2</v>
      </c>
      <c r="H58" s="14" t="s">
        <v>165</v>
      </c>
      <c r="I58" s="14" t="s">
        <v>165</v>
      </c>
      <c r="J58" s="14" t="s">
        <v>165</v>
      </c>
      <c r="K58" s="14">
        <v>13.63</v>
      </c>
      <c r="L58" s="14" t="s">
        <v>163</v>
      </c>
      <c r="M58" s="14" t="s">
        <v>163</v>
      </c>
      <c r="N58" s="14" t="s">
        <v>163</v>
      </c>
      <c r="O58" s="14" t="s">
        <v>163</v>
      </c>
      <c r="P58" s="14" t="s">
        <v>163</v>
      </c>
      <c r="Q58" s="14" t="s">
        <v>163</v>
      </c>
    </row>
    <row r="59" spans="1:17" x14ac:dyDescent="0.35">
      <c r="A59" s="11">
        <v>46028</v>
      </c>
      <c r="B59" s="70">
        <v>46028</v>
      </c>
      <c r="C59" s="70" t="s">
        <v>128</v>
      </c>
      <c r="D59" s="28">
        <v>0.70833333333333304</v>
      </c>
      <c r="E59" s="12" t="s">
        <v>2</v>
      </c>
      <c r="F59" s="13" t="s">
        <v>242</v>
      </c>
      <c r="G59" s="117">
        <v>3.8E-3</v>
      </c>
      <c r="H59" s="14" t="s">
        <v>165</v>
      </c>
      <c r="I59" s="14" t="s">
        <v>165</v>
      </c>
      <c r="J59" s="14" t="s">
        <v>165</v>
      </c>
      <c r="K59" s="14">
        <v>13.45</v>
      </c>
      <c r="L59" s="14" t="s">
        <v>364</v>
      </c>
      <c r="M59" s="14" t="s">
        <v>250</v>
      </c>
      <c r="N59" s="14" t="s">
        <v>365</v>
      </c>
      <c r="O59" s="14" t="s">
        <v>163</v>
      </c>
      <c r="P59" s="14" t="s">
        <v>163</v>
      </c>
      <c r="Q59" s="14" t="s">
        <v>366</v>
      </c>
    </row>
    <row r="60" spans="1:17" x14ac:dyDescent="0.35">
      <c r="A60" s="11">
        <v>46028</v>
      </c>
      <c r="B60" s="70">
        <v>46028</v>
      </c>
      <c r="C60" s="70" t="s">
        <v>128</v>
      </c>
      <c r="D60" s="28">
        <v>0.79166666666666596</v>
      </c>
      <c r="E60" s="12" t="s">
        <v>2</v>
      </c>
      <c r="F60" s="13" t="s">
        <v>242</v>
      </c>
      <c r="G60" s="117">
        <v>4.7000000000000002E-3</v>
      </c>
      <c r="H60" s="14" t="s">
        <v>165</v>
      </c>
      <c r="I60" s="14" t="s">
        <v>165</v>
      </c>
      <c r="J60" s="14" t="s">
        <v>165</v>
      </c>
      <c r="K60" s="14">
        <v>12.87</v>
      </c>
      <c r="L60" s="14" t="s">
        <v>163</v>
      </c>
      <c r="M60" s="14" t="s">
        <v>163</v>
      </c>
      <c r="N60" s="14" t="s">
        <v>163</v>
      </c>
      <c r="O60" s="14" t="s">
        <v>163</v>
      </c>
      <c r="P60" s="14" t="s">
        <v>163</v>
      </c>
      <c r="Q60" s="14" t="s">
        <v>163</v>
      </c>
    </row>
    <row r="61" spans="1:17" x14ac:dyDescent="0.35">
      <c r="A61" s="11">
        <v>46028</v>
      </c>
      <c r="B61" s="70">
        <v>46028</v>
      </c>
      <c r="C61" s="70" t="s">
        <v>128</v>
      </c>
      <c r="D61" s="28">
        <v>0.874999999999999</v>
      </c>
      <c r="E61" s="12" t="s">
        <v>2</v>
      </c>
      <c r="F61" s="13" t="s">
        <v>242</v>
      </c>
      <c r="G61" s="117">
        <v>3.5999999999999999E-3</v>
      </c>
      <c r="H61" s="14" t="s">
        <v>165</v>
      </c>
      <c r="I61" s="14" t="s">
        <v>165</v>
      </c>
      <c r="J61" s="14" t="s">
        <v>165</v>
      </c>
      <c r="K61" s="14">
        <v>13.32</v>
      </c>
      <c r="L61" s="14" t="s">
        <v>163</v>
      </c>
      <c r="M61" s="14" t="s">
        <v>163</v>
      </c>
      <c r="N61" s="14" t="s">
        <v>163</v>
      </c>
      <c r="O61" s="14" t="s">
        <v>163</v>
      </c>
      <c r="P61" s="14" t="s">
        <v>163</v>
      </c>
      <c r="Q61" s="14" t="s">
        <v>163</v>
      </c>
    </row>
    <row r="62" spans="1:17" x14ac:dyDescent="0.35">
      <c r="A62" s="11">
        <v>46028</v>
      </c>
      <c r="B62" s="70">
        <v>46028</v>
      </c>
      <c r="C62" s="70" t="s">
        <v>130</v>
      </c>
      <c r="D62" s="28">
        <v>0.95833333333333337</v>
      </c>
      <c r="E62" s="12" t="s">
        <v>0</v>
      </c>
      <c r="F62" s="13" t="s">
        <v>32</v>
      </c>
      <c r="G62" s="117">
        <v>1.32E-2</v>
      </c>
      <c r="H62" s="14" t="s">
        <v>165</v>
      </c>
      <c r="I62" s="14" t="s">
        <v>165</v>
      </c>
      <c r="J62" s="14" t="s">
        <v>165</v>
      </c>
      <c r="K62" s="14">
        <v>13.65</v>
      </c>
      <c r="L62" s="14" t="s">
        <v>352</v>
      </c>
      <c r="M62" s="14" t="s">
        <v>367</v>
      </c>
      <c r="N62" s="14" t="s">
        <v>163</v>
      </c>
      <c r="O62" s="14" t="s">
        <v>163</v>
      </c>
      <c r="P62" s="14" t="s">
        <v>163</v>
      </c>
      <c r="Q62" s="14" t="s">
        <v>368</v>
      </c>
    </row>
    <row r="63" spans="1:17" x14ac:dyDescent="0.35">
      <c r="A63" s="11">
        <v>46028</v>
      </c>
      <c r="B63" s="70">
        <v>46028</v>
      </c>
      <c r="C63" s="70" t="s">
        <v>130</v>
      </c>
      <c r="D63" s="28">
        <v>0.95833333333333337</v>
      </c>
      <c r="E63" s="12" t="s">
        <v>2</v>
      </c>
      <c r="F63" s="13" t="s">
        <v>242</v>
      </c>
      <c r="G63" s="117">
        <v>2.5999999999999999E-3</v>
      </c>
      <c r="H63" s="14" t="s">
        <v>165</v>
      </c>
      <c r="I63" s="14" t="s">
        <v>165</v>
      </c>
      <c r="J63" s="14" t="s">
        <v>165</v>
      </c>
      <c r="K63" s="14">
        <v>13.3</v>
      </c>
      <c r="L63" s="14" t="s">
        <v>369</v>
      </c>
      <c r="M63" s="14" t="s">
        <v>370</v>
      </c>
      <c r="N63" s="14" t="s">
        <v>163</v>
      </c>
      <c r="O63" s="14" t="s">
        <v>163</v>
      </c>
      <c r="P63" s="14" t="s">
        <v>163</v>
      </c>
      <c r="Q63" s="14" t="s">
        <v>371</v>
      </c>
    </row>
  </sheetData>
  <phoneticPr fontId="28"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1:BK122"/>
  <sheetViews>
    <sheetView zoomScale="55" zoomScaleNormal="55" workbookViewId="0">
      <pane xSplit="7" ySplit="33" topLeftCell="H104" activePane="bottomRight" state="frozen"/>
      <selection pane="topRight"/>
      <selection pane="bottomLeft" activeCell="A34" sqref="A34"/>
      <selection pane="bottomRight" activeCell="E6844" sqref="E122:E6844"/>
    </sheetView>
  </sheetViews>
  <sheetFormatPr defaultColWidth="12.1796875" defaultRowHeight="15.5" outlineLevelRow="1" outlineLevelCol="1" x14ac:dyDescent="0.35"/>
  <cols>
    <col min="1" max="1" width="14.453125" style="11" bestFit="1" customWidth="1"/>
    <col min="2" max="2" width="17.26953125" style="66" customWidth="1"/>
    <col min="3" max="3" width="16.26953125" style="66" bestFit="1" customWidth="1"/>
    <col min="4" max="4" width="12.1796875" style="66" bestFit="1" customWidth="1"/>
    <col min="5" max="5" width="12.54296875" style="28" bestFit="1" customWidth="1"/>
    <col min="6" max="6" width="10.1796875" style="13" customWidth="1"/>
    <col min="7" max="7" width="50.7265625" style="199" customWidth="1"/>
    <col min="8" max="8" width="15" style="27" customWidth="1"/>
    <col min="9" max="9" width="9.26953125" style="14" customWidth="1"/>
    <col min="10" max="10" width="17" style="14" customWidth="1"/>
    <col min="11" max="11" width="16.81640625" style="14" customWidth="1"/>
    <col min="12" max="12" width="15.81640625" style="14" customWidth="1"/>
    <col min="13" max="13" width="17.1796875" style="14" customWidth="1"/>
    <col min="14" max="14" width="14" style="14" bestFit="1" customWidth="1"/>
    <col min="15" max="15" width="17.81640625" style="14" bestFit="1" customWidth="1"/>
    <col min="16" max="16" width="14.26953125" style="14" bestFit="1" customWidth="1"/>
    <col min="17" max="17" width="17.26953125" style="14" customWidth="1"/>
    <col min="18" max="18" width="22.453125" style="14" bestFit="1" customWidth="1"/>
    <col min="19" max="19" width="16" style="133" customWidth="1"/>
    <col min="20" max="20" width="15" style="14" customWidth="1"/>
    <col min="21" max="21" width="9.453125" style="14" customWidth="1"/>
    <col min="22" max="22" width="13.54296875" style="13" customWidth="1"/>
    <col min="23" max="23" width="13.1796875" style="107" customWidth="1"/>
    <col min="24" max="24" width="14.26953125" style="107" customWidth="1"/>
    <col min="25" max="25" width="15.453125" style="14" bestFit="1" customWidth="1"/>
    <col min="26" max="26" width="9.7265625" style="160" customWidth="1" outlineLevel="1"/>
    <col min="27" max="27" width="12.81640625" style="160" customWidth="1" outlineLevel="1"/>
    <col min="28" max="35" width="9.7265625" style="160" customWidth="1" outlineLevel="1"/>
    <col min="36" max="41" width="9.7265625" style="23" customWidth="1" outlineLevel="1"/>
    <col min="42" max="43" width="11.54296875" style="23" customWidth="1" outlineLevel="1"/>
    <col min="44" max="44" width="13.1796875" style="15" customWidth="1"/>
    <col min="45" max="45" width="11" style="15" customWidth="1"/>
    <col min="46" max="54" width="12.7265625" style="15" customWidth="1"/>
    <col min="55" max="55" width="9.7265625" style="15" bestFit="1" customWidth="1"/>
    <col min="56" max="57" width="12.1796875" style="15" outlineLevel="1"/>
    <col min="58" max="58" width="11.1796875" style="15" customWidth="1" outlineLevel="1"/>
    <col min="59" max="59" width="7.453125" style="15" bestFit="1" customWidth="1" outlineLevel="1"/>
    <col min="60" max="60" width="9.1796875" style="15" bestFit="1" customWidth="1" outlineLevel="1"/>
    <col min="61" max="61" width="9.7265625" style="172" bestFit="1" customWidth="1" outlineLevel="1"/>
    <col min="62" max="63" width="12.1796875" style="15" outlineLevel="1"/>
    <col min="64" max="16384" width="12.1796875" style="15"/>
  </cols>
  <sheetData>
    <row r="1" spans="1:42" hidden="1" outlineLevel="1" x14ac:dyDescent="0.35">
      <c r="A1" s="11">
        <f>'VALIDATION LIST'!A48</f>
        <v>46296</v>
      </c>
      <c r="B1" s="66">
        <f>RESGEN!L3</f>
        <v>46303</v>
      </c>
      <c r="C1" s="66">
        <f>PACKING!H10</f>
        <v>0</v>
      </c>
      <c r="D1" s="66">
        <f>PACKING!J5</f>
        <v>0</v>
      </c>
      <c r="E1" s="28" t="str">
        <f>PACKING!E10</f>
        <v>06:00</v>
      </c>
      <c r="F1" s="13">
        <v>1</v>
      </c>
      <c r="G1" s="8">
        <f>PACKING!F10</f>
        <v>0</v>
      </c>
      <c r="H1" s="219">
        <f>PACKING!J10</f>
        <v>0</v>
      </c>
      <c r="I1" s="219">
        <f>PACKING!K10</f>
        <v>0</v>
      </c>
      <c r="J1" s="219">
        <f>PACKING!L10</f>
        <v>0</v>
      </c>
      <c r="K1" s="219">
        <f>PACKING!M10</f>
        <v>0</v>
      </c>
      <c r="L1" s="219">
        <f>PACKING!N10</f>
        <v>0</v>
      </c>
      <c r="M1" s="219">
        <f>PACKING!O10</f>
        <v>0</v>
      </c>
      <c r="N1" s="219">
        <f>PACKING!P10</f>
        <v>0</v>
      </c>
      <c r="O1" s="219">
        <f>PACKING!Q10</f>
        <v>0</v>
      </c>
      <c r="P1" s="219">
        <f>PACKING!R10</f>
        <v>0</v>
      </c>
      <c r="Q1" s="219">
        <f>PACKING!S10</f>
        <v>0</v>
      </c>
      <c r="R1" s="219">
        <f>PACKING!T10</f>
        <v>0</v>
      </c>
      <c r="S1" s="219">
        <f>PACKING!U10</f>
        <v>0</v>
      </c>
      <c r="T1" s="219">
        <f>PACKING!V10</f>
        <v>0</v>
      </c>
      <c r="U1" s="219">
        <f>PACKING!W10</f>
        <v>0</v>
      </c>
      <c r="V1" s="219">
        <f>PACKING!X10</f>
        <v>0</v>
      </c>
      <c r="W1" s="219">
        <f>PACKING!Y10</f>
        <v>0</v>
      </c>
      <c r="X1" s="219">
        <f>PACKING!Z10</f>
        <v>0</v>
      </c>
      <c r="Y1" s="14">
        <f>PACKING!G10</f>
        <v>0</v>
      </c>
    </row>
    <row r="2" spans="1:42" hidden="1" outlineLevel="1" x14ac:dyDescent="0.35">
      <c r="A2" s="11">
        <f t="shared" ref="A2:A32" si="0">$A$1</f>
        <v>46296</v>
      </c>
      <c r="B2" s="66">
        <f t="shared" ref="B2:B32" si="1">$B$1</f>
        <v>46303</v>
      </c>
      <c r="C2" s="66">
        <f>PACKING!H11</f>
        <v>0</v>
      </c>
      <c r="D2" s="66">
        <f>D$1</f>
        <v>0</v>
      </c>
      <c r="E2" s="28" t="str">
        <f>PACKING!E11</f>
        <v>07:00</v>
      </c>
      <c r="F2" s="13">
        <v>1</v>
      </c>
      <c r="G2" s="8">
        <f>PACKING!F11</f>
        <v>0</v>
      </c>
      <c r="H2" s="219">
        <f>PACKING!J11</f>
        <v>0</v>
      </c>
      <c r="I2" s="219">
        <f>PACKING!K11</f>
        <v>0</v>
      </c>
      <c r="J2" s="219">
        <f>PACKING!L11</f>
        <v>0</v>
      </c>
      <c r="K2" s="219">
        <f>PACKING!M11</f>
        <v>0</v>
      </c>
      <c r="L2" s="219">
        <f>PACKING!N11</f>
        <v>0</v>
      </c>
      <c r="M2" s="219">
        <f>PACKING!O11</f>
        <v>0</v>
      </c>
      <c r="N2" s="219">
        <f>PACKING!P11</f>
        <v>0</v>
      </c>
      <c r="O2" s="219">
        <f>PACKING!Q11</f>
        <v>0</v>
      </c>
      <c r="P2" s="219">
        <f>PACKING!R11</f>
        <v>0</v>
      </c>
      <c r="Q2" s="219">
        <f>PACKING!S11</f>
        <v>0</v>
      </c>
      <c r="R2" s="219">
        <f>PACKING!T11</f>
        <v>0</v>
      </c>
      <c r="S2" s="219">
        <f>PACKING!U11</f>
        <v>0</v>
      </c>
      <c r="T2" s="219">
        <f>PACKING!V11</f>
        <v>0</v>
      </c>
      <c r="U2" s="219">
        <f>PACKING!W11</f>
        <v>0</v>
      </c>
      <c r="V2" s="219">
        <f>PACKING!X11</f>
        <v>0</v>
      </c>
      <c r="W2" s="219">
        <f>PACKING!Y11</f>
        <v>0</v>
      </c>
      <c r="X2" s="219">
        <f>PACKING!Z11</f>
        <v>0</v>
      </c>
      <c r="Y2" s="14">
        <f>PACKING!G11</f>
        <v>0</v>
      </c>
    </row>
    <row r="3" spans="1:42" hidden="1" outlineLevel="1" x14ac:dyDescent="0.35">
      <c r="A3" s="11">
        <f t="shared" si="0"/>
        <v>46296</v>
      </c>
      <c r="B3" s="66">
        <f t="shared" si="1"/>
        <v>46303</v>
      </c>
      <c r="C3" s="66">
        <f>PACKING!H12</f>
        <v>0</v>
      </c>
      <c r="D3" s="66">
        <f t="shared" ref="D3:D32" si="2">D$1</f>
        <v>0</v>
      </c>
      <c r="E3" s="28" t="str">
        <f>PACKING!E12</f>
        <v>08:00</v>
      </c>
      <c r="F3" s="13">
        <v>1</v>
      </c>
      <c r="G3" s="8">
        <f>PACKING!F12</f>
        <v>0</v>
      </c>
      <c r="H3" s="219">
        <f>PACKING!J12</f>
        <v>0</v>
      </c>
      <c r="I3" s="219">
        <f>PACKING!K12</f>
        <v>0</v>
      </c>
      <c r="J3" s="219">
        <f>PACKING!L12</f>
        <v>0</v>
      </c>
      <c r="K3" s="219">
        <f>PACKING!M12</f>
        <v>0</v>
      </c>
      <c r="L3" s="219">
        <f>PACKING!N12</f>
        <v>0</v>
      </c>
      <c r="M3" s="219">
        <f>PACKING!O12</f>
        <v>0</v>
      </c>
      <c r="N3" s="219">
        <f>PACKING!P12</f>
        <v>0</v>
      </c>
      <c r="O3" s="219">
        <f>PACKING!Q12</f>
        <v>0</v>
      </c>
      <c r="P3" s="219">
        <f>PACKING!R12</f>
        <v>0</v>
      </c>
      <c r="Q3" s="219">
        <f>PACKING!S12</f>
        <v>0</v>
      </c>
      <c r="R3" s="219">
        <f>PACKING!T12</f>
        <v>0</v>
      </c>
      <c r="S3" s="219">
        <f>PACKING!U12</f>
        <v>0</v>
      </c>
      <c r="T3" s="219">
        <f>PACKING!V12</f>
        <v>0</v>
      </c>
      <c r="U3" s="219">
        <f>PACKING!W12</f>
        <v>0</v>
      </c>
      <c r="V3" s="219">
        <f>PACKING!X12</f>
        <v>0</v>
      </c>
      <c r="W3" s="219">
        <f>PACKING!Y12</f>
        <v>0</v>
      </c>
      <c r="X3" s="219">
        <f>PACKING!Z12</f>
        <v>0</v>
      </c>
      <c r="Y3" s="14">
        <f>PACKING!G12</f>
        <v>0</v>
      </c>
    </row>
    <row r="4" spans="1:42" hidden="1" outlineLevel="1" x14ac:dyDescent="0.35">
      <c r="A4" s="11">
        <f t="shared" si="0"/>
        <v>46296</v>
      </c>
      <c r="B4" s="66">
        <f t="shared" si="1"/>
        <v>46303</v>
      </c>
      <c r="C4" s="66">
        <f>PACKING!H13</f>
        <v>0</v>
      </c>
      <c r="D4" s="66">
        <f t="shared" si="2"/>
        <v>0</v>
      </c>
      <c r="E4" s="28" t="str">
        <f>PACKING!E13</f>
        <v>09:00</v>
      </c>
      <c r="F4" s="13">
        <v>1</v>
      </c>
      <c r="G4" s="8">
        <f>PACKING!F13</f>
        <v>0</v>
      </c>
      <c r="H4" s="219">
        <f>PACKING!J13</f>
        <v>0</v>
      </c>
      <c r="I4" s="219">
        <f>PACKING!K13</f>
        <v>0</v>
      </c>
      <c r="J4" s="219">
        <f>PACKING!L13</f>
        <v>0</v>
      </c>
      <c r="K4" s="219">
        <f>PACKING!M13</f>
        <v>0</v>
      </c>
      <c r="L4" s="219">
        <f>PACKING!N13</f>
        <v>0</v>
      </c>
      <c r="M4" s="219">
        <f>PACKING!O13</f>
        <v>0</v>
      </c>
      <c r="N4" s="219">
        <f>PACKING!P13</f>
        <v>0</v>
      </c>
      <c r="O4" s="219">
        <f>PACKING!Q13</f>
        <v>0</v>
      </c>
      <c r="P4" s="219">
        <f>PACKING!R13</f>
        <v>0</v>
      </c>
      <c r="Q4" s="219">
        <f>PACKING!S13</f>
        <v>0</v>
      </c>
      <c r="R4" s="219">
        <f>PACKING!T13</f>
        <v>0</v>
      </c>
      <c r="S4" s="219">
        <f>PACKING!U13</f>
        <v>0</v>
      </c>
      <c r="T4" s="219">
        <f>PACKING!V13</f>
        <v>0</v>
      </c>
      <c r="U4" s="219">
        <f>PACKING!W13</f>
        <v>0</v>
      </c>
      <c r="V4" s="219">
        <f>PACKING!X13</f>
        <v>0</v>
      </c>
      <c r="W4" s="219">
        <f>PACKING!Y13</f>
        <v>0</v>
      </c>
      <c r="X4" s="219">
        <f>PACKING!Z13</f>
        <v>0</v>
      </c>
      <c r="Y4" s="14">
        <f>PACKING!G13</f>
        <v>0</v>
      </c>
    </row>
    <row r="5" spans="1:42" hidden="1" outlineLevel="1" x14ac:dyDescent="0.35">
      <c r="A5" s="11">
        <f t="shared" si="0"/>
        <v>46296</v>
      </c>
      <c r="B5" s="66">
        <f t="shared" si="1"/>
        <v>46303</v>
      </c>
      <c r="C5" s="66">
        <f>PACKING!H14</f>
        <v>0</v>
      </c>
      <c r="D5" s="66">
        <f t="shared" si="2"/>
        <v>0</v>
      </c>
      <c r="E5" s="28" t="str">
        <f>PACKING!E14</f>
        <v>10:00</v>
      </c>
      <c r="F5" s="13">
        <v>1</v>
      </c>
      <c r="G5" s="8">
        <f>PACKING!F14</f>
        <v>0</v>
      </c>
      <c r="H5" s="219">
        <f>PACKING!J14</f>
        <v>0</v>
      </c>
      <c r="I5" s="219">
        <f>PACKING!N16</f>
        <v>0</v>
      </c>
      <c r="J5" s="219">
        <f>PACKING!L14</f>
        <v>0</v>
      </c>
      <c r="K5" s="219">
        <f>PACKING!M14</f>
        <v>0</v>
      </c>
      <c r="L5" s="219">
        <f>PACKING!N14</f>
        <v>0</v>
      </c>
      <c r="M5" s="219">
        <f>PACKING!O14</f>
        <v>0</v>
      </c>
      <c r="N5" s="219">
        <f>PACKING!P14</f>
        <v>0</v>
      </c>
      <c r="O5" s="219">
        <f>PACKING!Q14</f>
        <v>0</v>
      </c>
      <c r="P5" s="219">
        <f>PACKING!R14</f>
        <v>0</v>
      </c>
      <c r="Q5" s="219">
        <f>PACKING!S14</f>
        <v>0</v>
      </c>
      <c r="R5" s="219">
        <f>PACKING!T14</f>
        <v>0</v>
      </c>
      <c r="S5" s="219">
        <f>PACKING!U14</f>
        <v>0</v>
      </c>
      <c r="T5" s="219">
        <f>PACKING!V14</f>
        <v>0</v>
      </c>
      <c r="U5" s="219">
        <f>PACKING!W14</f>
        <v>0</v>
      </c>
      <c r="V5" s="219">
        <f>PACKING!X14</f>
        <v>0</v>
      </c>
      <c r="W5" s="219">
        <f>PACKING!Y14</f>
        <v>0</v>
      </c>
      <c r="X5" s="219">
        <f>PACKING!Z14</f>
        <v>0</v>
      </c>
      <c r="Y5" s="14">
        <f>PACKING!G14</f>
        <v>0</v>
      </c>
      <c r="AO5" s="23" t="s">
        <v>372</v>
      </c>
      <c r="AP5" s="23" t="s">
        <v>373</v>
      </c>
    </row>
    <row r="6" spans="1:42" hidden="1" outlineLevel="1" x14ac:dyDescent="0.35">
      <c r="A6" s="11">
        <f t="shared" si="0"/>
        <v>46296</v>
      </c>
      <c r="B6" s="66">
        <f t="shared" si="1"/>
        <v>46303</v>
      </c>
      <c r="C6" s="66">
        <f>PACKING!H15</f>
        <v>0</v>
      </c>
      <c r="D6" s="66">
        <f t="shared" si="2"/>
        <v>0</v>
      </c>
      <c r="E6" s="28" t="str">
        <f>PACKING!E15</f>
        <v>11:00</v>
      </c>
      <c r="F6" s="13">
        <v>1</v>
      </c>
      <c r="G6" s="8">
        <f>PACKING!F15</f>
        <v>0</v>
      </c>
      <c r="H6" s="219">
        <f>PACKING!J15</f>
        <v>0</v>
      </c>
      <c r="I6" s="219">
        <f>PACKING!K15</f>
        <v>0</v>
      </c>
      <c r="J6" s="219">
        <f>PACKING!L15</f>
        <v>0</v>
      </c>
      <c r="K6" s="219">
        <f>PACKING!M15</f>
        <v>0</v>
      </c>
      <c r="L6" s="219">
        <f>PACKING!N15</f>
        <v>0</v>
      </c>
      <c r="M6" s="219">
        <f>PACKING!O15</f>
        <v>0</v>
      </c>
      <c r="N6" s="219">
        <f>PACKING!P15</f>
        <v>0</v>
      </c>
      <c r="O6" s="219">
        <f>PACKING!Q15</f>
        <v>0</v>
      </c>
      <c r="P6" s="219">
        <f>PACKING!R15</f>
        <v>0</v>
      </c>
      <c r="Q6" s="219">
        <f>PACKING!S15</f>
        <v>0</v>
      </c>
      <c r="R6" s="219">
        <f>PACKING!T15</f>
        <v>0</v>
      </c>
      <c r="S6" s="219">
        <f>PACKING!U15</f>
        <v>0</v>
      </c>
      <c r="T6" s="219">
        <f>PACKING!V15</f>
        <v>0</v>
      </c>
      <c r="U6" s="219">
        <f>PACKING!W15</f>
        <v>0</v>
      </c>
      <c r="V6" s="219">
        <f>PACKING!X15</f>
        <v>0</v>
      </c>
      <c r="W6" s="219">
        <f>PACKING!Y15</f>
        <v>0</v>
      </c>
      <c r="X6" s="219">
        <f>PACKING!Z15</f>
        <v>0</v>
      </c>
      <c r="Y6" s="14">
        <f>PACKING!G15</f>
        <v>0</v>
      </c>
      <c r="AO6" s="220" t="s">
        <v>374</v>
      </c>
      <c r="AP6" s="221">
        <f>+Z25</f>
        <v>1</v>
      </c>
    </row>
    <row r="7" spans="1:42" hidden="1" outlineLevel="1" x14ac:dyDescent="0.35">
      <c r="A7" s="11">
        <f t="shared" si="0"/>
        <v>46296</v>
      </c>
      <c r="B7" s="66">
        <f t="shared" si="1"/>
        <v>46303</v>
      </c>
      <c r="C7" s="66">
        <f>PACKING!H16</f>
        <v>0</v>
      </c>
      <c r="D7" s="66">
        <f t="shared" si="2"/>
        <v>0</v>
      </c>
      <c r="E7" s="28" t="str">
        <f>PACKING!E16</f>
        <v>12:00</v>
      </c>
      <c r="F7" s="13">
        <v>1</v>
      </c>
      <c r="G7" s="8">
        <f>PACKING!F16</f>
        <v>0</v>
      </c>
      <c r="H7" s="219">
        <f>PACKING!J16</f>
        <v>0</v>
      </c>
      <c r="I7" s="219">
        <f>PACKING!K16</f>
        <v>0</v>
      </c>
      <c r="J7" s="219">
        <f>PACKING!L16</f>
        <v>0</v>
      </c>
      <c r="K7" s="219">
        <f>PACKING!M16</f>
        <v>0</v>
      </c>
      <c r="L7" s="219">
        <f>PACKING!N16</f>
        <v>0</v>
      </c>
      <c r="M7" s="219">
        <f>PACKING!O16</f>
        <v>0</v>
      </c>
      <c r="N7" s="219">
        <f>PACKING!P16</f>
        <v>0</v>
      </c>
      <c r="O7" s="219">
        <f>PACKING!Q16</f>
        <v>0</v>
      </c>
      <c r="P7" s="219">
        <f>PACKING!R16</f>
        <v>0</v>
      </c>
      <c r="Q7" s="219">
        <f>PACKING!S16</f>
        <v>0</v>
      </c>
      <c r="R7" s="219">
        <f>PACKING!T16</f>
        <v>0</v>
      </c>
      <c r="S7" s="219">
        <f>PACKING!U16</f>
        <v>0</v>
      </c>
      <c r="T7" s="219">
        <f>PACKING!V16</f>
        <v>0</v>
      </c>
      <c r="U7" s="219">
        <f>PACKING!W16</f>
        <v>0</v>
      </c>
      <c r="V7" s="219">
        <f>PACKING!X16</f>
        <v>0</v>
      </c>
      <c r="W7" s="219">
        <f>PACKING!Y16</f>
        <v>0</v>
      </c>
      <c r="X7" s="219">
        <f>PACKING!Z16</f>
        <v>0</v>
      </c>
      <c r="Y7" s="14">
        <f>PACKING!G16</f>
        <v>0</v>
      </c>
      <c r="AO7" s="222" t="s">
        <v>375</v>
      </c>
      <c r="AP7" s="221">
        <f>+AA25</f>
        <v>1</v>
      </c>
    </row>
    <row r="8" spans="1:42" hidden="1" outlineLevel="1" x14ac:dyDescent="0.35">
      <c r="A8" s="11">
        <f t="shared" si="0"/>
        <v>46296</v>
      </c>
      <c r="B8" s="66">
        <f t="shared" si="1"/>
        <v>46303</v>
      </c>
      <c r="C8" s="66">
        <f>PACKING!H17</f>
        <v>0</v>
      </c>
      <c r="D8" s="66">
        <f t="shared" si="2"/>
        <v>0</v>
      </c>
      <c r="E8" s="28" t="str">
        <f>PACKING!E17</f>
        <v>13:00</v>
      </c>
      <c r="F8" s="13">
        <v>1</v>
      </c>
      <c r="G8" s="8">
        <f>PACKING!F17</f>
        <v>0</v>
      </c>
      <c r="H8" s="219">
        <f>PACKING!J17</f>
        <v>0</v>
      </c>
      <c r="I8" s="219">
        <f>PACKING!K17</f>
        <v>0</v>
      </c>
      <c r="J8" s="219">
        <f>PACKING!L17</f>
        <v>0</v>
      </c>
      <c r="K8" s="219">
        <f>PACKING!M17</f>
        <v>0</v>
      </c>
      <c r="L8" s="219">
        <f>PACKING!N17</f>
        <v>0</v>
      </c>
      <c r="M8" s="219">
        <f>PACKING!O17</f>
        <v>0</v>
      </c>
      <c r="N8" s="219">
        <f>PACKING!P17</f>
        <v>0</v>
      </c>
      <c r="O8" s="219">
        <f>PACKING!Q17</f>
        <v>0</v>
      </c>
      <c r="P8" s="219">
        <f>PACKING!R17</f>
        <v>0</v>
      </c>
      <c r="Q8" s="219">
        <f>PACKING!S17</f>
        <v>0</v>
      </c>
      <c r="R8" s="219">
        <f>PACKING!T17</f>
        <v>0</v>
      </c>
      <c r="S8" s="219">
        <f>PACKING!U17</f>
        <v>0</v>
      </c>
      <c r="T8" s="219">
        <f>PACKING!V17</f>
        <v>0</v>
      </c>
      <c r="U8" s="219">
        <f>PACKING!W17</f>
        <v>0</v>
      </c>
      <c r="V8" s="219">
        <f>PACKING!X17</f>
        <v>0</v>
      </c>
      <c r="W8" s="219">
        <f>PACKING!Y17</f>
        <v>0</v>
      </c>
      <c r="X8" s="219">
        <f>PACKING!Z17</f>
        <v>0</v>
      </c>
      <c r="Y8" s="14">
        <f>PACKING!G17</f>
        <v>0</v>
      </c>
      <c r="AO8" s="222" t="s">
        <v>227</v>
      </c>
      <c r="AP8" s="221">
        <f>+AB25</f>
        <v>1</v>
      </c>
    </row>
    <row r="9" spans="1:42" hidden="1" outlineLevel="1" x14ac:dyDescent="0.35">
      <c r="A9" s="11">
        <f t="shared" si="0"/>
        <v>46296</v>
      </c>
      <c r="B9" s="66">
        <f t="shared" si="1"/>
        <v>46303</v>
      </c>
      <c r="C9" s="66">
        <f>PACKING!I21</f>
        <v>0</v>
      </c>
      <c r="D9" s="66">
        <f t="shared" si="2"/>
        <v>0</v>
      </c>
      <c r="E9" s="28" t="str">
        <f>PACKING!E20</f>
        <v>06:00</v>
      </c>
      <c r="F9" s="13">
        <v>2</v>
      </c>
      <c r="G9" s="8">
        <f>PACKING!F21</f>
        <v>0</v>
      </c>
      <c r="H9" s="219" t="e">
        <f>PACKING!#REF!</f>
        <v>#REF!</v>
      </c>
      <c r="I9" s="219">
        <f>PACKING!K20</f>
        <v>0</v>
      </c>
      <c r="J9" s="219">
        <f>PACKING!L20</f>
        <v>0</v>
      </c>
      <c r="K9" s="219">
        <f>PACKING!M20</f>
        <v>0</v>
      </c>
      <c r="L9" s="219">
        <f>PACKING!N20</f>
        <v>0</v>
      </c>
      <c r="M9" s="219">
        <f>PACKING!O20</f>
        <v>0</v>
      </c>
      <c r="N9" s="219">
        <f>PACKING!P20</f>
        <v>0</v>
      </c>
      <c r="O9" s="219">
        <f>PACKING!Q23</f>
        <v>0</v>
      </c>
      <c r="P9" s="219">
        <f>PACKING!R23</f>
        <v>0</v>
      </c>
      <c r="Q9" s="219">
        <f>PACKING!S23</f>
        <v>0</v>
      </c>
      <c r="R9" s="219">
        <f>PACKING!T23</f>
        <v>0</v>
      </c>
      <c r="S9" s="219">
        <f>PACKING!U23</f>
        <v>0</v>
      </c>
      <c r="T9" s="219">
        <f>PACKING!V23</f>
        <v>0</v>
      </c>
      <c r="U9" s="219">
        <f>PACKING!W20</f>
        <v>0</v>
      </c>
      <c r="V9" s="219">
        <f>PACKING!X20</f>
        <v>0</v>
      </c>
      <c r="W9" s="219">
        <f>PACKING!Y20</f>
        <v>0</v>
      </c>
      <c r="X9" s="219">
        <f>PACKING!Z20</f>
        <v>0</v>
      </c>
      <c r="Y9" s="14" t="e">
        <f>PACKING!#REF!</f>
        <v>#REF!</v>
      </c>
      <c r="AO9" s="222" t="s">
        <v>228</v>
      </c>
      <c r="AP9" s="221">
        <f>+AC25</f>
        <v>0.89772727272727271</v>
      </c>
    </row>
    <row r="10" spans="1:42" hidden="1" outlineLevel="1" x14ac:dyDescent="0.35">
      <c r="A10" s="11">
        <f t="shared" si="0"/>
        <v>46296</v>
      </c>
      <c r="B10" s="66">
        <f t="shared" si="1"/>
        <v>46303</v>
      </c>
      <c r="C10" s="66" t="e">
        <f>PACKING!#REF!</f>
        <v>#REF!</v>
      </c>
      <c r="D10" s="66">
        <f t="shared" si="2"/>
        <v>0</v>
      </c>
      <c r="E10" s="28" t="str">
        <f>PACKING!E21</f>
        <v>07:00</v>
      </c>
      <c r="F10" s="13">
        <v>2</v>
      </c>
      <c r="G10" s="8" t="e">
        <f>PACKING!#REF!</f>
        <v>#REF!</v>
      </c>
      <c r="H10" s="219" t="e">
        <f>PACKING!#REF!</f>
        <v>#REF!</v>
      </c>
      <c r="I10" s="219">
        <f>PACKING!K21</f>
        <v>0</v>
      </c>
      <c r="J10" s="219">
        <f>PACKING!L21</f>
        <v>0</v>
      </c>
      <c r="K10" s="219">
        <f>PACKING!M21</f>
        <v>0</v>
      </c>
      <c r="L10" s="219">
        <f>PACKING!N21</f>
        <v>0</v>
      </c>
      <c r="M10" s="219">
        <f>PACKING!O21</f>
        <v>0</v>
      </c>
      <c r="N10" s="219">
        <f>PACKING!P21</f>
        <v>0</v>
      </c>
      <c r="O10" s="219">
        <f>PACKING!Q21</f>
        <v>0</v>
      </c>
      <c r="P10" s="219">
        <f>PACKING!R21</f>
        <v>0</v>
      </c>
      <c r="Q10" s="219">
        <f>PACKING!S21</f>
        <v>0</v>
      </c>
      <c r="R10" s="219">
        <f>PACKING!T21</f>
        <v>0</v>
      </c>
      <c r="S10" s="219">
        <f>PACKING!U21</f>
        <v>0</v>
      </c>
      <c r="T10" s="219">
        <f>PACKING!V21</f>
        <v>0</v>
      </c>
      <c r="U10" s="219">
        <f>PACKING!W21</f>
        <v>0</v>
      </c>
      <c r="V10" s="219">
        <f>PACKING!X21</f>
        <v>0</v>
      </c>
      <c r="W10" s="219">
        <f>PACKING!Y21</f>
        <v>0</v>
      </c>
      <c r="X10" s="219">
        <f>PACKING!Z21</f>
        <v>0</v>
      </c>
      <c r="Y10" s="14">
        <f>PACKING!G22</f>
        <v>0</v>
      </c>
      <c r="AO10" s="222" t="s">
        <v>229</v>
      </c>
      <c r="AP10" s="221">
        <f>+AD25</f>
        <v>0.95833333333333337</v>
      </c>
    </row>
    <row r="11" spans="1:42" hidden="1" outlineLevel="1" x14ac:dyDescent="0.35">
      <c r="A11" s="11">
        <f t="shared" si="0"/>
        <v>46296</v>
      </c>
      <c r="B11" s="66">
        <f t="shared" si="1"/>
        <v>46303</v>
      </c>
      <c r="C11" s="66">
        <f>PACKING!I22</f>
        <v>0</v>
      </c>
      <c r="D11" s="66">
        <f t="shared" si="2"/>
        <v>0</v>
      </c>
      <c r="E11" s="28" t="str">
        <f>PACKING!E22</f>
        <v>08:00</v>
      </c>
      <c r="F11" s="13">
        <v>2</v>
      </c>
      <c r="G11" s="8">
        <f>PACKING!F22</f>
        <v>0</v>
      </c>
      <c r="H11" s="219">
        <f>PACKING!J22</f>
        <v>0</v>
      </c>
      <c r="I11" s="219">
        <f>PACKING!K22</f>
        <v>0</v>
      </c>
      <c r="J11" s="219">
        <f>PACKING!L22</f>
        <v>0</v>
      </c>
      <c r="K11" s="219">
        <f>PACKING!M22</f>
        <v>0</v>
      </c>
      <c r="L11" s="219">
        <f>PACKING!N22</f>
        <v>0</v>
      </c>
      <c r="M11" s="219">
        <f>PACKING!O22</f>
        <v>0</v>
      </c>
      <c r="N11" s="219">
        <f>PACKING!P22</f>
        <v>0</v>
      </c>
      <c r="O11" s="219">
        <f>PACKING!Q22</f>
        <v>0</v>
      </c>
      <c r="P11" s="219">
        <f>PACKING!R22</f>
        <v>0</v>
      </c>
      <c r="Q11" s="219">
        <f>PACKING!S22</f>
        <v>0</v>
      </c>
      <c r="R11" s="219">
        <f>PACKING!T22</f>
        <v>0</v>
      </c>
      <c r="S11" s="219">
        <f>PACKING!U22</f>
        <v>0</v>
      </c>
      <c r="T11" s="219">
        <f>PACKING!V22</f>
        <v>0</v>
      </c>
      <c r="U11" s="219">
        <f>PACKING!W22</f>
        <v>0</v>
      </c>
      <c r="V11" s="219">
        <f>PACKING!X22</f>
        <v>0</v>
      </c>
      <c r="W11" s="219">
        <f>PACKING!Y22</f>
        <v>0</v>
      </c>
      <c r="X11" s="219">
        <f>PACKING!Z22</f>
        <v>0</v>
      </c>
      <c r="Y11" s="14">
        <f>PACKING!G23</f>
        <v>0</v>
      </c>
      <c r="AO11" s="222" t="s">
        <v>230</v>
      </c>
      <c r="AP11" s="221">
        <f>+AE25</f>
        <v>1</v>
      </c>
    </row>
    <row r="12" spans="1:42" hidden="1" outlineLevel="1" x14ac:dyDescent="0.35">
      <c r="A12" s="11">
        <f t="shared" si="0"/>
        <v>46296</v>
      </c>
      <c r="B12" s="66">
        <f t="shared" si="1"/>
        <v>46303</v>
      </c>
      <c r="C12" s="66">
        <f>PACKING!I23</f>
        <v>0</v>
      </c>
      <c r="D12" s="66">
        <f t="shared" si="2"/>
        <v>0</v>
      </c>
      <c r="E12" s="28" t="str">
        <f>PACKING!E23</f>
        <v>09:00</v>
      </c>
      <c r="F12" s="13">
        <v>2</v>
      </c>
      <c r="G12" s="8">
        <f>PACKING!F23</f>
        <v>0</v>
      </c>
      <c r="H12" s="219">
        <f>PACKING!J23</f>
        <v>0</v>
      </c>
      <c r="I12" s="219">
        <f>PACKING!K23</f>
        <v>0</v>
      </c>
      <c r="J12" s="219">
        <f>PACKING!L23</f>
        <v>0</v>
      </c>
      <c r="K12" s="219">
        <f>PACKING!M23</f>
        <v>0</v>
      </c>
      <c r="L12" s="219">
        <f>PACKING!N23</f>
        <v>0</v>
      </c>
      <c r="M12" s="219">
        <f>PACKING!O23</f>
        <v>0</v>
      </c>
      <c r="N12" s="219">
        <f>PACKING!P23</f>
        <v>0</v>
      </c>
      <c r="O12" s="219">
        <f>PACKING!Q23</f>
        <v>0</v>
      </c>
      <c r="P12" s="219">
        <f>PACKING!R23</f>
        <v>0</v>
      </c>
      <c r="Q12" s="219">
        <f>PACKING!S23</f>
        <v>0</v>
      </c>
      <c r="R12" s="219">
        <f>PACKING!T23</f>
        <v>0</v>
      </c>
      <c r="S12" s="219">
        <f>PACKING!U23</f>
        <v>0</v>
      </c>
      <c r="T12" s="219">
        <f>PACKING!V23</f>
        <v>0</v>
      </c>
      <c r="U12" s="219">
        <f>PACKING!W23</f>
        <v>0</v>
      </c>
      <c r="V12" s="219">
        <f>PACKING!X23</f>
        <v>0</v>
      </c>
      <c r="W12" s="219">
        <f>PACKING!Y23</f>
        <v>0</v>
      </c>
      <c r="X12" s="219">
        <f>PACKING!Z23</f>
        <v>0</v>
      </c>
      <c r="Y12" s="14">
        <f>PACKING!G24</f>
        <v>0</v>
      </c>
      <c r="AO12" s="222" t="s">
        <v>231</v>
      </c>
      <c r="AP12" s="221">
        <f>+AF25</f>
        <v>0.60869565217391308</v>
      </c>
    </row>
    <row r="13" spans="1:42" hidden="1" outlineLevel="1" x14ac:dyDescent="0.35">
      <c r="A13" s="11">
        <f t="shared" si="0"/>
        <v>46296</v>
      </c>
      <c r="B13" s="66">
        <f t="shared" si="1"/>
        <v>46303</v>
      </c>
      <c r="C13" s="66">
        <f>PACKING!I24</f>
        <v>0</v>
      </c>
      <c r="D13" s="66">
        <f t="shared" si="2"/>
        <v>0</v>
      </c>
      <c r="E13" s="28" t="str">
        <f>PACKING!E24</f>
        <v>10:00</v>
      </c>
      <c r="F13" s="13">
        <v>2</v>
      </c>
      <c r="G13" s="8">
        <f>PACKING!F24</f>
        <v>0</v>
      </c>
      <c r="H13" s="219">
        <f>PACKING!J24</f>
        <v>0</v>
      </c>
      <c r="I13" s="219">
        <f>PACKING!K24</f>
        <v>0</v>
      </c>
      <c r="J13" s="219">
        <f>PACKING!L24</f>
        <v>0</v>
      </c>
      <c r="K13" s="219">
        <f>PACKING!M24</f>
        <v>0</v>
      </c>
      <c r="L13" s="219">
        <f>PACKING!N24</f>
        <v>0</v>
      </c>
      <c r="M13" s="219">
        <f>PACKING!O24</f>
        <v>0</v>
      </c>
      <c r="N13" s="219">
        <f>PACKING!P24</f>
        <v>0</v>
      </c>
      <c r="O13" s="219">
        <f>PACKING!Q24</f>
        <v>0</v>
      </c>
      <c r="P13" s="219">
        <f>PACKING!R24</f>
        <v>0</v>
      </c>
      <c r="Q13" s="219">
        <f>PACKING!S24</f>
        <v>0</v>
      </c>
      <c r="R13" s="219">
        <f>PACKING!T24</f>
        <v>0</v>
      </c>
      <c r="S13" s="219">
        <f>PACKING!U24</f>
        <v>0</v>
      </c>
      <c r="T13" s="219">
        <f>PACKING!V24</f>
        <v>0</v>
      </c>
      <c r="U13" s="219">
        <f>PACKING!W24</f>
        <v>0</v>
      </c>
      <c r="V13" s="219">
        <f>PACKING!X24</f>
        <v>0</v>
      </c>
      <c r="W13" s="219">
        <f>PACKING!Y24</f>
        <v>0</v>
      </c>
      <c r="X13" s="219">
        <f>PACKING!Z24</f>
        <v>0</v>
      </c>
      <c r="Y13" s="14">
        <f>PACKING!G25</f>
        <v>0</v>
      </c>
      <c r="AO13" s="222" t="s">
        <v>232</v>
      </c>
      <c r="AP13" s="221">
        <f>+AG25</f>
        <v>0.90909090909090906</v>
      </c>
    </row>
    <row r="14" spans="1:42" hidden="1" outlineLevel="1" x14ac:dyDescent="0.35">
      <c r="A14" s="11">
        <f t="shared" si="0"/>
        <v>46296</v>
      </c>
      <c r="B14" s="66">
        <f t="shared" si="1"/>
        <v>46303</v>
      </c>
      <c r="C14" s="66">
        <f>PACKING!I25</f>
        <v>0</v>
      </c>
      <c r="D14" s="66">
        <f t="shared" si="2"/>
        <v>0</v>
      </c>
      <c r="E14" s="28" t="str">
        <f>PACKING!E25</f>
        <v>11:00</v>
      </c>
      <c r="F14" s="13">
        <v>2</v>
      </c>
      <c r="G14" s="8">
        <f>PACKING!F25</f>
        <v>0</v>
      </c>
      <c r="H14" s="219">
        <f>PACKING!J25</f>
        <v>0</v>
      </c>
      <c r="I14" s="219">
        <f>PACKING!K25</f>
        <v>0</v>
      </c>
      <c r="J14" s="219">
        <f>PACKING!L25</f>
        <v>0</v>
      </c>
      <c r="K14" s="219">
        <f>PACKING!M25</f>
        <v>0</v>
      </c>
      <c r="L14" s="219">
        <f>PACKING!N25</f>
        <v>0</v>
      </c>
      <c r="M14" s="219">
        <f>PACKING!O25</f>
        <v>0</v>
      </c>
      <c r="N14" s="219">
        <f>PACKING!P25</f>
        <v>0</v>
      </c>
      <c r="O14" s="219">
        <f>PACKING!Q25</f>
        <v>0</v>
      </c>
      <c r="P14" s="219">
        <f>PACKING!R25</f>
        <v>0</v>
      </c>
      <c r="Q14" s="219">
        <f>PACKING!S25</f>
        <v>0</v>
      </c>
      <c r="R14" s="219">
        <f>PACKING!T25</f>
        <v>0</v>
      </c>
      <c r="S14" s="219">
        <f>PACKING!U25</f>
        <v>0</v>
      </c>
      <c r="T14" s="219">
        <f>PACKING!V25</f>
        <v>0</v>
      </c>
      <c r="U14" s="219">
        <f>PACKING!W25</f>
        <v>0</v>
      </c>
      <c r="V14" s="219">
        <f>PACKING!X25</f>
        <v>0</v>
      </c>
      <c r="W14" s="219">
        <f>PACKING!Y25</f>
        <v>0</v>
      </c>
      <c r="X14" s="219">
        <f>PACKING!Z25</f>
        <v>0</v>
      </c>
      <c r="Y14" s="14">
        <f>PACKING!G26</f>
        <v>0</v>
      </c>
      <c r="AO14" s="222" t="s">
        <v>233</v>
      </c>
      <c r="AP14" s="221">
        <f>+AH25</f>
        <v>0.81818181818181823</v>
      </c>
    </row>
    <row r="15" spans="1:42" hidden="1" outlineLevel="1" x14ac:dyDescent="0.35">
      <c r="A15" s="11">
        <f t="shared" si="0"/>
        <v>46296</v>
      </c>
      <c r="B15" s="66">
        <f t="shared" si="1"/>
        <v>46303</v>
      </c>
      <c r="C15" s="66">
        <f>PACKING!I26</f>
        <v>0</v>
      </c>
      <c r="D15" s="66">
        <f t="shared" si="2"/>
        <v>0</v>
      </c>
      <c r="E15" s="28" t="str">
        <f>PACKING!E26</f>
        <v>12:00</v>
      </c>
      <c r="F15" s="13">
        <v>2</v>
      </c>
      <c r="G15" s="8">
        <f>PACKING!F26</f>
        <v>0</v>
      </c>
      <c r="H15" s="219">
        <f>PACKING!J26</f>
        <v>0</v>
      </c>
      <c r="I15" s="219">
        <f>PACKING!K26</f>
        <v>0</v>
      </c>
      <c r="J15" s="219">
        <f>PACKING!L26</f>
        <v>0</v>
      </c>
      <c r="K15" s="219">
        <f>PACKING!M26</f>
        <v>0</v>
      </c>
      <c r="L15" s="219">
        <f>PACKING!N26</f>
        <v>0</v>
      </c>
      <c r="M15" s="219">
        <f>PACKING!O26</f>
        <v>0</v>
      </c>
      <c r="N15" s="219">
        <f>PACKING!P26</f>
        <v>0</v>
      </c>
      <c r="O15" s="219">
        <f>PACKING!Q26</f>
        <v>0</v>
      </c>
      <c r="P15" s="219">
        <f>PACKING!R26</f>
        <v>0</v>
      </c>
      <c r="Q15" s="219">
        <f>PACKING!S26</f>
        <v>0</v>
      </c>
      <c r="R15" s="219">
        <f>PACKING!T26</f>
        <v>0</v>
      </c>
      <c r="S15" s="219">
        <f>PACKING!U26</f>
        <v>0</v>
      </c>
      <c r="T15" s="219">
        <f>PACKING!V26</f>
        <v>0</v>
      </c>
      <c r="U15" s="219">
        <f>PACKING!W26</f>
        <v>0</v>
      </c>
      <c r="V15" s="219">
        <f>PACKING!X26</f>
        <v>0</v>
      </c>
      <c r="W15" s="219">
        <f>PACKING!Y26</f>
        <v>0</v>
      </c>
      <c r="X15" s="219">
        <f>PACKING!Z26</f>
        <v>0</v>
      </c>
      <c r="Y15" s="14">
        <f>PACKING!G27</f>
        <v>0</v>
      </c>
      <c r="AO15" s="222" t="s">
        <v>234</v>
      </c>
      <c r="AP15" s="221">
        <f>+AI25</f>
        <v>0.95833333333333337</v>
      </c>
    </row>
    <row r="16" spans="1:42" hidden="1" outlineLevel="1" x14ac:dyDescent="0.35">
      <c r="A16" s="11">
        <f t="shared" si="0"/>
        <v>46296</v>
      </c>
      <c r="B16" s="66">
        <f t="shared" si="1"/>
        <v>46303</v>
      </c>
      <c r="C16" s="66">
        <f>PACKING!I27</f>
        <v>0</v>
      </c>
      <c r="D16" s="66">
        <f t="shared" si="2"/>
        <v>0</v>
      </c>
      <c r="E16" s="28" t="str">
        <f>PACKING!E27</f>
        <v>13:00</v>
      </c>
      <c r="F16" s="13">
        <v>2</v>
      </c>
      <c r="G16" s="8">
        <f>PACKING!F27</f>
        <v>0</v>
      </c>
      <c r="H16" s="219">
        <f>PACKING!J27</f>
        <v>0</v>
      </c>
      <c r="I16" s="219">
        <f>PACKING!K27</f>
        <v>0</v>
      </c>
      <c r="J16" s="219">
        <f>PACKING!L27</f>
        <v>0</v>
      </c>
      <c r="K16" s="219">
        <f>PACKING!M27</f>
        <v>0</v>
      </c>
      <c r="L16" s="219">
        <f>PACKING!N27</f>
        <v>0</v>
      </c>
      <c r="M16" s="219">
        <f>PACKING!O27</f>
        <v>0</v>
      </c>
      <c r="N16" s="219">
        <f>PACKING!P27</f>
        <v>0</v>
      </c>
      <c r="O16" s="219">
        <f>PACKING!Q27</f>
        <v>0</v>
      </c>
      <c r="P16" s="219">
        <f>PACKING!R27</f>
        <v>0</v>
      </c>
      <c r="Q16" s="219">
        <f>PACKING!S27</f>
        <v>0</v>
      </c>
      <c r="R16" s="219">
        <f>PACKING!T27</f>
        <v>0</v>
      </c>
      <c r="S16" s="219">
        <f>PACKING!U27</f>
        <v>0</v>
      </c>
      <c r="T16" s="219">
        <f>PACKING!V27</f>
        <v>0</v>
      </c>
      <c r="U16" s="219">
        <f>PACKING!W27</f>
        <v>0</v>
      </c>
      <c r="V16" s="219">
        <f>PACKING!X27</f>
        <v>0</v>
      </c>
      <c r="W16" s="219">
        <f>PACKING!Y27</f>
        <v>0</v>
      </c>
      <c r="X16" s="219">
        <f>PACKING!Z27</f>
        <v>0</v>
      </c>
      <c r="Y16" s="14">
        <f>PACKING!G28</f>
        <v>0</v>
      </c>
      <c r="AO16" s="223" t="s">
        <v>376</v>
      </c>
      <c r="AP16" s="221" t="e">
        <f>+AJ25</f>
        <v>#DIV/0!</v>
      </c>
    </row>
    <row r="17" spans="1:63" hidden="1" outlineLevel="1" x14ac:dyDescent="0.35">
      <c r="A17" s="11">
        <f t="shared" si="0"/>
        <v>46296</v>
      </c>
      <c r="B17" s="66">
        <f t="shared" si="1"/>
        <v>46303</v>
      </c>
      <c r="C17" s="66">
        <f>PACKING!H30</f>
        <v>0</v>
      </c>
      <c r="D17" s="66">
        <f t="shared" si="2"/>
        <v>0</v>
      </c>
      <c r="E17" s="28" t="str">
        <f>PACKING!E30</f>
        <v>06:00</v>
      </c>
      <c r="F17" s="13">
        <v>3</v>
      </c>
      <c r="G17" s="8">
        <f>PACKING!F30</f>
        <v>0</v>
      </c>
      <c r="H17" s="219">
        <f>PACKING!J30</f>
        <v>0</v>
      </c>
      <c r="I17" s="10">
        <f>PACKING!K30</f>
        <v>0</v>
      </c>
      <c r="J17" s="10">
        <f>PACKING!L30</f>
        <v>0</v>
      </c>
      <c r="K17" s="10">
        <f>PACKING!M30</f>
        <v>0</v>
      </c>
      <c r="L17" s="10">
        <f>PACKING!N30</f>
        <v>0</v>
      </c>
      <c r="M17" s="10">
        <f>PACKING!O30</f>
        <v>0</v>
      </c>
      <c r="N17" s="219">
        <f>PACKING!P30</f>
        <v>0</v>
      </c>
      <c r="O17" s="219">
        <f>PACKING!Q30</f>
        <v>0</v>
      </c>
      <c r="P17" s="219">
        <f>PACKING!R30</f>
        <v>0</v>
      </c>
      <c r="Q17" s="219">
        <f>PACKING!S30</f>
        <v>0</v>
      </c>
      <c r="R17" s="219">
        <f>PACKING!T30</f>
        <v>0</v>
      </c>
      <c r="S17" s="219">
        <f>PACKING!U30</f>
        <v>0</v>
      </c>
      <c r="T17" s="219">
        <f>PACKING!V30</f>
        <v>0</v>
      </c>
      <c r="U17" s="219">
        <f>PACKING!W30</f>
        <v>0</v>
      </c>
      <c r="V17" s="219">
        <f>PACKING!X30</f>
        <v>0</v>
      </c>
      <c r="W17" s="10">
        <f>PACKING!Y30</f>
        <v>0</v>
      </c>
      <c r="X17" s="10">
        <f>PACKING!Z30</f>
        <v>0</v>
      </c>
      <c r="Y17" s="14">
        <f>PACKING!G30</f>
        <v>0</v>
      </c>
      <c r="AO17" s="223" t="s">
        <v>377</v>
      </c>
      <c r="AP17" s="221">
        <f>+AM25</f>
        <v>1</v>
      </c>
    </row>
    <row r="18" spans="1:63" hidden="1" outlineLevel="1" x14ac:dyDescent="0.35">
      <c r="A18" s="11">
        <f t="shared" si="0"/>
        <v>46296</v>
      </c>
      <c r="B18" s="66">
        <f t="shared" si="1"/>
        <v>46303</v>
      </c>
      <c r="C18" s="66">
        <f>PACKING!H31</f>
        <v>0</v>
      </c>
      <c r="D18" s="66">
        <f t="shared" si="2"/>
        <v>0</v>
      </c>
      <c r="E18" s="28" t="str">
        <f>PACKING!E31</f>
        <v>07:00</v>
      </c>
      <c r="F18" s="13">
        <v>3</v>
      </c>
      <c r="G18" s="8">
        <f>PACKING!F31</f>
        <v>0</v>
      </c>
      <c r="H18" s="219">
        <f>PACKING!J37</f>
        <v>0</v>
      </c>
      <c r="I18" s="10">
        <f>PACKING!K31</f>
        <v>0</v>
      </c>
      <c r="J18" s="10">
        <f>PACKING!L31</f>
        <v>0</v>
      </c>
      <c r="K18" s="10">
        <f>PACKING!M31</f>
        <v>0</v>
      </c>
      <c r="L18" s="10">
        <f>PACKING!N31</f>
        <v>0</v>
      </c>
      <c r="M18" s="10">
        <f>PACKING!O31</f>
        <v>0</v>
      </c>
      <c r="N18" s="219">
        <f>PACKING!P31</f>
        <v>0</v>
      </c>
      <c r="O18" s="219">
        <f>PACKING!Q31</f>
        <v>0</v>
      </c>
      <c r="P18" s="219">
        <f>PACKING!R31</f>
        <v>0</v>
      </c>
      <c r="Q18" s="219">
        <f>PACKING!S31</f>
        <v>0</v>
      </c>
      <c r="R18" s="219">
        <f>PACKING!T31</f>
        <v>0</v>
      </c>
      <c r="S18" s="219">
        <f>PACKING!U31</f>
        <v>0</v>
      </c>
      <c r="T18" s="219">
        <f>PACKING!V31</f>
        <v>0</v>
      </c>
      <c r="U18" s="219">
        <f>PACKING!W31</f>
        <v>0</v>
      </c>
      <c r="V18" s="219">
        <f>PACKING!X31</f>
        <v>0</v>
      </c>
      <c r="W18" s="10">
        <f>PACKING!Y31</f>
        <v>0</v>
      </c>
      <c r="X18" s="10">
        <f>PACKING!Z31</f>
        <v>0</v>
      </c>
      <c r="Y18" s="14">
        <f>PACKING!G31</f>
        <v>0</v>
      </c>
      <c r="AO18" s="223" t="s">
        <v>378</v>
      </c>
      <c r="AP18" s="221">
        <f>+AN25</f>
        <v>1</v>
      </c>
    </row>
    <row r="19" spans="1:63" hidden="1" outlineLevel="1" x14ac:dyDescent="0.35">
      <c r="A19" s="11">
        <f t="shared" si="0"/>
        <v>46296</v>
      </c>
      <c r="B19" s="66">
        <f t="shared" si="1"/>
        <v>46303</v>
      </c>
      <c r="C19" s="66">
        <f>PACKING!H32</f>
        <v>0</v>
      </c>
      <c r="D19" s="66">
        <f t="shared" si="2"/>
        <v>0</v>
      </c>
      <c r="E19" s="28" t="str">
        <f>PACKING!E32</f>
        <v>08:00</v>
      </c>
      <c r="F19" s="13">
        <v>3</v>
      </c>
      <c r="G19" s="8">
        <f>PACKING!F32</f>
        <v>0</v>
      </c>
      <c r="H19" s="219">
        <f>PACKING!J32</f>
        <v>0</v>
      </c>
      <c r="I19" s="10">
        <f>PACKING!K32</f>
        <v>0</v>
      </c>
      <c r="J19" s="10">
        <f>PACKING!L32</f>
        <v>0</v>
      </c>
      <c r="K19" s="10">
        <f>PACKING!M32</f>
        <v>0</v>
      </c>
      <c r="L19" s="10">
        <f>PACKING!N32</f>
        <v>0</v>
      </c>
      <c r="M19" s="10">
        <f>PACKING!O32</f>
        <v>0</v>
      </c>
      <c r="N19" s="219">
        <f>PACKING!P32</f>
        <v>0</v>
      </c>
      <c r="O19" s="219">
        <f>PACKING!Q32</f>
        <v>0</v>
      </c>
      <c r="P19" s="219">
        <f>PACKING!R32</f>
        <v>0</v>
      </c>
      <c r="Q19" s="219">
        <f>PACKING!R31</f>
        <v>0</v>
      </c>
      <c r="R19" s="219">
        <f>PACKING!T32</f>
        <v>0</v>
      </c>
      <c r="S19" s="219">
        <f>PACKING!U32</f>
        <v>0</v>
      </c>
      <c r="T19" s="219">
        <f>PACKING!V32</f>
        <v>0</v>
      </c>
      <c r="U19" s="219">
        <f>PACKING!W32</f>
        <v>0</v>
      </c>
      <c r="V19" s="219">
        <f>PACKING!X32</f>
        <v>0</v>
      </c>
      <c r="W19" s="10">
        <f>PACKING!Y32</f>
        <v>0</v>
      </c>
      <c r="X19" s="10">
        <f>PACKING!Z32</f>
        <v>0</v>
      </c>
      <c r="Y19" s="14">
        <f>PACKING!G32</f>
        <v>0</v>
      </c>
      <c r="AG19" s="224"/>
      <c r="AO19" s="223" t="s">
        <v>379</v>
      </c>
      <c r="AP19" s="221">
        <f>+AO25</f>
        <v>1</v>
      </c>
    </row>
    <row r="20" spans="1:63" hidden="1" outlineLevel="1" x14ac:dyDescent="0.35">
      <c r="A20" s="11">
        <f t="shared" si="0"/>
        <v>46296</v>
      </c>
      <c r="B20" s="66">
        <f t="shared" si="1"/>
        <v>46303</v>
      </c>
      <c r="C20" s="66">
        <f>PACKING!H33</f>
        <v>0</v>
      </c>
      <c r="D20" s="66">
        <f t="shared" si="2"/>
        <v>0</v>
      </c>
      <c r="E20" s="28" t="str">
        <f>PACKING!E33</f>
        <v>09:00</v>
      </c>
      <c r="F20" s="13">
        <v>3</v>
      </c>
      <c r="G20" s="8">
        <f>PACKING!F33</f>
        <v>0</v>
      </c>
      <c r="H20" s="219">
        <f>PACKING!J36</f>
        <v>0</v>
      </c>
      <c r="I20" s="10">
        <f>PACKING!K33</f>
        <v>0</v>
      </c>
      <c r="J20" s="10">
        <f>PACKING!L33</f>
        <v>0</v>
      </c>
      <c r="K20" s="10">
        <f>PACKING!M33</f>
        <v>0</v>
      </c>
      <c r="L20" s="10">
        <f>PACKING!N33</f>
        <v>0</v>
      </c>
      <c r="M20" s="10">
        <f>PACKING!O33</f>
        <v>0</v>
      </c>
      <c r="N20" s="219">
        <f>PACKING!P33</f>
        <v>0</v>
      </c>
      <c r="O20" s="219">
        <f>PACKING!Q33</f>
        <v>0</v>
      </c>
      <c r="P20" s="219">
        <f>PACKING!R33</f>
        <v>0</v>
      </c>
      <c r="Q20" s="219">
        <f>PACKING!S33</f>
        <v>0</v>
      </c>
      <c r="R20" s="219">
        <f>PACKING!T33</f>
        <v>0</v>
      </c>
      <c r="S20" s="219">
        <f>PACKING!U33</f>
        <v>0</v>
      </c>
      <c r="T20" s="219">
        <f>PACKING!V33</f>
        <v>0</v>
      </c>
      <c r="U20" s="219">
        <f>PACKING!W33</f>
        <v>0</v>
      </c>
      <c r="V20" s="219">
        <f>PACKING!X33</f>
        <v>0</v>
      </c>
      <c r="W20" s="10">
        <f>PACKING!Y33</f>
        <v>0</v>
      </c>
      <c r="X20" s="10">
        <f>PACKING!Z33</f>
        <v>0</v>
      </c>
      <c r="Y20" s="14">
        <f>PACKING!G33</f>
        <v>0</v>
      </c>
      <c r="AO20" s="227" t="s">
        <v>380</v>
      </c>
      <c r="AP20" s="221"/>
    </row>
    <row r="21" spans="1:63" hidden="1" outlineLevel="1" x14ac:dyDescent="0.35">
      <c r="A21" s="11">
        <f t="shared" si="0"/>
        <v>46296</v>
      </c>
      <c r="B21" s="66">
        <f t="shared" si="1"/>
        <v>46303</v>
      </c>
      <c r="C21" s="66">
        <f>PACKING!H34</f>
        <v>0</v>
      </c>
      <c r="D21" s="66">
        <f t="shared" si="2"/>
        <v>0</v>
      </c>
      <c r="E21" s="28" t="str">
        <f>PACKING!E34</f>
        <v>10:00</v>
      </c>
      <c r="F21" s="13">
        <v>3</v>
      </c>
      <c r="G21" s="8">
        <f>PACKING!F34</f>
        <v>0</v>
      </c>
      <c r="H21" s="219">
        <f>PACKING!J34</f>
        <v>0</v>
      </c>
      <c r="I21" s="10">
        <f>PACKING!K34</f>
        <v>0</v>
      </c>
      <c r="J21" s="10">
        <f>PACKING!L34</f>
        <v>0</v>
      </c>
      <c r="K21" s="10">
        <f>PACKING!M34</f>
        <v>0</v>
      </c>
      <c r="L21" s="10">
        <f>PACKING!N34</f>
        <v>0</v>
      </c>
      <c r="M21" s="10">
        <f>PACKING!O34</f>
        <v>0</v>
      </c>
      <c r="N21" s="219">
        <f>PACKING!P33</f>
        <v>0</v>
      </c>
      <c r="O21" s="219">
        <f>PACKING!Q34</f>
        <v>0</v>
      </c>
      <c r="P21" s="219">
        <f>PACKING!R34</f>
        <v>0</v>
      </c>
      <c r="Q21" s="219">
        <f>PACKING!S34</f>
        <v>0</v>
      </c>
      <c r="R21" s="219">
        <f>PACKING!T34</f>
        <v>0</v>
      </c>
      <c r="S21" s="219">
        <f>PACKING!U34</f>
        <v>0</v>
      </c>
      <c r="T21" s="219">
        <f>PACKING!V34</f>
        <v>0</v>
      </c>
      <c r="U21" s="219">
        <f>PACKING!W34</f>
        <v>0</v>
      </c>
      <c r="V21" s="219">
        <f>PACKING!X34</f>
        <v>0</v>
      </c>
      <c r="W21" s="10">
        <f>PACKING!Y34</f>
        <v>0</v>
      </c>
      <c r="X21" s="10">
        <f>PACKING!Z34</f>
        <v>0</v>
      </c>
      <c r="Y21" s="14">
        <f>PACKING!G34</f>
        <v>0</v>
      </c>
      <c r="Z21" s="224"/>
      <c r="AA21" s="224"/>
      <c r="AB21" s="224"/>
      <c r="AC21" s="224"/>
      <c r="AD21" s="224"/>
      <c r="AE21" s="224"/>
      <c r="AF21" s="224"/>
      <c r="AG21" s="224"/>
      <c r="AH21" s="224"/>
      <c r="AI21" s="224"/>
      <c r="AJ21" s="24"/>
      <c r="AK21" s="24"/>
      <c r="AL21" s="24"/>
      <c r="AM21" s="24"/>
      <c r="AN21" s="24"/>
      <c r="AO21" s="24"/>
      <c r="AP21" s="24"/>
      <c r="AQ21" s="24"/>
    </row>
    <row r="22" spans="1:63" hidden="1" outlineLevel="1" x14ac:dyDescent="0.35">
      <c r="A22" s="11">
        <f t="shared" si="0"/>
        <v>46296</v>
      </c>
      <c r="B22" s="66">
        <f t="shared" si="1"/>
        <v>46303</v>
      </c>
      <c r="C22" s="66">
        <f>PACKING!H35</f>
        <v>0</v>
      </c>
      <c r="D22" s="66">
        <f t="shared" si="2"/>
        <v>0</v>
      </c>
      <c r="E22" s="28" t="str">
        <f>PACKING!E35</f>
        <v>11:00</v>
      </c>
      <c r="F22" s="13">
        <v>3</v>
      </c>
      <c r="G22" s="8">
        <f>PACKING!F35</f>
        <v>0</v>
      </c>
      <c r="H22" s="219">
        <f>PACKING!J35</f>
        <v>0</v>
      </c>
      <c r="I22" s="10">
        <f>PACKING!K35</f>
        <v>0</v>
      </c>
      <c r="J22" s="10">
        <f>PACKING!L35</f>
        <v>0</v>
      </c>
      <c r="K22" s="10">
        <f>PACKING!M35</f>
        <v>0</v>
      </c>
      <c r="L22" s="10">
        <f>PACKING!N35</f>
        <v>0</v>
      </c>
      <c r="M22" s="10">
        <f>PACKING!O35</f>
        <v>0</v>
      </c>
      <c r="N22" s="219">
        <f>PACKING!P34</f>
        <v>0</v>
      </c>
      <c r="O22" s="219">
        <f>PACKING!Q35</f>
        <v>0</v>
      </c>
      <c r="P22" s="219">
        <f>PACKING!R35</f>
        <v>0</v>
      </c>
      <c r="Q22" s="219">
        <f>PACKING!S35</f>
        <v>0</v>
      </c>
      <c r="R22" s="219">
        <f>PACKING!T35</f>
        <v>0</v>
      </c>
      <c r="S22" s="219">
        <f>PACKING!U35</f>
        <v>0</v>
      </c>
      <c r="T22" s="219">
        <f>PACKING!V35</f>
        <v>0</v>
      </c>
      <c r="U22" s="219">
        <f>PACKING!W35</f>
        <v>0</v>
      </c>
      <c r="V22" s="219">
        <f>PACKING!X35</f>
        <v>0</v>
      </c>
      <c r="W22" s="10">
        <f>PACKING!Y35</f>
        <v>0</v>
      </c>
      <c r="X22" s="10">
        <f>PACKING!Z35</f>
        <v>0</v>
      </c>
      <c r="Y22" s="14">
        <f>PACKING!G35</f>
        <v>0</v>
      </c>
      <c r="Z22" s="224"/>
      <c r="AA22" s="224"/>
      <c r="AB22" s="224"/>
      <c r="AC22" s="224"/>
      <c r="AD22" s="224"/>
      <c r="AE22" s="224"/>
      <c r="AF22" s="224"/>
      <c r="AG22" s="224"/>
      <c r="AH22" s="224"/>
      <c r="AI22" s="224"/>
      <c r="AJ22" s="24"/>
      <c r="AK22" s="24"/>
      <c r="AL22" s="24"/>
      <c r="AM22" s="24"/>
      <c r="AN22" s="24"/>
      <c r="AO22" s="24"/>
      <c r="AP22" s="24"/>
      <c r="AQ22" s="24"/>
    </row>
    <row r="23" spans="1:63" hidden="1" outlineLevel="1" x14ac:dyDescent="0.35">
      <c r="A23" s="11">
        <f t="shared" si="0"/>
        <v>46296</v>
      </c>
      <c r="B23" s="66">
        <f t="shared" si="1"/>
        <v>46303</v>
      </c>
      <c r="C23" s="66">
        <f>PACKING!H36</f>
        <v>0</v>
      </c>
      <c r="D23" s="66">
        <f t="shared" si="2"/>
        <v>0</v>
      </c>
      <c r="E23" s="28" t="str">
        <f>PACKING!E36</f>
        <v>12:00</v>
      </c>
      <c r="F23" s="13">
        <v>3</v>
      </c>
      <c r="G23" s="8">
        <f>PACKING!F36</f>
        <v>0</v>
      </c>
      <c r="H23" s="219">
        <f>PACKING!J36</f>
        <v>0</v>
      </c>
      <c r="I23" s="10">
        <f>PACKING!K36</f>
        <v>0</v>
      </c>
      <c r="J23" s="10">
        <f>PACKING!L36</f>
        <v>0</v>
      </c>
      <c r="K23" s="10">
        <f>PACKING!M36</f>
        <v>0</v>
      </c>
      <c r="L23" s="10">
        <f>PACKING!N36</f>
        <v>0</v>
      </c>
      <c r="M23" s="10">
        <f>PACKING!O36</f>
        <v>0</v>
      </c>
      <c r="N23" s="219">
        <f>PACKING!P36</f>
        <v>0</v>
      </c>
      <c r="O23" s="219">
        <f>PACKING!Q36</f>
        <v>0</v>
      </c>
      <c r="P23" s="219">
        <f>PACKING!R36</f>
        <v>0</v>
      </c>
      <c r="Q23" s="219">
        <f>PACKING!S36</f>
        <v>0</v>
      </c>
      <c r="R23" s="219">
        <f>PACKING!T36</f>
        <v>0</v>
      </c>
      <c r="S23" s="219">
        <f>PACKING!U36</f>
        <v>0</v>
      </c>
      <c r="T23" s="219">
        <f>PACKING!V36</f>
        <v>0</v>
      </c>
      <c r="U23" s="219">
        <f>PACKING!W36</f>
        <v>0</v>
      </c>
      <c r="V23" s="219">
        <f>PACKING!X36</f>
        <v>0</v>
      </c>
      <c r="W23" s="10">
        <f>PACKING!Y36</f>
        <v>0</v>
      </c>
      <c r="X23" s="10">
        <f>PACKING!Z36</f>
        <v>0</v>
      </c>
      <c r="Y23" s="14">
        <f>PACKING!G36</f>
        <v>0</v>
      </c>
      <c r="AM23" s="24"/>
      <c r="AN23" s="24"/>
      <c r="AO23" s="24"/>
      <c r="AP23" s="24"/>
      <c r="AQ23" s="24"/>
    </row>
    <row r="24" spans="1:63" hidden="1" outlineLevel="1" x14ac:dyDescent="0.35">
      <c r="A24" s="11">
        <f t="shared" si="0"/>
        <v>46296</v>
      </c>
      <c r="B24" s="66">
        <f t="shared" si="1"/>
        <v>46303</v>
      </c>
      <c r="C24" s="66">
        <f>PACKING!H37</f>
        <v>0</v>
      </c>
      <c r="D24" s="66">
        <f t="shared" si="2"/>
        <v>0</v>
      </c>
      <c r="E24" s="28" t="str">
        <f>PACKING!E37</f>
        <v>13:00</v>
      </c>
      <c r="F24" s="13">
        <v>3</v>
      </c>
      <c r="G24" s="8">
        <f>PACKING!F37</f>
        <v>0</v>
      </c>
      <c r="H24" s="10">
        <f>PACKING!J37</f>
        <v>0</v>
      </c>
      <c r="I24" s="10">
        <f>PACKING!K37</f>
        <v>0</v>
      </c>
      <c r="J24" s="10">
        <f>PACKING!L37</f>
        <v>0</v>
      </c>
      <c r="K24" s="10">
        <f>PACKING!M37</f>
        <v>0</v>
      </c>
      <c r="L24" s="10">
        <f>PACKING!N37</f>
        <v>0</v>
      </c>
      <c r="M24" s="10">
        <f>PACKING!O37</f>
        <v>0</v>
      </c>
      <c r="N24" s="219">
        <f>PACKING!P37</f>
        <v>0</v>
      </c>
      <c r="O24" s="219">
        <f>PACKING!Q37</f>
        <v>0</v>
      </c>
      <c r="P24" s="219">
        <f>PACKING!R37</f>
        <v>0</v>
      </c>
      <c r="Q24" s="219">
        <f>PACKING!S37</f>
        <v>0</v>
      </c>
      <c r="R24" s="219">
        <f>PACKING!T37</f>
        <v>0</v>
      </c>
      <c r="S24" s="219">
        <f>PACKING!U37</f>
        <v>0</v>
      </c>
      <c r="T24" s="219">
        <f>PACKING!V37</f>
        <v>0</v>
      </c>
      <c r="U24" s="219">
        <f>PACKING!W37</f>
        <v>0</v>
      </c>
      <c r="V24" s="219">
        <f>PACKING!X37</f>
        <v>0</v>
      </c>
      <c r="W24" s="10">
        <f>PACKING!Y37</f>
        <v>0</v>
      </c>
      <c r="X24" s="10">
        <f>PACKING!Z37</f>
        <v>0</v>
      </c>
      <c r="Y24" s="14">
        <f>PACKING!G37</f>
        <v>0</v>
      </c>
      <c r="Z24" s="390" t="s">
        <v>381</v>
      </c>
      <c r="AA24" s="390"/>
      <c r="AB24" s="390"/>
      <c r="AC24" s="390"/>
      <c r="AD24" s="390"/>
      <c r="AE24" s="390"/>
      <c r="AF24" s="390"/>
      <c r="AG24" s="390"/>
      <c r="AH24" s="390"/>
      <c r="AI24" s="390"/>
      <c r="AJ24" s="390"/>
      <c r="AK24" s="390"/>
      <c r="AL24" s="390"/>
      <c r="AM24" s="391" t="s">
        <v>382</v>
      </c>
      <c r="AN24" s="391"/>
      <c r="AO24" s="391"/>
      <c r="AP24" s="391"/>
      <c r="AQ24" s="391"/>
    </row>
    <row r="25" spans="1:63" hidden="1" outlineLevel="1" x14ac:dyDescent="0.35">
      <c r="A25" s="11">
        <f t="shared" si="0"/>
        <v>46296</v>
      </c>
      <c r="B25" s="66">
        <f t="shared" si="1"/>
        <v>46303</v>
      </c>
      <c r="C25" s="66">
        <f>PACKING!H40</f>
        <v>0</v>
      </c>
      <c r="D25" s="66">
        <f t="shared" si="2"/>
        <v>0</v>
      </c>
      <c r="E25" s="28" t="str">
        <f>PACKING!E40</f>
        <v>06:00</v>
      </c>
      <c r="F25" s="13" t="s">
        <v>383</v>
      </c>
      <c r="G25" s="8">
        <f>PACKING!F40</f>
        <v>0</v>
      </c>
      <c r="H25" s="219">
        <f>PACKING!J40</f>
        <v>0</v>
      </c>
      <c r="I25" s="219">
        <f>PACKING!K40</f>
        <v>0</v>
      </c>
      <c r="J25" s="219">
        <f>PACKING!L40</f>
        <v>0</v>
      </c>
      <c r="K25" s="219">
        <f>PACKING!M40</f>
        <v>0</v>
      </c>
      <c r="L25" s="219">
        <f>PACKING!N40</f>
        <v>0</v>
      </c>
      <c r="M25" s="219">
        <f>PACKING!O40</f>
        <v>0</v>
      </c>
      <c r="N25" s="219">
        <f>PACKING!P40</f>
        <v>0</v>
      </c>
      <c r="O25" s="219">
        <f>PACKING!Q40</f>
        <v>0</v>
      </c>
      <c r="P25" s="219">
        <f>PACKING!R40</f>
        <v>0</v>
      </c>
      <c r="Q25" s="219">
        <f>PACKING!S40</f>
        <v>0</v>
      </c>
      <c r="R25" s="219">
        <f>PACKING!T40</f>
        <v>0</v>
      </c>
      <c r="S25" s="219">
        <f>PACKING!U40</f>
        <v>0</v>
      </c>
      <c r="T25" s="219">
        <f>PACKING!V40</f>
        <v>0</v>
      </c>
      <c r="U25" s="219">
        <f>PACKING!W40</f>
        <v>0</v>
      </c>
      <c r="V25" s="219">
        <f>PACKING!X40</f>
        <v>0</v>
      </c>
      <c r="W25" s="219">
        <f>PACKING!Y40</f>
        <v>0</v>
      </c>
      <c r="X25" s="219">
        <f>PACKING!Z40</f>
        <v>0</v>
      </c>
      <c r="Y25" s="14">
        <f>PACKING!G40</f>
        <v>0</v>
      </c>
      <c r="Z25" s="228">
        <f>+Z27/Z26</f>
        <v>1</v>
      </c>
      <c r="AA25" s="228">
        <f t="shared" ref="AA25:AO25" si="3">+AA27/AA26</f>
        <v>1</v>
      </c>
      <c r="AB25" s="228">
        <f t="shared" si="3"/>
        <v>1</v>
      </c>
      <c r="AC25" s="228">
        <f t="shared" si="3"/>
        <v>0.89772727272727271</v>
      </c>
      <c r="AD25" s="228">
        <f t="shared" si="3"/>
        <v>0.95833333333333337</v>
      </c>
      <c r="AE25" s="228">
        <f t="shared" si="3"/>
        <v>1</v>
      </c>
      <c r="AF25" s="228">
        <f t="shared" si="3"/>
        <v>0.60869565217391308</v>
      </c>
      <c r="AG25" s="228">
        <f t="shared" si="3"/>
        <v>0.90909090909090906</v>
      </c>
      <c r="AH25" s="228">
        <f t="shared" si="3"/>
        <v>0.81818181818181823</v>
      </c>
      <c r="AI25" s="228">
        <f t="shared" si="3"/>
        <v>0.95833333333333337</v>
      </c>
      <c r="AJ25" s="228" t="e">
        <f t="shared" si="3"/>
        <v>#DIV/0!</v>
      </c>
      <c r="AK25" s="228"/>
      <c r="AL25" s="228"/>
      <c r="AM25" s="228">
        <f t="shared" si="3"/>
        <v>1</v>
      </c>
      <c r="AN25" s="228">
        <f t="shared" si="3"/>
        <v>1</v>
      </c>
      <c r="AO25" s="228">
        <f t="shared" si="3"/>
        <v>1</v>
      </c>
      <c r="AP25" s="228"/>
      <c r="AQ25" s="24"/>
    </row>
    <row r="26" spans="1:63" hidden="1" outlineLevel="1" x14ac:dyDescent="0.35">
      <c r="A26" s="11">
        <f t="shared" si="0"/>
        <v>46296</v>
      </c>
      <c r="B26" s="66">
        <f t="shared" si="1"/>
        <v>46303</v>
      </c>
      <c r="C26" s="66">
        <f>PACKING!H41</f>
        <v>0</v>
      </c>
      <c r="D26" s="66">
        <f t="shared" si="2"/>
        <v>0</v>
      </c>
      <c r="E26" s="28" t="str">
        <f>PACKING!E41</f>
        <v>07:00</v>
      </c>
      <c r="F26" s="13" t="s">
        <v>383</v>
      </c>
      <c r="G26" s="8">
        <f>PACKING!F41</f>
        <v>0</v>
      </c>
      <c r="H26" s="219">
        <f>PACKING!J41</f>
        <v>0</v>
      </c>
      <c r="I26" s="219">
        <f>PACKING!K41</f>
        <v>0</v>
      </c>
      <c r="J26" s="219">
        <f>PACKING!L41</f>
        <v>0</v>
      </c>
      <c r="K26" s="219">
        <f>PACKING!M41</f>
        <v>0</v>
      </c>
      <c r="L26" s="219">
        <f>PACKING!N41</f>
        <v>0</v>
      </c>
      <c r="M26" s="219">
        <f>PACKING!O41</f>
        <v>0</v>
      </c>
      <c r="N26" s="219">
        <f>PACKING!P41</f>
        <v>0</v>
      </c>
      <c r="O26" s="219">
        <f>PACKING!Q41</f>
        <v>0</v>
      </c>
      <c r="P26" s="219">
        <f>PACKING!R41</f>
        <v>0</v>
      </c>
      <c r="Q26" s="219">
        <f>PACKING!S41</f>
        <v>0</v>
      </c>
      <c r="R26" s="219">
        <f>PACKING!T41</f>
        <v>0</v>
      </c>
      <c r="S26" s="219">
        <f>PACKING!U41</f>
        <v>0</v>
      </c>
      <c r="T26" s="219">
        <f>PACKING!V41</f>
        <v>0</v>
      </c>
      <c r="U26" s="219">
        <f>PACKING!W41</f>
        <v>0</v>
      </c>
      <c r="V26" s="219">
        <f>PACKING!X41</f>
        <v>0</v>
      </c>
      <c r="W26" s="219">
        <f>PACKING!Y41</f>
        <v>0</v>
      </c>
      <c r="X26" s="219">
        <f>PACKING!Z41</f>
        <v>0</v>
      </c>
      <c r="Y26" s="14">
        <f>PACKING!G41</f>
        <v>0</v>
      </c>
      <c r="Z26" s="224">
        <f>SUBTOTAL(2,Table4[[ QI Bran Content]])*2</f>
        <v>168</v>
      </c>
      <c r="AA26" s="224">
        <f>SUBTOTAL(2,Table4[QI Apperance])</f>
        <v>84</v>
      </c>
      <c r="AB26" s="224">
        <f>SUBTOTAL(2,Table4[QI Odor])*2</f>
        <v>168</v>
      </c>
      <c r="AC26" s="224">
        <f>SUBTOTAL(2,Table4[QI %MC])</f>
        <v>88</v>
      </c>
      <c r="AD26" s="225">
        <f>SUBTOTAL(2,Table4[QI Prot])</f>
        <v>24</v>
      </c>
      <c r="AE26" s="224">
        <f>SUBTOTAL(2,Table4[QI Ash])*2</f>
        <v>62</v>
      </c>
      <c r="AF26" s="224">
        <f>SUBTOTAL(2,Table4[QI Abs])*2</f>
        <v>46</v>
      </c>
      <c r="AG26" s="225">
        <f>SUBTOTAL(2,Table4[QI Ext])</f>
        <v>11</v>
      </c>
      <c r="AH26" s="225">
        <f>SUBTOTAL(2,Table4[QI Res])</f>
        <v>11</v>
      </c>
      <c r="AI26" s="224">
        <f>SUBTOTAL(2,Table4[QI WG])*2</f>
        <v>48</v>
      </c>
      <c r="AJ26" s="225">
        <f>SUBTOTAL(2,Table4[QI FN])</f>
        <v>0</v>
      </c>
      <c r="AK26" s="225"/>
      <c r="AL26" s="225"/>
      <c r="AM26" s="224">
        <f>SUBTOTAL(2,Table4[QI Weight])</f>
        <v>3</v>
      </c>
      <c r="AN26" s="224">
        <f>SUBTOTAL(2,Table4[QI Seal])</f>
        <v>84</v>
      </c>
      <c r="AO26" s="224">
        <f>SUBTOTAL(2,Table4[QI Code])</f>
        <v>84</v>
      </c>
      <c r="AP26" s="224"/>
      <c r="AQ26" s="24"/>
      <c r="AR26" s="24" t="s">
        <v>384</v>
      </c>
      <c r="BD26" s="268" t="s">
        <v>385</v>
      </c>
      <c r="BE26" s="269" t="s">
        <v>386</v>
      </c>
      <c r="BF26" s="269" t="s">
        <v>387</v>
      </c>
      <c r="BG26" s="269" t="s">
        <v>388</v>
      </c>
      <c r="BH26" s="269" t="s">
        <v>389</v>
      </c>
      <c r="BI26" s="269" t="s">
        <v>390</v>
      </c>
      <c r="BJ26" s="269" t="s">
        <v>391</v>
      </c>
      <c r="BK26" s="270" t="s">
        <v>392</v>
      </c>
    </row>
    <row r="27" spans="1:63" hidden="1" outlineLevel="1" x14ac:dyDescent="0.35">
      <c r="A27" s="11">
        <f t="shared" si="0"/>
        <v>46296</v>
      </c>
      <c r="B27" s="66">
        <f t="shared" si="1"/>
        <v>46303</v>
      </c>
      <c r="C27" s="66">
        <f>PACKING!H42</f>
        <v>0</v>
      </c>
      <c r="D27" s="66">
        <f t="shared" si="2"/>
        <v>0</v>
      </c>
      <c r="E27" s="28" t="str">
        <f>PACKING!E42</f>
        <v>08:00</v>
      </c>
      <c r="F27" s="13" t="s">
        <v>383</v>
      </c>
      <c r="G27" s="8">
        <f>PACKING!F42</f>
        <v>0</v>
      </c>
      <c r="H27" s="219">
        <f>PACKING!J42</f>
        <v>0</v>
      </c>
      <c r="I27" s="219">
        <f>PACKING!K42</f>
        <v>0</v>
      </c>
      <c r="J27" s="219">
        <f>PACKING!L42</f>
        <v>0</v>
      </c>
      <c r="K27" s="219">
        <f>PACKING!M42</f>
        <v>0</v>
      </c>
      <c r="L27" s="219">
        <f>PACKING!N42</f>
        <v>0</v>
      </c>
      <c r="M27" s="219">
        <f>PACKING!O42</f>
        <v>0</v>
      </c>
      <c r="N27" s="219">
        <f>PACKING!P42</f>
        <v>0</v>
      </c>
      <c r="O27" s="219">
        <f>PACKING!Q42</f>
        <v>0</v>
      </c>
      <c r="P27" s="219">
        <f>PACKING!R42</f>
        <v>0</v>
      </c>
      <c r="Q27" s="219">
        <f>PACKING!S42</f>
        <v>0</v>
      </c>
      <c r="R27" s="219">
        <f>PACKING!T42</f>
        <v>0</v>
      </c>
      <c r="S27" s="219">
        <f>PACKING!U42</f>
        <v>0</v>
      </c>
      <c r="T27" s="219">
        <f>PACKING!V42</f>
        <v>0</v>
      </c>
      <c r="U27" s="219">
        <f>PACKING!W42</f>
        <v>0</v>
      </c>
      <c r="V27" s="219">
        <f>PACKING!X42</f>
        <v>0</v>
      </c>
      <c r="W27" s="219">
        <f>PACKING!Y42</f>
        <v>0</v>
      </c>
      <c r="X27" s="219">
        <f>PACKING!Z42</f>
        <v>0</v>
      </c>
      <c r="Y27" s="14">
        <f>PACKING!G42</f>
        <v>0</v>
      </c>
      <c r="Z27" s="224">
        <f>SUBTOTAL(9,Table4[ [ QI Bran Content] ])</f>
        <v>168</v>
      </c>
      <c r="AA27" s="224">
        <f>SUBTOTAL(9,Table4[QI Apperance])</f>
        <v>84</v>
      </c>
      <c r="AB27" s="275">
        <f>SUBTOTAL(9,Table4[QI Odor])</f>
        <v>168</v>
      </c>
      <c r="AC27" s="276">
        <f>SUBTOTAL(9,Table4[QI %MC])</f>
        <v>79</v>
      </c>
      <c r="AD27" s="277">
        <f>SUBTOTAL(9,Table4[QI Prot])</f>
        <v>23</v>
      </c>
      <c r="AE27" s="276">
        <f>SUBTOTAL(9,Table4[QI Ash])</f>
        <v>62</v>
      </c>
      <c r="AF27" s="276">
        <f>SUBTOTAL(9,Table4[QI Abs])</f>
        <v>28</v>
      </c>
      <c r="AG27" s="277">
        <f>SUBTOTAL(9,Table4[QI Ext])</f>
        <v>10</v>
      </c>
      <c r="AH27" s="277">
        <f>SUBTOTAL(9,Table4[QI Res])</f>
        <v>9</v>
      </c>
      <c r="AI27" s="276">
        <f>SUBTOTAL(9,Table4[QI WG])</f>
        <v>46</v>
      </c>
      <c r="AJ27" s="277">
        <f>SUBTOTAL(9,Table4[QI FN])</f>
        <v>0</v>
      </c>
      <c r="AK27" s="277"/>
      <c r="AL27" s="277"/>
      <c r="AM27" s="276">
        <f>SUBTOTAL(9,Table4[QI Weight])</f>
        <v>3</v>
      </c>
      <c r="AN27" s="276">
        <f>SUBTOTAL(9,Table4[QI Seal])</f>
        <v>84</v>
      </c>
      <c r="AO27" s="276">
        <f>SUBTOTAL(9,Table4[QI Code])</f>
        <v>84</v>
      </c>
      <c r="AP27" s="276"/>
      <c r="AQ27" s="278"/>
      <c r="AR27" s="279" t="s">
        <v>393</v>
      </c>
      <c r="BD27" s="267">
        <f>SUBTOTAL(9,Table7[Low MC])</f>
        <v>8</v>
      </c>
      <c r="BE27" s="267">
        <f>SUBTOTAL(9,Table7[High MC])</f>
        <v>1</v>
      </c>
      <c r="BF27" s="267">
        <f>SUBTOTAL(9,Table7[Low Ash])</f>
        <v>0</v>
      </c>
      <c r="BG27" s="267">
        <f>SUBTOTAL(9,Table7[High Ash])</f>
        <v>0</v>
      </c>
      <c r="BH27" s="267">
        <f>SUBTOTAL(9,Table7[Low WA])</f>
        <v>9</v>
      </c>
      <c r="BI27" s="267">
        <f>SUBTOTAL(9,Table7[High WA])</f>
        <v>0</v>
      </c>
      <c r="BJ27" s="267">
        <f>SUBTOTAL(9,Table7[Low WG])</f>
        <v>1</v>
      </c>
      <c r="BK27" s="267">
        <f>SUBTOTAL(9,Table7[High WG])</f>
        <v>0</v>
      </c>
    </row>
    <row r="28" spans="1:63" hidden="1" outlineLevel="1" x14ac:dyDescent="0.35">
      <c r="A28" s="11">
        <f t="shared" si="0"/>
        <v>46296</v>
      </c>
      <c r="B28" s="66">
        <f t="shared" si="1"/>
        <v>46303</v>
      </c>
      <c r="C28" s="66">
        <f>PACKING!H43</f>
        <v>0</v>
      </c>
      <c r="D28" s="66">
        <f t="shared" si="2"/>
        <v>0</v>
      </c>
      <c r="E28" s="28" t="str">
        <f>PACKING!E43</f>
        <v>09:00</v>
      </c>
      <c r="F28" s="13" t="s">
        <v>383</v>
      </c>
      <c r="G28" s="8">
        <f>PACKING!F43</f>
        <v>0</v>
      </c>
      <c r="H28" s="219">
        <f>PACKING!J43</f>
        <v>0</v>
      </c>
      <c r="I28" s="219">
        <f>PACKING!K43</f>
        <v>0</v>
      </c>
      <c r="J28" s="219">
        <f>PACKING!L43</f>
        <v>0</v>
      </c>
      <c r="K28" s="219">
        <f>PACKING!M43</f>
        <v>0</v>
      </c>
      <c r="L28" s="219">
        <f>PACKING!N43</f>
        <v>0</v>
      </c>
      <c r="M28" s="219">
        <f>PACKING!O43</f>
        <v>0</v>
      </c>
      <c r="N28" s="219">
        <f>PACKING!P43</f>
        <v>0</v>
      </c>
      <c r="O28" s="219">
        <f>PACKING!Q43</f>
        <v>0</v>
      </c>
      <c r="P28" s="219">
        <f>PACKING!R43</f>
        <v>0</v>
      </c>
      <c r="Q28" s="219">
        <f>PACKING!S43</f>
        <v>0</v>
      </c>
      <c r="R28" s="219">
        <f>PACKING!T43</f>
        <v>0</v>
      </c>
      <c r="S28" s="219">
        <f>PACKING!U43</f>
        <v>0</v>
      </c>
      <c r="T28" s="219">
        <f>PACKING!V43</f>
        <v>0</v>
      </c>
      <c r="U28" s="219">
        <f>PACKING!W43</f>
        <v>0</v>
      </c>
      <c r="V28" s="219">
        <f>PACKING!X43</f>
        <v>0</v>
      </c>
      <c r="W28" s="219">
        <f>PACKING!Y43</f>
        <v>0</v>
      </c>
      <c r="X28" s="219">
        <f>PACKING!Z43</f>
        <v>0</v>
      </c>
      <c r="Y28" s="14">
        <f>PACKING!G43</f>
        <v>0</v>
      </c>
      <c r="Z28" s="224">
        <f>Z26-Z27</f>
        <v>0</v>
      </c>
      <c r="AA28" s="224">
        <f t="shared" ref="AA28:AO28" si="4">AA26-AA27</f>
        <v>0</v>
      </c>
      <c r="AB28" s="224">
        <f t="shared" si="4"/>
        <v>0</v>
      </c>
      <c r="AC28" s="224">
        <f t="shared" si="4"/>
        <v>9</v>
      </c>
      <c r="AD28" s="224">
        <f t="shared" si="4"/>
        <v>1</v>
      </c>
      <c r="AE28" s="224">
        <f>AE26-AE27</f>
        <v>0</v>
      </c>
      <c r="AF28" s="224">
        <f>AF26-AF27</f>
        <v>18</v>
      </c>
      <c r="AG28" s="224">
        <f t="shared" si="4"/>
        <v>1</v>
      </c>
      <c r="AH28" s="224">
        <f t="shared" si="4"/>
        <v>2</v>
      </c>
      <c r="AI28" s="224">
        <f t="shared" si="4"/>
        <v>2</v>
      </c>
      <c r="AJ28" s="224">
        <f t="shared" si="4"/>
        <v>0</v>
      </c>
      <c r="AK28" s="224"/>
      <c r="AL28" s="224"/>
      <c r="AM28" s="224">
        <f t="shared" si="4"/>
        <v>0</v>
      </c>
      <c r="AN28" s="224">
        <f t="shared" si="4"/>
        <v>0</v>
      </c>
      <c r="AO28" s="224">
        <f t="shared" si="4"/>
        <v>0</v>
      </c>
      <c r="AP28" s="224"/>
      <c r="AQ28" s="24"/>
      <c r="AR28" s="24" t="s">
        <v>394</v>
      </c>
    </row>
    <row r="29" spans="1:63" hidden="1" outlineLevel="1" x14ac:dyDescent="0.35">
      <c r="A29" s="11">
        <f t="shared" si="0"/>
        <v>46296</v>
      </c>
      <c r="B29" s="66">
        <f t="shared" si="1"/>
        <v>46303</v>
      </c>
      <c r="C29" s="66">
        <f>PACKING!H44</f>
        <v>0</v>
      </c>
      <c r="D29" s="66">
        <f t="shared" si="2"/>
        <v>0</v>
      </c>
      <c r="E29" s="28" t="str">
        <f>PACKING!E44</f>
        <v>10:00</v>
      </c>
      <c r="F29" s="13" t="s">
        <v>383</v>
      </c>
      <c r="G29" s="8">
        <f>PACKING!F44</f>
        <v>0</v>
      </c>
      <c r="H29" s="219">
        <f>PACKING!J44</f>
        <v>0</v>
      </c>
      <c r="I29" s="219">
        <f>PACKING!K44</f>
        <v>0</v>
      </c>
      <c r="J29" s="219">
        <f>PACKING!L44</f>
        <v>0</v>
      </c>
      <c r="K29" s="219">
        <f>PACKING!M44</f>
        <v>0</v>
      </c>
      <c r="L29" s="219">
        <f>PACKING!N44</f>
        <v>0</v>
      </c>
      <c r="M29" s="219">
        <f>PACKING!O44</f>
        <v>0</v>
      </c>
      <c r="N29" s="219">
        <f>PACKING!P44</f>
        <v>0</v>
      </c>
      <c r="O29" s="219">
        <f>PACKING!Q44</f>
        <v>0</v>
      </c>
      <c r="P29" s="219">
        <f>PACKING!R44</f>
        <v>0</v>
      </c>
      <c r="Q29" s="219">
        <f>PACKING!S44</f>
        <v>0</v>
      </c>
      <c r="R29" s="219">
        <f>PACKING!T44</f>
        <v>0</v>
      </c>
      <c r="S29" s="219">
        <f>PACKING!U44</f>
        <v>0</v>
      </c>
      <c r="T29" s="219">
        <f>PACKING!V44</f>
        <v>0</v>
      </c>
      <c r="U29" s="219">
        <f>PACKING!W44</f>
        <v>0</v>
      </c>
      <c r="V29" s="219">
        <f>PACKING!X44</f>
        <v>0</v>
      </c>
      <c r="W29" s="219">
        <f>PACKING!Y44</f>
        <v>0</v>
      </c>
      <c r="X29" s="219">
        <f>PACKING!Z44</f>
        <v>0</v>
      </c>
      <c r="Y29" s="14">
        <f>PACKING!G44</f>
        <v>0</v>
      </c>
      <c r="Z29" s="224">
        <f>+Z28/2</f>
        <v>0</v>
      </c>
      <c r="AA29" s="224"/>
      <c r="AB29" s="224">
        <f>+AB28/2</f>
        <v>0</v>
      </c>
      <c r="AC29" s="224"/>
      <c r="AD29" s="225"/>
      <c r="AE29" s="224">
        <f>+AE28/2</f>
        <v>0</v>
      </c>
      <c r="AF29" s="224">
        <f>+AF28/2</f>
        <v>9</v>
      </c>
      <c r="AG29" s="225">
        <f>244/2</f>
        <v>122</v>
      </c>
      <c r="AH29" s="225"/>
      <c r="AI29" s="224">
        <f>+AI28/2</f>
        <v>1</v>
      </c>
      <c r="AJ29" s="226"/>
      <c r="AK29" s="226"/>
      <c r="AL29" s="226"/>
      <c r="AM29" s="24"/>
      <c r="AN29" s="24"/>
      <c r="AO29" s="24"/>
      <c r="AP29" s="24"/>
      <c r="AQ29" s="24"/>
      <c r="AR29" s="336" t="s">
        <v>395</v>
      </c>
    </row>
    <row r="30" spans="1:63" hidden="1" outlineLevel="1" x14ac:dyDescent="0.35">
      <c r="A30" s="11">
        <f t="shared" si="0"/>
        <v>46296</v>
      </c>
      <c r="B30" s="66">
        <f t="shared" si="1"/>
        <v>46303</v>
      </c>
      <c r="C30" s="66">
        <f>PACKING!H45</f>
        <v>0</v>
      </c>
      <c r="D30" s="66">
        <f t="shared" si="2"/>
        <v>0</v>
      </c>
      <c r="E30" s="28" t="str">
        <f>PACKING!E45</f>
        <v>11:00</v>
      </c>
      <c r="F30" s="13" t="s">
        <v>383</v>
      </c>
      <c r="G30" s="8">
        <f>PACKING!F45</f>
        <v>0</v>
      </c>
      <c r="H30" s="219">
        <f>PACKING!J45</f>
        <v>0</v>
      </c>
      <c r="I30" s="219">
        <f>PACKING!K45</f>
        <v>0</v>
      </c>
      <c r="J30" s="219">
        <f>PACKING!L45</f>
        <v>0</v>
      </c>
      <c r="K30" s="219">
        <f>PACKING!M45</f>
        <v>0</v>
      </c>
      <c r="L30" s="219">
        <f>PACKING!N45</f>
        <v>0</v>
      </c>
      <c r="M30" s="219">
        <f>PACKING!O45</f>
        <v>0</v>
      </c>
      <c r="N30" s="219">
        <f>PACKING!P45</f>
        <v>0</v>
      </c>
      <c r="O30" s="219">
        <f>PACKING!Q45</f>
        <v>0</v>
      </c>
      <c r="P30" s="219">
        <f>PACKING!R45</f>
        <v>0</v>
      </c>
      <c r="Q30" s="219">
        <f>PACKING!S45</f>
        <v>0</v>
      </c>
      <c r="R30" s="219">
        <f>PACKING!T45</f>
        <v>0</v>
      </c>
      <c r="S30" s="219">
        <f>PACKING!U45</f>
        <v>0</v>
      </c>
      <c r="T30" s="219">
        <f>PACKING!V45</f>
        <v>0</v>
      </c>
      <c r="U30" s="219">
        <f>PACKING!W45</f>
        <v>0</v>
      </c>
      <c r="V30" s="219">
        <f>PACKING!X45</f>
        <v>0</v>
      </c>
      <c r="W30" s="219">
        <f>PACKING!Y45</f>
        <v>0</v>
      </c>
      <c r="X30" s="219">
        <f>PACKING!Z45</f>
        <v>0</v>
      </c>
      <c r="Y30" s="14">
        <f>PACKING!G45</f>
        <v>0</v>
      </c>
      <c r="Z30" s="224">
        <f>+Z26/2</f>
        <v>84</v>
      </c>
      <c r="AA30" s="224"/>
      <c r="AB30" s="224">
        <f>+AB26/2</f>
        <v>84</v>
      </c>
      <c r="AC30" s="224"/>
      <c r="AD30" s="225"/>
      <c r="AE30" s="224">
        <f>+AE27/2</f>
        <v>31</v>
      </c>
      <c r="AF30" s="224">
        <f>+AF27/2</f>
        <v>14</v>
      </c>
      <c r="AG30" s="225"/>
      <c r="AH30" s="225"/>
      <c r="AI30" s="224">
        <f>+AI26/2</f>
        <v>24</v>
      </c>
      <c r="AJ30" s="226"/>
      <c r="AK30" s="226"/>
      <c r="AL30" s="226"/>
      <c r="AM30" s="24"/>
      <c r="AN30" s="24"/>
      <c r="AO30" s="24"/>
      <c r="AP30" s="24"/>
      <c r="AQ30" s="24"/>
      <c r="AR30" s="336" t="s">
        <v>396</v>
      </c>
    </row>
    <row r="31" spans="1:63" hidden="1" outlineLevel="1" x14ac:dyDescent="0.35">
      <c r="A31" s="11">
        <f t="shared" si="0"/>
        <v>46296</v>
      </c>
      <c r="B31" s="66">
        <f t="shared" si="1"/>
        <v>46303</v>
      </c>
      <c r="C31" s="66">
        <f>PACKING!H46</f>
        <v>0</v>
      </c>
      <c r="D31" s="66">
        <f t="shared" si="2"/>
        <v>0</v>
      </c>
      <c r="E31" s="28" t="str">
        <f>PACKING!E46</f>
        <v>12:00</v>
      </c>
      <c r="F31" s="13" t="s">
        <v>383</v>
      </c>
      <c r="G31" s="8">
        <f>PACKING!F46</f>
        <v>0</v>
      </c>
      <c r="H31" s="219">
        <f>PACKING!J46</f>
        <v>0</v>
      </c>
      <c r="I31" s="219">
        <f>PACKING!K46</f>
        <v>0</v>
      </c>
      <c r="J31" s="219">
        <f>PACKING!L46</f>
        <v>0</v>
      </c>
      <c r="K31" s="219">
        <f>PACKING!M46</f>
        <v>0</v>
      </c>
      <c r="L31" s="219">
        <f>PACKING!N46</f>
        <v>0</v>
      </c>
      <c r="M31" s="219">
        <f>PACKING!O46</f>
        <v>0</v>
      </c>
      <c r="N31" s="219">
        <f>PACKING!P46</f>
        <v>0</v>
      </c>
      <c r="O31" s="219">
        <f>PACKING!Q46</f>
        <v>0</v>
      </c>
      <c r="P31" s="219">
        <f>PACKING!R46</f>
        <v>0</v>
      </c>
      <c r="Q31" s="219">
        <f>PACKING!S46</f>
        <v>0</v>
      </c>
      <c r="R31" s="219">
        <f>PACKING!T46</f>
        <v>0</v>
      </c>
      <c r="S31" s="219">
        <f>PACKING!U46</f>
        <v>0</v>
      </c>
      <c r="T31" s="219">
        <f>PACKING!V46</f>
        <v>0</v>
      </c>
      <c r="U31" s="219">
        <f>PACKING!W46</f>
        <v>0</v>
      </c>
      <c r="V31" s="219">
        <f>PACKING!X46</f>
        <v>0</v>
      </c>
      <c r="W31" s="219">
        <f>PACKING!Y46</f>
        <v>0</v>
      </c>
      <c r="X31" s="219">
        <f>PACKING!Z46</f>
        <v>0</v>
      </c>
      <c r="Y31" s="14">
        <f>PACKING!G46</f>
        <v>0</v>
      </c>
      <c r="Z31" s="224"/>
      <c r="AA31" s="224"/>
      <c r="AB31" s="224"/>
      <c r="AC31" s="224"/>
      <c r="AD31" s="225"/>
      <c r="AE31" s="224"/>
      <c r="AF31" s="224"/>
      <c r="AG31" s="225"/>
      <c r="AH31" s="225"/>
      <c r="AI31" s="224">
        <f>+AI27/2</f>
        <v>23</v>
      </c>
      <c r="AJ31" s="226"/>
      <c r="AK31" s="226"/>
      <c r="AL31" s="226"/>
      <c r="AM31" s="24"/>
      <c r="AN31" s="24"/>
      <c r="AO31" s="24"/>
      <c r="AP31" s="24"/>
      <c r="AQ31" s="24"/>
    </row>
    <row r="32" spans="1:63" hidden="1" outlineLevel="1" x14ac:dyDescent="0.35">
      <c r="A32" s="11">
        <f t="shared" si="0"/>
        <v>46296</v>
      </c>
      <c r="B32" s="66">
        <f t="shared" si="1"/>
        <v>46303</v>
      </c>
      <c r="C32" s="66">
        <f>PACKING!H47</f>
        <v>0</v>
      </c>
      <c r="D32" s="66">
        <f t="shared" si="2"/>
        <v>0</v>
      </c>
      <c r="E32" s="28" t="str">
        <f>PACKING!E47</f>
        <v>13:00</v>
      </c>
      <c r="F32" s="13" t="s">
        <v>383</v>
      </c>
      <c r="G32" s="8">
        <f>PACKING!F47</f>
        <v>0</v>
      </c>
      <c r="H32" s="219">
        <f>PACKING!J47</f>
        <v>0</v>
      </c>
      <c r="I32" s="219">
        <f>PACKING!K47</f>
        <v>0</v>
      </c>
      <c r="J32" s="219">
        <f>PACKING!L47</f>
        <v>0</v>
      </c>
      <c r="K32" s="219">
        <f>PACKING!M47</f>
        <v>0</v>
      </c>
      <c r="L32" s="219">
        <f>PACKING!N47</f>
        <v>0</v>
      </c>
      <c r="M32" s="219">
        <f>PACKING!O47</f>
        <v>0</v>
      </c>
      <c r="N32" s="219">
        <f>PACKING!P47</f>
        <v>0</v>
      </c>
      <c r="O32" s="219">
        <f>PACKING!Q47</f>
        <v>0</v>
      </c>
      <c r="P32" s="219">
        <f>PACKING!R47</f>
        <v>0</v>
      </c>
      <c r="Q32" s="219">
        <f>PACKING!S47</f>
        <v>0</v>
      </c>
      <c r="R32" s="219">
        <f>PACKING!T47</f>
        <v>0</v>
      </c>
      <c r="S32" s="219">
        <f>PACKING!U47</f>
        <v>0</v>
      </c>
      <c r="T32" s="219">
        <f>PACKING!V47</f>
        <v>0</v>
      </c>
      <c r="U32" s="219">
        <f>PACKING!W47</f>
        <v>0</v>
      </c>
      <c r="V32" s="219">
        <f>PACKING!X47</f>
        <v>0</v>
      </c>
      <c r="W32" s="219">
        <f>PACKING!Y47</f>
        <v>0</v>
      </c>
      <c r="X32" s="219">
        <f>PACKING!Z47</f>
        <v>0</v>
      </c>
      <c r="Y32" s="14">
        <f>PACKING!G47</f>
        <v>0</v>
      </c>
      <c r="Z32" s="224"/>
      <c r="AA32" s="224"/>
      <c r="AB32" s="224"/>
      <c r="AC32" s="224"/>
      <c r="AD32" s="225"/>
      <c r="AE32" s="224"/>
      <c r="AF32" s="224"/>
      <c r="AG32" s="225"/>
      <c r="AH32" s="225"/>
      <c r="AI32" s="224"/>
      <c r="AJ32" s="226"/>
      <c r="AK32" s="226"/>
      <c r="AL32" s="226"/>
      <c r="AM32" s="24"/>
      <c r="AN32" s="24"/>
      <c r="AO32" s="24"/>
      <c r="AP32" s="24"/>
      <c r="AQ32" s="24"/>
    </row>
    <row r="33" spans="1:63" ht="76.5" customHeight="1" collapsed="1" x14ac:dyDescent="0.35">
      <c r="A33" s="16" t="s">
        <v>219</v>
      </c>
      <c r="B33" s="67" t="s">
        <v>302</v>
      </c>
      <c r="C33" s="67" t="s">
        <v>301</v>
      </c>
      <c r="D33" s="67" t="s">
        <v>122</v>
      </c>
      <c r="E33" s="29" t="s">
        <v>221</v>
      </c>
      <c r="F33" s="17" t="s">
        <v>397</v>
      </c>
      <c r="G33" s="310" t="s">
        <v>3</v>
      </c>
      <c r="H33" s="125" t="s">
        <v>210</v>
      </c>
      <c r="I33" s="5" t="s">
        <v>224</v>
      </c>
      <c r="J33" s="122" t="s">
        <v>398</v>
      </c>
      <c r="K33" s="5" t="s">
        <v>214</v>
      </c>
      <c r="L33" s="122" t="s">
        <v>399</v>
      </c>
      <c r="M33" s="122" t="s">
        <v>400</v>
      </c>
      <c r="N33" s="5" t="s">
        <v>305</v>
      </c>
      <c r="O33" s="5" t="s">
        <v>211</v>
      </c>
      <c r="P33" s="5" t="s">
        <v>217</v>
      </c>
      <c r="Q33" s="5" t="s">
        <v>216</v>
      </c>
      <c r="R33" s="5" t="s">
        <v>215</v>
      </c>
      <c r="S33" s="135" t="s">
        <v>213</v>
      </c>
      <c r="T33" s="122" t="s">
        <v>218</v>
      </c>
      <c r="U33" s="5" t="s">
        <v>401</v>
      </c>
      <c r="V33" s="122" t="s">
        <v>402</v>
      </c>
      <c r="W33" s="123" t="s">
        <v>403</v>
      </c>
      <c r="X33" s="106" t="s">
        <v>404</v>
      </c>
      <c r="Y33" s="5" t="s">
        <v>405</v>
      </c>
      <c r="Z33" s="256" t="s">
        <v>225</v>
      </c>
      <c r="AA33" s="134" t="s">
        <v>406</v>
      </c>
      <c r="AB33" s="256" t="s">
        <v>227</v>
      </c>
      <c r="AC33" s="254" t="s">
        <v>228</v>
      </c>
      <c r="AD33" s="254" t="s">
        <v>229</v>
      </c>
      <c r="AE33" s="256" t="s">
        <v>230</v>
      </c>
      <c r="AF33" s="256" t="s">
        <v>231</v>
      </c>
      <c r="AG33" s="254" t="s">
        <v>232</v>
      </c>
      <c r="AH33" s="254" t="s">
        <v>233</v>
      </c>
      <c r="AI33" s="256" t="s">
        <v>234</v>
      </c>
      <c r="AJ33" s="255" t="s">
        <v>376</v>
      </c>
      <c r="AK33" s="134" t="s">
        <v>235</v>
      </c>
      <c r="AL33" s="134" t="s">
        <v>236</v>
      </c>
      <c r="AM33" s="230" t="s">
        <v>407</v>
      </c>
      <c r="AN33" s="230" t="s">
        <v>378</v>
      </c>
      <c r="AO33" s="230" t="s">
        <v>379</v>
      </c>
      <c r="AP33" s="134" t="s">
        <v>408</v>
      </c>
      <c r="AQ33" s="134" t="s">
        <v>409</v>
      </c>
      <c r="AR33" s="5" t="s">
        <v>410</v>
      </c>
      <c r="AS33" s="5" t="s">
        <v>411</v>
      </c>
      <c r="AU33" s="280" t="s">
        <v>305</v>
      </c>
      <c r="AV33" s="280" t="s">
        <v>217</v>
      </c>
      <c r="AW33" s="280" t="s">
        <v>306</v>
      </c>
      <c r="AX33" s="280" t="s">
        <v>307</v>
      </c>
      <c r="AY33" s="280"/>
      <c r="AZ33" s="280"/>
      <c r="BA33" s="280"/>
      <c r="BB33" s="280"/>
      <c r="BD33" s="266" t="s">
        <v>385</v>
      </c>
      <c r="BE33" s="266" t="s">
        <v>386</v>
      </c>
      <c r="BF33" s="266" t="s">
        <v>387</v>
      </c>
      <c r="BG33" s="266" t="s">
        <v>388</v>
      </c>
      <c r="BH33" s="266" t="s">
        <v>389</v>
      </c>
      <c r="BI33" s="266" t="s">
        <v>390</v>
      </c>
      <c r="BJ33" s="266" t="s">
        <v>391</v>
      </c>
      <c r="BK33" s="266" t="s">
        <v>392</v>
      </c>
    </row>
    <row r="34" spans="1:63" x14ac:dyDescent="0.35">
      <c r="A34" s="243">
        <v>46023</v>
      </c>
      <c r="B34" s="244">
        <v>46024</v>
      </c>
      <c r="C34" s="244">
        <v>46000</v>
      </c>
      <c r="D34" s="244" t="s">
        <v>125</v>
      </c>
      <c r="E34" s="245" t="s">
        <v>327</v>
      </c>
      <c r="F34" s="246">
        <v>3</v>
      </c>
      <c r="G34" s="259" t="s">
        <v>117</v>
      </c>
      <c r="H34" s="247">
        <v>4.0000000000000001E-3</v>
      </c>
      <c r="I34" s="248" t="s">
        <v>165</v>
      </c>
      <c r="J34" s="248" t="s">
        <v>165</v>
      </c>
      <c r="K34" s="248" t="s">
        <v>165</v>
      </c>
      <c r="L34" s="248" t="s">
        <v>161</v>
      </c>
      <c r="M34" s="248" t="s">
        <v>161</v>
      </c>
      <c r="N34" s="249">
        <v>12.53</v>
      </c>
      <c r="O34" s="249">
        <v>12.74</v>
      </c>
      <c r="P34" s="249">
        <v>0.5</v>
      </c>
      <c r="Q34" s="249">
        <v>62.2</v>
      </c>
      <c r="R34" s="249" t="s">
        <v>163</v>
      </c>
      <c r="S34" s="250" t="s">
        <v>163</v>
      </c>
      <c r="T34" s="249">
        <v>35.6</v>
      </c>
      <c r="U34" s="249" t="s">
        <v>163</v>
      </c>
      <c r="V34" s="251" t="s">
        <v>163</v>
      </c>
      <c r="W34" s="252" t="s">
        <v>165</v>
      </c>
      <c r="X34" s="252" t="s">
        <v>165</v>
      </c>
      <c r="Y34" s="248" t="s">
        <v>163</v>
      </c>
      <c r="Z34" s="231">
        <f>IF(Table4[[#This Row],[ Bran Content]]="-","-",IF(H34&gt;0.02,0,2))</f>
        <v>2</v>
      </c>
      <c r="AA34" s="231">
        <f>IF(Table4[[#This Row],[Sieve Test]]="-","-",IF(Table4[[#This Row],[Sieve Test]]="P",1,0))</f>
        <v>1</v>
      </c>
      <c r="AB34" s="231">
        <f>IF(Table4[[#This Row],[Odor]]="-","-",IF(Table4[[#This Row],[Odor]]="P",2,0))</f>
        <v>2</v>
      </c>
      <c r="AC34" s="231">
        <f>IF(INDEX(MCmin,MATCH(Table4[[#This Row],[SKU]],FG,0))="-","-",IF(Table4[[#This Row],[%MC]]="-","-",IF(Table4[[#This Row],[%MC]]&lt;INDEX(MCmin,MATCH(Table4[[#This Row],[SKU]],FG,0)),0,IF(Table4[[#This Row],[%MC]]&gt;INDEX(MCmax,MATCH(Table4[[#This Row],[SKU]],FG,0)),0,1))))</f>
        <v>1</v>
      </c>
      <c r="AD34" s="231">
        <f>IF(INDEX(Protmin,MATCH(Table4[[#This Row],[SKU]],FG,0))="-","-",IF(Table4[[#This Row],[%Protein]]="-","-",IF(Table4[[#This Row],[%Protein]]&lt;INDEX(Protmin,MATCH(Table4[[#This Row],[SKU]],FG,0)),0,IF(Table4[[#This Row],[%Protein]]&gt;INDEX(Protmax,MATCH(Table4[[#This Row],[SKU]],FG,0)),0,1))))</f>
        <v>1</v>
      </c>
      <c r="AE34" s="231">
        <f>IF(INDEX(Ashmin,MATCH(Table4[[#This Row],[SKU]],FG,0))="-","-",IF(Table4[[#This Row],[%Ash]]="-","-",IF(Table4[[#This Row],[%Ash]]&lt;INDEX(Ashmin,MATCH(Table4[[#This Row],[SKU]],FG,0)),0,IF(Table4[[#This Row],[%Ash]]&gt;INDEX(Ashmax,MATCH(Table4[[#This Row],[SKU]],FG,0)),0,2))))</f>
        <v>2</v>
      </c>
      <c r="AF34" s="231">
        <f>IF(INDEX(Absmin,MATCH(Table4[[#This Row],[SKU]],FG,0))="-","-",IF(Table4[[#This Row],[%Absorption]]="-","-",IF(Table4[[#This Row],[%Absorption]]&lt;INDEX(Absmin,MATCH(Table4[[#This Row],[SKU]],FG,0)),0,IF(Table4[[#This Row],[%Absorption]]&gt;INDEX(Absmax,MATCH(Table4[[#This Row],[SKU]],FG,0)),0,2))))</f>
        <v>0</v>
      </c>
      <c r="AG34" s="231" t="str">
        <f>IF(INDEX(Extmin,MATCH(Table4[[#This Row],[SKU]],FG,0))="-","-",IF(Table4[[#This Row],[%Extensibility]]="-","-",IF(Table4[[#This Row],[%Extensibility]]&lt;INDEX(Extmin,MATCH(Table4[[#This Row],[SKU]],FG,0)),0,IF(Table4[[#This Row],[%Extensibility]]&gt;INDEX(Extmax,MATCH(Table4[[#This Row],[SKU]],FG,0)),0,1))))</f>
        <v>-</v>
      </c>
      <c r="AH34" s="231" t="str">
        <f>IF(INDEX(Resmin,MATCH(Table4[[#This Row],[SKU]],FG,0))="-","-",IF(Table4[[#This Row],[Resistance, max]]="-","-",IF(Table4[[#This Row],[Resistance, max]]&lt;INDEX(Resmin,MATCH(Table4[[#This Row],[SKU]],FG,0)),0,IF(Table4[[#This Row],[Resistance, max]]&gt;INDEX(Resmax,MATCH(Table4[[#This Row],[SKU]],FG,0)),0,1))))</f>
        <v>-</v>
      </c>
      <c r="AI34" s="231">
        <f>IF(INDEX(WGmin,MATCH(Table4[[#This Row],[SKU]],FG,0))="-","-",IF(Table4[[#This Row],[%Wet Gluten]]="-","-",IF(Table4[[#This Row],[%Wet Gluten]]&lt;INDEX(WGmin,MATCH(Table4[[#This Row],[SKU]],FG,0)),0,IF(Table4[[#This Row],[%Wet Gluten]]&gt;INDEX(WGmax,MATCH(Table4[[#This Row],[SKU]],FG,0)),0,2))))</f>
        <v>2</v>
      </c>
      <c r="AJ34" s="232" t="str">
        <f>IF(Table4[[#This Row],[FN, s]]="-","-",IF(R34&lt;301,1,0))</f>
        <v>-</v>
      </c>
      <c r="AK34" s="233">
        <f>SUM(Table4[[#This Row],[ QI Bran Content]:[QI FN]])</f>
        <v>11</v>
      </c>
      <c r="AL34" s="232">
        <f t="shared" ref="AL34" si="5">COUNT(AA34,AC34:AD34,AG34:AH34,AJ34) + 2*COUNT(Z34,AB34,AE34:AF34,AI34)</f>
        <v>13</v>
      </c>
      <c r="AM34" s="232" t="str">
        <f>IF(INDEX(WGmin,MATCH(Table4[[#This Row],[SKU]],FG,0))="-","-",IF(Table4[[#This Row],[Gross Weight]]="-","-",IF(Table4[[#This Row],[Gross Weight]]&lt;INDEX(GWmin,MATCH(Table4[[#This Row],[SKU]],FG,0)),0,IF(Table4[[#This Row],[Gross Weight]]&gt;INDEX(GWmax,MATCH(Table4[[#This Row],[SKU]],FG,0)),0,1))))</f>
        <v>-</v>
      </c>
      <c r="AN34" s="232">
        <f>IF(Table4[[#This Row],[Sealing Integrity]]="-","-",IF(Table4[[#This Row],[Sealing Integrity]]="P",1,0))</f>
        <v>1</v>
      </c>
      <c r="AO34" s="232">
        <f>IF(Table4[[#This Row],[Coding]]="-","-",IF(Table4[[#This Row],[Coding]]="P",1,0))</f>
        <v>1</v>
      </c>
      <c r="AP34" s="233">
        <f>SUM(Table4[[#This Row],[QI Weight]:[QI Code]])</f>
        <v>2</v>
      </c>
      <c r="AQ34" s="233">
        <f>COUNT(Table4[[#This Row],[QI Weight]:[QI Code]])</f>
        <v>2</v>
      </c>
      <c r="AR34" s="261">
        <f>Table4[[#This Row],[TA]]+Table4[[#This Row],[TA2]]</f>
        <v>13</v>
      </c>
      <c r="AS34" s="261">
        <f>Table4[[#This Row],[TP]]+Table4[[#This Row],[TP2]]</f>
        <v>15</v>
      </c>
      <c r="BD34" s="265">
        <f>IF(INDEX(MCmin,MATCH(Table4[[#This Row],[SKU]],FG,0))="-","-",IF(Table4[[#This Row],[%MC]]="-","-",IF(Table4[[#This Row],[%MC]]&lt;INDEX(MCmin,MATCH(Table4[[#This Row],[SKU]],FG,0)),1,0)))</f>
        <v>0</v>
      </c>
      <c r="BE34" s="265">
        <f>IF(INDEX(MCmin,MATCH(Table4[[#This Row],[SKU]],FG,0))="-","-",IF(Table4[[#This Row],[%MC]]="-","-",IF(Table4[[#This Row],[%MC]]&gt;INDEX(MCmax,MATCH(Table4[[#This Row],[SKU]],FG,0)),1,0)))</f>
        <v>0</v>
      </c>
      <c r="BF34" s="231">
        <f>IF(INDEX(Ashmin,MATCH(Table4[[#This Row],[SKU]],FG,0))="-","-",IF(Table4[[#This Row],[%Ash]]="-","-",IF(Table4[[#This Row],[%Ash]]&lt;INDEX(Ashmin,MATCH(Table4[[#This Row],[SKU]],FG,0)),1,0)))</f>
        <v>0</v>
      </c>
      <c r="BG34" s="231">
        <f>IF(INDEX(Ashmin,MATCH(Table4[[#This Row],[SKU]],FG,0))="-","-",IF(Table4[[#This Row],[%Ash]]="-","-",IF(Table4[[#This Row],[%Ash]]&gt;INDEX(Ashmax,MATCH(Table4[[#This Row],[SKU]],FG,0)),1,0)))</f>
        <v>0</v>
      </c>
      <c r="BH34" s="231">
        <f>IF(INDEX(Absmin,MATCH(Table4[[#This Row],[SKU]],FG,0))="-","-",IF(Table4[[#This Row],[%Absorption]]="-","-",IF(Table4[[#This Row],[%Absorption]]&lt;INDEX(Absmin,MATCH(Table4[[#This Row],[SKU]],FG,0)),1,0)))</f>
        <v>1</v>
      </c>
      <c r="BI34" s="231">
        <f>IF(INDEX(Absmin,MATCH(Table4[[#This Row],[SKU]],FG,0))="-","-",IF(Table4[[#This Row],[%Absorption]]="-","-",IF(Table4[[#This Row],[%Absorption]]&gt;INDEX(Absmax,MATCH(Table4[[#This Row],[SKU]],FG,0)),1,0)))</f>
        <v>0</v>
      </c>
      <c r="BJ34" s="231">
        <f>IF(INDEX(WGmin,MATCH(Table4[[#This Row],[SKU]],FG,0))="-","-",IF(Table4[[#This Row],[%Wet Gluten]]="-","-",IF(Table4[[#This Row],[%Wet Gluten]]&lt;INDEX(WGmin,MATCH(Table4[[#This Row],[SKU]],FG,0)),1,0)))</f>
        <v>0</v>
      </c>
      <c r="BK34" s="231">
        <f>IF(INDEX(WGmin,MATCH(Table4[[#This Row],[SKU]],FG,0))="-","-",IF(Table4[[#This Row],[%Wet Gluten]]="-","-",IF(Table4[[#This Row],[%Wet Gluten]]&gt;INDEX(WGmax,MATCH(Table4[[#This Row],[SKU]],FG,0)),1,0)))</f>
        <v>0</v>
      </c>
    </row>
    <row r="35" spans="1:63" x14ac:dyDescent="0.35">
      <c r="A35" s="243">
        <v>46023</v>
      </c>
      <c r="B35" s="244">
        <v>46024</v>
      </c>
      <c r="C35" s="244">
        <v>46000</v>
      </c>
      <c r="D35" s="244" t="s">
        <v>125</v>
      </c>
      <c r="E35" s="245" t="s">
        <v>328</v>
      </c>
      <c r="F35" s="246">
        <v>3</v>
      </c>
      <c r="G35" s="259" t="s">
        <v>119</v>
      </c>
      <c r="H35" s="247">
        <v>6.7000000000000002E-3</v>
      </c>
      <c r="I35" s="248" t="s">
        <v>165</v>
      </c>
      <c r="J35" s="248" t="s">
        <v>165</v>
      </c>
      <c r="K35" s="248" t="s">
        <v>165</v>
      </c>
      <c r="L35" s="248" t="s">
        <v>161</v>
      </c>
      <c r="M35" s="248" t="s">
        <v>161</v>
      </c>
      <c r="N35" s="249">
        <v>12.88</v>
      </c>
      <c r="O35" s="249" t="s">
        <v>163</v>
      </c>
      <c r="P35" s="249" t="s">
        <v>163</v>
      </c>
      <c r="Q35" s="249" t="s">
        <v>163</v>
      </c>
      <c r="R35" s="249" t="s">
        <v>163</v>
      </c>
      <c r="S35" s="250" t="s">
        <v>163</v>
      </c>
      <c r="T35" s="249" t="s">
        <v>163</v>
      </c>
      <c r="U35" s="249" t="s">
        <v>163</v>
      </c>
      <c r="V35" s="251">
        <v>25.14</v>
      </c>
      <c r="W35" s="252" t="s">
        <v>165</v>
      </c>
      <c r="X35" s="252" t="s">
        <v>165</v>
      </c>
      <c r="Y35" s="248" t="s">
        <v>163</v>
      </c>
      <c r="Z35" s="231">
        <f>IF(Table4[[#This Row],[ Bran Content]]="-","-",IF(H35&gt;0.02,0,2))</f>
        <v>2</v>
      </c>
      <c r="AA35" s="231">
        <f>IF(Table4[[#This Row],[Sieve Test]]="-","-",IF(Table4[[#This Row],[Sieve Test]]="P",1,0))</f>
        <v>1</v>
      </c>
      <c r="AB35" s="231">
        <f>IF(Table4[[#This Row],[Odor]]="-","-",IF(Table4[[#This Row],[Odor]]="P",2,0))</f>
        <v>2</v>
      </c>
      <c r="AC35" s="231">
        <f>IF(INDEX(MCmin,MATCH(Table4[[#This Row],[SKU]],FG,0))="-","-",IF(Table4[[#This Row],[%MC]]="-","-",IF(Table4[[#This Row],[%MC]]&lt;INDEX(MCmin,MATCH(Table4[[#This Row],[SKU]],FG,0)),0,IF(Table4[[#This Row],[%MC]]&gt;INDEX(MCmax,MATCH(Table4[[#This Row],[SKU]],FG,0)),0,1))))</f>
        <v>1</v>
      </c>
      <c r="AD35" s="231" t="str">
        <f>IF(INDEX(Protmin,MATCH(Table4[[#This Row],[SKU]],FG,0))="-","-",IF(Table4[[#This Row],[%Protein]]="-","-",IF(Table4[[#This Row],[%Protein]]&lt;INDEX(Protmin,MATCH(Table4[[#This Row],[SKU]],FG,0)),0,IF(Table4[[#This Row],[%Protein]]&gt;INDEX(Protmax,MATCH(Table4[[#This Row],[SKU]],FG,0)),0,1))))</f>
        <v>-</v>
      </c>
      <c r="AE35" s="231" t="str">
        <f>IF(INDEX(Ashmin,MATCH(Table4[[#This Row],[SKU]],FG,0))="-","-",IF(Table4[[#This Row],[%Ash]]="-","-",IF(Table4[[#This Row],[%Ash]]&lt;INDEX(Ashmin,MATCH(Table4[[#This Row],[SKU]],FG,0)),0,IF(Table4[[#This Row],[%Ash]]&gt;INDEX(Ashmax,MATCH(Table4[[#This Row],[SKU]],FG,0)),0,2))))</f>
        <v>-</v>
      </c>
      <c r="AF35" s="231" t="str">
        <f>IF(INDEX(Absmin,MATCH(Table4[[#This Row],[SKU]],FG,0))="-","-",IF(Table4[[#This Row],[%Absorption]]="-","-",IF(Table4[[#This Row],[%Absorption]]&lt;INDEX(Absmin,MATCH(Table4[[#This Row],[SKU]],FG,0)),0,IF(Table4[[#This Row],[%Absorption]]&gt;INDEX(Absmax,MATCH(Table4[[#This Row],[SKU]],FG,0)),0,2))))</f>
        <v>-</v>
      </c>
      <c r="AG35" s="231" t="str">
        <f>IF(INDEX(Extmin,MATCH(Table4[[#This Row],[SKU]],FG,0))="-","-",IF(Table4[[#This Row],[%Extensibility]]="-","-",IF(Table4[[#This Row],[%Extensibility]]&lt;INDEX(Extmin,MATCH(Table4[[#This Row],[SKU]],FG,0)),0,IF(Table4[[#This Row],[%Extensibility]]&gt;INDEX(Extmax,MATCH(Table4[[#This Row],[SKU]],FG,0)),0,1))))</f>
        <v>-</v>
      </c>
      <c r="AH35" s="231" t="str">
        <f>IF(INDEX(Resmin,MATCH(Table4[[#This Row],[SKU]],FG,0))="-","-",IF(Table4[[#This Row],[Resistance, max]]="-","-",IF(Table4[[#This Row],[Resistance, max]]&lt;INDEX(Resmin,MATCH(Table4[[#This Row],[SKU]],FG,0)),0,IF(Table4[[#This Row],[Resistance, max]]&gt;INDEX(Resmax,MATCH(Table4[[#This Row],[SKU]],FG,0)),0,1))))</f>
        <v>-</v>
      </c>
      <c r="AI35" s="231" t="str">
        <f>IF(INDEX(WGmin,MATCH(Table4[[#This Row],[SKU]],FG,0))="-","-",IF(Table4[[#This Row],[%Wet Gluten]]="-","-",IF(Table4[[#This Row],[%Wet Gluten]]&lt;INDEX(WGmin,MATCH(Table4[[#This Row],[SKU]],FG,0)),0,IF(Table4[[#This Row],[%Wet Gluten]]&gt;INDEX(WGmax,MATCH(Table4[[#This Row],[SKU]],FG,0)),0,2))))</f>
        <v>-</v>
      </c>
      <c r="AJ35" s="232" t="str">
        <f>IF(Table4[[#This Row],[FN, s]]="-","-",IF(R35&lt;301,1,0))</f>
        <v>-</v>
      </c>
      <c r="AK35" s="233">
        <f>SUM(Table4[[#This Row],[ QI Bran Content]:[QI FN]])</f>
        <v>6</v>
      </c>
      <c r="AL35" s="232">
        <f t="shared" ref="AL35:AL98" si="6">COUNT(AA35,AC35:AD35,AG35:AH35,AJ35) + 2*COUNT(Z35,AB35,AE35:AF35,AI35)</f>
        <v>6</v>
      </c>
      <c r="AM35" s="232">
        <f>IF(INDEX(WGmin,MATCH(Table4[[#This Row],[SKU]],FG,0))="-","-",IF(Table4[[#This Row],[Gross Weight]]="-","-",IF(Table4[[#This Row],[Gross Weight]]&lt;INDEX(GWmin,MATCH(Table4[[#This Row],[SKU]],FG,0)),0,IF(Table4[[#This Row],[Gross Weight]]&gt;INDEX(GWmax,MATCH(Table4[[#This Row],[SKU]],FG,0)),0,1))))</f>
        <v>1</v>
      </c>
      <c r="AN35" s="232">
        <f>IF(Table4[[#This Row],[Sealing Integrity]]="-","-",IF(Table4[[#This Row],[Sealing Integrity]]="P",1,0))</f>
        <v>1</v>
      </c>
      <c r="AO35" s="232">
        <f>IF(Table4[[#This Row],[Coding]]="-","-",IF(Table4[[#This Row],[Coding]]="P",1,0))</f>
        <v>1</v>
      </c>
      <c r="AP35" s="233">
        <f>SUM(Table4[[#This Row],[QI Weight]:[QI Code]])</f>
        <v>3</v>
      </c>
      <c r="AQ35" s="233">
        <f>COUNT(Table4[[#This Row],[QI Weight]:[QI Code]])</f>
        <v>3</v>
      </c>
      <c r="AR35" s="261">
        <f>Table4[[#This Row],[TA]]+Table4[[#This Row],[TA2]]</f>
        <v>9</v>
      </c>
      <c r="AS35" s="261">
        <f>Table4[[#This Row],[TP]]+Table4[[#This Row],[TP2]]</f>
        <v>9</v>
      </c>
      <c r="BD35" s="265">
        <f>IF(INDEX(MCmin,MATCH(Table4[[#This Row],[SKU]],FG,0))="-","-",IF(Table4[[#This Row],[%MC]]="-","-",IF(Table4[[#This Row],[%MC]]&lt;INDEX(MCmin,MATCH(Table4[[#This Row],[SKU]],FG,0)),1,0)))</f>
        <v>0</v>
      </c>
      <c r="BE35" s="265">
        <f>IF(INDEX(MCmin,MATCH(Table4[[#This Row],[SKU]],FG,0))="-","-",IF(Table4[[#This Row],[%MC]]="-","-",IF(Table4[[#This Row],[%MC]]&gt;INDEX(MCmax,MATCH(Table4[[#This Row],[SKU]],FG,0)),1,0)))</f>
        <v>0</v>
      </c>
      <c r="BF35" s="231" t="str">
        <f>IF(INDEX(Ashmin,MATCH(Table4[[#This Row],[SKU]],FG,0))="-","-",IF(Table4[[#This Row],[%Ash]]="-","-",IF(Table4[[#This Row],[%Ash]]&lt;INDEX(Ashmin,MATCH(Table4[[#This Row],[SKU]],FG,0)),1,0)))</f>
        <v>-</v>
      </c>
      <c r="BG35" s="231" t="str">
        <f>IF(INDEX(Ashmin,MATCH(Table4[[#This Row],[SKU]],FG,0))="-","-",IF(Table4[[#This Row],[%Ash]]="-","-",IF(Table4[[#This Row],[%Ash]]&gt;INDEX(Ashmax,MATCH(Table4[[#This Row],[SKU]],FG,0)),1,0)))</f>
        <v>-</v>
      </c>
      <c r="BH35" s="231" t="str">
        <f>IF(INDEX(Absmin,MATCH(Table4[[#This Row],[SKU]],FG,0))="-","-",IF(Table4[[#This Row],[%Absorption]]="-","-",IF(Table4[[#This Row],[%Absorption]]&lt;INDEX(Absmin,MATCH(Table4[[#This Row],[SKU]],FG,0)),1,0)))</f>
        <v>-</v>
      </c>
      <c r="BI35" s="231" t="str">
        <f>IF(INDEX(Absmin,MATCH(Table4[[#This Row],[SKU]],FG,0))="-","-",IF(Table4[[#This Row],[%Absorption]]="-","-",IF(Table4[[#This Row],[%Absorption]]&gt;INDEX(Absmax,MATCH(Table4[[#This Row],[SKU]],FG,0)),1,0)))</f>
        <v>-</v>
      </c>
      <c r="BJ35" s="231" t="str">
        <f>IF(INDEX(WGmin,MATCH(Table4[[#This Row],[SKU]],FG,0))="-","-",IF(Table4[[#This Row],[%Wet Gluten]]="-","-",IF(Table4[[#This Row],[%Wet Gluten]]&lt;INDEX(WGmin,MATCH(Table4[[#This Row],[SKU]],FG,0)),1,0)))</f>
        <v>-</v>
      </c>
      <c r="BK35" s="231" t="str">
        <f>IF(INDEX(WGmin,MATCH(Table4[[#This Row],[SKU]],FG,0))="-","-",IF(Table4[[#This Row],[%Wet Gluten]]="-","-",IF(Table4[[#This Row],[%Wet Gluten]]&gt;INDEX(WGmax,MATCH(Table4[[#This Row],[SKU]],FG,0)),1,0)))</f>
        <v>-</v>
      </c>
    </row>
    <row r="36" spans="1:63" x14ac:dyDescent="0.35">
      <c r="A36" s="243">
        <v>46023</v>
      </c>
      <c r="B36" s="244">
        <v>46025</v>
      </c>
      <c r="C36" s="244">
        <v>46014</v>
      </c>
      <c r="D36" s="244" t="s">
        <v>130</v>
      </c>
      <c r="E36" s="245">
        <v>1.0833333333333299</v>
      </c>
      <c r="F36" s="246">
        <v>1</v>
      </c>
      <c r="G36" s="259" t="s">
        <v>335</v>
      </c>
      <c r="H36" s="247">
        <v>5.5999999999999999E-3</v>
      </c>
      <c r="I36" s="248" t="s">
        <v>165</v>
      </c>
      <c r="J36" s="248" t="s">
        <v>165</v>
      </c>
      <c r="K36" s="248" t="s">
        <v>165</v>
      </c>
      <c r="L36" s="248" t="s">
        <v>163</v>
      </c>
      <c r="M36" s="248" t="s">
        <v>161</v>
      </c>
      <c r="N36" s="249">
        <v>10.68</v>
      </c>
      <c r="O36" s="249">
        <v>8.82</v>
      </c>
      <c r="P36" s="249">
        <v>0.46</v>
      </c>
      <c r="Q36" s="249">
        <v>56.3</v>
      </c>
      <c r="R36" s="249">
        <v>10.9</v>
      </c>
      <c r="S36" s="250">
        <v>300</v>
      </c>
      <c r="T36" s="249">
        <v>23.85</v>
      </c>
      <c r="U36" s="249" t="s">
        <v>163</v>
      </c>
      <c r="V36" s="251" t="s">
        <v>163</v>
      </c>
      <c r="W36" s="252" t="s">
        <v>165</v>
      </c>
      <c r="X36" s="252" t="s">
        <v>165</v>
      </c>
      <c r="Y36" s="248" t="s">
        <v>163</v>
      </c>
      <c r="Z36" s="231">
        <f>IF(Table4[[#This Row],[ Bran Content]]="-","-",IF(H36&gt;0.02,0,2))</f>
        <v>2</v>
      </c>
      <c r="AA36" s="231">
        <f>IF(Table4[[#This Row],[Sieve Test]]="-","-",IF(Table4[[#This Row],[Sieve Test]]="P",1,0))</f>
        <v>1</v>
      </c>
      <c r="AB36" s="231">
        <f>IF(Table4[[#This Row],[Odor]]="-","-",IF(Table4[[#This Row],[Odor]]="P",2,0))</f>
        <v>2</v>
      </c>
      <c r="AC36" s="231">
        <f>IF(INDEX(MCmin,MATCH(Table4[[#This Row],[SKU]],FG,0))="-","-",IF(Table4[[#This Row],[%MC]]="-","-",IF(Table4[[#This Row],[%MC]]&lt;INDEX(MCmin,MATCH(Table4[[#This Row],[SKU]],FG,0)),0,IF(Table4[[#This Row],[%MC]]&gt;INDEX(MCmax,MATCH(Table4[[#This Row],[SKU]],FG,0)),0,1))))</f>
        <v>0</v>
      </c>
      <c r="AD36" s="231">
        <f>IF(INDEX(Protmin,MATCH(Table4[[#This Row],[SKU]],FG,0))="-","-",IF(Table4[[#This Row],[%Protein]]="-","-",IF(Table4[[#This Row],[%Protein]]&lt;INDEX(Protmin,MATCH(Table4[[#This Row],[SKU]],FG,0)),0,IF(Table4[[#This Row],[%Protein]]&gt;INDEX(Protmax,MATCH(Table4[[#This Row],[SKU]],FG,0)),0,1))))</f>
        <v>0</v>
      </c>
      <c r="AE36" s="231">
        <f>IF(INDEX(Ashmin,MATCH(Table4[[#This Row],[SKU]],FG,0))="-","-",IF(Table4[[#This Row],[%Ash]]="-","-",IF(Table4[[#This Row],[%Ash]]&lt;INDEX(Ashmin,MATCH(Table4[[#This Row],[SKU]],FG,0)),0,IF(Table4[[#This Row],[%Ash]]&gt;INDEX(Ashmax,MATCH(Table4[[#This Row],[SKU]],FG,0)),0,2))))</f>
        <v>2</v>
      </c>
      <c r="AF36" s="231">
        <f>IF(INDEX(Absmin,MATCH(Table4[[#This Row],[SKU]],FG,0))="-","-",IF(Table4[[#This Row],[%Absorption]]="-","-",IF(Table4[[#This Row],[%Absorption]]&lt;INDEX(Absmin,MATCH(Table4[[#This Row],[SKU]],FG,0)),0,IF(Table4[[#This Row],[%Absorption]]&gt;INDEX(Absmax,MATCH(Table4[[#This Row],[SKU]],FG,0)),0,2))))</f>
        <v>0</v>
      </c>
      <c r="AG36" s="231">
        <f>IF(INDEX(Extmin,MATCH(Table4[[#This Row],[SKU]],FG,0))="-","-",IF(Table4[[#This Row],[%Extensibility]]="-","-",IF(Table4[[#This Row],[%Extensibility]]&lt;INDEX(Extmin,MATCH(Table4[[#This Row],[SKU]],FG,0)),0,IF(Table4[[#This Row],[%Extensibility]]&gt;INDEX(Extmax,MATCH(Table4[[#This Row],[SKU]],FG,0)),0,1))))</f>
        <v>0</v>
      </c>
      <c r="AH36" s="231">
        <f>IF(INDEX(Resmin,MATCH(Table4[[#This Row],[SKU]],FG,0))="-","-",IF(Table4[[#This Row],[Resistance, max]]="-","-",IF(Table4[[#This Row],[Resistance, max]]&lt;INDEX(Resmin,MATCH(Table4[[#This Row],[SKU]],FG,0)),0,IF(Table4[[#This Row],[Resistance, max]]&gt;INDEX(Resmax,MATCH(Table4[[#This Row],[SKU]],FG,0)),0,1))))</f>
        <v>0</v>
      </c>
      <c r="AI36" s="231">
        <f>IF(INDEX(WGmin,MATCH(Table4[[#This Row],[SKU]],FG,0))="-","-",IF(Table4[[#This Row],[%Wet Gluten]]="-","-",IF(Table4[[#This Row],[%Wet Gluten]]&lt;INDEX(WGmin,MATCH(Table4[[#This Row],[SKU]],FG,0)),0,IF(Table4[[#This Row],[%Wet Gluten]]&gt;INDEX(WGmax,MATCH(Table4[[#This Row],[SKU]],FG,0)),0,2))))</f>
        <v>0</v>
      </c>
      <c r="AJ36" s="232" t="str">
        <f>IF(Table4[[#This Row],[FN, s]]="-","-",IF(R36&lt;301,1,0))</f>
        <v>-</v>
      </c>
      <c r="AK36" s="233">
        <f>SUM(Table4[[#This Row],[ QI Bran Content]:[QI FN]])</f>
        <v>7</v>
      </c>
      <c r="AL36" s="232">
        <f t="shared" si="6"/>
        <v>15</v>
      </c>
      <c r="AM36" s="232" t="str">
        <f>IF(INDEX(WGmin,MATCH(Table4[[#This Row],[SKU]],FG,0))="-","-",IF(Table4[[#This Row],[Gross Weight]]="-","-",IF(Table4[[#This Row],[Gross Weight]]&lt;INDEX(GWmin,MATCH(Table4[[#This Row],[SKU]],FG,0)),0,IF(Table4[[#This Row],[Gross Weight]]&gt;INDEX(GWmax,MATCH(Table4[[#This Row],[SKU]],FG,0)),0,1))))</f>
        <v>-</v>
      </c>
      <c r="AN36" s="232">
        <f>IF(Table4[[#This Row],[Sealing Integrity]]="-","-",IF(Table4[[#This Row],[Sealing Integrity]]="P",1,0))</f>
        <v>1</v>
      </c>
      <c r="AO36" s="232">
        <f>IF(Table4[[#This Row],[Coding]]="-","-",IF(Table4[[#This Row],[Coding]]="P",1,0))</f>
        <v>1</v>
      </c>
      <c r="AP36" s="233">
        <f>SUM(Table4[[#This Row],[QI Weight]:[QI Code]])</f>
        <v>2</v>
      </c>
      <c r="AQ36" s="233">
        <f>COUNT(Table4[[#This Row],[QI Weight]:[QI Code]])</f>
        <v>2</v>
      </c>
      <c r="AR36" s="261">
        <f>Table4[[#This Row],[TA]]+Table4[[#This Row],[TA2]]</f>
        <v>9</v>
      </c>
      <c r="AS36" s="261">
        <f>Table4[[#This Row],[TP]]+Table4[[#This Row],[TP2]]</f>
        <v>17</v>
      </c>
      <c r="BD36" s="265">
        <f>IF(INDEX(MCmin,MATCH(Table4[[#This Row],[SKU]],FG,0))="-","-",IF(Table4[[#This Row],[%MC]]="-","-",IF(Table4[[#This Row],[%MC]]&lt;INDEX(MCmin,MATCH(Table4[[#This Row],[SKU]],FG,0)),1,0)))</f>
        <v>1</v>
      </c>
      <c r="BE36" s="265">
        <f>IF(INDEX(MCmin,MATCH(Table4[[#This Row],[SKU]],FG,0))="-","-",IF(Table4[[#This Row],[%MC]]="-","-",IF(Table4[[#This Row],[%MC]]&gt;INDEX(MCmax,MATCH(Table4[[#This Row],[SKU]],FG,0)),1,0)))</f>
        <v>0</v>
      </c>
      <c r="BF36" s="231">
        <f>IF(INDEX(Ashmin,MATCH(Table4[[#This Row],[SKU]],FG,0))="-","-",IF(Table4[[#This Row],[%Ash]]="-","-",IF(Table4[[#This Row],[%Ash]]&lt;INDEX(Ashmin,MATCH(Table4[[#This Row],[SKU]],FG,0)),1,0)))</f>
        <v>0</v>
      </c>
      <c r="BG36" s="231">
        <f>IF(INDEX(Ashmin,MATCH(Table4[[#This Row],[SKU]],FG,0))="-","-",IF(Table4[[#This Row],[%Ash]]="-","-",IF(Table4[[#This Row],[%Ash]]&gt;INDEX(Ashmax,MATCH(Table4[[#This Row],[SKU]],FG,0)),1,0)))</f>
        <v>0</v>
      </c>
      <c r="BH36" s="231">
        <f>IF(INDEX(Absmin,MATCH(Table4[[#This Row],[SKU]],FG,0))="-","-",IF(Table4[[#This Row],[%Absorption]]="-","-",IF(Table4[[#This Row],[%Absorption]]&lt;INDEX(Absmin,MATCH(Table4[[#This Row],[SKU]],FG,0)),1,0)))</f>
        <v>1</v>
      </c>
      <c r="BI36" s="231">
        <f>IF(INDEX(Absmin,MATCH(Table4[[#This Row],[SKU]],FG,0))="-","-",IF(Table4[[#This Row],[%Absorption]]="-","-",IF(Table4[[#This Row],[%Absorption]]&gt;INDEX(Absmax,MATCH(Table4[[#This Row],[SKU]],FG,0)),1,0)))</f>
        <v>0</v>
      </c>
      <c r="BJ36" s="231">
        <f>IF(INDEX(WGmin,MATCH(Table4[[#This Row],[SKU]],FG,0))="-","-",IF(Table4[[#This Row],[%Wet Gluten]]="-","-",IF(Table4[[#This Row],[%Wet Gluten]]&lt;INDEX(WGmin,MATCH(Table4[[#This Row],[SKU]],FG,0)),1,0)))</f>
        <v>1</v>
      </c>
      <c r="BK36" s="231">
        <f>IF(INDEX(WGmin,MATCH(Table4[[#This Row],[SKU]],FG,0))="-","-",IF(Table4[[#This Row],[%Wet Gluten]]="-","-",IF(Table4[[#This Row],[%Wet Gluten]]&gt;INDEX(WGmax,MATCH(Table4[[#This Row],[SKU]],FG,0)),1,0)))</f>
        <v>0</v>
      </c>
    </row>
    <row r="37" spans="1:63" x14ac:dyDescent="0.35">
      <c r="A37" s="243">
        <v>46023</v>
      </c>
      <c r="B37" s="244">
        <v>46025</v>
      </c>
      <c r="C37" s="244">
        <v>46014</v>
      </c>
      <c r="D37" s="244" t="s">
        <v>130</v>
      </c>
      <c r="E37" s="245">
        <v>1.1666666666666701</v>
      </c>
      <c r="F37" s="246">
        <v>1</v>
      </c>
      <c r="G37" s="259" t="s">
        <v>335</v>
      </c>
      <c r="H37" s="247">
        <v>8.8999999999999999E-3</v>
      </c>
      <c r="I37" s="248" t="s">
        <v>165</v>
      </c>
      <c r="J37" s="248" t="s">
        <v>165</v>
      </c>
      <c r="K37" s="248" t="s">
        <v>165</v>
      </c>
      <c r="L37" s="248" t="s">
        <v>163</v>
      </c>
      <c r="M37" s="248" t="s">
        <v>161</v>
      </c>
      <c r="N37" s="249">
        <v>10.57</v>
      </c>
      <c r="O37" s="249" t="s">
        <v>163</v>
      </c>
      <c r="P37" s="249" t="s">
        <v>163</v>
      </c>
      <c r="Q37" s="249" t="s">
        <v>163</v>
      </c>
      <c r="R37" s="249" t="s">
        <v>163</v>
      </c>
      <c r="S37" s="250" t="s">
        <v>163</v>
      </c>
      <c r="T37" s="249" t="s">
        <v>163</v>
      </c>
      <c r="U37" s="249" t="s">
        <v>163</v>
      </c>
      <c r="V37" s="251" t="s">
        <v>163</v>
      </c>
      <c r="W37" s="252" t="s">
        <v>165</v>
      </c>
      <c r="X37" s="252" t="s">
        <v>165</v>
      </c>
      <c r="Y37" s="248" t="s">
        <v>163</v>
      </c>
      <c r="Z37" s="231">
        <f>IF(Table4[[#This Row],[ Bran Content]]="-","-",IF(H37&gt;0.02,0,2))</f>
        <v>2</v>
      </c>
      <c r="AA37" s="231">
        <f>IF(Table4[[#This Row],[Sieve Test]]="-","-",IF(Table4[[#This Row],[Sieve Test]]="P",1,0))</f>
        <v>1</v>
      </c>
      <c r="AB37" s="231">
        <f>IF(Table4[[#This Row],[Odor]]="-","-",IF(Table4[[#This Row],[Odor]]="P",2,0))</f>
        <v>2</v>
      </c>
      <c r="AC37" s="231">
        <f>IF(INDEX(MCmin,MATCH(Table4[[#This Row],[SKU]],FG,0))="-","-",IF(Table4[[#This Row],[%MC]]="-","-",IF(Table4[[#This Row],[%MC]]&lt;INDEX(MCmin,MATCH(Table4[[#This Row],[SKU]],FG,0)),0,IF(Table4[[#This Row],[%MC]]&gt;INDEX(MCmax,MATCH(Table4[[#This Row],[SKU]],FG,0)),0,1))))</f>
        <v>0</v>
      </c>
      <c r="AD37" s="231" t="str">
        <f>IF(INDEX(Protmin,MATCH(Table4[[#This Row],[SKU]],FG,0))="-","-",IF(Table4[[#This Row],[%Protein]]="-","-",IF(Table4[[#This Row],[%Protein]]&lt;INDEX(Protmin,MATCH(Table4[[#This Row],[SKU]],FG,0)),0,IF(Table4[[#This Row],[%Protein]]&gt;INDEX(Protmax,MATCH(Table4[[#This Row],[SKU]],FG,0)),0,1))))</f>
        <v>-</v>
      </c>
      <c r="AE37" s="231" t="str">
        <f>IF(INDEX(Ashmin,MATCH(Table4[[#This Row],[SKU]],FG,0))="-","-",IF(Table4[[#This Row],[%Ash]]="-","-",IF(Table4[[#This Row],[%Ash]]&lt;INDEX(Ashmin,MATCH(Table4[[#This Row],[SKU]],FG,0)),0,IF(Table4[[#This Row],[%Ash]]&gt;INDEX(Ashmax,MATCH(Table4[[#This Row],[SKU]],FG,0)),0,2))))</f>
        <v>-</v>
      </c>
      <c r="AF37" s="231" t="str">
        <f>IF(INDEX(Absmin,MATCH(Table4[[#This Row],[SKU]],FG,0))="-","-",IF(Table4[[#This Row],[%Absorption]]="-","-",IF(Table4[[#This Row],[%Absorption]]&lt;INDEX(Absmin,MATCH(Table4[[#This Row],[SKU]],FG,0)),0,IF(Table4[[#This Row],[%Absorption]]&gt;INDEX(Absmax,MATCH(Table4[[#This Row],[SKU]],FG,0)),0,2))))</f>
        <v>-</v>
      </c>
      <c r="AG37" s="231" t="str">
        <f>IF(INDEX(Extmin,MATCH(Table4[[#This Row],[SKU]],FG,0))="-","-",IF(Table4[[#This Row],[%Extensibility]]="-","-",IF(Table4[[#This Row],[%Extensibility]]&lt;INDEX(Extmin,MATCH(Table4[[#This Row],[SKU]],FG,0)),0,IF(Table4[[#This Row],[%Extensibility]]&gt;INDEX(Extmax,MATCH(Table4[[#This Row],[SKU]],FG,0)),0,1))))</f>
        <v>-</v>
      </c>
      <c r="AH37" s="231" t="str">
        <f>IF(INDEX(Resmin,MATCH(Table4[[#This Row],[SKU]],FG,0))="-","-",IF(Table4[[#This Row],[Resistance, max]]="-","-",IF(Table4[[#This Row],[Resistance, max]]&lt;INDEX(Resmin,MATCH(Table4[[#This Row],[SKU]],FG,0)),0,IF(Table4[[#This Row],[Resistance, max]]&gt;INDEX(Resmax,MATCH(Table4[[#This Row],[SKU]],FG,0)),0,1))))</f>
        <v>-</v>
      </c>
      <c r="AI37" s="231" t="str">
        <f>IF(INDEX(WGmin,MATCH(Table4[[#This Row],[SKU]],FG,0))="-","-",IF(Table4[[#This Row],[%Wet Gluten]]="-","-",IF(Table4[[#This Row],[%Wet Gluten]]&lt;INDEX(WGmin,MATCH(Table4[[#This Row],[SKU]],FG,0)),0,IF(Table4[[#This Row],[%Wet Gluten]]&gt;INDEX(WGmax,MATCH(Table4[[#This Row],[SKU]],FG,0)),0,2))))</f>
        <v>-</v>
      </c>
      <c r="AJ37" s="232" t="str">
        <f>IF(Table4[[#This Row],[FN, s]]="-","-",IF(R37&lt;301,1,0))</f>
        <v>-</v>
      </c>
      <c r="AK37" s="233">
        <f>SUM(Table4[[#This Row],[ QI Bran Content]:[QI FN]])</f>
        <v>5</v>
      </c>
      <c r="AL37" s="232">
        <f t="shared" si="6"/>
        <v>6</v>
      </c>
      <c r="AM37" s="232" t="str">
        <f>IF(INDEX(WGmin,MATCH(Table4[[#This Row],[SKU]],FG,0))="-","-",IF(Table4[[#This Row],[Gross Weight]]="-","-",IF(Table4[[#This Row],[Gross Weight]]&lt;INDEX(GWmin,MATCH(Table4[[#This Row],[SKU]],FG,0)),0,IF(Table4[[#This Row],[Gross Weight]]&gt;INDEX(GWmax,MATCH(Table4[[#This Row],[SKU]],FG,0)),0,1))))</f>
        <v>-</v>
      </c>
      <c r="AN37" s="232">
        <f>IF(Table4[[#This Row],[Sealing Integrity]]="-","-",IF(Table4[[#This Row],[Sealing Integrity]]="P",1,0))</f>
        <v>1</v>
      </c>
      <c r="AO37" s="232">
        <f>IF(Table4[[#This Row],[Coding]]="-","-",IF(Table4[[#This Row],[Coding]]="P",1,0))</f>
        <v>1</v>
      </c>
      <c r="AP37" s="233">
        <f>SUM(Table4[[#This Row],[QI Weight]:[QI Code]])</f>
        <v>2</v>
      </c>
      <c r="AQ37" s="233">
        <f>COUNT(Table4[[#This Row],[QI Weight]:[QI Code]])</f>
        <v>2</v>
      </c>
      <c r="AR37" s="261">
        <f>Table4[[#This Row],[TA]]+Table4[[#This Row],[TA2]]</f>
        <v>7</v>
      </c>
      <c r="AS37" s="261">
        <f>Table4[[#This Row],[TP]]+Table4[[#This Row],[TP2]]</f>
        <v>8</v>
      </c>
      <c r="BD37" s="265">
        <f>IF(INDEX(MCmin,MATCH(Table4[[#This Row],[SKU]],FG,0))="-","-",IF(Table4[[#This Row],[%MC]]="-","-",IF(Table4[[#This Row],[%MC]]&lt;INDEX(MCmin,MATCH(Table4[[#This Row],[SKU]],FG,0)),1,0)))</f>
        <v>1</v>
      </c>
      <c r="BE37" s="265">
        <f>IF(INDEX(MCmin,MATCH(Table4[[#This Row],[SKU]],FG,0))="-","-",IF(Table4[[#This Row],[%MC]]="-","-",IF(Table4[[#This Row],[%MC]]&gt;INDEX(MCmax,MATCH(Table4[[#This Row],[SKU]],FG,0)),1,0)))</f>
        <v>0</v>
      </c>
      <c r="BF37" s="231" t="str">
        <f>IF(INDEX(Ashmin,MATCH(Table4[[#This Row],[SKU]],FG,0))="-","-",IF(Table4[[#This Row],[%Ash]]="-","-",IF(Table4[[#This Row],[%Ash]]&lt;INDEX(Ashmin,MATCH(Table4[[#This Row],[SKU]],FG,0)),1,0)))</f>
        <v>-</v>
      </c>
      <c r="BG37" s="231" t="str">
        <f>IF(INDEX(Ashmin,MATCH(Table4[[#This Row],[SKU]],FG,0))="-","-",IF(Table4[[#This Row],[%Ash]]="-","-",IF(Table4[[#This Row],[%Ash]]&gt;INDEX(Ashmax,MATCH(Table4[[#This Row],[SKU]],FG,0)),1,0)))</f>
        <v>-</v>
      </c>
      <c r="BH37" s="231" t="str">
        <f>IF(INDEX(Absmin,MATCH(Table4[[#This Row],[SKU]],FG,0))="-","-",IF(Table4[[#This Row],[%Absorption]]="-","-",IF(Table4[[#This Row],[%Absorption]]&lt;INDEX(Absmin,MATCH(Table4[[#This Row],[SKU]],FG,0)),1,0)))</f>
        <v>-</v>
      </c>
      <c r="BI37" s="231" t="str">
        <f>IF(INDEX(Absmin,MATCH(Table4[[#This Row],[SKU]],FG,0))="-","-",IF(Table4[[#This Row],[%Absorption]]="-","-",IF(Table4[[#This Row],[%Absorption]]&gt;INDEX(Absmax,MATCH(Table4[[#This Row],[SKU]],FG,0)),1,0)))</f>
        <v>-</v>
      </c>
      <c r="BJ37" s="231" t="str">
        <f>IF(INDEX(WGmin,MATCH(Table4[[#This Row],[SKU]],FG,0))="-","-",IF(Table4[[#This Row],[%Wet Gluten]]="-","-",IF(Table4[[#This Row],[%Wet Gluten]]&lt;INDEX(WGmin,MATCH(Table4[[#This Row],[SKU]],FG,0)),1,0)))</f>
        <v>-</v>
      </c>
      <c r="BK37" s="231" t="str">
        <f>IF(INDEX(WGmin,MATCH(Table4[[#This Row],[SKU]],FG,0))="-","-",IF(Table4[[#This Row],[%Wet Gluten]]="-","-",IF(Table4[[#This Row],[%Wet Gluten]]&gt;INDEX(WGmax,MATCH(Table4[[#This Row],[SKU]],FG,0)),1,0)))</f>
        <v>-</v>
      </c>
    </row>
    <row r="38" spans="1:63" x14ac:dyDescent="0.35">
      <c r="A38" s="243">
        <v>46023</v>
      </c>
      <c r="B38" s="244">
        <v>46025</v>
      </c>
      <c r="C38" s="244">
        <v>46025</v>
      </c>
      <c r="D38" s="244" t="s">
        <v>128</v>
      </c>
      <c r="E38" s="245">
        <v>0.66666666666666696</v>
      </c>
      <c r="F38" s="246" t="s">
        <v>383</v>
      </c>
      <c r="G38" s="259" t="s">
        <v>334</v>
      </c>
      <c r="H38" s="247" t="s">
        <v>163</v>
      </c>
      <c r="I38" s="248" t="s">
        <v>163</v>
      </c>
      <c r="J38" s="248" t="s">
        <v>163</v>
      </c>
      <c r="K38" s="248" t="s">
        <v>163</v>
      </c>
      <c r="L38" s="248" t="s">
        <v>163</v>
      </c>
      <c r="M38" s="248" t="s">
        <v>163</v>
      </c>
      <c r="N38" s="249">
        <v>12.4</v>
      </c>
      <c r="O38" s="249" t="s">
        <v>163</v>
      </c>
      <c r="P38" s="249" t="s">
        <v>163</v>
      </c>
      <c r="Q38" s="249" t="s">
        <v>163</v>
      </c>
      <c r="R38" s="249" t="s">
        <v>163</v>
      </c>
      <c r="S38" s="250" t="s">
        <v>163</v>
      </c>
      <c r="T38" s="249" t="s">
        <v>163</v>
      </c>
      <c r="U38" s="249" t="s">
        <v>163</v>
      </c>
      <c r="V38" s="251" t="s">
        <v>163</v>
      </c>
      <c r="W38" s="252" t="s">
        <v>163</v>
      </c>
      <c r="X38" s="252" t="s">
        <v>163</v>
      </c>
      <c r="Y38" s="248" t="s">
        <v>163</v>
      </c>
      <c r="Z38" s="231" t="str">
        <f>IF(Table4[[#This Row],[ Bran Content]]="-","-",IF(H38&gt;0.02,0,2))</f>
        <v>-</v>
      </c>
      <c r="AA38" s="231" t="str">
        <f>IF(Table4[[#This Row],[Sieve Test]]="-","-",IF(Table4[[#This Row],[Sieve Test]]="P",1,0))</f>
        <v>-</v>
      </c>
      <c r="AB38" s="231" t="str">
        <f>IF(Table4[[#This Row],[Odor]]="-","-",IF(Table4[[#This Row],[Odor]]="P",2,0))</f>
        <v>-</v>
      </c>
      <c r="AC38" s="231">
        <f>IF(INDEX(MCmin,MATCH(Table4[[#This Row],[SKU]],FG,0))="-","-",IF(Table4[[#This Row],[%MC]]="-","-",IF(Table4[[#This Row],[%MC]]&lt;INDEX(MCmin,MATCH(Table4[[#This Row],[SKU]],FG,0)),0,IF(Table4[[#This Row],[%MC]]&gt;INDEX(MCmax,MATCH(Table4[[#This Row],[SKU]],FG,0)),0,1))))</f>
        <v>0</v>
      </c>
      <c r="AD38" s="231" t="str">
        <f>IF(INDEX(Protmin,MATCH(Table4[[#This Row],[SKU]],FG,0))="-","-",IF(Table4[[#This Row],[%Protein]]="-","-",IF(Table4[[#This Row],[%Protein]]&lt;INDEX(Protmin,MATCH(Table4[[#This Row],[SKU]],FG,0)),0,IF(Table4[[#This Row],[%Protein]]&gt;INDEX(Protmax,MATCH(Table4[[#This Row],[SKU]],FG,0)),0,1))))</f>
        <v>-</v>
      </c>
      <c r="AE38" s="231" t="str">
        <f>IF(INDEX(Ashmin,MATCH(Table4[[#This Row],[SKU]],FG,0))="-","-",IF(Table4[[#This Row],[%Ash]]="-","-",IF(Table4[[#This Row],[%Ash]]&lt;INDEX(Ashmin,MATCH(Table4[[#This Row],[SKU]],FG,0)),0,IF(Table4[[#This Row],[%Ash]]&gt;INDEX(Ashmax,MATCH(Table4[[#This Row],[SKU]],FG,0)),0,2))))</f>
        <v>-</v>
      </c>
      <c r="AF38" s="231" t="str">
        <f>IF(INDEX(Absmin,MATCH(Table4[[#This Row],[SKU]],FG,0))="-","-",IF(Table4[[#This Row],[%Absorption]]="-","-",IF(Table4[[#This Row],[%Absorption]]&lt;INDEX(Absmin,MATCH(Table4[[#This Row],[SKU]],FG,0)),0,IF(Table4[[#This Row],[%Absorption]]&gt;INDEX(Absmax,MATCH(Table4[[#This Row],[SKU]],FG,0)),0,2))))</f>
        <v>-</v>
      </c>
      <c r="AG38" s="231" t="str">
        <f>IF(INDEX(Extmin,MATCH(Table4[[#This Row],[SKU]],FG,0))="-","-",IF(Table4[[#This Row],[%Extensibility]]="-","-",IF(Table4[[#This Row],[%Extensibility]]&lt;INDEX(Extmin,MATCH(Table4[[#This Row],[SKU]],FG,0)),0,IF(Table4[[#This Row],[%Extensibility]]&gt;INDEX(Extmax,MATCH(Table4[[#This Row],[SKU]],FG,0)),0,1))))</f>
        <v>-</v>
      </c>
      <c r="AH38" s="231" t="str">
        <f>IF(INDEX(Resmin,MATCH(Table4[[#This Row],[SKU]],FG,0))="-","-",IF(Table4[[#This Row],[Resistance, max]]="-","-",IF(Table4[[#This Row],[Resistance, max]]&lt;INDEX(Resmin,MATCH(Table4[[#This Row],[SKU]],FG,0)),0,IF(Table4[[#This Row],[Resistance, max]]&gt;INDEX(Resmax,MATCH(Table4[[#This Row],[SKU]],FG,0)),0,1))))</f>
        <v>-</v>
      </c>
      <c r="AI38" s="231" t="str">
        <f>IF(INDEX(WGmin,MATCH(Table4[[#This Row],[SKU]],FG,0))="-","-",IF(Table4[[#This Row],[%Wet Gluten]]="-","-",IF(Table4[[#This Row],[%Wet Gluten]]&lt;INDEX(WGmin,MATCH(Table4[[#This Row],[SKU]],FG,0)),0,IF(Table4[[#This Row],[%Wet Gluten]]&gt;INDEX(WGmax,MATCH(Table4[[#This Row],[SKU]],FG,0)),0,2))))</f>
        <v>-</v>
      </c>
      <c r="AJ38" s="232" t="str">
        <f>IF(Table4[[#This Row],[FN, s]]="-","-",IF(R38&lt;301,1,0))</f>
        <v>-</v>
      </c>
      <c r="AK38" s="233">
        <f>SUM(Table4[[#This Row],[ QI Bran Content]:[QI FN]])</f>
        <v>0</v>
      </c>
      <c r="AL38" s="232">
        <f t="shared" si="6"/>
        <v>1</v>
      </c>
      <c r="AM38" s="232" t="str">
        <f>IF(INDEX(WGmin,MATCH(Table4[[#This Row],[SKU]],FG,0))="-","-",IF(Table4[[#This Row],[Gross Weight]]="-","-",IF(Table4[[#This Row],[Gross Weight]]&lt;INDEX(GWmin,MATCH(Table4[[#This Row],[SKU]],FG,0)),0,IF(Table4[[#This Row],[Gross Weight]]&gt;INDEX(GWmax,MATCH(Table4[[#This Row],[SKU]],FG,0)),0,1))))</f>
        <v>-</v>
      </c>
      <c r="AN38" s="232" t="str">
        <f>IF(Table4[[#This Row],[Sealing Integrity]]="-","-",IF(Table4[[#This Row],[Sealing Integrity]]="P",1,0))</f>
        <v>-</v>
      </c>
      <c r="AO38" s="232" t="str">
        <f>IF(Table4[[#This Row],[Coding]]="-","-",IF(Table4[[#This Row],[Coding]]="P",1,0))</f>
        <v>-</v>
      </c>
      <c r="AP38" s="233">
        <f>SUM(Table4[[#This Row],[QI Weight]:[QI Code]])</f>
        <v>0</v>
      </c>
      <c r="AQ38" s="233">
        <f>COUNT(Table4[[#This Row],[QI Weight]:[QI Code]])</f>
        <v>0</v>
      </c>
      <c r="AR38" s="261">
        <f>Table4[[#This Row],[TA]]+Table4[[#This Row],[TA2]]</f>
        <v>0</v>
      </c>
      <c r="AS38" s="261">
        <f>Table4[[#This Row],[TP]]+Table4[[#This Row],[TP2]]</f>
        <v>1</v>
      </c>
      <c r="BD38" s="265">
        <f>IF(INDEX(MCmin,MATCH(Table4[[#This Row],[SKU]],FG,0))="-","-",IF(Table4[[#This Row],[%MC]]="-","-",IF(Table4[[#This Row],[%MC]]&lt;INDEX(MCmin,MATCH(Table4[[#This Row],[SKU]],FG,0)),1,0)))</f>
        <v>1</v>
      </c>
      <c r="BE38" s="265">
        <f>IF(INDEX(MCmin,MATCH(Table4[[#This Row],[SKU]],FG,0))="-","-",IF(Table4[[#This Row],[%MC]]="-","-",IF(Table4[[#This Row],[%MC]]&gt;INDEX(MCmax,MATCH(Table4[[#This Row],[SKU]],FG,0)),1,0)))</f>
        <v>0</v>
      </c>
      <c r="BF38" s="231" t="str">
        <f>IF(INDEX(Ashmin,MATCH(Table4[[#This Row],[SKU]],FG,0))="-","-",IF(Table4[[#This Row],[%Ash]]="-","-",IF(Table4[[#This Row],[%Ash]]&lt;INDEX(Ashmin,MATCH(Table4[[#This Row],[SKU]],FG,0)),1,0)))</f>
        <v>-</v>
      </c>
      <c r="BG38" s="231" t="str">
        <f>IF(INDEX(Ashmin,MATCH(Table4[[#This Row],[SKU]],FG,0))="-","-",IF(Table4[[#This Row],[%Ash]]="-","-",IF(Table4[[#This Row],[%Ash]]&gt;INDEX(Ashmax,MATCH(Table4[[#This Row],[SKU]],FG,0)),1,0)))</f>
        <v>-</v>
      </c>
      <c r="BH38" s="231" t="str">
        <f>IF(INDEX(Absmin,MATCH(Table4[[#This Row],[SKU]],FG,0))="-","-",IF(Table4[[#This Row],[%Absorption]]="-","-",IF(Table4[[#This Row],[%Absorption]]&lt;INDEX(Absmin,MATCH(Table4[[#This Row],[SKU]],FG,0)),1,0)))</f>
        <v>-</v>
      </c>
      <c r="BI38" s="231" t="str">
        <f>IF(INDEX(Absmin,MATCH(Table4[[#This Row],[SKU]],FG,0))="-","-",IF(Table4[[#This Row],[%Absorption]]="-","-",IF(Table4[[#This Row],[%Absorption]]&gt;INDEX(Absmax,MATCH(Table4[[#This Row],[SKU]],FG,0)),1,0)))</f>
        <v>-</v>
      </c>
      <c r="BJ38" s="231" t="str">
        <f>IF(INDEX(WGmin,MATCH(Table4[[#This Row],[SKU]],FG,0))="-","-",IF(Table4[[#This Row],[%Wet Gluten]]="-","-",IF(Table4[[#This Row],[%Wet Gluten]]&lt;INDEX(WGmin,MATCH(Table4[[#This Row],[SKU]],FG,0)),1,0)))</f>
        <v>-</v>
      </c>
      <c r="BK38" s="231" t="str">
        <f>IF(INDEX(WGmin,MATCH(Table4[[#This Row],[SKU]],FG,0))="-","-",IF(Table4[[#This Row],[%Wet Gluten]]="-","-",IF(Table4[[#This Row],[%Wet Gluten]]&gt;INDEX(WGmax,MATCH(Table4[[#This Row],[SKU]],FG,0)),1,0)))</f>
        <v>-</v>
      </c>
    </row>
    <row r="39" spans="1:63" x14ac:dyDescent="0.35">
      <c r="A39" s="243">
        <v>46023</v>
      </c>
      <c r="B39" s="244">
        <v>46025</v>
      </c>
      <c r="C39" s="244">
        <v>46000</v>
      </c>
      <c r="D39" s="244" t="s">
        <v>125</v>
      </c>
      <c r="E39" s="245">
        <v>0.41666666666666669</v>
      </c>
      <c r="F39" s="246">
        <v>3</v>
      </c>
      <c r="G39" s="259" t="s">
        <v>117</v>
      </c>
      <c r="H39" s="247">
        <v>4.0000000000000001E-3</v>
      </c>
      <c r="I39" s="248" t="s">
        <v>165</v>
      </c>
      <c r="J39" s="248" t="s">
        <v>165</v>
      </c>
      <c r="K39" s="248" t="s">
        <v>165</v>
      </c>
      <c r="L39" s="248" t="s">
        <v>161</v>
      </c>
      <c r="M39" s="248" t="s">
        <v>161</v>
      </c>
      <c r="N39" s="249">
        <v>12.53</v>
      </c>
      <c r="O39" s="249">
        <v>12.74</v>
      </c>
      <c r="P39" s="249">
        <v>0.5</v>
      </c>
      <c r="Q39" s="249">
        <v>62.2</v>
      </c>
      <c r="R39" s="249">
        <v>13</v>
      </c>
      <c r="S39" s="250">
        <v>907</v>
      </c>
      <c r="T39" s="249">
        <v>35.6</v>
      </c>
      <c r="U39" s="249" t="s">
        <v>163</v>
      </c>
      <c r="V39" s="251" t="s">
        <v>163</v>
      </c>
      <c r="W39" s="252" t="s">
        <v>165</v>
      </c>
      <c r="X39" s="252" t="s">
        <v>165</v>
      </c>
      <c r="Y39" s="248" t="s">
        <v>163</v>
      </c>
      <c r="Z39" s="231">
        <f>IF(Table4[[#This Row],[ Bran Content]]="-","-",IF(H39&gt;0.02,0,2))</f>
        <v>2</v>
      </c>
      <c r="AA39" s="231">
        <f>IF(Table4[[#This Row],[Sieve Test]]="-","-",IF(Table4[[#This Row],[Sieve Test]]="P",1,0))</f>
        <v>1</v>
      </c>
      <c r="AB39" s="231">
        <f>IF(Table4[[#This Row],[Odor]]="-","-",IF(Table4[[#This Row],[Odor]]="P",2,0))</f>
        <v>2</v>
      </c>
      <c r="AC39" s="231">
        <f>IF(INDEX(MCmin,MATCH(Table4[[#This Row],[SKU]],FG,0))="-","-",IF(Table4[[#This Row],[%MC]]="-","-",IF(Table4[[#This Row],[%MC]]&lt;INDEX(MCmin,MATCH(Table4[[#This Row],[SKU]],FG,0)),0,IF(Table4[[#This Row],[%MC]]&gt;INDEX(MCmax,MATCH(Table4[[#This Row],[SKU]],FG,0)),0,1))))</f>
        <v>1</v>
      </c>
      <c r="AD39" s="231">
        <f>IF(INDEX(Protmin,MATCH(Table4[[#This Row],[SKU]],FG,0))="-","-",IF(Table4[[#This Row],[%Protein]]="-","-",IF(Table4[[#This Row],[%Protein]]&lt;INDEX(Protmin,MATCH(Table4[[#This Row],[SKU]],FG,0)),0,IF(Table4[[#This Row],[%Protein]]&gt;INDEX(Protmax,MATCH(Table4[[#This Row],[SKU]],FG,0)),0,1))))</f>
        <v>1</v>
      </c>
      <c r="AE39" s="231">
        <f>IF(INDEX(Ashmin,MATCH(Table4[[#This Row],[SKU]],FG,0))="-","-",IF(Table4[[#This Row],[%Ash]]="-","-",IF(Table4[[#This Row],[%Ash]]&lt;INDEX(Ashmin,MATCH(Table4[[#This Row],[SKU]],FG,0)),0,IF(Table4[[#This Row],[%Ash]]&gt;INDEX(Ashmax,MATCH(Table4[[#This Row],[SKU]],FG,0)),0,2))))</f>
        <v>2</v>
      </c>
      <c r="AF39" s="231">
        <f>IF(INDEX(Absmin,MATCH(Table4[[#This Row],[SKU]],FG,0))="-","-",IF(Table4[[#This Row],[%Absorption]]="-","-",IF(Table4[[#This Row],[%Absorption]]&lt;INDEX(Absmin,MATCH(Table4[[#This Row],[SKU]],FG,0)),0,IF(Table4[[#This Row],[%Absorption]]&gt;INDEX(Absmax,MATCH(Table4[[#This Row],[SKU]],FG,0)),0,2))))</f>
        <v>0</v>
      </c>
      <c r="AG39" s="231">
        <f>IF(INDEX(Extmin,MATCH(Table4[[#This Row],[SKU]],FG,0))="-","-",IF(Table4[[#This Row],[%Extensibility]]="-","-",IF(Table4[[#This Row],[%Extensibility]]&lt;INDEX(Extmin,MATCH(Table4[[#This Row],[SKU]],FG,0)),0,IF(Table4[[#This Row],[%Extensibility]]&gt;INDEX(Extmax,MATCH(Table4[[#This Row],[SKU]],FG,0)),0,1))))</f>
        <v>1</v>
      </c>
      <c r="AH39" s="231">
        <f>IF(INDEX(Resmin,MATCH(Table4[[#This Row],[SKU]],FG,0))="-","-",IF(Table4[[#This Row],[Resistance, max]]="-","-",IF(Table4[[#This Row],[Resistance, max]]&lt;INDEX(Resmin,MATCH(Table4[[#This Row],[SKU]],FG,0)),0,IF(Table4[[#This Row],[Resistance, max]]&gt;INDEX(Resmax,MATCH(Table4[[#This Row],[SKU]],FG,0)),0,1))))</f>
        <v>1</v>
      </c>
      <c r="AI39" s="231">
        <f>IF(INDEX(WGmin,MATCH(Table4[[#This Row],[SKU]],FG,0))="-","-",IF(Table4[[#This Row],[%Wet Gluten]]="-","-",IF(Table4[[#This Row],[%Wet Gluten]]&lt;INDEX(WGmin,MATCH(Table4[[#This Row],[SKU]],FG,0)),0,IF(Table4[[#This Row],[%Wet Gluten]]&gt;INDEX(WGmax,MATCH(Table4[[#This Row],[SKU]],FG,0)),0,2))))</f>
        <v>2</v>
      </c>
      <c r="AJ39" s="232" t="str">
        <f>IF(Table4[[#This Row],[FN, s]]="-","-",IF(R39&lt;301,1,0))</f>
        <v>-</v>
      </c>
      <c r="AK39" s="233">
        <f>SUM(Table4[[#This Row],[ QI Bran Content]:[QI FN]])</f>
        <v>13</v>
      </c>
      <c r="AL39" s="232">
        <f t="shared" si="6"/>
        <v>15</v>
      </c>
      <c r="AM39" s="232" t="str">
        <f>IF(INDEX(WGmin,MATCH(Table4[[#This Row],[SKU]],FG,0))="-","-",IF(Table4[[#This Row],[Gross Weight]]="-","-",IF(Table4[[#This Row],[Gross Weight]]&lt;INDEX(GWmin,MATCH(Table4[[#This Row],[SKU]],FG,0)),0,IF(Table4[[#This Row],[Gross Weight]]&gt;INDEX(GWmax,MATCH(Table4[[#This Row],[SKU]],FG,0)),0,1))))</f>
        <v>-</v>
      </c>
      <c r="AN39" s="232">
        <f>IF(Table4[[#This Row],[Sealing Integrity]]="-","-",IF(Table4[[#This Row],[Sealing Integrity]]="P",1,0))</f>
        <v>1</v>
      </c>
      <c r="AO39" s="232">
        <f>IF(Table4[[#This Row],[Coding]]="-","-",IF(Table4[[#This Row],[Coding]]="P",1,0))</f>
        <v>1</v>
      </c>
      <c r="AP39" s="233">
        <f>SUM(Table4[[#This Row],[QI Weight]:[QI Code]])</f>
        <v>2</v>
      </c>
      <c r="AQ39" s="233">
        <f>COUNT(Table4[[#This Row],[QI Weight]:[QI Code]])</f>
        <v>2</v>
      </c>
      <c r="AR39" s="261">
        <f>Table4[[#This Row],[TA]]+Table4[[#This Row],[TA2]]</f>
        <v>15</v>
      </c>
      <c r="AS39" s="261">
        <f>Table4[[#This Row],[TP]]+Table4[[#This Row],[TP2]]</f>
        <v>17</v>
      </c>
      <c r="BD39" s="265">
        <f>IF(INDEX(MCmin,MATCH(Table4[[#This Row],[SKU]],FG,0))="-","-",IF(Table4[[#This Row],[%MC]]="-","-",IF(Table4[[#This Row],[%MC]]&lt;INDEX(MCmin,MATCH(Table4[[#This Row],[SKU]],FG,0)),1,0)))</f>
        <v>0</v>
      </c>
      <c r="BE39" s="265">
        <f>IF(INDEX(MCmin,MATCH(Table4[[#This Row],[SKU]],FG,0))="-","-",IF(Table4[[#This Row],[%MC]]="-","-",IF(Table4[[#This Row],[%MC]]&gt;INDEX(MCmax,MATCH(Table4[[#This Row],[SKU]],FG,0)),1,0)))</f>
        <v>0</v>
      </c>
      <c r="BF39" s="231">
        <f>IF(INDEX(Ashmin,MATCH(Table4[[#This Row],[SKU]],FG,0))="-","-",IF(Table4[[#This Row],[%Ash]]="-","-",IF(Table4[[#This Row],[%Ash]]&lt;INDEX(Ashmin,MATCH(Table4[[#This Row],[SKU]],FG,0)),1,0)))</f>
        <v>0</v>
      </c>
      <c r="BG39" s="231">
        <f>IF(INDEX(Ashmin,MATCH(Table4[[#This Row],[SKU]],FG,0))="-","-",IF(Table4[[#This Row],[%Ash]]="-","-",IF(Table4[[#This Row],[%Ash]]&gt;INDEX(Ashmax,MATCH(Table4[[#This Row],[SKU]],FG,0)),1,0)))</f>
        <v>0</v>
      </c>
      <c r="BH39" s="231">
        <f>IF(INDEX(Absmin,MATCH(Table4[[#This Row],[SKU]],FG,0))="-","-",IF(Table4[[#This Row],[%Absorption]]="-","-",IF(Table4[[#This Row],[%Absorption]]&lt;INDEX(Absmin,MATCH(Table4[[#This Row],[SKU]],FG,0)),1,0)))</f>
        <v>1</v>
      </c>
      <c r="BI39" s="231">
        <f>IF(INDEX(Absmin,MATCH(Table4[[#This Row],[SKU]],FG,0))="-","-",IF(Table4[[#This Row],[%Absorption]]="-","-",IF(Table4[[#This Row],[%Absorption]]&gt;INDEX(Absmax,MATCH(Table4[[#This Row],[SKU]],FG,0)),1,0)))</f>
        <v>0</v>
      </c>
      <c r="BJ39" s="231">
        <f>IF(INDEX(WGmin,MATCH(Table4[[#This Row],[SKU]],FG,0))="-","-",IF(Table4[[#This Row],[%Wet Gluten]]="-","-",IF(Table4[[#This Row],[%Wet Gluten]]&lt;INDEX(WGmin,MATCH(Table4[[#This Row],[SKU]],FG,0)),1,0)))</f>
        <v>0</v>
      </c>
      <c r="BK39" s="231">
        <f>IF(INDEX(WGmin,MATCH(Table4[[#This Row],[SKU]],FG,0))="-","-",IF(Table4[[#This Row],[%Wet Gluten]]="-","-",IF(Table4[[#This Row],[%Wet Gluten]]&gt;INDEX(WGmax,MATCH(Table4[[#This Row],[SKU]],FG,0)),1,0)))</f>
        <v>0</v>
      </c>
    </row>
    <row r="40" spans="1:63" x14ac:dyDescent="0.35">
      <c r="A40" s="243">
        <v>46023</v>
      </c>
      <c r="B40" s="244">
        <v>46025</v>
      </c>
      <c r="C40" s="244">
        <v>46000</v>
      </c>
      <c r="D40" s="244" t="s">
        <v>125</v>
      </c>
      <c r="E40" s="245" t="s">
        <v>328</v>
      </c>
      <c r="F40" s="246">
        <v>3</v>
      </c>
      <c r="G40" s="259" t="s">
        <v>119</v>
      </c>
      <c r="H40" s="247">
        <v>6.7000000000000002E-3</v>
      </c>
      <c r="I40" s="248" t="s">
        <v>165</v>
      </c>
      <c r="J40" s="248" t="s">
        <v>165</v>
      </c>
      <c r="K40" s="248" t="s">
        <v>165</v>
      </c>
      <c r="L40" s="248" t="s">
        <v>161</v>
      </c>
      <c r="M40" s="248" t="s">
        <v>161</v>
      </c>
      <c r="N40" s="249">
        <v>12.88</v>
      </c>
      <c r="O40" s="249" t="s">
        <v>163</v>
      </c>
      <c r="P40" s="249" t="s">
        <v>163</v>
      </c>
      <c r="Q40" s="249" t="s">
        <v>163</v>
      </c>
      <c r="R40" s="249" t="s">
        <v>163</v>
      </c>
      <c r="S40" s="250" t="s">
        <v>163</v>
      </c>
      <c r="T40" s="249" t="s">
        <v>163</v>
      </c>
      <c r="U40" s="249" t="s">
        <v>163</v>
      </c>
      <c r="V40" s="251">
        <v>25.14</v>
      </c>
      <c r="W40" s="252" t="s">
        <v>165</v>
      </c>
      <c r="X40" s="252" t="s">
        <v>165</v>
      </c>
      <c r="Y40" s="248" t="s">
        <v>163</v>
      </c>
      <c r="Z40" s="231">
        <f>IF(Table4[[#This Row],[ Bran Content]]="-","-",IF(H40&gt;0.02,0,2))</f>
        <v>2</v>
      </c>
      <c r="AA40" s="231">
        <f>IF(Table4[[#This Row],[Sieve Test]]="-","-",IF(Table4[[#This Row],[Sieve Test]]="P",1,0))</f>
        <v>1</v>
      </c>
      <c r="AB40" s="231">
        <f>IF(Table4[[#This Row],[Odor]]="-","-",IF(Table4[[#This Row],[Odor]]="P",2,0))</f>
        <v>2</v>
      </c>
      <c r="AC40" s="231">
        <f>IF(INDEX(MCmin,MATCH(Table4[[#This Row],[SKU]],FG,0))="-","-",IF(Table4[[#This Row],[%MC]]="-","-",IF(Table4[[#This Row],[%MC]]&lt;INDEX(MCmin,MATCH(Table4[[#This Row],[SKU]],FG,0)),0,IF(Table4[[#This Row],[%MC]]&gt;INDEX(MCmax,MATCH(Table4[[#This Row],[SKU]],FG,0)),0,1))))</f>
        <v>1</v>
      </c>
      <c r="AD40" s="231" t="str">
        <f>IF(INDEX(Protmin,MATCH(Table4[[#This Row],[SKU]],FG,0))="-","-",IF(Table4[[#This Row],[%Protein]]="-","-",IF(Table4[[#This Row],[%Protein]]&lt;INDEX(Protmin,MATCH(Table4[[#This Row],[SKU]],FG,0)),0,IF(Table4[[#This Row],[%Protein]]&gt;INDEX(Protmax,MATCH(Table4[[#This Row],[SKU]],FG,0)),0,1))))</f>
        <v>-</v>
      </c>
      <c r="AE40" s="231" t="str">
        <f>IF(INDEX(Ashmin,MATCH(Table4[[#This Row],[SKU]],FG,0))="-","-",IF(Table4[[#This Row],[%Ash]]="-","-",IF(Table4[[#This Row],[%Ash]]&lt;INDEX(Ashmin,MATCH(Table4[[#This Row],[SKU]],FG,0)),0,IF(Table4[[#This Row],[%Ash]]&gt;INDEX(Ashmax,MATCH(Table4[[#This Row],[SKU]],FG,0)),0,2))))</f>
        <v>-</v>
      </c>
      <c r="AF40" s="231" t="str">
        <f>IF(INDEX(Absmin,MATCH(Table4[[#This Row],[SKU]],FG,0))="-","-",IF(Table4[[#This Row],[%Absorption]]="-","-",IF(Table4[[#This Row],[%Absorption]]&lt;INDEX(Absmin,MATCH(Table4[[#This Row],[SKU]],FG,0)),0,IF(Table4[[#This Row],[%Absorption]]&gt;INDEX(Absmax,MATCH(Table4[[#This Row],[SKU]],FG,0)),0,2))))</f>
        <v>-</v>
      </c>
      <c r="AG40" s="231" t="str">
        <f>IF(INDEX(Extmin,MATCH(Table4[[#This Row],[SKU]],FG,0))="-","-",IF(Table4[[#This Row],[%Extensibility]]="-","-",IF(Table4[[#This Row],[%Extensibility]]&lt;INDEX(Extmin,MATCH(Table4[[#This Row],[SKU]],FG,0)),0,IF(Table4[[#This Row],[%Extensibility]]&gt;INDEX(Extmax,MATCH(Table4[[#This Row],[SKU]],FG,0)),0,1))))</f>
        <v>-</v>
      </c>
      <c r="AH40" s="231" t="str">
        <f>IF(INDEX(Resmin,MATCH(Table4[[#This Row],[SKU]],FG,0))="-","-",IF(Table4[[#This Row],[Resistance, max]]="-","-",IF(Table4[[#This Row],[Resistance, max]]&lt;INDEX(Resmin,MATCH(Table4[[#This Row],[SKU]],FG,0)),0,IF(Table4[[#This Row],[Resistance, max]]&gt;INDEX(Resmax,MATCH(Table4[[#This Row],[SKU]],FG,0)),0,1))))</f>
        <v>-</v>
      </c>
      <c r="AI40" s="231" t="str">
        <f>IF(INDEX(WGmin,MATCH(Table4[[#This Row],[SKU]],FG,0))="-","-",IF(Table4[[#This Row],[%Wet Gluten]]="-","-",IF(Table4[[#This Row],[%Wet Gluten]]&lt;INDEX(WGmin,MATCH(Table4[[#This Row],[SKU]],FG,0)),0,IF(Table4[[#This Row],[%Wet Gluten]]&gt;INDEX(WGmax,MATCH(Table4[[#This Row],[SKU]],FG,0)),0,2))))</f>
        <v>-</v>
      </c>
      <c r="AJ40" s="232" t="str">
        <f>IF(Table4[[#This Row],[FN, s]]="-","-",IF(R40&lt;301,1,0))</f>
        <v>-</v>
      </c>
      <c r="AK40" s="233">
        <f>SUM(Table4[[#This Row],[ QI Bran Content]:[QI FN]])</f>
        <v>6</v>
      </c>
      <c r="AL40" s="232">
        <f t="shared" si="6"/>
        <v>6</v>
      </c>
      <c r="AM40" s="232">
        <f>IF(INDEX(WGmin,MATCH(Table4[[#This Row],[SKU]],FG,0))="-","-",IF(Table4[[#This Row],[Gross Weight]]="-","-",IF(Table4[[#This Row],[Gross Weight]]&lt;INDEX(GWmin,MATCH(Table4[[#This Row],[SKU]],FG,0)),0,IF(Table4[[#This Row],[Gross Weight]]&gt;INDEX(GWmax,MATCH(Table4[[#This Row],[SKU]],FG,0)),0,1))))</f>
        <v>1</v>
      </c>
      <c r="AN40" s="232">
        <f>IF(Table4[[#This Row],[Sealing Integrity]]="-","-",IF(Table4[[#This Row],[Sealing Integrity]]="P",1,0))</f>
        <v>1</v>
      </c>
      <c r="AO40" s="232">
        <f>IF(Table4[[#This Row],[Coding]]="-","-",IF(Table4[[#This Row],[Coding]]="P",1,0))</f>
        <v>1</v>
      </c>
      <c r="AP40" s="233">
        <f>SUM(Table4[[#This Row],[QI Weight]:[QI Code]])</f>
        <v>3</v>
      </c>
      <c r="AQ40" s="233">
        <f>COUNT(Table4[[#This Row],[QI Weight]:[QI Code]])</f>
        <v>3</v>
      </c>
      <c r="AR40" s="261">
        <f>Table4[[#This Row],[TA]]+Table4[[#This Row],[TA2]]</f>
        <v>9</v>
      </c>
      <c r="AS40" s="261">
        <f>Table4[[#This Row],[TP]]+Table4[[#This Row],[TP2]]</f>
        <v>9</v>
      </c>
      <c r="BD40" s="265">
        <f>IF(INDEX(MCmin,MATCH(Table4[[#This Row],[SKU]],FG,0))="-","-",IF(Table4[[#This Row],[%MC]]="-","-",IF(Table4[[#This Row],[%MC]]&lt;INDEX(MCmin,MATCH(Table4[[#This Row],[SKU]],FG,0)),1,0)))</f>
        <v>0</v>
      </c>
      <c r="BE40" s="265">
        <f>IF(INDEX(MCmin,MATCH(Table4[[#This Row],[SKU]],FG,0))="-","-",IF(Table4[[#This Row],[%MC]]="-","-",IF(Table4[[#This Row],[%MC]]&gt;INDEX(MCmax,MATCH(Table4[[#This Row],[SKU]],FG,0)),1,0)))</f>
        <v>0</v>
      </c>
      <c r="BF40" s="231" t="str">
        <f>IF(INDEX(Ashmin,MATCH(Table4[[#This Row],[SKU]],FG,0))="-","-",IF(Table4[[#This Row],[%Ash]]="-","-",IF(Table4[[#This Row],[%Ash]]&lt;INDEX(Ashmin,MATCH(Table4[[#This Row],[SKU]],FG,0)),1,0)))</f>
        <v>-</v>
      </c>
      <c r="BG40" s="231" t="str">
        <f>IF(INDEX(Ashmin,MATCH(Table4[[#This Row],[SKU]],FG,0))="-","-",IF(Table4[[#This Row],[%Ash]]="-","-",IF(Table4[[#This Row],[%Ash]]&gt;INDEX(Ashmax,MATCH(Table4[[#This Row],[SKU]],FG,0)),1,0)))</f>
        <v>-</v>
      </c>
      <c r="BH40" s="231" t="str">
        <f>IF(INDEX(Absmin,MATCH(Table4[[#This Row],[SKU]],FG,0))="-","-",IF(Table4[[#This Row],[%Absorption]]="-","-",IF(Table4[[#This Row],[%Absorption]]&lt;INDEX(Absmin,MATCH(Table4[[#This Row],[SKU]],FG,0)),1,0)))</f>
        <v>-</v>
      </c>
      <c r="BI40" s="231" t="str">
        <f>IF(INDEX(Absmin,MATCH(Table4[[#This Row],[SKU]],FG,0))="-","-",IF(Table4[[#This Row],[%Absorption]]="-","-",IF(Table4[[#This Row],[%Absorption]]&gt;INDEX(Absmax,MATCH(Table4[[#This Row],[SKU]],FG,0)),1,0)))</f>
        <v>-</v>
      </c>
      <c r="BJ40" s="231" t="str">
        <f>IF(INDEX(WGmin,MATCH(Table4[[#This Row],[SKU]],FG,0))="-","-",IF(Table4[[#This Row],[%Wet Gluten]]="-","-",IF(Table4[[#This Row],[%Wet Gluten]]&lt;INDEX(WGmin,MATCH(Table4[[#This Row],[SKU]],FG,0)),1,0)))</f>
        <v>-</v>
      </c>
      <c r="BK40" s="231" t="str">
        <f>IF(INDEX(WGmin,MATCH(Table4[[#This Row],[SKU]],FG,0))="-","-",IF(Table4[[#This Row],[%Wet Gluten]]="-","-",IF(Table4[[#This Row],[%Wet Gluten]]&gt;INDEX(WGmax,MATCH(Table4[[#This Row],[SKU]],FG,0)),1,0)))</f>
        <v>-</v>
      </c>
    </row>
    <row r="41" spans="1:63" x14ac:dyDescent="0.35">
      <c r="A41" s="243">
        <v>46023</v>
      </c>
      <c r="B41" s="244">
        <v>46025</v>
      </c>
      <c r="C41" s="244">
        <v>46366</v>
      </c>
      <c r="D41" s="244" t="s">
        <v>128</v>
      </c>
      <c r="E41" s="245">
        <v>0.58333333333333337</v>
      </c>
      <c r="F41" s="246">
        <v>3</v>
      </c>
      <c r="G41" s="259" t="s">
        <v>119</v>
      </c>
      <c r="H41" s="247">
        <v>8.6999999999999994E-3</v>
      </c>
      <c r="I41" s="248" t="s">
        <v>165</v>
      </c>
      <c r="J41" s="248" t="s">
        <v>165</v>
      </c>
      <c r="K41" s="248" t="s">
        <v>165</v>
      </c>
      <c r="L41" s="248" t="s">
        <v>161</v>
      </c>
      <c r="M41" s="248" t="s">
        <v>161</v>
      </c>
      <c r="N41" s="249">
        <v>12.77</v>
      </c>
      <c r="O41" s="249">
        <v>12.54</v>
      </c>
      <c r="P41" s="249">
        <v>0.43</v>
      </c>
      <c r="Q41" s="249">
        <v>64</v>
      </c>
      <c r="R41" s="249" t="s">
        <v>163</v>
      </c>
      <c r="S41" s="250" t="s">
        <v>163</v>
      </c>
      <c r="T41" s="249">
        <v>35</v>
      </c>
      <c r="U41" s="249" t="s">
        <v>163</v>
      </c>
      <c r="V41" s="251" t="s">
        <v>163</v>
      </c>
      <c r="W41" s="252" t="s">
        <v>165</v>
      </c>
      <c r="X41" s="252" t="s">
        <v>165</v>
      </c>
      <c r="Y41" s="248" t="s">
        <v>412</v>
      </c>
      <c r="Z41" s="231">
        <f>IF(Table4[[#This Row],[ Bran Content]]="-","-",IF(H41&gt;0.02,0,2))</f>
        <v>2</v>
      </c>
      <c r="AA41" s="231">
        <f>IF(Table4[[#This Row],[Sieve Test]]="-","-",IF(Table4[[#This Row],[Sieve Test]]="P",1,0))</f>
        <v>1</v>
      </c>
      <c r="AB41" s="231">
        <f>IF(Table4[[#This Row],[Odor]]="-","-",IF(Table4[[#This Row],[Odor]]="P",2,0))</f>
        <v>2</v>
      </c>
      <c r="AC41" s="231">
        <f>IF(INDEX(MCmin,MATCH(Table4[[#This Row],[SKU]],FG,0))="-","-",IF(Table4[[#This Row],[%MC]]="-","-",IF(Table4[[#This Row],[%MC]]&lt;INDEX(MCmin,MATCH(Table4[[#This Row],[SKU]],FG,0)),0,IF(Table4[[#This Row],[%MC]]&gt;INDEX(MCmax,MATCH(Table4[[#This Row],[SKU]],FG,0)),0,1))))</f>
        <v>1</v>
      </c>
      <c r="AD41" s="231">
        <f>IF(INDEX(Protmin,MATCH(Table4[[#This Row],[SKU]],FG,0))="-","-",IF(Table4[[#This Row],[%Protein]]="-","-",IF(Table4[[#This Row],[%Protein]]&lt;INDEX(Protmin,MATCH(Table4[[#This Row],[SKU]],FG,0)),0,IF(Table4[[#This Row],[%Protein]]&gt;INDEX(Protmax,MATCH(Table4[[#This Row],[SKU]],FG,0)),0,1))))</f>
        <v>1</v>
      </c>
      <c r="AE41" s="231">
        <f>IF(INDEX(Ashmin,MATCH(Table4[[#This Row],[SKU]],FG,0))="-","-",IF(Table4[[#This Row],[%Ash]]="-","-",IF(Table4[[#This Row],[%Ash]]&lt;INDEX(Ashmin,MATCH(Table4[[#This Row],[SKU]],FG,0)),0,IF(Table4[[#This Row],[%Ash]]&gt;INDEX(Ashmax,MATCH(Table4[[#This Row],[SKU]],FG,0)),0,2))))</f>
        <v>2</v>
      </c>
      <c r="AF41" s="231">
        <f>IF(INDEX(Absmin,MATCH(Table4[[#This Row],[SKU]],FG,0))="-","-",IF(Table4[[#This Row],[%Absorption]]="-","-",IF(Table4[[#This Row],[%Absorption]]&lt;INDEX(Absmin,MATCH(Table4[[#This Row],[SKU]],FG,0)),0,IF(Table4[[#This Row],[%Absorption]]&gt;INDEX(Absmax,MATCH(Table4[[#This Row],[SKU]],FG,0)),0,2))))</f>
        <v>2</v>
      </c>
      <c r="AG41" s="231" t="str">
        <f>IF(INDEX(Extmin,MATCH(Table4[[#This Row],[SKU]],FG,0))="-","-",IF(Table4[[#This Row],[%Extensibility]]="-","-",IF(Table4[[#This Row],[%Extensibility]]&lt;INDEX(Extmin,MATCH(Table4[[#This Row],[SKU]],FG,0)),0,IF(Table4[[#This Row],[%Extensibility]]&gt;INDEX(Extmax,MATCH(Table4[[#This Row],[SKU]],FG,0)),0,1))))</f>
        <v>-</v>
      </c>
      <c r="AH41" s="231" t="str">
        <f>IF(INDEX(Resmin,MATCH(Table4[[#This Row],[SKU]],FG,0))="-","-",IF(Table4[[#This Row],[Resistance, max]]="-","-",IF(Table4[[#This Row],[Resistance, max]]&lt;INDEX(Resmin,MATCH(Table4[[#This Row],[SKU]],FG,0)),0,IF(Table4[[#This Row],[Resistance, max]]&gt;INDEX(Resmax,MATCH(Table4[[#This Row],[SKU]],FG,0)),0,1))))</f>
        <v>-</v>
      </c>
      <c r="AI41" s="231">
        <f>IF(INDEX(WGmin,MATCH(Table4[[#This Row],[SKU]],FG,0))="-","-",IF(Table4[[#This Row],[%Wet Gluten]]="-","-",IF(Table4[[#This Row],[%Wet Gluten]]&lt;INDEX(WGmin,MATCH(Table4[[#This Row],[SKU]],FG,0)),0,IF(Table4[[#This Row],[%Wet Gluten]]&gt;INDEX(WGmax,MATCH(Table4[[#This Row],[SKU]],FG,0)),0,2))))</f>
        <v>2</v>
      </c>
      <c r="AJ41" s="232" t="str">
        <f>IF(Table4[[#This Row],[FN, s]]="-","-",IF(R41&lt;301,1,0))</f>
        <v>-</v>
      </c>
      <c r="AK41" s="233">
        <f>SUM(Table4[[#This Row],[ QI Bran Content]:[QI FN]])</f>
        <v>13</v>
      </c>
      <c r="AL41" s="232">
        <f t="shared" si="6"/>
        <v>13</v>
      </c>
      <c r="AM41" s="232" t="str">
        <f>IF(INDEX(WGmin,MATCH(Table4[[#This Row],[SKU]],FG,0))="-","-",IF(Table4[[#This Row],[Gross Weight]]="-","-",IF(Table4[[#This Row],[Gross Weight]]&lt;INDEX(GWmin,MATCH(Table4[[#This Row],[SKU]],FG,0)),0,IF(Table4[[#This Row],[Gross Weight]]&gt;INDEX(GWmax,MATCH(Table4[[#This Row],[SKU]],FG,0)),0,1))))</f>
        <v>-</v>
      </c>
      <c r="AN41" s="232">
        <f>IF(Table4[[#This Row],[Sealing Integrity]]="-","-",IF(Table4[[#This Row],[Sealing Integrity]]="P",1,0))</f>
        <v>1</v>
      </c>
      <c r="AO41" s="232">
        <f>IF(Table4[[#This Row],[Coding]]="-","-",IF(Table4[[#This Row],[Coding]]="P",1,0))</f>
        <v>1</v>
      </c>
      <c r="AP41" s="233">
        <f>SUM(Table4[[#This Row],[QI Weight]:[QI Code]])</f>
        <v>2</v>
      </c>
      <c r="AQ41" s="233">
        <f>COUNT(Table4[[#This Row],[QI Weight]:[QI Code]])</f>
        <v>2</v>
      </c>
      <c r="AR41" s="261">
        <f>Table4[[#This Row],[TA]]+Table4[[#This Row],[TA2]]</f>
        <v>15</v>
      </c>
      <c r="AS41" s="261">
        <f>Table4[[#This Row],[TP]]+Table4[[#This Row],[TP2]]</f>
        <v>15</v>
      </c>
      <c r="BD41" s="265">
        <f>IF(INDEX(MCmin,MATCH(Table4[[#This Row],[SKU]],FG,0))="-","-",IF(Table4[[#This Row],[%MC]]="-","-",IF(Table4[[#This Row],[%MC]]&lt;INDEX(MCmin,MATCH(Table4[[#This Row],[SKU]],FG,0)),1,0)))</f>
        <v>0</v>
      </c>
      <c r="BE41" s="265">
        <f>IF(INDEX(MCmin,MATCH(Table4[[#This Row],[SKU]],FG,0))="-","-",IF(Table4[[#This Row],[%MC]]="-","-",IF(Table4[[#This Row],[%MC]]&gt;INDEX(MCmax,MATCH(Table4[[#This Row],[SKU]],FG,0)),1,0)))</f>
        <v>0</v>
      </c>
      <c r="BF41" s="231">
        <f>IF(INDEX(Ashmin,MATCH(Table4[[#This Row],[SKU]],FG,0))="-","-",IF(Table4[[#This Row],[%Ash]]="-","-",IF(Table4[[#This Row],[%Ash]]&lt;INDEX(Ashmin,MATCH(Table4[[#This Row],[SKU]],FG,0)),1,0)))</f>
        <v>0</v>
      </c>
      <c r="BG41" s="231">
        <f>IF(INDEX(Ashmin,MATCH(Table4[[#This Row],[SKU]],FG,0))="-","-",IF(Table4[[#This Row],[%Ash]]="-","-",IF(Table4[[#This Row],[%Ash]]&gt;INDEX(Ashmax,MATCH(Table4[[#This Row],[SKU]],FG,0)),1,0)))</f>
        <v>0</v>
      </c>
      <c r="BH41" s="231">
        <f>IF(INDEX(Absmin,MATCH(Table4[[#This Row],[SKU]],FG,0))="-","-",IF(Table4[[#This Row],[%Absorption]]="-","-",IF(Table4[[#This Row],[%Absorption]]&lt;INDEX(Absmin,MATCH(Table4[[#This Row],[SKU]],FG,0)),1,0)))</f>
        <v>0</v>
      </c>
      <c r="BI41" s="231">
        <f>IF(INDEX(Absmin,MATCH(Table4[[#This Row],[SKU]],FG,0))="-","-",IF(Table4[[#This Row],[%Absorption]]="-","-",IF(Table4[[#This Row],[%Absorption]]&gt;INDEX(Absmax,MATCH(Table4[[#This Row],[SKU]],FG,0)),1,0)))</f>
        <v>0</v>
      </c>
      <c r="BJ41" s="231">
        <f>IF(INDEX(WGmin,MATCH(Table4[[#This Row],[SKU]],FG,0))="-","-",IF(Table4[[#This Row],[%Wet Gluten]]="-","-",IF(Table4[[#This Row],[%Wet Gluten]]&lt;INDEX(WGmin,MATCH(Table4[[#This Row],[SKU]],FG,0)),1,0)))</f>
        <v>0</v>
      </c>
      <c r="BK41" s="231">
        <f>IF(INDEX(WGmin,MATCH(Table4[[#This Row],[SKU]],FG,0))="-","-",IF(Table4[[#This Row],[%Wet Gluten]]="-","-",IF(Table4[[#This Row],[%Wet Gluten]]&gt;INDEX(WGmax,MATCH(Table4[[#This Row],[SKU]],FG,0)),1,0)))</f>
        <v>0</v>
      </c>
    </row>
    <row r="42" spans="1:63" x14ac:dyDescent="0.35">
      <c r="A42" s="243">
        <v>46023</v>
      </c>
      <c r="B42" s="244">
        <v>46025</v>
      </c>
      <c r="C42" s="244">
        <v>46366</v>
      </c>
      <c r="D42" s="244" t="s">
        <v>128</v>
      </c>
      <c r="E42" s="245">
        <v>0.625</v>
      </c>
      <c r="F42" s="246">
        <v>3</v>
      </c>
      <c r="G42" s="259" t="s">
        <v>119</v>
      </c>
      <c r="H42" s="247">
        <v>1.6999999999999999E-3</v>
      </c>
      <c r="I42" s="248" t="s">
        <v>165</v>
      </c>
      <c r="J42" s="248" t="s">
        <v>165</v>
      </c>
      <c r="K42" s="248" t="s">
        <v>165</v>
      </c>
      <c r="L42" s="248" t="s">
        <v>161</v>
      </c>
      <c r="M42" s="248" t="s">
        <v>161</v>
      </c>
      <c r="N42" s="249">
        <v>13.23</v>
      </c>
      <c r="O42" s="249" t="s">
        <v>163</v>
      </c>
      <c r="P42" s="249" t="s">
        <v>163</v>
      </c>
      <c r="Q42" s="249" t="s">
        <v>163</v>
      </c>
      <c r="R42" s="249" t="s">
        <v>163</v>
      </c>
      <c r="S42" s="250" t="s">
        <v>163</v>
      </c>
      <c r="T42" s="249" t="s">
        <v>163</v>
      </c>
      <c r="U42" s="249" t="s">
        <v>163</v>
      </c>
      <c r="V42" s="251" t="s">
        <v>163</v>
      </c>
      <c r="W42" s="252" t="s">
        <v>165</v>
      </c>
      <c r="X42" s="252" t="s">
        <v>165</v>
      </c>
      <c r="Y42" s="248" t="s">
        <v>163</v>
      </c>
      <c r="Z42" s="231">
        <f>IF(Table4[[#This Row],[ Bran Content]]="-","-",IF(H42&gt;0.02,0,2))</f>
        <v>2</v>
      </c>
      <c r="AA42" s="231">
        <f>IF(Table4[[#This Row],[Sieve Test]]="-","-",IF(Table4[[#This Row],[Sieve Test]]="P",1,0))</f>
        <v>1</v>
      </c>
      <c r="AB42" s="231">
        <f>IF(Table4[[#This Row],[Odor]]="-","-",IF(Table4[[#This Row],[Odor]]="P",2,0))</f>
        <v>2</v>
      </c>
      <c r="AC42" s="231">
        <f>IF(INDEX(MCmin,MATCH(Table4[[#This Row],[SKU]],FG,0))="-","-",IF(Table4[[#This Row],[%MC]]="-","-",IF(Table4[[#This Row],[%MC]]&lt;INDEX(MCmin,MATCH(Table4[[#This Row],[SKU]],FG,0)),0,IF(Table4[[#This Row],[%MC]]&gt;INDEX(MCmax,MATCH(Table4[[#This Row],[SKU]],FG,0)),0,1))))</f>
        <v>1</v>
      </c>
      <c r="AD42" s="231" t="str">
        <f>IF(INDEX(Protmin,MATCH(Table4[[#This Row],[SKU]],FG,0))="-","-",IF(Table4[[#This Row],[%Protein]]="-","-",IF(Table4[[#This Row],[%Protein]]&lt;INDEX(Protmin,MATCH(Table4[[#This Row],[SKU]],FG,0)),0,IF(Table4[[#This Row],[%Protein]]&gt;INDEX(Protmax,MATCH(Table4[[#This Row],[SKU]],FG,0)),0,1))))</f>
        <v>-</v>
      </c>
      <c r="AE42" s="231" t="str">
        <f>IF(INDEX(Ashmin,MATCH(Table4[[#This Row],[SKU]],FG,0))="-","-",IF(Table4[[#This Row],[%Ash]]="-","-",IF(Table4[[#This Row],[%Ash]]&lt;INDEX(Ashmin,MATCH(Table4[[#This Row],[SKU]],FG,0)),0,IF(Table4[[#This Row],[%Ash]]&gt;INDEX(Ashmax,MATCH(Table4[[#This Row],[SKU]],FG,0)),0,2))))</f>
        <v>-</v>
      </c>
      <c r="AF42" s="231" t="str">
        <f>IF(INDEX(Absmin,MATCH(Table4[[#This Row],[SKU]],FG,0))="-","-",IF(Table4[[#This Row],[%Absorption]]="-","-",IF(Table4[[#This Row],[%Absorption]]&lt;INDEX(Absmin,MATCH(Table4[[#This Row],[SKU]],FG,0)),0,IF(Table4[[#This Row],[%Absorption]]&gt;INDEX(Absmax,MATCH(Table4[[#This Row],[SKU]],FG,0)),0,2))))</f>
        <v>-</v>
      </c>
      <c r="AG42" s="231" t="str">
        <f>IF(INDEX(Extmin,MATCH(Table4[[#This Row],[SKU]],FG,0))="-","-",IF(Table4[[#This Row],[%Extensibility]]="-","-",IF(Table4[[#This Row],[%Extensibility]]&lt;INDEX(Extmin,MATCH(Table4[[#This Row],[SKU]],FG,0)),0,IF(Table4[[#This Row],[%Extensibility]]&gt;INDEX(Extmax,MATCH(Table4[[#This Row],[SKU]],FG,0)),0,1))))</f>
        <v>-</v>
      </c>
      <c r="AH42" s="231" t="str">
        <f>IF(INDEX(Resmin,MATCH(Table4[[#This Row],[SKU]],FG,0))="-","-",IF(Table4[[#This Row],[Resistance, max]]="-","-",IF(Table4[[#This Row],[Resistance, max]]&lt;INDEX(Resmin,MATCH(Table4[[#This Row],[SKU]],FG,0)),0,IF(Table4[[#This Row],[Resistance, max]]&gt;INDEX(Resmax,MATCH(Table4[[#This Row],[SKU]],FG,0)),0,1))))</f>
        <v>-</v>
      </c>
      <c r="AI42" s="231" t="str">
        <f>IF(INDEX(WGmin,MATCH(Table4[[#This Row],[SKU]],FG,0))="-","-",IF(Table4[[#This Row],[%Wet Gluten]]="-","-",IF(Table4[[#This Row],[%Wet Gluten]]&lt;INDEX(WGmin,MATCH(Table4[[#This Row],[SKU]],FG,0)),0,IF(Table4[[#This Row],[%Wet Gluten]]&gt;INDEX(WGmax,MATCH(Table4[[#This Row],[SKU]],FG,0)),0,2))))</f>
        <v>-</v>
      </c>
      <c r="AJ42" s="232" t="str">
        <f>IF(Table4[[#This Row],[FN, s]]="-","-",IF(R42&lt;301,1,0))</f>
        <v>-</v>
      </c>
      <c r="AK42" s="233">
        <f>SUM(Table4[[#This Row],[ QI Bran Content]:[QI FN]])</f>
        <v>6</v>
      </c>
      <c r="AL42" s="232">
        <f t="shared" si="6"/>
        <v>6</v>
      </c>
      <c r="AM42" s="232" t="str">
        <f>IF(INDEX(WGmin,MATCH(Table4[[#This Row],[SKU]],FG,0))="-","-",IF(Table4[[#This Row],[Gross Weight]]="-","-",IF(Table4[[#This Row],[Gross Weight]]&lt;INDEX(GWmin,MATCH(Table4[[#This Row],[SKU]],FG,0)),0,IF(Table4[[#This Row],[Gross Weight]]&gt;INDEX(GWmax,MATCH(Table4[[#This Row],[SKU]],FG,0)),0,1))))</f>
        <v>-</v>
      </c>
      <c r="AN42" s="232">
        <f>IF(Table4[[#This Row],[Sealing Integrity]]="-","-",IF(Table4[[#This Row],[Sealing Integrity]]="P",1,0))</f>
        <v>1</v>
      </c>
      <c r="AO42" s="232">
        <f>IF(Table4[[#This Row],[Coding]]="-","-",IF(Table4[[#This Row],[Coding]]="P",1,0))</f>
        <v>1</v>
      </c>
      <c r="AP42" s="233">
        <f>SUM(Table4[[#This Row],[QI Weight]:[QI Code]])</f>
        <v>2</v>
      </c>
      <c r="AQ42" s="233">
        <f>COUNT(Table4[[#This Row],[QI Weight]:[QI Code]])</f>
        <v>2</v>
      </c>
      <c r="AR42" s="261">
        <f>Table4[[#This Row],[TA]]+Table4[[#This Row],[TA2]]</f>
        <v>8</v>
      </c>
      <c r="AS42" s="261">
        <f>Table4[[#This Row],[TP]]+Table4[[#This Row],[TP2]]</f>
        <v>8</v>
      </c>
      <c r="BD42" s="265">
        <f>IF(INDEX(MCmin,MATCH(Table4[[#This Row],[SKU]],FG,0))="-","-",IF(Table4[[#This Row],[%MC]]="-","-",IF(Table4[[#This Row],[%MC]]&lt;INDEX(MCmin,MATCH(Table4[[#This Row],[SKU]],FG,0)),1,0)))</f>
        <v>0</v>
      </c>
      <c r="BE42" s="265">
        <f>IF(INDEX(MCmin,MATCH(Table4[[#This Row],[SKU]],FG,0))="-","-",IF(Table4[[#This Row],[%MC]]="-","-",IF(Table4[[#This Row],[%MC]]&gt;INDEX(MCmax,MATCH(Table4[[#This Row],[SKU]],FG,0)),1,0)))</f>
        <v>0</v>
      </c>
      <c r="BF42" s="231" t="str">
        <f>IF(INDEX(Ashmin,MATCH(Table4[[#This Row],[SKU]],FG,0))="-","-",IF(Table4[[#This Row],[%Ash]]="-","-",IF(Table4[[#This Row],[%Ash]]&lt;INDEX(Ashmin,MATCH(Table4[[#This Row],[SKU]],FG,0)),1,0)))</f>
        <v>-</v>
      </c>
      <c r="BG42" s="231" t="str">
        <f>IF(INDEX(Ashmin,MATCH(Table4[[#This Row],[SKU]],FG,0))="-","-",IF(Table4[[#This Row],[%Ash]]="-","-",IF(Table4[[#This Row],[%Ash]]&gt;INDEX(Ashmax,MATCH(Table4[[#This Row],[SKU]],FG,0)),1,0)))</f>
        <v>-</v>
      </c>
      <c r="BH42" s="231" t="str">
        <f>IF(INDEX(Absmin,MATCH(Table4[[#This Row],[SKU]],FG,0))="-","-",IF(Table4[[#This Row],[%Absorption]]="-","-",IF(Table4[[#This Row],[%Absorption]]&lt;INDEX(Absmin,MATCH(Table4[[#This Row],[SKU]],FG,0)),1,0)))</f>
        <v>-</v>
      </c>
      <c r="BI42" s="231" t="str">
        <f>IF(INDEX(Absmin,MATCH(Table4[[#This Row],[SKU]],FG,0))="-","-",IF(Table4[[#This Row],[%Absorption]]="-","-",IF(Table4[[#This Row],[%Absorption]]&gt;INDEX(Absmax,MATCH(Table4[[#This Row],[SKU]],FG,0)),1,0)))</f>
        <v>-</v>
      </c>
      <c r="BJ42" s="231" t="str">
        <f>IF(INDEX(WGmin,MATCH(Table4[[#This Row],[SKU]],FG,0))="-","-",IF(Table4[[#This Row],[%Wet Gluten]]="-","-",IF(Table4[[#This Row],[%Wet Gluten]]&lt;INDEX(WGmin,MATCH(Table4[[#This Row],[SKU]],FG,0)),1,0)))</f>
        <v>-</v>
      </c>
      <c r="BK42" s="231" t="str">
        <f>IF(INDEX(WGmin,MATCH(Table4[[#This Row],[SKU]],FG,0))="-","-",IF(Table4[[#This Row],[%Wet Gluten]]="-","-",IF(Table4[[#This Row],[%Wet Gluten]]&gt;INDEX(WGmax,MATCH(Table4[[#This Row],[SKU]],FG,0)),1,0)))</f>
        <v>-</v>
      </c>
    </row>
    <row r="43" spans="1:63" x14ac:dyDescent="0.35">
      <c r="A43" s="243">
        <v>46023</v>
      </c>
      <c r="B43" s="244">
        <v>46025</v>
      </c>
      <c r="C43" s="244">
        <v>46366</v>
      </c>
      <c r="D43" s="244" t="s">
        <v>128</v>
      </c>
      <c r="E43" s="245">
        <v>0.66666666666666696</v>
      </c>
      <c r="F43" s="246">
        <v>3</v>
      </c>
      <c r="G43" s="259" t="s">
        <v>119</v>
      </c>
      <c r="H43" s="247">
        <v>1.5E-3</v>
      </c>
      <c r="I43" s="248" t="s">
        <v>165</v>
      </c>
      <c r="J43" s="248" t="s">
        <v>165</v>
      </c>
      <c r="K43" s="248" t="s">
        <v>165</v>
      </c>
      <c r="L43" s="248" t="s">
        <v>161</v>
      </c>
      <c r="M43" s="248" t="s">
        <v>161</v>
      </c>
      <c r="N43" s="249">
        <v>13.51</v>
      </c>
      <c r="O43" s="249" t="s">
        <v>163</v>
      </c>
      <c r="P43" s="249" t="s">
        <v>163</v>
      </c>
      <c r="Q43" s="249" t="s">
        <v>163</v>
      </c>
      <c r="R43" s="249" t="s">
        <v>163</v>
      </c>
      <c r="S43" s="250" t="s">
        <v>163</v>
      </c>
      <c r="T43" s="249" t="s">
        <v>163</v>
      </c>
      <c r="U43" s="249" t="s">
        <v>163</v>
      </c>
      <c r="V43" s="251" t="s">
        <v>163</v>
      </c>
      <c r="W43" s="252" t="s">
        <v>165</v>
      </c>
      <c r="X43" s="252" t="s">
        <v>165</v>
      </c>
      <c r="Y43" s="248" t="s">
        <v>163</v>
      </c>
      <c r="Z43" s="231">
        <f>IF(Table4[[#This Row],[ Bran Content]]="-","-",IF(H43&gt;0.02,0,2))</f>
        <v>2</v>
      </c>
      <c r="AA43" s="231">
        <f>IF(Table4[[#This Row],[Sieve Test]]="-","-",IF(Table4[[#This Row],[Sieve Test]]="P",1,0))</f>
        <v>1</v>
      </c>
      <c r="AB43" s="231">
        <f>IF(Table4[[#This Row],[Odor]]="-","-",IF(Table4[[#This Row],[Odor]]="P",2,0))</f>
        <v>2</v>
      </c>
      <c r="AC43" s="231">
        <f>IF(INDEX(MCmin,MATCH(Table4[[#This Row],[SKU]],FG,0))="-","-",IF(Table4[[#This Row],[%MC]]="-","-",IF(Table4[[#This Row],[%MC]]&lt;INDEX(MCmin,MATCH(Table4[[#This Row],[SKU]],FG,0)),0,IF(Table4[[#This Row],[%MC]]&gt;INDEX(MCmax,MATCH(Table4[[#This Row],[SKU]],FG,0)),0,1))))</f>
        <v>1</v>
      </c>
      <c r="AD43" s="231" t="str">
        <f>IF(INDEX(Protmin,MATCH(Table4[[#This Row],[SKU]],FG,0))="-","-",IF(Table4[[#This Row],[%Protein]]="-","-",IF(Table4[[#This Row],[%Protein]]&lt;INDEX(Protmin,MATCH(Table4[[#This Row],[SKU]],FG,0)),0,IF(Table4[[#This Row],[%Protein]]&gt;INDEX(Protmax,MATCH(Table4[[#This Row],[SKU]],FG,0)),0,1))))</f>
        <v>-</v>
      </c>
      <c r="AE43" s="231" t="str">
        <f>IF(INDEX(Ashmin,MATCH(Table4[[#This Row],[SKU]],FG,0))="-","-",IF(Table4[[#This Row],[%Ash]]="-","-",IF(Table4[[#This Row],[%Ash]]&lt;INDEX(Ashmin,MATCH(Table4[[#This Row],[SKU]],FG,0)),0,IF(Table4[[#This Row],[%Ash]]&gt;INDEX(Ashmax,MATCH(Table4[[#This Row],[SKU]],FG,0)),0,2))))</f>
        <v>-</v>
      </c>
      <c r="AF43" s="231" t="str">
        <f>IF(INDEX(Absmin,MATCH(Table4[[#This Row],[SKU]],FG,0))="-","-",IF(Table4[[#This Row],[%Absorption]]="-","-",IF(Table4[[#This Row],[%Absorption]]&lt;INDEX(Absmin,MATCH(Table4[[#This Row],[SKU]],FG,0)),0,IF(Table4[[#This Row],[%Absorption]]&gt;INDEX(Absmax,MATCH(Table4[[#This Row],[SKU]],FG,0)),0,2))))</f>
        <v>-</v>
      </c>
      <c r="AG43" s="231" t="str">
        <f>IF(INDEX(Extmin,MATCH(Table4[[#This Row],[SKU]],FG,0))="-","-",IF(Table4[[#This Row],[%Extensibility]]="-","-",IF(Table4[[#This Row],[%Extensibility]]&lt;INDEX(Extmin,MATCH(Table4[[#This Row],[SKU]],FG,0)),0,IF(Table4[[#This Row],[%Extensibility]]&gt;INDEX(Extmax,MATCH(Table4[[#This Row],[SKU]],FG,0)),0,1))))</f>
        <v>-</v>
      </c>
      <c r="AH43" s="231" t="str">
        <f>IF(INDEX(Resmin,MATCH(Table4[[#This Row],[SKU]],FG,0))="-","-",IF(Table4[[#This Row],[Resistance, max]]="-","-",IF(Table4[[#This Row],[Resistance, max]]&lt;INDEX(Resmin,MATCH(Table4[[#This Row],[SKU]],FG,0)),0,IF(Table4[[#This Row],[Resistance, max]]&gt;INDEX(Resmax,MATCH(Table4[[#This Row],[SKU]],FG,0)),0,1))))</f>
        <v>-</v>
      </c>
      <c r="AI43" s="231" t="str">
        <f>IF(INDEX(WGmin,MATCH(Table4[[#This Row],[SKU]],FG,0))="-","-",IF(Table4[[#This Row],[%Wet Gluten]]="-","-",IF(Table4[[#This Row],[%Wet Gluten]]&lt;INDEX(WGmin,MATCH(Table4[[#This Row],[SKU]],FG,0)),0,IF(Table4[[#This Row],[%Wet Gluten]]&gt;INDEX(WGmax,MATCH(Table4[[#This Row],[SKU]],FG,0)),0,2))))</f>
        <v>-</v>
      </c>
      <c r="AJ43" s="232" t="str">
        <f>IF(Table4[[#This Row],[FN, s]]="-","-",IF(R43&lt;301,1,0))</f>
        <v>-</v>
      </c>
      <c r="AK43" s="233">
        <f>SUM(Table4[[#This Row],[ QI Bran Content]:[QI FN]])</f>
        <v>6</v>
      </c>
      <c r="AL43" s="232">
        <f t="shared" si="6"/>
        <v>6</v>
      </c>
      <c r="AM43" s="232" t="str">
        <f>IF(INDEX(WGmin,MATCH(Table4[[#This Row],[SKU]],FG,0))="-","-",IF(Table4[[#This Row],[Gross Weight]]="-","-",IF(Table4[[#This Row],[Gross Weight]]&lt;INDEX(GWmin,MATCH(Table4[[#This Row],[SKU]],FG,0)),0,IF(Table4[[#This Row],[Gross Weight]]&gt;INDEX(GWmax,MATCH(Table4[[#This Row],[SKU]],FG,0)),0,1))))</f>
        <v>-</v>
      </c>
      <c r="AN43" s="232">
        <f>IF(Table4[[#This Row],[Sealing Integrity]]="-","-",IF(Table4[[#This Row],[Sealing Integrity]]="P",1,0))</f>
        <v>1</v>
      </c>
      <c r="AO43" s="232">
        <f>IF(Table4[[#This Row],[Coding]]="-","-",IF(Table4[[#This Row],[Coding]]="P",1,0))</f>
        <v>1</v>
      </c>
      <c r="AP43" s="233">
        <f>SUM(Table4[[#This Row],[QI Weight]:[QI Code]])</f>
        <v>2</v>
      </c>
      <c r="AQ43" s="233">
        <f>COUNT(Table4[[#This Row],[QI Weight]:[QI Code]])</f>
        <v>2</v>
      </c>
      <c r="AR43" s="261">
        <f>Table4[[#This Row],[TA]]+Table4[[#This Row],[TA2]]</f>
        <v>8</v>
      </c>
      <c r="AS43" s="261">
        <f>Table4[[#This Row],[TP]]+Table4[[#This Row],[TP2]]</f>
        <v>8</v>
      </c>
      <c r="BD43" s="265">
        <f>IF(INDEX(MCmin,MATCH(Table4[[#This Row],[SKU]],FG,0))="-","-",IF(Table4[[#This Row],[%MC]]="-","-",IF(Table4[[#This Row],[%MC]]&lt;INDEX(MCmin,MATCH(Table4[[#This Row],[SKU]],FG,0)),1,0)))</f>
        <v>0</v>
      </c>
      <c r="BE43" s="265">
        <f>IF(INDEX(MCmin,MATCH(Table4[[#This Row],[SKU]],FG,0))="-","-",IF(Table4[[#This Row],[%MC]]="-","-",IF(Table4[[#This Row],[%MC]]&gt;INDEX(MCmax,MATCH(Table4[[#This Row],[SKU]],FG,0)),1,0)))</f>
        <v>0</v>
      </c>
      <c r="BF43" s="231" t="str">
        <f>IF(INDEX(Ashmin,MATCH(Table4[[#This Row],[SKU]],FG,0))="-","-",IF(Table4[[#This Row],[%Ash]]="-","-",IF(Table4[[#This Row],[%Ash]]&lt;INDEX(Ashmin,MATCH(Table4[[#This Row],[SKU]],FG,0)),1,0)))</f>
        <v>-</v>
      </c>
      <c r="BG43" s="231" t="str">
        <f>IF(INDEX(Ashmin,MATCH(Table4[[#This Row],[SKU]],FG,0))="-","-",IF(Table4[[#This Row],[%Ash]]="-","-",IF(Table4[[#This Row],[%Ash]]&gt;INDEX(Ashmax,MATCH(Table4[[#This Row],[SKU]],FG,0)),1,0)))</f>
        <v>-</v>
      </c>
      <c r="BH43" s="231" t="str">
        <f>IF(INDEX(Absmin,MATCH(Table4[[#This Row],[SKU]],FG,0))="-","-",IF(Table4[[#This Row],[%Absorption]]="-","-",IF(Table4[[#This Row],[%Absorption]]&lt;INDEX(Absmin,MATCH(Table4[[#This Row],[SKU]],FG,0)),1,0)))</f>
        <v>-</v>
      </c>
      <c r="BI43" s="231" t="str">
        <f>IF(INDEX(Absmin,MATCH(Table4[[#This Row],[SKU]],FG,0))="-","-",IF(Table4[[#This Row],[%Absorption]]="-","-",IF(Table4[[#This Row],[%Absorption]]&gt;INDEX(Absmax,MATCH(Table4[[#This Row],[SKU]],FG,0)),1,0)))</f>
        <v>-</v>
      </c>
      <c r="BJ43" s="231" t="str">
        <f>IF(INDEX(WGmin,MATCH(Table4[[#This Row],[SKU]],FG,0))="-","-",IF(Table4[[#This Row],[%Wet Gluten]]="-","-",IF(Table4[[#This Row],[%Wet Gluten]]&lt;INDEX(WGmin,MATCH(Table4[[#This Row],[SKU]],FG,0)),1,0)))</f>
        <v>-</v>
      </c>
      <c r="BK43" s="231" t="str">
        <f>IF(INDEX(WGmin,MATCH(Table4[[#This Row],[SKU]],FG,0))="-","-",IF(Table4[[#This Row],[%Wet Gluten]]="-","-",IF(Table4[[#This Row],[%Wet Gluten]]&gt;INDEX(WGmax,MATCH(Table4[[#This Row],[SKU]],FG,0)),1,0)))</f>
        <v>-</v>
      </c>
    </row>
    <row r="44" spans="1:63" x14ac:dyDescent="0.35">
      <c r="A44" s="243">
        <v>46023</v>
      </c>
      <c r="B44" s="244">
        <v>46025</v>
      </c>
      <c r="C44" s="244">
        <v>46371</v>
      </c>
      <c r="D44" s="244" t="s">
        <v>128</v>
      </c>
      <c r="E44" s="245">
        <v>0.70833333333333304</v>
      </c>
      <c r="F44" s="246">
        <v>3</v>
      </c>
      <c r="G44" s="259" t="s">
        <v>119</v>
      </c>
      <c r="H44" s="247">
        <v>8.3999999999999995E-3</v>
      </c>
      <c r="I44" s="248" t="s">
        <v>165</v>
      </c>
      <c r="J44" s="248" t="s">
        <v>165</v>
      </c>
      <c r="K44" s="248" t="s">
        <v>165</v>
      </c>
      <c r="L44" s="248" t="s">
        <v>161</v>
      </c>
      <c r="M44" s="248" t="s">
        <v>161</v>
      </c>
      <c r="N44" s="249">
        <v>12.34</v>
      </c>
      <c r="O44" s="249">
        <v>12.29</v>
      </c>
      <c r="P44" s="249">
        <v>0.44</v>
      </c>
      <c r="Q44" s="249">
        <v>64.2</v>
      </c>
      <c r="R44" s="249" t="s">
        <v>163</v>
      </c>
      <c r="S44" s="250" t="s">
        <v>163</v>
      </c>
      <c r="T44" s="249">
        <v>34.4</v>
      </c>
      <c r="U44" s="249" t="s">
        <v>163</v>
      </c>
      <c r="V44" s="251" t="s">
        <v>163</v>
      </c>
      <c r="W44" s="252" t="s">
        <v>165</v>
      </c>
      <c r="X44" s="252" t="s">
        <v>165</v>
      </c>
      <c r="Y44" s="248" t="s">
        <v>413</v>
      </c>
      <c r="Z44" s="231">
        <f>IF(Table4[[#This Row],[ Bran Content]]="-","-",IF(H44&gt;0.02,0,2))</f>
        <v>2</v>
      </c>
      <c r="AA44" s="231">
        <f>IF(Table4[[#This Row],[Sieve Test]]="-","-",IF(Table4[[#This Row],[Sieve Test]]="P",1,0))</f>
        <v>1</v>
      </c>
      <c r="AB44" s="231">
        <f>IF(Table4[[#This Row],[Odor]]="-","-",IF(Table4[[#This Row],[Odor]]="P",2,0))</f>
        <v>2</v>
      </c>
      <c r="AC44" s="231">
        <f>IF(INDEX(MCmin,MATCH(Table4[[#This Row],[SKU]],FG,0))="-","-",IF(Table4[[#This Row],[%MC]]="-","-",IF(Table4[[#This Row],[%MC]]&lt;INDEX(MCmin,MATCH(Table4[[#This Row],[SKU]],FG,0)),0,IF(Table4[[#This Row],[%MC]]&gt;INDEX(MCmax,MATCH(Table4[[#This Row],[SKU]],FG,0)),0,1))))</f>
        <v>1</v>
      </c>
      <c r="AD44" s="231">
        <f>IF(INDEX(Protmin,MATCH(Table4[[#This Row],[SKU]],FG,0))="-","-",IF(Table4[[#This Row],[%Protein]]="-","-",IF(Table4[[#This Row],[%Protein]]&lt;INDEX(Protmin,MATCH(Table4[[#This Row],[SKU]],FG,0)),0,IF(Table4[[#This Row],[%Protein]]&gt;INDEX(Protmax,MATCH(Table4[[#This Row],[SKU]],FG,0)),0,1))))</f>
        <v>1</v>
      </c>
      <c r="AE44" s="231">
        <f>IF(INDEX(Ashmin,MATCH(Table4[[#This Row],[SKU]],FG,0))="-","-",IF(Table4[[#This Row],[%Ash]]="-","-",IF(Table4[[#This Row],[%Ash]]&lt;INDEX(Ashmin,MATCH(Table4[[#This Row],[SKU]],FG,0)),0,IF(Table4[[#This Row],[%Ash]]&gt;INDEX(Ashmax,MATCH(Table4[[#This Row],[SKU]],FG,0)),0,2))))</f>
        <v>2</v>
      </c>
      <c r="AF44" s="231">
        <f>IF(INDEX(Absmin,MATCH(Table4[[#This Row],[SKU]],FG,0))="-","-",IF(Table4[[#This Row],[%Absorption]]="-","-",IF(Table4[[#This Row],[%Absorption]]&lt;INDEX(Absmin,MATCH(Table4[[#This Row],[SKU]],FG,0)),0,IF(Table4[[#This Row],[%Absorption]]&gt;INDEX(Absmax,MATCH(Table4[[#This Row],[SKU]],FG,0)),0,2))))</f>
        <v>2</v>
      </c>
      <c r="AG44" s="231" t="str">
        <f>IF(INDEX(Extmin,MATCH(Table4[[#This Row],[SKU]],FG,0))="-","-",IF(Table4[[#This Row],[%Extensibility]]="-","-",IF(Table4[[#This Row],[%Extensibility]]&lt;INDEX(Extmin,MATCH(Table4[[#This Row],[SKU]],FG,0)),0,IF(Table4[[#This Row],[%Extensibility]]&gt;INDEX(Extmax,MATCH(Table4[[#This Row],[SKU]],FG,0)),0,1))))</f>
        <v>-</v>
      </c>
      <c r="AH44" s="231" t="str">
        <f>IF(INDEX(Resmin,MATCH(Table4[[#This Row],[SKU]],FG,0))="-","-",IF(Table4[[#This Row],[Resistance, max]]="-","-",IF(Table4[[#This Row],[Resistance, max]]&lt;INDEX(Resmin,MATCH(Table4[[#This Row],[SKU]],FG,0)),0,IF(Table4[[#This Row],[Resistance, max]]&gt;INDEX(Resmax,MATCH(Table4[[#This Row],[SKU]],FG,0)),0,1))))</f>
        <v>-</v>
      </c>
      <c r="AI44" s="231">
        <f>IF(INDEX(WGmin,MATCH(Table4[[#This Row],[SKU]],FG,0))="-","-",IF(Table4[[#This Row],[%Wet Gluten]]="-","-",IF(Table4[[#This Row],[%Wet Gluten]]&lt;INDEX(WGmin,MATCH(Table4[[#This Row],[SKU]],FG,0)),0,IF(Table4[[#This Row],[%Wet Gluten]]&gt;INDEX(WGmax,MATCH(Table4[[#This Row],[SKU]],FG,0)),0,2))))</f>
        <v>2</v>
      </c>
      <c r="AJ44" s="232" t="str">
        <f>IF(Table4[[#This Row],[FN, s]]="-","-",IF(R44&lt;301,1,0))</f>
        <v>-</v>
      </c>
      <c r="AK44" s="233">
        <f>SUM(Table4[[#This Row],[ QI Bran Content]:[QI FN]])</f>
        <v>13</v>
      </c>
      <c r="AL44" s="232">
        <f t="shared" si="6"/>
        <v>13</v>
      </c>
      <c r="AM44" s="232" t="str">
        <f>IF(INDEX(WGmin,MATCH(Table4[[#This Row],[SKU]],FG,0))="-","-",IF(Table4[[#This Row],[Gross Weight]]="-","-",IF(Table4[[#This Row],[Gross Weight]]&lt;INDEX(GWmin,MATCH(Table4[[#This Row],[SKU]],FG,0)),0,IF(Table4[[#This Row],[Gross Weight]]&gt;INDEX(GWmax,MATCH(Table4[[#This Row],[SKU]],FG,0)),0,1))))</f>
        <v>-</v>
      </c>
      <c r="AN44" s="232">
        <f>IF(Table4[[#This Row],[Sealing Integrity]]="-","-",IF(Table4[[#This Row],[Sealing Integrity]]="P",1,0))</f>
        <v>1</v>
      </c>
      <c r="AO44" s="232">
        <f>IF(Table4[[#This Row],[Coding]]="-","-",IF(Table4[[#This Row],[Coding]]="P",1,0))</f>
        <v>1</v>
      </c>
      <c r="AP44" s="233">
        <f>SUM(Table4[[#This Row],[QI Weight]:[QI Code]])</f>
        <v>2</v>
      </c>
      <c r="AQ44" s="233">
        <f>COUNT(Table4[[#This Row],[QI Weight]:[QI Code]])</f>
        <v>2</v>
      </c>
      <c r="AR44" s="261">
        <f>Table4[[#This Row],[TA]]+Table4[[#This Row],[TA2]]</f>
        <v>15</v>
      </c>
      <c r="AS44" s="261">
        <f>Table4[[#This Row],[TP]]+Table4[[#This Row],[TP2]]</f>
        <v>15</v>
      </c>
      <c r="BD44" s="265">
        <f>IF(INDEX(MCmin,MATCH(Table4[[#This Row],[SKU]],FG,0))="-","-",IF(Table4[[#This Row],[%MC]]="-","-",IF(Table4[[#This Row],[%MC]]&lt;INDEX(MCmin,MATCH(Table4[[#This Row],[SKU]],FG,0)),1,0)))</f>
        <v>0</v>
      </c>
      <c r="BE44" s="265">
        <f>IF(INDEX(MCmin,MATCH(Table4[[#This Row],[SKU]],FG,0))="-","-",IF(Table4[[#This Row],[%MC]]="-","-",IF(Table4[[#This Row],[%MC]]&gt;INDEX(MCmax,MATCH(Table4[[#This Row],[SKU]],FG,0)),1,0)))</f>
        <v>0</v>
      </c>
      <c r="BF44" s="231">
        <f>IF(INDEX(Ashmin,MATCH(Table4[[#This Row],[SKU]],FG,0))="-","-",IF(Table4[[#This Row],[%Ash]]="-","-",IF(Table4[[#This Row],[%Ash]]&lt;INDEX(Ashmin,MATCH(Table4[[#This Row],[SKU]],FG,0)),1,0)))</f>
        <v>0</v>
      </c>
      <c r="BG44" s="231">
        <f>IF(INDEX(Ashmin,MATCH(Table4[[#This Row],[SKU]],FG,0))="-","-",IF(Table4[[#This Row],[%Ash]]="-","-",IF(Table4[[#This Row],[%Ash]]&gt;INDEX(Ashmax,MATCH(Table4[[#This Row],[SKU]],FG,0)),1,0)))</f>
        <v>0</v>
      </c>
      <c r="BH44" s="231">
        <f>IF(INDEX(Absmin,MATCH(Table4[[#This Row],[SKU]],FG,0))="-","-",IF(Table4[[#This Row],[%Absorption]]="-","-",IF(Table4[[#This Row],[%Absorption]]&lt;INDEX(Absmin,MATCH(Table4[[#This Row],[SKU]],FG,0)),1,0)))</f>
        <v>0</v>
      </c>
      <c r="BI44" s="231">
        <f>IF(INDEX(Absmin,MATCH(Table4[[#This Row],[SKU]],FG,0))="-","-",IF(Table4[[#This Row],[%Absorption]]="-","-",IF(Table4[[#This Row],[%Absorption]]&gt;INDEX(Absmax,MATCH(Table4[[#This Row],[SKU]],FG,0)),1,0)))</f>
        <v>0</v>
      </c>
      <c r="BJ44" s="231">
        <f>IF(INDEX(WGmin,MATCH(Table4[[#This Row],[SKU]],FG,0))="-","-",IF(Table4[[#This Row],[%Wet Gluten]]="-","-",IF(Table4[[#This Row],[%Wet Gluten]]&lt;INDEX(WGmin,MATCH(Table4[[#This Row],[SKU]],FG,0)),1,0)))</f>
        <v>0</v>
      </c>
      <c r="BK44" s="231">
        <f>IF(INDEX(WGmin,MATCH(Table4[[#This Row],[SKU]],FG,0))="-","-",IF(Table4[[#This Row],[%Wet Gluten]]="-","-",IF(Table4[[#This Row],[%Wet Gluten]]&gt;INDEX(WGmax,MATCH(Table4[[#This Row],[SKU]],FG,0)),1,0)))</f>
        <v>0</v>
      </c>
    </row>
    <row r="45" spans="1:63" x14ac:dyDescent="0.35">
      <c r="A45" s="243">
        <v>46023</v>
      </c>
      <c r="B45" s="244">
        <v>46025</v>
      </c>
      <c r="C45" s="244">
        <v>46371</v>
      </c>
      <c r="D45" s="244" t="s">
        <v>128</v>
      </c>
      <c r="E45" s="245">
        <v>0.75</v>
      </c>
      <c r="F45" s="246">
        <v>3</v>
      </c>
      <c r="G45" s="259" t="s">
        <v>119</v>
      </c>
      <c r="H45" s="247">
        <v>9.7000000000000003E-3</v>
      </c>
      <c r="I45" s="248" t="s">
        <v>165</v>
      </c>
      <c r="J45" s="248" t="s">
        <v>165</v>
      </c>
      <c r="K45" s="248" t="s">
        <v>165</v>
      </c>
      <c r="L45" s="248" t="s">
        <v>161</v>
      </c>
      <c r="M45" s="248" t="s">
        <v>161</v>
      </c>
      <c r="N45" s="249">
        <v>12.27</v>
      </c>
      <c r="O45" s="249" t="s">
        <v>163</v>
      </c>
      <c r="P45" s="249" t="s">
        <v>163</v>
      </c>
      <c r="Q45" s="249" t="s">
        <v>163</v>
      </c>
      <c r="R45" s="249" t="s">
        <v>163</v>
      </c>
      <c r="S45" s="250" t="s">
        <v>163</v>
      </c>
      <c r="T45" s="249" t="s">
        <v>163</v>
      </c>
      <c r="U45" s="249" t="s">
        <v>163</v>
      </c>
      <c r="V45" s="251" t="s">
        <v>163</v>
      </c>
      <c r="W45" s="252" t="s">
        <v>165</v>
      </c>
      <c r="X45" s="252" t="s">
        <v>165</v>
      </c>
      <c r="Y45" s="248" t="s">
        <v>163</v>
      </c>
      <c r="Z45" s="231">
        <f>IF(Table4[[#This Row],[ Bran Content]]="-","-",IF(H45&gt;0.02,0,2))</f>
        <v>2</v>
      </c>
      <c r="AA45" s="231">
        <f>IF(Table4[[#This Row],[Sieve Test]]="-","-",IF(Table4[[#This Row],[Sieve Test]]="P",1,0))</f>
        <v>1</v>
      </c>
      <c r="AB45" s="231">
        <f>IF(Table4[[#This Row],[Odor]]="-","-",IF(Table4[[#This Row],[Odor]]="P",2,0))</f>
        <v>2</v>
      </c>
      <c r="AC45" s="231">
        <f>IF(INDEX(MCmin,MATCH(Table4[[#This Row],[SKU]],FG,0))="-","-",IF(Table4[[#This Row],[%MC]]="-","-",IF(Table4[[#This Row],[%MC]]&lt;INDEX(MCmin,MATCH(Table4[[#This Row],[SKU]],FG,0)),0,IF(Table4[[#This Row],[%MC]]&gt;INDEX(MCmax,MATCH(Table4[[#This Row],[SKU]],FG,0)),0,1))))</f>
        <v>1</v>
      </c>
      <c r="AD45" s="231" t="str">
        <f>IF(INDEX(Protmin,MATCH(Table4[[#This Row],[SKU]],FG,0))="-","-",IF(Table4[[#This Row],[%Protein]]="-","-",IF(Table4[[#This Row],[%Protein]]&lt;INDEX(Protmin,MATCH(Table4[[#This Row],[SKU]],FG,0)),0,IF(Table4[[#This Row],[%Protein]]&gt;INDEX(Protmax,MATCH(Table4[[#This Row],[SKU]],FG,0)),0,1))))</f>
        <v>-</v>
      </c>
      <c r="AE45" s="231" t="str">
        <f>IF(INDEX(Ashmin,MATCH(Table4[[#This Row],[SKU]],FG,0))="-","-",IF(Table4[[#This Row],[%Ash]]="-","-",IF(Table4[[#This Row],[%Ash]]&lt;INDEX(Ashmin,MATCH(Table4[[#This Row],[SKU]],FG,0)),0,IF(Table4[[#This Row],[%Ash]]&gt;INDEX(Ashmax,MATCH(Table4[[#This Row],[SKU]],FG,0)),0,2))))</f>
        <v>-</v>
      </c>
      <c r="AF45" s="231" t="str">
        <f>IF(INDEX(Absmin,MATCH(Table4[[#This Row],[SKU]],FG,0))="-","-",IF(Table4[[#This Row],[%Absorption]]="-","-",IF(Table4[[#This Row],[%Absorption]]&lt;INDEX(Absmin,MATCH(Table4[[#This Row],[SKU]],FG,0)),0,IF(Table4[[#This Row],[%Absorption]]&gt;INDEX(Absmax,MATCH(Table4[[#This Row],[SKU]],FG,0)),0,2))))</f>
        <v>-</v>
      </c>
      <c r="AG45" s="231" t="str">
        <f>IF(INDEX(Extmin,MATCH(Table4[[#This Row],[SKU]],FG,0))="-","-",IF(Table4[[#This Row],[%Extensibility]]="-","-",IF(Table4[[#This Row],[%Extensibility]]&lt;INDEX(Extmin,MATCH(Table4[[#This Row],[SKU]],FG,0)),0,IF(Table4[[#This Row],[%Extensibility]]&gt;INDEX(Extmax,MATCH(Table4[[#This Row],[SKU]],FG,0)),0,1))))</f>
        <v>-</v>
      </c>
      <c r="AH45" s="231" t="str">
        <f>IF(INDEX(Resmin,MATCH(Table4[[#This Row],[SKU]],FG,0))="-","-",IF(Table4[[#This Row],[Resistance, max]]="-","-",IF(Table4[[#This Row],[Resistance, max]]&lt;INDEX(Resmin,MATCH(Table4[[#This Row],[SKU]],FG,0)),0,IF(Table4[[#This Row],[Resistance, max]]&gt;INDEX(Resmax,MATCH(Table4[[#This Row],[SKU]],FG,0)),0,1))))</f>
        <v>-</v>
      </c>
      <c r="AI45" s="231" t="str">
        <f>IF(INDEX(WGmin,MATCH(Table4[[#This Row],[SKU]],FG,0))="-","-",IF(Table4[[#This Row],[%Wet Gluten]]="-","-",IF(Table4[[#This Row],[%Wet Gluten]]&lt;INDEX(WGmin,MATCH(Table4[[#This Row],[SKU]],FG,0)),0,IF(Table4[[#This Row],[%Wet Gluten]]&gt;INDEX(WGmax,MATCH(Table4[[#This Row],[SKU]],FG,0)),0,2))))</f>
        <v>-</v>
      </c>
      <c r="AJ45" s="232" t="str">
        <f>IF(Table4[[#This Row],[FN, s]]="-","-",IF(R45&lt;301,1,0))</f>
        <v>-</v>
      </c>
      <c r="AK45" s="233">
        <f>SUM(Table4[[#This Row],[ QI Bran Content]:[QI FN]])</f>
        <v>6</v>
      </c>
      <c r="AL45" s="232">
        <f t="shared" si="6"/>
        <v>6</v>
      </c>
      <c r="AM45" s="232" t="str">
        <f>IF(INDEX(WGmin,MATCH(Table4[[#This Row],[SKU]],FG,0))="-","-",IF(Table4[[#This Row],[Gross Weight]]="-","-",IF(Table4[[#This Row],[Gross Weight]]&lt;INDEX(GWmin,MATCH(Table4[[#This Row],[SKU]],FG,0)),0,IF(Table4[[#This Row],[Gross Weight]]&gt;INDEX(GWmax,MATCH(Table4[[#This Row],[SKU]],FG,0)),0,1))))</f>
        <v>-</v>
      </c>
      <c r="AN45" s="232">
        <f>IF(Table4[[#This Row],[Sealing Integrity]]="-","-",IF(Table4[[#This Row],[Sealing Integrity]]="P",1,0))</f>
        <v>1</v>
      </c>
      <c r="AO45" s="232">
        <f>IF(Table4[[#This Row],[Coding]]="-","-",IF(Table4[[#This Row],[Coding]]="P",1,0))</f>
        <v>1</v>
      </c>
      <c r="AP45" s="233">
        <f>SUM(Table4[[#This Row],[QI Weight]:[QI Code]])</f>
        <v>2</v>
      </c>
      <c r="AQ45" s="233">
        <f>COUNT(Table4[[#This Row],[QI Weight]:[QI Code]])</f>
        <v>2</v>
      </c>
      <c r="AR45" s="261">
        <f>Table4[[#This Row],[TA]]+Table4[[#This Row],[TA2]]</f>
        <v>8</v>
      </c>
      <c r="AS45" s="261">
        <f>Table4[[#This Row],[TP]]+Table4[[#This Row],[TP2]]</f>
        <v>8</v>
      </c>
      <c r="BD45" s="265">
        <f>IF(INDEX(MCmin,MATCH(Table4[[#This Row],[SKU]],FG,0))="-","-",IF(Table4[[#This Row],[%MC]]="-","-",IF(Table4[[#This Row],[%MC]]&lt;INDEX(MCmin,MATCH(Table4[[#This Row],[SKU]],FG,0)),1,0)))</f>
        <v>0</v>
      </c>
      <c r="BE45" s="265">
        <f>IF(INDEX(MCmin,MATCH(Table4[[#This Row],[SKU]],FG,0))="-","-",IF(Table4[[#This Row],[%MC]]="-","-",IF(Table4[[#This Row],[%MC]]&gt;INDEX(MCmax,MATCH(Table4[[#This Row],[SKU]],FG,0)),1,0)))</f>
        <v>0</v>
      </c>
      <c r="BF45" s="231" t="str">
        <f>IF(INDEX(Ashmin,MATCH(Table4[[#This Row],[SKU]],FG,0))="-","-",IF(Table4[[#This Row],[%Ash]]="-","-",IF(Table4[[#This Row],[%Ash]]&lt;INDEX(Ashmin,MATCH(Table4[[#This Row],[SKU]],FG,0)),1,0)))</f>
        <v>-</v>
      </c>
      <c r="BG45" s="231" t="str">
        <f>IF(INDEX(Ashmin,MATCH(Table4[[#This Row],[SKU]],FG,0))="-","-",IF(Table4[[#This Row],[%Ash]]="-","-",IF(Table4[[#This Row],[%Ash]]&gt;INDEX(Ashmax,MATCH(Table4[[#This Row],[SKU]],FG,0)),1,0)))</f>
        <v>-</v>
      </c>
      <c r="BH45" s="231" t="str">
        <f>IF(INDEX(Absmin,MATCH(Table4[[#This Row],[SKU]],FG,0))="-","-",IF(Table4[[#This Row],[%Absorption]]="-","-",IF(Table4[[#This Row],[%Absorption]]&lt;INDEX(Absmin,MATCH(Table4[[#This Row],[SKU]],FG,0)),1,0)))</f>
        <v>-</v>
      </c>
      <c r="BI45" s="231" t="str">
        <f>IF(INDEX(Absmin,MATCH(Table4[[#This Row],[SKU]],FG,0))="-","-",IF(Table4[[#This Row],[%Absorption]]="-","-",IF(Table4[[#This Row],[%Absorption]]&gt;INDEX(Absmax,MATCH(Table4[[#This Row],[SKU]],FG,0)),1,0)))</f>
        <v>-</v>
      </c>
      <c r="BJ45" s="231" t="str">
        <f>IF(INDEX(WGmin,MATCH(Table4[[#This Row],[SKU]],FG,0))="-","-",IF(Table4[[#This Row],[%Wet Gluten]]="-","-",IF(Table4[[#This Row],[%Wet Gluten]]&lt;INDEX(WGmin,MATCH(Table4[[#This Row],[SKU]],FG,0)),1,0)))</f>
        <v>-</v>
      </c>
      <c r="BK45" s="231" t="str">
        <f>IF(INDEX(WGmin,MATCH(Table4[[#This Row],[SKU]],FG,0))="-","-",IF(Table4[[#This Row],[%Wet Gluten]]="-","-",IF(Table4[[#This Row],[%Wet Gluten]]&gt;INDEX(WGmax,MATCH(Table4[[#This Row],[SKU]],FG,0)),1,0)))</f>
        <v>-</v>
      </c>
    </row>
    <row r="46" spans="1:63" x14ac:dyDescent="0.35">
      <c r="A46" s="243">
        <v>46023</v>
      </c>
      <c r="B46" s="244">
        <v>46025</v>
      </c>
      <c r="C46" s="244">
        <v>46371</v>
      </c>
      <c r="D46" s="244" t="s">
        <v>128</v>
      </c>
      <c r="E46" s="245">
        <v>0.79166666666666596</v>
      </c>
      <c r="F46" s="246">
        <v>3</v>
      </c>
      <c r="G46" s="259" t="s">
        <v>119</v>
      </c>
      <c r="H46" s="247">
        <v>8.2000000000000007E-3</v>
      </c>
      <c r="I46" s="248" t="s">
        <v>165</v>
      </c>
      <c r="J46" s="248" t="s">
        <v>165</v>
      </c>
      <c r="K46" s="248" t="s">
        <v>165</v>
      </c>
      <c r="L46" s="248" t="s">
        <v>161</v>
      </c>
      <c r="M46" s="248" t="s">
        <v>161</v>
      </c>
      <c r="N46" s="249">
        <v>12.76</v>
      </c>
      <c r="O46" s="249" t="s">
        <v>163</v>
      </c>
      <c r="P46" s="249" t="s">
        <v>163</v>
      </c>
      <c r="Q46" s="249" t="s">
        <v>163</v>
      </c>
      <c r="R46" s="249" t="s">
        <v>163</v>
      </c>
      <c r="S46" s="250" t="s">
        <v>163</v>
      </c>
      <c r="T46" s="249" t="s">
        <v>163</v>
      </c>
      <c r="U46" s="249" t="s">
        <v>163</v>
      </c>
      <c r="V46" s="251" t="s">
        <v>163</v>
      </c>
      <c r="W46" s="252" t="s">
        <v>165</v>
      </c>
      <c r="X46" s="252" t="s">
        <v>165</v>
      </c>
      <c r="Y46" s="248" t="s">
        <v>163</v>
      </c>
      <c r="Z46" s="231">
        <f>IF(Table4[[#This Row],[ Bran Content]]="-","-",IF(H46&gt;0.02,0,2))</f>
        <v>2</v>
      </c>
      <c r="AA46" s="231">
        <f>IF(Table4[[#This Row],[Sieve Test]]="-","-",IF(Table4[[#This Row],[Sieve Test]]="P",1,0))</f>
        <v>1</v>
      </c>
      <c r="AB46" s="231">
        <f>IF(Table4[[#This Row],[Odor]]="-","-",IF(Table4[[#This Row],[Odor]]="P",2,0))</f>
        <v>2</v>
      </c>
      <c r="AC46" s="231">
        <f>IF(INDEX(MCmin,MATCH(Table4[[#This Row],[SKU]],FG,0))="-","-",IF(Table4[[#This Row],[%MC]]="-","-",IF(Table4[[#This Row],[%MC]]&lt;INDEX(MCmin,MATCH(Table4[[#This Row],[SKU]],FG,0)),0,IF(Table4[[#This Row],[%MC]]&gt;INDEX(MCmax,MATCH(Table4[[#This Row],[SKU]],FG,0)),0,1))))</f>
        <v>1</v>
      </c>
      <c r="AD46" s="231" t="str">
        <f>IF(INDEX(Protmin,MATCH(Table4[[#This Row],[SKU]],FG,0))="-","-",IF(Table4[[#This Row],[%Protein]]="-","-",IF(Table4[[#This Row],[%Protein]]&lt;INDEX(Protmin,MATCH(Table4[[#This Row],[SKU]],FG,0)),0,IF(Table4[[#This Row],[%Protein]]&gt;INDEX(Protmax,MATCH(Table4[[#This Row],[SKU]],FG,0)),0,1))))</f>
        <v>-</v>
      </c>
      <c r="AE46" s="231" t="str">
        <f>IF(INDEX(Ashmin,MATCH(Table4[[#This Row],[SKU]],FG,0))="-","-",IF(Table4[[#This Row],[%Ash]]="-","-",IF(Table4[[#This Row],[%Ash]]&lt;INDEX(Ashmin,MATCH(Table4[[#This Row],[SKU]],FG,0)),0,IF(Table4[[#This Row],[%Ash]]&gt;INDEX(Ashmax,MATCH(Table4[[#This Row],[SKU]],FG,0)),0,2))))</f>
        <v>-</v>
      </c>
      <c r="AF46" s="231" t="str">
        <f>IF(INDEX(Absmin,MATCH(Table4[[#This Row],[SKU]],FG,0))="-","-",IF(Table4[[#This Row],[%Absorption]]="-","-",IF(Table4[[#This Row],[%Absorption]]&lt;INDEX(Absmin,MATCH(Table4[[#This Row],[SKU]],FG,0)),0,IF(Table4[[#This Row],[%Absorption]]&gt;INDEX(Absmax,MATCH(Table4[[#This Row],[SKU]],FG,0)),0,2))))</f>
        <v>-</v>
      </c>
      <c r="AG46" s="231" t="str">
        <f>IF(INDEX(Extmin,MATCH(Table4[[#This Row],[SKU]],FG,0))="-","-",IF(Table4[[#This Row],[%Extensibility]]="-","-",IF(Table4[[#This Row],[%Extensibility]]&lt;INDEX(Extmin,MATCH(Table4[[#This Row],[SKU]],FG,0)),0,IF(Table4[[#This Row],[%Extensibility]]&gt;INDEX(Extmax,MATCH(Table4[[#This Row],[SKU]],FG,0)),0,1))))</f>
        <v>-</v>
      </c>
      <c r="AH46" s="231" t="str">
        <f>IF(INDEX(Resmin,MATCH(Table4[[#This Row],[SKU]],FG,0))="-","-",IF(Table4[[#This Row],[Resistance, max]]="-","-",IF(Table4[[#This Row],[Resistance, max]]&lt;INDEX(Resmin,MATCH(Table4[[#This Row],[SKU]],FG,0)),0,IF(Table4[[#This Row],[Resistance, max]]&gt;INDEX(Resmax,MATCH(Table4[[#This Row],[SKU]],FG,0)),0,1))))</f>
        <v>-</v>
      </c>
      <c r="AI46" s="231" t="str">
        <f>IF(INDEX(WGmin,MATCH(Table4[[#This Row],[SKU]],FG,0))="-","-",IF(Table4[[#This Row],[%Wet Gluten]]="-","-",IF(Table4[[#This Row],[%Wet Gluten]]&lt;INDEX(WGmin,MATCH(Table4[[#This Row],[SKU]],FG,0)),0,IF(Table4[[#This Row],[%Wet Gluten]]&gt;INDEX(WGmax,MATCH(Table4[[#This Row],[SKU]],FG,0)),0,2))))</f>
        <v>-</v>
      </c>
      <c r="AJ46" s="232" t="str">
        <f>IF(Table4[[#This Row],[FN, s]]="-","-",IF(R46&lt;301,1,0))</f>
        <v>-</v>
      </c>
      <c r="AK46" s="233">
        <f>SUM(Table4[[#This Row],[ QI Bran Content]:[QI FN]])</f>
        <v>6</v>
      </c>
      <c r="AL46" s="232">
        <f t="shared" si="6"/>
        <v>6</v>
      </c>
      <c r="AM46" s="232" t="str">
        <f>IF(INDEX(WGmin,MATCH(Table4[[#This Row],[SKU]],FG,0))="-","-",IF(Table4[[#This Row],[Gross Weight]]="-","-",IF(Table4[[#This Row],[Gross Weight]]&lt;INDEX(GWmin,MATCH(Table4[[#This Row],[SKU]],FG,0)),0,IF(Table4[[#This Row],[Gross Weight]]&gt;INDEX(GWmax,MATCH(Table4[[#This Row],[SKU]],FG,0)),0,1))))</f>
        <v>-</v>
      </c>
      <c r="AN46" s="232">
        <f>IF(Table4[[#This Row],[Sealing Integrity]]="-","-",IF(Table4[[#This Row],[Sealing Integrity]]="P",1,0))</f>
        <v>1</v>
      </c>
      <c r="AO46" s="232">
        <f>IF(Table4[[#This Row],[Coding]]="-","-",IF(Table4[[#This Row],[Coding]]="P",1,0))</f>
        <v>1</v>
      </c>
      <c r="AP46" s="233">
        <f>SUM(Table4[[#This Row],[QI Weight]:[QI Code]])</f>
        <v>2</v>
      </c>
      <c r="AQ46" s="233">
        <f>COUNT(Table4[[#This Row],[QI Weight]:[QI Code]])</f>
        <v>2</v>
      </c>
      <c r="AR46" s="261">
        <f>Table4[[#This Row],[TA]]+Table4[[#This Row],[TA2]]</f>
        <v>8</v>
      </c>
      <c r="AS46" s="261">
        <f>Table4[[#This Row],[TP]]+Table4[[#This Row],[TP2]]</f>
        <v>8</v>
      </c>
      <c r="BD46" s="265">
        <f>IF(INDEX(MCmin,MATCH(Table4[[#This Row],[SKU]],FG,0))="-","-",IF(Table4[[#This Row],[%MC]]="-","-",IF(Table4[[#This Row],[%MC]]&lt;INDEX(MCmin,MATCH(Table4[[#This Row],[SKU]],FG,0)),1,0)))</f>
        <v>0</v>
      </c>
      <c r="BE46" s="265">
        <f>IF(INDEX(MCmin,MATCH(Table4[[#This Row],[SKU]],FG,0))="-","-",IF(Table4[[#This Row],[%MC]]="-","-",IF(Table4[[#This Row],[%MC]]&gt;INDEX(MCmax,MATCH(Table4[[#This Row],[SKU]],FG,0)),1,0)))</f>
        <v>0</v>
      </c>
      <c r="BF46" s="231" t="str">
        <f>IF(INDEX(Ashmin,MATCH(Table4[[#This Row],[SKU]],FG,0))="-","-",IF(Table4[[#This Row],[%Ash]]="-","-",IF(Table4[[#This Row],[%Ash]]&lt;INDEX(Ashmin,MATCH(Table4[[#This Row],[SKU]],FG,0)),1,0)))</f>
        <v>-</v>
      </c>
      <c r="BG46" s="231" t="str">
        <f>IF(INDEX(Ashmin,MATCH(Table4[[#This Row],[SKU]],FG,0))="-","-",IF(Table4[[#This Row],[%Ash]]="-","-",IF(Table4[[#This Row],[%Ash]]&gt;INDEX(Ashmax,MATCH(Table4[[#This Row],[SKU]],FG,0)),1,0)))</f>
        <v>-</v>
      </c>
      <c r="BH46" s="231" t="str">
        <f>IF(INDEX(Absmin,MATCH(Table4[[#This Row],[SKU]],FG,0))="-","-",IF(Table4[[#This Row],[%Absorption]]="-","-",IF(Table4[[#This Row],[%Absorption]]&lt;INDEX(Absmin,MATCH(Table4[[#This Row],[SKU]],FG,0)),1,0)))</f>
        <v>-</v>
      </c>
      <c r="BI46" s="231" t="str">
        <f>IF(INDEX(Absmin,MATCH(Table4[[#This Row],[SKU]],FG,0))="-","-",IF(Table4[[#This Row],[%Absorption]]="-","-",IF(Table4[[#This Row],[%Absorption]]&gt;INDEX(Absmax,MATCH(Table4[[#This Row],[SKU]],FG,0)),1,0)))</f>
        <v>-</v>
      </c>
      <c r="BJ46" s="231" t="str">
        <f>IF(INDEX(WGmin,MATCH(Table4[[#This Row],[SKU]],FG,0))="-","-",IF(Table4[[#This Row],[%Wet Gluten]]="-","-",IF(Table4[[#This Row],[%Wet Gluten]]&lt;INDEX(WGmin,MATCH(Table4[[#This Row],[SKU]],FG,0)),1,0)))</f>
        <v>-</v>
      </c>
      <c r="BK46" s="231" t="str">
        <f>IF(INDEX(WGmin,MATCH(Table4[[#This Row],[SKU]],FG,0))="-","-",IF(Table4[[#This Row],[%Wet Gluten]]="-","-",IF(Table4[[#This Row],[%Wet Gluten]]&gt;INDEX(WGmax,MATCH(Table4[[#This Row],[SKU]],FG,0)),1,0)))</f>
        <v>-</v>
      </c>
    </row>
    <row r="47" spans="1:63" x14ac:dyDescent="0.35">
      <c r="A47" s="243">
        <v>46023</v>
      </c>
      <c r="B47" s="244">
        <v>46025</v>
      </c>
      <c r="C47" s="244">
        <v>46371</v>
      </c>
      <c r="D47" s="244" t="s">
        <v>128</v>
      </c>
      <c r="E47" s="245">
        <v>0.83333333333333304</v>
      </c>
      <c r="F47" s="246">
        <v>3</v>
      </c>
      <c r="G47" s="259" t="s">
        <v>119</v>
      </c>
      <c r="H47" s="247">
        <v>6.7000000000000002E-3</v>
      </c>
      <c r="I47" s="248" t="s">
        <v>165</v>
      </c>
      <c r="J47" s="248" t="s">
        <v>165</v>
      </c>
      <c r="K47" s="248" t="s">
        <v>165</v>
      </c>
      <c r="L47" s="248" t="s">
        <v>161</v>
      </c>
      <c r="M47" s="248" t="s">
        <v>161</v>
      </c>
      <c r="N47" s="249">
        <v>12.65</v>
      </c>
      <c r="O47" s="249" t="s">
        <v>163</v>
      </c>
      <c r="P47" s="249" t="s">
        <v>163</v>
      </c>
      <c r="Q47" s="249" t="s">
        <v>163</v>
      </c>
      <c r="R47" s="249" t="s">
        <v>163</v>
      </c>
      <c r="S47" s="250" t="s">
        <v>163</v>
      </c>
      <c r="T47" s="249" t="s">
        <v>163</v>
      </c>
      <c r="U47" s="249" t="s">
        <v>163</v>
      </c>
      <c r="V47" s="251" t="s">
        <v>163</v>
      </c>
      <c r="W47" s="252" t="s">
        <v>165</v>
      </c>
      <c r="X47" s="252" t="s">
        <v>165</v>
      </c>
      <c r="Y47" s="248" t="s">
        <v>163</v>
      </c>
      <c r="Z47" s="231">
        <f>IF(Table4[[#This Row],[ Bran Content]]="-","-",IF(H47&gt;0.02,0,2))</f>
        <v>2</v>
      </c>
      <c r="AA47" s="231">
        <f>IF(Table4[[#This Row],[Sieve Test]]="-","-",IF(Table4[[#This Row],[Sieve Test]]="P",1,0))</f>
        <v>1</v>
      </c>
      <c r="AB47" s="231">
        <f>IF(Table4[[#This Row],[Odor]]="-","-",IF(Table4[[#This Row],[Odor]]="P",2,0))</f>
        <v>2</v>
      </c>
      <c r="AC47" s="231">
        <f>IF(INDEX(MCmin,MATCH(Table4[[#This Row],[SKU]],FG,0))="-","-",IF(Table4[[#This Row],[%MC]]="-","-",IF(Table4[[#This Row],[%MC]]&lt;INDEX(MCmin,MATCH(Table4[[#This Row],[SKU]],FG,0)),0,IF(Table4[[#This Row],[%MC]]&gt;INDEX(MCmax,MATCH(Table4[[#This Row],[SKU]],FG,0)),0,1))))</f>
        <v>1</v>
      </c>
      <c r="AD47" s="231" t="str">
        <f>IF(INDEX(Protmin,MATCH(Table4[[#This Row],[SKU]],FG,0))="-","-",IF(Table4[[#This Row],[%Protein]]="-","-",IF(Table4[[#This Row],[%Protein]]&lt;INDEX(Protmin,MATCH(Table4[[#This Row],[SKU]],FG,0)),0,IF(Table4[[#This Row],[%Protein]]&gt;INDEX(Protmax,MATCH(Table4[[#This Row],[SKU]],FG,0)),0,1))))</f>
        <v>-</v>
      </c>
      <c r="AE47" s="231" t="str">
        <f>IF(INDEX(Ashmin,MATCH(Table4[[#This Row],[SKU]],FG,0))="-","-",IF(Table4[[#This Row],[%Ash]]="-","-",IF(Table4[[#This Row],[%Ash]]&lt;INDEX(Ashmin,MATCH(Table4[[#This Row],[SKU]],FG,0)),0,IF(Table4[[#This Row],[%Ash]]&gt;INDEX(Ashmax,MATCH(Table4[[#This Row],[SKU]],FG,0)),0,2))))</f>
        <v>-</v>
      </c>
      <c r="AF47" s="231" t="str">
        <f>IF(INDEX(Absmin,MATCH(Table4[[#This Row],[SKU]],FG,0))="-","-",IF(Table4[[#This Row],[%Absorption]]="-","-",IF(Table4[[#This Row],[%Absorption]]&lt;INDEX(Absmin,MATCH(Table4[[#This Row],[SKU]],FG,0)),0,IF(Table4[[#This Row],[%Absorption]]&gt;INDEX(Absmax,MATCH(Table4[[#This Row],[SKU]],FG,0)),0,2))))</f>
        <v>-</v>
      </c>
      <c r="AG47" s="231" t="str">
        <f>IF(INDEX(Extmin,MATCH(Table4[[#This Row],[SKU]],FG,0))="-","-",IF(Table4[[#This Row],[%Extensibility]]="-","-",IF(Table4[[#This Row],[%Extensibility]]&lt;INDEX(Extmin,MATCH(Table4[[#This Row],[SKU]],FG,0)),0,IF(Table4[[#This Row],[%Extensibility]]&gt;INDEX(Extmax,MATCH(Table4[[#This Row],[SKU]],FG,0)),0,1))))</f>
        <v>-</v>
      </c>
      <c r="AH47" s="231" t="str">
        <f>IF(INDEX(Resmin,MATCH(Table4[[#This Row],[SKU]],FG,0))="-","-",IF(Table4[[#This Row],[Resistance, max]]="-","-",IF(Table4[[#This Row],[Resistance, max]]&lt;INDEX(Resmin,MATCH(Table4[[#This Row],[SKU]],FG,0)),0,IF(Table4[[#This Row],[Resistance, max]]&gt;INDEX(Resmax,MATCH(Table4[[#This Row],[SKU]],FG,0)),0,1))))</f>
        <v>-</v>
      </c>
      <c r="AI47" s="231" t="str">
        <f>IF(INDEX(WGmin,MATCH(Table4[[#This Row],[SKU]],FG,0))="-","-",IF(Table4[[#This Row],[%Wet Gluten]]="-","-",IF(Table4[[#This Row],[%Wet Gluten]]&lt;INDEX(WGmin,MATCH(Table4[[#This Row],[SKU]],FG,0)),0,IF(Table4[[#This Row],[%Wet Gluten]]&gt;INDEX(WGmax,MATCH(Table4[[#This Row],[SKU]],FG,0)),0,2))))</f>
        <v>-</v>
      </c>
      <c r="AJ47" s="232" t="str">
        <f>IF(Table4[[#This Row],[FN, s]]="-","-",IF(R47&lt;301,1,0))</f>
        <v>-</v>
      </c>
      <c r="AK47" s="233">
        <f>SUM(Table4[[#This Row],[ QI Bran Content]:[QI FN]])</f>
        <v>6</v>
      </c>
      <c r="AL47" s="232">
        <f t="shared" si="6"/>
        <v>6</v>
      </c>
      <c r="AM47" s="232" t="str">
        <f>IF(INDEX(WGmin,MATCH(Table4[[#This Row],[SKU]],FG,0))="-","-",IF(Table4[[#This Row],[Gross Weight]]="-","-",IF(Table4[[#This Row],[Gross Weight]]&lt;INDEX(GWmin,MATCH(Table4[[#This Row],[SKU]],FG,0)),0,IF(Table4[[#This Row],[Gross Weight]]&gt;INDEX(GWmax,MATCH(Table4[[#This Row],[SKU]],FG,0)),0,1))))</f>
        <v>-</v>
      </c>
      <c r="AN47" s="232">
        <f>IF(Table4[[#This Row],[Sealing Integrity]]="-","-",IF(Table4[[#This Row],[Sealing Integrity]]="P",1,0))</f>
        <v>1</v>
      </c>
      <c r="AO47" s="232">
        <f>IF(Table4[[#This Row],[Coding]]="-","-",IF(Table4[[#This Row],[Coding]]="P",1,0))</f>
        <v>1</v>
      </c>
      <c r="AP47" s="233">
        <f>SUM(Table4[[#This Row],[QI Weight]:[QI Code]])</f>
        <v>2</v>
      </c>
      <c r="AQ47" s="233">
        <f>COUNT(Table4[[#This Row],[QI Weight]:[QI Code]])</f>
        <v>2</v>
      </c>
      <c r="AR47" s="261">
        <f>Table4[[#This Row],[TA]]+Table4[[#This Row],[TA2]]</f>
        <v>8</v>
      </c>
      <c r="AS47" s="261">
        <f>Table4[[#This Row],[TP]]+Table4[[#This Row],[TP2]]</f>
        <v>8</v>
      </c>
      <c r="BD47" s="265">
        <f>IF(INDEX(MCmin,MATCH(Table4[[#This Row],[SKU]],FG,0))="-","-",IF(Table4[[#This Row],[%MC]]="-","-",IF(Table4[[#This Row],[%MC]]&lt;INDEX(MCmin,MATCH(Table4[[#This Row],[SKU]],FG,0)),1,0)))</f>
        <v>0</v>
      </c>
      <c r="BE47" s="265">
        <f>IF(INDEX(MCmin,MATCH(Table4[[#This Row],[SKU]],FG,0))="-","-",IF(Table4[[#This Row],[%MC]]="-","-",IF(Table4[[#This Row],[%MC]]&gt;INDEX(MCmax,MATCH(Table4[[#This Row],[SKU]],FG,0)),1,0)))</f>
        <v>0</v>
      </c>
      <c r="BF47" s="231" t="str">
        <f>IF(INDEX(Ashmin,MATCH(Table4[[#This Row],[SKU]],FG,0))="-","-",IF(Table4[[#This Row],[%Ash]]="-","-",IF(Table4[[#This Row],[%Ash]]&lt;INDEX(Ashmin,MATCH(Table4[[#This Row],[SKU]],FG,0)),1,0)))</f>
        <v>-</v>
      </c>
      <c r="BG47" s="231" t="str">
        <f>IF(INDEX(Ashmin,MATCH(Table4[[#This Row],[SKU]],FG,0))="-","-",IF(Table4[[#This Row],[%Ash]]="-","-",IF(Table4[[#This Row],[%Ash]]&gt;INDEX(Ashmax,MATCH(Table4[[#This Row],[SKU]],FG,0)),1,0)))</f>
        <v>-</v>
      </c>
      <c r="BH47" s="231" t="str">
        <f>IF(INDEX(Absmin,MATCH(Table4[[#This Row],[SKU]],FG,0))="-","-",IF(Table4[[#This Row],[%Absorption]]="-","-",IF(Table4[[#This Row],[%Absorption]]&lt;INDEX(Absmin,MATCH(Table4[[#This Row],[SKU]],FG,0)),1,0)))</f>
        <v>-</v>
      </c>
      <c r="BI47" s="231" t="str">
        <f>IF(INDEX(Absmin,MATCH(Table4[[#This Row],[SKU]],FG,0))="-","-",IF(Table4[[#This Row],[%Absorption]]="-","-",IF(Table4[[#This Row],[%Absorption]]&gt;INDEX(Absmax,MATCH(Table4[[#This Row],[SKU]],FG,0)),1,0)))</f>
        <v>-</v>
      </c>
      <c r="BJ47" s="231" t="str">
        <f>IF(INDEX(WGmin,MATCH(Table4[[#This Row],[SKU]],FG,0))="-","-",IF(Table4[[#This Row],[%Wet Gluten]]="-","-",IF(Table4[[#This Row],[%Wet Gluten]]&lt;INDEX(WGmin,MATCH(Table4[[#This Row],[SKU]],FG,0)),1,0)))</f>
        <v>-</v>
      </c>
      <c r="BK47" s="231" t="str">
        <f>IF(INDEX(WGmin,MATCH(Table4[[#This Row],[SKU]],FG,0))="-","-",IF(Table4[[#This Row],[%Wet Gluten]]="-","-",IF(Table4[[#This Row],[%Wet Gluten]]&gt;INDEX(WGmax,MATCH(Table4[[#This Row],[SKU]],FG,0)),1,0)))</f>
        <v>-</v>
      </c>
    </row>
    <row r="48" spans="1:63" x14ac:dyDescent="0.35">
      <c r="A48" s="243">
        <v>46023</v>
      </c>
      <c r="B48" s="244">
        <v>46025</v>
      </c>
      <c r="C48" s="244">
        <v>46371</v>
      </c>
      <c r="D48" s="244" t="s">
        <v>128</v>
      </c>
      <c r="E48" s="245">
        <v>0.874999999999999</v>
      </c>
      <c r="F48" s="246">
        <v>3</v>
      </c>
      <c r="G48" s="259" t="s">
        <v>119</v>
      </c>
      <c r="H48" s="247">
        <v>8.2000000000000007E-3</v>
      </c>
      <c r="I48" s="248" t="s">
        <v>165</v>
      </c>
      <c r="J48" s="248" t="s">
        <v>165</v>
      </c>
      <c r="K48" s="248" t="s">
        <v>165</v>
      </c>
      <c r="L48" s="248" t="s">
        <v>161</v>
      </c>
      <c r="M48" s="248" t="s">
        <v>161</v>
      </c>
      <c r="N48" s="249">
        <v>12.61</v>
      </c>
      <c r="O48" s="249" t="s">
        <v>163</v>
      </c>
      <c r="P48" s="249" t="s">
        <v>163</v>
      </c>
      <c r="Q48" s="249" t="s">
        <v>163</v>
      </c>
      <c r="R48" s="249" t="s">
        <v>163</v>
      </c>
      <c r="S48" s="250" t="s">
        <v>163</v>
      </c>
      <c r="T48" s="249" t="s">
        <v>163</v>
      </c>
      <c r="U48" s="249" t="s">
        <v>163</v>
      </c>
      <c r="V48" s="251" t="s">
        <v>163</v>
      </c>
      <c r="W48" s="252" t="s">
        <v>165</v>
      </c>
      <c r="X48" s="252" t="s">
        <v>165</v>
      </c>
      <c r="Y48" s="248" t="s">
        <v>163</v>
      </c>
      <c r="Z48" s="231">
        <f>IF(Table4[[#This Row],[ Bran Content]]="-","-",IF(H48&gt;0.02,0,2))</f>
        <v>2</v>
      </c>
      <c r="AA48" s="231">
        <f>IF(Table4[[#This Row],[Sieve Test]]="-","-",IF(Table4[[#This Row],[Sieve Test]]="P",1,0))</f>
        <v>1</v>
      </c>
      <c r="AB48" s="231">
        <f>IF(Table4[[#This Row],[Odor]]="-","-",IF(Table4[[#This Row],[Odor]]="P",2,0))</f>
        <v>2</v>
      </c>
      <c r="AC48" s="231">
        <f>IF(INDEX(MCmin,MATCH(Table4[[#This Row],[SKU]],FG,0))="-","-",IF(Table4[[#This Row],[%MC]]="-","-",IF(Table4[[#This Row],[%MC]]&lt;INDEX(MCmin,MATCH(Table4[[#This Row],[SKU]],FG,0)),0,IF(Table4[[#This Row],[%MC]]&gt;INDEX(MCmax,MATCH(Table4[[#This Row],[SKU]],FG,0)),0,1))))</f>
        <v>1</v>
      </c>
      <c r="AD48" s="231" t="str">
        <f>IF(INDEX(Protmin,MATCH(Table4[[#This Row],[SKU]],FG,0))="-","-",IF(Table4[[#This Row],[%Protein]]="-","-",IF(Table4[[#This Row],[%Protein]]&lt;INDEX(Protmin,MATCH(Table4[[#This Row],[SKU]],FG,0)),0,IF(Table4[[#This Row],[%Protein]]&gt;INDEX(Protmax,MATCH(Table4[[#This Row],[SKU]],FG,0)),0,1))))</f>
        <v>-</v>
      </c>
      <c r="AE48" s="231" t="str">
        <f>IF(INDEX(Ashmin,MATCH(Table4[[#This Row],[SKU]],FG,0))="-","-",IF(Table4[[#This Row],[%Ash]]="-","-",IF(Table4[[#This Row],[%Ash]]&lt;INDEX(Ashmin,MATCH(Table4[[#This Row],[SKU]],FG,0)),0,IF(Table4[[#This Row],[%Ash]]&gt;INDEX(Ashmax,MATCH(Table4[[#This Row],[SKU]],FG,0)),0,2))))</f>
        <v>-</v>
      </c>
      <c r="AF48" s="231" t="str">
        <f>IF(INDEX(Absmin,MATCH(Table4[[#This Row],[SKU]],FG,0))="-","-",IF(Table4[[#This Row],[%Absorption]]="-","-",IF(Table4[[#This Row],[%Absorption]]&lt;INDEX(Absmin,MATCH(Table4[[#This Row],[SKU]],FG,0)),0,IF(Table4[[#This Row],[%Absorption]]&gt;INDEX(Absmax,MATCH(Table4[[#This Row],[SKU]],FG,0)),0,2))))</f>
        <v>-</v>
      </c>
      <c r="AG48" s="231" t="str">
        <f>IF(INDEX(Extmin,MATCH(Table4[[#This Row],[SKU]],FG,0))="-","-",IF(Table4[[#This Row],[%Extensibility]]="-","-",IF(Table4[[#This Row],[%Extensibility]]&lt;INDEX(Extmin,MATCH(Table4[[#This Row],[SKU]],FG,0)),0,IF(Table4[[#This Row],[%Extensibility]]&gt;INDEX(Extmax,MATCH(Table4[[#This Row],[SKU]],FG,0)),0,1))))</f>
        <v>-</v>
      </c>
      <c r="AH48" s="231" t="str">
        <f>IF(INDEX(Resmin,MATCH(Table4[[#This Row],[SKU]],FG,0))="-","-",IF(Table4[[#This Row],[Resistance, max]]="-","-",IF(Table4[[#This Row],[Resistance, max]]&lt;INDEX(Resmin,MATCH(Table4[[#This Row],[SKU]],FG,0)),0,IF(Table4[[#This Row],[Resistance, max]]&gt;INDEX(Resmax,MATCH(Table4[[#This Row],[SKU]],FG,0)),0,1))))</f>
        <v>-</v>
      </c>
      <c r="AI48" s="231" t="str">
        <f>IF(INDEX(WGmin,MATCH(Table4[[#This Row],[SKU]],FG,0))="-","-",IF(Table4[[#This Row],[%Wet Gluten]]="-","-",IF(Table4[[#This Row],[%Wet Gluten]]&lt;INDEX(WGmin,MATCH(Table4[[#This Row],[SKU]],FG,0)),0,IF(Table4[[#This Row],[%Wet Gluten]]&gt;INDEX(WGmax,MATCH(Table4[[#This Row],[SKU]],FG,0)),0,2))))</f>
        <v>-</v>
      </c>
      <c r="AJ48" s="232" t="str">
        <f>IF(Table4[[#This Row],[FN, s]]="-","-",IF(R48&lt;301,1,0))</f>
        <v>-</v>
      </c>
      <c r="AK48" s="233">
        <f>SUM(Table4[[#This Row],[ QI Bran Content]:[QI FN]])</f>
        <v>6</v>
      </c>
      <c r="AL48" s="232">
        <f t="shared" si="6"/>
        <v>6</v>
      </c>
      <c r="AM48" s="232" t="str">
        <f>IF(INDEX(WGmin,MATCH(Table4[[#This Row],[SKU]],FG,0))="-","-",IF(Table4[[#This Row],[Gross Weight]]="-","-",IF(Table4[[#This Row],[Gross Weight]]&lt;INDEX(GWmin,MATCH(Table4[[#This Row],[SKU]],FG,0)),0,IF(Table4[[#This Row],[Gross Weight]]&gt;INDEX(GWmax,MATCH(Table4[[#This Row],[SKU]],FG,0)),0,1))))</f>
        <v>-</v>
      </c>
      <c r="AN48" s="232">
        <f>IF(Table4[[#This Row],[Sealing Integrity]]="-","-",IF(Table4[[#This Row],[Sealing Integrity]]="P",1,0))</f>
        <v>1</v>
      </c>
      <c r="AO48" s="232">
        <f>IF(Table4[[#This Row],[Coding]]="-","-",IF(Table4[[#This Row],[Coding]]="P",1,0))</f>
        <v>1</v>
      </c>
      <c r="AP48" s="233">
        <f>SUM(Table4[[#This Row],[QI Weight]:[QI Code]])</f>
        <v>2</v>
      </c>
      <c r="AQ48" s="233">
        <f>COUNT(Table4[[#This Row],[QI Weight]:[QI Code]])</f>
        <v>2</v>
      </c>
      <c r="AR48" s="261">
        <f>Table4[[#This Row],[TA]]+Table4[[#This Row],[TA2]]</f>
        <v>8</v>
      </c>
      <c r="AS48" s="261">
        <f>Table4[[#This Row],[TP]]+Table4[[#This Row],[TP2]]</f>
        <v>8</v>
      </c>
      <c r="BD48" s="265">
        <f>IF(INDEX(MCmin,MATCH(Table4[[#This Row],[SKU]],FG,0))="-","-",IF(Table4[[#This Row],[%MC]]="-","-",IF(Table4[[#This Row],[%MC]]&lt;INDEX(MCmin,MATCH(Table4[[#This Row],[SKU]],FG,0)),1,0)))</f>
        <v>0</v>
      </c>
      <c r="BE48" s="265">
        <f>IF(INDEX(MCmin,MATCH(Table4[[#This Row],[SKU]],FG,0))="-","-",IF(Table4[[#This Row],[%MC]]="-","-",IF(Table4[[#This Row],[%MC]]&gt;INDEX(MCmax,MATCH(Table4[[#This Row],[SKU]],FG,0)),1,0)))</f>
        <v>0</v>
      </c>
      <c r="BF48" s="231" t="str">
        <f>IF(INDEX(Ashmin,MATCH(Table4[[#This Row],[SKU]],FG,0))="-","-",IF(Table4[[#This Row],[%Ash]]="-","-",IF(Table4[[#This Row],[%Ash]]&lt;INDEX(Ashmin,MATCH(Table4[[#This Row],[SKU]],FG,0)),1,0)))</f>
        <v>-</v>
      </c>
      <c r="BG48" s="231" t="str">
        <f>IF(INDEX(Ashmin,MATCH(Table4[[#This Row],[SKU]],FG,0))="-","-",IF(Table4[[#This Row],[%Ash]]="-","-",IF(Table4[[#This Row],[%Ash]]&gt;INDEX(Ashmax,MATCH(Table4[[#This Row],[SKU]],FG,0)),1,0)))</f>
        <v>-</v>
      </c>
      <c r="BH48" s="231" t="str">
        <f>IF(INDEX(Absmin,MATCH(Table4[[#This Row],[SKU]],FG,0))="-","-",IF(Table4[[#This Row],[%Absorption]]="-","-",IF(Table4[[#This Row],[%Absorption]]&lt;INDEX(Absmin,MATCH(Table4[[#This Row],[SKU]],FG,0)),1,0)))</f>
        <v>-</v>
      </c>
      <c r="BI48" s="231" t="str">
        <f>IF(INDEX(Absmin,MATCH(Table4[[#This Row],[SKU]],FG,0))="-","-",IF(Table4[[#This Row],[%Absorption]]="-","-",IF(Table4[[#This Row],[%Absorption]]&gt;INDEX(Absmax,MATCH(Table4[[#This Row],[SKU]],FG,0)),1,0)))</f>
        <v>-</v>
      </c>
      <c r="BJ48" s="231" t="str">
        <f>IF(INDEX(WGmin,MATCH(Table4[[#This Row],[SKU]],FG,0))="-","-",IF(Table4[[#This Row],[%Wet Gluten]]="-","-",IF(Table4[[#This Row],[%Wet Gluten]]&lt;INDEX(WGmin,MATCH(Table4[[#This Row],[SKU]],FG,0)),1,0)))</f>
        <v>-</v>
      </c>
      <c r="BK48" s="231" t="str">
        <f>IF(INDEX(WGmin,MATCH(Table4[[#This Row],[SKU]],FG,0))="-","-",IF(Table4[[#This Row],[%Wet Gluten]]="-","-",IF(Table4[[#This Row],[%Wet Gluten]]&gt;INDEX(WGmax,MATCH(Table4[[#This Row],[SKU]],FG,0)),1,0)))</f>
        <v>-</v>
      </c>
    </row>
    <row r="49" spans="1:63" x14ac:dyDescent="0.35">
      <c r="A49" s="243">
        <v>46023</v>
      </c>
      <c r="B49" s="244">
        <v>46025</v>
      </c>
      <c r="C49" s="244">
        <v>46006</v>
      </c>
      <c r="D49" s="244" t="s">
        <v>130</v>
      </c>
      <c r="E49" s="245">
        <v>0.91666666666666663</v>
      </c>
      <c r="F49" s="246">
        <v>3</v>
      </c>
      <c r="G49" s="259" t="s">
        <v>119</v>
      </c>
      <c r="H49" s="247">
        <v>8.3000000000000001E-3</v>
      </c>
      <c r="I49" s="248" t="s">
        <v>165</v>
      </c>
      <c r="J49" s="248" t="s">
        <v>165</v>
      </c>
      <c r="K49" s="248" t="s">
        <v>165</v>
      </c>
      <c r="L49" s="248" t="s">
        <v>161</v>
      </c>
      <c r="M49" s="248" t="s">
        <v>161</v>
      </c>
      <c r="N49" s="249">
        <v>12.68</v>
      </c>
      <c r="O49" s="249">
        <v>12.4</v>
      </c>
      <c r="P49" s="249">
        <v>0.49</v>
      </c>
      <c r="Q49" s="249" t="s">
        <v>163</v>
      </c>
      <c r="R49" s="249" t="s">
        <v>163</v>
      </c>
      <c r="S49" s="250" t="s">
        <v>163</v>
      </c>
      <c r="T49" s="249">
        <v>36</v>
      </c>
      <c r="U49" s="249" t="s">
        <v>163</v>
      </c>
      <c r="V49" s="251" t="s">
        <v>163</v>
      </c>
      <c r="W49" s="252" t="s">
        <v>165</v>
      </c>
      <c r="X49" s="252" t="s">
        <v>165</v>
      </c>
      <c r="Y49" s="248" t="s">
        <v>163</v>
      </c>
      <c r="Z49" s="231">
        <f>IF(Table4[[#This Row],[ Bran Content]]="-","-",IF(H49&gt;0.02,0,2))</f>
        <v>2</v>
      </c>
      <c r="AA49" s="231">
        <f>IF(Table4[[#This Row],[Sieve Test]]="-","-",IF(Table4[[#This Row],[Sieve Test]]="P",1,0))</f>
        <v>1</v>
      </c>
      <c r="AB49" s="231">
        <f>IF(Table4[[#This Row],[Odor]]="-","-",IF(Table4[[#This Row],[Odor]]="P",2,0))</f>
        <v>2</v>
      </c>
      <c r="AC49" s="231">
        <f>IF(INDEX(MCmin,MATCH(Table4[[#This Row],[SKU]],FG,0))="-","-",IF(Table4[[#This Row],[%MC]]="-","-",IF(Table4[[#This Row],[%MC]]&lt;INDEX(MCmin,MATCH(Table4[[#This Row],[SKU]],FG,0)),0,IF(Table4[[#This Row],[%MC]]&gt;INDEX(MCmax,MATCH(Table4[[#This Row],[SKU]],FG,0)),0,1))))</f>
        <v>1</v>
      </c>
      <c r="AD49" s="231">
        <f>IF(INDEX(Protmin,MATCH(Table4[[#This Row],[SKU]],FG,0))="-","-",IF(Table4[[#This Row],[%Protein]]="-","-",IF(Table4[[#This Row],[%Protein]]&lt;INDEX(Protmin,MATCH(Table4[[#This Row],[SKU]],FG,0)),0,IF(Table4[[#This Row],[%Protein]]&gt;INDEX(Protmax,MATCH(Table4[[#This Row],[SKU]],FG,0)),0,1))))</f>
        <v>1</v>
      </c>
      <c r="AE49" s="231">
        <f>IF(INDEX(Ashmin,MATCH(Table4[[#This Row],[SKU]],FG,0))="-","-",IF(Table4[[#This Row],[%Ash]]="-","-",IF(Table4[[#This Row],[%Ash]]&lt;INDEX(Ashmin,MATCH(Table4[[#This Row],[SKU]],FG,0)),0,IF(Table4[[#This Row],[%Ash]]&gt;INDEX(Ashmax,MATCH(Table4[[#This Row],[SKU]],FG,0)),0,2))))</f>
        <v>2</v>
      </c>
      <c r="AF49" s="231" t="str">
        <f>IF(INDEX(Absmin,MATCH(Table4[[#This Row],[SKU]],FG,0))="-","-",IF(Table4[[#This Row],[%Absorption]]="-","-",IF(Table4[[#This Row],[%Absorption]]&lt;INDEX(Absmin,MATCH(Table4[[#This Row],[SKU]],FG,0)),0,IF(Table4[[#This Row],[%Absorption]]&gt;INDEX(Absmax,MATCH(Table4[[#This Row],[SKU]],FG,0)),0,2))))</f>
        <v>-</v>
      </c>
      <c r="AG49" s="231" t="str">
        <f>IF(INDEX(Extmin,MATCH(Table4[[#This Row],[SKU]],FG,0))="-","-",IF(Table4[[#This Row],[%Extensibility]]="-","-",IF(Table4[[#This Row],[%Extensibility]]&lt;INDEX(Extmin,MATCH(Table4[[#This Row],[SKU]],FG,0)),0,IF(Table4[[#This Row],[%Extensibility]]&gt;INDEX(Extmax,MATCH(Table4[[#This Row],[SKU]],FG,0)),0,1))))</f>
        <v>-</v>
      </c>
      <c r="AH49" s="231" t="str">
        <f>IF(INDEX(Resmin,MATCH(Table4[[#This Row],[SKU]],FG,0))="-","-",IF(Table4[[#This Row],[Resistance, max]]="-","-",IF(Table4[[#This Row],[Resistance, max]]&lt;INDEX(Resmin,MATCH(Table4[[#This Row],[SKU]],FG,0)),0,IF(Table4[[#This Row],[Resistance, max]]&gt;INDEX(Resmax,MATCH(Table4[[#This Row],[SKU]],FG,0)),0,1))))</f>
        <v>-</v>
      </c>
      <c r="AI49" s="231">
        <f>IF(INDEX(WGmin,MATCH(Table4[[#This Row],[SKU]],FG,0))="-","-",IF(Table4[[#This Row],[%Wet Gluten]]="-","-",IF(Table4[[#This Row],[%Wet Gluten]]&lt;INDEX(WGmin,MATCH(Table4[[#This Row],[SKU]],FG,0)),0,IF(Table4[[#This Row],[%Wet Gluten]]&gt;INDEX(WGmax,MATCH(Table4[[#This Row],[SKU]],FG,0)),0,2))))</f>
        <v>2</v>
      </c>
      <c r="AJ49" s="232" t="str">
        <f>IF(Table4[[#This Row],[FN, s]]="-","-",IF(R49&lt;301,1,0))</f>
        <v>-</v>
      </c>
      <c r="AK49" s="233">
        <f>SUM(Table4[[#This Row],[ QI Bran Content]:[QI FN]])</f>
        <v>11</v>
      </c>
      <c r="AL49" s="232">
        <f t="shared" si="6"/>
        <v>11</v>
      </c>
      <c r="AM49" s="232" t="str">
        <f>IF(INDEX(WGmin,MATCH(Table4[[#This Row],[SKU]],FG,0))="-","-",IF(Table4[[#This Row],[Gross Weight]]="-","-",IF(Table4[[#This Row],[Gross Weight]]&lt;INDEX(GWmin,MATCH(Table4[[#This Row],[SKU]],FG,0)),0,IF(Table4[[#This Row],[Gross Weight]]&gt;INDEX(GWmax,MATCH(Table4[[#This Row],[SKU]],FG,0)),0,1))))</f>
        <v>-</v>
      </c>
      <c r="AN49" s="232">
        <f>IF(Table4[[#This Row],[Sealing Integrity]]="-","-",IF(Table4[[#This Row],[Sealing Integrity]]="P",1,0))</f>
        <v>1</v>
      </c>
      <c r="AO49" s="232">
        <f>IF(Table4[[#This Row],[Coding]]="-","-",IF(Table4[[#This Row],[Coding]]="P",1,0))</f>
        <v>1</v>
      </c>
      <c r="AP49" s="233">
        <f>SUM(Table4[[#This Row],[QI Weight]:[QI Code]])</f>
        <v>2</v>
      </c>
      <c r="AQ49" s="233">
        <f>COUNT(Table4[[#This Row],[QI Weight]:[QI Code]])</f>
        <v>2</v>
      </c>
      <c r="AR49" s="261">
        <f>Table4[[#This Row],[TA]]+Table4[[#This Row],[TA2]]</f>
        <v>13</v>
      </c>
      <c r="AS49" s="261">
        <f>Table4[[#This Row],[TP]]+Table4[[#This Row],[TP2]]</f>
        <v>13</v>
      </c>
      <c r="BD49" s="265">
        <f>IF(INDEX(MCmin,MATCH(Table4[[#This Row],[SKU]],FG,0))="-","-",IF(Table4[[#This Row],[%MC]]="-","-",IF(Table4[[#This Row],[%MC]]&lt;INDEX(MCmin,MATCH(Table4[[#This Row],[SKU]],FG,0)),1,0)))</f>
        <v>0</v>
      </c>
      <c r="BE49" s="265">
        <f>IF(INDEX(MCmin,MATCH(Table4[[#This Row],[SKU]],FG,0))="-","-",IF(Table4[[#This Row],[%MC]]="-","-",IF(Table4[[#This Row],[%MC]]&gt;INDEX(MCmax,MATCH(Table4[[#This Row],[SKU]],FG,0)),1,0)))</f>
        <v>0</v>
      </c>
      <c r="BF49" s="231">
        <f>IF(INDEX(Ashmin,MATCH(Table4[[#This Row],[SKU]],FG,0))="-","-",IF(Table4[[#This Row],[%Ash]]="-","-",IF(Table4[[#This Row],[%Ash]]&lt;INDEX(Ashmin,MATCH(Table4[[#This Row],[SKU]],FG,0)),1,0)))</f>
        <v>0</v>
      </c>
      <c r="BG49" s="231">
        <f>IF(INDEX(Ashmin,MATCH(Table4[[#This Row],[SKU]],FG,0))="-","-",IF(Table4[[#This Row],[%Ash]]="-","-",IF(Table4[[#This Row],[%Ash]]&gt;INDEX(Ashmax,MATCH(Table4[[#This Row],[SKU]],FG,0)),1,0)))</f>
        <v>0</v>
      </c>
      <c r="BH49" s="231" t="str">
        <f>IF(INDEX(Absmin,MATCH(Table4[[#This Row],[SKU]],FG,0))="-","-",IF(Table4[[#This Row],[%Absorption]]="-","-",IF(Table4[[#This Row],[%Absorption]]&lt;INDEX(Absmin,MATCH(Table4[[#This Row],[SKU]],FG,0)),1,0)))</f>
        <v>-</v>
      </c>
      <c r="BI49" s="231" t="str">
        <f>IF(INDEX(Absmin,MATCH(Table4[[#This Row],[SKU]],FG,0))="-","-",IF(Table4[[#This Row],[%Absorption]]="-","-",IF(Table4[[#This Row],[%Absorption]]&gt;INDEX(Absmax,MATCH(Table4[[#This Row],[SKU]],FG,0)),1,0)))</f>
        <v>-</v>
      </c>
      <c r="BJ49" s="231">
        <f>IF(INDEX(WGmin,MATCH(Table4[[#This Row],[SKU]],FG,0))="-","-",IF(Table4[[#This Row],[%Wet Gluten]]="-","-",IF(Table4[[#This Row],[%Wet Gluten]]&lt;INDEX(WGmin,MATCH(Table4[[#This Row],[SKU]],FG,0)),1,0)))</f>
        <v>0</v>
      </c>
      <c r="BK49" s="231">
        <f>IF(INDEX(WGmin,MATCH(Table4[[#This Row],[SKU]],FG,0))="-","-",IF(Table4[[#This Row],[%Wet Gluten]]="-","-",IF(Table4[[#This Row],[%Wet Gluten]]&gt;INDEX(WGmax,MATCH(Table4[[#This Row],[SKU]],FG,0)),1,0)))</f>
        <v>0</v>
      </c>
    </row>
    <row r="50" spans="1:63" x14ac:dyDescent="0.35">
      <c r="A50" s="243">
        <v>46023</v>
      </c>
      <c r="B50" s="244">
        <v>46025</v>
      </c>
      <c r="C50" s="244">
        <v>46006</v>
      </c>
      <c r="D50" s="244" t="s">
        <v>130</v>
      </c>
      <c r="E50" s="245">
        <v>0.95833333333333337</v>
      </c>
      <c r="F50" s="246">
        <v>3</v>
      </c>
      <c r="G50" s="259" t="s">
        <v>119</v>
      </c>
      <c r="H50" s="247">
        <v>7.0000000000000001E-3</v>
      </c>
      <c r="I50" s="248" t="s">
        <v>165</v>
      </c>
      <c r="J50" s="248" t="s">
        <v>165</v>
      </c>
      <c r="K50" s="248" t="s">
        <v>165</v>
      </c>
      <c r="L50" s="248" t="s">
        <v>161</v>
      </c>
      <c r="M50" s="248" t="s">
        <v>161</v>
      </c>
      <c r="N50" s="249">
        <v>12.9</v>
      </c>
      <c r="O50" s="249" t="s">
        <v>163</v>
      </c>
      <c r="P50" s="249" t="s">
        <v>163</v>
      </c>
      <c r="Q50" s="249" t="s">
        <v>163</v>
      </c>
      <c r="R50" s="249" t="s">
        <v>163</v>
      </c>
      <c r="S50" s="250" t="s">
        <v>163</v>
      </c>
      <c r="T50" s="249" t="s">
        <v>163</v>
      </c>
      <c r="U50" s="249" t="s">
        <v>163</v>
      </c>
      <c r="V50" s="251" t="s">
        <v>163</v>
      </c>
      <c r="W50" s="252" t="s">
        <v>165</v>
      </c>
      <c r="X50" s="252" t="s">
        <v>165</v>
      </c>
      <c r="Y50" s="248" t="s">
        <v>163</v>
      </c>
      <c r="Z50" s="231">
        <f>IF(Table4[[#This Row],[ Bran Content]]="-","-",IF(H50&gt;0.02,0,2))</f>
        <v>2</v>
      </c>
      <c r="AA50" s="231">
        <f>IF(Table4[[#This Row],[Sieve Test]]="-","-",IF(Table4[[#This Row],[Sieve Test]]="P",1,0))</f>
        <v>1</v>
      </c>
      <c r="AB50" s="231">
        <f>IF(Table4[[#This Row],[Odor]]="-","-",IF(Table4[[#This Row],[Odor]]="P",2,0))</f>
        <v>2</v>
      </c>
      <c r="AC50" s="231">
        <f>IF(INDEX(MCmin,MATCH(Table4[[#This Row],[SKU]],FG,0))="-","-",IF(Table4[[#This Row],[%MC]]="-","-",IF(Table4[[#This Row],[%MC]]&lt;INDEX(MCmin,MATCH(Table4[[#This Row],[SKU]],FG,0)),0,IF(Table4[[#This Row],[%MC]]&gt;INDEX(MCmax,MATCH(Table4[[#This Row],[SKU]],FG,0)),0,1))))</f>
        <v>1</v>
      </c>
      <c r="AD50" s="231" t="str">
        <f>IF(INDEX(Protmin,MATCH(Table4[[#This Row],[SKU]],FG,0))="-","-",IF(Table4[[#This Row],[%Protein]]="-","-",IF(Table4[[#This Row],[%Protein]]&lt;INDEX(Protmin,MATCH(Table4[[#This Row],[SKU]],FG,0)),0,IF(Table4[[#This Row],[%Protein]]&gt;INDEX(Protmax,MATCH(Table4[[#This Row],[SKU]],FG,0)),0,1))))</f>
        <v>-</v>
      </c>
      <c r="AE50" s="231" t="str">
        <f>IF(INDEX(Ashmin,MATCH(Table4[[#This Row],[SKU]],FG,0))="-","-",IF(Table4[[#This Row],[%Ash]]="-","-",IF(Table4[[#This Row],[%Ash]]&lt;INDEX(Ashmin,MATCH(Table4[[#This Row],[SKU]],FG,0)),0,IF(Table4[[#This Row],[%Ash]]&gt;INDEX(Ashmax,MATCH(Table4[[#This Row],[SKU]],FG,0)),0,2))))</f>
        <v>-</v>
      </c>
      <c r="AF50" s="231" t="str">
        <f>IF(INDEX(Absmin,MATCH(Table4[[#This Row],[SKU]],FG,0))="-","-",IF(Table4[[#This Row],[%Absorption]]="-","-",IF(Table4[[#This Row],[%Absorption]]&lt;INDEX(Absmin,MATCH(Table4[[#This Row],[SKU]],FG,0)),0,IF(Table4[[#This Row],[%Absorption]]&gt;INDEX(Absmax,MATCH(Table4[[#This Row],[SKU]],FG,0)),0,2))))</f>
        <v>-</v>
      </c>
      <c r="AG50" s="231" t="str">
        <f>IF(INDEX(Extmin,MATCH(Table4[[#This Row],[SKU]],FG,0))="-","-",IF(Table4[[#This Row],[%Extensibility]]="-","-",IF(Table4[[#This Row],[%Extensibility]]&lt;INDEX(Extmin,MATCH(Table4[[#This Row],[SKU]],FG,0)),0,IF(Table4[[#This Row],[%Extensibility]]&gt;INDEX(Extmax,MATCH(Table4[[#This Row],[SKU]],FG,0)),0,1))))</f>
        <v>-</v>
      </c>
      <c r="AH50" s="231" t="str">
        <f>IF(INDEX(Resmin,MATCH(Table4[[#This Row],[SKU]],FG,0))="-","-",IF(Table4[[#This Row],[Resistance, max]]="-","-",IF(Table4[[#This Row],[Resistance, max]]&lt;INDEX(Resmin,MATCH(Table4[[#This Row],[SKU]],FG,0)),0,IF(Table4[[#This Row],[Resistance, max]]&gt;INDEX(Resmax,MATCH(Table4[[#This Row],[SKU]],FG,0)),0,1))))</f>
        <v>-</v>
      </c>
      <c r="AI50" s="231" t="str">
        <f>IF(INDEX(WGmin,MATCH(Table4[[#This Row],[SKU]],FG,0))="-","-",IF(Table4[[#This Row],[%Wet Gluten]]="-","-",IF(Table4[[#This Row],[%Wet Gluten]]&lt;INDEX(WGmin,MATCH(Table4[[#This Row],[SKU]],FG,0)),0,IF(Table4[[#This Row],[%Wet Gluten]]&gt;INDEX(WGmax,MATCH(Table4[[#This Row],[SKU]],FG,0)),0,2))))</f>
        <v>-</v>
      </c>
      <c r="AJ50" s="232" t="str">
        <f>IF(Table4[[#This Row],[FN, s]]="-","-",IF(R50&lt;301,1,0))</f>
        <v>-</v>
      </c>
      <c r="AK50" s="233">
        <f>SUM(Table4[[#This Row],[ QI Bran Content]:[QI FN]])</f>
        <v>6</v>
      </c>
      <c r="AL50" s="232">
        <f t="shared" si="6"/>
        <v>6</v>
      </c>
      <c r="AM50" s="232" t="str">
        <f>IF(INDEX(WGmin,MATCH(Table4[[#This Row],[SKU]],FG,0))="-","-",IF(Table4[[#This Row],[Gross Weight]]="-","-",IF(Table4[[#This Row],[Gross Weight]]&lt;INDEX(GWmin,MATCH(Table4[[#This Row],[SKU]],FG,0)),0,IF(Table4[[#This Row],[Gross Weight]]&gt;INDEX(GWmax,MATCH(Table4[[#This Row],[SKU]],FG,0)),0,1))))</f>
        <v>-</v>
      </c>
      <c r="AN50" s="232">
        <f>IF(Table4[[#This Row],[Sealing Integrity]]="-","-",IF(Table4[[#This Row],[Sealing Integrity]]="P",1,0))</f>
        <v>1</v>
      </c>
      <c r="AO50" s="232">
        <f>IF(Table4[[#This Row],[Coding]]="-","-",IF(Table4[[#This Row],[Coding]]="P",1,0))</f>
        <v>1</v>
      </c>
      <c r="AP50" s="233">
        <f>SUM(Table4[[#This Row],[QI Weight]:[QI Code]])</f>
        <v>2</v>
      </c>
      <c r="AQ50" s="233">
        <f>COUNT(Table4[[#This Row],[QI Weight]:[QI Code]])</f>
        <v>2</v>
      </c>
      <c r="AR50" s="261">
        <f>Table4[[#This Row],[TA]]+Table4[[#This Row],[TA2]]</f>
        <v>8</v>
      </c>
      <c r="AS50" s="261">
        <f>Table4[[#This Row],[TP]]+Table4[[#This Row],[TP2]]</f>
        <v>8</v>
      </c>
      <c r="BD50" s="265">
        <f>IF(INDEX(MCmin,MATCH(Table4[[#This Row],[SKU]],FG,0))="-","-",IF(Table4[[#This Row],[%MC]]="-","-",IF(Table4[[#This Row],[%MC]]&lt;INDEX(MCmin,MATCH(Table4[[#This Row],[SKU]],FG,0)),1,0)))</f>
        <v>0</v>
      </c>
      <c r="BE50" s="265">
        <f>IF(INDEX(MCmin,MATCH(Table4[[#This Row],[SKU]],FG,0))="-","-",IF(Table4[[#This Row],[%MC]]="-","-",IF(Table4[[#This Row],[%MC]]&gt;INDEX(MCmax,MATCH(Table4[[#This Row],[SKU]],FG,0)),1,0)))</f>
        <v>0</v>
      </c>
      <c r="BF50" s="231" t="str">
        <f>IF(INDEX(Ashmin,MATCH(Table4[[#This Row],[SKU]],FG,0))="-","-",IF(Table4[[#This Row],[%Ash]]="-","-",IF(Table4[[#This Row],[%Ash]]&lt;INDEX(Ashmin,MATCH(Table4[[#This Row],[SKU]],FG,0)),1,0)))</f>
        <v>-</v>
      </c>
      <c r="BG50" s="231" t="str">
        <f>IF(INDEX(Ashmin,MATCH(Table4[[#This Row],[SKU]],FG,0))="-","-",IF(Table4[[#This Row],[%Ash]]="-","-",IF(Table4[[#This Row],[%Ash]]&gt;INDEX(Ashmax,MATCH(Table4[[#This Row],[SKU]],FG,0)),1,0)))</f>
        <v>-</v>
      </c>
      <c r="BH50" s="231" t="str">
        <f>IF(INDEX(Absmin,MATCH(Table4[[#This Row],[SKU]],FG,0))="-","-",IF(Table4[[#This Row],[%Absorption]]="-","-",IF(Table4[[#This Row],[%Absorption]]&lt;INDEX(Absmin,MATCH(Table4[[#This Row],[SKU]],FG,0)),1,0)))</f>
        <v>-</v>
      </c>
      <c r="BI50" s="231" t="str">
        <f>IF(INDEX(Absmin,MATCH(Table4[[#This Row],[SKU]],FG,0))="-","-",IF(Table4[[#This Row],[%Absorption]]="-","-",IF(Table4[[#This Row],[%Absorption]]&gt;INDEX(Absmax,MATCH(Table4[[#This Row],[SKU]],FG,0)),1,0)))</f>
        <v>-</v>
      </c>
      <c r="BJ50" s="231" t="str">
        <f>IF(INDEX(WGmin,MATCH(Table4[[#This Row],[SKU]],FG,0))="-","-",IF(Table4[[#This Row],[%Wet Gluten]]="-","-",IF(Table4[[#This Row],[%Wet Gluten]]&lt;INDEX(WGmin,MATCH(Table4[[#This Row],[SKU]],FG,0)),1,0)))</f>
        <v>-</v>
      </c>
      <c r="BK50" s="231" t="str">
        <f>IF(INDEX(WGmin,MATCH(Table4[[#This Row],[SKU]],FG,0))="-","-",IF(Table4[[#This Row],[%Wet Gluten]]="-","-",IF(Table4[[#This Row],[%Wet Gluten]]&gt;INDEX(WGmax,MATCH(Table4[[#This Row],[SKU]],FG,0)),1,0)))</f>
        <v>-</v>
      </c>
    </row>
    <row r="51" spans="1:63" x14ac:dyDescent="0.35">
      <c r="A51" s="243">
        <v>46023</v>
      </c>
      <c r="B51" s="244">
        <v>46025</v>
      </c>
      <c r="C51" s="244">
        <v>46001</v>
      </c>
      <c r="D51" s="244" t="s">
        <v>130</v>
      </c>
      <c r="E51" s="245">
        <v>1</v>
      </c>
      <c r="F51" s="246">
        <v>3</v>
      </c>
      <c r="G51" s="259" t="s">
        <v>119</v>
      </c>
      <c r="H51" s="247">
        <v>4.7000000000000002E-3</v>
      </c>
      <c r="I51" s="248" t="s">
        <v>165</v>
      </c>
      <c r="J51" s="248" t="s">
        <v>165</v>
      </c>
      <c r="K51" s="248" t="s">
        <v>165</v>
      </c>
      <c r="L51" s="248" t="s">
        <v>161</v>
      </c>
      <c r="M51" s="248" t="s">
        <v>161</v>
      </c>
      <c r="N51" s="249">
        <v>13.01</v>
      </c>
      <c r="O51" s="249">
        <v>12.61</v>
      </c>
      <c r="P51" s="249">
        <v>0.45</v>
      </c>
      <c r="Q51" s="249" t="s">
        <v>163</v>
      </c>
      <c r="R51" s="249" t="s">
        <v>163</v>
      </c>
      <c r="S51" s="250" t="s">
        <v>163</v>
      </c>
      <c r="T51" s="249">
        <v>35.1</v>
      </c>
      <c r="U51" s="249" t="s">
        <v>163</v>
      </c>
      <c r="V51" s="251" t="s">
        <v>163</v>
      </c>
      <c r="W51" s="252" t="s">
        <v>165</v>
      </c>
      <c r="X51" s="252" t="s">
        <v>165</v>
      </c>
      <c r="Y51" s="248" t="s">
        <v>163</v>
      </c>
      <c r="Z51" s="231">
        <f>IF(Table4[[#This Row],[ Bran Content]]="-","-",IF(H51&gt;0.02,0,2))</f>
        <v>2</v>
      </c>
      <c r="AA51" s="231">
        <f>IF(Table4[[#This Row],[Sieve Test]]="-","-",IF(Table4[[#This Row],[Sieve Test]]="P",1,0))</f>
        <v>1</v>
      </c>
      <c r="AB51" s="231">
        <f>IF(Table4[[#This Row],[Odor]]="-","-",IF(Table4[[#This Row],[Odor]]="P",2,0))</f>
        <v>2</v>
      </c>
      <c r="AC51" s="231">
        <f>IF(INDEX(MCmin,MATCH(Table4[[#This Row],[SKU]],FG,0))="-","-",IF(Table4[[#This Row],[%MC]]="-","-",IF(Table4[[#This Row],[%MC]]&lt;INDEX(MCmin,MATCH(Table4[[#This Row],[SKU]],FG,0)),0,IF(Table4[[#This Row],[%MC]]&gt;INDEX(MCmax,MATCH(Table4[[#This Row],[SKU]],FG,0)),0,1))))</f>
        <v>1</v>
      </c>
      <c r="AD51" s="231">
        <f>IF(INDEX(Protmin,MATCH(Table4[[#This Row],[SKU]],FG,0))="-","-",IF(Table4[[#This Row],[%Protein]]="-","-",IF(Table4[[#This Row],[%Protein]]&lt;INDEX(Protmin,MATCH(Table4[[#This Row],[SKU]],FG,0)),0,IF(Table4[[#This Row],[%Protein]]&gt;INDEX(Protmax,MATCH(Table4[[#This Row],[SKU]],FG,0)),0,1))))</f>
        <v>1</v>
      </c>
      <c r="AE51" s="231">
        <f>IF(INDEX(Ashmin,MATCH(Table4[[#This Row],[SKU]],FG,0))="-","-",IF(Table4[[#This Row],[%Ash]]="-","-",IF(Table4[[#This Row],[%Ash]]&lt;INDEX(Ashmin,MATCH(Table4[[#This Row],[SKU]],FG,0)),0,IF(Table4[[#This Row],[%Ash]]&gt;INDEX(Ashmax,MATCH(Table4[[#This Row],[SKU]],FG,0)),0,2))))</f>
        <v>2</v>
      </c>
      <c r="AF51" s="231" t="str">
        <f>IF(INDEX(Absmin,MATCH(Table4[[#This Row],[SKU]],FG,0))="-","-",IF(Table4[[#This Row],[%Absorption]]="-","-",IF(Table4[[#This Row],[%Absorption]]&lt;INDEX(Absmin,MATCH(Table4[[#This Row],[SKU]],FG,0)),0,IF(Table4[[#This Row],[%Absorption]]&gt;INDEX(Absmax,MATCH(Table4[[#This Row],[SKU]],FG,0)),0,2))))</f>
        <v>-</v>
      </c>
      <c r="AG51" s="231" t="str">
        <f>IF(INDEX(Extmin,MATCH(Table4[[#This Row],[SKU]],FG,0))="-","-",IF(Table4[[#This Row],[%Extensibility]]="-","-",IF(Table4[[#This Row],[%Extensibility]]&lt;INDEX(Extmin,MATCH(Table4[[#This Row],[SKU]],FG,0)),0,IF(Table4[[#This Row],[%Extensibility]]&gt;INDEX(Extmax,MATCH(Table4[[#This Row],[SKU]],FG,0)),0,1))))</f>
        <v>-</v>
      </c>
      <c r="AH51" s="231" t="str">
        <f>IF(INDEX(Resmin,MATCH(Table4[[#This Row],[SKU]],FG,0))="-","-",IF(Table4[[#This Row],[Resistance, max]]="-","-",IF(Table4[[#This Row],[Resistance, max]]&lt;INDEX(Resmin,MATCH(Table4[[#This Row],[SKU]],FG,0)),0,IF(Table4[[#This Row],[Resistance, max]]&gt;INDEX(Resmax,MATCH(Table4[[#This Row],[SKU]],FG,0)),0,1))))</f>
        <v>-</v>
      </c>
      <c r="AI51" s="231">
        <f>IF(INDEX(WGmin,MATCH(Table4[[#This Row],[SKU]],FG,0))="-","-",IF(Table4[[#This Row],[%Wet Gluten]]="-","-",IF(Table4[[#This Row],[%Wet Gluten]]&lt;INDEX(WGmin,MATCH(Table4[[#This Row],[SKU]],FG,0)),0,IF(Table4[[#This Row],[%Wet Gluten]]&gt;INDEX(WGmax,MATCH(Table4[[#This Row],[SKU]],FG,0)),0,2))))</f>
        <v>2</v>
      </c>
      <c r="AJ51" s="232" t="str">
        <f>IF(Table4[[#This Row],[FN, s]]="-","-",IF(R51&lt;301,1,0))</f>
        <v>-</v>
      </c>
      <c r="AK51" s="233">
        <f>SUM(Table4[[#This Row],[ QI Bran Content]:[QI FN]])</f>
        <v>11</v>
      </c>
      <c r="AL51" s="232">
        <f t="shared" si="6"/>
        <v>11</v>
      </c>
      <c r="AM51" s="232" t="str">
        <f>IF(INDEX(WGmin,MATCH(Table4[[#This Row],[SKU]],FG,0))="-","-",IF(Table4[[#This Row],[Gross Weight]]="-","-",IF(Table4[[#This Row],[Gross Weight]]&lt;INDEX(GWmin,MATCH(Table4[[#This Row],[SKU]],FG,0)),0,IF(Table4[[#This Row],[Gross Weight]]&gt;INDEX(GWmax,MATCH(Table4[[#This Row],[SKU]],FG,0)),0,1))))</f>
        <v>-</v>
      </c>
      <c r="AN51" s="232">
        <f>IF(Table4[[#This Row],[Sealing Integrity]]="-","-",IF(Table4[[#This Row],[Sealing Integrity]]="P",1,0))</f>
        <v>1</v>
      </c>
      <c r="AO51" s="232">
        <f>IF(Table4[[#This Row],[Coding]]="-","-",IF(Table4[[#This Row],[Coding]]="P",1,0))</f>
        <v>1</v>
      </c>
      <c r="AP51" s="233">
        <f>SUM(Table4[[#This Row],[QI Weight]:[QI Code]])</f>
        <v>2</v>
      </c>
      <c r="AQ51" s="233">
        <f>COUNT(Table4[[#This Row],[QI Weight]:[QI Code]])</f>
        <v>2</v>
      </c>
      <c r="AR51" s="261">
        <f>Table4[[#This Row],[TA]]+Table4[[#This Row],[TA2]]</f>
        <v>13</v>
      </c>
      <c r="AS51" s="261">
        <f>Table4[[#This Row],[TP]]+Table4[[#This Row],[TP2]]</f>
        <v>13</v>
      </c>
      <c r="BD51" s="265">
        <f>IF(INDEX(MCmin,MATCH(Table4[[#This Row],[SKU]],FG,0))="-","-",IF(Table4[[#This Row],[%MC]]="-","-",IF(Table4[[#This Row],[%MC]]&lt;INDEX(MCmin,MATCH(Table4[[#This Row],[SKU]],FG,0)),1,0)))</f>
        <v>0</v>
      </c>
      <c r="BE51" s="265">
        <f>IF(INDEX(MCmin,MATCH(Table4[[#This Row],[SKU]],FG,0))="-","-",IF(Table4[[#This Row],[%MC]]="-","-",IF(Table4[[#This Row],[%MC]]&gt;INDEX(MCmax,MATCH(Table4[[#This Row],[SKU]],FG,0)),1,0)))</f>
        <v>0</v>
      </c>
      <c r="BF51" s="231">
        <f>IF(INDEX(Ashmin,MATCH(Table4[[#This Row],[SKU]],FG,0))="-","-",IF(Table4[[#This Row],[%Ash]]="-","-",IF(Table4[[#This Row],[%Ash]]&lt;INDEX(Ashmin,MATCH(Table4[[#This Row],[SKU]],FG,0)),1,0)))</f>
        <v>0</v>
      </c>
      <c r="BG51" s="231">
        <f>IF(INDEX(Ashmin,MATCH(Table4[[#This Row],[SKU]],FG,0))="-","-",IF(Table4[[#This Row],[%Ash]]="-","-",IF(Table4[[#This Row],[%Ash]]&gt;INDEX(Ashmax,MATCH(Table4[[#This Row],[SKU]],FG,0)),1,0)))</f>
        <v>0</v>
      </c>
      <c r="BH51" s="231" t="str">
        <f>IF(INDEX(Absmin,MATCH(Table4[[#This Row],[SKU]],FG,0))="-","-",IF(Table4[[#This Row],[%Absorption]]="-","-",IF(Table4[[#This Row],[%Absorption]]&lt;INDEX(Absmin,MATCH(Table4[[#This Row],[SKU]],FG,0)),1,0)))</f>
        <v>-</v>
      </c>
      <c r="BI51" s="231" t="str">
        <f>IF(INDEX(Absmin,MATCH(Table4[[#This Row],[SKU]],FG,0))="-","-",IF(Table4[[#This Row],[%Absorption]]="-","-",IF(Table4[[#This Row],[%Absorption]]&gt;INDEX(Absmax,MATCH(Table4[[#This Row],[SKU]],FG,0)),1,0)))</f>
        <v>-</v>
      </c>
      <c r="BJ51" s="231">
        <f>IF(INDEX(WGmin,MATCH(Table4[[#This Row],[SKU]],FG,0))="-","-",IF(Table4[[#This Row],[%Wet Gluten]]="-","-",IF(Table4[[#This Row],[%Wet Gluten]]&lt;INDEX(WGmin,MATCH(Table4[[#This Row],[SKU]],FG,0)),1,0)))</f>
        <v>0</v>
      </c>
      <c r="BK51" s="231">
        <f>IF(INDEX(WGmin,MATCH(Table4[[#This Row],[SKU]],FG,0))="-","-",IF(Table4[[#This Row],[%Wet Gluten]]="-","-",IF(Table4[[#This Row],[%Wet Gluten]]&gt;INDEX(WGmax,MATCH(Table4[[#This Row],[SKU]],FG,0)),1,0)))</f>
        <v>0</v>
      </c>
    </row>
    <row r="52" spans="1:63" x14ac:dyDescent="0.35">
      <c r="A52" s="243">
        <v>46023</v>
      </c>
      <c r="B52" s="244">
        <v>46025</v>
      </c>
      <c r="C52" s="244">
        <v>46001</v>
      </c>
      <c r="D52" s="244" t="s">
        <v>130</v>
      </c>
      <c r="E52" s="245">
        <v>1.0833333333333299</v>
      </c>
      <c r="F52" s="246">
        <v>3</v>
      </c>
      <c r="G52" s="259" t="s">
        <v>119</v>
      </c>
      <c r="H52" s="247">
        <v>6.6E-3</v>
      </c>
      <c r="I52" s="248" t="s">
        <v>165</v>
      </c>
      <c r="J52" s="248" t="s">
        <v>165</v>
      </c>
      <c r="K52" s="248" t="s">
        <v>165</v>
      </c>
      <c r="L52" s="248" t="s">
        <v>161</v>
      </c>
      <c r="M52" s="248" t="s">
        <v>161</v>
      </c>
      <c r="N52" s="249">
        <v>13.53</v>
      </c>
      <c r="O52" s="249" t="s">
        <v>163</v>
      </c>
      <c r="P52" s="249" t="s">
        <v>163</v>
      </c>
      <c r="Q52" s="249" t="s">
        <v>163</v>
      </c>
      <c r="R52" s="249" t="s">
        <v>163</v>
      </c>
      <c r="S52" s="250" t="s">
        <v>163</v>
      </c>
      <c r="T52" s="249" t="s">
        <v>163</v>
      </c>
      <c r="U52" s="249" t="s">
        <v>163</v>
      </c>
      <c r="V52" s="251" t="s">
        <v>163</v>
      </c>
      <c r="W52" s="252" t="s">
        <v>165</v>
      </c>
      <c r="X52" s="252" t="s">
        <v>165</v>
      </c>
      <c r="Y52" s="248" t="s">
        <v>163</v>
      </c>
      <c r="Z52" s="231">
        <f>IF(Table4[[#This Row],[ Bran Content]]="-","-",IF(H52&gt;0.02,0,2))</f>
        <v>2</v>
      </c>
      <c r="AA52" s="231">
        <f>IF(Table4[[#This Row],[Sieve Test]]="-","-",IF(Table4[[#This Row],[Sieve Test]]="P",1,0))</f>
        <v>1</v>
      </c>
      <c r="AB52" s="231">
        <f>IF(Table4[[#This Row],[Odor]]="-","-",IF(Table4[[#This Row],[Odor]]="P",2,0))</f>
        <v>2</v>
      </c>
      <c r="AC52" s="231">
        <f>IF(INDEX(MCmin,MATCH(Table4[[#This Row],[SKU]],FG,0))="-","-",IF(Table4[[#This Row],[%MC]]="-","-",IF(Table4[[#This Row],[%MC]]&lt;INDEX(MCmin,MATCH(Table4[[#This Row],[SKU]],FG,0)),0,IF(Table4[[#This Row],[%MC]]&gt;INDEX(MCmax,MATCH(Table4[[#This Row],[SKU]],FG,0)),0,1))))</f>
        <v>1</v>
      </c>
      <c r="AD52" s="231" t="str">
        <f>IF(INDEX(Protmin,MATCH(Table4[[#This Row],[SKU]],FG,0))="-","-",IF(Table4[[#This Row],[%Protein]]="-","-",IF(Table4[[#This Row],[%Protein]]&lt;INDEX(Protmin,MATCH(Table4[[#This Row],[SKU]],FG,0)),0,IF(Table4[[#This Row],[%Protein]]&gt;INDEX(Protmax,MATCH(Table4[[#This Row],[SKU]],FG,0)),0,1))))</f>
        <v>-</v>
      </c>
      <c r="AE52" s="231" t="str">
        <f>IF(INDEX(Ashmin,MATCH(Table4[[#This Row],[SKU]],FG,0))="-","-",IF(Table4[[#This Row],[%Ash]]="-","-",IF(Table4[[#This Row],[%Ash]]&lt;INDEX(Ashmin,MATCH(Table4[[#This Row],[SKU]],FG,0)),0,IF(Table4[[#This Row],[%Ash]]&gt;INDEX(Ashmax,MATCH(Table4[[#This Row],[SKU]],FG,0)),0,2))))</f>
        <v>-</v>
      </c>
      <c r="AF52" s="231" t="str">
        <f>IF(INDEX(Absmin,MATCH(Table4[[#This Row],[SKU]],FG,0))="-","-",IF(Table4[[#This Row],[%Absorption]]="-","-",IF(Table4[[#This Row],[%Absorption]]&lt;INDEX(Absmin,MATCH(Table4[[#This Row],[SKU]],FG,0)),0,IF(Table4[[#This Row],[%Absorption]]&gt;INDEX(Absmax,MATCH(Table4[[#This Row],[SKU]],FG,0)),0,2))))</f>
        <v>-</v>
      </c>
      <c r="AG52" s="231" t="str">
        <f>IF(INDEX(Extmin,MATCH(Table4[[#This Row],[SKU]],FG,0))="-","-",IF(Table4[[#This Row],[%Extensibility]]="-","-",IF(Table4[[#This Row],[%Extensibility]]&lt;INDEX(Extmin,MATCH(Table4[[#This Row],[SKU]],FG,0)),0,IF(Table4[[#This Row],[%Extensibility]]&gt;INDEX(Extmax,MATCH(Table4[[#This Row],[SKU]],FG,0)),0,1))))</f>
        <v>-</v>
      </c>
      <c r="AH52" s="231" t="str">
        <f>IF(INDEX(Resmin,MATCH(Table4[[#This Row],[SKU]],FG,0))="-","-",IF(Table4[[#This Row],[Resistance, max]]="-","-",IF(Table4[[#This Row],[Resistance, max]]&lt;INDEX(Resmin,MATCH(Table4[[#This Row],[SKU]],FG,0)),0,IF(Table4[[#This Row],[Resistance, max]]&gt;INDEX(Resmax,MATCH(Table4[[#This Row],[SKU]],FG,0)),0,1))))</f>
        <v>-</v>
      </c>
      <c r="AI52" s="231" t="str">
        <f>IF(INDEX(WGmin,MATCH(Table4[[#This Row],[SKU]],FG,0))="-","-",IF(Table4[[#This Row],[%Wet Gluten]]="-","-",IF(Table4[[#This Row],[%Wet Gluten]]&lt;INDEX(WGmin,MATCH(Table4[[#This Row],[SKU]],FG,0)),0,IF(Table4[[#This Row],[%Wet Gluten]]&gt;INDEX(WGmax,MATCH(Table4[[#This Row],[SKU]],FG,0)),0,2))))</f>
        <v>-</v>
      </c>
      <c r="AJ52" s="232" t="str">
        <f>IF(Table4[[#This Row],[FN, s]]="-","-",IF(R52&lt;301,1,0))</f>
        <v>-</v>
      </c>
      <c r="AK52" s="233">
        <f>SUM(Table4[[#This Row],[ QI Bran Content]:[QI FN]])</f>
        <v>6</v>
      </c>
      <c r="AL52" s="232">
        <f t="shared" si="6"/>
        <v>6</v>
      </c>
      <c r="AM52" s="232" t="str">
        <f>IF(INDEX(WGmin,MATCH(Table4[[#This Row],[SKU]],FG,0))="-","-",IF(Table4[[#This Row],[Gross Weight]]="-","-",IF(Table4[[#This Row],[Gross Weight]]&lt;INDEX(GWmin,MATCH(Table4[[#This Row],[SKU]],FG,0)),0,IF(Table4[[#This Row],[Gross Weight]]&gt;INDEX(GWmax,MATCH(Table4[[#This Row],[SKU]],FG,0)),0,1))))</f>
        <v>-</v>
      </c>
      <c r="AN52" s="232">
        <f>IF(Table4[[#This Row],[Sealing Integrity]]="-","-",IF(Table4[[#This Row],[Sealing Integrity]]="P",1,0))</f>
        <v>1</v>
      </c>
      <c r="AO52" s="232">
        <f>IF(Table4[[#This Row],[Coding]]="-","-",IF(Table4[[#This Row],[Coding]]="P",1,0))</f>
        <v>1</v>
      </c>
      <c r="AP52" s="233">
        <f>SUM(Table4[[#This Row],[QI Weight]:[QI Code]])</f>
        <v>2</v>
      </c>
      <c r="AQ52" s="233">
        <f>COUNT(Table4[[#This Row],[QI Weight]:[QI Code]])</f>
        <v>2</v>
      </c>
      <c r="AR52" s="261">
        <f>Table4[[#This Row],[TA]]+Table4[[#This Row],[TA2]]</f>
        <v>8</v>
      </c>
      <c r="AS52" s="261">
        <f>Table4[[#This Row],[TP]]+Table4[[#This Row],[TP2]]</f>
        <v>8</v>
      </c>
      <c r="BD52" s="265">
        <f>IF(INDEX(MCmin,MATCH(Table4[[#This Row],[SKU]],FG,0))="-","-",IF(Table4[[#This Row],[%MC]]="-","-",IF(Table4[[#This Row],[%MC]]&lt;INDEX(MCmin,MATCH(Table4[[#This Row],[SKU]],FG,0)),1,0)))</f>
        <v>0</v>
      </c>
      <c r="BE52" s="265">
        <f>IF(INDEX(MCmin,MATCH(Table4[[#This Row],[SKU]],FG,0))="-","-",IF(Table4[[#This Row],[%MC]]="-","-",IF(Table4[[#This Row],[%MC]]&gt;INDEX(MCmax,MATCH(Table4[[#This Row],[SKU]],FG,0)),1,0)))</f>
        <v>0</v>
      </c>
      <c r="BF52" s="231" t="str">
        <f>IF(INDEX(Ashmin,MATCH(Table4[[#This Row],[SKU]],FG,0))="-","-",IF(Table4[[#This Row],[%Ash]]="-","-",IF(Table4[[#This Row],[%Ash]]&lt;INDEX(Ashmin,MATCH(Table4[[#This Row],[SKU]],FG,0)),1,0)))</f>
        <v>-</v>
      </c>
      <c r="BG52" s="231" t="str">
        <f>IF(INDEX(Ashmin,MATCH(Table4[[#This Row],[SKU]],FG,0))="-","-",IF(Table4[[#This Row],[%Ash]]="-","-",IF(Table4[[#This Row],[%Ash]]&gt;INDEX(Ashmax,MATCH(Table4[[#This Row],[SKU]],FG,0)),1,0)))</f>
        <v>-</v>
      </c>
      <c r="BH52" s="231" t="str">
        <f>IF(INDEX(Absmin,MATCH(Table4[[#This Row],[SKU]],FG,0))="-","-",IF(Table4[[#This Row],[%Absorption]]="-","-",IF(Table4[[#This Row],[%Absorption]]&lt;INDEX(Absmin,MATCH(Table4[[#This Row],[SKU]],FG,0)),1,0)))</f>
        <v>-</v>
      </c>
      <c r="BI52" s="231" t="str">
        <f>IF(INDEX(Absmin,MATCH(Table4[[#This Row],[SKU]],FG,0))="-","-",IF(Table4[[#This Row],[%Absorption]]="-","-",IF(Table4[[#This Row],[%Absorption]]&gt;INDEX(Absmax,MATCH(Table4[[#This Row],[SKU]],FG,0)),1,0)))</f>
        <v>-</v>
      </c>
      <c r="BJ52" s="231" t="str">
        <f>IF(INDEX(WGmin,MATCH(Table4[[#This Row],[SKU]],FG,0))="-","-",IF(Table4[[#This Row],[%Wet Gluten]]="-","-",IF(Table4[[#This Row],[%Wet Gluten]]&lt;INDEX(WGmin,MATCH(Table4[[#This Row],[SKU]],FG,0)),1,0)))</f>
        <v>-</v>
      </c>
      <c r="BK52" s="231" t="str">
        <f>IF(INDEX(WGmin,MATCH(Table4[[#This Row],[SKU]],FG,0))="-","-",IF(Table4[[#This Row],[%Wet Gluten]]="-","-",IF(Table4[[#This Row],[%Wet Gluten]]&gt;INDEX(WGmax,MATCH(Table4[[#This Row],[SKU]],FG,0)),1,0)))</f>
        <v>-</v>
      </c>
    </row>
    <row r="53" spans="1:63" x14ac:dyDescent="0.35">
      <c r="A53" s="243">
        <v>46023</v>
      </c>
      <c r="B53" s="244">
        <v>46025</v>
      </c>
      <c r="C53" s="244">
        <v>46007</v>
      </c>
      <c r="D53" s="244" t="s">
        <v>130</v>
      </c>
      <c r="E53" s="245">
        <v>1.1666666666666701</v>
      </c>
      <c r="F53" s="246">
        <v>3</v>
      </c>
      <c r="G53" s="259" t="s">
        <v>119</v>
      </c>
      <c r="H53" s="247">
        <v>1.83E-2</v>
      </c>
      <c r="I53" s="248" t="s">
        <v>165</v>
      </c>
      <c r="J53" s="248" t="s">
        <v>165</v>
      </c>
      <c r="K53" s="248" t="s">
        <v>165</v>
      </c>
      <c r="L53" s="248" t="s">
        <v>161</v>
      </c>
      <c r="M53" s="248" t="s">
        <v>161</v>
      </c>
      <c r="N53" s="249">
        <v>12.86</v>
      </c>
      <c r="O53" s="249">
        <v>12.66</v>
      </c>
      <c r="P53" s="249">
        <v>0.48</v>
      </c>
      <c r="Q53" s="249">
        <v>64.2</v>
      </c>
      <c r="R53" s="249" t="s">
        <v>163</v>
      </c>
      <c r="S53" s="250" t="s">
        <v>163</v>
      </c>
      <c r="T53" s="249">
        <v>35.4</v>
      </c>
      <c r="U53" s="249" t="s">
        <v>163</v>
      </c>
      <c r="V53" s="251" t="s">
        <v>163</v>
      </c>
      <c r="W53" s="252" t="s">
        <v>165</v>
      </c>
      <c r="X53" s="252" t="s">
        <v>165</v>
      </c>
      <c r="Y53" s="248" t="s">
        <v>163</v>
      </c>
      <c r="Z53" s="231">
        <f>IF(Table4[[#This Row],[ Bran Content]]="-","-",IF(H53&gt;0.02,0,2))</f>
        <v>2</v>
      </c>
      <c r="AA53" s="231">
        <f>IF(Table4[[#This Row],[Sieve Test]]="-","-",IF(Table4[[#This Row],[Sieve Test]]="P",1,0))</f>
        <v>1</v>
      </c>
      <c r="AB53" s="231">
        <f>IF(Table4[[#This Row],[Odor]]="-","-",IF(Table4[[#This Row],[Odor]]="P",2,0))</f>
        <v>2</v>
      </c>
      <c r="AC53" s="231">
        <f>IF(INDEX(MCmin,MATCH(Table4[[#This Row],[SKU]],FG,0))="-","-",IF(Table4[[#This Row],[%MC]]="-","-",IF(Table4[[#This Row],[%MC]]&lt;INDEX(MCmin,MATCH(Table4[[#This Row],[SKU]],FG,0)),0,IF(Table4[[#This Row],[%MC]]&gt;INDEX(MCmax,MATCH(Table4[[#This Row],[SKU]],FG,0)),0,1))))</f>
        <v>1</v>
      </c>
      <c r="AD53" s="231">
        <f>IF(INDEX(Protmin,MATCH(Table4[[#This Row],[SKU]],FG,0))="-","-",IF(Table4[[#This Row],[%Protein]]="-","-",IF(Table4[[#This Row],[%Protein]]&lt;INDEX(Protmin,MATCH(Table4[[#This Row],[SKU]],FG,0)),0,IF(Table4[[#This Row],[%Protein]]&gt;INDEX(Protmax,MATCH(Table4[[#This Row],[SKU]],FG,0)),0,1))))</f>
        <v>1</v>
      </c>
      <c r="AE53" s="231">
        <f>IF(INDEX(Ashmin,MATCH(Table4[[#This Row],[SKU]],FG,0))="-","-",IF(Table4[[#This Row],[%Ash]]="-","-",IF(Table4[[#This Row],[%Ash]]&lt;INDEX(Ashmin,MATCH(Table4[[#This Row],[SKU]],FG,0)),0,IF(Table4[[#This Row],[%Ash]]&gt;INDEX(Ashmax,MATCH(Table4[[#This Row],[SKU]],FG,0)),0,2))))</f>
        <v>2</v>
      </c>
      <c r="AF53" s="231">
        <f>IF(INDEX(Absmin,MATCH(Table4[[#This Row],[SKU]],FG,0))="-","-",IF(Table4[[#This Row],[%Absorption]]="-","-",IF(Table4[[#This Row],[%Absorption]]&lt;INDEX(Absmin,MATCH(Table4[[#This Row],[SKU]],FG,0)),0,IF(Table4[[#This Row],[%Absorption]]&gt;INDEX(Absmax,MATCH(Table4[[#This Row],[SKU]],FG,0)),0,2))))</f>
        <v>2</v>
      </c>
      <c r="AG53" s="231" t="str">
        <f>IF(INDEX(Extmin,MATCH(Table4[[#This Row],[SKU]],FG,0))="-","-",IF(Table4[[#This Row],[%Extensibility]]="-","-",IF(Table4[[#This Row],[%Extensibility]]&lt;INDEX(Extmin,MATCH(Table4[[#This Row],[SKU]],FG,0)),0,IF(Table4[[#This Row],[%Extensibility]]&gt;INDEX(Extmax,MATCH(Table4[[#This Row],[SKU]],FG,0)),0,1))))</f>
        <v>-</v>
      </c>
      <c r="AH53" s="231" t="str">
        <f>IF(INDEX(Resmin,MATCH(Table4[[#This Row],[SKU]],FG,0))="-","-",IF(Table4[[#This Row],[Resistance, max]]="-","-",IF(Table4[[#This Row],[Resistance, max]]&lt;INDEX(Resmin,MATCH(Table4[[#This Row],[SKU]],FG,0)),0,IF(Table4[[#This Row],[Resistance, max]]&gt;INDEX(Resmax,MATCH(Table4[[#This Row],[SKU]],FG,0)),0,1))))</f>
        <v>-</v>
      </c>
      <c r="AI53" s="231">
        <f>IF(INDEX(WGmin,MATCH(Table4[[#This Row],[SKU]],FG,0))="-","-",IF(Table4[[#This Row],[%Wet Gluten]]="-","-",IF(Table4[[#This Row],[%Wet Gluten]]&lt;INDEX(WGmin,MATCH(Table4[[#This Row],[SKU]],FG,0)),0,IF(Table4[[#This Row],[%Wet Gluten]]&gt;INDEX(WGmax,MATCH(Table4[[#This Row],[SKU]],FG,0)),0,2))))</f>
        <v>2</v>
      </c>
      <c r="AJ53" s="232" t="str">
        <f>IF(Table4[[#This Row],[FN, s]]="-","-",IF(R53&lt;301,1,0))</f>
        <v>-</v>
      </c>
      <c r="AK53" s="233">
        <f>SUM(Table4[[#This Row],[ QI Bran Content]:[QI FN]])</f>
        <v>13</v>
      </c>
      <c r="AL53" s="232">
        <f t="shared" si="6"/>
        <v>13</v>
      </c>
      <c r="AM53" s="232" t="str">
        <f>IF(INDEX(WGmin,MATCH(Table4[[#This Row],[SKU]],FG,0))="-","-",IF(Table4[[#This Row],[Gross Weight]]="-","-",IF(Table4[[#This Row],[Gross Weight]]&lt;INDEX(GWmin,MATCH(Table4[[#This Row],[SKU]],FG,0)),0,IF(Table4[[#This Row],[Gross Weight]]&gt;INDEX(GWmax,MATCH(Table4[[#This Row],[SKU]],FG,0)),0,1))))</f>
        <v>-</v>
      </c>
      <c r="AN53" s="232">
        <f>IF(Table4[[#This Row],[Sealing Integrity]]="-","-",IF(Table4[[#This Row],[Sealing Integrity]]="P",1,0))</f>
        <v>1</v>
      </c>
      <c r="AO53" s="232">
        <f>IF(Table4[[#This Row],[Coding]]="-","-",IF(Table4[[#This Row],[Coding]]="P",1,0))</f>
        <v>1</v>
      </c>
      <c r="AP53" s="233">
        <f>SUM(Table4[[#This Row],[QI Weight]:[QI Code]])</f>
        <v>2</v>
      </c>
      <c r="AQ53" s="233">
        <f>COUNT(Table4[[#This Row],[QI Weight]:[QI Code]])</f>
        <v>2</v>
      </c>
      <c r="AR53" s="261">
        <f>Table4[[#This Row],[TA]]+Table4[[#This Row],[TA2]]</f>
        <v>15</v>
      </c>
      <c r="AS53" s="261">
        <f>Table4[[#This Row],[TP]]+Table4[[#This Row],[TP2]]</f>
        <v>15</v>
      </c>
      <c r="BD53" s="265">
        <f>IF(INDEX(MCmin,MATCH(Table4[[#This Row],[SKU]],FG,0))="-","-",IF(Table4[[#This Row],[%MC]]="-","-",IF(Table4[[#This Row],[%MC]]&lt;INDEX(MCmin,MATCH(Table4[[#This Row],[SKU]],FG,0)),1,0)))</f>
        <v>0</v>
      </c>
      <c r="BE53" s="265">
        <f>IF(INDEX(MCmin,MATCH(Table4[[#This Row],[SKU]],FG,0))="-","-",IF(Table4[[#This Row],[%MC]]="-","-",IF(Table4[[#This Row],[%MC]]&gt;INDEX(MCmax,MATCH(Table4[[#This Row],[SKU]],FG,0)),1,0)))</f>
        <v>0</v>
      </c>
      <c r="BF53" s="231">
        <f>IF(INDEX(Ashmin,MATCH(Table4[[#This Row],[SKU]],FG,0))="-","-",IF(Table4[[#This Row],[%Ash]]="-","-",IF(Table4[[#This Row],[%Ash]]&lt;INDEX(Ashmin,MATCH(Table4[[#This Row],[SKU]],FG,0)),1,0)))</f>
        <v>0</v>
      </c>
      <c r="BG53" s="231">
        <f>IF(INDEX(Ashmin,MATCH(Table4[[#This Row],[SKU]],FG,0))="-","-",IF(Table4[[#This Row],[%Ash]]="-","-",IF(Table4[[#This Row],[%Ash]]&gt;INDEX(Ashmax,MATCH(Table4[[#This Row],[SKU]],FG,0)),1,0)))</f>
        <v>0</v>
      </c>
      <c r="BH53" s="231">
        <f>IF(INDEX(Absmin,MATCH(Table4[[#This Row],[SKU]],FG,0))="-","-",IF(Table4[[#This Row],[%Absorption]]="-","-",IF(Table4[[#This Row],[%Absorption]]&lt;INDEX(Absmin,MATCH(Table4[[#This Row],[SKU]],FG,0)),1,0)))</f>
        <v>0</v>
      </c>
      <c r="BI53" s="231">
        <f>IF(INDEX(Absmin,MATCH(Table4[[#This Row],[SKU]],FG,0))="-","-",IF(Table4[[#This Row],[%Absorption]]="-","-",IF(Table4[[#This Row],[%Absorption]]&gt;INDEX(Absmax,MATCH(Table4[[#This Row],[SKU]],FG,0)),1,0)))</f>
        <v>0</v>
      </c>
      <c r="BJ53" s="231">
        <f>IF(INDEX(WGmin,MATCH(Table4[[#This Row],[SKU]],FG,0))="-","-",IF(Table4[[#This Row],[%Wet Gluten]]="-","-",IF(Table4[[#This Row],[%Wet Gluten]]&lt;INDEX(WGmin,MATCH(Table4[[#This Row],[SKU]],FG,0)),1,0)))</f>
        <v>0</v>
      </c>
      <c r="BK53" s="231">
        <f>IF(INDEX(WGmin,MATCH(Table4[[#This Row],[SKU]],FG,0))="-","-",IF(Table4[[#This Row],[%Wet Gluten]]="-","-",IF(Table4[[#This Row],[%Wet Gluten]]&gt;INDEX(WGmax,MATCH(Table4[[#This Row],[SKU]],FG,0)),1,0)))</f>
        <v>0</v>
      </c>
    </row>
    <row r="54" spans="1:63" x14ac:dyDescent="0.35">
      <c r="A54" s="243">
        <v>46023</v>
      </c>
      <c r="B54" s="244">
        <v>46025</v>
      </c>
      <c r="C54" s="244">
        <v>46378</v>
      </c>
      <c r="D54" s="244" t="s">
        <v>128</v>
      </c>
      <c r="E54" s="245">
        <v>0.83333333333333304</v>
      </c>
      <c r="F54" s="246">
        <v>2</v>
      </c>
      <c r="G54" s="259" t="s">
        <v>138</v>
      </c>
      <c r="H54" s="247">
        <v>4.1000000000000003E-3</v>
      </c>
      <c r="I54" s="248" t="s">
        <v>165</v>
      </c>
      <c r="J54" s="248" t="s">
        <v>165</v>
      </c>
      <c r="K54" s="248" t="s">
        <v>165</v>
      </c>
      <c r="L54" s="248" t="s">
        <v>163</v>
      </c>
      <c r="M54" s="248" t="s">
        <v>161</v>
      </c>
      <c r="N54" s="249">
        <v>11.26</v>
      </c>
      <c r="O54" s="249" t="s">
        <v>163</v>
      </c>
      <c r="P54" s="249" t="s">
        <v>163</v>
      </c>
      <c r="Q54" s="249" t="s">
        <v>163</v>
      </c>
      <c r="R54" s="249" t="s">
        <v>163</v>
      </c>
      <c r="S54" s="250" t="s">
        <v>163</v>
      </c>
      <c r="T54" s="249" t="s">
        <v>163</v>
      </c>
      <c r="U54" s="249" t="s">
        <v>163</v>
      </c>
      <c r="V54" s="251" t="s">
        <v>163</v>
      </c>
      <c r="W54" s="252" t="s">
        <v>165</v>
      </c>
      <c r="X54" s="252" t="s">
        <v>165</v>
      </c>
      <c r="Y54" s="248" t="s">
        <v>163</v>
      </c>
      <c r="Z54" s="231">
        <f>IF(Table4[[#This Row],[ Bran Content]]="-","-",IF(H54&gt;0.02,0,2))</f>
        <v>2</v>
      </c>
      <c r="AA54" s="231">
        <f>IF(Table4[[#This Row],[Sieve Test]]="-","-",IF(Table4[[#This Row],[Sieve Test]]="P",1,0))</f>
        <v>1</v>
      </c>
      <c r="AB54" s="231">
        <f>IF(Table4[[#This Row],[Odor]]="-","-",IF(Table4[[#This Row],[Odor]]="P",2,0))</f>
        <v>2</v>
      </c>
      <c r="AC54" s="231">
        <f>IF(INDEX(MCmin,MATCH(Table4[[#This Row],[SKU]],FG,0))="-","-",IF(Table4[[#This Row],[%MC]]="-","-",IF(Table4[[#This Row],[%MC]]&lt;INDEX(MCmin,MATCH(Table4[[#This Row],[SKU]],FG,0)),0,IF(Table4[[#This Row],[%MC]]&gt;INDEX(MCmax,MATCH(Table4[[#This Row],[SKU]],FG,0)),0,1))))</f>
        <v>1</v>
      </c>
      <c r="AD54" s="231" t="str">
        <f>IF(INDEX(Protmin,MATCH(Table4[[#This Row],[SKU]],FG,0))="-","-",IF(Table4[[#This Row],[%Protein]]="-","-",IF(Table4[[#This Row],[%Protein]]&lt;INDEX(Protmin,MATCH(Table4[[#This Row],[SKU]],FG,0)),0,IF(Table4[[#This Row],[%Protein]]&gt;INDEX(Protmax,MATCH(Table4[[#This Row],[SKU]],FG,0)),0,1))))</f>
        <v>-</v>
      </c>
      <c r="AE54" s="231" t="str">
        <f>IF(INDEX(Ashmin,MATCH(Table4[[#This Row],[SKU]],FG,0))="-","-",IF(Table4[[#This Row],[%Ash]]="-","-",IF(Table4[[#This Row],[%Ash]]&lt;INDEX(Ashmin,MATCH(Table4[[#This Row],[SKU]],FG,0)),0,IF(Table4[[#This Row],[%Ash]]&gt;INDEX(Ashmax,MATCH(Table4[[#This Row],[SKU]],FG,0)),0,2))))</f>
        <v>-</v>
      </c>
      <c r="AF54" s="231" t="str">
        <f>IF(INDEX(Absmin,MATCH(Table4[[#This Row],[SKU]],FG,0))="-","-",IF(Table4[[#This Row],[%Absorption]]="-","-",IF(Table4[[#This Row],[%Absorption]]&lt;INDEX(Absmin,MATCH(Table4[[#This Row],[SKU]],FG,0)),0,IF(Table4[[#This Row],[%Absorption]]&gt;INDEX(Absmax,MATCH(Table4[[#This Row],[SKU]],FG,0)),0,2))))</f>
        <v>-</v>
      </c>
      <c r="AG54" s="231" t="str">
        <f>IF(INDEX(Extmin,MATCH(Table4[[#This Row],[SKU]],FG,0))="-","-",IF(Table4[[#This Row],[%Extensibility]]="-","-",IF(Table4[[#This Row],[%Extensibility]]&lt;INDEX(Extmin,MATCH(Table4[[#This Row],[SKU]],FG,0)),0,IF(Table4[[#This Row],[%Extensibility]]&gt;INDEX(Extmax,MATCH(Table4[[#This Row],[SKU]],FG,0)),0,1))))</f>
        <v>-</v>
      </c>
      <c r="AH54" s="231" t="str">
        <f>IF(INDEX(Resmin,MATCH(Table4[[#This Row],[SKU]],FG,0))="-","-",IF(Table4[[#This Row],[Resistance, max]]="-","-",IF(Table4[[#This Row],[Resistance, max]]&lt;INDEX(Resmin,MATCH(Table4[[#This Row],[SKU]],FG,0)),0,IF(Table4[[#This Row],[Resistance, max]]&gt;INDEX(Resmax,MATCH(Table4[[#This Row],[SKU]],FG,0)),0,1))))</f>
        <v>-</v>
      </c>
      <c r="AI54" s="231" t="str">
        <f>IF(INDEX(WGmin,MATCH(Table4[[#This Row],[SKU]],FG,0))="-","-",IF(Table4[[#This Row],[%Wet Gluten]]="-","-",IF(Table4[[#This Row],[%Wet Gluten]]&lt;INDEX(WGmin,MATCH(Table4[[#This Row],[SKU]],FG,0)),0,IF(Table4[[#This Row],[%Wet Gluten]]&gt;INDEX(WGmax,MATCH(Table4[[#This Row],[SKU]],FG,0)),0,2))))</f>
        <v>-</v>
      </c>
      <c r="AJ54" s="232" t="str">
        <f>IF(Table4[[#This Row],[FN, s]]="-","-",IF(R54&lt;301,1,0))</f>
        <v>-</v>
      </c>
      <c r="AK54" s="233">
        <f>SUM(Table4[[#This Row],[ QI Bran Content]:[QI FN]])</f>
        <v>6</v>
      </c>
      <c r="AL54" s="232">
        <f t="shared" si="6"/>
        <v>6</v>
      </c>
      <c r="AM54" s="232" t="str">
        <f>IF(INDEX(WGmin,MATCH(Table4[[#This Row],[SKU]],FG,0))="-","-",IF(Table4[[#This Row],[Gross Weight]]="-","-",IF(Table4[[#This Row],[Gross Weight]]&lt;INDEX(GWmin,MATCH(Table4[[#This Row],[SKU]],FG,0)),0,IF(Table4[[#This Row],[Gross Weight]]&gt;INDEX(GWmax,MATCH(Table4[[#This Row],[SKU]],FG,0)),0,1))))</f>
        <v>-</v>
      </c>
      <c r="AN54" s="232">
        <f>IF(Table4[[#This Row],[Sealing Integrity]]="-","-",IF(Table4[[#This Row],[Sealing Integrity]]="P",1,0))</f>
        <v>1</v>
      </c>
      <c r="AO54" s="232">
        <f>IF(Table4[[#This Row],[Coding]]="-","-",IF(Table4[[#This Row],[Coding]]="P",1,0))</f>
        <v>1</v>
      </c>
      <c r="AP54" s="233">
        <f>SUM(Table4[[#This Row],[QI Weight]:[QI Code]])</f>
        <v>2</v>
      </c>
      <c r="AQ54" s="233">
        <f>COUNT(Table4[[#This Row],[QI Weight]:[QI Code]])</f>
        <v>2</v>
      </c>
      <c r="AR54" s="261">
        <f>Table4[[#This Row],[TA]]+Table4[[#This Row],[TA2]]</f>
        <v>8</v>
      </c>
      <c r="AS54" s="261">
        <f>Table4[[#This Row],[TP]]+Table4[[#This Row],[TP2]]</f>
        <v>8</v>
      </c>
      <c r="BD54" s="265">
        <f>IF(INDEX(MCmin,MATCH(Table4[[#This Row],[SKU]],FG,0))="-","-",IF(Table4[[#This Row],[%MC]]="-","-",IF(Table4[[#This Row],[%MC]]&lt;INDEX(MCmin,MATCH(Table4[[#This Row],[SKU]],FG,0)),1,0)))</f>
        <v>0</v>
      </c>
      <c r="BE54" s="265">
        <f>IF(INDEX(MCmin,MATCH(Table4[[#This Row],[SKU]],FG,0))="-","-",IF(Table4[[#This Row],[%MC]]="-","-",IF(Table4[[#This Row],[%MC]]&gt;INDEX(MCmax,MATCH(Table4[[#This Row],[SKU]],FG,0)),1,0)))</f>
        <v>0</v>
      </c>
      <c r="BF54" s="231" t="str">
        <f>IF(INDEX(Ashmin,MATCH(Table4[[#This Row],[SKU]],FG,0))="-","-",IF(Table4[[#This Row],[%Ash]]="-","-",IF(Table4[[#This Row],[%Ash]]&lt;INDEX(Ashmin,MATCH(Table4[[#This Row],[SKU]],FG,0)),1,0)))</f>
        <v>-</v>
      </c>
      <c r="BG54" s="231" t="str">
        <f>IF(INDEX(Ashmin,MATCH(Table4[[#This Row],[SKU]],FG,0))="-","-",IF(Table4[[#This Row],[%Ash]]="-","-",IF(Table4[[#This Row],[%Ash]]&gt;INDEX(Ashmax,MATCH(Table4[[#This Row],[SKU]],FG,0)),1,0)))</f>
        <v>-</v>
      </c>
      <c r="BH54" s="231" t="str">
        <f>IF(INDEX(Absmin,MATCH(Table4[[#This Row],[SKU]],FG,0))="-","-",IF(Table4[[#This Row],[%Absorption]]="-","-",IF(Table4[[#This Row],[%Absorption]]&lt;INDEX(Absmin,MATCH(Table4[[#This Row],[SKU]],FG,0)),1,0)))</f>
        <v>-</v>
      </c>
      <c r="BI54" s="231" t="str">
        <f>IF(INDEX(Absmin,MATCH(Table4[[#This Row],[SKU]],FG,0))="-","-",IF(Table4[[#This Row],[%Absorption]]="-","-",IF(Table4[[#This Row],[%Absorption]]&gt;INDEX(Absmax,MATCH(Table4[[#This Row],[SKU]],FG,0)),1,0)))</f>
        <v>-</v>
      </c>
      <c r="BJ54" s="231" t="str">
        <f>IF(INDEX(WGmin,MATCH(Table4[[#This Row],[SKU]],FG,0))="-","-",IF(Table4[[#This Row],[%Wet Gluten]]="-","-",IF(Table4[[#This Row],[%Wet Gluten]]&lt;INDEX(WGmin,MATCH(Table4[[#This Row],[SKU]],FG,0)),1,0)))</f>
        <v>-</v>
      </c>
      <c r="BK54" s="231" t="str">
        <f>IF(INDEX(WGmin,MATCH(Table4[[#This Row],[SKU]],FG,0))="-","-",IF(Table4[[#This Row],[%Wet Gluten]]="-","-",IF(Table4[[#This Row],[%Wet Gluten]]&gt;INDEX(WGmax,MATCH(Table4[[#This Row],[SKU]],FG,0)),1,0)))</f>
        <v>-</v>
      </c>
    </row>
    <row r="55" spans="1:63" x14ac:dyDescent="0.35">
      <c r="A55" s="243">
        <v>46023</v>
      </c>
      <c r="B55" s="244">
        <v>46025</v>
      </c>
      <c r="C55" s="244">
        <v>46013</v>
      </c>
      <c r="D55" s="244" t="s">
        <v>130</v>
      </c>
      <c r="E55" s="245">
        <v>0.91666666666666663</v>
      </c>
      <c r="F55" s="246">
        <v>2</v>
      </c>
      <c r="G55" s="259" t="s">
        <v>138</v>
      </c>
      <c r="H55" s="247">
        <v>3.8E-3</v>
      </c>
      <c r="I55" s="248" t="s">
        <v>165</v>
      </c>
      <c r="J55" s="248" t="s">
        <v>165</v>
      </c>
      <c r="K55" s="248" t="s">
        <v>165</v>
      </c>
      <c r="L55" s="248" t="s">
        <v>163</v>
      </c>
      <c r="M55" s="248" t="s">
        <v>161</v>
      </c>
      <c r="N55" s="249">
        <v>11.19</v>
      </c>
      <c r="O55" s="249">
        <v>8.67</v>
      </c>
      <c r="P55" s="249">
        <v>0.48</v>
      </c>
      <c r="Q55" s="249" t="s">
        <v>163</v>
      </c>
      <c r="R55" s="249">
        <v>12.7</v>
      </c>
      <c r="S55" s="250">
        <v>374</v>
      </c>
      <c r="T55" s="249">
        <v>23.36</v>
      </c>
      <c r="U55" s="249" t="s">
        <v>163</v>
      </c>
      <c r="V55" s="251" t="s">
        <v>163</v>
      </c>
      <c r="W55" s="252" t="s">
        <v>165</v>
      </c>
      <c r="X55" s="252" t="s">
        <v>165</v>
      </c>
      <c r="Y55" s="248" t="s">
        <v>163</v>
      </c>
      <c r="Z55" s="231">
        <f>IF(Table4[[#This Row],[ Bran Content]]="-","-",IF(H55&gt;0.02,0,2))</f>
        <v>2</v>
      </c>
      <c r="AA55" s="231">
        <f>IF(Table4[[#This Row],[Sieve Test]]="-","-",IF(Table4[[#This Row],[Sieve Test]]="P",1,0))</f>
        <v>1</v>
      </c>
      <c r="AB55" s="231">
        <f>IF(Table4[[#This Row],[Odor]]="-","-",IF(Table4[[#This Row],[Odor]]="P",2,0))</f>
        <v>2</v>
      </c>
      <c r="AC55" s="231">
        <f>IF(INDEX(MCmin,MATCH(Table4[[#This Row],[SKU]],FG,0))="-","-",IF(Table4[[#This Row],[%MC]]="-","-",IF(Table4[[#This Row],[%MC]]&lt;INDEX(MCmin,MATCH(Table4[[#This Row],[SKU]],FG,0)),0,IF(Table4[[#This Row],[%MC]]&gt;INDEX(MCmax,MATCH(Table4[[#This Row],[SKU]],FG,0)),0,1))))</f>
        <v>1</v>
      </c>
      <c r="AD55" s="231">
        <f>IF(INDEX(Protmin,MATCH(Table4[[#This Row],[SKU]],FG,0))="-","-",IF(Table4[[#This Row],[%Protein]]="-","-",IF(Table4[[#This Row],[%Protein]]&lt;INDEX(Protmin,MATCH(Table4[[#This Row],[SKU]],FG,0)),0,IF(Table4[[#This Row],[%Protein]]&gt;INDEX(Protmax,MATCH(Table4[[#This Row],[SKU]],FG,0)),0,1))))</f>
        <v>1</v>
      </c>
      <c r="AE55" s="231">
        <f>IF(INDEX(Ashmin,MATCH(Table4[[#This Row],[SKU]],FG,0))="-","-",IF(Table4[[#This Row],[%Ash]]="-","-",IF(Table4[[#This Row],[%Ash]]&lt;INDEX(Ashmin,MATCH(Table4[[#This Row],[SKU]],FG,0)),0,IF(Table4[[#This Row],[%Ash]]&gt;INDEX(Ashmax,MATCH(Table4[[#This Row],[SKU]],FG,0)),0,2))))</f>
        <v>2</v>
      </c>
      <c r="AF55" s="231" t="str">
        <f>IF(INDEX(Absmin,MATCH(Table4[[#This Row],[SKU]],FG,0))="-","-",IF(Table4[[#This Row],[%Absorption]]="-","-",IF(Table4[[#This Row],[%Absorption]]&lt;INDEX(Absmin,MATCH(Table4[[#This Row],[SKU]],FG,0)),0,IF(Table4[[#This Row],[%Absorption]]&gt;INDEX(Absmax,MATCH(Table4[[#This Row],[SKU]],FG,0)),0,2))))</f>
        <v>-</v>
      </c>
      <c r="AG55" s="231">
        <f>IF(INDEX(Extmin,MATCH(Table4[[#This Row],[SKU]],FG,0))="-","-",IF(Table4[[#This Row],[%Extensibility]]="-","-",IF(Table4[[#This Row],[%Extensibility]]&lt;INDEX(Extmin,MATCH(Table4[[#This Row],[SKU]],FG,0)),0,IF(Table4[[#This Row],[%Extensibility]]&gt;INDEX(Extmax,MATCH(Table4[[#This Row],[SKU]],FG,0)),0,1))))</f>
        <v>1</v>
      </c>
      <c r="AH55" s="231">
        <f>IF(INDEX(Resmin,MATCH(Table4[[#This Row],[SKU]],FG,0))="-","-",IF(Table4[[#This Row],[Resistance, max]]="-","-",IF(Table4[[#This Row],[Resistance, max]]&lt;INDEX(Resmin,MATCH(Table4[[#This Row],[SKU]],FG,0)),0,IF(Table4[[#This Row],[Resistance, max]]&gt;INDEX(Resmax,MATCH(Table4[[#This Row],[SKU]],FG,0)),0,1))))</f>
        <v>1</v>
      </c>
      <c r="AI55" s="231">
        <f>IF(INDEX(WGmin,MATCH(Table4[[#This Row],[SKU]],FG,0))="-","-",IF(Table4[[#This Row],[%Wet Gluten]]="-","-",IF(Table4[[#This Row],[%Wet Gluten]]&lt;INDEX(WGmin,MATCH(Table4[[#This Row],[SKU]],FG,0)),0,IF(Table4[[#This Row],[%Wet Gluten]]&gt;INDEX(WGmax,MATCH(Table4[[#This Row],[SKU]],FG,0)),0,2))))</f>
        <v>2</v>
      </c>
      <c r="AJ55" s="232" t="str">
        <f>IF(Table4[[#This Row],[FN, s]]="-","-",IF(R55&lt;301,1,0))</f>
        <v>-</v>
      </c>
      <c r="AK55" s="233">
        <f>SUM(Table4[[#This Row],[ QI Bran Content]:[QI FN]])</f>
        <v>13</v>
      </c>
      <c r="AL55" s="232">
        <f t="shared" si="6"/>
        <v>13</v>
      </c>
      <c r="AM55" s="232" t="str">
        <f>IF(INDEX(WGmin,MATCH(Table4[[#This Row],[SKU]],FG,0))="-","-",IF(Table4[[#This Row],[Gross Weight]]="-","-",IF(Table4[[#This Row],[Gross Weight]]&lt;INDEX(GWmin,MATCH(Table4[[#This Row],[SKU]],FG,0)),0,IF(Table4[[#This Row],[Gross Weight]]&gt;INDEX(GWmax,MATCH(Table4[[#This Row],[SKU]],FG,0)),0,1))))</f>
        <v>-</v>
      </c>
      <c r="AN55" s="232">
        <f>IF(Table4[[#This Row],[Sealing Integrity]]="-","-",IF(Table4[[#This Row],[Sealing Integrity]]="P",1,0))</f>
        <v>1</v>
      </c>
      <c r="AO55" s="232">
        <f>IF(Table4[[#This Row],[Coding]]="-","-",IF(Table4[[#This Row],[Coding]]="P",1,0))</f>
        <v>1</v>
      </c>
      <c r="AP55" s="233">
        <f>SUM(Table4[[#This Row],[QI Weight]:[QI Code]])</f>
        <v>2</v>
      </c>
      <c r="AQ55" s="233">
        <f>COUNT(Table4[[#This Row],[QI Weight]:[QI Code]])</f>
        <v>2</v>
      </c>
      <c r="AR55" s="261">
        <f>Table4[[#This Row],[TA]]+Table4[[#This Row],[TA2]]</f>
        <v>15</v>
      </c>
      <c r="AS55" s="261">
        <f>Table4[[#This Row],[TP]]+Table4[[#This Row],[TP2]]</f>
        <v>15</v>
      </c>
      <c r="BD55" s="265">
        <f>IF(INDEX(MCmin,MATCH(Table4[[#This Row],[SKU]],FG,0))="-","-",IF(Table4[[#This Row],[%MC]]="-","-",IF(Table4[[#This Row],[%MC]]&lt;INDEX(MCmin,MATCH(Table4[[#This Row],[SKU]],FG,0)),1,0)))</f>
        <v>0</v>
      </c>
      <c r="BE55" s="265">
        <f>IF(INDEX(MCmin,MATCH(Table4[[#This Row],[SKU]],FG,0))="-","-",IF(Table4[[#This Row],[%MC]]="-","-",IF(Table4[[#This Row],[%MC]]&gt;INDEX(MCmax,MATCH(Table4[[#This Row],[SKU]],FG,0)),1,0)))</f>
        <v>0</v>
      </c>
      <c r="BF55" s="231">
        <f>IF(INDEX(Ashmin,MATCH(Table4[[#This Row],[SKU]],FG,0))="-","-",IF(Table4[[#This Row],[%Ash]]="-","-",IF(Table4[[#This Row],[%Ash]]&lt;INDEX(Ashmin,MATCH(Table4[[#This Row],[SKU]],FG,0)),1,0)))</f>
        <v>0</v>
      </c>
      <c r="BG55" s="231">
        <f>IF(INDEX(Ashmin,MATCH(Table4[[#This Row],[SKU]],FG,0))="-","-",IF(Table4[[#This Row],[%Ash]]="-","-",IF(Table4[[#This Row],[%Ash]]&gt;INDEX(Ashmax,MATCH(Table4[[#This Row],[SKU]],FG,0)),1,0)))</f>
        <v>0</v>
      </c>
      <c r="BH55" s="231" t="str">
        <f>IF(INDEX(Absmin,MATCH(Table4[[#This Row],[SKU]],FG,0))="-","-",IF(Table4[[#This Row],[%Absorption]]="-","-",IF(Table4[[#This Row],[%Absorption]]&lt;INDEX(Absmin,MATCH(Table4[[#This Row],[SKU]],FG,0)),1,0)))</f>
        <v>-</v>
      </c>
      <c r="BI55" s="231" t="str">
        <f>IF(INDEX(Absmin,MATCH(Table4[[#This Row],[SKU]],FG,0))="-","-",IF(Table4[[#This Row],[%Absorption]]="-","-",IF(Table4[[#This Row],[%Absorption]]&gt;INDEX(Absmax,MATCH(Table4[[#This Row],[SKU]],FG,0)),1,0)))</f>
        <v>-</v>
      </c>
      <c r="BJ55" s="231">
        <f>IF(INDEX(WGmin,MATCH(Table4[[#This Row],[SKU]],FG,0))="-","-",IF(Table4[[#This Row],[%Wet Gluten]]="-","-",IF(Table4[[#This Row],[%Wet Gluten]]&lt;INDEX(WGmin,MATCH(Table4[[#This Row],[SKU]],FG,0)),1,0)))</f>
        <v>0</v>
      </c>
      <c r="BK55" s="231">
        <f>IF(INDEX(WGmin,MATCH(Table4[[#This Row],[SKU]],FG,0))="-","-",IF(Table4[[#This Row],[%Wet Gluten]]="-","-",IF(Table4[[#This Row],[%Wet Gluten]]&gt;INDEX(WGmax,MATCH(Table4[[#This Row],[SKU]],FG,0)),1,0)))</f>
        <v>0</v>
      </c>
    </row>
    <row r="56" spans="1:63" x14ac:dyDescent="0.35">
      <c r="A56" s="243">
        <v>46023</v>
      </c>
      <c r="B56" s="244">
        <v>46025</v>
      </c>
      <c r="C56" s="244">
        <v>46013</v>
      </c>
      <c r="D56" s="244" t="s">
        <v>130</v>
      </c>
      <c r="E56" s="245">
        <v>1</v>
      </c>
      <c r="F56" s="246">
        <v>2</v>
      </c>
      <c r="G56" s="259" t="s">
        <v>138</v>
      </c>
      <c r="H56" s="247">
        <v>3.0999999999999999E-3</v>
      </c>
      <c r="I56" s="248" t="s">
        <v>165</v>
      </c>
      <c r="J56" s="248" t="s">
        <v>165</v>
      </c>
      <c r="K56" s="248" t="s">
        <v>165</v>
      </c>
      <c r="L56" s="248" t="s">
        <v>163</v>
      </c>
      <c r="M56" s="248" t="s">
        <v>161</v>
      </c>
      <c r="N56" s="249">
        <v>10.96</v>
      </c>
      <c r="O56" s="249" t="s">
        <v>163</v>
      </c>
      <c r="P56" s="249" t="s">
        <v>163</v>
      </c>
      <c r="Q56" s="249" t="s">
        <v>163</v>
      </c>
      <c r="R56" s="249" t="s">
        <v>163</v>
      </c>
      <c r="S56" s="250" t="s">
        <v>163</v>
      </c>
      <c r="T56" s="249" t="s">
        <v>163</v>
      </c>
      <c r="U56" s="249" t="s">
        <v>163</v>
      </c>
      <c r="V56" s="251" t="s">
        <v>163</v>
      </c>
      <c r="W56" s="252" t="s">
        <v>165</v>
      </c>
      <c r="X56" s="252" t="s">
        <v>165</v>
      </c>
      <c r="Y56" s="248" t="s">
        <v>163</v>
      </c>
      <c r="Z56" s="231">
        <f>IF(Table4[[#This Row],[ Bran Content]]="-","-",IF(H56&gt;0.02,0,2))</f>
        <v>2</v>
      </c>
      <c r="AA56" s="231">
        <f>IF(Table4[[#This Row],[Sieve Test]]="-","-",IF(Table4[[#This Row],[Sieve Test]]="P",1,0))</f>
        <v>1</v>
      </c>
      <c r="AB56" s="231">
        <f>IF(Table4[[#This Row],[Odor]]="-","-",IF(Table4[[#This Row],[Odor]]="P",2,0))</f>
        <v>2</v>
      </c>
      <c r="AC56" s="231">
        <f>IF(INDEX(MCmin,MATCH(Table4[[#This Row],[SKU]],FG,0))="-","-",IF(Table4[[#This Row],[%MC]]="-","-",IF(Table4[[#This Row],[%MC]]&lt;INDEX(MCmin,MATCH(Table4[[#This Row],[SKU]],FG,0)),0,IF(Table4[[#This Row],[%MC]]&gt;INDEX(MCmax,MATCH(Table4[[#This Row],[SKU]],FG,0)),0,1))))</f>
        <v>0</v>
      </c>
      <c r="AD56" s="231" t="str">
        <f>IF(INDEX(Protmin,MATCH(Table4[[#This Row],[SKU]],FG,0))="-","-",IF(Table4[[#This Row],[%Protein]]="-","-",IF(Table4[[#This Row],[%Protein]]&lt;INDEX(Protmin,MATCH(Table4[[#This Row],[SKU]],FG,0)),0,IF(Table4[[#This Row],[%Protein]]&gt;INDEX(Protmax,MATCH(Table4[[#This Row],[SKU]],FG,0)),0,1))))</f>
        <v>-</v>
      </c>
      <c r="AE56" s="231" t="str">
        <f>IF(INDEX(Ashmin,MATCH(Table4[[#This Row],[SKU]],FG,0))="-","-",IF(Table4[[#This Row],[%Ash]]="-","-",IF(Table4[[#This Row],[%Ash]]&lt;INDEX(Ashmin,MATCH(Table4[[#This Row],[SKU]],FG,0)),0,IF(Table4[[#This Row],[%Ash]]&gt;INDEX(Ashmax,MATCH(Table4[[#This Row],[SKU]],FG,0)),0,2))))</f>
        <v>-</v>
      </c>
      <c r="AF56" s="231" t="str">
        <f>IF(INDEX(Absmin,MATCH(Table4[[#This Row],[SKU]],FG,0))="-","-",IF(Table4[[#This Row],[%Absorption]]="-","-",IF(Table4[[#This Row],[%Absorption]]&lt;INDEX(Absmin,MATCH(Table4[[#This Row],[SKU]],FG,0)),0,IF(Table4[[#This Row],[%Absorption]]&gt;INDEX(Absmax,MATCH(Table4[[#This Row],[SKU]],FG,0)),0,2))))</f>
        <v>-</v>
      </c>
      <c r="AG56" s="231" t="str">
        <f>IF(INDEX(Extmin,MATCH(Table4[[#This Row],[SKU]],FG,0))="-","-",IF(Table4[[#This Row],[%Extensibility]]="-","-",IF(Table4[[#This Row],[%Extensibility]]&lt;INDEX(Extmin,MATCH(Table4[[#This Row],[SKU]],FG,0)),0,IF(Table4[[#This Row],[%Extensibility]]&gt;INDEX(Extmax,MATCH(Table4[[#This Row],[SKU]],FG,0)),0,1))))</f>
        <v>-</v>
      </c>
      <c r="AH56" s="231" t="str">
        <f>IF(INDEX(Resmin,MATCH(Table4[[#This Row],[SKU]],FG,0))="-","-",IF(Table4[[#This Row],[Resistance, max]]="-","-",IF(Table4[[#This Row],[Resistance, max]]&lt;INDEX(Resmin,MATCH(Table4[[#This Row],[SKU]],FG,0)),0,IF(Table4[[#This Row],[Resistance, max]]&gt;INDEX(Resmax,MATCH(Table4[[#This Row],[SKU]],FG,0)),0,1))))</f>
        <v>-</v>
      </c>
      <c r="AI56" s="231" t="str">
        <f>IF(INDEX(WGmin,MATCH(Table4[[#This Row],[SKU]],FG,0))="-","-",IF(Table4[[#This Row],[%Wet Gluten]]="-","-",IF(Table4[[#This Row],[%Wet Gluten]]&lt;INDEX(WGmin,MATCH(Table4[[#This Row],[SKU]],FG,0)),0,IF(Table4[[#This Row],[%Wet Gluten]]&gt;INDEX(WGmax,MATCH(Table4[[#This Row],[SKU]],FG,0)),0,2))))</f>
        <v>-</v>
      </c>
      <c r="AJ56" s="232" t="str">
        <f>IF(Table4[[#This Row],[FN, s]]="-","-",IF(R56&lt;301,1,0))</f>
        <v>-</v>
      </c>
      <c r="AK56" s="233">
        <f>SUM(Table4[[#This Row],[ QI Bran Content]:[QI FN]])</f>
        <v>5</v>
      </c>
      <c r="AL56" s="232">
        <f t="shared" si="6"/>
        <v>6</v>
      </c>
      <c r="AM56" s="232" t="str">
        <f>IF(INDEX(WGmin,MATCH(Table4[[#This Row],[SKU]],FG,0))="-","-",IF(Table4[[#This Row],[Gross Weight]]="-","-",IF(Table4[[#This Row],[Gross Weight]]&lt;INDEX(GWmin,MATCH(Table4[[#This Row],[SKU]],FG,0)),0,IF(Table4[[#This Row],[Gross Weight]]&gt;INDEX(GWmax,MATCH(Table4[[#This Row],[SKU]],FG,0)),0,1))))</f>
        <v>-</v>
      </c>
      <c r="AN56" s="232">
        <f>IF(Table4[[#This Row],[Sealing Integrity]]="-","-",IF(Table4[[#This Row],[Sealing Integrity]]="P",1,0))</f>
        <v>1</v>
      </c>
      <c r="AO56" s="232">
        <f>IF(Table4[[#This Row],[Coding]]="-","-",IF(Table4[[#This Row],[Coding]]="P",1,0))</f>
        <v>1</v>
      </c>
      <c r="AP56" s="233">
        <f>SUM(Table4[[#This Row],[QI Weight]:[QI Code]])</f>
        <v>2</v>
      </c>
      <c r="AQ56" s="233">
        <f>COUNT(Table4[[#This Row],[QI Weight]:[QI Code]])</f>
        <v>2</v>
      </c>
      <c r="AR56" s="261">
        <f>Table4[[#This Row],[TA]]+Table4[[#This Row],[TA2]]</f>
        <v>7</v>
      </c>
      <c r="AS56" s="261">
        <f>Table4[[#This Row],[TP]]+Table4[[#This Row],[TP2]]</f>
        <v>8</v>
      </c>
      <c r="BD56" s="265">
        <f>IF(INDEX(MCmin,MATCH(Table4[[#This Row],[SKU]],FG,0))="-","-",IF(Table4[[#This Row],[%MC]]="-","-",IF(Table4[[#This Row],[%MC]]&lt;INDEX(MCmin,MATCH(Table4[[#This Row],[SKU]],FG,0)),1,0)))</f>
        <v>1</v>
      </c>
      <c r="BE56" s="265">
        <f>IF(INDEX(MCmin,MATCH(Table4[[#This Row],[SKU]],FG,0))="-","-",IF(Table4[[#This Row],[%MC]]="-","-",IF(Table4[[#This Row],[%MC]]&gt;INDEX(MCmax,MATCH(Table4[[#This Row],[SKU]],FG,0)),1,0)))</f>
        <v>0</v>
      </c>
      <c r="BF56" s="231" t="str">
        <f>IF(INDEX(Ashmin,MATCH(Table4[[#This Row],[SKU]],FG,0))="-","-",IF(Table4[[#This Row],[%Ash]]="-","-",IF(Table4[[#This Row],[%Ash]]&lt;INDEX(Ashmin,MATCH(Table4[[#This Row],[SKU]],FG,0)),1,0)))</f>
        <v>-</v>
      </c>
      <c r="BG56" s="231" t="str">
        <f>IF(INDEX(Ashmin,MATCH(Table4[[#This Row],[SKU]],FG,0))="-","-",IF(Table4[[#This Row],[%Ash]]="-","-",IF(Table4[[#This Row],[%Ash]]&gt;INDEX(Ashmax,MATCH(Table4[[#This Row],[SKU]],FG,0)),1,0)))</f>
        <v>-</v>
      </c>
      <c r="BH56" s="231" t="str">
        <f>IF(INDEX(Absmin,MATCH(Table4[[#This Row],[SKU]],FG,0))="-","-",IF(Table4[[#This Row],[%Absorption]]="-","-",IF(Table4[[#This Row],[%Absorption]]&lt;INDEX(Absmin,MATCH(Table4[[#This Row],[SKU]],FG,0)),1,0)))</f>
        <v>-</v>
      </c>
      <c r="BI56" s="231" t="str">
        <f>IF(INDEX(Absmin,MATCH(Table4[[#This Row],[SKU]],FG,0))="-","-",IF(Table4[[#This Row],[%Absorption]]="-","-",IF(Table4[[#This Row],[%Absorption]]&gt;INDEX(Absmax,MATCH(Table4[[#This Row],[SKU]],FG,0)),1,0)))</f>
        <v>-</v>
      </c>
      <c r="BJ56" s="231" t="str">
        <f>IF(INDEX(WGmin,MATCH(Table4[[#This Row],[SKU]],FG,0))="-","-",IF(Table4[[#This Row],[%Wet Gluten]]="-","-",IF(Table4[[#This Row],[%Wet Gluten]]&lt;INDEX(WGmin,MATCH(Table4[[#This Row],[SKU]],FG,0)),1,0)))</f>
        <v>-</v>
      </c>
      <c r="BK56" s="231" t="str">
        <f>IF(INDEX(WGmin,MATCH(Table4[[#This Row],[SKU]],FG,0))="-","-",IF(Table4[[#This Row],[%Wet Gluten]]="-","-",IF(Table4[[#This Row],[%Wet Gluten]]&gt;INDEX(WGmax,MATCH(Table4[[#This Row],[SKU]],FG,0)),1,0)))</f>
        <v>-</v>
      </c>
    </row>
    <row r="57" spans="1:63" x14ac:dyDescent="0.35">
      <c r="A57" s="243">
        <v>46023</v>
      </c>
      <c r="B57" s="244">
        <v>46025</v>
      </c>
      <c r="C57" s="244">
        <v>46013</v>
      </c>
      <c r="D57" s="244" t="s">
        <v>125</v>
      </c>
      <c r="E57" s="245" t="s">
        <v>240</v>
      </c>
      <c r="F57" s="246">
        <v>2</v>
      </c>
      <c r="G57" s="259" t="s">
        <v>140</v>
      </c>
      <c r="H57" s="247">
        <v>1.4E-3</v>
      </c>
      <c r="I57" s="248" t="s">
        <v>165</v>
      </c>
      <c r="J57" s="248" t="s">
        <v>165</v>
      </c>
      <c r="K57" s="248" t="s">
        <v>165</v>
      </c>
      <c r="L57" s="248" t="s">
        <v>163</v>
      </c>
      <c r="M57" s="248" t="s">
        <v>161</v>
      </c>
      <c r="N57" s="249">
        <v>11.32</v>
      </c>
      <c r="O57" s="249">
        <v>8.57</v>
      </c>
      <c r="P57" s="249">
        <v>0.46</v>
      </c>
      <c r="Q57" s="249">
        <v>53.6</v>
      </c>
      <c r="R57" s="249" t="s">
        <v>163</v>
      </c>
      <c r="S57" s="250" t="s">
        <v>163</v>
      </c>
      <c r="T57" s="249">
        <v>23</v>
      </c>
      <c r="U57" s="249" t="s">
        <v>163</v>
      </c>
      <c r="V57" s="251">
        <v>25.13</v>
      </c>
      <c r="W57" s="252" t="s">
        <v>165</v>
      </c>
      <c r="X57" s="252" t="s">
        <v>165</v>
      </c>
      <c r="Y57" s="248" t="s">
        <v>163</v>
      </c>
      <c r="Z57" s="231">
        <f>IF(Table4[[#This Row],[ Bran Content]]="-","-",IF(H57&gt;0.02,0,2))</f>
        <v>2</v>
      </c>
      <c r="AA57" s="231">
        <f>IF(Table4[[#This Row],[Sieve Test]]="-","-",IF(Table4[[#This Row],[Sieve Test]]="P",1,0))</f>
        <v>1</v>
      </c>
      <c r="AB57" s="231">
        <f>IF(Table4[[#This Row],[Odor]]="-","-",IF(Table4[[#This Row],[Odor]]="P",2,0))</f>
        <v>2</v>
      </c>
      <c r="AC57" s="231">
        <f>IF(INDEX(MCmin,MATCH(Table4[[#This Row],[SKU]],FG,0))="-","-",IF(Table4[[#This Row],[%MC]]="-","-",IF(Table4[[#This Row],[%MC]]&lt;INDEX(MCmin,MATCH(Table4[[#This Row],[SKU]],FG,0)),0,IF(Table4[[#This Row],[%MC]]&gt;INDEX(MCmax,MATCH(Table4[[#This Row],[SKU]],FG,0)),0,1))))</f>
        <v>1</v>
      </c>
      <c r="AD57" s="231">
        <f>IF(INDEX(Protmin,MATCH(Table4[[#This Row],[SKU]],FG,0))="-","-",IF(Table4[[#This Row],[%Protein]]="-","-",IF(Table4[[#This Row],[%Protein]]&lt;INDEX(Protmin,MATCH(Table4[[#This Row],[SKU]],FG,0)),0,IF(Table4[[#This Row],[%Protein]]&gt;INDEX(Protmax,MATCH(Table4[[#This Row],[SKU]],FG,0)),0,1))))</f>
        <v>1</v>
      </c>
      <c r="AE57" s="231">
        <f>IF(INDEX(Ashmin,MATCH(Table4[[#This Row],[SKU]],FG,0))="-","-",IF(Table4[[#This Row],[%Ash]]="-","-",IF(Table4[[#This Row],[%Ash]]&lt;INDEX(Ashmin,MATCH(Table4[[#This Row],[SKU]],FG,0)),0,IF(Table4[[#This Row],[%Ash]]&gt;INDEX(Ashmax,MATCH(Table4[[#This Row],[SKU]],FG,0)),0,2))))</f>
        <v>2</v>
      </c>
      <c r="AF57" s="231">
        <f>IF(INDEX(Absmin,MATCH(Table4[[#This Row],[SKU]],FG,0))="-","-",IF(Table4[[#This Row],[%Absorption]]="-","-",IF(Table4[[#This Row],[%Absorption]]&lt;INDEX(Absmin,MATCH(Table4[[#This Row],[SKU]],FG,0)),0,IF(Table4[[#This Row],[%Absorption]]&gt;INDEX(Absmax,MATCH(Table4[[#This Row],[SKU]],FG,0)),0,2))))</f>
        <v>0</v>
      </c>
      <c r="AG57" s="231" t="str">
        <f>IF(INDEX(Extmin,MATCH(Table4[[#This Row],[SKU]],FG,0))="-","-",IF(Table4[[#This Row],[%Extensibility]]="-","-",IF(Table4[[#This Row],[%Extensibility]]&lt;INDEX(Extmin,MATCH(Table4[[#This Row],[SKU]],FG,0)),0,IF(Table4[[#This Row],[%Extensibility]]&gt;INDEX(Extmax,MATCH(Table4[[#This Row],[SKU]],FG,0)),0,1))))</f>
        <v>-</v>
      </c>
      <c r="AH57" s="231" t="str">
        <f>IF(INDEX(Resmin,MATCH(Table4[[#This Row],[SKU]],FG,0))="-","-",IF(Table4[[#This Row],[Resistance, max]]="-","-",IF(Table4[[#This Row],[Resistance, max]]&lt;INDEX(Resmin,MATCH(Table4[[#This Row],[SKU]],FG,0)),0,IF(Table4[[#This Row],[Resistance, max]]&gt;INDEX(Resmax,MATCH(Table4[[#This Row],[SKU]],FG,0)),0,1))))</f>
        <v>-</v>
      </c>
      <c r="AI57" s="231">
        <f>IF(INDEX(WGmin,MATCH(Table4[[#This Row],[SKU]],FG,0))="-","-",IF(Table4[[#This Row],[%Wet Gluten]]="-","-",IF(Table4[[#This Row],[%Wet Gluten]]&lt;INDEX(WGmin,MATCH(Table4[[#This Row],[SKU]],FG,0)),0,IF(Table4[[#This Row],[%Wet Gluten]]&gt;INDEX(WGmax,MATCH(Table4[[#This Row],[SKU]],FG,0)),0,2))))</f>
        <v>2</v>
      </c>
      <c r="AJ57" s="232" t="str">
        <f>IF(Table4[[#This Row],[FN, s]]="-","-",IF(R57&lt;301,1,0))</f>
        <v>-</v>
      </c>
      <c r="AK57" s="233">
        <f>SUM(Table4[[#This Row],[ QI Bran Content]:[QI FN]])</f>
        <v>11</v>
      </c>
      <c r="AL57" s="232">
        <f t="shared" si="6"/>
        <v>13</v>
      </c>
      <c r="AM57" s="232">
        <f>IF(INDEX(WGmin,MATCH(Table4[[#This Row],[SKU]],FG,0))="-","-",IF(Table4[[#This Row],[Gross Weight]]="-","-",IF(Table4[[#This Row],[Gross Weight]]&lt;INDEX(GWmin,MATCH(Table4[[#This Row],[SKU]],FG,0)),0,IF(Table4[[#This Row],[Gross Weight]]&gt;INDEX(GWmax,MATCH(Table4[[#This Row],[SKU]],FG,0)),0,1))))</f>
        <v>1</v>
      </c>
      <c r="AN57" s="232">
        <f>IF(Table4[[#This Row],[Sealing Integrity]]="-","-",IF(Table4[[#This Row],[Sealing Integrity]]="P",1,0))</f>
        <v>1</v>
      </c>
      <c r="AO57" s="232">
        <f>IF(Table4[[#This Row],[Coding]]="-","-",IF(Table4[[#This Row],[Coding]]="P",1,0))</f>
        <v>1</v>
      </c>
      <c r="AP57" s="233">
        <f>SUM(Table4[[#This Row],[QI Weight]:[QI Code]])</f>
        <v>3</v>
      </c>
      <c r="AQ57" s="233">
        <f>COUNT(Table4[[#This Row],[QI Weight]:[QI Code]])</f>
        <v>3</v>
      </c>
      <c r="AR57" s="261">
        <f>Table4[[#This Row],[TA]]+Table4[[#This Row],[TA2]]</f>
        <v>14</v>
      </c>
      <c r="AS57" s="261">
        <f>Table4[[#This Row],[TP]]+Table4[[#This Row],[TP2]]</f>
        <v>16</v>
      </c>
      <c r="BD57" s="265">
        <f>IF(INDEX(MCmin,MATCH(Table4[[#This Row],[SKU]],FG,0))="-","-",IF(Table4[[#This Row],[%MC]]="-","-",IF(Table4[[#This Row],[%MC]]&lt;INDEX(MCmin,MATCH(Table4[[#This Row],[SKU]],FG,0)),1,0)))</f>
        <v>0</v>
      </c>
      <c r="BE57" s="265">
        <f>IF(INDEX(MCmin,MATCH(Table4[[#This Row],[SKU]],FG,0))="-","-",IF(Table4[[#This Row],[%MC]]="-","-",IF(Table4[[#This Row],[%MC]]&gt;INDEX(MCmax,MATCH(Table4[[#This Row],[SKU]],FG,0)),1,0)))</f>
        <v>0</v>
      </c>
      <c r="BF57" s="231">
        <f>IF(INDEX(Ashmin,MATCH(Table4[[#This Row],[SKU]],FG,0))="-","-",IF(Table4[[#This Row],[%Ash]]="-","-",IF(Table4[[#This Row],[%Ash]]&lt;INDEX(Ashmin,MATCH(Table4[[#This Row],[SKU]],FG,0)),1,0)))</f>
        <v>0</v>
      </c>
      <c r="BG57" s="231">
        <f>IF(INDEX(Ashmin,MATCH(Table4[[#This Row],[SKU]],FG,0))="-","-",IF(Table4[[#This Row],[%Ash]]="-","-",IF(Table4[[#This Row],[%Ash]]&gt;INDEX(Ashmax,MATCH(Table4[[#This Row],[SKU]],FG,0)),1,0)))</f>
        <v>0</v>
      </c>
      <c r="BH57" s="231">
        <f>IF(INDEX(Absmin,MATCH(Table4[[#This Row],[SKU]],FG,0))="-","-",IF(Table4[[#This Row],[%Absorption]]="-","-",IF(Table4[[#This Row],[%Absorption]]&lt;INDEX(Absmin,MATCH(Table4[[#This Row],[SKU]],FG,0)),1,0)))</f>
        <v>1</v>
      </c>
      <c r="BI57" s="231">
        <f>IF(INDEX(Absmin,MATCH(Table4[[#This Row],[SKU]],FG,0))="-","-",IF(Table4[[#This Row],[%Absorption]]="-","-",IF(Table4[[#This Row],[%Absorption]]&gt;INDEX(Absmax,MATCH(Table4[[#This Row],[SKU]],FG,0)),1,0)))</f>
        <v>0</v>
      </c>
      <c r="BJ57" s="231">
        <f>IF(INDEX(WGmin,MATCH(Table4[[#This Row],[SKU]],FG,0))="-","-",IF(Table4[[#This Row],[%Wet Gluten]]="-","-",IF(Table4[[#This Row],[%Wet Gluten]]&lt;INDEX(WGmin,MATCH(Table4[[#This Row],[SKU]],FG,0)),1,0)))</f>
        <v>0</v>
      </c>
      <c r="BK57" s="231">
        <f>IF(INDEX(WGmin,MATCH(Table4[[#This Row],[SKU]],FG,0))="-","-",IF(Table4[[#This Row],[%Wet Gluten]]="-","-",IF(Table4[[#This Row],[%Wet Gluten]]&gt;INDEX(WGmax,MATCH(Table4[[#This Row],[SKU]],FG,0)),1,0)))</f>
        <v>0</v>
      </c>
    </row>
    <row r="58" spans="1:63" x14ac:dyDescent="0.35">
      <c r="A58" s="243">
        <v>46023</v>
      </c>
      <c r="B58" s="244">
        <v>46025</v>
      </c>
      <c r="C58" s="244">
        <v>46013</v>
      </c>
      <c r="D58" s="244" t="s">
        <v>125</v>
      </c>
      <c r="E58" s="245">
        <v>0.45833333333333331</v>
      </c>
      <c r="F58" s="246">
        <v>2</v>
      </c>
      <c r="G58" s="259" t="s">
        <v>140</v>
      </c>
      <c r="H58" s="247">
        <v>2E-3</v>
      </c>
      <c r="I58" s="248" t="s">
        <v>165</v>
      </c>
      <c r="J58" s="248" t="s">
        <v>165</v>
      </c>
      <c r="K58" s="248" t="s">
        <v>165</v>
      </c>
      <c r="L58" s="248" t="s">
        <v>163</v>
      </c>
      <c r="M58" s="248" t="s">
        <v>161</v>
      </c>
      <c r="N58" s="249">
        <v>11.89</v>
      </c>
      <c r="O58" s="249" t="s">
        <v>163</v>
      </c>
      <c r="P58" s="249" t="s">
        <v>163</v>
      </c>
      <c r="Q58" s="249" t="s">
        <v>163</v>
      </c>
      <c r="R58" s="249" t="s">
        <v>163</v>
      </c>
      <c r="S58" s="250" t="s">
        <v>163</v>
      </c>
      <c r="T58" s="249" t="s">
        <v>163</v>
      </c>
      <c r="U58" s="249" t="s">
        <v>163</v>
      </c>
      <c r="V58" s="251" t="s">
        <v>163</v>
      </c>
      <c r="W58" s="252" t="s">
        <v>165</v>
      </c>
      <c r="X58" s="252" t="s">
        <v>165</v>
      </c>
      <c r="Y58" s="248" t="s">
        <v>163</v>
      </c>
      <c r="Z58" s="231">
        <f>IF(Table4[[#This Row],[ Bran Content]]="-","-",IF(H58&gt;0.02,0,2))</f>
        <v>2</v>
      </c>
      <c r="AA58" s="231">
        <f>IF(Table4[[#This Row],[Sieve Test]]="-","-",IF(Table4[[#This Row],[Sieve Test]]="P",1,0))</f>
        <v>1</v>
      </c>
      <c r="AB58" s="231">
        <f>IF(Table4[[#This Row],[Odor]]="-","-",IF(Table4[[#This Row],[Odor]]="P",2,0))</f>
        <v>2</v>
      </c>
      <c r="AC58" s="231">
        <f>IF(INDEX(MCmin,MATCH(Table4[[#This Row],[SKU]],FG,0))="-","-",IF(Table4[[#This Row],[%MC]]="-","-",IF(Table4[[#This Row],[%MC]]&lt;INDEX(MCmin,MATCH(Table4[[#This Row],[SKU]],FG,0)),0,IF(Table4[[#This Row],[%MC]]&gt;INDEX(MCmax,MATCH(Table4[[#This Row],[SKU]],FG,0)),0,1))))</f>
        <v>1</v>
      </c>
      <c r="AD58" s="231" t="str">
        <f>IF(INDEX(Protmin,MATCH(Table4[[#This Row],[SKU]],FG,0))="-","-",IF(Table4[[#This Row],[%Protein]]="-","-",IF(Table4[[#This Row],[%Protein]]&lt;INDEX(Protmin,MATCH(Table4[[#This Row],[SKU]],FG,0)),0,IF(Table4[[#This Row],[%Protein]]&gt;INDEX(Protmax,MATCH(Table4[[#This Row],[SKU]],FG,0)),0,1))))</f>
        <v>-</v>
      </c>
      <c r="AE58" s="231" t="str">
        <f>IF(INDEX(Ashmin,MATCH(Table4[[#This Row],[SKU]],FG,0))="-","-",IF(Table4[[#This Row],[%Ash]]="-","-",IF(Table4[[#This Row],[%Ash]]&lt;INDEX(Ashmin,MATCH(Table4[[#This Row],[SKU]],FG,0)),0,IF(Table4[[#This Row],[%Ash]]&gt;INDEX(Ashmax,MATCH(Table4[[#This Row],[SKU]],FG,0)),0,2))))</f>
        <v>-</v>
      </c>
      <c r="AF58" s="231" t="str">
        <f>IF(INDEX(Absmin,MATCH(Table4[[#This Row],[SKU]],FG,0))="-","-",IF(Table4[[#This Row],[%Absorption]]="-","-",IF(Table4[[#This Row],[%Absorption]]&lt;INDEX(Absmin,MATCH(Table4[[#This Row],[SKU]],FG,0)),0,IF(Table4[[#This Row],[%Absorption]]&gt;INDEX(Absmax,MATCH(Table4[[#This Row],[SKU]],FG,0)),0,2))))</f>
        <v>-</v>
      </c>
      <c r="AG58" s="231" t="str">
        <f>IF(INDEX(Extmin,MATCH(Table4[[#This Row],[SKU]],FG,0))="-","-",IF(Table4[[#This Row],[%Extensibility]]="-","-",IF(Table4[[#This Row],[%Extensibility]]&lt;INDEX(Extmin,MATCH(Table4[[#This Row],[SKU]],FG,0)),0,IF(Table4[[#This Row],[%Extensibility]]&gt;INDEX(Extmax,MATCH(Table4[[#This Row],[SKU]],FG,0)),0,1))))</f>
        <v>-</v>
      </c>
      <c r="AH58" s="231" t="str">
        <f>IF(INDEX(Resmin,MATCH(Table4[[#This Row],[SKU]],FG,0))="-","-",IF(Table4[[#This Row],[Resistance, max]]="-","-",IF(Table4[[#This Row],[Resistance, max]]&lt;INDEX(Resmin,MATCH(Table4[[#This Row],[SKU]],FG,0)),0,IF(Table4[[#This Row],[Resistance, max]]&gt;INDEX(Resmax,MATCH(Table4[[#This Row],[SKU]],FG,0)),0,1))))</f>
        <v>-</v>
      </c>
      <c r="AI58" s="231" t="str">
        <f>IF(INDEX(WGmin,MATCH(Table4[[#This Row],[SKU]],FG,0))="-","-",IF(Table4[[#This Row],[%Wet Gluten]]="-","-",IF(Table4[[#This Row],[%Wet Gluten]]&lt;INDEX(WGmin,MATCH(Table4[[#This Row],[SKU]],FG,0)),0,IF(Table4[[#This Row],[%Wet Gluten]]&gt;INDEX(WGmax,MATCH(Table4[[#This Row],[SKU]],FG,0)),0,2))))</f>
        <v>-</v>
      </c>
      <c r="AJ58" s="232" t="str">
        <f>IF(Table4[[#This Row],[FN, s]]="-","-",IF(R58&lt;301,1,0))</f>
        <v>-</v>
      </c>
      <c r="AK58" s="233">
        <f>SUM(Table4[[#This Row],[ QI Bran Content]:[QI FN]])</f>
        <v>6</v>
      </c>
      <c r="AL58" s="232">
        <f t="shared" si="6"/>
        <v>6</v>
      </c>
      <c r="AM58" s="232" t="str">
        <f>IF(INDEX(WGmin,MATCH(Table4[[#This Row],[SKU]],FG,0))="-","-",IF(Table4[[#This Row],[Gross Weight]]="-","-",IF(Table4[[#This Row],[Gross Weight]]&lt;INDEX(GWmin,MATCH(Table4[[#This Row],[SKU]],FG,0)),0,IF(Table4[[#This Row],[Gross Weight]]&gt;INDEX(GWmax,MATCH(Table4[[#This Row],[SKU]],FG,0)),0,1))))</f>
        <v>-</v>
      </c>
      <c r="AN58" s="232">
        <f>IF(Table4[[#This Row],[Sealing Integrity]]="-","-",IF(Table4[[#This Row],[Sealing Integrity]]="P",1,0))</f>
        <v>1</v>
      </c>
      <c r="AO58" s="232">
        <f>IF(Table4[[#This Row],[Coding]]="-","-",IF(Table4[[#This Row],[Coding]]="P",1,0))</f>
        <v>1</v>
      </c>
      <c r="AP58" s="233">
        <f>SUM(Table4[[#This Row],[QI Weight]:[QI Code]])</f>
        <v>2</v>
      </c>
      <c r="AQ58" s="233">
        <f>COUNT(Table4[[#This Row],[QI Weight]:[QI Code]])</f>
        <v>2</v>
      </c>
      <c r="AR58" s="261">
        <f>Table4[[#This Row],[TA]]+Table4[[#This Row],[TA2]]</f>
        <v>8</v>
      </c>
      <c r="AS58" s="261">
        <f>Table4[[#This Row],[TP]]+Table4[[#This Row],[TP2]]</f>
        <v>8</v>
      </c>
      <c r="BD58" s="265">
        <f>IF(INDEX(MCmin,MATCH(Table4[[#This Row],[SKU]],FG,0))="-","-",IF(Table4[[#This Row],[%MC]]="-","-",IF(Table4[[#This Row],[%MC]]&lt;INDEX(MCmin,MATCH(Table4[[#This Row],[SKU]],FG,0)),1,0)))</f>
        <v>0</v>
      </c>
      <c r="BE58" s="265">
        <f>IF(INDEX(MCmin,MATCH(Table4[[#This Row],[SKU]],FG,0))="-","-",IF(Table4[[#This Row],[%MC]]="-","-",IF(Table4[[#This Row],[%MC]]&gt;INDEX(MCmax,MATCH(Table4[[#This Row],[SKU]],FG,0)),1,0)))</f>
        <v>0</v>
      </c>
      <c r="BF58" s="231" t="str">
        <f>IF(INDEX(Ashmin,MATCH(Table4[[#This Row],[SKU]],FG,0))="-","-",IF(Table4[[#This Row],[%Ash]]="-","-",IF(Table4[[#This Row],[%Ash]]&lt;INDEX(Ashmin,MATCH(Table4[[#This Row],[SKU]],FG,0)),1,0)))</f>
        <v>-</v>
      </c>
      <c r="BG58" s="231" t="str">
        <f>IF(INDEX(Ashmin,MATCH(Table4[[#This Row],[SKU]],FG,0))="-","-",IF(Table4[[#This Row],[%Ash]]="-","-",IF(Table4[[#This Row],[%Ash]]&gt;INDEX(Ashmax,MATCH(Table4[[#This Row],[SKU]],FG,0)),1,0)))</f>
        <v>-</v>
      </c>
      <c r="BH58" s="231" t="str">
        <f>IF(INDEX(Absmin,MATCH(Table4[[#This Row],[SKU]],FG,0))="-","-",IF(Table4[[#This Row],[%Absorption]]="-","-",IF(Table4[[#This Row],[%Absorption]]&lt;INDEX(Absmin,MATCH(Table4[[#This Row],[SKU]],FG,0)),1,0)))</f>
        <v>-</v>
      </c>
      <c r="BI58" s="231" t="str">
        <f>IF(INDEX(Absmin,MATCH(Table4[[#This Row],[SKU]],FG,0))="-","-",IF(Table4[[#This Row],[%Absorption]]="-","-",IF(Table4[[#This Row],[%Absorption]]&gt;INDEX(Absmax,MATCH(Table4[[#This Row],[SKU]],FG,0)),1,0)))</f>
        <v>-</v>
      </c>
      <c r="BJ58" s="231" t="str">
        <f>IF(INDEX(WGmin,MATCH(Table4[[#This Row],[SKU]],FG,0))="-","-",IF(Table4[[#This Row],[%Wet Gluten]]="-","-",IF(Table4[[#This Row],[%Wet Gluten]]&lt;INDEX(WGmin,MATCH(Table4[[#This Row],[SKU]],FG,0)),1,0)))</f>
        <v>-</v>
      </c>
      <c r="BK58" s="231" t="str">
        <f>IF(INDEX(WGmin,MATCH(Table4[[#This Row],[SKU]],FG,0))="-","-",IF(Table4[[#This Row],[%Wet Gluten]]="-","-",IF(Table4[[#This Row],[%Wet Gluten]]&gt;INDEX(WGmax,MATCH(Table4[[#This Row],[SKU]],FG,0)),1,0)))</f>
        <v>-</v>
      </c>
    </row>
    <row r="59" spans="1:63" x14ac:dyDescent="0.35">
      <c r="A59" s="243">
        <v>46023</v>
      </c>
      <c r="B59" s="244">
        <v>46025</v>
      </c>
      <c r="C59" s="244">
        <v>46013</v>
      </c>
      <c r="D59" s="244" t="s">
        <v>125</v>
      </c>
      <c r="E59" s="245">
        <v>0.54166666666666663</v>
      </c>
      <c r="F59" s="246">
        <v>2</v>
      </c>
      <c r="G59" s="259" t="s">
        <v>140</v>
      </c>
      <c r="H59" s="247">
        <v>2.3999999999999998E-3</v>
      </c>
      <c r="I59" s="248" t="s">
        <v>165</v>
      </c>
      <c r="J59" s="248" t="s">
        <v>165</v>
      </c>
      <c r="K59" s="248" t="s">
        <v>165</v>
      </c>
      <c r="L59" s="248" t="s">
        <v>163</v>
      </c>
      <c r="M59" s="248" t="s">
        <v>161</v>
      </c>
      <c r="N59" s="249">
        <v>11.23</v>
      </c>
      <c r="O59" s="249" t="s">
        <v>163</v>
      </c>
      <c r="P59" s="249" t="s">
        <v>163</v>
      </c>
      <c r="Q59" s="249" t="s">
        <v>163</v>
      </c>
      <c r="R59" s="249" t="s">
        <v>163</v>
      </c>
      <c r="S59" s="250" t="s">
        <v>163</v>
      </c>
      <c r="T59" s="249" t="s">
        <v>163</v>
      </c>
      <c r="U59" s="249" t="s">
        <v>163</v>
      </c>
      <c r="V59" s="251" t="s">
        <v>163</v>
      </c>
      <c r="W59" s="252" t="s">
        <v>165</v>
      </c>
      <c r="X59" s="252" t="s">
        <v>165</v>
      </c>
      <c r="Y59" s="248" t="s">
        <v>163</v>
      </c>
      <c r="Z59" s="231">
        <f>IF(Table4[[#This Row],[ Bran Content]]="-","-",IF(H59&gt;0.02,0,2))</f>
        <v>2</v>
      </c>
      <c r="AA59" s="231">
        <f>IF(Table4[[#This Row],[Sieve Test]]="-","-",IF(Table4[[#This Row],[Sieve Test]]="P",1,0))</f>
        <v>1</v>
      </c>
      <c r="AB59" s="231">
        <f>IF(Table4[[#This Row],[Odor]]="-","-",IF(Table4[[#This Row],[Odor]]="P",2,0))</f>
        <v>2</v>
      </c>
      <c r="AC59" s="231">
        <f>IF(INDEX(MCmin,MATCH(Table4[[#This Row],[SKU]],FG,0))="-","-",IF(Table4[[#This Row],[%MC]]="-","-",IF(Table4[[#This Row],[%MC]]&lt;INDEX(MCmin,MATCH(Table4[[#This Row],[SKU]],FG,0)),0,IF(Table4[[#This Row],[%MC]]&gt;INDEX(MCmax,MATCH(Table4[[#This Row],[SKU]],FG,0)),0,1))))</f>
        <v>1</v>
      </c>
      <c r="AD59" s="231" t="str">
        <f>IF(INDEX(Protmin,MATCH(Table4[[#This Row],[SKU]],FG,0))="-","-",IF(Table4[[#This Row],[%Protein]]="-","-",IF(Table4[[#This Row],[%Protein]]&lt;INDEX(Protmin,MATCH(Table4[[#This Row],[SKU]],FG,0)),0,IF(Table4[[#This Row],[%Protein]]&gt;INDEX(Protmax,MATCH(Table4[[#This Row],[SKU]],FG,0)),0,1))))</f>
        <v>-</v>
      </c>
      <c r="AE59" s="231" t="str">
        <f>IF(INDEX(Ashmin,MATCH(Table4[[#This Row],[SKU]],FG,0))="-","-",IF(Table4[[#This Row],[%Ash]]="-","-",IF(Table4[[#This Row],[%Ash]]&lt;INDEX(Ashmin,MATCH(Table4[[#This Row],[SKU]],FG,0)),0,IF(Table4[[#This Row],[%Ash]]&gt;INDEX(Ashmax,MATCH(Table4[[#This Row],[SKU]],FG,0)),0,2))))</f>
        <v>-</v>
      </c>
      <c r="AF59" s="231" t="str">
        <f>IF(INDEX(Absmin,MATCH(Table4[[#This Row],[SKU]],FG,0))="-","-",IF(Table4[[#This Row],[%Absorption]]="-","-",IF(Table4[[#This Row],[%Absorption]]&lt;INDEX(Absmin,MATCH(Table4[[#This Row],[SKU]],FG,0)),0,IF(Table4[[#This Row],[%Absorption]]&gt;INDEX(Absmax,MATCH(Table4[[#This Row],[SKU]],FG,0)),0,2))))</f>
        <v>-</v>
      </c>
      <c r="AG59" s="231" t="str">
        <f>IF(INDEX(Extmin,MATCH(Table4[[#This Row],[SKU]],FG,0))="-","-",IF(Table4[[#This Row],[%Extensibility]]="-","-",IF(Table4[[#This Row],[%Extensibility]]&lt;INDEX(Extmin,MATCH(Table4[[#This Row],[SKU]],FG,0)),0,IF(Table4[[#This Row],[%Extensibility]]&gt;INDEX(Extmax,MATCH(Table4[[#This Row],[SKU]],FG,0)),0,1))))</f>
        <v>-</v>
      </c>
      <c r="AH59" s="231" t="str">
        <f>IF(INDEX(Resmin,MATCH(Table4[[#This Row],[SKU]],FG,0))="-","-",IF(Table4[[#This Row],[Resistance, max]]="-","-",IF(Table4[[#This Row],[Resistance, max]]&lt;INDEX(Resmin,MATCH(Table4[[#This Row],[SKU]],FG,0)),0,IF(Table4[[#This Row],[Resistance, max]]&gt;INDEX(Resmax,MATCH(Table4[[#This Row],[SKU]],FG,0)),0,1))))</f>
        <v>-</v>
      </c>
      <c r="AI59" s="231" t="str">
        <f>IF(INDEX(WGmin,MATCH(Table4[[#This Row],[SKU]],FG,0))="-","-",IF(Table4[[#This Row],[%Wet Gluten]]="-","-",IF(Table4[[#This Row],[%Wet Gluten]]&lt;INDEX(WGmin,MATCH(Table4[[#This Row],[SKU]],FG,0)),0,IF(Table4[[#This Row],[%Wet Gluten]]&gt;INDEX(WGmax,MATCH(Table4[[#This Row],[SKU]],FG,0)),0,2))))</f>
        <v>-</v>
      </c>
      <c r="AJ59" s="232" t="str">
        <f>IF(Table4[[#This Row],[FN, s]]="-","-",IF(R59&lt;301,1,0))</f>
        <v>-</v>
      </c>
      <c r="AK59" s="233">
        <f>SUM(Table4[[#This Row],[ QI Bran Content]:[QI FN]])</f>
        <v>6</v>
      </c>
      <c r="AL59" s="232">
        <f t="shared" si="6"/>
        <v>6</v>
      </c>
      <c r="AM59" s="232" t="str">
        <f>IF(INDEX(WGmin,MATCH(Table4[[#This Row],[SKU]],FG,0))="-","-",IF(Table4[[#This Row],[Gross Weight]]="-","-",IF(Table4[[#This Row],[Gross Weight]]&lt;INDEX(GWmin,MATCH(Table4[[#This Row],[SKU]],FG,0)),0,IF(Table4[[#This Row],[Gross Weight]]&gt;INDEX(GWmax,MATCH(Table4[[#This Row],[SKU]],FG,0)),0,1))))</f>
        <v>-</v>
      </c>
      <c r="AN59" s="232">
        <f>IF(Table4[[#This Row],[Sealing Integrity]]="-","-",IF(Table4[[#This Row],[Sealing Integrity]]="P",1,0))</f>
        <v>1</v>
      </c>
      <c r="AO59" s="232">
        <f>IF(Table4[[#This Row],[Coding]]="-","-",IF(Table4[[#This Row],[Coding]]="P",1,0))</f>
        <v>1</v>
      </c>
      <c r="AP59" s="233">
        <f>SUM(Table4[[#This Row],[QI Weight]:[QI Code]])</f>
        <v>2</v>
      </c>
      <c r="AQ59" s="233">
        <f>COUNT(Table4[[#This Row],[QI Weight]:[QI Code]])</f>
        <v>2</v>
      </c>
      <c r="AR59" s="261">
        <f>Table4[[#This Row],[TA]]+Table4[[#This Row],[TA2]]</f>
        <v>8</v>
      </c>
      <c r="AS59" s="261">
        <f>Table4[[#This Row],[TP]]+Table4[[#This Row],[TP2]]</f>
        <v>8</v>
      </c>
      <c r="BD59" s="265">
        <f>IF(INDEX(MCmin,MATCH(Table4[[#This Row],[SKU]],FG,0))="-","-",IF(Table4[[#This Row],[%MC]]="-","-",IF(Table4[[#This Row],[%MC]]&lt;INDEX(MCmin,MATCH(Table4[[#This Row],[SKU]],FG,0)),1,0)))</f>
        <v>0</v>
      </c>
      <c r="BE59" s="265">
        <f>IF(INDEX(MCmin,MATCH(Table4[[#This Row],[SKU]],FG,0))="-","-",IF(Table4[[#This Row],[%MC]]="-","-",IF(Table4[[#This Row],[%MC]]&gt;INDEX(MCmax,MATCH(Table4[[#This Row],[SKU]],FG,0)),1,0)))</f>
        <v>0</v>
      </c>
      <c r="BF59" s="231" t="str">
        <f>IF(INDEX(Ashmin,MATCH(Table4[[#This Row],[SKU]],FG,0))="-","-",IF(Table4[[#This Row],[%Ash]]="-","-",IF(Table4[[#This Row],[%Ash]]&lt;INDEX(Ashmin,MATCH(Table4[[#This Row],[SKU]],FG,0)),1,0)))</f>
        <v>-</v>
      </c>
      <c r="BG59" s="231" t="str">
        <f>IF(INDEX(Ashmin,MATCH(Table4[[#This Row],[SKU]],FG,0))="-","-",IF(Table4[[#This Row],[%Ash]]="-","-",IF(Table4[[#This Row],[%Ash]]&gt;INDEX(Ashmax,MATCH(Table4[[#This Row],[SKU]],FG,0)),1,0)))</f>
        <v>-</v>
      </c>
      <c r="BH59" s="231" t="str">
        <f>IF(INDEX(Absmin,MATCH(Table4[[#This Row],[SKU]],FG,0))="-","-",IF(Table4[[#This Row],[%Absorption]]="-","-",IF(Table4[[#This Row],[%Absorption]]&lt;INDEX(Absmin,MATCH(Table4[[#This Row],[SKU]],FG,0)),1,0)))</f>
        <v>-</v>
      </c>
      <c r="BI59" s="231" t="str">
        <f>IF(INDEX(Absmin,MATCH(Table4[[#This Row],[SKU]],FG,0))="-","-",IF(Table4[[#This Row],[%Absorption]]="-","-",IF(Table4[[#This Row],[%Absorption]]&gt;INDEX(Absmax,MATCH(Table4[[#This Row],[SKU]],FG,0)),1,0)))</f>
        <v>-</v>
      </c>
      <c r="BJ59" s="231" t="str">
        <f>IF(INDEX(WGmin,MATCH(Table4[[#This Row],[SKU]],FG,0))="-","-",IF(Table4[[#This Row],[%Wet Gluten]]="-","-",IF(Table4[[#This Row],[%Wet Gluten]]&lt;INDEX(WGmin,MATCH(Table4[[#This Row],[SKU]],FG,0)),1,0)))</f>
        <v>-</v>
      </c>
      <c r="BK59" s="231" t="str">
        <f>IF(INDEX(WGmin,MATCH(Table4[[#This Row],[SKU]],FG,0))="-","-",IF(Table4[[#This Row],[%Wet Gluten]]="-","-",IF(Table4[[#This Row],[%Wet Gluten]]&gt;INDEX(WGmax,MATCH(Table4[[#This Row],[SKU]],FG,0)),1,0)))</f>
        <v>-</v>
      </c>
    </row>
    <row r="60" spans="1:63" x14ac:dyDescent="0.35">
      <c r="A60" s="243">
        <v>46023</v>
      </c>
      <c r="B60" s="244">
        <v>46025</v>
      </c>
      <c r="C60" s="244">
        <v>46378</v>
      </c>
      <c r="D60" s="244" t="s">
        <v>128</v>
      </c>
      <c r="E60" s="245">
        <v>0.58333333333333337</v>
      </c>
      <c r="F60" s="246">
        <v>2</v>
      </c>
      <c r="G60" s="259" t="s">
        <v>140</v>
      </c>
      <c r="H60" s="247">
        <v>4.0000000000000001E-3</v>
      </c>
      <c r="I60" s="248" t="s">
        <v>165</v>
      </c>
      <c r="J60" s="248" t="s">
        <v>165</v>
      </c>
      <c r="K60" s="248" t="s">
        <v>165</v>
      </c>
      <c r="L60" s="248" t="s">
        <v>163</v>
      </c>
      <c r="M60" s="248" t="s">
        <v>161</v>
      </c>
      <c r="N60" s="249">
        <v>11.38</v>
      </c>
      <c r="O60" s="249">
        <v>8.76</v>
      </c>
      <c r="P60" s="249">
        <v>0.44</v>
      </c>
      <c r="Q60" s="249" t="s">
        <v>163</v>
      </c>
      <c r="R60" s="249" t="s">
        <v>163</v>
      </c>
      <c r="S60" s="250" t="s">
        <v>163</v>
      </c>
      <c r="T60" s="249">
        <v>23.64</v>
      </c>
      <c r="U60" s="249" t="s">
        <v>163</v>
      </c>
      <c r="V60" s="251" t="s">
        <v>163</v>
      </c>
      <c r="W60" s="252" t="s">
        <v>165</v>
      </c>
      <c r="X60" s="252" t="s">
        <v>165</v>
      </c>
      <c r="Y60" s="248" t="s">
        <v>163</v>
      </c>
      <c r="Z60" s="231">
        <f>IF(Table4[[#This Row],[ Bran Content]]="-","-",IF(H60&gt;0.02,0,2))</f>
        <v>2</v>
      </c>
      <c r="AA60" s="231">
        <f>IF(Table4[[#This Row],[Sieve Test]]="-","-",IF(Table4[[#This Row],[Sieve Test]]="P",1,0))</f>
        <v>1</v>
      </c>
      <c r="AB60" s="231">
        <f>IF(Table4[[#This Row],[Odor]]="-","-",IF(Table4[[#This Row],[Odor]]="P",2,0))</f>
        <v>2</v>
      </c>
      <c r="AC60" s="231">
        <f>IF(INDEX(MCmin,MATCH(Table4[[#This Row],[SKU]],FG,0))="-","-",IF(Table4[[#This Row],[%MC]]="-","-",IF(Table4[[#This Row],[%MC]]&lt;INDEX(MCmin,MATCH(Table4[[#This Row],[SKU]],FG,0)),0,IF(Table4[[#This Row],[%MC]]&gt;INDEX(MCmax,MATCH(Table4[[#This Row],[SKU]],FG,0)),0,1))))</f>
        <v>1</v>
      </c>
      <c r="AD60" s="231">
        <f>IF(INDEX(Protmin,MATCH(Table4[[#This Row],[SKU]],FG,0))="-","-",IF(Table4[[#This Row],[%Protein]]="-","-",IF(Table4[[#This Row],[%Protein]]&lt;INDEX(Protmin,MATCH(Table4[[#This Row],[SKU]],FG,0)),0,IF(Table4[[#This Row],[%Protein]]&gt;INDEX(Protmax,MATCH(Table4[[#This Row],[SKU]],FG,0)),0,1))))</f>
        <v>1</v>
      </c>
      <c r="AE60" s="231">
        <f>IF(INDEX(Ashmin,MATCH(Table4[[#This Row],[SKU]],FG,0))="-","-",IF(Table4[[#This Row],[%Ash]]="-","-",IF(Table4[[#This Row],[%Ash]]&lt;INDEX(Ashmin,MATCH(Table4[[#This Row],[SKU]],FG,0)),0,IF(Table4[[#This Row],[%Ash]]&gt;INDEX(Ashmax,MATCH(Table4[[#This Row],[SKU]],FG,0)),0,2))))</f>
        <v>2</v>
      </c>
      <c r="AF60" s="231" t="str">
        <f>IF(INDEX(Absmin,MATCH(Table4[[#This Row],[SKU]],FG,0))="-","-",IF(Table4[[#This Row],[%Absorption]]="-","-",IF(Table4[[#This Row],[%Absorption]]&lt;INDEX(Absmin,MATCH(Table4[[#This Row],[SKU]],FG,0)),0,IF(Table4[[#This Row],[%Absorption]]&gt;INDEX(Absmax,MATCH(Table4[[#This Row],[SKU]],FG,0)),0,2))))</f>
        <v>-</v>
      </c>
      <c r="AG60" s="231" t="str">
        <f>IF(INDEX(Extmin,MATCH(Table4[[#This Row],[SKU]],FG,0))="-","-",IF(Table4[[#This Row],[%Extensibility]]="-","-",IF(Table4[[#This Row],[%Extensibility]]&lt;INDEX(Extmin,MATCH(Table4[[#This Row],[SKU]],FG,0)),0,IF(Table4[[#This Row],[%Extensibility]]&gt;INDEX(Extmax,MATCH(Table4[[#This Row],[SKU]],FG,0)),0,1))))</f>
        <v>-</v>
      </c>
      <c r="AH60" s="231" t="str">
        <f>IF(INDEX(Resmin,MATCH(Table4[[#This Row],[SKU]],FG,0))="-","-",IF(Table4[[#This Row],[Resistance, max]]="-","-",IF(Table4[[#This Row],[Resistance, max]]&lt;INDEX(Resmin,MATCH(Table4[[#This Row],[SKU]],FG,0)),0,IF(Table4[[#This Row],[Resistance, max]]&gt;INDEX(Resmax,MATCH(Table4[[#This Row],[SKU]],FG,0)),0,1))))</f>
        <v>-</v>
      </c>
      <c r="AI60" s="231">
        <f>IF(INDEX(WGmin,MATCH(Table4[[#This Row],[SKU]],FG,0))="-","-",IF(Table4[[#This Row],[%Wet Gluten]]="-","-",IF(Table4[[#This Row],[%Wet Gluten]]&lt;INDEX(WGmin,MATCH(Table4[[#This Row],[SKU]],FG,0)),0,IF(Table4[[#This Row],[%Wet Gluten]]&gt;INDEX(WGmax,MATCH(Table4[[#This Row],[SKU]],FG,0)),0,2))))</f>
        <v>2</v>
      </c>
      <c r="AJ60" s="232" t="str">
        <f>IF(Table4[[#This Row],[FN, s]]="-","-",IF(R60&lt;301,1,0))</f>
        <v>-</v>
      </c>
      <c r="AK60" s="233">
        <f>SUM(Table4[[#This Row],[ QI Bran Content]:[QI FN]])</f>
        <v>11</v>
      </c>
      <c r="AL60" s="232">
        <f t="shared" si="6"/>
        <v>11</v>
      </c>
      <c r="AM60" s="232" t="str">
        <f>IF(INDEX(WGmin,MATCH(Table4[[#This Row],[SKU]],FG,0))="-","-",IF(Table4[[#This Row],[Gross Weight]]="-","-",IF(Table4[[#This Row],[Gross Weight]]&lt;INDEX(GWmin,MATCH(Table4[[#This Row],[SKU]],FG,0)),0,IF(Table4[[#This Row],[Gross Weight]]&gt;INDEX(GWmax,MATCH(Table4[[#This Row],[SKU]],FG,0)),0,1))))</f>
        <v>-</v>
      </c>
      <c r="AN60" s="232">
        <f>IF(Table4[[#This Row],[Sealing Integrity]]="-","-",IF(Table4[[#This Row],[Sealing Integrity]]="P",1,0))</f>
        <v>1</v>
      </c>
      <c r="AO60" s="232">
        <f>IF(Table4[[#This Row],[Coding]]="-","-",IF(Table4[[#This Row],[Coding]]="P",1,0))</f>
        <v>1</v>
      </c>
      <c r="AP60" s="233">
        <f>SUM(Table4[[#This Row],[QI Weight]:[QI Code]])</f>
        <v>2</v>
      </c>
      <c r="AQ60" s="233">
        <f>COUNT(Table4[[#This Row],[QI Weight]:[QI Code]])</f>
        <v>2</v>
      </c>
      <c r="AR60" s="261">
        <f>Table4[[#This Row],[TA]]+Table4[[#This Row],[TA2]]</f>
        <v>13</v>
      </c>
      <c r="AS60" s="261">
        <f>Table4[[#This Row],[TP]]+Table4[[#This Row],[TP2]]</f>
        <v>13</v>
      </c>
      <c r="BD60" s="265">
        <f>IF(INDEX(MCmin,MATCH(Table4[[#This Row],[SKU]],FG,0))="-","-",IF(Table4[[#This Row],[%MC]]="-","-",IF(Table4[[#This Row],[%MC]]&lt;INDEX(MCmin,MATCH(Table4[[#This Row],[SKU]],FG,0)),1,0)))</f>
        <v>0</v>
      </c>
      <c r="BE60" s="265">
        <f>IF(INDEX(MCmin,MATCH(Table4[[#This Row],[SKU]],FG,0))="-","-",IF(Table4[[#This Row],[%MC]]="-","-",IF(Table4[[#This Row],[%MC]]&gt;INDEX(MCmax,MATCH(Table4[[#This Row],[SKU]],FG,0)),1,0)))</f>
        <v>0</v>
      </c>
      <c r="BF60" s="231">
        <f>IF(INDEX(Ashmin,MATCH(Table4[[#This Row],[SKU]],FG,0))="-","-",IF(Table4[[#This Row],[%Ash]]="-","-",IF(Table4[[#This Row],[%Ash]]&lt;INDEX(Ashmin,MATCH(Table4[[#This Row],[SKU]],FG,0)),1,0)))</f>
        <v>0</v>
      </c>
      <c r="BG60" s="231">
        <f>IF(INDEX(Ashmin,MATCH(Table4[[#This Row],[SKU]],FG,0))="-","-",IF(Table4[[#This Row],[%Ash]]="-","-",IF(Table4[[#This Row],[%Ash]]&gt;INDEX(Ashmax,MATCH(Table4[[#This Row],[SKU]],FG,0)),1,0)))</f>
        <v>0</v>
      </c>
      <c r="BH60" s="231" t="str">
        <f>IF(INDEX(Absmin,MATCH(Table4[[#This Row],[SKU]],FG,0))="-","-",IF(Table4[[#This Row],[%Absorption]]="-","-",IF(Table4[[#This Row],[%Absorption]]&lt;INDEX(Absmin,MATCH(Table4[[#This Row],[SKU]],FG,0)),1,0)))</f>
        <v>-</v>
      </c>
      <c r="BI60" s="231" t="str">
        <f>IF(INDEX(Absmin,MATCH(Table4[[#This Row],[SKU]],FG,0))="-","-",IF(Table4[[#This Row],[%Absorption]]="-","-",IF(Table4[[#This Row],[%Absorption]]&gt;INDEX(Absmax,MATCH(Table4[[#This Row],[SKU]],FG,0)),1,0)))</f>
        <v>-</v>
      </c>
      <c r="BJ60" s="231">
        <f>IF(INDEX(WGmin,MATCH(Table4[[#This Row],[SKU]],FG,0))="-","-",IF(Table4[[#This Row],[%Wet Gluten]]="-","-",IF(Table4[[#This Row],[%Wet Gluten]]&lt;INDEX(WGmin,MATCH(Table4[[#This Row],[SKU]],FG,0)),1,0)))</f>
        <v>0</v>
      </c>
      <c r="BK60" s="231">
        <f>IF(INDEX(WGmin,MATCH(Table4[[#This Row],[SKU]],FG,0))="-","-",IF(Table4[[#This Row],[%Wet Gluten]]="-","-",IF(Table4[[#This Row],[%Wet Gluten]]&gt;INDEX(WGmax,MATCH(Table4[[#This Row],[SKU]],FG,0)),1,0)))</f>
        <v>0</v>
      </c>
    </row>
    <row r="61" spans="1:63" x14ac:dyDescent="0.35">
      <c r="A61" s="243">
        <v>46023</v>
      </c>
      <c r="B61" s="244">
        <v>46025</v>
      </c>
      <c r="C61" s="244">
        <v>46378</v>
      </c>
      <c r="D61" s="244" t="s">
        <v>128</v>
      </c>
      <c r="E61" s="245">
        <v>0.625</v>
      </c>
      <c r="F61" s="246">
        <v>2</v>
      </c>
      <c r="G61" s="259" t="s">
        <v>140</v>
      </c>
      <c r="H61" s="247">
        <v>4.8999999999999998E-3</v>
      </c>
      <c r="I61" s="248" t="s">
        <v>165</v>
      </c>
      <c r="J61" s="248" t="s">
        <v>165</v>
      </c>
      <c r="K61" s="248" t="s">
        <v>165</v>
      </c>
      <c r="L61" s="248" t="s">
        <v>163</v>
      </c>
      <c r="M61" s="248" t="s">
        <v>161</v>
      </c>
      <c r="N61" s="249">
        <v>11.12</v>
      </c>
      <c r="O61" s="249" t="s">
        <v>163</v>
      </c>
      <c r="P61" s="249" t="s">
        <v>163</v>
      </c>
      <c r="Q61" s="249" t="s">
        <v>163</v>
      </c>
      <c r="R61" s="249" t="s">
        <v>163</v>
      </c>
      <c r="S61" s="250" t="s">
        <v>163</v>
      </c>
      <c r="T61" s="249" t="s">
        <v>163</v>
      </c>
      <c r="U61" s="249" t="s">
        <v>163</v>
      </c>
      <c r="V61" s="251" t="s">
        <v>163</v>
      </c>
      <c r="W61" s="252" t="s">
        <v>165</v>
      </c>
      <c r="X61" s="252" t="s">
        <v>165</v>
      </c>
      <c r="Y61" s="248" t="s">
        <v>163</v>
      </c>
      <c r="Z61" s="231">
        <f>IF(Table4[[#This Row],[ Bran Content]]="-","-",IF(H61&gt;0.02,0,2))</f>
        <v>2</v>
      </c>
      <c r="AA61" s="231">
        <f>IF(Table4[[#This Row],[Sieve Test]]="-","-",IF(Table4[[#This Row],[Sieve Test]]="P",1,0))</f>
        <v>1</v>
      </c>
      <c r="AB61" s="231">
        <f>IF(Table4[[#This Row],[Odor]]="-","-",IF(Table4[[#This Row],[Odor]]="P",2,0))</f>
        <v>2</v>
      </c>
      <c r="AC61" s="231">
        <f>IF(INDEX(MCmin,MATCH(Table4[[#This Row],[SKU]],FG,0))="-","-",IF(Table4[[#This Row],[%MC]]="-","-",IF(Table4[[#This Row],[%MC]]&lt;INDEX(MCmin,MATCH(Table4[[#This Row],[SKU]],FG,0)),0,IF(Table4[[#This Row],[%MC]]&gt;INDEX(MCmax,MATCH(Table4[[#This Row],[SKU]],FG,0)),0,1))))</f>
        <v>1</v>
      </c>
      <c r="AD61" s="231" t="str">
        <f>IF(INDEX(Protmin,MATCH(Table4[[#This Row],[SKU]],FG,0))="-","-",IF(Table4[[#This Row],[%Protein]]="-","-",IF(Table4[[#This Row],[%Protein]]&lt;INDEX(Protmin,MATCH(Table4[[#This Row],[SKU]],FG,0)),0,IF(Table4[[#This Row],[%Protein]]&gt;INDEX(Protmax,MATCH(Table4[[#This Row],[SKU]],FG,0)),0,1))))</f>
        <v>-</v>
      </c>
      <c r="AE61" s="231" t="str">
        <f>IF(INDEX(Ashmin,MATCH(Table4[[#This Row],[SKU]],FG,0))="-","-",IF(Table4[[#This Row],[%Ash]]="-","-",IF(Table4[[#This Row],[%Ash]]&lt;INDEX(Ashmin,MATCH(Table4[[#This Row],[SKU]],FG,0)),0,IF(Table4[[#This Row],[%Ash]]&gt;INDEX(Ashmax,MATCH(Table4[[#This Row],[SKU]],FG,0)),0,2))))</f>
        <v>-</v>
      </c>
      <c r="AF61" s="231" t="str">
        <f>IF(INDEX(Absmin,MATCH(Table4[[#This Row],[SKU]],FG,0))="-","-",IF(Table4[[#This Row],[%Absorption]]="-","-",IF(Table4[[#This Row],[%Absorption]]&lt;INDEX(Absmin,MATCH(Table4[[#This Row],[SKU]],FG,0)),0,IF(Table4[[#This Row],[%Absorption]]&gt;INDEX(Absmax,MATCH(Table4[[#This Row],[SKU]],FG,0)),0,2))))</f>
        <v>-</v>
      </c>
      <c r="AG61" s="231" t="str">
        <f>IF(INDEX(Extmin,MATCH(Table4[[#This Row],[SKU]],FG,0))="-","-",IF(Table4[[#This Row],[%Extensibility]]="-","-",IF(Table4[[#This Row],[%Extensibility]]&lt;INDEX(Extmin,MATCH(Table4[[#This Row],[SKU]],FG,0)),0,IF(Table4[[#This Row],[%Extensibility]]&gt;INDEX(Extmax,MATCH(Table4[[#This Row],[SKU]],FG,0)),0,1))))</f>
        <v>-</v>
      </c>
      <c r="AH61" s="231" t="str">
        <f>IF(INDEX(Resmin,MATCH(Table4[[#This Row],[SKU]],FG,0))="-","-",IF(Table4[[#This Row],[Resistance, max]]="-","-",IF(Table4[[#This Row],[Resistance, max]]&lt;INDEX(Resmin,MATCH(Table4[[#This Row],[SKU]],FG,0)),0,IF(Table4[[#This Row],[Resistance, max]]&gt;INDEX(Resmax,MATCH(Table4[[#This Row],[SKU]],FG,0)),0,1))))</f>
        <v>-</v>
      </c>
      <c r="AI61" s="231" t="str">
        <f>IF(INDEX(WGmin,MATCH(Table4[[#This Row],[SKU]],FG,0))="-","-",IF(Table4[[#This Row],[%Wet Gluten]]="-","-",IF(Table4[[#This Row],[%Wet Gluten]]&lt;INDEX(WGmin,MATCH(Table4[[#This Row],[SKU]],FG,0)),0,IF(Table4[[#This Row],[%Wet Gluten]]&gt;INDEX(WGmax,MATCH(Table4[[#This Row],[SKU]],FG,0)),0,2))))</f>
        <v>-</v>
      </c>
      <c r="AJ61" s="232" t="str">
        <f>IF(Table4[[#This Row],[FN, s]]="-","-",IF(R61&lt;301,1,0))</f>
        <v>-</v>
      </c>
      <c r="AK61" s="233">
        <f>SUM(Table4[[#This Row],[ QI Bran Content]:[QI FN]])</f>
        <v>6</v>
      </c>
      <c r="AL61" s="232">
        <f t="shared" si="6"/>
        <v>6</v>
      </c>
      <c r="AM61" s="232" t="str">
        <f>IF(INDEX(WGmin,MATCH(Table4[[#This Row],[SKU]],FG,0))="-","-",IF(Table4[[#This Row],[Gross Weight]]="-","-",IF(Table4[[#This Row],[Gross Weight]]&lt;INDEX(GWmin,MATCH(Table4[[#This Row],[SKU]],FG,0)),0,IF(Table4[[#This Row],[Gross Weight]]&gt;INDEX(GWmax,MATCH(Table4[[#This Row],[SKU]],FG,0)),0,1))))</f>
        <v>-</v>
      </c>
      <c r="AN61" s="232">
        <f>IF(Table4[[#This Row],[Sealing Integrity]]="-","-",IF(Table4[[#This Row],[Sealing Integrity]]="P",1,0))</f>
        <v>1</v>
      </c>
      <c r="AO61" s="232">
        <f>IF(Table4[[#This Row],[Coding]]="-","-",IF(Table4[[#This Row],[Coding]]="P",1,0))</f>
        <v>1</v>
      </c>
      <c r="AP61" s="233">
        <f>SUM(Table4[[#This Row],[QI Weight]:[QI Code]])</f>
        <v>2</v>
      </c>
      <c r="AQ61" s="233">
        <f>COUNT(Table4[[#This Row],[QI Weight]:[QI Code]])</f>
        <v>2</v>
      </c>
      <c r="AR61" s="261">
        <f>Table4[[#This Row],[TA]]+Table4[[#This Row],[TA2]]</f>
        <v>8</v>
      </c>
      <c r="AS61" s="261">
        <f>Table4[[#This Row],[TP]]+Table4[[#This Row],[TP2]]</f>
        <v>8</v>
      </c>
      <c r="BD61" s="265">
        <f>IF(INDEX(MCmin,MATCH(Table4[[#This Row],[SKU]],FG,0))="-","-",IF(Table4[[#This Row],[%MC]]="-","-",IF(Table4[[#This Row],[%MC]]&lt;INDEX(MCmin,MATCH(Table4[[#This Row],[SKU]],FG,0)),1,0)))</f>
        <v>0</v>
      </c>
      <c r="BE61" s="265">
        <f>IF(INDEX(MCmin,MATCH(Table4[[#This Row],[SKU]],FG,0))="-","-",IF(Table4[[#This Row],[%MC]]="-","-",IF(Table4[[#This Row],[%MC]]&gt;INDEX(MCmax,MATCH(Table4[[#This Row],[SKU]],FG,0)),1,0)))</f>
        <v>0</v>
      </c>
      <c r="BF61" s="231" t="str">
        <f>IF(INDEX(Ashmin,MATCH(Table4[[#This Row],[SKU]],FG,0))="-","-",IF(Table4[[#This Row],[%Ash]]="-","-",IF(Table4[[#This Row],[%Ash]]&lt;INDEX(Ashmin,MATCH(Table4[[#This Row],[SKU]],FG,0)),1,0)))</f>
        <v>-</v>
      </c>
      <c r="BG61" s="231" t="str">
        <f>IF(INDEX(Ashmin,MATCH(Table4[[#This Row],[SKU]],FG,0))="-","-",IF(Table4[[#This Row],[%Ash]]="-","-",IF(Table4[[#This Row],[%Ash]]&gt;INDEX(Ashmax,MATCH(Table4[[#This Row],[SKU]],FG,0)),1,0)))</f>
        <v>-</v>
      </c>
      <c r="BH61" s="231" t="str">
        <f>IF(INDEX(Absmin,MATCH(Table4[[#This Row],[SKU]],FG,0))="-","-",IF(Table4[[#This Row],[%Absorption]]="-","-",IF(Table4[[#This Row],[%Absorption]]&lt;INDEX(Absmin,MATCH(Table4[[#This Row],[SKU]],FG,0)),1,0)))</f>
        <v>-</v>
      </c>
      <c r="BI61" s="231" t="str">
        <f>IF(INDEX(Absmin,MATCH(Table4[[#This Row],[SKU]],FG,0))="-","-",IF(Table4[[#This Row],[%Absorption]]="-","-",IF(Table4[[#This Row],[%Absorption]]&gt;INDEX(Absmax,MATCH(Table4[[#This Row],[SKU]],FG,0)),1,0)))</f>
        <v>-</v>
      </c>
      <c r="BJ61" s="231" t="str">
        <f>IF(INDEX(WGmin,MATCH(Table4[[#This Row],[SKU]],FG,0))="-","-",IF(Table4[[#This Row],[%Wet Gluten]]="-","-",IF(Table4[[#This Row],[%Wet Gluten]]&lt;INDEX(WGmin,MATCH(Table4[[#This Row],[SKU]],FG,0)),1,0)))</f>
        <v>-</v>
      </c>
      <c r="BK61" s="231" t="str">
        <f>IF(INDEX(WGmin,MATCH(Table4[[#This Row],[SKU]],FG,0))="-","-",IF(Table4[[#This Row],[%Wet Gluten]]="-","-",IF(Table4[[#This Row],[%Wet Gluten]]&gt;INDEX(WGmax,MATCH(Table4[[#This Row],[SKU]],FG,0)),1,0)))</f>
        <v>-</v>
      </c>
    </row>
    <row r="62" spans="1:63" x14ac:dyDescent="0.35">
      <c r="A62" s="243">
        <v>46023</v>
      </c>
      <c r="B62" s="244">
        <v>46025</v>
      </c>
      <c r="C62" s="244">
        <v>46378</v>
      </c>
      <c r="D62" s="244" t="s">
        <v>128</v>
      </c>
      <c r="E62" s="245">
        <v>0.75</v>
      </c>
      <c r="F62" s="246">
        <v>2</v>
      </c>
      <c r="G62" s="259" t="s">
        <v>140</v>
      </c>
      <c r="H62" s="247">
        <v>4.8999999999999998E-3</v>
      </c>
      <c r="I62" s="248" t="s">
        <v>165</v>
      </c>
      <c r="J62" s="248" t="s">
        <v>165</v>
      </c>
      <c r="K62" s="248" t="s">
        <v>165</v>
      </c>
      <c r="L62" s="248" t="s">
        <v>163</v>
      </c>
      <c r="M62" s="248" t="s">
        <v>161</v>
      </c>
      <c r="N62" s="249">
        <v>11.19</v>
      </c>
      <c r="O62" s="249" t="s">
        <v>163</v>
      </c>
      <c r="P62" s="249" t="s">
        <v>163</v>
      </c>
      <c r="Q62" s="249" t="s">
        <v>163</v>
      </c>
      <c r="R62" s="249" t="s">
        <v>163</v>
      </c>
      <c r="S62" s="250" t="s">
        <v>163</v>
      </c>
      <c r="T62" s="249" t="s">
        <v>163</v>
      </c>
      <c r="U62" s="249" t="s">
        <v>163</v>
      </c>
      <c r="V62" s="251" t="s">
        <v>163</v>
      </c>
      <c r="W62" s="252" t="s">
        <v>165</v>
      </c>
      <c r="X62" s="252" t="s">
        <v>165</v>
      </c>
      <c r="Y62" s="248" t="s">
        <v>163</v>
      </c>
      <c r="Z62" s="231">
        <f>IF(Table4[[#This Row],[ Bran Content]]="-","-",IF(H62&gt;0.02,0,2))</f>
        <v>2</v>
      </c>
      <c r="AA62" s="231">
        <f>IF(Table4[[#This Row],[Sieve Test]]="-","-",IF(Table4[[#This Row],[Sieve Test]]="P",1,0))</f>
        <v>1</v>
      </c>
      <c r="AB62" s="231">
        <f>IF(Table4[[#This Row],[Odor]]="-","-",IF(Table4[[#This Row],[Odor]]="P",2,0))</f>
        <v>2</v>
      </c>
      <c r="AC62" s="231">
        <f>IF(INDEX(MCmin,MATCH(Table4[[#This Row],[SKU]],FG,0))="-","-",IF(Table4[[#This Row],[%MC]]="-","-",IF(Table4[[#This Row],[%MC]]&lt;INDEX(MCmin,MATCH(Table4[[#This Row],[SKU]],FG,0)),0,IF(Table4[[#This Row],[%MC]]&gt;INDEX(MCmax,MATCH(Table4[[#This Row],[SKU]],FG,0)),0,1))))</f>
        <v>1</v>
      </c>
      <c r="AD62" s="231" t="str">
        <f>IF(INDEX(Protmin,MATCH(Table4[[#This Row],[SKU]],FG,0))="-","-",IF(Table4[[#This Row],[%Protein]]="-","-",IF(Table4[[#This Row],[%Protein]]&lt;INDEX(Protmin,MATCH(Table4[[#This Row],[SKU]],FG,0)),0,IF(Table4[[#This Row],[%Protein]]&gt;INDEX(Protmax,MATCH(Table4[[#This Row],[SKU]],FG,0)),0,1))))</f>
        <v>-</v>
      </c>
      <c r="AE62" s="231" t="str">
        <f>IF(INDEX(Ashmin,MATCH(Table4[[#This Row],[SKU]],FG,0))="-","-",IF(Table4[[#This Row],[%Ash]]="-","-",IF(Table4[[#This Row],[%Ash]]&lt;INDEX(Ashmin,MATCH(Table4[[#This Row],[SKU]],FG,0)),0,IF(Table4[[#This Row],[%Ash]]&gt;INDEX(Ashmax,MATCH(Table4[[#This Row],[SKU]],FG,0)),0,2))))</f>
        <v>-</v>
      </c>
      <c r="AF62" s="231" t="str">
        <f>IF(INDEX(Absmin,MATCH(Table4[[#This Row],[SKU]],FG,0))="-","-",IF(Table4[[#This Row],[%Absorption]]="-","-",IF(Table4[[#This Row],[%Absorption]]&lt;INDEX(Absmin,MATCH(Table4[[#This Row],[SKU]],FG,0)),0,IF(Table4[[#This Row],[%Absorption]]&gt;INDEX(Absmax,MATCH(Table4[[#This Row],[SKU]],FG,0)),0,2))))</f>
        <v>-</v>
      </c>
      <c r="AG62" s="231" t="str">
        <f>IF(INDEX(Extmin,MATCH(Table4[[#This Row],[SKU]],FG,0))="-","-",IF(Table4[[#This Row],[%Extensibility]]="-","-",IF(Table4[[#This Row],[%Extensibility]]&lt;INDEX(Extmin,MATCH(Table4[[#This Row],[SKU]],FG,0)),0,IF(Table4[[#This Row],[%Extensibility]]&gt;INDEX(Extmax,MATCH(Table4[[#This Row],[SKU]],FG,0)),0,1))))</f>
        <v>-</v>
      </c>
      <c r="AH62" s="231" t="str">
        <f>IF(INDEX(Resmin,MATCH(Table4[[#This Row],[SKU]],FG,0))="-","-",IF(Table4[[#This Row],[Resistance, max]]="-","-",IF(Table4[[#This Row],[Resistance, max]]&lt;INDEX(Resmin,MATCH(Table4[[#This Row],[SKU]],FG,0)),0,IF(Table4[[#This Row],[Resistance, max]]&gt;INDEX(Resmax,MATCH(Table4[[#This Row],[SKU]],FG,0)),0,1))))</f>
        <v>-</v>
      </c>
      <c r="AI62" s="231" t="str">
        <f>IF(INDEX(WGmin,MATCH(Table4[[#This Row],[SKU]],FG,0))="-","-",IF(Table4[[#This Row],[%Wet Gluten]]="-","-",IF(Table4[[#This Row],[%Wet Gluten]]&lt;INDEX(WGmin,MATCH(Table4[[#This Row],[SKU]],FG,0)),0,IF(Table4[[#This Row],[%Wet Gluten]]&gt;INDEX(WGmax,MATCH(Table4[[#This Row],[SKU]],FG,0)),0,2))))</f>
        <v>-</v>
      </c>
      <c r="AJ62" s="232" t="str">
        <f>IF(Table4[[#This Row],[FN, s]]="-","-",IF(R62&lt;301,1,0))</f>
        <v>-</v>
      </c>
      <c r="AK62" s="233">
        <f>SUM(Table4[[#This Row],[ QI Bran Content]:[QI FN]])</f>
        <v>6</v>
      </c>
      <c r="AL62" s="232">
        <f t="shared" si="6"/>
        <v>6</v>
      </c>
      <c r="AM62" s="232" t="str">
        <f>IF(INDEX(WGmin,MATCH(Table4[[#This Row],[SKU]],FG,0))="-","-",IF(Table4[[#This Row],[Gross Weight]]="-","-",IF(Table4[[#This Row],[Gross Weight]]&lt;INDEX(GWmin,MATCH(Table4[[#This Row],[SKU]],FG,0)),0,IF(Table4[[#This Row],[Gross Weight]]&gt;INDEX(GWmax,MATCH(Table4[[#This Row],[SKU]],FG,0)),0,1))))</f>
        <v>-</v>
      </c>
      <c r="AN62" s="232">
        <f>IF(Table4[[#This Row],[Sealing Integrity]]="-","-",IF(Table4[[#This Row],[Sealing Integrity]]="P",1,0))</f>
        <v>1</v>
      </c>
      <c r="AO62" s="232">
        <f>IF(Table4[[#This Row],[Coding]]="-","-",IF(Table4[[#This Row],[Coding]]="P",1,0))</f>
        <v>1</v>
      </c>
      <c r="AP62" s="233">
        <f>SUM(Table4[[#This Row],[QI Weight]:[QI Code]])</f>
        <v>2</v>
      </c>
      <c r="AQ62" s="233">
        <f>COUNT(Table4[[#This Row],[QI Weight]:[QI Code]])</f>
        <v>2</v>
      </c>
      <c r="AR62" s="261">
        <f>Table4[[#This Row],[TA]]+Table4[[#This Row],[TA2]]</f>
        <v>8</v>
      </c>
      <c r="AS62" s="261">
        <f>Table4[[#This Row],[TP]]+Table4[[#This Row],[TP2]]</f>
        <v>8</v>
      </c>
      <c r="BD62" s="265">
        <f>IF(INDEX(MCmin,MATCH(Table4[[#This Row],[SKU]],FG,0))="-","-",IF(Table4[[#This Row],[%MC]]="-","-",IF(Table4[[#This Row],[%MC]]&lt;INDEX(MCmin,MATCH(Table4[[#This Row],[SKU]],FG,0)),1,0)))</f>
        <v>0</v>
      </c>
      <c r="BE62" s="265">
        <f>IF(INDEX(MCmin,MATCH(Table4[[#This Row],[SKU]],FG,0))="-","-",IF(Table4[[#This Row],[%MC]]="-","-",IF(Table4[[#This Row],[%MC]]&gt;INDEX(MCmax,MATCH(Table4[[#This Row],[SKU]],FG,0)),1,0)))</f>
        <v>0</v>
      </c>
      <c r="BF62" s="231" t="str">
        <f>IF(INDEX(Ashmin,MATCH(Table4[[#This Row],[SKU]],FG,0))="-","-",IF(Table4[[#This Row],[%Ash]]="-","-",IF(Table4[[#This Row],[%Ash]]&lt;INDEX(Ashmin,MATCH(Table4[[#This Row],[SKU]],FG,0)),1,0)))</f>
        <v>-</v>
      </c>
      <c r="BG62" s="231" t="str">
        <f>IF(INDEX(Ashmin,MATCH(Table4[[#This Row],[SKU]],FG,0))="-","-",IF(Table4[[#This Row],[%Ash]]="-","-",IF(Table4[[#This Row],[%Ash]]&gt;INDEX(Ashmax,MATCH(Table4[[#This Row],[SKU]],FG,0)),1,0)))</f>
        <v>-</v>
      </c>
      <c r="BH62" s="231" t="str">
        <f>IF(INDEX(Absmin,MATCH(Table4[[#This Row],[SKU]],FG,0))="-","-",IF(Table4[[#This Row],[%Absorption]]="-","-",IF(Table4[[#This Row],[%Absorption]]&lt;INDEX(Absmin,MATCH(Table4[[#This Row],[SKU]],FG,0)),1,0)))</f>
        <v>-</v>
      </c>
      <c r="BI62" s="231" t="str">
        <f>IF(INDEX(Absmin,MATCH(Table4[[#This Row],[SKU]],FG,0))="-","-",IF(Table4[[#This Row],[%Absorption]]="-","-",IF(Table4[[#This Row],[%Absorption]]&gt;INDEX(Absmax,MATCH(Table4[[#This Row],[SKU]],FG,0)),1,0)))</f>
        <v>-</v>
      </c>
      <c r="BJ62" s="231" t="str">
        <f>IF(INDEX(WGmin,MATCH(Table4[[#This Row],[SKU]],FG,0))="-","-",IF(Table4[[#This Row],[%Wet Gluten]]="-","-",IF(Table4[[#This Row],[%Wet Gluten]]&lt;INDEX(WGmin,MATCH(Table4[[#This Row],[SKU]],FG,0)),1,0)))</f>
        <v>-</v>
      </c>
      <c r="BK62" s="231" t="str">
        <f>IF(INDEX(WGmin,MATCH(Table4[[#This Row],[SKU]],FG,0))="-","-",IF(Table4[[#This Row],[%Wet Gluten]]="-","-",IF(Table4[[#This Row],[%Wet Gluten]]&gt;INDEX(WGmax,MATCH(Table4[[#This Row],[SKU]],FG,0)),1,0)))</f>
        <v>-</v>
      </c>
    </row>
    <row r="63" spans="1:63" x14ac:dyDescent="0.35">
      <c r="A63" s="243">
        <v>46023</v>
      </c>
      <c r="B63" s="244">
        <v>46025</v>
      </c>
      <c r="C63" s="244">
        <v>46378</v>
      </c>
      <c r="D63" s="244" t="s">
        <v>128</v>
      </c>
      <c r="E63" s="245">
        <v>0.79166666666666596</v>
      </c>
      <c r="F63" s="246">
        <v>2</v>
      </c>
      <c r="G63" s="259" t="s">
        <v>140</v>
      </c>
      <c r="H63" s="247">
        <v>4.4999999999999997E-3</v>
      </c>
      <c r="I63" s="248" t="s">
        <v>165</v>
      </c>
      <c r="J63" s="248" t="s">
        <v>165</v>
      </c>
      <c r="K63" s="248" t="s">
        <v>165</v>
      </c>
      <c r="L63" s="248" t="s">
        <v>163</v>
      </c>
      <c r="M63" s="248" t="s">
        <v>161</v>
      </c>
      <c r="N63" s="249">
        <v>11.12</v>
      </c>
      <c r="O63" s="249" t="s">
        <v>163</v>
      </c>
      <c r="P63" s="249" t="s">
        <v>163</v>
      </c>
      <c r="Q63" s="249" t="s">
        <v>163</v>
      </c>
      <c r="R63" s="249" t="s">
        <v>163</v>
      </c>
      <c r="S63" s="250" t="s">
        <v>163</v>
      </c>
      <c r="T63" s="249" t="s">
        <v>163</v>
      </c>
      <c r="U63" s="249" t="s">
        <v>163</v>
      </c>
      <c r="V63" s="251" t="s">
        <v>163</v>
      </c>
      <c r="W63" s="252" t="s">
        <v>165</v>
      </c>
      <c r="X63" s="252" t="s">
        <v>165</v>
      </c>
      <c r="Y63" s="248" t="s">
        <v>163</v>
      </c>
      <c r="Z63" s="231">
        <f>IF(Table4[[#This Row],[ Bran Content]]="-","-",IF(H63&gt;0.02,0,2))</f>
        <v>2</v>
      </c>
      <c r="AA63" s="231">
        <f>IF(Table4[[#This Row],[Sieve Test]]="-","-",IF(Table4[[#This Row],[Sieve Test]]="P",1,0))</f>
        <v>1</v>
      </c>
      <c r="AB63" s="231">
        <f>IF(Table4[[#This Row],[Odor]]="-","-",IF(Table4[[#This Row],[Odor]]="P",2,0))</f>
        <v>2</v>
      </c>
      <c r="AC63" s="231">
        <f>IF(INDEX(MCmin,MATCH(Table4[[#This Row],[SKU]],FG,0))="-","-",IF(Table4[[#This Row],[%MC]]="-","-",IF(Table4[[#This Row],[%MC]]&lt;INDEX(MCmin,MATCH(Table4[[#This Row],[SKU]],FG,0)),0,IF(Table4[[#This Row],[%MC]]&gt;INDEX(MCmax,MATCH(Table4[[#This Row],[SKU]],FG,0)),0,1))))</f>
        <v>1</v>
      </c>
      <c r="AD63" s="231" t="str">
        <f>IF(INDEX(Protmin,MATCH(Table4[[#This Row],[SKU]],FG,0))="-","-",IF(Table4[[#This Row],[%Protein]]="-","-",IF(Table4[[#This Row],[%Protein]]&lt;INDEX(Protmin,MATCH(Table4[[#This Row],[SKU]],FG,0)),0,IF(Table4[[#This Row],[%Protein]]&gt;INDEX(Protmax,MATCH(Table4[[#This Row],[SKU]],FG,0)),0,1))))</f>
        <v>-</v>
      </c>
      <c r="AE63" s="231" t="str">
        <f>IF(INDEX(Ashmin,MATCH(Table4[[#This Row],[SKU]],FG,0))="-","-",IF(Table4[[#This Row],[%Ash]]="-","-",IF(Table4[[#This Row],[%Ash]]&lt;INDEX(Ashmin,MATCH(Table4[[#This Row],[SKU]],FG,0)),0,IF(Table4[[#This Row],[%Ash]]&gt;INDEX(Ashmax,MATCH(Table4[[#This Row],[SKU]],FG,0)),0,2))))</f>
        <v>-</v>
      </c>
      <c r="AF63" s="231" t="str">
        <f>IF(INDEX(Absmin,MATCH(Table4[[#This Row],[SKU]],FG,0))="-","-",IF(Table4[[#This Row],[%Absorption]]="-","-",IF(Table4[[#This Row],[%Absorption]]&lt;INDEX(Absmin,MATCH(Table4[[#This Row],[SKU]],FG,0)),0,IF(Table4[[#This Row],[%Absorption]]&gt;INDEX(Absmax,MATCH(Table4[[#This Row],[SKU]],FG,0)),0,2))))</f>
        <v>-</v>
      </c>
      <c r="AG63" s="231" t="str">
        <f>IF(INDEX(Extmin,MATCH(Table4[[#This Row],[SKU]],FG,0))="-","-",IF(Table4[[#This Row],[%Extensibility]]="-","-",IF(Table4[[#This Row],[%Extensibility]]&lt;INDEX(Extmin,MATCH(Table4[[#This Row],[SKU]],FG,0)),0,IF(Table4[[#This Row],[%Extensibility]]&gt;INDEX(Extmax,MATCH(Table4[[#This Row],[SKU]],FG,0)),0,1))))</f>
        <v>-</v>
      </c>
      <c r="AH63" s="231" t="str">
        <f>IF(INDEX(Resmin,MATCH(Table4[[#This Row],[SKU]],FG,0))="-","-",IF(Table4[[#This Row],[Resistance, max]]="-","-",IF(Table4[[#This Row],[Resistance, max]]&lt;INDEX(Resmin,MATCH(Table4[[#This Row],[SKU]],FG,0)),0,IF(Table4[[#This Row],[Resistance, max]]&gt;INDEX(Resmax,MATCH(Table4[[#This Row],[SKU]],FG,0)),0,1))))</f>
        <v>-</v>
      </c>
      <c r="AI63" s="231" t="str">
        <f>IF(INDEX(WGmin,MATCH(Table4[[#This Row],[SKU]],FG,0))="-","-",IF(Table4[[#This Row],[%Wet Gluten]]="-","-",IF(Table4[[#This Row],[%Wet Gluten]]&lt;INDEX(WGmin,MATCH(Table4[[#This Row],[SKU]],FG,0)),0,IF(Table4[[#This Row],[%Wet Gluten]]&gt;INDEX(WGmax,MATCH(Table4[[#This Row],[SKU]],FG,0)),0,2))))</f>
        <v>-</v>
      </c>
      <c r="AJ63" s="232" t="str">
        <f>IF(Table4[[#This Row],[FN, s]]="-","-",IF(R63&lt;301,1,0))</f>
        <v>-</v>
      </c>
      <c r="AK63" s="233">
        <f>SUM(Table4[[#This Row],[ QI Bran Content]:[QI FN]])</f>
        <v>6</v>
      </c>
      <c r="AL63" s="232">
        <f t="shared" si="6"/>
        <v>6</v>
      </c>
      <c r="AM63" s="232" t="str">
        <f>IF(INDEX(WGmin,MATCH(Table4[[#This Row],[SKU]],FG,0))="-","-",IF(Table4[[#This Row],[Gross Weight]]="-","-",IF(Table4[[#This Row],[Gross Weight]]&lt;INDEX(GWmin,MATCH(Table4[[#This Row],[SKU]],FG,0)),0,IF(Table4[[#This Row],[Gross Weight]]&gt;INDEX(GWmax,MATCH(Table4[[#This Row],[SKU]],FG,0)),0,1))))</f>
        <v>-</v>
      </c>
      <c r="AN63" s="232">
        <f>IF(Table4[[#This Row],[Sealing Integrity]]="-","-",IF(Table4[[#This Row],[Sealing Integrity]]="P",1,0))</f>
        <v>1</v>
      </c>
      <c r="AO63" s="232">
        <f>IF(Table4[[#This Row],[Coding]]="-","-",IF(Table4[[#This Row],[Coding]]="P",1,0))</f>
        <v>1</v>
      </c>
      <c r="AP63" s="233">
        <f>SUM(Table4[[#This Row],[QI Weight]:[QI Code]])</f>
        <v>2</v>
      </c>
      <c r="AQ63" s="233">
        <f>COUNT(Table4[[#This Row],[QI Weight]:[QI Code]])</f>
        <v>2</v>
      </c>
      <c r="AR63" s="261">
        <f>Table4[[#This Row],[TA]]+Table4[[#This Row],[TA2]]</f>
        <v>8</v>
      </c>
      <c r="AS63" s="261">
        <f>Table4[[#This Row],[TP]]+Table4[[#This Row],[TP2]]</f>
        <v>8</v>
      </c>
      <c r="BD63" s="265">
        <f>IF(INDEX(MCmin,MATCH(Table4[[#This Row],[SKU]],FG,0))="-","-",IF(Table4[[#This Row],[%MC]]="-","-",IF(Table4[[#This Row],[%MC]]&lt;INDEX(MCmin,MATCH(Table4[[#This Row],[SKU]],FG,0)),1,0)))</f>
        <v>0</v>
      </c>
      <c r="BE63" s="265">
        <f>IF(INDEX(MCmin,MATCH(Table4[[#This Row],[SKU]],FG,0))="-","-",IF(Table4[[#This Row],[%MC]]="-","-",IF(Table4[[#This Row],[%MC]]&gt;INDEX(MCmax,MATCH(Table4[[#This Row],[SKU]],FG,0)),1,0)))</f>
        <v>0</v>
      </c>
      <c r="BF63" s="231" t="str">
        <f>IF(INDEX(Ashmin,MATCH(Table4[[#This Row],[SKU]],FG,0))="-","-",IF(Table4[[#This Row],[%Ash]]="-","-",IF(Table4[[#This Row],[%Ash]]&lt;INDEX(Ashmin,MATCH(Table4[[#This Row],[SKU]],FG,0)),1,0)))</f>
        <v>-</v>
      </c>
      <c r="BG63" s="231" t="str">
        <f>IF(INDEX(Ashmin,MATCH(Table4[[#This Row],[SKU]],FG,0))="-","-",IF(Table4[[#This Row],[%Ash]]="-","-",IF(Table4[[#This Row],[%Ash]]&gt;INDEX(Ashmax,MATCH(Table4[[#This Row],[SKU]],FG,0)),1,0)))</f>
        <v>-</v>
      </c>
      <c r="BH63" s="231" t="str">
        <f>IF(INDEX(Absmin,MATCH(Table4[[#This Row],[SKU]],FG,0))="-","-",IF(Table4[[#This Row],[%Absorption]]="-","-",IF(Table4[[#This Row],[%Absorption]]&lt;INDEX(Absmin,MATCH(Table4[[#This Row],[SKU]],FG,0)),1,0)))</f>
        <v>-</v>
      </c>
      <c r="BI63" s="231" t="str">
        <f>IF(INDEX(Absmin,MATCH(Table4[[#This Row],[SKU]],FG,0))="-","-",IF(Table4[[#This Row],[%Absorption]]="-","-",IF(Table4[[#This Row],[%Absorption]]&gt;INDEX(Absmax,MATCH(Table4[[#This Row],[SKU]],FG,0)),1,0)))</f>
        <v>-</v>
      </c>
      <c r="BJ63" s="231" t="str">
        <f>IF(INDEX(WGmin,MATCH(Table4[[#This Row],[SKU]],FG,0))="-","-",IF(Table4[[#This Row],[%Wet Gluten]]="-","-",IF(Table4[[#This Row],[%Wet Gluten]]&lt;INDEX(WGmin,MATCH(Table4[[#This Row],[SKU]],FG,0)),1,0)))</f>
        <v>-</v>
      </c>
      <c r="BK63" s="231" t="str">
        <f>IF(INDEX(WGmin,MATCH(Table4[[#This Row],[SKU]],FG,0))="-","-",IF(Table4[[#This Row],[%Wet Gluten]]="-","-",IF(Table4[[#This Row],[%Wet Gluten]]&gt;INDEX(WGmax,MATCH(Table4[[#This Row],[SKU]],FG,0)),1,0)))</f>
        <v>-</v>
      </c>
    </row>
    <row r="64" spans="1:63" x14ac:dyDescent="0.35">
      <c r="A64" s="243">
        <v>46023</v>
      </c>
      <c r="B64" s="244">
        <v>46027</v>
      </c>
      <c r="C64" s="244">
        <v>46007</v>
      </c>
      <c r="D64" s="244" t="s">
        <v>125</v>
      </c>
      <c r="E64" s="245" t="s">
        <v>240</v>
      </c>
      <c r="F64" s="246">
        <v>3</v>
      </c>
      <c r="G64" s="259" t="s">
        <v>36</v>
      </c>
      <c r="H64" s="247">
        <v>4.8999999999999998E-3</v>
      </c>
      <c r="I64" s="248" t="s">
        <v>165</v>
      </c>
      <c r="J64" s="248" t="s">
        <v>165</v>
      </c>
      <c r="K64" s="248" t="s">
        <v>165</v>
      </c>
      <c r="L64" s="248" t="s">
        <v>161</v>
      </c>
      <c r="M64" s="248" t="s">
        <v>161</v>
      </c>
      <c r="N64" s="249">
        <v>12.43</v>
      </c>
      <c r="O64" s="249">
        <v>12.52</v>
      </c>
      <c r="P64" s="249">
        <v>0.47</v>
      </c>
      <c r="Q64" s="249">
        <v>65</v>
      </c>
      <c r="R64" s="249">
        <v>14.1</v>
      </c>
      <c r="S64" s="250">
        <v>879</v>
      </c>
      <c r="T64" s="249">
        <v>35</v>
      </c>
      <c r="U64" s="249" t="s">
        <v>163</v>
      </c>
      <c r="V64" s="251" t="s">
        <v>163</v>
      </c>
      <c r="W64" s="252" t="s">
        <v>165</v>
      </c>
      <c r="X64" s="252" t="s">
        <v>165</v>
      </c>
      <c r="Y64" s="248" t="s">
        <v>414</v>
      </c>
      <c r="Z64" s="231">
        <f>IF(Table4[[#This Row],[ Bran Content]]="-","-",IF(H64&gt;0.02,0,2))</f>
        <v>2</v>
      </c>
      <c r="AA64" s="231">
        <f>IF(Table4[[#This Row],[Sieve Test]]="-","-",IF(Table4[[#This Row],[Sieve Test]]="P",1,0))</f>
        <v>1</v>
      </c>
      <c r="AB64" s="231">
        <f>IF(Table4[[#This Row],[Odor]]="-","-",IF(Table4[[#This Row],[Odor]]="P",2,0))</f>
        <v>2</v>
      </c>
      <c r="AC64" s="231">
        <f>IF(INDEX(MCmin,MATCH(Table4[[#This Row],[SKU]],FG,0))="-","-",IF(Table4[[#This Row],[%MC]]="-","-",IF(Table4[[#This Row],[%MC]]&lt;INDEX(MCmin,MATCH(Table4[[#This Row],[SKU]],FG,0)),0,IF(Table4[[#This Row],[%MC]]&gt;INDEX(MCmax,MATCH(Table4[[#This Row],[SKU]],FG,0)),0,1))))</f>
        <v>1</v>
      </c>
      <c r="AD64" s="231">
        <f>IF(INDEX(Protmin,MATCH(Table4[[#This Row],[SKU]],FG,0))="-","-",IF(Table4[[#This Row],[%Protein]]="-","-",IF(Table4[[#This Row],[%Protein]]&lt;INDEX(Protmin,MATCH(Table4[[#This Row],[SKU]],FG,0)),0,IF(Table4[[#This Row],[%Protein]]&gt;INDEX(Protmax,MATCH(Table4[[#This Row],[SKU]],FG,0)),0,1))))</f>
        <v>1</v>
      </c>
      <c r="AE64" s="231">
        <f>IF(INDEX(Ashmin,MATCH(Table4[[#This Row],[SKU]],FG,0))="-","-",IF(Table4[[#This Row],[%Ash]]="-","-",IF(Table4[[#This Row],[%Ash]]&lt;INDEX(Ashmin,MATCH(Table4[[#This Row],[SKU]],FG,0)),0,IF(Table4[[#This Row],[%Ash]]&gt;INDEX(Ashmax,MATCH(Table4[[#This Row],[SKU]],FG,0)),0,2))))</f>
        <v>2</v>
      </c>
      <c r="AF64" s="231">
        <f>IF(INDEX(Absmin,MATCH(Table4[[#This Row],[SKU]],FG,0))="-","-",IF(Table4[[#This Row],[%Absorption]]="-","-",IF(Table4[[#This Row],[%Absorption]]&lt;INDEX(Absmin,MATCH(Table4[[#This Row],[SKU]],FG,0)),0,IF(Table4[[#This Row],[%Absorption]]&gt;INDEX(Absmax,MATCH(Table4[[#This Row],[SKU]],FG,0)),0,2))))</f>
        <v>2</v>
      </c>
      <c r="AG64" s="231">
        <f>IF(INDEX(Extmin,MATCH(Table4[[#This Row],[SKU]],FG,0))="-","-",IF(Table4[[#This Row],[%Extensibility]]="-","-",IF(Table4[[#This Row],[%Extensibility]]&lt;INDEX(Extmin,MATCH(Table4[[#This Row],[SKU]],FG,0)),0,IF(Table4[[#This Row],[%Extensibility]]&gt;INDEX(Extmax,MATCH(Table4[[#This Row],[SKU]],FG,0)),0,1))))</f>
        <v>1</v>
      </c>
      <c r="AH64" s="231">
        <f>IF(INDEX(Resmin,MATCH(Table4[[#This Row],[SKU]],FG,0))="-","-",IF(Table4[[#This Row],[Resistance, max]]="-","-",IF(Table4[[#This Row],[Resistance, max]]&lt;INDEX(Resmin,MATCH(Table4[[#This Row],[SKU]],FG,0)),0,IF(Table4[[#This Row],[Resistance, max]]&gt;INDEX(Resmax,MATCH(Table4[[#This Row],[SKU]],FG,0)),0,1))))</f>
        <v>1</v>
      </c>
      <c r="AI64" s="231">
        <f>IF(INDEX(WGmin,MATCH(Table4[[#This Row],[SKU]],FG,0))="-","-",IF(Table4[[#This Row],[%Wet Gluten]]="-","-",IF(Table4[[#This Row],[%Wet Gluten]]&lt;INDEX(WGmin,MATCH(Table4[[#This Row],[SKU]],FG,0)),0,IF(Table4[[#This Row],[%Wet Gluten]]&gt;INDEX(WGmax,MATCH(Table4[[#This Row],[SKU]],FG,0)),0,2))))</f>
        <v>2</v>
      </c>
      <c r="AJ64" s="232" t="str">
        <f>IF(Table4[[#This Row],[FN, s]]="-","-",IF(R64&lt;301,1,0))</f>
        <v>-</v>
      </c>
      <c r="AK64" s="233">
        <f>SUM(Table4[[#This Row],[ QI Bran Content]:[QI FN]])</f>
        <v>15</v>
      </c>
      <c r="AL64" s="232">
        <f t="shared" si="6"/>
        <v>15</v>
      </c>
      <c r="AM64" s="232" t="str">
        <f>IF(INDEX(WGmin,MATCH(Table4[[#This Row],[SKU]],FG,0))="-","-",IF(Table4[[#This Row],[Gross Weight]]="-","-",IF(Table4[[#This Row],[Gross Weight]]&lt;INDEX(GWmin,MATCH(Table4[[#This Row],[SKU]],FG,0)),0,IF(Table4[[#This Row],[Gross Weight]]&gt;INDEX(GWmax,MATCH(Table4[[#This Row],[SKU]],FG,0)),0,1))))</f>
        <v>-</v>
      </c>
      <c r="AN64" s="232">
        <f>IF(Table4[[#This Row],[Sealing Integrity]]="-","-",IF(Table4[[#This Row],[Sealing Integrity]]="P",1,0))</f>
        <v>1</v>
      </c>
      <c r="AO64" s="232">
        <f>IF(Table4[[#This Row],[Coding]]="-","-",IF(Table4[[#This Row],[Coding]]="P",1,0))</f>
        <v>1</v>
      </c>
      <c r="AP64" s="233">
        <f>SUM(Table4[[#This Row],[QI Weight]:[QI Code]])</f>
        <v>2</v>
      </c>
      <c r="AQ64" s="233">
        <f>COUNT(Table4[[#This Row],[QI Weight]:[QI Code]])</f>
        <v>2</v>
      </c>
      <c r="AR64" s="261">
        <f>Table4[[#This Row],[TA]]+Table4[[#This Row],[TA2]]</f>
        <v>17</v>
      </c>
      <c r="AS64" s="261">
        <f>Table4[[#This Row],[TP]]+Table4[[#This Row],[TP2]]</f>
        <v>17</v>
      </c>
      <c r="BD64" s="265">
        <f>IF(INDEX(MCmin,MATCH(Table4[[#This Row],[SKU]],FG,0))="-","-",IF(Table4[[#This Row],[%MC]]="-","-",IF(Table4[[#This Row],[%MC]]&lt;INDEX(MCmin,MATCH(Table4[[#This Row],[SKU]],FG,0)),1,0)))</f>
        <v>0</v>
      </c>
      <c r="BE64" s="265">
        <f>IF(INDEX(MCmin,MATCH(Table4[[#This Row],[SKU]],FG,0))="-","-",IF(Table4[[#This Row],[%MC]]="-","-",IF(Table4[[#This Row],[%MC]]&gt;INDEX(MCmax,MATCH(Table4[[#This Row],[SKU]],FG,0)),1,0)))</f>
        <v>0</v>
      </c>
      <c r="BF64" s="231">
        <f>IF(INDEX(Ashmin,MATCH(Table4[[#This Row],[SKU]],FG,0))="-","-",IF(Table4[[#This Row],[%Ash]]="-","-",IF(Table4[[#This Row],[%Ash]]&lt;INDEX(Ashmin,MATCH(Table4[[#This Row],[SKU]],FG,0)),1,0)))</f>
        <v>0</v>
      </c>
      <c r="BG64" s="231">
        <f>IF(INDEX(Ashmin,MATCH(Table4[[#This Row],[SKU]],FG,0))="-","-",IF(Table4[[#This Row],[%Ash]]="-","-",IF(Table4[[#This Row],[%Ash]]&gt;INDEX(Ashmax,MATCH(Table4[[#This Row],[SKU]],FG,0)),1,0)))</f>
        <v>0</v>
      </c>
      <c r="BH64" s="231">
        <f>IF(INDEX(Absmin,MATCH(Table4[[#This Row],[SKU]],FG,0))="-","-",IF(Table4[[#This Row],[%Absorption]]="-","-",IF(Table4[[#This Row],[%Absorption]]&lt;INDEX(Absmin,MATCH(Table4[[#This Row],[SKU]],FG,0)),1,0)))</f>
        <v>0</v>
      </c>
      <c r="BI64" s="231">
        <f>IF(INDEX(Absmin,MATCH(Table4[[#This Row],[SKU]],FG,0))="-","-",IF(Table4[[#This Row],[%Absorption]]="-","-",IF(Table4[[#This Row],[%Absorption]]&gt;INDEX(Absmax,MATCH(Table4[[#This Row],[SKU]],FG,0)),1,0)))</f>
        <v>0</v>
      </c>
      <c r="BJ64" s="231">
        <f>IF(INDEX(WGmin,MATCH(Table4[[#This Row],[SKU]],FG,0))="-","-",IF(Table4[[#This Row],[%Wet Gluten]]="-","-",IF(Table4[[#This Row],[%Wet Gluten]]&lt;INDEX(WGmin,MATCH(Table4[[#This Row],[SKU]],FG,0)),1,0)))</f>
        <v>0</v>
      </c>
      <c r="BK64" s="231">
        <f>IF(INDEX(WGmin,MATCH(Table4[[#This Row],[SKU]],FG,0))="-","-",IF(Table4[[#This Row],[%Wet Gluten]]="-","-",IF(Table4[[#This Row],[%Wet Gluten]]&gt;INDEX(WGmax,MATCH(Table4[[#This Row],[SKU]],FG,0)),1,0)))</f>
        <v>0</v>
      </c>
    </row>
    <row r="65" spans="1:63" x14ac:dyDescent="0.35">
      <c r="A65" s="243">
        <v>46023</v>
      </c>
      <c r="B65" s="244">
        <v>46027</v>
      </c>
      <c r="C65" s="244">
        <v>46007</v>
      </c>
      <c r="D65" s="244" t="s">
        <v>125</v>
      </c>
      <c r="E65" s="245" t="s">
        <v>237</v>
      </c>
      <c r="F65" s="246">
        <v>3</v>
      </c>
      <c r="G65" s="259" t="s">
        <v>36</v>
      </c>
      <c r="H65" s="247">
        <v>1.1299999999999999E-2</v>
      </c>
      <c r="I65" s="248" t="s">
        <v>165</v>
      </c>
      <c r="J65" s="248" t="s">
        <v>165</v>
      </c>
      <c r="K65" s="248" t="s">
        <v>165</v>
      </c>
      <c r="L65" s="248" t="s">
        <v>161</v>
      </c>
      <c r="M65" s="248" t="s">
        <v>161</v>
      </c>
      <c r="N65" s="249">
        <v>12.43</v>
      </c>
      <c r="O65" s="249" t="s">
        <v>163</v>
      </c>
      <c r="P65" s="249" t="s">
        <v>163</v>
      </c>
      <c r="Q65" s="249" t="s">
        <v>163</v>
      </c>
      <c r="R65" s="249" t="s">
        <v>163</v>
      </c>
      <c r="S65" s="250" t="s">
        <v>163</v>
      </c>
      <c r="T65" s="249" t="s">
        <v>163</v>
      </c>
      <c r="U65" s="249" t="s">
        <v>163</v>
      </c>
      <c r="V65" s="251" t="s">
        <v>163</v>
      </c>
      <c r="W65" s="252" t="s">
        <v>165</v>
      </c>
      <c r="X65" s="252" t="s">
        <v>165</v>
      </c>
      <c r="Y65" s="248" t="s">
        <v>163</v>
      </c>
      <c r="Z65" s="231">
        <f>IF(Table4[[#This Row],[ Bran Content]]="-","-",IF(H65&gt;0.02,0,2))</f>
        <v>2</v>
      </c>
      <c r="AA65" s="231">
        <f>IF(Table4[[#This Row],[Sieve Test]]="-","-",IF(Table4[[#This Row],[Sieve Test]]="P",1,0))</f>
        <v>1</v>
      </c>
      <c r="AB65" s="231">
        <f>IF(Table4[[#This Row],[Odor]]="-","-",IF(Table4[[#This Row],[Odor]]="P",2,0))</f>
        <v>2</v>
      </c>
      <c r="AC65" s="231">
        <f>IF(INDEX(MCmin,MATCH(Table4[[#This Row],[SKU]],FG,0))="-","-",IF(Table4[[#This Row],[%MC]]="-","-",IF(Table4[[#This Row],[%MC]]&lt;INDEX(MCmin,MATCH(Table4[[#This Row],[SKU]],FG,0)),0,IF(Table4[[#This Row],[%MC]]&gt;INDEX(MCmax,MATCH(Table4[[#This Row],[SKU]],FG,0)),0,1))))</f>
        <v>1</v>
      </c>
      <c r="AD65" s="231" t="str">
        <f>IF(INDEX(Protmin,MATCH(Table4[[#This Row],[SKU]],FG,0))="-","-",IF(Table4[[#This Row],[%Protein]]="-","-",IF(Table4[[#This Row],[%Protein]]&lt;INDEX(Protmin,MATCH(Table4[[#This Row],[SKU]],FG,0)),0,IF(Table4[[#This Row],[%Protein]]&gt;INDEX(Protmax,MATCH(Table4[[#This Row],[SKU]],FG,0)),0,1))))</f>
        <v>-</v>
      </c>
      <c r="AE65" s="231" t="str">
        <f>IF(INDEX(Ashmin,MATCH(Table4[[#This Row],[SKU]],FG,0))="-","-",IF(Table4[[#This Row],[%Ash]]="-","-",IF(Table4[[#This Row],[%Ash]]&lt;INDEX(Ashmin,MATCH(Table4[[#This Row],[SKU]],FG,0)),0,IF(Table4[[#This Row],[%Ash]]&gt;INDEX(Ashmax,MATCH(Table4[[#This Row],[SKU]],FG,0)),0,2))))</f>
        <v>-</v>
      </c>
      <c r="AF65" s="231" t="str">
        <f>IF(INDEX(Absmin,MATCH(Table4[[#This Row],[SKU]],FG,0))="-","-",IF(Table4[[#This Row],[%Absorption]]="-","-",IF(Table4[[#This Row],[%Absorption]]&lt;INDEX(Absmin,MATCH(Table4[[#This Row],[SKU]],FG,0)),0,IF(Table4[[#This Row],[%Absorption]]&gt;INDEX(Absmax,MATCH(Table4[[#This Row],[SKU]],FG,0)),0,2))))</f>
        <v>-</v>
      </c>
      <c r="AG65" s="231" t="str">
        <f>IF(INDEX(Extmin,MATCH(Table4[[#This Row],[SKU]],FG,0))="-","-",IF(Table4[[#This Row],[%Extensibility]]="-","-",IF(Table4[[#This Row],[%Extensibility]]&lt;INDEX(Extmin,MATCH(Table4[[#This Row],[SKU]],FG,0)),0,IF(Table4[[#This Row],[%Extensibility]]&gt;INDEX(Extmax,MATCH(Table4[[#This Row],[SKU]],FG,0)),0,1))))</f>
        <v>-</v>
      </c>
      <c r="AH65" s="231" t="str">
        <f>IF(INDEX(Resmin,MATCH(Table4[[#This Row],[SKU]],FG,0))="-","-",IF(Table4[[#This Row],[Resistance, max]]="-","-",IF(Table4[[#This Row],[Resistance, max]]&lt;INDEX(Resmin,MATCH(Table4[[#This Row],[SKU]],FG,0)),0,IF(Table4[[#This Row],[Resistance, max]]&gt;INDEX(Resmax,MATCH(Table4[[#This Row],[SKU]],FG,0)),0,1))))</f>
        <v>-</v>
      </c>
      <c r="AI65" s="231" t="str">
        <f>IF(INDEX(WGmin,MATCH(Table4[[#This Row],[SKU]],FG,0))="-","-",IF(Table4[[#This Row],[%Wet Gluten]]="-","-",IF(Table4[[#This Row],[%Wet Gluten]]&lt;INDEX(WGmin,MATCH(Table4[[#This Row],[SKU]],FG,0)),0,IF(Table4[[#This Row],[%Wet Gluten]]&gt;INDEX(WGmax,MATCH(Table4[[#This Row],[SKU]],FG,0)),0,2))))</f>
        <v>-</v>
      </c>
      <c r="AJ65" s="232" t="str">
        <f>IF(Table4[[#This Row],[FN, s]]="-","-",IF(R65&lt;301,1,0))</f>
        <v>-</v>
      </c>
      <c r="AK65" s="233">
        <f>SUM(Table4[[#This Row],[ QI Bran Content]:[QI FN]])</f>
        <v>6</v>
      </c>
      <c r="AL65" s="232">
        <f t="shared" si="6"/>
        <v>6</v>
      </c>
      <c r="AM65" s="232" t="str">
        <f>IF(INDEX(WGmin,MATCH(Table4[[#This Row],[SKU]],FG,0))="-","-",IF(Table4[[#This Row],[Gross Weight]]="-","-",IF(Table4[[#This Row],[Gross Weight]]&lt;INDEX(GWmin,MATCH(Table4[[#This Row],[SKU]],FG,0)),0,IF(Table4[[#This Row],[Gross Weight]]&gt;INDEX(GWmax,MATCH(Table4[[#This Row],[SKU]],FG,0)),0,1))))</f>
        <v>-</v>
      </c>
      <c r="AN65" s="232">
        <f>IF(Table4[[#This Row],[Sealing Integrity]]="-","-",IF(Table4[[#This Row],[Sealing Integrity]]="P",1,0))</f>
        <v>1</v>
      </c>
      <c r="AO65" s="232">
        <f>IF(Table4[[#This Row],[Coding]]="-","-",IF(Table4[[#This Row],[Coding]]="P",1,0))</f>
        <v>1</v>
      </c>
      <c r="AP65" s="233">
        <f>SUM(Table4[[#This Row],[QI Weight]:[QI Code]])</f>
        <v>2</v>
      </c>
      <c r="AQ65" s="233">
        <f>COUNT(Table4[[#This Row],[QI Weight]:[QI Code]])</f>
        <v>2</v>
      </c>
      <c r="AR65" s="261">
        <f>Table4[[#This Row],[TA]]+Table4[[#This Row],[TA2]]</f>
        <v>8</v>
      </c>
      <c r="AS65" s="261">
        <f>Table4[[#This Row],[TP]]+Table4[[#This Row],[TP2]]</f>
        <v>8</v>
      </c>
      <c r="BD65" s="265">
        <f>IF(INDEX(MCmin,MATCH(Table4[[#This Row],[SKU]],FG,0))="-","-",IF(Table4[[#This Row],[%MC]]="-","-",IF(Table4[[#This Row],[%MC]]&lt;INDEX(MCmin,MATCH(Table4[[#This Row],[SKU]],FG,0)),1,0)))</f>
        <v>0</v>
      </c>
      <c r="BE65" s="265">
        <f>IF(INDEX(MCmin,MATCH(Table4[[#This Row],[SKU]],FG,0))="-","-",IF(Table4[[#This Row],[%MC]]="-","-",IF(Table4[[#This Row],[%MC]]&gt;INDEX(MCmax,MATCH(Table4[[#This Row],[SKU]],FG,0)),1,0)))</f>
        <v>0</v>
      </c>
      <c r="BF65" s="231" t="str">
        <f>IF(INDEX(Ashmin,MATCH(Table4[[#This Row],[SKU]],FG,0))="-","-",IF(Table4[[#This Row],[%Ash]]="-","-",IF(Table4[[#This Row],[%Ash]]&lt;INDEX(Ashmin,MATCH(Table4[[#This Row],[SKU]],FG,0)),1,0)))</f>
        <v>-</v>
      </c>
      <c r="BG65" s="231" t="str">
        <f>IF(INDEX(Ashmin,MATCH(Table4[[#This Row],[SKU]],FG,0))="-","-",IF(Table4[[#This Row],[%Ash]]="-","-",IF(Table4[[#This Row],[%Ash]]&gt;INDEX(Ashmax,MATCH(Table4[[#This Row],[SKU]],FG,0)),1,0)))</f>
        <v>-</v>
      </c>
      <c r="BH65" s="231" t="str">
        <f>IF(INDEX(Absmin,MATCH(Table4[[#This Row],[SKU]],FG,0))="-","-",IF(Table4[[#This Row],[%Absorption]]="-","-",IF(Table4[[#This Row],[%Absorption]]&lt;INDEX(Absmin,MATCH(Table4[[#This Row],[SKU]],FG,0)),1,0)))</f>
        <v>-</v>
      </c>
      <c r="BI65" s="231" t="str">
        <f>IF(INDEX(Absmin,MATCH(Table4[[#This Row],[SKU]],FG,0))="-","-",IF(Table4[[#This Row],[%Absorption]]="-","-",IF(Table4[[#This Row],[%Absorption]]&gt;INDEX(Absmax,MATCH(Table4[[#This Row],[SKU]],FG,0)),1,0)))</f>
        <v>-</v>
      </c>
      <c r="BJ65" s="231" t="str">
        <f>IF(INDEX(WGmin,MATCH(Table4[[#This Row],[SKU]],FG,0))="-","-",IF(Table4[[#This Row],[%Wet Gluten]]="-","-",IF(Table4[[#This Row],[%Wet Gluten]]&lt;INDEX(WGmin,MATCH(Table4[[#This Row],[SKU]],FG,0)),1,0)))</f>
        <v>-</v>
      </c>
      <c r="BK65" s="231" t="str">
        <f>IF(INDEX(WGmin,MATCH(Table4[[#This Row],[SKU]],FG,0))="-","-",IF(Table4[[#This Row],[%Wet Gluten]]="-","-",IF(Table4[[#This Row],[%Wet Gluten]]&gt;INDEX(WGmax,MATCH(Table4[[#This Row],[SKU]],FG,0)),1,0)))</f>
        <v>-</v>
      </c>
    </row>
    <row r="66" spans="1:63" x14ac:dyDescent="0.35">
      <c r="A66" s="243">
        <v>46023</v>
      </c>
      <c r="B66" s="244">
        <v>46027</v>
      </c>
      <c r="C66" s="244">
        <v>46007</v>
      </c>
      <c r="D66" s="244" t="s">
        <v>125</v>
      </c>
      <c r="E66" s="245" t="s">
        <v>328</v>
      </c>
      <c r="F66" s="246">
        <v>3</v>
      </c>
      <c r="G66" s="259" t="s">
        <v>36</v>
      </c>
      <c r="H66" s="247">
        <v>9.2999999999999992E-3</v>
      </c>
      <c r="I66" s="248" t="s">
        <v>165</v>
      </c>
      <c r="J66" s="248" t="s">
        <v>165</v>
      </c>
      <c r="K66" s="248" t="s">
        <v>165</v>
      </c>
      <c r="L66" s="248" t="s">
        <v>161</v>
      </c>
      <c r="M66" s="248" t="s">
        <v>161</v>
      </c>
      <c r="N66" s="249">
        <v>12.73</v>
      </c>
      <c r="O66" s="249" t="s">
        <v>163</v>
      </c>
      <c r="P66" s="249" t="s">
        <v>163</v>
      </c>
      <c r="Q66" s="249" t="s">
        <v>163</v>
      </c>
      <c r="R66" s="249" t="s">
        <v>163</v>
      </c>
      <c r="S66" s="250" t="s">
        <v>163</v>
      </c>
      <c r="T66" s="249" t="s">
        <v>163</v>
      </c>
      <c r="U66" s="249" t="s">
        <v>163</v>
      </c>
      <c r="V66" s="251" t="s">
        <v>163</v>
      </c>
      <c r="W66" s="252" t="s">
        <v>165</v>
      </c>
      <c r="X66" s="252" t="s">
        <v>165</v>
      </c>
      <c r="Y66" s="248" t="s">
        <v>163</v>
      </c>
      <c r="Z66" s="231">
        <f>IF(Table4[[#This Row],[ Bran Content]]="-","-",IF(H66&gt;0.02,0,2))</f>
        <v>2</v>
      </c>
      <c r="AA66" s="231">
        <f>IF(Table4[[#This Row],[Sieve Test]]="-","-",IF(Table4[[#This Row],[Sieve Test]]="P",1,0))</f>
        <v>1</v>
      </c>
      <c r="AB66" s="231">
        <f>IF(Table4[[#This Row],[Odor]]="-","-",IF(Table4[[#This Row],[Odor]]="P",2,0))</f>
        <v>2</v>
      </c>
      <c r="AC66" s="231">
        <f>IF(INDEX(MCmin,MATCH(Table4[[#This Row],[SKU]],FG,0))="-","-",IF(Table4[[#This Row],[%MC]]="-","-",IF(Table4[[#This Row],[%MC]]&lt;INDEX(MCmin,MATCH(Table4[[#This Row],[SKU]],FG,0)),0,IF(Table4[[#This Row],[%MC]]&gt;INDEX(MCmax,MATCH(Table4[[#This Row],[SKU]],FG,0)),0,1))))</f>
        <v>1</v>
      </c>
      <c r="AD66" s="231" t="str">
        <f>IF(INDEX(Protmin,MATCH(Table4[[#This Row],[SKU]],FG,0))="-","-",IF(Table4[[#This Row],[%Protein]]="-","-",IF(Table4[[#This Row],[%Protein]]&lt;INDEX(Protmin,MATCH(Table4[[#This Row],[SKU]],FG,0)),0,IF(Table4[[#This Row],[%Protein]]&gt;INDEX(Protmax,MATCH(Table4[[#This Row],[SKU]],FG,0)),0,1))))</f>
        <v>-</v>
      </c>
      <c r="AE66" s="231" t="str">
        <f>IF(INDEX(Ashmin,MATCH(Table4[[#This Row],[SKU]],FG,0))="-","-",IF(Table4[[#This Row],[%Ash]]="-","-",IF(Table4[[#This Row],[%Ash]]&lt;INDEX(Ashmin,MATCH(Table4[[#This Row],[SKU]],FG,0)),0,IF(Table4[[#This Row],[%Ash]]&gt;INDEX(Ashmax,MATCH(Table4[[#This Row],[SKU]],FG,0)),0,2))))</f>
        <v>-</v>
      </c>
      <c r="AF66" s="231" t="str">
        <f>IF(INDEX(Absmin,MATCH(Table4[[#This Row],[SKU]],FG,0))="-","-",IF(Table4[[#This Row],[%Absorption]]="-","-",IF(Table4[[#This Row],[%Absorption]]&lt;INDEX(Absmin,MATCH(Table4[[#This Row],[SKU]],FG,0)),0,IF(Table4[[#This Row],[%Absorption]]&gt;INDEX(Absmax,MATCH(Table4[[#This Row],[SKU]],FG,0)),0,2))))</f>
        <v>-</v>
      </c>
      <c r="AG66" s="231" t="str">
        <f>IF(INDEX(Extmin,MATCH(Table4[[#This Row],[SKU]],FG,0))="-","-",IF(Table4[[#This Row],[%Extensibility]]="-","-",IF(Table4[[#This Row],[%Extensibility]]&lt;INDEX(Extmin,MATCH(Table4[[#This Row],[SKU]],FG,0)),0,IF(Table4[[#This Row],[%Extensibility]]&gt;INDEX(Extmax,MATCH(Table4[[#This Row],[SKU]],FG,0)),0,1))))</f>
        <v>-</v>
      </c>
      <c r="AH66" s="231" t="str">
        <f>IF(INDEX(Resmin,MATCH(Table4[[#This Row],[SKU]],FG,0))="-","-",IF(Table4[[#This Row],[Resistance, max]]="-","-",IF(Table4[[#This Row],[Resistance, max]]&lt;INDEX(Resmin,MATCH(Table4[[#This Row],[SKU]],FG,0)),0,IF(Table4[[#This Row],[Resistance, max]]&gt;INDEX(Resmax,MATCH(Table4[[#This Row],[SKU]],FG,0)),0,1))))</f>
        <v>-</v>
      </c>
      <c r="AI66" s="231" t="str">
        <f>IF(INDEX(WGmin,MATCH(Table4[[#This Row],[SKU]],FG,0))="-","-",IF(Table4[[#This Row],[%Wet Gluten]]="-","-",IF(Table4[[#This Row],[%Wet Gluten]]&lt;INDEX(WGmin,MATCH(Table4[[#This Row],[SKU]],FG,0)),0,IF(Table4[[#This Row],[%Wet Gluten]]&gt;INDEX(WGmax,MATCH(Table4[[#This Row],[SKU]],FG,0)),0,2))))</f>
        <v>-</v>
      </c>
      <c r="AJ66" s="232" t="str">
        <f>IF(Table4[[#This Row],[FN, s]]="-","-",IF(R66&lt;301,1,0))</f>
        <v>-</v>
      </c>
      <c r="AK66" s="233">
        <f>SUM(Table4[[#This Row],[ QI Bran Content]:[QI FN]])</f>
        <v>6</v>
      </c>
      <c r="AL66" s="232">
        <f t="shared" si="6"/>
        <v>6</v>
      </c>
      <c r="AM66" s="232" t="str">
        <f>IF(INDEX(WGmin,MATCH(Table4[[#This Row],[SKU]],FG,0))="-","-",IF(Table4[[#This Row],[Gross Weight]]="-","-",IF(Table4[[#This Row],[Gross Weight]]&lt;INDEX(GWmin,MATCH(Table4[[#This Row],[SKU]],FG,0)),0,IF(Table4[[#This Row],[Gross Weight]]&gt;INDEX(GWmax,MATCH(Table4[[#This Row],[SKU]],FG,0)),0,1))))</f>
        <v>-</v>
      </c>
      <c r="AN66" s="232">
        <f>IF(Table4[[#This Row],[Sealing Integrity]]="-","-",IF(Table4[[#This Row],[Sealing Integrity]]="P",1,0))</f>
        <v>1</v>
      </c>
      <c r="AO66" s="232">
        <f>IF(Table4[[#This Row],[Coding]]="-","-",IF(Table4[[#This Row],[Coding]]="P",1,0))</f>
        <v>1</v>
      </c>
      <c r="AP66" s="233">
        <f>SUM(Table4[[#This Row],[QI Weight]:[QI Code]])</f>
        <v>2</v>
      </c>
      <c r="AQ66" s="233">
        <f>COUNT(Table4[[#This Row],[QI Weight]:[QI Code]])</f>
        <v>2</v>
      </c>
      <c r="AR66" s="261">
        <f>Table4[[#This Row],[TA]]+Table4[[#This Row],[TA2]]</f>
        <v>8</v>
      </c>
      <c r="AS66" s="261">
        <f>Table4[[#This Row],[TP]]+Table4[[#This Row],[TP2]]</f>
        <v>8</v>
      </c>
      <c r="BD66" s="265">
        <f>IF(INDEX(MCmin,MATCH(Table4[[#This Row],[SKU]],FG,0))="-","-",IF(Table4[[#This Row],[%MC]]="-","-",IF(Table4[[#This Row],[%MC]]&lt;INDEX(MCmin,MATCH(Table4[[#This Row],[SKU]],FG,0)),1,0)))</f>
        <v>0</v>
      </c>
      <c r="BE66" s="265">
        <f>IF(INDEX(MCmin,MATCH(Table4[[#This Row],[SKU]],FG,0))="-","-",IF(Table4[[#This Row],[%MC]]="-","-",IF(Table4[[#This Row],[%MC]]&gt;INDEX(MCmax,MATCH(Table4[[#This Row],[SKU]],FG,0)),1,0)))</f>
        <v>0</v>
      </c>
      <c r="BF66" s="231" t="str">
        <f>IF(INDEX(Ashmin,MATCH(Table4[[#This Row],[SKU]],FG,0))="-","-",IF(Table4[[#This Row],[%Ash]]="-","-",IF(Table4[[#This Row],[%Ash]]&lt;INDEX(Ashmin,MATCH(Table4[[#This Row],[SKU]],FG,0)),1,0)))</f>
        <v>-</v>
      </c>
      <c r="BG66" s="231" t="str">
        <f>IF(INDEX(Ashmin,MATCH(Table4[[#This Row],[SKU]],FG,0))="-","-",IF(Table4[[#This Row],[%Ash]]="-","-",IF(Table4[[#This Row],[%Ash]]&gt;INDEX(Ashmax,MATCH(Table4[[#This Row],[SKU]],FG,0)),1,0)))</f>
        <v>-</v>
      </c>
      <c r="BH66" s="231" t="str">
        <f>IF(INDEX(Absmin,MATCH(Table4[[#This Row],[SKU]],FG,0))="-","-",IF(Table4[[#This Row],[%Absorption]]="-","-",IF(Table4[[#This Row],[%Absorption]]&lt;INDEX(Absmin,MATCH(Table4[[#This Row],[SKU]],FG,0)),1,0)))</f>
        <v>-</v>
      </c>
      <c r="BI66" s="231" t="str">
        <f>IF(INDEX(Absmin,MATCH(Table4[[#This Row],[SKU]],FG,0))="-","-",IF(Table4[[#This Row],[%Absorption]]="-","-",IF(Table4[[#This Row],[%Absorption]]&gt;INDEX(Absmax,MATCH(Table4[[#This Row],[SKU]],FG,0)),1,0)))</f>
        <v>-</v>
      </c>
      <c r="BJ66" s="231" t="str">
        <f>IF(INDEX(WGmin,MATCH(Table4[[#This Row],[SKU]],FG,0))="-","-",IF(Table4[[#This Row],[%Wet Gluten]]="-","-",IF(Table4[[#This Row],[%Wet Gluten]]&lt;INDEX(WGmin,MATCH(Table4[[#This Row],[SKU]],FG,0)),1,0)))</f>
        <v>-</v>
      </c>
      <c r="BK66" s="231" t="str">
        <f>IF(INDEX(WGmin,MATCH(Table4[[#This Row],[SKU]],FG,0))="-","-",IF(Table4[[#This Row],[%Wet Gluten]]="-","-",IF(Table4[[#This Row],[%Wet Gluten]]&gt;INDEX(WGmax,MATCH(Table4[[#This Row],[SKU]],FG,0)),1,0)))</f>
        <v>-</v>
      </c>
    </row>
    <row r="67" spans="1:63" x14ac:dyDescent="0.35">
      <c r="A67" s="243">
        <v>46023</v>
      </c>
      <c r="B67" s="244">
        <v>46027</v>
      </c>
      <c r="C67" s="244">
        <v>46378</v>
      </c>
      <c r="D67" s="244" t="s">
        <v>128</v>
      </c>
      <c r="E67" s="245">
        <v>0.83333333333333304</v>
      </c>
      <c r="F67" s="246">
        <v>2</v>
      </c>
      <c r="G67" s="259" t="s">
        <v>39</v>
      </c>
      <c r="H67" s="247">
        <v>2.0999999999999999E-3</v>
      </c>
      <c r="I67" s="248" t="s">
        <v>165</v>
      </c>
      <c r="J67" s="248" t="s">
        <v>165</v>
      </c>
      <c r="K67" s="248" t="s">
        <v>165</v>
      </c>
      <c r="L67" s="248" t="s">
        <v>163</v>
      </c>
      <c r="M67" s="248" t="s">
        <v>161</v>
      </c>
      <c r="N67" s="249">
        <v>11.33</v>
      </c>
      <c r="O67" s="249">
        <v>9.32</v>
      </c>
      <c r="P67" s="249">
        <v>0.49</v>
      </c>
      <c r="Q67" s="249">
        <v>54.2</v>
      </c>
      <c r="R67" s="249">
        <v>12.4</v>
      </c>
      <c r="S67" s="250">
        <v>474</v>
      </c>
      <c r="T67" s="249">
        <v>25.36</v>
      </c>
      <c r="U67" s="249" t="s">
        <v>163</v>
      </c>
      <c r="V67" s="251" t="s">
        <v>163</v>
      </c>
      <c r="W67" s="252" t="s">
        <v>165</v>
      </c>
      <c r="X67" s="252" t="s">
        <v>165</v>
      </c>
      <c r="Y67" s="248" t="s">
        <v>163</v>
      </c>
      <c r="Z67" s="231">
        <f>IF(Table4[[#This Row],[ Bran Content]]="-","-",IF(H67&gt;0.02,0,2))</f>
        <v>2</v>
      </c>
      <c r="AA67" s="231">
        <f>IF(Table4[[#This Row],[Sieve Test]]="-","-",IF(Table4[[#This Row],[Sieve Test]]="P",1,0))</f>
        <v>1</v>
      </c>
      <c r="AB67" s="231">
        <f>IF(Table4[[#This Row],[Odor]]="-","-",IF(Table4[[#This Row],[Odor]]="P",2,0))</f>
        <v>2</v>
      </c>
      <c r="AC67" s="231">
        <f>IF(INDEX(MCmin,MATCH(Table4[[#This Row],[SKU]],FG,0))="-","-",IF(Table4[[#This Row],[%MC]]="-","-",IF(Table4[[#This Row],[%MC]]&lt;INDEX(MCmin,MATCH(Table4[[#This Row],[SKU]],FG,0)),0,IF(Table4[[#This Row],[%MC]]&gt;INDEX(MCmax,MATCH(Table4[[#This Row],[SKU]],FG,0)),0,1))))</f>
        <v>1</v>
      </c>
      <c r="AD67" s="231">
        <f>IF(INDEX(Protmin,MATCH(Table4[[#This Row],[SKU]],FG,0))="-","-",IF(Table4[[#This Row],[%Protein]]="-","-",IF(Table4[[#This Row],[%Protein]]&lt;INDEX(Protmin,MATCH(Table4[[#This Row],[SKU]],FG,0)),0,IF(Table4[[#This Row],[%Protein]]&gt;INDEX(Protmax,MATCH(Table4[[#This Row],[SKU]],FG,0)),0,1))))</f>
        <v>1</v>
      </c>
      <c r="AE67" s="231">
        <f>IF(INDEX(Ashmin,MATCH(Table4[[#This Row],[SKU]],FG,0))="-","-",IF(Table4[[#This Row],[%Ash]]="-","-",IF(Table4[[#This Row],[%Ash]]&lt;INDEX(Ashmin,MATCH(Table4[[#This Row],[SKU]],FG,0)),0,IF(Table4[[#This Row],[%Ash]]&gt;INDEX(Ashmax,MATCH(Table4[[#This Row],[SKU]],FG,0)),0,2))))</f>
        <v>2</v>
      </c>
      <c r="AF67" s="231">
        <f>IF(INDEX(Absmin,MATCH(Table4[[#This Row],[SKU]],FG,0))="-","-",IF(Table4[[#This Row],[%Absorption]]="-","-",IF(Table4[[#This Row],[%Absorption]]&lt;INDEX(Absmin,MATCH(Table4[[#This Row],[SKU]],FG,0)),0,IF(Table4[[#This Row],[%Absorption]]&gt;INDEX(Absmax,MATCH(Table4[[#This Row],[SKU]],FG,0)),0,2))))</f>
        <v>0</v>
      </c>
      <c r="AG67" s="231">
        <f>IF(INDEX(Extmin,MATCH(Table4[[#This Row],[SKU]],FG,0))="-","-",IF(Table4[[#This Row],[%Extensibility]]="-","-",IF(Table4[[#This Row],[%Extensibility]]&lt;INDEX(Extmin,MATCH(Table4[[#This Row],[SKU]],FG,0)),0,IF(Table4[[#This Row],[%Extensibility]]&gt;INDEX(Extmax,MATCH(Table4[[#This Row],[SKU]],FG,0)),0,1))))</f>
        <v>1</v>
      </c>
      <c r="AH67" s="231">
        <f>IF(INDEX(Resmin,MATCH(Table4[[#This Row],[SKU]],FG,0))="-","-",IF(Table4[[#This Row],[Resistance, max]]="-","-",IF(Table4[[#This Row],[Resistance, max]]&lt;INDEX(Resmin,MATCH(Table4[[#This Row],[SKU]],FG,0)),0,IF(Table4[[#This Row],[Resistance, max]]&gt;INDEX(Resmax,MATCH(Table4[[#This Row],[SKU]],FG,0)),0,1))))</f>
        <v>1</v>
      </c>
      <c r="AI67" s="231">
        <f>IF(INDEX(WGmin,MATCH(Table4[[#This Row],[SKU]],FG,0))="-","-",IF(Table4[[#This Row],[%Wet Gluten]]="-","-",IF(Table4[[#This Row],[%Wet Gluten]]&lt;INDEX(WGmin,MATCH(Table4[[#This Row],[SKU]],FG,0)),0,IF(Table4[[#This Row],[%Wet Gluten]]&gt;INDEX(WGmax,MATCH(Table4[[#This Row],[SKU]],FG,0)),0,2))))</f>
        <v>2</v>
      </c>
      <c r="AJ67" s="232" t="str">
        <f>IF(Table4[[#This Row],[FN, s]]="-","-",IF(R67&lt;301,1,0))</f>
        <v>-</v>
      </c>
      <c r="AK67" s="233">
        <f>SUM(Table4[[#This Row],[ QI Bran Content]:[QI FN]])</f>
        <v>13</v>
      </c>
      <c r="AL67" s="232">
        <f t="shared" si="6"/>
        <v>15</v>
      </c>
      <c r="AM67" s="232" t="str">
        <f>IF(INDEX(WGmin,MATCH(Table4[[#This Row],[SKU]],FG,0))="-","-",IF(Table4[[#This Row],[Gross Weight]]="-","-",IF(Table4[[#This Row],[Gross Weight]]&lt;INDEX(GWmin,MATCH(Table4[[#This Row],[SKU]],FG,0)),0,IF(Table4[[#This Row],[Gross Weight]]&gt;INDEX(GWmax,MATCH(Table4[[#This Row],[SKU]],FG,0)),0,1))))</f>
        <v>-</v>
      </c>
      <c r="AN67" s="232">
        <f>IF(Table4[[#This Row],[Sealing Integrity]]="-","-",IF(Table4[[#This Row],[Sealing Integrity]]="P",1,0))</f>
        <v>1</v>
      </c>
      <c r="AO67" s="232">
        <f>IF(Table4[[#This Row],[Coding]]="-","-",IF(Table4[[#This Row],[Coding]]="P",1,0))</f>
        <v>1</v>
      </c>
      <c r="AP67" s="233">
        <f>SUM(Table4[[#This Row],[QI Weight]:[QI Code]])</f>
        <v>2</v>
      </c>
      <c r="AQ67" s="233">
        <f>COUNT(Table4[[#This Row],[QI Weight]:[QI Code]])</f>
        <v>2</v>
      </c>
      <c r="AR67" s="261">
        <f>Table4[[#This Row],[TA]]+Table4[[#This Row],[TA2]]</f>
        <v>15</v>
      </c>
      <c r="AS67" s="261">
        <f>Table4[[#This Row],[TP]]+Table4[[#This Row],[TP2]]</f>
        <v>17</v>
      </c>
      <c r="BD67" s="265">
        <f>IF(INDEX(MCmin,MATCH(Table4[[#This Row],[SKU]],FG,0))="-","-",IF(Table4[[#This Row],[%MC]]="-","-",IF(Table4[[#This Row],[%MC]]&lt;INDEX(MCmin,MATCH(Table4[[#This Row],[SKU]],FG,0)),1,0)))</f>
        <v>0</v>
      </c>
      <c r="BE67" s="265">
        <f>IF(INDEX(MCmin,MATCH(Table4[[#This Row],[SKU]],FG,0))="-","-",IF(Table4[[#This Row],[%MC]]="-","-",IF(Table4[[#This Row],[%MC]]&gt;INDEX(MCmax,MATCH(Table4[[#This Row],[SKU]],FG,0)),1,0)))</f>
        <v>0</v>
      </c>
      <c r="BF67" s="231">
        <f>IF(INDEX(Ashmin,MATCH(Table4[[#This Row],[SKU]],FG,0))="-","-",IF(Table4[[#This Row],[%Ash]]="-","-",IF(Table4[[#This Row],[%Ash]]&lt;INDEX(Ashmin,MATCH(Table4[[#This Row],[SKU]],FG,0)),1,0)))</f>
        <v>0</v>
      </c>
      <c r="BG67" s="231">
        <f>IF(INDEX(Ashmin,MATCH(Table4[[#This Row],[SKU]],FG,0))="-","-",IF(Table4[[#This Row],[%Ash]]="-","-",IF(Table4[[#This Row],[%Ash]]&gt;INDEX(Ashmax,MATCH(Table4[[#This Row],[SKU]],FG,0)),1,0)))</f>
        <v>0</v>
      </c>
      <c r="BH67" s="231">
        <f>IF(INDEX(Absmin,MATCH(Table4[[#This Row],[SKU]],FG,0))="-","-",IF(Table4[[#This Row],[%Absorption]]="-","-",IF(Table4[[#This Row],[%Absorption]]&lt;INDEX(Absmin,MATCH(Table4[[#This Row],[SKU]],FG,0)),1,0)))</f>
        <v>1</v>
      </c>
      <c r="BI67" s="231">
        <f>IF(INDEX(Absmin,MATCH(Table4[[#This Row],[SKU]],FG,0))="-","-",IF(Table4[[#This Row],[%Absorption]]="-","-",IF(Table4[[#This Row],[%Absorption]]&gt;INDEX(Absmax,MATCH(Table4[[#This Row],[SKU]],FG,0)),1,0)))</f>
        <v>0</v>
      </c>
      <c r="BJ67" s="231">
        <f>IF(INDEX(WGmin,MATCH(Table4[[#This Row],[SKU]],FG,0))="-","-",IF(Table4[[#This Row],[%Wet Gluten]]="-","-",IF(Table4[[#This Row],[%Wet Gluten]]&lt;INDEX(WGmin,MATCH(Table4[[#This Row],[SKU]],FG,0)),1,0)))</f>
        <v>0</v>
      </c>
      <c r="BK67" s="231">
        <f>IF(INDEX(WGmin,MATCH(Table4[[#This Row],[SKU]],FG,0))="-","-",IF(Table4[[#This Row],[%Wet Gluten]]="-","-",IF(Table4[[#This Row],[%Wet Gluten]]&gt;INDEX(WGmax,MATCH(Table4[[#This Row],[SKU]],FG,0)),1,0)))</f>
        <v>0</v>
      </c>
    </row>
    <row r="68" spans="1:63" x14ac:dyDescent="0.35">
      <c r="A68" s="243">
        <v>46023</v>
      </c>
      <c r="B68" s="244">
        <v>46027</v>
      </c>
      <c r="C68" s="244">
        <v>46378</v>
      </c>
      <c r="D68" s="244" t="s">
        <v>128</v>
      </c>
      <c r="E68" s="245">
        <v>0.874999999999999</v>
      </c>
      <c r="F68" s="246">
        <v>2</v>
      </c>
      <c r="G68" s="259" t="s">
        <v>39</v>
      </c>
      <c r="H68" s="247">
        <v>2.8E-3</v>
      </c>
      <c r="I68" s="248" t="s">
        <v>165</v>
      </c>
      <c r="J68" s="248" t="s">
        <v>165</v>
      </c>
      <c r="K68" s="248" t="s">
        <v>165</v>
      </c>
      <c r="L68" s="248" t="s">
        <v>163</v>
      </c>
      <c r="M68" s="248" t="s">
        <v>161</v>
      </c>
      <c r="N68" s="249">
        <v>11.34</v>
      </c>
      <c r="O68" s="249" t="s">
        <v>163</v>
      </c>
      <c r="P68" s="249" t="s">
        <v>163</v>
      </c>
      <c r="Q68" s="249" t="s">
        <v>163</v>
      </c>
      <c r="R68" s="249" t="s">
        <v>163</v>
      </c>
      <c r="S68" s="250" t="s">
        <v>163</v>
      </c>
      <c r="T68" s="249" t="s">
        <v>163</v>
      </c>
      <c r="U68" s="249" t="s">
        <v>163</v>
      </c>
      <c r="V68" s="251" t="s">
        <v>163</v>
      </c>
      <c r="W68" s="252" t="s">
        <v>165</v>
      </c>
      <c r="X68" s="252" t="s">
        <v>165</v>
      </c>
      <c r="Y68" s="248" t="s">
        <v>163</v>
      </c>
      <c r="Z68" s="231">
        <f>IF(Table4[[#This Row],[ Bran Content]]="-","-",IF(H68&gt;0.02,0,2))</f>
        <v>2</v>
      </c>
      <c r="AA68" s="231">
        <f>IF(Table4[[#This Row],[Sieve Test]]="-","-",IF(Table4[[#This Row],[Sieve Test]]="P",1,0))</f>
        <v>1</v>
      </c>
      <c r="AB68" s="231">
        <f>IF(Table4[[#This Row],[Odor]]="-","-",IF(Table4[[#This Row],[Odor]]="P",2,0))</f>
        <v>2</v>
      </c>
      <c r="AC68" s="231">
        <f>IF(INDEX(MCmin,MATCH(Table4[[#This Row],[SKU]],FG,0))="-","-",IF(Table4[[#This Row],[%MC]]="-","-",IF(Table4[[#This Row],[%MC]]&lt;INDEX(MCmin,MATCH(Table4[[#This Row],[SKU]],FG,0)),0,IF(Table4[[#This Row],[%MC]]&gt;INDEX(MCmax,MATCH(Table4[[#This Row],[SKU]],FG,0)),0,1))))</f>
        <v>1</v>
      </c>
      <c r="AD68" s="231" t="str">
        <f>IF(INDEX(Protmin,MATCH(Table4[[#This Row],[SKU]],FG,0))="-","-",IF(Table4[[#This Row],[%Protein]]="-","-",IF(Table4[[#This Row],[%Protein]]&lt;INDEX(Protmin,MATCH(Table4[[#This Row],[SKU]],FG,0)),0,IF(Table4[[#This Row],[%Protein]]&gt;INDEX(Protmax,MATCH(Table4[[#This Row],[SKU]],FG,0)),0,1))))</f>
        <v>-</v>
      </c>
      <c r="AE68" s="231" t="str">
        <f>IF(INDEX(Ashmin,MATCH(Table4[[#This Row],[SKU]],FG,0))="-","-",IF(Table4[[#This Row],[%Ash]]="-","-",IF(Table4[[#This Row],[%Ash]]&lt;INDEX(Ashmin,MATCH(Table4[[#This Row],[SKU]],FG,0)),0,IF(Table4[[#This Row],[%Ash]]&gt;INDEX(Ashmax,MATCH(Table4[[#This Row],[SKU]],FG,0)),0,2))))</f>
        <v>-</v>
      </c>
      <c r="AF68" s="231" t="str">
        <f>IF(INDEX(Absmin,MATCH(Table4[[#This Row],[SKU]],FG,0))="-","-",IF(Table4[[#This Row],[%Absorption]]="-","-",IF(Table4[[#This Row],[%Absorption]]&lt;INDEX(Absmin,MATCH(Table4[[#This Row],[SKU]],FG,0)),0,IF(Table4[[#This Row],[%Absorption]]&gt;INDEX(Absmax,MATCH(Table4[[#This Row],[SKU]],FG,0)),0,2))))</f>
        <v>-</v>
      </c>
      <c r="AG68" s="231" t="str">
        <f>IF(INDEX(Extmin,MATCH(Table4[[#This Row],[SKU]],FG,0))="-","-",IF(Table4[[#This Row],[%Extensibility]]="-","-",IF(Table4[[#This Row],[%Extensibility]]&lt;INDEX(Extmin,MATCH(Table4[[#This Row],[SKU]],FG,0)),0,IF(Table4[[#This Row],[%Extensibility]]&gt;INDEX(Extmax,MATCH(Table4[[#This Row],[SKU]],FG,0)),0,1))))</f>
        <v>-</v>
      </c>
      <c r="AH68" s="231" t="str">
        <f>IF(INDEX(Resmin,MATCH(Table4[[#This Row],[SKU]],FG,0))="-","-",IF(Table4[[#This Row],[Resistance, max]]="-","-",IF(Table4[[#This Row],[Resistance, max]]&lt;INDEX(Resmin,MATCH(Table4[[#This Row],[SKU]],FG,0)),0,IF(Table4[[#This Row],[Resistance, max]]&gt;INDEX(Resmax,MATCH(Table4[[#This Row],[SKU]],FG,0)),0,1))))</f>
        <v>-</v>
      </c>
      <c r="AI68" s="231" t="str">
        <f>IF(INDEX(WGmin,MATCH(Table4[[#This Row],[SKU]],FG,0))="-","-",IF(Table4[[#This Row],[%Wet Gluten]]="-","-",IF(Table4[[#This Row],[%Wet Gluten]]&lt;INDEX(WGmin,MATCH(Table4[[#This Row],[SKU]],FG,0)),0,IF(Table4[[#This Row],[%Wet Gluten]]&gt;INDEX(WGmax,MATCH(Table4[[#This Row],[SKU]],FG,0)),0,2))))</f>
        <v>-</v>
      </c>
      <c r="AJ68" s="232" t="str">
        <f>IF(Table4[[#This Row],[FN, s]]="-","-",IF(R68&lt;301,1,0))</f>
        <v>-</v>
      </c>
      <c r="AK68" s="233">
        <f>SUM(Table4[[#This Row],[ QI Bran Content]:[QI FN]])</f>
        <v>6</v>
      </c>
      <c r="AL68" s="232">
        <f t="shared" si="6"/>
        <v>6</v>
      </c>
      <c r="AM68" s="232" t="str">
        <f>IF(INDEX(WGmin,MATCH(Table4[[#This Row],[SKU]],FG,0))="-","-",IF(Table4[[#This Row],[Gross Weight]]="-","-",IF(Table4[[#This Row],[Gross Weight]]&lt;INDEX(GWmin,MATCH(Table4[[#This Row],[SKU]],FG,0)),0,IF(Table4[[#This Row],[Gross Weight]]&gt;INDEX(GWmax,MATCH(Table4[[#This Row],[SKU]],FG,0)),0,1))))</f>
        <v>-</v>
      </c>
      <c r="AN68" s="232">
        <f>IF(Table4[[#This Row],[Sealing Integrity]]="-","-",IF(Table4[[#This Row],[Sealing Integrity]]="P",1,0))</f>
        <v>1</v>
      </c>
      <c r="AO68" s="232">
        <f>IF(Table4[[#This Row],[Coding]]="-","-",IF(Table4[[#This Row],[Coding]]="P",1,0))</f>
        <v>1</v>
      </c>
      <c r="AP68" s="233">
        <f>SUM(Table4[[#This Row],[QI Weight]:[QI Code]])</f>
        <v>2</v>
      </c>
      <c r="AQ68" s="233">
        <f>COUNT(Table4[[#This Row],[QI Weight]:[QI Code]])</f>
        <v>2</v>
      </c>
      <c r="AR68" s="261">
        <f>Table4[[#This Row],[TA]]+Table4[[#This Row],[TA2]]</f>
        <v>8</v>
      </c>
      <c r="AS68" s="261">
        <f>Table4[[#This Row],[TP]]+Table4[[#This Row],[TP2]]</f>
        <v>8</v>
      </c>
      <c r="BD68" s="265">
        <f>IF(INDEX(MCmin,MATCH(Table4[[#This Row],[SKU]],FG,0))="-","-",IF(Table4[[#This Row],[%MC]]="-","-",IF(Table4[[#This Row],[%MC]]&lt;INDEX(MCmin,MATCH(Table4[[#This Row],[SKU]],FG,0)),1,0)))</f>
        <v>0</v>
      </c>
      <c r="BE68" s="265">
        <f>IF(INDEX(MCmin,MATCH(Table4[[#This Row],[SKU]],FG,0))="-","-",IF(Table4[[#This Row],[%MC]]="-","-",IF(Table4[[#This Row],[%MC]]&gt;INDEX(MCmax,MATCH(Table4[[#This Row],[SKU]],FG,0)),1,0)))</f>
        <v>0</v>
      </c>
      <c r="BF68" s="231" t="str">
        <f>IF(INDEX(Ashmin,MATCH(Table4[[#This Row],[SKU]],FG,0))="-","-",IF(Table4[[#This Row],[%Ash]]="-","-",IF(Table4[[#This Row],[%Ash]]&lt;INDEX(Ashmin,MATCH(Table4[[#This Row],[SKU]],FG,0)),1,0)))</f>
        <v>-</v>
      </c>
      <c r="BG68" s="231" t="str">
        <f>IF(INDEX(Ashmin,MATCH(Table4[[#This Row],[SKU]],FG,0))="-","-",IF(Table4[[#This Row],[%Ash]]="-","-",IF(Table4[[#This Row],[%Ash]]&gt;INDEX(Ashmax,MATCH(Table4[[#This Row],[SKU]],FG,0)),1,0)))</f>
        <v>-</v>
      </c>
      <c r="BH68" s="231" t="str">
        <f>IF(INDEX(Absmin,MATCH(Table4[[#This Row],[SKU]],FG,0))="-","-",IF(Table4[[#This Row],[%Absorption]]="-","-",IF(Table4[[#This Row],[%Absorption]]&lt;INDEX(Absmin,MATCH(Table4[[#This Row],[SKU]],FG,0)),1,0)))</f>
        <v>-</v>
      </c>
      <c r="BI68" s="231" t="str">
        <f>IF(INDEX(Absmin,MATCH(Table4[[#This Row],[SKU]],FG,0))="-","-",IF(Table4[[#This Row],[%Absorption]]="-","-",IF(Table4[[#This Row],[%Absorption]]&gt;INDEX(Absmax,MATCH(Table4[[#This Row],[SKU]],FG,0)),1,0)))</f>
        <v>-</v>
      </c>
      <c r="BJ68" s="231" t="str">
        <f>IF(INDEX(WGmin,MATCH(Table4[[#This Row],[SKU]],FG,0))="-","-",IF(Table4[[#This Row],[%Wet Gluten]]="-","-",IF(Table4[[#This Row],[%Wet Gluten]]&lt;INDEX(WGmin,MATCH(Table4[[#This Row],[SKU]],FG,0)),1,0)))</f>
        <v>-</v>
      </c>
      <c r="BK68" s="231" t="str">
        <f>IF(INDEX(WGmin,MATCH(Table4[[#This Row],[SKU]],FG,0))="-","-",IF(Table4[[#This Row],[%Wet Gluten]]="-","-",IF(Table4[[#This Row],[%Wet Gluten]]&gt;INDEX(WGmax,MATCH(Table4[[#This Row],[SKU]],FG,0)),1,0)))</f>
        <v>-</v>
      </c>
    </row>
    <row r="69" spans="1:63" x14ac:dyDescent="0.35">
      <c r="A69" s="243">
        <v>46023</v>
      </c>
      <c r="B69" s="244">
        <v>46027</v>
      </c>
      <c r="C69" s="244">
        <v>46378</v>
      </c>
      <c r="D69" s="244" t="s">
        <v>130</v>
      </c>
      <c r="E69" s="245">
        <v>0.91666666666666663</v>
      </c>
      <c r="F69" s="246"/>
      <c r="G69" s="259" t="s">
        <v>39</v>
      </c>
      <c r="H69" s="247">
        <v>7.9000000000000008E-3</v>
      </c>
      <c r="I69" s="248" t="s">
        <v>165</v>
      </c>
      <c r="J69" s="248" t="s">
        <v>165</v>
      </c>
      <c r="K69" s="248" t="s">
        <v>165</v>
      </c>
      <c r="L69" s="248" t="s">
        <v>163</v>
      </c>
      <c r="M69" s="248" t="s">
        <v>161</v>
      </c>
      <c r="N69" s="249">
        <v>11.26</v>
      </c>
      <c r="O69" s="249" t="s">
        <v>163</v>
      </c>
      <c r="P69" s="249" t="s">
        <v>163</v>
      </c>
      <c r="Q69" s="249" t="s">
        <v>163</v>
      </c>
      <c r="R69" s="249" t="s">
        <v>163</v>
      </c>
      <c r="S69" s="250" t="s">
        <v>163</v>
      </c>
      <c r="T69" s="249" t="s">
        <v>163</v>
      </c>
      <c r="U69" s="249" t="s">
        <v>163</v>
      </c>
      <c r="V69" s="251" t="s">
        <v>163</v>
      </c>
      <c r="W69" s="252" t="s">
        <v>165</v>
      </c>
      <c r="X69" s="252" t="s">
        <v>165</v>
      </c>
      <c r="Y69" s="248" t="s">
        <v>163</v>
      </c>
      <c r="Z69" s="231">
        <f>IF(Table4[[#This Row],[ Bran Content]]="-","-",IF(H69&gt;0.02,0,2))</f>
        <v>2</v>
      </c>
      <c r="AA69" s="231">
        <f>IF(Table4[[#This Row],[Sieve Test]]="-","-",IF(Table4[[#This Row],[Sieve Test]]="P",1,0))</f>
        <v>1</v>
      </c>
      <c r="AB69" s="231">
        <f>IF(Table4[[#This Row],[Odor]]="-","-",IF(Table4[[#This Row],[Odor]]="P",2,0))</f>
        <v>2</v>
      </c>
      <c r="AC69" s="231">
        <f>IF(INDEX(MCmin,MATCH(Table4[[#This Row],[SKU]],FG,0))="-","-",IF(Table4[[#This Row],[%MC]]="-","-",IF(Table4[[#This Row],[%MC]]&lt;INDEX(MCmin,MATCH(Table4[[#This Row],[SKU]],FG,0)),0,IF(Table4[[#This Row],[%MC]]&gt;INDEX(MCmax,MATCH(Table4[[#This Row],[SKU]],FG,0)),0,1))))</f>
        <v>1</v>
      </c>
      <c r="AD69" s="231" t="str">
        <f>IF(INDEX(Protmin,MATCH(Table4[[#This Row],[SKU]],FG,0))="-","-",IF(Table4[[#This Row],[%Protein]]="-","-",IF(Table4[[#This Row],[%Protein]]&lt;INDEX(Protmin,MATCH(Table4[[#This Row],[SKU]],FG,0)),0,IF(Table4[[#This Row],[%Protein]]&gt;INDEX(Protmax,MATCH(Table4[[#This Row],[SKU]],FG,0)),0,1))))</f>
        <v>-</v>
      </c>
      <c r="AE69" s="231" t="str">
        <f>IF(INDEX(Ashmin,MATCH(Table4[[#This Row],[SKU]],FG,0))="-","-",IF(Table4[[#This Row],[%Ash]]="-","-",IF(Table4[[#This Row],[%Ash]]&lt;INDEX(Ashmin,MATCH(Table4[[#This Row],[SKU]],FG,0)),0,IF(Table4[[#This Row],[%Ash]]&gt;INDEX(Ashmax,MATCH(Table4[[#This Row],[SKU]],FG,0)),0,2))))</f>
        <v>-</v>
      </c>
      <c r="AF69" s="231" t="str">
        <f>IF(INDEX(Absmin,MATCH(Table4[[#This Row],[SKU]],FG,0))="-","-",IF(Table4[[#This Row],[%Absorption]]="-","-",IF(Table4[[#This Row],[%Absorption]]&lt;INDEX(Absmin,MATCH(Table4[[#This Row],[SKU]],FG,0)),0,IF(Table4[[#This Row],[%Absorption]]&gt;INDEX(Absmax,MATCH(Table4[[#This Row],[SKU]],FG,0)),0,2))))</f>
        <v>-</v>
      </c>
      <c r="AG69" s="231" t="str">
        <f>IF(INDEX(Extmin,MATCH(Table4[[#This Row],[SKU]],FG,0))="-","-",IF(Table4[[#This Row],[%Extensibility]]="-","-",IF(Table4[[#This Row],[%Extensibility]]&lt;INDEX(Extmin,MATCH(Table4[[#This Row],[SKU]],FG,0)),0,IF(Table4[[#This Row],[%Extensibility]]&gt;INDEX(Extmax,MATCH(Table4[[#This Row],[SKU]],FG,0)),0,1))))</f>
        <v>-</v>
      </c>
      <c r="AH69" s="231" t="str">
        <f>IF(INDEX(Resmin,MATCH(Table4[[#This Row],[SKU]],FG,0))="-","-",IF(Table4[[#This Row],[Resistance, max]]="-","-",IF(Table4[[#This Row],[Resistance, max]]&lt;INDEX(Resmin,MATCH(Table4[[#This Row],[SKU]],FG,0)),0,IF(Table4[[#This Row],[Resistance, max]]&gt;INDEX(Resmax,MATCH(Table4[[#This Row],[SKU]],FG,0)),0,1))))</f>
        <v>-</v>
      </c>
      <c r="AI69" s="231" t="str">
        <f>IF(INDEX(WGmin,MATCH(Table4[[#This Row],[SKU]],FG,0))="-","-",IF(Table4[[#This Row],[%Wet Gluten]]="-","-",IF(Table4[[#This Row],[%Wet Gluten]]&lt;INDEX(WGmin,MATCH(Table4[[#This Row],[SKU]],FG,0)),0,IF(Table4[[#This Row],[%Wet Gluten]]&gt;INDEX(WGmax,MATCH(Table4[[#This Row],[SKU]],FG,0)),0,2))))</f>
        <v>-</v>
      </c>
      <c r="AJ69" s="232" t="str">
        <f>IF(Table4[[#This Row],[FN, s]]="-","-",IF(R69&lt;301,1,0))</f>
        <v>-</v>
      </c>
      <c r="AK69" s="233">
        <f>SUM(Table4[[#This Row],[ QI Bran Content]:[QI FN]])</f>
        <v>6</v>
      </c>
      <c r="AL69" s="232">
        <f t="shared" si="6"/>
        <v>6</v>
      </c>
      <c r="AM69" s="232" t="str">
        <f>IF(INDEX(WGmin,MATCH(Table4[[#This Row],[SKU]],FG,0))="-","-",IF(Table4[[#This Row],[Gross Weight]]="-","-",IF(Table4[[#This Row],[Gross Weight]]&lt;INDEX(GWmin,MATCH(Table4[[#This Row],[SKU]],FG,0)),0,IF(Table4[[#This Row],[Gross Weight]]&gt;INDEX(GWmax,MATCH(Table4[[#This Row],[SKU]],FG,0)),0,1))))</f>
        <v>-</v>
      </c>
      <c r="AN69" s="232">
        <f>IF(Table4[[#This Row],[Sealing Integrity]]="-","-",IF(Table4[[#This Row],[Sealing Integrity]]="P",1,0))</f>
        <v>1</v>
      </c>
      <c r="AO69" s="232">
        <f>IF(Table4[[#This Row],[Coding]]="-","-",IF(Table4[[#This Row],[Coding]]="P",1,0))</f>
        <v>1</v>
      </c>
      <c r="AP69" s="233">
        <f>SUM(Table4[[#This Row],[QI Weight]:[QI Code]])</f>
        <v>2</v>
      </c>
      <c r="AQ69" s="233">
        <f>COUNT(Table4[[#This Row],[QI Weight]:[QI Code]])</f>
        <v>2</v>
      </c>
      <c r="AR69" s="261">
        <f>Table4[[#This Row],[TA]]+Table4[[#This Row],[TA2]]</f>
        <v>8</v>
      </c>
      <c r="AS69" s="261">
        <f>Table4[[#This Row],[TP]]+Table4[[#This Row],[TP2]]</f>
        <v>8</v>
      </c>
      <c r="BD69" s="265">
        <f>IF(INDEX(MCmin,MATCH(Table4[[#This Row],[SKU]],FG,0))="-","-",IF(Table4[[#This Row],[%MC]]="-","-",IF(Table4[[#This Row],[%MC]]&lt;INDEX(MCmin,MATCH(Table4[[#This Row],[SKU]],FG,0)),1,0)))</f>
        <v>0</v>
      </c>
      <c r="BE69" s="265">
        <f>IF(INDEX(MCmin,MATCH(Table4[[#This Row],[SKU]],FG,0))="-","-",IF(Table4[[#This Row],[%MC]]="-","-",IF(Table4[[#This Row],[%MC]]&gt;INDEX(MCmax,MATCH(Table4[[#This Row],[SKU]],FG,0)),1,0)))</f>
        <v>0</v>
      </c>
      <c r="BF69" s="231" t="str">
        <f>IF(INDEX(Ashmin,MATCH(Table4[[#This Row],[SKU]],FG,0))="-","-",IF(Table4[[#This Row],[%Ash]]="-","-",IF(Table4[[#This Row],[%Ash]]&lt;INDEX(Ashmin,MATCH(Table4[[#This Row],[SKU]],FG,0)),1,0)))</f>
        <v>-</v>
      </c>
      <c r="BG69" s="231" t="str">
        <f>IF(INDEX(Ashmin,MATCH(Table4[[#This Row],[SKU]],FG,0))="-","-",IF(Table4[[#This Row],[%Ash]]="-","-",IF(Table4[[#This Row],[%Ash]]&gt;INDEX(Ashmax,MATCH(Table4[[#This Row],[SKU]],FG,0)),1,0)))</f>
        <v>-</v>
      </c>
      <c r="BH69" s="231" t="str">
        <f>IF(INDEX(Absmin,MATCH(Table4[[#This Row],[SKU]],FG,0))="-","-",IF(Table4[[#This Row],[%Absorption]]="-","-",IF(Table4[[#This Row],[%Absorption]]&lt;INDEX(Absmin,MATCH(Table4[[#This Row],[SKU]],FG,0)),1,0)))</f>
        <v>-</v>
      </c>
      <c r="BI69" s="231" t="str">
        <f>IF(INDEX(Absmin,MATCH(Table4[[#This Row],[SKU]],FG,0))="-","-",IF(Table4[[#This Row],[%Absorption]]="-","-",IF(Table4[[#This Row],[%Absorption]]&gt;INDEX(Absmax,MATCH(Table4[[#This Row],[SKU]],FG,0)),1,0)))</f>
        <v>-</v>
      </c>
      <c r="BJ69" s="231" t="str">
        <f>IF(INDEX(WGmin,MATCH(Table4[[#This Row],[SKU]],FG,0))="-","-",IF(Table4[[#This Row],[%Wet Gluten]]="-","-",IF(Table4[[#This Row],[%Wet Gluten]]&lt;INDEX(WGmin,MATCH(Table4[[#This Row],[SKU]],FG,0)),1,0)))</f>
        <v>-</v>
      </c>
      <c r="BK69" s="231" t="str">
        <f>IF(INDEX(WGmin,MATCH(Table4[[#This Row],[SKU]],FG,0))="-","-",IF(Table4[[#This Row],[%Wet Gluten]]="-","-",IF(Table4[[#This Row],[%Wet Gluten]]&gt;INDEX(WGmax,MATCH(Table4[[#This Row],[SKU]],FG,0)),1,0)))</f>
        <v>-</v>
      </c>
    </row>
    <row r="70" spans="1:63" x14ac:dyDescent="0.35">
      <c r="A70" s="243">
        <v>46023</v>
      </c>
      <c r="B70" s="244">
        <v>46027</v>
      </c>
      <c r="C70" s="244">
        <v>46025</v>
      </c>
      <c r="D70" s="244" t="s">
        <v>128</v>
      </c>
      <c r="E70" s="245">
        <v>0.58333333333333337</v>
      </c>
      <c r="F70" s="246">
        <v>3</v>
      </c>
      <c r="G70" s="259" t="s">
        <v>112</v>
      </c>
      <c r="H70" s="247">
        <v>3.8999999999999998E-3</v>
      </c>
      <c r="I70" s="248" t="s">
        <v>165</v>
      </c>
      <c r="J70" s="248" t="s">
        <v>165</v>
      </c>
      <c r="K70" s="248" t="s">
        <v>165</v>
      </c>
      <c r="L70" s="248" t="s">
        <v>161</v>
      </c>
      <c r="M70" s="248" t="s">
        <v>161</v>
      </c>
      <c r="N70" s="249">
        <v>13.09</v>
      </c>
      <c r="O70" s="249">
        <v>13.11</v>
      </c>
      <c r="P70" s="249">
        <v>0.49</v>
      </c>
      <c r="Q70" s="249">
        <v>64</v>
      </c>
      <c r="R70" s="249" t="s">
        <v>163</v>
      </c>
      <c r="S70" s="250" t="s">
        <v>163</v>
      </c>
      <c r="T70" s="249">
        <v>36.700000000000003</v>
      </c>
      <c r="U70" s="249" t="s">
        <v>163</v>
      </c>
      <c r="V70" s="251" t="s">
        <v>163</v>
      </c>
      <c r="W70" s="252" t="s">
        <v>165</v>
      </c>
      <c r="X70" s="252" t="s">
        <v>165</v>
      </c>
      <c r="Y70" s="248" t="s">
        <v>163</v>
      </c>
      <c r="Z70" s="231">
        <f>IF(Table4[[#This Row],[ Bran Content]]="-","-",IF(H70&gt;0.02,0,2))</f>
        <v>2</v>
      </c>
      <c r="AA70" s="231">
        <f>IF(Table4[[#This Row],[Sieve Test]]="-","-",IF(Table4[[#This Row],[Sieve Test]]="P",1,0))</f>
        <v>1</v>
      </c>
      <c r="AB70" s="231">
        <f>IF(Table4[[#This Row],[Odor]]="-","-",IF(Table4[[#This Row],[Odor]]="P",2,0))</f>
        <v>2</v>
      </c>
      <c r="AC70" s="231">
        <f>IF(INDEX(MCmin,MATCH(Table4[[#This Row],[SKU]],FG,0))="-","-",IF(Table4[[#This Row],[%MC]]="-","-",IF(Table4[[#This Row],[%MC]]&lt;INDEX(MCmin,MATCH(Table4[[#This Row],[SKU]],FG,0)),0,IF(Table4[[#This Row],[%MC]]&gt;INDEX(MCmax,MATCH(Table4[[#This Row],[SKU]],FG,0)),0,1))))</f>
        <v>1</v>
      </c>
      <c r="AD70" s="231">
        <f>IF(INDEX(Protmin,MATCH(Table4[[#This Row],[SKU]],FG,0))="-","-",IF(Table4[[#This Row],[%Protein]]="-","-",IF(Table4[[#This Row],[%Protein]]&lt;INDEX(Protmin,MATCH(Table4[[#This Row],[SKU]],FG,0)),0,IF(Table4[[#This Row],[%Protein]]&gt;INDEX(Protmax,MATCH(Table4[[#This Row],[SKU]],FG,0)),0,1))))</f>
        <v>1</v>
      </c>
      <c r="AE70" s="231">
        <f>IF(INDEX(Ashmin,MATCH(Table4[[#This Row],[SKU]],FG,0))="-","-",IF(Table4[[#This Row],[%Ash]]="-","-",IF(Table4[[#This Row],[%Ash]]&lt;INDEX(Ashmin,MATCH(Table4[[#This Row],[SKU]],FG,0)),0,IF(Table4[[#This Row],[%Ash]]&gt;INDEX(Ashmax,MATCH(Table4[[#This Row],[SKU]],FG,0)),0,2))))</f>
        <v>2</v>
      </c>
      <c r="AF70" s="231">
        <f>IF(INDEX(Absmin,MATCH(Table4[[#This Row],[SKU]],FG,0))="-","-",IF(Table4[[#This Row],[%Absorption]]="-","-",IF(Table4[[#This Row],[%Absorption]]&lt;INDEX(Absmin,MATCH(Table4[[#This Row],[SKU]],FG,0)),0,IF(Table4[[#This Row],[%Absorption]]&gt;INDEX(Absmax,MATCH(Table4[[#This Row],[SKU]],FG,0)),0,2))))</f>
        <v>2</v>
      </c>
      <c r="AG70" s="231" t="str">
        <f>IF(INDEX(Extmin,MATCH(Table4[[#This Row],[SKU]],FG,0))="-","-",IF(Table4[[#This Row],[%Extensibility]]="-","-",IF(Table4[[#This Row],[%Extensibility]]&lt;INDEX(Extmin,MATCH(Table4[[#This Row],[SKU]],FG,0)),0,IF(Table4[[#This Row],[%Extensibility]]&gt;INDEX(Extmax,MATCH(Table4[[#This Row],[SKU]],FG,0)),0,1))))</f>
        <v>-</v>
      </c>
      <c r="AH70" s="231" t="str">
        <f>IF(INDEX(Resmin,MATCH(Table4[[#This Row],[SKU]],FG,0))="-","-",IF(Table4[[#This Row],[Resistance, max]]="-","-",IF(Table4[[#This Row],[Resistance, max]]&lt;INDEX(Resmin,MATCH(Table4[[#This Row],[SKU]],FG,0)),0,IF(Table4[[#This Row],[Resistance, max]]&gt;INDEX(Resmax,MATCH(Table4[[#This Row],[SKU]],FG,0)),0,1))))</f>
        <v>-</v>
      </c>
      <c r="AI70" s="231" t="str">
        <f>IF(INDEX(WGmin,MATCH(Table4[[#This Row],[SKU]],FG,0))="-","-",IF(Table4[[#This Row],[%Wet Gluten]]="-","-",IF(Table4[[#This Row],[%Wet Gluten]]&lt;INDEX(WGmin,MATCH(Table4[[#This Row],[SKU]],FG,0)),0,IF(Table4[[#This Row],[%Wet Gluten]]&gt;INDEX(WGmax,MATCH(Table4[[#This Row],[SKU]],FG,0)),0,2))))</f>
        <v>-</v>
      </c>
      <c r="AJ70" s="232" t="str">
        <f>IF(Table4[[#This Row],[FN, s]]="-","-",IF(R70&lt;301,1,0))</f>
        <v>-</v>
      </c>
      <c r="AK70" s="233">
        <f>SUM(Table4[[#This Row],[ QI Bran Content]:[QI FN]])</f>
        <v>11</v>
      </c>
      <c r="AL70" s="232">
        <f t="shared" si="6"/>
        <v>11</v>
      </c>
      <c r="AM70" s="232" t="str">
        <f>IF(INDEX(WGmin,MATCH(Table4[[#This Row],[SKU]],FG,0))="-","-",IF(Table4[[#This Row],[Gross Weight]]="-","-",IF(Table4[[#This Row],[Gross Weight]]&lt;INDEX(GWmin,MATCH(Table4[[#This Row],[SKU]],FG,0)),0,IF(Table4[[#This Row],[Gross Weight]]&gt;INDEX(GWmax,MATCH(Table4[[#This Row],[SKU]],FG,0)),0,1))))</f>
        <v>-</v>
      </c>
      <c r="AN70" s="232">
        <f>IF(Table4[[#This Row],[Sealing Integrity]]="-","-",IF(Table4[[#This Row],[Sealing Integrity]]="P",1,0))</f>
        <v>1</v>
      </c>
      <c r="AO70" s="232">
        <f>IF(Table4[[#This Row],[Coding]]="-","-",IF(Table4[[#This Row],[Coding]]="P",1,0))</f>
        <v>1</v>
      </c>
      <c r="AP70" s="233">
        <f>SUM(Table4[[#This Row],[QI Weight]:[QI Code]])</f>
        <v>2</v>
      </c>
      <c r="AQ70" s="233">
        <f>COUNT(Table4[[#This Row],[QI Weight]:[QI Code]])</f>
        <v>2</v>
      </c>
      <c r="AR70" s="261">
        <f>Table4[[#This Row],[TA]]+Table4[[#This Row],[TA2]]</f>
        <v>13</v>
      </c>
      <c r="AS70" s="261">
        <f>Table4[[#This Row],[TP]]+Table4[[#This Row],[TP2]]</f>
        <v>13</v>
      </c>
      <c r="BD70" s="265">
        <f>IF(INDEX(MCmin,MATCH(Table4[[#This Row],[SKU]],FG,0))="-","-",IF(Table4[[#This Row],[%MC]]="-","-",IF(Table4[[#This Row],[%MC]]&lt;INDEX(MCmin,MATCH(Table4[[#This Row],[SKU]],FG,0)),1,0)))</f>
        <v>0</v>
      </c>
      <c r="BE70" s="265">
        <f>IF(INDEX(MCmin,MATCH(Table4[[#This Row],[SKU]],FG,0))="-","-",IF(Table4[[#This Row],[%MC]]="-","-",IF(Table4[[#This Row],[%MC]]&gt;INDEX(MCmax,MATCH(Table4[[#This Row],[SKU]],FG,0)),1,0)))</f>
        <v>0</v>
      </c>
      <c r="BF70" s="231">
        <f>IF(INDEX(Ashmin,MATCH(Table4[[#This Row],[SKU]],FG,0))="-","-",IF(Table4[[#This Row],[%Ash]]="-","-",IF(Table4[[#This Row],[%Ash]]&lt;INDEX(Ashmin,MATCH(Table4[[#This Row],[SKU]],FG,0)),1,0)))</f>
        <v>0</v>
      </c>
      <c r="BG70" s="231">
        <f>IF(INDEX(Ashmin,MATCH(Table4[[#This Row],[SKU]],FG,0))="-","-",IF(Table4[[#This Row],[%Ash]]="-","-",IF(Table4[[#This Row],[%Ash]]&gt;INDEX(Ashmax,MATCH(Table4[[#This Row],[SKU]],FG,0)),1,0)))</f>
        <v>0</v>
      </c>
      <c r="BH70" s="231">
        <f>IF(INDEX(Absmin,MATCH(Table4[[#This Row],[SKU]],FG,0))="-","-",IF(Table4[[#This Row],[%Absorption]]="-","-",IF(Table4[[#This Row],[%Absorption]]&lt;INDEX(Absmin,MATCH(Table4[[#This Row],[SKU]],FG,0)),1,0)))</f>
        <v>0</v>
      </c>
      <c r="BI70" s="231">
        <f>IF(INDEX(Absmin,MATCH(Table4[[#This Row],[SKU]],FG,0))="-","-",IF(Table4[[#This Row],[%Absorption]]="-","-",IF(Table4[[#This Row],[%Absorption]]&gt;INDEX(Absmax,MATCH(Table4[[#This Row],[SKU]],FG,0)),1,0)))</f>
        <v>0</v>
      </c>
      <c r="BJ70" s="231" t="str">
        <f>IF(INDEX(WGmin,MATCH(Table4[[#This Row],[SKU]],FG,0))="-","-",IF(Table4[[#This Row],[%Wet Gluten]]="-","-",IF(Table4[[#This Row],[%Wet Gluten]]&lt;INDEX(WGmin,MATCH(Table4[[#This Row],[SKU]],FG,0)),1,0)))</f>
        <v>-</v>
      </c>
      <c r="BK70" s="231" t="str">
        <f>IF(INDEX(WGmin,MATCH(Table4[[#This Row],[SKU]],FG,0))="-","-",IF(Table4[[#This Row],[%Wet Gluten]]="-","-",IF(Table4[[#This Row],[%Wet Gluten]]&gt;INDEX(WGmax,MATCH(Table4[[#This Row],[SKU]],FG,0)),1,0)))</f>
        <v>-</v>
      </c>
    </row>
    <row r="71" spans="1:63" x14ac:dyDescent="0.35">
      <c r="A71" s="243">
        <v>46023</v>
      </c>
      <c r="B71" s="244">
        <v>46027</v>
      </c>
      <c r="C71" s="244">
        <v>46025</v>
      </c>
      <c r="D71" s="244" t="s">
        <v>128</v>
      </c>
      <c r="E71" s="245">
        <v>0.625</v>
      </c>
      <c r="F71" s="246">
        <v>3</v>
      </c>
      <c r="G71" s="259" t="s">
        <v>119</v>
      </c>
      <c r="H71" s="247">
        <v>1.2800000000000001E-2</v>
      </c>
      <c r="I71" s="248" t="s">
        <v>165</v>
      </c>
      <c r="J71" s="248" t="s">
        <v>165</v>
      </c>
      <c r="K71" s="248" t="s">
        <v>165</v>
      </c>
      <c r="L71" s="248" t="s">
        <v>161</v>
      </c>
      <c r="M71" s="248" t="s">
        <v>161</v>
      </c>
      <c r="N71" s="249">
        <v>12.68</v>
      </c>
      <c r="O71" s="249">
        <v>12.79</v>
      </c>
      <c r="P71" s="249">
        <v>0.5</v>
      </c>
      <c r="Q71" s="249">
        <v>64.5</v>
      </c>
      <c r="R71" s="249">
        <v>13.3</v>
      </c>
      <c r="S71" s="250">
        <v>961</v>
      </c>
      <c r="T71" s="249">
        <v>35.799999999999997</v>
      </c>
      <c r="U71" s="249" t="s">
        <v>163</v>
      </c>
      <c r="V71" s="251" t="s">
        <v>163</v>
      </c>
      <c r="W71" s="252" t="s">
        <v>165</v>
      </c>
      <c r="X71" s="252" t="s">
        <v>165</v>
      </c>
      <c r="Y71" s="248" t="s">
        <v>163</v>
      </c>
      <c r="Z71" s="231">
        <f>IF(Table4[[#This Row],[ Bran Content]]="-","-",IF(H71&gt;0.02,0,2))</f>
        <v>2</v>
      </c>
      <c r="AA71" s="231">
        <f>IF(Table4[[#This Row],[Sieve Test]]="-","-",IF(Table4[[#This Row],[Sieve Test]]="P",1,0))</f>
        <v>1</v>
      </c>
      <c r="AB71" s="231">
        <f>IF(Table4[[#This Row],[Odor]]="-","-",IF(Table4[[#This Row],[Odor]]="P",2,0))</f>
        <v>2</v>
      </c>
      <c r="AC71" s="231">
        <f>IF(INDEX(MCmin,MATCH(Table4[[#This Row],[SKU]],FG,0))="-","-",IF(Table4[[#This Row],[%MC]]="-","-",IF(Table4[[#This Row],[%MC]]&lt;INDEX(MCmin,MATCH(Table4[[#This Row],[SKU]],FG,0)),0,IF(Table4[[#This Row],[%MC]]&gt;INDEX(MCmax,MATCH(Table4[[#This Row],[SKU]],FG,0)),0,1))))</f>
        <v>1</v>
      </c>
      <c r="AD71" s="231">
        <f>IF(INDEX(Protmin,MATCH(Table4[[#This Row],[SKU]],FG,0))="-","-",IF(Table4[[#This Row],[%Protein]]="-","-",IF(Table4[[#This Row],[%Protein]]&lt;INDEX(Protmin,MATCH(Table4[[#This Row],[SKU]],FG,0)),0,IF(Table4[[#This Row],[%Protein]]&gt;INDEX(Protmax,MATCH(Table4[[#This Row],[SKU]],FG,0)),0,1))))</f>
        <v>1</v>
      </c>
      <c r="AE71" s="231">
        <f>IF(INDEX(Ashmin,MATCH(Table4[[#This Row],[SKU]],FG,0))="-","-",IF(Table4[[#This Row],[%Ash]]="-","-",IF(Table4[[#This Row],[%Ash]]&lt;INDEX(Ashmin,MATCH(Table4[[#This Row],[SKU]],FG,0)),0,IF(Table4[[#This Row],[%Ash]]&gt;INDEX(Ashmax,MATCH(Table4[[#This Row],[SKU]],FG,0)),0,2))))</f>
        <v>2</v>
      </c>
      <c r="AF71" s="231">
        <f>IF(INDEX(Absmin,MATCH(Table4[[#This Row],[SKU]],FG,0))="-","-",IF(Table4[[#This Row],[%Absorption]]="-","-",IF(Table4[[#This Row],[%Absorption]]&lt;INDEX(Absmin,MATCH(Table4[[#This Row],[SKU]],FG,0)),0,IF(Table4[[#This Row],[%Absorption]]&gt;INDEX(Absmax,MATCH(Table4[[#This Row],[SKU]],FG,0)),0,2))))</f>
        <v>2</v>
      </c>
      <c r="AG71" s="231">
        <f>IF(INDEX(Extmin,MATCH(Table4[[#This Row],[SKU]],FG,0))="-","-",IF(Table4[[#This Row],[%Extensibility]]="-","-",IF(Table4[[#This Row],[%Extensibility]]&lt;INDEX(Extmin,MATCH(Table4[[#This Row],[SKU]],FG,0)),0,IF(Table4[[#This Row],[%Extensibility]]&gt;INDEX(Extmax,MATCH(Table4[[#This Row],[SKU]],FG,0)),0,1))))</f>
        <v>1</v>
      </c>
      <c r="AH71" s="231">
        <f>IF(INDEX(Resmin,MATCH(Table4[[#This Row],[SKU]],FG,0))="-","-",IF(Table4[[#This Row],[Resistance, max]]="-","-",IF(Table4[[#This Row],[Resistance, max]]&lt;INDEX(Resmin,MATCH(Table4[[#This Row],[SKU]],FG,0)),0,IF(Table4[[#This Row],[Resistance, max]]&gt;INDEX(Resmax,MATCH(Table4[[#This Row],[SKU]],FG,0)),0,1))))</f>
        <v>1</v>
      </c>
      <c r="AI71" s="231">
        <f>IF(INDEX(WGmin,MATCH(Table4[[#This Row],[SKU]],FG,0))="-","-",IF(Table4[[#This Row],[%Wet Gluten]]="-","-",IF(Table4[[#This Row],[%Wet Gluten]]&lt;INDEX(WGmin,MATCH(Table4[[#This Row],[SKU]],FG,0)),0,IF(Table4[[#This Row],[%Wet Gluten]]&gt;INDEX(WGmax,MATCH(Table4[[#This Row],[SKU]],FG,0)),0,2))))</f>
        <v>2</v>
      </c>
      <c r="AJ71" s="232" t="str">
        <f>IF(Table4[[#This Row],[FN, s]]="-","-",IF(R71&lt;301,1,0))</f>
        <v>-</v>
      </c>
      <c r="AK71" s="233">
        <f>SUM(Table4[[#This Row],[ QI Bran Content]:[QI FN]])</f>
        <v>15</v>
      </c>
      <c r="AL71" s="232">
        <f t="shared" si="6"/>
        <v>15</v>
      </c>
      <c r="AM71" s="232" t="str">
        <f>IF(INDEX(WGmin,MATCH(Table4[[#This Row],[SKU]],FG,0))="-","-",IF(Table4[[#This Row],[Gross Weight]]="-","-",IF(Table4[[#This Row],[Gross Weight]]&lt;INDEX(GWmin,MATCH(Table4[[#This Row],[SKU]],FG,0)),0,IF(Table4[[#This Row],[Gross Weight]]&gt;INDEX(GWmax,MATCH(Table4[[#This Row],[SKU]],FG,0)),0,1))))</f>
        <v>-</v>
      </c>
      <c r="AN71" s="232">
        <f>IF(Table4[[#This Row],[Sealing Integrity]]="-","-",IF(Table4[[#This Row],[Sealing Integrity]]="P",1,0))</f>
        <v>1</v>
      </c>
      <c r="AO71" s="232">
        <f>IF(Table4[[#This Row],[Coding]]="-","-",IF(Table4[[#This Row],[Coding]]="P",1,0))</f>
        <v>1</v>
      </c>
      <c r="AP71" s="233">
        <f>SUM(Table4[[#This Row],[QI Weight]:[QI Code]])</f>
        <v>2</v>
      </c>
      <c r="AQ71" s="233">
        <f>COUNT(Table4[[#This Row],[QI Weight]:[QI Code]])</f>
        <v>2</v>
      </c>
      <c r="AR71" s="261">
        <f>Table4[[#This Row],[TA]]+Table4[[#This Row],[TA2]]</f>
        <v>17</v>
      </c>
      <c r="AS71" s="261">
        <f>Table4[[#This Row],[TP]]+Table4[[#This Row],[TP2]]</f>
        <v>17</v>
      </c>
      <c r="BD71" s="265">
        <f>IF(INDEX(MCmin,MATCH(Table4[[#This Row],[SKU]],FG,0))="-","-",IF(Table4[[#This Row],[%MC]]="-","-",IF(Table4[[#This Row],[%MC]]&lt;INDEX(MCmin,MATCH(Table4[[#This Row],[SKU]],FG,0)),1,0)))</f>
        <v>0</v>
      </c>
      <c r="BE71" s="265">
        <f>IF(INDEX(MCmin,MATCH(Table4[[#This Row],[SKU]],FG,0))="-","-",IF(Table4[[#This Row],[%MC]]="-","-",IF(Table4[[#This Row],[%MC]]&gt;INDEX(MCmax,MATCH(Table4[[#This Row],[SKU]],FG,0)),1,0)))</f>
        <v>0</v>
      </c>
      <c r="BF71" s="231">
        <f>IF(INDEX(Ashmin,MATCH(Table4[[#This Row],[SKU]],FG,0))="-","-",IF(Table4[[#This Row],[%Ash]]="-","-",IF(Table4[[#This Row],[%Ash]]&lt;INDEX(Ashmin,MATCH(Table4[[#This Row],[SKU]],FG,0)),1,0)))</f>
        <v>0</v>
      </c>
      <c r="BG71" s="231">
        <f>IF(INDEX(Ashmin,MATCH(Table4[[#This Row],[SKU]],FG,0))="-","-",IF(Table4[[#This Row],[%Ash]]="-","-",IF(Table4[[#This Row],[%Ash]]&gt;INDEX(Ashmax,MATCH(Table4[[#This Row],[SKU]],FG,0)),1,0)))</f>
        <v>0</v>
      </c>
      <c r="BH71" s="231">
        <f>IF(INDEX(Absmin,MATCH(Table4[[#This Row],[SKU]],FG,0))="-","-",IF(Table4[[#This Row],[%Absorption]]="-","-",IF(Table4[[#This Row],[%Absorption]]&lt;INDEX(Absmin,MATCH(Table4[[#This Row],[SKU]],FG,0)),1,0)))</f>
        <v>0</v>
      </c>
      <c r="BI71" s="231">
        <f>IF(INDEX(Absmin,MATCH(Table4[[#This Row],[SKU]],FG,0))="-","-",IF(Table4[[#This Row],[%Absorption]]="-","-",IF(Table4[[#This Row],[%Absorption]]&gt;INDEX(Absmax,MATCH(Table4[[#This Row],[SKU]],FG,0)),1,0)))</f>
        <v>0</v>
      </c>
      <c r="BJ71" s="231">
        <f>IF(INDEX(WGmin,MATCH(Table4[[#This Row],[SKU]],FG,0))="-","-",IF(Table4[[#This Row],[%Wet Gluten]]="-","-",IF(Table4[[#This Row],[%Wet Gluten]]&lt;INDEX(WGmin,MATCH(Table4[[#This Row],[SKU]],FG,0)),1,0)))</f>
        <v>0</v>
      </c>
      <c r="BK71" s="231">
        <f>IF(INDEX(WGmin,MATCH(Table4[[#This Row],[SKU]],FG,0))="-","-",IF(Table4[[#This Row],[%Wet Gluten]]="-","-",IF(Table4[[#This Row],[%Wet Gluten]]&gt;INDEX(WGmax,MATCH(Table4[[#This Row],[SKU]],FG,0)),1,0)))</f>
        <v>0</v>
      </c>
    </row>
    <row r="72" spans="1:63" x14ac:dyDescent="0.35">
      <c r="A72" s="243">
        <v>46023</v>
      </c>
      <c r="B72" s="244">
        <v>46027</v>
      </c>
      <c r="C72" s="244">
        <v>46025</v>
      </c>
      <c r="D72" s="244" t="s">
        <v>128</v>
      </c>
      <c r="E72" s="245">
        <v>0.66666666666666696</v>
      </c>
      <c r="F72" s="246">
        <v>3</v>
      </c>
      <c r="G72" s="259" t="s">
        <v>119</v>
      </c>
      <c r="H72" s="247">
        <v>3.8E-3</v>
      </c>
      <c r="I72" s="248" t="s">
        <v>165</v>
      </c>
      <c r="J72" s="248" t="s">
        <v>165</v>
      </c>
      <c r="K72" s="248" t="s">
        <v>165</v>
      </c>
      <c r="L72" s="248" t="s">
        <v>161</v>
      </c>
      <c r="M72" s="248" t="s">
        <v>161</v>
      </c>
      <c r="N72" s="249">
        <v>12.68</v>
      </c>
      <c r="O72" s="249" t="s">
        <v>163</v>
      </c>
      <c r="P72" s="249" t="s">
        <v>163</v>
      </c>
      <c r="Q72" s="249" t="s">
        <v>163</v>
      </c>
      <c r="R72" s="249" t="s">
        <v>163</v>
      </c>
      <c r="S72" s="250" t="s">
        <v>163</v>
      </c>
      <c r="T72" s="249" t="s">
        <v>163</v>
      </c>
      <c r="U72" s="249" t="s">
        <v>163</v>
      </c>
      <c r="V72" s="251" t="s">
        <v>163</v>
      </c>
      <c r="W72" s="252" t="s">
        <v>165</v>
      </c>
      <c r="X72" s="252" t="s">
        <v>165</v>
      </c>
      <c r="Y72" s="248" t="s">
        <v>163</v>
      </c>
      <c r="Z72" s="231">
        <f>IF(Table4[[#This Row],[ Bran Content]]="-","-",IF(H72&gt;0.02,0,2))</f>
        <v>2</v>
      </c>
      <c r="AA72" s="231">
        <f>IF(Table4[[#This Row],[Sieve Test]]="-","-",IF(Table4[[#This Row],[Sieve Test]]="P",1,0))</f>
        <v>1</v>
      </c>
      <c r="AB72" s="231">
        <f>IF(Table4[[#This Row],[Odor]]="-","-",IF(Table4[[#This Row],[Odor]]="P",2,0))</f>
        <v>2</v>
      </c>
      <c r="AC72" s="231">
        <f>IF(INDEX(MCmin,MATCH(Table4[[#This Row],[SKU]],FG,0))="-","-",IF(Table4[[#This Row],[%MC]]="-","-",IF(Table4[[#This Row],[%MC]]&lt;INDEX(MCmin,MATCH(Table4[[#This Row],[SKU]],FG,0)),0,IF(Table4[[#This Row],[%MC]]&gt;INDEX(MCmax,MATCH(Table4[[#This Row],[SKU]],FG,0)),0,1))))</f>
        <v>1</v>
      </c>
      <c r="AD72" s="231" t="str">
        <f>IF(INDEX(Protmin,MATCH(Table4[[#This Row],[SKU]],FG,0))="-","-",IF(Table4[[#This Row],[%Protein]]="-","-",IF(Table4[[#This Row],[%Protein]]&lt;INDEX(Protmin,MATCH(Table4[[#This Row],[SKU]],FG,0)),0,IF(Table4[[#This Row],[%Protein]]&gt;INDEX(Protmax,MATCH(Table4[[#This Row],[SKU]],FG,0)),0,1))))</f>
        <v>-</v>
      </c>
      <c r="AE72" s="231" t="str">
        <f>IF(INDEX(Ashmin,MATCH(Table4[[#This Row],[SKU]],FG,0))="-","-",IF(Table4[[#This Row],[%Ash]]="-","-",IF(Table4[[#This Row],[%Ash]]&lt;INDEX(Ashmin,MATCH(Table4[[#This Row],[SKU]],FG,0)),0,IF(Table4[[#This Row],[%Ash]]&gt;INDEX(Ashmax,MATCH(Table4[[#This Row],[SKU]],FG,0)),0,2))))</f>
        <v>-</v>
      </c>
      <c r="AF72" s="231" t="str">
        <f>IF(INDEX(Absmin,MATCH(Table4[[#This Row],[SKU]],FG,0))="-","-",IF(Table4[[#This Row],[%Absorption]]="-","-",IF(Table4[[#This Row],[%Absorption]]&lt;INDEX(Absmin,MATCH(Table4[[#This Row],[SKU]],FG,0)),0,IF(Table4[[#This Row],[%Absorption]]&gt;INDEX(Absmax,MATCH(Table4[[#This Row],[SKU]],FG,0)),0,2))))</f>
        <v>-</v>
      </c>
      <c r="AG72" s="231" t="str">
        <f>IF(INDEX(Extmin,MATCH(Table4[[#This Row],[SKU]],FG,0))="-","-",IF(Table4[[#This Row],[%Extensibility]]="-","-",IF(Table4[[#This Row],[%Extensibility]]&lt;INDEX(Extmin,MATCH(Table4[[#This Row],[SKU]],FG,0)),0,IF(Table4[[#This Row],[%Extensibility]]&gt;INDEX(Extmax,MATCH(Table4[[#This Row],[SKU]],FG,0)),0,1))))</f>
        <v>-</v>
      </c>
      <c r="AH72" s="231" t="str">
        <f>IF(INDEX(Resmin,MATCH(Table4[[#This Row],[SKU]],FG,0))="-","-",IF(Table4[[#This Row],[Resistance, max]]="-","-",IF(Table4[[#This Row],[Resistance, max]]&lt;INDEX(Resmin,MATCH(Table4[[#This Row],[SKU]],FG,0)),0,IF(Table4[[#This Row],[Resistance, max]]&gt;INDEX(Resmax,MATCH(Table4[[#This Row],[SKU]],FG,0)),0,1))))</f>
        <v>-</v>
      </c>
      <c r="AI72" s="231" t="str">
        <f>IF(INDEX(WGmin,MATCH(Table4[[#This Row],[SKU]],FG,0))="-","-",IF(Table4[[#This Row],[%Wet Gluten]]="-","-",IF(Table4[[#This Row],[%Wet Gluten]]&lt;INDEX(WGmin,MATCH(Table4[[#This Row],[SKU]],FG,0)),0,IF(Table4[[#This Row],[%Wet Gluten]]&gt;INDEX(WGmax,MATCH(Table4[[#This Row],[SKU]],FG,0)),0,2))))</f>
        <v>-</v>
      </c>
      <c r="AJ72" s="232" t="str">
        <f>IF(Table4[[#This Row],[FN, s]]="-","-",IF(R72&lt;301,1,0))</f>
        <v>-</v>
      </c>
      <c r="AK72" s="233">
        <f>SUM(Table4[[#This Row],[ QI Bran Content]:[QI FN]])</f>
        <v>6</v>
      </c>
      <c r="AL72" s="232">
        <f t="shared" si="6"/>
        <v>6</v>
      </c>
      <c r="AM72" s="232" t="str">
        <f>IF(INDEX(WGmin,MATCH(Table4[[#This Row],[SKU]],FG,0))="-","-",IF(Table4[[#This Row],[Gross Weight]]="-","-",IF(Table4[[#This Row],[Gross Weight]]&lt;INDEX(GWmin,MATCH(Table4[[#This Row],[SKU]],FG,0)),0,IF(Table4[[#This Row],[Gross Weight]]&gt;INDEX(GWmax,MATCH(Table4[[#This Row],[SKU]],FG,0)),0,1))))</f>
        <v>-</v>
      </c>
      <c r="AN72" s="232">
        <f>IF(Table4[[#This Row],[Sealing Integrity]]="-","-",IF(Table4[[#This Row],[Sealing Integrity]]="P",1,0))</f>
        <v>1</v>
      </c>
      <c r="AO72" s="232">
        <f>IF(Table4[[#This Row],[Coding]]="-","-",IF(Table4[[#This Row],[Coding]]="P",1,0))</f>
        <v>1</v>
      </c>
      <c r="AP72" s="233">
        <f>SUM(Table4[[#This Row],[QI Weight]:[QI Code]])</f>
        <v>2</v>
      </c>
      <c r="AQ72" s="233">
        <f>COUNT(Table4[[#This Row],[QI Weight]:[QI Code]])</f>
        <v>2</v>
      </c>
      <c r="AR72" s="261">
        <f>Table4[[#This Row],[TA]]+Table4[[#This Row],[TA2]]</f>
        <v>8</v>
      </c>
      <c r="AS72" s="261">
        <f>Table4[[#This Row],[TP]]+Table4[[#This Row],[TP2]]</f>
        <v>8</v>
      </c>
      <c r="BD72" s="265">
        <f>IF(INDEX(MCmin,MATCH(Table4[[#This Row],[SKU]],FG,0))="-","-",IF(Table4[[#This Row],[%MC]]="-","-",IF(Table4[[#This Row],[%MC]]&lt;INDEX(MCmin,MATCH(Table4[[#This Row],[SKU]],FG,0)),1,0)))</f>
        <v>0</v>
      </c>
      <c r="BE72" s="265">
        <f>IF(INDEX(MCmin,MATCH(Table4[[#This Row],[SKU]],FG,0))="-","-",IF(Table4[[#This Row],[%MC]]="-","-",IF(Table4[[#This Row],[%MC]]&gt;INDEX(MCmax,MATCH(Table4[[#This Row],[SKU]],FG,0)),1,0)))</f>
        <v>0</v>
      </c>
      <c r="BF72" s="231" t="str">
        <f>IF(INDEX(Ashmin,MATCH(Table4[[#This Row],[SKU]],FG,0))="-","-",IF(Table4[[#This Row],[%Ash]]="-","-",IF(Table4[[#This Row],[%Ash]]&lt;INDEX(Ashmin,MATCH(Table4[[#This Row],[SKU]],FG,0)),1,0)))</f>
        <v>-</v>
      </c>
      <c r="BG72" s="231" t="str">
        <f>IF(INDEX(Ashmin,MATCH(Table4[[#This Row],[SKU]],FG,0))="-","-",IF(Table4[[#This Row],[%Ash]]="-","-",IF(Table4[[#This Row],[%Ash]]&gt;INDEX(Ashmax,MATCH(Table4[[#This Row],[SKU]],FG,0)),1,0)))</f>
        <v>-</v>
      </c>
      <c r="BH72" s="231" t="str">
        <f>IF(INDEX(Absmin,MATCH(Table4[[#This Row],[SKU]],FG,0))="-","-",IF(Table4[[#This Row],[%Absorption]]="-","-",IF(Table4[[#This Row],[%Absorption]]&lt;INDEX(Absmin,MATCH(Table4[[#This Row],[SKU]],FG,0)),1,0)))</f>
        <v>-</v>
      </c>
      <c r="BI72" s="231" t="str">
        <f>IF(INDEX(Absmin,MATCH(Table4[[#This Row],[SKU]],FG,0))="-","-",IF(Table4[[#This Row],[%Absorption]]="-","-",IF(Table4[[#This Row],[%Absorption]]&gt;INDEX(Absmax,MATCH(Table4[[#This Row],[SKU]],FG,0)),1,0)))</f>
        <v>-</v>
      </c>
      <c r="BJ72" s="231" t="str">
        <f>IF(INDEX(WGmin,MATCH(Table4[[#This Row],[SKU]],FG,0))="-","-",IF(Table4[[#This Row],[%Wet Gluten]]="-","-",IF(Table4[[#This Row],[%Wet Gluten]]&lt;INDEX(WGmin,MATCH(Table4[[#This Row],[SKU]],FG,0)),1,0)))</f>
        <v>-</v>
      </c>
      <c r="BK72" s="231" t="str">
        <f>IF(INDEX(WGmin,MATCH(Table4[[#This Row],[SKU]],FG,0))="-","-",IF(Table4[[#This Row],[%Wet Gluten]]="-","-",IF(Table4[[#This Row],[%Wet Gluten]]&gt;INDEX(WGmax,MATCH(Table4[[#This Row],[SKU]],FG,0)),1,0)))</f>
        <v>-</v>
      </c>
    </row>
    <row r="73" spans="1:63" x14ac:dyDescent="0.35">
      <c r="A73" s="243">
        <v>46023</v>
      </c>
      <c r="B73" s="244">
        <v>46027</v>
      </c>
      <c r="C73" s="244">
        <v>46025</v>
      </c>
      <c r="D73" s="244" t="s">
        <v>128</v>
      </c>
      <c r="E73" s="245">
        <v>0.70833333333333304</v>
      </c>
      <c r="F73" s="246">
        <v>3</v>
      </c>
      <c r="G73" s="259" t="s">
        <v>119</v>
      </c>
      <c r="H73" s="247">
        <v>3.0999999999999999E-3</v>
      </c>
      <c r="I73" s="248" t="s">
        <v>165</v>
      </c>
      <c r="J73" s="248" t="s">
        <v>165</v>
      </c>
      <c r="K73" s="248" t="s">
        <v>165</v>
      </c>
      <c r="L73" s="248" t="s">
        <v>161</v>
      </c>
      <c r="M73" s="248" t="s">
        <v>161</v>
      </c>
      <c r="N73" s="249">
        <v>12.6</v>
      </c>
      <c r="O73" s="249" t="s">
        <v>163</v>
      </c>
      <c r="P73" s="249" t="s">
        <v>163</v>
      </c>
      <c r="Q73" s="249" t="s">
        <v>163</v>
      </c>
      <c r="R73" s="249" t="s">
        <v>163</v>
      </c>
      <c r="S73" s="250" t="s">
        <v>163</v>
      </c>
      <c r="T73" s="249" t="s">
        <v>163</v>
      </c>
      <c r="U73" s="249" t="s">
        <v>163</v>
      </c>
      <c r="V73" s="251" t="s">
        <v>163</v>
      </c>
      <c r="W73" s="252" t="s">
        <v>165</v>
      </c>
      <c r="X73" s="252" t="s">
        <v>165</v>
      </c>
      <c r="Y73" s="248" t="s">
        <v>163</v>
      </c>
      <c r="Z73" s="231">
        <f>IF(Table4[[#This Row],[ Bran Content]]="-","-",IF(H73&gt;0.02,0,2))</f>
        <v>2</v>
      </c>
      <c r="AA73" s="231">
        <f>IF(Table4[[#This Row],[Sieve Test]]="-","-",IF(Table4[[#This Row],[Sieve Test]]="P",1,0))</f>
        <v>1</v>
      </c>
      <c r="AB73" s="231">
        <f>IF(Table4[[#This Row],[Odor]]="-","-",IF(Table4[[#This Row],[Odor]]="P",2,0))</f>
        <v>2</v>
      </c>
      <c r="AC73" s="231">
        <f>IF(INDEX(MCmin,MATCH(Table4[[#This Row],[SKU]],FG,0))="-","-",IF(Table4[[#This Row],[%MC]]="-","-",IF(Table4[[#This Row],[%MC]]&lt;INDEX(MCmin,MATCH(Table4[[#This Row],[SKU]],FG,0)),0,IF(Table4[[#This Row],[%MC]]&gt;INDEX(MCmax,MATCH(Table4[[#This Row],[SKU]],FG,0)),0,1))))</f>
        <v>1</v>
      </c>
      <c r="AD73" s="231" t="str">
        <f>IF(INDEX(Protmin,MATCH(Table4[[#This Row],[SKU]],FG,0))="-","-",IF(Table4[[#This Row],[%Protein]]="-","-",IF(Table4[[#This Row],[%Protein]]&lt;INDEX(Protmin,MATCH(Table4[[#This Row],[SKU]],FG,0)),0,IF(Table4[[#This Row],[%Protein]]&gt;INDEX(Protmax,MATCH(Table4[[#This Row],[SKU]],FG,0)),0,1))))</f>
        <v>-</v>
      </c>
      <c r="AE73" s="231" t="str">
        <f>IF(INDEX(Ashmin,MATCH(Table4[[#This Row],[SKU]],FG,0))="-","-",IF(Table4[[#This Row],[%Ash]]="-","-",IF(Table4[[#This Row],[%Ash]]&lt;INDEX(Ashmin,MATCH(Table4[[#This Row],[SKU]],FG,0)),0,IF(Table4[[#This Row],[%Ash]]&gt;INDEX(Ashmax,MATCH(Table4[[#This Row],[SKU]],FG,0)),0,2))))</f>
        <v>-</v>
      </c>
      <c r="AF73" s="231" t="str">
        <f>IF(INDEX(Absmin,MATCH(Table4[[#This Row],[SKU]],FG,0))="-","-",IF(Table4[[#This Row],[%Absorption]]="-","-",IF(Table4[[#This Row],[%Absorption]]&lt;INDEX(Absmin,MATCH(Table4[[#This Row],[SKU]],FG,0)),0,IF(Table4[[#This Row],[%Absorption]]&gt;INDEX(Absmax,MATCH(Table4[[#This Row],[SKU]],FG,0)),0,2))))</f>
        <v>-</v>
      </c>
      <c r="AG73" s="231" t="str">
        <f>IF(INDEX(Extmin,MATCH(Table4[[#This Row],[SKU]],FG,0))="-","-",IF(Table4[[#This Row],[%Extensibility]]="-","-",IF(Table4[[#This Row],[%Extensibility]]&lt;INDEX(Extmin,MATCH(Table4[[#This Row],[SKU]],FG,0)),0,IF(Table4[[#This Row],[%Extensibility]]&gt;INDEX(Extmax,MATCH(Table4[[#This Row],[SKU]],FG,0)),0,1))))</f>
        <v>-</v>
      </c>
      <c r="AH73" s="231" t="str">
        <f>IF(INDEX(Resmin,MATCH(Table4[[#This Row],[SKU]],FG,0))="-","-",IF(Table4[[#This Row],[Resistance, max]]="-","-",IF(Table4[[#This Row],[Resistance, max]]&lt;INDEX(Resmin,MATCH(Table4[[#This Row],[SKU]],FG,0)),0,IF(Table4[[#This Row],[Resistance, max]]&gt;INDEX(Resmax,MATCH(Table4[[#This Row],[SKU]],FG,0)),0,1))))</f>
        <v>-</v>
      </c>
      <c r="AI73" s="231" t="str">
        <f>IF(INDEX(WGmin,MATCH(Table4[[#This Row],[SKU]],FG,0))="-","-",IF(Table4[[#This Row],[%Wet Gluten]]="-","-",IF(Table4[[#This Row],[%Wet Gluten]]&lt;INDEX(WGmin,MATCH(Table4[[#This Row],[SKU]],FG,0)),0,IF(Table4[[#This Row],[%Wet Gluten]]&gt;INDEX(WGmax,MATCH(Table4[[#This Row],[SKU]],FG,0)),0,2))))</f>
        <v>-</v>
      </c>
      <c r="AJ73" s="232" t="str">
        <f>IF(Table4[[#This Row],[FN, s]]="-","-",IF(R73&lt;301,1,0))</f>
        <v>-</v>
      </c>
      <c r="AK73" s="233">
        <f>SUM(Table4[[#This Row],[ QI Bran Content]:[QI FN]])</f>
        <v>6</v>
      </c>
      <c r="AL73" s="232">
        <f t="shared" si="6"/>
        <v>6</v>
      </c>
      <c r="AM73" s="232" t="str">
        <f>IF(INDEX(WGmin,MATCH(Table4[[#This Row],[SKU]],FG,0))="-","-",IF(Table4[[#This Row],[Gross Weight]]="-","-",IF(Table4[[#This Row],[Gross Weight]]&lt;INDEX(GWmin,MATCH(Table4[[#This Row],[SKU]],FG,0)),0,IF(Table4[[#This Row],[Gross Weight]]&gt;INDEX(GWmax,MATCH(Table4[[#This Row],[SKU]],FG,0)),0,1))))</f>
        <v>-</v>
      </c>
      <c r="AN73" s="232">
        <f>IF(Table4[[#This Row],[Sealing Integrity]]="-","-",IF(Table4[[#This Row],[Sealing Integrity]]="P",1,0))</f>
        <v>1</v>
      </c>
      <c r="AO73" s="232">
        <f>IF(Table4[[#This Row],[Coding]]="-","-",IF(Table4[[#This Row],[Coding]]="P",1,0))</f>
        <v>1</v>
      </c>
      <c r="AP73" s="233">
        <f>SUM(Table4[[#This Row],[QI Weight]:[QI Code]])</f>
        <v>2</v>
      </c>
      <c r="AQ73" s="233">
        <f>COUNT(Table4[[#This Row],[QI Weight]:[QI Code]])</f>
        <v>2</v>
      </c>
      <c r="AR73" s="261">
        <f>Table4[[#This Row],[TA]]+Table4[[#This Row],[TA2]]</f>
        <v>8</v>
      </c>
      <c r="AS73" s="261">
        <f>Table4[[#This Row],[TP]]+Table4[[#This Row],[TP2]]</f>
        <v>8</v>
      </c>
      <c r="BD73" s="265">
        <f>IF(INDEX(MCmin,MATCH(Table4[[#This Row],[SKU]],FG,0))="-","-",IF(Table4[[#This Row],[%MC]]="-","-",IF(Table4[[#This Row],[%MC]]&lt;INDEX(MCmin,MATCH(Table4[[#This Row],[SKU]],FG,0)),1,0)))</f>
        <v>0</v>
      </c>
      <c r="BE73" s="265">
        <f>IF(INDEX(MCmin,MATCH(Table4[[#This Row],[SKU]],FG,0))="-","-",IF(Table4[[#This Row],[%MC]]="-","-",IF(Table4[[#This Row],[%MC]]&gt;INDEX(MCmax,MATCH(Table4[[#This Row],[SKU]],FG,0)),1,0)))</f>
        <v>0</v>
      </c>
      <c r="BF73" s="231" t="str">
        <f>IF(INDEX(Ashmin,MATCH(Table4[[#This Row],[SKU]],FG,0))="-","-",IF(Table4[[#This Row],[%Ash]]="-","-",IF(Table4[[#This Row],[%Ash]]&lt;INDEX(Ashmin,MATCH(Table4[[#This Row],[SKU]],FG,0)),1,0)))</f>
        <v>-</v>
      </c>
      <c r="BG73" s="231" t="str">
        <f>IF(INDEX(Ashmin,MATCH(Table4[[#This Row],[SKU]],FG,0))="-","-",IF(Table4[[#This Row],[%Ash]]="-","-",IF(Table4[[#This Row],[%Ash]]&gt;INDEX(Ashmax,MATCH(Table4[[#This Row],[SKU]],FG,0)),1,0)))</f>
        <v>-</v>
      </c>
      <c r="BH73" s="231" t="str">
        <f>IF(INDEX(Absmin,MATCH(Table4[[#This Row],[SKU]],FG,0))="-","-",IF(Table4[[#This Row],[%Absorption]]="-","-",IF(Table4[[#This Row],[%Absorption]]&lt;INDEX(Absmin,MATCH(Table4[[#This Row],[SKU]],FG,0)),1,0)))</f>
        <v>-</v>
      </c>
      <c r="BI73" s="231" t="str">
        <f>IF(INDEX(Absmin,MATCH(Table4[[#This Row],[SKU]],FG,0))="-","-",IF(Table4[[#This Row],[%Absorption]]="-","-",IF(Table4[[#This Row],[%Absorption]]&gt;INDEX(Absmax,MATCH(Table4[[#This Row],[SKU]],FG,0)),1,0)))</f>
        <v>-</v>
      </c>
      <c r="BJ73" s="231" t="str">
        <f>IF(INDEX(WGmin,MATCH(Table4[[#This Row],[SKU]],FG,0))="-","-",IF(Table4[[#This Row],[%Wet Gluten]]="-","-",IF(Table4[[#This Row],[%Wet Gluten]]&lt;INDEX(WGmin,MATCH(Table4[[#This Row],[SKU]],FG,0)),1,0)))</f>
        <v>-</v>
      </c>
      <c r="BK73" s="231" t="str">
        <f>IF(INDEX(WGmin,MATCH(Table4[[#This Row],[SKU]],FG,0))="-","-",IF(Table4[[#This Row],[%Wet Gluten]]="-","-",IF(Table4[[#This Row],[%Wet Gluten]]&gt;INDEX(WGmax,MATCH(Table4[[#This Row],[SKU]],FG,0)),1,0)))</f>
        <v>-</v>
      </c>
    </row>
    <row r="74" spans="1:63" x14ac:dyDescent="0.35">
      <c r="A74" s="243">
        <v>46023</v>
      </c>
      <c r="B74" s="244">
        <v>46027</v>
      </c>
      <c r="C74" s="244">
        <v>46025</v>
      </c>
      <c r="D74" s="244" t="s">
        <v>128</v>
      </c>
      <c r="E74" s="245">
        <v>0.75</v>
      </c>
      <c r="F74" s="246">
        <v>3</v>
      </c>
      <c r="G74" s="259" t="s">
        <v>119</v>
      </c>
      <c r="H74" s="247">
        <v>3.7000000000000002E-3</v>
      </c>
      <c r="I74" s="248" t="s">
        <v>165</v>
      </c>
      <c r="J74" s="248" t="s">
        <v>165</v>
      </c>
      <c r="K74" s="248" t="s">
        <v>165</v>
      </c>
      <c r="L74" s="248" t="s">
        <v>161</v>
      </c>
      <c r="M74" s="248" t="s">
        <v>161</v>
      </c>
      <c r="N74" s="249">
        <v>12.79</v>
      </c>
      <c r="O74" s="249" t="s">
        <v>163</v>
      </c>
      <c r="P74" s="249" t="s">
        <v>163</v>
      </c>
      <c r="Q74" s="249" t="s">
        <v>163</v>
      </c>
      <c r="R74" s="249" t="s">
        <v>163</v>
      </c>
      <c r="S74" s="250" t="s">
        <v>163</v>
      </c>
      <c r="T74" s="249" t="s">
        <v>163</v>
      </c>
      <c r="U74" s="249" t="s">
        <v>163</v>
      </c>
      <c r="V74" s="251" t="s">
        <v>163</v>
      </c>
      <c r="W74" s="252" t="s">
        <v>165</v>
      </c>
      <c r="X74" s="252" t="s">
        <v>165</v>
      </c>
      <c r="Y74" s="248" t="s">
        <v>163</v>
      </c>
      <c r="Z74" s="231">
        <f>IF(Table4[[#This Row],[ Bran Content]]="-","-",IF(H74&gt;0.02,0,2))</f>
        <v>2</v>
      </c>
      <c r="AA74" s="231">
        <f>IF(Table4[[#This Row],[Sieve Test]]="-","-",IF(Table4[[#This Row],[Sieve Test]]="P",1,0))</f>
        <v>1</v>
      </c>
      <c r="AB74" s="231">
        <f>IF(Table4[[#This Row],[Odor]]="-","-",IF(Table4[[#This Row],[Odor]]="P",2,0))</f>
        <v>2</v>
      </c>
      <c r="AC74" s="231">
        <f>IF(INDEX(MCmin,MATCH(Table4[[#This Row],[SKU]],FG,0))="-","-",IF(Table4[[#This Row],[%MC]]="-","-",IF(Table4[[#This Row],[%MC]]&lt;INDEX(MCmin,MATCH(Table4[[#This Row],[SKU]],FG,0)),0,IF(Table4[[#This Row],[%MC]]&gt;INDEX(MCmax,MATCH(Table4[[#This Row],[SKU]],FG,0)),0,1))))</f>
        <v>1</v>
      </c>
      <c r="AD74" s="231" t="str">
        <f>IF(INDEX(Protmin,MATCH(Table4[[#This Row],[SKU]],FG,0))="-","-",IF(Table4[[#This Row],[%Protein]]="-","-",IF(Table4[[#This Row],[%Protein]]&lt;INDEX(Protmin,MATCH(Table4[[#This Row],[SKU]],FG,0)),0,IF(Table4[[#This Row],[%Protein]]&gt;INDEX(Protmax,MATCH(Table4[[#This Row],[SKU]],FG,0)),0,1))))</f>
        <v>-</v>
      </c>
      <c r="AE74" s="231" t="str">
        <f>IF(INDEX(Ashmin,MATCH(Table4[[#This Row],[SKU]],FG,0))="-","-",IF(Table4[[#This Row],[%Ash]]="-","-",IF(Table4[[#This Row],[%Ash]]&lt;INDEX(Ashmin,MATCH(Table4[[#This Row],[SKU]],FG,0)),0,IF(Table4[[#This Row],[%Ash]]&gt;INDEX(Ashmax,MATCH(Table4[[#This Row],[SKU]],FG,0)),0,2))))</f>
        <v>-</v>
      </c>
      <c r="AF74" s="231" t="str">
        <f>IF(INDEX(Absmin,MATCH(Table4[[#This Row],[SKU]],FG,0))="-","-",IF(Table4[[#This Row],[%Absorption]]="-","-",IF(Table4[[#This Row],[%Absorption]]&lt;INDEX(Absmin,MATCH(Table4[[#This Row],[SKU]],FG,0)),0,IF(Table4[[#This Row],[%Absorption]]&gt;INDEX(Absmax,MATCH(Table4[[#This Row],[SKU]],FG,0)),0,2))))</f>
        <v>-</v>
      </c>
      <c r="AG74" s="231" t="str">
        <f>IF(INDEX(Extmin,MATCH(Table4[[#This Row],[SKU]],FG,0))="-","-",IF(Table4[[#This Row],[%Extensibility]]="-","-",IF(Table4[[#This Row],[%Extensibility]]&lt;INDEX(Extmin,MATCH(Table4[[#This Row],[SKU]],FG,0)),0,IF(Table4[[#This Row],[%Extensibility]]&gt;INDEX(Extmax,MATCH(Table4[[#This Row],[SKU]],FG,0)),0,1))))</f>
        <v>-</v>
      </c>
      <c r="AH74" s="231" t="str">
        <f>IF(INDEX(Resmin,MATCH(Table4[[#This Row],[SKU]],FG,0))="-","-",IF(Table4[[#This Row],[Resistance, max]]="-","-",IF(Table4[[#This Row],[Resistance, max]]&lt;INDEX(Resmin,MATCH(Table4[[#This Row],[SKU]],FG,0)),0,IF(Table4[[#This Row],[Resistance, max]]&gt;INDEX(Resmax,MATCH(Table4[[#This Row],[SKU]],FG,0)),0,1))))</f>
        <v>-</v>
      </c>
      <c r="AI74" s="231" t="str">
        <f>IF(INDEX(WGmin,MATCH(Table4[[#This Row],[SKU]],FG,0))="-","-",IF(Table4[[#This Row],[%Wet Gluten]]="-","-",IF(Table4[[#This Row],[%Wet Gluten]]&lt;INDEX(WGmin,MATCH(Table4[[#This Row],[SKU]],FG,0)),0,IF(Table4[[#This Row],[%Wet Gluten]]&gt;INDEX(WGmax,MATCH(Table4[[#This Row],[SKU]],FG,0)),0,2))))</f>
        <v>-</v>
      </c>
      <c r="AJ74" s="232" t="str">
        <f>IF(Table4[[#This Row],[FN, s]]="-","-",IF(R74&lt;301,1,0))</f>
        <v>-</v>
      </c>
      <c r="AK74" s="233">
        <f>SUM(Table4[[#This Row],[ QI Bran Content]:[QI FN]])</f>
        <v>6</v>
      </c>
      <c r="AL74" s="232">
        <f t="shared" si="6"/>
        <v>6</v>
      </c>
      <c r="AM74" s="232" t="str">
        <f>IF(INDEX(WGmin,MATCH(Table4[[#This Row],[SKU]],FG,0))="-","-",IF(Table4[[#This Row],[Gross Weight]]="-","-",IF(Table4[[#This Row],[Gross Weight]]&lt;INDEX(GWmin,MATCH(Table4[[#This Row],[SKU]],FG,0)),0,IF(Table4[[#This Row],[Gross Weight]]&gt;INDEX(GWmax,MATCH(Table4[[#This Row],[SKU]],FG,0)),0,1))))</f>
        <v>-</v>
      </c>
      <c r="AN74" s="232">
        <f>IF(Table4[[#This Row],[Sealing Integrity]]="-","-",IF(Table4[[#This Row],[Sealing Integrity]]="P",1,0))</f>
        <v>1</v>
      </c>
      <c r="AO74" s="232">
        <f>IF(Table4[[#This Row],[Coding]]="-","-",IF(Table4[[#This Row],[Coding]]="P",1,0))</f>
        <v>1</v>
      </c>
      <c r="AP74" s="233">
        <f>SUM(Table4[[#This Row],[QI Weight]:[QI Code]])</f>
        <v>2</v>
      </c>
      <c r="AQ74" s="233">
        <f>COUNT(Table4[[#This Row],[QI Weight]:[QI Code]])</f>
        <v>2</v>
      </c>
      <c r="AR74" s="261">
        <f>Table4[[#This Row],[TA]]+Table4[[#This Row],[TA2]]</f>
        <v>8</v>
      </c>
      <c r="AS74" s="261">
        <f>Table4[[#This Row],[TP]]+Table4[[#This Row],[TP2]]</f>
        <v>8</v>
      </c>
      <c r="BD74" s="265">
        <f>IF(INDEX(MCmin,MATCH(Table4[[#This Row],[SKU]],FG,0))="-","-",IF(Table4[[#This Row],[%MC]]="-","-",IF(Table4[[#This Row],[%MC]]&lt;INDEX(MCmin,MATCH(Table4[[#This Row],[SKU]],FG,0)),1,0)))</f>
        <v>0</v>
      </c>
      <c r="BE74" s="265">
        <f>IF(INDEX(MCmin,MATCH(Table4[[#This Row],[SKU]],FG,0))="-","-",IF(Table4[[#This Row],[%MC]]="-","-",IF(Table4[[#This Row],[%MC]]&gt;INDEX(MCmax,MATCH(Table4[[#This Row],[SKU]],FG,0)),1,0)))</f>
        <v>0</v>
      </c>
      <c r="BF74" s="231" t="str">
        <f>IF(INDEX(Ashmin,MATCH(Table4[[#This Row],[SKU]],FG,0))="-","-",IF(Table4[[#This Row],[%Ash]]="-","-",IF(Table4[[#This Row],[%Ash]]&lt;INDEX(Ashmin,MATCH(Table4[[#This Row],[SKU]],FG,0)),1,0)))</f>
        <v>-</v>
      </c>
      <c r="BG74" s="231" t="str">
        <f>IF(INDEX(Ashmin,MATCH(Table4[[#This Row],[SKU]],FG,0))="-","-",IF(Table4[[#This Row],[%Ash]]="-","-",IF(Table4[[#This Row],[%Ash]]&gt;INDEX(Ashmax,MATCH(Table4[[#This Row],[SKU]],FG,0)),1,0)))</f>
        <v>-</v>
      </c>
      <c r="BH74" s="231" t="str">
        <f>IF(INDEX(Absmin,MATCH(Table4[[#This Row],[SKU]],FG,0))="-","-",IF(Table4[[#This Row],[%Absorption]]="-","-",IF(Table4[[#This Row],[%Absorption]]&lt;INDEX(Absmin,MATCH(Table4[[#This Row],[SKU]],FG,0)),1,0)))</f>
        <v>-</v>
      </c>
      <c r="BI74" s="231" t="str">
        <f>IF(INDEX(Absmin,MATCH(Table4[[#This Row],[SKU]],FG,0))="-","-",IF(Table4[[#This Row],[%Absorption]]="-","-",IF(Table4[[#This Row],[%Absorption]]&gt;INDEX(Absmax,MATCH(Table4[[#This Row],[SKU]],FG,0)),1,0)))</f>
        <v>-</v>
      </c>
      <c r="BJ74" s="231" t="str">
        <f>IF(INDEX(WGmin,MATCH(Table4[[#This Row],[SKU]],FG,0))="-","-",IF(Table4[[#This Row],[%Wet Gluten]]="-","-",IF(Table4[[#This Row],[%Wet Gluten]]&lt;INDEX(WGmin,MATCH(Table4[[#This Row],[SKU]],FG,0)),1,0)))</f>
        <v>-</v>
      </c>
      <c r="BK74" s="231" t="str">
        <f>IF(INDEX(WGmin,MATCH(Table4[[#This Row],[SKU]],FG,0))="-","-",IF(Table4[[#This Row],[%Wet Gluten]]="-","-",IF(Table4[[#This Row],[%Wet Gluten]]&gt;INDEX(WGmax,MATCH(Table4[[#This Row],[SKU]],FG,0)),1,0)))</f>
        <v>-</v>
      </c>
    </row>
    <row r="75" spans="1:63" x14ac:dyDescent="0.35">
      <c r="A75" s="243">
        <v>46023</v>
      </c>
      <c r="B75" s="244">
        <v>46027</v>
      </c>
      <c r="C75" s="244">
        <v>46025</v>
      </c>
      <c r="D75" s="244" t="s">
        <v>128</v>
      </c>
      <c r="E75" s="245">
        <v>0.79166666666666596</v>
      </c>
      <c r="F75" s="246">
        <v>3</v>
      </c>
      <c r="G75" s="259" t="s">
        <v>119</v>
      </c>
      <c r="H75" s="247">
        <v>5.4000000000000003E-3</v>
      </c>
      <c r="I75" s="248" t="s">
        <v>165</v>
      </c>
      <c r="J75" s="248" t="s">
        <v>165</v>
      </c>
      <c r="K75" s="248" t="s">
        <v>165</v>
      </c>
      <c r="L75" s="248" t="s">
        <v>161</v>
      </c>
      <c r="M75" s="248" t="s">
        <v>161</v>
      </c>
      <c r="N75" s="249">
        <v>12.67</v>
      </c>
      <c r="O75" s="249" t="s">
        <v>163</v>
      </c>
      <c r="P75" s="249" t="s">
        <v>163</v>
      </c>
      <c r="Q75" s="249" t="s">
        <v>163</v>
      </c>
      <c r="R75" s="249" t="s">
        <v>163</v>
      </c>
      <c r="S75" s="250" t="s">
        <v>163</v>
      </c>
      <c r="T75" s="249" t="s">
        <v>163</v>
      </c>
      <c r="U75" s="249" t="s">
        <v>163</v>
      </c>
      <c r="V75" s="251" t="s">
        <v>163</v>
      </c>
      <c r="W75" s="252" t="s">
        <v>165</v>
      </c>
      <c r="X75" s="252" t="s">
        <v>165</v>
      </c>
      <c r="Y75" s="248" t="s">
        <v>163</v>
      </c>
      <c r="Z75" s="231">
        <f>IF(Table4[[#This Row],[ Bran Content]]="-","-",IF(H75&gt;0.02,0,2))</f>
        <v>2</v>
      </c>
      <c r="AA75" s="231">
        <f>IF(Table4[[#This Row],[Sieve Test]]="-","-",IF(Table4[[#This Row],[Sieve Test]]="P",1,0))</f>
        <v>1</v>
      </c>
      <c r="AB75" s="231">
        <f>IF(Table4[[#This Row],[Odor]]="-","-",IF(Table4[[#This Row],[Odor]]="P",2,0))</f>
        <v>2</v>
      </c>
      <c r="AC75" s="231">
        <f>IF(INDEX(MCmin,MATCH(Table4[[#This Row],[SKU]],FG,0))="-","-",IF(Table4[[#This Row],[%MC]]="-","-",IF(Table4[[#This Row],[%MC]]&lt;INDEX(MCmin,MATCH(Table4[[#This Row],[SKU]],FG,0)),0,IF(Table4[[#This Row],[%MC]]&gt;INDEX(MCmax,MATCH(Table4[[#This Row],[SKU]],FG,0)),0,1))))</f>
        <v>1</v>
      </c>
      <c r="AD75" s="231" t="str">
        <f>IF(INDEX(Protmin,MATCH(Table4[[#This Row],[SKU]],FG,0))="-","-",IF(Table4[[#This Row],[%Protein]]="-","-",IF(Table4[[#This Row],[%Protein]]&lt;INDEX(Protmin,MATCH(Table4[[#This Row],[SKU]],FG,0)),0,IF(Table4[[#This Row],[%Protein]]&gt;INDEX(Protmax,MATCH(Table4[[#This Row],[SKU]],FG,0)),0,1))))</f>
        <v>-</v>
      </c>
      <c r="AE75" s="231" t="str">
        <f>IF(INDEX(Ashmin,MATCH(Table4[[#This Row],[SKU]],FG,0))="-","-",IF(Table4[[#This Row],[%Ash]]="-","-",IF(Table4[[#This Row],[%Ash]]&lt;INDEX(Ashmin,MATCH(Table4[[#This Row],[SKU]],FG,0)),0,IF(Table4[[#This Row],[%Ash]]&gt;INDEX(Ashmax,MATCH(Table4[[#This Row],[SKU]],FG,0)),0,2))))</f>
        <v>-</v>
      </c>
      <c r="AF75" s="231" t="str">
        <f>IF(INDEX(Absmin,MATCH(Table4[[#This Row],[SKU]],FG,0))="-","-",IF(Table4[[#This Row],[%Absorption]]="-","-",IF(Table4[[#This Row],[%Absorption]]&lt;INDEX(Absmin,MATCH(Table4[[#This Row],[SKU]],FG,0)),0,IF(Table4[[#This Row],[%Absorption]]&gt;INDEX(Absmax,MATCH(Table4[[#This Row],[SKU]],FG,0)),0,2))))</f>
        <v>-</v>
      </c>
      <c r="AG75" s="231" t="str">
        <f>IF(INDEX(Extmin,MATCH(Table4[[#This Row],[SKU]],FG,0))="-","-",IF(Table4[[#This Row],[%Extensibility]]="-","-",IF(Table4[[#This Row],[%Extensibility]]&lt;INDEX(Extmin,MATCH(Table4[[#This Row],[SKU]],FG,0)),0,IF(Table4[[#This Row],[%Extensibility]]&gt;INDEX(Extmax,MATCH(Table4[[#This Row],[SKU]],FG,0)),0,1))))</f>
        <v>-</v>
      </c>
      <c r="AH75" s="231" t="str">
        <f>IF(INDEX(Resmin,MATCH(Table4[[#This Row],[SKU]],FG,0))="-","-",IF(Table4[[#This Row],[Resistance, max]]="-","-",IF(Table4[[#This Row],[Resistance, max]]&lt;INDEX(Resmin,MATCH(Table4[[#This Row],[SKU]],FG,0)),0,IF(Table4[[#This Row],[Resistance, max]]&gt;INDEX(Resmax,MATCH(Table4[[#This Row],[SKU]],FG,0)),0,1))))</f>
        <v>-</v>
      </c>
      <c r="AI75" s="231" t="str">
        <f>IF(INDEX(WGmin,MATCH(Table4[[#This Row],[SKU]],FG,0))="-","-",IF(Table4[[#This Row],[%Wet Gluten]]="-","-",IF(Table4[[#This Row],[%Wet Gluten]]&lt;INDEX(WGmin,MATCH(Table4[[#This Row],[SKU]],FG,0)),0,IF(Table4[[#This Row],[%Wet Gluten]]&gt;INDEX(WGmax,MATCH(Table4[[#This Row],[SKU]],FG,0)),0,2))))</f>
        <v>-</v>
      </c>
      <c r="AJ75" s="232" t="str">
        <f>IF(Table4[[#This Row],[FN, s]]="-","-",IF(R75&lt;301,1,0))</f>
        <v>-</v>
      </c>
      <c r="AK75" s="233">
        <f>SUM(Table4[[#This Row],[ QI Bran Content]:[QI FN]])</f>
        <v>6</v>
      </c>
      <c r="AL75" s="232">
        <f t="shared" si="6"/>
        <v>6</v>
      </c>
      <c r="AM75" s="232" t="str">
        <f>IF(INDEX(WGmin,MATCH(Table4[[#This Row],[SKU]],FG,0))="-","-",IF(Table4[[#This Row],[Gross Weight]]="-","-",IF(Table4[[#This Row],[Gross Weight]]&lt;INDEX(GWmin,MATCH(Table4[[#This Row],[SKU]],FG,0)),0,IF(Table4[[#This Row],[Gross Weight]]&gt;INDEX(GWmax,MATCH(Table4[[#This Row],[SKU]],FG,0)),0,1))))</f>
        <v>-</v>
      </c>
      <c r="AN75" s="232">
        <f>IF(Table4[[#This Row],[Sealing Integrity]]="-","-",IF(Table4[[#This Row],[Sealing Integrity]]="P",1,0))</f>
        <v>1</v>
      </c>
      <c r="AO75" s="232">
        <f>IF(Table4[[#This Row],[Coding]]="-","-",IF(Table4[[#This Row],[Coding]]="P",1,0))</f>
        <v>1</v>
      </c>
      <c r="AP75" s="233">
        <f>SUM(Table4[[#This Row],[QI Weight]:[QI Code]])</f>
        <v>2</v>
      </c>
      <c r="AQ75" s="233">
        <f>COUNT(Table4[[#This Row],[QI Weight]:[QI Code]])</f>
        <v>2</v>
      </c>
      <c r="AR75" s="261">
        <f>Table4[[#This Row],[TA]]+Table4[[#This Row],[TA2]]</f>
        <v>8</v>
      </c>
      <c r="AS75" s="261">
        <f>Table4[[#This Row],[TP]]+Table4[[#This Row],[TP2]]</f>
        <v>8</v>
      </c>
      <c r="BD75" s="265">
        <f>IF(INDEX(MCmin,MATCH(Table4[[#This Row],[SKU]],FG,0))="-","-",IF(Table4[[#This Row],[%MC]]="-","-",IF(Table4[[#This Row],[%MC]]&lt;INDEX(MCmin,MATCH(Table4[[#This Row],[SKU]],FG,0)),1,0)))</f>
        <v>0</v>
      </c>
      <c r="BE75" s="265">
        <f>IF(INDEX(MCmin,MATCH(Table4[[#This Row],[SKU]],FG,0))="-","-",IF(Table4[[#This Row],[%MC]]="-","-",IF(Table4[[#This Row],[%MC]]&gt;INDEX(MCmax,MATCH(Table4[[#This Row],[SKU]],FG,0)),1,0)))</f>
        <v>0</v>
      </c>
      <c r="BF75" s="231" t="str">
        <f>IF(INDEX(Ashmin,MATCH(Table4[[#This Row],[SKU]],FG,0))="-","-",IF(Table4[[#This Row],[%Ash]]="-","-",IF(Table4[[#This Row],[%Ash]]&lt;INDEX(Ashmin,MATCH(Table4[[#This Row],[SKU]],FG,0)),1,0)))</f>
        <v>-</v>
      </c>
      <c r="BG75" s="231" t="str">
        <f>IF(INDEX(Ashmin,MATCH(Table4[[#This Row],[SKU]],FG,0))="-","-",IF(Table4[[#This Row],[%Ash]]="-","-",IF(Table4[[#This Row],[%Ash]]&gt;INDEX(Ashmax,MATCH(Table4[[#This Row],[SKU]],FG,0)),1,0)))</f>
        <v>-</v>
      </c>
      <c r="BH75" s="231" t="str">
        <f>IF(INDEX(Absmin,MATCH(Table4[[#This Row],[SKU]],FG,0))="-","-",IF(Table4[[#This Row],[%Absorption]]="-","-",IF(Table4[[#This Row],[%Absorption]]&lt;INDEX(Absmin,MATCH(Table4[[#This Row],[SKU]],FG,0)),1,0)))</f>
        <v>-</v>
      </c>
      <c r="BI75" s="231" t="str">
        <f>IF(INDEX(Absmin,MATCH(Table4[[#This Row],[SKU]],FG,0))="-","-",IF(Table4[[#This Row],[%Absorption]]="-","-",IF(Table4[[#This Row],[%Absorption]]&gt;INDEX(Absmax,MATCH(Table4[[#This Row],[SKU]],FG,0)),1,0)))</f>
        <v>-</v>
      </c>
      <c r="BJ75" s="231" t="str">
        <f>IF(INDEX(WGmin,MATCH(Table4[[#This Row],[SKU]],FG,0))="-","-",IF(Table4[[#This Row],[%Wet Gluten]]="-","-",IF(Table4[[#This Row],[%Wet Gluten]]&lt;INDEX(WGmin,MATCH(Table4[[#This Row],[SKU]],FG,0)),1,0)))</f>
        <v>-</v>
      </c>
      <c r="BK75" s="231" t="str">
        <f>IF(INDEX(WGmin,MATCH(Table4[[#This Row],[SKU]],FG,0))="-","-",IF(Table4[[#This Row],[%Wet Gluten]]="-","-",IF(Table4[[#This Row],[%Wet Gluten]]&gt;INDEX(WGmax,MATCH(Table4[[#This Row],[SKU]],FG,0)),1,0)))</f>
        <v>-</v>
      </c>
    </row>
    <row r="76" spans="1:63" x14ac:dyDescent="0.35">
      <c r="A76" s="243">
        <v>46023</v>
      </c>
      <c r="B76" s="244">
        <v>46027</v>
      </c>
      <c r="C76" s="244">
        <v>46025</v>
      </c>
      <c r="D76" s="244" t="s">
        <v>128</v>
      </c>
      <c r="E76" s="245">
        <v>0.83333333333333304</v>
      </c>
      <c r="F76" s="246">
        <v>3</v>
      </c>
      <c r="G76" s="259" t="s">
        <v>119</v>
      </c>
      <c r="H76" s="247">
        <v>4.4999999999999997E-3</v>
      </c>
      <c r="I76" s="248" t="s">
        <v>165</v>
      </c>
      <c r="J76" s="248" t="s">
        <v>165</v>
      </c>
      <c r="K76" s="248" t="s">
        <v>165</v>
      </c>
      <c r="L76" s="248" t="s">
        <v>161</v>
      </c>
      <c r="M76" s="248" t="s">
        <v>161</v>
      </c>
      <c r="N76" s="249">
        <v>12.65</v>
      </c>
      <c r="O76" s="249" t="s">
        <v>163</v>
      </c>
      <c r="P76" s="249" t="s">
        <v>163</v>
      </c>
      <c r="Q76" s="249" t="s">
        <v>163</v>
      </c>
      <c r="R76" s="249" t="s">
        <v>163</v>
      </c>
      <c r="S76" s="250" t="s">
        <v>163</v>
      </c>
      <c r="T76" s="249" t="s">
        <v>163</v>
      </c>
      <c r="U76" s="249" t="s">
        <v>163</v>
      </c>
      <c r="V76" s="251" t="s">
        <v>163</v>
      </c>
      <c r="W76" s="252" t="s">
        <v>165</v>
      </c>
      <c r="X76" s="252" t="s">
        <v>165</v>
      </c>
      <c r="Y76" s="248" t="s">
        <v>163</v>
      </c>
      <c r="Z76" s="231">
        <f>IF(Table4[[#This Row],[ Bran Content]]="-","-",IF(H76&gt;0.02,0,2))</f>
        <v>2</v>
      </c>
      <c r="AA76" s="231">
        <f>IF(Table4[[#This Row],[Sieve Test]]="-","-",IF(Table4[[#This Row],[Sieve Test]]="P",1,0))</f>
        <v>1</v>
      </c>
      <c r="AB76" s="231">
        <f>IF(Table4[[#This Row],[Odor]]="-","-",IF(Table4[[#This Row],[Odor]]="P",2,0))</f>
        <v>2</v>
      </c>
      <c r="AC76" s="231">
        <f>IF(INDEX(MCmin,MATCH(Table4[[#This Row],[SKU]],FG,0))="-","-",IF(Table4[[#This Row],[%MC]]="-","-",IF(Table4[[#This Row],[%MC]]&lt;INDEX(MCmin,MATCH(Table4[[#This Row],[SKU]],FG,0)),0,IF(Table4[[#This Row],[%MC]]&gt;INDEX(MCmax,MATCH(Table4[[#This Row],[SKU]],FG,0)),0,1))))</f>
        <v>1</v>
      </c>
      <c r="AD76" s="231" t="str">
        <f>IF(INDEX(Protmin,MATCH(Table4[[#This Row],[SKU]],FG,0))="-","-",IF(Table4[[#This Row],[%Protein]]="-","-",IF(Table4[[#This Row],[%Protein]]&lt;INDEX(Protmin,MATCH(Table4[[#This Row],[SKU]],FG,0)),0,IF(Table4[[#This Row],[%Protein]]&gt;INDEX(Protmax,MATCH(Table4[[#This Row],[SKU]],FG,0)),0,1))))</f>
        <v>-</v>
      </c>
      <c r="AE76" s="231" t="str">
        <f>IF(INDEX(Ashmin,MATCH(Table4[[#This Row],[SKU]],FG,0))="-","-",IF(Table4[[#This Row],[%Ash]]="-","-",IF(Table4[[#This Row],[%Ash]]&lt;INDEX(Ashmin,MATCH(Table4[[#This Row],[SKU]],FG,0)),0,IF(Table4[[#This Row],[%Ash]]&gt;INDEX(Ashmax,MATCH(Table4[[#This Row],[SKU]],FG,0)),0,2))))</f>
        <v>-</v>
      </c>
      <c r="AF76" s="231" t="str">
        <f>IF(INDEX(Absmin,MATCH(Table4[[#This Row],[SKU]],FG,0))="-","-",IF(Table4[[#This Row],[%Absorption]]="-","-",IF(Table4[[#This Row],[%Absorption]]&lt;INDEX(Absmin,MATCH(Table4[[#This Row],[SKU]],FG,0)),0,IF(Table4[[#This Row],[%Absorption]]&gt;INDEX(Absmax,MATCH(Table4[[#This Row],[SKU]],FG,0)),0,2))))</f>
        <v>-</v>
      </c>
      <c r="AG76" s="231" t="str">
        <f>IF(INDEX(Extmin,MATCH(Table4[[#This Row],[SKU]],FG,0))="-","-",IF(Table4[[#This Row],[%Extensibility]]="-","-",IF(Table4[[#This Row],[%Extensibility]]&lt;INDEX(Extmin,MATCH(Table4[[#This Row],[SKU]],FG,0)),0,IF(Table4[[#This Row],[%Extensibility]]&gt;INDEX(Extmax,MATCH(Table4[[#This Row],[SKU]],FG,0)),0,1))))</f>
        <v>-</v>
      </c>
      <c r="AH76" s="231" t="str">
        <f>IF(INDEX(Resmin,MATCH(Table4[[#This Row],[SKU]],FG,0))="-","-",IF(Table4[[#This Row],[Resistance, max]]="-","-",IF(Table4[[#This Row],[Resistance, max]]&lt;INDEX(Resmin,MATCH(Table4[[#This Row],[SKU]],FG,0)),0,IF(Table4[[#This Row],[Resistance, max]]&gt;INDEX(Resmax,MATCH(Table4[[#This Row],[SKU]],FG,0)),0,1))))</f>
        <v>-</v>
      </c>
      <c r="AI76" s="231" t="str">
        <f>IF(INDEX(WGmin,MATCH(Table4[[#This Row],[SKU]],FG,0))="-","-",IF(Table4[[#This Row],[%Wet Gluten]]="-","-",IF(Table4[[#This Row],[%Wet Gluten]]&lt;INDEX(WGmin,MATCH(Table4[[#This Row],[SKU]],FG,0)),0,IF(Table4[[#This Row],[%Wet Gluten]]&gt;INDEX(WGmax,MATCH(Table4[[#This Row],[SKU]],FG,0)),0,2))))</f>
        <v>-</v>
      </c>
      <c r="AJ76" s="232" t="str">
        <f>IF(Table4[[#This Row],[FN, s]]="-","-",IF(R76&lt;301,1,0))</f>
        <v>-</v>
      </c>
      <c r="AK76" s="233">
        <f>SUM(Table4[[#This Row],[ QI Bran Content]:[QI FN]])</f>
        <v>6</v>
      </c>
      <c r="AL76" s="232">
        <f t="shared" si="6"/>
        <v>6</v>
      </c>
      <c r="AM76" s="232" t="str">
        <f>IF(INDEX(WGmin,MATCH(Table4[[#This Row],[SKU]],FG,0))="-","-",IF(Table4[[#This Row],[Gross Weight]]="-","-",IF(Table4[[#This Row],[Gross Weight]]&lt;INDEX(GWmin,MATCH(Table4[[#This Row],[SKU]],FG,0)),0,IF(Table4[[#This Row],[Gross Weight]]&gt;INDEX(GWmax,MATCH(Table4[[#This Row],[SKU]],FG,0)),0,1))))</f>
        <v>-</v>
      </c>
      <c r="AN76" s="232">
        <f>IF(Table4[[#This Row],[Sealing Integrity]]="-","-",IF(Table4[[#This Row],[Sealing Integrity]]="P",1,0))</f>
        <v>1</v>
      </c>
      <c r="AO76" s="232">
        <f>IF(Table4[[#This Row],[Coding]]="-","-",IF(Table4[[#This Row],[Coding]]="P",1,0))</f>
        <v>1</v>
      </c>
      <c r="AP76" s="233">
        <f>SUM(Table4[[#This Row],[QI Weight]:[QI Code]])</f>
        <v>2</v>
      </c>
      <c r="AQ76" s="233">
        <f>COUNT(Table4[[#This Row],[QI Weight]:[QI Code]])</f>
        <v>2</v>
      </c>
      <c r="AR76" s="261">
        <f>Table4[[#This Row],[TA]]+Table4[[#This Row],[TA2]]</f>
        <v>8</v>
      </c>
      <c r="AS76" s="261">
        <f>Table4[[#This Row],[TP]]+Table4[[#This Row],[TP2]]</f>
        <v>8</v>
      </c>
      <c r="BD76" s="265">
        <f>IF(INDEX(MCmin,MATCH(Table4[[#This Row],[SKU]],FG,0))="-","-",IF(Table4[[#This Row],[%MC]]="-","-",IF(Table4[[#This Row],[%MC]]&lt;INDEX(MCmin,MATCH(Table4[[#This Row],[SKU]],FG,0)),1,0)))</f>
        <v>0</v>
      </c>
      <c r="BE76" s="265">
        <f>IF(INDEX(MCmin,MATCH(Table4[[#This Row],[SKU]],FG,0))="-","-",IF(Table4[[#This Row],[%MC]]="-","-",IF(Table4[[#This Row],[%MC]]&gt;INDEX(MCmax,MATCH(Table4[[#This Row],[SKU]],FG,0)),1,0)))</f>
        <v>0</v>
      </c>
      <c r="BF76" s="231" t="str">
        <f>IF(INDEX(Ashmin,MATCH(Table4[[#This Row],[SKU]],FG,0))="-","-",IF(Table4[[#This Row],[%Ash]]="-","-",IF(Table4[[#This Row],[%Ash]]&lt;INDEX(Ashmin,MATCH(Table4[[#This Row],[SKU]],FG,0)),1,0)))</f>
        <v>-</v>
      </c>
      <c r="BG76" s="231" t="str">
        <f>IF(INDEX(Ashmin,MATCH(Table4[[#This Row],[SKU]],FG,0))="-","-",IF(Table4[[#This Row],[%Ash]]="-","-",IF(Table4[[#This Row],[%Ash]]&gt;INDEX(Ashmax,MATCH(Table4[[#This Row],[SKU]],FG,0)),1,0)))</f>
        <v>-</v>
      </c>
      <c r="BH76" s="231" t="str">
        <f>IF(INDEX(Absmin,MATCH(Table4[[#This Row],[SKU]],FG,0))="-","-",IF(Table4[[#This Row],[%Absorption]]="-","-",IF(Table4[[#This Row],[%Absorption]]&lt;INDEX(Absmin,MATCH(Table4[[#This Row],[SKU]],FG,0)),1,0)))</f>
        <v>-</v>
      </c>
      <c r="BI76" s="231" t="str">
        <f>IF(INDEX(Absmin,MATCH(Table4[[#This Row],[SKU]],FG,0))="-","-",IF(Table4[[#This Row],[%Absorption]]="-","-",IF(Table4[[#This Row],[%Absorption]]&gt;INDEX(Absmax,MATCH(Table4[[#This Row],[SKU]],FG,0)),1,0)))</f>
        <v>-</v>
      </c>
      <c r="BJ76" s="231" t="str">
        <f>IF(INDEX(WGmin,MATCH(Table4[[#This Row],[SKU]],FG,0))="-","-",IF(Table4[[#This Row],[%Wet Gluten]]="-","-",IF(Table4[[#This Row],[%Wet Gluten]]&lt;INDEX(WGmin,MATCH(Table4[[#This Row],[SKU]],FG,0)),1,0)))</f>
        <v>-</v>
      </c>
      <c r="BK76" s="231" t="str">
        <f>IF(INDEX(WGmin,MATCH(Table4[[#This Row],[SKU]],FG,0))="-","-",IF(Table4[[#This Row],[%Wet Gluten]]="-","-",IF(Table4[[#This Row],[%Wet Gluten]]&gt;INDEX(WGmax,MATCH(Table4[[#This Row],[SKU]],FG,0)),1,0)))</f>
        <v>-</v>
      </c>
    </row>
    <row r="77" spans="1:63" x14ac:dyDescent="0.35">
      <c r="A77" s="243">
        <v>46023</v>
      </c>
      <c r="B77" s="244">
        <v>46027</v>
      </c>
      <c r="C77" s="244">
        <v>46025</v>
      </c>
      <c r="D77" s="244" t="s">
        <v>128</v>
      </c>
      <c r="E77" s="245">
        <v>0.874999999999999</v>
      </c>
      <c r="F77" s="246">
        <v>3</v>
      </c>
      <c r="G77" s="259" t="s">
        <v>119</v>
      </c>
      <c r="H77" s="247">
        <v>3.8999999999999998E-3</v>
      </c>
      <c r="I77" s="248" t="s">
        <v>165</v>
      </c>
      <c r="J77" s="248" t="s">
        <v>165</v>
      </c>
      <c r="K77" s="248" t="s">
        <v>165</v>
      </c>
      <c r="L77" s="248" t="s">
        <v>161</v>
      </c>
      <c r="M77" s="248" t="s">
        <v>161</v>
      </c>
      <c r="N77" s="249">
        <v>12.62</v>
      </c>
      <c r="O77" s="249" t="s">
        <v>163</v>
      </c>
      <c r="P77" s="249" t="s">
        <v>163</v>
      </c>
      <c r="Q77" s="249" t="s">
        <v>163</v>
      </c>
      <c r="R77" s="249" t="s">
        <v>163</v>
      </c>
      <c r="S77" s="250" t="s">
        <v>163</v>
      </c>
      <c r="T77" s="249" t="s">
        <v>163</v>
      </c>
      <c r="U77" s="249" t="s">
        <v>163</v>
      </c>
      <c r="V77" s="251" t="s">
        <v>163</v>
      </c>
      <c r="W77" s="252" t="s">
        <v>165</v>
      </c>
      <c r="X77" s="252" t="s">
        <v>165</v>
      </c>
      <c r="Y77" s="248" t="s">
        <v>163</v>
      </c>
      <c r="Z77" s="231">
        <f>IF(Table4[[#This Row],[ Bran Content]]="-","-",IF(H77&gt;0.02,0,2))</f>
        <v>2</v>
      </c>
      <c r="AA77" s="231">
        <f>IF(Table4[[#This Row],[Sieve Test]]="-","-",IF(Table4[[#This Row],[Sieve Test]]="P",1,0))</f>
        <v>1</v>
      </c>
      <c r="AB77" s="231">
        <f>IF(Table4[[#This Row],[Odor]]="-","-",IF(Table4[[#This Row],[Odor]]="P",2,0))</f>
        <v>2</v>
      </c>
      <c r="AC77" s="231">
        <f>IF(INDEX(MCmin,MATCH(Table4[[#This Row],[SKU]],FG,0))="-","-",IF(Table4[[#This Row],[%MC]]="-","-",IF(Table4[[#This Row],[%MC]]&lt;INDEX(MCmin,MATCH(Table4[[#This Row],[SKU]],FG,0)),0,IF(Table4[[#This Row],[%MC]]&gt;INDEX(MCmax,MATCH(Table4[[#This Row],[SKU]],FG,0)),0,1))))</f>
        <v>1</v>
      </c>
      <c r="AD77" s="231" t="str">
        <f>IF(INDEX(Protmin,MATCH(Table4[[#This Row],[SKU]],FG,0))="-","-",IF(Table4[[#This Row],[%Protein]]="-","-",IF(Table4[[#This Row],[%Protein]]&lt;INDEX(Protmin,MATCH(Table4[[#This Row],[SKU]],FG,0)),0,IF(Table4[[#This Row],[%Protein]]&gt;INDEX(Protmax,MATCH(Table4[[#This Row],[SKU]],FG,0)),0,1))))</f>
        <v>-</v>
      </c>
      <c r="AE77" s="231" t="str">
        <f>IF(INDEX(Ashmin,MATCH(Table4[[#This Row],[SKU]],FG,0))="-","-",IF(Table4[[#This Row],[%Ash]]="-","-",IF(Table4[[#This Row],[%Ash]]&lt;INDEX(Ashmin,MATCH(Table4[[#This Row],[SKU]],FG,0)),0,IF(Table4[[#This Row],[%Ash]]&gt;INDEX(Ashmax,MATCH(Table4[[#This Row],[SKU]],FG,0)),0,2))))</f>
        <v>-</v>
      </c>
      <c r="AF77" s="231" t="str">
        <f>IF(INDEX(Absmin,MATCH(Table4[[#This Row],[SKU]],FG,0))="-","-",IF(Table4[[#This Row],[%Absorption]]="-","-",IF(Table4[[#This Row],[%Absorption]]&lt;INDEX(Absmin,MATCH(Table4[[#This Row],[SKU]],FG,0)),0,IF(Table4[[#This Row],[%Absorption]]&gt;INDEX(Absmax,MATCH(Table4[[#This Row],[SKU]],FG,0)),0,2))))</f>
        <v>-</v>
      </c>
      <c r="AG77" s="231" t="str">
        <f>IF(INDEX(Extmin,MATCH(Table4[[#This Row],[SKU]],FG,0))="-","-",IF(Table4[[#This Row],[%Extensibility]]="-","-",IF(Table4[[#This Row],[%Extensibility]]&lt;INDEX(Extmin,MATCH(Table4[[#This Row],[SKU]],FG,0)),0,IF(Table4[[#This Row],[%Extensibility]]&gt;INDEX(Extmax,MATCH(Table4[[#This Row],[SKU]],FG,0)),0,1))))</f>
        <v>-</v>
      </c>
      <c r="AH77" s="231" t="str">
        <f>IF(INDEX(Resmin,MATCH(Table4[[#This Row],[SKU]],FG,0))="-","-",IF(Table4[[#This Row],[Resistance, max]]="-","-",IF(Table4[[#This Row],[Resistance, max]]&lt;INDEX(Resmin,MATCH(Table4[[#This Row],[SKU]],FG,0)),0,IF(Table4[[#This Row],[Resistance, max]]&gt;INDEX(Resmax,MATCH(Table4[[#This Row],[SKU]],FG,0)),0,1))))</f>
        <v>-</v>
      </c>
      <c r="AI77" s="231" t="str">
        <f>IF(INDEX(WGmin,MATCH(Table4[[#This Row],[SKU]],FG,0))="-","-",IF(Table4[[#This Row],[%Wet Gluten]]="-","-",IF(Table4[[#This Row],[%Wet Gluten]]&lt;INDEX(WGmin,MATCH(Table4[[#This Row],[SKU]],FG,0)),0,IF(Table4[[#This Row],[%Wet Gluten]]&gt;INDEX(WGmax,MATCH(Table4[[#This Row],[SKU]],FG,0)),0,2))))</f>
        <v>-</v>
      </c>
      <c r="AJ77" s="232" t="str">
        <f>IF(Table4[[#This Row],[FN, s]]="-","-",IF(R77&lt;301,1,0))</f>
        <v>-</v>
      </c>
      <c r="AK77" s="233">
        <f>SUM(Table4[[#This Row],[ QI Bran Content]:[QI FN]])</f>
        <v>6</v>
      </c>
      <c r="AL77" s="232">
        <f t="shared" si="6"/>
        <v>6</v>
      </c>
      <c r="AM77" s="232" t="str">
        <f>IF(INDEX(WGmin,MATCH(Table4[[#This Row],[SKU]],FG,0))="-","-",IF(Table4[[#This Row],[Gross Weight]]="-","-",IF(Table4[[#This Row],[Gross Weight]]&lt;INDEX(GWmin,MATCH(Table4[[#This Row],[SKU]],FG,0)),0,IF(Table4[[#This Row],[Gross Weight]]&gt;INDEX(GWmax,MATCH(Table4[[#This Row],[SKU]],FG,0)),0,1))))</f>
        <v>-</v>
      </c>
      <c r="AN77" s="232">
        <f>IF(Table4[[#This Row],[Sealing Integrity]]="-","-",IF(Table4[[#This Row],[Sealing Integrity]]="P",1,0))</f>
        <v>1</v>
      </c>
      <c r="AO77" s="232">
        <f>IF(Table4[[#This Row],[Coding]]="-","-",IF(Table4[[#This Row],[Coding]]="P",1,0))</f>
        <v>1</v>
      </c>
      <c r="AP77" s="233">
        <f>SUM(Table4[[#This Row],[QI Weight]:[QI Code]])</f>
        <v>2</v>
      </c>
      <c r="AQ77" s="233">
        <f>COUNT(Table4[[#This Row],[QI Weight]:[QI Code]])</f>
        <v>2</v>
      </c>
      <c r="AR77" s="261">
        <f>Table4[[#This Row],[TA]]+Table4[[#This Row],[TA2]]</f>
        <v>8</v>
      </c>
      <c r="AS77" s="261">
        <f>Table4[[#This Row],[TP]]+Table4[[#This Row],[TP2]]</f>
        <v>8</v>
      </c>
      <c r="BD77" s="265">
        <f>IF(INDEX(MCmin,MATCH(Table4[[#This Row],[SKU]],FG,0))="-","-",IF(Table4[[#This Row],[%MC]]="-","-",IF(Table4[[#This Row],[%MC]]&lt;INDEX(MCmin,MATCH(Table4[[#This Row],[SKU]],FG,0)),1,0)))</f>
        <v>0</v>
      </c>
      <c r="BE77" s="265">
        <f>IF(INDEX(MCmin,MATCH(Table4[[#This Row],[SKU]],FG,0))="-","-",IF(Table4[[#This Row],[%MC]]="-","-",IF(Table4[[#This Row],[%MC]]&gt;INDEX(MCmax,MATCH(Table4[[#This Row],[SKU]],FG,0)),1,0)))</f>
        <v>0</v>
      </c>
      <c r="BF77" s="231" t="str">
        <f>IF(INDEX(Ashmin,MATCH(Table4[[#This Row],[SKU]],FG,0))="-","-",IF(Table4[[#This Row],[%Ash]]="-","-",IF(Table4[[#This Row],[%Ash]]&lt;INDEX(Ashmin,MATCH(Table4[[#This Row],[SKU]],FG,0)),1,0)))</f>
        <v>-</v>
      </c>
      <c r="BG77" s="231" t="str">
        <f>IF(INDEX(Ashmin,MATCH(Table4[[#This Row],[SKU]],FG,0))="-","-",IF(Table4[[#This Row],[%Ash]]="-","-",IF(Table4[[#This Row],[%Ash]]&gt;INDEX(Ashmax,MATCH(Table4[[#This Row],[SKU]],FG,0)),1,0)))</f>
        <v>-</v>
      </c>
      <c r="BH77" s="231" t="str">
        <f>IF(INDEX(Absmin,MATCH(Table4[[#This Row],[SKU]],FG,0))="-","-",IF(Table4[[#This Row],[%Absorption]]="-","-",IF(Table4[[#This Row],[%Absorption]]&lt;INDEX(Absmin,MATCH(Table4[[#This Row],[SKU]],FG,0)),1,0)))</f>
        <v>-</v>
      </c>
      <c r="BI77" s="231" t="str">
        <f>IF(INDEX(Absmin,MATCH(Table4[[#This Row],[SKU]],FG,0))="-","-",IF(Table4[[#This Row],[%Absorption]]="-","-",IF(Table4[[#This Row],[%Absorption]]&gt;INDEX(Absmax,MATCH(Table4[[#This Row],[SKU]],FG,0)),1,0)))</f>
        <v>-</v>
      </c>
      <c r="BJ77" s="231" t="str">
        <f>IF(INDEX(WGmin,MATCH(Table4[[#This Row],[SKU]],FG,0))="-","-",IF(Table4[[#This Row],[%Wet Gluten]]="-","-",IF(Table4[[#This Row],[%Wet Gluten]]&lt;INDEX(WGmin,MATCH(Table4[[#This Row],[SKU]],FG,0)),1,0)))</f>
        <v>-</v>
      </c>
      <c r="BK77" s="231" t="str">
        <f>IF(INDEX(WGmin,MATCH(Table4[[#This Row],[SKU]],FG,0))="-","-",IF(Table4[[#This Row],[%Wet Gluten]]="-","-",IF(Table4[[#This Row],[%Wet Gluten]]&gt;INDEX(WGmax,MATCH(Table4[[#This Row],[SKU]],FG,0)),1,0)))</f>
        <v>-</v>
      </c>
    </row>
    <row r="78" spans="1:63" x14ac:dyDescent="0.35">
      <c r="A78" s="243">
        <v>46023</v>
      </c>
      <c r="B78" s="244">
        <v>46027</v>
      </c>
      <c r="C78" s="244">
        <v>46013</v>
      </c>
      <c r="D78" s="244" t="s">
        <v>125</v>
      </c>
      <c r="E78" s="245" t="s">
        <v>273</v>
      </c>
      <c r="F78" s="246">
        <v>2</v>
      </c>
      <c r="G78" s="259" t="s">
        <v>138</v>
      </c>
      <c r="H78" s="247">
        <v>4.1999999999999997E-3</v>
      </c>
      <c r="I78" s="248" t="s">
        <v>165</v>
      </c>
      <c r="J78" s="248" t="s">
        <v>165</v>
      </c>
      <c r="K78" s="248" t="s">
        <v>165</v>
      </c>
      <c r="L78" s="248" t="s">
        <v>163</v>
      </c>
      <c r="M78" s="248" t="s">
        <v>161</v>
      </c>
      <c r="N78" s="249">
        <v>11.15</v>
      </c>
      <c r="O78" s="249">
        <v>8.74</v>
      </c>
      <c r="P78" s="249">
        <v>0.43</v>
      </c>
      <c r="Q78" s="249">
        <v>54.2</v>
      </c>
      <c r="R78" s="249">
        <v>12.9</v>
      </c>
      <c r="S78" s="250">
        <v>474</v>
      </c>
      <c r="T78" s="249">
        <v>23.65</v>
      </c>
      <c r="U78" s="249" t="s">
        <v>163</v>
      </c>
      <c r="V78" s="251" t="s">
        <v>163</v>
      </c>
      <c r="W78" s="252" t="s">
        <v>165</v>
      </c>
      <c r="X78" s="252" t="s">
        <v>165</v>
      </c>
      <c r="Y78" s="248" t="s">
        <v>163</v>
      </c>
      <c r="Z78" s="231">
        <f>IF(Table4[[#This Row],[ Bran Content]]="-","-",IF(H78&gt;0.02,0,2))</f>
        <v>2</v>
      </c>
      <c r="AA78" s="231">
        <f>IF(Table4[[#This Row],[Sieve Test]]="-","-",IF(Table4[[#This Row],[Sieve Test]]="P",1,0))</f>
        <v>1</v>
      </c>
      <c r="AB78" s="231">
        <f>IF(Table4[[#This Row],[Odor]]="-","-",IF(Table4[[#This Row],[Odor]]="P",2,0))</f>
        <v>2</v>
      </c>
      <c r="AC78" s="231">
        <f>IF(INDEX(MCmin,MATCH(Table4[[#This Row],[SKU]],FG,0))="-","-",IF(Table4[[#This Row],[%MC]]="-","-",IF(Table4[[#This Row],[%MC]]&lt;INDEX(MCmin,MATCH(Table4[[#This Row],[SKU]],FG,0)),0,IF(Table4[[#This Row],[%MC]]&gt;INDEX(MCmax,MATCH(Table4[[#This Row],[SKU]],FG,0)),0,1))))</f>
        <v>1</v>
      </c>
      <c r="AD78" s="231">
        <f>IF(INDEX(Protmin,MATCH(Table4[[#This Row],[SKU]],FG,0))="-","-",IF(Table4[[#This Row],[%Protein]]="-","-",IF(Table4[[#This Row],[%Protein]]&lt;INDEX(Protmin,MATCH(Table4[[#This Row],[SKU]],FG,0)),0,IF(Table4[[#This Row],[%Protein]]&gt;INDEX(Protmax,MATCH(Table4[[#This Row],[SKU]],FG,0)),0,1))))</f>
        <v>1</v>
      </c>
      <c r="AE78" s="231">
        <f>IF(INDEX(Ashmin,MATCH(Table4[[#This Row],[SKU]],FG,0))="-","-",IF(Table4[[#This Row],[%Ash]]="-","-",IF(Table4[[#This Row],[%Ash]]&lt;INDEX(Ashmin,MATCH(Table4[[#This Row],[SKU]],FG,0)),0,IF(Table4[[#This Row],[%Ash]]&gt;INDEX(Ashmax,MATCH(Table4[[#This Row],[SKU]],FG,0)),0,2))))</f>
        <v>2</v>
      </c>
      <c r="AF78" s="231">
        <f>IF(INDEX(Absmin,MATCH(Table4[[#This Row],[SKU]],FG,0))="-","-",IF(Table4[[#This Row],[%Absorption]]="-","-",IF(Table4[[#This Row],[%Absorption]]&lt;INDEX(Absmin,MATCH(Table4[[#This Row],[SKU]],FG,0)),0,IF(Table4[[#This Row],[%Absorption]]&gt;INDEX(Absmax,MATCH(Table4[[#This Row],[SKU]],FG,0)),0,2))))</f>
        <v>2</v>
      </c>
      <c r="AG78" s="231">
        <f>IF(INDEX(Extmin,MATCH(Table4[[#This Row],[SKU]],FG,0))="-","-",IF(Table4[[#This Row],[%Extensibility]]="-","-",IF(Table4[[#This Row],[%Extensibility]]&lt;INDEX(Extmin,MATCH(Table4[[#This Row],[SKU]],FG,0)),0,IF(Table4[[#This Row],[%Extensibility]]&gt;INDEX(Extmax,MATCH(Table4[[#This Row],[SKU]],FG,0)),0,1))))</f>
        <v>1</v>
      </c>
      <c r="AH78" s="231">
        <f>IF(INDEX(Resmin,MATCH(Table4[[#This Row],[SKU]],FG,0))="-","-",IF(Table4[[#This Row],[Resistance, max]]="-","-",IF(Table4[[#This Row],[Resistance, max]]&lt;INDEX(Resmin,MATCH(Table4[[#This Row],[SKU]],FG,0)),0,IF(Table4[[#This Row],[Resistance, max]]&gt;INDEX(Resmax,MATCH(Table4[[#This Row],[SKU]],FG,0)),0,1))))</f>
        <v>1</v>
      </c>
      <c r="AI78" s="231">
        <f>IF(INDEX(WGmin,MATCH(Table4[[#This Row],[SKU]],FG,0))="-","-",IF(Table4[[#This Row],[%Wet Gluten]]="-","-",IF(Table4[[#This Row],[%Wet Gluten]]&lt;INDEX(WGmin,MATCH(Table4[[#This Row],[SKU]],FG,0)),0,IF(Table4[[#This Row],[%Wet Gluten]]&gt;INDEX(WGmax,MATCH(Table4[[#This Row],[SKU]],FG,0)),0,2))))</f>
        <v>2</v>
      </c>
      <c r="AJ78" s="232" t="str">
        <f>IF(Table4[[#This Row],[FN, s]]="-","-",IF(R78&lt;301,1,0))</f>
        <v>-</v>
      </c>
      <c r="AK78" s="233">
        <f>SUM(Table4[[#This Row],[ QI Bran Content]:[QI FN]])</f>
        <v>15</v>
      </c>
      <c r="AL78" s="232">
        <f t="shared" si="6"/>
        <v>15</v>
      </c>
      <c r="AM78" s="232" t="str">
        <f>IF(INDEX(WGmin,MATCH(Table4[[#This Row],[SKU]],FG,0))="-","-",IF(Table4[[#This Row],[Gross Weight]]="-","-",IF(Table4[[#This Row],[Gross Weight]]&lt;INDEX(GWmin,MATCH(Table4[[#This Row],[SKU]],FG,0)),0,IF(Table4[[#This Row],[Gross Weight]]&gt;INDEX(GWmax,MATCH(Table4[[#This Row],[SKU]],FG,0)),0,1))))</f>
        <v>-</v>
      </c>
      <c r="AN78" s="232">
        <f>IF(Table4[[#This Row],[Sealing Integrity]]="-","-",IF(Table4[[#This Row],[Sealing Integrity]]="P",1,0))</f>
        <v>1</v>
      </c>
      <c r="AO78" s="232">
        <f>IF(Table4[[#This Row],[Coding]]="-","-",IF(Table4[[#This Row],[Coding]]="P",1,0))</f>
        <v>1</v>
      </c>
      <c r="AP78" s="233">
        <f>SUM(Table4[[#This Row],[QI Weight]:[QI Code]])</f>
        <v>2</v>
      </c>
      <c r="AQ78" s="233">
        <f>COUNT(Table4[[#This Row],[QI Weight]:[QI Code]])</f>
        <v>2</v>
      </c>
      <c r="AR78" s="261">
        <f>Table4[[#This Row],[TA]]+Table4[[#This Row],[TA2]]</f>
        <v>17</v>
      </c>
      <c r="AS78" s="261">
        <f>Table4[[#This Row],[TP]]+Table4[[#This Row],[TP2]]</f>
        <v>17</v>
      </c>
      <c r="BD78" s="265">
        <f>IF(INDEX(MCmin,MATCH(Table4[[#This Row],[SKU]],FG,0))="-","-",IF(Table4[[#This Row],[%MC]]="-","-",IF(Table4[[#This Row],[%MC]]&lt;INDEX(MCmin,MATCH(Table4[[#This Row],[SKU]],FG,0)),1,0)))</f>
        <v>0</v>
      </c>
      <c r="BE78" s="265">
        <f>IF(INDEX(MCmin,MATCH(Table4[[#This Row],[SKU]],FG,0))="-","-",IF(Table4[[#This Row],[%MC]]="-","-",IF(Table4[[#This Row],[%MC]]&gt;INDEX(MCmax,MATCH(Table4[[#This Row],[SKU]],FG,0)),1,0)))</f>
        <v>0</v>
      </c>
      <c r="BF78" s="231">
        <f>IF(INDEX(Ashmin,MATCH(Table4[[#This Row],[SKU]],FG,0))="-","-",IF(Table4[[#This Row],[%Ash]]="-","-",IF(Table4[[#This Row],[%Ash]]&lt;INDEX(Ashmin,MATCH(Table4[[#This Row],[SKU]],FG,0)),1,0)))</f>
        <v>0</v>
      </c>
      <c r="BG78" s="231">
        <f>IF(INDEX(Ashmin,MATCH(Table4[[#This Row],[SKU]],FG,0))="-","-",IF(Table4[[#This Row],[%Ash]]="-","-",IF(Table4[[#This Row],[%Ash]]&gt;INDEX(Ashmax,MATCH(Table4[[#This Row],[SKU]],FG,0)),1,0)))</f>
        <v>0</v>
      </c>
      <c r="BH78" s="231">
        <f>IF(INDEX(Absmin,MATCH(Table4[[#This Row],[SKU]],FG,0))="-","-",IF(Table4[[#This Row],[%Absorption]]="-","-",IF(Table4[[#This Row],[%Absorption]]&lt;INDEX(Absmin,MATCH(Table4[[#This Row],[SKU]],FG,0)),1,0)))</f>
        <v>0</v>
      </c>
      <c r="BI78" s="231">
        <f>IF(INDEX(Absmin,MATCH(Table4[[#This Row],[SKU]],FG,0))="-","-",IF(Table4[[#This Row],[%Absorption]]="-","-",IF(Table4[[#This Row],[%Absorption]]&gt;INDEX(Absmax,MATCH(Table4[[#This Row],[SKU]],FG,0)),1,0)))</f>
        <v>0</v>
      </c>
      <c r="BJ78" s="231">
        <f>IF(INDEX(WGmin,MATCH(Table4[[#This Row],[SKU]],FG,0))="-","-",IF(Table4[[#This Row],[%Wet Gluten]]="-","-",IF(Table4[[#This Row],[%Wet Gluten]]&lt;INDEX(WGmin,MATCH(Table4[[#This Row],[SKU]],FG,0)),1,0)))</f>
        <v>0</v>
      </c>
      <c r="BK78" s="231">
        <f>IF(INDEX(WGmin,MATCH(Table4[[#This Row],[SKU]],FG,0))="-","-",IF(Table4[[#This Row],[%Wet Gluten]]="-","-",IF(Table4[[#This Row],[%Wet Gluten]]&gt;INDEX(WGmax,MATCH(Table4[[#This Row],[SKU]],FG,0)),1,0)))</f>
        <v>0</v>
      </c>
    </row>
    <row r="79" spans="1:63" x14ac:dyDescent="0.35">
      <c r="A79" s="243">
        <v>46023</v>
      </c>
      <c r="B79" s="244">
        <v>46027</v>
      </c>
      <c r="C79" s="244">
        <v>46013</v>
      </c>
      <c r="D79" s="244" t="s">
        <v>125</v>
      </c>
      <c r="E79" s="245" t="s">
        <v>328</v>
      </c>
      <c r="F79" s="246">
        <v>2</v>
      </c>
      <c r="G79" s="259" t="s">
        <v>140</v>
      </c>
      <c r="H79" s="247">
        <v>5.4999999999999997E-3</v>
      </c>
      <c r="I79" s="248" t="s">
        <v>165</v>
      </c>
      <c r="J79" s="248" t="s">
        <v>165</v>
      </c>
      <c r="K79" s="248" t="s">
        <v>165</v>
      </c>
      <c r="L79" s="248" t="s">
        <v>163</v>
      </c>
      <c r="M79" s="248" t="s">
        <v>161</v>
      </c>
      <c r="N79" s="249">
        <v>11</v>
      </c>
      <c r="O79" s="249" t="s">
        <v>163</v>
      </c>
      <c r="P79" s="249" t="s">
        <v>163</v>
      </c>
      <c r="Q79" s="249" t="s">
        <v>163</v>
      </c>
      <c r="R79" s="249" t="s">
        <v>163</v>
      </c>
      <c r="S79" s="250" t="s">
        <v>163</v>
      </c>
      <c r="T79" s="249" t="s">
        <v>163</v>
      </c>
      <c r="U79" s="249" t="s">
        <v>163</v>
      </c>
      <c r="V79" s="251" t="s">
        <v>163</v>
      </c>
      <c r="W79" s="252" t="s">
        <v>165</v>
      </c>
      <c r="X79" s="252" t="s">
        <v>165</v>
      </c>
      <c r="Y79" s="248" t="s">
        <v>163</v>
      </c>
      <c r="Z79" s="231">
        <f>IF(Table4[[#This Row],[ Bran Content]]="-","-",IF(H79&gt;0.02,0,2))</f>
        <v>2</v>
      </c>
      <c r="AA79" s="231">
        <f>IF(Table4[[#This Row],[Sieve Test]]="-","-",IF(Table4[[#This Row],[Sieve Test]]="P",1,0))</f>
        <v>1</v>
      </c>
      <c r="AB79" s="231">
        <f>IF(Table4[[#This Row],[Odor]]="-","-",IF(Table4[[#This Row],[Odor]]="P",2,0))</f>
        <v>2</v>
      </c>
      <c r="AC79" s="231">
        <f>IF(INDEX(MCmin,MATCH(Table4[[#This Row],[SKU]],FG,0))="-","-",IF(Table4[[#This Row],[%MC]]="-","-",IF(Table4[[#This Row],[%MC]]&lt;INDEX(MCmin,MATCH(Table4[[#This Row],[SKU]],FG,0)),0,IF(Table4[[#This Row],[%MC]]&gt;INDEX(MCmax,MATCH(Table4[[#This Row],[SKU]],FG,0)),0,1))))</f>
        <v>1</v>
      </c>
      <c r="AD79" s="231" t="str">
        <f>IF(INDEX(Protmin,MATCH(Table4[[#This Row],[SKU]],FG,0))="-","-",IF(Table4[[#This Row],[%Protein]]="-","-",IF(Table4[[#This Row],[%Protein]]&lt;INDEX(Protmin,MATCH(Table4[[#This Row],[SKU]],FG,0)),0,IF(Table4[[#This Row],[%Protein]]&gt;INDEX(Protmax,MATCH(Table4[[#This Row],[SKU]],FG,0)),0,1))))</f>
        <v>-</v>
      </c>
      <c r="AE79" s="231" t="str">
        <f>IF(INDEX(Ashmin,MATCH(Table4[[#This Row],[SKU]],FG,0))="-","-",IF(Table4[[#This Row],[%Ash]]="-","-",IF(Table4[[#This Row],[%Ash]]&lt;INDEX(Ashmin,MATCH(Table4[[#This Row],[SKU]],FG,0)),0,IF(Table4[[#This Row],[%Ash]]&gt;INDEX(Ashmax,MATCH(Table4[[#This Row],[SKU]],FG,0)),0,2))))</f>
        <v>-</v>
      </c>
      <c r="AF79" s="231" t="str">
        <f>IF(INDEX(Absmin,MATCH(Table4[[#This Row],[SKU]],FG,0))="-","-",IF(Table4[[#This Row],[%Absorption]]="-","-",IF(Table4[[#This Row],[%Absorption]]&lt;INDEX(Absmin,MATCH(Table4[[#This Row],[SKU]],FG,0)),0,IF(Table4[[#This Row],[%Absorption]]&gt;INDEX(Absmax,MATCH(Table4[[#This Row],[SKU]],FG,0)),0,2))))</f>
        <v>-</v>
      </c>
      <c r="AG79" s="231" t="str">
        <f>IF(INDEX(Extmin,MATCH(Table4[[#This Row],[SKU]],FG,0))="-","-",IF(Table4[[#This Row],[%Extensibility]]="-","-",IF(Table4[[#This Row],[%Extensibility]]&lt;INDEX(Extmin,MATCH(Table4[[#This Row],[SKU]],FG,0)),0,IF(Table4[[#This Row],[%Extensibility]]&gt;INDEX(Extmax,MATCH(Table4[[#This Row],[SKU]],FG,0)),0,1))))</f>
        <v>-</v>
      </c>
      <c r="AH79" s="231" t="str">
        <f>IF(INDEX(Resmin,MATCH(Table4[[#This Row],[SKU]],FG,0))="-","-",IF(Table4[[#This Row],[Resistance, max]]="-","-",IF(Table4[[#This Row],[Resistance, max]]&lt;INDEX(Resmin,MATCH(Table4[[#This Row],[SKU]],FG,0)),0,IF(Table4[[#This Row],[Resistance, max]]&gt;INDEX(Resmax,MATCH(Table4[[#This Row],[SKU]],FG,0)),0,1))))</f>
        <v>-</v>
      </c>
      <c r="AI79" s="231" t="str">
        <f>IF(INDEX(WGmin,MATCH(Table4[[#This Row],[SKU]],FG,0))="-","-",IF(Table4[[#This Row],[%Wet Gluten]]="-","-",IF(Table4[[#This Row],[%Wet Gluten]]&lt;INDEX(WGmin,MATCH(Table4[[#This Row],[SKU]],FG,0)),0,IF(Table4[[#This Row],[%Wet Gluten]]&gt;INDEX(WGmax,MATCH(Table4[[#This Row],[SKU]],FG,0)),0,2))))</f>
        <v>-</v>
      </c>
      <c r="AJ79" s="232" t="str">
        <f>IF(Table4[[#This Row],[FN, s]]="-","-",IF(R79&lt;301,1,0))</f>
        <v>-</v>
      </c>
      <c r="AK79" s="233">
        <f>SUM(Table4[[#This Row],[ QI Bran Content]:[QI FN]])</f>
        <v>6</v>
      </c>
      <c r="AL79" s="232">
        <f t="shared" si="6"/>
        <v>6</v>
      </c>
      <c r="AM79" s="232" t="str">
        <f>IF(INDEX(WGmin,MATCH(Table4[[#This Row],[SKU]],FG,0))="-","-",IF(Table4[[#This Row],[Gross Weight]]="-","-",IF(Table4[[#This Row],[Gross Weight]]&lt;INDEX(GWmin,MATCH(Table4[[#This Row],[SKU]],FG,0)),0,IF(Table4[[#This Row],[Gross Weight]]&gt;INDEX(GWmax,MATCH(Table4[[#This Row],[SKU]],FG,0)),0,1))))</f>
        <v>-</v>
      </c>
      <c r="AN79" s="232">
        <f>IF(Table4[[#This Row],[Sealing Integrity]]="-","-",IF(Table4[[#This Row],[Sealing Integrity]]="P",1,0))</f>
        <v>1</v>
      </c>
      <c r="AO79" s="232">
        <f>IF(Table4[[#This Row],[Coding]]="-","-",IF(Table4[[#This Row],[Coding]]="P",1,0))</f>
        <v>1</v>
      </c>
      <c r="AP79" s="233">
        <f>SUM(Table4[[#This Row],[QI Weight]:[QI Code]])</f>
        <v>2</v>
      </c>
      <c r="AQ79" s="233">
        <f>COUNT(Table4[[#This Row],[QI Weight]:[QI Code]])</f>
        <v>2</v>
      </c>
      <c r="AR79" s="261">
        <f>Table4[[#This Row],[TA]]+Table4[[#This Row],[TA2]]</f>
        <v>8</v>
      </c>
      <c r="AS79" s="261">
        <f>Table4[[#This Row],[TP]]+Table4[[#This Row],[TP2]]</f>
        <v>8</v>
      </c>
      <c r="BD79" s="265">
        <f>IF(INDEX(MCmin,MATCH(Table4[[#This Row],[SKU]],FG,0))="-","-",IF(Table4[[#This Row],[%MC]]="-","-",IF(Table4[[#This Row],[%MC]]&lt;INDEX(MCmin,MATCH(Table4[[#This Row],[SKU]],FG,0)),1,0)))</f>
        <v>0</v>
      </c>
      <c r="BE79" s="265">
        <f>IF(INDEX(MCmin,MATCH(Table4[[#This Row],[SKU]],FG,0))="-","-",IF(Table4[[#This Row],[%MC]]="-","-",IF(Table4[[#This Row],[%MC]]&gt;INDEX(MCmax,MATCH(Table4[[#This Row],[SKU]],FG,0)),1,0)))</f>
        <v>0</v>
      </c>
      <c r="BF79" s="231" t="str">
        <f>IF(INDEX(Ashmin,MATCH(Table4[[#This Row],[SKU]],FG,0))="-","-",IF(Table4[[#This Row],[%Ash]]="-","-",IF(Table4[[#This Row],[%Ash]]&lt;INDEX(Ashmin,MATCH(Table4[[#This Row],[SKU]],FG,0)),1,0)))</f>
        <v>-</v>
      </c>
      <c r="BG79" s="231" t="str">
        <f>IF(INDEX(Ashmin,MATCH(Table4[[#This Row],[SKU]],FG,0))="-","-",IF(Table4[[#This Row],[%Ash]]="-","-",IF(Table4[[#This Row],[%Ash]]&gt;INDEX(Ashmax,MATCH(Table4[[#This Row],[SKU]],FG,0)),1,0)))</f>
        <v>-</v>
      </c>
      <c r="BH79" s="231" t="str">
        <f>IF(INDEX(Absmin,MATCH(Table4[[#This Row],[SKU]],FG,0))="-","-",IF(Table4[[#This Row],[%Absorption]]="-","-",IF(Table4[[#This Row],[%Absorption]]&lt;INDEX(Absmin,MATCH(Table4[[#This Row],[SKU]],FG,0)),1,0)))</f>
        <v>-</v>
      </c>
      <c r="BI79" s="231" t="str">
        <f>IF(INDEX(Absmin,MATCH(Table4[[#This Row],[SKU]],FG,0))="-","-",IF(Table4[[#This Row],[%Absorption]]="-","-",IF(Table4[[#This Row],[%Absorption]]&gt;INDEX(Absmax,MATCH(Table4[[#This Row],[SKU]],FG,0)),1,0)))</f>
        <v>-</v>
      </c>
      <c r="BJ79" s="231" t="str">
        <f>IF(INDEX(WGmin,MATCH(Table4[[#This Row],[SKU]],FG,0))="-","-",IF(Table4[[#This Row],[%Wet Gluten]]="-","-",IF(Table4[[#This Row],[%Wet Gluten]]&lt;INDEX(WGmin,MATCH(Table4[[#This Row],[SKU]],FG,0)),1,0)))</f>
        <v>-</v>
      </c>
      <c r="BK79" s="231" t="str">
        <f>IF(INDEX(WGmin,MATCH(Table4[[#This Row],[SKU]],FG,0))="-","-",IF(Table4[[#This Row],[%Wet Gluten]]="-","-",IF(Table4[[#This Row],[%Wet Gluten]]&gt;INDEX(WGmax,MATCH(Table4[[#This Row],[SKU]],FG,0)),1,0)))</f>
        <v>-</v>
      </c>
    </row>
    <row r="80" spans="1:63" x14ac:dyDescent="0.35">
      <c r="A80" s="243">
        <v>46023</v>
      </c>
      <c r="B80" s="244">
        <v>46027</v>
      </c>
      <c r="C80" s="244">
        <v>46378</v>
      </c>
      <c r="D80" s="244" t="s">
        <v>128</v>
      </c>
      <c r="E80" s="245">
        <v>0.58333333333333337</v>
      </c>
      <c r="F80" s="246">
        <v>2</v>
      </c>
      <c r="G80" s="259" t="s">
        <v>140</v>
      </c>
      <c r="H80" s="247">
        <v>3.8E-3</v>
      </c>
      <c r="I80" s="248" t="s">
        <v>165</v>
      </c>
      <c r="J80" s="248" t="s">
        <v>165</v>
      </c>
      <c r="K80" s="248" t="s">
        <v>165</v>
      </c>
      <c r="L80" s="248" t="s">
        <v>163</v>
      </c>
      <c r="M80" s="248" t="s">
        <v>161</v>
      </c>
      <c r="N80" s="249">
        <v>10.92</v>
      </c>
      <c r="O80" s="249">
        <v>9.32</v>
      </c>
      <c r="P80" s="249">
        <v>0.48</v>
      </c>
      <c r="Q80" s="249" t="s">
        <v>163</v>
      </c>
      <c r="R80" s="249" t="s">
        <v>163</v>
      </c>
      <c r="S80" s="250" t="s">
        <v>163</v>
      </c>
      <c r="T80" s="249">
        <v>25.36</v>
      </c>
      <c r="U80" s="249" t="s">
        <v>163</v>
      </c>
      <c r="V80" s="251" t="s">
        <v>163</v>
      </c>
      <c r="W80" s="252" t="s">
        <v>165</v>
      </c>
      <c r="X80" s="252" t="s">
        <v>165</v>
      </c>
      <c r="Y80" s="248" t="s">
        <v>163</v>
      </c>
      <c r="Z80" s="231">
        <f>IF(Table4[[#This Row],[ Bran Content]]="-","-",IF(H80&gt;0.02,0,2))</f>
        <v>2</v>
      </c>
      <c r="AA80" s="231">
        <f>IF(Table4[[#This Row],[Sieve Test]]="-","-",IF(Table4[[#This Row],[Sieve Test]]="P",1,0))</f>
        <v>1</v>
      </c>
      <c r="AB80" s="231">
        <f>IF(Table4[[#This Row],[Odor]]="-","-",IF(Table4[[#This Row],[Odor]]="P",2,0))</f>
        <v>2</v>
      </c>
      <c r="AC80" s="231">
        <f>IF(INDEX(MCmin,MATCH(Table4[[#This Row],[SKU]],FG,0))="-","-",IF(Table4[[#This Row],[%MC]]="-","-",IF(Table4[[#This Row],[%MC]]&lt;INDEX(MCmin,MATCH(Table4[[#This Row],[SKU]],FG,0)),0,IF(Table4[[#This Row],[%MC]]&gt;INDEX(MCmax,MATCH(Table4[[#This Row],[SKU]],FG,0)),0,1))))</f>
        <v>0</v>
      </c>
      <c r="AD80" s="231">
        <f>IF(INDEX(Protmin,MATCH(Table4[[#This Row],[SKU]],FG,0))="-","-",IF(Table4[[#This Row],[%Protein]]="-","-",IF(Table4[[#This Row],[%Protein]]&lt;INDEX(Protmin,MATCH(Table4[[#This Row],[SKU]],FG,0)),0,IF(Table4[[#This Row],[%Protein]]&gt;INDEX(Protmax,MATCH(Table4[[#This Row],[SKU]],FG,0)),0,1))))</f>
        <v>1</v>
      </c>
      <c r="AE80" s="231">
        <f>IF(INDEX(Ashmin,MATCH(Table4[[#This Row],[SKU]],FG,0))="-","-",IF(Table4[[#This Row],[%Ash]]="-","-",IF(Table4[[#This Row],[%Ash]]&lt;INDEX(Ashmin,MATCH(Table4[[#This Row],[SKU]],FG,0)),0,IF(Table4[[#This Row],[%Ash]]&gt;INDEX(Ashmax,MATCH(Table4[[#This Row],[SKU]],FG,0)),0,2))))</f>
        <v>2</v>
      </c>
      <c r="AF80" s="231" t="str">
        <f>IF(INDEX(Absmin,MATCH(Table4[[#This Row],[SKU]],FG,0))="-","-",IF(Table4[[#This Row],[%Absorption]]="-","-",IF(Table4[[#This Row],[%Absorption]]&lt;INDEX(Absmin,MATCH(Table4[[#This Row],[SKU]],FG,0)),0,IF(Table4[[#This Row],[%Absorption]]&gt;INDEX(Absmax,MATCH(Table4[[#This Row],[SKU]],FG,0)),0,2))))</f>
        <v>-</v>
      </c>
      <c r="AG80" s="231" t="str">
        <f>IF(INDEX(Extmin,MATCH(Table4[[#This Row],[SKU]],FG,0))="-","-",IF(Table4[[#This Row],[%Extensibility]]="-","-",IF(Table4[[#This Row],[%Extensibility]]&lt;INDEX(Extmin,MATCH(Table4[[#This Row],[SKU]],FG,0)),0,IF(Table4[[#This Row],[%Extensibility]]&gt;INDEX(Extmax,MATCH(Table4[[#This Row],[SKU]],FG,0)),0,1))))</f>
        <v>-</v>
      </c>
      <c r="AH80" s="231" t="str">
        <f>IF(INDEX(Resmin,MATCH(Table4[[#This Row],[SKU]],FG,0))="-","-",IF(Table4[[#This Row],[Resistance, max]]="-","-",IF(Table4[[#This Row],[Resistance, max]]&lt;INDEX(Resmin,MATCH(Table4[[#This Row],[SKU]],FG,0)),0,IF(Table4[[#This Row],[Resistance, max]]&gt;INDEX(Resmax,MATCH(Table4[[#This Row],[SKU]],FG,0)),0,1))))</f>
        <v>-</v>
      </c>
      <c r="AI80" s="231">
        <f>IF(INDEX(WGmin,MATCH(Table4[[#This Row],[SKU]],FG,0))="-","-",IF(Table4[[#This Row],[%Wet Gluten]]="-","-",IF(Table4[[#This Row],[%Wet Gluten]]&lt;INDEX(WGmin,MATCH(Table4[[#This Row],[SKU]],FG,0)),0,IF(Table4[[#This Row],[%Wet Gluten]]&gt;INDEX(WGmax,MATCH(Table4[[#This Row],[SKU]],FG,0)),0,2))))</f>
        <v>2</v>
      </c>
      <c r="AJ80" s="232" t="str">
        <f>IF(Table4[[#This Row],[FN, s]]="-","-",IF(R80&lt;301,1,0))</f>
        <v>-</v>
      </c>
      <c r="AK80" s="233">
        <f>SUM(Table4[[#This Row],[ QI Bran Content]:[QI FN]])</f>
        <v>10</v>
      </c>
      <c r="AL80" s="232">
        <f t="shared" si="6"/>
        <v>11</v>
      </c>
      <c r="AM80" s="232" t="str">
        <f>IF(INDEX(WGmin,MATCH(Table4[[#This Row],[SKU]],FG,0))="-","-",IF(Table4[[#This Row],[Gross Weight]]="-","-",IF(Table4[[#This Row],[Gross Weight]]&lt;INDEX(GWmin,MATCH(Table4[[#This Row],[SKU]],FG,0)),0,IF(Table4[[#This Row],[Gross Weight]]&gt;INDEX(GWmax,MATCH(Table4[[#This Row],[SKU]],FG,0)),0,1))))</f>
        <v>-</v>
      </c>
      <c r="AN80" s="232">
        <f>IF(Table4[[#This Row],[Sealing Integrity]]="-","-",IF(Table4[[#This Row],[Sealing Integrity]]="P",1,0))</f>
        <v>1</v>
      </c>
      <c r="AO80" s="232">
        <f>IF(Table4[[#This Row],[Coding]]="-","-",IF(Table4[[#This Row],[Coding]]="P",1,0))</f>
        <v>1</v>
      </c>
      <c r="AP80" s="233">
        <f>SUM(Table4[[#This Row],[QI Weight]:[QI Code]])</f>
        <v>2</v>
      </c>
      <c r="AQ80" s="233">
        <f>COUNT(Table4[[#This Row],[QI Weight]:[QI Code]])</f>
        <v>2</v>
      </c>
      <c r="AR80" s="261">
        <f>Table4[[#This Row],[TA]]+Table4[[#This Row],[TA2]]</f>
        <v>12</v>
      </c>
      <c r="AS80" s="261">
        <f>Table4[[#This Row],[TP]]+Table4[[#This Row],[TP2]]</f>
        <v>13</v>
      </c>
      <c r="BD80" s="265">
        <f>IF(INDEX(MCmin,MATCH(Table4[[#This Row],[SKU]],FG,0))="-","-",IF(Table4[[#This Row],[%MC]]="-","-",IF(Table4[[#This Row],[%MC]]&lt;INDEX(MCmin,MATCH(Table4[[#This Row],[SKU]],FG,0)),1,0)))</f>
        <v>1</v>
      </c>
      <c r="BE80" s="265">
        <f>IF(INDEX(MCmin,MATCH(Table4[[#This Row],[SKU]],FG,0))="-","-",IF(Table4[[#This Row],[%MC]]="-","-",IF(Table4[[#This Row],[%MC]]&gt;INDEX(MCmax,MATCH(Table4[[#This Row],[SKU]],FG,0)),1,0)))</f>
        <v>0</v>
      </c>
      <c r="BF80" s="231">
        <f>IF(INDEX(Ashmin,MATCH(Table4[[#This Row],[SKU]],FG,0))="-","-",IF(Table4[[#This Row],[%Ash]]="-","-",IF(Table4[[#This Row],[%Ash]]&lt;INDEX(Ashmin,MATCH(Table4[[#This Row],[SKU]],FG,0)),1,0)))</f>
        <v>0</v>
      </c>
      <c r="BG80" s="231">
        <f>IF(INDEX(Ashmin,MATCH(Table4[[#This Row],[SKU]],FG,0))="-","-",IF(Table4[[#This Row],[%Ash]]="-","-",IF(Table4[[#This Row],[%Ash]]&gt;INDEX(Ashmax,MATCH(Table4[[#This Row],[SKU]],FG,0)),1,0)))</f>
        <v>0</v>
      </c>
      <c r="BH80" s="231" t="str">
        <f>IF(INDEX(Absmin,MATCH(Table4[[#This Row],[SKU]],FG,0))="-","-",IF(Table4[[#This Row],[%Absorption]]="-","-",IF(Table4[[#This Row],[%Absorption]]&lt;INDEX(Absmin,MATCH(Table4[[#This Row],[SKU]],FG,0)),1,0)))</f>
        <v>-</v>
      </c>
      <c r="BI80" s="231" t="str">
        <f>IF(INDEX(Absmin,MATCH(Table4[[#This Row],[SKU]],FG,0))="-","-",IF(Table4[[#This Row],[%Absorption]]="-","-",IF(Table4[[#This Row],[%Absorption]]&gt;INDEX(Absmax,MATCH(Table4[[#This Row],[SKU]],FG,0)),1,0)))</f>
        <v>-</v>
      </c>
      <c r="BJ80" s="231">
        <f>IF(INDEX(WGmin,MATCH(Table4[[#This Row],[SKU]],FG,0))="-","-",IF(Table4[[#This Row],[%Wet Gluten]]="-","-",IF(Table4[[#This Row],[%Wet Gluten]]&lt;INDEX(WGmin,MATCH(Table4[[#This Row],[SKU]],FG,0)),1,0)))</f>
        <v>0</v>
      </c>
      <c r="BK80" s="231">
        <f>IF(INDEX(WGmin,MATCH(Table4[[#This Row],[SKU]],FG,0))="-","-",IF(Table4[[#This Row],[%Wet Gluten]]="-","-",IF(Table4[[#This Row],[%Wet Gluten]]&gt;INDEX(WGmax,MATCH(Table4[[#This Row],[SKU]],FG,0)),1,0)))</f>
        <v>0</v>
      </c>
    </row>
    <row r="81" spans="1:63" x14ac:dyDescent="0.35">
      <c r="A81" s="243">
        <v>46023</v>
      </c>
      <c r="B81" s="244">
        <v>46027</v>
      </c>
      <c r="C81" s="244">
        <v>46378</v>
      </c>
      <c r="D81" s="244" t="s">
        <v>128</v>
      </c>
      <c r="E81" s="245">
        <v>0.625</v>
      </c>
      <c r="F81" s="246">
        <v>2</v>
      </c>
      <c r="G81" s="259" t="s">
        <v>140</v>
      </c>
      <c r="H81" s="247">
        <v>4.1999999999999997E-3</v>
      </c>
      <c r="I81" s="248" t="s">
        <v>165</v>
      </c>
      <c r="J81" s="248" t="s">
        <v>165</v>
      </c>
      <c r="K81" s="248" t="s">
        <v>165</v>
      </c>
      <c r="L81" s="248" t="s">
        <v>163</v>
      </c>
      <c r="M81" s="248" t="s">
        <v>161</v>
      </c>
      <c r="N81" s="249">
        <v>11.03</v>
      </c>
      <c r="O81" s="249" t="s">
        <v>163</v>
      </c>
      <c r="P81" s="249" t="s">
        <v>163</v>
      </c>
      <c r="Q81" s="249" t="s">
        <v>163</v>
      </c>
      <c r="R81" s="249" t="s">
        <v>163</v>
      </c>
      <c r="S81" s="250" t="s">
        <v>163</v>
      </c>
      <c r="T81" s="249" t="s">
        <v>163</v>
      </c>
      <c r="U81" s="249" t="s">
        <v>163</v>
      </c>
      <c r="V81" s="251" t="s">
        <v>163</v>
      </c>
      <c r="W81" s="252" t="s">
        <v>165</v>
      </c>
      <c r="X81" s="252" t="s">
        <v>165</v>
      </c>
      <c r="Y81" s="248" t="s">
        <v>163</v>
      </c>
      <c r="Z81" s="231">
        <f>IF(Table4[[#This Row],[ Bran Content]]="-","-",IF(H81&gt;0.02,0,2))</f>
        <v>2</v>
      </c>
      <c r="AA81" s="231">
        <f>IF(Table4[[#This Row],[Sieve Test]]="-","-",IF(Table4[[#This Row],[Sieve Test]]="P",1,0))</f>
        <v>1</v>
      </c>
      <c r="AB81" s="231">
        <f>IF(Table4[[#This Row],[Odor]]="-","-",IF(Table4[[#This Row],[Odor]]="P",2,0))</f>
        <v>2</v>
      </c>
      <c r="AC81" s="231">
        <f>IF(INDEX(MCmin,MATCH(Table4[[#This Row],[SKU]],FG,0))="-","-",IF(Table4[[#This Row],[%MC]]="-","-",IF(Table4[[#This Row],[%MC]]&lt;INDEX(MCmin,MATCH(Table4[[#This Row],[SKU]],FG,0)),0,IF(Table4[[#This Row],[%MC]]&gt;INDEX(MCmax,MATCH(Table4[[#This Row],[SKU]],FG,0)),0,1))))</f>
        <v>1</v>
      </c>
      <c r="AD81" s="231" t="str">
        <f>IF(INDEX(Protmin,MATCH(Table4[[#This Row],[SKU]],FG,0))="-","-",IF(Table4[[#This Row],[%Protein]]="-","-",IF(Table4[[#This Row],[%Protein]]&lt;INDEX(Protmin,MATCH(Table4[[#This Row],[SKU]],FG,0)),0,IF(Table4[[#This Row],[%Protein]]&gt;INDEX(Protmax,MATCH(Table4[[#This Row],[SKU]],FG,0)),0,1))))</f>
        <v>-</v>
      </c>
      <c r="AE81" s="231" t="str">
        <f>IF(INDEX(Ashmin,MATCH(Table4[[#This Row],[SKU]],FG,0))="-","-",IF(Table4[[#This Row],[%Ash]]="-","-",IF(Table4[[#This Row],[%Ash]]&lt;INDEX(Ashmin,MATCH(Table4[[#This Row],[SKU]],FG,0)),0,IF(Table4[[#This Row],[%Ash]]&gt;INDEX(Ashmax,MATCH(Table4[[#This Row],[SKU]],FG,0)),0,2))))</f>
        <v>-</v>
      </c>
      <c r="AF81" s="231" t="str">
        <f>IF(INDEX(Absmin,MATCH(Table4[[#This Row],[SKU]],FG,0))="-","-",IF(Table4[[#This Row],[%Absorption]]="-","-",IF(Table4[[#This Row],[%Absorption]]&lt;INDEX(Absmin,MATCH(Table4[[#This Row],[SKU]],FG,0)),0,IF(Table4[[#This Row],[%Absorption]]&gt;INDEX(Absmax,MATCH(Table4[[#This Row],[SKU]],FG,0)),0,2))))</f>
        <v>-</v>
      </c>
      <c r="AG81" s="231" t="str">
        <f>IF(INDEX(Extmin,MATCH(Table4[[#This Row],[SKU]],FG,0))="-","-",IF(Table4[[#This Row],[%Extensibility]]="-","-",IF(Table4[[#This Row],[%Extensibility]]&lt;INDEX(Extmin,MATCH(Table4[[#This Row],[SKU]],FG,0)),0,IF(Table4[[#This Row],[%Extensibility]]&gt;INDEX(Extmax,MATCH(Table4[[#This Row],[SKU]],FG,0)),0,1))))</f>
        <v>-</v>
      </c>
      <c r="AH81" s="231" t="str">
        <f>IF(INDEX(Resmin,MATCH(Table4[[#This Row],[SKU]],FG,0))="-","-",IF(Table4[[#This Row],[Resistance, max]]="-","-",IF(Table4[[#This Row],[Resistance, max]]&lt;INDEX(Resmin,MATCH(Table4[[#This Row],[SKU]],FG,0)),0,IF(Table4[[#This Row],[Resistance, max]]&gt;INDEX(Resmax,MATCH(Table4[[#This Row],[SKU]],FG,0)),0,1))))</f>
        <v>-</v>
      </c>
      <c r="AI81" s="231" t="str">
        <f>IF(INDEX(WGmin,MATCH(Table4[[#This Row],[SKU]],FG,0))="-","-",IF(Table4[[#This Row],[%Wet Gluten]]="-","-",IF(Table4[[#This Row],[%Wet Gluten]]&lt;INDEX(WGmin,MATCH(Table4[[#This Row],[SKU]],FG,0)),0,IF(Table4[[#This Row],[%Wet Gluten]]&gt;INDEX(WGmax,MATCH(Table4[[#This Row],[SKU]],FG,0)),0,2))))</f>
        <v>-</v>
      </c>
      <c r="AJ81" s="232" t="str">
        <f>IF(Table4[[#This Row],[FN, s]]="-","-",IF(R81&lt;301,1,0))</f>
        <v>-</v>
      </c>
      <c r="AK81" s="233">
        <f>SUM(Table4[[#This Row],[ QI Bran Content]:[QI FN]])</f>
        <v>6</v>
      </c>
      <c r="AL81" s="232">
        <f t="shared" si="6"/>
        <v>6</v>
      </c>
      <c r="AM81" s="232" t="str">
        <f>IF(INDEX(WGmin,MATCH(Table4[[#This Row],[SKU]],FG,0))="-","-",IF(Table4[[#This Row],[Gross Weight]]="-","-",IF(Table4[[#This Row],[Gross Weight]]&lt;INDEX(GWmin,MATCH(Table4[[#This Row],[SKU]],FG,0)),0,IF(Table4[[#This Row],[Gross Weight]]&gt;INDEX(GWmax,MATCH(Table4[[#This Row],[SKU]],FG,0)),0,1))))</f>
        <v>-</v>
      </c>
      <c r="AN81" s="232">
        <f>IF(Table4[[#This Row],[Sealing Integrity]]="-","-",IF(Table4[[#This Row],[Sealing Integrity]]="P",1,0))</f>
        <v>1</v>
      </c>
      <c r="AO81" s="232">
        <f>IF(Table4[[#This Row],[Coding]]="-","-",IF(Table4[[#This Row],[Coding]]="P",1,0))</f>
        <v>1</v>
      </c>
      <c r="AP81" s="233">
        <f>SUM(Table4[[#This Row],[QI Weight]:[QI Code]])</f>
        <v>2</v>
      </c>
      <c r="AQ81" s="233">
        <f>COUNT(Table4[[#This Row],[QI Weight]:[QI Code]])</f>
        <v>2</v>
      </c>
      <c r="AR81" s="261">
        <f>Table4[[#This Row],[TA]]+Table4[[#This Row],[TA2]]</f>
        <v>8</v>
      </c>
      <c r="AS81" s="261">
        <f>Table4[[#This Row],[TP]]+Table4[[#This Row],[TP2]]</f>
        <v>8</v>
      </c>
      <c r="BD81" s="265">
        <f>IF(INDEX(MCmin,MATCH(Table4[[#This Row],[SKU]],FG,0))="-","-",IF(Table4[[#This Row],[%MC]]="-","-",IF(Table4[[#This Row],[%MC]]&lt;INDEX(MCmin,MATCH(Table4[[#This Row],[SKU]],FG,0)),1,0)))</f>
        <v>0</v>
      </c>
      <c r="BE81" s="265">
        <f>IF(INDEX(MCmin,MATCH(Table4[[#This Row],[SKU]],FG,0))="-","-",IF(Table4[[#This Row],[%MC]]="-","-",IF(Table4[[#This Row],[%MC]]&gt;INDEX(MCmax,MATCH(Table4[[#This Row],[SKU]],FG,0)),1,0)))</f>
        <v>0</v>
      </c>
      <c r="BF81" s="231" t="str">
        <f>IF(INDEX(Ashmin,MATCH(Table4[[#This Row],[SKU]],FG,0))="-","-",IF(Table4[[#This Row],[%Ash]]="-","-",IF(Table4[[#This Row],[%Ash]]&lt;INDEX(Ashmin,MATCH(Table4[[#This Row],[SKU]],FG,0)),1,0)))</f>
        <v>-</v>
      </c>
      <c r="BG81" s="231" t="str">
        <f>IF(INDEX(Ashmin,MATCH(Table4[[#This Row],[SKU]],FG,0))="-","-",IF(Table4[[#This Row],[%Ash]]="-","-",IF(Table4[[#This Row],[%Ash]]&gt;INDEX(Ashmax,MATCH(Table4[[#This Row],[SKU]],FG,0)),1,0)))</f>
        <v>-</v>
      </c>
      <c r="BH81" s="231" t="str">
        <f>IF(INDEX(Absmin,MATCH(Table4[[#This Row],[SKU]],FG,0))="-","-",IF(Table4[[#This Row],[%Absorption]]="-","-",IF(Table4[[#This Row],[%Absorption]]&lt;INDEX(Absmin,MATCH(Table4[[#This Row],[SKU]],FG,0)),1,0)))</f>
        <v>-</v>
      </c>
      <c r="BI81" s="231" t="str">
        <f>IF(INDEX(Absmin,MATCH(Table4[[#This Row],[SKU]],FG,0))="-","-",IF(Table4[[#This Row],[%Absorption]]="-","-",IF(Table4[[#This Row],[%Absorption]]&gt;INDEX(Absmax,MATCH(Table4[[#This Row],[SKU]],FG,0)),1,0)))</f>
        <v>-</v>
      </c>
      <c r="BJ81" s="231" t="str">
        <f>IF(INDEX(WGmin,MATCH(Table4[[#This Row],[SKU]],FG,0))="-","-",IF(Table4[[#This Row],[%Wet Gluten]]="-","-",IF(Table4[[#This Row],[%Wet Gluten]]&lt;INDEX(WGmin,MATCH(Table4[[#This Row],[SKU]],FG,0)),1,0)))</f>
        <v>-</v>
      </c>
      <c r="BK81" s="231" t="str">
        <f>IF(INDEX(WGmin,MATCH(Table4[[#This Row],[SKU]],FG,0))="-","-",IF(Table4[[#This Row],[%Wet Gluten]]="-","-",IF(Table4[[#This Row],[%Wet Gluten]]&gt;INDEX(WGmax,MATCH(Table4[[#This Row],[SKU]],FG,0)),1,0)))</f>
        <v>-</v>
      </c>
    </row>
    <row r="82" spans="1:63" x14ac:dyDescent="0.35">
      <c r="A82" s="243">
        <v>46023</v>
      </c>
      <c r="B82" s="244">
        <v>46027</v>
      </c>
      <c r="C82" s="244">
        <v>46378</v>
      </c>
      <c r="D82" s="244" t="s">
        <v>128</v>
      </c>
      <c r="E82" s="245">
        <v>0.66666666666666696</v>
      </c>
      <c r="F82" s="246">
        <v>2</v>
      </c>
      <c r="G82" s="259" t="s">
        <v>140</v>
      </c>
      <c r="H82" s="247">
        <v>3.5000000000000001E-3</v>
      </c>
      <c r="I82" s="248" t="s">
        <v>165</v>
      </c>
      <c r="J82" s="248" t="s">
        <v>165</v>
      </c>
      <c r="K82" s="248" t="s">
        <v>165</v>
      </c>
      <c r="L82" s="248" t="s">
        <v>163</v>
      </c>
      <c r="M82" s="248" t="s">
        <v>161</v>
      </c>
      <c r="N82" s="249">
        <v>11.03</v>
      </c>
      <c r="O82" s="249" t="s">
        <v>163</v>
      </c>
      <c r="P82" s="249" t="s">
        <v>163</v>
      </c>
      <c r="Q82" s="249" t="s">
        <v>163</v>
      </c>
      <c r="R82" s="249" t="s">
        <v>163</v>
      </c>
      <c r="S82" s="250" t="s">
        <v>163</v>
      </c>
      <c r="T82" s="249" t="s">
        <v>163</v>
      </c>
      <c r="U82" s="249" t="s">
        <v>163</v>
      </c>
      <c r="V82" s="251" t="s">
        <v>163</v>
      </c>
      <c r="W82" s="252" t="s">
        <v>165</v>
      </c>
      <c r="X82" s="252" t="s">
        <v>165</v>
      </c>
      <c r="Y82" s="248" t="s">
        <v>163</v>
      </c>
      <c r="Z82" s="231">
        <f>IF(Table4[[#This Row],[ Bran Content]]="-","-",IF(H82&gt;0.02,0,2))</f>
        <v>2</v>
      </c>
      <c r="AA82" s="231">
        <f>IF(Table4[[#This Row],[Sieve Test]]="-","-",IF(Table4[[#This Row],[Sieve Test]]="P",1,0))</f>
        <v>1</v>
      </c>
      <c r="AB82" s="231">
        <f>IF(Table4[[#This Row],[Odor]]="-","-",IF(Table4[[#This Row],[Odor]]="P",2,0))</f>
        <v>2</v>
      </c>
      <c r="AC82" s="231">
        <f>IF(INDEX(MCmin,MATCH(Table4[[#This Row],[SKU]],FG,0))="-","-",IF(Table4[[#This Row],[%MC]]="-","-",IF(Table4[[#This Row],[%MC]]&lt;INDEX(MCmin,MATCH(Table4[[#This Row],[SKU]],FG,0)),0,IF(Table4[[#This Row],[%MC]]&gt;INDEX(MCmax,MATCH(Table4[[#This Row],[SKU]],FG,0)),0,1))))</f>
        <v>1</v>
      </c>
      <c r="AD82" s="231" t="str">
        <f>IF(INDEX(Protmin,MATCH(Table4[[#This Row],[SKU]],FG,0))="-","-",IF(Table4[[#This Row],[%Protein]]="-","-",IF(Table4[[#This Row],[%Protein]]&lt;INDEX(Protmin,MATCH(Table4[[#This Row],[SKU]],FG,0)),0,IF(Table4[[#This Row],[%Protein]]&gt;INDEX(Protmax,MATCH(Table4[[#This Row],[SKU]],FG,0)),0,1))))</f>
        <v>-</v>
      </c>
      <c r="AE82" s="231" t="str">
        <f>IF(INDEX(Ashmin,MATCH(Table4[[#This Row],[SKU]],FG,0))="-","-",IF(Table4[[#This Row],[%Ash]]="-","-",IF(Table4[[#This Row],[%Ash]]&lt;INDEX(Ashmin,MATCH(Table4[[#This Row],[SKU]],FG,0)),0,IF(Table4[[#This Row],[%Ash]]&gt;INDEX(Ashmax,MATCH(Table4[[#This Row],[SKU]],FG,0)),0,2))))</f>
        <v>-</v>
      </c>
      <c r="AF82" s="231" t="str">
        <f>IF(INDEX(Absmin,MATCH(Table4[[#This Row],[SKU]],FG,0))="-","-",IF(Table4[[#This Row],[%Absorption]]="-","-",IF(Table4[[#This Row],[%Absorption]]&lt;INDEX(Absmin,MATCH(Table4[[#This Row],[SKU]],FG,0)),0,IF(Table4[[#This Row],[%Absorption]]&gt;INDEX(Absmax,MATCH(Table4[[#This Row],[SKU]],FG,0)),0,2))))</f>
        <v>-</v>
      </c>
      <c r="AG82" s="231" t="str">
        <f>IF(INDEX(Extmin,MATCH(Table4[[#This Row],[SKU]],FG,0))="-","-",IF(Table4[[#This Row],[%Extensibility]]="-","-",IF(Table4[[#This Row],[%Extensibility]]&lt;INDEX(Extmin,MATCH(Table4[[#This Row],[SKU]],FG,0)),0,IF(Table4[[#This Row],[%Extensibility]]&gt;INDEX(Extmax,MATCH(Table4[[#This Row],[SKU]],FG,0)),0,1))))</f>
        <v>-</v>
      </c>
      <c r="AH82" s="231" t="str">
        <f>IF(INDEX(Resmin,MATCH(Table4[[#This Row],[SKU]],FG,0))="-","-",IF(Table4[[#This Row],[Resistance, max]]="-","-",IF(Table4[[#This Row],[Resistance, max]]&lt;INDEX(Resmin,MATCH(Table4[[#This Row],[SKU]],FG,0)),0,IF(Table4[[#This Row],[Resistance, max]]&gt;INDEX(Resmax,MATCH(Table4[[#This Row],[SKU]],FG,0)),0,1))))</f>
        <v>-</v>
      </c>
      <c r="AI82" s="231" t="str">
        <f>IF(INDEX(WGmin,MATCH(Table4[[#This Row],[SKU]],FG,0))="-","-",IF(Table4[[#This Row],[%Wet Gluten]]="-","-",IF(Table4[[#This Row],[%Wet Gluten]]&lt;INDEX(WGmin,MATCH(Table4[[#This Row],[SKU]],FG,0)),0,IF(Table4[[#This Row],[%Wet Gluten]]&gt;INDEX(WGmax,MATCH(Table4[[#This Row],[SKU]],FG,0)),0,2))))</f>
        <v>-</v>
      </c>
      <c r="AJ82" s="232" t="str">
        <f>IF(Table4[[#This Row],[FN, s]]="-","-",IF(R82&lt;301,1,0))</f>
        <v>-</v>
      </c>
      <c r="AK82" s="233">
        <f>SUM(Table4[[#This Row],[ QI Bran Content]:[QI FN]])</f>
        <v>6</v>
      </c>
      <c r="AL82" s="232">
        <f t="shared" si="6"/>
        <v>6</v>
      </c>
      <c r="AM82" s="232" t="str">
        <f>IF(INDEX(WGmin,MATCH(Table4[[#This Row],[SKU]],FG,0))="-","-",IF(Table4[[#This Row],[Gross Weight]]="-","-",IF(Table4[[#This Row],[Gross Weight]]&lt;INDEX(GWmin,MATCH(Table4[[#This Row],[SKU]],FG,0)),0,IF(Table4[[#This Row],[Gross Weight]]&gt;INDEX(GWmax,MATCH(Table4[[#This Row],[SKU]],FG,0)),0,1))))</f>
        <v>-</v>
      </c>
      <c r="AN82" s="232">
        <f>IF(Table4[[#This Row],[Sealing Integrity]]="-","-",IF(Table4[[#This Row],[Sealing Integrity]]="P",1,0))</f>
        <v>1</v>
      </c>
      <c r="AO82" s="232">
        <f>IF(Table4[[#This Row],[Coding]]="-","-",IF(Table4[[#This Row],[Coding]]="P",1,0))</f>
        <v>1</v>
      </c>
      <c r="AP82" s="233">
        <f>SUM(Table4[[#This Row],[QI Weight]:[QI Code]])</f>
        <v>2</v>
      </c>
      <c r="AQ82" s="233">
        <f>COUNT(Table4[[#This Row],[QI Weight]:[QI Code]])</f>
        <v>2</v>
      </c>
      <c r="AR82" s="261">
        <f>Table4[[#This Row],[TA]]+Table4[[#This Row],[TA2]]</f>
        <v>8</v>
      </c>
      <c r="AS82" s="261">
        <f>Table4[[#This Row],[TP]]+Table4[[#This Row],[TP2]]</f>
        <v>8</v>
      </c>
      <c r="BD82" s="265">
        <f>IF(INDEX(MCmin,MATCH(Table4[[#This Row],[SKU]],FG,0))="-","-",IF(Table4[[#This Row],[%MC]]="-","-",IF(Table4[[#This Row],[%MC]]&lt;INDEX(MCmin,MATCH(Table4[[#This Row],[SKU]],FG,0)),1,0)))</f>
        <v>0</v>
      </c>
      <c r="BE82" s="265">
        <f>IF(INDEX(MCmin,MATCH(Table4[[#This Row],[SKU]],FG,0))="-","-",IF(Table4[[#This Row],[%MC]]="-","-",IF(Table4[[#This Row],[%MC]]&gt;INDEX(MCmax,MATCH(Table4[[#This Row],[SKU]],FG,0)),1,0)))</f>
        <v>0</v>
      </c>
      <c r="BF82" s="231" t="str">
        <f>IF(INDEX(Ashmin,MATCH(Table4[[#This Row],[SKU]],FG,0))="-","-",IF(Table4[[#This Row],[%Ash]]="-","-",IF(Table4[[#This Row],[%Ash]]&lt;INDEX(Ashmin,MATCH(Table4[[#This Row],[SKU]],FG,0)),1,0)))</f>
        <v>-</v>
      </c>
      <c r="BG82" s="231" t="str">
        <f>IF(INDEX(Ashmin,MATCH(Table4[[#This Row],[SKU]],FG,0))="-","-",IF(Table4[[#This Row],[%Ash]]="-","-",IF(Table4[[#This Row],[%Ash]]&gt;INDEX(Ashmax,MATCH(Table4[[#This Row],[SKU]],FG,0)),1,0)))</f>
        <v>-</v>
      </c>
      <c r="BH82" s="231" t="str">
        <f>IF(INDEX(Absmin,MATCH(Table4[[#This Row],[SKU]],FG,0))="-","-",IF(Table4[[#This Row],[%Absorption]]="-","-",IF(Table4[[#This Row],[%Absorption]]&lt;INDEX(Absmin,MATCH(Table4[[#This Row],[SKU]],FG,0)),1,0)))</f>
        <v>-</v>
      </c>
      <c r="BI82" s="231" t="str">
        <f>IF(INDEX(Absmin,MATCH(Table4[[#This Row],[SKU]],FG,0))="-","-",IF(Table4[[#This Row],[%Absorption]]="-","-",IF(Table4[[#This Row],[%Absorption]]&gt;INDEX(Absmax,MATCH(Table4[[#This Row],[SKU]],FG,0)),1,0)))</f>
        <v>-</v>
      </c>
      <c r="BJ82" s="231" t="str">
        <f>IF(INDEX(WGmin,MATCH(Table4[[#This Row],[SKU]],FG,0))="-","-",IF(Table4[[#This Row],[%Wet Gluten]]="-","-",IF(Table4[[#This Row],[%Wet Gluten]]&lt;INDEX(WGmin,MATCH(Table4[[#This Row],[SKU]],FG,0)),1,0)))</f>
        <v>-</v>
      </c>
      <c r="BK82" s="231" t="str">
        <f>IF(INDEX(WGmin,MATCH(Table4[[#This Row],[SKU]],FG,0))="-","-",IF(Table4[[#This Row],[%Wet Gluten]]="-","-",IF(Table4[[#This Row],[%Wet Gluten]]&gt;INDEX(WGmax,MATCH(Table4[[#This Row],[SKU]],FG,0)),1,0)))</f>
        <v>-</v>
      </c>
    </row>
    <row r="83" spans="1:63" x14ac:dyDescent="0.35">
      <c r="A83" s="243">
        <v>46023</v>
      </c>
      <c r="B83" s="244">
        <v>46027</v>
      </c>
      <c r="C83" s="244">
        <v>46378</v>
      </c>
      <c r="D83" s="244" t="s">
        <v>128</v>
      </c>
      <c r="E83" s="245">
        <v>0.70833333333333304</v>
      </c>
      <c r="F83" s="246">
        <v>2</v>
      </c>
      <c r="G83" s="259" t="s">
        <v>140</v>
      </c>
      <c r="H83" s="247">
        <v>3.8E-3</v>
      </c>
      <c r="I83" s="248" t="s">
        <v>165</v>
      </c>
      <c r="J83" s="248" t="s">
        <v>165</v>
      </c>
      <c r="K83" s="248" t="s">
        <v>165</v>
      </c>
      <c r="L83" s="248" t="s">
        <v>163</v>
      </c>
      <c r="M83" s="248" t="s">
        <v>161</v>
      </c>
      <c r="N83" s="249">
        <v>11.25</v>
      </c>
      <c r="O83" s="249" t="s">
        <v>163</v>
      </c>
      <c r="P83" s="249" t="s">
        <v>163</v>
      </c>
      <c r="Q83" s="249" t="s">
        <v>163</v>
      </c>
      <c r="R83" s="249" t="s">
        <v>163</v>
      </c>
      <c r="S83" s="250" t="s">
        <v>163</v>
      </c>
      <c r="T83" s="249" t="s">
        <v>163</v>
      </c>
      <c r="U83" s="249" t="s">
        <v>163</v>
      </c>
      <c r="V83" s="251" t="s">
        <v>163</v>
      </c>
      <c r="W83" s="252" t="s">
        <v>165</v>
      </c>
      <c r="X83" s="252" t="s">
        <v>165</v>
      </c>
      <c r="Y83" s="248" t="s">
        <v>163</v>
      </c>
      <c r="Z83" s="231">
        <f>IF(Table4[[#This Row],[ Bran Content]]="-","-",IF(H83&gt;0.02,0,2))</f>
        <v>2</v>
      </c>
      <c r="AA83" s="231">
        <f>IF(Table4[[#This Row],[Sieve Test]]="-","-",IF(Table4[[#This Row],[Sieve Test]]="P",1,0))</f>
        <v>1</v>
      </c>
      <c r="AB83" s="231">
        <f>IF(Table4[[#This Row],[Odor]]="-","-",IF(Table4[[#This Row],[Odor]]="P",2,0))</f>
        <v>2</v>
      </c>
      <c r="AC83" s="231">
        <f>IF(INDEX(MCmin,MATCH(Table4[[#This Row],[SKU]],FG,0))="-","-",IF(Table4[[#This Row],[%MC]]="-","-",IF(Table4[[#This Row],[%MC]]&lt;INDEX(MCmin,MATCH(Table4[[#This Row],[SKU]],FG,0)),0,IF(Table4[[#This Row],[%MC]]&gt;INDEX(MCmax,MATCH(Table4[[#This Row],[SKU]],FG,0)),0,1))))</f>
        <v>1</v>
      </c>
      <c r="AD83" s="231" t="str">
        <f>IF(INDEX(Protmin,MATCH(Table4[[#This Row],[SKU]],FG,0))="-","-",IF(Table4[[#This Row],[%Protein]]="-","-",IF(Table4[[#This Row],[%Protein]]&lt;INDEX(Protmin,MATCH(Table4[[#This Row],[SKU]],FG,0)),0,IF(Table4[[#This Row],[%Protein]]&gt;INDEX(Protmax,MATCH(Table4[[#This Row],[SKU]],FG,0)),0,1))))</f>
        <v>-</v>
      </c>
      <c r="AE83" s="231" t="str">
        <f>IF(INDEX(Ashmin,MATCH(Table4[[#This Row],[SKU]],FG,0))="-","-",IF(Table4[[#This Row],[%Ash]]="-","-",IF(Table4[[#This Row],[%Ash]]&lt;INDEX(Ashmin,MATCH(Table4[[#This Row],[SKU]],FG,0)),0,IF(Table4[[#This Row],[%Ash]]&gt;INDEX(Ashmax,MATCH(Table4[[#This Row],[SKU]],FG,0)),0,2))))</f>
        <v>-</v>
      </c>
      <c r="AF83" s="231" t="str">
        <f>IF(INDEX(Absmin,MATCH(Table4[[#This Row],[SKU]],FG,0))="-","-",IF(Table4[[#This Row],[%Absorption]]="-","-",IF(Table4[[#This Row],[%Absorption]]&lt;INDEX(Absmin,MATCH(Table4[[#This Row],[SKU]],FG,0)),0,IF(Table4[[#This Row],[%Absorption]]&gt;INDEX(Absmax,MATCH(Table4[[#This Row],[SKU]],FG,0)),0,2))))</f>
        <v>-</v>
      </c>
      <c r="AG83" s="231" t="str">
        <f>IF(INDEX(Extmin,MATCH(Table4[[#This Row],[SKU]],FG,0))="-","-",IF(Table4[[#This Row],[%Extensibility]]="-","-",IF(Table4[[#This Row],[%Extensibility]]&lt;INDEX(Extmin,MATCH(Table4[[#This Row],[SKU]],FG,0)),0,IF(Table4[[#This Row],[%Extensibility]]&gt;INDEX(Extmax,MATCH(Table4[[#This Row],[SKU]],FG,0)),0,1))))</f>
        <v>-</v>
      </c>
      <c r="AH83" s="231" t="str">
        <f>IF(INDEX(Resmin,MATCH(Table4[[#This Row],[SKU]],FG,0))="-","-",IF(Table4[[#This Row],[Resistance, max]]="-","-",IF(Table4[[#This Row],[Resistance, max]]&lt;INDEX(Resmin,MATCH(Table4[[#This Row],[SKU]],FG,0)),0,IF(Table4[[#This Row],[Resistance, max]]&gt;INDEX(Resmax,MATCH(Table4[[#This Row],[SKU]],FG,0)),0,1))))</f>
        <v>-</v>
      </c>
      <c r="AI83" s="231" t="str">
        <f>IF(INDEX(WGmin,MATCH(Table4[[#This Row],[SKU]],FG,0))="-","-",IF(Table4[[#This Row],[%Wet Gluten]]="-","-",IF(Table4[[#This Row],[%Wet Gluten]]&lt;INDEX(WGmin,MATCH(Table4[[#This Row],[SKU]],FG,0)),0,IF(Table4[[#This Row],[%Wet Gluten]]&gt;INDEX(WGmax,MATCH(Table4[[#This Row],[SKU]],FG,0)),0,2))))</f>
        <v>-</v>
      </c>
      <c r="AJ83" s="232" t="str">
        <f>IF(Table4[[#This Row],[FN, s]]="-","-",IF(R83&lt;301,1,0))</f>
        <v>-</v>
      </c>
      <c r="AK83" s="233">
        <f>SUM(Table4[[#This Row],[ QI Bran Content]:[QI FN]])</f>
        <v>6</v>
      </c>
      <c r="AL83" s="232">
        <f t="shared" si="6"/>
        <v>6</v>
      </c>
      <c r="AM83" s="232" t="str">
        <f>IF(INDEX(WGmin,MATCH(Table4[[#This Row],[SKU]],FG,0))="-","-",IF(Table4[[#This Row],[Gross Weight]]="-","-",IF(Table4[[#This Row],[Gross Weight]]&lt;INDEX(GWmin,MATCH(Table4[[#This Row],[SKU]],FG,0)),0,IF(Table4[[#This Row],[Gross Weight]]&gt;INDEX(GWmax,MATCH(Table4[[#This Row],[SKU]],FG,0)),0,1))))</f>
        <v>-</v>
      </c>
      <c r="AN83" s="232">
        <f>IF(Table4[[#This Row],[Sealing Integrity]]="-","-",IF(Table4[[#This Row],[Sealing Integrity]]="P",1,0))</f>
        <v>1</v>
      </c>
      <c r="AO83" s="232">
        <f>IF(Table4[[#This Row],[Coding]]="-","-",IF(Table4[[#This Row],[Coding]]="P",1,0))</f>
        <v>1</v>
      </c>
      <c r="AP83" s="233">
        <f>SUM(Table4[[#This Row],[QI Weight]:[QI Code]])</f>
        <v>2</v>
      </c>
      <c r="AQ83" s="233">
        <f>COUNT(Table4[[#This Row],[QI Weight]:[QI Code]])</f>
        <v>2</v>
      </c>
      <c r="AR83" s="261">
        <f>Table4[[#This Row],[TA]]+Table4[[#This Row],[TA2]]</f>
        <v>8</v>
      </c>
      <c r="AS83" s="261">
        <f>Table4[[#This Row],[TP]]+Table4[[#This Row],[TP2]]</f>
        <v>8</v>
      </c>
      <c r="BD83" s="265">
        <f>IF(INDEX(MCmin,MATCH(Table4[[#This Row],[SKU]],FG,0))="-","-",IF(Table4[[#This Row],[%MC]]="-","-",IF(Table4[[#This Row],[%MC]]&lt;INDEX(MCmin,MATCH(Table4[[#This Row],[SKU]],FG,0)),1,0)))</f>
        <v>0</v>
      </c>
      <c r="BE83" s="265">
        <f>IF(INDEX(MCmin,MATCH(Table4[[#This Row],[SKU]],FG,0))="-","-",IF(Table4[[#This Row],[%MC]]="-","-",IF(Table4[[#This Row],[%MC]]&gt;INDEX(MCmax,MATCH(Table4[[#This Row],[SKU]],FG,0)),1,0)))</f>
        <v>0</v>
      </c>
      <c r="BF83" s="231" t="str">
        <f>IF(INDEX(Ashmin,MATCH(Table4[[#This Row],[SKU]],FG,0))="-","-",IF(Table4[[#This Row],[%Ash]]="-","-",IF(Table4[[#This Row],[%Ash]]&lt;INDEX(Ashmin,MATCH(Table4[[#This Row],[SKU]],FG,0)),1,0)))</f>
        <v>-</v>
      </c>
      <c r="BG83" s="231" t="str">
        <f>IF(INDEX(Ashmin,MATCH(Table4[[#This Row],[SKU]],FG,0))="-","-",IF(Table4[[#This Row],[%Ash]]="-","-",IF(Table4[[#This Row],[%Ash]]&gt;INDEX(Ashmax,MATCH(Table4[[#This Row],[SKU]],FG,0)),1,0)))</f>
        <v>-</v>
      </c>
      <c r="BH83" s="231" t="str">
        <f>IF(INDEX(Absmin,MATCH(Table4[[#This Row],[SKU]],FG,0))="-","-",IF(Table4[[#This Row],[%Absorption]]="-","-",IF(Table4[[#This Row],[%Absorption]]&lt;INDEX(Absmin,MATCH(Table4[[#This Row],[SKU]],FG,0)),1,0)))</f>
        <v>-</v>
      </c>
      <c r="BI83" s="231" t="str">
        <f>IF(INDEX(Absmin,MATCH(Table4[[#This Row],[SKU]],FG,0))="-","-",IF(Table4[[#This Row],[%Absorption]]="-","-",IF(Table4[[#This Row],[%Absorption]]&gt;INDEX(Absmax,MATCH(Table4[[#This Row],[SKU]],FG,0)),1,0)))</f>
        <v>-</v>
      </c>
      <c r="BJ83" s="231" t="str">
        <f>IF(INDEX(WGmin,MATCH(Table4[[#This Row],[SKU]],FG,0))="-","-",IF(Table4[[#This Row],[%Wet Gluten]]="-","-",IF(Table4[[#This Row],[%Wet Gluten]]&lt;INDEX(WGmin,MATCH(Table4[[#This Row],[SKU]],FG,0)),1,0)))</f>
        <v>-</v>
      </c>
      <c r="BK83" s="231" t="str">
        <f>IF(INDEX(WGmin,MATCH(Table4[[#This Row],[SKU]],FG,0))="-","-",IF(Table4[[#This Row],[%Wet Gluten]]="-","-",IF(Table4[[#This Row],[%Wet Gluten]]&gt;INDEX(WGmax,MATCH(Table4[[#This Row],[SKU]],FG,0)),1,0)))</f>
        <v>-</v>
      </c>
    </row>
    <row r="84" spans="1:63" x14ac:dyDescent="0.35">
      <c r="A84" s="243">
        <v>46023</v>
      </c>
      <c r="B84" s="244">
        <v>46027</v>
      </c>
      <c r="C84" s="244">
        <v>46378</v>
      </c>
      <c r="D84" s="244" t="s">
        <v>128</v>
      </c>
      <c r="E84" s="245">
        <v>0.75</v>
      </c>
      <c r="F84" s="246">
        <v>2</v>
      </c>
      <c r="G84" s="259" t="s">
        <v>140</v>
      </c>
      <c r="H84" s="247">
        <v>1E-3</v>
      </c>
      <c r="I84" s="248" t="s">
        <v>165</v>
      </c>
      <c r="J84" s="248" t="s">
        <v>165</v>
      </c>
      <c r="K84" s="248" t="s">
        <v>165</v>
      </c>
      <c r="L84" s="248" t="s">
        <v>163</v>
      </c>
      <c r="M84" s="248" t="s">
        <v>161</v>
      </c>
      <c r="N84" s="249">
        <v>11.34</v>
      </c>
      <c r="O84" s="249" t="s">
        <v>163</v>
      </c>
      <c r="P84" s="249" t="s">
        <v>163</v>
      </c>
      <c r="Q84" s="249" t="s">
        <v>163</v>
      </c>
      <c r="R84" s="249" t="s">
        <v>163</v>
      </c>
      <c r="S84" s="250" t="s">
        <v>163</v>
      </c>
      <c r="T84" s="249" t="s">
        <v>163</v>
      </c>
      <c r="U84" s="249" t="s">
        <v>163</v>
      </c>
      <c r="V84" s="251" t="s">
        <v>163</v>
      </c>
      <c r="W84" s="252" t="s">
        <v>165</v>
      </c>
      <c r="X84" s="252" t="s">
        <v>165</v>
      </c>
      <c r="Y84" s="248" t="s">
        <v>163</v>
      </c>
      <c r="Z84" s="231">
        <f>IF(Table4[[#This Row],[ Bran Content]]="-","-",IF(H84&gt;0.02,0,2))</f>
        <v>2</v>
      </c>
      <c r="AA84" s="231">
        <f>IF(Table4[[#This Row],[Sieve Test]]="-","-",IF(Table4[[#This Row],[Sieve Test]]="P",1,0))</f>
        <v>1</v>
      </c>
      <c r="AB84" s="231">
        <f>IF(Table4[[#This Row],[Odor]]="-","-",IF(Table4[[#This Row],[Odor]]="P",2,0))</f>
        <v>2</v>
      </c>
      <c r="AC84" s="231">
        <f>IF(INDEX(MCmin,MATCH(Table4[[#This Row],[SKU]],FG,0))="-","-",IF(Table4[[#This Row],[%MC]]="-","-",IF(Table4[[#This Row],[%MC]]&lt;INDEX(MCmin,MATCH(Table4[[#This Row],[SKU]],FG,0)),0,IF(Table4[[#This Row],[%MC]]&gt;INDEX(MCmax,MATCH(Table4[[#This Row],[SKU]],FG,0)),0,1))))</f>
        <v>1</v>
      </c>
      <c r="AD84" s="231" t="str">
        <f>IF(INDEX(Protmin,MATCH(Table4[[#This Row],[SKU]],FG,0))="-","-",IF(Table4[[#This Row],[%Protein]]="-","-",IF(Table4[[#This Row],[%Protein]]&lt;INDEX(Protmin,MATCH(Table4[[#This Row],[SKU]],FG,0)),0,IF(Table4[[#This Row],[%Protein]]&gt;INDEX(Protmax,MATCH(Table4[[#This Row],[SKU]],FG,0)),0,1))))</f>
        <v>-</v>
      </c>
      <c r="AE84" s="231" t="str">
        <f>IF(INDEX(Ashmin,MATCH(Table4[[#This Row],[SKU]],FG,0))="-","-",IF(Table4[[#This Row],[%Ash]]="-","-",IF(Table4[[#This Row],[%Ash]]&lt;INDEX(Ashmin,MATCH(Table4[[#This Row],[SKU]],FG,0)),0,IF(Table4[[#This Row],[%Ash]]&gt;INDEX(Ashmax,MATCH(Table4[[#This Row],[SKU]],FG,0)),0,2))))</f>
        <v>-</v>
      </c>
      <c r="AF84" s="231" t="str">
        <f>IF(INDEX(Absmin,MATCH(Table4[[#This Row],[SKU]],FG,0))="-","-",IF(Table4[[#This Row],[%Absorption]]="-","-",IF(Table4[[#This Row],[%Absorption]]&lt;INDEX(Absmin,MATCH(Table4[[#This Row],[SKU]],FG,0)),0,IF(Table4[[#This Row],[%Absorption]]&gt;INDEX(Absmax,MATCH(Table4[[#This Row],[SKU]],FG,0)),0,2))))</f>
        <v>-</v>
      </c>
      <c r="AG84" s="231" t="str">
        <f>IF(INDEX(Extmin,MATCH(Table4[[#This Row],[SKU]],FG,0))="-","-",IF(Table4[[#This Row],[%Extensibility]]="-","-",IF(Table4[[#This Row],[%Extensibility]]&lt;INDEX(Extmin,MATCH(Table4[[#This Row],[SKU]],FG,0)),0,IF(Table4[[#This Row],[%Extensibility]]&gt;INDEX(Extmax,MATCH(Table4[[#This Row],[SKU]],FG,0)),0,1))))</f>
        <v>-</v>
      </c>
      <c r="AH84" s="231" t="str">
        <f>IF(INDEX(Resmin,MATCH(Table4[[#This Row],[SKU]],FG,0))="-","-",IF(Table4[[#This Row],[Resistance, max]]="-","-",IF(Table4[[#This Row],[Resistance, max]]&lt;INDEX(Resmin,MATCH(Table4[[#This Row],[SKU]],FG,0)),0,IF(Table4[[#This Row],[Resistance, max]]&gt;INDEX(Resmax,MATCH(Table4[[#This Row],[SKU]],FG,0)),0,1))))</f>
        <v>-</v>
      </c>
      <c r="AI84" s="231" t="str">
        <f>IF(INDEX(WGmin,MATCH(Table4[[#This Row],[SKU]],FG,0))="-","-",IF(Table4[[#This Row],[%Wet Gluten]]="-","-",IF(Table4[[#This Row],[%Wet Gluten]]&lt;INDEX(WGmin,MATCH(Table4[[#This Row],[SKU]],FG,0)),0,IF(Table4[[#This Row],[%Wet Gluten]]&gt;INDEX(WGmax,MATCH(Table4[[#This Row],[SKU]],FG,0)),0,2))))</f>
        <v>-</v>
      </c>
      <c r="AJ84" s="232" t="str">
        <f>IF(Table4[[#This Row],[FN, s]]="-","-",IF(R84&lt;301,1,0))</f>
        <v>-</v>
      </c>
      <c r="AK84" s="233">
        <f>SUM(Table4[[#This Row],[ QI Bran Content]:[QI FN]])</f>
        <v>6</v>
      </c>
      <c r="AL84" s="232">
        <f t="shared" si="6"/>
        <v>6</v>
      </c>
      <c r="AM84" s="232" t="str">
        <f>IF(INDEX(WGmin,MATCH(Table4[[#This Row],[SKU]],FG,0))="-","-",IF(Table4[[#This Row],[Gross Weight]]="-","-",IF(Table4[[#This Row],[Gross Weight]]&lt;INDEX(GWmin,MATCH(Table4[[#This Row],[SKU]],FG,0)),0,IF(Table4[[#This Row],[Gross Weight]]&gt;INDEX(GWmax,MATCH(Table4[[#This Row],[SKU]],FG,0)),0,1))))</f>
        <v>-</v>
      </c>
      <c r="AN84" s="232">
        <f>IF(Table4[[#This Row],[Sealing Integrity]]="-","-",IF(Table4[[#This Row],[Sealing Integrity]]="P",1,0))</f>
        <v>1</v>
      </c>
      <c r="AO84" s="232">
        <f>IF(Table4[[#This Row],[Coding]]="-","-",IF(Table4[[#This Row],[Coding]]="P",1,0))</f>
        <v>1</v>
      </c>
      <c r="AP84" s="233">
        <f>SUM(Table4[[#This Row],[QI Weight]:[QI Code]])</f>
        <v>2</v>
      </c>
      <c r="AQ84" s="233">
        <f>COUNT(Table4[[#This Row],[QI Weight]:[QI Code]])</f>
        <v>2</v>
      </c>
      <c r="AR84" s="261">
        <f>Table4[[#This Row],[TA]]+Table4[[#This Row],[TA2]]</f>
        <v>8</v>
      </c>
      <c r="AS84" s="261">
        <f>Table4[[#This Row],[TP]]+Table4[[#This Row],[TP2]]</f>
        <v>8</v>
      </c>
      <c r="BD84" s="265">
        <f>IF(INDEX(MCmin,MATCH(Table4[[#This Row],[SKU]],FG,0))="-","-",IF(Table4[[#This Row],[%MC]]="-","-",IF(Table4[[#This Row],[%MC]]&lt;INDEX(MCmin,MATCH(Table4[[#This Row],[SKU]],FG,0)),1,0)))</f>
        <v>0</v>
      </c>
      <c r="BE84" s="265">
        <f>IF(INDEX(MCmin,MATCH(Table4[[#This Row],[SKU]],FG,0))="-","-",IF(Table4[[#This Row],[%MC]]="-","-",IF(Table4[[#This Row],[%MC]]&gt;INDEX(MCmax,MATCH(Table4[[#This Row],[SKU]],FG,0)),1,0)))</f>
        <v>0</v>
      </c>
      <c r="BF84" s="231" t="str">
        <f>IF(INDEX(Ashmin,MATCH(Table4[[#This Row],[SKU]],FG,0))="-","-",IF(Table4[[#This Row],[%Ash]]="-","-",IF(Table4[[#This Row],[%Ash]]&lt;INDEX(Ashmin,MATCH(Table4[[#This Row],[SKU]],FG,0)),1,0)))</f>
        <v>-</v>
      </c>
      <c r="BG84" s="231" t="str">
        <f>IF(INDEX(Ashmin,MATCH(Table4[[#This Row],[SKU]],FG,0))="-","-",IF(Table4[[#This Row],[%Ash]]="-","-",IF(Table4[[#This Row],[%Ash]]&gt;INDEX(Ashmax,MATCH(Table4[[#This Row],[SKU]],FG,0)),1,0)))</f>
        <v>-</v>
      </c>
      <c r="BH84" s="231" t="str">
        <f>IF(INDEX(Absmin,MATCH(Table4[[#This Row],[SKU]],FG,0))="-","-",IF(Table4[[#This Row],[%Absorption]]="-","-",IF(Table4[[#This Row],[%Absorption]]&lt;INDEX(Absmin,MATCH(Table4[[#This Row],[SKU]],FG,0)),1,0)))</f>
        <v>-</v>
      </c>
      <c r="BI84" s="231" t="str">
        <f>IF(INDEX(Absmin,MATCH(Table4[[#This Row],[SKU]],FG,0))="-","-",IF(Table4[[#This Row],[%Absorption]]="-","-",IF(Table4[[#This Row],[%Absorption]]&gt;INDEX(Absmax,MATCH(Table4[[#This Row],[SKU]],FG,0)),1,0)))</f>
        <v>-</v>
      </c>
      <c r="BJ84" s="231" t="str">
        <f>IF(INDEX(WGmin,MATCH(Table4[[#This Row],[SKU]],FG,0))="-","-",IF(Table4[[#This Row],[%Wet Gluten]]="-","-",IF(Table4[[#This Row],[%Wet Gluten]]&lt;INDEX(WGmin,MATCH(Table4[[#This Row],[SKU]],FG,0)),1,0)))</f>
        <v>-</v>
      </c>
      <c r="BK84" s="231" t="str">
        <f>IF(INDEX(WGmin,MATCH(Table4[[#This Row],[SKU]],FG,0))="-","-",IF(Table4[[#This Row],[%Wet Gluten]]="-","-",IF(Table4[[#This Row],[%Wet Gluten]]&gt;INDEX(WGmax,MATCH(Table4[[#This Row],[SKU]],FG,0)),1,0)))</f>
        <v>-</v>
      </c>
    </row>
    <row r="85" spans="1:63" x14ac:dyDescent="0.35">
      <c r="A85" s="243">
        <v>46023</v>
      </c>
      <c r="B85" s="244">
        <v>46027</v>
      </c>
      <c r="C85" s="244">
        <v>46027</v>
      </c>
      <c r="D85" s="244" t="s">
        <v>128</v>
      </c>
      <c r="E85" s="245">
        <v>0.58333333333333337</v>
      </c>
      <c r="F85" s="246" t="s">
        <v>383</v>
      </c>
      <c r="G85" s="259" t="s">
        <v>172</v>
      </c>
      <c r="H85" s="247" t="s">
        <v>163</v>
      </c>
      <c r="I85" s="248" t="s">
        <v>163</v>
      </c>
      <c r="J85" s="248" t="s">
        <v>163</v>
      </c>
      <c r="K85" s="248" t="s">
        <v>163</v>
      </c>
      <c r="L85" s="248" t="s">
        <v>163</v>
      </c>
      <c r="M85" s="248" t="s">
        <v>163</v>
      </c>
      <c r="N85" s="249">
        <v>10.08</v>
      </c>
      <c r="O85" s="249" t="s">
        <v>163</v>
      </c>
      <c r="P85" s="249">
        <v>4.66</v>
      </c>
      <c r="Q85" s="249" t="s">
        <v>163</v>
      </c>
      <c r="R85" s="249" t="s">
        <v>163</v>
      </c>
      <c r="S85" s="250" t="s">
        <v>163</v>
      </c>
      <c r="T85" s="249" t="s">
        <v>163</v>
      </c>
      <c r="U85" s="249" t="s">
        <v>163</v>
      </c>
      <c r="V85" s="251" t="s">
        <v>163</v>
      </c>
      <c r="W85" s="252" t="s">
        <v>163</v>
      </c>
      <c r="X85" s="252" t="s">
        <v>163</v>
      </c>
      <c r="Y85" s="248" t="s">
        <v>163</v>
      </c>
      <c r="Z85" s="231" t="str">
        <f>IF(Table4[[#This Row],[ Bran Content]]="-","-",IF(H85&gt;0.02,0,2))</f>
        <v>-</v>
      </c>
      <c r="AA85" s="231" t="str">
        <f>IF(Table4[[#This Row],[Sieve Test]]="-","-",IF(Table4[[#This Row],[Sieve Test]]="P",1,0))</f>
        <v>-</v>
      </c>
      <c r="AB85" s="231" t="str">
        <f>IF(Table4[[#This Row],[Odor]]="-","-",IF(Table4[[#This Row],[Odor]]="P",2,0))</f>
        <v>-</v>
      </c>
      <c r="AC85" s="231">
        <f>IF(INDEX(MCmin,MATCH(Table4[[#This Row],[SKU]],FG,0))="-","-",IF(Table4[[#This Row],[%MC]]="-","-",IF(Table4[[#This Row],[%MC]]&lt;INDEX(MCmin,MATCH(Table4[[#This Row],[SKU]],FG,0)),0,IF(Table4[[#This Row],[%MC]]&gt;INDEX(MCmax,MATCH(Table4[[#This Row],[SKU]],FG,0)),0,1))))</f>
        <v>1</v>
      </c>
      <c r="AD85" s="231" t="str">
        <f>IF(INDEX(Protmin,MATCH(Table4[[#This Row],[SKU]],FG,0))="-","-",IF(Table4[[#This Row],[%Protein]]="-","-",IF(Table4[[#This Row],[%Protein]]&lt;INDEX(Protmin,MATCH(Table4[[#This Row],[SKU]],FG,0)),0,IF(Table4[[#This Row],[%Protein]]&gt;INDEX(Protmax,MATCH(Table4[[#This Row],[SKU]],FG,0)),0,1))))</f>
        <v>-</v>
      </c>
      <c r="AE85" s="231">
        <f>IF(INDEX(Ashmin,MATCH(Table4[[#This Row],[SKU]],FG,0))="-","-",IF(Table4[[#This Row],[%Ash]]="-","-",IF(Table4[[#This Row],[%Ash]]&lt;INDEX(Ashmin,MATCH(Table4[[#This Row],[SKU]],FG,0)),0,IF(Table4[[#This Row],[%Ash]]&gt;INDEX(Ashmax,MATCH(Table4[[#This Row],[SKU]],FG,0)),0,2))))</f>
        <v>2</v>
      </c>
      <c r="AF85" s="231" t="str">
        <f>IF(INDEX(Absmin,MATCH(Table4[[#This Row],[SKU]],FG,0))="-","-",IF(Table4[[#This Row],[%Absorption]]="-","-",IF(Table4[[#This Row],[%Absorption]]&lt;INDEX(Absmin,MATCH(Table4[[#This Row],[SKU]],FG,0)),0,IF(Table4[[#This Row],[%Absorption]]&gt;INDEX(Absmax,MATCH(Table4[[#This Row],[SKU]],FG,0)),0,2))))</f>
        <v>-</v>
      </c>
      <c r="AG85" s="231" t="str">
        <f>IF(INDEX(Extmin,MATCH(Table4[[#This Row],[SKU]],FG,0))="-","-",IF(Table4[[#This Row],[%Extensibility]]="-","-",IF(Table4[[#This Row],[%Extensibility]]&lt;INDEX(Extmin,MATCH(Table4[[#This Row],[SKU]],FG,0)),0,IF(Table4[[#This Row],[%Extensibility]]&gt;INDEX(Extmax,MATCH(Table4[[#This Row],[SKU]],FG,0)),0,1))))</f>
        <v>-</v>
      </c>
      <c r="AH85" s="231" t="str">
        <f>IF(INDEX(Resmin,MATCH(Table4[[#This Row],[SKU]],FG,0))="-","-",IF(Table4[[#This Row],[Resistance, max]]="-","-",IF(Table4[[#This Row],[Resistance, max]]&lt;INDEX(Resmin,MATCH(Table4[[#This Row],[SKU]],FG,0)),0,IF(Table4[[#This Row],[Resistance, max]]&gt;INDEX(Resmax,MATCH(Table4[[#This Row],[SKU]],FG,0)),0,1))))</f>
        <v>-</v>
      </c>
      <c r="AI85" s="231" t="str">
        <f>IF(INDEX(WGmin,MATCH(Table4[[#This Row],[SKU]],FG,0))="-","-",IF(Table4[[#This Row],[%Wet Gluten]]="-","-",IF(Table4[[#This Row],[%Wet Gluten]]&lt;INDEX(WGmin,MATCH(Table4[[#This Row],[SKU]],FG,0)),0,IF(Table4[[#This Row],[%Wet Gluten]]&gt;INDEX(WGmax,MATCH(Table4[[#This Row],[SKU]],FG,0)),0,2))))</f>
        <v>-</v>
      </c>
      <c r="AJ85" s="232" t="str">
        <f>IF(Table4[[#This Row],[FN, s]]="-","-",IF(R85&lt;301,1,0))</f>
        <v>-</v>
      </c>
      <c r="AK85" s="233">
        <f>SUM(Table4[[#This Row],[ QI Bran Content]:[QI FN]])</f>
        <v>3</v>
      </c>
      <c r="AL85" s="232">
        <f t="shared" si="6"/>
        <v>3</v>
      </c>
      <c r="AM85" s="232" t="str">
        <f>IF(INDEX(WGmin,MATCH(Table4[[#This Row],[SKU]],FG,0))="-","-",IF(Table4[[#This Row],[Gross Weight]]="-","-",IF(Table4[[#This Row],[Gross Weight]]&lt;INDEX(GWmin,MATCH(Table4[[#This Row],[SKU]],FG,0)),0,IF(Table4[[#This Row],[Gross Weight]]&gt;INDEX(GWmax,MATCH(Table4[[#This Row],[SKU]],FG,0)),0,1))))</f>
        <v>-</v>
      </c>
      <c r="AN85" s="232" t="str">
        <f>IF(Table4[[#This Row],[Sealing Integrity]]="-","-",IF(Table4[[#This Row],[Sealing Integrity]]="P",1,0))</f>
        <v>-</v>
      </c>
      <c r="AO85" s="232" t="str">
        <f>IF(Table4[[#This Row],[Coding]]="-","-",IF(Table4[[#This Row],[Coding]]="P",1,0))</f>
        <v>-</v>
      </c>
      <c r="AP85" s="233">
        <f>SUM(Table4[[#This Row],[QI Weight]:[QI Code]])</f>
        <v>0</v>
      </c>
      <c r="AQ85" s="233">
        <f>COUNT(Table4[[#This Row],[QI Weight]:[QI Code]])</f>
        <v>0</v>
      </c>
      <c r="AR85" s="261">
        <f>Table4[[#This Row],[TA]]+Table4[[#This Row],[TA2]]</f>
        <v>3</v>
      </c>
      <c r="AS85" s="261">
        <f>Table4[[#This Row],[TP]]+Table4[[#This Row],[TP2]]</f>
        <v>3</v>
      </c>
      <c r="BD85" s="265">
        <f>IF(INDEX(MCmin,MATCH(Table4[[#This Row],[SKU]],FG,0))="-","-",IF(Table4[[#This Row],[%MC]]="-","-",IF(Table4[[#This Row],[%MC]]&lt;INDEX(MCmin,MATCH(Table4[[#This Row],[SKU]],FG,0)),1,0)))</f>
        <v>0</v>
      </c>
      <c r="BE85" s="265">
        <f>IF(INDEX(MCmin,MATCH(Table4[[#This Row],[SKU]],FG,0))="-","-",IF(Table4[[#This Row],[%MC]]="-","-",IF(Table4[[#This Row],[%MC]]&gt;INDEX(MCmax,MATCH(Table4[[#This Row],[SKU]],FG,0)),1,0)))</f>
        <v>0</v>
      </c>
      <c r="BF85" s="231">
        <f>IF(INDEX(Ashmin,MATCH(Table4[[#This Row],[SKU]],FG,0))="-","-",IF(Table4[[#This Row],[%Ash]]="-","-",IF(Table4[[#This Row],[%Ash]]&lt;INDEX(Ashmin,MATCH(Table4[[#This Row],[SKU]],FG,0)),1,0)))</f>
        <v>0</v>
      </c>
      <c r="BG85" s="231">
        <f>IF(INDEX(Ashmin,MATCH(Table4[[#This Row],[SKU]],FG,0))="-","-",IF(Table4[[#This Row],[%Ash]]="-","-",IF(Table4[[#This Row],[%Ash]]&gt;INDEX(Ashmax,MATCH(Table4[[#This Row],[SKU]],FG,0)),1,0)))</f>
        <v>0</v>
      </c>
      <c r="BH85" s="231" t="str">
        <f>IF(INDEX(Absmin,MATCH(Table4[[#This Row],[SKU]],FG,0))="-","-",IF(Table4[[#This Row],[%Absorption]]="-","-",IF(Table4[[#This Row],[%Absorption]]&lt;INDEX(Absmin,MATCH(Table4[[#This Row],[SKU]],FG,0)),1,0)))</f>
        <v>-</v>
      </c>
      <c r="BI85" s="231" t="str">
        <f>IF(INDEX(Absmin,MATCH(Table4[[#This Row],[SKU]],FG,0))="-","-",IF(Table4[[#This Row],[%Absorption]]="-","-",IF(Table4[[#This Row],[%Absorption]]&gt;INDEX(Absmax,MATCH(Table4[[#This Row],[SKU]],FG,0)),1,0)))</f>
        <v>-</v>
      </c>
      <c r="BJ85" s="231" t="str">
        <f>IF(INDEX(WGmin,MATCH(Table4[[#This Row],[SKU]],FG,0))="-","-",IF(Table4[[#This Row],[%Wet Gluten]]="-","-",IF(Table4[[#This Row],[%Wet Gluten]]&lt;INDEX(WGmin,MATCH(Table4[[#This Row],[SKU]],FG,0)),1,0)))</f>
        <v>-</v>
      </c>
      <c r="BK85" s="231" t="str">
        <f>IF(INDEX(WGmin,MATCH(Table4[[#This Row],[SKU]],FG,0))="-","-",IF(Table4[[#This Row],[%Wet Gluten]]="-","-",IF(Table4[[#This Row],[%Wet Gluten]]&gt;INDEX(WGmax,MATCH(Table4[[#This Row],[SKU]],FG,0)),1,0)))</f>
        <v>-</v>
      </c>
    </row>
    <row r="86" spans="1:63" x14ac:dyDescent="0.35">
      <c r="A86" s="243">
        <v>46023</v>
      </c>
      <c r="B86" s="244">
        <v>46027</v>
      </c>
      <c r="C86" s="244">
        <v>46027</v>
      </c>
      <c r="D86" s="244" t="s">
        <v>128</v>
      </c>
      <c r="E86" s="245">
        <v>0.625</v>
      </c>
      <c r="F86" s="246" t="s">
        <v>383</v>
      </c>
      <c r="G86" s="259" t="s">
        <v>172</v>
      </c>
      <c r="H86" s="247" t="s">
        <v>163</v>
      </c>
      <c r="I86" s="248" t="s">
        <v>163</v>
      </c>
      <c r="J86" s="248" t="s">
        <v>163</v>
      </c>
      <c r="K86" s="248" t="s">
        <v>163</v>
      </c>
      <c r="L86" s="248" t="s">
        <v>163</v>
      </c>
      <c r="M86" s="248" t="s">
        <v>163</v>
      </c>
      <c r="N86" s="249">
        <v>11.56</v>
      </c>
      <c r="O86" s="249" t="s">
        <v>163</v>
      </c>
      <c r="P86" s="249">
        <v>4.38</v>
      </c>
      <c r="Q86" s="249" t="s">
        <v>163</v>
      </c>
      <c r="R86" s="249" t="s">
        <v>163</v>
      </c>
      <c r="S86" s="250" t="s">
        <v>163</v>
      </c>
      <c r="T86" s="249" t="s">
        <v>163</v>
      </c>
      <c r="U86" s="249" t="s">
        <v>163</v>
      </c>
      <c r="V86" s="251" t="s">
        <v>163</v>
      </c>
      <c r="W86" s="252" t="s">
        <v>163</v>
      </c>
      <c r="X86" s="252" t="s">
        <v>163</v>
      </c>
      <c r="Y86" s="248" t="s">
        <v>163</v>
      </c>
      <c r="Z86" s="231" t="str">
        <f>IF(Table4[[#This Row],[ Bran Content]]="-","-",IF(H86&gt;0.02,0,2))</f>
        <v>-</v>
      </c>
      <c r="AA86" s="231" t="str">
        <f>IF(Table4[[#This Row],[Sieve Test]]="-","-",IF(Table4[[#This Row],[Sieve Test]]="P",1,0))</f>
        <v>-</v>
      </c>
      <c r="AB86" s="231" t="str">
        <f>IF(Table4[[#This Row],[Odor]]="-","-",IF(Table4[[#This Row],[Odor]]="P",2,0))</f>
        <v>-</v>
      </c>
      <c r="AC86" s="231">
        <f>IF(INDEX(MCmin,MATCH(Table4[[#This Row],[SKU]],FG,0))="-","-",IF(Table4[[#This Row],[%MC]]="-","-",IF(Table4[[#This Row],[%MC]]&lt;INDEX(MCmin,MATCH(Table4[[#This Row],[SKU]],FG,0)),0,IF(Table4[[#This Row],[%MC]]&gt;INDEX(MCmax,MATCH(Table4[[#This Row],[SKU]],FG,0)),0,1))))</f>
        <v>1</v>
      </c>
      <c r="AD86" s="231" t="str">
        <f>IF(INDEX(Protmin,MATCH(Table4[[#This Row],[SKU]],FG,0))="-","-",IF(Table4[[#This Row],[%Protein]]="-","-",IF(Table4[[#This Row],[%Protein]]&lt;INDEX(Protmin,MATCH(Table4[[#This Row],[SKU]],FG,0)),0,IF(Table4[[#This Row],[%Protein]]&gt;INDEX(Protmax,MATCH(Table4[[#This Row],[SKU]],FG,0)),0,1))))</f>
        <v>-</v>
      </c>
      <c r="AE86" s="231">
        <f>IF(INDEX(Ashmin,MATCH(Table4[[#This Row],[SKU]],FG,0))="-","-",IF(Table4[[#This Row],[%Ash]]="-","-",IF(Table4[[#This Row],[%Ash]]&lt;INDEX(Ashmin,MATCH(Table4[[#This Row],[SKU]],FG,0)),0,IF(Table4[[#This Row],[%Ash]]&gt;INDEX(Ashmax,MATCH(Table4[[#This Row],[SKU]],FG,0)),0,2))))</f>
        <v>2</v>
      </c>
      <c r="AF86" s="231" t="str">
        <f>IF(INDEX(Absmin,MATCH(Table4[[#This Row],[SKU]],FG,0))="-","-",IF(Table4[[#This Row],[%Absorption]]="-","-",IF(Table4[[#This Row],[%Absorption]]&lt;INDEX(Absmin,MATCH(Table4[[#This Row],[SKU]],FG,0)),0,IF(Table4[[#This Row],[%Absorption]]&gt;INDEX(Absmax,MATCH(Table4[[#This Row],[SKU]],FG,0)),0,2))))</f>
        <v>-</v>
      </c>
      <c r="AG86" s="231" t="str">
        <f>IF(INDEX(Extmin,MATCH(Table4[[#This Row],[SKU]],FG,0))="-","-",IF(Table4[[#This Row],[%Extensibility]]="-","-",IF(Table4[[#This Row],[%Extensibility]]&lt;INDEX(Extmin,MATCH(Table4[[#This Row],[SKU]],FG,0)),0,IF(Table4[[#This Row],[%Extensibility]]&gt;INDEX(Extmax,MATCH(Table4[[#This Row],[SKU]],FG,0)),0,1))))</f>
        <v>-</v>
      </c>
      <c r="AH86" s="231" t="str">
        <f>IF(INDEX(Resmin,MATCH(Table4[[#This Row],[SKU]],FG,0))="-","-",IF(Table4[[#This Row],[Resistance, max]]="-","-",IF(Table4[[#This Row],[Resistance, max]]&lt;INDEX(Resmin,MATCH(Table4[[#This Row],[SKU]],FG,0)),0,IF(Table4[[#This Row],[Resistance, max]]&gt;INDEX(Resmax,MATCH(Table4[[#This Row],[SKU]],FG,0)),0,1))))</f>
        <v>-</v>
      </c>
      <c r="AI86" s="231" t="str">
        <f>IF(INDEX(WGmin,MATCH(Table4[[#This Row],[SKU]],FG,0))="-","-",IF(Table4[[#This Row],[%Wet Gluten]]="-","-",IF(Table4[[#This Row],[%Wet Gluten]]&lt;INDEX(WGmin,MATCH(Table4[[#This Row],[SKU]],FG,0)),0,IF(Table4[[#This Row],[%Wet Gluten]]&gt;INDEX(WGmax,MATCH(Table4[[#This Row],[SKU]],FG,0)),0,2))))</f>
        <v>-</v>
      </c>
      <c r="AJ86" s="232" t="str">
        <f>IF(Table4[[#This Row],[FN, s]]="-","-",IF(R86&lt;301,1,0))</f>
        <v>-</v>
      </c>
      <c r="AK86" s="233">
        <f>SUM(Table4[[#This Row],[ QI Bran Content]:[QI FN]])</f>
        <v>3</v>
      </c>
      <c r="AL86" s="232">
        <f t="shared" si="6"/>
        <v>3</v>
      </c>
      <c r="AM86" s="232" t="str">
        <f>IF(INDEX(WGmin,MATCH(Table4[[#This Row],[SKU]],FG,0))="-","-",IF(Table4[[#This Row],[Gross Weight]]="-","-",IF(Table4[[#This Row],[Gross Weight]]&lt;INDEX(GWmin,MATCH(Table4[[#This Row],[SKU]],FG,0)),0,IF(Table4[[#This Row],[Gross Weight]]&gt;INDEX(GWmax,MATCH(Table4[[#This Row],[SKU]],FG,0)),0,1))))</f>
        <v>-</v>
      </c>
      <c r="AN86" s="232" t="str">
        <f>IF(Table4[[#This Row],[Sealing Integrity]]="-","-",IF(Table4[[#This Row],[Sealing Integrity]]="P",1,0))</f>
        <v>-</v>
      </c>
      <c r="AO86" s="232" t="str">
        <f>IF(Table4[[#This Row],[Coding]]="-","-",IF(Table4[[#This Row],[Coding]]="P",1,0))</f>
        <v>-</v>
      </c>
      <c r="AP86" s="233">
        <f>SUM(Table4[[#This Row],[QI Weight]:[QI Code]])</f>
        <v>0</v>
      </c>
      <c r="AQ86" s="233">
        <f>COUNT(Table4[[#This Row],[QI Weight]:[QI Code]])</f>
        <v>0</v>
      </c>
      <c r="AR86" s="261">
        <f>Table4[[#This Row],[TA]]+Table4[[#This Row],[TA2]]</f>
        <v>3</v>
      </c>
      <c r="AS86" s="261">
        <f>Table4[[#This Row],[TP]]+Table4[[#This Row],[TP2]]</f>
        <v>3</v>
      </c>
      <c r="BD86" s="265">
        <f>IF(INDEX(MCmin,MATCH(Table4[[#This Row],[SKU]],FG,0))="-","-",IF(Table4[[#This Row],[%MC]]="-","-",IF(Table4[[#This Row],[%MC]]&lt;INDEX(MCmin,MATCH(Table4[[#This Row],[SKU]],FG,0)),1,0)))</f>
        <v>0</v>
      </c>
      <c r="BE86" s="265">
        <f>IF(INDEX(MCmin,MATCH(Table4[[#This Row],[SKU]],FG,0))="-","-",IF(Table4[[#This Row],[%MC]]="-","-",IF(Table4[[#This Row],[%MC]]&gt;INDEX(MCmax,MATCH(Table4[[#This Row],[SKU]],FG,0)),1,0)))</f>
        <v>0</v>
      </c>
      <c r="BF86" s="231">
        <f>IF(INDEX(Ashmin,MATCH(Table4[[#This Row],[SKU]],FG,0))="-","-",IF(Table4[[#This Row],[%Ash]]="-","-",IF(Table4[[#This Row],[%Ash]]&lt;INDEX(Ashmin,MATCH(Table4[[#This Row],[SKU]],FG,0)),1,0)))</f>
        <v>0</v>
      </c>
      <c r="BG86" s="231">
        <f>IF(INDEX(Ashmin,MATCH(Table4[[#This Row],[SKU]],FG,0))="-","-",IF(Table4[[#This Row],[%Ash]]="-","-",IF(Table4[[#This Row],[%Ash]]&gt;INDEX(Ashmax,MATCH(Table4[[#This Row],[SKU]],FG,0)),1,0)))</f>
        <v>0</v>
      </c>
      <c r="BH86" s="231" t="str">
        <f>IF(INDEX(Absmin,MATCH(Table4[[#This Row],[SKU]],FG,0))="-","-",IF(Table4[[#This Row],[%Absorption]]="-","-",IF(Table4[[#This Row],[%Absorption]]&lt;INDEX(Absmin,MATCH(Table4[[#This Row],[SKU]],FG,0)),1,0)))</f>
        <v>-</v>
      </c>
      <c r="BI86" s="231" t="str">
        <f>IF(INDEX(Absmin,MATCH(Table4[[#This Row],[SKU]],FG,0))="-","-",IF(Table4[[#This Row],[%Absorption]]="-","-",IF(Table4[[#This Row],[%Absorption]]&gt;INDEX(Absmax,MATCH(Table4[[#This Row],[SKU]],FG,0)),1,0)))</f>
        <v>-</v>
      </c>
      <c r="BJ86" s="231" t="str">
        <f>IF(INDEX(WGmin,MATCH(Table4[[#This Row],[SKU]],FG,0))="-","-",IF(Table4[[#This Row],[%Wet Gluten]]="-","-",IF(Table4[[#This Row],[%Wet Gluten]]&lt;INDEX(WGmin,MATCH(Table4[[#This Row],[SKU]],FG,0)),1,0)))</f>
        <v>-</v>
      </c>
      <c r="BK86" s="231" t="str">
        <f>IF(INDEX(WGmin,MATCH(Table4[[#This Row],[SKU]],FG,0))="-","-",IF(Table4[[#This Row],[%Wet Gluten]]="-","-",IF(Table4[[#This Row],[%Wet Gluten]]&gt;INDEX(WGmax,MATCH(Table4[[#This Row],[SKU]],FG,0)),1,0)))</f>
        <v>-</v>
      </c>
    </row>
    <row r="87" spans="1:63" x14ac:dyDescent="0.35">
      <c r="A87" s="243">
        <v>46023</v>
      </c>
      <c r="B87" s="244">
        <v>46028</v>
      </c>
      <c r="C87" s="244">
        <v>46027</v>
      </c>
      <c r="D87" s="244" t="s">
        <v>130</v>
      </c>
      <c r="E87" s="245">
        <v>1.0833333333333299</v>
      </c>
      <c r="F87" s="246">
        <v>3</v>
      </c>
      <c r="G87" s="259" t="s">
        <v>41</v>
      </c>
      <c r="H87" s="247">
        <v>4.1000000000000003E-3</v>
      </c>
      <c r="I87" s="248" t="s">
        <v>165</v>
      </c>
      <c r="J87" s="248" t="s">
        <v>165</v>
      </c>
      <c r="K87" s="248" t="s">
        <v>165</v>
      </c>
      <c r="L87" s="248" t="s">
        <v>161</v>
      </c>
      <c r="M87" s="248" t="s">
        <v>161</v>
      </c>
      <c r="N87" s="249">
        <v>12.19</v>
      </c>
      <c r="O87" s="249">
        <v>11.71</v>
      </c>
      <c r="P87" s="249">
        <v>0.34</v>
      </c>
      <c r="Q87" s="249">
        <v>63</v>
      </c>
      <c r="R87" s="249">
        <v>13.2</v>
      </c>
      <c r="S87" s="250">
        <v>963</v>
      </c>
      <c r="T87" s="249">
        <v>32.6</v>
      </c>
      <c r="U87" s="249" t="s">
        <v>163</v>
      </c>
      <c r="V87" s="251" t="s">
        <v>163</v>
      </c>
      <c r="W87" s="252" t="s">
        <v>165</v>
      </c>
      <c r="X87" s="252" t="s">
        <v>165</v>
      </c>
      <c r="Y87" s="248" t="s">
        <v>163</v>
      </c>
      <c r="Z87" s="231">
        <f>IF(Table4[[#This Row],[ Bran Content]]="-","-",IF(H87&gt;0.02,0,2))</f>
        <v>2</v>
      </c>
      <c r="AA87" s="231">
        <f>IF(Table4[[#This Row],[Sieve Test]]="-","-",IF(Table4[[#This Row],[Sieve Test]]="P",1,0))</f>
        <v>1</v>
      </c>
      <c r="AB87" s="231">
        <f>IF(Table4[[#This Row],[Odor]]="-","-",IF(Table4[[#This Row],[Odor]]="P",2,0))</f>
        <v>2</v>
      </c>
      <c r="AC87" s="231">
        <f>IF(INDEX(MCmin,MATCH(Table4[[#This Row],[SKU]],FG,0))="-","-",IF(Table4[[#This Row],[%MC]]="-","-",IF(Table4[[#This Row],[%MC]]&lt;INDEX(MCmin,MATCH(Table4[[#This Row],[SKU]],FG,0)),0,IF(Table4[[#This Row],[%MC]]&gt;INDEX(MCmax,MATCH(Table4[[#This Row],[SKU]],FG,0)),0,1))))</f>
        <v>1</v>
      </c>
      <c r="AD87" s="231">
        <f>IF(INDEX(Protmin,MATCH(Table4[[#This Row],[SKU]],FG,0))="-","-",IF(Table4[[#This Row],[%Protein]]="-","-",IF(Table4[[#This Row],[%Protein]]&lt;INDEX(Protmin,MATCH(Table4[[#This Row],[SKU]],FG,0)),0,IF(Table4[[#This Row],[%Protein]]&gt;INDEX(Protmax,MATCH(Table4[[#This Row],[SKU]],FG,0)),0,1))))</f>
        <v>1</v>
      </c>
      <c r="AE87" s="231">
        <f>IF(INDEX(Ashmin,MATCH(Table4[[#This Row],[SKU]],FG,0))="-","-",IF(Table4[[#This Row],[%Ash]]="-","-",IF(Table4[[#This Row],[%Ash]]&lt;INDEX(Ashmin,MATCH(Table4[[#This Row],[SKU]],FG,0)),0,IF(Table4[[#This Row],[%Ash]]&gt;INDEX(Ashmax,MATCH(Table4[[#This Row],[SKU]],FG,0)),0,2))))</f>
        <v>2</v>
      </c>
      <c r="AF87" s="231">
        <f>IF(INDEX(Absmin,MATCH(Table4[[#This Row],[SKU]],FG,0))="-","-",IF(Table4[[#This Row],[%Absorption]]="-","-",IF(Table4[[#This Row],[%Absorption]]&lt;INDEX(Absmin,MATCH(Table4[[#This Row],[SKU]],FG,0)),0,IF(Table4[[#This Row],[%Absorption]]&gt;INDEX(Absmax,MATCH(Table4[[#This Row],[SKU]],FG,0)),0,2))))</f>
        <v>2</v>
      </c>
      <c r="AG87" s="231">
        <f>IF(INDEX(Extmin,MATCH(Table4[[#This Row],[SKU]],FG,0))="-","-",IF(Table4[[#This Row],[%Extensibility]]="-","-",IF(Table4[[#This Row],[%Extensibility]]&lt;INDEX(Extmin,MATCH(Table4[[#This Row],[SKU]],FG,0)),0,IF(Table4[[#This Row],[%Extensibility]]&gt;INDEX(Extmax,MATCH(Table4[[#This Row],[SKU]],FG,0)),0,1))))</f>
        <v>1</v>
      </c>
      <c r="AH87" s="231">
        <f>IF(INDEX(Resmin,MATCH(Table4[[#This Row],[SKU]],FG,0))="-","-",IF(Table4[[#This Row],[Resistance, max]]="-","-",IF(Table4[[#This Row],[Resistance, max]]&lt;INDEX(Resmin,MATCH(Table4[[#This Row],[SKU]],FG,0)),0,IF(Table4[[#This Row],[Resistance, max]]&gt;INDEX(Resmax,MATCH(Table4[[#This Row],[SKU]],FG,0)),0,1))))</f>
        <v>0</v>
      </c>
      <c r="AI87" s="231">
        <f>IF(INDEX(WGmin,MATCH(Table4[[#This Row],[SKU]],FG,0))="-","-",IF(Table4[[#This Row],[%Wet Gluten]]="-","-",IF(Table4[[#This Row],[%Wet Gluten]]&lt;INDEX(WGmin,MATCH(Table4[[#This Row],[SKU]],FG,0)),0,IF(Table4[[#This Row],[%Wet Gluten]]&gt;INDEX(WGmax,MATCH(Table4[[#This Row],[SKU]],FG,0)),0,2))))</f>
        <v>2</v>
      </c>
      <c r="AJ87" s="232" t="str">
        <f>IF(Table4[[#This Row],[FN, s]]="-","-",IF(R87&lt;301,1,0))</f>
        <v>-</v>
      </c>
      <c r="AK87" s="233">
        <f>SUM(Table4[[#This Row],[ QI Bran Content]:[QI FN]])</f>
        <v>14</v>
      </c>
      <c r="AL87" s="232">
        <f t="shared" si="6"/>
        <v>15</v>
      </c>
      <c r="AM87" s="232" t="str">
        <f>IF(INDEX(WGmin,MATCH(Table4[[#This Row],[SKU]],FG,0))="-","-",IF(Table4[[#This Row],[Gross Weight]]="-","-",IF(Table4[[#This Row],[Gross Weight]]&lt;INDEX(GWmin,MATCH(Table4[[#This Row],[SKU]],FG,0)),0,IF(Table4[[#This Row],[Gross Weight]]&gt;INDEX(GWmax,MATCH(Table4[[#This Row],[SKU]],FG,0)),0,1))))</f>
        <v>-</v>
      </c>
      <c r="AN87" s="232">
        <f>IF(Table4[[#This Row],[Sealing Integrity]]="-","-",IF(Table4[[#This Row],[Sealing Integrity]]="P",1,0))</f>
        <v>1</v>
      </c>
      <c r="AO87" s="232">
        <f>IF(Table4[[#This Row],[Coding]]="-","-",IF(Table4[[#This Row],[Coding]]="P",1,0))</f>
        <v>1</v>
      </c>
      <c r="AP87" s="233">
        <f>SUM(Table4[[#This Row],[QI Weight]:[QI Code]])</f>
        <v>2</v>
      </c>
      <c r="AQ87" s="233">
        <f>COUNT(Table4[[#This Row],[QI Weight]:[QI Code]])</f>
        <v>2</v>
      </c>
      <c r="AR87" s="261">
        <f>Table4[[#This Row],[TA]]+Table4[[#This Row],[TA2]]</f>
        <v>16</v>
      </c>
      <c r="AS87" s="261">
        <f>Table4[[#This Row],[TP]]+Table4[[#This Row],[TP2]]</f>
        <v>17</v>
      </c>
      <c r="BD87" s="265">
        <f>IF(INDEX(MCmin,MATCH(Table4[[#This Row],[SKU]],FG,0))="-","-",IF(Table4[[#This Row],[%MC]]="-","-",IF(Table4[[#This Row],[%MC]]&lt;INDEX(MCmin,MATCH(Table4[[#This Row],[SKU]],FG,0)),1,0)))</f>
        <v>0</v>
      </c>
      <c r="BE87" s="265">
        <f>IF(INDEX(MCmin,MATCH(Table4[[#This Row],[SKU]],FG,0))="-","-",IF(Table4[[#This Row],[%MC]]="-","-",IF(Table4[[#This Row],[%MC]]&gt;INDEX(MCmax,MATCH(Table4[[#This Row],[SKU]],FG,0)),1,0)))</f>
        <v>0</v>
      </c>
      <c r="BF87" s="231">
        <f>IF(INDEX(Ashmin,MATCH(Table4[[#This Row],[SKU]],FG,0))="-","-",IF(Table4[[#This Row],[%Ash]]="-","-",IF(Table4[[#This Row],[%Ash]]&lt;INDEX(Ashmin,MATCH(Table4[[#This Row],[SKU]],FG,0)),1,0)))</f>
        <v>0</v>
      </c>
      <c r="BG87" s="231">
        <f>IF(INDEX(Ashmin,MATCH(Table4[[#This Row],[SKU]],FG,0))="-","-",IF(Table4[[#This Row],[%Ash]]="-","-",IF(Table4[[#This Row],[%Ash]]&gt;INDEX(Ashmax,MATCH(Table4[[#This Row],[SKU]],FG,0)),1,0)))</f>
        <v>0</v>
      </c>
      <c r="BH87" s="231">
        <f>IF(INDEX(Absmin,MATCH(Table4[[#This Row],[SKU]],FG,0))="-","-",IF(Table4[[#This Row],[%Absorption]]="-","-",IF(Table4[[#This Row],[%Absorption]]&lt;INDEX(Absmin,MATCH(Table4[[#This Row],[SKU]],FG,0)),1,0)))</f>
        <v>0</v>
      </c>
      <c r="BI87" s="231">
        <f>IF(INDEX(Absmin,MATCH(Table4[[#This Row],[SKU]],FG,0))="-","-",IF(Table4[[#This Row],[%Absorption]]="-","-",IF(Table4[[#This Row],[%Absorption]]&gt;INDEX(Absmax,MATCH(Table4[[#This Row],[SKU]],FG,0)),1,0)))</f>
        <v>0</v>
      </c>
      <c r="BJ87" s="231">
        <f>IF(INDEX(WGmin,MATCH(Table4[[#This Row],[SKU]],FG,0))="-","-",IF(Table4[[#This Row],[%Wet Gluten]]="-","-",IF(Table4[[#This Row],[%Wet Gluten]]&lt;INDEX(WGmin,MATCH(Table4[[#This Row],[SKU]],FG,0)),1,0)))</f>
        <v>0</v>
      </c>
      <c r="BK87" s="231">
        <f>IF(INDEX(WGmin,MATCH(Table4[[#This Row],[SKU]],FG,0))="-","-",IF(Table4[[#This Row],[%Wet Gluten]]="-","-",IF(Table4[[#This Row],[%Wet Gluten]]&gt;INDEX(WGmax,MATCH(Table4[[#This Row],[SKU]],FG,0)),1,0)))</f>
        <v>0</v>
      </c>
    </row>
    <row r="88" spans="1:63" x14ac:dyDescent="0.35">
      <c r="A88" s="243">
        <v>46023</v>
      </c>
      <c r="B88" s="244">
        <v>46028</v>
      </c>
      <c r="C88" s="244">
        <v>46027</v>
      </c>
      <c r="D88" s="244" t="s">
        <v>130</v>
      </c>
      <c r="E88" s="245">
        <v>1.125</v>
      </c>
      <c r="F88" s="246">
        <v>3</v>
      </c>
      <c r="G88" s="259" t="s">
        <v>41</v>
      </c>
      <c r="H88" s="247">
        <v>4.7999999999999996E-3</v>
      </c>
      <c r="I88" s="248" t="s">
        <v>165</v>
      </c>
      <c r="J88" s="248" t="s">
        <v>165</v>
      </c>
      <c r="K88" s="248" t="s">
        <v>165</v>
      </c>
      <c r="L88" s="248" t="s">
        <v>161</v>
      </c>
      <c r="M88" s="248" t="s">
        <v>161</v>
      </c>
      <c r="N88" s="249">
        <v>11.97</v>
      </c>
      <c r="O88" s="249" t="s">
        <v>163</v>
      </c>
      <c r="P88" s="249" t="s">
        <v>163</v>
      </c>
      <c r="Q88" s="249">
        <v>62.6</v>
      </c>
      <c r="R88" s="249" t="s">
        <v>163</v>
      </c>
      <c r="S88" s="250" t="s">
        <v>163</v>
      </c>
      <c r="T88" s="249" t="s">
        <v>163</v>
      </c>
      <c r="U88" s="249" t="s">
        <v>163</v>
      </c>
      <c r="V88" s="251" t="s">
        <v>163</v>
      </c>
      <c r="W88" s="252" t="s">
        <v>165</v>
      </c>
      <c r="X88" s="252" t="s">
        <v>165</v>
      </c>
      <c r="Y88" s="248" t="s">
        <v>163</v>
      </c>
      <c r="Z88" s="231">
        <f>IF(Table4[[#This Row],[ Bran Content]]="-","-",IF(H88&gt;0.02,0,2))</f>
        <v>2</v>
      </c>
      <c r="AA88" s="231">
        <f>IF(Table4[[#This Row],[Sieve Test]]="-","-",IF(Table4[[#This Row],[Sieve Test]]="P",1,0))</f>
        <v>1</v>
      </c>
      <c r="AB88" s="231">
        <f>IF(Table4[[#This Row],[Odor]]="-","-",IF(Table4[[#This Row],[Odor]]="P",2,0))</f>
        <v>2</v>
      </c>
      <c r="AC88" s="231">
        <f>IF(INDEX(MCmin,MATCH(Table4[[#This Row],[SKU]],FG,0))="-","-",IF(Table4[[#This Row],[%MC]]="-","-",IF(Table4[[#This Row],[%MC]]&lt;INDEX(MCmin,MATCH(Table4[[#This Row],[SKU]],FG,0)),0,IF(Table4[[#This Row],[%MC]]&gt;INDEX(MCmax,MATCH(Table4[[#This Row],[SKU]],FG,0)),0,1))))</f>
        <v>0</v>
      </c>
      <c r="AD88" s="231" t="str">
        <f>IF(INDEX(Protmin,MATCH(Table4[[#This Row],[SKU]],FG,0))="-","-",IF(Table4[[#This Row],[%Protein]]="-","-",IF(Table4[[#This Row],[%Protein]]&lt;INDEX(Protmin,MATCH(Table4[[#This Row],[SKU]],FG,0)),0,IF(Table4[[#This Row],[%Protein]]&gt;INDEX(Protmax,MATCH(Table4[[#This Row],[SKU]],FG,0)),0,1))))</f>
        <v>-</v>
      </c>
      <c r="AE88" s="231" t="str">
        <f>IF(INDEX(Ashmin,MATCH(Table4[[#This Row],[SKU]],FG,0))="-","-",IF(Table4[[#This Row],[%Ash]]="-","-",IF(Table4[[#This Row],[%Ash]]&lt;INDEX(Ashmin,MATCH(Table4[[#This Row],[SKU]],FG,0)),0,IF(Table4[[#This Row],[%Ash]]&gt;INDEX(Ashmax,MATCH(Table4[[#This Row],[SKU]],FG,0)),0,2))))</f>
        <v>-</v>
      </c>
      <c r="AF88" s="231">
        <f>IF(INDEX(Absmin,MATCH(Table4[[#This Row],[SKU]],FG,0))="-","-",IF(Table4[[#This Row],[%Absorption]]="-","-",IF(Table4[[#This Row],[%Absorption]]&lt;INDEX(Absmin,MATCH(Table4[[#This Row],[SKU]],FG,0)),0,IF(Table4[[#This Row],[%Absorption]]&gt;INDEX(Absmax,MATCH(Table4[[#This Row],[SKU]],FG,0)),0,2))))</f>
        <v>0</v>
      </c>
      <c r="AG88" s="231" t="str">
        <f>IF(INDEX(Extmin,MATCH(Table4[[#This Row],[SKU]],FG,0))="-","-",IF(Table4[[#This Row],[%Extensibility]]="-","-",IF(Table4[[#This Row],[%Extensibility]]&lt;INDEX(Extmin,MATCH(Table4[[#This Row],[SKU]],FG,0)),0,IF(Table4[[#This Row],[%Extensibility]]&gt;INDEX(Extmax,MATCH(Table4[[#This Row],[SKU]],FG,0)),0,1))))</f>
        <v>-</v>
      </c>
      <c r="AH88" s="231" t="str">
        <f>IF(INDEX(Resmin,MATCH(Table4[[#This Row],[SKU]],FG,0))="-","-",IF(Table4[[#This Row],[Resistance, max]]="-","-",IF(Table4[[#This Row],[Resistance, max]]&lt;INDEX(Resmin,MATCH(Table4[[#This Row],[SKU]],FG,0)),0,IF(Table4[[#This Row],[Resistance, max]]&gt;INDEX(Resmax,MATCH(Table4[[#This Row],[SKU]],FG,0)),0,1))))</f>
        <v>-</v>
      </c>
      <c r="AI88" s="231" t="str">
        <f>IF(INDEX(WGmin,MATCH(Table4[[#This Row],[SKU]],FG,0))="-","-",IF(Table4[[#This Row],[%Wet Gluten]]="-","-",IF(Table4[[#This Row],[%Wet Gluten]]&lt;INDEX(WGmin,MATCH(Table4[[#This Row],[SKU]],FG,0)),0,IF(Table4[[#This Row],[%Wet Gluten]]&gt;INDEX(WGmax,MATCH(Table4[[#This Row],[SKU]],FG,0)),0,2))))</f>
        <v>-</v>
      </c>
      <c r="AJ88" s="232" t="str">
        <f>IF(Table4[[#This Row],[FN, s]]="-","-",IF(R88&lt;301,1,0))</f>
        <v>-</v>
      </c>
      <c r="AK88" s="233">
        <f>SUM(Table4[[#This Row],[ QI Bran Content]:[QI FN]])</f>
        <v>5</v>
      </c>
      <c r="AL88" s="232">
        <f t="shared" si="6"/>
        <v>8</v>
      </c>
      <c r="AM88" s="232" t="str">
        <f>IF(INDEX(WGmin,MATCH(Table4[[#This Row],[SKU]],FG,0))="-","-",IF(Table4[[#This Row],[Gross Weight]]="-","-",IF(Table4[[#This Row],[Gross Weight]]&lt;INDEX(GWmin,MATCH(Table4[[#This Row],[SKU]],FG,0)),0,IF(Table4[[#This Row],[Gross Weight]]&gt;INDEX(GWmax,MATCH(Table4[[#This Row],[SKU]],FG,0)),0,1))))</f>
        <v>-</v>
      </c>
      <c r="AN88" s="232">
        <f>IF(Table4[[#This Row],[Sealing Integrity]]="-","-",IF(Table4[[#This Row],[Sealing Integrity]]="P",1,0))</f>
        <v>1</v>
      </c>
      <c r="AO88" s="232">
        <f>IF(Table4[[#This Row],[Coding]]="-","-",IF(Table4[[#This Row],[Coding]]="P",1,0))</f>
        <v>1</v>
      </c>
      <c r="AP88" s="233">
        <f>SUM(Table4[[#This Row],[QI Weight]:[QI Code]])</f>
        <v>2</v>
      </c>
      <c r="AQ88" s="233">
        <f>COUNT(Table4[[#This Row],[QI Weight]:[QI Code]])</f>
        <v>2</v>
      </c>
      <c r="AR88" s="261">
        <f>Table4[[#This Row],[TA]]+Table4[[#This Row],[TA2]]</f>
        <v>7</v>
      </c>
      <c r="AS88" s="261">
        <f>Table4[[#This Row],[TP]]+Table4[[#This Row],[TP2]]</f>
        <v>10</v>
      </c>
      <c r="BD88" s="265">
        <f>IF(INDEX(MCmin,MATCH(Table4[[#This Row],[SKU]],FG,0))="-","-",IF(Table4[[#This Row],[%MC]]="-","-",IF(Table4[[#This Row],[%MC]]&lt;INDEX(MCmin,MATCH(Table4[[#This Row],[SKU]],FG,0)),1,0)))</f>
        <v>1</v>
      </c>
      <c r="BE88" s="265">
        <f>IF(INDEX(MCmin,MATCH(Table4[[#This Row],[SKU]],FG,0))="-","-",IF(Table4[[#This Row],[%MC]]="-","-",IF(Table4[[#This Row],[%MC]]&gt;INDEX(MCmax,MATCH(Table4[[#This Row],[SKU]],FG,0)),1,0)))</f>
        <v>0</v>
      </c>
      <c r="BF88" s="231" t="str">
        <f>IF(INDEX(Ashmin,MATCH(Table4[[#This Row],[SKU]],FG,0))="-","-",IF(Table4[[#This Row],[%Ash]]="-","-",IF(Table4[[#This Row],[%Ash]]&lt;INDEX(Ashmin,MATCH(Table4[[#This Row],[SKU]],FG,0)),1,0)))</f>
        <v>-</v>
      </c>
      <c r="BG88" s="231" t="str">
        <f>IF(INDEX(Ashmin,MATCH(Table4[[#This Row],[SKU]],FG,0))="-","-",IF(Table4[[#This Row],[%Ash]]="-","-",IF(Table4[[#This Row],[%Ash]]&gt;INDEX(Ashmax,MATCH(Table4[[#This Row],[SKU]],FG,0)),1,0)))</f>
        <v>-</v>
      </c>
      <c r="BH88" s="231">
        <f>IF(INDEX(Absmin,MATCH(Table4[[#This Row],[SKU]],FG,0))="-","-",IF(Table4[[#This Row],[%Absorption]]="-","-",IF(Table4[[#This Row],[%Absorption]]&lt;INDEX(Absmin,MATCH(Table4[[#This Row],[SKU]],FG,0)),1,0)))</f>
        <v>1</v>
      </c>
      <c r="BI88" s="231">
        <f>IF(INDEX(Absmin,MATCH(Table4[[#This Row],[SKU]],FG,0))="-","-",IF(Table4[[#This Row],[%Absorption]]="-","-",IF(Table4[[#This Row],[%Absorption]]&gt;INDEX(Absmax,MATCH(Table4[[#This Row],[SKU]],FG,0)),1,0)))</f>
        <v>0</v>
      </c>
      <c r="BJ88" s="231" t="str">
        <f>IF(INDEX(WGmin,MATCH(Table4[[#This Row],[SKU]],FG,0))="-","-",IF(Table4[[#This Row],[%Wet Gluten]]="-","-",IF(Table4[[#This Row],[%Wet Gluten]]&lt;INDEX(WGmin,MATCH(Table4[[#This Row],[SKU]],FG,0)),1,0)))</f>
        <v>-</v>
      </c>
      <c r="BK88" s="231" t="str">
        <f>IF(INDEX(WGmin,MATCH(Table4[[#This Row],[SKU]],FG,0))="-","-",IF(Table4[[#This Row],[%Wet Gluten]]="-","-",IF(Table4[[#This Row],[%Wet Gluten]]&gt;INDEX(WGmax,MATCH(Table4[[#This Row],[SKU]],FG,0)),1,0)))</f>
        <v>-</v>
      </c>
    </row>
    <row r="89" spans="1:63" x14ac:dyDescent="0.35">
      <c r="A89" s="243">
        <v>46023</v>
      </c>
      <c r="B89" s="244">
        <v>46028</v>
      </c>
      <c r="C89" s="244">
        <v>46027</v>
      </c>
      <c r="D89" s="244" t="s">
        <v>130</v>
      </c>
      <c r="E89" s="245">
        <v>1.1666666666666701</v>
      </c>
      <c r="F89" s="246">
        <v>3</v>
      </c>
      <c r="G89" s="259" t="s">
        <v>41</v>
      </c>
      <c r="H89" s="247">
        <v>2.8999999999999998E-3</v>
      </c>
      <c r="I89" s="248" t="s">
        <v>165</v>
      </c>
      <c r="J89" s="248" t="s">
        <v>165</v>
      </c>
      <c r="K89" s="248" t="s">
        <v>165</v>
      </c>
      <c r="L89" s="248" t="s">
        <v>161</v>
      </c>
      <c r="M89" s="248" t="s">
        <v>161</v>
      </c>
      <c r="N89" s="249">
        <v>13.05</v>
      </c>
      <c r="O89" s="249" t="s">
        <v>163</v>
      </c>
      <c r="P89" s="249" t="s">
        <v>163</v>
      </c>
      <c r="Q89" s="249" t="s">
        <v>163</v>
      </c>
      <c r="R89" s="249" t="s">
        <v>163</v>
      </c>
      <c r="S89" s="250" t="s">
        <v>163</v>
      </c>
      <c r="T89" s="249" t="s">
        <v>163</v>
      </c>
      <c r="U89" s="249" t="s">
        <v>163</v>
      </c>
      <c r="V89" s="251" t="s">
        <v>163</v>
      </c>
      <c r="W89" s="252" t="s">
        <v>165</v>
      </c>
      <c r="X89" s="252" t="s">
        <v>165</v>
      </c>
      <c r="Y89" s="248" t="s">
        <v>163</v>
      </c>
      <c r="Z89" s="231">
        <f>IF(Table4[[#This Row],[ Bran Content]]="-","-",IF(H89&gt;0.02,0,2))</f>
        <v>2</v>
      </c>
      <c r="AA89" s="231">
        <f>IF(Table4[[#This Row],[Sieve Test]]="-","-",IF(Table4[[#This Row],[Sieve Test]]="P",1,0))</f>
        <v>1</v>
      </c>
      <c r="AB89" s="231">
        <f>IF(Table4[[#This Row],[Odor]]="-","-",IF(Table4[[#This Row],[Odor]]="P",2,0))</f>
        <v>2</v>
      </c>
      <c r="AC89" s="231">
        <f>IF(INDEX(MCmin,MATCH(Table4[[#This Row],[SKU]],FG,0))="-","-",IF(Table4[[#This Row],[%MC]]="-","-",IF(Table4[[#This Row],[%MC]]&lt;INDEX(MCmin,MATCH(Table4[[#This Row],[SKU]],FG,0)),0,IF(Table4[[#This Row],[%MC]]&gt;INDEX(MCmax,MATCH(Table4[[#This Row],[SKU]],FG,0)),0,1))))</f>
        <v>1</v>
      </c>
      <c r="AD89" s="231" t="str">
        <f>IF(INDEX(Protmin,MATCH(Table4[[#This Row],[SKU]],FG,0))="-","-",IF(Table4[[#This Row],[%Protein]]="-","-",IF(Table4[[#This Row],[%Protein]]&lt;INDEX(Protmin,MATCH(Table4[[#This Row],[SKU]],FG,0)),0,IF(Table4[[#This Row],[%Protein]]&gt;INDEX(Protmax,MATCH(Table4[[#This Row],[SKU]],FG,0)),0,1))))</f>
        <v>-</v>
      </c>
      <c r="AE89" s="231" t="str">
        <f>IF(INDEX(Ashmin,MATCH(Table4[[#This Row],[SKU]],FG,0))="-","-",IF(Table4[[#This Row],[%Ash]]="-","-",IF(Table4[[#This Row],[%Ash]]&lt;INDEX(Ashmin,MATCH(Table4[[#This Row],[SKU]],FG,0)),0,IF(Table4[[#This Row],[%Ash]]&gt;INDEX(Ashmax,MATCH(Table4[[#This Row],[SKU]],FG,0)),0,2))))</f>
        <v>-</v>
      </c>
      <c r="AF89" s="231" t="str">
        <f>IF(INDEX(Absmin,MATCH(Table4[[#This Row],[SKU]],FG,0))="-","-",IF(Table4[[#This Row],[%Absorption]]="-","-",IF(Table4[[#This Row],[%Absorption]]&lt;INDEX(Absmin,MATCH(Table4[[#This Row],[SKU]],FG,0)),0,IF(Table4[[#This Row],[%Absorption]]&gt;INDEX(Absmax,MATCH(Table4[[#This Row],[SKU]],FG,0)),0,2))))</f>
        <v>-</v>
      </c>
      <c r="AG89" s="231" t="str">
        <f>IF(INDEX(Extmin,MATCH(Table4[[#This Row],[SKU]],FG,0))="-","-",IF(Table4[[#This Row],[%Extensibility]]="-","-",IF(Table4[[#This Row],[%Extensibility]]&lt;INDEX(Extmin,MATCH(Table4[[#This Row],[SKU]],FG,0)),0,IF(Table4[[#This Row],[%Extensibility]]&gt;INDEX(Extmax,MATCH(Table4[[#This Row],[SKU]],FG,0)),0,1))))</f>
        <v>-</v>
      </c>
      <c r="AH89" s="231" t="str">
        <f>IF(INDEX(Resmin,MATCH(Table4[[#This Row],[SKU]],FG,0))="-","-",IF(Table4[[#This Row],[Resistance, max]]="-","-",IF(Table4[[#This Row],[Resistance, max]]&lt;INDEX(Resmin,MATCH(Table4[[#This Row],[SKU]],FG,0)),0,IF(Table4[[#This Row],[Resistance, max]]&gt;INDEX(Resmax,MATCH(Table4[[#This Row],[SKU]],FG,0)),0,1))))</f>
        <v>-</v>
      </c>
      <c r="AI89" s="231" t="str">
        <f>IF(INDEX(WGmin,MATCH(Table4[[#This Row],[SKU]],FG,0))="-","-",IF(Table4[[#This Row],[%Wet Gluten]]="-","-",IF(Table4[[#This Row],[%Wet Gluten]]&lt;INDEX(WGmin,MATCH(Table4[[#This Row],[SKU]],FG,0)),0,IF(Table4[[#This Row],[%Wet Gluten]]&gt;INDEX(WGmax,MATCH(Table4[[#This Row],[SKU]],FG,0)),0,2))))</f>
        <v>-</v>
      </c>
      <c r="AJ89" s="232" t="str">
        <f>IF(Table4[[#This Row],[FN, s]]="-","-",IF(R89&lt;301,1,0))</f>
        <v>-</v>
      </c>
      <c r="AK89" s="233">
        <f>SUM(Table4[[#This Row],[ QI Bran Content]:[QI FN]])</f>
        <v>6</v>
      </c>
      <c r="AL89" s="232">
        <f t="shared" si="6"/>
        <v>6</v>
      </c>
      <c r="AM89" s="232" t="str">
        <f>IF(INDEX(WGmin,MATCH(Table4[[#This Row],[SKU]],FG,0))="-","-",IF(Table4[[#This Row],[Gross Weight]]="-","-",IF(Table4[[#This Row],[Gross Weight]]&lt;INDEX(GWmin,MATCH(Table4[[#This Row],[SKU]],FG,0)),0,IF(Table4[[#This Row],[Gross Weight]]&gt;INDEX(GWmax,MATCH(Table4[[#This Row],[SKU]],FG,0)),0,1))))</f>
        <v>-</v>
      </c>
      <c r="AN89" s="232">
        <f>IF(Table4[[#This Row],[Sealing Integrity]]="-","-",IF(Table4[[#This Row],[Sealing Integrity]]="P",1,0))</f>
        <v>1</v>
      </c>
      <c r="AO89" s="232">
        <f>IF(Table4[[#This Row],[Coding]]="-","-",IF(Table4[[#This Row],[Coding]]="P",1,0))</f>
        <v>1</v>
      </c>
      <c r="AP89" s="233">
        <f>SUM(Table4[[#This Row],[QI Weight]:[QI Code]])</f>
        <v>2</v>
      </c>
      <c r="AQ89" s="233">
        <f>COUNT(Table4[[#This Row],[QI Weight]:[QI Code]])</f>
        <v>2</v>
      </c>
      <c r="AR89" s="261">
        <f>Table4[[#This Row],[TA]]+Table4[[#This Row],[TA2]]</f>
        <v>8</v>
      </c>
      <c r="AS89" s="261">
        <f>Table4[[#This Row],[TP]]+Table4[[#This Row],[TP2]]</f>
        <v>8</v>
      </c>
      <c r="BD89" s="265">
        <f>IF(INDEX(MCmin,MATCH(Table4[[#This Row],[SKU]],FG,0))="-","-",IF(Table4[[#This Row],[%MC]]="-","-",IF(Table4[[#This Row],[%MC]]&lt;INDEX(MCmin,MATCH(Table4[[#This Row],[SKU]],FG,0)),1,0)))</f>
        <v>0</v>
      </c>
      <c r="BE89" s="265">
        <f>IF(INDEX(MCmin,MATCH(Table4[[#This Row],[SKU]],FG,0))="-","-",IF(Table4[[#This Row],[%MC]]="-","-",IF(Table4[[#This Row],[%MC]]&gt;INDEX(MCmax,MATCH(Table4[[#This Row],[SKU]],FG,0)),1,0)))</f>
        <v>0</v>
      </c>
      <c r="BF89" s="231" t="str">
        <f>IF(INDEX(Ashmin,MATCH(Table4[[#This Row],[SKU]],FG,0))="-","-",IF(Table4[[#This Row],[%Ash]]="-","-",IF(Table4[[#This Row],[%Ash]]&lt;INDEX(Ashmin,MATCH(Table4[[#This Row],[SKU]],FG,0)),1,0)))</f>
        <v>-</v>
      </c>
      <c r="BG89" s="231" t="str">
        <f>IF(INDEX(Ashmin,MATCH(Table4[[#This Row],[SKU]],FG,0))="-","-",IF(Table4[[#This Row],[%Ash]]="-","-",IF(Table4[[#This Row],[%Ash]]&gt;INDEX(Ashmax,MATCH(Table4[[#This Row],[SKU]],FG,0)),1,0)))</f>
        <v>-</v>
      </c>
      <c r="BH89" s="231" t="str">
        <f>IF(INDEX(Absmin,MATCH(Table4[[#This Row],[SKU]],FG,0))="-","-",IF(Table4[[#This Row],[%Absorption]]="-","-",IF(Table4[[#This Row],[%Absorption]]&lt;INDEX(Absmin,MATCH(Table4[[#This Row],[SKU]],FG,0)),1,0)))</f>
        <v>-</v>
      </c>
      <c r="BI89" s="231" t="str">
        <f>IF(INDEX(Absmin,MATCH(Table4[[#This Row],[SKU]],FG,0))="-","-",IF(Table4[[#This Row],[%Absorption]]="-","-",IF(Table4[[#This Row],[%Absorption]]&gt;INDEX(Absmax,MATCH(Table4[[#This Row],[SKU]],FG,0)),1,0)))</f>
        <v>-</v>
      </c>
      <c r="BJ89" s="231" t="str">
        <f>IF(INDEX(WGmin,MATCH(Table4[[#This Row],[SKU]],FG,0))="-","-",IF(Table4[[#This Row],[%Wet Gluten]]="-","-",IF(Table4[[#This Row],[%Wet Gluten]]&lt;INDEX(WGmin,MATCH(Table4[[#This Row],[SKU]],FG,0)),1,0)))</f>
        <v>-</v>
      </c>
      <c r="BK89" s="231" t="str">
        <f>IF(INDEX(WGmin,MATCH(Table4[[#This Row],[SKU]],FG,0))="-","-",IF(Table4[[#This Row],[%Wet Gluten]]="-","-",IF(Table4[[#This Row],[%Wet Gluten]]&gt;INDEX(WGmax,MATCH(Table4[[#This Row],[SKU]],FG,0)),1,0)))</f>
        <v>-</v>
      </c>
    </row>
    <row r="90" spans="1:63" x14ac:dyDescent="0.35">
      <c r="A90" s="243">
        <v>46023</v>
      </c>
      <c r="B90" s="244">
        <v>46028</v>
      </c>
      <c r="C90" s="244">
        <v>46027</v>
      </c>
      <c r="D90" s="244" t="s">
        <v>128</v>
      </c>
      <c r="E90" s="245">
        <v>0.66666666666666696</v>
      </c>
      <c r="F90" s="246">
        <v>3</v>
      </c>
      <c r="G90" s="259" t="s">
        <v>78</v>
      </c>
      <c r="H90" s="247">
        <v>1.6400000000000001E-2</v>
      </c>
      <c r="I90" s="248" t="s">
        <v>165</v>
      </c>
      <c r="J90" s="248" t="s">
        <v>165</v>
      </c>
      <c r="K90" s="248" t="s">
        <v>165</v>
      </c>
      <c r="L90" s="248" t="s">
        <v>161</v>
      </c>
      <c r="M90" s="248" t="s">
        <v>161</v>
      </c>
      <c r="N90" s="249">
        <v>12.38</v>
      </c>
      <c r="O90" s="249">
        <v>13.01</v>
      </c>
      <c r="P90" s="249">
        <v>0.52</v>
      </c>
      <c r="Q90" s="249">
        <v>65</v>
      </c>
      <c r="R90" s="249">
        <v>13.8</v>
      </c>
      <c r="S90" s="250">
        <v>807</v>
      </c>
      <c r="T90" s="249">
        <v>36.5</v>
      </c>
      <c r="U90" s="249" t="s">
        <v>163</v>
      </c>
      <c r="V90" s="251" t="s">
        <v>163</v>
      </c>
      <c r="W90" s="252" t="s">
        <v>165</v>
      </c>
      <c r="X90" s="252" t="s">
        <v>165</v>
      </c>
      <c r="Y90" s="248" t="s">
        <v>163</v>
      </c>
      <c r="Z90" s="231">
        <f>IF(Table4[[#This Row],[ Bran Content]]="-","-",IF(H90&gt;0.02,0,2))</f>
        <v>2</v>
      </c>
      <c r="AA90" s="231">
        <f>IF(Table4[[#This Row],[Sieve Test]]="-","-",IF(Table4[[#This Row],[Sieve Test]]="P",1,0))</f>
        <v>1</v>
      </c>
      <c r="AB90" s="231">
        <f>IF(Table4[[#This Row],[Odor]]="-","-",IF(Table4[[#This Row],[Odor]]="P",2,0))</f>
        <v>2</v>
      </c>
      <c r="AC90" s="231">
        <f>IF(INDEX(MCmin,MATCH(Table4[[#This Row],[SKU]],FG,0))="-","-",IF(Table4[[#This Row],[%MC]]="-","-",IF(Table4[[#This Row],[%MC]]&lt;INDEX(MCmin,MATCH(Table4[[#This Row],[SKU]],FG,0)),0,IF(Table4[[#This Row],[%MC]]&gt;INDEX(MCmax,MATCH(Table4[[#This Row],[SKU]],FG,0)),0,1))))</f>
        <v>1</v>
      </c>
      <c r="AD90" s="231">
        <f>IF(INDEX(Protmin,MATCH(Table4[[#This Row],[SKU]],FG,0))="-","-",IF(Table4[[#This Row],[%Protein]]="-","-",IF(Table4[[#This Row],[%Protein]]&lt;INDEX(Protmin,MATCH(Table4[[#This Row],[SKU]],FG,0)),0,IF(Table4[[#This Row],[%Protein]]&gt;INDEX(Protmax,MATCH(Table4[[#This Row],[SKU]],FG,0)),0,1))))</f>
        <v>1</v>
      </c>
      <c r="AE90" s="231">
        <f>IF(INDEX(Ashmin,MATCH(Table4[[#This Row],[SKU]],FG,0))="-","-",IF(Table4[[#This Row],[%Ash]]="-","-",IF(Table4[[#This Row],[%Ash]]&lt;INDEX(Ashmin,MATCH(Table4[[#This Row],[SKU]],FG,0)),0,IF(Table4[[#This Row],[%Ash]]&gt;INDEX(Ashmax,MATCH(Table4[[#This Row],[SKU]],FG,0)),0,2))))</f>
        <v>2</v>
      </c>
      <c r="AF90" s="231">
        <f>IF(INDEX(Absmin,MATCH(Table4[[#This Row],[SKU]],FG,0))="-","-",IF(Table4[[#This Row],[%Absorption]]="-","-",IF(Table4[[#This Row],[%Absorption]]&lt;INDEX(Absmin,MATCH(Table4[[#This Row],[SKU]],FG,0)),0,IF(Table4[[#This Row],[%Absorption]]&gt;INDEX(Absmax,MATCH(Table4[[#This Row],[SKU]],FG,0)),0,2))))</f>
        <v>2</v>
      </c>
      <c r="AG90" s="231">
        <f>IF(INDEX(Extmin,MATCH(Table4[[#This Row],[SKU]],FG,0))="-","-",IF(Table4[[#This Row],[%Extensibility]]="-","-",IF(Table4[[#This Row],[%Extensibility]]&lt;INDEX(Extmin,MATCH(Table4[[#This Row],[SKU]],FG,0)),0,IF(Table4[[#This Row],[%Extensibility]]&gt;INDEX(Extmax,MATCH(Table4[[#This Row],[SKU]],FG,0)),0,1))))</f>
        <v>1</v>
      </c>
      <c r="AH90" s="231">
        <f>IF(INDEX(Resmin,MATCH(Table4[[#This Row],[SKU]],FG,0))="-","-",IF(Table4[[#This Row],[Resistance, max]]="-","-",IF(Table4[[#This Row],[Resistance, max]]&lt;INDEX(Resmin,MATCH(Table4[[#This Row],[SKU]],FG,0)),0,IF(Table4[[#This Row],[Resistance, max]]&gt;INDEX(Resmax,MATCH(Table4[[#This Row],[SKU]],FG,0)),0,1))))</f>
        <v>1</v>
      </c>
      <c r="AI90" s="231">
        <f>IF(INDEX(WGmin,MATCH(Table4[[#This Row],[SKU]],FG,0))="-","-",IF(Table4[[#This Row],[%Wet Gluten]]="-","-",IF(Table4[[#This Row],[%Wet Gluten]]&lt;INDEX(WGmin,MATCH(Table4[[#This Row],[SKU]],FG,0)),0,IF(Table4[[#This Row],[%Wet Gluten]]&gt;INDEX(WGmax,MATCH(Table4[[#This Row],[SKU]],FG,0)),0,2))))</f>
        <v>2</v>
      </c>
      <c r="AJ90" s="232" t="str">
        <f>IF(Table4[[#This Row],[FN, s]]="-","-",IF(R90&lt;301,1,0))</f>
        <v>-</v>
      </c>
      <c r="AK90" s="233">
        <f>SUM(Table4[[#This Row],[ QI Bran Content]:[QI FN]])</f>
        <v>15</v>
      </c>
      <c r="AL90" s="232">
        <f t="shared" si="6"/>
        <v>15</v>
      </c>
      <c r="AM90" s="232" t="str">
        <f>IF(INDEX(WGmin,MATCH(Table4[[#This Row],[SKU]],FG,0))="-","-",IF(Table4[[#This Row],[Gross Weight]]="-","-",IF(Table4[[#This Row],[Gross Weight]]&lt;INDEX(GWmin,MATCH(Table4[[#This Row],[SKU]],FG,0)),0,IF(Table4[[#This Row],[Gross Weight]]&gt;INDEX(GWmax,MATCH(Table4[[#This Row],[SKU]],FG,0)),0,1))))</f>
        <v>-</v>
      </c>
      <c r="AN90" s="232">
        <f>IF(Table4[[#This Row],[Sealing Integrity]]="-","-",IF(Table4[[#This Row],[Sealing Integrity]]="P",1,0))</f>
        <v>1</v>
      </c>
      <c r="AO90" s="232">
        <f>IF(Table4[[#This Row],[Coding]]="-","-",IF(Table4[[#This Row],[Coding]]="P",1,0))</f>
        <v>1</v>
      </c>
      <c r="AP90" s="233">
        <f>SUM(Table4[[#This Row],[QI Weight]:[QI Code]])</f>
        <v>2</v>
      </c>
      <c r="AQ90" s="233">
        <f>COUNT(Table4[[#This Row],[QI Weight]:[QI Code]])</f>
        <v>2</v>
      </c>
      <c r="AR90" s="261">
        <f>Table4[[#This Row],[TA]]+Table4[[#This Row],[TA2]]</f>
        <v>17</v>
      </c>
      <c r="AS90" s="261">
        <f>Table4[[#This Row],[TP]]+Table4[[#This Row],[TP2]]</f>
        <v>17</v>
      </c>
      <c r="BD90" s="265">
        <f>IF(INDEX(MCmin,MATCH(Table4[[#This Row],[SKU]],FG,0))="-","-",IF(Table4[[#This Row],[%MC]]="-","-",IF(Table4[[#This Row],[%MC]]&lt;INDEX(MCmin,MATCH(Table4[[#This Row],[SKU]],FG,0)),1,0)))</f>
        <v>0</v>
      </c>
      <c r="BE90" s="265">
        <f>IF(INDEX(MCmin,MATCH(Table4[[#This Row],[SKU]],FG,0))="-","-",IF(Table4[[#This Row],[%MC]]="-","-",IF(Table4[[#This Row],[%MC]]&gt;INDEX(MCmax,MATCH(Table4[[#This Row],[SKU]],FG,0)),1,0)))</f>
        <v>0</v>
      </c>
      <c r="BF90" s="231">
        <f>IF(INDEX(Ashmin,MATCH(Table4[[#This Row],[SKU]],FG,0))="-","-",IF(Table4[[#This Row],[%Ash]]="-","-",IF(Table4[[#This Row],[%Ash]]&lt;INDEX(Ashmin,MATCH(Table4[[#This Row],[SKU]],FG,0)),1,0)))</f>
        <v>0</v>
      </c>
      <c r="BG90" s="231">
        <f>IF(INDEX(Ashmin,MATCH(Table4[[#This Row],[SKU]],FG,0))="-","-",IF(Table4[[#This Row],[%Ash]]="-","-",IF(Table4[[#This Row],[%Ash]]&gt;INDEX(Ashmax,MATCH(Table4[[#This Row],[SKU]],FG,0)),1,0)))</f>
        <v>0</v>
      </c>
      <c r="BH90" s="231">
        <f>IF(INDEX(Absmin,MATCH(Table4[[#This Row],[SKU]],FG,0))="-","-",IF(Table4[[#This Row],[%Absorption]]="-","-",IF(Table4[[#This Row],[%Absorption]]&lt;INDEX(Absmin,MATCH(Table4[[#This Row],[SKU]],FG,0)),1,0)))</f>
        <v>0</v>
      </c>
      <c r="BI90" s="231">
        <f>IF(INDEX(Absmin,MATCH(Table4[[#This Row],[SKU]],FG,0))="-","-",IF(Table4[[#This Row],[%Absorption]]="-","-",IF(Table4[[#This Row],[%Absorption]]&gt;INDEX(Absmax,MATCH(Table4[[#This Row],[SKU]],FG,0)),1,0)))</f>
        <v>0</v>
      </c>
      <c r="BJ90" s="231">
        <f>IF(INDEX(WGmin,MATCH(Table4[[#This Row],[SKU]],FG,0))="-","-",IF(Table4[[#This Row],[%Wet Gluten]]="-","-",IF(Table4[[#This Row],[%Wet Gluten]]&lt;INDEX(WGmin,MATCH(Table4[[#This Row],[SKU]],FG,0)),1,0)))</f>
        <v>0</v>
      </c>
      <c r="BK90" s="231">
        <f>IF(INDEX(WGmin,MATCH(Table4[[#This Row],[SKU]],FG,0))="-","-",IF(Table4[[#This Row],[%Wet Gluten]]="-","-",IF(Table4[[#This Row],[%Wet Gluten]]&gt;INDEX(WGmax,MATCH(Table4[[#This Row],[SKU]],FG,0)),1,0)))</f>
        <v>0</v>
      </c>
    </row>
    <row r="91" spans="1:63" x14ac:dyDescent="0.35">
      <c r="A91" s="243">
        <v>46023</v>
      </c>
      <c r="B91" s="244">
        <v>46028</v>
      </c>
      <c r="C91" s="244">
        <v>46026</v>
      </c>
      <c r="D91" s="244" t="s">
        <v>125</v>
      </c>
      <c r="E91" s="245" t="s">
        <v>240</v>
      </c>
      <c r="F91" s="246">
        <v>2</v>
      </c>
      <c r="G91" s="259" t="s">
        <v>90</v>
      </c>
      <c r="H91" s="247">
        <v>3.0000000000000001E-3</v>
      </c>
      <c r="I91" s="248" t="s">
        <v>165</v>
      </c>
      <c r="J91" s="248" t="s">
        <v>165</v>
      </c>
      <c r="K91" s="248" t="s">
        <v>165</v>
      </c>
      <c r="L91" s="248" t="s">
        <v>161</v>
      </c>
      <c r="M91" s="248" t="s">
        <v>161</v>
      </c>
      <c r="N91" s="249">
        <v>13.09</v>
      </c>
      <c r="O91" s="249">
        <v>12.97</v>
      </c>
      <c r="P91" s="249">
        <v>0.46</v>
      </c>
      <c r="Q91" s="249">
        <v>64.900000000000006</v>
      </c>
      <c r="R91" s="249">
        <v>12.5</v>
      </c>
      <c r="S91" s="250">
        <v>547</v>
      </c>
      <c r="T91" s="249">
        <v>36.299999999999997</v>
      </c>
      <c r="U91" s="249" t="s">
        <v>163</v>
      </c>
      <c r="V91" s="251" t="s">
        <v>163</v>
      </c>
      <c r="W91" s="252" t="s">
        <v>165</v>
      </c>
      <c r="X91" s="252" t="s">
        <v>165</v>
      </c>
      <c r="Y91" s="248" t="s">
        <v>163</v>
      </c>
      <c r="Z91" s="231">
        <f>IF(Table4[[#This Row],[ Bran Content]]="-","-",IF(H91&gt;0.02,0,2))</f>
        <v>2</v>
      </c>
      <c r="AA91" s="231">
        <f>IF(Table4[[#This Row],[Sieve Test]]="-","-",IF(Table4[[#This Row],[Sieve Test]]="P",1,0))</f>
        <v>1</v>
      </c>
      <c r="AB91" s="231">
        <f>IF(Table4[[#This Row],[Odor]]="-","-",IF(Table4[[#This Row],[Odor]]="P",2,0))</f>
        <v>2</v>
      </c>
      <c r="AC91" s="231">
        <f>IF(INDEX(MCmin,MATCH(Table4[[#This Row],[SKU]],FG,0))="-","-",IF(Table4[[#This Row],[%MC]]="-","-",IF(Table4[[#This Row],[%MC]]&lt;INDEX(MCmin,MATCH(Table4[[#This Row],[SKU]],FG,0)),0,IF(Table4[[#This Row],[%MC]]&gt;INDEX(MCmax,MATCH(Table4[[#This Row],[SKU]],FG,0)),0,1))))</f>
        <v>1</v>
      </c>
      <c r="AD91" s="231" t="str">
        <f>IF(INDEX(Protmin,MATCH(Table4[[#This Row],[SKU]],FG,0))="-","-",IF(Table4[[#This Row],[%Protein]]="-","-",IF(Table4[[#This Row],[%Protein]]&lt;INDEX(Protmin,MATCH(Table4[[#This Row],[SKU]],FG,0)),0,IF(Table4[[#This Row],[%Protein]]&gt;INDEX(Protmax,MATCH(Table4[[#This Row],[SKU]],FG,0)),0,1))))</f>
        <v>-</v>
      </c>
      <c r="AE91" s="231">
        <f>IF(INDEX(Ashmin,MATCH(Table4[[#This Row],[SKU]],FG,0))="-","-",IF(Table4[[#This Row],[%Ash]]="-","-",IF(Table4[[#This Row],[%Ash]]&lt;INDEX(Ashmin,MATCH(Table4[[#This Row],[SKU]],FG,0)),0,IF(Table4[[#This Row],[%Ash]]&gt;INDEX(Ashmax,MATCH(Table4[[#This Row],[SKU]],FG,0)),0,2))))</f>
        <v>2</v>
      </c>
      <c r="AF91" s="231">
        <f>IF(INDEX(Absmin,MATCH(Table4[[#This Row],[SKU]],FG,0))="-","-",IF(Table4[[#This Row],[%Absorption]]="-","-",IF(Table4[[#This Row],[%Absorption]]&lt;INDEX(Absmin,MATCH(Table4[[#This Row],[SKU]],FG,0)),0,IF(Table4[[#This Row],[%Absorption]]&gt;INDEX(Absmax,MATCH(Table4[[#This Row],[SKU]],FG,0)),0,2))))</f>
        <v>2</v>
      </c>
      <c r="AG91" s="231" t="str">
        <f>IF(INDEX(Extmin,MATCH(Table4[[#This Row],[SKU]],FG,0))="-","-",IF(Table4[[#This Row],[%Extensibility]]="-","-",IF(Table4[[#This Row],[%Extensibility]]&lt;INDEX(Extmin,MATCH(Table4[[#This Row],[SKU]],FG,0)),0,IF(Table4[[#This Row],[%Extensibility]]&gt;INDEX(Extmax,MATCH(Table4[[#This Row],[SKU]],FG,0)),0,1))))</f>
        <v>-</v>
      </c>
      <c r="AH91" s="231" t="str">
        <f>IF(INDEX(Resmin,MATCH(Table4[[#This Row],[SKU]],FG,0))="-","-",IF(Table4[[#This Row],[Resistance, max]]="-","-",IF(Table4[[#This Row],[Resistance, max]]&lt;INDEX(Resmin,MATCH(Table4[[#This Row],[SKU]],FG,0)),0,IF(Table4[[#This Row],[Resistance, max]]&gt;INDEX(Resmax,MATCH(Table4[[#This Row],[SKU]],FG,0)),0,1))))</f>
        <v>-</v>
      </c>
      <c r="AI91" s="231">
        <f>IF(INDEX(WGmin,MATCH(Table4[[#This Row],[SKU]],FG,0))="-","-",IF(Table4[[#This Row],[%Wet Gluten]]="-","-",IF(Table4[[#This Row],[%Wet Gluten]]&lt;INDEX(WGmin,MATCH(Table4[[#This Row],[SKU]],FG,0)),0,IF(Table4[[#This Row],[%Wet Gluten]]&gt;INDEX(WGmax,MATCH(Table4[[#This Row],[SKU]],FG,0)),0,2))))</f>
        <v>2</v>
      </c>
      <c r="AJ91" s="232" t="str">
        <f>IF(Table4[[#This Row],[FN, s]]="-","-",IF(R91&lt;301,1,0))</f>
        <v>-</v>
      </c>
      <c r="AK91" s="233">
        <f>SUM(Table4[[#This Row],[ QI Bran Content]:[QI FN]])</f>
        <v>12</v>
      </c>
      <c r="AL91" s="232">
        <f t="shared" si="6"/>
        <v>12</v>
      </c>
      <c r="AM91" s="232" t="str">
        <f>IF(INDEX(WGmin,MATCH(Table4[[#This Row],[SKU]],FG,0))="-","-",IF(Table4[[#This Row],[Gross Weight]]="-","-",IF(Table4[[#This Row],[Gross Weight]]&lt;INDEX(GWmin,MATCH(Table4[[#This Row],[SKU]],FG,0)),0,IF(Table4[[#This Row],[Gross Weight]]&gt;INDEX(GWmax,MATCH(Table4[[#This Row],[SKU]],FG,0)),0,1))))</f>
        <v>-</v>
      </c>
      <c r="AN91" s="232">
        <f>IF(Table4[[#This Row],[Sealing Integrity]]="-","-",IF(Table4[[#This Row],[Sealing Integrity]]="P",1,0))</f>
        <v>1</v>
      </c>
      <c r="AO91" s="232">
        <f>IF(Table4[[#This Row],[Coding]]="-","-",IF(Table4[[#This Row],[Coding]]="P",1,0))</f>
        <v>1</v>
      </c>
      <c r="AP91" s="233">
        <f>SUM(Table4[[#This Row],[QI Weight]:[QI Code]])</f>
        <v>2</v>
      </c>
      <c r="AQ91" s="233">
        <f>COUNT(Table4[[#This Row],[QI Weight]:[QI Code]])</f>
        <v>2</v>
      </c>
      <c r="AR91" s="261">
        <f>Table4[[#This Row],[TA]]+Table4[[#This Row],[TA2]]</f>
        <v>14</v>
      </c>
      <c r="AS91" s="261">
        <f>Table4[[#This Row],[TP]]+Table4[[#This Row],[TP2]]</f>
        <v>14</v>
      </c>
      <c r="BD91" s="265">
        <f>IF(INDEX(MCmin,MATCH(Table4[[#This Row],[SKU]],FG,0))="-","-",IF(Table4[[#This Row],[%MC]]="-","-",IF(Table4[[#This Row],[%MC]]&lt;INDEX(MCmin,MATCH(Table4[[#This Row],[SKU]],FG,0)),1,0)))</f>
        <v>0</v>
      </c>
      <c r="BE91" s="265">
        <f>IF(INDEX(MCmin,MATCH(Table4[[#This Row],[SKU]],FG,0))="-","-",IF(Table4[[#This Row],[%MC]]="-","-",IF(Table4[[#This Row],[%MC]]&gt;INDEX(MCmax,MATCH(Table4[[#This Row],[SKU]],FG,0)),1,0)))</f>
        <v>0</v>
      </c>
      <c r="BF91" s="231">
        <f>IF(INDEX(Ashmin,MATCH(Table4[[#This Row],[SKU]],FG,0))="-","-",IF(Table4[[#This Row],[%Ash]]="-","-",IF(Table4[[#This Row],[%Ash]]&lt;INDEX(Ashmin,MATCH(Table4[[#This Row],[SKU]],FG,0)),1,0)))</f>
        <v>0</v>
      </c>
      <c r="BG91" s="231">
        <f>IF(INDEX(Ashmin,MATCH(Table4[[#This Row],[SKU]],FG,0))="-","-",IF(Table4[[#This Row],[%Ash]]="-","-",IF(Table4[[#This Row],[%Ash]]&gt;INDEX(Ashmax,MATCH(Table4[[#This Row],[SKU]],FG,0)),1,0)))</f>
        <v>0</v>
      </c>
      <c r="BH91" s="231">
        <f>IF(INDEX(Absmin,MATCH(Table4[[#This Row],[SKU]],FG,0))="-","-",IF(Table4[[#This Row],[%Absorption]]="-","-",IF(Table4[[#This Row],[%Absorption]]&lt;INDEX(Absmin,MATCH(Table4[[#This Row],[SKU]],FG,0)),1,0)))</f>
        <v>0</v>
      </c>
      <c r="BI91" s="231">
        <f>IF(INDEX(Absmin,MATCH(Table4[[#This Row],[SKU]],FG,0))="-","-",IF(Table4[[#This Row],[%Absorption]]="-","-",IF(Table4[[#This Row],[%Absorption]]&gt;INDEX(Absmax,MATCH(Table4[[#This Row],[SKU]],FG,0)),1,0)))</f>
        <v>0</v>
      </c>
      <c r="BJ91" s="231">
        <f>IF(INDEX(WGmin,MATCH(Table4[[#This Row],[SKU]],FG,0))="-","-",IF(Table4[[#This Row],[%Wet Gluten]]="-","-",IF(Table4[[#This Row],[%Wet Gluten]]&lt;INDEX(WGmin,MATCH(Table4[[#This Row],[SKU]],FG,0)),1,0)))</f>
        <v>0</v>
      </c>
      <c r="BK91" s="231">
        <f>IF(INDEX(WGmin,MATCH(Table4[[#This Row],[SKU]],FG,0))="-","-",IF(Table4[[#This Row],[%Wet Gluten]]="-","-",IF(Table4[[#This Row],[%Wet Gluten]]&gt;INDEX(WGmax,MATCH(Table4[[#This Row],[SKU]],FG,0)),1,0)))</f>
        <v>0</v>
      </c>
    </row>
    <row r="92" spans="1:63" x14ac:dyDescent="0.35">
      <c r="A92" s="243">
        <v>46023</v>
      </c>
      <c r="B92" s="244">
        <v>46028</v>
      </c>
      <c r="C92" s="244">
        <v>46026</v>
      </c>
      <c r="D92" s="244" t="s">
        <v>125</v>
      </c>
      <c r="E92" s="245" t="s">
        <v>327</v>
      </c>
      <c r="F92" s="246">
        <v>2</v>
      </c>
      <c r="G92" s="259" t="s">
        <v>90</v>
      </c>
      <c r="H92" s="247">
        <v>3.0999999999999999E-3</v>
      </c>
      <c r="I92" s="248" t="s">
        <v>165</v>
      </c>
      <c r="J92" s="248" t="s">
        <v>165</v>
      </c>
      <c r="K92" s="248" t="s">
        <v>165</v>
      </c>
      <c r="L92" s="248" t="s">
        <v>161</v>
      </c>
      <c r="M92" s="248" t="s">
        <v>161</v>
      </c>
      <c r="N92" s="249">
        <v>13.1</v>
      </c>
      <c r="O92" s="249" t="s">
        <v>163</v>
      </c>
      <c r="P92" s="249" t="s">
        <v>163</v>
      </c>
      <c r="Q92" s="249" t="s">
        <v>163</v>
      </c>
      <c r="R92" s="249" t="s">
        <v>163</v>
      </c>
      <c r="S92" s="250" t="s">
        <v>163</v>
      </c>
      <c r="T92" s="249" t="s">
        <v>163</v>
      </c>
      <c r="U92" s="249" t="s">
        <v>163</v>
      </c>
      <c r="V92" s="251" t="s">
        <v>163</v>
      </c>
      <c r="W92" s="252" t="s">
        <v>165</v>
      </c>
      <c r="X92" s="252" t="s">
        <v>165</v>
      </c>
      <c r="Y92" s="248" t="s">
        <v>163</v>
      </c>
      <c r="Z92" s="231">
        <f>IF(Table4[[#This Row],[ Bran Content]]="-","-",IF(H92&gt;0.02,0,2))</f>
        <v>2</v>
      </c>
      <c r="AA92" s="231">
        <f>IF(Table4[[#This Row],[Sieve Test]]="-","-",IF(Table4[[#This Row],[Sieve Test]]="P",1,0))</f>
        <v>1</v>
      </c>
      <c r="AB92" s="231">
        <f>IF(Table4[[#This Row],[Odor]]="-","-",IF(Table4[[#This Row],[Odor]]="P",2,0))</f>
        <v>2</v>
      </c>
      <c r="AC92" s="231">
        <f>IF(INDEX(MCmin,MATCH(Table4[[#This Row],[SKU]],FG,0))="-","-",IF(Table4[[#This Row],[%MC]]="-","-",IF(Table4[[#This Row],[%MC]]&lt;INDEX(MCmin,MATCH(Table4[[#This Row],[SKU]],FG,0)),0,IF(Table4[[#This Row],[%MC]]&gt;INDEX(MCmax,MATCH(Table4[[#This Row],[SKU]],FG,0)),0,1))))</f>
        <v>1</v>
      </c>
      <c r="AD92" s="231" t="str">
        <f>IF(INDEX(Protmin,MATCH(Table4[[#This Row],[SKU]],FG,0))="-","-",IF(Table4[[#This Row],[%Protein]]="-","-",IF(Table4[[#This Row],[%Protein]]&lt;INDEX(Protmin,MATCH(Table4[[#This Row],[SKU]],FG,0)),0,IF(Table4[[#This Row],[%Protein]]&gt;INDEX(Protmax,MATCH(Table4[[#This Row],[SKU]],FG,0)),0,1))))</f>
        <v>-</v>
      </c>
      <c r="AE92" s="231" t="str">
        <f>IF(INDEX(Ashmin,MATCH(Table4[[#This Row],[SKU]],FG,0))="-","-",IF(Table4[[#This Row],[%Ash]]="-","-",IF(Table4[[#This Row],[%Ash]]&lt;INDEX(Ashmin,MATCH(Table4[[#This Row],[SKU]],FG,0)),0,IF(Table4[[#This Row],[%Ash]]&gt;INDEX(Ashmax,MATCH(Table4[[#This Row],[SKU]],FG,0)),0,2))))</f>
        <v>-</v>
      </c>
      <c r="AF92" s="231" t="str">
        <f>IF(INDEX(Absmin,MATCH(Table4[[#This Row],[SKU]],FG,0))="-","-",IF(Table4[[#This Row],[%Absorption]]="-","-",IF(Table4[[#This Row],[%Absorption]]&lt;INDEX(Absmin,MATCH(Table4[[#This Row],[SKU]],FG,0)),0,IF(Table4[[#This Row],[%Absorption]]&gt;INDEX(Absmax,MATCH(Table4[[#This Row],[SKU]],FG,0)),0,2))))</f>
        <v>-</v>
      </c>
      <c r="AG92" s="231" t="str">
        <f>IF(INDEX(Extmin,MATCH(Table4[[#This Row],[SKU]],FG,0))="-","-",IF(Table4[[#This Row],[%Extensibility]]="-","-",IF(Table4[[#This Row],[%Extensibility]]&lt;INDEX(Extmin,MATCH(Table4[[#This Row],[SKU]],FG,0)),0,IF(Table4[[#This Row],[%Extensibility]]&gt;INDEX(Extmax,MATCH(Table4[[#This Row],[SKU]],FG,0)),0,1))))</f>
        <v>-</v>
      </c>
      <c r="AH92" s="231" t="str">
        <f>IF(INDEX(Resmin,MATCH(Table4[[#This Row],[SKU]],FG,0))="-","-",IF(Table4[[#This Row],[Resistance, max]]="-","-",IF(Table4[[#This Row],[Resistance, max]]&lt;INDEX(Resmin,MATCH(Table4[[#This Row],[SKU]],FG,0)),0,IF(Table4[[#This Row],[Resistance, max]]&gt;INDEX(Resmax,MATCH(Table4[[#This Row],[SKU]],FG,0)),0,1))))</f>
        <v>-</v>
      </c>
      <c r="AI92" s="231" t="str">
        <f>IF(INDEX(WGmin,MATCH(Table4[[#This Row],[SKU]],FG,0))="-","-",IF(Table4[[#This Row],[%Wet Gluten]]="-","-",IF(Table4[[#This Row],[%Wet Gluten]]&lt;INDEX(WGmin,MATCH(Table4[[#This Row],[SKU]],FG,0)),0,IF(Table4[[#This Row],[%Wet Gluten]]&gt;INDEX(WGmax,MATCH(Table4[[#This Row],[SKU]],FG,0)),0,2))))</f>
        <v>-</v>
      </c>
      <c r="AJ92" s="232" t="str">
        <f>IF(Table4[[#This Row],[FN, s]]="-","-",IF(R92&lt;301,1,0))</f>
        <v>-</v>
      </c>
      <c r="AK92" s="233">
        <f>SUM(Table4[[#This Row],[ QI Bran Content]:[QI FN]])</f>
        <v>6</v>
      </c>
      <c r="AL92" s="232">
        <f t="shared" si="6"/>
        <v>6</v>
      </c>
      <c r="AM92" s="232" t="str">
        <f>IF(INDEX(WGmin,MATCH(Table4[[#This Row],[SKU]],FG,0))="-","-",IF(Table4[[#This Row],[Gross Weight]]="-","-",IF(Table4[[#This Row],[Gross Weight]]&lt;INDEX(GWmin,MATCH(Table4[[#This Row],[SKU]],FG,0)),0,IF(Table4[[#This Row],[Gross Weight]]&gt;INDEX(GWmax,MATCH(Table4[[#This Row],[SKU]],FG,0)),0,1))))</f>
        <v>-</v>
      </c>
      <c r="AN92" s="232">
        <f>IF(Table4[[#This Row],[Sealing Integrity]]="-","-",IF(Table4[[#This Row],[Sealing Integrity]]="P",1,0))</f>
        <v>1</v>
      </c>
      <c r="AO92" s="232">
        <f>IF(Table4[[#This Row],[Coding]]="-","-",IF(Table4[[#This Row],[Coding]]="P",1,0))</f>
        <v>1</v>
      </c>
      <c r="AP92" s="233">
        <f>SUM(Table4[[#This Row],[QI Weight]:[QI Code]])</f>
        <v>2</v>
      </c>
      <c r="AQ92" s="233">
        <f>COUNT(Table4[[#This Row],[QI Weight]:[QI Code]])</f>
        <v>2</v>
      </c>
      <c r="AR92" s="261">
        <f>Table4[[#This Row],[TA]]+Table4[[#This Row],[TA2]]</f>
        <v>8</v>
      </c>
      <c r="AS92" s="261">
        <f>Table4[[#This Row],[TP]]+Table4[[#This Row],[TP2]]</f>
        <v>8</v>
      </c>
      <c r="BD92" s="265">
        <f>IF(INDEX(MCmin,MATCH(Table4[[#This Row],[SKU]],FG,0))="-","-",IF(Table4[[#This Row],[%MC]]="-","-",IF(Table4[[#This Row],[%MC]]&lt;INDEX(MCmin,MATCH(Table4[[#This Row],[SKU]],FG,0)),1,0)))</f>
        <v>0</v>
      </c>
      <c r="BE92" s="265">
        <f>IF(INDEX(MCmin,MATCH(Table4[[#This Row],[SKU]],FG,0))="-","-",IF(Table4[[#This Row],[%MC]]="-","-",IF(Table4[[#This Row],[%MC]]&gt;INDEX(MCmax,MATCH(Table4[[#This Row],[SKU]],FG,0)),1,0)))</f>
        <v>0</v>
      </c>
      <c r="BF92" s="231" t="str">
        <f>IF(INDEX(Ashmin,MATCH(Table4[[#This Row],[SKU]],FG,0))="-","-",IF(Table4[[#This Row],[%Ash]]="-","-",IF(Table4[[#This Row],[%Ash]]&lt;INDEX(Ashmin,MATCH(Table4[[#This Row],[SKU]],FG,0)),1,0)))</f>
        <v>-</v>
      </c>
      <c r="BG92" s="231" t="str">
        <f>IF(INDEX(Ashmin,MATCH(Table4[[#This Row],[SKU]],FG,0))="-","-",IF(Table4[[#This Row],[%Ash]]="-","-",IF(Table4[[#This Row],[%Ash]]&gt;INDEX(Ashmax,MATCH(Table4[[#This Row],[SKU]],FG,0)),1,0)))</f>
        <v>-</v>
      </c>
      <c r="BH92" s="231" t="str">
        <f>IF(INDEX(Absmin,MATCH(Table4[[#This Row],[SKU]],FG,0))="-","-",IF(Table4[[#This Row],[%Absorption]]="-","-",IF(Table4[[#This Row],[%Absorption]]&lt;INDEX(Absmin,MATCH(Table4[[#This Row],[SKU]],FG,0)),1,0)))</f>
        <v>-</v>
      </c>
      <c r="BI92" s="231" t="str">
        <f>IF(INDEX(Absmin,MATCH(Table4[[#This Row],[SKU]],FG,0))="-","-",IF(Table4[[#This Row],[%Absorption]]="-","-",IF(Table4[[#This Row],[%Absorption]]&gt;INDEX(Absmax,MATCH(Table4[[#This Row],[SKU]],FG,0)),1,0)))</f>
        <v>-</v>
      </c>
      <c r="BJ92" s="231" t="str">
        <f>IF(INDEX(WGmin,MATCH(Table4[[#This Row],[SKU]],FG,0))="-","-",IF(Table4[[#This Row],[%Wet Gluten]]="-","-",IF(Table4[[#This Row],[%Wet Gluten]]&lt;INDEX(WGmin,MATCH(Table4[[#This Row],[SKU]],FG,0)),1,0)))</f>
        <v>-</v>
      </c>
      <c r="BK92" s="231" t="str">
        <f>IF(INDEX(WGmin,MATCH(Table4[[#This Row],[SKU]],FG,0))="-","-",IF(Table4[[#This Row],[%Wet Gluten]]="-","-",IF(Table4[[#This Row],[%Wet Gluten]]&gt;INDEX(WGmax,MATCH(Table4[[#This Row],[SKU]],FG,0)),1,0)))</f>
        <v>-</v>
      </c>
    </row>
    <row r="93" spans="1:63" x14ac:dyDescent="0.35">
      <c r="A93" s="243">
        <v>46023</v>
      </c>
      <c r="B93" s="244">
        <v>46028</v>
      </c>
      <c r="C93" s="244">
        <v>46026</v>
      </c>
      <c r="D93" s="244" t="s">
        <v>125</v>
      </c>
      <c r="E93" s="245" t="s">
        <v>237</v>
      </c>
      <c r="F93" s="246">
        <v>2</v>
      </c>
      <c r="G93" s="259" t="s">
        <v>90</v>
      </c>
      <c r="H93" s="247">
        <v>2.8E-3</v>
      </c>
      <c r="I93" s="248" t="s">
        <v>165</v>
      </c>
      <c r="J93" s="248" t="s">
        <v>165</v>
      </c>
      <c r="K93" s="248" t="s">
        <v>165</v>
      </c>
      <c r="L93" s="248" t="s">
        <v>161</v>
      </c>
      <c r="M93" s="248" t="s">
        <v>161</v>
      </c>
      <c r="N93" s="249">
        <v>12.19</v>
      </c>
      <c r="O93" s="249" t="s">
        <v>163</v>
      </c>
      <c r="P93" s="249" t="s">
        <v>163</v>
      </c>
      <c r="Q93" s="249" t="s">
        <v>163</v>
      </c>
      <c r="R93" s="249" t="s">
        <v>163</v>
      </c>
      <c r="S93" s="250" t="s">
        <v>163</v>
      </c>
      <c r="T93" s="249" t="s">
        <v>163</v>
      </c>
      <c r="U93" s="249" t="s">
        <v>163</v>
      </c>
      <c r="V93" s="251" t="s">
        <v>163</v>
      </c>
      <c r="W93" s="252" t="s">
        <v>165</v>
      </c>
      <c r="X93" s="252" t="s">
        <v>165</v>
      </c>
      <c r="Y93" s="248" t="s">
        <v>163</v>
      </c>
      <c r="Z93" s="231">
        <f>IF(Table4[[#This Row],[ Bran Content]]="-","-",IF(H93&gt;0.02,0,2))</f>
        <v>2</v>
      </c>
      <c r="AA93" s="231">
        <f>IF(Table4[[#This Row],[Sieve Test]]="-","-",IF(Table4[[#This Row],[Sieve Test]]="P",1,0))</f>
        <v>1</v>
      </c>
      <c r="AB93" s="231">
        <f>IF(Table4[[#This Row],[Odor]]="-","-",IF(Table4[[#This Row],[Odor]]="P",2,0))</f>
        <v>2</v>
      </c>
      <c r="AC93" s="231">
        <f>IF(INDEX(MCmin,MATCH(Table4[[#This Row],[SKU]],FG,0))="-","-",IF(Table4[[#This Row],[%MC]]="-","-",IF(Table4[[#This Row],[%MC]]&lt;INDEX(MCmin,MATCH(Table4[[#This Row],[SKU]],FG,0)),0,IF(Table4[[#This Row],[%MC]]&gt;INDEX(MCmax,MATCH(Table4[[#This Row],[SKU]],FG,0)),0,1))))</f>
        <v>1</v>
      </c>
      <c r="AD93" s="231" t="str">
        <f>IF(INDEX(Protmin,MATCH(Table4[[#This Row],[SKU]],FG,0))="-","-",IF(Table4[[#This Row],[%Protein]]="-","-",IF(Table4[[#This Row],[%Protein]]&lt;INDEX(Protmin,MATCH(Table4[[#This Row],[SKU]],FG,0)),0,IF(Table4[[#This Row],[%Protein]]&gt;INDEX(Protmax,MATCH(Table4[[#This Row],[SKU]],FG,0)),0,1))))</f>
        <v>-</v>
      </c>
      <c r="AE93" s="231" t="str">
        <f>IF(INDEX(Ashmin,MATCH(Table4[[#This Row],[SKU]],FG,0))="-","-",IF(Table4[[#This Row],[%Ash]]="-","-",IF(Table4[[#This Row],[%Ash]]&lt;INDEX(Ashmin,MATCH(Table4[[#This Row],[SKU]],FG,0)),0,IF(Table4[[#This Row],[%Ash]]&gt;INDEX(Ashmax,MATCH(Table4[[#This Row],[SKU]],FG,0)),0,2))))</f>
        <v>-</v>
      </c>
      <c r="AF93" s="231" t="str">
        <f>IF(INDEX(Absmin,MATCH(Table4[[#This Row],[SKU]],FG,0))="-","-",IF(Table4[[#This Row],[%Absorption]]="-","-",IF(Table4[[#This Row],[%Absorption]]&lt;INDEX(Absmin,MATCH(Table4[[#This Row],[SKU]],FG,0)),0,IF(Table4[[#This Row],[%Absorption]]&gt;INDEX(Absmax,MATCH(Table4[[#This Row],[SKU]],FG,0)),0,2))))</f>
        <v>-</v>
      </c>
      <c r="AG93" s="231" t="str">
        <f>IF(INDEX(Extmin,MATCH(Table4[[#This Row],[SKU]],FG,0))="-","-",IF(Table4[[#This Row],[%Extensibility]]="-","-",IF(Table4[[#This Row],[%Extensibility]]&lt;INDEX(Extmin,MATCH(Table4[[#This Row],[SKU]],FG,0)),0,IF(Table4[[#This Row],[%Extensibility]]&gt;INDEX(Extmax,MATCH(Table4[[#This Row],[SKU]],FG,0)),0,1))))</f>
        <v>-</v>
      </c>
      <c r="AH93" s="231" t="str">
        <f>IF(INDEX(Resmin,MATCH(Table4[[#This Row],[SKU]],FG,0))="-","-",IF(Table4[[#This Row],[Resistance, max]]="-","-",IF(Table4[[#This Row],[Resistance, max]]&lt;INDEX(Resmin,MATCH(Table4[[#This Row],[SKU]],FG,0)),0,IF(Table4[[#This Row],[Resistance, max]]&gt;INDEX(Resmax,MATCH(Table4[[#This Row],[SKU]],FG,0)),0,1))))</f>
        <v>-</v>
      </c>
      <c r="AI93" s="231" t="str">
        <f>IF(INDEX(WGmin,MATCH(Table4[[#This Row],[SKU]],FG,0))="-","-",IF(Table4[[#This Row],[%Wet Gluten]]="-","-",IF(Table4[[#This Row],[%Wet Gluten]]&lt;INDEX(WGmin,MATCH(Table4[[#This Row],[SKU]],FG,0)),0,IF(Table4[[#This Row],[%Wet Gluten]]&gt;INDEX(WGmax,MATCH(Table4[[#This Row],[SKU]],FG,0)),0,2))))</f>
        <v>-</v>
      </c>
      <c r="AJ93" s="232" t="str">
        <f>IF(Table4[[#This Row],[FN, s]]="-","-",IF(R93&lt;301,1,0))</f>
        <v>-</v>
      </c>
      <c r="AK93" s="233">
        <f>SUM(Table4[[#This Row],[ QI Bran Content]:[QI FN]])</f>
        <v>6</v>
      </c>
      <c r="AL93" s="232">
        <f t="shared" si="6"/>
        <v>6</v>
      </c>
      <c r="AM93" s="232" t="str">
        <f>IF(INDEX(WGmin,MATCH(Table4[[#This Row],[SKU]],FG,0))="-","-",IF(Table4[[#This Row],[Gross Weight]]="-","-",IF(Table4[[#This Row],[Gross Weight]]&lt;INDEX(GWmin,MATCH(Table4[[#This Row],[SKU]],FG,0)),0,IF(Table4[[#This Row],[Gross Weight]]&gt;INDEX(GWmax,MATCH(Table4[[#This Row],[SKU]],FG,0)),0,1))))</f>
        <v>-</v>
      </c>
      <c r="AN93" s="232">
        <f>IF(Table4[[#This Row],[Sealing Integrity]]="-","-",IF(Table4[[#This Row],[Sealing Integrity]]="P",1,0))</f>
        <v>1</v>
      </c>
      <c r="AO93" s="232">
        <f>IF(Table4[[#This Row],[Coding]]="-","-",IF(Table4[[#This Row],[Coding]]="P",1,0))</f>
        <v>1</v>
      </c>
      <c r="AP93" s="233">
        <f>SUM(Table4[[#This Row],[QI Weight]:[QI Code]])</f>
        <v>2</v>
      </c>
      <c r="AQ93" s="233">
        <f>COUNT(Table4[[#This Row],[QI Weight]:[QI Code]])</f>
        <v>2</v>
      </c>
      <c r="AR93" s="261">
        <f>Table4[[#This Row],[TA]]+Table4[[#This Row],[TA2]]</f>
        <v>8</v>
      </c>
      <c r="AS93" s="261">
        <f>Table4[[#This Row],[TP]]+Table4[[#This Row],[TP2]]</f>
        <v>8</v>
      </c>
      <c r="BD93" s="265">
        <f>IF(INDEX(MCmin,MATCH(Table4[[#This Row],[SKU]],FG,0))="-","-",IF(Table4[[#This Row],[%MC]]="-","-",IF(Table4[[#This Row],[%MC]]&lt;INDEX(MCmin,MATCH(Table4[[#This Row],[SKU]],FG,0)),1,0)))</f>
        <v>0</v>
      </c>
      <c r="BE93" s="265">
        <f>IF(INDEX(MCmin,MATCH(Table4[[#This Row],[SKU]],FG,0))="-","-",IF(Table4[[#This Row],[%MC]]="-","-",IF(Table4[[#This Row],[%MC]]&gt;INDEX(MCmax,MATCH(Table4[[#This Row],[SKU]],FG,0)),1,0)))</f>
        <v>0</v>
      </c>
      <c r="BF93" s="231" t="str">
        <f>IF(INDEX(Ashmin,MATCH(Table4[[#This Row],[SKU]],FG,0))="-","-",IF(Table4[[#This Row],[%Ash]]="-","-",IF(Table4[[#This Row],[%Ash]]&lt;INDEX(Ashmin,MATCH(Table4[[#This Row],[SKU]],FG,0)),1,0)))</f>
        <v>-</v>
      </c>
      <c r="BG93" s="231" t="str">
        <f>IF(INDEX(Ashmin,MATCH(Table4[[#This Row],[SKU]],FG,0))="-","-",IF(Table4[[#This Row],[%Ash]]="-","-",IF(Table4[[#This Row],[%Ash]]&gt;INDEX(Ashmax,MATCH(Table4[[#This Row],[SKU]],FG,0)),1,0)))</f>
        <v>-</v>
      </c>
      <c r="BH93" s="231" t="str">
        <f>IF(INDEX(Absmin,MATCH(Table4[[#This Row],[SKU]],FG,0))="-","-",IF(Table4[[#This Row],[%Absorption]]="-","-",IF(Table4[[#This Row],[%Absorption]]&lt;INDEX(Absmin,MATCH(Table4[[#This Row],[SKU]],FG,0)),1,0)))</f>
        <v>-</v>
      </c>
      <c r="BI93" s="231" t="str">
        <f>IF(INDEX(Absmin,MATCH(Table4[[#This Row],[SKU]],FG,0))="-","-",IF(Table4[[#This Row],[%Absorption]]="-","-",IF(Table4[[#This Row],[%Absorption]]&gt;INDEX(Absmax,MATCH(Table4[[#This Row],[SKU]],FG,0)),1,0)))</f>
        <v>-</v>
      </c>
      <c r="BJ93" s="231" t="str">
        <f>IF(INDEX(WGmin,MATCH(Table4[[#This Row],[SKU]],FG,0))="-","-",IF(Table4[[#This Row],[%Wet Gluten]]="-","-",IF(Table4[[#This Row],[%Wet Gluten]]&lt;INDEX(WGmin,MATCH(Table4[[#This Row],[SKU]],FG,0)),1,0)))</f>
        <v>-</v>
      </c>
      <c r="BK93" s="231" t="str">
        <f>IF(INDEX(WGmin,MATCH(Table4[[#This Row],[SKU]],FG,0))="-","-",IF(Table4[[#This Row],[%Wet Gluten]]="-","-",IF(Table4[[#This Row],[%Wet Gluten]]&gt;INDEX(WGmax,MATCH(Table4[[#This Row],[SKU]],FG,0)),1,0)))</f>
        <v>-</v>
      </c>
    </row>
    <row r="94" spans="1:63" x14ac:dyDescent="0.35">
      <c r="A94" s="243">
        <v>46023</v>
      </c>
      <c r="B94" s="244">
        <v>46028</v>
      </c>
      <c r="C94" s="244">
        <v>46026</v>
      </c>
      <c r="D94" s="244" t="s">
        <v>125</v>
      </c>
      <c r="E94" s="245" t="s">
        <v>328</v>
      </c>
      <c r="F94" s="246">
        <v>2</v>
      </c>
      <c r="G94" s="259" t="s">
        <v>90</v>
      </c>
      <c r="H94" s="247">
        <v>3.3E-3</v>
      </c>
      <c r="I94" s="248" t="s">
        <v>165</v>
      </c>
      <c r="J94" s="248" t="s">
        <v>165</v>
      </c>
      <c r="K94" s="248" t="s">
        <v>165</v>
      </c>
      <c r="L94" s="248" t="s">
        <v>161</v>
      </c>
      <c r="M94" s="248" t="s">
        <v>161</v>
      </c>
      <c r="N94" s="249">
        <v>12.58</v>
      </c>
      <c r="O94" s="249" t="s">
        <v>163</v>
      </c>
      <c r="P94" s="249" t="s">
        <v>163</v>
      </c>
      <c r="Q94" s="249" t="s">
        <v>163</v>
      </c>
      <c r="R94" s="249" t="s">
        <v>163</v>
      </c>
      <c r="S94" s="250" t="s">
        <v>163</v>
      </c>
      <c r="T94" s="249" t="s">
        <v>163</v>
      </c>
      <c r="U94" s="249" t="s">
        <v>163</v>
      </c>
      <c r="V94" s="251" t="s">
        <v>163</v>
      </c>
      <c r="W94" s="252" t="s">
        <v>165</v>
      </c>
      <c r="X94" s="252" t="s">
        <v>165</v>
      </c>
      <c r="Y94" s="248" t="s">
        <v>163</v>
      </c>
      <c r="Z94" s="231">
        <f>IF(Table4[[#This Row],[ Bran Content]]="-","-",IF(H94&gt;0.02,0,2))</f>
        <v>2</v>
      </c>
      <c r="AA94" s="231">
        <f>IF(Table4[[#This Row],[Sieve Test]]="-","-",IF(Table4[[#This Row],[Sieve Test]]="P",1,0))</f>
        <v>1</v>
      </c>
      <c r="AB94" s="231">
        <f>IF(Table4[[#This Row],[Odor]]="-","-",IF(Table4[[#This Row],[Odor]]="P",2,0))</f>
        <v>2</v>
      </c>
      <c r="AC94" s="231">
        <f>IF(INDEX(MCmin,MATCH(Table4[[#This Row],[SKU]],FG,0))="-","-",IF(Table4[[#This Row],[%MC]]="-","-",IF(Table4[[#This Row],[%MC]]&lt;INDEX(MCmin,MATCH(Table4[[#This Row],[SKU]],FG,0)),0,IF(Table4[[#This Row],[%MC]]&gt;INDEX(MCmax,MATCH(Table4[[#This Row],[SKU]],FG,0)),0,1))))</f>
        <v>1</v>
      </c>
      <c r="AD94" s="231" t="str">
        <f>IF(INDEX(Protmin,MATCH(Table4[[#This Row],[SKU]],FG,0))="-","-",IF(Table4[[#This Row],[%Protein]]="-","-",IF(Table4[[#This Row],[%Protein]]&lt;INDEX(Protmin,MATCH(Table4[[#This Row],[SKU]],FG,0)),0,IF(Table4[[#This Row],[%Protein]]&gt;INDEX(Protmax,MATCH(Table4[[#This Row],[SKU]],FG,0)),0,1))))</f>
        <v>-</v>
      </c>
      <c r="AE94" s="231" t="str">
        <f>IF(INDEX(Ashmin,MATCH(Table4[[#This Row],[SKU]],FG,0))="-","-",IF(Table4[[#This Row],[%Ash]]="-","-",IF(Table4[[#This Row],[%Ash]]&lt;INDEX(Ashmin,MATCH(Table4[[#This Row],[SKU]],FG,0)),0,IF(Table4[[#This Row],[%Ash]]&gt;INDEX(Ashmax,MATCH(Table4[[#This Row],[SKU]],FG,0)),0,2))))</f>
        <v>-</v>
      </c>
      <c r="AF94" s="231" t="str">
        <f>IF(INDEX(Absmin,MATCH(Table4[[#This Row],[SKU]],FG,0))="-","-",IF(Table4[[#This Row],[%Absorption]]="-","-",IF(Table4[[#This Row],[%Absorption]]&lt;INDEX(Absmin,MATCH(Table4[[#This Row],[SKU]],FG,0)),0,IF(Table4[[#This Row],[%Absorption]]&gt;INDEX(Absmax,MATCH(Table4[[#This Row],[SKU]],FG,0)),0,2))))</f>
        <v>-</v>
      </c>
      <c r="AG94" s="231" t="str">
        <f>IF(INDEX(Extmin,MATCH(Table4[[#This Row],[SKU]],FG,0))="-","-",IF(Table4[[#This Row],[%Extensibility]]="-","-",IF(Table4[[#This Row],[%Extensibility]]&lt;INDEX(Extmin,MATCH(Table4[[#This Row],[SKU]],FG,0)),0,IF(Table4[[#This Row],[%Extensibility]]&gt;INDEX(Extmax,MATCH(Table4[[#This Row],[SKU]],FG,0)),0,1))))</f>
        <v>-</v>
      </c>
      <c r="AH94" s="231" t="str">
        <f>IF(INDEX(Resmin,MATCH(Table4[[#This Row],[SKU]],FG,0))="-","-",IF(Table4[[#This Row],[Resistance, max]]="-","-",IF(Table4[[#This Row],[Resistance, max]]&lt;INDEX(Resmin,MATCH(Table4[[#This Row],[SKU]],FG,0)),0,IF(Table4[[#This Row],[Resistance, max]]&gt;INDEX(Resmax,MATCH(Table4[[#This Row],[SKU]],FG,0)),0,1))))</f>
        <v>-</v>
      </c>
      <c r="AI94" s="231" t="str">
        <f>IF(INDEX(WGmin,MATCH(Table4[[#This Row],[SKU]],FG,0))="-","-",IF(Table4[[#This Row],[%Wet Gluten]]="-","-",IF(Table4[[#This Row],[%Wet Gluten]]&lt;INDEX(WGmin,MATCH(Table4[[#This Row],[SKU]],FG,0)),0,IF(Table4[[#This Row],[%Wet Gluten]]&gt;INDEX(WGmax,MATCH(Table4[[#This Row],[SKU]],FG,0)),0,2))))</f>
        <v>-</v>
      </c>
      <c r="AJ94" s="232" t="str">
        <f>IF(Table4[[#This Row],[FN, s]]="-","-",IF(R94&lt;301,1,0))</f>
        <v>-</v>
      </c>
      <c r="AK94" s="233">
        <f>SUM(Table4[[#This Row],[ QI Bran Content]:[QI FN]])</f>
        <v>6</v>
      </c>
      <c r="AL94" s="232">
        <f t="shared" si="6"/>
        <v>6</v>
      </c>
      <c r="AM94" s="232" t="str">
        <f>IF(INDEX(WGmin,MATCH(Table4[[#This Row],[SKU]],FG,0))="-","-",IF(Table4[[#This Row],[Gross Weight]]="-","-",IF(Table4[[#This Row],[Gross Weight]]&lt;INDEX(GWmin,MATCH(Table4[[#This Row],[SKU]],FG,0)),0,IF(Table4[[#This Row],[Gross Weight]]&gt;INDEX(GWmax,MATCH(Table4[[#This Row],[SKU]],FG,0)),0,1))))</f>
        <v>-</v>
      </c>
      <c r="AN94" s="232">
        <f>IF(Table4[[#This Row],[Sealing Integrity]]="-","-",IF(Table4[[#This Row],[Sealing Integrity]]="P",1,0))</f>
        <v>1</v>
      </c>
      <c r="AO94" s="232">
        <f>IF(Table4[[#This Row],[Coding]]="-","-",IF(Table4[[#This Row],[Coding]]="P",1,0))</f>
        <v>1</v>
      </c>
      <c r="AP94" s="233">
        <f>SUM(Table4[[#This Row],[QI Weight]:[QI Code]])</f>
        <v>2</v>
      </c>
      <c r="AQ94" s="233">
        <f>COUNT(Table4[[#This Row],[QI Weight]:[QI Code]])</f>
        <v>2</v>
      </c>
      <c r="AR94" s="261">
        <f>Table4[[#This Row],[TA]]+Table4[[#This Row],[TA2]]</f>
        <v>8</v>
      </c>
      <c r="AS94" s="261">
        <f>Table4[[#This Row],[TP]]+Table4[[#This Row],[TP2]]</f>
        <v>8</v>
      </c>
      <c r="BD94" s="265">
        <f>IF(INDEX(MCmin,MATCH(Table4[[#This Row],[SKU]],FG,0))="-","-",IF(Table4[[#This Row],[%MC]]="-","-",IF(Table4[[#This Row],[%MC]]&lt;INDEX(MCmin,MATCH(Table4[[#This Row],[SKU]],FG,0)),1,0)))</f>
        <v>0</v>
      </c>
      <c r="BE94" s="265">
        <f>IF(INDEX(MCmin,MATCH(Table4[[#This Row],[SKU]],FG,0))="-","-",IF(Table4[[#This Row],[%MC]]="-","-",IF(Table4[[#This Row],[%MC]]&gt;INDEX(MCmax,MATCH(Table4[[#This Row],[SKU]],FG,0)),1,0)))</f>
        <v>0</v>
      </c>
      <c r="BF94" s="231" t="str">
        <f>IF(INDEX(Ashmin,MATCH(Table4[[#This Row],[SKU]],FG,0))="-","-",IF(Table4[[#This Row],[%Ash]]="-","-",IF(Table4[[#This Row],[%Ash]]&lt;INDEX(Ashmin,MATCH(Table4[[#This Row],[SKU]],FG,0)),1,0)))</f>
        <v>-</v>
      </c>
      <c r="BG94" s="231" t="str">
        <f>IF(INDEX(Ashmin,MATCH(Table4[[#This Row],[SKU]],FG,0))="-","-",IF(Table4[[#This Row],[%Ash]]="-","-",IF(Table4[[#This Row],[%Ash]]&gt;INDEX(Ashmax,MATCH(Table4[[#This Row],[SKU]],FG,0)),1,0)))</f>
        <v>-</v>
      </c>
      <c r="BH94" s="231" t="str">
        <f>IF(INDEX(Absmin,MATCH(Table4[[#This Row],[SKU]],FG,0))="-","-",IF(Table4[[#This Row],[%Absorption]]="-","-",IF(Table4[[#This Row],[%Absorption]]&lt;INDEX(Absmin,MATCH(Table4[[#This Row],[SKU]],FG,0)),1,0)))</f>
        <v>-</v>
      </c>
      <c r="BI94" s="231" t="str">
        <f>IF(INDEX(Absmin,MATCH(Table4[[#This Row],[SKU]],FG,0))="-","-",IF(Table4[[#This Row],[%Absorption]]="-","-",IF(Table4[[#This Row],[%Absorption]]&gt;INDEX(Absmax,MATCH(Table4[[#This Row],[SKU]],FG,0)),1,0)))</f>
        <v>-</v>
      </c>
      <c r="BJ94" s="231" t="str">
        <f>IF(INDEX(WGmin,MATCH(Table4[[#This Row],[SKU]],FG,0))="-","-",IF(Table4[[#This Row],[%Wet Gluten]]="-","-",IF(Table4[[#This Row],[%Wet Gluten]]&lt;INDEX(WGmin,MATCH(Table4[[#This Row],[SKU]],FG,0)),1,0)))</f>
        <v>-</v>
      </c>
      <c r="BK94" s="231" t="str">
        <f>IF(INDEX(WGmin,MATCH(Table4[[#This Row],[SKU]],FG,0))="-","-",IF(Table4[[#This Row],[%Wet Gluten]]="-","-",IF(Table4[[#This Row],[%Wet Gluten]]&gt;INDEX(WGmax,MATCH(Table4[[#This Row],[SKU]],FG,0)),1,0)))</f>
        <v>-</v>
      </c>
    </row>
    <row r="95" spans="1:63" x14ac:dyDescent="0.35">
      <c r="A95" s="243">
        <v>46023</v>
      </c>
      <c r="B95" s="244">
        <v>46028</v>
      </c>
      <c r="C95" s="244">
        <v>46026</v>
      </c>
      <c r="D95" s="244" t="s">
        <v>128</v>
      </c>
      <c r="E95" s="245">
        <v>0.58333333333333337</v>
      </c>
      <c r="F95" s="246">
        <v>2</v>
      </c>
      <c r="G95" s="259" t="s">
        <v>90</v>
      </c>
      <c r="H95" s="247">
        <v>7.1999999999999998E-3</v>
      </c>
      <c r="I95" s="248" t="s">
        <v>165</v>
      </c>
      <c r="J95" s="248" t="s">
        <v>165</v>
      </c>
      <c r="K95" s="248" t="s">
        <v>165</v>
      </c>
      <c r="L95" s="248" t="s">
        <v>161</v>
      </c>
      <c r="M95" s="248" t="s">
        <v>161</v>
      </c>
      <c r="N95" s="249">
        <v>12.71</v>
      </c>
      <c r="O95" s="249">
        <v>13.05</v>
      </c>
      <c r="P95" s="249">
        <v>0.46</v>
      </c>
      <c r="Q95" s="249">
        <v>64.900000000000006</v>
      </c>
      <c r="R95" s="249" t="s">
        <v>163</v>
      </c>
      <c r="S95" s="250" t="s">
        <v>163</v>
      </c>
      <c r="T95" s="249">
        <v>36.5</v>
      </c>
      <c r="U95" s="249" t="s">
        <v>163</v>
      </c>
      <c r="V95" s="251" t="s">
        <v>163</v>
      </c>
      <c r="W95" s="252" t="s">
        <v>165</v>
      </c>
      <c r="X95" s="252" t="s">
        <v>165</v>
      </c>
      <c r="Y95" s="248" t="s">
        <v>163</v>
      </c>
      <c r="Z95" s="231">
        <f>IF(Table4[[#This Row],[ Bran Content]]="-","-",IF(H95&gt;0.02,0,2))</f>
        <v>2</v>
      </c>
      <c r="AA95" s="231">
        <f>IF(Table4[[#This Row],[Sieve Test]]="-","-",IF(Table4[[#This Row],[Sieve Test]]="P",1,0))</f>
        <v>1</v>
      </c>
      <c r="AB95" s="231">
        <f>IF(Table4[[#This Row],[Odor]]="-","-",IF(Table4[[#This Row],[Odor]]="P",2,0))</f>
        <v>2</v>
      </c>
      <c r="AC95" s="231">
        <f>IF(INDEX(MCmin,MATCH(Table4[[#This Row],[SKU]],FG,0))="-","-",IF(Table4[[#This Row],[%MC]]="-","-",IF(Table4[[#This Row],[%MC]]&lt;INDEX(MCmin,MATCH(Table4[[#This Row],[SKU]],FG,0)),0,IF(Table4[[#This Row],[%MC]]&gt;INDEX(MCmax,MATCH(Table4[[#This Row],[SKU]],FG,0)),0,1))))</f>
        <v>1</v>
      </c>
      <c r="AD95" s="231" t="str">
        <f>IF(INDEX(Protmin,MATCH(Table4[[#This Row],[SKU]],FG,0))="-","-",IF(Table4[[#This Row],[%Protein]]="-","-",IF(Table4[[#This Row],[%Protein]]&lt;INDEX(Protmin,MATCH(Table4[[#This Row],[SKU]],FG,0)),0,IF(Table4[[#This Row],[%Protein]]&gt;INDEX(Protmax,MATCH(Table4[[#This Row],[SKU]],FG,0)),0,1))))</f>
        <v>-</v>
      </c>
      <c r="AE95" s="231">
        <f>IF(INDEX(Ashmin,MATCH(Table4[[#This Row],[SKU]],FG,0))="-","-",IF(Table4[[#This Row],[%Ash]]="-","-",IF(Table4[[#This Row],[%Ash]]&lt;INDEX(Ashmin,MATCH(Table4[[#This Row],[SKU]],FG,0)),0,IF(Table4[[#This Row],[%Ash]]&gt;INDEX(Ashmax,MATCH(Table4[[#This Row],[SKU]],FG,0)),0,2))))</f>
        <v>2</v>
      </c>
      <c r="AF95" s="231">
        <f>IF(INDEX(Absmin,MATCH(Table4[[#This Row],[SKU]],FG,0))="-","-",IF(Table4[[#This Row],[%Absorption]]="-","-",IF(Table4[[#This Row],[%Absorption]]&lt;INDEX(Absmin,MATCH(Table4[[#This Row],[SKU]],FG,0)),0,IF(Table4[[#This Row],[%Absorption]]&gt;INDEX(Absmax,MATCH(Table4[[#This Row],[SKU]],FG,0)),0,2))))</f>
        <v>2</v>
      </c>
      <c r="AG95" s="231" t="str">
        <f>IF(INDEX(Extmin,MATCH(Table4[[#This Row],[SKU]],FG,0))="-","-",IF(Table4[[#This Row],[%Extensibility]]="-","-",IF(Table4[[#This Row],[%Extensibility]]&lt;INDEX(Extmin,MATCH(Table4[[#This Row],[SKU]],FG,0)),0,IF(Table4[[#This Row],[%Extensibility]]&gt;INDEX(Extmax,MATCH(Table4[[#This Row],[SKU]],FG,0)),0,1))))</f>
        <v>-</v>
      </c>
      <c r="AH95" s="231" t="str">
        <f>IF(INDEX(Resmin,MATCH(Table4[[#This Row],[SKU]],FG,0))="-","-",IF(Table4[[#This Row],[Resistance, max]]="-","-",IF(Table4[[#This Row],[Resistance, max]]&lt;INDEX(Resmin,MATCH(Table4[[#This Row],[SKU]],FG,0)),0,IF(Table4[[#This Row],[Resistance, max]]&gt;INDEX(Resmax,MATCH(Table4[[#This Row],[SKU]],FG,0)),0,1))))</f>
        <v>-</v>
      </c>
      <c r="AI95" s="231">
        <f>IF(INDEX(WGmin,MATCH(Table4[[#This Row],[SKU]],FG,0))="-","-",IF(Table4[[#This Row],[%Wet Gluten]]="-","-",IF(Table4[[#This Row],[%Wet Gluten]]&lt;INDEX(WGmin,MATCH(Table4[[#This Row],[SKU]],FG,0)),0,IF(Table4[[#This Row],[%Wet Gluten]]&gt;INDEX(WGmax,MATCH(Table4[[#This Row],[SKU]],FG,0)),0,2))))</f>
        <v>2</v>
      </c>
      <c r="AJ95" s="232" t="str">
        <f>IF(Table4[[#This Row],[FN, s]]="-","-",IF(R95&lt;301,1,0))</f>
        <v>-</v>
      </c>
      <c r="AK95" s="233">
        <f>SUM(Table4[[#This Row],[ QI Bran Content]:[QI FN]])</f>
        <v>12</v>
      </c>
      <c r="AL95" s="232">
        <f t="shared" si="6"/>
        <v>12</v>
      </c>
      <c r="AM95" s="232" t="str">
        <f>IF(INDEX(WGmin,MATCH(Table4[[#This Row],[SKU]],FG,0))="-","-",IF(Table4[[#This Row],[Gross Weight]]="-","-",IF(Table4[[#This Row],[Gross Weight]]&lt;INDEX(GWmin,MATCH(Table4[[#This Row],[SKU]],FG,0)),0,IF(Table4[[#This Row],[Gross Weight]]&gt;INDEX(GWmax,MATCH(Table4[[#This Row],[SKU]],FG,0)),0,1))))</f>
        <v>-</v>
      </c>
      <c r="AN95" s="232">
        <f>IF(Table4[[#This Row],[Sealing Integrity]]="-","-",IF(Table4[[#This Row],[Sealing Integrity]]="P",1,0))</f>
        <v>1</v>
      </c>
      <c r="AO95" s="232">
        <f>IF(Table4[[#This Row],[Coding]]="-","-",IF(Table4[[#This Row],[Coding]]="P",1,0))</f>
        <v>1</v>
      </c>
      <c r="AP95" s="233">
        <f>SUM(Table4[[#This Row],[QI Weight]:[QI Code]])</f>
        <v>2</v>
      </c>
      <c r="AQ95" s="233">
        <f>COUNT(Table4[[#This Row],[QI Weight]:[QI Code]])</f>
        <v>2</v>
      </c>
      <c r="AR95" s="261">
        <f>Table4[[#This Row],[TA]]+Table4[[#This Row],[TA2]]</f>
        <v>14</v>
      </c>
      <c r="AS95" s="261">
        <f>Table4[[#This Row],[TP]]+Table4[[#This Row],[TP2]]</f>
        <v>14</v>
      </c>
      <c r="BD95" s="265">
        <f>IF(INDEX(MCmin,MATCH(Table4[[#This Row],[SKU]],FG,0))="-","-",IF(Table4[[#This Row],[%MC]]="-","-",IF(Table4[[#This Row],[%MC]]&lt;INDEX(MCmin,MATCH(Table4[[#This Row],[SKU]],FG,0)),1,0)))</f>
        <v>0</v>
      </c>
      <c r="BE95" s="265">
        <f>IF(INDEX(MCmin,MATCH(Table4[[#This Row],[SKU]],FG,0))="-","-",IF(Table4[[#This Row],[%MC]]="-","-",IF(Table4[[#This Row],[%MC]]&gt;INDEX(MCmax,MATCH(Table4[[#This Row],[SKU]],FG,0)),1,0)))</f>
        <v>0</v>
      </c>
      <c r="BF95" s="231">
        <f>IF(INDEX(Ashmin,MATCH(Table4[[#This Row],[SKU]],FG,0))="-","-",IF(Table4[[#This Row],[%Ash]]="-","-",IF(Table4[[#This Row],[%Ash]]&lt;INDEX(Ashmin,MATCH(Table4[[#This Row],[SKU]],FG,0)),1,0)))</f>
        <v>0</v>
      </c>
      <c r="BG95" s="231">
        <f>IF(INDEX(Ashmin,MATCH(Table4[[#This Row],[SKU]],FG,0))="-","-",IF(Table4[[#This Row],[%Ash]]="-","-",IF(Table4[[#This Row],[%Ash]]&gt;INDEX(Ashmax,MATCH(Table4[[#This Row],[SKU]],FG,0)),1,0)))</f>
        <v>0</v>
      </c>
      <c r="BH95" s="231">
        <f>IF(INDEX(Absmin,MATCH(Table4[[#This Row],[SKU]],FG,0))="-","-",IF(Table4[[#This Row],[%Absorption]]="-","-",IF(Table4[[#This Row],[%Absorption]]&lt;INDEX(Absmin,MATCH(Table4[[#This Row],[SKU]],FG,0)),1,0)))</f>
        <v>0</v>
      </c>
      <c r="BI95" s="231">
        <f>IF(INDEX(Absmin,MATCH(Table4[[#This Row],[SKU]],FG,0))="-","-",IF(Table4[[#This Row],[%Absorption]]="-","-",IF(Table4[[#This Row],[%Absorption]]&gt;INDEX(Absmax,MATCH(Table4[[#This Row],[SKU]],FG,0)),1,0)))</f>
        <v>0</v>
      </c>
      <c r="BJ95" s="231">
        <f>IF(INDEX(WGmin,MATCH(Table4[[#This Row],[SKU]],FG,0))="-","-",IF(Table4[[#This Row],[%Wet Gluten]]="-","-",IF(Table4[[#This Row],[%Wet Gluten]]&lt;INDEX(WGmin,MATCH(Table4[[#This Row],[SKU]],FG,0)),1,0)))</f>
        <v>0</v>
      </c>
      <c r="BK95" s="231">
        <f>IF(INDEX(WGmin,MATCH(Table4[[#This Row],[SKU]],FG,0))="-","-",IF(Table4[[#This Row],[%Wet Gluten]]="-","-",IF(Table4[[#This Row],[%Wet Gluten]]&gt;INDEX(WGmax,MATCH(Table4[[#This Row],[SKU]],FG,0)),1,0)))</f>
        <v>0</v>
      </c>
    </row>
    <row r="96" spans="1:63" x14ac:dyDescent="0.35">
      <c r="A96" s="243">
        <v>46023</v>
      </c>
      <c r="B96" s="244">
        <v>46028</v>
      </c>
      <c r="C96" s="244">
        <v>46026</v>
      </c>
      <c r="D96" s="244" t="s">
        <v>128</v>
      </c>
      <c r="E96" s="245">
        <v>0.625</v>
      </c>
      <c r="F96" s="246">
        <v>2</v>
      </c>
      <c r="G96" s="259" t="s">
        <v>90</v>
      </c>
      <c r="H96" s="247">
        <v>7.4999999999999997E-3</v>
      </c>
      <c r="I96" s="248" t="s">
        <v>165</v>
      </c>
      <c r="J96" s="248" t="s">
        <v>165</v>
      </c>
      <c r="K96" s="248" t="s">
        <v>165</v>
      </c>
      <c r="L96" s="248" t="s">
        <v>161</v>
      </c>
      <c r="M96" s="248" t="s">
        <v>161</v>
      </c>
      <c r="N96" s="249">
        <v>12.74</v>
      </c>
      <c r="O96" s="249" t="s">
        <v>163</v>
      </c>
      <c r="P96" s="249" t="s">
        <v>163</v>
      </c>
      <c r="Q96" s="249" t="s">
        <v>163</v>
      </c>
      <c r="R96" s="249" t="s">
        <v>163</v>
      </c>
      <c r="S96" s="250" t="s">
        <v>163</v>
      </c>
      <c r="T96" s="249" t="s">
        <v>163</v>
      </c>
      <c r="U96" s="249" t="s">
        <v>163</v>
      </c>
      <c r="V96" s="251" t="s">
        <v>163</v>
      </c>
      <c r="W96" s="252" t="s">
        <v>165</v>
      </c>
      <c r="X96" s="252" t="s">
        <v>165</v>
      </c>
      <c r="Y96" s="248" t="s">
        <v>163</v>
      </c>
      <c r="Z96" s="231">
        <f>IF(Table4[[#This Row],[ Bran Content]]="-","-",IF(H96&gt;0.02,0,2))</f>
        <v>2</v>
      </c>
      <c r="AA96" s="231">
        <f>IF(Table4[[#This Row],[Sieve Test]]="-","-",IF(Table4[[#This Row],[Sieve Test]]="P",1,0))</f>
        <v>1</v>
      </c>
      <c r="AB96" s="231">
        <f>IF(Table4[[#This Row],[Odor]]="-","-",IF(Table4[[#This Row],[Odor]]="P",2,0))</f>
        <v>2</v>
      </c>
      <c r="AC96" s="231">
        <f>IF(INDEX(MCmin,MATCH(Table4[[#This Row],[SKU]],FG,0))="-","-",IF(Table4[[#This Row],[%MC]]="-","-",IF(Table4[[#This Row],[%MC]]&lt;INDEX(MCmin,MATCH(Table4[[#This Row],[SKU]],FG,0)),0,IF(Table4[[#This Row],[%MC]]&gt;INDEX(MCmax,MATCH(Table4[[#This Row],[SKU]],FG,0)),0,1))))</f>
        <v>1</v>
      </c>
      <c r="AD96" s="231" t="str">
        <f>IF(INDEX(Protmin,MATCH(Table4[[#This Row],[SKU]],FG,0))="-","-",IF(Table4[[#This Row],[%Protein]]="-","-",IF(Table4[[#This Row],[%Protein]]&lt;INDEX(Protmin,MATCH(Table4[[#This Row],[SKU]],FG,0)),0,IF(Table4[[#This Row],[%Protein]]&gt;INDEX(Protmax,MATCH(Table4[[#This Row],[SKU]],FG,0)),0,1))))</f>
        <v>-</v>
      </c>
      <c r="AE96" s="231" t="str">
        <f>IF(INDEX(Ashmin,MATCH(Table4[[#This Row],[SKU]],FG,0))="-","-",IF(Table4[[#This Row],[%Ash]]="-","-",IF(Table4[[#This Row],[%Ash]]&lt;INDEX(Ashmin,MATCH(Table4[[#This Row],[SKU]],FG,0)),0,IF(Table4[[#This Row],[%Ash]]&gt;INDEX(Ashmax,MATCH(Table4[[#This Row],[SKU]],FG,0)),0,2))))</f>
        <v>-</v>
      </c>
      <c r="AF96" s="231" t="str">
        <f>IF(INDEX(Absmin,MATCH(Table4[[#This Row],[SKU]],FG,0))="-","-",IF(Table4[[#This Row],[%Absorption]]="-","-",IF(Table4[[#This Row],[%Absorption]]&lt;INDEX(Absmin,MATCH(Table4[[#This Row],[SKU]],FG,0)),0,IF(Table4[[#This Row],[%Absorption]]&gt;INDEX(Absmax,MATCH(Table4[[#This Row],[SKU]],FG,0)),0,2))))</f>
        <v>-</v>
      </c>
      <c r="AG96" s="231" t="str">
        <f>IF(INDEX(Extmin,MATCH(Table4[[#This Row],[SKU]],FG,0))="-","-",IF(Table4[[#This Row],[%Extensibility]]="-","-",IF(Table4[[#This Row],[%Extensibility]]&lt;INDEX(Extmin,MATCH(Table4[[#This Row],[SKU]],FG,0)),0,IF(Table4[[#This Row],[%Extensibility]]&gt;INDEX(Extmax,MATCH(Table4[[#This Row],[SKU]],FG,0)),0,1))))</f>
        <v>-</v>
      </c>
      <c r="AH96" s="231" t="str">
        <f>IF(INDEX(Resmin,MATCH(Table4[[#This Row],[SKU]],FG,0))="-","-",IF(Table4[[#This Row],[Resistance, max]]="-","-",IF(Table4[[#This Row],[Resistance, max]]&lt;INDEX(Resmin,MATCH(Table4[[#This Row],[SKU]],FG,0)),0,IF(Table4[[#This Row],[Resistance, max]]&gt;INDEX(Resmax,MATCH(Table4[[#This Row],[SKU]],FG,0)),0,1))))</f>
        <v>-</v>
      </c>
      <c r="AI96" s="231" t="str">
        <f>IF(INDEX(WGmin,MATCH(Table4[[#This Row],[SKU]],FG,0))="-","-",IF(Table4[[#This Row],[%Wet Gluten]]="-","-",IF(Table4[[#This Row],[%Wet Gluten]]&lt;INDEX(WGmin,MATCH(Table4[[#This Row],[SKU]],FG,0)),0,IF(Table4[[#This Row],[%Wet Gluten]]&gt;INDEX(WGmax,MATCH(Table4[[#This Row],[SKU]],FG,0)),0,2))))</f>
        <v>-</v>
      </c>
      <c r="AJ96" s="232" t="str">
        <f>IF(Table4[[#This Row],[FN, s]]="-","-",IF(R96&lt;301,1,0))</f>
        <v>-</v>
      </c>
      <c r="AK96" s="233">
        <f>SUM(Table4[[#This Row],[ QI Bran Content]:[QI FN]])</f>
        <v>6</v>
      </c>
      <c r="AL96" s="232">
        <f t="shared" si="6"/>
        <v>6</v>
      </c>
      <c r="AM96" s="232" t="str">
        <f>IF(INDEX(WGmin,MATCH(Table4[[#This Row],[SKU]],FG,0))="-","-",IF(Table4[[#This Row],[Gross Weight]]="-","-",IF(Table4[[#This Row],[Gross Weight]]&lt;INDEX(GWmin,MATCH(Table4[[#This Row],[SKU]],FG,0)),0,IF(Table4[[#This Row],[Gross Weight]]&gt;INDEX(GWmax,MATCH(Table4[[#This Row],[SKU]],FG,0)),0,1))))</f>
        <v>-</v>
      </c>
      <c r="AN96" s="232">
        <f>IF(Table4[[#This Row],[Sealing Integrity]]="-","-",IF(Table4[[#This Row],[Sealing Integrity]]="P",1,0))</f>
        <v>1</v>
      </c>
      <c r="AO96" s="232">
        <f>IF(Table4[[#This Row],[Coding]]="-","-",IF(Table4[[#This Row],[Coding]]="P",1,0))</f>
        <v>1</v>
      </c>
      <c r="AP96" s="233">
        <f>SUM(Table4[[#This Row],[QI Weight]:[QI Code]])</f>
        <v>2</v>
      </c>
      <c r="AQ96" s="233">
        <f>COUNT(Table4[[#This Row],[QI Weight]:[QI Code]])</f>
        <v>2</v>
      </c>
      <c r="AR96" s="261">
        <f>Table4[[#This Row],[TA]]+Table4[[#This Row],[TA2]]</f>
        <v>8</v>
      </c>
      <c r="AS96" s="261">
        <f>Table4[[#This Row],[TP]]+Table4[[#This Row],[TP2]]</f>
        <v>8</v>
      </c>
      <c r="BD96" s="265">
        <f>IF(INDEX(MCmin,MATCH(Table4[[#This Row],[SKU]],FG,0))="-","-",IF(Table4[[#This Row],[%MC]]="-","-",IF(Table4[[#This Row],[%MC]]&lt;INDEX(MCmin,MATCH(Table4[[#This Row],[SKU]],FG,0)),1,0)))</f>
        <v>0</v>
      </c>
      <c r="BE96" s="265">
        <f>IF(INDEX(MCmin,MATCH(Table4[[#This Row],[SKU]],FG,0))="-","-",IF(Table4[[#This Row],[%MC]]="-","-",IF(Table4[[#This Row],[%MC]]&gt;INDEX(MCmax,MATCH(Table4[[#This Row],[SKU]],FG,0)),1,0)))</f>
        <v>0</v>
      </c>
      <c r="BF96" s="231" t="str">
        <f>IF(INDEX(Ashmin,MATCH(Table4[[#This Row],[SKU]],FG,0))="-","-",IF(Table4[[#This Row],[%Ash]]="-","-",IF(Table4[[#This Row],[%Ash]]&lt;INDEX(Ashmin,MATCH(Table4[[#This Row],[SKU]],FG,0)),1,0)))</f>
        <v>-</v>
      </c>
      <c r="BG96" s="231" t="str">
        <f>IF(INDEX(Ashmin,MATCH(Table4[[#This Row],[SKU]],FG,0))="-","-",IF(Table4[[#This Row],[%Ash]]="-","-",IF(Table4[[#This Row],[%Ash]]&gt;INDEX(Ashmax,MATCH(Table4[[#This Row],[SKU]],FG,0)),1,0)))</f>
        <v>-</v>
      </c>
      <c r="BH96" s="231" t="str">
        <f>IF(INDEX(Absmin,MATCH(Table4[[#This Row],[SKU]],FG,0))="-","-",IF(Table4[[#This Row],[%Absorption]]="-","-",IF(Table4[[#This Row],[%Absorption]]&lt;INDEX(Absmin,MATCH(Table4[[#This Row],[SKU]],FG,0)),1,0)))</f>
        <v>-</v>
      </c>
      <c r="BI96" s="231" t="str">
        <f>IF(INDEX(Absmin,MATCH(Table4[[#This Row],[SKU]],FG,0))="-","-",IF(Table4[[#This Row],[%Absorption]]="-","-",IF(Table4[[#This Row],[%Absorption]]&gt;INDEX(Absmax,MATCH(Table4[[#This Row],[SKU]],FG,0)),1,0)))</f>
        <v>-</v>
      </c>
      <c r="BJ96" s="231" t="str">
        <f>IF(INDEX(WGmin,MATCH(Table4[[#This Row],[SKU]],FG,0))="-","-",IF(Table4[[#This Row],[%Wet Gluten]]="-","-",IF(Table4[[#This Row],[%Wet Gluten]]&lt;INDEX(WGmin,MATCH(Table4[[#This Row],[SKU]],FG,0)),1,0)))</f>
        <v>-</v>
      </c>
      <c r="BK96" s="231" t="str">
        <f>IF(INDEX(WGmin,MATCH(Table4[[#This Row],[SKU]],FG,0))="-","-",IF(Table4[[#This Row],[%Wet Gluten]]="-","-",IF(Table4[[#This Row],[%Wet Gluten]]&gt;INDEX(WGmax,MATCH(Table4[[#This Row],[SKU]],FG,0)),1,0)))</f>
        <v>-</v>
      </c>
    </row>
    <row r="97" spans="1:63" x14ac:dyDescent="0.35">
      <c r="A97" s="243">
        <v>46023</v>
      </c>
      <c r="B97" s="244">
        <v>46028</v>
      </c>
      <c r="C97" s="244">
        <v>46026</v>
      </c>
      <c r="D97" s="244" t="s">
        <v>128</v>
      </c>
      <c r="E97" s="245">
        <v>0.66666666666666696</v>
      </c>
      <c r="F97" s="246">
        <v>2</v>
      </c>
      <c r="G97" s="259" t="s">
        <v>90</v>
      </c>
      <c r="H97" s="247">
        <v>1.0200000000000001E-2</v>
      </c>
      <c r="I97" s="248" t="s">
        <v>165</v>
      </c>
      <c r="J97" s="248" t="s">
        <v>165</v>
      </c>
      <c r="K97" s="248" t="s">
        <v>165</v>
      </c>
      <c r="L97" s="248" t="s">
        <v>161</v>
      </c>
      <c r="M97" s="248" t="s">
        <v>161</v>
      </c>
      <c r="N97" s="249">
        <v>12.85</v>
      </c>
      <c r="O97" s="249" t="s">
        <v>163</v>
      </c>
      <c r="P97" s="249" t="s">
        <v>163</v>
      </c>
      <c r="Q97" s="249" t="s">
        <v>163</v>
      </c>
      <c r="R97" s="249" t="s">
        <v>163</v>
      </c>
      <c r="S97" s="250" t="s">
        <v>163</v>
      </c>
      <c r="T97" s="249" t="s">
        <v>163</v>
      </c>
      <c r="U97" s="249" t="s">
        <v>163</v>
      </c>
      <c r="V97" s="251" t="s">
        <v>163</v>
      </c>
      <c r="W97" s="252" t="s">
        <v>165</v>
      </c>
      <c r="X97" s="252" t="s">
        <v>165</v>
      </c>
      <c r="Y97" s="248" t="s">
        <v>163</v>
      </c>
      <c r="Z97" s="231">
        <f>IF(Table4[[#This Row],[ Bran Content]]="-","-",IF(H97&gt;0.02,0,2))</f>
        <v>2</v>
      </c>
      <c r="AA97" s="231">
        <f>IF(Table4[[#This Row],[Sieve Test]]="-","-",IF(Table4[[#This Row],[Sieve Test]]="P",1,0))</f>
        <v>1</v>
      </c>
      <c r="AB97" s="231">
        <f>IF(Table4[[#This Row],[Odor]]="-","-",IF(Table4[[#This Row],[Odor]]="P",2,0))</f>
        <v>2</v>
      </c>
      <c r="AC97" s="231">
        <f>IF(INDEX(MCmin,MATCH(Table4[[#This Row],[SKU]],FG,0))="-","-",IF(Table4[[#This Row],[%MC]]="-","-",IF(Table4[[#This Row],[%MC]]&lt;INDEX(MCmin,MATCH(Table4[[#This Row],[SKU]],FG,0)),0,IF(Table4[[#This Row],[%MC]]&gt;INDEX(MCmax,MATCH(Table4[[#This Row],[SKU]],FG,0)),0,1))))</f>
        <v>1</v>
      </c>
      <c r="AD97" s="231" t="str">
        <f>IF(INDEX(Protmin,MATCH(Table4[[#This Row],[SKU]],FG,0))="-","-",IF(Table4[[#This Row],[%Protein]]="-","-",IF(Table4[[#This Row],[%Protein]]&lt;INDEX(Protmin,MATCH(Table4[[#This Row],[SKU]],FG,0)),0,IF(Table4[[#This Row],[%Protein]]&gt;INDEX(Protmax,MATCH(Table4[[#This Row],[SKU]],FG,0)),0,1))))</f>
        <v>-</v>
      </c>
      <c r="AE97" s="231" t="str">
        <f>IF(INDEX(Ashmin,MATCH(Table4[[#This Row],[SKU]],FG,0))="-","-",IF(Table4[[#This Row],[%Ash]]="-","-",IF(Table4[[#This Row],[%Ash]]&lt;INDEX(Ashmin,MATCH(Table4[[#This Row],[SKU]],FG,0)),0,IF(Table4[[#This Row],[%Ash]]&gt;INDEX(Ashmax,MATCH(Table4[[#This Row],[SKU]],FG,0)),0,2))))</f>
        <v>-</v>
      </c>
      <c r="AF97" s="231" t="str">
        <f>IF(INDEX(Absmin,MATCH(Table4[[#This Row],[SKU]],FG,0))="-","-",IF(Table4[[#This Row],[%Absorption]]="-","-",IF(Table4[[#This Row],[%Absorption]]&lt;INDEX(Absmin,MATCH(Table4[[#This Row],[SKU]],FG,0)),0,IF(Table4[[#This Row],[%Absorption]]&gt;INDEX(Absmax,MATCH(Table4[[#This Row],[SKU]],FG,0)),0,2))))</f>
        <v>-</v>
      </c>
      <c r="AG97" s="231" t="str">
        <f>IF(INDEX(Extmin,MATCH(Table4[[#This Row],[SKU]],FG,0))="-","-",IF(Table4[[#This Row],[%Extensibility]]="-","-",IF(Table4[[#This Row],[%Extensibility]]&lt;INDEX(Extmin,MATCH(Table4[[#This Row],[SKU]],FG,0)),0,IF(Table4[[#This Row],[%Extensibility]]&gt;INDEX(Extmax,MATCH(Table4[[#This Row],[SKU]],FG,0)),0,1))))</f>
        <v>-</v>
      </c>
      <c r="AH97" s="231" t="str">
        <f>IF(INDEX(Resmin,MATCH(Table4[[#This Row],[SKU]],FG,0))="-","-",IF(Table4[[#This Row],[Resistance, max]]="-","-",IF(Table4[[#This Row],[Resistance, max]]&lt;INDEX(Resmin,MATCH(Table4[[#This Row],[SKU]],FG,0)),0,IF(Table4[[#This Row],[Resistance, max]]&gt;INDEX(Resmax,MATCH(Table4[[#This Row],[SKU]],FG,0)),0,1))))</f>
        <v>-</v>
      </c>
      <c r="AI97" s="231" t="str">
        <f>IF(INDEX(WGmin,MATCH(Table4[[#This Row],[SKU]],FG,0))="-","-",IF(Table4[[#This Row],[%Wet Gluten]]="-","-",IF(Table4[[#This Row],[%Wet Gluten]]&lt;INDEX(WGmin,MATCH(Table4[[#This Row],[SKU]],FG,0)),0,IF(Table4[[#This Row],[%Wet Gluten]]&gt;INDEX(WGmax,MATCH(Table4[[#This Row],[SKU]],FG,0)),0,2))))</f>
        <v>-</v>
      </c>
      <c r="AJ97" s="232" t="str">
        <f>IF(Table4[[#This Row],[FN, s]]="-","-",IF(R97&lt;301,1,0))</f>
        <v>-</v>
      </c>
      <c r="AK97" s="233">
        <f>SUM(Table4[[#This Row],[ QI Bran Content]:[QI FN]])</f>
        <v>6</v>
      </c>
      <c r="AL97" s="232">
        <f t="shared" si="6"/>
        <v>6</v>
      </c>
      <c r="AM97" s="232" t="str">
        <f>IF(INDEX(WGmin,MATCH(Table4[[#This Row],[SKU]],FG,0))="-","-",IF(Table4[[#This Row],[Gross Weight]]="-","-",IF(Table4[[#This Row],[Gross Weight]]&lt;INDEX(GWmin,MATCH(Table4[[#This Row],[SKU]],FG,0)),0,IF(Table4[[#This Row],[Gross Weight]]&gt;INDEX(GWmax,MATCH(Table4[[#This Row],[SKU]],FG,0)),0,1))))</f>
        <v>-</v>
      </c>
      <c r="AN97" s="232">
        <f>IF(Table4[[#This Row],[Sealing Integrity]]="-","-",IF(Table4[[#This Row],[Sealing Integrity]]="P",1,0))</f>
        <v>1</v>
      </c>
      <c r="AO97" s="232">
        <f>IF(Table4[[#This Row],[Coding]]="-","-",IF(Table4[[#This Row],[Coding]]="P",1,0))</f>
        <v>1</v>
      </c>
      <c r="AP97" s="233">
        <f>SUM(Table4[[#This Row],[QI Weight]:[QI Code]])</f>
        <v>2</v>
      </c>
      <c r="AQ97" s="233">
        <f>COUNT(Table4[[#This Row],[QI Weight]:[QI Code]])</f>
        <v>2</v>
      </c>
      <c r="AR97" s="261">
        <f>Table4[[#This Row],[TA]]+Table4[[#This Row],[TA2]]</f>
        <v>8</v>
      </c>
      <c r="AS97" s="261">
        <f>Table4[[#This Row],[TP]]+Table4[[#This Row],[TP2]]</f>
        <v>8</v>
      </c>
      <c r="BD97" s="265">
        <f>IF(INDEX(MCmin,MATCH(Table4[[#This Row],[SKU]],FG,0))="-","-",IF(Table4[[#This Row],[%MC]]="-","-",IF(Table4[[#This Row],[%MC]]&lt;INDEX(MCmin,MATCH(Table4[[#This Row],[SKU]],FG,0)),1,0)))</f>
        <v>0</v>
      </c>
      <c r="BE97" s="265">
        <f>IF(INDEX(MCmin,MATCH(Table4[[#This Row],[SKU]],FG,0))="-","-",IF(Table4[[#This Row],[%MC]]="-","-",IF(Table4[[#This Row],[%MC]]&gt;INDEX(MCmax,MATCH(Table4[[#This Row],[SKU]],FG,0)),1,0)))</f>
        <v>0</v>
      </c>
      <c r="BF97" s="231" t="str">
        <f>IF(INDEX(Ashmin,MATCH(Table4[[#This Row],[SKU]],FG,0))="-","-",IF(Table4[[#This Row],[%Ash]]="-","-",IF(Table4[[#This Row],[%Ash]]&lt;INDEX(Ashmin,MATCH(Table4[[#This Row],[SKU]],FG,0)),1,0)))</f>
        <v>-</v>
      </c>
      <c r="BG97" s="231" t="str">
        <f>IF(INDEX(Ashmin,MATCH(Table4[[#This Row],[SKU]],FG,0))="-","-",IF(Table4[[#This Row],[%Ash]]="-","-",IF(Table4[[#This Row],[%Ash]]&gt;INDEX(Ashmax,MATCH(Table4[[#This Row],[SKU]],FG,0)),1,0)))</f>
        <v>-</v>
      </c>
      <c r="BH97" s="231" t="str">
        <f>IF(INDEX(Absmin,MATCH(Table4[[#This Row],[SKU]],FG,0))="-","-",IF(Table4[[#This Row],[%Absorption]]="-","-",IF(Table4[[#This Row],[%Absorption]]&lt;INDEX(Absmin,MATCH(Table4[[#This Row],[SKU]],FG,0)),1,0)))</f>
        <v>-</v>
      </c>
      <c r="BI97" s="231" t="str">
        <f>IF(INDEX(Absmin,MATCH(Table4[[#This Row],[SKU]],FG,0))="-","-",IF(Table4[[#This Row],[%Absorption]]="-","-",IF(Table4[[#This Row],[%Absorption]]&gt;INDEX(Absmax,MATCH(Table4[[#This Row],[SKU]],FG,0)),1,0)))</f>
        <v>-</v>
      </c>
      <c r="BJ97" s="231" t="str">
        <f>IF(INDEX(WGmin,MATCH(Table4[[#This Row],[SKU]],FG,0))="-","-",IF(Table4[[#This Row],[%Wet Gluten]]="-","-",IF(Table4[[#This Row],[%Wet Gluten]]&lt;INDEX(WGmin,MATCH(Table4[[#This Row],[SKU]],FG,0)),1,0)))</f>
        <v>-</v>
      </c>
      <c r="BK97" s="231" t="str">
        <f>IF(INDEX(WGmin,MATCH(Table4[[#This Row],[SKU]],FG,0))="-","-",IF(Table4[[#This Row],[%Wet Gluten]]="-","-",IF(Table4[[#This Row],[%Wet Gluten]]&gt;INDEX(WGmax,MATCH(Table4[[#This Row],[SKU]],FG,0)),1,0)))</f>
        <v>-</v>
      </c>
    </row>
    <row r="98" spans="1:63" x14ac:dyDescent="0.35">
      <c r="A98" s="243">
        <v>46023</v>
      </c>
      <c r="B98" s="244">
        <v>46028</v>
      </c>
      <c r="C98" s="244">
        <v>46025</v>
      </c>
      <c r="D98" s="244" t="s">
        <v>125</v>
      </c>
      <c r="E98" s="245" t="s">
        <v>239</v>
      </c>
      <c r="F98" s="246">
        <v>3</v>
      </c>
      <c r="G98" s="259" t="s">
        <v>112</v>
      </c>
      <c r="H98" s="247">
        <v>5.1999999999999998E-3</v>
      </c>
      <c r="I98" s="248" t="s">
        <v>165</v>
      </c>
      <c r="J98" s="248" t="s">
        <v>165</v>
      </c>
      <c r="K98" s="248" t="s">
        <v>165</v>
      </c>
      <c r="L98" s="248" t="s">
        <v>161</v>
      </c>
      <c r="M98" s="248" t="s">
        <v>161</v>
      </c>
      <c r="N98" s="249">
        <v>12.82</v>
      </c>
      <c r="O98" s="249">
        <v>12.91</v>
      </c>
      <c r="P98" s="249">
        <v>0.47</v>
      </c>
      <c r="Q98" s="249">
        <v>63.3</v>
      </c>
      <c r="R98" s="249" t="s">
        <v>163</v>
      </c>
      <c r="S98" s="250" t="s">
        <v>163</v>
      </c>
      <c r="T98" s="249">
        <v>36</v>
      </c>
      <c r="U98" s="249" t="s">
        <v>163</v>
      </c>
      <c r="V98" s="251" t="s">
        <v>163</v>
      </c>
      <c r="W98" s="252" t="s">
        <v>165</v>
      </c>
      <c r="X98" s="252" t="s">
        <v>165</v>
      </c>
      <c r="Y98" s="248" t="s">
        <v>163</v>
      </c>
      <c r="Z98" s="231">
        <f>IF(Table4[[#This Row],[ Bran Content]]="-","-",IF(H98&gt;0.02,0,2))</f>
        <v>2</v>
      </c>
      <c r="AA98" s="231">
        <f>IF(Table4[[#This Row],[Sieve Test]]="-","-",IF(Table4[[#This Row],[Sieve Test]]="P",1,0))</f>
        <v>1</v>
      </c>
      <c r="AB98" s="231">
        <f>IF(Table4[[#This Row],[Odor]]="-","-",IF(Table4[[#This Row],[Odor]]="P",2,0))</f>
        <v>2</v>
      </c>
      <c r="AC98" s="231">
        <f>IF(INDEX(MCmin,MATCH(Table4[[#This Row],[SKU]],FG,0))="-","-",IF(Table4[[#This Row],[%MC]]="-","-",IF(Table4[[#This Row],[%MC]]&lt;INDEX(MCmin,MATCH(Table4[[#This Row],[SKU]],FG,0)),0,IF(Table4[[#This Row],[%MC]]&gt;INDEX(MCmax,MATCH(Table4[[#This Row],[SKU]],FG,0)),0,1))))</f>
        <v>1</v>
      </c>
      <c r="AD98" s="231">
        <f>IF(INDEX(Protmin,MATCH(Table4[[#This Row],[SKU]],FG,0))="-","-",IF(Table4[[#This Row],[%Protein]]="-","-",IF(Table4[[#This Row],[%Protein]]&lt;INDEX(Protmin,MATCH(Table4[[#This Row],[SKU]],FG,0)),0,IF(Table4[[#This Row],[%Protein]]&gt;INDEX(Protmax,MATCH(Table4[[#This Row],[SKU]],FG,0)),0,1))))</f>
        <v>1</v>
      </c>
      <c r="AE98" s="231">
        <f>IF(INDEX(Ashmin,MATCH(Table4[[#This Row],[SKU]],FG,0))="-","-",IF(Table4[[#This Row],[%Ash]]="-","-",IF(Table4[[#This Row],[%Ash]]&lt;INDEX(Ashmin,MATCH(Table4[[#This Row],[SKU]],FG,0)),0,IF(Table4[[#This Row],[%Ash]]&gt;INDEX(Ashmax,MATCH(Table4[[#This Row],[SKU]],FG,0)),0,2))))</f>
        <v>2</v>
      </c>
      <c r="AF98" s="231">
        <f>IF(INDEX(Absmin,MATCH(Table4[[#This Row],[SKU]],FG,0))="-","-",IF(Table4[[#This Row],[%Absorption]]="-","-",IF(Table4[[#This Row],[%Absorption]]&lt;INDEX(Absmin,MATCH(Table4[[#This Row],[SKU]],FG,0)),0,IF(Table4[[#This Row],[%Absorption]]&gt;INDEX(Absmax,MATCH(Table4[[#This Row],[SKU]],FG,0)),0,2))))</f>
        <v>0</v>
      </c>
      <c r="AG98" s="231" t="str">
        <f>IF(INDEX(Extmin,MATCH(Table4[[#This Row],[SKU]],FG,0))="-","-",IF(Table4[[#This Row],[%Extensibility]]="-","-",IF(Table4[[#This Row],[%Extensibility]]&lt;INDEX(Extmin,MATCH(Table4[[#This Row],[SKU]],FG,0)),0,IF(Table4[[#This Row],[%Extensibility]]&gt;INDEX(Extmax,MATCH(Table4[[#This Row],[SKU]],FG,0)),0,1))))</f>
        <v>-</v>
      </c>
      <c r="AH98" s="231" t="str">
        <f>IF(INDEX(Resmin,MATCH(Table4[[#This Row],[SKU]],FG,0))="-","-",IF(Table4[[#This Row],[Resistance, max]]="-","-",IF(Table4[[#This Row],[Resistance, max]]&lt;INDEX(Resmin,MATCH(Table4[[#This Row],[SKU]],FG,0)),0,IF(Table4[[#This Row],[Resistance, max]]&gt;INDEX(Resmax,MATCH(Table4[[#This Row],[SKU]],FG,0)),0,1))))</f>
        <v>-</v>
      </c>
      <c r="AI98" s="231" t="str">
        <f>IF(INDEX(WGmin,MATCH(Table4[[#This Row],[SKU]],FG,0))="-","-",IF(Table4[[#This Row],[%Wet Gluten]]="-","-",IF(Table4[[#This Row],[%Wet Gluten]]&lt;INDEX(WGmin,MATCH(Table4[[#This Row],[SKU]],FG,0)),0,IF(Table4[[#This Row],[%Wet Gluten]]&gt;INDEX(WGmax,MATCH(Table4[[#This Row],[SKU]],FG,0)),0,2))))</f>
        <v>-</v>
      </c>
      <c r="AJ98" s="232" t="str">
        <f>IF(Table4[[#This Row],[FN, s]]="-","-",IF(R98&lt;301,1,0))</f>
        <v>-</v>
      </c>
      <c r="AK98" s="233">
        <f>SUM(Table4[[#This Row],[ QI Bran Content]:[QI FN]])</f>
        <v>9</v>
      </c>
      <c r="AL98" s="232">
        <f t="shared" si="6"/>
        <v>11</v>
      </c>
      <c r="AM98" s="232" t="str">
        <f>IF(INDEX(WGmin,MATCH(Table4[[#This Row],[SKU]],FG,0))="-","-",IF(Table4[[#This Row],[Gross Weight]]="-","-",IF(Table4[[#This Row],[Gross Weight]]&lt;INDEX(GWmin,MATCH(Table4[[#This Row],[SKU]],FG,0)),0,IF(Table4[[#This Row],[Gross Weight]]&gt;INDEX(GWmax,MATCH(Table4[[#This Row],[SKU]],FG,0)),0,1))))</f>
        <v>-</v>
      </c>
      <c r="AN98" s="232">
        <f>IF(Table4[[#This Row],[Sealing Integrity]]="-","-",IF(Table4[[#This Row],[Sealing Integrity]]="P",1,0))</f>
        <v>1</v>
      </c>
      <c r="AO98" s="232">
        <f>IF(Table4[[#This Row],[Coding]]="-","-",IF(Table4[[#This Row],[Coding]]="P",1,0))</f>
        <v>1</v>
      </c>
      <c r="AP98" s="233">
        <f>SUM(Table4[[#This Row],[QI Weight]:[QI Code]])</f>
        <v>2</v>
      </c>
      <c r="AQ98" s="233">
        <f>COUNT(Table4[[#This Row],[QI Weight]:[QI Code]])</f>
        <v>2</v>
      </c>
      <c r="AR98" s="261">
        <f>Table4[[#This Row],[TA]]+Table4[[#This Row],[TA2]]</f>
        <v>11</v>
      </c>
      <c r="AS98" s="261">
        <f>Table4[[#This Row],[TP]]+Table4[[#This Row],[TP2]]</f>
        <v>13</v>
      </c>
      <c r="BD98" s="265">
        <f>IF(INDEX(MCmin,MATCH(Table4[[#This Row],[SKU]],FG,0))="-","-",IF(Table4[[#This Row],[%MC]]="-","-",IF(Table4[[#This Row],[%MC]]&lt;INDEX(MCmin,MATCH(Table4[[#This Row],[SKU]],FG,0)),1,0)))</f>
        <v>0</v>
      </c>
      <c r="BE98" s="265">
        <f>IF(INDEX(MCmin,MATCH(Table4[[#This Row],[SKU]],FG,0))="-","-",IF(Table4[[#This Row],[%MC]]="-","-",IF(Table4[[#This Row],[%MC]]&gt;INDEX(MCmax,MATCH(Table4[[#This Row],[SKU]],FG,0)),1,0)))</f>
        <v>0</v>
      </c>
      <c r="BF98" s="231">
        <f>IF(INDEX(Ashmin,MATCH(Table4[[#This Row],[SKU]],FG,0))="-","-",IF(Table4[[#This Row],[%Ash]]="-","-",IF(Table4[[#This Row],[%Ash]]&lt;INDEX(Ashmin,MATCH(Table4[[#This Row],[SKU]],FG,0)),1,0)))</f>
        <v>0</v>
      </c>
      <c r="BG98" s="231">
        <f>IF(INDEX(Ashmin,MATCH(Table4[[#This Row],[SKU]],FG,0))="-","-",IF(Table4[[#This Row],[%Ash]]="-","-",IF(Table4[[#This Row],[%Ash]]&gt;INDEX(Ashmax,MATCH(Table4[[#This Row],[SKU]],FG,0)),1,0)))</f>
        <v>0</v>
      </c>
      <c r="BH98" s="231">
        <f>IF(INDEX(Absmin,MATCH(Table4[[#This Row],[SKU]],FG,0))="-","-",IF(Table4[[#This Row],[%Absorption]]="-","-",IF(Table4[[#This Row],[%Absorption]]&lt;INDEX(Absmin,MATCH(Table4[[#This Row],[SKU]],FG,0)),1,0)))</f>
        <v>1</v>
      </c>
      <c r="BI98" s="231">
        <f>IF(INDEX(Absmin,MATCH(Table4[[#This Row],[SKU]],FG,0))="-","-",IF(Table4[[#This Row],[%Absorption]]="-","-",IF(Table4[[#This Row],[%Absorption]]&gt;INDEX(Absmax,MATCH(Table4[[#This Row],[SKU]],FG,0)),1,0)))</f>
        <v>0</v>
      </c>
      <c r="BJ98" s="231" t="str">
        <f>IF(INDEX(WGmin,MATCH(Table4[[#This Row],[SKU]],FG,0))="-","-",IF(Table4[[#This Row],[%Wet Gluten]]="-","-",IF(Table4[[#This Row],[%Wet Gluten]]&lt;INDEX(WGmin,MATCH(Table4[[#This Row],[SKU]],FG,0)),1,0)))</f>
        <v>-</v>
      </c>
      <c r="BK98" s="231" t="str">
        <f>IF(INDEX(WGmin,MATCH(Table4[[#This Row],[SKU]],FG,0))="-","-",IF(Table4[[#This Row],[%Wet Gluten]]="-","-",IF(Table4[[#This Row],[%Wet Gluten]]&gt;INDEX(WGmax,MATCH(Table4[[#This Row],[SKU]],FG,0)),1,0)))</f>
        <v>-</v>
      </c>
    </row>
    <row r="99" spans="1:63" x14ac:dyDescent="0.35">
      <c r="A99" s="243">
        <v>46023</v>
      </c>
      <c r="B99" s="244">
        <v>46028</v>
      </c>
      <c r="C99" s="244">
        <v>46025</v>
      </c>
      <c r="D99" s="244" t="s">
        <v>125</v>
      </c>
      <c r="E99" s="245" t="s">
        <v>273</v>
      </c>
      <c r="F99" s="246">
        <v>3</v>
      </c>
      <c r="G99" s="259" t="s">
        <v>112</v>
      </c>
      <c r="H99" s="247">
        <v>4.7999999999999996E-3</v>
      </c>
      <c r="I99" s="248" t="s">
        <v>165</v>
      </c>
      <c r="J99" s="248" t="s">
        <v>165</v>
      </c>
      <c r="K99" s="248" t="s">
        <v>165</v>
      </c>
      <c r="L99" s="248" t="s">
        <v>161</v>
      </c>
      <c r="M99" s="248" t="s">
        <v>161</v>
      </c>
      <c r="N99" s="249">
        <v>13.57</v>
      </c>
      <c r="O99" s="249" t="s">
        <v>163</v>
      </c>
      <c r="P99" s="249" t="s">
        <v>163</v>
      </c>
      <c r="Q99" s="249" t="s">
        <v>163</v>
      </c>
      <c r="R99" s="249" t="s">
        <v>163</v>
      </c>
      <c r="S99" s="250" t="s">
        <v>163</v>
      </c>
      <c r="T99" s="249" t="s">
        <v>163</v>
      </c>
      <c r="U99" s="249" t="s">
        <v>163</v>
      </c>
      <c r="V99" s="251" t="s">
        <v>163</v>
      </c>
      <c r="W99" s="252" t="s">
        <v>165</v>
      </c>
      <c r="X99" s="252" t="s">
        <v>165</v>
      </c>
      <c r="Y99" s="248" t="s">
        <v>163</v>
      </c>
      <c r="Z99" s="231">
        <f>IF(Table4[[#This Row],[ Bran Content]]="-","-",IF(H99&gt;0.02,0,2))</f>
        <v>2</v>
      </c>
      <c r="AA99" s="231">
        <f>IF(Table4[[#This Row],[Sieve Test]]="-","-",IF(Table4[[#This Row],[Sieve Test]]="P",1,0))</f>
        <v>1</v>
      </c>
      <c r="AB99" s="231">
        <f>IF(Table4[[#This Row],[Odor]]="-","-",IF(Table4[[#This Row],[Odor]]="P",2,0))</f>
        <v>2</v>
      </c>
      <c r="AC99" s="231">
        <f>IF(INDEX(MCmin,MATCH(Table4[[#This Row],[SKU]],FG,0))="-","-",IF(Table4[[#This Row],[%MC]]="-","-",IF(Table4[[#This Row],[%MC]]&lt;INDEX(MCmin,MATCH(Table4[[#This Row],[SKU]],FG,0)),0,IF(Table4[[#This Row],[%MC]]&gt;INDEX(MCmax,MATCH(Table4[[#This Row],[SKU]],FG,0)),0,1))))</f>
        <v>0</v>
      </c>
      <c r="AD99" s="231" t="str">
        <f>IF(INDEX(Protmin,MATCH(Table4[[#This Row],[SKU]],FG,0))="-","-",IF(Table4[[#This Row],[%Protein]]="-","-",IF(Table4[[#This Row],[%Protein]]&lt;INDEX(Protmin,MATCH(Table4[[#This Row],[SKU]],FG,0)),0,IF(Table4[[#This Row],[%Protein]]&gt;INDEX(Protmax,MATCH(Table4[[#This Row],[SKU]],FG,0)),0,1))))</f>
        <v>-</v>
      </c>
      <c r="AE99" s="231" t="str">
        <f>IF(INDEX(Ashmin,MATCH(Table4[[#This Row],[SKU]],FG,0))="-","-",IF(Table4[[#This Row],[%Ash]]="-","-",IF(Table4[[#This Row],[%Ash]]&lt;INDEX(Ashmin,MATCH(Table4[[#This Row],[SKU]],FG,0)),0,IF(Table4[[#This Row],[%Ash]]&gt;INDEX(Ashmax,MATCH(Table4[[#This Row],[SKU]],FG,0)),0,2))))</f>
        <v>-</v>
      </c>
      <c r="AF99" s="231" t="str">
        <f>IF(INDEX(Absmin,MATCH(Table4[[#This Row],[SKU]],FG,0))="-","-",IF(Table4[[#This Row],[%Absorption]]="-","-",IF(Table4[[#This Row],[%Absorption]]&lt;INDEX(Absmin,MATCH(Table4[[#This Row],[SKU]],FG,0)),0,IF(Table4[[#This Row],[%Absorption]]&gt;INDEX(Absmax,MATCH(Table4[[#This Row],[SKU]],FG,0)),0,2))))</f>
        <v>-</v>
      </c>
      <c r="AG99" s="231" t="str">
        <f>IF(INDEX(Extmin,MATCH(Table4[[#This Row],[SKU]],FG,0))="-","-",IF(Table4[[#This Row],[%Extensibility]]="-","-",IF(Table4[[#This Row],[%Extensibility]]&lt;INDEX(Extmin,MATCH(Table4[[#This Row],[SKU]],FG,0)),0,IF(Table4[[#This Row],[%Extensibility]]&gt;INDEX(Extmax,MATCH(Table4[[#This Row],[SKU]],FG,0)),0,1))))</f>
        <v>-</v>
      </c>
      <c r="AH99" s="231" t="str">
        <f>IF(INDEX(Resmin,MATCH(Table4[[#This Row],[SKU]],FG,0))="-","-",IF(Table4[[#This Row],[Resistance, max]]="-","-",IF(Table4[[#This Row],[Resistance, max]]&lt;INDEX(Resmin,MATCH(Table4[[#This Row],[SKU]],FG,0)),0,IF(Table4[[#This Row],[Resistance, max]]&gt;INDEX(Resmax,MATCH(Table4[[#This Row],[SKU]],FG,0)),0,1))))</f>
        <v>-</v>
      </c>
      <c r="AI99" s="231" t="str">
        <f>IF(INDEX(WGmin,MATCH(Table4[[#This Row],[SKU]],FG,0))="-","-",IF(Table4[[#This Row],[%Wet Gluten]]="-","-",IF(Table4[[#This Row],[%Wet Gluten]]&lt;INDEX(WGmin,MATCH(Table4[[#This Row],[SKU]],FG,0)),0,IF(Table4[[#This Row],[%Wet Gluten]]&gt;INDEX(WGmax,MATCH(Table4[[#This Row],[SKU]],FG,0)),0,2))))</f>
        <v>-</v>
      </c>
      <c r="AJ99" s="232" t="str">
        <f>IF(Table4[[#This Row],[FN, s]]="-","-",IF(R99&lt;301,1,0))</f>
        <v>-</v>
      </c>
      <c r="AK99" s="233">
        <f>SUM(Table4[[#This Row],[ QI Bran Content]:[QI FN]])</f>
        <v>5</v>
      </c>
      <c r="AL99" s="232">
        <f t="shared" ref="AL99:AL122" si="7">COUNT(AA99,AC99:AD99,AG99:AH99,AJ99) + 2*COUNT(Z99,AB99,AE99:AF99,AI99)</f>
        <v>6</v>
      </c>
      <c r="AM99" s="232" t="str">
        <f>IF(INDEX(WGmin,MATCH(Table4[[#This Row],[SKU]],FG,0))="-","-",IF(Table4[[#This Row],[Gross Weight]]="-","-",IF(Table4[[#This Row],[Gross Weight]]&lt;INDEX(GWmin,MATCH(Table4[[#This Row],[SKU]],FG,0)),0,IF(Table4[[#This Row],[Gross Weight]]&gt;INDEX(GWmax,MATCH(Table4[[#This Row],[SKU]],FG,0)),0,1))))</f>
        <v>-</v>
      </c>
      <c r="AN99" s="232">
        <f>IF(Table4[[#This Row],[Sealing Integrity]]="-","-",IF(Table4[[#This Row],[Sealing Integrity]]="P",1,0))</f>
        <v>1</v>
      </c>
      <c r="AO99" s="232">
        <f>IF(Table4[[#This Row],[Coding]]="-","-",IF(Table4[[#This Row],[Coding]]="P",1,0))</f>
        <v>1</v>
      </c>
      <c r="AP99" s="233">
        <f>SUM(Table4[[#This Row],[QI Weight]:[QI Code]])</f>
        <v>2</v>
      </c>
      <c r="AQ99" s="233">
        <f>COUNT(Table4[[#This Row],[QI Weight]:[QI Code]])</f>
        <v>2</v>
      </c>
      <c r="AR99" s="261">
        <f>Table4[[#This Row],[TA]]+Table4[[#This Row],[TA2]]</f>
        <v>7</v>
      </c>
      <c r="AS99" s="261">
        <f>Table4[[#This Row],[TP]]+Table4[[#This Row],[TP2]]</f>
        <v>8</v>
      </c>
      <c r="BD99" s="265">
        <f>IF(INDEX(MCmin,MATCH(Table4[[#This Row],[SKU]],FG,0))="-","-",IF(Table4[[#This Row],[%MC]]="-","-",IF(Table4[[#This Row],[%MC]]&lt;INDEX(MCmin,MATCH(Table4[[#This Row],[SKU]],FG,0)),1,0)))</f>
        <v>0</v>
      </c>
      <c r="BE99" s="265">
        <f>IF(INDEX(MCmin,MATCH(Table4[[#This Row],[SKU]],FG,0))="-","-",IF(Table4[[#This Row],[%MC]]="-","-",IF(Table4[[#This Row],[%MC]]&gt;INDEX(MCmax,MATCH(Table4[[#This Row],[SKU]],FG,0)),1,0)))</f>
        <v>1</v>
      </c>
      <c r="BF99" s="231" t="str">
        <f>IF(INDEX(Ashmin,MATCH(Table4[[#This Row],[SKU]],FG,0))="-","-",IF(Table4[[#This Row],[%Ash]]="-","-",IF(Table4[[#This Row],[%Ash]]&lt;INDEX(Ashmin,MATCH(Table4[[#This Row],[SKU]],FG,0)),1,0)))</f>
        <v>-</v>
      </c>
      <c r="BG99" s="231" t="str">
        <f>IF(INDEX(Ashmin,MATCH(Table4[[#This Row],[SKU]],FG,0))="-","-",IF(Table4[[#This Row],[%Ash]]="-","-",IF(Table4[[#This Row],[%Ash]]&gt;INDEX(Ashmax,MATCH(Table4[[#This Row],[SKU]],FG,0)),1,0)))</f>
        <v>-</v>
      </c>
      <c r="BH99" s="231" t="str">
        <f>IF(INDEX(Absmin,MATCH(Table4[[#This Row],[SKU]],FG,0))="-","-",IF(Table4[[#This Row],[%Absorption]]="-","-",IF(Table4[[#This Row],[%Absorption]]&lt;INDEX(Absmin,MATCH(Table4[[#This Row],[SKU]],FG,0)),1,0)))</f>
        <v>-</v>
      </c>
      <c r="BI99" s="231" t="str">
        <f>IF(INDEX(Absmin,MATCH(Table4[[#This Row],[SKU]],FG,0))="-","-",IF(Table4[[#This Row],[%Absorption]]="-","-",IF(Table4[[#This Row],[%Absorption]]&gt;INDEX(Absmax,MATCH(Table4[[#This Row],[SKU]],FG,0)),1,0)))</f>
        <v>-</v>
      </c>
      <c r="BJ99" s="231" t="str">
        <f>IF(INDEX(WGmin,MATCH(Table4[[#This Row],[SKU]],FG,0))="-","-",IF(Table4[[#This Row],[%Wet Gluten]]="-","-",IF(Table4[[#This Row],[%Wet Gluten]]&lt;INDEX(WGmin,MATCH(Table4[[#This Row],[SKU]],FG,0)),1,0)))</f>
        <v>-</v>
      </c>
      <c r="BK99" s="231" t="str">
        <f>IF(INDEX(WGmin,MATCH(Table4[[#This Row],[SKU]],FG,0))="-","-",IF(Table4[[#This Row],[%Wet Gluten]]="-","-",IF(Table4[[#This Row],[%Wet Gluten]]&gt;INDEX(WGmax,MATCH(Table4[[#This Row],[SKU]],FG,0)),1,0)))</f>
        <v>-</v>
      </c>
    </row>
    <row r="100" spans="1:63" x14ac:dyDescent="0.35">
      <c r="A100" s="243">
        <v>46023</v>
      </c>
      <c r="B100" s="244">
        <v>46028</v>
      </c>
      <c r="C100" s="244">
        <v>46025</v>
      </c>
      <c r="D100" s="244" t="s">
        <v>125</v>
      </c>
      <c r="E100" s="245" t="s">
        <v>240</v>
      </c>
      <c r="F100" s="246">
        <v>3</v>
      </c>
      <c r="G100" s="259" t="s">
        <v>112</v>
      </c>
      <c r="H100" s="247">
        <v>5.8999999999999999E-3</v>
      </c>
      <c r="I100" s="248" t="s">
        <v>165</v>
      </c>
      <c r="J100" s="248" t="s">
        <v>165</v>
      </c>
      <c r="K100" s="248" t="s">
        <v>165</v>
      </c>
      <c r="L100" s="248" t="s">
        <v>161</v>
      </c>
      <c r="M100" s="248" t="s">
        <v>161</v>
      </c>
      <c r="N100" s="249">
        <v>13.35</v>
      </c>
      <c r="O100" s="249" t="s">
        <v>163</v>
      </c>
      <c r="P100" s="249" t="s">
        <v>163</v>
      </c>
      <c r="Q100" s="249" t="s">
        <v>163</v>
      </c>
      <c r="R100" s="249" t="s">
        <v>163</v>
      </c>
      <c r="S100" s="250" t="s">
        <v>163</v>
      </c>
      <c r="T100" s="249" t="s">
        <v>163</v>
      </c>
      <c r="U100" s="249" t="s">
        <v>163</v>
      </c>
      <c r="V100" s="251" t="s">
        <v>163</v>
      </c>
      <c r="W100" s="252" t="s">
        <v>165</v>
      </c>
      <c r="X100" s="252" t="s">
        <v>165</v>
      </c>
      <c r="Y100" s="248" t="s">
        <v>163</v>
      </c>
      <c r="Z100" s="231">
        <f>IF(Table4[[#This Row],[ Bran Content]]="-","-",IF(H100&gt;0.02,0,2))</f>
        <v>2</v>
      </c>
      <c r="AA100" s="231">
        <f>IF(Table4[[#This Row],[Sieve Test]]="-","-",IF(Table4[[#This Row],[Sieve Test]]="P",1,0))</f>
        <v>1</v>
      </c>
      <c r="AB100" s="231">
        <f>IF(Table4[[#This Row],[Odor]]="-","-",IF(Table4[[#This Row],[Odor]]="P",2,0))</f>
        <v>2</v>
      </c>
      <c r="AC100" s="231">
        <f>IF(INDEX(MCmin,MATCH(Table4[[#This Row],[SKU]],FG,0))="-","-",IF(Table4[[#This Row],[%MC]]="-","-",IF(Table4[[#This Row],[%MC]]&lt;INDEX(MCmin,MATCH(Table4[[#This Row],[SKU]],FG,0)),0,IF(Table4[[#This Row],[%MC]]&gt;INDEX(MCmax,MATCH(Table4[[#This Row],[SKU]],FG,0)),0,1))))</f>
        <v>1</v>
      </c>
      <c r="AD100" s="231" t="str">
        <f>IF(INDEX(Protmin,MATCH(Table4[[#This Row],[SKU]],FG,0))="-","-",IF(Table4[[#This Row],[%Protein]]="-","-",IF(Table4[[#This Row],[%Protein]]&lt;INDEX(Protmin,MATCH(Table4[[#This Row],[SKU]],FG,0)),0,IF(Table4[[#This Row],[%Protein]]&gt;INDEX(Protmax,MATCH(Table4[[#This Row],[SKU]],FG,0)),0,1))))</f>
        <v>-</v>
      </c>
      <c r="AE100" s="231" t="str">
        <f>IF(INDEX(Ashmin,MATCH(Table4[[#This Row],[SKU]],FG,0))="-","-",IF(Table4[[#This Row],[%Ash]]="-","-",IF(Table4[[#This Row],[%Ash]]&lt;INDEX(Ashmin,MATCH(Table4[[#This Row],[SKU]],FG,0)),0,IF(Table4[[#This Row],[%Ash]]&gt;INDEX(Ashmax,MATCH(Table4[[#This Row],[SKU]],FG,0)),0,2))))</f>
        <v>-</v>
      </c>
      <c r="AF100" s="231" t="str">
        <f>IF(INDEX(Absmin,MATCH(Table4[[#This Row],[SKU]],FG,0))="-","-",IF(Table4[[#This Row],[%Absorption]]="-","-",IF(Table4[[#This Row],[%Absorption]]&lt;INDEX(Absmin,MATCH(Table4[[#This Row],[SKU]],FG,0)),0,IF(Table4[[#This Row],[%Absorption]]&gt;INDEX(Absmax,MATCH(Table4[[#This Row],[SKU]],FG,0)),0,2))))</f>
        <v>-</v>
      </c>
      <c r="AG100" s="231" t="str">
        <f>IF(INDEX(Extmin,MATCH(Table4[[#This Row],[SKU]],FG,0))="-","-",IF(Table4[[#This Row],[%Extensibility]]="-","-",IF(Table4[[#This Row],[%Extensibility]]&lt;INDEX(Extmin,MATCH(Table4[[#This Row],[SKU]],FG,0)),0,IF(Table4[[#This Row],[%Extensibility]]&gt;INDEX(Extmax,MATCH(Table4[[#This Row],[SKU]],FG,0)),0,1))))</f>
        <v>-</v>
      </c>
      <c r="AH100" s="231" t="str">
        <f>IF(INDEX(Resmin,MATCH(Table4[[#This Row],[SKU]],FG,0))="-","-",IF(Table4[[#This Row],[Resistance, max]]="-","-",IF(Table4[[#This Row],[Resistance, max]]&lt;INDEX(Resmin,MATCH(Table4[[#This Row],[SKU]],FG,0)),0,IF(Table4[[#This Row],[Resistance, max]]&gt;INDEX(Resmax,MATCH(Table4[[#This Row],[SKU]],FG,0)),0,1))))</f>
        <v>-</v>
      </c>
      <c r="AI100" s="231" t="str">
        <f>IF(INDEX(WGmin,MATCH(Table4[[#This Row],[SKU]],FG,0))="-","-",IF(Table4[[#This Row],[%Wet Gluten]]="-","-",IF(Table4[[#This Row],[%Wet Gluten]]&lt;INDEX(WGmin,MATCH(Table4[[#This Row],[SKU]],FG,0)),0,IF(Table4[[#This Row],[%Wet Gluten]]&gt;INDEX(WGmax,MATCH(Table4[[#This Row],[SKU]],FG,0)),0,2))))</f>
        <v>-</v>
      </c>
      <c r="AJ100" s="232" t="str">
        <f>IF(Table4[[#This Row],[FN, s]]="-","-",IF(R100&lt;301,1,0))</f>
        <v>-</v>
      </c>
      <c r="AK100" s="233">
        <f>SUM(Table4[[#This Row],[ QI Bran Content]:[QI FN]])</f>
        <v>6</v>
      </c>
      <c r="AL100" s="232">
        <f t="shared" si="7"/>
        <v>6</v>
      </c>
      <c r="AM100" s="232" t="str">
        <f>IF(INDEX(WGmin,MATCH(Table4[[#This Row],[SKU]],FG,0))="-","-",IF(Table4[[#This Row],[Gross Weight]]="-","-",IF(Table4[[#This Row],[Gross Weight]]&lt;INDEX(GWmin,MATCH(Table4[[#This Row],[SKU]],FG,0)),0,IF(Table4[[#This Row],[Gross Weight]]&gt;INDEX(GWmax,MATCH(Table4[[#This Row],[SKU]],FG,0)),0,1))))</f>
        <v>-</v>
      </c>
      <c r="AN100" s="232">
        <f>IF(Table4[[#This Row],[Sealing Integrity]]="-","-",IF(Table4[[#This Row],[Sealing Integrity]]="P",1,0))</f>
        <v>1</v>
      </c>
      <c r="AO100" s="232">
        <f>IF(Table4[[#This Row],[Coding]]="-","-",IF(Table4[[#This Row],[Coding]]="P",1,0))</f>
        <v>1</v>
      </c>
      <c r="AP100" s="233">
        <f>SUM(Table4[[#This Row],[QI Weight]:[QI Code]])</f>
        <v>2</v>
      </c>
      <c r="AQ100" s="233">
        <f>COUNT(Table4[[#This Row],[QI Weight]:[QI Code]])</f>
        <v>2</v>
      </c>
      <c r="AR100" s="261">
        <f>Table4[[#This Row],[TA]]+Table4[[#This Row],[TA2]]</f>
        <v>8</v>
      </c>
      <c r="AS100" s="261">
        <f>Table4[[#This Row],[TP]]+Table4[[#This Row],[TP2]]</f>
        <v>8</v>
      </c>
      <c r="BD100" s="265">
        <f>IF(INDEX(MCmin,MATCH(Table4[[#This Row],[SKU]],FG,0))="-","-",IF(Table4[[#This Row],[%MC]]="-","-",IF(Table4[[#This Row],[%MC]]&lt;INDEX(MCmin,MATCH(Table4[[#This Row],[SKU]],FG,0)),1,0)))</f>
        <v>0</v>
      </c>
      <c r="BE100" s="265">
        <f>IF(INDEX(MCmin,MATCH(Table4[[#This Row],[SKU]],FG,0))="-","-",IF(Table4[[#This Row],[%MC]]="-","-",IF(Table4[[#This Row],[%MC]]&gt;INDEX(MCmax,MATCH(Table4[[#This Row],[SKU]],FG,0)),1,0)))</f>
        <v>0</v>
      </c>
      <c r="BF100" s="231" t="str">
        <f>IF(INDEX(Ashmin,MATCH(Table4[[#This Row],[SKU]],FG,0))="-","-",IF(Table4[[#This Row],[%Ash]]="-","-",IF(Table4[[#This Row],[%Ash]]&lt;INDEX(Ashmin,MATCH(Table4[[#This Row],[SKU]],FG,0)),1,0)))</f>
        <v>-</v>
      </c>
      <c r="BG100" s="231" t="str">
        <f>IF(INDEX(Ashmin,MATCH(Table4[[#This Row],[SKU]],FG,0))="-","-",IF(Table4[[#This Row],[%Ash]]="-","-",IF(Table4[[#This Row],[%Ash]]&gt;INDEX(Ashmax,MATCH(Table4[[#This Row],[SKU]],FG,0)),1,0)))</f>
        <v>-</v>
      </c>
      <c r="BH100" s="231" t="str">
        <f>IF(INDEX(Absmin,MATCH(Table4[[#This Row],[SKU]],FG,0))="-","-",IF(Table4[[#This Row],[%Absorption]]="-","-",IF(Table4[[#This Row],[%Absorption]]&lt;INDEX(Absmin,MATCH(Table4[[#This Row],[SKU]],FG,0)),1,0)))</f>
        <v>-</v>
      </c>
      <c r="BI100" s="231" t="str">
        <f>IF(INDEX(Absmin,MATCH(Table4[[#This Row],[SKU]],FG,0))="-","-",IF(Table4[[#This Row],[%Absorption]]="-","-",IF(Table4[[#This Row],[%Absorption]]&gt;INDEX(Absmax,MATCH(Table4[[#This Row],[SKU]],FG,0)),1,0)))</f>
        <v>-</v>
      </c>
      <c r="BJ100" s="231" t="str">
        <f>IF(INDEX(WGmin,MATCH(Table4[[#This Row],[SKU]],FG,0))="-","-",IF(Table4[[#This Row],[%Wet Gluten]]="-","-",IF(Table4[[#This Row],[%Wet Gluten]]&lt;INDEX(WGmin,MATCH(Table4[[#This Row],[SKU]],FG,0)),1,0)))</f>
        <v>-</v>
      </c>
      <c r="BK100" s="231" t="str">
        <f>IF(INDEX(WGmin,MATCH(Table4[[#This Row],[SKU]],FG,0))="-","-",IF(Table4[[#This Row],[%Wet Gluten]]="-","-",IF(Table4[[#This Row],[%Wet Gluten]]&gt;INDEX(WGmax,MATCH(Table4[[#This Row],[SKU]],FG,0)),1,0)))</f>
        <v>-</v>
      </c>
    </row>
    <row r="101" spans="1:63" x14ac:dyDescent="0.35">
      <c r="A101" s="243">
        <v>46023</v>
      </c>
      <c r="B101" s="244">
        <v>46028</v>
      </c>
      <c r="C101" s="244">
        <v>46025</v>
      </c>
      <c r="D101" s="244" t="s">
        <v>125</v>
      </c>
      <c r="E101" s="245" t="s">
        <v>327</v>
      </c>
      <c r="F101" s="246">
        <v>3</v>
      </c>
      <c r="G101" s="259" t="s">
        <v>112</v>
      </c>
      <c r="H101" s="247">
        <v>4.4999999999999997E-3</v>
      </c>
      <c r="I101" s="248" t="s">
        <v>165</v>
      </c>
      <c r="J101" s="248" t="s">
        <v>165</v>
      </c>
      <c r="K101" s="248" t="s">
        <v>165</v>
      </c>
      <c r="L101" s="248" t="s">
        <v>161</v>
      </c>
      <c r="M101" s="248" t="s">
        <v>161</v>
      </c>
      <c r="N101" s="249">
        <v>13.34</v>
      </c>
      <c r="O101" s="249" t="s">
        <v>163</v>
      </c>
      <c r="P101" s="249" t="s">
        <v>163</v>
      </c>
      <c r="Q101" s="249" t="s">
        <v>163</v>
      </c>
      <c r="R101" s="249" t="s">
        <v>163</v>
      </c>
      <c r="S101" s="250" t="s">
        <v>163</v>
      </c>
      <c r="T101" s="249" t="s">
        <v>163</v>
      </c>
      <c r="U101" s="249" t="s">
        <v>163</v>
      </c>
      <c r="V101" s="251" t="s">
        <v>163</v>
      </c>
      <c r="W101" s="252" t="s">
        <v>165</v>
      </c>
      <c r="X101" s="252" t="s">
        <v>165</v>
      </c>
      <c r="Y101" s="248" t="s">
        <v>163</v>
      </c>
      <c r="Z101" s="231">
        <f>IF(Table4[[#This Row],[ Bran Content]]="-","-",IF(H101&gt;0.02,0,2))</f>
        <v>2</v>
      </c>
      <c r="AA101" s="231">
        <f>IF(Table4[[#This Row],[Sieve Test]]="-","-",IF(Table4[[#This Row],[Sieve Test]]="P",1,0))</f>
        <v>1</v>
      </c>
      <c r="AB101" s="231">
        <f>IF(Table4[[#This Row],[Odor]]="-","-",IF(Table4[[#This Row],[Odor]]="P",2,0))</f>
        <v>2</v>
      </c>
      <c r="AC101" s="231">
        <f>IF(INDEX(MCmin,MATCH(Table4[[#This Row],[SKU]],FG,0))="-","-",IF(Table4[[#This Row],[%MC]]="-","-",IF(Table4[[#This Row],[%MC]]&lt;INDEX(MCmin,MATCH(Table4[[#This Row],[SKU]],FG,0)),0,IF(Table4[[#This Row],[%MC]]&gt;INDEX(MCmax,MATCH(Table4[[#This Row],[SKU]],FG,0)),0,1))))</f>
        <v>1</v>
      </c>
      <c r="AD101" s="231" t="str">
        <f>IF(INDEX(Protmin,MATCH(Table4[[#This Row],[SKU]],FG,0))="-","-",IF(Table4[[#This Row],[%Protein]]="-","-",IF(Table4[[#This Row],[%Protein]]&lt;INDEX(Protmin,MATCH(Table4[[#This Row],[SKU]],FG,0)),0,IF(Table4[[#This Row],[%Protein]]&gt;INDEX(Protmax,MATCH(Table4[[#This Row],[SKU]],FG,0)),0,1))))</f>
        <v>-</v>
      </c>
      <c r="AE101" s="231" t="str">
        <f>IF(INDEX(Ashmin,MATCH(Table4[[#This Row],[SKU]],FG,0))="-","-",IF(Table4[[#This Row],[%Ash]]="-","-",IF(Table4[[#This Row],[%Ash]]&lt;INDEX(Ashmin,MATCH(Table4[[#This Row],[SKU]],FG,0)),0,IF(Table4[[#This Row],[%Ash]]&gt;INDEX(Ashmax,MATCH(Table4[[#This Row],[SKU]],FG,0)),0,2))))</f>
        <v>-</v>
      </c>
      <c r="AF101" s="231" t="str">
        <f>IF(INDEX(Absmin,MATCH(Table4[[#This Row],[SKU]],FG,0))="-","-",IF(Table4[[#This Row],[%Absorption]]="-","-",IF(Table4[[#This Row],[%Absorption]]&lt;INDEX(Absmin,MATCH(Table4[[#This Row],[SKU]],FG,0)),0,IF(Table4[[#This Row],[%Absorption]]&gt;INDEX(Absmax,MATCH(Table4[[#This Row],[SKU]],FG,0)),0,2))))</f>
        <v>-</v>
      </c>
      <c r="AG101" s="231" t="str">
        <f>IF(INDEX(Extmin,MATCH(Table4[[#This Row],[SKU]],FG,0))="-","-",IF(Table4[[#This Row],[%Extensibility]]="-","-",IF(Table4[[#This Row],[%Extensibility]]&lt;INDEX(Extmin,MATCH(Table4[[#This Row],[SKU]],FG,0)),0,IF(Table4[[#This Row],[%Extensibility]]&gt;INDEX(Extmax,MATCH(Table4[[#This Row],[SKU]],FG,0)),0,1))))</f>
        <v>-</v>
      </c>
      <c r="AH101" s="231" t="str">
        <f>IF(INDEX(Resmin,MATCH(Table4[[#This Row],[SKU]],FG,0))="-","-",IF(Table4[[#This Row],[Resistance, max]]="-","-",IF(Table4[[#This Row],[Resistance, max]]&lt;INDEX(Resmin,MATCH(Table4[[#This Row],[SKU]],FG,0)),0,IF(Table4[[#This Row],[Resistance, max]]&gt;INDEX(Resmax,MATCH(Table4[[#This Row],[SKU]],FG,0)),0,1))))</f>
        <v>-</v>
      </c>
      <c r="AI101" s="231" t="str">
        <f>IF(INDEX(WGmin,MATCH(Table4[[#This Row],[SKU]],FG,0))="-","-",IF(Table4[[#This Row],[%Wet Gluten]]="-","-",IF(Table4[[#This Row],[%Wet Gluten]]&lt;INDEX(WGmin,MATCH(Table4[[#This Row],[SKU]],FG,0)),0,IF(Table4[[#This Row],[%Wet Gluten]]&gt;INDEX(WGmax,MATCH(Table4[[#This Row],[SKU]],FG,0)),0,2))))</f>
        <v>-</v>
      </c>
      <c r="AJ101" s="232" t="str">
        <f>IF(Table4[[#This Row],[FN, s]]="-","-",IF(R101&lt;301,1,0))</f>
        <v>-</v>
      </c>
      <c r="AK101" s="233">
        <f>SUM(Table4[[#This Row],[ QI Bran Content]:[QI FN]])</f>
        <v>6</v>
      </c>
      <c r="AL101" s="232">
        <f t="shared" si="7"/>
        <v>6</v>
      </c>
      <c r="AM101" s="232" t="str">
        <f>IF(INDEX(WGmin,MATCH(Table4[[#This Row],[SKU]],FG,0))="-","-",IF(Table4[[#This Row],[Gross Weight]]="-","-",IF(Table4[[#This Row],[Gross Weight]]&lt;INDEX(GWmin,MATCH(Table4[[#This Row],[SKU]],FG,0)),0,IF(Table4[[#This Row],[Gross Weight]]&gt;INDEX(GWmax,MATCH(Table4[[#This Row],[SKU]],FG,0)),0,1))))</f>
        <v>-</v>
      </c>
      <c r="AN101" s="232">
        <f>IF(Table4[[#This Row],[Sealing Integrity]]="-","-",IF(Table4[[#This Row],[Sealing Integrity]]="P",1,0))</f>
        <v>1</v>
      </c>
      <c r="AO101" s="232">
        <f>IF(Table4[[#This Row],[Coding]]="-","-",IF(Table4[[#This Row],[Coding]]="P",1,0))</f>
        <v>1</v>
      </c>
      <c r="AP101" s="233">
        <f>SUM(Table4[[#This Row],[QI Weight]:[QI Code]])</f>
        <v>2</v>
      </c>
      <c r="AQ101" s="233">
        <f>COUNT(Table4[[#This Row],[QI Weight]:[QI Code]])</f>
        <v>2</v>
      </c>
      <c r="AR101" s="261">
        <f>Table4[[#This Row],[TA]]+Table4[[#This Row],[TA2]]</f>
        <v>8</v>
      </c>
      <c r="AS101" s="261">
        <f>Table4[[#This Row],[TP]]+Table4[[#This Row],[TP2]]</f>
        <v>8</v>
      </c>
      <c r="BD101" s="265">
        <f>IF(INDEX(MCmin,MATCH(Table4[[#This Row],[SKU]],FG,0))="-","-",IF(Table4[[#This Row],[%MC]]="-","-",IF(Table4[[#This Row],[%MC]]&lt;INDEX(MCmin,MATCH(Table4[[#This Row],[SKU]],FG,0)),1,0)))</f>
        <v>0</v>
      </c>
      <c r="BE101" s="265">
        <f>IF(INDEX(MCmin,MATCH(Table4[[#This Row],[SKU]],FG,0))="-","-",IF(Table4[[#This Row],[%MC]]="-","-",IF(Table4[[#This Row],[%MC]]&gt;INDEX(MCmax,MATCH(Table4[[#This Row],[SKU]],FG,0)),1,0)))</f>
        <v>0</v>
      </c>
      <c r="BF101" s="231" t="str">
        <f>IF(INDEX(Ashmin,MATCH(Table4[[#This Row],[SKU]],FG,0))="-","-",IF(Table4[[#This Row],[%Ash]]="-","-",IF(Table4[[#This Row],[%Ash]]&lt;INDEX(Ashmin,MATCH(Table4[[#This Row],[SKU]],FG,0)),1,0)))</f>
        <v>-</v>
      </c>
      <c r="BG101" s="231" t="str">
        <f>IF(INDEX(Ashmin,MATCH(Table4[[#This Row],[SKU]],FG,0))="-","-",IF(Table4[[#This Row],[%Ash]]="-","-",IF(Table4[[#This Row],[%Ash]]&gt;INDEX(Ashmax,MATCH(Table4[[#This Row],[SKU]],FG,0)),1,0)))</f>
        <v>-</v>
      </c>
      <c r="BH101" s="231" t="str">
        <f>IF(INDEX(Absmin,MATCH(Table4[[#This Row],[SKU]],FG,0))="-","-",IF(Table4[[#This Row],[%Absorption]]="-","-",IF(Table4[[#This Row],[%Absorption]]&lt;INDEX(Absmin,MATCH(Table4[[#This Row],[SKU]],FG,0)),1,0)))</f>
        <v>-</v>
      </c>
      <c r="BI101" s="231" t="str">
        <f>IF(INDEX(Absmin,MATCH(Table4[[#This Row],[SKU]],FG,0))="-","-",IF(Table4[[#This Row],[%Absorption]]="-","-",IF(Table4[[#This Row],[%Absorption]]&gt;INDEX(Absmax,MATCH(Table4[[#This Row],[SKU]],FG,0)),1,0)))</f>
        <v>-</v>
      </c>
      <c r="BJ101" s="231" t="str">
        <f>IF(INDEX(WGmin,MATCH(Table4[[#This Row],[SKU]],FG,0))="-","-",IF(Table4[[#This Row],[%Wet Gluten]]="-","-",IF(Table4[[#This Row],[%Wet Gluten]]&lt;INDEX(WGmin,MATCH(Table4[[#This Row],[SKU]],FG,0)),1,0)))</f>
        <v>-</v>
      </c>
      <c r="BK101" s="231" t="str">
        <f>IF(INDEX(WGmin,MATCH(Table4[[#This Row],[SKU]],FG,0))="-","-",IF(Table4[[#This Row],[%Wet Gluten]]="-","-",IF(Table4[[#This Row],[%Wet Gluten]]&gt;INDEX(WGmax,MATCH(Table4[[#This Row],[SKU]],FG,0)),1,0)))</f>
        <v>-</v>
      </c>
    </row>
    <row r="102" spans="1:63" x14ac:dyDescent="0.35">
      <c r="A102" s="243">
        <v>46023</v>
      </c>
      <c r="B102" s="244">
        <v>46028</v>
      </c>
      <c r="C102" s="244">
        <v>46025</v>
      </c>
      <c r="D102" s="244" t="s">
        <v>125</v>
      </c>
      <c r="E102" s="245" t="s">
        <v>237</v>
      </c>
      <c r="F102" s="246">
        <v>3</v>
      </c>
      <c r="G102" s="259" t="s">
        <v>112</v>
      </c>
      <c r="H102" s="247">
        <v>5.0000000000000001E-3</v>
      </c>
      <c r="I102" s="248" t="s">
        <v>165</v>
      </c>
      <c r="J102" s="248" t="s">
        <v>165</v>
      </c>
      <c r="K102" s="248" t="s">
        <v>165</v>
      </c>
      <c r="L102" s="248" t="s">
        <v>161</v>
      </c>
      <c r="M102" s="248" t="s">
        <v>161</v>
      </c>
      <c r="N102" s="249" t="s">
        <v>163</v>
      </c>
      <c r="O102" s="249" t="s">
        <v>163</v>
      </c>
      <c r="P102" s="249" t="s">
        <v>163</v>
      </c>
      <c r="Q102" s="249" t="s">
        <v>163</v>
      </c>
      <c r="R102" s="249" t="s">
        <v>163</v>
      </c>
      <c r="S102" s="250" t="s">
        <v>163</v>
      </c>
      <c r="T102" s="249" t="s">
        <v>163</v>
      </c>
      <c r="U102" s="249" t="s">
        <v>163</v>
      </c>
      <c r="V102" s="251" t="s">
        <v>163</v>
      </c>
      <c r="W102" s="252" t="s">
        <v>165</v>
      </c>
      <c r="X102" s="252" t="s">
        <v>165</v>
      </c>
      <c r="Y102" s="248" t="s">
        <v>163</v>
      </c>
      <c r="Z102" s="231">
        <f>IF(Table4[[#This Row],[ Bran Content]]="-","-",IF(H102&gt;0.02,0,2))</f>
        <v>2</v>
      </c>
      <c r="AA102" s="231">
        <f>IF(Table4[[#This Row],[Sieve Test]]="-","-",IF(Table4[[#This Row],[Sieve Test]]="P",1,0))</f>
        <v>1</v>
      </c>
      <c r="AB102" s="231">
        <f>IF(Table4[[#This Row],[Odor]]="-","-",IF(Table4[[#This Row],[Odor]]="P",2,0))</f>
        <v>2</v>
      </c>
      <c r="AC102" s="231" t="str">
        <f>IF(INDEX(MCmin,MATCH(Table4[[#This Row],[SKU]],FG,0))="-","-",IF(Table4[[#This Row],[%MC]]="-","-",IF(Table4[[#This Row],[%MC]]&lt;INDEX(MCmin,MATCH(Table4[[#This Row],[SKU]],FG,0)),0,IF(Table4[[#This Row],[%MC]]&gt;INDEX(MCmax,MATCH(Table4[[#This Row],[SKU]],FG,0)),0,1))))</f>
        <v>-</v>
      </c>
      <c r="AD102" s="231" t="str">
        <f>IF(INDEX(Protmin,MATCH(Table4[[#This Row],[SKU]],FG,0))="-","-",IF(Table4[[#This Row],[%Protein]]="-","-",IF(Table4[[#This Row],[%Protein]]&lt;INDEX(Protmin,MATCH(Table4[[#This Row],[SKU]],FG,0)),0,IF(Table4[[#This Row],[%Protein]]&gt;INDEX(Protmax,MATCH(Table4[[#This Row],[SKU]],FG,0)),0,1))))</f>
        <v>-</v>
      </c>
      <c r="AE102" s="231" t="str">
        <f>IF(INDEX(Ashmin,MATCH(Table4[[#This Row],[SKU]],FG,0))="-","-",IF(Table4[[#This Row],[%Ash]]="-","-",IF(Table4[[#This Row],[%Ash]]&lt;INDEX(Ashmin,MATCH(Table4[[#This Row],[SKU]],FG,0)),0,IF(Table4[[#This Row],[%Ash]]&gt;INDEX(Ashmax,MATCH(Table4[[#This Row],[SKU]],FG,0)),0,2))))</f>
        <v>-</v>
      </c>
      <c r="AF102" s="231" t="str">
        <f>IF(INDEX(Absmin,MATCH(Table4[[#This Row],[SKU]],FG,0))="-","-",IF(Table4[[#This Row],[%Absorption]]="-","-",IF(Table4[[#This Row],[%Absorption]]&lt;INDEX(Absmin,MATCH(Table4[[#This Row],[SKU]],FG,0)),0,IF(Table4[[#This Row],[%Absorption]]&gt;INDEX(Absmax,MATCH(Table4[[#This Row],[SKU]],FG,0)),0,2))))</f>
        <v>-</v>
      </c>
      <c r="AG102" s="231" t="str">
        <f>IF(INDEX(Extmin,MATCH(Table4[[#This Row],[SKU]],FG,0))="-","-",IF(Table4[[#This Row],[%Extensibility]]="-","-",IF(Table4[[#This Row],[%Extensibility]]&lt;INDEX(Extmin,MATCH(Table4[[#This Row],[SKU]],FG,0)),0,IF(Table4[[#This Row],[%Extensibility]]&gt;INDEX(Extmax,MATCH(Table4[[#This Row],[SKU]],FG,0)),0,1))))</f>
        <v>-</v>
      </c>
      <c r="AH102" s="231" t="str">
        <f>IF(INDEX(Resmin,MATCH(Table4[[#This Row],[SKU]],FG,0))="-","-",IF(Table4[[#This Row],[Resistance, max]]="-","-",IF(Table4[[#This Row],[Resistance, max]]&lt;INDEX(Resmin,MATCH(Table4[[#This Row],[SKU]],FG,0)),0,IF(Table4[[#This Row],[Resistance, max]]&gt;INDEX(Resmax,MATCH(Table4[[#This Row],[SKU]],FG,0)),0,1))))</f>
        <v>-</v>
      </c>
      <c r="AI102" s="231" t="str">
        <f>IF(INDEX(WGmin,MATCH(Table4[[#This Row],[SKU]],FG,0))="-","-",IF(Table4[[#This Row],[%Wet Gluten]]="-","-",IF(Table4[[#This Row],[%Wet Gluten]]&lt;INDEX(WGmin,MATCH(Table4[[#This Row],[SKU]],FG,0)),0,IF(Table4[[#This Row],[%Wet Gluten]]&gt;INDEX(WGmax,MATCH(Table4[[#This Row],[SKU]],FG,0)),0,2))))</f>
        <v>-</v>
      </c>
      <c r="AJ102" s="232" t="str">
        <f>IF(Table4[[#This Row],[FN, s]]="-","-",IF(R102&lt;301,1,0))</f>
        <v>-</v>
      </c>
      <c r="AK102" s="233">
        <f>SUM(Table4[[#This Row],[ QI Bran Content]:[QI FN]])</f>
        <v>5</v>
      </c>
      <c r="AL102" s="232">
        <f t="shared" si="7"/>
        <v>5</v>
      </c>
      <c r="AM102" s="232" t="str">
        <f>IF(INDEX(WGmin,MATCH(Table4[[#This Row],[SKU]],FG,0))="-","-",IF(Table4[[#This Row],[Gross Weight]]="-","-",IF(Table4[[#This Row],[Gross Weight]]&lt;INDEX(GWmin,MATCH(Table4[[#This Row],[SKU]],FG,0)),0,IF(Table4[[#This Row],[Gross Weight]]&gt;INDEX(GWmax,MATCH(Table4[[#This Row],[SKU]],FG,0)),0,1))))</f>
        <v>-</v>
      </c>
      <c r="AN102" s="232">
        <f>IF(Table4[[#This Row],[Sealing Integrity]]="-","-",IF(Table4[[#This Row],[Sealing Integrity]]="P",1,0))</f>
        <v>1</v>
      </c>
      <c r="AO102" s="232">
        <f>IF(Table4[[#This Row],[Coding]]="-","-",IF(Table4[[#This Row],[Coding]]="P",1,0))</f>
        <v>1</v>
      </c>
      <c r="AP102" s="233">
        <f>SUM(Table4[[#This Row],[QI Weight]:[QI Code]])</f>
        <v>2</v>
      </c>
      <c r="AQ102" s="233">
        <f>COUNT(Table4[[#This Row],[QI Weight]:[QI Code]])</f>
        <v>2</v>
      </c>
      <c r="AR102" s="261">
        <f>Table4[[#This Row],[TA]]+Table4[[#This Row],[TA2]]</f>
        <v>7</v>
      </c>
      <c r="AS102" s="261">
        <f>Table4[[#This Row],[TP]]+Table4[[#This Row],[TP2]]</f>
        <v>7</v>
      </c>
      <c r="BD102" s="265" t="str">
        <f>IF(INDEX(MCmin,MATCH(Table4[[#This Row],[SKU]],FG,0))="-","-",IF(Table4[[#This Row],[%MC]]="-","-",IF(Table4[[#This Row],[%MC]]&lt;INDEX(MCmin,MATCH(Table4[[#This Row],[SKU]],FG,0)),1,0)))</f>
        <v>-</v>
      </c>
      <c r="BE102" s="265" t="str">
        <f>IF(INDEX(MCmin,MATCH(Table4[[#This Row],[SKU]],FG,0))="-","-",IF(Table4[[#This Row],[%MC]]="-","-",IF(Table4[[#This Row],[%MC]]&gt;INDEX(MCmax,MATCH(Table4[[#This Row],[SKU]],FG,0)),1,0)))</f>
        <v>-</v>
      </c>
      <c r="BF102" s="231" t="str">
        <f>IF(INDEX(Ashmin,MATCH(Table4[[#This Row],[SKU]],FG,0))="-","-",IF(Table4[[#This Row],[%Ash]]="-","-",IF(Table4[[#This Row],[%Ash]]&lt;INDEX(Ashmin,MATCH(Table4[[#This Row],[SKU]],FG,0)),1,0)))</f>
        <v>-</v>
      </c>
      <c r="BG102" s="231" t="str">
        <f>IF(INDEX(Ashmin,MATCH(Table4[[#This Row],[SKU]],FG,0))="-","-",IF(Table4[[#This Row],[%Ash]]="-","-",IF(Table4[[#This Row],[%Ash]]&gt;INDEX(Ashmax,MATCH(Table4[[#This Row],[SKU]],FG,0)),1,0)))</f>
        <v>-</v>
      </c>
      <c r="BH102" s="231" t="str">
        <f>IF(INDEX(Absmin,MATCH(Table4[[#This Row],[SKU]],FG,0))="-","-",IF(Table4[[#This Row],[%Absorption]]="-","-",IF(Table4[[#This Row],[%Absorption]]&lt;INDEX(Absmin,MATCH(Table4[[#This Row],[SKU]],FG,0)),1,0)))</f>
        <v>-</v>
      </c>
      <c r="BI102" s="231" t="str">
        <f>IF(INDEX(Absmin,MATCH(Table4[[#This Row],[SKU]],FG,0))="-","-",IF(Table4[[#This Row],[%Absorption]]="-","-",IF(Table4[[#This Row],[%Absorption]]&gt;INDEX(Absmax,MATCH(Table4[[#This Row],[SKU]],FG,0)),1,0)))</f>
        <v>-</v>
      </c>
      <c r="BJ102" s="231" t="str">
        <f>IF(INDEX(WGmin,MATCH(Table4[[#This Row],[SKU]],FG,0))="-","-",IF(Table4[[#This Row],[%Wet Gluten]]="-","-",IF(Table4[[#This Row],[%Wet Gluten]]&lt;INDEX(WGmin,MATCH(Table4[[#This Row],[SKU]],FG,0)),1,0)))</f>
        <v>-</v>
      </c>
      <c r="BK102" s="231" t="str">
        <f>IF(INDEX(WGmin,MATCH(Table4[[#This Row],[SKU]],FG,0))="-","-",IF(Table4[[#This Row],[%Wet Gluten]]="-","-",IF(Table4[[#This Row],[%Wet Gluten]]&gt;INDEX(WGmax,MATCH(Table4[[#This Row],[SKU]],FG,0)),1,0)))</f>
        <v>-</v>
      </c>
    </row>
    <row r="103" spans="1:63" x14ac:dyDescent="0.35">
      <c r="A103" s="243">
        <v>46023</v>
      </c>
      <c r="B103" s="244">
        <v>46028</v>
      </c>
      <c r="C103" s="244">
        <v>46025</v>
      </c>
      <c r="D103" s="244" t="s">
        <v>125</v>
      </c>
      <c r="E103" s="245" t="s">
        <v>238</v>
      </c>
      <c r="F103" s="246">
        <v>3</v>
      </c>
      <c r="G103" s="259" t="s">
        <v>112</v>
      </c>
      <c r="H103" s="247">
        <v>3.3E-3</v>
      </c>
      <c r="I103" s="248" t="s">
        <v>165</v>
      </c>
      <c r="J103" s="248" t="s">
        <v>165</v>
      </c>
      <c r="K103" s="248" t="s">
        <v>165</v>
      </c>
      <c r="L103" s="248" t="s">
        <v>161</v>
      </c>
      <c r="M103" s="248" t="s">
        <v>161</v>
      </c>
      <c r="N103" s="249">
        <v>13.25</v>
      </c>
      <c r="O103" s="249" t="s">
        <v>163</v>
      </c>
      <c r="P103" s="249" t="s">
        <v>163</v>
      </c>
      <c r="Q103" s="249" t="s">
        <v>163</v>
      </c>
      <c r="R103" s="249" t="s">
        <v>163</v>
      </c>
      <c r="S103" s="250" t="s">
        <v>163</v>
      </c>
      <c r="T103" s="249" t="s">
        <v>163</v>
      </c>
      <c r="U103" s="249" t="s">
        <v>163</v>
      </c>
      <c r="V103" s="251" t="s">
        <v>163</v>
      </c>
      <c r="W103" s="252" t="s">
        <v>165</v>
      </c>
      <c r="X103" s="252" t="s">
        <v>165</v>
      </c>
      <c r="Y103" s="248" t="s">
        <v>163</v>
      </c>
      <c r="Z103" s="231">
        <f>IF(Table4[[#This Row],[ Bran Content]]="-","-",IF(H103&gt;0.02,0,2))</f>
        <v>2</v>
      </c>
      <c r="AA103" s="231">
        <f>IF(Table4[[#This Row],[Sieve Test]]="-","-",IF(Table4[[#This Row],[Sieve Test]]="P",1,0))</f>
        <v>1</v>
      </c>
      <c r="AB103" s="231">
        <f>IF(Table4[[#This Row],[Odor]]="-","-",IF(Table4[[#This Row],[Odor]]="P",2,0))</f>
        <v>2</v>
      </c>
      <c r="AC103" s="231">
        <f>IF(INDEX(MCmin,MATCH(Table4[[#This Row],[SKU]],FG,0))="-","-",IF(Table4[[#This Row],[%MC]]="-","-",IF(Table4[[#This Row],[%MC]]&lt;INDEX(MCmin,MATCH(Table4[[#This Row],[SKU]],FG,0)),0,IF(Table4[[#This Row],[%MC]]&gt;INDEX(MCmax,MATCH(Table4[[#This Row],[SKU]],FG,0)),0,1))))</f>
        <v>1</v>
      </c>
      <c r="AD103" s="231" t="str">
        <f>IF(INDEX(Protmin,MATCH(Table4[[#This Row],[SKU]],FG,0))="-","-",IF(Table4[[#This Row],[%Protein]]="-","-",IF(Table4[[#This Row],[%Protein]]&lt;INDEX(Protmin,MATCH(Table4[[#This Row],[SKU]],FG,0)),0,IF(Table4[[#This Row],[%Protein]]&gt;INDEX(Protmax,MATCH(Table4[[#This Row],[SKU]],FG,0)),0,1))))</f>
        <v>-</v>
      </c>
      <c r="AE103" s="231" t="str">
        <f>IF(INDEX(Ashmin,MATCH(Table4[[#This Row],[SKU]],FG,0))="-","-",IF(Table4[[#This Row],[%Ash]]="-","-",IF(Table4[[#This Row],[%Ash]]&lt;INDEX(Ashmin,MATCH(Table4[[#This Row],[SKU]],FG,0)),0,IF(Table4[[#This Row],[%Ash]]&gt;INDEX(Ashmax,MATCH(Table4[[#This Row],[SKU]],FG,0)),0,2))))</f>
        <v>-</v>
      </c>
      <c r="AF103" s="231" t="str">
        <f>IF(INDEX(Absmin,MATCH(Table4[[#This Row],[SKU]],FG,0))="-","-",IF(Table4[[#This Row],[%Absorption]]="-","-",IF(Table4[[#This Row],[%Absorption]]&lt;INDEX(Absmin,MATCH(Table4[[#This Row],[SKU]],FG,0)),0,IF(Table4[[#This Row],[%Absorption]]&gt;INDEX(Absmax,MATCH(Table4[[#This Row],[SKU]],FG,0)),0,2))))</f>
        <v>-</v>
      </c>
      <c r="AG103" s="231" t="str">
        <f>IF(INDEX(Extmin,MATCH(Table4[[#This Row],[SKU]],FG,0))="-","-",IF(Table4[[#This Row],[%Extensibility]]="-","-",IF(Table4[[#This Row],[%Extensibility]]&lt;INDEX(Extmin,MATCH(Table4[[#This Row],[SKU]],FG,0)),0,IF(Table4[[#This Row],[%Extensibility]]&gt;INDEX(Extmax,MATCH(Table4[[#This Row],[SKU]],FG,0)),0,1))))</f>
        <v>-</v>
      </c>
      <c r="AH103" s="231" t="str">
        <f>IF(INDEX(Resmin,MATCH(Table4[[#This Row],[SKU]],FG,0))="-","-",IF(Table4[[#This Row],[Resistance, max]]="-","-",IF(Table4[[#This Row],[Resistance, max]]&lt;INDEX(Resmin,MATCH(Table4[[#This Row],[SKU]],FG,0)),0,IF(Table4[[#This Row],[Resistance, max]]&gt;INDEX(Resmax,MATCH(Table4[[#This Row],[SKU]],FG,0)),0,1))))</f>
        <v>-</v>
      </c>
      <c r="AI103" s="231" t="str">
        <f>IF(INDEX(WGmin,MATCH(Table4[[#This Row],[SKU]],FG,0))="-","-",IF(Table4[[#This Row],[%Wet Gluten]]="-","-",IF(Table4[[#This Row],[%Wet Gluten]]&lt;INDEX(WGmin,MATCH(Table4[[#This Row],[SKU]],FG,0)),0,IF(Table4[[#This Row],[%Wet Gluten]]&gt;INDEX(WGmax,MATCH(Table4[[#This Row],[SKU]],FG,0)),0,2))))</f>
        <v>-</v>
      </c>
      <c r="AJ103" s="232" t="str">
        <f>IF(Table4[[#This Row],[FN, s]]="-","-",IF(R103&lt;301,1,0))</f>
        <v>-</v>
      </c>
      <c r="AK103" s="233">
        <f>SUM(Table4[[#This Row],[ QI Bran Content]:[QI FN]])</f>
        <v>6</v>
      </c>
      <c r="AL103" s="232">
        <f t="shared" si="7"/>
        <v>6</v>
      </c>
      <c r="AM103" s="232" t="str">
        <f>IF(INDEX(WGmin,MATCH(Table4[[#This Row],[SKU]],FG,0))="-","-",IF(Table4[[#This Row],[Gross Weight]]="-","-",IF(Table4[[#This Row],[Gross Weight]]&lt;INDEX(GWmin,MATCH(Table4[[#This Row],[SKU]],FG,0)),0,IF(Table4[[#This Row],[Gross Weight]]&gt;INDEX(GWmax,MATCH(Table4[[#This Row],[SKU]],FG,0)),0,1))))</f>
        <v>-</v>
      </c>
      <c r="AN103" s="232">
        <f>IF(Table4[[#This Row],[Sealing Integrity]]="-","-",IF(Table4[[#This Row],[Sealing Integrity]]="P",1,0))</f>
        <v>1</v>
      </c>
      <c r="AO103" s="232">
        <f>IF(Table4[[#This Row],[Coding]]="-","-",IF(Table4[[#This Row],[Coding]]="P",1,0))</f>
        <v>1</v>
      </c>
      <c r="AP103" s="233">
        <f>SUM(Table4[[#This Row],[QI Weight]:[QI Code]])</f>
        <v>2</v>
      </c>
      <c r="AQ103" s="233">
        <f>COUNT(Table4[[#This Row],[QI Weight]:[QI Code]])</f>
        <v>2</v>
      </c>
      <c r="AR103" s="261">
        <f>Table4[[#This Row],[TA]]+Table4[[#This Row],[TA2]]</f>
        <v>8</v>
      </c>
      <c r="AS103" s="261">
        <f>Table4[[#This Row],[TP]]+Table4[[#This Row],[TP2]]</f>
        <v>8</v>
      </c>
      <c r="BD103" s="265">
        <f>IF(INDEX(MCmin,MATCH(Table4[[#This Row],[SKU]],FG,0))="-","-",IF(Table4[[#This Row],[%MC]]="-","-",IF(Table4[[#This Row],[%MC]]&lt;INDEX(MCmin,MATCH(Table4[[#This Row],[SKU]],FG,0)),1,0)))</f>
        <v>0</v>
      </c>
      <c r="BE103" s="265">
        <f>IF(INDEX(MCmin,MATCH(Table4[[#This Row],[SKU]],FG,0))="-","-",IF(Table4[[#This Row],[%MC]]="-","-",IF(Table4[[#This Row],[%MC]]&gt;INDEX(MCmax,MATCH(Table4[[#This Row],[SKU]],FG,0)),1,0)))</f>
        <v>0</v>
      </c>
      <c r="BF103" s="231" t="str">
        <f>IF(INDEX(Ashmin,MATCH(Table4[[#This Row],[SKU]],FG,0))="-","-",IF(Table4[[#This Row],[%Ash]]="-","-",IF(Table4[[#This Row],[%Ash]]&lt;INDEX(Ashmin,MATCH(Table4[[#This Row],[SKU]],FG,0)),1,0)))</f>
        <v>-</v>
      </c>
      <c r="BG103" s="231" t="str">
        <f>IF(INDEX(Ashmin,MATCH(Table4[[#This Row],[SKU]],FG,0))="-","-",IF(Table4[[#This Row],[%Ash]]="-","-",IF(Table4[[#This Row],[%Ash]]&gt;INDEX(Ashmax,MATCH(Table4[[#This Row],[SKU]],FG,0)),1,0)))</f>
        <v>-</v>
      </c>
      <c r="BH103" s="231" t="str">
        <f>IF(INDEX(Absmin,MATCH(Table4[[#This Row],[SKU]],FG,0))="-","-",IF(Table4[[#This Row],[%Absorption]]="-","-",IF(Table4[[#This Row],[%Absorption]]&lt;INDEX(Absmin,MATCH(Table4[[#This Row],[SKU]],FG,0)),1,0)))</f>
        <v>-</v>
      </c>
      <c r="BI103" s="231" t="str">
        <f>IF(INDEX(Absmin,MATCH(Table4[[#This Row],[SKU]],FG,0))="-","-",IF(Table4[[#This Row],[%Absorption]]="-","-",IF(Table4[[#This Row],[%Absorption]]&gt;INDEX(Absmax,MATCH(Table4[[#This Row],[SKU]],FG,0)),1,0)))</f>
        <v>-</v>
      </c>
      <c r="BJ103" s="231" t="str">
        <f>IF(INDEX(WGmin,MATCH(Table4[[#This Row],[SKU]],FG,0))="-","-",IF(Table4[[#This Row],[%Wet Gluten]]="-","-",IF(Table4[[#This Row],[%Wet Gluten]]&lt;INDEX(WGmin,MATCH(Table4[[#This Row],[SKU]],FG,0)),1,0)))</f>
        <v>-</v>
      </c>
      <c r="BK103" s="231" t="str">
        <f>IF(INDEX(WGmin,MATCH(Table4[[#This Row],[SKU]],FG,0))="-","-",IF(Table4[[#This Row],[%Wet Gluten]]="-","-",IF(Table4[[#This Row],[%Wet Gluten]]&gt;INDEX(WGmax,MATCH(Table4[[#This Row],[SKU]],FG,0)),1,0)))</f>
        <v>-</v>
      </c>
    </row>
    <row r="104" spans="1:63" x14ac:dyDescent="0.35">
      <c r="A104" s="243">
        <v>46023</v>
      </c>
      <c r="B104" s="244">
        <v>46028</v>
      </c>
      <c r="C104" s="244">
        <v>46025</v>
      </c>
      <c r="D104" s="244" t="s">
        <v>128</v>
      </c>
      <c r="E104" s="245">
        <v>0.58333333333333337</v>
      </c>
      <c r="F104" s="246">
        <v>3</v>
      </c>
      <c r="G104" s="259" t="s">
        <v>112</v>
      </c>
      <c r="H104" s="247">
        <v>5.8999999999999999E-3</v>
      </c>
      <c r="I104" s="248" t="s">
        <v>165</v>
      </c>
      <c r="J104" s="248" t="s">
        <v>165</v>
      </c>
      <c r="K104" s="248" t="s">
        <v>165</v>
      </c>
      <c r="L104" s="248" t="s">
        <v>161</v>
      </c>
      <c r="M104" s="248" t="s">
        <v>161</v>
      </c>
      <c r="N104" s="249">
        <v>13.34</v>
      </c>
      <c r="O104" s="249">
        <v>13.09</v>
      </c>
      <c r="P104" s="249">
        <v>0.51</v>
      </c>
      <c r="Q104" s="249" t="s">
        <v>163</v>
      </c>
      <c r="R104" s="249" t="s">
        <v>163</v>
      </c>
      <c r="S104" s="250" t="s">
        <v>163</v>
      </c>
      <c r="T104" s="249">
        <v>36.5</v>
      </c>
      <c r="U104" s="249" t="s">
        <v>163</v>
      </c>
      <c r="V104" s="251" t="s">
        <v>163</v>
      </c>
      <c r="W104" s="252" t="s">
        <v>165</v>
      </c>
      <c r="X104" s="252" t="s">
        <v>165</v>
      </c>
      <c r="Y104" s="248" t="s">
        <v>163</v>
      </c>
      <c r="Z104" s="231">
        <f>IF(Table4[[#This Row],[ Bran Content]]="-","-",IF(H104&gt;0.02,0,2))</f>
        <v>2</v>
      </c>
      <c r="AA104" s="231">
        <f>IF(Table4[[#This Row],[Sieve Test]]="-","-",IF(Table4[[#This Row],[Sieve Test]]="P",1,0))</f>
        <v>1</v>
      </c>
      <c r="AB104" s="231">
        <f>IF(Table4[[#This Row],[Odor]]="-","-",IF(Table4[[#This Row],[Odor]]="P",2,0))</f>
        <v>2</v>
      </c>
      <c r="AC104" s="231">
        <f>IF(INDEX(MCmin,MATCH(Table4[[#This Row],[SKU]],FG,0))="-","-",IF(Table4[[#This Row],[%MC]]="-","-",IF(Table4[[#This Row],[%MC]]&lt;INDEX(MCmin,MATCH(Table4[[#This Row],[SKU]],FG,0)),0,IF(Table4[[#This Row],[%MC]]&gt;INDEX(MCmax,MATCH(Table4[[#This Row],[SKU]],FG,0)),0,1))))</f>
        <v>1</v>
      </c>
      <c r="AD104" s="231">
        <f>IF(INDEX(Protmin,MATCH(Table4[[#This Row],[SKU]],FG,0))="-","-",IF(Table4[[#This Row],[%Protein]]="-","-",IF(Table4[[#This Row],[%Protein]]&lt;INDEX(Protmin,MATCH(Table4[[#This Row],[SKU]],FG,0)),0,IF(Table4[[#This Row],[%Protein]]&gt;INDEX(Protmax,MATCH(Table4[[#This Row],[SKU]],FG,0)),0,1))))</f>
        <v>1</v>
      </c>
      <c r="AE104" s="231">
        <f>IF(INDEX(Ashmin,MATCH(Table4[[#This Row],[SKU]],FG,0))="-","-",IF(Table4[[#This Row],[%Ash]]="-","-",IF(Table4[[#This Row],[%Ash]]&lt;INDEX(Ashmin,MATCH(Table4[[#This Row],[SKU]],FG,0)),0,IF(Table4[[#This Row],[%Ash]]&gt;INDEX(Ashmax,MATCH(Table4[[#This Row],[SKU]],FG,0)),0,2))))</f>
        <v>2</v>
      </c>
      <c r="AF104" s="231" t="str">
        <f>IF(INDEX(Absmin,MATCH(Table4[[#This Row],[SKU]],FG,0))="-","-",IF(Table4[[#This Row],[%Absorption]]="-","-",IF(Table4[[#This Row],[%Absorption]]&lt;INDEX(Absmin,MATCH(Table4[[#This Row],[SKU]],FG,0)),0,IF(Table4[[#This Row],[%Absorption]]&gt;INDEX(Absmax,MATCH(Table4[[#This Row],[SKU]],FG,0)),0,2))))</f>
        <v>-</v>
      </c>
      <c r="AG104" s="231" t="str">
        <f>IF(INDEX(Extmin,MATCH(Table4[[#This Row],[SKU]],FG,0))="-","-",IF(Table4[[#This Row],[%Extensibility]]="-","-",IF(Table4[[#This Row],[%Extensibility]]&lt;INDEX(Extmin,MATCH(Table4[[#This Row],[SKU]],FG,0)),0,IF(Table4[[#This Row],[%Extensibility]]&gt;INDEX(Extmax,MATCH(Table4[[#This Row],[SKU]],FG,0)),0,1))))</f>
        <v>-</v>
      </c>
      <c r="AH104" s="231" t="str">
        <f>IF(INDEX(Resmin,MATCH(Table4[[#This Row],[SKU]],FG,0))="-","-",IF(Table4[[#This Row],[Resistance, max]]="-","-",IF(Table4[[#This Row],[Resistance, max]]&lt;INDEX(Resmin,MATCH(Table4[[#This Row],[SKU]],FG,0)),0,IF(Table4[[#This Row],[Resistance, max]]&gt;INDEX(Resmax,MATCH(Table4[[#This Row],[SKU]],FG,0)),0,1))))</f>
        <v>-</v>
      </c>
      <c r="AI104" s="231" t="str">
        <f>IF(INDEX(WGmin,MATCH(Table4[[#This Row],[SKU]],FG,0))="-","-",IF(Table4[[#This Row],[%Wet Gluten]]="-","-",IF(Table4[[#This Row],[%Wet Gluten]]&lt;INDEX(WGmin,MATCH(Table4[[#This Row],[SKU]],FG,0)),0,IF(Table4[[#This Row],[%Wet Gluten]]&gt;INDEX(WGmax,MATCH(Table4[[#This Row],[SKU]],FG,0)),0,2))))</f>
        <v>-</v>
      </c>
      <c r="AJ104" s="232" t="str">
        <f>IF(Table4[[#This Row],[FN, s]]="-","-",IF(R104&lt;301,1,0))</f>
        <v>-</v>
      </c>
      <c r="AK104" s="233">
        <f>SUM(Table4[[#This Row],[ QI Bran Content]:[QI FN]])</f>
        <v>9</v>
      </c>
      <c r="AL104" s="232">
        <f t="shared" si="7"/>
        <v>9</v>
      </c>
      <c r="AM104" s="232" t="str">
        <f>IF(INDEX(WGmin,MATCH(Table4[[#This Row],[SKU]],FG,0))="-","-",IF(Table4[[#This Row],[Gross Weight]]="-","-",IF(Table4[[#This Row],[Gross Weight]]&lt;INDEX(GWmin,MATCH(Table4[[#This Row],[SKU]],FG,0)),0,IF(Table4[[#This Row],[Gross Weight]]&gt;INDEX(GWmax,MATCH(Table4[[#This Row],[SKU]],FG,0)),0,1))))</f>
        <v>-</v>
      </c>
      <c r="AN104" s="232">
        <f>IF(Table4[[#This Row],[Sealing Integrity]]="-","-",IF(Table4[[#This Row],[Sealing Integrity]]="P",1,0))</f>
        <v>1</v>
      </c>
      <c r="AO104" s="232">
        <f>IF(Table4[[#This Row],[Coding]]="-","-",IF(Table4[[#This Row],[Coding]]="P",1,0))</f>
        <v>1</v>
      </c>
      <c r="AP104" s="233">
        <f>SUM(Table4[[#This Row],[QI Weight]:[QI Code]])</f>
        <v>2</v>
      </c>
      <c r="AQ104" s="233">
        <f>COUNT(Table4[[#This Row],[QI Weight]:[QI Code]])</f>
        <v>2</v>
      </c>
      <c r="AR104" s="261">
        <f>Table4[[#This Row],[TA]]+Table4[[#This Row],[TA2]]</f>
        <v>11</v>
      </c>
      <c r="AS104" s="261">
        <f>Table4[[#This Row],[TP]]+Table4[[#This Row],[TP2]]</f>
        <v>11</v>
      </c>
      <c r="BD104" s="265">
        <f>IF(INDEX(MCmin,MATCH(Table4[[#This Row],[SKU]],FG,0))="-","-",IF(Table4[[#This Row],[%MC]]="-","-",IF(Table4[[#This Row],[%MC]]&lt;INDEX(MCmin,MATCH(Table4[[#This Row],[SKU]],FG,0)),1,0)))</f>
        <v>0</v>
      </c>
      <c r="BE104" s="265">
        <f>IF(INDEX(MCmin,MATCH(Table4[[#This Row],[SKU]],FG,0))="-","-",IF(Table4[[#This Row],[%MC]]="-","-",IF(Table4[[#This Row],[%MC]]&gt;INDEX(MCmax,MATCH(Table4[[#This Row],[SKU]],FG,0)),1,0)))</f>
        <v>0</v>
      </c>
      <c r="BF104" s="231">
        <f>IF(INDEX(Ashmin,MATCH(Table4[[#This Row],[SKU]],FG,0))="-","-",IF(Table4[[#This Row],[%Ash]]="-","-",IF(Table4[[#This Row],[%Ash]]&lt;INDEX(Ashmin,MATCH(Table4[[#This Row],[SKU]],FG,0)),1,0)))</f>
        <v>0</v>
      </c>
      <c r="BG104" s="231">
        <f>IF(INDEX(Ashmin,MATCH(Table4[[#This Row],[SKU]],FG,0))="-","-",IF(Table4[[#This Row],[%Ash]]="-","-",IF(Table4[[#This Row],[%Ash]]&gt;INDEX(Ashmax,MATCH(Table4[[#This Row],[SKU]],FG,0)),1,0)))</f>
        <v>0</v>
      </c>
      <c r="BH104" s="231" t="str">
        <f>IF(INDEX(Absmin,MATCH(Table4[[#This Row],[SKU]],FG,0))="-","-",IF(Table4[[#This Row],[%Absorption]]="-","-",IF(Table4[[#This Row],[%Absorption]]&lt;INDEX(Absmin,MATCH(Table4[[#This Row],[SKU]],FG,0)),1,0)))</f>
        <v>-</v>
      </c>
      <c r="BI104" s="231" t="str">
        <f>IF(INDEX(Absmin,MATCH(Table4[[#This Row],[SKU]],FG,0))="-","-",IF(Table4[[#This Row],[%Absorption]]="-","-",IF(Table4[[#This Row],[%Absorption]]&gt;INDEX(Absmax,MATCH(Table4[[#This Row],[SKU]],FG,0)),1,0)))</f>
        <v>-</v>
      </c>
      <c r="BJ104" s="231" t="str">
        <f>IF(INDEX(WGmin,MATCH(Table4[[#This Row],[SKU]],FG,0))="-","-",IF(Table4[[#This Row],[%Wet Gluten]]="-","-",IF(Table4[[#This Row],[%Wet Gluten]]&lt;INDEX(WGmin,MATCH(Table4[[#This Row],[SKU]],FG,0)),1,0)))</f>
        <v>-</v>
      </c>
      <c r="BK104" s="231" t="str">
        <f>IF(INDEX(WGmin,MATCH(Table4[[#This Row],[SKU]],FG,0))="-","-",IF(Table4[[#This Row],[%Wet Gluten]]="-","-",IF(Table4[[#This Row],[%Wet Gluten]]&gt;INDEX(WGmax,MATCH(Table4[[#This Row],[SKU]],FG,0)),1,0)))</f>
        <v>-</v>
      </c>
    </row>
    <row r="105" spans="1:63" x14ac:dyDescent="0.35">
      <c r="A105" s="243">
        <v>46023</v>
      </c>
      <c r="B105" s="244">
        <v>46028</v>
      </c>
      <c r="C105" s="244">
        <v>46007</v>
      </c>
      <c r="D105" s="244" t="s">
        <v>128</v>
      </c>
      <c r="E105" s="245">
        <v>0.75</v>
      </c>
      <c r="F105" s="246">
        <v>3</v>
      </c>
      <c r="G105" s="259" t="s">
        <v>117</v>
      </c>
      <c r="H105" s="247">
        <v>1.3299999999999999E-2</v>
      </c>
      <c r="I105" s="248" t="s">
        <v>165</v>
      </c>
      <c r="J105" s="248" t="s">
        <v>165</v>
      </c>
      <c r="K105" s="248" t="s">
        <v>165</v>
      </c>
      <c r="L105" s="248" t="s">
        <v>161</v>
      </c>
      <c r="M105" s="248" t="s">
        <v>161</v>
      </c>
      <c r="N105" s="249">
        <v>12.42</v>
      </c>
      <c r="O105" s="249">
        <v>12.82</v>
      </c>
      <c r="P105" s="249">
        <v>0.48</v>
      </c>
      <c r="Q105" s="249">
        <v>63.9</v>
      </c>
      <c r="R105" s="249" t="s">
        <v>163</v>
      </c>
      <c r="S105" s="250" t="s">
        <v>163</v>
      </c>
      <c r="T105" s="249">
        <v>35.9</v>
      </c>
      <c r="U105" s="249" t="s">
        <v>163</v>
      </c>
      <c r="V105" s="251" t="s">
        <v>163</v>
      </c>
      <c r="W105" s="252" t="s">
        <v>165</v>
      </c>
      <c r="X105" s="252" t="s">
        <v>165</v>
      </c>
      <c r="Y105" s="248" t="s">
        <v>163</v>
      </c>
      <c r="Z105" s="231">
        <f>IF(Table4[[#This Row],[ Bran Content]]="-","-",IF(H105&gt;0.02,0,2))</f>
        <v>2</v>
      </c>
      <c r="AA105" s="231">
        <f>IF(Table4[[#This Row],[Sieve Test]]="-","-",IF(Table4[[#This Row],[Sieve Test]]="P",1,0))</f>
        <v>1</v>
      </c>
      <c r="AB105" s="231">
        <f>IF(Table4[[#This Row],[Odor]]="-","-",IF(Table4[[#This Row],[Odor]]="P",2,0))</f>
        <v>2</v>
      </c>
      <c r="AC105" s="231">
        <f>IF(INDEX(MCmin,MATCH(Table4[[#This Row],[SKU]],FG,0))="-","-",IF(Table4[[#This Row],[%MC]]="-","-",IF(Table4[[#This Row],[%MC]]&lt;INDEX(MCmin,MATCH(Table4[[#This Row],[SKU]],FG,0)),0,IF(Table4[[#This Row],[%MC]]&gt;INDEX(MCmax,MATCH(Table4[[#This Row],[SKU]],FG,0)),0,1))))</f>
        <v>1</v>
      </c>
      <c r="AD105" s="231">
        <f>IF(INDEX(Protmin,MATCH(Table4[[#This Row],[SKU]],FG,0))="-","-",IF(Table4[[#This Row],[%Protein]]="-","-",IF(Table4[[#This Row],[%Protein]]&lt;INDEX(Protmin,MATCH(Table4[[#This Row],[SKU]],FG,0)),0,IF(Table4[[#This Row],[%Protein]]&gt;INDEX(Protmax,MATCH(Table4[[#This Row],[SKU]],FG,0)),0,1))))</f>
        <v>1</v>
      </c>
      <c r="AE105" s="231">
        <f>IF(INDEX(Ashmin,MATCH(Table4[[#This Row],[SKU]],FG,0))="-","-",IF(Table4[[#This Row],[%Ash]]="-","-",IF(Table4[[#This Row],[%Ash]]&lt;INDEX(Ashmin,MATCH(Table4[[#This Row],[SKU]],FG,0)),0,IF(Table4[[#This Row],[%Ash]]&gt;INDEX(Ashmax,MATCH(Table4[[#This Row],[SKU]],FG,0)),0,2))))</f>
        <v>2</v>
      </c>
      <c r="AF105" s="231">
        <f>IF(INDEX(Absmin,MATCH(Table4[[#This Row],[SKU]],FG,0))="-","-",IF(Table4[[#This Row],[%Absorption]]="-","-",IF(Table4[[#This Row],[%Absorption]]&lt;INDEX(Absmin,MATCH(Table4[[#This Row],[SKU]],FG,0)),0,IF(Table4[[#This Row],[%Absorption]]&gt;INDEX(Absmax,MATCH(Table4[[#This Row],[SKU]],FG,0)),0,2))))</f>
        <v>0</v>
      </c>
      <c r="AG105" s="231" t="str">
        <f>IF(INDEX(Extmin,MATCH(Table4[[#This Row],[SKU]],FG,0))="-","-",IF(Table4[[#This Row],[%Extensibility]]="-","-",IF(Table4[[#This Row],[%Extensibility]]&lt;INDEX(Extmin,MATCH(Table4[[#This Row],[SKU]],FG,0)),0,IF(Table4[[#This Row],[%Extensibility]]&gt;INDEX(Extmax,MATCH(Table4[[#This Row],[SKU]],FG,0)),0,1))))</f>
        <v>-</v>
      </c>
      <c r="AH105" s="231" t="str">
        <f>IF(INDEX(Resmin,MATCH(Table4[[#This Row],[SKU]],FG,0))="-","-",IF(Table4[[#This Row],[Resistance, max]]="-","-",IF(Table4[[#This Row],[Resistance, max]]&lt;INDEX(Resmin,MATCH(Table4[[#This Row],[SKU]],FG,0)),0,IF(Table4[[#This Row],[Resistance, max]]&gt;INDEX(Resmax,MATCH(Table4[[#This Row],[SKU]],FG,0)),0,1))))</f>
        <v>-</v>
      </c>
      <c r="AI105" s="231">
        <f>IF(INDEX(WGmin,MATCH(Table4[[#This Row],[SKU]],FG,0))="-","-",IF(Table4[[#This Row],[%Wet Gluten]]="-","-",IF(Table4[[#This Row],[%Wet Gluten]]&lt;INDEX(WGmin,MATCH(Table4[[#This Row],[SKU]],FG,0)),0,IF(Table4[[#This Row],[%Wet Gluten]]&gt;INDEX(WGmax,MATCH(Table4[[#This Row],[SKU]],FG,0)),0,2))))</f>
        <v>2</v>
      </c>
      <c r="AJ105" s="232" t="str">
        <f>IF(Table4[[#This Row],[FN, s]]="-","-",IF(R105&lt;301,1,0))</f>
        <v>-</v>
      </c>
      <c r="AK105" s="233">
        <f>SUM(Table4[[#This Row],[ QI Bran Content]:[QI FN]])</f>
        <v>11</v>
      </c>
      <c r="AL105" s="232">
        <f t="shared" si="7"/>
        <v>13</v>
      </c>
      <c r="AM105" s="232" t="str">
        <f>IF(INDEX(WGmin,MATCH(Table4[[#This Row],[SKU]],FG,0))="-","-",IF(Table4[[#This Row],[Gross Weight]]="-","-",IF(Table4[[#This Row],[Gross Weight]]&lt;INDEX(GWmin,MATCH(Table4[[#This Row],[SKU]],FG,0)),0,IF(Table4[[#This Row],[Gross Weight]]&gt;INDEX(GWmax,MATCH(Table4[[#This Row],[SKU]],FG,0)),0,1))))</f>
        <v>-</v>
      </c>
      <c r="AN105" s="232">
        <f>IF(Table4[[#This Row],[Sealing Integrity]]="-","-",IF(Table4[[#This Row],[Sealing Integrity]]="P",1,0))</f>
        <v>1</v>
      </c>
      <c r="AO105" s="232">
        <f>IF(Table4[[#This Row],[Coding]]="-","-",IF(Table4[[#This Row],[Coding]]="P",1,0))</f>
        <v>1</v>
      </c>
      <c r="AP105" s="233">
        <f>SUM(Table4[[#This Row],[QI Weight]:[QI Code]])</f>
        <v>2</v>
      </c>
      <c r="AQ105" s="233">
        <f>COUNT(Table4[[#This Row],[QI Weight]:[QI Code]])</f>
        <v>2</v>
      </c>
      <c r="AR105" s="261">
        <f>Table4[[#This Row],[TA]]+Table4[[#This Row],[TA2]]</f>
        <v>13</v>
      </c>
      <c r="AS105" s="261">
        <f>Table4[[#This Row],[TP]]+Table4[[#This Row],[TP2]]</f>
        <v>15</v>
      </c>
      <c r="BD105" s="265">
        <f>IF(INDEX(MCmin,MATCH(Table4[[#This Row],[SKU]],FG,0))="-","-",IF(Table4[[#This Row],[%MC]]="-","-",IF(Table4[[#This Row],[%MC]]&lt;INDEX(MCmin,MATCH(Table4[[#This Row],[SKU]],FG,0)),1,0)))</f>
        <v>0</v>
      </c>
      <c r="BE105" s="265">
        <f>IF(INDEX(MCmin,MATCH(Table4[[#This Row],[SKU]],FG,0))="-","-",IF(Table4[[#This Row],[%MC]]="-","-",IF(Table4[[#This Row],[%MC]]&gt;INDEX(MCmax,MATCH(Table4[[#This Row],[SKU]],FG,0)),1,0)))</f>
        <v>0</v>
      </c>
      <c r="BF105" s="231">
        <f>IF(INDEX(Ashmin,MATCH(Table4[[#This Row],[SKU]],FG,0))="-","-",IF(Table4[[#This Row],[%Ash]]="-","-",IF(Table4[[#This Row],[%Ash]]&lt;INDEX(Ashmin,MATCH(Table4[[#This Row],[SKU]],FG,0)),1,0)))</f>
        <v>0</v>
      </c>
      <c r="BG105" s="231">
        <f>IF(INDEX(Ashmin,MATCH(Table4[[#This Row],[SKU]],FG,0))="-","-",IF(Table4[[#This Row],[%Ash]]="-","-",IF(Table4[[#This Row],[%Ash]]&gt;INDEX(Ashmax,MATCH(Table4[[#This Row],[SKU]],FG,0)),1,0)))</f>
        <v>0</v>
      </c>
      <c r="BH105" s="231">
        <f>IF(INDEX(Absmin,MATCH(Table4[[#This Row],[SKU]],FG,0))="-","-",IF(Table4[[#This Row],[%Absorption]]="-","-",IF(Table4[[#This Row],[%Absorption]]&lt;INDEX(Absmin,MATCH(Table4[[#This Row],[SKU]],FG,0)),1,0)))</f>
        <v>1</v>
      </c>
      <c r="BI105" s="231">
        <f>IF(INDEX(Absmin,MATCH(Table4[[#This Row],[SKU]],FG,0))="-","-",IF(Table4[[#This Row],[%Absorption]]="-","-",IF(Table4[[#This Row],[%Absorption]]&gt;INDEX(Absmax,MATCH(Table4[[#This Row],[SKU]],FG,0)),1,0)))</f>
        <v>0</v>
      </c>
      <c r="BJ105" s="231">
        <f>IF(INDEX(WGmin,MATCH(Table4[[#This Row],[SKU]],FG,0))="-","-",IF(Table4[[#This Row],[%Wet Gluten]]="-","-",IF(Table4[[#This Row],[%Wet Gluten]]&lt;INDEX(WGmin,MATCH(Table4[[#This Row],[SKU]],FG,0)),1,0)))</f>
        <v>0</v>
      </c>
      <c r="BK105" s="231">
        <f>IF(INDEX(WGmin,MATCH(Table4[[#This Row],[SKU]],FG,0))="-","-",IF(Table4[[#This Row],[%Wet Gluten]]="-","-",IF(Table4[[#This Row],[%Wet Gluten]]&gt;INDEX(WGmax,MATCH(Table4[[#This Row],[SKU]],FG,0)),1,0)))</f>
        <v>0</v>
      </c>
    </row>
    <row r="106" spans="1:63" x14ac:dyDescent="0.35">
      <c r="A106" s="243">
        <v>46023</v>
      </c>
      <c r="B106" s="244">
        <v>46028</v>
      </c>
      <c r="C106" s="244">
        <v>46007</v>
      </c>
      <c r="D106" s="244" t="s">
        <v>128</v>
      </c>
      <c r="E106" s="245">
        <v>0.83333333333333304</v>
      </c>
      <c r="F106" s="246">
        <v>3</v>
      </c>
      <c r="G106" s="259" t="s">
        <v>117</v>
      </c>
      <c r="H106" s="247">
        <v>7.1999999999999998E-3</v>
      </c>
      <c r="I106" s="248" t="s">
        <v>165</v>
      </c>
      <c r="J106" s="248" t="s">
        <v>165</v>
      </c>
      <c r="K106" s="248" t="s">
        <v>165</v>
      </c>
      <c r="L106" s="248" t="s">
        <v>161</v>
      </c>
      <c r="M106" s="248" t="s">
        <v>161</v>
      </c>
      <c r="N106" s="249">
        <v>12.17</v>
      </c>
      <c r="O106" s="249" t="s">
        <v>163</v>
      </c>
      <c r="P106" s="249" t="s">
        <v>163</v>
      </c>
      <c r="Q106" s="249" t="s">
        <v>163</v>
      </c>
      <c r="R106" s="249" t="s">
        <v>163</v>
      </c>
      <c r="S106" s="250" t="s">
        <v>163</v>
      </c>
      <c r="T106" s="249" t="s">
        <v>163</v>
      </c>
      <c r="U106" s="249" t="s">
        <v>163</v>
      </c>
      <c r="V106" s="251" t="s">
        <v>163</v>
      </c>
      <c r="W106" s="252" t="s">
        <v>165</v>
      </c>
      <c r="X106" s="252" t="s">
        <v>165</v>
      </c>
      <c r="Y106" s="248" t="s">
        <v>163</v>
      </c>
      <c r="Z106" s="231">
        <f>IF(Table4[[#This Row],[ Bran Content]]="-","-",IF(H106&gt;0.02,0,2))</f>
        <v>2</v>
      </c>
      <c r="AA106" s="231">
        <f>IF(Table4[[#This Row],[Sieve Test]]="-","-",IF(Table4[[#This Row],[Sieve Test]]="P",1,0))</f>
        <v>1</v>
      </c>
      <c r="AB106" s="231">
        <f>IF(Table4[[#This Row],[Odor]]="-","-",IF(Table4[[#This Row],[Odor]]="P",2,0))</f>
        <v>2</v>
      </c>
      <c r="AC106" s="231">
        <f>IF(INDEX(MCmin,MATCH(Table4[[#This Row],[SKU]],FG,0))="-","-",IF(Table4[[#This Row],[%MC]]="-","-",IF(Table4[[#This Row],[%MC]]&lt;INDEX(MCmin,MATCH(Table4[[#This Row],[SKU]],FG,0)),0,IF(Table4[[#This Row],[%MC]]&gt;INDEX(MCmax,MATCH(Table4[[#This Row],[SKU]],FG,0)),0,1))))</f>
        <v>1</v>
      </c>
      <c r="AD106" s="231" t="str">
        <f>IF(INDEX(Protmin,MATCH(Table4[[#This Row],[SKU]],FG,0))="-","-",IF(Table4[[#This Row],[%Protein]]="-","-",IF(Table4[[#This Row],[%Protein]]&lt;INDEX(Protmin,MATCH(Table4[[#This Row],[SKU]],FG,0)),0,IF(Table4[[#This Row],[%Protein]]&gt;INDEX(Protmax,MATCH(Table4[[#This Row],[SKU]],FG,0)),0,1))))</f>
        <v>-</v>
      </c>
      <c r="AE106" s="231" t="str">
        <f>IF(INDEX(Ashmin,MATCH(Table4[[#This Row],[SKU]],FG,0))="-","-",IF(Table4[[#This Row],[%Ash]]="-","-",IF(Table4[[#This Row],[%Ash]]&lt;INDEX(Ashmin,MATCH(Table4[[#This Row],[SKU]],FG,0)),0,IF(Table4[[#This Row],[%Ash]]&gt;INDEX(Ashmax,MATCH(Table4[[#This Row],[SKU]],FG,0)),0,2))))</f>
        <v>-</v>
      </c>
      <c r="AF106" s="231" t="str">
        <f>IF(INDEX(Absmin,MATCH(Table4[[#This Row],[SKU]],FG,0))="-","-",IF(Table4[[#This Row],[%Absorption]]="-","-",IF(Table4[[#This Row],[%Absorption]]&lt;INDEX(Absmin,MATCH(Table4[[#This Row],[SKU]],FG,0)),0,IF(Table4[[#This Row],[%Absorption]]&gt;INDEX(Absmax,MATCH(Table4[[#This Row],[SKU]],FG,0)),0,2))))</f>
        <v>-</v>
      </c>
      <c r="AG106" s="231" t="str">
        <f>IF(INDEX(Extmin,MATCH(Table4[[#This Row],[SKU]],FG,0))="-","-",IF(Table4[[#This Row],[%Extensibility]]="-","-",IF(Table4[[#This Row],[%Extensibility]]&lt;INDEX(Extmin,MATCH(Table4[[#This Row],[SKU]],FG,0)),0,IF(Table4[[#This Row],[%Extensibility]]&gt;INDEX(Extmax,MATCH(Table4[[#This Row],[SKU]],FG,0)),0,1))))</f>
        <v>-</v>
      </c>
      <c r="AH106" s="231" t="str">
        <f>IF(INDEX(Resmin,MATCH(Table4[[#This Row],[SKU]],FG,0))="-","-",IF(Table4[[#This Row],[Resistance, max]]="-","-",IF(Table4[[#This Row],[Resistance, max]]&lt;INDEX(Resmin,MATCH(Table4[[#This Row],[SKU]],FG,0)),0,IF(Table4[[#This Row],[Resistance, max]]&gt;INDEX(Resmax,MATCH(Table4[[#This Row],[SKU]],FG,0)),0,1))))</f>
        <v>-</v>
      </c>
      <c r="AI106" s="231" t="str">
        <f>IF(INDEX(WGmin,MATCH(Table4[[#This Row],[SKU]],FG,0))="-","-",IF(Table4[[#This Row],[%Wet Gluten]]="-","-",IF(Table4[[#This Row],[%Wet Gluten]]&lt;INDEX(WGmin,MATCH(Table4[[#This Row],[SKU]],FG,0)),0,IF(Table4[[#This Row],[%Wet Gluten]]&gt;INDEX(WGmax,MATCH(Table4[[#This Row],[SKU]],FG,0)),0,2))))</f>
        <v>-</v>
      </c>
      <c r="AJ106" s="232" t="str">
        <f>IF(Table4[[#This Row],[FN, s]]="-","-",IF(R106&lt;301,1,0))</f>
        <v>-</v>
      </c>
      <c r="AK106" s="233">
        <f>SUM(Table4[[#This Row],[ QI Bran Content]:[QI FN]])</f>
        <v>6</v>
      </c>
      <c r="AL106" s="232">
        <f t="shared" si="7"/>
        <v>6</v>
      </c>
      <c r="AM106" s="232" t="str">
        <f>IF(INDEX(WGmin,MATCH(Table4[[#This Row],[SKU]],FG,0))="-","-",IF(Table4[[#This Row],[Gross Weight]]="-","-",IF(Table4[[#This Row],[Gross Weight]]&lt;INDEX(GWmin,MATCH(Table4[[#This Row],[SKU]],FG,0)),0,IF(Table4[[#This Row],[Gross Weight]]&gt;INDEX(GWmax,MATCH(Table4[[#This Row],[SKU]],FG,0)),0,1))))</f>
        <v>-</v>
      </c>
      <c r="AN106" s="232">
        <f>IF(Table4[[#This Row],[Sealing Integrity]]="-","-",IF(Table4[[#This Row],[Sealing Integrity]]="P",1,0))</f>
        <v>1</v>
      </c>
      <c r="AO106" s="232">
        <f>IF(Table4[[#This Row],[Coding]]="-","-",IF(Table4[[#This Row],[Coding]]="P",1,0))</f>
        <v>1</v>
      </c>
      <c r="AP106" s="233">
        <f>SUM(Table4[[#This Row],[QI Weight]:[QI Code]])</f>
        <v>2</v>
      </c>
      <c r="AQ106" s="233">
        <f>COUNT(Table4[[#This Row],[QI Weight]:[QI Code]])</f>
        <v>2</v>
      </c>
      <c r="AR106" s="261">
        <f>Table4[[#This Row],[TA]]+Table4[[#This Row],[TA2]]</f>
        <v>8</v>
      </c>
      <c r="AS106" s="261">
        <f>Table4[[#This Row],[TP]]+Table4[[#This Row],[TP2]]</f>
        <v>8</v>
      </c>
      <c r="BD106" s="265">
        <f>IF(INDEX(MCmin,MATCH(Table4[[#This Row],[SKU]],FG,0))="-","-",IF(Table4[[#This Row],[%MC]]="-","-",IF(Table4[[#This Row],[%MC]]&lt;INDEX(MCmin,MATCH(Table4[[#This Row],[SKU]],FG,0)),1,0)))</f>
        <v>0</v>
      </c>
      <c r="BE106" s="265">
        <f>IF(INDEX(MCmin,MATCH(Table4[[#This Row],[SKU]],FG,0))="-","-",IF(Table4[[#This Row],[%MC]]="-","-",IF(Table4[[#This Row],[%MC]]&gt;INDEX(MCmax,MATCH(Table4[[#This Row],[SKU]],FG,0)),1,0)))</f>
        <v>0</v>
      </c>
      <c r="BF106" s="231" t="str">
        <f>IF(INDEX(Ashmin,MATCH(Table4[[#This Row],[SKU]],FG,0))="-","-",IF(Table4[[#This Row],[%Ash]]="-","-",IF(Table4[[#This Row],[%Ash]]&lt;INDEX(Ashmin,MATCH(Table4[[#This Row],[SKU]],FG,0)),1,0)))</f>
        <v>-</v>
      </c>
      <c r="BG106" s="231" t="str">
        <f>IF(INDEX(Ashmin,MATCH(Table4[[#This Row],[SKU]],FG,0))="-","-",IF(Table4[[#This Row],[%Ash]]="-","-",IF(Table4[[#This Row],[%Ash]]&gt;INDEX(Ashmax,MATCH(Table4[[#This Row],[SKU]],FG,0)),1,0)))</f>
        <v>-</v>
      </c>
      <c r="BH106" s="231" t="str">
        <f>IF(INDEX(Absmin,MATCH(Table4[[#This Row],[SKU]],FG,0))="-","-",IF(Table4[[#This Row],[%Absorption]]="-","-",IF(Table4[[#This Row],[%Absorption]]&lt;INDEX(Absmin,MATCH(Table4[[#This Row],[SKU]],FG,0)),1,0)))</f>
        <v>-</v>
      </c>
      <c r="BI106" s="231" t="str">
        <f>IF(INDEX(Absmin,MATCH(Table4[[#This Row],[SKU]],FG,0))="-","-",IF(Table4[[#This Row],[%Absorption]]="-","-",IF(Table4[[#This Row],[%Absorption]]&gt;INDEX(Absmax,MATCH(Table4[[#This Row],[SKU]],FG,0)),1,0)))</f>
        <v>-</v>
      </c>
      <c r="BJ106" s="231" t="str">
        <f>IF(INDEX(WGmin,MATCH(Table4[[#This Row],[SKU]],FG,0))="-","-",IF(Table4[[#This Row],[%Wet Gluten]]="-","-",IF(Table4[[#This Row],[%Wet Gluten]]&lt;INDEX(WGmin,MATCH(Table4[[#This Row],[SKU]],FG,0)),1,0)))</f>
        <v>-</v>
      </c>
      <c r="BK106" s="231" t="str">
        <f>IF(INDEX(WGmin,MATCH(Table4[[#This Row],[SKU]],FG,0))="-","-",IF(Table4[[#This Row],[%Wet Gluten]]="-","-",IF(Table4[[#This Row],[%Wet Gluten]]&gt;INDEX(WGmax,MATCH(Table4[[#This Row],[SKU]],FG,0)),1,0)))</f>
        <v>-</v>
      </c>
    </row>
    <row r="107" spans="1:63" x14ac:dyDescent="0.35">
      <c r="A107" s="243">
        <v>46023</v>
      </c>
      <c r="B107" s="244">
        <v>46028</v>
      </c>
      <c r="C107" s="244">
        <v>46007</v>
      </c>
      <c r="D107" s="244" t="s">
        <v>128</v>
      </c>
      <c r="E107" s="245">
        <v>0.874999999999999</v>
      </c>
      <c r="F107" s="246">
        <v>3</v>
      </c>
      <c r="G107" s="259" t="s">
        <v>119</v>
      </c>
      <c r="H107" s="247">
        <v>6.1000000000000004E-3</v>
      </c>
      <c r="I107" s="248" t="s">
        <v>165</v>
      </c>
      <c r="J107" s="248" t="s">
        <v>165</v>
      </c>
      <c r="K107" s="248" t="s">
        <v>165</v>
      </c>
      <c r="L107" s="248" t="s">
        <v>161</v>
      </c>
      <c r="M107" s="248" t="s">
        <v>161</v>
      </c>
      <c r="N107" s="249">
        <v>11.95</v>
      </c>
      <c r="O107" s="249" t="s">
        <v>163</v>
      </c>
      <c r="P107" s="249" t="s">
        <v>163</v>
      </c>
      <c r="Q107" s="249" t="s">
        <v>163</v>
      </c>
      <c r="R107" s="249" t="s">
        <v>163</v>
      </c>
      <c r="S107" s="250" t="s">
        <v>163</v>
      </c>
      <c r="T107" s="249" t="s">
        <v>163</v>
      </c>
      <c r="U107" s="249" t="s">
        <v>163</v>
      </c>
      <c r="V107" s="251" t="s">
        <v>163</v>
      </c>
      <c r="W107" s="252" t="s">
        <v>165</v>
      </c>
      <c r="X107" s="252" t="s">
        <v>165</v>
      </c>
      <c r="Y107" s="248" t="s">
        <v>163</v>
      </c>
      <c r="Z107" s="231">
        <f>IF(Table4[[#This Row],[ Bran Content]]="-","-",IF(H107&gt;0.02,0,2))</f>
        <v>2</v>
      </c>
      <c r="AA107" s="231">
        <f>IF(Table4[[#This Row],[Sieve Test]]="-","-",IF(Table4[[#This Row],[Sieve Test]]="P",1,0))</f>
        <v>1</v>
      </c>
      <c r="AB107" s="231">
        <f>IF(Table4[[#This Row],[Odor]]="-","-",IF(Table4[[#This Row],[Odor]]="P",2,0))</f>
        <v>2</v>
      </c>
      <c r="AC107" s="231">
        <f>IF(INDEX(MCmin,MATCH(Table4[[#This Row],[SKU]],FG,0))="-","-",IF(Table4[[#This Row],[%MC]]="-","-",IF(Table4[[#This Row],[%MC]]&lt;INDEX(MCmin,MATCH(Table4[[#This Row],[SKU]],FG,0)),0,IF(Table4[[#This Row],[%MC]]&gt;INDEX(MCmax,MATCH(Table4[[#This Row],[SKU]],FG,0)),0,1))))</f>
        <v>0</v>
      </c>
      <c r="AD107" s="231" t="str">
        <f>IF(INDEX(Protmin,MATCH(Table4[[#This Row],[SKU]],FG,0))="-","-",IF(Table4[[#This Row],[%Protein]]="-","-",IF(Table4[[#This Row],[%Protein]]&lt;INDEX(Protmin,MATCH(Table4[[#This Row],[SKU]],FG,0)),0,IF(Table4[[#This Row],[%Protein]]&gt;INDEX(Protmax,MATCH(Table4[[#This Row],[SKU]],FG,0)),0,1))))</f>
        <v>-</v>
      </c>
      <c r="AE107" s="231" t="str">
        <f>IF(INDEX(Ashmin,MATCH(Table4[[#This Row],[SKU]],FG,0))="-","-",IF(Table4[[#This Row],[%Ash]]="-","-",IF(Table4[[#This Row],[%Ash]]&lt;INDEX(Ashmin,MATCH(Table4[[#This Row],[SKU]],FG,0)),0,IF(Table4[[#This Row],[%Ash]]&gt;INDEX(Ashmax,MATCH(Table4[[#This Row],[SKU]],FG,0)),0,2))))</f>
        <v>-</v>
      </c>
      <c r="AF107" s="231" t="str">
        <f>IF(INDEX(Absmin,MATCH(Table4[[#This Row],[SKU]],FG,0))="-","-",IF(Table4[[#This Row],[%Absorption]]="-","-",IF(Table4[[#This Row],[%Absorption]]&lt;INDEX(Absmin,MATCH(Table4[[#This Row],[SKU]],FG,0)),0,IF(Table4[[#This Row],[%Absorption]]&gt;INDEX(Absmax,MATCH(Table4[[#This Row],[SKU]],FG,0)),0,2))))</f>
        <v>-</v>
      </c>
      <c r="AG107" s="231" t="str">
        <f>IF(INDEX(Extmin,MATCH(Table4[[#This Row],[SKU]],FG,0))="-","-",IF(Table4[[#This Row],[%Extensibility]]="-","-",IF(Table4[[#This Row],[%Extensibility]]&lt;INDEX(Extmin,MATCH(Table4[[#This Row],[SKU]],FG,0)),0,IF(Table4[[#This Row],[%Extensibility]]&gt;INDEX(Extmax,MATCH(Table4[[#This Row],[SKU]],FG,0)),0,1))))</f>
        <v>-</v>
      </c>
      <c r="AH107" s="231" t="str">
        <f>IF(INDEX(Resmin,MATCH(Table4[[#This Row],[SKU]],FG,0))="-","-",IF(Table4[[#This Row],[Resistance, max]]="-","-",IF(Table4[[#This Row],[Resistance, max]]&lt;INDEX(Resmin,MATCH(Table4[[#This Row],[SKU]],FG,0)),0,IF(Table4[[#This Row],[Resistance, max]]&gt;INDEX(Resmax,MATCH(Table4[[#This Row],[SKU]],FG,0)),0,1))))</f>
        <v>-</v>
      </c>
      <c r="AI107" s="231" t="str">
        <f>IF(INDEX(WGmin,MATCH(Table4[[#This Row],[SKU]],FG,0))="-","-",IF(Table4[[#This Row],[%Wet Gluten]]="-","-",IF(Table4[[#This Row],[%Wet Gluten]]&lt;INDEX(WGmin,MATCH(Table4[[#This Row],[SKU]],FG,0)),0,IF(Table4[[#This Row],[%Wet Gluten]]&gt;INDEX(WGmax,MATCH(Table4[[#This Row],[SKU]],FG,0)),0,2))))</f>
        <v>-</v>
      </c>
      <c r="AJ107" s="232" t="str">
        <f>IF(Table4[[#This Row],[FN, s]]="-","-",IF(R107&lt;301,1,0))</f>
        <v>-</v>
      </c>
      <c r="AK107" s="233">
        <f>SUM(Table4[[#This Row],[ QI Bran Content]:[QI FN]])</f>
        <v>5</v>
      </c>
      <c r="AL107" s="232">
        <f t="shared" si="7"/>
        <v>6</v>
      </c>
      <c r="AM107" s="232" t="str">
        <f>IF(INDEX(WGmin,MATCH(Table4[[#This Row],[SKU]],FG,0))="-","-",IF(Table4[[#This Row],[Gross Weight]]="-","-",IF(Table4[[#This Row],[Gross Weight]]&lt;INDEX(GWmin,MATCH(Table4[[#This Row],[SKU]],FG,0)),0,IF(Table4[[#This Row],[Gross Weight]]&gt;INDEX(GWmax,MATCH(Table4[[#This Row],[SKU]],FG,0)),0,1))))</f>
        <v>-</v>
      </c>
      <c r="AN107" s="232">
        <f>IF(Table4[[#This Row],[Sealing Integrity]]="-","-",IF(Table4[[#This Row],[Sealing Integrity]]="P",1,0))</f>
        <v>1</v>
      </c>
      <c r="AO107" s="232">
        <f>IF(Table4[[#This Row],[Coding]]="-","-",IF(Table4[[#This Row],[Coding]]="P",1,0))</f>
        <v>1</v>
      </c>
      <c r="AP107" s="233">
        <f>SUM(Table4[[#This Row],[QI Weight]:[QI Code]])</f>
        <v>2</v>
      </c>
      <c r="AQ107" s="233">
        <f>COUNT(Table4[[#This Row],[QI Weight]:[QI Code]])</f>
        <v>2</v>
      </c>
      <c r="AR107" s="261">
        <f>Table4[[#This Row],[TA]]+Table4[[#This Row],[TA2]]</f>
        <v>7</v>
      </c>
      <c r="AS107" s="261">
        <f>Table4[[#This Row],[TP]]+Table4[[#This Row],[TP2]]</f>
        <v>8</v>
      </c>
      <c r="BD107" s="265">
        <f>IF(INDEX(MCmin,MATCH(Table4[[#This Row],[SKU]],FG,0))="-","-",IF(Table4[[#This Row],[%MC]]="-","-",IF(Table4[[#This Row],[%MC]]&lt;INDEX(MCmin,MATCH(Table4[[#This Row],[SKU]],FG,0)),1,0)))</f>
        <v>1</v>
      </c>
      <c r="BE107" s="265">
        <f>IF(INDEX(MCmin,MATCH(Table4[[#This Row],[SKU]],FG,0))="-","-",IF(Table4[[#This Row],[%MC]]="-","-",IF(Table4[[#This Row],[%MC]]&gt;INDEX(MCmax,MATCH(Table4[[#This Row],[SKU]],FG,0)),1,0)))</f>
        <v>0</v>
      </c>
      <c r="BF107" s="231" t="str">
        <f>IF(INDEX(Ashmin,MATCH(Table4[[#This Row],[SKU]],FG,0))="-","-",IF(Table4[[#This Row],[%Ash]]="-","-",IF(Table4[[#This Row],[%Ash]]&lt;INDEX(Ashmin,MATCH(Table4[[#This Row],[SKU]],FG,0)),1,0)))</f>
        <v>-</v>
      </c>
      <c r="BG107" s="231" t="str">
        <f>IF(INDEX(Ashmin,MATCH(Table4[[#This Row],[SKU]],FG,0))="-","-",IF(Table4[[#This Row],[%Ash]]="-","-",IF(Table4[[#This Row],[%Ash]]&gt;INDEX(Ashmax,MATCH(Table4[[#This Row],[SKU]],FG,0)),1,0)))</f>
        <v>-</v>
      </c>
      <c r="BH107" s="231" t="str">
        <f>IF(INDEX(Absmin,MATCH(Table4[[#This Row],[SKU]],FG,0))="-","-",IF(Table4[[#This Row],[%Absorption]]="-","-",IF(Table4[[#This Row],[%Absorption]]&lt;INDEX(Absmin,MATCH(Table4[[#This Row],[SKU]],FG,0)),1,0)))</f>
        <v>-</v>
      </c>
      <c r="BI107" s="231" t="str">
        <f>IF(INDEX(Absmin,MATCH(Table4[[#This Row],[SKU]],FG,0))="-","-",IF(Table4[[#This Row],[%Absorption]]="-","-",IF(Table4[[#This Row],[%Absorption]]&gt;INDEX(Absmax,MATCH(Table4[[#This Row],[SKU]],FG,0)),1,0)))</f>
        <v>-</v>
      </c>
      <c r="BJ107" s="231" t="str">
        <f>IF(INDEX(WGmin,MATCH(Table4[[#This Row],[SKU]],FG,0))="-","-",IF(Table4[[#This Row],[%Wet Gluten]]="-","-",IF(Table4[[#This Row],[%Wet Gluten]]&lt;INDEX(WGmin,MATCH(Table4[[#This Row],[SKU]],FG,0)),1,0)))</f>
        <v>-</v>
      </c>
      <c r="BK107" s="231" t="str">
        <f>IF(INDEX(WGmin,MATCH(Table4[[#This Row],[SKU]],FG,0))="-","-",IF(Table4[[#This Row],[%Wet Gluten]]="-","-",IF(Table4[[#This Row],[%Wet Gluten]]&gt;INDEX(WGmax,MATCH(Table4[[#This Row],[SKU]],FG,0)),1,0)))</f>
        <v>-</v>
      </c>
    </row>
    <row r="108" spans="1:63" x14ac:dyDescent="0.35">
      <c r="A108" s="243">
        <v>46023</v>
      </c>
      <c r="B108" s="244">
        <v>46028</v>
      </c>
      <c r="C108" s="244">
        <v>46372</v>
      </c>
      <c r="D108" s="244" t="s">
        <v>130</v>
      </c>
      <c r="E108" s="245">
        <v>0.91666666666666663</v>
      </c>
      <c r="F108" s="246">
        <v>3</v>
      </c>
      <c r="G108" s="259" t="s">
        <v>119</v>
      </c>
      <c r="H108" s="247">
        <v>7.4999999999999997E-3</v>
      </c>
      <c r="I108" s="248" t="s">
        <v>165</v>
      </c>
      <c r="J108" s="248" t="s">
        <v>165</v>
      </c>
      <c r="K108" s="248" t="s">
        <v>165</v>
      </c>
      <c r="L108" s="248" t="s">
        <v>161</v>
      </c>
      <c r="M108" s="248" t="s">
        <v>161</v>
      </c>
      <c r="N108" s="249">
        <v>11.78</v>
      </c>
      <c r="O108" s="249" t="s">
        <v>163</v>
      </c>
      <c r="P108" s="249" t="s">
        <v>163</v>
      </c>
      <c r="Q108" s="249" t="s">
        <v>163</v>
      </c>
      <c r="R108" s="249" t="s">
        <v>163</v>
      </c>
      <c r="S108" s="250" t="s">
        <v>163</v>
      </c>
      <c r="T108" s="249" t="s">
        <v>163</v>
      </c>
      <c r="U108" s="249" t="s">
        <v>163</v>
      </c>
      <c r="V108" s="251" t="s">
        <v>163</v>
      </c>
      <c r="W108" s="252" t="s">
        <v>165</v>
      </c>
      <c r="X108" s="252" t="s">
        <v>165</v>
      </c>
      <c r="Y108" s="248" t="s">
        <v>163</v>
      </c>
      <c r="Z108" s="231">
        <f>IF(Table4[[#This Row],[ Bran Content]]="-","-",IF(H108&gt;0.02,0,2))</f>
        <v>2</v>
      </c>
      <c r="AA108" s="231">
        <f>IF(Table4[[#This Row],[Sieve Test]]="-","-",IF(Table4[[#This Row],[Sieve Test]]="P",1,0))</f>
        <v>1</v>
      </c>
      <c r="AB108" s="231">
        <f>IF(Table4[[#This Row],[Odor]]="-","-",IF(Table4[[#This Row],[Odor]]="P",2,0))</f>
        <v>2</v>
      </c>
      <c r="AC108" s="231">
        <f>IF(INDEX(MCmin,MATCH(Table4[[#This Row],[SKU]],FG,0))="-","-",IF(Table4[[#This Row],[%MC]]="-","-",IF(Table4[[#This Row],[%MC]]&lt;INDEX(MCmin,MATCH(Table4[[#This Row],[SKU]],FG,0)),0,IF(Table4[[#This Row],[%MC]]&gt;INDEX(MCmax,MATCH(Table4[[#This Row],[SKU]],FG,0)),0,1))))</f>
        <v>0</v>
      </c>
      <c r="AD108" s="231" t="str">
        <f>IF(INDEX(Protmin,MATCH(Table4[[#This Row],[SKU]],FG,0))="-","-",IF(Table4[[#This Row],[%Protein]]="-","-",IF(Table4[[#This Row],[%Protein]]&lt;INDEX(Protmin,MATCH(Table4[[#This Row],[SKU]],FG,0)),0,IF(Table4[[#This Row],[%Protein]]&gt;INDEX(Protmax,MATCH(Table4[[#This Row],[SKU]],FG,0)),0,1))))</f>
        <v>-</v>
      </c>
      <c r="AE108" s="231" t="str">
        <f>IF(INDEX(Ashmin,MATCH(Table4[[#This Row],[SKU]],FG,0))="-","-",IF(Table4[[#This Row],[%Ash]]="-","-",IF(Table4[[#This Row],[%Ash]]&lt;INDEX(Ashmin,MATCH(Table4[[#This Row],[SKU]],FG,0)),0,IF(Table4[[#This Row],[%Ash]]&gt;INDEX(Ashmax,MATCH(Table4[[#This Row],[SKU]],FG,0)),0,2))))</f>
        <v>-</v>
      </c>
      <c r="AF108" s="231" t="str">
        <f>IF(INDEX(Absmin,MATCH(Table4[[#This Row],[SKU]],FG,0))="-","-",IF(Table4[[#This Row],[%Absorption]]="-","-",IF(Table4[[#This Row],[%Absorption]]&lt;INDEX(Absmin,MATCH(Table4[[#This Row],[SKU]],FG,0)),0,IF(Table4[[#This Row],[%Absorption]]&gt;INDEX(Absmax,MATCH(Table4[[#This Row],[SKU]],FG,0)),0,2))))</f>
        <v>-</v>
      </c>
      <c r="AG108" s="231" t="str">
        <f>IF(INDEX(Extmin,MATCH(Table4[[#This Row],[SKU]],FG,0))="-","-",IF(Table4[[#This Row],[%Extensibility]]="-","-",IF(Table4[[#This Row],[%Extensibility]]&lt;INDEX(Extmin,MATCH(Table4[[#This Row],[SKU]],FG,0)),0,IF(Table4[[#This Row],[%Extensibility]]&gt;INDEX(Extmax,MATCH(Table4[[#This Row],[SKU]],FG,0)),0,1))))</f>
        <v>-</v>
      </c>
      <c r="AH108" s="231" t="str">
        <f>IF(INDEX(Resmin,MATCH(Table4[[#This Row],[SKU]],FG,0))="-","-",IF(Table4[[#This Row],[Resistance, max]]="-","-",IF(Table4[[#This Row],[Resistance, max]]&lt;INDEX(Resmin,MATCH(Table4[[#This Row],[SKU]],FG,0)),0,IF(Table4[[#This Row],[Resistance, max]]&gt;INDEX(Resmax,MATCH(Table4[[#This Row],[SKU]],FG,0)),0,1))))</f>
        <v>-</v>
      </c>
      <c r="AI108" s="231" t="str">
        <f>IF(INDEX(WGmin,MATCH(Table4[[#This Row],[SKU]],FG,0))="-","-",IF(Table4[[#This Row],[%Wet Gluten]]="-","-",IF(Table4[[#This Row],[%Wet Gluten]]&lt;INDEX(WGmin,MATCH(Table4[[#This Row],[SKU]],FG,0)),0,IF(Table4[[#This Row],[%Wet Gluten]]&gt;INDEX(WGmax,MATCH(Table4[[#This Row],[SKU]],FG,0)),0,2))))</f>
        <v>-</v>
      </c>
      <c r="AJ108" s="232" t="str">
        <f>IF(Table4[[#This Row],[FN, s]]="-","-",IF(R108&lt;301,1,0))</f>
        <v>-</v>
      </c>
      <c r="AK108" s="233">
        <f>SUM(Table4[[#This Row],[ QI Bran Content]:[QI FN]])</f>
        <v>5</v>
      </c>
      <c r="AL108" s="232">
        <f t="shared" si="7"/>
        <v>6</v>
      </c>
      <c r="AM108" s="232" t="str">
        <f>IF(INDEX(WGmin,MATCH(Table4[[#This Row],[SKU]],FG,0))="-","-",IF(Table4[[#This Row],[Gross Weight]]="-","-",IF(Table4[[#This Row],[Gross Weight]]&lt;INDEX(GWmin,MATCH(Table4[[#This Row],[SKU]],FG,0)),0,IF(Table4[[#This Row],[Gross Weight]]&gt;INDEX(GWmax,MATCH(Table4[[#This Row],[SKU]],FG,0)),0,1))))</f>
        <v>-</v>
      </c>
      <c r="AN108" s="232">
        <f>IF(Table4[[#This Row],[Sealing Integrity]]="-","-",IF(Table4[[#This Row],[Sealing Integrity]]="P",1,0))</f>
        <v>1</v>
      </c>
      <c r="AO108" s="232">
        <f>IF(Table4[[#This Row],[Coding]]="-","-",IF(Table4[[#This Row],[Coding]]="P",1,0))</f>
        <v>1</v>
      </c>
      <c r="AP108" s="233">
        <f>SUM(Table4[[#This Row],[QI Weight]:[QI Code]])</f>
        <v>2</v>
      </c>
      <c r="AQ108" s="233">
        <f>COUNT(Table4[[#This Row],[QI Weight]:[QI Code]])</f>
        <v>2</v>
      </c>
      <c r="AR108" s="261">
        <f>Table4[[#This Row],[TA]]+Table4[[#This Row],[TA2]]</f>
        <v>7</v>
      </c>
      <c r="AS108" s="261">
        <f>Table4[[#This Row],[TP]]+Table4[[#This Row],[TP2]]</f>
        <v>8</v>
      </c>
      <c r="BD108" s="265">
        <f>IF(INDEX(MCmin,MATCH(Table4[[#This Row],[SKU]],FG,0))="-","-",IF(Table4[[#This Row],[%MC]]="-","-",IF(Table4[[#This Row],[%MC]]&lt;INDEX(MCmin,MATCH(Table4[[#This Row],[SKU]],FG,0)),1,0)))</f>
        <v>1</v>
      </c>
      <c r="BE108" s="265">
        <f>IF(INDEX(MCmin,MATCH(Table4[[#This Row],[SKU]],FG,0))="-","-",IF(Table4[[#This Row],[%MC]]="-","-",IF(Table4[[#This Row],[%MC]]&gt;INDEX(MCmax,MATCH(Table4[[#This Row],[SKU]],FG,0)),1,0)))</f>
        <v>0</v>
      </c>
      <c r="BF108" s="231" t="str">
        <f>IF(INDEX(Ashmin,MATCH(Table4[[#This Row],[SKU]],FG,0))="-","-",IF(Table4[[#This Row],[%Ash]]="-","-",IF(Table4[[#This Row],[%Ash]]&lt;INDEX(Ashmin,MATCH(Table4[[#This Row],[SKU]],FG,0)),1,0)))</f>
        <v>-</v>
      </c>
      <c r="BG108" s="231" t="str">
        <f>IF(INDEX(Ashmin,MATCH(Table4[[#This Row],[SKU]],FG,0))="-","-",IF(Table4[[#This Row],[%Ash]]="-","-",IF(Table4[[#This Row],[%Ash]]&gt;INDEX(Ashmax,MATCH(Table4[[#This Row],[SKU]],FG,0)),1,0)))</f>
        <v>-</v>
      </c>
      <c r="BH108" s="231" t="str">
        <f>IF(INDEX(Absmin,MATCH(Table4[[#This Row],[SKU]],FG,0))="-","-",IF(Table4[[#This Row],[%Absorption]]="-","-",IF(Table4[[#This Row],[%Absorption]]&lt;INDEX(Absmin,MATCH(Table4[[#This Row],[SKU]],FG,0)),1,0)))</f>
        <v>-</v>
      </c>
      <c r="BI108" s="231" t="str">
        <f>IF(INDEX(Absmin,MATCH(Table4[[#This Row],[SKU]],FG,0))="-","-",IF(Table4[[#This Row],[%Absorption]]="-","-",IF(Table4[[#This Row],[%Absorption]]&gt;INDEX(Absmax,MATCH(Table4[[#This Row],[SKU]],FG,0)),1,0)))</f>
        <v>-</v>
      </c>
      <c r="BJ108" s="231" t="str">
        <f>IF(INDEX(WGmin,MATCH(Table4[[#This Row],[SKU]],FG,0))="-","-",IF(Table4[[#This Row],[%Wet Gluten]]="-","-",IF(Table4[[#This Row],[%Wet Gluten]]&lt;INDEX(WGmin,MATCH(Table4[[#This Row],[SKU]],FG,0)),1,0)))</f>
        <v>-</v>
      </c>
      <c r="BK108" s="231" t="str">
        <f>IF(INDEX(WGmin,MATCH(Table4[[#This Row],[SKU]],FG,0))="-","-",IF(Table4[[#This Row],[%Wet Gluten]]="-","-",IF(Table4[[#This Row],[%Wet Gluten]]&gt;INDEX(WGmax,MATCH(Table4[[#This Row],[SKU]],FG,0)),1,0)))</f>
        <v>-</v>
      </c>
    </row>
    <row r="109" spans="1:63" x14ac:dyDescent="0.35">
      <c r="A109" s="243">
        <v>46023</v>
      </c>
      <c r="B109" s="244">
        <v>46028</v>
      </c>
      <c r="C109" s="244">
        <v>46372</v>
      </c>
      <c r="D109" s="244" t="s">
        <v>130</v>
      </c>
      <c r="E109" s="245">
        <v>0.95833333333333337</v>
      </c>
      <c r="F109" s="246">
        <v>3</v>
      </c>
      <c r="G109" s="259" t="s">
        <v>119</v>
      </c>
      <c r="H109" s="247">
        <v>8.0999999999999996E-3</v>
      </c>
      <c r="I109" s="248" t="s">
        <v>165</v>
      </c>
      <c r="J109" s="248" t="s">
        <v>165</v>
      </c>
      <c r="K109" s="248" t="s">
        <v>165</v>
      </c>
      <c r="L109" s="248" t="s">
        <v>161</v>
      </c>
      <c r="M109" s="248" t="s">
        <v>161</v>
      </c>
      <c r="N109" s="249">
        <v>12.02</v>
      </c>
      <c r="O109" s="249" t="s">
        <v>163</v>
      </c>
      <c r="P109" s="249" t="s">
        <v>163</v>
      </c>
      <c r="Q109" s="249" t="s">
        <v>163</v>
      </c>
      <c r="R109" s="249" t="s">
        <v>163</v>
      </c>
      <c r="S109" s="250" t="s">
        <v>163</v>
      </c>
      <c r="T109" s="249" t="s">
        <v>163</v>
      </c>
      <c r="U109" s="249" t="s">
        <v>163</v>
      </c>
      <c r="V109" s="251" t="s">
        <v>163</v>
      </c>
      <c r="W109" s="252" t="s">
        <v>165</v>
      </c>
      <c r="X109" s="252" t="s">
        <v>165</v>
      </c>
      <c r="Y109" s="248" t="s">
        <v>163</v>
      </c>
      <c r="Z109" s="231">
        <f>IF(Table4[[#This Row],[ Bran Content]]="-","-",IF(H109&gt;0.02,0,2))</f>
        <v>2</v>
      </c>
      <c r="AA109" s="231">
        <f>IF(Table4[[#This Row],[Sieve Test]]="-","-",IF(Table4[[#This Row],[Sieve Test]]="P",1,0))</f>
        <v>1</v>
      </c>
      <c r="AB109" s="231">
        <f>IF(Table4[[#This Row],[Odor]]="-","-",IF(Table4[[#This Row],[Odor]]="P",2,0))</f>
        <v>2</v>
      </c>
      <c r="AC109" s="231">
        <f>IF(INDEX(MCmin,MATCH(Table4[[#This Row],[SKU]],FG,0))="-","-",IF(Table4[[#This Row],[%MC]]="-","-",IF(Table4[[#This Row],[%MC]]&lt;INDEX(MCmin,MATCH(Table4[[#This Row],[SKU]],FG,0)),0,IF(Table4[[#This Row],[%MC]]&gt;INDEX(MCmax,MATCH(Table4[[#This Row],[SKU]],FG,0)),0,1))))</f>
        <v>1</v>
      </c>
      <c r="AD109" s="231" t="str">
        <f>IF(INDEX(Protmin,MATCH(Table4[[#This Row],[SKU]],FG,0))="-","-",IF(Table4[[#This Row],[%Protein]]="-","-",IF(Table4[[#This Row],[%Protein]]&lt;INDEX(Protmin,MATCH(Table4[[#This Row],[SKU]],FG,0)),0,IF(Table4[[#This Row],[%Protein]]&gt;INDEX(Protmax,MATCH(Table4[[#This Row],[SKU]],FG,0)),0,1))))</f>
        <v>-</v>
      </c>
      <c r="AE109" s="231" t="str">
        <f>IF(INDEX(Ashmin,MATCH(Table4[[#This Row],[SKU]],FG,0))="-","-",IF(Table4[[#This Row],[%Ash]]="-","-",IF(Table4[[#This Row],[%Ash]]&lt;INDEX(Ashmin,MATCH(Table4[[#This Row],[SKU]],FG,0)),0,IF(Table4[[#This Row],[%Ash]]&gt;INDEX(Ashmax,MATCH(Table4[[#This Row],[SKU]],FG,0)),0,2))))</f>
        <v>-</v>
      </c>
      <c r="AF109" s="231" t="str">
        <f>IF(INDEX(Absmin,MATCH(Table4[[#This Row],[SKU]],FG,0))="-","-",IF(Table4[[#This Row],[%Absorption]]="-","-",IF(Table4[[#This Row],[%Absorption]]&lt;INDEX(Absmin,MATCH(Table4[[#This Row],[SKU]],FG,0)),0,IF(Table4[[#This Row],[%Absorption]]&gt;INDEX(Absmax,MATCH(Table4[[#This Row],[SKU]],FG,0)),0,2))))</f>
        <v>-</v>
      </c>
      <c r="AG109" s="231" t="str">
        <f>IF(INDEX(Extmin,MATCH(Table4[[#This Row],[SKU]],FG,0))="-","-",IF(Table4[[#This Row],[%Extensibility]]="-","-",IF(Table4[[#This Row],[%Extensibility]]&lt;INDEX(Extmin,MATCH(Table4[[#This Row],[SKU]],FG,0)),0,IF(Table4[[#This Row],[%Extensibility]]&gt;INDEX(Extmax,MATCH(Table4[[#This Row],[SKU]],FG,0)),0,1))))</f>
        <v>-</v>
      </c>
      <c r="AH109" s="231" t="str">
        <f>IF(INDEX(Resmin,MATCH(Table4[[#This Row],[SKU]],FG,0))="-","-",IF(Table4[[#This Row],[Resistance, max]]="-","-",IF(Table4[[#This Row],[Resistance, max]]&lt;INDEX(Resmin,MATCH(Table4[[#This Row],[SKU]],FG,0)),0,IF(Table4[[#This Row],[Resistance, max]]&gt;INDEX(Resmax,MATCH(Table4[[#This Row],[SKU]],FG,0)),0,1))))</f>
        <v>-</v>
      </c>
      <c r="AI109" s="231" t="str">
        <f>IF(INDEX(WGmin,MATCH(Table4[[#This Row],[SKU]],FG,0))="-","-",IF(Table4[[#This Row],[%Wet Gluten]]="-","-",IF(Table4[[#This Row],[%Wet Gluten]]&lt;INDEX(WGmin,MATCH(Table4[[#This Row],[SKU]],FG,0)),0,IF(Table4[[#This Row],[%Wet Gluten]]&gt;INDEX(WGmax,MATCH(Table4[[#This Row],[SKU]],FG,0)),0,2))))</f>
        <v>-</v>
      </c>
      <c r="AJ109" s="232" t="str">
        <f>IF(Table4[[#This Row],[FN, s]]="-","-",IF(R109&lt;301,1,0))</f>
        <v>-</v>
      </c>
      <c r="AK109" s="233">
        <f>SUM(Table4[[#This Row],[ QI Bran Content]:[QI FN]])</f>
        <v>6</v>
      </c>
      <c r="AL109" s="232">
        <f t="shared" si="7"/>
        <v>6</v>
      </c>
      <c r="AM109" s="232" t="str">
        <f>IF(INDEX(WGmin,MATCH(Table4[[#This Row],[SKU]],FG,0))="-","-",IF(Table4[[#This Row],[Gross Weight]]="-","-",IF(Table4[[#This Row],[Gross Weight]]&lt;INDEX(GWmin,MATCH(Table4[[#This Row],[SKU]],FG,0)),0,IF(Table4[[#This Row],[Gross Weight]]&gt;INDEX(GWmax,MATCH(Table4[[#This Row],[SKU]],FG,0)),0,1))))</f>
        <v>-</v>
      </c>
      <c r="AN109" s="232">
        <f>IF(Table4[[#This Row],[Sealing Integrity]]="-","-",IF(Table4[[#This Row],[Sealing Integrity]]="P",1,0))</f>
        <v>1</v>
      </c>
      <c r="AO109" s="232">
        <f>IF(Table4[[#This Row],[Coding]]="-","-",IF(Table4[[#This Row],[Coding]]="P",1,0))</f>
        <v>1</v>
      </c>
      <c r="AP109" s="233">
        <f>SUM(Table4[[#This Row],[QI Weight]:[QI Code]])</f>
        <v>2</v>
      </c>
      <c r="AQ109" s="233">
        <f>COUNT(Table4[[#This Row],[QI Weight]:[QI Code]])</f>
        <v>2</v>
      </c>
      <c r="AR109" s="261">
        <f>Table4[[#This Row],[TA]]+Table4[[#This Row],[TA2]]</f>
        <v>8</v>
      </c>
      <c r="AS109" s="261">
        <f>Table4[[#This Row],[TP]]+Table4[[#This Row],[TP2]]</f>
        <v>8</v>
      </c>
      <c r="BD109" s="265">
        <f>IF(INDEX(MCmin,MATCH(Table4[[#This Row],[SKU]],FG,0))="-","-",IF(Table4[[#This Row],[%MC]]="-","-",IF(Table4[[#This Row],[%MC]]&lt;INDEX(MCmin,MATCH(Table4[[#This Row],[SKU]],FG,0)),1,0)))</f>
        <v>0</v>
      </c>
      <c r="BE109" s="265">
        <f>IF(INDEX(MCmin,MATCH(Table4[[#This Row],[SKU]],FG,0))="-","-",IF(Table4[[#This Row],[%MC]]="-","-",IF(Table4[[#This Row],[%MC]]&gt;INDEX(MCmax,MATCH(Table4[[#This Row],[SKU]],FG,0)),1,0)))</f>
        <v>0</v>
      </c>
      <c r="BF109" s="231" t="str">
        <f>IF(INDEX(Ashmin,MATCH(Table4[[#This Row],[SKU]],FG,0))="-","-",IF(Table4[[#This Row],[%Ash]]="-","-",IF(Table4[[#This Row],[%Ash]]&lt;INDEX(Ashmin,MATCH(Table4[[#This Row],[SKU]],FG,0)),1,0)))</f>
        <v>-</v>
      </c>
      <c r="BG109" s="231" t="str">
        <f>IF(INDEX(Ashmin,MATCH(Table4[[#This Row],[SKU]],FG,0))="-","-",IF(Table4[[#This Row],[%Ash]]="-","-",IF(Table4[[#This Row],[%Ash]]&gt;INDEX(Ashmax,MATCH(Table4[[#This Row],[SKU]],FG,0)),1,0)))</f>
        <v>-</v>
      </c>
      <c r="BH109" s="231" t="str">
        <f>IF(INDEX(Absmin,MATCH(Table4[[#This Row],[SKU]],FG,0))="-","-",IF(Table4[[#This Row],[%Absorption]]="-","-",IF(Table4[[#This Row],[%Absorption]]&lt;INDEX(Absmin,MATCH(Table4[[#This Row],[SKU]],FG,0)),1,0)))</f>
        <v>-</v>
      </c>
      <c r="BI109" s="231" t="str">
        <f>IF(INDEX(Absmin,MATCH(Table4[[#This Row],[SKU]],FG,0))="-","-",IF(Table4[[#This Row],[%Absorption]]="-","-",IF(Table4[[#This Row],[%Absorption]]&gt;INDEX(Absmax,MATCH(Table4[[#This Row],[SKU]],FG,0)),1,0)))</f>
        <v>-</v>
      </c>
      <c r="BJ109" s="231" t="str">
        <f>IF(INDEX(WGmin,MATCH(Table4[[#This Row],[SKU]],FG,0))="-","-",IF(Table4[[#This Row],[%Wet Gluten]]="-","-",IF(Table4[[#This Row],[%Wet Gluten]]&lt;INDEX(WGmin,MATCH(Table4[[#This Row],[SKU]],FG,0)),1,0)))</f>
        <v>-</v>
      </c>
      <c r="BK109" s="231" t="str">
        <f>IF(INDEX(WGmin,MATCH(Table4[[#This Row],[SKU]],FG,0))="-","-",IF(Table4[[#This Row],[%Wet Gluten]]="-","-",IF(Table4[[#This Row],[%Wet Gluten]]&gt;INDEX(WGmax,MATCH(Table4[[#This Row],[SKU]],FG,0)),1,0)))</f>
        <v>-</v>
      </c>
    </row>
    <row r="110" spans="1:63" x14ac:dyDescent="0.35">
      <c r="A110" s="243">
        <v>46023</v>
      </c>
      <c r="B110" s="244">
        <v>46028</v>
      </c>
      <c r="C110" s="244">
        <v>46372</v>
      </c>
      <c r="D110" s="244" t="s">
        <v>130</v>
      </c>
      <c r="E110" s="245">
        <v>1</v>
      </c>
      <c r="F110" s="246">
        <v>3</v>
      </c>
      <c r="G110" s="259" t="s">
        <v>119</v>
      </c>
      <c r="H110" s="247">
        <v>6.7000000000000002E-3</v>
      </c>
      <c r="I110" s="248" t="s">
        <v>165</v>
      </c>
      <c r="J110" s="248" t="s">
        <v>165</v>
      </c>
      <c r="K110" s="248" t="s">
        <v>165</v>
      </c>
      <c r="L110" s="248" t="s">
        <v>161</v>
      </c>
      <c r="M110" s="248" t="s">
        <v>161</v>
      </c>
      <c r="N110" s="249">
        <v>12.78</v>
      </c>
      <c r="O110" s="249" t="s">
        <v>163</v>
      </c>
      <c r="P110" s="249" t="s">
        <v>163</v>
      </c>
      <c r="Q110" s="249" t="s">
        <v>163</v>
      </c>
      <c r="R110" s="249" t="s">
        <v>163</v>
      </c>
      <c r="S110" s="250" t="s">
        <v>163</v>
      </c>
      <c r="T110" s="249" t="s">
        <v>163</v>
      </c>
      <c r="U110" s="249" t="s">
        <v>163</v>
      </c>
      <c r="V110" s="251" t="s">
        <v>163</v>
      </c>
      <c r="W110" s="252" t="s">
        <v>165</v>
      </c>
      <c r="X110" s="252" t="s">
        <v>165</v>
      </c>
      <c r="Y110" s="248" t="s">
        <v>163</v>
      </c>
      <c r="Z110" s="231">
        <f>IF(Table4[[#This Row],[ Bran Content]]="-","-",IF(H110&gt;0.02,0,2))</f>
        <v>2</v>
      </c>
      <c r="AA110" s="231">
        <f>IF(Table4[[#This Row],[Sieve Test]]="-","-",IF(Table4[[#This Row],[Sieve Test]]="P",1,0))</f>
        <v>1</v>
      </c>
      <c r="AB110" s="231">
        <f>IF(Table4[[#This Row],[Odor]]="-","-",IF(Table4[[#This Row],[Odor]]="P",2,0))</f>
        <v>2</v>
      </c>
      <c r="AC110" s="231">
        <f>IF(INDEX(MCmin,MATCH(Table4[[#This Row],[SKU]],FG,0))="-","-",IF(Table4[[#This Row],[%MC]]="-","-",IF(Table4[[#This Row],[%MC]]&lt;INDEX(MCmin,MATCH(Table4[[#This Row],[SKU]],FG,0)),0,IF(Table4[[#This Row],[%MC]]&gt;INDEX(MCmax,MATCH(Table4[[#This Row],[SKU]],FG,0)),0,1))))</f>
        <v>1</v>
      </c>
      <c r="AD110" s="231" t="str">
        <f>IF(INDEX(Protmin,MATCH(Table4[[#This Row],[SKU]],FG,0))="-","-",IF(Table4[[#This Row],[%Protein]]="-","-",IF(Table4[[#This Row],[%Protein]]&lt;INDEX(Protmin,MATCH(Table4[[#This Row],[SKU]],FG,0)),0,IF(Table4[[#This Row],[%Protein]]&gt;INDEX(Protmax,MATCH(Table4[[#This Row],[SKU]],FG,0)),0,1))))</f>
        <v>-</v>
      </c>
      <c r="AE110" s="231" t="str">
        <f>IF(INDEX(Ashmin,MATCH(Table4[[#This Row],[SKU]],FG,0))="-","-",IF(Table4[[#This Row],[%Ash]]="-","-",IF(Table4[[#This Row],[%Ash]]&lt;INDEX(Ashmin,MATCH(Table4[[#This Row],[SKU]],FG,0)),0,IF(Table4[[#This Row],[%Ash]]&gt;INDEX(Ashmax,MATCH(Table4[[#This Row],[SKU]],FG,0)),0,2))))</f>
        <v>-</v>
      </c>
      <c r="AF110" s="231" t="str">
        <f>IF(INDEX(Absmin,MATCH(Table4[[#This Row],[SKU]],FG,0))="-","-",IF(Table4[[#This Row],[%Absorption]]="-","-",IF(Table4[[#This Row],[%Absorption]]&lt;INDEX(Absmin,MATCH(Table4[[#This Row],[SKU]],FG,0)),0,IF(Table4[[#This Row],[%Absorption]]&gt;INDEX(Absmax,MATCH(Table4[[#This Row],[SKU]],FG,0)),0,2))))</f>
        <v>-</v>
      </c>
      <c r="AG110" s="231" t="str">
        <f>IF(INDEX(Extmin,MATCH(Table4[[#This Row],[SKU]],FG,0))="-","-",IF(Table4[[#This Row],[%Extensibility]]="-","-",IF(Table4[[#This Row],[%Extensibility]]&lt;INDEX(Extmin,MATCH(Table4[[#This Row],[SKU]],FG,0)),0,IF(Table4[[#This Row],[%Extensibility]]&gt;INDEX(Extmax,MATCH(Table4[[#This Row],[SKU]],FG,0)),0,1))))</f>
        <v>-</v>
      </c>
      <c r="AH110" s="231" t="str">
        <f>IF(INDEX(Resmin,MATCH(Table4[[#This Row],[SKU]],FG,0))="-","-",IF(Table4[[#This Row],[Resistance, max]]="-","-",IF(Table4[[#This Row],[Resistance, max]]&lt;INDEX(Resmin,MATCH(Table4[[#This Row],[SKU]],FG,0)),0,IF(Table4[[#This Row],[Resistance, max]]&gt;INDEX(Resmax,MATCH(Table4[[#This Row],[SKU]],FG,0)),0,1))))</f>
        <v>-</v>
      </c>
      <c r="AI110" s="231" t="str">
        <f>IF(INDEX(WGmin,MATCH(Table4[[#This Row],[SKU]],FG,0))="-","-",IF(Table4[[#This Row],[%Wet Gluten]]="-","-",IF(Table4[[#This Row],[%Wet Gluten]]&lt;INDEX(WGmin,MATCH(Table4[[#This Row],[SKU]],FG,0)),0,IF(Table4[[#This Row],[%Wet Gluten]]&gt;INDEX(WGmax,MATCH(Table4[[#This Row],[SKU]],FG,0)),0,2))))</f>
        <v>-</v>
      </c>
      <c r="AJ110" s="232" t="str">
        <f>IF(Table4[[#This Row],[FN, s]]="-","-",IF(R110&lt;301,1,0))</f>
        <v>-</v>
      </c>
      <c r="AK110" s="233">
        <f>SUM(Table4[[#This Row],[ QI Bran Content]:[QI FN]])</f>
        <v>6</v>
      </c>
      <c r="AL110" s="232">
        <f t="shared" si="7"/>
        <v>6</v>
      </c>
      <c r="AM110" s="232" t="str">
        <f>IF(INDEX(WGmin,MATCH(Table4[[#This Row],[SKU]],FG,0))="-","-",IF(Table4[[#This Row],[Gross Weight]]="-","-",IF(Table4[[#This Row],[Gross Weight]]&lt;INDEX(GWmin,MATCH(Table4[[#This Row],[SKU]],FG,0)),0,IF(Table4[[#This Row],[Gross Weight]]&gt;INDEX(GWmax,MATCH(Table4[[#This Row],[SKU]],FG,0)),0,1))))</f>
        <v>-</v>
      </c>
      <c r="AN110" s="232">
        <f>IF(Table4[[#This Row],[Sealing Integrity]]="-","-",IF(Table4[[#This Row],[Sealing Integrity]]="P",1,0))</f>
        <v>1</v>
      </c>
      <c r="AO110" s="232">
        <f>IF(Table4[[#This Row],[Coding]]="-","-",IF(Table4[[#This Row],[Coding]]="P",1,0))</f>
        <v>1</v>
      </c>
      <c r="AP110" s="233">
        <f>SUM(Table4[[#This Row],[QI Weight]:[QI Code]])</f>
        <v>2</v>
      </c>
      <c r="AQ110" s="233">
        <f>COUNT(Table4[[#This Row],[QI Weight]:[QI Code]])</f>
        <v>2</v>
      </c>
      <c r="AR110" s="261">
        <f>Table4[[#This Row],[TA]]+Table4[[#This Row],[TA2]]</f>
        <v>8</v>
      </c>
      <c r="AS110" s="261">
        <f>Table4[[#This Row],[TP]]+Table4[[#This Row],[TP2]]</f>
        <v>8</v>
      </c>
      <c r="BD110" s="265">
        <f>IF(INDEX(MCmin,MATCH(Table4[[#This Row],[SKU]],FG,0))="-","-",IF(Table4[[#This Row],[%MC]]="-","-",IF(Table4[[#This Row],[%MC]]&lt;INDEX(MCmin,MATCH(Table4[[#This Row],[SKU]],FG,0)),1,0)))</f>
        <v>0</v>
      </c>
      <c r="BE110" s="265">
        <f>IF(INDEX(MCmin,MATCH(Table4[[#This Row],[SKU]],FG,0))="-","-",IF(Table4[[#This Row],[%MC]]="-","-",IF(Table4[[#This Row],[%MC]]&gt;INDEX(MCmax,MATCH(Table4[[#This Row],[SKU]],FG,0)),1,0)))</f>
        <v>0</v>
      </c>
      <c r="BF110" s="231" t="str">
        <f>IF(INDEX(Ashmin,MATCH(Table4[[#This Row],[SKU]],FG,0))="-","-",IF(Table4[[#This Row],[%Ash]]="-","-",IF(Table4[[#This Row],[%Ash]]&lt;INDEX(Ashmin,MATCH(Table4[[#This Row],[SKU]],FG,0)),1,0)))</f>
        <v>-</v>
      </c>
      <c r="BG110" s="231" t="str">
        <f>IF(INDEX(Ashmin,MATCH(Table4[[#This Row],[SKU]],FG,0))="-","-",IF(Table4[[#This Row],[%Ash]]="-","-",IF(Table4[[#This Row],[%Ash]]&gt;INDEX(Ashmax,MATCH(Table4[[#This Row],[SKU]],FG,0)),1,0)))</f>
        <v>-</v>
      </c>
      <c r="BH110" s="231" t="str">
        <f>IF(INDEX(Absmin,MATCH(Table4[[#This Row],[SKU]],FG,0))="-","-",IF(Table4[[#This Row],[%Absorption]]="-","-",IF(Table4[[#This Row],[%Absorption]]&lt;INDEX(Absmin,MATCH(Table4[[#This Row],[SKU]],FG,0)),1,0)))</f>
        <v>-</v>
      </c>
      <c r="BI110" s="231" t="str">
        <f>IF(INDEX(Absmin,MATCH(Table4[[#This Row],[SKU]],FG,0))="-","-",IF(Table4[[#This Row],[%Absorption]]="-","-",IF(Table4[[#This Row],[%Absorption]]&gt;INDEX(Absmax,MATCH(Table4[[#This Row],[SKU]],FG,0)),1,0)))</f>
        <v>-</v>
      </c>
      <c r="BJ110" s="231" t="str">
        <f>IF(INDEX(WGmin,MATCH(Table4[[#This Row],[SKU]],FG,0))="-","-",IF(Table4[[#This Row],[%Wet Gluten]]="-","-",IF(Table4[[#This Row],[%Wet Gluten]]&lt;INDEX(WGmin,MATCH(Table4[[#This Row],[SKU]],FG,0)),1,0)))</f>
        <v>-</v>
      </c>
      <c r="BK110" s="231" t="str">
        <f>IF(INDEX(WGmin,MATCH(Table4[[#This Row],[SKU]],FG,0))="-","-",IF(Table4[[#This Row],[%Wet Gluten]]="-","-",IF(Table4[[#This Row],[%Wet Gluten]]&gt;INDEX(WGmax,MATCH(Table4[[#This Row],[SKU]],FG,0)),1,0)))</f>
        <v>-</v>
      </c>
    </row>
    <row r="111" spans="1:63" x14ac:dyDescent="0.35">
      <c r="A111" s="243">
        <v>46023</v>
      </c>
      <c r="B111" s="244">
        <v>46028</v>
      </c>
      <c r="C111" s="244">
        <v>0</v>
      </c>
      <c r="D111" s="244" t="s">
        <v>128</v>
      </c>
      <c r="E111" s="245">
        <v>0.58333333333333337</v>
      </c>
      <c r="F111" s="246" t="s">
        <v>383</v>
      </c>
      <c r="G111" s="259" t="s">
        <v>171</v>
      </c>
      <c r="H111" s="247" t="s">
        <v>163</v>
      </c>
      <c r="I111" s="248" t="s">
        <v>163</v>
      </c>
      <c r="J111" s="248" t="s">
        <v>163</v>
      </c>
      <c r="K111" s="248" t="s">
        <v>163</v>
      </c>
      <c r="L111" s="248" t="s">
        <v>163</v>
      </c>
      <c r="M111" s="248" t="s">
        <v>163</v>
      </c>
      <c r="N111" s="249">
        <v>11.12</v>
      </c>
      <c r="O111" s="249" t="s">
        <v>163</v>
      </c>
      <c r="P111" s="249">
        <v>4.62</v>
      </c>
      <c r="Q111" s="249" t="s">
        <v>163</v>
      </c>
      <c r="R111" s="249" t="s">
        <v>163</v>
      </c>
      <c r="S111" s="250" t="s">
        <v>163</v>
      </c>
      <c r="T111" s="249" t="s">
        <v>163</v>
      </c>
      <c r="U111" s="249" t="s">
        <v>163</v>
      </c>
      <c r="V111" s="251" t="s">
        <v>163</v>
      </c>
      <c r="W111" s="252" t="s">
        <v>163</v>
      </c>
      <c r="X111" s="252" t="s">
        <v>163</v>
      </c>
      <c r="Y111" s="248" t="s">
        <v>163</v>
      </c>
      <c r="Z111" s="231" t="str">
        <f>IF(Table4[[#This Row],[ Bran Content]]="-","-",IF(H111&gt;0.02,0,2))</f>
        <v>-</v>
      </c>
      <c r="AA111" s="231" t="str">
        <f>IF(Table4[[#This Row],[Sieve Test]]="-","-",IF(Table4[[#This Row],[Sieve Test]]="P",1,0))</f>
        <v>-</v>
      </c>
      <c r="AB111" s="231" t="str">
        <f>IF(Table4[[#This Row],[Odor]]="-","-",IF(Table4[[#This Row],[Odor]]="P",2,0))</f>
        <v>-</v>
      </c>
      <c r="AC111" s="231">
        <f>IF(INDEX(MCmin,MATCH(Table4[[#This Row],[SKU]],FG,0))="-","-",IF(Table4[[#This Row],[%MC]]="-","-",IF(Table4[[#This Row],[%MC]]&lt;INDEX(MCmin,MATCH(Table4[[#This Row],[SKU]],FG,0)),0,IF(Table4[[#This Row],[%MC]]&gt;INDEX(MCmax,MATCH(Table4[[#This Row],[SKU]],FG,0)),0,1))))</f>
        <v>1</v>
      </c>
      <c r="AD111" s="231" t="str">
        <f>IF(INDEX(Protmin,MATCH(Table4[[#This Row],[SKU]],FG,0))="-","-",IF(Table4[[#This Row],[%Protein]]="-","-",IF(Table4[[#This Row],[%Protein]]&lt;INDEX(Protmin,MATCH(Table4[[#This Row],[SKU]],FG,0)),0,IF(Table4[[#This Row],[%Protein]]&gt;INDEX(Protmax,MATCH(Table4[[#This Row],[SKU]],FG,0)),0,1))))</f>
        <v>-</v>
      </c>
      <c r="AE111" s="231">
        <f>IF(INDEX(Ashmin,MATCH(Table4[[#This Row],[SKU]],FG,0))="-","-",IF(Table4[[#This Row],[%Ash]]="-","-",IF(Table4[[#This Row],[%Ash]]&lt;INDEX(Ashmin,MATCH(Table4[[#This Row],[SKU]],FG,0)),0,IF(Table4[[#This Row],[%Ash]]&gt;INDEX(Ashmax,MATCH(Table4[[#This Row],[SKU]],FG,0)),0,2))))</f>
        <v>2</v>
      </c>
      <c r="AF111" s="231" t="str">
        <f>IF(INDEX(Absmin,MATCH(Table4[[#This Row],[SKU]],FG,0))="-","-",IF(Table4[[#This Row],[%Absorption]]="-","-",IF(Table4[[#This Row],[%Absorption]]&lt;INDEX(Absmin,MATCH(Table4[[#This Row],[SKU]],FG,0)),0,IF(Table4[[#This Row],[%Absorption]]&gt;INDEX(Absmax,MATCH(Table4[[#This Row],[SKU]],FG,0)),0,2))))</f>
        <v>-</v>
      </c>
      <c r="AG111" s="231" t="str">
        <f>IF(INDEX(Extmin,MATCH(Table4[[#This Row],[SKU]],FG,0))="-","-",IF(Table4[[#This Row],[%Extensibility]]="-","-",IF(Table4[[#This Row],[%Extensibility]]&lt;INDEX(Extmin,MATCH(Table4[[#This Row],[SKU]],FG,0)),0,IF(Table4[[#This Row],[%Extensibility]]&gt;INDEX(Extmax,MATCH(Table4[[#This Row],[SKU]],FG,0)),0,1))))</f>
        <v>-</v>
      </c>
      <c r="AH111" s="231" t="str">
        <f>IF(INDEX(Resmin,MATCH(Table4[[#This Row],[SKU]],FG,0))="-","-",IF(Table4[[#This Row],[Resistance, max]]="-","-",IF(Table4[[#This Row],[Resistance, max]]&lt;INDEX(Resmin,MATCH(Table4[[#This Row],[SKU]],FG,0)),0,IF(Table4[[#This Row],[Resistance, max]]&gt;INDEX(Resmax,MATCH(Table4[[#This Row],[SKU]],FG,0)),0,1))))</f>
        <v>-</v>
      </c>
      <c r="AI111" s="231" t="str">
        <f>IF(INDEX(WGmin,MATCH(Table4[[#This Row],[SKU]],FG,0))="-","-",IF(Table4[[#This Row],[%Wet Gluten]]="-","-",IF(Table4[[#This Row],[%Wet Gluten]]&lt;INDEX(WGmin,MATCH(Table4[[#This Row],[SKU]],FG,0)),0,IF(Table4[[#This Row],[%Wet Gluten]]&gt;INDEX(WGmax,MATCH(Table4[[#This Row],[SKU]],FG,0)),0,2))))</f>
        <v>-</v>
      </c>
      <c r="AJ111" s="232" t="str">
        <f>IF(Table4[[#This Row],[FN, s]]="-","-",IF(R111&lt;301,1,0))</f>
        <v>-</v>
      </c>
      <c r="AK111" s="233">
        <f>SUM(Table4[[#This Row],[ QI Bran Content]:[QI FN]])</f>
        <v>3</v>
      </c>
      <c r="AL111" s="232">
        <f t="shared" si="7"/>
        <v>3</v>
      </c>
      <c r="AM111" s="232" t="str">
        <f>IF(INDEX(WGmin,MATCH(Table4[[#This Row],[SKU]],FG,0))="-","-",IF(Table4[[#This Row],[Gross Weight]]="-","-",IF(Table4[[#This Row],[Gross Weight]]&lt;INDEX(GWmin,MATCH(Table4[[#This Row],[SKU]],FG,0)),0,IF(Table4[[#This Row],[Gross Weight]]&gt;INDEX(GWmax,MATCH(Table4[[#This Row],[SKU]],FG,0)),0,1))))</f>
        <v>-</v>
      </c>
      <c r="AN111" s="232" t="str">
        <f>IF(Table4[[#This Row],[Sealing Integrity]]="-","-",IF(Table4[[#This Row],[Sealing Integrity]]="P",1,0))</f>
        <v>-</v>
      </c>
      <c r="AO111" s="232" t="str">
        <f>IF(Table4[[#This Row],[Coding]]="-","-",IF(Table4[[#This Row],[Coding]]="P",1,0))</f>
        <v>-</v>
      </c>
      <c r="AP111" s="233">
        <f>SUM(Table4[[#This Row],[QI Weight]:[QI Code]])</f>
        <v>0</v>
      </c>
      <c r="AQ111" s="233">
        <f>COUNT(Table4[[#This Row],[QI Weight]:[QI Code]])</f>
        <v>0</v>
      </c>
      <c r="AR111" s="261">
        <f>Table4[[#This Row],[TA]]+Table4[[#This Row],[TA2]]</f>
        <v>3</v>
      </c>
      <c r="AS111" s="261">
        <f>Table4[[#This Row],[TP]]+Table4[[#This Row],[TP2]]</f>
        <v>3</v>
      </c>
      <c r="BD111" s="265">
        <f>IF(INDEX(MCmin,MATCH(Table4[[#This Row],[SKU]],FG,0))="-","-",IF(Table4[[#This Row],[%MC]]="-","-",IF(Table4[[#This Row],[%MC]]&lt;INDEX(MCmin,MATCH(Table4[[#This Row],[SKU]],FG,0)),1,0)))</f>
        <v>0</v>
      </c>
      <c r="BE111" s="265">
        <f>IF(INDEX(MCmin,MATCH(Table4[[#This Row],[SKU]],FG,0))="-","-",IF(Table4[[#This Row],[%MC]]="-","-",IF(Table4[[#This Row],[%MC]]&gt;INDEX(MCmax,MATCH(Table4[[#This Row],[SKU]],FG,0)),1,0)))</f>
        <v>0</v>
      </c>
      <c r="BF111" s="231">
        <f>IF(INDEX(Ashmin,MATCH(Table4[[#This Row],[SKU]],FG,0))="-","-",IF(Table4[[#This Row],[%Ash]]="-","-",IF(Table4[[#This Row],[%Ash]]&lt;INDEX(Ashmin,MATCH(Table4[[#This Row],[SKU]],FG,0)),1,0)))</f>
        <v>0</v>
      </c>
      <c r="BG111" s="231">
        <f>IF(INDEX(Ashmin,MATCH(Table4[[#This Row],[SKU]],FG,0))="-","-",IF(Table4[[#This Row],[%Ash]]="-","-",IF(Table4[[#This Row],[%Ash]]&gt;INDEX(Ashmax,MATCH(Table4[[#This Row],[SKU]],FG,0)),1,0)))</f>
        <v>0</v>
      </c>
      <c r="BH111" s="231" t="str">
        <f>IF(INDEX(Absmin,MATCH(Table4[[#This Row],[SKU]],FG,0))="-","-",IF(Table4[[#This Row],[%Absorption]]="-","-",IF(Table4[[#This Row],[%Absorption]]&lt;INDEX(Absmin,MATCH(Table4[[#This Row],[SKU]],FG,0)),1,0)))</f>
        <v>-</v>
      </c>
      <c r="BI111" s="231" t="str">
        <f>IF(INDEX(Absmin,MATCH(Table4[[#This Row],[SKU]],FG,0))="-","-",IF(Table4[[#This Row],[%Absorption]]="-","-",IF(Table4[[#This Row],[%Absorption]]&gt;INDEX(Absmax,MATCH(Table4[[#This Row],[SKU]],FG,0)),1,0)))</f>
        <v>-</v>
      </c>
      <c r="BJ111" s="231" t="str">
        <f>IF(INDEX(WGmin,MATCH(Table4[[#This Row],[SKU]],FG,0))="-","-",IF(Table4[[#This Row],[%Wet Gluten]]="-","-",IF(Table4[[#This Row],[%Wet Gluten]]&lt;INDEX(WGmin,MATCH(Table4[[#This Row],[SKU]],FG,0)),1,0)))</f>
        <v>-</v>
      </c>
      <c r="BK111" s="231" t="str">
        <f>IF(INDEX(WGmin,MATCH(Table4[[#This Row],[SKU]],FG,0))="-","-",IF(Table4[[#This Row],[%Wet Gluten]]="-","-",IF(Table4[[#This Row],[%Wet Gluten]]&gt;INDEX(WGmax,MATCH(Table4[[#This Row],[SKU]],FG,0)),1,0)))</f>
        <v>-</v>
      </c>
    </row>
    <row r="112" spans="1:63" x14ac:dyDescent="0.35">
      <c r="A112" s="243">
        <v>46023</v>
      </c>
      <c r="B112" s="244">
        <v>46028</v>
      </c>
      <c r="C112" s="244">
        <v>46028</v>
      </c>
      <c r="D112" s="244" t="s">
        <v>130</v>
      </c>
      <c r="E112" s="245">
        <v>1.0833333333333299</v>
      </c>
      <c r="F112" s="246">
        <v>2</v>
      </c>
      <c r="G112" s="259" t="s">
        <v>132</v>
      </c>
      <c r="H112" s="247">
        <v>3.5000000000000001E-3</v>
      </c>
      <c r="I112" s="248" t="s">
        <v>165</v>
      </c>
      <c r="J112" s="248" t="s">
        <v>165</v>
      </c>
      <c r="K112" s="248" t="s">
        <v>165</v>
      </c>
      <c r="L112" s="248" t="s">
        <v>163</v>
      </c>
      <c r="M112" s="248" t="s">
        <v>161</v>
      </c>
      <c r="N112" s="249">
        <v>11.54</v>
      </c>
      <c r="O112" s="249">
        <v>8.61</v>
      </c>
      <c r="P112" s="249">
        <v>0.49</v>
      </c>
      <c r="Q112" s="249">
        <v>57.8</v>
      </c>
      <c r="R112" s="249" t="s">
        <v>163</v>
      </c>
      <c r="S112" s="250" t="s">
        <v>163</v>
      </c>
      <c r="T112" s="249">
        <v>23.29</v>
      </c>
      <c r="U112" s="249" t="s">
        <v>163</v>
      </c>
      <c r="V112" s="251" t="s">
        <v>163</v>
      </c>
      <c r="W112" s="252" t="s">
        <v>165</v>
      </c>
      <c r="X112" s="252" t="s">
        <v>165</v>
      </c>
      <c r="Y112" s="248" t="s">
        <v>163</v>
      </c>
      <c r="Z112" s="231">
        <f>IF(Table4[[#This Row],[ Bran Content]]="-","-",IF(H112&gt;0.02,0,2))</f>
        <v>2</v>
      </c>
      <c r="AA112" s="231">
        <f>IF(Table4[[#This Row],[Sieve Test]]="-","-",IF(Table4[[#This Row],[Sieve Test]]="P",1,0))</f>
        <v>1</v>
      </c>
      <c r="AB112" s="231">
        <f>IF(Table4[[#This Row],[Odor]]="-","-",IF(Table4[[#This Row],[Odor]]="P",2,0))</f>
        <v>2</v>
      </c>
      <c r="AC112" s="231">
        <f>IF(INDEX(MCmin,MATCH(Table4[[#This Row],[SKU]],FG,0))="-","-",IF(Table4[[#This Row],[%MC]]="-","-",IF(Table4[[#This Row],[%MC]]&lt;INDEX(MCmin,MATCH(Table4[[#This Row],[SKU]],FG,0)),0,IF(Table4[[#This Row],[%MC]]&gt;INDEX(MCmax,MATCH(Table4[[#This Row],[SKU]],FG,0)),0,1))))</f>
        <v>1</v>
      </c>
      <c r="AD112" s="231">
        <f>IF(INDEX(Protmin,MATCH(Table4[[#This Row],[SKU]],FG,0))="-","-",IF(Table4[[#This Row],[%Protein]]="-","-",IF(Table4[[#This Row],[%Protein]]&lt;INDEX(Protmin,MATCH(Table4[[#This Row],[SKU]],FG,0)),0,IF(Table4[[#This Row],[%Protein]]&gt;INDEX(Protmax,MATCH(Table4[[#This Row],[SKU]],FG,0)),0,1))))</f>
        <v>1</v>
      </c>
      <c r="AE112" s="231">
        <f>IF(INDEX(Ashmin,MATCH(Table4[[#This Row],[SKU]],FG,0))="-","-",IF(Table4[[#This Row],[%Ash]]="-","-",IF(Table4[[#This Row],[%Ash]]&lt;INDEX(Ashmin,MATCH(Table4[[#This Row],[SKU]],FG,0)),0,IF(Table4[[#This Row],[%Ash]]&gt;INDEX(Ashmax,MATCH(Table4[[#This Row],[SKU]],FG,0)),0,2))))</f>
        <v>2</v>
      </c>
      <c r="AF112" s="231">
        <f>IF(INDEX(Absmin,MATCH(Table4[[#This Row],[SKU]],FG,0))="-","-",IF(Table4[[#This Row],[%Absorption]]="-","-",IF(Table4[[#This Row],[%Absorption]]&lt;INDEX(Absmin,MATCH(Table4[[#This Row],[SKU]],FG,0)),0,IF(Table4[[#This Row],[%Absorption]]&gt;INDEX(Absmax,MATCH(Table4[[#This Row],[SKU]],FG,0)),0,2))))</f>
        <v>2</v>
      </c>
      <c r="AG112" s="231" t="str">
        <f>IF(INDEX(Extmin,MATCH(Table4[[#This Row],[SKU]],FG,0))="-","-",IF(Table4[[#This Row],[%Extensibility]]="-","-",IF(Table4[[#This Row],[%Extensibility]]&lt;INDEX(Extmin,MATCH(Table4[[#This Row],[SKU]],FG,0)),0,IF(Table4[[#This Row],[%Extensibility]]&gt;INDEX(Extmax,MATCH(Table4[[#This Row],[SKU]],FG,0)),0,1))))</f>
        <v>-</v>
      </c>
      <c r="AH112" s="231" t="str">
        <f>IF(INDEX(Resmin,MATCH(Table4[[#This Row],[SKU]],FG,0))="-","-",IF(Table4[[#This Row],[Resistance, max]]="-","-",IF(Table4[[#This Row],[Resistance, max]]&lt;INDEX(Resmin,MATCH(Table4[[#This Row],[SKU]],FG,0)),0,IF(Table4[[#This Row],[Resistance, max]]&gt;INDEX(Resmax,MATCH(Table4[[#This Row],[SKU]],FG,0)),0,1))))</f>
        <v>-</v>
      </c>
      <c r="AI112" s="231">
        <f>IF(INDEX(WGmin,MATCH(Table4[[#This Row],[SKU]],FG,0))="-","-",IF(Table4[[#This Row],[%Wet Gluten]]="-","-",IF(Table4[[#This Row],[%Wet Gluten]]&lt;INDEX(WGmin,MATCH(Table4[[#This Row],[SKU]],FG,0)),0,IF(Table4[[#This Row],[%Wet Gluten]]&gt;INDEX(WGmax,MATCH(Table4[[#This Row],[SKU]],FG,0)),0,2))))</f>
        <v>2</v>
      </c>
      <c r="AJ112" s="232" t="str">
        <f>IF(Table4[[#This Row],[FN, s]]="-","-",IF(R112&lt;301,1,0))</f>
        <v>-</v>
      </c>
      <c r="AK112" s="233">
        <f>SUM(Table4[[#This Row],[ QI Bran Content]:[QI FN]])</f>
        <v>13</v>
      </c>
      <c r="AL112" s="232">
        <f t="shared" si="7"/>
        <v>13</v>
      </c>
      <c r="AM112" s="232" t="str">
        <f>IF(INDEX(WGmin,MATCH(Table4[[#This Row],[SKU]],FG,0))="-","-",IF(Table4[[#This Row],[Gross Weight]]="-","-",IF(Table4[[#This Row],[Gross Weight]]&lt;INDEX(GWmin,MATCH(Table4[[#This Row],[SKU]],FG,0)),0,IF(Table4[[#This Row],[Gross Weight]]&gt;INDEX(GWmax,MATCH(Table4[[#This Row],[SKU]],FG,0)),0,1))))</f>
        <v>-</v>
      </c>
      <c r="AN112" s="232">
        <f>IF(Table4[[#This Row],[Sealing Integrity]]="-","-",IF(Table4[[#This Row],[Sealing Integrity]]="P",1,0))</f>
        <v>1</v>
      </c>
      <c r="AO112" s="232">
        <f>IF(Table4[[#This Row],[Coding]]="-","-",IF(Table4[[#This Row],[Coding]]="P",1,0))</f>
        <v>1</v>
      </c>
      <c r="AP112" s="233">
        <f>SUM(Table4[[#This Row],[QI Weight]:[QI Code]])</f>
        <v>2</v>
      </c>
      <c r="AQ112" s="233">
        <f>COUNT(Table4[[#This Row],[QI Weight]:[QI Code]])</f>
        <v>2</v>
      </c>
      <c r="AR112" s="261">
        <f>Table4[[#This Row],[TA]]+Table4[[#This Row],[TA2]]</f>
        <v>15</v>
      </c>
      <c r="AS112" s="261">
        <f>Table4[[#This Row],[TP]]+Table4[[#This Row],[TP2]]</f>
        <v>15</v>
      </c>
      <c r="BD112" s="265">
        <f>IF(INDEX(MCmin,MATCH(Table4[[#This Row],[SKU]],FG,0))="-","-",IF(Table4[[#This Row],[%MC]]="-","-",IF(Table4[[#This Row],[%MC]]&lt;INDEX(MCmin,MATCH(Table4[[#This Row],[SKU]],FG,0)),1,0)))</f>
        <v>0</v>
      </c>
      <c r="BE112" s="265">
        <f>IF(INDEX(MCmin,MATCH(Table4[[#This Row],[SKU]],FG,0))="-","-",IF(Table4[[#This Row],[%MC]]="-","-",IF(Table4[[#This Row],[%MC]]&gt;INDEX(MCmax,MATCH(Table4[[#This Row],[SKU]],FG,0)),1,0)))</f>
        <v>0</v>
      </c>
      <c r="BF112" s="231">
        <f>IF(INDEX(Ashmin,MATCH(Table4[[#This Row],[SKU]],FG,0))="-","-",IF(Table4[[#This Row],[%Ash]]="-","-",IF(Table4[[#This Row],[%Ash]]&lt;INDEX(Ashmin,MATCH(Table4[[#This Row],[SKU]],FG,0)),1,0)))</f>
        <v>0</v>
      </c>
      <c r="BG112" s="231">
        <f>IF(INDEX(Ashmin,MATCH(Table4[[#This Row],[SKU]],FG,0))="-","-",IF(Table4[[#This Row],[%Ash]]="-","-",IF(Table4[[#This Row],[%Ash]]&gt;INDEX(Ashmax,MATCH(Table4[[#This Row],[SKU]],FG,0)),1,0)))</f>
        <v>0</v>
      </c>
      <c r="BH112" s="231">
        <f>IF(INDEX(Absmin,MATCH(Table4[[#This Row],[SKU]],FG,0))="-","-",IF(Table4[[#This Row],[%Absorption]]="-","-",IF(Table4[[#This Row],[%Absorption]]&lt;INDEX(Absmin,MATCH(Table4[[#This Row],[SKU]],FG,0)),1,0)))</f>
        <v>0</v>
      </c>
      <c r="BI112" s="231">
        <f>IF(INDEX(Absmin,MATCH(Table4[[#This Row],[SKU]],FG,0))="-","-",IF(Table4[[#This Row],[%Absorption]]="-","-",IF(Table4[[#This Row],[%Absorption]]&gt;INDEX(Absmax,MATCH(Table4[[#This Row],[SKU]],FG,0)),1,0)))</f>
        <v>0</v>
      </c>
      <c r="BJ112" s="231">
        <f>IF(INDEX(WGmin,MATCH(Table4[[#This Row],[SKU]],FG,0))="-","-",IF(Table4[[#This Row],[%Wet Gluten]]="-","-",IF(Table4[[#This Row],[%Wet Gluten]]&lt;INDEX(WGmin,MATCH(Table4[[#This Row],[SKU]],FG,0)),1,0)))</f>
        <v>0</v>
      </c>
      <c r="BK112" s="231">
        <f>IF(INDEX(WGmin,MATCH(Table4[[#This Row],[SKU]],FG,0))="-","-",IF(Table4[[#This Row],[%Wet Gluten]]="-","-",IF(Table4[[#This Row],[%Wet Gluten]]&gt;INDEX(WGmax,MATCH(Table4[[#This Row],[SKU]],FG,0)),1,0)))</f>
        <v>0</v>
      </c>
    </row>
    <row r="113" spans="1:63" x14ac:dyDescent="0.35">
      <c r="A113" s="243">
        <v>46023</v>
      </c>
      <c r="B113" s="244">
        <v>46028</v>
      </c>
      <c r="C113" s="244">
        <v>46028</v>
      </c>
      <c r="D113" s="244" t="s">
        <v>130</v>
      </c>
      <c r="E113" s="245">
        <v>1.125</v>
      </c>
      <c r="F113" s="246">
        <v>2</v>
      </c>
      <c r="G113" s="259" t="s">
        <v>132</v>
      </c>
      <c r="H113" s="247">
        <v>3.3E-3</v>
      </c>
      <c r="I113" s="248" t="s">
        <v>165</v>
      </c>
      <c r="J113" s="248" t="s">
        <v>165</v>
      </c>
      <c r="K113" s="248" t="s">
        <v>165</v>
      </c>
      <c r="L113" s="248" t="s">
        <v>163</v>
      </c>
      <c r="M113" s="248" t="s">
        <v>161</v>
      </c>
      <c r="N113" s="249">
        <v>11.07</v>
      </c>
      <c r="O113" s="249" t="s">
        <v>163</v>
      </c>
      <c r="P113" s="249" t="s">
        <v>163</v>
      </c>
      <c r="Q113" s="249" t="s">
        <v>163</v>
      </c>
      <c r="R113" s="249" t="s">
        <v>163</v>
      </c>
      <c r="S113" s="250" t="s">
        <v>163</v>
      </c>
      <c r="T113" s="249" t="s">
        <v>163</v>
      </c>
      <c r="U113" s="249" t="s">
        <v>163</v>
      </c>
      <c r="V113" s="251" t="s">
        <v>163</v>
      </c>
      <c r="W113" s="252" t="s">
        <v>165</v>
      </c>
      <c r="X113" s="252" t="s">
        <v>165</v>
      </c>
      <c r="Y113" s="248" t="s">
        <v>163</v>
      </c>
      <c r="Z113" s="231">
        <f>IF(Table4[[#This Row],[ Bran Content]]="-","-",IF(H113&gt;0.02,0,2))</f>
        <v>2</v>
      </c>
      <c r="AA113" s="231">
        <f>IF(Table4[[#This Row],[Sieve Test]]="-","-",IF(Table4[[#This Row],[Sieve Test]]="P",1,0))</f>
        <v>1</v>
      </c>
      <c r="AB113" s="231">
        <f>IF(Table4[[#This Row],[Odor]]="-","-",IF(Table4[[#This Row],[Odor]]="P",2,0))</f>
        <v>2</v>
      </c>
      <c r="AC113" s="231">
        <f>IF(INDEX(MCmin,MATCH(Table4[[#This Row],[SKU]],FG,0))="-","-",IF(Table4[[#This Row],[%MC]]="-","-",IF(Table4[[#This Row],[%MC]]&lt;INDEX(MCmin,MATCH(Table4[[#This Row],[SKU]],FG,0)),0,IF(Table4[[#This Row],[%MC]]&gt;INDEX(MCmax,MATCH(Table4[[#This Row],[SKU]],FG,0)),0,1))))</f>
        <v>1</v>
      </c>
      <c r="AD113" s="231" t="str">
        <f>IF(INDEX(Protmin,MATCH(Table4[[#This Row],[SKU]],FG,0))="-","-",IF(Table4[[#This Row],[%Protein]]="-","-",IF(Table4[[#This Row],[%Protein]]&lt;INDEX(Protmin,MATCH(Table4[[#This Row],[SKU]],FG,0)),0,IF(Table4[[#This Row],[%Protein]]&gt;INDEX(Protmax,MATCH(Table4[[#This Row],[SKU]],FG,0)),0,1))))</f>
        <v>-</v>
      </c>
      <c r="AE113" s="231" t="str">
        <f>IF(INDEX(Ashmin,MATCH(Table4[[#This Row],[SKU]],FG,0))="-","-",IF(Table4[[#This Row],[%Ash]]="-","-",IF(Table4[[#This Row],[%Ash]]&lt;INDEX(Ashmin,MATCH(Table4[[#This Row],[SKU]],FG,0)),0,IF(Table4[[#This Row],[%Ash]]&gt;INDEX(Ashmax,MATCH(Table4[[#This Row],[SKU]],FG,0)),0,2))))</f>
        <v>-</v>
      </c>
      <c r="AF113" s="231" t="str">
        <f>IF(INDEX(Absmin,MATCH(Table4[[#This Row],[SKU]],FG,0))="-","-",IF(Table4[[#This Row],[%Absorption]]="-","-",IF(Table4[[#This Row],[%Absorption]]&lt;INDEX(Absmin,MATCH(Table4[[#This Row],[SKU]],FG,0)),0,IF(Table4[[#This Row],[%Absorption]]&gt;INDEX(Absmax,MATCH(Table4[[#This Row],[SKU]],FG,0)),0,2))))</f>
        <v>-</v>
      </c>
      <c r="AG113" s="231" t="str">
        <f>IF(INDEX(Extmin,MATCH(Table4[[#This Row],[SKU]],FG,0))="-","-",IF(Table4[[#This Row],[%Extensibility]]="-","-",IF(Table4[[#This Row],[%Extensibility]]&lt;INDEX(Extmin,MATCH(Table4[[#This Row],[SKU]],FG,0)),0,IF(Table4[[#This Row],[%Extensibility]]&gt;INDEX(Extmax,MATCH(Table4[[#This Row],[SKU]],FG,0)),0,1))))</f>
        <v>-</v>
      </c>
      <c r="AH113" s="231" t="str">
        <f>IF(INDEX(Resmin,MATCH(Table4[[#This Row],[SKU]],FG,0))="-","-",IF(Table4[[#This Row],[Resistance, max]]="-","-",IF(Table4[[#This Row],[Resistance, max]]&lt;INDEX(Resmin,MATCH(Table4[[#This Row],[SKU]],FG,0)),0,IF(Table4[[#This Row],[Resistance, max]]&gt;INDEX(Resmax,MATCH(Table4[[#This Row],[SKU]],FG,0)),0,1))))</f>
        <v>-</v>
      </c>
      <c r="AI113" s="231" t="str">
        <f>IF(INDEX(WGmin,MATCH(Table4[[#This Row],[SKU]],FG,0))="-","-",IF(Table4[[#This Row],[%Wet Gluten]]="-","-",IF(Table4[[#This Row],[%Wet Gluten]]&lt;INDEX(WGmin,MATCH(Table4[[#This Row],[SKU]],FG,0)),0,IF(Table4[[#This Row],[%Wet Gluten]]&gt;INDEX(WGmax,MATCH(Table4[[#This Row],[SKU]],FG,0)),0,2))))</f>
        <v>-</v>
      </c>
      <c r="AJ113" s="232" t="str">
        <f>IF(Table4[[#This Row],[FN, s]]="-","-",IF(R113&lt;301,1,0))</f>
        <v>-</v>
      </c>
      <c r="AK113" s="233">
        <f>SUM(Table4[[#This Row],[ QI Bran Content]:[QI FN]])</f>
        <v>6</v>
      </c>
      <c r="AL113" s="232">
        <f t="shared" si="7"/>
        <v>6</v>
      </c>
      <c r="AM113" s="232" t="str">
        <f>IF(INDEX(WGmin,MATCH(Table4[[#This Row],[SKU]],FG,0))="-","-",IF(Table4[[#This Row],[Gross Weight]]="-","-",IF(Table4[[#This Row],[Gross Weight]]&lt;INDEX(GWmin,MATCH(Table4[[#This Row],[SKU]],FG,0)),0,IF(Table4[[#This Row],[Gross Weight]]&gt;INDEX(GWmax,MATCH(Table4[[#This Row],[SKU]],FG,0)),0,1))))</f>
        <v>-</v>
      </c>
      <c r="AN113" s="232">
        <f>IF(Table4[[#This Row],[Sealing Integrity]]="-","-",IF(Table4[[#This Row],[Sealing Integrity]]="P",1,0))</f>
        <v>1</v>
      </c>
      <c r="AO113" s="232">
        <f>IF(Table4[[#This Row],[Coding]]="-","-",IF(Table4[[#This Row],[Coding]]="P",1,0))</f>
        <v>1</v>
      </c>
      <c r="AP113" s="233">
        <f>SUM(Table4[[#This Row],[QI Weight]:[QI Code]])</f>
        <v>2</v>
      </c>
      <c r="AQ113" s="233">
        <f>COUNT(Table4[[#This Row],[QI Weight]:[QI Code]])</f>
        <v>2</v>
      </c>
      <c r="AR113" s="261">
        <f>Table4[[#This Row],[TA]]+Table4[[#This Row],[TA2]]</f>
        <v>8</v>
      </c>
      <c r="AS113" s="261">
        <f>Table4[[#This Row],[TP]]+Table4[[#This Row],[TP2]]</f>
        <v>8</v>
      </c>
      <c r="BD113" s="265">
        <f>IF(INDEX(MCmin,MATCH(Table4[[#This Row],[SKU]],FG,0))="-","-",IF(Table4[[#This Row],[%MC]]="-","-",IF(Table4[[#This Row],[%MC]]&lt;INDEX(MCmin,MATCH(Table4[[#This Row],[SKU]],FG,0)),1,0)))</f>
        <v>0</v>
      </c>
      <c r="BE113" s="265">
        <f>IF(INDEX(MCmin,MATCH(Table4[[#This Row],[SKU]],FG,0))="-","-",IF(Table4[[#This Row],[%MC]]="-","-",IF(Table4[[#This Row],[%MC]]&gt;INDEX(MCmax,MATCH(Table4[[#This Row],[SKU]],FG,0)),1,0)))</f>
        <v>0</v>
      </c>
      <c r="BF113" s="231" t="str">
        <f>IF(INDEX(Ashmin,MATCH(Table4[[#This Row],[SKU]],FG,0))="-","-",IF(Table4[[#This Row],[%Ash]]="-","-",IF(Table4[[#This Row],[%Ash]]&lt;INDEX(Ashmin,MATCH(Table4[[#This Row],[SKU]],FG,0)),1,0)))</f>
        <v>-</v>
      </c>
      <c r="BG113" s="231" t="str">
        <f>IF(INDEX(Ashmin,MATCH(Table4[[#This Row],[SKU]],FG,0))="-","-",IF(Table4[[#This Row],[%Ash]]="-","-",IF(Table4[[#This Row],[%Ash]]&gt;INDEX(Ashmax,MATCH(Table4[[#This Row],[SKU]],FG,0)),1,0)))</f>
        <v>-</v>
      </c>
      <c r="BH113" s="231" t="str">
        <f>IF(INDEX(Absmin,MATCH(Table4[[#This Row],[SKU]],FG,0))="-","-",IF(Table4[[#This Row],[%Absorption]]="-","-",IF(Table4[[#This Row],[%Absorption]]&lt;INDEX(Absmin,MATCH(Table4[[#This Row],[SKU]],FG,0)),1,0)))</f>
        <v>-</v>
      </c>
      <c r="BI113" s="231" t="str">
        <f>IF(INDEX(Absmin,MATCH(Table4[[#This Row],[SKU]],FG,0))="-","-",IF(Table4[[#This Row],[%Absorption]]="-","-",IF(Table4[[#This Row],[%Absorption]]&gt;INDEX(Absmax,MATCH(Table4[[#This Row],[SKU]],FG,0)),1,0)))</f>
        <v>-</v>
      </c>
      <c r="BJ113" s="231" t="str">
        <f>IF(INDEX(WGmin,MATCH(Table4[[#This Row],[SKU]],FG,0))="-","-",IF(Table4[[#This Row],[%Wet Gluten]]="-","-",IF(Table4[[#This Row],[%Wet Gluten]]&lt;INDEX(WGmin,MATCH(Table4[[#This Row],[SKU]],FG,0)),1,0)))</f>
        <v>-</v>
      </c>
      <c r="BK113" s="231" t="str">
        <f>IF(INDEX(WGmin,MATCH(Table4[[#This Row],[SKU]],FG,0))="-","-",IF(Table4[[#This Row],[%Wet Gluten]]="-","-",IF(Table4[[#This Row],[%Wet Gluten]]&gt;INDEX(WGmax,MATCH(Table4[[#This Row],[SKU]],FG,0)),1,0)))</f>
        <v>-</v>
      </c>
    </row>
    <row r="114" spans="1:63" x14ac:dyDescent="0.35">
      <c r="A114" s="243">
        <v>46023</v>
      </c>
      <c r="B114" s="244">
        <v>46028</v>
      </c>
      <c r="C114" s="244">
        <v>46028</v>
      </c>
      <c r="D114" s="244" t="s">
        <v>130</v>
      </c>
      <c r="E114" s="245">
        <v>1.1666666666666701</v>
      </c>
      <c r="F114" s="246">
        <v>2</v>
      </c>
      <c r="G114" s="259" t="s">
        <v>132</v>
      </c>
      <c r="H114" s="247">
        <v>4.1999999999999997E-3</v>
      </c>
      <c r="I114" s="248" t="s">
        <v>165</v>
      </c>
      <c r="J114" s="248" t="s">
        <v>165</v>
      </c>
      <c r="K114" s="248" t="s">
        <v>165</v>
      </c>
      <c r="L114" s="248" t="s">
        <v>163</v>
      </c>
      <c r="M114" s="248" t="s">
        <v>161</v>
      </c>
      <c r="N114" s="249">
        <v>11.09</v>
      </c>
      <c r="O114" s="249" t="s">
        <v>163</v>
      </c>
      <c r="P114" s="249" t="s">
        <v>163</v>
      </c>
      <c r="Q114" s="249" t="s">
        <v>163</v>
      </c>
      <c r="R114" s="249" t="s">
        <v>163</v>
      </c>
      <c r="S114" s="250" t="s">
        <v>163</v>
      </c>
      <c r="T114" s="249" t="s">
        <v>163</v>
      </c>
      <c r="U114" s="249" t="s">
        <v>163</v>
      </c>
      <c r="V114" s="251" t="s">
        <v>163</v>
      </c>
      <c r="W114" s="252" t="s">
        <v>165</v>
      </c>
      <c r="X114" s="252" t="s">
        <v>165</v>
      </c>
      <c r="Y114" s="248" t="s">
        <v>163</v>
      </c>
      <c r="Z114" s="231">
        <f>IF(Table4[[#This Row],[ Bran Content]]="-","-",IF(H114&gt;0.02,0,2))</f>
        <v>2</v>
      </c>
      <c r="AA114" s="231">
        <f>IF(Table4[[#This Row],[Sieve Test]]="-","-",IF(Table4[[#This Row],[Sieve Test]]="P",1,0))</f>
        <v>1</v>
      </c>
      <c r="AB114" s="231">
        <f>IF(Table4[[#This Row],[Odor]]="-","-",IF(Table4[[#This Row],[Odor]]="P",2,0))</f>
        <v>2</v>
      </c>
      <c r="AC114" s="231">
        <f>IF(INDEX(MCmin,MATCH(Table4[[#This Row],[SKU]],FG,0))="-","-",IF(Table4[[#This Row],[%MC]]="-","-",IF(Table4[[#This Row],[%MC]]&lt;INDEX(MCmin,MATCH(Table4[[#This Row],[SKU]],FG,0)),0,IF(Table4[[#This Row],[%MC]]&gt;INDEX(MCmax,MATCH(Table4[[#This Row],[SKU]],FG,0)),0,1))))</f>
        <v>1</v>
      </c>
      <c r="AD114" s="231" t="str">
        <f>IF(INDEX(Protmin,MATCH(Table4[[#This Row],[SKU]],FG,0))="-","-",IF(Table4[[#This Row],[%Protein]]="-","-",IF(Table4[[#This Row],[%Protein]]&lt;INDEX(Protmin,MATCH(Table4[[#This Row],[SKU]],FG,0)),0,IF(Table4[[#This Row],[%Protein]]&gt;INDEX(Protmax,MATCH(Table4[[#This Row],[SKU]],FG,0)),0,1))))</f>
        <v>-</v>
      </c>
      <c r="AE114" s="231" t="str">
        <f>IF(INDEX(Ashmin,MATCH(Table4[[#This Row],[SKU]],FG,0))="-","-",IF(Table4[[#This Row],[%Ash]]="-","-",IF(Table4[[#This Row],[%Ash]]&lt;INDEX(Ashmin,MATCH(Table4[[#This Row],[SKU]],FG,0)),0,IF(Table4[[#This Row],[%Ash]]&gt;INDEX(Ashmax,MATCH(Table4[[#This Row],[SKU]],FG,0)),0,2))))</f>
        <v>-</v>
      </c>
      <c r="AF114" s="231" t="str">
        <f>IF(INDEX(Absmin,MATCH(Table4[[#This Row],[SKU]],FG,0))="-","-",IF(Table4[[#This Row],[%Absorption]]="-","-",IF(Table4[[#This Row],[%Absorption]]&lt;INDEX(Absmin,MATCH(Table4[[#This Row],[SKU]],FG,0)),0,IF(Table4[[#This Row],[%Absorption]]&gt;INDEX(Absmax,MATCH(Table4[[#This Row],[SKU]],FG,0)),0,2))))</f>
        <v>-</v>
      </c>
      <c r="AG114" s="231" t="str">
        <f>IF(INDEX(Extmin,MATCH(Table4[[#This Row],[SKU]],FG,0))="-","-",IF(Table4[[#This Row],[%Extensibility]]="-","-",IF(Table4[[#This Row],[%Extensibility]]&lt;INDEX(Extmin,MATCH(Table4[[#This Row],[SKU]],FG,0)),0,IF(Table4[[#This Row],[%Extensibility]]&gt;INDEX(Extmax,MATCH(Table4[[#This Row],[SKU]],FG,0)),0,1))))</f>
        <v>-</v>
      </c>
      <c r="AH114" s="231" t="str">
        <f>IF(INDEX(Resmin,MATCH(Table4[[#This Row],[SKU]],FG,0))="-","-",IF(Table4[[#This Row],[Resistance, max]]="-","-",IF(Table4[[#This Row],[Resistance, max]]&lt;INDEX(Resmin,MATCH(Table4[[#This Row],[SKU]],FG,0)),0,IF(Table4[[#This Row],[Resistance, max]]&gt;INDEX(Resmax,MATCH(Table4[[#This Row],[SKU]],FG,0)),0,1))))</f>
        <v>-</v>
      </c>
      <c r="AI114" s="231" t="str">
        <f>IF(INDEX(WGmin,MATCH(Table4[[#This Row],[SKU]],FG,0))="-","-",IF(Table4[[#This Row],[%Wet Gluten]]="-","-",IF(Table4[[#This Row],[%Wet Gluten]]&lt;INDEX(WGmin,MATCH(Table4[[#This Row],[SKU]],FG,0)),0,IF(Table4[[#This Row],[%Wet Gluten]]&gt;INDEX(WGmax,MATCH(Table4[[#This Row],[SKU]],FG,0)),0,2))))</f>
        <v>-</v>
      </c>
      <c r="AJ114" s="232" t="str">
        <f>IF(Table4[[#This Row],[FN, s]]="-","-",IF(R114&lt;301,1,0))</f>
        <v>-</v>
      </c>
      <c r="AK114" s="233">
        <f>SUM(Table4[[#This Row],[ QI Bran Content]:[QI FN]])</f>
        <v>6</v>
      </c>
      <c r="AL114" s="232">
        <f t="shared" si="7"/>
        <v>6</v>
      </c>
      <c r="AM114" s="232" t="str">
        <f>IF(INDEX(WGmin,MATCH(Table4[[#This Row],[SKU]],FG,0))="-","-",IF(Table4[[#This Row],[Gross Weight]]="-","-",IF(Table4[[#This Row],[Gross Weight]]&lt;INDEX(GWmin,MATCH(Table4[[#This Row],[SKU]],FG,0)),0,IF(Table4[[#This Row],[Gross Weight]]&gt;INDEX(GWmax,MATCH(Table4[[#This Row],[SKU]],FG,0)),0,1))))</f>
        <v>-</v>
      </c>
      <c r="AN114" s="232">
        <f>IF(Table4[[#This Row],[Sealing Integrity]]="-","-",IF(Table4[[#This Row],[Sealing Integrity]]="P",1,0))</f>
        <v>1</v>
      </c>
      <c r="AO114" s="232">
        <f>IF(Table4[[#This Row],[Coding]]="-","-",IF(Table4[[#This Row],[Coding]]="P",1,0))</f>
        <v>1</v>
      </c>
      <c r="AP114" s="233">
        <f>SUM(Table4[[#This Row],[QI Weight]:[QI Code]])</f>
        <v>2</v>
      </c>
      <c r="AQ114" s="233">
        <f>COUNT(Table4[[#This Row],[QI Weight]:[QI Code]])</f>
        <v>2</v>
      </c>
      <c r="AR114" s="261">
        <f>Table4[[#This Row],[TA]]+Table4[[#This Row],[TA2]]</f>
        <v>8</v>
      </c>
      <c r="AS114" s="261">
        <f>Table4[[#This Row],[TP]]+Table4[[#This Row],[TP2]]</f>
        <v>8</v>
      </c>
      <c r="BD114" s="265">
        <f>IF(INDEX(MCmin,MATCH(Table4[[#This Row],[SKU]],FG,0))="-","-",IF(Table4[[#This Row],[%MC]]="-","-",IF(Table4[[#This Row],[%MC]]&lt;INDEX(MCmin,MATCH(Table4[[#This Row],[SKU]],FG,0)),1,0)))</f>
        <v>0</v>
      </c>
      <c r="BE114" s="265">
        <f>IF(INDEX(MCmin,MATCH(Table4[[#This Row],[SKU]],FG,0))="-","-",IF(Table4[[#This Row],[%MC]]="-","-",IF(Table4[[#This Row],[%MC]]&gt;INDEX(MCmax,MATCH(Table4[[#This Row],[SKU]],FG,0)),1,0)))</f>
        <v>0</v>
      </c>
      <c r="BF114" s="231" t="str">
        <f>IF(INDEX(Ashmin,MATCH(Table4[[#This Row],[SKU]],FG,0))="-","-",IF(Table4[[#This Row],[%Ash]]="-","-",IF(Table4[[#This Row],[%Ash]]&lt;INDEX(Ashmin,MATCH(Table4[[#This Row],[SKU]],FG,0)),1,0)))</f>
        <v>-</v>
      </c>
      <c r="BG114" s="231" t="str">
        <f>IF(INDEX(Ashmin,MATCH(Table4[[#This Row],[SKU]],FG,0))="-","-",IF(Table4[[#This Row],[%Ash]]="-","-",IF(Table4[[#This Row],[%Ash]]&gt;INDEX(Ashmax,MATCH(Table4[[#This Row],[SKU]],FG,0)),1,0)))</f>
        <v>-</v>
      </c>
      <c r="BH114" s="231" t="str">
        <f>IF(INDEX(Absmin,MATCH(Table4[[#This Row],[SKU]],FG,0))="-","-",IF(Table4[[#This Row],[%Absorption]]="-","-",IF(Table4[[#This Row],[%Absorption]]&lt;INDEX(Absmin,MATCH(Table4[[#This Row],[SKU]],FG,0)),1,0)))</f>
        <v>-</v>
      </c>
      <c r="BI114" s="231" t="str">
        <f>IF(INDEX(Absmin,MATCH(Table4[[#This Row],[SKU]],FG,0))="-","-",IF(Table4[[#This Row],[%Absorption]]="-","-",IF(Table4[[#This Row],[%Absorption]]&gt;INDEX(Absmax,MATCH(Table4[[#This Row],[SKU]],FG,0)),1,0)))</f>
        <v>-</v>
      </c>
      <c r="BJ114" s="231" t="str">
        <f>IF(INDEX(WGmin,MATCH(Table4[[#This Row],[SKU]],FG,0))="-","-",IF(Table4[[#This Row],[%Wet Gluten]]="-","-",IF(Table4[[#This Row],[%Wet Gluten]]&lt;INDEX(WGmin,MATCH(Table4[[#This Row],[SKU]],FG,0)),1,0)))</f>
        <v>-</v>
      </c>
      <c r="BK114" s="231" t="str">
        <f>IF(INDEX(WGmin,MATCH(Table4[[#This Row],[SKU]],FG,0))="-","-",IF(Table4[[#This Row],[%Wet Gluten]]="-","-",IF(Table4[[#This Row],[%Wet Gluten]]&gt;INDEX(WGmax,MATCH(Table4[[#This Row],[SKU]],FG,0)),1,0)))</f>
        <v>-</v>
      </c>
    </row>
    <row r="115" spans="1:63" x14ac:dyDescent="0.35">
      <c r="A115" s="243">
        <v>46023</v>
      </c>
      <c r="B115" s="244">
        <v>46028</v>
      </c>
      <c r="C115" s="244">
        <v>46027</v>
      </c>
      <c r="D115" s="244" t="s">
        <v>128</v>
      </c>
      <c r="E115" s="245">
        <v>0.83333333333333304</v>
      </c>
      <c r="F115" s="246">
        <v>2</v>
      </c>
      <c r="G115" s="259" t="s">
        <v>134</v>
      </c>
      <c r="H115" s="247">
        <v>5.0000000000000001E-3</v>
      </c>
      <c r="I115" s="248" t="s">
        <v>165</v>
      </c>
      <c r="J115" s="248" t="s">
        <v>165</v>
      </c>
      <c r="K115" s="248" t="s">
        <v>165</v>
      </c>
      <c r="L115" s="248" t="s">
        <v>163</v>
      </c>
      <c r="M115" s="248" t="s">
        <v>161</v>
      </c>
      <c r="N115" s="249">
        <v>11.96</v>
      </c>
      <c r="O115" s="249" t="s">
        <v>163</v>
      </c>
      <c r="P115" s="249">
        <v>0.42</v>
      </c>
      <c r="Q115" s="249">
        <v>53.7</v>
      </c>
      <c r="R115" s="249">
        <v>12.8</v>
      </c>
      <c r="S115" s="250">
        <v>795</v>
      </c>
      <c r="T115" s="249">
        <v>22.42</v>
      </c>
      <c r="U115" s="249" t="s">
        <v>163</v>
      </c>
      <c r="V115" s="251" t="s">
        <v>163</v>
      </c>
      <c r="W115" s="252" t="s">
        <v>165</v>
      </c>
      <c r="X115" s="252" t="s">
        <v>165</v>
      </c>
      <c r="Y115" s="248" t="s">
        <v>163</v>
      </c>
      <c r="Z115" s="231">
        <f>IF(Table4[[#This Row],[ Bran Content]]="-","-",IF(H115&gt;0.02,0,2))</f>
        <v>2</v>
      </c>
      <c r="AA115" s="231">
        <f>IF(Table4[[#This Row],[Sieve Test]]="-","-",IF(Table4[[#This Row],[Sieve Test]]="P",1,0))</f>
        <v>1</v>
      </c>
      <c r="AB115" s="231">
        <f>IF(Table4[[#This Row],[Odor]]="-","-",IF(Table4[[#This Row],[Odor]]="P",2,0))</f>
        <v>2</v>
      </c>
      <c r="AC115" s="231">
        <f>IF(INDEX(MCmin,MATCH(Table4[[#This Row],[SKU]],FG,0))="-","-",IF(Table4[[#This Row],[%MC]]="-","-",IF(Table4[[#This Row],[%MC]]&lt;INDEX(MCmin,MATCH(Table4[[#This Row],[SKU]],FG,0)),0,IF(Table4[[#This Row],[%MC]]&gt;INDEX(MCmax,MATCH(Table4[[#This Row],[SKU]],FG,0)),0,1))))</f>
        <v>1</v>
      </c>
      <c r="AD115" s="231" t="str">
        <f>IF(INDEX(Protmin,MATCH(Table4[[#This Row],[SKU]],FG,0))="-","-",IF(Table4[[#This Row],[%Protein]]="-","-",IF(Table4[[#This Row],[%Protein]]&lt;INDEX(Protmin,MATCH(Table4[[#This Row],[SKU]],FG,0)),0,IF(Table4[[#This Row],[%Protein]]&gt;INDEX(Protmax,MATCH(Table4[[#This Row],[SKU]],FG,0)),0,1))))</f>
        <v>-</v>
      </c>
      <c r="AE115" s="231">
        <f>IF(INDEX(Ashmin,MATCH(Table4[[#This Row],[SKU]],FG,0))="-","-",IF(Table4[[#This Row],[%Ash]]="-","-",IF(Table4[[#This Row],[%Ash]]&lt;INDEX(Ashmin,MATCH(Table4[[#This Row],[SKU]],FG,0)),0,IF(Table4[[#This Row],[%Ash]]&gt;INDEX(Ashmax,MATCH(Table4[[#This Row],[SKU]],FG,0)),0,2))))</f>
        <v>2</v>
      </c>
      <c r="AF115" s="231">
        <f>IF(INDEX(Absmin,MATCH(Table4[[#This Row],[SKU]],FG,0))="-","-",IF(Table4[[#This Row],[%Absorption]]="-","-",IF(Table4[[#This Row],[%Absorption]]&lt;INDEX(Absmin,MATCH(Table4[[#This Row],[SKU]],FG,0)),0,IF(Table4[[#This Row],[%Absorption]]&gt;INDEX(Absmax,MATCH(Table4[[#This Row],[SKU]],FG,0)),0,2))))</f>
        <v>0</v>
      </c>
      <c r="AG115" s="231">
        <f>IF(INDEX(Extmin,MATCH(Table4[[#This Row],[SKU]],FG,0))="-","-",IF(Table4[[#This Row],[%Extensibility]]="-","-",IF(Table4[[#This Row],[%Extensibility]]&lt;INDEX(Extmin,MATCH(Table4[[#This Row],[SKU]],FG,0)),0,IF(Table4[[#This Row],[%Extensibility]]&gt;INDEX(Extmax,MATCH(Table4[[#This Row],[SKU]],FG,0)),0,1))))</f>
        <v>1</v>
      </c>
      <c r="AH115" s="231">
        <f>IF(INDEX(Resmin,MATCH(Table4[[#This Row],[SKU]],FG,0))="-","-",IF(Table4[[#This Row],[Resistance, max]]="-","-",IF(Table4[[#This Row],[Resistance, max]]&lt;INDEX(Resmin,MATCH(Table4[[#This Row],[SKU]],FG,0)),0,IF(Table4[[#This Row],[Resistance, max]]&gt;INDEX(Resmax,MATCH(Table4[[#This Row],[SKU]],FG,0)),0,1))))</f>
        <v>1</v>
      </c>
      <c r="AI115" s="231">
        <f>IF(INDEX(WGmin,MATCH(Table4[[#This Row],[SKU]],FG,0))="-","-",IF(Table4[[#This Row],[%Wet Gluten]]="-","-",IF(Table4[[#This Row],[%Wet Gluten]]&lt;INDEX(WGmin,MATCH(Table4[[#This Row],[SKU]],FG,0)),0,IF(Table4[[#This Row],[%Wet Gluten]]&gt;INDEX(WGmax,MATCH(Table4[[#This Row],[SKU]],FG,0)),0,2))))</f>
        <v>2</v>
      </c>
      <c r="AJ115" s="232" t="str">
        <f>IF(Table4[[#This Row],[FN, s]]="-","-",IF(R115&lt;301,1,0))</f>
        <v>-</v>
      </c>
      <c r="AK115" s="233">
        <f>SUM(Table4[[#This Row],[ QI Bran Content]:[QI FN]])</f>
        <v>12</v>
      </c>
      <c r="AL115" s="232">
        <f t="shared" si="7"/>
        <v>14</v>
      </c>
      <c r="AM115" s="232" t="str">
        <f>IF(INDEX(WGmin,MATCH(Table4[[#This Row],[SKU]],FG,0))="-","-",IF(Table4[[#This Row],[Gross Weight]]="-","-",IF(Table4[[#This Row],[Gross Weight]]&lt;INDEX(GWmin,MATCH(Table4[[#This Row],[SKU]],FG,0)),0,IF(Table4[[#This Row],[Gross Weight]]&gt;INDEX(GWmax,MATCH(Table4[[#This Row],[SKU]],FG,0)),0,1))))</f>
        <v>-</v>
      </c>
      <c r="AN115" s="232">
        <f>IF(Table4[[#This Row],[Sealing Integrity]]="-","-",IF(Table4[[#This Row],[Sealing Integrity]]="P",1,0))</f>
        <v>1</v>
      </c>
      <c r="AO115" s="232">
        <f>IF(Table4[[#This Row],[Coding]]="-","-",IF(Table4[[#This Row],[Coding]]="P",1,0))</f>
        <v>1</v>
      </c>
      <c r="AP115" s="233">
        <f>SUM(Table4[[#This Row],[QI Weight]:[QI Code]])</f>
        <v>2</v>
      </c>
      <c r="AQ115" s="233">
        <f>COUNT(Table4[[#This Row],[QI Weight]:[QI Code]])</f>
        <v>2</v>
      </c>
      <c r="AR115" s="261">
        <f>Table4[[#This Row],[TA]]+Table4[[#This Row],[TA2]]</f>
        <v>14</v>
      </c>
      <c r="AS115" s="261">
        <f>Table4[[#This Row],[TP]]+Table4[[#This Row],[TP2]]</f>
        <v>16</v>
      </c>
      <c r="BD115" s="265">
        <f>IF(INDEX(MCmin,MATCH(Table4[[#This Row],[SKU]],FG,0))="-","-",IF(Table4[[#This Row],[%MC]]="-","-",IF(Table4[[#This Row],[%MC]]&lt;INDEX(MCmin,MATCH(Table4[[#This Row],[SKU]],FG,0)),1,0)))</f>
        <v>0</v>
      </c>
      <c r="BE115" s="265">
        <f>IF(INDEX(MCmin,MATCH(Table4[[#This Row],[SKU]],FG,0))="-","-",IF(Table4[[#This Row],[%MC]]="-","-",IF(Table4[[#This Row],[%MC]]&gt;INDEX(MCmax,MATCH(Table4[[#This Row],[SKU]],FG,0)),1,0)))</f>
        <v>0</v>
      </c>
      <c r="BF115" s="231">
        <f>IF(INDEX(Ashmin,MATCH(Table4[[#This Row],[SKU]],FG,0))="-","-",IF(Table4[[#This Row],[%Ash]]="-","-",IF(Table4[[#This Row],[%Ash]]&lt;INDEX(Ashmin,MATCH(Table4[[#This Row],[SKU]],FG,0)),1,0)))</f>
        <v>0</v>
      </c>
      <c r="BG115" s="231">
        <f>IF(INDEX(Ashmin,MATCH(Table4[[#This Row],[SKU]],FG,0))="-","-",IF(Table4[[#This Row],[%Ash]]="-","-",IF(Table4[[#This Row],[%Ash]]&gt;INDEX(Ashmax,MATCH(Table4[[#This Row],[SKU]],FG,0)),1,0)))</f>
        <v>0</v>
      </c>
      <c r="BH115" s="231">
        <f>IF(INDEX(Absmin,MATCH(Table4[[#This Row],[SKU]],FG,0))="-","-",IF(Table4[[#This Row],[%Absorption]]="-","-",IF(Table4[[#This Row],[%Absorption]]&lt;INDEX(Absmin,MATCH(Table4[[#This Row],[SKU]],FG,0)),1,0)))</f>
        <v>1</v>
      </c>
      <c r="BI115" s="231">
        <f>IF(INDEX(Absmin,MATCH(Table4[[#This Row],[SKU]],FG,0))="-","-",IF(Table4[[#This Row],[%Absorption]]="-","-",IF(Table4[[#This Row],[%Absorption]]&gt;INDEX(Absmax,MATCH(Table4[[#This Row],[SKU]],FG,0)),1,0)))</f>
        <v>0</v>
      </c>
      <c r="BJ115" s="231">
        <f>IF(INDEX(WGmin,MATCH(Table4[[#This Row],[SKU]],FG,0))="-","-",IF(Table4[[#This Row],[%Wet Gluten]]="-","-",IF(Table4[[#This Row],[%Wet Gluten]]&lt;INDEX(WGmin,MATCH(Table4[[#This Row],[SKU]],FG,0)),1,0)))</f>
        <v>0</v>
      </c>
      <c r="BK115" s="231">
        <f>IF(INDEX(WGmin,MATCH(Table4[[#This Row],[SKU]],FG,0))="-","-",IF(Table4[[#This Row],[%Wet Gluten]]="-","-",IF(Table4[[#This Row],[%Wet Gluten]]&gt;INDEX(WGmax,MATCH(Table4[[#This Row],[SKU]],FG,0)),1,0)))</f>
        <v>0</v>
      </c>
    </row>
    <row r="116" spans="1:63" x14ac:dyDescent="0.35">
      <c r="A116" s="243">
        <v>46023</v>
      </c>
      <c r="B116" s="244">
        <v>46028</v>
      </c>
      <c r="C116" s="244">
        <v>46027</v>
      </c>
      <c r="D116" s="244" t="s">
        <v>130</v>
      </c>
      <c r="E116" s="245">
        <v>0.91666666666666663</v>
      </c>
      <c r="F116" s="246">
        <v>2</v>
      </c>
      <c r="G116" s="259" t="s">
        <v>134</v>
      </c>
      <c r="H116" s="247">
        <v>6.1000000000000004E-3</v>
      </c>
      <c r="I116" s="248" t="s">
        <v>165</v>
      </c>
      <c r="J116" s="248" t="s">
        <v>165</v>
      </c>
      <c r="K116" s="248" t="s">
        <v>165</v>
      </c>
      <c r="L116" s="248" t="s">
        <v>163</v>
      </c>
      <c r="M116" s="248" t="s">
        <v>161</v>
      </c>
      <c r="N116" s="249">
        <v>11.96</v>
      </c>
      <c r="O116" s="249" t="s">
        <v>163</v>
      </c>
      <c r="P116" s="249" t="s">
        <v>163</v>
      </c>
      <c r="Q116" s="249">
        <v>54</v>
      </c>
      <c r="R116" s="249" t="s">
        <v>163</v>
      </c>
      <c r="S116" s="250" t="s">
        <v>163</v>
      </c>
      <c r="T116" s="249" t="s">
        <v>163</v>
      </c>
      <c r="U116" s="249" t="s">
        <v>163</v>
      </c>
      <c r="V116" s="251" t="s">
        <v>163</v>
      </c>
      <c r="W116" s="252" t="s">
        <v>165</v>
      </c>
      <c r="X116" s="252" t="s">
        <v>165</v>
      </c>
      <c r="Y116" s="248" t="s">
        <v>163</v>
      </c>
      <c r="Z116" s="231">
        <f>IF(Table4[[#This Row],[ Bran Content]]="-","-",IF(H116&gt;0.02,0,2))</f>
        <v>2</v>
      </c>
      <c r="AA116" s="231">
        <f>IF(Table4[[#This Row],[Sieve Test]]="-","-",IF(Table4[[#This Row],[Sieve Test]]="P",1,0))</f>
        <v>1</v>
      </c>
      <c r="AB116" s="231">
        <f>IF(Table4[[#This Row],[Odor]]="-","-",IF(Table4[[#This Row],[Odor]]="P",2,0))</f>
        <v>2</v>
      </c>
      <c r="AC116" s="231">
        <f>IF(INDEX(MCmin,MATCH(Table4[[#This Row],[SKU]],FG,0))="-","-",IF(Table4[[#This Row],[%MC]]="-","-",IF(Table4[[#This Row],[%MC]]&lt;INDEX(MCmin,MATCH(Table4[[#This Row],[SKU]],FG,0)),0,IF(Table4[[#This Row],[%MC]]&gt;INDEX(MCmax,MATCH(Table4[[#This Row],[SKU]],FG,0)),0,1))))</f>
        <v>1</v>
      </c>
      <c r="AD116" s="231" t="str">
        <f>IF(INDEX(Protmin,MATCH(Table4[[#This Row],[SKU]],FG,0))="-","-",IF(Table4[[#This Row],[%Protein]]="-","-",IF(Table4[[#This Row],[%Protein]]&lt;INDEX(Protmin,MATCH(Table4[[#This Row],[SKU]],FG,0)),0,IF(Table4[[#This Row],[%Protein]]&gt;INDEX(Protmax,MATCH(Table4[[#This Row],[SKU]],FG,0)),0,1))))</f>
        <v>-</v>
      </c>
      <c r="AE116" s="231" t="str">
        <f>IF(INDEX(Ashmin,MATCH(Table4[[#This Row],[SKU]],FG,0))="-","-",IF(Table4[[#This Row],[%Ash]]="-","-",IF(Table4[[#This Row],[%Ash]]&lt;INDEX(Ashmin,MATCH(Table4[[#This Row],[SKU]],FG,0)),0,IF(Table4[[#This Row],[%Ash]]&gt;INDEX(Ashmax,MATCH(Table4[[#This Row],[SKU]],FG,0)),0,2))))</f>
        <v>-</v>
      </c>
      <c r="AF116" s="231">
        <f>IF(INDEX(Absmin,MATCH(Table4[[#This Row],[SKU]],FG,0))="-","-",IF(Table4[[#This Row],[%Absorption]]="-","-",IF(Table4[[#This Row],[%Absorption]]&lt;INDEX(Absmin,MATCH(Table4[[#This Row],[SKU]],FG,0)),0,IF(Table4[[#This Row],[%Absorption]]&gt;INDEX(Absmax,MATCH(Table4[[#This Row],[SKU]],FG,0)),0,2))))</f>
        <v>2</v>
      </c>
      <c r="AG116" s="231" t="str">
        <f>IF(INDEX(Extmin,MATCH(Table4[[#This Row],[SKU]],FG,0))="-","-",IF(Table4[[#This Row],[%Extensibility]]="-","-",IF(Table4[[#This Row],[%Extensibility]]&lt;INDEX(Extmin,MATCH(Table4[[#This Row],[SKU]],FG,0)),0,IF(Table4[[#This Row],[%Extensibility]]&gt;INDEX(Extmax,MATCH(Table4[[#This Row],[SKU]],FG,0)),0,1))))</f>
        <v>-</v>
      </c>
      <c r="AH116" s="231" t="str">
        <f>IF(INDEX(Resmin,MATCH(Table4[[#This Row],[SKU]],FG,0))="-","-",IF(Table4[[#This Row],[Resistance, max]]="-","-",IF(Table4[[#This Row],[Resistance, max]]&lt;INDEX(Resmin,MATCH(Table4[[#This Row],[SKU]],FG,0)),0,IF(Table4[[#This Row],[Resistance, max]]&gt;INDEX(Resmax,MATCH(Table4[[#This Row],[SKU]],FG,0)),0,1))))</f>
        <v>-</v>
      </c>
      <c r="AI116" s="231" t="str">
        <f>IF(INDEX(WGmin,MATCH(Table4[[#This Row],[SKU]],FG,0))="-","-",IF(Table4[[#This Row],[%Wet Gluten]]="-","-",IF(Table4[[#This Row],[%Wet Gluten]]&lt;INDEX(WGmin,MATCH(Table4[[#This Row],[SKU]],FG,0)),0,IF(Table4[[#This Row],[%Wet Gluten]]&gt;INDEX(WGmax,MATCH(Table4[[#This Row],[SKU]],FG,0)),0,2))))</f>
        <v>-</v>
      </c>
      <c r="AJ116" s="232" t="str">
        <f>IF(Table4[[#This Row],[FN, s]]="-","-",IF(R116&lt;301,1,0))</f>
        <v>-</v>
      </c>
      <c r="AK116" s="233">
        <f>SUM(Table4[[#This Row],[ QI Bran Content]:[QI FN]])</f>
        <v>8</v>
      </c>
      <c r="AL116" s="232">
        <f t="shared" si="7"/>
        <v>8</v>
      </c>
      <c r="AM116" s="232" t="str">
        <f>IF(INDEX(WGmin,MATCH(Table4[[#This Row],[SKU]],FG,0))="-","-",IF(Table4[[#This Row],[Gross Weight]]="-","-",IF(Table4[[#This Row],[Gross Weight]]&lt;INDEX(GWmin,MATCH(Table4[[#This Row],[SKU]],FG,0)),0,IF(Table4[[#This Row],[Gross Weight]]&gt;INDEX(GWmax,MATCH(Table4[[#This Row],[SKU]],FG,0)),0,1))))</f>
        <v>-</v>
      </c>
      <c r="AN116" s="232">
        <f>IF(Table4[[#This Row],[Sealing Integrity]]="-","-",IF(Table4[[#This Row],[Sealing Integrity]]="P",1,0))</f>
        <v>1</v>
      </c>
      <c r="AO116" s="232">
        <f>IF(Table4[[#This Row],[Coding]]="-","-",IF(Table4[[#This Row],[Coding]]="P",1,0))</f>
        <v>1</v>
      </c>
      <c r="AP116" s="233">
        <f>SUM(Table4[[#This Row],[QI Weight]:[QI Code]])</f>
        <v>2</v>
      </c>
      <c r="AQ116" s="233">
        <f>COUNT(Table4[[#This Row],[QI Weight]:[QI Code]])</f>
        <v>2</v>
      </c>
      <c r="AR116" s="261">
        <f>Table4[[#This Row],[TA]]+Table4[[#This Row],[TA2]]</f>
        <v>10</v>
      </c>
      <c r="AS116" s="261">
        <f>Table4[[#This Row],[TP]]+Table4[[#This Row],[TP2]]</f>
        <v>10</v>
      </c>
      <c r="BD116" s="265">
        <f>IF(INDEX(MCmin,MATCH(Table4[[#This Row],[SKU]],FG,0))="-","-",IF(Table4[[#This Row],[%MC]]="-","-",IF(Table4[[#This Row],[%MC]]&lt;INDEX(MCmin,MATCH(Table4[[#This Row],[SKU]],FG,0)),1,0)))</f>
        <v>0</v>
      </c>
      <c r="BE116" s="265">
        <f>IF(INDEX(MCmin,MATCH(Table4[[#This Row],[SKU]],FG,0))="-","-",IF(Table4[[#This Row],[%MC]]="-","-",IF(Table4[[#This Row],[%MC]]&gt;INDEX(MCmax,MATCH(Table4[[#This Row],[SKU]],FG,0)),1,0)))</f>
        <v>0</v>
      </c>
      <c r="BF116" s="231" t="str">
        <f>IF(INDEX(Ashmin,MATCH(Table4[[#This Row],[SKU]],FG,0))="-","-",IF(Table4[[#This Row],[%Ash]]="-","-",IF(Table4[[#This Row],[%Ash]]&lt;INDEX(Ashmin,MATCH(Table4[[#This Row],[SKU]],FG,0)),1,0)))</f>
        <v>-</v>
      </c>
      <c r="BG116" s="231" t="str">
        <f>IF(INDEX(Ashmin,MATCH(Table4[[#This Row],[SKU]],FG,0))="-","-",IF(Table4[[#This Row],[%Ash]]="-","-",IF(Table4[[#This Row],[%Ash]]&gt;INDEX(Ashmax,MATCH(Table4[[#This Row],[SKU]],FG,0)),1,0)))</f>
        <v>-</v>
      </c>
      <c r="BH116" s="231">
        <f>IF(INDEX(Absmin,MATCH(Table4[[#This Row],[SKU]],FG,0))="-","-",IF(Table4[[#This Row],[%Absorption]]="-","-",IF(Table4[[#This Row],[%Absorption]]&lt;INDEX(Absmin,MATCH(Table4[[#This Row],[SKU]],FG,0)),1,0)))</f>
        <v>0</v>
      </c>
      <c r="BI116" s="231">
        <f>IF(INDEX(Absmin,MATCH(Table4[[#This Row],[SKU]],FG,0))="-","-",IF(Table4[[#This Row],[%Absorption]]="-","-",IF(Table4[[#This Row],[%Absorption]]&gt;INDEX(Absmax,MATCH(Table4[[#This Row],[SKU]],FG,0)),1,0)))</f>
        <v>0</v>
      </c>
      <c r="BJ116" s="231" t="str">
        <f>IF(INDEX(WGmin,MATCH(Table4[[#This Row],[SKU]],FG,0))="-","-",IF(Table4[[#This Row],[%Wet Gluten]]="-","-",IF(Table4[[#This Row],[%Wet Gluten]]&lt;INDEX(WGmin,MATCH(Table4[[#This Row],[SKU]],FG,0)),1,0)))</f>
        <v>-</v>
      </c>
      <c r="BK116" s="231" t="str">
        <f>IF(INDEX(WGmin,MATCH(Table4[[#This Row],[SKU]],FG,0))="-","-",IF(Table4[[#This Row],[%Wet Gluten]]="-","-",IF(Table4[[#This Row],[%Wet Gluten]]&gt;INDEX(WGmax,MATCH(Table4[[#This Row],[SKU]],FG,0)),1,0)))</f>
        <v>-</v>
      </c>
    </row>
    <row r="117" spans="1:63" x14ac:dyDescent="0.35">
      <c r="A117" s="243">
        <v>46023</v>
      </c>
      <c r="B117" s="244">
        <v>46028</v>
      </c>
      <c r="C117" s="244">
        <v>46027</v>
      </c>
      <c r="D117" s="244" t="s">
        <v>130</v>
      </c>
      <c r="E117" s="245">
        <v>0.95833333333333337</v>
      </c>
      <c r="F117" s="246">
        <v>2</v>
      </c>
      <c r="G117" s="259" t="s">
        <v>134</v>
      </c>
      <c r="H117" s="247">
        <v>2E-3</v>
      </c>
      <c r="I117" s="248" t="s">
        <v>165</v>
      </c>
      <c r="J117" s="248" t="s">
        <v>165</v>
      </c>
      <c r="K117" s="248" t="s">
        <v>165</v>
      </c>
      <c r="L117" s="248" t="s">
        <v>163</v>
      </c>
      <c r="M117" s="248" t="s">
        <v>161</v>
      </c>
      <c r="N117" s="249">
        <v>11.72</v>
      </c>
      <c r="O117" s="249" t="s">
        <v>163</v>
      </c>
      <c r="P117" s="249" t="s">
        <v>163</v>
      </c>
      <c r="Q117" s="249" t="s">
        <v>163</v>
      </c>
      <c r="R117" s="249" t="s">
        <v>163</v>
      </c>
      <c r="S117" s="250" t="s">
        <v>163</v>
      </c>
      <c r="T117" s="249" t="s">
        <v>163</v>
      </c>
      <c r="U117" s="249" t="s">
        <v>163</v>
      </c>
      <c r="V117" s="251" t="s">
        <v>163</v>
      </c>
      <c r="W117" s="252" t="s">
        <v>165</v>
      </c>
      <c r="X117" s="252" t="s">
        <v>165</v>
      </c>
      <c r="Y117" s="248" t="s">
        <v>163</v>
      </c>
      <c r="Z117" s="231">
        <f>IF(Table4[[#This Row],[ Bran Content]]="-","-",IF(H117&gt;0.02,0,2))</f>
        <v>2</v>
      </c>
      <c r="AA117" s="231">
        <f>IF(Table4[[#This Row],[Sieve Test]]="-","-",IF(Table4[[#This Row],[Sieve Test]]="P",1,0))</f>
        <v>1</v>
      </c>
      <c r="AB117" s="231">
        <f>IF(Table4[[#This Row],[Odor]]="-","-",IF(Table4[[#This Row],[Odor]]="P",2,0))</f>
        <v>2</v>
      </c>
      <c r="AC117" s="231">
        <f>IF(INDEX(MCmin,MATCH(Table4[[#This Row],[SKU]],FG,0))="-","-",IF(Table4[[#This Row],[%MC]]="-","-",IF(Table4[[#This Row],[%MC]]&lt;INDEX(MCmin,MATCH(Table4[[#This Row],[SKU]],FG,0)),0,IF(Table4[[#This Row],[%MC]]&gt;INDEX(MCmax,MATCH(Table4[[#This Row],[SKU]],FG,0)),0,1))))</f>
        <v>1</v>
      </c>
      <c r="AD117" s="231" t="str">
        <f>IF(INDEX(Protmin,MATCH(Table4[[#This Row],[SKU]],FG,0))="-","-",IF(Table4[[#This Row],[%Protein]]="-","-",IF(Table4[[#This Row],[%Protein]]&lt;INDEX(Protmin,MATCH(Table4[[#This Row],[SKU]],FG,0)),0,IF(Table4[[#This Row],[%Protein]]&gt;INDEX(Protmax,MATCH(Table4[[#This Row],[SKU]],FG,0)),0,1))))</f>
        <v>-</v>
      </c>
      <c r="AE117" s="231" t="str">
        <f>IF(INDEX(Ashmin,MATCH(Table4[[#This Row],[SKU]],FG,0))="-","-",IF(Table4[[#This Row],[%Ash]]="-","-",IF(Table4[[#This Row],[%Ash]]&lt;INDEX(Ashmin,MATCH(Table4[[#This Row],[SKU]],FG,0)),0,IF(Table4[[#This Row],[%Ash]]&gt;INDEX(Ashmax,MATCH(Table4[[#This Row],[SKU]],FG,0)),0,2))))</f>
        <v>-</v>
      </c>
      <c r="AF117" s="231" t="str">
        <f>IF(INDEX(Absmin,MATCH(Table4[[#This Row],[SKU]],FG,0))="-","-",IF(Table4[[#This Row],[%Absorption]]="-","-",IF(Table4[[#This Row],[%Absorption]]&lt;INDEX(Absmin,MATCH(Table4[[#This Row],[SKU]],FG,0)),0,IF(Table4[[#This Row],[%Absorption]]&gt;INDEX(Absmax,MATCH(Table4[[#This Row],[SKU]],FG,0)),0,2))))</f>
        <v>-</v>
      </c>
      <c r="AG117" s="231" t="str">
        <f>IF(INDEX(Extmin,MATCH(Table4[[#This Row],[SKU]],FG,0))="-","-",IF(Table4[[#This Row],[%Extensibility]]="-","-",IF(Table4[[#This Row],[%Extensibility]]&lt;INDEX(Extmin,MATCH(Table4[[#This Row],[SKU]],FG,0)),0,IF(Table4[[#This Row],[%Extensibility]]&gt;INDEX(Extmax,MATCH(Table4[[#This Row],[SKU]],FG,0)),0,1))))</f>
        <v>-</v>
      </c>
      <c r="AH117" s="231" t="str">
        <f>IF(INDEX(Resmin,MATCH(Table4[[#This Row],[SKU]],FG,0))="-","-",IF(Table4[[#This Row],[Resistance, max]]="-","-",IF(Table4[[#This Row],[Resistance, max]]&lt;INDEX(Resmin,MATCH(Table4[[#This Row],[SKU]],FG,0)),0,IF(Table4[[#This Row],[Resistance, max]]&gt;INDEX(Resmax,MATCH(Table4[[#This Row],[SKU]],FG,0)),0,1))))</f>
        <v>-</v>
      </c>
      <c r="AI117" s="231" t="str">
        <f>IF(INDEX(WGmin,MATCH(Table4[[#This Row],[SKU]],FG,0))="-","-",IF(Table4[[#This Row],[%Wet Gluten]]="-","-",IF(Table4[[#This Row],[%Wet Gluten]]&lt;INDEX(WGmin,MATCH(Table4[[#This Row],[SKU]],FG,0)),0,IF(Table4[[#This Row],[%Wet Gluten]]&gt;INDEX(WGmax,MATCH(Table4[[#This Row],[SKU]],FG,0)),0,2))))</f>
        <v>-</v>
      </c>
      <c r="AJ117" s="232" t="str">
        <f>IF(Table4[[#This Row],[FN, s]]="-","-",IF(R117&lt;301,1,0))</f>
        <v>-</v>
      </c>
      <c r="AK117" s="233">
        <f>SUM(Table4[[#This Row],[ QI Bran Content]:[QI FN]])</f>
        <v>6</v>
      </c>
      <c r="AL117" s="232">
        <f t="shared" si="7"/>
        <v>6</v>
      </c>
      <c r="AM117" s="232" t="str">
        <f>IF(INDEX(WGmin,MATCH(Table4[[#This Row],[SKU]],FG,0))="-","-",IF(Table4[[#This Row],[Gross Weight]]="-","-",IF(Table4[[#This Row],[Gross Weight]]&lt;INDEX(GWmin,MATCH(Table4[[#This Row],[SKU]],FG,0)),0,IF(Table4[[#This Row],[Gross Weight]]&gt;INDEX(GWmax,MATCH(Table4[[#This Row],[SKU]],FG,0)),0,1))))</f>
        <v>-</v>
      </c>
      <c r="AN117" s="232">
        <f>IF(Table4[[#This Row],[Sealing Integrity]]="-","-",IF(Table4[[#This Row],[Sealing Integrity]]="P",1,0))</f>
        <v>1</v>
      </c>
      <c r="AO117" s="232">
        <f>IF(Table4[[#This Row],[Coding]]="-","-",IF(Table4[[#This Row],[Coding]]="P",1,0))</f>
        <v>1</v>
      </c>
      <c r="AP117" s="233">
        <f>SUM(Table4[[#This Row],[QI Weight]:[QI Code]])</f>
        <v>2</v>
      </c>
      <c r="AQ117" s="233">
        <f>COUNT(Table4[[#This Row],[QI Weight]:[QI Code]])</f>
        <v>2</v>
      </c>
      <c r="AR117" s="261">
        <f>Table4[[#This Row],[TA]]+Table4[[#This Row],[TA2]]</f>
        <v>8</v>
      </c>
      <c r="AS117" s="261">
        <f>Table4[[#This Row],[TP]]+Table4[[#This Row],[TP2]]</f>
        <v>8</v>
      </c>
      <c r="BD117" s="265">
        <f>IF(INDEX(MCmin,MATCH(Table4[[#This Row],[SKU]],FG,0))="-","-",IF(Table4[[#This Row],[%MC]]="-","-",IF(Table4[[#This Row],[%MC]]&lt;INDEX(MCmin,MATCH(Table4[[#This Row],[SKU]],FG,0)),1,0)))</f>
        <v>0</v>
      </c>
      <c r="BE117" s="265">
        <f>IF(INDEX(MCmin,MATCH(Table4[[#This Row],[SKU]],FG,0))="-","-",IF(Table4[[#This Row],[%MC]]="-","-",IF(Table4[[#This Row],[%MC]]&gt;INDEX(MCmax,MATCH(Table4[[#This Row],[SKU]],FG,0)),1,0)))</f>
        <v>0</v>
      </c>
      <c r="BF117" s="231" t="str">
        <f>IF(INDEX(Ashmin,MATCH(Table4[[#This Row],[SKU]],FG,0))="-","-",IF(Table4[[#This Row],[%Ash]]="-","-",IF(Table4[[#This Row],[%Ash]]&lt;INDEX(Ashmin,MATCH(Table4[[#This Row],[SKU]],FG,0)),1,0)))</f>
        <v>-</v>
      </c>
      <c r="BG117" s="231" t="str">
        <f>IF(INDEX(Ashmin,MATCH(Table4[[#This Row],[SKU]],FG,0))="-","-",IF(Table4[[#This Row],[%Ash]]="-","-",IF(Table4[[#This Row],[%Ash]]&gt;INDEX(Ashmax,MATCH(Table4[[#This Row],[SKU]],FG,0)),1,0)))</f>
        <v>-</v>
      </c>
      <c r="BH117" s="231" t="str">
        <f>IF(INDEX(Absmin,MATCH(Table4[[#This Row],[SKU]],FG,0))="-","-",IF(Table4[[#This Row],[%Absorption]]="-","-",IF(Table4[[#This Row],[%Absorption]]&lt;INDEX(Absmin,MATCH(Table4[[#This Row],[SKU]],FG,0)),1,0)))</f>
        <v>-</v>
      </c>
      <c r="BI117" s="231" t="str">
        <f>IF(INDEX(Absmin,MATCH(Table4[[#This Row],[SKU]],FG,0))="-","-",IF(Table4[[#This Row],[%Absorption]]="-","-",IF(Table4[[#This Row],[%Absorption]]&gt;INDEX(Absmax,MATCH(Table4[[#This Row],[SKU]],FG,0)),1,0)))</f>
        <v>-</v>
      </c>
      <c r="BJ117" s="231" t="str">
        <f>IF(INDEX(WGmin,MATCH(Table4[[#This Row],[SKU]],FG,0))="-","-",IF(Table4[[#This Row],[%Wet Gluten]]="-","-",IF(Table4[[#This Row],[%Wet Gluten]]&lt;INDEX(WGmin,MATCH(Table4[[#This Row],[SKU]],FG,0)),1,0)))</f>
        <v>-</v>
      </c>
      <c r="BK117" s="231" t="str">
        <f>IF(INDEX(WGmin,MATCH(Table4[[#This Row],[SKU]],FG,0))="-","-",IF(Table4[[#This Row],[%Wet Gluten]]="-","-",IF(Table4[[#This Row],[%Wet Gluten]]&gt;INDEX(WGmax,MATCH(Table4[[#This Row],[SKU]],FG,0)),1,0)))</f>
        <v>-</v>
      </c>
    </row>
    <row r="118" spans="1:63" x14ac:dyDescent="0.35">
      <c r="A118" s="243">
        <v>46023</v>
      </c>
      <c r="B118" s="244">
        <v>46028</v>
      </c>
      <c r="C118" s="244">
        <v>46027</v>
      </c>
      <c r="D118" s="244" t="s">
        <v>130</v>
      </c>
      <c r="E118" s="245">
        <v>1</v>
      </c>
      <c r="F118" s="246">
        <v>2</v>
      </c>
      <c r="G118" s="259" t="s">
        <v>134</v>
      </c>
      <c r="H118" s="247">
        <v>2.8999999999999998E-3</v>
      </c>
      <c r="I118" s="248" t="s">
        <v>165</v>
      </c>
      <c r="J118" s="248" t="s">
        <v>165</v>
      </c>
      <c r="K118" s="248" t="s">
        <v>165</v>
      </c>
      <c r="L118" s="248" t="s">
        <v>163</v>
      </c>
      <c r="M118" s="248" t="s">
        <v>161</v>
      </c>
      <c r="N118" s="249">
        <v>11.54</v>
      </c>
      <c r="O118" s="249" t="s">
        <v>163</v>
      </c>
      <c r="P118" s="249" t="s">
        <v>163</v>
      </c>
      <c r="Q118" s="249" t="s">
        <v>163</v>
      </c>
      <c r="R118" s="249" t="s">
        <v>163</v>
      </c>
      <c r="S118" s="250" t="s">
        <v>163</v>
      </c>
      <c r="T118" s="249" t="s">
        <v>163</v>
      </c>
      <c r="U118" s="249" t="s">
        <v>163</v>
      </c>
      <c r="V118" s="251" t="s">
        <v>163</v>
      </c>
      <c r="W118" s="252" t="s">
        <v>165</v>
      </c>
      <c r="X118" s="252" t="s">
        <v>165</v>
      </c>
      <c r="Y118" s="248" t="s">
        <v>163</v>
      </c>
      <c r="Z118" s="231">
        <f>IF(Table4[[#This Row],[ Bran Content]]="-","-",IF(H118&gt;0.02,0,2))</f>
        <v>2</v>
      </c>
      <c r="AA118" s="231">
        <f>IF(Table4[[#This Row],[Sieve Test]]="-","-",IF(Table4[[#This Row],[Sieve Test]]="P",1,0))</f>
        <v>1</v>
      </c>
      <c r="AB118" s="231">
        <f>IF(Table4[[#This Row],[Odor]]="-","-",IF(Table4[[#This Row],[Odor]]="P",2,0))</f>
        <v>2</v>
      </c>
      <c r="AC118" s="231">
        <f>IF(INDEX(MCmin,MATCH(Table4[[#This Row],[SKU]],FG,0))="-","-",IF(Table4[[#This Row],[%MC]]="-","-",IF(Table4[[#This Row],[%MC]]&lt;INDEX(MCmin,MATCH(Table4[[#This Row],[SKU]],FG,0)),0,IF(Table4[[#This Row],[%MC]]&gt;INDEX(MCmax,MATCH(Table4[[#This Row],[SKU]],FG,0)),0,1))))</f>
        <v>1</v>
      </c>
      <c r="AD118" s="231" t="str">
        <f>IF(INDEX(Protmin,MATCH(Table4[[#This Row],[SKU]],FG,0))="-","-",IF(Table4[[#This Row],[%Protein]]="-","-",IF(Table4[[#This Row],[%Protein]]&lt;INDEX(Protmin,MATCH(Table4[[#This Row],[SKU]],FG,0)),0,IF(Table4[[#This Row],[%Protein]]&gt;INDEX(Protmax,MATCH(Table4[[#This Row],[SKU]],FG,0)),0,1))))</f>
        <v>-</v>
      </c>
      <c r="AE118" s="231" t="str">
        <f>IF(INDEX(Ashmin,MATCH(Table4[[#This Row],[SKU]],FG,0))="-","-",IF(Table4[[#This Row],[%Ash]]="-","-",IF(Table4[[#This Row],[%Ash]]&lt;INDEX(Ashmin,MATCH(Table4[[#This Row],[SKU]],FG,0)),0,IF(Table4[[#This Row],[%Ash]]&gt;INDEX(Ashmax,MATCH(Table4[[#This Row],[SKU]],FG,0)),0,2))))</f>
        <v>-</v>
      </c>
      <c r="AF118" s="231" t="str">
        <f>IF(INDEX(Absmin,MATCH(Table4[[#This Row],[SKU]],FG,0))="-","-",IF(Table4[[#This Row],[%Absorption]]="-","-",IF(Table4[[#This Row],[%Absorption]]&lt;INDEX(Absmin,MATCH(Table4[[#This Row],[SKU]],FG,0)),0,IF(Table4[[#This Row],[%Absorption]]&gt;INDEX(Absmax,MATCH(Table4[[#This Row],[SKU]],FG,0)),0,2))))</f>
        <v>-</v>
      </c>
      <c r="AG118" s="231" t="str">
        <f>IF(INDEX(Extmin,MATCH(Table4[[#This Row],[SKU]],FG,0))="-","-",IF(Table4[[#This Row],[%Extensibility]]="-","-",IF(Table4[[#This Row],[%Extensibility]]&lt;INDEX(Extmin,MATCH(Table4[[#This Row],[SKU]],FG,0)),0,IF(Table4[[#This Row],[%Extensibility]]&gt;INDEX(Extmax,MATCH(Table4[[#This Row],[SKU]],FG,0)),0,1))))</f>
        <v>-</v>
      </c>
      <c r="AH118" s="231" t="str">
        <f>IF(INDEX(Resmin,MATCH(Table4[[#This Row],[SKU]],FG,0))="-","-",IF(Table4[[#This Row],[Resistance, max]]="-","-",IF(Table4[[#This Row],[Resistance, max]]&lt;INDEX(Resmin,MATCH(Table4[[#This Row],[SKU]],FG,0)),0,IF(Table4[[#This Row],[Resistance, max]]&gt;INDEX(Resmax,MATCH(Table4[[#This Row],[SKU]],FG,0)),0,1))))</f>
        <v>-</v>
      </c>
      <c r="AI118" s="231" t="str">
        <f>IF(INDEX(WGmin,MATCH(Table4[[#This Row],[SKU]],FG,0))="-","-",IF(Table4[[#This Row],[%Wet Gluten]]="-","-",IF(Table4[[#This Row],[%Wet Gluten]]&lt;INDEX(WGmin,MATCH(Table4[[#This Row],[SKU]],FG,0)),0,IF(Table4[[#This Row],[%Wet Gluten]]&gt;INDEX(WGmax,MATCH(Table4[[#This Row],[SKU]],FG,0)),0,2))))</f>
        <v>-</v>
      </c>
      <c r="AJ118" s="232" t="str">
        <f>IF(Table4[[#This Row],[FN, s]]="-","-",IF(R118&lt;301,1,0))</f>
        <v>-</v>
      </c>
      <c r="AK118" s="233">
        <f>SUM(Table4[[#This Row],[ QI Bran Content]:[QI FN]])</f>
        <v>6</v>
      </c>
      <c r="AL118" s="232">
        <f t="shared" si="7"/>
        <v>6</v>
      </c>
      <c r="AM118" s="232" t="str">
        <f>IF(INDEX(WGmin,MATCH(Table4[[#This Row],[SKU]],FG,0))="-","-",IF(Table4[[#This Row],[Gross Weight]]="-","-",IF(Table4[[#This Row],[Gross Weight]]&lt;INDEX(GWmin,MATCH(Table4[[#This Row],[SKU]],FG,0)),0,IF(Table4[[#This Row],[Gross Weight]]&gt;INDEX(GWmax,MATCH(Table4[[#This Row],[SKU]],FG,0)),0,1))))</f>
        <v>-</v>
      </c>
      <c r="AN118" s="232">
        <f>IF(Table4[[#This Row],[Sealing Integrity]]="-","-",IF(Table4[[#This Row],[Sealing Integrity]]="P",1,0))</f>
        <v>1</v>
      </c>
      <c r="AO118" s="232">
        <f>IF(Table4[[#This Row],[Coding]]="-","-",IF(Table4[[#This Row],[Coding]]="P",1,0))</f>
        <v>1</v>
      </c>
      <c r="AP118" s="233">
        <f>SUM(Table4[[#This Row],[QI Weight]:[QI Code]])</f>
        <v>2</v>
      </c>
      <c r="AQ118" s="233">
        <f>COUNT(Table4[[#This Row],[QI Weight]:[QI Code]])</f>
        <v>2</v>
      </c>
      <c r="AR118" s="261">
        <f>Table4[[#This Row],[TA]]+Table4[[#This Row],[TA2]]</f>
        <v>8</v>
      </c>
      <c r="AS118" s="261">
        <f>Table4[[#This Row],[TP]]+Table4[[#This Row],[TP2]]</f>
        <v>8</v>
      </c>
      <c r="BD118" s="265">
        <f>IF(INDEX(MCmin,MATCH(Table4[[#This Row],[SKU]],FG,0))="-","-",IF(Table4[[#This Row],[%MC]]="-","-",IF(Table4[[#This Row],[%MC]]&lt;INDEX(MCmin,MATCH(Table4[[#This Row],[SKU]],FG,0)),1,0)))</f>
        <v>0</v>
      </c>
      <c r="BE118" s="265">
        <f>IF(INDEX(MCmin,MATCH(Table4[[#This Row],[SKU]],FG,0))="-","-",IF(Table4[[#This Row],[%MC]]="-","-",IF(Table4[[#This Row],[%MC]]&gt;INDEX(MCmax,MATCH(Table4[[#This Row],[SKU]],FG,0)),1,0)))</f>
        <v>0</v>
      </c>
      <c r="BF118" s="231" t="str">
        <f>IF(INDEX(Ashmin,MATCH(Table4[[#This Row],[SKU]],FG,0))="-","-",IF(Table4[[#This Row],[%Ash]]="-","-",IF(Table4[[#This Row],[%Ash]]&lt;INDEX(Ashmin,MATCH(Table4[[#This Row],[SKU]],FG,0)),1,0)))</f>
        <v>-</v>
      </c>
      <c r="BG118" s="231" t="str">
        <f>IF(INDEX(Ashmin,MATCH(Table4[[#This Row],[SKU]],FG,0))="-","-",IF(Table4[[#This Row],[%Ash]]="-","-",IF(Table4[[#This Row],[%Ash]]&gt;INDEX(Ashmax,MATCH(Table4[[#This Row],[SKU]],FG,0)),1,0)))</f>
        <v>-</v>
      </c>
      <c r="BH118" s="231" t="str">
        <f>IF(INDEX(Absmin,MATCH(Table4[[#This Row],[SKU]],FG,0))="-","-",IF(Table4[[#This Row],[%Absorption]]="-","-",IF(Table4[[#This Row],[%Absorption]]&lt;INDEX(Absmin,MATCH(Table4[[#This Row],[SKU]],FG,0)),1,0)))</f>
        <v>-</v>
      </c>
      <c r="BI118" s="231" t="str">
        <f>IF(INDEX(Absmin,MATCH(Table4[[#This Row],[SKU]],FG,0))="-","-",IF(Table4[[#This Row],[%Absorption]]="-","-",IF(Table4[[#This Row],[%Absorption]]&gt;INDEX(Absmax,MATCH(Table4[[#This Row],[SKU]],FG,0)),1,0)))</f>
        <v>-</v>
      </c>
      <c r="BJ118" s="231" t="str">
        <f>IF(INDEX(WGmin,MATCH(Table4[[#This Row],[SKU]],FG,0))="-","-",IF(Table4[[#This Row],[%Wet Gluten]]="-","-",IF(Table4[[#This Row],[%Wet Gluten]]&lt;INDEX(WGmin,MATCH(Table4[[#This Row],[SKU]],FG,0)),1,0)))</f>
        <v>-</v>
      </c>
      <c r="BK118" s="231" t="str">
        <f>IF(INDEX(WGmin,MATCH(Table4[[#This Row],[SKU]],FG,0))="-","-",IF(Table4[[#This Row],[%Wet Gluten]]="-","-",IF(Table4[[#This Row],[%Wet Gluten]]&gt;INDEX(WGmax,MATCH(Table4[[#This Row],[SKU]],FG,0)),1,0)))</f>
        <v>-</v>
      </c>
    </row>
    <row r="119" spans="1:63" x14ac:dyDescent="0.35">
      <c r="A119" s="243">
        <v>46023</v>
      </c>
      <c r="B119" s="244">
        <v>46028</v>
      </c>
      <c r="C119" s="244">
        <v>46027</v>
      </c>
      <c r="D119" s="244" t="s">
        <v>130</v>
      </c>
      <c r="E119" s="245">
        <v>1.0416666666666701</v>
      </c>
      <c r="F119" s="246">
        <v>2</v>
      </c>
      <c r="G119" s="259" t="s">
        <v>138</v>
      </c>
      <c r="H119" s="247">
        <v>2.8999999999999998E-3</v>
      </c>
      <c r="I119" s="248" t="s">
        <v>165</v>
      </c>
      <c r="J119" s="248" t="s">
        <v>165</v>
      </c>
      <c r="K119" s="248" t="s">
        <v>165</v>
      </c>
      <c r="L119" s="248" t="s">
        <v>163</v>
      </c>
      <c r="M119" s="248" t="s">
        <v>161</v>
      </c>
      <c r="N119" s="249">
        <v>11.54</v>
      </c>
      <c r="O119" s="249" t="s">
        <v>163</v>
      </c>
      <c r="P119" s="249" t="s">
        <v>163</v>
      </c>
      <c r="Q119" s="249" t="s">
        <v>163</v>
      </c>
      <c r="R119" s="249" t="s">
        <v>163</v>
      </c>
      <c r="S119" s="250" t="s">
        <v>163</v>
      </c>
      <c r="T119" s="249" t="s">
        <v>163</v>
      </c>
      <c r="U119" s="249" t="s">
        <v>163</v>
      </c>
      <c r="V119" s="251" t="s">
        <v>163</v>
      </c>
      <c r="W119" s="252" t="s">
        <v>165</v>
      </c>
      <c r="X119" s="252" t="s">
        <v>165</v>
      </c>
      <c r="Y119" s="248" t="s">
        <v>163</v>
      </c>
      <c r="Z119" s="231">
        <f>IF(Table4[[#This Row],[ Bran Content]]="-","-",IF(H119&gt;0.02,0,2))</f>
        <v>2</v>
      </c>
      <c r="AA119" s="231">
        <f>IF(Table4[[#This Row],[Sieve Test]]="-","-",IF(Table4[[#This Row],[Sieve Test]]="P",1,0))</f>
        <v>1</v>
      </c>
      <c r="AB119" s="231">
        <f>IF(Table4[[#This Row],[Odor]]="-","-",IF(Table4[[#This Row],[Odor]]="P",2,0))</f>
        <v>2</v>
      </c>
      <c r="AC119" s="231">
        <f>IF(INDEX(MCmin,MATCH(Table4[[#This Row],[SKU]],FG,0))="-","-",IF(Table4[[#This Row],[%MC]]="-","-",IF(Table4[[#This Row],[%MC]]&lt;INDEX(MCmin,MATCH(Table4[[#This Row],[SKU]],FG,0)),0,IF(Table4[[#This Row],[%MC]]&gt;INDEX(MCmax,MATCH(Table4[[#This Row],[SKU]],FG,0)),0,1))))</f>
        <v>1</v>
      </c>
      <c r="AD119" s="231" t="str">
        <f>IF(INDEX(Protmin,MATCH(Table4[[#This Row],[SKU]],FG,0))="-","-",IF(Table4[[#This Row],[%Protein]]="-","-",IF(Table4[[#This Row],[%Protein]]&lt;INDEX(Protmin,MATCH(Table4[[#This Row],[SKU]],FG,0)),0,IF(Table4[[#This Row],[%Protein]]&gt;INDEX(Protmax,MATCH(Table4[[#This Row],[SKU]],FG,0)),0,1))))</f>
        <v>-</v>
      </c>
      <c r="AE119" s="231" t="str">
        <f>IF(INDEX(Ashmin,MATCH(Table4[[#This Row],[SKU]],FG,0))="-","-",IF(Table4[[#This Row],[%Ash]]="-","-",IF(Table4[[#This Row],[%Ash]]&lt;INDEX(Ashmin,MATCH(Table4[[#This Row],[SKU]],FG,0)),0,IF(Table4[[#This Row],[%Ash]]&gt;INDEX(Ashmax,MATCH(Table4[[#This Row],[SKU]],FG,0)),0,2))))</f>
        <v>-</v>
      </c>
      <c r="AF119" s="231" t="str">
        <f>IF(INDEX(Absmin,MATCH(Table4[[#This Row],[SKU]],FG,0))="-","-",IF(Table4[[#This Row],[%Absorption]]="-","-",IF(Table4[[#This Row],[%Absorption]]&lt;INDEX(Absmin,MATCH(Table4[[#This Row],[SKU]],FG,0)),0,IF(Table4[[#This Row],[%Absorption]]&gt;INDEX(Absmax,MATCH(Table4[[#This Row],[SKU]],FG,0)),0,2))))</f>
        <v>-</v>
      </c>
      <c r="AG119" s="231" t="str">
        <f>IF(INDEX(Extmin,MATCH(Table4[[#This Row],[SKU]],FG,0))="-","-",IF(Table4[[#This Row],[%Extensibility]]="-","-",IF(Table4[[#This Row],[%Extensibility]]&lt;INDEX(Extmin,MATCH(Table4[[#This Row],[SKU]],FG,0)),0,IF(Table4[[#This Row],[%Extensibility]]&gt;INDEX(Extmax,MATCH(Table4[[#This Row],[SKU]],FG,0)),0,1))))</f>
        <v>-</v>
      </c>
      <c r="AH119" s="231" t="str">
        <f>IF(INDEX(Resmin,MATCH(Table4[[#This Row],[SKU]],FG,0))="-","-",IF(Table4[[#This Row],[Resistance, max]]="-","-",IF(Table4[[#This Row],[Resistance, max]]&lt;INDEX(Resmin,MATCH(Table4[[#This Row],[SKU]],FG,0)),0,IF(Table4[[#This Row],[Resistance, max]]&gt;INDEX(Resmax,MATCH(Table4[[#This Row],[SKU]],FG,0)),0,1))))</f>
        <v>-</v>
      </c>
      <c r="AI119" s="231" t="str">
        <f>IF(INDEX(WGmin,MATCH(Table4[[#This Row],[SKU]],FG,0))="-","-",IF(Table4[[#This Row],[%Wet Gluten]]="-","-",IF(Table4[[#This Row],[%Wet Gluten]]&lt;INDEX(WGmin,MATCH(Table4[[#This Row],[SKU]],FG,0)),0,IF(Table4[[#This Row],[%Wet Gluten]]&gt;INDEX(WGmax,MATCH(Table4[[#This Row],[SKU]],FG,0)),0,2))))</f>
        <v>-</v>
      </c>
      <c r="AJ119" s="232" t="str">
        <f>IF(Table4[[#This Row],[FN, s]]="-","-",IF(R119&lt;301,1,0))</f>
        <v>-</v>
      </c>
      <c r="AK119" s="233">
        <f>SUM(Table4[[#This Row],[ QI Bran Content]:[QI FN]])</f>
        <v>6</v>
      </c>
      <c r="AL119" s="232">
        <f t="shared" si="7"/>
        <v>6</v>
      </c>
      <c r="AM119" s="232" t="str">
        <f>IF(INDEX(WGmin,MATCH(Table4[[#This Row],[SKU]],FG,0))="-","-",IF(Table4[[#This Row],[Gross Weight]]="-","-",IF(Table4[[#This Row],[Gross Weight]]&lt;INDEX(GWmin,MATCH(Table4[[#This Row],[SKU]],FG,0)),0,IF(Table4[[#This Row],[Gross Weight]]&gt;INDEX(GWmax,MATCH(Table4[[#This Row],[SKU]],FG,0)),0,1))))</f>
        <v>-</v>
      </c>
      <c r="AN119" s="232">
        <f>IF(Table4[[#This Row],[Sealing Integrity]]="-","-",IF(Table4[[#This Row],[Sealing Integrity]]="P",1,0))</f>
        <v>1</v>
      </c>
      <c r="AO119" s="232">
        <f>IF(Table4[[#This Row],[Coding]]="-","-",IF(Table4[[#This Row],[Coding]]="P",1,0))</f>
        <v>1</v>
      </c>
      <c r="AP119" s="233">
        <f>SUM(Table4[[#This Row],[QI Weight]:[QI Code]])</f>
        <v>2</v>
      </c>
      <c r="AQ119" s="233">
        <f>COUNT(Table4[[#This Row],[QI Weight]:[QI Code]])</f>
        <v>2</v>
      </c>
      <c r="AR119" s="261">
        <f>Table4[[#This Row],[TA]]+Table4[[#This Row],[TA2]]</f>
        <v>8</v>
      </c>
      <c r="AS119" s="261">
        <f>Table4[[#This Row],[TP]]+Table4[[#This Row],[TP2]]</f>
        <v>8</v>
      </c>
      <c r="BD119" s="265">
        <f>IF(INDEX(MCmin,MATCH(Table4[[#This Row],[SKU]],FG,0))="-","-",IF(Table4[[#This Row],[%MC]]="-","-",IF(Table4[[#This Row],[%MC]]&lt;INDEX(MCmin,MATCH(Table4[[#This Row],[SKU]],FG,0)),1,0)))</f>
        <v>0</v>
      </c>
      <c r="BE119" s="265">
        <f>IF(INDEX(MCmin,MATCH(Table4[[#This Row],[SKU]],FG,0))="-","-",IF(Table4[[#This Row],[%MC]]="-","-",IF(Table4[[#This Row],[%MC]]&gt;INDEX(MCmax,MATCH(Table4[[#This Row],[SKU]],FG,0)),1,0)))</f>
        <v>0</v>
      </c>
      <c r="BF119" s="231" t="str">
        <f>IF(INDEX(Ashmin,MATCH(Table4[[#This Row],[SKU]],FG,0))="-","-",IF(Table4[[#This Row],[%Ash]]="-","-",IF(Table4[[#This Row],[%Ash]]&lt;INDEX(Ashmin,MATCH(Table4[[#This Row],[SKU]],FG,0)),1,0)))</f>
        <v>-</v>
      </c>
      <c r="BG119" s="231" t="str">
        <f>IF(INDEX(Ashmin,MATCH(Table4[[#This Row],[SKU]],FG,0))="-","-",IF(Table4[[#This Row],[%Ash]]="-","-",IF(Table4[[#This Row],[%Ash]]&gt;INDEX(Ashmax,MATCH(Table4[[#This Row],[SKU]],FG,0)),1,0)))</f>
        <v>-</v>
      </c>
      <c r="BH119" s="231" t="str">
        <f>IF(INDEX(Absmin,MATCH(Table4[[#This Row],[SKU]],FG,0))="-","-",IF(Table4[[#This Row],[%Absorption]]="-","-",IF(Table4[[#This Row],[%Absorption]]&lt;INDEX(Absmin,MATCH(Table4[[#This Row],[SKU]],FG,0)),1,0)))</f>
        <v>-</v>
      </c>
      <c r="BI119" s="231" t="str">
        <f>IF(INDEX(Absmin,MATCH(Table4[[#This Row],[SKU]],FG,0))="-","-",IF(Table4[[#This Row],[%Absorption]]="-","-",IF(Table4[[#This Row],[%Absorption]]&gt;INDEX(Absmax,MATCH(Table4[[#This Row],[SKU]],FG,0)),1,0)))</f>
        <v>-</v>
      </c>
      <c r="BJ119" s="231" t="str">
        <f>IF(INDEX(WGmin,MATCH(Table4[[#This Row],[SKU]],FG,0))="-","-",IF(Table4[[#This Row],[%Wet Gluten]]="-","-",IF(Table4[[#This Row],[%Wet Gluten]]&lt;INDEX(WGmin,MATCH(Table4[[#This Row],[SKU]],FG,0)),1,0)))</f>
        <v>-</v>
      </c>
      <c r="BK119" s="231" t="str">
        <f>IF(INDEX(WGmin,MATCH(Table4[[#This Row],[SKU]],FG,0))="-","-",IF(Table4[[#This Row],[%Wet Gluten]]="-","-",IF(Table4[[#This Row],[%Wet Gluten]]&gt;INDEX(WGmax,MATCH(Table4[[#This Row],[SKU]],FG,0)),1,0)))</f>
        <v>-</v>
      </c>
    </row>
    <row r="120" spans="1:63" x14ac:dyDescent="0.35">
      <c r="A120" s="243">
        <v>46023</v>
      </c>
      <c r="B120" s="244">
        <v>46028</v>
      </c>
      <c r="C120" s="244">
        <v>0</v>
      </c>
      <c r="D120" s="244" t="s">
        <v>128</v>
      </c>
      <c r="E120" s="245">
        <v>0.625</v>
      </c>
      <c r="F120" s="246" t="s">
        <v>383</v>
      </c>
      <c r="G120" s="259" t="s">
        <v>172</v>
      </c>
      <c r="H120" s="247" t="s">
        <v>163</v>
      </c>
      <c r="I120" s="248" t="s">
        <v>163</v>
      </c>
      <c r="J120" s="248" t="s">
        <v>163</v>
      </c>
      <c r="K120" s="248" t="s">
        <v>163</v>
      </c>
      <c r="L120" s="248" t="s">
        <v>163</v>
      </c>
      <c r="M120" s="248" t="s">
        <v>163</v>
      </c>
      <c r="N120" s="249">
        <v>10.47</v>
      </c>
      <c r="O120" s="249" t="s">
        <v>163</v>
      </c>
      <c r="P120" s="249">
        <v>4.45</v>
      </c>
      <c r="Q120" s="249" t="s">
        <v>163</v>
      </c>
      <c r="R120" s="249" t="s">
        <v>163</v>
      </c>
      <c r="S120" s="250" t="s">
        <v>163</v>
      </c>
      <c r="T120" s="249" t="s">
        <v>163</v>
      </c>
      <c r="U120" s="249" t="s">
        <v>163</v>
      </c>
      <c r="V120" s="251" t="s">
        <v>163</v>
      </c>
      <c r="W120" s="252" t="s">
        <v>163</v>
      </c>
      <c r="X120" s="252" t="s">
        <v>163</v>
      </c>
      <c r="Y120" s="248" t="s">
        <v>163</v>
      </c>
      <c r="Z120" s="231" t="str">
        <f>IF(Table4[[#This Row],[ Bran Content]]="-","-",IF(H120&gt;0.02,0,2))</f>
        <v>-</v>
      </c>
      <c r="AA120" s="231" t="str">
        <f>IF(Table4[[#This Row],[Sieve Test]]="-","-",IF(Table4[[#This Row],[Sieve Test]]="P",1,0))</f>
        <v>-</v>
      </c>
      <c r="AB120" s="231" t="str">
        <f>IF(Table4[[#This Row],[Odor]]="-","-",IF(Table4[[#This Row],[Odor]]="P",2,0))</f>
        <v>-</v>
      </c>
      <c r="AC120" s="231">
        <f>IF(INDEX(MCmin,MATCH(Table4[[#This Row],[SKU]],FG,0))="-","-",IF(Table4[[#This Row],[%MC]]="-","-",IF(Table4[[#This Row],[%MC]]&lt;INDEX(MCmin,MATCH(Table4[[#This Row],[SKU]],FG,0)),0,IF(Table4[[#This Row],[%MC]]&gt;INDEX(MCmax,MATCH(Table4[[#This Row],[SKU]],FG,0)),0,1))))</f>
        <v>1</v>
      </c>
      <c r="AD120" s="231" t="str">
        <f>IF(INDEX(Protmin,MATCH(Table4[[#This Row],[SKU]],FG,0))="-","-",IF(Table4[[#This Row],[%Protein]]="-","-",IF(Table4[[#This Row],[%Protein]]&lt;INDEX(Protmin,MATCH(Table4[[#This Row],[SKU]],FG,0)),0,IF(Table4[[#This Row],[%Protein]]&gt;INDEX(Protmax,MATCH(Table4[[#This Row],[SKU]],FG,0)),0,1))))</f>
        <v>-</v>
      </c>
      <c r="AE120" s="231">
        <f>IF(INDEX(Ashmin,MATCH(Table4[[#This Row],[SKU]],FG,0))="-","-",IF(Table4[[#This Row],[%Ash]]="-","-",IF(Table4[[#This Row],[%Ash]]&lt;INDEX(Ashmin,MATCH(Table4[[#This Row],[SKU]],FG,0)),0,IF(Table4[[#This Row],[%Ash]]&gt;INDEX(Ashmax,MATCH(Table4[[#This Row],[SKU]],FG,0)),0,2))))</f>
        <v>2</v>
      </c>
      <c r="AF120" s="231" t="str">
        <f>IF(INDEX(Absmin,MATCH(Table4[[#This Row],[SKU]],FG,0))="-","-",IF(Table4[[#This Row],[%Absorption]]="-","-",IF(Table4[[#This Row],[%Absorption]]&lt;INDEX(Absmin,MATCH(Table4[[#This Row],[SKU]],FG,0)),0,IF(Table4[[#This Row],[%Absorption]]&gt;INDEX(Absmax,MATCH(Table4[[#This Row],[SKU]],FG,0)),0,2))))</f>
        <v>-</v>
      </c>
      <c r="AG120" s="231" t="str">
        <f>IF(INDEX(Extmin,MATCH(Table4[[#This Row],[SKU]],FG,0))="-","-",IF(Table4[[#This Row],[%Extensibility]]="-","-",IF(Table4[[#This Row],[%Extensibility]]&lt;INDEX(Extmin,MATCH(Table4[[#This Row],[SKU]],FG,0)),0,IF(Table4[[#This Row],[%Extensibility]]&gt;INDEX(Extmax,MATCH(Table4[[#This Row],[SKU]],FG,0)),0,1))))</f>
        <v>-</v>
      </c>
      <c r="AH120" s="231" t="str">
        <f>IF(INDEX(Resmin,MATCH(Table4[[#This Row],[SKU]],FG,0))="-","-",IF(Table4[[#This Row],[Resistance, max]]="-","-",IF(Table4[[#This Row],[Resistance, max]]&lt;INDEX(Resmin,MATCH(Table4[[#This Row],[SKU]],FG,0)),0,IF(Table4[[#This Row],[Resistance, max]]&gt;INDEX(Resmax,MATCH(Table4[[#This Row],[SKU]],FG,0)),0,1))))</f>
        <v>-</v>
      </c>
      <c r="AI120" s="231" t="str">
        <f>IF(INDEX(WGmin,MATCH(Table4[[#This Row],[SKU]],FG,0))="-","-",IF(Table4[[#This Row],[%Wet Gluten]]="-","-",IF(Table4[[#This Row],[%Wet Gluten]]&lt;INDEX(WGmin,MATCH(Table4[[#This Row],[SKU]],FG,0)),0,IF(Table4[[#This Row],[%Wet Gluten]]&gt;INDEX(WGmax,MATCH(Table4[[#This Row],[SKU]],FG,0)),0,2))))</f>
        <v>-</v>
      </c>
      <c r="AJ120" s="232" t="str">
        <f>IF(Table4[[#This Row],[FN, s]]="-","-",IF(R120&lt;301,1,0))</f>
        <v>-</v>
      </c>
      <c r="AK120" s="233">
        <f>SUM(Table4[[#This Row],[ QI Bran Content]:[QI FN]])</f>
        <v>3</v>
      </c>
      <c r="AL120" s="232">
        <f t="shared" si="7"/>
        <v>3</v>
      </c>
      <c r="AM120" s="232" t="str">
        <f>IF(INDEX(WGmin,MATCH(Table4[[#This Row],[SKU]],FG,0))="-","-",IF(Table4[[#This Row],[Gross Weight]]="-","-",IF(Table4[[#This Row],[Gross Weight]]&lt;INDEX(GWmin,MATCH(Table4[[#This Row],[SKU]],FG,0)),0,IF(Table4[[#This Row],[Gross Weight]]&gt;INDEX(GWmax,MATCH(Table4[[#This Row],[SKU]],FG,0)),0,1))))</f>
        <v>-</v>
      </c>
      <c r="AN120" s="232" t="str">
        <f>IF(Table4[[#This Row],[Sealing Integrity]]="-","-",IF(Table4[[#This Row],[Sealing Integrity]]="P",1,0))</f>
        <v>-</v>
      </c>
      <c r="AO120" s="232" t="str">
        <f>IF(Table4[[#This Row],[Coding]]="-","-",IF(Table4[[#This Row],[Coding]]="P",1,0))</f>
        <v>-</v>
      </c>
      <c r="AP120" s="233">
        <f>SUM(Table4[[#This Row],[QI Weight]:[QI Code]])</f>
        <v>0</v>
      </c>
      <c r="AQ120" s="233">
        <f>COUNT(Table4[[#This Row],[QI Weight]:[QI Code]])</f>
        <v>0</v>
      </c>
      <c r="AR120" s="261">
        <f>Table4[[#This Row],[TA]]+Table4[[#This Row],[TA2]]</f>
        <v>3</v>
      </c>
      <c r="AS120" s="261">
        <f>Table4[[#This Row],[TP]]+Table4[[#This Row],[TP2]]</f>
        <v>3</v>
      </c>
      <c r="BD120" s="265">
        <f>IF(INDEX(MCmin,MATCH(Table4[[#This Row],[SKU]],FG,0))="-","-",IF(Table4[[#This Row],[%MC]]="-","-",IF(Table4[[#This Row],[%MC]]&lt;INDEX(MCmin,MATCH(Table4[[#This Row],[SKU]],FG,0)),1,0)))</f>
        <v>0</v>
      </c>
      <c r="BE120" s="265">
        <f>IF(INDEX(MCmin,MATCH(Table4[[#This Row],[SKU]],FG,0))="-","-",IF(Table4[[#This Row],[%MC]]="-","-",IF(Table4[[#This Row],[%MC]]&gt;INDEX(MCmax,MATCH(Table4[[#This Row],[SKU]],FG,0)),1,0)))</f>
        <v>0</v>
      </c>
      <c r="BF120" s="231">
        <f>IF(INDEX(Ashmin,MATCH(Table4[[#This Row],[SKU]],FG,0))="-","-",IF(Table4[[#This Row],[%Ash]]="-","-",IF(Table4[[#This Row],[%Ash]]&lt;INDEX(Ashmin,MATCH(Table4[[#This Row],[SKU]],FG,0)),1,0)))</f>
        <v>0</v>
      </c>
      <c r="BG120" s="231">
        <f>IF(INDEX(Ashmin,MATCH(Table4[[#This Row],[SKU]],FG,0))="-","-",IF(Table4[[#This Row],[%Ash]]="-","-",IF(Table4[[#This Row],[%Ash]]&gt;INDEX(Ashmax,MATCH(Table4[[#This Row],[SKU]],FG,0)),1,0)))</f>
        <v>0</v>
      </c>
      <c r="BH120" s="231" t="str">
        <f>IF(INDEX(Absmin,MATCH(Table4[[#This Row],[SKU]],FG,0))="-","-",IF(Table4[[#This Row],[%Absorption]]="-","-",IF(Table4[[#This Row],[%Absorption]]&lt;INDEX(Absmin,MATCH(Table4[[#This Row],[SKU]],FG,0)),1,0)))</f>
        <v>-</v>
      </c>
      <c r="BI120" s="231" t="str">
        <f>IF(INDEX(Absmin,MATCH(Table4[[#This Row],[SKU]],FG,0))="-","-",IF(Table4[[#This Row],[%Absorption]]="-","-",IF(Table4[[#This Row],[%Absorption]]&gt;INDEX(Absmax,MATCH(Table4[[#This Row],[SKU]],FG,0)),1,0)))</f>
        <v>-</v>
      </c>
      <c r="BJ120" s="231" t="str">
        <f>IF(INDEX(WGmin,MATCH(Table4[[#This Row],[SKU]],FG,0))="-","-",IF(Table4[[#This Row],[%Wet Gluten]]="-","-",IF(Table4[[#This Row],[%Wet Gluten]]&lt;INDEX(WGmin,MATCH(Table4[[#This Row],[SKU]],FG,0)),1,0)))</f>
        <v>-</v>
      </c>
      <c r="BK120" s="231" t="str">
        <f>IF(INDEX(WGmin,MATCH(Table4[[#This Row],[SKU]],FG,0))="-","-",IF(Table4[[#This Row],[%Wet Gluten]]="-","-",IF(Table4[[#This Row],[%Wet Gluten]]&gt;INDEX(WGmax,MATCH(Table4[[#This Row],[SKU]],FG,0)),1,0)))</f>
        <v>-</v>
      </c>
    </row>
    <row r="121" spans="1:63" x14ac:dyDescent="0.35">
      <c r="A121" s="243">
        <v>46023</v>
      </c>
      <c r="B121" s="244">
        <v>46028</v>
      </c>
      <c r="C121" s="244">
        <v>46026</v>
      </c>
      <c r="D121" s="244" t="s">
        <v>128</v>
      </c>
      <c r="E121" s="245">
        <v>0.70833333333333304</v>
      </c>
      <c r="F121" s="246">
        <v>2</v>
      </c>
      <c r="G121" s="259" t="s">
        <v>145</v>
      </c>
      <c r="H121" s="247">
        <v>7.1999999999999998E-3</v>
      </c>
      <c r="I121" s="248" t="s">
        <v>165</v>
      </c>
      <c r="J121" s="248" t="s">
        <v>165</v>
      </c>
      <c r="K121" s="248" t="s">
        <v>165</v>
      </c>
      <c r="L121" s="248" t="s">
        <v>161</v>
      </c>
      <c r="M121" s="248" t="s">
        <v>161</v>
      </c>
      <c r="N121" s="249">
        <v>12.87</v>
      </c>
      <c r="O121" s="249">
        <v>13.65</v>
      </c>
      <c r="P121" s="249">
        <v>0.45</v>
      </c>
      <c r="Q121" s="249">
        <v>64</v>
      </c>
      <c r="R121" s="249">
        <v>12.2</v>
      </c>
      <c r="S121" s="250">
        <v>771</v>
      </c>
      <c r="T121" s="249">
        <v>38.4</v>
      </c>
      <c r="U121" s="249" t="s">
        <v>163</v>
      </c>
      <c r="V121" s="251" t="s">
        <v>163</v>
      </c>
      <c r="W121" s="252" t="s">
        <v>165</v>
      </c>
      <c r="X121" s="252" t="s">
        <v>165</v>
      </c>
      <c r="Y121" s="248" t="s">
        <v>163</v>
      </c>
      <c r="Z121" s="231">
        <f>IF(Table4[[#This Row],[ Bran Content]]="-","-",IF(H121&gt;0.02,0,2))</f>
        <v>2</v>
      </c>
      <c r="AA121" s="231">
        <f>IF(Table4[[#This Row],[Sieve Test]]="-","-",IF(Table4[[#This Row],[Sieve Test]]="P",1,0))</f>
        <v>1</v>
      </c>
      <c r="AB121" s="231">
        <f>IF(Table4[[#This Row],[Odor]]="-","-",IF(Table4[[#This Row],[Odor]]="P",2,0))</f>
        <v>2</v>
      </c>
      <c r="AC121" s="231">
        <f>IF(INDEX(MCmin,MATCH(Table4[[#This Row],[SKU]],FG,0))="-","-",IF(Table4[[#This Row],[%MC]]="-","-",IF(Table4[[#This Row],[%MC]]&lt;INDEX(MCmin,MATCH(Table4[[#This Row],[SKU]],FG,0)),0,IF(Table4[[#This Row],[%MC]]&gt;INDEX(MCmax,MATCH(Table4[[#This Row],[SKU]],FG,0)),0,1))))</f>
        <v>1</v>
      </c>
      <c r="AD121" s="231">
        <f>IF(INDEX(Protmin,MATCH(Table4[[#This Row],[SKU]],FG,0))="-","-",IF(Table4[[#This Row],[%Protein]]="-","-",IF(Table4[[#This Row],[%Protein]]&lt;INDEX(Protmin,MATCH(Table4[[#This Row],[SKU]],FG,0)),0,IF(Table4[[#This Row],[%Protein]]&gt;INDEX(Protmax,MATCH(Table4[[#This Row],[SKU]],FG,0)),0,1))))</f>
        <v>1</v>
      </c>
      <c r="AE121" s="231">
        <f>IF(INDEX(Ashmin,MATCH(Table4[[#This Row],[SKU]],FG,0))="-","-",IF(Table4[[#This Row],[%Ash]]="-","-",IF(Table4[[#This Row],[%Ash]]&lt;INDEX(Ashmin,MATCH(Table4[[#This Row],[SKU]],FG,0)),0,IF(Table4[[#This Row],[%Ash]]&gt;INDEX(Ashmax,MATCH(Table4[[#This Row],[SKU]],FG,0)),0,2))))</f>
        <v>2</v>
      </c>
      <c r="AF121" s="231">
        <f>IF(INDEX(Absmin,MATCH(Table4[[#This Row],[SKU]],FG,0))="-","-",IF(Table4[[#This Row],[%Absorption]]="-","-",IF(Table4[[#This Row],[%Absorption]]&lt;INDEX(Absmin,MATCH(Table4[[#This Row],[SKU]],FG,0)),0,IF(Table4[[#This Row],[%Absorption]]&gt;INDEX(Absmax,MATCH(Table4[[#This Row],[SKU]],FG,0)),0,2))))</f>
        <v>2</v>
      </c>
      <c r="AG121" s="231">
        <f>IF(INDEX(Extmin,MATCH(Table4[[#This Row],[SKU]],FG,0))="-","-",IF(Table4[[#This Row],[%Extensibility]]="-","-",IF(Table4[[#This Row],[%Extensibility]]&lt;INDEX(Extmin,MATCH(Table4[[#This Row],[SKU]],FG,0)),0,IF(Table4[[#This Row],[%Extensibility]]&gt;INDEX(Extmax,MATCH(Table4[[#This Row],[SKU]],FG,0)),0,1))))</f>
        <v>1</v>
      </c>
      <c r="AH121" s="231">
        <f>IF(INDEX(Resmin,MATCH(Table4[[#This Row],[SKU]],FG,0))="-","-",IF(Table4[[#This Row],[Resistance, max]]="-","-",IF(Table4[[#This Row],[Resistance, max]]&lt;INDEX(Resmin,MATCH(Table4[[#This Row],[SKU]],FG,0)),0,IF(Table4[[#This Row],[Resistance, max]]&gt;INDEX(Resmax,MATCH(Table4[[#This Row],[SKU]],FG,0)),0,1))))</f>
        <v>1</v>
      </c>
      <c r="AI121" s="231">
        <f>IF(INDEX(WGmin,MATCH(Table4[[#This Row],[SKU]],FG,0))="-","-",IF(Table4[[#This Row],[%Wet Gluten]]="-","-",IF(Table4[[#This Row],[%Wet Gluten]]&lt;INDEX(WGmin,MATCH(Table4[[#This Row],[SKU]],FG,0)),0,IF(Table4[[#This Row],[%Wet Gluten]]&gt;INDEX(WGmax,MATCH(Table4[[#This Row],[SKU]],FG,0)),0,2))))</f>
        <v>2</v>
      </c>
      <c r="AJ121" s="232" t="str">
        <f>IF(Table4[[#This Row],[FN, s]]="-","-",IF(R121&lt;301,1,0))</f>
        <v>-</v>
      </c>
      <c r="AK121" s="233">
        <f>SUM(Table4[[#This Row],[ QI Bran Content]:[QI FN]])</f>
        <v>15</v>
      </c>
      <c r="AL121" s="232">
        <f t="shared" si="7"/>
        <v>15</v>
      </c>
      <c r="AM121" s="232" t="str">
        <f>IF(INDEX(WGmin,MATCH(Table4[[#This Row],[SKU]],FG,0))="-","-",IF(Table4[[#This Row],[Gross Weight]]="-","-",IF(Table4[[#This Row],[Gross Weight]]&lt;INDEX(GWmin,MATCH(Table4[[#This Row],[SKU]],FG,0)),0,IF(Table4[[#This Row],[Gross Weight]]&gt;INDEX(GWmax,MATCH(Table4[[#This Row],[SKU]],FG,0)),0,1))))</f>
        <v>-</v>
      </c>
      <c r="AN121" s="232">
        <f>IF(Table4[[#This Row],[Sealing Integrity]]="-","-",IF(Table4[[#This Row],[Sealing Integrity]]="P",1,0))</f>
        <v>1</v>
      </c>
      <c r="AO121" s="232">
        <f>IF(Table4[[#This Row],[Coding]]="-","-",IF(Table4[[#This Row],[Coding]]="P",1,0))</f>
        <v>1</v>
      </c>
      <c r="AP121" s="233">
        <f>SUM(Table4[[#This Row],[QI Weight]:[QI Code]])</f>
        <v>2</v>
      </c>
      <c r="AQ121" s="233">
        <f>COUNT(Table4[[#This Row],[QI Weight]:[QI Code]])</f>
        <v>2</v>
      </c>
      <c r="AR121" s="261">
        <f>Table4[[#This Row],[TA]]+Table4[[#This Row],[TA2]]</f>
        <v>17</v>
      </c>
      <c r="AS121" s="261">
        <f>Table4[[#This Row],[TP]]+Table4[[#This Row],[TP2]]</f>
        <v>17</v>
      </c>
      <c r="BD121" s="265">
        <f>IF(INDEX(MCmin,MATCH(Table4[[#This Row],[SKU]],FG,0))="-","-",IF(Table4[[#This Row],[%MC]]="-","-",IF(Table4[[#This Row],[%MC]]&lt;INDEX(MCmin,MATCH(Table4[[#This Row],[SKU]],FG,0)),1,0)))</f>
        <v>0</v>
      </c>
      <c r="BE121" s="265">
        <f>IF(INDEX(MCmin,MATCH(Table4[[#This Row],[SKU]],FG,0))="-","-",IF(Table4[[#This Row],[%MC]]="-","-",IF(Table4[[#This Row],[%MC]]&gt;INDEX(MCmax,MATCH(Table4[[#This Row],[SKU]],FG,0)),1,0)))</f>
        <v>0</v>
      </c>
      <c r="BF121" s="231">
        <f>IF(INDEX(Ashmin,MATCH(Table4[[#This Row],[SKU]],FG,0))="-","-",IF(Table4[[#This Row],[%Ash]]="-","-",IF(Table4[[#This Row],[%Ash]]&lt;INDEX(Ashmin,MATCH(Table4[[#This Row],[SKU]],FG,0)),1,0)))</f>
        <v>0</v>
      </c>
      <c r="BG121" s="231">
        <f>IF(INDEX(Ashmin,MATCH(Table4[[#This Row],[SKU]],FG,0))="-","-",IF(Table4[[#This Row],[%Ash]]="-","-",IF(Table4[[#This Row],[%Ash]]&gt;INDEX(Ashmax,MATCH(Table4[[#This Row],[SKU]],FG,0)),1,0)))</f>
        <v>0</v>
      </c>
      <c r="BH121" s="231">
        <f>IF(INDEX(Absmin,MATCH(Table4[[#This Row],[SKU]],FG,0))="-","-",IF(Table4[[#This Row],[%Absorption]]="-","-",IF(Table4[[#This Row],[%Absorption]]&lt;INDEX(Absmin,MATCH(Table4[[#This Row],[SKU]],FG,0)),1,0)))</f>
        <v>0</v>
      </c>
      <c r="BI121" s="231">
        <f>IF(INDEX(Absmin,MATCH(Table4[[#This Row],[SKU]],FG,0))="-","-",IF(Table4[[#This Row],[%Absorption]]="-","-",IF(Table4[[#This Row],[%Absorption]]&gt;INDEX(Absmax,MATCH(Table4[[#This Row],[SKU]],FG,0)),1,0)))</f>
        <v>0</v>
      </c>
      <c r="BJ121" s="231">
        <f>IF(INDEX(WGmin,MATCH(Table4[[#This Row],[SKU]],FG,0))="-","-",IF(Table4[[#This Row],[%Wet Gluten]]="-","-",IF(Table4[[#This Row],[%Wet Gluten]]&lt;INDEX(WGmin,MATCH(Table4[[#This Row],[SKU]],FG,0)),1,0)))</f>
        <v>0</v>
      </c>
      <c r="BK121" s="231">
        <f>IF(INDEX(WGmin,MATCH(Table4[[#This Row],[SKU]],FG,0))="-","-",IF(Table4[[#This Row],[%Wet Gluten]]="-","-",IF(Table4[[#This Row],[%Wet Gluten]]&gt;INDEX(WGmax,MATCH(Table4[[#This Row],[SKU]],FG,0)),1,0)))</f>
        <v>0</v>
      </c>
    </row>
    <row r="122" spans="1:63" x14ac:dyDescent="0.35">
      <c r="A122" s="243">
        <v>46023</v>
      </c>
      <c r="B122" s="244">
        <v>46028</v>
      </c>
      <c r="C122" s="244">
        <v>46026</v>
      </c>
      <c r="D122" s="244" t="s">
        <v>128</v>
      </c>
      <c r="E122" s="245">
        <v>0.79166666666666596</v>
      </c>
      <c r="F122" s="246">
        <v>2</v>
      </c>
      <c r="G122" s="259" t="s">
        <v>145</v>
      </c>
      <c r="H122" s="247">
        <v>5.3E-3</v>
      </c>
      <c r="I122" s="248" t="s">
        <v>165</v>
      </c>
      <c r="J122" s="248" t="s">
        <v>165</v>
      </c>
      <c r="K122" s="248" t="s">
        <v>165</v>
      </c>
      <c r="L122" s="248" t="s">
        <v>161</v>
      </c>
      <c r="M122" s="248" t="s">
        <v>161</v>
      </c>
      <c r="N122" s="249">
        <v>12.83</v>
      </c>
      <c r="O122" s="249" t="s">
        <v>163</v>
      </c>
      <c r="P122" s="249" t="s">
        <v>163</v>
      </c>
      <c r="Q122" s="249" t="s">
        <v>163</v>
      </c>
      <c r="R122" s="249" t="s">
        <v>163</v>
      </c>
      <c r="S122" s="250" t="s">
        <v>163</v>
      </c>
      <c r="T122" s="249" t="s">
        <v>163</v>
      </c>
      <c r="U122" s="249" t="s">
        <v>163</v>
      </c>
      <c r="V122" s="251" t="s">
        <v>163</v>
      </c>
      <c r="W122" s="252" t="s">
        <v>165</v>
      </c>
      <c r="X122" s="252" t="s">
        <v>165</v>
      </c>
      <c r="Y122" s="248" t="s">
        <v>163</v>
      </c>
      <c r="Z122" s="231">
        <f>IF(Table4[[#This Row],[ Bran Content]]="-","-",IF(H122&gt;0.02,0,2))</f>
        <v>2</v>
      </c>
      <c r="AA122" s="231">
        <f>IF(Table4[[#This Row],[Sieve Test]]="-","-",IF(Table4[[#This Row],[Sieve Test]]="P",1,0))</f>
        <v>1</v>
      </c>
      <c r="AB122" s="231">
        <f>IF(Table4[[#This Row],[Odor]]="-","-",IF(Table4[[#This Row],[Odor]]="P",2,0))</f>
        <v>2</v>
      </c>
      <c r="AC122" s="231">
        <f>IF(INDEX(MCmin,MATCH(Table4[[#This Row],[SKU]],FG,0))="-","-",IF(Table4[[#This Row],[%MC]]="-","-",IF(Table4[[#This Row],[%MC]]&lt;INDEX(MCmin,MATCH(Table4[[#This Row],[SKU]],FG,0)),0,IF(Table4[[#This Row],[%MC]]&gt;INDEX(MCmax,MATCH(Table4[[#This Row],[SKU]],FG,0)),0,1))))</f>
        <v>1</v>
      </c>
      <c r="AD122" s="231" t="str">
        <f>IF(INDEX(Protmin,MATCH(Table4[[#This Row],[SKU]],FG,0))="-","-",IF(Table4[[#This Row],[%Protein]]="-","-",IF(Table4[[#This Row],[%Protein]]&lt;INDEX(Protmin,MATCH(Table4[[#This Row],[SKU]],FG,0)),0,IF(Table4[[#This Row],[%Protein]]&gt;INDEX(Protmax,MATCH(Table4[[#This Row],[SKU]],FG,0)),0,1))))</f>
        <v>-</v>
      </c>
      <c r="AE122" s="231" t="str">
        <f>IF(INDEX(Ashmin,MATCH(Table4[[#This Row],[SKU]],FG,0))="-","-",IF(Table4[[#This Row],[%Ash]]="-","-",IF(Table4[[#This Row],[%Ash]]&lt;INDEX(Ashmin,MATCH(Table4[[#This Row],[SKU]],FG,0)),0,IF(Table4[[#This Row],[%Ash]]&gt;INDEX(Ashmax,MATCH(Table4[[#This Row],[SKU]],FG,0)),0,2))))</f>
        <v>-</v>
      </c>
      <c r="AF122" s="231" t="str">
        <f>IF(INDEX(Absmin,MATCH(Table4[[#This Row],[SKU]],FG,0))="-","-",IF(Table4[[#This Row],[%Absorption]]="-","-",IF(Table4[[#This Row],[%Absorption]]&lt;INDEX(Absmin,MATCH(Table4[[#This Row],[SKU]],FG,0)),0,IF(Table4[[#This Row],[%Absorption]]&gt;INDEX(Absmax,MATCH(Table4[[#This Row],[SKU]],FG,0)),0,2))))</f>
        <v>-</v>
      </c>
      <c r="AG122" s="231" t="str">
        <f>IF(INDEX(Extmin,MATCH(Table4[[#This Row],[SKU]],FG,0))="-","-",IF(Table4[[#This Row],[%Extensibility]]="-","-",IF(Table4[[#This Row],[%Extensibility]]&lt;INDEX(Extmin,MATCH(Table4[[#This Row],[SKU]],FG,0)),0,IF(Table4[[#This Row],[%Extensibility]]&gt;INDEX(Extmax,MATCH(Table4[[#This Row],[SKU]],FG,0)),0,1))))</f>
        <v>-</v>
      </c>
      <c r="AH122" s="231" t="str">
        <f>IF(INDEX(Resmin,MATCH(Table4[[#This Row],[SKU]],FG,0))="-","-",IF(Table4[[#This Row],[Resistance, max]]="-","-",IF(Table4[[#This Row],[Resistance, max]]&lt;INDEX(Resmin,MATCH(Table4[[#This Row],[SKU]],FG,0)),0,IF(Table4[[#This Row],[Resistance, max]]&gt;INDEX(Resmax,MATCH(Table4[[#This Row],[SKU]],FG,0)),0,1))))</f>
        <v>-</v>
      </c>
      <c r="AI122" s="231" t="str">
        <f>IF(INDEX(WGmin,MATCH(Table4[[#This Row],[SKU]],FG,0))="-","-",IF(Table4[[#This Row],[%Wet Gluten]]="-","-",IF(Table4[[#This Row],[%Wet Gluten]]&lt;INDEX(WGmin,MATCH(Table4[[#This Row],[SKU]],FG,0)),0,IF(Table4[[#This Row],[%Wet Gluten]]&gt;INDEX(WGmax,MATCH(Table4[[#This Row],[SKU]],FG,0)),0,2))))</f>
        <v>-</v>
      </c>
      <c r="AJ122" s="232" t="str">
        <f>IF(Table4[[#This Row],[FN, s]]="-","-",IF(R122&lt;301,1,0))</f>
        <v>-</v>
      </c>
      <c r="AK122" s="233">
        <f>SUM(Table4[[#This Row],[ QI Bran Content]:[QI FN]])</f>
        <v>6</v>
      </c>
      <c r="AL122" s="232">
        <f t="shared" si="7"/>
        <v>6</v>
      </c>
      <c r="AM122" s="232" t="str">
        <f>IF(INDEX(WGmin,MATCH(Table4[[#This Row],[SKU]],FG,0))="-","-",IF(Table4[[#This Row],[Gross Weight]]="-","-",IF(Table4[[#This Row],[Gross Weight]]&lt;INDEX(GWmin,MATCH(Table4[[#This Row],[SKU]],FG,0)),0,IF(Table4[[#This Row],[Gross Weight]]&gt;INDEX(GWmax,MATCH(Table4[[#This Row],[SKU]],FG,0)),0,1))))</f>
        <v>-</v>
      </c>
      <c r="AN122" s="232">
        <f>IF(Table4[[#This Row],[Sealing Integrity]]="-","-",IF(Table4[[#This Row],[Sealing Integrity]]="P",1,0))</f>
        <v>1</v>
      </c>
      <c r="AO122" s="232">
        <f>IF(Table4[[#This Row],[Coding]]="-","-",IF(Table4[[#This Row],[Coding]]="P",1,0))</f>
        <v>1</v>
      </c>
      <c r="AP122" s="233">
        <f>SUM(Table4[[#This Row],[QI Weight]:[QI Code]])</f>
        <v>2</v>
      </c>
      <c r="AQ122" s="233">
        <f>COUNT(Table4[[#This Row],[QI Weight]:[QI Code]])</f>
        <v>2</v>
      </c>
      <c r="AR122" s="261">
        <f>Table4[[#This Row],[TA]]+Table4[[#This Row],[TA2]]</f>
        <v>8</v>
      </c>
      <c r="AS122" s="261">
        <f>Table4[[#This Row],[TP]]+Table4[[#This Row],[TP2]]</f>
        <v>8</v>
      </c>
      <c r="BD122" s="265">
        <f>IF(INDEX(MCmin,MATCH(Table4[[#This Row],[SKU]],FG,0))="-","-",IF(Table4[[#This Row],[%MC]]="-","-",IF(Table4[[#This Row],[%MC]]&lt;INDEX(MCmin,MATCH(Table4[[#This Row],[SKU]],FG,0)),1,0)))</f>
        <v>0</v>
      </c>
      <c r="BE122" s="265">
        <f>IF(INDEX(MCmin,MATCH(Table4[[#This Row],[SKU]],FG,0))="-","-",IF(Table4[[#This Row],[%MC]]="-","-",IF(Table4[[#This Row],[%MC]]&gt;INDEX(MCmax,MATCH(Table4[[#This Row],[SKU]],FG,0)),1,0)))</f>
        <v>0</v>
      </c>
      <c r="BF122" s="231" t="str">
        <f>IF(INDEX(Ashmin,MATCH(Table4[[#This Row],[SKU]],FG,0))="-","-",IF(Table4[[#This Row],[%Ash]]="-","-",IF(Table4[[#This Row],[%Ash]]&lt;INDEX(Ashmin,MATCH(Table4[[#This Row],[SKU]],FG,0)),1,0)))</f>
        <v>-</v>
      </c>
      <c r="BG122" s="231" t="str">
        <f>IF(INDEX(Ashmin,MATCH(Table4[[#This Row],[SKU]],FG,0))="-","-",IF(Table4[[#This Row],[%Ash]]="-","-",IF(Table4[[#This Row],[%Ash]]&gt;INDEX(Ashmax,MATCH(Table4[[#This Row],[SKU]],FG,0)),1,0)))</f>
        <v>-</v>
      </c>
      <c r="BH122" s="231" t="str">
        <f>IF(INDEX(Absmin,MATCH(Table4[[#This Row],[SKU]],FG,0))="-","-",IF(Table4[[#This Row],[%Absorption]]="-","-",IF(Table4[[#This Row],[%Absorption]]&lt;INDEX(Absmin,MATCH(Table4[[#This Row],[SKU]],FG,0)),1,0)))</f>
        <v>-</v>
      </c>
      <c r="BI122" s="231" t="str">
        <f>IF(INDEX(Absmin,MATCH(Table4[[#This Row],[SKU]],FG,0))="-","-",IF(Table4[[#This Row],[%Absorption]]="-","-",IF(Table4[[#This Row],[%Absorption]]&gt;INDEX(Absmax,MATCH(Table4[[#This Row],[SKU]],FG,0)),1,0)))</f>
        <v>-</v>
      </c>
      <c r="BJ122" s="231" t="str">
        <f>IF(INDEX(WGmin,MATCH(Table4[[#This Row],[SKU]],FG,0))="-","-",IF(Table4[[#This Row],[%Wet Gluten]]="-","-",IF(Table4[[#This Row],[%Wet Gluten]]&lt;INDEX(WGmin,MATCH(Table4[[#This Row],[SKU]],FG,0)),1,0)))</f>
        <v>-</v>
      </c>
      <c r="BK122" s="231" t="str">
        <f>IF(INDEX(WGmin,MATCH(Table4[[#This Row],[SKU]],FG,0))="-","-",IF(Table4[[#This Row],[%Wet Gluten]]="-","-",IF(Table4[[#This Row],[%Wet Gluten]]&gt;INDEX(WGmax,MATCH(Table4[[#This Row],[SKU]],FG,0)),1,0)))</f>
        <v>-</v>
      </c>
    </row>
  </sheetData>
  <mergeCells count="2">
    <mergeCell ref="Z24:AL24"/>
    <mergeCell ref="AM24:AQ24"/>
  </mergeCells>
  <conditionalFormatting sqref="Z25:AF25 AI25 AM25:AO25">
    <cfRule type="top10" dxfId="1" priority="3" bottom="1" rank="4"/>
  </conditionalFormatting>
  <conditionalFormatting sqref="AP25">
    <cfRule type="top10" dxfId="0" priority="1" bottom="1" rank="4"/>
  </conditionalFormatting>
  <pageMargins left="0.7" right="0.7" top="0.75" bottom="0.75" header="0.3" footer="0.3"/>
  <pageSetup orientation="portrait" r:id="rId1"/>
  <ignoredErrors>
    <ignoredError sqref="BF34" unlockedFormula="1"/>
  </ignoredErrors>
  <drawing r:id="rId2"/>
  <tableParts count="3">
    <tablePart r:id="rId3"/>
    <tablePart r:id="rId4"/>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759-6765-4BBF-AFBE-82ABD7F2BB64}">
  <sheetPr codeName="Sheet10"/>
  <dimension ref="A1:Z90"/>
  <sheetViews>
    <sheetView zoomScale="85" zoomScaleNormal="85" workbookViewId="0">
      <pane xSplit="1" ySplit="1" topLeftCell="B32" activePane="bottomRight" state="frozen"/>
      <selection pane="topRight" activeCell="B1" sqref="B1"/>
      <selection pane="bottomLeft" activeCell="A2" sqref="A2"/>
      <selection pane="bottomRight" activeCell="A39" sqref="A39:XFD39"/>
    </sheetView>
  </sheetViews>
  <sheetFormatPr defaultColWidth="9.1796875" defaultRowHeight="15.5" x14ac:dyDescent="0.35"/>
  <cols>
    <col min="1" max="1" width="48.54296875" style="84" bestFit="1" customWidth="1"/>
    <col min="2" max="2" width="26.81640625" style="84" bestFit="1" customWidth="1"/>
    <col min="3" max="3" width="25.81640625" style="84" customWidth="1"/>
    <col min="4" max="4" width="24.26953125" style="84" customWidth="1"/>
    <col min="5" max="5" width="14.453125" style="84" customWidth="1"/>
    <col min="6" max="6" width="16.26953125" style="84" customWidth="1"/>
    <col min="7" max="7" width="12" style="84" customWidth="1"/>
    <col min="8" max="8" width="11.54296875" style="84" customWidth="1"/>
    <col min="9" max="9" width="12.453125" style="136" customWidth="1"/>
    <col min="10" max="10" width="12.26953125" style="136" customWidth="1"/>
    <col min="11" max="11" width="12" style="137" customWidth="1"/>
    <col min="12" max="12" width="12.453125" style="137" customWidth="1"/>
    <col min="13" max="13" width="11.453125" style="137" customWidth="1"/>
    <col min="14" max="14" width="9.453125" style="137" customWidth="1"/>
    <col min="15" max="15" width="17.81640625" style="138" customWidth="1"/>
    <col min="16" max="16" width="16.7265625" style="138" customWidth="1"/>
    <col min="17" max="17" width="13.81640625" style="138" customWidth="1"/>
    <col min="18" max="18" width="18.453125" style="138" customWidth="1"/>
    <col min="19" max="19" width="18.81640625" style="138" customWidth="1"/>
    <col min="20" max="20" width="17.26953125" style="138" customWidth="1"/>
    <col min="21" max="21" width="14" style="138" customWidth="1"/>
    <col min="22" max="23" width="14.1796875" style="138" customWidth="1"/>
    <col min="24" max="24" width="14.1796875" style="212" customWidth="1"/>
    <col min="25" max="25" width="12.7265625" style="137" customWidth="1"/>
    <col min="26" max="26" width="10.26953125" style="139" bestFit="1" customWidth="1"/>
    <col min="27" max="16384" width="9.1796875" style="84"/>
  </cols>
  <sheetData>
    <row r="1" spans="1:26" ht="46.5" x14ac:dyDescent="0.35">
      <c r="A1" s="141" t="s">
        <v>432</v>
      </c>
      <c r="B1" s="141" t="s">
        <v>433</v>
      </c>
      <c r="C1" s="141" t="s">
        <v>434</v>
      </c>
      <c r="D1" s="141" t="s">
        <v>435</v>
      </c>
      <c r="E1" s="141" t="s">
        <v>436</v>
      </c>
      <c r="F1" s="141" t="s">
        <v>437</v>
      </c>
      <c r="G1" s="141" t="s">
        <v>438</v>
      </c>
      <c r="H1" s="141" t="s">
        <v>439</v>
      </c>
      <c r="I1" s="142" t="s">
        <v>440</v>
      </c>
      <c r="J1" s="142" t="s">
        <v>441</v>
      </c>
      <c r="K1" s="142" t="s">
        <v>442</v>
      </c>
      <c r="L1" s="142" t="s">
        <v>443</v>
      </c>
      <c r="M1" s="142" t="s">
        <v>444</v>
      </c>
      <c r="N1" s="142" t="s">
        <v>445</v>
      </c>
      <c r="O1" s="143" t="s">
        <v>446</v>
      </c>
      <c r="P1" s="143" t="s">
        <v>447</v>
      </c>
      <c r="Q1" s="143" t="s">
        <v>448</v>
      </c>
      <c r="R1" s="143" t="s">
        <v>449</v>
      </c>
      <c r="S1" s="143" t="s">
        <v>450</v>
      </c>
      <c r="T1" s="143" t="s">
        <v>451</v>
      </c>
      <c r="U1" s="143" t="s">
        <v>452</v>
      </c>
      <c r="V1" s="143" t="s">
        <v>453</v>
      </c>
      <c r="W1" s="143" t="s">
        <v>454</v>
      </c>
      <c r="X1" s="208" t="s">
        <v>455</v>
      </c>
      <c r="Y1" s="142" t="s">
        <v>456</v>
      </c>
      <c r="Z1" s="144" t="s">
        <v>457</v>
      </c>
    </row>
    <row r="2" spans="1:26" x14ac:dyDescent="0.35">
      <c r="A2" s="145" t="s">
        <v>458</v>
      </c>
      <c r="B2" s="145"/>
      <c r="C2" s="145" t="s">
        <v>458</v>
      </c>
      <c r="D2" s="94" t="s">
        <v>48</v>
      </c>
      <c r="E2" s="146">
        <v>2.0000000000000001E-4</v>
      </c>
      <c r="F2" s="147" t="s">
        <v>165</v>
      </c>
      <c r="G2" s="147" t="s">
        <v>165</v>
      </c>
      <c r="H2" s="76" t="s">
        <v>163</v>
      </c>
      <c r="I2" s="148" t="s">
        <v>163</v>
      </c>
      <c r="J2" s="148" t="s">
        <v>163</v>
      </c>
      <c r="K2" s="149"/>
      <c r="L2" s="149"/>
      <c r="M2" s="149" t="s">
        <v>163</v>
      </c>
      <c r="N2" s="149" t="s">
        <v>163</v>
      </c>
      <c r="O2" s="149" t="s">
        <v>163</v>
      </c>
      <c r="P2" s="149" t="s">
        <v>163</v>
      </c>
      <c r="Q2" s="150" t="s">
        <v>163</v>
      </c>
      <c r="R2" s="150" t="s">
        <v>163</v>
      </c>
      <c r="S2" s="150" t="s">
        <v>163</v>
      </c>
      <c r="T2" s="150" t="s">
        <v>163</v>
      </c>
      <c r="U2" s="150" t="s">
        <v>163</v>
      </c>
      <c r="V2" s="150" t="s">
        <v>163</v>
      </c>
      <c r="W2" s="153" t="s">
        <v>163</v>
      </c>
      <c r="X2" s="209" t="s">
        <v>163</v>
      </c>
      <c r="Y2" s="149" t="s">
        <v>163</v>
      </c>
      <c r="Z2" s="149" t="s">
        <v>163</v>
      </c>
    </row>
    <row r="3" spans="1:26" x14ac:dyDescent="0.35">
      <c r="A3" s="145" t="s">
        <v>30</v>
      </c>
      <c r="B3" s="145"/>
      <c r="C3" s="145" t="s">
        <v>459</v>
      </c>
      <c r="D3" s="94" t="s">
        <v>163</v>
      </c>
      <c r="E3" s="146">
        <v>2.0000000000000001E-4</v>
      </c>
      <c r="F3" s="147" t="s">
        <v>165</v>
      </c>
      <c r="G3" s="147" t="s">
        <v>165</v>
      </c>
      <c r="H3" s="76" t="s">
        <v>161</v>
      </c>
      <c r="I3" s="151" t="s">
        <v>163</v>
      </c>
      <c r="J3" s="151" t="s">
        <v>163</v>
      </c>
      <c r="K3" s="152"/>
      <c r="L3" s="152"/>
      <c r="M3" s="152" t="s">
        <v>163</v>
      </c>
      <c r="N3" s="152" t="s">
        <v>163</v>
      </c>
      <c r="O3" s="149" t="s">
        <v>163</v>
      </c>
      <c r="P3" s="149" t="s">
        <v>163</v>
      </c>
      <c r="Q3" s="150" t="s">
        <v>163</v>
      </c>
      <c r="R3" s="150" t="s">
        <v>163</v>
      </c>
      <c r="S3" s="150" t="s">
        <v>163</v>
      </c>
      <c r="T3" s="150" t="s">
        <v>163</v>
      </c>
      <c r="U3" s="150" t="s">
        <v>163</v>
      </c>
      <c r="V3" s="153" t="s">
        <v>163</v>
      </c>
      <c r="W3" s="152">
        <v>25.06</v>
      </c>
      <c r="X3" s="209">
        <v>25.21</v>
      </c>
      <c r="Y3" s="149" t="s">
        <v>163</v>
      </c>
      <c r="Z3" s="149" t="s">
        <v>163</v>
      </c>
    </row>
    <row r="4" spans="1:26" x14ac:dyDescent="0.35">
      <c r="A4" s="196" t="s">
        <v>33</v>
      </c>
      <c r="B4" s="197" t="s">
        <v>460</v>
      </c>
      <c r="C4" s="94" t="s">
        <v>461</v>
      </c>
      <c r="D4" s="94" t="s">
        <v>163</v>
      </c>
      <c r="E4" s="146">
        <v>2.0000000000000001E-4</v>
      </c>
      <c r="F4" s="147" t="s">
        <v>165</v>
      </c>
      <c r="G4" s="147" t="s">
        <v>165</v>
      </c>
      <c r="H4" s="76" t="s">
        <v>161</v>
      </c>
      <c r="I4" s="151">
        <v>12</v>
      </c>
      <c r="J4" s="151">
        <v>14</v>
      </c>
      <c r="K4" s="152">
        <v>11.5</v>
      </c>
      <c r="L4" s="152">
        <v>1000000</v>
      </c>
      <c r="M4" s="152">
        <v>0</v>
      </c>
      <c r="N4" s="152">
        <v>0.6</v>
      </c>
      <c r="O4" s="149">
        <v>64</v>
      </c>
      <c r="P4" s="149">
        <v>68</v>
      </c>
      <c r="Q4" s="150">
        <v>12</v>
      </c>
      <c r="R4" s="153">
        <v>1000000</v>
      </c>
      <c r="S4" s="150">
        <v>600</v>
      </c>
      <c r="T4" s="150">
        <v>1000</v>
      </c>
      <c r="U4" s="150">
        <v>32</v>
      </c>
      <c r="V4" s="153">
        <v>1000000</v>
      </c>
      <c r="W4" s="152">
        <v>25.1</v>
      </c>
      <c r="X4" s="209">
        <v>25.245000000000001</v>
      </c>
      <c r="Y4" s="152"/>
      <c r="Z4" s="149" t="s">
        <v>163</v>
      </c>
    </row>
    <row r="5" spans="1:26" x14ac:dyDescent="0.35">
      <c r="A5" s="196" t="s">
        <v>36</v>
      </c>
      <c r="B5" s="197" t="s">
        <v>460</v>
      </c>
      <c r="C5" s="94" t="s">
        <v>461</v>
      </c>
      <c r="D5" s="94" t="s">
        <v>163</v>
      </c>
      <c r="E5" s="146">
        <v>2.0000000000000001E-4</v>
      </c>
      <c r="F5" s="147" t="s">
        <v>165</v>
      </c>
      <c r="G5" s="147" t="s">
        <v>165</v>
      </c>
      <c r="H5" s="76" t="s">
        <v>161</v>
      </c>
      <c r="I5" s="151">
        <v>12</v>
      </c>
      <c r="J5" s="151">
        <v>14</v>
      </c>
      <c r="K5" s="152">
        <v>11.5</v>
      </c>
      <c r="L5" s="152">
        <v>1000000</v>
      </c>
      <c r="M5" s="152">
        <v>0</v>
      </c>
      <c r="N5" s="152">
        <v>0.6</v>
      </c>
      <c r="O5" s="152">
        <v>64</v>
      </c>
      <c r="P5" s="152">
        <v>68</v>
      </c>
      <c r="Q5" s="153">
        <v>12</v>
      </c>
      <c r="R5" s="153">
        <v>1000000</v>
      </c>
      <c r="S5" s="153">
        <v>600</v>
      </c>
      <c r="T5" s="153">
        <v>1000</v>
      </c>
      <c r="U5" s="150">
        <v>32</v>
      </c>
      <c r="V5" s="153">
        <v>1000000</v>
      </c>
      <c r="W5" s="152">
        <v>25.06</v>
      </c>
      <c r="X5" s="209">
        <v>25.21</v>
      </c>
      <c r="Y5" s="149" t="s">
        <v>163</v>
      </c>
      <c r="Z5" s="149" t="s">
        <v>163</v>
      </c>
    </row>
    <row r="6" spans="1:26" x14ac:dyDescent="0.35">
      <c r="A6" s="145" t="s">
        <v>335</v>
      </c>
      <c r="B6" s="94" t="s">
        <v>462</v>
      </c>
      <c r="C6" s="94" t="s">
        <v>463</v>
      </c>
      <c r="D6" s="94" t="s">
        <v>163</v>
      </c>
      <c r="E6" s="146">
        <v>2.0000000000000001E-4</v>
      </c>
      <c r="F6" s="147" t="s">
        <v>165</v>
      </c>
      <c r="G6" s="147" t="s">
        <v>165</v>
      </c>
      <c r="H6" s="76" t="s">
        <v>161</v>
      </c>
      <c r="I6" s="151">
        <v>12</v>
      </c>
      <c r="J6" s="151">
        <v>13.5</v>
      </c>
      <c r="K6" s="152">
        <v>9.8000000000000007</v>
      </c>
      <c r="L6" s="152">
        <v>11.5</v>
      </c>
      <c r="M6" s="152">
        <v>0</v>
      </c>
      <c r="N6" s="152">
        <v>0.59</v>
      </c>
      <c r="O6" s="149">
        <v>61</v>
      </c>
      <c r="P6" s="149">
        <v>63</v>
      </c>
      <c r="Q6" s="150">
        <v>12.5</v>
      </c>
      <c r="R6" s="153">
        <v>1000000</v>
      </c>
      <c r="S6" s="150">
        <v>680</v>
      </c>
      <c r="T6" s="150">
        <v>800</v>
      </c>
      <c r="U6" s="150">
        <v>27</v>
      </c>
      <c r="V6" s="153">
        <v>29</v>
      </c>
      <c r="W6" s="152">
        <v>25.06</v>
      </c>
      <c r="X6" s="209">
        <v>25.21</v>
      </c>
      <c r="Y6" s="149" t="s">
        <v>163</v>
      </c>
      <c r="Z6" s="149" t="s">
        <v>163</v>
      </c>
    </row>
    <row r="7" spans="1:26" x14ac:dyDescent="0.35">
      <c r="A7" s="145" t="s">
        <v>39</v>
      </c>
      <c r="B7" s="94" t="s">
        <v>464</v>
      </c>
      <c r="C7" s="94" t="s">
        <v>465</v>
      </c>
      <c r="D7" s="94" t="s">
        <v>163</v>
      </c>
      <c r="E7" s="146">
        <v>2.0000000000000001E-4</v>
      </c>
      <c r="F7" s="147" t="s">
        <v>165</v>
      </c>
      <c r="G7" s="147" t="s">
        <v>165</v>
      </c>
      <c r="H7" s="76" t="s">
        <v>163</v>
      </c>
      <c r="I7" s="151">
        <v>11</v>
      </c>
      <c r="J7" s="151">
        <v>13</v>
      </c>
      <c r="K7" s="154">
        <v>8.5</v>
      </c>
      <c r="L7" s="154">
        <v>1000000</v>
      </c>
      <c r="M7" s="152">
        <v>0</v>
      </c>
      <c r="N7" s="152">
        <v>0.6</v>
      </c>
      <c r="O7" s="149">
        <v>56</v>
      </c>
      <c r="P7" s="149">
        <v>1000000</v>
      </c>
      <c r="Q7" s="150">
        <v>10</v>
      </c>
      <c r="R7" s="150">
        <v>1000000</v>
      </c>
      <c r="S7" s="150">
        <v>200</v>
      </c>
      <c r="T7" s="153">
        <v>1000000</v>
      </c>
      <c r="U7" s="217">
        <v>21</v>
      </c>
      <c r="V7" s="218">
        <v>28</v>
      </c>
      <c r="W7" s="152">
        <v>25.06</v>
      </c>
      <c r="X7" s="209">
        <v>25.21</v>
      </c>
      <c r="Y7" s="152"/>
      <c r="Z7" s="149" t="s">
        <v>163</v>
      </c>
    </row>
    <row r="8" spans="1:26" x14ac:dyDescent="0.35">
      <c r="A8" s="145" t="s">
        <v>334</v>
      </c>
      <c r="B8" s="94" t="s">
        <v>466</v>
      </c>
      <c r="C8" s="145" t="s">
        <v>334</v>
      </c>
      <c r="D8" s="94" t="s">
        <v>163</v>
      </c>
      <c r="E8" s="146" t="s">
        <v>163</v>
      </c>
      <c r="F8" s="147" t="s">
        <v>165</v>
      </c>
      <c r="G8" s="147" t="s">
        <v>165</v>
      </c>
      <c r="H8" s="76" t="s">
        <v>163</v>
      </c>
      <c r="I8" s="151">
        <v>13</v>
      </c>
      <c r="J8" s="151">
        <v>16</v>
      </c>
      <c r="K8" s="152">
        <v>15</v>
      </c>
      <c r="L8" s="152">
        <v>1000000</v>
      </c>
      <c r="M8" s="152">
        <v>4</v>
      </c>
      <c r="N8" s="152">
        <v>6</v>
      </c>
      <c r="O8" s="149" t="s">
        <v>163</v>
      </c>
      <c r="P8" s="149" t="s">
        <v>163</v>
      </c>
      <c r="Q8" s="150" t="s">
        <v>163</v>
      </c>
      <c r="R8" s="150" t="s">
        <v>163</v>
      </c>
      <c r="S8" s="150" t="s">
        <v>163</v>
      </c>
      <c r="T8" s="150" t="s">
        <v>163</v>
      </c>
      <c r="U8" s="150" t="s">
        <v>163</v>
      </c>
      <c r="V8" s="150" t="s">
        <v>163</v>
      </c>
      <c r="W8" s="149">
        <v>20.100000000000001</v>
      </c>
      <c r="X8" s="210">
        <v>20.22</v>
      </c>
      <c r="Y8" s="149" t="s">
        <v>163</v>
      </c>
      <c r="Z8" s="149" t="s">
        <v>163</v>
      </c>
    </row>
    <row r="9" spans="1:26" x14ac:dyDescent="0.35">
      <c r="A9" s="196" t="s">
        <v>173</v>
      </c>
      <c r="B9" s="197" t="s">
        <v>467</v>
      </c>
      <c r="C9" s="94" t="s">
        <v>468</v>
      </c>
      <c r="D9" s="94" t="s">
        <v>242</v>
      </c>
      <c r="E9" s="146">
        <v>2.0000000000000001E-4</v>
      </c>
      <c r="F9" s="147" t="s">
        <v>165</v>
      </c>
      <c r="G9" s="147" t="s">
        <v>165</v>
      </c>
      <c r="H9" s="76" t="s">
        <v>161</v>
      </c>
      <c r="I9" s="151">
        <v>12</v>
      </c>
      <c r="J9" s="151">
        <v>14</v>
      </c>
      <c r="K9" s="152">
        <v>11</v>
      </c>
      <c r="L9" s="152">
        <v>1000000</v>
      </c>
      <c r="M9" s="152">
        <v>0</v>
      </c>
      <c r="N9" s="152">
        <v>0.42</v>
      </c>
      <c r="O9" s="152">
        <v>63</v>
      </c>
      <c r="P9" s="152">
        <v>67</v>
      </c>
      <c r="Q9" s="153">
        <v>12</v>
      </c>
      <c r="R9" s="153">
        <v>1000000</v>
      </c>
      <c r="S9" s="153">
        <v>600</v>
      </c>
      <c r="T9" s="153">
        <v>800</v>
      </c>
      <c r="U9" s="153">
        <v>30</v>
      </c>
      <c r="V9" s="153">
        <v>1000000</v>
      </c>
      <c r="W9" s="152">
        <v>25.1</v>
      </c>
      <c r="X9" s="209">
        <v>25.245000000000001</v>
      </c>
      <c r="Y9" s="149" t="s">
        <v>163</v>
      </c>
      <c r="Z9" s="149" t="s">
        <v>163</v>
      </c>
    </row>
    <row r="10" spans="1:26" x14ac:dyDescent="0.35">
      <c r="A10" s="196" t="s">
        <v>41</v>
      </c>
      <c r="B10" s="197" t="s">
        <v>467</v>
      </c>
      <c r="C10" s="94" t="s">
        <v>468</v>
      </c>
      <c r="D10" s="94" t="s">
        <v>242</v>
      </c>
      <c r="E10" s="146">
        <v>2.0000000000000001E-4</v>
      </c>
      <c r="F10" s="147" t="s">
        <v>165</v>
      </c>
      <c r="G10" s="147" t="s">
        <v>165</v>
      </c>
      <c r="H10" s="76" t="s">
        <v>161</v>
      </c>
      <c r="I10" s="151">
        <v>12</v>
      </c>
      <c r="J10" s="151">
        <v>14</v>
      </c>
      <c r="K10" s="152">
        <v>11</v>
      </c>
      <c r="L10" s="152">
        <v>1000000</v>
      </c>
      <c r="M10" s="152">
        <v>0</v>
      </c>
      <c r="N10" s="152">
        <v>0.42</v>
      </c>
      <c r="O10" s="152">
        <v>63</v>
      </c>
      <c r="P10" s="152">
        <v>67</v>
      </c>
      <c r="Q10" s="153">
        <v>12</v>
      </c>
      <c r="R10" s="153">
        <v>1000000</v>
      </c>
      <c r="S10" s="153">
        <v>600</v>
      </c>
      <c r="T10" s="153">
        <v>800</v>
      </c>
      <c r="U10" s="153">
        <v>30</v>
      </c>
      <c r="V10" s="153">
        <v>1000000</v>
      </c>
      <c r="W10" s="152">
        <v>25.06</v>
      </c>
      <c r="X10" s="209">
        <v>25.21</v>
      </c>
      <c r="Y10" s="149" t="s">
        <v>163</v>
      </c>
      <c r="Z10" s="149" t="s">
        <v>163</v>
      </c>
    </row>
    <row r="11" spans="1:26" x14ac:dyDescent="0.35">
      <c r="A11" s="145" t="s">
        <v>44</v>
      </c>
      <c r="B11" s="94" t="s">
        <v>469</v>
      </c>
      <c r="C11" s="94" t="s">
        <v>468</v>
      </c>
      <c r="D11" s="94" t="s">
        <v>163</v>
      </c>
      <c r="E11" s="146">
        <v>2.0000000000000001E-4</v>
      </c>
      <c r="F11" s="147" t="s">
        <v>165</v>
      </c>
      <c r="G11" s="147" t="s">
        <v>165</v>
      </c>
      <c r="H11" s="76" t="s">
        <v>163</v>
      </c>
      <c r="I11" s="151">
        <v>12</v>
      </c>
      <c r="J11" s="151">
        <v>14</v>
      </c>
      <c r="K11" s="152">
        <v>11</v>
      </c>
      <c r="L11" s="152">
        <v>12</v>
      </c>
      <c r="M11" s="152">
        <v>0</v>
      </c>
      <c r="N11" s="152">
        <v>0.42</v>
      </c>
      <c r="O11" s="152">
        <v>63</v>
      </c>
      <c r="P11" s="152">
        <v>67</v>
      </c>
      <c r="Q11" s="153">
        <v>12</v>
      </c>
      <c r="R11" s="153">
        <v>1000000</v>
      </c>
      <c r="S11" s="153">
        <v>600</v>
      </c>
      <c r="T11" s="153">
        <v>800</v>
      </c>
      <c r="U11" s="153">
        <v>30</v>
      </c>
      <c r="V11" s="153">
        <v>35</v>
      </c>
      <c r="W11" s="152">
        <v>25.06</v>
      </c>
      <c r="X11" s="209">
        <v>25.21</v>
      </c>
      <c r="Y11" s="149" t="s">
        <v>163</v>
      </c>
      <c r="Z11" s="149" t="s">
        <v>163</v>
      </c>
    </row>
    <row r="12" spans="1:26" x14ac:dyDescent="0.35">
      <c r="A12" s="145" t="s">
        <v>183</v>
      </c>
      <c r="B12" s="94"/>
      <c r="C12" s="94"/>
      <c r="D12" s="94" t="s">
        <v>163</v>
      </c>
      <c r="E12" s="94" t="s">
        <v>163</v>
      </c>
      <c r="F12" s="94" t="s">
        <v>163</v>
      </c>
      <c r="G12" s="94" t="s">
        <v>163</v>
      </c>
      <c r="H12" s="94" t="s">
        <v>163</v>
      </c>
      <c r="I12" s="94" t="s">
        <v>163</v>
      </c>
      <c r="J12" s="94" t="s">
        <v>163</v>
      </c>
      <c r="K12" s="94" t="s">
        <v>163</v>
      </c>
      <c r="L12" s="94" t="s">
        <v>163</v>
      </c>
      <c r="M12" s="94" t="s">
        <v>163</v>
      </c>
      <c r="N12" s="94" t="s">
        <v>163</v>
      </c>
      <c r="O12" s="94" t="s">
        <v>163</v>
      </c>
      <c r="P12" s="94" t="s">
        <v>163</v>
      </c>
      <c r="Q12" s="94" t="s">
        <v>163</v>
      </c>
      <c r="R12" s="94" t="s">
        <v>163</v>
      </c>
      <c r="S12" s="94" t="s">
        <v>163</v>
      </c>
      <c r="T12" s="94" t="s">
        <v>163</v>
      </c>
      <c r="U12" s="94" t="s">
        <v>163</v>
      </c>
      <c r="V12" s="94" t="s">
        <v>163</v>
      </c>
      <c r="W12" s="94" t="s">
        <v>163</v>
      </c>
      <c r="X12" s="94" t="s">
        <v>163</v>
      </c>
      <c r="Y12" s="94" t="s">
        <v>163</v>
      </c>
      <c r="Z12" s="94" t="s">
        <v>163</v>
      </c>
    </row>
    <row r="13" spans="1:26" x14ac:dyDescent="0.35">
      <c r="A13" s="145" t="s">
        <v>49</v>
      </c>
      <c r="B13" s="94" t="s">
        <v>470</v>
      </c>
      <c r="C13" s="94" t="s">
        <v>471</v>
      </c>
      <c r="D13" s="94" t="s">
        <v>163</v>
      </c>
      <c r="E13" s="146">
        <v>2.0000000000000001E-4</v>
      </c>
      <c r="F13" s="147" t="s">
        <v>165</v>
      </c>
      <c r="G13" s="147" t="s">
        <v>165</v>
      </c>
      <c r="H13" s="76" t="s">
        <v>163</v>
      </c>
      <c r="I13" s="151">
        <v>12</v>
      </c>
      <c r="J13" s="151">
        <v>14</v>
      </c>
      <c r="K13" s="152">
        <v>12.4</v>
      </c>
      <c r="L13" s="152">
        <v>12.8</v>
      </c>
      <c r="M13" s="152">
        <v>0.48</v>
      </c>
      <c r="N13" s="152">
        <v>0.52</v>
      </c>
      <c r="O13" s="152">
        <v>62</v>
      </c>
      <c r="P13" s="152">
        <v>66</v>
      </c>
      <c r="Q13" s="153">
        <v>13</v>
      </c>
      <c r="R13" s="153">
        <v>14</v>
      </c>
      <c r="S13" s="153">
        <v>700</v>
      </c>
      <c r="T13" s="153">
        <v>1000000</v>
      </c>
      <c r="U13" s="153">
        <v>33</v>
      </c>
      <c r="V13" s="153">
        <v>37</v>
      </c>
      <c r="W13" s="152">
        <v>25.06</v>
      </c>
      <c r="X13" s="209">
        <v>25.21</v>
      </c>
      <c r="Y13" s="149" t="s">
        <v>163</v>
      </c>
      <c r="Z13" s="149" t="s">
        <v>163</v>
      </c>
    </row>
    <row r="14" spans="1:26" x14ac:dyDescent="0.35">
      <c r="A14" s="145" t="s">
        <v>53</v>
      </c>
      <c r="B14" s="94"/>
      <c r="C14" s="94" t="s">
        <v>472</v>
      </c>
      <c r="D14" s="94" t="s">
        <v>163</v>
      </c>
      <c r="E14" s="146">
        <v>2.0000000000000001E-4</v>
      </c>
      <c r="F14" s="147" t="s">
        <v>165</v>
      </c>
      <c r="G14" s="147" t="s">
        <v>165</v>
      </c>
      <c r="H14" s="76" t="s">
        <v>161</v>
      </c>
      <c r="I14" s="151">
        <v>12</v>
      </c>
      <c r="J14" s="151">
        <v>14</v>
      </c>
      <c r="K14" s="152"/>
      <c r="L14" s="152"/>
      <c r="M14" s="152">
        <v>0</v>
      </c>
      <c r="N14" s="152">
        <v>0.65</v>
      </c>
      <c r="O14" s="152">
        <v>64</v>
      </c>
      <c r="P14" s="152">
        <v>68</v>
      </c>
      <c r="Q14" s="153">
        <v>12</v>
      </c>
      <c r="R14" s="153">
        <v>1000000</v>
      </c>
      <c r="S14" s="153">
        <v>600</v>
      </c>
      <c r="T14" s="153">
        <v>1000</v>
      </c>
      <c r="U14" s="153">
        <v>35</v>
      </c>
      <c r="V14" s="153">
        <v>41</v>
      </c>
      <c r="W14" s="152">
        <v>25.06</v>
      </c>
      <c r="X14" s="209">
        <v>25.21</v>
      </c>
      <c r="Y14" s="149" t="s">
        <v>163</v>
      </c>
      <c r="Z14" s="149" t="s">
        <v>163</v>
      </c>
    </row>
    <row r="15" spans="1:26" x14ac:dyDescent="0.35">
      <c r="A15" s="145" t="s">
        <v>184</v>
      </c>
      <c r="B15" s="94" t="s">
        <v>473</v>
      </c>
      <c r="C15" s="94" t="s">
        <v>474</v>
      </c>
      <c r="D15" s="94" t="s">
        <v>163</v>
      </c>
      <c r="E15" s="146">
        <v>2.0000000000000001E-4</v>
      </c>
      <c r="F15" s="147" t="s">
        <v>165</v>
      </c>
      <c r="G15" s="147" t="s">
        <v>165</v>
      </c>
      <c r="H15" s="76" t="s">
        <v>161</v>
      </c>
      <c r="I15" s="151">
        <v>12</v>
      </c>
      <c r="J15" s="151">
        <v>14</v>
      </c>
      <c r="K15" s="152">
        <v>12.5</v>
      </c>
      <c r="L15" s="152">
        <v>13.5</v>
      </c>
      <c r="M15" s="152">
        <v>0</v>
      </c>
      <c r="N15" s="152">
        <v>0.65</v>
      </c>
      <c r="O15" s="152">
        <v>64</v>
      </c>
      <c r="P15" s="152">
        <v>68</v>
      </c>
      <c r="Q15" s="153">
        <v>12</v>
      </c>
      <c r="R15" s="153">
        <v>1000000</v>
      </c>
      <c r="S15" s="153">
        <v>600</v>
      </c>
      <c r="T15" s="153">
        <v>1000</v>
      </c>
      <c r="U15" s="153">
        <v>35</v>
      </c>
      <c r="V15" s="153">
        <v>40</v>
      </c>
      <c r="W15" s="152">
        <v>25.06</v>
      </c>
      <c r="X15" s="209">
        <v>25.21</v>
      </c>
      <c r="Y15" s="149" t="s">
        <v>163</v>
      </c>
      <c r="Z15" s="149" t="s">
        <v>163</v>
      </c>
    </row>
    <row r="16" spans="1:26" x14ac:dyDescent="0.35">
      <c r="A16" s="145" t="s">
        <v>62</v>
      </c>
      <c r="B16" s="94" t="s">
        <v>475</v>
      </c>
      <c r="C16" s="94" t="s">
        <v>476</v>
      </c>
      <c r="D16" s="94" t="s">
        <v>163</v>
      </c>
      <c r="E16" s="146">
        <v>2.0000000000000001E-4</v>
      </c>
      <c r="F16" s="147" t="s">
        <v>165</v>
      </c>
      <c r="G16" s="147" t="s">
        <v>165</v>
      </c>
      <c r="H16" s="76" t="s">
        <v>163</v>
      </c>
      <c r="I16" s="151">
        <v>11</v>
      </c>
      <c r="J16" s="151">
        <v>13</v>
      </c>
      <c r="K16" s="152">
        <v>9.6</v>
      </c>
      <c r="L16" s="152">
        <v>12</v>
      </c>
      <c r="M16" s="152">
        <v>0.53</v>
      </c>
      <c r="N16" s="152">
        <v>0.57999999999999996</v>
      </c>
      <c r="O16" s="152">
        <v>55</v>
      </c>
      <c r="P16" s="152">
        <v>60</v>
      </c>
      <c r="Q16" s="153">
        <v>10</v>
      </c>
      <c r="R16" s="153">
        <v>1000000</v>
      </c>
      <c r="S16" s="153">
        <v>200</v>
      </c>
      <c r="T16" s="153">
        <v>1000000</v>
      </c>
      <c r="U16" s="153">
        <v>27</v>
      </c>
      <c r="V16" s="153">
        <v>33</v>
      </c>
      <c r="W16" s="152">
        <v>25.06</v>
      </c>
      <c r="X16" s="209">
        <v>25.21</v>
      </c>
      <c r="Y16" s="149" t="s">
        <v>163</v>
      </c>
      <c r="Z16" s="149" t="s">
        <v>163</v>
      </c>
    </row>
    <row r="17" spans="1:26" x14ac:dyDescent="0.35">
      <c r="A17" s="145" t="s">
        <v>477</v>
      </c>
      <c r="B17" s="94" t="s">
        <v>478</v>
      </c>
      <c r="C17" s="94" t="s">
        <v>479</v>
      </c>
      <c r="D17" s="94" t="s">
        <v>163</v>
      </c>
      <c r="E17" s="146">
        <v>2.0000000000000001E-4</v>
      </c>
      <c r="F17" s="147" t="s">
        <v>165</v>
      </c>
      <c r="G17" s="147" t="s">
        <v>165</v>
      </c>
      <c r="H17" s="76" t="s">
        <v>161</v>
      </c>
      <c r="I17" s="151">
        <v>12</v>
      </c>
      <c r="J17" s="151">
        <v>13.5</v>
      </c>
      <c r="K17" s="152">
        <v>10.5</v>
      </c>
      <c r="L17" s="152">
        <v>12.5</v>
      </c>
      <c r="M17" s="152">
        <v>0</v>
      </c>
      <c r="N17" s="152">
        <v>0.6</v>
      </c>
      <c r="O17" s="152">
        <v>60</v>
      </c>
      <c r="P17" s="152">
        <v>64</v>
      </c>
      <c r="Q17" s="153">
        <v>11</v>
      </c>
      <c r="R17" s="153">
        <v>1000000</v>
      </c>
      <c r="S17" s="153">
        <v>680</v>
      </c>
      <c r="T17" s="153">
        <v>800</v>
      </c>
      <c r="U17" s="153">
        <v>29</v>
      </c>
      <c r="V17" s="153">
        <v>32</v>
      </c>
      <c r="W17" s="152">
        <v>25.06</v>
      </c>
      <c r="X17" s="209">
        <v>25.21</v>
      </c>
      <c r="Y17" s="149" t="s">
        <v>163</v>
      </c>
      <c r="Z17" s="149" t="s">
        <v>163</v>
      </c>
    </row>
    <row r="18" spans="1:26" x14ac:dyDescent="0.35">
      <c r="A18" s="145" t="s">
        <v>480</v>
      </c>
      <c r="B18" s="94"/>
      <c r="C18" s="94"/>
      <c r="D18" s="94"/>
      <c r="E18" s="146">
        <v>2.0000000000000001E-4</v>
      </c>
      <c r="F18" s="147" t="s">
        <v>165</v>
      </c>
      <c r="G18" s="147" t="s">
        <v>165</v>
      </c>
      <c r="H18" s="76" t="s">
        <v>161</v>
      </c>
      <c r="I18" s="151">
        <v>11</v>
      </c>
      <c r="J18" s="151">
        <v>13</v>
      </c>
      <c r="K18" s="152">
        <v>11</v>
      </c>
      <c r="L18" s="152">
        <v>12.5</v>
      </c>
      <c r="M18" s="152">
        <v>0.55000000000000004</v>
      </c>
      <c r="N18" s="152">
        <v>10000</v>
      </c>
      <c r="O18" s="152">
        <v>64</v>
      </c>
      <c r="P18" s="152">
        <v>1000000</v>
      </c>
      <c r="Q18" s="153" t="s">
        <v>163</v>
      </c>
      <c r="R18" s="153" t="s">
        <v>163</v>
      </c>
      <c r="S18" s="153">
        <v>600</v>
      </c>
      <c r="T18" s="153">
        <v>800</v>
      </c>
      <c r="U18" s="153">
        <v>31</v>
      </c>
      <c r="V18" s="153">
        <v>35</v>
      </c>
      <c r="W18" s="152">
        <v>25.06</v>
      </c>
      <c r="X18" s="209">
        <v>25.21</v>
      </c>
      <c r="Y18" s="149" t="s">
        <v>163</v>
      </c>
      <c r="Z18" s="149" t="s">
        <v>163</v>
      </c>
    </row>
    <row r="19" spans="1:26" x14ac:dyDescent="0.35">
      <c r="A19" s="145" t="s">
        <v>71</v>
      </c>
      <c r="B19" s="94" t="s">
        <v>481</v>
      </c>
      <c r="C19" s="94" t="s">
        <v>482</v>
      </c>
      <c r="D19" s="94" t="s">
        <v>163</v>
      </c>
      <c r="E19" s="146">
        <v>2.0000000000000001E-4</v>
      </c>
      <c r="F19" s="147" t="s">
        <v>165</v>
      </c>
      <c r="G19" s="147" t="s">
        <v>165</v>
      </c>
      <c r="H19" s="76" t="s">
        <v>161</v>
      </c>
      <c r="I19" s="151">
        <v>12</v>
      </c>
      <c r="J19" s="151">
        <v>14</v>
      </c>
      <c r="K19" s="152">
        <v>12.4</v>
      </c>
      <c r="L19" s="152">
        <v>12.8</v>
      </c>
      <c r="M19" s="152">
        <v>0</v>
      </c>
      <c r="N19" s="152">
        <v>0.6</v>
      </c>
      <c r="O19" s="152">
        <v>64</v>
      </c>
      <c r="P19" s="152">
        <v>68</v>
      </c>
      <c r="Q19" s="153">
        <v>12</v>
      </c>
      <c r="R19" s="153">
        <v>1000000</v>
      </c>
      <c r="S19" s="153">
        <v>600</v>
      </c>
      <c r="T19" s="153">
        <v>1000</v>
      </c>
      <c r="U19" s="153">
        <v>34</v>
      </c>
      <c r="V19" s="153">
        <v>36</v>
      </c>
      <c r="W19" s="152">
        <v>25.06</v>
      </c>
      <c r="X19" s="209">
        <v>25.21</v>
      </c>
      <c r="Y19" s="149" t="s">
        <v>163</v>
      </c>
      <c r="Z19" s="149" t="s">
        <v>163</v>
      </c>
    </row>
    <row r="20" spans="1:26" x14ac:dyDescent="0.35">
      <c r="A20" s="145" t="s">
        <v>483</v>
      </c>
      <c r="B20" s="94"/>
      <c r="C20" s="94" t="s">
        <v>484</v>
      </c>
      <c r="D20" s="94" t="s">
        <v>163</v>
      </c>
      <c r="E20" s="146">
        <v>2.0000000000000001E-4</v>
      </c>
      <c r="F20" s="147" t="s">
        <v>165</v>
      </c>
      <c r="G20" s="147" t="s">
        <v>165</v>
      </c>
      <c r="H20" s="76" t="s">
        <v>161</v>
      </c>
      <c r="I20" s="151">
        <v>11</v>
      </c>
      <c r="J20" s="151">
        <v>13</v>
      </c>
      <c r="K20" s="152"/>
      <c r="L20" s="152"/>
      <c r="M20" s="152">
        <v>0</v>
      </c>
      <c r="N20" s="152">
        <v>0.6</v>
      </c>
      <c r="O20" s="152">
        <v>60</v>
      </c>
      <c r="P20" s="152">
        <v>64</v>
      </c>
      <c r="Q20" s="153">
        <v>12</v>
      </c>
      <c r="R20" s="153">
        <v>1000000</v>
      </c>
      <c r="S20" s="153">
        <v>600</v>
      </c>
      <c r="T20" s="153">
        <v>1000</v>
      </c>
      <c r="U20" s="153">
        <v>31</v>
      </c>
      <c r="V20" s="153">
        <v>35</v>
      </c>
      <c r="W20" s="152">
        <v>25.06</v>
      </c>
      <c r="X20" s="209">
        <v>25.21</v>
      </c>
      <c r="Y20" s="149" t="s">
        <v>163</v>
      </c>
      <c r="Z20" s="149" t="s">
        <v>163</v>
      </c>
    </row>
    <row r="21" spans="1:26" x14ac:dyDescent="0.35">
      <c r="A21" s="145" t="s">
        <v>75</v>
      </c>
      <c r="B21" s="94" t="s">
        <v>485</v>
      </c>
      <c r="C21" s="94" t="s">
        <v>486</v>
      </c>
      <c r="D21" s="94" t="s">
        <v>163</v>
      </c>
      <c r="E21" s="146">
        <v>2.0000000000000001E-4</v>
      </c>
      <c r="F21" s="147" t="s">
        <v>165</v>
      </c>
      <c r="G21" s="147" t="s">
        <v>165</v>
      </c>
      <c r="H21" s="76" t="s">
        <v>161</v>
      </c>
      <c r="I21" s="151">
        <v>12</v>
      </c>
      <c r="J21" s="151">
        <v>14</v>
      </c>
      <c r="K21" s="152">
        <v>13</v>
      </c>
      <c r="L21" s="152">
        <v>1000000</v>
      </c>
      <c r="M21" s="152">
        <v>0</v>
      </c>
      <c r="N21" s="152">
        <v>0.56999999999999995</v>
      </c>
      <c r="O21" s="152">
        <v>64</v>
      </c>
      <c r="P21" s="152">
        <v>1000000</v>
      </c>
      <c r="Q21" s="153">
        <v>12</v>
      </c>
      <c r="R21" s="153">
        <v>1000000</v>
      </c>
      <c r="S21" s="153">
        <v>600</v>
      </c>
      <c r="T21" s="153">
        <v>1000000</v>
      </c>
      <c r="U21" s="153">
        <v>35</v>
      </c>
      <c r="V21" s="153">
        <v>1000000</v>
      </c>
      <c r="W21" s="152">
        <v>25.06</v>
      </c>
      <c r="X21" s="209">
        <v>25.21</v>
      </c>
      <c r="Y21" s="149" t="s">
        <v>163</v>
      </c>
      <c r="Z21" s="149" t="s">
        <v>163</v>
      </c>
    </row>
    <row r="22" spans="1:26" x14ac:dyDescent="0.35">
      <c r="A22" s="145" t="s">
        <v>487</v>
      </c>
      <c r="B22" s="94" t="s">
        <v>488</v>
      </c>
      <c r="C22" s="94" t="s">
        <v>489</v>
      </c>
      <c r="D22" s="94" t="s">
        <v>163</v>
      </c>
      <c r="E22" s="146">
        <v>2.0000000000000001E-4</v>
      </c>
      <c r="F22" s="147" t="s">
        <v>165</v>
      </c>
      <c r="G22" s="147" t="s">
        <v>165</v>
      </c>
      <c r="H22" s="76" t="s">
        <v>161</v>
      </c>
      <c r="I22" s="151">
        <v>0</v>
      </c>
      <c r="J22" s="151">
        <v>13.5</v>
      </c>
      <c r="K22" s="152">
        <v>12.5</v>
      </c>
      <c r="L22" s="152">
        <v>13.5</v>
      </c>
      <c r="M22" s="152">
        <v>0</v>
      </c>
      <c r="N22" s="152">
        <v>0.62</v>
      </c>
      <c r="O22" s="152">
        <v>65</v>
      </c>
      <c r="P22" s="152">
        <v>68</v>
      </c>
      <c r="Q22" s="153">
        <v>11</v>
      </c>
      <c r="R22" s="153">
        <v>1000000</v>
      </c>
      <c r="S22" s="153">
        <v>800</v>
      </c>
      <c r="T22" s="153">
        <v>1000000</v>
      </c>
      <c r="U22" s="153">
        <v>35</v>
      </c>
      <c r="V22" s="153">
        <v>40</v>
      </c>
      <c r="W22" s="152">
        <v>25.06</v>
      </c>
      <c r="X22" s="209">
        <v>25.21</v>
      </c>
      <c r="Y22" s="149" t="s">
        <v>163</v>
      </c>
      <c r="Z22" s="149" t="s">
        <v>163</v>
      </c>
    </row>
    <row r="23" spans="1:26" x14ac:dyDescent="0.35">
      <c r="A23" s="199" t="s">
        <v>86</v>
      </c>
      <c r="B23" s="94"/>
      <c r="C23" s="94" t="s">
        <v>490</v>
      </c>
      <c r="D23" s="94" t="s">
        <v>163</v>
      </c>
      <c r="E23" s="146">
        <v>2.0000000000000001E-4</v>
      </c>
      <c r="F23" s="147" t="s">
        <v>165</v>
      </c>
      <c r="G23" s="147" t="s">
        <v>165</v>
      </c>
      <c r="H23" s="76" t="s">
        <v>163</v>
      </c>
      <c r="I23" s="151" t="s">
        <v>163</v>
      </c>
      <c r="J23" s="151" t="s">
        <v>163</v>
      </c>
      <c r="K23" s="151" t="s">
        <v>163</v>
      </c>
      <c r="L23" s="151" t="s">
        <v>163</v>
      </c>
      <c r="M23" s="152" t="s">
        <v>163</v>
      </c>
      <c r="N23" s="152" t="s">
        <v>163</v>
      </c>
      <c r="O23" s="149" t="s">
        <v>163</v>
      </c>
      <c r="P23" s="149" t="s">
        <v>163</v>
      </c>
      <c r="Q23" s="150" t="s">
        <v>163</v>
      </c>
      <c r="R23" s="150" t="s">
        <v>163</v>
      </c>
      <c r="S23" s="150" t="s">
        <v>163</v>
      </c>
      <c r="T23" s="150" t="s">
        <v>163</v>
      </c>
      <c r="U23" s="150" t="s">
        <v>163</v>
      </c>
      <c r="V23" s="153" t="s">
        <v>163</v>
      </c>
      <c r="W23" s="152">
        <v>25.06</v>
      </c>
      <c r="X23" s="209">
        <v>25.21</v>
      </c>
      <c r="Y23" s="149" t="s">
        <v>163</v>
      </c>
      <c r="Z23" s="149" t="s">
        <v>163</v>
      </c>
    </row>
    <row r="24" spans="1:26" x14ac:dyDescent="0.35">
      <c r="A24" s="258" t="s">
        <v>337</v>
      </c>
      <c r="B24" s="94"/>
      <c r="C24" s="94" t="s">
        <v>491</v>
      </c>
      <c r="D24" s="94" t="s">
        <v>163</v>
      </c>
      <c r="E24" s="146">
        <v>2.0000000000000001E-4</v>
      </c>
      <c r="F24" s="147" t="s">
        <v>165</v>
      </c>
      <c r="G24" s="147" t="s">
        <v>165</v>
      </c>
      <c r="H24" s="76" t="s">
        <v>163</v>
      </c>
      <c r="I24" s="151" t="s">
        <v>163</v>
      </c>
      <c r="J24" s="151" t="s">
        <v>163</v>
      </c>
      <c r="K24" s="151" t="s">
        <v>163</v>
      </c>
      <c r="L24" s="151" t="s">
        <v>163</v>
      </c>
      <c r="M24" s="152" t="s">
        <v>163</v>
      </c>
      <c r="N24" s="152" t="s">
        <v>163</v>
      </c>
      <c r="O24" s="149" t="s">
        <v>163</v>
      </c>
      <c r="P24" s="149" t="s">
        <v>163</v>
      </c>
      <c r="Q24" s="150" t="s">
        <v>163</v>
      </c>
      <c r="R24" s="150" t="s">
        <v>163</v>
      </c>
      <c r="S24" s="150" t="s">
        <v>163</v>
      </c>
      <c r="T24" s="150" t="s">
        <v>163</v>
      </c>
      <c r="U24" s="150" t="s">
        <v>163</v>
      </c>
      <c r="V24" s="153" t="s">
        <v>163</v>
      </c>
      <c r="W24" s="152">
        <v>25.06</v>
      </c>
      <c r="X24" s="209">
        <v>25.21</v>
      </c>
      <c r="Y24" s="149" t="s">
        <v>163</v>
      </c>
      <c r="Z24" s="149" t="s">
        <v>163</v>
      </c>
    </row>
    <row r="25" spans="1:26" x14ac:dyDescent="0.35">
      <c r="A25" s="145" t="s">
        <v>492</v>
      </c>
      <c r="B25" s="94" t="s">
        <v>493</v>
      </c>
      <c r="C25" s="94" t="s">
        <v>494</v>
      </c>
      <c r="D25" s="94" t="s">
        <v>163</v>
      </c>
      <c r="E25" s="146">
        <v>2.0000000000000001E-4</v>
      </c>
      <c r="F25" s="147" t="s">
        <v>165</v>
      </c>
      <c r="G25" s="147" t="s">
        <v>165</v>
      </c>
      <c r="H25" s="76" t="s">
        <v>161</v>
      </c>
      <c r="I25" s="151">
        <v>12</v>
      </c>
      <c r="J25" s="151">
        <v>14</v>
      </c>
      <c r="K25" s="152">
        <v>12.8</v>
      </c>
      <c r="L25" s="152">
        <v>13.5</v>
      </c>
      <c r="M25" s="152">
        <v>0</v>
      </c>
      <c r="N25" s="152">
        <v>0.55000000000000004</v>
      </c>
      <c r="O25" s="152">
        <v>64</v>
      </c>
      <c r="P25" s="152">
        <v>68</v>
      </c>
      <c r="Q25" s="153">
        <v>12</v>
      </c>
      <c r="R25" s="153">
        <v>1000000</v>
      </c>
      <c r="S25" s="153">
        <v>600</v>
      </c>
      <c r="T25" s="153">
        <v>1000</v>
      </c>
      <c r="U25" s="153">
        <v>35</v>
      </c>
      <c r="V25" s="153">
        <v>40</v>
      </c>
      <c r="W25" s="152">
        <v>25.06</v>
      </c>
      <c r="X25" s="209">
        <v>25.21</v>
      </c>
      <c r="Y25" s="149" t="s">
        <v>163</v>
      </c>
      <c r="Z25" s="149" t="s">
        <v>163</v>
      </c>
    </row>
    <row r="26" spans="1:26" x14ac:dyDescent="0.35">
      <c r="A26" s="145" t="s">
        <v>495</v>
      </c>
      <c r="B26" s="94"/>
      <c r="C26" s="94" t="s">
        <v>496</v>
      </c>
      <c r="D26" s="94" t="s">
        <v>163</v>
      </c>
      <c r="E26" s="146">
        <v>2.0000000000000001E-4</v>
      </c>
      <c r="F26" s="147" t="s">
        <v>165</v>
      </c>
      <c r="G26" s="147" t="s">
        <v>165</v>
      </c>
      <c r="H26" s="76" t="s">
        <v>163</v>
      </c>
      <c r="I26" s="151">
        <v>0</v>
      </c>
      <c r="J26" s="151">
        <v>13.5</v>
      </c>
      <c r="K26" s="151" t="s">
        <v>163</v>
      </c>
      <c r="L26" s="151" t="s">
        <v>163</v>
      </c>
      <c r="M26" s="152">
        <v>0</v>
      </c>
      <c r="N26" s="152">
        <v>0.56999999999999995</v>
      </c>
      <c r="O26" s="152">
        <v>64</v>
      </c>
      <c r="P26" s="152">
        <v>1000000</v>
      </c>
      <c r="Q26" s="153" t="s">
        <v>163</v>
      </c>
      <c r="R26" s="153" t="s">
        <v>163</v>
      </c>
      <c r="S26" s="153" t="s">
        <v>163</v>
      </c>
      <c r="T26" s="153" t="s">
        <v>163</v>
      </c>
      <c r="U26" s="153">
        <v>35</v>
      </c>
      <c r="V26" s="153">
        <v>40</v>
      </c>
      <c r="W26" s="149" t="s">
        <v>163</v>
      </c>
      <c r="X26" s="210" t="s">
        <v>163</v>
      </c>
      <c r="Y26" s="149" t="s">
        <v>163</v>
      </c>
      <c r="Z26" s="149" t="s">
        <v>163</v>
      </c>
    </row>
    <row r="27" spans="1:26" x14ac:dyDescent="0.35">
      <c r="A27" s="145" t="s">
        <v>315</v>
      </c>
      <c r="B27" s="94"/>
      <c r="C27" s="94" t="s">
        <v>496</v>
      </c>
      <c r="D27" s="94" t="s">
        <v>163</v>
      </c>
      <c r="E27" s="146">
        <v>2.0000000000000001E-4</v>
      </c>
      <c r="F27" s="147" t="s">
        <v>165</v>
      </c>
      <c r="G27" s="147" t="s">
        <v>165</v>
      </c>
      <c r="H27" s="76" t="s">
        <v>163</v>
      </c>
      <c r="I27" s="151">
        <v>0</v>
      </c>
      <c r="J27" s="151">
        <v>13.5</v>
      </c>
      <c r="K27" s="151" t="s">
        <v>163</v>
      </c>
      <c r="L27" s="151" t="s">
        <v>163</v>
      </c>
      <c r="M27" s="152">
        <v>0</v>
      </c>
      <c r="N27" s="152">
        <v>0.56999999999999995</v>
      </c>
      <c r="O27" s="152">
        <v>64</v>
      </c>
      <c r="P27" s="152">
        <v>1000000</v>
      </c>
      <c r="Q27" s="153" t="s">
        <v>163</v>
      </c>
      <c r="R27" s="153" t="s">
        <v>163</v>
      </c>
      <c r="S27" s="153" t="s">
        <v>163</v>
      </c>
      <c r="T27" s="153" t="s">
        <v>163</v>
      </c>
      <c r="U27" s="153">
        <v>35</v>
      </c>
      <c r="V27" s="153">
        <v>40</v>
      </c>
      <c r="W27" s="152">
        <v>25.06</v>
      </c>
      <c r="X27" s="209">
        <v>25.21</v>
      </c>
      <c r="Y27" s="149" t="s">
        <v>163</v>
      </c>
      <c r="Z27" s="149" t="s">
        <v>163</v>
      </c>
    </row>
    <row r="28" spans="1:26" x14ac:dyDescent="0.35">
      <c r="A28" s="145" t="s">
        <v>92</v>
      </c>
      <c r="B28" s="94" t="s">
        <v>497</v>
      </c>
      <c r="C28" s="94" t="s">
        <v>12</v>
      </c>
      <c r="D28" s="94" t="s">
        <v>163</v>
      </c>
      <c r="E28" s="146">
        <v>0</v>
      </c>
      <c r="F28" s="147" t="s">
        <v>165</v>
      </c>
      <c r="G28" s="147" t="s">
        <v>165</v>
      </c>
      <c r="H28" s="76" t="s">
        <v>163</v>
      </c>
      <c r="I28" s="151">
        <v>11</v>
      </c>
      <c r="J28" s="151">
        <v>13</v>
      </c>
      <c r="K28" s="152">
        <v>7</v>
      </c>
      <c r="L28" s="152">
        <v>1000000</v>
      </c>
      <c r="M28" s="152">
        <v>0</v>
      </c>
      <c r="N28" s="152">
        <v>0.4</v>
      </c>
      <c r="O28" s="152">
        <v>54</v>
      </c>
      <c r="P28" s="152">
        <v>58</v>
      </c>
      <c r="Q28" s="153">
        <v>0</v>
      </c>
      <c r="R28" s="153">
        <v>7</v>
      </c>
      <c r="S28" s="153">
        <v>320</v>
      </c>
      <c r="T28" s="153">
        <v>1000000</v>
      </c>
      <c r="U28" s="153">
        <v>18</v>
      </c>
      <c r="V28" s="153" t="s">
        <v>163</v>
      </c>
      <c r="W28" s="152">
        <v>25.1</v>
      </c>
      <c r="X28" s="209">
        <v>25.245000000000001</v>
      </c>
      <c r="Y28" s="149" t="s">
        <v>163</v>
      </c>
      <c r="Z28" s="149" t="s">
        <v>498</v>
      </c>
    </row>
    <row r="29" spans="1:26" x14ac:dyDescent="0.35">
      <c r="A29" s="145" t="s">
        <v>499</v>
      </c>
      <c r="B29" s="94" t="s">
        <v>500</v>
      </c>
      <c r="C29" s="94" t="s">
        <v>501</v>
      </c>
      <c r="D29" s="94" t="s">
        <v>163</v>
      </c>
      <c r="E29" s="94" t="s">
        <v>163</v>
      </c>
      <c r="F29" s="147" t="s">
        <v>165</v>
      </c>
      <c r="G29" s="147" t="s">
        <v>165</v>
      </c>
      <c r="H29" s="76" t="s">
        <v>163</v>
      </c>
      <c r="I29" s="151">
        <v>0</v>
      </c>
      <c r="J29" s="151">
        <v>15</v>
      </c>
      <c r="K29" s="152">
        <v>13.5</v>
      </c>
      <c r="L29" s="152">
        <v>16</v>
      </c>
      <c r="M29" s="152">
        <v>1.2</v>
      </c>
      <c r="N29" s="152">
        <v>2</v>
      </c>
      <c r="O29" s="152" t="s">
        <v>163</v>
      </c>
      <c r="P29" s="152" t="s">
        <v>163</v>
      </c>
      <c r="Q29" s="153" t="s">
        <v>163</v>
      </c>
      <c r="R29" s="153" t="s">
        <v>163</v>
      </c>
      <c r="S29" s="153" t="s">
        <v>163</v>
      </c>
      <c r="T29" s="153" t="s">
        <v>163</v>
      </c>
      <c r="U29" s="153" t="s">
        <v>163</v>
      </c>
      <c r="V29" s="153" t="s">
        <v>163</v>
      </c>
      <c r="W29" s="152">
        <v>25.06</v>
      </c>
      <c r="X29" s="209">
        <v>25.21</v>
      </c>
      <c r="Y29" s="149" t="s">
        <v>163</v>
      </c>
      <c r="Z29" s="149" t="s">
        <v>163</v>
      </c>
    </row>
    <row r="30" spans="1:26" x14ac:dyDescent="0.35">
      <c r="A30" s="145" t="s">
        <v>101</v>
      </c>
      <c r="B30" s="94" t="s">
        <v>502</v>
      </c>
      <c r="C30" s="94" t="s">
        <v>503</v>
      </c>
      <c r="D30" s="94" t="s">
        <v>163</v>
      </c>
      <c r="E30" s="94" t="s">
        <v>163</v>
      </c>
      <c r="F30" s="147" t="s">
        <v>165</v>
      </c>
      <c r="G30" s="147" t="s">
        <v>165</v>
      </c>
      <c r="H30" s="76" t="s">
        <v>163</v>
      </c>
      <c r="I30" s="151">
        <v>12</v>
      </c>
      <c r="J30" s="151">
        <v>14</v>
      </c>
      <c r="K30" s="152">
        <v>13.5</v>
      </c>
      <c r="L30" s="152">
        <v>1000000</v>
      </c>
      <c r="M30" s="152">
        <v>0</v>
      </c>
      <c r="N30" s="152">
        <v>1.2</v>
      </c>
      <c r="O30" s="152">
        <v>60</v>
      </c>
      <c r="P30" s="152">
        <v>1000000</v>
      </c>
      <c r="Q30" s="153">
        <v>11</v>
      </c>
      <c r="R30" s="153">
        <v>1000000</v>
      </c>
      <c r="S30" s="153">
        <v>600</v>
      </c>
      <c r="T30" s="153">
        <v>1000000</v>
      </c>
      <c r="U30" s="153">
        <v>40</v>
      </c>
      <c r="V30" s="153">
        <v>1000000</v>
      </c>
      <c r="W30" s="152">
        <v>25.06</v>
      </c>
      <c r="X30" s="209">
        <v>25.21</v>
      </c>
      <c r="Y30" s="149" t="s">
        <v>163</v>
      </c>
      <c r="Z30" s="149" t="s">
        <v>163</v>
      </c>
    </row>
    <row r="31" spans="1:26" x14ac:dyDescent="0.35">
      <c r="A31" s="145" t="s">
        <v>110</v>
      </c>
      <c r="B31" s="94"/>
      <c r="C31" s="94"/>
      <c r="D31" s="94"/>
      <c r="E31" s="94" t="s">
        <v>163</v>
      </c>
      <c r="F31" s="147" t="s">
        <v>165</v>
      </c>
      <c r="G31" s="147" t="s">
        <v>165</v>
      </c>
      <c r="H31" s="76" t="s">
        <v>163</v>
      </c>
      <c r="I31" s="151">
        <v>12</v>
      </c>
      <c r="J31" s="151">
        <v>14</v>
      </c>
      <c r="K31" s="152">
        <v>13.5</v>
      </c>
      <c r="L31" s="152">
        <v>1000000</v>
      </c>
      <c r="M31" s="152">
        <v>0</v>
      </c>
      <c r="N31" s="152">
        <v>1.2</v>
      </c>
      <c r="O31" s="152">
        <v>60</v>
      </c>
      <c r="P31" s="152">
        <v>1000000</v>
      </c>
      <c r="Q31" s="153">
        <v>11</v>
      </c>
      <c r="R31" s="153">
        <v>1000000</v>
      </c>
      <c r="S31" s="153">
        <v>600</v>
      </c>
      <c r="T31" s="153">
        <v>1000000</v>
      </c>
      <c r="U31" s="153">
        <v>40</v>
      </c>
      <c r="V31" s="153">
        <v>1000000</v>
      </c>
      <c r="W31" s="153" t="s">
        <v>163</v>
      </c>
      <c r="X31" s="209" t="s">
        <v>163</v>
      </c>
      <c r="Y31" s="152" t="s">
        <v>163</v>
      </c>
      <c r="Z31" s="149" t="s">
        <v>163</v>
      </c>
    </row>
    <row r="32" spans="1:26" x14ac:dyDescent="0.35">
      <c r="A32" s="145" t="s">
        <v>104</v>
      </c>
      <c r="B32" s="94" t="s">
        <v>504</v>
      </c>
      <c r="C32" s="94" t="s">
        <v>505</v>
      </c>
      <c r="D32" s="94" t="s">
        <v>163</v>
      </c>
      <c r="E32" s="94" t="s">
        <v>163</v>
      </c>
      <c r="F32" s="147" t="s">
        <v>165</v>
      </c>
      <c r="G32" s="147" t="s">
        <v>165</v>
      </c>
      <c r="H32" s="76" t="s">
        <v>163</v>
      </c>
      <c r="I32" s="151">
        <v>12</v>
      </c>
      <c r="J32" s="151">
        <v>14</v>
      </c>
      <c r="K32" s="152">
        <v>13.5</v>
      </c>
      <c r="L32" s="152">
        <v>1000000</v>
      </c>
      <c r="M32" s="152">
        <v>0</v>
      </c>
      <c r="N32" s="152">
        <v>1.2</v>
      </c>
      <c r="O32" s="152">
        <v>60</v>
      </c>
      <c r="P32" s="152">
        <v>1000000</v>
      </c>
      <c r="Q32" s="153">
        <v>11</v>
      </c>
      <c r="R32" s="153">
        <v>1000000</v>
      </c>
      <c r="S32" s="153">
        <v>600</v>
      </c>
      <c r="T32" s="153">
        <v>1000000</v>
      </c>
      <c r="U32" s="153">
        <v>40</v>
      </c>
      <c r="V32" s="153">
        <v>1000000</v>
      </c>
      <c r="W32" s="152">
        <v>25.06</v>
      </c>
      <c r="X32" s="209">
        <v>25.21</v>
      </c>
      <c r="Y32" s="149" t="s">
        <v>163</v>
      </c>
      <c r="Z32" s="149" t="s">
        <v>163</v>
      </c>
    </row>
    <row r="33" spans="1:26" x14ac:dyDescent="0.35">
      <c r="A33" s="145" t="s">
        <v>506</v>
      </c>
      <c r="B33" s="94" t="s">
        <v>507</v>
      </c>
      <c r="C33" s="94" t="s">
        <v>505</v>
      </c>
      <c r="D33" s="94" t="s">
        <v>163</v>
      </c>
      <c r="E33" s="94" t="s">
        <v>163</v>
      </c>
      <c r="F33" s="147" t="s">
        <v>165</v>
      </c>
      <c r="G33" s="147" t="s">
        <v>165</v>
      </c>
      <c r="H33" s="76" t="s">
        <v>163</v>
      </c>
      <c r="I33" s="151">
        <v>11</v>
      </c>
      <c r="J33" s="151">
        <v>14</v>
      </c>
      <c r="K33" s="152">
        <v>8.5</v>
      </c>
      <c r="L33" s="152">
        <v>1000000</v>
      </c>
      <c r="M33" s="152">
        <v>0</v>
      </c>
      <c r="N33" s="152">
        <v>1.2</v>
      </c>
      <c r="O33" s="152">
        <v>56</v>
      </c>
      <c r="P33" s="152">
        <v>1000000</v>
      </c>
      <c r="Q33" s="153">
        <v>10</v>
      </c>
      <c r="R33" s="153">
        <v>1000000</v>
      </c>
      <c r="S33" s="153">
        <v>200</v>
      </c>
      <c r="T33" s="153">
        <v>1000000</v>
      </c>
      <c r="U33" s="153">
        <v>40</v>
      </c>
      <c r="V33" s="153">
        <v>1000000</v>
      </c>
      <c r="W33" s="152">
        <v>25.06</v>
      </c>
      <c r="X33" s="209">
        <v>25.21</v>
      </c>
      <c r="Y33" s="149" t="s">
        <v>163</v>
      </c>
      <c r="Z33" s="149" t="s">
        <v>163</v>
      </c>
    </row>
    <row r="34" spans="1:26" x14ac:dyDescent="0.35">
      <c r="A34" s="196" t="s">
        <v>175</v>
      </c>
      <c r="B34" s="197" t="s">
        <v>508</v>
      </c>
      <c r="C34" s="94" t="s">
        <v>509</v>
      </c>
      <c r="D34" s="94" t="s">
        <v>163</v>
      </c>
      <c r="E34" s="146">
        <v>2.0000000000000001E-4</v>
      </c>
      <c r="F34" s="147" t="s">
        <v>165</v>
      </c>
      <c r="G34" s="147" t="s">
        <v>165</v>
      </c>
      <c r="H34" s="76" t="s">
        <v>161</v>
      </c>
      <c r="I34" s="151">
        <v>12</v>
      </c>
      <c r="J34" s="151">
        <v>14</v>
      </c>
      <c r="K34" s="152">
        <v>11.5</v>
      </c>
      <c r="L34" s="152">
        <v>1000000</v>
      </c>
      <c r="M34" s="152">
        <v>0</v>
      </c>
      <c r="N34" s="152">
        <v>0.6</v>
      </c>
      <c r="O34" s="152">
        <v>64</v>
      </c>
      <c r="P34" s="152">
        <v>68</v>
      </c>
      <c r="Q34" s="153">
        <v>12</v>
      </c>
      <c r="R34" s="153">
        <v>1000000</v>
      </c>
      <c r="S34" s="153">
        <v>600</v>
      </c>
      <c r="T34" s="153">
        <v>700</v>
      </c>
      <c r="U34" s="153">
        <v>32</v>
      </c>
      <c r="V34" s="153">
        <v>1000000</v>
      </c>
      <c r="W34" s="152">
        <v>25.06</v>
      </c>
      <c r="X34" s="209">
        <v>25.21</v>
      </c>
      <c r="Y34" s="149" t="s">
        <v>163</v>
      </c>
      <c r="Z34" s="149" t="s">
        <v>163</v>
      </c>
    </row>
    <row r="35" spans="1:26" x14ac:dyDescent="0.35">
      <c r="A35" s="145" t="s">
        <v>112</v>
      </c>
      <c r="B35" s="94" t="s">
        <v>510</v>
      </c>
      <c r="C35" s="94" t="s">
        <v>511</v>
      </c>
      <c r="D35" s="94" t="s">
        <v>38</v>
      </c>
      <c r="E35" s="146">
        <v>2.0000000000000001E-4</v>
      </c>
      <c r="F35" s="147" t="s">
        <v>165</v>
      </c>
      <c r="G35" s="147" t="s">
        <v>165</v>
      </c>
      <c r="H35" s="76" t="s">
        <v>161</v>
      </c>
      <c r="I35" s="151">
        <v>0</v>
      </c>
      <c r="J35" s="151">
        <v>13.5</v>
      </c>
      <c r="K35" s="152">
        <v>12.5</v>
      </c>
      <c r="L35" s="152">
        <v>1000000</v>
      </c>
      <c r="M35" s="152">
        <v>0</v>
      </c>
      <c r="N35" s="152">
        <v>0.6</v>
      </c>
      <c r="O35" s="149">
        <v>64</v>
      </c>
      <c r="P35" s="149">
        <v>1000000</v>
      </c>
      <c r="Q35" s="150" t="s">
        <v>163</v>
      </c>
      <c r="R35" s="150" t="s">
        <v>163</v>
      </c>
      <c r="S35" s="150" t="s">
        <v>163</v>
      </c>
      <c r="T35" s="150" t="s">
        <v>163</v>
      </c>
      <c r="U35" s="150" t="s">
        <v>163</v>
      </c>
      <c r="V35" s="150" t="s">
        <v>163</v>
      </c>
      <c r="W35" s="152">
        <v>25.06</v>
      </c>
      <c r="X35" s="209">
        <v>25.21</v>
      </c>
      <c r="Y35" s="149" t="s">
        <v>163</v>
      </c>
      <c r="Z35" s="149" t="s">
        <v>163</v>
      </c>
    </row>
    <row r="36" spans="1:26" x14ac:dyDescent="0.35">
      <c r="A36" s="145" t="s">
        <v>115</v>
      </c>
      <c r="B36" s="94" t="s">
        <v>510</v>
      </c>
      <c r="C36" s="94" t="s">
        <v>511</v>
      </c>
      <c r="D36" s="94" t="s">
        <v>38</v>
      </c>
      <c r="E36" s="146">
        <v>2.0000000000000001E-4</v>
      </c>
      <c r="F36" s="147" t="s">
        <v>165</v>
      </c>
      <c r="G36" s="147" t="s">
        <v>165</v>
      </c>
      <c r="H36" s="76" t="s">
        <v>161</v>
      </c>
      <c r="I36" s="151">
        <v>0</v>
      </c>
      <c r="J36" s="151">
        <v>13.5</v>
      </c>
      <c r="K36" s="152">
        <v>12.5</v>
      </c>
      <c r="L36" s="152">
        <v>1000000</v>
      </c>
      <c r="M36" s="152">
        <v>0</v>
      </c>
      <c r="N36" s="152">
        <v>0.6</v>
      </c>
      <c r="O36" s="149">
        <v>64</v>
      </c>
      <c r="P36" s="149">
        <v>1000000</v>
      </c>
      <c r="Q36" s="150" t="s">
        <v>163</v>
      </c>
      <c r="R36" s="150" t="s">
        <v>163</v>
      </c>
      <c r="S36" s="150" t="s">
        <v>163</v>
      </c>
      <c r="T36" s="150" t="s">
        <v>163</v>
      </c>
      <c r="U36" s="150" t="s">
        <v>163</v>
      </c>
      <c r="V36" s="150" t="s">
        <v>163</v>
      </c>
      <c r="W36" s="152">
        <v>25.06</v>
      </c>
      <c r="X36" s="209">
        <v>25.21</v>
      </c>
      <c r="Y36" s="149" t="s">
        <v>163</v>
      </c>
      <c r="Z36" s="149" t="s">
        <v>163</v>
      </c>
    </row>
    <row r="37" spans="1:26" x14ac:dyDescent="0.35">
      <c r="A37" s="198" t="s">
        <v>117</v>
      </c>
      <c r="B37" s="197" t="s">
        <v>510</v>
      </c>
      <c r="C37" s="94" t="s">
        <v>512</v>
      </c>
      <c r="D37" s="94" t="s">
        <v>513</v>
      </c>
      <c r="E37" s="146">
        <v>2.0000000000000001E-4</v>
      </c>
      <c r="F37" s="147" t="s">
        <v>165</v>
      </c>
      <c r="G37" s="147" t="s">
        <v>165</v>
      </c>
      <c r="H37" s="76" t="s">
        <v>161</v>
      </c>
      <c r="I37" s="151">
        <v>12</v>
      </c>
      <c r="J37" s="151">
        <v>14</v>
      </c>
      <c r="K37" s="152">
        <v>12</v>
      </c>
      <c r="L37" s="152">
        <v>1000000</v>
      </c>
      <c r="M37" s="152">
        <v>0</v>
      </c>
      <c r="N37" s="152">
        <v>0.65</v>
      </c>
      <c r="O37" s="149">
        <v>64</v>
      </c>
      <c r="P37" s="149">
        <v>68</v>
      </c>
      <c r="Q37" s="150">
        <v>12</v>
      </c>
      <c r="R37" s="153">
        <v>1000000</v>
      </c>
      <c r="S37" s="150">
        <v>600</v>
      </c>
      <c r="T37" s="150">
        <v>1000</v>
      </c>
      <c r="U37" s="150">
        <v>33</v>
      </c>
      <c r="V37" s="153">
        <v>1000000</v>
      </c>
      <c r="W37" s="152">
        <v>25.1</v>
      </c>
      <c r="X37" s="209">
        <v>25.245000000000001</v>
      </c>
      <c r="Y37" s="152"/>
      <c r="Z37" s="149" t="s">
        <v>163</v>
      </c>
    </row>
    <row r="38" spans="1:26" x14ac:dyDescent="0.35">
      <c r="A38" s="196" t="s">
        <v>119</v>
      </c>
      <c r="B38" s="197" t="s">
        <v>510</v>
      </c>
      <c r="C38" s="94" t="s">
        <v>512</v>
      </c>
      <c r="D38" s="94" t="s">
        <v>27</v>
      </c>
      <c r="E38" s="146">
        <v>2.0000000000000001E-4</v>
      </c>
      <c r="F38" s="147" t="s">
        <v>165</v>
      </c>
      <c r="G38" s="147" t="s">
        <v>165</v>
      </c>
      <c r="H38" s="76" t="s">
        <v>161</v>
      </c>
      <c r="I38" s="151">
        <v>12</v>
      </c>
      <c r="J38" s="151">
        <v>14</v>
      </c>
      <c r="K38" s="152">
        <v>12</v>
      </c>
      <c r="L38" s="152">
        <v>1000000</v>
      </c>
      <c r="M38" s="152">
        <v>0</v>
      </c>
      <c r="N38" s="152">
        <v>0.65</v>
      </c>
      <c r="O38" s="149">
        <v>64</v>
      </c>
      <c r="P38" s="149">
        <v>68</v>
      </c>
      <c r="Q38" s="150">
        <v>12</v>
      </c>
      <c r="R38" s="153">
        <v>1000000</v>
      </c>
      <c r="S38" s="150">
        <v>600</v>
      </c>
      <c r="T38" s="150">
        <v>1000</v>
      </c>
      <c r="U38" s="150">
        <v>33</v>
      </c>
      <c r="V38" s="153">
        <v>1000000</v>
      </c>
      <c r="W38" s="152">
        <v>25.06</v>
      </c>
      <c r="X38" s="209">
        <v>25.21</v>
      </c>
      <c r="Y38" s="152"/>
      <c r="Z38" s="149" t="s">
        <v>163</v>
      </c>
    </row>
    <row r="39" spans="1:26" x14ac:dyDescent="0.35">
      <c r="A39" s="13" t="s">
        <v>123</v>
      </c>
      <c r="B39" s="94" t="s">
        <v>514</v>
      </c>
      <c r="C39" s="94" t="s">
        <v>512</v>
      </c>
      <c r="D39" s="94" t="s">
        <v>163</v>
      </c>
      <c r="E39" s="146">
        <v>2.0000000000000001E-4</v>
      </c>
      <c r="F39" s="147" t="s">
        <v>165</v>
      </c>
      <c r="G39" s="147" t="s">
        <v>165</v>
      </c>
      <c r="H39" s="76" t="s">
        <v>163</v>
      </c>
      <c r="I39" s="151">
        <v>11</v>
      </c>
      <c r="J39" s="151">
        <v>14.5</v>
      </c>
      <c r="K39" s="152">
        <v>12</v>
      </c>
      <c r="L39" s="152">
        <v>13.5</v>
      </c>
      <c r="M39" s="152">
        <v>0.5</v>
      </c>
      <c r="N39" s="152">
        <v>0.65</v>
      </c>
      <c r="O39" s="152">
        <v>60</v>
      </c>
      <c r="P39" s="152">
        <v>68.5</v>
      </c>
      <c r="Q39" s="153" t="s">
        <v>163</v>
      </c>
      <c r="R39" s="153" t="s">
        <v>163</v>
      </c>
      <c r="S39" s="153" t="s">
        <v>163</v>
      </c>
      <c r="T39" s="153" t="s">
        <v>163</v>
      </c>
      <c r="U39" s="153">
        <v>30</v>
      </c>
      <c r="V39" s="153">
        <v>41</v>
      </c>
      <c r="W39" s="152">
        <v>25.06</v>
      </c>
      <c r="X39" s="209">
        <v>25.21</v>
      </c>
      <c r="Y39" s="149">
        <v>300</v>
      </c>
      <c r="Z39" s="149" t="s">
        <v>163</v>
      </c>
    </row>
    <row r="40" spans="1:26" x14ac:dyDescent="0.35">
      <c r="A40" s="13" t="s">
        <v>336</v>
      </c>
      <c r="B40" s="94" t="s">
        <v>514</v>
      </c>
      <c r="C40" s="94" t="s">
        <v>512</v>
      </c>
      <c r="D40" s="94" t="s">
        <v>163</v>
      </c>
      <c r="E40" s="146">
        <v>2.0000000000000001E-4</v>
      </c>
      <c r="F40" s="147" t="s">
        <v>165</v>
      </c>
      <c r="G40" s="147" t="s">
        <v>165</v>
      </c>
      <c r="H40" s="76" t="s">
        <v>163</v>
      </c>
      <c r="I40" s="151">
        <v>11</v>
      </c>
      <c r="J40" s="151">
        <v>14.5</v>
      </c>
      <c r="K40" s="152">
        <v>12</v>
      </c>
      <c r="L40" s="152">
        <v>13.5</v>
      </c>
      <c r="M40" s="152">
        <v>0.5</v>
      </c>
      <c r="N40" s="152">
        <v>0.65</v>
      </c>
      <c r="O40" s="152">
        <v>60</v>
      </c>
      <c r="P40" s="152">
        <v>68.5</v>
      </c>
      <c r="Q40" s="153" t="s">
        <v>163</v>
      </c>
      <c r="R40" s="153" t="s">
        <v>163</v>
      </c>
      <c r="S40" s="153" t="s">
        <v>163</v>
      </c>
      <c r="T40" s="153" t="s">
        <v>163</v>
      </c>
      <c r="U40" s="153">
        <v>30</v>
      </c>
      <c r="V40" s="153">
        <v>41</v>
      </c>
      <c r="W40" s="152">
        <v>25.06</v>
      </c>
      <c r="X40" s="209">
        <v>25.21</v>
      </c>
      <c r="Y40" s="149">
        <v>300</v>
      </c>
      <c r="Z40" s="149" t="s">
        <v>163</v>
      </c>
    </row>
    <row r="41" spans="1:26" x14ac:dyDescent="0.35">
      <c r="A41" s="145" t="s">
        <v>515</v>
      </c>
      <c r="B41" s="94" t="s">
        <v>514</v>
      </c>
      <c r="C41" s="94" t="s">
        <v>18</v>
      </c>
      <c r="D41" s="94" t="s">
        <v>163</v>
      </c>
      <c r="E41" s="146">
        <v>2.0000000000000001E-4</v>
      </c>
      <c r="F41" s="147" t="s">
        <v>165</v>
      </c>
      <c r="G41" s="147" t="s">
        <v>165</v>
      </c>
      <c r="H41" s="76" t="s">
        <v>163</v>
      </c>
      <c r="I41" s="151">
        <v>11</v>
      </c>
      <c r="J41" s="151">
        <v>14.5</v>
      </c>
      <c r="K41" s="152">
        <v>12</v>
      </c>
      <c r="L41" s="152">
        <v>13.5</v>
      </c>
      <c r="M41" s="152">
        <v>0.5</v>
      </c>
      <c r="N41" s="152">
        <v>0.65</v>
      </c>
      <c r="O41" s="152">
        <v>60</v>
      </c>
      <c r="P41" s="152">
        <v>68.5</v>
      </c>
      <c r="Q41" s="153" t="s">
        <v>163</v>
      </c>
      <c r="R41" s="153" t="s">
        <v>163</v>
      </c>
      <c r="S41" s="153" t="s">
        <v>163</v>
      </c>
      <c r="T41" s="153" t="s">
        <v>163</v>
      </c>
      <c r="U41" s="153">
        <v>30</v>
      </c>
      <c r="V41" s="153">
        <v>41</v>
      </c>
      <c r="W41" s="149" t="s">
        <v>163</v>
      </c>
      <c r="X41" s="210" t="s">
        <v>163</v>
      </c>
      <c r="Y41" s="149">
        <v>300</v>
      </c>
      <c r="Z41" s="149" t="s">
        <v>163</v>
      </c>
    </row>
    <row r="42" spans="1:26" x14ac:dyDescent="0.35">
      <c r="A42" s="145" t="s">
        <v>171</v>
      </c>
      <c r="B42" s="94"/>
      <c r="C42" s="94"/>
      <c r="D42" s="94"/>
      <c r="E42" s="153" t="s">
        <v>163</v>
      </c>
      <c r="F42" s="147" t="s">
        <v>165</v>
      </c>
      <c r="G42" s="147" t="s">
        <v>165</v>
      </c>
      <c r="H42" s="76" t="s">
        <v>163</v>
      </c>
      <c r="I42" s="151">
        <v>11</v>
      </c>
      <c r="J42" s="151">
        <v>13</v>
      </c>
      <c r="K42" s="151" t="s">
        <v>163</v>
      </c>
      <c r="L42" s="149" t="s">
        <v>163</v>
      </c>
      <c r="M42" s="151">
        <v>4</v>
      </c>
      <c r="N42" s="149">
        <v>6</v>
      </c>
      <c r="O42" s="153" t="s">
        <v>163</v>
      </c>
      <c r="P42" s="153" t="s">
        <v>163</v>
      </c>
      <c r="Q42" s="153" t="s">
        <v>163</v>
      </c>
      <c r="R42" s="153" t="s">
        <v>163</v>
      </c>
      <c r="S42" s="153" t="s">
        <v>163</v>
      </c>
      <c r="T42" s="153" t="s">
        <v>163</v>
      </c>
      <c r="U42" s="153" t="s">
        <v>163</v>
      </c>
      <c r="V42" s="153" t="s">
        <v>163</v>
      </c>
      <c r="W42" s="153" t="s">
        <v>163</v>
      </c>
      <c r="X42" s="153" t="s">
        <v>163</v>
      </c>
      <c r="Y42" s="153" t="s">
        <v>163</v>
      </c>
      <c r="Z42" s="153" t="s">
        <v>163</v>
      </c>
    </row>
    <row r="43" spans="1:26" x14ac:dyDescent="0.35">
      <c r="A43" s="145" t="s">
        <v>131</v>
      </c>
      <c r="B43" s="94" t="s">
        <v>516</v>
      </c>
      <c r="C43" s="94" t="s">
        <v>19</v>
      </c>
      <c r="D43" s="94" t="s">
        <v>19</v>
      </c>
      <c r="E43" s="146">
        <v>2.0000000000000001E-4</v>
      </c>
      <c r="F43" s="147" t="s">
        <v>165</v>
      </c>
      <c r="G43" s="147" t="s">
        <v>165</v>
      </c>
      <c r="H43" s="76" t="s">
        <v>163</v>
      </c>
      <c r="I43" s="151">
        <v>11</v>
      </c>
      <c r="J43" s="151">
        <v>14.5</v>
      </c>
      <c r="K43" s="152">
        <v>12</v>
      </c>
      <c r="L43" s="152">
        <v>13.5</v>
      </c>
      <c r="M43" s="152">
        <v>0.45</v>
      </c>
      <c r="N43" s="152">
        <v>0.5</v>
      </c>
      <c r="O43" s="152">
        <v>62</v>
      </c>
      <c r="P43" s="152">
        <v>66</v>
      </c>
      <c r="Q43" s="153" t="s">
        <v>163</v>
      </c>
      <c r="R43" s="153" t="s">
        <v>163</v>
      </c>
      <c r="S43" s="153" t="s">
        <v>163</v>
      </c>
      <c r="T43" s="153" t="s">
        <v>163</v>
      </c>
      <c r="U43" s="155">
        <v>30</v>
      </c>
      <c r="V43" s="153">
        <v>41</v>
      </c>
      <c r="W43" s="152">
        <v>25.06</v>
      </c>
      <c r="X43" s="209">
        <v>25.21</v>
      </c>
      <c r="Y43" s="149" t="s">
        <v>163</v>
      </c>
      <c r="Z43" s="149" t="s">
        <v>163</v>
      </c>
    </row>
    <row r="44" spans="1:26" x14ac:dyDescent="0.35">
      <c r="A44" s="145" t="s">
        <v>517</v>
      </c>
      <c r="B44" s="94" t="s">
        <v>516</v>
      </c>
      <c r="C44" s="94" t="s">
        <v>19</v>
      </c>
      <c r="D44" s="94" t="s">
        <v>19</v>
      </c>
      <c r="E44" s="146">
        <v>2.0000000000000001E-4</v>
      </c>
      <c r="F44" s="147" t="s">
        <v>165</v>
      </c>
      <c r="G44" s="147" t="s">
        <v>165</v>
      </c>
      <c r="H44" s="76" t="s">
        <v>163</v>
      </c>
      <c r="I44" s="151">
        <v>11</v>
      </c>
      <c r="J44" s="151">
        <v>14.5</v>
      </c>
      <c r="K44" s="152">
        <v>12</v>
      </c>
      <c r="L44" s="152">
        <v>13.5</v>
      </c>
      <c r="M44" s="152">
        <v>0.45</v>
      </c>
      <c r="N44" s="152">
        <v>0.5</v>
      </c>
      <c r="O44" s="152">
        <v>62</v>
      </c>
      <c r="P44" s="152">
        <v>66</v>
      </c>
      <c r="Q44" s="153" t="s">
        <v>163</v>
      </c>
      <c r="R44" s="153" t="s">
        <v>163</v>
      </c>
      <c r="S44" s="153" t="s">
        <v>163</v>
      </c>
      <c r="T44" s="153" t="s">
        <v>163</v>
      </c>
      <c r="U44" s="155">
        <v>30</v>
      </c>
      <c r="V44" s="153">
        <v>41</v>
      </c>
      <c r="W44" s="152">
        <v>25.06</v>
      </c>
      <c r="X44" s="209">
        <v>25.21</v>
      </c>
      <c r="Y44" s="149" t="s">
        <v>163</v>
      </c>
      <c r="Z44" s="149" t="s">
        <v>163</v>
      </c>
    </row>
    <row r="45" spans="1:26" x14ac:dyDescent="0.35">
      <c r="A45" s="145" t="s">
        <v>518</v>
      </c>
      <c r="B45" s="94"/>
      <c r="C45" s="94" t="s">
        <v>518</v>
      </c>
      <c r="D45" s="94" t="s">
        <v>518</v>
      </c>
      <c r="E45" s="146">
        <v>2.0000000000000001E-4</v>
      </c>
      <c r="F45" s="147" t="s">
        <v>165</v>
      </c>
      <c r="G45" s="147" t="s">
        <v>165</v>
      </c>
      <c r="H45" s="76" t="s">
        <v>163</v>
      </c>
      <c r="I45" s="148" t="s">
        <v>163</v>
      </c>
      <c r="J45" s="148" t="s">
        <v>163</v>
      </c>
      <c r="K45" s="151" t="s">
        <v>163</v>
      </c>
      <c r="L45" s="151" t="s">
        <v>163</v>
      </c>
      <c r="M45" s="149" t="s">
        <v>163</v>
      </c>
      <c r="N45" s="149" t="s">
        <v>163</v>
      </c>
      <c r="O45" s="149" t="s">
        <v>163</v>
      </c>
      <c r="P45" s="149" t="s">
        <v>163</v>
      </c>
      <c r="Q45" s="150" t="s">
        <v>163</v>
      </c>
      <c r="R45" s="150" t="s">
        <v>163</v>
      </c>
      <c r="S45" s="150" t="s">
        <v>163</v>
      </c>
      <c r="T45" s="150" t="s">
        <v>163</v>
      </c>
      <c r="U45" s="150" t="s">
        <v>163</v>
      </c>
      <c r="V45" s="150" t="s">
        <v>163</v>
      </c>
      <c r="W45" s="149" t="s">
        <v>163</v>
      </c>
      <c r="X45" s="210" t="s">
        <v>163</v>
      </c>
      <c r="Y45" s="149" t="s">
        <v>163</v>
      </c>
      <c r="Z45" s="149" t="s">
        <v>163</v>
      </c>
    </row>
    <row r="46" spans="1:26" x14ac:dyDescent="0.35">
      <c r="A46" s="145" t="s">
        <v>174</v>
      </c>
      <c r="B46" s="94"/>
      <c r="C46" s="94" t="s">
        <v>174</v>
      </c>
      <c r="D46" s="94" t="s">
        <v>174</v>
      </c>
      <c r="E46" s="94" t="s">
        <v>163</v>
      </c>
      <c r="F46" s="147" t="s">
        <v>165</v>
      </c>
      <c r="G46" s="147" t="s">
        <v>165</v>
      </c>
      <c r="H46" s="76" t="s">
        <v>163</v>
      </c>
      <c r="I46" s="151">
        <v>11</v>
      </c>
      <c r="J46" s="151">
        <v>13</v>
      </c>
      <c r="K46" s="151" t="s">
        <v>163</v>
      </c>
      <c r="L46" s="151" t="s">
        <v>163</v>
      </c>
      <c r="M46" s="152">
        <v>0.7</v>
      </c>
      <c r="N46" s="152">
        <v>0.9</v>
      </c>
      <c r="O46" s="152" t="s">
        <v>163</v>
      </c>
      <c r="P46" s="152" t="s">
        <v>163</v>
      </c>
      <c r="Q46" s="153" t="s">
        <v>163</v>
      </c>
      <c r="R46" s="153" t="s">
        <v>163</v>
      </c>
      <c r="S46" s="153" t="s">
        <v>163</v>
      </c>
      <c r="T46" s="153" t="s">
        <v>163</v>
      </c>
      <c r="U46" s="153" t="s">
        <v>163</v>
      </c>
      <c r="V46" s="153" t="s">
        <v>163</v>
      </c>
      <c r="W46" s="149" t="s">
        <v>163</v>
      </c>
      <c r="X46" s="210" t="s">
        <v>163</v>
      </c>
      <c r="Y46" s="149" t="s">
        <v>163</v>
      </c>
      <c r="Z46" s="149" t="s">
        <v>163</v>
      </c>
    </row>
    <row r="47" spans="1:26" x14ac:dyDescent="0.35">
      <c r="A47" s="145" t="s">
        <v>519</v>
      </c>
      <c r="B47" s="94" t="s">
        <v>520</v>
      </c>
      <c r="C47" s="94" t="s">
        <v>521</v>
      </c>
      <c r="D47" s="94" t="s">
        <v>163</v>
      </c>
      <c r="E47" s="146">
        <v>2.0000000000000001E-4</v>
      </c>
      <c r="F47" s="147" t="s">
        <v>165</v>
      </c>
      <c r="G47" s="147" t="s">
        <v>165</v>
      </c>
      <c r="H47" s="76" t="s">
        <v>163</v>
      </c>
      <c r="I47" s="151">
        <v>12</v>
      </c>
      <c r="J47" s="151">
        <v>14</v>
      </c>
      <c r="K47" s="152">
        <v>12</v>
      </c>
      <c r="L47" s="152">
        <v>13.5</v>
      </c>
      <c r="M47" s="152">
        <v>0</v>
      </c>
      <c r="N47" s="152">
        <v>0.44</v>
      </c>
      <c r="O47" s="152">
        <v>62</v>
      </c>
      <c r="P47" s="152">
        <v>66</v>
      </c>
      <c r="Q47" s="153">
        <v>12</v>
      </c>
      <c r="R47" s="153">
        <v>1000000</v>
      </c>
      <c r="S47" s="153">
        <v>600</v>
      </c>
      <c r="T47" s="153">
        <v>750</v>
      </c>
      <c r="U47" s="153">
        <v>33</v>
      </c>
      <c r="V47" s="153">
        <v>41</v>
      </c>
      <c r="W47" s="152">
        <v>25.06</v>
      </c>
      <c r="X47" s="209">
        <v>25.21</v>
      </c>
      <c r="Y47" s="149" t="s">
        <v>163</v>
      </c>
      <c r="Z47" s="149" t="s">
        <v>163</v>
      </c>
    </row>
    <row r="48" spans="1:26" x14ac:dyDescent="0.35">
      <c r="A48" s="145" t="s">
        <v>132</v>
      </c>
      <c r="B48" s="94" t="s">
        <v>522</v>
      </c>
      <c r="C48" s="94" t="s">
        <v>20</v>
      </c>
      <c r="D48" s="94" t="s">
        <v>163</v>
      </c>
      <c r="E48" s="146">
        <v>2.0000000000000001E-4</v>
      </c>
      <c r="F48" s="147" t="s">
        <v>165</v>
      </c>
      <c r="G48" s="147" t="s">
        <v>165</v>
      </c>
      <c r="H48" s="76" t="s">
        <v>163</v>
      </c>
      <c r="I48" s="151">
        <v>11</v>
      </c>
      <c r="J48" s="151">
        <v>13</v>
      </c>
      <c r="K48" s="152">
        <v>8.5</v>
      </c>
      <c r="L48" s="152">
        <v>1000000</v>
      </c>
      <c r="M48" s="152">
        <v>0</v>
      </c>
      <c r="N48" s="152">
        <v>0.6</v>
      </c>
      <c r="O48" s="152">
        <v>56</v>
      </c>
      <c r="P48" s="152">
        <v>1000000</v>
      </c>
      <c r="Q48" s="153">
        <v>10</v>
      </c>
      <c r="R48" s="153">
        <v>1000000</v>
      </c>
      <c r="S48" s="153">
        <v>260</v>
      </c>
      <c r="T48" s="153">
        <v>1000000</v>
      </c>
      <c r="U48" s="153">
        <v>21</v>
      </c>
      <c r="V48" s="153">
        <v>26</v>
      </c>
      <c r="W48" s="152">
        <v>25.06</v>
      </c>
      <c r="X48" s="209">
        <v>25.21</v>
      </c>
      <c r="Y48" s="149" t="s">
        <v>163</v>
      </c>
      <c r="Z48" s="149" t="s">
        <v>163</v>
      </c>
    </row>
    <row r="49" spans="1:26" x14ac:dyDescent="0.35">
      <c r="A49" s="145" t="s">
        <v>133</v>
      </c>
      <c r="B49" s="94" t="s">
        <v>523</v>
      </c>
      <c r="C49" s="94" t="s">
        <v>524</v>
      </c>
      <c r="D49" s="94" t="s">
        <v>163</v>
      </c>
      <c r="E49" s="146">
        <v>2.0000000000000001E-4</v>
      </c>
      <c r="F49" s="147" t="s">
        <v>165</v>
      </c>
      <c r="G49" s="147" t="s">
        <v>165</v>
      </c>
      <c r="H49" s="76" t="s">
        <v>163</v>
      </c>
      <c r="I49" s="151">
        <v>10</v>
      </c>
      <c r="J49" s="151">
        <v>13</v>
      </c>
      <c r="K49" s="152">
        <v>8</v>
      </c>
      <c r="L49" s="152">
        <v>1000000</v>
      </c>
      <c r="M49" s="152">
        <v>0</v>
      </c>
      <c r="N49" s="152">
        <v>0.55000000000000004</v>
      </c>
      <c r="O49" s="152">
        <v>54</v>
      </c>
      <c r="P49" s="152">
        <v>58</v>
      </c>
      <c r="Q49" s="153" t="s">
        <v>163</v>
      </c>
      <c r="R49" s="153" t="s">
        <v>163</v>
      </c>
      <c r="S49" s="153" t="s">
        <v>163</v>
      </c>
      <c r="T49" s="153" t="s">
        <v>163</v>
      </c>
      <c r="U49" s="153">
        <v>21</v>
      </c>
      <c r="V49" s="153">
        <v>26</v>
      </c>
      <c r="W49" s="152">
        <v>25.06</v>
      </c>
      <c r="X49" s="209">
        <v>25.21</v>
      </c>
      <c r="Y49" s="149">
        <v>300</v>
      </c>
      <c r="Z49" s="149" t="s">
        <v>163</v>
      </c>
    </row>
    <row r="50" spans="1:26" x14ac:dyDescent="0.35">
      <c r="A50" s="145" t="s">
        <v>134</v>
      </c>
      <c r="B50" s="94" t="s">
        <v>525</v>
      </c>
      <c r="C50" s="94" t="s">
        <v>524</v>
      </c>
      <c r="D50" s="94" t="s">
        <v>163</v>
      </c>
      <c r="E50" s="146">
        <v>2.0000000000000001E-4</v>
      </c>
      <c r="F50" s="147" t="s">
        <v>165</v>
      </c>
      <c r="G50" s="147" t="s">
        <v>165</v>
      </c>
      <c r="H50" s="76" t="s">
        <v>163</v>
      </c>
      <c r="I50" s="151">
        <v>11</v>
      </c>
      <c r="J50" s="151">
        <v>13</v>
      </c>
      <c r="K50" s="154">
        <v>8.5</v>
      </c>
      <c r="L50" s="154">
        <v>9.1999999999999993</v>
      </c>
      <c r="M50" s="152">
        <v>0</v>
      </c>
      <c r="N50" s="152">
        <v>0.5</v>
      </c>
      <c r="O50" s="149">
        <v>54</v>
      </c>
      <c r="P50" s="149">
        <v>58</v>
      </c>
      <c r="Q50" s="150">
        <v>12</v>
      </c>
      <c r="R50" s="150">
        <v>1000000</v>
      </c>
      <c r="S50" s="150">
        <v>200</v>
      </c>
      <c r="T50" s="150">
        <v>1000000</v>
      </c>
      <c r="U50" s="217">
        <v>21</v>
      </c>
      <c r="V50" s="218">
        <v>26</v>
      </c>
      <c r="W50" s="152">
        <v>25.06</v>
      </c>
      <c r="X50" s="209">
        <v>25.21</v>
      </c>
      <c r="Y50" s="152"/>
      <c r="Z50" s="149" t="s">
        <v>163</v>
      </c>
    </row>
    <row r="51" spans="1:26" x14ac:dyDescent="0.35">
      <c r="A51" s="145" t="s">
        <v>135</v>
      </c>
      <c r="B51" s="94" t="s">
        <v>526</v>
      </c>
      <c r="C51" s="94" t="s">
        <v>527</v>
      </c>
      <c r="D51" s="94" t="s">
        <v>163</v>
      </c>
      <c r="E51" s="146">
        <v>2.0000000000000001E-4</v>
      </c>
      <c r="F51" s="147" t="s">
        <v>165</v>
      </c>
      <c r="G51" s="147" t="s">
        <v>165</v>
      </c>
      <c r="H51" s="76" t="s">
        <v>163</v>
      </c>
      <c r="I51" s="151">
        <v>13</v>
      </c>
      <c r="J51" s="151">
        <v>14</v>
      </c>
      <c r="K51" s="152">
        <v>12.4</v>
      </c>
      <c r="L51" s="152">
        <v>12.8</v>
      </c>
      <c r="M51" s="152">
        <v>0.49</v>
      </c>
      <c r="N51" s="152">
        <v>0.51</v>
      </c>
      <c r="O51" s="152">
        <v>62</v>
      </c>
      <c r="P51" s="152">
        <v>66</v>
      </c>
      <c r="Q51" s="153">
        <v>13</v>
      </c>
      <c r="R51" s="153">
        <v>14</v>
      </c>
      <c r="S51" s="153">
        <v>700</v>
      </c>
      <c r="T51" s="153">
        <v>1000000</v>
      </c>
      <c r="U51" s="153">
        <v>34</v>
      </c>
      <c r="V51" s="153">
        <v>38</v>
      </c>
      <c r="W51" s="152">
        <v>25.06</v>
      </c>
      <c r="X51" s="209">
        <v>25.21</v>
      </c>
      <c r="Y51" s="149" t="s">
        <v>163</v>
      </c>
      <c r="Z51" s="149" t="s">
        <v>163</v>
      </c>
    </row>
    <row r="52" spans="1:26" x14ac:dyDescent="0.35">
      <c r="A52" s="145" t="s">
        <v>528</v>
      </c>
      <c r="B52" s="94"/>
      <c r="C52" s="94" t="s">
        <v>529</v>
      </c>
      <c r="D52" s="94" t="s">
        <v>163</v>
      </c>
      <c r="E52" s="146">
        <v>2.0000000000000001E-4</v>
      </c>
      <c r="F52" s="147" t="s">
        <v>165</v>
      </c>
      <c r="G52" s="147" t="s">
        <v>165</v>
      </c>
      <c r="H52" s="76" t="s">
        <v>163</v>
      </c>
      <c r="I52" s="151">
        <v>12</v>
      </c>
      <c r="J52" s="151">
        <v>13</v>
      </c>
      <c r="K52" s="151" t="s">
        <v>163</v>
      </c>
      <c r="L52" s="151" t="s">
        <v>163</v>
      </c>
      <c r="M52" s="152">
        <v>0.5</v>
      </c>
      <c r="N52" s="152">
        <v>0.55000000000000004</v>
      </c>
      <c r="O52" s="152">
        <v>59</v>
      </c>
      <c r="P52" s="152">
        <v>62</v>
      </c>
      <c r="Q52" s="153">
        <v>11</v>
      </c>
      <c r="R52" s="153">
        <v>1000000</v>
      </c>
      <c r="S52" s="153">
        <v>600</v>
      </c>
      <c r="T52" s="153">
        <v>800</v>
      </c>
      <c r="U52" s="153">
        <v>29</v>
      </c>
      <c r="V52" s="153">
        <v>32.4</v>
      </c>
      <c r="W52" s="152">
        <v>25.06</v>
      </c>
      <c r="X52" s="209">
        <v>25.21</v>
      </c>
      <c r="Y52" s="149" t="s">
        <v>163</v>
      </c>
      <c r="Z52" s="149" t="s">
        <v>163</v>
      </c>
    </row>
    <row r="53" spans="1:26" x14ac:dyDescent="0.35">
      <c r="A53" s="13" t="s">
        <v>141</v>
      </c>
      <c r="B53" s="94" t="s">
        <v>530</v>
      </c>
      <c r="C53" s="94" t="s">
        <v>531</v>
      </c>
      <c r="D53" s="94" t="s">
        <v>532</v>
      </c>
      <c r="E53" s="146">
        <v>2.0000000000000001E-4</v>
      </c>
      <c r="F53" s="147" t="s">
        <v>165</v>
      </c>
      <c r="G53" s="147" t="s">
        <v>165</v>
      </c>
      <c r="H53" s="76" t="s">
        <v>163</v>
      </c>
      <c r="I53" s="151">
        <v>11</v>
      </c>
      <c r="J53" s="151">
        <v>13</v>
      </c>
      <c r="K53" s="151" t="s">
        <v>163</v>
      </c>
      <c r="L53" s="151" t="s">
        <v>163</v>
      </c>
      <c r="M53" s="152">
        <v>0</v>
      </c>
      <c r="N53" s="152">
        <v>0.55000000000000004</v>
      </c>
      <c r="O53" s="152">
        <v>54</v>
      </c>
      <c r="P53" s="152">
        <v>58</v>
      </c>
      <c r="Q53" s="153">
        <v>10</v>
      </c>
      <c r="R53" s="153">
        <v>1000000</v>
      </c>
      <c r="S53" s="153">
        <v>200</v>
      </c>
      <c r="T53" s="153">
        <v>1000000</v>
      </c>
      <c r="U53" s="153">
        <v>21</v>
      </c>
      <c r="V53" s="153">
        <v>28</v>
      </c>
      <c r="W53" s="152">
        <v>25.06</v>
      </c>
      <c r="X53" s="209">
        <v>25.21</v>
      </c>
      <c r="Y53" s="149" t="s">
        <v>163</v>
      </c>
      <c r="Z53" s="149" t="s">
        <v>163</v>
      </c>
    </row>
    <row r="54" spans="1:26" x14ac:dyDescent="0.35">
      <c r="A54" s="145" t="s">
        <v>138</v>
      </c>
      <c r="B54" s="94" t="s">
        <v>530</v>
      </c>
      <c r="C54" s="94" t="s">
        <v>59</v>
      </c>
      <c r="D54" s="94" t="s">
        <v>533</v>
      </c>
      <c r="E54" s="146">
        <v>2.0000000000000001E-4</v>
      </c>
      <c r="F54" s="147" t="s">
        <v>165</v>
      </c>
      <c r="G54" s="147" t="s">
        <v>165</v>
      </c>
      <c r="H54" s="76" t="s">
        <v>163</v>
      </c>
      <c r="I54" s="151">
        <v>11</v>
      </c>
      <c r="J54" s="151">
        <v>13</v>
      </c>
      <c r="K54" s="152">
        <v>8.5</v>
      </c>
      <c r="L54" s="152">
        <v>9.5</v>
      </c>
      <c r="M54" s="152">
        <v>0</v>
      </c>
      <c r="N54" s="152">
        <v>0.55000000000000004</v>
      </c>
      <c r="O54" s="149">
        <v>54</v>
      </c>
      <c r="P54" s="149">
        <v>58</v>
      </c>
      <c r="Q54" s="150">
        <v>10</v>
      </c>
      <c r="R54" s="150">
        <v>1000000</v>
      </c>
      <c r="S54" s="150">
        <v>200</v>
      </c>
      <c r="T54" s="150">
        <v>1000000</v>
      </c>
      <c r="U54" s="150">
        <v>21</v>
      </c>
      <c r="V54" s="153">
        <v>28</v>
      </c>
      <c r="W54" s="152">
        <v>25.06</v>
      </c>
      <c r="X54" s="209">
        <v>25.21</v>
      </c>
      <c r="Y54" s="152"/>
      <c r="Z54" s="149" t="s">
        <v>163</v>
      </c>
    </row>
    <row r="55" spans="1:26" x14ac:dyDescent="0.35">
      <c r="A55" s="145" t="s">
        <v>534</v>
      </c>
      <c r="B55" s="94" t="s">
        <v>535</v>
      </c>
      <c r="C55" s="94" t="s">
        <v>59</v>
      </c>
      <c r="D55" s="94" t="s">
        <v>163</v>
      </c>
      <c r="E55" s="146">
        <v>2.0000000000000001E-4</v>
      </c>
      <c r="F55" s="147" t="s">
        <v>165</v>
      </c>
      <c r="G55" s="147" t="s">
        <v>165</v>
      </c>
      <c r="H55" s="76" t="s">
        <v>163</v>
      </c>
      <c r="I55" s="151">
        <v>11</v>
      </c>
      <c r="J55" s="151">
        <v>13</v>
      </c>
      <c r="K55" s="152">
        <v>8.5</v>
      </c>
      <c r="L55" s="152">
        <v>9.5</v>
      </c>
      <c r="M55" s="152">
        <v>0</v>
      </c>
      <c r="N55" s="152">
        <v>0.55000000000000004</v>
      </c>
      <c r="O55" s="152">
        <v>54</v>
      </c>
      <c r="P55" s="152">
        <v>58</v>
      </c>
      <c r="Q55" s="153" t="s">
        <v>163</v>
      </c>
      <c r="R55" s="153" t="s">
        <v>163</v>
      </c>
      <c r="S55" s="153" t="s">
        <v>163</v>
      </c>
      <c r="T55" s="153" t="s">
        <v>163</v>
      </c>
      <c r="U55" s="153">
        <v>21</v>
      </c>
      <c r="V55" s="153">
        <v>28</v>
      </c>
      <c r="W55" s="152">
        <v>25.06</v>
      </c>
      <c r="X55" s="209">
        <v>25.21</v>
      </c>
      <c r="Y55" s="149" t="s">
        <v>163</v>
      </c>
      <c r="Z55" s="149" t="s">
        <v>163</v>
      </c>
    </row>
    <row r="56" spans="1:26" x14ac:dyDescent="0.35">
      <c r="A56" s="145" t="s">
        <v>172</v>
      </c>
      <c r="B56" s="94"/>
      <c r="C56" s="94"/>
      <c r="D56" s="94"/>
      <c r="E56" s="146" t="s">
        <v>163</v>
      </c>
      <c r="F56" s="147" t="s">
        <v>165</v>
      </c>
      <c r="G56" s="147" t="s">
        <v>165</v>
      </c>
      <c r="H56" s="76" t="s">
        <v>163</v>
      </c>
      <c r="I56" s="151">
        <v>10</v>
      </c>
      <c r="J56" s="151">
        <v>12</v>
      </c>
      <c r="K56" s="152" t="s">
        <v>163</v>
      </c>
      <c r="L56" s="152" t="s">
        <v>163</v>
      </c>
      <c r="M56" s="152">
        <v>4</v>
      </c>
      <c r="N56" s="152">
        <v>6</v>
      </c>
      <c r="O56" s="152" t="s">
        <v>163</v>
      </c>
      <c r="P56" s="152" t="s">
        <v>163</v>
      </c>
      <c r="Q56" s="153" t="s">
        <v>163</v>
      </c>
      <c r="R56" s="153" t="s">
        <v>163</v>
      </c>
      <c r="S56" s="153" t="s">
        <v>163</v>
      </c>
      <c r="T56" s="153" t="s">
        <v>163</v>
      </c>
      <c r="U56" s="153" t="s">
        <v>163</v>
      </c>
      <c r="V56" s="153" t="s">
        <v>163</v>
      </c>
      <c r="W56" s="153" t="s">
        <v>163</v>
      </c>
      <c r="X56" s="209" t="s">
        <v>163</v>
      </c>
      <c r="Y56" s="152" t="s">
        <v>163</v>
      </c>
      <c r="Z56" s="149" t="s">
        <v>163</v>
      </c>
    </row>
    <row r="57" spans="1:26" x14ac:dyDescent="0.35">
      <c r="A57" s="145" t="s">
        <v>168</v>
      </c>
      <c r="B57" s="94" t="s">
        <v>536</v>
      </c>
      <c r="C57" s="94" t="s">
        <v>197</v>
      </c>
      <c r="D57" s="94" t="s">
        <v>163</v>
      </c>
      <c r="E57" s="146">
        <v>2.0000000000000001E-4</v>
      </c>
      <c r="F57" s="147" t="s">
        <v>165</v>
      </c>
      <c r="G57" s="147" t="s">
        <v>165</v>
      </c>
      <c r="H57" s="76" t="s">
        <v>161</v>
      </c>
      <c r="I57" s="151">
        <v>13</v>
      </c>
      <c r="J57" s="151">
        <v>13.5</v>
      </c>
      <c r="K57" s="152">
        <v>11</v>
      </c>
      <c r="L57" s="152">
        <v>12.4</v>
      </c>
      <c r="M57" s="152">
        <v>0</v>
      </c>
      <c r="N57" s="152">
        <v>0.6</v>
      </c>
      <c r="O57" s="152">
        <v>60</v>
      </c>
      <c r="P57" s="152">
        <v>64</v>
      </c>
      <c r="Q57" s="153">
        <v>9.3000000000000007</v>
      </c>
      <c r="R57" s="153">
        <v>1000000</v>
      </c>
      <c r="S57" s="153">
        <v>600</v>
      </c>
      <c r="T57" s="153">
        <v>1000</v>
      </c>
      <c r="U57" s="153">
        <v>30</v>
      </c>
      <c r="V57" s="153">
        <v>35</v>
      </c>
      <c r="W57" s="152">
        <v>25.06</v>
      </c>
      <c r="X57" s="209">
        <v>25.21</v>
      </c>
      <c r="Y57" s="149" t="s">
        <v>163</v>
      </c>
      <c r="Z57" s="149" t="s">
        <v>163</v>
      </c>
    </row>
    <row r="58" spans="1:26" x14ac:dyDescent="0.35">
      <c r="A58" s="197" t="s">
        <v>145</v>
      </c>
      <c r="B58" s="197" t="s">
        <v>537</v>
      </c>
      <c r="C58" s="94" t="s">
        <v>40</v>
      </c>
      <c r="D58" s="94" t="s">
        <v>40</v>
      </c>
      <c r="E58" s="146">
        <v>2.0000000000000001E-4</v>
      </c>
      <c r="F58" s="147" t="s">
        <v>165</v>
      </c>
      <c r="G58" s="147" t="s">
        <v>165</v>
      </c>
      <c r="H58" s="76" t="s">
        <v>161</v>
      </c>
      <c r="I58" s="151">
        <v>12</v>
      </c>
      <c r="J58" s="151">
        <v>14</v>
      </c>
      <c r="K58" s="152">
        <v>12</v>
      </c>
      <c r="L58" s="152">
        <v>1000000</v>
      </c>
      <c r="M58" s="152">
        <v>0</v>
      </c>
      <c r="N58" s="152">
        <v>0.55000000000000004</v>
      </c>
      <c r="O58" s="149">
        <v>64</v>
      </c>
      <c r="P58" s="149">
        <v>68</v>
      </c>
      <c r="Q58" s="150">
        <v>12</v>
      </c>
      <c r="R58" s="153">
        <v>1000000</v>
      </c>
      <c r="S58" s="150">
        <v>600</v>
      </c>
      <c r="T58" s="150">
        <v>1000</v>
      </c>
      <c r="U58" s="150">
        <v>33</v>
      </c>
      <c r="V58" s="153">
        <v>1000000</v>
      </c>
      <c r="W58" s="152">
        <v>25.06</v>
      </c>
      <c r="X58" s="209">
        <v>25.21</v>
      </c>
      <c r="Y58" s="152"/>
      <c r="Z58" s="149" t="s">
        <v>163</v>
      </c>
    </row>
    <row r="59" spans="1:26" x14ac:dyDescent="0.35">
      <c r="A59" s="197" t="s">
        <v>191</v>
      </c>
      <c r="B59" s="197" t="s">
        <v>537</v>
      </c>
      <c r="C59" s="94" t="s">
        <v>40</v>
      </c>
      <c r="D59" s="94" t="s">
        <v>40</v>
      </c>
      <c r="E59" s="146">
        <v>2.0000000000000001E-4</v>
      </c>
      <c r="F59" s="147" t="s">
        <v>165</v>
      </c>
      <c r="G59" s="147" t="s">
        <v>165</v>
      </c>
      <c r="H59" s="76" t="s">
        <v>161</v>
      </c>
      <c r="I59" s="151">
        <v>12</v>
      </c>
      <c r="J59" s="151">
        <v>14</v>
      </c>
      <c r="K59" s="152">
        <v>12</v>
      </c>
      <c r="L59" s="152">
        <v>1000000</v>
      </c>
      <c r="M59" s="152">
        <v>0</v>
      </c>
      <c r="N59" s="152">
        <v>0.55000000000000004</v>
      </c>
      <c r="O59" s="149">
        <v>64</v>
      </c>
      <c r="P59" s="149">
        <v>68</v>
      </c>
      <c r="Q59" s="150">
        <v>12</v>
      </c>
      <c r="R59" s="153">
        <v>1000000</v>
      </c>
      <c r="S59" s="150">
        <v>600</v>
      </c>
      <c r="T59" s="150">
        <v>1000</v>
      </c>
      <c r="U59" s="150">
        <v>33</v>
      </c>
      <c r="V59" s="153">
        <v>1000000</v>
      </c>
      <c r="W59" s="152">
        <v>25.06</v>
      </c>
      <c r="X59" s="209">
        <v>25.21</v>
      </c>
      <c r="Y59" s="152"/>
      <c r="Z59" s="149" t="s">
        <v>163</v>
      </c>
    </row>
    <row r="60" spans="1:26" x14ac:dyDescent="0.35">
      <c r="A60" s="94" t="s">
        <v>538</v>
      </c>
      <c r="B60" s="94" t="s">
        <v>539</v>
      </c>
      <c r="C60" s="94" t="s">
        <v>40</v>
      </c>
      <c r="D60" s="94" t="s">
        <v>40</v>
      </c>
      <c r="E60" s="146">
        <v>2.0000000000000001E-4</v>
      </c>
      <c r="F60" s="147" t="s">
        <v>165</v>
      </c>
      <c r="G60" s="147" t="s">
        <v>165</v>
      </c>
      <c r="H60" s="76" t="s">
        <v>163</v>
      </c>
      <c r="I60" s="151">
        <v>12</v>
      </c>
      <c r="J60" s="151">
        <v>14</v>
      </c>
      <c r="K60" s="152">
        <v>12.8</v>
      </c>
      <c r="L60" s="152">
        <v>13.5</v>
      </c>
      <c r="M60" s="152">
        <v>0</v>
      </c>
      <c r="N60" s="152">
        <v>0.55000000000000004</v>
      </c>
      <c r="O60" s="149">
        <v>64</v>
      </c>
      <c r="P60" s="149">
        <v>68</v>
      </c>
      <c r="Q60" s="150">
        <v>12</v>
      </c>
      <c r="R60" s="153">
        <v>1000000</v>
      </c>
      <c r="S60" s="150">
        <v>600</v>
      </c>
      <c r="T60" s="150">
        <v>1000</v>
      </c>
      <c r="U60" s="150">
        <v>35</v>
      </c>
      <c r="V60" s="153">
        <v>40</v>
      </c>
      <c r="W60" s="152">
        <v>25.06</v>
      </c>
      <c r="X60" s="209">
        <v>25.21</v>
      </c>
      <c r="Y60" s="152"/>
      <c r="Z60" s="149" t="s">
        <v>163</v>
      </c>
    </row>
    <row r="61" spans="1:26" x14ac:dyDescent="0.35">
      <c r="A61" s="94" t="s">
        <v>540</v>
      </c>
      <c r="B61" s="94" t="s">
        <v>541</v>
      </c>
      <c r="C61" s="94" t="s">
        <v>542</v>
      </c>
      <c r="D61" s="94" t="s">
        <v>163</v>
      </c>
      <c r="E61" s="146">
        <v>2.0000000000000001E-4</v>
      </c>
      <c r="F61" s="147" t="s">
        <v>165</v>
      </c>
      <c r="G61" s="147" t="s">
        <v>165</v>
      </c>
      <c r="H61" s="76" t="s">
        <v>163</v>
      </c>
      <c r="I61" s="151">
        <v>11</v>
      </c>
      <c r="J61" s="151">
        <v>14.5</v>
      </c>
      <c r="K61" s="152">
        <v>8.5</v>
      </c>
      <c r="L61" s="152">
        <v>10</v>
      </c>
      <c r="M61" s="152">
        <v>0.5</v>
      </c>
      <c r="N61" s="152">
        <v>0.6</v>
      </c>
      <c r="O61" s="152">
        <v>54</v>
      </c>
      <c r="P61" s="152">
        <v>58</v>
      </c>
      <c r="Q61" s="153" t="s">
        <v>163</v>
      </c>
      <c r="R61" s="153" t="s">
        <v>163</v>
      </c>
      <c r="S61" s="153" t="s">
        <v>163</v>
      </c>
      <c r="T61" s="153" t="s">
        <v>163</v>
      </c>
      <c r="U61" s="153">
        <v>21</v>
      </c>
      <c r="V61" s="153">
        <v>30</v>
      </c>
      <c r="W61" s="153" t="s">
        <v>163</v>
      </c>
      <c r="X61" s="209" t="s">
        <v>163</v>
      </c>
      <c r="Y61" s="149">
        <v>300</v>
      </c>
      <c r="Z61" s="149" t="s">
        <v>163</v>
      </c>
    </row>
    <row r="62" spans="1:26" x14ac:dyDescent="0.35">
      <c r="A62" s="94" t="s">
        <v>543</v>
      </c>
      <c r="B62" s="94" t="s">
        <v>541</v>
      </c>
      <c r="C62" s="94" t="s">
        <v>544</v>
      </c>
      <c r="D62" s="94" t="s">
        <v>163</v>
      </c>
      <c r="E62" s="146">
        <v>2.0000000000000001E-4</v>
      </c>
      <c r="F62" s="147" t="s">
        <v>165</v>
      </c>
      <c r="G62" s="147" t="s">
        <v>165</v>
      </c>
      <c r="H62" s="76" t="s">
        <v>163</v>
      </c>
      <c r="I62" s="151">
        <v>11</v>
      </c>
      <c r="J62" s="151">
        <v>14.5</v>
      </c>
      <c r="K62" s="152">
        <v>8.5</v>
      </c>
      <c r="L62" s="152">
        <v>10</v>
      </c>
      <c r="M62" s="152">
        <v>0.5</v>
      </c>
      <c r="N62" s="152">
        <v>0.6</v>
      </c>
      <c r="O62" s="152">
        <v>54</v>
      </c>
      <c r="P62" s="152">
        <v>58</v>
      </c>
      <c r="Q62" s="153" t="s">
        <v>163</v>
      </c>
      <c r="R62" s="153" t="s">
        <v>163</v>
      </c>
      <c r="S62" s="153" t="s">
        <v>163</v>
      </c>
      <c r="T62" s="153" t="s">
        <v>163</v>
      </c>
      <c r="U62" s="153">
        <v>21</v>
      </c>
      <c r="V62" s="153">
        <v>30</v>
      </c>
      <c r="W62" s="153" t="s">
        <v>163</v>
      </c>
      <c r="X62" s="209" t="s">
        <v>163</v>
      </c>
      <c r="Y62" s="149">
        <v>300</v>
      </c>
      <c r="Z62" s="149" t="s">
        <v>163</v>
      </c>
    </row>
    <row r="63" spans="1:26" x14ac:dyDescent="0.35">
      <c r="A63" s="13" t="s">
        <v>157</v>
      </c>
      <c r="B63" s="94" t="s">
        <v>541</v>
      </c>
      <c r="C63" s="94" t="s">
        <v>545</v>
      </c>
      <c r="D63" s="94" t="s">
        <v>163</v>
      </c>
      <c r="E63" s="146">
        <v>2.0000000000000001E-4</v>
      </c>
      <c r="F63" s="147" t="s">
        <v>165</v>
      </c>
      <c r="G63" s="147" t="s">
        <v>165</v>
      </c>
      <c r="H63" s="76" t="s">
        <v>163</v>
      </c>
      <c r="I63" s="151">
        <v>11</v>
      </c>
      <c r="J63" s="151">
        <v>14.5</v>
      </c>
      <c r="K63" s="152">
        <v>8.5</v>
      </c>
      <c r="L63" s="152">
        <v>10</v>
      </c>
      <c r="M63" s="152">
        <v>0.5</v>
      </c>
      <c r="N63" s="152">
        <v>0.6</v>
      </c>
      <c r="O63" s="152">
        <v>54</v>
      </c>
      <c r="P63" s="152">
        <v>58</v>
      </c>
      <c r="Q63" s="153" t="s">
        <v>163</v>
      </c>
      <c r="R63" s="153" t="s">
        <v>163</v>
      </c>
      <c r="S63" s="153" t="s">
        <v>163</v>
      </c>
      <c r="T63" s="153" t="s">
        <v>163</v>
      </c>
      <c r="U63" s="153">
        <v>21</v>
      </c>
      <c r="V63" s="153">
        <v>30</v>
      </c>
      <c r="W63" s="153" t="s">
        <v>163</v>
      </c>
      <c r="X63" s="209" t="s">
        <v>163</v>
      </c>
      <c r="Y63" s="149">
        <v>300</v>
      </c>
      <c r="Z63" s="149" t="s">
        <v>163</v>
      </c>
    </row>
    <row r="64" spans="1:26" x14ac:dyDescent="0.35">
      <c r="A64" s="94" t="s">
        <v>308</v>
      </c>
      <c r="B64" s="94" t="s">
        <v>541</v>
      </c>
      <c r="C64" s="94" t="s">
        <v>542</v>
      </c>
      <c r="D64" s="94" t="s">
        <v>163</v>
      </c>
      <c r="E64" s="146">
        <v>2.0000000000000001E-4</v>
      </c>
      <c r="F64" s="147" t="s">
        <v>165</v>
      </c>
      <c r="G64" s="147" t="s">
        <v>165</v>
      </c>
      <c r="H64" s="76" t="s">
        <v>163</v>
      </c>
      <c r="I64" s="151">
        <v>11</v>
      </c>
      <c r="J64" s="151">
        <v>14.5</v>
      </c>
      <c r="K64" s="152">
        <v>8.5</v>
      </c>
      <c r="L64" s="152">
        <v>10</v>
      </c>
      <c r="M64" s="152">
        <v>0.5</v>
      </c>
      <c r="N64" s="152">
        <v>0.6</v>
      </c>
      <c r="O64" s="152">
        <v>54</v>
      </c>
      <c r="P64" s="152">
        <v>58</v>
      </c>
      <c r="Q64" s="153" t="s">
        <v>163</v>
      </c>
      <c r="R64" s="153" t="s">
        <v>163</v>
      </c>
      <c r="S64" s="153" t="s">
        <v>163</v>
      </c>
      <c r="T64" s="153" t="s">
        <v>163</v>
      </c>
      <c r="U64" s="153">
        <v>21</v>
      </c>
      <c r="V64" s="153">
        <v>30</v>
      </c>
      <c r="W64" s="152">
        <v>25.06</v>
      </c>
      <c r="X64" s="209">
        <v>25.21</v>
      </c>
      <c r="Y64" s="149">
        <v>300</v>
      </c>
      <c r="Z64" s="149" t="s">
        <v>163</v>
      </c>
    </row>
    <row r="65" spans="1:26" x14ac:dyDescent="0.35">
      <c r="A65" s="94" t="s">
        <v>546</v>
      </c>
      <c r="B65" s="94" t="s">
        <v>541</v>
      </c>
      <c r="C65" s="94" t="s">
        <v>542</v>
      </c>
      <c r="D65" s="94" t="s">
        <v>163</v>
      </c>
      <c r="E65" s="146">
        <v>2.0000000000000001E-4</v>
      </c>
      <c r="F65" s="147" t="s">
        <v>165</v>
      </c>
      <c r="G65" s="147" t="s">
        <v>165</v>
      </c>
      <c r="H65" s="76" t="s">
        <v>163</v>
      </c>
      <c r="I65" s="151">
        <v>11</v>
      </c>
      <c r="J65" s="151">
        <v>14.5</v>
      </c>
      <c r="K65" s="152">
        <v>8.5</v>
      </c>
      <c r="L65" s="152">
        <v>10</v>
      </c>
      <c r="M65" s="152">
        <v>0.5</v>
      </c>
      <c r="N65" s="152">
        <v>0.6</v>
      </c>
      <c r="O65" s="152">
        <v>54</v>
      </c>
      <c r="P65" s="152">
        <v>58</v>
      </c>
      <c r="Q65" s="153" t="s">
        <v>163</v>
      </c>
      <c r="R65" s="153" t="s">
        <v>163</v>
      </c>
      <c r="S65" s="153" t="s">
        <v>163</v>
      </c>
      <c r="T65" s="153" t="s">
        <v>163</v>
      </c>
      <c r="U65" s="153">
        <v>21</v>
      </c>
      <c r="V65" s="153">
        <v>30</v>
      </c>
      <c r="W65" s="152">
        <v>25.06</v>
      </c>
      <c r="X65" s="209">
        <v>25.21</v>
      </c>
      <c r="Y65" s="149">
        <v>300</v>
      </c>
      <c r="Z65" s="149" t="s">
        <v>163</v>
      </c>
    </row>
    <row r="66" spans="1:26" x14ac:dyDescent="0.35">
      <c r="A66" s="13" t="s">
        <v>160</v>
      </c>
      <c r="B66" s="94" t="s">
        <v>541</v>
      </c>
      <c r="C66" s="94" t="s">
        <v>544</v>
      </c>
      <c r="D66" s="94" t="s">
        <v>163</v>
      </c>
      <c r="E66" s="146">
        <v>2.0000000000000001E-4</v>
      </c>
      <c r="F66" s="147" t="s">
        <v>165</v>
      </c>
      <c r="G66" s="147" t="s">
        <v>165</v>
      </c>
      <c r="H66" s="76" t="s">
        <v>163</v>
      </c>
      <c r="I66" s="151">
        <v>11</v>
      </c>
      <c r="J66" s="151">
        <v>14.5</v>
      </c>
      <c r="K66" s="152">
        <v>8.5</v>
      </c>
      <c r="L66" s="152">
        <v>10</v>
      </c>
      <c r="M66" s="152">
        <v>0.5</v>
      </c>
      <c r="N66" s="152">
        <v>0.6</v>
      </c>
      <c r="O66" s="152">
        <v>54</v>
      </c>
      <c r="P66" s="152">
        <v>58</v>
      </c>
      <c r="Q66" s="153" t="s">
        <v>163</v>
      </c>
      <c r="R66" s="153" t="s">
        <v>163</v>
      </c>
      <c r="S66" s="153" t="s">
        <v>163</v>
      </c>
      <c r="T66" s="153" t="s">
        <v>163</v>
      </c>
      <c r="U66" s="153">
        <v>21</v>
      </c>
      <c r="V66" s="153">
        <v>30</v>
      </c>
      <c r="W66" s="152">
        <v>25.06</v>
      </c>
      <c r="X66" s="209">
        <v>25.21</v>
      </c>
      <c r="Y66" s="149">
        <v>300</v>
      </c>
      <c r="Z66" s="149" t="s">
        <v>163</v>
      </c>
    </row>
    <row r="67" spans="1:26" x14ac:dyDescent="0.35">
      <c r="A67" s="13" t="s">
        <v>158</v>
      </c>
      <c r="B67" s="94" t="s">
        <v>541</v>
      </c>
      <c r="C67" s="94" t="s">
        <v>545</v>
      </c>
      <c r="D67" s="94" t="s">
        <v>163</v>
      </c>
      <c r="E67" s="146">
        <v>2.0000000000000001E-4</v>
      </c>
      <c r="F67" s="147" t="s">
        <v>165</v>
      </c>
      <c r="G67" s="147" t="s">
        <v>165</v>
      </c>
      <c r="H67" s="76" t="s">
        <v>163</v>
      </c>
      <c r="I67" s="151">
        <v>11</v>
      </c>
      <c r="J67" s="151">
        <v>14.5</v>
      </c>
      <c r="K67" s="152">
        <v>8.5</v>
      </c>
      <c r="L67" s="152">
        <v>10</v>
      </c>
      <c r="M67" s="152">
        <v>0.5</v>
      </c>
      <c r="N67" s="152">
        <v>0.6</v>
      </c>
      <c r="O67" s="152">
        <v>54</v>
      </c>
      <c r="P67" s="152">
        <v>58</v>
      </c>
      <c r="Q67" s="153" t="s">
        <v>163</v>
      </c>
      <c r="R67" s="153" t="s">
        <v>163</v>
      </c>
      <c r="S67" s="153" t="s">
        <v>163</v>
      </c>
      <c r="T67" s="153" t="s">
        <v>163</v>
      </c>
      <c r="U67" s="153">
        <v>21</v>
      </c>
      <c r="V67" s="153">
        <v>30</v>
      </c>
      <c r="W67" s="152">
        <v>25.06</v>
      </c>
      <c r="X67" s="209">
        <v>25.21</v>
      </c>
      <c r="Y67" s="149">
        <v>300</v>
      </c>
      <c r="Z67" s="149" t="s">
        <v>163</v>
      </c>
    </row>
    <row r="68" spans="1:26" x14ac:dyDescent="0.35">
      <c r="A68" s="94" t="s">
        <v>162</v>
      </c>
      <c r="B68" s="94" t="s">
        <v>547</v>
      </c>
      <c r="C68" s="94" t="s">
        <v>542</v>
      </c>
      <c r="D68" s="94" t="s">
        <v>163</v>
      </c>
      <c r="E68" s="146">
        <v>2.0000000000000001E-4</v>
      </c>
      <c r="F68" s="147" t="s">
        <v>165</v>
      </c>
      <c r="G68" s="147" t="s">
        <v>165</v>
      </c>
      <c r="H68" s="76" t="s">
        <v>163</v>
      </c>
      <c r="I68" s="151">
        <v>0</v>
      </c>
      <c r="J68" s="151">
        <v>13.6</v>
      </c>
      <c r="K68" s="152"/>
      <c r="L68" s="152"/>
      <c r="M68" s="152">
        <v>0.5</v>
      </c>
      <c r="N68" s="152">
        <v>0.55000000000000004</v>
      </c>
      <c r="O68" s="152">
        <v>55</v>
      </c>
      <c r="P68" s="152">
        <v>57</v>
      </c>
      <c r="Q68" s="153">
        <v>13</v>
      </c>
      <c r="R68" s="153">
        <v>13.5</v>
      </c>
      <c r="S68" s="153">
        <v>210</v>
      </c>
      <c r="T68" s="153">
        <v>230</v>
      </c>
      <c r="U68" s="153">
        <v>25</v>
      </c>
      <c r="V68" s="153">
        <v>27</v>
      </c>
      <c r="W68" s="152">
        <v>25.06</v>
      </c>
      <c r="X68" s="209">
        <v>25.21</v>
      </c>
      <c r="Y68" s="149" t="s">
        <v>163</v>
      </c>
      <c r="Z68" s="149" t="s">
        <v>163</v>
      </c>
    </row>
    <row r="69" spans="1:26" x14ac:dyDescent="0.35">
      <c r="A69" s="94" t="s">
        <v>164</v>
      </c>
      <c r="B69" s="94" t="s">
        <v>548</v>
      </c>
      <c r="C69" s="94" t="s">
        <v>542</v>
      </c>
      <c r="D69" s="94" t="s">
        <v>163</v>
      </c>
      <c r="E69" s="146">
        <v>2.0000000000000001E-4</v>
      </c>
      <c r="F69" s="147" t="s">
        <v>165</v>
      </c>
      <c r="G69" s="147" t="s">
        <v>165</v>
      </c>
      <c r="H69" s="76" t="s">
        <v>163</v>
      </c>
      <c r="I69" s="151">
        <v>0</v>
      </c>
      <c r="J69" s="151">
        <v>13.6</v>
      </c>
      <c r="K69" s="152">
        <v>9.6</v>
      </c>
      <c r="L69" s="152">
        <v>12</v>
      </c>
      <c r="M69" s="152">
        <v>0.5</v>
      </c>
      <c r="N69" s="152">
        <v>0.55000000000000004</v>
      </c>
      <c r="O69" s="152">
        <v>55</v>
      </c>
      <c r="P69" s="152">
        <v>58</v>
      </c>
      <c r="Q69" s="153">
        <v>13</v>
      </c>
      <c r="R69" s="153">
        <v>1000000</v>
      </c>
      <c r="S69" s="153">
        <v>210</v>
      </c>
      <c r="T69" s="153">
        <v>230</v>
      </c>
      <c r="U69" s="153">
        <v>26</v>
      </c>
      <c r="V69" s="153">
        <v>33</v>
      </c>
      <c r="W69" s="152">
        <v>25.06</v>
      </c>
      <c r="X69" s="209">
        <v>25.21</v>
      </c>
      <c r="Y69" s="149" t="s">
        <v>163</v>
      </c>
      <c r="Z69" s="149" t="s">
        <v>163</v>
      </c>
    </row>
    <row r="70" spans="1:26" x14ac:dyDescent="0.35">
      <c r="A70" s="94" t="s">
        <v>549</v>
      </c>
      <c r="B70" s="94" t="s">
        <v>550</v>
      </c>
      <c r="C70" s="94" t="s">
        <v>549</v>
      </c>
      <c r="D70" s="146" t="s">
        <v>163</v>
      </c>
      <c r="E70" s="146" t="s">
        <v>163</v>
      </c>
      <c r="F70" s="147" t="s">
        <v>165</v>
      </c>
      <c r="G70" s="147" t="s">
        <v>165</v>
      </c>
      <c r="H70" s="76" t="s">
        <v>163</v>
      </c>
      <c r="I70" s="151">
        <v>0</v>
      </c>
      <c r="J70" s="151">
        <v>15</v>
      </c>
      <c r="K70" s="152">
        <v>24</v>
      </c>
      <c r="L70" s="152">
        <v>28</v>
      </c>
      <c r="M70" s="152">
        <v>5</v>
      </c>
      <c r="N70" s="152">
        <v>6</v>
      </c>
      <c r="O70" s="152" t="s">
        <v>163</v>
      </c>
      <c r="P70" s="152" t="s">
        <v>163</v>
      </c>
      <c r="Q70" s="153" t="s">
        <v>163</v>
      </c>
      <c r="R70" s="153" t="s">
        <v>163</v>
      </c>
      <c r="S70" s="153" t="s">
        <v>163</v>
      </c>
      <c r="T70" s="153" t="s">
        <v>163</v>
      </c>
      <c r="U70" s="153" t="s">
        <v>163</v>
      </c>
      <c r="V70" s="153" t="s">
        <v>163</v>
      </c>
      <c r="W70" s="153" t="s">
        <v>163</v>
      </c>
      <c r="X70" s="209" t="s">
        <v>163</v>
      </c>
      <c r="Y70" s="152" t="s">
        <v>163</v>
      </c>
      <c r="Z70" s="152" t="s">
        <v>163</v>
      </c>
    </row>
    <row r="71" spans="1:26" x14ac:dyDescent="0.35">
      <c r="A71" s="94" t="s">
        <v>129</v>
      </c>
      <c r="B71" s="94"/>
      <c r="C71" s="94"/>
      <c r="D71" s="94" t="s">
        <v>241</v>
      </c>
      <c r="E71" s="146">
        <v>2.0000000000000001E-4</v>
      </c>
      <c r="F71" s="146" t="s">
        <v>163</v>
      </c>
      <c r="G71" s="146" t="s">
        <v>163</v>
      </c>
      <c r="H71" s="146" t="s">
        <v>163</v>
      </c>
      <c r="I71" s="146" t="s">
        <v>163</v>
      </c>
      <c r="J71" s="146" t="s">
        <v>163</v>
      </c>
      <c r="K71" s="146" t="s">
        <v>163</v>
      </c>
      <c r="L71" s="146" t="s">
        <v>163</v>
      </c>
      <c r="M71" s="146" t="s">
        <v>163</v>
      </c>
      <c r="N71" s="146" t="s">
        <v>163</v>
      </c>
      <c r="O71" s="149" t="s">
        <v>163</v>
      </c>
      <c r="P71" s="149" t="s">
        <v>163</v>
      </c>
      <c r="Q71" s="146" t="s">
        <v>163</v>
      </c>
      <c r="R71" s="146" t="s">
        <v>163</v>
      </c>
      <c r="S71" s="146" t="s">
        <v>163</v>
      </c>
      <c r="T71" s="146" t="s">
        <v>163</v>
      </c>
      <c r="U71" s="146" t="s">
        <v>163</v>
      </c>
      <c r="V71" s="146" t="s">
        <v>163</v>
      </c>
      <c r="W71" s="152">
        <v>25.06</v>
      </c>
      <c r="X71" s="209">
        <v>25.21</v>
      </c>
      <c r="Y71" s="146" t="s">
        <v>163</v>
      </c>
      <c r="Z71" s="146" t="s">
        <v>163</v>
      </c>
    </row>
    <row r="72" spans="1:26" x14ac:dyDescent="0.35">
      <c r="A72" s="94" t="s">
        <v>182</v>
      </c>
      <c r="B72" s="94"/>
      <c r="C72" s="94"/>
      <c r="D72" s="94"/>
      <c r="E72" s="146">
        <v>2.0000000000000001E-4</v>
      </c>
      <c r="F72" s="147" t="s">
        <v>165</v>
      </c>
      <c r="G72" s="147" t="s">
        <v>165</v>
      </c>
      <c r="H72" s="76" t="s">
        <v>161</v>
      </c>
      <c r="I72" s="151">
        <v>11</v>
      </c>
      <c r="J72" s="151">
        <v>13</v>
      </c>
      <c r="K72" s="146" t="s">
        <v>163</v>
      </c>
      <c r="L72" s="146" t="s">
        <v>163</v>
      </c>
      <c r="M72" s="146" t="s">
        <v>163</v>
      </c>
      <c r="N72" s="146" t="s">
        <v>163</v>
      </c>
      <c r="O72" s="149" t="s">
        <v>163</v>
      </c>
      <c r="P72" s="149" t="s">
        <v>163</v>
      </c>
      <c r="Q72" s="146" t="s">
        <v>163</v>
      </c>
      <c r="R72" s="146" t="s">
        <v>163</v>
      </c>
      <c r="S72" s="146" t="s">
        <v>163</v>
      </c>
      <c r="T72" s="146" t="s">
        <v>163</v>
      </c>
      <c r="U72" s="146" t="s">
        <v>163</v>
      </c>
      <c r="V72" s="146" t="s">
        <v>163</v>
      </c>
      <c r="W72" s="152">
        <v>25.06</v>
      </c>
      <c r="X72" s="209">
        <v>25.21</v>
      </c>
      <c r="Y72" s="152"/>
      <c r="Z72" s="149"/>
    </row>
    <row r="73" spans="1:26" x14ac:dyDescent="0.35">
      <c r="A73" s="199" t="s">
        <v>83</v>
      </c>
      <c r="B73" s="94"/>
      <c r="C73" s="94" t="s">
        <v>551</v>
      </c>
      <c r="D73" s="94" t="s">
        <v>55</v>
      </c>
      <c r="E73" s="146">
        <v>2.0000000000000001E-4</v>
      </c>
      <c r="F73" s="147" t="s">
        <v>165</v>
      </c>
      <c r="G73" s="147" t="s">
        <v>165</v>
      </c>
      <c r="H73" s="76" t="s">
        <v>163</v>
      </c>
      <c r="I73" s="151" t="s">
        <v>163</v>
      </c>
      <c r="J73" s="151" t="s">
        <v>163</v>
      </c>
      <c r="K73" s="151" t="s">
        <v>163</v>
      </c>
      <c r="L73" s="151" t="s">
        <v>163</v>
      </c>
      <c r="M73" s="152" t="s">
        <v>163</v>
      </c>
      <c r="N73" s="152" t="s">
        <v>163</v>
      </c>
      <c r="O73" s="149" t="s">
        <v>163</v>
      </c>
      <c r="P73" s="149" t="s">
        <v>163</v>
      </c>
      <c r="Q73" s="150" t="s">
        <v>163</v>
      </c>
      <c r="R73" s="150" t="s">
        <v>163</v>
      </c>
      <c r="S73" s="150" t="s">
        <v>163</v>
      </c>
      <c r="T73" s="150" t="s">
        <v>163</v>
      </c>
      <c r="U73" s="150" t="s">
        <v>163</v>
      </c>
      <c r="V73" s="153" t="s">
        <v>163</v>
      </c>
      <c r="W73" s="152">
        <v>25.06</v>
      </c>
      <c r="X73" s="209">
        <v>25.21</v>
      </c>
      <c r="Y73" s="149" t="s">
        <v>163</v>
      </c>
      <c r="Z73" s="149" t="s">
        <v>163</v>
      </c>
    </row>
    <row r="74" spans="1:26" x14ac:dyDescent="0.35">
      <c r="A74" s="94" t="s">
        <v>64</v>
      </c>
      <c r="B74" s="94"/>
      <c r="C74" s="94"/>
      <c r="D74" s="94"/>
      <c r="E74" s="146">
        <v>2.0000000000000001E-4</v>
      </c>
      <c r="F74" s="147" t="s">
        <v>165</v>
      </c>
      <c r="G74" s="147" t="s">
        <v>165</v>
      </c>
      <c r="H74" s="76" t="s">
        <v>163</v>
      </c>
      <c r="I74" s="151">
        <v>11</v>
      </c>
      <c r="J74" s="151">
        <v>13</v>
      </c>
      <c r="K74" s="152">
        <v>8.5</v>
      </c>
      <c r="L74" s="152">
        <v>1000000</v>
      </c>
      <c r="M74" s="152">
        <v>0</v>
      </c>
      <c r="N74" s="152">
        <v>0.6</v>
      </c>
      <c r="O74" s="152">
        <v>56</v>
      </c>
      <c r="P74" s="152">
        <v>1000000</v>
      </c>
      <c r="Q74" s="153">
        <v>10</v>
      </c>
      <c r="R74" s="153">
        <v>1000000</v>
      </c>
      <c r="S74" s="153">
        <v>260</v>
      </c>
      <c r="T74" s="153">
        <v>1000000</v>
      </c>
      <c r="U74" s="153">
        <v>21</v>
      </c>
      <c r="V74" s="153">
        <v>26</v>
      </c>
      <c r="W74" s="152">
        <v>25.06</v>
      </c>
      <c r="X74" s="209">
        <v>25.21</v>
      </c>
      <c r="Y74" s="149" t="s">
        <v>163</v>
      </c>
      <c r="Z74" s="149" t="s">
        <v>163</v>
      </c>
    </row>
    <row r="75" spans="1:26" x14ac:dyDescent="0.35">
      <c r="A75" s="94" t="s">
        <v>179</v>
      </c>
      <c r="B75" s="94"/>
      <c r="C75" s="94"/>
      <c r="D75" s="94"/>
      <c r="E75" s="146">
        <v>2.0000000000000001E-4</v>
      </c>
      <c r="F75" s="94" t="s">
        <v>165</v>
      </c>
      <c r="G75" s="94" t="s">
        <v>165</v>
      </c>
      <c r="H75" s="76" t="s">
        <v>163</v>
      </c>
      <c r="I75" s="151">
        <v>12</v>
      </c>
      <c r="J75" s="151">
        <v>14</v>
      </c>
      <c r="K75" s="152" t="s">
        <v>163</v>
      </c>
      <c r="L75" s="152" t="s">
        <v>163</v>
      </c>
      <c r="M75" s="152" t="s">
        <v>163</v>
      </c>
      <c r="N75" s="152" t="s">
        <v>163</v>
      </c>
      <c r="O75" s="152" t="s">
        <v>163</v>
      </c>
      <c r="P75" s="152" t="s">
        <v>163</v>
      </c>
      <c r="Q75" s="153" t="s">
        <v>163</v>
      </c>
      <c r="R75" s="153" t="s">
        <v>163</v>
      </c>
      <c r="S75" s="153" t="s">
        <v>163</v>
      </c>
      <c r="T75" s="153" t="s">
        <v>163</v>
      </c>
      <c r="U75" s="153" t="s">
        <v>163</v>
      </c>
      <c r="V75" s="153" t="s">
        <v>163</v>
      </c>
      <c r="W75" s="152">
        <v>25.06</v>
      </c>
      <c r="X75" s="209">
        <v>25.21</v>
      </c>
      <c r="Y75" s="152" t="s">
        <v>163</v>
      </c>
      <c r="Z75" s="149" t="s">
        <v>163</v>
      </c>
    </row>
    <row r="76" spans="1:26" x14ac:dyDescent="0.35">
      <c r="A76" s="94" t="s">
        <v>178</v>
      </c>
      <c r="B76" s="94"/>
      <c r="C76" s="94"/>
      <c r="D76" s="94"/>
      <c r="E76" s="146">
        <v>2.0000000000000001E-4</v>
      </c>
      <c r="F76" s="94" t="s">
        <v>165</v>
      </c>
      <c r="G76" s="94" t="s">
        <v>165</v>
      </c>
      <c r="H76" s="76" t="s">
        <v>161</v>
      </c>
      <c r="I76" s="151">
        <v>12</v>
      </c>
      <c r="J76" s="151">
        <v>14</v>
      </c>
      <c r="K76" s="152" t="s">
        <v>163</v>
      </c>
      <c r="L76" s="152" t="s">
        <v>163</v>
      </c>
      <c r="M76" s="152" t="s">
        <v>163</v>
      </c>
      <c r="N76" s="152" t="s">
        <v>163</v>
      </c>
      <c r="O76" s="152" t="s">
        <v>163</v>
      </c>
      <c r="P76" s="152" t="s">
        <v>163</v>
      </c>
      <c r="Q76" s="153" t="s">
        <v>163</v>
      </c>
      <c r="R76" s="153" t="s">
        <v>163</v>
      </c>
      <c r="S76" s="153" t="s">
        <v>163</v>
      </c>
      <c r="T76" s="153" t="s">
        <v>163</v>
      </c>
      <c r="U76" s="153" t="s">
        <v>163</v>
      </c>
      <c r="V76" s="153" t="s">
        <v>163</v>
      </c>
      <c r="W76" s="152">
        <v>25.06</v>
      </c>
      <c r="X76" s="209">
        <v>25.21</v>
      </c>
      <c r="Y76" s="152" t="s">
        <v>163</v>
      </c>
      <c r="Z76" s="149" t="s">
        <v>163</v>
      </c>
    </row>
    <row r="77" spans="1:26" x14ac:dyDescent="0.35">
      <c r="A77" s="94" t="s">
        <v>552</v>
      </c>
      <c r="B77" s="94"/>
      <c r="C77" s="94"/>
      <c r="D77" s="94"/>
      <c r="E77" s="146">
        <v>2.0000000000000001E-4</v>
      </c>
      <c r="F77" s="147" t="s">
        <v>165</v>
      </c>
      <c r="G77" s="147" t="s">
        <v>165</v>
      </c>
      <c r="H77" s="76" t="s">
        <v>161</v>
      </c>
      <c r="I77" s="151">
        <v>12</v>
      </c>
      <c r="J77" s="151">
        <v>14</v>
      </c>
      <c r="K77" s="152">
        <v>12.8</v>
      </c>
      <c r="L77" s="152">
        <v>13.5</v>
      </c>
      <c r="M77" s="152">
        <v>0</v>
      </c>
      <c r="N77" s="152">
        <v>0.55000000000000004</v>
      </c>
      <c r="O77" s="149">
        <v>64</v>
      </c>
      <c r="P77" s="149">
        <v>68</v>
      </c>
      <c r="Q77" s="150">
        <v>12</v>
      </c>
      <c r="R77" s="153">
        <v>1000000</v>
      </c>
      <c r="S77" s="150">
        <v>600</v>
      </c>
      <c r="T77" s="150">
        <v>1000</v>
      </c>
      <c r="U77" s="150">
        <v>35</v>
      </c>
      <c r="V77" s="153">
        <v>40</v>
      </c>
      <c r="W77" s="152">
        <v>25.06</v>
      </c>
      <c r="X77" s="209">
        <v>25.21</v>
      </c>
      <c r="Y77" s="152"/>
      <c r="Z77" s="149"/>
    </row>
    <row r="78" spans="1:26" x14ac:dyDescent="0.35">
      <c r="A78" s="94" t="s">
        <v>177</v>
      </c>
      <c r="B78" s="94"/>
      <c r="C78" s="94"/>
      <c r="D78" s="94"/>
      <c r="E78" s="146">
        <v>2.0000000000000001E-4</v>
      </c>
      <c r="F78" s="94" t="s">
        <v>165</v>
      </c>
      <c r="G78" s="94" t="s">
        <v>165</v>
      </c>
      <c r="H78" s="76" t="s">
        <v>161</v>
      </c>
      <c r="I78" s="151">
        <v>12</v>
      </c>
      <c r="J78" s="151">
        <v>14</v>
      </c>
      <c r="K78" s="152">
        <v>12.8</v>
      </c>
      <c r="L78" s="152">
        <v>13.5</v>
      </c>
      <c r="M78" s="152">
        <v>0</v>
      </c>
      <c r="N78" s="152">
        <v>0.55000000000000004</v>
      </c>
      <c r="O78" s="149">
        <v>64</v>
      </c>
      <c r="P78" s="149">
        <v>68</v>
      </c>
      <c r="Q78" s="150">
        <v>12</v>
      </c>
      <c r="R78" s="153">
        <v>1000000</v>
      </c>
      <c r="S78" s="150">
        <v>600</v>
      </c>
      <c r="T78" s="150">
        <v>1000</v>
      </c>
      <c r="U78" s="150">
        <v>35</v>
      </c>
      <c r="V78" s="153">
        <v>40</v>
      </c>
      <c r="W78" s="152">
        <v>25.06</v>
      </c>
      <c r="X78" s="209">
        <v>25.21</v>
      </c>
      <c r="Y78" s="152" t="s">
        <v>163</v>
      </c>
      <c r="Z78" s="149" t="s">
        <v>163</v>
      </c>
    </row>
    <row r="79" spans="1:26" x14ac:dyDescent="0.35">
      <c r="A79" s="94" t="s">
        <v>186</v>
      </c>
      <c r="B79" s="94"/>
      <c r="C79" s="94"/>
      <c r="D79" s="94"/>
      <c r="E79" s="146">
        <v>2.0000000000000001E-4</v>
      </c>
      <c r="F79" s="94" t="s">
        <v>165</v>
      </c>
      <c r="G79" s="94" t="s">
        <v>165</v>
      </c>
      <c r="H79" s="76" t="s">
        <v>163</v>
      </c>
      <c r="I79" s="151">
        <v>11</v>
      </c>
      <c r="J79" s="151">
        <v>13</v>
      </c>
      <c r="K79" s="152">
        <v>8.5</v>
      </c>
      <c r="L79" s="152">
        <v>100000000</v>
      </c>
      <c r="M79" s="152">
        <v>0</v>
      </c>
      <c r="N79" s="152">
        <v>0.6</v>
      </c>
      <c r="O79" s="149">
        <v>58</v>
      </c>
      <c r="P79" s="149">
        <v>63</v>
      </c>
      <c r="Q79" s="150">
        <v>10</v>
      </c>
      <c r="R79" s="153">
        <v>1000000</v>
      </c>
      <c r="S79" s="150">
        <v>280</v>
      </c>
      <c r="T79" s="150">
        <v>300</v>
      </c>
      <c r="U79" s="150">
        <v>20</v>
      </c>
      <c r="V79" s="153">
        <v>26</v>
      </c>
      <c r="W79" s="152">
        <v>25.06</v>
      </c>
      <c r="X79" s="209">
        <v>25.21</v>
      </c>
      <c r="Y79" s="152" t="s">
        <v>163</v>
      </c>
      <c r="Z79" s="149" t="s">
        <v>163</v>
      </c>
    </row>
    <row r="80" spans="1:26" x14ac:dyDescent="0.35">
      <c r="A80" s="94" t="s">
        <v>553</v>
      </c>
      <c r="B80" s="94"/>
      <c r="C80" s="94"/>
      <c r="D80" s="94"/>
      <c r="E80" s="146">
        <v>2.0000000000000001E-4</v>
      </c>
      <c r="F80" s="94" t="s">
        <v>165</v>
      </c>
      <c r="G80" s="94" t="s">
        <v>165</v>
      </c>
      <c r="H80" s="76" t="s">
        <v>161</v>
      </c>
      <c r="I80" s="151">
        <v>11</v>
      </c>
      <c r="J80" s="151">
        <v>13</v>
      </c>
      <c r="K80" s="152">
        <v>11</v>
      </c>
      <c r="L80" s="152">
        <v>12.5</v>
      </c>
      <c r="M80" s="152">
        <v>0.55000000000000004</v>
      </c>
      <c r="N80" s="152">
        <v>1000000</v>
      </c>
      <c r="O80" s="149">
        <v>64</v>
      </c>
      <c r="P80" s="149">
        <v>1000000</v>
      </c>
      <c r="Q80" s="150" t="s">
        <v>163</v>
      </c>
      <c r="R80" s="150" t="s">
        <v>163</v>
      </c>
      <c r="S80" s="150">
        <v>600</v>
      </c>
      <c r="T80" s="150">
        <v>800</v>
      </c>
      <c r="U80" s="150">
        <v>31</v>
      </c>
      <c r="V80" s="153">
        <v>35</v>
      </c>
      <c r="W80" s="152">
        <v>25.06</v>
      </c>
      <c r="X80" s="209">
        <v>25.21</v>
      </c>
      <c r="Y80" s="152" t="s">
        <v>163</v>
      </c>
      <c r="Z80" s="149" t="s">
        <v>163</v>
      </c>
    </row>
    <row r="81" spans="1:26" x14ac:dyDescent="0.35">
      <c r="A81" s="94" t="s">
        <v>169</v>
      </c>
      <c r="B81" s="94"/>
      <c r="C81" s="94"/>
      <c r="D81" s="94"/>
      <c r="E81" s="146">
        <v>2.0000000000000001E-4</v>
      </c>
      <c r="F81" s="94" t="s">
        <v>165</v>
      </c>
      <c r="G81" s="94" t="s">
        <v>165</v>
      </c>
      <c r="H81" s="76" t="s">
        <v>163</v>
      </c>
      <c r="I81" s="151" t="s">
        <v>163</v>
      </c>
      <c r="J81" s="151" t="s">
        <v>163</v>
      </c>
      <c r="K81" s="151" t="s">
        <v>163</v>
      </c>
      <c r="L81" s="151" t="s">
        <v>163</v>
      </c>
      <c r="M81" s="152" t="s">
        <v>163</v>
      </c>
      <c r="N81" s="152" t="s">
        <v>163</v>
      </c>
      <c r="O81" s="149" t="s">
        <v>163</v>
      </c>
      <c r="P81" s="149" t="s">
        <v>163</v>
      </c>
      <c r="Q81" s="150" t="s">
        <v>163</v>
      </c>
      <c r="R81" s="150" t="s">
        <v>163</v>
      </c>
      <c r="S81" s="150" t="s">
        <v>163</v>
      </c>
      <c r="T81" s="150" t="s">
        <v>163</v>
      </c>
      <c r="U81" s="150" t="s">
        <v>163</v>
      </c>
      <c r="V81" s="153" t="s">
        <v>163</v>
      </c>
      <c r="W81" s="152">
        <v>25.06</v>
      </c>
      <c r="X81" s="209">
        <v>25.21</v>
      </c>
      <c r="Y81" s="149" t="s">
        <v>163</v>
      </c>
      <c r="Z81" s="149" t="s">
        <v>163</v>
      </c>
    </row>
    <row r="82" spans="1:26" x14ac:dyDescent="0.35">
      <c r="A82" s="94" t="s">
        <v>80</v>
      </c>
      <c r="B82" s="94"/>
      <c r="C82" s="94"/>
      <c r="D82" s="94"/>
      <c r="E82" s="146">
        <v>2.0000000000000001E-4</v>
      </c>
      <c r="F82" s="94" t="s">
        <v>165</v>
      </c>
      <c r="G82" s="94" t="s">
        <v>165</v>
      </c>
      <c r="H82" s="146" t="s">
        <v>163</v>
      </c>
      <c r="I82" s="146" t="s">
        <v>163</v>
      </c>
      <c r="J82" s="146" t="s">
        <v>163</v>
      </c>
      <c r="K82" s="146" t="s">
        <v>163</v>
      </c>
      <c r="L82" s="146" t="s">
        <v>163</v>
      </c>
      <c r="M82" s="146" t="s">
        <v>163</v>
      </c>
      <c r="N82" s="146" t="s">
        <v>163</v>
      </c>
      <c r="O82" s="149" t="s">
        <v>163</v>
      </c>
      <c r="P82" s="149" t="s">
        <v>163</v>
      </c>
      <c r="Q82" s="146" t="s">
        <v>163</v>
      </c>
      <c r="R82" s="146" t="s">
        <v>163</v>
      </c>
      <c r="S82" s="146" t="s">
        <v>163</v>
      </c>
      <c r="T82" s="146" t="s">
        <v>163</v>
      </c>
      <c r="U82" s="146" t="s">
        <v>163</v>
      </c>
      <c r="V82" s="146" t="s">
        <v>163</v>
      </c>
      <c r="W82" s="153" t="s">
        <v>163</v>
      </c>
      <c r="X82" s="209" t="s">
        <v>163</v>
      </c>
      <c r="Y82" s="146" t="s">
        <v>163</v>
      </c>
      <c r="Z82" s="146" t="s">
        <v>163</v>
      </c>
    </row>
    <row r="83" spans="1:26" x14ac:dyDescent="0.35">
      <c r="A83" s="94" t="s">
        <v>187</v>
      </c>
      <c r="B83" s="94"/>
      <c r="C83" s="94"/>
      <c r="D83" s="94"/>
      <c r="E83" s="146">
        <v>2.0000000000000001E-4</v>
      </c>
      <c r="F83" s="94" t="s">
        <v>165</v>
      </c>
      <c r="G83" s="94" t="s">
        <v>165</v>
      </c>
      <c r="H83" s="76" t="s">
        <v>161</v>
      </c>
      <c r="I83" s="151">
        <v>12</v>
      </c>
      <c r="J83" s="151">
        <v>14</v>
      </c>
      <c r="K83" s="152">
        <v>11.2</v>
      </c>
      <c r="L83" s="152">
        <v>11.7</v>
      </c>
      <c r="M83" s="152">
        <v>0</v>
      </c>
      <c r="N83" s="152">
        <v>0.42</v>
      </c>
      <c r="O83" s="149">
        <v>63</v>
      </c>
      <c r="P83" s="149">
        <v>67</v>
      </c>
      <c r="Q83" s="150" t="s">
        <v>163</v>
      </c>
      <c r="R83" s="150" t="s">
        <v>163</v>
      </c>
      <c r="S83" s="150" t="s">
        <v>163</v>
      </c>
      <c r="T83" s="150" t="s">
        <v>163</v>
      </c>
      <c r="U83" s="150">
        <v>30</v>
      </c>
      <c r="V83" s="153">
        <v>10000000</v>
      </c>
      <c r="W83" s="152">
        <v>25.06</v>
      </c>
      <c r="X83" s="209">
        <v>25.21</v>
      </c>
      <c r="Y83" s="152" t="s">
        <v>163</v>
      </c>
      <c r="Z83" s="149" t="s">
        <v>554</v>
      </c>
    </row>
    <row r="84" spans="1:26" x14ac:dyDescent="0.35">
      <c r="A84" s="94" t="s">
        <v>181</v>
      </c>
      <c r="B84" s="94"/>
      <c r="C84" s="94"/>
      <c r="D84" s="94"/>
      <c r="E84" s="146">
        <v>2.0000000000000001E-4</v>
      </c>
      <c r="F84" s="94" t="s">
        <v>165</v>
      </c>
      <c r="G84" s="94" t="s">
        <v>165</v>
      </c>
      <c r="H84" s="76" t="s">
        <v>163</v>
      </c>
      <c r="I84" s="146" t="s">
        <v>163</v>
      </c>
      <c r="J84" s="146" t="s">
        <v>163</v>
      </c>
      <c r="K84" s="146" t="s">
        <v>163</v>
      </c>
      <c r="L84" s="146" t="s">
        <v>163</v>
      </c>
      <c r="M84" s="146" t="s">
        <v>163</v>
      </c>
      <c r="N84" s="146" t="s">
        <v>163</v>
      </c>
      <c r="O84" s="149" t="s">
        <v>163</v>
      </c>
      <c r="P84" s="149" t="s">
        <v>163</v>
      </c>
      <c r="Q84" s="146" t="s">
        <v>163</v>
      </c>
      <c r="R84" s="146" t="s">
        <v>163</v>
      </c>
      <c r="S84" s="146" t="s">
        <v>163</v>
      </c>
      <c r="T84" s="146" t="s">
        <v>163</v>
      </c>
      <c r="U84" s="146" t="s">
        <v>163</v>
      </c>
      <c r="V84" s="146" t="s">
        <v>163</v>
      </c>
      <c r="W84" s="153" t="s">
        <v>163</v>
      </c>
      <c r="X84" s="209" t="s">
        <v>163</v>
      </c>
      <c r="Y84" s="146" t="s">
        <v>163</v>
      </c>
      <c r="Z84" s="146" t="s">
        <v>163</v>
      </c>
    </row>
    <row r="85" spans="1:26" x14ac:dyDescent="0.35">
      <c r="A85" s="84" t="s">
        <v>555</v>
      </c>
      <c r="B85" s="84" t="s">
        <v>555</v>
      </c>
      <c r="C85" s="84" t="s">
        <v>555</v>
      </c>
      <c r="D85" s="84" t="s">
        <v>555</v>
      </c>
      <c r="E85" s="84" t="s">
        <v>555</v>
      </c>
      <c r="F85" s="84" t="s">
        <v>555</v>
      </c>
      <c r="G85" s="84" t="s">
        <v>555</v>
      </c>
      <c r="H85" s="84" t="s">
        <v>555</v>
      </c>
      <c r="I85" s="84" t="s">
        <v>555</v>
      </c>
      <c r="J85" s="84" t="s">
        <v>555</v>
      </c>
      <c r="K85" s="84" t="s">
        <v>555</v>
      </c>
      <c r="L85" s="84" t="s">
        <v>555</v>
      </c>
      <c r="M85" s="84" t="s">
        <v>555</v>
      </c>
      <c r="N85" s="84" t="s">
        <v>555</v>
      </c>
      <c r="O85" s="84" t="s">
        <v>555</v>
      </c>
      <c r="P85" s="84" t="s">
        <v>555</v>
      </c>
      <c r="Q85" s="84" t="s">
        <v>555</v>
      </c>
      <c r="R85" s="84" t="s">
        <v>555</v>
      </c>
      <c r="S85" s="84" t="s">
        <v>555</v>
      </c>
      <c r="T85" s="84" t="s">
        <v>555</v>
      </c>
      <c r="U85" s="84" t="s">
        <v>555</v>
      </c>
      <c r="V85" s="84" t="s">
        <v>555</v>
      </c>
      <c r="W85" s="84" t="s">
        <v>555</v>
      </c>
      <c r="X85" s="211" t="s">
        <v>555</v>
      </c>
      <c r="Y85" s="84" t="s">
        <v>555</v>
      </c>
      <c r="Z85" s="84" t="s">
        <v>555</v>
      </c>
    </row>
    <row r="88" spans="1:26" x14ac:dyDescent="0.35">
      <c r="A88" s="84" t="s">
        <v>556</v>
      </c>
    </row>
    <row r="89" spans="1:26" ht="31" x14ac:dyDescent="0.35">
      <c r="A89" s="140" t="s">
        <v>557</v>
      </c>
    </row>
    <row r="90" spans="1:26" x14ac:dyDescent="0.35">
      <c r="A90" s="84" t="s">
        <v>558</v>
      </c>
    </row>
  </sheetData>
  <phoneticPr fontId="28"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0D1C0-FF0B-400B-813F-CE6CD177C5FE}">
  <sheetPr codeName="Sheet8">
    <tabColor theme="6"/>
  </sheetPr>
  <dimension ref="A1:XFD46"/>
  <sheetViews>
    <sheetView zoomScaleNormal="100" workbookViewId="0">
      <pane xSplit="5" ySplit="6" topLeftCell="F7" activePane="bottomRight" state="frozen"/>
      <selection pane="topRight" activeCell="G4632" sqref="G4632"/>
      <selection pane="bottomLeft" activeCell="G4632" sqref="G4632"/>
      <selection pane="bottomRight" activeCell="G39" sqref="G39:R46"/>
    </sheetView>
  </sheetViews>
  <sheetFormatPr defaultColWidth="24.54296875" defaultRowHeight="13" outlineLevelRow="1" x14ac:dyDescent="0.35"/>
  <cols>
    <col min="1" max="3" width="5.453125" style="34" hidden="1" customWidth="1"/>
    <col min="4" max="4" width="3" style="34" customWidth="1"/>
    <col min="5" max="5" width="5.453125" style="34" bestFit="1" customWidth="1"/>
    <col min="6" max="6" width="19.7265625" style="34" customWidth="1"/>
    <col min="7" max="7" width="10.26953125" style="34" bestFit="1" customWidth="1"/>
    <col min="8" max="8" width="11.81640625" style="34" bestFit="1" customWidth="1"/>
    <col min="9" max="9" width="12.26953125" style="34" customWidth="1"/>
    <col min="10" max="10" width="11.54296875" style="34" customWidth="1"/>
    <col min="11" max="11" width="9" style="34" bestFit="1" customWidth="1"/>
    <col min="12" max="12" width="9.453125" style="34" bestFit="1" customWidth="1"/>
    <col min="13" max="13" width="9" style="34" bestFit="1" customWidth="1"/>
    <col min="14" max="14" width="7.54296875" style="34" bestFit="1" customWidth="1"/>
    <col min="15" max="15" width="11" style="34" bestFit="1" customWidth="1"/>
    <col min="16" max="16" width="11.7265625" style="34" bestFit="1" customWidth="1"/>
    <col min="17" max="17" width="20.81640625" style="34" customWidth="1"/>
    <col min="18" max="18" width="9.54296875" style="34" customWidth="1"/>
    <col min="19" max="19" width="8.26953125" style="34" bestFit="1" customWidth="1"/>
    <col min="20" max="20" width="10.26953125" style="34" bestFit="1" customWidth="1"/>
    <col min="21" max="21" width="11.453125" style="34" bestFit="1" customWidth="1"/>
    <col min="22" max="22" width="4.81640625" style="34" bestFit="1" customWidth="1"/>
    <col min="23" max="23" width="5.453125" style="39" bestFit="1" customWidth="1"/>
    <col min="24" max="24" width="5.1796875" style="39" bestFit="1" customWidth="1"/>
    <col min="25" max="80" width="24.54296875" style="39"/>
    <col min="81" max="92" width="24.54296875" style="34"/>
    <col min="93" max="93" width="24.54296875" style="39"/>
    <col min="94" max="16384" width="24.54296875" style="34"/>
  </cols>
  <sheetData>
    <row r="1" spans="1:68 16384:16384" x14ac:dyDescent="0.35">
      <c r="E1" s="393" t="s">
        <v>559</v>
      </c>
      <c r="F1" s="394"/>
      <c r="G1" s="394"/>
      <c r="H1" s="394"/>
      <c r="I1" s="394"/>
      <c r="J1" s="394"/>
      <c r="K1" s="394"/>
      <c r="L1" s="394"/>
      <c r="M1" s="394"/>
      <c r="N1" s="394"/>
      <c r="O1" s="394"/>
      <c r="P1" s="394"/>
      <c r="Q1" s="394"/>
      <c r="R1" s="394"/>
      <c r="S1" s="394"/>
      <c r="T1" s="394"/>
      <c r="U1" s="394"/>
      <c r="V1" s="394"/>
      <c r="W1" s="394"/>
      <c r="X1" s="395"/>
    </row>
    <row r="2" spans="1:68 16384:16384" x14ac:dyDescent="0.35">
      <c r="E2" s="396"/>
      <c r="F2" s="397"/>
      <c r="G2" s="397"/>
      <c r="H2" s="397"/>
      <c r="I2" s="397"/>
      <c r="J2" s="397"/>
      <c r="K2" s="397"/>
      <c r="L2" s="397"/>
      <c r="M2" s="397"/>
      <c r="N2" s="397"/>
      <c r="O2" s="397"/>
      <c r="P2" s="397"/>
      <c r="Q2" s="397"/>
      <c r="R2" s="397"/>
      <c r="S2" s="397"/>
      <c r="T2" s="397"/>
      <c r="U2" s="397"/>
      <c r="V2" s="397"/>
      <c r="W2" s="397"/>
      <c r="X2" s="398"/>
    </row>
    <row r="3" spans="1:68 16384:16384" x14ac:dyDescent="0.35">
      <c r="E3" s="396"/>
      <c r="F3" s="397"/>
      <c r="G3" s="397"/>
      <c r="H3" s="397"/>
      <c r="I3" s="397"/>
      <c r="J3" s="397"/>
      <c r="K3" s="397"/>
      <c r="L3" s="397"/>
      <c r="M3" s="397"/>
      <c r="N3" s="397"/>
      <c r="O3" s="397"/>
      <c r="P3" s="397"/>
      <c r="Q3" s="397"/>
      <c r="R3" s="397"/>
      <c r="S3" s="397"/>
      <c r="T3" s="397"/>
      <c r="U3" s="397"/>
      <c r="V3" s="397"/>
      <c r="W3" s="397"/>
      <c r="X3" s="398"/>
    </row>
    <row r="4" spans="1:68 16384:16384" ht="13.5" thickBot="1" x14ac:dyDescent="0.4">
      <c r="E4" s="399"/>
      <c r="F4" s="400"/>
      <c r="G4" s="400"/>
      <c r="H4" s="400"/>
      <c r="I4" s="400"/>
      <c r="J4" s="400"/>
      <c r="K4" s="400"/>
      <c r="L4" s="400"/>
      <c r="M4" s="400"/>
      <c r="N4" s="400"/>
      <c r="O4" s="400"/>
      <c r="P4" s="400"/>
      <c r="Q4" s="400"/>
      <c r="R4" s="400"/>
      <c r="S4" s="400"/>
      <c r="T4" s="400"/>
      <c r="U4" s="400"/>
      <c r="V4" s="400"/>
      <c r="W4" s="400"/>
      <c r="X4" s="401"/>
    </row>
    <row r="5" spans="1:68 16384:16384" x14ac:dyDescent="0.35">
      <c r="E5" s="38"/>
      <c r="F5" s="38"/>
      <c r="G5" s="38"/>
      <c r="H5" s="38"/>
      <c r="I5" s="38"/>
      <c r="J5" s="38"/>
      <c r="K5" s="38"/>
      <c r="L5" s="38"/>
      <c r="M5" s="38"/>
      <c r="N5" s="38"/>
      <c r="O5" s="38"/>
      <c r="P5" s="38"/>
      <c r="Q5" s="38"/>
      <c r="R5" s="38"/>
      <c r="S5" s="38"/>
      <c r="T5" s="38"/>
      <c r="U5" s="38"/>
      <c r="V5" s="38"/>
    </row>
    <row r="6" spans="1:68 16384:16384" ht="13.5" thickBot="1" x14ac:dyDescent="0.4">
      <c r="E6" s="402" t="s">
        <v>560</v>
      </c>
      <c r="F6" s="402"/>
      <c r="G6" s="403">
        <f>RESGEN!L3</f>
        <v>46303</v>
      </c>
      <c r="H6" s="403"/>
      <c r="I6" s="37" t="s">
        <v>122</v>
      </c>
      <c r="J6" s="403">
        <f>PACKING!J5</f>
        <v>0</v>
      </c>
      <c r="K6" s="403"/>
      <c r="P6" s="38"/>
      <c r="Q6" s="38"/>
      <c r="R6" s="38"/>
      <c r="S6" s="38"/>
      <c r="T6" s="38"/>
      <c r="U6" s="38"/>
      <c r="V6" s="38"/>
    </row>
    <row r="7" spans="1:68 16384:16384" outlineLevel="1" x14ac:dyDescent="0.35">
      <c r="J7" s="36"/>
      <c r="K7" s="36"/>
      <c r="M7" s="36"/>
      <c r="N7" s="36"/>
      <c r="O7" s="36"/>
      <c r="P7" s="38"/>
      <c r="Q7" s="38"/>
      <c r="R7" s="38"/>
      <c r="S7" s="36"/>
      <c r="T7" s="36"/>
      <c r="AO7" s="34"/>
      <c r="AP7" s="34"/>
      <c r="AQ7" s="34"/>
      <c r="AR7" s="34"/>
      <c r="AS7" s="34"/>
      <c r="AT7" s="392" t="str">
        <f>IFERROR(LOOKUP(2,1/(COUNTIF(#REF!,$I$21:$I$28)=0),$I$21:$I$28),"")</f>
        <v/>
      </c>
      <c r="AU7" s="392"/>
      <c r="AV7" s="59" t="str">
        <f>IFERROR(AVERAGEIF($I$21:$I$28,$AT7,H$21:H$28),"")</f>
        <v/>
      </c>
      <c r="AW7" s="59" t="str">
        <f t="shared" ref="AW7:AW13" si="0">IFERROR(AVERAGEIF($I$21:$I$28,$AT7,K$21:K$28),"")</f>
        <v/>
      </c>
      <c r="AX7" s="59" t="str">
        <f>IFERROR(AVERAGEIF($I$21:$I$28,$AT7,#REF!),"")</f>
        <v/>
      </c>
      <c r="AY7" s="59" t="str">
        <f t="shared" ref="AY7:AY13" ca="1" si="1">IFERROR(AVERAGEIF($I$21:$I$28,$AT7,S$22:S$28),"")</f>
        <v/>
      </c>
      <c r="AZ7" s="59" t="str">
        <f>IFERROR(AVERAGEIF($I$21:$I$28,$AT7,#REF!),"")</f>
        <v/>
      </c>
      <c r="BA7" s="59" t="str">
        <f>IFERROR(AVERAGEIF($I$21:$I$28,$AT7,#REF!),"")</f>
        <v/>
      </c>
    </row>
    <row r="8" spans="1:68 16384:16384" outlineLevel="1" x14ac:dyDescent="0.3">
      <c r="E8" s="407" t="s">
        <v>561</v>
      </c>
      <c r="F8" s="408"/>
      <c r="G8" s="408"/>
      <c r="H8" s="408"/>
      <c r="I8" s="408"/>
      <c r="J8" s="408"/>
      <c r="K8" s="408"/>
      <c r="L8" s="408"/>
      <c r="M8" s="409"/>
      <c r="N8" s="404" t="s">
        <v>562</v>
      </c>
      <c r="O8" s="405"/>
      <c r="P8" s="406"/>
      <c r="Q8" s="410" t="s">
        <v>563</v>
      </c>
      <c r="R8" s="38"/>
      <c r="S8" s="36"/>
      <c r="T8" s="36"/>
      <c r="Y8" s="34"/>
      <c r="AG8" s="34"/>
      <c r="AH8" s="34"/>
      <c r="AI8" s="34"/>
      <c r="AJ8" s="34"/>
      <c r="AK8" s="34"/>
      <c r="AL8" s="34"/>
      <c r="AM8" s="34"/>
      <c r="AO8" s="34"/>
      <c r="AP8" s="34"/>
      <c r="AQ8" s="34"/>
      <c r="AR8" s="34"/>
      <c r="AS8" s="34"/>
      <c r="AT8" s="392">
        <f>IFERROR(LOOKUP(2,1/(COUNTIF($AT$7:AT7,$I$21:$I$28)=0),$I$21:$I$28),"")</f>
        <v>0</v>
      </c>
      <c r="AU8" s="392"/>
      <c r="AV8" s="59" t="str">
        <f>IFERROR(AVERAGEIF($I$21:$I$28,$AT8,H$21:H$28),"")</f>
        <v/>
      </c>
      <c r="AW8" s="59" t="str">
        <f t="shared" si="0"/>
        <v/>
      </c>
      <c r="AX8" s="59" t="str">
        <f>IFERROR(AVERAGEIF($I$21:$I$28,$AT8,#REF!),"")</f>
        <v/>
      </c>
      <c r="AY8" s="59" t="str">
        <f t="shared" ca="1" si="1"/>
        <v/>
      </c>
      <c r="AZ8" s="59" t="str">
        <f>IFERROR(AVERAGEIF($I$21:$I$28,$AT8,#REF!),"")</f>
        <v/>
      </c>
      <c r="BA8" s="59" t="str">
        <f>IFERROR(AVERAGEIF($I$21:$I$28,$AT8,#REF!),"")</f>
        <v/>
      </c>
      <c r="BD8" s="34"/>
      <c r="BE8" s="34"/>
      <c r="BF8" s="34"/>
      <c r="BG8" s="34"/>
      <c r="BH8" s="34"/>
      <c r="BI8" s="34"/>
      <c r="BJ8" s="34"/>
      <c r="BK8" s="34"/>
      <c r="BL8" s="34"/>
      <c r="BM8" s="34"/>
      <c r="BN8" s="34"/>
      <c r="BO8" s="34"/>
      <c r="BP8" s="34"/>
    </row>
    <row r="9" spans="1:68 16384:16384" outlineLevel="1" x14ac:dyDescent="0.35">
      <c r="A9" s="34" t="s">
        <v>125</v>
      </c>
      <c r="B9" s="34" t="s">
        <v>128</v>
      </c>
      <c r="C9" s="34" t="s">
        <v>130</v>
      </c>
      <c r="E9" s="60" t="s">
        <v>221</v>
      </c>
      <c r="F9" s="25" t="s">
        <v>564</v>
      </c>
      <c r="G9" s="25" t="s">
        <v>96</v>
      </c>
      <c r="H9" s="25" t="s">
        <v>565</v>
      </c>
      <c r="I9" s="25" t="s">
        <v>318</v>
      </c>
      <c r="J9" s="25" t="s">
        <v>566</v>
      </c>
      <c r="K9" s="25" t="s">
        <v>567</v>
      </c>
      <c r="L9" s="25" t="s">
        <v>568</v>
      </c>
      <c r="M9" s="25" t="s">
        <v>569</v>
      </c>
      <c r="N9" s="26" t="s">
        <v>570</v>
      </c>
      <c r="O9" s="26" t="s">
        <v>321</v>
      </c>
      <c r="P9" s="26" t="s">
        <v>571</v>
      </c>
      <c r="Q9" s="411"/>
      <c r="R9" s="38"/>
      <c r="S9" s="36"/>
      <c r="T9" s="36"/>
      <c r="Y9" s="34"/>
      <c r="AG9" s="34"/>
      <c r="AH9" s="34"/>
      <c r="AI9" s="34"/>
      <c r="AJ9" s="34"/>
      <c r="AK9" s="34"/>
      <c r="AL9" s="34"/>
      <c r="AM9" s="34"/>
      <c r="AO9" s="34"/>
      <c r="AP9" s="34"/>
      <c r="AQ9" s="34"/>
      <c r="AR9" s="34"/>
      <c r="AS9" s="34"/>
      <c r="AT9" s="392" t="str">
        <f>IFERROR(LOOKUP(2,1/(COUNTIF($AT$7:AT8,$I$21:$I$28)=0),$I$21:$I$28),"")</f>
        <v/>
      </c>
      <c r="AU9" s="392"/>
      <c r="AV9" s="59"/>
      <c r="AW9" s="59" t="str">
        <f t="shared" si="0"/>
        <v/>
      </c>
      <c r="AX9" s="59" t="str">
        <f>IFERROR(AVERAGEIF($I$21:$I$28,$AT9,#REF!),"")</f>
        <v/>
      </c>
      <c r="AY9" s="59" t="str">
        <f t="shared" ca="1" si="1"/>
        <v/>
      </c>
      <c r="AZ9" s="59" t="str">
        <f>IFERROR(AVERAGEIF($I$21:$I$28,$AT9,#REF!),"")</f>
        <v/>
      </c>
      <c r="BA9" s="59" t="str">
        <f>IFERROR(AVERAGEIF($I$21:$I$28,$AT9,#REF!),"")</f>
        <v/>
      </c>
      <c r="BD9" s="34"/>
      <c r="BE9" s="34"/>
      <c r="BF9" s="34"/>
      <c r="BG9" s="34"/>
      <c r="BH9" s="34"/>
      <c r="BI9" s="34"/>
      <c r="BJ9" s="34"/>
      <c r="BK9" s="34"/>
      <c r="BL9" s="34"/>
      <c r="BM9" s="34"/>
      <c r="BN9" s="34"/>
      <c r="BO9" s="34"/>
      <c r="BP9" s="34"/>
    </row>
    <row r="10" spans="1:68 16384:16384" ht="11.25" customHeight="1" outlineLevel="1" x14ac:dyDescent="0.35">
      <c r="A10" s="55" t="s">
        <v>326</v>
      </c>
      <c r="B10" s="35">
        <v>0.58333333333333337</v>
      </c>
      <c r="C10" s="35">
        <v>0.91666666666666663</v>
      </c>
      <c r="E10" s="61" t="str">
        <f>IF(J$6="3RD",C10,IF(J$6="2ND",B10,A10))</f>
        <v>06:00</v>
      </c>
      <c r="F10" s="207"/>
      <c r="G10" s="215"/>
      <c r="H10" s="216"/>
      <c r="I10" s="216"/>
      <c r="J10" s="229"/>
      <c r="K10" s="213"/>
      <c r="L10" s="229"/>
      <c r="M10" s="213"/>
      <c r="N10" s="229"/>
      <c r="O10" s="215"/>
      <c r="P10" s="213"/>
      <c r="Q10" s="206"/>
      <c r="R10" s="38"/>
      <c r="S10" s="36"/>
      <c r="T10" s="36"/>
      <c r="Y10" s="34"/>
      <c r="AG10" s="34"/>
      <c r="AH10" s="34"/>
      <c r="AI10" s="34"/>
      <c r="AJ10" s="34"/>
      <c r="AK10" s="34"/>
      <c r="AL10" s="34"/>
      <c r="AM10" s="34"/>
      <c r="AO10" s="34"/>
      <c r="AP10" s="34"/>
      <c r="AQ10" s="34"/>
      <c r="AR10" s="34"/>
      <c r="AS10" s="34"/>
      <c r="AT10" s="392" t="str">
        <f>IFERROR(LOOKUP(2,1/(COUNTIF($AT$7:AT9,$I$21:$I$28)=0),$I$21:$I$28),"")</f>
        <v/>
      </c>
      <c r="AU10" s="392"/>
      <c r="AV10" s="59"/>
      <c r="AW10" s="59" t="str">
        <f t="shared" si="0"/>
        <v/>
      </c>
      <c r="AX10" s="59" t="str">
        <f>IFERROR(AVERAGEIF($I$21:$I$28,$AT10,#REF!),"")</f>
        <v/>
      </c>
      <c r="AY10" s="59" t="str">
        <f t="shared" ca="1" si="1"/>
        <v/>
      </c>
      <c r="AZ10" s="59" t="str">
        <f>IFERROR(AVERAGEIF($I$21:$I$28,$AT10,#REF!),"")</f>
        <v/>
      </c>
      <c r="BA10" s="59" t="str">
        <f>IFERROR(AVERAGEIF($I$21:$I$28,$AT10,#REF!),"")</f>
        <v/>
      </c>
      <c r="BD10" s="34"/>
      <c r="BE10" s="34"/>
      <c r="BF10" s="34"/>
      <c r="BG10" s="34"/>
      <c r="BH10" s="34"/>
      <c r="BI10" s="34"/>
      <c r="BJ10" s="34"/>
      <c r="BK10" s="34"/>
      <c r="BL10" s="34"/>
      <c r="BM10" s="34"/>
      <c r="BN10" s="34"/>
      <c r="BO10" s="34"/>
      <c r="BP10" s="34"/>
    </row>
    <row r="11" spans="1:68 16384:16384" outlineLevel="1" x14ac:dyDescent="0.35">
      <c r="A11" s="55" t="s">
        <v>239</v>
      </c>
      <c r="B11" s="35">
        <v>0.625</v>
      </c>
      <c r="C11" s="35">
        <v>0.95833333333333337</v>
      </c>
      <c r="E11" s="61" t="str">
        <f t="shared" ref="E11:E17" si="2">IF(J$6="3RD",C11,IF(J$6="2ND",B11,A11))</f>
        <v>07:00</v>
      </c>
      <c r="F11" s="342"/>
      <c r="G11" s="215"/>
      <c r="H11" s="216"/>
      <c r="I11" s="216"/>
      <c r="J11" s="229"/>
      <c r="K11" s="213"/>
      <c r="L11" s="229"/>
      <c r="M11" s="213"/>
      <c r="N11" s="229"/>
      <c r="O11" s="215"/>
      <c r="P11" s="213"/>
      <c r="Q11" s="206"/>
      <c r="R11" s="38"/>
      <c r="S11" s="36"/>
      <c r="T11" s="36"/>
      <c r="Y11" s="34"/>
      <c r="AG11" s="34"/>
      <c r="AH11" s="34"/>
      <c r="AI11" s="34"/>
      <c r="AJ11" s="34"/>
      <c r="AK11" s="34"/>
      <c r="AL11" s="34"/>
      <c r="AM11" s="34"/>
      <c r="AO11" s="34"/>
      <c r="AP11" s="34"/>
      <c r="AQ11" s="34"/>
      <c r="AR11" s="34"/>
      <c r="AS11" s="34"/>
      <c r="AT11" s="392" t="str">
        <f>IFERROR(LOOKUP(2,1/(COUNTIF($AT$7:AT10,$I$21:$I$28)=0),$I$21:$I$28),"")</f>
        <v/>
      </c>
      <c r="AU11" s="392"/>
      <c r="AV11" s="59"/>
      <c r="AW11" s="59" t="str">
        <f t="shared" si="0"/>
        <v/>
      </c>
      <c r="AX11" s="59" t="str">
        <f>IFERROR(AVERAGEIF($I$21:$I$28,$AT11,#REF!),"")</f>
        <v/>
      </c>
      <c r="AY11" s="59" t="str">
        <f t="shared" ca="1" si="1"/>
        <v/>
      </c>
      <c r="AZ11" s="59" t="str">
        <f>IFERROR(AVERAGEIF($I$21:$I$28,$AT11,#REF!),"")</f>
        <v/>
      </c>
      <c r="BA11" s="59" t="str">
        <f>IFERROR(AVERAGEIF($I$21:$I$28,$AT11,#REF!),"")</f>
        <v/>
      </c>
      <c r="BD11" s="34"/>
      <c r="BE11" s="34"/>
      <c r="BF11" s="34"/>
      <c r="BG11" s="34"/>
      <c r="BH11" s="34"/>
      <c r="BI11" s="34"/>
      <c r="BJ11" s="34"/>
      <c r="BK11" s="34"/>
      <c r="BL11" s="34"/>
      <c r="BM11" s="34"/>
      <c r="BN11" s="34"/>
      <c r="BO11" s="34"/>
      <c r="BP11" s="34"/>
    </row>
    <row r="12" spans="1:68 16384:16384" outlineLevel="1" x14ac:dyDescent="0.35">
      <c r="A12" s="55" t="s">
        <v>273</v>
      </c>
      <c r="B12" s="35">
        <v>0.66666666666666696</v>
      </c>
      <c r="C12" s="35">
        <v>1</v>
      </c>
      <c r="E12" s="61" t="str">
        <f t="shared" si="2"/>
        <v>08:00</v>
      </c>
      <c r="F12" s="207"/>
      <c r="G12" s="215"/>
      <c r="H12" s="216"/>
      <c r="I12" s="216"/>
      <c r="J12" s="229"/>
      <c r="K12" s="213"/>
      <c r="L12" s="229"/>
      <c r="M12" s="213"/>
      <c r="N12" s="229"/>
      <c r="O12" s="215"/>
      <c r="P12" s="213"/>
      <c r="Q12" s="206"/>
      <c r="R12" s="38"/>
      <c r="S12" s="36"/>
      <c r="T12" s="36"/>
      <c r="Y12" s="34"/>
      <c r="AG12" s="34"/>
      <c r="AH12" s="34"/>
      <c r="AI12" s="34"/>
      <c r="AJ12" s="34"/>
      <c r="AK12" s="34"/>
      <c r="AL12" s="34"/>
      <c r="AM12" s="34"/>
      <c r="AO12" s="34"/>
      <c r="AP12" s="34"/>
      <c r="AQ12" s="34"/>
      <c r="AR12" s="34"/>
      <c r="AS12" s="34"/>
      <c r="AT12" s="392" t="str">
        <f>IFERROR(LOOKUP(2,1/(COUNTIF($AT$7:AT11,$I$21:$I$28)=0),$I$21:$I$28),"")</f>
        <v/>
      </c>
      <c r="AU12" s="392"/>
      <c r="AV12" s="59"/>
      <c r="AW12" s="59" t="str">
        <f t="shared" si="0"/>
        <v/>
      </c>
      <c r="AX12" s="59" t="str">
        <f>IFERROR(AVERAGEIF($I$21:$I$28,$AT12,#REF!),"")</f>
        <v/>
      </c>
      <c r="AY12" s="59" t="str">
        <f t="shared" ca="1" si="1"/>
        <v/>
      </c>
      <c r="AZ12" s="59" t="str">
        <f>IFERROR(AVERAGEIF($I$21:$I$28,$AT12,#REF!),"")</f>
        <v/>
      </c>
      <c r="BA12" s="59" t="str">
        <f>IFERROR(AVERAGEIF($I$21:$I$28,$AT12,#REF!),"")</f>
        <v/>
      </c>
      <c r="BD12" s="34"/>
      <c r="BE12" s="34"/>
      <c r="BF12" s="34"/>
      <c r="BG12" s="34"/>
      <c r="BH12" s="34"/>
      <c r="BI12" s="34"/>
      <c r="BJ12" s="34"/>
      <c r="BK12" s="34"/>
      <c r="BL12" s="34"/>
      <c r="BM12" s="34"/>
      <c r="BN12" s="34"/>
      <c r="BO12" s="34"/>
      <c r="BP12" s="34"/>
    </row>
    <row r="13" spans="1:68 16384:16384" outlineLevel="1" x14ac:dyDescent="0.35">
      <c r="A13" s="55" t="s">
        <v>240</v>
      </c>
      <c r="B13" s="35">
        <v>0.70833333333333304</v>
      </c>
      <c r="C13" s="35">
        <v>1.0416666666666701</v>
      </c>
      <c r="E13" s="61" t="str">
        <f t="shared" si="2"/>
        <v>09:00</v>
      </c>
      <c r="F13" s="342"/>
      <c r="G13" s="215"/>
      <c r="H13" s="216"/>
      <c r="I13" s="216"/>
      <c r="J13" s="229"/>
      <c r="K13" s="213"/>
      <c r="L13" s="229"/>
      <c r="M13" s="213"/>
      <c r="N13" s="229"/>
      <c r="O13" s="215"/>
      <c r="P13" s="213"/>
      <c r="Q13" s="206"/>
      <c r="R13" s="38"/>
      <c r="S13" s="36"/>
      <c r="T13" s="36"/>
      <c r="Y13" s="34"/>
      <c r="AG13" s="34"/>
      <c r="AH13" s="34"/>
      <c r="AI13" s="34"/>
      <c r="AJ13" s="34"/>
      <c r="AK13" s="34"/>
      <c r="AL13" s="34"/>
      <c r="AM13" s="34"/>
      <c r="AO13" s="34"/>
      <c r="AP13" s="34"/>
      <c r="AQ13" s="34"/>
      <c r="AR13" s="34"/>
      <c r="AS13" s="34"/>
      <c r="AT13" s="392" t="str">
        <f>IFERROR(LOOKUP(2,1/(COUNTIF($AT$7:AT12,$I$21:$I$28)=0),$I$21:$I$28),"")</f>
        <v/>
      </c>
      <c r="AU13" s="392"/>
      <c r="AV13" s="59"/>
      <c r="AW13" s="59" t="str">
        <f t="shared" si="0"/>
        <v/>
      </c>
      <c r="AX13" s="59" t="str">
        <f>IFERROR(AVERAGEIF($I$21:$I$28,$AT13,#REF!),"")</f>
        <v/>
      </c>
      <c r="AY13" s="59" t="str">
        <f t="shared" ca="1" si="1"/>
        <v/>
      </c>
      <c r="AZ13" s="59" t="str">
        <f>IFERROR(AVERAGEIF($I$21:$I$28,$AT13,#REF!),"")</f>
        <v/>
      </c>
      <c r="BA13" s="59" t="str">
        <f>IFERROR(AVERAGEIF($I$21:$I$28,$AT13,#REF!),"")</f>
        <v/>
      </c>
      <c r="BD13" s="34"/>
      <c r="BE13" s="34"/>
      <c r="BF13" s="34"/>
      <c r="BG13" s="34"/>
      <c r="BH13" s="34"/>
      <c r="BI13" s="34"/>
      <c r="BJ13" s="34"/>
      <c r="BK13" s="34"/>
      <c r="BL13" s="34"/>
      <c r="BM13" s="34"/>
      <c r="BN13" s="34"/>
      <c r="BO13" s="34"/>
      <c r="BP13" s="34"/>
    </row>
    <row r="14" spans="1:68 16384:16384" ht="14.25" customHeight="1" outlineLevel="1" x14ac:dyDescent="0.35">
      <c r="A14" s="55" t="s">
        <v>327</v>
      </c>
      <c r="B14" s="35">
        <v>0.75</v>
      </c>
      <c r="C14" s="35">
        <v>1.0833333333333299</v>
      </c>
      <c r="E14" s="61" t="str">
        <f t="shared" si="2"/>
        <v>10:00</v>
      </c>
      <c r="F14" s="207"/>
      <c r="G14" s="215"/>
      <c r="H14" s="216"/>
      <c r="I14" s="216"/>
      <c r="J14" s="229"/>
      <c r="K14" s="213"/>
      <c r="L14" s="229"/>
      <c r="M14" s="213"/>
      <c r="N14" s="229"/>
      <c r="O14" s="215"/>
      <c r="P14" s="213"/>
      <c r="Q14" s="206"/>
      <c r="R14" s="38"/>
      <c r="S14" s="36"/>
      <c r="T14" s="36"/>
      <c r="Y14" s="34"/>
      <c r="AG14" s="34"/>
      <c r="AH14" s="34"/>
      <c r="AI14" s="34"/>
      <c r="AJ14" s="34"/>
      <c r="AK14" s="34"/>
      <c r="AL14" s="34"/>
      <c r="AM14" s="34"/>
      <c r="BD14" s="34"/>
      <c r="BE14" s="34"/>
      <c r="BF14" s="34"/>
      <c r="BG14" s="34"/>
      <c r="BH14" s="34"/>
      <c r="BI14" s="34"/>
      <c r="BJ14" s="34"/>
      <c r="BK14" s="34"/>
      <c r="BL14" s="34"/>
      <c r="BM14" s="34"/>
      <c r="BN14" s="34"/>
      <c r="BO14" s="34"/>
      <c r="BP14" s="34"/>
      <c r="XFD14" s="207" t="s">
        <v>163</v>
      </c>
    </row>
    <row r="15" spans="1:68 16384:16384" outlineLevel="1" x14ac:dyDescent="0.35">
      <c r="A15" s="55" t="s">
        <v>237</v>
      </c>
      <c r="B15" s="35">
        <v>0.79166666666666596</v>
      </c>
      <c r="C15" s="35">
        <v>1.125</v>
      </c>
      <c r="E15" s="61" t="str">
        <f t="shared" si="2"/>
        <v>11:00</v>
      </c>
      <c r="F15" s="342"/>
      <c r="G15" s="215"/>
      <c r="H15" s="216"/>
      <c r="I15" s="216"/>
      <c r="J15" s="229"/>
      <c r="K15" s="213"/>
      <c r="L15" s="229"/>
      <c r="M15" s="213"/>
      <c r="N15" s="229"/>
      <c r="O15" s="215"/>
      <c r="P15" s="213"/>
      <c r="Q15" s="206"/>
      <c r="R15" s="38"/>
      <c r="S15" s="36"/>
      <c r="T15" s="36"/>
      <c r="Y15" s="34"/>
      <c r="AG15" s="34"/>
      <c r="AH15" s="34"/>
      <c r="AI15" s="34"/>
      <c r="AJ15" s="34"/>
      <c r="AK15" s="34"/>
      <c r="AL15" s="34"/>
      <c r="AM15" s="34"/>
      <c r="BD15" s="34"/>
      <c r="BE15" s="34"/>
      <c r="BF15" s="34"/>
      <c r="BG15" s="34"/>
      <c r="BH15" s="34"/>
      <c r="BI15" s="34"/>
      <c r="BJ15" s="34"/>
      <c r="BK15" s="34"/>
      <c r="BL15" s="34"/>
      <c r="BM15" s="34"/>
      <c r="BN15" s="34"/>
      <c r="BO15" s="34"/>
      <c r="BP15" s="34"/>
    </row>
    <row r="16" spans="1:68 16384:16384" outlineLevel="1" x14ac:dyDescent="0.35">
      <c r="A16" s="55" t="s">
        <v>328</v>
      </c>
      <c r="B16" s="35">
        <v>0.83333333333333304</v>
      </c>
      <c r="C16" s="35">
        <v>1.1666666666666701</v>
      </c>
      <c r="E16" s="61" t="str">
        <f t="shared" si="2"/>
        <v>12:00</v>
      </c>
      <c r="F16" s="343"/>
      <c r="G16" s="215"/>
      <c r="H16" s="216"/>
      <c r="I16" s="216"/>
      <c r="J16" s="229"/>
      <c r="K16" s="213"/>
      <c r="L16" s="229"/>
      <c r="M16" s="213"/>
      <c r="N16" s="229"/>
      <c r="O16" s="215"/>
      <c r="P16" s="213"/>
      <c r="Q16" s="206"/>
      <c r="R16" s="38"/>
      <c r="S16" s="36"/>
      <c r="T16" s="36"/>
      <c r="Y16" s="34"/>
      <c r="AG16" s="34"/>
      <c r="AH16" s="34"/>
      <c r="AI16" s="34"/>
      <c r="AJ16" s="34"/>
      <c r="AK16" s="34"/>
      <c r="AL16" s="34"/>
      <c r="AM16" s="34"/>
      <c r="BD16" s="34"/>
      <c r="BE16" s="34"/>
      <c r="BF16" s="34"/>
      <c r="BG16" s="34"/>
      <c r="BH16" s="34"/>
      <c r="BI16" s="34"/>
      <c r="BJ16" s="34"/>
      <c r="BK16" s="34"/>
      <c r="BL16" s="34"/>
      <c r="BM16" s="34"/>
      <c r="BN16" s="34"/>
      <c r="BO16" s="34"/>
      <c r="BP16" s="34"/>
    </row>
    <row r="17" spans="1:80" outlineLevel="1" x14ac:dyDescent="0.35">
      <c r="A17" s="55" t="s">
        <v>238</v>
      </c>
      <c r="B17" s="35">
        <v>0.874999999999999</v>
      </c>
      <c r="C17" s="35">
        <v>1.2083333333333299</v>
      </c>
      <c r="E17" s="61" t="str">
        <f t="shared" si="2"/>
        <v>13:00</v>
      </c>
      <c r="F17" s="344"/>
      <c r="G17" s="215"/>
      <c r="H17" s="216"/>
      <c r="I17" s="216"/>
      <c r="J17" s="229"/>
      <c r="K17" s="213"/>
      <c r="L17" s="229"/>
      <c r="M17" s="213"/>
      <c r="N17" s="229"/>
      <c r="O17" s="215"/>
      <c r="P17" s="213"/>
      <c r="Q17" s="206"/>
      <c r="R17" s="38"/>
      <c r="S17" s="36"/>
      <c r="T17" s="36"/>
      <c r="Y17" s="34"/>
      <c r="AG17" s="34"/>
      <c r="AH17" s="34"/>
      <c r="AI17" s="34"/>
      <c r="AJ17" s="34"/>
      <c r="AK17" s="34"/>
      <c r="AL17" s="34"/>
      <c r="AM17" s="34"/>
      <c r="BD17" s="34"/>
      <c r="BE17" s="34"/>
      <c r="BF17" s="34"/>
      <c r="BG17" s="34"/>
      <c r="BH17" s="34"/>
      <c r="BI17" s="34"/>
      <c r="BJ17" s="34"/>
      <c r="BK17" s="34"/>
      <c r="BL17" s="34"/>
      <c r="BM17" s="34"/>
      <c r="BN17" s="34"/>
      <c r="BO17" s="34"/>
      <c r="BP17" s="34"/>
    </row>
    <row r="18" spans="1:80" x14ac:dyDescent="0.35">
      <c r="H18" s="214"/>
      <c r="J18" s="216"/>
      <c r="L18" s="216"/>
      <c r="M18" s="40"/>
      <c r="N18" s="40"/>
      <c r="O18" s="215"/>
      <c r="P18" s="38"/>
      <c r="Q18" s="206"/>
      <c r="R18" s="38"/>
      <c r="W18" s="34"/>
      <c r="X18" s="34"/>
      <c r="Y18" s="34"/>
      <c r="Z18" s="34"/>
      <c r="AA18" s="34"/>
      <c r="AB18" s="34"/>
      <c r="AC18" s="34"/>
      <c r="AD18" s="34"/>
      <c r="BD18" s="34"/>
      <c r="BE18" s="34"/>
      <c r="BF18" s="34"/>
      <c r="BG18" s="34"/>
      <c r="BH18" s="34"/>
      <c r="BI18" s="34"/>
      <c r="BJ18" s="34"/>
      <c r="BK18" s="34"/>
      <c r="BL18" s="34"/>
      <c r="BM18" s="34"/>
      <c r="BN18" s="34"/>
      <c r="BO18" s="34"/>
      <c r="BP18" s="34"/>
    </row>
    <row r="19" spans="1:80" ht="39" x14ac:dyDescent="0.35">
      <c r="E19" s="62" t="s">
        <v>221</v>
      </c>
      <c r="F19" s="43" t="s">
        <v>223</v>
      </c>
      <c r="G19" s="43" t="s">
        <v>572</v>
      </c>
      <c r="H19" s="45" t="s">
        <v>210</v>
      </c>
      <c r="I19" s="45" t="s">
        <v>573</v>
      </c>
      <c r="J19" s="45" t="s">
        <v>574</v>
      </c>
      <c r="K19" s="45" t="s">
        <v>575</v>
      </c>
      <c r="L19" s="44" t="s">
        <v>209</v>
      </c>
      <c r="M19" s="46" t="s">
        <v>211</v>
      </c>
      <c r="N19" s="46" t="s">
        <v>217</v>
      </c>
      <c r="O19" s="46" t="s">
        <v>216</v>
      </c>
      <c r="P19" s="46" t="s">
        <v>215</v>
      </c>
      <c r="Q19" s="45" t="s">
        <v>213</v>
      </c>
      <c r="R19" s="47" t="s">
        <v>218</v>
      </c>
      <c r="AA19" s="34"/>
      <c r="AB19" s="34"/>
      <c r="AC19" s="34"/>
      <c r="AD19" s="34"/>
      <c r="BD19" s="34"/>
      <c r="BE19" s="34"/>
      <c r="BF19" s="34"/>
      <c r="BG19" s="34"/>
      <c r="BH19" s="34"/>
      <c r="BI19" s="34"/>
      <c r="BJ19" s="34"/>
      <c r="BK19" s="34"/>
      <c r="BL19" s="34"/>
      <c r="BM19" s="34"/>
      <c r="BN19" s="34"/>
      <c r="BO19" s="34"/>
      <c r="BP19" s="34"/>
      <c r="CB19" s="34"/>
    </row>
    <row r="20" spans="1:80" ht="15.5" outlineLevel="1" x14ac:dyDescent="0.35">
      <c r="E20" s="412" t="s">
        <v>576</v>
      </c>
      <c r="F20" s="413"/>
      <c r="G20" s="413"/>
      <c r="H20" s="413"/>
      <c r="I20" s="413"/>
      <c r="J20" s="413"/>
      <c r="K20" s="413"/>
      <c r="L20" s="413"/>
      <c r="M20" s="413"/>
      <c r="N20" s="413"/>
      <c r="O20" s="413"/>
      <c r="P20" s="413"/>
      <c r="Q20" s="413"/>
      <c r="R20" s="414"/>
      <c r="AA20" s="34"/>
      <c r="AB20" s="34"/>
      <c r="AC20" s="34"/>
      <c r="AD20" s="34"/>
      <c r="BD20" s="34"/>
      <c r="BE20" s="34"/>
      <c r="BF20" s="34"/>
      <c r="BG20" s="34"/>
      <c r="BH20" s="34"/>
      <c r="BI20" s="34"/>
      <c r="BJ20" s="34"/>
      <c r="BK20" s="34"/>
      <c r="BL20" s="34"/>
      <c r="BM20" s="34"/>
      <c r="BN20" s="34"/>
      <c r="BO20" s="34"/>
      <c r="BP20" s="34"/>
    </row>
    <row r="21" spans="1:80" outlineLevel="1" x14ac:dyDescent="0.35">
      <c r="E21" s="61" t="str">
        <f>IF(J$6="3RD",C10,IF(J$6="2ND",B10,A10))</f>
        <v>06:00</v>
      </c>
      <c r="F21" s="201"/>
      <c r="G21" s="205"/>
      <c r="H21" s="341"/>
      <c r="I21" s="205"/>
      <c r="J21" s="205"/>
      <c r="K21" s="205"/>
      <c r="L21" s="205"/>
      <c r="M21" s="200"/>
      <c r="N21" s="200"/>
      <c r="O21" s="200"/>
      <c r="P21" s="200"/>
      <c r="Q21" s="200"/>
      <c r="R21" s="200"/>
      <c r="AA21" s="34"/>
      <c r="AB21" s="34"/>
      <c r="AC21" s="34"/>
      <c r="AD21" s="34"/>
      <c r="BD21" s="34"/>
      <c r="BE21" s="34"/>
      <c r="BF21" s="34"/>
      <c r="BG21" s="34"/>
      <c r="BH21" s="34"/>
      <c r="BI21" s="34"/>
      <c r="BJ21" s="34"/>
      <c r="BK21" s="34"/>
      <c r="BL21" s="34"/>
      <c r="BM21" s="34"/>
      <c r="BN21" s="34"/>
      <c r="BO21" s="34"/>
      <c r="BP21" s="34"/>
      <c r="CB21" s="34"/>
    </row>
    <row r="22" spans="1:80" outlineLevel="1" x14ac:dyDescent="0.35">
      <c r="E22" s="61" t="str">
        <f t="shared" ref="E22:E28" si="3">IF(J$6="3RD",C11,IF(J$6="2ND",B11,A11))</f>
        <v>07:00</v>
      </c>
      <c r="F22" s="201"/>
      <c r="G22" s="205"/>
      <c r="H22" s="59"/>
      <c r="I22" s="205"/>
      <c r="J22" s="205"/>
      <c r="K22" s="205"/>
      <c r="L22" s="205"/>
      <c r="M22" s="200"/>
      <c r="N22" s="200"/>
      <c r="O22" s="200"/>
      <c r="P22" s="200"/>
      <c r="Q22" s="200"/>
      <c r="R22" s="200"/>
      <c r="AA22" s="34"/>
      <c r="AB22" s="34"/>
      <c r="AC22" s="34"/>
      <c r="AD22" s="34"/>
      <c r="CB22" s="34"/>
    </row>
    <row r="23" spans="1:80" outlineLevel="1" x14ac:dyDescent="0.35">
      <c r="E23" s="61" t="str">
        <f t="shared" si="3"/>
        <v>08:00</v>
      </c>
      <c r="F23" s="201"/>
      <c r="G23" s="205"/>
      <c r="H23" s="59"/>
      <c r="I23" s="205"/>
      <c r="J23" s="205"/>
      <c r="K23" s="205"/>
      <c r="L23" s="205"/>
      <c r="M23" s="200"/>
      <c r="N23" s="200"/>
      <c r="O23" s="200"/>
      <c r="P23" s="200"/>
      <c r="Q23" s="200"/>
      <c r="R23" s="200"/>
      <c r="AA23" s="34"/>
      <c r="AB23" s="34"/>
      <c r="AC23" s="34"/>
      <c r="AD23" s="34"/>
      <c r="CB23" s="34"/>
    </row>
    <row r="24" spans="1:80" outlineLevel="1" x14ac:dyDescent="0.35">
      <c r="E24" s="61" t="str">
        <f t="shared" si="3"/>
        <v>09:00</v>
      </c>
      <c r="F24" s="201"/>
      <c r="G24" s="205"/>
      <c r="H24" s="59"/>
      <c r="I24" s="205"/>
      <c r="J24" s="205"/>
      <c r="K24" s="205"/>
      <c r="L24" s="205"/>
      <c r="M24" s="200"/>
      <c r="N24" s="200"/>
      <c r="O24" s="200"/>
      <c r="P24" s="200"/>
      <c r="Q24" s="200"/>
      <c r="R24" s="200"/>
      <c r="AA24" s="34"/>
      <c r="AB24" s="34"/>
      <c r="AC24" s="34"/>
      <c r="AD24" s="34"/>
      <c r="CB24" s="34"/>
    </row>
    <row r="25" spans="1:80" outlineLevel="1" x14ac:dyDescent="0.35">
      <c r="E25" s="61" t="str">
        <f t="shared" si="3"/>
        <v>10:00</v>
      </c>
      <c r="F25" s="201"/>
      <c r="G25" s="205"/>
      <c r="H25" s="59"/>
      <c r="I25" s="205"/>
      <c r="J25" s="205"/>
      <c r="K25" s="205"/>
      <c r="L25" s="205"/>
      <c r="M25" s="200"/>
      <c r="N25" s="200"/>
      <c r="O25" s="200"/>
      <c r="P25" s="200"/>
      <c r="Q25" s="200"/>
      <c r="R25" s="200"/>
      <c r="AA25" s="34"/>
      <c r="AB25" s="34"/>
      <c r="AC25" s="34"/>
      <c r="AD25" s="34"/>
      <c r="CB25" s="34"/>
    </row>
    <row r="26" spans="1:80" outlineLevel="1" x14ac:dyDescent="0.35">
      <c r="E26" s="61" t="str">
        <f t="shared" si="3"/>
        <v>11:00</v>
      </c>
      <c r="F26" s="201"/>
      <c r="G26" s="205"/>
      <c r="H26" s="59"/>
      <c r="I26" s="205"/>
      <c r="J26" s="205"/>
      <c r="K26" s="205"/>
      <c r="L26" s="205"/>
      <c r="M26" s="200"/>
      <c r="N26" s="200"/>
      <c r="O26" s="200"/>
      <c r="P26" s="200"/>
      <c r="Q26" s="200"/>
      <c r="R26" s="200"/>
      <c r="AA26" s="34"/>
      <c r="AB26" s="34"/>
      <c r="AC26" s="34"/>
      <c r="AD26" s="34"/>
      <c r="CB26" s="34"/>
    </row>
    <row r="27" spans="1:80" outlineLevel="1" x14ac:dyDescent="0.35">
      <c r="E27" s="61" t="str">
        <f t="shared" si="3"/>
        <v>12:00</v>
      </c>
      <c r="F27" s="201"/>
      <c r="G27" s="205"/>
      <c r="H27" s="59"/>
      <c r="I27" s="205"/>
      <c r="J27" s="205"/>
      <c r="K27" s="205"/>
      <c r="L27" s="205"/>
      <c r="M27" s="200"/>
      <c r="N27" s="200"/>
      <c r="O27" s="200"/>
      <c r="P27" s="200"/>
      <c r="Q27" s="200"/>
      <c r="R27" s="200"/>
      <c r="AA27" s="34"/>
      <c r="AB27" s="34"/>
      <c r="AC27" s="34"/>
      <c r="AD27" s="34"/>
      <c r="CB27" s="34"/>
    </row>
    <row r="28" spans="1:80" outlineLevel="1" x14ac:dyDescent="0.35">
      <c r="E28" s="61" t="str">
        <f t="shared" si="3"/>
        <v>13:00</v>
      </c>
      <c r="F28" s="201"/>
      <c r="G28" s="205"/>
      <c r="H28" s="59"/>
      <c r="I28" s="205"/>
      <c r="J28" s="205"/>
      <c r="K28" s="205"/>
      <c r="L28" s="205"/>
      <c r="M28" s="200"/>
      <c r="N28" s="200"/>
      <c r="O28" s="200"/>
      <c r="P28" s="200"/>
      <c r="Q28" s="200"/>
      <c r="R28" s="200"/>
      <c r="AA28" s="34"/>
      <c r="AB28" s="34"/>
      <c r="AC28" s="34"/>
      <c r="AD28" s="34"/>
      <c r="CB28" s="34"/>
    </row>
    <row r="29" spans="1:80" ht="15.5" outlineLevel="1" x14ac:dyDescent="0.35">
      <c r="E29" s="412" t="s">
        <v>577</v>
      </c>
      <c r="F29" s="413"/>
      <c r="G29" s="413"/>
      <c r="H29" s="413"/>
      <c r="I29" s="413"/>
      <c r="J29" s="413"/>
      <c r="K29" s="413"/>
      <c r="L29" s="413"/>
      <c r="M29" s="413"/>
      <c r="N29" s="413"/>
      <c r="O29" s="413"/>
      <c r="P29" s="413"/>
      <c r="Q29" s="413"/>
      <c r="R29" s="414"/>
      <c r="W29" s="34"/>
      <c r="X29" s="34"/>
      <c r="Y29" s="34"/>
      <c r="Z29" s="34"/>
      <c r="AA29" s="34"/>
      <c r="AB29" s="34"/>
      <c r="AC29" s="34"/>
      <c r="AD29" s="34"/>
      <c r="CB29" s="34"/>
    </row>
    <row r="30" spans="1:80" outlineLevel="1" x14ac:dyDescent="0.35">
      <c r="E30" s="61" t="str">
        <f t="shared" ref="E30:E37" si="4">IF(J$6="3RD",C10,IF(J$6="2ND",B10,A10))</f>
        <v>06:00</v>
      </c>
      <c r="F30" s="63" t="str">
        <f>IF(J30="-","-",IF(J30="","","DF"))</f>
        <v/>
      </c>
      <c r="G30" s="205"/>
      <c r="H30" s="205"/>
      <c r="I30" s="205"/>
      <c r="J30" s="205"/>
      <c r="K30" s="205"/>
      <c r="L30" s="205"/>
      <c r="M30" s="200"/>
      <c r="N30" s="200"/>
      <c r="O30" s="200"/>
      <c r="P30" s="200"/>
      <c r="Q30" s="200"/>
      <c r="R30" s="200"/>
      <c r="W30" s="34"/>
      <c r="X30" s="34"/>
      <c r="Y30" s="34"/>
      <c r="Z30" s="34"/>
      <c r="AA30" s="34"/>
      <c r="AB30" s="34"/>
      <c r="AC30" s="34"/>
      <c r="AD30" s="34"/>
      <c r="CB30" s="34"/>
    </row>
    <row r="31" spans="1:80" outlineLevel="1" x14ac:dyDescent="0.35">
      <c r="E31" s="61" t="str">
        <f t="shared" si="4"/>
        <v>07:00</v>
      </c>
      <c r="F31" s="63" t="str">
        <f t="shared" ref="F31:F37" si="5">IF(J31="-","-",IF(J31="","","DF"))</f>
        <v/>
      </c>
      <c r="G31" s="205"/>
      <c r="H31" s="59"/>
      <c r="I31" s="205"/>
      <c r="J31" s="205"/>
      <c r="K31" s="205"/>
      <c r="L31" s="205"/>
      <c r="M31" s="200"/>
      <c r="N31" s="200"/>
      <c r="O31" s="200"/>
      <c r="P31" s="200"/>
      <c r="Q31" s="200"/>
      <c r="R31" s="200"/>
      <c r="W31" s="34"/>
      <c r="X31" s="34"/>
      <c r="Y31" s="34"/>
      <c r="Z31" s="34"/>
      <c r="AA31" s="34"/>
      <c r="AB31" s="34"/>
      <c r="AC31" s="34"/>
      <c r="AD31" s="34"/>
      <c r="CB31" s="34"/>
    </row>
    <row r="32" spans="1:80" outlineLevel="1" x14ac:dyDescent="0.35">
      <c r="E32" s="61" t="str">
        <f t="shared" si="4"/>
        <v>08:00</v>
      </c>
      <c r="F32" s="63" t="str">
        <f t="shared" si="5"/>
        <v/>
      </c>
      <c r="G32" s="205"/>
      <c r="H32" s="59"/>
      <c r="I32" s="205"/>
      <c r="J32" s="205"/>
      <c r="K32" s="205"/>
      <c r="L32" s="205"/>
      <c r="M32" s="200"/>
      <c r="N32" s="200"/>
      <c r="O32" s="200"/>
      <c r="P32" s="200"/>
      <c r="Q32" s="200"/>
      <c r="R32" s="200"/>
      <c r="S32" s="64"/>
      <c r="T32" s="64"/>
      <c r="U32" s="64"/>
      <c r="V32" s="64"/>
      <c r="W32" s="64"/>
      <c r="X32" s="64"/>
      <c r="Y32" s="64"/>
      <c r="Z32" s="64"/>
      <c r="AA32" s="64"/>
      <c r="AB32" s="64"/>
      <c r="AC32" s="64"/>
      <c r="AD32" s="34"/>
      <c r="CB32" s="34"/>
    </row>
    <row r="33" spans="5:80" outlineLevel="1" x14ac:dyDescent="0.35">
      <c r="E33" s="61" t="str">
        <f t="shared" si="4"/>
        <v>09:00</v>
      </c>
      <c r="F33" s="63" t="str">
        <f t="shared" si="5"/>
        <v/>
      </c>
      <c r="G33" s="205"/>
      <c r="H33" s="59"/>
      <c r="I33" s="205"/>
      <c r="J33" s="205"/>
      <c r="K33" s="205"/>
      <c r="L33" s="205"/>
      <c r="M33" s="200"/>
      <c r="N33" s="200"/>
      <c r="O33" s="200"/>
      <c r="P33" s="200"/>
      <c r="Q33" s="200"/>
      <c r="R33" s="200"/>
      <c r="S33" s="64"/>
      <c r="T33" s="64"/>
      <c r="U33" s="64"/>
      <c r="V33" s="64"/>
      <c r="W33" s="64"/>
      <c r="X33" s="64"/>
      <c r="Y33" s="64"/>
      <c r="Z33" s="64"/>
      <c r="AA33" s="64"/>
      <c r="AB33" s="64"/>
      <c r="AC33" s="64"/>
      <c r="AD33" s="34"/>
      <c r="CB33" s="34"/>
    </row>
    <row r="34" spans="5:80" outlineLevel="1" x14ac:dyDescent="0.35">
      <c r="E34" s="61" t="str">
        <f t="shared" si="4"/>
        <v>10:00</v>
      </c>
      <c r="F34" s="63" t="str">
        <f t="shared" si="5"/>
        <v/>
      </c>
      <c r="G34" s="205"/>
      <c r="H34" s="59"/>
      <c r="I34" s="205"/>
      <c r="J34" s="205"/>
      <c r="K34" s="205"/>
      <c r="L34" s="205"/>
      <c r="M34" s="200"/>
      <c r="N34" s="200"/>
      <c r="O34" s="200"/>
      <c r="P34" s="200"/>
      <c r="Q34" s="200"/>
      <c r="R34" s="200"/>
      <c r="S34" s="64"/>
      <c r="T34" s="64"/>
      <c r="U34" s="64"/>
      <c r="V34" s="64"/>
      <c r="W34" s="64"/>
      <c r="X34" s="64"/>
      <c r="Y34" s="64"/>
      <c r="Z34" s="64"/>
      <c r="AA34" s="64"/>
      <c r="AB34" s="64"/>
      <c r="AC34" s="64"/>
      <c r="AD34" s="34"/>
      <c r="CB34" s="34"/>
    </row>
    <row r="35" spans="5:80" outlineLevel="1" x14ac:dyDescent="0.35">
      <c r="E35" s="61" t="str">
        <f t="shared" si="4"/>
        <v>11:00</v>
      </c>
      <c r="F35" s="63" t="str">
        <f t="shared" si="5"/>
        <v/>
      </c>
      <c r="G35" s="205"/>
      <c r="H35" s="59"/>
      <c r="I35" s="205"/>
      <c r="J35" s="205"/>
      <c r="K35" s="205"/>
      <c r="L35" s="205"/>
      <c r="M35" s="200"/>
      <c r="N35" s="200"/>
      <c r="O35" s="200"/>
      <c r="P35" s="200"/>
      <c r="Q35" s="200"/>
      <c r="R35" s="200"/>
      <c r="S35" s="64"/>
      <c r="T35" s="64"/>
      <c r="U35" s="64"/>
      <c r="V35" s="64"/>
      <c r="W35" s="64"/>
      <c r="X35" s="64"/>
      <c r="Y35" s="64"/>
      <c r="Z35" s="64"/>
      <c r="AA35" s="64"/>
      <c r="AB35" s="64"/>
      <c r="AC35" s="64"/>
      <c r="AD35" s="34"/>
      <c r="CB35" s="34"/>
    </row>
    <row r="36" spans="5:80" outlineLevel="1" x14ac:dyDescent="0.35">
      <c r="E36" s="61" t="str">
        <f t="shared" si="4"/>
        <v>12:00</v>
      </c>
      <c r="F36" s="63" t="str">
        <f t="shared" si="5"/>
        <v/>
      </c>
      <c r="G36" s="205"/>
      <c r="H36" s="59"/>
      <c r="I36" s="205"/>
      <c r="J36" s="205"/>
      <c r="K36" s="205"/>
      <c r="L36" s="205"/>
      <c r="M36" s="200"/>
      <c r="N36" s="200"/>
      <c r="O36" s="200"/>
      <c r="P36" s="200"/>
      <c r="Q36" s="200"/>
      <c r="R36" s="200"/>
      <c r="S36" s="64"/>
      <c r="T36" s="64"/>
      <c r="U36" s="64"/>
      <c r="V36" s="64"/>
      <c r="W36" s="64"/>
      <c r="X36" s="64"/>
      <c r="Y36" s="64"/>
      <c r="Z36" s="64"/>
      <c r="AA36" s="64"/>
      <c r="AB36" s="64"/>
      <c r="AC36" s="64"/>
      <c r="AD36" s="34"/>
      <c r="CB36" s="34"/>
    </row>
    <row r="37" spans="5:80" outlineLevel="1" x14ac:dyDescent="0.35">
      <c r="E37" s="61" t="str">
        <f t="shared" si="4"/>
        <v>13:00</v>
      </c>
      <c r="F37" s="63" t="str">
        <f t="shared" si="5"/>
        <v/>
      </c>
      <c r="G37" s="205"/>
      <c r="H37" s="59"/>
      <c r="I37" s="205"/>
      <c r="J37" s="205"/>
      <c r="K37" s="205"/>
      <c r="L37" s="205"/>
      <c r="M37" s="200"/>
      <c r="N37" s="200"/>
      <c r="O37" s="200"/>
      <c r="P37" s="200"/>
      <c r="Q37" s="200"/>
      <c r="R37" s="200"/>
      <c r="S37" s="64"/>
      <c r="T37" s="64"/>
      <c r="U37" s="64"/>
      <c r="V37" s="64"/>
      <c r="W37" s="64"/>
      <c r="X37" s="64"/>
      <c r="Y37" s="64"/>
      <c r="Z37" s="64"/>
      <c r="AA37" s="64"/>
      <c r="AB37" s="64"/>
      <c r="AC37" s="64"/>
      <c r="AD37" s="34"/>
      <c r="CB37" s="34"/>
    </row>
    <row r="38" spans="5:80" ht="15.5" x14ac:dyDescent="0.35">
      <c r="E38" s="412" t="s">
        <v>577</v>
      </c>
      <c r="F38" s="413"/>
      <c r="G38" s="413"/>
      <c r="H38" s="413"/>
      <c r="I38" s="413"/>
      <c r="J38" s="413"/>
      <c r="K38" s="413"/>
      <c r="L38" s="413"/>
      <c r="M38" s="413"/>
      <c r="N38" s="413"/>
      <c r="O38" s="413"/>
      <c r="P38" s="413"/>
      <c r="Q38" s="413"/>
      <c r="R38" s="414"/>
      <c r="AD38" s="34"/>
    </row>
    <row r="39" spans="5:80" outlineLevel="1" x14ac:dyDescent="0.35">
      <c r="E39" s="61" t="str">
        <f>IF(J$6="3RD",C10,IF(J$6="2ND",B10,A10))</f>
        <v>06:00</v>
      </c>
      <c r="F39" s="63" t="str">
        <f>IF(L39="-","-",IF(L39="","","APF"))</f>
        <v/>
      </c>
      <c r="G39" s="205"/>
      <c r="H39" s="205"/>
      <c r="I39" s="205"/>
      <c r="J39" s="205"/>
      <c r="K39" s="205"/>
      <c r="L39" s="205"/>
      <c r="M39" s="200"/>
      <c r="N39" s="200"/>
      <c r="O39" s="200"/>
      <c r="P39" s="200"/>
      <c r="Q39" s="200"/>
      <c r="R39" s="200"/>
      <c r="AD39" s="34"/>
    </row>
    <row r="40" spans="5:80" outlineLevel="1" x14ac:dyDescent="0.35">
      <c r="E40" s="61" t="str">
        <f t="shared" ref="E40:E46" si="6">IF(J$6="3RD",C11,IF(J$6="2ND",B11,A11))</f>
        <v>07:00</v>
      </c>
      <c r="F40" s="63" t="str">
        <f t="shared" ref="F40:F46" si="7">IF(L40="-","-",IF(L40="","","APF"))</f>
        <v/>
      </c>
      <c r="G40" s="205"/>
      <c r="H40" s="59"/>
      <c r="I40" s="205"/>
      <c r="J40" s="205"/>
      <c r="K40" s="205"/>
      <c r="L40" s="205"/>
      <c r="M40" s="200"/>
      <c r="N40" s="200"/>
      <c r="O40" s="200"/>
      <c r="P40" s="200"/>
      <c r="Q40" s="200"/>
      <c r="R40" s="200"/>
    </row>
    <row r="41" spans="5:80" outlineLevel="1" x14ac:dyDescent="0.35">
      <c r="E41" s="61" t="str">
        <f t="shared" si="6"/>
        <v>08:00</v>
      </c>
      <c r="F41" s="63" t="str">
        <f t="shared" si="7"/>
        <v/>
      </c>
      <c r="G41" s="205"/>
      <c r="H41" s="59"/>
      <c r="I41" s="205"/>
      <c r="J41" s="205"/>
      <c r="K41" s="205"/>
      <c r="L41" s="205"/>
      <c r="M41" s="200"/>
      <c r="N41" s="200"/>
      <c r="O41" s="200"/>
      <c r="P41" s="200"/>
      <c r="Q41" s="200"/>
      <c r="R41" s="200"/>
    </row>
    <row r="42" spans="5:80" outlineLevel="1" x14ac:dyDescent="0.35">
      <c r="E42" s="61" t="str">
        <f t="shared" si="6"/>
        <v>09:00</v>
      </c>
      <c r="F42" s="63" t="str">
        <f t="shared" si="7"/>
        <v/>
      </c>
      <c r="G42" s="205"/>
      <c r="H42" s="59"/>
      <c r="I42" s="205"/>
      <c r="J42" s="205"/>
      <c r="K42" s="205"/>
      <c r="L42" s="205"/>
      <c r="M42" s="200"/>
      <c r="N42" s="200"/>
      <c r="O42" s="200"/>
      <c r="P42" s="200"/>
      <c r="Q42" s="200"/>
      <c r="R42" s="200"/>
    </row>
    <row r="43" spans="5:80" outlineLevel="1" x14ac:dyDescent="0.35">
      <c r="E43" s="61" t="str">
        <f t="shared" si="6"/>
        <v>10:00</v>
      </c>
      <c r="F43" s="63" t="str">
        <f t="shared" si="7"/>
        <v/>
      </c>
      <c r="G43" s="205"/>
      <c r="H43" s="59"/>
      <c r="I43" s="205"/>
      <c r="J43" s="205"/>
      <c r="K43" s="205"/>
      <c r="L43" s="205"/>
      <c r="M43" s="200"/>
      <c r="N43" s="200"/>
      <c r="O43" s="200"/>
      <c r="P43" s="200"/>
      <c r="Q43" s="200"/>
      <c r="R43" s="200"/>
    </row>
    <row r="44" spans="5:80" outlineLevel="1" x14ac:dyDescent="0.35">
      <c r="E44" s="61" t="str">
        <f t="shared" si="6"/>
        <v>11:00</v>
      </c>
      <c r="F44" s="63" t="str">
        <f t="shared" si="7"/>
        <v/>
      </c>
      <c r="G44" s="205"/>
      <c r="H44" s="59"/>
      <c r="I44" s="205"/>
      <c r="J44" s="205"/>
      <c r="K44" s="205"/>
      <c r="L44" s="205"/>
      <c r="M44" s="200"/>
      <c r="N44" s="200"/>
      <c r="O44" s="200"/>
      <c r="P44" s="200"/>
      <c r="Q44" s="200"/>
      <c r="R44" s="200"/>
    </row>
    <row r="45" spans="5:80" outlineLevel="1" x14ac:dyDescent="0.35">
      <c r="E45" s="61" t="str">
        <f t="shared" si="6"/>
        <v>12:00</v>
      </c>
      <c r="F45" s="63" t="str">
        <f t="shared" si="7"/>
        <v/>
      </c>
      <c r="G45" s="205"/>
      <c r="H45" s="59"/>
      <c r="I45" s="205"/>
      <c r="J45" s="205"/>
      <c r="K45" s="205"/>
      <c r="L45" s="205"/>
      <c r="M45" s="200"/>
      <c r="N45" s="200"/>
      <c r="O45" s="200"/>
      <c r="P45" s="200"/>
      <c r="Q45" s="200"/>
      <c r="R45" s="200"/>
    </row>
    <row r="46" spans="5:80" outlineLevel="1" x14ac:dyDescent="0.35">
      <c r="E46" s="61" t="str">
        <f t="shared" si="6"/>
        <v>13:00</v>
      </c>
      <c r="F46" s="63" t="str">
        <f t="shared" si="7"/>
        <v/>
      </c>
      <c r="G46" s="205"/>
      <c r="H46" s="59"/>
      <c r="I46" s="205"/>
      <c r="J46" s="205"/>
      <c r="K46" s="205"/>
      <c r="L46" s="205"/>
      <c r="M46" s="200"/>
      <c r="N46" s="200"/>
      <c r="O46" s="200"/>
      <c r="P46" s="200"/>
      <c r="Q46" s="200"/>
      <c r="R46" s="200"/>
    </row>
  </sheetData>
  <mergeCells count="17">
    <mergeCell ref="E20:R20"/>
    <mergeCell ref="E38:R38"/>
    <mergeCell ref="E29:R29"/>
    <mergeCell ref="AT8:AU8"/>
    <mergeCell ref="AT9:AU9"/>
    <mergeCell ref="AT10:AU10"/>
    <mergeCell ref="AT11:AU11"/>
    <mergeCell ref="AT12:AU12"/>
    <mergeCell ref="AT13:AU13"/>
    <mergeCell ref="AT7:AU7"/>
    <mergeCell ref="E1:X4"/>
    <mergeCell ref="E6:F6"/>
    <mergeCell ref="G6:H6"/>
    <mergeCell ref="N8:P8"/>
    <mergeCell ref="J6:K6"/>
    <mergeCell ref="E8:M8"/>
    <mergeCell ref="Q8:Q9"/>
  </mergeCells>
  <phoneticPr fontId="28" type="noConversion"/>
  <dataValidations count="2">
    <dataValidation type="list" allowBlank="1" showInputMessage="1" showErrorMessage="1" sqref="G10:G17 O10:O18" xr:uid="{57069D80-5045-4176-9F2E-7EB65FB3CA3E}">
      <formula1>Wheat.list</formula1>
    </dataValidation>
    <dataValidation type="list" allowBlank="1" showInputMessage="1" showErrorMessage="1" sqref="F21:F28" xr:uid="{0010C29D-698A-4055-986F-CE7504B4C40D}">
      <formula1>MC.Flour</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7"/>
  </sheetPr>
  <dimension ref="A1:CS1048576"/>
  <sheetViews>
    <sheetView zoomScale="85" zoomScaleNormal="85" zoomScaleSheetLayoutView="85" workbookViewId="0">
      <pane xSplit="6" ySplit="7" topLeftCell="G26" activePane="bottomRight" state="frozen"/>
      <selection pane="topRight" activeCell="G1" sqref="G1"/>
      <selection pane="bottomLeft" activeCell="D8" sqref="D8"/>
      <selection pane="bottomRight" activeCell="F40" sqref="F40:Z47"/>
    </sheetView>
  </sheetViews>
  <sheetFormatPr defaultColWidth="9" defaultRowHeight="13" outlineLevelRow="1" x14ac:dyDescent="0.35"/>
  <cols>
    <col min="1" max="3" width="5.453125" style="34" hidden="1" customWidth="1"/>
    <col min="4" max="4" width="3.7265625" style="34" customWidth="1"/>
    <col min="5" max="5" width="6.81640625" style="35" customWidth="1"/>
    <col min="6" max="6" width="36.54296875" style="58" customWidth="1"/>
    <col min="7" max="7" width="12.26953125" style="58" customWidth="1"/>
    <col min="8" max="8" width="12" style="58" bestFit="1" customWidth="1"/>
    <col min="9" max="9" width="10.54296875" style="58" bestFit="1" customWidth="1"/>
    <col min="10" max="10" width="9" style="174" customWidth="1"/>
    <col min="11" max="11" width="11.453125" style="58" bestFit="1" customWidth="1"/>
    <col min="12" max="12" width="11.1796875" style="58" bestFit="1" customWidth="1"/>
    <col min="13" max="13" width="5" style="58" bestFit="1" customWidth="1"/>
    <col min="14" max="14" width="7.26953125" style="58" bestFit="1" customWidth="1"/>
    <col min="15" max="15" width="7.81640625" style="58" bestFit="1" customWidth="1"/>
    <col min="16" max="16" width="10" style="58" customWidth="1"/>
    <col min="17" max="18" width="10.54296875" style="58" bestFit="1" customWidth="1"/>
    <col min="19" max="19" width="11" style="34" bestFit="1" customWidth="1"/>
    <col min="20" max="20" width="11.7265625" style="34" bestFit="1" customWidth="1"/>
    <col min="21" max="21" width="10.81640625" style="34" customWidth="1"/>
    <col min="22" max="22" width="12.1796875" style="34" customWidth="1"/>
    <col min="23" max="23" width="7.54296875" style="34" customWidth="1"/>
    <col min="24" max="24" width="9.54296875" style="34" customWidth="1"/>
    <col min="25" max="25" width="7.7265625" style="34" bestFit="1" customWidth="1"/>
    <col min="26" max="26" width="9" style="34" customWidth="1"/>
    <col min="27" max="16384" width="9" style="58"/>
  </cols>
  <sheetData>
    <row r="1" spans="1:97" s="34" customFormat="1" x14ac:dyDescent="0.35">
      <c r="E1" s="416" t="s">
        <v>578</v>
      </c>
      <c r="F1" s="417"/>
      <c r="G1" s="417"/>
      <c r="H1" s="417"/>
      <c r="I1" s="417"/>
      <c r="J1" s="417"/>
      <c r="K1" s="417"/>
      <c r="L1" s="417"/>
      <c r="M1" s="417"/>
      <c r="N1" s="417"/>
      <c r="O1" s="417"/>
      <c r="P1" s="417"/>
      <c r="Q1" s="417"/>
      <c r="R1" s="417"/>
      <c r="S1" s="417"/>
      <c r="T1" s="417"/>
      <c r="U1" s="417"/>
      <c r="V1" s="417"/>
      <c r="W1" s="417"/>
      <c r="X1" s="417"/>
      <c r="Y1" s="417"/>
      <c r="Z1" s="418"/>
    </row>
    <row r="2" spans="1:97" s="34" customFormat="1" x14ac:dyDescent="0.35">
      <c r="E2" s="419"/>
      <c r="F2" s="420"/>
      <c r="G2" s="420"/>
      <c r="H2" s="420"/>
      <c r="I2" s="420"/>
      <c r="J2" s="420"/>
      <c r="K2" s="420"/>
      <c r="L2" s="420"/>
      <c r="M2" s="420"/>
      <c r="N2" s="420"/>
      <c r="O2" s="420"/>
      <c r="P2" s="420"/>
      <c r="Q2" s="420"/>
      <c r="R2" s="420"/>
      <c r="S2" s="420"/>
      <c r="T2" s="420"/>
      <c r="U2" s="420"/>
      <c r="V2" s="420"/>
      <c r="W2" s="420"/>
      <c r="X2" s="420"/>
      <c r="Y2" s="420"/>
      <c r="Z2" s="421"/>
    </row>
    <row r="3" spans="1:97" s="34" customFormat="1" x14ac:dyDescent="0.35">
      <c r="E3" s="419"/>
      <c r="F3" s="420"/>
      <c r="G3" s="420"/>
      <c r="H3" s="420"/>
      <c r="I3" s="420"/>
      <c r="J3" s="420"/>
      <c r="K3" s="420"/>
      <c r="L3" s="420"/>
      <c r="M3" s="420"/>
      <c r="N3" s="420"/>
      <c r="O3" s="420"/>
      <c r="P3" s="420"/>
      <c r="Q3" s="420"/>
      <c r="R3" s="420"/>
      <c r="S3" s="420"/>
      <c r="T3" s="420"/>
      <c r="U3" s="420"/>
      <c r="V3" s="420"/>
      <c r="W3" s="420"/>
      <c r="X3" s="420"/>
      <c r="Y3" s="420"/>
      <c r="Z3" s="421"/>
    </row>
    <row r="4" spans="1:97" s="34" customFormat="1" x14ac:dyDescent="0.35">
      <c r="E4" s="35"/>
      <c r="H4" s="36"/>
      <c r="I4" s="110"/>
      <c r="J4" s="38"/>
      <c r="L4" s="36"/>
      <c r="M4" s="36"/>
      <c r="N4" s="36"/>
      <c r="O4" s="36"/>
      <c r="P4" s="36"/>
      <c r="Q4" s="36"/>
      <c r="R4" s="36"/>
    </row>
    <row r="5" spans="1:97" s="34" customFormat="1" ht="13.5" customHeight="1" thickBot="1" x14ac:dyDescent="0.4">
      <c r="E5" s="422" t="s">
        <v>579</v>
      </c>
      <c r="F5" s="422"/>
      <c r="G5" s="403">
        <f>RESGEN!L3</f>
        <v>46303</v>
      </c>
      <c r="H5" s="403"/>
      <c r="I5" s="111" t="s">
        <v>122</v>
      </c>
      <c r="J5" s="173">
        <f>RESGEN!N3</f>
        <v>0</v>
      </c>
      <c r="Q5" s="38"/>
      <c r="R5" s="38"/>
      <c r="S5" s="38"/>
      <c r="T5" s="38"/>
      <c r="U5" s="38"/>
      <c r="V5" s="38"/>
      <c r="W5" s="38"/>
      <c r="X5" s="38"/>
      <c r="Y5" s="38"/>
      <c r="Z5" s="38"/>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c r="BP5" s="39"/>
      <c r="BQ5" s="39"/>
      <c r="BR5" s="39"/>
      <c r="BS5" s="39"/>
      <c r="BT5" s="39"/>
      <c r="BU5" s="39"/>
      <c r="BV5" s="39"/>
      <c r="BW5" s="39"/>
      <c r="BX5" s="39"/>
      <c r="BY5" s="39"/>
      <c r="BZ5" s="39"/>
      <c r="CA5" s="39"/>
      <c r="CB5" s="39"/>
      <c r="CC5" s="39"/>
      <c r="CD5" s="39"/>
      <c r="CE5" s="39"/>
      <c r="CF5" s="39"/>
      <c r="CS5" s="39"/>
    </row>
    <row r="6" spans="1:97" s="34" customFormat="1" ht="12.75" customHeight="1" x14ac:dyDescent="0.35">
      <c r="E6" s="35"/>
      <c r="J6" s="41"/>
      <c r="L6" s="36"/>
      <c r="M6" s="40"/>
      <c r="N6" s="40"/>
      <c r="O6" s="40"/>
      <c r="P6" s="40"/>
      <c r="Q6" s="40"/>
      <c r="R6" s="40"/>
    </row>
    <row r="7" spans="1:97" s="41" customFormat="1" ht="39" x14ac:dyDescent="0.35">
      <c r="E7" s="42" t="s">
        <v>221</v>
      </c>
      <c r="F7" s="43" t="s">
        <v>3</v>
      </c>
      <c r="G7" s="43" t="s">
        <v>405</v>
      </c>
      <c r="H7" s="43" t="s">
        <v>560</v>
      </c>
      <c r="I7" s="45" t="s">
        <v>580</v>
      </c>
      <c r="J7" s="45" t="s">
        <v>210</v>
      </c>
      <c r="K7" s="45" t="s">
        <v>581</v>
      </c>
      <c r="L7" s="45" t="s">
        <v>582</v>
      </c>
      <c r="M7" s="45" t="s">
        <v>575</v>
      </c>
      <c r="N7" s="45" t="s">
        <v>583</v>
      </c>
      <c r="O7" s="45" t="s">
        <v>584</v>
      </c>
      <c r="P7" s="44" t="s">
        <v>305</v>
      </c>
      <c r="Q7" s="46" t="s">
        <v>211</v>
      </c>
      <c r="R7" s="46" t="s">
        <v>217</v>
      </c>
      <c r="S7" s="46" t="s">
        <v>585</v>
      </c>
      <c r="T7" s="46" t="s">
        <v>215</v>
      </c>
      <c r="U7" s="45" t="s">
        <v>213</v>
      </c>
      <c r="V7" s="47" t="s">
        <v>218</v>
      </c>
      <c r="W7" s="47" t="s">
        <v>401</v>
      </c>
      <c r="X7" s="45" t="s">
        <v>586</v>
      </c>
      <c r="Y7" s="45" t="s">
        <v>587</v>
      </c>
      <c r="Z7" s="47" t="s">
        <v>588</v>
      </c>
    </row>
    <row r="8" spans="1:97" s="41" customFormat="1" ht="7.5" customHeight="1" x14ac:dyDescent="0.35">
      <c r="E8" s="48"/>
      <c r="F8" s="49"/>
      <c r="G8" s="49"/>
      <c r="H8" s="49"/>
      <c r="I8" s="52"/>
      <c r="J8" s="50"/>
      <c r="K8" s="50"/>
      <c r="L8" s="50"/>
      <c r="M8" s="50"/>
      <c r="N8" s="50"/>
      <c r="O8" s="50"/>
      <c r="P8" s="51"/>
      <c r="Q8" s="52"/>
      <c r="R8" s="52"/>
      <c r="S8" s="52"/>
      <c r="T8" s="52"/>
      <c r="U8" s="50"/>
      <c r="V8" s="53"/>
      <c r="W8" s="53"/>
      <c r="X8" s="50"/>
      <c r="Y8" s="50"/>
      <c r="Z8" s="54"/>
    </row>
    <row r="9" spans="1:97" s="34" customFormat="1" ht="15.5" outlineLevel="1" x14ac:dyDescent="0.35">
      <c r="A9" s="41" t="s">
        <v>125</v>
      </c>
      <c r="B9" s="41" t="s">
        <v>128</v>
      </c>
      <c r="C9" s="41" t="s">
        <v>130</v>
      </c>
      <c r="E9" s="426"/>
      <c r="F9" s="426"/>
      <c r="G9" s="426"/>
      <c r="H9" s="426"/>
      <c r="I9" s="426"/>
      <c r="J9" s="426"/>
      <c r="K9" s="426"/>
      <c r="L9" s="426"/>
      <c r="M9" s="426"/>
      <c r="N9" s="426"/>
      <c r="O9" s="426"/>
      <c r="P9" s="426"/>
      <c r="Q9" s="426"/>
      <c r="R9" s="426"/>
      <c r="S9" s="426"/>
      <c r="T9" s="426"/>
      <c r="U9" s="426"/>
      <c r="V9" s="426"/>
      <c r="W9" s="426"/>
      <c r="X9" s="426"/>
      <c r="Y9" s="426"/>
      <c r="Z9" s="426"/>
    </row>
    <row r="10" spans="1:97" s="34" customFormat="1" outlineLevel="1" x14ac:dyDescent="0.35">
      <c r="A10" s="55" t="s">
        <v>326</v>
      </c>
      <c r="B10" s="35">
        <v>0.58333333333333337</v>
      </c>
      <c r="C10" s="35">
        <v>0.91666666666666663</v>
      </c>
      <c r="E10" s="236" t="str">
        <f>IF(J$5="3RD",C10,IF(J$5="2ND",B10,A10))</f>
        <v>06:00</v>
      </c>
      <c r="F10" s="239"/>
      <c r="G10" s="253"/>
      <c r="H10" s="56"/>
      <c r="I10" s="240"/>
      <c r="J10" s="59"/>
      <c r="K10" s="241"/>
      <c r="L10" s="241"/>
      <c r="M10" s="241"/>
      <c r="N10" s="241"/>
      <c r="O10" s="241"/>
      <c r="P10" s="242"/>
      <c r="Q10" s="242"/>
      <c r="R10" s="242"/>
      <c r="S10" s="242"/>
      <c r="T10" s="242"/>
      <c r="U10" s="242"/>
      <c r="V10" s="242"/>
      <c r="W10" s="242"/>
      <c r="X10" s="242"/>
      <c r="Y10" s="241"/>
      <c r="Z10" s="241"/>
    </row>
    <row r="11" spans="1:97" s="34" customFormat="1" outlineLevel="1" x14ac:dyDescent="0.35">
      <c r="A11" s="55" t="s">
        <v>239</v>
      </c>
      <c r="B11" s="35">
        <v>0.625</v>
      </c>
      <c r="C11" s="35">
        <v>0.95833333333333337</v>
      </c>
      <c r="E11" s="237" t="str">
        <f t="shared" ref="E11:E17" si="0">IF(J$5="3RD",C11,IF(J$5="2ND",B11,A11))</f>
        <v>07:00</v>
      </c>
      <c r="F11" s="239"/>
      <c r="G11" s="253"/>
      <c r="H11" s="56"/>
      <c r="I11" s="240"/>
      <c r="J11" s="59"/>
      <c r="K11" s="241"/>
      <c r="L11" s="241"/>
      <c r="M11" s="241"/>
      <c r="N11" s="241"/>
      <c r="O11" s="241"/>
      <c r="P11" s="242"/>
      <c r="Q11" s="242"/>
      <c r="R11" s="242"/>
      <c r="S11" s="242"/>
      <c r="T11" s="242"/>
      <c r="U11" s="242"/>
      <c r="V11" s="242"/>
      <c r="W11" s="242"/>
      <c r="X11" s="242"/>
      <c r="Y11" s="241"/>
      <c r="Z11" s="241"/>
    </row>
    <row r="12" spans="1:97" s="34" customFormat="1" outlineLevel="1" x14ac:dyDescent="0.35">
      <c r="A12" s="55" t="s">
        <v>273</v>
      </c>
      <c r="B12" s="35">
        <v>0.66666666666666696</v>
      </c>
      <c r="C12" s="35">
        <v>1</v>
      </c>
      <c r="E12" s="237" t="str">
        <f t="shared" si="0"/>
        <v>08:00</v>
      </c>
      <c r="F12" s="239"/>
      <c r="G12" s="253"/>
      <c r="H12" s="56"/>
      <c r="I12" s="240"/>
      <c r="J12" s="59"/>
      <c r="K12" s="241"/>
      <c r="L12" s="241"/>
      <c r="M12" s="241"/>
      <c r="N12" s="241"/>
      <c r="O12" s="241"/>
      <c r="P12" s="242"/>
      <c r="Q12" s="242"/>
      <c r="R12" s="242"/>
      <c r="S12" s="242"/>
      <c r="T12" s="242"/>
      <c r="U12" s="242"/>
      <c r="V12" s="242"/>
      <c r="W12" s="242"/>
      <c r="X12" s="242"/>
      <c r="Y12" s="241"/>
      <c r="Z12" s="241"/>
    </row>
    <row r="13" spans="1:97" s="34" customFormat="1" outlineLevel="1" x14ac:dyDescent="0.35">
      <c r="A13" s="55" t="s">
        <v>240</v>
      </c>
      <c r="B13" s="35">
        <v>0.70833333333333304</v>
      </c>
      <c r="C13" s="35">
        <v>1.0416666666666701</v>
      </c>
      <c r="E13" s="237" t="str">
        <f t="shared" si="0"/>
        <v>09:00</v>
      </c>
      <c r="F13" s="239"/>
      <c r="G13" s="253"/>
      <c r="H13" s="56"/>
      <c r="I13" s="240"/>
      <c r="J13" s="59"/>
      <c r="K13" s="241"/>
      <c r="L13" s="241"/>
      <c r="M13" s="241"/>
      <c r="N13" s="241"/>
      <c r="O13" s="241"/>
      <c r="P13" s="242"/>
      <c r="Q13" s="242"/>
      <c r="R13" s="242"/>
      <c r="S13" s="242"/>
      <c r="T13" s="242"/>
      <c r="U13" s="242"/>
      <c r="V13" s="242"/>
      <c r="W13" s="242"/>
      <c r="X13" s="242"/>
      <c r="Y13" s="241"/>
      <c r="Z13" s="241"/>
    </row>
    <row r="14" spans="1:97" s="34" customFormat="1" outlineLevel="1" x14ac:dyDescent="0.35">
      <c r="A14" s="55" t="s">
        <v>327</v>
      </c>
      <c r="B14" s="35">
        <v>0.75</v>
      </c>
      <c r="C14" s="35">
        <v>1.0833333333333299</v>
      </c>
      <c r="E14" s="237" t="str">
        <f t="shared" si="0"/>
        <v>10:00</v>
      </c>
      <c r="F14" s="239"/>
      <c r="G14" s="253"/>
      <c r="H14" s="56"/>
      <c r="I14" s="240"/>
      <c r="J14" s="59"/>
      <c r="K14" s="241"/>
      <c r="L14" s="241"/>
      <c r="M14" s="241"/>
      <c r="N14" s="241"/>
      <c r="O14" s="241"/>
      <c r="P14" s="242"/>
      <c r="Q14" s="242"/>
      <c r="R14" s="242"/>
      <c r="S14" s="242"/>
      <c r="T14" s="242"/>
      <c r="U14" s="242"/>
      <c r="V14" s="242"/>
      <c r="W14" s="242"/>
      <c r="X14" s="242"/>
      <c r="Y14" s="241"/>
      <c r="Z14" s="241"/>
      <c r="AA14" s="195"/>
    </row>
    <row r="15" spans="1:97" s="34" customFormat="1" outlineLevel="1" x14ac:dyDescent="0.35">
      <c r="A15" s="55" t="s">
        <v>237</v>
      </c>
      <c r="B15" s="35">
        <v>0.79166666666666596</v>
      </c>
      <c r="C15" s="35">
        <v>1.125</v>
      </c>
      <c r="E15" s="237" t="str">
        <f t="shared" si="0"/>
        <v>11:00</v>
      </c>
      <c r="F15" s="239"/>
      <c r="G15" s="253"/>
      <c r="H15" s="56"/>
      <c r="I15" s="240"/>
      <c r="J15" s="59"/>
      <c r="K15" s="241"/>
      <c r="L15" s="241"/>
      <c r="M15" s="241"/>
      <c r="N15" s="241"/>
      <c r="O15" s="241"/>
      <c r="P15" s="242"/>
      <c r="Q15" s="242"/>
      <c r="R15" s="242"/>
      <c r="S15" s="242"/>
      <c r="T15" s="242"/>
      <c r="U15" s="242"/>
      <c r="V15" s="242"/>
      <c r="W15" s="242"/>
      <c r="X15" s="242"/>
      <c r="Y15" s="241"/>
      <c r="Z15" s="241"/>
    </row>
    <row r="16" spans="1:97" s="34" customFormat="1" outlineLevel="1" x14ac:dyDescent="0.35">
      <c r="A16" s="55" t="s">
        <v>328</v>
      </c>
      <c r="B16" s="35">
        <v>0.83333333333333304</v>
      </c>
      <c r="C16" s="35">
        <v>1.1666666666666701</v>
      </c>
      <c r="E16" s="237" t="str">
        <f t="shared" si="0"/>
        <v>12:00</v>
      </c>
      <c r="F16" s="239"/>
      <c r="G16" s="253"/>
      <c r="H16" s="56"/>
      <c r="I16" s="240"/>
      <c r="J16" s="59"/>
      <c r="K16" s="241"/>
      <c r="L16" s="241"/>
      <c r="M16" s="241"/>
      <c r="N16" s="241"/>
      <c r="O16" s="241"/>
      <c r="P16" s="242"/>
      <c r="Q16" s="242"/>
      <c r="R16" s="242"/>
      <c r="S16" s="242"/>
      <c r="T16" s="242"/>
      <c r="U16" s="242"/>
      <c r="V16" s="242"/>
      <c r="W16" s="242"/>
      <c r="X16" s="242"/>
      <c r="Y16" s="241"/>
      <c r="Z16" s="241"/>
    </row>
    <row r="17" spans="1:27" s="34" customFormat="1" outlineLevel="1" x14ac:dyDescent="0.35">
      <c r="A17" s="55" t="s">
        <v>238</v>
      </c>
      <c r="B17" s="35">
        <v>0.874999999999999</v>
      </c>
      <c r="C17" s="35">
        <v>1.2083333333333299</v>
      </c>
      <c r="E17" s="237" t="str">
        <f t="shared" si="0"/>
        <v>13:00</v>
      </c>
      <c r="F17" s="239"/>
      <c r="G17" s="253"/>
      <c r="H17" s="56"/>
      <c r="I17" s="240"/>
      <c r="J17" s="59"/>
      <c r="K17" s="241"/>
      <c r="L17" s="241"/>
      <c r="M17" s="241"/>
      <c r="N17" s="241"/>
      <c r="O17" s="241"/>
      <c r="P17" s="242"/>
      <c r="Q17" s="242"/>
      <c r="R17" s="242"/>
      <c r="S17" s="242"/>
      <c r="T17" s="242"/>
      <c r="U17" s="242"/>
      <c r="V17" s="242"/>
      <c r="W17" s="242"/>
      <c r="X17" s="242"/>
      <c r="Y17" s="241"/>
      <c r="Z17" s="241"/>
    </row>
    <row r="18" spans="1:27" s="34" customFormat="1" ht="6.75" customHeight="1" x14ac:dyDescent="0.35">
      <c r="A18" s="57"/>
      <c r="B18" s="35"/>
      <c r="C18" s="35"/>
      <c r="E18" s="65"/>
      <c r="F18" s="65"/>
      <c r="G18" s="65"/>
      <c r="H18" s="65"/>
      <c r="I18" s="65"/>
      <c r="J18" s="65">
        <v>8.9899999999999997E-3</v>
      </c>
      <c r="K18" s="65">
        <v>8.9999999999999993E-3</v>
      </c>
      <c r="L18" s="65">
        <v>8.9999999999999993E-3</v>
      </c>
      <c r="M18" s="65">
        <v>8.9999999999999993E-3</v>
      </c>
      <c r="N18" s="65"/>
      <c r="O18" s="65"/>
      <c r="P18" s="65">
        <v>10.73</v>
      </c>
      <c r="Q18" s="65"/>
      <c r="R18" s="65"/>
      <c r="S18" s="65"/>
      <c r="T18" s="65"/>
      <c r="U18" s="65"/>
      <c r="V18" s="65"/>
      <c r="W18" s="65"/>
      <c r="X18" s="65"/>
      <c r="Y18" s="65"/>
      <c r="Z18" s="65"/>
    </row>
    <row r="19" spans="1:27" s="34" customFormat="1" ht="15.5" outlineLevel="1" collapsed="1" x14ac:dyDescent="0.35">
      <c r="E19" s="423" t="s">
        <v>589</v>
      </c>
      <c r="F19" s="423"/>
      <c r="G19" s="423"/>
      <c r="H19" s="423"/>
      <c r="I19" s="423"/>
      <c r="J19" s="423"/>
      <c r="K19" s="423"/>
      <c r="L19" s="423"/>
      <c r="M19" s="423"/>
      <c r="N19" s="423"/>
      <c r="O19" s="423"/>
      <c r="P19" s="423"/>
      <c r="Q19" s="423"/>
      <c r="R19" s="423"/>
      <c r="S19" s="423"/>
      <c r="T19" s="423"/>
      <c r="U19" s="423"/>
      <c r="V19" s="423"/>
      <c r="W19" s="423"/>
      <c r="X19" s="423"/>
      <c r="Y19" s="423"/>
      <c r="Z19" s="423"/>
    </row>
    <row r="20" spans="1:27" s="34" customFormat="1" outlineLevel="1" x14ac:dyDescent="0.35">
      <c r="E20" s="237" t="str">
        <f t="shared" ref="E20:E27" si="1">IF(J$5="3RD",C10,IF(J$5="2ND",B10,A10))</f>
        <v>06:00</v>
      </c>
      <c r="F20" s="239"/>
      <c r="G20" s="253"/>
      <c r="H20" s="56"/>
      <c r="I20" s="240"/>
      <c r="J20" s="59"/>
      <c r="K20" s="241"/>
      <c r="L20" s="241"/>
      <c r="M20" s="241"/>
      <c r="N20" s="241"/>
      <c r="O20" s="241"/>
      <c r="P20" s="242"/>
      <c r="Q20" s="242"/>
      <c r="R20" s="242"/>
      <c r="S20" s="242"/>
      <c r="T20" s="242"/>
      <c r="U20" s="242"/>
      <c r="V20" s="242"/>
      <c r="W20" s="242"/>
      <c r="X20" s="242"/>
      <c r="Y20" s="241"/>
      <c r="Z20" s="241"/>
    </row>
    <row r="21" spans="1:27" s="34" customFormat="1" outlineLevel="1" x14ac:dyDescent="0.35">
      <c r="E21" s="237" t="str">
        <f t="shared" si="1"/>
        <v>07:00</v>
      </c>
      <c r="F21" s="239"/>
      <c r="G21" s="253"/>
      <c r="H21" s="56"/>
      <c r="I21" s="240"/>
      <c r="J21" s="59"/>
      <c r="K21" s="241"/>
      <c r="L21" s="241"/>
      <c r="M21" s="241"/>
      <c r="N21" s="241"/>
      <c r="O21" s="241"/>
      <c r="P21" s="242"/>
      <c r="Q21" s="242"/>
      <c r="R21" s="242"/>
      <c r="S21" s="242"/>
      <c r="T21" s="242"/>
      <c r="U21" s="242"/>
      <c r="V21" s="242"/>
      <c r="W21" s="242"/>
      <c r="X21" s="242"/>
      <c r="Y21" s="241"/>
      <c r="Z21" s="241"/>
    </row>
    <row r="22" spans="1:27" s="34" customFormat="1" outlineLevel="1" x14ac:dyDescent="0.35">
      <c r="E22" s="237" t="str">
        <f t="shared" si="1"/>
        <v>08:00</v>
      </c>
      <c r="F22" s="239"/>
      <c r="G22" s="253"/>
      <c r="H22" s="56"/>
      <c r="I22" s="240"/>
      <c r="J22" s="59"/>
      <c r="K22" s="241"/>
      <c r="L22" s="241"/>
      <c r="M22" s="241"/>
      <c r="N22" s="241"/>
      <c r="O22" s="241"/>
      <c r="P22" s="242"/>
      <c r="Q22" s="242"/>
      <c r="R22" s="242"/>
      <c r="S22" s="242"/>
      <c r="T22" s="242"/>
      <c r="U22" s="242"/>
      <c r="V22" s="242"/>
      <c r="W22" s="242"/>
      <c r="X22" s="242"/>
      <c r="Y22" s="241"/>
      <c r="Z22" s="241"/>
    </row>
    <row r="23" spans="1:27" s="34" customFormat="1" outlineLevel="1" x14ac:dyDescent="0.35">
      <c r="E23" s="237" t="str">
        <f t="shared" si="1"/>
        <v>09:00</v>
      </c>
      <c r="F23" s="239"/>
      <c r="G23" s="253"/>
      <c r="H23" s="56"/>
      <c r="I23" s="240"/>
      <c r="J23" s="59"/>
      <c r="K23" s="241"/>
      <c r="L23" s="241"/>
      <c r="M23" s="241"/>
      <c r="N23" s="241"/>
      <c r="O23" s="241"/>
      <c r="P23" s="242"/>
      <c r="Q23" s="242"/>
      <c r="R23" s="242"/>
      <c r="S23" s="242"/>
      <c r="T23" s="242"/>
      <c r="U23" s="242"/>
      <c r="V23" s="242"/>
      <c r="W23" s="242"/>
      <c r="X23" s="242"/>
      <c r="Y23" s="241"/>
      <c r="Z23" s="241"/>
    </row>
    <row r="24" spans="1:27" s="34" customFormat="1" outlineLevel="1" x14ac:dyDescent="0.35">
      <c r="E24" s="237" t="str">
        <f t="shared" si="1"/>
        <v>10:00</v>
      </c>
      <c r="F24" s="239"/>
      <c r="G24" s="253"/>
      <c r="H24" s="56"/>
      <c r="I24" s="240"/>
      <c r="J24" s="59"/>
      <c r="K24" s="241"/>
      <c r="L24" s="241"/>
      <c r="M24" s="241"/>
      <c r="N24" s="241"/>
      <c r="O24" s="241"/>
      <c r="P24" s="242"/>
      <c r="Q24" s="242"/>
      <c r="R24" s="242"/>
      <c r="S24" s="242"/>
      <c r="T24" s="242"/>
      <c r="U24" s="242"/>
      <c r="V24" s="242"/>
      <c r="W24" s="242"/>
      <c r="X24" s="242"/>
      <c r="Y24" s="241"/>
      <c r="Z24" s="241"/>
    </row>
    <row r="25" spans="1:27" s="34" customFormat="1" ht="12" customHeight="1" outlineLevel="1" x14ac:dyDescent="0.35">
      <c r="E25" s="237" t="str">
        <f t="shared" si="1"/>
        <v>11:00</v>
      </c>
      <c r="F25" s="239"/>
      <c r="G25" s="253"/>
      <c r="H25" s="56"/>
      <c r="I25" s="240"/>
      <c r="J25" s="59"/>
      <c r="K25" s="241"/>
      <c r="L25" s="241"/>
      <c r="M25" s="241"/>
      <c r="N25" s="241"/>
      <c r="O25" s="241"/>
      <c r="P25" s="242"/>
      <c r="Q25" s="242"/>
      <c r="R25" s="242"/>
      <c r="S25" s="242"/>
      <c r="T25" s="242"/>
      <c r="U25" s="242"/>
      <c r="V25" s="242"/>
      <c r="W25" s="242"/>
      <c r="X25" s="242"/>
      <c r="Y25" s="241"/>
      <c r="Z25" s="241"/>
    </row>
    <row r="26" spans="1:27" s="34" customFormat="1" outlineLevel="1" x14ac:dyDescent="0.35">
      <c r="E26" s="237" t="str">
        <f t="shared" si="1"/>
        <v>12:00</v>
      </c>
      <c r="F26" s="239"/>
      <c r="G26" s="253"/>
      <c r="H26" s="56"/>
      <c r="I26" s="240"/>
      <c r="J26" s="59"/>
      <c r="K26" s="241"/>
      <c r="L26" s="241"/>
      <c r="M26" s="241"/>
      <c r="N26" s="241"/>
      <c r="O26" s="241"/>
      <c r="P26" s="242"/>
      <c r="Q26" s="242"/>
      <c r="R26" s="242"/>
      <c r="S26" s="242"/>
      <c r="T26" s="242"/>
      <c r="U26" s="242"/>
      <c r="V26" s="242"/>
      <c r="W26" s="242"/>
      <c r="X26" s="242"/>
      <c r="Y26" s="241"/>
      <c r="Z26" s="241"/>
    </row>
    <row r="27" spans="1:27" s="34" customFormat="1" outlineLevel="1" x14ac:dyDescent="0.35">
      <c r="E27" s="237" t="str">
        <f t="shared" si="1"/>
        <v>13:00</v>
      </c>
      <c r="F27" s="239"/>
      <c r="G27" s="253"/>
      <c r="H27" s="56"/>
      <c r="I27" s="240"/>
      <c r="J27" s="59"/>
      <c r="K27" s="241"/>
      <c r="L27" s="241"/>
      <c r="M27" s="241"/>
      <c r="N27" s="241"/>
      <c r="O27" s="241"/>
      <c r="P27" s="242"/>
      <c r="Q27" s="242"/>
      <c r="R27" s="242"/>
      <c r="S27" s="242"/>
      <c r="T27" s="242"/>
      <c r="U27" s="242"/>
      <c r="V27" s="242"/>
      <c r="W27" s="242"/>
      <c r="X27" s="242"/>
      <c r="Y27" s="241"/>
      <c r="Z27" s="241"/>
    </row>
    <row r="28" spans="1:27" s="34" customFormat="1" ht="7.5" customHeight="1" x14ac:dyDescent="0.35">
      <c r="E28" s="65"/>
      <c r="F28" s="65"/>
      <c r="G28" s="65"/>
      <c r="H28" s="65"/>
      <c r="I28" s="65"/>
      <c r="J28" s="65"/>
      <c r="K28" s="65"/>
      <c r="L28" s="65"/>
      <c r="M28" s="65"/>
      <c r="N28" s="65"/>
      <c r="O28" s="65"/>
      <c r="P28" s="65">
        <v>7</v>
      </c>
      <c r="Q28" s="65"/>
      <c r="R28" s="65"/>
      <c r="S28" s="65"/>
      <c r="T28" s="65"/>
      <c r="U28" s="65"/>
      <c r="V28" s="65"/>
      <c r="W28" s="65"/>
      <c r="X28" s="65"/>
      <c r="Y28" s="65"/>
      <c r="Z28" s="65"/>
    </row>
    <row r="29" spans="1:27" s="34" customFormat="1" ht="15.5" outlineLevel="1" x14ac:dyDescent="0.35">
      <c r="D29" s="34" t="s">
        <v>590</v>
      </c>
      <c r="E29" s="424" t="s">
        <v>591</v>
      </c>
      <c r="F29" s="424"/>
      <c r="G29" s="424"/>
      <c r="H29" s="424"/>
      <c r="I29" s="424"/>
      <c r="J29" s="424"/>
      <c r="K29" s="424"/>
      <c r="L29" s="424"/>
      <c r="M29" s="424"/>
      <c r="N29" s="424"/>
      <c r="O29" s="424"/>
      <c r="P29" s="424"/>
      <c r="Q29" s="424"/>
      <c r="R29" s="424"/>
      <c r="S29" s="424"/>
      <c r="T29" s="424"/>
      <c r="U29" s="424"/>
      <c r="V29" s="424"/>
      <c r="W29" s="424"/>
      <c r="X29" s="424"/>
      <c r="Y29" s="424"/>
      <c r="Z29" s="425"/>
    </row>
    <row r="30" spans="1:27" s="34" customFormat="1" outlineLevel="1" x14ac:dyDescent="0.35">
      <c r="E30" s="237" t="str">
        <f>IF(J$5="3RD",C10,IF(J$5="2ND",B10,A10))</f>
        <v>06:00</v>
      </c>
      <c r="F30" s="239"/>
      <c r="G30" s="253"/>
      <c r="H30" s="56"/>
      <c r="I30" s="240"/>
      <c r="J30" s="59"/>
      <c r="K30" s="241"/>
      <c r="L30" s="241"/>
      <c r="M30" s="241"/>
      <c r="N30" s="241"/>
      <c r="O30" s="241"/>
      <c r="P30" s="242"/>
      <c r="Q30" s="242"/>
      <c r="R30" s="242"/>
      <c r="S30" s="242"/>
      <c r="T30" s="242"/>
      <c r="U30" s="242"/>
      <c r="V30" s="242"/>
      <c r="W30" s="242"/>
      <c r="X30" s="242"/>
      <c r="Y30" s="241"/>
      <c r="Z30" s="241"/>
      <c r="AA30" s="257"/>
    </row>
    <row r="31" spans="1:27" s="34" customFormat="1" outlineLevel="1" x14ac:dyDescent="0.35">
      <c r="E31" s="237" t="str">
        <f t="shared" ref="E31:E34" si="2">IF(J$5="3RD",C11,IF(J$5="2ND",B11,A11))</f>
        <v>07:00</v>
      </c>
      <c r="F31" s="239"/>
      <c r="G31" s="253"/>
      <c r="H31" s="56"/>
      <c r="I31" s="240"/>
      <c r="J31" s="59"/>
      <c r="K31" s="241"/>
      <c r="L31" s="241"/>
      <c r="M31" s="241"/>
      <c r="N31" s="241"/>
      <c r="O31" s="241"/>
      <c r="P31" s="242"/>
      <c r="Q31" s="242"/>
      <c r="R31" s="242"/>
      <c r="S31" s="242"/>
      <c r="T31" s="242"/>
      <c r="U31" s="242"/>
      <c r="V31" s="242"/>
      <c r="W31" s="242"/>
      <c r="X31" s="242"/>
      <c r="Y31" s="241"/>
      <c r="Z31" s="241"/>
      <c r="AA31" s="257"/>
    </row>
    <row r="32" spans="1:27" s="34" customFormat="1" outlineLevel="1" x14ac:dyDescent="0.35">
      <c r="E32" s="237" t="str">
        <f t="shared" si="2"/>
        <v>08:00</v>
      </c>
      <c r="F32" s="239"/>
      <c r="G32" s="253"/>
      <c r="H32" s="56"/>
      <c r="I32" s="240"/>
      <c r="J32" s="59"/>
      <c r="K32" s="241"/>
      <c r="L32" s="241"/>
      <c r="M32" s="241"/>
      <c r="N32" s="241"/>
      <c r="O32" s="241"/>
      <c r="P32" s="242"/>
      <c r="Q32" s="242"/>
      <c r="R32" s="242"/>
      <c r="S32" s="242"/>
      <c r="T32" s="242"/>
      <c r="U32" s="242"/>
      <c r="V32" s="242"/>
      <c r="W32" s="242"/>
      <c r="X32" s="242"/>
      <c r="Y32" s="241"/>
      <c r="Z32" s="241"/>
      <c r="AA32" s="257"/>
    </row>
    <row r="33" spans="5:27" s="34" customFormat="1" outlineLevel="1" x14ac:dyDescent="0.35">
      <c r="E33" s="237" t="str">
        <f t="shared" si="2"/>
        <v>09:00</v>
      </c>
      <c r="F33" s="239"/>
      <c r="G33" s="253"/>
      <c r="H33" s="56"/>
      <c r="I33" s="240"/>
      <c r="J33" s="59"/>
      <c r="K33" s="241"/>
      <c r="L33" s="241"/>
      <c r="M33" s="241"/>
      <c r="N33" s="241"/>
      <c r="O33" s="241"/>
      <c r="P33" s="242"/>
      <c r="Q33" s="242"/>
      <c r="R33" s="242"/>
      <c r="S33" s="242"/>
      <c r="T33" s="242"/>
      <c r="U33" s="242"/>
      <c r="V33" s="242"/>
      <c r="W33" s="242"/>
      <c r="X33" s="242"/>
      <c r="Y33" s="241"/>
      <c r="Z33" s="241"/>
      <c r="AA33" s="257"/>
    </row>
    <row r="34" spans="5:27" s="34" customFormat="1" outlineLevel="1" x14ac:dyDescent="0.35">
      <c r="E34" s="237" t="str">
        <f t="shared" si="2"/>
        <v>10:00</v>
      </c>
      <c r="F34" s="239"/>
      <c r="G34" s="253"/>
      <c r="H34" s="56"/>
      <c r="I34" s="240"/>
      <c r="J34" s="59"/>
      <c r="K34" s="241"/>
      <c r="L34" s="241"/>
      <c r="M34" s="241"/>
      <c r="N34" s="241"/>
      <c r="O34" s="241"/>
      <c r="P34" s="242"/>
      <c r="Q34" s="242"/>
      <c r="R34" s="242"/>
      <c r="S34" s="242"/>
      <c r="T34" s="242"/>
      <c r="U34" s="242"/>
      <c r="V34" s="242"/>
      <c r="W34" s="242"/>
      <c r="X34" s="242"/>
      <c r="Y34" s="241"/>
      <c r="Z34" s="241"/>
      <c r="AA34" s="257"/>
    </row>
    <row r="35" spans="5:27" s="34" customFormat="1" outlineLevel="1" x14ac:dyDescent="0.35">
      <c r="E35" s="237" t="str">
        <f>IF(J$5="3RD",C15,IF(J$5="2ND",B15,A15))</f>
        <v>11:00</v>
      </c>
      <c r="F35" s="239"/>
      <c r="G35" s="253"/>
      <c r="H35" s="56"/>
      <c r="I35" s="240"/>
      <c r="J35" s="59"/>
      <c r="K35" s="241"/>
      <c r="L35" s="241"/>
      <c r="M35" s="241"/>
      <c r="N35" s="241"/>
      <c r="O35" s="241"/>
      <c r="P35" s="242"/>
      <c r="Q35" s="242"/>
      <c r="R35" s="242"/>
      <c r="S35" s="242"/>
      <c r="T35" s="242"/>
      <c r="U35" s="242"/>
      <c r="V35" s="242"/>
      <c r="W35" s="242"/>
      <c r="X35" s="242"/>
      <c r="Y35" s="241"/>
      <c r="Z35" s="241"/>
      <c r="AA35" s="257"/>
    </row>
    <row r="36" spans="5:27" s="34" customFormat="1" outlineLevel="1" x14ac:dyDescent="0.35">
      <c r="E36" s="237" t="str">
        <f t="shared" ref="E36:E37" si="3">IF(J$5="3RD",C16,IF(J$5="2ND",B16,A16))</f>
        <v>12:00</v>
      </c>
      <c r="F36" s="239"/>
      <c r="G36" s="253"/>
      <c r="H36" s="56"/>
      <c r="I36" s="240"/>
      <c r="J36" s="59"/>
      <c r="K36" s="241"/>
      <c r="L36" s="241"/>
      <c r="M36" s="241"/>
      <c r="N36" s="241"/>
      <c r="O36" s="241"/>
      <c r="P36" s="242"/>
      <c r="Q36" s="242"/>
      <c r="R36" s="242"/>
      <c r="S36" s="242"/>
      <c r="T36" s="242"/>
      <c r="U36" s="242"/>
      <c r="V36" s="242"/>
      <c r="W36" s="242"/>
      <c r="X36" s="242"/>
      <c r="Y36" s="241"/>
      <c r="Z36" s="241"/>
      <c r="AA36" s="257"/>
    </row>
    <row r="37" spans="5:27" s="34" customFormat="1" outlineLevel="1" x14ac:dyDescent="0.35">
      <c r="E37" s="237" t="str">
        <f t="shared" si="3"/>
        <v>13:00</v>
      </c>
      <c r="F37" s="239"/>
      <c r="G37" s="253"/>
      <c r="H37" s="56"/>
      <c r="I37" s="240"/>
      <c r="J37" s="59"/>
      <c r="K37" s="241"/>
      <c r="L37" s="241"/>
      <c r="M37" s="241"/>
      <c r="N37" s="241"/>
      <c r="O37" s="241"/>
      <c r="P37" s="242"/>
      <c r="Q37" s="242"/>
      <c r="R37" s="242"/>
      <c r="S37" s="242"/>
      <c r="T37" s="242"/>
      <c r="U37" s="242"/>
      <c r="V37" s="242"/>
      <c r="W37" s="242"/>
      <c r="X37" s="242"/>
      <c r="Y37" s="241"/>
      <c r="Z37" s="241"/>
    </row>
    <row r="38" spans="5:27" s="34" customFormat="1" ht="7.5" customHeight="1" x14ac:dyDescent="0.35">
      <c r="E38" s="65"/>
      <c r="F38" s="65"/>
      <c r="G38" s="65"/>
      <c r="H38" s="65"/>
      <c r="I38" s="65"/>
      <c r="J38" s="65"/>
      <c r="K38" s="108"/>
      <c r="L38" s="109"/>
      <c r="M38" s="65"/>
      <c r="N38" s="65"/>
      <c r="O38" s="65"/>
      <c r="P38" s="65"/>
      <c r="Q38" s="65"/>
      <c r="R38" s="65"/>
      <c r="S38" s="65"/>
      <c r="T38" s="65"/>
      <c r="U38" s="65"/>
      <c r="V38" s="65"/>
      <c r="W38" s="65"/>
      <c r="X38" s="65"/>
      <c r="Y38" s="65"/>
      <c r="Z38" s="65"/>
    </row>
    <row r="39" spans="5:27" s="34" customFormat="1" ht="15.5" x14ac:dyDescent="0.35">
      <c r="E39" s="415" t="s">
        <v>592</v>
      </c>
      <c r="F39" s="415"/>
      <c r="G39" s="415"/>
      <c r="H39" s="415"/>
      <c r="I39" s="415"/>
      <c r="J39" s="415"/>
      <c r="K39" s="415"/>
      <c r="L39" s="415"/>
      <c r="M39" s="415"/>
      <c r="N39" s="415"/>
      <c r="O39" s="415"/>
      <c r="P39" s="415"/>
      <c r="Q39" s="415"/>
      <c r="R39" s="415"/>
      <c r="S39" s="415"/>
      <c r="T39" s="415"/>
      <c r="U39" s="415"/>
      <c r="V39" s="415"/>
      <c r="W39" s="415"/>
      <c r="X39" s="415"/>
      <c r="Y39" s="415"/>
      <c r="Z39" s="415"/>
    </row>
    <row r="40" spans="5:27" s="34" customFormat="1" x14ac:dyDescent="0.35">
      <c r="E40" s="237" t="str">
        <f>IF(J$5="3RD",C10,IF(J$5="2ND",B10,A10))</f>
        <v>06:00</v>
      </c>
      <c r="F40" s="239"/>
      <c r="G40" s="253"/>
      <c r="H40" s="56"/>
      <c r="I40" s="240"/>
      <c r="J40" s="59"/>
      <c r="K40" s="241"/>
      <c r="L40" s="241"/>
      <c r="M40" s="241"/>
      <c r="N40" s="241"/>
      <c r="O40" s="241"/>
      <c r="P40" s="242"/>
      <c r="Q40" s="242"/>
      <c r="R40" s="242"/>
      <c r="S40" s="242"/>
      <c r="T40" s="242"/>
      <c r="U40" s="242"/>
      <c r="V40" s="242"/>
      <c r="W40" s="242"/>
      <c r="X40" s="242"/>
      <c r="Y40" s="241"/>
      <c r="Z40" s="241"/>
    </row>
    <row r="41" spans="5:27" s="34" customFormat="1" x14ac:dyDescent="0.35">
      <c r="E41" s="237" t="str">
        <f>IF(J$5="3RD",C11,IF(J$5="2ND",B11,A11))</f>
        <v>07:00</v>
      </c>
      <c r="F41" s="239"/>
      <c r="G41" s="253"/>
      <c r="H41" s="56"/>
      <c r="I41" s="240"/>
      <c r="J41" s="59"/>
      <c r="K41" s="241"/>
      <c r="L41" s="241"/>
      <c r="M41" s="241"/>
      <c r="N41" s="241"/>
      <c r="O41" s="241"/>
      <c r="P41" s="242"/>
      <c r="Q41" s="242"/>
      <c r="R41" s="242"/>
      <c r="S41" s="242"/>
      <c r="T41" s="242"/>
      <c r="U41" s="242"/>
      <c r="V41" s="242"/>
      <c r="W41" s="242"/>
      <c r="X41" s="242"/>
      <c r="Y41" s="241"/>
      <c r="Z41" s="241"/>
    </row>
    <row r="42" spans="5:27" s="34" customFormat="1" x14ac:dyDescent="0.35">
      <c r="E42" s="237" t="str">
        <f t="shared" ref="E42:E46" si="4">IF(J$5="3RD",C12,IF(J$5="2ND",B12,A12))</f>
        <v>08:00</v>
      </c>
      <c r="F42" s="239"/>
      <c r="G42" s="253"/>
      <c r="H42" s="56"/>
      <c r="I42" s="240"/>
      <c r="J42" s="59"/>
      <c r="K42" s="241"/>
      <c r="L42" s="241"/>
      <c r="M42" s="241"/>
      <c r="N42" s="241"/>
      <c r="O42" s="241"/>
      <c r="P42" s="242"/>
      <c r="Q42" s="242"/>
      <c r="R42" s="242"/>
      <c r="S42" s="242"/>
      <c r="T42" s="242"/>
      <c r="U42" s="242"/>
      <c r="V42" s="242"/>
      <c r="W42" s="242"/>
      <c r="X42" s="242"/>
      <c r="Y42" s="241"/>
      <c r="Z42" s="241"/>
    </row>
    <row r="43" spans="5:27" s="34" customFormat="1" x14ac:dyDescent="0.35">
      <c r="E43" s="237" t="str">
        <f t="shared" si="4"/>
        <v>09:00</v>
      </c>
      <c r="F43" s="239"/>
      <c r="G43" s="253"/>
      <c r="H43" s="56"/>
      <c r="I43" s="240"/>
      <c r="J43" s="59"/>
      <c r="K43" s="241"/>
      <c r="L43" s="241"/>
      <c r="M43" s="241"/>
      <c r="N43" s="241"/>
      <c r="O43" s="241"/>
      <c r="P43" s="242"/>
      <c r="Q43" s="242"/>
      <c r="R43" s="242"/>
      <c r="S43" s="242"/>
      <c r="T43" s="242"/>
      <c r="U43" s="242"/>
      <c r="V43" s="242"/>
      <c r="W43" s="242"/>
      <c r="X43" s="242"/>
      <c r="Y43" s="241"/>
      <c r="Z43" s="241"/>
    </row>
    <row r="44" spans="5:27" s="34" customFormat="1" x14ac:dyDescent="0.35">
      <c r="E44" s="237" t="str">
        <f t="shared" si="4"/>
        <v>10:00</v>
      </c>
      <c r="F44" s="239"/>
      <c r="G44" s="253"/>
      <c r="H44" s="56"/>
      <c r="I44" s="240"/>
      <c r="J44" s="59"/>
      <c r="K44" s="241"/>
      <c r="L44" s="241"/>
      <c r="M44" s="241"/>
      <c r="N44" s="241"/>
      <c r="O44" s="241"/>
      <c r="P44" s="242"/>
      <c r="Q44" s="242"/>
      <c r="R44" s="242"/>
      <c r="S44" s="242"/>
      <c r="T44" s="242"/>
      <c r="U44" s="242"/>
      <c r="V44" s="242"/>
      <c r="W44" s="242"/>
      <c r="X44" s="242"/>
      <c r="Y44" s="241"/>
      <c r="Z44" s="241"/>
    </row>
    <row r="45" spans="5:27" s="34" customFormat="1" x14ac:dyDescent="0.35">
      <c r="E45" s="237" t="str">
        <f t="shared" si="4"/>
        <v>11:00</v>
      </c>
      <c r="F45" s="239"/>
      <c r="G45" s="253"/>
      <c r="H45" s="56"/>
      <c r="I45" s="240"/>
      <c r="J45" s="59"/>
      <c r="K45" s="241"/>
      <c r="L45" s="241"/>
      <c r="M45" s="241"/>
      <c r="N45" s="241"/>
      <c r="O45" s="241"/>
      <c r="P45" s="242"/>
      <c r="Q45" s="242"/>
      <c r="R45" s="242"/>
      <c r="S45" s="242"/>
      <c r="T45" s="242"/>
      <c r="U45" s="242"/>
      <c r="V45" s="242"/>
      <c r="W45" s="242"/>
      <c r="X45" s="242"/>
      <c r="Y45" s="241"/>
      <c r="Z45" s="241"/>
    </row>
    <row r="46" spans="5:27" s="34" customFormat="1" x14ac:dyDescent="0.35">
      <c r="E46" s="237" t="str">
        <f t="shared" si="4"/>
        <v>12:00</v>
      </c>
      <c r="F46" s="239"/>
      <c r="G46" s="253"/>
      <c r="H46" s="56"/>
      <c r="I46" s="240"/>
      <c r="J46" s="59"/>
      <c r="K46" s="241"/>
      <c r="L46" s="241"/>
      <c r="M46" s="241"/>
      <c r="N46" s="241"/>
      <c r="O46" s="241"/>
      <c r="P46" s="242"/>
      <c r="Q46" s="242"/>
      <c r="R46" s="242"/>
      <c r="S46" s="242"/>
      <c r="T46" s="242"/>
      <c r="U46" s="242"/>
      <c r="V46" s="242"/>
      <c r="W46" s="242"/>
      <c r="X46" s="242"/>
      <c r="Y46" s="241"/>
      <c r="Z46" s="241"/>
    </row>
    <row r="47" spans="5:27" s="34" customFormat="1" x14ac:dyDescent="0.35">
      <c r="E47" s="237" t="str">
        <f>IF(J$5="3RD",C17,IF(J$5="2ND",B17,A17))</f>
        <v>13:00</v>
      </c>
      <c r="F47" s="239"/>
      <c r="G47" s="253"/>
      <c r="H47" s="56"/>
      <c r="I47" s="240"/>
      <c r="J47" s="238"/>
      <c r="K47" s="241"/>
      <c r="L47" s="241"/>
      <c r="M47" s="241"/>
      <c r="N47" s="241"/>
      <c r="O47" s="241"/>
      <c r="P47" s="242"/>
      <c r="Q47" s="242"/>
      <c r="R47" s="242"/>
      <c r="S47" s="242"/>
      <c r="T47" s="242"/>
      <c r="U47" s="242"/>
      <c r="V47" s="242"/>
      <c r="W47" s="242"/>
      <c r="X47" s="242"/>
      <c r="Y47" s="241"/>
      <c r="Z47" s="241"/>
    </row>
    <row r="48" spans="5:27" s="34" customFormat="1" x14ac:dyDescent="0.35">
      <c r="E48" s="35"/>
      <c r="J48" s="41"/>
    </row>
    <row r="49" spans="5:10" s="34" customFormat="1" x14ac:dyDescent="0.35">
      <c r="E49" s="35"/>
      <c r="J49" s="41"/>
    </row>
    <row r="50" spans="5:10" s="34" customFormat="1" x14ac:dyDescent="0.35">
      <c r="E50" s="35"/>
      <c r="J50" s="41"/>
    </row>
    <row r="51" spans="5:10" s="34" customFormat="1" x14ac:dyDescent="0.35">
      <c r="E51" s="35"/>
      <c r="J51" s="41"/>
    </row>
    <row r="52" spans="5:10" s="34" customFormat="1" x14ac:dyDescent="0.35">
      <c r="E52" s="35"/>
      <c r="J52" s="41"/>
    </row>
    <row r="53" spans="5:10" s="34" customFormat="1" x14ac:dyDescent="0.35">
      <c r="E53" s="35"/>
      <c r="J53" s="41"/>
    </row>
    <row r="54" spans="5:10" s="34" customFormat="1" x14ac:dyDescent="0.35">
      <c r="E54" s="35"/>
      <c r="J54" s="41"/>
    </row>
    <row r="55" spans="5:10" s="34" customFormat="1" x14ac:dyDescent="0.35">
      <c r="E55" s="35"/>
      <c r="J55" s="41"/>
    </row>
    <row r="56" spans="5:10" s="34" customFormat="1" x14ac:dyDescent="0.35">
      <c r="E56" s="35"/>
      <c r="J56" s="41"/>
    </row>
    <row r="57" spans="5:10" s="34" customFormat="1" x14ac:dyDescent="0.35">
      <c r="E57" s="35"/>
      <c r="J57" s="41"/>
    </row>
    <row r="58" spans="5:10" s="34" customFormat="1" x14ac:dyDescent="0.35">
      <c r="E58" s="35"/>
      <c r="J58" s="41"/>
    </row>
    <row r="59" spans="5:10" s="34" customFormat="1" x14ac:dyDescent="0.35">
      <c r="E59" s="35"/>
      <c r="J59" s="41"/>
    </row>
    <row r="60" spans="5:10" s="34" customFormat="1" x14ac:dyDescent="0.35">
      <c r="E60" s="35"/>
      <c r="J60" s="41"/>
    </row>
    <row r="61" spans="5:10" s="34" customFormat="1" x14ac:dyDescent="0.35">
      <c r="E61" s="35"/>
      <c r="J61" s="41"/>
    </row>
    <row r="62" spans="5:10" s="34" customFormat="1" x14ac:dyDescent="0.35">
      <c r="E62" s="35"/>
      <c r="J62" s="41"/>
    </row>
    <row r="63" spans="5:10" s="34" customFormat="1" x14ac:dyDescent="0.35">
      <c r="E63" s="35"/>
      <c r="J63" s="41"/>
    </row>
    <row r="64" spans="5:10" s="34" customFormat="1" x14ac:dyDescent="0.35">
      <c r="E64" s="35"/>
      <c r="J64" s="41"/>
    </row>
    <row r="65" spans="5:10" s="34" customFormat="1" x14ac:dyDescent="0.35">
      <c r="E65" s="35"/>
      <c r="J65" s="41"/>
    </row>
    <row r="66" spans="5:10" s="34" customFormat="1" x14ac:dyDescent="0.35">
      <c r="E66" s="35"/>
      <c r="J66" s="41"/>
    </row>
    <row r="67" spans="5:10" s="34" customFormat="1" x14ac:dyDescent="0.35">
      <c r="E67" s="35"/>
      <c r="J67" s="41"/>
    </row>
    <row r="68" spans="5:10" s="34" customFormat="1" x14ac:dyDescent="0.35">
      <c r="E68" s="35"/>
      <c r="J68" s="41"/>
    </row>
    <row r="69" spans="5:10" s="34" customFormat="1" x14ac:dyDescent="0.35">
      <c r="E69" s="35"/>
      <c r="J69" s="41"/>
    </row>
    <row r="70" spans="5:10" s="34" customFormat="1" x14ac:dyDescent="0.35">
      <c r="E70" s="35"/>
      <c r="J70" s="41"/>
    </row>
    <row r="71" spans="5:10" s="34" customFormat="1" x14ac:dyDescent="0.35">
      <c r="E71" s="35"/>
      <c r="J71" s="41"/>
    </row>
    <row r="72" spans="5:10" s="34" customFormat="1" x14ac:dyDescent="0.35">
      <c r="E72" s="35"/>
      <c r="J72" s="41"/>
    </row>
    <row r="73" spans="5:10" s="34" customFormat="1" x14ac:dyDescent="0.35">
      <c r="E73" s="35"/>
      <c r="J73" s="41"/>
    </row>
    <row r="74" spans="5:10" s="34" customFormat="1" x14ac:dyDescent="0.35">
      <c r="E74" s="35"/>
      <c r="J74" s="41"/>
    </row>
    <row r="75" spans="5:10" s="34" customFormat="1" x14ac:dyDescent="0.35">
      <c r="E75" s="35"/>
      <c r="J75" s="41"/>
    </row>
    <row r="76" spans="5:10" s="34" customFormat="1" x14ac:dyDescent="0.35">
      <c r="E76" s="35"/>
      <c r="J76" s="41"/>
    </row>
    <row r="77" spans="5:10" s="34" customFormat="1" x14ac:dyDescent="0.35">
      <c r="E77" s="35"/>
      <c r="J77" s="41"/>
    </row>
    <row r="78" spans="5:10" s="34" customFormat="1" x14ac:dyDescent="0.35">
      <c r="E78" s="35"/>
      <c r="J78" s="41"/>
    </row>
    <row r="79" spans="5:10" s="34" customFormat="1" x14ac:dyDescent="0.35">
      <c r="E79" s="35"/>
      <c r="J79" s="41"/>
    </row>
    <row r="80" spans="5:10" s="34" customFormat="1" x14ac:dyDescent="0.35">
      <c r="E80" s="35"/>
      <c r="J80" s="41"/>
    </row>
    <row r="81" spans="5:10" s="34" customFormat="1" x14ac:dyDescent="0.35">
      <c r="E81" s="35"/>
      <c r="J81" s="41"/>
    </row>
    <row r="82" spans="5:10" s="34" customFormat="1" x14ac:dyDescent="0.35">
      <c r="E82" s="35"/>
      <c r="J82" s="41"/>
    </row>
    <row r="83" spans="5:10" s="34" customFormat="1" x14ac:dyDescent="0.35">
      <c r="E83" s="35"/>
      <c r="J83" s="41"/>
    </row>
    <row r="84" spans="5:10" s="34" customFormat="1" x14ac:dyDescent="0.35">
      <c r="E84" s="35"/>
      <c r="J84" s="41"/>
    </row>
    <row r="85" spans="5:10" s="34" customFormat="1" x14ac:dyDescent="0.35">
      <c r="E85" s="35"/>
      <c r="J85" s="41"/>
    </row>
    <row r="86" spans="5:10" s="34" customFormat="1" x14ac:dyDescent="0.35">
      <c r="E86" s="35"/>
      <c r="J86" s="41"/>
    </row>
    <row r="87" spans="5:10" s="34" customFormat="1" x14ac:dyDescent="0.35">
      <c r="E87" s="35"/>
      <c r="J87" s="41"/>
    </row>
    <row r="88" spans="5:10" s="34" customFormat="1" x14ac:dyDescent="0.35">
      <c r="E88" s="35"/>
      <c r="J88" s="41"/>
    </row>
    <row r="89" spans="5:10" s="34" customFormat="1" x14ac:dyDescent="0.35">
      <c r="E89" s="35"/>
      <c r="J89" s="41"/>
    </row>
    <row r="90" spans="5:10" s="34" customFormat="1" x14ac:dyDescent="0.35">
      <c r="E90" s="35"/>
      <c r="J90" s="41"/>
    </row>
    <row r="91" spans="5:10" s="34" customFormat="1" x14ac:dyDescent="0.35">
      <c r="E91" s="35"/>
      <c r="J91" s="41"/>
    </row>
    <row r="92" spans="5:10" s="34" customFormat="1" x14ac:dyDescent="0.35">
      <c r="E92" s="35"/>
      <c r="J92" s="41"/>
    </row>
    <row r="93" spans="5:10" s="34" customFormat="1" x14ac:dyDescent="0.35">
      <c r="E93" s="35"/>
      <c r="J93" s="41"/>
    </row>
    <row r="94" spans="5:10" s="34" customFormat="1" x14ac:dyDescent="0.35">
      <c r="E94" s="35"/>
      <c r="J94" s="41"/>
    </row>
    <row r="95" spans="5:10" s="34" customFormat="1" x14ac:dyDescent="0.35">
      <c r="E95" s="35"/>
      <c r="J95" s="41"/>
    </row>
    <row r="96" spans="5:10" s="34" customFormat="1" x14ac:dyDescent="0.35">
      <c r="E96" s="35"/>
      <c r="J96" s="41"/>
    </row>
    <row r="97" spans="5:10" s="34" customFormat="1" x14ac:dyDescent="0.35">
      <c r="E97" s="35"/>
      <c r="J97" s="41"/>
    </row>
    <row r="98" spans="5:10" s="34" customFormat="1" x14ac:dyDescent="0.35">
      <c r="E98" s="35"/>
      <c r="J98" s="41"/>
    </row>
    <row r="99" spans="5:10" s="34" customFormat="1" x14ac:dyDescent="0.35">
      <c r="E99" s="35"/>
      <c r="J99" s="41"/>
    </row>
    <row r="100" spans="5:10" s="34" customFormat="1" x14ac:dyDescent="0.35">
      <c r="E100" s="35"/>
      <c r="J100" s="41"/>
    </row>
    <row r="101" spans="5:10" s="34" customFormat="1" x14ac:dyDescent="0.35">
      <c r="E101" s="35"/>
      <c r="J101" s="41"/>
    </row>
    <row r="102" spans="5:10" s="34" customFormat="1" x14ac:dyDescent="0.35">
      <c r="E102" s="35"/>
      <c r="J102" s="41"/>
    </row>
    <row r="103" spans="5:10" s="34" customFormat="1" x14ac:dyDescent="0.35">
      <c r="E103" s="35"/>
      <c r="J103" s="41"/>
    </row>
    <row r="104" spans="5:10" s="34" customFormat="1" x14ac:dyDescent="0.35">
      <c r="E104" s="35"/>
      <c r="J104" s="41"/>
    </row>
    <row r="105" spans="5:10" s="34" customFormat="1" x14ac:dyDescent="0.35">
      <c r="E105" s="35"/>
      <c r="J105" s="41"/>
    </row>
    <row r="106" spans="5:10" s="34" customFormat="1" x14ac:dyDescent="0.35">
      <c r="E106" s="35"/>
      <c r="J106" s="41"/>
    </row>
    <row r="107" spans="5:10" s="34" customFormat="1" x14ac:dyDescent="0.35">
      <c r="E107" s="35"/>
      <c r="J107" s="41"/>
    </row>
    <row r="108" spans="5:10" s="34" customFormat="1" x14ac:dyDescent="0.35">
      <c r="E108" s="35"/>
      <c r="J108" s="41"/>
    </row>
    <row r="109" spans="5:10" s="34" customFormat="1" x14ac:dyDescent="0.35">
      <c r="E109" s="35"/>
      <c r="J109" s="41"/>
    </row>
    <row r="110" spans="5:10" s="34" customFormat="1" x14ac:dyDescent="0.35">
      <c r="E110" s="35"/>
      <c r="J110" s="41"/>
    </row>
    <row r="111" spans="5:10" s="34" customFormat="1" x14ac:dyDescent="0.35">
      <c r="E111" s="35"/>
      <c r="J111" s="41"/>
    </row>
    <row r="112" spans="5:10" s="34" customFormat="1" x14ac:dyDescent="0.35">
      <c r="E112" s="35"/>
      <c r="J112" s="41"/>
    </row>
    <row r="113" spans="5:10" s="34" customFormat="1" x14ac:dyDescent="0.35">
      <c r="E113" s="35"/>
      <c r="J113" s="41"/>
    </row>
    <row r="114" spans="5:10" s="34" customFormat="1" x14ac:dyDescent="0.35">
      <c r="E114" s="35"/>
      <c r="J114" s="41"/>
    </row>
    <row r="115" spans="5:10" s="34" customFormat="1" x14ac:dyDescent="0.35">
      <c r="E115" s="35"/>
      <c r="J115" s="41"/>
    </row>
    <row r="116" spans="5:10" s="34" customFormat="1" x14ac:dyDescent="0.35">
      <c r="E116" s="35"/>
      <c r="J116" s="41"/>
    </row>
    <row r="117" spans="5:10" s="34" customFormat="1" x14ac:dyDescent="0.35">
      <c r="E117" s="35"/>
      <c r="J117" s="41"/>
    </row>
    <row r="118" spans="5:10" s="34" customFormat="1" x14ac:dyDescent="0.35">
      <c r="E118" s="35"/>
      <c r="J118" s="41"/>
    </row>
    <row r="119" spans="5:10" s="34" customFormat="1" x14ac:dyDescent="0.35">
      <c r="E119" s="35"/>
      <c r="J119" s="41"/>
    </row>
    <row r="120" spans="5:10" s="34" customFormat="1" x14ac:dyDescent="0.35">
      <c r="E120" s="35"/>
      <c r="J120" s="41"/>
    </row>
    <row r="121" spans="5:10" s="34" customFormat="1" x14ac:dyDescent="0.35">
      <c r="E121" s="35"/>
      <c r="J121" s="41"/>
    </row>
    <row r="122" spans="5:10" s="34" customFormat="1" x14ac:dyDescent="0.35">
      <c r="E122" s="35"/>
      <c r="J122" s="41"/>
    </row>
    <row r="123" spans="5:10" s="34" customFormat="1" x14ac:dyDescent="0.35">
      <c r="E123" s="35"/>
      <c r="J123" s="41"/>
    </row>
    <row r="124" spans="5:10" s="34" customFormat="1" x14ac:dyDescent="0.35">
      <c r="E124" s="35"/>
      <c r="J124" s="41"/>
    </row>
    <row r="125" spans="5:10" s="34" customFormat="1" x14ac:dyDescent="0.35">
      <c r="E125" s="35"/>
      <c r="J125" s="41"/>
    </row>
    <row r="126" spans="5:10" s="34" customFormat="1" x14ac:dyDescent="0.35">
      <c r="E126" s="35"/>
      <c r="J126" s="41"/>
    </row>
    <row r="127" spans="5:10" s="34" customFormat="1" x14ac:dyDescent="0.35">
      <c r="E127" s="35"/>
      <c r="J127" s="41"/>
    </row>
    <row r="128" spans="5:10" s="34" customFormat="1" x14ac:dyDescent="0.35">
      <c r="E128" s="35"/>
      <c r="J128" s="41"/>
    </row>
    <row r="129" spans="5:10" s="34" customFormat="1" x14ac:dyDescent="0.35">
      <c r="E129" s="35"/>
      <c r="J129" s="41"/>
    </row>
    <row r="130" spans="5:10" s="34" customFormat="1" x14ac:dyDescent="0.35">
      <c r="E130" s="35"/>
      <c r="J130" s="41"/>
    </row>
    <row r="131" spans="5:10" s="34" customFormat="1" x14ac:dyDescent="0.35">
      <c r="E131" s="35"/>
      <c r="J131" s="41"/>
    </row>
    <row r="132" spans="5:10" s="34" customFormat="1" x14ac:dyDescent="0.35">
      <c r="E132" s="35"/>
      <c r="J132" s="41"/>
    </row>
    <row r="133" spans="5:10" s="34" customFormat="1" x14ac:dyDescent="0.35">
      <c r="E133" s="35"/>
      <c r="J133" s="41"/>
    </row>
    <row r="134" spans="5:10" s="34" customFormat="1" x14ac:dyDescent="0.35">
      <c r="E134" s="35"/>
      <c r="J134" s="41"/>
    </row>
    <row r="135" spans="5:10" s="34" customFormat="1" x14ac:dyDescent="0.35">
      <c r="E135" s="35"/>
      <c r="J135" s="41"/>
    </row>
    <row r="136" spans="5:10" s="34" customFormat="1" x14ac:dyDescent="0.35">
      <c r="E136" s="35"/>
      <c r="J136" s="41"/>
    </row>
    <row r="137" spans="5:10" s="34" customFormat="1" x14ac:dyDescent="0.35">
      <c r="E137" s="35"/>
      <c r="J137" s="41"/>
    </row>
    <row r="138" spans="5:10" s="34" customFormat="1" x14ac:dyDescent="0.35">
      <c r="E138" s="35"/>
      <c r="J138" s="41"/>
    </row>
    <row r="139" spans="5:10" s="34" customFormat="1" x14ac:dyDescent="0.35">
      <c r="E139" s="35"/>
      <c r="J139" s="41"/>
    </row>
    <row r="140" spans="5:10" s="34" customFormat="1" x14ac:dyDescent="0.35">
      <c r="E140" s="35"/>
      <c r="J140" s="41"/>
    </row>
    <row r="141" spans="5:10" s="34" customFormat="1" x14ac:dyDescent="0.35">
      <c r="E141" s="35"/>
      <c r="J141" s="41"/>
    </row>
    <row r="142" spans="5:10" s="34" customFormat="1" x14ac:dyDescent="0.35">
      <c r="E142" s="35"/>
      <c r="J142" s="41"/>
    </row>
    <row r="143" spans="5:10" s="34" customFormat="1" x14ac:dyDescent="0.35">
      <c r="E143" s="35"/>
      <c r="J143" s="41"/>
    </row>
    <row r="144" spans="5:10" s="34" customFormat="1" x14ac:dyDescent="0.35">
      <c r="E144" s="35"/>
      <c r="J144" s="41"/>
    </row>
    <row r="145" spans="5:10" s="34" customFormat="1" x14ac:dyDescent="0.35">
      <c r="E145" s="35"/>
      <c r="J145" s="41"/>
    </row>
    <row r="146" spans="5:10" s="34" customFormat="1" x14ac:dyDescent="0.35">
      <c r="E146" s="35"/>
      <c r="J146" s="41"/>
    </row>
    <row r="147" spans="5:10" s="34" customFormat="1" x14ac:dyDescent="0.35">
      <c r="E147" s="35"/>
      <c r="J147" s="41"/>
    </row>
    <row r="148" spans="5:10" s="34" customFormat="1" x14ac:dyDescent="0.35">
      <c r="E148" s="35"/>
      <c r="J148" s="41"/>
    </row>
    <row r="149" spans="5:10" s="34" customFormat="1" x14ac:dyDescent="0.35">
      <c r="E149" s="35"/>
      <c r="J149" s="41"/>
    </row>
    <row r="150" spans="5:10" s="34" customFormat="1" x14ac:dyDescent="0.35">
      <c r="E150" s="35"/>
      <c r="J150" s="41"/>
    </row>
    <row r="151" spans="5:10" s="34" customFormat="1" x14ac:dyDescent="0.35">
      <c r="E151" s="35"/>
      <c r="J151" s="41"/>
    </row>
    <row r="152" spans="5:10" s="34" customFormat="1" x14ac:dyDescent="0.35">
      <c r="E152" s="35"/>
      <c r="J152" s="41"/>
    </row>
    <row r="153" spans="5:10" s="34" customFormat="1" x14ac:dyDescent="0.35">
      <c r="E153" s="35"/>
      <c r="J153" s="41"/>
    </row>
    <row r="154" spans="5:10" s="34" customFormat="1" x14ac:dyDescent="0.35">
      <c r="E154" s="35"/>
      <c r="J154" s="41"/>
    </row>
    <row r="155" spans="5:10" s="34" customFormat="1" x14ac:dyDescent="0.35">
      <c r="E155" s="35"/>
      <c r="J155" s="41"/>
    </row>
    <row r="156" spans="5:10" s="34" customFormat="1" x14ac:dyDescent="0.35">
      <c r="E156" s="35"/>
      <c r="J156" s="41"/>
    </row>
    <row r="157" spans="5:10" s="34" customFormat="1" x14ac:dyDescent="0.35">
      <c r="E157" s="35"/>
      <c r="J157" s="41"/>
    </row>
    <row r="158" spans="5:10" s="34" customFormat="1" x14ac:dyDescent="0.35">
      <c r="E158" s="35"/>
      <c r="J158" s="41"/>
    </row>
    <row r="159" spans="5:10" s="34" customFormat="1" x14ac:dyDescent="0.35">
      <c r="E159" s="35"/>
      <c r="J159" s="41"/>
    </row>
    <row r="160" spans="5:10" s="34" customFormat="1" x14ac:dyDescent="0.35">
      <c r="E160" s="35"/>
      <c r="J160" s="41"/>
    </row>
    <row r="161" spans="5:10" s="34" customFormat="1" x14ac:dyDescent="0.35">
      <c r="E161" s="35"/>
      <c r="J161" s="41"/>
    </row>
    <row r="162" spans="5:10" s="34" customFormat="1" x14ac:dyDescent="0.35">
      <c r="E162" s="35"/>
      <c r="J162" s="41"/>
    </row>
    <row r="163" spans="5:10" s="34" customFormat="1" x14ac:dyDescent="0.35">
      <c r="E163" s="35"/>
      <c r="J163" s="41"/>
    </row>
    <row r="164" spans="5:10" s="34" customFormat="1" x14ac:dyDescent="0.35">
      <c r="E164" s="35"/>
      <c r="J164" s="41"/>
    </row>
    <row r="165" spans="5:10" s="34" customFormat="1" x14ac:dyDescent="0.35">
      <c r="E165" s="35"/>
      <c r="J165" s="41"/>
    </row>
    <row r="166" spans="5:10" s="34" customFormat="1" x14ac:dyDescent="0.35">
      <c r="E166" s="35"/>
      <c r="J166" s="41"/>
    </row>
    <row r="167" spans="5:10" s="34" customFormat="1" x14ac:dyDescent="0.35">
      <c r="E167" s="35"/>
      <c r="J167" s="41"/>
    </row>
    <row r="168" spans="5:10" s="34" customFormat="1" x14ac:dyDescent="0.35">
      <c r="E168" s="35"/>
      <c r="J168" s="41"/>
    </row>
    <row r="169" spans="5:10" s="34" customFormat="1" x14ac:dyDescent="0.35">
      <c r="E169" s="35"/>
      <c r="J169" s="41"/>
    </row>
    <row r="170" spans="5:10" s="34" customFormat="1" x14ac:dyDescent="0.35">
      <c r="E170" s="35"/>
      <c r="J170" s="41"/>
    </row>
    <row r="171" spans="5:10" s="34" customFormat="1" x14ac:dyDescent="0.35">
      <c r="E171" s="35"/>
      <c r="J171" s="41"/>
    </row>
    <row r="172" spans="5:10" s="34" customFormat="1" x14ac:dyDescent="0.35">
      <c r="E172" s="35"/>
      <c r="J172" s="41"/>
    </row>
    <row r="173" spans="5:10" s="34" customFormat="1" x14ac:dyDescent="0.35">
      <c r="E173" s="35"/>
      <c r="J173" s="41"/>
    </row>
    <row r="174" spans="5:10" s="34" customFormat="1" x14ac:dyDescent="0.35">
      <c r="E174" s="35"/>
      <c r="J174" s="41"/>
    </row>
    <row r="175" spans="5:10" s="34" customFormat="1" x14ac:dyDescent="0.35">
      <c r="E175" s="35"/>
      <c r="J175" s="41"/>
    </row>
    <row r="176" spans="5:10" s="34" customFormat="1" x14ac:dyDescent="0.35">
      <c r="E176" s="35"/>
      <c r="J176" s="41"/>
    </row>
    <row r="177" spans="5:10" s="34" customFormat="1" x14ac:dyDescent="0.35">
      <c r="E177" s="35"/>
      <c r="J177" s="41"/>
    </row>
    <row r="178" spans="5:10" s="34" customFormat="1" x14ac:dyDescent="0.35">
      <c r="E178" s="35"/>
      <c r="J178" s="41"/>
    </row>
    <row r="179" spans="5:10" s="34" customFormat="1" x14ac:dyDescent="0.35">
      <c r="E179" s="35"/>
      <c r="J179" s="41"/>
    </row>
    <row r="180" spans="5:10" s="34" customFormat="1" x14ac:dyDescent="0.35">
      <c r="E180" s="35"/>
      <c r="J180" s="41"/>
    </row>
    <row r="181" spans="5:10" s="34" customFormat="1" x14ac:dyDescent="0.35">
      <c r="E181" s="35"/>
      <c r="J181" s="41"/>
    </row>
    <row r="182" spans="5:10" s="34" customFormat="1" x14ac:dyDescent="0.35">
      <c r="E182" s="35"/>
      <c r="J182" s="41"/>
    </row>
    <row r="183" spans="5:10" s="34" customFormat="1" x14ac:dyDescent="0.35">
      <c r="E183" s="35"/>
      <c r="J183" s="41"/>
    </row>
    <row r="184" spans="5:10" s="34" customFormat="1" x14ac:dyDescent="0.35">
      <c r="E184" s="35"/>
      <c r="J184" s="41"/>
    </row>
    <row r="185" spans="5:10" s="34" customFormat="1" x14ac:dyDescent="0.35">
      <c r="E185" s="35"/>
      <c r="J185" s="41"/>
    </row>
    <row r="186" spans="5:10" s="34" customFormat="1" x14ac:dyDescent="0.35">
      <c r="E186" s="35"/>
      <c r="J186" s="41"/>
    </row>
    <row r="187" spans="5:10" s="34" customFormat="1" x14ac:dyDescent="0.35">
      <c r="E187" s="35"/>
      <c r="J187" s="41"/>
    </row>
    <row r="188" spans="5:10" s="34" customFormat="1" x14ac:dyDescent="0.35">
      <c r="E188" s="35"/>
      <c r="J188" s="41"/>
    </row>
    <row r="189" spans="5:10" s="34" customFormat="1" x14ac:dyDescent="0.35">
      <c r="E189" s="35"/>
      <c r="J189" s="41"/>
    </row>
    <row r="190" spans="5:10" s="34" customFormat="1" x14ac:dyDescent="0.35">
      <c r="E190" s="35"/>
      <c r="J190" s="41"/>
    </row>
    <row r="191" spans="5:10" s="34" customFormat="1" x14ac:dyDescent="0.35">
      <c r="E191" s="35"/>
      <c r="J191" s="41"/>
    </row>
    <row r="192" spans="5:10" s="34" customFormat="1" x14ac:dyDescent="0.35">
      <c r="E192" s="35"/>
      <c r="J192" s="41"/>
    </row>
    <row r="193" spans="5:10" s="34" customFormat="1" x14ac:dyDescent="0.35">
      <c r="E193" s="35"/>
      <c r="J193" s="41"/>
    </row>
    <row r="194" spans="5:10" s="34" customFormat="1" x14ac:dyDescent="0.35">
      <c r="E194" s="35"/>
      <c r="J194" s="41"/>
    </row>
    <row r="195" spans="5:10" s="34" customFormat="1" x14ac:dyDescent="0.35">
      <c r="E195" s="35"/>
      <c r="J195" s="41"/>
    </row>
    <row r="196" spans="5:10" s="34" customFormat="1" x14ac:dyDescent="0.35">
      <c r="E196" s="35"/>
      <c r="J196" s="41"/>
    </row>
    <row r="197" spans="5:10" s="34" customFormat="1" x14ac:dyDescent="0.35">
      <c r="E197" s="35"/>
      <c r="J197" s="41"/>
    </row>
    <row r="198" spans="5:10" s="34" customFormat="1" x14ac:dyDescent="0.35">
      <c r="E198" s="35"/>
      <c r="J198" s="41"/>
    </row>
    <row r="199" spans="5:10" s="34" customFormat="1" x14ac:dyDescent="0.35">
      <c r="E199" s="35"/>
      <c r="J199" s="41"/>
    </row>
    <row r="200" spans="5:10" s="34" customFormat="1" x14ac:dyDescent="0.35">
      <c r="E200" s="35"/>
      <c r="J200" s="41"/>
    </row>
    <row r="201" spans="5:10" s="34" customFormat="1" x14ac:dyDescent="0.35">
      <c r="E201" s="35"/>
      <c r="J201" s="41"/>
    </row>
    <row r="202" spans="5:10" s="34" customFormat="1" x14ac:dyDescent="0.35">
      <c r="E202" s="35"/>
      <c r="J202" s="41"/>
    </row>
    <row r="203" spans="5:10" s="34" customFormat="1" x14ac:dyDescent="0.35">
      <c r="E203" s="35"/>
      <c r="J203" s="41"/>
    </row>
    <row r="204" spans="5:10" s="34" customFormat="1" x14ac:dyDescent="0.35">
      <c r="E204" s="35"/>
      <c r="J204" s="41"/>
    </row>
    <row r="205" spans="5:10" s="34" customFormat="1" x14ac:dyDescent="0.35">
      <c r="E205" s="35"/>
      <c r="J205" s="41"/>
    </row>
    <row r="206" spans="5:10" s="34" customFormat="1" x14ac:dyDescent="0.35">
      <c r="E206" s="35"/>
      <c r="J206" s="41"/>
    </row>
    <row r="207" spans="5:10" s="34" customFormat="1" x14ac:dyDescent="0.35">
      <c r="E207" s="35"/>
      <c r="J207" s="41"/>
    </row>
    <row r="208" spans="5:10" s="34" customFormat="1" x14ac:dyDescent="0.35">
      <c r="E208" s="35"/>
      <c r="J208" s="41"/>
    </row>
    <row r="209" spans="5:10" s="34" customFormat="1" x14ac:dyDescent="0.35">
      <c r="E209" s="35"/>
      <c r="J209" s="41"/>
    </row>
    <row r="210" spans="5:10" s="34" customFormat="1" x14ac:dyDescent="0.35">
      <c r="E210" s="35"/>
      <c r="J210" s="41"/>
    </row>
    <row r="211" spans="5:10" s="34" customFormat="1" x14ac:dyDescent="0.35">
      <c r="E211" s="35"/>
      <c r="J211" s="41"/>
    </row>
    <row r="212" spans="5:10" s="34" customFormat="1" x14ac:dyDescent="0.35">
      <c r="E212" s="35"/>
      <c r="J212" s="41"/>
    </row>
    <row r="213" spans="5:10" s="34" customFormat="1" x14ac:dyDescent="0.35">
      <c r="E213" s="35"/>
      <c r="J213" s="41"/>
    </row>
    <row r="214" spans="5:10" s="34" customFormat="1" x14ac:dyDescent="0.35">
      <c r="E214" s="35"/>
      <c r="J214" s="41"/>
    </row>
    <row r="215" spans="5:10" s="34" customFormat="1" x14ac:dyDescent="0.35">
      <c r="E215" s="35"/>
      <c r="J215" s="41"/>
    </row>
    <row r="216" spans="5:10" s="34" customFormat="1" x14ac:dyDescent="0.35">
      <c r="E216" s="35"/>
      <c r="J216" s="41"/>
    </row>
    <row r="217" spans="5:10" s="34" customFormat="1" x14ac:dyDescent="0.35">
      <c r="E217" s="35"/>
      <c r="J217" s="41"/>
    </row>
    <row r="218" spans="5:10" s="34" customFormat="1" x14ac:dyDescent="0.35">
      <c r="E218" s="35"/>
      <c r="J218" s="41"/>
    </row>
    <row r="219" spans="5:10" s="34" customFormat="1" x14ac:dyDescent="0.35">
      <c r="E219" s="35"/>
      <c r="J219" s="41"/>
    </row>
    <row r="220" spans="5:10" s="34" customFormat="1" x14ac:dyDescent="0.35">
      <c r="E220" s="35"/>
      <c r="J220" s="41"/>
    </row>
    <row r="221" spans="5:10" s="34" customFormat="1" x14ac:dyDescent="0.35">
      <c r="E221" s="35"/>
      <c r="J221" s="41"/>
    </row>
    <row r="222" spans="5:10" s="34" customFormat="1" x14ac:dyDescent="0.35">
      <c r="E222" s="35"/>
      <c r="J222" s="41"/>
    </row>
    <row r="223" spans="5:10" s="34" customFormat="1" x14ac:dyDescent="0.35">
      <c r="E223" s="35"/>
      <c r="J223" s="41"/>
    </row>
    <row r="224" spans="5:10" s="34" customFormat="1" x14ac:dyDescent="0.35">
      <c r="E224" s="35"/>
      <c r="J224" s="41"/>
    </row>
    <row r="225" spans="5:10" s="34" customFormat="1" x14ac:dyDescent="0.35">
      <c r="E225" s="35"/>
      <c r="J225" s="41"/>
    </row>
    <row r="226" spans="5:10" s="34" customFormat="1" x14ac:dyDescent="0.35">
      <c r="E226" s="35"/>
      <c r="J226" s="41"/>
    </row>
    <row r="227" spans="5:10" s="34" customFormat="1" x14ac:dyDescent="0.35">
      <c r="E227" s="35"/>
      <c r="J227" s="41"/>
    </row>
    <row r="228" spans="5:10" s="34" customFormat="1" x14ac:dyDescent="0.35">
      <c r="E228" s="35"/>
      <c r="J228" s="41"/>
    </row>
    <row r="229" spans="5:10" s="34" customFormat="1" x14ac:dyDescent="0.35">
      <c r="E229" s="35"/>
      <c r="J229" s="41"/>
    </row>
    <row r="230" spans="5:10" s="34" customFormat="1" x14ac:dyDescent="0.35">
      <c r="E230" s="35"/>
      <c r="J230" s="41"/>
    </row>
    <row r="231" spans="5:10" s="34" customFormat="1" x14ac:dyDescent="0.35">
      <c r="E231" s="35"/>
      <c r="J231" s="41"/>
    </row>
    <row r="232" spans="5:10" s="34" customFormat="1" x14ac:dyDescent="0.35">
      <c r="E232" s="35"/>
      <c r="J232" s="41"/>
    </row>
    <row r="233" spans="5:10" s="34" customFormat="1" x14ac:dyDescent="0.35">
      <c r="E233" s="35"/>
      <c r="J233" s="41"/>
    </row>
    <row r="234" spans="5:10" s="34" customFormat="1" x14ac:dyDescent="0.35">
      <c r="E234" s="35"/>
      <c r="J234" s="41"/>
    </row>
    <row r="235" spans="5:10" s="34" customFormat="1" x14ac:dyDescent="0.35">
      <c r="E235" s="35"/>
      <c r="J235" s="41"/>
    </row>
    <row r="236" spans="5:10" s="34" customFormat="1" x14ac:dyDescent="0.35">
      <c r="E236" s="35"/>
      <c r="J236" s="41"/>
    </row>
    <row r="237" spans="5:10" s="34" customFormat="1" x14ac:dyDescent="0.35">
      <c r="E237" s="35"/>
      <c r="J237" s="41"/>
    </row>
    <row r="238" spans="5:10" s="34" customFormat="1" x14ac:dyDescent="0.35">
      <c r="E238" s="35"/>
      <c r="J238" s="41"/>
    </row>
    <row r="239" spans="5:10" s="34" customFormat="1" x14ac:dyDescent="0.35">
      <c r="E239" s="35"/>
      <c r="J239" s="41"/>
    </row>
    <row r="240" spans="5:10" s="34" customFormat="1" x14ac:dyDescent="0.35">
      <c r="E240" s="35"/>
      <c r="J240" s="41"/>
    </row>
    <row r="241" spans="5:10" s="34" customFormat="1" x14ac:dyDescent="0.35">
      <c r="E241" s="35"/>
      <c r="J241" s="41"/>
    </row>
    <row r="242" spans="5:10" s="34" customFormat="1" x14ac:dyDescent="0.35">
      <c r="E242" s="35"/>
      <c r="J242" s="41"/>
    </row>
    <row r="243" spans="5:10" s="34" customFormat="1" x14ac:dyDescent="0.35">
      <c r="E243" s="35"/>
      <c r="J243" s="41"/>
    </row>
    <row r="244" spans="5:10" s="34" customFormat="1" x14ac:dyDescent="0.35">
      <c r="E244" s="35"/>
      <c r="J244" s="41"/>
    </row>
    <row r="245" spans="5:10" s="34" customFormat="1" x14ac:dyDescent="0.35">
      <c r="E245" s="35"/>
      <c r="J245" s="41"/>
    </row>
    <row r="246" spans="5:10" s="34" customFormat="1" x14ac:dyDescent="0.35">
      <c r="E246" s="35"/>
      <c r="J246" s="41"/>
    </row>
    <row r="247" spans="5:10" s="34" customFormat="1" x14ac:dyDescent="0.35">
      <c r="E247" s="35"/>
      <c r="J247" s="41"/>
    </row>
    <row r="248" spans="5:10" s="34" customFormat="1" x14ac:dyDescent="0.35">
      <c r="E248" s="35"/>
      <c r="J248" s="41"/>
    </row>
    <row r="249" spans="5:10" s="34" customFormat="1" x14ac:dyDescent="0.35">
      <c r="E249" s="35"/>
      <c r="J249" s="41"/>
    </row>
    <row r="250" spans="5:10" s="34" customFormat="1" x14ac:dyDescent="0.35">
      <c r="E250" s="35"/>
      <c r="J250" s="41"/>
    </row>
    <row r="251" spans="5:10" s="34" customFormat="1" x14ac:dyDescent="0.35">
      <c r="E251" s="35"/>
      <c r="J251" s="41"/>
    </row>
    <row r="252" spans="5:10" s="34" customFormat="1" x14ac:dyDescent="0.35">
      <c r="E252" s="35"/>
      <c r="J252" s="41"/>
    </row>
    <row r="253" spans="5:10" s="34" customFormat="1" x14ac:dyDescent="0.35">
      <c r="E253" s="35"/>
      <c r="J253" s="41"/>
    </row>
    <row r="254" spans="5:10" s="34" customFormat="1" x14ac:dyDescent="0.35">
      <c r="E254" s="35"/>
      <c r="J254" s="41"/>
    </row>
    <row r="255" spans="5:10" s="34" customFormat="1" x14ac:dyDescent="0.35">
      <c r="E255" s="35"/>
      <c r="J255" s="41"/>
    </row>
    <row r="256" spans="5:10" s="34" customFormat="1" x14ac:dyDescent="0.35">
      <c r="E256" s="35"/>
      <c r="J256" s="41"/>
    </row>
    <row r="257" spans="5:10" s="34" customFormat="1" x14ac:dyDescent="0.35">
      <c r="E257" s="35"/>
      <c r="J257" s="41"/>
    </row>
    <row r="258" spans="5:10" s="34" customFormat="1" x14ac:dyDescent="0.35">
      <c r="E258" s="35"/>
      <c r="J258" s="41"/>
    </row>
    <row r="259" spans="5:10" s="34" customFormat="1" x14ac:dyDescent="0.35">
      <c r="E259" s="35"/>
      <c r="J259" s="41"/>
    </row>
    <row r="260" spans="5:10" s="34" customFormat="1" x14ac:dyDescent="0.35">
      <c r="E260" s="35"/>
      <c r="J260" s="41"/>
    </row>
    <row r="261" spans="5:10" s="34" customFormat="1" x14ac:dyDescent="0.35">
      <c r="E261" s="35"/>
      <c r="J261" s="41"/>
    </row>
    <row r="262" spans="5:10" s="34" customFormat="1" x14ac:dyDescent="0.35">
      <c r="E262" s="35"/>
      <c r="J262" s="41"/>
    </row>
    <row r="263" spans="5:10" s="34" customFormat="1" x14ac:dyDescent="0.35">
      <c r="E263" s="35"/>
      <c r="J263" s="41"/>
    </row>
    <row r="264" spans="5:10" s="34" customFormat="1" x14ac:dyDescent="0.35">
      <c r="E264" s="35"/>
      <c r="J264" s="41"/>
    </row>
    <row r="265" spans="5:10" s="34" customFormat="1" x14ac:dyDescent="0.35">
      <c r="E265" s="35"/>
      <c r="J265" s="41"/>
    </row>
    <row r="266" spans="5:10" s="34" customFormat="1" x14ac:dyDescent="0.35">
      <c r="E266" s="35"/>
      <c r="J266" s="41"/>
    </row>
    <row r="267" spans="5:10" s="34" customFormat="1" x14ac:dyDescent="0.35">
      <c r="E267" s="35"/>
      <c r="J267" s="41"/>
    </row>
    <row r="268" spans="5:10" s="34" customFormat="1" x14ac:dyDescent="0.35">
      <c r="E268" s="35"/>
      <c r="J268" s="41"/>
    </row>
    <row r="269" spans="5:10" s="34" customFormat="1" x14ac:dyDescent="0.35">
      <c r="E269" s="35"/>
      <c r="J269" s="41"/>
    </row>
    <row r="270" spans="5:10" s="34" customFormat="1" x14ac:dyDescent="0.35">
      <c r="E270" s="35"/>
      <c r="J270" s="41"/>
    </row>
    <row r="271" spans="5:10" s="34" customFormat="1" x14ac:dyDescent="0.35">
      <c r="E271" s="35"/>
      <c r="J271" s="41"/>
    </row>
    <row r="272" spans="5:10" s="34" customFormat="1" x14ac:dyDescent="0.35">
      <c r="E272" s="35"/>
      <c r="J272" s="41"/>
    </row>
    <row r="273" spans="5:10" s="34" customFormat="1" x14ac:dyDescent="0.35">
      <c r="E273" s="35"/>
      <c r="J273" s="41"/>
    </row>
    <row r="274" spans="5:10" s="34" customFormat="1" x14ac:dyDescent="0.35">
      <c r="E274" s="35"/>
      <c r="J274" s="41"/>
    </row>
    <row r="275" spans="5:10" s="34" customFormat="1" x14ac:dyDescent="0.35">
      <c r="E275" s="35"/>
      <c r="J275" s="41"/>
    </row>
    <row r="276" spans="5:10" s="34" customFormat="1" x14ac:dyDescent="0.35">
      <c r="E276" s="35"/>
      <c r="J276" s="41"/>
    </row>
    <row r="277" spans="5:10" s="34" customFormat="1" x14ac:dyDescent="0.35">
      <c r="E277" s="35"/>
      <c r="J277" s="41"/>
    </row>
    <row r="278" spans="5:10" s="34" customFormat="1" x14ac:dyDescent="0.35">
      <c r="E278" s="35"/>
      <c r="J278" s="41"/>
    </row>
    <row r="279" spans="5:10" s="34" customFormat="1" x14ac:dyDescent="0.35">
      <c r="E279" s="35"/>
      <c r="J279" s="41"/>
    </row>
    <row r="280" spans="5:10" s="34" customFormat="1" x14ac:dyDescent="0.35">
      <c r="E280" s="35"/>
      <c r="J280" s="41"/>
    </row>
    <row r="281" spans="5:10" s="34" customFormat="1" x14ac:dyDescent="0.35">
      <c r="E281" s="35"/>
      <c r="J281" s="41"/>
    </row>
    <row r="282" spans="5:10" s="34" customFormat="1" x14ac:dyDescent="0.35">
      <c r="E282" s="35"/>
      <c r="J282" s="41"/>
    </row>
    <row r="283" spans="5:10" s="34" customFormat="1" x14ac:dyDescent="0.35">
      <c r="E283" s="35"/>
      <c r="J283" s="41"/>
    </row>
    <row r="284" spans="5:10" s="34" customFormat="1" x14ac:dyDescent="0.35">
      <c r="E284" s="35"/>
      <c r="J284" s="41"/>
    </row>
    <row r="285" spans="5:10" s="34" customFormat="1" x14ac:dyDescent="0.35">
      <c r="E285" s="35"/>
      <c r="J285" s="41"/>
    </row>
    <row r="286" spans="5:10" s="34" customFormat="1" x14ac:dyDescent="0.35">
      <c r="E286" s="35"/>
      <c r="J286" s="41"/>
    </row>
    <row r="287" spans="5:10" s="34" customFormat="1" x14ac:dyDescent="0.35">
      <c r="E287" s="35"/>
      <c r="J287" s="41"/>
    </row>
    <row r="288" spans="5:10" s="34" customFormat="1" x14ac:dyDescent="0.35">
      <c r="E288" s="35"/>
      <c r="J288" s="41"/>
    </row>
    <row r="289" spans="5:10" s="34" customFormat="1" x14ac:dyDescent="0.35">
      <c r="E289" s="35"/>
      <c r="J289" s="41"/>
    </row>
    <row r="290" spans="5:10" s="34" customFormat="1" x14ac:dyDescent="0.35">
      <c r="E290" s="35"/>
      <c r="J290" s="41"/>
    </row>
    <row r="291" spans="5:10" s="34" customFormat="1" x14ac:dyDescent="0.35">
      <c r="E291" s="35"/>
      <c r="J291" s="41"/>
    </row>
    <row r="292" spans="5:10" s="34" customFormat="1" x14ac:dyDescent="0.35">
      <c r="E292" s="35"/>
      <c r="J292" s="41"/>
    </row>
    <row r="293" spans="5:10" s="34" customFormat="1" x14ac:dyDescent="0.35">
      <c r="E293" s="35"/>
      <c r="J293" s="41"/>
    </row>
    <row r="294" spans="5:10" s="34" customFormat="1" x14ac:dyDescent="0.35">
      <c r="E294" s="35"/>
      <c r="J294" s="41"/>
    </row>
    <row r="295" spans="5:10" s="34" customFormat="1" x14ac:dyDescent="0.35">
      <c r="E295" s="35"/>
      <c r="J295" s="41"/>
    </row>
    <row r="296" spans="5:10" s="34" customFormat="1" x14ac:dyDescent="0.35">
      <c r="E296" s="35"/>
      <c r="J296" s="41"/>
    </row>
    <row r="297" spans="5:10" s="34" customFormat="1" x14ac:dyDescent="0.35">
      <c r="E297" s="35"/>
      <c r="J297" s="41"/>
    </row>
    <row r="298" spans="5:10" s="34" customFormat="1" x14ac:dyDescent="0.35">
      <c r="E298" s="35"/>
      <c r="J298" s="41"/>
    </row>
    <row r="299" spans="5:10" s="34" customFormat="1" x14ac:dyDescent="0.35">
      <c r="E299" s="35"/>
      <c r="J299" s="41"/>
    </row>
    <row r="300" spans="5:10" s="34" customFormat="1" x14ac:dyDescent="0.35">
      <c r="E300" s="35"/>
      <c r="J300" s="41"/>
    </row>
    <row r="301" spans="5:10" s="34" customFormat="1" x14ac:dyDescent="0.35">
      <c r="E301" s="35"/>
      <c r="J301" s="41"/>
    </row>
    <row r="302" spans="5:10" s="34" customFormat="1" x14ac:dyDescent="0.35">
      <c r="E302" s="35"/>
      <c r="J302" s="41"/>
    </row>
    <row r="303" spans="5:10" s="34" customFormat="1" x14ac:dyDescent="0.35">
      <c r="E303" s="35"/>
      <c r="J303" s="41"/>
    </row>
    <row r="304" spans="5:10" s="34" customFormat="1" x14ac:dyDescent="0.35">
      <c r="E304" s="35"/>
      <c r="J304" s="41"/>
    </row>
    <row r="305" spans="5:10" s="34" customFormat="1" x14ac:dyDescent="0.35">
      <c r="E305" s="35"/>
      <c r="J305" s="41"/>
    </row>
    <row r="306" spans="5:10" s="34" customFormat="1" x14ac:dyDescent="0.35">
      <c r="E306" s="35"/>
      <c r="J306" s="41"/>
    </row>
    <row r="307" spans="5:10" s="34" customFormat="1" x14ac:dyDescent="0.35">
      <c r="E307" s="35"/>
      <c r="J307" s="41"/>
    </row>
    <row r="308" spans="5:10" s="34" customFormat="1" x14ac:dyDescent="0.35">
      <c r="E308" s="35"/>
      <c r="J308" s="41"/>
    </row>
    <row r="309" spans="5:10" s="34" customFormat="1" x14ac:dyDescent="0.35">
      <c r="E309" s="35"/>
      <c r="J309" s="41"/>
    </row>
    <row r="310" spans="5:10" s="34" customFormat="1" x14ac:dyDescent="0.35">
      <c r="E310" s="35"/>
      <c r="J310" s="41"/>
    </row>
    <row r="311" spans="5:10" s="34" customFormat="1" x14ac:dyDescent="0.35">
      <c r="E311" s="35"/>
      <c r="J311" s="41"/>
    </row>
    <row r="312" spans="5:10" s="34" customFormat="1" x14ac:dyDescent="0.35">
      <c r="E312" s="35"/>
      <c r="J312" s="41"/>
    </row>
    <row r="313" spans="5:10" s="34" customFormat="1" x14ac:dyDescent="0.35">
      <c r="E313" s="35"/>
      <c r="J313" s="41"/>
    </row>
    <row r="314" spans="5:10" s="34" customFormat="1" x14ac:dyDescent="0.35">
      <c r="E314" s="35"/>
      <c r="J314" s="41"/>
    </row>
    <row r="315" spans="5:10" s="34" customFormat="1" x14ac:dyDescent="0.35">
      <c r="E315" s="35"/>
      <c r="J315" s="41"/>
    </row>
    <row r="316" spans="5:10" s="34" customFormat="1" x14ac:dyDescent="0.35">
      <c r="E316" s="35"/>
      <c r="J316" s="41"/>
    </row>
    <row r="317" spans="5:10" s="34" customFormat="1" x14ac:dyDescent="0.35">
      <c r="E317" s="35"/>
      <c r="J317" s="41"/>
    </row>
    <row r="318" spans="5:10" s="34" customFormat="1" x14ac:dyDescent="0.35">
      <c r="E318" s="35"/>
      <c r="J318" s="41"/>
    </row>
    <row r="319" spans="5:10" s="34" customFormat="1" x14ac:dyDescent="0.35">
      <c r="E319" s="35"/>
      <c r="J319" s="41"/>
    </row>
    <row r="320" spans="5:10" s="34" customFormat="1" x14ac:dyDescent="0.35">
      <c r="E320" s="35"/>
      <c r="J320" s="41"/>
    </row>
    <row r="321" spans="5:10" s="34" customFormat="1" x14ac:dyDescent="0.35">
      <c r="E321" s="35"/>
      <c r="J321" s="41"/>
    </row>
    <row r="322" spans="5:10" s="34" customFormat="1" x14ac:dyDescent="0.35">
      <c r="E322" s="35"/>
      <c r="J322" s="41"/>
    </row>
    <row r="323" spans="5:10" s="34" customFormat="1" x14ac:dyDescent="0.35">
      <c r="E323" s="35"/>
      <c r="J323" s="41"/>
    </row>
    <row r="324" spans="5:10" s="34" customFormat="1" x14ac:dyDescent="0.35">
      <c r="E324" s="35"/>
      <c r="J324" s="41"/>
    </row>
    <row r="325" spans="5:10" s="34" customFormat="1" x14ac:dyDescent="0.35">
      <c r="E325" s="35"/>
      <c r="J325" s="41"/>
    </row>
    <row r="326" spans="5:10" s="34" customFormat="1" x14ac:dyDescent="0.35">
      <c r="E326" s="35"/>
      <c r="J326" s="41"/>
    </row>
    <row r="327" spans="5:10" s="34" customFormat="1" x14ac:dyDescent="0.35">
      <c r="E327" s="35"/>
      <c r="J327" s="41"/>
    </row>
    <row r="328" spans="5:10" s="34" customFormat="1" x14ac:dyDescent="0.35">
      <c r="E328" s="35"/>
      <c r="J328" s="41"/>
    </row>
    <row r="329" spans="5:10" s="34" customFormat="1" x14ac:dyDescent="0.35">
      <c r="E329" s="35"/>
      <c r="J329" s="41"/>
    </row>
    <row r="330" spans="5:10" s="34" customFormat="1" x14ac:dyDescent="0.35">
      <c r="E330" s="35"/>
      <c r="J330" s="41"/>
    </row>
    <row r="331" spans="5:10" s="34" customFormat="1" x14ac:dyDescent="0.35">
      <c r="E331" s="35"/>
      <c r="J331" s="41"/>
    </row>
    <row r="332" spans="5:10" s="34" customFormat="1" x14ac:dyDescent="0.35">
      <c r="E332" s="35"/>
      <c r="J332" s="41"/>
    </row>
    <row r="333" spans="5:10" s="34" customFormat="1" x14ac:dyDescent="0.35">
      <c r="E333" s="35"/>
      <c r="J333" s="41"/>
    </row>
    <row r="334" spans="5:10" s="34" customFormat="1" x14ac:dyDescent="0.35">
      <c r="E334" s="35"/>
      <c r="J334" s="41"/>
    </row>
    <row r="335" spans="5:10" s="34" customFormat="1" x14ac:dyDescent="0.35">
      <c r="E335" s="35"/>
      <c r="J335" s="41"/>
    </row>
    <row r="336" spans="5:10" s="34" customFormat="1" x14ac:dyDescent="0.35">
      <c r="E336" s="35"/>
      <c r="J336" s="41"/>
    </row>
    <row r="337" spans="5:10" s="34" customFormat="1" x14ac:dyDescent="0.35">
      <c r="E337" s="35"/>
      <c r="J337" s="41"/>
    </row>
    <row r="338" spans="5:10" s="34" customFormat="1" x14ac:dyDescent="0.35">
      <c r="E338" s="35"/>
      <c r="J338" s="41"/>
    </row>
    <row r="339" spans="5:10" s="34" customFormat="1" x14ac:dyDescent="0.35">
      <c r="E339" s="35"/>
      <c r="J339" s="41"/>
    </row>
    <row r="340" spans="5:10" s="34" customFormat="1" x14ac:dyDescent="0.35">
      <c r="E340" s="35"/>
      <c r="J340" s="41"/>
    </row>
    <row r="341" spans="5:10" s="34" customFormat="1" x14ac:dyDescent="0.35">
      <c r="E341" s="35"/>
      <c r="J341" s="41"/>
    </row>
    <row r="342" spans="5:10" s="34" customFormat="1" x14ac:dyDescent="0.35">
      <c r="E342" s="35"/>
      <c r="J342" s="41"/>
    </row>
    <row r="343" spans="5:10" s="34" customFormat="1" x14ac:dyDescent="0.35">
      <c r="E343" s="35"/>
      <c r="J343" s="41"/>
    </row>
    <row r="344" spans="5:10" s="34" customFormat="1" x14ac:dyDescent="0.35">
      <c r="E344" s="35"/>
      <c r="J344" s="41"/>
    </row>
    <row r="345" spans="5:10" s="34" customFormat="1" x14ac:dyDescent="0.35">
      <c r="E345" s="35"/>
      <c r="J345" s="41"/>
    </row>
    <row r="346" spans="5:10" s="34" customFormat="1" x14ac:dyDescent="0.35">
      <c r="E346" s="35"/>
      <c r="J346" s="41"/>
    </row>
    <row r="347" spans="5:10" s="34" customFormat="1" x14ac:dyDescent="0.35">
      <c r="E347" s="35"/>
      <c r="J347" s="41"/>
    </row>
    <row r="348" spans="5:10" s="34" customFormat="1" x14ac:dyDescent="0.35">
      <c r="E348" s="35"/>
      <c r="J348" s="41"/>
    </row>
    <row r="349" spans="5:10" s="34" customFormat="1" x14ac:dyDescent="0.35">
      <c r="E349" s="35"/>
      <c r="J349" s="41"/>
    </row>
    <row r="350" spans="5:10" s="34" customFormat="1" x14ac:dyDescent="0.35">
      <c r="E350" s="35"/>
      <c r="J350" s="41"/>
    </row>
    <row r="351" spans="5:10" s="34" customFormat="1" x14ac:dyDescent="0.35">
      <c r="E351" s="35"/>
      <c r="J351" s="41"/>
    </row>
    <row r="352" spans="5:10" s="34" customFormat="1" x14ac:dyDescent="0.35">
      <c r="E352" s="35"/>
      <c r="J352" s="41"/>
    </row>
    <row r="353" spans="5:10" s="34" customFormat="1" x14ac:dyDescent="0.35">
      <c r="E353" s="35"/>
      <c r="J353" s="41"/>
    </row>
    <row r="354" spans="5:10" s="34" customFormat="1" x14ac:dyDescent="0.35">
      <c r="E354" s="35"/>
      <c r="J354" s="41"/>
    </row>
    <row r="355" spans="5:10" s="34" customFormat="1" x14ac:dyDescent="0.35">
      <c r="E355" s="35"/>
      <c r="J355" s="41"/>
    </row>
    <row r="356" spans="5:10" s="34" customFormat="1" x14ac:dyDescent="0.35">
      <c r="E356" s="35"/>
      <c r="J356" s="41"/>
    </row>
    <row r="357" spans="5:10" s="34" customFormat="1" x14ac:dyDescent="0.35">
      <c r="E357" s="35"/>
      <c r="J357" s="41"/>
    </row>
    <row r="358" spans="5:10" s="34" customFormat="1" x14ac:dyDescent="0.35">
      <c r="E358" s="35"/>
      <c r="J358" s="41"/>
    </row>
    <row r="359" spans="5:10" s="34" customFormat="1" x14ac:dyDescent="0.35">
      <c r="E359" s="35"/>
      <c r="J359" s="41"/>
    </row>
    <row r="360" spans="5:10" s="34" customFormat="1" x14ac:dyDescent="0.35">
      <c r="E360" s="35"/>
      <c r="J360" s="41"/>
    </row>
    <row r="361" spans="5:10" s="34" customFormat="1" x14ac:dyDescent="0.35">
      <c r="E361" s="35"/>
      <c r="J361" s="41"/>
    </row>
    <row r="362" spans="5:10" s="34" customFormat="1" x14ac:dyDescent="0.35">
      <c r="E362" s="35"/>
      <c r="J362" s="41"/>
    </row>
    <row r="363" spans="5:10" s="34" customFormat="1" x14ac:dyDescent="0.35">
      <c r="E363" s="35"/>
      <c r="J363" s="41"/>
    </row>
    <row r="364" spans="5:10" s="34" customFormat="1" x14ac:dyDescent="0.35">
      <c r="E364" s="35"/>
      <c r="J364" s="41"/>
    </row>
    <row r="365" spans="5:10" s="34" customFormat="1" x14ac:dyDescent="0.35">
      <c r="E365" s="35"/>
      <c r="J365" s="41"/>
    </row>
    <row r="366" spans="5:10" s="34" customFormat="1" x14ac:dyDescent="0.35">
      <c r="E366" s="35"/>
      <c r="J366" s="41"/>
    </row>
    <row r="367" spans="5:10" s="34" customFormat="1" x14ac:dyDescent="0.35">
      <c r="E367" s="35"/>
      <c r="J367" s="41"/>
    </row>
    <row r="368" spans="5:10" s="34" customFormat="1" x14ac:dyDescent="0.35">
      <c r="E368" s="35"/>
      <c r="J368" s="41"/>
    </row>
    <row r="369" spans="5:10" s="34" customFormat="1" x14ac:dyDescent="0.35">
      <c r="E369" s="35"/>
      <c r="J369" s="41"/>
    </row>
    <row r="370" spans="5:10" s="34" customFormat="1" x14ac:dyDescent="0.35">
      <c r="E370" s="35"/>
      <c r="J370" s="41"/>
    </row>
    <row r="371" spans="5:10" s="34" customFormat="1" x14ac:dyDescent="0.35">
      <c r="E371" s="35"/>
      <c r="J371" s="41"/>
    </row>
    <row r="372" spans="5:10" s="34" customFormat="1" x14ac:dyDescent="0.35">
      <c r="E372" s="35"/>
      <c r="J372" s="41"/>
    </row>
    <row r="373" spans="5:10" s="34" customFormat="1" x14ac:dyDescent="0.35">
      <c r="E373" s="35"/>
      <c r="J373" s="41"/>
    </row>
    <row r="374" spans="5:10" s="34" customFormat="1" x14ac:dyDescent="0.35">
      <c r="E374" s="35"/>
      <c r="J374" s="41"/>
    </row>
    <row r="375" spans="5:10" s="34" customFormat="1" x14ac:dyDescent="0.35">
      <c r="E375" s="35"/>
      <c r="J375" s="41"/>
    </row>
    <row r="376" spans="5:10" s="34" customFormat="1" x14ac:dyDescent="0.35">
      <c r="E376" s="35"/>
      <c r="J376" s="41"/>
    </row>
    <row r="377" spans="5:10" s="34" customFormat="1" x14ac:dyDescent="0.35">
      <c r="E377" s="35"/>
      <c r="J377" s="41"/>
    </row>
    <row r="378" spans="5:10" s="34" customFormat="1" x14ac:dyDescent="0.35">
      <c r="E378" s="35"/>
      <c r="J378" s="41"/>
    </row>
    <row r="379" spans="5:10" s="34" customFormat="1" x14ac:dyDescent="0.35">
      <c r="E379" s="35"/>
      <c r="J379" s="41"/>
    </row>
    <row r="380" spans="5:10" s="34" customFormat="1" x14ac:dyDescent="0.35">
      <c r="E380" s="35"/>
      <c r="J380" s="41"/>
    </row>
    <row r="381" spans="5:10" s="34" customFormat="1" x14ac:dyDescent="0.35">
      <c r="E381" s="35"/>
      <c r="J381" s="41"/>
    </row>
    <row r="382" spans="5:10" s="34" customFormat="1" x14ac:dyDescent="0.35">
      <c r="E382" s="35"/>
      <c r="J382" s="41"/>
    </row>
    <row r="383" spans="5:10" s="34" customFormat="1" x14ac:dyDescent="0.35">
      <c r="E383" s="35"/>
      <c r="J383" s="41"/>
    </row>
    <row r="384" spans="5:10" s="34" customFormat="1" x14ac:dyDescent="0.35">
      <c r="E384" s="35"/>
      <c r="J384" s="41"/>
    </row>
    <row r="385" spans="5:10" s="34" customFormat="1" x14ac:dyDescent="0.35">
      <c r="E385" s="35"/>
      <c r="J385" s="41"/>
    </row>
    <row r="386" spans="5:10" s="34" customFormat="1" x14ac:dyDescent="0.35">
      <c r="E386" s="35"/>
      <c r="J386" s="41"/>
    </row>
    <row r="387" spans="5:10" s="34" customFormat="1" x14ac:dyDescent="0.35">
      <c r="E387" s="35"/>
      <c r="J387" s="41"/>
    </row>
    <row r="388" spans="5:10" s="34" customFormat="1" x14ac:dyDescent="0.35">
      <c r="E388" s="35"/>
      <c r="J388" s="41"/>
    </row>
    <row r="389" spans="5:10" s="34" customFormat="1" x14ac:dyDescent="0.35">
      <c r="E389" s="35"/>
      <c r="J389" s="41"/>
    </row>
    <row r="390" spans="5:10" s="34" customFormat="1" x14ac:dyDescent="0.35">
      <c r="E390" s="35"/>
      <c r="J390" s="41"/>
    </row>
    <row r="391" spans="5:10" s="34" customFormat="1" x14ac:dyDescent="0.35">
      <c r="E391" s="35"/>
      <c r="J391" s="41"/>
    </row>
    <row r="392" spans="5:10" s="34" customFormat="1" x14ac:dyDescent="0.35">
      <c r="E392" s="35"/>
      <c r="J392" s="41"/>
    </row>
    <row r="393" spans="5:10" s="34" customFormat="1" x14ac:dyDescent="0.35">
      <c r="E393" s="35"/>
      <c r="J393" s="41"/>
    </row>
    <row r="394" spans="5:10" s="34" customFormat="1" x14ac:dyDescent="0.35">
      <c r="E394" s="35"/>
      <c r="J394" s="41"/>
    </row>
    <row r="395" spans="5:10" s="34" customFormat="1" x14ac:dyDescent="0.35">
      <c r="E395" s="35"/>
      <c r="J395" s="41"/>
    </row>
    <row r="396" spans="5:10" s="34" customFormat="1" x14ac:dyDescent="0.35">
      <c r="E396" s="35"/>
      <c r="J396" s="41"/>
    </row>
    <row r="397" spans="5:10" s="34" customFormat="1" x14ac:dyDescent="0.35">
      <c r="E397" s="35"/>
      <c r="J397" s="41"/>
    </row>
    <row r="398" spans="5:10" s="34" customFormat="1" x14ac:dyDescent="0.35">
      <c r="E398" s="35"/>
      <c r="J398" s="41"/>
    </row>
    <row r="399" spans="5:10" s="34" customFormat="1" x14ac:dyDescent="0.35">
      <c r="E399" s="35"/>
      <c r="J399" s="41"/>
    </row>
    <row r="400" spans="5:10" s="34" customFormat="1" x14ac:dyDescent="0.35">
      <c r="E400" s="35"/>
      <c r="J400" s="41"/>
    </row>
    <row r="401" spans="5:10" s="34" customFormat="1" x14ac:dyDescent="0.35">
      <c r="E401" s="35"/>
      <c r="J401" s="41"/>
    </row>
    <row r="402" spans="5:10" s="34" customFormat="1" x14ac:dyDescent="0.35">
      <c r="E402" s="35"/>
      <c r="J402" s="41"/>
    </row>
    <row r="403" spans="5:10" s="34" customFormat="1" x14ac:dyDescent="0.35">
      <c r="E403" s="35"/>
      <c r="J403" s="41"/>
    </row>
    <row r="404" spans="5:10" s="34" customFormat="1" x14ac:dyDescent="0.35">
      <c r="E404" s="35"/>
      <c r="J404" s="41"/>
    </row>
    <row r="405" spans="5:10" s="34" customFormat="1" x14ac:dyDescent="0.35">
      <c r="E405" s="35"/>
      <c r="J405" s="41"/>
    </row>
    <row r="406" spans="5:10" s="34" customFormat="1" x14ac:dyDescent="0.35">
      <c r="E406" s="35"/>
      <c r="J406" s="41"/>
    </row>
    <row r="407" spans="5:10" s="34" customFormat="1" x14ac:dyDescent="0.35">
      <c r="E407" s="35"/>
      <c r="J407" s="41"/>
    </row>
    <row r="408" spans="5:10" s="34" customFormat="1" x14ac:dyDescent="0.35">
      <c r="E408" s="35"/>
      <c r="J408" s="41"/>
    </row>
    <row r="409" spans="5:10" s="34" customFormat="1" x14ac:dyDescent="0.35">
      <c r="E409" s="35"/>
      <c r="J409" s="41"/>
    </row>
    <row r="410" spans="5:10" s="34" customFormat="1" x14ac:dyDescent="0.35">
      <c r="E410" s="35"/>
      <c r="J410" s="41"/>
    </row>
    <row r="411" spans="5:10" s="34" customFormat="1" x14ac:dyDescent="0.35">
      <c r="E411" s="35"/>
      <c r="J411" s="41"/>
    </row>
    <row r="412" spans="5:10" s="34" customFormat="1" x14ac:dyDescent="0.35">
      <c r="E412" s="35"/>
      <c r="J412" s="41"/>
    </row>
    <row r="413" spans="5:10" s="34" customFormat="1" x14ac:dyDescent="0.35">
      <c r="E413" s="35"/>
      <c r="J413" s="41"/>
    </row>
    <row r="414" spans="5:10" s="34" customFormat="1" x14ac:dyDescent="0.35">
      <c r="E414" s="35"/>
      <c r="J414" s="41"/>
    </row>
    <row r="415" spans="5:10" s="34" customFormat="1" x14ac:dyDescent="0.35">
      <c r="E415" s="35"/>
      <c r="J415" s="41"/>
    </row>
    <row r="416" spans="5:10" s="34" customFormat="1" x14ac:dyDescent="0.35">
      <c r="E416" s="35"/>
      <c r="J416" s="41"/>
    </row>
    <row r="417" spans="5:10" s="34" customFormat="1" x14ac:dyDescent="0.35">
      <c r="E417" s="35"/>
      <c r="J417" s="41"/>
    </row>
    <row r="418" spans="5:10" s="34" customFormat="1" x14ac:dyDescent="0.35">
      <c r="E418" s="35"/>
      <c r="J418" s="41"/>
    </row>
    <row r="419" spans="5:10" s="34" customFormat="1" x14ac:dyDescent="0.35">
      <c r="E419" s="35"/>
      <c r="J419" s="41"/>
    </row>
    <row r="420" spans="5:10" s="34" customFormat="1" x14ac:dyDescent="0.35">
      <c r="E420" s="35"/>
      <c r="J420" s="41"/>
    </row>
    <row r="421" spans="5:10" s="34" customFormat="1" x14ac:dyDescent="0.35">
      <c r="E421" s="35"/>
      <c r="J421" s="41"/>
    </row>
    <row r="422" spans="5:10" s="34" customFormat="1" x14ac:dyDescent="0.35">
      <c r="E422" s="35"/>
      <c r="J422" s="41"/>
    </row>
    <row r="423" spans="5:10" s="34" customFormat="1" x14ac:dyDescent="0.35">
      <c r="E423" s="35"/>
      <c r="J423" s="41"/>
    </row>
    <row r="424" spans="5:10" s="34" customFormat="1" x14ac:dyDescent="0.35">
      <c r="E424" s="35"/>
      <c r="J424" s="41"/>
    </row>
    <row r="425" spans="5:10" s="34" customFormat="1" x14ac:dyDescent="0.35">
      <c r="E425" s="35"/>
      <c r="J425" s="41"/>
    </row>
    <row r="426" spans="5:10" s="34" customFormat="1" x14ac:dyDescent="0.35">
      <c r="E426" s="35"/>
      <c r="J426" s="41"/>
    </row>
    <row r="427" spans="5:10" s="34" customFormat="1" x14ac:dyDescent="0.35">
      <c r="E427" s="35"/>
      <c r="J427" s="41"/>
    </row>
    <row r="428" spans="5:10" s="34" customFormat="1" x14ac:dyDescent="0.35">
      <c r="E428" s="35"/>
      <c r="J428" s="41"/>
    </row>
    <row r="429" spans="5:10" s="34" customFormat="1" x14ac:dyDescent="0.35">
      <c r="E429" s="35"/>
      <c r="J429" s="41"/>
    </row>
    <row r="430" spans="5:10" s="34" customFormat="1" x14ac:dyDescent="0.35">
      <c r="E430" s="35"/>
      <c r="J430" s="41"/>
    </row>
    <row r="431" spans="5:10" s="34" customFormat="1" x14ac:dyDescent="0.35">
      <c r="E431" s="35"/>
      <c r="J431" s="41"/>
    </row>
    <row r="432" spans="5:10" s="34" customFormat="1" x14ac:dyDescent="0.35">
      <c r="E432" s="35"/>
      <c r="J432" s="41"/>
    </row>
    <row r="433" spans="5:10" s="34" customFormat="1" x14ac:dyDescent="0.35">
      <c r="E433" s="35"/>
      <c r="J433" s="41"/>
    </row>
    <row r="434" spans="5:10" s="34" customFormat="1" x14ac:dyDescent="0.35">
      <c r="E434" s="35"/>
      <c r="J434" s="41"/>
    </row>
    <row r="435" spans="5:10" s="34" customFormat="1" x14ac:dyDescent="0.35">
      <c r="E435" s="35"/>
      <c r="J435" s="41"/>
    </row>
    <row r="436" spans="5:10" s="34" customFormat="1" x14ac:dyDescent="0.35">
      <c r="E436" s="35"/>
      <c r="J436" s="41"/>
    </row>
    <row r="437" spans="5:10" s="34" customFormat="1" x14ac:dyDescent="0.35">
      <c r="E437" s="35"/>
      <c r="J437" s="41"/>
    </row>
    <row r="438" spans="5:10" s="34" customFormat="1" x14ac:dyDescent="0.35">
      <c r="E438" s="35"/>
      <c r="J438" s="41"/>
    </row>
    <row r="439" spans="5:10" s="34" customFormat="1" x14ac:dyDescent="0.35">
      <c r="E439" s="35"/>
      <c r="J439" s="41"/>
    </row>
    <row r="440" spans="5:10" s="34" customFormat="1" x14ac:dyDescent="0.35">
      <c r="E440" s="35"/>
      <c r="J440" s="41"/>
    </row>
    <row r="441" spans="5:10" s="34" customFormat="1" x14ac:dyDescent="0.35">
      <c r="E441" s="35"/>
      <c r="J441" s="41"/>
    </row>
    <row r="442" spans="5:10" s="34" customFormat="1" x14ac:dyDescent="0.35">
      <c r="E442" s="35"/>
      <c r="J442" s="41"/>
    </row>
    <row r="443" spans="5:10" s="34" customFormat="1" x14ac:dyDescent="0.35">
      <c r="E443" s="35"/>
      <c r="J443" s="41"/>
    </row>
    <row r="444" spans="5:10" s="34" customFormat="1" x14ac:dyDescent="0.35">
      <c r="E444" s="35"/>
      <c r="J444" s="41"/>
    </row>
    <row r="445" spans="5:10" s="34" customFormat="1" x14ac:dyDescent="0.35">
      <c r="E445" s="35"/>
      <c r="J445" s="41"/>
    </row>
    <row r="446" spans="5:10" s="34" customFormat="1" x14ac:dyDescent="0.35">
      <c r="E446" s="35"/>
      <c r="J446" s="41"/>
    </row>
    <row r="447" spans="5:10" s="34" customFormat="1" x14ac:dyDescent="0.35">
      <c r="E447" s="35"/>
      <c r="J447" s="41"/>
    </row>
    <row r="448" spans="5:10" s="34" customFormat="1" x14ac:dyDescent="0.35">
      <c r="E448" s="35"/>
      <c r="J448" s="41"/>
    </row>
    <row r="449" spans="5:10" s="34" customFormat="1" x14ac:dyDescent="0.35">
      <c r="E449" s="35"/>
      <c r="J449" s="41"/>
    </row>
    <row r="450" spans="5:10" s="34" customFormat="1" x14ac:dyDescent="0.35">
      <c r="E450" s="35"/>
      <c r="J450" s="41"/>
    </row>
    <row r="451" spans="5:10" s="34" customFormat="1" x14ac:dyDescent="0.35">
      <c r="E451" s="35"/>
      <c r="J451" s="41"/>
    </row>
    <row r="452" spans="5:10" s="34" customFormat="1" x14ac:dyDescent="0.35">
      <c r="E452" s="35"/>
      <c r="J452" s="41"/>
    </row>
    <row r="453" spans="5:10" s="34" customFormat="1" x14ac:dyDescent="0.35">
      <c r="E453" s="35"/>
      <c r="J453" s="41"/>
    </row>
    <row r="454" spans="5:10" s="34" customFormat="1" x14ac:dyDescent="0.35">
      <c r="E454" s="35"/>
      <c r="J454" s="41"/>
    </row>
    <row r="455" spans="5:10" s="34" customFormat="1" x14ac:dyDescent="0.35">
      <c r="E455" s="35"/>
      <c r="J455" s="41"/>
    </row>
    <row r="456" spans="5:10" s="34" customFormat="1" x14ac:dyDescent="0.35">
      <c r="E456" s="35"/>
      <c r="J456" s="41"/>
    </row>
    <row r="457" spans="5:10" s="34" customFormat="1" x14ac:dyDescent="0.35">
      <c r="E457" s="35"/>
      <c r="J457" s="41"/>
    </row>
    <row r="458" spans="5:10" s="34" customFormat="1" x14ac:dyDescent="0.35">
      <c r="E458" s="35"/>
      <c r="J458" s="41"/>
    </row>
    <row r="459" spans="5:10" s="34" customFormat="1" x14ac:dyDescent="0.35">
      <c r="E459" s="35"/>
      <c r="J459" s="41"/>
    </row>
    <row r="460" spans="5:10" s="34" customFormat="1" x14ac:dyDescent="0.35">
      <c r="E460" s="35"/>
      <c r="J460" s="41"/>
    </row>
    <row r="461" spans="5:10" s="34" customFormat="1" x14ac:dyDescent="0.35">
      <c r="E461" s="35"/>
      <c r="J461" s="41"/>
    </row>
    <row r="462" spans="5:10" s="34" customFormat="1" x14ac:dyDescent="0.35">
      <c r="E462" s="35"/>
      <c r="J462" s="41"/>
    </row>
    <row r="463" spans="5:10" s="34" customFormat="1" x14ac:dyDescent="0.35">
      <c r="E463" s="35"/>
      <c r="J463" s="41"/>
    </row>
    <row r="464" spans="5:10" s="34" customFormat="1" x14ac:dyDescent="0.35">
      <c r="E464" s="35"/>
      <c r="J464" s="41"/>
    </row>
    <row r="465" spans="5:10" s="34" customFormat="1" x14ac:dyDescent="0.35">
      <c r="E465" s="35"/>
      <c r="J465" s="41"/>
    </row>
    <row r="466" spans="5:10" s="34" customFormat="1" x14ac:dyDescent="0.35">
      <c r="E466" s="35"/>
      <c r="J466" s="41"/>
    </row>
    <row r="467" spans="5:10" s="34" customFormat="1" x14ac:dyDescent="0.35">
      <c r="E467" s="35"/>
      <c r="J467" s="41"/>
    </row>
    <row r="468" spans="5:10" s="34" customFormat="1" x14ac:dyDescent="0.35">
      <c r="E468" s="35"/>
      <c r="J468" s="41"/>
    </row>
    <row r="469" spans="5:10" s="34" customFormat="1" x14ac:dyDescent="0.35">
      <c r="E469" s="35"/>
      <c r="J469" s="41"/>
    </row>
    <row r="470" spans="5:10" s="34" customFormat="1" x14ac:dyDescent="0.35">
      <c r="E470" s="35"/>
      <c r="J470" s="41"/>
    </row>
    <row r="471" spans="5:10" s="34" customFormat="1" x14ac:dyDescent="0.35">
      <c r="E471" s="35"/>
      <c r="J471" s="41"/>
    </row>
    <row r="472" spans="5:10" s="34" customFormat="1" x14ac:dyDescent="0.35">
      <c r="E472" s="35"/>
      <c r="J472" s="41"/>
    </row>
    <row r="473" spans="5:10" s="34" customFormat="1" x14ac:dyDescent="0.35">
      <c r="E473" s="35"/>
      <c r="J473" s="41"/>
    </row>
    <row r="474" spans="5:10" s="34" customFormat="1" x14ac:dyDescent="0.35">
      <c r="E474" s="35"/>
      <c r="J474" s="41"/>
    </row>
    <row r="475" spans="5:10" s="34" customFormat="1" x14ac:dyDescent="0.35">
      <c r="E475" s="35"/>
      <c r="J475" s="41"/>
    </row>
    <row r="476" spans="5:10" s="34" customFormat="1" x14ac:dyDescent="0.35">
      <c r="E476" s="35"/>
      <c r="J476" s="41"/>
    </row>
    <row r="477" spans="5:10" s="34" customFormat="1" x14ac:dyDescent="0.35">
      <c r="E477" s="35"/>
      <c r="J477" s="41"/>
    </row>
    <row r="478" spans="5:10" s="34" customFormat="1" x14ac:dyDescent="0.35">
      <c r="E478" s="35"/>
      <c r="J478" s="41"/>
    </row>
    <row r="479" spans="5:10" s="34" customFormat="1" x14ac:dyDescent="0.35">
      <c r="E479" s="35"/>
      <c r="J479" s="41"/>
    </row>
    <row r="480" spans="5:10" s="34" customFormat="1" x14ac:dyDescent="0.35">
      <c r="E480" s="35"/>
      <c r="J480" s="41"/>
    </row>
    <row r="481" spans="5:10" s="34" customFormat="1" x14ac:dyDescent="0.35">
      <c r="E481" s="35"/>
      <c r="J481" s="41"/>
    </row>
    <row r="482" spans="5:10" s="34" customFormat="1" x14ac:dyDescent="0.35">
      <c r="E482" s="35"/>
      <c r="J482" s="41"/>
    </row>
    <row r="483" spans="5:10" s="34" customFormat="1" x14ac:dyDescent="0.35">
      <c r="E483" s="35"/>
      <c r="J483" s="41"/>
    </row>
    <row r="484" spans="5:10" s="34" customFormat="1" x14ac:dyDescent="0.35">
      <c r="E484" s="35"/>
      <c r="J484" s="41"/>
    </row>
    <row r="485" spans="5:10" s="34" customFormat="1" x14ac:dyDescent="0.35">
      <c r="E485" s="35"/>
      <c r="J485" s="41"/>
    </row>
    <row r="486" spans="5:10" s="34" customFormat="1" x14ac:dyDescent="0.35">
      <c r="E486" s="35"/>
      <c r="J486" s="41"/>
    </row>
    <row r="487" spans="5:10" s="34" customFormat="1" x14ac:dyDescent="0.35">
      <c r="E487" s="35"/>
      <c r="J487" s="41"/>
    </row>
    <row r="488" spans="5:10" s="34" customFormat="1" x14ac:dyDescent="0.35">
      <c r="E488" s="35"/>
      <c r="J488" s="41"/>
    </row>
    <row r="489" spans="5:10" s="34" customFormat="1" x14ac:dyDescent="0.35">
      <c r="E489" s="35"/>
      <c r="J489" s="41"/>
    </row>
    <row r="490" spans="5:10" s="34" customFormat="1" x14ac:dyDescent="0.35">
      <c r="E490" s="35"/>
      <c r="J490" s="41"/>
    </row>
    <row r="491" spans="5:10" s="34" customFormat="1" x14ac:dyDescent="0.35">
      <c r="E491" s="35"/>
      <c r="J491" s="41"/>
    </row>
    <row r="492" spans="5:10" s="34" customFormat="1" x14ac:dyDescent="0.35">
      <c r="E492" s="35"/>
      <c r="J492" s="41"/>
    </row>
    <row r="493" spans="5:10" s="34" customFormat="1" x14ac:dyDescent="0.35">
      <c r="E493" s="35"/>
      <c r="J493" s="41"/>
    </row>
    <row r="494" spans="5:10" s="34" customFormat="1" x14ac:dyDescent="0.35">
      <c r="E494" s="35"/>
      <c r="J494" s="41"/>
    </row>
    <row r="495" spans="5:10" s="34" customFormat="1" x14ac:dyDescent="0.35">
      <c r="E495" s="35"/>
      <c r="J495" s="41"/>
    </row>
    <row r="496" spans="5:10" s="34" customFormat="1" x14ac:dyDescent="0.35">
      <c r="E496" s="35"/>
      <c r="J496" s="41"/>
    </row>
    <row r="497" spans="5:10" s="34" customFormat="1" x14ac:dyDescent="0.35">
      <c r="E497" s="35"/>
      <c r="J497" s="41"/>
    </row>
    <row r="498" spans="5:10" s="34" customFormat="1" x14ac:dyDescent="0.35">
      <c r="E498" s="35"/>
      <c r="J498" s="41"/>
    </row>
    <row r="499" spans="5:10" s="34" customFormat="1" x14ac:dyDescent="0.35">
      <c r="E499" s="35"/>
      <c r="J499" s="41"/>
    </row>
    <row r="500" spans="5:10" s="34" customFormat="1" x14ac:dyDescent="0.35">
      <c r="E500" s="35"/>
      <c r="J500" s="41"/>
    </row>
    <row r="501" spans="5:10" s="34" customFormat="1" x14ac:dyDescent="0.35">
      <c r="E501" s="35"/>
      <c r="J501" s="41"/>
    </row>
    <row r="502" spans="5:10" s="34" customFormat="1" x14ac:dyDescent="0.35">
      <c r="E502" s="35"/>
      <c r="J502" s="41"/>
    </row>
    <row r="503" spans="5:10" s="34" customFormat="1" x14ac:dyDescent="0.35">
      <c r="E503" s="35"/>
      <c r="J503" s="41"/>
    </row>
    <row r="504" spans="5:10" s="34" customFormat="1" x14ac:dyDescent="0.35">
      <c r="E504" s="35"/>
      <c r="J504" s="41"/>
    </row>
    <row r="505" spans="5:10" s="34" customFormat="1" x14ac:dyDescent="0.35">
      <c r="E505" s="35"/>
      <c r="J505" s="41"/>
    </row>
    <row r="506" spans="5:10" s="34" customFormat="1" x14ac:dyDescent="0.35">
      <c r="E506" s="35"/>
      <c r="J506" s="41"/>
    </row>
    <row r="507" spans="5:10" s="34" customFormat="1" x14ac:dyDescent="0.35">
      <c r="E507" s="35"/>
      <c r="J507" s="41"/>
    </row>
    <row r="508" spans="5:10" s="34" customFormat="1" x14ac:dyDescent="0.35">
      <c r="E508" s="35"/>
      <c r="J508" s="41"/>
    </row>
    <row r="509" spans="5:10" s="34" customFormat="1" x14ac:dyDescent="0.35">
      <c r="E509" s="35"/>
      <c r="J509" s="41"/>
    </row>
    <row r="510" spans="5:10" s="34" customFormat="1" x14ac:dyDescent="0.35">
      <c r="E510" s="35"/>
      <c r="J510" s="41"/>
    </row>
    <row r="511" spans="5:10" s="34" customFormat="1" x14ac:dyDescent="0.35">
      <c r="E511" s="35"/>
      <c r="J511" s="41"/>
    </row>
    <row r="512" spans="5:10" s="34" customFormat="1" x14ac:dyDescent="0.35">
      <c r="E512" s="35"/>
      <c r="J512" s="41"/>
    </row>
    <row r="513" spans="5:10" s="34" customFormat="1" x14ac:dyDescent="0.35">
      <c r="E513" s="35"/>
      <c r="J513" s="41"/>
    </row>
    <row r="514" spans="5:10" s="34" customFormat="1" x14ac:dyDescent="0.35">
      <c r="E514" s="35"/>
      <c r="J514" s="41"/>
    </row>
    <row r="515" spans="5:10" s="34" customFormat="1" x14ac:dyDescent="0.35">
      <c r="E515" s="35"/>
      <c r="J515" s="41"/>
    </row>
    <row r="516" spans="5:10" s="34" customFormat="1" x14ac:dyDescent="0.35">
      <c r="E516" s="35"/>
      <c r="J516" s="41"/>
    </row>
    <row r="517" spans="5:10" s="34" customFormat="1" x14ac:dyDescent="0.35">
      <c r="E517" s="35"/>
      <c r="J517" s="41"/>
    </row>
    <row r="518" spans="5:10" s="34" customFormat="1" x14ac:dyDescent="0.35">
      <c r="E518" s="35"/>
      <c r="J518" s="41"/>
    </row>
    <row r="519" spans="5:10" s="34" customFormat="1" x14ac:dyDescent="0.35">
      <c r="E519" s="35"/>
      <c r="J519" s="41"/>
    </row>
    <row r="520" spans="5:10" s="34" customFormat="1" x14ac:dyDescent="0.35">
      <c r="E520" s="35"/>
      <c r="J520" s="41"/>
    </row>
    <row r="521" spans="5:10" s="34" customFormat="1" x14ac:dyDescent="0.35">
      <c r="E521" s="35"/>
      <c r="J521" s="41"/>
    </row>
    <row r="522" spans="5:10" s="34" customFormat="1" x14ac:dyDescent="0.35">
      <c r="E522" s="35"/>
      <c r="J522" s="41"/>
    </row>
    <row r="523" spans="5:10" s="34" customFormat="1" x14ac:dyDescent="0.35">
      <c r="E523" s="35"/>
      <c r="J523" s="41"/>
    </row>
    <row r="524" spans="5:10" s="34" customFormat="1" x14ac:dyDescent="0.35">
      <c r="E524" s="35"/>
      <c r="J524" s="41"/>
    </row>
    <row r="525" spans="5:10" s="34" customFormat="1" x14ac:dyDescent="0.35">
      <c r="E525" s="35"/>
      <c r="J525" s="41"/>
    </row>
    <row r="526" spans="5:10" s="34" customFormat="1" x14ac:dyDescent="0.35">
      <c r="E526" s="35"/>
      <c r="J526" s="41"/>
    </row>
    <row r="527" spans="5:10" s="34" customFormat="1" x14ac:dyDescent="0.35">
      <c r="E527" s="35"/>
      <c r="J527" s="41"/>
    </row>
    <row r="528" spans="5:10" s="34" customFormat="1" x14ac:dyDescent="0.35">
      <c r="E528" s="35"/>
      <c r="J528" s="41"/>
    </row>
    <row r="529" spans="5:10" s="34" customFormat="1" x14ac:dyDescent="0.35">
      <c r="E529" s="35"/>
      <c r="J529" s="41"/>
    </row>
    <row r="530" spans="5:10" s="34" customFormat="1" x14ac:dyDescent="0.35">
      <c r="E530" s="35"/>
      <c r="J530" s="41"/>
    </row>
    <row r="531" spans="5:10" s="34" customFormat="1" x14ac:dyDescent="0.35">
      <c r="E531" s="35"/>
      <c r="J531" s="41"/>
    </row>
    <row r="532" spans="5:10" s="34" customFormat="1" x14ac:dyDescent="0.35">
      <c r="E532" s="35"/>
      <c r="J532" s="41"/>
    </row>
    <row r="533" spans="5:10" s="34" customFormat="1" x14ac:dyDescent="0.35">
      <c r="E533" s="35"/>
      <c r="J533" s="41"/>
    </row>
    <row r="534" spans="5:10" s="34" customFormat="1" x14ac:dyDescent="0.35">
      <c r="E534" s="35"/>
      <c r="J534" s="41"/>
    </row>
    <row r="535" spans="5:10" s="34" customFormat="1" x14ac:dyDescent="0.35">
      <c r="E535" s="35"/>
      <c r="J535" s="41"/>
    </row>
    <row r="536" spans="5:10" s="34" customFormat="1" x14ac:dyDescent="0.35">
      <c r="E536" s="35"/>
      <c r="J536" s="41"/>
    </row>
    <row r="537" spans="5:10" s="34" customFormat="1" x14ac:dyDescent="0.35">
      <c r="E537" s="35"/>
      <c r="J537" s="41"/>
    </row>
    <row r="538" spans="5:10" s="34" customFormat="1" x14ac:dyDescent="0.35">
      <c r="E538" s="35"/>
      <c r="J538" s="41"/>
    </row>
    <row r="539" spans="5:10" s="34" customFormat="1" x14ac:dyDescent="0.35">
      <c r="E539" s="35"/>
      <c r="J539" s="41"/>
    </row>
    <row r="540" spans="5:10" s="34" customFormat="1" x14ac:dyDescent="0.35">
      <c r="E540" s="35"/>
      <c r="J540" s="41"/>
    </row>
    <row r="541" spans="5:10" s="34" customFormat="1" x14ac:dyDescent="0.35">
      <c r="E541" s="35"/>
      <c r="J541" s="41"/>
    </row>
    <row r="542" spans="5:10" s="34" customFormat="1" x14ac:dyDescent="0.35">
      <c r="E542" s="35"/>
      <c r="J542" s="41"/>
    </row>
    <row r="543" spans="5:10" s="34" customFormat="1" x14ac:dyDescent="0.35">
      <c r="E543" s="35"/>
      <c r="J543" s="41"/>
    </row>
    <row r="544" spans="5:10" s="34" customFormat="1" x14ac:dyDescent="0.35">
      <c r="E544" s="35"/>
      <c r="J544" s="41"/>
    </row>
    <row r="545" spans="5:10" s="34" customFormat="1" x14ac:dyDescent="0.35">
      <c r="E545" s="35"/>
      <c r="J545" s="41"/>
    </row>
    <row r="546" spans="5:10" s="34" customFormat="1" x14ac:dyDescent="0.35">
      <c r="E546" s="35"/>
      <c r="J546" s="41"/>
    </row>
    <row r="547" spans="5:10" s="34" customFormat="1" x14ac:dyDescent="0.35">
      <c r="E547" s="35"/>
      <c r="J547" s="41"/>
    </row>
    <row r="548" spans="5:10" s="34" customFormat="1" x14ac:dyDescent="0.35">
      <c r="E548" s="35"/>
      <c r="J548" s="41"/>
    </row>
    <row r="549" spans="5:10" s="34" customFormat="1" x14ac:dyDescent="0.35">
      <c r="E549" s="35"/>
      <c r="J549" s="41"/>
    </row>
    <row r="550" spans="5:10" s="34" customFormat="1" x14ac:dyDescent="0.35">
      <c r="E550" s="35"/>
      <c r="J550" s="41"/>
    </row>
    <row r="551" spans="5:10" s="34" customFormat="1" x14ac:dyDescent="0.35">
      <c r="E551" s="35"/>
      <c r="J551" s="41"/>
    </row>
    <row r="552" spans="5:10" s="34" customFormat="1" x14ac:dyDescent="0.35">
      <c r="E552" s="35"/>
      <c r="J552" s="41"/>
    </row>
    <row r="553" spans="5:10" s="34" customFormat="1" x14ac:dyDescent="0.35">
      <c r="E553" s="35"/>
      <c r="J553" s="41"/>
    </row>
    <row r="554" spans="5:10" s="34" customFormat="1" x14ac:dyDescent="0.35">
      <c r="E554" s="35"/>
      <c r="J554" s="41"/>
    </row>
    <row r="555" spans="5:10" s="34" customFormat="1" x14ac:dyDescent="0.35">
      <c r="E555" s="35"/>
      <c r="J555" s="41"/>
    </row>
    <row r="556" spans="5:10" s="34" customFormat="1" x14ac:dyDescent="0.35">
      <c r="E556" s="35"/>
      <c r="J556" s="41"/>
    </row>
    <row r="557" spans="5:10" s="34" customFormat="1" x14ac:dyDescent="0.35">
      <c r="E557" s="35"/>
      <c r="J557" s="41"/>
    </row>
    <row r="558" spans="5:10" s="34" customFormat="1" x14ac:dyDescent="0.35">
      <c r="E558" s="35"/>
      <c r="J558" s="41"/>
    </row>
    <row r="559" spans="5:10" s="34" customFormat="1" x14ac:dyDescent="0.35">
      <c r="E559" s="35"/>
      <c r="J559" s="41"/>
    </row>
    <row r="560" spans="5:10" s="34" customFormat="1" x14ac:dyDescent="0.35">
      <c r="E560" s="35"/>
      <c r="J560" s="41"/>
    </row>
    <row r="561" spans="5:10" s="34" customFormat="1" x14ac:dyDescent="0.35">
      <c r="E561" s="35"/>
      <c r="J561" s="41"/>
    </row>
    <row r="562" spans="5:10" s="34" customFormat="1" x14ac:dyDescent="0.35">
      <c r="E562" s="35"/>
      <c r="J562" s="41"/>
    </row>
    <row r="563" spans="5:10" s="34" customFormat="1" x14ac:dyDescent="0.35">
      <c r="E563" s="35"/>
      <c r="J563" s="41"/>
    </row>
    <row r="564" spans="5:10" s="34" customFormat="1" x14ac:dyDescent="0.35">
      <c r="E564" s="35"/>
      <c r="J564" s="41"/>
    </row>
    <row r="565" spans="5:10" s="34" customFormat="1" x14ac:dyDescent="0.35">
      <c r="E565" s="35"/>
      <c r="J565" s="41"/>
    </row>
    <row r="566" spans="5:10" s="34" customFormat="1" x14ac:dyDescent="0.35">
      <c r="E566" s="35"/>
      <c r="J566" s="41"/>
    </row>
    <row r="567" spans="5:10" s="34" customFormat="1" x14ac:dyDescent="0.35">
      <c r="E567" s="35"/>
      <c r="J567" s="41"/>
    </row>
    <row r="568" spans="5:10" s="34" customFormat="1" x14ac:dyDescent="0.35">
      <c r="E568" s="35"/>
      <c r="J568" s="41"/>
    </row>
    <row r="569" spans="5:10" s="34" customFormat="1" x14ac:dyDescent="0.35">
      <c r="E569" s="35"/>
      <c r="J569" s="41"/>
    </row>
    <row r="570" spans="5:10" s="34" customFormat="1" x14ac:dyDescent="0.35">
      <c r="E570" s="35"/>
      <c r="J570" s="41"/>
    </row>
    <row r="571" spans="5:10" s="34" customFormat="1" x14ac:dyDescent="0.35">
      <c r="E571" s="35"/>
      <c r="J571" s="41"/>
    </row>
    <row r="572" spans="5:10" s="34" customFormat="1" x14ac:dyDescent="0.35">
      <c r="E572" s="35"/>
      <c r="J572" s="41"/>
    </row>
    <row r="573" spans="5:10" s="34" customFormat="1" x14ac:dyDescent="0.35">
      <c r="E573" s="35"/>
      <c r="J573" s="41"/>
    </row>
    <row r="574" spans="5:10" s="34" customFormat="1" x14ac:dyDescent="0.35">
      <c r="E574" s="35"/>
      <c r="J574" s="41"/>
    </row>
    <row r="575" spans="5:10" s="34" customFormat="1" x14ac:dyDescent="0.35">
      <c r="E575" s="35"/>
      <c r="J575" s="41"/>
    </row>
    <row r="576" spans="5:10" s="34" customFormat="1" x14ac:dyDescent="0.35">
      <c r="E576" s="35"/>
      <c r="J576" s="41"/>
    </row>
    <row r="577" spans="5:10" s="34" customFormat="1" x14ac:dyDescent="0.35">
      <c r="E577" s="35"/>
      <c r="J577" s="41"/>
    </row>
    <row r="578" spans="5:10" s="34" customFormat="1" x14ac:dyDescent="0.35">
      <c r="E578" s="35"/>
      <c r="J578" s="41"/>
    </row>
    <row r="579" spans="5:10" s="34" customFormat="1" x14ac:dyDescent="0.35">
      <c r="E579" s="35"/>
      <c r="J579" s="41"/>
    </row>
    <row r="580" spans="5:10" s="34" customFormat="1" x14ac:dyDescent="0.35">
      <c r="E580" s="35"/>
      <c r="J580" s="41"/>
    </row>
    <row r="581" spans="5:10" s="34" customFormat="1" x14ac:dyDescent="0.35">
      <c r="E581" s="35"/>
      <c r="J581" s="41"/>
    </row>
    <row r="582" spans="5:10" s="34" customFormat="1" x14ac:dyDescent="0.35">
      <c r="E582" s="35"/>
      <c r="J582" s="41"/>
    </row>
    <row r="583" spans="5:10" s="34" customFormat="1" x14ac:dyDescent="0.35">
      <c r="E583" s="35"/>
      <c r="J583" s="41"/>
    </row>
    <row r="584" spans="5:10" s="34" customFormat="1" x14ac:dyDescent="0.35">
      <c r="E584" s="35"/>
      <c r="J584" s="41"/>
    </row>
    <row r="585" spans="5:10" s="34" customFormat="1" x14ac:dyDescent="0.35">
      <c r="E585" s="35"/>
      <c r="J585" s="41"/>
    </row>
    <row r="586" spans="5:10" s="34" customFormat="1" x14ac:dyDescent="0.35">
      <c r="E586" s="35"/>
      <c r="J586" s="41"/>
    </row>
    <row r="587" spans="5:10" s="34" customFormat="1" x14ac:dyDescent="0.35">
      <c r="E587" s="35"/>
      <c r="J587" s="41"/>
    </row>
    <row r="588" spans="5:10" s="34" customFormat="1" x14ac:dyDescent="0.35">
      <c r="E588" s="35"/>
      <c r="J588" s="41"/>
    </row>
    <row r="589" spans="5:10" s="34" customFormat="1" x14ac:dyDescent="0.35">
      <c r="E589" s="35"/>
      <c r="J589" s="41"/>
    </row>
    <row r="590" spans="5:10" s="34" customFormat="1" x14ac:dyDescent="0.35">
      <c r="E590" s="35"/>
      <c r="J590" s="41"/>
    </row>
    <row r="591" spans="5:10" s="34" customFormat="1" x14ac:dyDescent="0.35">
      <c r="E591" s="35"/>
      <c r="J591" s="41"/>
    </row>
    <row r="592" spans="5:10" s="34" customFormat="1" x14ac:dyDescent="0.35">
      <c r="E592" s="35"/>
      <c r="J592" s="41"/>
    </row>
    <row r="593" spans="5:10" s="34" customFormat="1" x14ac:dyDescent="0.35">
      <c r="E593" s="35"/>
      <c r="J593" s="41"/>
    </row>
    <row r="594" spans="5:10" s="34" customFormat="1" x14ac:dyDescent="0.35">
      <c r="E594" s="35"/>
      <c r="J594" s="41"/>
    </row>
    <row r="595" spans="5:10" s="34" customFormat="1" x14ac:dyDescent="0.35">
      <c r="E595" s="35"/>
      <c r="J595" s="41"/>
    </row>
    <row r="596" spans="5:10" s="34" customFormat="1" x14ac:dyDescent="0.35">
      <c r="E596" s="35"/>
      <c r="J596" s="41"/>
    </row>
    <row r="597" spans="5:10" s="34" customFormat="1" x14ac:dyDescent="0.35">
      <c r="E597" s="35"/>
      <c r="J597" s="41"/>
    </row>
    <row r="598" spans="5:10" s="34" customFormat="1" x14ac:dyDescent="0.35">
      <c r="E598" s="35"/>
      <c r="J598" s="41"/>
    </row>
    <row r="599" spans="5:10" s="34" customFormat="1" x14ac:dyDescent="0.35">
      <c r="E599" s="35"/>
      <c r="J599" s="41"/>
    </row>
    <row r="600" spans="5:10" s="34" customFormat="1" x14ac:dyDescent="0.35">
      <c r="E600" s="35"/>
      <c r="J600" s="41"/>
    </row>
    <row r="601" spans="5:10" s="34" customFormat="1" x14ac:dyDescent="0.35">
      <c r="E601" s="35"/>
      <c r="J601" s="41"/>
    </row>
    <row r="602" spans="5:10" s="34" customFormat="1" x14ac:dyDescent="0.35">
      <c r="E602" s="35"/>
      <c r="J602" s="41"/>
    </row>
    <row r="603" spans="5:10" s="34" customFormat="1" x14ac:dyDescent="0.35">
      <c r="E603" s="35"/>
      <c r="J603" s="41"/>
    </row>
    <row r="604" spans="5:10" s="34" customFormat="1" x14ac:dyDescent="0.35">
      <c r="E604" s="35"/>
      <c r="J604" s="41"/>
    </row>
    <row r="605" spans="5:10" s="34" customFormat="1" x14ac:dyDescent="0.35">
      <c r="E605" s="35"/>
      <c r="J605" s="41"/>
    </row>
    <row r="606" spans="5:10" s="34" customFormat="1" x14ac:dyDescent="0.35">
      <c r="E606" s="35"/>
      <c r="J606" s="41"/>
    </row>
    <row r="607" spans="5:10" s="34" customFormat="1" x14ac:dyDescent="0.35">
      <c r="E607" s="35"/>
      <c r="J607" s="41"/>
    </row>
    <row r="608" spans="5:10" s="34" customFormat="1" x14ac:dyDescent="0.35">
      <c r="E608" s="35"/>
      <c r="J608" s="41"/>
    </row>
    <row r="609" spans="5:10" s="34" customFormat="1" x14ac:dyDescent="0.35">
      <c r="E609" s="35"/>
      <c r="J609" s="41"/>
    </row>
    <row r="610" spans="5:10" s="34" customFormat="1" x14ac:dyDescent="0.35">
      <c r="E610" s="35"/>
      <c r="J610" s="41"/>
    </row>
    <row r="611" spans="5:10" s="34" customFormat="1" x14ac:dyDescent="0.35">
      <c r="E611" s="35"/>
      <c r="J611" s="41"/>
    </row>
    <row r="612" spans="5:10" s="34" customFormat="1" x14ac:dyDescent="0.35">
      <c r="E612" s="35"/>
      <c r="J612" s="41"/>
    </row>
    <row r="613" spans="5:10" s="34" customFormat="1" x14ac:dyDescent="0.35">
      <c r="E613" s="35"/>
      <c r="J613" s="41"/>
    </row>
    <row r="614" spans="5:10" s="34" customFormat="1" x14ac:dyDescent="0.35">
      <c r="E614" s="35"/>
      <c r="J614" s="41"/>
    </row>
    <row r="615" spans="5:10" s="34" customFormat="1" x14ac:dyDescent="0.35">
      <c r="E615" s="35"/>
      <c r="J615" s="41"/>
    </row>
    <row r="616" spans="5:10" s="34" customFormat="1" x14ac:dyDescent="0.35">
      <c r="E616" s="35"/>
      <c r="J616" s="41"/>
    </row>
    <row r="617" spans="5:10" s="34" customFormat="1" x14ac:dyDescent="0.35">
      <c r="E617" s="35"/>
      <c r="J617" s="41"/>
    </row>
    <row r="618" spans="5:10" s="34" customFormat="1" x14ac:dyDescent="0.35">
      <c r="E618" s="35"/>
      <c r="J618" s="41"/>
    </row>
    <row r="619" spans="5:10" s="34" customFormat="1" x14ac:dyDescent="0.35">
      <c r="E619" s="35"/>
      <c r="J619" s="41"/>
    </row>
    <row r="620" spans="5:10" s="34" customFormat="1" x14ac:dyDescent="0.35">
      <c r="E620" s="35"/>
      <c r="J620" s="41"/>
    </row>
    <row r="621" spans="5:10" s="34" customFormat="1" x14ac:dyDescent="0.35">
      <c r="E621" s="35"/>
      <c r="J621" s="41"/>
    </row>
    <row r="622" spans="5:10" s="34" customFormat="1" x14ac:dyDescent="0.35">
      <c r="E622" s="35"/>
      <c r="J622" s="41"/>
    </row>
    <row r="623" spans="5:10" s="34" customFormat="1" x14ac:dyDescent="0.35">
      <c r="E623" s="35"/>
      <c r="J623" s="41"/>
    </row>
    <row r="624" spans="5:10" s="34" customFormat="1" x14ac:dyDescent="0.35">
      <c r="E624" s="35"/>
      <c r="J624" s="41"/>
    </row>
    <row r="625" spans="5:10" s="34" customFormat="1" x14ac:dyDescent="0.35">
      <c r="E625" s="35"/>
      <c r="J625" s="41"/>
    </row>
    <row r="626" spans="5:10" s="34" customFormat="1" x14ac:dyDescent="0.35">
      <c r="E626" s="35"/>
      <c r="J626" s="41"/>
    </row>
    <row r="627" spans="5:10" s="34" customFormat="1" x14ac:dyDescent="0.35">
      <c r="E627" s="35"/>
      <c r="J627" s="41"/>
    </row>
    <row r="628" spans="5:10" s="34" customFormat="1" x14ac:dyDescent="0.35">
      <c r="E628" s="35"/>
      <c r="J628" s="41"/>
    </row>
    <row r="629" spans="5:10" s="34" customFormat="1" x14ac:dyDescent="0.35">
      <c r="E629" s="35"/>
      <c r="J629" s="41"/>
    </row>
    <row r="630" spans="5:10" s="34" customFormat="1" x14ac:dyDescent="0.35">
      <c r="E630" s="35"/>
      <c r="J630" s="41"/>
    </row>
    <row r="631" spans="5:10" s="34" customFormat="1" x14ac:dyDescent="0.35">
      <c r="E631" s="35"/>
      <c r="J631" s="41"/>
    </row>
    <row r="632" spans="5:10" s="34" customFormat="1" x14ac:dyDescent="0.35">
      <c r="E632" s="35"/>
      <c r="J632" s="41"/>
    </row>
    <row r="633" spans="5:10" s="34" customFormat="1" x14ac:dyDescent="0.35">
      <c r="E633" s="35"/>
      <c r="J633" s="41"/>
    </row>
    <row r="634" spans="5:10" s="34" customFormat="1" x14ac:dyDescent="0.35">
      <c r="E634" s="35"/>
      <c r="J634" s="41"/>
    </row>
    <row r="635" spans="5:10" s="34" customFormat="1" x14ac:dyDescent="0.35">
      <c r="E635" s="35"/>
      <c r="J635" s="41"/>
    </row>
    <row r="636" spans="5:10" s="34" customFormat="1" x14ac:dyDescent="0.35">
      <c r="E636" s="35"/>
      <c r="J636" s="41"/>
    </row>
    <row r="637" spans="5:10" s="34" customFormat="1" x14ac:dyDescent="0.35">
      <c r="E637" s="35"/>
      <c r="J637" s="41"/>
    </row>
    <row r="638" spans="5:10" s="34" customFormat="1" x14ac:dyDescent="0.35">
      <c r="E638" s="35"/>
      <c r="J638" s="41"/>
    </row>
    <row r="639" spans="5:10" s="34" customFormat="1" x14ac:dyDescent="0.35">
      <c r="E639" s="35"/>
      <c r="J639" s="41"/>
    </row>
    <row r="640" spans="5:10" s="34" customFormat="1" x14ac:dyDescent="0.35">
      <c r="E640" s="35"/>
      <c r="J640" s="41"/>
    </row>
    <row r="641" spans="5:10" s="34" customFormat="1" x14ac:dyDescent="0.35">
      <c r="E641" s="35"/>
      <c r="J641" s="41"/>
    </row>
    <row r="642" spans="5:10" s="34" customFormat="1" x14ac:dyDescent="0.35">
      <c r="E642" s="35"/>
      <c r="J642" s="41"/>
    </row>
    <row r="643" spans="5:10" s="34" customFormat="1" x14ac:dyDescent="0.35">
      <c r="E643" s="35"/>
      <c r="J643" s="41"/>
    </row>
    <row r="644" spans="5:10" s="34" customFormat="1" x14ac:dyDescent="0.35">
      <c r="E644" s="35"/>
      <c r="J644" s="41"/>
    </row>
    <row r="645" spans="5:10" s="34" customFormat="1" x14ac:dyDescent="0.35">
      <c r="E645" s="35"/>
      <c r="J645" s="41"/>
    </row>
    <row r="646" spans="5:10" s="34" customFormat="1" x14ac:dyDescent="0.35">
      <c r="E646" s="35"/>
      <c r="J646" s="41"/>
    </row>
    <row r="647" spans="5:10" s="34" customFormat="1" x14ac:dyDescent="0.35">
      <c r="E647" s="35"/>
      <c r="J647" s="41"/>
    </row>
    <row r="648" spans="5:10" s="34" customFormat="1" x14ac:dyDescent="0.35">
      <c r="E648" s="35"/>
      <c r="J648" s="41"/>
    </row>
    <row r="649" spans="5:10" s="34" customFormat="1" x14ac:dyDescent="0.35">
      <c r="E649" s="35"/>
      <c r="J649" s="41"/>
    </row>
    <row r="650" spans="5:10" s="34" customFormat="1" x14ac:dyDescent="0.35">
      <c r="E650" s="35"/>
      <c r="J650" s="41"/>
    </row>
    <row r="651" spans="5:10" s="34" customFormat="1" x14ac:dyDescent="0.35">
      <c r="E651" s="35"/>
      <c r="J651" s="41"/>
    </row>
    <row r="652" spans="5:10" s="34" customFormat="1" x14ac:dyDescent="0.35">
      <c r="E652" s="35"/>
      <c r="J652" s="41"/>
    </row>
    <row r="653" spans="5:10" s="34" customFormat="1" x14ac:dyDescent="0.35">
      <c r="E653" s="35"/>
      <c r="J653" s="41"/>
    </row>
    <row r="654" spans="5:10" s="34" customFormat="1" x14ac:dyDescent="0.35">
      <c r="E654" s="35"/>
      <c r="J654" s="41"/>
    </row>
    <row r="655" spans="5:10" s="34" customFormat="1" x14ac:dyDescent="0.35">
      <c r="E655" s="35"/>
      <c r="J655" s="41"/>
    </row>
    <row r="656" spans="5:10" s="34" customFormat="1" x14ac:dyDescent="0.35">
      <c r="E656" s="35"/>
      <c r="J656" s="41"/>
    </row>
    <row r="657" spans="5:10" s="34" customFormat="1" x14ac:dyDescent="0.35">
      <c r="E657" s="35"/>
      <c r="J657" s="41"/>
    </row>
    <row r="658" spans="5:10" s="34" customFormat="1" x14ac:dyDescent="0.35">
      <c r="E658" s="35"/>
      <c r="J658" s="41"/>
    </row>
    <row r="659" spans="5:10" s="34" customFormat="1" x14ac:dyDescent="0.35">
      <c r="E659" s="35"/>
      <c r="J659" s="41"/>
    </row>
    <row r="660" spans="5:10" s="34" customFormat="1" x14ac:dyDescent="0.35">
      <c r="E660" s="35"/>
      <c r="J660" s="41"/>
    </row>
    <row r="661" spans="5:10" s="34" customFormat="1" x14ac:dyDescent="0.35">
      <c r="E661" s="35"/>
      <c r="J661" s="41"/>
    </row>
    <row r="662" spans="5:10" s="34" customFormat="1" x14ac:dyDescent="0.35">
      <c r="E662" s="35"/>
      <c r="J662" s="41"/>
    </row>
    <row r="663" spans="5:10" s="34" customFormat="1" x14ac:dyDescent="0.35">
      <c r="E663" s="35"/>
      <c r="J663" s="41"/>
    </row>
    <row r="664" spans="5:10" s="34" customFormat="1" x14ac:dyDescent="0.35">
      <c r="E664" s="35"/>
      <c r="J664" s="41"/>
    </row>
    <row r="665" spans="5:10" s="34" customFormat="1" x14ac:dyDescent="0.35">
      <c r="E665" s="35"/>
      <c r="J665" s="41"/>
    </row>
    <row r="666" spans="5:10" s="34" customFormat="1" x14ac:dyDescent="0.35">
      <c r="E666" s="35"/>
      <c r="J666" s="41"/>
    </row>
    <row r="667" spans="5:10" s="34" customFormat="1" x14ac:dyDescent="0.35">
      <c r="E667" s="35"/>
      <c r="J667" s="41"/>
    </row>
    <row r="668" spans="5:10" s="34" customFormat="1" x14ac:dyDescent="0.35">
      <c r="E668" s="35"/>
      <c r="J668" s="41"/>
    </row>
    <row r="669" spans="5:10" s="34" customFormat="1" x14ac:dyDescent="0.35">
      <c r="E669" s="35"/>
      <c r="J669" s="41"/>
    </row>
    <row r="670" spans="5:10" s="34" customFormat="1" x14ac:dyDescent="0.35">
      <c r="E670" s="35"/>
      <c r="J670" s="41"/>
    </row>
    <row r="671" spans="5:10" s="34" customFormat="1" x14ac:dyDescent="0.35">
      <c r="E671" s="35"/>
      <c r="J671" s="41"/>
    </row>
    <row r="672" spans="5:10" s="34" customFormat="1" x14ac:dyDescent="0.35">
      <c r="E672" s="35"/>
      <c r="J672" s="41"/>
    </row>
    <row r="673" spans="5:10" s="34" customFormat="1" x14ac:dyDescent="0.35">
      <c r="E673" s="35"/>
      <c r="J673" s="41"/>
    </row>
    <row r="674" spans="5:10" s="34" customFormat="1" x14ac:dyDescent="0.35">
      <c r="E674" s="35"/>
      <c r="J674" s="41"/>
    </row>
    <row r="675" spans="5:10" s="34" customFormat="1" x14ac:dyDescent="0.35">
      <c r="E675" s="35"/>
      <c r="J675" s="41"/>
    </row>
    <row r="676" spans="5:10" s="34" customFormat="1" x14ac:dyDescent="0.35">
      <c r="E676" s="35"/>
      <c r="J676" s="41"/>
    </row>
    <row r="677" spans="5:10" s="34" customFormat="1" x14ac:dyDescent="0.35">
      <c r="E677" s="35"/>
      <c r="J677" s="41"/>
    </row>
    <row r="678" spans="5:10" s="34" customFormat="1" x14ac:dyDescent="0.35">
      <c r="E678" s="35"/>
      <c r="J678" s="41"/>
    </row>
    <row r="679" spans="5:10" s="34" customFormat="1" x14ac:dyDescent="0.35">
      <c r="E679" s="35"/>
      <c r="J679" s="41"/>
    </row>
    <row r="680" spans="5:10" s="34" customFormat="1" x14ac:dyDescent="0.35">
      <c r="E680" s="35"/>
      <c r="J680" s="41"/>
    </row>
    <row r="681" spans="5:10" s="34" customFormat="1" x14ac:dyDescent="0.35">
      <c r="E681" s="35"/>
      <c r="J681" s="41"/>
    </row>
    <row r="682" spans="5:10" s="34" customFormat="1" x14ac:dyDescent="0.35">
      <c r="E682" s="35"/>
      <c r="J682" s="41"/>
    </row>
    <row r="683" spans="5:10" s="34" customFormat="1" x14ac:dyDescent="0.35">
      <c r="E683" s="35"/>
      <c r="J683" s="41"/>
    </row>
    <row r="684" spans="5:10" s="34" customFormat="1" x14ac:dyDescent="0.35">
      <c r="E684" s="35"/>
      <c r="J684" s="41"/>
    </row>
    <row r="685" spans="5:10" s="34" customFormat="1" x14ac:dyDescent="0.35">
      <c r="E685" s="35"/>
      <c r="J685" s="41"/>
    </row>
    <row r="686" spans="5:10" s="34" customFormat="1" x14ac:dyDescent="0.35">
      <c r="E686" s="35"/>
      <c r="J686" s="41"/>
    </row>
    <row r="687" spans="5:10" s="34" customFormat="1" x14ac:dyDescent="0.35">
      <c r="E687" s="35"/>
      <c r="J687" s="41"/>
    </row>
    <row r="688" spans="5:10" s="34" customFormat="1" x14ac:dyDescent="0.35">
      <c r="E688" s="35"/>
      <c r="J688" s="41"/>
    </row>
    <row r="689" spans="5:10" s="34" customFormat="1" x14ac:dyDescent="0.35">
      <c r="E689" s="35"/>
      <c r="J689" s="41"/>
    </row>
    <row r="690" spans="5:10" s="34" customFormat="1" x14ac:dyDescent="0.35">
      <c r="E690" s="35"/>
      <c r="J690" s="41"/>
    </row>
    <row r="691" spans="5:10" s="34" customFormat="1" x14ac:dyDescent="0.35">
      <c r="E691" s="35"/>
      <c r="J691" s="41"/>
    </row>
    <row r="692" spans="5:10" s="34" customFormat="1" x14ac:dyDescent="0.35">
      <c r="E692" s="35"/>
      <c r="J692" s="41"/>
    </row>
    <row r="693" spans="5:10" s="34" customFormat="1" x14ac:dyDescent="0.35">
      <c r="E693" s="35"/>
      <c r="J693" s="41"/>
    </row>
    <row r="694" spans="5:10" s="34" customFormat="1" x14ac:dyDescent="0.35">
      <c r="E694" s="35"/>
      <c r="J694" s="41"/>
    </row>
    <row r="695" spans="5:10" s="34" customFormat="1" x14ac:dyDescent="0.35">
      <c r="E695" s="35"/>
      <c r="J695" s="41"/>
    </row>
    <row r="696" spans="5:10" s="34" customFormat="1" x14ac:dyDescent="0.35">
      <c r="E696" s="35"/>
      <c r="J696" s="41"/>
    </row>
    <row r="697" spans="5:10" s="34" customFormat="1" x14ac:dyDescent="0.35">
      <c r="E697" s="35"/>
      <c r="J697" s="41"/>
    </row>
    <row r="698" spans="5:10" s="34" customFormat="1" x14ac:dyDescent="0.35">
      <c r="E698" s="35"/>
      <c r="J698" s="41"/>
    </row>
    <row r="699" spans="5:10" s="34" customFormat="1" x14ac:dyDescent="0.35">
      <c r="E699" s="35"/>
      <c r="J699" s="41"/>
    </row>
    <row r="700" spans="5:10" s="34" customFormat="1" x14ac:dyDescent="0.35">
      <c r="E700" s="35"/>
      <c r="J700" s="41"/>
    </row>
    <row r="701" spans="5:10" s="34" customFormat="1" x14ac:dyDescent="0.35">
      <c r="E701" s="35"/>
      <c r="J701" s="41"/>
    </row>
    <row r="702" spans="5:10" s="34" customFormat="1" x14ac:dyDescent="0.35">
      <c r="E702" s="35"/>
      <c r="J702" s="41"/>
    </row>
    <row r="703" spans="5:10" s="34" customFormat="1" x14ac:dyDescent="0.35">
      <c r="E703" s="35"/>
      <c r="J703" s="41"/>
    </row>
    <row r="704" spans="5:10" s="34" customFormat="1" x14ac:dyDescent="0.35">
      <c r="E704" s="35"/>
      <c r="J704" s="41"/>
    </row>
    <row r="705" spans="5:10" s="34" customFormat="1" x14ac:dyDescent="0.35">
      <c r="E705" s="35"/>
      <c r="J705" s="41"/>
    </row>
    <row r="706" spans="5:10" s="34" customFormat="1" x14ac:dyDescent="0.35">
      <c r="E706" s="35"/>
      <c r="J706" s="41"/>
    </row>
    <row r="707" spans="5:10" s="34" customFormat="1" x14ac:dyDescent="0.35">
      <c r="E707" s="35"/>
      <c r="J707" s="41"/>
    </row>
    <row r="708" spans="5:10" s="34" customFormat="1" x14ac:dyDescent="0.35">
      <c r="E708" s="35"/>
      <c r="J708" s="41"/>
    </row>
    <row r="709" spans="5:10" s="34" customFormat="1" x14ac:dyDescent="0.35">
      <c r="E709" s="35"/>
      <c r="J709" s="41"/>
    </row>
    <row r="710" spans="5:10" s="34" customFormat="1" x14ac:dyDescent="0.35">
      <c r="E710" s="35"/>
      <c r="J710" s="41"/>
    </row>
    <row r="711" spans="5:10" s="34" customFormat="1" x14ac:dyDescent="0.35">
      <c r="E711" s="35"/>
      <c r="J711" s="41"/>
    </row>
    <row r="712" spans="5:10" s="34" customFormat="1" x14ac:dyDescent="0.35">
      <c r="E712" s="35"/>
      <c r="J712" s="41"/>
    </row>
    <row r="713" spans="5:10" s="34" customFormat="1" x14ac:dyDescent="0.35">
      <c r="E713" s="35"/>
      <c r="J713" s="41"/>
    </row>
    <row r="714" spans="5:10" s="34" customFormat="1" x14ac:dyDescent="0.35">
      <c r="E714" s="35"/>
      <c r="J714" s="41"/>
    </row>
    <row r="715" spans="5:10" s="34" customFormat="1" x14ac:dyDescent="0.35">
      <c r="E715" s="35"/>
      <c r="J715" s="41"/>
    </row>
    <row r="716" spans="5:10" s="34" customFormat="1" x14ac:dyDescent="0.35">
      <c r="E716" s="35"/>
      <c r="J716" s="41"/>
    </row>
    <row r="717" spans="5:10" s="34" customFormat="1" x14ac:dyDescent="0.35">
      <c r="E717" s="35"/>
      <c r="J717" s="41"/>
    </row>
    <row r="718" spans="5:10" s="34" customFormat="1" x14ac:dyDescent="0.35">
      <c r="E718" s="35"/>
      <c r="J718" s="41"/>
    </row>
    <row r="719" spans="5:10" s="34" customFormat="1" x14ac:dyDescent="0.35">
      <c r="E719" s="35"/>
      <c r="J719" s="41"/>
    </row>
    <row r="720" spans="5:10" s="34" customFormat="1" x14ac:dyDescent="0.35">
      <c r="E720" s="35"/>
      <c r="J720" s="41"/>
    </row>
    <row r="721" spans="5:10" s="34" customFormat="1" x14ac:dyDescent="0.35">
      <c r="E721" s="35"/>
      <c r="J721" s="41"/>
    </row>
    <row r="722" spans="5:10" s="34" customFormat="1" x14ac:dyDescent="0.35">
      <c r="E722" s="35"/>
      <c r="J722" s="41"/>
    </row>
    <row r="723" spans="5:10" s="34" customFormat="1" x14ac:dyDescent="0.35">
      <c r="E723" s="35"/>
      <c r="J723" s="41"/>
    </row>
    <row r="724" spans="5:10" s="34" customFormat="1" x14ac:dyDescent="0.35">
      <c r="E724" s="35"/>
      <c r="J724" s="41"/>
    </row>
    <row r="725" spans="5:10" s="34" customFormat="1" x14ac:dyDescent="0.35">
      <c r="E725" s="35"/>
      <c r="J725" s="41"/>
    </row>
    <row r="726" spans="5:10" s="34" customFormat="1" x14ac:dyDescent="0.35">
      <c r="E726" s="35"/>
      <c r="J726" s="41"/>
    </row>
    <row r="727" spans="5:10" s="34" customFormat="1" x14ac:dyDescent="0.35">
      <c r="E727" s="35"/>
      <c r="J727" s="41"/>
    </row>
    <row r="728" spans="5:10" s="34" customFormat="1" x14ac:dyDescent="0.35">
      <c r="E728" s="35"/>
      <c r="J728" s="41"/>
    </row>
    <row r="729" spans="5:10" s="34" customFormat="1" x14ac:dyDescent="0.35">
      <c r="E729" s="35"/>
      <c r="J729" s="41"/>
    </row>
    <row r="730" spans="5:10" s="34" customFormat="1" x14ac:dyDescent="0.35">
      <c r="E730" s="35"/>
      <c r="J730" s="41"/>
    </row>
    <row r="731" spans="5:10" s="34" customFormat="1" x14ac:dyDescent="0.35">
      <c r="E731" s="35"/>
      <c r="J731" s="41"/>
    </row>
    <row r="732" spans="5:10" s="34" customFormat="1" x14ac:dyDescent="0.35">
      <c r="E732" s="35"/>
      <c r="J732" s="41"/>
    </row>
    <row r="733" spans="5:10" s="34" customFormat="1" x14ac:dyDescent="0.35">
      <c r="E733" s="35"/>
      <c r="J733" s="41"/>
    </row>
    <row r="734" spans="5:10" s="34" customFormat="1" x14ac:dyDescent="0.35">
      <c r="E734" s="35"/>
      <c r="J734" s="41"/>
    </row>
    <row r="735" spans="5:10" s="34" customFormat="1" x14ac:dyDescent="0.35">
      <c r="E735" s="35"/>
      <c r="J735" s="41"/>
    </row>
    <row r="736" spans="5:10" s="34" customFormat="1" x14ac:dyDescent="0.35">
      <c r="E736" s="35"/>
      <c r="J736" s="41"/>
    </row>
    <row r="737" spans="5:10" s="34" customFormat="1" x14ac:dyDescent="0.35">
      <c r="E737" s="35"/>
      <c r="J737" s="41"/>
    </row>
    <row r="738" spans="5:10" s="34" customFormat="1" x14ac:dyDescent="0.35">
      <c r="E738" s="35"/>
      <c r="J738" s="41"/>
    </row>
    <row r="739" spans="5:10" s="34" customFormat="1" x14ac:dyDescent="0.35">
      <c r="E739" s="35"/>
      <c r="J739" s="41"/>
    </row>
    <row r="740" spans="5:10" s="34" customFormat="1" x14ac:dyDescent="0.35">
      <c r="E740" s="35"/>
      <c r="J740" s="41"/>
    </row>
    <row r="741" spans="5:10" s="34" customFormat="1" x14ac:dyDescent="0.35">
      <c r="E741" s="35"/>
      <c r="J741" s="41"/>
    </row>
    <row r="742" spans="5:10" s="34" customFormat="1" x14ac:dyDescent="0.35">
      <c r="E742" s="35"/>
      <c r="J742" s="41"/>
    </row>
    <row r="743" spans="5:10" s="34" customFormat="1" x14ac:dyDescent="0.35">
      <c r="E743" s="35"/>
      <c r="J743" s="41"/>
    </row>
    <row r="744" spans="5:10" s="34" customFormat="1" x14ac:dyDescent="0.35">
      <c r="E744" s="35"/>
      <c r="J744" s="41"/>
    </row>
    <row r="745" spans="5:10" s="34" customFormat="1" x14ac:dyDescent="0.35">
      <c r="E745" s="35"/>
      <c r="J745" s="41"/>
    </row>
    <row r="746" spans="5:10" s="34" customFormat="1" x14ac:dyDescent="0.35">
      <c r="E746" s="35"/>
      <c r="J746" s="41"/>
    </row>
    <row r="747" spans="5:10" s="34" customFormat="1" x14ac:dyDescent="0.35">
      <c r="E747" s="35"/>
      <c r="J747" s="41"/>
    </row>
    <row r="748" spans="5:10" s="34" customFormat="1" x14ac:dyDescent="0.35">
      <c r="E748" s="35"/>
      <c r="J748" s="41"/>
    </row>
    <row r="749" spans="5:10" s="34" customFormat="1" x14ac:dyDescent="0.35">
      <c r="E749" s="35"/>
      <c r="J749" s="41"/>
    </row>
    <row r="750" spans="5:10" s="34" customFormat="1" x14ac:dyDescent="0.35">
      <c r="E750" s="35"/>
      <c r="J750" s="41"/>
    </row>
    <row r="751" spans="5:10" s="34" customFormat="1" x14ac:dyDescent="0.35">
      <c r="E751" s="35"/>
      <c r="J751" s="41"/>
    </row>
    <row r="752" spans="5:10" s="34" customFormat="1" x14ac:dyDescent="0.35">
      <c r="E752" s="35"/>
      <c r="J752" s="41"/>
    </row>
    <row r="753" spans="5:10" s="34" customFormat="1" x14ac:dyDescent="0.35">
      <c r="E753" s="35"/>
      <c r="J753" s="41"/>
    </row>
    <row r="754" spans="5:10" s="34" customFormat="1" x14ac:dyDescent="0.35">
      <c r="E754" s="35"/>
      <c r="J754" s="41"/>
    </row>
    <row r="755" spans="5:10" s="34" customFormat="1" x14ac:dyDescent="0.35">
      <c r="E755" s="35"/>
      <c r="J755" s="41"/>
    </row>
    <row r="756" spans="5:10" s="34" customFormat="1" x14ac:dyDescent="0.35">
      <c r="E756" s="35"/>
      <c r="J756" s="41"/>
    </row>
    <row r="757" spans="5:10" s="34" customFormat="1" x14ac:dyDescent="0.35">
      <c r="E757" s="35"/>
      <c r="J757" s="41"/>
    </row>
    <row r="758" spans="5:10" s="34" customFormat="1" x14ac:dyDescent="0.35">
      <c r="E758" s="35"/>
      <c r="J758" s="41"/>
    </row>
    <row r="759" spans="5:10" s="34" customFormat="1" x14ac:dyDescent="0.35">
      <c r="E759" s="35"/>
      <c r="J759" s="41"/>
    </row>
    <row r="760" spans="5:10" s="34" customFormat="1" x14ac:dyDescent="0.35">
      <c r="E760" s="35"/>
      <c r="J760" s="41"/>
    </row>
    <row r="761" spans="5:10" s="34" customFormat="1" x14ac:dyDescent="0.35">
      <c r="E761" s="35"/>
      <c r="J761" s="41"/>
    </row>
    <row r="762" spans="5:10" s="34" customFormat="1" x14ac:dyDescent="0.35">
      <c r="E762" s="35"/>
      <c r="J762" s="41"/>
    </row>
    <row r="763" spans="5:10" s="34" customFormat="1" x14ac:dyDescent="0.35">
      <c r="E763" s="35"/>
      <c r="J763" s="41"/>
    </row>
    <row r="764" spans="5:10" s="34" customFormat="1" x14ac:dyDescent="0.35">
      <c r="E764" s="35"/>
      <c r="J764" s="41"/>
    </row>
    <row r="765" spans="5:10" s="34" customFormat="1" x14ac:dyDescent="0.35">
      <c r="E765" s="35"/>
      <c r="J765" s="41"/>
    </row>
    <row r="766" spans="5:10" s="34" customFormat="1" x14ac:dyDescent="0.35">
      <c r="E766" s="35"/>
      <c r="J766" s="41"/>
    </row>
    <row r="767" spans="5:10" s="34" customFormat="1" x14ac:dyDescent="0.35">
      <c r="E767" s="35"/>
      <c r="J767" s="41"/>
    </row>
    <row r="768" spans="5:10" s="34" customFormat="1" x14ac:dyDescent="0.35">
      <c r="E768" s="35"/>
      <c r="J768" s="41"/>
    </row>
    <row r="769" spans="5:10" s="34" customFormat="1" x14ac:dyDescent="0.35">
      <c r="E769" s="35"/>
      <c r="J769" s="41"/>
    </row>
    <row r="770" spans="5:10" s="34" customFormat="1" x14ac:dyDescent="0.35">
      <c r="E770" s="35"/>
      <c r="J770" s="41"/>
    </row>
    <row r="771" spans="5:10" s="34" customFormat="1" x14ac:dyDescent="0.35">
      <c r="E771" s="35"/>
      <c r="J771" s="41"/>
    </row>
    <row r="772" spans="5:10" s="34" customFormat="1" x14ac:dyDescent="0.35">
      <c r="E772" s="35"/>
      <c r="J772" s="41"/>
    </row>
    <row r="773" spans="5:10" s="34" customFormat="1" x14ac:dyDescent="0.35">
      <c r="E773" s="35"/>
      <c r="J773" s="41"/>
    </row>
    <row r="774" spans="5:10" s="34" customFormat="1" x14ac:dyDescent="0.35">
      <c r="E774" s="35"/>
      <c r="J774" s="41"/>
    </row>
    <row r="775" spans="5:10" s="34" customFormat="1" x14ac:dyDescent="0.35">
      <c r="E775" s="35"/>
      <c r="J775" s="41"/>
    </row>
    <row r="776" spans="5:10" s="34" customFormat="1" x14ac:dyDescent="0.35">
      <c r="E776" s="35"/>
      <c r="J776" s="41"/>
    </row>
    <row r="777" spans="5:10" s="34" customFormat="1" x14ac:dyDescent="0.35">
      <c r="E777" s="35"/>
      <c r="J777" s="41"/>
    </row>
    <row r="778" spans="5:10" s="34" customFormat="1" x14ac:dyDescent="0.35">
      <c r="E778" s="35"/>
      <c r="J778" s="41"/>
    </row>
    <row r="779" spans="5:10" s="34" customFormat="1" x14ac:dyDescent="0.35">
      <c r="E779" s="35"/>
      <c r="J779" s="41"/>
    </row>
    <row r="780" spans="5:10" s="34" customFormat="1" x14ac:dyDescent="0.35">
      <c r="E780" s="35"/>
      <c r="J780" s="41"/>
    </row>
    <row r="781" spans="5:10" s="34" customFormat="1" x14ac:dyDescent="0.35">
      <c r="E781" s="35"/>
      <c r="J781" s="41"/>
    </row>
    <row r="782" spans="5:10" s="34" customFormat="1" x14ac:dyDescent="0.35">
      <c r="E782" s="35"/>
      <c r="J782" s="41"/>
    </row>
    <row r="783" spans="5:10" s="34" customFormat="1" x14ac:dyDescent="0.35">
      <c r="E783" s="35"/>
      <c r="J783" s="41"/>
    </row>
    <row r="784" spans="5:10" s="34" customFormat="1" x14ac:dyDescent="0.35">
      <c r="E784" s="35"/>
      <c r="J784" s="41"/>
    </row>
    <row r="785" spans="5:10" s="34" customFormat="1" x14ac:dyDescent="0.35">
      <c r="E785" s="35"/>
      <c r="J785" s="41"/>
    </row>
    <row r="786" spans="5:10" s="34" customFormat="1" x14ac:dyDescent="0.35">
      <c r="E786" s="35"/>
      <c r="J786" s="41"/>
    </row>
    <row r="787" spans="5:10" s="34" customFormat="1" x14ac:dyDescent="0.35">
      <c r="E787" s="35"/>
      <c r="J787" s="41"/>
    </row>
    <row r="788" spans="5:10" s="34" customFormat="1" x14ac:dyDescent="0.35">
      <c r="E788" s="35"/>
      <c r="J788" s="41"/>
    </row>
    <row r="789" spans="5:10" s="34" customFormat="1" x14ac:dyDescent="0.35">
      <c r="E789" s="35"/>
      <c r="J789" s="41"/>
    </row>
    <row r="790" spans="5:10" s="34" customFormat="1" x14ac:dyDescent="0.35">
      <c r="E790" s="35"/>
      <c r="J790" s="41"/>
    </row>
    <row r="791" spans="5:10" s="34" customFormat="1" x14ac:dyDescent="0.35">
      <c r="E791" s="35"/>
      <c r="J791" s="41"/>
    </row>
    <row r="792" spans="5:10" s="34" customFormat="1" x14ac:dyDescent="0.35">
      <c r="E792" s="35"/>
      <c r="J792" s="41"/>
    </row>
    <row r="793" spans="5:10" s="34" customFormat="1" x14ac:dyDescent="0.35">
      <c r="E793" s="35"/>
      <c r="J793" s="41"/>
    </row>
    <row r="794" spans="5:10" s="34" customFormat="1" x14ac:dyDescent="0.35">
      <c r="E794" s="35"/>
      <c r="J794" s="41"/>
    </row>
    <row r="795" spans="5:10" s="34" customFormat="1" x14ac:dyDescent="0.35">
      <c r="E795" s="35"/>
      <c r="J795" s="41"/>
    </row>
    <row r="796" spans="5:10" s="34" customFormat="1" x14ac:dyDescent="0.35">
      <c r="E796" s="35"/>
      <c r="J796" s="41"/>
    </row>
    <row r="797" spans="5:10" s="34" customFormat="1" x14ac:dyDescent="0.35">
      <c r="E797" s="35"/>
      <c r="J797" s="41"/>
    </row>
    <row r="798" spans="5:10" s="34" customFormat="1" x14ac:dyDescent="0.35">
      <c r="E798" s="35"/>
      <c r="J798" s="41"/>
    </row>
    <row r="799" spans="5:10" s="34" customFormat="1" x14ac:dyDescent="0.35">
      <c r="E799" s="35"/>
      <c r="J799" s="41"/>
    </row>
    <row r="800" spans="5:10" s="34" customFormat="1" x14ac:dyDescent="0.35">
      <c r="E800" s="35"/>
      <c r="J800" s="41"/>
    </row>
    <row r="801" spans="5:10" s="34" customFormat="1" x14ac:dyDescent="0.35">
      <c r="E801" s="35"/>
      <c r="J801" s="41"/>
    </row>
    <row r="802" spans="5:10" s="34" customFormat="1" x14ac:dyDescent="0.35">
      <c r="E802" s="35"/>
      <c r="J802" s="41"/>
    </row>
    <row r="803" spans="5:10" s="34" customFormat="1" x14ac:dyDescent="0.35">
      <c r="E803" s="35"/>
      <c r="J803" s="41"/>
    </row>
    <row r="804" spans="5:10" s="34" customFormat="1" x14ac:dyDescent="0.35">
      <c r="E804" s="35"/>
      <c r="J804" s="41"/>
    </row>
    <row r="805" spans="5:10" s="34" customFormat="1" x14ac:dyDescent="0.35">
      <c r="E805" s="35"/>
      <c r="J805" s="41"/>
    </row>
    <row r="806" spans="5:10" s="34" customFormat="1" x14ac:dyDescent="0.35">
      <c r="E806" s="35"/>
      <c r="J806" s="41"/>
    </row>
    <row r="807" spans="5:10" s="34" customFormat="1" x14ac:dyDescent="0.35">
      <c r="E807" s="35"/>
      <c r="J807" s="41"/>
    </row>
    <row r="808" spans="5:10" s="34" customFormat="1" x14ac:dyDescent="0.35">
      <c r="E808" s="35"/>
      <c r="J808" s="41"/>
    </row>
    <row r="809" spans="5:10" s="34" customFormat="1" x14ac:dyDescent="0.35">
      <c r="E809" s="35"/>
      <c r="J809" s="41"/>
    </row>
    <row r="810" spans="5:10" s="34" customFormat="1" x14ac:dyDescent="0.35">
      <c r="E810" s="35"/>
      <c r="J810" s="41"/>
    </row>
    <row r="811" spans="5:10" s="34" customFormat="1" x14ac:dyDescent="0.35">
      <c r="E811" s="35"/>
      <c r="J811" s="41"/>
    </row>
    <row r="812" spans="5:10" s="34" customFormat="1" x14ac:dyDescent="0.35">
      <c r="E812" s="35"/>
      <c r="J812" s="41"/>
    </row>
    <row r="813" spans="5:10" s="34" customFormat="1" x14ac:dyDescent="0.35">
      <c r="E813" s="35"/>
      <c r="J813" s="41"/>
    </row>
    <row r="814" spans="5:10" s="34" customFormat="1" x14ac:dyDescent="0.35">
      <c r="E814" s="35"/>
      <c r="J814" s="41"/>
    </row>
    <row r="815" spans="5:10" s="34" customFormat="1" x14ac:dyDescent="0.35">
      <c r="E815" s="35"/>
      <c r="J815" s="41"/>
    </row>
    <row r="816" spans="5:10" s="34" customFormat="1" x14ac:dyDescent="0.35">
      <c r="E816" s="35"/>
      <c r="J816" s="41"/>
    </row>
    <row r="817" spans="5:10" s="34" customFormat="1" x14ac:dyDescent="0.35">
      <c r="E817" s="35"/>
      <c r="J817" s="41"/>
    </row>
    <row r="818" spans="5:10" s="34" customFormat="1" x14ac:dyDescent="0.35">
      <c r="E818" s="35"/>
      <c r="J818" s="41"/>
    </row>
    <row r="819" spans="5:10" s="34" customFormat="1" x14ac:dyDescent="0.35">
      <c r="E819" s="35"/>
      <c r="J819" s="41"/>
    </row>
    <row r="820" spans="5:10" s="34" customFormat="1" x14ac:dyDescent="0.35">
      <c r="E820" s="35"/>
      <c r="J820" s="41"/>
    </row>
    <row r="821" spans="5:10" s="34" customFormat="1" x14ac:dyDescent="0.35">
      <c r="E821" s="35"/>
      <c r="J821" s="41"/>
    </row>
    <row r="822" spans="5:10" s="34" customFormat="1" x14ac:dyDescent="0.35">
      <c r="E822" s="35"/>
      <c r="J822" s="41"/>
    </row>
    <row r="823" spans="5:10" s="34" customFormat="1" x14ac:dyDescent="0.35">
      <c r="E823" s="35"/>
      <c r="J823" s="41"/>
    </row>
    <row r="824" spans="5:10" s="34" customFormat="1" x14ac:dyDescent="0.35">
      <c r="E824" s="35"/>
      <c r="J824" s="41"/>
    </row>
    <row r="825" spans="5:10" s="34" customFormat="1" x14ac:dyDescent="0.35">
      <c r="E825" s="35"/>
      <c r="J825" s="41"/>
    </row>
    <row r="826" spans="5:10" s="34" customFormat="1" x14ac:dyDescent="0.35">
      <c r="E826" s="35"/>
      <c r="J826" s="41"/>
    </row>
    <row r="827" spans="5:10" s="34" customFormat="1" x14ac:dyDescent="0.35">
      <c r="E827" s="35"/>
      <c r="J827" s="41"/>
    </row>
    <row r="828" spans="5:10" s="34" customFormat="1" x14ac:dyDescent="0.35">
      <c r="E828" s="35"/>
      <c r="J828" s="41"/>
    </row>
    <row r="829" spans="5:10" s="34" customFormat="1" x14ac:dyDescent="0.35">
      <c r="E829" s="35"/>
      <c r="J829" s="41"/>
    </row>
    <row r="830" spans="5:10" s="34" customFormat="1" x14ac:dyDescent="0.35">
      <c r="E830" s="35"/>
      <c r="J830" s="41"/>
    </row>
    <row r="831" spans="5:10" s="34" customFormat="1" x14ac:dyDescent="0.35">
      <c r="E831" s="35"/>
      <c r="J831" s="41"/>
    </row>
    <row r="832" spans="5:10" s="34" customFormat="1" x14ac:dyDescent="0.35">
      <c r="E832" s="35"/>
      <c r="J832" s="41"/>
    </row>
    <row r="833" spans="5:10" s="34" customFormat="1" x14ac:dyDescent="0.35">
      <c r="E833" s="35"/>
      <c r="J833" s="41"/>
    </row>
    <row r="834" spans="5:10" s="34" customFormat="1" x14ac:dyDescent="0.35">
      <c r="E834" s="35"/>
      <c r="J834" s="41"/>
    </row>
    <row r="835" spans="5:10" s="34" customFormat="1" x14ac:dyDescent="0.35">
      <c r="E835" s="35"/>
      <c r="J835" s="41"/>
    </row>
    <row r="836" spans="5:10" s="34" customFormat="1" x14ac:dyDescent="0.35">
      <c r="E836" s="35"/>
      <c r="J836" s="41"/>
    </row>
    <row r="837" spans="5:10" s="34" customFormat="1" x14ac:dyDescent="0.35">
      <c r="E837" s="35"/>
      <c r="J837" s="41"/>
    </row>
    <row r="838" spans="5:10" s="34" customFormat="1" x14ac:dyDescent="0.35">
      <c r="E838" s="35"/>
      <c r="J838" s="41"/>
    </row>
    <row r="839" spans="5:10" s="34" customFormat="1" x14ac:dyDescent="0.35">
      <c r="E839" s="35"/>
      <c r="J839" s="41"/>
    </row>
    <row r="840" spans="5:10" s="34" customFormat="1" x14ac:dyDescent="0.35">
      <c r="E840" s="35"/>
      <c r="J840" s="41"/>
    </row>
    <row r="841" spans="5:10" s="34" customFormat="1" x14ac:dyDescent="0.35">
      <c r="E841" s="35"/>
      <c r="J841" s="41"/>
    </row>
    <row r="842" spans="5:10" s="34" customFormat="1" x14ac:dyDescent="0.35">
      <c r="E842" s="35"/>
      <c r="J842" s="41"/>
    </row>
    <row r="843" spans="5:10" s="34" customFormat="1" x14ac:dyDescent="0.35">
      <c r="E843" s="35"/>
      <c r="J843" s="41"/>
    </row>
    <row r="844" spans="5:10" s="34" customFormat="1" x14ac:dyDescent="0.35">
      <c r="E844" s="35"/>
      <c r="J844" s="41"/>
    </row>
    <row r="845" spans="5:10" s="34" customFormat="1" x14ac:dyDescent="0.35">
      <c r="E845" s="35"/>
      <c r="J845" s="41"/>
    </row>
    <row r="846" spans="5:10" s="34" customFormat="1" x14ac:dyDescent="0.35">
      <c r="E846" s="35"/>
      <c r="J846" s="41"/>
    </row>
    <row r="847" spans="5:10" s="34" customFormat="1" x14ac:dyDescent="0.35">
      <c r="E847" s="35"/>
      <c r="J847" s="41"/>
    </row>
    <row r="848" spans="5:10" s="34" customFormat="1" x14ac:dyDescent="0.35">
      <c r="E848" s="35"/>
      <c r="J848" s="41"/>
    </row>
    <row r="849" spans="5:10" s="34" customFormat="1" x14ac:dyDescent="0.35">
      <c r="E849" s="35"/>
      <c r="J849" s="41"/>
    </row>
    <row r="850" spans="5:10" s="34" customFormat="1" x14ac:dyDescent="0.35">
      <c r="E850" s="35"/>
      <c r="J850" s="41"/>
    </row>
    <row r="851" spans="5:10" s="34" customFormat="1" x14ac:dyDescent="0.35">
      <c r="E851" s="35"/>
      <c r="J851" s="41"/>
    </row>
    <row r="852" spans="5:10" s="34" customFormat="1" x14ac:dyDescent="0.35">
      <c r="E852" s="35"/>
      <c r="J852" s="41"/>
    </row>
    <row r="853" spans="5:10" s="34" customFormat="1" x14ac:dyDescent="0.35">
      <c r="E853" s="35"/>
      <c r="J853" s="41"/>
    </row>
    <row r="854" spans="5:10" s="34" customFormat="1" x14ac:dyDescent="0.35">
      <c r="E854" s="35"/>
      <c r="J854" s="41"/>
    </row>
    <row r="855" spans="5:10" s="34" customFormat="1" x14ac:dyDescent="0.35">
      <c r="E855" s="35"/>
      <c r="J855" s="41"/>
    </row>
    <row r="856" spans="5:10" s="34" customFormat="1" x14ac:dyDescent="0.35">
      <c r="E856" s="35"/>
      <c r="J856" s="41"/>
    </row>
    <row r="857" spans="5:10" s="34" customFormat="1" x14ac:dyDescent="0.35">
      <c r="E857" s="35"/>
      <c r="J857" s="41"/>
    </row>
    <row r="858" spans="5:10" s="34" customFormat="1" x14ac:dyDescent="0.35">
      <c r="E858" s="35"/>
      <c r="J858" s="41"/>
    </row>
    <row r="859" spans="5:10" s="34" customFormat="1" x14ac:dyDescent="0.35">
      <c r="E859" s="35"/>
      <c r="J859" s="41"/>
    </row>
    <row r="860" spans="5:10" s="34" customFormat="1" x14ac:dyDescent="0.35">
      <c r="E860" s="35"/>
      <c r="J860" s="41"/>
    </row>
    <row r="861" spans="5:10" s="34" customFormat="1" x14ac:dyDescent="0.35">
      <c r="E861" s="35"/>
      <c r="J861" s="41"/>
    </row>
    <row r="862" spans="5:10" s="34" customFormat="1" x14ac:dyDescent="0.35">
      <c r="E862" s="35"/>
      <c r="J862" s="41"/>
    </row>
    <row r="863" spans="5:10" s="34" customFormat="1" x14ac:dyDescent="0.35">
      <c r="E863" s="35"/>
      <c r="J863" s="41"/>
    </row>
    <row r="864" spans="5:10" s="34" customFormat="1" x14ac:dyDescent="0.35">
      <c r="E864" s="35"/>
      <c r="J864" s="41"/>
    </row>
    <row r="865" spans="5:10" s="34" customFormat="1" x14ac:dyDescent="0.35">
      <c r="E865" s="35"/>
      <c r="J865" s="41"/>
    </row>
    <row r="866" spans="5:10" s="34" customFormat="1" x14ac:dyDescent="0.35">
      <c r="E866" s="35"/>
      <c r="J866" s="41"/>
    </row>
    <row r="867" spans="5:10" s="34" customFormat="1" x14ac:dyDescent="0.35">
      <c r="E867" s="35"/>
      <c r="J867" s="41"/>
    </row>
    <row r="868" spans="5:10" s="34" customFormat="1" x14ac:dyDescent="0.35">
      <c r="E868" s="35"/>
      <c r="J868" s="41"/>
    </row>
    <row r="869" spans="5:10" s="34" customFormat="1" x14ac:dyDescent="0.35">
      <c r="E869" s="35"/>
      <c r="J869" s="41"/>
    </row>
    <row r="870" spans="5:10" s="34" customFormat="1" x14ac:dyDescent="0.35">
      <c r="E870" s="35"/>
      <c r="J870" s="41"/>
    </row>
    <row r="871" spans="5:10" s="34" customFormat="1" x14ac:dyDescent="0.35">
      <c r="E871" s="35"/>
      <c r="J871" s="41"/>
    </row>
    <row r="872" spans="5:10" s="34" customFormat="1" x14ac:dyDescent="0.35">
      <c r="E872" s="35"/>
      <c r="J872" s="41"/>
    </row>
    <row r="873" spans="5:10" s="34" customFormat="1" x14ac:dyDescent="0.35">
      <c r="E873" s="35"/>
      <c r="J873" s="41"/>
    </row>
    <row r="874" spans="5:10" s="34" customFormat="1" x14ac:dyDescent="0.35">
      <c r="E874" s="35"/>
      <c r="J874" s="41"/>
    </row>
    <row r="875" spans="5:10" s="34" customFormat="1" x14ac:dyDescent="0.35">
      <c r="E875" s="35"/>
      <c r="J875" s="41"/>
    </row>
    <row r="876" spans="5:10" s="34" customFormat="1" x14ac:dyDescent="0.35">
      <c r="E876" s="35"/>
      <c r="J876" s="41"/>
    </row>
    <row r="877" spans="5:10" s="34" customFormat="1" x14ac:dyDescent="0.35">
      <c r="E877" s="35"/>
      <c r="J877" s="41"/>
    </row>
    <row r="878" spans="5:10" s="34" customFormat="1" x14ac:dyDescent="0.35">
      <c r="E878" s="35"/>
      <c r="J878" s="41"/>
    </row>
    <row r="879" spans="5:10" s="34" customFormat="1" x14ac:dyDescent="0.35">
      <c r="E879" s="35"/>
      <c r="J879" s="41"/>
    </row>
    <row r="880" spans="5:10" s="34" customFormat="1" x14ac:dyDescent="0.35">
      <c r="E880" s="35"/>
      <c r="J880" s="41"/>
    </row>
    <row r="881" spans="5:10" s="34" customFormat="1" x14ac:dyDescent="0.35">
      <c r="E881" s="35"/>
      <c r="J881" s="41"/>
    </row>
    <row r="882" spans="5:10" s="34" customFormat="1" x14ac:dyDescent="0.35">
      <c r="E882" s="35"/>
      <c r="J882" s="41"/>
    </row>
    <row r="883" spans="5:10" s="34" customFormat="1" x14ac:dyDescent="0.35">
      <c r="E883" s="35"/>
      <c r="J883" s="41"/>
    </row>
    <row r="884" spans="5:10" s="34" customFormat="1" x14ac:dyDescent="0.35">
      <c r="E884" s="35"/>
      <c r="J884" s="41"/>
    </row>
    <row r="885" spans="5:10" s="34" customFormat="1" x14ac:dyDescent="0.35">
      <c r="E885" s="35"/>
      <c r="J885" s="41"/>
    </row>
    <row r="886" spans="5:10" s="34" customFormat="1" x14ac:dyDescent="0.35">
      <c r="E886" s="35"/>
      <c r="J886" s="41"/>
    </row>
    <row r="887" spans="5:10" s="34" customFormat="1" x14ac:dyDescent="0.35">
      <c r="E887" s="35"/>
      <c r="J887" s="41"/>
    </row>
    <row r="888" spans="5:10" s="34" customFormat="1" x14ac:dyDescent="0.35">
      <c r="E888" s="35"/>
      <c r="J888" s="41"/>
    </row>
    <row r="889" spans="5:10" s="34" customFormat="1" x14ac:dyDescent="0.35">
      <c r="E889" s="35"/>
      <c r="J889" s="41"/>
    </row>
    <row r="890" spans="5:10" s="34" customFormat="1" x14ac:dyDescent="0.35">
      <c r="E890" s="35"/>
      <c r="J890" s="41"/>
    </row>
    <row r="891" spans="5:10" s="34" customFormat="1" x14ac:dyDescent="0.35">
      <c r="E891" s="35"/>
      <c r="J891" s="41"/>
    </row>
    <row r="892" spans="5:10" s="34" customFormat="1" x14ac:dyDescent="0.35">
      <c r="E892" s="35"/>
      <c r="J892" s="41"/>
    </row>
    <row r="893" spans="5:10" s="34" customFormat="1" x14ac:dyDescent="0.35">
      <c r="E893" s="35"/>
      <c r="J893" s="41"/>
    </row>
    <row r="894" spans="5:10" s="34" customFormat="1" x14ac:dyDescent="0.35">
      <c r="E894" s="35"/>
      <c r="J894" s="41"/>
    </row>
    <row r="895" spans="5:10" s="34" customFormat="1" x14ac:dyDescent="0.35">
      <c r="E895" s="35"/>
      <c r="J895" s="41"/>
    </row>
    <row r="896" spans="5:10" s="34" customFormat="1" x14ac:dyDescent="0.35">
      <c r="E896" s="35"/>
      <c r="J896" s="41"/>
    </row>
    <row r="897" spans="5:10" s="34" customFormat="1" x14ac:dyDescent="0.35">
      <c r="E897" s="35"/>
      <c r="J897" s="41"/>
    </row>
    <row r="898" spans="5:10" s="34" customFormat="1" x14ac:dyDescent="0.35">
      <c r="E898" s="35"/>
      <c r="J898" s="41"/>
    </row>
    <row r="899" spans="5:10" s="34" customFormat="1" x14ac:dyDescent="0.35">
      <c r="E899" s="35"/>
      <c r="J899" s="41"/>
    </row>
    <row r="900" spans="5:10" s="34" customFormat="1" x14ac:dyDescent="0.35">
      <c r="E900" s="35"/>
      <c r="J900" s="41"/>
    </row>
    <row r="901" spans="5:10" s="34" customFormat="1" x14ac:dyDescent="0.35">
      <c r="E901" s="35"/>
      <c r="J901" s="41"/>
    </row>
    <row r="902" spans="5:10" s="34" customFormat="1" x14ac:dyDescent="0.35">
      <c r="E902" s="35"/>
      <c r="J902" s="41"/>
    </row>
    <row r="903" spans="5:10" s="34" customFormat="1" x14ac:dyDescent="0.35">
      <c r="E903" s="35"/>
      <c r="J903" s="41"/>
    </row>
    <row r="904" spans="5:10" s="34" customFormat="1" x14ac:dyDescent="0.35">
      <c r="E904" s="35"/>
      <c r="J904" s="41"/>
    </row>
    <row r="905" spans="5:10" s="34" customFormat="1" x14ac:dyDescent="0.35">
      <c r="E905" s="35"/>
      <c r="J905" s="41"/>
    </row>
    <row r="906" spans="5:10" s="34" customFormat="1" x14ac:dyDescent="0.35">
      <c r="E906" s="35"/>
      <c r="J906" s="41"/>
    </row>
    <row r="907" spans="5:10" s="34" customFormat="1" x14ac:dyDescent="0.35">
      <c r="E907" s="35"/>
      <c r="J907" s="41"/>
    </row>
    <row r="908" spans="5:10" s="34" customFormat="1" x14ac:dyDescent="0.35">
      <c r="E908" s="35"/>
      <c r="J908" s="41"/>
    </row>
    <row r="909" spans="5:10" s="34" customFormat="1" x14ac:dyDescent="0.35">
      <c r="E909" s="35"/>
      <c r="J909" s="41"/>
    </row>
    <row r="910" spans="5:10" s="34" customFormat="1" x14ac:dyDescent="0.35">
      <c r="E910" s="35"/>
      <c r="J910" s="41"/>
    </row>
    <row r="911" spans="5:10" s="34" customFormat="1" x14ac:dyDescent="0.35">
      <c r="E911" s="35"/>
      <c r="J911" s="41"/>
    </row>
    <row r="912" spans="5:10" s="34" customFormat="1" x14ac:dyDescent="0.35">
      <c r="E912" s="35"/>
      <c r="J912" s="41"/>
    </row>
    <row r="913" spans="5:10" s="34" customFormat="1" x14ac:dyDescent="0.35">
      <c r="E913" s="35"/>
      <c r="J913" s="41"/>
    </row>
    <row r="914" spans="5:10" s="34" customFormat="1" x14ac:dyDescent="0.35">
      <c r="E914" s="35"/>
      <c r="J914" s="41"/>
    </row>
    <row r="915" spans="5:10" s="34" customFormat="1" x14ac:dyDescent="0.35">
      <c r="E915" s="35"/>
      <c r="J915" s="41"/>
    </row>
    <row r="916" spans="5:10" s="34" customFormat="1" x14ac:dyDescent="0.35">
      <c r="E916" s="35"/>
      <c r="J916" s="41"/>
    </row>
    <row r="917" spans="5:10" s="34" customFormat="1" x14ac:dyDescent="0.35">
      <c r="E917" s="35"/>
      <c r="J917" s="41"/>
    </row>
    <row r="918" spans="5:10" s="34" customFormat="1" x14ac:dyDescent="0.35">
      <c r="E918" s="35"/>
      <c r="J918" s="41"/>
    </row>
    <row r="919" spans="5:10" s="34" customFormat="1" x14ac:dyDescent="0.35">
      <c r="E919" s="35"/>
      <c r="J919" s="41"/>
    </row>
    <row r="920" spans="5:10" s="34" customFormat="1" x14ac:dyDescent="0.35">
      <c r="E920" s="35"/>
      <c r="J920" s="41"/>
    </row>
    <row r="921" spans="5:10" s="34" customFormat="1" x14ac:dyDescent="0.35">
      <c r="E921" s="35"/>
      <c r="J921" s="41"/>
    </row>
    <row r="922" spans="5:10" s="34" customFormat="1" x14ac:dyDescent="0.35">
      <c r="E922" s="35"/>
      <c r="J922" s="41"/>
    </row>
    <row r="923" spans="5:10" s="34" customFormat="1" x14ac:dyDescent="0.35">
      <c r="E923" s="35"/>
      <c r="J923" s="41"/>
    </row>
    <row r="924" spans="5:10" s="34" customFormat="1" x14ac:dyDescent="0.35">
      <c r="E924" s="35"/>
      <c r="J924" s="41"/>
    </row>
    <row r="925" spans="5:10" s="34" customFormat="1" x14ac:dyDescent="0.35">
      <c r="E925" s="35"/>
      <c r="J925" s="41"/>
    </row>
    <row r="926" spans="5:10" s="34" customFormat="1" x14ac:dyDescent="0.35">
      <c r="E926" s="35"/>
      <c r="J926" s="41"/>
    </row>
    <row r="927" spans="5:10" s="34" customFormat="1" x14ac:dyDescent="0.35">
      <c r="E927" s="35"/>
      <c r="J927" s="41"/>
    </row>
    <row r="928" spans="5:10" s="34" customFormat="1" x14ac:dyDescent="0.35">
      <c r="E928" s="35"/>
      <c r="J928" s="41"/>
    </row>
    <row r="929" spans="5:10" s="34" customFormat="1" x14ac:dyDescent="0.35">
      <c r="E929" s="35"/>
      <c r="J929" s="41"/>
    </row>
    <row r="930" spans="5:10" s="34" customFormat="1" x14ac:dyDescent="0.35">
      <c r="E930" s="35"/>
      <c r="J930" s="41"/>
    </row>
    <row r="931" spans="5:10" s="34" customFormat="1" x14ac:dyDescent="0.35">
      <c r="E931" s="35"/>
      <c r="J931" s="41"/>
    </row>
    <row r="932" spans="5:10" s="34" customFormat="1" x14ac:dyDescent="0.35">
      <c r="E932" s="35"/>
      <c r="J932" s="41"/>
    </row>
    <row r="933" spans="5:10" s="34" customFormat="1" x14ac:dyDescent="0.35">
      <c r="E933" s="35"/>
      <c r="J933" s="41"/>
    </row>
    <row r="934" spans="5:10" s="34" customFormat="1" x14ac:dyDescent="0.35">
      <c r="E934" s="35"/>
      <c r="J934" s="41"/>
    </row>
    <row r="935" spans="5:10" s="34" customFormat="1" x14ac:dyDescent="0.35">
      <c r="E935" s="35"/>
      <c r="J935" s="41"/>
    </row>
    <row r="936" spans="5:10" s="34" customFormat="1" x14ac:dyDescent="0.35">
      <c r="E936" s="35"/>
      <c r="J936" s="41"/>
    </row>
    <row r="937" spans="5:10" s="34" customFormat="1" x14ac:dyDescent="0.35">
      <c r="E937" s="35"/>
      <c r="J937" s="41"/>
    </row>
    <row r="938" spans="5:10" s="34" customFormat="1" x14ac:dyDescent="0.35">
      <c r="E938" s="35"/>
      <c r="J938" s="41"/>
    </row>
    <row r="939" spans="5:10" s="34" customFormat="1" x14ac:dyDescent="0.35">
      <c r="E939" s="35"/>
      <c r="J939" s="41"/>
    </row>
    <row r="940" spans="5:10" s="34" customFormat="1" x14ac:dyDescent="0.35">
      <c r="E940" s="35"/>
      <c r="J940" s="41"/>
    </row>
    <row r="941" spans="5:10" s="34" customFormat="1" x14ac:dyDescent="0.35">
      <c r="E941" s="35"/>
      <c r="J941" s="41"/>
    </row>
    <row r="942" spans="5:10" s="34" customFormat="1" x14ac:dyDescent="0.35">
      <c r="E942" s="35"/>
      <c r="J942" s="41"/>
    </row>
    <row r="943" spans="5:10" s="34" customFormat="1" x14ac:dyDescent="0.35">
      <c r="E943" s="35"/>
      <c r="J943" s="41"/>
    </row>
    <row r="944" spans="5:10" s="34" customFormat="1" x14ac:dyDescent="0.35">
      <c r="E944" s="35"/>
      <c r="J944" s="41"/>
    </row>
    <row r="945" spans="5:10" s="34" customFormat="1" x14ac:dyDescent="0.35">
      <c r="E945" s="35"/>
      <c r="J945" s="41"/>
    </row>
    <row r="946" spans="5:10" s="34" customFormat="1" x14ac:dyDescent="0.35">
      <c r="E946" s="35"/>
      <c r="J946" s="41"/>
    </row>
    <row r="947" spans="5:10" s="34" customFormat="1" x14ac:dyDescent="0.35">
      <c r="E947" s="35"/>
      <c r="J947" s="41"/>
    </row>
    <row r="948" spans="5:10" s="34" customFormat="1" x14ac:dyDescent="0.35">
      <c r="E948" s="35"/>
      <c r="J948" s="41"/>
    </row>
    <row r="949" spans="5:10" s="34" customFormat="1" x14ac:dyDescent="0.35">
      <c r="E949" s="35"/>
      <c r="J949" s="41"/>
    </row>
    <row r="950" spans="5:10" s="34" customFormat="1" x14ac:dyDescent="0.35">
      <c r="E950" s="35"/>
      <c r="J950" s="41"/>
    </row>
    <row r="951" spans="5:10" s="34" customFormat="1" x14ac:dyDescent="0.35">
      <c r="E951" s="35"/>
      <c r="J951" s="41"/>
    </row>
    <row r="952" spans="5:10" s="34" customFormat="1" x14ac:dyDescent="0.35">
      <c r="E952" s="35"/>
      <c r="J952" s="41"/>
    </row>
    <row r="953" spans="5:10" s="34" customFormat="1" x14ac:dyDescent="0.35">
      <c r="E953" s="35"/>
      <c r="J953" s="41"/>
    </row>
    <row r="954" spans="5:10" s="34" customFormat="1" x14ac:dyDescent="0.35">
      <c r="E954" s="35"/>
      <c r="J954" s="41"/>
    </row>
    <row r="955" spans="5:10" s="34" customFormat="1" x14ac:dyDescent="0.35">
      <c r="E955" s="35"/>
      <c r="J955" s="41"/>
    </row>
    <row r="956" spans="5:10" s="34" customFormat="1" x14ac:dyDescent="0.35">
      <c r="E956" s="35"/>
      <c r="J956" s="41"/>
    </row>
    <row r="957" spans="5:10" s="34" customFormat="1" x14ac:dyDescent="0.35">
      <c r="E957" s="35"/>
      <c r="J957" s="41"/>
    </row>
    <row r="958" spans="5:10" s="34" customFormat="1" x14ac:dyDescent="0.35">
      <c r="E958" s="35"/>
      <c r="J958" s="41"/>
    </row>
    <row r="959" spans="5:10" s="34" customFormat="1" x14ac:dyDescent="0.35">
      <c r="E959" s="35"/>
      <c r="J959" s="41"/>
    </row>
    <row r="960" spans="5:10" s="34" customFormat="1" x14ac:dyDescent="0.35">
      <c r="E960" s="35"/>
      <c r="J960" s="41"/>
    </row>
    <row r="961" spans="5:10" s="34" customFormat="1" x14ac:dyDescent="0.35">
      <c r="E961" s="35"/>
      <c r="J961" s="41"/>
    </row>
    <row r="962" spans="5:10" s="34" customFormat="1" x14ac:dyDescent="0.35">
      <c r="E962" s="35"/>
      <c r="J962" s="41"/>
    </row>
    <row r="963" spans="5:10" s="34" customFormat="1" x14ac:dyDescent="0.35">
      <c r="E963" s="35"/>
      <c r="J963" s="41"/>
    </row>
    <row r="964" spans="5:10" s="34" customFormat="1" x14ac:dyDescent="0.35">
      <c r="E964" s="35"/>
      <c r="J964" s="41"/>
    </row>
    <row r="965" spans="5:10" s="34" customFormat="1" x14ac:dyDescent="0.35">
      <c r="E965" s="35"/>
      <c r="J965" s="41"/>
    </row>
    <row r="966" spans="5:10" s="34" customFormat="1" x14ac:dyDescent="0.35">
      <c r="E966" s="35"/>
      <c r="J966" s="41"/>
    </row>
    <row r="967" spans="5:10" s="34" customFormat="1" x14ac:dyDescent="0.35">
      <c r="E967" s="35"/>
      <c r="J967" s="41"/>
    </row>
    <row r="968" spans="5:10" s="34" customFormat="1" x14ac:dyDescent="0.35">
      <c r="E968" s="35"/>
      <c r="J968" s="41"/>
    </row>
    <row r="969" spans="5:10" s="34" customFormat="1" x14ac:dyDescent="0.35">
      <c r="E969" s="35"/>
      <c r="J969" s="41"/>
    </row>
    <row r="970" spans="5:10" s="34" customFormat="1" x14ac:dyDescent="0.35">
      <c r="E970" s="35"/>
      <c r="J970" s="41"/>
    </row>
    <row r="971" spans="5:10" s="34" customFormat="1" x14ac:dyDescent="0.35">
      <c r="E971" s="35"/>
      <c r="J971" s="41"/>
    </row>
    <row r="972" spans="5:10" s="34" customFormat="1" x14ac:dyDescent="0.35">
      <c r="E972" s="35"/>
      <c r="J972" s="41"/>
    </row>
    <row r="973" spans="5:10" s="34" customFormat="1" x14ac:dyDescent="0.35">
      <c r="E973" s="35"/>
      <c r="J973" s="41"/>
    </row>
    <row r="974" spans="5:10" s="34" customFormat="1" x14ac:dyDescent="0.35">
      <c r="E974" s="35"/>
      <c r="J974" s="41"/>
    </row>
    <row r="975" spans="5:10" s="34" customFormat="1" x14ac:dyDescent="0.35">
      <c r="E975" s="35"/>
      <c r="J975" s="41"/>
    </row>
    <row r="976" spans="5:10" s="34" customFormat="1" x14ac:dyDescent="0.35">
      <c r="E976" s="35"/>
      <c r="J976" s="41"/>
    </row>
    <row r="977" spans="5:10" s="34" customFormat="1" x14ac:dyDescent="0.35">
      <c r="E977" s="35"/>
      <c r="J977" s="41"/>
    </row>
    <row r="978" spans="5:10" s="34" customFormat="1" x14ac:dyDescent="0.35">
      <c r="E978" s="35"/>
      <c r="J978" s="41"/>
    </row>
    <row r="979" spans="5:10" s="34" customFormat="1" x14ac:dyDescent="0.35">
      <c r="E979" s="35"/>
      <c r="J979" s="41"/>
    </row>
    <row r="980" spans="5:10" s="34" customFormat="1" x14ac:dyDescent="0.35">
      <c r="E980" s="35"/>
      <c r="J980" s="41"/>
    </row>
    <row r="981" spans="5:10" s="34" customFormat="1" x14ac:dyDescent="0.35">
      <c r="E981" s="35"/>
      <c r="J981" s="41"/>
    </row>
    <row r="982" spans="5:10" s="34" customFormat="1" x14ac:dyDescent="0.35">
      <c r="E982" s="35"/>
      <c r="J982" s="41"/>
    </row>
    <row r="983" spans="5:10" s="34" customFormat="1" x14ac:dyDescent="0.35">
      <c r="E983" s="35"/>
      <c r="J983" s="41"/>
    </row>
    <row r="984" spans="5:10" s="34" customFormat="1" x14ac:dyDescent="0.35">
      <c r="E984" s="35"/>
      <c r="J984" s="41"/>
    </row>
    <row r="985" spans="5:10" s="34" customFormat="1" x14ac:dyDescent="0.35">
      <c r="E985" s="35"/>
      <c r="J985" s="41"/>
    </row>
    <row r="986" spans="5:10" s="34" customFormat="1" x14ac:dyDescent="0.35">
      <c r="E986" s="35"/>
      <c r="J986" s="41"/>
    </row>
    <row r="987" spans="5:10" s="34" customFormat="1" x14ac:dyDescent="0.35">
      <c r="E987" s="35"/>
      <c r="J987" s="41"/>
    </row>
    <row r="988" spans="5:10" s="34" customFormat="1" x14ac:dyDescent="0.35">
      <c r="E988" s="35"/>
      <c r="J988" s="41"/>
    </row>
    <row r="989" spans="5:10" s="34" customFormat="1" x14ac:dyDescent="0.35">
      <c r="E989" s="35"/>
      <c r="J989" s="41"/>
    </row>
    <row r="990" spans="5:10" s="34" customFormat="1" x14ac:dyDescent="0.35">
      <c r="E990" s="35"/>
      <c r="J990" s="41"/>
    </row>
    <row r="991" spans="5:10" s="34" customFormat="1" x14ac:dyDescent="0.35">
      <c r="E991" s="35"/>
      <c r="J991" s="41"/>
    </row>
    <row r="992" spans="5:10" s="34" customFormat="1" x14ac:dyDescent="0.35">
      <c r="E992" s="35"/>
      <c r="J992" s="41"/>
    </row>
    <row r="993" spans="5:10" s="34" customFormat="1" x14ac:dyDescent="0.35">
      <c r="E993" s="35"/>
      <c r="J993" s="41"/>
    </row>
    <row r="994" spans="5:10" s="34" customFormat="1" x14ac:dyDescent="0.35">
      <c r="E994" s="35"/>
      <c r="J994" s="41"/>
    </row>
    <row r="995" spans="5:10" s="34" customFormat="1" x14ac:dyDescent="0.35">
      <c r="E995" s="35"/>
      <c r="J995" s="41"/>
    </row>
    <row r="996" spans="5:10" s="34" customFormat="1" x14ac:dyDescent="0.35">
      <c r="E996" s="35"/>
      <c r="J996" s="41"/>
    </row>
    <row r="997" spans="5:10" s="34" customFormat="1" x14ac:dyDescent="0.35">
      <c r="E997" s="35"/>
      <c r="J997" s="41"/>
    </row>
    <row r="998" spans="5:10" s="34" customFormat="1" x14ac:dyDescent="0.35">
      <c r="E998" s="35"/>
      <c r="J998" s="41"/>
    </row>
    <row r="999" spans="5:10" s="34" customFormat="1" x14ac:dyDescent="0.35">
      <c r="E999" s="35"/>
      <c r="J999" s="41"/>
    </row>
    <row r="1000" spans="5:10" s="34" customFormat="1" x14ac:dyDescent="0.35">
      <c r="E1000" s="35"/>
      <c r="J1000" s="41"/>
    </row>
    <row r="1001" spans="5:10" s="34" customFormat="1" x14ac:dyDescent="0.35">
      <c r="E1001" s="35"/>
      <c r="J1001" s="41"/>
    </row>
    <row r="1002" spans="5:10" s="34" customFormat="1" x14ac:dyDescent="0.35">
      <c r="E1002" s="35"/>
      <c r="J1002" s="41"/>
    </row>
    <row r="1003" spans="5:10" s="34" customFormat="1" x14ac:dyDescent="0.35">
      <c r="E1003" s="35"/>
      <c r="J1003" s="41"/>
    </row>
    <row r="1004" spans="5:10" s="34" customFormat="1" x14ac:dyDescent="0.35">
      <c r="E1004" s="35"/>
      <c r="J1004" s="41"/>
    </row>
    <row r="1005" spans="5:10" s="34" customFormat="1" x14ac:dyDescent="0.35">
      <c r="E1005" s="35"/>
      <c r="J1005" s="41"/>
    </row>
    <row r="1006" spans="5:10" s="34" customFormat="1" x14ac:dyDescent="0.35">
      <c r="E1006" s="35"/>
      <c r="J1006" s="41"/>
    </row>
    <row r="1007" spans="5:10" s="34" customFormat="1" x14ac:dyDescent="0.35">
      <c r="E1007" s="35"/>
      <c r="J1007" s="41"/>
    </row>
    <row r="1008" spans="5:10" s="34" customFormat="1" x14ac:dyDescent="0.35">
      <c r="E1008" s="35"/>
      <c r="J1008" s="41"/>
    </row>
    <row r="1009" spans="5:10" s="34" customFormat="1" x14ac:dyDescent="0.35">
      <c r="E1009" s="35"/>
      <c r="J1009" s="41"/>
    </row>
    <row r="1010" spans="5:10" s="34" customFormat="1" x14ac:dyDescent="0.35">
      <c r="E1010" s="35"/>
      <c r="J1010" s="41"/>
    </row>
    <row r="1011" spans="5:10" s="34" customFormat="1" x14ac:dyDescent="0.35">
      <c r="E1011" s="35"/>
      <c r="J1011" s="41"/>
    </row>
    <row r="1012" spans="5:10" s="34" customFormat="1" x14ac:dyDescent="0.35">
      <c r="E1012" s="35"/>
      <c r="J1012" s="41"/>
    </row>
    <row r="1013" spans="5:10" s="34" customFormat="1" x14ac:dyDescent="0.35">
      <c r="E1013" s="35"/>
      <c r="J1013" s="41"/>
    </row>
    <row r="1014" spans="5:10" s="34" customFormat="1" x14ac:dyDescent="0.35">
      <c r="E1014" s="35"/>
      <c r="J1014" s="41"/>
    </row>
    <row r="1015" spans="5:10" s="34" customFormat="1" x14ac:dyDescent="0.35">
      <c r="E1015" s="35"/>
      <c r="J1015" s="41"/>
    </row>
    <row r="1016" spans="5:10" s="34" customFormat="1" x14ac:dyDescent="0.35">
      <c r="E1016" s="35"/>
      <c r="J1016" s="41"/>
    </row>
    <row r="1017" spans="5:10" s="34" customFormat="1" x14ac:dyDescent="0.35">
      <c r="E1017" s="35"/>
      <c r="J1017" s="41"/>
    </row>
    <row r="1018" spans="5:10" s="34" customFormat="1" x14ac:dyDescent="0.35">
      <c r="E1018" s="35"/>
      <c r="J1018" s="41"/>
    </row>
    <row r="1019" spans="5:10" s="34" customFormat="1" x14ac:dyDescent="0.35">
      <c r="E1019" s="35"/>
      <c r="J1019" s="41"/>
    </row>
    <row r="1020" spans="5:10" s="34" customFormat="1" x14ac:dyDescent="0.35">
      <c r="E1020" s="35"/>
      <c r="J1020" s="41"/>
    </row>
    <row r="1021" spans="5:10" s="34" customFormat="1" x14ac:dyDescent="0.35">
      <c r="E1021" s="35"/>
      <c r="J1021" s="41"/>
    </row>
    <row r="1022" spans="5:10" s="34" customFormat="1" x14ac:dyDescent="0.35">
      <c r="E1022" s="35"/>
      <c r="J1022" s="41"/>
    </row>
    <row r="1023" spans="5:10" s="34" customFormat="1" x14ac:dyDescent="0.35">
      <c r="E1023" s="35"/>
      <c r="J1023" s="41"/>
    </row>
    <row r="1024" spans="5:10" s="34" customFormat="1" x14ac:dyDescent="0.35">
      <c r="E1024" s="35"/>
      <c r="J1024" s="41"/>
    </row>
    <row r="1025" spans="5:10" s="34" customFormat="1" x14ac:dyDescent="0.35">
      <c r="E1025" s="35"/>
      <c r="J1025" s="41"/>
    </row>
    <row r="1026" spans="5:10" s="34" customFormat="1" x14ac:dyDescent="0.35">
      <c r="E1026" s="35"/>
      <c r="J1026" s="41"/>
    </row>
    <row r="1027" spans="5:10" s="34" customFormat="1" x14ac:dyDescent="0.35">
      <c r="E1027" s="35"/>
      <c r="J1027" s="41"/>
    </row>
    <row r="1028" spans="5:10" s="34" customFormat="1" x14ac:dyDescent="0.35">
      <c r="E1028" s="35"/>
      <c r="J1028" s="41"/>
    </row>
    <row r="1029" spans="5:10" s="34" customFormat="1" x14ac:dyDescent="0.35">
      <c r="E1029" s="35"/>
      <c r="J1029" s="41"/>
    </row>
    <row r="1030" spans="5:10" s="34" customFormat="1" x14ac:dyDescent="0.35">
      <c r="E1030" s="35"/>
      <c r="J1030" s="41"/>
    </row>
    <row r="1031" spans="5:10" s="34" customFormat="1" x14ac:dyDescent="0.35">
      <c r="E1031" s="35"/>
      <c r="J1031" s="41"/>
    </row>
    <row r="1032" spans="5:10" s="34" customFormat="1" x14ac:dyDescent="0.35">
      <c r="E1032" s="35"/>
      <c r="J1032" s="41"/>
    </row>
    <row r="1033" spans="5:10" s="34" customFormat="1" x14ac:dyDescent="0.35">
      <c r="E1033" s="35"/>
      <c r="J1033" s="41"/>
    </row>
    <row r="1034" spans="5:10" s="34" customFormat="1" x14ac:dyDescent="0.35">
      <c r="E1034" s="35"/>
      <c r="J1034" s="41"/>
    </row>
    <row r="1035" spans="5:10" s="34" customFormat="1" x14ac:dyDescent="0.35">
      <c r="E1035" s="35"/>
      <c r="J1035" s="41"/>
    </row>
    <row r="1036" spans="5:10" s="34" customFormat="1" x14ac:dyDescent="0.35">
      <c r="E1036" s="35"/>
      <c r="J1036" s="41"/>
    </row>
    <row r="1037" spans="5:10" s="34" customFormat="1" x14ac:dyDescent="0.35">
      <c r="E1037" s="35"/>
      <c r="J1037" s="41"/>
    </row>
    <row r="1038" spans="5:10" s="34" customFormat="1" x14ac:dyDescent="0.35">
      <c r="E1038" s="35"/>
      <c r="J1038" s="41"/>
    </row>
    <row r="1039" spans="5:10" s="34" customFormat="1" x14ac:dyDescent="0.35">
      <c r="E1039" s="35"/>
      <c r="J1039" s="41"/>
    </row>
    <row r="1040" spans="5:10" s="34" customFormat="1" x14ac:dyDescent="0.35">
      <c r="E1040" s="35"/>
      <c r="J1040" s="41"/>
    </row>
    <row r="1041" spans="5:10" s="34" customFormat="1" x14ac:dyDescent="0.35">
      <c r="E1041" s="35"/>
      <c r="J1041" s="41"/>
    </row>
    <row r="1042" spans="5:10" s="34" customFormat="1" x14ac:dyDescent="0.35">
      <c r="E1042" s="35"/>
      <c r="J1042" s="41"/>
    </row>
    <row r="1043" spans="5:10" s="34" customFormat="1" x14ac:dyDescent="0.35">
      <c r="E1043" s="35"/>
      <c r="J1043" s="41"/>
    </row>
    <row r="1044" spans="5:10" s="34" customFormat="1" x14ac:dyDescent="0.35">
      <c r="E1044" s="35"/>
      <c r="J1044" s="41"/>
    </row>
    <row r="1045" spans="5:10" s="34" customFormat="1" x14ac:dyDescent="0.35">
      <c r="E1045" s="35"/>
      <c r="J1045" s="41"/>
    </row>
    <row r="1046" spans="5:10" s="34" customFormat="1" x14ac:dyDescent="0.35">
      <c r="E1046" s="35"/>
      <c r="J1046" s="41"/>
    </row>
    <row r="1047" spans="5:10" s="34" customFormat="1" x14ac:dyDescent="0.35">
      <c r="E1047" s="35"/>
      <c r="J1047" s="41"/>
    </row>
    <row r="1048" spans="5:10" s="34" customFormat="1" x14ac:dyDescent="0.35">
      <c r="E1048" s="35"/>
      <c r="J1048" s="41"/>
    </row>
    <row r="1049" spans="5:10" s="34" customFormat="1" x14ac:dyDescent="0.35">
      <c r="E1049" s="35"/>
      <c r="J1049" s="41"/>
    </row>
    <row r="1050" spans="5:10" s="34" customFormat="1" x14ac:dyDescent="0.35">
      <c r="E1050" s="35"/>
      <c r="J1050" s="41"/>
    </row>
    <row r="1051" spans="5:10" s="34" customFormat="1" x14ac:dyDescent="0.35">
      <c r="E1051" s="35"/>
      <c r="J1051" s="41"/>
    </row>
    <row r="1052" spans="5:10" s="34" customFormat="1" x14ac:dyDescent="0.35">
      <c r="E1052" s="35"/>
      <c r="J1052" s="41"/>
    </row>
    <row r="1053" spans="5:10" s="34" customFormat="1" x14ac:dyDescent="0.35">
      <c r="E1053" s="35"/>
      <c r="J1053" s="41"/>
    </row>
    <row r="1054" spans="5:10" s="34" customFormat="1" x14ac:dyDescent="0.35">
      <c r="E1054" s="35"/>
      <c r="J1054" s="41"/>
    </row>
    <row r="1055" spans="5:10" s="34" customFormat="1" x14ac:dyDescent="0.35">
      <c r="E1055" s="35"/>
      <c r="J1055" s="41"/>
    </row>
    <row r="1056" spans="5:10" s="34" customFormat="1" x14ac:dyDescent="0.35">
      <c r="E1056" s="35"/>
      <c r="J1056" s="41"/>
    </row>
    <row r="1057" spans="5:10" s="34" customFormat="1" x14ac:dyDescent="0.35">
      <c r="E1057" s="35"/>
      <c r="J1057" s="41"/>
    </row>
    <row r="1058" spans="5:10" s="34" customFormat="1" x14ac:dyDescent="0.35">
      <c r="E1058" s="35"/>
      <c r="J1058" s="41"/>
    </row>
    <row r="1059" spans="5:10" s="34" customFormat="1" x14ac:dyDescent="0.35">
      <c r="E1059" s="35"/>
      <c r="J1059" s="41"/>
    </row>
    <row r="1060" spans="5:10" s="34" customFormat="1" x14ac:dyDescent="0.35">
      <c r="E1060" s="35"/>
      <c r="J1060" s="41"/>
    </row>
    <row r="1061" spans="5:10" s="34" customFormat="1" x14ac:dyDescent="0.35">
      <c r="E1061" s="35"/>
      <c r="J1061" s="41"/>
    </row>
    <row r="1062" spans="5:10" s="34" customFormat="1" x14ac:dyDescent="0.35">
      <c r="E1062" s="35"/>
      <c r="J1062" s="41"/>
    </row>
    <row r="1063" spans="5:10" s="34" customFormat="1" x14ac:dyDescent="0.35">
      <c r="E1063" s="35"/>
      <c r="J1063" s="41"/>
    </row>
    <row r="1064" spans="5:10" s="34" customFormat="1" x14ac:dyDescent="0.35">
      <c r="E1064" s="35"/>
      <c r="J1064" s="41"/>
    </row>
    <row r="1065" spans="5:10" s="34" customFormat="1" x14ac:dyDescent="0.35">
      <c r="E1065" s="35"/>
      <c r="J1065" s="41"/>
    </row>
    <row r="1066" spans="5:10" s="34" customFormat="1" x14ac:dyDescent="0.35">
      <c r="E1066" s="35"/>
      <c r="J1066" s="41"/>
    </row>
    <row r="1067" spans="5:10" s="34" customFormat="1" x14ac:dyDescent="0.35">
      <c r="E1067" s="35"/>
      <c r="J1067" s="41"/>
    </row>
    <row r="1068" spans="5:10" s="34" customFormat="1" x14ac:dyDescent="0.35">
      <c r="E1068" s="35"/>
      <c r="J1068" s="41"/>
    </row>
    <row r="1069" spans="5:10" s="34" customFormat="1" x14ac:dyDescent="0.35">
      <c r="E1069" s="35"/>
      <c r="J1069" s="41"/>
    </row>
    <row r="1070" spans="5:10" s="34" customFormat="1" x14ac:dyDescent="0.35">
      <c r="E1070" s="35"/>
      <c r="J1070" s="41"/>
    </row>
    <row r="1071" spans="5:10" s="34" customFormat="1" x14ac:dyDescent="0.35">
      <c r="E1071" s="35"/>
      <c r="J1071" s="41"/>
    </row>
    <row r="1072" spans="5:10" s="34" customFormat="1" x14ac:dyDescent="0.35">
      <c r="E1072" s="35"/>
      <c r="J1072" s="41"/>
    </row>
    <row r="1073" spans="5:10" s="34" customFormat="1" x14ac:dyDescent="0.35">
      <c r="E1073" s="35"/>
      <c r="J1073" s="41"/>
    </row>
    <row r="1074" spans="5:10" s="34" customFormat="1" x14ac:dyDescent="0.35">
      <c r="E1074" s="35"/>
      <c r="J1074" s="41"/>
    </row>
    <row r="1075" spans="5:10" s="34" customFormat="1" x14ac:dyDescent="0.35">
      <c r="E1075" s="35"/>
      <c r="J1075" s="41"/>
    </row>
    <row r="1076" spans="5:10" s="34" customFormat="1" x14ac:dyDescent="0.35">
      <c r="E1076" s="35"/>
      <c r="J1076" s="41"/>
    </row>
    <row r="1077" spans="5:10" s="34" customFormat="1" x14ac:dyDescent="0.35">
      <c r="E1077" s="35"/>
      <c r="J1077" s="41"/>
    </row>
    <row r="1078" spans="5:10" s="34" customFormat="1" x14ac:dyDescent="0.35">
      <c r="E1078" s="35"/>
      <c r="J1078" s="41"/>
    </row>
    <row r="1079" spans="5:10" s="34" customFormat="1" x14ac:dyDescent="0.35">
      <c r="E1079" s="35"/>
      <c r="J1079" s="41"/>
    </row>
    <row r="1080" spans="5:10" s="34" customFormat="1" x14ac:dyDescent="0.35">
      <c r="E1080" s="35"/>
      <c r="J1080" s="41"/>
    </row>
    <row r="1081" spans="5:10" s="34" customFormat="1" x14ac:dyDescent="0.35">
      <c r="E1081" s="35"/>
      <c r="J1081" s="41"/>
    </row>
    <row r="1082" spans="5:10" s="34" customFormat="1" x14ac:dyDescent="0.35">
      <c r="E1082" s="35"/>
      <c r="J1082" s="41"/>
    </row>
    <row r="1083" spans="5:10" s="34" customFormat="1" x14ac:dyDescent="0.35">
      <c r="E1083" s="35"/>
      <c r="J1083" s="41"/>
    </row>
    <row r="1084" spans="5:10" s="34" customFormat="1" x14ac:dyDescent="0.35">
      <c r="E1084" s="35"/>
      <c r="J1084" s="41"/>
    </row>
    <row r="1085" spans="5:10" s="34" customFormat="1" x14ac:dyDescent="0.35">
      <c r="E1085" s="35"/>
      <c r="J1085" s="41"/>
    </row>
    <row r="1086" spans="5:10" s="34" customFormat="1" x14ac:dyDescent="0.35">
      <c r="E1086" s="35"/>
      <c r="J1086" s="41"/>
    </row>
    <row r="1087" spans="5:10" s="34" customFormat="1" x14ac:dyDescent="0.35">
      <c r="E1087" s="35"/>
      <c r="J1087" s="41"/>
    </row>
    <row r="1088" spans="5:10" s="34" customFormat="1" x14ac:dyDescent="0.35">
      <c r="E1088" s="35"/>
      <c r="J1088" s="41"/>
    </row>
    <row r="1089" spans="5:10" s="34" customFormat="1" x14ac:dyDescent="0.35">
      <c r="E1089" s="35"/>
      <c r="J1089" s="41"/>
    </row>
    <row r="1090" spans="5:10" s="34" customFormat="1" x14ac:dyDescent="0.35">
      <c r="E1090" s="35"/>
      <c r="J1090" s="41"/>
    </row>
    <row r="1091" spans="5:10" s="34" customFormat="1" x14ac:dyDescent="0.35">
      <c r="E1091" s="35"/>
      <c r="J1091" s="41"/>
    </row>
    <row r="1092" spans="5:10" s="34" customFormat="1" x14ac:dyDescent="0.35">
      <c r="E1092" s="35"/>
      <c r="J1092" s="41"/>
    </row>
    <row r="1093" spans="5:10" s="34" customFormat="1" x14ac:dyDescent="0.35">
      <c r="E1093" s="35"/>
      <c r="J1093" s="41"/>
    </row>
    <row r="1094" spans="5:10" s="34" customFormat="1" x14ac:dyDescent="0.35">
      <c r="E1094" s="35"/>
      <c r="J1094" s="41"/>
    </row>
    <row r="1095" spans="5:10" s="34" customFormat="1" x14ac:dyDescent="0.35">
      <c r="E1095" s="35"/>
      <c r="J1095" s="41"/>
    </row>
    <row r="1096" spans="5:10" s="34" customFormat="1" x14ac:dyDescent="0.35">
      <c r="E1096" s="35"/>
      <c r="J1096" s="41"/>
    </row>
    <row r="1097" spans="5:10" s="34" customFormat="1" x14ac:dyDescent="0.35">
      <c r="E1097" s="35"/>
      <c r="J1097" s="41"/>
    </row>
    <row r="1098" spans="5:10" s="34" customFormat="1" x14ac:dyDescent="0.35">
      <c r="E1098" s="35"/>
      <c r="J1098" s="41"/>
    </row>
    <row r="1099" spans="5:10" s="34" customFormat="1" x14ac:dyDescent="0.35">
      <c r="E1099" s="35"/>
      <c r="J1099" s="41"/>
    </row>
    <row r="1100" spans="5:10" s="34" customFormat="1" x14ac:dyDescent="0.35">
      <c r="E1100" s="35"/>
      <c r="J1100" s="41"/>
    </row>
    <row r="1101" spans="5:10" s="34" customFormat="1" x14ac:dyDescent="0.35">
      <c r="E1101" s="35"/>
      <c r="J1101" s="41"/>
    </row>
    <row r="1102" spans="5:10" s="34" customFormat="1" x14ac:dyDescent="0.35">
      <c r="E1102" s="35"/>
      <c r="J1102" s="41"/>
    </row>
    <row r="1103" spans="5:10" s="34" customFormat="1" x14ac:dyDescent="0.35">
      <c r="E1103" s="35"/>
      <c r="J1103" s="41"/>
    </row>
    <row r="1104" spans="5:10" s="34" customFormat="1" x14ac:dyDescent="0.35">
      <c r="E1104" s="35"/>
      <c r="J1104" s="41"/>
    </row>
    <row r="1105" spans="5:10" s="34" customFormat="1" x14ac:dyDescent="0.35">
      <c r="E1105" s="35"/>
      <c r="J1105" s="41"/>
    </row>
    <row r="1106" spans="5:10" s="34" customFormat="1" x14ac:dyDescent="0.35">
      <c r="E1106" s="35"/>
      <c r="J1106" s="41"/>
    </row>
    <row r="1107" spans="5:10" s="34" customFormat="1" x14ac:dyDescent="0.35">
      <c r="E1107" s="35"/>
      <c r="J1107" s="41"/>
    </row>
    <row r="1108" spans="5:10" s="34" customFormat="1" x14ac:dyDescent="0.35">
      <c r="E1108" s="35"/>
      <c r="J1108" s="41"/>
    </row>
    <row r="1109" spans="5:10" s="34" customFormat="1" x14ac:dyDescent="0.35">
      <c r="E1109" s="35"/>
      <c r="J1109" s="41"/>
    </row>
    <row r="1110" spans="5:10" s="34" customFormat="1" x14ac:dyDescent="0.35">
      <c r="E1110" s="35"/>
      <c r="J1110" s="41"/>
    </row>
    <row r="1111" spans="5:10" s="34" customFormat="1" x14ac:dyDescent="0.35">
      <c r="E1111" s="35"/>
      <c r="J1111" s="41"/>
    </row>
    <row r="1112" spans="5:10" s="34" customFormat="1" x14ac:dyDescent="0.35">
      <c r="E1112" s="35"/>
      <c r="J1112" s="41"/>
    </row>
    <row r="1113" spans="5:10" s="34" customFormat="1" x14ac:dyDescent="0.35">
      <c r="E1113" s="35"/>
      <c r="J1113" s="41"/>
    </row>
    <row r="1114" spans="5:10" s="34" customFormat="1" x14ac:dyDescent="0.35">
      <c r="E1114" s="35"/>
      <c r="J1114" s="41"/>
    </row>
    <row r="1115" spans="5:10" s="34" customFormat="1" x14ac:dyDescent="0.35">
      <c r="E1115" s="35"/>
      <c r="J1115" s="41"/>
    </row>
    <row r="1116" spans="5:10" s="34" customFormat="1" x14ac:dyDescent="0.35">
      <c r="E1116" s="35"/>
      <c r="J1116" s="41"/>
    </row>
    <row r="1117" spans="5:10" s="34" customFormat="1" x14ac:dyDescent="0.35">
      <c r="E1117" s="35"/>
      <c r="J1117" s="41"/>
    </row>
    <row r="1118" spans="5:10" s="34" customFormat="1" x14ac:dyDescent="0.35">
      <c r="E1118" s="35"/>
      <c r="J1118" s="41"/>
    </row>
    <row r="1119" spans="5:10" s="34" customFormat="1" x14ac:dyDescent="0.35">
      <c r="E1119" s="35"/>
      <c r="J1119" s="41"/>
    </row>
    <row r="1120" spans="5:10" s="34" customFormat="1" x14ac:dyDescent="0.35">
      <c r="E1120" s="35"/>
      <c r="J1120" s="41"/>
    </row>
    <row r="1121" spans="5:10" s="34" customFormat="1" x14ac:dyDescent="0.35">
      <c r="E1121" s="35"/>
      <c r="J1121" s="41"/>
    </row>
    <row r="1122" spans="5:10" s="34" customFormat="1" x14ac:dyDescent="0.35">
      <c r="E1122" s="35"/>
      <c r="J1122" s="41"/>
    </row>
    <row r="1123" spans="5:10" s="34" customFormat="1" x14ac:dyDescent="0.35">
      <c r="E1123" s="35"/>
      <c r="J1123" s="41"/>
    </row>
    <row r="1124" spans="5:10" s="34" customFormat="1" x14ac:dyDescent="0.35">
      <c r="E1124" s="35"/>
      <c r="J1124" s="41"/>
    </row>
    <row r="1125" spans="5:10" s="34" customFormat="1" x14ac:dyDescent="0.35">
      <c r="E1125" s="35"/>
      <c r="J1125" s="41"/>
    </row>
    <row r="1126" spans="5:10" s="34" customFormat="1" x14ac:dyDescent="0.35">
      <c r="E1126" s="35"/>
      <c r="J1126" s="41"/>
    </row>
    <row r="1127" spans="5:10" s="34" customFormat="1" x14ac:dyDescent="0.35">
      <c r="E1127" s="35"/>
      <c r="J1127" s="41"/>
    </row>
    <row r="1128" spans="5:10" s="34" customFormat="1" x14ac:dyDescent="0.35">
      <c r="E1128" s="35"/>
      <c r="J1128" s="41"/>
    </row>
    <row r="1129" spans="5:10" s="34" customFormat="1" x14ac:dyDescent="0.35">
      <c r="E1129" s="35"/>
      <c r="J1129" s="41"/>
    </row>
    <row r="1130" spans="5:10" s="34" customFormat="1" x14ac:dyDescent="0.35">
      <c r="E1130" s="35"/>
      <c r="J1130" s="41"/>
    </row>
    <row r="1131" spans="5:10" s="34" customFormat="1" x14ac:dyDescent="0.35">
      <c r="E1131" s="35"/>
      <c r="J1131" s="41"/>
    </row>
    <row r="1132" spans="5:10" s="34" customFormat="1" x14ac:dyDescent="0.35">
      <c r="E1132" s="35"/>
      <c r="J1132" s="41"/>
    </row>
    <row r="1133" spans="5:10" s="34" customFormat="1" x14ac:dyDescent="0.35">
      <c r="E1133" s="35"/>
      <c r="J1133" s="41"/>
    </row>
    <row r="1134" spans="5:10" s="34" customFormat="1" x14ac:dyDescent="0.35">
      <c r="E1134" s="35"/>
      <c r="J1134" s="41"/>
    </row>
    <row r="1135" spans="5:10" s="34" customFormat="1" x14ac:dyDescent="0.35">
      <c r="E1135" s="35"/>
      <c r="J1135" s="41"/>
    </row>
    <row r="1136" spans="5:10" s="34" customFormat="1" x14ac:dyDescent="0.35">
      <c r="E1136" s="35"/>
      <c r="J1136" s="41"/>
    </row>
    <row r="1137" spans="5:10" s="34" customFormat="1" x14ac:dyDescent="0.35">
      <c r="E1137" s="35"/>
      <c r="J1137" s="41"/>
    </row>
    <row r="1138" spans="5:10" s="34" customFormat="1" x14ac:dyDescent="0.35">
      <c r="E1138" s="35"/>
      <c r="J1138" s="41"/>
    </row>
    <row r="1139" spans="5:10" s="34" customFormat="1" x14ac:dyDescent="0.35">
      <c r="E1139" s="35"/>
      <c r="J1139" s="41"/>
    </row>
    <row r="1140" spans="5:10" s="34" customFormat="1" x14ac:dyDescent="0.35">
      <c r="E1140" s="35"/>
      <c r="J1140" s="41"/>
    </row>
    <row r="1141" spans="5:10" s="34" customFormat="1" x14ac:dyDescent="0.35">
      <c r="E1141" s="35"/>
      <c r="J1141" s="41"/>
    </row>
    <row r="1142" spans="5:10" s="34" customFormat="1" x14ac:dyDescent="0.35">
      <c r="E1142" s="35"/>
      <c r="J1142" s="41"/>
    </row>
    <row r="1143" spans="5:10" s="34" customFormat="1" x14ac:dyDescent="0.35">
      <c r="E1143" s="35"/>
      <c r="J1143" s="41"/>
    </row>
    <row r="1144" spans="5:10" s="34" customFormat="1" x14ac:dyDescent="0.35">
      <c r="E1144" s="35"/>
      <c r="J1144" s="41"/>
    </row>
    <row r="1145" spans="5:10" s="34" customFormat="1" x14ac:dyDescent="0.35">
      <c r="E1145" s="35"/>
      <c r="J1145" s="41"/>
    </row>
    <row r="1146" spans="5:10" s="34" customFormat="1" x14ac:dyDescent="0.35">
      <c r="E1146" s="35"/>
      <c r="J1146" s="41"/>
    </row>
    <row r="1147" spans="5:10" s="34" customFormat="1" x14ac:dyDescent="0.35">
      <c r="E1147" s="35"/>
      <c r="J1147" s="41"/>
    </row>
    <row r="1148" spans="5:10" s="34" customFormat="1" x14ac:dyDescent="0.35">
      <c r="E1148" s="35"/>
      <c r="J1148" s="41"/>
    </row>
    <row r="1149" spans="5:10" s="34" customFormat="1" x14ac:dyDescent="0.35">
      <c r="E1149" s="35"/>
      <c r="J1149" s="41"/>
    </row>
    <row r="1150" spans="5:10" s="34" customFormat="1" x14ac:dyDescent="0.35">
      <c r="E1150" s="35"/>
      <c r="J1150" s="41"/>
    </row>
    <row r="1151" spans="5:10" s="34" customFormat="1" x14ac:dyDescent="0.35">
      <c r="E1151" s="35"/>
      <c r="J1151" s="41"/>
    </row>
    <row r="1152" spans="5:10" s="34" customFormat="1" x14ac:dyDescent="0.35">
      <c r="E1152" s="35"/>
      <c r="J1152" s="41"/>
    </row>
    <row r="1153" spans="5:10" s="34" customFormat="1" x14ac:dyDescent="0.35">
      <c r="E1153" s="35"/>
      <c r="J1153" s="41"/>
    </row>
    <row r="1154" spans="5:10" s="34" customFormat="1" x14ac:dyDescent="0.35">
      <c r="E1154" s="35"/>
      <c r="J1154" s="41"/>
    </row>
    <row r="1155" spans="5:10" s="34" customFormat="1" x14ac:dyDescent="0.35">
      <c r="E1155" s="35"/>
      <c r="J1155" s="41"/>
    </row>
    <row r="1156" spans="5:10" s="34" customFormat="1" x14ac:dyDescent="0.35">
      <c r="E1156" s="35"/>
      <c r="J1156" s="41"/>
    </row>
    <row r="1157" spans="5:10" s="34" customFormat="1" x14ac:dyDescent="0.35">
      <c r="E1157" s="35"/>
      <c r="J1157" s="41"/>
    </row>
    <row r="1158" spans="5:10" s="34" customFormat="1" x14ac:dyDescent="0.35">
      <c r="E1158" s="35"/>
      <c r="J1158" s="41"/>
    </row>
    <row r="1159" spans="5:10" s="34" customFormat="1" x14ac:dyDescent="0.35">
      <c r="E1159" s="35"/>
      <c r="J1159" s="41"/>
    </row>
    <row r="1160" spans="5:10" s="34" customFormat="1" x14ac:dyDescent="0.35">
      <c r="E1160" s="35"/>
      <c r="J1160" s="41"/>
    </row>
    <row r="1161" spans="5:10" s="34" customFormat="1" x14ac:dyDescent="0.35">
      <c r="E1161" s="35"/>
      <c r="J1161" s="41"/>
    </row>
    <row r="1162" spans="5:10" s="34" customFormat="1" x14ac:dyDescent="0.35">
      <c r="E1162" s="35"/>
      <c r="J1162" s="41"/>
    </row>
    <row r="1163" spans="5:10" s="34" customFormat="1" x14ac:dyDescent="0.35">
      <c r="E1163" s="35"/>
      <c r="J1163" s="41"/>
    </row>
    <row r="1164" spans="5:10" s="34" customFormat="1" x14ac:dyDescent="0.35">
      <c r="E1164" s="35"/>
      <c r="J1164" s="41"/>
    </row>
    <row r="1165" spans="5:10" s="34" customFormat="1" x14ac:dyDescent="0.35">
      <c r="E1165" s="35"/>
      <c r="J1165" s="41"/>
    </row>
    <row r="1166" spans="5:10" s="34" customFormat="1" x14ac:dyDescent="0.35">
      <c r="E1166" s="35"/>
      <c r="J1166" s="41"/>
    </row>
    <row r="1167" spans="5:10" s="34" customFormat="1" x14ac:dyDescent="0.35">
      <c r="E1167" s="35"/>
      <c r="J1167" s="41"/>
    </row>
    <row r="1168" spans="5:10" s="34" customFormat="1" x14ac:dyDescent="0.35">
      <c r="E1168" s="35"/>
      <c r="J1168" s="41"/>
    </row>
    <row r="1169" spans="5:10" s="34" customFormat="1" x14ac:dyDescent="0.35">
      <c r="E1169" s="35"/>
      <c r="J1169" s="41"/>
    </row>
    <row r="1170" spans="5:10" s="34" customFormat="1" x14ac:dyDescent="0.35">
      <c r="E1170" s="35"/>
      <c r="J1170" s="41"/>
    </row>
    <row r="1171" spans="5:10" s="34" customFormat="1" x14ac:dyDescent="0.35">
      <c r="E1171" s="35"/>
      <c r="J1171" s="41"/>
    </row>
    <row r="1172" spans="5:10" s="34" customFormat="1" x14ac:dyDescent="0.35">
      <c r="E1172" s="35"/>
      <c r="J1172" s="41"/>
    </row>
    <row r="1173" spans="5:10" s="34" customFormat="1" x14ac:dyDescent="0.35">
      <c r="E1173" s="35"/>
      <c r="J1173" s="41"/>
    </row>
    <row r="1174" spans="5:10" s="34" customFormat="1" x14ac:dyDescent="0.35">
      <c r="E1174" s="35"/>
      <c r="J1174" s="41"/>
    </row>
    <row r="1175" spans="5:10" s="34" customFormat="1" x14ac:dyDescent="0.35">
      <c r="E1175" s="35"/>
      <c r="J1175" s="41"/>
    </row>
    <row r="1176" spans="5:10" s="34" customFormat="1" x14ac:dyDescent="0.35">
      <c r="E1176" s="35"/>
      <c r="J1176" s="41"/>
    </row>
    <row r="1177" spans="5:10" s="34" customFormat="1" x14ac:dyDescent="0.35">
      <c r="E1177" s="35"/>
      <c r="J1177" s="41"/>
    </row>
    <row r="1178" spans="5:10" s="34" customFormat="1" x14ac:dyDescent="0.35">
      <c r="E1178" s="35"/>
      <c r="J1178" s="41"/>
    </row>
    <row r="1179" spans="5:10" s="34" customFormat="1" x14ac:dyDescent="0.35">
      <c r="E1179" s="35"/>
      <c r="J1179" s="41"/>
    </row>
    <row r="1180" spans="5:10" s="34" customFormat="1" x14ac:dyDescent="0.35">
      <c r="E1180" s="35"/>
      <c r="J1180" s="41"/>
    </row>
    <row r="1181" spans="5:10" s="34" customFormat="1" x14ac:dyDescent="0.35">
      <c r="E1181" s="35"/>
      <c r="J1181" s="41"/>
    </row>
    <row r="1182" spans="5:10" s="34" customFormat="1" x14ac:dyDescent="0.35">
      <c r="E1182" s="35"/>
      <c r="J1182" s="41"/>
    </row>
    <row r="1183" spans="5:10" s="34" customFormat="1" x14ac:dyDescent="0.35">
      <c r="E1183" s="35"/>
      <c r="J1183" s="41"/>
    </row>
    <row r="1184" spans="5:10" s="34" customFormat="1" x14ac:dyDescent="0.35">
      <c r="E1184" s="35"/>
      <c r="J1184" s="41"/>
    </row>
    <row r="1185" spans="5:10" s="34" customFormat="1" x14ac:dyDescent="0.35">
      <c r="E1185" s="35"/>
      <c r="J1185" s="41"/>
    </row>
    <row r="1186" spans="5:10" s="34" customFormat="1" x14ac:dyDescent="0.35">
      <c r="E1186" s="35"/>
      <c r="J1186" s="41"/>
    </row>
    <row r="1187" spans="5:10" s="34" customFormat="1" x14ac:dyDescent="0.35">
      <c r="E1187" s="35"/>
      <c r="J1187" s="41"/>
    </row>
    <row r="1188" spans="5:10" s="34" customFormat="1" x14ac:dyDescent="0.35">
      <c r="E1188" s="35"/>
      <c r="J1188" s="41"/>
    </row>
    <row r="1189" spans="5:10" s="34" customFormat="1" x14ac:dyDescent="0.35">
      <c r="E1189" s="35"/>
      <c r="J1189" s="41"/>
    </row>
    <row r="1190" spans="5:10" s="34" customFormat="1" x14ac:dyDescent="0.35">
      <c r="E1190" s="35"/>
      <c r="J1190" s="41"/>
    </row>
    <row r="1191" spans="5:10" s="34" customFormat="1" x14ac:dyDescent="0.35">
      <c r="E1191" s="35"/>
      <c r="J1191" s="41"/>
    </row>
    <row r="1192" spans="5:10" s="34" customFormat="1" x14ac:dyDescent="0.35">
      <c r="E1192" s="35"/>
      <c r="J1192" s="41"/>
    </row>
    <row r="1193" spans="5:10" s="34" customFormat="1" x14ac:dyDescent="0.35">
      <c r="E1193" s="35"/>
      <c r="J1193" s="41"/>
    </row>
    <row r="1194" spans="5:10" s="34" customFormat="1" x14ac:dyDescent="0.35">
      <c r="E1194" s="35"/>
      <c r="J1194" s="41"/>
    </row>
    <row r="1195" spans="5:10" s="34" customFormat="1" x14ac:dyDescent="0.35">
      <c r="E1195" s="35"/>
      <c r="J1195" s="41"/>
    </row>
    <row r="1196" spans="5:10" s="34" customFormat="1" x14ac:dyDescent="0.35">
      <c r="E1196" s="35"/>
      <c r="J1196" s="41"/>
    </row>
    <row r="1197" spans="5:10" s="34" customFormat="1" x14ac:dyDescent="0.35">
      <c r="E1197" s="35"/>
      <c r="J1197" s="41"/>
    </row>
    <row r="1198" spans="5:10" s="34" customFormat="1" x14ac:dyDescent="0.35">
      <c r="E1198" s="35"/>
      <c r="J1198" s="41"/>
    </row>
    <row r="1199" spans="5:10" s="34" customFormat="1" x14ac:dyDescent="0.35">
      <c r="E1199" s="35"/>
      <c r="J1199" s="41"/>
    </row>
    <row r="1200" spans="5:10" s="34" customFormat="1" x14ac:dyDescent="0.35">
      <c r="E1200" s="35"/>
      <c r="J1200" s="41"/>
    </row>
    <row r="1201" spans="5:10" s="34" customFormat="1" x14ac:dyDescent="0.35">
      <c r="E1201" s="35"/>
      <c r="J1201" s="41"/>
    </row>
    <row r="1202" spans="5:10" s="34" customFormat="1" x14ac:dyDescent="0.35">
      <c r="E1202" s="35"/>
      <c r="J1202" s="41"/>
    </row>
    <row r="1203" spans="5:10" s="34" customFormat="1" x14ac:dyDescent="0.35">
      <c r="E1203" s="35"/>
      <c r="J1203" s="41"/>
    </row>
    <row r="1204" spans="5:10" s="34" customFormat="1" x14ac:dyDescent="0.35">
      <c r="E1204" s="35"/>
      <c r="J1204" s="41"/>
    </row>
    <row r="1205" spans="5:10" s="34" customFormat="1" x14ac:dyDescent="0.35">
      <c r="E1205" s="35"/>
      <c r="J1205" s="41"/>
    </row>
    <row r="1206" spans="5:10" s="34" customFormat="1" x14ac:dyDescent="0.35">
      <c r="E1206" s="35"/>
      <c r="J1206" s="41"/>
    </row>
    <row r="1207" spans="5:10" s="34" customFormat="1" x14ac:dyDescent="0.35">
      <c r="E1207" s="35"/>
      <c r="J1207" s="41"/>
    </row>
    <row r="1208" spans="5:10" s="34" customFormat="1" x14ac:dyDescent="0.35">
      <c r="E1208" s="35"/>
      <c r="J1208" s="41"/>
    </row>
    <row r="1209" spans="5:10" s="34" customFormat="1" x14ac:dyDescent="0.35">
      <c r="E1209" s="35"/>
      <c r="J1209" s="41"/>
    </row>
    <row r="1210" spans="5:10" s="34" customFormat="1" x14ac:dyDescent="0.35">
      <c r="E1210" s="35"/>
      <c r="J1210" s="41"/>
    </row>
    <row r="1211" spans="5:10" s="34" customFormat="1" x14ac:dyDescent="0.35">
      <c r="E1211" s="35"/>
      <c r="J1211" s="41"/>
    </row>
    <row r="1212" spans="5:10" s="34" customFormat="1" x14ac:dyDescent="0.35">
      <c r="E1212" s="35"/>
      <c r="J1212" s="41"/>
    </row>
    <row r="1213" spans="5:10" s="34" customFormat="1" x14ac:dyDescent="0.35">
      <c r="E1213" s="35"/>
      <c r="J1213" s="41"/>
    </row>
    <row r="1214" spans="5:10" s="34" customFormat="1" x14ac:dyDescent="0.35">
      <c r="E1214" s="35"/>
      <c r="J1214" s="41"/>
    </row>
    <row r="1215" spans="5:10" s="34" customFormat="1" x14ac:dyDescent="0.35">
      <c r="E1215" s="35"/>
      <c r="J1215" s="41"/>
    </row>
    <row r="1216" spans="5:10" s="34" customFormat="1" x14ac:dyDescent="0.35">
      <c r="E1216" s="35"/>
      <c r="J1216" s="41"/>
    </row>
    <row r="1217" spans="5:10" s="34" customFormat="1" x14ac:dyDescent="0.35">
      <c r="E1217" s="35"/>
      <c r="J1217" s="41"/>
    </row>
    <row r="1218" spans="5:10" s="34" customFormat="1" x14ac:dyDescent="0.35">
      <c r="E1218" s="35"/>
      <c r="J1218" s="41"/>
    </row>
    <row r="1219" spans="5:10" s="34" customFormat="1" x14ac:dyDescent="0.35">
      <c r="E1219" s="35"/>
      <c r="J1219" s="41"/>
    </row>
    <row r="1220" spans="5:10" s="34" customFormat="1" x14ac:dyDescent="0.35">
      <c r="E1220" s="35"/>
      <c r="J1220" s="41"/>
    </row>
    <row r="1221" spans="5:10" s="34" customFormat="1" x14ac:dyDescent="0.35">
      <c r="E1221" s="35"/>
      <c r="J1221" s="41"/>
    </row>
    <row r="1222" spans="5:10" s="34" customFormat="1" x14ac:dyDescent="0.35">
      <c r="E1222" s="35"/>
      <c r="J1222" s="41"/>
    </row>
    <row r="1223" spans="5:10" s="34" customFormat="1" x14ac:dyDescent="0.35">
      <c r="E1223" s="35"/>
      <c r="J1223" s="41"/>
    </row>
    <row r="1224" spans="5:10" s="34" customFormat="1" x14ac:dyDescent="0.35">
      <c r="E1224" s="35"/>
      <c r="J1224" s="41"/>
    </row>
    <row r="1225" spans="5:10" s="34" customFormat="1" x14ac:dyDescent="0.35">
      <c r="E1225" s="35"/>
      <c r="J1225" s="41"/>
    </row>
    <row r="1226" spans="5:10" s="34" customFormat="1" x14ac:dyDescent="0.35">
      <c r="E1226" s="35"/>
      <c r="J1226" s="41"/>
    </row>
    <row r="1227" spans="5:10" s="34" customFormat="1" x14ac:dyDescent="0.35">
      <c r="E1227" s="35"/>
      <c r="J1227" s="41"/>
    </row>
    <row r="1228" spans="5:10" s="34" customFormat="1" x14ac:dyDescent="0.35">
      <c r="E1228" s="35"/>
      <c r="J1228" s="41"/>
    </row>
    <row r="1229" spans="5:10" s="34" customFormat="1" x14ac:dyDescent="0.35">
      <c r="E1229" s="35"/>
      <c r="J1229" s="41"/>
    </row>
    <row r="1230" spans="5:10" s="34" customFormat="1" x14ac:dyDescent="0.35">
      <c r="E1230" s="35"/>
      <c r="J1230" s="41"/>
    </row>
    <row r="1231" spans="5:10" s="34" customFormat="1" x14ac:dyDescent="0.35">
      <c r="E1231" s="35"/>
      <c r="J1231" s="41"/>
    </row>
    <row r="1232" spans="5:10" s="34" customFormat="1" x14ac:dyDescent="0.35">
      <c r="E1232" s="35"/>
      <c r="J1232" s="41"/>
    </row>
    <row r="1233" spans="5:10" s="34" customFormat="1" x14ac:dyDescent="0.35">
      <c r="E1233" s="35"/>
      <c r="J1233" s="41"/>
    </row>
    <row r="1234" spans="5:10" s="34" customFormat="1" x14ac:dyDescent="0.35">
      <c r="E1234" s="35"/>
      <c r="J1234" s="41"/>
    </row>
    <row r="1235" spans="5:10" s="34" customFormat="1" x14ac:dyDescent="0.35">
      <c r="E1235" s="35"/>
      <c r="J1235" s="41"/>
    </row>
    <row r="1236" spans="5:10" s="34" customFormat="1" x14ac:dyDescent="0.35">
      <c r="E1236" s="35"/>
      <c r="J1236" s="41"/>
    </row>
    <row r="1237" spans="5:10" s="34" customFormat="1" x14ac:dyDescent="0.35">
      <c r="E1237" s="35"/>
      <c r="J1237" s="41"/>
    </row>
    <row r="1238" spans="5:10" s="34" customFormat="1" x14ac:dyDescent="0.35">
      <c r="E1238" s="35"/>
      <c r="J1238" s="41"/>
    </row>
    <row r="1239" spans="5:10" s="34" customFormat="1" x14ac:dyDescent="0.35">
      <c r="E1239" s="35"/>
      <c r="J1239" s="41"/>
    </row>
    <row r="1240" spans="5:10" s="34" customFormat="1" x14ac:dyDescent="0.35">
      <c r="E1240" s="35"/>
      <c r="J1240" s="41"/>
    </row>
    <row r="1241" spans="5:10" s="34" customFormat="1" x14ac:dyDescent="0.35">
      <c r="E1241" s="35"/>
      <c r="J1241" s="41"/>
    </row>
    <row r="1242" spans="5:10" s="34" customFormat="1" x14ac:dyDescent="0.35">
      <c r="E1242" s="35"/>
      <c r="J1242" s="41"/>
    </row>
    <row r="1243" spans="5:10" s="34" customFormat="1" x14ac:dyDescent="0.35">
      <c r="E1243" s="35"/>
      <c r="J1243" s="41"/>
    </row>
    <row r="1244" spans="5:10" s="34" customFormat="1" x14ac:dyDescent="0.35">
      <c r="E1244" s="35"/>
      <c r="J1244" s="41"/>
    </row>
    <row r="1245" spans="5:10" s="34" customFormat="1" x14ac:dyDescent="0.35">
      <c r="E1245" s="35"/>
      <c r="J1245" s="41"/>
    </row>
    <row r="1246" spans="5:10" s="34" customFormat="1" x14ac:dyDescent="0.35">
      <c r="E1246" s="35"/>
      <c r="J1246" s="41"/>
    </row>
    <row r="1247" spans="5:10" s="34" customFormat="1" x14ac:dyDescent="0.35">
      <c r="E1247" s="35"/>
      <c r="J1247" s="41"/>
    </row>
    <row r="1248" spans="5:10" s="34" customFormat="1" x14ac:dyDescent="0.35">
      <c r="E1248" s="35"/>
      <c r="J1248" s="41"/>
    </row>
    <row r="1249" spans="5:10" s="34" customFormat="1" x14ac:dyDescent="0.35">
      <c r="E1249" s="35"/>
      <c r="J1249" s="41"/>
    </row>
    <row r="1250" spans="5:10" s="34" customFormat="1" x14ac:dyDescent="0.35">
      <c r="E1250" s="35"/>
      <c r="J1250" s="41"/>
    </row>
    <row r="1251" spans="5:10" s="34" customFormat="1" x14ac:dyDescent="0.35">
      <c r="E1251" s="35"/>
      <c r="J1251" s="41"/>
    </row>
    <row r="1252" spans="5:10" s="34" customFormat="1" x14ac:dyDescent="0.35">
      <c r="E1252" s="35"/>
      <c r="J1252" s="41"/>
    </row>
    <row r="1253" spans="5:10" s="34" customFormat="1" x14ac:dyDescent="0.35">
      <c r="E1253" s="35"/>
      <c r="J1253" s="41"/>
    </row>
    <row r="1254" spans="5:10" s="34" customFormat="1" x14ac:dyDescent="0.35">
      <c r="E1254" s="35"/>
      <c r="J1254" s="41"/>
    </row>
    <row r="1255" spans="5:10" s="34" customFormat="1" x14ac:dyDescent="0.35">
      <c r="E1255" s="35"/>
      <c r="J1255" s="41"/>
    </row>
    <row r="1256" spans="5:10" s="34" customFormat="1" x14ac:dyDescent="0.35">
      <c r="E1256" s="35"/>
      <c r="J1256" s="41"/>
    </row>
    <row r="1257" spans="5:10" s="34" customFormat="1" x14ac:dyDescent="0.35">
      <c r="E1257" s="35"/>
      <c r="J1257" s="41"/>
    </row>
    <row r="1258" spans="5:10" s="34" customFormat="1" x14ac:dyDescent="0.35">
      <c r="E1258" s="35"/>
      <c r="J1258" s="41"/>
    </row>
    <row r="1259" spans="5:10" s="34" customFormat="1" x14ac:dyDescent="0.35">
      <c r="E1259" s="35"/>
      <c r="J1259" s="41"/>
    </row>
    <row r="1260" spans="5:10" s="34" customFormat="1" x14ac:dyDescent="0.35">
      <c r="E1260" s="35"/>
      <c r="J1260" s="41"/>
    </row>
    <row r="1261" spans="5:10" s="34" customFormat="1" x14ac:dyDescent="0.35">
      <c r="E1261" s="35"/>
      <c r="J1261" s="41"/>
    </row>
    <row r="1262" spans="5:10" s="34" customFormat="1" x14ac:dyDescent="0.35">
      <c r="E1262" s="35"/>
      <c r="J1262" s="41"/>
    </row>
    <row r="1263" spans="5:10" s="34" customFormat="1" x14ac:dyDescent="0.35">
      <c r="E1263" s="35"/>
      <c r="J1263" s="41"/>
    </row>
    <row r="1264" spans="5:10" s="34" customFormat="1" x14ac:dyDescent="0.35">
      <c r="E1264" s="35"/>
      <c r="J1264" s="41"/>
    </row>
    <row r="1265" spans="5:10" s="34" customFormat="1" x14ac:dyDescent="0.35">
      <c r="E1265" s="35"/>
      <c r="J1265" s="41"/>
    </row>
    <row r="1266" spans="5:10" s="34" customFormat="1" x14ac:dyDescent="0.35">
      <c r="E1266" s="35"/>
      <c r="J1266" s="41"/>
    </row>
    <row r="1267" spans="5:10" s="34" customFormat="1" x14ac:dyDescent="0.35">
      <c r="E1267" s="35"/>
      <c r="J1267" s="41"/>
    </row>
    <row r="1268" spans="5:10" s="34" customFormat="1" x14ac:dyDescent="0.35">
      <c r="E1268" s="35"/>
      <c r="J1268" s="41"/>
    </row>
    <row r="1269" spans="5:10" s="34" customFormat="1" x14ac:dyDescent="0.35">
      <c r="E1269" s="35"/>
      <c r="J1269" s="41"/>
    </row>
    <row r="1270" spans="5:10" s="34" customFormat="1" x14ac:dyDescent="0.35">
      <c r="E1270" s="35"/>
      <c r="J1270" s="41"/>
    </row>
    <row r="1271" spans="5:10" s="34" customFormat="1" x14ac:dyDescent="0.35">
      <c r="E1271" s="35"/>
      <c r="J1271" s="41"/>
    </row>
    <row r="1272" spans="5:10" s="34" customFormat="1" x14ac:dyDescent="0.35">
      <c r="E1272" s="35"/>
      <c r="J1272" s="41"/>
    </row>
    <row r="1273" spans="5:10" s="34" customFormat="1" x14ac:dyDescent="0.35">
      <c r="E1273" s="35"/>
      <c r="J1273" s="41"/>
    </row>
    <row r="1274" spans="5:10" s="34" customFormat="1" x14ac:dyDescent="0.35">
      <c r="E1274" s="35"/>
      <c r="J1274" s="41"/>
    </row>
    <row r="1275" spans="5:10" s="34" customFormat="1" x14ac:dyDescent="0.35">
      <c r="E1275" s="35"/>
      <c r="J1275" s="41"/>
    </row>
    <row r="1276" spans="5:10" s="34" customFormat="1" x14ac:dyDescent="0.35">
      <c r="E1276" s="35"/>
      <c r="J1276" s="41"/>
    </row>
    <row r="1277" spans="5:10" s="34" customFormat="1" x14ac:dyDescent="0.35">
      <c r="E1277" s="35"/>
      <c r="J1277" s="41"/>
    </row>
    <row r="1278" spans="5:10" s="34" customFormat="1" x14ac:dyDescent="0.35">
      <c r="E1278" s="35"/>
      <c r="J1278" s="41"/>
    </row>
    <row r="1279" spans="5:10" s="34" customFormat="1" x14ac:dyDescent="0.35">
      <c r="E1279" s="35"/>
      <c r="J1279" s="41"/>
    </row>
    <row r="1280" spans="5:10" s="34" customFormat="1" x14ac:dyDescent="0.35">
      <c r="E1280" s="35"/>
      <c r="J1280" s="41"/>
    </row>
    <row r="1281" spans="5:10" s="34" customFormat="1" x14ac:dyDescent="0.35">
      <c r="E1281" s="35"/>
      <c r="J1281" s="41"/>
    </row>
    <row r="1282" spans="5:10" s="34" customFormat="1" x14ac:dyDescent="0.35">
      <c r="E1282" s="35"/>
      <c r="J1282" s="41"/>
    </row>
    <row r="1283" spans="5:10" s="34" customFormat="1" x14ac:dyDescent="0.35">
      <c r="E1283" s="35"/>
      <c r="J1283" s="41"/>
    </row>
    <row r="1284" spans="5:10" s="34" customFormat="1" x14ac:dyDescent="0.35">
      <c r="E1284" s="35"/>
      <c r="J1284" s="41"/>
    </row>
    <row r="1285" spans="5:10" s="34" customFormat="1" x14ac:dyDescent="0.35">
      <c r="E1285" s="35"/>
      <c r="J1285" s="41"/>
    </row>
    <row r="1286" spans="5:10" s="34" customFormat="1" x14ac:dyDescent="0.35">
      <c r="E1286" s="35"/>
      <c r="J1286" s="41"/>
    </row>
    <row r="1287" spans="5:10" s="34" customFormat="1" x14ac:dyDescent="0.35">
      <c r="E1287" s="35"/>
      <c r="J1287" s="41"/>
    </row>
    <row r="1288" spans="5:10" s="34" customFormat="1" x14ac:dyDescent="0.35">
      <c r="E1288" s="35"/>
      <c r="J1288" s="41"/>
    </row>
    <row r="1289" spans="5:10" s="34" customFormat="1" x14ac:dyDescent="0.35">
      <c r="E1289" s="35"/>
      <c r="J1289" s="41"/>
    </row>
    <row r="1290" spans="5:10" s="34" customFormat="1" x14ac:dyDescent="0.35">
      <c r="E1290" s="35"/>
      <c r="J1290" s="41"/>
    </row>
    <row r="1291" spans="5:10" s="34" customFormat="1" x14ac:dyDescent="0.35">
      <c r="E1291" s="35"/>
      <c r="J1291" s="41"/>
    </row>
    <row r="1292" spans="5:10" s="34" customFormat="1" x14ac:dyDescent="0.35">
      <c r="E1292" s="35"/>
      <c r="J1292" s="41"/>
    </row>
    <row r="1293" spans="5:10" s="34" customFormat="1" x14ac:dyDescent="0.35">
      <c r="E1293" s="35"/>
      <c r="J1293" s="41"/>
    </row>
    <row r="1294" spans="5:10" s="34" customFormat="1" x14ac:dyDescent="0.35">
      <c r="E1294" s="35"/>
      <c r="J1294" s="41"/>
    </row>
    <row r="1295" spans="5:10" s="34" customFormat="1" x14ac:dyDescent="0.35">
      <c r="E1295" s="35"/>
      <c r="J1295" s="41"/>
    </row>
    <row r="1296" spans="5:10" s="34" customFormat="1" x14ac:dyDescent="0.35">
      <c r="E1296" s="35"/>
      <c r="J1296" s="41"/>
    </row>
    <row r="1297" spans="5:10" s="34" customFormat="1" x14ac:dyDescent="0.35">
      <c r="E1297" s="35"/>
      <c r="J1297" s="41"/>
    </row>
    <row r="1298" spans="5:10" s="34" customFormat="1" x14ac:dyDescent="0.35">
      <c r="E1298" s="35"/>
      <c r="J1298" s="41"/>
    </row>
    <row r="1299" spans="5:10" s="34" customFormat="1" x14ac:dyDescent="0.35">
      <c r="E1299" s="35"/>
      <c r="J1299" s="41"/>
    </row>
    <row r="1300" spans="5:10" s="34" customFormat="1" x14ac:dyDescent="0.35">
      <c r="E1300" s="35"/>
      <c r="J1300" s="41"/>
    </row>
    <row r="1301" spans="5:10" s="34" customFormat="1" x14ac:dyDescent="0.35">
      <c r="E1301" s="35"/>
      <c r="J1301" s="41"/>
    </row>
    <row r="1302" spans="5:10" s="34" customFormat="1" x14ac:dyDescent="0.35">
      <c r="E1302" s="35"/>
      <c r="J1302" s="41"/>
    </row>
    <row r="1303" spans="5:10" s="34" customFormat="1" x14ac:dyDescent="0.35">
      <c r="E1303" s="35"/>
      <c r="J1303" s="41"/>
    </row>
    <row r="1304" spans="5:10" s="34" customFormat="1" x14ac:dyDescent="0.35">
      <c r="E1304" s="35"/>
      <c r="J1304" s="41"/>
    </row>
    <row r="1305" spans="5:10" s="34" customFormat="1" x14ac:dyDescent="0.35">
      <c r="E1305" s="35"/>
      <c r="J1305" s="41"/>
    </row>
    <row r="1306" spans="5:10" s="34" customFormat="1" x14ac:dyDescent="0.35">
      <c r="E1306" s="35"/>
      <c r="J1306" s="41"/>
    </row>
    <row r="1307" spans="5:10" s="34" customFormat="1" x14ac:dyDescent="0.35">
      <c r="E1307" s="35"/>
      <c r="J1307" s="41"/>
    </row>
    <row r="1308" spans="5:10" s="34" customFormat="1" x14ac:dyDescent="0.35">
      <c r="E1308" s="35"/>
      <c r="J1308" s="41"/>
    </row>
    <row r="1309" spans="5:10" s="34" customFormat="1" x14ac:dyDescent="0.35">
      <c r="E1309" s="35"/>
      <c r="J1309" s="41"/>
    </row>
    <row r="1310" spans="5:10" s="34" customFormat="1" x14ac:dyDescent="0.35">
      <c r="E1310" s="35"/>
      <c r="J1310" s="41"/>
    </row>
    <row r="1311" spans="5:10" s="34" customFormat="1" x14ac:dyDescent="0.35">
      <c r="E1311" s="35"/>
      <c r="J1311" s="41"/>
    </row>
    <row r="1312" spans="5:10" s="34" customFormat="1" x14ac:dyDescent="0.35">
      <c r="E1312" s="35"/>
      <c r="J1312" s="41"/>
    </row>
    <row r="1313" spans="5:10" s="34" customFormat="1" x14ac:dyDescent="0.35">
      <c r="E1313" s="35"/>
      <c r="J1313" s="41"/>
    </row>
    <row r="1314" spans="5:10" s="34" customFormat="1" x14ac:dyDescent="0.35">
      <c r="E1314" s="35"/>
      <c r="J1314" s="41"/>
    </row>
    <row r="1315" spans="5:10" s="34" customFormat="1" x14ac:dyDescent="0.35">
      <c r="E1315" s="35"/>
      <c r="J1315" s="41"/>
    </row>
    <row r="1316" spans="5:10" s="34" customFormat="1" x14ac:dyDescent="0.35">
      <c r="E1316" s="35"/>
      <c r="J1316" s="41"/>
    </row>
    <row r="1317" spans="5:10" s="34" customFormat="1" x14ac:dyDescent="0.35">
      <c r="E1317" s="35"/>
      <c r="J1317" s="41"/>
    </row>
    <row r="1318" spans="5:10" s="34" customFormat="1" x14ac:dyDescent="0.35">
      <c r="E1318" s="35"/>
      <c r="J1318" s="41"/>
    </row>
    <row r="1319" spans="5:10" s="34" customFormat="1" x14ac:dyDescent="0.35">
      <c r="E1319" s="35"/>
      <c r="J1319" s="41"/>
    </row>
    <row r="1320" spans="5:10" s="34" customFormat="1" x14ac:dyDescent="0.35">
      <c r="E1320" s="35"/>
      <c r="J1320" s="41"/>
    </row>
    <row r="1321" spans="5:10" s="34" customFormat="1" x14ac:dyDescent="0.35">
      <c r="E1321" s="35"/>
      <c r="J1321" s="41"/>
    </row>
    <row r="1322" spans="5:10" s="34" customFormat="1" x14ac:dyDescent="0.35">
      <c r="E1322" s="35"/>
      <c r="J1322" s="41"/>
    </row>
    <row r="1323" spans="5:10" s="34" customFormat="1" x14ac:dyDescent="0.35">
      <c r="E1323" s="35"/>
      <c r="J1323" s="41"/>
    </row>
    <row r="1324" spans="5:10" s="34" customFormat="1" x14ac:dyDescent="0.35">
      <c r="E1324" s="35"/>
      <c r="J1324" s="41"/>
    </row>
    <row r="1325" spans="5:10" s="34" customFormat="1" x14ac:dyDescent="0.35">
      <c r="E1325" s="35"/>
      <c r="J1325" s="41"/>
    </row>
    <row r="1326" spans="5:10" s="34" customFormat="1" x14ac:dyDescent="0.35">
      <c r="E1326" s="35"/>
      <c r="J1326" s="41"/>
    </row>
    <row r="1327" spans="5:10" s="34" customFormat="1" x14ac:dyDescent="0.35">
      <c r="E1327" s="35"/>
      <c r="J1327" s="41"/>
    </row>
    <row r="1328" spans="5:10" s="34" customFormat="1" x14ac:dyDescent="0.35">
      <c r="E1328" s="35"/>
      <c r="J1328" s="41"/>
    </row>
    <row r="1329" spans="5:10" s="34" customFormat="1" x14ac:dyDescent="0.35">
      <c r="E1329" s="35"/>
      <c r="J1329" s="41"/>
    </row>
    <row r="1330" spans="5:10" s="34" customFormat="1" x14ac:dyDescent="0.35">
      <c r="E1330" s="35"/>
      <c r="J1330" s="41"/>
    </row>
    <row r="1331" spans="5:10" s="34" customFormat="1" x14ac:dyDescent="0.35">
      <c r="E1331" s="35"/>
      <c r="J1331" s="41"/>
    </row>
    <row r="1332" spans="5:10" s="34" customFormat="1" x14ac:dyDescent="0.35">
      <c r="E1332" s="35"/>
      <c r="J1332" s="41"/>
    </row>
    <row r="1333" spans="5:10" s="34" customFormat="1" x14ac:dyDescent="0.35">
      <c r="E1333" s="35"/>
      <c r="J1333" s="41"/>
    </row>
    <row r="1334" spans="5:10" s="34" customFormat="1" x14ac:dyDescent="0.35">
      <c r="E1334" s="35"/>
      <c r="J1334" s="41"/>
    </row>
    <row r="1335" spans="5:10" s="34" customFormat="1" x14ac:dyDescent="0.35">
      <c r="E1335" s="35"/>
      <c r="J1335" s="41"/>
    </row>
    <row r="1336" spans="5:10" s="34" customFormat="1" x14ac:dyDescent="0.35">
      <c r="E1336" s="35"/>
      <c r="J1336" s="41"/>
    </row>
    <row r="1337" spans="5:10" s="34" customFormat="1" x14ac:dyDescent="0.35">
      <c r="E1337" s="35"/>
      <c r="J1337" s="41"/>
    </row>
    <row r="1338" spans="5:10" s="34" customFormat="1" x14ac:dyDescent="0.35">
      <c r="E1338" s="35"/>
      <c r="J1338" s="41"/>
    </row>
    <row r="1339" spans="5:10" s="34" customFormat="1" x14ac:dyDescent="0.35">
      <c r="E1339" s="35"/>
      <c r="J1339" s="41"/>
    </row>
    <row r="1340" spans="5:10" s="34" customFormat="1" x14ac:dyDescent="0.35">
      <c r="E1340" s="35"/>
      <c r="J1340" s="41"/>
    </row>
    <row r="1341" spans="5:10" s="34" customFormat="1" x14ac:dyDescent="0.35">
      <c r="E1341" s="35"/>
      <c r="J1341" s="41"/>
    </row>
    <row r="1342" spans="5:10" s="34" customFormat="1" x14ac:dyDescent="0.35">
      <c r="E1342" s="35"/>
      <c r="J1342" s="41"/>
    </row>
    <row r="1343" spans="5:10" s="34" customFormat="1" x14ac:dyDescent="0.35">
      <c r="E1343" s="35"/>
      <c r="J1343" s="41"/>
    </row>
    <row r="1344" spans="5:10" s="34" customFormat="1" x14ac:dyDescent="0.35">
      <c r="E1344" s="35"/>
      <c r="J1344" s="41"/>
    </row>
    <row r="1345" spans="5:10" s="34" customFormat="1" x14ac:dyDescent="0.35">
      <c r="E1345" s="35"/>
      <c r="J1345" s="41"/>
    </row>
    <row r="1346" spans="5:10" s="34" customFormat="1" x14ac:dyDescent="0.35">
      <c r="E1346" s="35"/>
      <c r="J1346" s="41"/>
    </row>
    <row r="1347" spans="5:10" s="34" customFormat="1" x14ac:dyDescent="0.35">
      <c r="E1347" s="35"/>
      <c r="J1347" s="41"/>
    </row>
    <row r="1348" spans="5:10" s="34" customFormat="1" x14ac:dyDescent="0.35">
      <c r="E1348" s="35"/>
      <c r="J1348" s="41"/>
    </row>
    <row r="1349" spans="5:10" s="34" customFormat="1" x14ac:dyDescent="0.35">
      <c r="E1349" s="35"/>
      <c r="J1349" s="41"/>
    </row>
    <row r="1350" spans="5:10" s="34" customFormat="1" x14ac:dyDescent="0.35">
      <c r="E1350" s="35"/>
      <c r="J1350" s="41"/>
    </row>
    <row r="1351" spans="5:10" s="34" customFormat="1" x14ac:dyDescent="0.35">
      <c r="E1351" s="35"/>
      <c r="J1351" s="41"/>
    </row>
    <row r="1352" spans="5:10" s="34" customFormat="1" x14ac:dyDescent="0.35">
      <c r="E1352" s="35"/>
      <c r="J1352" s="41"/>
    </row>
    <row r="1353" spans="5:10" s="34" customFormat="1" x14ac:dyDescent="0.35">
      <c r="E1353" s="35"/>
      <c r="J1353" s="41"/>
    </row>
    <row r="1354" spans="5:10" s="34" customFormat="1" x14ac:dyDescent="0.35">
      <c r="E1354" s="35"/>
      <c r="J1354" s="41"/>
    </row>
    <row r="1355" spans="5:10" s="34" customFormat="1" x14ac:dyDescent="0.35">
      <c r="E1355" s="35"/>
      <c r="J1355" s="41"/>
    </row>
    <row r="1356" spans="5:10" s="34" customFormat="1" x14ac:dyDescent="0.35">
      <c r="E1356" s="35"/>
      <c r="J1356" s="41"/>
    </row>
    <row r="1357" spans="5:10" s="34" customFormat="1" x14ac:dyDescent="0.35">
      <c r="E1357" s="35"/>
      <c r="J1357" s="41"/>
    </row>
    <row r="1358" spans="5:10" s="34" customFormat="1" x14ac:dyDescent="0.35">
      <c r="E1358" s="35"/>
      <c r="J1358" s="41"/>
    </row>
    <row r="1359" spans="5:10" s="34" customFormat="1" x14ac:dyDescent="0.35">
      <c r="E1359" s="35"/>
      <c r="J1359" s="41"/>
    </row>
    <row r="1360" spans="5:10" s="34" customFormat="1" x14ac:dyDescent="0.35">
      <c r="E1360" s="35"/>
      <c r="J1360" s="41"/>
    </row>
    <row r="1361" spans="5:10" s="34" customFormat="1" x14ac:dyDescent="0.35">
      <c r="E1361" s="35"/>
      <c r="J1361" s="41"/>
    </row>
    <row r="1362" spans="5:10" s="34" customFormat="1" x14ac:dyDescent="0.35">
      <c r="E1362" s="35"/>
      <c r="J1362" s="41"/>
    </row>
    <row r="1363" spans="5:10" s="34" customFormat="1" x14ac:dyDescent="0.35">
      <c r="E1363" s="35"/>
      <c r="J1363" s="41"/>
    </row>
    <row r="1364" spans="5:10" s="34" customFormat="1" x14ac:dyDescent="0.35">
      <c r="E1364" s="35"/>
      <c r="J1364" s="41"/>
    </row>
    <row r="1365" spans="5:10" s="34" customFormat="1" x14ac:dyDescent="0.35">
      <c r="E1365" s="35"/>
      <c r="J1365" s="41"/>
    </row>
    <row r="1366" spans="5:10" s="34" customFormat="1" x14ac:dyDescent="0.35">
      <c r="E1366" s="35"/>
      <c r="J1366" s="41"/>
    </row>
    <row r="1367" spans="5:10" s="34" customFormat="1" x14ac:dyDescent="0.35">
      <c r="E1367" s="35"/>
      <c r="J1367" s="41"/>
    </row>
    <row r="1368" spans="5:10" s="34" customFormat="1" x14ac:dyDescent="0.35">
      <c r="E1368" s="35"/>
      <c r="J1368" s="41"/>
    </row>
    <row r="1369" spans="5:10" s="34" customFormat="1" x14ac:dyDescent="0.35">
      <c r="E1369" s="35"/>
      <c r="J1369" s="41"/>
    </row>
    <row r="1370" spans="5:10" s="34" customFormat="1" x14ac:dyDescent="0.35">
      <c r="E1370" s="35"/>
      <c r="J1370" s="41"/>
    </row>
    <row r="1371" spans="5:10" s="34" customFormat="1" x14ac:dyDescent="0.35">
      <c r="E1371" s="35"/>
      <c r="J1371" s="41"/>
    </row>
    <row r="1372" spans="5:10" s="34" customFormat="1" x14ac:dyDescent="0.35">
      <c r="E1372" s="35"/>
      <c r="J1372" s="41"/>
    </row>
    <row r="1373" spans="5:10" s="34" customFormat="1" x14ac:dyDescent="0.35">
      <c r="E1373" s="35"/>
      <c r="J1373" s="41"/>
    </row>
    <row r="1374" spans="5:10" s="34" customFormat="1" x14ac:dyDescent="0.35">
      <c r="E1374" s="35"/>
      <c r="J1374" s="41"/>
    </row>
    <row r="1375" spans="5:10" s="34" customFormat="1" x14ac:dyDescent="0.35">
      <c r="E1375" s="35"/>
      <c r="J1375" s="41"/>
    </row>
    <row r="1376" spans="5:10" s="34" customFormat="1" x14ac:dyDescent="0.35">
      <c r="E1376" s="35"/>
      <c r="J1376" s="41"/>
    </row>
    <row r="1377" spans="5:10" s="34" customFormat="1" x14ac:dyDescent="0.35">
      <c r="E1377" s="35"/>
      <c r="J1377" s="41"/>
    </row>
    <row r="1378" spans="5:10" s="34" customFormat="1" x14ac:dyDescent="0.35">
      <c r="E1378" s="35"/>
      <c r="J1378" s="41"/>
    </row>
    <row r="1379" spans="5:10" s="34" customFormat="1" x14ac:dyDescent="0.35">
      <c r="E1379" s="35"/>
      <c r="J1379" s="41"/>
    </row>
    <row r="1380" spans="5:10" s="34" customFormat="1" x14ac:dyDescent="0.35">
      <c r="E1380" s="35"/>
      <c r="J1380" s="41"/>
    </row>
    <row r="1381" spans="5:10" s="34" customFormat="1" x14ac:dyDescent="0.35">
      <c r="E1381" s="35"/>
      <c r="J1381" s="41"/>
    </row>
    <row r="1382" spans="5:10" s="34" customFormat="1" x14ac:dyDescent="0.35">
      <c r="E1382" s="35"/>
      <c r="J1382" s="41"/>
    </row>
    <row r="1383" spans="5:10" s="34" customFormat="1" x14ac:dyDescent="0.35">
      <c r="E1383" s="35"/>
      <c r="J1383" s="41"/>
    </row>
    <row r="1384" spans="5:10" s="34" customFormat="1" x14ac:dyDescent="0.35">
      <c r="E1384" s="35"/>
      <c r="J1384" s="41"/>
    </row>
    <row r="1385" spans="5:10" s="34" customFormat="1" x14ac:dyDescent="0.35">
      <c r="E1385" s="35"/>
      <c r="J1385" s="41"/>
    </row>
    <row r="1386" spans="5:10" s="34" customFormat="1" x14ac:dyDescent="0.35">
      <c r="E1386" s="35"/>
      <c r="J1386" s="41"/>
    </row>
    <row r="1387" spans="5:10" s="34" customFormat="1" x14ac:dyDescent="0.35">
      <c r="E1387" s="35"/>
      <c r="J1387" s="41"/>
    </row>
    <row r="1388" spans="5:10" s="34" customFormat="1" x14ac:dyDescent="0.35">
      <c r="E1388" s="35"/>
      <c r="J1388" s="41"/>
    </row>
    <row r="1389" spans="5:10" s="34" customFormat="1" x14ac:dyDescent="0.35">
      <c r="E1389" s="35"/>
      <c r="J1389" s="41"/>
    </row>
    <row r="1390" spans="5:10" s="34" customFormat="1" x14ac:dyDescent="0.35">
      <c r="E1390" s="35"/>
      <c r="J1390" s="41"/>
    </row>
    <row r="1391" spans="5:10" s="34" customFormat="1" x14ac:dyDescent="0.35">
      <c r="E1391" s="35"/>
      <c r="J1391" s="41"/>
    </row>
    <row r="1392" spans="5:10" s="34" customFormat="1" x14ac:dyDescent="0.35">
      <c r="E1392" s="35"/>
      <c r="J1392" s="41"/>
    </row>
    <row r="1393" spans="5:10" s="34" customFormat="1" x14ac:dyDescent="0.35">
      <c r="E1393" s="35"/>
      <c r="J1393" s="41"/>
    </row>
    <row r="1394" spans="5:10" s="34" customFormat="1" x14ac:dyDescent="0.35">
      <c r="E1394" s="35"/>
      <c r="J1394" s="41"/>
    </row>
    <row r="1395" spans="5:10" s="34" customFormat="1" x14ac:dyDescent="0.35">
      <c r="E1395" s="35"/>
      <c r="J1395" s="41"/>
    </row>
    <row r="1396" spans="5:10" s="34" customFormat="1" x14ac:dyDescent="0.35">
      <c r="E1396" s="35"/>
      <c r="J1396" s="41"/>
    </row>
    <row r="1397" spans="5:10" s="34" customFormat="1" x14ac:dyDescent="0.35">
      <c r="E1397" s="35"/>
      <c r="J1397" s="41"/>
    </row>
    <row r="1398" spans="5:10" s="34" customFormat="1" x14ac:dyDescent="0.35">
      <c r="E1398" s="35"/>
      <c r="J1398" s="41"/>
    </row>
    <row r="1399" spans="5:10" s="34" customFormat="1" x14ac:dyDescent="0.35">
      <c r="E1399" s="35"/>
      <c r="J1399" s="41"/>
    </row>
    <row r="1400" spans="5:10" s="34" customFormat="1" x14ac:dyDescent="0.35">
      <c r="E1400" s="35"/>
      <c r="J1400" s="41"/>
    </row>
    <row r="1401" spans="5:10" s="34" customFormat="1" x14ac:dyDescent="0.35">
      <c r="E1401" s="35"/>
      <c r="J1401" s="41"/>
    </row>
    <row r="1402" spans="5:10" s="34" customFormat="1" x14ac:dyDescent="0.35">
      <c r="E1402" s="35"/>
      <c r="J1402" s="41"/>
    </row>
    <row r="1403" spans="5:10" s="34" customFormat="1" x14ac:dyDescent="0.35">
      <c r="E1403" s="35"/>
      <c r="J1403" s="41"/>
    </row>
    <row r="1404" spans="5:10" s="34" customFormat="1" x14ac:dyDescent="0.35">
      <c r="E1404" s="35"/>
      <c r="J1404" s="41"/>
    </row>
    <row r="1405" spans="5:10" s="34" customFormat="1" x14ac:dyDescent="0.35">
      <c r="E1405" s="35"/>
      <c r="J1405" s="41"/>
    </row>
    <row r="1406" spans="5:10" s="34" customFormat="1" x14ac:dyDescent="0.35">
      <c r="E1406" s="35"/>
      <c r="J1406" s="41"/>
    </row>
    <row r="1407" spans="5:10" s="34" customFormat="1" x14ac:dyDescent="0.35">
      <c r="E1407" s="35"/>
      <c r="J1407" s="41"/>
    </row>
    <row r="1408" spans="5:10" s="34" customFormat="1" x14ac:dyDescent="0.35">
      <c r="E1408" s="35"/>
      <c r="J1408" s="41"/>
    </row>
    <row r="1409" spans="5:10" s="34" customFormat="1" x14ac:dyDescent="0.35">
      <c r="E1409" s="35"/>
      <c r="J1409" s="41"/>
    </row>
    <row r="1410" spans="5:10" s="34" customFormat="1" x14ac:dyDescent="0.35">
      <c r="E1410" s="35"/>
      <c r="J1410" s="41"/>
    </row>
    <row r="1411" spans="5:10" s="34" customFormat="1" x14ac:dyDescent="0.35">
      <c r="E1411" s="35"/>
      <c r="J1411" s="41"/>
    </row>
    <row r="1412" spans="5:10" s="34" customFormat="1" x14ac:dyDescent="0.35">
      <c r="E1412" s="35"/>
      <c r="J1412" s="41"/>
    </row>
    <row r="1413" spans="5:10" s="34" customFormat="1" x14ac:dyDescent="0.35">
      <c r="E1413" s="35"/>
      <c r="J1413" s="41"/>
    </row>
    <row r="1414" spans="5:10" s="34" customFormat="1" x14ac:dyDescent="0.35">
      <c r="E1414" s="35"/>
      <c r="J1414" s="41"/>
    </row>
    <row r="1415" spans="5:10" s="34" customFormat="1" x14ac:dyDescent="0.35">
      <c r="E1415" s="35"/>
      <c r="J1415" s="41"/>
    </row>
    <row r="1416" spans="5:10" s="34" customFormat="1" x14ac:dyDescent="0.35">
      <c r="E1416" s="35"/>
      <c r="J1416" s="41"/>
    </row>
    <row r="1417" spans="5:10" s="34" customFormat="1" x14ac:dyDescent="0.35">
      <c r="E1417" s="35"/>
      <c r="J1417" s="41"/>
    </row>
    <row r="1418" spans="5:10" s="34" customFormat="1" x14ac:dyDescent="0.35">
      <c r="E1418" s="35"/>
      <c r="J1418" s="41"/>
    </row>
    <row r="1419" spans="5:10" s="34" customFormat="1" x14ac:dyDescent="0.35">
      <c r="E1419" s="35"/>
      <c r="J1419" s="41"/>
    </row>
    <row r="1420" spans="5:10" s="34" customFormat="1" x14ac:dyDescent="0.35">
      <c r="E1420" s="35"/>
      <c r="J1420" s="41"/>
    </row>
    <row r="1421" spans="5:10" s="34" customFormat="1" x14ac:dyDescent="0.35">
      <c r="E1421" s="35"/>
      <c r="J1421" s="41"/>
    </row>
    <row r="1422" spans="5:10" s="34" customFormat="1" x14ac:dyDescent="0.35">
      <c r="E1422" s="35"/>
      <c r="J1422" s="41"/>
    </row>
    <row r="1423" spans="5:10" s="34" customFormat="1" x14ac:dyDescent="0.35">
      <c r="E1423" s="35"/>
      <c r="J1423" s="41"/>
    </row>
    <row r="1424" spans="5:10" s="34" customFormat="1" x14ac:dyDescent="0.35">
      <c r="E1424" s="35"/>
      <c r="J1424" s="41"/>
    </row>
    <row r="1425" spans="5:10" s="34" customFormat="1" x14ac:dyDescent="0.35">
      <c r="E1425" s="35"/>
      <c r="J1425" s="41"/>
    </row>
    <row r="1426" spans="5:10" s="34" customFormat="1" x14ac:dyDescent="0.35">
      <c r="E1426" s="35"/>
      <c r="J1426" s="41"/>
    </row>
    <row r="1427" spans="5:10" s="34" customFormat="1" x14ac:dyDescent="0.35">
      <c r="E1427" s="35"/>
      <c r="J1427" s="41"/>
    </row>
    <row r="1428" spans="5:10" s="34" customFormat="1" x14ac:dyDescent="0.35">
      <c r="E1428" s="35"/>
      <c r="J1428" s="41"/>
    </row>
    <row r="1429" spans="5:10" s="34" customFormat="1" x14ac:dyDescent="0.35">
      <c r="E1429" s="35"/>
      <c r="J1429" s="41"/>
    </row>
    <row r="1430" spans="5:10" s="34" customFormat="1" x14ac:dyDescent="0.35">
      <c r="E1430" s="35"/>
      <c r="J1430" s="41"/>
    </row>
    <row r="1431" spans="5:10" s="34" customFormat="1" x14ac:dyDescent="0.35">
      <c r="E1431" s="35"/>
      <c r="J1431" s="41"/>
    </row>
    <row r="1432" spans="5:10" s="34" customFormat="1" x14ac:dyDescent="0.35">
      <c r="E1432" s="35"/>
      <c r="J1432" s="41"/>
    </row>
    <row r="1433" spans="5:10" s="34" customFormat="1" x14ac:dyDescent="0.35">
      <c r="E1433" s="35"/>
      <c r="J1433" s="41"/>
    </row>
    <row r="1434" spans="5:10" s="34" customFormat="1" x14ac:dyDescent="0.35">
      <c r="E1434" s="35"/>
      <c r="J1434" s="41"/>
    </row>
    <row r="1435" spans="5:10" s="34" customFormat="1" x14ac:dyDescent="0.35">
      <c r="E1435" s="35"/>
      <c r="J1435" s="41"/>
    </row>
    <row r="1436" spans="5:10" s="34" customFormat="1" x14ac:dyDescent="0.35">
      <c r="E1436" s="35"/>
      <c r="J1436" s="41"/>
    </row>
    <row r="1437" spans="5:10" s="34" customFormat="1" x14ac:dyDescent="0.35">
      <c r="E1437" s="35"/>
      <c r="J1437" s="41"/>
    </row>
    <row r="1438" spans="5:10" s="34" customFormat="1" x14ac:dyDescent="0.35">
      <c r="E1438" s="35"/>
      <c r="J1438" s="41"/>
    </row>
    <row r="1439" spans="5:10" s="34" customFormat="1" x14ac:dyDescent="0.35">
      <c r="E1439" s="35"/>
      <c r="J1439" s="41"/>
    </row>
    <row r="1440" spans="5:10" s="34" customFormat="1" x14ac:dyDescent="0.35">
      <c r="E1440" s="35"/>
      <c r="J1440" s="41"/>
    </row>
    <row r="1441" spans="5:10" s="34" customFormat="1" x14ac:dyDescent="0.35">
      <c r="E1441" s="35"/>
      <c r="J1441" s="41"/>
    </row>
    <row r="1442" spans="5:10" s="34" customFormat="1" x14ac:dyDescent="0.35">
      <c r="E1442" s="35"/>
      <c r="J1442" s="41"/>
    </row>
    <row r="1443" spans="5:10" s="34" customFormat="1" x14ac:dyDescent="0.35">
      <c r="E1443" s="35"/>
      <c r="J1443" s="41"/>
    </row>
    <row r="1444" spans="5:10" s="34" customFormat="1" x14ac:dyDescent="0.35">
      <c r="E1444" s="35"/>
      <c r="J1444" s="41"/>
    </row>
    <row r="1445" spans="5:10" s="34" customFormat="1" x14ac:dyDescent="0.35">
      <c r="E1445" s="35"/>
      <c r="J1445" s="41"/>
    </row>
    <row r="1446" spans="5:10" s="34" customFormat="1" x14ac:dyDescent="0.35">
      <c r="E1446" s="35"/>
      <c r="J1446" s="41"/>
    </row>
    <row r="1447" spans="5:10" s="34" customFormat="1" x14ac:dyDescent="0.35">
      <c r="E1447" s="35"/>
      <c r="J1447" s="41"/>
    </row>
    <row r="1448" spans="5:10" s="34" customFormat="1" x14ac:dyDescent="0.35">
      <c r="E1448" s="35"/>
      <c r="J1448" s="41"/>
    </row>
    <row r="1449" spans="5:10" s="34" customFormat="1" x14ac:dyDescent="0.35">
      <c r="E1449" s="35"/>
      <c r="J1449" s="41"/>
    </row>
    <row r="1450" spans="5:10" s="34" customFormat="1" x14ac:dyDescent="0.35">
      <c r="E1450" s="35"/>
      <c r="J1450" s="41"/>
    </row>
    <row r="1451" spans="5:10" s="34" customFormat="1" x14ac:dyDescent="0.35">
      <c r="E1451" s="35"/>
      <c r="J1451" s="41"/>
    </row>
    <row r="1452" spans="5:10" s="34" customFormat="1" x14ac:dyDescent="0.35">
      <c r="E1452" s="35"/>
      <c r="J1452" s="41"/>
    </row>
    <row r="1453" spans="5:10" s="34" customFormat="1" x14ac:dyDescent="0.35">
      <c r="E1453" s="35"/>
      <c r="J1453" s="41"/>
    </row>
    <row r="1454" spans="5:10" s="34" customFormat="1" x14ac:dyDescent="0.35">
      <c r="E1454" s="35"/>
      <c r="J1454" s="41"/>
    </row>
    <row r="1455" spans="5:10" s="34" customFormat="1" x14ac:dyDescent="0.35">
      <c r="E1455" s="35"/>
      <c r="J1455" s="41"/>
    </row>
    <row r="1456" spans="5:10" s="34" customFormat="1" x14ac:dyDescent="0.35">
      <c r="E1456" s="35"/>
      <c r="J1456" s="41"/>
    </row>
    <row r="1457" spans="5:10" s="34" customFormat="1" x14ac:dyDescent="0.35">
      <c r="E1457" s="35"/>
      <c r="J1457" s="41"/>
    </row>
    <row r="1458" spans="5:10" s="34" customFormat="1" x14ac:dyDescent="0.35">
      <c r="E1458" s="35"/>
      <c r="J1458" s="41"/>
    </row>
    <row r="1459" spans="5:10" s="34" customFormat="1" x14ac:dyDescent="0.35">
      <c r="E1459" s="35"/>
      <c r="J1459" s="41"/>
    </row>
    <row r="1460" spans="5:10" s="34" customFormat="1" x14ac:dyDescent="0.35">
      <c r="E1460" s="35"/>
      <c r="J1460" s="41"/>
    </row>
    <row r="1461" spans="5:10" s="34" customFormat="1" x14ac:dyDescent="0.35">
      <c r="E1461" s="35"/>
      <c r="J1461" s="41"/>
    </row>
    <row r="1462" spans="5:10" s="34" customFormat="1" x14ac:dyDescent="0.35">
      <c r="E1462" s="35"/>
      <c r="J1462" s="41"/>
    </row>
    <row r="1463" spans="5:10" s="34" customFormat="1" x14ac:dyDescent="0.35">
      <c r="E1463" s="35"/>
      <c r="J1463" s="41"/>
    </row>
    <row r="1464" spans="5:10" s="34" customFormat="1" x14ac:dyDescent="0.35">
      <c r="E1464" s="35"/>
      <c r="J1464" s="41"/>
    </row>
    <row r="1465" spans="5:10" s="34" customFormat="1" x14ac:dyDescent="0.35">
      <c r="E1465" s="35"/>
      <c r="J1465" s="41"/>
    </row>
    <row r="1466" spans="5:10" s="34" customFormat="1" x14ac:dyDescent="0.35">
      <c r="E1466" s="35"/>
      <c r="J1466" s="41"/>
    </row>
    <row r="1467" spans="5:10" s="34" customFormat="1" x14ac:dyDescent="0.35">
      <c r="E1467" s="35"/>
      <c r="J1467" s="41"/>
    </row>
    <row r="1468" spans="5:10" s="34" customFormat="1" x14ac:dyDescent="0.35">
      <c r="E1468" s="35"/>
      <c r="J1468" s="41"/>
    </row>
    <row r="1469" spans="5:10" s="34" customFormat="1" x14ac:dyDescent="0.35">
      <c r="E1469" s="35"/>
      <c r="J1469" s="41"/>
    </row>
    <row r="1470" spans="5:10" s="34" customFormat="1" x14ac:dyDescent="0.35">
      <c r="E1470" s="35"/>
      <c r="J1470" s="41"/>
    </row>
    <row r="1471" spans="5:10" s="34" customFormat="1" x14ac:dyDescent="0.35">
      <c r="E1471" s="35"/>
      <c r="J1471" s="41"/>
    </row>
    <row r="1472" spans="5:10" s="34" customFormat="1" x14ac:dyDescent="0.35">
      <c r="E1472" s="35"/>
      <c r="J1472" s="41"/>
    </row>
    <row r="1473" spans="5:10" s="34" customFormat="1" x14ac:dyDescent="0.35">
      <c r="E1473" s="35"/>
      <c r="J1473" s="41"/>
    </row>
    <row r="1474" spans="5:10" s="34" customFormat="1" x14ac:dyDescent="0.35">
      <c r="E1474" s="35"/>
      <c r="J1474" s="41"/>
    </row>
    <row r="1475" spans="5:10" s="34" customFormat="1" x14ac:dyDescent="0.35">
      <c r="E1475" s="35"/>
      <c r="J1475" s="41"/>
    </row>
    <row r="1476" spans="5:10" s="34" customFormat="1" x14ac:dyDescent="0.35">
      <c r="E1476" s="35"/>
      <c r="J1476" s="41"/>
    </row>
    <row r="1477" spans="5:10" s="34" customFormat="1" x14ac:dyDescent="0.35">
      <c r="E1477" s="35"/>
      <c r="J1477" s="41"/>
    </row>
    <row r="1478" spans="5:10" s="34" customFormat="1" x14ac:dyDescent="0.35">
      <c r="E1478" s="35"/>
      <c r="J1478" s="41"/>
    </row>
    <row r="1479" spans="5:10" s="34" customFormat="1" x14ac:dyDescent="0.35">
      <c r="E1479" s="35"/>
      <c r="J1479" s="41"/>
    </row>
    <row r="1480" spans="5:10" s="34" customFormat="1" x14ac:dyDescent="0.35">
      <c r="E1480" s="35"/>
      <c r="J1480" s="41"/>
    </row>
    <row r="1481" spans="5:10" s="34" customFormat="1" x14ac:dyDescent="0.35">
      <c r="E1481" s="35"/>
      <c r="J1481" s="41"/>
    </row>
    <row r="1482" spans="5:10" s="34" customFormat="1" x14ac:dyDescent="0.35">
      <c r="E1482" s="35"/>
      <c r="J1482" s="41"/>
    </row>
    <row r="1483" spans="5:10" s="34" customFormat="1" x14ac:dyDescent="0.35">
      <c r="E1483" s="35"/>
      <c r="J1483" s="41"/>
    </row>
    <row r="1484" spans="5:10" s="34" customFormat="1" x14ac:dyDescent="0.35">
      <c r="E1484" s="35"/>
      <c r="J1484" s="41"/>
    </row>
    <row r="1485" spans="5:10" s="34" customFormat="1" x14ac:dyDescent="0.35">
      <c r="E1485" s="35"/>
      <c r="J1485" s="41"/>
    </row>
    <row r="1486" spans="5:10" s="34" customFormat="1" x14ac:dyDescent="0.35">
      <c r="E1486" s="35"/>
      <c r="J1486" s="41"/>
    </row>
    <row r="1487" spans="5:10" s="34" customFormat="1" x14ac:dyDescent="0.35">
      <c r="E1487" s="35"/>
      <c r="J1487" s="41"/>
    </row>
    <row r="1488" spans="5:10" s="34" customFormat="1" x14ac:dyDescent="0.35">
      <c r="E1488" s="35"/>
      <c r="J1488" s="41"/>
    </row>
    <row r="1489" spans="5:10" s="34" customFormat="1" x14ac:dyDescent="0.35">
      <c r="E1489" s="35"/>
      <c r="J1489" s="41"/>
    </row>
    <row r="1490" spans="5:10" s="34" customFormat="1" x14ac:dyDescent="0.35">
      <c r="E1490" s="35"/>
      <c r="J1490" s="41"/>
    </row>
    <row r="1491" spans="5:10" s="34" customFormat="1" x14ac:dyDescent="0.35">
      <c r="E1491" s="35"/>
      <c r="J1491" s="41"/>
    </row>
    <row r="1492" spans="5:10" s="34" customFormat="1" x14ac:dyDescent="0.35">
      <c r="E1492" s="35"/>
      <c r="J1492" s="41"/>
    </row>
    <row r="1493" spans="5:10" s="34" customFormat="1" x14ac:dyDescent="0.35">
      <c r="E1493" s="35"/>
      <c r="J1493" s="41"/>
    </row>
    <row r="1494" spans="5:10" s="34" customFormat="1" x14ac:dyDescent="0.35">
      <c r="E1494" s="35"/>
      <c r="J1494" s="41"/>
    </row>
    <row r="1495" spans="5:10" s="34" customFormat="1" x14ac:dyDescent="0.35">
      <c r="E1495" s="35"/>
      <c r="J1495" s="41"/>
    </row>
    <row r="1496" spans="5:10" s="34" customFormat="1" x14ac:dyDescent="0.35">
      <c r="E1496" s="35"/>
      <c r="J1496" s="41"/>
    </row>
    <row r="1497" spans="5:10" s="34" customFormat="1" x14ac:dyDescent="0.35">
      <c r="E1497" s="35"/>
      <c r="J1497" s="41"/>
    </row>
    <row r="1498" spans="5:10" s="34" customFormat="1" x14ac:dyDescent="0.35">
      <c r="E1498" s="35"/>
      <c r="J1498" s="41"/>
    </row>
    <row r="1499" spans="5:10" s="34" customFormat="1" x14ac:dyDescent="0.35">
      <c r="E1499" s="35"/>
      <c r="J1499" s="41"/>
    </row>
    <row r="1500" spans="5:10" s="34" customFormat="1" x14ac:dyDescent="0.35">
      <c r="E1500" s="35"/>
      <c r="J1500" s="41"/>
    </row>
    <row r="1501" spans="5:10" s="34" customFormat="1" x14ac:dyDescent="0.35">
      <c r="E1501" s="35"/>
      <c r="J1501" s="41"/>
    </row>
    <row r="1502" spans="5:10" s="34" customFormat="1" x14ac:dyDescent="0.35">
      <c r="E1502" s="35"/>
      <c r="J1502" s="41"/>
    </row>
    <row r="1503" spans="5:10" s="34" customFormat="1" x14ac:dyDescent="0.35">
      <c r="E1503" s="35"/>
      <c r="J1503" s="41"/>
    </row>
    <row r="1504" spans="5:10" s="34" customFormat="1" x14ac:dyDescent="0.35">
      <c r="E1504" s="35"/>
      <c r="J1504" s="41"/>
    </row>
    <row r="1505" spans="5:10" s="34" customFormat="1" x14ac:dyDescent="0.35">
      <c r="E1505" s="35"/>
      <c r="J1505" s="41"/>
    </row>
    <row r="1506" spans="5:10" s="34" customFormat="1" x14ac:dyDescent="0.35">
      <c r="E1506" s="35"/>
      <c r="J1506" s="41"/>
    </row>
    <row r="1507" spans="5:10" s="34" customFormat="1" x14ac:dyDescent="0.35">
      <c r="E1507" s="35"/>
      <c r="J1507" s="41"/>
    </row>
    <row r="1508" spans="5:10" s="34" customFormat="1" x14ac:dyDescent="0.35">
      <c r="E1508" s="35"/>
      <c r="J1508" s="41"/>
    </row>
    <row r="1509" spans="5:10" s="34" customFormat="1" x14ac:dyDescent="0.35">
      <c r="E1509" s="35"/>
      <c r="J1509" s="41"/>
    </row>
    <row r="1510" spans="5:10" s="34" customFormat="1" x14ac:dyDescent="0.35">
      <c r="E1510" s="35"/>
      <c r="J1510" s="41"/>
    </row>
    <row r="1511" spans="5:10" s="34" customFormat="1" x14ac:dyDescent="0.35">
      <c r="E1511" s="35"/>
      <c r="J1511" s="41"/>
    </row>
    <row r="1512" spans="5:10" s="34" customFormat="1" x14ac:dyDescent="0.35">
      <c r="E1512" s="35"/>
      <c r="J1512" s="41"/>
    </row>
    <row r="1513" spans="5:10" s="34" customFormat="1" x14ac:dyDescent="0.35">
      <c r="E1513" s="35"/>
      <c r="J1513" s="41"/>
    </row>
    <row r="1514" spans="5:10" s="34" customFormat="1" x14ac:dyDescent="0.35">
      <c r="E1514" s="35"/>
      <c r="J1514" s="41"/>
    </row>
    <row r="1515" spans="5:10" s="34" customFormat="1" x14ac:dyDescent="0.35">
      <c r="E1515" s="35"/>
      <c r="J1515" s="41"/>
    </row>
    <row r="1516" spans="5:10" s="34" customFormat="1" x14ac:dyDescent="0.35">
      <c r="E1516" s="35"/>
      <c r="J1516" s="41"/>
    </row>
    <row r="1517" spans="5:10" s="34" customFormat="1" x14ac:dyDescent="0.35">
      <c r="E1517" s="35"/>
      <c r="J1517" s="41"/>
    </row>
    <row r="1518" spans="5:10" s="34" customFormat="1" x14ac:dyDescent="0.35">
      <c r="E1518" s="35"/>
      <c r="J1518" s="41"/>
    </row>
    <row r="1519" spans="5:10" s="34" customFormat="1" x14ac:dyDescent="0.35">
      <c r="E1519" s="35"/>
      <c r="J1519" s="41"/>
    </row>
    <row r="1520" spans="5:10" s="34" customFormat="1" x14ac:dyDescent="0.35">
      <c r="E1520" s="35"/>
      <c r="J1520" s="41"/>
    </row>
    <row r="1521" spans="5:10" s="34" customFormat="1" x14ac:dyDescent="0.35">
      <c r="E1521" s="35"/>
      <c r="J1521" s="41"/>
    </row>
    <row r="1522" spans="5:10" s="34" customFormat="1" x14ac:dyDescent="0.35">
      <c r="E1522" s="35"/>
      <c r="J1522" s="41"/>
    </row>
    <row r="1523" spans="5:10" s="34" customFormat="1" x14ac:dyDescent="0.35">
      <c r="E1523" s="35"/>
      <c r="J1523" s="41"/>
    </row>
    <row r="1524" spans="5:10" s="34" customFormat="1" x14ac:dyDescent="0.35">
      <c r="E1524" s="35"/>
      <c r="J1524" s="41"/>
    </row>
    <row r="1525" spans="5:10" s="34" customFormat="1" x14ac:dyDescent="0.35">
      <c r="E1525" s="35"/>
      <c r="J1525" s="41"/>
    </row>
    <row r="1526" spans="5:10" s="34" customFormat="1" x14ac:dyDescent="0.35">
      <c r="E1526" s="35"/>
      <c r="J1526" s="41"/>
    </row>
    <row r="1527" spans="5:10" s="34" customFormat="1" x14ac:dyDescent="0.35">
      <c r="E1527" s="35"/>
      <c r="J1527" s="41"/>
    </row>
    <row r="1528" spans="5:10" s="34" customFormat="1" x14ac:dyDescent="0.35">
      <c r="E1528" s="35"/>
      <c r="J1528" s="41"/>
    </row>
    <row r="1529" spans="5:10" s="34" customFormat="1" x14ac:dyDescent="0.35">
      <c r="E1529" s="35"/>
      <c r="J1529" s="41"/>
    </row>
    <row r="1530" spans="5:10" s="34" customFormat="1" x14ac:dyDescent="0.35">
      <c r="E1530" s="35"/>
      <c r="J1530" s="41"/>
    </row>
    <row r="1531" spans="5:10" s="34" customFormat="1" x14ac:dyDescent="0.35">
      <c r="E1531" s="35"/>
      <c r="J1531" s="41"/>
    </row>
    <row r="1532" spans="5:10" s="34" customFormat="1" x14ac:dyDescent="0.35">
      <c r="E1532" s="35"/>
      <c r="J1532" s="41"/>
    </row>
    <row r="1533" spans="5:10" s="34" customFormat="1" x14ac:dyDescent="0.35">
      <c r="E1533" s="35"/>
      <c r="J1533" s="41"/>
    </row>
    <row r="1534" spans="5:10" s="34" customFormat="1" x14ac:dyDescent="0.35">
      <c r="E1534" s="35"/>
      <c r="J1534" s="41"/>
    </row>
    <row r="1535" spans="5:10" s="34" customFormat="1" x14ac:dyDescent="0.35">
      <c r="E1535" s="35"/>
      <c r="J1535" s="41"/>
    </row>
    <row r="1536" spans="5:10" s="34" customFormat="1" x14ac:dyDescent="0.35">
      <c r="E1536" s="35"/>
      <c r="J1536" s="41"/>
    </row>
    <row r="1537" spans="5:10" s="34" customFormat="1" x14ac:dyDescent="0.35">
      <c r="E1537" s="35"/>
      <c r="J1537" s="41"/>
    </row>
    <row r="1538" spans="5:10" s="34" customFormat="1" x14ac:dyDescent="0.35">
      <c r="E1538" s="35"/>
      <c r="J1538" s="41"/>
    </row>
    <row r="1539" spans="5:10" s="34" customFormat="1" x14ac:dyDescent="0.35">
      <c r="E1539" s="35"/>
      <c r="J1539" s="41"/>
    </row>
    <row r="1540" spans="5:10" s="34" customFormat="1" x14ac:dyDescent="0.35">
      <c r="E1540" s="35"/>
      <c r="J1540" s="41"/>
    </row>
    <row r="1541" spans="5:10" s="34" customFormat="1" x14ac:dyDescent="0.35">
      <c r="E1541" s="35"/>
      <c r="J1541" s="41"/>
    </row>
    <row r="1542" spans="5:10" s="34" customFormat="1" x14ac:dyDescent="0.35">
      <c r="E1542" s="35"/>
      <c r="J1542" s="41"/>
    </row>
    <row r="1543" spans="5:10" s="34" customFormat="1" x14ac:dyDescent="0.35">
      <c r="E1543" s="35"/>
      <c r="J1543" s="41"/>
    </row>
    <row r="1544" spans="5:10" s="34" customFormat="1" x14ac:dyDescent="0.35">
      <c r="E1544" s="35"/>
      <c r="J1544" s="41"/>
    </row>
    <row r="1545" spans="5:10" s="34" customFormat="1" x14ac:dyDescent="0.35">
      <c r="E1545" s="35"/>
      <c r="J1545" s="41"/>
    </row>
    <row r="1546" spans="5:10" s="34" customFormat="1" x14ac:dyDescent="0.35">
      <c r="E1546" s="35"/>
      <c r="J1546" s="41"/>
    </row>
    <row r="1547" spans="5:10" s="34" customFormat="1" x14ac:dyDescent="0.35">
      <c r="E1547" s="35"/>
      <c r="J1547" s="41"/>
    </row>
    <row r="1548" spans="5:10" s="34" customFormat="1" x14ac:dyDescent="0.35">
      <c r="E1548" s="35"/>
      <c r="J1548" s="41"/>
    </row>
    <row r="1549" spans="5:10" s="34" customFormat="1" x14ac:dyDescent="0.35">
      <c r="E1549" s="35"/>
      <c r="J1549" s="41"/>
    </row>
    <row r="1550" spans="5:10" s="34" customFormat="1" x14ac:dyDescent="0.35">
      <c r="E1550" s="35"/>
      <c r="J1550" s="41"/>
    </row>
    <row r="1551" spans="5:10" s="34" customFormat="1" x14ac:dyDescent="0.35">
      <c r="E1551" s="35"/>
      <c r="J1551" s="41"/>
    </row>
    <row r="1552" spans="5:10" s="34" customFormat="1" x14ac:dyDescent="0.35">
      <c r="E1552" s="35"/>
      <c r="J1552" s="41"/>
    </row>
    <row r="1553" spans="5:10" s="34" customFormat="1" x14ac:dyDescent="0.35">
      <c r="E1553" s="35"/>
      <c r="J1553" s="41"/>
    </row>
    <row r="1554" spans="5:10" s="34" customFormat="1" x14ac:dyDescent="0.35">
      <c r="E1554" s="35"/>
      <c r="J1554" s="41"/>
    </row>
    <row r="1555" spans="5:10" s="34" customFormat="1" x14ac:dyDescent="0.35">
      <c r="E1555" s="35"/>
      <c r="J1555" s="41"/>
    </row>
    <row r="1556" spans="5:10" s="34" customFormat="1" x14ac:dyDescent="0.35">
      <c r="E1556" s="35"/>
      <c r="J1556" s="41"/>
    </row>
    <row r="1557" spans="5:10" s="34" customFormat="1" x14ac:dyDescent="0.35">
      <c r="E1557" s="35"/>
      <c r="J1557" s="41"/>
    </row>
    <row r="1558" spans="5:10" s="34" customFormat="1" x14ac:dyDescent="0.35">
      <c r="E1558" s="35"/>
      <c r="J1558" s="41"/>
    </row>
    <row r="1559" spans="5:10" s="34" customFormat="1" x14ac:dyDescent="0.35">
      <c r="E1559" s="35"/>
      <c r="J1559" s="41"/>
    </row>
    <row r="1560" spans="5:10" s="34" customFormat="1" x14ac:dyDescent="0.35">
      <c r="E1560" s="35"/>
      <c r="J1560" s="41"/>
    </row>
    <row r="1561" spans="5:10" s="34" customFormat="1" x14ac:dyDescent="0.35">
      <c r="E1561" s="35"/>
      <c r="J1561" s="41"/>
    </row>
    <row r="1562" spans="5:10" s="34" customFormat="1" x14ac:dyDescent="0.35">
      <c r="E1562" s="35"/>
      <c r="J1562" s="41"/>
    </row>
    <row r="1563" spans="5:10" s="34" customFormat="1" x14ac:dyDescent="0.35">
      <c r="E1563" s="35"/>
      <c r="J1563" s="41"/>
    </row>
    <row r="1564" spans="5:10" s="34" customFormat="1" x14ac:dyDescent="0.35">
      <c r="E1564" s="35"/>
      <c r="J1564" s="41"/>
    </row>
    <row r="1565" spans="5:10" s="34" customFormat="1" x14ac:dyDescent="0.35">
      <c r="E1565" s="35"/>
      <c r="J1565" s="41"/>
    </row>
    <row r="1566" spans="5:10" s="34" customFormat="1" x14ac:dyDescent="0.35">
      <c r="E1566" s="35"/>
      <c r="J1566" s="41"/>
    </row>
    <row r="1567" spans="5:10" s="34" customFormat="1" x14ac:dyDescent="0.35">
      <c r="E1567" s="35"/>
      <c r="J1567" s="41"/>
    </row>
    <row r="1568" spans="5:10" s="34" customFormat="1" x14ac:dyDescent="0.35">
      <c r="E1568" s="35"/>
      <c r="J1568" s="41"/>
    </row>
    <row r="1569" spans="5:10" s="34" customFormat="1" x14ac:dyDescent="0.35">
      <c r="E1569" s="35"/>
      <c r="J1569" s="41"/>
    </row>
    <row r="1570" spans="5:10" s="34" customFormat="1" x14ac:dyDescent="0.35">
      <c r="E1570" s="35"/>
      <c r="J1570" s="41"/>
    </row>
    <row r="1571" spans="5:10" s="34" customFormat="1" x14ac:dyDescent="0.35">
      <c r="E1571" s="35"/>
      <c r="J1571" s="41"/>
    </row>
    <row r="1572" spans="5:10" s="34" customFormat="1" x14ac:dyDescent="0.35">
      <c r="E1572" s="35"/>
      <c r="J1572" s="41"/>
    </row>
    <row r="1573" spans="5:10" s="34" customFormat="1" x14ac:dyDescent="0.35">
      <c r="E1573" s="35"/>
      <c r="J1573" s="41"/>
    </row>
    <row r="1574" spans="5:10" s="34" customFormat="1" x14ac:dyDescent="0.35">
      <c r="E1574" s="35"/>
      <c r="J1574" s="41"/>
    </row>
    <row r="1575" spans="5:10" s="34" customFormat="1" x14ac:dyDescent="0.35">
      <c r="E1575" s="35"/>
      <c r="J1575" s="41"/>
    </row>
    <row r="1576" spans="5:10" s="34" customFormat="1" x14ac:dyDescent="0.35">
      <c r="E1576" s="35"/>
      <c r="J1576" s="41"/>
    </row>
    <row r="1577" spans="5:10" s="34" customFormat="1" x14ac:dyDescent="0.35">
      <c r="E1577" s="35"/>
      <c r="J1577" s="41"/>
    </row>
    <row r="1578" spans="5:10" s="34" customFormat="1" x14ac:dyDescent="0.35">
      <c r="E1578" s="35"/>
      <c r="J1578" s="41"/>
    </row>
    <row r="1579" spans="5:10" s="34" customFormat="1" x14ac:dyDescent="0.35">
      <c r="E1579" s="35"/>
      <c r="J1579" s="41"/>
    </row>
    <row r="1580" spans="5:10" s="34" customFormat="1" x14ac:dyDescent="0.35">
      <c r="E1580" s="35"/>
      <c r="J1580" s="41"/>
    </row>
    <row r="1581" spans="5:10" s="34" customFormat="1" x14ac:dyDescent="0.35">
      <c r="E1581" s="35"/>
      <c r="J1581" s="41"/>
    </row>
    <row r="1582" spans="5:10" s="34" customFormat="1" x14ac:dyDescent="0.35">
      <c r="E1582" s="35"/>
      <c r="J1582" s="41"/>
    </row>
    <row r="1583" spans="5:10" s="34" customFormat="1" x14ac:dyDescent="0.35">
      <c r="E1583" s="35"/>
      <c r="J1583" s="41"/>
    </row>
    <row r="1584" spans="5:10" s="34" customFormat="1" x14ac:dyDescent="0.35">
      <c r="E1584" s="35"/>
      <c r="J1584" s="41"/>
    </row>
    <row r="1585" spans="5:10" s="34" customFormat="1" x14ac:dyDescent="0.35">
      <c r="E1585" s="35"/>
      <c r="J1585" s="41"/>
    </row>
    <row r="1586" spans="5:10" s="34" customFormat="1" x14ac:dyDescent="0.35">
      <c r="E1586" s="35"/>
      <c r="J1586" s="41"/>
    </row>
    <row r="1587" spans="5:10" s="34" customFormat="1" x14ac:dyDescent="0.35">
      <c r="E1587" s="35"/>
      <c r="J1587" s="41"/>
    </row>
    <row r="1588" spans="5:10" s="34" customFormat="1" x14ac:dyDescent="0.35">
      <c r="E1588" s="35"/>
      <c r="J1588" s="41"/>
    </row>
    <row r="1589" spans="5:10" s="34" customFormat="1" x14ac:dyDescent="0.35">
      <c r="E1589" s="35"/>
      <c r="J1589" s="41"/>
    </row>
    <row r="1590" spans="5:10" s="34" customFormat="1" x14ac:dyDescent="0.35">
      <c r="E1590" s="35"/>
      <c r="J1590" s="41"/>
    </row>
    <row r="1591" spans="5:10" s="34" customFormat="1" x14ac:dyDescent="0.35">
      <c r="E1591" s="35"/>
      <c r="J1591" s="41"/>
    </row>
    <row r="1592" spans="5:10" s="34" customFormat="1" x14ac:dyDescent="0.35">
      <c r="E1592" s="35"/>
      <c r="J1592" s="41"/>
    </row>
    <row r="1593" spans="5:10" s="34" customFormat="1" x14ac:dyDescent="0.35">
      <c r="E1593" s="35"/>
      <c r="J1593" s="41"/>
    </row>
    <row r="1594" spans="5:10" s="34" customFormat="1" x14ac:dyDescent="0.35">
      <c r="E1594" s="35"/>
      <c r="J1594" s="41"/>
    </row>
    <row r="1595" spans="5:10" s="34" customFormat="1" x14ac:dyDescent="0.35">
      <c r="E1595" s="35"/>
      <c r="J1595" s="41"/>
    </row>
    <row r="1596" spans="5:10" s="34" customFormat="1" x14ac:dyDescent="0.35">
      <c r="E1596" s="35"/>
      <c r="J1596" s="41"/>
    </row>
    <row r="1597" spans="5:10" s="34" customFormat="1" x14ac:dyDescent="0.35">
      <c r="E1597" s="35"/>
      <c r="J1597" s="41"/>
    </row>
    <row r="1598" spans="5:10" s="34" customFormat="1" x14ac:dyDescent="0.35">
      <c r="E1598" s="35"/>
      <c r="J1598" s="41"/>
    </row>
    <row r="1599" spans="5:10" s="34" customFormat="1" x14ac:dyDescent="0.35">
      <c r="E1599" s="35"/>
      <c r="J1599" s="41"/>
    </row>
    <row r="1600" spans="5:10" s="34" customFormat="1" x14ac:dyDescent="0.35">
      <c r="E1600" s="35"/>
      <c r="J1600" s="41"/>
    </row>
    <row r="1601" spans="5:10" s="34" customFormat="1" x14ac:dyDescent="0.35">
      <c r="E1601" s="35"/>
      <c r="J1601" s="41"/>
    </row>
    <row r="1602" spans="5:10" s="34" customFormat="1" x14ac:dyDescent="0.35">
      <c r="E1602" s="35"/>
      <c r="J1602" s="41"/>
    </row>
    <row r="1603" spans="5:10" s="34" customFormat="1" x14ac:dyDescent="0.35">
      <c r="E1603" s="35"/>
      <c r="J1603" s="41"/>
    </row>
    <row r="1604" spans="5:10" s="34" customFormat="1" x14ac:dyDescent="0.35">
      <c r="E1604" s="35"/>
      <c r="J1604" s="41"/>
    </row>
    <row r="1605" spans="5:10" s="34" customFormat="1" x14ac:dyDescent="0.35">
      <c r="E1605" s="35"/>
      <c r="J1605" s="41"/>
    </row>
    <row r="1606" spans="5:10" s="34" customFormat="1" x14ac:dyDescent="0.35">
      <c r="E1606" s="35"/>
      <c r="J1606" s="41"/>
    </row>
    <row r="1607" spans="5:10" s="34" customFormat="1" x14ac:dyDescent="0.35">
      <c r="E1607" s="35"/>
      <c r="J1607" s="41"/>
    </row>
    <row r="1608" spans="5:10" s="34" customFormat="1" x14ac:dyDescent="0.35">
      <c r="E1608" s="35"/>
      <c r="J1608" s="41"/>
    </row>
    <row r="1609" spans="5:10" s="34" customFormat="1" x14ac:dyDescent="0.35">
      <c r="E1609" s="35"/>
      <c r="J1609" s="41"/>
    </row>
    <row r="1610" spans="5:10" s="34" customFormat="1" x14ac:dyDescent="0.35">
      <c r="E1610" s="35"/>
      <c r="J1610" s="41"/>
    </row>
    <row r="1611" spans="5:10" s="34" customFormat="1" x14ac:dyDescent="0.35">
      <c r="E1611" s="35"/>
      <c r="J1611" s="41"/>
    </row>
    <row r="1612" spans="5:10" s="34" customFormat="1" x14ac:dyDescent="0.35">
      <c r="E1612" s="35"/>
      <c r="J1612" s="41"/>
    </row>
    <row r="1613" spans="5:10" s="34" customFormat="1" x14ac:dyDescent="0.35">
      <c r="E1613" s="35"/>
      <c r="J1613" s="41"/>
    </row>
    <row r="1614" spans="5:10" s="34" customFormat="1" x14ac:dyDescent="0.35">
      <c r="E1614" s="35"/>
      <c r="J1614" s="41"/>
    </row>
    <row r="1615" spans="5:10" s="34" customFormat="1" x14ac:dyDescent="0.35">
      <c r="E1615" s="35"/>
      <c r="J1615" s="41"/>
    </row>
    <row r="1616" spans="5:10" s="34" customFormat="1" x14ac:dyDescent="0.35">
      <c r="E1616" s="35"/>
      <c r="J1616" s="41"/>
    </row>
    <row r="1617" spans="5:10" s="34" customFormat="1" x14ac:dyDescent="0.35">
      <c r="E1617" s="35"/>
      <c r="J1617" s="41"/>
    </row>
    <row r="1618" spans="5:10" s="34" customFormat="1" x14ac:dyDescent="0.35">
      <c r="E1618" s="35"/>
      <c r="J1618" s="41"/>
    </row>
    <row r="1619" spans="5:10" s="34" customFormat="1" x14ac:dyDescent="0.35">
      <c r="E1619" s="35"/>
      <c r="J1619" s="41"/>
    </row>
    <row r="1620" spans="5:10" s="34" customFormat="1" x14ac:dyDescent="0.35">
      <c r="E1620" s="35"/>
      <c r="J1620" s="41"/>
    </row>
    <row r="1621" spans="5:10" s="34" customFormat="1" x14ac:dyDescent="0.35">
      <c r="E1621" s="35"/>
      <c r="J1621" s="41"/>
    </row>
    <row r="1622" spans="5:10" s="34" customFormat="1" x14ac:dyDescent="0.35">
      <c r="E1622" s="35"/>
      <c r="J1622" s="41"/>
    </row>
    <row r="1623" spans="5:10" s="34" customFormat="1" x14ac:dyDescent="0.35">
      <c r="E1623" s="35"/>
      <c r="J1623" s="41"/>
    </row>
    <row r="1624" spans="5:10" s="34" customFormat="1" x14ac:dyDescent="0.35">
      <c r="E1624" s="35"/>
      <c r="J1624" s="41"/>
    </row>
    <row r="1625" spans="5:10" s="34" customFormat="1" x14ac:dyDescent="0.35">
      <c r="E1625" s="35"/>
      <c r="J1625" s="41"/>
    </row>
    <row r="1626" spans="5:10" s="34" customFormat="1" x14ac:dyDescent="0.35">
      <c r="E1626" s="35"/>
      <c r="J1626" s="41"/>
    </row>
    <row r="1627" spans="5:10" s="34" customFormat="1" x14ac:dyDescent="0.35">
      <c r="E1627" s="35"/>
      <c r="J1627" s="41"/>
    </row>
    <row r="1628" spans="5:10" s="34" customFormat="1" x14ac:dyDescent="0.35">
      <c r="E1628" s="35"/>
      <c r="J1628" s="41"/>
    </row>
    <row r="1629" spans="5:10" s="34" customFormat="1" x14ac:dyDescent="0.35">
      <c r="E1629" s="35"/>
      <c r="J1629" s="41"/>
    </row>
    <row r="1630" spans="5:10" s="34" customFormat="1" x14ac:dyDescent="0.35">
      <c r="E1630" s="35"/>
      <c r="J1630" s="41"/>
    </row>
    <row r="1631" spans="5:10" s="34" customFormat="1" x14ac:dyDescent="0.35">
      <c r="E1631" s="35"/>
      <c r="J1631" s="41"/>
    </row>
    <row r="1632" spans="5:10" s="34" customFormat="1" x14ac:dyDescent="0.35">
      <c r="E1632" s="35"/>
      <c r="J1632" s="41"/>
    </row>
    <row r="1633" spans="5:10" s="34" customFormat="1" x14ac:dyDescent="0.35">
      <c r="E1633" s="35"/>
      <c r="J1633" s="41"/>
    </row>
    <row r="1634" spans="5:10" s="34" customFormat="1" x14ac:dyDescent="0.35">
      <c r="E1634" s="35"/>
      <c r="J1634" s="41"/>
    </row>
    <row r="1635" spans="5:10" s="34" customFormat="1" x14ac:dyDescent="0.35">
      <c r="E1635" s="35"/>
      <c r="J1635" s="41"/>
    </row>
    <row r="1636" spans="5:10" s="34" customFormat="1" x14ac:dyDescent="0.35">
      <c r="E1636" s="35"/>
      <c r="J1636" s="41"/>
    </row>
    <row r="1637" spans="5:10" s="34" customFormat="1" x14ac:dyDescent="0.35">
      <c r="E1637" s="35"/>
      <c r="J1637" s="41"/>
    </row>
    <row r="1638" spans="5:10" s="34" customFormat="1" x14ac:dyDescent="0.35">
      <c r="E1638" s="35"/>
      <c r="J1638" s="41"/>
    </row>
    <row r="1639" spans="5:10" s="34" customFormat="1" x14ac:dyDescent="0.35">
      <c r="E1639" s="35"/>
      <c r="J1639" s="41"/>
    </row>
    <row r="1640" spans="5:10" s="34" customFormat="1" x14ac:dyDescent="0.35">
      <c r="E1640" s="35"/>
      <c r="J1640" s="41"/>
    </row>
    <row r="1641" spans="5:10" s="34" customFormat="1" x14ac:dyDescent="0.35">
      <c r="E1641" s="35"/>
      <c r="J1641" s="41"/>
    </row>
    <row r="1642" spans="5:10" s="34" customFormat="1" x14ac:dyDescent="0.35">
      <c r="E1642" s="35"/>
      <c r="J1642" s="41"/>
    </row>
    <row r="1643" spans="5:10" s="34" customFormat="1" x14ac:dyDescent="0.35">
      <c r="E1643" s="35"/>
      <c r="J1643" s="41"/>
    </row>
    <row r="1644" spans="5:10" s="34" customFormat="1" x14ac:dyDescent="0.35">
      <c r="E1644" s="35"/>
      <c r="J1644" s="41"/>
    </row>
    <row r="1645" spans="5:10" s="34" customFormat="1" x14ac:dyDescent="0.35">
      <c r="E1645" s="35"/>
      <c r="J1645" s="41"/>
    </row>
    <row r="1646" spans="5:10" s="34" customFormat="1" x14ac:dyDescent="0.35">
      <c r="E1646" s="35"/>
      <c r="J1646" s="41"/>
    </row>
    <row r="1647" spans="5:10" s="34" customFormat="1" x14ac:dyDescent="0.35">
      <c r="E1647" s="35"/>
      <c r="J1647" s="41"/>
    </row>
    <row r="1648" spans="5:10" s="34" customFormat="1" x14ac:dyDescent="0.35">
      <c r="E1648" s="35"/>
      <c r="J1648" s="41"/>
    </row>
    <row r="1649" spans="5:10" s="34" customFormat="1" x14ac:dyDescent="0.35">
      <c r="E1649" s="35"/>
      <c r="J1649" s="41"/>
    </row>
    <row r="1650" spans="5:10" s="34" customFormat="1" x14ac:dyDescent="0.35">
      <c r="E1650" s="35"/>
      <c r="J1650" s="41"/>
    </row>
    <row r="1651" spans="5:10" s="34" customFormat="1" x14ac:dyDescent="0.35">
      <c r="E1651" s="35"/>
      <c r="J1651" s="41"/>
    </row>
    <row r="1652" spans="5:10" s="34" customFormat="1" x14ac:dyDescent="0.35">
      <c r="E1652" s="35"/>
      <c r="J1652" s="41"/>
    </row>
    <row r="1653" spans="5:10" s="34" customFormat="1" x14ac:dyDescent="0.35">
      <c r="E1653" s="35"/>
      <c r="J1653" s="41"/>
    </row>
    <row r="1654" spans="5:10" s="34" customFormat="1" x14ac:dyDescent="0.35">
      <c r="E1654" s="35"/>
      <c r="J1654" s="41"/>
    </row>
    <row r="1655" spans="5:10" s="34" customFormat="1" x14ac:dyDescent="0.35">
      <c r="E1655" s="35"/>
      <c r="J1655" s="41"/>
    </row>
    <row r="1656" spans="5:10" s="34" customFormat="1" x14ac:dyDescent="0.35">
      <c r="E1656" s="35"/>
      <c r="J1656" s="41"/>
    </row>
    <row r="1657" spans="5:10" s="34" customFormat="1" x14ac:dyDescent="0.35">
      <c r="E1657" s="35"/>
      <c r="J1657" s="41"/>
    </row>
    <row r="1658" spans="5:10" s="34" customFormat="1" x14ac:dyDescent="0.35">
      <c r="E1658" s="35"/>
      <c r="J1658" s="41"/>
    </row>
    <row r="1659" spans="5:10" s="34" customFormat="1" x14ac:dyDescent="0.35">
      <c r="E1659" s="35"/>
      <c r="J1659" s="41"/>
    </row>
    <row r="1660" spans="5:10" s="34" customFormat="1" x14ac:dyDescent="0.35">
      <c r="E1660" s="35"/>
      <c r="J1660" s="41"/>
    </row>
    <row r="1661" spans="5:10" s="34" customFormat="1" x14ac:dyDescent="0.35">
      <c r="E1661" s="35"/>
      <c r="J1661" s="41"/>
    </row>
    <row r="1662" spans="5:10" s="34" customFormat="1" x14ac:dyDescent="0.35">
      <c r="E1662" s="35"/>
      <c r="J1662" s="41"/>
    </row>
    <row r="1663" spans="5:10" s="34" customFormat="1" x14ac:dyDescent="0.35">
      <c r="E1663" s="35"/>
      <c r="J1663" s="41"/>
    </row>
    <row r="1664" spans="5:10" s="34" customFormat="1" x14ac:dyDescent="0.35">
      <c r="E1664" s="35"/>
      <c r="J1664" s="41"/>
    </row>
    <row r="1665" spans="5:10" s="34" customFormat="1" x14ac:dyDescent="0.35">
      <c r="E1665" s="35"/>
      <c r="J1665" s="41"/>
    </row>
    <row r="1666" spans="5:10" s="34" customFormat="1" x14ac:dyDescent="0.35">
      <c r="E1666" s="35"/>
      <c r="J1666" s="41"/>
    </row>
    <row r="1667" spans="5:10" s="34" customFormat="1" x14ac:dyDescent="0.35">
      <c r="E1667" s="35"/>
      <c r="J1667" s="41"/>
    </row>
    <row r="1668" spans="5:10" s="34" customFormat="1" x14ac:dyDescent="0.35">
      <c r="E1668" s="35"/>
      <c r="J1668" s="41"/>
    </row>
    <row r="1669" spans="5:10" s="34" customFormat="1" x14ac:dyDescent="0.35">
      <c r="E1669" s="35"/>
      <c r="J1669" s="41"/>
    </row>
    <row r="1670" spans="5:10" s="34" customFormat="1" x14ac:dyDescent="0.35">
      <c r="E1670" s="35"/>
      <c r="J1670" s="41"/>
    </row>
    <row r="1671" spans="5:10" s="34" customFormat="1" x14ac:dyDescent="0.35">
      <c r="E1671" s="35"/>
      <c r="J1671" s="41"/>
    </row>
    <row r="1672" spans="5:10" s="34" customFormat="1" x14ac:dyDescent="0.35">
      <c r="E1672" s="35"/>
      <c r="J1672" s="41"/>
    </row>
    <row r="1673" spans="5:10" s="34" customFormat="1" x14ac:dyDescent="0.35">
      <c r="E1673" s="35"/>
      <c r="J1673" s="41"/>
    </row>
    <row r="1674" spans="5:10" s="34" customFormat="1" x14ac:dyDescent="0.35">
      <c r="E1674" s="35"/>
      <c r="J1674" s="41"/>
    </row>
    <row r="1675" spans="5:10" s="34" customFormat="1" x14ac:dyDescent="0.35">
      <c r="E1675" s="35"/>
      <c r="J1675" s="41"/>
    </row>
    <row r="1676" spans="5:10" s="34" customFormat="1" x14ac:dyDescent="0.35">
      <c r="E1676" s="35"/>
      <c r="J1676" s="41"/>
    </row>
    <row r="1677" spans="5:10" s="34" customFormat="1" x14ac:dyDescent="0.35">
      <c r="E1677" s="35"/>
      <c r="J1677" s="41"/>
    </row>
    <row r="1678" spans="5:10" s="34" customFormat="1" x14ac:dyDescent="0.35">
      <c r="E1678" s="35"/>
      <c r="J1678" s="41"/>
    </row>
    <row r="1679" spans="5:10" s="34" customFormat="1" x14ac:dyDescent="0.35">
      <c r="E1679" s="35"/>
      <c r="J1679" s="41"/>
    </row>
    <row r="1680" spans="5:10" s="34" customFormat="1" x14ac:dyDescent="0.35">
      <c r="E1680" s="35"/>
      <c r="J1680" s="41"/>
    </row>
    <row r="1681" spans="5:10" s="34" customFormat="1" x14ac:dyDescent="0.35">
      <c r="E1681" s="35"/>
      <c r="J1681" s="41"/>
    </row>
    <row r="1682" spans="5:10" s="34" customFormat="1" x14ac:dyDescent="0.35">
      <c r="E1682" s="35"/>
      <c r="J1682" s="41"/>
    </row>
    <row r="1683" spans="5:10" s="34" customFormat="1" x14ac:dyDescent="0.35">
      <c r="E1683" s="35"/>
      <c r="J1683" s="41"/>
    </row>
    <row r="1684" spans="5:10" s="34" customFormat="1" x14ac:dyDescent="0.35">
      <c r="E1684" s="35"/>
      <c r="J1684" s="41"/>
    </row>
    <row r="1685" spans="5:10" s="34" customFormat="1" x14ac:dyDescent="0.35">
      <c r="E1685" s="35"/>
      <c r="J1685" s="41"/>
    </row>
    <row r="1686" spans="5:10" s="34" customFormat="1" x14ac:dyDescent="0.35">
      <c r="E1686" s="35"/>
      <c r="J1686" s="41"/>
    </row>
    <row r="1687" spans="5:10" s="34" customFormat="1" x14ac:dyDescent="0.35">
      <c r="E1687" s="35"/>
      <c r="J1687" s="41"/>
    </row>
    <row r="1688" spans="5:10" s="34" customFormat="1" x14ac:dyDescent="0.35">
      <c r="E1688" s="35"/>
      <c r="J1688" s="41"/>
    </row>
    <row r="1689" spans="5:10" s="34" customFormat="1" x14ac:dyDescent="0.35">
      <c r="E1689" s="35"/>
      <c r="J1689" s="41"/>
    </row>
    <row r="1690" spans="5:10" s="34" customFormat="1" x14ac:dyDescent="0.35">
      <c r="E1690" s="35"/>
      <c r="J1690" s="41"/>
    </row>
    <row r="1691" spans="5:10" s="34" customFormat="1" x14ac:dyDescent="0.35">
      <c r="E1691" s="35"/>
      <c r="J1691" s="41"/>
    </row>
    <row r="1692" spans="5:10" s="34" customFormat="1" x14ac:dyDescent="0.35">
      <c r="E1692" s="35"/>
      <c r="J1692" s="41"/>
    </row>
    <row r="1693" spans="5:10" s="34" customFormat="1" x14ac:dyDescent="0.35">
      <c r="E1693" s="35"/>
      <c r="J1693" s="41"/>
    </row>
    <row r="1694" spans="5:10" s="34" customFormat="1" x14ac:dyDescent="0.35">
      <c r="E1694" s="35"/>
      <c r="J1694" s="41"/>
    </row>
    <row r="1695" spans="5:10" s="34" customFormat="1" x14ac:dyDescent="0.35">
      <c r="E1695" s="35"/>
      <c r="J1695" s="41"/>
    </row>
    <row r="1696" spans="5:10" s="34" customFormat="1" x14ac:dyDescent="0.35">
      <c r="E1696" s="35"/>
      <c r="J1696" s="41"/>
    </row>
    <row r="1697" spans="5:10" s="34" customFormat="1" x14ac:dyDescent="0.35">
      <c r="E1697" s="35"/>
      <c r="J1697" s="41"/>
    </row>
    <row r="1698" spans="5:10" s="34" customFormat="1" x14ac:dyDescent="0.35">
      <c r="E1698" s="35"/>
      <c r="J1698" s="41"/>
    </row>
    <row r="1699" spans="5:10" s="34" customFormat="1" x14ac:dyDescent="0.35">
      <c r="E1699" s="35"/>
      <c r="J1699" s="41"/>
    </row>
    <row r="1700" spans="5:10" s="34" customFormat="1" x14ac:dyDescent="0.35">
      <c r="E1700" s="35"/>
      <c r="J1700" s="41"/>
    </row>
    <row r="1701" spans="5:10" s="34" customFormat="1" x14ac:dyDescent="0.35">
      <c r="E1701" s="35"/>
      <c r="J1701" s="41"/>
    </row>
    <row r="1702" spans="5:10" s="34" customFormat="1" x14ac:dyDescent="0.35">
      <c r="E1702" s="35"/>
      <c r="J1702" s="41"/>
    </row>
    <row r="1703" spans="5:10" s="34" customFormat="1" x14ac:dyDescent="0.35">
      <c r="E1703" s="35"/>
      <c r="J1703" s="41"/>
    </row>
    <row r="1704" spans="5:10" s="34" customFormat="1" x14ac:dyDescent="0.35">
      <c r="E1704" s="35"/>
      <c r="J1704" s="41"/>
    </row>
    <row r="1705" spans="5:10" s="34" customFormat="1" x14ac:dyDescent="0.35">
      <c r="E1705" s="35"/>
      <c r="J1705" s="41"/>
    </row>
    <row r="1706" spans="5:10" s="34" customFormat="1" x14ac:dyDescent="0.35">
      <c r="E1706" s="35"/>
      <c r="J1706" s="41"/>
    </row>
    <row r="1707" spans="5:10" s="34" customFormat="1" x14ac:dyDescent="0.35">
      <c r="E1707" s="35"/>
      <c r="J1707" s="41"/>
    </row>
    <row r="1708" spans="5:10" s="34" customFormat="1" x14ac:dyDescent="0.35">
      <c r="E1708" s="35"/>
      <c r="J1708" s="41"/>
    </row>
    <row r="1709" spans="5:10" s="34" customFormat="1" x14ac:dyDescent="0.35">
      <c r="E1709" s="35"/>
      <c r="J1709" s="41"/>
    </row>
    <row r="1710" spans="5:10" s="34" customFormat="1" x14ac:dyDescent="0.35">
      <c r="E1710" s="35"/>
      <c r="J1710" s="41"/>
    </row>
    <row r="1711" spans="5:10" s="34" customFormat="1" x14ac:dyDescent="0.35">
      <c r="E1711" s="35"/>
      <c r="J1711" s="41"/>
    </row>
    <row r="1712" spans="5:10" s="34" customFormat="1" x14ac:dyDescent="0.35">
      <c r="E1712" s="35"/>
      <c r="J1712" s="41"/>
    </row>
    <row r="1713" spans="5:10" s="34" customFormat="1" x14ac:dyDescent="0.35">
      <c r="E1713" s="35"/>
      <c r="J1713" s="41"/>
    </row>
    <row r="1714" spans="5:10" s="34" customFormat="1" x14ac:dyDescent="0.35">
      <c r="E1714" s="35"/>
      <c r="J1714" s="41"/>
    </row>
    <row r="1715" spans="5:10" s="34" customFormat="1" x14ac:dyDescent="0.35">
      <c r="E1715" s="35"/>
      <c r="J1715" s="41"/>
    </row>
    <row r="1716" spans="5:10" s="34" customFormat="1" x14ac:dyDescent="0.35">
      <c r="E1716" s="35"/>
      <c r="J1716" s="41"/>
    </row>
    <row r="1717" spans="5:10" s="34" customFormat="1" x14ac:dyDescent="0.35">
      <c r="E1717" s="35"/>
      <c r="J1717" s="41"/>
    </row>
    <row r="1718" spans="5:10" s="34" customFormat="1" x14ac:dyDescent="0.35">
      <c r="E1718" s="35"/>
      <c r="J1718" s="41"/>
    </row>
    <row r="1719" spans="5:10" s="34" customFormat="1" x14ac:dyDescent="0.35">
      <c r="E1719" s="35"/>
      <c r="J1719" s="41"/>
    </row>
    <row r="1720" spans="5:10" s="34" customFormat="1" x14ac:dyDescent="0.35">
      <c r="E1720" s="35"/>
      <c r="J1720" s="41"/>
    </row>
    <row r="1721" spans="5:10" s="34" customFormat="1" x14ac:dyDescent="0.35">
      <c r="E1721" s="35"/>
      <c r="J1721" s="41"/>
    </row>
    <row r="1722" spans="5:10" s="34" customFormat="1" x14ac:dyDescent="0.35">
      <c r="E1722" s="35"/>
      <c r="J1722" s="41"/>
    </row>
    <row r="1723" spans="5:10" s="34" customFormat="1" x14ac:dyDescent="0.35">
      <c r="E1723" s="35"/>
      <c r="J1723" s="41"/>
    </row>
    <row r="1724" spans="5:10" s="34" customFormat="1" x14ac:dyDescent="0.35">
      <c r="E1724" s="35"/>
      <c r="J1724" s="41"/>
    </row>
    <row r="1725" spans="5:10" s="34" customFormat="1" x14ac:dyDescent="0.35">
      <c r="E1725" s="35"/>
      <c r="J1725" s="41"/>
    </row>
    <row r="1726" spans="5:10" s="34" customFormat="1" x14ac:dyDescent="0.35">
      <c r="E1726" s="35"/>
      <c r="J1726" s="41"/>
    </row>
    <row r="1727" spans="5:10" s="34" customFormat="1" x14ac:dyDescent="0.35">
      <c r="E1727" s="35"/>
      <c r="J1727" s="41"/>
    </row>
    <row r="1728" spans="5:10" s="34" customFormat="1" x14ac:dyDescent="0.35">
      <c r="E1728" s="35"/>
      <c r="J1728" s="41"/>
    </row>
    <row r="1729" spans="5:10" s="34" customFormat="1" x14ac:dyDescent="0.35">
      <c r="E1729" s="35"/>
      <c r="J1729" s="41"/>
    </row>
    <row r="1730" spans="5:10" s="34" customFormat="1" x14ac:dyDescent="0.35">
      <c r="E1730" s="35"/>
      <c r="J1730" s="41"/>
    </row>
    <row r="1731" spans="5:10" s="34" customFormat="1" x14ac:dyDescent="0.35">
      <c r="E1731" s="35"/>
      <c r="J1731" s="41"/>
    </row>
    <row r="1732" spans="5:10" s="34" customFormat="1" x14ac:dyDescent="0.35">
      <c r="E1732" s="35"/>
      <c r="J1732" s="41"/>
    </row>
    <row r="1733" spans="5:10" s="34" customFormat="1" x14ac:dyDescent="0.35">
      <c r="E1733" s="35"/>
      <c r="J1733" s="41"/>
    </row>
    <row r="1734" spans="5:10" s="34" customFormat="1" x14ac:dyDescent="0.35">
      <c r="E1734" s="35"/>
      <c r="J1734" s="41"/>
    </row>
    <row r="1735" spans="5:10" s="34" customFormat="1" x14ac:dyDescent="0.35">
      <c r="E1735" s="35"/>
      <c r="J1735" s="41"/>
    </row>
    <row r="1736" spans="5:10" s="34" customFormat="1" x14ac:dyDescent="0.35">
      <c r="E1736" s="35"/>
      <c r="J1736" s="41"/>
    </row>
    <row r="1737" spans="5:10" s="34" customFormat="1" x14ac:dyDescent="0.35">
      <c r="E1737" s="35"/>
      <c r="J1737" s="41"/>
    </row>
    <row r="1738" spans="5:10" s="34" customFormat="1" x14ac:dyDescent="0.35">
      <c r="E1738" s="35"/>
      <c r="J1738" s="41"/>
    </row>
    <row r="1739" spans="5:10" s="34" customFormat="1" x14ac:dyDescent="0.35">
      <c r="E1739" s="35"/>
      <c r="J1739" s="41"/>
    </row>
    <row r="1740" spans="5:10" s="34" customFormat="1" x14ac:dyDescent="0.35">
      <c r="E1740" s="35"/>
      <c r="J1740" s="41"/>
    </row>
    <row r="1741" spans="5:10" s="34" customFormat="1" x14ac:dyDescent="0.35">
      <c r="E1741" s="35"/>
      <c r="J1741" s="41"/>
    </row>
    <row r="1742" spans="5:10" s="34" customFormat="1" x14ac:dyDescent="0.35">
      <c r="E1742" s="35"/>
      <c r="J1742" s="41"/>
    </row>
    <row r="1743" spans="5:10" s="34" customFormat="1" x14ac:dyDescent="0.35">
      <c r="E1743" s="35"/>
      <c r="J1743" s="41"/>
    </row>
    <row r="1744" spans="5:10" s="34" customFormat="1" x14ac:dyDescent="0.35">
      <c r="E1744" s="35"/>
      <c r="J1744" s="41"/>
    </row>
    <row r="1745" spans="5:10" s="34" customFormat="1" x14ac:dyDescent="0.35">
      <c r="E1745" s="35"/>
      <c r="J1745" s="41"/>
    </row>
    <row r="1746" spans="5:10" s="34" customFormat="1" x14ac:dyDescent="0.35">
      <c r="E1746" s="35"/>
      <c r="J1746" s="41"/>
    </row>
    <row r="1747" spans="5:10" s="34" customFormat="1" x14ac:dyDescent="0.35">
      <c r="E1747" s="35"/>
      <c r="J1747" s="41"/>
    </row>
    <row r="1748" spans="5:10" s="34" customFormat="1" x14ac:dyDescent="0.35">
      <c r="E1748" s="35"/>
      <c r="J1748" s="41"/>
    </row>
    <row r="1749" spans="5:10" s="34" customFormat="1" x14ac:dyDescent="0.35">
      <c r="E1749" s="35"/>
      <c r="J1749" s="41"/>
    </row>
    <row r="1750" spans="5:10" s="34" customFormat="1" x14ac:dyDescent="0.35">
      <c r="E1750" s="35"/>
      <c r="J1750" s="41"/>
    </row>
    <row r="1751" spans="5:10" s="34" customFormat="1" x14ac:dyDescent="0.35">
      <c r="E1751" s="35"/>
      <c r="J1751" s="41"/>
    </row>
    <row r="1752" spans="5:10" s="34" customFormat="1" x14ac:dyDescent="0.35">
      <c r="E1752" s="35"/>
      <c r="J1752" s="41"/>
    </row>
    <row r="1753" spans="5:10" s="34" customFormat="1" x14ac:dyDescent="0.35">
      <c r="E1753" s="35"/>
      <c r="J1753" s="41"/>
    </row>
    <row r="1754" spans="5:10" s="34" customFormat="1" x14ac:dyDescent="0.35">
      <c r="E1754" s="35"/>
      <c r="J1754" s="41"/>
    </row>
    <row r="1755" spans="5:10" s="34" customFormat="1" x14ac:dyDescent="0.35">
      <c r="E1755" s="35"/>
      <c r="J1755" s="41"/>
    </row>
    <row r="1756" spans="5:10" s="34" customFormat="1" x14ac:dyDescent="0.35">
      <c r="E1756" s="35"/>
      <c r="J1756" s="41"/>
    </row>
    <row r="1757" spans="5:10" s="34" customFormat="1" x14ac:dyDescent="0.35">
      <c r="E1757" s="35"/>
      <c r="J1757" s="41"/>
    </row>
    <row r="1758" spans="5:10" s="34" customFormat="1" x14ac:dyDescent="0.35">
      <c r="E1758" s="35"/>
      <c r="J1758" s="41"/>
    </row>
    <row r="1759" spans="5:10" s="34" customFormat="1" x14ac:dyDescent="0.35">
      <c r="E1759" s="35"/>
      <c r="J1759" s="41"/>
    </row>
    <row r="1760" spans="5:10" s="34" customFormat="1" x14ac:dyDescent="0.35">
      <c r="E1760" s="35"/>
      <c r="J1760" s="41"/>
    </row>
    <row r="1761" spans="5:10" s="34" customFormat="1" x14ac:dyDescent="0.35">
      <c r="E1761" s="35"/>
      <c r="J1761" s="41"/>
    </row>
    <row r="1762" spans="5:10" s="34" customFormat="1" x14ac:dyDescent="0.35">
      <c r="E1762" s="35"/>
      <c r="J1762" s="41"/>
    </row>
    <row r="1763" spans="5:10" s="34" customFormat="1" x14ac:dyDescent="0.35">
      <c r="E1763" s="35"/>
      <c r="J1763" s="41"/>
    </row>
    <row r="1764" spans="5:10" s="34" customFormat="1" x14ac:dyDescent="0.35">
      <c r="E1764" s="35"/>
      <c r="J1764" s="41"/>
    </row>
    <row r="1765" spans="5:10" s="34" customFormat="1" x14ac:dyDescent="0.35">
      <c r="E1765" s="35"/>
      <c r="J1765" s="41"/>
    </row>
    <row r="1766" spans="5:10" s="34" customFormat="1" x14ac:dyDescent="0.35">
      <c r="E1766" s="35"/>
      <c r="J1766" s="41"/>
    </row>
    <row r="1767" spans="5:10" s="34" customFormat="1" x14ac:dyDescent="0.35">
      <c r="E1767" s="35"/>
      <c r="J1767" s="41"/>
    </row>
    <row r="1768" spans="5:10" s="34" customFormat="1" x14ac:dyDescent="0.35">
      <c r="E1768" s="35"/>
      <c r="J1768" s="41"/>
    </row>
    <row r="1769" spans="5:10" s="34" customFormat="1" x14ac:dyDescent="0.35">
      <c r="E1769" s="35"/>
      <c r="J1769" s="41"/>
    </row>
    <row r="1770" spans="5:10" s="34" customFormat="1" x14ac:dyDescent="0.35">
      <c r="E1770" s="35"/>
      <c r="J1770" s="41"/>
    </row>
    <row r="1771" spans="5:10" s="34" customFormat="1" x14ac:dyDescent="0.35">
      <c r="E1771" s="35"/>
      <c r="J1771" s="41"/>
    </row>
    <row r="1772" spans="5:10" s="34" customFormat="1" x14ac:dyDescent="0.35">
      <c r="E1772" s="35"/>
      <c r="J1772" s="41"/>
    </row>
    <row r="1773" spans="5:10" s="34" customFormat="1" x14ac:dyDescent="0.35">
      <c r="E1773" s="35"/>
      <c r="J1773" s="41"/>
    </row>
    <row r="1774" spans="5:10" s="34" customFormat="1" x14ac:dyDescent="0.35">
      <c r="E1774" s="35"/>
      <c r="J1774" s="41"/>
    </row>
    <row r="1775" spans="5:10" s="34" customFormat="1" x14ac:dyDescent="0.35">
      <c r="E1775" s="35"/>
      <c r="J1775" s="41"/>
    </row>
    <row r="1776" spans="5:10" s="34" customFormat="1" x14ac:dyDescent="0.35">
      <c r="E1776" s="35"/>
      <c r="J1776" s="41"/>
    </row>
    <row r="1777" spans="5:10" s="34" customFormat="1" x14ac:dyDescent="0.35">
      <c r="E1777" s="35"/>
      <c r="J1777" s="41"/>
    </row>
    <row r="1778" spans="5:10" s="34" customFormat="1" x14ac:dyDescent="0.35">
      <c r="E1778" s="35"/>
      <c r="J1778" s="41"/>
    </row>
    <row r="1779" spans="5:10" s="34" customFormat="1" x14ac:dyDescent="0.35">
      <c r="E1779" s="35"/>
      <c r="J1779" s="41"/>
    </row>
    <row r="1780" spans="5:10" s="34" customFormat="1" x14ac:dyDescent="0.35">
      <c r="E1780" s="35"/>
      <c r="J1780" s="41"/>
    </row>
    <row r="1781" spans="5:10" s="34" customFormat="1" x14ac:dyDescent="0.35">
      <c r="E1781" s="35"/>
      <c r="J1781" s="41"/>
    </row>
    <row r="1782" spans="5:10" s="34" customFormat="1" x14ac:dyDescent="0.35">
      <c r="E1782" s="35"/>
      <c r="J1782" s="41"/>
    </row>
    <row r="1783" spans="5:10" s="34" customFormat="1" x14ac:dyDescent="0.35">
      <c r="E1783" s="35"/>
      <c r="J1783" s="41"/>
    </row>
    <row r="1784" spans="5:10" s="34" customFormat="1" x14ac:dyDescent="0.35">
      <c r="E1784" s="35"/>
      <c r="J1784" s="41"/>
    </row>
    <row r="1785" spans="5:10" s="34" customFormat="1" x14ac:dyDescent="0.35">
      <c r="E1785" s="35"/>
      <c r="J1785" s="41"/>
    </row>
    <row r="1786" spans="5:10" s="34" customFormat="1" x14ac:dyDescent="0.35">
      <c r="E1786" s="35"/>
      <c r="J1786" s="41"/>
    </row>
    <row r="1787" spans="5:10" s="34" customFormat="1" x14ac:dyDescent="0.35">
      <c r="E1787" s="35"/>
      <c r="J1787" s="41"/>
    </row>
    <row r="1788" spans="5:10" s="34" customFormat="1" x14ac:dyDescent="0.35">
      <c r="E1788" s="35"/>
      <c r="J1788" s="41"/>
    </row>
    <row r="1789" spans="5:10" s="34" customFormat="1" x14ac:dyDescent="0.35">
      <c r="E1789" s="35"/>
      <c r="J1789" s="41"/>
    </row>
    <row r="1790" spans="5:10" s="34" customFormat="1" x14ac:dyDescent="0.35">
      <c r="E1790" s="35"/>
      <c r="J1790" s="41"/>
    </row>
    <row r="1791" spans="5:10" s="34" customFormat="1" x14ac:dyDescent="0.35">
      <c r="E1791" s="35"/>
      <c r="J1791" s="41"/>
    </row>
    <row r="1792" spans="5:10" s="34" customFormat="1" x14ac:dyDescent="0.35">
      <c r="E1792" s="35"/>
      <c r="J1792" s="41"/>
    </row>
    <row r="1793" spans="5:10" s="34" customFormat="1" x14ac:dyDescent="0.35">
      <c r="E1793" s="35"/>
      <c r="J1793" s="41"/>
    </row>
    <row r="1794" spans="5:10" s="34" customFormat="1" x14ac:dyDescent="0.35">
      <c r="E1794" s="35"/>
      <c r="J1794" s="41"/>
    </row>
    <row r="1795" spans="5:10" s="34" customFormat="1" x14ac:dyDescent="0.35">
      <c r="E1795" s="35"/>
      <c r="J1795" s="41"/>
    </row>
    <row r="1796" spans="5:10" s="34" customFormat="1" x14ac:dyDescent="0.35">
      <c r="E1796" s="35"/>
      <c r="J1796" s="41"/>
    </row>
    <row r="1797" spans="5:10" s="34" customFormat="1" x14ac:dyDescent="0.35">
      <c r="E1797" s="35"/>
      <c r="J1797" s="41"/>
    </row>
    <row r="1798" spans="5:10" s="34" customFormat="1" x14ac:dyDescent="0.35">
      <c r="E1798" s="35"/>
      <c r="J1798" s="41"/>
    </row>
    <row r="1799" spans="5:10" s="34" customFormat="1" x14ac:dyDescent="0.35">
      <c r="E1799" s="35"/>
      <c r="J1799" s="41"/>
    </row>
    <row r="1800" spans="5:10" s="34" customFormat="1" x14ac:dyDescent="0.35">
      <c r="E1800" s="35"/>
      <c r="J1800" s="41"/>
    </row>
    <row r="1801" spans="5:10" s="34" customFormat="1" x14ac:dyDescent="0.35">
      <c r="E1801" s="35"/>
      <c r="J1801" s="41"/>
    </row>
    <row r="1802" spans="5:10" s="34" customFormat="1" x14ac:dyDescent="0.35">
      <c r="E1802" s="35"/>
      <c r="J1802" s="41"/>
    </row>
    <row r="1803" spans="5:10" s="34" customFormat="1" x14ac:dyDescent="0.35">
      <c r="E1803" s="35"/>
      <c r="J1803" s="41"/>
    </row>
    <row r="1804" spans="5:10" s="34" customFormat="1" x14ac:dyDescent="0.35">
      <c r="E1804" s="35"/>
      <c r="J1804" s="41"/>
    </row>
    <row r="1805" spans="5:10" s="34" customFormat="1" x14ac:dyDescent="0.35">
      <c r="E1805" s="35"/>
      <c r="J1805" s="41"/>
    </row>
    <row r="1806" spans="5:10" s="34" customFormat="1" x14ac:dyDescent="0.35">
      <c r="E1806" s="35"/>
      <c r="J1806" s="41"/>
    </row>
    <row r="1807" spans="5:10" s="34" customFormat="1" x14ac:dyDescent="0.35">
      <c r="E1807" s="35"/>
      <c r="J1807" s="41"/>
    </row>
    <row r="1808" spans="5:10" s="34" customFormat="1" x14ac:dyDescent="0.35">
      <c r="E1808" s="35"/>
      <c r="J1808" s="41"/>
    </row>
    <row r="1809" spans="5:10" s="34" customFormat="1" x14ac:dyDescent="0.35">
      <c r="E1809" s="35"/>
      <c r="J1809" s="41"/>
    </row>
    <row r="1810" spans="5:10" s="34" customFormat="1" x14ac:dyDescent="0.35">
      <c r="E1810" s="35"/>
      <c r="J1810" s="41"/>
    </row>
    <row r="1811" spans="5:10" s="34" customFormat="1" x14ac:dyDescent="0.35">
      <c r="E1811" s="35"/>
      <c r="J1811" s="41"/>
    </row>
    <row r="1812" spans="5:10" s="34" customFormat="1" x14ac:dyDescent="0.35">
      <c r="E1812" s="35"/>
      <c r="J1812" s="41"/>
    </row>
    <row r="1813" spans="5:10" s="34" customFormat="1" x14ac:dyDescent="0.35">
      <c r="E1813" s="35"/>
      <c r="J1813" s="41"/>
    </row>
    <row r="1814" spans="5:10" s="34" customFormat="1" x14ac:dyDescent="0.35">
      <c r="E1814" s="35"/>
      <c r="J1814" s="41"/>
    </row>
    <row r="1815" spans="5:10" s="34" customFormat="1" x14ac:dyDescent="0.35">
      <c r="E1815" s="35"/>
      <c r="J1815" s="41"/>
    </row>
    <row r="1816" spans="5:10" s="34" customFormat="1" x14ac:dyDescent="0.35">
      <c r="E1816" s="35"/>
      <c r="J1816" s="41"/>
    </row>
    <row r="1817" spans="5:10" s="34" customFormat="1" x14ac:dyDescent="0.35">
      <c r="E1817" s="35"/>
      <c r="J1817" s="41"/>
    </row>
    <row r="1818" spans="5:10" s="34" customFormat="1" x14ac:dyDescent="0.35">
      <c r="E1818" s="35"/>
      <c r="J1818" s="41"/>
    </row>
    <row r="1819" spans="5:10" s="34" customFormat="1" x14ac:dyDescent="0.35">
      <c r="E1819" s="35"/>
      <c r="J1819" s="41"/>
    </row>
    <row r="1820" spans="5:10" s="34" customFormat="1" x14ac:dyDescent="0.35">
      <c r="E1820" s="35"/>
      <c r="J1820" s="41"/>
    </row>
    <row r="1821" spans="5:10" s="34" customFormat="1" x14ac:dyDescent="0.35">
      <c r="E1821" s="35"/>
      <c r="J1821" s="41"/>
    </row>
    <row r="1822" spans="5:10" s="34" customFormat="1" x14ac:dyDescent="0.35">
      <c r="E1822" s="35"/>
      <c r="J1822" s="41"/>
    </row>
    <row r="1823" spans="5:10" s="34" customFormat="1" x14ac:dyDescent="0.35">
      <c r="E1823" s="35"/>
      <c r="J1823" s="41"/>
    </row>
    <row r="1824" spans="5:10" s="34" customFormat="1" x14ac:dyDescent="0.35">
      <c r="E1824" s="35"/>
      <c r="J1824" s="41"/>
    </row>
    <row r="1825" spans="5:10" s="34" customFormat="1" x14ac:dyDescent="0.35">
      <c r="E1825" s="35"/>
      <c r="J1825" s="41"/>
    </row>
    <row r="1826" spans="5:10" s="34" customFormat="1" x14ac:dyDescent="0.35">
      <c r="E1826" s="35"/>
      <c r="J1826" s="41"/>
    </row>
    <row r="1827" spans="5:10" s="34" customFormat="1" x14ac:dyDescent="0.35">
      <c r="E1827" s="35"/>
      <c r="J1827" s="41"/>
    </row>
    <row r="1828" spans="5:10" s="34" customFormat="1" x14ac:dyDescent="0.35">
      <c r="E1828" s="35"/>
      <c r="J1828" s="41"/>
    </row>
    <row r="1829" spans="5:10" s="34" customFormat="1" x14ac:dyDescent="0.35">
      <c r="E1829" s="35"/>
      <c r="J1829" s="41"/>
    </row>
    <row r="1830" spans="5:10" s="34" customFormat="1" x14ac:dyDescent="0.35">
      <c r="E1830" s="35"/>
      <c r="J1830" s="41"/>
    </row>
    <row r="1831" spans="5:10" s="34" customFormat="1" x14ac:dyDescent="0.35">
      <c r="E1831" s="35"/>
      <c r="J1831" s="41"/>
    </row>
    <row r="1832" spans="5:10" s="34" customFormat="1" x14ac:dyDescent="0.35">
      <c r="E1832" s="35"/>
      <c r="J1832" s="41"/>
    </row>
    <row r="1833" spans="5:10" s="34" customFormat="1" x14ac:dyDescent="0.35">
      <c r="E1833" s="35"/>
      <c r="J1833" s="41"/>
    </row>
    <row r="1834" spans="5:10" s="34" customFormat="1" x14ac:dyDescent="0.35">
      <c r="E1834" s="35"/>
      <c r="J1834" s="41"/>
    </row>
    <row r="1835" spans="5:10" s="34" customFormat="1" x14ac:dyDescent="0.35">
      <c r="E1835" s="35"/>
      <c r="J1835" s="41"/>
    </row>
    <row r="1836" spans="5:10" s="34" customFormat="1" x14ac:dyDescent="0.35">
      <c r="E1836" s="35"/>
      <c r="J1836" s="41"/>
    </row>
    <row r="1837" spans="5:10" s="34" customFormat="1" x14ac:dyDescent="0.35">
      <c r="E1837" s="35"/>
      <c r="J1837" s="41"/>
    </row>
    <row r="1838" spans="5:10" s="34" customFormat="1" x14ac:dyDescent="0.35">
      <c r="E1838" s="35"/>
      <c r="J1838" s="41"/>
    </row>
    <row r="1839" spans="5:10" s="34" customFormat="1" x14ac:dyDescent="0.35">
      <c r="E1839" s="35"/>
      <c r="J1839" s="41"/>
    </row>
    <row r="1840" spans="5:10" s="34" customFormat="1" x14ac:dyDescent="0.35">
      <c r="E1840" s="35"/>
      <c r="J1840" s="41"/>
    </row>
    <row r="1841" spans="5:10" s="34" customFormat="1" x14ac:dyDescent="0.35">
      <c r="E1841" s="35"/>
      <c r="J1841" s="41"/>
    </row>
    <row r="1842" spans="5:10" s="34" customFormat="1" x14ac:dyDescent="0.35">
      <c r="E1842" s="35"/>
      <c r="J1842" s="41"/>
    </row>
    <row r="1843" spans="5:10" s="34" customFormat="1" x14ac:dyDescent="0.35">
      <c r="E1843" s="35"/>
      <c r="J1843" s="41"/>
    </row>
    <row r="1844" spans="5:10" s="34" customFormat="1" x14ac:dyDescent="0.35">
      <c r="E1844" s="35"/>
      <c r="J1844" s="41"/>
    </row>
    <row r="1845" spans="5:10" s="34" customFormat="1" x14ac:dyDescent="0.35">
      <c r="E1845" s="35"/>
      <c r="J1845" s="41"/>
    </row>
    <row r="1846" spans="5:10" s="34" customFormat="1" x14ac:dyDescent="0.35">
      <c r="E1846" s="35"/>
      <c r="J1846" s="41"/>
    </row>
    <row r="1847" spans="5:10" s="34" customFormat="1" x14ac:dyDescent="0.35">
      <c r="E1847" s="35"/>
      <c r="J1847" s="41"/>
    </row>
    <row r="1848" spans="5:10" s="34" customFormat="1" x14ac:dyDescent="0.35">
      <c r="E1848" s="35"/>
      <c r="J1848" s="41"/>
    </row>
    <row r="1849" spans="5:10" s="34" customFormat="1" x14ac:dyDescent="0.35">
      <c r="E1849" s="35"/>
      <c r="J1849" s="41"/>
    </row>
    <row r="1850" spans="5:10" s="34" customFormat="1" x14ac:dyDescent="0.35">
      <c r="E1850" s="35"/>
      <c r="J1850" s="41"/>
    </row>
    <row r="1851" spans="5:10" s="34" customFormat="1" x14ac:dyDescent="0.35">
      <c r="E1851" s="35"/>
      <c r="J1851" s="41"/>
    </row>
    <row r="1852" spans="5:10" s="34" customFormat="1" x14ac:dyDescent="0.35">
      <c r="E1852" s="35"/>
      <c r="J1852" s="41"/>
    </row>
    <row r="1853" spans="5:10" s="34" customFormat="1" x14ac:dyDescent="0.35">
      <c r="E1853" s="35"/>
      <c r="J1853" s="41"/>
    </row>
    <row r="1854" spans="5:10" s="34" customFormat="1" x14ac:dyDescent="0.35">
      <c r="E1854" s="35"/>
      <c r="J1854" s="41"/>
    </row>
    <row r="1855" spans="5:10" s="34" customFormat="1" x14ac:dyDescent="0.35">
      <c r="E1855" s="35"/>
      <c r="J1855" s="41"/>
    </row>
    <row r="1856" spans="5:10" s="34" customFormat="1" x14ac:dyDescent="0.35">
      <c r="E1856" s="35"/>
      <c r="J1856" s="41"/>
    </row>
    <row r="1857" spans="5:10" s="34" customFormat="1" x14ac:dyDescent="0.35">
      <c r="E1857" s="35"/>
      <c r="J1857" s="41"/>
    </row>
    <row r="1858" spans="5:10" s="34" customFormat="1" x14ac:dyDescent="0.35">
      <c r="E1858" s="35"/>
      <c r="J1858" s="41"/>
    </row>
    <row r="1859" spans="5:10" s="34" customFormat="1" x14ac:dyDescent="0.35">
      <c r="E1859" s="35"/>
      <c r="J1859" s="41"/>
    </row>
    <row r="1860" spans="5:10" s="34" customFormat="1" x14ac:dyDescent="0.35">
      <c r="E1860" s="35"/>
      <c r="J1860" s="41"/>
    </row>
    <row r="1861" spans="5:10" s="34" customFormat="1" x14ac:dyDescent="0.35">
      <c r="E1861" s="35"/>
      <c r="J1861" s="41"/>
    </row>
    <row r="1862" spans="5:10" s="34" customFormat="1" x14ac:dyDescent="0.35">
      <c r="E1862" s="35"/>
      <c r="J1862" s="41"/>
    </row>
    <row r="1863" spans="5:10" s="34" customFormat="1" x14ac:dyDescent="0.35">
      <c r="E1863" s="35"/>
      <c r="J1863" s="41"/>
    </row>
    <row r="1864" spans="5:10" s="34" customFormat="1" x14ac:dyDescent="0.35">
      <c r="E1864" s="35"/>
      <c r="J1864" s="41"/>
    </row>
    <row r="1865" spans="5:10" s="34" customFormat="1" x14ac:dyDescent="0.35">
      <c r="E1865" s="35"/>
      <c r="J1865" s="41"/>
    </row>
    <row r="1866" spans="5:10" s="34" customFormat="1" x14ac:dyDescent="0.35">
      <c r="E1866" s="35"/>
      <c r="J1866" s="41"/>
    </row>
    <row r="1867" spans="5:10" s="34" customFormat="1" x14ac:dyDescent="0.35">
      <c r="E1867" s="35"/>
      <c r="J1867" s="41"/>
    </row>
    <row r="1868" spans="5:10" s="34" customFormat="1" x14ac:dyDescent="0.35">
      <c r="E1868" s="35"/>
      <c r="J1868" s="41"/>
    </row>
    <row r="1869" spans="5:10" s="34" customFormat="1" x14ac:dyDescent="0.35">
      <c r="E1869" s="35"/>
      <c r="J1869" s="41"/>
    </row>
    <row r="1870" spans="5:10" s="34" customFormat="1" x14ac:dyDescent="0.35">
      <c r="E1870" s="35"/>
      <c r="J1870" s="41"/>
    </row>
    <row r="1871" spans="5:10" s="34" customFormat="1" x14ac:dyDescent="0.35">
      <c r="E1871" s="35"/>
      <c r="J1871" s="41"/>
    </row>
    <row r="1872" spans="5:10" s="34" customFormat="1" x14ac:dyDescent="0.35">
      <c r="E1872" s="35"/>
      <c r="J1872" s="41"/>
    </row>
    <row r="1873" spans="5:10" s="34" customFormat="1" x14ac:dyDescent="0.35">
      <c r="E1873" s="35"/>
      <c r="J1873" s="41"/>
    </row>
    <row r="1874" spans="5:10" s="34" customFormat="1" x14ac:dyDescent="0.35">
      <c r="E1874" s="35"/>
      <c r="J1874" s="41"/>
    </row>
    <row r="1875" spans="5:10" s="34" customFormat="1" x14ac:dyDescent="0.35">
      <c r="E1875" s="35"/>
      <c r="J1875" s="41"/>
    </row>
    <row r="1876" spans="5:10" s="34" customFormat="1" x14ac:dyDescent="0.35">
      <c r="E1876" s="35"/>
      <c r="J1876" s="41"/>
    </row>
    <row r="1877" spans="5:10" s="34" customFormat="1" x14ac:dyDescent="0.35">
      <c r="E1877" s="35"/>
      <c r="J1877" s="41"/>
    </row>
    <row r="1878" spans="5:10" s="34" customFormat="1" x14ac:dyDescent="0.35">
      <c r="E1878" s="35"/>
      <c r="J1878" s="41"/>
    </row>
    <row r="1879" spans="5:10" s="34" customFormat="1" x14ac:dyDescent="0.35">
      <c r="E1879" s="35"/>
      <c r="J1879" s="41"/>
    </row>
    <row r="1880" spans="5:10" s="34" customFormat="1" x14ac:dyDescent="0.35">
      <c r="E1880" s="35"/>
      <c r="J1880" s="41"/>
    </row>
    <row r="1881" spans="5:10" s="34" customFormat="1" x14ac:dyDescent="0.35">
      <c r="E1881" s="35"/>
      <c r="J1881" s="41"/>
    </row>
    <row r="1882" spans="5:10" s="34" customFormat="1" x14ac:dyDescent="0.35">
      <c r="E1882" s="35"/>
      <c r="J1882" s="41"/>
    </row>
    <row r="1883" spans="5:10" s="34" customFormat="1" x14ac:dyDescent="0.35">
      <c r="E1883" s="35"/>
      <c r="J1883" s="41"/>
    </row>
    <row r="1884" spans="5:10" s="34" customFormat="1" x14ac:dyDescent="0.35">
      <c r="E1884" s="35"/>
      <c r="J1884" s="41"/>
    </row>
    <row r="1885" spans="5:10" s="34" customFormat="1" x14ac:dyDescent="0.35">
      <c r="E1885" s="35"/>
      <c r="J1885" s="41"/>
    </row>
    <row r="1886" spans="5:10" s="34" customFormat="1" x14ac:dyDescent="0.35">
      <c r="E1886" s="35"/>
      <c r="J1886" s="41"/>
    </row>
    <row r="1887" spans="5:10" s="34" customFormat="1" x14ac:dyDescent="0.35">
      <c r="E1887" s="35"/>
      <c r="J1887" s="41"/>
    </row>
    <row r="1888" spans="5:10" s="34" customFormat="1" x14ac:dyDescent="0.35">
      <c r="E1888" s="35"/>
      <c r="J1888" s="41"/>
    </row>
    <row r="1889" spans="5:10" s="34" customFormat="1" x14ac:dyDescent="0.35">
      <c r="E1889" s="35"/>
      <c r="J1889" s="41"/>
    </row>
    <row r="1890" spans="5:10" s="34" customFormat="1" x14ac:dyDescent="0.35">
      <c r="E1890" s="35"/>
      <c r="J1890" s="41"/>
    </row>
    <row r="1891" spans="5:10" s="34" customFormat="1" x14ac:dyDescent="0.35">
      <c r="E1891" s="35"/>
      <c r="J1891" s="41"/>
    </row>
    <row r="1892" spans="5:10" s="34" customFormat="1" x14ac:dyDescent="0.35">
      <c r="E1892" s="35"/>
      <c r="J1892" s="41"/>
    </row>
    <row r="1893" spans="5:10" s="34" customFormat="1" x14ac:dyDescent="0.35">
      <c r="E1893" s="35"/>
      <c r="J1893" s="41"/>
    </row>
    <row r="1894" spans="5:10" s="34" customFormat="1" x14ac:dyDescent="0.35">
      <c r="E1894" s="35"/>
      <c r="J1894" s="41"/>
    </row>
    <row r="1895" spans="5:10" s="34" customFormat="1" x14ac:dyDescent="0.35">
      <c r="E1895" s="35"/>
      <c r="J1895" s="41"/>
    </row>
    <row r="1896" spans="5:10" s="34" customFormat="1" x14ac:dyDescent="0.35">
      <c r="E1896" s="35"/>
      <c r="J1896" s="41"/>
    </row>
    <row r="1897" spans="5:10" s="34" customFormat="1" x14ac:dyDescent="0.35">
      <c r="E1897" s="35"/>
      <c r="J1897" s="41"/>
    </row>
    <row r="1898" spans="5:10" s="34" customFormat="1" x14ac:dyDescent="0.35">
      <c r="E1898" s="35"/>
      <c r="J1898" s="41"/>
    </row>
    <row r="1899" spans="5:10" s="34" customFormat="1" x14ac:dyDescent="0.35">
      <c r="E1899" s="35"/>
      <c r="J1899" s="41"/>
    </row>
    <row r="1900" spans="5:10" s="34" customFormat="1" x14ac:dyDescent="0.35">
      <c r="E1900" s="35"/>
      <c r="J1900" s="41"/>
    </row>
    <row r="1901" spans="5:10" s="34" customFormat="1" x14ac:dyDescent="0.35">
      <c r="E1901" s="35"/>
      <c r="J1901" s="41"/>
    </row>
    <row r="1902" spans="5:10" s="34" customFormat="1" x14ac:dyDescent="0.35">
      <c r="E1902" s="35"/>
      <c r="J1902" s="41"/>
    </row>
    <row r="1903" spans="5:10" s="34" customFormat="1" x14ac:dyDescent="0.35">
      <c r="E1903" s="35"/>
      <c r="J1903" s="41"/>
    </row>
    <row r="1904" spans="5:10" s="34" customFormat="1" x14ac:dyDescent="0.35">
      <c r="E1904" s="35"/>
      <c r="J1904" s="41"/>
    </row>
    <row r="1905" spans="5:10" s="34" customFormat="1" x14ac:dyDescent="0.35">
      <c r="E1905" s="35"/>
      <c r="J1905" s="41"/>
    </row>
    <row r="1906" spans="5:10" s="34" customFormat="1" x14ac:dyDescent="0.35">
      <c r="E1906" s="35"/>
      <c r="J1906" s="41"/>
    </row>
    <row r="1907" spans="5:10" s="34" customFormat="1" x14ac:dyDescent="0.35">
      <c r="E1907" s="35"/>
      <c r="J1907" s="41"/>
    </row>
    <row r="1908" spans="5:10" s="34" customFormat="1" x14ac:dyDescent="0.35">
      <c r="E1908" s="35"/>
      <c r="J1908" s="41"/>
    </row>
    <row r="1909" spans="5:10" s="34" customFormat="1" x14ac:dyDescent="0.35">
      <c r="E1909" s="35"/>
      <c r="J1909" s="41"/>
    </row>
    <row r="1910" spans="5:10" s="34" customFormat="1" x14ac:dyDescent="0.35">
      <c r="E1910" s="35"/>
      <c r="J1910" s="41"/>
    </row>
    <row r="1911" spans="5:10" s="34" customFormat="1" x14ac:dyDescent="0.35">
      <c r="E1911" s="35"/>
      <c r="J1911" s="41"/>
    </row>
    <row r="1912" spans="5:10" s="34" customFormat="1" x14ac:dyDescent="0.35">
      <c r="E1912" s="35"/>
      <c r="J1912" s="41"/>
    </row>
    <row r="1913" spans="5:10" s="34" customFormat="1" x14ac:dyDescent="0.35">
      <c r="E1913" s="35"/>
      <c r="J1913" s="41"/>
    </row>
    <row r="1914" spans="5:10" s="34" customFormat="1" x14ac:dyDescent="0.35">
      <c r="E1914" s="35"/>
      <c r="J1914" s="41"/>
    </row>
    <row r="1915" spans="5:10" s="34" customFormat="1" x14ac:dyDescent="0.35">
      <c r="E1915" s="35"/>
      <c r="J1915" s="41"/>
    </row>
    <row r="1916" spans="5:10" s="34" customFormat="1" x14ac:dyDescent="0.35">
      <c r="E1916" s="35"/>
      <c r="J1916" s="41"/>
    </row>
    <row r="1917" spans="5:10" s="34" customFormat="1" x14ac:dyDescent="0.35">
      <c r="E1917" s="35"/>
      <c r="J1917" s="41"/>
    </row>
    <row r="1918" spans="5:10" s="34" customFormat="1" x14ac:dyDescent="0.35">
      <c r="E1918" s="35"/>
      <c r="J1918" s="41"/>
    </row>
    <row r="1919" spans="5:10" s="34" customFormat="1" x14ac:dyDescent="0.35">
      <c r="E1919" s="35"/>
      <c r="J1919" s="41"/>
    </row>
    <row r="1920" spans="5:10" s="34" customFormat="1" x14ac:dyDescent="0.35">
      <c r="E1920" s="35"/>
      <c r="J1920" s="41"/>
    </row>
    <row r="1921" spans="5:10" s="34" customFormat="1" x14ac:dyDescent="0.35">
      <c r="E1921" s="35"/>
      <c r="J1921" s="41"/>
    </row>
    <row r="1922" spans="5:10" s="34" customFormat="1" x14ac:dyDescent="0.35">
      <c r="E1922" s="35"/>
      <c r="J1922" s="41"/>
    </row>
    <row r="1923" spans="5:10" s="34" customFormat="1" x14ac:dyDescent="0.35">
      <c r="E1923" s="35"/>
      <c r="J1923" s="41"/>
    </row>
    <row r="1924" spans="5:10" s="34" customFormat="1" x14ac:dyDescent="0.35">
      <c r="E1924" s="35"/>
      <c r="J1924" s="41"/>
    </row>
    <row r="1925" spans="5:10" s="34" customFormat="1" x14ac:dyDescent="0.35">
      <c r="E1925" s="35"/>
      <c r="J1925" s="41"/>
    </row>
    <row r="1926" spans="5:10" s="34" customFormat="1" x14ac:dyDescent="0.35">
      <c r="E1926" s="35"/>
      <c r="J1926" s="41"/>
    </row>
    <row r="1927" spans="5:10" s="34" customFormat="1" x14ac:dyDescent="0.35">
      <c r="E1927" s="35"/>
      <c r="J1927" s="41"/>
    </row>
    <row r="1928" spans="5:10" s="34" customFormat="1" x14ac:dyDescent="0.35">
      <c r="E1928" s="35"/>
      <c r="J1928" s="41"/>
    </row>
    <row r="1929" spans="5:10" s="34" customFormat="1" x14ac:dyDescent="0.35">
      <c r="E1929" s="35"/>
      <c r="J1929" s="41"/>
    </row>
    <row r="1930" spans="5:10" s="34" customFormat="1" x14ac:dyDescent="0.35">
      <c r="E1930" s="35"/>
      <c r="J1930" s="41"/>
    </row>
    <row r="1931" spans="5:10" s="34" customFormat="1" x14ac:dyDescent="0.35">
      <c r="E1931" s="35"/>
      <c r="J1931" s="41"/>
    </row>
    <row r="1932" spans="5:10" s="34" customFormat="1" x14ac:dyDescent="0.35">
      <c r="E1932" s="35"/>
      <c r="J1932" s="41"/>
    </row>
    <row r="1933" spans="5:10" s="34" customFormat="1" x14ac:dyDescent="0.35">
      <c r="E1933" s="35"/>
      <c r="J1933" s="41"/>
    </row>
    <row r="1934" spans="5:10" s="34" customFormat="1" x14ac:dyDescent="0.35">
      <c r="E1934" s="35"/>
      <c r="J1934" s="41"/>
    </row>
    <row r="1935" spans="5:10" s="34" customFormat="1" x14ac:dyDescent="0.35">
      <c r="E1935" s="35"/>
      <c r="J1935" s="41"/>
    </row>
    <row r="1936" spans="5:10" s="34" customFormat="1" x14ac:dyDescent="0.35">
      <c r="E1936" s="35"/>
      <c r="J1936" s="41"/>
    </row>
    <row r="1937" spans="5:10" s="34" customFormat="1" x14ac:dyDescent="0.35">
      <c r="E1937" s="35"/>
      <c r="J1937" s="41"/>
    </row>
    <row r="1938" spans="5:10" s="34" customFormat="1" x14ac:dyDescent="0.35">
      <c r="E1938" s="35"/>
      <c r="J1938" s="41"/>
    </row>
    <row r="1939" spans="5:10" s="34" customFormat="1" x14ac:dyDescent="0.35">
      <c r="E1939" s="35"/>
      <c r="J1939" s="41"/>
    </row>
    <row r="1940" spans="5:10" s="34" customFormat="1" x14ac:dyDescent="0.35">
      <c r="E1940" s="35"/>
      <c r="J1940" s="41"/>
    </row>
    <row r="1941" spans="5:10" s="34" customFormat="1" x14ac:dyDescent="0.35">
      <c r="E1941" s="35"/>
      <c r="J1941" s="41"/>
    </row>
    <row r="1942" spans="5:10" s="34" customFormat="1" x14ac:dyDescent="0.35">
      <c r="E1942" s="35"/>
      <c r="J1942" s="41"/>
    </row>
    <row r="1943" spans="5:10" s="34" customFormat="1" x14ac:dyDescent="0.35">
      <c r="E1943" s="35"/>
      <c r="J1943" s="41"/>
    </row>
    <row r="1944" spans="5:10" s="34" customFormat="1" x14ac:dyDescent="0.35">
      <c r="E1944" s="35"/>
      <c r="J1944" s="41"/>
    </row>
    <row r="1945" spans="5:10" s="34" customFormat="1" x14ac:dyDescent="0.35">
      <c r="E1945" s="35"/>
      <c r="J1945" s="41"/>
    </row>
    <row r="1946" spans="5:10" s="34" customFormat="1" x14ac:dyDescent="0.35">
      <c r="E1946" s="35"/>
      <c r="J1946" s="41"/>
    </row>
    <row r="1947" spans="5:10" s="34" customFormat="1" x14ac:dyDescent="0.35">
      <c r="E1947" s="35"/>
      <c r="J1947" s="41"/>
    </row>
    <row r="1948" spans="5:10" s="34" customFormat="1" x14ac:dyDescent="0.35">
      <c r="E1948" s="35"/>
      <c r="J1948" s="41"/>
    </row>
    <row r="1949" spans="5:10" s="34" customFormat="1" x14ac:dyDescent="0.35">
      <c r="E1949" s="35"/>
      <c r="J1949" s="41"/>
    </row>
    <row r="1950" spans="5:10" s="34" customFormat="1" x14ac:dyDescent="0.35">
      <c r="E1950" s="35"/>
      <c r="J1950" s="41"/>
    </row>
    <row r="1951" spans="5:10" s="34" customFormat="1" x14ac:dyDescent="0.35">
      <c r="E1951" s="35"/>
      <c r="J1951" s="41"/>
    </row>
    <row r="1952" spans="5:10" s="34" customFormat="1" x14ac:dyDescent="0.35">
      <c r="E1952" s="35"/>
      <c r="J1952" s="41"/>
    </row>
    <row r="1953" spans="5:10" s="34" customFormat="1" x14ac:dyDescent="0.35">
      <c r="E1953" s="35"/>
      <c r="J1953" s="41"/>
    </row>
    <row r="1954" spans="5:10" s="34" customFormat="1" x14ac:dyDescent="0.35">
      <c r="E1954" s="35"/>
      <c r="J1954" s="41"/>
    </row>
    <row r="1955" spans="5:10" s="34" customFormat="1" x14ac:dyDescent="0.35">
      <c r="E1955" s="35"/>
      <c r="J1955" s="41"/>
    </row>
    <row r="1956" spans="5:10" s="34" customFormat="1" x14ac:dyDescent="0.35">
      <c r="E1956" s="35"/>
      <c r="J1956" s="41"/>
    </row>
    <row r="1957" spans="5:10" s="34" customFormat="1" x14ac:dyDescent="0.35">
      <c r="E1957" s="35"/>
      <c r="J1957" s="41"/>
    </row>
    <row r="1958" spans="5:10" s="34" customFormat="1" x14ac:dyDescent="0.35">
      <c r="E1958" s="35"/>
      <c r="J1958" s="41"/>
    </row>
    <row r="1959" spans="5:10" s="34" customFormat="1" x14ac:dyDescent="0.35">
      <c r="E1959" s="35"/>
      <c r="J1959" s="41"/>
    </row>
    <row r="1960" spans="5:10" s="34" customFormat="1" x14ac:dyDescent="0.35">
      <c r="E1960" s="35"/>
      <c r="J1960" s="41"/>
    </row>
    <row r="1961" spans="5:10" s="34" customFormat="1" x14ac:dyDescent="0.35">
      <c r="E1961" s="35"/>
      <c r="J1961" s="41"/>
    </row>
    <row r="1962" spans="5:10" s="34" customFormat="1" x14ac:dyDescent="0.35">
      <c r="E1962" s="35"/>
      <c r="J1962" s="41"/>
    </row>
    <row r="1963" spans="5:10" s="34" customFormat="1" x14ac:dyDescent="0.35">
      <c r="E1963" s="35"/>
      <c r="J1963" s="41"/>
    </row>
    <row r="1964" spans="5:10" s="34" customFormat="1" x14ac:dyDescent="0.35">
      <c r="E1964" s="35"/>
      <c r="J1964" s="41"/>
    </row>
    <row r="1965" spans="5:10" s="34" customFormat="1" x14ac:dyDescent="0.35">
      <c r="E1965" s="35"/>
      <c r="J1965" s="41"/>
    </row>
    <row r="1966" spans="5:10" s="34" customFormat="1" x14ac:dyDescent="0.35">
      <c r="E1966" s="35"/>
      <c r="J1966" s="41"/>
    </row>
    <row r="1967" spans="5:10" s="34" customFormat="1" x14ac:dyDescent="0.35">
      <c r="E1967" s="35"/>
      <c r="J1967" s="41"/>
    </row>
    <row r="1968" spans="5:10" s="34" customFormat="1" x14ac:dyDescent="0.35">
      <c r="E1968" s="35"/>
      <c r="J1968" s="41"/>
    </row>
    <row r="1969" spans="5:10" s="34" customFormat="1" x14ac:dyDescent="0.35">
      <c r="E1969" s="35"/>
      <c r="J1969" s="41"/>
    </row>
    <row r="1970" spans="5:10" s="34" customFormat="1" x14ac:dyDescent="0.35">
      <c r="E1970" s="35"/>
      <c r="J1970" s="41"/>
    </row>
    <row r="1971" spans="5:10" s="34" customFormat="1" x14ac:dyDescent="0.35">
      <c r="E1971" s="35"/>
      <c r="J1971" s="41"/>
    </row>
    <row r="1972" spans="5:10" s="34" customFormat="1" x14ac:dyDescent="0.35">
      <c r="E1972" s="35"/>
      <c r="J1972" s="41"/>
    </row>
    <row r="1973" spans="5:10" s="34" customFormat="1" x14ac:dyDescent="0.35">
      <c r="E1973" s="35"/>
      <c r="J1973" s="41"/>
    </row>
    <row r="1974" spans="5:10" s="34" customFormat="1" x14ac:dyDescent="0.35">
      <c r="E1974" s="35"/>
      <c r="J1974" s="41"/>
    </row>
    <row r="1975" spans="5:10" s="34" customFormat="1" x14ac:dyDescent="0.35">
      <c r="E1975" s="35"/>
      <c r="J1975" s="41"/>
    </row>
    <row r="1976" spans="5:10" s="34" customFormat="1" x14ac:dyDescent="0.35">
      <c r="E1976" s="35"/>
      <c r="J1976" s="41"/>
    </row>
    <row r="1977" spans="5:10" s="34" customFormat="1" x14ac:dyDescent="0.35">
      <c r="E1977" s="35"/>
      <c r="J1977" s="41"/>
    </row>
    <row r="1978" spans="5:10" s="34" customFormat="1" x14ac:dyDescent="0.35">
      <c r="E1978" s="35"/>
      <c r="J1978" s="41"/>
    </row>
    <row r="1979" spans="5:10" s="34" customFormat="1" x14ac:dyDescent="0.35">
      <c r="E1979" s="35"/>
      <c r="J1979" s="41"/>
    </row>
    <row r="1980" spans="5:10" s="34" customFormat="1" x14ac:dyDescent="0.35">
      <c r="E1980" s="35"/>
      <c r="J1980" s="41"/>
    </row>
    <row r="1981" spans="5:10" s="34" customFormat="1" x14ac:dyDescent="0.35">
      <c r="E1981" s="35"/>
      <c r="J1981" s="41"/>
    </row>
    <row r="1982" spans="5:10" s="34" customFormat="1" x14ac:dyDescent="0.35">
      <c r="E1982" s="35"/>
      <c r="J1982" s="41"/>
    </row>
    <row r="1983" spans="5:10" s="34" customFormat="1" x14ac:dyDescent="0.35">
      <c r="E1983" s="35"/>
      <c r="J1983" s="41"/>
    </row>
    <row r="1984" spans="5:10" s="34" customFormat="1" x14ac:dyDescent="0.35">
      <c r="E1984" s="35"/>
      <c r="J1984" s="41"/>
    </row>
    <row r="1985" spans="5:10" s="34" customFormat="1" x14ac:dyDescent="0.35">
      <c r="E1985" s="35"/>
      <c r="J1985" s="41"/>
    </row>
    <row r="1986" spans="5:10" s="34" customFormat="1" x14ac:dyDescent="0.35">
      <c r="E1986" s="35"/>
      <c r="J1986" s="41"/>
    </row>
    <row r="1987" spans="5:10" s="34" customFormat="1" x14ac:dyDescent="0.35">
      <c r="E1987" s="35"/>
      <c r="J1987" s="41"/>
    </row>
    <row r="1988" spans="5:10" s="34" customFormat="1" x14ac:dyDescent="0.35">
      <c r="E1988" s="35"/>
      <c r="J1988" s="41"/>
    </row>
    <row r="1989" spans="5:10" s="34" customFormat="1" x14ac:dyDescent="0.35">
      <c r="E1989" s="35"/>
      <c r="J1989" s="41"/>
    </row>
    <row r="1990" spans="5:10" s="34" customFormat="1" x14ac:dyDescent="0.35">
      <c r="E1990" s="35"/>
      <c r="J1990" s="41"/>
    </row>
    <row r="1991" spans="5:10" s="34" customFormat="1" x14ac:dyDescent="0.35">
      <c r="E1991" s="35"/>
      <c r="J1991" s="41"/>
    </row>
    <row r="1992" spans="5:10" s="34" customFormat="1" x14ac:dyDescent="0.35">
      <c r="E1992" s="35"/>
      <c r="J1992" s="41"/>
    </row>
    <row r="1993" spans="5:10" s="34" customFormat="1" x14ac:dyDescent="0.35">
      <c r="E1993" s="35"/>
      <c r="J1993" s="41"/>
    </row>
    <row r="1994" spans="5:10" s="34" customFormat="1" x14ac:dyDescent="0.35">
      <c r="E1994" s="35"/>
      <c r="J1994" s="41"/>
    </row>
    <row r="1995" spans="5:10" s="34" customFormat="1" x14ac:dyDescent="0.35">
      <c r="E1995" s="35"/>
      <c r="J1995" s="41"/>
    </row>
    <row r="1996" spans="5:10" s="34" customFormat="1" x14ac:dyDescent="0.35">
      <c r="E1996" s="35"/>
      <c r="J1996" s="41"/>
    </row>
    <row r="1997" spans="5:10" s="34" customFormat="1" x14ac:dyDescent="0.35">
      <c r="E1997" s="35"/>
      <c r="J1997" s="41"/>
    </row>
    <row r="1998" spans="5:10" s="34" customFormat="1" x14ac:dyDescent="0.35">
      <c r="E1998" s="35"/>
      <c r="J1998" s="41"/>
    </row>
    <row r="1999" spans="5:10" s="34" customFormat="1" x14ac:dyDescent="0.35">
      <c r="E1999" s="35"/>
      <c r="J1999" s="41"/>
    </row>
    <row r="2000" spans="5:10" s="34" customFormat="1" x14ac:dyDescent="0.35">
      <c r="E2000" s="35"/>
      <c r="J2000" s="41"/>
    </row>
    <row r="2001" spans="5:10" s="34" customFormat="1" x14ac:dyDescent="0.35">
      <c r="E2001" s="35"/>
      <c r="J2001" s="41"/>
    </row>
    <row r="2002" spans="5:10" s="34" customFormat="1" x14ac:dyDescent="0.35">
      <c r="E2002" s="35"/>
      <c r="J2002" s="41"/>
    </row>
    <row r="2003" spans="5:10" s="34" customFormat="1" x14ac:dyDescent="0.35">
      <c r="E2003" s="35"/>
      <c r="J2003" s="41"/>
    </row>
    <row r="2004" spans="5:10" s="34" customFormat="1" x14ac:dyDescent="0.35">
      <c r="E2004" s="35"/>
      <c r="J2004" s="41"/>
    </row>
    <row r="2005" spans="5:10" s="34" customFormat="1" x14ac:dyDescent="0.35">
      <c r="E2005" s="35"/>
      <c r="J2005" s="41"/>
    </row>
    <row r="2006" spans="5:10" s="34" customFormat="1" x14ac:dyDescent="0.35">
      <c r="E2006" s="35"/>
      <c r="J2006" s="41"/>
    </row>
    <row r="2007" spans="5:10" s="34" customFormat="1" x14ac:dyDescent="0.35">
      <c r="E2007" s="35"/>
      <c r="J2007" s="41"/>
    </row>
    <row r="2008" spans="5:10" s="34" customFormat="1" x14ac:dyDescent="0.35">
      <c r="E2008" s="35"/>
      <c r="J2008" s="41"/>
    </row>
    <row r="2009" spans="5:10" s="34" customFormat="1" x14ac:dyDescent="0.35">
      <c r="E2009" s="35"/>
      <c r="J2009" s="41"/>
    </row>
    <row r="2010" spans="5:10" s="34" customFormat="1" x14ac:dyDescent="0.35">
      <c r="E2010" s="35"/>
      <c r="J2010" s="41"/>
    </row>
    <row r="2011" spans="5:10" s="34" customFormat="1" x14ac:dyDescent="0.35">
      <c r="E2011" s="35"/>
      <c r="J2011" s="41"/>
    </row>
    <row r="2012" spans="5:10" s="34" customFormat="1" x14ac:dyDescent="0.35">
      <c r="E2012" s="35"/>
      <c r="J2012" s="41"/>
    </row>
    <row r="2013" spans="5:10" s="34" customFormat="1" x14ac:dyDescent="0.35">
      <c r="E2013" s="35"/>
      <c r="J2013" s="41"/>
    </row>
    <row r="2014" spans="5:10" s="34" customFormat="1" x14ac:dyDescent="0.35">
      <c r="E2014" s="35"/>
      <c r="J2014" s="41"/>
    </row>
    <row r="2015" spans="5:10" s="34" customFormat="1" x14ac:dyDescent="0.35">
      <c r="E2015" s="35"/>
      <c r="J2015" s="41"/>
    </row>
    <row r="2016" spans="5:10" s="34" customFormat="1" x14ac:dyDescent="0.35">
      <c r="E2016" s="35"/>
      <c r="J2016" s="41"/>
    </row>
    <row r="2017" spans="5:10" s="34" customFormat="1" x14ac:dyDescent="0.35">
      <c r="E2017" s="35"/>
      <c r="J2017" s="41"/>
    </row>
    <row r="2018" spans="5:10" s="34" customFormat="1" x14ac:dyDescent="0.35">
      <c r="E2018" s="35"/>
      <c r="J2018" s="41"/>
    </row>
    <row r="2019" spans="5:10" s="34" customFormat="1" x14ac:dyDescent="0.35">
      <c r="E2019" s="35"/>
      <c r="J2019" s="41"/>
    </row>
    <row r="2020" spans="5:10" s="34" customFormat="1" x14ac:dyDescent="0.35">
      <c r="E2020" s="35"/>
      <c r="J2020" s="41"/>
    </row>
    <row r="2021" spans="5:10" s="34" customFormat="1" x14ac:dyDescent="0.35">
      <c r="E2021" s="35"/>
      <c r="J2021" s="41"/>
    </row>
    <row r="2022" spans="5:10" s="34" customFormat="1" x14ac:dyDescent="0.35">
      <c r="E2022" s="35"/>
      <c r="J2022" s="41"/>
    </row>
    <row r="2023" spans="5:10" s="34" customFormat="1" x14ac:dyDescent="0.35">
      <c r="E2023" s="35"/>
      <c r="J2023" s="41"/>
    </row>
    <row r="2024" spans="5:10" s="34" customFormat="1" x14ac:dyDescent="0.35">
      <c r="E2024" s="35"/>
      <c r="J2024" s="41"/>
    </row>
    <row r="2025" spans="5:10" s="34" customFormat="1" x14ac:dyDescent="0.35">
      <c r="E2025" s="35"/>
      <c r="J2025" s="41"/>
    </row>
    <row r="2026" spans="5:10" s="34" customFormat="1" x14ac:dyDescent="0.35">
      <c r="E2026" s="35"/>
      <c r="J2026" s="41"/>
    </row>
    <row r="2027" spans="5:10" s="34" customFormat="1" x14ac:dyDescent="0.35">
      <c r="E2027" s="35"/>
      <c r="J2027" s="41"/>
    </row>
    <row r="2028" spans="5:10" s="34" customFormat="1" x14ac:dyDescent="0.35">
      <c r="E2028" s="35"/>
      <c r="J2028" s="41"/>
    </row>
    <row r="2029" spans="5:10" s="34" customFormat="1" x14ac:dyDescent="0.35">
      <c r="E2029" s="35"/>
      <c r="J2029" s="41"/>
    </row>
    <row r="2030" spans="5:10" s="34" customFormat="1" x14ac:dyDescent="0.35">
      <c r="E2030" s="35"/>
      <c r="J2030" s="41"/>
    </row>
    <row r="2031" spans="5:10" s="34" customFormat="1" x14ac:dyDescent="0.35">
      <c r="E2031" s="35"/>
      <c r="J2031" s="41"/>
    </row>
    <row r="2032" spans="5:10" s="34" customFormat="1" x14ac:dyDescent="0.35">
      <c r="E2032" s="35"/>
      <c r="J2032" s="41"/>
    </row>
    <row r="2033" spans="5:10" s="34" customFormat="1" x14ac:dyDescent="0.35">
      <c r="E2033" s="35"/>
      <c r="J2033" s="41"/>
    </row>
    <row r="2034" spans="5:10" s="34" customFormat="1" x14ac:dyDescent="0.35">
      <c r="E2034" s="35"/>
      <c r="J2034" s="41"/>
    </row>
    <row r="2035" spans="5:10" s="34" customFormat="1" x14ac:dyDescent="0.35">
      <c r="E2035" s="35"/>
      <c r="J2035" s="41"/>
    </row>
    <row r="2036" spans="5:10" s="34" customFormat="1" x14ac:dyDescent="0.35">
      <c r="E2036" s="35"/>
      <c r="J2036" s="41"/>
    </row>
    <row r="2037" spans="5:10" s="34" customFormat="1" x14ac:dyDescent="0.35">
      <c r="E2037" s="35"/>
      <c r="J2037" s="41"/>
    </row>
    <row r="2038" spans="5:10" s="34" customFormat="1" x14ac:dyDescent="0.35">
      <c r="E2038" s="35"/>
      <c r="J2038" s="41"/>
    </row>
    <row r="2039" spans="5:10" s="34" customFormat="1" x14ac:dyDescent="0.35">
      <c r="E2039" s="35"/>
      <c r="J2039" s="41"/>
    </row>
    <row r="2040" spans="5:10" s="34" customFormat="1" x14ac:dyDescent="0.35">
      <c r="E2040" s="35"/>
      <c r="J2040" s="41"/>
    </row>
    <row r="2041" spans="5:10" s="34" customFormat="1" x14ac:dyDescent="0.35">
      <c r="E2041" s="35"/>
      <c r="J2041" s="41"/>
    </row>
    <row r="2042" spans="5:10" s="34" customFormat="1" x14ac:dyDescent="0.35">
      <c r="E2042" s="35"/>
      <c r="J2042" s="41"/>
    </row>
    <row r="2043" spans="5:10" s="34" customFormat="1" x14ac:dyDescent="0.35">
      <c r="E2043" s="35"/>
      <c r="J2043" s="41"/>
    </row>
    <row r="2044" spans="5:10" s="34" customFormat="1" x14ac:dyDescent="0.35">
      <c r="E2044" s="35"/>
      <c r="J2044" s="41"/>
    </row>
    <row r="2045" spans="5:10" s="34" customFormat="1" x14ac:dyDescent="0.35">
      <c r="E2045" s="35"/>
      <c r="J2045" s="41"/>
    </row>
    <row r="2046" spans="5:10" s="34" customFormat="1" x14ac:dyDescent="0.35">
      <c r="E2046" s="35"/>
      <c r="J2046" s="41"/>
    </row>
    <row r="2047" spans="5:10" s="34" customFormat="1" x14ac:dyDescent="0.35">
      <c r="E2047" s="35"/>
      <c r="J2047" s="41"/>
    </row>
    <row r="2048" spans="5:10" s="34" customFormat="1" x14ac:dyDescent="0.35">
      <c r="E2048" s="35"/>
      <c r="J2048" s="41"/>
    </row>
    <row r="2049" spans="5:10" s="34" customFormat="1" x14ac:dyDescent="0.35">
      <c r="E2049" s="35"/>
      <c r="J2049" s="41"/>
    </row>
    <row r="2050" spans="5:10" s="34" customFormat="1" x14ac:dyDescent="0.35">
      <c r="E2050" s="35"/>
      <c r="J2050" s="41"/>
    </row>
    <row r="2051" spans="5:10" s="34" customFormat="1" x14ac:dyDescent="0.35">
      <c r="E2051" s="35"/>
      <c r="J2051" s="41"/>
    </row>
    <row r="2052" spans="5:10" s="34" customFormat="1" x14ac:dyDescent="0.35">
      <c r="E2052" s="35"/>
      <c r="J2052" s="41"/>
    </row>
    <row r="2053" spans="5:10" s="34" customFormat="1" x14ac:dyDescent="0.35">
      <c r="E2053" s="35"/>
      <c r="J2053" s="41"/>
    </row>
    <row r="2054" spans="5:10" s="34" customFormat="1" x14ac:dyDescent="0.35">
      <c r="E2054" s="35"/>
      <c r="J2054" s="41"/>
    </row>
    <row r="2055" spans="5:10" s="34" customFormat="1" x14ac:dyDescent="0.35">
      <c r="E2055" s="35"/>
      <c r="J2055" s="41"/>
    </row>
    <row r="2056" spans="5:10" s="34" customFormat="1" x14ac:dyDescent="0.35">
      <c r="E2056" s="35"/>
      <c r="J2056" s="41"/>
    </row>
    <row r="2057" spans="5:10" s="34" customFormat="1" x14ac:dyDescent="0.35">
      <c r="E2057" s="35"/>
      <c r="J2057" s="41"/>
    </row>
    <row r="2058" spans="5:10" s="34" customFormat="1" x14ac:dyDescent="0.35">
      <c r="E2058" s="35"/>
      <c r="J2058" s="41"/>
    </row>
    <row r="2059" spans="5:10" s="34" customFormat="1" x14ac:dyDescent="0.35">
      <c r="E2059" s="35"/>
      <c r="J2059" s="41"/>
    </row>
    <row r="2060" spans="5:10" s="34" customFormat="1" x14ac:dyDescent="0.35">
      <c r="E2060" s="35"/>
      <c r="J2060" s="41"/>
    </row>
    <row r="2061" spans="5:10" s="34" customFormat="1" x14ac:dyDescent="0.35">
      <c r="E2061" s="35"/>
      <c r="J2061" s="41"/>
    </row>
    <row r="2062" spans="5:10" s="34" customFormat="1" x14ac:dyDescent="0.35">
      <c r="E2062" s="35"/>
      <c r="J2062" s="41"/>
    </row>
    <row r="2063" spans="5:10" s="34" customFormat="1" x14ac:dyDescent="0.35">
      <c r="E2063" s="35"/>
      <c r="J2063" s="41"/>
    </row>
    <row r="2064" spans="5:10" s="34" customFormat="1" x14ac:dyDescent="0.35">
      <c r="E2064" s="35"/>
      <c r="J2064" s="41"/>
    </row>
    <row r="2065" spans="5:10" s="34" customFormat="1" x14ac:dyDescent="0.35">
      <c r="E2065" s="35"/>
      <c r="J2065" s="41"/>
    </row>
    <row r="2066" spans="5:10" s="34" customFormat="1" x14ac:dyDescent="0.35">
      <c r="E2066" s="35"/>
      <c r="J2066" s="41"/>
    </row>
    <row r="2067" spans="5:10" s="34" customFormat="1" x14ac:dyDescent="0.35">
      <c r="E2067" s="35"/>
      <c r="J2067" s="41"/>
    </row>
    <row r="2068" spans="5:10" s="34" customFormat="1" x14ac:dyDescent="0.35">
      <c r="E2068" s="35"/>
      <c r="J2068" s="41"/>
    </row>
    <row r="2069" spans="5:10" s="34" customFormat="1" x14ac:dyDescent="0.35">
      <c r="E2069" s="35"/>
      <c r="J2069" s="41"/>
    </row>
    <row r="2070" spans="5:10" s="34" customFormat="1" x14ac:dyDescent="0.35">
      <c r="E2070" s="35"/>
      <c r="J2070" s="41"/>
    </row>
    <row r="2071" spans="5:10" s="34" customFormat="1" x14ac:dyDescent="0.35">
      <c r="E2071" s="35"/>
      <c r="J2071" s="41"/>
    </row>
    <row r="2072" spans="5:10" s="34" customFormat="1" x14ac:dyDescent="0.35">
      <c r="E2072" s="35"/>
      <c r="J2072" s="41"/>
    </row>
    <row r="2073" spans="5:10" s="34" customFormat="1" x14ac:dyDescent="0.35">
      <c r="E2073" s="35"/>
      <c r="J2073" s="41"/>
    </row>
    <row r="2074" spans="5:10" s="34" customFormat="1" x14ac:dyDescent="0.35">
      <c r="E2074" s="35"/>
      <c r="J2074" s="41"/>
    </row>
    <row r="2075" spans="5:10" s="34" customFormat="1" x14ac:dyDescent="0.35">
      <c r="E2075" s="35"/>
      <c r="J2075" s="41"/>
    </row>
    <row r="2076" spans="5:10" s="34" customFormat="1" x14ac:dyDescent="0.35">
      <c r="E2076" s="35"/>
      <c r="J2076" s="41"/>
    </row>
    <row r="2077" spans="5:10" s="34" customFormat="1" x14ac:dyDescent="0.35">
      <c r="E2077" s="35"/>
      <c r="J2077" s="41"/>
    </row>
    <row r="2078" spans="5:10" s="34" customFormat="1" x14ac:dyDescent="0.35">
      <c r="E2078" s="35"/>
      <c r="J2078" s="41"/>
    </row>
    <row r="2079" spans="5:10" s="34" customFormat="1" x14ac:dyDescent="0.35">
      <c r="E2079" s="35"/>
      <c r="J2079" s="41"/>
    </row>
    <row r="2080" spans="5:10" s="34" customFormat="1" x14ac:dyDescent="0.35">
      <c r="E2080" s="35"/>
      <c r="J2080" s="41"/>
    </row>
    <row r="2081" spans="5:10" s="34" customFormat="1" x14ac:dyDescent="0.35">
      <c r="E2081" s="35"/>
      <c r="J2081" s="41"/>
    </row>
    <row r="2082" spans="5:10" s="34" customFormat="1" x14ac:dyDescent="0.35">
      <c r="E2082" s="35"/>
      <c r="J2082" s="41"/>
    </row>
    <row r="2083" spans="5:10" s="34" customFormat="1" x14ac:dyDescent="0.35">
      <c r="E2083" s="35"/>
      <c r="J2083" s="41"/>
    </row>
    <row r="2084" spans="5:10" s="34" customFormat="1" x14ac:dyDescent="0.35">
      <c r="E2084" s="35"/>
      <c r="J2084" s="41"/>
    </row>
    <row r="2085" spans="5:10" s="34" customFormat="1" x14ac:dyDescent="0.35">
      <c r="E2085" s="35"/>
      <c r="J2085" s="41"/>
    </row>
    <row r="2086" spans="5:10" s="34" customFormat="1" x14ac:dyDescent="0.35">
      <c r="E2086" s="35"/>
      <c r="J2086" s="41"/>
    </row>
    <row r="2087" spans="5:10" s="34" customFormat="1" x14ac:dyDescent="0.35">
      <c r="E2087" s="35"/>
      <c r="J2087" s="41"/>
    </row>
    <row r="2088" spans="5:10" s="34" customFormat="1" x14ac:dyDescent="0.35">
      <c r="E2088" s="35"/>
      <c r="J2088" s="41"/>
    </row>
    <row r="2089" spans="5:10" s="34" customFormat="1" x14ac:dyDescent="0.35">
      <c r="E2089" s="35"/>
      <c r="J2089" s="41"/>
    </row>
    <row r="2090" spans="5:10" s="34" customFormat="1" x14ac:dyDescent="0.35">
      <c r="E2090" s="35"/>
      <c r="J2090" s="41"/>
    </row>
    <row r="2091" spans="5:10" s="34" customFormat="1" x14ac:dyDescent="0.35">
      <c r="E2091" s="35"/>
      <c r="J2091" s="41"/>
    </row>
    <row r="2092" spans="5:10" s="34" customFormat="1" x14ac:dyDescent="0.35">
      <c r="E2092" s="35"/>
      <c r="J2092" s="41"/>
    </row>
    <row r="2093" spans="5:10" s="34" customFormat="1" x14ac:dyDescent="0.35">
      <c r="E2093" s="35"/>
      <c r="J2093" s="41"/>
    </row>
    <row r="2094" spans="5:10" s="34" customFormat="1" x14ac:dyDescent="0.35">
      <c r="E2094" s="35"/>
      <c r="J2094" s="41"/>
    </row>
    <row r="2095" spans="5:10" s="34" customFormat="1" x14ac:dyDescent="0.35">
      <c r="E2095" s="35"/>
      <c r="J2095" s="41"/>
    </row>
    <row r="2096" spans="5:10" s="34" customFormat="1" x14ac:dyDescent="0.35">
      <c r="E2096" s="35"/>
      <c r="J2096" s="41"/>
    </row>
    <row r="2097" spans="5:10" s="34" customFormat="1" x14ac:dyDescent="0.35">
      <c r="E2097" s="35"/>
      <c r="J2097" s="41"/>
    </row>
    <row r="2098" spans="5:10" s="34" customFormat="1" x14ac:dyDescent="0.35">
      <c r="E2098" s="35"/>
      <c r="J2098" s="41"/>
    </row>
    <row r="2099" spans="5:10" s="34" customFormat="1" x14ac:dyDescent="0.35">
      <c r="E2099" s="35"/>
      <c r="J2099" s="41"/>
    </row>
    <row r="2100" spans="5:10" s="34" customFormat="1" x14ac:dyDescent="0.35">
      <c r="E2100" s="35"/>
      <c r="J2100" s="41"/>
    </row>
    <row r="2101" spans="5:10" s="34" customFormat="1" x14ac:dyDescent="0.35">
      <c r="E2101" s="35"/>
      <c r="J2101" s="41"/>
    </row>
    <row r="2102" spans="5:10" s="34" customFormat="1" x14ac:dyDescent="0.35">
      <c r="E2102" s="35"/>
      <c r="J2102" s="41"/>
    </row>
    <row r="2103" spans="5:10" s="34" customFormat="1" x14ac:dyDescent="0.35">
      <c r="E2103" s="35"/>
      <c r="J2103" s="41"/>
    </row>
    <row r="2104" spans="5:10" s="34" customFormat="1" x14ac:dyDescent="0.35">
      <c r="E2104" s="35"/>
      <c r="J2104" s="41"/>
    </row>
    <row r="2105" spans="5:10" s="34" customFormat="1" x14ac:dyDescent="0.35">
      <c r="E2105" s="35"/>
      <c r="J2105" s="41"/>
    </row>
    <row r="2106" spans="5:10" s="34" customFormat="1" x14ac:dyDescent="0.35">
      <c r="E2106" s="35"/>
      <c r="J2106" s="41"/>
    </row>
    <row r="2107" spans="5:10" s="34" customFormat="1" x14ac:dyDescent="0.35">
      <c r="E2107" s="35"/>
      <c r="J2107" s="41"/>
    </row>
    <row r="2108" spans="5:10" s="34" customFormat="1" x14ac:dyDescent="0.35">
      <c r="E2108" s="35"/>
      <c r="J2108" s="41"/>
    </row>
    <row r="2109" spans="5:10" s="34" customFormat="1" x14ac:dyDescent="0.35">
      <c r="E2109" s="35"/>
      <c r="J2109" s="41"/>
    </row>
    <row r="2110" spans="5:10" s="34" customFormat="1" x14ac:dyDescent="0.35">
      <c r="E2110" s="35"/>
      <c r="J2110" s="41"/>
    </row>
    <row r="2111" spans="5:10" s="34" customFormat="1" x14ac:dyDescent="0.35">
      <c r="E2111" s="35"/>
      <c r="J2111" s="41"/>
    </row>
    <row r="2112" spans="5:10" s="34" customFormat="1" x14ac:dyDescent="0.35">
      <c r="E2112" s="35"/>
      <c r="J2112" s="41"/>
    </row>
    <row r="2113" spans="5:10" s="34" customFormat="1" x14ac:dyDescent="0.35">
      <c r="E2113" s="35"/>
      <c r="J2113" s="41"/>
    </row>
    <row r="2114" spans="5:10" s="34" customFormat="1" x14ac:dyDescent="0.35">
      <c r="E2114" s="35"/>
      <c r="J2114" s="41"/>
    </row>
    <row r="2115" spans="5:10" s="34" customFormat="1" x14ac:dyDescent="0.35">
      <c r="E2115" s="35"/>
      <c r="J2115" s="41"/>
    </row>
    <row r="2116" spans="5:10" s="34" customFormat="1" x14ac:dyDescent="0.35">
      <c r="E2116" s="35"/>
      <c r="J2116" s="41"/>
    </row>
    <row r="2117" spans="5:10" s="34" customFormat="1" x14ac:dyDescent="0.35">
      <c r="E2117" s="35"/>
      <c r="J2117" s="41"/>
    </row>
    <row r="2118" spans="5:10" s="34" customFormat="1" x14ac:dyDescent="0.35">
      <c r="E2118" s="35"/>
      <c r="J2118" s="41"/>
    </row>
    <row r="2119" spans="5:10" s="34" customFormat="1" x14ac:dyDescent="0.35">
      <c r="E2119" s="35"/>
      <c r="J2119" s="41"/>
    </row>
    <row r="2120" spans="5:10" s="34" customFormat="1" x14ac:dyDescent="0.35">
      <c r="E2120" s="35"/>
      <c r="J2120" s="41"/>
    </row>
    <row r="2121" spans="5:10" s="34" customFormat="1" x14ac:dyDescent="0.35">
      <c r="E2121" s="35"/>
      <c r="J2121" s="41"/>
    </row>
    <row r="2122" spans="5:10" s="34" customFormat="1" x14ac:dyDescent="0.35">
      <c r="E2122" s="35"/>
      <c r="J2122" s="41"/>
    </row>
    <row r="2123" spans="5:10" s="34" customFormat="1" x14ac:dyDescent="0.35">
      <c r="E2123" s="35"/>
      <c r="J2123" s="41"/>
    </row>
    <row r="2124" spans="5:10" s="34" customFormat="1" x14ac:dyDescent="0.35">
      <c r="E2124" s="35"/>
      <c r="J2124" s="41"/>
    </row>
    <row r="2125" spans="5:10" s="34" customFormat="1" x14ac:dyDescent="0.35">
      <c r="E2125" s="35"/>
      <c r="J2125" s="41"/>
    </row>
    <row r="2126" spans="5:10" s="34" customFormat="1" x14ac:dyDescent="0.35">
      <c r="E2126" s="35"/>
      <c r="J2126" s="41"/>
    </row>
    <row r="2127" spans="5:10" s="34" customFormat="1" x14ac:dyDescent="0.35">
      <c r="E2127" s="35"/>
      <c r="J2127" s="41"/>
    </row>
    <row r="2128" spans="5:10" s="34" customFormat="1" x14ac:dyDescent="0.35">
      <c r="E2128" s="35"/>
      <c r="J2128" s="41"/>
    </row>
    <row r="2129" spans="5:10" s="34" customFormat="1" x14ac:dyDescent="0.35">
      <c r="E2129" s="35"/>
      <c r="J2129" s="41"/>
    </row>
    <row r="2130" spans="5:10" s="34" customFormat="1" x14ac:dyDescent="0.35">
      <c r="E2130" s="35"/>
      <c r="J2130" s="41"/>
    </row>
    <row r="2131" spans="5:10" s="34" customFormat="1" x14ac:dyDescent="0.35">
      <c r="E2131" s="35"/>
      <c r="J2131" s="41"/>
    </row>
    <row r="2132" spans="5:10" s="34" customFormat="1" x14ac:dyDescent="0.35">
      <c r="E2132" s="35"/>
      <c r="J2132" s="41"/>
    </row>
    <row r="2133" spans="5:10" s="34" customFormat="1" x14ac:dyDescent="0.35">
      <c r="E2133" s="35"/>
      <c r="J2133" s="41"/>
    </row>
    <row r="2134" spans="5:10" s="34" customFormat="1" x14ac:dyDescent="0.35">
      <c r="E2134" s="35"/>
      <c r="J2134" s="41"/>
    </row>
    <row r="2135" spans="5:10" s="34" customFormat="1" x14ac:dyDescent="0.35">
      <c r="E2135" s="35"/>
      <c r="J2135" s="41"/>
    </row>
    <row r="2136" spans="5:10" s="34" customFormat="1" x14ac:dyDescent="0.35">
      <c r="E2136" s="35"/>
      <c r="J2136" s="41"/>
    </row>
    <row r="2137" spans="5:10" s="34" customFormat="1" x14ac:dyDescent="0.35">
      <c r="E2137" s="35"/>
      <c r="J2137" s="41"/>
    </row>
    <row r="2138" spans="5:10" s="34" customFormat="1" x14ac:dyDescent="0.35">
      <c r="E2138" s="35"/>
      <c r="J2138" s="41"/>
    </row>
    <row r="2139" spans="5:10" s="34" customFormat="1" x14ac:dyDescent="0.35">
      <c r="E2139" s="35"/>
      <c r="J2139" s="41"/>
    </row>
    <row r="2140" spans="5:10" s="34" customFormat="1" x14ac:dyDescent="0.35">
      <c r="E2140" s="35"/>
      <c r="J2140" s="41"/>
    </row>
    <row r="2141" spans="5:10" s="34" customFormat="1" x14ac:dyDescent="0.35">
      <c r="E2141" s="35"/>
      <c r="J2141" s="41"/>
    </row>
    <row r="2142" spans="5:10" s="34" customFormat="1" x14ac:dyDescent="0.35">
      <c r="E2142" s="35"/>
      <c r="J2142" s="41"/>
    </row>
    <row r="2143" spans="5:10" s="34" customFormat="1" x14ac:dyDescent="0.35">
      <c r="E2143" s="35"/>
      <c r="J2143" s="41"/>
    </row>
    <row r="2144" spans="5:10" s="34" customFormat="1" x14ac:dyDescent="0.35">
      <c r="E2144" s="35"/>
      <c r="J2144" s="41"/>
    </row>
    <row r="2145" spans="5:10" s="34" customFormat="1" x14ac:dyDescent="0.35">
      <c r="E2145" s="35"/>
      <c r="J2145" s="41"/>
    </row>
    <row r="2146" spans="5:10" s="34" customFormat="1" x14ac:dyDescent="0.35">
      <c r="E2146" s="35"/>
      <c r="J2146" s="41"/>
    </row>
    <row r="2147" spans="5:10" s="34" customFormat="1" x14ac:dyDescent="0.35">
      <c r="E2147" s="35"/>
      <c r="J2147" s="41"/>
    </row>
    <row r="2148" spans="5:10" s="34" customFormat="1" x14ac:dyDescent="0.35">
      <c r="E2148" s="35"/>
      <c r="J2148" s="41"/>
    </row>
    <row r="2149" spans="5:10" s="34" customFormat="1" x14ac:dyDescent="0.35">
      <c r="E2149" s="35"/>
      <c r="J2149" s="41"/>
    </row>
    <row r="2150" spans="5:10" s="34" customFormat="1" x14ac:dyDescent="0.35">
      <c r="E2150" s="35"/>
      <c r="J2150" s="41"/>
    </row>
    <row r="2151" spans="5:10" s="34" customFormat="1" x14ac:dyDescent="0.35">
      <c r="E2151" s="35"/>
      <c r="J2151" s="41"/>
    </row>
    <row r="2152" spans="5:10" s="34" customFormat="1" x14ac:dyDescent="0.35">
      <c r="E2152" s="35"/>
      <c r="J2152" s="41"/>
    </row>
    <row r="2153" spans="5:10" s="34" customFormat="1" x14ac:dyDescent="0.35">
      <c r="E2153" s="35"/>
      <c r="J2153" s="41"/>
    </row>
    <row r="2154" spans="5:10" s="34" customFormat="1" x14ac:dyDescent="0.35">
      <c r="E2154" s="35"/>
      <c r="J2154" s="41"/>
    </row>
    <row r="2155" spans="5:10" s="34" customFormat="1" x14ac:dyDescent="0.35">
      <c r="E2155" s="35"/>
      <c r="J2155" s="41"/>
    </row>
    <row r="2156" spans="5:10" s="34" customFormat="1" x14ac:dyDescent="0.35">
      <c r="E2156" s="35"/>
      <c r="J2156" s="41"/>
    </row>
    <row r="2157" spans="5:10" s="34" customFormat="1" x14ac:dyDescent="0.35">
      <c r="E2157" s="35"/>
      <c r="J2157" s="41"/>
    </row>
    <row r="2158" spans="5:10" s="34" customFormat="1" x14ac:dyDescent="0.35">
      <c r="E2158" s="35"/>
      <c r="J2158" s="41"/>
    </row>
    <row r="2159" spans="5:10" s="34" customFormat="1" x14ac:dyDescent="0.35">
      <c r="E2159" s="35"/>
      <c r="J2159" s="41"/>
    </row>
    <row r="2160" spans="5:10" s="34" customFormat="1" x14ac:dyDescent="0.35">
      <c r="E2160" s="35"/>
      <c r="J2160" s="41"/>
    </row>
    <row r="2161" spans="5:10" s="34" customFormat="1" x14ac:dyDescent="0.35">
      <c r="E2161" s="35"/>
      <c r="J2161" s="41"/>
    </row>
    <row r="2162" spans="5:10" s="34" customFormat="1" x14ac:dyDescent="0.35">
      <c r="E2162" s="35"/>
      <c r="J2162" s="41"/>
    </row>
    <row r="2163" spans="5:10" s="34" customFormat="1" x14ac:dyDescent="0.35">
      <c r="E2163" s="35"/>
      <c r="J2163" s="41"/>
    </row>
    <row r="2164" spans="5:10" s="34" customFormat="1" x14ac:dyDescent="0.35">
      <c r="E2164" s="35"/>
      <c r="J2164" s="41"/>
    </row>
    <row r="2165" spans="5:10" s="34" customFormat="1" x14ac:dyDescent="0.35">
      <c r="E2165" s="35"/>
      <c r="J2165" s="41"/>
    </row>
    <row r="2166" spans="5:10" s="34" customFormat="1" x14ac:dyDescent="0.35">
      <c r="E2166" s="35"/>
      <c r="J2166" s="41"/>
    </row>
    <row r="2167" spans="5:10" s="34" customFormat="1" x14ac:dyDescent="0.35">
      <c r="E2167" s="35"/>
      <c r="J2167" s="41"/>
    </row>
    <row r="2168" spans="5:10" s="34" customFormat="1" x14ac:dyDescent="0.35">
      <c r="E2168" s="35"/>
      <c r="J2168" s="41"/>
    </row>
    <row r="2169" spans="5:10" s="34" customFormat="1" x14ac:dyDescent="0.35">
      <c r="E2169" s="35"/>
      <c r="J2169" s="41"/>
    </row>
    <row r="2170" spans="5:10" s="34" customFormat="1" x14ac:dyDescent="0.35">
      <c r="E2170" s="35"/>
      <c r="J2170" s="41"/>
    </row>
    <row r="2171" spans="5:10" s="34" customFormat="1" x14ac:dyDescent="0.35">
      <c r="E2171" s="35"/>
      <c r="J2171" s="41"/>
    </row>
    <row r="2172" spans="5:10" s="34" customFormat="1" x14ac:dyDescent="0.35">
      <c r="E2172" s="35"/>
      <c r="J2172" s="41"/>
    </row>
    <row r="2173" spans="5:10" s="34" customFormat="1" x14ac:dyDescent="0.35">
      <c r="E2173" s="35"/>
      <c r="J2173" s="41"/>
    </row>
    <row r="2174" spans="5:10" s="34" customFormat="1" x14ac:dyDescent="0.35">
      <c r="E2174" s="35"/>
      <c r="J2174" s="41"/>
    </row>
    <row r="2175" spans="5:10" s="34" customFormat="1" x14ac:dyDescent="0.35">
      <c r="E2175" s="35"/>
      <c r="J2175" s="41"/>
    </row>
    <row r="2176" spans="5:10" s="34" customFormat="1" x14ac:dyDescent="0.35">
      <c r="E2176" s="35"/>
      <c r="J2176" s="41"/>
    </row>
    <row r="2177" spans="5:10" s="34" customFormat="1" x14ac:dyDescent="0.35">
      <c r="E2177" s="35"/>
      <c r="J2177" s="41"/>
    </row>
    <row r="2178" spans="5:10" s="34" customFormat="1" x14ac:dyDescent="0.35">
      <c r="E2178" s="35"/>
      <c r="J2178" s="41"/>
    </row>
    <row r="2179" spans="5:10" s="34" customFormat="1" x14ac:dyDescent="0.35">
      <c r="E2179" s="35"/>
      <c r="J2179" s="41"/>
    </row>
    <row r="2180" spans="5:10" s="34" customFormat="1" x14ac:dyDescent="0.35">
      <c r="E2180" s="35"/>
      <c r="J2180" s="41"/>
    </row>
    <row r="2181" spans="5:10" s="34" customFormat="1" x14ac:dyDescent="0.35">
      <c r="E2181" s="35"/>
      <c r="J2181" s="41"/>
    </row>
    <row r="2182" spans="5:10" s="34" customFormat="1" x14ac:dyDescent="0.35">
      <c r="E2182" s="35"/>
      <c r="J2182" s="41"/>
    </row>
    <row r="2183" spans="5:10" s="34" customFormat="1" x14ac:dyDescent="0.35">
      <c r="E2183" s="35"/>
      <c r="J2183" s="41"/>
    </row>
    <row r="2184" spans="5:10" s="34" customFormat="1" x14ac:dyDescent="0.35">
      <c r="E2184" s="35"/>
      <c r="J2184" s="41"/>
    </row>
    <row r="2185" spans="5:10" s="34" customFormat="1" x14ac:dyDescent="0.35">
      <c r="E2185" s="35"/>
      <c r="J2185" s="41"/>
    </row>
    <row r="2186" spans="5:10" s="34" customFormat="1" x14ac:dyDescent="0.35">
      <c r="E2186" s="35"/>
      <c r="J2186" s="41"/>
    </row>
    <row r="2187" spans="5:10" s="34" customFormat="1" x14ac:dyDescent="0.35">
      <c r="E2187" s="35"/>
      <c r="J2187" s="41"/>
    </row>
    <row r="2188" spans="5:10" s="34" customFormat="1" x14ac:dyDescent="0.35">
      <c r="E2188" s="35"/>
      <c r="J2188" s="41"/>
    </row>
    <row r="2189" spans="5:10" s="34" customFormat="1" x14ac:dyDescent="0.35">
      <c r="E2189" s="35"/>
      <c r="J2189" s="41"/>
    </row>
    <row r="2190" spans="5:10" s="34" customFormat="1" x14ac:dyDescent="0.35">
      <c r="E2190" s="35"/>
      <c r="J2190" s="41"/>
    </row>
    <row r="2191" spans="5:10" s="34" customFormat="1" x14ac:dyDescent="0.35">
      <c r="E2191" s="35"/>
      <c r="J2191" s="41"/>
    </row>
    <row r="2192" spans="5:10" s="34" customFormat="1" x14ac:dyDescent="0.35">
      <c r="E2192" s="35"/>
      <c r="J2192" s="41"/>
    </row>
    <row r="2193" spans="5:10" s="34" customFormat="1" x14ac:dyDescent="0.35">
      <c r="E2193" s="35"/>
      <c r="J2193" s="41"/>
    </row>
    <row r="2194" spans="5:10" s="34" customFormat="1" x14ac:dyDescent="0.35">
      <c r="E2194" s="35"/>
      <c r="J2194" s="41"/>
    </row>
    <row r="2195" spans="5:10" s="34" customFormat="1" x14ac:dyDescent="0.35">
      <c r="E2195" s="35"/>
      <c r="J2195" s="41"/>
    </row>
    <row r="2196" spans="5:10" s="34" customFormat="1" x14ac:dyDescent="0.35">
      <c r="E2196" s="35"/>
      <c r="J2196" s="41"/>
    </row>
    <row r="2197" spans="5:10" s="34" customFormat="1" x14ac:dyDescent="0.35">
      <c r="E2197" s="35"/>
      <c r="J2197" s="41"/>
    </row>
    <row r="2198" spans="5:10" s="34" customFormat="1" x14ac:dyDescent="0.35">
      <c r="E2198" s="35"/>
      <c r="J2198" s="41"/>
    </row>
    <row r="2199" spans="5:10" s="34" customFormat="1" x14ac:dyDescent="0.35">
      <c r="E2199" s="35"/>
      <c r="J2199" s="41"/>
    </row>
    <row r="2200" spans="5:10" s="34" customFormat="1" x14ac:dyDescent="0.35">
      <c r="E2200" s="35"/>
      <c r="J2200" s="41"/>
    </row>
    <row r="2201" spans="5:10" s="34" customFormat="1" x14ac:dyDescent="0.35">
      <c r="E2201" s="35"/>
      <c r="J2201" s="41"/>
    </row>
    <row r="2202" spans="5:10" s="34" customFormat="1" x14ac:dyDescent="0.35">
      <c r="E2202" s="35"/>
      <c r="J2202" s="41"/>
    </row>
    <row r="2203" spans="5:10" s="34" customFormat="1" x14ac:dyDescent="0.35">
      <c r="E2203" s="35"/>
      <c r="J2203" s="41"/>
    </row>
    <row r="2204" spans="5:10" s="34" customFormat="1" x14ac:dyDescent="0.35">
      <c r="E2204" s="35"/>
      <c r="J2204" s="41"/>
    </row>
    <row r="2205" spans="5:10" s="34" customFormat="1" x14ac:dyDescent="0.35">
      <c r="E2205" s="35"/>
      <c r="J2205" s="41"/>
    </row>
    <row r="2206" spans="5:10" s="34" customFormat="1" x14ac:dyDescent="0.35">
      <c r="E2206" s="35"/>
      <c r="J2206" s="41"/>
    </row>
    <row r="2207" spans="5:10" s="34" customFormat="1" x14ac:dyDescent="0.35">
      <c r="E2207" s="35"/>
      <c r="J2207" s="41"/>
    </row>
    <row r="2208" spans="5:10" s="34" customFormat="1" x14ac:dyDescent="0.35">
      <c r="E2208" s="35"/>
      <c r="J2208" s="41"/>
    </row>
    <row r="2209" spans="5:10" s="34" customFormat="1" x14ac:dyDescent="0.35">
      <c r="E2209" s="35"/>
      <c r="J2209" s="41"/>
    </row>
    <row r="2210" spans="5:10" s="34" customFormat="1" x14ac:dyDescent="0.35">
      <c r="E2210" s="35"/>
      <c r="J2210" s="41"/>
    </row>
    <row r="2211" spans="5:10" s="34" customFormat="1" x14ac:dyDescent="0.35">
      <c r="E2211" s="35"/>
      <c r="J2211" s="41"/>
    </row>
    <row r="2212" spans="5:10" s="34" customFormat="1" x14ac:dyDescent="0.35">
      <c r="E2212" s="35"/>
      <c r="J2212" s="41"/>
    </row>
    <row r="2213" spans="5:10" s="34" customFormat="1" x14ac:dyDescent="0.35">
      <c r="E2213" s="35"/>
      <c r="J2213" s="41"/>
    </row>
    <row r="2214" spans="5:10" s="34" customFormat="1" x14ac:dyDescent="0.35">
      <c r="E2214" s="35"/>
      <c r="J2214" s="41"/>
    </row>
    <row r="2215" spans="5:10" s="34" customFormat="1" x14ac:dyDescent="0.35">
      <c r="E2215" s="35"/>
      <c r="J2215" s="41"/>
    </row>
    <row r="2216" spans="5:10" s="34" customFormat="1" x14ac:dyDescent="0.35">
      <c r="E2216" s="35"/>
      <c r="J2216" s="41"/>
    </row>
    <row r="2217" spans="5:10" s="34" customFormat="1" x14ac:dyDescent="0.35">
      <c r="E2217" s="35"/>
      <c r="J2217" s="41"/>
    </row>
    <row r="2218" spans="5:10" s="34" customFormat="1" x14ac:dyDescent="0.35">
      <c r="E2218" s="35"/>
      <c r="J2218" s="41"/>
    </row>
    <row r="2219" spans="5:10" s="34" customFormat="1" x14ac:dyDescent="0.35">
      <c r="E2219" s="35"/>
      <c r="J2219" s="41"/>
    </row>
    <row r="2220" spans="5:10" s="34" customFormat="1" x14ac:dyDescent="0.35">
      <c r="E2220" s="35"/>
      <c r="J2220" s="41"/>
    </row>
    <row r="2221" spans="5:10" s="34" customFormat="1" x14ac:dyDescent="0.35">
      <c r="E2221" s="35"/>
      <c r="J2221" s="41"/>
    </row>
    <row r="2222" spans="5:10" s="34" customFormat="1" x14ac:dyDescent="0.35">
      <c r="E2222" s="35"/>
      <c r="J2222" s="41"/>
    </row>
    <row r="2223" spans="5:10" s="34" customFormat="1" x14ac:dyDescent="0.35">
      <c r="E2223" s="35"/>
      <c r="J2223" s="41"/>
    </row>
    <row r="2224" spans="5:10" s="34" customFormat="1" x14ac:dyDescent="0.35">
      <c r="E2224" s="35"/>
      <c r="J2224" s="41"/>
    </row>
    <row r="2225" spans="5:10" s="34" customFormat="1" x14ac:dyDescent="0.35">
      <c r="E2225" s="35"/>
      <c r="J2225" s="41"/>
    </row>
    <row r="2226" spans="5:10" s="34" customFormat="1" x14ac:dyDescent="0.35">
      <c r="E2226" s="35"/>
      <c r="J2226" s="41"/>
    </row>
    <row r="2227" spans="5:10" s="34" customFormat="1" x14ac:dyDescent="0.35">
      <c r="E2227" s="35"/>
      <c r="J2227" s="41"/>
    </row>
    <row r="2228" spans="5:10" s="34" customFormat="1" x14ac:dyDescent="0.35">
      <c r="E2228" s="35"/>
      <c r="J2228" s="41"/>
    </row>
    <row r="2229" spans="5:10" s="34" customFormat="1" x14ac:dyDescent="0.35">
      <c r="E2229" s="35"/>
      <c r="J2229" s="41"/>
    </row>
    <row r="2230" spans="5:10" s="34" customFormat="1" x14ac:dyDescent="0.35">
      <c r="E2230" s="35"/>
      <c r="J2230" s="41"/>
    </row>
    <row r="2231" spans="5:10" s="34" customFormat="1" x14ac:dyDescent="0.35">
      <c r="E2231" s="35"/>
      <c r="J2231" s="41"/>
    </row>
    <row r="2232" spans="5:10" s="34" customFormat="1" x14ac:dyDescent="0.35">
      <c r="E2232" s="35"/>
      <c r="J2232" s="41"/>
    </row>
    <row r="2233" spans="5:10" s="34" customFormat="1" x14ac:dyDescent="0.35">
      <c r="E2233" s="35"/>
      <c r="J2233" s="41"/>
    </row>
    <row r="2234" spans="5:10" s="34" customFormat="1" x14ac:dyDescent="0.35">
      <c r="E2234" s="35"/>
      <c r="J2234" s="41"/>
    </row>
    <row r="2235" spans="5:10" s="34" customFormat="1" x14ac:dyDescent="0.35">
      <c r="E2235" s="35"/>
      <c r="J2235" s="41"/>
    </row>
    <row r="2236" spans="5:10" s="34" customFormat="1" x14ac:dyDescent="0.35">
      <c r="E2236" s="35"/>
      <c r="J2236" s="41"/>
    </row>
    <row r="2237" spans="5:10" s="34" customFormat="1" x14ac:dyDescent="0.35">
      <c r="E2237" s="35"/>
      <c r="J2237" s="41"/>
    </row>
    <row r="2238" spans="5:10" s="34" customFormat="1" x14ac:dyDescent="0.35">
      <c r="E2238" s="35"/>
      <c r="J2238" s="41"/>
    </row>
    <row r="2239" spans="5:10" s="34" customFormat="1" x14ac:dyDescent="0.35">
      <c r="E2239" s="35"/>
      <c r="J2239" s="41"/>
    </row>
    <row r="2240" spans="5:10" s="34" customFormat="1" x14ac:dyDescent="0.35">
      <c r="E2240" s="35"/>
      <c r="J2240" s="41"/>
    </row>
    <row r="2241" spans="5:10" s="34" customFormat="1" x14ac:dyDescent="0.35">
      <c r="E2241" s="35"/>
      <c r="J2241" s="41"/>
    </row>
    <row r="2242" spans="5:10" s="34" customFormat="1" x14ac:dyDescent="0.35">
      <c r="E2242" s="35"/>
      <c r="J2242" s="41"/>
    </row>
    <row r="2243" spans="5:10" s="34" customFormat="1" x14ac:dyDescent="0.35">
      <c r="E2243" s="35"/>
      <c r="J2243" s="41"/>
    </row>
    <row r="2244" spans="5:10" s="34" customFormat="1" x14ac:dyDescent="0.35">
      <c r="E2244" s="35"/>
      <c r="J2244" s="41"/>
    </row>
    <row r="2245" spans="5:10" s="34" customFormat="1" x14ac:dyDescent="0.35">
      <c r="E2245" s="35"/>
      <c r="J2245" s="41"/>
    </row>
    <row r="2246" spans="5:10" s="34" customFormat="1" x14ac:dyDescent="0.35">
      <c r="E2246" s="35"/>
      <c r="J2246" s="41"/>
    </row>
    <row r="2247" spans="5:10" s="34" customFormat="1" x14ac:dyDescent="0.35">
      <c r="E2247" s="35"/>
      <c r="J2247" s="41"/>
    </row>
    <row r="2248" spans="5:10" s="34" customFormat="1" x14ac:dyDescent="0.35">
      <c r="E2248" s="35"/>
      <c r="J2248" s="41"/>
    </row>
    <row r="2249" spans="5:10" s="34" customFormat="1" x14ac:dyDescent="0.35">
      <c r="E2249" s="35"/>
      <c r="J2249" s="41"/>
    </row>
    <row r="2250" spans="5:10" s="34" customFormat="1" x14ac:dyDescent="0.35">
      <c r="E2250" s="35"/>
      <c r="J2250" s="41"/>
    </row>
    <row r="2251" spans="5:10" s="34" customFormat="1" x14ac:dyDescent="0.35">
      <c r="E2251" s="35"/>
      <c r="J2251" s="41"/>
    </row>
    <row r="2252" spans="5:10" s="34" customFormat="1" x14ac:dyDescent="0.35">
      <c r="E2252" s="35"/>
      <c r="J2252" s="41"/>
    </row>
    <row r="2253" spans="5:10" s="34" customFormat="1" x14ac:dyDescent="0.35">
      <c r="E2253" s="35"/>
      <c r="J2253" s="41"/>
    </row>
    <row r="2254" spans="5:10" s="34" customFormat="1" x14ac:dyDescent="0.35">
      <c r="E2254" s="35"/>
      <c r="J2254" s="41"/>
    </row>
    <row r="2255" spans="5:10" s="34" customFormat="1" x14ac:dyDescent="0.35">
      <c r="E2255" s="35"/>
      <c r="J2255" s="41"/>
    </row>
    <row r="2256" spans="5:10" s="34" customFormat="1" x14ac:dyDescent="0.35">
      <c r="E2256" s="35"/>
      <c r="J2256" s="41"/>
    </row>
    <row r="2257" spans="5:10" s="34" customFormat="1" x14ac:dyDescent="0.35">
      <c r="E2257" s="35"/>
      <c r="J2257" s="41"/>
    </row>
    <row r="2258" spans="5:10" s="34" customFormat="1" x14ac:dyDescent="0.35">
      <c r="E2258" s="35"/>
      <c r="J2258" s="41"/>
    </row>
    <row r="2259" spans="5:10" s="34" customFormat="1" x14ac:dyDescent="0.35">
      <c r="E2259" s="35"/>
      <c r="J2259" s="41"/>
    </row>
    <row r="2260" spans="5:10" s="34" customFormat="1" x14ac:dyDescent="0.35">
      <c r="E2260" s="35"/>
      <c r="J2260" s="41"/>
    </row>
    <row r="2261" spans="5:10" s="34" customFormat="1" x14ac:dyDescent="0.35">
      <c r="E2261" s="35"/>
      <c r="J2261" s="41"/>
    </row>
    <row r="2262" spans="5:10" s="34" customFormat="1" x14ac:dyDescent="0.35">
      <c r="E2262" s="35"/>
      <c r="J2262" s="41"/>
    </row>
    <row r="2263" spans="5:10" s="34" customFormat="1" x14ac:dyDescent="0.35">
      <c r="E2263" s="35"/>
      <c r="J2263" s="41"/>
    </row>
    <row r="2264" spans="5:10" s="34" customFormat="1" x14ac:dyDescent="0.35">
      <c r="E2264" s="35"/>
      <c r="J2264" s="41"/>
    </row>
    <row r="2265" spans="5:10" s="34" customFormat="1" x14ac:dyDescent="0.35">
      <c r="E2265" s="35"/>
      <c r="J2265" s="41"/>
    </row>
    <row r="2266" spans="5:10" s="34" customFormat="1" x14ac:dyDescent="0.35">
      <c r="E2266" s="35"/>
      <c r="J2266" s="41"/>
    </row>
    <row r="2267" spans="5:10" s="34" customFormat="1" x14ac:dyDescent="0.35">
      <c r="E2267" s="35"/>
      <c r="J2267" s="41"/>
    </row>
    <row r="2268" spans="5:10" s="34" customFormat="1" x14ac:dyDescent="0.35">
      <c r="E2268" s="35"/>
      <c r="J2268" s="41"/>
    </row>
    <row r="2269" spans="5:10" s="34" customFormat="1" x14ac:dyDescent="0.35">
      <c r="E2269" s="35"/>
      <c r="J2269" s="41"/>
    </row>
    <row r="2270" spans="5:10" s="34" customFormat="1" x14ac:dyDescent="0.35">
      <c r="E2270" s="35"/>
      <c r="J2270" s="41"/>
    </row>
    <row r="2271" spans="5:10" s="34" customFormat="1" x14ac:dyDescent="0.35">
      <c r="E2271" s="35"/>
      <c r="J2271" s="41"/>
    </row>
    <row r="2272" spans="5:10" s="34" customFormat="1" x14ac:dyDescent="0.35">
      <c r="E2272" s="35"/>
      <c r="J2272" s="41"/>
    </row>
    <row r="2273" spans="5:10" s="34" customFormat="1" x14ac:dyDescent="0.35">
      <c r="E2273" s="35"/>
      <c r="J2273" s="41"/>
    </row>
    <row r="2274" spans="5:10" s="34" customFormat="1" x14ac:dyDescent="0.35">
      <c r="E2274" s="35"/>
      <c r="J2274" s="41"/>
    </row>
    <row r="2275" spans="5:10" s="34" customFormat="1" x14ac:dyDescent="0.35">
      <c r="E2275" s="35"/>
      <c r="J2275" s="41"/>
    </row>
    <row r="2276" spans="5:10" s="34" customFormat="1" x14ac:dyDescent="0.35">
      <c r="E2276" s="35"/>
      <c r="J2276" s="41"/>
    </row>
    <row r="2277" spans="5:10" s="34" customFormat="1" x14ac:dyDescent="0.35">
      <c r="E2277" s="35"/>
      <c r="J2277" s="41"/>
    </row>
    <row r="2278" spans="5:10" s="34" customFormat="1" x14ac:dyDescent="0.35">
      <c r="E2278" s="35"/>
      <c r="J2278" s="41"/>
    </row>
    <row r="2279" spans="5:10" s="34" customFormat="1" x14ac:dyDescent="0.35">
      <c r="E2279" s="35"/>
      <c r="J2279" s="41"/>
    </row>
    <row r="2280" spans="5:10" s="34" customFormat="1" x14ac:dyDescent="0.35">
      <c r="E2280" s="35"/>
      <c r="J2280" s="41"/>
    </row>
    <row r="2281" spans="5:10" s="34" customFormat="1" x14ac:dyDescent="0.35">
      <c r="E2281" s="35"/>
      <c r="J2281" s="41"/>
    </row>
    <row r="2282" spans="5:10" s="34" customFormat="1" x14ac:dyDescent="0.35">
      <c r="E2282" s="35"/>
      <c r="J2282" s="41"/>
    </row>
    <row r="2283" spans="5:10" s="34" customFormat="1" x14ac:dyDescent="0.35">
      <c r="E2283" s="35"/>
      <c r="J2283" s="41"/>
    </row>
    <row r="2284" spans="5:10" s="34" customFormat="1" x14ac:dyDescent="0.35">
      <c r="E2284" s="35"/>
      <c r="J2284" s="41"/>
    </row>
    <row r="2285" spans="5:10" s="34" customFormat="1" x14ac:dyDescent="0.35">
      <c r="E2285" s="35"/>
      <c r="J2285" s="41"/>
    </row>
    <row r="2286" spans="5:10" s="34" customFormat="1" x14ac:dyDescent="0.35">
      <c r="E2286" s="35"/>
      <c r="J2286" s="41"/>
    </row>
    <row r="2287" spans="5:10" s="34" customFormat="1" x14ac:dyDescent="0.35">
      <c r="E2287" s="35"/>
      <c r="J2287" s="41"/>
    </row>
    <row r="2288" spans="5:10" s="34" customFormat="1" x14ac:dyDescent="0.35">
      <c r="E2288" s="35"/>
      <c r="J2288" s="41"/>
    </row>
    <row r="2289" spans="5:10" s="34" customFormat="1" x14ac:dyDescent="0.35">
      <c r="E2289" s="35"/>
      <c r="J2289" s="41"/>
    </row>
    <row r="2290" spans="5:10" s="34" customFormat="1" x14ac:dyDescent="0.35">
      <c r="E2290" s="35"/>
      <c r="J2290" s="41"/>
    </row>
    <row r="2291" spans="5:10" s="34" customFormat="1" x14ac:dyDescent="0.35">
      <c r="E2291" s="35"/>
      <c r="J2291" s="41"/>
    </row>
    <row r="2292" spans="5:10" s="34" customFormat="1" x14ac:dyDescent="0.35">
      <c r="E2292" s="35"/>
      <c r="J2292" s="41"/>
    </row>
    <row r="2293" spans="5:10" s="34" customFormat="1" x14ac:dyDescent="0.35">
      <c r="E2293" s="35"/>
      <c r="J2293" s="41"/>
    </row>
    <row r="2294" spans="5:10" s="34" customFormat="1" x14ac:dyDescent="0.35">
      <c r="E2294" s="35"/>
      <c r="J2294" s="41"/>
    </row>
    <row r="2295" spans="5:10" s="34" customFormat="1" x14ac:dyDescent="0.35">
      <c r="E2295" s="35"/>
      <c r="J2295" s="41"/>
    </row>
    <row r="2296" spans="5:10" s="34" customFormat="1" x14ac:dyDescent="0.35">
      <c r="E2296" s="35"/>
      <c r="J2296" s="41"/>
    </row>
    <row r="2297" spans="5:10" s="34" customFormat="1" x14ac:dyDescent="0.35">
      <c r="E2297" s="35"/>
      <c r="J2297" s="41"/>
    </row>
    <row r="2298" spans="5:10" s="34" customFormat="1" x14ac:dyDescent="0.35">
      <c r="E2298" s="35"/>
      <c r="J2298" s="41"/>
    </row>
    <row r="2299" spans="5:10" s="34" customFormat="1" x14ac:dyDescent="0.35">
      <c r="E2299" s="35"/>
      <c r="J2299" s="41"/>
    </row>
    <row r="2300" spans="5:10" s="34" customFormat="1" x14ac:dyDescent="0.35">
      <c r="E2300" s="35"/>
      <c r="J2300" s="41"/>
    </row>
    <row r="2301" spans="5:10" s="34" customFormat="1" x14ac:dyDescent="0.35">
      <c r="E2301" s="35"/>
      <c r="J2301" s="41"/>
    </row>
    <row r="2302" spans="5:10" s="34" customFormat="1" x14ac:dyDescent="0.35">
      <c r="E2302" s="35"/>
      <c r="J2302" s="41"/>
    </row>
    <row r="2303" spans="5:10" s="34" customFormat="1" x14ac:dyDescent="0.35">
      <c r="E2303" s="35"/>
      <c r="J2303" s="41"/>
    </row>
    <row r="2304" spans="5:10" s="34" customFormat="1" x14ac:dyDescent="0.35">
      <c r="E2304" s="35"/>
      <c r="J2304" s="41"/>
    </row>
    <row r="2305" spans="5:10" s="34" customFormat="1" x14ac:dyDescent="0.35">
      <c r="E2305" s="35"/>
      <c r="J2305" s="41"/>
    </row>
    <row r="2306" spans="5:10" s="34" customFormat="1" x14ac:dyDescent="0.35">
      <c r="E2306" s="35"/>
      <c r="J2306" s="41"/>
    </row>
    <row r="2307" spans="5:10" s="34" customFormat="1" x14ac:dyDescent="0.35">
      <c r="E2307" s="35"/>
      <c r="J2307" s="41"/>
    </row>
    <row r="2308" spans="5:10" s="34" customFormat="1" x14ac:dyDescent="0.35">
      <c r="E2308" s="35"/>
      <c r="J2308" s="41"/>
    </row>
    <row r="2309" spans="5:10" s="34" customFormat="1" x14ac:dyDescent="0.35">
      <c r="E2309" s="35"/>
      <c r="J2309" s="41"/>
    </row>
    <row r="2310" spans="5:10" s="34" customFormat="1" x14ac:dyDescent="0.35">
      <c r="E2310" s="35"/>
      <c r="J2310" s="41"/>
    </row>
    <row r="2311" spans="5:10" s="34" customFormat="1" x14ac:dyDescent="0.35">
      <c r="E2311" s="35"/>
      <c r="J2311" s="41"/>
    </row>
    <row r="2312" spans="5:10" s="34" customFormat="1" x14ac:dyDescent="0.35">
      <c r="E2312" s="35"/>
      <c r="J2312" s="41"/>
    </row>
    <row r="2313" spans="5:10" s="34" customFormat="1" x14ac:dyDescent="0.35">
      <c r="E2313" s="35"/>
      <c r="J2313" s="41"/>
    </row>
    <row r="2314" spans="5:10" s="34" customFormat="1" x14ac:dyDescent="0.35">
      <c r="E2314" s="35"/>
      <c r="J2314" s="41"/>
    </row>
    <row r="2315" spans="5:10" s="34" customFormat="1" x14ac:dyDescent="0.35">
      <c r="E2315" s="35"/>
      <c r="J2315" s="41"/>
    </row>
    <row r="2316" spans="5:10" s="34" customFormat="1" x14ac:dyDescent="0.35">
      <c r="E2316" s="35"/>
      <c r="J2316" s="41"/>
    </row>
    <row r="2317" spans="5:10" s="34" customFormat="1" x14ac:dyDescent="0.35">
      <c r="E2317" s="35"/>
      <c r="J2317" s="41"/>
    </row>
    <row r="2318" spans="5:10" s="34" customFormat="1" x14ac:dyDescent="0.35">
      <c r="E2318" s="35"/>
      <c r="J2318" s="41"/>
    </row>
    <row r="2319" spans="5:10" s="34" customFormat="1" x14ac:dyDescent="0.35">
      <c r="E2319" s="35"/>
      <c r="J2319" s="41"/>
    </row>
    <row r="2320" spans="5:10" s="34" customFormat="1" x14ac:dyDescent="0.35">
      <c r="E2320" s="35"/>
      <c r="J2320" s="41"/>
    </row>
    <row r="2321" spans="5:10" s="34" customFormat="1" x14ac:dyDescent="0.35">
      <c r="E2321" s="35"/>
      <c r="J2321" s="41"/>
    </row>
    <row r="2322" spans="5:10" s="34" customFormat="1" x14ac:dyDescent="0.35">
      <c r="E2322" s="35"/>
      <c r="J2322" s="41"/>
    </row>
    <row r="2323" spans="5:10" s="34" customFormat="1" x14ac:dyDescent="0.35">
      <c r="E2323" s="35"/>
      <c r="J2323" s="41"/>
    </row>
    <row r="2324" spans="5:10" s="34" customFormat="1" x14ac:dyDescent="0.35">
      <c r="E2324" s="35"/>
      <c r="J2324" s="41"/>
    </row>
    <row r="2325" spans="5:10" s="34" customFormat="1" x14ac:dyDescent="0.35">
      <c r="E2325" s="35"/>
      <c r="J2325" s="41"/>
    </row>
    <row r="2326" spans="5:10" s="34" customFormat="1" x14ac:dyDescent="0.35">
      <c r="E2326" s="35"/>
      <c r="J2326" s="41"/>
    </row>
    <row r="2327" spans="5:10" s="34" customFormat="1" x14ac:dyDescent="0.35">
      <c r="E2327" s="35"/>
      <c r="J2327" s="41"/>
    </row>
    <row r="2328" spans="5:10" s="34" customFormat="1" x14ac:dyDescent="0.35">
      <c r="E2328" s="35"/>
      <c r="J2328" s="41"/>
    </row>
    <row r="2329" spans="5:10" s="34" customFormat="1" x14ac:dyDescent="0.35">
      <c r="E2329" s="35"/>
      <c r="J2329" s="41"/>
    </row>
    <row r="2330" spans="5:10" s="34" customFormat="1" x14ac:dyDescent="0.35">
      <c r="E2330" s="35"/>
      <c r="J2330" s="41"/>
    </row>
    <row r="2331" spans="5:10" s="34" customFormat="1" x14ac:dyDescent="0.35">
      <c r="E2331" s="35"/>
      <c r="J2331" s="41"/>
    </row>
    <row r="2332" spans="5:10" s="34" customFormat="1" x14ac:dyDescent="0.35">
      <c r="E2332" s="35"/>
      <c r="J2332" s="41"/>
    </row>
    <row r="2333" spans="5:10" s="34" customFormat="1" x14ac:dyDescent="0.35">
      <c r="E2333" s="35"/>
      <c r="J2333" s="41"/>
    </row>
    <row r="2334" spans="5:10" s="34" customFormat="1" x14ac:dyDescent="0.35">
      <c r="E2334" s="35"/>
      <c r="J2334" s="41"/>
    </row>
    <row r="2335" spans="5:10" s="34" customFormat="1" x14ac:dyDescent="0.35">
      <c r="E2335" s="35"/>
      <c r="J2335" s="41"/>
    </row>
    <row r="2336" spans="5:10" s="34" customFormat="1" x14ac:dyDescent="0.35">
      <c r="E2336" s="35"/>
      <c r="J2336" s="41"/>
    </row>
    <row r="2337" spans="5:10" s="34" customFormat="1" x14ac:dyDescent="0.35">
      <c r="E2337" s="35"/>
      <c r="J2337" s="41"/>
    </row>
    <row r="2338" spans="5:10" s="34" customFormat="1" x14ac:dyDescent="0.35">
      <c r="E2338" s="35"/>
      <c r="J2338" s="41"/>
    </row>
    <row r="2339" spans="5:10" s="34" customFormat="1" x14ac:dyDescent="0.35">
      <c r="E2339" s="35"/>
      <c r="J2339" s="41"/>
    </row>
    <row r="2340" spans="5:10" s="34" customFormat="1" x14ac:dyDescent="0.35">
      <c r="E2340" s="35"/>
      <c r="J2340" s="41"/>
    </row>
    <row r="2341" spans="5:10" s="34" customFormat="1" x14ac:dyDescent="0.35">
      <c r="E2341" s="35"/>
      <c r="J2341" s="41"/>
    </row>
    <row r="2342" spans="5:10" s="34" customFormat="1" x14ac:dyDescent="0.35">
      <c r="E2342" s="35"/>
      <c r="J2342" s="41"/>
    </row>
    <row r="2343" spans="5:10" s="34" customFormat="1" x14ac:dyDescent="0.35">
      <c r="E2343" s="35"/>
      <c r="J2343" s="41"/>
    </row>
    <row r="2344" spans="5:10" s="34" customFormat="1" x14ac:dyDescent="0.35">
      <c r="E2344" s="35"/>
      <c r="J2344" s="41"/>
    </row>
    <row r="2345" spans="5:10" s="34" customFormat="1" x14ac:dyDescent="0.35">
      <c r="E2345" s="35"/>
      <c r="J2345" s="41"/>
    </row>
    <row r="2346" spans="5:10" s="34" customFormat="1" x14ac:dyDescent="0.35">
      <c r="E2346" s="35"/>
      <c r="J2346" s="41"/>
    </row>
    <row r="2347" spans="5:10" s="34" customFormat="1" x14ac:dyDescent="0.35">
      <c r="E2347" s="35"/>
      <c r="J2347" s="41"/>
    </row>
    <row r="2348" spans="5:10" s="34" customFormat="1" x14ac:dyDescent="0.35">
      <c r="E2348" s="35"/>
      <c r="J2348" s="41"/>
    </row>
    <row r="2349" spans="5:10" s="34" customFormat="1" x14ac:dyDescent="0.35">
      <c r="E2349" s="35"/>
      <c r="J2349" s="41"/>
    </row>
    <row r="2350" spans="5:10" s="34" customFormat="1" x14ac:dyDescent="0.35">
      <c r="E2350" s="35"/>
      <c r="J2350" s="41"/>
    </row>
    <row r="2351" spans="5:10" s="34" customFormat="1" x14ac:dyDescent="0.35">
      <c r="E2351" s="35"/>
      <c r="J2351" s="41"/>
    </row>
    <row r="2352" spans="5:10" s="34" customFormat="1" x14ac:dyDescent="0.35">
      <c r="E2352" s="35"/>
      <c r="J2352" s="41"/>
    </row>
    <row r="2353" spans="5:10" s="34" customFormat="1" x14ac:dyDescent="0.35">
      <c r="E2353" s="35"/>
      <c r="J2353" s="41"/>
    </row>
    <row r="2354" spans="5:10" s="34" customFormat="1" x14ac:dyDescent="0.35">
      <c r="E2354" s="35"/>
      <c r="J2354" s="41"/>
    </row>
    <row r="2355" spans="5:10" s="34" customFormat="1" x14ac:dyDescent="0.35">
      <c r="E2355" s="35"/>
      <c r="J2355" s="41"/>
    </row>
    <row r="2356" spans="5:10" s="34" customFormat="1" x14ac:dyDescent="0.35">
      <c r="E2356" s="35"/>
      <c r="J2356" s="41"/>
    </row>
    <row r="2357" spans="5:10" s="34" customFormat="1" x14ac:dyDescent="0.35">
      <c r="E2357" s="35"/>
      <c r="J2357" s="41"/>
    </row>
    <row r="2358" spans="5:10" s="34" customFormat="1" x14ac:dyDescent="0.35">
      <c r="E2358" s="35"/>
      <c r="J2358" s="41"/>
    </row>
    <row r="2359" spans="5:10" s="34" customFormat="1" x14ac:dyDescent="0.35">
      <c r="E2359" s="35"/>
      <c r="J2359" s="41"/>
    </row>
    <row r="2360" spans="5:10" s="34" customFormat="1" x14ac:dyDescent="0.35">
      <c r="E2360" s="35"/>
      <c r="J2360" s="41"/>
    </row>
    <row r="2361" spans="5:10" s="34" customFormat="1" x14ac:dyDescent="0.35">
      <c r="E2361" s="35"/>
      <c r="J2361" s="41"/>
    </row>
    <row r="2362" spans="5:10" s="34" customFormat="1" x14ac:dyDescent="0.35">
      <c r="E2362" s="35"/>
      <c r="J2362" s="41"/>
    </row>
    <row r="2363" spans="5:10" s="34" customFormat="1" x14ac:dyDescent="0.35">
      <c r="E2363" s="35"/>
      <c r="J2363" s="41"/>
    </row>
    <row r="2364" spans="5:10" s="34" customFormat="1" x14ac:dyDescent="0.35">
      <c r="E2364" s="35"/>
      <c r="J2364" s="41"/>
    </row>
    <row r="2365" spans="5:10" s="34" customFormat="1" x14ac:dyDescent="0.35">
      <c r="E2365" s="35"/>
      <c r="J2365" s="41"/>
    </row>
    <row r="2366" spans="5:10" s="34" customFormat="1" x14ac:dyDescent="0.35">
      <c r="E2366" s="35"/>
      <c r="J2366" s="41"/>
    </row>
    <row r="2367" spans="5:10" s="34" customFormat="1" x14ac:dyDescent="0.35">
      <c r="E2367" s="35"/>
      <c r="J2367" s="41"/>
    </row>
    <row r="2368" spans="5:10" s="34" customFormat="1" x14ac:dyDescent="0.35">
      <c r="E2368" s="35"/>
      <c r="J2368" s="41"/>
    </row>
    <row r="2369" spans="5:10" s="34" customFormat="1" x14ac:dyDescent="0.35">
      <c r="E2369" s="35"/>
      <c r="J2369" s="41"/>
    </row>
    <row r="2370" spans="5:10" s="34" customFormat="1" x14ac:dyDescent="0.35">
      <c r="E2370" s="35"/>
      <c r="J2370" s="41"/>
    </row>
    <row r="2371" spans="5:10" s="34" customFormat="1" x14ac:dyDescent="0.35">
      <c r="E2371" s="35"/>
      <c r="J2371" s="41"/>
    </row>
    <row r="2372" spans="5:10" s="34" customFormat="1" x14ac:dyDescent="0.35">
      <c r="E2372" s="35"/>
      <c r="J2372" s="41"/>
    </row>
    <row r="2373" spans="5:10" s="34" customFormat="1" x14ac:dyDescent="0.35">
      <c r="E2373" s="35"/>
      <c r="J2373" s="41"/>
    </row>
    <row r="2374" spans="5:10" s="34" customFormat="1" x14ac:dyDescent="0.35">
      <c r="E2374" s="35"/>
      <c r="J2374" s="41"/>
    </row>
    <row r="2375" spans="5:10" s="34" customFormat="1" x14ac:dyDescent="0.35">
      <c r="E2375" s="35"/>
      <c r="J2375" s="41"/>
    </row>
    <row r="2376" spans="5:10" s="34" customFormat="1" x14ac:dyDescent="0.35">
      <c r="E2376" s="35"/>
      <c r="J2376" s="41"/>
    </row>
    <row r="2377" spans="5:10" s="34" customFormat="1" x14ac:dyDescent="0.35">
      <c r="E2377" s="35"/>
      <c r="J2377" s="41"/>
    </row>
    <row r="2378" spans="5:10" s="34" customFormat="1" x14ac:dyDescent="0.35">
      <c r="E2378" s="35"/>
      <c r="J2378" s="41"/>
    </row>
    <row r="2379" spans="5:10" s="34" customFormat="1" x14ac:dyDescent="0.35">
      <c r="E2379" s="35"/>
      <c r="J2379" s="41"/>
    </row>
    <row r="2380" spans="5:10" s="34" customFormat="1" x14ac:dyDescent="0.35">
      <c r="E2380" s="35"/>
      <c r="J2380" s="41"/>
    </row>
    <row r="2381" spans="5:10" s="34" customFormat="1" x14ac:dyDescent="0.35">
      <c r="E2381" s="35"/>
      <c r="J2381" s="41"/>
    </row>
    <row r="2382" spans="5:10" s="34" customFormat="1" x14ac:dyDescent="0.35">
      <c r="E2382" s="35"/>
      <c r="J2382" s="41"/>
    </row>
    <row r="2383" spans="5:10" s="34" customFormat="1" x14ac:dyDescent="0.35">
      <c r="E2383" s="35"/>
      <c r="J2383" s="41"/>
    </row>
    <row r="2384" spans="5:10" s="34" customFormat="1" x14ac:dyDescent="0.35">
      <c r="E2384" s="35"/>
      <c r="J2384" s="41"/>
    </row>
    <row r="2385" spans="5:10" s="34" customFormat="1" x14ac:dyDescent="0.35">
      <c r="E2385" s="35"/>
      <c r="J2385" s="41"/>
    </row>
    <row r="2386" spans="5:10" s="34" customFormat="1" x14ac:dyDescent="0.35">
      <c r="E2386" s="35"/>
      <c r="J2386" s="41"/>
    </row>
    <row r="2387" spans="5:10" s="34" customFormat="1" x14ac:dyDescent="0.35">
      <c r="E2387" s="35"/>
      <c r="J2387" s="41"/>
    </row>
    <row r="2388" spans="5:10" s="34" customFormat="1" x14ac:dyDescent="0.35">
      <c r="E2388" s="35"/>
      <c r="J2388" s="41"/>
    </row>
    <row r="2389" spans="5:10" s="34" customFormat="1" x14ac:dyDescent="0.35">
      <c r="E2389" s="35"/>
      <c r="J2389" s="41"/>
    </row>
    <row r="2390" spans="5:10" s="34" customFormat="1" x14ac:dyDescent="0.35">
      <c r="E2390" s="35"/>
      <c r="J2390" s="41"/>
    </row>
    <row r="2391" spans="5:10" s="34" customFormat="1" x14ac:dyDescent="0.35">
      <c r="E2391" s="35"/>
      <c r="J2391" s="41"/>
    </row>
    <row r="2392" spans="5:10" s="34" customFormat="1" x14ac:dyDescent="0.35">
      <c r="E2392" s="35"/>
      <c r="J2392" s="41"/>
    </row>
    <row r="2393" spans="5:10" s="34" customFormat="1" x14ac:dyDescent="0.35">
      <c r="E2393" s="35"/>
      <c r="J2393" s="41"/>
    </row>
    <row r="2394" spans="5:10" s="34" customFormat="1" x14ac:dyDescent="0.35">
      <c r="E2394" s="35"/>
      <c r="J2394" s="41"/>
    </row>
    <row r="2395" spans="5:10" s="34" customFormat="1" x14ac:dyDescent="0.35">
      <c r="E2395" s="35"/>
      <c r="J2395" s="41"/>
    </row>
    <row r="2396" spans="5:10" s="34" customFormat="1" x14ac:dyDescent="0.35">
      <c r="E2396" s="35"/>
      <c r="J2396" s="41"/>
    </row>
    <row r="2397" spans="5:10" s="34" customFormat="1" x14ac:dyDescent="0.35">
      <c r="E2397" s="35"/>
      <c r="J2397" s="41"/>
    </row>
    <row r="2398" spans="5:10" s="34" customFormat="1" x14ac:dyDescent="0.35">
      <c r="E2398" s="35"/>
      <c r="J2398" s="41"/>
    </row>
    <row r="2399" spans="5:10" s="34" customFormat="1" x14ac:dyDescent="0.35">
      <c r="E2399" s="35"/>
      <c r="J2399" s="41"/>
    </row>
    <row r="2400" spans="5:10" s="34" customFormat="1" x14ac:dyDescent="0.35">
      <c r="E2400" s="35"/>
      <c r="J2400" s="41"/>
    </row>
    <row r="2401" spans="5:10" s="34" customFormat="1" x14ac:dyDescent="0.35">
      <c r="E2401" s="35"/>
      <c r="J2401" s="41"/>
    </row>
    <row r="2402" spans="5:10" s="34" customFormat="1" x14ac:dyDescent="0.35">
      <c r="E2402" s="35"/>
      <c r="J2402" s="41"/>
    </row>
    <row r="2403" spans="5:10" s="34" customFormat="1" x14ac:dyDescent="0.35">
      <c r="E2403" s="35"/>
      <c r="J2403" s="41"/>
    </row>
    <row r="2404" spans="5:10" s="34" customFormat="1" x14ac:dyDescent="0.35">
      <c r="E2404" s="35"/>
      <c r="J2404" s="41"/>
    </row>
    <row r="2405" spans="5:10" s="34" customFormat="1" x14ac:dyDescent="0.35">
      <c r="E2405" s="35"/>
      <c r="J2405" s="41"/>
    </row>
    <row r="2406" spans="5:10" s="34" customFormat="1" x14ac:dyDescent="0.35">
      <c r="E2406" s="35"/>
      <c r="J2406" s="41"/>
    </row>
    <row r="2407" spans="5:10" s="34" customFormat="1" x14ac:dyDescent="0.35">
      <c r="E2407" s="35"/>
      <c r="J2407" s="41"/>
    </row>
    <row r="2408" spans="5:10" s="34" customFormat="1" x14ac:dyDescent="0.35">
      <c r="E2408" s="35"/>
      <c r="J2408" s="41"/>
    </row>
    <row r="2409" spans="5:10" s="34" customFormat="1" x14ac:dyDescent="0.35">
      <c r="E2409" s="35"/>
      <c r="J2409" s="41"/>
    </row>
    <row r="2410" spans="5:10" s="34" customFormat="1" x14ac:dyDescent="0.35">
      <c r="E2410" s="35"/>
      <c r="J2410" s="41"/>
    </row>
    <row r="2411" spans="5:10" s="34" customFormat="1" x14ac:dyDescent="0.35">
      <c r="E2411" s="35"/>
      <c r="J2411" s="41"/>
    </row>
    <row r="2412" spans="5:10" s="34" customFormat="1" x14ac:dyDescent="0.35">
      <c r="E2412" s="35"/>
      <c r="J2412" s="41"/>
    </row>
    <row r="2413" spans="5:10" s="34" customFormat="1" x14ac:dyDescent="0.35">
      <c r="E2413" s="35"/>
      <c r="J2413" s="41"/>
    </row>
    <row r="2414" spans="5:10" s="34" customFormat="1" x14ac:dyDescent="0.35">
      <c r="E2414" s="35"/>
      <c r="J2414" s="41"/>
    </row>
    <row r="2415" spans="5:10" s="34" customFormat="1" x14ac:dyDescent="0.35">
      <c r="E2415" s="35"/>
      <c r="J2415" s="41"/>
    </row>
    <row r="2416" spans="5:10" s="34" customFormat="1" x14ac:dyDescent="0.35">
      <c r="E2416" s="35"/>
      <c r="J2416" s="41"/>
    </row>
    <row r="2417" spans="5:10" s="34" customFormat="1" x14ac:dyDescent="0.35">
      <c r="E2417" s="35"/>
      <c r="J2417" s="41"/>
    </row>
    <row r="2418" spans="5:10" s="34" customFormat="1" x14ac:dyDescent="0.35">
      <c r="E2418" s="35"/>
      <c r="J2418" s="41"/>
    </row>
    <row r="2419" spans="5:10" s="34" customFormat="1" x14ac:dyDescent="0.35">
      <c r="E2419" s="35"/>
      <c r="J2419" s="41"/>
    </row>
    <row r="2420" spans="5:10" s="34" customFormat="1" x14ac:dyDescent="0.35">
      <c r="E2420" s="35"/>
      <c r="J2420" s="41"/>
    </row>
    <row r="2421" spans="5:10" s="34" customFormat="1" x14ac:dyDescent="0.35">
      <c r="E2421" s="35"/>
      <c r="J2421" s="41"/>
    </row>
    <row r="2422" spans="5:10" s="34" customFormat="1" x14ac:dyDescent="0.35">
      <c r="E2422" s="35"/>
      <c r="J2422" s="41"/>
    </row>
    <row r="2423" spans="5:10" s="34" customFormat="1" x14ac:dyDescent="0.35">
      <c r="E2423" s="35"/>
      <c r="J2423" s="41"/>
    </row>
    <row r="2424" spans="5:10" s="34" customFormat="1" x14ac:dyDescent="0.35">
      <c r="E2424" s="35"/>
      <c r="J2424" s="41"/>
    </row>
    <row r="2425" spans="5:10" s="34" customFormat="1" x14ac:dyDescent="0.35">
      <c r="E2425" s="35"/>
      <c r="J2425" s="41"/>
    </row>
    <row r="2426" spans="5:10" s="34" customFormat="1" x14ac:dyDescent="0.35">
      <c r="E2426" s="35"/>
      <c r="J2426" s="41"/>
    </row>
    <row r="2427" spans="5:10" s="34" customFormat="1" x14ac:dyDescent="0.35">
      <c r="E2427" s="35"/>
      <c r="J2427" s="41"/>
    </row>
    <row r="2428" spans="5:10" s="34" customFormat="1" x14ac:dyDescent="0.35">
      <c r="E2428" s="35"/>
      <c r="J2428" s="41"/>
    </row>
    <row r="2429" spans="5:10" s="34" customFormat="1" x14ac:dyDescent="0.35">
      <c r="E2429" s="35"/>
      <c r="J2429" s="41"/>
    </row>
    <row r="2430" spans="5:10" s="34" customFormat="1" x14ac:dyDescent="0.35">
      <c r="E2430" s="35"/>
      <c r="J2430" s="41"/>
    </row>
    <row r="2431" spans="5:10" s="34" customFormat="1" x14ac:dyDescent="0.35">
      <c r="E2431" s="35"/>
      <c r="J2431" s="41"/>
    </row>
    <row r="2432" spans="5:10" s="34" customFormat="1" x14ac:dyDescent="0.35">
      <c r="E2432" s="35"/>
      <c r="J2432" s="41"/>
    </row>
    <row r="2433" spans="5:10" s="34" customFormat="1" x14ac:dyDescent="0.35">
      <c r="E2433" s="35"/>
      <c r="J2433" s="41"/>
    </row>
    <row r="2434" spans="5:10" s="34" customFormat="1" x14ac:dyDescent="0.35">
      <c r="E2434" s="35"/>
      <c r="J2434" s="41"/>
    </row>
    <row r="2435" spans="5:10" s="34" customFormat="1" x14ac:dyDescent="0.35">
      <c r="E2435" s="35"/>
      <c r="J2435" s="41"/>
    </row>
    <row r="2436" spans="5:10" s="34" customFormat="1" x14ac:dyDescent="0.35">
      <c r="E2436" s="35"/>
      <c r="J2436" s="41"/>
    </row>
    <row r="2437" spans="5:10" s="34" customFormat="1" x14ac:dyDescent="0.35">
      <c r="E2437" s="35"/>
      <c r="J2437" s="41"/>
    </row>
    <row r="2438" spans="5:10" s="34" customFormat="1" x14ac:dyDescent="0.35">
      <c r="E2438" s="35"/>
      <c r="J2438" s="41"/>
    </row>
    <row r="2439" spans="5:10" s="34" customFormat="1" x14ac:dyDescent="0.35">
      <c r="E2439" s="35"/>
      <c r="J2439" s="41"/>
    </row>
    <row r="2440" spans="5:10" s="34" customFormat="1" x14ac:dyDescent="0.35">
      <c r="E2440" s="35"/>
      <c r="J2440" s="41"/>
    </row>
    <row r="2441" spans="5:10" s="34" customFormat="1" x14ac:dyDescent="0.35">
      <c r="E2441" s="35"/>
      <c r="J2441" s="41"/>
    </row>
    <row r="2442" spans="5:10" s="34" customFormat="1" x14ac:dyDescent="0.35">
      <c r="E2442" s="35"/>
      <c r="J2442" s="41"/>
    </row>
    <row r="2443" spans="5:10" s="34" customFormat="1" x14ac:dyDescent="0.35">
      <c r="E2443" s="35"/>
      <c r="J2443" s="41"/>
    </row>
    <row r="2444" spans="5:10" s="34" customFormat="1" x14ac:dyDescent="0.35">
      <c r="E2444" s="35"/>
      <c r="J2444" s="41"/>
    </row>
    <row r="2445" spans="5:10" s="34" customFormat="1" x14ac:dyDescent="0.35">
      <c r="E2445" s="35"/>
      <c r="J2445" s="41"/>
    </row>
    <row r="2446" spans="5:10" s="34" customFormat="1" x14ac:dyDescent="0.35">
      <c r="E2446" s="35"/>
      <c r="J2446" s="41"/>
    </row>
    <row r="2447" spans="5:10" s="34" customFormat="1" x14ac:dyDescent="0.35">
      <c r="E2447" s="35"/>
      <c r="J2447" s="41"/>
    </row>
    <row r="2448" spans="5:10" s="34" customFormat="1" x14ac:dyDescent="0.35">
      <c r="E2448" s="35"/>
      <c r="J2448" s="41"/>
    </row>
    <row r="2449" spans="5:10" s="34" customFormat="1" x14ac:dyDescent="0.35">
      <c r="E2449" s="35"/>
      <c r="J2449" s="41"/>
    </row>
    <row r="2450" spans="5:10" s="34" customFormat="1" x14ac:dyDescent="0.35">
      <c r="E2450" s="35"/>
      <c r="J2450" s="41"/>
    </row>
    <row r="2451" spans="5:10" s="34" customFormat="1" x14ac:dyDescent="0.35">
      <c r="E2451" s="35"/>
      <c r="J2451" s="41"/>
    </row>
    <row r="2452" spans="5:10" s="34" customFormat="1" x14ac:dyDescent="0.35">
      <c r="E2452" s="35"/>
      <c r="J2452" s="41"/>
    </row>
    <row r="2453" spans="5:10" s="34" customFormat="1" x14ac:dyDescent="0.35">
      <c r="E2453" s="35"/>
      <c r="J2453" s="41"/>
    </row>
    <row r="2454" spans="5:10" s="34" customFormat="1" x14ac:dyDescent="0.35">
      <c r="E2454" s="35"/>
      <c r="J2454" s="41"/>
    </row>
    <row r="2455" spans="5:10" s="34" customFormat="1" x14ac:dyDescent="0.35">
      <c r="E2455" s="35"/>
      <c r="J2455" s="41"/>
    </row>
    <row r="2456" spans="5:10" s="34" customFormat="1" x14ac:dyDescent="0.35">
      <c r="E2456" s="35"/>
      <c r="J2456" s="41"/>
    </row>
    <row r="2457" spans="5:10" s="34" customFormat="1" x14ac:dyDescent="0.35">
      <c r="E2457" s="35"/>
      <c r="J2457" s="41"/>
    </row>
    <row r="2458" spans="5:10" s="34" customFormat="1" x14ac:dyDescent="0.35">
      <c r="E2458" s="35"/>
      <c r="J2458" s="41"/>
    </row>
    <row r="2459" spans="5:10" s="34" customFormat="1" x14ac:dyDescent="0.35">
      <c r="E2459" s="35"/>
      <c r="J2459" s="41"/>
    </row>
    <row r="2460" spans="5:10" s="34" customFormat="1" x14ac:dyDescent="0.35">
      <c r="E2460" s="35"/>
      <c r="J2460" s="41"/>
    </row>
    <row r="2461" spans="5:10" s="34" customFormat="1" x14ac:dyDescent="0.35">
      <c r="E2461" s="35"/>
      <c r="J2461" s="41"/>
    </row>
    <row r="2462" spans="5:10" s="34" customFormat="1" x14ac:dyDescent="0.35">
      <c r="E2462" s="35"/>
      <c r="J2462" s="41"/>
    </row>
    <row r="2463" spans="5:10" s="34" customFormat="1" x14ac:dyDescent="0.35">
      <c r="E2463" s="35"/>
      <c r="J2463" s="41"/>
    </row>
    <row r="2464" spans="5:10" s="34" customFormat="1" x14ac:dyDescent="0.35">
      <c r="E2464" s="35"/>
      <c r="J2464" s="41"/>
    </row>
    <row r="2465" spans="5:10" s="34" customFormat="1" x14ac:dyDescent="0.35">
      <c r="E2465" s="35"/>
      <c r="J2465" s="41"/>
    </row>
    <row r="2466" spans="5:10" s="34" customFormat="1" x14ac:dyDescent="0.35">
      <c r="E2466" s="35"/>
      <c r="J2466" s="41"/>
    </row>
    <row r="2467" spans="5:10" s="34" customFormat="1" x14ac:dyDescent="0.35">
      <c r="E2467" s="35"/>
      <c r="J2467" s="41"/>
    </row>
    <row r="2468" spans="5:10" s="34" customFormat="1" x14ac:dyDescent="0.35">
      <c r="E2468" s="35"/>
      <c r="J2468" s="41"/>
    </row>
    <row r="2469" spans="5:10" s="34" customFormat="1" x14ac:dyDescent="0.35">
      <c r="E2469" s="35"/>
      <c r="J2469" s="41"/>
    </row>
    <row r="2470" spans="5:10" s="34" customFormat="1" x14ac:dyDescent="0.35">
      <c r="E2470" s="35"/>
      <c r="J2470" s="41"/>
    </row>
    <row r="2471" spans="5:10" s="34" customFormat="1" x14ac:dyDescent="0.35">
      <c r="E2471" s="35"/>
      <c r="J2471" s="41"/>
    </row>
    <row r="2472" spans="5:10" s="34" customFormat="1" x14ac:dyDescent="0.35">
      <c r="E2472" s="35"/>
      <c r="J2472" s="41"/>
    </row>
    <row r="2473" spans="5:10" s="34" customFormat="1" x14ac:dyDescent="0.35">
      <c r="E2473" s="35"/>
      <c r="J2473" s="41"/>
    </row>
    <row r="2474" spans="5:10" s="34" customFormat="1" x14ac:dyDescent="0.35">
      <c r="E2474" s="35"/>
      <c r="J2474" s="41"/>
    </row>
    <row r="2475" spans="5:10" s="34" customFormat="1" x14ac:dyDescent="0.35">
      <c r="E2475" s="35"/>
      <c r="J2475" s="41"/>
    </row>
    <row r="2476" spans="5:10" s="34" customFormat="1" x14ac:dyDescent="0.35">
      <c r="E2476" s="35"/>
      <c r="J2476" s="41"/>
    </row>
    <row r="2477" spans="5:10" s="34" customFormat="1" x14ac:dyDescent="0.35">
      <c r="E2477" s="35"/>
      <c r="J2477" s="41"/>
    </row>
    <row r="2478" spans="5:10" s="34" customFormat="1" x14ac:dyDescent="0.35">
      <c r="E2478" s="35"/>
      <c r="J2478" s="41"/>
    </row>
    <row r="2479" spans="5:10" s="34" customFormat="1" x14ac:dyDescent="0.35">
      <c r="E2479" s="35"/>
      <c r="J2479" s="41"/>
    </row>
    <row r="2480" spans="5:10" s="34" customFormat="1" x14ac:dyDescent="0.35">
      <c r="E2480" s="35"/>
      <c r="J2480" s="41"/>
    </row>
    <row r="2481" spans="5:10" s="34" customFormat="1" x14ac:dyDescent="0.35">
      <c r="E2481" s="35"/>
      <c r="J2481" s="41"/>
    </row>
    <row r="2482" spans="5:10" s="34" customFormat="1" x14ac:dyDescent="0.35">
      <c r="E2482" s="35"/>
      <c r="J2482" s="41"/>
    </row>
    <row r="2483" spans="5:10" s="34" customFormat="1" x14ac:dyDescent="0.35">
      <c r="E2483" s="35"/>
      <c r="J2483" s="41"/>
    </row>
    <row r="2484" spans="5:10" s="34" customFormat="1" x14ac:dyDescent="0.35">
      <c r="E2484" s="35"/>
      <c r="J2484" s="41"/>
    </row>
    <row r="2485" spans="5:10" s="34" customFormat="1" x14ac:dyDescent="0.35">
      <c r="E2485" s="35"/>
      <c r="J2485" s="41"/>
    </row>
    <row r="2486" spans="5:10" s="34" customFormat="1" x14ac:dyDescent="0.35">
      <c r="E2486" s="35"/>
      <c r="J2486" s="41"/>
    </row>
    <row r="2487" spans="5:10" s="34" customFormat="1" x14ac:dyDescent="0.35">
      <c r="E2487" s="35"/>
      <c r="J2487" s="41"/>
    </row>
    <row r="2488" spans="5:10" s="34" customFormat="1" x14ac:dyDescent="0.35">
      <c r="E2488" s="35"/>
      <c r="J2488" s="41"/>
    </row>
    <row r="2489" spans="5:10" s="34" customFormat="1" x14ac:dyDescent="0.35">
      <c r="E2489" s="35"/>
      <c r="J2489" s="41"/>
    </row>
    <row r="2490" spans="5:10" s="34" customFormat="1" x14ac:dyDescent="0.35">
      <c r="E2490" s="35"/>
      <c r="J2490" s="41"/>
    </row>
    <row r="2491" spans="5:10" s="34" customFormat="1" x14ac:dyDescent="0.35">
      <c r="E2491" s="35"/>
      <c r="J2491" s="41"/>
    </row>
    <row r="2492" spans="5:10" s="34" customFormat="1" x14ac:dyDescent="0.35">
      <c r="E2492" s="35"/>
      <c r="J2492" s="41"/>
    </row>
    <row r="2493" spans="5:10" s="34" customFormat="1" x14ac:dyDescent="0.35">
      <c r="E2493" s="35"/>
      <c r="J2493" s="41"/>
    </row>
    <row r="2494" spans="5:10" s="34" customFormat="1" x14ac:dyDescent="0.35">
      <c r="E2494" s="35"/>
      <c r="J2494" s="41"/>
    </row>
    <row r="2495" spans="5:10" s="34" customFormat="1" x14ac:dyDescent="0.35">
      <c r="E2495" s="35"/>
      <c r="J2495" s="41"/>
    </row>
    <row r="2496" spans="5:10" s="34" customFormat="1" x14ac:dyDescent="0.35">
      <c r="E2496" s="35"/>
      <c r="J2496" s="41"/>
    </row>
    <row r="2497" spans="5:10" s="34" customFormat="1" x14ac:dyDescent="0.35">
      <c r="E2497" s="35"/>
      <c r="J2497" s="41"/>
    </row>
    <row r="2498" spans="5:10" s="34" customFormat="1" x14ac:dyDescent="0.35">
      <c r="E2498" s="35"/>
      <c r="J2498" s="41"/>
    </row>
    <row r="2499" spans="5:10" s="34" customFormat="1" x14ac:dyDescent="0.35">
      <c r="E2499" s="35"/>
      <c r="J2499" s="41"/>
    </row>
    <row r="2500" spans="5:10" s="34" customFormat="1" x14ac:dyDescent="0.35">
      <c r="E2500" s="35"/>
      <c r="J2500" s="41"/>
    </row>
    <row r="2501" spans="5:10" s="34" customFormat="1" x14ac:dyDescent="0.35">
      <c r="E2501" s="35"/>
      <c r="J2501" s="41"/>
    </row>
    <row r="2502" spans="5:10" s="34" customFormat="1" x14ac:dyDescent="0.35">
      <c r="E2502" s="35"/>
      <c r="J2502" s="41"/>
    </row>
    <row r="2503" spans="5:10" s="34" customFormat="1" x14ac:dyDescent="0.35">
      <c r="E2503" s="35"/>
      <c r="J2503" s="41"/>
    </row>
    <row r="2504" spans="5:10" s="34" customFormat="1" x14ac:dyDescent="0.35">
      <c r="E2504" s="35"/>
      <c r="J2504" s="41"/>
    </row>
    <row r="2505" spans="5:10" s="34" customFormat="1" x14ac:dyDescent="0.35">
      <c r="E2505" s="35"/>
      <c r="J2505" s="41"/>
    </row>
    <row r="2506" spans="5:10" s="34" customFormat="1" x14ac:dyDescent="0.35">
      <c r="E2506" s="35"/>
      <c r="J2506" s="41"/>
    </row>
    <row r="2507" spans="5:10" s="34" customFormat="1" x14ac:dyDescent="0.35">
      <c r="E2507" s="35"/>
      <c r="J2507" s="41"/>
    </row>
    <row r="2508" spans="5:10" s="34" customFormat="1" x14ac:dyDescent="0.35">
      <c r="E2508" s="35"/>
      <c r="J2508" s="41"/>
    </row>
    <row r="2509" spans="5:10" s="34" customFormat="1" x14ac:dyDescent="0.35">
      <c r="E2509" s="35"/>
      <c r="J2509" s="41"/>
    </row>
    <row r="2510" spans="5:10" s="34" customFormat="1" x14ac:dyDescent="0.35">
      <c r="E2510" s="35"/>
      <c r="J2510" s="41"/>
    </row>
    <row r="2511" spans="5:10" s="34" customFormat="1" x14ac:dyDescent="0.35">
      <c r="E2511" s="35"/>
      <c r="J2511" s="41"/>
    </row>
    <row r="2512" spans="5:10" s="34" customFormat="1" x14ac:dyDescent="0.35">
      <c r="E2512" s="35"/>
      <c r="J2512" s="41"/>
    </row>
    <row r="2513" spans="5:10" s="34" customFormat="1" x14ac:dyDescent="0.35">
      <c r="E2513" s="35"/>
      <c r="J2513" s="41"/>
    </row>
    <row r="2514" spans="5:10" s="34" customFormat="1" x14ac:dyDescent="0.35">
      <c r="E2514" s="35"/>
      <c r="J2514" s="41"/>
    </row>
    <row r="2515" spans="5:10" s="34" customFormat="1" x14ac:dyDescent="0.35">
      <c r="E2515" s="35"/>
      <c r="J2515" s="41"/>
    </row>
    <row r="2516" spans="5:10" s="34" customFormat="1" x14ac:dyDescent="0.35">
      <c r="E2516" s="35"/>
      <c r="J2516" s="41"/>
    </row>
    <row r="2517" spans="5:10" s="34" customFormat="1" x14ac:dyDescent="0.35">
      <c r="E2517" s="35"/>
      <c r="J2517" s="41"/>
    </row>
    <row r="2518" spans="5:10" s="34" customFormat="1" x14ac:dyDescent="0.35">
      <c r="E2518" s="35"/>
      <c r="J2518" s="41"/>
    </row>
    <row r="2519" spans="5:10" s="34" customFormat="1" x14ac:dyDescent="0.35">
      <c r="E2519" s="35"/>
      <c r="J2519" s="41"/>
    </row>
    <row r="2520" spans="5:10" s="34" customFormat="1" x14ac:dyDescent="0.35">
      <c r="E2520" s="35"/>
      <c r="J2520" s="41"/>
    </row>
    <row r="2521" spans="5:10" s="34" customFormat="1" x14ac:dyDescent="0.35">
      <c r="E2521" s="35"/>
      <c r="J2521" s="41"/>
    </row>
    <row r="2522" spans="5:10" s="34" customFormat="1" x14ac:dyDescent="0.35">
      <c r="E2522" s="35"/>
      <c r="J2522" s="41"/>
    </row>
    <row r="2523" spans="5:10" s="34" customFormat="1" x14ac:dyDescent="0.35">
      <c r="E2523" s="35"/>
      <c r="J2523" s="41"/>
    </row>
    <row r="2524" spans="5:10" s="34" customFormat="1" x14ac:dyDescent="0.35">
      <c r="E2524" s="35"/>
      <c r="J2524" s="41"/>
    </row>
    <row r="2525" spans="5:10" s="34" customFormat="1" x14ac:dyDescent="0.35">
      <c r="E2525" s="35"/>
      <c r="J2525" s="41"/>
    </row>
    <row r="2526" spans="5:10" s="34" customFormat="1" x14ac:dyDescent="0.35">
      <c r="E2526" s="35"/>
      <c r="J2526" s="41"/>
    </row>
    <row r="2527" spans="5:10" s="34" customFormat="1" x14ac:dyDescent="0.35">
      <c r="E2527" s="35"/>
      <c r="J2527" s="41"/>
    </row>
    <row r="2528" spans="5:10" s="34" customFormat="1" x14ac:dyDescent="0.35">
      <c r="E2528" s="35"/>
      <c r="J2528" s="41"/>
    </row>
    <row r="2529" spans="5:10" s="34" customFormat="1" x14ac:dyDescent="0.35">
      <c r="E2529" s="35"/>
      <c r="J2529" s="41"/>
    </row>
    <row r="2530" spans="5:10" s="34" customFormat="1" x14ac:dyDescent="0.35">
      <c r="E2530" s="35"/>
      <c r="J2530" s="41"/>
    </row>
    <row r="2531" spans="5:10" s="34" customFormat="1" x14ac:dyDescent="0.35">
      <c r="E2531" s="35"/>
      <c r="J2531" s="41"/>
    </row>
    <row r="2532" spans="5:10" s="34" customFormat="1" x14ac:dyDescent="0.35">
      <c r="E2532" s="35"/>
      <c r="J2532" s="41"/>
    </row>
    <row r="2533" spans="5:10" s="34" customFormat="1" x14ac:dyDescent="0.35">
      <c r="E2533" s="35"/>
      <c r="J2533" s="41"/>
    </row>
    <row r="2534" spans="5:10" s="34" customFormat="1" x14ac:dyDescent="0.35">
      <c r="E2534" s="35"/>
      <c r="J2534" s="41"/>
    </row>
    <row r="2535" spans="5:10" s="34" customFormat="1" x14ac:dyDescent="0.35">
      <c r="E2535" s="35"/>
      <c r="J2535" s="41"/>
    </row>
    <row r="2536" spans="5:10" s="34" customFormat="1" x14ac:dyDescent="0.35">
      <c r="E2536" s="35"/>
      <c r="J2536" s="41"/>
    </row>
    <row r="2537" spans="5:10" s="34" customFormat="1" x14ac:dyDescent="0.35">
      <c r="E2537" s="35"/>
      <c r="J2537" s="41"/>
    </row>
    <row r="2538" spans="5:10" s="34" customFormat="1" x14ac:dyDescent="0.35">
      <c r="E2538" s="35"/>
      <c r="J2538" s="41"/>
    </row>
    <row r="2539" spans="5:10" s="34" customFormat="1" x14ac:dyDescent="0.35">
      <c r="E2539" s="35"/>
      <c r="J2539" s="41"/>
    </row>
    <row r="2540" spans="5:10" s="34" customFormat="1" x14ac:dyDescent="0.35">
      <c r="E2540" s="35"/>
      <c r="J2540" s="41"/>
    </row>
    <row r="2541" spans="5:10" s="34" customFormat="1" x14ac:dyDescent="0.35">
      <c r="E2541" s="35"/>
      <c r="J2541" s="41"/>
    </row>
    <row r="2542" spans="5:10" s="34" customFormat="1" x14ac:dyDescent="0.35">
      <c r="E2542" s="35"/>
      <c r="J2542" s="41"/>
    </row>
    <row r="2543" spans="5:10" s="34" customFormat="1" x14ac:dyDescent="0.35">
      <c r="E2543" s="35"/>
      <c r="J2543" s="41"/>
    </row>
    <row r="2544" spans="5:10" s="34" customFormat="1" x14ac:dyDescent="0.35">
      <c r="E2544" s="35"/>
      <c r="J2544" s="41"/>
    </row>
    <row r="2545" spans="5:10" s="34" customFormat="1" x14ac:dyDescent="0.35">
      <c r="E2545" s="35"/>
      <c r="J2545" s="41"/>
    </row>
    <row r="2546" spans="5:10" s="34" customFormat="1" x14ac:dyDescent="0.35">
      <c r="E2546" s="35"/>
      <c r="J2546" s="41"/>
    </row>
    <row r="2547" spans="5:10" s="34" customFormat="1" x14ac:dyDescent="0.35">
      <c r="E2547" s="35"/>
      <c r="J2547" s="41"/>
    </row>
    <row r="2548" spans="5:10" s="34" customFormat="1" x14ac:dyDescent="0.35">
      <c r="E2548" s="35"/>
      <c r="J2548" s="41"/>
    </row>
    <row r="2549" spans="5:10" s="34" customFormat="1" x14ac:dyDescent="0.35">
      <c r="E2549" s="35"/>
      <c r="J2549" s="41"/>
    </row>
    <row r="2550" spans="5:10" s="34" customFormat="1" x14ac:dyDescent="0.35">
      <c r="E2550" s="35"/>
      <c r="J2550" s="41"/>
    </row>
    <row r="2551" spans="5:10" s="34" customFormat="1" x14ac:dyDescent="0.35">
      <c r="E2551" s="35"/>
      <c r="J2551" s="41"/>
    </row>
    <row r="2552" spans="5:10" s="34" customFormat="1" x14ac:dyDescent="0.35">
      <c r="E2552" s="35"/>
      <c r="J2552" s="41"/>
    </row>
    <row r="2553" spans="5:10" s="34" customFormat="1" x14ac:dyDescent="0.35">
      <c r="E2553" s="35"/>
      <c r="J2553" s="41"/>
    </row>
    <row r="2554" spans="5:10" s="34" customFormat="1" x14ac:dyDescent="0.35">
      <c r="E2554" s="35"/>
      <c r="J2554" s="41"/>
    </row>
    <row r="2555" spans="5:10" s="34" customFormat="1" x14ac:dyDescent="0.35">
      <c r="E2555" s="35"/>
      <c r="J2555" s="41"/>
    </row>
    <row r="2556" spans="5:10" s="34" customFormat="1" x14ac:dyDescent="0.35">
      <c r="E2556" s="35"/>
      <c r="J2556" s="41"/>
    </row>
    <row r="2557" spans="5:10" s="34" customFormat="1" x14ac:dyDescent="0.35">
      <c r="E2557" s="35"/>
      <c r="J2557" s="41"/>
    </row>
    <row r="2558" spans="5:10" s="34" customFormat="1" x14ac:dyDescent="0.35">
      <c r="E2558" s="35"/>
      <c r="J2558" s="41"/>
    </row>
    <row r="2559" spans="5:10" s="34" customFormat="1" x14ac:dyDescent="0.35">
      <c r="E2559" s="35"/>
      <c r="J2559" s="41"/>
    </row>
    <row r="2560" spans="5:10" s="34" customFormat="1" x14ac:dyDescent="0.35">
      <c r="E2560" s="35"/>
      <c r="J2560" s="41"/>
    </row>
    <row r="2561" spans="5:10" s="34" customFormat="1" x14ac:dyDescent="0.35">
      <c r="E2561" s="35"/>
      <c r="J2561" s="41"/>
    </row>
    <row r="2562" spans="5:10" s="34" customFormat="1" x14ac:dyDescent="0.35">
      <c r="E2562" s="35"/>
      <c r="J2562" s="41"/>
    </row>
    <row r="2563" spans="5:10" s="34" customFormat="1" x14ac:dyDescent="0.35">
      <c r="E2563" s="35"/>
      <c r="J2563" s="41"/>
    </row>
    <row r="2564" spans="5:10" s="34" customFormat="1" x14ac:dyDescent="0.35">
      <c r="E2564" s="35"/>
      <c r="J2564" s="41"/>
    </row>
    <row r="2565" spans="5:10" s="34" customFormat="1" x14ac:dyDescent="0.35">
      <c r="E2565" s="35"/>
      <c r="J2565" s="41"/>
    </row>
    <row r="2566" spans="5:10" s="34" customFormat="1" x14ac:dyDescent="0.35">
      <c r="E2566" s="35"/>
      <c r="J2566" s="41"/>
    </row>
    <row r="2567" spans="5:10" s="34" customFormat="1" x14ac:dyDescent="0.35">
      <c r="E2567" s="35"/>
      <c r="J2567" s="41"/>
    </row>
    <row r="2568" spans="5:10" s="34" customFormat="1" x14ac:dyDescent="0.35">
      <c r="E2568" s="35"/>
      <c r="J2568" s="41"/>
    </row>
    <row r="2569" spans="5:10" s="34" customFormat="1" x14ac:dyDescent="0.35">
      <c r="E2569" s="35"/>
      <c r="J2569" s="41"/>
    </row>
    <row r="2570" spans="5:10" s="34" customFormat="1" x14ac:dyDescent="0.35">
      <c r="E2570" s="35"/>
      <c r="J2570" s="41"/>
    </row>
    <row r="2571" spans="5:10" s="34" customFormat="1" x14ac:dyDescent="0.35">
      <c r="E2571" s="35"/>
      <c r="J2571" s="41"/>
    </row>
    <row r="2572" spans="5:10" s="34" customFormat="1" x14ac:dyDescent="0.35">
      <c r="E2572" s="35"/>
      <c r="J2572" s="41"/>
    </row>
    <row r="2573" spans="5:10" s="34" customFormat="1" x14ac:dyDescent="0.35">
      <c r="E2573" s="35"/>
      <c r="J2573" s="41"/>
    </row>
    <row r="2574" spans="5:10" s="34" customFormat="1" x14ac:dyDescent="0.35">
      <c r="E2574" s="35"/>
      <c r="J2574" s="41"/>
    </row>
    <row r="2575" spans="5:10" s="34" customFormat="1" x14ac:dyDescent="0.35">
      <c r="E2575" s="35"/>
      <c r="J2575" s="41"/>
    </row>
    <row r="2576" spans="5:10" s="34" customFormat="1" x14ac:dyDescent="0.35">
      <c r="E2576" s="35"/>
      <c r="J2576" s="41"/>
    </row>
    <row r="2577" spans="5:10" s="34" customFormat="1" x14ac:dyDescent="0.35">
      <c r="E2577" s="35"/>
      <c r="J2577" s="41"/>
    </row>
    <row r="2578" spans="5:10" s="34" customFormat="1" x14ac:dyDescent="0.35">
      <c r="E2578" s="35"/>
      <c r="J2578" s="41"/>
    </row>
    <row r="2579" spans="5:10" s="34" customFormat="1" x14ac:dyDescent="0.35">
      <c r="E2579" s="35"/>
      <c r="J2579" s="41"/>
    </row>
    <row r="2580" spans="5:10" s="34" customFormat="1" x14ac:dyDescent="0.35">
      <c r="E2580" s="35"/>
      <c r="J2580" s="41"/>
    </row>
    <row r="2581" spans="5:10" s="34" customFormat="1" x14ac:dyDescent="0.35">
      <c r="E2581" s="35"/>
      <c r="J2581" s="41"/>
    </row>
    <row r="2582" spans="5:10" s="34" customFormat="1" x14ac:dyDescent="0.35">
      <c r="E2582" s="35"/>
      <c r="J2582" s="41"/>
    </row>
    <row r="2583" spans="5:10" s="34" customFormat="1" x14ac:dyDescent="0.35">
      <c r="E2583" s="35"/>
      <c r="J2583" s="41"/>
    </row>
    <row r="2584" spans="5:10" s="34" customFormat="1" x14ac:dyDescent="0.35">
      <c r="E2584" s="35"/>
      <c r="J2584" s="41"/>
    </row>
    <row r="2585" spans="5:10" s="34" customFormat="1" x14ac:dyDescent="0.35">
      <c r="E2585" s="35"/>
      <c r="J2585" s="41"/>
    </row>
    <row r="2586" spans="5:10" s="34" customFormat="1" x14ac:dyDescent="0.35">
      <c r="E2586" s="35"/>
      <c r="J2586" s="41"/>
    </row>
    <row r="2587" spans="5:10" s="34" customFormat="1" x14ac:dyDescent="0.35">
      <c r="E2587" s="35"/>
      <c r="J2587" s="41"/>
    </row>
    <row r="2588" spans="5:10" s="34" customFormat="1" x14ac:dyDescent="0.35">
      <c r="E2588" s="35"/>
      <c r="J2588" s="41"/>
    </row>
    <row r="2589" spans="5:10" s="34" customFormat="1" x14ac:dyDescent="0.35">
      <c r="E2589" s="35"/>
      <c r="J2589" s="41"/>
    </row>
    <row r="2590" spans="5:10" s="34" customFormat="1" x14ac:dyDescent="0.35">
      <c r="E2590" s="35"/>
      <c r="J2590" s="41"/>
    </row>
    <row r="2591" spans="5:10" s="34" customFormat="1" x14ac:dyDescent="0.35">
      <c r="E2591" s="35"/>
      <c r="J2591" s="41"/>
    </row>
    <row r="2592" spans="5:10" s="34" customFormat="1" x14ac:dyDescent="0.35">
      <c r="E2592" s="35"/>
      <c r="J2592" s="41"/>
    </row>
    <row r="2593" spans="5:10" s="34" customFormat="1" x14ac:dyDescent="0.35">
      <c r="E2593" s="35"/>
      <c r="J2593" s="41"/>
    </row>
    <row r="2594" spans="5:10" s="34" customFormat="1" x14ac:dyDescent="0.35">
      <c r="E2594" s="35"/>
      <c r="J2594" s="41"/>
    </row>
    <row r="2595" spans="5:10" s="34" customFormat="1" x14ac:dyDescent="0.35">
      <c r="E2595" s="35"/>
      <c r="J2595" s="41"/>
    </row>
    <row r="2596" spans="5:10" s="34" customFormat="1" x14ac:dyDescent="0.35">
      <c r="E2596" s="35"/>
      <c r="J2596" s="41"/>
    </row>
    <row r="2597" spans="5:10" s="34" customFormat="1" x14ac:dyDescent="0.35">
      <c r="E2597" s="35"/>
      <c r="J2597" s="41"/>
    </row>
    <row r="2598" spans="5:10" s="34" customFormat="1" x14ac:dyDescent="0.35">
      <c r="E2598" s="35"/>
      <c r="J2598" s="41"/>
    </row>
    <row r="2599" spans="5:10" s="34" customFormat="1" x14ac:dyDescent="0.35">
      <c r="E2599" s="35"/>
      <c r="J2599" s="41"/>
    </row>
    <row r="2600" spans="5:10" s="34" customFormat="1" x14ac:dyDescent="0.35">
      <c r="E2600" s="35"/>
      <c r="J2600" s="41"/>
    </row>
    <row r="2601" spans="5:10" s="34" customFormat="1" x14ac:dyDescent="0.35">
      <c r="E2601" s="35"/>
      <c r="J2601" s="41"/>
    </row>
    <row r="2602" spans="5:10" s="34" customFormat="1" x14ac:dyDescent="0.35">
      <c r="E2602" s="35"/>
      <c r="J2602" s="41"/>
    </row>
    <row r="2603" spans="5:10" s="34" customFormat="1" x14ac:dyDescent="0.35">
      <c r="E2603" s="35"/>
      <c r="J2603" s="41"/>
    </row>
    <row r="2604" spans="5:10" s="34" customFormat="1" x14ac:dyDescent="0.35">
      <c r="E2604" s="35"/>
      <c r="J2604" s="41"/>
    </row>
    <row r="2605" spans="5:10" s="34" customFormat="1" x14ac:dyDescent="0.35">
      <c r="E2605" s="35"/>
      <c r="J2605" s="41"/>
    </row>
    <row r="2606" spans="5:10" s="34" customFormat="1" x14ac:dyDescent="0.35">
      <c r="E2606" s="35"/>
      <c r="J2606" s="41"/>
    </row>
    <row r="2607" spans="5:10" s="34" customFormat="1" x14ac:dyDescent="0.35">
      <c r="E2607" s="35"/>
      <c r="J2607" s="41"/>
    </row>
    <row r="2608" spans="5:10" s="34" customFormat="1" x14ac:dyDescent="0.35">
      <c r="E2608" s="35"/>
      <c r="J2608" s="41"/>
    </row>
    <row r="2609" spans="5:10" s="34" customFormat="1" x14ac:dyDescent="0.35">
      <c r="E2609" s="35"/>
      <c r="J2609" s="41"/>
    </row>
    <row r="2610" spans="5:10" s="34" customFormat="1" x14ac:dyDescent="0.35">
      <c r="E2610" s="35"/>
      <c r="J2610" s="41"/>
    </row>
    <row r="2611" spans="5:10" s="34" customFormat="1" x14ac:dyDescent="0.35">
      <c r="E2611" s="35"/>
      <c r="J2611" s="41"/>
    </row>
    <row r="2612" spans="5:10" s="34" customFormat="1" x14ac:dyDescent="0.35">
      <c r="E2612" s="35"/>
      <c r="J2612" s="41"/>
    </row>
    <row r="2613" spans="5:10" s="34" customFormat="1" x14ac:dyDescent="0.35">
      <c r="E2613" s="35"/>
      <c r="J2613" s="41"/>
    </row>
    <row r="2614" spans="5:10" s="34" customFormat="1" x14ac:dyDescent="0.35">
      <c r="E2614" s="35"/>
      <c r="J2614" s="41"/>
    </row>
    <row r="2615" spans="5:10" s="34" customFormat="1" x14ac:dyDescent="0.35">
      <c r="E2615" s="35"/>
      <c r="J2615" s="41"/>
    </row>
    <row r="2616" spans="5:10" s="34" customFormat="1" x14ac:dyDescent="0.35">
      <c r="E2616" s="35"/>
      <c r="J2616" s="41"/>
    </row>
    <row r="2617" spans="5:10" s="34" customFormat="1" x14ac:dyDescent="0.35">
      <c r="E2617" s="35"/>
      <c r="J2617" s="41"/>
    </row>
    <row r="2618" spans="5:10" s="34" customFormat="1" x14ac:dyDescent="0.35">
      <c r="E2618" s="35"/>
      <c r="J2618" s="41"/>
    </row>
    <row r="2619" spans="5:10" s="34" customFormat="1" x14ac:dyDescent="0.35">
      <c r="E2619" s="35"/>
      <c r="J2619" s="41"/>
    </row>
    <row r="2620" spans="5:10" s="34" customFormat="1" x14ac:dyDescent="0.35">
      <c r="E2620" s="35"/>
      <c r="J2620" s="41"/>
    </row>
    <row r="2621" spans="5:10" s="34" customFormat="1" x14ac:dyDescent="0.35">
      <c r="E2621" s="35"/>
      <c r="J2621" s="41"/>
    </row>
    <row r="2622" spans="5:10" s="34" customFormat="1" x14ac:dyDescent="0.35">
      <c r="E2622" s="35"/>
      <c r="J2622" s="41"/>
    </row>
    <row r="2623" spans="5:10" s="34" customFormat="1" x14ac:dyDescent="0.35">
      <c r="E2623" s="35"/>
      <c r="J2623" s="41"/>
    </row>
    <row r="2624" spans="5:10" s="34" customFormat="1" x14ac:dyDescent="0.35">
      <c r="E2624" s="35"/>
      <c r="J2624" s="41"/>
    </row>
    <row r="2625" spans="5:10" s="34" customFormat="1" x14ac:dyDescent="0.35">
      <c r="E2625" s="35"/>
      <c r="J2625" s="41"/>
    </row>
    <row r="2626" spans="5:10" s="34" customFormat="1" x14ac:dyDescent="0.35">
      <c r="E2626" s="35"/>
      <c r="J2626" s="41"/>
    </row>
    <row r="2627" spans="5:10" s="34" customFormat="1" x14ac:dyDescent="0.35">
      <c r="E2627" s="35"/>
      <c r="J2627" s="41"/>
    </row>
    <row r="2628" spans="5:10" s="34" customFormat="1" x14ac:dyDescent="0.35">
      <c r="E2628" s="35"/>
      <c r="J2628" s="41"/>
    </row>
    <row r="2629" spans="5:10" s="34" customFormat="1" x14ac:dyDescent="0.35">
      <c r="E2629" s="35"/>
      <c r="J2629" s="41"/>
    </row>
    <row r="2630" spans="5:10" s="34" customFormat="1" x14ac:dyDescent="0.35">
      <c r="E2630" s="35"/>
      <c r="J2630" s="41"/>
    </row>
    <row r="2631" spans="5:10" s="34" customFormat="1" x14ac:dyDescent="0.35">
      <c r="E2631" s="35"/>
      <c r="J2631" s="41"/>
    </row>
    <row r="2632" spans="5:10" s="34" customFormat="1" x14ac:dyDescent="0.35">
      <c r="E2632" s="35"/>
      <c r="J2632" s="41"/>
    </row>
    <row r="2633" spans="5:10" s="34" customFormat="1" x14ac:dyDescent="0.35">
      <c r="E2633" s="35"/>
      <c r="J2633" s="41"/>
    </row>
    <row r="2634" spans="5:10" s="34" customFormat="1" x14ac:dyDescent="0.35">
      <c r="E2634" s="35"/>
      <c r="J2634" s="41"/>
    </row>
    <row r="2635" spans="5:10" s="34" customFormat="1" x14ac:dyDescent="0.35">
      <c r="E2635" s="35"/>
      <c r="J2635" s="41"/>
    </row>
    <row r="2636" spans="5:10" s="34" customFormat="1" x14ac:dyDescent="0.35">
      <c r="E2636" s="35"/>
      <c r="J2636" s="41"/>
    </row>
    <row r="2637" spans="5:10" s="34" customFormat="1" x14ac:dyDescent="0.35">
      <c r="E2637" s="35"/>
      <c r="J2637" s="41"/>
    </row>
    <row r="2638" spans="5:10" s="34" customFormat="1" x14ac:dyDescent="0.35">
      <c r="E2638" s="35"/>
      <c r="J2638" s="41"/>
    </row>
    <row r="2639" spans="5:10" s="34" customFormat="1" x14ac:dyDescent="0.35">
      <c r="E2639" s="35"/>
      <c r="J2639" s="41"/>
    </row>
    <row r="2640" spans="5:10" s="34" customFormat="1" x14ac:dyDescent="0.35">
      <c r="E2640" s="35"/>
      <c r="J2640" s="41"/>
    </row>
    <row r="2641" spans="5:10" s="34" customFormat="1" x14ac:dyDescent="0.35">
      <c r="E2641" s="35"/>
      <c r="J2641" s="41"/>
    </row>
    <row r="2642" spans="5:10" s="34" customFormat="1" x14ac:dyDescent="0.35">
      <c r="E2642" s="35"/>
      <c r="J2642" s="41"/>
    </row>
    <row r="2643" spans="5:10" s="34" customFormat="1" x14ac:dyDescent="0.35">
      <c r="E2643" s="35"/>
      <c r="J2643" s="41"/>
    </row>
    <row r="2644" spans="5:10" s="34" customFormat="1" x14ac:dyDescent="0.35">
      <c r="E2644" s="35"/>
      <c r="J2644" s="41"/>
    </row>
    <row r="2645" spans="5:10" s="34" customFormat="1" x14ac:dyDescent="0.35">
      <c r="E2645" s="35"/>
      <c r="J2645" s="41"/>
    </row>
    <row r="2646" spans="5:10" s="34" customFormat="1" x14ac:dyDescent="0.35">
      <c r="E2646" s="35"/>
      <c r="J2646" s="41"/>
    </row>
    <row r="2647" spans="5:10" s="34" customFormat="1" x14ac:dyDescent="0.35">
      <c r="E2647" s="35"/>
      <c r="J2647" s="41"/>
    </row>
    <row r="2648" spans="5:10" s="34" customFormat="1" x14ac:dyDescent="0.35">
      <c r="E2648" s="35"/>
      <c r="J2648" s="41"/>
    </row>
    <row r="2649" spans="5:10" s="34" customFormat="1" x14ac:dyDescent="0.35">
      <c r="E2649" s="35"/>
      <c r="J2649" s="41"/>
    </row>
    <row r="2650" spans="5:10" s="34" customFormat="1" x14ac:dyDescent="0.35">
      <c r="E2650" s="35"/>
      <c r="J2650" s="41"/>
    </row>
    <row r="2651" spans="5:10" s="34" customFormat="1" x14ac:dyDescent="0.35">
      <c r="E2651" s="35"/>
      <c r="J2651" s="41"/>
    </row>
    <row r="2652" spans="5:10" s="34" customFormat="1" x14ac:dyDescent="0.35">
      <c r="E2652" s="35"/>
      <c r="J2652" s="41"/>
    </row>
    <row r="2653" spans="5:10" s="34" customFormat="1" x14ac:dyDescent="0.35">
      <c r="E2653" s="35"/>
      <c r="J2653" s="41"/>
    </row>
    <row r="2654" spans="5:10" s="34" customFormat="1" x14ac:dyDescent="0.35">
      <c r="E2654" s="35"/>
      <c r="J2654" s="41"/>
    </row>
    <row r="2655" spans="5:10" s="34" customFormat="1" x14ac:dyDescent="0.35">
      <c r="E2655" s="35"/>
      <c r="J2655" s="41"/>
    </row>
    <row r="2656" spans="5:10" s="34" customFormat="1" x14ac:dyDescent="0.35">
      <c r="E2656" s="35"/>
      <c r="J2656" s="41"/>
    </row>
    <row r="2657" spans="5:10" s="34" customFormat="1" x14ac:dyDescent="0.35">
      <c r="E2657" s="35"/>
      <c r="J2657" s="41"/>
    </row>
    <row r="2658" spans="5:10" s="34" customFormat="1" x14ac:dyDescent="0.35">
      <c r="E2658" s="35"/>
      <c r="J2658" s="41"/>
    </row>
    <row r="2659" spans="5:10" s="34" customFormat="1" x14ac:dyDescent="0.35">
      <c r="E2659" s="35"/>
      <c r="J2659" s="41"/>
    </row>
    <row r="2660" spans="5:10" s="34" customFormat="1" x14ac:dyDescent="0.35">
      <c r="E2660" s="35"/>
      <c r="J2660" s="41"/>
    </row>
    <row r="2661" spans="5:10" s="34" customFormat="1" x14ac:dyDescent="0.35">
      <c r="E2661" s="35"/>
      <c r="J2661" s="41"/>
    </row>
    <row r="2662" spans="5:10" s="34" customFormat="1" x14ac:dyDescent="0.35">
      <c r="E2662" s="35"/>
      <c r="J2662" s="41"/>
    </row>
    <row r="2663" spans="5:10" s="34" customFormat="1" x14ac:dyDescent="0.35">
      <c r="E2663" s="35"/>
      <c r="J2663" s="41"/>
    </row>
    <row r="2664" spans="5:10" s="34" customFormat="1" x14ac:dyDescent="0.35">
      <c r="E2664" s="35"/>
      <c r="J2664" s="41"/>
    </row>
    <row r="2665" spans="5:10" s="34" customFormat="1" x14ac:dyDescent="0.35">
      <c r="E2665" s="35"/>
      <c r="J2665" s="41"/>
    </row>
    <row r="2666" spans="5:10" s="34" customFormat="1" x14ac:dyDescent="0.35">
      <c r="E2666" s="35"/>
      <c r="J2666" s="41"/>
    </row>
    <row r="2667" spans="5:10" s="34" customFormat="1" x14ac:dyDescent="0.35">
      <c r="E2667" s="35"/>
      <c r="J2667" s="41"/>
    </row>
    <row r="2668" spans="5:10" s="34" customFormat="1" x14ac:dyDescent="0.35">
      <c r="E2668" s="35"/>
      <c r="J2668" s="41"/>
    </row>
    <row r="2669" spans="5:10" s="34" customFormat="1" x14ac:dyDescent="0.35">
      <c r="E2669" s="35"/>
      <c r="J2669" s="41"/>
    </row>
    <row r="2670" spans="5:10" s="34" customFormat="1" x14ac:dyDescent="0.35">
      <c r="E2670" s="35"/>
      <c r="J2670" s="41"/>
    </row>
    <row r="2671" spans="5:10" s="34" customFormat="1" x14ac:dyDescent="0.35">
      <c r="E2671" s="35"/>
      <c r="J2671" s="41"/>
    </row>
    <row r="2672" spans="5:10" s="34" customFormat="1" x14ac:dyDescent="0.35">
      <c r="E2672" s="35"/>
      <c r="J2672" s="41"/>
    </row>
    <row r="2673" spans="5:10" s="34" customFormat="1" x14ac:dyDescent="0.35">
      <c r="E2673" s="35"/>
      <c r="J2673" s="41"/>
    </row>
    <row r="2674" spans="5:10" s="34" customFormat="1" x14ac:dyDescent="0.35">
      <c r="E2674" s="35"/>
      <c r="J2674" s="41"/>
    </row>
    <row r="2675" spans="5:10" s="34" customFormat="1" x14ac:dyDescent="0.35">
      <c r="E2675" s="35"/>
      <c r="J2675" s="41"/>
    </row>
    <row r="2676" spans="5:10" s="34" customFormat="1" x14ac:dyDescent="0.35">
      <c r="E2676" s="35"/>
      <c r="J2676" s="41"/>
    </row>
    <row r="2677" spans="5:10" s="34" customFormat="1" x14ac:dyDescent="0.35">
      <c r="E2677" s="35"/>
      <c r="J2677" s="41"/>
    </row>
    <row r="2678" spans="5:10" s="34" customFormat="1" x14ac:dyDescent="0.35">
      <c r="E2678" s="35"/>
      <c r="J2678" s="41"/>
    </row>
    <row r="2679" spans="5:10" s="34" customFormat="1" x14ac:dyDescent="0.35">
      <c r="E2679" s="35"/>
      <c r="J2679" s="41"/>
    </row>
    <row r="2680" spans="5:10" s="34" customFormat="1" x14ac:dyDescent="0.35">
      <c r="E2680" s="35"/>
      <c r="J2680" s="41"/>
    </row>
    <row r="2681" spans="5:10" s="34" customFormat="1" x14ac:dyDescent="0.35">
      <c r="E2681" s="35"/>
      <c r="J2681" s="41"/>
    </row>
    <row r="2682" spans="5:10" s="34" customFormat="1" x14ac:dyDescent="0.35">
      <c r="E2682" s="35"/>
      <c r="J2682" s="41"/>
    </row>
    <row r="2683" spans="5:10" s="34" customFormat="1" x14ac:dyDescent="0.35">
      <c r="E2683" s="35"/>
      <c r="J2683" s="41"/>
    </row>
    <row r="2684" spans="5:10" s="34" customFormat="1" x14ac:dyDescent="0.35">
      <c r="E2684" s="35"/>
      <c r="J2684" s="41"/>
    </row>
    <row r="2685" spans="5:10" s="34" customFormat="1" x14ac:dyDescent="0.35">
      <c r="E2685" s="35"/>
      <c r="J2685" s="41"/>
    </row>
    <row r="2686" spans="5:10" s="34" customFormat="1" x14ac:dyDescent="0.35">
      <c r="E2686" s="35"/>
      <c r="J2686" s="41"/>
    </row>
    <row r="2687" spans="5:10" s="34" customFormat="1" x14ac:dyDescent="0.35">
      <c r="E2687" s="35"/>
      <c r="J2687" s="41"/>
    </row>
    <row r="2688" spans="5:10" s="34" customFormat="1" x14ac:dyDescent="0.35">
      <c r="E2688" s="35"/>
      <c r="J2688" s="41"/>
    </row>
    <row r="2689" spans="5:10" s="34" customFormat="1" x14ac:dyDescent="0.35">
      <c r="E2689" s="35"/>
      <c r="J2689" s="41"/>
    </row>
    <row r="2690" spans="5:10" s="34" customFormat="1" x14ac:dyDescent="0.35">
      <c r="E2690" s="35"/>
      <c r="J2690" s="41"/>
    </row>
    <row r="2691" spans="5:10" s="34" customFormat="1" x14ac:dyDescent="0.35">
      <c r="E2691" s="35"/>
      <c r="J2691" s="41"/>
    </row>
    <row r="2692" spans="5:10" s="34" customFormat="1" x14ac:dyDescent="0.35">
      <c r="E2692" s="35"/>
      <c r="J2692" s="41"/>
    </row>
    <row r="2693" spans="5:10" s="34" customFormat="1" x14ac:dyDescent="0.35">
      <c r="E2693" s="35"/>
      <c r="J2693" s="41"/>
    </row>
    <row r="2694" spans="5:10" s="34" customFormat="1" x14ac:dyDescent="0.35">
      <c r="E2694" s="35"/>
      <c r="J2694" s="41"/>
    </row>
    <row r="2695" spans="5:10" s="34" customFormat="1" x14ac:dyDescent="0.35">
      <c r="E2695" s="35"/>
      <c r="J2695" s="41"/>
    </row>
    <row r="2696" spans="5:10" s="34" customFormat="1" x14ac:dyDescent="0.35">
      <c r="E2696" s="35"/>
      <c r="J2696" s="41"/>
    </row>
    <row r="2697" spans="5:10" s="34" customFormat="1" x14ac:dyDescent="0.35">
      <c r="E2697" s="35"/>
      <c r="J2697" s="41"/>
    </row>
    <row r="2698" spans="5:10" s="34" customFormat="1" x14ac:dyDescent="0.35">
      <c r="E2698" s="35"/>
      <c r="J2698" s="41"/>
    </row>
    <row r="2699" spans="5:10" s="34" customFormat="1" x14ac:dyDescent="0.35">
      <c r="E2699" s="35"/>
      <c r="J2699" s="41"/>
    </row>
    <row r="2700" spans="5:10" s="34" customFormat="1" x14ac:dyDescent="0.35">
      <c r="E2700" s="35"/>
      <c r="J2700" s="41"/>
    </row>
    <row r="2701" spans="5:10" s="34" customFormat="1" x14ac:dyDescent="0.35">
      <c r="E2701" s="35"/>
      <c r="J2701" s="41"/>
    </row>
    <row r="2702" spans="5:10" s="34" customFormat="1" x14ac:dyDescent="0.35">
      <c r="E2702" s="35"/>
      <c r="J2702" s="41"/>
    </row>
    <row r="2703" spans="5:10" s="34" customFormat="1" x14ac:dyDescent="0.35">
      <c r="E2703" s="35"/>
      <c r="J2703" s="41"/>
    </row>
    <row r="2704" spans="5:10" s="34" customFormat="1" x14ac:dyDescent="0.35">
      <c r="E2704" s="35"/>
      <c r="J2704" s="41"/>
    </row>
    <row r="2705" spans="5:10" s="34" customFormat="1" x14ac:dyDescent="0.35">
      <c r="E2705" s="35"/>
      <c r="J2705" s="41"/>
    </row>
    <row r="2706" spans="5:10" s="34" customFormat="1" x14ac:dyDescent="0.35">
      <c r="E2706" s="35"/>
      <c r="J2706" s="41"/>
    </row>
    <row r="2707" spans="5:10" s="34" customFormat="1" x14ac:dyDescent="0.35">
      <c r="E2707" s="35"/>
      <c r="J2707" s="41"/>
    </row>
    <row r="2708" spans="5:10" s="34" customFormat="1" x14ac:dyDescent="0.35">
      <c r="E2708" s="35"/>
      <c r="J2708" s="41"/>
    </row>
    <row r="2709" spans="5:10" s="34" customFormat="1" x14ac:dyDescent="0.35">
      <c r="E2709" s="35"/>
      <c r="J2709" s="41"/>
    </row>
    <row r="2710" spans="5:10" s="34" customFormat="1" x14ac:dyDescent="0.35">
      <c r="E2710" s="35"/>
      <c r="J2710" s="41"/>
    </row>
    <row r="2711" spans="5:10" s="34" customFormat="1" x14ac:dyDescent="0.35">
      <c r="E2711" s="35"/>
      <c r="J2711" s="41"/>
    </row>
    <row r="2712" spans="5:10" s="34" customFormat="1" x14ac:dyDescent="0.35">
      <c r="E2712" s="35"/>
      <c r="J2712" s="41"/>
    </row>
    <row r="2713" spans="5:10" s="34" customFormat="1" x14ac:dyDescent="0.35">
      <c r="E2713" s="35"/>
      <c r="J2713" s="41"/>
    </row>
    <row r="2714" spans="5:10" s="34" customFormat="1" x14ac:dyDescent="0.35">
      <c r="E2714" s="35"/>
      <c r="J2714" s="41"/>
    </row>
    <row r="2715" spans="5:10" s="34" customFormat="1" x14ac:dyDescent="0.35">
      <c r="E2715" s="35"/>
      <c r="J2715" s="41"/>
    </row>
    <row r="2716" spans="5:10" s="34" customFormat="1" x14ac:dyDescent="0.35">
      <c r="E2716" s="35"/>
      <c r="J2716" s="41"/>
    </row>
    <row r="2717" spans="5:10" s="34" customFormat="1" x14ac:dyDescent="0.35">
      <c r="E2717" s="35"/>
      <c r="J2717" s="41"/>
    </row>
    <row r="2718" spans="5:10" s="34" customFormat="1" x14ac:dyDescent="0.35">
      <c r="E2718" s="35"/>
      <c r="J2718" s="41"/>
    </row>
    <row r="2719" spans="5:10" s="34" customFormat="1" x14ac:dyDescent="0.35">
      <c r="E2719" s="35"/>
      <c r="J2719" s="41"/>
    </row>
    <row r="2720" spans="5:10" s="34" customFormat="1" x14ac:dyDescent="0.35">
      <c r="E2720" s="35"/>
      <c r="J2720" s="41"/>
    </row>
    <row r="2721" spans="5:10" s="34" customFormat="1" x14ac:dyDescent="0.35">
      <c r="E2721" s="35"/>
      <c r="J2721" s="41"/>
    </row>
    <row r="2722" spans="5:10" s="34" customFormat="1" x14ac:dyDescent="0.35">
      <c r="E2722" s="35"/>
      <c r="J2722" s="41"/>
    </row>
    <row r="2723" spans="5:10" s="34" customFormat="1" x14ac:dyDescent="0.35">
      <c r="E2723" s="35"/>
      <c r="J2723" s="41"/>
    </row>
    <row r="2724" spans="5:10" s="34" customFormat="1" x14ac:dyDescent="0.35">
      <c r="E2724" s="35"/>
      <c r="J2724" s="41"/>
    </row>
    <row r="2725" spans="5:10" s="34" customFormat="1" x14ac:dyDescent="0.35">
      <c r="E2725" s="35"/>
      <c r="J2725" s="41"/>
    </row>
    <row r="2726" spans="5:10" s="34" customFormat="1" x14ac:dyDescent="0.35">
      <c r="E2726" s="35"/>
      <c r="J2726" s="41"/>
    </row>
    <row r="2727" spans="5:10" s="34" customFormat="1" x14ac:dyDescent="0.35">
      <c r="E2727" s="35"/>
      <c r="J2727" s="41"/>
    </row>
    <row r="2728" spans="5:10" s="34" customFormat="1" x14ac:dyDescent="0.35">
      <c r="E2728" s="35"/>
      <c r="J2728" s="41"/>
    </row>
    <row r="2729" spans="5:10" s="34" customFormat="1" x14ac:dyDescent="0.35">
      <c r="E2729" s="35"/>
      <c r="J2729" s="41"/>
    </row>
    <row r="2730" spans="5:10" s="34" customFormat="1" x14ac:dyDescent="0.35">
      <c r="E2730" s="35"/>
      <c r="J2730" s="41"/>
    </row>
    <row r="2731" spans="5:10" s="34" customFormat="1" x14ac:dyDescent="0.35">
      <c r="E2731" s="35"/>
      <c r="J2731" s="41"/>
    </row>
    <row r="2732" spans="5:10" s="34" customFormat="1" x14ac:dyDescent="0.35">
      <c r="E2732" s="35"/>
      <c r="J2732" s="41"/>
    </row>
    <row r="2733" spans="5:10" s="34" customFormat="1" x14ac:dyDescent="0.35">
      <c r="E2733" s="35"/>
      <c r="J2733" s="41"/>
    </row>
    <row r="2734" spans="5:10" s="34" customFormat="1" x14ac:dyDescent="0.35">
      <c r="E2734" s="35"/>
      <c r="J2734" s="41"/>
    </row>
    <row r="2735" spans="5:10" s="34" customFormat="1" x14ac:dyDescent="0.35">
      <c r="E2735" s="35"/>
      <c r="J2735" s="41"/>
    </row>
    <row r="2736" spans="5:10" s="34" customFormat="1" x14ac:dyDescent="0.35">
      <c r="E2736" s="35"/>
      <c r="J2736" s="41"/>
    </row>
    <row r="2737" spans="5:10" s="34" customFormat="1" x14ac:dyDescent="0.35">
      <c r="E2737" s="35"/>
      <c r="J2737" s="41"/>
    </row>
    <row r="2738" spans="5:10" s="34" customFormat="1" x14ac:dyDescent="0.35">
      <c r="E2738" s="35"/>
      <c r="J2738" s="41"/>
    </row>
    <row r="2739" spans="5:10" s="34" customFormat="1" x14ac:dyDescent="0.35">
      <c r="E2739" s="35"/>
      <c r="J2739" s="41"/>
    </row>
    <row r="2740" spans="5:10" s="34" customFormat="1" x14ac:dyDescent="0.35">
      <c r="E2740" s="35"/>
      <c r="J2740" s="41"/>
    </row>
    <row r="2741" spans="5:10" s="34" customFormat="1" x14ac:dyDescent="0.35">
      <c r="E2741" s="35"/>
      <c r="J2741" s="41"/>
    </row>
    <row r="2742" spans="5:10" s="34" customFormat="1" x14ac:dyDescent="0.35">
      <c r="E2742" s="35"/>
      <c r="J2742" s="41"/>
    </row>
    <row r="2743" spans="5:10" s="34" customFormat="1" x14ac:dyDescent="0.35">
      <c r="E2743" s="35"/>
      <c r="J2743" s="41"/>
    </row>
    <row r="2744" spans="5:10" s="34" customFormat="1" x14ac:dyDescent="0.35">
      <c r="E2744" s="35"/>
      <c r="J2744" s="41"/>
    </row>
    <row r="2745" spans="5:10" s="34" customFormat="1" x14ac:dyDescent="0.35">
      <c r="E2745" s="35"/>
      <c r="J2745" s="41"/>
    </row>
    <row r="2746" spans="5:10" s="34" customFormat="1" x14ac:dyDescent="0.35">
      <c r="E2746" s="35"/>
      <c r="J2746" s="41"/>
    </row>
    <row r="2747" spans="5:10" s="34" customFormat="1" x14ac:dyDescent="0.35">
      <c r="E2747" s="35"/>
      <c r="J2747" s="41"/>
    </row>
    <row r="2748" spans="5:10" s="34" customFormat="1" x14ac:dyDescent="0.35">
      <c r="E2748" s="35"/>
      <c r="J2748" s="41"/>
    </row>
    <row r="2749" spans="5:10" s="34" customFormat="1" x14ac:dyDescent="0.35">
      <c r="E2749" s="35"/>
      <c r="J2749" s="41"/>
    </row>
    <row r="2750" spans="5:10" s="34" customFormat="1" x14ac:dyDescent="0.35">
      <c r="E2750" s="35"/>
      <c r="J2750" s="41"/>
    </row>
    <row r="2751" spans="5:10" s="34" customFormat="1" x14ac:dyDescent="0.35">
      <c r="E2751" s="35"/>
      <c r="J2751" s="41"/>
    </row>
    <row r="2752" spans="5:10" s="34" customFormat="1" x14ac:dyDescent="0.35">
      <c r="E2752" s="35"/>
      <c r="J2752" s="41"/>
    </row>
    <row r="2753" spans="5:10" s="34" customFormat="1" x14ac:dyDescent="0.35">
      <c r="E2753" s="35"/>
      <c r="J2753" s="41"/>
    </row>
    <row r="2754" spans="5:10" s="34" customFormat="1" x14ac:dyDescent="0.35">
      <c r="E2754" s="35"/>
      <c r="J2754" s="41"/>
    </row>
    <row r="2755" spans="5:10" s="34" customFormat="1" x14ac:dyDescent="0.35">
      <c r="E2755" s="35"/>
      <c r="J2755" s="41"/>
    </row>
    <row r="2756" spans="5:10" s="34" customFormat="1" x14ac:dyDescent="0.35">
      <c r="E2756" s="35"/>
      <c r="J2756" s="41"/>
    </row>
    <row r="2757" spans="5:10" s="34" customFormat="1" x14ac:dyDescent="0.35">
      <c r="E2757" s="35"/>
      <c r="J2757" s="41"/>
    </row>
    <row r="2758" spans="5:10" s="34" customFormat="1" x14ac:dyDescent="0.35">
      <c r="E2758" s="35"/>
      <c r="J2758" s="41"/>
    </row>
    <row r="2759" spans="5:10" s="34" customFormat="1" x14ac:dyDescent="0.35">
      <c r="E2759" s="35"/>
      <c r="J2759" s="41"/>
    </row>
    <row r="2760" spans="5:10" s="34" customFormat="1" x14ac:dyDescent="0.35">
      <c r="E2760" s="35"/>
      <c r="J2760" s="41"/>
    </row>
    <row r="2761" spans="5:10" s="34" customFormat="1" x14ac:dyDescent="0.35">
      <c r="E2761" s="35"/>
      <c r="J2761" s="41"/>
    </row>
    <row r="2762" spans="5:10" s="34" customFormat="1" x14ac:dyDescent="0.35">
      <c r="E2762" s="35"/>
      <c r="J2762" s="41"/>
    </row>
    <row r="2763" spans="5:10" s="34" customFormat="1" x14ac:dyDescent="0.35">
      <c r="E2763" s="35"/>
      <c r="J2763" s="41"/>
    </row>
    <row r="2764" spans="5:10" s="34" customFormat="1" x14ac:dyDescent="0.35">
      <c r="E2764" s="35"/>
      <c r="J2764" s="41"/>
    </row>
    <row r="2765" spans="5:10" s="34" customFormat="1" x14ac:dyDescent="0.35">
      <c r="E2765" s="35"/>
      <c r="J2765" s="41"/>
    </row>
    <row r="2766" spans="5:10" s="34" customFormat="1" x14ac:dyDescent="0.35">
      <c r="E2766" s="35"/>
      <c r="J2766" s="41"/>
    </row>
    <row r="2767" spans="5:10" s="34" customFormat="1" x14ac:dyDescent="0.35">
      <c r="E2767" s="35"/>
      <c r="J2767" s="41"/>
    </row>
    <row r="2768" spans="5:10" s="34" customFormat="1" x14ac:dyDescent="0.35">
      <c r="E2768" s="35"/>
      <c r="J2768" s="41"/>
    </row>
    <row r="2769" spans="5:10" s="34" customFormat="1" x14ac:dyDescent="0.35">
      <c r="E2769" s="35"/>
      <c r="J2769" s="41"/>
    </row>
    <row r="2770" spans="5:10" s="34" customFormat="1" x14ac:dyDescent="0.35">
      <c r="E2770" s="35"/>
      <c r="J2770" s="41"/>
    </row>
    <row r="2771" spans="5:10" s="34" customFormat="1" x14ac:dyDescent="0.35">
      <c r="E2771" s="35"/>
      <c r="J2771" s="41"/>
    </row>
    <row r="2772" spans="5:10" s="34" customFormat="1" x14ac:dyDescent="0.35">
      <c r="E2772" s="35"/>
      <c r="J2772" s="41"/>
    </row>
    <row r="2773" spans="5:10" s="34" customFormat="1" x14ac:dyDescent="0.35">
      <c r="E2773" s="35"/>
      <c r="J2773" s="41"/>
    </row>
    <row r="2774" spans="5:10" s="34" customFormat="1" x14ac:dyDescent="0.35">
      <c r="E2774" s="35"/>
      <c r="J2774" s="41"/>
    </row>
    <row r="2775" spans="5:10" s="34" customFormat="1" x14ac:dyDescent="0.35">
      <c r="E2775" s="35"/>
      <c r="J2775" s="41"/>
    </row>
    <row r="2776" spans="5:10" s="34" customFormat="1" x14ac:dyDescent="0.35">
      <c r="E2776" s="35"/>
      <c r="J2776" s="41"/>
    </row>
    <row r="2777" spans="5:10" s="34" customFormat="1" x14ac:dyDescent="0.35">
      <c r="E2777" s="35"/>
      <c r="J2777" s="41"/>
    </row>
    <row r="2778" spans="5:10" s="34" customFormat="1" x14ac:dyDescent="0.35">
      <c r="E2778" s="35"/>
      <c r="J2778" s="41"/>
    </row>
    <row r="2779" spans="5:10" s="34" customFormat="1" x14ac:dyDescent="0.35">
      <c r="E2779" s="35"/>
      <c r="J2779" s="41"/>
    </row>
    <row r="2780" spans="5:10" s="34" customFormat="1" x14ac:dyDescent="0.35">
      <c r="E2780" s="35"/>
      <c r="J2780" s="41"/>
    </row>
    <row r="2781" spans="5:10" s="34" customFormat="1" x14ac:dyDescent="0.35">
      <c r="E2781" s="35"/>
      <c r="J2781" s="41"/>
    </row>
    <row r="2782" spans="5:10" s="34" customFormat="1" x14ac:dyDescent="0.35">
      <c r="E2782" s="35"/>
      <c r="J2782" s="41"/>
    </row>
    <row r="2783" spans="5:10" s="34" customFormat="1" x14ac:dyDescent="0.35">
      <c r="E2783" s="35"/>
      <c r="J2783" s="41"/>
    </row>
    <row r="2784" spans="5:10" s="34" customFormat="1" x14ac:dyDescent="0.35">
      <c r="E2784" s="35"/>
      <c r="J2784" s="41"/>
    </row>
    <row r="2785" spans="5:10" s="34" customFormat="1" x14ac:dyDescent="0.35">
      <c r="E2785" s="35"/>
      <c r="J2785" s="41"/>
    </row>
    <row r="2786" spans="5:10" s="34" customFormat="1" x14ac:dyDescent="0.35">
      <c r="E2786" s="35"/>
      <c r="J2786" s="41"/>
    </row>
    <row r="2787" spans="5:10" s="34" customFormat="1" x14ac:dyDescent="0.35">
      <c r="E2787" s="35"/>
      <c r="J2787" s="41"/>
    </row>
    <row r="2788" spans="5:10" s="34" customFormat="1" x14ac:dyDescent="0.35">
      <c r="E2788" s="35"/>
      <c r="J2788" s="41"/>
    </row>
    <row r="2789" spans="5:10" s="34" customFormat="1" x14ac:dyDescent="0.35">
      <c r="E2789" s="35"/>
      <c r="J2789" s="41"/>
    </row>
    <row r="2790" spans="5:10" s="34" customFormat="1" x14ac:dyDescent="0.35">
      <c r="E2790" s="35"/>
      <c r="J2790" s="41"/>
    </row>
    <row r="2791" spans="5:10" s="34" customFormat="1" x14ac:dyDescent="0.35">
      <c r="E2791" s="35"/>
      <c r="J2791" s="41"/>
    </row>
    <row r="2792" spans="5:10" s="34" customFormat="1" x14ac:dyDescent="0.35">
      <c r="E2792" s="35"/>
      <c r="J2792" s="41"/>
    </row>
    <row r="2793" spans="5:10" s="34" customFormat="1" x14ac:dyDescent="0.35">
      <c r="E2793" s="35"/>
      <c r="J2793" s="41"/>
    </row>
    <row r="2794" spans="5:10" s="34" customFormat="1" x14ac:dyDescent="0.35">
      <c r="E2794" s="35"/>
      <c r="J2794" s="41"/>
    </row>
    <row r="2795" spans="5:10" s="34" customFormat="1" x14ac:dyDescent="0.35">
      <c r="E2795" s="35"/>
      <c r="J2795" s="41"/>
    </row>
    <row r="2796" spans="5:10" s="34" customFormat="1" x14ac:dyDescent="0.35">
      <c r="E2796" s="35"/>
      <c r="J2796" s="41"/>
    </row>
    <row r="2797" spans="5:10" s="34" customFormat="1" x14ac:dyDescent="0.35">
      <c r="E2797" s="35"/>
      <c r="J2797" s="41"/>
    </row>
    <row r="2798" spans="5:10" s="34" customFormat="1" x14ac:dyDescent="0.35">
      <c r="E2798" s="35"/>
      <c r="J2798" s="41"/>
    </row>
    <row r="2799" spans="5:10" s="34" customFormat="1" x14ac:dyDescent="0.35">
      <c r="E2799" s="35"/>
      <c r="J2799" s="41"/>
    </row>
    <row r="2800" spans="5:10" s="34" customFormat="1" x14ac:dyDescent="0.35">
      <c r="E2800" s="35"/>
      <c r="J2800" s="41"/>
    </row>
    <row r="2801" spans="5:10" s="34" customFormat="1" x14ac:dyDescent="0.35">
      <c r="E2801" s="35"/>
      <c r="J2801" s="41"/>
    </row>
    <row r="2802" spans="5:10" s="34" customFormat="1" x14ac:dyDescent="0.35">
      <c r="E2802" s="35"/>
      <c r="J2802" s="41"/>
    </row>
    <row r="2803" spans="5:10" s="34" customFormat="1" x14ac:dyDescent="0.35">
      <c r="E2803" s="35"/>
      <c r="J2803" s="41"/>
    </row>
    <row r="2804" spans="5:10" s="34" customFormat="1" x14ac:dyDescent="0.35">
      <c r="E2804" s="35"/>
      <c r="J2804" s="41"/>
    </row>
    <row r="2805" spans="5:10" s="34" customFormat="1" x14ac:dyDescent="0.35">
      <c r="E2805" s="35"/>
      <c r="J2805" s="41"/>
    </row>
    <row r="2806" spans="5:10" s="34" customFormat="1" x14ac:dyDescent="0.35">
      <c r="E2806" s="35"/>
      <c r="J2806" s="41"/>
    </row>
    <row r="2807" spans="5:10" s="34" customFormat="1" x14ac:dyDescent="0.35">
      <c r="E2807" s="35"/>
      <c r="J2807" s="41"/>
    </row>
    <row r="2808" spans="5:10" s="34" customFormat="1" x14ac:dyDescent="0.35">
      <c r="E2808" s="35"/>
      <c r="J2808" s="41"/>
    </row>
    <row r="2809" spans="5:10" s="34" customFormat="1" x14ac:dyDescent="0.35">
      <c r="E2809" s="35"/>
      <c r="J2809" s="41"/>
    </row>
    <row r="2810" spans="5:10" s="34" customFormat="1" x14ac:dyDescent="0.35">
      <c r="E2810" s="35"/>
      <c r="J2810" s="41"/>
    </row>
    <row r="2811" spans="5:10" s="34" customFormat="1" x14ac:dyDescent="0.35">
      <c r="E2811" s="35"/>
      <c r="J2811" s="41"/>
    </row>
    <row r="2812" spans="5:10" s="34" customFormat="1" x14ac:dyDescent="0.35">
      <c r="E2812" s="35"/>
      <c r="J2812" s="41"/>
    </row>
    <row r="2813" spans="5:10" s="34" customFormat="1" x14ac:dyDescent="0.35">
      <c r="E2813" s="35"/>
      <c r="J2813" s="41"/>
    </row>
    <row r="2814" spans="5:10" s="34" customFormat="1" x14ac:dyDescent="0.35">
      <c r="E2814" s="35"/>
      <c r="J2814" s="41"/>
    </row>
    <row r="2815" spans="5:10" s="34" customFormat="1" x14ac:dyDescent="0.35">
      <c r="E2815" s="35"/>
      <c r="J2815" s="41"/>
    </row>
    <row r="2816" spans="5:10" s="34" customFormat="1" x14ac:dyDescent="0.35">
      <c r="E2816" s="35"/>
      <c r="J2816" s="41"/>
    </row>
    <row r="2817" spans="5:10" s="34" customFormat="1" x14ac:dyDescent="0.35">
      <c r="E2817" s="35"/>
      <c r="J2817" s="41"/>
    </row>
    <row r="2818" spans="5:10" s="34" customFormat="1" x14ac:dyDescent="0.35">
      <c r="E2818" s="35"/>
      <c r="J2818" s="41"/>
    </row>
    <row r="2819" spans="5:10" s="34" customFormat="1" x14ac:dyDescent="0.35">
      <c r="E2819" s="35"/>
      <c r="J2819" s="41"/>
    </row>
    <row r="2820" spans="5:10" s="34" customFormat="1" x14ac:dyDescent="0.35">
      <c r="E2820" s="35"/>
      <c r="J2820" s="41"/>
    </row>
    <row r="2821" spans="5:10" s="34" customFormat="1" x14ac:dyDescent="0.35">
      <c r="E2821" s="35"/>
      <c r="J2821" s="41"/>
    </row>
    <row r="2822" spans="5:10" s="34" customFormat="1" x14ac:dyDescent="0.35">
      <c r="E2822" s="35"/>
      <c r="J2822" s="41"/>
    </row>
    <row r="2823" spans="5:10" s="34" customFormat="1" x14ac:dyDescent="0.35">
      <c r="E2823" s="35"/>
      <c r="J2823" s="41"/>
    </row>
    <row r="2824" spans="5:10" s="34" customFormat="1" x14ac:dyDescent="0.35">
      <c r="E2824" s="35"/>
      <c r="J2824" s="41"/>
    </row>
    <row r="2825" spans="5:10" s="34" customFormat="1" x14ac:dyDescent="0.35">
      <c r="E2825" s="35"/>
      <c r="J2825" s="41"/>
    </row>
    <row r="2826" spans="5:10" s="34" customFormat="1" x14ac:dyDescent="0.35">
      <c r="E2826" s="35"/>
      <c r="J2826" s="41"/>
    </row>
    <row r="2827" spans="5:10" s="34" customFormat="1" x14ac:dyDescent="0.35">
      <c r="E2827" s="35"/>
      <c r="J2827" s="41"/>
    </row>
    <row r="2828" spans="5:10" s="34" customFormat="1" x14ac:dyDescent="0.35">
      <c r="E2828" s="35"/>
      <c r="J2828" s="41"/>
    </row>
    <row r="2829" spans="5:10" s="34" customFormat="1" x14ac:dyDescent="0.35">
      <c r="E2829" s="35"/>
      <c r="J2829" s="41"/>
    </row>
    <row r="2830" spans="5:10" s="34" customFormat="1" x14ac:dyDescent="0.35">
      <c r="E2830" s="35"/>
      <c r="J2830" s="41"/>
    </row>
    <row r="2831" spans="5:10" s="34" customFormat="1" x14ac:dyDescent="0.35">
      <c r="E2831" s="35"/>
      <c r="J2831" s="41"/>
    </row>
    <row r="2832" spans="5:10" s="34" customFormat="1" x14ac:dyDescent="0.35">
      <c r="E2832" s="35"/>
      <c r="J2832" s="41"/>
    </row>
    <row r="2833" spans="5:10" s="34" customFormat="1" x14ac:dyDescent="0.35">
      <c r="E2833" s="35"/>
      <c r="J2833" s="41"/>
    </row>
    <row r="2834" spans="5:10" s="34" customFormat="1" x14ac:dyDescent="0.35">
      <c r="E2834" s="35"/>
      <c r="J2834" s="41"/>
    </row>
    <row r="2835" spans="5:10" s="34" customFormat="1" x14ac:dyDescent="0.35">
      <c r="E2835" s="35"/>
      <c r="J2835" s="41"/>
    </row>
    <row r="2836" spans="5:10" s="34" customFormat="1" x14ac:dyDescent="0.35">
      <c r="E2836" s="35"/>
      <c r="J2836" s="41"/>
    </row>
    <row r="2837" spans="5:10" s="34" customFormat="1" x14ac:dyDescent="0.35">
      <c r="E2837" s="35"/>
      <c r="J2837" s="41"/>
    </row>
    <row r="2838" spans="5:10" s="34" customFormat="1" x14ac:dyDescent="0.35">
      <c r="E2838" s="35"/>
      <c r="J2838" s="41"/>
    </row>
    <row r="2839" spans="5:10" s="34" customFormat="1" x14ac:dyDescent="0.35">
      <c r="E2839" s="35"/>
      <c r="J2839" s="41"/>
    </row>
    <row r="2840" spans="5:10" s="34" customFormat="1" x14ac:dyDescent="0.35">
      <c r="E2840" s="35"/>
      <c r="J2840" s="41"/>
    </row>
    <row r="2841" spans="5:10" s="34" customFormat="1" x14ac:dyDescent="0.35">
      <c r="E2841" s="35"/>
      <c r="J2841" s="41"/>
    </row>
    <row r="2842" spans="5:10" s="34" customFormat="1" x14ac:dyDescent="0.35">
      <c r="E2842" s="35"/>
      <c r="J2842" s="41"/>
    </row>
    <row r="2843" spans="5:10" s="34" customFormat="1" x14ac:dyDescent="0.35">
      <c r="E2843" s="35"/>
      <c r="J2843" s="41"/>
    </row>
    <row r="2844" spans="5:10" s="34" customFormat="1" x14ac:dyDescent="0.35">
      <c r="E2844" s="35"/>
      <c r="J2844" s="41"/>
    </row>
    <row r="2845" spans="5:10" s="34" customFormat="1" x14ac:dyDescent="0.35">
      <c r="E2845" s="35"/>
      <c r="J2845" s="41"/>
    </row>
    <row r="2846" spans="5:10" s="34" customFormat="1" x14ac:dyDescent="0.35">
      <c r="E2846" s="35"/>
      <c r="J2846" s="41"/>
    </row>
    <row r="2847" spans="5:10" s="34" customFormat="1" x14ac:dyDescent="0.35">
      <c r="E2847" s="35"/>
      <c r="J2847" s="41"/>
    </row>
    <row r="2848" spans="5:10" s="34" customFormat="1" x14ac:dyDescent="0.35">
      <c r="E2848" s="35"/>
      <c r="J2848" s="41"/>
    </row>
    <row r="2849" spans="5:10" s="34" customFormat="1" x14ac:dyDescent="0.35">
      <c r="E2849" s="35"/>
      <c r="J2849" s="41"/>
    </row>
    <row r="2850" spans="5:10" s="34" customFormat="1" x14ac:dyDescent="0.35">
      <c r="E2850" s="35"/>
      <c r="J2850" s="41"/>
    </row>
    <row r="2851" spans="5:10" s="34" customFormat="1" x14ac:dyDescent="0.35">
      <c r="E2851" s="35"/>
      <c r="J2851" s="41"/>
    </row>
    <row r="2852" spans="5:10" s="34" customFormat="1" x14ac:dyDescent="0.35">
      <c r="E2852" s="35"/>
      <c r="J2852" s="41"/>
    </row>
    <row r="2853" spans="5:10" s="34" customFormat="1" x14ac:dyDescent="0.35">
      <c r="E2853" s="35"/>
      <c r="J2853" s="41"/>
    </row>
    <row r="2854" spans="5:10" s="34" customFormat="1" x14ac:dyDescent="0.35">
      <c r="E2854" s="35"/>
      <c r="J2854" s="41"/>
    </row>
    <row r="2855" spans="5:10" s="34" customFormat="1" x14ac:dyDescent="0.35">
      <c r="E2855" s="35"/>
      <c r="J2855" s="41"/>
    </row>
    <row r="2856" spans="5:10" s="34" customFormat="1" x14ac:dyDescent="0.35">
      <c r="E2856" s="35"/>
      <c r="J2856" s="41"/>
    </row>
    <row r="2857" spans="5:10" s="34" customFormat="1" x14ac:dyDescent="0.35">
      <c r="E2857" s="35"/>
      <c r="J2857" s="41"/>
    </row>
    <row r="2858" spans="5:10" s="34" customFormat="1" x14ac:dyDescent="0.35">
      <c r="E2858" s="35"/>
      <c r="J2858" s="41"/>
    </row>
    <row r="2859" spans="5:10" s="34" customFormat="1" x14ac:dyDescent="0.35">
      <c r="E2859" s="35"/>
      <c r="J2859" s="41"/>
    </row>
    <row r="2860" spans="5:10" s="34" customFormat="1" x14ac:dyDescent="0.35">
      <c r="E2860" s="35"/>
      <c r="J2860" s="41"/>
    </row>
    <row r="2861" spans="5:10" s="34" customFormat="1" x14ac:dyDescent="0.35">
      <c r="E2861" s="35"/>
      <c r="J2861" s="41"/>
    </row>
    <row r="2862" spans="5:10" s="34" customFormat="1" x14ac:dyDescent="0.35">
      <c r="E2862" s="35"/>
      <c r="J2862" s="41"/>
    </row>
    <row r="2863" spans="5:10" s="34" customFormat="1" x14ac:dyDescent="0.35">
      <c r="E2863" s="35"/>
      <c r="J2863" s="41"/>
    </row>
    <row r="2864" spans="5:10" s="34" customFormat="1" x14ac:dyDescent="0.35">
      <c r="E2864" s="35"/>
      <c r="J2864" s="41"/>
    </row>
    <row r="2865" spans="5:10" s="34" customFormat="1" x14ac:dyDescent="0.35">
      <c r="E2865" s="35"/>
      <c r="J2865" s="41"/>
    </row>
    <row r="2866" spans="5:10" s="34" customFormat="1" x14ac:dyDescent="0.35">
      <c r="E2866" s="35"/>
      <c r="J2866" s="41"/>
    </row>
    <row r="2867" spans="5:10" s="34" customFormat="1" x14ac:dyDescent="0.35">
      <c r="E2867" s="35"/>
      <c r="J2867" s="41"/>
    </row>
    <row r="2868" spans="5:10" s="34" customFormat="1" x14ac:dyDescent="0.35">
      <c r="E2868" s="35"/>
      <c r="J2868" s="41"/>
    </row>
    <row r="2869" spans="5:10" s="34" customFormat="1" x14ac:dyDescent="0.35">
      <c r="E2869" s="35"/>
      <c r="J2869" s="41"/>
    </row>
    <row r="2870" spans="5:10" s="34" customFormat="1" x14ac:dyDescent="0.35">
      <c r="E2870" s="35"/>
      <c r="J2870" s="41"/>
    </row>
    <row r="2871" spans="5:10" s="34" customFormat="1" x14ac:dyDescent="0.35">
      <c r="E2871" s="35"/>
      <c r="J2871" s="41"/>
    </row>
    <row r="2872" spans="5:10" s="34" customFormat="1" x14ac:dyDescent="0.35">
      <c r="E2872" s="35"/>
      <c r="J2872" s="41"/>
    </row>
    <row r="2873" spans="5:10" s="34" customFormat="1" x14ac:dyDescent="0.35">
      <c r="E2873" s="35"/>
      <c r="J2873" s="41"/>
    </row>
    <row r="2874" spans="5:10" s="34" customFormat="1" x14ac:dyDescent="0.35">
      <c r="E2874" s="35"/>
      <c r="J2874" s="41"/>
    </row>
    <row r="2875" spans="5:10" s="34" customFormat="1" x14ac:dyDescent="0.35">
      <c r="E2875" s="35"/>
      <c r="J2875" s="41"/>
    </row>
    <row r="2876" spans="5:10" s="34" customFormat="1" x14ac:dyDescent="0.35">
      <c r="E2876" s="35"/>
      <c r="J2876" s="41"/>
    </row>
    <row r="2877" spans="5:10" s="34" customFormat="1" x14ac:dyDescent="0.35">
      <c r="E2877" s="35"/>
      <c r="J2877" s="41"/>
    </row>
    <row r="2878" spans="5:10" s="34" customFormat="1" x14ac:dyDescent="0.35">
      <c r="E2878" s="35"/>
      <c r="J2878" s="41"/>
    </row>
    <row r="2879" spans="5:10" s="34" customFormat="1" x14ac:dyDescent="0.35">
      <c r="E2879" s="35"/>
      <c r="J2879" s="41"/>
    </row>
    <row r="2880" spans="5:10" s="34" customFormat="1" x14ac:dyDescent="0.35">
      <c r="E2880" s="35"/>
      <c r="J2880" s="41"/>
    </row>
    <row r="2881" spans="5:10" s="34" customFormat="1" x14ac:dyDescent="0.35">
      <c r="E2881" s="35"/>
      <c r="J2881" s="41"/>
    </row>
    <row r="2882" spans="5:10" s="34" customFormat="1" x14ac:dyDescent="0.35">
      <c r="E2882" s="35"/>
      <c r="J2882" s="41"/>
    </row>
    <row r="2883" spans="5:10" s="34" customFormat="1" x14ac:dyDescent="0.35">
      <c r="E2883" s="35"/>
      <c r="J2883" s="41"/>
    </row>
    <row r="2884" spans="5:10" s="34" customFormat="1" x14ac:dyDescent="0.35">
      <c r="E2884" s="35"/>
      <c r="J2884" s="41"/>
    </row>
    <row r="2885" spans="5:10" s="34" customFormat="1" x14ac:dyDescent="0.35">
      <c r="E2885" s="35"/>
      <c r="J2885" s="41"/>
    </row>
    <row r="2886" spans="5:10" s="34" customFormat="1" x14ac:dyDescent="0.35">
      <c r="E2886" s="35"/>
      <c r="J2886" s="41"/>
    </row>
    <row r="2887" spans="5:10" s="34" customFormat="1" x14ac:dyDescent="0.35">
      <c r="E2887" s="35"/>
      <c r="J2887" s="41"/>
    </row>
    <row r="2888" spans="5:10" s="34" customFormat="1" x14ac:dyDescent="0.35">
      <c r="E2888" s="35"/>
      <c r="J2888" s="41"/>
    </row>
    <row r="2889" spans="5:10" s="34" customFormat="1" x14ac:dyDescent="0.35">
      <c r="E2889" s="35"/>
      <c r="J2889" s="41"/>
    </row>
    <row r="2890" spans="5:10" s="34" customFormat="1" x14ac:dyDescent="0.35">
      <c r="E2890" s="35"/>
      <c r="J2890" s="41"/>
    </row>
    <row r="2891" spans="5:10" s="34" customFormat="1" x14ac:dyDescent="0.35">
      <c r="E2891" s="35"/>
      <c r="J2891" s="41"/>
    </row>
    <row r="2892" spans="5:10" s="34" customFormat="1" x14ac:dyDescent="0.35">
      <c r="E2892" s="35"/>
      <c r="J2892" s="41"/>
    </row>
    <row r="2893" spans="5:10" s="34" customFormat="1" x14ac:dyDescent="0.35">
      <c r="E2893" s="35"/>
      <c r="J2893" s="41"/>
    </row>
    <row r="2894" spans="5:10" s="34" customFormat="1" x14ac:dyDescent="0.35">
      <c r="E2894" s="35"/>
      <c r="J2894" s="41"/>
    </row>
    <row r="2895" spans="5:10" s="34" customFormat="1" x14ac:dyDescent="0.35">
      <c r="E2895" s="35"/>
      <c r="J2895" s="41"/>
    </row>
    <row r="2896" spans="5:10" s="34" customFormat="1" x14ac:dyDescent="0.35">
      <c r="E2896" s="35"/>
      <c r="J2896" s="41"/>
    </row>
    <row r="2897" spans="5:10" s="34" customFormat="1" x14ac:dyDescent="0.35">
      <c r="E2897" s="35"/>
      <c r="J2897" s="41"/>
    </row>
    <row r="2898" spans="5:10" s="34" customFormat="1" x14ac:dyDescent="0.35">
      <c r="E2898" s="35"/>
      <c r="J2898" s="41"/>
    </row>
    <row r="2899" spans="5:10" s="34" customFormat="1" x14ac:dyDescent="0.35">
      <c r="E2899" s="35"/>
      <c r="J2899" s="41"/>
    </row>
    <row r="2900" spans="5:10" s="34" customFormat="1" x14ac:dyDescent="0.35">
      <c r="E2900" s="35"/>
      <c r="J2900" s="41"/>
    </row>
    <row r="2901" spans="5:10" s="34" customFormat="1" x14ac:dyDescent="0.35">
      <c r="E2901" s="35"/>
      <c r="J2901" s="41"/>
    </row>
    <row r="2902" spans="5:10" s="34" customFormat="1" x14ac:dyDescent="0.35">
      <c r="E2902" s="35"/>
      <c r="J2902" s="41"/>
    </row>
    <row r="2903" spans="5:10" s="34" customFormat="1" x14ac:dyDescent="0.35">
      <c r="E2903" s="35"/>
      <c r="J2903" s="41"/>
    </row>
    <row r="2904" spans="5:10" s="34" customFormat="1" x14ac:dyDescent="0.35">
      <c r="E2904" s="35"/>
      <c r="J2904" s="41"/>
    </row>
    <row r="2905" spans="5:10" s="34" customFormat="1" x14ac:dyDescent="0.35">
      <c r="E2905" s="35"/>
      <c r="J2905" s="41"/>
    </row>
    <row r="2906" spans="5:10" s="34" customFormat="1" x14ac:dyDescent="0.35">
      <c r="E2906" s="35"/>
      <c r="J2906" s="41"/>
    </row>
    <row r="2907" spans="5:10" s="34" customFormat="1" x14ac:dyDescent="0.35">
      <c r="E2907" s="35"/>
      <c r="J2907" s="41"/>
    </row>
    <row r="2908" spans="5:10" s="34" customFormat="1" x14ac:dyDescent="0.35">
      <c r="E2908" s="35"/>
      <c r="J2908" s="41"/>
    </row>
    <row r="2909" spans="5:10" s="34" customFormat="1" x14ac:dyDescent="0.35">
      <c r="E2909" s="35"/>
      <c r="J2909" s="41"/>
    </row>
    <row r="2910" spans="5:10" s="34" customFormat="1" x14ac:dyDescent="0.35">
      <c r="E2910" s="35"/>
      <c r="J2910" s="41"/>
    </row>
    <row r="2911" spans="5:10" s="34" customFormat="1" x14ac:dyDescent="0.35">
      <c r="E2911" s="35"/>
      <c r="J2911" s="41"/>
    </row>
    <row r="2912" spans="5:10" s="34" customFormat="1" x14ac:dyDescent="0.35">
      <c r="E2912" s="35"/>
      <c r="J2912" s="41"/>
    </row>
    <row r="2913" spans="5:10" s="34" customFormat="1" x14ac:dyDescent="0.35">
      <c r="E2913" s="35"/>
      <c r="J2913" s="41"/>
    </row>
    <row r="2914" spans="5:10" s="34" customFormat="1" x14ac:dyDescent="0.35">
      <c r="E2914" s="35"/>
      <c r="J2914" s="41"/>
    </row>
    <row r="2915" spans="5:10" s="34" customFormat="1" x14ac:dyDescent="0.35">
      <c r="E2915" s="35"/>
      <c r="J2915" s="41"/>
    </row>
    <row r="2916" spans="5:10" s="34" customFormat="1" x14ac:dyDescent="0.35">
      <c r="E2916" s="35"/>
      <c r="J2916" s="41"/>
    </row>
    <row r="2917" spans="5:10" s="34" customFormat="1" x14ac:dyDescent="0.35">
      <c r="E2917" s="35"/>
      <c r="J2917" s="41"/>
    </row>
    <row r="2918" spans="5:10" s="34" customFormat="1" x14ac:dyDescent="0.35">
      <c r="E2918" s="35"/>
      <c r="J2918" s="41"/>
    </row>
    <row r="2919" spans="5:10" s="34" customFormat="1" x14ac:dyDescent="0.35">
      <c r="E2919" s="35"/>
      <c r="J2919" s="41"/>
    </row>
    <row r="2920" spans="5:10" s="34" customFormat="1" x14ac:dyDescent="0.35">
      <c r="E2920" s="35"/>
      <c r="J2920" s="41"/>
    </row>
    <row r="2921" spans="5:10" s="34" customFormat="1" x14ac:dyDescent="0.35">
      <c r="E2921" s="35"/>
      <c r="J2921" s="41"/>
    </row>
    <row r="2922" spans="5:10" s="34" customFormat="1" x14ac:dyDescent="0.35">
      <c r="E2922" s="35"/>
      <c r="J2922" s="41"/>
    </row>
    <row r="2923" spans="5:10" s="34" customFormat="1" x14ac:dyDescent="0.35">
      <c r="E2923" s="35"/>
      <c r="J2923" s="41"/>
    </row>
    <row r="2924" spans="5:10" s="34" customFormat="1" x14ac:dyDescent="0.35">
      <c r="E2924" s="35"/>
      <c r="J2924" s="41"/>
    </row>
    <row r="2925" spans="5:10" s="34" customFormat="1" x14ac:dyDescent="0.35">
      <c r="E2925" s="35"/>
      <c r="J2925" s="41"/>
    </row>
    <row r="2926" spans="5:10" s="34" customFormat="1" x14ac:dyDescent="0.35">
      <c r="E2926" s="35"/>
      <c r="J2926" s="41"/>
    </row>
    <row r="2927" spans="5:10" s="34" customFormat="1" x14ac:dyDescent="0.35">
      <c r="E2927" s="35"/>
      <c r="J2927" s="41"/>
    </row>
    <row r="2928" spans="5:10" s="34" customFormat="1" x14ac:dyDescent="0.35">
      <c r="E2928" s="35"/>
      <c r="J2928" s="41"/>
    </row>
    <row r="2929" spans="5:10" s="34" customFormat="1" x14ac:dyDescent="0.35">
      <c r="E2929" s="35"/>
      <c r="J2929" s="41"/>
    </row>
    <row r="2930" spans="5:10" s="34" customFormat="1" x14ac:dyDescent="0.35">
      <c r="E2930" s="35"/>
      <c r="J2930" s="41"/>
    </row>
    <row r="2931" spans="5:10" s="34" customFormat="1" x14ac:dyDescent="0.35">
      <c r="E2931" s="35"/>
      <c r="J2931" s="41"/>
    </row>
    <row r="2932" spans="5:10" s="34" customFormat="1" x14ac:dyDescent="0.35">
      <c r="E2932" s="35"/>
      <c r="J2932" s="41"/>
    </row>
    <row r="2933" spans="5:10" s="34" customFormat="1" x14ac:dyDescent="0.35">
      <c r="E2933" s="35"/>
      <c r="J2933" s="41"/>
    </row>
    <row r="2934" spans="5:10" s="34" customFormat="1" x14ac:dyDescent="0.35">
      <c r="E2934" s="35"/>
      <c r="J2934" s="41"/>
    </row>
    <row r="2935" spans="5:10" s="34" customFormat="1" x14ac:dyDescent="0.35">
      <c r="E2935" s="35"/>
      <c r="J2935" s="41"/>
    </row>
    <row r="2936" spans="5:10" s="34" customFormat="1" x14ac:dyDescent="0.35">
      <c r="E2936" s="35"/>
      <c r="J2936" s="41"/>
    </row>
    <row r="2937" spans="5:10" s="34" customFormat="1" x14ac:dyDescent="0.35">
      <c r="E2937" s="35"/>
      <c r="J2937" s="41"/>
    </row>
    <row r="2938" spans="5:10" s="34" customFormat="1" x14ac:dyDescent="0.35">
      <c r="E2938" s="35"/>
      <c r="J2938" s="41"/>
    </row>
    <row r="2939" spans="5:10" s="34" customFormat="1" x14ac:dyDescent="0.35">
      <c r="E2939" s="35"/>
      <c r="J2939" s="41"/>
    </row>
    <row r="2940" spans="5:10" s="34" customFormat="1" x14ac:dyDescent="0.35">
      <c r="E2940" s="35"/>
      <c r="J2940" s="41"/>
    </row>
    <row r="2941" spans="5:10" s="34" customFormat="1" x14ac:dyDescent="0.35">
      <c r="E2941" s="35"/>
      <c r="J2941" s="41"/>
    </row>
    <row r="2942" spans="5:10" s="34" customFormat="1" x14ac:dyDescent="0.35">
      <c r="E2942" s="35"/>
      <c r="J2942" s="41"/>
    </row>
    <row r="2943" spans="5:10" s="34" customFormat="1" x14ac:dyDescent="0.35">
      <c r="E2943" s="35"/>
      <c r="J2943" s="41"/>
    </row>
    <row r="2944" spans="5:10" s="34" customFormat="1" x14ac:dyDescent="0.35">
      <c r="E2944" s="35"/>
      <c r="J2944" s="41"/>
    </row>
    <row r="2945" spans="5:10" s="34" customFormat="1" x14ac:dyDescent="0.35">
      <c r="E2945" s="35"/>
      <c r="J2945" s="41"/>
    </row>
    <row r="2946" spans="5:10" s="34" customFormat="1" x14ac:dyDescent="0.35">
      <c r="E2946" s="35"/>
      <c r="J2946" s="41"/>
    </row>
    <row r="2947" spans="5:10" s="34" customFormat="1" x14ac:dyDescent="0.35">
      <c r="E2947" s="35"/>
      <c r="J2947" s="41"/>
    </row>
    <row r="2948" spans="5:10" s="34" customFormat="1" x14ac:dyDescent="0.35">
      <c r="E2948" s="35"/>
      <c r="J2948" s="41"/>
    </row>
    <row r="2949" spans="5:10" s="34" customFormat="1" x14ac:dyDescent="0.35">
      <c r="E2949" s="35"/>
      <c r="J2949" s="41"/>
    </row>
    <row r="2950" spans="5:10" s="34" customFormat="1" x14ac:dyDescent="0.35">
      <c r="E2950" s="35"/>
      <c r="J2950" s="41"/>
    </row>
    <row r="2951" spans="5:10" s="34" customFormat="1" x14ac:dyDescent="0.35">
      <c r="E2951" s="35"/>
      <c r="J2951" s="41"/>
    </row>
    <row r="2952" spans="5:10" s="34" customFormat="1" x14ac:dyDescent="0.35">
      <c r="E2952" s="35"/>
      <c r="J2952" s="41"/>
    </row>
    <row r="2953" spans="5:10" s="34" customFormat="1" x14ac:dyDescent="0.35">
      <c r="E2953" s="35"/>
      <c r="J2953" s="41"/>
    </row>
    <row r="2954" spans="5:10" s="34" customFormat="1" x14ac:dyDescent="0.35">
      <c r="E2954" s="35"/>
      <c r="J2954" s="41"/>
    </row>
    <row r="2955" spans="5:10" s="34" customFormat="1" x14ac:dyDescent="0.35">
      <c r="E2955" s="35"/>
      <c r="J2955" s="41"/>
    </row>
    <row r="2956" spans="5:10" s="34" customFormat="1" x14ac:dyDescent="0.35">
      <c r="E2956" s="35"/>
      <c r="J2956" s="41"/>
    </row>
    <row r="2957" spans="5:10" s="34" customFormat="1" x14ac:dyDescent="0.35">
      <c r="E2957" s="35"/>
      <c r="J2957" s="41"/>
    </row>
    <row r="2958" spans="5:10" s="34" customFormat="1" x14ac:dyDescent="0.35">
      <c r="E2958" s="35"/>
      <c r="J2958" s="41"/>
    </row>
    <row r="2959" spans="5:10" s="34" customFormat="1" x14ac:dyDescent="0.35">
      <c r="E2959" s="35"/>
      <c r="J2959" s="41"/>
    </row>
    <row r="2960" spans="5:10" s="34" customFormat="1" x14ac:dyDescent="0.35">
      <c r="E2960" s="35"/>
      <c r="J2960" s="41"/>
    </row>
    <row r="2961" spans="5:10" s="34" customFormat="1" x14ac:dyDescent="0.35">
      <c r="E2961" s="35"/>
      <c r="J2961" s="41"/>
    </row>
    <row r="2962" spans="5:10" s="34" customFormat="1" x14ac:dyDescent="0.35">
      <c r="E2962" s="35"/>
      <c r="J2962" s="41"/>
    </row>
    <row r="2963" spans="5:10" s="34" customFormat="1" x14ac:dyDescent="0.35">
      <c r="E2963" s="35"/>
      <c r="J2963" s="41"/>
    </row>
    <row r="2964" spans="5:10" s="34" customFormat="1" x14ac:dyDescent="0.35">
      <c r="E2964" s="35"/>
      <c r="J2964" s="41"/>
    </row>
    <row r="2965" spans="5:10" s="34" customFormat="1" x14ac:dyDescent="0.35">
      <c r="E2965" s="35"/>
      <c r="J2965" s="41"/>
    </row>
    <row r="2966" spans="5:10" s="34" customFormat="1" x14ac:dyDescent="0.35">
      <c r="E2966" s="35"/>
      <c r="J2966" s="41"/>
    </row>
    <row r="2967" spans="5:10" s="34" customFormat="1" x14ac:dyDescent="0.35">
      <c r="E2967" s="35"/>
      <c r="J2967" s="41"/>
    </row>
    <row r="2968" spans="5:10" s="34" customFormat="1" x14ac:dyDescent="0.35">
      <c r="E2968" s="35"/>
      <c r="J2968" s="41"/>
    </row>
    <row r="2969" spans="5:10" s="34" customFormat="1" x14ac:dyDescent="0.35">
      <c r="E2969" s="35"/>
      <c r="J2969" s="41"/>
    </row>
    <row r="2970" spans="5:10" s="34" customFormat="1" x14ac:dyDescent="0.35">
      <c r="E2970" s="35"/>
      <c r="J2970" s="41"/>
    </row>
    <row r="2971" spans="5:10" s="34" customFormat="1" x14ac:dyDescent="0.35">
      <c r="E2971" s="35"/>
      <c r="J2971" s="41"/>
    </row>
    <row r="2972" spans="5:10" s="34" customFormat="1" x14ac:dyDescent="0.35">
      <c r="E2972" s="35"/>
      <c r="J2972" s="41"/>
    </row>
    <row r="2973" spans="5:10" s="34" customFormat="1" x14ac:dyDescent="0.35">
      <c r="E2973" s="35"/>
      <c r="J2973" s="41"/>
    </row>
    <row r="2974" spans="5:10" s="34" customFormat="1" x14ac:dyDescent="0.35">
      <c r="E2974" s="35"/>
      <c r="J2974" s="41"/>
    </row>
    <row r="2975" spans="5:10" s="34" customFormat="1" x14ac:dyDescent="0.35">
      <c r="E2975" s="35"/>
      <c r="J2975" s="41"/>
    </row>
    <row r="2976" spans="5:10" s="34" customFormat="1" x14ac:dyDescent="0.35">
      <c r="E2976" s="35"/>
      <c r="J2976" s="41"/>
    </row>
    <row r="2977" spans="5:10" s="34" customFormat="1" x14ac:dyDescent="0.35">
      <c r="E2977" s="35"/>
      <c r="J2977" s="41"/>
    </row>
    <row r="2978" spans="5:10" s="34" customFormat="1" x14ac:dyDescent="0.35">
      <c r="E2978" s="35"/>
      <c r="J2978" s="41"/>
    </row>
    <row r="2979" spans="5:10" s="34" customFormat="1" x14ac:dyDescent="0.35">
      <c r="E2979" s="35"/>
      <c r="J2979" s="41"/>
    </row>
    <row r="2980" spans="5:10" s="34" customFormat="1" x14ac:dyDescent="0.35">
      <c r="E2980" s="35"/>
      <c r="J2980" s="41"/>
    </row>
    <row r="2981" spans="5:10" s="34" customFormat="1" x14ac:dyDescent="0.35">
      <c r="E2981" s="35"/>
      <c r="J2981" s="41"/>
    </row>
    <row r="2982" spans="5:10" s="34" customFormat="1" x14ac:dyDescent="0.35">
      <c r="E2982" s="35"/>
      <c r="J2982" s="41"/>
    </row>
    <row r="2983" spans="5:10" s="34" customFormat="1" x14ac:dyDescent="0.35">
      <c r="E2983" s="35"/>
      <c r="J2983" s="41"/>
    </row>
    <row r="2984" spans="5:10" s="34" customFormat="1" x14ac:dyDescent="0.35">
      <c r="E2984" s="35"/>
      <c r="J2984" s="41"/>
    </row>
    <row r="2985" spans="5:10" s="34" customFormat="1" x14ac:dyDescent="0.35">
      <c r="E2985" s="35"/>
      <c r="J2985" s="41"/>
    </row>
    <row r="2986" spans="5:10" s="34" customFormat="1" x14ac:dyDescent="0.35">
      <c r="E2986" s="35"/>
      <c r="J2986" s="41"/>
    </row>
    <row r="2987" spans="5:10" s="34" customFormat="1" x14ac:dyDescent="0.35">
      <c r="E2987" s="35"/>
      <c r="J2987" s="41"/>
    </row>
    <row r="2988" spans="5:10" s="34" customFormat="1" x14ac:dyDescent="0.35">
      <c r="E2988" s="35"/>
      <c r="J2988" s="41"/>
    </row>
    <row r="2989" spans="5:10" s="34" customFormat="1" x14ac:dyDescent="0.35">
      <c r="E2989" s="35"/>
      <c r="J2989" s="41"/>
    </row>
    <row r="2990" spans="5:10" s="34" customFormat="1" x14ac:dyDescent="0.35">
      <c r="E2990" s="35"/>
      <c r="J2990" s="41"/>
    </row>
    <row r="2991" spans="5:10" s="34" customFormat="1" x14ac:dyDescent="0.35">
      <c r="E2991" s="35"/>
      <c r="J2991" s="41"/>
    </row>
    <row r="2992" spans="5:10" s="34" customFormat="1" x14ac:dyDescent="0.35">
      <c r="E2992" s="35"/>
      <c r="J2992" s="41"/>
    </row>
    <row r="2993" spans="5:10" s="34" customFormat="1" x14ac:dyDescent="0.35">
      <c r="E2993" s="35"/>
      <c r="J2993" s="41"/>
    </row>
    <row r="2994" spans="5:10" s="34" customFormat="1" x14ac:dyDescent="0.35">
      <c r="E2994" s="35"/>
      <c r="J2994" s="41"/>
    </row>
    <row r="2995" spans="5:10" s="34" customFormat="1" x14ac:dyDescent="0.35">
      <c r="E2995" s="35"/>
      <c r="J2995" s="41"/>
    </row>
    <row r="2996" spans="5:10" s="34" customFormat="1" x14ac:dyDescent="0.35">
      <c r="E2996" s="35"/>
      <c r="J2996" s="41"/>
    </row>
    <row r="2997" spans="5:10" s="34" customFormat="1" x14ac:dyDescent="0.35">
      <c r="E2997" s="35"/>
      <c r="J2997" s="41"/>
    </row>
    <row r="2998" spans="5:10" s="34" customFormat="1" x14ac:dyDescent="0.35">
      <c r="E2998" s="35"/>
      <c r="J2998" s="41"/>
    </row>
    <row r="2999" spans="5:10" s="34" customFormat="1" x14ac:dyDescent="0.35">
      <c r="E2999" s="35"/>
      <c r="J2999" s="41"/>
    </row>
    <row r="3000" spans="5:10" s="34" customFormat="1" x14ac:dyDescent="0.35">
      <c r="E3000" s="35"/>
      <c r="J3000" s="41"/>
    </row>
    <row r="3001" spans="5:10" s="34" customFormat="1" x14ac:dyDescent="0.35">
      <c r="E3001" s="35"/>
      <c r="J3001" s="41"/>
    </row>
    <row r="3002" spans="5:10" s="34" customFormat="1" x14ac:dyDescent="0.35">
      <c r="E3002" s="35"/>
      <c r="J3002" s="41"/>
    </row>
    <row r="3003" spans="5:10" s="34" customFormat="1" x14ac:dyDescent="0.35">
      <c r="E3003" s="35"/>
      <c r="J3003" s="41"/>
    </row>
    <row r="3004" spans="5:10" s="34" customFormat="1" x14ac:dyDescent="0.35">
      <c r="E3004" s="35"/>
      <c r="J3004" s="41"/>
    </row>
    <row r="3005" spans="5:10" s="34" customFormat="1" x14ac:dyDescent="0.35">
      <c r="E3005" s="35"/>
      <c r="J3005" s="41"/>
    </row>
    <row r="3006" spans="5:10" s="34" customFormat="1" x14ac:dyDescent="0.35">
      <c r="E3006" s="35"/>
      <c r="J3006" s="41"/>
    </row>
    <row r="3007" spans="5:10" s="34" customFormat="1" x14ac:dyDescent="0.35">
      <c r="E3007" s="35"/>
      <c r="J3007" s="41"/>
    </row>
    <row r="3008" spans="5:10" s="34" customFormat="1" x14ac:dyDescent="0.35">
      <c r="E3008" s="35"/>
      <c r="J3008" s="41"/>
    </row>
    <row r="3009" spans="5:10" s="34" customFormat="1" x14ac:dyDescent="0.35">
      <c r="E3009" s="35"/>
      <c r="J3009" s="41"/>
    </row>
    <row r="3010" spans="5:10" s="34" customFormat="1" x14ac:dyDescent="0.35">
      <c r="E3010" s="35"/>
      <c r="J3010" s="41"/>
    </row>
    <row r="3011" spans="5:10" s="34" customFormat="1" x14ac:dyDescent="0.35">
      <c r="E3011" s="35"/>
      <c r="J3011" s="41"/>
    </row>
    <row r="3012" spans="5:10" s="34" customFormat="1" x14ac:dyDescent="0.35">
      <c r="E3012" s="35"/>
      <c r="J3012" s="41"/>
    </row>
    <row r="3013" spans="5:10" s="34" customFormat="1" x14ac:dyDescent="0.35">
      <c r="E3013" s="35"/>
      <c r="J3013" s="41"/>
    </row>
    <row r="3014" spans="5:10" s="34" customFormat="1" x14ac:dyDescent="0.35">
      <c r="E3014" s="35"/>
      <c r="J3014" s="41"/>
    </row>
    <row r="3015" spans="5:10" s="34" customFormat="1" x14ac:dyDescent="0.35">
      <c r="E3015" s="35"/>
      <c r="J3015" s="41"/>
    </row>
    <row r="3016" spans="5:10" s="34" customFormat="1" x14ac:dyDescent="0.35">
      <c r="E3016" s="35"/>
      <c r="J3016" s="41"/>
    </row>
    <row r="3017" spans="5:10" s="34" customFormat="1" x14ac:dyDescent="0.35">
      <c r="E3017" s="35"/>
      <c r="J3017" s="41"/>
    </row>
    <row r="3018" spans="5:10" s="34" customFormat="1" x14ac:dyDescent="0.35">
      <c r="E3018" s="35"/>
      <c r="J3018" s="41"/>
    </row>
    <row r="3019" spans="5:10" s="34" customFormat="1" x14ac:dyDescent="0.35">
      <c r="E3019" s="35"/>
      <c r="J3019" s="41"/>
    </row>
    <row r="3020" spans="5:10" s="34" customFormat="1" x14ac:dyDescent="0.35">
      <c r="E3020" s="35"/>
      <c r="J3020" s="41"/>
    </row>
    <row r="3021" spans="5:10" s="34" customFormat="1" x14ac:dyDescent="0.35">
      <c r="E3021" s="35"/>
      <c r="J3021" s="41"/>
    </row>
    <row r="3022" spans="5:10" s="34" customFormat="1" x14ac:dyDescent="0.35">
      <c r="E3022" s="35"/>
      <c r="J3022" s="41"/>
    </row>
    <row r="3023" spans="5:10" s="34" customFormat="1" x14ac:dyDescent="0.35">
      <c r="E3023" s="35"/>
      <c r="J3023" s="41"/>
    </row>
    <row r="3024" spans="5:10" s="34" customFormat="1" x14ac:dyDescent="0.35">
      <c r="E3024" s="35"/>
      <c r="J3024" s="41"/>
    </row>
    <row r="3025" spans="5:10" s="34" customFormat="1" x14ac:dyDescent="0.35">
      <c r="E3025" s="35"/>
      <c r="J3025" s="41"/>
    </row>
    <row r="3026" spans="5:10" s="34" customFormat="1" x14ac:dyDescent="0.35">
      <c r="E3026" s="35"/>
      <c r="J3026" s="41"/>
    </row>
    <row r="3027" spans="5:10" s="34" customFormat="1" x14ac:dyDescent="0.35">
      <c r="E3027" s="35"/>
      <c r="J3027" s="41"/>
    </row>
    <row r="3028" spans="5:10" s="34" customFormat="1" x14ac:dyDescent="0.35">
      <c r="E3028" s="35"/>
      <c r="J3028" s="41"/>
    </row>
    <row r="3029" spans="5:10" s="34" customFormat="1" x14ac:dyDescent="0.35">
      <c r="E3029" s="35"/>
      <c r="J3029" s="41"/>
    </row>
    <row r="3030" spans="5:10" s="34" customFormat="1" x14ac:dyDescent="0.35">
      <c r="E3030" s="35"/>
      <c r="J3030" s="41"/>
    </row>
    <row r="3031" spans="5:10" s="34" customFormat="1" x14ac:dyDescent="0.35">
      <c r="E3031" s="35"/>
      <c r="J3031" s="41"/>
    </row>
    <row r="3032" spans="5:10" s="34" customFormat="1" x14ac:dyDescent="0.35">
      <c r="E3032" s="35"/>
      <c r="J3032" s="41"/>
    </row>
    <row r="3033" spans="5:10" s="34" customFormat="1" x14ac:dyDescent="0.35">
      <c r="E3033" s="35"/>
      <c r="J3033" s="41"/>
    </row>
    <row r="3034" spans="5:10" s="34" customFormat="1" x14ac:dyDescent="0.35">
      <c r="E3034" s="35"/>
      <c r="J3034" s="41"/>
    </row>
    <row r="3035" spans="5:10" s="34" customFormat="1" x14ac:dyDescent="0.35">
      <c r="E3035" s="35"/>
      <c r="J3035" s="41"/>
    </row>
    <row r="3036" spans="5:10" s="34" customFormat="1" x14ac:dyDescent="0.35">
      <c r="E3036" s="35"/>
      <c r="J3036" s="41"/>
    </row>
    <row r="3037" spans="5:10" s="34" customFormat="1" x14ac:dyDescent="0.35">
      <c r="E3037" s="35"/>
      <c r="J3037" s="41"/>
    </row>
    <row r="3038" spans="5:10" s="34" customFormat="1" x14ac:dyDescent="0.35">
      <c r="E3038" s="35"/>
      <c r="J3038" s="41"/>
    </row>
    <row r="3039" spans="5:10" s="34" customFormat="1" x14ac:dyDescent="0.35">
      <c r="E3039" s="35"/>
      <c r="J3039" s="41"/>
    </row>
    <row r="3040" spans="5:10" s="34" customFormat="1" x14ac:dyDescent="0.35">
      <c r="E3040" s="35"/>
      <c r="J3040" s="41"/>
    </row>
    <row r="3041" spans="5:10" s="34" customFormat="1" x14ac:dyDescent="0.35">
      <c r="E3041" s="35"/>
      <c r="J3041" s="41"/>
    </row>
    <row r="3042" spans="5:10" s="34" customFormat="1" x14ac:dyDescent="0.35">
      <c r="E3042" s="35"/>
      <c r="J3042" s="41"/>
    </row>
    <row r="3043" spans="5:10" s="34" customFormat="1" x14ac:dyDescent="0.35">
      <c r="E3043" s="35"/>
      <c r="J3043" s="41"/>
    </row>
    <row r="3044" spans="5:10" s="34" customFormat="1" x14ac:dyDescent="0.35">
      <c r="E3044" s="35"/>
      <c r="J3044" s="41"/>
    </row>
    <row r="3045" spans="5:10" s="34" customFormat="1" x14ac:dyDescent="0.35">
      <c r="E3045" s="35"/>
      <c r="J3045" s="41"/>
    </row>
    <row r="3046" spans="5:10" s="34" customFormat="1" x14ac:dyDescent="0.35">
      <c r="E3046" s="35"/>
      <c r="J3046" s="41"/>
    </row>
    <row r="3047" spans="5:10" s="34" customFormat="1" x14ac:dyDescent="0.35">
      <c r="E3047" s="35"/>
      <c r="J3047" s="41"/>
    </row>
    <row r="3048" spans="5:10" s="34" customFormat="1" x14ac:dyDescent="0.35">
      <c r="E3048" s="35"/>
      <c r="J3048" s="41"/>
    </row>
    <row r="3049" spans="5:10" s="34" customFormat="1" x14ac:dyDescent="0.35">
      <c r="E3049" s="35"/>
      <c r="J3049" s="41"/>
    </row>
    <row r="3050" spans="5:10" s="34" customFormat="1" x14ac:dyDescent="0.35">
      <c r="E3050" s="35"/>
      <c r="J3050" s="41"/>
    </row>
    <row r="3051" spans="5:10" s="34" customFormat="1" x14ac:dyDescent="0.35">
      <c r="E3051" s="35"/>
      <c r="J3051" s="41"/>
    </row>
    <row r="3052" spans="5:10" s="34" customFormat="1" x14ac:dyDescent="0.35">
      <c r="E3052" s="35"/>
      <c r="J3052" s="41"/>
    </row>
    <row r="3053" spans="5:10" s="34" customFormat="1" x14ac:dyDescent="0.35">
      <c r="E3053" s="35"/>
      <c r="J3053" s="41"/>
    </row>
    <row r="3054" spans="5:10" s="34" customFormat="1" x14ac:dyDescent="0.35">
      <c r="E3054" s="35"/>
      <c r="J3054" s="41"/>
    </row>
    <row r="3055" spans="5:10" s="34" customFormat="1" x14ac:dyDescent="0.35">
      <c r="E3055" s="35"/>
      <c r="J3055" s="41"/>
    </row>
    <row r="3056" spans="5:10" s="34" customFormat="1" x14ac:dyDescent="0.35">
      <c r="E3056" s="35"/>
      <c r="J3056" s="41"/>
    </row>
    <row r="3057" spans="5:10" s="34" customFormat="1" x14ac:dyDescent="0.35">
      <c r="E3057" s="35"/>
      <c r="J3057" s="41"/>
    </row>
    <row r="3058" spans="5:10" s="34" customFormat="1" x14ac:dyDescent="0.35">
      <c r="E3058" s="35"/>
      <c r="J3058" s="41"/>
    </row>
    <row r="3059" spans="5:10" s="34" customFormat="1" x14ac:dyDescent="0.35">
      <c r="E3059" s="35"/>
      <c r="J3059" s="41"/>
    </row>
    <row r="3060" spans="5:10" s="34" customFormat="1" x14ac:dyDescent="0.35">
      <c r="E3060" s="35"/>
      <c r="J3060" s="41"/>
    </row>
    <row r="3061" spans="5:10" s="34" customFormat="1" x14ac:dyDescent="0.35">
      <c r="E3061" s="35"/>
      <c r="J3061" s="41"/>
    </row>
    <row r="3062" spans="5:10" s="34" customFormat="1" x14ac:dyDescent="0.35">
      <c r="E3062" s="35"/>
      <c r="J3062" s="41"/>
    </row>
    <row r="3063" spans="5:10" s="34" customFormat="1" x14ac:dyDescent="0.35">
      <c r="E3063" s="35"/>
      <c r="J3063" s="41"/>
    </row>
    <row r="3064" spans="5:10" s="34" customFormat="1" x14ac:dyDescent="0.35">
      <c r="E3064" s="35"/>
      <c r="J3064" s="41"/>
    </row>
    <row r="3065" spans="5:10" s="34" customFormat="1" x14ac:dyDescent="0.35">
      <c r="E3065" s="35"/>
      <c r="J3065" s="41"/>
    </row>
    <row r="3066" spans="5:10" s="34" customFormat="1" x14ac:dyDescent="0.35">
      <c r="E3066" s="35"/>
      <c r="J3066" s="41"/>
    </row>
    <row r="3067" spans="5:10" s="34" customFormat="1" x14ac:dyDescent="0.35">
      <c r="E3067" s="35"/>
      <c r="J3067" s="41"/>
    </row>
    <row r="3068" spans="5:10" s="34" customFormat="1" x14ac:dyDescent="0.35">
      <c r="E3068" s="35"/>
      <c r="J3068" s="41"/>
    </row>
    <row r="3069" spans="5:10" s="34" customFormat="1" x14ac:dyDescent="0.35">
      <c r="E3069" s="35"/>
      <c r="J3069" s="41"/>
    </row>
    <row r="3070" spans="5:10" s="34" customFormat="1" x14ac:dyDescent="0.35">
      <c r="E3070" s="35"/>
      <c r="J3070" s="41"/>
    </row>
    <row r="3071" spans="5:10" s="34" customFormat="1" x14ac:dyDescent="0.35">
      <c r="E3071" s="35"/>
      <c r="J3071" s="41"/>
    </row>
    <row r="3072" spans="5:10" s="34" customFormat="1" x14ac:dyDescent="0.35">
      <c r="E3072" s="35"/>
      <c r="J3072" s="41"/>
    </row>
    <row r="3073" spans="5:10" s="34" customFormat="1" x14ac:dyDescent="0.35">
      <c r="E3073" s="35"/>
      <c r="J3073" s="41"/>
    </row>
    <row r="3074" spans="5:10" s="34" customFormat="1" x14ac:dyDescent="0.35">
      <c r="E3074" s="35"/>
      <c r="J3074" s="41"/>
    </row>
    <row r="3075" spans="5:10" s="34" customFormat="1" x14ac:dyDescent="0.35">
      <c r="E3075" s="35"/>
      <c r="J3075" s="41"/>
    </row>
    <row r="3076" spans="5:10" s="34" customFormat="1" x14ac:dyDescent="0.35">
      <c r="E3076" s="35"/>
      <c r="J3076" s="41"/>
    </row>
    <row r="3077" spans="5:10" s="34" customFormat="1" x14ac:dyDescent="0.35">
      <c r="E3077" s="35"/>
      <c r="J3077" s="41"/>
    </row>
    <row r="3078" spans="5:10" s="34" customFormat="1" x14ac:dyDescent="0.35">
      <c r="E3078" s="35"/>
      <c r="J3078" s="41"/>
    </row>
    <row r="3079" spans="5:10" s="34" customFormat="1" x14ac:dyDescent="0.35">
      <c r="E3079" s="35"/>
      <c r="J3079" s="41"/>
    </row>
    <row r="3080" spans="5:10" s="34" customFormat="1" x14ac:dyDescent="0.35">
      <c r="E3080" s="35"/>
      <c r="J3080" s="41"/>
    </row>
    <row r="3081" spans="5:10" s="34" customFormat="1" x14ac:dyDescent="0.35">
      <c r="E3081" s="35"/>
      <c r="J3081" s="41"/>
    </row>
    <row r="3082" spans="5:10" s="34" customFormat="1" x14ac:dyDescent="0.35">
      <c r="E3082" s="35"/>
      <c r="J3082" s="41"/>
    </row>
    <row r="3083" spans="5:10" s="34" customFormat="1" x14ac:dyDescent="0.35">
      <c r="E3083" s="35"/>
      <c r="J3083" s="41"/>
    </row>
    <row r="3084" spans="5:10" s="34" customFormat="1" x14ac:dyDescent="0.35">
      <c r="E3084" s="35"/>
      <c r="J3084" s="41"/>
    </row>
    <row r="3085" spans="5:10" s="34" customFormat="1" x14ac:dyDescent="0.35">
      <c r="E3085" s="35"/>
      <c r="J3085" s="41"/>
    </row>
    <row r="3086" spans="5:10" s="34" customFormat="1" x14ac:dyDescent="0.35">
      <c r="E3086" s="35"/>
      <c r="J3086" s="41"/>
    </row>
    <row r="3087" spans="5:10" s="34" customFormat="1" x14ac:dyDescent="0.35">
      <c r="E3087" s="35"/>
      <c r="J3087" s="41"/>
    </row>
    <row r="3088" spans="5:10" s="34" customFormat="1" x14ac:dyDescent="0.35">
      <c r="E3088" s="35"/>
      <c r="J3088" s="41"/>
    </row>
    <row r="3089" spans="5:10" s="34" customFormat="1" x14ac:dyDescent="0.35">
      <c r="E3089" s="35"/>
      <c r="J3089" s="41"/>
    </row>
    <row r="3090" spans="5:10" s="34" customFormat="1" x14ac:dyDescent="0.35">
      <c r="E3090" s="35"/>
      <c r="J3090" s="41"/>
    </row>
    <row r="3091" spans="5:10" s="34" customFormat="1" x14ac:dyDescent="0.35">
      <c r="E3091" s="35"/>
      <c r="J3091" s="41"/>
    </row>
    <row r="3092" spans="5:10" s="34" customFormat="1" x14ac:dyDescent="0.35">
      <c r="E3092" s="35"/>
      <c r="J3092" s="41"/>
    </row>
    <row r="3093" spans="5:10" s="34" customFormat="1" x14ac:dyDescent="0.35">
      <c r="E3093" s="35"/>
      <c r="J3093" s="41"/>
    </row>
    <row r="3094" spans="5:10" s="34" customFormat="1" x14ac:dyDescent="0.35">
      <c r="E3094" s="35"/>
      <c r="J3094" s="41"/>
    </row>
    <row r="3095" spans="5:10" s="34" customFormat="1" x14ac:dyDescent="0.35">
      <c r="E3095" s="35"/>
      <c r="J3095" s="41"/>
    </row>
    <row r="3096" spans="5:10" s="34" customFormat="1" x14ac:dyDescent="0.35">
      <c r="E3096" s="35"/>
      <c r="J3096" s="41"/>
    </row>
    <row r="3097" spans="5:10" s="34" customFormat="1" x14ac:dyDescent="0.35">
      <c r="E3097" s="35"/>
      <c r="J3097" s="41"/>
    </row>
    <row r="3098" spans="5:10" s="34" customFormat="1" x14ac:dyDescent="0.35">
      <c r="E3098" s="35"/>
      <c r="J3098" s="41"/>
    </row>
    <row r="3099" spans="5:10" s="34" customFormat="1" x14ac:dyDescent="0.35">
      <c r="E3099" s="35"/>
      <c r="J3099" s="41"/>
    </row>
    <row r="3100" spans="5:10" s="34" customFormat="1" x14ac:dyDescent="0.35">
      <c r="E3100" s="35"/>
      <c r="J3100" s="41"/>
    </row>
    <row r="3101" spans="5:10" s="34" customFormat="1" x14ac:dyDescent="0.35">
      <c r="E3101" s="35"/>
      <c r="J3101" s="41"/>
    </row>
    <row r="3102" spans="5:10" s="34" customFormat="1" x14ac:dyDescent="0.35">
      <c r="E3102" s="35"/>
      <c r="J3102" s="41"/>
    </row>
    <row r="3103" spans="5:10" s="34" customFormat="1" x14ac:dyDescent="0.35">
      <c r="E3103" s="35"/>
      <c r="J3103" s="41"/>
    </row>
    <row r="3104" spans="5:10" s="34" customFormat="1" x14ac:dyDescent="0.35">
      <c r="E3104" s="35"/>
      <c r="J3104" s="41"/>
    </row>
    <row r="3105" spans="5:10" s="34" customFormat="1" x14ac:dyDescent="0.35">
      <c r="E3105" s="35"/>
      <c r="J3105" s="41"/>
    </row>
    <row r="3106" spans="5:10" s="34" customFormat="1" x14ac:dyDescent="0.35">
      <c r="E3106" s="35"/>
      <c r="J3106" s="41"/>
    </row>
    <row r="3107" spans="5:10" s="34" customFormat="1" x14ac:dyDescent="0.35">
      <c r="E3107" s="35"/>
      <c r="J3107" s="41"/>
    </row>
    <row r="3108" spans="5:10" s="34" customFormat="1" x14ac:dyDescent="0.35">
      <c r="E3108" s="35"/>
      <c r="J3108" s="41"/>
    </row>
    <row r="3109" spans="5:10" s="34" customFormat="1" x14ac:dyDescent="0.35">
      <c r="E3109" s="35"/>
      <c r="J3109" s="41"/>
    </row>
    <row r="3110" spans="5:10" s="34" customFormat="1" x14ac:dyDescent="0.35">
      <c r="E3110" s="35"/>
      <c r="J3110" s="41"/>
    </row>
    <row r="3111" spans="5:10" s="34" customFormat="1" x14ac:dyDescent="0.35">
      <c r="E3111" s="35"/>
      <c r="J3111" s="41"/>
    </row>
    <row r="3112" spans="5:10" s="34" customFormat="1" x14ac:dyDescent="0.35">
      <c r="E3112" s="35"/>
      <c r="J3112" s="41"/>
    </row>
    <row r="3113" spans="5:10" s="34" customFormat="1" x14ac:dyDescent="0.35">
      <c r="E3113" s="35"/>
      <c r="J3113" s="41"/>
    </row>
    <row r="3114" spans="5:10" s="34" customFormat="1" x14ac:dyDescent="0.35">
      <c r="E3114" s="35"/>
      <c r="J3114" s="41"/>
    </row>
    <row r="3115" spans="5:10" s="34" customFormat="1" x14ac:dyDescent="0.35">
      <c r="E3115" s="35"/>
      <c r="J3115" s="41"/>
    </row>
    <row r="3116" spans="5:10" s="34" customFormat="1" x14ac:dyDescent="0.35">
      <c r="E3116" s="35"/>
      <c r="J3116" s="41"/>
    </row>
    <row r="3117" spans="5:10" s="34" customFormat="1" x14ac:dyDescent="0.35">
      <c r="E3117" s="35"/>
      <c r="J3117" s="41"/>
    </row>
    <row r="3118" spans="5:10" s="34" customFormat="1" x14ac:dyDescent="0.35">
      <c r="E3118" s="35"/>
      <c r="J3118" s="41"/>
    </row>
    <row r="3119" spans="5:10" s="34" customFormat="1" x14ac:dyDescent="0.35">
      <c r="E3119" s="35"/>
      <c r="J3119" s="41"/>
    </row>
    <row r="3120" spans="5:10" s="34" customFormat="1" x14ac:dyDescent="0.35">
      <c r="E3120" s="35"/>
      <c r="J3120" s="41"/>
    </row>
    <row r="3121" spans="5:10" s="34" customFormat="1" x14ac:dyDescent="0.35">
      <c r="E3121" s="35"/>
      <c r="J3121" s="41"/>
    </row>
    <row r="3122" spans="5:10" s="34" customFormat="1" x14ac:dyDescent="0.35">
      <c r="E3122" s="35"/>
      <c r="J3122" s="41"/>
    </row>
    <row r="3123" spans="5:10" s="34" customFormat="1" x14ac:dyDescent="0.35">
      <c r="E3123" s="35"/>
      <c r="J3123" s="41"/>
    </row>
    <row r="3124" spans="5:10" s="34" customFormat="1" x14ac:dyDescent="0.35">
      <c r="E3124" s="35"/>
      <c r="J3124" s="41"/>
    </row>
    <row r="3125" spans="5:10" s="34" customFormat="1" x14ac:dyDescent="0.35">
      <c r="E3125" s="35"/>
      <c r="J3125" s="41"/>
    </row>
    <row r="3126" spans="5:10" s="34" customFormat="1" x14ac:dyDescent="0.35">
      <c r="E3126" s="35"/>
      <c r="J3126" s="41"/>
    </row>
    <row r="3127" spans="5:10" s="34" customFormat="1" x14ac:dyDescent="0.35">
      <c r="E3127" s="35"/>
      <c r="J3127" s="41"/>
    </row>
    <row r="3128" spans="5:10" s="34" customFormat="1" x14ac:dyDescent="0.35">
      <c r="E3128" s="35"/>
      <c r="J3128" s="41"/>
    </row>
    <row r="3129" spans="5:10" s="34" customFormat="1" x14ac:dyDescent="0.35">
      <c r="E3129" s="35"/>
      <c r="J3129" s="41"/>
    </row>
    <row r="3130" spans="5:10" s="34" customFormat="1" x14ac:dyDescent="0.35">
      <c r="E3130" s="35"/>
      <c r="J3130" s="41"/>
    </row>
    <row r="3131" spans="5:10" s="34" customFormat="1" x14ac:dyDescent="0.35">
      <c r="E3131" s="35"/>
      <c r="J3131" s="41"/>
    </row>
    <row r="3132" spans="5:10" s="34" customFormat="1" x14ac:dyDescent="0.35">
      <c r="E3132" s="35"/>
      <c r="J3132" s="41"/>
    </row>
    <row r="3133" spans="5:10" s="34" customFormat="1" x14ac:dyDescent="0.35">
      <c r="E3133" s="35"/>
      <c r="J3133" s="41"/>
    </row>
    <row r="3134" spans="5:10" s="34" customFormat="1" x14ac:dyDescent="0.35">
      <c r="E3134" s="35"/>
      <c r="J3134" s="41"/>
    </row>
    <row r="3135" spans="5:10" s="34" customFormat="1" x14ac:dyDescent="0.35">
      <c r="E3135" s="35"/>
      <c r="J3135" s="41"/>
    </row>
    <row r="3136" spans="5:10" s="34" customFormat="1" x14ac:dyDescent="0.35">
      <c r="E3136" s="35"/>
      <c r="J3136" s="41"/>
    </row>
    <row r="3137" spans="5:10" s="34" customFormat="1" x14ac:dyDescent="0.35">
      <c r="E3137" s="35"/>
      <c r="J3137" s="41"/>
    </row>
    <row r="3138" spans="5:10" s="34" customFormat="1" x14ac:dyDescent="0.35">
      <c r="E3138" s="35"/>
      <c r="J3138" s="41"/>
    </row>
    <row r="3139" spans="5:10" s="34" customFormat="1" x14ac:dyDescent="0.35">
      <c r="E3139" s="35"/>
      <c r="J3139" s="41"/>
    </row>
    <row r="3140" spans="5:10" s="34" customFormat="1" x14ac:dyDescent="0.35">
      <c r="E3140" s="35"/>
      <c r="J3140" s="41"/>
    </row>
    <row r="3141" spans="5:10" s="34" customFormat="1" x14ac:dyDescent="0.35">
      <c r="E3141" s="35"/>
      <c r="J3141" s="41"/>
    </row>
    <row r="3142" spans="5:10" s="34" customFormat="1" x14ac:dyDescent="0.35">
      <c r="E3142" s="35"/>
      <c r="J3142" s="41"/>
    </row>
    <row r="3143" spans="5:10" s="34" customFormat="1" x14ac:dyDescent="0.35">
      <c r="E3143" s="35"/>
      <c r="J3143" s="41"/>
    </row>
    <row r="3144" spans="5:10" s="34" customFormat="1" x14ac:dyDescent="0.35">
      <c r="E3144" s="35"/>
      <c r="J3144" s="41"/>
    </row>
    <row r="3145" spans="5:10" s="34" customFormat="1" x14ac:dyDescent="0.35">
      <c r="E3145" s="35"/>
      <c r="J3145" s="41"/>
    </row>
    <row r="3146" spans="5:10" s="34" customFormat="1" x14ac:dyDescent="0.35">
      <c r="E3146" s="35"/>
      <c r="J3146" s="41"/>
    </row>
    <row r="3147" spans="5:10" s="34" customFormat="1" x14ac:dyDescent="0.35">
      <c r="E3147" s="35"/>
      <c r="J3147" s="41"/>
    </row>
    <row r="3148" spans="5:10" s="34" customFormat="1" x14ac:dyDescent="0.35">
      <c r="E3148" s="35"/>
      <c r="J3148" s="41"/>
    </row>
    <row r="3149" spans="5:10" s="34" customFormat="1" x14ac:dyDescent="0.35">
      <c r="E3149" s="35"/>
      <c r="J3149" s="41"/>
    </row>
    <row r="3150" spans="5:10" s="34" customFormat="1" x14ac:dyDescent="0.35">
      <c r="E3150" s="35"/>
      <c r="J3150" s="41"/>
    </row>
    <row r="3151" spans="5:10" s="34" customFormat="1" x14ac:dyDescent="0.35">
      <c r="E3151" s="35"/>
      <c r="J3151" s="41"/>
    </row>
    <row r="3152" spans="5:10" s="34" customFormat="1" x14ac:dyDescent="0.35">
      <c r="E3152" s="35"/>
      <c r="J3152" s="41"/>
    </row>
    <row r="3153" spans="5:10" s="34" customFormat="1" x14ac:dyDescent="0.35">
      <c r="E3153" s="35"/>
      <c r="J3153" s="41"/>
    </row>
    <row r="3154" spans="5:10" s="34" customFormat="1" x14ac:dyDescent="0.35">
      <c r="E3154" s="35"/>
      <c r="J3154" s="41"/>
    </row>
    <row r="3155" spans="5:10" s="34" customFormat="1" x14ac:dyDescent="0.35">
      <c r="E3155" s="35"/>
      <c r="J3155" s="41"/>
    </row>
    <row r="3156" spans="5:10" s="34" customFormat="1" x14ac:dyDescent="0.35">
      <c r="E3156" s="35"/>
      <c r="J3156" s="41"/>
    </row>
    <row r="3157" spans="5:10" s="34" customFormat="1" x14ac:dyDescent="0.35">
      <c r="E3157" s="35"/>
      <c r="J3157" s="41"/>
    </row>
    <row r="3158" spans="5:10" s="34" customFormat="1" x14ac:dyDescent="0.35">
      <c r="E3158" s="35"/>
      <c r="J3158" s="41"/>
    </row>
    <row r="3159" spans="5:10" s="34" customFormat="1" x14ac:dyDescent="0.35">
      <c r="E3159" s="35"/>
      <c r="J3159" s="41"/>
    </row>
    <row r="3160" spans="5:10" s="34" customFormat="1" x14ac:dyDescent="0.35">
      <c r="E3160" s="35"/>
      <c r="J3160" s="41"/>
    </row>
    <row r="3161" spans="5:10" s="34" customFormat="1" x14ac:dyDescent="0.35">
      <c r="E3161" s="35"/>
      <c r="J3161" s="41"/>
    </row>
    <row r="3162" spans="5:10" s="34" customFormat="1" x14ac:dyDescent="0.35">
      <c r="E3162" s="35"/>
      <c r="J3162" s="41"/>
    </row>
    <row r="3163" spans="5:10" s="34" customFormat="1" x14ac:dyDescent="0.35">
      <c r="E3163" s="35"/>
      <c r="J3163" s="41"/>
    </row>
    <row r="3164" spans="5:10" s="34" customFormat="1" x14ac:dyDescent="0.35">
      <c r="E3164" s="35"/>
      <c r="J3164" s="41"/>
    </row>
    <row r="3165" spans="5:10" s="34" customFormat="1" x14ac:dyDescent="0.35">
      <c r="E3165" s="35"/>
      <c r="J3165" s="41"/>
    </row>
    <row r="3166" spans="5:10" s="34" customFormat="1" x14ac:dyDescent="0.35">
      <c r="E3166" s="35"/>
      <c r="J3166" s="41"/>
    </row>
    <row r="3167" spans="5:10" s="34" customFormat="1" x14ac:dyDescent="0.35">
      <c r="E3167" s="35"/>
      <c r="J3167" s="41"/>
    </row>
    <row r="3168" spans="5:10" s="34" customFormat="1" x14ac:dyDescent="0.35">
      <c r="E3168" s="35"/>
      <c r="J3168" s="41"/>
    </row>
    <row r="3169" spans="5:10" s="34" customFormat="1" x14ac:dyDescent="0.35">
      <c r="E3169" s="35"/>
      <c r="J3169" s="41"/>
    </row>
    <row r="3170" spans="5:10" s="34" customFormat="1" x14ac:dyDescent="0.35">
      <c r="E3170" s="35"/>
      <c r="J3170" s="41"/>
    </row>
    <row r="3171" spans="5:10" s="34" customFormat="1" x14ac:dyDescent="0.35">
      <c r="E3171" s="35"/>
      <c r="J3171" s="41"/>
    </row>
    <row r="3172" spans="5:10" s="34" customFormat="1" x14ac:dyDescent="0.35">
      <c r="E3172" s="35"/>
      <c r="J3172" s="41"/>
    </row>
    <row r="3173" spans="5:10" s="34" customFormat="1" x14ac:dyDescent="0.35">
      <c r="E3173" s="35"/>
      <c r="J3173" s="41"/>
    </row>
    <row r="3174" spans="5:10" s="34" customFormat="1" x14ac:dyDescent="0.35">
      <c r="E3174" s="35"/>
      <c r="J3174" s="41"/>
    </row>
    <row r="3175" spans="5:10" s="34" customFormat="1" x14ac:dyDescent="0.35">
      <c r="E3175" s="35"/>
      <c r="J3175" s="41"/>
    </row>
    <row r="3176" spans="5:10" s="34" customFormat="1" x14ac:dyDescent="0.35">
      <c r="E3176" s="35"/>
      <c r="J3176" s="41"/>
    </row>
    <row r="3177" spans="5:10" s="34" customFormat="1" x14ac:dyDescent="0.35">
      <c r="E3177" s="35"/>
      <c r="J3177" s="41"/>
    </row>
    <row r="3178" spans="5:10" s="34" customFormat="1" x14ac:dyDescent="0.35">
      <c r="E3178" s="35"/>
      <c r="J3178" s="41"/>
    </row>
    <row r="3179" spans="5:10" s="34" customFormat="1" x14ac:dyDescent="0.35">
      <c r="E3179" s="35"/>
      <c r="J3179" s="41"/>
    </row>
    <row r="3180" spans="5:10" s="34" customFormat="1" x14ac:dyDescent="0.35">
      <c r="E3180" s="35"/>
      <c r="J3180" s="41"/>
    </row>
    <row r="3181" spans="5:10" s="34" customFormat="1" x14ac:dyDescent="0.35">
      <c r="E3181" s="35"/>
      <c r="J3181" s="41"/>
    </row>
    <row r="3182" spans="5:10" s="34" customFormat="1" x14ac:dyDescent="0.35">
      <c r="E3182" s="35"/>
      <c r="J3182" s="41"/>
    </row>
    <row r="3183" spans="5:10" s="34" customFormat="1" x14ac:dyDescent="0.35">
      <c r="E3183" s="35"/>
      <c r="J3183" s="41"/>
    </row>
    <row r="3184" spans="5:10" s="34" customFormat="1" x14ac:dyDescent="0.35">
      <c r="E3184" s="35"/>
      <c r="J3184" s="41"/>
    </row>
    <row r="3185" spans="5:10" s="34" customFormat="1" x14ac:dyDescent="0.35">
      <c r="E3185" s="35"/>
      <c r="J3185" s="41"/>
    </row>
    <row r="3186" spans="5:10" s="34" customFormat="1" x14ac:dyDescent="0.35">
      <c r="E3186" s="35"/>
      <c r="J3186" s="41"/>
    </row>
    <row r="3187" spans="5:10" s="34" customFormat="1" x14ac:dyDescent="0.35">
      <c r="E3187" s="35"/>
      <c r="J3187" s="41"/>
    </row>
    <row r="3188" spans="5:10" s="34" customFormat="1" x14ac:dyDescent="0.35">
      <c r="E3188" s="35"/>
      <c r="J3188" s="41"/>
    </row>
    <row r="3189" spans="5:10" s="34" customFormat="1" x14ac:dyDescent="0.35">
      <c r="E3189" s="35"/>
      <c r="J3189" s="41"/>
    </row>
    <row r="3190" spans="5:10" s="34" customFormat="1" x14ac:dyDescent="0.35">
      <c r="E3190" s="35"/>
      <c r="J3190" s="41"/>
    </row>
    <row r="3191" spans="5:10" s="34" customFormat="1" x14ac:dyDescent="0.35">
      <c r="E3191" s="35"/>
      <c r="J3191" s="41"/>
    </row>
    <row r="3192" spans="5:10" s="34" customFormat="1" x14ac:dyDescent="0.35">
      <c r="E3192" s="35"/>
      <c r="J3192" s="41"/>
    </row>
    <row r="3193" spans="5:10" s="34" customFormat="1" x14ac:dyDescent="0.35">
      <c r="E3193" s="35"/>
      <c r="J3193" s="41"/>
    </row>
    <row r="3194" spans="5:10" s="34" customFormat="1" x14ac:dyDescent="0.35">
      <c r="E3194" s="35"/>
      <c r="J3194" s="41"/>
    </row>
    <row r="3195" spans="5:10" s="34" customFormat="1" x14ac:dyDescent="0.35">
      <c r="E3195" s="35"/>
      <c r="J3195" s="41"/>
    </row>
    <row r="3196" spans="5:10" s="34" customFormat="1" x14ac:dyDescent="0.35">
      <c r="E3196" s="35"/>
      <c r="J3196" s="41"/>
    </row>
    <row r="3197" spans="5:10" s="34" customFormat="1" x14ac:dyDescent="0.35">
      <c r="E3197" s="35"/>
      <c r="J3197" s="41"/>
    </row>
    <row r="3198" spans="5:10" s="34" customFormat="1" x14ac:dyDescent="0.35">
      <c r="E3198" s="35"/>
      <c r="J3198" s="41"/>
    </row>
    <row r="3199" spans="5:10" s="34" customFormat="1" x14ac:dyDescent="0.35">
      <c r="E3199" s="35"/>
      <c r="J3199" s="41"/>
    </row>
    <row r="3200" spans="5:10" s="34" customFormat="1" x14ac:dyDescent="0.35">
      <c r="E3200" s="35"/>
      <c r="J3200" s="41"/>
    </row>
    <row r="3201" spans="5:10" s="34" customFormat="1" x14ac:dyDescent="0.35">
      <c r="E3201" s="35"/>
      <c r="J3201" s="41"/>
    </row>
    <row r="3202" spans="5:10" s="34" customFormat="1" x14ac:dyDescent="0.35">
      <c r="E3202" s="35"/>
      <c r="J3202" s="41"/>
    </row>
    <row r="3203" spans="5:10" s="34" customFormat="1" x14ac:dyDescent="0.35">
      <c r="E3203" s="35"/>
      <c r="J3203" s="41"/>
    </row>
    <row r="3204" spans="5:10" s="34" customFormat="1" x14ac:dyDescent="0.35">
      <c r="E3204" s="35"/>
      <c r="J3204" s="41"/>
    </row>
    <row r="3205" spans="5:10" s="34" customFormat="1" x14ac:dyDescent="0.35">
      <c r="E3205" s="35"/>
      <c r="J3205" s="41"/>
    </row>
    <row r="3206" spans="5:10" s="34" customFormat="1" x14ac:dyDescent="0.35">
      <c r="E3206" s="35"/>
      <c r="J3206" s="41"/>
    </row>
    <row r="3207" spans="5:10" s="34" customFormat="1" x14ac:dyDescent="0.35">
      <c r="E3207" s="35"/>
      <c r="J3207" s="41"/>
    </row>
    <row r="3208" spans="5:10" s="34" customFormat="1" x14ac:dyDescent="0.35">
      <c r="E3208" s="35"/>
      <c r="J3208" s="41"/>
    </row>
    <row r="3209" spans="5:10" s="34" customFormat="1" x14ac:dyDescent="0.35">
      <c r="E3209" s="35"/>
      <c r="J3209" s="41"/>
    </row>
    <row r="3210" spans="5:10" s="34" customFormat="1" x14ac:dyDescent="0.35">
      <c r="E3210" s="35"/>
      <c r="J3210" s="41"/>
    </row>
    <row r="3211" spans="5:10" s="34" customFormat="1" x14ac:dyDescent="0.35">
      <c r="E3211" s="35"/>
      <c r="J3211" s="41"/>
    </row>
    <row r="3212" spans="5:10" s="34" customFormat="1" x14ac:dyDescent="0.35">
      <c r="E3212" s="35"/>
      <c r="J3212" s="41"/>
    </row>
    <row r="3213" spans="5:10" s="34" customFormat="1" x14ac:dyDescent="0.35">
      <c r="E3213" s="35"/>
      <c r="J3213" s="41"/>
    </row>
    <row r="3214" spans="5:10" s="34" customFormat="1" x14ac:dyDescent="0.35">
      <c r="E3214" s="35"/>
      <c r="J3214" s="41"/>
    </row>
    <row r="3215" spans="5:10" s="34" customFormat="1" x14ac:dyDescent="0.35">
      <c r="E3215" s="35"/>
      <c r="J3215" s="41"/>
    </row>
    <row r="3216" spans="5:10" s="34" customFormat="1" x14ac:dyDescent="0.35">
      <c r="E3216" s="35"/>
      <c r="J3216" s="41"/>
    </row>
    <row r="3217" spans="5:10" s="34" customFormat="1" x14ac:dyDescent="0.35">
      <c r="E3217" s="35"/>
      <c r="J3217" s="41"/>
    </row>
    <row r="3218" spans="5:10" s="34" customFormat="1" x14ac:dyDescent="0.35">
      <c r="E3218" s="35"/>
      <c r="J3218" s="41"/>
    </row>
    <row r="3219" spans="5:10" s="34" customFormat="1" x14ac:dyDescent="0.35">
      <c r="E3219" s="35"/>
      <c r="J3219" s="41"/>
    </row>
    <row r="3220" spans="5:10" s="34" customFormat="1" x14ac:dyDescent="0.35">
      <c r="E3220" s="35"/>
      <c r="J3220" s="41"/>
    </row>
    <row r="3221" spans="5:10" s="34" customFormat="1" x14ac:dyDescent="0.35">
      <c r="E3221" s="35"/>
      <c r="J3221" s="41"/>
    </row>
    <row r="3222" spans="5:10" s="34" customFormat="1" x14ac:dyDescent="0.35">
      <c r="E3222" s="35"/>
      <c r="J3222" s="41"/>
    </row>
    <row r="3223" spans="5:10" s="34" customFormat="1" x14ac:dyDescent="0.35">
      <c r="E3223" s="35"/>
      <c r="J3223" s="41"/>
    </row>
    <row r="3224" spans="5:10" s="34" customFormat="1" x14ac:dyDescent="0.35">
      <c r="E3224" s="35"/>
      <c r="J3224" s="41"/>
    </row>
    <row r="3225" spans="5:10" s="34" customFormat="1" x14ac:dyDescent="0.35">
      <c r="E3225" s="35"/>
      <c r="J3225" s="41"/>
    </row>
    <row r="3226" spans="5:10" s="34" customFormat="1" x14ac:dyDescent="0.35">
      <c r="E3226" s="35"/>
      <c r="J3226" s="41"/>
    </row>
    <row r="3227" spans="5:10" s="34" customFormat="1" x14ac:dyDescent="0.35">
      <c r="E3227" s="35"/>
      <c r="J3227" s="41"/>
    </row>
    <row r="3228" spans="5:10" s="34" customFormat="1" x14ac:dyDescent="0.35">
      <c r="E3228" s="35"/>
      <c r="J3228" s="41"/>
    </row>
    <row r="3229" spans="5:10" s="34" customFormat="1" x14ac:dyDescent="0.35">
      <c r="E3229" s="35"/>
      <c r="J3229" s="41"/>
    </row>
    <row r="3230" spans="5:10" s="34" customFormat="1" x14ac:dyDescent="0.35">
      <c r="E3230" s="35"/>
      <c r="J3230" s="41"/>
    </row>
    <row r="3231" spans="5:10" s="34" customFormat="1" x14ac:dyDescent="0.35">
      <c r="E3231" s="35"/>
      <c r="J3231" s="41"/>
    </row>
    <row r="3232" spans="5:10" s="34" customFormat="1" x14ac:dyDescent="0.35">
      <c r="E3232" s="35"/>
      <c r="J3232" s="41"/>
    </row>
    <row r="3233" spans="5:10" s="34" customFormat="1" x14ac:dyDescent="0.35">
      <c r="E3233" s="35"/>
      <c r="J3233" s="41"/>
    </row>
    <row r="3234" spans="5:10" s="34" customFormat="1" x14ac:dyDescent="0.35">
      <c r="E3234" s="35"/>
      <c r="J3234" s="41"/>
    </row>
    <row r="3235" spans="5:10" s="34" customFormat="1" x14ac:dyDescent="0.35">
      <c r="E3235" s="35"/>
      <c r="J3235" s="41"/>
    </row>
    <row r="3236" spans="5:10" s="34" customFormat="1" x14ac:dyDescent="0.35">
      <c r="E3236" s="35"/>
      <c r="J3236" s="41"/>
    </row>
    <row r="3237" spans="5:10" s="34" customFormat="1" x14ac:dyDescent="0.35">
      <c r="E3237" s="35"/>
      <c r="J3237" s="41"/>
    </row>
    <row r="3238" spans="5:10" s="34" customFormat="1" x14ac:dyDescent="0.35">
      <c r="E3238" s="35"/>
      <c r="J3238" s="41"/>
    </row>
    <row r="3239" spans="5:10" s="34" customFormat="1" x14ac:dyDescent="0.35">
      <c r="E3239" s="35"/>
      <c r="J3239" s="41"/>
    </row>
    <row r="3240" spans="5:10" s="34" customFormat="1" x14ac:dyDescent="0.35">
      <c r="E3240" s="35"/>
      <c r="J3240" s="41"/>
    </row>
    <row r="3241" spans="5:10" s="34" customFormat="1" x14ac:dyDescent="0.35">
      <c r="E3241" s="35"/>
      <c r="J3241" s="41"/>
    </row>
    <row r="3242" spans="5:10" s="34" customFormat="1" x14ac:dyDescent="0.35">
      <c r="E3242" s="35"/>
      <c r="J3242" s="41"/>
    </row>
    <row r="3243" spans="5:10" s="34" customFormat="1" x14ac:dyDescent="0.35">
      <c r="E3243" s="35"/>
      <c r="J3243" s="41"/>
    </row>
    <row r="3244" spans="5:10" s="34" customFormat="1" x14ac:dyDescent="0.35">
      <c r="E3244" s="35"/>
      <c r="J3244" s="41"/>
    </row>
    <row r="3245" spans="5:10" s="34" customFormat="1" x14ac:dyDescent="0.35">
      <c r="E3245" s="35"/>
      <c r="J3245" s="41"/>
    </row>
    <row r="3246" spans="5:10" s="34" customFormat="1" x14ac:dyDescent="0.35">
      <c r="E3246" s="35"/>
      <c r="J3246" s="41"/>
    </row>
    <row r="3247" spans="5:10" s="34" customFormat="1" x14ac:dyDescent="0.35">
      <c r="E3247" s="35"/>
      <c r="J3247" s="41"/>
    </row>
    <row r="3248" spans="5:10" s="34" customFormat="1" x14ac:dyDescent="0.35">
      <c r="E3248" s="35"/>
      <c r="J3248" s="41"/>
    </row>
    <row r="3249" spans="5:10" s="34" customFormat="1" x14ac:dyDescent="0.35">
      <c r="E3249" s="35"/>
      <c r="J3249" s="41"/>
    </row>
    <row r="3250" spans="5:10" s="34" customFormat="1" x14ac:dyDescent="0.35">
      <c r="E3250" s="35"/>
      <c r="J3250" s="41"/>
    </row>
    <row r="3251" spans="5:10" s="34" customFormat="1" x14ac:dyDescent="0.35">
      <c r="E3251" s="35"/>
      <c r="J3251" s="41"/>
    </row>
    <row r="3252" spans="5:10" s="34" customFormat="1" x14ac:dyDescent="0.35">
      <c r="E3252" s="35"/>
      <c r="J3252" s="41"/>
    </row>
    <row r="3253" spans="5:10" s="34" customFormat="1" x14ac:dyDescent="0.35">
      <c r="E3253" s="35"/>
      <c r="J3253" s="41"/>
    </row>
    <row r="3254" spans="5:10" s="34" customFormat="1" x14ac:dyDescent="0.35">
      <c r="E3254" s="35"/>
      <c r="J3254" s="41"/>
    </row>
    <row r="3255" spans="5:10" s="34" customFormat="1" x14ac:dyDescent="0.35">
      <c r="E3255" s="35"/>
      <c r="J3255" s="41"/>
    </row>
    <row r="3256" spans="5:10" s="34" customFormat="1" x14ac:dyDescent="0.35">
      <c r="E3256" s="35"/>
      <c r="J3256" s="41"/>
    </row>
    <row r="3257" spans="5:10" s="34" customFormat="1" x14ac:dyDescent="0.35">
      <c r="E3257" s="35"/>
      <c r="J3257" s="41"/>
    </row>
    <row r="3258" spans="5:10" s="34" customFormat="1" x14ac:dyDescent="0.35">
      <c r="E3258" s="35"/>
      <c r="J3258" s="41"/>
    </row>
    <row r="3259" spans="5:10" s="34" customFormat="1" x14ac:dyDescent="0.35">
      <c r="E3259" s="35"/>
      <c r="J3259" s="41"/>
    </row>
    <row r="3260" spans="5:10" s="34" customFormat="1" x14ac:dyDescent="0.35">
      <c r="E3260" s="35"/>
      <c r="J3260" s="41"/>
    </row>
    <row r="3261" spans="5:10" s="34" customFormat="1" x14ac:dyDescent="0.35">
      <c r="E3261" s="35"/>
      <c r="J3261" s="41"/>
    </row>
    <row r="3262" spans="5:10" s="34" customFormat="1" x14ac:dyDescent="0.35">
      <c r="E3262" s="35"/>
      <c r="J3262" s="41"/>
    </row>
    <row r="3263" spans="5:10" s="34" customFormat="1" x14ac:dyDescent="0.35">
      <c r="E3263" s="35"/>
      <c r="J3263" s="41"/>
    </row>
    <row r="3264" spans="5:10" s="34" customFormat="1" x14ac:dyDescent="0.35">
      <c r="E3264" s="35"/>
      <c r="J3264" s="41"/>
    </row>
    <row r="3265" spans="5:10" s="34" customFormat="1" x14ac:dyDescent="0.35">
      <c r="E3265" s="35"/>
      <c r="J3265" s="41"/>
    </row>
    <row r="3266" spans="5:10" s="34" customFormat="1" x14ac:dyDescent="0.35">
      <c r="E3266" s="35"/>
      <c r="J3266" s="41"/>
    </row>
    <row r="3267" spans="5:10" s="34" customFormat="1" x14ac:dyDescent="0.35">
      <c r="E3267" s="35"/>
      <c r="J3267" s="41"/>
    </row>
    <row r="3268" spans="5:10" s="34" customFormat="1" x14ac:dyDescent="0.35">
      <c r="E3268" s="35"/>
      <c r="J3268" s="41"/>
    </row>
    <row r="3269" spans="5:10" s="34" customFormat="1" x14ac:dyDescent="0.35">
      <c r="E3269" s="35"/>
      <c r="J3269" s="41"/>
    </row>
    <row r="3270" spans="5:10" s="34" customFormat="1" x14ac:dyDescent="0.35">
      <c r="E3270" s="35"/>
      <c r="J3270" s="41"/>
    </row>
    <row r="3271" spans="5:10" s="34" customFormat="1" x14ac:dyDescent="0.35">
      <c r="E3271" s="35"/>
      <c r="J3271" s="41"/>
    </row>
    <row r="3272" spans="5:10" s="34" customFormat="1" x14ac:dyDescent="0.35">
      <c r="E3272" s="35"/>
      <c r="J3272" s="41"/>
    </row>
    <row r="3273" spans="5:10" s="34" customFormat="1" x14ac:dyDescent="0.35">
      <c r="E3273" s="35"/>
      <c r="J3273" s="41"/>
    </row>
    <row r="3274" spans="5:10" s="34" customFormat="1" x14ac:dyDescent="0.35">
      <c r="E3274" s="35"/>
      <c r="J3274" s="41"/>
    </row>
    <row r="3275" spans="5:10" s="34" customFormat="1" x14ac:dyDescent="0.35">
      <c r="E3275" s="35"/>
      <c r="J3275" s="41"/>
    </row>
    <row r="3276" spans="5:10" s="34" customFormat="1" x14ac:dyDescent="0.35">
      <c r="E3276" s="35"/>
      <c r="J3276" s="41"/>
    </row>
    <row r="3277" spans="5:10" s="34" customFormat="1" x14ac:dyDescent="0.35">
      <c r="E3277" s="35"/>
      <c r="J3277" s="41"/>
    </row>
    <row r="3278" spans="5:10" s="34" customFormat="1" x14ac:dyDescent="0.35">
      <c r="E3278" s="35"/>
      <c r="J3278" s="41"/>
    </row>
    <row r="3279" spans="5:10" s="34" customFormat="1" x14ac:dyDescent="0.35">
      <c r="E3279" s="35"/>
      <c r="J3279" s="41"/>
    </row>
    <row r="3280" spans="5:10" s="34" customFormat="1" x14ac:dyDescent="0.35">
      <c r="E3280" s="35"/>
      <c r="J3280" s="41"/>
    </row>
    <row r="3281" spans="5:10" s="34" customFormat="1" x14ac:dyDescent="0.35">
      <c r="E3281" s="35"/>
      <c r="J3281" s="41"/>
    </row>
    <row r="3282" spans="5:10" s="34" customFormat="1" x14ac:dyDescent="0.35">
      <c r="E3282" s="35"/>
      <c r="J3282" s="41"/>
    </row>
    <row r="3283" spans="5:10" s="34" customFormat="1" x14ac:dyDescent="0.35">
      <c r="E3283" s="35"/>
      <c r="J3283" s="41"/>
    </row>
    <row r="3284" spans="5:10" s="34" customFormat="1" x14ac:dyDescent="0.35">
      <c r="E3284" s="35"/>
      <c r="J3284" s="41"/>
    </row>
    <row r="3285" spans="5:10" s="34" customFormat="1" x14ac:dyDescent="0.35">
      <c r="E3285" s="35"/>
      <c r="J3285" s="41"/>
    </row>
    <row r="3286" spans="5:10" s="34" customFormat="1" x14ac:dyDescent="0.35">
      <c r="E3286" s="35"/>
      <c r="J3286" s="41"/>
    </row>
    <row r="3287" spans="5:10" s="34" customFormat="1" x14ac:dyDescent="0.35">
      <c r="E3287" s="35"/>
      <c r="J3287" s="41"/>
    </row>
    <row r="3288" spans="5:10" s="34" customFormat="1" x14ac:dyDescent="0.35">
      <c r="E3288" s="35"/>
      <c r="J3288" s="41"/>
    </row>
    <row r="3289" spans="5:10" s="34" customFormat="1" x14ac:dyDescent="0.35">
      <c r="E3289" s="35"/>
      <c r="J3289" s="41"/>
    </row>
    <row r="3290" spans="5:10" s="34" customFormat="1" x14ac:dyDescent="0.35">
      <c r="E3290" s="35"/>
      <c r="J3290" s="41"/>
    </row>
    <row r="3291" spans="5:10" s="34" customFormat="1" x14ac:dyDescent="0.35">
      <c r="E3291" s="35"/>
      <c r="J3291" s="41"/>
    </row>
    <row r="3292" spans="5:10" s="34" customFormat="1" x14ac:dyDescent="0.35">
      <c r="E3292" s="35"/>
      <c r="J3292" s="41"/>
    </row>
    <row r="3293" spans="5:10" s="34" customFormat="1" x14ac:dyDescent="0.35">
      <c r="E3293" s="35"/>
      <c r="J3293" s="41"/>
    </row>
    <row r="3294" spans="5:10" s="34" customFormat="1" x14ac:dyDescent="0.35">
      <c r="E3294" s="35"/>
      <c r="J3294" s="41"/>
    </row>
    <row r="3295" spans="5:10" s="34" customFormat="1" x14ac:dyDescent="0.35">
      <c r="E3295" s="35"/>
      <c r="J3295" s="41"/>
    </row>
    <row r="3296" spans="5:10" s="34" customFormat="1" x14ac:dyDescent="0.35">
      <c r="E3296" s="35"/>
      <c r="J3296" s="41"/>
    </row>
    <row r="3297" spans="5:10" s="34" customFormat="1" x14ac:dyDescent="0.35">
      <c r="E3297" s="35"/>
      <c r="J3297" s="41"/>
    </row>
    <row r="3298" spans="5:10" s="34" customFormat="1" x14ac:dyDescent="0.35">
      <c r="E3298" s="35"/>
      <c r="J3298" s="41"/>
    </row>
    <row r="3299" spans="5:10" s="34" customFormat="1" x14ac:dyDescent="0.35">
      <c r="E3299" s="35"/>
      <c r="J3299" s="41"/>
    </row>
    <row r="3300" spans="5:10" s="34" customFormat="1" x14ac:dyDescent="0.35">
      <c r="E3300" s="35"/>
      <c r="J3300" s="41"/>
    </row>
    <row r="3301" spans="5:10" s="34" customFormat="1" x14ac:dyDescent="0.35">
      <c r="E3301" s="35"/>
      <c r="J3301" s="41"/>
    </row>
    <row r="3302" spans="5:10" s="34" customFormat="1" x14ac:dyDescent="0.35">
      <c r="E3302" s="35"/>
      <c r="J3302" s="41"/>
    </row>
    <row r="3303" spans="5:10" s="34" customFormat="1" x14ac:dyDescent="0.35">
      <c r="E3303" s="35"/>
      <c r="J3303" s="41"/>
    </row>
    <row r="3304" spans="5:10" s="34" customFormat="1" x14ac:dyDescent="0.35">
      <c r="E3304" s="35"/>
      <c r="J3304" s="41"/>
    </row>
    <row r="3305" spans="5:10" s="34" customFormat="1" x14ac:dyDescent="0.35">
      <c r="E3305" s="35"/>
      <c r="J3305" s="41"/>
    </row>
    <row r="3306" spans="5:10" s="34" customFormat="1" x14ac:dyDescent="0.35">
      <c r="E3306" s="35"/>
      <c r="J3306" s="41"/>
    </row>
    <row r="3307" spans="5:10" s="34" customFormat="1" x14ac:dyDescent="0.35">
      <c r="E3307" s="35"/>
      <c r="J3307" s="41"/>
    </row>
    <row r="3308" spans="5:10" s="34" customFormat="1" x14ac:dyDescent="0.35">
      <c r="E3308" s="35"/>
      <c r="J3308" s="41"/>
    </row>
    <row r="3309" spans="5:10" s="34" customFormat="1" x14ac:dyDescent="0.35">
      <c r="E3309" s="35"/>
      <c r="J3309" s="41"/>
    </row>
    <row r="3310" spans="5:10" s="34" customFormat="1" x14ac:dyDescent="0.35">
      <c r="E3310" s="35"/>
      <c r="J3310" s="41"/>
    </row>
    <row r="3311" spans="5:10" s="34" customFormat="1" x14ac:dyDescent="0.35">
      <c r="E3311" s="35"/>
      <c r="J3311" s="41"/>
    </row>
    <row r="3312" spans="5:10" s="34" customFormat="1" x14ac:dyDescent="0.35">
      <c r="E3312" s="35"/>
      <c r="J3312" s="41"/>
    </row>
    <row r="3313" spans="5:10" s="34" customFormat="1" x14ac:dyDescent="0.35">
      <c r="E3313" s="35"/>
      <c r="J3313" s="41"/>
    </row>
    <row r="3314" spans="5:10" s="34" customFormat="1" x14ac:dyDescent="0.35">
      <c r="E3314" s="35"/>
      <c r="J3314" s="41"/>
    </row>
    <row r="3315" spans="5:10" s="34" customFormat="1" x14ac:dyDescent="0.35">
      <c r="E3315" s="35"/>
      <c r="J3315" s="41"/>
    </row>
    <row r="3316" spans="5:10" s="34" customFormat="1" x14ac:dyDescent="0.35">
      <c r="E3316" s="35"/>
      <c r="J3316" s="41"/>
    </row>
    <row r="3317" spans="5:10" s="34" customFormat="1" x14ac:dyDescent="0.35">
      <c r="E3317" s="35"/>
      <c r="J3317" s="41"/>
    </row>
    <row r="3318" spans="5:10" s="34" customFormat="1" x14ac:dyDescent="0.35">
      <c r="E3318" s="35"/>
      <c r="J3318" s="41"/>
    </row>
    <row r="3319" spans="5:10" s="34" customFormat="1" x14ac:dyDescent="0.35">
      <c r="E3319" s="35"/>
      <c r="J3319" s="41"/>
    </row>
    <row r="3320" spans="5:10" s="34" customFormat="1" x14ac:dyDescent="0.35">
      <c r="E3320" s="35"/>
      <c r="J3320" s="41"/>
    </row>
    <row r="3321" spans="5:10" s="34" customFormat="1" x14ac:dyDescent="0.35">
      <c r="E3321" s="35"/>
      <c r="J3321" s="41"/>
    </row>
    <row r="3322" spans="5:10" s="34" customFormat="1" x14ac:dyDescent="0.35">
      <c r="E3322" s="35"/>
      <c r="J3322" s="41"/>
    </row>
    <row r="3323" spans="5:10" s="34" customFormat="1" x14ac:dyDescent="0.35">
      <c r="E3323" s="35"/>
      <c r="J3323" s="41"/>
    </row>
    <row r="3324" spans="5:10" s="34" customFormat="1" x14ac:dyDescent="0.35">
      <c r="E3324" s="35"/>
      <c r="J3324" s="41"/>
    </row>
    <row r="3325" spans="5:10" s="34" customFormat="1" x14ac:dyDescent="0.35">
      <c r="E3325" s="35"/>
      <c r="J3325" s="41"/>
    </row>
    <row r="3326" spans="5:10" s="34" customFormat="1" x14ac:dyDescent="0.35">
      <c r="E3326" s="35"/>
      <c r="J3326" s="41"/>
    </row>
    <row r="3327" spans="5:10" s="34" customFormat="1" x14ac:dyDescent="0.35">
      <c r="E3327" s="35"/>
      <c r="J3327" s="41"/>
    </row>
    <row r="3328" spans="5:10" s="34" customFormat="1" x14ac:dyDescent="0.35">
      <c r="E3328" s="35"/>
      <c r="J3328" s="41"/>
    </row>
    <row r="3329" spans="5:10" s="34" customFormat="1" x14ac:dyDescent="0.35">
      <c r="E3329" s="35"/>
      <c r="J3329" s="41"/>
    </row>
    <row r="3330" spans="5:10" s="34" customFormat="1" x14ac:dyDescent="0.35">
      <c r="E3330" s="35"/>
      <c r="J3330" s="41"/>
    </row>
    <row r="3331" spans="5:10" s="34" customFormat="1" x14ac:dyDescent="0.35">
      <c r="E3331" s="35"/>
      <c r="J3331" s="41"/>
    </row>
    <row r="3332" spans="5:10" s="34" customFormat="1" x14ac:dyDescent="0.35">
      <c r="E3332" s="35"/>
      <c r="J3332" s="41"/>
    </row>
    <row r="3333" spans="5:10" s="34" customFormat="1" x14ac:dyDescent="0.35">
      <c r="E3333" s="35"/>
      <c r="J3333" s="41"/>
    </row>
    <row r="3334" spans="5:10" s="34" customFormat="1" x14ac:dyDescent="0.35">
      <c r="E3334" s="35"/>
      <c r="J3334" s="41"/>
    </row>
    <row r="3335" spans="5:10" s="34" customFormat="1" x14ac:dyDescent="0.35">
      <c r="E3335" s="35"/>
      <c r="J3335" s="41"/>
    </row>
    <row r="3336" spans="5:10" s="34" customFormat="1" x14ac:dyDescent="0.35">
      <c r="E3336" s="35"/>
      <c r="J3336" s="41"/>
    </row>
    <row r="3337" spans="5:10" s="34" customFormat="1" x14ac:dyDescent="0.35">
      <c r="E3337" s="35"/>
      <c r="J3337" s="41"/>
    </row>
    <row r="3338" spans="5:10" s="34" customFormat="1" x14ac:dyDescent="0.35">
      <c r="E3338" s="35"/>
      <c r="J3338" s="41"/>
    </row>
    <row r="3339" spans="5:10" s="34" customFormat="1" x14ac:dyDescent="0.35">
      <c r="E3339" s="35"/>
      <c r="J3339" s="41"/>
    </row>
    <row r="3340" spans="5:10" s="34" customFormat="1" x14ac:dyDescent="0.35">
      <c r="E3340" s="35"/>
      <c r="J3340" s="41"/>
    </row>
    <row r="3341" spans="5:10" s="34" customFormat="1" x14ac:dyDescent="0.35">
      <c r="E3341" s="35"/>
      <c r="J3341" s="41"/>
    </row>
    <row r="3342" spans="5:10" s="34" customFormat="1" x14ac:dyDescent="0.35">
      <c r="E3342" s="35"/>
      <c r="J3342" s="41"/>
    </row>
    <row r="3343" spans="5:10" s="34" customFormat="1" x14ac:dyDescent="0.35">
      <c r="E3343" s="35"/>
      <c r="J3343" s="41"/>
    </row>
    <row r="3344" spans="5:10" s="34" customFormat="1" x14ac:dyDescent="0.35">
      <c r="E3344" s="35"/>
      <c r="J3344" s="41"/>
    </row>
    <row r="3345" spans="5:10" s="34" customFormat="1" x14ac:dyDescent="0.35">
      <c r="E3345" s="35"/>
      <c r="J3345" s="41"/>
    </row>
    <row r="3346" spans="5:10" s="34" customFormat="1" x14ac:dyDescent="0.35">
      <c r="E3346" s="35"/>
      <c r="J3346" s="41"/>
    </row>
    <row r="3347" spans="5:10" s="34" customFormat="1" x14ac:dyDescent="0.35">
      <c r="E3347" s="35"/>
      <c r="J3347" s="41"/>
    </row>
    <row r="3348" spans="5:10" s="34" customFormat="1" x14ac:dyDescent="0.35">
      <c r="E3348" s="35"/>
      <c r="J3348" s="41"/>
    </row>
    <row r="3349" spans="5:10" s="34" customFormat="1" x14ac:dyDescent="0.35">
      <c r="E3349" s="35"/>
      <c r="J3349" s="41"/>
    </row>
    <row r="3350" spans="5:10" s="34" customFormat="1" x14ac:dyDescent="0.35">
      <c r="E3350" s="35"/>
      <c r="J3350" s="41"/>
    </row>
    <row r="3351" spans="5:10" s="34" customFormat="1" x14ac:dyDescent="0.35">
      <c r="E3351" s="35"/>
      <c r="J3351" s="41"/>
    </row>
    <row r="3352" spans="5:10" s="34" customFormat="1" x14ac:dyDescent="0.35">
      <c r="E3352" s="35"/>
      <c r="J3352" s="41"/>
    </row>
    <row r="3353" spans="5:10" s="34" customFormat="1" x14ac:dyDescent="0.35">
      <c r="E3353" s="35"/>
      <c r="J3353" s="41"/>
    </row>
    <row r="3354" spans="5:10" s="34" customFormat="1" x14ac:dyDescent="0.35">
      <c r="E3354" s="35"/>
      <c r="J3354" s="41"/>
    </row>
    <row r="3355" spans="5:10" s="34" customFormat="1" x14ac:dyDescent="0.35">
      <c r="E3355" s="35"/>
      <c r="J3355" s="41"/>
    </row>
    <row r="3356" spans="5:10" s="34" customFormat="1" x14ac:dyDescent="0.35">
      <c r="E3356" s="35"/>
      <c r="J3356" s="41"/>
    </row>
    <row r="3357" spans="5:10" s="34" customFormat="1" x14ac:dyDescent="0.35">
      <c r="E3357" s="35"/>
      <c r="J3357" s="41"/>
    </row>
    <row r="3358" spans="5:10" s="34" customFormat="1" x14ac:dyDescent="0.35">
      <c r="E3358" s="35"/>
      <c r="J3358" s="41"/>
    </row>
    <row r="3359" spans="5:10" s="34" customFormat="1" x14ac:dyDescent="0.35">
      <c r="E3359" s="35"/>
      <c r="J3359" s="41"/>
    </row>
    <row r="3360" spans="5:10" s="34" customFormat="1" x14ac:dyDescent="0.35">
      <c r="E3360" s="35"/>
      <c r="J3360" s="41"/>
    </row>
    <row r="3361" spans="5:10" s="34" customFormat="1" x14ac:dyDescent="0.35">
      <c r="E3361" s="35"/>
      <c r="J3361" s="41"/>
    </row>
    <row r="3362" spans="5:10" s="34" customFormat="1" x14ac:dyDescent="0.35">
      <c r="E3362" s="35"/>
      <c r="J3362" s="41"/>
    </row>
    <row r="3363" spans="5:10" s="34" customFormat="1" x14ac:dyDescent="0.35">
      <c r="E3363" s="35"/>
      <c r="J3363" s="41"/>
    </row>
    <row r="3364" spans="5:10" s="34" customFormat="1" x14ac:dyDescent="0.35">
      <c r="E3364" s="35"/>
      <c r="J3364" s="41"/>
    </row>
    <row r="3365" spans="5:10" s="34" customFormat="1" x14ac:dyDescent="0.35">
      <c r="E3365" s="35"/>
      <c r="J3365" s="41"/>
    </row>
    <row r="3366" spans="5:10" s="34" customFormat="1" x14ac:dyDescent="0.35">
      <c r="E3366" s="35"/>
      <c r="J3366" s="41"/>
    </row>
    <row r="3367" spans="5:10" s="34" customFormat="1" x14ac:dyDescent="0.35">
      <c r="E3367" s="35"/>
      <c r="J3367" s="41"/>
    </row>
    <row r="3368" spans="5:10" s="34" customFormat="1" x14ac:dyDescent="0.35">
      <c r="E3368" s="35"/>
      <c r="J3368" s="41"/>
    </row>
    <row r="3369" spans="5:10" s="34" customFormat="1" x14ac:dyDescent="0.35">
      <c r="E3369" s="35"/>
      <c r="J3369" s="41"/>
    </row>
    <row r="3370" spans="5:10" s="34" customFormat="1" x14ac:dyDescent="0.35">
      <c r="E3370" s="35"/>
      <c r="J3370" s="41"/>
    </row>
    <row r="3371" spans="5:10" s="34" customFormat="1" x14ac:dyDescent="0.35">
      <c r="E3371" s="35"/>
      <c r="J3371" s="41"/>
    </row>
    <row r="3372" spans="5:10" s="34" customFormat="1" x14ac:dyDescent="0.35">
      <c r="E3372" s="35"/>
      <c r="J3372" s="41"/>
    </row>
    <row r="3373" spans="5:10" s="34" customFormat="1" x14ac:dyDescent="0.35">
      <c r="E3373" s="35"/>
      <c r="J3373" s="41"/>
    </row>
    <row r="3374" spans="5:10" s="34" customFormat="1" x14ac:dyDescent="0.35">
      <c r="E3374" s="35"/>
      <c r="J3374" s="41"/>
    </row>
    <row r="3375" spans="5:10" s="34" customFormat="1" x14ac:dyDescent="0.35">
      <c r="E3375" s="35"/>
      <c r="J3375" s="41"/>
    </row>
    <row r="3376" spans="5:10" s="34" customFormat="1" x14ac:dyDescent="0.35">
      <c r="E3376" s="35"/>
      <c r="J3376" s="41"/>
    </row>
    <row r="3377" spans="5:10" s="34" customFormat="1" x14ac:dyDescent="0.35">
      <c r="E3377" s="35"/>
      <c r="J3377" s="41"/>
    </row>
    <row r="3378" spans="5:10" s="34" customFormat="1" x14ac:dyDescent="0.35">
      <c r="E3378" s="35"/>
      <c r="J3378" s="41"/>
    </row>
    <row r="3379" spans="5:10" s="34" customFormat="1" x14ac:dyDescent="0.35">
      <c r="E3379" s="35"/>
      <c r="J3379" s="41"/>
    </row>
    <row r="3380" spans="5:10" s="34" customFormat="1" x14ac:dyDescent="0.35">
      <c r="E3380" s="35"/>
      <c r="J3380" s="41"/>
    </row>
    <row r="3381" spans="5:10" s="34" customFormat="1" x14ac:dyDescent="0.35">
      <c r="E3381" s="35"/>
      <c r="J3381" s="41"/>
    </row>
    <row r="3382" spans="5:10" s="34" customFormat="1" x14ac:dyDescent="0.35">
      <c r="E3382" s="35"/>
      <c r="J3382" s="41"/>
    </row>
    <row r="3383" spans="5:10" s="34" customFormat="1" x14ac:dyDescent="0.35">
      <c r="E3383" s="35"/>
      <c r="J3383" s="41"/>
    </row>
    <row r="3384" spans="5:10" s="34" customFormat="1" x14ac:dyDescent="0.35">
      <c r="E3384" s="35"/>
      <c r="J3384" s="41"/>
    </row>
    <row r="3385" spans="5:10" s="34" customFormat="1" x14ac:dyDescent="0.35">
      <c r="E3385" s="35"/>
      <c r="J3385" s="41"/>
    </row>
    <row r="3386" spans="5:10" s="34" customFormat="1" x14ac:dyDescent="0.35">
      <c r="E3386" s="35"/>
      <c r="J3386" s="41"/>
    </row>
    <row r="3387" spans="5:10" s="34" customFormat="1" x14ac:dyDescent="0.35">
      <c r="E3387" s="35"/>
      <c r="J3387" s="41"/>
    </row>
    <row r="3388" spans="5:10" s="34" customFormat="1" x14ac:dyDescent="0.35">
      <c r="E3388" s="35"/>
      <c r="J3388" s="41"/>
    </row>
    <row r="3389" spans="5:10" s="34" customFormat="1" x14ac:dyDescent="0.35">
      <c r="E3389" s="35"/>
      <c r="J3389" s="41"/>
    </row>
    <row r="3390" spans="5:10" s="34" customFormat="1" x14ac:dyDescent="0.35">
      <c r="E3390" s="35"/>
      <c r="J3390" s="41"/>
    </row>
    <row r="3391" spans="5:10" s="34" customFormat="1" x14ac:dyDescent="0.35">
      <c r="E3391" s="35"/>
      <c r="J3391" s="41"/>
    </row>
    <row r="3392" spans="5:10" s="34" customFormat="1" x14ac:dyDescent="0.35">
      <c r="E3392" s="35"/>
      <c r="J3392" s="41"/>
    </row>
    <row r="3393" spans="5:10" s="34" customFormat="1" x14ac:dyDescent="0.35">
      <c r="E3393" s="35"/>
      <c r="J3393" s="41"/>
    </row>
    <row r="3394" spans="5:10" s="34" customFormat="1" x14ac:dyDescent="0.35">
      <c r="E3394" s="35"/>
      <c r="J3394" s="41"/>
    </row>
    <row r="3395" spans="5:10" s="34" customFormat="1" x14ac:dyDescent="0.35">
      <c r="E3395" s="35"/>
      <c r="J3395" s="41"/>
    </row>
    <row r="3396" spans="5:10" s="34" customFormat="1" x14ac:dyDescent="0.35">
      <c r="E3396" s="35"/>
      <c r="J3396" s="41"/>
    </row>
    <row r="3397" spans="5:10" s="34" customFormat="1" x14ac:dyDescent="0.35">
      <c r="E3397" s="35"/>
      <c r="J3397" s="41"/>
    </row>
    <row r="3398" spans="5:10" s="34" customFormat="1" x14ac:dyDescent="0.35">
      <c r="E3398" s="35"/>
      <c r="J3398" s="41"/>
    </row>
    <row r="3399" spans="5:10" s="34" customFormat="1" x14ac:dyDescent="0.35">
      <c r="E3399" s="35"/>
      <c r="J3399" s="41"/>
    </row>
    <row r="3400" spans="5:10" s="34" customFormat="1" x14ac:dyDescent="0.35">
      <c r="E3400" s="35"/>
      <c r="J3400" s="41"/>
    </row>
    <row r="3401" spans="5:10" s="34" customFormat="1" x14ac:dyDescent="0.35">
      <c r="E3401" s="35"/>
      <c r="J3401" s="41"/>
    </row>
    <row r="3402" spans="5:10" s="34" customFormat="1" x14ac:dyDescent="0.35">
      <c r="E3402" s="35"/>
      <c r="J3402" s="41"/>
    </row>
    <row r="3403" spans="5:10" s="34" customFormat="1" x14ac:dyDescent="0.35">
      <c r="E3403" s="35"/>
      <c r="J3403" s="41"/>
    </row>
    <row r="3404" spans="5:10" s="34" customFormat="1" x14ac:dyDescent="0.35">
      <c r="E3404" s="35"/>
      <c r="J3404" s="41"/>
    </row>
    <row r="3405" spans="5:10" s="34" customFormat="1" x14ac:dyDescent="0.35">
      <c r="E3405" s="35"/>
      <c r="J3405" s="41"/>
    </row>
    <row r="3406" spans="5:10" s="34" customFormat="1" x14ac:dyDescent="0.35">
      <c r="E3406" s="35"/>
      <c r="J3406" s="41"/>
    </row>
    <row r="3407" spans="5:10" s="34" customFormat="1" x14ac:dyDescent="0.35">
      <c r="E3407" s="35"/>
      <c r="J3407" s="41"/>
    </row>
    <row r="3408" spans="5:10" s="34" customFormat="1" x14ac:dyDescent="0.35">
      <c r="E3408" s="35"/>
      <c r="J3408" s="41"/>
    </row>
    <row r="3409" spans="5:10" s="34" customFormat="1" x14ac:dyDescent="0.35">
      <c r="E3409" s="35"/>
      <c r="J3409" s="41"/>
    </row>
    <row r="3410" spans="5:10" s="34" customFormat="1" x14ac:dyDescent="0.35">
      <c r="E3410" s="35"/>
      <c r="J3410" s="41"/>
    </row>
    <row r="3411" spans="5:10" s="34" customFormat="1" x14ac:dyDescent="0.35">
      <c r="E3411" s="35"/>
      <c r="J3411" s="41"/>
    </row>
    <row r="3412" spans="5:10" s="34" customFormat="1" x14ac:dyDescent="0.35">
      <c r="E3412" s="35"/>
      <c r="J3412" s="41"/>
    </row>
    <row r="3413" spans="5:10" s="34" customFormat="1" x14ac:dyDescent="0.35">
      <c r="E3413" s="35"/>
      <c r="J3413" s="41"/>
    </row>
    <row r="3414" spans="5:10" s="34" customFormat="1" x14ac:dyDescent="0.35">
      <c r="E3414" s="35"/>
      <c r="J3414" s="41"/>
    </row>
    <row r="3415" spans="5:10" s="34" customFormat="1" x14ac:dyDescent="0.35">
      <c r="E3415" s="35"/>
      <c r="J3415" s="41"/>
    </row>
    <row r="3416" spans="5:10" s="34" customFormat="1" x14ac:dyDescent="0.35">
      <c r="E3416" s="35"/>
      <c r="J3416" s="41"/>
    </row>
    <row r="3417" spans="5:10" s="34" customFormat="1" x14ac:dyDescent="0.35">
      <c r="E3417" s="35"/>
      <c r="J3417" s="41"/>
    </row>
    <row r="3418" spans="5:10" s="34" customFormat="1" x14ac:dyDescent="0.35">
      <c r="E3418" s="35"/>
      <c r="J3418" s="41"/>
    </row>
    <row r="3419" spans="5:10" s="34" customFormat="1" x14ac:dyDescent="0.35">
      <c r="E3419" s="35"/>
      <c r="J3419" s="41"/>
    </row>
    <row r="3420" spans="5:10" s="34" customFormat="1" x14ac:dyDescent="0.35">
      <c r="E3420" s="35"/>
      <c r="J3420" s="41"/>
    </row>
    <row r="3421" spans="5:10" s="34" customFormat="1" x14ac:dyDescent="0.35">
      <c r="E3421" s="35"/>
      <c r="J3421" s="41"/>
    </row>
    <row r="3422" spans="5:10" s="34" customFormat="1" x14ac:dyDescent="0.35">
      <c r="E3422" s="35"/>
      <c r="J3422" s="41"/>
    </row>
    <row r="3423" spans="5:10" s="34" customFormat="1" x14ac:dyDescent="0.35">
      <c r="E3423" s="35"/>
      <c r="J3423" s="41"/>
    </row>
    <row r="3424" spans="5:10" s="34" customFormat="1" x14ac:dyDescent="0.35">
      <c r="E3424" s="35"/>
      <c r="J3424" s="41"/>
    </row>
    <row r="3425" spans="5:10" s="34" customFormat="1" x14ac:dyDescent="0.35">
      <c r="E3425" s="35"/>
      <c r="J3425" s="41"/>
    </row>
    <row r="3426" spans="5:10" s="34" customFormat="1" x14ac:dyDescent="0.35">
      <c r="E3426" s="35"/>
      <c r="J3426" s="41"/>
    </row>
    <row r="3427" spans="5:10" s="34" customFormat="1" x14ac:dyDescent="0.35">
      <c r="E3427" s="35"/>
      <c r="J3427" s="41"/>
    </row>
    <row r="3428" spans="5:10" s="34" customFormat="1" x14ac:dyDescent="0.35">
      <c r="E3428" s="35"/>
      <c r="J3428" s="41"/>
    </row>
    <row r="3429" spans="5:10" s="34" customFormat="1" x14ac:dyDescent="0.35">
      <c r="E3429" s="35"/>
      <c r="J3429" s="41"/>
    </row>
    <row r="3430" spans="5:10" s="34" customFormat="1" x14ac:dyDescent="0.35">
      <c r="E3430" s="35"/>
      <c r="J3430" s="41"/>
    </row>
    <row r="3431" spans="5:10" s="34" customFormat="1" x14ac:dyDescent="0.35">
      <c r="E3431" s="35"/>
      <c r="J3431" s="41"/>
    </row>
    <row r="3432" spans="5:10" s="34" customFormat="1" x14ac:dyDescent="0.35">
      <c r="E3432" s="35"/>
      <c r="J3432" s="41"/>
    </row>
    <row r="3433" spans="5:10" s="34" customFormat="1" x14ac:dyDescent="0.35">
      <c r="E3433" s="35"/>
      <c r="J3433" s="41"/>
    </row>
    <row r="3434" spans="5:10" s="34" customFormat="1" x14ac:dyDescent="0.35">
      <c r="E3434" s="35"/>
      <c r="J3434" s="41"/>
    </row>
    <row r="3435" spans="5:10" s="34" customFormat="1" x14ac:dyDescent="0.35">
      <c r="E3435" s="35"/>
      <c r="J3435" s="41"/>
    </row>
    <row r="3436" spans="5:10" s="34" customFormat="1" x14ac:dyDescent="0.35">
      <c r="E3436" s="35"/>
      <c r="J3436" s="41"/>
    </row>
    <row r="3437" spans="5:10" s="34" customFormat="1" x14ac:dyDescent="0.35">
      <c r="E3437" s="35"/>
      <c r="J3437" s="41"/>
    </row>
    <row r="3438" spans="5:10" s="34" customFormat="1" x14ac:dyDescent="0.35">
      <c r="E3438" s="35"/>
      <c r="J3438" s="41"/>
    </row>
    <row r="3439" spans="5:10" s="34" customFormat="1" x14ac:dyDescent="0.35">
      <c r="E3439" s="35"/>
      <c r="J3439" s="41"/>
    </row>
    <row r="3440" spans="5:10" s="34" customFormat="1" x14ac:dyDescent="0.35">
      <c r="E3440" s="35"/>
      <c r="J3440" s="41"/>
    </row>
    <row r="3441" spans="5:10" s="34" customFormat="1" x14ac:dyDescent="0.35">
      <c r="E3441" s="35"/>
      <c r="J3441" s="41"/>
    </row>
    <row r="3442" spans="5:10" s="34" customFormat="1" x14ac:dyDescent="0.35">
      <c r="E3442" s="35"/>
      <c r="J3442" s="41"/>
    </row>
    <row r="3443" spans="5:10" s="34" customFormat="1" x14ac:dyDescent="0.35">
      <c r="E3443" s="35"/>
      <c r="J3443" s="41"/>
    </row>
    <row r="3444" spans="5:10" s="34" customFormat="1" x14ac:dyDescent="0.35">
      <c r="E3444" s="35"/>
      <c r="J3444" s="41"/>
    </row>
    <row r="3445" spans="5:10" s="34" customFormat="1" x14ac:dyDescent="0.35">
      <c r="E3445" s="35"/>
      <c r="J3445" s="41"/>
    </row>
    <row r="3446" spans="5:10" s="34" customFormat="1" x14ac:dyDescent="0.35">
      <c r="E3446" s="35"/>
      <c r="J3446" s="41"/>
    </row>
    <row r="3447" spans="5:10" s="34" customFormat="1" x14ac:dyDescent="0.35">
      <c r="E3447" s="35"/>
      <c r="J3447" s="41"/>
    </row>
    <row r="3448" spans="5:10" s="34" customFormat="1" x14ac:dyDescent="0.35">
      <c r="E3448" s="35"/>
      <c r="J3448" s="41"/>
    </row>
    <row r="3449" spans="5:10" s="34" customFormat="1" x14ac:dyDescent="0.35">
      <c r="E3449" s="35"/>
      <c r="J3449" s="41"/>
    </row>
    <row r="3450" spans="5:10" s="34" customFormat="1" x14ac:dyDescent="0.35">
      <c r="E3450" s="35"/>
      <c r="J3450" s="41"/>
    </row>
    <row r="3451" spans="5:10" s="34" customFormat="1" x14ac:dyDescent="0.35">
      <c r="E3451" s="35"/>
      <c r="J3451" s="41"/>
    </row>
    <row r="3452" spans="5:10" s="34" customFormat="1" x14ac:dyDescent="0.35">
      <c r="E3452" s="35"/>
      <c r="J3452" s="41"/>
    </row>
    <row r="3453" spans="5:10" s="34" customFormat="1" x14ac:dyDescent="0.35">
      <c r="E3453" s="35"/>
      <c r="J3453" s="41"/>
    </row>
    <row r="3454" spans="5:10" s="34" customFormat="1" x14ac:dyDescent="0.35">
      <c r="E3454" s="35"/>
      <c r="J3454" s="41"/>
    </row>
    <row r="3455" spans="5:10" s="34" customFormat="1" x14ac:dyDescent="0.35">
      <c r="E3455" s="35"/>
      <c r="J3455" s="41"/>
    </row>
    <row r="3456" spans="5:10" s="34" customFormat="1" x14ac:dyDescent="0.35">
      <c r="E3456" s="35"/>
      <c r="J3456" s="41"/>
    </row>
    <row r="3457" spans="5:10" s="34" customFormat="1" x14ac:dyDescent="0.35">
      <c r="E3457" s="35"/>
      <c r="J3457" s="41"/>
    </row>
    <row r="3458" spans="5:10" s="34" customFormat="1" x14ac:dyDescent="0.35">
      <c r="E3458" s="35"/>
      <c r="J3458" s="41"/>
    </row>
    <row r="3459" spans="5:10" s="34" customFormat="1" x14ac:dyDescent="0.35">
      <c r="E3459" s="35"/>
      <c r="J3459" s="41"/>
    </row>
    <row r="3460" spans="5:10" s="34" customFormat="1" x14ac:dyDescent="0.35">
      <c r="E3460" s="35"/>
      <c r="J3460" s="41"/>
    </row>
    <row r="3461" spans="5:10" s="34" customFormat="1" x14ac:dyDescent="0.35">
      <c r="E3461" s="35"/>
      <c r="J3461" s="41"/>
    </row>
    <row r="3462" spans="5:10" s="34" customFormat="1" x14ac:dyDescent="0.35">
      <c r="E3462" s="35"/>
      <c r="J3462" s="41"/>
    </row>
    <row r="3463" spans="5:10" s="34" customFormat="1" x14ac:dyDescent="0.35">
      <c r="E3463" s="35"/>
      <c r="J3463" s="41"/>
    </row>
    <row r="3464" spans="5:10" s="34" customFormat="1" x14ac:dyDescent="0.35">
      <c r="E3464" s="35"/>
      <c r="J3464" s="41"/>
    </row>
    <row r="3465" spans="5:10" s="34" customFormat="1" x14ac:dyDescent="0.35">
      <c r="E3465" s="35"/>
      <c r="J3465" s="41"/>
    </row>
    <row r="3466" spans="5:10" s="34" customFormat="1" x14ac:dyDescent="0.35">
      <c r="E3466" s="35"/>
      <c r="J3466" s="41"/>
    </row>
    <row r="3467" spans="5:10" s="34" customFormat="1" x14ac:dyDescent="0.35">
      <c r="E3467" s="35"/>
      <c r="J3467" s="41"/>
    </row>
    <row r="3468" spans="5:10" s="34" customFormat="1" x14ac:dyDescent="0.35">
      <c r="E3468" s="35"/>
      <c r="J3468" s="41"/>
    </row>
    <row r="3469" spans="5:10" s="34" customFormat="1" x14ac:dyDescent="0.35">
      <c r="E3469" s="35"/>
      <c r="J3469" s="41"/>
    </row>
    <row r="3470" spans="5:10" s="34" customFormat="1" x14ac:dyDescent="0.35">
      <c r="E3470" s="35"/>
      <c r="J3470" s="41"/>
    </row>
    <row r="3471" spans="5:10" s="34" customFormat="1" x14ac:dyDescent="0.35">
      <c r="E3471" s="35"/>
      <c r="J3471" s="41"/>
    </row>
    <row r="3472" spans="5:10" s="34" customFormat="1" x14ac:dyDescent="0.35">
      <c r="E3472" s="35"/>
      <c r="J3472" s="41"/>
    </row>
    <row r="3473" spans="5:10" s="34" customFormat="1" x14ac:dyDescent="0.35">
      <c r="E3473" s="35"/>
      <c r="J3473" s="41"/>
    </row>
    <row r="3474" spans="5:10" s="34" customFormat="1" x14ac:dyDescent="0.35">
      <c r="E3474" s="35"/>
      <c r="J3474" s="41"/>
    </row>
    <row r="3475" spans="5:10" s="34" customFormat="1" x14ac:dyDescent="0.35">
      <c r="E3475" s="35"/>
      <c r="J3475" s="41"/>
    </row>
    <row r="3476" spans="5:10" s="34" customFormat="1" x14ac:dyDescent="0.35">
      <c r="E3476" s="35"/>
      <c r="J3476" s="41"/>
    </row>
    <row r="3477" spans="5:10" s="34" customFormat="1" x14ac:dyDescent="0.35">
      <c r="E3477" s="35"/>
      <c r="J3477" s="41"/>
    </row>
    <row r="3478" spans="5:10" s="34" customFormat="1" x14ac:dyDescent="0.35">
      <c r="E3478" s="35"/>
      <c r="J3478" s="41"/>
    </row>
    <row r="3479" spans="5:10" s="34" customFormat="1" x14ac:dyDescent="0.35">
      <c r="E3479" s="35"/>
      <c r="J3479" s="41"/>
    </row>
    <row r="3480" spans="5:10" s="34" customFormat="1" x14ac:dyDescent="0.35">
      <c r="E3480" s="35"/>
      <c r="J3480" s="41"/>
    </row>
    <row r="3481" spans="5:10" s="34" customFormat="1" x14ac:dyDescent="0.35">
      <c r="E3481" s="35"/>
      <c r="J3481" s="41"/>
    </row>
    <row r="3482" spans="5:10" s="34" customFormat="1" x14ac:dyDescent="0.35">
      <c r="E3482" s="35"/>
      <c r="J3482" s="41"/>
    </row>
    <row r="3483" spans="5:10" s="34" customFormat="1" x14ac:dyDescent="0.35">
      <c r="E3483" s="35"/>
      <c r="J3483" s="41"/>
    </row>
    <row r="3484" spans="5:10" s="34" customFormat="1" x14ac:dyDescent="0.35">
      <c r="E3484" s="35"/>
      <c r="J3484" s="41"/>
    </row>
    <row r="3485" spans="5:10" s="34" customFormat="1" x14ac:dyDescent="0.35">
      <c r="E3485" s="35"/>
      <c r="J3485" s="41"/>
    </row>
    <row r="3486" spans="5:10" s="34" customFormat="1" x14ac:dyDescent="0.35">
      <c r="E3486" s="35"/>
      <c r="J3486" s="41"/>
    </row>
    <row r="3487" spans="5:10" s="34" customFormat="1" x14ac:dyDescent="0.35">
      <c r="E3487" s="35"/>
      <c r="J3487" s="41"/>
    </row>
    <row r="3488" spans="5:10" s="34" customFormat="1" x14ac:dyDescent="0.35">
      <c r="E3488" s="35"/>
      <c r="J3488" s="41"/>
    </row>
    <row r="3489" spans="5:10" s="34" customFormat="1" x14ac:dyDescent="0.35">
      <c r="E3489" s="35"/>
      <c r="J3489" s="41"/>
    </row>
    <row r="3490" spans="5:10" s="34" customFormat="1" x14ac:dyDescent="0.35">
      <c r="E3490" s="35"/>
      <c r="J3490" s="41"/>
    </row>
    <row r="3491" spans="5:10" s="34" customFormat="1" x14ac:dyDescent="0.35">
      <c r="E3491" s="35"/>
      <c r="J3491" s="41"/>
    </row>
    <row r="3492" spans="5:10" s="34" customFormat="1" x14ac:dyDescent="0.35">
      <c r="E3492" s="35"/>
      <c r="J3492" s="41"/>
    </row>
    <row r="3493" spans="5:10" s="34" customFormat="1" x14ac:dyDescent="0.35">
      <c r="E3493" s="35"/>
      <c r="J3493" s="41"/>
    </row>
    <row r="3494" spans="5:10" s="34" customFormat="1" x14ac:dyDescent="0.35">
      <c r="E3494" s="35"/>
      <c r="J3494" s="41"/>
    </row>
    <row r="3495" spans="5:10" s="34" customFormat="1" x14ac:dyDescent="0.35">
      <c r="E3495" s="35"/>
      <c r="J3495" s="41"/>
    </row>
    <row r="3496" spans="5:10" s="34" customFormat="1" x14ac:dyDescent="0.35">
      <c r="E3496" s="35"/>
      <c r="J3496" s="41"/>
    </row>
    <row r="3497" spans="5:10" s="34" customFormat="1" x14ac:dyDescent="0.35">
      <c r="E3497" s="35"/>
      <c r="J3497" s="41"/>
    </row>
    <row r="3498" spans="5:10" s="34" customFormat="1" x14ac:dyDescent="0.35">
      <c r="E3498" s="35"/>
      <c r="J3498" s="41"/>
    </row>
    <row r="3499" spans="5:10" s="34" customFormat="1" x14ac:dyDescent="0.35">
      <c r="E3499" s="35"/>
      <c r="J3499" s="41"/>
    </row>
    <row r="3500" spans="5:10" s="34" customFormat="1" x14ac:dyDescent="0.35">
      <c r="E3500" s="35"/>
      <c r="J3500" s="41"/>
    </row>
    <row r="3501" spans="5:10" s="34" customFormat="1" x14ac:dyDescent="0.35">
      <c r="E3501" s="35"/>
      <c r="J3501" s="41"/>
    </row>
    <row r="3502" spans="5:10" s="34" customFormat="1" x14ac:dyDescent="0.35">
      <c r="E3502" s="35"/>
      <c r="J3502" s="41"/>
    </row>
    <row r="3503" spans="5:10" s="34" customFormat="1" x14ac:dyDescent="0.35">
      <c r="E3503" s="35"/>
      <c r="J3503" s="41"/>
    </row>
    <row r="3504" spans="5:10" s="34" customFormat="1" x14ac:dyDescent="0.35">
      <c r="E3504" s="35"/>
      <c r="J3504" s="41"/>
    </row>
    <row r="3505" spans="5:10" s="34" customFormat="1" x14ac:dyDescent="0.35">
      <c r="E3505" s="35"/>
      <c r="J3505" s="41"/>
    </row>
    <row r="3506" spans="5:10" s="34" customFormat="1" x14ac:dyDescent="0.35">
      <c r="E3506" s="35"/>
      <c r="J3506" s="41"/>
    </row>
    <row r="3507" spans="5:10" s="34" customFormat="1" x14ac:dyDescent="0.35">
      <c r="E3507" s="35"/>
      <c r="J3507" s="41"/>
    </row>
    <row r="3508" spans="5:10" s="34" customFormat="1" x14ac:dyDescent="0.35">
      <c r="E3508" s="35"/>
      <c r="J3508" s="41"/>
    </row>
    <row r="3509" spans="5:10" s="34" customFormat="1" x14ac:dyDescent="0.35">
      <c r="E3509" s="35"/>
      <c r="J3509" s="41"/>
    </row>
    <row r="3510" spans="5:10" s="34" customFormat="1" x14ac:dyDescent="0.35">
      <c r="E3510" s="35"/>
      <c r="J3510" s="41"/>
    </row>
    <row r="3511" spans="5:10" s="34" customFormat="1" x14ac:dyDescent="0.35">
      <c r="E3511" s="35"/>
      <c r="J3511" s="41"/>
    </row>
    <row r="3512" spans="5:10" s="34" customFormat="1" x14ac:dyDescent="0.35">
      <c r="E3512" s="35"/>
      <c r="J3512" s="41"/>
    </row>
    <row r="3513" spans="5:10" s="34" customFormat="1" x14ac:dyDescent="0.35">
      <c r="E3513" s="35"/>
      <c r="J3513" s="41"/>
    </row>
    <row r="3514" spans="5:10" s="34" customFormat="1" x14ac:dyDescent="0.35">
      <c r="E3514" s="35"/>
      <c r="J3514" s="41"/>
    </row>
    <row r="3515" spans="5:10" s="34" customFormat="1" x14ac:dyDescent="0.35">
      <c r="E3515" s="35"/>
      <c r="J3515" s="41"/>
    </row>
    <row r="3516" spans="5:10" s="34" customFormat="1" x14ac:dyDescent="0.35">
      <c r="E3516" s="35"/>
      <c r="J3516" s="41"/>
    </row>
    <row r="3517" spans="5:10" s="34" customFormat="1" x14ac:dyDescent="0.35">
      <c r="E3517" s="35"/>
      <c r="J3517" s="41"/>
    </row>
    <row r="3518" spans="5:10" s="34" customFormat="1" x14ac:dyDescent="0.35">
      <c r="E3518" s="35"/>
      <c r="J3518" s="41"/>
    </row>
    <row r="3519" spans="5:10" s="34" customFormat="1" x14ac:dyDescent="0.35">
      <c r="E3519" s="35"/>
      <c r="J3519" s="41"/>
    </row>
    <row r="3520" spans="5:10" s="34" customFormat="1" x14ac:dyDescent="0.35">
      <c r="E3520" s="35"/>
      <c r="J3520" s="41"/>
    </row>
    <row r="3521" spans="5:10" s="34" customFormat="1" x14ac:dyDescent="0.35">
      <c r="E3521" s="35"/>
      <c r="J3521" s="41"/>
    </row>
    <row r="3522" spans="5:10" s="34" customFormat="1" x14ac:dyDescent="0.35">
      <c r="E3522" s="35"/>
      <c r="J3522" s="41"/>
    </row>
    <row r="3523" spans="5:10" s="34" customFormat="1" x14ac:dyDescent="0.35">
      <c r="E3523" s="35"/>
      <c r="J3523" s="41"/>
    </row>
    <row r="3524" spans="5:10" s="34" customFormat="1" x14ac:dyDescent="0.35">
      <c r="E3524" s="35"/>
      <c r="J3524" s="41"/>
    </row>
    <row r="3525" spans="5:10" s="34" customFormat="1" x14ac:dyDescent="0.35">
      <c r="E3525" s="35"/>
      <c r="J3525" s="41"/>
    </row>
    <row r="3526" spans="5:10" s="34" customFormat="1" x14ac:dyDescent="0.35">
      <c r="E3526" s="35"/>
      <c r="J3526" s="41"/>
    </row>
    <row r="3527" spans="5:10" s="34" customFormat="1" x14ac:dyDescent="0.35">
      <c r="E3527" s="35"/>
      <c r="J3527" s="41"/>
    </row>
    <row r="3528" spans="5:10" s="34" customFormat="1" x14ac:dyDescent="0.35">
      <c r="E3528" s="35"/>
      <c r="J3528" s="41"/>
    </row>
    <row r="3529" spans="5:10" s="34" customFormat="1" x14ac:dyDescent="0.35">
      <c r="E3529" s="35"/>
      <c r="J3529" s="41"/>
    </row>
    <row r="3530" spans="5:10" s="34" customFormat="1" x14ac:dyDescent="0.35">
      <c r="E3530" s="35"/>
      <c r="J3530" s="41"/>
    </row>
    <row r="3531" spans="5:10" s="34" customFormat="1" x14ac:dyDescent="0.35">
      <c r="E3531" s="35"/>
      <c r="J3531" s="41"/>
    </row>
    <row r="3532" spans="5:10" s="34" customFormat="1" x14ac:dyDescent="0.35">
      <c r="E3532" s="35"/>
      <c r="J3532" s="41"/>
    </row>
    <row r="3533" spans="5:10" s="34" customFormat="1" x14ac:dyDescent="0.35">
      <c r="E3533" s="35"/>
      <c r="J3533" s="41"/>
    </row>
    <row r="3534" spans="5:10" s="34" customFormat="1" x14ac:dyDescent="0.35">
      <c r="E3534" s="35"/>
      <c r="J3534" s="41"/>
    </row>
    <row r="3535" spans="5:10" s="34" customFormat="1" x14ac:dyDescent="0.35">
      <c r="E3535" s="35"/>
      <c r="J3535" s="41"/>
    </row>
    <row r="3536" spans="5:10" s="34" customFormat="1" x14ac:dyDescent="0.35">
      <c r="E3536" s="35"/>
      <c r="J3536" s="41"/>
    </row>
    <row r="3537" spans="5:10" s="34" customFormat="1" x14ac:dyDescent="0.35">
      <c r="E3537" s="35"/>
      <c r="J3537" s="41"/>
    </row>
    <row r="3538" spans="5:10" s="34" customFormat="1" x14ac:dyDescent="0.35">
      <c r="E3538" s="35"/>
      <c r="J3538" s="41"/>
    </row>
    <row r="3539" spans="5:10" s="34" customFormat="1" x14ac:dyDescent="0.35">
      <c r="E3539" s="35"/>
      <c r="J3539" s="41"/>
    </row>
    <row r="3540" spans="5:10" s="34" customFormat="1" x14ac:dyDescent="0.35">
      <c r="E3540" s="35"/>
      <c r="J3540" s="41"/>
    </row>
    <row r="3541" spans="5:10" s="34" customFormat="1" x14ac:dyDescent="0.35">
      <c r="E3541" s="35"/>
      <c r="J3541" s="41"/>
    </row>
    <row r="3542" spans="5:10" s="34" customFormat="1" x14ac:dyDescent="0.35">
      <c r="E3542" s="35"/>
      <c r="J3542" s="41"/>
    </row>
    <row r="3543" spans="5:10" s="34" customFormat="1" x14ac:dyDescent="0.35">
      <c r="E3543" s="35"/>
      <c r="J3543" s="41"/>
    </row>
    <row r="3544" spans="5:10" s="34" customFormat="1" x14ac:dyDescent="0.35">
      <c r="E3544" s="35"/>
      <c r="J3544" s="41"/>
    </row>
    <row r="3545" spans="5:10" s="34" customFormat="1" x14ac:dyDescent="0.35">
      <c r="E3545" s="35"/>
      <c r="J3545" s="41"/>
    </row>
    <row r="3546" spans="5:10" s="34" customFormat="1" x14ac:dyDescent="0.35">
      <c r="E3546" s="35"/>
      <c r="J3546" s="41"/>
    </row>
    <row r="3547" spans="5:10" s="34" customFormat="1" x14ac:dyDescent="0.35">
      <c r="E3547" s="35"/>
      <c r="J3547" s="41"/>
    </row>
    <row r="3548" spans="5:10" s="34" customFormat="1" x14ac:dyDescent="0.35">
      <c r="E3548" s="35"/>
      <c r="J3548" s="41"/>
    </row>
    <row r="3549" spans="5:10" s="34" customFormat="1" x14ac:dyDescent="0.35">
      <c r="E3549" s="35"/>
      <c r="J3549" s="41"/>
    </row>
    <row r="3550" spans="5:10" s="34" customFormat="1" x14ac:dyDescent="0.35">
      <c r="E3550" s="35"/>
      <c r="J3550" s="41"/>
    </row>
    <row r="3551" spans="5:10" s="34" customFormat="1" x14ac:dyDescent="0.35">
      <c r="E3551" s="35"/>
      <c r="J3551" s="41"/>
    </row>
    <row r="3552" spans="5:10" s="34" customFormat="1" x14ac:dyDescent="0.35">
      <c r="E3552" s="35"/>
      <c r="J3552" s="41"/>
    </row>
    <row r="3553" spans="5:10" s="34" customFormat="1" x14ac:dyDescent="0.35">
      <c r="E3553" s="35"/>
      <c r="J3553" s="41"/>
    </row>
    <row r="3554" spans="5:10" s="34" customFormat="1" x14ac:dyDescent="0.35">
      <c r="E3554" s="35"/>
      <c r="J3554" s="41"/>
    </row>
    <row r="3555" spans="5:10" s="34" customFormat="1" x14ac:dyDescent="0.35">
      <c r="E3555" s="35"/>
      <c r="J3555" s="41"/>
    </row>
    <row r="3556" spans="5:10" s="34" customFormat="1" x14ac:dyDescent="0.35">
      <c r="E3556" s="35"/>
      <c r="J3556" s="41"/>
    </row>
    <row r="3557" spans="5:10" s="34" customFormat="1" x14ac:dyDescent="0.35">
      <c r="E3557" s="35"/>
      <c r="J3557" s="41"/>
    </row>
    <row r="3558" spans="5:10" s="34" customFormat="1" x14ac:dyDescent="0.35">
      <c r="E3558" s="35"/>
      <c r="J3558" s="41"/>
    </row>
    <row r="3559" spans="5:10" s="34" customFormat="1" x14ac:dyDescent="0.35">
      <c r="E3559" s="35"/>
      <c r="J3559" s="41"/>
    </row>
    <row r="3560" spans="5:10" s="34" customFormat="1" x14ac:dyDescent="0.35">
      <c r="E3560" s="35"/>
      <c r="J3560" s="41"/>
    </row>
    <row r="3561" spans="5:10" s="34" customFormat="1" x14ac:dyDescent="0.35">
      <c r="E3561" s="35"/>
      <c r="J3561" s="41"/>
    </row>
    <row r="3562" spans="5:10" s="34" customFormat="1" x14ac:dyDescent="0.35">
      <c r="E3562" s="35"/>
      <c r="J3562" s="41"/>
    </row>
    <row r="3563" spans="5:10" s="34" customFormat="1" x14ac:dyDescent="0.35">
      <c r="E3563" s="35"/>
      <c r="J3563" s="41"/>
    </row>
    <row r="3564" spans="5:10" s="34" customFormat="1" x14ac:dyDescent="0.35">
      <c r="E3564" s="35"/>
      <c r="J3564" s="41"/>
    </row>
    <row r="3565" spans="5:10" s="34" customFormat="1" x14ac:dyDescent="0.35">
      <c r="E3565" s="35"/>
      <c r="J3565" s="41"/>
    </row>
    <row r="3566" spans="5:10" s="34" customFormat="1" x14ac:dyDescent="0.35">
      <c r="E3566" s="35"/>
      <c r="J3566" s="41"/>
    </row>
    <row r="3567" spans="5:10" s="34" customFormat="1" x14ac:dyDescent="0.35">
      <c r="E3567" s="35"/>
      <c r="J3567" s="41"/>
    </row>
    <row r="3568" spans="5:10" s="34" customFormat="1" x14ac:dyDescent="0.35">
      <c r="E3568" s="35"/>
      <c r="J3568" s="41"/>
    </row>
    <row r="3569" spans="5:10" s="34" customFormat="1" x14ac:dyDescent="0.35">
      <c r="E3569" s="35"/>
      <c r="J3569" s="41"/>
    </row>
    <row r="3570" spans="5:10" s="34" customFormat="1" x14ac:dyDescent="0.35">
      <c r="E3570" s="35"/>
      <c r="J3570" s="41"/>
    </row>
    <row r="3571" spans="5:10" s="34" customFormat="1" x14ac:dyDescent="0.35">
      <c r="E3571" s="35"/>
      <c r="J3571" s="41"/>
    </row>
    <row r="3572" spans="5:10" s="34" customFormat="1" x14ac:dyDescent="0.35">
      <c r="E3572" s="35"/>
      <c r="J3572" s="41"/>
    </row>
    <row r="3573" spans="5:10" s="34" customFormat="1" x14ac:dyDescent="0.35">
      <c r="E3573" s="35"/>
      <c r="J3573" s="41"/>
    </row>
    <row r="3574" spans="5:10" s="34" customFormat="1" x14ac:dyDescent="0.35">
      <c r="E3574" s="35"/>
      <c r="J3574" s="41"/>
    </row>
    <row r="3575" spans="5:10" s="34" customFormat="1" x14ac:dyDescent="0.35">
      <c r="E3575" s="35"/>
      <c r="J3575" s="41"/>
    </row>
    <row r="3576" spans="5:10" s="34" customFormat="1" x14ac:dyDescent="0.35">
      <c r="E3576" s="35"/>
      <c r="J3576" s="41"/>
    </row>
    <row r="3577" spans="5:10" s="34" customFormat="1" x14ac:dyDescent="0.35">
      <c r="E3577" s="35"/>
      <c r="J3577" s="41"/>
    </row>
    <row r="3578" spans="5:10" s="34" customFormat="1" x14ac:dyDescent="0.35">
      <c r="E3578" s="35"/>
      <c r="J3578" s="41"/>
    </row>
    <row r="3579" spans="5:10" s="34" customFormat="1" x14ac:dyDescent="0.35">
      <c r="E3579" s="35"/>
      <c r="J3579" s="41"/>
    </row>
    <row r="3580" spans="5:10" s="34" customFormat="1" x14ac:dyDescent="0.35">
      <c r="E3580" s="35"/>
      <c r="J3580" s="41"/>
    </row>
    <row r="3581" spans="5:10" s="34" customFormat="1" x14ac:dyDescent="0.35">
      <c r="E3581" s="35"/>
      <c r="J3581" s="41"/>
    </row>
    <row r="3582" spans="5:10" s="34" customFormat="1" x14ac:dyDescent="0.35">
      <c r="E3582" s="35"/>
      <c r="J3582" s="41"/>
    </row>
    <row r="3583" spans="5:10" s="34" customFormat="1" x14ac:dyDescent="0.35">
      <c r="E3583" s="35"/>
      <c r="J3583" s="41"/>
    </row>
    <row r="3584" spans="5:10" s="34" customFormat="1" x14ac:dyDescent="0.35">
      <c r="E3584" s="35"/>
      <c r="J3584" s="41"/>
    </row>
    <row r="3585" spans="5:10" s="34" customFormat="1" x14ac:dyDescent="0.35">
      <c r="E3585" s="35"/>
      <c r="J3585" s="41"/>
    </row>
    <row r="3586" spans="5:10" s="34" customFormat="1" x14ac:dyDescent="0.35">
      <c r="E3586" s="35"/>
      <c r="J3586" s="41"/>
    </row>
    <row r="3587" spans="5:10" s="34" customFormat="1" x14ac:dyDescent="0.35">
      <c r="E3587" s="35"/>
      <c r="J3587" s="41"/>
    </row>
    <row r="3588" spans="5:10" s="34" customFormat="1" x14ac:dyDescent="0.35">
      <c r="E3588" s="35"/>
      <c r="J3588" s="41"/>
    </row>
    <row r="3589" spans="5:10" s="34" customFormat="1" x14ac:dyDescent="0.35">
      <c r="E3589" s="35"/>
      <c r="J3589" s="41"/>
    </row>
    <row r="3590" spans="5:10" s="34" customFormat="1" x14ac:dyDescent="0.35">
      <c r="E3590" s="35"/>
      <c r="J3590" s="41"/>
    </row>
    <row r="3591" spans="5:10" s="34" customFormat="1" x14ac:dyDescent="0.35">
      <c r="E3591" s="35"/>
      <c r="J3591" s="41"/>
    </row>
    <row r="3592" spans="5:10" s="34" customFormat="1" x14ac:dyDescent="0.35">
      <c r="E3592" s="35"/>
      <c r="J3592" s="41"/>
    </row>
    <row r="3593" spans="5:10" s="34" customFormat="1" x14ac:dyDescent="0.35">
      <c r="E3593" s="35"/>
      <c r="J3593" s="41"/>
    </row>
    <row r="3594" spans="5:10" s="34" customFormat="1" x14ac:dyDescent="0.35">
      <c r="E3594" s="35"/>
      <c r="J3594" s="41"/>
    </row>
    <row r="3595" spans="5:10" s="34" customFormat="1" x14ac:dyDescent="0.35">
      <c r="E3595" s="35"/>
      <c r="J3595" s="41"/>
    </row>
    <row r="3596" spans="5:10" s="34" customFormat="1" x14ac:dyDescent="0.35">
      <c r="E3596" s="35"/>
      <c r="J3596" s="41"/>
    </row>
    <row r="3597" spans="5:10" s="34" customFormat="1" x14ac:dyDescent="0.35">
      <c r="E3597" s="35"/>
      <c r="J3597" s="41"/>
    </row>
    <row r="3598" spans="5:10" s="34" customFormat="1" x14ac:dyDescent="0.35">
      <c r="E3598" s="35"/>
      <c r="J3598" s="41"/>
    </row>
    <row r="3599" spans="5:10" s="34" customFormat="1" x14ac:dyDescent="0.35">
      <c r="E3599" s="35"/>
      <c r="J3599" s="41"/>
    </row>
    <row r="3600" spans="5:10" s="34" customFormat="1" x14ac:dyDescent="0.35">
      <c r="E3600" s="35"/>
      <c r="J3600" s="41"/>
    </row>
    <row r="3601" spans="5:10" s="34" customFormat="1" x14ac:dyDescent="0.35">
      <c r="E3601" s="35"/>
      <c r="J3601" s="41"/>
    </row>
    <row r="3602" spans="5:10" s="34" customFormat="1" x14ac:dyDescent="0.35">
      <c r="E3602" s="35"/>
      <c r="J3602" s="41"/>
    </row>
    <row r="3603" spans="5:10" s="34" customFormat="1" x14ac:dyDescent="0.35">
      <c r="E3603" s="35"/>
      <c r="J3603" s="41"/>
    </row>
    <row r="3604" spans="5:10" s="34" customFormat="1" x14ac:dyDescent="0.35">
      <c r="E3604" s="35"/>
      <c r="J3604" s="41"/>
    </row>
    <row r="3605" spans="5:10" s="34" customFormat="1" x14ac:dyDescent="0.35">
      <c r="E3605" s="35"/>
      <c r="J3605" s="41"/>
    </row>
    <row r="3606" spans="5:10" s="34" customFormat="1" x14ac:dyDescent="0.35">
      <c r="E3606" s="35"/>
      <c r="J3606" s="41"/>
    </row>
    <row r="3607" spans="5:10" s="34" customFormat="1" x14ac:dyDescent="0.35">
      <c r="E3607" s="35"/>
      <c r="J3607" s="41"/>
    </row>
    <row r="3608" spans="5:10" s="34" customFormat="1" x14ac:dyDescent="0.35">
      <c r="E3608" s="35"/>
      <c r="J3608" s="41"/>
    </row>
    <row r="3609" spans="5:10" s="34" customFormat="1" x14ac:dyDescent="0.35">
      <c r="E3609" s="35"/>
      <c r="J3609" s="41"/>
    </row>
    <row r="3610" spans="5:10" s="34" customFormat="1" x14ac:dyDescent="0.35">
      <c r="E3610" s="35"/>
      <c r="J3610" s="41"/>
    </row>
    <row r="3611" spans="5:10" s="34" customFormat="1" x14ac:dyDescent="0.35">
      <c r="E3611" s="35"/>
      <c r="J3611" s="41"/>
    </row>
    <row r="3612" spans="5:10" s="34" customFormat="1" x14ac:dyDescent="0.35">
      <c r="E3612" s="35"/>
      <c r="J3612" s="41"/>
    </row>
    <row r="3613" spans="5:10" s="34" customFormat="1" x14ac:dyDescent="0.35">
      <c r="E3613" s="35"/>
      <c r="J3613" s="41"/>
    </row>
    <row r="3614" spans="5:10" s="34" customFormat="1" x14ac:dyDescent="0.35">
      <c r="E3614" s="35"/>
      <c r="J3614" s="41"/>
    </row>
    <row r="3615" spans="5:10" s="34" customFormat="1" x14ac:dyDescent="0.35">
      <c r="E3615" s="35"/>
      <c r="J3615" s="41"/>
    </row>
    <row r="3616" spans="5:10" s="34" customFormat="1" x14ac:dyDescent="0.35">
      <c r="E3616" s="35"/>
      <c r="J3616" s="41"/>
    </row>
    <row r="3617" spans="5:10" s="34" customFormat="1" x14ac:dyDescent="0.35">
      <c r="E3617" s="35"/>
      <c r="J3617" s="41"/>
    </row>
    <row r="3618" spans="5:10" s="34" customFormat="1" x14ac:dyDescent="0.35">
      <c r="E3618" s="35"/>
      <c r="J3618" s="41"/>
    </row>
    <row r="3619" spans="5:10" s="34" customFormat="1" x14ac:dyDescent="0.35">
      <c r="E3619" s="35"/>
      <c r="J3619" s="41"/>
    </row>
    <row r="3620" spans="5:10" s="34" customFormat="1" x14ac:dyDescent="0.35">
      <c r="E3620" s="35"/>
      <c r="J3620" s="41"/>
    </row>
    <row r="3621" spans="5:10" s="34" customFormat="1" x14ac:dyDescent="0.35">
      <c r="E3621" s="35"/>
      <c r="J3621" s="41"/>
    </row>
    <row r="3622" spans="5:10" s="34" customFormat="1" x14ac:dyDescent="0.35">
      <c r="E3622" s="35"/>
      <c r="J3622" s="41"/>
    </row>
    <row r="3623" spans="5:10" s="34" customFormat="1" x14ac:dyDescent="0.35">
      <c r="E3623" s="35"/>
      <c r="J3623" s="41"/>
    </row>
    <row r="3624" spans="5:10" s="34" customFormat="1" x14ac:dyDescent="0.35">
      <c r="E3624" s="35"/>
      <c r="J3624" s="41"/>
    </row>
    <row r="3625" spans="5:10" s="34" customFormat="1" x14ac:dyDescent="0.35">
      <c r="E3625" s="35"/>
      <c r="J3625" s="41"/>
    </row>
    <row r="3626" spans="5:10" s="34" customFormat="1" x14ac:dyDescent="0.35">
      <c r="E3626" s="35"/>
      <c r="J3626" s="41"/>
    </row>
    <row r="3627" spans="5:10" s="34" customFormat="1" x14ac:dyDescent="0.35">
      <c r="E3627" s="35"/>
      <c r="J3627" s="41"/>
    </row>
    <row r="3628" spans="5:10" s="34" customFormat="1" x14ac:dyDescent="0.35">
      <c r="E3628" s="35"/>
      <c r="J3628" s="41"/>
    </row>
    <row r="3629" spans="5:10" s="34" customFormat="1" x14ac:dyDescent="0.35">
      <c r="E3629" s="35"/>
      <c r="J3629" s="41"/>
    </row>
    <row r="3630" spans="5:10" s="34" customFormat="1" x14ac:dyDescent="0.35">
      <c r="E3630" s="35"/>
      <c r="J3630" s="41"/>
    </row>
    <row r="3631" spans="5:10" s="34" customFormat="1" x14ac:dyDescent="0.35">
      <c r="E3631" s="35"/>
      <c r="J3631" s="41"/>
    </row>
    <row r="3632" spans="5:10" s="34" customFormat="1" x14ac:dyDescent="0.35">
      <c r="E3632" s="35"/>
      <c r="J3632" s="41"/>
    </row>
    <row r="3633" spans="5:10" s="34" customFormat="1" x14ac:dyDescent="0.35">
      <c r="E3633" s="35"/>
      <c r="J3633" s="41"/>
    </row>
    <row r="3634" spans="5:10" s="34" customFormat="1" x14ac:dyDescent="0.35">
      <c r="E3634" s="35"/>
      <c r="J3634" s="41"/>
    </row>
    <row r="3635" spans="5:10" s="34" customFormat="1" x14ac:dyDescent="0.35">
      <c r="E3635" s="35"/>
      <c r="J3635" s="41"/>
    </row>
    <row r="3636" spans="5:10" s="34" customFormat="1" x14ac:dyDescent="0.35">
      <c r="E3636" s="35"/>
      <c r="J3636" s="41"/>
    </row>
    <row r="3637" spans="5:10" s="34" customFormat="1" x14ac:dyDescent="0.35">
      <c r="E3637" s="35"/>
      <c r="J3637" s="41"/>
    </row>
    <row r="3638" spans="5:10" s="34" customFormat="1" x14ac:dyDescent="0.35">
      <c r="E3638" s="35"/>
      <c r="J3638" s="41"/>
    </row>
    <row r="3639" spans="5:10" s="34" customFormat="1" x14ac:dyDescent="0.35">
      <c r="E3639" s="35"/>
      <c r="J3639" s="41"/>
    </row>
    <row r="3640" spans="5:10" s="34" customFormat="1" x14ac:dyDescent="0.35">
      <c r="E3640" s="35"/>
      <c r="J3640" s="41"/>
    </row>
    <row r="3641" spans="5:10" s="34" customFormat="1" x14ac:dyDescent="0.35">
      <c r="E3641" s="35"/>
      <c r="J3641" s="41"/>
    </row>
    <row r="3642" spans="5:10" s="34" customFormat="1" x14ac:dyDescent="0.35">
      <c r="E3642" s="35"/>
      <c r="J3642" s="41"/>
    </row>
    <row r="3643" spans="5:10" s="34" customFormat="1" x14ac:dyDescent="0.35">
      <c r="E3643" s="35"/>
      <c r="J3643" s="41"/>
    </row>
    <row r="3644" spans="5:10" s="34" customFormat="1" x14ac:dyDescent="0.35">
      <c r="E3644" s="35"/>
      <c r="J3644" s="41"/>
    </row>
    <row r="3645" spans="5:10" s="34" customFormat="1" x14ac:dyDescent="0.35">
      <c r="E3645" s="35"/>
      <c r="J3645" s="41"/>
    </row>
    <row r="3646" spans="5:10" s="34" customFormat="1" x14ac:dyDescent="0.35">
      <c r="E3646" s="35"/>
      <c r="J3646" s="41"/>
    </row>
    <row r="3647" spans="5:10" s="34" customFormat="1" x14ac:dyDescent="0.35">
      <c r="E3647" s="35"/>
      <c r="J3647" s="41"/>
    </row>
    <row r="3648" spans="5:10" s="34" customFormat="1" x14ac:dyDescent="0.35">
      <c r="E3648" s="35"/>
      <c r="J3648" s="41"/>
    </row>
    <row r="3649" spans="5:10" s="34" customFormat="1" x14ac:dyDescent="0.35">
      <c r="E3649" s="35"/>
      <c r="J3649" s="41"/>
    </row>
    <row r="3650" spans="5:10" s="34" customFormat="1" x14ac:dyDescent="0.35">
      <c r="E3650" s="35"/>
      <c r="J3650" s="41"/>
    </row>
    <row r="3651" spans="5:10" s="34" customFormat="1" x14ac:dyDescent="0.35">
      <c r="E3651" s="35"/>
      <c r="J3651" s="41"/>
    </row>
    <row r="3652" spans="5:10" s="34" customFormat="1" x14ac:dyDescent="0.35">
      <c r="E3652" s="35"/>
      <c r="J3652" s="41"/>
    </row>
    <row r="3653" spans="5:10" s="34" customFormat="1" x14ac:dyDescent="0.35">
      <c r="E3653" s="35"/>
      <c r="J3653" s="41"/>
    </row>
    <row r="3654" spans="5:10" s="34" customFormat="1" x14ac:dyDescent="0.35">
      <c r="E3654" s="35"/>
      <c r="J3654" s="41"/>
    </row>
    <row r="3655" spans="5:10" s="34" customFormat="1" x14ac:dyDescent="0.35">
      <c r="E3655" s="35"/>
      <c r="J3655" s="41"/>
    </row>
    <row r="3656" spans="5:10" s="34" customFormat="1" x14ac:dyDescent="0.35">
      <c r="E3656" s="35"/>
      <c r="J3656" s="41"/>
    </row>
    <row r="3657" spans="5:10" s="34" customFormat="1" x14ac:dyDescent="0.35">
      <c r="E3657" s="35"/>
      <c r="J3657" s="41"/>
    </row>
    <row r="3658" spans="5:10" s="34" customFormat="1" x14ac:dyDescent="0.35">
      <c r="E3658" s="35"/>
      <c r="J3658" s="41"/>
    </row>
    <row r="3659" spans="5:10" s="34" customFormat="1" x14ac:dyDescent="0.35">
      <c r="E3659" s="35"/>
      <c r="J3659" s="41"/>
    </row>
    <row r="3660" spans="5:10" s="34" customFormat="1" x14ac:dyDescent="0.35">
      <c r="E3660" s="35"/>
      <c r="J3660" s="41"/>
    </row>
    <row r="3661" spans="5:10" s="34" customFormat="1" x14ac:dyDescent="0.35">
      <c r="E3661" s="35"/>
      <c r="J3661" s="41"/>
    </row>
    <row r="3662" spans="5:10" s="34" customFormat="1" x14ac:dyDescent="0.35">
      <c r="E3662" s="35"/>
      <c r="J3662" s="41"/>
    </row>
    <row r="3663" spans="5:10" s="34" customFormat="1" x14ac:dyDescent="0.35">
      <c r="E3663" s="35"/>
      <c r="J3663" s="41"/>
    </row>
    <row r="3664" spans="5:10" s="34" customFormat="1" x14ac:dyDescent="0.35">
      <c r="E3664" s="35"/>
      <c r="J3664" s="41"/>
    </row>
    <row r="3665" spans="5:10" s="34" customFormat="1" x14ac:dyDescent="0.35">
      <c r="E3665" s="35"/>
      <c r="J3665" s="41"/>
    </row>
    <row r="3666" spans="5:10" s="34" customFormat="1" x14ac:dyDescent="0.35">
      <c r="E3666" s="35"/>
      <c r="J3666" s="41"/>
    </row>
    <row r="3667" spans="5:10" s="34" customFormat="1" x14ac:dyDescent="0.35">
      <c r="E3667" s="35"/>
      <c r="J3667" s="41"/>
    </row>
    <row r="3668" spans="5:10" s="34" customFormat="1" x14ac:dyDescent="0.35">
      <c r="E3668" s="35"/>
      <c r="J3668" s="41"/>
    </row>
    <row r="3669" spans="5:10" s="34" customFormat="1" x14ac:dyDescent="0.35">
      <c r="E3669" s="35"/>
      <c r="J3669" s="41"/>
    </row>
    <row r="3670" spans="5:10" s="34" customFormat="1" x14ac:dyDescent="0.35">
      <c r="E3670" s="35"/>
      <c r="J3670" s="41"/>
    </row>
    <row r="3671" spans="5:10" s="34" customFormat="1" x14ac:dyDescent="0.35">
      <c r="E3671" s="35"/>
      <c r="J3671" s="41"/>
    </row>
    <row r="3672" spans="5:10" s="34" customFormat="1" x14ac:dyDescent="0.35">
      <c r="E3672" s="35"/>
      <c r="J3672" s="41"/>
    </row>
    <row r="3673" spans="5:10" s="34" customFormat="1" x14ac:dyDescent="0.35">
      <c r="E3673" s="35"/>
      <c r="J3673" s="41"/>
    </row>
    <row r="3674" spans="5:10" s="34" customFormat="1" x14ac:dyDescent="0.35">
      <c r="E3674" s="35"/>
      <c r="J3674" s="41"/>
    </row>
    <row r="3675" spans="5:10" s="34" customFormat="1" x14ac:dyDescent="0.35">
      <c r="E3675" s="35"/>
      <c r="J3675" s="41"/>
    </row>
    <row r="3676" spans="5:10" s="34" customFormat="1" x14ac:dyDescent="0.35">
      <c r="E3676" s="35"/>
      <c r="J3676" s="41"/>
    </row>
    <row r="3677" spans="5:10" s="34" customFormat="1" x14ac:dyDescent="0.35">
      <c r="E3677" s="35"/>
      <c r="J3677" s="41"/>
    </row>
    <row r="3678" spans="5:10" s="34" customFormat="1" x14ac:dyDescent="0.35">
      <c r="E3678" s="35"/>
      <c r="J3678" s="41"/>
    </row>
    <row r="3679" spans="5:10" s="34" customFormat="1" x14ac:dyDescent="0.35">
      <c r="E3679" s="35"/>
      <c r="J3679" s="41"/>
    </row>
    <row r="3680" spans="5:10" s="34" customFormat="1" x14ac:dyDescent="0.35">
      <c r="E3680" s="35"/>
      <c r="J3680" s="41"/>
    </row>
    <row r="3681" spans="5:10" s="34" customFormat="1" x14ac:dyDescent="0.35">
      <c r="E3681" s="35"/>
      <c r="J3681" s="41"/>
    </row>
    <row r="3682" spans="5:10" s="34" customFormat="1" x14ac:dyDescent="0.35">
      <c r="E3682" s="35"/>
      <c r="J3682" s="41"/>
    </row>
    <row r="3683" spans="5:10" s="34" customFormat="1" x14ac:dyDescent="0.35">
      <c r="E3683" s="35"/>
      <c r="J3683" s="41"/>
    </row>
    <row r="3684" spans="5:10" s="34" customFormat="1" x14ac:dyDescent="0.35">
      <c r="E3684" s="35"/>
      <c r="J3684" s="41"/>
    </row>
    <row r="3685" spans="5:10" s="34" customFormat="1" x14ac:dyDescent="0.35">
      <c r="E3685" s="35"/>
      <c r="J3685" s="41"/>
    </row>
    <row r="3686" spans="5:10" s="34" customFormat="1" x14ac:dyDescent="0.35">
      <c r="E3686" s="35"/>
      <c r="J3686" s="41"/>
    </row>
    <row r="3687" spans="5:10" s="34" customFormat="1" x14ac:dyDescent="0.35">
      <c r="E3687" s="35"/>
      <c r="J3687" s="41"/>
    </row>
    <row r="3688" spans="5:10" s="34" customFormat="1" x14ac:dyDescent="0.35">
      <c r="E3688" s="35"/>
      <c r="J3688" s="41"/>
    </row>
    <row r="3689" spans="5:10" s="34" customFormat="1" x14ac:dyDescent="0.35">
      <c r="E3689" s="35"/>
      <c r="J3689" s="41"/>
    </row>
    <row r="3690" spans="5:10" s="34" customFormat="1" x14ac:dyDescent="0.35">
      <c r="E3690" s="35"/>
      <c r="J3690" s="41"/>
    </row>
    <row r="3691" spans="5:10" s="34" customFormat="1" x14ac:dyDescent="0.35">
      <c r="E3691" s="35"/>
      <c r="J3691" s="41"/>
    </row>
    <row r="3692" spans="5:10" s="34" customFormat="1" x14ac:dyDescent="0.35">
      <c r="E3692" s="35"/>
      <c r="J3692" s="41"/>
    </row>
    <row r="3693" spans="5:10" s="34" customFormat="1" x14ac:dyDescent="0.35">
      <c r="E3693" s="35"/>
      <c r="J3693" s="41"/>
    </row>
    <row r="3694" spans="5:10" s="34" customFormat="1" x14ac:dyDescent="0.35">
      <c r="E3694" s="35"/>
      <c r="J3694" s="41"/>
    </row>
    <row r="3695" spans="5:10" s="34" customFormat="1" x14ac:dyDescent="0.35">
      <c r="E3695" s="35"/>
      <c r="J3695" s="41"/>
    </row>
    <row r="3696" spans="5:10" s="34" customFormat="1" x14ac:dyDescent="0.35">
      <c r="E3696" s="35"/>
      <c r="J3696" s="41"/>
    </row>
    <row r="3697" spans="5:10" s="34" customFormat="1" x14ac:dyDescent="0.35">
      <c r="E3697" s="35"/>
      <c r="J3697" s="41"/>
    </row>
    <row r="3698" spans="5:10" s="34" customFormat="1" x14ac:dyDescent="0.35">
      <c r="E3698" s="35"/>
      <c r="J3698" s="41"/>
    </row>
    <row r="3699" spans="5:10" s="34" customFormat="1" x14ac:dyDescent="0.35">
      <c r="E3699" s="35"/>
      <c r="J3699" s="41"/>
    </row>
    <row r="3700" spans="5:10" s="34" customFormat="1" x14ac:dyDescent="0.35">
      <c r="E3700" s="35"/>
      <c r="J3700" s="41"/>
    </row>
    <row r="3701" spans="5:10" s="34" customFormat="1" x14ac:dyDescent="0.35">
      <c r="E3701" s="35"/>
      <c r="J3701" s="41"/>
    </row>
    <row r="3702" spans="5:10" s="34" customFormat="1" x14ac:dyDescent="0.35">
      <c r="E3702" s="35"/>
      <c r="J3702" s="41"/>
    </row>
    <row r="3703" spans="5:10" s="34" customFormat="1" x14ac:dyDescent="0.35">
      <c r="E3703" s="35"/>
      <c r="J3703" s="41"/>
    </row>
    <row r="3704" spans="5:10" s="34" customFormat="1" x14ac:dyDescent="0.35">
      <c r="E3704" s="35"/>
      <c r="J3704" s="41"/>
    </row>
    <row r="3705" spans="5:10" s="34" customFormat="1" x14ac:dyDescent="0.35">
      <c r="E3705" s="35"/>
      <c r="J3705" s="41"/>
    </row>
    <row r="3706" spans="5:10" s="34" customFormat="1" x14ac:dyDescent="0.35">
      <c r="E3706" s="35"/>
      <c r="J3706" s="41"/>
    </row>
    <row r="3707" spans="5:10" s="34" customFormat="1" x14ac:dyDescent="0.35">
      <c r="E3707" s="35"/>
      <c r="J3707" s="41"/>
    </row>
    <row r="3708" spans="5:10" s="34" customFormat="1" x14ac:dyDescent="0.35">
      <c r="E3708" s="35"/>
      <c r="J3708" s="41"/>
    </row>
    <row r="3709" spans="5:10" s="34" customFormat="1" x14ac:dyDescent="0.35">
      <c r="E3709" s="35"/>
      <c r="J3709" s="41"/>
    </row>
    <row r="3710" spans="5:10" s="34" customFormat="1" x14ac:dyDescent="0.35">
      <c r="E3710" s="35"/>
      <c r="J3710" s="41"/>
    </row>
    <row r="3711" spans="5:10" s="34" customFormat="1" x14ac:dyDescent="0.35">
      <c r="E3711" s="35"/>
      <c r="J3711" s="41"/>
    </row>
    <row r="3712" spans="5:10" s="34" customFormat="1" x14ac:dyDescent="0.35">
      <c r="E3712" s="35"/>
      <c r="J3712" s="41"/>
    </row>
    <row r="3713" spans="5:10" s="34" customFormat="1" x14ac:dyDescent="0.35">
      <c r="E3713" s="35"/>
      <c r="J3713" s="41"/>
    </row>
    <row r="3714" spans="5:10" s="34" customFormat="1" x14ac:dyDescent="0.35">
      <c r="E3714" s="35"/>
      <c r="J3714" s="41"/>
    </row>
    <row r="3715" spans="5:10" s="34" customFormat="1" x14ac:dyDescent="0.35">
      <c r="E3715" s="35"/>
      <c r="J3715" s="41"/>
    </row>
    <row r="3716" spans="5:10" s="34" customFormat="1" x14ac:dyDescent="0.35">
      <c r="E3716" s="35"/>
      <c r="J3716" s="41"/>
    </row>
    <row r="3717" spans="5:10" s="34" customFormat="1" x14ac:dyDescent="0.35">
      <c r="E3717" s="35"/>
      <c r="J3717" s="41"/>
    </row>
    <row r="3718" spans="5:10" s="34" customFormat="1" x14ac:dyDescent="0.35">
      <c r="E3718" s="35"/>
      <c r="J3718" s="41"/>
    </row>
    <row r="3719" spans="5:10" s="34" customFormat="1" x14ac:dyDescent="0.35">
      <c r="E3719" s="35"/>
      <c r="J3719" s="41"/>
    </row>
    <row r="3720" spans="5:10" s="34" customFormat="1" x14ac:dyDescent="0.35">
      <c r="E3720" s="35"/>
      <c r="J3720" s="41"/>
    </row>
    <row r="3721" spans="5:10" s="34" customFormat="1" x14ac:dyDescent="0.35">
      <c r="E3721" s="35"/>
      <c r="J3721" s="41"/>
    </row>
    <row r="3722" spans="5:10" s="34" customFormat="1" x14ac:dyDescent="0.35">
      <c r="E3722" s="35"/>
      <c r="J3722" s="41"/>
    </row>
    <row r="3723" spans="5:10" s="34" customFormat="1" x14ac:dyDescent="0.35">
      <c r="E3723" s="35"/>
      <c r="J3723" s="41"/>
    </row>
    <row r="3724" spans="5:10" s="34" customFormat="1" x14ac:dyDescent="0.35">
      <c r="E3724" s="35"/>
      <c r="J3724" s="41"/>
    </row>
    <row r="3725" spans="5:10" s="34" customFormat="1" x14ac:dyDescent="0.35">
      <c r="E3725" s="35"/>
      <c r="J3725" s="41"/>
    </row>
    <row r="3726" spans="5:10" s="34" customFormat="1" x14ac:dyDescent="0.35">
      <c r="E3726" s="35"/>
      <c r="J3726" s="41"/>
    </row>
    <row r="3727" spans="5:10" s="34" customFormat="1" x14ac:dyDescent="0.35">
      <c r="E3727" s="35"/>
      <c r="J3727" s="41"/>
    </row>
    <row r="3728" spans="5:10" s="34" customFormat="1" x14ac:dyDescent="0.35">
      <c r="E3728" s="35"/>
      <c r="J3728" s="41"/>
    </row>
    <row r="3729" spans="5:10" s="34" customFormat="1" x14ac:dyDescent="0.35">
      <c r="E3729" s="35"/>
      <c r="J3729" s="41"/>
    </row>
    <row r="3730" spans="5:10" s="34" customFormat="1" x14ac:dyDescent="0.35">
      <c r="E3730" s="35"/>
      <c r="J3730" s="41"/>
    </row>
    <row r="3731" spans="5:10" s="34" customFormat="1" x14ac:dyDescent="0.35">
      <c r="E3731" s="35"/>
      <c r="J3731" s="41"/>
    </row>
    <row r="3732" spans="5:10" s="34" customFormat="1" x14ac:dyDescent="0.35">
      <c r="E3732" s="35"/>
      <c r="J3732" s="41"/>
    </row>
    <row r="3733" spans="5:10" s="34" customFormat="1" x14ac:dyDescent="0.35">
      <c r="E3733" s="35"/>
      <c r="J3733" s="41"/>
    </row>
    <row r="3734" spans="5:10" s="34" customFormat="1" x14ac:dyDescent="0.35">
      <c r="E3734" s="35"/>
      <c r="J3734" s="41"/>
    </row>
    <row r="3735" spans="5:10" s="34" customFormat="1" x14ac:dyDescent="0.35">
      <c r="E3735" s="35"/>
      <c r="J3735" s="41"/>
    </row>
    <row r="3736" spans="5:10" s="34" customFormat="1" x14ac:dyDescent="0.35">
      <c r="E3736" s="35"/>
      <c r="J3736" s="41"/>
    </row>
    <row r="3737" spans="5:10" s="34" customFormat="1" x14ac:dyDescent="0.35">
      <c r="E3737" s="35"/>
      <c r="J3737" s="41"/>
    </row>
    <row r="3738" spans="5:10" s="34" customFormat="1" x14ac:dyDescent="0.35">
      <c r="E3738" s="35"/>
      <c r="J3738" s="41"/>
    </row>
    <row r="3739" spans="5:10" s="34" customFormat="1" x14ac:dyDescent="0.35">
      <c r="E3739" s="35"/>
      <c r="J3739" s="41"/>
    </row>
    <row r="3740" spans="5:10" s="34" customFormat="1" x14ac:dyDescent="0.35">
      <c r="E3740" s="35"/>
      <c r="J3740" s="41"/>
    </row>
    <row r="3741" spans="5:10" s="34" customFormat="1" x14ac:dyDescent="0.35">
      <c r="E3741" s="35"/>
      <c r="J3741" s="41"/>
    </row>
    <row r="3742" spans="5:10" s="34" customFormat="1" x14ac:dyDescent="0.35">
      <c r="E3742" s="35"/>
      <c r="J3742" s="41"/>
    </row>
    <row r="3743" spans="5:10" s="34" customFormat="1" x14ac:dyDescent="0.35">
      <c r="E3743" s="35"/>
      <c r="J3743" s="41"/>
    </row>
    <row r="3744" spans="5:10" s="34" customFormat="1" x14ac:dyDescent="0.35">
      <c r="E3744" s="35"/>
      <c r="J3744" s="41"/>
    </row>
    <row r="3745" spans="5:10" s="34" customFormat="1" x14ac:dyDescent="0.35">
      <c r="E3745" s="35"/>
      <c r="J3745" s="41"/>
    </row>
    <row r="3746" spans="5:10" s="34" customFormat="1" x14ac:dyDescent="0.35">
      <c r="E3746" s="35"/>
      <c r="J3746" s="41"/>
    </row>
    <row r="3747" spans="5:10" s="34" customFormat="1" x14ac:dyDescent="0.35">
      <c r="E3747" s="35"/>
      <c r="J3747" s="41"/>
    </row>
    <row r="3748" spans="5:10" s="34" customFormat="1" x14ac:dyDescent="0.35">
      <c r="E3748" s="35"/>
      <c r="J3748" s="41"/>
    </row>
    <row r="3749" spans="5:10" s="34" customFormat="1" x14ac:dyDescent="0.35">
      <c r="E3749" s="35"/>
      <c r="J3749" s="41"/>
    </row>
    <row r="3750" spans="5:10" s="34" customFormat="1" x14ac:dyDescent="0.35">
      <c r="E3750" s="35"/>
      <c r="J3750" s="41"/>
    </row>
    <row r="3751" spans="5:10" s="34" customFormat="1" x14ac:dyDescent="0.35">
      <c r="E3751" s="35"/>
      <c r="J3751" s="41"/>
    </row>
    <row r="3752" spans="5:10" s="34" customFormat="1" x14ac:dyDescent="0.35">
      <c r="E3752" s="35"/>
      <c r="J3752" s="41"/>
    </row>
    <row r="3753" spans="5:10" s="34" customFormat="1" x14ac:dyDescent="0.35">
      <c r="E3753" s="35"/>
      <c r="J3753" s="41"/>
    </row>
    <row r="3754" spans="5:10" s="34" customFormat="1" x14ac:dyDescent="0.35">
      <c r="E3754" s="35"/>
      <c r="J3754" s="41"/>
    </row>
    <row r="3755" spans="5:10" s="34" customFormat="1" x14ac:dyDescent="0.35">
      <c r="E3755" s="35"/>
      <c r="J3755" s="41"/>
    </row>
    <row r="3756" spans="5:10" s="34" customFormat="1" x14ac:dyDescent="0.35">
      <c r="E3756" s="35"/>
      <c r="J3756" s="41"/>
    </row>
    <row r="3757" spans="5:10" s="34" customFormat="1" x14ac:dyDescent="0.35">
      <c r="E3757" s="35"/>
      <c r="J3757" s="41"/>
    </row>
    <row r="3758" spans="5:10" s="34" customFormat="1" x14ac:dyDescent="0.35">
      <c r="E3758" s="35"/>
      <c r="J3758" s="41"/>
    </row>
    <row r="3759" spans="5:10" s="34" customFormat="1" x14ac:dyDescent="0.35">
      <c r="E3759" s="35"/>
      <c r="J3759" s="41"/>
    </row>
    <row r="3760" spans="5:10" s="34" customFormat="1" x14ac:dyDescent="0.35">
      <c r="E3760" s="35"/>
      <c r="J3760" s="41"/>
    </row>
    <row r="3761" spans="5:10" s="34" customFormat="1" x14ac:dyDescent="0.35">
      <c r="E3761" s="35"/>
      <c r="J3761" s="41"/>
    </row>
    <row r="3762" spans="5:10" s="34" customFormat="1" x14ac:dyDescent="0.35">
      <c r="E3762" s="35"/>
      <c r="J3762" s="41"/>
    </row>
    <row r="3763" spans="5:10" s="34" customFormat="1" x14ac:dyDescent="0.35">
      <c r="E3763" s="35"/>
      <c r="J3763" s="41"/>
    </row>
    <row r="3764" spans="5:10" s="34" customFormat="1" x14ac:dyDescent="0.35">
      <c r="E3764" s="35"/>
      <c r="J3764" s="41"/>
    </row>
    <row r="3765" spans="5:10" s="34" customFormat="1" x14ac:dyDescent="0.35">
      <c r="E3765" s="35"/>
      <c r="J3765" s="41"/>
    </row>
    <row r="3766" spans="5:10" s="34" customFormat="1" x14ac:dyDescent="0.35">
      <c r="E3766" s="35"/>
      <c r="J3766" s="41"/>
    </row>
    <row r="3767" spans="5:10" s="34" customFormat="1" x14ac:dyDescent="0.35">
      <c r="E3767" s="35"/>
      <c r="J3767" s="41"/>
    </row>
    <row r="3768" spans="5:10" s="34" customFormat="1" x14ac:dyDescent="0.35">
      <c r="E3768" s="35"/>
      <c r="J3768" s="41"/>
    </row>
    <row r="3769" spans="5:10" s="34" customFormat="1" x14ac:dyDescent="0.35">
      <c r="E3769" s="35"/>
      <c r="J3769" s="41"/>
    </row>
    <row r="3770" spans="5:10" s="34" customFormat="1" x14ac:dyDescent="0.35">
      <c r="E3770" s="35"/>
      <c r="J3770" s="41"/>
    </row>
    <row r="3771" spans="5:10" s="34" customFormat="1" x14ac:dyDescent="0.35">
      <c r="E3771" s="35"/>
      <c r="J3771" s="41"/>
    </row>
    <row r="3772" spans="5:10" s="34" customFormat="1" x14ac:dyDescent="0.35">
      <c r="E3772" s="35"/>
      <c r="J3772" s="41"/>
    </row>
    <row r="3773" spans="5:10" s="34" customFormat="1" x14ac:dyDescent="0.35">
      <c r="E3773" s="35"/>
      <c r="J3773" s="41"/>
    </row>
    <row r="3774" spans="5:10" s="34" customFormat="1" x14ac:dyDescent="0.35">
      <c r="E3774" s="35"/>
      <c r="J3774" s="41"/>
    </row>
    <row r="3775" spans="5:10" s="34" customFormat="1" x14ac:dyDescent="0.35">
      <c r="E3775" s="35"/>
      <c r="J3775" s="41"/>
    </row>
    <row r="3776" spans="5:10" s="34" customFormat="1" x14ac:dyDescent="0.35">
      <c r="E3776" s="35"/>
      <c r="J3776" s="41"/>
    </row>
    <row r="3777" spans="5:10" s="34" customFormat="1" x14ac:dyDescent="0.35">
      <c r="E3777" s="35"/>
      <c r="J3777" s="41"/>
    </row>
    <row r="3778" spans="5:10" s="34" customFormat="1" x14ac:dyDescent="0.35">
      <c r="E3778" s="35"/>
      <c r="J3778" s="41"/>
    </row>
    <row r="3779" spans="5:10" s="34" customFormat="1" x14ac:dyDescent="0.35">
      <c r="E3779" s="35"/>
      <c r="J3779" s="41"/>
    </row>
    <row r="3780" spans="5:10" s="34" customFormat="1" x14ac:dyDescent="0.35">
      <c r="E3780" s="35"/>
      <c r="J3780" s="41"/>
    </row>
    <row r="3781" spans="5:10" s="34" customFormat="1" x14ac:dyDescent="0.35">
      <c r="E3781" s="35"/>
      <c r="J3781" s="41"/>
    </row>
    <row r="3782" spans="5:10" s="34" customFormat="1" x14ac:dyDescent="0.35">
      <c r="E3782" s="35"/>
      <c r="J3782" s="41"/>
    </row>
    <row r="3783" spans="5:10" s="34" customFormat="1" x14ac:dyDescent="0.35">
      <c r="E3783" s="35"/>
      <c r="J3783" s="41"/>
    </row>
    <row r="3784" spans="5:10" s="34" customFormat="1" x14ac:dyDescent="0.35">
      <c r="E3784" s="35"/>
      <c r="J3784" s="41"/>
    </row>
    <row r="3785" spans="5:10" s="34" customFormat="1" x14ac:dyDescent="0.35">
      <c r="E3785" s="35"/>
      <c r="J3785" s="41"/>
    </row>
    <row r="3786" spans="5:10" s="34" customFormat="1" x14ac:dyDescent="0.35">
      <c r="E3786" s="35"/>
      <c r="J3786" s="41"/>
    </row>
    <row r="3787" spans="5:10" s="34" customFormat="1" x14ac:dyDescent="0.35">
      <c r="E3787" s="35"/>
      <c r="J3787" s="41"/>
    </row>
    <row r="3788" spans="5:10" s="34" customFormat="1" x14ac:dyDescent="0.35">
      <c r="E3788" s="35"/>
      <c r="J3788" s="41"/>
    </row>
    <row r="3789" spans="5:10" s="34" customFormat="1" x14ac:dyDescent="0.35">
      <c r="E3789" s="35"/>
      <c r="J3789" s="41"/>
    </row>
    <row r="3790" spans="5:10" s="34" customFormat="1" x14ac:dyDescent="0.35">
      <c r="E3790" s="35"/>
      <c r="J3790" s="41"/>
    </row>
    <row r="3791" spans="5:10" s="34" customFormat="1" x14ac:dyDescent="0.35">
      <c r="E3791" s="35"/>
      <c r="J3791" s="41"/>
    </row>
    <row r="3792" spans="5:10" s="34" customFormat="1" x14ac:dyDescent="0.35">
      <c r="E3792" s="35"/>
      <c r="J3792" s="41"/>
    </row>
    <row r="3793" spans="5:10" s="34" customFormat="1" x14ac:dyDescent="0.35">
      <c r="E3793" s="35"/>
      <c r="J3793" s="41"/>
    </row>
    <row r="3794" spans="5:10" s="34" customFormat="1" x14ac:dyDescent="0.35">
      <c r="E3794" s="35"/>
      <c r="J3794" s="41"/>
    </row>
    <row r="3795" spans="5:10" s="34" customFormat="1" x14ac:dyDescent="0.35">
      <c r="E3795" s="35"/>
      <c r="J3795" s="41"/>
    </row>
    <row r="3796" spans="5:10" s="34" customFormat="1" x14ac:dyDescent="0.35">
      <c r="E3796" s="35"/>
      <c r="J3796" s="41"/>
    </row>
    <row r="3797" spans="5:10" s="34" customFormat="1" x14ac:dyDescent="0.35">
      <c r="E3797" s="35"/>
      <c r="J3797" s="41"/>
    </row>
    <row r="3798" spans="5:10" s="34" customFormat="1" x14ac:dyDescent="0.35">
      <c r="E3798" s="35"/>
      <c r="J3798" s="41"/>
    </row>
    <row r="3799" spans="5:10" s="34" customFormat="1" x14ac:dyDescent="0.35">
      <c r="E3799" s="35"/>
      <c r="J3799" s="41"/>
    </row>
    <row r="3800" spans="5:10" s="34" customFormat="1" x14ac:dyDescent="0.35">
      <c r="E3800" s="35"/>
      <c r="J3800" s="41"/>
    </row>
    <row r="3801" spans="5:10" s="34" customFormat="1" x14ac:dyDescent="0.35">
      <c r="E3801" s="35"/>
      <c r="J3801" s="41"/>
    </row>
    <row r="3802" spans="5:10" s="34" customFormat="1" x14ac:dyDescent="0.35">
      <c r="E3802" s="35"/>
      <c r="J3802" s="41"/>
    </row>
    <row r="3803" spans="5:10" s="34" customFormat="1" x14ac:dyDescent="0.35">
      <c r="E3803" s="35"/>
      <c r="J3803" s="41"/>
    </row>
    <row r="3804" spans="5:10" s="34" customFormat="1" x14ac:dyDescent="0.35">
      <c r="E3804" s="35"/>
      <c r="J3804" s="41"/>
    </row>
    <row r="3805" spans="5:10" s="34" customFormat="1" x14ac:dyDescent="0.35">
      <c r="E3805" s="35"/>
      <c r="J3805" s="41"/>
    </row>
    <row r="3806" spans="5:10" s="34" customFormat="1" x14ac:dyDescent="0.35">
      <c r="E3806" s="35"/>
      <c r="J3806" s="41"/>
    </row>
    <row r="3807" spans="5:10" s="34" customFormat="1" x14ac:dyDescent="0.35">
      <c r="E3807" s="35"/>
      <c r="J3807" s="41"/>
    </row>
    <row r="3808" spans="5:10" s="34" customFormat="1" x14ac:dyDescent="0.35">
      <c r="E3808" s="35"/>
      <c r="J3808" s="41"/>
    </row>
    <row r="3809" spans="5:10" s="34" customFormat="1" x14ac:dyDescent="0.35">
      <c r="E3809" s="35"/>
      <c r="J3809" s="41"/>
    </row>
    <row r="3810" spans="5:10" s="34" customFormat="1" x14ac:dyDescent="0.35">
      <c r="E3810" s="35"/>
      <c r="J3810" s="41"/>
    </row>
    <row r="3811" spans="5:10" s="34" customFormat="1" x14ac:dyDescent="0.35">
      <c r="E3811" s="35"/>
      <c r="J3811" s="41"/>
    </row>
    <row r="3812" spans="5:10" s="34" customFormat="1" x14ac:dyDescent="0.35">
      <c r="E3812" s="35"/>
      <c r="J3812" s="41"/>
    </row>
    <row r="3813" spans="5:10" s="34" customFormat="1" x14ac:dyDescent="0.35">
      <c r="E3813" s="35"/>
      <c r="J3813" s="41"/>
    </row>
    <row r="3814" spans="5:10" s="34" customFormat="1" x14ac:dyDescent="0.35">
      <c r="E3814" s="35"/>
      <c r="J3814" s="41"/>
    </row>
    <row r="3815" spans="5:10" s="34" customFormat="1" x14ac:dyDescent="0.35">
      <c r="E3815" s="35"/>
      <c r="J3815" s="41"/>
    </row>
    <row r="3816" spans="5:10" s="34" customFormat="1" x14ac:dyDescent="0.35">
      <c r="E3816" s="35"/>
      <c r="J3816" s="41"/>
    </row>
    <row r="3817" spans="5:10" s="34" customFormat="1" x14ac:dyDescent="0.35">
      <c r="E3817" s="35"/>
      <c r="J3817" s="41"/>
    </row>
    <row r="3818" spans="5:10" s="34" customFormat="1" x14ac:dyDescent="0.35">
      <c r="E3818" s="35"/>
      <c r="J3818" s="41"/>
    </row>
    <row r="3819" spans="5:10" s="34" customFormat="1" x14ac:dyDescent="0.35">
      <c r="E3819" s="35"/>
      <c r="J3819" s="41"/>
    </row>
    <row r="3820" spans="5:10" s="34" customFormat="1" x14ac:dyDescent="0.35">
      <c r="E3820" s="35"/>
      <c r="J3820" s="41"/>
    </row>
    <row r="3821" spans="5:10" s="34" customFormat="1" x14ac:dyDescent="0.35">
      <c r="E3821" s="35"/>
      <c r="J3821" s="41"/>
    </row>
    <row r="3822" spans="5:10" s="34" customFormat="1" x14ac:dyDescent="0.35">
      <c r="E3822" s="35"/>
      <c r="J3822" s="41"/>
    </row>
    <row r="3823" spans="5:10" s="34" customFormat="1" x14ac:dyDescent="0.35">
      <c r="E3823" s="35"/>
      <c r="J3823" s="41"/>
    </row>
    <row r="3824" spans="5:10" s="34" customFormat="1" x14ac:dyDescent="0.35">
      <c r="E3824" s="35"/>
      <c r="J3824" s="41"/>
    </row>
    <row r="3825" spans="5:10" s="34" customFormat="1" x14ac:dyDescent="0.35">
      <c r="E3825" s="35"/>
      <c r="J3825" s="41"/>
    </row>
    <row r="3826" spans="5:10" s="34" customFormat="1" x14ac:dyDescent="0.35">
      <c r="E3826" s="35"/>
      <c r="J3826" s="41"/>
    </row>
    <row r="3827" spans="5:10" s="34" customFormat="1" x14ac:dyDescent="0.35">
      <c r="E3827" s="35"/>
      <c r="J3827" s="41"/>
    </row>
    <row r="3828" spans="5:10" s="34" customFormat="1" x14ac:dyDescent="0.35">
      <c r="E3828" s="35"/>
      <c r="J3828" s="41"/>
    </row>
    <row r="3829" spans="5:10" s="34" customFormat="1" x14ac:dyDescent="0.35">
      <c r="E3829" s="35"/>
      <c r="J3829" s="41"/>
    </row>
    <row r="3830" spans="5:10" s="34" customFormat="1" x14ac:dyDescent="0.35">
      <c r="E3830" s="35"/>
      <c r="J3830" s="41"/>
    </row>
    <row r="3831" spans="5:10" s="34" customFormat="1" x14ac:dyDescent="0.35">
      <c r="E3831" s="35"/>
      <c r="J3831" s="41"/>
    </row>
    <row r="3832" spans="5:10" s="34" customFormat="1" x14ac:dyDescent="0.35">
      <c r="E3832" s="35"/>
      <c r="J3832" s="41"/>
    </row>
    <row r="3833" spans="5:10" s="34" customFormat="1" x14ac:dyDescent="0.35">
      <c r="E3833" s="35"/>
      <c r="J3833" s="41"/>
    </row>
    <row r="3834" spans="5:10" s="34" customFormat="1" x14ac:dyDescent="0.35">
      <c r="E3834" s="35"/>
      <c r="J3834" s="41"/>
    </row>
    <row r="3835" spans="5:10" s="34" customFormat="1" x14ac:dyDescent="0.35">
      <c r="E3835" s="35"/>
      <c r="J3835" s="41"/>
    </row>
    <row r="3836" spans="5:10" s="34" customFormat="1" x14ac:dyDescent="0.35">
      <c r="E3836" s="35"/>
      <c r="J3836" s="41"/>
    </row>
    <row r="3837" spans="5:10" s="34" customFormat="1" x14ac:dyDescent="0.35">
      <c r="E3837" s="35"/>
      <c r="J3837" s="41"/>
    </row>
    <row r="3838" spans="5:10" s="34" customFormat="1" x14ac:dyDescent="0.35">
      <c r="E3838" s="35"/>
      <c r="J3838" s="41"/>
    </row>
    <row r="3839" spans="5:10" s="34" customFormat="1" x14ac:dyDescent="0.35">
      <c r="E3839" s="35"/>
      <c r="J3839" s="41"/>
    </row>
    <row r="3840" spans="5:10" s="34" customFormat="1" x14ac:dyDescent="0.35">
      <c r="E3840" s="35"/>
      <c r="J3840" s="41"/>
    </row>
    <row r="3841" spans="5:10" s="34" customFormat="1" x14ac:dyDescent="0.35">
      <c r="E3841" s="35"/>
      <c r="J3841" s="41"/>
    </row>
    <row r="3842" spans="5:10" s="34" customFormat="1" x14ac:dyDescent="0.35">
      <c r="E3842" s="35"/>
      <c r="J3842" s="41"/>
    </row>
    <row r="3843" spans="5:10" s="34" customFormat="1" x14ac:dyDescent="0.35">
      <c r="E3843" s="35"/>
      <c r="J3843" s="41"/>
    </row>
    <row r="3844" spans="5:10" s="34" customFormat="1" x14ac:dyDescent="0.35">
      <c r="E3844" s="35"/>
      <c r="J3844" s="41"/>
    </row>
    <row r="3845" spans="5:10" s="34" customFormat="1" x14ac:dyDescent="0.35">
      <c r="E3845" s="35"/>
      <c r="J3845" s="41"/>
    </row>
    <row r="3846" spans="5:10" s="34" customFormat="1" x14ac:dyDescent="0.35">
      <c r="E3846" s="35"/>
      <c r="J3846" s="41"/>
    </row>
    <row r="3847" spans="5:10" s="34" customFormat="1" x14ac:dyDescent="0.35">
      <c r="E3847" s="35"/>
      <c r="J3847" s="41"/>
    </row>
    <row r="3848" spans="5:10" s="34" customFormat="1" x14ac:dyDescent="0.35">
      <c r="E3848" s="35"/>
      <c r="J3848" s="41"/>
    </row>
    <row r="3849" spans="5:10" s="34" customFormat="1" x14ac:dyDescent="0.35">
      <c r="E3849" s="35"/>
      <c r="J3849" s="41"/>
    </row>
    <row r="3850" spans="5:10" s="34" customFormat="1" x14ac:dyDescent="0.35">
      <c r="E3850" s="35"/>
      <c r="J3850" s="41"/>
    </row>
    <row r="3851" spans="5:10" s="34" customFormat="1" x14ac:dyDescent="0.35">
      <c r="E3851" s="35"/>
      <c r="J3851" s="41"/>
    </row>
    <row r="3852" spans="5:10" s="34" customFormat="1" x14ac:dyDescent="0.35">
      <c r="E3852" s="35"/>
      <c r="J3852" s="41"/>
    </row>
    <row r="3853" spans="5:10" s="34" customFormat="1" x14ac:dyDescent="0.35">
      <c r="E3853" s="35"/>
      <c r="J3853" s="41"/>
    </row>
    <row r="3854" spans="5:10" s="34" customFormat="1" x14ac:dyDescent="0.35">
      <c r="E3854" s="35"/>
      <c r="J3854" s="41"/>
    </row>
    <row r="3855" spans="5:10" s="34" customFormat="1" x14ac:dyDescent="0.35">
      <c r="E3855" s="35"/>
      <c r="J3855" s="41"/>
    </row>
    <row r="3856" spans="5:10" s="34" customFormat="1" x14ac:dyDescent="0.35">
      <c r="E3856" s="35"/>
      <c r="J3856" s="41"/>
    </row>
    <row r="3857" spans="5:10" s="34" customFormat="1" x14ac:dyDescent="0.35">
      <c r="E3857" s="35"/>
      <c r="J3857" s="41"/>
    </row>
    <row r="3858" spans="5:10" s="34" customFormat="1" x14ac:dyDescent="0.35">
      <c r="E3858" s="35"/>
      <c r="J3858" s="41"/>
    </row>
    <row r="3859" spans="5:10" s="34" customFormat="1" x14ac:dyDescent="0.35">
      <c r="E3859" s="35"/>
      <c r="J3859" s="41"/>
    </row>
    <row r="3860" spans="5:10" s="34" customFormat="1" x14ac:dyDescent="0.35">
      <c r="E3860" s="35"/>
      <c r="J3860" s="41"/>
    </row>
    <row r="3861" spans="5:10" s="34" customFormat="1" x14ac:dyDescent="0.35">
      <c r="E3861" s="35"/>
      <c r="J3861" s="41"/>
    </row>
    <row r="3862" spans="5:10" s="34" customFormat="1" x14ac:dyDescent="0.35">
      <c r="E3862" s="35"/>
      <c r="J3862" s="41"/>
    </row>
    <row r="3863" spans="5:10" s="34" customFormat="1" x14ac:dyDescent="0.35">
      <c r="E3863" s="35"/>
      <c r="J3863" s="41"/>
    </row>
    <row r="3864" spans="5:10" s="34" customFormat="1" x14ac:dyDescent="0.35">
      <c r="E3864" s="35"/>
      <c r="J3864" s="41"/>
    </row>
    <row r="3865" spans="5:10" s="34" customFormat="1" x14ac:dyDescent="0.35">
      <c r="E3865" s="35"/>
      <c r="J3865" s="41"/>
    </row>
    <row r="3866" spans="5:10" s="34" customFormat="1" x14ac:dyDescent="0.35">
      <c r="E3866" s="35"/>
      <c r="J3866" s="41"/>
    </row>
    <row r="3867" spans="5:10" s="34" customFormat="1" x14ac:dyDescent="0.35">
      <c r="E3867" s="35"/>
      <c r="J3867" s="41"/>
    </row>
    <row r="3868" spans="5:10" s="34" customFormat="1" x14ac:dyDescent="0.35">
      <c r="E3868" s="35"/>
      <c r="J3868" s="41"/>
    </row>
    <row r="3869" spans="5:10" s="34" customFormat="1" x14ac:dyDescent="0.35">
      <c r="E3869" s="35"/>
      <c r="J3869" s="41"/>
    </row>
    <row r="3870" spans="5:10" s="34" customFormat="1" x14ac:dyDescent="0.35">
      <c r="E3870" s="35"/>
      <c r="J3870" s="41"/>
    </row>
    <row r="3871" spans="5:10" s="34" customFormat="1" x14ac:dyDescent="0.35">
      <c r="E3871" s="35"/>
      <c r="J3871" s="41"/>
    </row>
    <row r="3872" spans="5:10" s="34" customFormat="1" x14ac:dyDescent="0.35">
      <c r="E3872" s="35"/>
      <c r="J3872" s="41"/>
    </row>
    <row r="3873" spans="5:10" s="34" customFormat="1" x14ac:dyDescent="0.35">
      <c r="E3873" s="35"/>
      <c r="J3873" s="41"/>
    </row>
    <row r="3874" spans="5:10" s="34" customFormat="1" x14ac:dyDescent="0.35">
      <c r="E3874" s="35"/>
      <c r="J3874" s="41"/>
    </row>
    <row r="3875" spans="5:10" s="34" customFormat="1" x14ac:dyDescent="0.35">
      <c r="E3875" s="35"/>
      <c r="J3875" s="41"/>
    </row>
    <row r="3876" spans="5:10" s="34" customFormat="1" x14ac:dyDescent="0.35">
      <c r="E3876" s="35"/>
      <c r="J3876" s="41"/>
    </row>
    <row r="3877" spans="5:10" s="34" customFormat="1" x14ac:dyDescent="0.35">
      <c r="E3877" s="35"/>
      <c r="J3877" s="41"/>
    </row>
    <row r="3878" spans="5:10" s="34" customFormat="1" x14ac:dyDescent="0.35">
      <c r="E3878" s="35"/>
      <c r="J3878" s="41"/>
    </row>
    <row r="3879" spans="5:10" s="34" customFormat="1" x14ac:dyDescent="0.35">
      <c r="E3879" s="35"/>
      <c r="J3879" s="41"/>
    </row>
    <row r="3880" spans="5:10" s="34" customFormat="1" x14ac:dyDescent="0.35">
      <c r="E3880" s="35"/>
      <c r="J3880" s="41"/>
    </row>
    <row r="3881" spans="5:10" s="34" customFormat="1" x14ac:dyDescent="0.35">
      <c r="E3881" s="35"/>
      <c r="J3881" s="41"/>
    </row>
    <row r="3882" spans="5:10" s="34" customFormat="1" x14ac:dyDescent="0.35">
      <c r="E3882" s="35"/>
      <c r="J3882" s="41"/>
    </row>
    <row r="3883" spans="5:10" s="34" customFormat="1" x14ac:dyDescent="0.35">
      <c r="E3883" s="35"/>
      <c r="J3883" s="41"/>
    </row>
    <row r="3884" spans="5:10" s="34" customFormat="1" x14ac:dyDescent="0.35">
      <c r="E3884" s="35"/>
      <c r="J3884" s="41"/>
    </row>
    <row r="3885" spans="5:10" s="34" customFormat="1" x14ac:dyDescent="0.35">
      <c r="E3885" s="35"/>
      <c r="J3885" s="41"/>
    </row>
    <row r="3886" spans="5:10" s="34" customFormat="1" x14ac:dyDescent="0.35">
      <c r="E3886" s="35"/>
      <c r="J3886" s="41"/>
    </row>
    <row r="3887" spans="5:10" s="34" customFormat="1" x14ac:dyDescent="0.35">
      <c r="E3887" s="35"/>
      <c r="J3887" s="41"/>
    </row>
    <row r="3888" spans="5:10" s="34" customFormat="1" x14ac:dyDescent="0.35">
      <c r="E3888" s="35"/>
      <c r="J3888" s="41"/>
    </row>
    <row r="3889" spans="5:10" s="34" customFormat="1" x14ac:dyDescent="0.35">
      <c r="E3889" s="35"/>
      <c r="J3889" s="41"/>
    </row>
    <row r="3890" spans="5:10" s="34" customFormat="1" x14ac:dyDescent="0.35">
      <c r="E3890" s="35"/>
      <c r="J3890" s="41"/>
    </row>
    <row r="3891" spans="5:10" s="34" customFormat="1" x14ac:dyDescent="0.35">
      <c r="E3891" s="35"/>
      <c r="J3891" s="41"/>
    </row>
    <row r="3892" spans="5:10" s="34" customFormat="1" x14ac:dyDescent="0.35">
      <c r="E3892" s="35"/>
      <c r="J3892" s="41"/>
    </row>
    <row r="3893" spans="5:10" s="34" customFormat="1" x14ac:dyDescent="0.35">
      <c r="E3893" s="35"/>
      <c r="J3893" s="41"/>
    </row>
    <row r="3894" spans="5:10" s="34" customFormat="1" x14ac:dyDescent="0.35">
      <c r="E3894" s="35"/>
      <c r="J3894" s="41"/>
    </row>
    <row r="3895" spans="5:10" s="34" customFormat="1" x14ac:dyDescent="0.35">
      <c r="E3895" s="35"/>
      <c r="J3895" s="41"/>
    </row>
    <row r="3896" spans="5:10" s="34" customFormat="1" x14ac:dyDescent="0.35">
      <c r="E3896" s="35"/>
      <c r="J3896" s="41"/>
    </row>
    <row r="3897" spans="5:10" s="34" customFormat="1" x14ac:dyDescent="0.35">
      <c r="E3897" s="35"/>
      <c r="J3897" s="41"/>
    </row>
    <row r="3898" spans="5:10" s="34" customFormat="1" x14ac:dyDescent="0.35">
      <c r="E3898" s="35"/>
      <c r="J3898" s="41"/>
    </row>
    <row r="3899" spans="5:10" s="34" customFormat="1" x14ac:dyDescent="0.35">
      <c r="E3899" s="35"/>
      <c r="J3899" s="41"/>
    </row>
    <row r="3900" spans="5:10" s="34" customFormat="1" x14ac:dyDescent="0.35">
      <c r="E3900" s="35"/>
      <c r="J3900" s="41"/>
    </row>
    <row r="3901" spans="5:10" s="34" customFormat="1" x14ac:dyDescent="0.35">
      <c r="E3901" s="35"/>
      <c r="J3901" s="41"/>
    </row>
    <row r="3902" spans="5:10" s="34" customFormat="1" x14ac:dyDescent="0.35">
      <c r="E3902" s="35"/>
      <c r="J3902" s="41"/>
    </row>
    <row r="3903" spans="5:10" s="34" customFormat="1" x14ac:dyDescent="0.35">
      <c r="E3903" s="35"/>
      <c r="J3903" s="41"/>
    </row>
    <row r="3904" spans="5:10" s="34" customFormat="1" x14ac:dyDescent="0.35">
      <c r="E3904" s="35"/>
      <c r="J3904" s="41"/>
    </row>
    <row r="3905" spans="5:10" s="34" customFormat="1" x14ac:dyDescent="0.35">
      <c r="E3905" s="35"/>
      <c r="J3905" s="41"/>
    </row>
    <row r="3906" spans="5:10" s="34" customFormat="1" x14ac:dyDescent="0.35">
      <c r="E3906" s="35"/>
      <c r="J3906" s="41"/>
    </row>
    <row r="3907" spans="5:10" s="34" customFormat="1" x14ac:dyDescent="0.35">
      <c r="E3907" s="35"/>
      <c r="J3907" s="41"/>
    </row>
    <row r="3908" spans="5:10" s="34" customFormat="1" x14ac:dyDescent="0.35">
      <c r="E3908" s="35"/>
      <c r="J3908" s="41"/>
    </row>
    <row r="3909" spans="5:10" s="34" customFormat="1" x14ac:dyDescent="0.35">
      <c r="E3909" s="35"/>
      <c r="J3909" s="41"/>
    </row>
    <row r="3910" spans="5:10" s="34" customFormat="1" x14ac:dyDescent="0.35">
      <c r="E3910" s="35"/>
      <c r="J3910" s="41"/>
    </row>
    <row r="3911" spans="5:10" s="34" customFormat="1" x14ac:dyDescent="0.35">
      <c r="E3911" s="35"/>
      <c r="J3911" s="41"/>
    </row>
    <row r="3912" spans="5:10" s="34" customFormat="1" x14ac:dyDescent="0.35">
      <c r="E3912" s="35"/>
      <c r="J3912" s="41"/>
    </row>
    <row r="3913" spans="5:10" s="34" customFormat="1" x14ac:dyDescent="0.35">
      <c r="E3913" s="35"/>
      <c r="J3913" s="41"/>
    </row>
    <row r="3914" spans="5:10" s="34" customFormat="1" x14ac:dyDescent="0.35">
      <c r="E3914" s="35"/>
      <c r="J3914" s="41"/>
    </row>
    <row r="3915" spans="5:10" s="34" customFormat="1" x14ac:dyDescent="0.35">
      <c r="E3915" s="35"/>
      <c r="J3915" s="41"/>
    </row>
    <row r="3916" spans="5:10" s="34" customFormat="1" x14ac:dyDescent="0.35">
      <c r="E3916" s="35"/>
      <c r="J3916" s="41"/>
    </row>
    <row r="3917" spans="5:10" s="34" customFormat="1" x14ac:dyDescent="0.35">
      <c r="E3917" s="35"/>
      <c r="J3917" s="41"/>
    </row>
    <row r="3918" spans="5:10" s="34" customFormat="1" x14ac:dyDescent="0.35">
      <c r="E3918" s="35"/>
      <c r="J3918" s="41"/>
    </row>
    <row r="3919" spans="5:10" s="34" customFormat="1" x14ac:dyDescent="0.35">
      <c r="E3919" s="35"/>
      <c r="J3919" s="41"/>
    </row>
    <row r="3920" spans="5:10" s="34" customFormat="1" x14ac:dyDescent="0.35">
      <c r="E3920" s="35"/>
      <c r="J3920" s="41"/>
    </row>
    <row r="3921" spans="5:10" s="34" customFormat="1" x14ac:dyDescent="0.35">
      <c r="E3921" s="35"/>
      <c r="J3921" s="41"/>
    </row>
    <row r="3922" spans="5:10" s="34" customFormat="1" x14ac:dyDescent="0.35">
      <c r="E3922" s="35"/>
      <c r="J3922" s="41"/>
    </row>
    <row r="3923" spans="5:10" s="34" customFormat="1" x14ac:dyDescent="0.35">
      <c r="E3923" s="35"/>
      <c r="J3923" s="41"/>
    </row>
    <row r="3924" spans="5:10" s="34" customFormat="1" x14ac:dyDescent="0.35">
      <c r="E3924" s="35"/>
      <c r="J3924" s="41"/>
    </row>
    <row r="3925" spans="5:10" s="34" customFormat="1" x14ac:dyDescent="0.35">
      <c r="E3925" s="35"/>
      <c r="J3925" s="41"/>
    </row>
    <row r="3926" spans="5:10" s="34" customFormat="1" x14ac:dyDescent="0.35">
      <c r="E3926" s="35"/>
      <c r="J3926" s="41"/>
    </row>
    <row r="3927" spans="5:10" s="34" customFormat="1" x14ac:dyDescent="0.35">
      <c r="E3927" s="35"/>
      <c r="J3927" s="41"/>
    </row>
    <row r="3928" spans="5:10" s="34" customFormat="1" x14ac:dyDescent="0.35">
      <c r="E3928" s="35"/>
      <c r="J3928" s="41"/>
    </row>
    <row r="3929" spans="5:10" s="34" customFormat="1" x14ac:dyDescent="0.35">
      <c r="E3929" s="35"/>
      <c r="J3929" s="41"/>
    </row>
    <row r="3930" spans="5:10" s="34" customFormat="1" x14ac:dyDescent="0.35">
      <c r="E3930" s="35"/>
      <c r="J3930" s="41"/>
    </row>
    <row r="3931" spans="5:10" s="34" customFormat="1" x14ac:dyDescent="0.35">
      <c r="E3931" s="35"/>
      <c r="J3931" s="41"/>
    </row>
    <row r="3932" spans="5:10" s="34" customFormat="1" x14ac:dyDescent="0.35">
      <c r="E3932" s="35"/>
      <c r="J3932" s="41"/>
    </row>
    <row r="3933" spans="5:10" s="34" customFormat="1" x14ac:dyDescent="0.35">
      <c r="E3933" s="35"/>
      <c r="J3933" s="41"/>
    </row>
    <row r="3934" spans="5:10" s="34" customFormat="1" x14ac:dyDescent="0.35">
      <c r="E3934" s="35"/>
      <c r="J3934" s="41"/>
    </row>
    <row r="3935" spans="5:10" s="34" customFormat="1" x14ac:dyDescent="0.35">
      <c r="E3935" s="35"/>
      <c r="J3935" s="41"/>
    </row>
    <row r="3936" spans="5:10" s="34" customFormat="1" x14ac:dyDescent="0.35">
      <c r="E3936" s="35"/>
      <c r="J3936" s="41"/>
    </row>
    <row r="3937" spans="5:10" s="34" customFormat="1" x14ac:dyDescent="0.35">
      <c r="E3937" s="35"/>
      <c r="J3937" s="41"/>
    </row>
    <row r="3938" spans="5:10" s="34" customFormat="1" x14ac:dyDescent="0.35">
      <c r="E3938" s="35"/>
      <c r="J3938" s="41"/>
    </row>
    <row r="3939" spans="5:10" s="34" customFormat="1" x14ac:dyDescent="0.35">
      <c r="E3939" s="35"/>
      <c r="J3939" s="41"/>
    </row>
    <row r="3940" spans="5:10" s="34" customFormat="1" x14ac:dyDescent="0.35">
      <c r="E3940" s="35"/>
      <c r="J3940" s="41"/>
    </row>
    <row r="3941" spans="5:10" s="34" customFormat="1" x14ac:dyDescent="0.35">
      <c r="E3941" s="35"/>
      <c r="J3941" s="41"/>
    </row>
    <row r="3942" spans="5:10" s="34" customFormat="1" x14ac:dyDescent="0.35">
      <c r="E3942" s="35"/>
      <c r="J3942" s="41"/>
    </row>
    <row r="3943" spans="5:10" s="34" customFormat="1" x14ac:dyDescent="0.35">
      <c r="E3943" s="35"/>
      <c r="J3943" s="41"/>
    </row>
    <row r="3944" spans="5:10" s="34" customFormat="1" x14ac:dyDescent="0.35">
      <c r="E3944" s="35"/>
      <c r="J3944" s="41"/>
    </row>
    <row r="3945" spans="5:10" s="34" customFormat="1" x14ac:dyDescent="0.35">
      <c r="E3945" s="35"/>
      <c r="J3945" s="41"/>
    </row>
    <row r="3946" spans="5:10" s="34" customFormat="1" x14ac:dyDescent="0.35">
      <c r="E3946" s="35"/>
      <c r="J3946" s="41"/>
    </row>
    <row r="3947" spans="5:10" s="34" customFormat="1" x14ac:dyDescent="0.35">
      <c r="E3947" s="35"/>
      <c r="J3947" s="41"/>
    </row>
    <row r="3948" spans="5:10" s="34" customFormat="1" x14ac:dyDescent="0.35">
      <c r="E3948" s="35"/>
      <c r="J3948" s="41"/>
    </row>
    <row r="3949" spans="5:10" s="34" customFormat="1" x14ac:dyDescent="0.35">
      <c r="E3949" s="35"/>
      <c r="J3949" s="41"/>
    </row>
    <row r="3950" spans="5:10" s="34" customFormat="1" x14ac:dyDescent="0.35">
      <c r="E3950" s="35"/>
      <c r="J3950" s="41"/>
    </row>
    <row r="3951" spans="5:10" s="34" customFormat="1" x14ac:dyDescent="0.35">
      <c r="E3951" s="35"/>
      <c r="J3951" s="41"/>
    </row>
    <row r="3952" spans="5:10" s="34" customFormat="1" x14ac:dyDescent="0.35">
      <c r="E3952" s="35"/>
      <c r="J3952" s="41"/>
    </row>
    <row r="3953" spans="5:10" s="34" customFormat="1" x14ac:dyDescent="0.35">
      <c r="E3953" s="35"/>
      <c r="J3953" s="41"/>
    </row>
    <row r="3954" spans="5:10" s="34" customFormat="1" x14ac:dyDescent="0.35">
      <c r="E3954" s="35"/>
      <c r="J3954" s="41"/>
    </row>
    <row r="3955" spans="5:10" s="34" customFormat="1" x14ac:dyDescent="0.35">
      <c r="E3955" s="35"/>
      <c r="J3955" s="41"/>
    </row>
    <row r="3956" spans="5:10" s="34" customFormat="1" x14ac:dyDescent="0.35">
      <c r="E3956" s="35"/>
      <c r="J3956" s="41"/>
    </row>
    <row r="3957" spans="5:10" s="34" customFormat="1" x14ac:dyDescent="0.35">
      <c r="E3957" s="35"/>
      <c r="J3957" s="41"/>
    </row>
    <row r="3958" spans="5:10" s="34" customFormat="1" x14ac:dyDescent="0.35">
      <c r="E3958" s="35"/>
      <c r="J3958" s="41"/>
    </row>
    <row r="3959" spans="5:10" s="34" customFormat="1" x14ac:dyDescent="0.35">
      <c r="E3959" s="35"/>
      <c r="J3959" s="41"/>
    </row>
    <row r="3960" spans="5:10" s="34" customFormat="1" x14ac:dyDescent="0.35">
      <c r="E3960" s="35"/>
      <c r="J3960" s="41"/>
    </row>
    <row r="3961" spans="5:10" s="34" customFormat="1" x14ac:dyDescent="0.35">
      <c r="E3961" s="35"/>
      <c r="J3961" s="41"/>
    </row>
    <row r="3962" spans="5:10" s="34" customFormat="1" x14ac:dyDescent="0.35">
      <c r="E3962" s="35"/>
      <c r="J3962" s="41"/>
    </row>
    <row r="3963" spans="5:10" s="34" customFormat="1" x14ac:dyDescent="0.35">
      <c r="E3963" s="35"/>
      <c r="J3963" s="41"/>
    </row>
    <row r="3964" spans="5:10" s="34" customFormat="1" x14ac:dyDescent="0.35">
      <c r="E3964" s="35"/>
      <c r="J3964" s="41"/>
    </row>
    <row r="3965" spans="5:10" s="34" customFormat="1" x14ac:dyDescent="0.35">
      <c r="E3965" s="35"/>
      <c r="J3965" s="41"/>
    </row>
    <row r="3966" spans="5:10" s="34" customFormat="1" x14ac:dyDescent="0.35">
      <c r="E3966" s="35"/>
      <c r="J3966" s="41"/>
    </row>
    <row r="3967" spans="5:10" s="34" customFormat="1" x14ac:dyDescent="0.35">
      <c r="E3967" s="35"/>
      <c r="J3967" s="41"/>
    </row>
    <row r="3968" spans="5:10" s="34" customFormat="1" x14ac:dyDescent="0.35">
      <c r="E3968" s="35"/>
      <c r="J3968" s="41"/>
    </row>
    <row r="3969" spans="5:10" s="34" customFormat="1" x14ac:dyDescent="0.35">
      <c r="E3969" s="35"/>
      <c r="J3969" s="41"/>
    </row>
    <row r="3970" spans="5:10" s="34" customFormat="1" x14ac:dyDescent="0.35">
      <c r="E3970" s="35"/>
      <c r="J3970" s="41"/>
    </row>
    <row r="3971" spans="5:10" s="34" customFormat="1" x14ac:dyDescent="0.35">
      <c r="E3971" s="35"/>
      <c r="J3971" s="41"/>
    </row>
    <row r="3972" spans="5:10" s="34" customFormat="1" x14ac:dyDescent="0.35">
      <c r="E3972" s="35"/>
      <c r="J3972" s="41"/>
    </row>
    <row r="3973" spans="5:10" s="34" customFormat="1" x14ac:dyDescent="0.35">
      <c r="E3973" s="35"/>
      <c r="J3973" s="41"/>
    </row>
    <row r="3974" spans="5:10" s="34" customFormat="1" x14ac:dyDescent="0.35">
      <c r="E3974" s="35"/>
      <c r="J3974" s="41"/>
    </row>
    <row r="3975" spans="5:10" s="34" customFormat="1" x14ac:dyDescent="0.35">
      <c r="E3975" s="35"/>
      <c r="J3975" s="41"/>
    </row>
    <row r="3976" spans="5:10" s="34" customFormat="1" x14ac:dyDescent="0.35">
      <c r="E3976" s="35"/>
      <c r="J3976" s="41"/>
    </row>
    <row r="3977" spans="5:10" s="34" customFormat="1" x14ac:dyDescent="0.35">
      <c r="E3977" s="35"/>
      <c r="J3977" s="41"/>
    </row>
    <row r="3978" spans="5:10" s="34" customFormat="1" x14ac:dyDescent="0.35">
      <c r="E3978" s="35"/>
      <c r="J3978" s="41"/>
    </row>
    <row r="3979" spans="5:10" s="34" customFormat="1" x14ac:dyDescent="0.35">
      <c r="E3979" s="35"/>
      <c r="J3979" s="41"/>
    </row>
    <row r="3980" spans="5:10" s="34" customFormat="1" x14ac:dyDescent="0.35">
      <c r="E3980" s="35"/>
      <c r="J3980" s="41"/>
    </row>
    <row r="3981" spans="5:10" s="34" customFormat="1" x14ac:dyDescent="0.35">
      <c r="E3981" s="35"/>
      <c r="J3981" s="41"/>
    </row>
    <row r="3982" spans="5:10" s="34" customFormat="1" x14ac:dyDescent="0.35">
      <c r="E3982" s="35"/>
      <c r="J3982" s="41"/>
    </row>
    <row r="3983" spans="5:10" s="34" customFormat="1" x14ac:dyDescent="0.35">
      <c r="E3983" s="35"/>
      <c r="J3983" s="41"/>
    </row>
    <row r="3984" spans="5:10" s="34" customFormat="1" x14ac:dyDescent="0.35">
      <c r="E3984" s="35"/>
      <c r="J3984" s="41"/>
    </row>
    <row r="3985" spans="5:10" s="34" customFormat="1" x14ac:dyDescent="0.35">
      <c r="E3985" s="35"/>
      <c r="J3985" s="41"/>
    </row>
    <row r="3986" spans="5:10" s="34" customFormat="1" x14ac:dyDescent="0.35">
      <c r="E3986" s="35"/>
      <c r="J3986" s="41"/>
    </row>
    <row r="3987" spans="5:10" s="34" customFormat="1" x14ac:dyDescent="0.35">
      <c r="E3987" s="35"/>
      <c r="J3987" s="41"/>
    </row>
    <row r="3988" spans="5:10" s="34" customFormat="1" x14ac:dyDescent="0.35">
      <c r="E3988" s="35"/>
      <c r="J3988" s="41"/>
    </row>
    <row r="3989" spans="5:10" s="34" customFormat="1" x14ac:dyDescent="0.35">
      <c r="E3989" s="35"/>
      <c r="J3989" s="41"/>
    </row>
    <row r="3990" spans="5:10" s="34" customFormat="1" x14ac:dyDescent="0.35">
      <c r="E3990" s="35"/>
      <c r="J3990" s="41"/>
    </row>
    <row r="3991" spans="5:10" s="34" customFormat="1" x14ac:dyDescent="0.35">
      <c r="E3991" s="35"/>
      <c r="J3991" s="41"/>
    </row>
    <row r="3992" spans="5:10" s="34" customFormat="1" x14ac:dyDescent="0.35">
      <c r="E3992" s="35"/>
      <c r="J3992" s="41"/>
    </row>
    <row r="3993" spans="5:10" s="34" customFormat="1" x14ac:dyDescent="0.35">
      <c r="E3993" s="35"/>
      <c r="J3993" s="41"/>
    </row>
    <row r="3994" spans="5:10" s="34" customFormat="1" x14ac:dyDescent="0.35">
      <c r="E3994" s="35"/>
      <c r="J3994" s="41"/>
    </row>
    <row r="3995" spans="5:10" s="34" customFormat="1" x14ac:dyDescent="0.35">
      <c r="E3995" s="35"/>
      <c r="J3995" s="41"/>
    </row>
    <row r="3996" spans="5:10" s="34" customFormat="1" x14ac:dyDescent="0.35">
      <c r="E3996" s="35"/>
      <c r="J3996" s="41"/>
    </row>
    <row r="3997" spans="5:10" s="34" customFormat="1" x14ac:dyDescent="0.35">
      <c r="E3997" s="35"/>
      <c r="J3997" s="41"/>
    </row>
    <row r="3998" spans="5:10" s="34" customFormat="1" x14ac:dyDescent="0.35">
      <c r="E3998" s="35"/>
      <c r="J3998" s="41"/>
    </row>
    <row r="3999" spans="5:10" s="34" customFormat="1" x14ac:dyDescent="0.35">
      <c r="E3999" s="35"/>
      <c r="J3999" s="41"/>
    </row>
    <row r="4000" spans="5:10" s="34" customFormat="1" x14ac:dyDescent="0.35">
      <c r="E4000" s="35"/>
      <c r="J4000" s="41"/>
    </row>
    <row r="4001" spans="5:10" s="34" customFormat="1" x14ac:dyDescent="0.35">
      <c r="E4001" s="35"/>
      <c r="J4001" s="41"/>
    </row>
    <row r="4002" spans="5:10" s="34" customFormat="1" x14ac:dyDescent="0.35">
      <c r="E4002" s="35"/>
      <c r="J4002" s="41"/>
    </row>
    <row r="4003" spans="5:10" s="34" customFormat="1" x14ac:dyDescent="0.35">
      <c r="E4003" s="35"/>
      <c r="J4003" s="41"/>
    </row>
    <row r="4004" spans="5:10" s="34" customFormat="1" x14ac:dyDescent="0.35">
      <c r="E4004" s="35"/>
      <c r="J4004" s="41"/>
    </row>
    <row r="4005" spans="5:10" s="34" customFormat="1" x14ac:dyDescent="0.35">
      <c r="E4005" s="35"/>
      <c r="J4005" s="41"/>
    </row>
    <row r="4006" spans="5:10" s="34" customFormat="1" x14ac:dyDescent="0.35">
      <c r="E4006" s="35"/>
      <c r="J4006" s="41"/>
    </row>
    <row r="4007" spans="5:10" s="34" customFormat="1" x14ac:dyDescent="0.35">
      <c r="E4007" s="35"/>
      <c r="J4007" s="41"/>
    </row>
    <row r="4008" spans="5:10" s="34" customFormat="1" x14ac:dyDescent="0.35">
      <c r="E4008" s="35"/>
      <c r="J4008" s="41"/>
    </row>
    <row r="4009" spans="5:10" s="34" customFormat="1" x14ac:dyDescent="0.35">
      <c r="E4009" s="35"/>
      <c r="J4009" s="41"/>
    </row>
    <row r="4010" spans="5:10" s="34" customFormat="1" x14ac:dyDescent="0.35">
      <c r="E4010" s="35"/>
      <c r="J4010" s="41"/>
    </row>
    <row r="4011" spans="5:10" s="34" customFormat="1" x14ac:dyDescent="0.35">
      <c r="E4011" s="35"/>
      <c r="J4011" s="41"/>
    </row>
    <row r="4012" spans="5:10" s="34" customFormat="1" x14ac:dyDescent="0.35">
      <c r="E4012" s="35"/>
      <c r="J4012" s="41"/>
    </row>
    <row r="4013" spans="5:10" s="34" customFormat="1" x14ac:dyDescent="0.35">
      <c r="E4013" s="35"/>
      <c r="J4013" s="41"/>
    </row>
    <row r="4014" spans="5:10" s="34" customFormat="1" x14ac:dyDescent="0.35">
      <c r="E4014" s="35"/>
      <c r="J4014" s="41"/>
    </row>
    <row r="4015" spans="5:10" s="34" customFormat="1" x14ac:dyDescent="0.35">
      <c r="E4015" s="35"/>
      <c r="J4015" s="41"/>
    </row>
    <row r="4016" spans="5:10" s="34" customFormat="1" x14ac:dyDescent="0.35">
      <c r="E4016" s="35"/>
      <c r="J4016" s="41"/>
    </row>
    <row r="4017" spans="5:10" s="34" customFormat="1" x14ac:dyDescent="0.35">
      <c r="E4017" s="35"/>
      <c r="J4017" s="41"/>
    </row>
    <row r="4018" spans="5:10" s="34" customFormat="1" x14ac:dyDescent="0.35">
      <c r="E4018" s="35"/>
      <c r="J4018" s="41"/>
    </row>
    <row r="4019" spans="5:10" s="34" customFormat="1" x14ac:dyDescent="0.35">
      <c r="E4019" s="35"/>
      <c r="J4019" s="41"/>
    </row>
    <row r="4020" spans="5:10" s="34" customFormat="1" x14ac:dyDescent="0.35">
      <c r="E4020" s="35"/>
      <c r="J4020" s="41"/>
    </row>
    <row r="4021" spans="5:10" s="34" customFormat="1" x14ac:dyDescent="0.35">
      <c r="E4021" s="35"/>
      <c r="J4021" s="41"/>
    </row>
    <row r="4022" spans="5:10" s="34" customFormat="1" x14ac:dyDescent="0.35">
      <c r="E4022" s="35"/>
      <c r="J4022" s="41"/>
    </row>
    <row r="4023" spans="5:10" s="34" customFormat="1" x14ac:dyDescent="0.35">
      <c r="E4023" s="35"/>
      <c r="J4023" s="41"/>
    </row>
    <row r="4024" spans="5:10" s="34" customFormat="1" x14ac:dyDescent="0.35">
      <c r="E4024" s="35"/>
      <c r="J4024" s="41"/>
    </row>
    <row r="4025" spans="5:10" s="34" customFormat="1" x14ac:dyDescent="0.35">
      <c r="E4025" s="35"/>
      <c r="J4025" s="41"/>
    </row>
    <row r="4026" spans="5:10" s="34" customFormat="1" x14ac:dyDescent="0.35">
      <c r="E4026" s="35"/>
      <c r="J4026" s="41"/>
    </row>
    <row r="4027" spans="5:10" s="34" customFormat="1" x14ac:dyDescent="0.35">
      <c r="E4027" s="35"/>
      <c r="J4027" s="41"/>
    </row>
    <row r="4028" spans="5:10" s="34" customFormat="1" x14ac:dyDescent="0.35">
      <c r="E4028" s="35"/>
      <c r="J4028" s="41"/>
    </row>
    <row r="4029" spans="5:10" s="34" customFormat="1" x14ac:dyDescent="0.35">
      <c r="E4029" s="35"/>
      <c r="J4029" s="41"/>
    </row>
    <row r="4030" spans="5:10" s="34" customFormat="1" x14ac:dyDescent="0.35">
      <c r="E4030" s="35"/>
      <c r="J4030" s="41"/>
    </row>
    <row r="4031" spans="5:10" s="34" customFormat="1" x14ac:dyDescent="0.35">
      <c r="E4031" s="35"/>
      <c r="J4031" s="41"/>
    </row>
    <row r="4032" spans="5:10" s="34" customFormat="1" x14ac:dyDescent="0.35">
      <c r="E4032" s="35"/>
      <c r="J4032" s="41"/>
    </row>
    <row r="4033" spans="5:10" s="34" customFormat="1" x14ac:dyDescent="0.35">
      <c r="E4033" s="35"/>
      <c r="J4033" s="41"/>
    </row>
    <row r="4034" spans="5:10" s="34" customFormat="1" x14ac:dyDescent="0.35">
      <c r="E4034" s="35"/>
      <c r="J4034" s="41"/>
    </row>
    <row r="4035" spans="5:10" s="34" customFormat="1" x14ac:dyDescent="0.35">
      <c r="E4035" s="35"/>
      <c r="J4035" s="41"/>
    </row>
    <row r="4036" spans="5:10" s="34" customFormat="1" x14ac:dyDescent="0.35">
      <c r="E4036" s="35"/>
      <c r="J4036" s="41"/>
    </row>
    <row r="4037" spans="5:10" s="34" customFormat="1" x14ac:dyDescent="0.35">
      <c r="E4037" s="35"/>
      <c r="J4037" s="41"/>
    </row>
    <row r="4038" spans="5:10" s="34" customFormat="1" x14ac:dyDescent="0.35">
      <c r="E4038" s="35"/>
      <c r="J4038" s="41"/>
    </row>
    <row r="4039" spans="5:10" s="34" customFormat="1" x14ac:dyDescent="0.35">
      <c r="E4039" s="35"/>
      <c r="J4039" s="41"/>
    </row>
    <row r="4040" spans="5:10" s="34" customFormat="1" x14ac:dyDescent="0.35">
      <c r="E4040" s="35"/>
      <c r="J4040" s="41"/>
    </row>
    <row r="4041" spans="5:10" s="34" customFormat="1" x14ac:dyDescent="0.35">
      <c r="E4041" s="35"/>
      <c r="J4041" s="41"/>
    </row>
    <row r="4042" spans="5:10" s="34" customFormat="1" x14ac:dyDescent="0.35">
      <c r="E4042" s="35"/>
      <c r="J4042" s="41"/>
    </row>
    <row r="4043" spans="5:10" s="34" customFormat="1" x14ac:dyDescent="0.35">
      <c r="E4043" s="35"/>
      <c r="J4043" s="41"/>
    </row>
    <row r="4044" spans="5:10" s="34" customFormat="1" x14ac:dyDescent="0.35">
      <c r="E4044" s="35"/>
      <c r="J4044" s="41"/>
    </row>
    <row r="4045" spans="5:10" s="34" customFormat="1" x14ac:dyDescent="0.35">
      <c r="E4045" s="35"/>
      <c r="J4045" s="41"/>
    </row>
    <row r="4046" spans="5:10" s="34" customFormat="1" x14ac:dyDescent="0.35">
      <c r="E4046" s="35"/>
      <c r="J4046" s="41"/>
    </row>
    <row r="4047" spans="5:10" s="34" customFormat="1" x14ac:dyDescent="0.35">
      <c r="E4047" s="35"/>
      <c r="J4047" s="41"/>
    </row>
    <row r="4048" spans="5:10" s="34" customFormat="1" x14ac:dyDescent="0.35">
      <c r="E4048" s="35"/>
      <c r="J4048" s="41"/>
    </row>
    <row r="4049" spans="5:10" s="34" customFormat="1" x14ac:dyDescent="0.35">
      <c r="E4049" s="35"/>
      <c r="J4049" s="41"/>
    </row>
    <row r="4050" spans="5:10" s="34" customFormat="1" x14ac:dyDescent="0.35">
      <c r="E4050" s="35"/>
      <c r="J4050" s="41"/>
    </row>
    <row r="4051" spans="5:10" s="34" customFormat="1" x14ac:dyDescent="0.35">
      <c r="E4051" s="35"/>
      <c r="J4051" s="41"/>
    </row>
    <row r="4052" spans="5:10" s="34" customFormat="1" x14ac:dyDescent="0.35">
      <c r="E4052" s="35"/>
      <c r="J4052" s="41"/>
    </row>
    <row r="4053" spans="5:10" s="34" customFormat="1" x14ac:dyDescent="0.35">
      <c r="E4053" s="35"/>
      <c r="J4053" s="41"/>
    </row>
    <row r="4054" spans="5:10" s="34" customFormat="1" x14ac:dyDescent="0.35">
      <c r="E4054" s="35"/>
      <c r="J4054" s="41"/>
    </row>
    <row r="4055" spans="5:10" s="34" customFormat="1" x14ac:dyDescent="0.35">
      <c r="E4055" s="35"/>
      <c r="J4055" s="41"/>
    </row>
    <row r="4056" spans="5:10" s="34" customFormat="1" x14ac:dyDescent="0.35">
      <c r="E4056" s="35"/>
      <c r="J4056" s="41"/>
    </row>
    <row r="4057" spans="5:10" s="34" customFormat="1" x14ac:dyDescent="0.35">
      <c r="E4057" s="35"/>
      <c r="J4057" s="41"/>
    </row>
    <row r="4058" spans="5:10" s="34" customFormat="1" x14ac:dyDescent="0.35">
      <c r="E4058" s="35"/>
      <c r="J4058" s="41"/>
    </row>
    <row r="4059" spans="5:10" s="34" customFormat="1" x14ac:dyDescent="0.35">
      <c r="E4059" s="35"/>
      <c r="J4059" s="41"/>
    </row>
    <row r="4060" spans="5:10" s="34" customFormat="1" x14ac:dyDescent="0.35">
      <c r="E4060" s="35"/>
      <c r="J4060" s="41"/>
    </row>
    <row r="4061" spans="5:10" s="34" customFormat="1" x14ac:dyDescent="0.35">
      <c r="E4061" s="35"/>
      <c r="J4061" s="41"/>
    </row>
    <row r="4062" spans="5:10" s="34" customFormat="1" x14ac:dyDescent="0.35">
      <c r="E4062" s="35"/>
      <c r="J4062" s="41"/>
    </row>
    <row r="4063" spans="5:10" s="34" customFormat="1" x14ac:dyDescent="0.35">
      <c r="E4063" s="35"/>
      <c r="J4063" s="41"/>
    </row>
    <row r="4064" spans="5:10" s="34" customFormat="1" x14ac:dyDescent="0.35">
      <c r="E4064" s="35"/>
      <c r="J4064" s="41"/>
    </row>
    <row r="4065" spans="5:10" s="34" customFormat="1" x14ac:dyDescent="0.35">
      <c r="E4065" s="35"/>
      <c r="J4065" s="41"/>
    </row>
    <row r="4066" spans="5:10" s="34" customFormat="1" x14ac:dyDescent="0.35">
      <c r="E4066" s="35"/>
      <c r="J4066" s="41"/>
    </row>
    <row r="4067" spans="5:10" s="34" customFormat="1" x14ac:dyDescent="0.35">
      <c r="E4067" s="35"/>
      <c r="J4067" s="41"/>
    </row>
    <row r="4068" spans="5:10" s="34" customFormat="1" x14ac:dyDescent="0.35">
      <c r="E4068" s="35"/>
      <c r="J4068" s="41"/>
    </row>
    <row r="4069" spans="5:10" s="34" customFormat="1" x14ac:dyDescent="0.35">
      <c r="E4069" s="35"/>
      <c r="J4069" s="41"/>
    </row>
    <row r="4070" spans="5:10" s="34" customFormat="1" x14ac:dyDescent="0.35">
      <c r="E4070" s="35"/>
      <c r="J4070" s="41"/>
    </row>
    <row r="4071" spans="5:10" s="34" customFormat="1" x14ac:dyDescent="0.35">
      <c r="E4071" s="35"/>
      <c r="J4071" s="41"/>
    </row>
    <row r="4072" spans="5:10" s="34" customFormat="1" x14ac:dyDescent="0.35">
      <c r="E4072" s="35"/>
      <c r="J4072" s="41"/>
    </row>
    <row r="4073" spans="5:10" s="34" customFormat="1" x14ac:dyDescent="0.35">
      <c r="E4073" s="35"/>
      <c r="J4073" s="41"/>
    </row>
    <row r="4074" spans="5:10" s="34" customFormat="1" x14ac:dyDescent="0.35">
      <c r="E4074" s="35"/>
      <c r="J4074" s="41"/>
    </row>
    <row r="4075" spans="5:10" s="34" customFormat="1" x14ac:dyDescent="0.35">
      <c r="E4075" s="35"/>
      <c r="J4075" s="41"/>
    </row>
    <row r="4076" spans="5:10" s="34" customFormat="1" x14ac:dyDescent="0.35">
      <c r="E4076" s="35"/>
      <c r="J4076" s="41"/>
    </row>
    <row r="4077" spans="5:10" s="34" customFormat="1" x14ac:dyDescent="0.35">
      <c r="E4077" s="35"/>
      <c r="J4077" s="41"/>
    </row>
    <row r="4078" spans="5:10" s="34" customFormat="1" x14ac:dyDescent="0.35">
      <c r="E4078" s="35"/>
      <c r="J4078" s="41"/>
    </row>
    <row r="4079" spans="5:10" s="34" customFormat="1" x14ac:dyDescent="0.35">
      <c r="E4079" s="35"/>
      <c r="J4079" s="41"/>
    </row>
    <row r="4080" spans="5:10" s="34" customFormat="1" x14ac:dyDescent="0.35">
      <c r="E4080" s="35"/>
      <c r="J4080" s="41"/>
    </row>
    <row r="4081" spans="5:10" s="34" customFormat="1" x14ac:dyDescent="0.35">
      <c r="E4081" s="35"/>
      <c r="J4081" s="41"/>
    </row>
    <row r="4082" spans="5:10" s="34" customFormat="1" x14ac:dyDescent="0.35">
      <c r="E4082" s="35"/>
      <c r="J4082" s="41"/>
    </row>
    <row r="4083" spans="5:10" s="34" customFormat="1" x14ac:dyDescent="0.35">
      <c r="E4083" s="35"/>
      <c r="J4083" s="41"/>
    </row>
    <row r="4084" spans="5:10" s="34" customFormat="1" x14ac:dyDescent="0.35">
      <c r="E4084" s="35"/>
      <c r="J4084" s="41"/>
    </row>
    <row r="4085" spans="5:10" s="34" customFormat="1" x14ac:dyDescent="0.35">
      <c r="E4085" s="35"/>
      <c r="J4085" s="41"/>
    </row>
    <row r="4086" spans="5:10" s="34" customFormat="1" x14ac:dyDescent="0.35">
      <c r="E4086" s="35"/>
      <c r="J4086" s="41"/>
    </row>
    <row r="4087" spans="5:10" s="34" customFormat="1" x14ac:dyDescent="0.35">
      <c r="E4087" s="35"/>
      <c r="J4087" s="41"/>
    </row>
    <row r="4088" spans="5:10" s="34" customFormat="1" x14ac:dyDescent="0.35">
      <c r="E4088" s="35"/>
      <c r="J4088" s="41"/>
    </row>
    <row r="4089" spans="5:10" s="34" customFormat="1" x14ac:dyDescent="0.35">
      <c r="E4089" s="35"/>
      <c r="J4089" s="41"/>
    </row>
    <row r="4090" spans="5:10" s="34" customFormat="1" x14ac:dyDescent="0.35">
      <c r="E4090" s="35"/>
      <c r="J4090" s="41"/>
    </row>
    <row r="4091" spans="5:10" s="34" customFormat="1" x14ac:dyDescent="0.35">
      <c r="E4091" s="35"/>
      <c r="J4091" s="41"/>
    </row>
    <row r="4092" spans="5:10" s="34" customFormat="1" x14ac:dyDescent="0.35">
      <c r="E4092" s="35"/>
      <c r="J4092" s="41"/>
    </row>
    <row r="4093" spans="5:10" s="34" customFormat="1" x14ac:dyDescent="0.35">
      <c r="E4093" s="35"/>
      <c r="J4093" s="41"/>
    </row>
    <row r="4094" spans="5:10" s="34" customFormat="1" x14ac:dyDescent="0.35">
      <c r="E4094" s="35"/>
      <c r="J4094" s="41"/>
    </row>
    <row r="4095" spans="5:10" s="34" customFormat="1" x14ac:dyDescent="0.35">
      <c r="E4095" s="35"/>
      <c r="J4095" s="41"/>
    </row>
    <row r="4096" spans="5:10" s="34" customFormat="1" x14ac:dyDescent="0.35">
      <c r="E4096" s="35"/>
      <c r="J4096" s="41"/>
    </row>
    <row r="4097" spans="5:10" s="34" customFormat="1" x14ac:dyDescent="0.35">
      <c r="E4097" s="35"/>
      <c r="J4097" s="41"/>
    </row>
    <row r="4098" spans="5:10" s="34" customFormat="1" x14ac:dyDescent="0.35">
      <c r="E4098" s="35"/>
      <c r="J4098" s="41"/>
    </row>
    <row r="4099" spans="5:10" s="34" customFormat="1" x14ac:dyDescent="0.35">
      <c r="E4099" s="35"/>
      <c r="J4099" s="41"/>
    </row>
    <row r="4100" spans="5:10" s="34" customFormat="1" x14ac:dyDescent="0.35">
      <c r="E4100" s="35"/>
      <c r="J4100" s="41"/>
    </row>
    <row r="4101" spans="5:10" s="34" customFormat="1" x14ac:dyDescent="0.35">
      <c r="E4101" s="35"/>
      <c r="J4101" s="41"/>
    </row>
    <row r="4102" spans="5:10" s="34" customFormat="1" x14ac:dyDescent="0.35">
      <c r="E4102" s="35"/>
      <c r="J4102" s="41"/>
    </row>
    <row r="4103" spans="5:10" s="34" customFormat="1" x14ac:dyDescent="0.35">
      <c r="E4103" s="35"/>
      <c r="J4103" s="41"/>
    </row>
    <row r="4104" spans="5:10" s="34" customFormat="1" x14ac:dyDescent="0.35">
      <c r="E4104" s="35"/>
      <c r="J4104" s="41"/>
    </row>
    <row r="4105" spans="5:10" s="34" customFormat="1" x14ac:dyDescent="0.35">
      <c r="E4105" s="35"/>
      <c r="J4105" s="41"/>
    </row>
    <row r="4106" spans="5:10" s="34" customFormat="1" x14ac:dyDescent="0.35">
      <c r="E4106" s="35"/>
      <c r="J4106" s="41"/>
    </row>
    <row r="4107" spans="5:10" s="34" customFormat="1" x14ac:dyDescent="0.35">
      <c r="E4107" s="35"/>
      <c r="J4107" s="41"/>
    </row>
    <row r="4108" spans="5:10" s="34" customFormat="1" x14ac:dyDescent="0.35">
      <c r="E4108" s="35"/>
      <c r="J4108" s="41"/>
    </row>
    <row r="4109" spans="5:10" s="34" customFormat="1" x14ac:dyDescent="0.35">
      <c r="E4109" s="35"/>
      <c r="J4109" s="41"/>
    </row>
    <row r="4110" spans="5:10" s="34" customFormat="1" x14ac:dyDescent="0.35">
      <c r="E4110" s="35"/>
      <c r="J4110" s="41"/>
    </row>
    <row r="4111" spans="5:10" s="34" customFormat="1" x14ac:dyDescent="0.35">
      <c r="E4111" s="35"/>
      <c r="J4111" s="41"/>
    </row>
    <row r="4112" spans="5:10" s="34" customFormat="1" x14ac:dyDescent="0.35">
      <c r="E4112" s="35"/>
      <c r="J4112" s="41"/>
    </row>
    <row r="4113" spans="5:10" s="34" customFormat="1" x14ac:dyDescent="0.35">
      <c r="E4113" s="35"/>
      <c r="J4113" s="41"/>
    </row>
    <row r="4114" spans="5:10" s="34" customFormat="1" x14ac:dyDescent="0.35">
      <c r="E4114" s="35"/>
      <c r="J4114" s="41"/>
    </row>
    <row r="4115" spans="5:10" s="34" customFormat="1" x14ac:dyDescent="0.35">
      <c r="E4115" s="35"/>
      <c r="J4115" s="41"/>
    </row>
    <row r="4116" spans="5:10" s="34" customFormat="1" x14ac:dyDescent="0.35">
      <c r="E4116" s="35"/>
      <c r="J4116" s="41"/>
    </row>
    <row r="4117" spans="5:10" s="34" customFormat="1" x14ac:dyDescent="0.35">
      <c r="E4117" s="35"/>
      <c r="J4117" s="41"/>
    </row>
    <row r="4118" spans="5:10" s="34" customFormat="1" x14ac:dyDescent="0.35">
      <c r="E4118" s="35"/>
      <c r="J4118" s="41"/>
    </row>
    <row r="4119" spans="5:10" s="34" customFormat="1" x14ac:dyDescent="0.35">
      <c r="E4119" s="35"/>
      <c r="J4119" s="41"/>
    </row>
    <row r="4120" spans="5:10" s="34" customFormat="1" x14ac:dyDescent="0.35">
      <c r="E4120" s="35"/>
      <c r="J4120" s="41"/>
    </row>
    <row r="4121" spans="5:10" s="34" customFormat="1" x14ac:dyDescent="0.35">
      <c r="E4121" s="35"/>
      <c r="J4121" s="41"/>
    </row>
    <row r="4122" spans="5:10" s="34" customFormat="1" x14ac:dyDescent="0.35">
      <c r="E4122" s="35"/>
      <c r="J4122" s="41"/>
    </row>
    <row r="4123" spans="5:10" s="34" customFormat="1" x14ac:dyDescent="0.35">
      <c r="E4123" s="35"/>
      <c r="J4123" s="41"/>
    </row>
    <row r="4124" spans="5:10" s="34" customFormat="1" x14ac:dyDescent="0.35">
      <c r="E4124" s="35"/>
      <c r="J4124" s="41"/>
    </row>
    <row r="4125" spans="5:10" s="34" customFormat="1" x14ac:dyDescent="0.35">
      <c r="E4125" s="35"/>
      <c r="J4125" s="41"/>
    </row>
    <row r="4126" spans="5:10" s="34" customFormat="1" x14ac:dyDescent="0.35">
      <c r="E4126" s="35"/>
      <c r="J4126" s="41"/>
    </row>
    <row r="4127" spans="5:10" s="34" customFormat="1" x14ac:dyDescent="0.35">
      <c r="E4127" s="35"/>
      <c r="J4127" s="41"/>
    </row>
    <row r="4128" spans="5:10" s="34" customFormat="1" x14ac:dyDescent="0.35">
      <c r="E4128" s="35"/>
      <c r="J4128" s="41"/>
    </row>
    <row r="4129" spans="5:10" s="34" customFormat="1" x14ac:dyDescent="0.35">
      <c r="E4129" s="35"/>
      <c r="J4129" s="41"/>
    </row>
    <row r="4130" spans="5:10" s="34" customFormat="1" x14ac:dyDescent="0.35">
      <c r="E4130" s="35"/>
      <c r="J4130" s="41"/>
    </row>
    <row r="4131" spans="5:10" s="34" customFormat="1" x14ac:dyDescent="0.35">
      <c r="E4131" s="35"/>
      <c r="J4131" s="41"/>
    </row>
    <row r="4132" spans="5:10" s="34" customFormat="1" x14ac:dyDescent="0.35">
      <c r="E4132" s="35"/>
      <c r="J4132" s="41"/>
    </row>
    <row r="4133" spans="5:10" s="34" customFormat="1" x14ac:dyDescent="0.35">
      <c r="E4133" s="35"/>
      <c r="J4133" s="41"/>
    </row>
    <row r="4134" spans="5:10" s="34" customFormat="1" x14ac:dyDescent="0.35">
      <c r="E4134" s="35"/>
      <c r="J4134" s="41"/>
    </row>
    <row r="4135" spans="5:10" s="34" customFormat="1" x14ac:dyDescent="0.35">
      <c r="E4135" s="35"/>
      <c r="J4135" s="41"/>
    </row>
    <row r="4136" spans="5:10" s="34" customFormat="1" x14ac:dyDescent="0.35">
      <c r="E4136" s="35"/>
      <c r="J4136" s="41"/>
    </row>
    <row r="4137" spans="5:10" s="34" customFormat="1" x14ac:dyDescent="0.35">
      <c r="E4137" s="35"/>
      <c r="J4137" s="41"/>
    </row>
    <row r="4138" spans="5:10" s="34" customFormat="1" x14ac:dyDescent="0.35">
      <c r="E4138" s="35"/>
      <c r="J4138" s="41"/>
    </row>
    <row r="4139" spans="5:10" s="34" customFormat="1" x14ac:dyDescent="0.35">
      <c r="E4139" s="35"/>
      <c r="J4139" s="41"/>
    </row>
    <row r="4140" spans="5:10" s="34" customFormat="1" x14ac:dyDescent="0.35">
      <c r="E4140" s="35"/>
      <c r="J4140" s="41"/>
    </row>
    <row r="4141" spans="5:10" s="34" customFormat="1" x14ac:dyDescent="0.35">
      <c r="E4141" s="35"/>
      <c r="J4141" s="41"/>
    </row>
    <row r="4142" spans="5:10" s="34" customFormat="1" x14ac:dyDescent="0.35">
      <c r="E4142" s="35"/>
      <c r="J4142" s="41"/>
    </row>
    <row r="4143" spans="5:10" s="34" customFormat="1" x14ac:dyDescent="0.35">
      <c r="E4143" s="35"/>
      <c r="J4143" s="41"/>
    </row>
    <row r="4144" spans="5:10" s="34" customFormat="1" x14ac:dyDescent="0.35">
      <c r="E4144" s="35"/>
      <c r="J4144" s="41"/>
    </row>
    <row r="4145" spans="5:10" s="34" customFormat="1" x14ac:dyDescent="0.35">
      <c r="E4145" s="35"/>
      <c r="J4145" s="41"/>
    </row>
    <row r="4146" spans="5:10" s="34" customFormat="1" x14ac:dyDescent="0.35">
      <c r="E4146" s="35"/>
      <c r="J4146" s="41"/>
    </row>
    <row r="4147" spans="5:10" s="34" customFormat="1" x14ac:dyDescent="0.35">
      <c r="E4147" s="35"/>
      <c r="J4147" s="41"/>
    </row>
    <row r="4148" spans="5:10" s="34" customFormat="1" x14ac:dyDescent="0.35">
      <c r="E4148" s="35"/>
      <c r="J4148" s="41"/>
    </row>
    <row r="4149" spans="5:10" s="34" customFormat="1" x14ac:dyDescent="0.35">
      <c r="E4149" s="35"/>
      <c r="J4149" s="41"/>
    </row>
    <row r="4150" spans="5:10" s="34" customFormat="1" x14ac:dyDescent="0.35">
      <c r="E4150" s="35"/>
      <c r="J4150" s="41"/>
    </row>
    <row r="4151" spans="5:10" s="34" customFormat="1" x14ac:dyDescent="0.35">
      <c r="E4151" s="35"/>
      <c r="J4151" s="41"/>
    </row>
    <row r="4152" spans="5:10" s="34" customFormat="1" x14ac:dyDescent="0.35">
      <c r="E4152" s="35"/>
      <c r="J4152" s="41"/>
    </row>
    <row r="4153" spans="5:10" s="34" customFormat="1" x14ac:dyDescent="0.35">
      <c r="E4153" s="35"/>
      <c r="J4153" s="41"/>
    </row>
    <row r="4154" spans="5:10" s="34" customFormat="1" x14ac:dyDescent="0.35">
      <c r="E4154" s="35"/>
      <c r="J4154" s="41"/>
    </row>
    <row r="4155" spans="5:10" s="34" customFormat="1" x14ac:dyDescent="0.35">
      <c r="E4155" s="35"/>
      <c r="J4155" s="41"/>
    </row>
    <row r="4156" spans="5:10" s="34" customFormat="1" x14ac:dyDescent="0.35">
      <c r="E4156" s="35"/>
      <c r="J4156" s="41"/>
    </row>
    <row r="4157" spans="5:10" s="34" customFormat="1" x14ac:dyDescent="0.35">
      <c r="E4157" s="35"/>
      <c r="J4157" s="41"/>
    </row>
    <row r="4158" spans="5:10" s="34" customFormat="1" x14ac:dyDescent="0.35">
      <c r="E4158" s="35"/>
      <c r="J4158" s="41"/>
    </row>
    <row r="4159" spans="5:10" s="34" customFormat="1" x14ac:dyDescent="0.35">
      <c r="E4159" s="35"/>
      <c r="J4159" s="41"/>
    </row>
    <row r="4160" spans="5:10" s="34" customFormat="1" x14ac:dyDescent="0.35">
      <c r="E4160" s="35"/>
      <c r="J4160" s="41"/>
    </row>
    <row r="4161" spans="5:10" s="34" customFormat="1" x14ac:dyDescent="0.35">
      <c r="E4161" s="35"/>
      <c r="J4161" s="41"/>
    </row>
    <row r="4162" spans="5:10" s="34" customFormat="1" x14ac:dyDescent="0.35">
      <c r="E4162" s="35"/>
      <c r="J4162" s="41"/>
    </row>
    <row r="4163" spans="5:10" s="34" customFormat="1" x14ac:dyDescent="0.35">
      <c r="E4163" s="35"/>
      <c r="J4163" s="41"/>
    </row>
    <row r="4164" spans="5:10" s="34" customFormat="1" x14ac:dyDescent="0.35">
      <c r="E4164" s="35"/>
      <c r="J4164" s="41"/>
    </row>
    <row r="4165" spans="5:10" s="34" customFormat="1" x14ac:dyDescent="0.35">
      <c r="E4165" s="35"/>
      <c r="J4165" s="41"/>
    </row>
    <row r="4166" spans="5:10" s="34" customFormat="1" x14ac:dyDescent="0.35">
      <c r="E4166" s="35"/>
      <c r="J4166" s="41"/>
    </row>
    <row r="4167" spans="5:10" s="34" customFormat="1" x14ac:dyDescent="0.35">
      <c r="E4167" s="35"/>
      <c r="J4167" s="41"/>
    </row>
    <row r="4168" spans="5:10" s="34" customFormat="1" x14ac:dyDescent="0.35">
      <c r="E4168" s="35"/>
      <c r="J4168" s="41"/>
    </row>
    <row r="4169" spans="5:10" s="34" customFormat="1" x14ac:dyDescent="0.35">
      <c r="E4169" s="35"/>
      <c r="J4169" s="41"/>
    </row>
    <row r="4170" spans="5:10" s="34" customFormat="1" x14ac:dyDescent="0.35">
      <c r="E4170" s="35"/>
      <c r="J4170" s="41"/>
    </row>
    <row r="4171" spans="5:10" s="34" customFormat="1" x14ac:dyDescent="0.35">
      <c r="E4171" s="35"/>
      <c r="J4171" s="41"/>
    </row>
    <row r="4172" spans="5:10" s="34" customFormat="1" x14ac:dyDescent="0.35">
      <c r="E4172" s="35"/>
      <c r="J4172" s="41"/>
    </row>
    <row r="4173" spans="5:10" s="34" customFormat="1" x14ac:dyDescent="0.35">
      <c r="E4173" s="35"/>
      <c r="J4173" s="41"/>
    </row>
    <row r="4174" spans="5:10" s="34" customFormat="1" x14ac:dyDescent="0.35">
      <c r="E4174" s="35"/>
      <c r="J4174" s="41"/>
    </row>
    <row r="4175" spans="5:10" s="34" customFormat="1" x14ac:dyDescent="0.35">
      <c r="E4175" s="35"/>
      <c r="J4175" s="41"/>
    </row>
    <row r="4176" spans="5:10" s="34" customFormat="1" x14ac:dyDescent="0.35">
      <c r="E4176" s="35"/>
      <c r="J4176" s="41"/>
    </row>
    <row r="4177" spans="5:10" s="34" customFormat="1" x14ac:dyDescent="0.35">
      <c r="E4177" s="35"/>
      <c r="J4177" s="41"/>
    </row>
    <row r="4178" spans="5:10" s="34" customFormat="1" x14ac:dyDescent="0.35">
      <c r="E4178" s="35"/>
      <c r="J4178" s="41"/>
    </row>
    <row r="4179" spans="5:10" s="34" customFormat="1" x14ac:dyDescent="0.35">
      <c r="E4179" s="35"/>
      <c r="J4179" s="41"/>
    </row>
    <row r="4180" spans="5:10" s="34" customFormat="1" x14ac:dyDescent="0.35">
      <c r="E4180" s="35"/>
      <c r="J4180" s="41"/>
    </row>
    <row r="4181" spans="5:10" s="34" customFormat="1" x14ac:dyDescent="0.35">
      <c r="E4181" s="35"/>
      <c r="J4181" s="41"/>
    </row>
    <row r="4182" spans="5:10" s="34" customFormat="1" x14ac:dyDescent="0.35">
      <c r="E4182" s="35"/>
      <c r="J4182" s="41"/>
    </row>
    <row r="4183" spans="5:10" s="34" customFormat="1" x14ac:dyDescent="0.35">
      <c r="E4183" s="35"/>
      <c r="J4183" s="41"/>
    </row>
    <row r="4184" spans="5:10" s="34" customFormat="1" x14ac:dyDescent="0.35">
      <c r="E4184" s="35"/>
      <c r="J4184" s="41"/>
    </row>
    <row r="4185" spans="5:10" s="34" customFormat="1" x14ac:dyDescent="0.35">
      <c r="E4185" s="35"/>
      <c r="J4185" s="41"/>
    </row>
    <row r="4186" spans="5:10" s="34" customFormat="1" x14ac:dyDescent="0.35">
      <c r="E4186" s="35"/>
      <c r="J4186" s="41"/>
    </row>
    <row r="4187" spans="5:10" s="34" customFormat="1" x14ac:dyDescent="0.35">
      <c r="E4187" s="35"/>
      <c r="J4187" s="41"/>
    </row>
    <row r="4188" spans="5:10" s="34" customFormat="1" x14ac:dyDescent="0.35">
      <c r="E4188" s="35"/>
      <c r="J4188" s="41"/>
    </row>
    <row r="4189" spans="5:10" s="34" customFormat="1" x14ac:dyDescent="0.35">
      <c r="E4189" s="35"/>
      <c r="J4189" s="41"/>
    </row>
    <row r="4190" spans="5:10" s="34" customFormat="1" x14ac:dyDescent="0.35">
      <c r="E4190" s="35"/>
      <c r="J4190" s="41"/>
    </row>
    <row r="4191" spans="5:10" s="34" customFormat="1" x14ac:dyDescent="0.35">
      <c r="E4191" s="35"/>
      <c r="J4191" s="41"/>
    </row>
    <row r="4192" spans="5:10" s="34" customFormat="1" x14ac:dyDescent="0.35">
      <c r="E4192" s="35"/>
      <c r="J4192" s="41"/>
    </row>
    <row r="4193" spans="5:10" s="34" customFormat="1" x14ac:dyDescent="0.35">
      <c r="E4193" s="35"/>
      <c r="J4193" s="41"/>
    </row>
    <row r="4194" spans="5:10" s="34" customFormat="1" x14ac:dyDescent="0.35">
      <c r="E4194" s="35"/>
      <c r="J4194" s="41"/>
    </row>
    <row r="4195" spans="5:10" s="34" customFormat="1" x14ac:dyDescent="0.35">
      <c r="E4195" s="35"/>
      <c r="J4195" s="41"/>
    </row>
    <row r="4196" spans="5:10" s="34" customFormat="1" x14ac:dyDescent="0.35">
      <c r="E4196" s="35"/>
      <c r="J4196" s="41"/>
    </row>
    <row r="4197" spans="5:10" s="34" customFormat="1" x14ac:dyDescent="0.35">
      <c r="E4197" s="35"/>
      <c r="J4197" s="41"/>
    </row>
    <row r="4198" spans="5:10" s="34" customFormat="1" x14ac:dyDescent="0.35">
      <c r="E4198" s="35"/>
      <c r="J4198" s="41"/>
    </row>
    <row r="4199" spans="5:10" s="34" customFormat="1" x14ac:dyDescent="0.35">
      <c r="E4199" s="35"/>
      <c r="J4199" s="41"/>
    </row>
    <row r="4200" spans="5:10" s="34" customFormat="1" x14ac:dyDescent="0.35">
      <c r="E4200" s="35"/>
      <c r="J4200" s="41"/>
    </row>
    <row r="4201" spans="5:10" s="34" customFormat="1" x14ac:dyDescent="0.35">
      <c r="E4201" s="35"/>
      <c r="J4201" s="41"/>
    </row>
    <row r="4202" spans="5:10" s="34" customFormat="1" x14ac:dyDescent="0.35">
      <c r="E4202" s="35"/>
      <c r="J4202" s="41"/>
    </row>
    <row r="4203" spans="5:10" s="34" customFormat="1" x14ac:dyDescent="0.35">
      <c r="E4203" s="35"/>
      <c r="J4203" s="41"/>
    </row>
    <row r="4204" spans="5:10" s="34" customFormat="1" x14ac:dyDescent="0.35">
      <c r="E4204" s="35"/>
      <c r="J4204" s="41"/>
    </row>
    <row r="4205" spans="5:10" s="34" customFormat="1" x14ac:dyDescent="0.35">
      <c r="E4205" s="35"/>
      <c r="J4205" s="41"/>
    </row>
    <row r="4206" spans="5:10" s="34" customFormat="1" x14ac:dyDescent="0.35">
      <c r="E4206" s="35"/>
      <c r="J4206" s="41"/>
    </row>
    <row r="4207" spans="5:10" s="34" customFormat="1" x14ac:dyDescent="0.35">
      <c r="E4207" s="35"/>
      <c r="J4207" s="41"/>
    </row>
    <row r="4208" spans="5:10" s="34" customFormat="1" x14ac:dyDescent="0.35">
      <c r="E4208" s="35"/>
      <c r="J4208" s="41"/>
    </row>
    <row r="4209" spans="5:10" s="34" customFormat="1" x14ac:dyDescent="0.35">
      <c r="E4209" s="35"/>
      <c r="J4209" s="41"/>
    </row>
    <row r="4210" spans="5:10" s="34" customFormat="1" x14ac:dyDescent="0.35">
      <c r="E4210" s="35"/>
      <c r="J4210" s="41"/>
    </row>
    <row r="4211" spans="5:10" s="34" customFormat="1" x14ac:dyDescent="0.35">
      <c r="E4211" s="35"/>
      <c r="J4211" s="41"/>
    </row>
    <row r="4212" spans="5:10" s="34" customFormat="1" x14ac:dyDescent="0.35">
      <c r="E4212" s="35"/>
      <c r="J4212" s="41"/>
    </row>
    <row r="4213" spans="5:10" s="34" customFormat="1" x14ac:dyDescent="0.35">
      <c r="E4213" s="35"/>
      <c r="J4213" s="41"/>
    </row>
    <row r="4214" spans="5:10" s="34" customFormat="1" x14ac:dyDescent="0.35">
      <c r="E4214" s="35"/>
      <c r="J4214" s="41"/>
    </row>
    <row r="4215" spans="5:10" s="34" customFormat="1" x14ac:dyDescent="0.35">
      <c r="E4215" s="35"/>
      <c r="J4215" s="41"/>
    </row>
    <row r="4216" spans="5:10" s="34" customFormat="1" x14ac:dyDescent="0.35">
      <c r="E4216" s="35"/>
      <c r="J4216" s="41"/>
    </row>
    <row r="4217" spans="5:10" s="34" customFormat="1" x14ac:dyDescent="0.35">
      <c r="E4217" s="35"/>
      <c r="J4217" s="41"/>
    </row>
    <row r="4218" spans="5:10" s="34" customFormat="1" x14ac:dyDescent="0.35">
      <c r="E4218" s="35"/>
      <c r="J4218" s="41"/>
    </row>
    <row r="4219" spans="5:10" s="34" customFormat="1" x14ac:dyDescent="0.35">
      <c r="E4219" s="35"/>
      <c r="J4219" s="41"/>
    </row>
    <row r="4220" spans="5:10" s="34" customFormat="1" x14ac:dyDescent="0.35">
      <c r="E4220" s="35"/>
      <c r="J4220" s="41"/>
    </row>
    <row r="4221" spans="5:10" s="34" customFormat="1" x14ac:dyDescent="0.35">
      <c r="E4221" s="35"/>
      <c r="J4221" s="41"/>
    </row>
    <row r="4222" spans="5:10" s="34" customFormat="1" x14ac:dyDescent="0.35">
      <c r="E4222" s="35"/>
      <c r="J4222" s="41"/>
    </row>
    <row r="4223" spans="5:10" s="34" customFormat="1" x14ac:dyDescent="0.35">
      <c r="E4223" s="35"/>
      <c r="J4223" s="41"/>
    </row>
    <row r="4224" spans="5:10" s="34" customFormat="1" x14ac:dyDescent="0.35">
      <c r="E4224" s="35"/>
      <c r="J4224" s="41"/>
    </row>
    <row r="4225" spans="5:10" s="34" customFormat="1" x14ac:dyDescent="0.35">
      <c r="E4225" s="35"/>
      <c r="J4225" s="41"/>
    </row>
    <row r="4226" spans="5:10" s="34" customFormat="1" x14ac:dyDescent="0.35">
      <c r="E4226" s="35"/>
      <c r="J4226" s="41"/>
    </row>
    <row r="4227" spans="5:10" s="34" customFormat="1" x14ac:dyDescent="0.35">
      <c r="E4227" s="35"/>
      <c r="J4227" s="41"/>
    </row>
    <row r="4228" spans="5:10" s="34" customFormat="1" x14ac:dyDescent="0.35">
      <c r="E4228" s="35"/>
      <c r="J4228" s="41"/>
    </row>
    <row r="4229" spans="5:10" s="34" customFormat="1" x14ac:dyDescent="0.35">
      <c r="E4229" s="35"/>
      <c r="J4229" s="41"/>
    </row>
    <row r="4230" spans="5:10" s="34" customFormat="1" x14ac:dyDescent="0.35">
      <c r="E4230" s="35"/>
      <c r="J4230" s="41"/>
    </row>
    <row r="4231" spans="5:10" s="34" customFormat="1" x14ac:dyDescent="0.35">
      <c r="E4231" s="35"/>
      <c r="J4231" s="41"/>
    </row>
    <row r="4232" spans="5:10" s="34" customFormat="1" x14ac:dyDescent="0.35">
      <c r="E4232" s="35"/>
      <c r="J4232" s="41"/>
    </row>
    <row r="4233" spans="5:10" s="34" customFormat="1" x14ac:dyDescent="0.35">
      <c r="E4233" s="35"/>
      <c r="J4233" s="41"/>
    </row>
    <row r="4234" spans="5:10" s="34" customFormat="1" x14ac:dyDescent="0.35">
      <c r="E4234" s="35"/>
      <c r="J4234" s="41"/>
    </row>
    <row r="4235" spans="5:10" s="34" customFormat="1" x14ac:dyDescent="0.35">
      <c r="E4235" s="35"/>
      <c r="J4235" s="41"/>
    </row>
    <row r="4236" spans="5:10" s="34" customFormat="1" x14ac:dyDescent="0.35">
      <c r="E4236" s="35"/>
      <c r="J4236" s="41"/>
    </row>
    <row r="4237" spans="5:10" s="34" customFormat="1" x14ac:dyDescent="0.35">
      <c r="E4237" s="35"/>
      <c r="J4237" s="41"/>
    </row>
    <row r="4238" spans="5:10" s="34" customFormat="1" x14ac:dyDescent="0.35">
      <c r="E4238" s="35"/>
      <c r="J4238" s="41"/>
    </row>
    <row r="4239" spans="5:10" s="34" customFormat="1" x14ac:dyDescent="0.35">
      <c r="E4239" s="35"/>
      <c r="J4239" s="41"/>
    </row>
    <row r="4240" spans="5:10" s="34" customFormat="1" x14ac:dyDescent="0.35">
      <c r="E4240" s="35"/>
      <c r="J4240" s="41"/>
    </row>
    <row r="4241" spans="5:10" s="34" customFormat="1" x14ac:dyDescent="0.35">
      <c r="E4241" s="35"/>
      <c r="J4241" s="41"/>
    </row>
    <row r="4242" spans="5:10" s="34" customFormat="1" x14ac:dyDescent="0.35">
      <c r="E4242" s="35"/>
      <c r="J4242" s="41"/>
    </row>
    <row r="4243" spans="5:10" s="34" customFormat="1" x14ac:dyDescent="0.35">
      <c r="E4243" s="35"/>
      <c r="J4243" s="41"/>
    </row>
    <row r="4244" spans="5:10" s="34" customFormat="1" x14ac:dyDescent="0.35">
      <c r="E4244" s="35"/>
      <c r="J4244" s="41"/>
    </row>
    <row r="4245" spans="5:10" s="34" customFormat="1" x14ac:dyDescent="0.35">
      <c r="E4245" s="35"/>
      <c r="J4245" s="41"/>
    </row>
    <row r="4246" spans="5:10" s="34" customFormat="1" x14ac:dyDescent="0.35">
      <c r="E4246" s="35"/>
      <c r="J4246" s="41"/>
    </row>
    <row r="4247" spans="5:10" s="34" customFormat="1" x14ac:dyDescent="0.35">
      <c r="E4247" s="35"/>
      <c r="J4247" s="41"/>
    </row>
    <row r="4248" spans="5:10" s="34" customFormat="1" x14ac:dyDescent="0.35">
      <c r="E4248" s="35"/>
      <c r="J4248" s="41"/>
    </row>
    <row r="4249" spans="5:10" s="34" customFormat="1" x14ac:dyDescent="0.35">
      <c r="E4249" s="35"/>
      <c r="J4249" s="41"/>
    </row>
    <row r="4250" spans="5:10" s="34" customFormat="1" x14ac:dyDescent="0.35">
      <c r="E4250" s="35"/>
      <c r="J4250" s="41"/>
    </row>
    <row r="4251" spans="5:10" s="34" customFormat="1" x14ac:dyDescent="0.35">
      <c r="E4251" s="35"/>
      <c r="J4251" s="41"/>
    </row>
    <row r="4252" spans="5:10" s="34" customFormat="1" x14ac:dyDescent="0.35">
      <c r="E4252" s="35"/>
      <c r="J4252" s="41"/>
    </row>
    <row r="4253" spans="5:10" s="34" customFormat="1" x14ac:dyDescent="0.35">
      <c r="E4253" s="35"/>
      <c r="J4253" s="41"/>
    </row>
    <row r="4254" spans="5:10" s="34" customFormat="1" x14ac:dyDescent="0.35">
      <c r="E4254" s="35"/>
      <c r="J4254" s="41"/>
    </row>
    <row r="4255" spans="5:10" s="34" customFormat="1" x14ac:dyDescent="0.35">
      <c r="E4255" s="35"/>
      <c r="J4255" s="41"/>
    </row>
    <row r="4256" spans="5:10" s="34" customFormat="1" x14ac:dyDescent="0.35">
      <c r="E4256" s="35"/>
      <c r="J4256" s="41"/>
    </row>
    <row r="4257" spans="5:10" s="34" customFormat="1" x14ac:dyDescent="0.35">
      <c r="E4257" s="35"/>
      <c r="J4257" s="41"/>
    </row>
    <row r="4258" spans="5:10" s="34" customFormat="1" x14ac:dyDescent="0.35">
      <c r="E4258" s="35"/>
      <c r="J4258" s="41"/>
    </row>
    <row r="4259" spans="5:10" s="34" customFormat="1" x14ac:dyDescent="0.35">
      <c r="E4259" s="35"/>
      <c r="J4259" s="41"/>
    </row>
    <row r="4260" spans="5:10" s="34" customFormat="1" x14ac:dyDescent="0.35">
      <c r="E4260" s="35"/>
      <c r="J4260" s="41"/>
    </row>
    <row r="4261" spans="5:10" s="34" customFormat="1" x14ac:dyDescent="0.35">
      <c r="E4261" s="35"/>
      <c r="J4261" s="41"/>
    </row>
    <row r="4262" spans="5:10" s="34" customFormat="1" x14ac:dyDescent="0.35">
      <c r="E4262" s="35"/>
      <c r="J4262" s="41"/>
    </row>
    <row r="4263" spans="5:10" s="34" customFormat="1" x14ac:dyDescent="0.35">
      <c r="E4263" s="35"/>
      <c r="J4263" s="41"/>
    </row>
    <row r="4264" spans="5:10" s="34" customFormat="1" x14ac:dyDescent="0.35">
      <c r="E4264" s="35"/>
      <c r="J4264" s="41"/>
    </row>
    <row r="4265" spans="5:10" s="34" customFormat="1" x14ac:dyDescent="0.35">
      <c r="E4265" s="35"/>
      <c r="J4265" s="41"/>
    </row>
    <row r="4266" spans="5:10" s="34" customFormat="1" x14ac:dyDescent="0.35">
      <c r="E4266" s="35"/>
      <c r="J4266" s="41"/>
    </row>
    <row r="4267" spans="5:10" s="34" customFormat="1" x14ac:dyDescent="0.35">
      <c r="E4267" s="35"/>
      <c r="J4267" s="41"/>
    </row>
    <row r="4268" spans="5:10" s="34" customFormat="1" x14ac:dyDescent="0.35">
      <c r="E4268" s="35"/>
      <c r="J4268" s="41"/>
    </row>
    <row r="4269" spans="5:10" s="34" customFormat="1" x14ac:dyDescent="0.35">
      <c r="E4269" s="35"/>
      <c r="J4269" s="41"/>
    </row>
    <row r="4270" spans="5:10" s="34" customFormat="1" x14ac:dyDescent="0.35">
      <c r="E4270" s="35"/>
      <c r="J4270" s="41"/>
    </row>
    <row r="4271" spans="5:10" s="34" customFormat="1" x14ac:dyDescent="0.35">
      <c r="E4271" s="35"/>
      <c r="J4271" s="41"/>
    </row>
    <row r="4272" spans="5:10" s="34" customFormat="1" x14ac:dyDescent="0.35">
      <c r="E4272" s="35"/>
      <c r="J4272" s="41"/>
    </row>
    <row r="4273" spans="5:10" s="34" customFormat="1" x14ac:dyDescent="0.35">
      <c r="E4273" s="35"/>
      <c r="J4273" s="41"/>
    </row>
    <row r="4274" spans="5:10" s="34" customFormat="1" x14ac:dyDescent="0.35">
      <c r="E4274" s="35"/>
      <c r="J4274" s="41"/>
    </row>
    <row r="4275" spans="5:10" s="34" customFormat="1" x14ac:dyDescent="0.35">
      <c r="E4275" s="35"/>
      <c r="J4275" s="41"/>
    </row>
    <row r="4276" spans="5:10" s="34" customFormat="1" x14ac:dyDescent="0.35">
      <c r="E4276" s="35"/>
      <c r="J4276" s="41"/>
    </row>
    <row r="4277" spans="5:10" s="34" customFormat="1" x14ac:dyDescent="0.35">
      <c r="E4277" s="35"/>
      <c r="J4277" s="41"/>
    </row>
    <row r="4278" spans="5:10" s="34" customFormat="1" x14ac:dyDescent="0.35">
      <c r="E4278" s="35"/>
      <c r="J4278" s="41"/>
    </row>
    <row r="4279" spans="5:10" s="34" customFormat="1" x14ac:dyDescent="0.35">
      <c r="E4279" s="35"/>
      <c r="J4279" s="41"/>
    </row>
    <row r="4280" spans="5:10" s="34" customFormat="1" x14ac:dyDescent="0.35">
      <c r="E4280" s="35"/>
      <c r="J4280" s="41"/>
    </row>
    <row r="4281" spans="5:10" s="34" customFormat="1" x14ac:dyDescent="0.35">
      <c r="E4281" s="35"/>
      <c r="J4281" s="41"/>
    </row>
    <row r="4282" spans="5:10" s="34" customFormat="1" x14ac:dyDescent="0.35">
      <c r="E4282" s="35"/>
      <c r="J4282" s="41"/>
    </row>
    <row r="4283" spans="5:10" s="34" customFormat="1" x14ac:dyDescent="0.35">
      <c r="E4283" s="35"/>
      <c r="J4283" s="41"/>
    </row>
    <row r="4284" spans="5:10" s="34" customFormat="1" x14ac:dyDescent="0.35">
      <c r="E4284" s="35"/>
      <c r="J4284" s="41"/>
    </row>
    <row r="4285" spans="5:10" s="34" customFormat="1" x14ac:dyDescent="0.35">
      <c r="E4285" s="35"/>
      <c r="J4285" s="41"/>
    </row>
    <row r="4286" spans="5:10" s="34" customFormat="1" x14ac:dyDescent="0.35">
      <c r="E4286" s="35"/>
      <c r="J4286" s="41"/>
    </row>
    <row r="4287" spans="5:10" s="34" customFormat="1" x14ac:dyDescent="0.35">
      <c r="E4287" s="35"/>
      <c r="J4287" s="41"/>
    </row>
    <row r="4288" spans="5:10" s="34" customFormat="1" x14ac:dyDescent="0.35">
      <c r="E4288" s="35"/>
      <c r="J4288" s="41"/>
    </row>
    <row r="4289" spans="5:10" s="34" customFormat="1" x14ac:dyDescent="0.35">
      <c r="E4289" s="35"/>
      <c r="J4289" s="41"/>
    </row>
    <row r="4290" spans="5:10" s="34" customFormat="1" x14ac:dyDescent="0.35">
      <c r="E4290" s="35"/>
      <c r="J4290" s="41"/>
    </row>
    <row r="4291" spans="5:10" s="34" customFormat="1" x14ac:dyDescent="0.35">
      <c r="E4291" s="35"/>
      <c r="J4291" s="41"/>
    </row>
    <row r="4292" spans="5:10" s="34" customFormat="1" x14ac:dyDescent="0.35">
      <c r="E4292" s="35"/>
      <c r="J4292" s="41"/>
    </row>
    <row r="4293" spans="5:10" s="34" customFormat="1" x14ac:dyDescent="0.35">
      <c r="E4293" s="35"/>
      <c r="J4293" s="41"/>
    </row>
    <row r="4294" spans="5:10" s="34" customFormat="1" x14ac:dyDescent="0.35">
      <c r="E4294" s="35"/>
      <c r="J4294" s="41"/>
    </row>
    <row r="4295" spans="5:10" s="34" customFormat="1" x14ac:dyDescent="0.35">
      <c r="E4295" s="35"/>
      <c r="J4295" s="41"/>
    </row>
    <row r="4296" spans="5:10" s="34" customFormat="1" x14ac:dyDescent="0.35">
      <c r="E4296" s="35"/>
      <c r="J4296" s="41"/>
    </row>
    <row r="4297" spans="5:10" s="34" customFormat="1" x14ac:dyDescent="0.35">
      <c r="E4297" s="35"/>
      <c r="J4297" s="41"/>
    </row>
    <row r="4298" spans="5:10" s="34" customFormat="1" x14ac:dyDescent="0.35">
      <c r="E4298" s="35"/>
      <c r="J4298" s="41"/>
    </row>
    <row r="4299" spans="5:10" s="34" customFormat="1" x14ac:dyDescent="0.35">
      <c r="E4299" s="35"/>
      <c r="J4299" s="41"/>
    </row>
    <row r="4300" spans="5:10" s="34" customFormat="1" x14ac:dyDescent="0.35">
      <c r="E4300" s="35"/>
      <c r="J4300" s="41"/>
    </row>
    <row r="4301" spans="5:10" s="34" customFormat="1" x14ac:dyDescent="0.35">
      <c r="E4301" s="35"/>
      <c r="J4301" s="41"/>
    </row>
    <row r="4302" spans="5:10" s="34" customFormat="1" x14ac:dyDescent="0.35">
      <c r="E4302" s="35"/>
      <c r="J4302" s="41"/>
    </row>
    <row r="4303" spans="5:10" s="34" customFormat="1" x14ac:dyDescent="0.35">
      <c r="E4303" s="35"/>
      <c r="J4303" s="41"/>
    </row>
    <row r="4304" spans="5:10" s="34" customFormat="1" x14ac:dyDescent="0.35">
      <c r="E4304" s="35"/>
      <c r="J4304" s="41"/>
    </row>
    <row r="4305" spans="5:10" s="34" customFormat="1" x14ac:dyDescent="0.35">
      <c r="E4305" s="35"/>
      <c r="J4305" s="41"/>
    </row>
    <row r="4306" spans="5:10" s="34" customFormat="1" x14ac:dyDescent="0.35">
      <c r="E4306" s="35"/>
      <c r="J4306" s="41"/>
    </row>
    <row r="4307" spans="5:10" s="34" customFormat="1" x14ac:dyDescent="0.35">
      <c r="E4307" s="35"/>
      <c r="J4307" s="41"/>
    </row>
    <row r="4308" spans="5:10" s="34" customFormat="1" x14ac:dyDescent="0.35">
      <c r="E4308" s="35"/>
      <c r="J4308" s="41"/>
    </row>
    <row r="4309" spans="5:10" s="34" customFormat="1" x14ac:dyDescent="0.35">
      <c r="E4309" s="35"/>
      <c r="J4309" s="41"/>
    </row>
    <row r="4310" spans="5:10" s="34" customFormat="1" x14ac:dyDescent="0.35">
      <c r="E4310" s="35"/>
      <c r="J4310" s="41"/>
    </row>
    <row r="4311" spans="5:10" s="34" customFormat="1" x14ac:dyDescent="0.35">
      <c r="E4311" s="35"/>
      <c r="J4311" s="41"/>
    </row>
    <row r="4312" spans="5:10" s="34" customFormat="1" x14ac:dyDescent="0.35">
      <c r="E4312" s="35"/>
      <c r="J4312" s="41"/>
    </row>
    <row r="4313" spans="5:10" s="34" customFormat="1" x14ac:dyDescent="0.35">
      <c r="E4313" s="35"/>
      <c r="J4313" s="41"/>
    </row>
    <row r="4314" spans="5:10" s="34" customFormat="1" x14ac:dyDescent="0.35">
      <c r="E4314" s="35"/>
      <c r="J4314" s="41"/>
    </row>
    <row r="4315" spans="5:10" s="34" customFormat="1" x14ac:dyDescent="0.35">
      <c r="E4315" s="35"/>
      <c r="J4315" s="41"/>
    </row>
    <row r="4316" spans="5:10" s="34" customFormat="1" x14ac:dyDescent="0.35">
      <c r="E4316" s="35"/>
      <c r="J4316" s="41"/>
    </row>
    <row r="4317" spans="5:10" s="34" customFormat="1" x14ac:dyDescent="0.35">
      <c r="E4317" s="35"/>
      <c r="J4317" s="41"/>
    </row>
    <row r="4318" spans="5:10" s="34" customFormat="1" x14ac:dyDescent="0.35">
      <c r="E4318" s="35"/>
      <c r="J4318" s="41"/>
    </row>
    <row r="4319" spans="5:10" s="34" customFormat="1" x14ac:dyDescent="0.35">
      <c r="E4319" s="35"/>
      <c r="J4319" s="41"/>
    </row>
    <row r="4320" spans="5:10" s="34" customFormat="1" x14ac:dyDescent="0.35">
      <c r="E4320" s="35"/>
      <c r="J4320" s="41"/>
    </row>
    <row r="4321" spans="5:10" s="34" customFormat="1" x14ac:dyDescent="0.35">
      <c r="E4321" s="35"/>
      <c r="J4321" s="41"/>
    </row>
    <row r="4322" spans="5:10" s="34" customFormat="1" x14ac:dyDescent="0.35">
      <c r="E4322" s="35"/>
      <c r="J4322" s="41"/>
    </row>
    <row r="4323" spans="5:10" s="34" customFormat="1" x14ac:dyDescent="0.35">
      <c r="E4323" s="35"/>
      <c r="J4323" s="41"/>
    </row>
    <row r="4324" spans="5:10" s="34" customFormat="1" x14ac:dyDescent="0.35">
      <c r="E4324" s="35"/>
      <c r="J4324" s="41"/>
    </row>
    <row r="4325" spans="5:10" s="34" customFormat="1" x14ac:dyDescent="0.35">
      <c r="E4325" s="35"/>
      <c r="J4325" s="41"/>
    </row>
    <row r="4326" spans="5:10" s="34" customFormat="1" x14ac:dyDescent="0.35">
      <c r="E4326" s="35"/>
      <c r="J4326" s="41"/>
    </row>
    <row r="4327" spans="5:10" s="34" customFormat="1" x14ac:dyDescent="0.35">
      <c r="E4327" s="35"/>
      <c r="J4327" s="41"/>
    </row>
    <row r="4328" spans="5:10" s="34" customFormat="1" x14ac:dyDescent="0.35">
      <c r="E4328" s="35"/>
      <c r="J4328" s="41"/>
    </row>
    <row r="4329" spans="5:10" s="34" customFormat="1" x14ac:dyDescent="0.35">
      <c r="E4329" s="35"/>
      <c r="J4329" s="41"/>
    </row>
    <row r="4330" spans="5:10" s="34" customFormat="1" x14ac:dyDescent="0.35">
      <c r="E4330" s="35"/>
      <c r="J4330" s="41"/>
    </row>
    <row r="4331" spans="5:10" s="34" customFormat="1" x14ac:dyDescent="0.35">
      <c r="E4331" s="35"/>
      <c r="J4331" s="41"/>
    </row>
    <row r="4332" spans="5:10" s="34" customFormat="1" x14ac:dyDescent="0.35">
      <c r="E4332" s="35"/>
      <c r="J4332" s="41"/>
    </row>
    <row r="4333" spans="5:10" s="34" customFormat="1" x14ac:dyDescent="0.35">
      <c r="E4333" s="35"/>
      <c r="J4333" s="41"/>
    </row>
    <row r="4334" spans="5:10" s="34" customFormat="1" x14ac:dyDescent="0.35">
      <c r="E4334" s="35"/>
      <c r="J4334" s="41"/>
    </row>
    <row r="4335" spans="5:10" s="34" customFormat="1" x14ac:dyDescent="0.35">
      <c r="E4335" s="35"/>
      <c r="J4335" s="41"/>
    </row>
    <row r="4336" spans="5:10" s="34" customFormat="1" x14ac:dyDescent="0.35">
      <c r="E4336" s="35"/>
      <c r="J4336" s="41"/>
    </row>
    <row r="4337" spans="5:10" s="34" customFormat="1" x14ac:dyDescent="0.35">
      <c r="E4337" s="35"/>
      <c r="J4337" s="41"/>
    </row>
    <row r="4338" spans="5:10" s="34" customFormat="1" x14ac:dyDescent="0.35">
      <c r="E4338" s="35"/>
      <c r="J4338" s="41"/>
    </row>
    <row r="4339" spans="5:10" s="34" customFormat="1" x14ac:dyDescent="0.35">
      <c r="E4339" s="35"/>
      <c r="J4339" s="41"/>
    </row>
    <row r="4340" spans="5:10" s="34" customFormat="1" x14ac:dyDescent="0.35">
      <c r="E4340" s="35"/>
      <c r="J4340" s="41"/>
    </row>
    <row r="4341" spans="5:10" s="34" customFormat="1" x14ac:dyDescent="0.35">
      <c r="E4341" s="35"/>
      <c r="J4341" s="41"/>
    </row>
    <row r="4342" spans="5:10" s="34" customFormat="1" x14ac:dyDescent="0.35">
      <c r="E4342" s="35"/>
      <c r="J4342" s="41"/>
    </row>
    <row r="4343" spans="5:10" s="34" customFormat="1" x14ac:dyDescent="0.35">
      <c r="E4343" s="35"/>
      <c r="J4343" s="41"/>
    </row>
    <row r="4344" spans="5:10" s="34" customFormat="1" x14ac:dyDescent="0.35">
      <c r="E4344" s="35"/>
      <c r="J4344" s="41"/>
    </row>
    <row r="4345" spans="5:10" s="34" customFormat="1" x14ac:dyDescent="0.35">
      <c r="E4345" s="35"/>
      <c r="J4345" s="41"/>
    </row>
    <row r="4346" spans="5:10" s="34" customFormat="1" x14ac:dyDescent="0.35">
      <c r="E4346" s="35"/>
      <c r="J4346" s="41"/>
    </row>
    <row r="4347" spans="5:10" s="34" customFormat="1" x14ac:dyDescent="0.35">
      <c r="E4347" s="35"/>
      <c r="J4347" s="41"/>
    </row>
    <row r="4348" spans="5:10" s="34" customFormat="1" x14ac:dyDescent="0.35">
      <c r="E4348" s="35"/>
      <c r="J4348" s="41"/>
    </row>
    <row r="4349" spans="5:10" s="34" customFormat="1" x14ac:dyDescent="0.35">
      <c r="E4349" s="35"/>
      <c r="J4349" s="41"/>
    </row>
    <row r="4350" spans="5:10" s="34" customFormat="1" x14ac:dyDescent="0.35">
      <c r="E4350" s="35"/>
      <c r="J4350" s="41"/>
    </row>
    <row r="4351" spans="5:10" s="34" customFormat="1" x14ac:dyDescent="0.35">
      <c r="E4351" s="35"/>
      <c r="J4351" s="41"/>
    </row>
    <row r="4352" spans="5:10" s="34" customFormat="1" x14ac:dyDescent="0.35">
      <c r="E4352" s="35"/>
      <c r="J4352" s="41"/>
    </row>
    <row r="4353" spans="5:10" s="34" customFormat="1" x14ac:dyDescent="0.35">
      <c r="E4353" s="35"/>
      <c r="J4353" s="41"/>
    </row>
    <row r="4354" spans="5:10" s="34" customFormat="1" x14ac:dyDescent="0.35">
      <c r="E4354" s="35"/>
      <c r="J4354" s="41"/>
    </row>
    <row r="4355" spans="5:10" s="34" customFormat="1" x14ac:dyDescent="0.35">
      <c r="E4355" s="35"/>
      <c r="J4355" s="41"/>
    </row>
    <row r="4356" spans="5:10" s="34" customFormat="1" x14ac:dyDescent="0.35">
      <c r="E4356" s="35"/>
      <c r="J4356" s="41"/>
    </row>
    <row r="4357" spans="5:10" s="34" customFormat="1" x14ac:dyDescent="0.35">
      <c r="E4357" s="35"/>
      <c r="J4357" s="41"/>
    </row>
    <row r="4358" spans="5:10" s="34" customFormat="1" x14ac:dyDescent="0.35">
      <c r="E4358" s="35"/>
      <c r="J4358" s="41"/>
    </row>
    <row r="4359" spans="5:10" s="34" customFormat="1" x14ac:dyDescent="0.35">
      <c r="E4359" s="35"/>
      <c r="J4359" s="41"/>
    </row>
    <row r="4360" spans="5:10" s="34" customFormat="1" x14ac:dyDescent="0.35">
      <c r="E4360" s="35"/>
      <c r="J4360" s="41"/>
    </row>
    <row r="4361" spans="5:10" s="34" customFormat="1" x14ac:dyDescent="0.35">
      <c r="E4361" s="35"/>
      <c r="J4361" s="41"/>
    </row>
    <row r="4362" spans="5:10" s="34" customFormat="1" x14ac:dyDescent="0.35">
      <c r="E4362" s="35"/>
      <c r="J4362" s="41"/>
    </row>
    <row r="4363" spans="5:10" s="34" customFormat="1" x14ac:dyDescent="0.35">
      <c r="E4363" s="35"/>
      <c r="J4363" s="41"/>
    </row>
    <row r="4364" spans="5:10" s="34" customFormat="1" x14ac:dyDescent="0.35">
      <c r="E4364" s="35"/>
      <c r="J4364" s="41"/>
    </row>
    <row r="4365" spans="5:10" s="34" customFormat="1" x14ac:dyDescent="0.35">
      <c r="E4365" s="35"/>
      <c r="J4365" s="41"/>
    </row>
    <row r="4366" spans="5:10" s="34" customFormat="1" x14ac:dyDescent="0.35">
      <c r="E4366" s="35"/>
      <c r="J4366" s="41"/>
    </row>
    <row r="4367" spans="5:10" s="34" customFormat="1" x14ac:dyDescent="0.35">
      <c r="E4367" s="35"/>
      <c r="J4367" s="41"/>
    </row>
    <row r="4368" spans="5:10" s="34" customFormat="1" x14ac:dyDescent="0.35">
      <c r="E4368" s="35"/>
      <c r="J4368" s="41"/>
    </row>
    <row r="4369" spans="5:10" s="34" customFormat="1" x14ac:dyDescent="0.35">
      <c r="E4369" s="35"/>
      <c r="J4369" s="41"/>
    </row>
    <row r="4370" spans="5:10" s="34" customFormat="1" x14ac:dyDescent="0.35">
      <c r="E4370" s="35"/>
      <c r="J4370" s="41"/>
    </row>
    <row r="4371" spans="5:10" s="34" customFormat="1" x14ac:dyDescent="0.35">
      <c r="E4371" s="35"/>
      <c r="J4371" s="41"/>
    </row>
    <row r="4372" spans="5:10" s="34" customFormat="1" x14ac:dyDescent="0.35">
      <c r="E4372" s="35"/>
      <c r="J4372" s="41"/>
    </row>
    <row r="4373" spans="5:10" s="34" customFormat="1" x14ac:dyDescent="0.35">
      <c r="E4373" s="35"/>
      <c r="J4373" s="41"/>
    </row>
    <row r="4374" spans="5:10" s="34" customFormat="1" x14ac:dyDescent="0.35">
      <c r="E4374" s="35"/>
      <c r="J4374" s="41"/>
    </row>
    <row r="4375" spans="5:10" s="34" customFormat="1" x14ac:dyDescent="0.35">
      <c r="E4375" s="35"/>
      <c r="J4375" s="41"/>
    </row>
    <row r="4376" spans="5:10" s="34" customFormat="1" x14ac:dyDescent="0.35">
      <c r="E4376" s="35"/>
      <c r="J4376" s="41"/>
    </row>
    <row r="4377" spans="5:10" s="34" customFormat="1" x14ac:dyDescent="0.35">
      <c r="E4377" s="35"/>
      <c r="J4377" s="41"/>
    </row>
    <row r="4378" spans="5:10" s="34" customFormat="1" x14ac:dyDescent="0.35">
      <c r="E4378" s="35"/>
      <c r="J4378" s="41"/>
    </row>
    <row r="4379" spans="5:10" s="34" customFormat="1" x14ac:dyDescent="0.35">
      <c r="E4379" s="35"/>
      <c r="J4379" s="41"/>
    </row>
    <row r="4380" spans="5:10" s="34" customFormat="1" x14ac:dyDescent="0.35">
      <c r="E4380" s="35"/>
      <c r="J4380" s="41"/>
    </row>
    <row r="4381" spans="5:10" s="34" customFormat="1" x14ac:dyDescent="0.35">
      <c r="E4381" s="35"/>
      <c r="J4381" s="41"/>
    </row>
    <row r="4382" spans="5:10" s="34" customFormat="1" x14ac:dyDescent="0.35">
      <c r="E4382" s="35"/>
      <c r="J4382" s="41"/>
    </row>
    <row r="4383" spans="5:10" s="34" customFormat="1" x14ac:dyDescent="0.35">
      <c r="E4383" s="35"/>
      <c r="J4383" s="41"/>
    </row>
    <row r="4384" spans="5:10" s="34" customFormat="1" x14ac:dyDescent="0.35">
      <c r="E4384" s="35"/>
      <c r="J4384" s="41"/>
    </row>
    <row r="4385" spans="5:10" s="34" customFormat="1" x14ac:dyDescent="0.35">
      <c r="E4385" s="35"/>
      <c r="J4385" s="41"/>
    </row>
    <row r="4386" spans="5:10" s="34" customFormat="1" x14ac:dyDescent="0.35">
      <c r="E4386" s="35"/>
      <c r="J4386" s="41"/>
    </row>
    <row r="4387" spans="5:10" s="34" customFormat="1" x14ac:dyDescent="0.35">
      <c r="E4387" s="35"/>
      <c r="J4387" s="41"/>
    </row>
    <row r="4388" spans="5:10" s="34" customFormat="1" x14ac:dyDescent="0.35">
      <c r="E4388" s="35"/>
      <c r="J4388" s="41"/>
    </row>
    <row r="4389" spans="5:10" s="34" customFormat="1" x14ac:dyDescent="0.35">
      <c r="E4389" s="35"/>
      <c r="J4389" s="41"/>
    </row>
    <row r="4390" spans="5:10" s="34" customFormat="1" x14ac:dyDescent="0.35">
      <c r="E4390" s="35"/>
      <c r="J4390" s="41"/>
    </row>
    <row r="4391" spans="5:10" s="34" customFormat="1" x14ac:dyDescent="0.35">
      <c r="E4391" s="35"/>
      <c r="J4391" s="41"/>
    </row>
    <row r="4392" spans="5:10" s="34" customFormat="1" x14ac:dyDescent="0.35">
      <c r="E4392" s="35"/>
      <c r="J4392" s="41"/>
    </row>
    <row r="4393" spans="5:10" s="34" customFormat="1" x14ac:dyDescent="0.35">
      <c r="E4393" s="35"/>
      <c r="J4393" s="41"/>
    </row>
    <row r="4394" spans="5:10" s="34" customFormat="1" x14ac:dyDescent="0.35">
      <c r="E4394" s="35"/>
      <c r="J4394" s="41"/>
    </row>
    <row r="4395" spans="5:10" s="34" customFormat="1" x14ac:dyDescent="0.35">
      <c r="E4395" s="35"/>
      <c r="J4395" s="41"/>
    </row>
    <row r="4396" spans="5:10" s="34" customFormat="1" x14ac:dyDescent="0.35">
      <c r="E4396" s="35"/>
      <c r="J4396" s="41"/>
    </row>
    <row r="4397" spans="5:10" s="34" customFormat="1" x14ac:dyDescent="0.35">
      <c r="E4397" s="35"/>
      <c r="J4397" s="41"/>
    </row>
    <row r="4398" spans="5:10" s="34" customFormat="1" x14ac:dyDescent="0.35">
      <c r="E4398" s="35"/>
      <c r="J4398" s="41"/>
    </row>
    <row r="4399" spans="5:10" s="34" customFormat="1" x14ac:dyDescent="0.35">
      <c r="E4399" s="35"/>
      <c r="J4399" s="41"/>
    </row>
    <row r="4400" spans="5:10" s="34" customFormat="1" x14ac:dyDescent="0.35">
      <c r="E4400" s="35"/>
      <c r="J4400" s="41"/>
    </row>
    <row r="4401" spans="5:10" s="34" customFormat="1" x14ac:dyDescent="0.35">
      <c r="E4401" s="35"/>
      <c r="J4401" s="41"/>
    </row>
    <row r="4402" spans="5:10" s="34" customFormat="1" x14ac:dyDescent="0.35">
      <c r="E4402" s="35"/>
      <c r="J4402" s="41"/>
    </row>
    <row r="4403" spans="5:10" s="34" customFormat="1" x14ac:dyDescent="0.35">
      <c r="E4403" s="35"/>
      <c r="J4403" s="41"/>
    </row>
    <row r="4404" spans="5:10" s="34" customFormat="1" x14ac:dyDescent="0.35">
      <c r="E4404" s="35"/>
      <c r="J4404" s="41"/>
    </row>
    <row r="4405" spans="5:10" s="34" customFormat="1" x14ac:dyDescent="0.35">
      <c r="E4405" s="35"/>
      <c r="J4405" s="41"/>
    </row>
    <row r="4406" spans="5:10" s="34" customFormat="1" x14ac:dyDescent="0.35">
      <c r="E4406" s="35"/>
      <c r="J4406" s="41"/>
    </row>
    <row r="4407" spans="5:10" s="34" customFormat="1" x14ac:dyDescent="0.35">
      <c r="E4407" s="35"/>
      <c r="J4407" s="41"/>
    </row>
    <row r="4408" spans="5:10" s="34" customFormat="1" x14ac:dyDescent="0.35">
      <c r="E4408" s="35"/>
      <c r="J4408" s="41"/>
    </row>
    <row r="4409" spans="5:10" s="34" customFormat="1" x14ac:dyDescent="0.35">
      <c r="E4409" s="35"/>
      <c r="J4409" s="41"/>
    </row>
    <row r="4410" spans="5:10" s="34" customFormat="1" x14ac:dyDescent="0.35">
      <c r="E4410" s="35"/>
      <c r="J4410" s="41"/>
    </row>
    <row r="4411" spans="5:10" s="34" customFormat="1" x14ac:dyDescent="0.35">
      <c r="E4411" s="35"/>
      <c r="J4411" s="41"/>
    </row>
    <row r="4412" spans="5:10" s="34" customFormat="1" x14ac:dyDescent="0.35">
      <c r="E4412" s="35"/>
      <c r="J4412" s="41"/>
    </row>
    <row r="4413" spans="5:10" s="34" customFormat="1" x14ac:dyDescent="0.35">
      <c r="E4413" s="35"/>
      <c r="J4413" s="41"/>
    </row>
    <row r="4414" spans="5:10" s="34" customFormat="1" x14ac:dyDescent="0.35">
      <c r="E4414" s="35"/>
      <c r="J4414" s="41"/>
    </row>
    <row r="4415" spans="5:10" s="34" customFormat="1" x14ac:dyDescent="0.35">
      <c r="E4415" s="35"/>
      <c r="J4415" s="41"/>
    </row>
    <row r="4416" spans="5:10" s="34" customFormat="1" x14ac:dyDescent="0.35">
      <c r="E4416" s="35"/>
      <c r="J4416" s="41"/>
    </row>
    <row r="4417" spans="5:10" s="34" customFormat="1" x14ac:dyDescent="0.35">
      <c r="E4417" s="35"/>
      <c r="J4417" s="41"/>
    </row>
    <row r="4418" spans="5:10" s="34" customFormat="1" x14ac:dyDescent="0.35">
      <c r="E4418" s="35"/>
      <c r="J4418" s="41"/>
    </row>
    <row r="4419" spans="5:10" s="34" customFormat="1" x14ac:dyDescent="0.35">
      <c r="E4419" s="35"/>
      <c r="J4419" s="41"/>
    </row>
    <row r="4420" spans="5:10" s="34" customFormat="1" x14ac:dyDescent="0.35">
      <c r="E4420" s="35"/>
      <c r="J4420" s="41"/>
    </row>
    <row r="4421" spans="5:10" s="34" customFormat="1" x14ac:dyDescent="0.35">
      <c r="E4421" s="35"/>
      <c r="J4421" s="41"/>
    </row>
    <row r="4422" spans="5:10" s="34" customFormat="1" x14ac:dyDescent="0.35">
      <c r="E4422" s="35"/>
      <c r="J4422" s="41"/>
    </row>
    <row r="4423" spans="5:10" s="34" customFormat="1" x14ac:dyDescent="0.35">
      <c r="E4423" s="35"/>
      <c r="J4423" s="41"/>
    </row>
    <row r="4424" spans="5:10" s="34" customFormat="1" x14ac:dyDescent="0.35">
      <c r="E4424" s="35"/>
      <c r="J4424" s="41"/>
    </row>
    <row r="4425" spans="5:10" s="34" customFormat="1" x14ac:dyDescent="0.35">
      <c r="E4425" s="35"/>
      <c r="J4425" s="41"/>
    </row>
    <row r="4426" spans="5:10" s="34" customFormat="1" x14ac:dyDescent="0.35">
      <c r="E4426" s="35"/>
      <c r="J4426" s="41"/>
    </row>
    <row r="4427" spans="5:10" s="34" customFormat="1" x14ac:dyDescent="0.35">
      <c r="E4427" s="35"/>
      <c r="J4427" s="41"/>
    </row>
    <row r="4428" spans="5:10" s="34" customFormat="1" x14ac:dyDescent="0.35">
      <c r="E4428" s="35"/>
      <c r="J4428" s="41"/>
    </row>
    <row r="4429" spans="5:10" s="34" customFormat="1" x14ac:dyDescent="0.35">
      <c r="E4429" s="35"/>
      <c r="J4429" s="41"/>
    </row>
    <row r="4430" spans="5:10" s="34" customFormat="1" x14ac:dyDescent="0.35">
      <c r="E4430" s="35"/>
      <c r="J4430" s="41"/>
    </row>
    <row r="4431" spans="5:10" s="34" customFormat="1" x14ac:dyDescent="0.35">
      <c r="E4431" s="35"/>
      <c r="J4431" s="41"/>
    </row>
    <row r="4432" spans="5:10" s="34" customFormat="1" x14ac:dyDescent="0.35">
      <c r="E4432" s="35"/>
      <c r="J4432" s="41"/>
    </row>
    <row r="4433" spans="5:10" s="34" customFormat="1" x14ac:dyDescent="0.35">
      <c r="E4433" s="35"/>
      <c r="J4433" s="41"/>
    </row>
    <row r="4434" spans="5:10" s="34" customFormat="1" x14ac:dyDescent="0.35">
      <c r="E4434" s="35"/>
      <c r="J4434" s="41"/>
    </row>
    <row r="4435" spans="5:10" s="34" customFormat="1" x14ac:dyDescent="0.35">
      <c r="E4435" s="35"/>
      <c r="J4435" s="41"/>
    </row>
    <row r="4436" spans="5:10" s="34" customFormat="1" x14ac:dyDescent="0.35">
      <c r="E4436" s="35"/>
      <c r="J4436" s="41"/>
    </row>
    <row r="4437" spans="5:10" s="34" customFormat="1" x14ac:dyDescent="0.35">
      <c r="E4437" s="35"/>
      <c r="J4437" s="41"/>
    </row>
    <row r="4438" spans="5:10" s="34" customFormat="1" x14ac:dyDescent="0.35">
      <c r="E4438" s="35"/>
      <c r="J4438" s="41"/>
    </row>
    <row r="4439" spans="5:10" s="34" customFormat="1" x14ac:dyDescent="0.35">
      <c r="E4439" s="35"/>
      <c r="J4439" s="41"/>
    </row>
    <row r="4440" spans="5:10" s="34" customFormat="1" x14ac:dyDescent="0.35">
      <c r="E4440" s="35"/>
      <c r="J4440" s="41"/>
    </row>
    <row r="4441" spans="5:10" s="34" customFormat="1" x14ac:dyDescent="0.35">
      <c r="E4441" s="35"/>
      <c r="J4441" s="41"/>
    </row>
    <row r="4442" spans="5:10" s="34" customFormat="1" x14ac:dyDescent="0.35">
      <c r="E4442" s="35"/>
      <c r="J4442" s="41"/>
    </row>
    <row r="4443" spans="5:10" s="34" customFormat="1" x14ac:dyDescent="0.35">
      <c r="E4443" s="35"/>
      <c r="J4443" s="41"/>
    </row>
    <row r="4444" spans="5:10" s="34" customFormat="1" x14ac:dyDescent="0.35">
      <c r="E4444" s="35"/>
      <c r="J4444" s="41"/>
    </row>
    <row r="4445" spans="5:10" s="34" customFormat="1" x14ac:dyDescent="0.35">
      <c r="E4445" s="35"/>
      <c r="J4445" s="41"/>
    </row>
    <row r="4446" spans="5:10" s="34" customFormat="1" x14ac:dyDescent="0.35">
      <c r="E4446" s="35"/>
      <c r="J4446" s="41"/>
    </row>
    <row r="4447" spans="5:10" s="34" customFormat="1" x14ac:dyDescent="0.35">
      <c r="E4447" s="35"/>
      <c r="J4447" s="41"/>
    </row>
    <row r="4448" spans="5:10" s="34" customFormat="1" x14ac:dyDescent="0.35">
      <c r="E4448" s="35"/>
      <c r="J4448" s="41"/>
    </row>
    <row r="4449" spans="5:10" s="34" customFormat="1" x14ac:dyDescent="0.35">
      <c r="E4449" s="35"/>
      <c r="J4449" s="41"/>
    </row>
    <row r="4450" spans="5:10" s="34" customFormat="1" x14ac:dyDescent="0.35">
      <c r="E4450" s="35"/>
      <c r="J4450" s="41"/>
    </row>
    <row r="4451" spans="5:10" s="34" customFormat="1" x14ac:dyDescent="0.35">
      <c r="E4451" s="35"/>
      <c r="J4451" s="41"/>
    </row>
    <row r="4452" spans="5:10" s="34" customFormat="1" x14ac:dyDescent="0.35">
      <c r="E4452" s="35"/>
      <c r="J4452" s="41"/>
    </row>
    <row r="4453" spans="5:10" s="34" customFormat="1" x14ac:dyDescent="0.35">
      <c r="E4453" s="35"/>
      <c r="J4453" s="41"/>
    </row>
    <row r="4454" spans="5:10" s="34" customFormat="1" x14ac:dyDescent="0.35">
      <c r="E4454" s="35"/>
      <c r="J4454" s="41"/>
    </row>
    <row r="4455" spans="5:10" s="34" customFormat="1" x14ac:dyDescent="0.35">
      <c r="E4455" s="35"/>
      <c r="J4455" s="41"/>
    </row>
    <row r="4456" spans="5:10" s="34" customFormat="1" x14ac:dyDescent="0.35">
      <c r="E4456" s="35"/>
      <c r="J4456" s="41"/>
    </row>
    <row r="4457" spans="5:10" s="34" customFormat="1" x14ac:dyDescent="0.35">
      <c r="E4457" s="35"/>
      <c r="J4457" s="41"/>
    </row>
    <row r="4458" spans="5:10" s="34" customFormat="1" x14ac:dyDescent="0.35">
      <c r="E4458" s="35"/>
      <c r="J4458" s="41"/>
    </row>
    <row r="4459" spans="5:10" s="34" customFormat="1" x14ac:dyDescent="0.35">
      <c r="E4459" s="35"/>
      <c r="J4459" s="41"/>
    </row>
    <row r="4460" spans="5:10" s="34" customFormat="1" x14ac:dyDescent="0.35">
      <c r="E4460" s="35"/>
      <c r="J4460" s="41"/>
    </row>
    <row r="4461" spans="5:10" s="34" customFormat="1" x14ac:dyDescent="0.35">
      <c r="E4461" s="35"/>
      <c r="J4461" s="41"/>
    </row>
    <row r="4462" spans="5:10" s="34" customFormat="1" x14ac:dyDescent="0.35">
      <c r="E4462" s="35"/>
      <c r="J4462" s="41"/>
    </row>
    <row r="4463" spans="5:10" s="34" customFormat="1" x14ac:dyDescent="0.35">
      <c r="E4463" s="35"/>
      <c r="J4463" s="41"/>
    </row>
    <row r="4464" spans="5:10" s="34" customFormat="1" x14ac:dyDescent="0.35">
      <c r="E4464" s="35"/>
      <c r="J4464" s="41"/>
    </row>
    <row r="4465" spans="5:10" s="34" customFormat="1" x14ac:dyDescent="0.35">
      <c r="E4465" s="35"/>
      <c r="J4465" s="41"/>
    </row>
    <row r="4466" spans="5:10" s="34" customFormat="1" x14ac:dyDescent="0.35">
      <c r="E4466" s="35"/>
      <c r="J4466" s="41"/>
    </row>
    <row r="4467" spans="5:10" s="34" customFormat="1" x14ac:dyDescent="0.35">
      <c r="E4467" s="35"/>
      <c r="J4467" s="41"/>
    </row>
    <row r="4468" spans="5:10" s="34" customFormat="1" x14ac:dyDescent="0.35">
      <c r="E4468" s="35"/>
      <c r="J4468" s="41"/>
    </row>
    <row r="4469" spans="5:10" s="34" customFormat="1" x14ac:dyDescent="0.35">
      <c r="E4469" s="35"/>
      <c r="J4469" s="41"/>
    </row>
    <row r="4470" spans="5:10" s="34" customFormat="1" x14ac:dyDescent="0.35">
      <c r="E4470" s="35"/>
      <c r="J4470" s="41"/>
    </row>
    <row r="4471" spans="5:10" s="34" customFormat="1" x14ac:dyDescent="0.35">
      <c r="E4471" s="35"/>
      <c r="J4471" s="41"/>
    </row>
    <row r="4472" spans="5:10" s="34" customFormat="1" x14ac:dyDescent="0.35">
      <c r="E4472" s="35"/>
      <c r="J4472" s="41"/>
    </row>
    <row r="4473" spans="5:10" s="34" customFormat="1" x14ac:dyDescent="0.35">
      <c r="E4473" s="35"/>
      <c r="J4473" s="41"/>
    </row>
    <row r="4474" spans="5:10" s="34" customFormat="1" x14ac:dyDescent="0.35">
      <c r="E4474" s="35"/>
      <c r="J4474" s="41"/>
    </row>
    <row r="4475" spans="5:10" s="34" customFormat="1" x14ac:dyDescent="0.35">
      <c r="E4475" s="35"/>
      <c r="J4475" s="41"/>
    </row>
    <row r="4476" spans="5:10" s="34" customFormat="1" x14ac:dyDescent="0.35">
      <c r="E4476" s="35"/>
      <c r="J4476" s="41"/>
    </row>
    <row r="4477" spans="5:10" s="34" customFormat="1" x14ac:dyDescent="0.35">
      <c r="E4477" s="35"/>
      <c r="J4477" s="41"/>
    </row>
    <row r="4478" spans="5:10" s="34" customFormat="1" x14ac:dyDescent="0.35">
      <c r="E4478" s="35"/>
      <c r="J4478" s="41"/>
    </row>
    <row r="4479" spans="5:10" s="34" customFormat="1" x14ac:dyDescent="0.35">
      <c r="E4479" s="35"/>
      <c r="J4479" s="41"/>
    </row>
    <row r="4480" spans="5:10" s="34" customFormat="1" x14ac:dyDescent="0.35">
      <c r="E4480" s="35"/>
      <c r="J4480" s="41"/>
    </row>
    <row r="4481" spans="5:10" s="34" customFormat="1" x14ac:dyDescent="0.35">
      <c r="E4481" s="35"/>
      <c r="J4481" s="41"/>
    </row>
    <row r="4482" spans="5:10" s="34" customFormat="1" x14ac:dyDescent="0.35">
      <c r="E4482" s="35"/>
      <c r="J4482" s="41"/>
    </row>
    <row r="4483" spans="5:10" s="34" customFormat="1" x14ac:dyDescent="0.35">
      <c r="E4483" s="35"/>
      <c r="J4483" s="41"/>
    </row>
    <row r="4484" spans="5:10" s="34" customFormat="1" x14ac:dyDescent="0.35">
      <c r="E4484" s="35"/>
      <c r="J4484" s="41"/>
    </row>
    <row r="4485" spans="5:10" s="34" customFormat="1" x14ac:dyDescent="0.35">
      <c r="E4485" s="35"/>
      <c r="J4485" s="41"/>
    </row>
    <row r="4486" spans="5:10" s="34" customFormat="1" x14ac:dyDescent="0.35">
      <c r="E4486" s="35"/>
      <c r="J4486" s="41"/>
    </row>
    <row r="4487" spans="5:10" s="34" customFormat="1" x14ac:dyDescent="0.35">
      <c r="E4487" s="35"/>
      <c r="J4487" s="41"/>
    </row>
    <row r="4488" spans="5:10" s="34" customFormat="1" x14ac:dyDescent="0.35">
      <c r="E4488" s="35"/>
      <c r="J4488" s="41"/>
    </row>
    <row r="4489" spans="5:10" s="34" customFormat="1" x14ac:dyDescent="0.35">
      <c r="E4489" s="35"/>
      <c r="J4489" s="41"/>
    </row>
    <row r="4490" spans="5:10" s="34" customFormat="1" x14ac:dyDescent="0.35">
      <c r="E4490" s="35"/>
      <c r="J4490" s="41"/>
    </row>
    <row r="4491" spans="5:10" s="34" customFormat="1" x14ac:dyDescent="0.35">
      <c r="E4491" s="35"/>
      <c r="J4491" s="41"/>
    </row>
    <row r="4492" spans="5:10" s="34" customFormat="1" x14ac:dyDescent="0.35">
      <c r="E4492" s="35"/>
      <c r="J4492" s="41"/>
    </row>
    <row r="4493" spans="5:10" s="34" customFormat="1" x14ac:dyDescent="0.35">
      <c r="E4493" s="35"/>
      <c r="J4493" s="41"/>
    </row>
    <row r="4494" spans="5:10" s="34" customFormat="1" x14ac:dyDescent="0.35">
      <c r="E4494" s="35"/>
      <c r="J4494" s="41"/>
    </row>
    <row r="4495" spans="5:10" s="34" customFormat="1" x14ac:dyDescent="0.35">
      <c r="E4495" s="35"/>
      <c r="J4495" s="41"/>
    </row>
    <row r="4496" spans="5:10" s="34" customFormat="1" x14ac:dyDescent="0.35">
      <c r="E4496" s="35"/>
      <c r="J4496" s="41"/>
    </row>
    <row r="4497" spans="5:10" s="34" customFormat="1" x14ac:dyDescent="0.35">
      <c r="E4497" s="35"/>
      <c r="J4497" s="41"/>
    </row>
    <row r="4498" spans="5:10" s="34" customFormat="1" x14ac:dyDescent="0.35">
      <c r="E4498" s="35"/>
      <c r="J4498" s="41"/>
    </row>
    <row r="4499" spans="5:10" s="34" customFormat="1" x14ac:dyDescent="0.35">
      <c r="E4499" s="35"/>
      <c r="J4499" s="41"/>
    </row>
    <row r="4500" spans="5:10" s="34" customFormat="1" x14ac:dyDescent="0.35">
      <c r="E4500" s="35"/>
      <c r="J4500" s="41"/>
    </row>
    <row r="4501" spans="5:10" s="34" customFormat="1" x14ac:dyDescent="0.35">
      <c r="E4501" s="35"/>
      <c r="J4501" s="41"/>
    </row>
    <row r="4502" spans="5:10" s="34" customFormat="1" x14ac:dyDescent="0.35">
      <c r="E4502" s="35"/>
      <c r="J4502" s="41"/>
    </row>
    <row r="4503" spans="5:10" s="34" customFormat="1" x14ac:dyDescent="0.35">
      <c r="E4503" s="35"/>
      <c r="J4503" s="41"/>
    </row>
    <row r="4504" spans="5:10" s="34" customFormat="1" x14ac:dyDescent="0.35">
      <c r="E4504" s="35"/>
      <c r="J4504" s="41"/>
    </row>
    <row r="4505" spans="5:10" s="34" customFormat="1" x14ac:dyDescent="0.35">
      <c r="E4505" s="35"/>
      <c r="J4505" s="41"/>
    </row>
    <row r="4506" spans="5:10" s="34" customFormat="1" x14ac:dyDescent="0.35">
      <c r="E4506" s="35"/>
      <c r="J4506" s="41"/>
    </row>
    <row r="4507" spans="5:10" s="34" customFormat="1" x14ac:dyDescent="0.35">
      <c r="E4507" s="35"/>
      <c r="J4507" s="41"/>
    </row>
    <row r="4508" spans="5:10" s="34" customFormat="1" x14ac:dyDescent="0.35">
      <c r="E4508" s="35"/>
      <c r="J4508" s="41"/>
    </row>
    <row r="4509" spans="5:10" s="34" customFormat="1" x14ac:dyDescent="0.35">
      <c r="E4509" s="35"/>
      <c r="J4509" s="41"/>
    </row>
    <row r="4510" spans="5:10" s="34" customFormat="1" x14ac:dyDescent="0.35">
      <c r="E4510" s="35"/>
      <c r="J4510" s="41"/>
    </row>
    <row r="4511" spans="5:10" s="34" customFormat="1" x14ac:dyDescent="0.35">
      <c r="E4511" s="35"/>
      <c r="J4511" s="41"/>
    </row>
    <row r="4512" spans="5:10" s="34" customFormat="1" x14ac:dyDescent="0.35">
      <c r="E4512" s="35"/>
      <c r="J4512" s="41"/>
    </row>
    <row r="4513" spans="5:10" s="34" customFormat="1" x14ac:dyDescent="0.35">
      <c r="E4513" s="35"/>
      <c r="J4513" s="41"/>
    </row>
    <row r="4514" spans="5:10" s="34" customFormat="1" x14ac:dyDescent="0.35">
      <c r="E4514" s="35"/>
      <c r="J4514" s="41"/>
    </row>
    <row r="4515" spans="5:10" s="34" customFormat="1" x14ac:dyDescent="0.35">
      <c r="E4515" s="35"/>
      <c r="J4515" s="41"/>
    </row>
    <row r="4516" spans="5:10" s="34" customFormat="1" x14ac:dyDescent="0.35">
      <c r="E4516" s="35"/>
      <c r="J4516" s="41"/>
    </row>
    <row r="4517" spans="5:10" s="34" customFormat="1" x14ac:dyDescent="0.35">
      <c r="E4517" s="35"/>
      <c r="J4517" s="41"/>
    </row>
    <row r="4518" spans="5:10" s="34" customFormat="1" x14ac:dyDescent="0.35">
      <c r="E4518" s="35"/>
      <c r="J4518" s="41"/>
    </row>
    <row r="4519" spans="5:10" s="34" customFormat="1" x14ac:dyDescent="0.35">
      <c r="E4519" s="35"/>
      <c r="J4519" s="41"/>
    </row>
    <row r="4520" spans="5:10" s="34" customFormat="1" x14ac:dyDescent="0.35">
      <c r="E4520" s="35"/>
      <c r="J4520" s="41"/>
    </row>
    <row r="4521" spans="5:10" s="34" customFormat="1" x14ac:dyDescent="0.35">
      <c r="E4521" s="35"/>
      <c r="J4521" s="41"/>
    </row>
    <row r="4522" spans="5:10" s="34" customFormat="1" x14ac:dyDescent="0.35">
      <c r="E4522" s="35"/>
      <c r="J4522" s="41"/>
    </row>
    <row r="4523" spans="5:10" s="34" customFormat="1" x14ac:dyDescent="0.35">
      <c r="E4523" s="35"/>
      <c r="J4523" s="41"/>
    </row>
    <row r="4524" spans="5:10" s="34" customFormat="1" x14ac:dyDescent="0.35">
      <c r="E4524" s="35"/>
      <c r="J4524" s="41"/>
    </row>
    <row r="4525" spans="5:10" s="34" customFormat="1" x14ac:dyDescent="0.35">
      <c r="E4525" s="35"/>
      <c r="J4525" s="41"/>
    </row>
    <row r="4526" spans="5:10" s="34" customFormat="1" x14ac:dyDescent="0.35">
      <c r="E4526" s="35"/>
      <c r="J4526" s="41"/>
    </row>
    <row r="4527" spans="5:10" s="34" customFormat="1" x14ac:dyDescent="0.35">
      <c r="E4527" s="35"/>
      <c r="J4527" s="41"/>
    </row>
    <row r="4528" spans="5:10" s="34" customFormat="1" x14ac:dyDescent="0.35">
      <c r="E4528" s="35"/>
      <c r="J4528" s="41"/>
    </row>
    <row r="4529" spans="5:10" s="34" customFormat="1" x14ac:dyDescent="0.35">
      <c r="E4529" s="35"/>
      <c r="J4529" s="41"/>
    </row>
    <row r="4530" spans="5:10" s="34" customFormat="1" x14ac:dyDescent="0.35">
      <c r="E4530" s="35"/>
      <c r="J4530" s="41"/>
    </row>
    <row r="4531" spans="5:10" s="34" customFormat="1" x14ac:dyDescent="0.35">
      <c r="E4531" s="35"/>
      <c r="J4531" s="41"/>
    </row>
    <row r="4532" spans="5:10" s="34" customFormat="1" x14ac:dyDescent="0.35">
      <c r="E4532" s="35"/>
      <c r="J4532" s="41"/>
    </row>
    <row r="4533" spans="5:10" s="34" customFormat="1" x14ac:dyDescent="0.35">
      <c r="E4533" s="35"/>
      <c r="J4533" s="41"/>
    </row>
    <row r="4534" spans="5:10" s="34" customFormat="1" x14ac:dyDescent="0.35">
      <c r="E4534" s="35"/>
      <c r="J4534" s="41"/>
    </row>
    <row r="4535" spans="5:10" s="34" customFormat="1" x14ac:dyDescent="0.35">
      <c r="E4535" s="35"/>
      <c r="J4535" s="41"/>
    </row>
    <row r="4536" spans="5:10" s="34" customFormat="1" x14ac:dyDescent="0.35">
      <c r="E4536" s="35"/>
      <c r="J4536" s="41"/>
    </row>
    <row r="4537" spans="5:10" s="34" customFormat="1" x14ac:dyDescent="0.35">
      <c r="E4537" s="35"/>
      <c r="J4537" s="41"/>
    </row>
    <row r="4538" spans="5:10" s="34" customFormat="1" x14ac:dyDescent="0.35">
      <c r="E4538" s="35"/>
      <c r="J4538" s="41"/>
    </row>
    <row r="4539" spans="5:10" s="34" customFormat="1" x14ac:dyDescent="0.35">
      <c r="E4539" s="35"/>
      <c r="J4539" s="41"/>
    </row>
    <row r="4540" spans="5:10" s="34" customFormat="1" x14ac:dyDescent="0.35">
      <c r="E4540" s="35"/>
      <c r="J4540" s="41"/>
    </row>
    <row r="4541" spans="5:10" s="34" customFormat="1" x14ac:dyDescent="0.35">
      <c r="E4541" s="35"/>
      <c r="J4541" s="41"/>
    </row>
    <row r="4542" spans="5:10" s="34" customFormat="1" x14ac:dyDescent="0.35">
      <c r="E4542" s="35"/>
      <c r="J4542" s="41"/>
    </row>
    <row r="4543" spans="5:10" s="34" customFormat="1" x14ac:dyDescent="0.35">
      <c r="E4543" s="35"/>
      <c r="J4543" s="41"/>
    </row>
    <row r="4544" spans="5:10" s="34" customFormat="1" x14ac:dyDescent="0.35">
      <c r="E4544" s="35"/>
      <c r="J4544" s="41"/>
    </row>
    <row r="4545" spans="5:10" s="34" customFormat="1" x14ac:dyDescent="0.35">
      <c r="E4545" s="35"/>
      <c r="J4545" s="41"/>
    </row>
    <row r="4546" spans="5:10" s="34" customFormat="1" x14ac:dyDescent="0.35">
      <c r="E4546" s="35"/>
      <c r="J4546" s="41"/>
    </row>
    <row r="4547" spans="5:10" s="34" customFormat="1" x14ac:dyDescent="0.35">
      <c r="E4547" s="35"/>
      <c r="J4547" s="41"/>
    </row>
    <row r="4548" spans="5:10" s="34" customFormat="1" x14ac:dyDescent="0.35">
      <c r="E4548" s="35"/>
      <c r="J4548" s="41"/>
    </row>
    <row r="4549" spans="5:10" s="34" customFormat="1" x14ac:dyDescent="0.35">
      <c r="E4549" s="35"/>
      <c r="J4549" s="41"/>
    </row>
    <row r="4550" spans="5:10" s="34" customFormat="1" x14ac:dyDescent="0.35">
      <c r="E4550" s="35"/>
      <c r="J4550" s="41"/>
    </row>
    <row r="4551" spans="5:10" s="34" customFormat="1" x14ac:dyDescent="0.35">
      <c r="E4551" s="35"/>
      <c r="J4551" s="41"/>
    </row>
    <row r="4552" spans="5:10" s="34" customFormat="1" x14ac:dyDescent="0.35">
      <c r="E4552" s="35"/>
      <c r="J4552" s="41"/>
    </row>
    <row r="4553" spans="5:10" s="34" customFormat="1" x14ac:dyDescent="0.35">
      <c r="E4553" s="35"/>
      <c r="J4553" s="41"/>
    </row>
    <row r="4554" spans="5:10" s="34" customFormat="1" x14ac:dyDescent="0.35">
      <c r="E4554" s="35"/>
      <c r="J4554" s="41"/>
    </row>
    <row r="4555" spans="5:10" s="34" customFormat="1" x14ac:dyDescent="0.35">
      <c r="E4555" s="35"/>
      <c r="J4555" s="41"/>
    </row>
    <row r="4556" spans="5:10" s="34" customFormat="1" x14ac:dyDescent="0.35">
      <c r="E4556" s="35"/>
      <c r="J4556" s="41"/>
    </row>
    <row r="4557" spans="5:10" s="34" customFormat="1" x14ac:dyDescent="0.35">
      <c r="E4557" s="35"/>
      <c r="J4557" s="41"/>
    </row>
    <row r="4558" spans="5:10" s="34" customFormat="1" x14ac:dyDescent="0.35">
      <c r="E4558" s="35"/>
      <c r="J4558" s="41"/>
    </row>
    <row r="4559" spans="5:10" s="34" customFormat="1" x14ac:dyDescent="0.35">
      <c r="E4559" s="35"/>
      <c r="J4559" s="41"/>
    </row>
    <row r="4560" spans="5:10" s="34" customFormat="1" x14ac:dyDescent="0.35">
      <c r="E4560" s="35"/>
      <c r="J4560" s="41"/>
    </row>
    <row r="4561" spans="5:10" s="34" customFormat="1" x14ac:dyDescent="0.35">
      <c r="E4561" s="35"/>
      <c r="J4561" s="41"/>
    </row>
    <row r="4562" spans="5:10" s="34" customFormat="1" x14ac:dyDescent="0.35">
      <c r="E4562" s="35"/>
      <c r="J4562" s="41"/>
    </row>
    <row r="4563" spans="5:10" s="34" customFormat="1" x14ac:dyDescent="0.35">
      <c r="E4563" s="35"/>
      <c r="J4563" s="41"/>
    </row>
    <row r="4564" spans="5:10" s="34" customFormat="1" x14ac:dyDescent="0.35">
      <c r="E4564" s="35"/>
      <c r="J4564" s="41"/>
    </row>
    <row r="4565" spans="5:10" s="34" customFormat="1" x14ac:dyDescent="0.35">
      <c r="E4565" s="35"/>
      <c r="J4565" s="41"/>
    </row>
    <row r="4566" spans="5:10" s="34" customFormat="1" x14ac:dyDescent="0.35">
      <c r="E4566" s="35"/>
      <c r="J4566" s="41"/>
    </row>
    <row r="4567" spans="5:10" s="34" customFormat="1" x14ac:dyDescent="0.35">
      <c r="E4567" s="35"/>
      <c r="J4567" s="41"/>
    </row>
    <row r="4568" spans="5:10" s="34" customFormat="1" x14ac:dyDescent="0.35">
      <c r="E4568" s="35"/>
      <c r="J4568" s="41"/>
    </row>
    <row r="4569" spans="5:10" s="34" customFormat="1" x14ac:dyDescent="0.35">
      <c r="E4569" s="35"/>
      <c r="J4569" s="41"/>
    </row>
    <row r="4570" spans="5:10" s="34" customFormat="1" x14ac:dyDescent="0.35">
      <c r="E4570" s="35"/>
      <c r="J4570" s="41"/>
    </row>
    <row r="4571" spans="5:10" s="34" customFormat="1" x14ac:dyDescent="0.35">
      <c r="E4571" s="35"/>
      <c r="J4571" s="41"/>
    </row>
    <row r="4572" spans="5:10" s="34" customFormat="1" x14ac:dyDescent="0.35">
      <c r="E4572" s="35"/>
      <c r="J4572" s="41"/>
    </row>
    <row r="4573" spans="5:10" s="34" customFormat="1" x14ac:dyDescent="0.35">
      <c r="E4573" s="35"/>
      <c r="J4573" s="41"/>
    </row>
    <row r="4574" spans="5:10" s="34" customFormat="1" x14ac:dyDescent="0.35">
      <c r="E4574" s="35"/>
      <c r="J4574" s="41"/>
    </row>
    <row r="4575" spans="5:10" s="34" customFormat="1" x14ac:dyDescent="0.35">
      <c r="E4575" s="35"/>
      <c r="J4575" s="41"/>
    </row>
    <row r="4576" spans="5:10" s="34" customFormat="1" x14ac:dyDescent="0.35">
      <c r="E4576" s="35"/>
      <c r="J4576" s="41"/>
    </row>
    <row r="4577" spans="5:10" s="34" customFormat="1" x14ac:dyDescent="0.35">
      <c r="E4577" s="35"/>
      <c r="J4577" s="41"/>
    </row>
    <row r="4578" spans="5:10" s="34" customFormat="1" x14ac:dyDescent="0.35">
      <c r="E4578" s="35"/>
      <c r="J4578" s="41"/>
    </row>
    <row r="4579" spans="5:10" s="34" customFormat="1" x14ac:dyDescent="0.35">
      <c r="E4579" s="35"/>
      <c r="J4579" s="41"/>
    </row>
    <row r="4580" spans="5:10" s="34" customFormat="1" x14ac:dyDescent="0.35">
      <c r="E4580" s="35"/>
      <c r="J4580" s="41"/>
    </row>
    <row r="4581" spans="5:10" s="34" customFormat="1" x14ac:dyDescent="0.35">
      <c r="E4581" s="35"/>
      <c r="J4581" s="41"/>
    </row>
    <row r="4582" spans="5:10" s="34" customFormat="1" x14ac:dyDescent="0.35">
      <c r="E4582" s="35"/>
      <c r="J4582" s="41"/>
    </row>
    <row r="4583" spans="5:10" s="34" customFormat="1" x14ac:dyDescent="0.35">
      <c r="E4583" s="35"/>
      <c r="J4583" s="41"/>
    </row>
    <row r="4584" spans="5:10" s="34" customFormat="1" x14ac:dyDescent="0.35">
      <c r="E4584" s="35"/>
      <c r="J4584" s="41"/>
    </row>
    <row r="4585" spans="5:10" s="34" customFormat="1" x14ac:dyDescent="0.35">
      <c r="E4585" s="35"/>
      <c r="J4585" s="41"/>
    </row>
    <row r="4586" spans="5:10" s="34" customFormat="1" x14ac:dyDescent="0.35">
      <c r="E4586" s="35"/>
      <c r="J4586" s="41"/>
    </row>
    <row r="4587" spans="5:10" s="34" customFormat="1" x14ac:dyDescent="0.35">
      <c r="E4587" s="35"/>
      <c r="J4587" s="41"/>
    </row>
    <row r="4588" spans="5:10" s="34" customFormat="1" x14ac:dyDescent="0.35">
      <c r="E4588" s="35"/>
      <c r="J4588" s="41"/>
    </row>
    <row r="4589" spans="5:10" s="34" customFormat="1" x14ac:dyDescent="0.35">
      <c r="E4589" s="35"/>
      <c r="J4589" s="41"/>
    </row>
    <row r="4590" spans="5:10" s="34" customFormat="1" x14ac:dyDescent="0.35">
      <c r="E4590" s="35"/>
      <c r="J4590" s="41"/>
    </row>
    <row r="4591" spans="5:10" s="34" customFormat="1" x14ac:dyDescent="0.35">
      <c r="E4591" s="35"/>
      <c r="J4591" s="41"/>
    </row>
    <row r="4592" spans="5:10" s="34" customFormat="1" x14ac:dyDescent="0.35">
      <c r="E4592" s="35"/>
      <c r="J4592" s="41"/>
    </row>
    <row r="4593" spans="5:10" s="34" customFormat="1" x14ac:dyDescent="0.35">
      <c r="E4593" s="35"/>
      <c r="J4593" s="41"/>
    </row>
    <row r="4594" spans="5:10" s="34" customFormat="1" x14ac:dyDescent="0.35">
      <c r="E4594" s="35"/>
      <c r="J4594" s="41"/>
    </row>
    <row r="4595" spans="5:10" s="34" customFormat="1" x14ac:dyDescent="0.35">
      <c r="E4595" s="35"/>
      <c r="J4595" s="41"/>
    </row>
    <row r="4596" spans="5:10" s="34" customFormat="1" x14ac:dyDescent="0.35">
      <c r="E4596" s="35"/>
      <c r="J4596" s="41"/>
    </row>
    <row r="4597" spans="5:10" s="34" customFormat="1" x14ac:dyDescent="0.35">
      <c r="E4597" s="35"/>
      <c r="J4597" s="41"/>
    </row>
    <row r="4598" spans="5:10" s="34" customFormat="1" x14ac:dyDescent="0.35">
      <c r="E4598" s="35"/>
      <c r="J4598" s="41"/>
    </row>
    <row r="4599" spans="5:10" s="34" customFormat="1" x14ac:dyDescent="0.35">
      <c r="E4599" s="35"/>
      <c r="J4599" s="41"/>
    </row>
    <row r="4600" spans="5:10" s="34" customFormat="1" x14ac:dyDescent="0.35">
      <c r="E4600" s="35"/>
      <c r="J4600" s="41"/>
    </row>
    <row r="4601" spans="5:10" s="34" customFormat="1" x14ac:dyDescent="0.35">
      <c r="E4601" s="35"/>
      <c r="J4601" s="41"/>
    </row>
    <row r="4602" spans="5:10" s="34" customFormat="1" x14ac:dyDescent="0.35">
      <c r="E4602" s="35"/>
      <c r="J4602" s="41"/>
    </row>
    <row r="4603" spans="5:10" s="34" customFormat="1" x14ac:dyDescent="0.35">
      <c r="E4603" s="35"/>
      <c r="J4603" s="41"/>
    </row>
    <row r="4604" spans="5:10" s="34" customFormat="1" x14ac:dyDescent="0.35">
      <c r="E4604" s="35"/>
      <c r="J4604" s="41"/>
    </row>
    <row r="4605" spans="5:10" s="34" customFormat="1" x14ac:dyDescent="0.35">
      <c r="E4605" s="35"/>
      <c r="J4605" s="41"/>
    </row>
    <row r="4606" spans="5:10" s="34" customFormat="1" x14ac:dyDescent="0.35">
      <c r="E4606" s="35"/>
      <c r="J4606" s="41"/>
    </row>
    <row r="4607" spans="5:10" s="34" customFormat="1" x14ac:dyDescent="0.35">
      <c r="E4607" s="35"/>
      <c r="J4607" s="41"/>
    </row>
    <row r="4608" spans="5:10" s="34" customFormat="1" x14ac:dyDescent="0.35">
      <c r="E4608" s="35"/>
      <c r="J4608" s="41"/>
    </row>
    <row r="4609" spans="5:10" s="34" customFormat="1" x14ac:dyDescent="0.35">
      <c r="E4609" s="35"/>
      <c r="J4609" s="41"/>
    </row>
    <row r="4610" spans="5:10" s="34" customFormat="1" x14ac:dyDescent="0.35">
      <c r="E4610" s="35"/>
      <c r="J4610" s="41"/>
    </row>
    <row r="4611" spans="5:10" s="34" customFormat="1" x14ac:dyDescent="0.35">
      <c r="E4611" s="35"/>
      <c r="J4611" s="41"/>
    </row>
    <row r="4612" spans="5:10" s="34" customFormat="1" x14ac:dyDescent="0.35">
      <c r="E4612" s="35"/>
      <c r="J4612" s="41"/>
    </row>
    <row r="4613" spans="5:10" s="34" customFormat="1" x14ac:dyDescent="0.35">
      <c r="E4613" s="35"/>
      <c r="J4613" s="41"/>
    </row>
    <row r="4614" spans="5:10" s="34" customFormat="1" x14ac:dyDescent="0.35">
      <c r="E4614" s="35"/>
      <c r="J4614" s="41"/>
    </row>
    <row r="4615" spans="5:10" s="34" customFormat="1" x14ac:dyDescent="0.35">
      <c r="E4615" s="35"/>
      <c r="J4615" s="41"/>
    </row>
    <row r="4616" spans="5:10" s="34" customFormat="1" x14ac:dyDescent="0.35">
      <c r="E4616" s="35"/>
      <c r="J4616" s="41"/>
    </row>
    <row r="4617" spans="5:10" s="34" customFormat="1" x14ac:dyDescent="0.35">
      <c r="E4617" s="35"/>
      <c r="J4617" s="41"/>
    </row>
    <row r="4618" spans="5:10" s="34" customFormat="1" x14ac:dyDescent="0.35">
      <c r="E4618" s="35"/>
      <c r="J4618" s="41"/>
    </row>
    <row r="4619" spans="5:10" s="34" customFormat="1" x14ac:dyDescent="0.35">
      <c r="E4619" s="35"/>
      <c r="J4619" s="41"/>
    </row>
    <row r="4620" spans="5:10" s="34" customFormat="1" x14ac:dyDescent="0.35">
      <c r="E4620" s="35"/>
      <c r="J4620" s="41"/>
    </row>
    <row r="4621" spans="5:10" s="34" customFormat="1" x14ac:dyDescent="0.35">
      <c r="E4621" s="35"/>
      <c r="J4621" s="41"/>
    </row>
    <row r="4622" spans="5:10" s="34" customFormat="1" x14ac:dyDescent="0.35">
      <c r="E4622" s="35"/>
      <c r="J4622" s="41"/>
    </row>
    <row r="4623" spans="5:10" s="34" customFormat="1" x14ac:dyDescent="0.35">
      <c r="E4623" s="35"/>
      <c r="J4623" s="41"/>
    </row>
    <row r="4624" spans="5:10" s="34" customFormat="1" x14ac:dyDescent="0.35">
      <c r="E4624" s="35"/>
      <c r="J4624" s="41"/>
    </row>
    <row r="4625" spans="5:10" s="34" customFormat="1" x14ac:dyDescent="0.35">
      <c r="E4625" s="35"/>
      <c r="J4625" s="41"/>
    </row>
    <row r="4626" spans="5:10" s="34" customFormat="1" x14ac:dyDescent="0.35">
      <c r="E4626" s="35"/>
      <c r="J4626" s="41"/>
    </row>
    <row r="4627" spans="5:10" s="34" customFormat="1" x14ac:dyDescent="0.35">
      <c r="E4627" s="35"/>
      <c r="J4627" s="41"/>
    </row>
    <row r="4628" spans="5:10" s="34" customFormat="1" x14ac:dyDescent="0.35">
      <c r="E4628" s="35"/>
      <c r="J4628" s="41"/>
    </row>
    <row r="4629" spans="5:10" s="34" customFormat="1" x14ac:dyDescent="0.35">
      <c r="E4629" s="35"/>
      <c r="J4629" s="41"/>
    </row>
    <row r="4630" spans="5:10" s="34" customFormat="1" x14ac:dyDescent="0.35">
      <c r="E4630" s="35"/>
      <c r="J4630" s="41"/>
    </row>
    <row r="4631" spans="5:10" s="34" customFormat="1" x14ac:dyDescent="0.35">
      <c r="E4631" s="35"/>
      <c r="J4631" s="41"/>
    </row>
    <row r="4632" spans="5:10" s="34" customFormat="1" x14ac:dyDescent="0.35">
      <c r="E4632" s="35"/>
      <c r="J4632" s="41"/>
    </row>
    <row r="4633" spans="5:10" s="34" customFormat="1" x14ac:dyDescent="0.35">
      <c r="E4633" s="35"/>
      <c r="J4633" s="41"/>
    </row>
    <row r="4634" spans="5:10" s="34" customFormat="1" x14ac:dyDescent="0.35">
      <c r="E4634" s="35"/>
      <c r="J4634" s="41"/>
    </row>
    <row r="4635" spans="5:10" s="34" customFormat="1" x14ac:dyDescent="0.35">
      <c r="E4635" s="35"/>
      <c r="J4635" s="41"/>
    </row>
    <row r="4636" spans="5:10" s="34" customFormat="1" x14ac:dyDescent="0.35">
      <c r="E4636" s="35"/>
      <c r="J4636" s="41"/>
    </row>
    <row r="4637" spans="5:10" s="34" customFormat="1" x14ac:dyDescent="0.35">
      <c r="E4637" s="35"/>
      <c r="J4637" s="41"/>
    </row>
    <row r="4638" spans="5:10" s="34" customFormat="1" x14ac:dyDescent="0.35">
      <c r="E4638" s="35"/>
      <c r="J4638" s="41"/>
    </row>
    <row r="4639" spans="5:10" s="34" customFormat="1" x14ac:dyDescent="0.35">
      <c r="E4639" s="35"/>
      <c r="J4639" s="41"/>
    </row>
    <row r="4640" spans="5:10" s="34" customFormat="1" x14ac:dyDescent="0.35">
      <c r="E4640" s="35"/>
      <c r="J4640" s="41"/>
    </row>
    <row r="4641" spans="5:10" s="34" customFormat="1" x14ac:dyDescent="0.35">
      <c r="E4641" s="35"/>
      <c r="J4641" s="41"/>
    </row>
    <row r="4642" spans="5:10" s="34" customFormat="1" x14ac:dyDescent="0.35">
      <c r="E4642" s="35"/>
      <c r="J4642" s="41"/>
    </row>
    <row r="4643" spans="5:10" s="34" customFormat="1" x14ac:dyDescent="0.35">
      <c r="E4643" s="35"/>
      <c r="J4643" s="41"/>
    </row>
    <row r="4644" spans="5:10" s="34" customFormat="1" x14ac:dyDescent="0.35">
      <c r="E4644" s="35"/>
      <c r="J4644" s="41"/>
    </row>
    <row r="4645" spans="5:10" s="34" customFormat="1" x14ac:dyDescent="0.35">
      <c r="E4645" s="35"/>
      <c r="J4645" s="41"/>
    </row>
    <row r="4646" spans="5:10" s="34" customFormat="1" x14ac:dyDescent="0.35">
      <c r="E4646" s="35"/>
      <c r="J4646" s="41"/>
    </row>
    <row r="4647" spans="5:10" s="34" customFormat="1" x14ac:dyDescent="0.35">
      <c r="E4647" s="35"/>
      <c r="J4647" s="41"/>
    </row>
    <row r="4648" spans="5:10" s="34" customFormat="1" x14ac:dyDescent="0.35">
      <c r="E4648" s="35"/>
      <c r="J4648" s="41"/>
    </row>
    <row r="4649" spans="5:10" s="34" customFormat="1" x14ac:dyDescent="0.35">
      <c r="E4649" s="35"/>
      <c r="J4649" s="41"/>
    </row>
    <row r="4650" spans="5:10" s="34" customFormat="1" x14ac:dyDescent="0.35">
      <c r="E4650" s="35"/>
      <c r="J4650" s="41"/>
    </row>
    <row r="4651" spans="5:10" s="34" customFormat="1" x14ac:dyDescent="0.35">
      <c r="E4651" s="35"/>
      <c r="J4651" s="41"/>
    </row>
    <row r="4652" spans="5:10" s="34" customFormat="1" x14ac:dyDescent="0.35">
      <c r="E4652" s="35"/>
      <c r="J4652" s="41"/>
    </row>
    <row r="4653" spans="5:10" s="34" customFormat="1" x14ac:dyDescent="0.35">
      <c r="E4653" s="35"/>
      <c r="J4653" s="41"/>
    </row>
    <row r="4654" spans="5:10" s="34" customFormat="1" x14ac:dyDescent="0.35">
      <c r="E4654" s="35"/>
      <c r="J4654" s="41"/>
    </row>
    <row r="4655" spans="5:10" s="34" customFormat="1" x14ac:dyDescent="0.35">
      <c r="E4655" s="35"/>
      <c r="J4655" s="41"/>
    </row>
    <row r="4656" spans="5:10" s="34" customFormat="1" x14ac:dyDescent="0.35">
      <c r="E4656" s="35"/>
      <c r="J4656" s="41"/>
    </row>
    <row r="4657" spans="5:10" s="34" customFormat="1" x14ac:dyDescent="0.35">
      <c r="E4657" s="35"/>
      <c r="J4657" s="41"/>
    </row>
    <row r="4658" spans="5:10" s="34" customFormat="1" x14ac:dyDescent="0.35">
      <c r="E4658" s="35"/>
      <c r="J4658" s="41"/>
    </row>
    <row r="4659" spans="5:10" s="34" customFormat="1" x14ac:dyDescent="0.35">
      <c r="E4659" s="35"/>
      <c r="J4659" s="41"/>
    </row>
    <row r="4660" spans="5:10" s="34" customFormat="1" x14ac:dyDescent="0.35">
      <c r="E4660" s="35"/>
      <c r="J4660" s="41"/>
    </row>
    <row r="4661" spans="5:10" s="34" customFormat="1" x14ac:dyDescent="0.35">
      <c r="E4661" s="35"/>
      <c r="J4661" s="41"/>
    </row>
    <row r="4662" spans="5:10" s="34" customFormat="1" x14ac:dyDescent="0.35">
      <c r="E4662" s="35"/>
      <c r="J4662" s="41"/>
    </row>
    <row r="4663" spans="5:10" s="34" customFormat="1" x14ac:dyDescent="0.35">
      <c r="E4663" s="35"/>
      <c r="J4663" s="41"/>
    </row>
    <row r="4664" spans="5:10" s="34" customFormat="1" x14ac:dyDescent="0.35">
      <c r="E4664" s="35"/>
      <c r="J4664" s="41"/>
    </row>
    <row r="4665" spans="5:10" s="34" customFormat="1" x14ac:dyDescent="0.35">
      <c r="E4665" s="35"/>
      <c r="J4665" s="41"/>
    </row>
    <row r="4666" spans="5:10" s="34" customFormat="1" x14ac:dyDescent="0.35">
      <c r="E4666" s="35"/>
      <c r="J4666" s="41"/>
    </row>
    <row r="4667" spans="5:10" s="34" customFormat="1" x14ac:dyDescent="0.35">
      <c r="E4667" s="35"/>
      <c r="J4667" s="41"/>
    </row>
    <row r="4668" spans="5:10" s="34" customFormat="1" x14ac:dyDescent="0.35">
      <c r="E4668" s="35"/>
      <c r="J4668" s="41"/>
    </row>
    <row r="4669" spans="5:10" s="34" customFormat="1" x14ac:dyDescent="0.35">
      <c r="E4669" s="35"/>
      <c r="J4669" s="41"/>
    </row>
    <row r="4670" spans="5:10" s="34" customFormat="1" x14ac:dyDescent="0.35">
      <c r="E4670" s="35"/>
      <c r="J4670" s="41"/>
    </row>
    <row r="4671" spans="5:10" s="34" customFormat="1" x14ac:dyDescent="0.35">
      <c r="E4671" s="35"/>
      <c r="J4671" s="41"/>
    </row>
    <row r="4672" spans="5:10" s="34" customFormat="1" x14ac:dyDescent="0.35">
      <c r="E4672" s="35"/>
      <c r="J4672" s="41"/>
    </row>
    <row r="4673" spans="5:10" s="34" customFormat="1" x14ac:dyDescent="0.35">
      <c r="E4673" s="35"/>
      <c r="J4673" s="41"/>
    </row>
    <row r="4674" spans="5:10" s="34" customFormat="1" x14ac:dyDescent="0.35">
      <c r="E4674" s="35"/>
      <c r="J4674" s="41"/>
    </row>
    <row r="4675" spans="5:10" s="34" customFormat="1" x14ac:dyDescent="0.35">
      <c r="E4675" s="35"/>
      <c r="J4675" s="41"/>
    </row>
    <row r="4676" spans="5:10" s="34" customFormat="1" x14ac:dyDescent="0.35">
      <c r="E4676" s="35"/>
      <c r="J4676" s="41"/>
    </row>
    <row r="4677" spans="5:10" s="34" customFormat="1" x14ac:dyDescent="0.35">
      <c r="E4677" s="35"/>
      <c r="J4677" s="41"/>
    </row>
    <row r="4678" spans="5:10" s="34" customFormat="1" x14ac:dyDescent="0.35">
      <c r="E4678" s="35"/>
      <c r="J4678" s="41"/>
    </row>
    <row r="4679" spans="5:10" s="34" customFormat="1" x14ac:dyDescent="0.35">
      <c r="E4679" s="35"/>
      <c r="J4679" s="41"/>
    </row>
    <row r="4680" spans="5:10" s="34" customFormat="1" x14ac:dyDescent="0.35">
      <c r="E4680" s="35"/>
      <c r="J4680" s="41"/>
    </row>
    <row r="4681" spans="5:10" s="34" customFormat="1" x14ac:dyDescent="0.35">
      <c r="E4681" s="35"/>
      <c r="J4681" s="41"/>
    </row>
    <row r="4682" spans="5:10" s="34" customFormat="1" x14ac:dyDescent="0.35">
      <c r="E4682" s="35"/>
      <c r="J4682" s="41"/>
    </row>
    <row r="4683" spans="5:10" s="34" customFormat="1" x14ac:dyDescent="0.35">
      <c r="E4683" s="35"/>
      <c r="J4683" s="41"/>
    </row>
    <row r="4684" spans="5:10" s="34" customFormat="1" x14ac:dyDescent="0.35">
      <c r="E4684" s="35"/>
      <c r="J4684" s="41"/>
    </row>
    <row r="4685" spans="5:10" s="34" customFormat="1" x14ac:dyDescent="0.35">
      <c r="E4685" s="35"/>
      <c r="J4685" s="41"/>
    </row>
    <row r="4686" spans="5:10" s="34" customFormat="1" x14ac:dyDescent="0.35">
      <c r="E4686" s="35"/>
      <c r="J4686" s="41"/>
    </row>
    <row r="4687" spans="5:10" s="34" customFormat="1" x14ac:dyDescent="0.35">
      <c r="E4687" s="35"/>
      <c r="J4687" s="41"/>
    </row>
    <row r="4688" spans="5:10" s="34" customFormat="1" x14ac:dyDescent="0.35">
      <c r="E4688" s="35"/>
      <c r="J4688" s="41"/>
    </row>
    <row r="4689" spans="5:10" s="34" customFormat="1" x14ac:dyDescent="0.35">
      <c r="E4689" s="35"/>
      <c r="J4689" s="41"/>
    </row>
    <row r="4690" spans="5:10" s="34" customFormat="1" x14ac:dyDescent="0.35">
      <c r="E4690" s="35"/>
      <c r="J4690" s="41"/>
    </row>
    <row r="4691" spans="5:10" s="34" customFormat="1" x14ac:dyDescent="0.35">
      <c r="E4691" s="35"/>
      <c r="J4691" s="41"/>
    </row>
    <row r="4692" spans="5:10" s="34" customFormat="1" x14ac:dyDescent="0.35">
      <c r="E4692" s="35"/>
      <c r="J4692" s="41"/>
    </row>
    <row r="4693" spans="5:10" s="34" customFormat="1" x14ac:dyDescent="0.35">
      <c r="E4693" s="35"/>
      <c r="J4693" s="41"/>
    </row>
    <row r="4694" spans="5:10" s="34" customFormat="1" x14ac:dyDescent="0.35">
      <c r="E4694" s="35"/>
      <c r="J4694" s="41"/>
    </row>
    <row r="4695" spans="5:10" s="34" customFormat="1" x14ac:dyDescent="0.35">
      <c r="E4695" s="35"/>
      <c r="J4695" s="41"/>
    </row>
    <row r="4696" spans="5:10" s="34" customFormat="1" x14ac:dyDescent="0.35">
      <c r="E4696" s="35"/>
      <c r="J4696" s="41"/>
    </row>
    <row r="4697" spans="5:10" s="34" customFormat="1" x14ac:dyDescent="0.35">
      <c r="E4697" s="35"/>
      <c r="J4697" s="41"/>
    </row>
    <row r="4698" spans="5:10" s="34" customFormat="1" x14ac:dyDescent="0.35">
      <c r="E4698" s="35"/>
      <c r="J4698" s="41"/>
    </row>
    <row r="4699" spans="5:10" s="34" customFormat="1" x14ac:dyDescent="0.35">
      <c r="E4699" s="35"/>
      <c r="J4699" s="41"/>
    </row>
    <row r="4700" spans="5:10" s="34" customFormat="1" x14ac:dyDescent="0.35">
      <c r="E4700" s="35"/>
      <c r="J4700" s="41"/>
    </row>
    <row r="4701" spans="5:10" s="34" customFormat="1" x14ac:dyDescent="0.35">
      <c r="E4701" s="35"/>
      <c r="J4701" s="41"/>
    </row>
    <row r="4702" spans="5:10" s="34" customFormat="1" x14ac:dyDescent="0.35">
      <c r="E4702" s="35"/>
      <c r="J4702" s="41"/>
    </row>
    <row r="4703" spans="5:10" s="34" customFormat="1" x14ac:dyDescent="0.35">
      <c r="E4703" s="35"/>
      <c r="J4703" s="41"/>
    </row>
    <row r="4704" spans="5:10" s="34" customFormat="1" x14ac:dyDescent="0.35">
      <c r="E4704" s="35"/>
      <c r="J4704" s="41"/>
    </row>
    <row r="4705" spans="5:10" s="34" customFormat="1" x14ac:dyDescent="0.35">
      <c r="E4705" s="35"/>
      <c r="J4705" s="41"/>
    </row>
    <row r="4706" spans="5:10" s="34" customFormat="1" x14ac:dyDescent="0.35">
      <c r="E4706" s="35"/>
      <c r="J4706" s="41"/>
    </row>
    <row r="4707" spans="5:10" s="34" customFormat="1" x14ac:dyDescent="0.35">
      <c r="E4707" s="35"/>
      <c r="J4707" s="41"/>
    </row>
    <row r="4708" spans="5:10" s="34" customFormat="1" x14ac:dyDescent="0.35">
      <c r="E4708" s="35"/>
      <c r="J4708" s="41"/>
    </row>
    <row r="4709" spans="5:10" s="34" customFormat="1" x14ac:dyDescent="0.35">
      <c r="E4709" s="35"/>
      <c r="J4709" s="41"/>
    </row>
    <row r="4710" spans="5:10" s="34" customFormat="1" x14ac:dyDescent="0.35">
      <c r="E4710" s="35"/>
      <c r="J4710" s="41"/>
    </row>
    <row r="4711" spans="5:10" s="34" customFormat="1" x14ac:dyDescent="0.35">
      <c r="E4711" s="35"/>
      <c r="J4711" s="41"/>
    </row>
    <row r="4712" spans="5:10" s="34" customFormat="1" x14ac:dyDescent="0.35">
      <c r="E4712" s="35"/>
      <c r="J4712" s="41"/>
    </row>
    <row r="4713" spans="5:10" s="34" customFormat="1" x14ac:dyDescent="0.35">
      <c r="E4713" s="35"/>
      <c r="J4713" s="41"/>
    </row>
    <row r="4714" spans="5:10" s="34" customFormat="1" x14ac:dyDescent="0.35">
      <c r="E4714" s="35"/>
      <c r="J4714" s="41"/>
    </row>
    <row r="4715" spans="5:10" s="34" customFormat="1" x14ac:dyDescent="0.35">
      <c r="E4715" s="35"/>
      <c r="J4715" s="41"/>
    </row>
    <row r="4716" spans="5:10" s="34" customFormat="1" x14ac:dyDescent="0.35">
      <c r="E4716" s="35"/>
      <c r="J4716" s="41"/>
    </row>
    <row r="4717" spans="5:10" s="34" customFormat="1" x14ac:dyDescent="0.35">
      <c r="E4717" s="35"/>
      <c r="J4717" s="41"/>
    </row>
    <row r="4718" spans="5:10" s="34" customFormat="1" x14ac:dyDescent="0.35">
      <c r="E4718" s="35"/>
      <c r="J4718" s="41"/>
    </row>
    <row r="4719" spans="5:10" s="34" customFormat="1" x14ac:dyDescent="0.35">
      <c r="E4719" s="35"/>
      <c r="J4719" s="41"/>
    </row>
    <row r="4720" spans="5:10" s="34" customFormat="1" x14ac:dyDescent="0.35">
      <c r="E4720" s="35"/>
      <c r="J4720" s="41"/>
    </row>
    <row r="4721" spans="5:10" s="34" customFormat="1" x14ac:dyDescent="0.35">
      <c r="E4721" s="35"/>
      <c r="J4721" s="41"/>
    </row>
    <row r="4722" spans="5:10" s="34" customFormat="1" x14ac:dyDescent="0.35">
      <c r="E4722" s="35"/>
      <c r="J4722" s="41"/>
    </row>
    <row r="4723" spans="5:10" s="34" customFormat="1" x14ac:dyDescent="0.35">
      <c r="E4723" s="35"/>
      <c r="J4723" s="41"/>
    </row>
    <row r="4724" spans="5:10" s="34" customFormat="1" x14ac:dyDescent="0.35">
      <c r="E4724" s="35"/>
      <c r="J4724" s="41"/>
    </row>
    <row r="4725" spans="5:10" s="34" customFormat="1" x14ac:dyDescent="0.35">
      <c r="E4725" s="35"/>
      <c r="J4725" s="41"/>
    </row>
    <row r="4726" spans="5:10" s="34" customFormat="1" x14ac:dyDescent="0.35">
      <c r="E4726" s="35"/>
      <c r="J4726" s="41"/>
    </row>
    <row r="4727" spans="5:10" s="34" customFormat="1" x14ac:dyDescent="0.35">
      <c r="E4727" s="35"/>
      <c r="J4727" s="41"/>
    </row>
    <row r="4728" spans="5:10" s="34" customFormat="1" x14ac:dyDescent="0.35">
      <c r="E4728" s="35"/>
      <c r="J4728" s="41"/>
    </row>
    <row r="4729" spans="5:10" s="34" customFormat="1" x14ac:dyDescent="0.35">
      <c r="E4729" s="35"/>
      <c r="J4729" s="41"/>
    </row>
    <row r="4730" spans="5:10" s="34" customFormat="1" x14ac:dyDescent="0.35">
      <c r="E4730" s="35"/>
      <c r="J4730" s="41"/>
    </row>
    <row r="4731" spans="5:10" s="34" customFormat="1" x14ac:dyDescent="0.35">
      <c r="E4731" s="35"/>
      <c r="J4731" s="41"/>
    </row>
    <row r="4732" spans="5:10" s="34" customFormat="1" x14ac:dyDescent="0.35">
      <c r="E4732" s="35"/>
      <c r="J4732" s="41"/>
    </row>
    <row r="4733" spans="5:10" s="34" customFormat="1" x14ac:dyDescent="0.35">
      <c r="E4733" s="35"/>
      <c r="J4733" s="41"/>
    </row>
    <row r="4734" spans="5:10" s="34" customFormat="1" x14ac:dyDescent="0.35">
      <c r="E4734" s="35"/>
      <c r="J4734" s="41"/>
    </row>
    <row r="4735" spans="5:10" s="34" customFormat="1" x14ac:dyDescent="0.35">
      <c r="E4735" s="35"/>
      <c r="J4735" s="41"/>
    </row>
    <row r="4736" spans="5:10" s="34" customFormat="1" x14ac:dyDescent="0.35">
      <c r="E4736" s="35"/>
      <c r="J4736" s="41"/>
    </row>
    <row r="4737" spans="5:10" s="34" customFormat="1" x14ac:dyDescent="0.35">
      <c r="E4737" s="35"/>
      <c r="J4737" s="41"/>
    </row>
    <row r="4738" spans="5:10" s="34" customFormat="1" x14ac:dyDescent="0.35">
      <c r="E4738" s="35"/>
      <c r="J4738" s="41"/>
    </row>
    <row r="4739" spans="5:10" s="34" customFormat="1" x14ac:dyDescent="0.35">
      <c r="E4739" s="35"/>
      <c r="J4739" s="41"/>
    </row>
    <row r="4740" spans="5:10" s="34" customFormat="1" x14ac:dyDescent="0.35">
      <c r="E4740" s="35"/>
      <c r="J4740" s="41"/>
    </row>
    <row r="4741" spans="5:10" s="34" customFormat="1" x14ac:dyDescent="0.35">
      <c r="E4741" s="35"/>
      <c r="J4741" s="41"/>
    </row>
    <row r="4742" spans="5:10" s="34" customFormat="1" x14ac:dyDescent="0.35">
      <c r="E4742" s="35"/>
      <c r="J4742" s="41"/>
    </row>
    <row r="4743" spans="5:10" s="34" customFormat="1" x14ac:dyDescent="0.35">
      <c r="E4743" s="35"/>
      <c r="J4743" s="41"/>
    </row>
    <row r="4744" spans="5:10" s="34" customFormat="1" x14ac:dyDescent="0.35">
      <c r="E4744" s="35"/>
      <c r="J4744" s="41"/>
    </row>
    <row r="4745" spans="5:10" s="34" customFormat="1" x14ac:dyDescent="0.35">
      <c r="E4745" s="35"/>
      <c r="J4745" s="41"/>
    </row>
    <row r="4746" spans="5:10" s="34" customFormat="1" x14ac:dyDescent="0.35">
      <c r="E4746" s="35"/>
      <c r="J4746" s="41"/>
    </row>
    <row r="4747" spans="5:10" s="34" customFormat="1" x14ac:dyDescent="0.35">
      <c r="E4747" s="35"/>
      <c r="J4747" s="41"/>
    </row>
    <row r="4748" spans="5:10" s="34" customFormat="1" x14ac:dyDescent="0.35">
      <c r="E4748" s="35"/>
      <c r="J4748" s="41"/>
    </row>
    <row r="4749" spans="5:10" s="34" customFormat="1" x14ac:dyDescent="0.35">
      <c r="E4749" s="35"/>
      <c r="J4749" s="41"/>
    </row>
    <row r="4750" spans="5:10" s="34" customFormat="1" x14ac:dyDescent="0.35">
      <c r="E4750" s="35"/>
      <c r="J4750" s="41"/>
    </row>
    <row r="4751" spans="5:10" s="34" customFormat="1" x14ac:dyDescent="0.35">
      <c r="E4751" s="35"/>
      <c r="J4751" s="41"/>
    </row>
    <row r="4752" spans="5:10" s="34" customFormat="1" x14ac:dyDescent="0.35">
      <c r="E4752" s="35"/>
      <c r="J4752" s="41"/>
    </row>
    <row r="4753" spans="5:10" s="34" customFormat="1" x14ac:dyDescent="0.35">
      <c r="E4753" s="35"/>
      <c r="J4753" s="41"/>
    </row>
    <row r="4754" spans="5:10" s="34" customFormat="1" x14ac:dyDescent="0.35">
      <c r="E4754" s="35"/>
      <c r="J4754" s="41"/>
    </row>
    <row r="4755" spans="5:10" s="34" customFormat="1" x14ac:dyDescent="0.35">
      <c r="E4755" s="35"/>
      <c r="J4755" s="41"/>
    </row>
    <row r="4756" spans="5:10" s="34" customFormat="1" x14ac:dyDescent="0.35">
      <c r="E4756" s="35"/>
      <c r="J4756" s="41"/>
    </row>
    <row r="4757" spans="5:10" s="34" customFormat="1" x14ac:dyDescent="0.35">
      <c r="E4757" s="35"/>
      <c r="J4757" s="41"/>
    </row>
    <row r="4758" spans="5:10" s="34" customFormat="1" x14ac:dyDescent="0.35">
      <c r="E4758" s="35"/>
      <c r="J4758" s="41"/>
    </row>
    <row r="4759" spans="5:10" s="34" customFormat="1" x14ac:dyDescent="0.35">
      <c r="E4759" s="35"/>
      <c r="J4759" s="41"/>
    </row>
    <row r="4760" spans="5:10" s="34" customFormat="1" x14ac:dyDescent="0.35">
      <c r="E4760" s="35"/>
      <c r="J4760" s="41"/>
    </row>
    <row r="4761" spans="5:10" s="34" customFormat="1" x14ac:dyDescent="0.35">
      <c r="E4761" s="35"/>
      <c r="J4761" s="41"/>
    </row>
    <row r="4762" spans="5:10" s="34" customFormat="1" x14ac:dyDescent="0.35">
      <c r="E4762" s="35"/>
      <c r="J4762" s="41"/>
    </row>
    <row r="4763" spans="5:10" s="34" customFormat="1" x14ac:dyDescent="0.35">
      <c r="E4763" s="35"/>
      <c r="J4763" s="41"/>
    </row>
    <row r="4764" spans="5:10" s="34" customFormat="1" x14ac:dyDescent="0.35">
      <c r="E4764" s="35"/>
      <c r="J4764" s="41"/>
    </row>
    <row r="4765" spans="5:10" s="34" customFormat="1" x14ac:dyDescent="0.35">
      <c r="E4765" s="35"/>
      <c r="J4765" s="41"/>
    </row>
    <row r="4766" spans="5:10" s="34" customFormat="1" x14ac:dyDescent="0.35">
      <c r="E4766" s="35"/>
      <c r="J4766" s="41"/>
    </row>
    <row r="4767" spans="5:10" s="34" customFormat="1" x14ac:dyDescent="0.35">
      <c r="E4767" s="35"/>
      <c r="J4767" s="41"/>
    </row>
    <row r="4768" spans="5:10" s="34" customFormat="1" x14ac:dyDescent="0.35">
      <c r="E4768" s="35"/>
      <c r="J4768" s="41"/>
    </row>
    <row r="4769" spans="5:10" s="34" customFormat="1" x14ac:dyDescent="0.35">
      <c r="E4769" s="35"/>
      <c r="J4769" s="41"/>
    </row>
    <row r="4770" spans="5:10" s="34" customFormat="1" x14ac:dyDescent="0.35">
      <c r="E4770" s="35"/>
      <c r="J4770" s="41"/>
    </row>
    <row r="4771" spans="5:10" s="34" customFormat="1" x14ac:dyDescent="0.35">
      <c r="E4771" s="35"/>
      <c r="J4771" s="41"/>
    </row>
    <row r="4772" spans="5:10" s="34" customFormat="1" x14ac:dyDescent="0.35">
      <c r="E4772" s="35"/>
      <c r="J4772" s="41"/>
    </row>
    <row r="4773" spans="5:10" s="34" customFormat="1" x14ac:dyDescent="0.35">
      <c r="E4773" s="35"/>
      <c r="J4773" s="41"/>
    </row>
    <row r="4774" spans="5:10" s="34" customFormat="1" x14ac:dyDescent="0.35">
      <c r="E4774" s="35"/>
      <c r="J4774" s="41"/>
    </row>
    <row r="4775" spans="5:10" s="34" customFormat="1" x14ac:dyDescent="0.35">
      <c r="E4775" s="35"/>
      <c r="J4775" s="41"/>
    </row>
    <row r="4776" spans="5:10" s="34" customFormat="1" x14ac:dyDescent="0.35">
      <c r="E4776" s="35"/>
      <c r="J4776" s="41"/>
    </row>
    <row r="4777" spans="5:10" s="34" customFormat="1" x14ac:dyDescent="0.35">
      <c r="E4777" s="35"/>
      <c r="J4777" s="41"/>
    </row>
    <row r="4778" spans="5:10" s="34" customFormat="1" x14ac:dyDescent="0.35">
      <c r="E4778" s="35"/>
      <c r="J4778" s="41"/>
    </row>
    <row r="4779" spans="5:10" s="34" customFormat="1" x14ac:dyDescent="0.35">
      <c r="E4779" s="35"/>
      <c r="J4779" s="41"/>
    </row>
    <row r="4780" spans="5:10" s="34" customFormat="1" x14ac:dyDescent="0.35">
      <c r="E4780" s="35"/>
      <c r="J4780" s="41"/>
    </row>
    <row r="4781" spans="5:10" s="34" customFormat="1" x14ac:dyDescent="0.35">
      <c r="E4781" s="35"/>
      <c r="J4781" s="41"/>
    </row>
    <row r="4782" spans="5:10" s="34" customFormat="1" x14ac:dyDescent="0.35">
      <c r="E4782" s="35"/>
      <c r="J4782" s="41"/>
    </row>
    <row r="4783" spans="5:10" s="34" customFormat="1" x14ac:dyDescent="0.35">
      <c r="E4783" s="35"/>
      <c r="J4783" s="41"/>
    </row>
    <row r="4784" spans="5:10" s="34" customFormat="1" x14ac:dyDescent="0.35">
      <c r="E4784" s="35"/>
      <c r="J4784" s="41"/>
    </row>
    <row r="4785" spans="5:10" s="34" customFormat="1" x14ac:dyDescent="0.35">
      <c r="E4785" s="35"/>
      <c r="J4785" s="41"/>
    </row>
    <row r="4786" spans="5:10" s="34" customFormat="1" x14ac:dyDescent="0.35">
      <c r="E4786" s="35"/>
      <c r="J4786" s="41"/>
    </row>
    <row r="4787" spans="5:10" s="34" customFormat="1" x14ac:dyDescent="0.35">
      <c r="E4787" s="35"/>
      <c r="J4787" s="41"/>
    </row>
    <row r="4788" spans="5:10" s="34" customFormat="1" x14ac:dyDescent="0.35">
      <c r="E4788" s="35"/>
      <c r="J4788" s="41"/>
    </row>
    <row r="4789" spans="5:10" s="34" customFormat="1" x14ac:dyDescent="0.35">
      <c r="E4789" s="35"/>
      <c r="J4789" s="41"/>
    </row>
    <row r="4790" spans="5:10" s="34" customFormat="1" x14ac:dyDescent="0.35">
      <c r="E4790" s="35"/>
      <c r="J4790" s="41"/>
    </row>
    <row r="4791" spans="5:10" s="34" customFormat="1" x14ac:dyDescent="0.35">
      <c r="E4791" s="35"/>
      <c r="J4791" s="41"/>
    </row>
    <row r="4792" spans="5:10" s="34" customFormat="1" x14ac:dyDescent="0.35">
      <c r="E4792" s="35"/>
      <c r="J4792" s="41"/>
    </row>
    <row r="4793" spans="5:10" s="34" customFormat="1" x14ac:dyDescent="0.35">
      <c r="E4793" s="35"/>
      <c r="J4793" s="41"/>
    </row>
    <row r="4794" spans="5:10" s="34" customFormat="1" x14ac:dyDescent="0.35">
      <c r="E4794" s="35"/>
      <c r="J4794" s="41"/>
    </row>
    <row r="4795" spans="5:10" s="34" customFormat="1" x14ac:dyDescent="0.35">
      <c r="E4795" s="35"/>
      <c r="J4795" s="41"/>
    </row>
    <row r="4796" spans="5:10" s="34" customFormat="1" x14ac:dyDescent="0.35">
      <c r="E4796" s="35"/>
      <c r="J4796" s="41"/>
    </row>
    <row r="4797" spans="5:10" s="34" customFormat="1" x14ac:dyDescent="0.35">
      <c r="E4797" s="35"/>
      <c r="J4797" s="41"/>
    </row>
    <row r="4798" spans="5:10" s="34" customFormat="1" x14ac:dyDescent="0.35">
      <c r="E4798" s="35"/>
      <c r="J4798" s="41"/>
    </row>
    <row r="4799" spans="5:10" s="34" customFormat="1" x14ac:dyDescent="0.35">
      <c r="E4799" s="35"/>
      <c r="J4799" s="41"/>
    </row>
    <row r="4800" spans="5:10" s="34" customFormat="1" x14ac:dyDescent="0.35">
      <c r="E4800" s="35"/>
      <c r="J4800" s="41"/>
    </row>
    <row r="4801" spans="5:10" s="34" customFormat="1" x14ac:dyDescent="0.35">
      <c r="E4801" s="35"/>
      <c r="J4801" s="41"/>
    </row>
    <row r="4802" spans="5:10" s="34" customFormat="1" x14ac:dyDescent="0.35">
      <c r="E4802" s="35"/>
      <c r="J4802" s="41"/>
    </row>
    <row r="4803" spans="5:10" s="34" customFormat="1" x14ac:dyDescent="0.35">
      <c r="E4803" s="35"/>
      <c r="J4803" s="41"/>
    </row>
    <row r="4804" spans="5:10" s="34" customFormat="1" x14ac:dyDescent="0.35">
      <c r="E4804" s="35"/>
      <c r="J4804" s="41"/>
    </row>
    <row r="4805" spans="5:10" s="34" customFormat="1" x14ac:dyDescent="0.35">
      <c r="E4805" s="35"/>
      <c r="J4805" s="41"/>
    </row>
    <row r="4806" spans="5:10" s="34" customFormat="1" x14ac:dyDescent="0.35">
      <c r="E4806" s="35"/>
      <c r="J4806" s="41"/>
    </row>
    <row r="4807" spans="5:10" s="34" customFormat="1" x14ac:dyDescent="0.35">
      <c r="E4807" s="35"/>
      <c r="J4807" s="41"/>
    </row>
    <row r="4808" spans="5:10" s="34" customFormat="1" x14ac:dyDescent="0.35">
      <c r="E4808" s="35"/>
      <c r="J4808" s="41"/>
    </row>
    <row r="4809" spans="5:10" s="34" customFormat="1" x14ac:dyDescent="0.35">
      <c r="E4809" s="35"/>
      <c r="J4809" s="41"/>
    </row>
    <row r="4810" spans="5:10" s="34" customFormat="1" x14ac:dyDescent="0.35">
      <c r="E4810" s="35"/>
      <c r="J4810" s="41"/>
    </row>
    <row r="4811" spans="5:10" s="34" customFormat="1" x14ac:dyDescent="0.35">
      <c r="E4811" s="35"/>
      <c r="J4811" s="41"/>
    </row>
    <row r="4812" spans="5:10" s="34" customFormat="1" x14ac:dyDescent="0.35">
      <c r="E4812" s="35"/>
      <c r="J4812" s="41"/>
    </row>
    <row r="4813" spans="5:10" s="34" customFormat="1" x14ac:dyDescent="0.35">
      <c r="E4813" s="35"/>
      <c r="J4813" s="41"/>
    </row>
    <row r="4814" spans="5:10" s="34" customFormat="1" x14ac:dyDescent="0.35">
      <c r="E4814" s="35"/>
      <c r="J4814" s="41"/>
    </row>
    <row r="4815" spans="5:10" s="34" customFormat="1" x14ac:dyDescent="0.35">
      <c r="E4815" s="35"/>
      <c r="J4815" s="41"/>
    </row>
    <row r="4816" spans="5:10" s="34" customFormat="1" x14ac:dyDescent="0.35">
      <c r="E4816" s="35"/>
      <c r="J4816" s="41"/>
    </row>
    <row r="4817" spans="5:10" s="34" customFormat="1" x14ac:dyDescent="0.35">
      <c r="E4817" s="35"/>
      <c r="J4817" s="41"/>
    </row>
    <row r="4818" spans="5:10" s="34" customFormat="1" x14ac:dyDescent="0.35">
      <c r="E4818" s="35"/>
      <c r="J4818" s="41"/>
    </row>
    <row r="4819" spans="5:10" s="34" customFormat="1" x14ac:dyDescent="0.35">
      <c r="E4819" s="35"/>
      <c r="J4819" s="41"/>
    </row>
    <row r="4820" spans="5:10" s="34" customFormat="1" x14ac:dyDescent="0.35">
      <c r="E4820" s="35"/>
      <c r="J4820" s="41"/>
    </row>
    <row r="4821" spans="5:10" s="34" customFormat="1" x14ac:dyDescent="0.35">
      <c r="E4821" s="35"/>
      <c r="J4821" s="41"/>
    </row>
    <row r="4822" spans="5:10" s="34" customFormat="1" x14ac:dyDescent="0.35">
      <c r="E4822" s="35"/>
      <c r="J4822" s="41"/>
    </row>
    <row r="4823" spans="5:10" s="34" customFormat="1" x14ac:dyDescent="0.35">
      <c r="E4823" s="35"/>
      <c r="J4823" s="41"/>
    </row>
    <row r="4824" spans="5:10" s="34" customFormat="1" x14ac:dyDescent="0.35">
      <c r="E4824" s="35"/>
      <c r="J4824" s="41"/>
    </row>
    <row r="4825" spans="5:10" s="34" customFormat="1" x14ac:dyDescent="0.35">
      <c r="E4825" s="35"/>
      <c r="J4825" s="41"/>
    </row>
    <row r="4826" spans="5:10" s="34" customFormat="1" x14ac:dyDescent="0.35">
      <c r="E4826" s="35"/>
      <c r="J4826" s="41"/>
    </row>
    <row r="4827" spans="5:10" s="34" customFormat="1" x14ac:dyDescent="0.35">
      <c r="E4827" s="35"/>
      <c r="J4827" s="41"/>
    </row>
    <row r="4828" spans="5:10" s="34" customFormat="1" x14ac:dyDescent="0.35">
      <c r="E4828" s="35"/>
      <c r="J4828" s="41"/>
    </row>
    <row r="4829" spans="5:10" s="34" customFormat="1" x14ac:dyDescent="0.35">
      <c r="E4829" s="35"/>
      <c r="J4829" s="41"/>
    </row>
    <row r="4830" spans="5:10" s="34" customFormat="1" x14ac:dyDescent="0.35">
      <c r="E4830" s="35"/>
      <c r="J4830" s="41"/>
    </row>
    <row r="4831" spans="5:10" s="34" customFormat="1" x14ac:dyDescent="0.35">
      <c r="E4831" s="35"/>
      <c r="J4831" s="41"/>
    </row>
    <row r="4832" spans="5:10" s="34" customFormat="1" x14ac:dyDescent="0.35">
      <c r="E4832" s="35"/>
      <c r="J4832" s="41"/>
    </row>
    <row r="4833" spans="5:10" s="34" customFormat="1" x14ac:dyDescent="0.35">
      <c r="E4833" s="35"/>
      <c r="J4833" s="41"/>
    </row>
    <row r="4834" spans="5:10" s="34" customFormat="1" x14ac:dyDescent="0.35">
      <c r="E4834" s="35"/>
      <c r="J4834" s="41"/>
    </row>
    <row r="4835" spans="5:10" s="34" customFormat="1" x14ac:dyDescent="0.35">
      <c r="E4835" s="35"/>
      <c r="J4835" s="41"/>
    </row>
    <row r="4836" spans="5:10" s="34" customFormat="1" x14ac:dyDescent="0.35">
      <c r="E4836" s="35"/>
      <c r="J4836" s="41"/>
    </row>
    <row r="4837" spans="5:10" s="34" customFormat="1" x14ac:dyDescent="0.35">
      <c r="E4837" s="35"/>
      <c r="J4837" s="41"/>
    </row>
    <row r="4838" spans="5:10" s="34" customFormat="1" x14ac:dyDescent="0.35">
      <c r="E4838" s="35"/>
      <c r="J4838" s="41"/>
    </row>
    <row r="4839" spans="5:10" s="34" customFormat="1" x14ac:dyDescent="0.35">
      <c r="E4839" s="35"/>
      <c r="J4839" s="41"/>
    </row>
    <row r="4840" spans="5:10" s="34" customFormat="1" x14ac:dyDescent="0.35">
      <c r="E4840" s="35"/>
      <c r="J4840" s="41"/>
    </row>
    <row r="4841" spans="5:10" s="34" customFormat="1" x14ac:dyDescent="0.35">
      <c r="E4841" s="35"/>
      <c r="J4841" s="41"/>
    </row>
    <row r="4842" spans="5:10" s="34" customFormat="1" x14ac:dyDescent="0.35">
      <c r="E4842" s="35"/>
      <c r="J4842" s="41"/>
    </row>
    <row r="4843" spans="5:10" s="34" customFormat="1" x14ac:dyDescent="0.35">
      <c r="E4843" s="35"/>
      <c r="J4843" s="41"/>
    </row>
    <row r="4844" spans="5:10" s="34" customFormat="1" x14ac:dyDescent="0.35">
      <c r="E4844" s="35"/>
      <c r="J4844" s="41"/>
    </row>
    <row r="4845" spans="5:10" s="34" customFormat="1" x14ac:dyDescent="0.35">
      <c r="E4845" s="35"/>
      <c r="J4845" s="41"/>
    </row>
    <row r="4846" spans="5:10" s="34" customFormat="1" x14ac:dyDescent="0.35">
      <c r="E4846" s="35"/>
      <c r="J4846" s="41"/>
    </row>
    <row r="4847" spans="5:10" s="34" customFormat="1" x14ac:dyDescent="0.35">
      <c r="E4847" s="35"/>
      <c r="J4847" s="41"/>
    </row>
    <row r="4848" spans="5:10" s="34" customFormat="1" x14ac:dyDescent="0.35">
      <c r="E4848" s="35"/>
      <c r="J4848" s="41"/>
    </row>
    <row r="4849" spans="5:10" s="34" customFormat="1" x14ac:dyDescent="0.35">
      <c r="E4849" s="35"/>
      <c r="J4849" s="41"/>
    </row>
    <row r="4850" spans="5:10" s="34" customFormat="1" x14ac:dyDescent="0.35">
      <c r="E4850" s="35"/>
      <c r="J4850" s="41"/>
    </row>
    <row r="4851" spans="5:10" s="34" customFormat="1" x14ac:dyDescent="0.35">
      <c r="E4851" s="35"/>
      <c r="J4851" s="41"/>
    </row>
    <row r="4852" spans="5:10" s="34" customFormat="1" x14ac:dyDescent="0.35">
      <c r="E4852" s="35"/>
      <c r="J4852" s="41"/>
    </row>
    <row r="4853" spans="5:10" s="34" customFormat="1" x14ac:dyDescent="0.35">
      <c r="E4853" s="35"/>
      <c r="J4853" s="41"/>
    </row>
    <row r="4854" spans="5:10" s="34" customFormat="1" x14ac:dyDescent="0.35">
      <c r="E4854" s="35"/>
      <c r="J4854" s="41"/>
    </row>
    <row r="4855" spans="5:10" s="34" customFormat="1" x14ac:dyDescent="0.35">
      <c r="E4855" s="35"/>
      <c r="J4855" s="41"/>
    </row>
    <row r="4856" spans="5:10" s="34" customFormat="1" x14ac:dyDescent="0.35">
      <c r="E4856" s="35"/>
      <c r="J4856" s="41"/>
    </row>
    <row r="4857" spans="5:10" s="34" customFormat="1" x14ac:dyDescent="0.35">
      <c r="E4857" s="35"/>
      <c r="J4857" s="41"/>
    </row>
    <row r="4858" spans="5:10" s="34" customFormat="1" x14ac:dyDescent="0.35">
      <c r="E4858" s="35"/>
      <c r="J4858" s="41"/>
    </row>
    <row r="4859" spans="5:10" s="34" customFormat="1" x14ac:dyDescent="0.35">
      <c r="E4859" s="35"/>
      <c r="J4859" s="41"/>
    </row>
    <row r="4860" spans="5:10" s="34" customFormat="1" x14ac:dyDescent="0.35">
      <c r="E4860" s="35"/>
      <c r="J4860" s="41"/>
    </row>
    <row r="4861" spans="5:10" s="34" customFormat="1" x14ac:dyDescent="0.35">
      <c r="E4861" s="35"/>
      <c r="J4861" s="41"/>
    </row>
    <row r="4862" spans="5:10" s="34" customFormat="1" x14ac:dyDescent="0.35">
      <c r="E4862" s="35"/>
      <c r="J4862" s="41"/>
    </row>
    <row r="4863" spans="5:10" s="34" customFormat="1" x14ac:dyDescent="0.35">
      <c r="E4863" s="35"/>
      <c r="J4863" s="41"/>
    </row>
    <row r="4864" spans="5:10" s="34" customFormat="1" x14ac:dyDescent="0.35">
      <c r="E4864" s="35"/>
      <c r="J4864" s="41"/>
    </row>
    <row r="4865" spans="5:10" s="34" customFormat="1" x14ac:dyDescent="0.35">
      <c r="E4865" s="35"/>
      <c r="J4865" s="41"/>
    </row>
    <row r="4866" spans="5:10" s="34" customFormat="1" x14ac:dyDescent="0.35">
      <c r="E4866" s="35"/>
      <c r="J4866" s="41"/>
    </row>
    <row r="4867" spans="5:10" s="34" customFormat="1" x14ac:dyDescent="0.35">
      <c r="E4867" s="35"/>
      <c r="J4867" s="41"/>
    </row>
    <row r="4868" spans="5:10" s="34" customFormat="1" x14ac:dyDescent="0.35">
      <c r="E4868" s="35"/>
      <c r="J4868" s="41"/>
    </row>
    <row r="4869" spans="5:10" s="34" customFormat="1" x14ac:dyDescent="0.35">
      <c r="E4869" s="35"/>
      <c r="J4869" s="41"/>
    </row>
    <row r="4870" spans="5:10" s="34" customFormat="1" x14ac:dyDescent="0.35">
      <c r="E4870" s="35"/>
      <c r="J4870" s="41"/>
    </row>
    <row r="4871" spans="5:10" s="34" customFormat="1" x14ac:dyDescent="0.35">
      <c r="E4871" s="35"/>
      <c r="J4871" s="41"/>
    </row>
    <row r="4872" spans="5:10" s="34" customFormat="1" x14ac:dyDescent="0.35">
      <c r="E4872" s="35"/>
      <c r="J4872" s="41"/>
    </row>
    <row r="4873" spans="5:10" s="34" customFormat="1" x14ac:dyDescent="0.35">
      <c r="E4873" s="35"/>
      <c r="J4873" s="41"/>
    </row>
    <row r="4874" spans="5:10" s="34" customFormat="1" x14ac:dyDescent="0.35">
      <c r="E4874" s="35"/>
      <c r="J4874" s="41"/>
    </row>
    <row r="4875" spans="5:10" s="34" customFormat="1" x14ac:dyDescent="0.35">
      <c r="E4875" s="35"/>
      <c r="J4875" s="41"/>
    </row>
    <row r="4876" spans="5:10" s="34" customFormat="1" x14ac:dyDescent="0.35">
      <c r="E4876" s="35"/>
      <c r="J4876" s="41"/>
    </row>
    <row r="4877" spans="5:10" s="34" customFormat="1" x14ac:dyDescent="0.35">
      <c r="E4877" s="35"/>
      <c r="J4877" s="41"/>
    </row>
    <row r="4878" spans="5:10" s="34" customFormat="1" x14ac:dyDescent="0.35">
      <c r="E4878" s="35"/>
      <c r="J4878" s="41"/>
    </row>
    <row r="4879" spans="5:10" s="34" customFormat="1" x14ac:dyDescent="0.35">
      <c r="E4879" s="35"/>
      <c r="J4879" s="41"/>
    </row>
    <row r="4880" spans="5:10" s="34" customFormat="1" x14ac:dyDescent="0.35">
      <c r="E4880" s="35"/>
      <c r="J4880" s="41"/>
    </row>
    <row r="4881" spans="5:10" s="34" customFormat="1" x14ac:dyDescent="0.35">
      <c r="E4881" s="35"/>
      <c r="J4881" s="41"/>
    </row>
    <row r="4882" spans="5:10" s="34" customFormat="1" x14ac:dyDescent="0.35">
      <c r="E4882" s="35"/>
      <c r="J4882" s="41"/>
    </row>
    <row r="4883" spans="5:10" s="34" customFormat="1" x14ac:dyDescent="0.35">
      <c r="E4883" s="35"/>
      <c r="J4883" s="41"/>
    </row>
    <row r="4884" spans="5:10" s="34" customFormat="1" x14ac:dyDescent="0.35">
      <c r="E4884" s="35"/>
      <c r="J4884" s="41"/>
    </row>
    <row r="4885" spans="5:10" s="34" customFormat="1" x14ac:dyDescent="0.35">
      <c r="E4885" s="35"/>
      <c r="J4885" s="41"/>
    </row>
    <row r="4886" spans="5:10" s="34" customFormat="1" x14ac:dyDescent="0.35">
      <c r="E4886" s="35"/>
      <c r="J4886" s="41"/>
    </row>
    <row r="4887" spans="5:10" s="34" customFormat="1" x14ac:dyDescent="0.35">
      <c r="E4887" s="35"/>
      <c r="J4887" s="41"/>
    </row>
    <row r="4888" spans="5:10" s="34" customFormat="1" x14ac:dyDescent="0.35">
      <c r="E4888" s="35"/>
      <c r="J4888" s="41"/>
    </row>
    <row r="4889" spans="5:10" s="34" customFormat="1" x14ac:dyDescent="0.35">
      <c r="E4889" s="35"/>
      <c r="J4889" s="41"/>
    </row>
    <row r="4890" spans="5:10" s="34" customFormat="1" x14ac:dyDescent="0.35">
      <c r="E4890" s="35"/>
      <c r="J4890" s="41"/>
    </row>
    <row r="4891" spans="5:10" s="34" customFormat="1" x14ac:dyDescent="0.35">
      <c r="E4891" s="35"/>
      <c r="J4891" s="41"/>
    </row>
    <row r="4892" spans="5:10" s="34" customFormat="1" x14ac:dyDescent="0.35">
      <c r="E4892" s="35"/>
      <c r="J4892" s="41"/>
    </row>
    <row r="4893" spans="5:10" s="34" customFormat="1" x14ac:dyDescent="0.35">
      <c r="E4893" s="35"/>
      <c r="J4893" s="41"/>
    </row>
    <row r="4894" spans="5:10" s="34" customFormat="1" x14ac:dyDescent="0.35">
      <c r="E4894" s="35"/>
      <c r="J4894" s="41"/>
    </row>
    <row r="4895" spans="5:10" s="34" customFormat="1" x14ac:dyDescent="0.35">
      <c r="E4895" s="35"/>
      <c r="J4895" s="41"/>
    </row>
    <row r="4896" spans="5:10" s="34" customFormat="1" x14ac:dyDescent="0.35">
      <c r="E4896" s="35"/>
      <c r="J4896" s="41"/>
    </row>
    <row r="4897" spans="5:10" s="34" customFormat="1" x14ac:dyDescent="0.35">
      <c r="E4897" s="35"/>
      <c r="J4897" s="41"/>
    </row>
    <row r="4898" spans="5:10" s="34" customFormat="1" x14ac:dyDescent="0.35">
      <c r="E4898" s="35"/>
      <c r="J4898" s="41"/>
    </row>
    <row r="4899" spans="5:10" s="34" customFormat="1" x14ac:dyDescent="0.35">
      <c r="E4899" s="35"/>
      <c r="J4899" s="41"/>
    </row>
    <row r="4900" spans="5:10" s="34" customFormat="1" x14ac:dyDescent="0.35">
      <c r="E4900" s="35"/>
      <c r="J4900" s="41"/>
    </row>
    <row r="4901" spans="5:10" s="34" customFormat="1" x14ac:dyDescent="0.35">
      <c r="E4901" s="35"/>
      <c r="J4901" s="41"/>
    </row>
    <row r="4902" spans="5:10" s="34" customFormat="1" x14ac:dyDescent="0.35">
      <c r="E4902" s="35"/>
      <c r="J4902" s="41"/>
    </row>
    <row r="4903" spans="5:10" s="34" customFormat="1" x14ac:dyDescent="0.35">
      <c r="E4903" s="35"/>
      <c r="J4903" s="41"/>
    </row>
    <row r="4904" spans="5:10" s="34" customFormat="1" x14ac:dyDescent="0.35">
      <c r="E4904" s="35"/>
      <c r="J4904" s="41"/>
    </row>
    <row r="4905" spans="5:10" s="34" customFormat="1" x14ac:dyDescent="0.35">
      <c r="E4905" s="35"/>
      <c r="J4905" s="41"/>
    </row>
    <row r="4906" spans="5:10" s="34" customFormat="1" x14ac:dyDescent="0.35">
      <c r="E4906" s="35"/>
      <c r="J4906" s="41"/>
    </row>
    <row r="4907" spans="5:10" s="34" customFormat="1" x14ac:dyDescent="0.35">
      <c r="E4907" s="35"/>
      <c r="J4907" s="41"/>
    </row>
    <row r="4908" spans="5:10" s="34" customFormat="1" x14ac:dyDescent="0.35">
      <c r="E4908" s="35"/>
      <c r="J4908" s="41"/>
    </row>
    <row r="4909" spans="5:10" s="34" customFormat="1" x14ac:dyDescent="0.35">
      <c r="E4909" s="35"/>
      <c r="J4909" s="41"/>
    </row>
    <row r="4910" spans="5:10" s="34" customFormat="1" x14ac:dyDescent="0.35">
      <c r="E4910" s="35"/>
      <c r="J4910" s="41"/>
    </row>
    <row r="4911" spans="5:10" s="34" customFormat="1" x14ac:dyDescent="0.35">
      <c r="E4911" s="35"/>
      <c r="J4911" s="41"/>
    </row>
    <row r="4912" spans="5:10" s="34" customFormat="1" x14ac:dyDescent="0.35">
      <c r="E4912" s="35"/>
      <c r="J4912" s="41"/>
    </row>
    <row r="4913" spans="5:10" s="34" customFormat="1" x14ac:dyDescent="0.35">
      <c r="E4913" s="35"/>
      <c r="J4913" s="41"/>
    </row>
    <row r="4914" spans="5:10" s="34" customFormat="1" x14ac:dyDescent="0.35">
      <c r="E4914" s="35"/>
      <c r="J4914" s="41"/>
    </row>
    <row r="4915" spans="5:10" s="34" customFormat="1" x14ac:dyDescent="0.35">
      <c r="E4915" s="35"/>
      <c r="J4915" s="41"/>
    </row>
    <row r="4916" spans="5:10" s="34" customFormat="1" x14ac:dyDescent="0.35">
      <c r="E4916" s="35"/>
      <c r="J4916" s="41"/>
    </row>
    <row r="4917" spans="5:10" s="34" customFormat="1" x14ac:dyDescent="0.35">
      <c r="E4917" s="35"/>
      <c r="J4917" s="41"/>
    </row>
    <row r="4918" spans="5:10" s="34" customFormat="1" x14ac:dyDescent="0.35">
      <c r="E4918" s="35"/>
      <c r="J4918" s="41"/>
    </row>
    <row r="4919" spans="5:10" s="34" customFormat="1" x14ac:dyDescent="0.35">
      <c r="E4919" s="35"/>
      <c r="J4919" s="41"/>
    </row>
    <row r="4920" spans="5:10" s="34" customFormat="1" x14ac:dyDescent="0.35">
      <c r="E4920" s="35"/>
      <c r="J4920" s="41"/>
    </row>
    <row r="4921" spans="5:10" s="34" customFormat="1" x14ac:dyDescent="0.35">
      <c r="E4921" s="35"/>
      <c r="J4921" s="41"/>
    </row>
    <row r="4922" spans="5:10" s="34" customFormat="1" x14ac:dyDescent="0.35">
      <c r="E4922" s="35"/>
      <c r="J4922" s="41"/>
    </row>
    <row r="4923" spans="5:10" s="34" customFormat="1" x14ac:dyDescent="0.35">
      <c r="E4923" s="35"/>
      <c r="J4923" s="41"/>
    </row>
    <row r="4924" spans="5:10" s="34" customFormat="1" x14ac:dyDescent="0.35">
      <c r="E4924" s="35"/>
      <c r="J4924" s="41"/>
    </row>
    <row r="4925" spans="5:10" s="34" customFormat="1" x14ac:dyDescent="0.35">
      <c r="E4925" s="35"/>
      <c r="J4925" s="41"/>
    </row>
    <row r="4926" spans="5:10" s="34" customFormat="1" x14ac:dyDescent="0.35">
      <c r="E4926" s="35"/>
      <c r="J4926" s="41"/>
    </row>
    <row r="4927" spans="5:10" s="34" customFormat="1" x14ac:dyDescent="0.35">
      <c r="E4927" s="35"/>
      <c r="J4927" s="41"/>
    </row>
    <row r="4928" spans="5:10" s="34" customFormat="1" x14ac:dyDescent="0.35">
      <c r="E4928" s="35"/>
      <c r="J4928" s="41"/>
    </row>
    <row r="4929" spans="5:10" s="34" customFormat="1" x14ac:dyDescent="0.35">
      <c r="E4929" s="35"/>
      <c r="J4929" s="41"/>
    </row>
    <row r="4930" spans="5:10" s="34" customFormat="1" x14ac:dyDescent="0.35">
      <c r="E4930" s="35"/>
      <c r="J4930" s="41"/>
    </row>
    <row r="4931" spans="5:10" s="34" customFormat="1" x14ac:dyDescent="0.35">
      <c r="E4931" s="35"/>
      <c r="J4931" s="41"/>
    </row>
    <row r="4932" spans="5:10" s="34" customFormat="1" x14ac:dyDescent="0.35">
      <c r="E4932" s="35"/>
      <c r="J4932" s="41"/>
    </row>
    <row r="4933" spans="5:10" s="34" customFormat="1" x14ac:dyDescent="0.35">
      <c r="E4933" s="35"/>
      <c r="J4933" s="41"/>
    </row>
    <row r="4934" spans="5:10" s="34" customFormat="1" x14ac:dyDescent="0.35">
      <c r="E4934" s="35"/>
      <c r="J4934" s="41"/>
    </row>
    <row r="4935" spans="5:10" s="34" customFormat="1" x14ac:dyDescent="0.35">
      <c r="E4935" s="35"/>
      <c r="J4935" s="41"/>
    </row>
    <row r="4936" spans="5:10" s="34" customFormat="1" x14ac:dyDescent="0.35">
      <c r="E4936" s="35"/>
      <c r="J4936" s="41"/>
    </row>
    <row r="4937" spans="5:10" s="34" customFormat="1" x14ac:dyDescent="0.35">
      <c r="E4937" s="35"/>
      <c r="J4937" s="41"/>
    </row>
    <row r="4938" spans="5:10" s="34" customFormat="1" x14ac:dyDescent="0.35">
      <c r="E4938" s="35"/>
      <c r="J4938" s="41"/>
    </row>
    <row r="4939" spans="5:10" s="34" customFormat="1" x14ac:dyDescent="0.35">
      <c r="E4939" s="35"/>
      <c r="J4939" s="41"/>
    </row>
    <row r="4940" spans="5:10" s="34" customFormat="1" x14ac:dyDescent="0.35">
      <c r="E4940" s="35"/>
      <c r="J4940" s="41"/>
    </row>
    <row r="4941" spans="5:10" s="34" customFormat="1" x14ac:dyDescent="0.35">
      <c r="E4941" s="35"/>
      <c r="J4941" s="41"/>
    </row>
    <row r="4942" spans="5:10" s="34" customFormat="1" x14ac:dyDescent="0.35">
      <c r="E4942" s="35"/>
      <c r="J4942" s="41"/>
    </row>
    <row r="4943" spans="5:10" s="34" customFormat="1" x14ac:dyDescent="0.35">
      <c r="E4943" s="35"/>
      <c r="J4943" s="41"/>
    </row>
    <row r="4944" spans="5:10" s="34" customFormat="1" x14ac:dyDescent="0.35">
      <c r="E4944" s="35"/>
      <c r="J4944" s="41"/>
    </row>
    <row r="4945" spans="5:10" s="34" customFormat="1" x14ac:dyDescent="0.35">
      <c r="E4945" s="35"/>
      <c r="J4945" s="41"/>
    </row>
    <row r="4946" spans="5:10" s="34" customFormat="1" x14ac:dyDescent="0.35">
      <c r="E4946" s="35"/>
      <c r="J4946" s="41"/>
    </row>
    <row r="4947" spans="5:10" s="34" customFormat="1" x14ac:dyDescent="0.35">
      <c r="E4947" s="35"/>
      <c r="J4947" s="41"/>
    </row>
    <row r="4948" spans="5:10" s="34" customFormat="1" x14ac:dyDescent="0.35">
      <c r="E4948" s="35"/>
      <c r="J4948" s="41"/>
    </row>
    <row r="4949" spans="5:10" s="34" customFormat="1" x14ac:dyDescent="0.35">
      <c r="E4949" s="35"/>
      <c r="J4949" s="41"/>
    </row>
    <row r="4950" spans="5:10" s="34" customFormat="1" x14ac:dyDescent="0.35">
      <c r="E4950" s="35"/>
      <c r="J4950" s="41"/>
    </row>
    <row r="4951" spans="5:10" s="34" customFormat="1" x14ac:dyDescent="0.35">
      <c r="E4951" s="35"/>
      <c r="J4951" s="41"/>
    </row>
    <row r="4952" spans="5:10" s="34" customFormat="1" x14ac:dyDescent="0.35">
      <c r="E4952" s="35"/>
      <c r="J4952" s="41"/>
    </row>
    <row r="4953" spans="5:10" s="34" customFormat="1" x14ac:dyDescent="0.35">
      <c r="E4953" s="35"/>
      <c r="J4953" s="41"/>
    </row>
    <row r="4954" spans="5:10" s="34" customFormat="1" x14ac:dyDescent="0.35">
      <c r="E4954" s="35"/>
      <c r="J4954" s="41"/>
    </row>
    <row r="4955" spans="5:10" s="34" customFormat="1" x14ac:dyDescent="0.35">
      <c r="E4955" s="35"/>
      <c r="J4955" s="41"/>
    </row>
    <row r="4956" spans="5:10" s="34" customFormat="1" x14ac:dyDescent="0.35">
      <c r="E4956" s="35"/>
      <c r="J4956" s="41"/>
    </row>
    <row r="4957" spans="5:10" s="34" customFormat="1" x14ac:dyDescent="0.35">
      <c r="E4957" s="35"/>
      <c r="J4957" s="41"/>
    </row>
    <row r="4958" spans="5:10" s="34" customFormat="1" x14ac:dyDescent="0.35">
      <c r="E4958" s="35"/>
      <c r="J4958" s="41"/>
    </row>
    <row r="4959" spans="5:10" s="34" customFormat="1" x14ac:dyDescent="0.35">
      <c r="E4959" s="35"/>
      <c r="J4959" s="41"/>
    </row>
    <row r="4960" spans="5:10" s="34" customFormat="1" x14ac:dyDescent="0.35">
      <c r="E4960" s="35"/>
      <c r="J4960" s="41"/>
    </row>
    <row r="4961" spans="5:10" s="34" customFormat="1" x14ac:dyDescent="0.35">
      <c r="E4961" s="35"/>
      <c r="J4961" s="41"/>
    </row>
    <row r="4962" spans="5:10" s="34" customFormat="1" x14ac:dyDescent="0.35">
      <c r="E4962" s="35"/>
      <c r="J4962" s="41"/>
    </row>
    <row r="4963" spans="5:10" s="34" customFormat="1" x14ac:dyDescent="0.35">
      <c r="E4963" s="35"/>
      <c r="J4963" s="41"/>
    </row>
    <row r="4964" spans="5:10" s="34" customFormat="1" x14ac:dyDescent="0.35">
      <c r="E4964" s="35"/>
      <c r="J4964" s="41"/>
    </row>
    <row r="4965" spans="5:10" s="34" customFormat="1" x14ac:dyDescent="0.35">
      <c r="E4965" s="35"/>
      <c r="J4965" s="41"/>
    </row>
    <row r="4966" spans="5:10" s="34" customFormat="1" x14ac:dyDescent="0.35">
      <c r="E4966" s="35"/>
      <c r="J4966" s="41"/>
    </row>
    <row r="4967" spans="5:10" s="34" customFormat="1" x14ac:dyDescent="0.35">
      <c r="E4967" s="35"/>
      <c r="J4967" s="41"/>
    </row>
    <row r="4968" spans="5:10" s="34" customFormat="1" x14ac:dyDescent="0.35">
      <c r="E4968" s="35"/>
      <c r="J4968" s="41"/>
    </row>
    <row r="4969" spans="5:10" s="34" customFormat="1" x14ac:dyDescent="0.35">
      <c r="E4969" s="35"/>
      <c r="J4969" s="41"/>
    </row>
    <row r="4970" spans="5:10" s="34" customFormat="1" x14ac:dyDescent="0.35">
      <c r="E4970" s="35"/>
      <c r="J4970" s="41"/>
    </row>
    <row r="4971" spans="5:10" s="34" customFormat="1" x14ac:dyDescent="0.35">
      <c r="E4971" s="35"/>
      <c r="J4971" s="41"/>
    </row>
    <row r="4972" spans="5:10" s="34" customFormat="1" x14ac:dyDescent="0.35">
      <c r="E4972" s="35"/>
      <c r="J4972" s="41"/>
    </row>
    <row r="4973" spans="5:10" s="34" customFormat="1" x14ac:dyDescent="0.35">
      <c r="E4973" s="35"/>
      <c r="J4973" s="41"/>
    </row>
    <row r="4974" spans="5:10" s="34" customFormat="1" x14ac:dyDescent="0.35">
      <c r="E4974" s="35"/>
      <c r="J4974" s="41"/>
    </row>
    <row r="4975" spans="5:10" s="34" customFormat="1" x14ac:dyDescent="0.35">
      <c r="E4975" s="35"/>
      <c r="J4975" s="41"/>
    </row>
    <row r="4976" spans="5:10" s="34" customFormat="1" x14ac:dyDescent="0.35">
      <c r="E4976" s="35"/>
      <c r="J4976" s="41"/>
    </row>
    <row r="4977" spans="5:10" s="34" customFormat="1" x14ac:dyDescent="0.35">
      <c r="E4977" s="35"/>
      <c r="J4977" s="41"/>
    </row>
    <row r="4978" spans="5:10" s="34" customFormat="1" x14ac:dyDescent="0.35">
      <c r="E4978" s="35"/>
      <c r="J4978" s="41"/>
    </row>
    <row r="4979" spans="5:10" s="34" customFormat="1" x14ac:dyDescent="0.35">
      <c r="E4979" s="35"/>
      <c r="J4979" s="41"/>
    </row>
    <row r="4980" spans="5:10" s="34" customFormat="1" x14ac:dyDescent="0.35">
      <c r="E4980" s="35"/>
      <c r="J4980" s="41"/>
    </row>
    <row r="4981" spans="5:10" s="34" customFormat="1" x14ac:dyDescent="0.35">
      <c r="E4981" s="35"/>
      <c r="J4981" s="41"/>
    </row>
    <row r="4982" spans="5:10" s="34" customFormat="1" x14ac:dyDescent="0.35">
      <c r="E4982" s="35"/>
      <c r="J4982" s="41"/>
    </row>
    <row r="4983" spans="5:10" s="34" customFormat="1" x14ac:dyDescent="0.35">
      <c r="E4983" s="35"/>
      <c r="J4983" s="41"/>
    </row>
    <row r="4984" spans="5:10" s="34" customFormat="1" x14ac:dyDescent="0.35">
      <c r="E4984" s="35"/>
      <c r="J4984" s="41"/>
    </row>
    <row r="4985" spans="5:10" s="34" customFormat="1" x14ac:dyDescent="0.35">
      <c r="E4985" s="35"/>
      <c r="J4985" s="41"/>
    </row>
    <row r="4986" spans="5:10" s="34" customFormat="1" x14ac:dyDescent="0.35">
      <c r="E4986" s="35"/>
      <c r="J4986" s="41"/>
    </row>
    <row r="4987" spans="5:10" s="34" customFormat="1" x14ac:dyDescent="0.35">
      <c r="E4987" s="35"/>
      <c r="J4987" s="41"/>
    </row>
    <row r="4988" spans="5:10" s="34" customFormat="1" x14ac:dyDescent="0.35">
      <c r="E4988" s="35"/>
      <c r="J4988" s="41"/>
    </row>
    <row r="4989" spans="5:10" s="34" customFormat="1" x14ac:dyDescent="0.35">
      <c r="E4989" s="35"/>
      <c r="J4989" s="41"/>
    </row>
    <row r="4990" spans="5:10" s="34" customFormat="1" x14ac:dyDescent="0.35">
      <c r="E4990" s="35"/>
      <c r="J4990" s="41"/>
    </row>
    <row r="4991" spans="5:10" s="34" customFormat="1" x14ac:dyDescent="0.35">
      <c r="E4991" s="35"/>
      <c r="J4991" s="41"/>
    </row>
    <row r="4992" spans="5:10" s="34" customFormat="1" x14ac:dyDescent="0.35">
      <c r="E4992" s="35"/>
      <c r="J4992" s="41"/>
    </row>
    <row r="4993" spans="5:10" s="34" customFormat="1" x14ac:dyDescent="0.35">
      <c r="E4993" s="35"/>
      <c r="J4993" s="41"/>
    </row>
    <row r="4994" spans="5:10" s="34" customFormat="1" x14ac:dyDescent="0.35">
      <c r="E4994" s="35"/>
      <c r="J4994" s="41"/>
    </row>
    <row r="4995" spans="5:10" s="34" customFormat="1" x14ac:dyDescent="0.35">
      <c r="E4995" s="35"/>
      <c r="J4995" s="41"/>
    </row>
    <row r="4996" spans="5:10" s="34" customFormat="1" x14ac:dyDescent="0.35">
      <c r="E4996" s="35"/>
      <c r="J4996" s="41"/>
    </row>
    <row r="4997" spans="5:10" s="34" customFormat="1" x14ac:dyDescent="0.35">
      <c r="E4997" s="35"/>
      <c r="J4997" s="41"/>
    </row>
    <row r="4998" spans="5:10" s="34" customFormat="1" x14ac:dyDescent="0.35">
      <c r="E4998" s="35"/>
      <c r="J4998" s="41"/>
    </row>
    <row r="4999" spans="5:10" s="34" customFormat="1" x14ac:dyDescent="0.35">
      <c r="E4999" s="35"/>
      <c r="J4999" s="41"/>
    </row>
    <row r="5000" spans="5:10" s="34" customFormat="1" x14ac:dyDescent="0.35">
      <c r="E5000" s="35"/>
      <c r="J5000" s="41"/>
    </row>
    <row r="5001" spans="5:10" s="34" customFormat="1" x14ac:dyDescent="0.35">
      <c r="E5001" s="35"/>
      <c r="J5001" s="41"/>
    </row>
    <row r="5002" spans="5:10" s="34" customFormat="1" x14ac:dyDescent="0.35">
      <c r="E5002" s="35"/>
      <c r="J5002" s="41"/>
    </row>
    <row r="5003" spans="5:10" s="34" customFormat="1" x14ac:dyDescent="0.35">
      <c r="E5003" s="35"/>
      <c r="J5003" s="41"/>
    </row>
    <row r="5004" spans="5:10" s="34" customFormat="1" x14ac:dyDescent="0.35">
      <c r="E5004" s="35"/>
      <c r="J5004" s="41"/>
    </row>
    <row r="5005" spans="5:10" s="34" customFormat="1" x14ac:dyDescent="0.35">
      <c r="E5005" s="35"/>
      <c r="J5005" s="41"/>
    </row>
    <row r="5006" spans="5:10" s="34" customFormat="1" x14ac:dyDescent="0.35">
      <c r="E5006" s="35"/>
      <c r="J5006" s="41"/>
    </row>
    <row r="5007" spans="5:10" s="34" customFormat="1" x14ac:dyDescent="0.35">
      <c r="E5007" s="35"/>
      <c r="J5007" s="41"/>
    </row>
    <row r="5008" spans="5:10" s="34" customFormat="1" x14ac:dyDescent="0.35">
      <c r="E5008" s="35"/>
      <c r="J5008" s="41"/>
    </row>
    <row r="5009" spans="5:10" s="34" customFormat="1" x14ac:dyDescent="0.35">
      <c r="E5009" s="35"/>
      <c r="J5009" s="41"/>
    </row>
    <row r="5010" spans="5:10" s="34" customFormat="1" x14ac:dyDescent="0.35">
      <c r="E5010" s="35"/>
      <c r="J5010" s="41"/>
    </row>
    <row r="5011" spans="5:10" s="34" customFormat="1" x14ac:dyDescent="0.35">
      <c r="E5011" s="35"/>
      <c r="J5011" s="41"/>
    </row>
    <row r="5012" spans="5:10" s="34" customFormat="1" x14ac:dyDescent="0.35">
      <c r="E5012" s="35"/>
      <c r="J5012" s="41"/>
    </row>
    <row r="5013" spans="5:10" s="34" customFormat="1" x14ac:dyDescent="0.35">
      <c r="E5013" s="35"/>
      <c r="J5013" s="41"/>
    </row>
    <row r="5014" spans="5:10" s="34" customFormat="1" x14ac:dyDescent="0.35">
      <c r="E5014" s="35"/>
      <c r="J5014" s="41"/>
    </row>
    <row r="5015" spans="5:10" s="34" customFormat="1" x14ac:dyDescent="0.35">
      <c r="E5015" s="35"/>
      <c r="J5015" s="41"/>
    </row>
    <row r="5016" spans="5:10" s="34" customFormat="1" x14ac:dyDescent="0.35">
      <c r="E5016" s="35"/>
      <c r="J5016" s="41"/>
    </row>
    <row r="5017" spans="5:10" s="34" customFormat="1" x14ac:dyDescent="0.35">
      <c r="E5017" s="35"/>
      <c r="J5017" s="41"/>
    </row>
    <row r="5018" spans="5:10" s="34" customFormat="1" x14ac:dyDescent="0.35">
      <c r="E5018" s="35"/>
      <c r="J5018" s="41"/>
    </row>
    <row r="5019" spans="5:10" s="34" customFormat="1" x14ac:dyDescent="0.35">
      <c r="E5019" s="35"/>
      <c r="J5019" s="41"/>
    </row>
    <row r="5020" spans="5:10" s="34" customFormat="1" x14ac:dyDescent="0.35">
      <c r="E5020" s="35"/>
      <c r="J5020" s="41"/>
    </row>
    <row r="5021" spans="5:10" s="34" customFormat="1" x14ac:dyDescent="0.35">
      <c r="E5021" s="35"/>
      <c r="J5021" s="41"/>
    </row>
    <row r="5022" spans="5:10" s="34" customFormat="1" x14ac:dyDescent="0.35">
      <c r="E5022" s="35"/>
      <c r="J5022" s="41"/>
    </row>
    <row r="5023" spans="5:10" s="34" customFormat="1" x14ac:dyDescent="0.35">
      <c r="E5023" s="35"/>
      <c r="J5023" s="41"/>
    </row>
    <row r="5024" spans="5:10" s="34" customFormat="1" x14ac:dyDescent="0.35">
      <c r="E5024" s="35"/>
      <c r="J5024" s="41"/>
    </row>
    <row r="5025" spans="5:10" s="34" customFormat="1" x14ac:dyDescent="0.35">
      <c r="E5025" s="35"/>
      <c r="J5025" s="41"/>
    </row>
    <row r="5026" spans="5:10" s="34" customFormat="1" x14ac:dyDescent="0.35">
      <c r="E5026" s="35"/>
      <c r="J5026" s="41"/>
    </row>
    <row r="5027" spans="5:10" s="34" customFormat="1" x14ac:dyDescent="0.35">
      <c r="E5027" s="35"/>
      <c r="J5027" s="41"/>
    </row>
    <row r="5028" spans="5:10" s="34" customFormat="1" x14ac:dyDescent="0.35">
      <c r="E5028" s="35"/>
      <c r="J5028" s="41"/>
    </row>
    <row r="5029" spans="5:10" s="34" customFormat="1" x14ac:dyDescent="0.35">
      <c r="E5029" s="35"/>
      <c r="J5029" s="41"/>
    </row>
    <row r="5030" spans="5:10" s="34" customFormat="1" x14ac:dyDescent="0.35">
      <c r="E5030" s="35"/>
      <c r="J5030" s="41"/>
    </row>
    <row r="5031" spans="5:10" s="34" customFormat="1" x14ac:dyDescent="0.35">
      <c r="E5031" s="35"/>
      <c r="J5031" s="41"/>
    </row>
    <row r="5032" spans="5:10" s="34" customFormat="1" x14ac:dyDescent="0.35">
      <c r="E5032" s="35"/>
      <c r="J5032" s="41"/>
    </row>
    <row r="5033" spans="5:10" s="34" customFormat="1" x14ac:dyDescent="0.35">
      <c r="E5033" s="35"/>
      <c r="J5033" s="41"/>
    </row>
    <row r="5034" spans="5:10" s="34" customFormat="1" x14ac:dyDescent="0.35">
      <c r="E5034" s="35"/>
      <c r="J5034" s="41"/>
    </row>
    <row r="5035" spans="5:10" s="34" customFormat="1" x14ac:dyDescent="0.35">
      <c r="E5035" s="35"/>
      <c r="J5035" s="41"/>
    </row>
    <row r="5036" spans="5:10" s="34" customFormat="1" x14ac:dyDescent="0.35">
      <c r="E5036" s="35"/>
      <c r="J5036" s="41"/>
    </row>
    <row r="5037" spans="5:10" s="34" customFormat="1" x14ac:dyDescent="0.35">
      <c r="E5037" s="35"/>
      <c r="J5037" s="41"/>
    </row>
    <row r="5038" spans="5:10" s="34" customFormat="1" x14ac:dyDescent="0.35">
      <c r="E5038" s="35"/>
      <c r="J5038" s="41"/>
    </row>
    <row r="5039" spans="5:10" s="34" customFormat="1" x14ac:dyDescent="0.35">
      <c r="E5039" s="35"/>
      <c r="J5039" s="41"/>
    </row>
    <row r="5040" spans="5:10" s="34" customFormat="1" x14ac:dyDescent="0.35">
      <c r="E5040" s="35"/>
      <c r="J5040" s="41"/>
    </row>
    <row r="5041" spans="5:10" s="34" customFormat="1" x14ac:dyDescent="0.35">
      <c r="E5041" s="35"/>
      <c r="J5041" s="41"/>
    </row>
    <row r="5042" spans="5:10" s="34" customFormat="1" x14ac:dyDescent="0.35">
      <c r="E5042" s="35"/>
      <c r="J5042" s="41"/>
    </row>
    <row r="5043" spans="5:10" s="34" customFormat="1" x14ac:dyDescent="0.35">
      <c r="E5043" s="35"/>
      <c r="J5043" s="41"/>
    </row>
    <row r="5044" spans="5:10" s="34" customFormat="1" x14ac:dyDescent="0.35">
      <c r="E5044" s="35"/>
      <c r="J5044" s="41"/>
    </row>
    <row r="5045" spans="5:10" s="34" customFormat="1" x14ac:dyDescent="0.35">
      <c r="E5045" s="35"/>
      <c r="J5045" s="41"/>
    </row>
    <row r="5046" spans="5:10" s="34" customFormat="1" x14ac:dyDescent="0.35">
      <c r="E5046" s="35"/>
      <c r="J5046" s="41"/>
    </row>
    <row r="5047" spans="5:10" s="34" customFormat="1" x14ac:dyDescent="0.35">
      <c r="E5047" s="35"/>
      <c r="J5047" s="41"/>
    </row>
    <row r="5048" spans="5:10" s="34" customFormat="1" x14ac:dyDescent="0.35">
      <c r="E5048" s="35"/>
      <c r="J5048" s="41"/>
    </row>
    <row r="5049" spans="5:10" s="34" customFormat="1" x14ac:dyDescent="0.35">
      <c r="E5049" s="35"/>
      <c r="J5049" s="41"/>
    </row>
    <row r="5050" spans="5:10" s="34" customFormat="1" x14ac:dyDescent="0.35">
      <c r="E5050" s="35"/>
      <c r="J5050" s="41"/>
    </row>
    <row r="5051" spans="5:10" s="34" customFormat="1" x14ac:dyDescent="0.35">
      <c r="E5051" s="35"/>
      <c r="J5051" s="41"/>
    </row>
    <row r="5052" spans="5:10" s="34" customFormat="1" x14ac:dyDescent="0.35">
      <c r="E5052" s="35"/>
      <c r="J5052" s="41"/>
    </row>
    <row r="5053" spans="5:10" s="34" customFormat="1" x14ac:dyDescent="0.35">
      <c r="E5053" s="35"/>
      <c r="J5053" s="41"/>
    </row>
    <row r="5054" spans="5:10" s="34" customFormat="1" x14ac:dyDescent="0.35">
      <c r="E5054" s="35"/>
      <c r="J5054" s="41"/>
    </row>
    <row r="5055" spans="5:10" s="34" customFormat="1" x14ac:dyDescent="0.35">
      <c r="E5055" s="35"/>
      <c r="J5055" s="41"/>
    </row>
    <row r="5056" spans="5:10" s="34" customFormat="1" x14ac:dyDescent="0.35">
      <c r="E5056" s="35"/>
      <c r="J5056" s="41"/>
    </row>
    <row r="5057" spans="5:10" s="34" customFormat="1" x14ac:dyDescent="0.35">
      <c r="E5057" s="35"/>
      <c r="J5057" s="41"/>
    </row>
    <row r="5058" spans="5:10" s="34" customFormat="1" x14ac:dyDescent="0.35">
      <c r="E5058" s="35"/>
      <c r="J5058" s="41"/>
    </row>
    <row r="5059" spans="5:10" s="34" customFormat="1" x14ac:dyDescent="0.35">
      <c r="E5059" s="35"/>
      <c r="J5059" s="41"/>
    </row>
    <row r="5060" spans="5:10" s="34" customFormat="1" x14ac:dyDescent="0.35">
      <c r="E5060" s="35"/>
      <c r="J5060" s="41"/>
    </row>
    <row r="5061" spans="5:10" s="34" customFormat="1" x14ac:dyDescent="0.35">
      <c r="E5061" s="35"/>
      <c r="J5061" s="41"/>
    </row>
    <row r="5062" spans="5:10" s="34" customFormat="1" x14ac:dyDescent="0.35">
      <c r="E5062" s="35"/>
      <c r="J5062" s="41"/>
    </row>
    <row r="5063" spans="5:10" s="34" customFormat="1" x14ac:dyDescent="0.35">
      <c r="E5063" s="35"/>
      <c r="J5063" s="41"/>
    </row>
    <row r="5064" spans="5:10" s="34" customFormat="1" x14ac:dyDescent="0.35">
      <c r="E5064" s="35"/>
      <c r="J5064" s="41"/>
    </row>
    <row r="5065" spans="5:10" s="34" customFormat="1" x14ac:dyDescent="0.35">
      <c r="E5065" s="35"/>
      <c r="J5065" s="41"/>
    </row>
    <row r="5066" spans="5:10" s="34" customFormat="1" x14ac:dyDescent="0.35">
      <c r="E5066" s="35"/>
      <c r="J5066" s="41"/>
    </row>
    <row r="5067" spans="5:10" s="34" customFormat="1" x14ac:dyDescent="0.35">
      <c r="E5067" s="35"/>
      <c r="J5067" s="41"/>
    </row>
    <row r="5068" spans="5:10" s="34" customFormat="1" x14ac:dyDescent="0.35">
      <c r="E5068" s="35"/>
      <c r="J5068" s="41"/>
    </row>
    <row r="5069" spans="5:10" s="34" customFormat="1" x14ac:dyDescent="0.35">
      <c r="E5069" s="35"/>
      <c r="J5069" s="41"/>
    </row>
    <row r="5070" spans="5:10" s="34" customFormat="1" x14ac:dyDescent="0.35">
      <c r="E5070" s="35"/>
      <c r="J5070" s="41"/>
    </row>
    <row r="5071" spans="5:10" s="34" customFormat="1" x14ac:dyDescent="0.35">
      <c r="E5071" s="35"/>
      <c r="J5071" s="41"/>
    </row>
    <row r="5072" spans="5:10" s="34" customFormat="1" x14ac:dyDescent="0.35">
      <c r="E5072" s="35"/>
      <c r="J5072" s="41"/>
    </row>
    <row r="5073" spans="5:10" s="34" customFormat="1" x14ac:dyDescent="0.35">
      <c r="E5073" s="35"/>
      <c r="J5073" s="41"/>
    </row>
    <row r="5074" spans="5:10" s="34" customFormat="1" x14ac:dyDescent="0.35">
      <c r="E5074" s="35"/>
      <c r="J5074" s="41"/>
    </row>
    <row r="5075" spans="5:10" s="34" customFormat="1" x14ac:dyDescent="0.35">
      <c r="E5075" s="35"/>
      <c r="J5075" s="41"/>
    </row>
    <row r="5076" spans="5:10" s="34" customFormat="1" x14ac:dyDescent="0.35">
      <c r="E5076" s="35"/>
      <c r="J5076" s="41"/>
    </row>
    <row r="5077" spans="5:10" s="34" customFormat="1" x14ac:dyDescent="0.35">
      <c r="E5077" s="35"/>
      <c r="J5077" s="41"/>
    </row>
    <row r="5078" spans="5:10" s="34" customFormat="1" x14ac:dyDescent="0.35">
      <c r="E5078" s="35"/>
      <c r="J5078" s="41"/>
    </row>
    <row r="5079" spans="5:10" s="34" customFormat="1" x14ac:dyDescent="0.35">
      <c r="E5079" s="35"/>
      <c r="J5079" s="41"/>
    </row>
    <row r="5080" spans="5:10" s="34" customFormat="1" x14ac:dyDescent="0.35">
      <c r="E5080" s="35"/>
      <c r="J5080" s="41"/>
    </row>
    <row r="5081" spans="5:10" s="34" customFormat="1" x14ac:dyDescent="0.35">
      <c r="E5081" s="35"/>
      <c r="J5081" s="41"/>
    </row>
    <row r="5082" spans="5:10" s="34" customFormat="1" x14ac:dyDescent="0.35">
      <c r="E5082" s="35"/>
      <c r="J5082" s="41"/>
    </row>
    <row r="5083" spans="5:10" s="34" customFormat="1" x14ac:dyDescent="0.35">
      <c r="E5083" s="35"/>
      <c r="J5083" s="41"/>
    </row>
    <row r="5084" spans="5:10" s="34" customFormat="1" x14ac:dyDescent="0.35">
      <c r="E5084" s="35"/>
      <c r="J5084" s="41"/>
    </row>
    <row r="5085" spans="5:10" s="34" customFormat="1" x14ac:dyDescent="0.35">
      <c r="E5085" s="35"/>
      <c r="J5085" s="41"/>
    </row>
    <row r="5086" spans="5:10" s="34" customFormat="1" x14ac:dyDescent="0.35">
      <c r="E5086" s="35"/>
      <c r="J5086" s="41"/>
    </row>
    <row r="5087" spans="5:10" s="34" customFormat="1" x14ac:dyDescent="0.35">
      <c r="E5087" s="35"/>
      <c r="J5087" s="41"/>
    </row>
    <row r="5088" spans="5:10" s="34" customFormat="1" x14ac:dyDescent="0.35">
      <c r="E5088" s="35"/>
      <c r="J5088" s="41"/>
    </row>
    <row r="5089" spans="5:10" s="34" customFormat="1" x14ac:dyDescent="0.35">
      <c r="E5089" s="35"/>
      <c r="J5089" s="41"/>
    </row>
    <row r="5090" spans="5:10" s="34" customFormat="1" x14ac:dyDescent="0.35">
      <c r="E5090" s="35"/>
      <c r="J5090" s="41"/>
    </row>
    <row r="5091" spans="5:10" s="34" customFormat="1" x14ac:dyDescent="0.35">
      <c r="E5091" s="35"/>
      <c r="J5091" s="41"/>
    </row>
    <row r="5092" spans="5:10" s="34" customFormat="1" x14ac:dyDescent="0.35">
      <c r="E5092" s="35"/>
      <c r="J5092" s="41"/>
    </row>
    <row r="5093" spans="5:10" s="34" customFormat="1" x14ac:dyDescent="0.35">
      <c r="E5093" s="35"/>
      <c r="J5093" s="41"/>
    </row>
    <row r="5094" spans="5:10" s="34" customFormat="1" x14ac:dyDescent="0.35">
      <c r="E5094" s="35"/>
      <c r="J5094" s="41"/>
    </row>
    <row r="5095" spans="5:10" s="34" customFormat="1" x14ac:dyDescent="0.35">
      <c r="E5095" s="35"/>
      <c r="J5095" s="41"/>
    </row>
    <row r="5096" spans="5:10" s="34" customFormat="1" x14ac:dyDescent="0.35">
      <c r="E5096" s="35"/>
      <c r="J5096" s="41"/>
    </row>
    <row r="5097" spans="5:10" s="34" customFormat="1" x14ac:dyDescent="0.35">
      <c r="E5097" s="35"/>
      <c r="J5097" s="41"/>
    </row>
    <row r="5098" spans="5:10" s="34" customFormat="1" x14ac:dyDescent="0.35">
      <c r="E5098" s="35"/>
      <c r="J5098" s="41"/>
    </row>
    <row r="5099" spans="5:10" s="34" customFormat="1" x14ac:dyDescent="0.35">
      <c r="E5099" s="35"/>
      <c r="J5099" s="41"/>
    </row>
    <row r="5100" spans="5:10" s="34" customFormat="1" x14ac:dyDescent="0.35">
      <c r="E5100" s="35"/>
      <c r="J5100" s="41"/>
    </row>
    <row r="5101" spans="5:10" s="34" customFormat="1" x14ac:dyDescent="0.35">
      <c r="E5101" s="35"/>
      <c r="J5101" s="41"/>
    </row>
    <row r="5102" spans="5:10" s="34" customFormat="1" x14ac:dyDescent="0.35">
      <c r="E5102" s="35"/>
      <c r="J5102" s="41"/>
    </row>
    <row r="5103" spans="5:10" s="34" customFormat="1" x14ac:dyDescent="0.35">
      <c r="E5103" s="35"/>
      <c r="J5103" s="41"/>
    </row>
    <row r="5104" spans="5:10" s="34" customFormat="1" x14ac:dyDescent="0.35">
      <c r="E5104" s="35"/>
      <c r="J5104" s="41"/>
    </row>
    <row r="5105" spans="5:10" s="34" customFormat="1" x14ac:dyDescent="0.35">
      <c r="E5105" s="35"/>
      <c r="J5105" s="41"/>
    </row>
    <row r="5106" spans="5:10" s="34" customFormat="1" x14ac:dyDescent="0.35">
      <c r="E5106" s="35"/>
      <c r="J5106" s="41"/>
    </row>
    <row r="5107" spans="5:10" s="34" customFormat="1" x14ac:dyDescent="0.35">
      <c r="E5107" s="35"/>
      <c r="J5107" s="41"/>
    </row>
    <row r="5108" spans="5:10" s="34" customFormat="1" x14ac:dyDescent="0.35">
      <c r="E5108" s="35"/>
      <c r="J5108" s="41"/>
    </row>
    <row r="5109" spans="5:10" s="34" customFormat="1" x14ac:dyDescent="0.35">
      <c r="E5109" s="35"/>
      <c r="J5109" s="41"/>
    </row>
    <row r="5110" spans="5:10" s="34" customFormat="1" x14ac:dyDescent="0.35">
      <c r="E5110" s="35"/>
      <c r="J5110" s="41"/>
    </row>
    <row r="5111" spans="5:10" s="34" customFormat="1" x14ac:dyDescent="0.35">
      <c r="E5111" s="35"/>
      <c r="J5111" s="41"/>
    </row>
    <row r="5112" spans="5:10" s="34" customFormat="1" x14ac:dyDescent="0.35">
      <c r="E5112" s="35"/>
      <c r="J5112" s="41"/>
    </row>
    <row r="5113" spans="5:10" s="34" customFormat="1" x14ac:dyDescent="0.35">
      <c r="E5113" s="35"/>
      <c r="J5113" s="41"/>
    </row>
    <row r="5114" spans="5:10" s="34" customFormat="1" x14ac:dyDescent="0.35">
      <c r="E5114" s="35"/>
      <c r="J5114" s="41"/>
    </row>
    <row r="5115" spans="5:10" s="34" customFormat="1" x14ac:dyDescent="0.35">
      <c r="E5115" s="35"/>
      <c r="J5115" s="41"/>
    </row>
    <row r="5116" spans="5:10" s="34" customFormat="1" x14ac:dyDescent="0.35">
      <c r="E5116" s="35"/>
      <c r="J5116" s="41"/>
    </row>
    <row r="5117" spans="5:10" s="34" customFormat="1" x14ac:dyDescent="0.35">
      <c r="E5117" s="35"/>
      <c r="J5117" s="41"/>
    </row>
    <row r="5118" spans="5:10" s="34" customFormat="1" x14ac:dyDescent="0.35">
      <c r="E5118" s="35"/>
      <c r="J5118" s="41"/>
    </row>
    <row r="5119" spans="5:10" s="34" customFormat="1" x14ac:dyDescent="0.35">
      <c r="E5119" s="35"/>
      <c r="J5119" s="41"/>
    </row>
    <row r="5120" spans="5:10" s="34" customFormat="1" x14ac:dyDescent="0.35">
      <c r="E5120" s="35"/>
      <c r="J5120" s="41"/>
    </row>
    <row r="5121" spans="5:10" s="34" customFormat="1" x14ac:dyDescent="0.35">
      <c r="E5121" s="35"/>
      <c r="J5121" s="41"/>
    </row>
    <row r="5122" spans="5:10" s="34" customFormat="1" x14ac:dyDescent="0.35">
      <c r="E5122" s="35"/>
      <c r="J5122" s="41"/>
    </row>
    <row r="5123" spans="5:10" s="34" customFormat="1" x14ac:dyDescent="0.35">
      <c r="E5123" s="35"/>
      <c r="J5123" s="41"/>
    </row>
    <row r="5124" spans="5:10" s="34" customFormat="1" x14ac:dyDescent="0.35">
      <c r="E5124" s="35"/>
      <c r="J5124" s="41"/>
    </row>
    <row r="5125" spans="5:10" s="34" customFormat="1" x14ac:dyDescent="0.35">
      <c r="E5125" s="35"/>
      <c r="J5125" s="41"/>
    </row>
    <row r="5126" spans="5:10" s="34" customFormat="1" x14ac:dyDescent="0.35">
      <c r="E5126" s="35"/>
      <c r="J5126" s="41"/>
    </row>
    <row r="5127" spans="5:10" s="34" customFormat="1" x14ac:dyDescent="0.35">
      <c r="E5127" s="35"/>
      <c r="J5127" s="41"/>
    </row>
    <row r="5128" spans="5:10" s="34" customFormat="1" x14ac:dyDescent="0.35">
      <c r="E5128" s="35"/>
      <c r="J5128" s="41"/>
    </row>
    <row r="5129" spans="5:10" s="34" customFormat="1" x14ac:dyDescent="0.35">
      <c r="E5129" s="35"/>
      <c r="J5129" s="41"/>
    </row>
    <row r="5130" spans="5:10" s="34" customFormat="1" x14ac:dyDescent="0.35">
      <c r="E5130" s="35"/>
      <c r="J5130" s="41"/>
    </row>
    <row r="5131" spans="5:10" s="34" customFormat="1" x14ac:dyDescent="0.35">
      <c r="E5131" s="35"/>
      <c r="J5131" s="41"/>
    </row>
    <row r="5132" spans="5:10" s="34" customFormat="1" x14ac:dyDescent="0.35">
      <c r="E5132" s="35"/>
      <c r="J5132" s="41"/>
    </row>
    <row r="5133" spans="5:10" s="34" customFormat="1" x14ac:dyDescent="0.35">
      <c r="E5133" s="35"/>
      <c r="J5133" s="41"/>
    </row>
    <row r="5134" spans="5:10" s="34" customFormat="1" x14ac:dyDescent="0.35">
      <c r="E5134" s="35"/>
      <c r="J5134" s="41"/>
    </row>
    <row r="5135" spans="5:10" s="34" customFormat="1" x14ac:dyDescent="0.35">
      <c r="E5135" s="35"/>
      <c r="J5135" s="41"/>
    </row>
    <row r="5136" spans="5:10" s="34" customFormat="1" x14ac:dyDescent="0.35">
      <c r="E5136" s="35"/>
      <c r="J5136" s="41"/>
    </row>
    <row r="5137" spans="5:10" s="34" customFormat="1" x14ac:dyDescent="0.35">
      <c r="E5137" s="35"/>
      <c r="J5137" s="41"/>
    </row>
    <row r="5138" spans="5:10" s="34" customFormat="1" x14ac:dyDescent="0.35">
      <c r="E5138" s="35"/>
      <c r="J5138" s="41"/>
    </row>
    <row r="5139" spans="5:10" s="34" customFormat="1" x14ac:dyDescent="0.35">
      <c r="E5139" s="35"/>
      <c r="J5139" s="41"/>
    </row>
    <row r="5140" spans="5:10" s="34" customFormat="1" x14ac:dyDescent="0.35">
      <c r="E5140" s="35"/>
      <c r="J5140" s="41"/>
    </row>
    <row r="5141" spans="5:10" s="34" customFormat="1" x14ac:dyDescent="0.35">
      <c r="E5141" s="35"/>
      <c r="J5141" s="41"/>
    </row>
    <row r="5142" spans="5:10" s="34" customFormat="1" x14ac:dyDescent="0.35">
      <c r="E5142" s="35"/>
      <c r="J5142" s="41"/>
    </row>
    <row r="5143" spans="5:10" s="34" customFormat="1" x14ac:dyDescent="0.35">
      <c r="E5143" s="35"/>
      <c r="J5143" s="41"/>
    </row>
    <row r="5144" spans="5:10" s="34" customFormat="1" x14ac:dyDescent="0.35">
      <c r="E5144" s="35"/>
      <c r="J5144" s="41"/>
    </row>
    <row r="5145" spans="5:10" s="34" customFormat="1" x14ac:dyDescent="0.35">
      <c r="E5145" s="35"/>
      <c r="J5145" s="41"/>
    </row>
    <row r="5146" spans="5:10" s="34" customFormat="1" x14ac:dyDescent="0.35">
      <c r="E5146" s="35"/>
      <c r="J5146" s="41"/>
    </row>
    <row r="5147" spans="5:10" s="34" customFormat="1" x14ac:dyDescent="0.35">
      <c r="E5147" s="35"/>
      <c r="J5147" s="41"/>
    </row>
    <row r="5148" spans="5:10" s="34" customFormat="1" x14ac:dyDescent="0.35">
      <c r="E5148" s="35"/>
      <c r="J5148" s="41"/>
    </row>
    <row r="5149" spans="5:10" s="34" customFormat="1" x14ac:dyDescent="0.35">
      <c r="E5149" s="35"/>
      <c r="J5149" s="41"/>
    </row>
    <row r="5150" spans="5:10" s="34" customFormat="1" x14ac:dyDescent="0.35">
      <c r="E5150" s="35"/>
      <c r="J5150" s="41"/>
    </row>
    <row r="5151" spans="5:10" s="34" customFormat="1" x14ac:dyDescent="0.35">
      <c r="E5151" s="35"/>
      <c r="J5151" s="41"/>
    </row>
    <row r="5152" spans="5:10" s="34" customFormat="1" x14ac:dyDescent="0.35">
      <c r="E5152" s="35"/>
      <c r="J5152" s="41"/>
    </row>
    <row r="5153" spans="5:10" s="34" customFormat="1" x14ac:dyDescent="0.35">
      <c r="E5153" s="35"/>
      <c r="J5153" s="41"/>
    </row>
    <row r="5154" spans="5:10" s="34" customFormat="1" x14ac:dyDescent="0.35">
      <c r="E5154" s="35"/>
      <c r="J5154" s="41"/>
    </row>
    <row r="5155" spans="5:10" s="34" customFormat="1" x14ac:dyDescent="0.35">
      <c r="E5155" s="35"/>
      <c r="J5155" s="41"/>
    </row>
    <row r="5156" spans="5:10" s="34" customFormat="1" x14ac:dyDescent="0.35">
      <c r="E5156" s="35"/>
      <c r="J5156" s="41"/>
    </row>
    <row r="5157" spans="5:10" s="34" customFormat="1" x14ac:dyDescent="0.35">
      <c r="E5157" s="35"/>
      <c r="J5157" s="41"/>
    </row>
    <row r="5158" spans="5:10" s="34" customFormat="1" x14ac:dyDescent="0.35">
      <c r="E5158" s="35"/>
      <c r="J5158" s="41"/>
    </row>
    <row r="5159" spans="5:10" s="34" customFormat="1" x14ac:dyDescent="0.35">
      <c r="E5159" s="35"/>
      <c r="J5159" s="41"/>
    </row>
    <row r="5160" spans="5:10" s="34" customFormat="1" x14ac:dyDescent="0.35">
      <c r="E5160" s="35"/>
      <c r="J5160" s="41"/>
    </row>
    <row r="5161" spans="5:10" s="34" customFormat="1" x14ac:dyDescent="0.35">
      <c r="E5161" s="35"/>
      <c r="J5161" s="41"/>
    </row>
    <row r="5162" spans="5:10" s="34" customFormat="1" x14ac:dyDescent="0.35">
      <c r="E5162" s="35"/>
      <c r="J5162" s="41"/>
    </row>
    <row r="5163" spans="5:10" s="34" customFormat="1" x14ac:dyDescent="0.35">
      <c r="E5163" s="35"/>
      <c r="J5163" s="41"/>
    </row>
    <row r="5164" spans="5:10" s="34" customFormat="1" x14ac:dyDescent="0.35">
      <c r="E5164" s="35"/>
      <c r="J5164" s="41"/>
    </row>
    <row r="5165" spans="5:10" s="34" customFormat="1" x14ac:dyDescent="0.35">
      <c r="E5165" s="35"/>
      <c r="J5165" s="41"/>
    </row>
    <row r="5166" spans="5:10" s="34" customFormat="1" x14ac:dyDescent="0.35">
      <c r="E5166" s="35"/>
      <c r="J5166" s="41"/>
    </row>
    <row r="5167" spans="5:10" s="34" customFormat="1" x14ac:dyDescent="0.35">
      <c r="E5167" s="35"/>
      <c r="J5167" s="41"/>
    </row>
    <row r="5168" spans="5:10" s="34" customFormat="1" x14ac:dyDescent="0.35">
      <c r="E5168" s="35"/>
      <c r="J5168" s="41"/>
    </row>
    <row r="5169" spans="5:10" s="34" customFormat="1" x14ac:dyDescent="0.35">
      <c r="E5169" s="35"/>
      <c r="J5169" s="41"/>
    </row>
    <row r="5170" spans="5:10" s="34" customFormat="1" x14ac:dyDescent="0.35">
      <c r="E5170" s="35"/>
      <c r="J5170" s="41"/>
    </row>
    <row r="5171" spans="5:10" s="34" customFormat="1" x14ac:dyDescent="0.35">
      <c r="E5171" s="35"/>
      <c r="J5171" s="41"/>
    </row>
    <row r="5172" spans="5:10" s="34" customFormat="1" x14ac:dyDescent="0.35">
      <c r="E5172" s="35"/>
      <c r="J5172" s="41"/>
    </row>
    <row r="5173" spans="5:10" s="34" customFormat="1" x14ac:dyDescent="0.35">
      <c r="E5173" s="35"/>
      <c r="J5173" s="41"/>
    </row>
    <row r="5174" spans="5:10" s="34" customFormat="1" x14ac:dyDescent="0.35">
      <c r="E5174" s="35"/>
      <c r="J5174" s="41"/>
    </row>
    <row r="5175" spans="5:10" s="34" customFormat="1" x14ac:dyDescent="0.35">
      <c r="E5175" s="35"/>
      <c r="J5175" s="41"/>
    </row>
    <row r="5176" spans="5:10" s="34" customFormat="1" x14ac:dyDescent="0.35">
      <c r="E5176" s="35"/>
      <c r="J5176" s="41"/>
    </row>
    <row r="5177" spans="5:10" s="34" customFormat="1" x14ac:dyDescent="0.35">
      <c r="E5177" s="35"/>
      <c r="J5177" s="41"/>
    </row>
    <row r="5178" spans="5:10" s="34" customFormat="1" x14ac:dyDescent="0.35">
      <c r="E5178" s="35"/>
      <c r="J5178" s="41"/>
    </row>
    <row r="5179" spans="5:10" s="34" customFormat="1" x14ac:dyDescent="0.35">
      <c r="E5179" s="35"/>
      <c r="J5179" s="41"/>
    </row>
    <row r="5180" spans="5:10" s="34" customFormat="1" x14ac:dyDescent="0.35">
      <c r="E5180" s="35"/>
      <c r="J5180" s="41"/>
    </row>
    <row r="5181" spans="5:10" s="34" customFormat="1" x14ac:dyDescent="0.35">
      <c r="E5181" s="35"/>
      <c r="J5181" s="41"/>
    </row>
    <row r="5182" spans="5:10" s="34" customFormat="1" x14ac:dyDescent="0.35">
      <c r="E5182" s="35"/>
      <c r="J5182" s="41"/>
    </row>
    <row r="5183" spans="5:10" s="34" customFormat="1" x14ac:dyDescent="0.35">
      <c r="E5183" s="35"/>
      <c r="J5183" s="41"/>
    </row>
    <row r="5184" spans="5:10" s="34" customFormat="1" x14ac:dyDescent="0.35">
      <c r="E5184" s="35"/>
      <c r="J5184" s="41"/>
    </row>
    <row r="5185" spans="5:10" s="34" customFormat="1" x14ac:dyDescent="0.35">
      <c r="E5185" s="35"/>
      <c r="J5185" s="41"/>
    </row>
    <row r="5186" spans="5:10" s="34" customFormat="1" x14ac:dyDescent="0.35">
      <c r="E5186" s="35"/>
      <c r="J5186" s="41"/>
    </row>
    <row r="5187" spans="5:10" s="34" customFormat="1" x14ac:dyDescent="0.35">
      <c r="E5187" s="35"/>
      <c r="J5187" s="41"/>
    </row>
    <row r="5188" spans="5:10" s="34" customFormat="1" x14ac:dyDescent="0.35">
      <c r="E5188" s="35"/>
      <c r="J5188" s="41"/>
    </row>
    <row r="5189" spans="5:10" s="34" customFormat="1" x14ac:dyDescent="0.35">
      <c r="E5189" s="35"/>
      <c r="J5189" s="41"/>
    </row>
    <row r="5190" spans="5:10" s="34" customFormat="1" x14ac:dyDescent="0.35">
      <c r="E5190" s="35"/>
      <c r="J5190" s="41"/>
    </row>
    <row r="5191" spans="5:10" s="34" customFormat="1" x14ac:dyDescent="0.35">
      <c r="E5191" s="35"/>
      <c r="J5191" s="41"/>
    </row>
    <row r="5192" spans="5:10" s="34" customFormat="1" x14ac:dyDescent="0.35">
      <c r="E5192" s="35"/>
      <c r="J5192" s="41"/>
    </row>
    <row r="5193" spans="5:10" s="34" customFormat="1" x14ac:dyDescent="0.35">
      <c r="E5193" s="35"/>
      <c r="J5193" s="41"/>
    </row>
    <row r="5194" spans="5:10" s="34" customFormat="1" x14ac:dyDescent="0.35">
      <c r="E5194" s="35"/>
      <c r="J5194" s="41"/>
    </row>
    <row r="5195" spans="5:10" s="34" customFormat="1" x14ac:dyDescent="0.35">
      <c r="E5195" s="35"/>
      <c r="J5195" s="41"/>
    </row>
    <row r="5196" spans="5:10" s="34" customFormat="1" x14ac:dyDescent="0.35">
      <c r="E5196" s="35"/>
      <c r="J5196" s="41"/>
    </row>
    <row r="5197" spans="5:10" s="34" customFormat="1" x14ac:dyDescent="0.35">
      <c r="E5197" s="35"/>
      <c r="J5197" s="41"/>
    </row>
    <row r="5198" spans="5:10" s="34" customFormat="1" x14ac:dyDescent="0.35">
      <c r="E5198" s="35"/>
      <c r="J5198" s="41"/>
    </row>
    <row r="5199" spans="5:10" s="34" customFormat="1" x14ac:dyDescent="0.35">
      <c r="E5199" s="35"/>
      <c r="J5199" s="41"/>
    </row>
    <row r="5200" spans="5:10" s="34" customFormat="1" x14ac:dyDescent="0.35">
      <c r="E5200" s="35"/>
      <c r="J5200" s="41"/>
    </row>
    <row r="5201" spans="5:10" s="34" customFormat="1" x14ac:dyDescent="0.35">
      <c r="E5201" s="35"/>
      <c r="J5201" s="41"/>
    </row>
    <row r="5202" spans="5:10" s="34" customFormat="1" x14ac:dyDescent="0.35">
      <c r="E5202" s="35"/>
      <c r="J5202" s="41"/>
    </row>
    <row r="5203" spans="5:10" s="34" customFormat="1" x14ac:dyDescent="0.35">
      <c r="E5203" s="35"/>
      <c r="J5203" s="41"/>
    </row>
    <row r="5204" spans="5:10" s="34" customFormat="1" x14ac:dyDescent="0.35">
      <c r="E5204" s="35"/>
      <c r="J5204" s="41"/>
    </row>
    <row r="5205" spans="5:10" s="34" customFormat="1" x14ac:dyDescent="0.35">
      <c r="E5205" s="35"/>
      <c r="J5205" s="41"/>
    </row>
    <row r="5206" spans="5:10" s="34" customFormat="1" x14ac:dyDescent="0.35">
      <c r="E5206" s="35"/>
      <c r="J5206" s="41"/>
    </row>
    <row r="5207" spans="5:10" s="34" customFormat="1" x14ac:dyDescent="0.35">
      <c r="E5207" s="35"/>
      <c r="J5207" s="41"/>
    </row>
    <row r="5208" spans="5:10" s="34" customFormat="1" x14ac:dyDescent="0.35">
      <c r="E5208" s="35"/>
      <c r="J5208" s="41"/>
    </row>
    <row r="5209" spans="5:10" s="34" customFormat="1" x14ac:dyDescent="0.35">
      <c r="E5209" s="35"/>
      <c r="J5209" s="41"/>
    </row>
    <row r="5210" spans="5:10" s="34" customFormat="1" x14ac:dyDescent="0.35">
      <c r="E5210" s="35"/>
      <c r="J5210" s="41"/>
    </row>
    <row r="5211" spans="5:10" s="34" customFormat="1" x14ac:dyDescent="0.35">
      <c r="E5211" s="35"/>
      <c r="J5211" s="41"/>
    </row>
    <row r="5212" spans="5:10" s="34" customFormat="1" x14ac:dyDescent="0.35">
      <c r="E5212" s="35"/>
      <c r="J5212" s="41"/>
    </row>
    <row r="5213" spans="5:10" s="34" customFormat="1" x14ac:dyDescent="0.35">
      <c r="E5213" s="35"/>
      <c r="J5213" s="41"/>
    </row>
    <row r="5214" spans="5:10" s="34" customFormat="1" x14ac:dyDescent="0.35">
      <c r="E5214" s="35"/>
      <c r="J5214" s="41"/>
    </row>
    <row r="5215" spans="5:10" s="34" customFormat="1" x14ac:dyDescent="0.35">
      <c r="E5215" s="35"/>
      <c r="J5215" s="41"/>
    </row>
    <row r="5216" spans="5:10" s="34" customFormat="1" x14ac:dyDescent="0.35">
      <c r="E5216" s="35"/>
      <c r="J5216" s="41"/>
    </row>
    <row r="5217" spans="5:10" s="34" customFormat="1" x14ac:dyDescent="0.35">
      <c r="E5217" s="35"/>
      <c r="J5217" s="41"/>
    </row>
    <row r="5218" spans="5:10" s="34" customFormat="1" x14ac:dyDescent="0.35">
      <c r="E5218" s="35"/>
      <c r="J5218" s="41"/>
    </row>
    <row r="5219" spans="5:10" s="34" customFormat="1" x14ac:dyDescent="0.35">
      <c r="E5219" s="35"/>
      <c r="J5219" s="41"/>
    </row>
    <row r="5220" spans="5:10" s="34" customFormat="1" x14ac:dyDescent="0.35">
      <c r="E5220" s="35"/>
      <c r="J5220" s="41"/>
    </row>
    <row r="5221" spans="5:10" s="34" customFormat="1" x14ac:dyDescent="0.35">
      <c r="E5221" s="35"/>
      <c r="J5221" s="41"/>
    </row>
    <row r="5222" spans="5:10" s="34" customFormat="1" x14ac:dyDescent="0.35">
      <c r="E5222" s="35"/>
      <c r="J5222" s="41"/>
    </row>
    <row r="5223" spans="5:10" s="34" customFormat="1" x14ac:dyDescent="0.35">
      <c r="E5223" s="35"/>
      <c r="J5223" s="41"/>
    </row>
    <row r="5224" spans="5:10" s="34" customFormat="1" x14ac:dyDescent="0.35">
      <c r="E5224" s="35"/>
      <c r="J5224" s="41"/>
    </row>
    <row r="5225" spans="5:10" s="34" customFormat="1" x14ac:dyDescent="0.35">
      <c r="E5225" s="35"/>
      <c r="J5225" s="41"/>
    </row>
    <row r="5226" spans="5:10" s="34" customFormat="1" x14ac:dyDescent="0.35">
      <c r="E5226" s="35"/>
      <c r="J5226" s="41"/>
    </row>
    <row r="5227" spans="5:10" s="34" customFormat="1" x14ac:dyDescent="0.35">
      <c r="E5227" s="35"/>
      <c r="J5227" s="41"/>
    </row>
    <row r="5228" spans="5:10" s="34" customFormat="1" x14ac:dyDescent="0.35">
      <c r="E5228" s="35"/>
      <c r="J5228" s="41"/>
    </row>
    <row r="5229" spans="5:10" s="34" customFormat="1" x14ac:dyDescent="0.35">
      <c r="E5229" s="35"/>
      <c r="J5229" s="41"/>
    </row>
    <row r="5230" spans="5:10" s="34" customFormat="1" x14ac:dyDescent="0.35">
      <c r="E5230" s="35"/>
      <c r="J5230" s="41"/>
    </row>
    <row r="5231" spans="5:10" s="34" customFormat="1" x14ac:dyDescent="0.35">
      <c r="E5231" s="35"/>
      <c r="J5231" s="41"/>
    </row>
    <row r="5232" spans="5:10" s="34" customFormat="1" x14ac:dyDescent="0.35">
      <c r="E5232" s="35"/>
      <c r="J5232" s="41"/>
    </row>
    <row r="5233" spans="5:10" s="34" customFormat="1" x14ac:dyDescent="0.35">
      <c r="E5233" s="35"/>
      <c r="J5233" s="41"/>
    </row>
    <row r="5234" spans="5:10" s="34" customFormat="1" x14ac:dyDescent="0.35">
      <c r="E5234" s="35"/>
      <c r="J5234" s="41"/>
    </row>
    <row r="5235" spans="5:10" s="34" customFormat="1" x14ac:dyDescent="0.35">
      <c r="E5235" s="35"/>
      <c r="J5235" s="41"/>
    </row>
    <row r="5236" spans="5:10" s="34" customFormat="1" x14ac:dyDescent="0.35">
      <c r="E5236" s="35"/>
      <c r="J5236" s="41"/>
    </row>
    <row r="5237" spans="5:10" s="34" customFormat="1" x14ac:dyDescent="0.35">
      <c r="E5237" s="35"/>
      <c r="J5237" s="41"/>
    </row>
    <row r="5238" spans="5:10" s="34" customFormat="1" x14ac:dyDescent="0.35">
      <c r="E5238" s="35"/>
      <c r="J5238" s="41"/>
    </row>
    <row r="5239" spans="5:10" s="34" customFormat="1" x14ac:dyDescent="0.35">
      <c r="E5239" s="35"/>
      <c r="J5239" s="41"/>
    </row>
    <row r="5240" spans="5:10" s="34" customFormat="1" x14ac:dyDescent="0.35">
      <c r="E5240" s="35"/>
      <c r="J5240" s="41"/>
    </row>
    <row r="5241" spans="5:10" s="34" customFormat="1" x14ac:dyDescent="0.35">
      <c r="E5241" s="35"/>
      <c r="J5241" s="41"/>
    </row>
    <row r="5242" spans="5:10" s="34" customFormat="1" x14ac:dyDescent="0.35">
      <c r="E5242" s="35"/>
      <c r="J5242" s="41"/>
    </row>
    <row r="5243" spans="5:10" s="34" customFormat="1" x14ac:dyDescent="0.35">
      <c r="E5243" s="35"/>
      <c r="J5243" s="41"/>
    </row>
    <row r="5244" spans="5:10" s="34" customFormat="1" x14ac:dyDescent="0.35">
      <c r="E5244" s="35"/>
      <c r="J5244" s="41"/>
    </row>
    <row r="5245" spans="5:10" s="34" customFormat="1" x14ac:dyDescent="0.35">
      <c r="E5245" s="35"/>
      <c r="J5245" s="41"/>
    </row>
    <row r="5246" spans="5:10" s="34" customFormat="1" x14ac:dyDescent="0.35">
      <c r="E5246" s="35"/>
      <c r="J5246" s="41"/>
    </row>
    <row r="5247" spans="5:10" s="34" customFormat="1" x14ac:dyDescent="0.35">
      <c r="E5247" s="35"/>
      <c r="J5247" s="41"/>
    </row>
    <row r="5248" spans="5:10" s="34" customFormat="1" x14ac:dyDescent="0.35">
      <c r="E5248" s="35"/>
      <c r="J5248" s="41"/>
    </row>
    <row r="5249" spans="5:10" s="34" customFormat="1" x14ac:dyDescent="0.35">
      <c r="E5249" s="35"/>
      <c r="J5249" s="41"/>
    </row>
    <row r="5250" spans="5:10" s="34" customFormat="1" x14ac:dyDescent="0.35">
      <c r="E5250" s="35"/>
      <c r="J5250" s="41"/>
    </row>
    <row r="5251" spans="5:10" s="34" customFormat="1" x14ac:dyDescent="0.35">
      <c r="E5251" s="35"/>
      <c r="J5251" s="41"/>
    </row>
    <row r="5252" spans="5:10" s="34" customFormat="1" x14ac:dyDescent="0.35">
      <c r="E5252" s="35"/>
      <c r="J5252" s="41"/>
    </row>
    <row r="5253" spans="5:10" s="34" customFormat="1" x14ac:dyDescent="0.35">
      <c r="E5253" s="35"/>
      <c r="J5253" s="41"/>
    </row>
    <row r="5254" spans="5:10" s="34" customFormat="1" x14ac:dyDescent="0.35">
      <c r="E5254" s="35"/>
      <c r="J5254" s="41"/>
    </row>
    <row r="5255" spans="5:10" s="34" customFormat="1" x14ac:dyDescent="0.35">
      <c r="E5255" s="35"/>
      <c r="J5255" s="41"/>
    </row>
    <row r="5256" spans="5:10" s="34" customFormat="1" x14ac:dyDescent="0.35">
      <c r="E5256" s="35"/>
      <c r="J5256" s="41"/>
    </row>
    <row r="5257" spans="5:10" s="34" customFormat="1" x14ac:dyDescent="0.35">
      <c r="E5257" s="35"/>
      <c r="J5257" s="41"/>
    </row>
    <row r="5258" spans="5:10" s="34" customFormat="1" x14ac:dyDescent="0.35">
      <c r="E5258" s="35"/>
      <c r="J5258" s="41"/>
    </row>
    <row r="5259" spans="5:10" s="34" customFormat="1" x14ac:dyDescent="0.35">
      <c r="E5259" s="35"/>
      <c r="J5259" s="41"/>
    </row>
    <row r="5260" spans="5:10" s="34" customFormat="1" x14ac:dyDescent="0.35">
      <c r="E5260" s="35"/>
      <c r="J5260" s="41"/>
    </row>
    <row r="5261" spans="5:10" s="34" customFormat="1" x14ac:dyDescent="0.35">
      <c r="E5261" s="35"/>
      <c r="J5261" s="41"/>
    </row>
    <row r="5262" spans="5:10" s="34" customFormat="1" x14ac:dyDescent="0.35">
      <c r="E5262" s="35"/>
      <c r="J5262" s="41"/>
    </row>
    <row r="5263" spans="5:10" s="34" customFormat="1" x14ac:dyDescent="0.35">
      <c r="E5263" s="35"/>
      <c r="J5263" s="41"/>
    </row>
    <row r="5264" spans="5:10" s="34" customFormat="1" x14ac:dyDescent="0.35">
      <c r="E5264" s="35"/>
      <c r="J5264" s="41"/>
    </row>
    <row r="5265" spans="5:10" s="34" customFormat="1" x14ac:dyDescent="0.35">
      <c r="E5265" s="35"/>
      <c r="J5265" s="41"/>
    </row>
    <row r="5266" spans="5:10" s="34" customFormat="1" x14ac:dyDescent="0.35">
      <c r="E5266" s="35"/>
      <c r="J5266" s="41"/>
    </row>
    <row r="5267" spans="5:10" s="34" customFormat="1" x14ac:dyDescent="0.35">
      <c r="E5267" s="35"/>
      <c r="J5267" s="41"/>
    </row>
    <row r="5268" spans="5:10" s="34" customFormat="1" x14ac:dyDescent="0.35">
      <c r="E5268" s="35"/>
      <c r="J5268" s="41"/>
    </row>
    <row r="5269" spans="5:10" s="34" customFormat="1" x14ac:dyDescent="0.35">
      <c r="E5269" s="35"/>
      <c r="J5269" s="41"/>
    </row>
    <row r="5270" spans="5:10" s="34" customFormat="1" x14ac:dyDescent="0.35">
      <c r="E5270" s="35"/>
      <c r="J5270" s="41"/>
    </row>
    <row r="5271" spans="5:10" s="34" customFormat="1" x14ac:dyDescent="0.35">
      <c r="E5271" s="35"/>
      <c r="J5271" s="41"/>
    </row>
    <row r="5272" spans="5:10" s="34" customFormat="1" x14ac:dyDescent="0.35">
      <c r="E5272" s="35"/>
      <c r="J5272" s="41"/>
    </row>
    <row r="5273" spans="5:10" s="34" customFormat="1" x14ac:dyDescent="0.35">
      <c r="E5273" s="35"/>
      <c r="J5273" s="41"/>
    </row>
    <row r="5274" spans="5:10" s="34" customFormat="1" x14ac:dyDescent="0.35">
      <c r="E5274" s="35"/>
      <c r="J5274" s="41"/>
    </row>
    <row r="5275" spans="5:10" s="34" customFormat="1" x14ac:dyDescent="0.35">
      <c r="E5275" s="35"/>
      <c r="J5275" s="41"/>
    </row>
    <row r="5276" spans="5:10" s="34" customFormat="1" x14ac:dyDescent="0.35">
      <c r="E5276" s="35"/>
      <c r="J5276" s="41"/>
    </row>
    <row r="5277" spans="5:10" s="34" customFormat="1" x14ac:dyDescent="0.35">
      <c r="E5277" s="35"/>
      <c r="J5277" s="41"/>
    </row>
    <row r="5278" spans="5:10" s="34" customFormat="1" x14ac:dyDescent="0.35">
      <c r="E5278" s="35"/>
      <c r="J5278" s="41"/>
    </row>
    <row r="5279" spans="5:10" s="34" customFormat="1" x14ac:dyDescent="0.35">
      <c r="E5279" s="35"/>
      <c r="J5279" s="41"/>
    </row>
    <row r="5280" spans="5:10" s="34" customFormat="1" x14ac:dyDescent="0.35">
      <c r="E5280" s="35"/>
      <c r="J5280" s="41"/>
    </row>
    <row r="5281" spans="5:10" s="34" customFormat="1" x14ac:dyDescent="0.35">
      <c r="E5281" s="35"/>
      <c r="J5281" s="41"/>
    </row>
    <row r="5282" spans="5:10" s="34" customFormat="1" x14ac:dyDescent="0.35">
      <c r="E5282" s="35"/>
      <c r="J5282" s="41"/>
    </row>
    <row r="5283" spans="5:10" s="34" customFormat="1" x14ac:dyDescent="0.35">
      <c r="E5283" s="35"/>
      <c r="J5283" s="41"/>
    </row>
    <row r="5284" spans="5:10" s="34" customFormat="1" x14ac:dyDescent="0.35">
      <c r="E5284" s="35"/>
      <c r="J5284" s="41"/>
    </row>
    <row r="5285" spans="5:10" s="34" customFormat="1" x14ac:dyDescent="0.35">
      <c r="E5285" s="35"/>
      <c r="J5285" s="41"/>
    </row>
    <row r="5286" spans="5:10" s="34" customFormat="1" x14ac:dyDescent="0.35">
      <c r="E5286" s="35"/>
      <c r="J5286" s="41"/>
    </row>
    <row r="5287" spans="5:10" s="34" customFormat="1" x14ac:dyDescent="0.35">
      <c r="E5287" s="35"/>
      <c r="J5287" s="41"/>
    </row>
    <row r="5288" spans="5:10" s="34" customFormat="1" x14ac:dyDescent="0.35">
      <c r="E5288" s="35"/>
      <c r="J5288" s="41"/>
    </row>
    <row r="5289" spans="5:10" s="34" customFormat="1" x14ac:dyDescent="0.35">
      <c r="E5289" s="35"/>
      <c r="J5289" s="41"/>
    </row>
    <row r="5290" spans="5:10" s="34" customFormat="1" x14ac:dyDescent="0.35">
      <c r="E5290" s="35"/>
      <c r="J5290" s="41"/>
    </row>
    <row r="5291" spans="5:10" s="34" customFormat="1" x14ac:dyDescent="0.35">
      <c r="E5291" s="35"/>
      <c r="J5291" s="41"/>
    </row>
    <row r="5292" spans="5:10" s="34" customFormat="1" x14ac:dyDescent="0.35">
      <c r="E5292" s="35"/>
      <c r="J5292" s="41"/>
    </row>
    <row r="5293" spans="5:10" s="34" customFormat="1" x14ac:dyDescent="0.35">
      <c r="E5293" s="35"/>
      <c r="J5293" s="41"/>
    </row>
    <row r="5294" spans="5:10" s="34" customFormat="1" x14ac:dyDescent="0.35">
      <c r="E5294" s="35"/>
      <c r="J5294" s="41"/>
    </row>
    <row r="5295" spans="5:10" s="34" customFormat="1" x14ac:dyDescent="0.35">
      <c r="E5295" s="35"/>
      <c r="J5295" s="41"/>
    </row>
    <row r="5296" spans="5:10" s="34" customFormat="1" x14ac:dyDescent="0.35">
      <c r="E5296" s="35"/>
      <c r="J5296" s="41"/>
    </row>
    <row r="5297" spans="5:10" s="34" customFormat="1" x14ac:dyDescent="0.35">
      <c r="E5297" s="35"/>
      <c r="J5297" s="41"/>
    </row>
    <row r="5298" spans="5:10" s="34" customFormat="1" x14ac:dyDescent="0.35">
      <c r="E5298" s="35"/>
      <c r="J5298" s="41"/>
    </row>
    <row r="5299" spans="5:10" s="34" customFormat="1" x14ac:dyDescent="0.35">
      <c r="E5299" s="35"/>
      <c r="J5299" s="41"/>
    </row>
    <row r="5300" spans="5:10" s="34" customFormat="1" x14ac:dyDescent="0.35">
      <c r="E5300" s="35"/>
      <c r="J5300" s="41"/>
    </row>
    <row r="5301" spans="5:10" s="34" customFormat="1" x14ac:dyDescent="0.35">
      <c r="E5301" s="35"/>
      <c r="J5301" s="41"/>
    </row>
    <row r="5302" spans="5:10" s="34" customFormat="1" x14ac:dyDescent="0.35">
      <c r="E5302" s="35"/>
      <c r="J5302" s="41"/>
    </row>
    <row r="5303" spans="5:10" s="34" customFormat="1" x14ac:dyDescent="0.35">
      <c r="E5303" s="35"/>
      <c r="J5303" s="41"/>
    </row>
    <row r="5304" spans="5:10" s="34" customFormat="1" x14ac:dyDescent="0.35">
      <c r="E5304" s="35"/>
      <c r="J5304" s="41"/>
    </row>
    <row r="5305" spans="5:10" s="34" customFormat="1" x14ac:dyDescent="0.35">
      <c r="E5305" s="35"/>
      <c r="J5305" s="41"/>
    </row>
    <row r="5306" spans="5:10" s="34" customFormat="1" x14ac:dyDescent="0.35">
      <c r="E5306" s="35"/>
      <c r="J5306" s="41"/>
    </row>
    <row r="5307" spans="5:10" s="34" customFormat="1" x14ac:dyDescent="0.35">
      <c r="E5307" s="35"/>
      <c r="J5307" s="41"/>
    </row>
    <row r="5308" spans="5:10" s="34" customFormat="1" x14ac:dyDescent="0.35">
      <c r="E5308" s="35"/>
      <c r="J5308" s="41"/>
    </row>
    <row r="5309" spans="5:10" s="34" customFormat="1" x14ac:dyDescent="0.35">
      <c r="E5309" s="35"/>
      <c r="J5309" s="41"/>
    </row>
    <row r="5310" spans="5:10" s="34" customFormat="1" x14ac:dyDescent="0.35">
      <c r="E5310" s="35"/>
      <c r="J5310" s="41"/>
    </row>
    <row r="5311" spans="5:10" s="34" customFormat="1" x14ac:dyDescent="0.35">
      <c r="E5311" s="35"/>
      <c r="J5311" s="41"/>
    </row>
    <row r="5312" spans="5:10" s="34" customFormat="1" x14ac:dyDescent="0.35">
      <c r="E5312" s="35"/>
      <c r="J5312" s="41"/>
    </row>
    <row r="5313" spans="5:10" s="34" customFormat="1" x14ac:dyDescent="0.35">
      <c r="E5313" s="35"/>
      <c r="J5313" s="41"/>
    </row>
    <row r="5314" spans="5:10" s="34" customFormat="1" x14ac:dyDescent="0.35">
      <c r="E5314" s="35"/>
      <c r="J5314" s="41"/>
    </row>
    <row r="5315" spans="5:10" s="34" customFormat="1" x14ac:dyDescent="0.35">
      <c r="E5315" s="35"/>
      <c r="J5315" s="41"/>
    </row>
    <row r="5316" spans="5:10" s="34" customFormat="1" x14ac:dyDescent="0.35">
      <c r="E5316" s="35"/>
      <c r="J5316" s="41"/>
    </row>
    <row r="5317" spans="5:10" s="34" customFormat="1" x14ac:dyDescent="0.35">
      <c r="E5317" s="35"/>
      <c r="J5317" s="41"/>
    </row>
    <row r="5318" spans="5:10" s="34" customFormat="1" x14ac:dyDescent="0.35">
      <c r="E5318" s="35"/>
      <c r="J5318" s="41"/>
    </row>
    <row r="5319" spans="5:10" s="34" customFormat="1" x14ac:dyDescent="0.35">
      <c r="E5319" s="35"/>
      <c r="J5319" s="41"/>
    </row>
    <row r="5320" spans="5:10" s="34" customFormat="1" x14ac:dyDescent="0.35">
      <c r="E5320" s="35"/>
      <c r="J5320" s="41"/>
    </row>
    <row r="5321" spans="5:10" s="34" customFormat="1" x14ac:dyDescent="0.35">
      <c r="E5321" s="35"/>
      <c r="J5321" s="41"/>
    </row>
    <row r="5322" spans="5:10" s="34" customFormat="1" x14ac:dyDescent="0.35">
      <c r="E5322" s="35"/>
      <c r="J5322" s="41"/>
    </row>
    <row r="5323" spans="5:10" s="34" customFormat="1" x14ac:dyDescent="0.35">
      <c r="E5323" s="35"/>
      <c r="J5323" s="41"/>
    </row>
    <row r="5324" spans="5:10" s="34" customFormat="1" x14ac:dyDescent="0.35">
      <c r="E5324" s="35"/>
      <c r="J5324" s="41"/>
    </row>
    <row r="5325" spans="5:10" s="34" customFormat="1" x14ac:dyDescent="0.35">
      <c r="E5325" s="35"/>
      <c r="J5325" s="41"/>
    </row>
    <row r="5326" spans="5:10" s="34" customFormat="1" x14ac:dyDescent="0.35">
      <c r="E5326" s="35"/>
      <c r="J5326" s="41"/>
    </row>
    <row r="5327" spans="5:10" s="34" customFormat="1" x14ac:dyDescent="0.35">
      <c r="E5327" s="35"/>
      <c r="J5327" s="41"/>
    </row>
    <row r="5328" spans="5:10" s="34" customFormat="1" x14ac:dyDescent="0.35">
      <c r="E5328" s="35"/>
      <c r="J5328" s="41"/>
    </row>
    <row r="5329" spans="5:10" s="34" customFormat="1" x14ac:dyDescent="0.35">
      <c r="E5329" s="35"/>
      <c r="J5329" s="41"/>
    </row>
    <row r="5330" spans="5:10" s="34" customFormat="1" x14ac:dyDescent="0.35">
      <c r="E5330" s="35"/>
      <c r="J5330" s="41"/>
    </row>
    <row r="5331" spans="5:10" s="34" customFormat="1" x14ac:dyDescent="0.35">
      <c r="E5331" s="35"/>
      <c r="J5331" s="41"/>
    </row>
    <row r="5332" spans="5:10" s="34" customFormat="1" x14ac:dyDescent="0.35">
      <c r="E5332" s="35"/>
      <c r="J5332" s="41"/>
    </row>
    <row r="5333" spans="5:10" s="34" customFormat="1" x14ac:dyDescent="0.35">
      <c r="E5333" s="35"/>
      <c r="J5333" s="41"/>
    </row>
    <row r="5334" spans="5:10" s="34" customFormat="1" x14ac:dyDescent="0.35">
      <c r="E5334" s="35"/>
      <c r="J5334" s="41"/>
    </row>
    <row r="5335" spans="5:10" s="34" customFormat="1" x14ac:dyDescent="0.35">
      <c r="E5335" s="35"/>
      <c r="J5335" s="41"/>
    </row>
    <row r="5336" spans="5:10" s="34" customFormat="1" x14ac:dyDescent="0.35">
      <c r="E5336" s="35"/>
      <c r="J5336" s="41"/>
    </row>
    <row r="5337" spans="5:10" s="34" customFormat="1" x14ac:dyDescent="0.35">
      <c r="E5337" s="35"/>
      <c r="J5337" s="41"/>
    </row>
    <row r="5338" spans="5:10" s="34" customFormat="1" x14ac:dyDescent="0.35">
      <c r="E5338" s="35"/>
      <c r="J5338" s="41"/>
    </row>
    <row r="5339" spans="5:10" s="34" customFormat="1" x14ac:dyDescent="0.35">
      <c r="E5339" s="35"/>
      <c r="J5339" s="41"/>
    </row>
    <row r="5340" spans="5:10" s="34" customFormat="1" x14ac:dyDescent="0.35">
      <c r="E5340" s="35"/>
      <c r="J5340" s="41"/>
    </row>
    <row r="5341" spans="5:10" s="34" customFormat="1" x14ac:dyDescent="0.35">
      <c r="E5341" s="35"/>
      <c r="J5341" s="41"/>
    </row>
    <row r="5342" spans="5:10" s="34" customFormat="1" x14ac:dyDescent="0.35">
      <c r="E5342" s="35"/>
      <c r="J5342" s="41"/>
    </row>
    <row r="5343" spans="5:10" s="34" customFormat="1" x14ac:dyDescent="0.35">
      <c r="E5343" s="35"/>
      <c r="J5343" s="41"/>
    </row>
    <row r="5344" spans="5:10" s="34" customFormat="1" x14ac:dyDescent="0.35">
      <c r="E5344" s="35"/>
      <c r="J5344" s="41"/>
    </row>
    <row r="5345" spans="5:10" s="34" customFormat="1" x14ac:dyDescent="0.35">
      <c r="E5345" s="35"/>
      <c r="J5345" s="41"/>
    </row>
    <row r="5346" spans="5:10" s="34" customFormat="1" x14ac:dyDescent="0.35">
      <c r="E5346" s="35"/>
      <c r="J5346" s="41"/>
    </row>
    <row r="5347" spans="5:10" s="34" customFormat="1" x14ac:dyDescent="0.35">
      <c r="E5347" s="35"/>
      <c r="J5347" s="41"/>
    </row>
    <row r="5348" spans="5:10" s="34" customFormat="1" x14ac:dyDescent="0.35">
      <c r="E5348" s="35"/>
      <c r="J5348" s="41"/>
    </row>
    <row r="5349" spans="5:10" s="34" customFormat="1" x14ac:dyDescent="0.35">
      <c r="E5349" s="35"/>
      <c r="J5349" s="41"/>
    </row>
    <row r="5350" spans="5:10" s="34" customFormat="1" x14ac:dyDescent="0.35">
      <c r="E5350" s="35"/>
      <c r="J5350" s="41"/>
    </row>
    <row r="5351" spans="5:10" s="34" customFormat="1" x14ac:dyDescent="0.35">
      <c r="E5351" s="35"/>
      <c r="J5351" s="41"/>
    </row>
    <row r="5352" spans="5:10" s="34" customFormat="1" x14ac:dyDescent="0.35">
      <c r="E5352" s="35"/>
      <c r="J5352" s="41"/>
    </row>
    <row r="5353" spans="5:10" s="34" customFormat="1" x14ac:dyDescent="0.35">
      <c r="E5353" s="35"/>
      <c r="J5353" s="41"/>
    </row>
    <row r="5354" spans="5:10" s="34" customFormat="1" x14ac:dyDescent="0.35">
      <c r="E5354" s="35"/>
      <c r="J5354" s="41"/>
    </row>
    <row r="5355" spans="5:10" s="34" customFormat="1" x14ac:dyDescent="0.35">
      <c r="E5355" s="35"/>
      <c r="J5355" s="41"/>
    </row>
    <row r="5356" spans="5:10" s="34" customFormat="1" x14ac:dyDescent="0.35">
      <c r="E5356" s="35"/>
      <c r="J5356" s="41"/>
    </row>
    <row r="5357" spans="5:10" s="34" customFormat="1" x14ac:dyDescent="0.35">
      <c r="E5357" s="35"/>
      <c r="J5357" s="41"/>
    </row>
    <row r="5358" spans="5:10" s="34" customFormat="1" x14ac:dyDescent="0.35">
      <c r="E5358" s="35"/>
      <c r="J5358" s="41"/>
    </row>
    <row r="5359" spans="5:10" s="34" customFormat="1" x14ac:dyDescent="0.35">
      <c r="E5359" s="35"/>
      <c r="J5359" s="41"/>
    </row>
    <row r="5360" spans="5:10" s="34" customFormat="1" x14ac:dyDescent="0.35">
      <c r="E5360" s="35"/>
      <c r="J5360" s="41"/>
    </row>
    <row r="5361" spans="5:10" s="34" customFormat="1" x14ac:dyDescent="0.35">
      <c r="E5361" s="35"/>
      <c r="J5361" s="41"/>
    </row>
    <row r="5362" spans="5:10" s="34" customFormat="1" x14ac:dyDescent="0.35">
      <c r="E5362" s="35"/>
      <c r="J5362" s="41"/>
    </row>
    <row r="5363" spans="5:10" s="34" customFormat="1" x14ac:dyDescent="0.35">
      <c r="E5363" s="35"/>
      <c r="J5363" s="41"/>
    </row>
    <row r="5364" spans="5:10" s="34" customFormat="1" x14ac:dyDescent="0.35">
      <c r="E5364" s="35"/>
      <c r="J5364" s="41"/>
    </row>
    <row r="5365" spans="5:10" s="34" customFormat="1" x14ac:dyDescent="0.35">
      <c r="E5365" s="35"/>
      <c r="J5365" s="41"/>
    </row>
    <row r="5366" spans="5:10" s="34" customFormat="1" x14ac:dyDescent="0.35">
      <c r="E5366" s="35"/>
      <c r="J5366" s="41"/>
    </row>
    <row r="5367" spans="5:10" s="34" customFormat="1" x14ac:dyDescent="0.35">
      <c r="E5367" s="35"/>
      <c r="J5367" s="41"/>
    </row>
    <row r="5368" spans="5:10" s="34" customFormat="1" x14ac:dyDescent="0.35">
      <c r="E5368" s="35"/>
      <c r="J5368" s="41"/>
    </row>
    <row r="5369" spans="5:10" s="34" customFormat="1" x14ac:dyDescent="0.35">
      <c r="E5369" s="35"/>
      <c r="J5369" s="41"/>
    </row>
    <row r="5370" spans="5:10" s="34" customFormat="1" x14ac:dyDescent="0.35">
      <c r="E5370" s="35"/>
      <c r="J5370" s="41"/>
    </row>
    <row r="5371" spans="5:10" s="34" customFormat="1" x14ac:dyDescent="0.35">
      <c r="E5371" s="35"/>
      <c r="J5371" s="41"/>
    </row>
    <row r="5372" spans="5:10" s="34" customFormat="1" x14ac:dyDescent="0.35">
      <c r="E5372" s="35"/>
      <c r="J5372" s="41"/>
    </row>
    <row r="5373" spans="5:10" s="34" customFormat="1" x14ac:dyDescent="0.35">
      <c r="E5373" s="35"/>
      <c r="J5373" s="41"/>
    </row>
    <row r="5374" spans="5:10" s="34" customFormat="1" x14ac:dyDescent="0.35">
      <c r="E5374" s="35"/>
      <c r="J5374" s="41"/>
    </row>
    <row r="5375" spans="5:10" s="34" customFormat="1" x14ac:dyDescent="0.35">
      <c r="E5375" s="35"/>
      <c r="J5375" s="41"/>
    </row>
    <row r="5376" spans="5:10" s="34" customFormat="1" x14ac:dyDescent="0.35">
      <c r="E5376" s="35"/>
      <c r="J5376" s="41"/>
    </row>
    <row r="5377" spans="5:10" s="34" customFormat="1" x14ac:dyDescent="0.35">
      <c r="E5377" s="35"/>
      <c r="J5377" s="41"/>
    </row>
    <row r="5378" spans="5:10" s="34" customFormat="1" x14ac:dyDescent="0.35">
      <c r="E5378" s="35"/>
      <c r="J5378" s="41"/>
    </row>
    <row r="5379" spans="5:10" s="34" customFormat="1" x14ac:dyDescent="0.35">
      <c r="E5379" s="35"/>
      <c r="J5379" s="41"/>
    </row>
    <row r="5380" spans="5:10" s="34" customFormat="1" x14ac:dyDescent="0.35">
      <c r="E5380" s="35"/>
      <c r="J5380" s="41"/>
    </row>
    <row r="5381" spans="5:10" s="34" customFormat="1" x14ac:dyDescent="0.35">
      <c r="E5381" s="35"/>
      <c r="J5381" s="41"/>
    </row>
    <row r="5382" spans="5:10" s="34" customFormat="1" x14ac:dyDescent="0.35">
      <c r="E5382" s="35"/>
      <c r="J5382" s="41"/>
    </row>
    <row r="5383" spans="5:10" s="34" customFormat="1" x14ac:dyDescent="0.35">
      <c r="E5383" s="35"/>
      <c r="J5383" s="41"/>
    </row>
    <row r="5384" spans="5:10" s="34" customFormat="1" x14ac:dyDescent="0.35">
      <c r="E5384" s="35"/>
      <c r="J5384" s="41"/>
    </row>
    <row r="5385" spans="5:10" s="34" customFormat="1" x14ac:dyDescent="0.35">
      <c r="E5385" s="35"/>
      <c r="J5385" s="41"/>
    </row>
    <row r="5386" spans="5:10" s="34" customFormat="1" x14ac:dyDescent="0.35">
      <c r="E5386" s="35"/>
      <c r="J5386" s="41"/>
    </row>
    <row r="5387" spans="5:10" s="34" customFormat="1" x14ac:dyDescent="0.35">
      <c r="E5387" s="35"/>
      <c r="J5387" s="41"/>
    </row>
    <row r="5388" spans="5:10" s="34" customFormat="1" x14ac:dyDescent="0.35">
      <c r="E5388" s="35"/>
      <c r="J5388" s="41"/>
    </row>
    <row r="5389" spans="5:10" s="34" customFormat="1" x14ac:dyDescent="0.35">
      <c r="E5389" s="35"/>
      <c r="J5389" s="41"/>
    </row>
    <row r="5390" spans="5:10" s="34" customFormat="1" x14ac:dyDescent="0.35">
      <c r="E5390" s="35"/>
      <c r="J5390" s="41"/>
    </row>
    <row r="5391" spans="5:10" s="34" customFormat="1" x14ac:dyDescent="0.35">
      <c r="E5391" s="35"/>
      <c r="J5391" s="41"/>
    </row>
    <row r="5392" spans="5:10" s="34" customFormat="1" x14ac:dyDescent="0.35">
      <c r="E5392" s="35"/>
      <c r="J5392" s="41"/>
    </row>
    <row r="5393" spans="5:10" s="34" customFormat="1" x14ac:dyDescent="0.35">
      <c r="E5393" s="35"/>
      <c r="J5393" s="41"/>
    </row>
    <row r="5394" spans="5:10" s="34" customFormat="1" x14ac:dyDescent="0.35">
      <c r="E5394" s="35"/>
      <c r="J5394" s="41"/>
    </row>
    <row r="5395" spans="5:10" s="34" customFormat="1" x14ac:dyDescent="0.35">
      <c r="E5395" s="35"/>
      <c r="J5395" s="41"/>
    </row>
    <row r="5396" spans="5:10" s="34" customFormat="1" x14ac:dyDescent="0.35">
      <c r="E5396" s="35"/>
      <c r="J5396" s="41"/>
    </row>
    <row r="5397" spans="5:10" s="34" customFormat="1" x14ac:dyDescent="0.35">
      <c r="E5397" s="35"/>
      <c r="J5397" s="41"/>
    </row>
    <row r="5398" spans="5:10" s="34" customFormat="1" x14ac:dyDescent="0.35">
      <c r="E5398" s="35"/>
      <c r="J5398" s="41"/>
    </row>
    <row r="5399" spans="5:10" s="34" customFormat="1" x14ac:dyDescent="0.35">
      <c r="E5399" s="35"/>
      <c r="J5399" s="41"/>
    </row>
    <row r="5400" spans="5:10" s="34" customFormat="1" x14ac:dyDescent="0.35">
      <c r="E5400" s="35"/>
      <c r="J5400" s="41"/>
    </row>
    <row r="5401" spans="5:10" s="34" customFormat="1" x14ac:dyDescent="0.35">
      <c r="E5401" s="35"/>
      <c r="J5401" s="41"/>
    </row>
    <row r="5402" spans="5:10" s="34" customFormat="1" x14ac:dyDescent="0.35">
      <c r="E5402" s="35"/>
      <c r="J5402" s="41"/>
    </row>
    <row r="5403" spans="5:10" s="34" customFormat="1" x14ac:dyDescent="0.35">
      <c r="E5403" s="35"/>
      <c r="J5403" s="41"/>
    </row>
    <row r="5404" spans="5:10" s="34" customFormat="1" x14ac:dyDescent="0.35">
      <c r="E5404" s="35"/>
      <c r="J5404" s="41"/>
    </row>
    <row r="5405" spans="5:10" s="34" customFormat="1" x14ac:dyDescent="0.35">
      <c r="E5405" s="35"/>
      <c r="J5405" s="41"/>
    </row>
    <row r="5406" spans="5:10" s="34" customFormat="1" x14ac:dyDescent="0.35">
      <c r="E5406" s="35"/>
      <c r="J5406" s="41"/>
    </row>
    <row r="5407" spans="5:10" s="34" customFormat="1" x14ac:dyDescent="0.35">
      <c r="E5407" s="35"/>
      <c r="J5407" s="41"/>
    </row>
    <row r="5408" spans="5:10" s="34" customFormat="1" x14ac:dyDescent="0.35">
      <c r="E5408" s="35"/>
      <c r="J5408" s="41"/>
    </row>
    <row r="5409" spans="5:10" s="34" customFormat="1" x14ac:dyDescent="0.35">
      <c r="E5409" s="35"/>
      <c r="J5409" s="41"/>
    </row>
    <row r="5410" spans="5:10" s="34" customFormat="1" x14ac:dyDescent="0.35">
      <c r="E5410" s="35"/>
      <c r="J5410" s="41"/>
    </row>
    <row r="5411" spans="5:10" s="34" customFormat="1" x14ac:dyDescent="0.35">
      <c r="E5411" s="35"/>
      <c r="J5411" s="41"/>
    </row>
    <row r="5412" spans="5:10" s="34" customFormat="1" x14ac:dyDescent="0.35">
      <c r="E5412" s="35"/>
      <c r="J5412" s="41"/>
    </row>
    <row r="5413" spans="5:10" s="34" customFormat="1" x14ac:dyDescent="0.35">
      <c r="E5413" s="35"/>
      <c r="J5413" s="41"/>
    </row>
    <row r="5414" spans="5:10" s="34" customFormat="1" x14ac:dyDescent="0.35">
      <c r="E5414" s="35"/>
      <c r="J5414" s="41"/>
    </row>
    <row r="5415" spans="5:10" s="34" customFormat="1" x14ac:dyDescent="0.35">
      <c r="E5415" s="35"/>
      <c r="J5415" s="41"/>
    </row>
    <row r="5416" spans="5:10" s="34" customFormat="1" x14ac:dyDescent="0.35">
      <c r="E5416" s="35"/>
      <c r="J5416" s="41"/>
    </row>
    <row r="5417" spans="5:10" s="34" customFormat="1" x14ac:dyDescent="0.35">
      <c r="E5417" s="35"/>
      <c r="J5417" s="41"/>
    </row>
    <row r="5418" spans="5:10" s="34" customFormat="1" x14ac:dyDescent="0.35">
      <c r="E5418" s="35"/>
      <c r="J5418" s="41"/>
    </row>
    <row r="5419" spans="5:10" s="34" customFormat="1" x14ac:dyDescent="0.35">
      <c r="E5419" s="35"/>
      <c r="J5419" s="41"/>
    </row>
    <row r="5420" spans="5:10" s="34" customFormat="1" x14ac:dyDescent="0.35">
      <c r="E5420" s="35"/>
      <c r="J5420" s="41"/>
    </row>
    <row r="5421" spans="5:10" s="34" customFormat="1" x14ac:dyDescent="0.35">
      <c r="E5421" s="35"/>
      <c r="J5421" s="41"/>
    </row>
    <row r="5422" spans="5:10" s="34" customFormat="1" x14ac:dyDescent="0.35">
      <c r="E5422" s="35"/>
      <c r="J5422" s="41"/>
    </row>
    <row r="5423" spans="5:10" s="34" customFormat="1" x14ac:dyDescent="0.35">
      <c r="E5423" s="35"/>
      <c r="J5423" s="41"/>
    </row>
    <row r="5424" spans="5:10" s="34" customFormat="1" x14ac:dyDescent="0.35">
      <c r="E5424" s="35"/>
      <c r="J5424" s="41"/>
    </row>
    <row r="5425" spans="5:10" s="34" customFormat="1" x14ac:dyDescent="0.35">
      <c r="E5425" s="35"/>
      <c r="J5425" s="41"/>
    </row>
    <row r="5426" spans="5:10" s="34" customFormat="1" x14ac:dyDescent="0.35">
      <c r="E5426" s="35"/>
      <c r="J5426" s="41"/>
    </row>
    <row r="5427" spans="5:10" s="34" customFormat="1" x14ac:dyDescent="0.35">
      <c r="E5427" s="35"/>
      <c r="J5427" s="41"/>
    </row>
    <row r="5428" spans="5:10" s="34" customFormat="1" x14ac:dyDescent="0.35">
      <c r="E5428" s="35"/>
      <c r="J5428" s="41"/>
    </row>
    <row r="5429" spans="5:10" s="34" customFormat="1" x14ac:dyDescent="0.35">
      <c r="E5429" s="35"/>
      <c r="J5429" s="41"/>
    </row>
    <row r="5430" spans="5:10" s="34" customFormat="1" x14ac:dyDescent="0.35">
      <c r="E5430" s="35"/>
      <c r="J5430" s="41"/>
    </row>
    <row r="5431" spans="5:10" s="34" customFormat="1" x14ac:dyDescent="0.35">
      <c r="E5431" s="35"/>
      <c r="J5431" s="41"/>
    </row>
    <row r="5432" spans="5:10" s="34" customFormat="1" x14ac:dyDescent="0.35">
      <c r="E5432" s="35"/>
      <c r="J5432" s="41"/>
    </row>
    <row r="5433" spans="5:10" s="34" customFormat="1" x14ac:dyDescent="0.35">
      <c r="E5433" s="35"/>
      <c r="J5433" s="41"/>
    </row>
    <row r="5434" spans="5:10" s="34" customFormat="1" x14ac:dyDescent="0.35">
      <c r="E5434" s="35"/>
      <c r="J5434" s="41"/>
    </row>
    <row r="5435" spans="5:10" s="34" customFormat="1" x14ac:dyDescent="0.35">
      <c r="E5435" s="35"/>
      <c r="J5435" s="41"/>
    </row>
    <row r="5436" spans="5:10" s="34" customFormat="1" x14ac:dyDescent="0.35">
      <c r="E5436" s="35"/>
      <c r="J5436" s="41"/>
    </row>
    <row r="5437" spans="5:10" s="34" customFormat="1" x14ac:dyDescent="0.35">
      <c r="E5437" s="35"/>
      <c r="J5437" s="41"/>
    </row>
    <row r="5438" spans="5:10" s="34" customFormat="1" x14ac:dyDescent="0.35">
      <c r="E5438" s="35"/>
      <c r="J5438" s="41"/>
    </row>
    <row r="5439" spans="5:10" s="34" customFormat="1" x14ac:dyDescent="0.35">
      <c r="E5439" s="35"/>
      <c r="J5439" s="41"/>
    </row>
    <row r="5440" spans="5:10" s="34" customFormat="1" x14ac:dyDescent="0.35">
      <c r="E5440" s="35"/>
      <c r="J5440" s="41"/>
    </row>
    <row r="5441" spans="5:10" s="34" customFormat="1" x14ac:dyDescent="0.35">
      <c r="E5441" s="35"/>
      <c r="J5441" s="41"/>
    </row>
    <row r="5442" spans="5:10" s="34" customFormat="1" x14ac:dyDescent="0.35">
      <c r="E5442" s="35"/>
      <c r="J5442" s="41"/>
    </row>
    <row r="5443" spans="5:10" s="34" customFormat="1" x14ac:dyDescent="0.35">
      <c r="E5443" s="35"/>
      <c r="J5443" s="41"/>
    </row>
    <row r="5444" spans="5:10" s="34" customFormat="1" x14ac:dyDescent="0.35">
      <c r="E5444" s="35"/>
      <c r="J5444" s="41"/>
    </row>
    <row r="5445" spans="5:10" s="34" customFormat="1" x14ac:dyDescent="0.35">
      <c r="E5445" s="35"/>
      <c r="J5445" s="41"/>
    </row>
    <row r="5446" spans="5:10" s="34" customFormat="1" x14ac:dyDescent="0.35">
      <c r="E5446" s="35"/>
      <c r="J5446" s="41"/>
    </row>
    <row r="5447" spans="5:10" s="34" customFormat="1" x14ac:dyDescent="0.35">
      <c r="E5447" s="35"/>
      <c r="J5447" s="41"/>
    </row>
    <row r="5448" spans="5:10" s="34" customFormat="1" x14ac:dyDescent="0.35">
      <c r="E5448" s="35"/>
      <c r="J5448" s="41"/>
    </row>
    <row r="5449" spans="5:10" s="34" customFormat="1" x14ac:dyDescent="0.35">
      <c r="E5449" s="35"/>
      <c r="J5449" s="41"/>
    </row>
    <row r="5450" spans="5:10" s="34" customFormat="1" x14ac:dyDescent="0.35">
      <c r="E5450" s="35"/>
      <c r="J5450" s="41"/>
    </row>
    <row r="5451" spans="5:10" s="34" customFormat="1" x14ac:dyDescent="0.35">
      <c r="E5451" s="35"/>
      <c r="J5451" s="41"/>
    </row>
    <row r="5452" spans="5:10" s="34" customFormat="1" x14ac:dyDescent="0.35">
      <c r="E5452" s="35"/>
      <c r="J5452" s="41"/>
    </row>
    <row r="5453" spans="5:10" s="34" customFormat="1" x14ac:dyDescent="0.35">
      <c r="E5453" s="35"/>
      <c r="J5453" s="41"/>
    </row>
    <row r="5454" spans="5:10" s="34" customFormat="1" x14ac:dyDescent="0.35">
      <c r="E5454" s="35"/>
      <c r="J5454" s="41"/>
    </row>
    <row r="5455" spans="5:10" s="34" customFormat="1" x14ac:dyDescent="0.35">
      <c r="E5455" s="35"/>
      <c r="J5455" s="41"/>
    </row>
    <row r="5456" spans="5:10" s="34" customFormat="1" x14ac:dyDescent="0.35">
      <c r="E5456" s="35"/>
      <c r="J5456" s="41"/>
    </row>
    <row r="5457" spans="5:10" s="34" customFormat="1" x14ac:dyDescent="0.35">
      <c r="E5457" s="35"/>
      <c r="J5457" s="41"/>
    </row>
    <row r="5458" spans="5:10" s="34" customFormat="1" x14ac:dyDescent="0.35">
      <c r="E5458" s="35"/>
      <c r="J5458" s="41"/>
    </row>
    <row r="5459" spans="5:10" s="34" customFormat="1" x14ac:dyDescent="0.35">
      <c r="E5459" s="35"/>
      <c r="J5459" s="41"/>
    </row>
    <row r="5460" spans="5:10" s="34" customFormat="1" x14ac:dyDescent="0.35">
      <c r="E5460" s="35"/>
      <c r="J5460" s="41"/>
    </row>
    <row r="5461" spans="5:10" s="34" customFormat="1" x14ac:dyDescent="0.35">
      <c r="E5461" s="35"/>
      <c r="J5461" s="41"/>
    </row>
    <row r="5462" spans="5:10" s="34" customFormat="1" x14ac:dyDescent="0.35">
      <c r="E5462" s="35"/>
      <c r="J5462" s="41"/>
    </row>
    <row r="5463" spans="5:10" s="34" customFormat="1" x14ac:dyDescent="0.35">
      <c r="E5463" s="35"/>
      <c r="J5463" s="41"/>
    </row>
    <row r="5464" spans="5:10" s="34" customFormat="1" x14ac:dyDescent="0.35">
      <c r="E5464" s="35"/>
      <c r="J5464" s="41"/>
    </row>
    <row r="5465" spans="5:10" s="34" customFormat="1" x14ac:dyDescent="0.35">
      <c r="E5465" s="35"/>
      <c r="J5465" s="41"/>
    </row>
    <row r="5466" spans="5:10" s="34" customFormat="1" x14ac:dyDescent="0.35">
      <c r="E5466" s="35"/>
      <c r="J5466" s="41"/>
    </row>
    <row r="5467" spans="5:10" s="34" customFormat="1" x14ac:dyDescent="0.35">
      <c r="E5467" s="35"/>
      <c r="J5467" s="41"/>
    </row>
    <row r="5468" spans="5:10" s="34" customFormat="1" x14ac:dyDescent="0.35">
      <c r="E5468" s="35"/>
      <c r="J5468" s="41"/>
    </row>
    <row r="5469" spans="5:10" s="34" customFormat="1" x14ac:dyDescent="0.35">
      <c r="E5469" s="35"/>
      <c r="J5469" s="41"/>
    </row>
    <row r="5470" spans="5:10" s="34" customFormat="1" x14ac:dyDescent="0.35">
      <c r="E5470" s="35"/>
      <c r="J5470" s="41"/>
    </row>
    <row r="5471" spans="5:10" s="34" customFormat="1" x14ac:dyDescent="0.35">
      <c r="E5471" s="35"/>
      <c r="J5471" s="41"/>
    </row>
    <row r="5472" spans="5:10" s="34" customFormat="1" x14ac:dyDescent="0.35">
      <c r="E5472" s="35"/>
      <c r="J5472" s="41"/>
    </row>
    <row r="5473" spans="5:10" s="34" customFormat="1" x14ac:dyDescent="0.35">
      <c r="E5473" s="35"/>
      <c r="J5473" s="41"/>
    </row>
    <row r="5474" spans="5:10" s="34" customFormat="1" x14ac:dyDescent="0.35">
      <c r="E5474" s="35"/>
      <c r="J5474" s="41"/>
    </row>
    <row r="5475" spans="5:10" s="34" customFormat="1" x14ac:dyDescent="0.35">
      <c r="E5475" s="35"/>
      <c r="J5475" s="41"/>
    </row>
    <row r="5476" spans="5:10" s="34" customFormat="1" x14ac:dyDescent="0.35">
      <c r="E5476" s="35"/>
      <c r="J5476" s="41"/>
    </row>
    <row r="5477" spans="5:10" s="34" customFormat="1" x14ac:dyDescent="0.35">
      <c r="E5477" s="35"/>
      <c r="J5477" s="41"/>
    </row>
    <row r="5478" spans="5:10" s="34" customFormat="1" x14ac:dyDescent="0.35">
      <c r="E5478" s="35"/>
      <c r="J5478" s="41"/>
    </row>
    <row r="5479" spans="5:10" s="34" customFormat="1" x14ac:dyDescent="0.35">
      <c r="E5479" s="35"/>
      <c r="J5479" s="41"/>
    </row>
    <row r="5480" spans="5:10" s="34" customFormat="1" x14ac:dyDescent="0.35">
      <c r="E5480" s="35"/>
      <c r="J5480" s="41"/>
    </row>
    <row r="5481" spans="5:10" s="34" customFormat="1" x14ac:dyDescent="0.35">
      <c r="E5481" s="35"/>
      <c r="J5481" s="41"/>
    </row>
    <row r="5482" spans="5:10" s="34" customFormat="1" x14ac:dyDescent="0.35">
      <c r="E5482" s="35"/>
      <c r="J5482" s="41"/>
    </row>
    <row r="5483" spans="5:10" s="34" customFormat="1" x14ac:dyDescent="0.35">
      <c r="E5483" s="35"/>
      <c r="J5483" s="41"/>
    </row>
    <row r="5484" spans="5:10" s="34" customFormat="1" x14ac:dyDescent="0.35">
      <c r="E5484" s="35"/>
      <c r="J5484" s="41"/>
    </row>
    <row r="5485" spans="5:10" s="34" customFormat="1" x14ac:dyDescent="0.35">
      <c r="E5485" s="35"/>
      <c r="J5485" s="41"/>
    </row>
    <row r="5486" spans="5:10" s="34" customFormat="1" x14ac:dyDescent="0.35">
      <c r="E5486" s="35"/>
      <c r="J5486" s="41"/>
    </row>
    <row r="5487" spans="5:10" s="34" customFormat="1" x14ac:dyDescent="0.35">
      <c r="E5487" s="35"/>
      <c r="J5487" s="41"/>
    </row>
    <row r="5488" spans="5:10" s="34" customFormat="1" x14ac:dyDescent="0.35">
      <c r="E5488" s="35"/>
      <c r="J5488" s="41"/>
    </row>
    <row r="5489" spans="5:10" s="34" customFormat="1" x14ac:dyDescent="0.35">
      <c r="E5489" s="35"/>
      <c r="J5489" s="41"/>
    </row>
    <row r="5490" spans="5:10" s="34" customFormat="1" x14ac:dyDescent="0.35">
      <c r="E5490" s="35"/>
      <c r="J5490" s="41"/>
    </row>
    <row r="5491" spans="5:10" s="34" customFormat="1" x14ac:dyDescent="0.35">
      <c r="E5491" s="35"/>
      <c r="J5491" s="41"/>
    </row>
    <row r="5492" spans="5:10" s="34" customFormat="1" x14ac:dyDescent="0.35">
      <c r="E5492" s="35"/>
      <c r="J5492" s="41"/>
    </row>
    <row r="5493" spans="5:10" s="34" customFormat="1" x14ac:dyDescent="0.35">
      <c r="E5493" s="35"/>
      <c r="J5493" s="41"/>
    </row>
    <row r="5494" spans="5:10" s="34" customFormat="1" x14ac:dyDescent="0.35">
      <c r="E5494" s="35"/>
      <c r="J5494" s="41"/>
    </row>
    <row r="5495" spans="5:10" s="34" customFormat="1" x14ac:dyDescent="0.35">
      <c r="E5495" s="35"/>
      <c r="J5495" s="41"/>
    </row>
    <row r="5496" spans="5:10" s="34" customFormat="1" x14ac:dyDescent="0.35">
      <c r="E5496" s="35"/>
      <c r="J5496" s="41"/>
    </row>
    <row r="5497" spans="5:10" s="34" customFormat="1" x14ac:dyDescent="0.35">
      <c r="E5497" s="35"/>
      <c r="J5497" s="41"/>
    </row>
    <row r="5498" spans="5:10" s="34" customFormat="1" x14ac:dyDescent="0.35">
      <c r="E5498" s="35"/>
      <c r="J5498" s="41"/>
    </row>
    <row r="5499" spans="5:10" s="34" customFormat="1" x14ac:dyDescent="0.35">
      <c r="E5499" s="35"/>
      <c r="J5499" s="41"/>
    </row>
    <row r="5500" spans="5:10" s="34" customFormat="1" x14ac:dyDescent="0.35">
      <c r="E5500" s="35"/>
      <c r="J5500" s="41"/>
    </row>
    <row r="5501" spans="5:10" s="34" customFormat="1" x14ac:dyDescent="0.35">
      <c r="E5501" s="35"/>
      <c r="J5501" s="41"/>
    </row>
    <row r="5502" spans="5:10" s="34" customFormat="1" x14ac:dyDescent="0.35">
      <c r="E5502" s="35"/>
      <c r="J5502" s="41"/>
    </row>
    <row r="5503" spans="5:10" s="34" customFormat="1" x14ac:dyDescent="0.35">
      <c r="E5503" s="35"/>
      <c r="J5503" s="41"/>
    </row>
    <row r="5504" spans="5:10" s="34" customFormat="1" x14ac:dyDescent="0.35">
      <c r="E5504" s="35"/>
      <c r="J5504" s="41"/>
    </row>
    <row r="5505" spans="5:10" s="34" customFormat="1" x14ac:dyDescent="0.35">
      <c r="E5505" s="35"/>
      <c r="J5505" s="41"/>
    </row>
    <row r="5506" spans="5:10" s="34" customFormat="1" x14ac:dyDescent="0.35">
      <c r="E5506" s="35"/>
      <c r="J5506" s="41"/>
    </row>
    <row r="5507" spans="5:10" s="34" customFormat="1" x14ac:dyDescent="0.35">
      <c r="E5507" s="35"/>
      <c r="J5507" s="41"/>
    </row>
    <row r="5508" spans="5:10" s="34" customFormat="1" x14ac:dyDescent="0.35">
      <c r="E5508" s="35"/>
      <c r="J5508" s="41"/>
    </row>
    <row r="5509" spans="5:10" s="34" customFormat="1" x14ac:dyDescent="0.35">
      <c r="E5509" s="35"/>
      <c r="J5509" s="41"/>
    </row>
    <row r="5510" spans="5:10" s="34" customFormat="1" x14ac:dyDescent="0.35">
      <c r="E5510" s="35"/>
      <c r="J5510" s="41"/>
    </row>
    <row r="5511" spans="5:10" s="34" customFormat="1" x14ac:dyDescent="0.35">
      <c r="E5511" s="35"/>
      <c r="J5511" s="41"/>
    </row>
    <row r="5512" spans="5:10" s="34" customFormat="1" x14ac:dyDescent="0.35">
      <c r="E5512" s="35"/>
      <c r="J5512" s="41"/>
    </row>
    <row r="5513" spans="5:10" s="34" customFormat="1" x14ac:dyDescent="0.35">
      <c r="E5513" s="35"/>
      <c r="J5513" s="41"/>
    </row>
    <row r="5514" spans="5:10" s="34" customFormat="1" x14ac:dyDescent="0.35">
      <c r="E5514" s="35"/>
      <c r="J5514" s="41"/>
    </row>
    <row r="5515" spans="5:10" s="34" customFormat="1" x14ac:dyDescent="0.35">
      <c r="E5515" s="35"/>
      <c r="J5515" s="41"/>
    </row>
    <row r="5516" spans="5:10" s="34" customFormat="1" x14ac:dyDescent="0.35">
      <c r="E5516" s="35"/>
      <c r="J5516" s="41"/>
    </row>
    <row r="5517" spans="5:10" s="34" customFormat="1" x14ac:dyDescent="0.35">
      <c r="E5517" s="35"/>
      <c r="J5517" s="41"/>
    </row>
    <row r="5518" spans="5:10" s="34" customFormat="1" x14ac:dyDescent="0.35">
      <c r="E5518" s="35"/>
      <c r="J5518" s="41"/>
    </row>
    <row r="5519" spans="5:10" s="34" customFormat="1" x14ac:dyDescent="0.35">
      <c r="E5519" s="35"/>
      <c r="J5519" s="41"/>
    </row>
    <row r="5520" spans="5:10" s="34" customFormat="1" x14ac:dyDescent="0.35">
      <c r="E5520" s="35"/>
      <c r="J5520" s="41"/>
    </row>
    <row r="5521" spans="5:10" s="34" customFormat="1" x14ac:dyDescent="0.35">
      <c r="E5521" s="35"/>
      <c r="J5521" s="41"/>
    </row>
    <row r="5522" spans="5:10" s="34" customFormat="1" x14ac:dyDescent="0.35">
      <c r="E5522" s="35"/>
      <c r="J5522" s="41"/>
    </row>
    <row r="5523" spans="5:10" s="34" customFormat="1" x14ac:dyDescent="0.35">
      <c r="E5523" s="35"/>
      <c r="J5523" s="41"/>
    </row>
    <row r="5524" spans="5:10" s="34" customFormat="1" x14ac:dyDescent="0.35">
      <c r="E5524" s="35"/>
      <c r="J5524" s="41"/>
    </row>
    <row r="5525" spans="5:10" s="34" customFormat="1" x14ac:dyDescent="0.35">
      <c r="E5525" s="35"/>
      <c r="J5525" s="41"/>
    </row>
    <row r="5526" spans="5:10" s="34" customFormat="1" x14ac:dyDescent="0.35">
      <c r="E5526" s="35"/>
      <c r="J5526" s="41"/>
    </row>
    <row r="5527" spans="5:10" s="34" customFormat="1" x14ac:dyDescent="0.35">
      <c r="E5527" s="35"/>
      <c r="J5527" s="41"/>
    </row>
    <row r="5528" spans="5:10" s="34" customFormat="1" x14ac:dyDescent="0.35">
      <c r="E5528" s="35"/>
      <c r="J5528" s="41"/>
    </row>
    <row r="5529" spans="5:10" s="34" customFormat="1" x14ac:dyDescent="0.35">
      <c r="E5529" s="35"/>
      <c r="J5529" s="41"/>
    </row>
    <row r="5530" spans="5:10" s="34" customFormat="1" x14ac:dyDescent="0.35">
      <c r="E5530" s="35"/>
      <c r="J5530" s="41"/>
    </row>
    <row r="5531" spans="5:10" s="34" customFormat="1" x14ac:dyDescent="0.35">
      <c r="E5531" s="35"/>
      <c r="J5531" s="41"/>
    </row>
    <row r="5532" spans="5:10" s="34" customFormat="1" x14ac:dyDescent="0.35">
      <c r="E5532" s="35"/>
      <c r="J5532" s="41"/>
    </row>
    <row r="5533" spans="5:10" s="34" customFormat="1" x14ac:dyDescent="0.35">
      <c r="E5533" s="35"/>
      <c r="J5533" s="41"/>
    </row>
    <row r="5534" spans="5:10" s="34" customFormat="1" x14ac:dyDescent="0.35">
      <c r="E5534" s="35"/>
      <c r="J5534" s="41"/>
    </row>
    <row r="5535" spans="5:10" s="34" customFormat="1" x14ac:dyDescent="0.35">
      <c r="E5535" s="35"/>
      <c r="J5535" s="41"/>
    </row>
    <row r="5536" spans="5:10" s="34" customFormat="1" x14ac:dyDescent="0.35">
      <c r="E5536" s="35"/>
      <c r="J5536" s="41"/>
    </row>
    <row r="5537" spans="5:10" s="34" customFormat="1" x14ac:dyDescent="0.35">
      <c r="E5537" s="35"/>
      <c r="J5537" s="41"/>
    </row>
    <row r="5538" spans="5:10" s="34" customFormat="1" x14ac:dyDescent="0.35">
      <c r="E5538" s="35"/>
      <c r="J5538" s="41"/>
    </row>
    <row r="5539" spans="5:10" s="34" customFormat="1" x14ac:dyDescent="0.35">
      <c r="E5539" s="35"/>
      <c r="J5539" s="41"/>
    </row>
    <row r="5540" spans="5:10" s="34" customFormat="1" x14ac:dyDescent="0.35">
      <c r="E5540" s="35"/>
      <c r="J5540" s="41"/>
    </row>
    <row r="5541" spans="5:10" s="34" customFormat="1" x14ac:dyDescent="0.35">
      <c r="E5541" s="35"/>
      <c r="J5541" s="41"/>
    </row>
    <row r="5542" spans="5:10" s="34" customFormat="1" x14ac:dyDescent="0.35">
      <c r="E5542" s="35"/>
      <c r="J5542" s="41"/>
    </row>
    <row r="5543" spans="5:10" s="34" customFormat="1" x14ac:dyDescent="0.35">
      <c r="E5543" s="35"/>
      <c r="J5543" s="41"/>
    </row>
    <row r="5544" spans="5:10" s="34" customFormat="1" x14ac:dyDescent="0.35">
      <c r="E5544" s="35"/>
      <c r="J5544" s="41"/>
    </row>
    <row r="5545" spans="5:10" s="34" customFormat="1" x14ac:dyDescent="0.35">
      <c r="E5545" s="35"/>
      <c r="J5545" s="41"/>
    </row>
    <row r="5546" spans="5:10" s="34" customFormat="1" x14ac:dyDescent="0.35">
      <c r="E5546" s="35"/>
      <c r="J5546" s="41"/>
    </row>
    <row r="5547" spans="5:10" s="34" customFormat="1" x14ac:dyDescent="0.35">
      <c r="E5547" s="35"/>
      <c r="J5547" s="41"/>
    </row>
    <row r="5548" spans="5:10" s="34" customFormat="1" x14ac:dyDescent="0.35">
      <c r="E5548" s="35"/>
      <c r="J5548" s="41"/>
    </row>
    <row r="5549" spans="5:10" s="34" customFormat="1" x14ac:dyDescent="0.35">
      <c r="E5549" s="35"/>
      <c r="J5549" s="41"/>
    </row>
    <row r="5550" spans="5:10" s="34" customFormat="1" x14ac:dyDescent="0.35">
      <c r="E5550" s="35"/>
      <c r="J5550" s="41"/>
    </row>
    <row r="5551" spans="5:10" s="34" customFormat="1" x14ac:dyDescent="0.35">
      <c r="E5551" s="35"/>
      <c r="J5551" s="41"/>
    </row>
    <row r="5552" spans="5:10" s="34" customFormat="1" x14ac:dyDescent="0.35">
      <c r="E5552" s="35"/>
      <c r="J5552" s="41"/>
    </row>
    <row r="5553" spans="5:10" s="34" customFormat="1" x14ac:dyDescent="0.35">
      <c r="E5553" s="35"/>
      <c r="J5553" s="41"/>
    </row>
    <row r="5554" spans="5:10" s="34" customFormat="1" x14ac:dyDescent="0.35">
      <c r="E5554" s="35"/>
      <c r="J5554" s="41"/>
    </row>
    <row r="5555" spans="5:10" s="34" customFormat="1" x14ac:dyDescent="0.35">
      <c r="E5555" s="35"/>
      <c r="J5555" s="41"/>
    </row>
    <row r="5556" spans="5:10" s="34" customFormat="1" x14ac:dyDescent="0.35">
      <c r="E5556" s="35"/>
      <c r="J5556" s="41"/>
    </row>
    <row r="5557" spans="5:10" s="34" customFormat="1" x14ac:dyDescent="0.35">
      <c r="E5557" s="35"/>
      <c r="J5557" s="41"/>
    </row>
    <row r="5558" spans="5:10" s="34" customFormat="1" x14ac:dyDescent="0.35">
      <c r="E5558" s="35"/>
      <c r="J5558" s="41"/>
    </row>
    <row r="5559" spans="5:10" s="34" customFormat="1" x14ac:dyDescent="0.35">
      <c r="E5559" s="35"/>
      <c r="J5559" s="41"/>
    </row>
    <row r="5560" spans="5:10" s="34" customFormat="1" x14ac:dyDescent="0.35">
      <c r="E5560" s="35"/>
      <c r="J5560" s="41"/>
    </row>
    <row r="5561" spans="5:10" s="34" customFormat="1" x14ac:dyDescent="0.35">
      <c r="E5561" s="35"/>
      <c r="J5561" s="41"/>
    </row>
    <row r="5562" spans="5:10" s="34" customFormat="1" x14ac:dyDescent="0.35">
      <c r="E5562" s="35"/>
      <c r="J5562" s="41"/>
    </row>
    <row r="5563" spans="5:10" s="34" customFormat="1" x14ac:dyDescent="0.35">
      <c r="E5563" s="35"/>
      <c r="J5563" s="41"/>
    </row>
    <row r="5564" spans="5:10" s="34" customFormat="1" x14ac:dyDescent="0.35">
      <c r="E5564" s="35"/>
      <c r="J5564" s="41"/>
    </row>
    <row r="5565" spans="5:10" s="34" customFormat="1" x14ac:dyDescent="0.35">
      <c r="E5565" s="35"/>
      <c r="J5565" s="41"/>
    </row>
    <row r="5566" spans="5:10" s="34" customFormat="1" x14ac:dyDescent="0.35">
      <c r="E5566" s="35"/>
      <c r="J5566" s="41"/>
    </row>
    <row r="5567" spans="5:10" s="34" customFormat="1" x14ac:dyDescent="0.35">
      <c r="E5567" s="35"/>
      <c r="J5567" s="41"/>
    </row>
    <row r="5568" spans="5:10" s="34" customFormat="1" x14ac:dyDescent="0.35">
      <c r="E5568" s="35"/>
      <c r="J5568" s="41"/>
    </row>
    <row r="5569" spans="5:10" s="34" customFormat="1" x14ac:dyDescent="0.35">
      <c r="E5569" s="35"/>
      <c r="J5569" s="41"/>
    </row>
    <row r="5570" spans="5:10" s="34" customFormat="1" x14ac:dyDescent="0.35">
      <c r="E5570" s="35"/>
      <c r="J5570" s="41"/>
    </row>
    <row r="5571" spans="5:10" s="34" customFormat="1" x14ac:dyDescent="0.35">
      <c r="E5571" s="35"/>
      <c r="J5571" s="41"/>
    </row>
    <row r="5572" spans="5:10" s="34" customFormat="1" x14ac:dyDescent="0.35">
      <c r="E5572" s="35"/>
      <c r="J5572" s="41"/>
    </row>
    <row r="5573" spans="5:10" s="34" customFormat="1" x14ac:dyDescent="0.35">
      <c r="E5573" s="35"/>
      <c r="J5573" s="41"/>
    </row>
    <row r="5574" spans="5:10" s="34" customFormat="1" x14ac:dyDescent="0.35">
      <c r="E5574" s="35"/>
      <c r="J5574" s="41"/>
    </row>
    <row r="5575" spans="5:10" s="34" customFormat="1" x14ac:dyDescent="0.35">
      <c r="E5575" s="35"/>
      <c r="J5575" s="41"/>
    </row>
    <row r="5576" spans="5:10" s="34" customFormat="1" x14ac:dyDescent="0.35">
      <c r="E5576" s="35"/>
      <c r="J5576" s="41"/>
    </row>
    <row r="5577" spans="5:10" s="34" customFormat="1" x14ac:dyDescent="0.35">
      <c r="E5577" s="35"/>
      <c r="J5577" s="41"/>
    </row>
    <row r="5578" spans="5:10" s="34" customFormat="1" x14ac:dyDescent="0.35">
      <c r="E5578" s="35"/>
      <c r="J5578" s="41"/>
    </row>
    <row r="5579" spans="5:10" s="34" customFormat="1" x14ac:dyDescent="0.35">
      <c r="E5579" s="35"/>
      <c r="J5579" s="41"/>
    </row>
    <row r="5580" spans="5:10" s="34" customFormat="1" x14ac:dyDescent="0.35">
      <c r="E5580" s="35"/>
      <c r="J5580" s="41"/>
    </row>
    <row r="5581" spans="5:10" s="34" customFormat="1" x14ac:dyDescent="0.35">
      <c r="E5581" s="35"/>
      <c r="J5581" s="41"/>
    </row>
    <row r="5582" spans="5:10" s="34" customFormat="1" x14ac:dyDescent="0.35">
      <c r="E5582" s="35"/>
      <c r="J5582" s="41"/>
    </row>
    <row r="5583" spans="5:10" s="34" customFormat="1" x14ac:dyDescent="0.35">
      <c r="E5583" s="35"/>
      <c r="J5583" s="41"/>
    </row>
    <row r="5584" spans="5:10" s="34" customFormat="1" x14ac:dyDescent="0.35">
      <c r="E5584" s="35"/>
      <c r="J5584" s="41"/>
    </row>
    <row r="5585" spans="5:10" s="34" customFormat="1" x14ac:dyDescent="0.35">
      <c r="E5585" s="35"/>
      <c r="J5585" s="41"/>
    </row>
    <row r="5586" spans="5:10" s="34" customFormat="1" x14ac:dyDescent="0.35">
      <c r="E5586" s="35"/>
      <c r="J5586" s="41"/>
    </row>
    <row r="5587" spans="5:10" s="34" customFormat="1" x14ac:dyDescent="0.35">
      <c r="E5587" s="35"/>
      <c r="J5587" s="41"/>
    </row>
    <row r="5588" spans="5:10" s="34" customFormat="1" x14ac:dyDescent="0.35">
      <c r="E5588" s="35"/>
      <c r="J5588" s="41"/>
    </row>
    <row r="5589" spans="5:10" s="34" customFormat="1" x14ac:dyDescent="0.35">
      <c r="E5589" s="35"/>
      <c r="J5589" s="41"/>
    </row>
    <row r="5590" spans="5:10" s="34" customFormat="1" x14ac:dyDescent="0.35">
      <c r="E5590" s="35"/>
      <c r="J5590" s="41"/>
    </row>
    <row r="5591" spans="5:10" s="34" customFormat="1" x14ac:dyDescent="0.35">
      <c r="E5591" s="35"/>
      <c r="J5591" s="41"/>
    </row>
    <row r="5592" spans="5:10" s="34" customFormat="1" x14ac:dyDescent="0.35">
      <c r="E5592" s="35"/>
      <c r="J5592" s="41"/>
    </row>
    <row r="5593" spans="5:10" s="34" customFormat="1" x14ac:dyDescent="0.35">
      <c r="E5593" s="35"/>
      <c r="J5593" s="41"/>
    </row>
    <row r="5594" spans="5:10" s="34" customFormat="1" x14ac:dyDescent="0.35">
      <c r="E5594" s="35"/>
      <c r="J5594" s="41"/>
    </row>
    <row r="5595" spans="5:10" s="34" customFormat="1" x14ac:dyDescent="0.35">
      <c r="E5595" s="35"/>
      <c r="J5595" s="41"/>
    </row>
    <row r="5596" spans="5:10" s="34" customFormat="1" x14ac:dyDescent="0.35">
      <c r="E5596" s="35"/>
      <c r="J5596" s="41"/>
    </row>
    <row r="5597" spans="5:10" s="34" customFormat="1" x14ac:dyDescent="0.35">
      <c r="E5597" s="35"/>
      <c r="J5597" s="41"/>
    </row>
    <row r="5598" spans="5:10" s="34" customFormat="1" x14ac:dyDescent="0.35">
      <c r="E5598" s="35"/>
      <c r="J5598" s="41"/>
    </row>
    <row r="5599" spans="5:10" s="34" customFormat="1" x14ac:dyDescent="0.35">
      <c r="E5599" s="35"/>
      <c r="J5599" s="41"/>
    </row>
    <row r="5600" spans="5:10" s="34" customFormat="1" x14ac:dyDescent="0.35">
      <c r="E5600" s="35"/>
      <c r="J5600" s="41"/>
    </row>
    <row r="5601" spans="5:10" s="34" customFormat="1" x14ac:dyDescent="0.35">
      <c r="E5601" s="35"/>
      <c r="J5601" s="41"/>
    </row>
    <row r="5602" spans="5:10" s="34" customFormat="1" x14ac:dyDescent="0.35">
      <c r="E5602" s="35"/>
      <c r="J5602" s="41"/>
    </row>
    <row r="5603" spans="5:10" s="34" customFormat="1" x14ac:dyDescent="0.35">
      <c r="E5603" s="35"/>
      <c r="J5603" s="41"/>
    </row>
    <row r="5604" spans="5:10" s="34" customFormat="1" x14ac:dyDescent="0.35">
      <c r="E5604" s="35"/>
      <c r="J5604" s="41"/>
    </row>
    <row r="5605" spans="5:10" s="34" customFormat="1" x14ac:dyDescent="0.35">
      <c r="E5605" s="35"/>
      <c r="J5605" s="41"/>
    </row>
    <row r="5606" spans="5:10" s="34" customFormat="1" x14ac:dyDescent="0.35">
      <c r="E5606" s="35"/>
      <c r="J5606" s="41"/>
    </row>
    <row r="5607" spans="5:10" s="34" customFormat="1" x14ac:dyDescent="0.35">
      <c r="E5607" s="35"/>
      <c r="J5607" s="41"/>
    </row>
    <row r="5608" spans="5:10" s="34" customFormat="1" x14ac:dyDescent="0.35">
      <c r="E5608" s="35"/>
      <c r="J5608" s="41"/>
    </row>
    <row r="5609" spans="5:10" s="34" customFormat="1" x14ac:dyDescent="0.35">
      <c r="E5609" s="35"/>
      <c r="J5609" s="41"/>
    </row>
    <row r="5610" spans="5:10" s="34" customFormat="1" x14ac:dyDescent="0.35">
      <c r="E5610" s="35"/>
      <c r="J5610" s="41"/>
    </row>
    <row r="5611" spans="5:10" s="34" customFormat="1" x14ac:dyDescent="0.35">
      <c r="E5611" s="35"/>
      <c r="J5611" s="41"/>
    </row>
    <row r="5612" spans="5:10" s="34" customFormat="1" x14ac:dyDescent="0.35">
      <c r="E5612" s="35"/>
      <c r="J5612" s="41"/>
    </row>
    <row r="5613" spans="5:10" s="34" customFormat="1" x14ac:dyDescent="0.35">
      <c r="E5613" s="35"/>
      <c r="J5613" s="41"/>
    </row>
    <row r="5614" spans="5:10" s="34" customFormat="1" x14ac:dyDescent="0.35">
      <c r="E5614" s="35"/>
      <c r="J5614" s="41"/>
    </row>
    <row r="5615" spans="5:10" s="34" customFormat="1" x14ac:dyDescent="0.35">
      <c r="E5615" s="35"/>
      <c r="J5615" s="41"/>
    </row>
    <row r="5616" spans="5:10" s="34" customFormat="1" x14ac:dyDescent="0.35">
      <c r="E5616" s="35"/>
      <c r="J5616" s="41"/>
    </row>
    <row r="5617" spans="5:10" s="34" customFormat="1" x14ac:dyDescent="0.35">
      <c r="E5617" s="35"/>
      <c r="J5617" s="41"/>
    </row>
    <row r="5618" spans="5:10" s="34" customFormat="1" x14ac:dyDescent="0.35">
      <c r="E5618" s="35"/>
      <c r="J5618" s="41"/>
    </row>
    <row r="5619" spans="5:10" s="34" customFormat="1" x14ac:dyDescent="0.35">
      <c r="E5619" s="35"/>
      <c r="J5619" s="41"/>
    </row>
    <row r="5620" spans="5:10" s="34" customFormat="1" x14ac:dyDescent="0.35">
      <c r="E5620" s="35"/>
      <c r="J5620" s="41"/>
    </row>
    <row r="5621" spans="5:10" s="34" customFormat="1" x14ac:dyDescent="0.35">
      <c r="E5621" s="35"/>
      <c r="J5621" s="41"/>
    </row>
    <row r="5622" spans="5:10" s="34" customFormat="1" x14ac:dyDescent="0.35">
      <c r="E5622" s="35"/>
      <c r="J5622" s="41"/>
    </row>
    <row r="5623" spans="5:10" s="34" customFormat="1" x14ac:dyDescent="0.35">
      <c r="E5623" s="35"/>
      <c r="J5623" s="41"/>
    </row>
    <row r="5624" spans="5:10" s="34" customFormat="1" x14ac:dyDescent="0.35">
      <c r="E5624" s="35"/>
      <c r="J5624" s="41"/>
    </row>
    <row r="5625" spans="5:10" s="34" customFormat="1" x14ac:dyDescent="0.35">
      <c r="E5625" s="35"/>
      <c r="J5625" s="41"/>
    </row>
    <row r="5626" spans="5:10" s="34" customFormat="1" x14ac:dyDescent="0.35">
      <c r="E5626" s="35"/>
      <c r="J5626" s="41"/>
    </row>
    <row r="5627" spans="5:10" s="34" customFormat="1" x14ac:dyDescent="0.35">
      <c r="E5627" s="35"/>
      <c r="J5627" s="41"/>
    </row>
    <row r="5628" spans="5:10" s="34" customFormat="1" x14ac:dyDescent="0.35">
      <c r="E5628" s="35"/>
      <c r="J5628" s="41"/>
    </row>
    <row r="5629" spans="5:10" s="34" customFormat="1" x14ac:dyDescent="0.35">
      <c r="E5629" s="35"/>
      <c r="J5629" s="41"/>
    </row>
    <row r="5630" spans="5:10" s="34" customFormat="1" x14ac:dyDescent="0.35">
      <c r="E5630" s="35"/>
      <c r="J5630" s="41"/>
    </row>
    <row r="5631" spans="5:10" s="34" customFormat="1" x14ac:dyDescent="0.35">
      <c r="E5631" s="35"/>
      <c r="J5631" s="41"/>
    </row>
    <row r="5632" spans="5:10" s="34" customFormat="1" x14ac:dyDescent="0.35">
      <c r="E5632" s="35"/>
      <c r="J5632" s="41"/>
    </row>
    <row r="5633" spans="5:10" s="34" customFormat="1" x14ac:dyDescent="0.35">
      <c r="E5633" s="35"/>
      <c r="J5633" s="41"/>
    </row>
    <row r="5634" spans="5:10" s="34" customFormat="1" x14ac:dyDescent="0.35">
      <c r="E5634" s="35"/>
      <c r="J5634" s="41"/>
    </row>
    <row r="5635" spans="5:10" s="34" customFormat="1" x14ac:dyDescent="0.35">
      <c r="E5635" s="35"/>
      <c r="J5635" s="41"/>
    </row>
    <row r="5636" spans="5:10" s="34" customFormat="1" x14ac:dyDescent="0.35">
      <c r="E5636" s="35"/>
      <c r="J5636" s="41"/>
    </row>
    <row r="5637" spans="5:10" s="34" customFormat="1" x14ac:dyDescent="0.35">
      <c r="E5637" s="35"/>
      <c r="J5637" s="41"/>
    </row>
    <row r="5638" spans="5:10" s="34" customFormat="1" x14ac:dyDescent="0.35">
      <c r="E5638" s="35"/>
      <c r="J5638" s="41"/>
    </row>
    <row r="5639" spans="5:10" s="34" customFormat="1" x14ac:dyDescent="0.35">
      <c r="E5639" s="35"/>
      <c r="J5639" s="41"/>
    </row>
    <row r="5640" spans="5:10" s="34" customFormat="1" x14ac:dyDescent="0.35">
      <c r="E5640" s="35"/>
      <c r="J5640" s="41"/>
    </row>
    <row r="5641" spans="5:10" s="34" customFormat="1" x14ac:dyDescent="0.35">
      <c r="E5641" s="35"/>
      <c r="J5641" s="41"/>
    </row>
    <row r="5642" spans="5:10" s="34" customFormat="1" x14ac:dyDescent="0.35">
      <c r="E5642" s="35"/>
      <c r="J5642" s="41"/>
    </row>
    <row r="5643" spans="5:10" s="34" customFormat="1" x14ac:dyDescent="0.35">
      <c r="E5643" s="35"/>
      <c r="J5643" s="41"/>
    </row>
    <row r="5644" spans="5:10" s="34" customFormat="1" x14ac:dyDescent="0.35">
      <c r="E5644" s="35"/>
      <c r="J5644" s="41"/>
    </row>
    <row r="5645" spans="5:10" s="34" customFormat="1" x14ac:dyDescent="0.35">
      <c r="E5645" s="35"/>
      <c r="J5645" s="41"/>
    </row>
    <row r="5646" spans="5:10" s="34" customFormat="1" x14ac:dyDescent="0.35">
      <c r="E5646" s="35"/>
      <c r="J5646" s="41"/>
    </row>
    <row r="5647" spans="5:10" s="34" customFormat="1" x14ac:dyDescent="0.35">
      <c r="E5647" s="35"/>
      <c r="J5647" s="41"/>
    </row>
    <row r="5648" spans="5:10" s="34" customFormat="1" x14ac:dyDescent="0.35">
      <c r="E5648" s="35"/>
      <c r="J5648" s="41"/>
    </row>
    <row r="5649" spans="5:10" s="34" customFormat="1" x14ac:dyDescent="0.35">
      <c r="E5649" s="35"/>
      <c r="J5649" s="41"/>
    </row>
    <row r="5650" spans="5:10" s="34" customFormat="1" x14ac:dyDescent="0.35">
      <c r="E5650" s="35"/>
      <c r="J5650" s="41"/>
    </row>
    <row r="5651" spans="5:10" s="34" customFormat="1" x14ac:dyDescent="0.35">
      <c r="E5651" s="35"/>
      <c r="J5651" s="41"/>
    </row>
    <row r="5652" spans="5:10" s="34" customFormat="1" x14ac:dyDescent="0.35">
      <c r="E5652" s="35"/>
      <c r="J5652" s="41"/>
    </row>
    <row r="5653" spans="5:10" s="34" customFormat="1" x14ac:dyDescent="0.35">
      <c r="E5653" s="35"/>
      <c r="J5653" s="41"/>
    </row>
    <row r="5654" spans="5:10" s="34" customFormat="1" x14ac:dyDescent="0.35">
      <c r="E5654" s="35"/>
      <c r="J5654" s="41"/>
    </row>
    <row r="5655" spans="5:10" s="34" customFormat="1" x14ac:dyDescent="0.35">
      <c r="E5655" s="35"/>
      <c r="J5655" s="41"/>
    </row>
    <row r="5656" spans="5:10" s="34" customFormat="1" x14ac:dyDescent="0.35">
      <c r="E5656" s="35"/>
      <c r="J5656" s="41"/>
    </row>
    <row r="5657" spans="5:10" s="34" customFormat="1" x14ac:dyDescent="0.35">
      <c r="E5657" s="35"/>
      <c r="J5657" s="41"/>
    </row>
    <row r="5658" spans="5:10" s="34" customFormat="1" x14ac:dyDescent="0.35">
      <c r="E5658" s="35"/>
      <c r="J5658" s="41"/>
    </row>
    <row r="5659" spans="5:10" s="34" customFormat="1" x14ac:dyDescent="0.35">
      <c r="E5659" s="35"/>
      <c r="J5659" s="41"/>
    </row>
    <row r="5660" spans="5:10" s="34" customFormat="1" x14ac:dyDescent="0.35">
      <c r="E5660" s="35"/>
      <c r="J5660" s="41"/>
    </row>
    <row r="5661" spans="5:10" s="34" customFormat="1" x14ac:dyDescent="0.35">
      <c r="E5661" s="35"/>
      <c r="J5661" s="41"/>
    </row>
    <row r="5662" spans="5:10" s="34" customFormat="1" x14ac:dyDescent="0.35">
      <c r="E5662" s="35"/>
      <c r="J5662" s="41"/>
    </row>
    <row r="5663" spans="5:10" s="34" customFormat="1" x14ac:dyDescent="0.35">
      <c r="E5663" s="35"/>
      <c r="J5663" s="41"/>
    </row>
    <row r="5664" spans="5:10" s="34" customFormat="1" x14ac:dyDescent="0.35">
      <c r="E5664" s="35"/>
      <c r="J5664" s="41"/>
    </row>
    <row r="5665" spans="5:10" s="34" customFormat="1" x14ac:dyDescent="0.35">
      <c r="E5665" s="35"/>
      <c r="J5665" s="41"/>
    </row>
    <row r="5666" spans="5:10" s="34" customFormat="1" x14ac:dyDescent="0.35">
      <c r="E5666" s="35"/>
      <c r="J5666" s="41"/>
    </row>
    <row r="5667" spans="5:10" s="34" customFormat="1" x14ac:dyDescent="0.35">
      <c r="E5667" s="35"/>
      <c r="J5667" s="41"/>
    </row>
    <row r="5668" spans="5:10" s="34" customFormat="1" x14ac:dyDescent="0.35">
      <c r="E5668" s="35"/>
      <c r="J5668" s="41"/>
    </row>
    <row r="5669" spans="5:10" s="34" customFormat="1" x14ac:dyDescent="0.35">
      <c r="E5669" s="35"/>
      <c r="J5669" s="41"/>
    </row>
    <row r="5670" spans="5:10" s="34" customFormat="1" x14ac:dyDescent="0.35">
      <c r="E5670" s="35"/>
      <c r="J5670" s="41"/>
    </row>
    <row r="5671" spans="5:10" s="34" customFormat="1" x14ac:dyDescent="0.35">
      <c r="E5671" s="35"/>
      <c r="J5671" s="41"/>
    </row>
    <row r="5672" spans="5:10" s="34" customFormat="1" x14ac:dyDescent="0.35">
      <c r="E5672" s="35"/>
      <c r="J5672" s="41"/>
    </row>
    <row r="5673" spans="5:10" s="34" customFormat="1" x14ac:dyDescent="0.35">
      <c r="E5673" s="35"/>
      <c r="J5673" s="41"/>
    </row>
    <row r="5674" spans="5:10" s="34" customFormat="1" x14ac:dyDescent="0.35">
      <c r="E5674" s="35"/>
      <c r="J5674" s="41"/>
    </row>
    <row r="5675" spans="5:10" s="34" customFormat="1" x14ac:dyDescent="0.35">
      <c r="E5675" s="35"/>
      <c r="J5675" s="41"/>
    </row>
    <row r="5676" spans="5:10" s="34" customFormat="1" x14ac:dyDescent="0.35">
      <c r="E5676" s="35"/>
      <c r="J5676" s="41"/>
    </row>
    <row r="5677" spans="5:10" s="34" customFormat="1" x14ac:dyDescent="0.35">
      <c r="E5677" s="35"/>
      <c r="J5677" s="41"/>
    </row>
    <row r="5678" spans="5:10" s="34" customFormat="1" x14ac:dyDescent="0.35">
      <c r="E5678" s="35"/>
      <c r="J5678" s="41"/>
    </row>
    <row r="5679" spans="5:10" s="34" customFormat="1" x14ac:dyDescent="0.35">
      <c r="E5679" s="35"/>
      <c r="J5679" s="41"/>
    </row>
    <row r="5680" spans="5:10" s="34" customFormat="1" x14ac:dyDescent="0.35">
      <c r="E5680" s="35"/>
      <c r="J5680" s="41"/>
    </row>
    <row r="5681" spans="5:10" s="34" customFormat="1" x14ac:dyDescent="0.35">
      <c r="E5681" s="35"/>
      <c r="J5681" s="41"/>
    </row>
    <row r="5682" spans="5:10" s="34" customFormat="1" x14ac:dyDescent="0.35">
      <c r="E5682" s="35"/>
      <c r="J5682" s="41"/>
    </row>
    <row r="5683" spans="5:10" s="34" customFormat="1" x14ac:dyDescent="0.35">
      <c r="E5683" s="35"/>
      <c r="J5683" s="41"/>
    </row>
    <row r="5684" spans="5:10" s="34" customFormat="1" x14ac:dyDescent="0.35">
      <c r="E5684" s="35"/>
      <c r="J5684" s="41"/>
    </row>
    <row r="5685" spans="5:10" s="34" customFormat="1" x14ac:dyDescent="0.35">
      <c r="E5685" s="35"/>
      <c r="J5685" s="41"/>
    </row>
    <row r="5686" spans="5:10" s="34" customFormat="1" x14ac:dyDescent="0.35">
      <c r="E5686" s="35"/>
      <c r="J5686" s="41"/>
    </row>
    <row r="5687" spans="5:10" s="34" customFormat="1" x14ac:dyDescent="0.35">
      <c r="E5687" s="35"/>
      <c r="J5687" s="41"/>
    </row>
    <row r="5688" spans="5:10" s="34" customFormat="1" x14ac:dyDescent="0.35">
      <c r="E5688" s="35"/>
      <c r="J5688" s="41"/>
    </row>
    <row r="5689" spans="5:10" s="34" customFormat="1" x14ac:dyDescent="0.35">
      <c r="E5689" s="35"/>
      <c r="J5689" s="41"/>
    </row>
    <row r="5690" spans="5:10" s="34" customFormat="1" x14ac:dyDescent="0.35">
      <c r="E5690" s="35"/>
      <c r="J5690" s="41"/>
    </row>
    <row r="5691" spans="5:10" s="34" customFormat="1" x14ac:dyDescent="0.35">
      <c r="E5691" s="35"/>
      <c r="J5691" s="41"/>
    </row>
    <row r="5692" spans="5:10" s="34" customFormat="1" x14ac:dyDescent="0.35">
      <c r="E5692" s="35"/>
      <c r="J5692" s="41"/>
    </row>
    <row r="5693" spans="5:10" s="34" customFormat="1" x14ac:dyDescent="0.35">
      <c r="E5693" s="35"/>
      <c r="J5693" s="41"/>
    </row>
    <row r="5694" spans="5:10" s="34" customFormat="1" x14ac:dyDescent="0.35">
      <c r="E5694" s="35"/>
      <c r="J5694" s="41"/>
    </row>
    <row r="5695" spans="5:10" s="34" customFormat="1" x14ac:dyDescent="0.35">
      <c r="E5695" s="35"/>
      <c r="J5695" s="41"/>
    </row>
    <row r="5696" spans="5:10" s="34" customFormat="1" x14ac:dyDescent="0.35">
      <c r="E5696" s="35"/>
      <c r="J5696" s="41"/>
    </row>
    <row r="5697" spans="5:10" s="34" customFormat="1" x14ac:dyDescent="0.35">
      <c r="E5697" s="35"/>
      <c r="J5697" s="41"/>
    </row>
    <row r="5698" spans="5:10" s="34" customFormat="1" x14ac:dyDescent="0.35">
      <c r="E5698" s="35"/>
      <c r="J5698" s="41"/>
    </row>
    <row r="5699" spans="5:10" s="34" customFormat="1" x14ac:dyDescent="0.35">
      <c r="E5699" s="35"/>
      <c r="J5699" s="41"/>
    </row>
    <row r="5700" spans="5:10" s="34" customFormat="1" x14ac:dyDescent="0.35">
      <c r="E5700" s="35"/>
      <c r="J5700" s="41"/>
    </row>
    <row r="5701" spans="5:10" s="34" customFormat="1" x14ac:dyDescent="0.35">
      <c r="E5701" s="35"/>
      <c r="J5701" s="41"/>
    </row>
    <row r="5702" spans="5:10" s="34" customFormat="1" x14ac:dyDescent="0.35">
      <c r="E5702" s="35"/>
      <c r="J5702" s="41"/>
    </row>
    <row r="5703" spans="5:10" s="34" customFormat="1" x14ac:dyDescent="0.35">
      <c r="E5703" s="35"/>
      <c r="J5703" s="41"/>
    </row>
    <row r="5704" spans="5:10" s="34" customFormat="1" x14ac:dyDescent="0.35">
      <c r="E5704" s="35"/>
      <c r="J5704" s="41"/>
    </row>
    <row r="5705" spans="5:10" s="34" customFormat="1" x14ac:dyDescent="0.35">
      <c r="E5705" s="35"/>
      <c r="J5705" s="41"/>
    </row>
    <row r="5706" spans="5:10" s="34" customFormat="1" x14ac:dyDescent="0.35">
      <c r="E5706" s="35"/>
      <c r="J5706" s="41"/>
    </row>
    <row r="5707" spans="5:10" s="34" customFormat="1" x14ac:dyDescent="0.35">
      <c r="E5707" s="35"/>
      <c r="J5707" s="41"/>
    </row>
    <row r="5708" spans="5:10" s="34" customFormat="1" x14ac:dyDescent="0.35">
      <c r="E5708" s="35"/>
      <c r="J5708" s="41"/>
    </row>
    <row r="5709" spans="5:10" s="34" customFormat="1" x14ac:dyDescent="0.35">
      <c r="E5709" s="35"/>
      <c r="J5709" s="41"/>
    </row>
    <row r="5710" spans="5:10" s="34" customFormat="1" x14ac:dyDescent="0.35">
      <c r="E5710" s="35"/>
      <c r="J5710" s="41"/>
    </row>
    <row r="5711" spans="5:10" s="34" customFormat="1" x14ac:dyDescent="0.35">
      <c r="E5711" s="35"/>
      <c r="J5711" s="41"/>
    </row>
    <row r="5712" spans="5:10" s="34" customFormat="1" x14ac:dyDescent="0.35">
      <c r="E5712" s="35"/>
      <c r="J5712" s="41"/>
    </row>
    <row r="5713" spans="5:10" s="34" customFormat="1" x14ac:dyDescent="0.35">
      <c r="E5713" s="35"/>
      <c r="J5713" s="41"/>
    </row>
    <row r="5714" spans="5:10" s="34" customFormat="1" x14ac:dyDescent="0.35">
      <c r="E5714" s="35"/>
      <c r="J5714" s="41"/>
    </row>
    <row r="5715" spans="5:10" s="34" customFormat="1" x14ac:dyDescent="0.35">
      <c r="E5715" s="35"/>
      <c r="J5715" s="41"/>
    </row>
    <row r="5716" spans="5:10" s="34" customFormat="1" x14ac:dyDescent="0.35">
      <c r="E5716" s="35"/>
      <c r="J5716" s="41"/>
    </row>
    <row r="5717" spans="5:10" s="34" customFormat="1" x14ac:dyDescent="0.35">
      <c r="E5717" s="35"/>
      <c r="J5717" s="41"/>
    </row>
    <row r="5718" spans="5:10" s="34" customFormat="1" x14ac:dyDescent="0.35">
      <c r="E5718" s="35"/>
      <c r="J5718" s="41"/>
    </row>
    <row r="5719" spans="5:10" s="34" customFormat="1" x14ac:dyDescent="0.35">
      <c r="E5719" s="35"/>
      <c r="J5719" s="41"/>
    </row>
    <row r="5720" spans="5:10" s="34" customFormat="1" x14ac:dyDescent="0.35">
      <c r="E5720" s="35"/>
      <c r="J5720" s="41"/>
    </row>
    <row r="5721" spans="5:10" s="34" customFormat="1" x14ac:dyDescent="0.35">
      <c r="E5721" s="35"/>
      <c r="J5721" s="41"/>
    </row>
    <row r="5722" spans="5:10" s="34" customFormat="1" x14ac:dyDescent="0.35">
      <c r="E5722" s="35"/>
      <c r="J5722" s="41"/>
    </row>
    <row r="5723" spans="5:10" s="34" customFormat="1" x14ac:dyDescent="0.35">
      <c r="E5723" s="35"/>
      <c r="J5723" s="41"/>
    </row>
    <row r="5724" spans="5:10" s="34" customFormat="1" x14ac:dyDescent="0.35">
      <c r="E5724" s="35"/>
      <c r="J5724" s="41"/>
    </row>
    <row r="5725" spans="5:10" s="34" customFormat="1" x14ac:dyDescent="0.35">
      <c r="E5725" s="35"/>
      <c r="J5725" s="41"/>
    </row>
    <row r="5726" spans="5:10" s="34" customFormat="1" x14ac:dyDescent="0.35">
      <c r="E5726" s="35"/>
      <c r="J5726" s="41"/>
    </row>
    <row r="5727" spans="5:10" s="34" customFormat="1" x14ac:dyDescent="0.35">
      <c r="E5727" s="35"/>
      <c r="J5727" s="41"/>
    </row>
    <row r="5728" spans="5:10" s="34" customFormat="1" x14ac:dyDescent="0.35">
      <c r="E5728" s="35"/>
      <c r="J5728" s="41"/>
    </row>
    <row r="5729" spans="5:10" s="34" customFormat="1" x14ac:dyDescent="0.35">
      <c r="E5729" s="35"/>
      <c r="J5729" s="41"/>
    </row>
    <row r="5730" spans="5:10" s="34" customFormat="1" x14ac:dyDescent="0.35">
      <c r="E5730" s="35"/>
      <c r="J5730" s="41"/>
    </row>
    <row r="5731" spans="5:10" s="34" customFormat="1" x14ac:dyDescent="0.35">
      <c r="E5731" s="35"/>
      <c r="J5731" s="41"/>
    </row>
    <row r="5732" spans="5:10" s="34" customFormat="1" x14ac:dyDescent="0.35">
      <c r="E5732" s="35"/>
      <c r="J5732" s="41"/>
    </row>
    <row r="5733" spans="5:10" s="34" customFormat="1" x14ac:dyDescent="0.35">
      <c r="E5733" s="35"/>
      <c r="J5733" s="41"/>
    </row>
    <row r="5734" spans="5:10" s="34" customFormat="1" x14ac:dyDescent="0.35">
      <c r="E5734" s="35"/>
      <c r="J5734" s="41"/>
    </row>
    <row r="5735" spans="5:10" s="34" customFormat="1" x14ac:dyDescent="0.35">
      <c r="E5735" s="35"/>
      <c r="J5735" s="41"/>
    </row>
    <row r="5736" spans="5:10" s="34" customFormat="1" x14ac:dyDescent="0.35">
      <c r="E5736" s="35"/>
      <c r="J5736" s="41"/>
    </row>
    <row r="5737" spans="5:10" s="34" customFormat="1" x14ac:dyDescent="0.35">
      <c r="E5737" s="35"/>
      <c r="J5737" s="41"/>
    </row>
    <row r="5738" spans="5:10" s="34" customFormat="1" x14ac:dyDescent="0.35">
      <c r="E5738" s="35"/>
      <c r="J5738" s="41"/>
    </row>
    <row r="5739" spans="5:10" s="34" customFormat="1" x14ac:dyDescent="0.35">
      <c r="E5739" s="35"/>
      <c r="J5739" s="41"/>
    </row>
    <row r="5740" spans="5:10" s="34" customFormat="1" x14ac:dyDescent="0.35">
      <c r="E5740" s="35"/>
      <c r="J5740" s="41"/>
    </row>
    <row r="5741" spans="5:10" s="34" customFormat="1" x14ac:dyDescent="0.35">
      <c r="E5741" s="35"/>
      <c r="J5741" s="41"/>
    </row>
    <row r="5742" spans="5:10" s="34" customFormat="1" x14ac:dyDescent="0.35">
      <c r="E5742" s="35"/>
      <c r="J5742" s="41"/>
    </row>
    <row r="5743" spans="5:10" s="34" customFormat="1" x14ac:dyDescent="0.35">
      <c r="E5743" s="35"/>
      <c r="J5743" s="41"/>
    </row>
    <row r="5744" spans="5:10" s="34" customFormat="1" x14ac:dyDescent="0.35">
      <c r="E5744" s="35"/>
      <c r="J5744" s="41"/>
    </row>
    <row r="5745" spans="5:10" s="34" customFormat="1" x14ac:dyDescent="0.35">
      <c r="E5745" s="35"/>
      <c r="J5745" s="41"/>
    </row>
    <row r="5746" spans="5:10" s="34" customFormat="1" x14ac:dyDescent="0.35">
      <c r="E5746" s="35"/>
      <c r="J5746" s="41"/>
    </row>
    <row r="5747" spans="5:10" s="34" customFormat="1" x14ac:dyDescent="0.35">
      <c r="E5747" s="35"/>
      <c r="J5747" s="41"/>
    </row>
    <row r="5748" spans="5:10" s="34" customFormat="1" x14ac:dyDescent="0.35">
      <c r="E5748" s="35"/>
      <c r="J5748" s="41"/>
    </row>
    <row r="5749" spans="5:10" s="34" customFormat="1" x14ac:dyDescent="0.35">
      <c r="E5749" s="35"/>
      <c r="J5749" s="41"/>
    </row>
    <row r="5750" spans="5:10" s="34" customFormat="1" x14ac:dyDescent="0.35">
      <c r="E5750" s="35"/>
      <c r="J5750" s="41"/>
    </row>
    <row r="5751" spans="5:10" s="34" customFormat="1" x14ac:dyDescent="0.35">
      <c r="E5751" s="35"/>
      <c r="J5751" s="41"/>
    </row>
    <row r="5752" spans="5:10" s="34" customFormat="1" x14ac:dyDescent="0.35">
      <c r="E5752" s="35"/>
      <c r="J5752" s="41"/>
    </row>
    <row r="5753" spans="5:10" s="34" customFormat="1" x14ac:dyDescent="0.35">
      <c r="E5753" s="35"/>
      <c r="J5753" s="41"/>
    </row>
    <row r="5754" spans="5:10" s="34" customFormat="1" x14ac:dyDescent="0.35">
      <c r="E5754" s="35"/>
      <c r="J5754" s="41"/>
    </row>
    <row r="5755" spans="5:10" s="34" customFormat="1" x14ac:dyDescent="0.35">
      <c r="E5755" s="35"/>
      <c r="J5755" s="41"/>
    </row>
    <row r="5756" spans="5:10" s="34" customFormat="1" x14ac:dyDescent="0.35">
      <c r="E5756" s="35"/>
      <c r="J5756" s="41"/>
    </row>
    <row r="5757" spans="5:10" s="34" customFormat="1" x14ac:dyDescent="0.35">
      <c r="E5757" s="35"/>
      <c r="J5757" s="41"/>
    </row>
    <row r="5758" spans="5:10" s="34" customFormat="1" x14ac:dyDescent="0.35">
      <c r="E5758" s="35"/>
      <c r="J5758" s="41"/>
    </row>
    <row r="5759" spans="5:10" s="34" customFormat="1" x14ac:dyDescent="0.35">
      <c r="E5759" s="35"/>
      <c r="J5759" s="41"/>
    </row>
    <row r="5760" spans="5:10" s="34" customFormat="1" x14ac:dyDescent="0.35">
      <c r="E5760" s="35"/>
      <c r="J5760" s="41"/>
    </row>
    <row r="5761" spans="5:10" s="34" customFormat="1" x14ac:dyDescent="0.35">
      <c r="E5761" s="35"/>
      <c r="J5761" s="41"/>
    </row>
    <row r="5762" spans="5:10" s="34" customFormat="1" x14ac:dyDescent="0.35">
      <c r="E5762" s="35"/>
      <c r="J5762" s="41"/>
    </row>
    <row r="5763" spans="5:10" s="34" customFormat="1" x14ac:dyDescent="0.35">
      <c r="E5763" s="35"/>
      <c r="J5763" s="41"/>
    </row>
    <row r="5764" spans="5:10" s="34" customFormat="1" x14ac:dyDescent="0.35">
      <c r="E5764" s="35"/>
      <c r="J5764" s="41"/>
    </row>
    <row r="5765" spans="5:10" s="34" customFormat="1" x14ac:dyDescent="0.35">
      <c r="E5765" s="35"/>
      <c r="J5765" s="41"/>
    </row>
    <row r="5766" spans="5:10" s="34" customFormat="1" x14ac:dyDescent="0.35">
      <c r="E5766" s="35"/>
      <c r="J5766" s="41"/>
    </row>
    <row r="5767" spans="5:10" s="34" customFormat="1" x14ac:dyDescent="0.35">
      <c r="E5767" s="35"/>
      <c r="J5767" s="41"/>
    </row>
    <row r="5768" spans="5:10" s="34" customFormat="1" x14ac:dyDescent="0.35">
      <c r="E5768" s="35"/>
      <c r="J5768" s="41"/>
    </row>
    <row r="5769" spans="5:10" s="34" customFormat="1" x14ac:dyDescent="0.35">
      <c r="E5769" s="35"/>
      <c r="J5769" s="41"/>
    </row>
    <row r="5770" spans="5:10" s="34" customFormat="1" x14ac:dyDescent="0.35">
      <c r="E5770" s="35"/>
      <c r="J5770" s="41"/>
    </row>
    <row r="5771" spans="5:10" s="34" customFormat="1" x14ac:dyDescent="0.35">
      <c r="E5771" s="35"/>
      <c r="J5771" s="41"/>
    </row>
    <row r="5772" spans="5:10" s="34" customFormat="1" x14ac:dyDescent="0.35">
      <c r="E5772" s="35"/>
      <c r="J5772" s="41"/>
    </row>
    <row r="5773" spans="5:10" s="34" customFormat="1" x14ac:dyDescent="0.35">
      <c r="E5773" s="35"/>
      <c r="J5773" s="41"/>
    </row>
    <row r="5774" spans="5:10" s="34" customFormat="1" x14ac:dyDescent="0.35">
      <c r="E5774" s="35"/>
      <c r="J5774" s="41"/>
    </row>
    <row r="5775" spans="5:10" s="34" customFormat="1" x14ac:dyDescent="0.35">
      <c r="E5775" s="35"/>
      <c r="J5775" s="41"/>
    </row>
    <row r="5776" spans="5:10" s="34" customFormat="1" x14ac:dyDescent="0.35">
      <c r="E5776" s="35"/>
      <c r="J5776" s="41"/>
    </row>
    <row r="5777" spans="5:10" s="34" customFormat="1" x14ac:dyDescent="0.35">
      <c r="E5777" s="35"/>
      <c r="J5777" s="41"/>
    </row>
    <row r="5778" spans="5:10" s="34" customFormat="1" x14ac:dyDescent="0.35">
      <c r="E5778" s="35"/>
      <c r="J5778" s="41"/>
    </row>
    <row r="5779" spans="5:10" s="34" customFormat="1" x14ac:dyDescent="0.35">
      <c r="E5779" s="35"/>
      <c r="J5779" s="41"/>
    </row>
    <row r="5780" spans="5:10" s="34" customFormat="1" x14ac:dyDescent="0.35">
      <c r="E5780" s="35"/>
      <c r="J5780" s="41"/>
    </row>
    <row r="5781" spans="5:10" s="34" customFormat="1" x14ac:dyDescent="0.35">
      <c r="E5781" s="35"/>
      <c r="J5781" s="41"/>
    </row>
    <row r="5782" spans="5:10" s="34" customFormat="1" x14ac:dyDescent="0.35">
      <c r="E5782" s="35"/>
      <c r="J5782" s="41"/>
    </row>
    <row r="5783" spans="5:10" s="34" customFormat="1" x14ac:dyDescent="0.35">
      <c r="E5783" s="35"/>
      <c r="J5783" s="41"/>
    </row>
    <row r="5784" spans="5:10" s="34" customFormat="1" x14ac:dyDescent="0.35">
      <c r="E5784" s="35"/>
      <c r="J5784" s="41"/>
    </row>
    <row r="5785" spans="5:10" s="34" customFormat="1" x14ac:dyDescent="0.35">
      <c r="E5785" s="35"/>
      <c r="J5785" s="41"/>
    </row>
    <row r="5786" spans="5:10" s="34" customFormat="1" x14ac:dyDescent="0.35">
      <c r="E5786" s="35"/>
      <c r="J5786" s="41"/>
    </row>
    <row r="5787" spans="5:10" s="34" customFormat="1" x14ac:dyDescent="0.35">
      <c r="E5787" s="35"/>
      <c r="J5787" s="41"/>
    </row>
    <row r="5788" spans="5:10" s="34" customFormat="1" x14ac:dyDescent="0.35">
      <c r="E5788" s="35"/>
      <c r="J5788" s="41"/>
    </row>
    <row r="5789" spans="5:10" s="34" customFormat="1" x14ac:dyDescent="0.35">
      <c r="E5789" s="35"/>
      <c r="J5789" s="41"/>
    </row>
    <row r="5790" spans="5:10" s="34" customFormat="1" x14ac:dyDescent="0.35">
      <c r="E5790" s="35"/>
      <c r="J5790" s="41"/>
    </row>
    <row r="5791" spans="5:10" s="34" customFormat="1" x14ac:dyDescent="0.35">
      <c r="E5791" s="35"/>
      <c r="J5791" s="41"/>
    </row>
    <row r="5792" spans="5:10" s="34" customFormat="1" x14ac:dyDescent="0.35">
      <c r="E5792" s="35"/>
      <c r="J5792" s="41"/>
    </row>
    <row r="5793" spans="5:10" s="34" customFormat="1" x14ac:dyDescent="0.35">
      <c r="E5793" s="35"/>
      <c r="J5793" s="41"/>
    </row>
    <row r="5794" spans="5:10" s="34" customFormat="1" x14ac:dyDescent="0.35">
      <c r="E5794" s="35"/>
      <c r="J5794" s="41"/>
    </row>
    <row r="5795" spans="5:10" s="34" customFormat="1" x14ac:dyDescent="0.35">
      <c r="E5795" s="35"/>
      <c r="J5795" s="41"/>
    </row>
    <row r="5796" spans="5:10" s="34" customFormat="1" x14ac:dyDescent="0.35">
      <c r="E5796" s="35"/>
      <c r="J5796" s="41"/>
    </row>
    <row r="5797" spans="5:10" s="34" customFormat="1" x14ac:dyDescent="0.35">
      <c r="E5797" s="35"/>
      <c r="J5797" s="41"/>
    </row>
    <row r="5798" spans="5:10" s="34" customFormat="1" x14ac:dyDescent="0.35">
      <c r="E5798" s="35"/>
      <c r="J5798" s="41"/>
    </row>
    <row r="5799" spans="5:10" s="34" customFormat="1" x14ac:dyDescent="0.35">
      <c r="E5799" s="35"/>
      <c r="J5799" s="41"/>
    </row>
    <row r="5800" spans="5:10" s="34" customFormat="1" x14ac:dyDescent="0.35">
      <c r="E5800" s="35"/>
      <c r="J5800" s="41"/>
    </row>
    <row r="5801" spans="5:10" s="34" customFormat="1" x14ac:dyDescent="0.35">
      <c r="E5801" s="35"/>
      <c r="J5801" s="41"/>
    </row>
    <row r="5802" spans="5:10" s="34" customFormat="1" x14ac:dyDescent="0.35">
      <c r="E5802" s="35"/>
      <c r="J5802" s="41"/>
    </row>
    <row r="5803" spans="5:10" s="34" customFormat="1" x14ac:dyDescent="0.35">
      <c r="E5803" s="35"/>
      <c r="J5803" s="41"/>
    </row>
    <row r="5804" spans="5:10" s="34" customFormat="1" x14ac:dyDescent="0.35">
      <c r="E5804" s="35"/>
      <c r="J5804" s="41"/>
    </row>
    <row r="5805" spans="5:10" s="34" customFormat="1" x14ac:dyDescent="0.35">
      <c r="E5805" s="35"/>
      <c r="J5805" s="41"/>
    </row>
    <row r="5806" spans="5:10" s="34" customFormat="1" x14ac:dyDescent="0.35">
      <c r="E5806" s="35"/>
      <c r="J5806" s="41"/>
    </row>
    <row r="5807" spans="5:10" s="34" customFormat="1" x14ac:dyDescent="0.35">
      <c r="E5807" s="35"/>
      <c r="J5807" s="41"/>
    </row>
    <row r="5808" spans="5:10" s="34" customFormat="1" x14ac:dyDescent="0.35">
      <c r="E5808" s="35"/>
      <c r="J5808" s="41"/>
    </row>
    <row r="5809" spans="5:10" s="34" customFormat="1" x14ac:dyDescent="0.35">
      <c r="E5809" s="35"/>
      <c r="J5809" s="41"/>
    </row>
    <row r="5810" spans="5:10" s="34" customFormat="1" x14ac:dyDescent="0.35">
      <c r="E5810" s="35"/>
      <c r="J5810" s="41"/>
    </row>
    <row r="5811" spans="5:10" s="34" customFormat="1" x14ac:dyDescent="0.35">
      <c r="E5811" s="35"/>
      <c r="J5811" s="41"/>
    </row>
    <row r="5812" spans="5:10" s="34" customFormat="1" x14ac:dyDescent="0.35">
      <c r="E5812" s="35"/>
      <c r="J5812" s="41"/>
    </row>
    <row r="5813" spans="5:10" s="34" customFormat="1" x14ac:dyDescent="0.35">
      <c r="E5813" s="35"/>
      <c r="J5813" s="41"/>
    </row>
    <row r="5814" spans="5:10" s="34" customFormat="1" x14ac:dyDescent="0.35">
      <c r="E5814" s="35"/>
      <c r="J5814" s="41"/>
    </row>
    <row r="5815" spans="5:10" s="34" customFormat="1" x14ac:dyDescent="0.35">
      <c r="E5815" s="35"/>
      <c r="J5815" s="41"/>
    </row>
    <row r="5816" spans="5:10" s="34" customFormat="1" x14ac:dyDescent="0.35">
      <c r="E5816" s="35"/>
      <c r="J5816" s="41"/>
    </row>
    <row r="5817" spans="5:10" s="34" customFormat="1" x14ac:dyDescent="0.35">
      <c r="E5817" s="35"/>
      <c r="J5817" s="41"/>
    </row>
    <row r="5818" spans="5:10" s="34" customFormat="1" x14ac:dyDescent="0.35">
      <c r="E5818" s="35"/>
      <c r="J5818" s="41"/>
    </row>
    <row r="5819" spans="5:10" s="34" customFormat="1" x14ac:dyDescent="0.35">
      <c r="E5819" s="35"/>
      <c r="J5819" s="41"/>
    </row>
    <row r="5820" spans="5:10" s="34" customFormat="1" x14ac:dyDescent="0.35">
      <c r="E5820" s="35"/>
      <c r="J5820" s="41"/>
    </row>
    <row r="5821" spans="5:10" s="34" customFormat="1" x14ac:dyDescent="0.35">
      <c r="E5821" s="35"/>
      <c r="J5821" s="41"/>
    </row>
    <row r="5822" spans="5:10" s="34" customFormat="1" x14ac:dyDescent="0.35">
      <c r="E5822" s="35"/>
      <c r="J5822" s="41"/>
    </row>
    <row r="5823" spans="5:10" s="34" customFormat="1" x14ac:dyDescent="0.35">
      <c r="E5823" s="35"/>
      <c r="J5823" s="41"/>
    </row>
    <row r="5824" spans="5:10" s="34" customFormat="1" x14ac:dyDescent="0.35">
      <c r="E5824" s="35"/>
      <c r="J5824" s="41"/>
    </row>
    <row r="5825" spans="5:10" s="34" customFormat="1" x14ac:dyDescent="0.35">
      <c r="E5825" s="35"/>
      <c r="J5825" s="41"/>
    </row>
    <row r="5826" spans="5:10" s="34" customFormat="1" x14ac:dyDescent="0.35">
      <c r="E5826" s="35"/>
      <c r="J5826" s="41"/>
    </row>
    <row r="5827" spans="5:10" s="34" customFormat="1" x14ac:dyDescent="0.35">
      <c r="E5827" s="35"/>
      <c r="J5827" s="41"/>
    </row>
    <row r="5828" spans="5:10" s="34" customFormat="1" x14ac:dyDescent="0.35">
      <c r="E5828" s="35"/>
      <c r="J5828" s="41"/>
    </row>
    <row r="5829" spans="5:10" s="34" customFormat="1" x14ac:dyDescent="0.35">
      <c r="E5829" s="35"/>
      <c r="J5829" s="41"/>
    </row>
    <row r="5830" spans="5:10" s="34" customFormat="1" x14ac:dyDescent="0.35">
      <c r="E5830" s="35"/>
      <c r="J5830" s="41"/>
    </row>
    <row r="5831" spans="5:10" s="34" customFormat="1" x14ac:dyDescent="0.35">
      <c r="E5831" s="35"/>
      <c r="J5831" s="41"/>
    </row>
    <row r="5832" spans="5:10" s="34" customFormat="1" x14ac:dyDescent="0.35">
      <c r="E5832" s="35"/>
      <c r="J5832" s="41"/>
    </row>
    <row r="5833" spans="5:10" s="34" customFormat="1" x14ac:dyDescent="0.35">
      <c r="E5833" s="35"/>
      <c r="J5833" s="41"/>
    </row>
    <row r="5834" spans="5:10" s="34" customFormat="1" x14ac:dyDescent="0.35">
      <c r="E5834" s="35"/>
      <c r="J5834" s="41"/>
    </row>
    <row r="5835" spans="5:10" s="34" customFormat="1" x14ac:dyDescent="0.35">
      <c r="E5835" s="35"/>
      <c r="J5835" s="41"/>
    </row>
    <row r="5836" spans="5:10" s="34" customFormat="1" x14ac:dyDescent="0.35">
      <c r="E5836" s="35"/>
      <c r="J5836" s="41"/>
    </row>
    <row r="5837" spans="5:10" s="34" customFormat="1" x14ac:dyDescent="0.35">
      <c r="E5837" s="35"/>
      <c r="J5837" s="41"/>
    </row>
    <row r="5838" spans="5:10" s="34" customFormat="1" x14ac:dyDescent="0.35">
      <c r="E5838" s="35"/>
      <c r="J5838" s="41"/>
    </row>
    <row r="5839" spans="5:10" s="34" customFormat="1" x14ac:dyDescent="0.35">
      <c r="E5839" s="35"/>
      <c r="J5839" s="41"/>
    </row>
    <row r="5840" spans="5:10" s="34" customFormat="1" x14ac:dyDescent="0.35">
      <c r="E5840" s="35"/>
      <c r="J5840" s="41"/>
    </row>
    <row r="5841" spans="5:10" s="34" customFormat="1" x14ac:dyDescent="0.35">
      <c r="E5841" s="35"/>
      <c r="J5841" s="41"/>
    </row>
    <row r="5842" spans="5:10" s="34" customFormat="1" x14ac:dyDescent="0.35">
      <c r="E5842" s="35"/>
      <c r="J5842" s="41"/>
    </row>
    <row r="5843" spans="5:10" s="34" customFormat="1" x14ac:dyDescent="0.35">
      <c r="E5843" s="35"/>
      <c r="J5843" s="41"/>
    </row>
    <row r="5844" spans="5:10" s="34" customFormat="1" x14ac:dyDescent="0.35">
      <c r="E5844" s="35"/>
      <c r="J5844" s="41"/>
    </row>
    <row r="5845" spans="5:10" s="34" customFormat="1" x14ac:dyDescent="0.35">
      <c r="E5845" s="35"/>
      <c r="J5845" s="41"/>
    </row>
    <row r="5846" spans="5:10" s="34" customFormat="1" x14ac:dyDescent="0.35">
      <c r="E5846" s="35"/>
      <c r="J5846" s="41"/>
    </row>
    <row r="5847" spans="5:10" s="34" customFormat="1" x14ac:dyDescent="0.35">
      <c r="E5847" s="35"/>
      <c r="J5847" s="41"/>
    </row>
    <row r="5848" spans="5:10" s="34" customFormat="1" x14ac:dyDescent="0.35">
      <c r="E5848" s="35"/>
      <c r="J5848" s="41"/>
    </row>
    <row r="5849" spans="5:10" s="34" customFormat="1" x14ac:dyDescent="0.35">
      <c r="E5849" s="35"/>
      <c r="J5849" s="41"/>
    </row>
    <row r="5850" spans="5:10" s="34" customFormat="1" x14ac:dyDescent="0.35">
      <c r="E5850" s="35"/>
      <c r="J5850" s="41"/>
    </row>
    <row r="5851" spans="5:10" s="34" customFormat="1" x14ac:dyDescent="0.35">
      <c r="E5851" s="35"/>
      <c r="J5851" s="41"/>
    </row>
    <row r="5852" spans="5:10" s="34" customFormat="1" x14ac:dyDescent="0.35">
      <c r="E5852" s="35"/>
      <c r="J5852" s="41"/>
    </row>
    <row r="5853" spans="5:10" s="34" customFormat="1" x14ac:dyDescent="0.35">
      <c r="E5853" s="35"/>
      <c r="J5853" s="41"/>
    </row>
    <row r="5854" spans="5:10" s="34" customFormat="1" x14ac:dyDescent="0.35">
      <c r="E5854" s="35"/>
      <c r="J5854" s="41"/>
    </row>
    <row r="5855" spans="5:10" s="34" customFormat="1" x14ac:dyDescent="0.35">
      <c r="E5855" s="35"/>
      <c r="J5855" s="41"/>
    </row>
    <row r="5856" spans="5:10" s="34" customFormat="1" x14ac:dyDescent="0.35">
      <c r="E5856" s="35"/>
      <c r="J5856" s="41"/>
    </row>
    <row r="5857" spans="5:10" s="34" customFormat="1" x14ac:dyDescent="0.35">
      <c r="E5857" s="35"/>
      <c r="J5857" s="41"/>
    </row>
    <row r="5858" spans="5:10" s="34" customFormat="1" x14ac:dyDescent="0.35">
      <c r="E5858" s="35"/>
      <c r="J5858" s="41"/>
    </row>
    <row r="5859" spans="5:10" s="34" customFormat="1" x14ac:dyDescent="0.35">
      <c r="E5859" s="35"/>
      <c r="J5859" s="41"/>
    </row>
    <row r="5860" spans="5:10" s="34" customFormat="1" x14ac:dyDescent="0.35">
      <c r="E5860" s="35"/>
      <c r="J5860" s="41"/>
    </row>
    <row r="5861" spans="5:10" s="34" customFormat="1" x14ac:dyDescent="0.35">
      <c r="E5861" s="35"/>
      <c r="J5861" s="41"/>
    </row>
    <row r="5862" spans="5:10" s="34" customFormat="1" x14ac:dyDescent="0.35">
      <c r="E5862" s="35"/>
      <c r="J5862" s="41"/>
    </row>
    <row r="5863" spans="5:10" s="34" customFormat="1" x14ac:dyDescent="0.35">
      <c r="E5863" s="35"/>
      <c r="J5863" s="41"/>
    </row>
    <row r="5864" spans="5:10" s="34" customFormat="1" x14ac:dyDescent="0.35">
      <c r="E5864" s="35"/>
      <c r="J5864" s="41"/>
    </row>
    <row r="5865" spans="5:10" s="34" customFormat="1" x14ac:dyDescent="0.35">
      <c r="E5865" s="35"/>
      <c r="J5865" s="41"/>
    </row>
    <row r="5866" spans="5:10" s="34" customFormat="1" x14ac:dyDescent="0.35">
      <c r="E5866" s="35"/>
      <c r="J5866" s="41"/>
    </row>
    <row r="5867" spans="5:10" s="34" customFormat="1" x14ac:dyDescent="0.35">
      <c r="E5867" s="35"/>
      <c r="J5867" s="41"/>
    </row>
    <row r="5868" spans="5:10" s="34" customFormat="1" x14ac:dyDescent="0.35">
      <c r="E5868" s="35"/>
      <c r="J5868" s="41"/>
    </row>
    <row r="5869" spans="5:10" s="34" customFormat="1" x14ac:dyDescent="0.35">
      <c r="E5869" s="35"/>
      <c r="J5869" s="41"/>
    </row>
    <row r="5870" spans="5:10" s="34" customFormat="1" x14ac:dyDescent="0.35">
      <c r="E5870" s="35"/>
      <c r="J5870" s="41"/>
    </row>
    <row r="5871" spans="5:10" s="34" customFormat="1" x14ac:dyDescent="0.35">
      <c r="E5871" s="35"/>
      <c r="J5871" s="41"/>
    </row>
    <row r="5872" spans="5:10" s="34" customFormat="1" x14ac:dyDescent="0.35">
      <c r="E5872" s="35"/>
      <c r="J5872" s="41"/>
    </row>
    <row r="5873" spans="5:10" s="34" customFormat="1" x14ac:dyDescent="0.35">
      <c r="E5873" s="35"/>
      <c r="J5873" s="41"/>
    </row>
    <row r="5874" spans="5:10" s="34" customFormat="1" x14ac:dyDescent="0.35">
      <c r="E5874" s="35"/>
      <c r="J5874" s="41"/>
    </row>
    <row r="5875" spans="5:10" s="34" customFormat="1" x14ac:dyDescent="0.35">
      <c r="E5875" s="35"/>
      <c r="J5875" s="41"/>
    </row>
    <row r="5876" spans="5:10" s="34" customFormat="1" x14ac:dyDescent="0.35">
      <c r="E5876" s="35"/>
      <c r="J5876" s="41"/>
    </row>
    <row r="5877" spans="5:10" s="34" customFormat="1" x14ac:dyDescent="0.35">
      <c r="E5877" s="35"/>
      <c r="J5877" s="41"/>
    </row>
    <row r="5878" spans="5:10" s="34" customFormat="1" x14ac:dyDescent="0.35">
      <c r="E5878" s="35"/>
      <c r="J5878" s="41"/>
    </row>
    <row r="5879" spans="5:10" s="34" customFormat="1" x14ac:dyDescent="0.35">
      <c r="E5879" s="35"/>
      <c r="J5879" s="41"/>
    </row>
    <row r="5880" spans="5:10" s="34" customFormat="1" x14ac:dyDescent="0.35">
      <c r="E5880" s="35"/>
      <c r="J5880" s="41"/>
    </row>
    <row r="5881" spans="5:10" s="34" customFormat="1" x14ac:dyDescent="0.35">
      <c r="E5881" s="35"/>
      <c r="J5881" s="41"/>
    </row>
    <row r="5882" spans="5:10" s="34" customFormat="1" x14ac:dyDescent="0.35">
      <c r="E5882" s="35"/>
      <c r="J5882" s="41"/>
    </row>
    <row r="5883" spans="5:10" s="34" customFormat="1" x14ac:dyDescent="0.35">
      <c r="E5883" s="35"/>
      <c r="J5883" s="41"/>
    </row>
    <row r="5884" spans="5:10" s="34" customFormat="1" x14ac:dyDescent="0.35">
      <c r="E5884" s="35"/>
      <c r="J5884" s="41"/>
    </row>
    <row r="5885" spans="5:10" s="34" customFormat="1" x14ac:dyDescent="0.35">
      <c r="E5885" s="35"/>
      <c r="J5885" s="41"/>
    </row>
    <row r="5886" spans="5:10" s="34" customFormat="1" x14ac:dyDescent="0.35">
      <c r="E5886" s="35"/>
      <c r="J5886" s="41"/>
    </row>
    <row r="5887" spans="5:10" s="34" customFormat="1" x14ac:dyDescent="0.35">
      <c r="E5887" s="35"/>
      <c r="J5887" s="41"/>
    </row>
    <row r="5888" spans="5:10" s="34" customFormat="1" x14ac:dyDescent="0.35">
      <c r="E5888" s="35"/>
      <c r="J5888" s="41"/>
    </row>
    <row r="5889" spans="5:10" s="34" customFormat="1" x14ac:dyDescent="0.35">
      <c r="E5889" s="35"/>
      <c r="J5889" s="41"/>
    </row>
    <row r="5890" spans="5:10" s="34" customFormat="1" x14ac:dyDescent="0.35">
      <c r="E5890" s="35"/>
      <c r="J5890" s="41"/>
    </row>
    <row r="5891" spans="5:10" s="34" customFormat="1" x14ac:dyDescent="0.35">
      <c r="E5891" s="35"/>
      <c r="J5891" s="41"/>
    </row>
    <row r="5892" spans="5:10" s="34" customFormat="1" x14ac:dyDescent="0.35">
      <c r="E5892" s="35"/>
      <c r="J5892" s="41"/>
    </row>
    <row r="5893" spans="5:10" s="34" customFormat="1" x14ac:dyDescent="0.35">
      <c r="E5893" s="35"/>
      <c r="J5893" s="41"/>
    </row>
    <row r="5894" spans="5:10" s="34" customFormat="1" x14ac:dyDescent="0.35">
      <c r="E5894" s="35"/>
      <c r="J5894" s="41"/>
    </row>
    <row r="5895" spans="5:10" s="34" customFormat="1" x14ac:dyDescent="0.35">
      <c r="E5895" s="35"/>
      <c r="J5895" s="41"/>
    </row>
    <row r="5896" spans="5:10" s="34" customFormat="1" x14ac:dyDescent="0.35">
      <c r="E5896" s="35"/>
      <c r="J5896" s="41"/>
    </row>
    <row r="5897" spans="5:10" s="34" customFormat="1" x14ac:dyDescent="0.35">
      <c r="E5897" s="35"/>
      <c r="J5897" s="41"/>
    </row>
    <row r="5898" spans="5:10" s="34" customFormat="1" x14ac:dyDescent="0.35">
      <c r="E5898" s="35"/>
      <c r="J5898" s="41"/>
    </row>
    <row r="5899" spans="5:10" s="34" customFormat="1" x14ac:dyDescent="0.35">
      <c r="E5899" s="35"/>
      <c r="J5899" s="41"/>
    </row>
    <row r="5900" spans="5:10" s="34" customFormat="1" x14ac:dyDescent="0.35">
      <c r="E5900" s="35"/>
      <c r="J5900" s="41"/>
    </row>
    <row r="5901" spans="5:10" s="34" customFormat="1" x14ac:dyDescent="0.35">
      <c r="E5901" s="35"/>
      <c r="J5901" s="41"/>
    </row>
    <row r="5902" spans="5:10" s="34" customFormat="1" x14ac:dyDescent="0.35">
      <c r="E5902" s="35"/>
      <c r="J5902" s="41"/>
    </row>
    <row r="5903" spans="5:10" s="34" customFormat="1" x14ac:dyDescent="0.35">
      <c r="E5903" s="35"/>
      <c r="J5903" s="41"/>
    </row>
    <row r="5904" spans="5:10" s="34" customFormat="1" x14ac:dyDescent="0.35">
      <c r="E5904" s="35"/>
      <c r="J5904" s="41"/>
    </row>
    <row r="5905" spans="5:10" s="34" customFormat="1" x14ac:dyDescent="0.35">
      <c r="E5905" s="35"/>
      <c r="J5905" s="41"/>
    </row>
    <row r="5906" spans="5:10" s="34" customFormat="1" x14ac:dyDescent="0.35">
      <c r="E5906" s="35"/>
      <c r="J5906" s="41"/>
    </row>
    <row r="5907" spans="5:10" s="34" customFormat="1" x14ac:dyDescent="0.35">
      <c r="E5907" s="35"/>
      <c r="J5907" s="41"/>
    </row>
    <row r="5908" spans="5:10" s="34" customFormat="1" x14ac:dyDescent="0.35">
      <c r="E5908" s="35"/>
      <c r="J5908" s="41"/>
    </row>
    <row r="5909" spans="5:10" s="34" customFormat="1" x14ac:dyDescent="0.35">
      <c r="E5909" s="35"/>
      <c r="J5909" s="41"/>
    </row>
    <row r="5910" spans="5:10" s="34" customFormat="1" x14ac:dyDescent="0.35">
      <c r="E5910" s="35"/>
      <c r="J5910" s="41"/>
    </row>
    <row r="5911" spans="5:10" s="34" customFormat="1" x14ac:dyDescent="0.35">
      <c r="E5911" s="35"/>
      <c r="J5911" s="41"/>
    </row>
    <row r="5912" spans="5:10" s="34" customFormat="1" x14ac:dyDescent="0.35">
      <c r="E5912" s="35"/>
      <c r="J5912" s="41"/>
    </row>
    <row r="5913" spans="5:10" s="34" customFormat="1" x14ac:dyDescent="0.35">
      <c r="E5913" s="35"/>
      <c r="J5913" s="41"/>
    </row>
    <row r="5914" spans="5:10" s="34" customFormat="1" x14ac:dyDescent="0.35">
      <c r="E5914" s="35"/>
      <c r="J5914" s="41"/>
    </row>
    <row r="5915" spans="5:10" s="34" customFormat="1" x14ac:dyDescent="0.35">
      <c r="E5915" s="35"/>
      <c r="J5915" s="41"/>
    </row>
    <row r="5916" spans="5:10" s="34" customFormat="1" x14ac:dyDescent="0.35">
      <c r="E5916" s="35"/>
      <c r="J5916" s="41"/>
    </row>
    <row r="5917" spans="5:10" s="34" customFormat="1" x14ac:dyDescent="0.35">
      <c r="E5917" s="35"/>
      <c r="J5917" s="41"/>
    </row>
    <row r="5918" spans="5:10" s="34" customFormat="1" x14ac:dyDescent="0.35">
      <c r="E5918" s="35"/>
      <c r="J5918" s="41"/>
    </row>
    <row r="5919" spans="5:10" s="34" customFormat="1" x14ac:dyDescent="0.35">
      <c r="E5919" s="35"/>
      <c r="J5919" s="41"/>
    </row>
    <row r="5920" spans="5:10" s="34" customFormat="1" x14ac:dyDescent="0.35">
      <c r="E5920" s="35"/>
      <c r="J5920" s="41"/>
    </row>
    <row r="5921" spans="5:10" s="34" customFormat="1" x14ac:dyDescent="0.35">
      <c r="E5921" s="35"/>
      <c r="J5921" s="41"/>
    </row>
    <row r="5922" spans="5:10" s="34" customFormat="1" x14ac:dyDescent="0.35">
      <c r="E5922" s="35"/>
      <c r="J5922" s="41"/>
    </row>
    <row r="5923" spans="5:10" s="34" customFormat="1" x14ac:dyDescent="0.35">
      <c r="E5923" s="35"/>
      <c r="J5923" s="41"/>
    </row>
    <row r="5924" spans="5:10" s="34" customFormat="1" x14ac:dyDescent="0.35">
      <c r="E5924" s="35"/>
      <c r="J5924" s="41"/>
    </row>
    <row r="5925" spans="5:10" s="34" customFormat="1" x14ac:dyDescent="0.35">
      <c r="E5925" s="35"/>
      <c r="J5925" s="41"/>
    </row>
    <row r="5926" spans="5:10" s="34" customFormat="1" x14ac:dyDescent="0.35">
      <c r="E5926" s="35"/>
      <c r="J5926" s="41"/>
    </row>
    <row r="5927" spans="5:10" s="34" customFormat="1" x14ac:dyDescent="0.35">
      <c r="E5927" s="35"/>
      <c r="J5927" s="41"/>
    </row>
    <row r="5928" spans="5:10" s="34" customFormat="1" x14ac:dyDescent="0.35">
      <c r="E5928" s="35"/>
      <c r="J5928" s="41"/>
    </row>
    <row r="5929" spans="5:10" s="34" customFormat="1" x14ac:dyDescent="0.35">
      <c r="E5929" s="35"/>
      <c r="J5929" s="41"/>
    </row>
    <row r="5930" spans="5:10" s="34" customFormat="1" x14ac:dyDescent="0.35">
      <c r="E5930" s="35"/>
      <c r="J5930" s="41"/>
    </row>
    <row r="5931" spans="5:10" s="34" customFormat="1" x14ac:dyDescent="0.35">
      <c r="E5931" s="35"/>
      <c r="J5931" s="41"/>
    </row>
    <row r="5932" spans="5:10" s="34" customFormat="1" x14ac:dyDescent="0.35">
      <c r="E5932" s="35"/>
      <c r="J5932" s="41"/>
    </row>
    <row r="5933" spans="5:10" s="34" customFormat="1" x14ac:dyDescent="0.35">
      <c r="E5933" s="35"/>
      <c r="J5933" s="41"/>
    </row>
    <row r="5934" spans="5:10" s="34" customFormat="1" x14ac:dyDescent="0.35">
      <c r="E5934" s="35"/>
      <c r="J5934" s="41"/>
    </row>
    <row r="5935" spans="5:10" s="34" customFormat="1" x14ac:dyDescent="0.35">
      <c r="E5935" s="35"/>
      <c r="J5935" s="41"/>
    </row>
    <row r="5936" spans="5:10" s="34" customFormat="1" x14ac:dyDescent="0.35">
      <c r="E5936" s="35"/>
      <c r="J5936" s="41"/>
    </row>
    <row r="5937" spans="5:10" s="34" customFormat="1" x14ac:dyDescent="0.35">
      <c r="E5937" s="35"/>
      <c r="J5937" s="41"/>
    </row>
    <row r="5938" spans="5:10" s="34" customFormat="1" x14ac:dyDescent="0.35">
      <c r="E5938" s="35"/>
      <c r="J5938" s="41"/>
    </row>
    <row r="5939" spans="5:10" s="34" customFormat="1" x14ac:dyDescent="0.35">
      <c r="E5939" s="35"/>
      <c r="J5939" s="41"/>
    </row>
    <row r="5940" spans="5:10" s="34" customFormat="1" x14ac:dyDescent="0.35">
      <c r="E5940" s="35"/>
      <c r="J5940" s="41"/>
    </row>
    <row r="5941" spans="5:10" s="34" customFormat="1" x14ac:dyDescent="0.35">
      <c r="E5941" s="35"/>
      <c r="J5941" s="41"/>
    </row>
    <row r="5942" spans="5:10" s="34" customFormat="1" x14ac:dyDescent="0.35">
      <c r="E5942" s="35"/>
      <c r="J5942" s="41"/>
    </row>
    <row r="5943" spans="5:10" s="34" customFormat="1" x14ac:dyDescent="0.35">
      <c r="E5943" s="35"/>
      <c r="J5943" s="41"/>
    </row>
    <row r="5944" spans="5:10" s="34" customFormat="1" x14ac:dyDescent="0.35">
      <c r="E5944" s="35"/>
      <c r="J5944" s="41"/>
    </row>
    <row r="5945" spans="5:10" s="34" customFormat="1" x14ac:dyDescent="0.35">
      <c r="E5945" s="35"/>
      <c r="J5945" s="41"/>
    </row>
    <row r="5946" spans="5:10" s="34" customFormat="1" x14ac:dyDescent="0.35">
      <c r="E5946" s="35"/>
      <c r="J5946" s="41"/>
    </row>
    <row r="5947" spans="5:10" s="34" customFormat="1" x14ac:dyDescent="0.35">
      <c r="E5947" s="35"/>
      <c r="J5947" s="41"/>
    </row>
    <row r="5948" spans="5:10" s="34" customFormat="1" x14ac:dyDescent="0.35">
      <c r="E5948" s="35"/>
      <c r="J5948" s="41"/>
    </row>
    <row r="5949" spans="5:10" s="34" customFormat="1" x14ac:dyDescent="0.35">
      <c r="E5949" s="35"/>
      <c r="J5949" s="41"/>
    </row>
    <row r="5950" spans="5:10" s="34" customFormat="1" x14ac:dyDescent="0.35">
      <c r="E5950" s="35"/>
      <c r="J5950" s="41"/>
    </row>
    <row r="5951" spans="5:10" s="34" customFormat="1" x14ac:dyDescent="0.35">
      <c r="E5951" s="35"/>
      <c r="J5951" s="41"/>
    </row>
    <row r="5952" spans="5:10" s="34" customFormat="1" x14ac:dyDescent="0.35">
      <c r="E5952" s="35"/>
      <c r="J5952" s="41"/>
    </row>
    <row r="5953" spans="5:10" s="34" customFormat="1" x14ac:dyDescent="0.35">
      <c r="E5953" s="35"/>
      <c r="J5953" s="41"/>
    </row>
    <row r="5954" spans="5:10" s="34" customFormat="1" x14ac:dyDescent="0.35">
      <c r="E5954" s="35"/>
      <c r="J5954" s="41"/>
    </row>
    <row r="5955" spans="5:10" s="34" customFormat="1" x14ac:dyDescent="0.35">
      <c r="E5955" s="35"/>
      <c r="J5955" s="41"/>
    </row>
    <row r="5956" spans="5:10" s="34" customFormat="1" x14ac:dyDescent="0.35">
      <c r="E5956" s="35"/>
      <c r="J5956" s="41"/>
    </row>
    <row r="5957" spans="5:10" s="34" customFormat="1" x14ac:dyDescent="0.35">
      <c r="E5957" s="35"/>
      <c r="J5957" s="41"/>
    </row>
    <row r="5958" spans="5:10" s="34" customFormat="1" x14ac:dyDescent="0.35">
      <c r="E5958" s="35"/>
      <c r="J5958" s="41"/>
    </row>
    <row r="5959" spans="5:10" s="34" customFormat="1" x14ac:dyDescent="0.35">
      <c r="E5959" s="35"/>
      <c r="J5959" s="41"/>
    </row>
    <row r="5960" spans="5:10" s="34" customFormat="1" x14ac:dyDescent="0.35">
      <c r="E5960" s="35"/>
      <c r="J5960" s="41"/>
    </row>
    <row r="5961" spans="5:10" s="34" customFormat="1" x14ac:dyDescent="0.35">
      <c r="E5961" s="35"/>
      <c r="J5961" s="41"/>
    </row>
    <row r="5962" spans="5:10" s="34" customFormat="1" x14ac:dyDescent="0.35">
      <c r="E5962" s="35"/>
      <c r="J5962" s="41"/>
    </row>
    <row r="5963" spans="5:10" s="34" customFormat="1" x14ac:dyDescent="0.35">
      <c r="E5963" s="35"/>
      <c r="J5963" s="41"/>
    </row>
    <row r="5964" spans="5:10" s="34" customFormat="1" x14ac:dyDescent="0.35">
      <c r="E5964" s="35"/>
      <c r="J5964" s="41"/>
    </row>
    <row r="5965" spans="5:10" s="34" customFormat="1" x14ac:dyDescent="0.35">
      <c r="E5965" s="35"/>
      <c r="J5965" s="41"/>
    </row>
    <row r="5966" spans="5:10" s="34" customFormat="1" x14ac:dyDescent="0.35">
      <c r="E5966" s="35"/>
      <c r="J5966" s="41"/>
    </row>
    <row r="5967" spans="5:10" s="34" customFormat="1" x14ac:dyDescent="0.35">
      <c r="E5967" s="35"/>
      <c r="J5967" s="41"/>
    </row>
    <row r="5968" spans="5:10" s="34" customFormat="1" x14ac:dyDescent="0.35">
      <c r="E5968" s="35"/>
      <c r="J5968" s="41"/>
    </row>
    <row r="5969" spans="5:10" s="34" customFormat="1" x14ac:dyDescent="0.35">
      <c r="E5969" s="35"/>
      <c r="J5969" s="41"/>
    </row>
    <row r="5970" spans="5:10" s="34" customFormat="1" x14ac:dyDescent="0.35">
      <c r="E5970" s="35"/>
      <c r="J5970" s="41"/>
    </row>
    <row r="5971" spans="5:10" s="34" customFormat="1" x14ac:dyDescent="0.35">
      <c r="E5971" s="35"/>
      <c r="J5971" s="41"/>
    </row>
    <row r="5972" spans="5:10" s="34" customFormat="1" x14ac:dyDescent="0.35">
      <c r="E5972" s="35"/>
      <c r="J5972" s="41"/>
    </row>
    <row r="5973" spans="5:10" s="34" customFormat="1" x14ac:dyDescent="0.35">
      <c r="E5973" s="35"/>
      <c r="J5973" s="41"/>
    </row>
    <row r="5974" spans="5:10" s="34" customFormat="1" x14ac:dyDescent="0.35">
      <c r="E5974" s="35"/>
      <c r="J5974" s="41"/>
    </row>
    <row r="5975" spans="5:10" s="34" customFormat="1" x14ac:dyDescent="0.35">
      <c r="E5975" s="35"/>
      <c r="J5975" s="41"/>
    </row>
    <row r="5976" spans="5:10" s="34" customFormat="1" x14ac:dyDescent="0.35">
      <c r="E5976" s="35"/>
      <c r="J5976" s="41"/>
    </row>
    <row r="5977" spans="5:10" s="34" customFormat="1" x14ac:dyDescent="0.35">
      <c r="E5977" s="35"/>
      <c r="J5977" s="41"/>
    </row>
    <row r="5978" spans="5:10" s="34" customFormat="1" x14ac:dyDescent="0.35">
      <c r="E5978" s="35"/>
      <c r="J5978" s="41"/>
    </row>
    <row r="5979" spans="5:10" s="34" customFormat="1" x14ac:dyDescent="0.35">
      <c r="E5979" s="35"/>
      <c r="J5979" s="41"/>
    </row>
    <row r="5980" spans="5:10" s="34" customFormat="1" x14ac:dyDescent="0.35">
      <c r="E5980" s="35"/>
      <c r="J5980" s="41"/>
    </row>
    <row r="5981" spans="5:10" s="34" customFormat="1" x14ac:dyDescent="0.35">
      <c r="E5981" s="35"/>
      <c r="J5981" s="41"/>
    </row>
    <row r="5982" spans="5:10" s="34" customFormat="1" x14ac:dyDescent="0.35">
      <c r="E5982" s="35"/>
      <c r="J5982" s="41"/>
    </row>
    <row r="5983" spans="5:10" s="34" customFormat="1" x14ac:dyDescent="0.35">
      <c r="E5983" s="35"/>
      <c r="J5983" s="41"/>
    </row>
    <row r="5984" spans="5:10" s="34" customFormat="1" x14ac:dyDescent="0.35">
      <c r="E5984" s="35"/>
      <c r="J5984" s="41"/>
    </row>
    <row r="5985" spans="5:10" s="34" customFormat="1" x14ac:dyDescent="0.35">
      <c r="E5985" s="35"/>
      <c r="J5985" s="41"/>
    </row>
    <row r="5986" spans="5:10" s="34" customFormat="1" x14ac:dyDescent="0.35">
      <c r="E5986" s="35"/>
      <c r="J5986" s="41"/>
    </row>
    <row r="5987" spans="5:10" s="34" customFormat="1" x14ac:dyDescent="0.35">
      <c r="E5987" s="35"/>
      <c r="J5987" s="41"/>
    </row>
    <row r="5988" spans="5:10" s="34" customFormat="1" x14ac:dyDescent="0.35">
      <c r="E5988" s="35"/>
      <c r="J5988" s="41"/>
    </row>
    <row r="5989" spans="5:10" s="34" customFormat="1" x14ac:dyDescent="0.35">
      <c r="E5989" s="35"/>
      <c r="J5989" s="41"/>
    </row>
    <row r="5990" spans="5:10" s="34" customFormat="1" x14ac:dyDescent="0.35">
      <c r="E5990" s="35"/>
      <c r="J5990" s="41"/>
    </row>
    <row r="5991" spans="5:10" s="34" customFormat="1" x14ac:dyDescent="0.35">
      <c r="E5991" s="35"/>
      <c r="J5991" s="41"/>
    </row>
    <row r="5992" spans="5:10" s="34" customFormat="1" x14ac:dyDescent="0.35">
      <c r="E5992" s="35"/>
      <c r="J5992" s="41"/>
    </row>
    <row r="5993" spans="5:10" s="34" customFormat="1" x14ac:dyDescent="0.35">
      <c r="E5993" s="35"/>
      <c r="J5993" s="41"/>
    </row>
    <row r="5994" spans="5:10" s="34" customFormat="1" x14ac:dyDescent="0.35">
      <c r="E5994" s="35"/>
      <c r="J5994" s="41"/>
    </row>
    <row r="5995" spans="5:10" s="34" customFormat="1" x14ac:dyDescent="0.35">
      <c r="E5995" s="35"/>
      <c r="J5995" s="41"/>
    </row>
    <row r="5996" spans="5:10" s="34" customFormat="1" x14ac:dyDescent="0.35">
      <c r="E5996" s="35"/>
      <c r="J5996" s="41"/>
    </row>
    <row r="5997" spans="5:10" s="34" customFormat="1" x14ac:dyDescent="0.35">
      <c r="E5997" s="35"/>
      <c r="J5997" s="41"/>
    </row>
    <row r="5998" spans="5:10" s="34" customFormat="1" x14ac:dyDescent="0.35">
      <c r="E5998" s="35"/>
      <c r="J5998" s="41"/>
    </row>
    <row r="5999" spans="5:10" s="34" customFormat="1" x14ac:dyDescent="0.35">
      <c r="E5999" s="35"/>
      <c r="J5999" s="41"/>
    </row>
    <row r="6000" spans="5:10" s="34" customFormat="1" x14ac:dyDescent="0.35">
      <c r="E6000" s="35"/>
      <c r="J6000" s="41"/>
    </row>
    <row r="6001" spans="5:10" s="34" customFormat="1" x14ac:dyDescent="0.35">
      <c r="E6001" s="35"/>
      <c r="J6001" s="41"/>
    </row>
    <row r="6002" spans="5:10" s="34" customFormat="1" x14ac:dyDescent="0.35">
      <c r="E6002" s="35"/>
      <c r="J6002" s="41"/>
    </row>
    <row r="6003" spans="5:10" s="34" customFormat="1" x14ac:dyDescent="0.35">
      <c r="E6003" s="35"/>
      <c r="J6003" s="41"/>
    </row>
    <row r="6004" spans="5:10" s="34" customFormat="1" x14ac:dyDescent="0.35">
      <c r="E6004" s="35"/>
      <c r="J6004" s="41"/>
    </row>
    <row r="6005" spans="5:10" s="34" customFormat="1" x14ac:dyDescent="0.35">
      <c r="E6005" s="35"/>
      <c r="J6005" s="41"/>
    </row>
    <row r="6006" spans="5:10" s="34" customFormat="1" x14ac:dyDescent="0.35">
      <c r="E6006" s="35"/>
      <c r="J6006" s="41"/>
    </row>
    <row r="6007" spans="5:10" s="34" customFormat="1" x14ac:dyDescent="0.35">
      <c r="E6007" s="35"/>
      <c r="J6007" s="41"/>
    </row>
    <row r="6008" spans="5:10" s="34" customFormat="1" x14ac:dyDescent="0.35">
      <c r="E6008" s="35"/>
      <c r="J6008" s="41"/>
    </row>
    <row r="6009" spans="5:10" s="34" customFormat="1" x14ac:dyDescent="0.35">
      <c r="E6009" s="35"/>
      <c r="J6009" s="41"/>
    </row>
    <row r="6010" spans="5:10" s="34" customFormat="1" x14ac:dyDescent="0.35">
      <c r="E6010" s="35"/>
      <c r="J6010" s="41"/>
    </row>
    <row r="6011" spans="5:10" s="34" customFormat="1" x14ac:dyDescent="0.35">
      <c r="E6011" s="35"/>
      <c r="J6011" s="41"/>
    </row>
    <row r="6012" spans="5:10" s="34" customFormat="1" x14ac:dyDescent="0.35">
      <c r="E6012" s="35"/>
      <c r="J6012" s="41"/>
    </row>
    <row r="6013" spans="5:10" s="34" customFormat="1" x14ac:dyDescent="0.35">
      <c r="E6013" s="35"/>
      <c r="J6013" s="41"/>
    </row>
    <row r="6014" spans="5:10" s="34" customFormat="1" x14ac:dyDescent="0.35">
      <c r="E6014" s="35"/>
      <c r="J6014" s="41"/>
    </row>
    <row r="6015" spans="5:10" s="34" customFormat="1" x14ac:dyDescent="0.35">
      <c r="E6015" s="35"/>
      <c r="J6015" s="41"/>
    </row>
    <row r="6016" spans="5:10" s="34" customFormat="1" x14ac:dyDescent="0.35">
      <c r="E6016" s="35"/>
      <c r="J6016" s="41"/>
    </row>
    <row r="6017" spans="5:10" s="34" customFormat="1" x14ac:dyDescent="0.35">
      <c r="E6017" s="35"/>
      <c r="J6017" s="41"/>
    </row>
    <row r="6018" spans="5:10" s="34" customFormat="1" x14ac:dyDescent="0.35">
      <c r="E6018" s="35"/>
      <c r="J6018" s="41"/>
    </row>
    <row r="6019" spans="5:10" s="34" customFormat="1" x14ac:dyDescent="0.35">
      <c r="E6019" s="35"/>
      <c r="J6019" s="41"/>
    </row>
    <row r="6020" spans="5:10" s="34" customFormat="1" x14ac:dyDescent="0.35">
      <c r="E6020" s="35"/>
      <c r="J6020" s="41"/>
    </row>
    <row r="6021" spans="5:10" s="34" customFormat="1" x14ac:dyDescent="0.35">
      <c r="E6021" s="35"/>
      <c r="J6021" s="41"/>
    </row>
    <row r="6022" spans="5:10" s="34" customFormat="1" x14ac:dyDescent="0.35">
      <c r="E6022" s="35"/>
      <c r="J6022" s="41"/>
    </row>
    <row r="6023" spans="5:10" s="34" customFormat="1" x14ac:dyDescent="0.35">
      <c r="E6023" s="35"/>
      <c r="J6023" s="41"/>
    </row>
    <row r="6024" spans="5:10" s="34" customFormat="1" x14ac:dyDescent="0.35">
      <c r="E6024" s="35"/>
      <c r="J6024" s="41"/>
    </row>
    <row r="6025" spans="5:10" s="34" customFormat="1" x14ac:dyDescent="0.35">
      <c r="E6025" s="35"/>
      <c r="J6025" s="41"/>
    </row>
    <row r="6026" spans="5:10" s="34" customFormat="1" x14ac:dyDescent="0.35">
      <c r="E6026" s="35"/>
      <c r="J6026" s="41"/>
    </row>
    <row r="6027" spans="5:10" s="34" customFormat="1" x14ac:dyDescent="0.35">
      <c r="E6027" s="35"/>
      <c r="J6027" s="41"/>
    </row>
    <row r="6028" spans="5:10" s="34" customFormat="1" x14ac:dyDescent="0.35">
      <c r="E6028" s="35"/>
      <c r="J6028" s="41"/>
    </row>
    <row r="6029" spans="5:10" s="34" customFormat="1" x14ac:dyDescent="0.35">
      <c r="E6029" s="35"/>
      <c r="J6029" s="41"/>
    </row>
    <row r="6030" spans="5:10" s="34" customFormat="1" x14ac:dyDescent="0.35">
      <c r="E6030" s="35"/>
      <c r="J6030" s="41"/>
    </row>
    <row r="6031" spans="5:10" s="34" customFormat="1" x14ac:dyDescent="0.35">
      <c r="E6031" s="35"/>
      <c r="J6031" s="41"/>
    </row>
    <row r="6032" spans="5:10" s="34" customFormat="1" x14ac:dyDescent="0.35">
      <c r="E6032" s="35"/>
      <c r="J6032" s="41"/>
    </row>
    <row r="6033" spans="5:10" s="34" customFormat="1" x14ac:dyDescent="0.35">
      <c r="E6033" s="35"/>
      <c r="J6033" s="41"/>
    </row>
    <row r="6034" spans="5:10" s="34" customFormat="1" x14ac:dyDescent="0.35">
      <c r="E6034" s="35"/>
      <c r="J6034" s="41"/>
    </row>
    <row r="6035" spans="5:10" s="34" customFormat="1" x14ac:dyDescent="0.35">
      <c r="E6035" s="35"/>
      <c r="J6035" s="41"/>
    </row>
    <row r="6036" spans="5:10" s="34" customFormat="1" x14ac:dyDescent="0.35">
      <c r="E6036" s="35"/>
      <c r="J6036" s="41"/>
    </row>
    <row r="6037" spans="5:10" s="34" customFormat="1" x14ac:dyDescent="0.35">
      <c r="E6037" s="35"/>
      <c r="J6037" s="41"/>
    </row>
    <row r="6038" spans="5:10" s="34" customFormat="1" x14ac:dyDescent="0.35">
      <c r="E6038" s="35"/>
      <c r="J6038" s="41"/>
    </row>
    <row r="6039" spans="5:10" s="34" customFormat="1" x14ac:dyDescent="0.35">
      <c r="E6039" s="35"/>
      <c r="J6039" s="41"/>
    </row>
    <row r="6040" spans="5:10" s="34" customFormat="1" x14ac:dyDescent="0.35">
      <c r="E6040" s="35"/>
      <c r="J6040" s="41"/>
    </row>
    <row r="6041" spans="5:10" s="34" customFormat="1" x14ac:dyDescent="0.35">
      <c r="E6041" s="35"/>
      <c r="J6041" s="41"/>
    </row>
    <row r="6042" spans="5:10" s="34" customFormat="1" x14ac:dyDescent="0.35">
      <c r="E6042" s="35"/>
      <c r="J6042" s="41"/>
    </row>
    <row r="6043" spans="5:10" s="34" customFormat="1" x14ac:dyDescent="0.35">
      <c r="E6043" s="35"/>
      <c r="J6043" s="41"/>
    </row>
    <row r="6044" spans="5:10" s="34" customFormat="1" x14ac:dyDescent="0.35">
      <c r="E6044" s="35"/>
      <c r="J6044" s="41"/>
    </row>
    <row r="6045" spans="5:10" s="34" customFormat="1" x14ac:dyDescent="0.35">
      <c r="E6045" s="35"/>
      <c r="J6045" s="41"/>
    </row>
    <row r="6046" spans="5:10" s="34" customFormat="1" x14ac:dyDescent="0.35">
      <c r="E6046" s="35"/>
      <c r="J6046" s="41"/>
    </row>
    <row r="6047" spans="5:10" s="34" customFormat="1" x14ac:dyDescent="0.35">
      <c r="E6047" s="35"/>
      <c r="J6047" s="41"/>
    </row>
    <row r="6048" spans="5:10" s="34" customFormat="1" x14ac:dyDescent="0.35">
      <c r="E6048" s="35"/>
      <c r="J6048" s="41"/>
    </row>
    <row r="6049" spans="5:10" s="34" customFormat="1" x14ac:dyDescent="0.35">
      <c r="E6049" s="35"/>
      <c r="J6049" s="41"/>
    </row>
    <row r="6050" spans="5:10" s="34" customFormat="1" x14ac:dyDescent="0.35">
      <c r="E6050" s="35"/>
      <c r="J6050" s="41"/>
    </row>
    <row r="6051" spans="5:10" s="34" customFormat="1" x14ac:dyDescent="0.35">
      <c r="E6051" s="35"/>
      <c r="J6051" s="41"/>
    </row>
    <row r="6052" spans="5:10" s="34" customFormat="1" x14ac:dyDescent="0.35">
      <c r="E6052" s="35"/>
      <c r="J6052" s="41"/>
    </row>
    <row r="6053" spans="5:10" s="34" customFormat="1" x14ac:dyDescent="0.35">
      <c r="E6053" s="35"/>
      <c r="J6053" s="41"/>
    </row>
    <row r="6054" spans="5:10" s="34" customFormat="1" x14ac:dyDescent="0.35">
      <c r="E6054" s="35"/>
      <c r="J6054" s="41"/>
    </row>
    <row r="6055" spans="5:10" s="34" customFormat="1" x14ac:dyDescent="0.35">
      <c r="E6055" s="35"/>
      <c r="J6055" s="41"/>
    </row>
    <row r="6056" spans="5:10" s="34" customFormat="1" x14ac:dyDescent="0.35">
      <c r="E6056" s="35"/>
      <c r="J6056" s="41"/>
    </row>
    <row r="6057" spans="5:10" s="34" customFormat="1" x14ac:dyDescent="0.35">
      <c r="E6057" s="35"/>
      <c r="J6057" s="41"/>
    </row>
    <row r="6058" spans="5:10" s="34" customFormat="1" x14ac:dyDescent="0.35">
      <c r="E6058" s="35"/>
      <c r="J6058" s="41"/>
    </row>
    <row r="6059" spans="5:10" s="34" customFormat="1" x14ac:dyDescent="0.35">
      <c r="E6059" s="35"/>
      <c r="J6059" s="41"/>
    </row>
    <row r="6060" spans="5:10" s="34" customFormat="1" x14ac:dyDescent="0.35">
      <c r="E6060" s="35"/>
      <c r="J6060" s="41"/>
    </row>
    <row r="6061" spans="5:10" s="34" customFormat="1" x14ac:dyDescent="0.35">
      <c r="E6061" s="35"/>
      <c r="J6061" s="41"/>
    </row>
    <row r="6062" spans="5:10" s="34" customFormat="1" x14ac:dyDescent="0.35">
      <c r="E6062" s="35"/>
      <c r="J6062" s="41"/>
    </row>
    <row r="6063" spans="5:10" s="34" customFormat="1" x14ac:dyDescent="0.35">
      <c r="E6063" s="35"/>
      <c r="J6063" s="41"/>
    </row>
    <row r="6064" spans="5:10" s="34" customFormat="1" x14ac:dyDescent="0.35">
      <c r="E6064" s="35"/>
      <c r="J6064" s="41"/>
    </row>
    <row r="6065" spans="5:10" s="34" customFormat="1" x14ac:dyDescent="0.35">
      <c r="E6065" s="35"/>
      <c r="J6065" s="41"/>
    </row>
    <row r="6066" spans="5:10" s="34" customFormat="1" x14ac:dyDescent="0.35">
      <c r="E6066" s="35"/>
      <c r="J6066" s="41"/>
    </row>
    <row r="6067" spans="5:10" s="34" customFormat="1" x14ac:dyDescent="0.35">
      <c r="E6067" s="35"/>
      <c r="J6067" s="41"/>
    </row>
    <row r="6068" spans="5:10" s="34" customFormat="1" x14ac:dyDescent="0.35">
      <c r="E6068" s="35"/>
      <c r="J6068" s="41"/>
    </row>
    <row r="6069" spans="5:10" s="34" customFormat="1" x14ac:dyDescent="0.35">
      <c r="E6069" s="35"/>
      <c r="J6069" s="41"/>
    </row>
    <row r="6070" spans="5:10" s="34" customFormat="1" x14ac:dyDescent="0.35">
      <c r="E6070" s="35"/>
      <c r="J6070" s="41"/>
    </row>
    <row r="6071" spans="5:10" s="34" customFormat="1" x14ac:dyDescent="0.35">
      <c r="E6071" s="35"/>
      <c r="J6071" s="41"/>
    </row>
    <row r="6072" spans="5:10" s="34" customFormat="1" x14ac:dyDescent="0.35">
      <c r="E6072" s="35"/>
      <c r="J6072" s="41"/>
    </row>
    <row r="6073" spans="5:10" s="34" customFormat="1" x14ac:dyDescent="0.35">
      <c r="E6073" s="35"/>
      <c r="J6073" s="41"/>
    </row>
    <row r="6074" spans="5:10" s="34" customFormat="1" x14ac:dyDescent="0.35">
      <c r="E6074" s="35"/>
      <c r="J6074" s="41"/>
    </row>
    <row r="6075" spans="5:10" s="34" customFormat="1" x14ac:dyDescent="0.35">
      <c r="E6075" s="35"/>
      <c r="J6075" s="41"/>
    </row>
    <row r="6076" spans="5:10" s="34" customFormat="1" x14ac:dyDescent="0.35">
      <c r="E6076" s="35"/>
      <c r="J6076" s="41"/>
    </row>
    <row r="6077" spans="5:10" s="34" customFormat="1" x14ac:dyDescent="0.35">
      <c r="E6077" s="35"/>
      <c r="J6077" s="41"/>
    </row>
    <row r="6078" spans="5:10" s="34" customFormat="1" x14ac:dyDescent="0.35">
      <c r="E6078" s="35"/>
      <c r="J6078" s="41"/>
    </row>
    <row r="6079" spans="5:10" s="34" customFormat="1" x14ac:dyDescent="0.35">
      <c r="E6079" s="35"/>
      <c r="J6079" s="41"/>
    </row>
    <row r="6080" spans="5:10" s="34" customFormat="1" x14ac:dyDescent="0.35">
      <c r="E6080" s="35"/>
      <c r="J6080" s="41"/>
    </row>
    <row r="6081" spans="5:10" s="34" customFormat="1" x14ac:dyDescent="0.35">
      <c r="E6081" s="35"/>
      <c r="J6081" s="41"/>
    </row>
    <row r="6082" spans="5:10" s="34" customFormat="1" x14ac:dyDescent="0.35">
      <c r="E6082" s="35"/>
      <c r="J6082" s="41"/>
    </row>
    <row r="6083" spans="5:10" s="34" customFormat="1" x14ac:dyDescent="0.35">
      <c r="E6083" s="35"/>
      <c r="J6083" s="41"/>
    </row>
    <row r="6084" spans="5:10" s="34" customFormat="1" x14ac:dyDescent="0.35">
      <c r="E6084" s="35"/>
      <c r="J6084" s="41"/>
    </row>
    <row r="6085" spans="5:10" s="34" customFormat="1" x14ac:dyDescent="0.35">
      <c r="E6085" s="35"/>
      <c r="J6085" s="41"/>
    </row>
    <row r="6086" spans="5:10" s="34" customFormat="1" x14ac:dyDescent="0.35">
      <c r="E6086" s="35"/>
      <c r="J6086" s="41"/>
    </row>
    <row r="6087" spans="5:10" s="34" customFormat="1" x14ac:dyDescent="0.35">
      <c r="E6087" s="35"/>
      <c r="J6087" s="41"/>
    </row>
    <row r="6088" spans="5:10" s="34" customFormat="1" x14ac:dyDescent="0.35">
      <c r="E6088" s="35"/>
      <c r="J6088" s="41"/>
    </row>
    <row r="6089" spans="5:10" s="34" customFormat="1" x14ac:dyDescent="0.35">
      <c r="E6089" s="35"/>
      <c r="J6089" s="41"/>
    </row>
    <row r="6090" spans="5:10" s="34" customFormat="1" x14ac:dyDescent="0.35">
      <c r="E6090" s="35"/>
      <c r="J6090" s="41"/>
    </row>
    <row r="6091" spans="5:10" s="34" customFormat="1" x14ac:dyDescent="0.35">
      <c r="E6091" s="35"/>
      <c r="J6091" s="41"/>
    </row>
    <row r="6092" spans="5:10" s="34" customFormat="1" x14ac:dyDescent="0.35">
      <c r="E6092" s="35"/>
      <c r="J6092" s="41"/>
    </row>
    <row r="6093" spans="5:10" s="34" customFormat="1" x14ac:dyDescent="0.35">
      <c r="E6093" s="35"/>
      <c r="J6093" s="41"/>
    </row>
    <row r="6094" spans="5:10" s="34" customFormat="1" x14ac:dyDescent="0.35">
      <c r="E6094" s="35"/>
      <c r="J6094" s="41"/>
    </row>
    <row r="6095" spans="5:10" s="34" customFormat="1" x14ac:dyDescent="0.35">
      <c r="E6095" s="35"/>
      <c r="J6095" s="41"/>
    </row>
    <row r="6096" spans="5:10" s="34" customFormat="1" x14ac:dyDescent="0.35">
      <c r="E6096" s="35"/>
      <c r="J6096" s="41"/>
    </row>
    <row r="6097" spans="5:10" s="34" customFormat="1" x14ac:dyDescent="0.35">
      <c r="E6097" s="35"/>
      <c r="J6097" s="41"/>
    </row>
    <row r="6098" spans="5:10" s="34" customFormat="1" x14ac:dyDescent="0.35">
      <c r="E6098" s="35"/>
      <c r="J6098" s="41"/>
    </row>
    <row r="6099" spans="5:10" s="34" customFormat="1" x14ac:dyDescent="0.35">
      <c r="E6099" s="35"/>
      <c r="J6099" s="41"/>
    </row>
    <row r="6100" spans="5:10" s="34" customFormat="1" x14ac:dyDescent="0.35">
      <c r="E6100" s="35"/>
      <c r="J6100" s="41"/>
    </row>
    <row r="6101" spans="5:10" s="34" customFormat="1" x14ac:dyDescent="0.35">
      <c r="E6101" s="35"/>
      <c r="J6101" s="41"/>
    </row>
    <row r="6102" spans="5:10" s="34" customFormat="1" x14ac:dyDescent="0.35">
      <c r="E6102" s="35"/>
      <c r="J6102" s="41"/>
    </row>
    <row r="6103" spans="5:10" s="34" customFormat="1" x14ac:dyDescent="0.35">
      <c r="E6103" s="35"/>
      <c r="J6103" s="41"/>
    </row>
    <row r="6104" spans="5:10" s="34" customFormat="1" x14ac:dyDescent="0.35">
      <c r="E6104" s="35"/>
      <c r="J6104" s="41"/>
    </row>
    <row r="6105" spans="5:10" s="34" customFormat="1" x14ac:dyDescent="0.35">
      <c r="E6105" s="35"/>
      <c r="J6105" s="41"/>
    </row>
    <row r="6106" spans="5:10" s="34" customFormat="1" x14ac:dyDescent="0.35">
      <c r="E6106" s="35"/>
      <c r="J6106" s="41"/>
    </row>
    <row r="6107" spans="5:10" s="34" customFormat="1" x14ac:dyDescent="0.35">
      <c r="E6107" s="35"/>
      <c r="J6107" s="41"/>
    </row>
    <row r="6108" spans="5:10" s="34" customFormat="1" x14ac:dyDescent="0.35">
      <c r="E6108" s="35"/>
      <c r="J6108" s="41"/>
    </row>
    <row r="6109" spans="5:10" s="34" customFormat="1" x14ac:dyDescent="0.35">
      <c r="E6109" s="35"/>
      <c r="J6109" s="41"/>
    </row>
    <row r="6110" spans="5:10" s="34" customFormat="1" x14ac:dyDescent="0.35">
      <c r="E6110" s="35"/>
      <c r="J6110" s="41"/>
    </row>
    <row r="6111" spans="5:10" s="34" customFormat="1" x14ac:dyDescent="0.35">
      <c r="E6111" s="35"/>
      <c r="J6111" s="41"/>
    </row>
    <row r="6112" spans="5:10" s="34" customFormat="1" x14ac:dyDescent="0.35">
      <c r="E6112" s="35"/>
      <c r="J6112" s="41"/>
    </row>
    <row r="6113" spans="5:10" s="34" customFormat="1" x14ac:dyDescent="0.35">
      <c r="E6113" s="35"/>
      <c r="J6113" s="41"/>
    </row>
    <row r="6114" spans="5:10" s="34" customFormat="1" x14ac:dyDescent="0.35">
      <c r="E6114" s="35"/>
      <c r="J6114" s="41"/>
    </row>
    <row r="6115" spans="5:10" s="34" customFormat="1" x14ac:dyDescent="0.35">
      <c r="E6115" s="35"/>
      <c r="J6115" s="41"/>
    </row>
    <row r="6116" spans="5:10" s="34" customFormat="1" x14ac:dyDescent="0.35">
      <c r="E6116" s="35"/>
      <c r="J6116" s="41"/>
    </row>
    <row r="6117" spans="5:10" s="34" customFormat="1" x14ac:dyDescent="0.35">
      <c r="E6117" s="35"/>
      <c r="J6117" s="41"/>
    </row>
    <row r="6118" spans="5:10" s="34" customFormat="1" x14ac:dyDescent="0.35">
      <c r="E6118" s="35"/>
      <c r="J6118" s="41"/>
    </row>
    <row r="6119" spans="5:10" s="34" customFormat="1" x14ac:dyDescent="0.35">
      <c r="E6119" s="35"/>
      <c r="J6119" s="41"/>
    </row>
    <row r="6120" spans="5:10" s="34" customFormat="1" x14ac:dyDescent="0.35">
      <c r="E6120" s="35"/>
      <c r="J6120" s="41"/>
    </row>
    <row r="6121" spans="5:10" s="34" customFormat="1" x14ac:dyDescent="0.35">
      <c r="E6121" s="35"/>
      <c r="J6121" s="41"/>
    </row>
    <row r="6122" spans="5:10" s="34" customFormat="1" x14ac:dyDescent="0.35">
      <c r="E6122" s="35"/>
      <c r="J6122" s="41"/>
    </row>
    <row r="6123" spans="5:10" s="34" customFormat="1" x14ac:dyDescent="0.35">
      <c r="E6123" s="35"/>
      <c r="J6123" s="41"/>
    </row>
    <row r="6124" spans="5:10" s="34" customFormat="1" x14ac:dyDescent="0.35">
      <c r="E6124" s="35"/>
      <c r="J6124" s="41"/>
    </row>
    <row r="6125" spans="5:10" s="34" customFormat="1" x14ac:dyDescent="0.35">
      <c r="E6125" s="35"/>
      <c r="J6125" s="41"/>
    </row>
    <row r="6126" spans="5:10" s="34" customFormat="1" x14ac:dyDescent="0.35">
      <c r="E6126" s="35"/>
      <c r="J6126" s="41"/>
    </row>
    <row r="6127" spans="5:10" s="34" customFormat="1" x14ac:dyDescent="0.35">
      <c r="E6127" s="35"/>
      <c r="J6127" s="41"/>
    </row>
    <row r="6128" spans="5:10" s="34" customFormat="1" x14ac:dyDescent="0.35">
      <c r="E6128" s="35"/>
      <c r="J6128" s="41"/>
    </row>
    <row r="6129" spans="5:10" s="34" customFormat="1" x14ac:dyDescent="0.35">
      <c r="E6129" s="35"/>
      <c r="J6129" s="41"/>
    </row>
    <row r="6130" spans="5:10" s="34" customFormat="1" x14ac:dyDescent="0.35">
      <c r="E6130" s="35"/>
      <c r="J6130" s="41"/>
    </row>
    <row r="6131" spans="5:10" s="34" customFormat="1" x14ac:dyDescent="0.35">
      <c r="E6131" s="35"/>
      <c r="J6131" s="41"/>
    </row>
    <row r="6132" spans="5:10" s="34" customFormat="1" x14ac:dyDescent="0.35">
      <c r="E6132" s="35"/>
      <c r="J6132" s="41"/>
    </row>
    <row r="6133" spans="5:10" s="34" customFormat="1" x14ac:dyDescent="0.35">
      <c r="E6133" s="35"/>
      <c r="J6133" s="41"/>
    </row>
    <row r="6134" spans="5:10" s="34" customFormat="1" x14ac:dyDescent="0.35">
      <c r="E6134" s="35"/>
      <c r="J6134" s="41"/>
    </row>
    <row r="6135" spans="5:10" s="34" customFormat="1" x14ac:dyDescent="0.35">
      <c r="E6135" s="35"/>
      <c r="J6135" s="41"/>
    </row>
    <row r="6136" spans="5:10" s="34" customFormat="1" x14ac:dyDescent="0.35">
      <c r="E6136" s="35"/>
      <c r="J6136" s="41"/>
    </row>
    <row r="6137" spans="5:10" s="34" customFormat="1" x14ac:dyDescent="0.35">
      <c r="E6137" s="35"/>
      <c r="J6137" s="41"/>
    </row>
    <row r="6138" spans="5:10" s="34" customFormat="1" x14ac:dyDescent="0.35">
      <c r="E6138" s="35"/>
      <c r="J6138" s="41"/>
    </row>
    <row r="6139" spans="5:10" s="34" customFormat="1" x14ac:dyDescent="0.35">
      <c r="E6139" s="35"/>
      <c r="J6139" s="41"/>
    </row>
    <row r="6140" spans="5:10" s="34" customFormat="1" x14ac:dyDescent="0.35">
      <c r="E6140" s="35"/>
      <c r="J6140" s="41"/>
    </row>
    <row r="6141" spans="5:10" s="34" customFormat="1" x14ac:dyDescent="0.35">
      <c r="E6141" s="35"/>
      <c r="J6141" s="41"/>
    </row>
    <row r="6142" spans="5:10" s="34" customFormat="1" x14ac:dyDescent="0.35">
      <c r="E6142" s="35"/>
      <c r="J6142" s="41"/>
    </row>
    <row r="6143" spans="5:10" s="34" customFormat="1" x14ac:dyDescent="0.35">
      <c r="E6143" s="35"/>
      <c r="J6143" s="41"/>
    </row>
    <row r="6144" spans="5:10" s="34" customFormat="1" x14ac:dyDescent="0.35">
      <c r="E6144" s="35"/>
      <c r="J6144" s="41"/>
    </row>
    <row r="6145" spans="5:10" s="34" customFormat="1" x14ac:dyDescent="0.35">
      <c r="E6145" s="35"/>
      <c r="J6145" s="41"/>
    </row>
    <row r="6146" spans="5:10" s="34" customFormat="1" x14ac:dyDescent="0.35">
      <c r="E6146" s="35"/>
      <c r="J6146" s="41"/>
    </row>
    <row r="6147" spans="5:10" s="34" customFormat="1" x14ac:dyDescent="0.35">
      <c r="E6147" s="35"/>
      <c r="J6147" s="41"/>
    </row>
    <row r="6148" spans="5:10" s="34" customFormat="1" x14ac:dyDescent="0.35">
      <c r="E6148" s="35"/>
      <c r="J6148" s="41"/>
    </row>
    <row r="6149" spans="5:10" s="34" customFormat="1" x14ac:dyDescent="0.35">
      <c r="E6149" s="35"/>
      <c r="J6149" s="41"/>
    </row>
    <row r="6150" spans="5:10" s="34" customFormat="1" x14ac:dyDescent="0.35">
      <c r="E6150" s="35"/>
      <c r="J6150" s="41"/>
    </row>
    <row r="6151" spans="5:10" s="34" customFormat="1" x14ac:dyDescent="0.35">
      <c r="E6151" s="35"/>
      <c r="J6151" s="41"/>
    </row>
    <row r="6152" spans="5:10" s="34" customFormat="1" x14ac:dyDescent="0.35">
      <c r="E6152" s="35"/>
      <c r="J6152" s="41"/>
    </row>
    <row r="6153" spans="5:10" s="34" customFormat="1" x14ac:dyDescent="0.35">
      <c r="E6153" s="35"/>
      <c r="J6153" s="41"/>
    </row>
    <row r="6154" spans="5:10" s="34" customFormat="1" x14ac:dyDescent="0.35">
      <c r="E6154" s="35"/>
      <c r="J6154" s="41"/>
    </row>
    <row r="6155" spans="5:10" s="34" customFormat="1" x14ac:dyDescent="0.35">
      <c r="E6155" s="35"/>
      <c r="J6155" s="41"/>
    </row>
    <row r="6156" spans="5:10" s="34" customFormat="1" x14ac:dyDescent="0.35">
      <c r="E6156" s="35"/>
      <c r="J6156" s="41"/>
    </row>
    <row r="6157" spans="5:10" s="34" customFormat="1" x14ac:dyDescent="0.35">
      <c r="E6157" s="35"/>
      <c r="J6157" s="41"/>
    </row>
    <row r="6158" spans="5:10" s="34" customFormat="1" x14ac:dyDescent="0.35">
      <c r="E6158" s="35"/>
      <c r="J6158" s="41"/>
    </row>
    <row r="6159" spans="5:10" s="34" customFormat="1" x14ac:dyDescent="0.35">
      <c r="E6159" s="35"/>
      <c r="J6159" s="41"/>
    </row>
    <row r="6160" spans="5:10" s="34" customFormat="1" x14ac:dyDescent="0.35">
      <c r="E6160" s="35"/>
      <c r="J6160" s="41"/>
    </row>
    <row r="6161" spans="5:10" s="34" customFormat="1" x14ac:dyDescent="0.35">
      <c r="E6161" s="35"/>
      <c r="J6161" s="41"/>
    </row>
    <row r="6162" spans="5:10" s="34" customFormat="1" x14ac:dyDescent="0.35">
      <c r="E6162" s="35"/>
      <c r="J6162" s="41"/>
    </row>
    <row r="6163" spans="5:10" s="34" customFormat="1" x14ac:dyDescent="0.35">
      <c r="E6163" s="35"/>
      <c r="J6163" s="41"/>
    </row>
    <row r="6164" spans="5:10" s="34" customFormat="1" x14ac:dyDescent="0.35">
      <c r="E6164" s="35"/>
      <c r="J6164" s="41"/>
    </row>
    <row r="6165" spans="5:10" s="34" customFormat="1" x14ac:dyDescent="0.35">
      <c r="E6165" s="35"/>
      <c r="J6165" s="41"/>
    </row>
    <row r="6166" spans="5:10" s="34" customFormat="1" x14ac:dyDescent="0.35">
      <c r="E6166" s="35"/>
      <c r="J6166" s="41"/>
    </row>
    <row r="6167" spans="5:10" s="34" customFormat="1" x14ac:dyDescent="0.35">
      <c r="E6167" s="35"/>
      <c r="J6167" s="41"/>
    </row>
    <row r="6168" spans="5:10" s="34" customFormat="1" x14ac:dyDescent="0.35">
      <c r="E6168" s="35"/>
      <c r="J6168" s="41"/>
    </row>
    <row r="6169" spans="5:10" s="34" customFormat="1" x14ac:dyDescent="0.35">
      <c r="E6169" s="35"/>
      <c r="J6169" s="41"/>
    </row>
    <row r="6170" spans="5:10" s="34" customFormat="1" x14ac:dyDescent="0.35">
      <c r="E6170" s="35"/>
      <c r="J6170" s="41"/>
    </row>
    <row r="6171" spans="5:10" s="34" customFormat="1" x14ac:dyDescent="0.35">
      <c r="E6171" s="35"/>
      <c r="J6171" s="41"/>
    </row>
    <row r="6172" spans="5:10" s="34" customFormat="1" x14ac:dyDescent="0.35">
      <c r="E6172" s="35"/>
      <c r="J6172" s="41"/>
    </row>
    <row r="6173" spans="5:10" s="34" customFormat="1" x14ac:dyDescent="0.35">
      <c r="E6173" s="35"/>
      <c r="J6173" s="41"/>
    </row>
    <row r="6174" spans="5:10" s="34" customFormat="1" x14ac:dyDescent="0.35">
      <c r="E6174" s="35"/>
      <c r="J6174" s="41"/>
    </row>
    <row r="6175" spans="5:10" s="34" customFormat="1" x14ac:dyDescent="0.35">
      <c r="E6175" s="35"/>
      <c r="J6175" s="41"/>
    </row>
    <row r="6176" spans="5:10" s="34" customFormat="1" x14ac:dyDescent="0.35">
      <c r="E6176" s="35"/>
      <c r="J6176" s="41"/>
    </row>
    <row r="6177" spans="5:10" s="34" customFormat="1" x14ac:dyDescent="0.35">
      <c r="E6177" s="35"/>
      <c r="J6177" s="41"/>
    </row>
    <row r="6178" spans="5:10" s="34" customFormat="1" x14ac:dyDescent="0.35">
      <c r="E6178" s="35"/>
      <c r="J6178" s="41"/>
    </row>
    <row r="6179" spans="5:10" s="34" customFormat="1" x14ac:dyDescent="0.35">
      <c r="E6179" s="35"/>
      <c r="J6179" s="41"/>
    </row>
    <row r="6180" spans="5:10" s="34" customFormat="1" x14ac:dyDescent="0.35">
      <c r="E6180" s="35"/>
      <c r="J6180" s="41"/>
    </row>
    <row r="6181" spans="5:10" s="34" customFormat="1" x14ac:dyDescent="0.35">
      <c r="E6181" s="35"/>
      <c r="J6181" s="41"/>
    </row>
    <row r="6182" spans="5:10" s="34" customFormat="1" x14ac:dyDescent="0.35">
      <c r="E6182" s="35"/>
      <c r="J6182" s="41"/>
    </row>
    <row r="6183" spans="5:10" s="34" customFormat="1" x14ac:dyDescent="0.35">
      <c r="E6183" s="35"/>
      <c r="J6183" s="41"/>
    </row>
    <row r="6184" spans="5:10" s="34" customFormat="1" x14ac:dyDescent="0.35">
      <c r="E6184" s="35"/>
      <c r="J6184" s="41"/>
    </row>
    <row r="6185" spans="5:10" s="34" customFormat="1" x14ac:dyDescent="0.35">
      <c r="E6185" s="35"/>
      <c r="J6185" s="41"/>
    </row>
    <row r="6186" spans="5:10" s="34" customFormat="1" x14ac:dyDescent="0.35">
      <c r="E6186" s="35"/>
      <c r="J6186" s="41"/>
    </row>
    <row r="6187" spans="5:10" s="34" customFormat="1" x14ac:dyDescent="0.35">
      <c r="E6187" s="35"/>
      <c r="J6187" s="41"/>
    </row>
    <row r="6188" spans="5:10" s="34" customFormat="1" x14ac:dyDescent="0.35">
      <c r="E6188" s="35"/>
      <c r="J6188" s="41"/>
    </row>
    <row r="6189" spans="5:10" s="34" customFormat="1" x14ac:dyDescent="0.35">
      <c r="E6189" s="35"/>
      <c r="J6189" s="41"/>
    </row>
    <row r="6190" spans="5:10" s="34" customFormat="1" x14ac:dyDescent="0.35">
      <c r="E6190" s="35"/>
      <c r="J6190" s="41"/>
    </row>
    <row r="6191" spans="5:10" s="34" customFormat="1" x14ac:dyDescent="0.35">
      <c r="E6191" s="35"/>
      <c r="J6191" s="41"/>
    </row>
    <row r="6192" spans="5:10" s="34" customFormat="1" x14ac:dyDescent="0.35">
      <c r="E6192" s="35"/>
      <c r="J6192" s="41"/>
    </row>
    <row r="6193" spans="5:10" s="34" customFormat="1" x14ac:dyDescent="0.35">
      <c r="E6193" s="35"/>
      <c r="J6193" s="41"/>
    </row>
    <row r="6194" spans="5:10" s="34" customFormat="1" x14ac:dyDescent="0.35">
      <c r="E6194" s="35"/>
      <c r="J6194" s="41"/>
    </row>
    <row r="6195" spans="5:10" s="34" customFormat="1" x14ac:dyDescent="0.35">
      <c r="E6195" s="35"/>
      <c r="J6195" s="41"/>
    </row>
    <row r="6196" spans="5:10" s="34" customFormat="1" x14ac:dyDescent="0.35">
      <c r="E6196" s="35"/>
      <c r="J6196" s="41"/>
    </row>
    <row r="6197" spans="5:10" s="34" customFormat="1" x14ac:dyDescent="0.35">
      <c r="E6197" s="35"/>
      <c r="J6197" s="41"/>
    </row>
    <row r="6198" spans="5:10" s="34" customFormat="1" x14ac:dyDescent="0.35">
      <c r="E6198" s="35"/>
      <c r="J6198" s="41"/>
    </row>
    <row r="6199" spans="5:10" s="34" customFormat="1" x14ac:dyDescent="0.35">
      <c r="E6199" s="35"/>
      <c r="J6199" s="41"/>
    </row>
    <row r="6200" spans="5:10" s="34" customFormat="1" x14ac:dyDescent="0.35">
      <c r="E6200" s="35"/>
      <c r="J6200" s="41"/>
    </row>
    <row r="6201" spans="5:10" s="34" customFormat="1" x14ac:dyDescent="0.35">
      <c r="E6201" s="35"/>
      <c r="J6201" s="41"/>
    </row>
    <row r="6202" spans="5:10" s="34" customFormat="1" x14ac:dyDescent="0.35">
      <c r="E6202" s="35"/>
      <c r="J6202" s="41"/>
    </row>
    <row r="6203" spans="5:10" s="34" customFormat="1" x14ac:dyDescent="0.35">
      <c r="E6203" s="35"/>
      <c r="J6203" s="41"/>
    </row>
    <row r="6204" spans="5:10" s="34" customFormat="1" x14ac:dyDescent="0.35">
      <c r="E6204" s="35"/>
      <c r="J6204" s="41"/>
    </row>
    <row r="6205" spans="5:10" s="34" customFormat="1" x14ac:dyDescent="0.35">
      <c r="E6205" s="35"/>
      <c r="J6205" s="41"/>
    </row>
    <row r="6206" spans="5:10" s="34" customFormat="1" x14ac:dyDescent="0.35">
      <c r="E6206" s="35"/>
      <c r="J6206" s="41"/>
    </row>
    <row r="6207" spans="5:10" s="34" customFormat="1" x14ac:dyDescent="0.35">
      <c r="E6207" s="35"/>
      <c r="J6207" s="41"/>
    </row>
    <row r="6208" spans="5:10" s="34" customFormat="1" x14ac:dyDescent="0.35">
      <c r="E6208" s="35"/>
      <c r="J6208" s="41"/>
    </row>
    <row r="6209" spans="5:10" s="34" customFormat="1" x14ac:dyDescent="0.35">
      <c r="E6209" s="35"/>
      <c r="J6209" s="41"/>
    </row>
    <row r="6210" spans="5:10" s="34" customFormat="1" x14ac:dyDescent="0.35">
      <c r="E6210" s="35"/>
      <c r="J6210" s="41"/>
    </row>
    <row r="6211" spans="5:10" s="34" customFormat="1" x14ac:dyDescent="0.35">
      <c r="E6211" s="35"/>
      <c r="J6211" s="41"/>
    </row>
    <row r="6212" spans="5:10" s="34" customFormat="1" x14ac:dyDescent="0.35">
      <c r="E6212" s="35"/>
      <c r="J6212" s="41"/>
    </row>
    <row r="6213" spans="5:10" s="34" customFormat="1" x14ac:dyDescent="0.35">
      <c r="E6213" s="35"/>
      <c r="J6213" s="41"/>
    </row>
    <row r="6214" spans="5:10" s="34" customFormat="1" x14ac:dyDescent="0.35">
      <c r="E6214" s="35"/>
      <c r="J6214" s="41"/>
    </row>
    <row r="6215" spans="5:10" s="34" customFormat="1" x14ac:dyDescent="0.35">
      <c r="E6215" s="35"/>
      <c r="J6215" s="41"/>
    </row>
    <row r="6216" spans="5:10" s="34" customFormat="1" x14ac:dyDescent="0.35">
      <c r="E6216" s="35"/>
      <c r="J6216" s="41"/>
    </row>
    <row r="6217" spans="5:10" s="34" customFormat="1" x14ac:dyDescent="0.35">
      <c r="E6217" s="35"/>
      <c r="J6217" s="41"/>
    </row>
    <row r="6218" spans="5:10" s="34" customFormat="1" x14ac:dyDescent="0.35">
      <c r="E6218" s="35"/>
      <c r="J6218" s="41"/>
    </row>
    <row r="6219" spans="5:10" s="34" customFormat="1" x14ac:dyDescent="0.35">
      <c r="E6219" s="35"/>
      <c r="J6219" s="41"/>
    </row>
    <row r="6220" spans="5:10" s="34" customFormat="1" x14ac:dyDescent="0.35">
      <c r="E6220" s="35"/>
      <c r="J6220" s="41"/>
    </row>
    <row r="6221" spans="5:10" s="34" customFormat="1" x14ac:dyDescent="0.35">
      <c r="E6221" s="35"/>
      <c r="J6221" s="41"/>
    </row>
    <row r="6222" spans="5:10" s="34" customFormat="1" x14ac:dyDescent="0.35">
      <c r="E6222" s="35"/>
      <c r="J6222" s="41"/>
    </row>
    <row r="6223" spans="5:10" s="34" customFormat="1" x14ac:dyDescent="0.35">
      <c r="E6223" s="35"/>
      <c r="J6223" s="41"/>
    </row>
    <row r="6224" spans="5:10" s="34" customFormat="1" x14ac:dyDescent="0.35">
      <c r="E6224" s="35"/>
      <c r="J6224" s="41"/>
    </row>
    <row r="6225" spans="5:10" s="34" customFormat="1" x14ac:dyDescent="0.35">
      <c r="E6225" s="35"/>
      <c r="J6225" s="41"/>
    </row>
    <row r="6226" spans="5:10" s="34" customFormat="1" x14ac:dyDescent="0.35">
      <c r="E6226" s="35"/>
      <c r="J6226" s="41"/>
    </row>
    <row r="6227" spans="5:10" s="34" customFormat="1" x14ac:dyDescent="0.35">
      <c r="E6227" s="35"/>
      <c r="J6227" s="41"/>
    </row>
    <row r="6228" spans="5:10" s="34" customFormat="1" x14ac:dyDescent="0.35">
      <c r="E6228" s="35"/>
      <c r="J6228" s="41"/>
    </row>
    <row r="6229" spans="5:10" s="34" customFormat="1" x14ac:dyDescent="0.35">
      <c r="E6229" s="35"/>
      <c r="J6229" s="41"/>
    </row>
    <row r="6230" spans="5:10" s="34" customFormat="1" x14ac:dyDescent="0.35">
      <c r="E6230" s="35"/>
      <c r="J6230" s="41"/>
    </row>
    <row r="6231" spans="5:10" s="34" customFormat="1" x14ac:dyDescent="0.35">
      <c r="E6231" s="35"/>
      <c r="J6231" s="41"/>
    </row>
    <row r="6232" spans="5:10" s="34" customFormat="1" x14ac:dyDescent="0.35">
      <c r="E6232" s="35"/>
      <c r="J6232" s="41"/>
    </row>
    <row r="6233" spans="5:10" s="34" customFormat="1" x14ac:dyDescent="0.35">
      <c r="E6233" s="35"/>
      <c r="J6233" s="41"/>
    </row>
    <row r="6234" spans="5:10" s="34" customFormat="1" x14ac:dyDescent="0.35">
      <c r="E6234" s="35"/>
      <c r="J6234" s="41"/>
    </row>
    <row r="6235" spans="5:10" s="34" customFormat="1" x14ac:dyDescent="0.35">
      <c r="E6235" s="35"/>
      <c r="J6235" s="41"/>
    </row>
    <row r="6236" spans="5:10" s="34" customFormat="1" x14ac:dyDescent="0.35">
      <c r="E6236" s="35"/>
      <c r="J6236" s="41"/>
    </row>
    <row r="6237" spans="5:10" s="34" customFormat="1" x14ac:dyDescent="0.35">
      <c r="E6237" s="35"/>
      <c r="J6237" s="41"/>
    </row>
    <row r="6238" spans="5:10" s="34" customFormat="1" x14ac:dyDescent="0.35">
      <c r="E6238" s="35"/>
      <c r="J6238" s="41"/>
    </row>
    <row r="6239" spans="5:10" s="34" customFormat="1" x14ac:dyDescent="0.35">
      <c r="E6239" s="35"/>
      <c r="J6239" s="41"/>
    </row>
    <row r="6240" spans="5:10" s="34" customFormat="1" x14ac:dyDescent="0.35">
      <c r="E6240" s="35"/>
      <c r="J6240" s="41"/>
    </row>
    <row r="6241" spans="5:10" s="34" customFormat="1" x14ac:dyDescent="0.35">
      <c r="E6241" s="35"/>
      <c r="J6241" s="41"/>
    </row>
    <row r="6242" spans="5:10" s="34" customFormat="1" x14ac:dyDescent="0.35">
      <c r="E6242" s="35"/>
      <c r="J6242" s="41"/>
    </row>
    <row r="6243" spans="5:10" s="34" customFormat="1" x14ac:dyDescent="0.35">
      <c r="E6243" s="35"/>
      <c r="J6243" s="41"/>
    </row>
    <row r="6244" spans="5:10" s="34" customFormat="1" x14ac:dyDescent="0.35">
      <c r="E6244" s="35"/>
      <c r="J6244" s="41"/>
    </row>
    <row r="6245" spans="5:10" s="34" customFormat="1" x14ac:dyDescent="0.35">
      <c r="E6245" s="35"/>
      <c r="J6245" s="41"/>
    </row>
    <row r="6246" spans="5:10" s="34" customFormat="1" x14ac:dyDescent="0.35">
      <c r="E6246" s="35"/>
      <c r="J6246" s="41"/>
    </row>
    <row r="6247" spans="5:10" s="34" customFormat="1" x14ac:dyDescent="0.35">
      <c r="E6247" s="35"/>
      <c r="J6247" s="41"/>
    </row>
    <row r="6248" spans="5:10" s="34" customFormat="1" x14ac:dyDescent="0.35">
      <c r="E6248" s="35"/>
      <c r="J6248" s="41"/>
    </row>
    <row r="6249" spans="5:10" s="34" customFormat="1" x14ac:dyDescent="0.35">
      <c r="E6249" s="35"/>
      <c r="J6249" s="41"/>
    </row>
    <row r="6250" spans="5:10" s="34" customFormat="1" x14ac:dyDescent="0.35">
      <c r="E6250" s="35"/>
      <c r="J6250" s="41"/>
    </row>
    <row r="6251" spans="5:10" s="34" customFormat="1" x14ac:dyDescent="0.35">
      <c r="E6251" s="35"/>
      <c r="J6251" s="41"/>
    </row>
    <row r="6252" spans="5:10" s="34" customFormat="1" x14ac:dyDescent="0.35">
      <c r="E6252" s="35"/>
      <c r="J6252" s="41"/>
    </row>
    <row r="6253" spans="5:10" s="34" customFormat="1" x14ac:dyDescent="0.35">
      <c r="E6253" s="35"/>
      <c r="J6253" s="41"/>
    </row>
    <row r="6254" spans="5:10" s="34" customFormat="1" x14ac:dyDescent="0.35">
      <c r="E6254" s="35"/>
      <c r="J6254" s="41"/>
    </row>
    <row r="6255" spans="5:10" s="34" customFormat="1" x14ac:dyDescent="0.35">
      <c r="E6255" s="35"/>
      <c r="J6255" s="41"/>
    </row>
    <row r="6256" spans="5:10" s="34" customFormat="1" x14ac:dyDescent="0.35">
      <c r="E6256" s="35"/>
      <c r="J6256" s="41"/>
    </row>
    <row r="6257" spans="5:10" s="34" customFormat="1" x14ac:dyDescent="0.35">
      <c r="E6257" s="35"/>
      <c r="J6257" s="41"/>
    </row>
    <row r="6258" spans="5:10" s="34" customFormat="1" x14ac:dyDescent="0.35">
      <c r="E6258" s="35"/>
      <c r="J6258" s="41"/>
    </row>
    <row r="6259" spans="5:10" s="34" customFormat="1" x14ac:dyDescent="0.35">
      <c r="E6259" s="35"/>
      <c r="J6259" s="41"/>
    </row>
    <row r="6260" spans="5:10" s="34" customFormat="1" x14ac:dyDescent="0.35">
      <c r="E6260" s="35"/>
      <c r="J6260" s="41"/>
    </row>
    <row r="6261" spans="5:10" s="34" customFormat="1" x14ac:dyDescent="0.35">
      <c r="E6261" s="35"/>
      <c r="J6261" s="41"/>
    </row>
    <row r="6262" spans="5:10" s="34" customFormat="1" x14ac:dyDescent="0.35">
      <c r="E6262" s="35"/>
      <c r="J6262" s="41"/>
    </row>
    <row r="6263" spans="5:10" s="34" customFormat="1" x14ac:dyDescent="0.35">
      <c r="E6263" s="35"/>
      <c r="J6263" s="41"/>
    </row>
    <row r="6264" spans="5:10" s="34" customFormat="1" x14ac:dyDescent="0.35">
      <c r="E6264" s="35"/>
      <c r="J6264" s="41"/>
    </row>
    <row r="6265" spans="5:10" s="34" customFormat="1" x14ac:dyDescent="0.35">
      <c r="E6265" s="35"/>
      <c r="J6265" s="41"/>
    </row>
    <row r="6266" spans="5:10" s="34" customFormat="1" x14ac:dyDescent="0.35">
      <c r="E6266" s="35"/>
      <c r="J6266" s="41"/>
    </row>
    <row r="6267" spans="5:10" s="34" customFormat="1" x14ac:dyDescent="0.35">
      <c r="E6267" s="35"/>
      <c r="J6267" s="41"/>
    </row>
    <row r="6268" spans="5:10" s="34" customFormat="1" x14ac:dyDescent="0.35">
      <c r="E6268" s="35"/>
      <c r="J6268" s="41"/>
    </row>
    <row r="6269" spans="5:10" s="34" customFormat="1" x14ac:dyDescent="0.35">
      <c r="E6269" s="35"/>
      <c r="J6269" s="41"/>
    </row>
    <row r="6270" spans="5:10" s="34" customFormat="1" x14ac:dyDescent="0.35">
      <c r="E6270" s="35"/>
      <c r="J6270" s="41"/>
    </row>
    <row r="6271" spans="5:10" s="34" customFormat="1" x14ac:dyDescent="0.35">
      <c r="E6271" s="35"/>
      <c r="J6271" s="41"/>
    </row>
    <row r="6272" spans="5:10" s="34" customFormat="1" x14ac:dyDescent="0.35">
      <c r="E6272" s="35"/>
      <c r="J6272" s="41"/>
    </row>
    <row r="6273" spans="5:10" s="34" customFormat="1" x14ac:dyDescent="0.35">
      <c r="E6273" s="35"/>
      <c r="J6273" s="41"/>
    </row>
    <row r="6274" spans="5:10" s="34" customFormat="1" x14ac:dyDescent="0.35">
      <c r="E6274" s="35"/>
      <c r="J6274" s="41"/>
    </row>
    <row r="6275" spans="5:10" s="34" customFormat="1" x14ac:dyDescent="0.35">
      <c r="E6275" s="35"/>
      <c r="J6275" s="41"/>
    </row>
    <row r="6276" spans="5:10" s="34" customFormat="1" x14ac:dyDescent="0.35">
      <c r="E6276" s="35"/>
      <c r="J6276" s="41"/>
    </row>
    <row r="6277" spans="5:10" s="34" customFormat="1" x14ac:dyDescent="0.35">
      <c r="E6277" s="35"/>
      <c r="J6277" s="41"/>
    </row>
    <row r="6278" spans="5:10" s="34" customFormat="1" x14ac:dyDescent="0.35">
      <c r="E6278" s="35"/>
      <c r="J6278" s="41"/>
    </row>
    <row r="6279" spans="5:10" s="34" customFormat="1" x14ac:dyDescent="0.35">
      <c r="E6279" s="35"/>
      <c r="J6279" s="41"/>
    </row>
    <row r="6280" spans="5:10" s="34" customFormat="1" x14ac:dyDescent="0.35">
      <c r="E6280" s="35"/>
      <c r="J6280" s="41"/>
    </row>
    <row r="6281" spans="5:10" s="34" customFormat="1" x14ac:dyDescent="0.35">
      <c r="E6281" s="35"/>
      <c r="J6281" s="41"/>
    </row>
    <row r="6282" spans="5:10" s="34" customFormat="1" x14ac:dyDescent="0.35">
      <c r="E6282" s="35"/>
      <c r="J6282" s="41"/>
    </row>
    <row r="6283" spans="5:10" s="34" customFormat="1" x14ac:dyDescent="0.35">
      <c r="E6283" s="35"/>
      <c r="J6283" s="41"/>
    </row>
    <row r="6284" spans="5:10" s="34" customFormat="1" x14ac:dyDescent="0.35">
      <c r="E6284" s="35"/>
      <c r="J6284" s="41"/>
    </row>
    <row r="6285" spans="5:10" s="34" customFormat="1" x14ac:dyDescent="0.35">
      <c r="E6285" s="35"/>
      <c r="J6285" s="41"/>
    </row>
    <row r="6286" spans="5:10" s="34" customFormat="1" x14ac:dyDescent="0.35">
      <c r="E6286" s="35"/>
      <c r="J6286" s="41"/>
    </row>
    <row r="6287" spans="5:10" s="34" customFormat="1" x14ac:dyDescent="0.35">
      <c r="E6287" s="35"/>
      <c r="J6287" s="41"/>
    </row>
    <row r="6288" spans="5:10" s="34" customFormat="1" x14ac:dyDescent="0.35">
      <c r="E6288" s="35"/>
      <c r="J6288" s="41"/>
    </row>
    <row r="6289" spans="5:10" s="34" customFormat="1" x14ac:dyDescent="0.35">
      <c r="E6289" s="35"/>
      <c r="J6289" s="41"/>
    </row>
    <row r="6290" spans="5:10" s="34" customFormat="1" x14ac:dyDescent="0.35">
      <c r="E6290" s="35"/>
      <c r="J6290" s="41"/>
    </row>
    <row r="6291" spans="5:10" s="34" customFormat="1" x14ac:dyDescent="0.35">
      <c r="E6291" s="35"/>
      <c r="J6291" s="41"/>
    </row>
    <row r="6292" spans="5:10" s="34" customFormat="1" x14ac:dyDescent="0.35">
      <c r="E6292" s="35"/>
      <c r="J6292" s="41"/>
    </row>
    <row r="6293" spans="5:10" s="34" customFormat="1" x14ac:dyDescent="0.35">
      <c r="E6293" s="35"/>
      <c r="J6293" s="41"/>
    </row>
    <row r="6294" spans="5:10" s="34" customFormat="1" x14ac:dyDescent="0.35">
      <c r="E6294" s="35"/>
      <c r="J6294" s="41"/>
    </row>
    <row r="6295" spans="5:10" s="34" customFormat="1" x14ac:dyDescent="0.35">
      <c r="E6295" s="35"/>
      <c r="J6295" s="41"/>
    </row>
    <row r="6296" spans="5:10" s="34" customFormat="1" x14ac:dyDescent="0.35">
      <c r="E6296" s="35"/>
      <c r="J6296" s="41"/>
    </row>
    <row r="6297" spans="5:10" s="34" customFormat="1" x14ac:dyDescent="0.35">
      <c r="E6297" s="35"/>
      <c r="J6297" s="41"/>
    </row>
    <row r="6298" spans="5:10" s="34" customFormat="1" x14ac:dyDescent="0.35">
      <c r="E6298" s="35"/>
      <c r="J6298" s="41"/>
    </row>
    <row r="6299" spans="5:10" s="34" customFormat="1" x14ac:dyDescent="0.35">
      <c r="E6299" s="35"/>
      <c r="J6299" s="41"/>
    </row>
    <row r="6300" spans="5:10" s="34" customFormat="1" x14ac:dyDescent="0.35">
      <c r="E6300" s="35"/>
      <c r="J6300" s="41"/>
    </row>
    <row r="6301" spans="5:10" s="34" customFormat="1" x14ac:dyDescent="0.35">
      <c r="E6301" s="35"/>
      <c r="J6301" s="41"/>
    </row>
    <row r="6302" spans="5:10" s="34" customFormat="1" x14ac:dyDescent="0.35">
      <c r="E6302" s="35"/>
      <c r="J6302" s="41"/>
    </row>
    <row r="6303" spans="5:10" s="34" customFormat="1" x14ac:dyDescent="0.35">
      <c r="E6303" s="35"/>
      <c r="J6303" s="41"/>
    </row>
    <row r="6304" spans="5:10" s="34" customFormat="1" x14ac:dyDescent="0.35">
      <c r="E6304" s="35"/>
      <c r="J6304" s="41"/>
    </row>
    <row r="6305" spans="5:10" s="34" customFormat="1" x14ac:dyDescent="0.35">
      <c r="E6305" s="35"/>
      <c r="J6305" s="41"/>
    </row>
    <row r="6306" spans="5:10" s="34" customFormat="1" x14ac:dyDescent="0.35">
      <c r="E6306" s="35"/>
      <c r="J6306" s="41"/>
    </row>
    <row r="6307" spans="5:10" s="34" customFormat="1" x14ac:dyDescent="0.35">
      <c r="E6307" s="35"/>
      <c r="J6307" s="41"/>
    </row>
    <row r="6308" spans="5:10" s="34" customFormat="1" x14ac:dyDescent="0.35">
      <c r="E6308" s="35"/>
      <c r="J6308" s="41"/>
    </row>
    <row r="6309" spans="5:10" s="34" customFormat="1" x14ac:dyDescent="0.35">
      <c r="E6309" s="35"/>
      <c r="J6309" s="41"/>
    </row>
    <row r="6310" spans="5:10" s="34" customFormat="1" x14ac:dyDescent="0.35">
      <c r="E6310" s="35"/>
      <c r="J6310" s="41"/>
    </row>
    <row r="6311" spans="5:10" s="34" customFormat="1" x14ac:dyDescent="0.35">
      <c r="E6311" s="35"/>
      <c r="J6311" s="41"/>
    </row>
    <row r="6312" spans="5:10" s="34" customFormat="1" x14ac:dyDescent="0.35">
      <c r="E6312" s="35"/>
      <c r="J6312" s="41"/>
    </row>
    <row r="6313" spans="5:10" s="34" customFormat="1" x14ac:dyDescent="0.35">
      <c r="E6313" s="35"/>
      <c r="J6313" s="41"/>
    </row>
    <row r="6314" spans="5:10" s="34" customFormat="1" x14ac:dyDescent="0.35">
      <c r="E6314" s="35"/>
      <c r="J6314" s="41"/>
    </row>
    <row r="6315" spans="5:10" s="34" customFormat="1" x14ac:dyDescent="0.35">
      <c r="E6315" s="35"/>
      <c r="J6315" s="41"/>
    </row>
    <row r="6316" spans="5:10" s="34" customFormat="1" x14ac:dyDescent="0.35">
      <c r="E6316" s="35"/>
      <c r="J6316" s="41"/>
    </row>
    <row r="6317" spans="5:10" s="34" customFormat="1" x14ac:dyDescent="0.35">
      <c r="E6317" s="35"/>
      <c r="J6317" s="41"/>
    </row>
    <row r="6318" spans="5:10" s="34" customFormat="1" x14ac:dyDescent="0.35">
      <c r="E6318" s="35"/>
      <c r="J6318" s="41"/>
    </row>
    <row r="6319" spans="5:10" s="34" customFormat="1" x14ac:dyDescent="0.35">
      <c r="E6319" s="35"/>
      <c r="J6319" s="41"/>
    </row>
    <row r="6320" spans="5:10" s="34" customFormat="1" x14ac:dyDescent="0.35">
      <c r="E6320" s="35"/>
      <c r="J6320" s="41"/>
    </row>
    <row r="6321" spans="5:10" s="34" customFormat="1" x14ac:dyDescent="0.35">
      <c r="E6321" s="35"/>
      <c r="J6321" s="41"/>
    </row>
    <row r="6322" spans="5:10" s="34" customFormat="1" x14ac:dyDescent="0.35">
      <c r="E6322" s="35"/>
      <c r="J6322" s="41"/>
    </row>
    <row r="6323" spans="5:10" s="34" customFormat="1" x14ac:dyDescent="0.35">
      <c r="E6323" s="35"/>
      <c r="J6323" s="41"/>
    </row>
    <row r="6324" spans="5:10" s="34" customFormat="1" x14ac:dyDescent="0.35">
      <c r="E6324" s="35"/>
      <c r="J6324" s="41"/>
    </row>
    <row r="6325" spans="5:10" s="34" customFormat="1" x14ac:dyDescent="0.35">
      <c r="E6325" s="35"/>
      <c r="J6325" s="41"/>
    </row>
    <row r="6326" spans="5:10" s="34" customFormat="1" x14ac:dyDescent="0.35">
      <c r="E6326" s="35"/>
      <c r="J6326" s="41"/>
    </row>
    <row r="6327" spans="5:10" s="34" customFormat="1" x14ac:dyDescent="0.35">
      <c r="E6327" s="35"/>
      <c r="J6327" s="41"/>
    </row>
    <row r="6328" spans="5:10" s="34" customFormat="1" x14ac:dyDescent="0.35">
      <c r="E6328" s="35"/>
      <c r="J6328" s="41"/>
    </row>
    <row r="6329" spans="5:10" s="34" customFormat="1" x14ac:dyDescent="0.35">
      <c r="E6329" s="35"/>
      <c r="J6329" s="41"/>
    </row>
    <row r="6330" spans="5:10" s="34" customFormat="1" x14ac:dyDescent="0.35">
      <c r="E6330" s="35"/>
      <c r="J6330" s="41"/>
    </row>
    <row r="6331" spans="5:10" s="34" customFormat="1" x14ac:dyDescent="0.35">
      <c r="E6331" s="35"/>
      <c r="J6331" s="41"/>
    </row>
    <row r="6332" spans="5:10" s="34" customFormat="1" x14ac:dyDescent="0.35">
      <c r="E6332" s="35"/>
      <c r="J6332" s="41"/>
    </row>
    <row r="6333" spans="5:10" s="34" customFormat="1" x14ac:dyDescent="0.35">
      <c r="E6333" s="35"/>
      <c r="J6333" s="41"/>
    </row>
    <row r="6334" spans="5:10" s="34" customFormat="1" x14ac:dyDescent="0.35">
      <c r="E6334" s="35"/>
      <c r="J6334" s="41"/>
    </row>
    <row r="6335" spans="5:10" s="34" customFormat="1" x14ac:dyDescent="0.35">
      <c r="E6335" s="35"/>
      <c r="J6335" s="41"/>
    </row>
    <row r="6336" spans="5:10" s="34" customFormat="1" x14ac:dyDescent="0.35">
      <c r="E6336" s="35"/>
      <c r="J6336" s="41"/>
    </row>
    <row r="6337" spans="5:10" s="34" customFormat="1" x14ac:dyDescent="0.35">
      <c r="E6337" s="35"/>
      <c r="J6337" s="41"/>
    </row>
    <row r="6338" spans="5:10" s="34" customFormat="1" x14ac:dyDescent="0.35">
      <c r="E6338" s="35"/>
      <c r="J6338" s="41"/>
    </row>
    <row r="6339" spans="5:10" s="34" customFormat="1" x14ac:dyDescent="0.35">
      <c r="E6339" s="35"/>
      <c r="J6339" s="41"/>
    </row>
    <row r="6340" spans="5:10" s="34" customFormat="1" x14ac:dyDescent="0.35">
      <c r="E6340" s="35"/>
      <c r="J6340" s="41"/>
    </row>
    <row r="6341" spans="5:10" s="34" customFormat="1" x14ac:dyDescent="0.35">
      <c r="E6341" s="35"/>
      <c r="J6341" s="41"/>
    </row>
    <row r="6342" spans="5:10" s="34" customFormat="1" x14ac:dyDescent="0.35">
      <c r="E6342" s="35"/>
      <c r="J6342" s="41"/>
    </row>
    <row r="6343" spans="5:10" s="34" customFormat="1" x14ac:dyDescent="0.35">
      <c r="E6343" s="35"/>
      <c r="J6343" s="41"/>
    </row>
    <row r="6344" spans="5:10" s="34" customFormat="1" x14ac:dyDescent="0.35">
      <c r="E6344" s="35"/>
      <c r="J6344" s="41"/>
    </row>
    <row r="6345" spans="5:10" s="34" customFormat="1" x14ac:dyDescent="0.35">
      <c r="E6345" s="35"/>
      <c r="J6345" s="41"/>
    </row>
    <row r="6346" spans="5:10" s="34" customFormat="1" x14ac:dyDescent="0.35">
      <c r="E6346" s="35"/>
      <c r="J6346" s="41"/>
    </row>
    <row r="6347" spans="5:10" s="34" customFormat="1" x14ac:dyDescent="0.35">
      <c r="E6347" s="35"/>
      <c r="J6347" s="41"/>
    </row>
    <row r="6348" spans="5:10" s="34" customFormat="1" x14ac:dyDescent="0.35">
      <c r="E6348" s="35"/>
      <c r="J6348" s="41"/>
    </row>
    <row r="6349" spans="5:10" s="34" customFormat="1" x14ac:dyDescent="0.35">
      <c r="E6349" s="35"/>
      <c r="J6349" s="41"/>
    </row>
    <row r="6350" spans="5:10" s="34" customFormat="1" x14ac:dyDescent="0.35">
      <c r="E6350" s="35"/>
      <c r="J6350" s="41"/>
    </row>
    <row r="6351" spans="5:10" s="34" customFormat="1" x14ac:dyDescent="0.35">
      <c r="E6351" s="35"/>
      <c r="J6351" s="41"/>
    </row>
    <row r="6352" spans="5:10" s="34" customFormat="1" x14ac:dyDescent="0.35">
      <c r="E6352" s="35"/>
      <c r="J6352" s="41"/>
    </row>
    <row r="6353" spans="5:10" s="34" customFormat="1" x14ac:dyDescent="0.35">
      <c r="E6353" s="35"/>
      <c r="J6353" s="41"/>
    </row>
    <row r="6354" spans="5:10" s="34" customFormat="1" x14ac:dyDescent="0.35">
      <c r="E6354" s="35"/>
      <c r="J6354" s="41"/>
    </row>
    <row r="6355" spans="5:10" s="34" customFormat="1" x14ac:dyDescent="0.35">
      <c r="E6355" s="35"/>
      <c r="J6355" s="41"/>
    </row>
    <row r="6356" spans="5:10" s="34" customFormat="1" x14ac:dyDescent="0.35">
      <c r="E6356" s="35"/>
      <c r="J6356" s="41"/>
    </row>
    <row r="6357" spans="5:10" s="34" customFormat="1" x14ac:dyDescent="0.35">
      <c r="E6357" s="35"/>
      <c r="J6357" s="41"/>
    </row>
    <row r="6358" spans="5:10" s="34" customFormat="1" x14ac:dyDescent="0.35">
      <c r="E6358" s="35"/>
      <c r="J6358" s="41"/>
    </row>
    <row r="6359" spans="5:10" s="34" customFormat="1" x14ac:dyDescent="0.35">
      <c r="E6359" s="35"/>
      <c r="J6359" s="41"/>
    </row>
    <row r="6360" spans="5:10" s="34" customFormat="1" x14ac:dyDescent="0.35">
      <c r="E6360" s="35"/>
      <c r="J6360" s="41"/>
    </row>
    <row r="6361" spans="5:10" s="34" customFormat="1" x14ac:dyDescent="0.35">
      <c r="E6361" s="35"/>
      <c r="J6361" s="41"/>
    </row>
    <row r="6362" spans="5:10" s="34" customFormat="1" x14ac:dyDescent="0.35">
      <c r="E6362" s="35"/>
      <c r="J6362" s="41"/>
    </row>
    <row r="6363" spans="5:10" s="34" customFormat="1" x14ac:dyDescent="0.35">
      <c r="E6363" s="35"/>
      <c r="J6363" s="41"/>
    </row>
    <row r="6364" spans="5:10" s="34" customFormat="1" x14ac:dyDescent="0.35">
      <c r="E6364" s="35"/>
      <c r="J6364" s="41"/>
    </row>
    <row r="6365" spans="5:10" s="34" customFormat="1" x14ac:dyDescent="0.35">
      <c r="E6365" s="35"/>
      <c r="J6365" s="41"/>
    </row>
    <row r="6366" spans="5:10" s="34" customFormat="1" x14ac:dyDescent="0.35">
      <c r="E6366" s="35"/>
      <c r="J6366" s="41"/>
    </row>
    <row r="6367" spans="5:10" s="34" customFormat="1" x14ac:dyDescent="0.35">
      <c r="E6367" s="35"/>
      <c r="J6367" s="41"/>
    </row>
    <row r="6368" spans="5:10" s="34" customFormat="1" x14ac:dyDescent="0.35">
      <c r="E6368" s="35"/>
      <c r="J6368" s="41"/>
    </row>
    <row r="6369" spans="5:10" s="34" customFormat="1" x14ac:dyDescent="0.35">
      <c r="E6369" s="35"/>
      <c r="J6369" s="41"/>
    </row>
    <row r="6370" spans="5:10" s="34" customFormat="1" x14ac:dyDescent="0.35">
      <c r="E6370" s="35"/>
      <c r="J6370" s="41"/>
    </row>
    <row r="6371" spans="5:10" s="34" customFormat="1" x14ac:dyDescent="0.35">
      <c r="E6371" s="35"/>
      <c r="J6371" s="41"/>
    </row>
    <row r="6372" spans="5:10" s="34" customFormat="1" x14ac:dyDescent="0.35">
      <c r="E6372" s="35"/>
      <c r="J6372" s="41"/>
    </row>
    <row r="6373" spans="5:10" s="34" customFormat="1" x14ac:dyDescent="0.35">
      <c r="E6373" s="35"/>
      <c r="J6373" s="41"/>
    </row>
    <row r="6374" spans="5:10" s="34" customFormat="1" x14ac:dyDescent="0.35">
      <c r="E6374" s="35"/>
      <c r="J6374" s="41"/>
    </row>
    <row r="6375" spans="5:10" s="34" customFormat="1" x14ac:dyDescent="0.35">
      <c r="E6375" s="35"/>
      <c r="J6375" s="41"/>
    </row>
    <row r="6376" spans="5:10" s="34" customFormat="1" x14ac:dyDescent="0.35">
      <c r="E6376" s="35"/>
      <c r="J6376" s="41"/>
    </row>
    <row r="6377" spans="5:10" s="34" customFormat="1" x14ac:dyDescent="0.35">
      <c r="E6377" s="35"/>
      <c r="J6377" s="41"/>
    </row>
    <row r="6378" spans="5:10" s="34" customFormat="1" x14ac:dyDescent="0.35">
      <c r="E6378" s="35"/>
      <c r="J6378" s="41"/>
    </row>
    <row r="6379" spans="5:10" s="34" customFormat="1" x14ac:dyDescent="0.35">
      <c r="E6379" s="35"/>
      <c r="J6379" s="41"/>
    </row>
    <row r="6380" spans="5:10" s="34" customFormat="1" x14ac:dyDescent="0.35">
      <c r="E6380" s="35"/>
      <c r="J6380" s="41"/>
    </row>
    <row r="6381" spans="5:10" s="34" customFormat="1" x14ac:dyDescent="0.35">
      <c r="E6381" s="35"/>
      <c r="J6381" s="41"/>
    </row>
    <row r="6382" spans="5:10" s="34" customFormat="1" x14ac:dyDescent="0.35">
      <c r="E6382" s="35"/>
      <c r="J6382" s="41"/>
    </row>
    <row r="6383" spans="5:10" s="34" customFormat="1" x14ac:dyDescent="0.35">
      <c r="E6383" s="35"/>
      <c r="J6383" s="41"/>
    </row>
    <row r="6384" spans="5:10" s="34" customFormat="1" x14ac:dyDescent="0.35">
      <c r="E6384" s="35"/>
      <c r="J6384" s="41"/>
    </row>
    <row r="6385" spans="5:10" s="34" customFormat="1" x14ac:dyDescent="0.35">
      <c r="E6385" s="35"/>
      <c r="J6385" s="41"/>
    </row>
    <row r="6386" spans="5:10" s="34" customFormat="1" x14ac:dyDescent="0.35">
      <c r="E6386" s="35"/>
      <c r="J6386" s="41"/>
    </row>
    <row r="6387" spans="5:10" s="34" customFormat="1" x14ac:dyDescent="0.35">
      <c r="E6387" s="35"/>
      <c r="J6387" s="41"/>
    </row>
    <row r="6388" spans="5:10" s="34" customFormat="1" x14ac:dyDescent="0.35">
      <c r="E6388" s="35"/>
      <c r="J6388" s="41"/>
    </row>
    <row r="6389" spans="5:10" s="34" customFormat="1" x14ac:dyDescent="0.35">
      <c r="E6389" s="35"/>
      <c r="J6389" s="41"/>
    </row>
    <row r="6390" spans="5:10" s="34" customFormat="1" x14ac:dyDescent="0.35">
      <c r="E6390" s="35"/>
      <c r="J6390" s="41"/>
    </row>
    <row r="6391" spans="5:10" s="34" customFormat="1" x14ac:dyDescent="0.35">
      <c r="E6391" s="35"/>
      <c r="J6391" s="41"/>
    </row>
    <row r="6392" spans="5:10" s="34" customFormat="1" x14ac:dyDescent="0.35">
      <c r="E6392" s="35"/>
      <c r="J6392" s="41"/>
    </row>
    <row r="6393" spans="5:10" s="34" customFormat="1" x14ac:dyDescent="0.35">
      <c r="E6393" s="35"/>
      <c r="J6393" s="41"/>
    </row>
    <row r="6394" spans="5:10" s="34" customFormat="1" x14ac:dyDescent="0.35">
      <c r="E6394" s="35"/>
      <c r="J6394" s="41"/>
    </row>
    <row r="6395" spans="5:10" s="34" customFormat="1" x14ac:dyDescent="0.35">
      <c r="E6395" s="35"/>
      <c r="J6395" s="41"/>
    </row>
    <row r="6396" spans="5:10" s="34" customFormat="1" x14ac:dyDescent="0.35">
      <c r="E6396" s="35"/>
      <c r="J6396" s="41"/>
    </row>
    <row r="6397" spans="5:10" s="34" customFormat="1" x14ac:dyDescent="0.35">
      <c r="E6397" s="35"/>
      <c r="J6397" s="41"/>
    </row>
    <row r="6398" spans="5:10" s="34" customFormat="1" x14ac:dyDescent="0.35">
      <c r="E6398" s="35"/>
      <c r="J6398" s="41"/>
    </row>
    <row r="6399" spans="5:10" s="34" customFormat="1" x14ac:dyDescent="0.35">
      <c r="E6399" s="35"/>
      <c r="J6399" s="41"/>
    </row>
    <row r="6400" spans="5:10" s="34" customFormat="1" x14ac:dyDescent="0.35">
      <c r="E6400" s="35"/>
      <c r="J6400" s="41"/>
    </row>
    <row r="6401" spans="5:10" s="34" customFormat="1" x14ac:dyDescent="0.35">
      <c r="E6401" s="35"/>
      <c r="J6401" s="41"/>
    </row>
    <row r="6402" spans="5:10" s="34" customFormat="1" x14ac:dyDescent="0.35">
      <c r="E6402" s="35"/>
      <c r="J6402" s="41"/>
    </row>
    <row r="6403" spans="5:10" s="34" customFormat="1" x14ac:dyDescent="0.35">
      <c r="E6403" s="35"/>
      <c r="J6403" s="41"/>
    </row>
    <row r="6404" spans="5:10" s="34" customFormat="1" x14ac:dyDescent="0.35">
      <c r="E6404" s="35"/>
      <c r="J6404" s="41"/>
    </row>
    <row r="6405" spans="5:10" s="34" customFormat="1" x14ac:dyDescent="0.35">
      <c r="E6405" s="35"/>
      <c r="J6405" s="41"/>
    </row>
    <row r="6406" spans="5:10" s="34" customFormat="1" x14ac:dyDescent="0.35">
      <c r="E6406" s="35"/>
      <c r="J6406" s="41"/>
    </row>
    <row r="6407" spans="5:10" s="34" customFormat="1" x14ac:dyDescent="0.35">
      <c r="E6407" s="35"/>
      <c r="J6407" s="41"/>
    </row>
    <row r="6408" spans="5:10" s="34" customFormat="1" x14ac:dyDescent="0.35">
      <c r="E6408" s="35"/>
      <c r="J6408" s="41"/>
    </row>
    <row r="6409" spans="5:10" s="34" customFormat="1" x14ac:dyDescent="0.35">
      <c r="E6409" s="35"/>
      <c r="J6409" s="41"/>
    </row>
    <row r="6410" spans="5:10" s="34" customFormat="1" x14ac:dyDescent="0.35">
      <c r="E6410" s="35"/>
      <c r="J6410" s="41"/>
    </row>
    <row r="6411" spans="5:10" s="34" customFormat="1" x14ac:dyDescent="0.35">
      <c r="E6411" s="35"/>
      <c r="J6411" s="41"/>
    </row>
    <row r="6412" spans="5:10" s="34" customFormat="1" x14ac:dyDescent="0.35">
      <c r="E6412" s="35"/>
      <c r="J6412" s="41"/>
    </row>
    <row r="6413" spans="5:10" s="34" customFormat="1" x14ac:dyDescent="0.35">
      <c r="E6413" s="35"/>
      <c r="J6413" s="41"/>
    </row>
    <row r="6414" spans="5:10" s="34" customFormat="1" x14ac:dyDescent="0.35">
      <c r="E6414" s="35"/>
      <c r="J6414" s="41"/>
    </row>
    <row r="6415" spans="5:10" s="34" customFormat="1" x14ac:dyDescent="0.35">
      <c r="E6415" s="35"/>
      <c r="J6415" s="41"/>
    </row>
    <row r="6416" spans="5:10" s="34" customFormat="1" x14ac:dyDescent="0.35">
      <c r="E6416" s="35"/>
      <c r="J6416" s="41"/>
    </row>
    <row r="6417" spans="5:10" s="34" customFormat="1" x14ac:dyDescent="0.35">
      <c r="E6417" s="35"/>
      <c r="J6417" s="41"/>
    </row>
    <row r="6418" spans="5:10" s="34" customFormat="1" x14ac:dyDescent="0.35">
      <c r="E6418" s="35"/>
      <c r="J6418" s="41"/>
    </row>
    <row r="6419" spans="5:10" s="34" customFormat="1" x14ac:dyDescent="0.35">
      <c r="E6419" s="35"/>
      <c r="J6419" s="41"/>
    </row>
    <row r="6420" spans="5:10" s="34" customFormat="1" x14ac:dyDescent="0.35">
      <c r="E6420" s="35"/>
      <c r="J6420" s="41"/>
    </row>
    <row r="6421" spans="5:10" s="34" customFormat="1" x14ac:dyDescent="0.35">
      <c r="E6421" s="35"/>
      <c r="J6421" s="41"/>
    </row>
    <row r="6422" spans="5:10" s="34" customFormat="1" x14ac:dyDescent="0.35">
      <c r="E6422" s="35"/>
      <c r="J6422" s="41"/>
    </row>
    <row r="6423" spans="5:10" s="34" customFormat="1" x14ac:dyDescent="0.35">
      <c r="E6423" s="35"/>
      <c r="J6423" s="41"/>
    </row>
    <row r="6424" spans="5:10" s="34" customFormat="1" x14ac:dyDescent="0.35">
      <c r="E6424" s="35"/>
      <c r="J6424" s="41"/>
    </row>
    <row r="6425" spans="5:10" s="34" customFormat="1" x14ac:dyDescent="0.35">
      <c r="E6425" s="35"/>
      <c r="J6425" s="41"/>
    </row>
    <row r="6426" spans="5:10" s="34" customFormat="1" x14ac:dyDescent="0.35">
      <c r="E6426" s="35"/>
      <c r="J6426" s="41"/>
    </row>
    <row r="6427" spans="5:10" s="34" customFormat="1" x14ac:dyDescent="0.35">
      <c r="E6427" s="35"/>
      <c r="J6427" s="41"/>
    </row>
    <row r="6428" spans="5:10" s="34" customFormat="1" x14ac:dyDescent="0.35">
      <c r="E6428" s="35"/>
      <c r="J6428" s="41"/>
    </row>
    <row r="6429" spans="5:10" s="34" customFormat="1" x14ac:dyDescent="0.35">
      <c r="E6429" s="35"/>
      <c r="J6429" s="41"/>
    </row>
    <row r="6430" spans="5:10" s="34" customFormat="1" x14ac:dyDescent="0.35">
      <c r="E6430" s="35"/>
      <c r="J6430" s="41"/>
    </row>
    <row r="6431" spans="5:10" s="34" customFormat="1" x14ac:dyDescent="0.35">
      <c r="E6431" s="35"/>
      <c r="J6431" s="41"/>
    </row>
    <row r="6432" spans="5:10" s="34" customFormat="1" x14ac:dyDescent="0.35">
      <c r="E6432" s="35"/>
      <c r="J6432" s="41"/>
    </row>
    <row r="6433" spans="5:10" s="34" customFormat="1" x14ac:dyDescent="0.35">
      <c r="E6433" s="35"/>
      <c r="J6433" s="41"/>
    </row>
    <row r="6434" spans="5:10" s="34" customFormat="1" x14ac:dyDescent="0.35">
      <c r="E6434" s="35"/>
      <c r="J6434" s="41"/>
    </row>
    <row r="6435" spans="5:10" s="34" customFormat="1" x14ac:dyDescent="0.35">
      <c r="E6435" s="35"/>
      <c r="J6435" s="41"/>
    </row>
    <row r="6436" spans="5:10" s="34" customFormat="1" x14ac:dyDescent="0.35">
      <c r="E6436" s="35"/>
      <c r="J6436" s="41"/>
    </row>
    <row r="6437" spans="5:10" s="34" customFormat="1" x14ac:dyDescent="0.35">
      <c r="E6437" s="35"/>
      <c r="J6437" s="41"/>
    </row>
    <row r="6438" spans="5:10" s="34" customFormat="1" x14ac:dyDescent="0.35">
      <c r="E6438" s="35"/>
      <c r="J6438" s="41"/>
    </row>
    <row r="6439" spans="5:10" s="34" customFormat="1" x14ac:dyDescent="0.35">
      <c r="E6439" s="35"/>
      <c r="J6439" s="41"/>
    </row>
    <row r="6440" spans="5:10" s="34" customFormat="1" x14ac:dyDescent="0.35">
      <c r="E6440" s="35"/>
      <c r="J6440" s="41"/>
    </row>
    <row r="6441" spans="5:10" s="34" customFormat="1" x14ac:dyDescent="0.35">
      <c r="E6441" s="35"/>
      <c r="J6441" s="41"/>
    </row>
    <row r="6442" spans="5:10" s="34" customFormat="1" x14ac:dyDescent="0.35">
      <c r="E6442" s="35"/>
      <c r="J6442" s="41"/>
    </row>
    <row r="6443" spans="5:10" s="34" customFormat="1" x14ac:dyDescent="0.35">
      <c r="E6443" s="35"/>
      <c r="J6443" s="41"/>
    </row>
    <row r="6444" spans="5:10" s="34" customFormat="1" x14ac:dyDescent="0.35">
      <c r="E6444" s="35"/>
      <c r="J6444" s="41"/>
    </row>
    <row r="6445" spans="5:10" s="34" customFormat="1" x14ac:dyDescent="0.35">
      <c r="E6445" s="35"/>
      <c r="J6445" s="41"/>
    </row>
    <row r="6446" spans="5:10" s="34" customFormat="1" x14ac:dyDescent="0.35">
      <c r="E6446" s="35"/>
      <c r="J6446" s="41"/>
    </row>
    <row r="6447" spans="5:10" s="34" customFormat="1" x14ac:dyDescent="0.35">
      <c r="E6447" s="35"/>
      <c r="J6447" s="41"/>
    </row>
    <row r="6448" spans="5:10" s="34" customFormat="1" x14ac:dyDescent="0.35">
      <c r="E6448" s="35"/>
      <c r="J6448" s="41"/>
    </row>
    <row r="6449" spans="5:10" s="34" customFormat="1" x14ac:dyDescent="0.35">
      <c r="E6449" s="35"/>
      <c r="J6449" s="41"/>
    </row>
    <row r="6450" spans="5:10" s="34" customFormat="1" x14ac:dyDescent="0.35">
      <c r="E6450" s="35"/>
      <c r="J6450" s="41"/>
    </row>
    <row r="6451" spans="5:10" s="34" customFormat="1" x14ac:dyDescent="0.35">
      <c r="E6451" s="35"/>
      <c r="J6451" s="41"/>
    </row>
    <row r="6452" spans="5:10" s="34" customFormat="1" x14ac:dyDescent="0.35">
      <c r="E6452" s="35"/>
      <c r="J6452" s="41"/>
    </row>
    <row r="6453" spans="5:10" s="34" customFormat="1" x14ac:dyDescent="0.35">
      <c r="E6453" s="35"/>
      <c r="J6453" s="41"/>
    </row>
    <row r="6454" spans="5:10" s="34" customFormat="1" x14ac:dyDescent="0.35">
      <c r="E6454" s="35"/>
      <c r="J6454" s="41"/>
    </row>
    <row r="6455" spans="5:10" s="34" customFormat="1" x14ac:dyDescent="0.35">
      <c r="E6455" s="35"/>
      <c r="J6455" s="41"/>
    </row>
    <row r="6456" spans="5:10" s="34" customFormat="1" x14ac:dyDescent="0.35">
      <c r="E6456" s="35"/>
      <c r="J6456" s="41"/>
    </row>
    <row r="6457" spans="5:10" s="34" customFormat="1" x14ac:dyDescent="0.35">
      <c r="E6457" s="35"/>
      <c r="J6457" s="41"/>
    </row>
    <row r="6458" spans="5:10" s="34" customFormat="1" x14ac:dyDescent="0.35">
      <c r="E6458" s="35"/>
      <c r="J6458" s="41"/>
    </row>
    <row r="6459" spans="5:10" s="34" customFormat="1" x14ac:dyDescent="0.35">
      <c r="E6459" s="35"/>
      <c r="J6459" s="41"/>
    </row>
    <row r="6460" spans="5:10" s="34" customFormat="1" x14ac:dyDescent="0.35">
      <c r="E6460" s="35"/>
      <c r="J6460" s="41"/>
    </row>
    <row r="6461" spans="5:10" s="34" customFormat="1" x14ac:dyDescent="0.35">
      <c r="E6461" s="35"/>
      <c r="J6461" s="41"/>
    </row>
    <row r="6462" spans="5:10" s="34" customFormat="1" x14ac:dyDescent="0.35">
      <c r="E6462" s="35"/>
      <c r="J6462" s="41"/>
    </row>
    <row r="6463" spans="5:10" s="34" customFormat="1" x14ac:dyDescent="0.35">
      <c r="E6463" s="35"/>
      <c r="J6463" s="41"/>
    </row>
    <row r="6464" spans="5:10" s="34" customFormat="1" x14ac:dyDescent="0.35">
      <c r="E6464" s="35"/>
      <c r="J6464" s="41"/>
    </row>
    <row r="6465" spans="5:10" s="34" customFormat="1" x14ac:dyDescent="0.35">
      <c r="E6465" s="35"/>
      <c r="J6465" s="41"/>
    </row>
    <row r="6466" spans="5:10" s="34" customFormat="1" x14ac:dyDescent="0.35">
      <c r="E6466" s="35"/>
      <c r="J6466" s="41"/>
    </row>
    <row r="6467" spans="5:10" s="34" customFormat="1" x14ac:dyDescent="0.35">
      <c r="E6467" s="35"/>
      <c r="J6467" s="41"/>
    </row>
    <row r="6468" spans="5:10" s="34" customFormat="1" x14ac:dyDescent="0.35">
      <c r="E6468" s="35"/>
      <c r="J6468" s="41"/>
    </row>
    <row r="6469" spans="5:10" s="34" customFormat="1" x14ac:dyDescent="0.35">
      <c r="E6469" s="35"/>
      <c r="J6469" s="41"/>
    </row>
    <row r="6470" spans="5:10" s="34" customFormat="1" x14ac:dyDescent="0.35">
      <c r="E6470" s="35"/>
      <c r="J6470" s="41"/>
    </row>
    <row r="6471" spans="5:10" s="34" customFormat="1" x14ac:dyDescent="0.35">
      <c r="E6471" s="35"/>
      <c r="J6471" s="41"/>
    </row>
    <row r="6472" spans="5:10" s="34" customFormat="1" x14ac:dyDescent="0.35">
      <c r="E6472" s="35"/>
      <c r="J6472" s="41"/>
    </row>
    <row r="6473" spans="5:10" s="34" customFormat="1" x14ac:dyDescent="0.35">
      <c r="E6473" s="35"/>
      <c r="J6473" s="41"/>
    </row>
    <row r="6474" spans="5:10" s="34" customFormat="1" x14ac:dyDescent="0.35">
      <c r="E6474" s="35"/>
      <c r="J6474" s="41"/>
    </row>
    <row r="6475" spans="5:10" s="34" customFormat="1" x14ac:dyDescent="0.35">
      <c r="E6475" s="35"/>
      <c r="J6475" s="41"/>
    </row>
    <row r="6476" spans="5:10" s="34" customFormat="1" x14ac:dyDescent="0.35">
      <c r="E6476" s="35"/>
      <c r="J6476" s="41"/>
    </row>
    <row r="6477" spans="5:10" s="34" customFormat="1" x14ac:dyDescent="0.35">
      <c r="E6477" s="35"/>
      <c r="J6477" s="41"/>
    </row>
    <row r="6478" spans="5:10" s="34" customFormat="1" x14ac:dyDescent="0.35">
      <c r="E6478" s="35"/>
      <c r="J6478" s="41"/>
    </row>
    <row r="6479" spans="5:10" s="34" customFormat="1" x14ac:dyDescent="0.35">
      <c r="E6479" s="35"/>
      <c r="J6479" s="41"/>
    </row>
    <row r="6480" spans="5:10" s="34" customFormat="1" x14ac:dyDescent="0.35">
      <c r="E6480" s="35"/>
      <c r="J6480" s="41"/>
    </row>
    <row r="6481" spans="5:10" s="34" customFormat="1" x14ac:dyDescent="0.35">
      <c r="E6481" s="35"/>
      <c r="J6481" s="41"/>
    </row>
    <row r="6482" spans="5:10" s="34" customFormat="1" x14ac:dyDescent="0.35">
      <c r="E6482" s="35"/>
      <c r="J6482" s="41"/>
    </row>
    <row r="6483" spans="5:10" s="34" customFormat="1" x14ac:dyDescent="0.35">
      <c r="E6483" s="35"/>
      <c r="J6483" s="41"/>
    </row>
    <row r="6484" spans="5:10" s="34" customFormat="1" x14ac:dyDescent="0.35">
      <c r="E6484" s="35"/>
      <c r="J6484" s="41"/>
    </row>
    <row r="6485" spans="5:10" s="34" customFormat="1" x14ac:dyDescent="0.35">
      <c r="E6485" s="35"/>
      <c r="J6485" s="41"/>
    </row>
    <row r="6486" spans="5:10" s="34" customFormat="1" x14ac:dyDescent="0.35">
      <c r="E6486" s="35"/>
      <c r="J6486" s="41"/>
    </row>
    <row r="6487" spans="5:10" s="34" customFormat="1" x14ac:dyDescent="0.35">
      <c r="E6487" s="35"/>
      <c r="J6487" s="41"/>
    </row>
    <row r="6488" spans="5:10" s="34" customFormat="1" x14ac:dyDescent="0.35">
      <c r="E6488" s="35"/>
      <c r="J6488" s="41"/>
    </row>
    <row r="6489" spans="5:10" s="34" customFormat="1" x14ac:dyDescent="0.35">
      <c r="E6489" s="35"/>
      <c r="J6489" s="41"/>
    </row>
    <row r="6490" spans="5:10" s="34" customFormat="1" x14ac:dyDescent="0.35">
      <c r="E6490" s="35"/>
      <c r="J6490" s="41"/>
    </row>
    <row r="6491" spans="5:10" s="34" customFormat="1" x14ac:dyDescent="0.35">
      <c r="E6491" s="35"/>
      <c r="J6491" s="41"/>
    </row>
    <row r="6492" spans="5:10" s="34" customFormat="1" x14ac:dyDescent="0.35">
      <c r="E6492" s="35"/>
      <c r="J6492" s="41"/>
    </row>
    <row r="6493" spans="5:10" s="34" customFormat="1" x14ac:dyDescent="0.35">
      <c r="E6493" s="35"/>
      <c r="J6493" s="41"/>
    </row>
    <row r="6494" spans="5:10" s="34" customFormat="1" x14ac:dyDescent="0.35">
      <c r="E6494" s="35"/>
      <c r="J6494" s="41"/>
    </row>
    <row r="6495" spans="5:10" s="34" customFormat="1" x14ac:dyDescent="0.35">
      <c r="E6495" s="35"/>
      <c r="J6495" s="41"/>
    </row>
    <row r="6496" spans="5:10" s="34" customFormat="1" x14ac:dyDescent="0.35">
      <c r="E6496" s="35"/>
      <c r="J6496" s="41"/>
    </row>
    <row r="6497" spans="5:10" s="34" customFormat="1" x14ac:dyDescent="0.35">
      <c r="E6497" s="35"/>
      <c r="J6497" s="41"/>
    </row>
    <row r="6498" spans="5:10" s="34" customFormat="1" x14ac:dyDescent="0.35">
      <c r="E6498" s="35"/>
      <c r="J6498" s="41"/>
    </row>
    <row r="6499" spans="5:10" s="34" customFormat="1" x14ac:dyDescent="0.35">
      <c r="E6499" s="35"/>
      <c r="J6499" s="41"/>
    </row>
    <row r="6500" spans="5:10" s="34" customFormat="1" x14ac:dyDescent="0.35">
      <c r="E6500" s="35"/>
      <c r="J6500" s="41"/>
    </row>
    <row r="6501" spans="5:10" s="34" customFormat="1" x14ac:dyDescent="0.35">
      <c r="E6501" s="35"/>
      <c r="J6501" s="41"/>
    </row>
    <row r="6502" spans="5:10" s="34" customFormat="1" x14ac:dyDescent="0.35">
      <c r="E6502" s="35"/>
      <c r="J6502" s="41"/>
    </row>
    <row r="6503" spans="5:10" s="34" customFormat="1" x14ac:dyDescent="0.35">
      <c r="E6503" s="35"/>
      <c r="J6503" s="41"/>
    </row>
    <row r="6504" spans="5:10" s="34" customFormat="1" x14ac:dyDescent="0.35">
      <c r="E6504" s="35"/>
      <c r="J6504" s="41"/>
    </row>
    <row r="6505" spans="5:10" s="34" customFormat="1" x14ac:dyDescent="0.35">
      <c r="E6505" s="35"/>
      <c r="J6505" s="41"/>
    </row>
    <row r="6506" spans="5:10" s="34" customFormat="1" x14ac:dyDescent="0.35">
      <c r="E6506" s="35"/>
      <c r="J6506" s="41"/>
    </row>
    <row r="6507" spans="5:10" s="34" customFormat="1" x14ac:dyDescent="0.35">
      <c r="E6507" s="35"/>
      <c r="J6507" s="41"/>
    </row>
    <row r="6508" spans="5:10" s="34" customFormat="1" x14ac:dyDescent="0.35">
      <c r="E6508" s="35"/>
      <c r="J6508" s="41"/>
    </row>
    <row r="6509" spans="5:10" s="34" customFormat="1" x14ac:dyDescent="0.35">
      <c r="E6509" s="35"/>
      <c r="J6509" s="41"/>
    </row>
    <row r="6510" spans="5:10" s="34" customFormat="1" x14ac:dyDescent="0.35">
      <c r="E6510" s="35"/>
      <c r="J6510" s="41"/>
    </row>
    <row r="6511" spans="5:10" s="34" customFormat="1" x14ac:dyDescent="0.35">
      <c r="E6511" s="35"/>
      <c r="J6511" s="41"/>
    </row>
    <row r="6512" spans="5:10" s="34" customFormat="1" x14ac:dyDescent="0.35">
      <c r="E6512" s="35"/>
      <c r="J6512" s="41"/>
    </row>
    <row r="6513" spans="5:10" s="34" customFormat="1" x14ac:dyDescent="0.35">
      <c r="E6513" s="35"/>
      <c r="J6513" s="41"/>
    </row>
    <row r="6514" spans="5:10" s="34" customFormat="1" x14ac:dyDescent="0.35">
      <c r="E6514" s="35"/>
      <c r="J6514" s="41"/>
    </row>
    <row r="6515" spans="5:10" s="34" customFormat="1" x14ac:dyDescent="0.35">
      <c r="E6515" s="35"/>
      <c r="J6515" s="41"/>
    </row>
    <row r="6516" spans="5:10" s="34" customFormat="1" x14ac:dyDescent="0.35">
      <c r="E6516" s="35"/>
      <c r="J6516" s="41"/>
    </row>
    <row r="6517" spans="5:10" s="34" customFormat="1" x14ac:dyDescent="0.35">
      <c r="E6517" s="35"/>
      <c r="J6517" s="41"/>
    </row>
    <row r="6518" spans="5:10" s="34" customFormat="1" x14ac:dyDescent="0.35">
      <c r="E6518" s="35"/>
      <c r="J6518" s="41"/>
    </row>
    <row r="6519" spans="5:10" s="34" customFormat="1" x14ac:dyDescent="0.35">
      <c r="E6519" s="35"/>
      <c r="J6519" s="41"/>
    </row>
    <row r="6520" spans="5:10" s="34" customFormat="1" x14ac:dyDescent="0.35">
      <c r="E6520" s="35"/>
      <c r="J6520" s="41"/>
    </row>
    <row r="6521" spans="5:10" s="34" customFormat="1" x14ac:dyDescent="0.35">
      <c r="E6521" s="35"/>
      <c r="J6521" s="41"/>
    </row>
    <row r="6522" spans="5:10" s="34" customFormat="1" x14ac:dyDescent="0.35">
      <c r="E6522" s="35"/>
      <c r="J6522" s="41"/>
    </row>
    <row r="6523" spans="5:10" s="34" customFormat="1" x14ac:dyDescent="0.35">
      <c r="E6523" s="35"/>
      <c r="J6523" s="41"/>
    </row>
    <row r="6524" spans="5:10" s="34" customFormat="1" x14ac:dyDescent="0.35">
      <c r="E6524" s="35"/>
      <c r="J6524" s="41"/>
    </row>
    <row r="6525" spans="5:10" s="34" customFormat="1" x14ac:dyDescent="0.35">
      <c r="E6525" s="35"/>
      <c r="J6525" s="41"/>
    </row>
    <row r="6526" spans="5:10" s="34" customFormat="1" x14ac:dyDescent="0.35">
      <c r="E6526" s="35"/>
      <c r="J6526" s="41"/>
    </row>
    <row r="6527" spans="5:10" s="34" customFormat="1" x14ac:dyDescent="0.35">
      <c r="E6527" s="35"/>
      <c r="J6527" s="41"/>
    </row>
    <row r="6528" spans="5:10" s="34" customFormat="1" x14ac:dyDescent="0.35">
      <c r="E6528" s="35"/>
      <c r="J6528" s="41"/>
    </row>
    <row r="6529" spans="5:10" s="34" customFormat="1" x14ac:dyDescent="0.35">
      <c r="E6529" s="35"/>
      <c r="J6529" s="41"/>
    </row>
    <row r="6530" spans="5:10" s="34" customFormat="1" x14ac:dyDescent="0.35">
      <c r="E6530" s="35"/>
      <c r="J6530" s="41"/>
    </row>
    <row r="6531" spans="5:10" s="34" customFormat="1" x14ac:dyDescent="0.35">
      <c r="E6531" s="35"/>
      <c r="J6531" s="41"/>
    </row>
    <row r="6532" spans="5:10" s="34" customFormat="1" x14ac:dyDescent="0.35">
      <c r="E6532" s="35"/>
      <c r="J6532" s="41"/>
    </row>
    <row r="6533" spans="5:10" s="34" customFormat="1" x14ac:dyDescent="0.35">
      <c r="E6533" s="35"/>
      <c r="J6533" s="41"/>
    </row>
    <row r="6534" spans="5:10" s="34" customFormat="1" x14ac:dyDescent="0.35">
      <c r="E6534" s="35"/>
      <c r="J6534" s="41"/>
    </row>
    <row r="6535" spans="5:10" s="34" customFormat="1" x14ac:dyDescent="0.35">
      <c r="E6535" s="35"/>
      <c r="J6535" s="41"/>
    </row>
    <row r="6536" spans="5:10" s="34" customFormat="1" x14ac:dyDescent="0.35">
      <c r="E6536" s="35"/>
      <c r="J6536" s="41"/>
    </row>
    <row r="6537" spans="5:10" s="34" customFormat="1" x14ac:dyDescent="0.35">
      <c r="E6537" s="35"/>
      <c r="J6537" s="41"/>
    </row>
    <row r="6538" spans="5:10" s="34" customFormat="1" x14ac:dyDescent="0.35">
      <c r="E6538" s="35"/>
      <c r="J6538" s="41"/>
    </row>
    <row r="6539" spans="5:10" s="34" customFormat="1" x14ac:dyDescent="0.35">
      <c r="E6539" s="35"/>
      <c r="J6539" s="41"/>
    </row>
    <row r="6540" spans="5:10" s="34" customFormat="1" x14ac:dyDescent="0.35">
      <c r="E6540" s="35"/>
      <c r="J6540" s="41"/>
    </row>
    <row r="6541" spans="5:10" s="34" customFormat="1" x14ac:dyDescent="0.35">
      <c r="E6541" s="35"/>
      <c r="J6541" s="41"/>
    </row>
    <row r="6542" spans="5:10" s="34" customFormat="1" x14ac:dyDescent="0.35">
      <c r="E6542" s="35"/>
      <c r="J6542" s="41"/>
    </row>
    <row r="6543" spans="5:10" s="34" customFormat="1" x14ac:dyDescent="0.35">
      <c r="E6543" s="35"/>
      <c r="J6543" s="41"/>
    </row>
    <row r="6544" spans="5:10" s="34" customFormat="1" x14ac:dyDescent="0.35">
      <c r="E6544" s="35"/>
      <c r="J6544" s="41"/>
    </row>
    <row r="6545" spans="5:10" s="34" customFormat="1" x14ac:dyDescent="0.35">
      <c r="E6545" s="35"/>
      <c r="J6545" s="41"/>
    </row>
    <row r="6546" spans="5:10" s="34" customFormat="1" x14ac:dyDescent="0.35">
      <c r="E6546" s="35"/>
      <c r="J6546" s="41"/>
    </row>
    <row r="6547" spans="5:10" s="34" customFormat="1" x14ac:dyDescent="0.35">
      <c r="E6547" s="35"/>
      <c r="J6547" s="41"/>
    </row>
    <row r="6548" spans="5:10" s="34" customFormat="1" x14ac:dyDescent="0.35">
      <c r="E6548" s="35"/>
      <c r="J6548" s="41"/>
    </row>
    <row r="6549" spans="5:10" s="34" customFormat="1" x14ac:dyDescent="0.35">
      <c r="E6549" s="35"/>
      <c r="J6549" s="41"/>
    </row>
    <row r="6550" spans="5:10" s="34" customFormat="1" x14ac:dyDescent="0.35">
      <c r="E6550" s="35"/>
      <c r="J6550" s="41"/>
    </row>
    <row r="6551" spans="5:10" s="34" customFormat="1" x14ac:dyDescent="0.35">
      <c r="E6551" s="35"/>
      <c r="J6551" s="41"/>
    </row>
    <row r="6552" spans="5:10" s="34" customFormat="1" x14ac:dyDescent="0.35">
      <c r="E6552" s="35"/>
      <c r="J6552" s="41"/>
    </row>
    <row r="6553" spans="5:10" s="34" customFormat="1" x14ac:dyDescent="0.35">
      <c r="E6553" s="35"/>
      <c r="J6553" s="41"/>
    </row>
    <row r="6554" spans="5:10" s="34" customFormat="1" x14ac:dyDescent="0.35">
      <c r="E6554" s="35"/>
      <c r="J6554" s="41"/>
    </row>
    <row r="6555" spans="5:10" s="34" customFormat="1" x14ac:dyDescent="0.35">
      <c r="E6555" s="35"/>
      <c r="J6555" s="41"/>
    </row>
    <row r="6556" spans="5:10" s="34" customFormat="1" x14ac:dyDescent="0.35">
      <c r="E6556" s="35"/>
      <c r="J6556" s="41"/>
    </row>
    <row r="6557" spans="5:10" s="34" customFormat="1" x14ac:dyDescent="0.35">
      <c r="E6557" s="35"/>
      <c r="J6557" s="41"/>
    </row>
    <row r="6558" spans="5:10" s="34" customFormat="1" x14ac:dyDescent="0.35">
      <c r="E6558" s="35"/>
      <c r="J6558" s="41"/>
    </row>
    <row r="6559" spans="5:10" s="34" customFormat="1" x14ac:dyDescent="0.35">
      <c r="E6559" s="35"/>
      <c r="J6559" s="41"/>
    </row>
    <row r="6560" spans="5:10" s="34" customFormat="1" x14ac:dyDescent="0.35">
      <c r="E6560" s="35"/>
      <c r="J6560" s="41"/>
    </row>
    <row r="6561" spans="5:10" s="34" customFormat="1" x14ac:dyDescent="0.35">
      <c r="E6561" s="35"/>
      <c r="J6561" s="41"/>
    </row>
    <row r="6562" spans="5:10" s="34" customFormat="1" x14ac:dyDescent="0.35">
      <c r="E6562" s="35"/>
      <c r="J6562" s="41"/>
    </row>
    <row r="6563" spans="5:10" s="34" customFormat="1" x14ac:dyDescent="0.35">
      <c r="E6563" s="35"/>
      <c r="J6563" s="41"/>
    </row>
    <row r="6564" spans="5:10" s="34" customFormat="1" x14ac:dyDescent="0.35">
      <c r="E6564" s="35"/>
      <c r="J6564" s="41"/>
    </row>
    <row r="6565" spans="5:10" s="34" customFormat="1" x14ac:dyDescent="0.35">
      <c r="E6565" s="35"/>
      <c r="J6565" s="41"/>
    </row>
    <row r="6566" spans="5:10" s="34" customFormat="1" x14ac:dyDescent="0.35">
      <c r="E6566" s="35"/>
      <c r="J6566" s="41"/>
    </row>
    <row r="6567" spans="5:10" s="34" customFormat="1" x14ac:dyDescent="0.35">
      <c r="E6567" s="35"/>
      <c r="J6567" s="41"/>
    </row>
    <row r="6568" spans="5:10" s="34" customFormat="1" x14ac:dyDescent="0.35">
      <c r="E6568" s="35"/>
      <c r="J6568" s="41"/>
    </row>
    <row r="6569" spans="5:10" s="34" customFormat="1" x14ac:dyDescent="0.35">
      <c r="E6569" s="35"/>
      <c r="J6569" s="41"/>
    </row>
    <row r="6570" spans="5:10" s="34" customFormat="1" x14ac:dyDescent="0.35">
      <c r="E6570" s="35"/>
      <c r="J6570" s="41"/>
    </row>
    <row r="6571" spans="5:10" s="34" customFormat="1" x14ac:dyDescent="0.35">
      <c r="E6571" s="35"/>
      <c r="J6571" s="41"/>
    </row>
    <row r="6572" spans="5:10" s="34" customFormat="1" x14ac:dyDescent="0.35">
      <c r="E6572" s="35"/>
      <c r="J6572" s="41"/>
    </row>
    <row r="6573" spans="5:10" s="34" customFormat="1" x14ac:dyDescent="0.35">
      <c r="E6573" s="35"/>
      <c r="J6573" s="41"/>
    </row>
    <row r="6574" spans="5:10" s="34" customFormat="1" x14ac:dyDescent="0.35">
      <c r="E6574" s="35"/>
      <c r="J6574" s="41"/>
    </row>
    <row r="6575" spans="5:10" s="34" customFormat="1" x14ac:dyDescent="0.35">
      <c r="E6575" s="35"/>
      <c r="J6575" s="41"/>
    </row>
    <row r="6576" spans="5:10" s="34" customFormat="1" x14ac:dyDescent="0.35">
      <c r="E6576" s="35"/>
      <c r="J6576" s="41"/>
    </row>
    <row r="6577" spans="5:10" s="34" customFormat="1" x14ac:dyDescent="0.35">
      <c r="E6577" s="35"/>
      <c r="J6577" s="41"/>
    </row>
    <row r="6578" spans="5:10" s="34" customFormat="1" x14ac:dyDescent="0.35">
      <c r="E6578" s="35"/>
      <c r="J6578" s="41"/>
    </row>
    <row r="6579" spans="5:10" s="34" customFormat="1" x14ac:dyDescent="0.35">
      <c r="E6579" s="35"/>
      <c r="J6579" s="41"/>
    </row>
    <row r="6580" spans="5:10" s="34" customFormat="1" x14ac:dyDescent="0.35">
      <c r="E6580" s="35"/>
      <c r="J6580" s="41"/>
    </row>
    <row r="6581" spans="5:10" s="34" customFormat="1" x14ac:dyDescent="0.35">
      <c r="E6581" s="35"/>
      <c r="J6581" s="41"/>
    </row>
    <row r="6582" spans="5:10" s="34" customFormat="1" x14ac:dyDescent="0.35">
      <c r="E6582" s="35"/>
      <c r="J6582" s="41"/>
    </row>
    <row r="6583" spans="5:10" s="34" customFormat="1" x14ac:dyDescent="0.35">
      <c r="E6583" s="35"/>
      <c r="J6583" s="41"/>
    </row>
    <row r="6584" spans="5:10" s="34" customFormat="1" x14ac:dyDescent="0.35">
      <c r="E6584" s="35"/>
      <c r="J6584" s="41"/>
    </row>
    <row r="6585" spans="5:10" s="34" customFormat="1" x14ac:dyDescent="0.35">
      <c r="E6585" s="35"/>
      <c r="J6585" s="41"/>
    </row>
    <row r="6586" spans="5:10" s="34" customFormat="1" x14ac:dyDescent="0.35">
      <c r="E6586" s="35"/>
      <c r="J6586" s="41"/>
    </row>
    <row r="6587" spans="5:10" s="34" customFormat="1" x14ac:dyDescent="0.35">
      <c r="E6587" s="35"/>
      <c r="J6587" s="41"/>
    </row>
    <row r="6588" spans="5:10" s="34" customFormat="1" x14ac:dyDescent="0.35">
      <c r="E6588" s="35"/>
      <c r="J6588" s="41"/>
    </row>
    <row r="6589" spans="5:10" s="34" customFormat="1" x14ac:dyDescent="0.35">
      <c r="E6589" s="35"/>
      <c r="J6589" s="41"/>
    </row>
    <row r="6590" spans="5:10" s="34" customFormat="1" x14ac:dyDescent="0.35">
      <c r="E6590" s="35"/>
      <c r="J6590" s="41"/>
    </row>
    <row r="6591" spans="5:10" s="34" customFormat="1" x14ac:dyDescent="0.35">
      <c r="E6591" s="35"/>
      <c r="J6591" s="41"/>
    </row>
    <row r="6592" spans="5:10" s="34" customFormat="1" x14ac:dyDescent="0.35">
      <c r="E6592" s="35"/>
      <c r="J6592" s="41"/>
    </row>
    <row r="6593" spans="5:10" s="34" customFormat="1" x14ac:dyDescent="0.35">
      <c r="E6593" s="35"/>
      <c r="J6593" s="41"/>
    </row>
    <row r="6594" spans="5:10" s="34" customFormat="1" x14ac:dyDescent="0.35">
      <c r="E6594" s="35"/>
      <c r="J6594" s="41"/>
    </row>
    <row r="6595" spans="5:10" s="34" customFormat="1" x14ac:dyDescent="0.35">
      <c r="E6595" s="35"/>
      <c r="J6595" s="41"/>
    </row>
    <row r="6596" spans="5:10" s="34" customFormat="1" x14ac:dyDescent="0.35">
      <c r="E6596" s="35"/>
      <c r="J6596" s="41"/>
    </row>
    <row r="6597" spans="5:10" s="34" customFormat="1" x14ac:dyDescent="0.35">
      <c r="E6597" s="35"/>
      <c r="J6597" s="41"/>
    </row>
    <row r="6598" spans="5:10" s="34" customFormat="1" x14ac:dyDescent="0.35">
      <c r="E6598" s="35"/>
      <c r="J6598" s="41"/>
    </row>
    <row r="6599" spans="5:10" s="34" customFormat="1" x14ac:dyDescent="0.35">
      <c r="E6599" s="35"/>
      <c r="J6599" s="41"/>
    </row>
    <row r="6600" spans="5:10" s="34" customFormat="1" x14ac:dyDescent="0.35">
      <c r="E6600" s="35"/>
      <c r="J6600" s="41"/>
    </row>
    <row r="6601" spans="5:10" s="34" customFormat="1" x14ac:dyDescent="0.35">
      <c r="E6601" s="35"/>
      <c r="J6601" s="41"/>
    </row>
    <row r="6602" spans="5:10" s="34" customFormat="1" x14ac:dyDescent="0.35">
      <c r="E6602" s="35"/>
      <c r="J6602" s="41"/>
    </row>
    <row r="6603" spans="5:10" s="34" customFormat="1" x14ac:dyDescent="0.35">
      <c r="E6603" s="35"/>
      <c r="J6603" s="41"/>
    </row>
    <row r="6604" spans="5:10" s="34" customFormat="1" x14ac:dyDescent="0.35">
      <c r="E6604" s="35"/>
      <c r="J6604" s="41"/>
    </row>
    <row r="6605" spans="5:10" s="34" customFormat="1" x14ac:dyDescent="0.35">
      <c r="E6605" s="35"/>
      <c r="J6605" s="41"/>
    </row>
    <row r="6606" spans="5:10" s="34" customFormat="1" x14ac:dyDescent="0.35">
      <c r="E6606" s="35"/>
      <c r="J6606" s="41"/>
    </row>
    <row r="6607" spans="5:10" s="34" customFormat="1" x14ac:dyDescent="0.35">
      <c r="E6607" s="35"/>
      <c r="J6607" s="41"/>
    </row>
    <row r="6608" spans="5:10" s="34" customFormat="1" x14ac:dyDescent="0.35">
      <c r="E6608" s="35"/>
      <c r="J6608" s="41"/>
    </row>
    <row r="6609" spans="5:10" s="34" customFormat="1" x14ac:dyDescent="0.35">
      <c r="E6609" s="35"/>
      <c r="J6609" s="41"/>
    </row>
    <row r="6610" spans="5:10" s="34" customFormat="1" x14ac:dyDescent="0.35">
      <c r="E6610" s="35"/>
      <c r="J6610" s="41"/>
    </row>
    <row r="6611" spans="5:10" s="34" customFormat="1" x14ac:dyDescent="0.35">
      <c r="E6611" s="35"/>
      <c r="J6611" s="41"/>
    </row>
    <row r="6612" spans="5:10" s="34" customFormat="1" x14ac:dyDescent="0.35">
      <c r="E6612" s="35"/>
      <c r="J6612" s="41"/>
    </row>
    <row r="6613" spans="5:10" s="34" customFormat="1" x14ac:dyDescent="0.35">
      <c r="E6613" s="35"/>
      <c r="J6613" s="41"/>
    </row>
    <row r="6614" spans="5:10" s="34" customFormat="1" x14ac:dyDescent="0.35">
      <c r="E6614" s="35"/>
      <c r="J6614" s="41"/>
    </row>
    <row r="6615" spans="5:10" s="34" customFormat="1" x14ac:dyDescent="0.35">
      <c r="E6615" s="35"/>
      <c r="J6615" s="41"/>
    </row>
    <row r="6616" spans="5:10" s="34" customFormat="1" x14ac:dyDescent="0.35">
      <c r="E6616" s="35"/>
      <c r="J6616" s="41"/>
    </row>
    <row r="6617" spans="5:10" s="34" customFormat="1" x14ac:dyDescent="0.35">
      <c r="E6617" s="35"/>
      <c r="J6617" s="41"/>
    </row>
    <row r="6618" spans="5:10" s="34" customFormat="1" x14ac:dyDescent="0.35">
      <c r="E6618" s="35"/>
      <c r="J6618" s="41"/>
    </row>
    <row r="6619" spans="5:10" s="34" customFormat="1" x14ac:dyDescent="0.35">
      <c r="E6619" s="35"/>
      <c r="J6619" s="41"/>
    </row>
    <row r="6620" spans="5:10" s="34" customFormat="1" x14ac:dyDescent="0.35">
      <c r="E6620" s="35"/>
      <c r="J6620" s="41"/>
    </row>
    <row r="6621" spans="5:10" s="34" customFormat="1" x14ac:dyDescent="0.35">
      <c r="E6621" s="35"/>
      <c r="J6621" s="41"/>
    </row>
    <row r="6622" spans="5:10" s="34" customFormat="1" x14ac:dyDescent="0.35">
      <c r="E6622" s="35"/>
      <c r="J6622" s="41"/>
    </row>
    <row r="6623" spans="5:10" s="34" customFormat="1" x14ac:dyDescent="0.35">
      <c r="E6623" s="35"/>
      <c r="J6623" s="41"/>
    </row>
    <row r="6624" spans="5:10" s="34" customFormat="1" x14ac:dyDescent="0.35">
      <c r="E6624" s="35"/>
      <c r="J6624" s="41"/>
    </row>
    <row r="6625" spans="5:10" s="34" customFormat="1" x14ac:dyDescent="0.35">
      <c r="E6625" s="35"/>
      <c r="J6625" s="41"/>
    </row>
    <row r="6626" spans="5:10" s="34" customFormat="1" x14ac:dyDescent="0.35">
      <c r="E6626" s="35"/>
      <c r="J6626" s="41"/>
    </row>
    <row r="6627" spans="5:10" s="34" customFormat="1" x14ac:dyDescent="0.35">
      <c r="E6627" s="35"/>
      <c r="J6627" s="41"/>
    </row>
    <row r="6628" spans="5:10" s="34" customFormat="1" x14ac:dyDescent="0.35">
      <c r="E6628" s="35"/>
      <c r="J6628" s="41"/>
    </row>
    <row r="6629" spans="5:10" s="34" customFormat="1" x14ac:dyDescent="0.35">
      <c r="E6629" s="35"/>
      <c r="J6629" s="41"/>
    </row>
    <row r="6630" spans="5:10" s="34" customFormat="1" x14ac:dyDescent="0.35">
      <c r="E6630" s="35"/>
      <c r="J6630" s="41"/>
    </row>
    <row r="6631" spans="5:10" s="34" customFormat="1" x14ac:dyDescent="0.35">
      <c r="E6631" s="35"/>
      <c r="J6631" s="41"/>
    </row>
    <row r="6632" spans="5:10" s="34" customFormat="1" x14ac:dyDescent="0.35">
      <c r="E6632" s="35"/>
      <c r="J6632" s="41"/>
    </row>
    <row r="6633" spans="5:10" s="34" customFormat="1" x14ac:dyDescent="0.35">
      <c r="E6633" s="35"/>
      <c r="J6633" s="41"/>
    </row>
    <row r="6634" spans="5:10" s="34" customFormat="1" x14ac:dyDescent="0.35">
      <c r="E6634" s="35"/>
      <c r="J6634" s="41"/>
    </row>
    <row r="6635" spans="5:10" s="34" customFormat="1" x14ac:dyDescent="0.35">
      <c r="E6635" s="35"/>
      <c r="J6635" s="41"/>
    </row>
    <row r="6636" spans="5:10" s="34" customFormat="1" x14ac:dyDescent="0.35">
      <c r="E6636" s="35"/>
      <c r="J6636" s="41"/>
    </row>
    <row r="6637" spans="5:10" s="34" customFormat="1" x14ac:dyDescent="0.35">
      <c r="E6637" s="35"/>
      <c r="J6637" s="41"/>
    </row>
    <row r="6638" spans="5:10" s="34" customFormat="1" x14ac:dyDescent="0.35">
      <c r="E6638" s="35"/>
      <c r="J6638" s="41"/>
    </row>
    <row r="6639" spans="5:10" s="34" customFormat="1" x14ac:dyDescent="0.35">
      <c r="E6639" s="35"/>
      <c r="J6639" s="41"/>
    </row>
    <row r="6640" spans="5:10" s="34" customFormat="1" x14ac:dyDescent="0.35">
      <c r="E6640" s="35"/>
      <c r="J6640" s="41"/>
    </row>
    <row r="6641" spans="5:10" s="34" customFormat="1" x14ac:dyDescent="0.35">
      <c r="E6641" s="35"/>
      <c r="J6641" s="41"/>
    </row>
    <row r="6642" spans="5:10" s="34" customFormat="1" x14ac:dyDescent="0.35">
      <c r="E6642" s="35"/>
      <c r="J6642" s="41"/>
    </row>
    <row r="6643" spans="5:10" s="34" customFormat="1" x14ac:dyDescent="0.35">
      <c r="E6643" s="35"/>
      <c r="J6643" s="41"/>
    </row>
    <row r="6644" spans="5:10" s="34" customFormat="1" x14ac:dyDescent="0.35">
      <c r="E6644" s="35"/>
      <c r="J6644" s="41"/>
    </row>
    <row r="6645" spans="5:10" s="34" customFormat="1" x14ac:dyDescent="0.35">
      <c r="E6645" s="35"/>
      <c r="J6645" s="41"/>
    </row>
    <row r="6646" spans="5:10" s="34" customFormat="1" x14ac:dyDescent="0.35">
      <c r="E6646" s="35"/>
      <c r="J6646" s="41"/>
    </row>
    <row r="6647" spans="5:10" s="34" customFormat="1" x14ac:dyDescent="0.35">
      <c r="E6647" s="35"/>
      <c r="J6647" s="41"/>
    </row>
    <row r="6648" spans="5:10" s="34" customFormat="1" x14ac:dyDescent="0.35">
      <c r="E6648" s="35"/>
      <c r="J6648" s="41"/>
    </row>
    <row r="6649" spans="5:10" s="34" customFormat="1" x14ac:dyDescent="0.35">
      <c r="E6649" s="35"/>
      <c r="J6649" s="41"/>
    </row>
    <row r="6650" spans="5:10" s="34" customFormat="1" x14ac:dyDescent="0.35">
      <c r="E6650" s="35"/>
      <c r="J6650" s="41"/>
    </row>
    <row r="6651" spans="5:10" s="34" customFormat="1" x14ac:dyDescent="0.35">
      <c r="E6651" s="35"/>
      <c r="J6651" s="41"/>
    </row>
    <row r="6652" spans="5:10" s="34" customFormat="1" x14ac:dyDescent="0.35">
      <c r="E6652" s="35"/>
      <c r="J6652" s="41"/>
    </row>
    <row r="6653" spans="5:10" s="34" customFormat="1" x14ac:dyDescent="0.35">
      <c r="E6653" s="35"/>
      <c r="J6653" s="41"/>
    </row>
    <row r="6654" spans="5:10" s="34" customFormat="1" x14ac:dyDescent="0.35">
      <c r="E6654" s="35"/>
      <c r="J6654" s="41"/>
    </row>
    <row r="6655" spans="5:10" s="34" customFormat="1" x14ac:dyDescent="0.35">
      <c r="E6655" s="35"/>
      <c r="J6655" s="41"/>
    </row>
    <row r="6656" spans="5:10" s="34" customFormat="1" x14ac:dyDescent="0.35">
      <c r="E6656" s="35"/>
      <c r="J6656" s="41"/>
    </row>
    <row r="6657" spans="5:10" s="34" customFormat="1" x14ac:dyDescent="0.35">
      <c r="E6657" s="35"/>
      <c r="J6657" s="41"/>
    </row>
    <row r="6658" spans="5:10" s="34" customFormat="1" x14ac:dyDescent="0.35">
      <c r="E6658" s="35"/>
      <c r="J6658" s="41"/>
    </row>
    <row r="6659" spans="5:10" s="34" customFormat="1" x14ac:dyDescent="0.35">
      <c r="E6659" s="35"/>
      <c r="J6659" s="41"/>
    </row>
    <row r="6660" spans="5:10" s="34" customFormat="1" x14ac:dyDescent="0.35">
      <c r="E6660" s="35"/>
      <c r="J6660" s="41"/>
    </row>
    <row r="6661" spans="5:10" s="34" customFormat="1" x14ac:dyDescent="0.35">
      <c r="E6661" s="35"/>
      <c r="J6661" s="41"/>
    </row>
    <row r="6662" spans="5:10" s="34" customFormat="1" x14ac:dyDescent="0.35">
      <c r="E6662" s="35"/>
      <c r="J6662" s="41"/>
    </row>
    <row r="6663" spans="5:10" s="34" customFormat="1" x14ac:dyDescent="0.35">
      <c r="E6663" s="35"/>
      <c r="J6663" s="41"/>
    </row>
    <row r="6664" spans="5:10" s="34" customFormat="1" x14ac:dyDescent="0.35">
      <c r="E6664" s="35"/>
      <c r="J6664" s="41"/>
    </row>
    <row r="6665" spans="5:10" s="34" customFormat="1" x14ac:dyDescent="0.35">
      <c r="E6665" s="35"/>
      <c r="J6665" s="41"/>
    </row>
    <row r="6666" spans="5:10" s="34" customFormat="1" x14ac:dyDescent="0.35">
      <c r="E6666" s="35"/>
      <c r="J6666" s="41"/>
    </row>
    <row r="6667" spans="5:10" s="34" customFormat="1" x14ac:dyDescent="0.35">
      <c r="E6667" s="35"/>
      <c r="J6667" s="41"/>
    </row>
    <row r="6668" spans="5:10" s="34" customFormat="1" x14ac:dyDescent="0.35">
      <c r="E6668" s="35"/>
      <c r="J6668" s="41"/>
    </row>
    <row r="6669" spans="5:10" s="34" customFormat="1" x14ac:dyDescent="0.35">
      <c r="E6669" s="35"/>
      <c r="J6669" s="41"/>
    </row>
    <row r="6670" spans="5:10" s="34" customFormat="1" x14ac:dyDescent="0.35">
      <c r="E6670" s="35"/>
      <c r="J6670" s="41"/>
    </row>
    <row r="6671" spans="5:10" s="34" customFormat="1" x14ac:dyDescent="0.35">
      <c r="E6671" s="35"/>
      <c r="J6671" s="41"/>
    </row>
    <row r="6672" spans="5:10" s="34" customFormat="1" x14ac:dyDescent="0.35">
      <c r="E6672" s="35"/>
      <c r="J6672" s="41"/>
    </row>
    <row r="6673" spans="5:10" s="34" customFormat="1" x14ac:dyDescent="0.35">
      <c r="E6673" s="35"/>
      <c r="J6673" s="41"/>
    </row>
    <row r="6674" spans="5:10" s="34" customFormat="1" x14ac:dyDescent="0.35">
      <c r="E6674" s="35"/>
      <c r="J6674" s="41"/>
    </row>
    <row r="6675" spans="5:10" s="34" customFormat="1" x14ac:dyDescent="0.35">
      <c r="E6675" s="35"/>
      <c r="J6675" s="41"/>
    </row>
    <row r="6676" spans="5:10" s="34" customFormat="1" x14ac:dyDescent="0.35">
      <c r="E6676" s="35"/>
      <c r="J6676" s="41"/>
    </row>
    <row r="6677" spans="5:10" s="34" customFormat="1" x14ac:dyDescent="0.35">
      <c r="E6677" s="35"/>
      <c r="J6677" s="41"/>
    </row>
    <row r="6678" spans="5:10" s="34" customFormat="1" x14ac:dyDescent="0.35">
      <c r="E6678" s="35"/>
      <c r="J6678" s="41"/>
    </row>
    <row r="6679" spans="5:10" s="34" customFormat="1" x14ac:dyDescent="0.35">
      <c r="E6679" s="35"/>
      <c r="J6679" s="41"/>
    </row>
    <row r="6680" spans="5:10" s="34" customFormat="1" x14ac:dyDescent="0.35">
      <c r="E6680" s="35"/>
      <c r="J6680" s="41"/>
    </row>
    <row r="6681" spans="5:10" s="34" customFormat="1" x14ac:dyDescent="0.35">
      <c r="E6681" s="35"/>
      <c r="J6681" s="41"/>
    </row>
    <row r="6682" spans="5:10" s="34" customFormat="1" x14ac:dyDescent="0.35">
      <c r="E6682" s="35"/>
      <c r="J6682" s="41"/>
    </row>
    <row r="6683" spans="5:10" s="34" customFormat="1" x14ac:dyDescent="0.35">
      <c r="E6683" s="35"/>
      <c r="J6683" s="41"/>
    </row>
    <row r="6684" spans="5:10" s="34" customFormat="1" x14ac:dyDescent="0.35">
      <c r="E6684" s="35"/>
      <c r="J6684" s="41"/>
    </row>
    <row r="6685" spans="5:10" s="34" customFormat="1" x14ac:dyDescent="0.35">
      <c r="E6685" s="35"/>
      <c r="J6685" s="41"/>
    </row>
    <row r="6686" spans="5:10" s="34" customFormat="1" x14ac:dyDescent="0.35">
      <c r="E6686" s="35"/>
      <c r="J6686" s="41"/>
    </row>
    <row r="6687" spans="5:10" s="34" customFormat="1" x14ac:dyDescent="0.35">
      <c r="E6687" s="35"/>
      <c r="J6687" s="41"/>
    </row>
    <row r="6688" spans="5:10" s="34" customFormat="1" x14ac:dyDescent="0.35">
      <c r="E6688" s="35"/>
      <c r="J6688" s="41"/>
    </row>
    <row r="6689" spans="5:10" s="34" customFormat="1" x14ac:dyDescent="0.35">
      <c r="E6689" s="35"/>
      <c r="J6689" s="41"/>
    </row>
    <row r="6690" spans="5:10" s="34" customFormat="1" x14ac:dyDescent="0.35">
      <c r="E6690" s="35"/>
      <c r="J6690" s="41"/>
    </row>
    <row r="6691" spans="5:10" s="34" customFormat="1" x14ac:dyDescent="0.35">
      <c r="E6691" s="35"/>
      <c r="J6691" s="41"/>
    </row>
    <row r="6692" spans="5:10" s="34" customFormat="1" x14ac:dyDescent="0.35">
      <c r="E6692" s="35"/>
      <c r="J6692" s="41"/>
    </row>
    <row r="6693" spans="5:10" s="34" customFormat="1" x14ac:dyDescent="0.35">
      <c r="E6693" s="35"/>
      <c r="J6693" s="41"/>
    </row>
    <row r="6694" spans="5:10" s="34" customFormat="1" x14ac:dyDescent="0.35">
      <c r="E6694" s="35"/>
      <c r="J6694" s="41"/>
    </row>
    <row r="6695" spans="5:10" s="34" customFormat="1" x14ac:dyDescent="0.35">
      <c r="E6695" s="35"/>
      <c r="J6695" s="41"/>
    </row>
    <row r="6696" spans="5:10" s="34" customFormat="1" x14ac:dyDescent="0.35">
      <c r="E6696" s="35"/>
      <c r="J6696" s="41"/>
    </row>
    <row r="6697" spans="5:10" s="34" customFormat="1" x14ac:dyDescent="0.35">
      <c r="E6697" s="35"/>
      <c r="J6697" s="41"/>
    </row>
    <row r="6698" spans="5:10" s="34" customFormat="1" x14ac:dyDescent="0.35">
      <c r="E6698" s="35"/>
      <c r="J6698" s="41"/>
    </row>
    <row r="6699" spans="5:10" s="34" customFormat="1" x14ac:dyDescent="0.35">
      <c r="E6699" s="35"/>
      <c r="J6699" s="41"/>
    </row>
    <row r="6700" spans="5:10" s="34" customFormat="1" x14ac:dyDescent="0.35">
      <c r="E6700" s="35"/>
      <c r="J6700" s="41"/>
    </row>
    <row r="6701" spans="5:10" s="34" customFormat="1" x14ac:dyDescent="0.35">
      <c r="E6701" s="35"/>
      <c r="J6701" s="41"/>
    </row>
    <row r="6702" spans="5:10" s="34" customFormat="1" x14ac:dyDescent="0.35">
      <c r="E6702" s="35"/>
      <c r="J6702" s="41"/>
    </row>
    <row r="6703" spans="5:10" s="34" customFormat="1" x14ac:dyDescent="0.35">
      <c r="E6703" s="35"/>
      <c r="J6703" s="41"/>
    </row>
    <row r="6704" spans="5:10" s="34" customFormat="1" x14ac:dyDescent="0.35">
      <c r="E6704" s="35"/>
      <c r="J6704" s="41"/>
    </row>
    <row r="6705" spans="5:10" s="34" customFormat="1" x14ac:dyDescent="0.35">
      <c r="E6705" s="35"/>
      <c r="J6705" s="41"/>
    </row>
    <row r="6706" spans="5:10" s="34" customFormat="1" x14ac:dyDescent="0.35">
      <c r="E6706" s="35"/>
      <c r="J6706" s="41"/>
    </row>
    <row r="6707" spans="5:10" s="34" customFormat="1" x14ac:dyDescent="0.35">
      <c r="E6707" s="35"/>
      <c r="J6707" s="41"/>
    </row>
    <row r="6708" spans="5:10" s="34" customFormat="1" x14ac:dyDescent="0.35">
      <c r="E6708" s="35"/>
      <c r="J6708" s="41"/>
    </row>
    <row r="6709" spans="5:10" s="34" customFormat="1" x14ac:dyDescent="0.35">
      <c r="E6709" s="35"/>
      <c r="J6709" s="41"/>
    </row>
    <row r="6710" spans="5:10" s="34" customFormat="1" x14ac:dyDescent="0.35">
      <c r="E6710" s="35"/>
      <c r="J6710" s="41"/>
    </row>
    <row r="6711" spans="5:10" s="34" customFormat="1" x14ac:dyDescent="0.35">
      <c r="E6711" s="35"/>
      <c r="J6711" s="41"/>
    </row>
    <row r="6712" spans="5:10" s="34" customFormat="1" x14ac:dyDescent="0.35">
      <c r="E6712" s="35"/>
      <c r="J6712" s="41"/>
    </row>
    <row r="6713" spans="5:10" s="34" customFormat="1" x14ac:dyDescent="0.35">
      <c r="E6713" s="35"/>
      <c r="J6713" s="41"/>
    </row>
    <row r="6714" spans="5:10" s="34" customFormat="1" x14ac:dyDescent="0.35">
      <c r="E6714" s="35"/>
      <c r="J6714" s="41"/>
    </row>
    <row r="6715" spans="5:10" s="34" customFormat="1" x14ac:dyDescent="0.35">
      <c r="E6715" s="35"/>
      <c r="J6715" s="41"/>
    </row>
    <row r="6716" spans="5:10" s="34" customFormat="1" x14ac:dyDescent="0.35">
      <c r="E6716" s="35"/>
      <c r="J6716" s="41"/>
    </row>
    <row r="6717" spans="5:10" s="34" customFormat="1" x14ac:dyDescent="0.35">
      <c r="E6717" s="35"/>
      <c r="J6717" s="41"/>
    </row>
    <row r="6718" spans="5:10" s="34" customFormat="1" x14ac:dyDescent="0.35">
      <c r="E6718" s="35"/>
      <c r="J6718" s="41"/>
    </row>
    <row r="6719" spans="5:10" s="34" customFormat="1" x14ac:dyDescent="0.35">
      <c r="E6719" s="35"/>
      <c r="J6719" s="41"/>
    </row>
    <row r="6720" spans="5:10" s="34" customFormat="1" x14ac:dyDescent="0.35">
      <c r="E6720" s="35"/>
      <c r="J6720" s="41"/>
    </row>
    <row r="6721" spans="5:10" s="34" customFormat="1" x14ac:dyDescent="0.35">
      <c r="E6721" s="35"/>
      <c r="J6721" s="41"/>
    </row>
    <row r="6722" spans="5:10" s="34" customFormat="1" x14ac:dyDescent="0.35">
      <c r="E6722" s="35"/>
      <c r="J6722" s="41"/>
    </row>
    <row r="6723" spans="5:10" s="34" customFormat="1" x14ac:dyDescent="0.35">
      <c r="E6723" s="35"/>
      <c r="J6723" s="41"/>
    </row>
    <row r="6724" spans="5:10" s="34" customFormat="1" x14ac:dyDescent="0.35">
      <c r="E6724" s="35"/>
      <c r="J6724" s="41"/>
    </row>
    <row r="6725" spans="5:10" s="34" customFormat="1" x14ac:dyDescent="0.35">
      <c r="E6725" s="35"/>
      <c r="J6725" s="41"/>
    </row>
    <row r="6726" spans="5:10" s="34" customFormat="1" x14ac:dyDescent="0.35">
      <c r="E6726" s="35"/>
      <c r="J6726" s="41"/>
    </row>
    <row r="6727" spans="5:10" s="34" customFormat="1" x14ac:dyDescent="0.35">
      <c r="E6727" s="35"/>
      <c r="J6727" s="41"/>
    </row>
    <row r="6728" spans="5:10" s="34" customFormat="1" x14ac:dyDescent="0.35">
      <c r="E6728" s="35"/>
      <c r="J6728" s="41"/>
    </row>
    <row r="6729" spans="5:10" s="34" customFormat="1" x14ac:dyDescent="0.35">
      <c r="E6729" s="35"/>
      <c r="J6729" s="41"/>
    </row>
    <row r="6730" spans="5:10" s="34" customFormat="1" x14ac:dyDescent="0.35">
      <c r="E6730" s="35"/>
      <c r="J6730" s="41"/>
    </row>
    <row r="6731" spans="5:10" s="34" customFormat="1" x14ac:dyDescent="0.35">
      <c r="E6731" s="35"/>
      <c r="J6731" s="41"/>
    </row>
    <row r="6732" spans="5:10" s="34" customFormat="1" x14ac:dyDescent="0.35">
      <c r="E6732" s="35"/>
      <c r="J6732" s="41"/>
    </row>
    <row r="6733" spans="5:10" s="34" customFormat="1" x14ac:dyDescent="0.35">
      <c r="E6733" s="35"/>
      <c r="J6733" s="41"/>
    </row>
    <row r="6734" spans="5:10" s="34" customFormat="1" x14ac:dyDescent="0.35">
      <c r="E6734" s="35"/>
      <c r="J6734" s="41"/>
    </row>
    <row r="6735" spans="5:10" s="34" customFormat="1" x14ac:dyDescent="0.35">
      <c r="E6735" s="35"/>
      <c r="J6735" s="41"/>
    </row>
    <row r="6736" spans="5:10" s="34" customFormat="1" x14ac:dyDescent="0.35">
      <c r="E6736" s="35"/>
      <c r="J6736" s="41"/>
    </row>
    <row r="6737" spans="5:10" s="34" customFormat="1" x14ac:dyDescent="0.35">
      <c r="E6737" s="35"/>
      <c r="J6737" s="41"/>
    </row>
    <row r="6738" spans="5:10" s="34" customFormat="1" x14ac:dyDescent="0.35">
      <c r="E6738" s="35"/>
      <c r="J6738" s="41"/>
    </row>
    <row r="6739" spans="5:10" s="34" customFormat="1" x14ac:dyDescent="0.35">
      <c r="E6739" s="35"/>
      <c r="J6739" s="41"/>
    </row>
    <row r="6740" spans="5:10" s="34" customFormat="1" x14ac:dyDescent="0.35">
      <c r="E6740" s="35"/>
      <c r="J6740" s="41"/>
    </row>
    <row r="6741" spans="5:10" s="34" customFormat="1" x14ac:dyDescent="0.35">
      <c r="E6741" s="35"/>
      <c r="J6741" s="41"/>
    </row>
    <row r="6742" spans="5:10" s="34" customFormat="1" x14ac:dyDescent="0.35">
      <c r="E6742" s="35"/>
      <c r="J6742" s="41"/>
    </row>
    <row r="6743" spans="5:10" s="34" customFormat="1" x14ac:dyDescent="0.35">
      <c r="E6743" s="35"/>
      <c r="J6743" s="41"/>
    </row>
    <row r="6744" spans="5:10" s="34" customFormat="1" x14ac:dyDescent="0.35">
      <c r="E6744" s="35"/>
      <c r="J6744" s="41"/>
    </row>
    <row r="6745" spans="5:10" s="34" customFormat="1" x14ac:dyDescent="0.35">
      <c r="E6745" s="35"/>
      <c r="J6745" s="41"/>
    </row>
    <row r="6746" spans="5:10" s="34" customFormat="1" x14ac:dyDescent="0.35">
      <c r="E6746" s="35"/>
      <c r="J6746" s="41"/>
    </row>
    <row r="6747" spans="5:10" s="34" customFormat="1" x14ac:dyDescent="0.35">
      <c r="E6747" s="35"/>
      <c r="J6747" s="41"/>
    </row>
    <row r="6748" spans="5:10" s="34" customFormat="1" x14ac:dyDescent="0.35">
      <c r="E6748" s="35"/>
      <c r="J6748" s="41"/>
    </row>
    <row r="6749" spans="5:10" s="34" customFormat="1" x14ac:dyDescent="0.35">
      <c r="E6749" s="35"/>
      <c r="J6749" s="41"/>
    </row>
    <row r="6750" spans="5:10" s="34" customFormat="1" x14ac:dyDescent="0.35">
      <c r="E6750" s="35"/>
      <c r="J6750" s="41"/>
    </row>
    <row r="6751" spans="5:10" s="34" customFormat="1" x14ac:dyDescent="0.35">
      <c r="E6751" s="35"/>
      <c r="J6751" s="41"/>
    </row>
    <row r="6752" spans="5:10" s="34" customFormat="1" x14ac:dyDescent="0.35">
      <c r="E6752" s="35"/>
      <c r="J6752" s="41"/>
    </row>
    <row r="6753" spans="5:10" s="34" customFormat="1" x14ac:dyDescent="0.35">
      <c r="E6753" s="35"/>
      <c r="J6753" s="41"/>
    </row>
    <row r="6754" spans="5:10" s="34" customFormat="1" x14ac:dyDescent="0.35">
      <c r="E6754" s="35"/>
      <c r="J6754" s="41"/>
    </row>
    <row r="6755" spans="5:10" s="34" customFormat="1" x14ac:dyDescent="0.35">
      <c r="E6755" s="35"/>
      <c r="J6755" s="41"/>
    </row>
    <row r="6756" spans="5:10" s="34" customFormat="1" x14ac:dyDescent="0.35">
      <c r="E6756" s="35"/>
      <c r="J6756" s="41"/>
    </row>
    <row r="6757" spans="5:10" s="34" customFormat="1" x14ac:dyDescent="0.35">
      <c r="E6757" s="35"/>
      <c r="J6757" s="41"/>
    </row>
    <row r="6758" spans="5:10" s="34" customFormat="1" x14ac:dyDescent="0.35">
      <c r="E6758" s="35"/>
      <c r="J6758" s="41"/>
    </row>
    <row r="6759" spans="5:10" s="34" customFormat="1" x14ac:dyDescent="0.35">
      <c r="E6759" s="35"/>
      <c r="J6759" s="41"/>
    </row>
    <row r="6760" spans="5:10" s="34" customFormat="1" x14ac:dyDescent="0.35">
      <c r="E6760" s="35"/>
      <c r="J6760" s="41"/>
    </row>
    <row r="6761" spans="5:10" s="34" customFormat="1" x14ac:dyDescent="0.35">
      <c r="E6761" s="35"/>
      <c r="J6761" s="41"/>
    </row>
    <row r="6762" spans="5:10" s="34" customFormat="1" x14ac:dyDescent="0.35">
      <c r="E6762" s="35"/>
      <c r="J6762" s="41"/>
    </row>
    <row r="6763" spans="5:10" s="34" customFormat="1" x14ac:dyDescent="0.35">
      <c r="E6763" s="35"/>
      <c r="J6763" s="41"/>
    </row>
    <row r="6764" spans="5:10" s="34" customFormat="1" x14ac:dyDescent="0.35">
      <c r="E6764" s="35"/>
      <c r="J6764" s="41"/>
    </row>
    <row r="6765" spans="5:10" s="34" customFormat="1" x14ac:dyDescent="0.35">
      <c r="E6765" s="35"/>
      <c r="J6765" s="41"/>
    </row>
    <row r="6766" spans="5:10" s="34" customFormat="1" x14ac:dyDescent="0.35">
      <c r="E6766" s="35"/>
      <c r="J6766" s="41"/>
    </row>
    <row r="6767" spans="5:10" s="34" customFormat="1" x14ac:dyDescent="0.35">
      <c r="E6767" s="35"/>
      <c r="J6767" s="41"/>
    </row>
    <row r="6768" spans="5:10" s="34" customFormat="1" x14ac:dyDescent="0.35">
      <c r="E6768" s="35"/>
      <c r="J6768" s="41"/>
    </row>
    <row r="6769" spans="5:10" s="34" customFormat="1" x14ac:dyDescent="0.35">
      <c r="E6769" s="35"/>
      <c r="J6769" s="41"/>
    </row>
    <row r="6770" spans="5:10" s="34" customFormat="1" x14ac:dyDescent="0.35">
      <c r="E6770" s="35"/>
      <c r="J6770" s="41"/>
    </row>
    <row r="6771" spans="5:10" s="34" customFormat="1" x14ac:dyDescent="0.35">
      <c r="E6771" s="35"/>
      <c r="J6771" s="41"/>
    </row>
    <row r="6772" spans="5:10" s="34" customFormat="1" x14ac:dyDescent="0.35">
      <c r="E6772" s="35"/>
      <c r="J6772" s="41"/>
    </row>
    <row r="6773" spans="5:10" s="34" customFormat="1" x14ac:dyDescent="0.35">
      <c r="E6773" s="35"/>
      <c r="J6773" s="41"/>
    </row>
    <row r="6774" spans="5:10" s="34" customFormat="1" x14ac:dyDescent="0.35">
      <c r="E6774" s="35"/>
      <c r="J6774" s="41"/>
    </row>
    <row r="6775" spans="5:10" s="34" customFormat="1" x14ac:dyDescent="0.35">
      <c r="E6775" s="35"/>
      <c r="J6775" s="41"/>
    </row>
    <row r="6776" spans="5:10" s="34" customFormat="1" x14ac:dyDescent="0.35">
      <c r="E6776" s="35"/>
      <c r="J6776" s="41"/>
    </row>
    <row r="6777" spans="5:10" s="34" customFormat="1" x14ac:dyDescent="0.35">
      <c r="E6777" s="35"/>
      <c r="J6777" s="41"/>
    </row>
    <row r="6778" spans="5:10" s="34" customFormat="1" x14ac:dyDescent="0.35">
      <c r="E6778" s="35"/>
      <c r="J6778" s="41"/>
    </row>
    <row r="6779" spans="5:10" s="34" customFormat="1" x14ac:dyDescent="0.35">
      <c r="E6779" s="35"/>
      <c r="J6779" s="41"/>
    </row>
    <row r="6780" spans="5:10" s="34" customFormat="1" x14ac:dyDescent="0.35">
      <c r="E6780" s="35"/>
      <c r="J6780" s="41"/>
    </row>
    <row r="6781" spans="5:10" s="34" customFormat="1" x14ac:dyDescent="0.35">
      <c r="E6781" s="35"/>
      <c r="J6781" s="41"/>
    </row>
    <row r="6782" spans="5:10" s="34" customFormat="1" x14ac:dyDescent="0.35">
      <c r="E6782" s="35"/>
      <c r="J6782" s="41"/>
    </row>
    <row r="6783" spans="5:10" s="34" customFormat="1" x14ac:dyDescent="0.35">
      <c r="E6783" s="35"/>
      <c r="J6783" s="41"/>
    </row>
    <row r="6784" spans="5:10" s="34" customFormat="1" x14ac:dyDescent="0.35">
      <c r="E6784" s="35"/>
      <c r="J6784" s="41"/>
    </row>
    <row r="6785" spans="5:10" s="34" customFormat="1" x14ac:dyDescent="0.35">
      <c r="E6785" s="35"/>
      <c r="J6785" s="41"/>
    </row>
    <row r="6786" spans="5:10" s="34" customFormat="1" x14ac:dyDescent="0.35">
      <c r="E6786" s="35"/>
      <c r="J6786" s="41"/>
    </row>
    <row r="6787" spans="5:10" s="34" customFormat="1" x14ac:dyDescent="0.35">
      <c r="E6787" s="35"/>
      <c r="J6787" s="41"/>
    </row>
    <row r="6788" spans="5:10" s="34" customFormat="1" x14ac:dyDescent="0.35">
      <c r="E6788" s="35"/>
      <c r="J6788" s="41"/>
    </row>
    <row r="6789" spans="5:10" s="34" customFormat="1" x14ac:dyDescent="0.35">
      <c r="E6789" s="35"/>
      <c r="J6789" s="41"/>
    </row>
    <row r="6790" spans="5:10" s="34" customFormat="1" x14ac:dyDescent="0.35">
      <c r="E6790" s="35"/>
      <c r="J6790" s="41"/>
    </row>
    <row r="6791" spans="5:10" s="34" customFormat="1" x14ac:dyDescent="0.35">
      <c r="E6791" s="35"/>
      <c r="J6791" s="41"/>
    </row>
    <row r="6792" spans="5:10" s="34" customFormat="1" x14ac:dyDescent="0.35">
      <c r="E6792" s="35"/>
      <c r="J6792" s="41"/>
    </row>
    <row r="6793" spans="5:10" s="34" customFormat="1" x14ac:dyDescent="0.35">
      <c r="E6793" s="35"/>
      <c r="J6793" s="41"/>
    </row>
    <row r="6794" spans="5:10" s="34" customFormat="1" x14ac:dyDescent="0.35">
      <c r="E6794" s="35"/>
      <c r="J6794" s="41"/>
    </row>
    <row r="6795" spans="5:10" s="34" customFormat="1" x14ac:dyDescent="0.35">
      <c r="E6795" s="35"/>
      <c r="J6795" s="41"/>
    </row>
    <row r="6796" spans="5:10" s="34" customFormat="1" x14ac:dyDescent="0.35">
      <c r="E6796" s="35"/>
      <c r="J6796" s="41"/>
    </row>
    <row r="6797" spans="5:10" s="34" customFormat="1" x14ac:dyDescent="0.35">
      <c r="E6797" s="35"/>
      <c r="J6797" s="41"/>
    </row>
    <row r="6798" spans="5:10" s="34" customFormat="1" x14ac:dyDescent="0.35">
      <c r="E6798" s="35"/>
      <c r="J6798" s="41"/>
    </row>
    <row r="6799" spans="5:10" s="34" customFormat="1" x14ac:dyDescent="0.35">
      <c r="E6799" s="35"/>
      <c r="J6799" s="41"/>
    </row>
    <row r="6800" spans="5:10" s="34" customFormat="1" x14ac:dyDescent="0.35">
      <c r="E6800" s="35"/>
      <c r="J6800" s="41"/>
    </row>
    <row r="6801" spans="5:10" s="34" customFormat="1" x14ac:dyDescent="0.35">
      <c r="E6801" s="35"/>
      <c r="J6801" s="41"/>
    </row>
    <row r="6802" spans="5:10" s="34" customFormat="1" x14ac:dyDescent="0.35">
      <c r="E6802" s="35"/>
      <c r="J6802" s="41"/>
    </row>
    <row r="6803" spans="5:10" s="34" customFormat="1" x14ac:dyDescent="0.35">
      <c r="E6803" s="35"/>
      <c r="J6803" s="41"/>
    </row>
    <row r="6804" spans="5:10" s="34" customFormat="1" x14ac:dyDescent="0.35">
      <c r="E6804" s="35"/>
      <c r="J6804" s="41"/>
    </row>
    <row r="6805" spans="5:10" s="34" customFormat="1" x14ac:dyDescent="0.35">
      <c r="E6805" s="35"/>
      <c r="J6805" s="41"/>
    </row>
    <row r="6806" spans="5:10" s="34" customFormat="1" x14ac:dyDescent="0.35">
      <c r="E6806" s="35"/>
      <c r="J6806" s="41"/>
    </row>
    <row r="6807" spans="5:10" s="34" customFormat="1" x14ac:dyDescent="0.35">
      <c r="E6807" s="35"/>
      <c r="J6807" s="41"/>
    </row>
    <row r="6808" spans="5:10" s="34" customFormat="1" x14ac:dyDescent="0.35">
      <c r="E6808" s="35"/>
      <c r="J6808" s="41"/>
    </row>
    <row r="6809" spans="5:10" s="34" customFormat="1" x14ac:dyDescent="0.35">
      <c r="E6809" s="35"/>
      <c r="J6809" s="41"/>
    </row>
    <row r="6810" spans="5:10" s="34" customFormat="1" x14ac:dyDescent="0.35">
      <c r="E6810" s="35"/>
      <c r="J6810" s="41"/>
    </row>
    <row r="6811" spans="5:10" s="34" customFormat="1" x14ac:dyDescent="0.35">
      <c r="E6811" s="35"/>
      <c r="J6811" s="41"/>
    </row>
    <row r="6812" spans="5:10" s="34" customFormat="1" x14ac:dyDescent="0.35">
      <c r="E6812" s="35"/>
      <c r="J6812" s="41"/>
    </row>
    <row r="6813" spans="5:10" s="34" customFormat="1" x14ac:dyDescent="0.35">
      <c r="E6813" s="35"/>
      <c r="J6813" s="41"/>
    </row>
    <row r="6814" spans="5:10" s="34" customFormat="1" x14ac:dyDescent="0.35">
      <c r="E6814" s="35"/>
      <c r="J6814" s="41"/>
    </row>
    <row r="6815" spans="5:10" s="34" customFormat="1" x14ac:dyDescent="0.35">
      <c r="E6815" s="35"/>
      <c r="J6815" s="41"/>
    </row>
    <row r="6816" spans="5:10" s="34" customFormat="1" x14ac:dyDescent="0.35">
      <c r="E6816" s="35"/>
      <c r="J6816" s="41"/>
    </row>
    <row r="6817" spans="5:10" s="34" customFormat="1" x14ac:dyDescent="0.35">
      <c r="E6817" s="35"/>
      <c r="J6817" s="41"/>
    </row>
    <row r="6818" spans="5:10" s="34" customFormat="1" x14ac:dyDescent="0.35">
      <c r="E6818" s="35"/>
      <c r="J6818" s="41"/>
    </row>
    <row r="6819" spans="5:10" s="34" customFormat="1" x14ac:dyDescent="0.35">
      <c r="E6819" s="35"/>
      <c r="J6819" s="41"/>
    </row>
    <row r="6820" spans="5:10" s="34" customFormat="1" x14ac:dyDescent="0.35">
      <c r="E6820" s="35"/>
      <c r="J6820" s="41"/>
    </row>
    <row r="6821" spans="5:10" s="34" customFormat="1" x14ac:dyDescent="0.35">
      <c r="E6821" s="35"/>
      <c r="J6821" s="41"/>
    </row>
    <row r="6822" spans="5:10" s="34" customFormat="1" x14ac:dyDescent="0.35">
      <c r="E6822" s="35"/>
      <c r="J6822" s="41"/>
    </row>
    <row r="6823" spans="5:10" s="34" customFormat="1" x14ac:dyDescent="0.35">
      <c r="E6823" s="35"/>
      <c r="J6823" s="41"/>
    </row>
    <row r="6824" spans="5:10" s="34" customFormat="1" x14ac:dyDescent="0.35">
      <c r="E6824" s="35"/>
      <c r="J6824" s="41"/>
    </row>
    <row r="6825" spans="5:10" s="34" customFormat="1" x14ac:dyDescent="0.35">
      <c r="E6825" s="35"/>
      <c r="J6825" s="41"/>
    </row>
    <row r="6826" spans="5:10" s="34" customFormat="1" x14ac:dyDescent="0.35">
      <c r="E6826" s="35"/>
      <c r="J6826" s="41"/>
    </row>
    <row r="6827" spans="5:10" s="34" customFormat="1" x14ac:dyDescent="0.35">
      <c r="E6827" s="35"/>
      <c r="J6827" s="41"/>
    </row>
    <row r="6828" spans="5:10" s="34" customFormat="1" x14ac:dyDescent="0.35">
      <c r="E6828" s="35"/>
      <c r="J6828" s="41"/>
    </row>
    <row r="6829" spans="5:10" s="34" customFormat="1" x14ac:dyDescent="0.35">
      <c r="E6829" s="35"/>
      <c r="J6829" s="41"/>
    </row>
    <row r="6830" spans="5:10" s="34" customFormat="1" x14ac:dyDescent="0.35">
      <c r="E6830" s="35"/>
      <c r="J6830" s="41"/>
    </row>
    <row r="6831" spans="5:10" s="34" customFormat="1" x14ac:dyDescent="0.35">
      <c r="E6831" s="35"/>
      <c r="J6831" s="41"/>
    </row>
    <row r="6832" spans="5:10" s="34" customFormat="1" x14ac:dyDescent="0.35">
      <c r="E6832" s="35"/>
      <c r="J6832" s="41"/>
    </row>
    <row r="6833" spans="5:10" s="34" customFormat="1" x14ac:dyDescent="0.35">
      <c r="E6833" s="35"/>
      <c r="J6833" s="41"/>
    </row>
    <row r="6834" spans="5:10" s="34" customFormat="1" x14ac:dyDescent="0.35">
      <c r="E6834" s="35"/>
      <c r="J6834" s="41"/>
    </row>
    <row r="6835" spans="5:10" s="34" customFormat="1" x14ac:dyDescent="0.35">
      <c r="E6835" s="35"/>
      <c r="J6835" s="41"/>
    </row>
    <row r="6836" spans="5:10" s="34" customFormat="1" x14ac:dyDescent="0.35">
      <c r="E6836" s="35"/>
      <c r="J6836" s="41"/>
    </row>
    <row r="6837" spans="5:10" s="34" customFormat="1" x14ac:dyDescent="0.35">
      <c r="E6837" s="35"/>
      <c r="J6837" s="41"/>
    </row>
    <row r="6838" spans="5:10" s="34" customFormat="1" x14ac:dyDescent="0.35">
      <c r="E6838" s="35"/>
      <c r="J6838" s="41"/>
    </row>
    <row r="6839" spans="5:10" s="34" customFormat="1" x14ac:dyDescent="0.35">
      <c r="E6839" s="35"/>
      <c r="J6839" s="41"/>
    </row>
    <row r="6840" spans="5:10" s="34" customFormat="1" x14ac:dyDescent="0.35">
      <c r="E6840" s="35"/>
      <c r="J6840" s="41"/>
    </row>
    <row r="6841" spans="5:10" s="34" customFormat="1" x14ac:dyDescent="0.35">
      <c r="E6841" s="35"/>
      <c r="J6841" s="41"/>
    </row>
    <row r="6842" spans="5:10" s="34" customFormat="1" x14ac:dyDescent="0.35">
      <c r="E6842" s="35"/>
      <c r="J6842" s="41"/>
    </row>
    <row r="6843" spans="5:10" s="34" customFormat="1" x14ac:dyDescent="0.35">
      <c r="E6843" s="35"/>
      <c r="J6843" s="41"/>
    </row>
    <row r="6844" spans="5:10" s="34" customFormat="1" x14ac:dyDescent="0.35">
      <c r="E6844" s="35"/>
      <c r="J6844" s="41"/>
    </row>
    <row r="6845" spans="5:10" s="34" customFormat="1" x14ac:dyDescent="0.35">
      <c r="E6845" s="35"/>
      <c r="J6845" s="41"/>
    </row>
    <row r="6846" spans="5:10" s="34" customFormat="1" x14ac:dyDescent="0.35">
      <c r="E6846" s="35"/>
      <c r="J6846" s="41"/>
    </row>
    <row r="6847" spans="5:10" s="34" customFormat="1" x14ac:dyDescent="0.35">
      <c r="E6847" s="35"/>
      <c r="J6847" s="41"/>
    </row>
    <row r="6848" spans="5:10" s="34" customFormat="1" x14ac:dyDescent="0.35">
      <c r="E6848" s="35"/>
      <c r="J6848" s="41"/>
    </row>
    <row r="6849" spans="5:10" s="34" customFormat="1" x14ac:dyDescent="0.35">
      <c r="E6849" s="35"/>
      <c r="J6849" s="41"/>
    </row>
    <row r="6850" spans="5:10" s="34" customFormat="1" x14ac:dyDescent="0.35">
      <c r="E6850" s="35"/>
      <c r="J6850" s="41"/>
    </row>
    <row r="6851" spans="5:10" s="34" customFormat="1" x14ac:dyDescent="0.35">
      <c r="E6851" s="35"/>
      <c r="J6851" s="41"/>
    </row>
    <row r="6852" spans="5:10" s="34" customFormat="1" x14ac:dyDescent="0.35">
      <c r="E6852" s="35"/>
      <c r="J6852" s="41"/>
    </row>
    <row r="6853" spans="5:10" s="34" customFormat="1" x14ac:dyDescent="0.35">
      <c r="E6853" s="35"/>
      <c r="J6853" s="41"/>
    </row>
    <row r="6854" spans="5:10" s="34" customFormat="1" x14ac:dyDescent="0.35">
      <c r="E6854" s="35"/>
      <c r="J6854" s="41"/>
    </row>
    <row r="6855" spans="5:10" s="34" customFormat="1" x14ac:dyDescent="0.35">
      <c r="E6855" s="35"/>
      <c r="J6855" s="41"/>
    </row>
    <row r="6856" spans="5:10" s="34" customFormat="1" x14ac:dyDescent="0.35">
      <c r="E6856" s="35"/>
      <c r="J6856" s="41"/>
    </row>
    <row r="6857" spans="5:10" s="34" customFormat="1" x14ac:dyDescent="0.35">
      <c r="E6857" s="35"/>
      <c r="J6857" s="41"/>
    </row>
    <row r="6858" spans="5:10" s="34" customFormat="1" x14ac:dyDescent="0.35">
      <c r="E6858" s="35"/>
      <c r="J6858" s="41"/>
    </row>
    <row r="6859" spans="5:10" s="34" customFormat="1" x14ac:dyDescent="0.35">
      <c r="E6859" s="35"/>
      <c r="J6859" s="41"/>
    </row>
    <row r="6860" spans="5:10" s="34" customFormat="1" x14ac:dyDescent="0.35">
      <c r="E6860" s="35"/>
      <c r="J6860" s="41"/>
    </row>
    <row r="6861" spans="5:10" s="34" customFormat="1" x14ac:dyDescent="0.35">
      <c r="E6861" s="35"/>
      <c r="J6861" s="41"/>
    </row>
    <row r="6862" spans="5:10" s="34" customFormat="1" x14ac:dyDescent="0.35">
      <c r="E6862" s="35"/>
      <c r="J6862" s="41"/>
    </row>
    <row r="6863" spans="5:10" s="34" customFormat="1" x14ac:dyDescent="0.35">
      <c r="E6863" s="35"/>
      <c r="J6863" s="41"/>
    </row>
    <row r="6864" spans="5:10" s="34" customFormat="1" x14ac:dyDescent="0.35">
      <c r="E6864" s="35"/>
      <c r="J6864" s="41"/>
    </row>
    <row r="6865" spans="5:10" s="34" customFormat="1" x14ac:dyDescent="0.35">
      <c r="E6865" s="35"/>
      <c r="J6865" s="41"/>
    </row>
    <row r="6866" spans="5:10" s="34" customFormat="1" x14ac:dyDescent="0.35">
      <c r="E6866" s="35"/>
      <c r="J6866" s="41"/>
    </row>
    <row r="6867" spans="5:10" s="34" customFormat="1" x14ac:dyDescent="0.35">
      <c r="E6867" s="35"/>
      <c r="J6867" s="41"/>
    </row>
    <row r="6868" spans="5:10" s="34" customFormat="1" x14ac:dyDescent="0.35">
      <c r="E6868" s="35"/>
      <c r="J6868" s="41"/>
    </row>
    <row r="6869" spans="5:10" s="34" customFormat="1" x14ac:dyDescent="0.35">
      <c r="E6869" s="35"/>
      <c r="J6869" s="41"/>
    </row>
    <row r="6870" spans="5:10" s="34" customFormat="1" x14ac:dyDescent="0.35">
      <c r="E6870" s="35"/>
      <c r="J6870" s="41"/>
    </row>
    <row r="6871" spans="5:10" s="34" customFormat="1" x14ac:dyDescent="0.35">
      <c r="E6871" s="35"/>
      <c r="J6871" s="41"/>
    </row>
    <row r="6872" spans="5:10" s="34" customFormat="1" x14ac:dyDescent="0.35">
      <c r="E6872" s="35"/>
      <c r="J6872" s="41"/>
    </row>
    <row r="6873" spans="5:10" s="34" customFormat="1" x14ac:dyDescent="0.35">
      <c r="E6873" s="35"/>
      <c r="J6873" s="41"/>
    </row>
    <row r="6874" spans="5:10" s="34" customFormat="1" x14ac:dyDescent="0.35">
      <c r="E6874" s="35"/>
      <c r="J6874" s="41"/>
    </row>
    <row r="6875" spans="5:10" s="34" customFormat="1" x14ac:dyDescent="0.35">
      <c r="E6875" s="35"/>
      <c r="J6875" s="41"/>
    </row>
    <row r="6876" spans="5:10" s="34" customFormat="1" x14ac:dyDescent="0.35">
      <c r="E6876" s="35"/>
      <c r="J6876" s="41"/>
    </row>
    <row r="6877" spans="5:10" s="34" customFormat="1" x14ac:dyDescent="0.35">
      <c r="E6877" s="35"/>
      <c r="J6877" s="41"/>
    </row>
    <row r="6878" spans="5:10" s="34" customFormat="1" x14ac:dyDescent="0.35">
      <c r="E6878" s="35"/>
      <c r="J6878" s="41"/>
    </row>
    <row r="6879" spans="5:10" s="34" customFormat="1" x14ac:dyDescent="0.35">
      <c r="E6879" s="35"/>
      <c r="J6879" s="41"/>
    </row>
    <row r="6880" spans="5:10" s="34" customFormat="1" x14ac:dyDescent="0.35">
      <c r="E6880" s="35"/>
      <c r="J6880" s="41"/>
    </row>
    <row r="6881" spans="5:10" s="34" customFormat="1" x14ac:dyDescent="0.35">
      <c r="E6881" s="35"/>
      <c r="J6881" s="41"/>
    </row>
    <row r="6882" spans="5:10" s="34" customFormat="1" x14ac:dyDescent="0.35">
      <c r="E6882" s="35"/>
      <c r="J6882" s="41"/>
    </row>
    <row r="6883" spans="5:10" s="34" customFormat="1" x14ac:dyDescent="0.35">
      <c r="E6883" s="35"/>
      <c r="J6883" s="41"/>
    </row>
    <row r="6884" spans="5:10" s="34" customFormat="1" x14ac:dyDescent="0.35">
      <c r="E6884" s="35"/>
      <c r="J6884" s="41"/>
    </row>
    <row r="6885" spans="5:10" s="34" customFormat="1" x14ac:dyDescent="0.35">
      <c r="E6885" s="35"/>
      <c r="J6885" s="41"/>
    </row>
    <row r="6886" spans="5:10" s="34" customFormat="1" x14ac:dyDescent="0.35">
      <c r="E6886" s="35"/>
      <c r="J6886" s="41"/>
    </row>
    <row r="6887" spans="5:10" s="34" customFormat="1" x14ac:dyDescent="0.35">
      <c r="E6887" s="35"/>
      <c r="J6887" s="41"/>
    </row>
    <row r="6888" spans="5:10" s="34" customFormat="1" x14ac:dyDescent="0.35">
      <c r="E6888" s="35"/>
      <c r="J6888" s="41"/>
    </row>
    <row r="6889" spans="5:10" s="34" customFormat="1" x14ac:dyDescent="0.35">
      <c r="E6889" s="35"/>
      <c r="J6889" s="41"/>
    </row>
    <row r="6890" spans="5:10" s="34" customFormat="1" x14ac:dyDescent="0.35">
      <c r="E6890" s="35"/>
      <c r="J6890" s="41"/>
    </row>
    <row r="6891" spans="5:10" s="34" customFormat="1" x14ac:dyDescent="0.35">
      <c r="E6891" s="35"/>
      <c r="J6891" s="41"/>
    </row>
    <row r="6892" spans="5:10" s="34" customFormat="1" x14ac:dyDescent="0.35">
      <c r="E6892" s="35"/>
      <c r="J6892" s="41"/>
    </row>
    <row r="6893" spans="5:10" s="34" customFormat="1" x14ac:dyDescent="0.35">
      <c r="E6893" s="35"/>
      <c r="J6893" s="41"/>
    </row>
    <row r="6894" spans="5:10" s="34" customFormat="1" x14ac:dyDescent="0.35">
      <c r="E6894" s="35"/>
      <c r="J6894" s="41"/>
    </row>
    <row r="6895" spans="5:10" s="34" customFormat="1" x14ac:dyDescent="0.35">
      <c r="E6895" s="35"/>
      <c r="J6895" s="41"/>
    </row>
    <row r="6896" spans="5:10" s="34" customFormat="1" x14ac:dyDescent="0.35">
      <c r="E6896" s="35"/>
      <c r="J6896" s="41"/>
    </row>
    <row r="6897" spans="5:10" s="34" customFormat="1" x14ac:dyDescent="0.35">
      <c r="E6897" s="35"/>
      <c r="J6897" s="41"/>
    </row>
    <row r="6898" spans="5:10" s="34" customFormat="1" x14ac:dyDescent="0.35">
      <c r="E6898" s="35"/>
      <c r="J6898" s="41"/>
    </row>
    <row r="6899" spans="5:10" s="34" customFormat="1" x14ac:dyDescent="0.35">
      <c r="E6899" s="35"/>
      <c r="J6899" s="41"/>
    </row>
    <row r="6900" spans="5:10" s="34" customFormat="1" x14ac:dyDescent="0.35">
      <c r="E6900" s="35"/>
      <c r="J6900" s="41"/>
    </row>
    <row r="6901" spans="5:10" s="34" customFormat="1" x14ac:dyDescent="0.35">
      <c r="E6901" s="35"/>
      <c r="J6901" s="41"/>
    </row>
    <row r="6902" spans="5:10" s="34" customFormat="1" x14ac:dyDescent="0.35">
      <c r="E6902" s="35"/>
      <c r="J6902" s="41"/>
    </row>
    <row r="6903" spans="5:10" s="34" customFormat="1" x14ac:dyDescent="0.35">
      <c r="E6903" s="35"/>
      <c r="J6903" s="41"/>
    </row>
    <row r="6904" spans="5:10" s="34" customFormat="1" x14ac:dyDescent="0.35">
      <c r="E6904" s="35"/>
      <c r="J6904" s="41"/>
    </row>
    <row r="6905" spans="5:10" s="34" customFormat="1" x14ac:dyDescent="0.35">
      <c r="E6905" s="35"/>
      <c r="J6905" s="41"/>
    </row>
    <row r="6906" spans="5:10" s="34" customFormat="1" x14ac:dyDescent="0.35">
      <c r="E6906" s="35"/>
      <c r="J6906" s="41"/>
    </row>
    <row r="6907" spans="5:10" s="34" customFormat="1" x14ac:dyDescent="0.35">
      <c r="E6907" s="35"/>
      <c r="J6907" s="41"/>
    </row>
    <row r="6908" spans="5:10" s="34" customFormat="1" x14ac:dyDescent="0.35">
      <c r="E6908" s="35"/>
      <c r="J6908" s="41"/>
    </row>
    <row r="6909" spans="5:10" s="34" customFormat="1" x14ac:dyDescent="0.35">
      <c r="E6909" s="35"/>
      <c r="J6909" s="41"/>
    </row>
    <row r="6910" spans="5:10" s="34" customFormat="1" x14ac:dyDescent="0.35">
      <c r="E6910" s="35"/>
      <c r="J6910" s="41"/>
    </row>
    <row r="6911" spans="5:10" s="34" customFormat="1" x14ac:dyDescent="0.35">
      <c r="E6911" s="35"/>
      <c r="J6911" s="41"/>
    </row>
    <row r="6912" spans="5:10" s="34" customFormat="1" x14ac:dyDescent="0.35">
      <c r="E6912" s="35"/>
      <c r="J6912" s="41"/>
    </row>
    <row r="6913" spans="5:10" s="34" customFormat="1" x14ac:dyDescent="0.35">
      <c r="E6913" s="35"/>
      <c r="J6913" s="41"/>
    </row>
    <row r="6914" spans="5:10" s="34" customFormat="1" x14ac:dyDescent="0.35">
      <c r="E6914" s="35"/>
      <c r="J6914" s="41"/>
    </row>
    <row r="6915" spans="5:10" s="34" customFormat="1" x14ac:dyDescent="0.35">
      <c r="E6915" s="35"/>
      <c r="J6915" s="41"/>
    </row>
    <row r="6916" spans="5:10" s="34" customFormat="1" x14ac:dyDescent="0.35">
      <c r="E6916" s="35"/>
      <c r="J6916" s="41"/>
    </row>
    <row r="6917" spans="5:10" s="34" customFormat="1" x14ac:dyDescent="0.35">
      <c r="E6917" s="35"/>
      <c r="J6917" s="41"/>
    </row>
    <row r="6918" spans="5:10" s="34" customFormat="1" x14ac:dyDescent="0.35">
      <c r="E6918" s="35"/>
      <c r="J6918" s="41"/>
    </row>
    <row r="6919" spans="5:10" s="34" customFormat="1" x14ac:dyDescent="0.35">
      <c r="E6919" s="35"/>
      <c r="J6919" s="41"/>
    </row>
    <row r="6920" spans="5:10" s="34" customFormat="1" x14ac:dyDescent="0.35">
      <c r="E6920" s="35"/>
      <c r="J6920" s="41"/>
    </row>
    <row r="6921" spans="5:10" s="34" customFormat="1" x14ac:dyDescent="0.35">
      <c r="E6921" s="35"/>
      <c r="J6921" s="41"/>
    </row>
    <row r="6922" spans="5:10" s="34" customFormat="1" x14ac:dyDescent="0.35">
      <c r="E6922" s="35"/>
      <c r="J6922" s="41"/>
    </row>
    <row r="6923" spans="5:10" s="34" customFormat="1" x14ac:dyDescent="0.35">
      <c r="E6923" s="35"/>
      <c r="J6923" s="41"/>
    </row>
    <row r="6924" spans="5:10" s="34" customFormat="1" x14ac:dyDescent="0.35">
      <c r="E6924" s="35"/>
      <c r="J6924" s="41"/>
    </row>
    <row r="6925" spans="5:10" s="34" customFormat="1" x14ac:dyDescent="0.35">
      <c r="E6925" s="35"/>
      <c r="J6925" s="41"/>
    </row>
    <row r="6926" spans="5:10" s="34" customFormat="1" x14ac:dyDescent="0.35">
      <c r="E6926" s="35"/>
      <c r="J6926" s="41"/>
    </row>
    <row r="6927" spans="5:10" s="34" customFormat="1" x14ac:dyDescent="0.35">
      <c r="E6927" s="35"/>
      <c r="J6927" s="41"/>
    </row>
    <row r="6928" spans="5:10" s="34" customFormat="1" x14ac:dyDescent="0.35">
      <c r="E6928" s="35"/>
      <c r="J6928" s="41"/>
    </row>
    <row r="6929" spans="5:10" s="34" customFormat="1" x14ac:dyDescent="0.35">
      <c r="E6929" s="35"/>
      <c r="J6929" s="41"/>
    </row>
    <row r="6930" spans="5:10" s="34" customFormat="1" x14ac:dyDescent="0.35">
      <c r="E6930" s="35"/>
      <c r="J6930" s="41"/>
    </row>
    <row r="6931" spans="5:10" s="34" customFormat="1" x14ac:dyDescent="0.35">
      <c r="E6931" s="35"/>
      <c r="J6931" s="41"/>
    </row>
    <row r="6932" spans="5:10" s="34" customFormat="1" x14ac:dyDescent="0.35">
      <c r="E6932" s="35"/>
      <c r="J6932" s="41"/>
    </row>
    <row r="6933" spans="5:10" s="34" customFormat="1" x14ac:dyDescent="0.35">
      <c r="E6933" s="35"/>
      <c r="J6933" s="41"/>
    </row>
    <row r="6934" spans="5:10" s="34" customFormat="1" x14ac:dyDescent="0.35">
      <c r="E6934" s="35"/>
      <c r="J6934" s="41"/>
    </row>
    <row r="6935" spans="5:10" s="34" customFormat="1" x14ac:dyDescent="0.35">
      <c r="E6935" s="35"/>
      <c r="J6935" s="41"/>
    </row>
    <row r="6936" spans="5:10" s="34" customFormat="1" x14ac:dyDescent="0.35">
      <c r="E6936" s="35"/>
      <c r="J6936" s="41"/>
    </row>
    <row r="6937" spans="5:10" s="34" customFormat="1" x14ac:dyDescent="0.35">
      <c r="E6937" s="35"/>
      <c r="J6937" s="41"/>
    </row>
    <row r="6938" spans="5:10" s="34" customFormat="1" x14ac:dyDescent="0.35">
      <c r="E6938" s="35"/>
      <c r="J6938" s="41"/>
    </row>
    <row r="6939" spans="5:10" s="34" customFormat="1" x14ac:dyDescent="0.35">
      <c r="E6939" s="35"/>
      <c r="J6939" s="41"/>
    </row>
    <row r="6940" spans="5:10" s="34" customFormat="1" x14ac:dyDescent="0.35">
      <c r="E6940" s="35"/>
      <c r="J6940" s="41"/>
    </row>
    <row r="6941" spans="5:10" s="34" customFormat="1" x14ac:dyDescent="0.35">
      <c r="E6941" s="35"/>
      <c r="J6941" s="41"/>
    </row>
    <row r="6942" spans="5:10" s="34" customFormat="1" x14ac:dyDescent="0.35">
      <c r="E6942" s="35"/>
      <c r="J6942" s="41"/>
    </row>
    <row r="6943" spans="5:10" s="34" customFormat="1" x14ac:dyDescent="0.35">
      <c r="E6943" s="35"/>
      <c r="J6943" s="41"/>
    </row>
    <row r="6944" spans="5:10" s="34" customFormat="1" x14ac:dyDescent="0.35">
      <c r="E6944" s="35"/>
      <c r="J6944" s="41"/>
    </row>
    <row r="6945" spans="5:10" s="34" customFormat="1" x14ac:dyDescent="0.35">
      <c r="E6945" s="35"/>
      <c r="J6945" s="41"/>
    </row>
    <row r="6946" spans="5:10" s="34" customFormat="1" x14ac:dyDescent="0.35">
      <c r="E6946" s="35"/>
      <c r="J6946" s="41"/>
    </row>
    <row r="6947" spans="5:10" s="34" customFormat="1" x14ac:dyDescent="0.35">
      <c r="E6947" s="35"/>
      <c r="J6947" s="41"/>
    </row>
    <row r="6948" spans="5:10" s="34" customFormat="1" x14ac:dyDescent="0.35">
      <c r="E6948" s="35"/>
      <c r="J6948" s="41"/>
    </row>
    <row r="6949" spans="5:10" s="34" customFormat="1" x14ac:dyDescent="0.35">
      <c r="E6949" s="35"/>
      <c r="J6949" s="41"/>
    </row>
    <row r="6950" spans="5:10" s="34" customFormat="1" x14ac:dyDescent="0.35">
      <c r="E6950" s="35"/>
      <c r="J6950" s="41"/>
    </row>
    <row r="6951" spans="5:10" s="34" customFormat="1" x14ac:dyDescent="0.35">
      <c r="E6951" s="35"/>
      <c r="J6951" s="41"/>
    </row>
    <row r="6952" spans="5:10" s="34" customFormat="1" x14ac:dyDescent="0.35">
      <c r="E6952" s="35"/>
      <c r="J6952" s="41"/>
    </row>
    <row r="6953" spans="5:10" s="34" customFormat="1" x14ac:dyDescent="0.35">
      <c r="E6953" s="35"/>
      <c r="J6953" s="41"/>
    </row>
    <row r="6954" spans="5:10" s="34" customFormat="1" x14ac:dyDescent="0.35">
      <c r="E6954" s="35"/>
      <c r="J6954" s="41"/>
    </row>
    <row r="6955" spans="5:10" s="34" customFormat="1" x14ac:dyDescent="0.35">
      <c r="E6955" s="35"/>
      <c r="J6955" s="41"/>
    </row>
    <row r="6956" spans="5:10" s="34" customFormat="1" x14ac:dyDescent="0.35">
      <c r="E6956" s="35"/>
      <c r="J6956" s="41"/>
    </row>
    <row r="6957" spans="5:10" s="34" customFormat="1" x14ac:dyDescent="0.35">
      <c r="E6957" s="35"/>
      <c r="J6957" s="41"/>
    </row>
    <row r="6958" spans="5:10" s="34" customFormat="1" x14ac:dyDescent="0.35">
      <c r="E6958" s="35"/>
      <c r="J6958" s="41"/>
    </row>
    <row r="6959" spans="5:10" s="34" customFormat="1" x14ac:dyDescent="0.35">
      <c r="E6959" s="35"/>
      <c r="J6959" s="41"/>
    </row>
    <row r="6960" spans="5:10" s="34" customFormat="1" x14ac:dyDescent="0.35">
      <c r="E6960" s="35"/>
      <c r="J6960" s="41"/>
    </row>
    <row r="6961" spans="5:10" s="34" customFormat="1" x14ac:dyDescent="0.35">
      <c r="E6961" s="35"/>
      <c r="J6961" s="41"/>
    </row>
    <row r="6962" spans="5:10" s="34" customFormat="1" x14ac:dyDescent="0.35">
      <c r="E6962" s="35"/>
      <c r="J6962" s="41"/>
    </row>
    <row r="6963" spans="5:10" s="34" customFormat="1" x14ac:dyDescent="0.35">
      <c r="E6963" s="35"/>
      <c r="J6963" s="41"/>
    </row>
    <row r="6964" spans="5:10" s="34" customFormat="1" x14ac:dyDescent="0.35">
      <c r="E6964" s="35"/>
      <c r="J6964" s="41"/>
    </row>
    <row r="6965" spans="5:10" s="34" customFormat="1" x14ac:dyDescent="0.35">
      <c r="E6965" s="35"/>
      <c r="J6965" s="41"/>
    </row>
    <row r="6966" spans="5:10" s="34" customFormat="1" x14ac:dyDescent="0.35">
      <c r="E6966" s="35"/>
      <c r="J6966" s="41"/>
    </row>
    <row r="6967" spans="5:10" s="34" customFormat="1" x14ac:dyDescent="0.35">
      <c r="E6967" s="35"/>
      <c r="J6967" s="41"/>
    </row>
    <row r="6968" spans="5:10" s="34" customFormat="1" x14ac:dyDescent="0.35">
      <c r="E6968" s="35"/>
      <c r="J6968" s="41"/>
    </row>
    <row r="6969" spans="5:10" s="34" customFormat="1" x14ac:dyDescent="0.35">
      <c r="E6969" s="35"/>
      <c r="J6969" s="41"/>
    </row>
    <row r="6970" spans="5:10" s="34" customFormat="1" x14ac:dyDescent="0.35">
      <c r="E6970" s="35"/>
      <c r="J6970" s="41"/>
    </row>
    <row r="6971" spans="5:10" s="34" customFormat="1" x14ac:dyDescent="0.35">
      <c r="E6971" s="35"/>
      <c r="J6971" s="41"/>
    </row>
    <row r="6972" spans="5:10" s="34" customFormat="1" x14ac:dyDescent="0.35">
      <c r="E6972" s="35"/>
      <c r="J6972" s="41"/>
    </row>
    <row r="6973" spans="5:10" s="34" customFormat="1" x14ac:dyDescent="0.35">
      <c r="E6973" s="35"/>
      <c r="J6973" s="41"/>
    </row>
    <row r="6974" spans="5:10" s="34" customFormat="1" x14ac:dyDescent="0.35">
      <c r="E6974" s="35"/>
      <c r="J6974" s="41"/>
    </row>
    <row r="6975" spans="5:10" s="34" customFormat="1" x14ac:dyDescent="0.35">
      <c r="E6975" s="35"/>
      <c r="J6975" s="41"/>
    </row>
    <row r="6976" spans="5:10" s="34" customFormat="1" x14ac:dyDescent="0.35">
      <c r="E6976" s="35"/>
      <c r="J6976" s="41"/>
    </row>
    <row r="6977" spans="5:10" s="34" customFormat="1" x14ac:dyDescent="0.35">
      <c r="E6977" s="35"/>
      <c r="J6977" s="41"/>
    </row>
    <row r="6978" spans="5:10" s="34" customFormat="1" x14ac:dyDescent="0.35">
      <c r="E6978" s="35"/>
      <c r="J6978" s="41"/>
    </row>
    <row r="6979" spans="5:10" s="34" customFormat="1" x14ac:dyDescent="0.35">
      <c r="E6979" s="35"/>
      <c r="J6979" s="41"/>
    </row>
    <row r="6980" spans="5:10" s="34" customFormat="1" x14ac:dyDescent="0.35">
      <c r="E6980" s="35"/>
      <c r="J6980" s="41"/>
    </row>
    <row r="6981" spans="5:10" s="34" customFormat="1" x14ac:dyDescent="0.35">
      <c r="E6981" s="35"/>
      <c r="J6981" s="41"/>
    </row>
    <row r="6982" spans="5:10" s="34" customFormat="1" x14ac:dyDescent="0.35">
      <c r="E6982" s="35"/>
      <c r="J6982" s="41"/>
    </row>
    <row r="6983" spans="5:10" s="34" customFormat="1" x14ac:dyDescent="0.35">
      <c r="E6983" s="35"/>
      <c r="J6983" s="41"/>
    </row>
    <row r="6984" spans="5:10" s="34" customFormat="1" x14ac:dyDescent="0.35">
      <c r="E6984" s="35"/>
      <c r="J6984" s="41"/>
    </row>
    <row r="6985" spans="5:10" s="34" customFormat="1" x14ac:dyDescent="0.35">
      <c r="E6985" s="35"/>
      <c r="J6985" s="41"/>
    </row>
    <row r="6986" spans="5:10" s="34" customFormat="1" x14ac:dyDescent="0.35">
      <c r="E6986" s="35"/>
      <c r="J6986" s="41"/>
    </row>
    <row r="6987" spans="5:10" s="34" customFormat="1" x14ac:dyDescent="0.35">
      <c r="E6987" s="35"/>
      <c r="J6987" s="41"/>
    </row>
    <row r="6988" spans="5:10" s="34" customFormat="1" x14ac:dyDescent="0.35">
      <c r="E6988" s="35"/>
      <c r="J6988" s="41"/>
    </row>
    <row r="6989" spans="5:10" s="34" customFormat="1" x14ac:dyDescent="0.35">
      <c r="E6989" s="35"/>
      <c r="J6989" s="41"/>
    </row>
    <row r="6990" spans="5:10" s="34" customFormat="1" x14ac:dyDescent="0.35">
      <c r="E6990" s="35"/>
      <c r="J6990" s="41"/>
    </row>
    <row r="6991" spans="5:10" s="34" customFormat="1" x14ac:dyDescent="0.35">
      <c r="E6991" s="35"/>
      <c r="J6991" s="41"/>
    </row>
    <row r="6992" spans="5:10" s="34" customFormat="1" x14ac:dyDescent="0.35">
      <c r="E6992" s="35"/>
      <c r="J6992" s="41"/>
    </row>
    <row r="6993" spans="5:10" s="34" customFormat="1" x14ac:dyDescent="0.35">
      <c r="E6993" s="35"/>
      <c r="J6993" s="41"/>
    </row>
    <row r="6994" spans="5:10" s="34" customFormat="1" x14ac:dyDescent="0.35">
      <c r="E6994" s="35"/>
      <c r="J6994" s="41"/>
    </row>
    <row r="6995" spans="5:10" s="34" customFormat="1" x14ac:dyDescent="0.35">
      <c r="E6995" s="35"/>
      <c r="J6995" s="41"/>
    </row>
    <row r="6996" spans="5:10" s="34" customFormat="1" x14ac:dyDescent="0.35">
      <c r="E6996" s="35"/>
      <c r="J6996" s="41"/>
    </row>
    <row r="6997" spans="5:10" s="34" customFormat="1" x14ac:dyDescent="0.35">
      <c r="E6997" s="35"/>
      <c r="J6997" s="41"/>
    </row>
    <row r="6998" spans="5:10" s="34" customFormat="1" x14ac:dyDescent="0.35">
      <c r="E6998" s="35"/>
      <c r="J6998" s="41"/>
    </row>
    <row r="6999" spans="5:10" s="34" customFormat="1" x14ac:dyDescent="0.35">
      <c r="E6999" s="35"/>
      <c r="J6999" s="41"/>
    </row>
    <row r="7000" spans="5:10" s="34" customFormat="1" x14ac:dyDescent="0.35">
      <c r="E7000" s="35"/>
      <c r="J7000" s="41"/>
    </row>
    <row r="7001" spans="5:10" s="34" customFormat="1" x14ac:dyDescent="0.35">
      <c r="E7001" s="35"/>
      <c r="J7001" s="41"/>
    </row>
    <row r="7002" spans="5:10" s="34" customFormat="1" x14ac:dyDescent="0.35">
      <c r="E7002" s="35"/>
      <c r="J7002" s="41"/>
    </row>
    <row r="7003" spans="5:10" s="34" customFormat="1" x14ac:dyDescent="0.35">
      <c r="E7003" s="35"/>
      <c r="J7003" s="41"/>
    </row>
    <row r="7004" spans="5:10" s="34" customFormat="1" x14ac:dyDescent="0.35">
      <c r="E7004" s="35"/>
      <c r="J7004" s="41"/>
    </row>
    <row r="7005" spans="5:10" s="34" customFormat="1" x14ac:dyDescent="0.35">
      <c r="E7005" s="35"/>
      <c r="J7005" s="41"/>
    </row>
    <row r="7006" spans="5:10" s="34" customFormat="1" x14ac:dyDescent="0.35">
      <c r="E7006" s="35"/>
      <c r="J7006" s="41"/>
    </row>
    <row r="7007" spans="5:10" s="34" customFormat="1" x14ac:dyDescent="0.35">
      <c r="E7007" s="35"/>
      <c r="J7007" s="41"/>
    </row>
    <row r="7008" spans="5:10" s="34" customFormat="1" x14ac:dyDescent="0.35">
      <c r="E7008" s="35"/>
      <c r="J7008" s="41"/>
    </row>
    <row r="7009" spans="5:10" s="34" customFormat="1" x14ac:dyDescent="0.35">
      <c r="E7009" s="35"/>
      <c r="J7009" s="41"/>
    </row>
    <row r="7010" spans="5:10" s="34" customFormat="1" x14ac:dyDescent="0.35">
      <c r="E7010" s="35"/>
      <c r="J7010" s="41"/>
    </row>
    <row r="7011" spans="5:10" s="34" customFormat="1" x14ac:dyDescent="0.35">
      <c r="E7011" s="35"/>
      <c r="J7011" s="41"/>
    </row>
    <row r="7012" spans="5:10" s="34" customFormat="1" x14ac:dyDescent="0.35">
      <c r="E7012" s="35"/>
      <c r="J7012" s="41"/>
    </row>
    <row r="7013" spans="5:10" s="34" customFormat="1" x14ac:dyDescent="0.35">
      <c r="E7013" s="35"/>
      <c r="J7013" s="41"/>
    </row>
    <row r="7014" spans="5:10" s="34" customFormat="1" x14ac:dyDescent="0.35">
      <c r="E7014" s="35"/>
      <c r="J7014" s="41"/>
    </row>
    <row r="7015" spans="5:10" s="34" customFormat="1" x14ac:dyDescent="0.35">
      <c r="E7015" s="35"/>
      <c r="J7015" s="41"/>
    </row>
    <row r="7016" spans="5:10" s="34" customFormat="1" x14ac:dyDescent="0.35">
      <c r="E7016" s="35"/>
      <c r="J7016" s="41"/>
    </row>
    <row r="7017" spans="5:10" s="34" customFormat="1" x14ac:dyDescent="0.35">
      <c r="E7017" s="35"/>
      <c r="J7017" s="41"/>
    </row>
    <row r="7018" spans="5:10" s="34" customFormat="1" x14ac:dyDescent="0.35">
      <c r="E7018" s="35"/>
      <c r="J7018" s="41"/>
    </row>
    <row r="7019" spans="5:10" s="34" customFormat="1" x14ac:dyDescent="0.35">
      <c r="E7019" s="35"/>
      <c r="J7019" s="41"/>
    </row>
    <row r="7020" spans="5:10" s="34" customFormat="1" x14ac:dyDescent="0.35">
      <c r="E7020" s="35"/>
      <c r="J7020" s="41"/>
    </row>
    <row r="7021" spans="5:10" s="34" customFormat="1" x14ac:dyDescent="0.35">
      <c r="E7021" s="35"/>
      <c r="J7021" s="41"/>
    </row>
    <row r="7022" spans="5:10" s="34" customFormat="1" x14ac:dyDescent="0.35">
      <c r="E7022" s="35"/>
      <c r="J7022" s="41"/>
    </row>
    <row r="7023" spans="5:10" s="34" customFormat="1" x14ac:dyDescent="0.35">
      <c r="E7023" s="35"/>
      <c r="J7023" s="41"/>
    </row>
    <row r="7024" spans="5:10" s="34" customFormat="1" x14ac:dyDescent="0.35">
      <c r="E7024" s="35"/>
      <c r="J7024" s="41"/>
    </row>
    <row r="7025" spans="5:10" s="34" customFormat="1" x14ac:dyDescent="0.35">
      <c r="E7025" s="35"/>
      <c r="J7025" s="41"/>
    </row>
    <row r="7026" spans="5:10" s="34" customFormat="1" x14ac:dyDescent="0.35">
      <c r="E7026" s="35"/>
      <c r="J7026" s="41"/>
    </row>
    <row r="7027" spans="5:10" s="34" customFormat="1" x14ac:dyDescent="0.35">
      <c r="E7027" s="35"/>
      <c r="J7027" s="41"/>
    </row>
    <row r="7028" spans="5:10" s="34" customFormat="1" x14ac:dyDescent="0.35">
      <c r="E7028" s="35"/>
      <c r="J7028" s="41"/>
    </row>
    <row r="7029" spans="5:10" s="34" customFormat="1" x14ac:dyDescent="0.35">
      <c r="E7029" s="35"/>
      <c r="J7029" s="41"/>
    </row>
    <row r="7030" spans="5:10" s="34" customFormat="1" x14ac:dyDescent="0.35">
      <c r="E7030" s="35"/>
      <c r="J7030" s="41"/>
    </row>
    <row r="7031" spans="5:10" s="34" customFormat="1" x14ac:dyDescent="0.35">
      <c r="E7031" s="35"/>
      <c r="J7031" s="41"/>
    </row>
    <row r="7032" spans="5:10" s="34" customFormat="1" x14ac:dyDescent="0.35">
      <c r="E7032" s="35"/>
      <c r="J7032" s="41"/>
    </row>
    <row r="7033" spans="5:10" s="34" customFormat="1" x14ac:dyDescent="0.35">
      <c r="E7033" s="35"/>
      <c r="J7033" s="41"/>
    </row>
    <row r="7034" spans="5:10" s="34" customFormat="1" x14ac:dyDescent="0.35">
      <c r="E7034" s="35"/>
      <c r="J7034" s="41"/>
    </row>
    <row r="7035" spans="5:10" s="34" customFormat="1" x14ac:dyDescent="0.35">
      <c r="E7035" s="35"/>
      <c r="J7035" s="41"/>
    </row>
    <row r="7036" spans="5:10" s="34" customFormat="1" x14ac:dyDescent="0.35">
      <c r="E7036" s="35"/>
      <c r="J7036" s="41"/>
    </row>
    <row r="7037" spans="5:10" s="34" customFormat="1" x14ac:dyDescent="0.35">
      <c r="E7037" s="35"/>
      <c r="J7037" s="41"/>
    </row>
    <row r="7038" spans="5:10" s="34" customFormat="1" x14ac:dyDescent="0.35">
      <c r="E7038" s="35"/>
      <c r="J7038" s="41"/>
    </row>
    <row r="7039" spans="5:10" s="34" customFormat="1" x14ac:dyDescent="0.35">
      <c r="E7039" s="35"/>
      <c r="J7039" s="41"/>
    </row>
    <row r="7040" spans="5:10" s="34" customFormat="1" x14ac:dyDescent="0.35">
      <c r="E7040" s="35"/>
      <c r="J7040" s="41"/>
    </row>
    <row r="7041" spans="5:10" s="34" customFormat="1" x14ac:dyDescent="0.35">
      <c r="E7041" s="35"/>
      <c r="J7041" s="41"/>
    </row>
    <row r="7042" spans="5:10" s="34" customFormat="1" x14ac:dyDescent="0.35">
      <c r="E7042" s="35"/>
      <c r="J7042" s="41"/>
    </row>
    <row r="7043" spans="5:10" s="34" customFormat="1" x14ac:dyDescent="0.35">
      <c r="E7043" s="35"/>
      <c r="J7043" s="41"/>
    </row>
    <row r="7044" spans="5:10" s="34" customFormat="1" x14ac:dyDescent="0.35">
      <c r="E7044" s="35"/>
      <c r="J7044" s="41"/>
    </row>
    <row r="7045" spans="5:10" s="34" customFormat="1" x14ac:dyDescent="0.35">
      <c r="E7045" s="35"/>
      <c r="J7045" s="41"/>
    </row>
    <row r="7046" spans="5:10" s="34" customFormat="1" x14ac:dyDescent="0.35">
      <c r="E7046" s="35"/>
      <c r="J7046" s="41"/>
    </row>
    <row r="7047" spans="5:10" s="34" customFormat="1" x14ac:dyDescent="0.35">
      <c r="E7047" s="35"/>
      <c r="J7047" s="41"/>
    </row>
    <row r="7048" spans="5:10" s="34" customFormat="1" x14ac:dyDescent="0.35">
      <c r="E7048" s="35"/>
      <c r="J7048" s="41"/>
    </row>
    <row r="7049" spans="5:10" s="34" customFormat="1" x14ac:dyDescent="0.35">
      <c r="E7049" s="35"/>
      <c r="J7049" s="41"/>
    </row>
    <row r="7050" spans="5:10" s="34" customFormat="1" x14ac:dyDescent="0.35">
      <c r="E7050" s="35"/>
      <c r="J7050" s="41"/>
    </row>
    <row r="7051" spans="5:10" s="34" customFormat="1" x14ac:dyDescent="0.35">
      <c r="E7051" s="35"/>
      <c r="J7051" s="41"/>
    </row>
    <row r="7052" spans="5:10" s="34" customFormat="1" x14ac:dyDescent="0.35">
      <c r="E7052" s="35"/>
      <c r="J7052" s="41"/>
    </row>
    <row r="7053" spans="5:10" s="34" customFormat="1" x14ac:dyDescent="0.35">
      <c r="E7053" s="35"/>
      <c r="J7053" s="41"/>
    </row>
    <row r="7054" spans="5:10" s="34" customFormat="1" x14ac:dyDescent="0.35">
      <c r="E7054" s="35"/>
      <c r="J7054" s="41"/>
    </row>
    <row r="7055" spans="5:10" s="34" customFormat="1" x14ac:dyDescent="0.35">
      <c r="E7055" s="35"/>
      <c r="J7055" s="41"/>
    </row>
    <row r="7056" spans="5:10" s="34" customFormat="1" x14ac:dyDescent="0.35">
      <c r="E7056" s="35"/>
      <c r="J7056" s="41"/>
    </row>
    <row r="7057" spans="5:10" s="34" customFormat="1" x14ac:dyDescent="0.35">
      <c r="E7057" s="35"/>
      <c r="J7057" s="41"/>
    </row>
    <row r="7058" spans="5:10" s="34" customFormat="1" x14ac:dyDescent="0.35">
      <c r="E7058" s="35"/>
      <c r="J7058" s="41"/>
    </row>
    <row r="7059" spans="5:10" s="34" customFormat="1" x14ac:dyDescent="0.35">
      <c r="E7059" s="35"/>
      <c r="J7059" s="41"/>
    </row>
    <row r="7060" spans="5:10" s="34" customFormat="1" x14ac:dyDescent="0.35">
      <c r="E7060" s="35"/>
      <c r="J7060" s="41"/>
    </row>
    <row r="7061" spans="5:10" s="34" customFormat="1" x14ac:dyDescent="0.35">
      <c r="E7061" s="35"/>
      <c r="J7061" s="41"/>
    </row>
    <row r="7062" spans="5:10" s="34" customFormat="1" x14ac:dyDescent="0.35">
      <c r="E7062" s="35"/>
      <c r="J7062" s="41"/>
    </row>
    <row r="7063" spans="5:10" s="34" customFormat="1" x14ac:dyDescent="0.35">
      <c r="E7063" s="35"/>
      <c r="J7063" s="41"/>
    </row>
    <row r="7064" spans="5:10" s="34" customFormat="1" x14ac:dyDescent="0.35">
      <c r="E7064" s="35"/>
      <c r="J7064" s="41"/>
    </row>
    <row r="7065" spans="5:10" s="34" customFormat="1" x14ac:dyDescent="0.35">
      <c r="E7065" s="35"/>
      <c r="J7065" s="41"/>
    </row>
    <row r="7066" spans="5:10" s="34" customFormat="1" x14ac:dyDescent="0.35">
      <c r="E7066" s="35"/>
      <c r="J7066" s="41"/>
    </row>
    <row r="7067" spans="5:10" s="34" customFormat="1" x14ac:dyDescent="0.35">
      <c r="E7067" s="35"/>
      <c r="J7067" s="41"/>
    </row>
    <row r="7068" spans="5:10" s="34" customFormat="1" x14ac:dyDescent="0.35">
      <c r="E7068" s="35"/>
      <c r="J7068" s="41"/>
    </row>
    <row r="7069" spans="5:10" s="34" customFormat="1" x14ac:dyDescent="0.35">
      <c r="E7069" s="35"/>
      <c r="J7069" s="41"/>
    </row>
    <row r="7070" spans="5:10" s="34" customFormat="1" x14ac:dyDescent="0.35">
      <c r="E7070" s="35"/>
      <c r="J7070" s="41"/>
    </row>
    <row r="7071" spans="5:10" s="34" customFormat="1" x14ac:dyDescent="0.35">
      <c r="E7071" s="35"/>
      <c r="J7071" s="41"/>
    </row>
    <row r="7072" spans="5:10" s="34" customFormat="1" x14ac:dyDescent="0.35">
      <c r="E7072" s="35"/>
      <c r="J7072" s="41"/>
    </row>
    <row r="7073" spans="5:10" s="34" customFormat="1" x14ac:dyDescent="0.35">
      <c r="E7073" s="35"/>
      <c r="J7073" s="41"/>
    </row>
    <row r="7074" spans="5:10" s="34" customFormat="1" x14ac:dyDescent="0.35">
      <c r="E7074" s="35"/>
      <c r="J7074" s="41"/>
    </row>
    <row r="7075" spans="5:10" s="34" customFormat="1" x14ac:dyDescent="0.35">
      <c r="E7075" s="35"/>
      <c r="J7075" s="41"/>
    </row>
    <row r="7076" spans="5:10" s="34" customFormat="1" x14ac:dyDescent="0.35">
      <c r="E7076" s="35"/>
      <c r="J7076" s="41"/>
    </row>
    <row r="7077" spans="5:10" s="34" customFormat="1" x14ac:dyDescent="0.35">
      <c r="E7077" s="35"/>
      <c r="J7077" s="41"/>
    </row>
    <row r="7078" spans="5:10" s="34" customFormat="1" x14ac:dyDescent="0.35">
      <c r="E7078" s="35"/>
      <c r="J7078" s="41"/>
    </row>
    <row r="7079" spans="5:10" s="34" customFormat="1" x14ac:dyDescent="0.35">
      <c r="E7079" s="35"/>
      <c r="J7079" s="41"/>
    </row>
    <row r="7080" spans="5:10" s="34" customFormat="1" x14ac:dyDescent="0.35">
      <c r="E7080" s="35"/>
      <c r="J7080" s="41"/>
    </row>
    <row r="7081" spans="5:10" s="34" customFormat="1" x14ac:dyDescent="0.35">
      <c r="E7081" s="35"/>
      <c r="J7081" s="41"/>
    </row>
    <row r="7082" spans="5:10" s="34" customFormat="1" x14ac:dyDescent="0.35">
      <c r="E7082" s="35"/>
      <c r="J7082" s="41"/>
    </row>
    <row r="7083" spans="5:10" s="34" customFormat="1" x14ac:dyDescent="0.35">
      <c r="E7083" s="35"/>
      <c r="J7083" s="41"/>
    </row>
    <row r="7084" spans="5:10" s="34" customFormat="1" x14ac:dyDescent="0.35">
      <c r="E7084" s="35"/>
      <c r="J7084" s="41"/>
    </row>
    <row r="7085" spans="5:10" s="34" customFormat="1" x14ac:dyDescent="0.35">
      <c r="E7085" s="35"/>
      <c r="J7085" s="41"/>
    </row>
    <row r="7086" spans="5:10" s="34" customFormat="1" x14ac:dyDescent="0.35">
      <c r="E7086" s="35"/>
      <c r="J7086" s="41"/>
    </row>
    <row r="7087" spans="5:10" s="34" customFormat="1" x14ac:dyDescent="0.35">
      <c r="E7087" s="35"/>
      <c r="J7087" s="41"/>
    </row>
    <row r="7088" spans="5:10" s="34" customFormat="1" x14ac:dyDescent="0.35">
      <c r="E7088" s="35"/>
      <c r="J7088" s="41"/>
    </row>
    <row r="7089" spans="5:10" s="34" customFormat="1" x14ac:dyDescent="0.35">
      <c r="E7089" s="35"/>
      <c r="J7089" s="41"/>
    </row>
    <row r="7090" spans="5:10" s="34" customFormat="1" x14ac:dyDescent="0.35">
      <c r="E7090" s="35"/>
      <c r="J7090" s="41"/>
    </row>
    <row r="7091" spans="5:10" s="34" customFormat="1" x14ac:dyDescent="0.35">
      <c r="E7091" s="35"/>
      <c r="J7091" s="41"/>
    </row>
    <row r="7092" spans="5:10" s="34" customFormat="1" x14ac:dyDescent="0.35">
      <c r="E7092" s="35"/>
      <c r="J7092" s="41"/>
    </row>
    <row r="7093" spans="5:10" s="34" customFormat="1" x14ac:dyDescent="0.35">
      <c r="E7093" s="35"/>
      <c r="J7093" s="41"/>
    </row>
    <row r="7094" spans="5:10" s="34" customFormat="1" x14ac:dyDescent="0.35">
      <c r="E7094" s="35"/>
      <c r="J7094" s="41"/>
    </row>
    <row r="7095" spans="5:10" s="34" customFormat="1" x14ac:dyDescent="0.35">
      <c r="E7095" s="35"/>
      <c r="J7095" s="41"/>
    </row>
    <row r="7096" spans="5:10" s="34" customFormat="1" x14ac:dyDescent="0.35">
      <c r="E7096" s="35"/>
      <c r="J7096" s="41"/>
    </row>
    <row r="7097" spans="5:10" s="34" customFormat="1" x14ac:dyDescent="0.35">
      <c r="E7097" s="35"/>
      <c r="J7097" s="41"/>
    </row>
    <row r="7098" spans="5:10" s="34" customFormat="1" x14ac:dyDescent="0.35">
      <c r="E7098" s="35"/>
      <c r="J7098" s="41"/>
    </row>
    <row r="7099" spans="5:10" s="34" customFormat="1" x14ac:dyDescent="0.35">
      <c r="E7099" s="35"/>
      <c r="J7099" s="41"/>
    </row>
    <row r="7100" spans="5:10" s="34" customFormat="1" x14ac:dyDescent="0.35">
      <c r="E7100" s="35"/>
      <c r="J7100" s="41"/>
    </row>
    <row r="7101" spans="5:10" s="34" customFormat="1" x14ac:dyDescent="0.35">
      <c r="E7101" s="35"/>
      <c r="J7101" s="41"/>
    </row>
    <row r="7102" spans="5:10" s="34" customFormat="1" x14ac:dyDescent="0.35">
      <c r="E7102" s="35"/>
      <c r="J7102" s="41"/>
    </row>
    <row r="7103" spans="5:10" s="34" customFormat="1" x14ac:dyDescent="0.35">
      <c r="E7103" s="35"/>
      <c r="J7103" s="41"/>
    </row>
    <row r="7104" spans="5:10" s="34" customFormat="1" x14ac:dyDescent="0.35">
      <c r="E7104" s="35"/>
      <c r="J7104" s="41"/>
    </row>
    <row r="7105" spans="5:10" s="34" customFormat="1" x14ac:dyDescent="0.35">
      <c r="E7105" s="35"/>
      <c r="J7105" s="41"/>
    </row>
    <row r="7106" spans="5:10" s="34" customFormat="1" x14ac:dyDescent="0.35">
      <c r="E7106" s="35"/>
      <c r="J7106" s="41"/>
    </row>
    <row r="7107" spans="5:10" s="34" customFormat="1" x14ac:dyDescent="0.35">
      <c r="E7107" s="35"/>
      <c r="J7107" s="41"/>
    </row>
    <row r="7108" spans="5:10" s="34" customFormat="1" x14ac:dyDescent="0.35">
      <c r="E7108" s="35"/>
      <c r="J7108" s="41"/>
    </row>
    <row r="7109" spans="5:10" s="34" customFormat="1" x14ac:dyDescent="0.35">
      <c r="E7109" s="35"/>
      <c r="J7109" s="41"/>
    </row>
    <row r="7110" spans="5:10" s="34" customFormat="1" x14ac:dyDescent="0.35">
      <c r="E7110" s="35"/>
      <c r="J7110" s="41"/>
    </row>
    <row r="7111" spans="5:10" s="34" customFormat="1" x14ac:dyDescent="0.35">
      <c r="E7111" s="35"/>
      <c r="J7111" s="41"/>
    </row>
    <row r="7112" spans="5:10" s="34" customFormat="1" x14ac:dyDescent="0.35">
      <c r="E7112" s="35"/>
      <c r="J7112" s="41"/>
    </row>
    <row r="7113" spans="5:10" s="34" customFormat="1" x14ac:dyDescent="0.35">
      <c r="E7113" s="35"/>
      <c r="J7113" s="41"/>
    </row>
    <row r="7114" spans="5:10" s="34" customFormat="1" x14ac:dyDescent="0.35">
      <c r="E7114" s="35"/>
      <c r="J7114" s="41"/>
    </row>
    <row r="7115" spans="5:10" s="34" customFormat="1" x14ac:dyDescent="0.35">
      <c r="E7115" s="35"/>
      <c r="J7115" s="41"/>
    </row>
    <row r="7116" spans="5:10" s="34" customFormat="1" x14ac:dyDescent="0.35">
      <c r="E7116" s="35"/>
      <c r="J7116" s="41"/>
    </row>
    <row r="7117" spans="5:10" s="34" customFormat="1" x14ac:dyDescent="0.35">
      <c r="E7117" s="35"/>
      <c r="J7117" s="41"/>
    </row>
    <row r="7118" spans="5:10" s="34" customFormat="1" x14ac:dyDescent="0.35">
      <c r="E7118" s="35"/>
      <c r="J7118" s="41"/>
    </row>
    <row r="7119" spans="5:10" s="34" customFormat="1" x14ac:dyDescent="0.35">
      <c r="E7119" s="35"/>
      <c r="J7119" s="41"/>
    </row>
    <row r="7120" spans="5:10" s="34" customFormat="1" x14ac:dyDescent="0.35">
      <c r="E7120" s="35"/>
      <c r="J7120" s="41"/>
    </row>
    <row r="7121" spans="5:10" s="34" customFormat="1" x14ac:dyDescent="0.35">
      <c r="E7121" s="35"/>
      <c r="J7121" s="41"/>
    </row>
    <row r="7122" spans="5:10" s="34" customFormat="1" x14ac:dyDescent="0.35">
      <c r="E7122" s="35"/>
      <c r="J7122" s="41"/>
    </row>
    <row r="7123" spans="5:10" s="34" customFormat="1" x14ac:dyDescent="0.35">
      <c r="E7123" s="35"/>
      <c r="J7123" s="41"/>
    </row>
    <row r="7124" spans="5:10" s="34" customFormat="1" x14ac:dyDescent="0.35">
      <c r="E7124" s="35"/>
      <c r="J7124" s="41"/>
    </row>
    <row r="7125" spans="5:10" s="34" customFormat="1" x14ac:dyDescent="0.35">
      <c r="E7125" s="35"/>
      <c r="J7125" s="41"/>
    </row>
    <row r="7126" spans="5:10" s="34" customFormat="1" x14ac:dyDescent="0.35">
      <c r="E7126" s="35"/>
      <c r="J7126" s="41"/>
    </row>
    <row r="7127" spans="5:10" s="34" customFormat="1" x14ac:dyDescent="0.35">
      <c r="E7127" s="35"/>
      <c r="J7127" s="41"/>
    </row>
    <row r="7128" spans="5:10" s="34" customFormat="1" x14ac:dyDescent="0.35">
      <c r="E7128" s="35"/>
      <c r="J7128" s="41"/>
    </row>
    <row r="7129" spans="5:10" s="34" customFormat="1" x14ac:dyDescent="0.35">
      <c r="E7129" s="35"/>
      <c r="J7129" s="41"/>
    </row>
    <row r="7130" spans="5:10" s="34" customFormat="1" x14ac:dyDescent="0.35">
      <c r="E7130" s="35"/>
      <c r="J7130" s="41"/>
    </row>
    <row r="7131" spans="5:10" s="34" customFormat="1" x14ac:dyDescent="0.35">
      <c r="E7131" s="35"/>
      <c r="J7131" s="41"/>
    </row>
    <row r="7132" spans="5:10" s="34" customFormat="1" x14ac:dyDescent="0.35">
      <c r="E7132" s="35"/>
      <c r="J7132" s="41"/>
    </row>
    <row r="7133" spans="5:10" s="34" customFormat="1" x14ac:dyDescent="0.35">
      <c r="E7133" s="35"/>
      <c r="J7133" s="41"/>
    </row>
    <row r="7134" spans="5:10" s="34" customFormat="1" x14ac:dyDescent="0.35">
      <c r="E7134" s="35"/>
      <c r="J7134" s="41"/>
    </row>
    <row r="7135" spans="5:10" s="34" customFormat="1" x14ac:dyDescent="0.35">
      <c r="E7135" s="35"/>
      <c r="J7135" s="41"/>
    </row>
    <row r="7136" spans="5:10" s="34" customFormat="1" x14ac:dyDescent="0.35">
      <c r="E7136" s="35"/>
      <c r="J7136" s="41"/>
    </row>
    <row r="7137" spans="5:10" s="34" customFormat="1" x14ac:dyDescent="0.35">
      <c r="E7137" s="35"/>
      <c r="J7137" s="41"/>
    </row>
    <row r="7138" spans="5:10" s="34" customFormat="1" x14ac:dyDescent="0.35">
      <c r="E7138" s="35"/>
      <c r="J7138" s="41"/>
    </row>
    <row r="7139" spans="5:10" s="34" customFormat="1" x14ac:dyDescent="0.35">
      <c r="E7139" s="35"/>
      <c r="J7139" s="41"/>
    </row>
    <row r="7140" spans="5:10" s="34" customFormat="1" x14ac:dyDescent="0.35">
      <c r="E7140" s="35"/>
      <c r="J7140" s="41"/>
    </row>
    <row r="7141" spans="5:10" s="34" customFormat="1" x14ac:dyDescent="0.35">
      <c r="E7141" s="35"/>
      <c r="J7141" s="41"/>
    </row>
    <row r="7142" spans="5:10" s="34" customFormat="1" x14ac:dyDescent="0.35">
      <c r="E7142" s="35"/>
      <c r="J7142" s="41"/>
    </row>
    <row r="7143" spans="5:10" s="34" customFormat="1" x14ac:dyDescent="0.35">
      <c r="E7143" s="35"/>
      <c r="J7143" s="41"/>
    </row>
    <row r="7144" spans="5:10" s="34" customFormat="1" x14ac:dyDescent="0.35">
      <c r="E7144" s="35"/>
      <c r="J7144" s="41"/>
    </row>
    <row r="7145" spans="5:10" s="34" customFormat="1" x14ac:dyDescent="0.35">
      <c r="E7145" s="35"/>
      <c r="J7145" s="41"/>
    </row>
    <row r="7146" spans="5:10" s="34" customFormat="1" x14ac:dyDescent="0.35">
      <c r="E7146" s="35"/>
      <c r="J7146" s="41"/>
    </row>
    <row r="7147" spans="5:10" s="34" customFormat="1" x14ac:dyDescent="0.35">
      <c r="E7147" s="35"/>
      <c r="J7147" s="41"/>
    </row>
    <row r="7148" spans="5:10" s="34" customFormat="1" x14ac:dyDescent="0.35">
      <c r="E7148" s="35"/>
      <c r="J7148" s="41"/>
    </row>
    <row r="7149" spans="5:10" s="34" customFormat="1" x14ac:dyDescent="0.35">
      <c r="E7149" s="35"/>
      <c r="J7149" s="41"/>
    </row>
    <row r="7150" spans="5:10" s="34" customFormat="1" x14ac:dyDescent="0.35">
      <c r="E7150" s="35"/>
      <c r="J7150" s="41"/>
    </row>
    <row r="7151" spans="5:10" s="34" customFormat="1" x14ac:dyDescent="0.35">
      <c r="E7151" s="35"/>
      <c r="J7151" s="41"/>
    </row>
    <row r="7152" spans="5:10" s="34" customFormat="1" x14ac:dyDescent="0.35">
      <c r="E7152" s="35"/>
      <c r="J7152" s="41"/>
    </row>
    <row r="7153" spans="5:10" s="34" customFormat="1" x14ac:dyDescent="0.35">
      <c r="E7153" s="35"/>
      <c r="J7153" s="41"/>
    </row>
    <row r="7154" spans="5:10" s="34" customFormat="1" x14ac:dyDescent="0.35">
      <c r="E7154" s="35"/>
      <c r="J7154" s="41"/>
    </row>
    <row r="7155" spans="5:10" s="34" customFormat="1" x14ac:dyDescent="0.35">
      <c r="E7155" s="35"/>
      <c r="J7155" s="41"/>
    </row>
    <row r="7156" spans="5:10" s="34" customFormat="1" x14ac:dyDescent="0.35">
      <c r="E7156" s="35"/>
      <c r="J7156" s="41"/>
    </row>
    <row r="7157" spans="5:10" s="34" customFormat="1" x14ac:dyDescent="0.35">
      <c r="E7157" s="35"/>
      <c r="J7157" s="41"/>
    </row>
    <row r="7158" spans="5:10" s="34" customFormat="1" x14ac:dyDescent="0.35">
      <c r="E7158" s="35"/>
      <c r="J7158" s="41"/>
    </row>
    <row r="7159" spans="5:10" s="34" customFormat="1" x14ac:dyDescent="0.35">
      <c r="E7159" s="35"/>
      <c r="J7159" s="41"/>
    </row>
    <row r="7160" spans="5:10" s="34" customFormat="1" x14ac:dyDescent="0.35">
      <c r="E7160" s="35"/>
      <c r="J7160" s="41"/>
    </row>
    <row r="7161" spans="5:10" s="34" customFormat="1" x14ac:dyDescent="0.35">
      <c r="E7161" s="35"/>
      <c r="J7161" s="41"/>
    </row>
    <row r="7162" spans="5:10" s="34" customFormat="1" x14ac:dyDescent="0.35">
      <c r="E7162" s="35"/>
      <c r="J7162" s="41"/>
    </row>
    <row r="7163" spans="5:10" s="34" customFormat="1" x14ac:dyDescent="0.35">
      <c r="E7163" s="35"/>
      <c r="J7163" s="41"/>
    </row>
    <row r="7164" spans="5:10" s="34" customFormat="1" x14ac:dyDescent="0.35">
      <c r="E7164" s="35"/>
      <c r="J7164" s="41"/>
    </row>
    <row r="7165" spans="5:10" s="34" customFormat="1" x14ac:dyDescent="0.35">
      <c r="E7165" s="35"/>
      <c r="J7165" s="41"/>
    </row>
    <row r="7166" spans="5:10" s="34" customFormat="1" x14ac:dyDescent="0.35">
      <c r="E7166" s="35"/>
      <c r="J7166" s="41"/>
    </row>
    <row r="7167" spans="5:10" s="34" customFormat="1" x14ac:dyDescent="0.35">
      <c r="E7167" s="35"/>
      <c r="J7167" s="41"/>
    </row>
    <row r="7168" spans="5:10" s="34" customFormat="1" x14ac:dyDescent="0.35">
      <c r="E7168" s="35"/>
      <c r="J7168" s="41"/>
    </row>
    <row r="7169" spans="5:10" s="34" customFormat="1" x14ac:dyDescent="0.35">
      <c r="E7169" s="35"/>
      <c r="J7169" s="41"/>
    </row>
    <row r="7170" spans="5:10" s="34" customFormat="1" x14ac:dyDescent="0.35">
      <c r="E7170" s="35"/>
      <c r="J7170" s="41"/>
    </row>
    <row r="7171" spans="5:10" s="34" customFormat="1" x14ac:dyDescent="0.35">
      <c r="E7171" s="35"/>
      <c r="J7171" s="41"/>
    </row>
    <row r="7172" spans="5:10" s="34" customFormat="1" x14ac:dyDescent="0.35">
      <c r="E7172" s="35"/>
      <c r="J7172" s="41"/>
    </row>
    <row r="7173" spans="5:10" s="34" customFormat="1" x14ac:dyDescent="0.35">
      <c r="E7173" s="35"/>
      <c r="J7173" s="41"/>
    </row>
    <row r="7174" spans="5:10" s="34" customFormat="1" x14ac:dyDescent="0.35">
      <c r="E7174" s="35"/>
      <c r="J7174" s="41"/>
    </row>
    <row r="7175" spans="5:10" s="34" customFormat="1" x14ac:dyDescent="0.35">
      <c r="E7175" s="35"/>
      <c r="J7175" s="41"/>
    </row>
    <row r="7176" spans="5:10" s="34" customFormat="1" x14ac:dyDescent="0.35">
      <c r="E7176" s="35"/>
      <c r="J7176" s="41"/>
    </row>
    <row r="7177" spans="5:10" s="34" customFormat="1" x14ac:dyDescent="0.35">
      <c r="E7177" s="35"/>
      <c r="J7177" s="41"/>
    </row>
    <row r="7178" spans="5:10" s="34" customFormat="1" x14ac:dyDescent="0.35">
      <c r="E7178" s="35"/>
      <c r="J7178" s="41"/>
    </row>
    <row r="7179" spans="5:10" s="34" customFormat="1" x14ac:dyDescent="0.35">
      <c r="E7179" s="35"/>
      <c r="J7179" s="41"/>
    </row>
    <row r="7180" spans="5:10" s="34" customFormat="1" x14ac:dyDescent="0.35">
      <c r="E7180" s="35"/>
      <c r="J7180" s="41"/>
    </row>
    <row r="7181" spans="5:10" s="34" customFormat="1" x14ac:dyDescent="0.35">
      <c r="E7181" s="35"/>
      <c r="J7181" s="41"/>
    </row>
    <row r="7182" spans="5:10" s="34" customFormat="1" x14ac:dyDescent="0.35">
      <c r="E7182" s="35"/>
      <c r="J7182" s="41"/>
    </row>
    <row r="7183" spans="5:10" s="34" customFormat="1" x14ac:dyDescent="0.35">
      <c r="E7183" s="35"/>
      <c r="J7183" s="41"/>
    </row>
    <row r="7184" spans="5:10" s="34" customFormat="1" x14ac:dyDescent="0.35">
      <c r="E7184" s="35"/>
      <c r="J7184" s="41"/>
    </row>
    <row r="7185" spans="5:10" s="34" customFormat="1" x14ac:dyDescent="0.35">
      <c r="E7185" s="35"/>
      <c r="J7185" s="41"/>
    </row>
    <row r="7186" spans="5:10" s="34" customFormat="1" x14ac:dyDescent="0.35">
      <c r="E7186" s="35"/>
      <c r="J7186" s="41"/>
    </row>
    <row r="7187" spans="5:10" s="34" customFormat="1" x14ac:dyDescent="0.35">
      <c r="E7187" s="35"/>
      <c r="J7187" s="41"/>
    </row>
    <row r="7188" spans="5:10" s="34" customFormat="1" x14ac:dyDescent="0.35">
      <c r="E7188" s="35"/>
      <c r="J7188" s="41"/>
    </row>
    <row r="7189" spans="5:10" s="34" customFormat="1" x14ac:dyDescent="0.35">
      <c r="E7189" s="35"/>
      <c r="J7189" s="41"/>
    </row>
    <row r="7190" spans="5:10" s="34" customFormat="1" x14ac:dyDescent="0.35">
      <c r="E7190" s="35"/>
      <c r="J7190" s="41"/>
    </row>
    <row r="7191" spans="5:10" s="34" customFormat="1" x14ac:dyDescent="0.35">
      <c r="E7191" s="35"/>
      <c r="J7191" s="41"/>
    </row>
    <row r="7192" spans="5:10" s="34" customFormat="1" x14ac:dyDescent="0.35">
      <c r="E7192" s="35"/>
      <c r="J7192" s="41"/>
    </row>
    <row r="7193" spans="5:10" s="34" customFormat="1" x14ac:dyDescent="0.35">
      <c r="E7193" s="35"/>
      <c r="J7193" s="41"/>
    </row>
    <row r="7194" spans="5:10" s="34" customFormat="1" x14ac:dyDescent="0.35">
      <c r="E7194" s="35"/>
      <c r="J7194" s="41"/>
    </row>
    <row r="7195" spans="5:10" s="34" customFormat="1" x14ac:dyDescent="0.35">
      <c r="E7195" s="35"/>
      <c r="J7195" s="41"/>
    </row>
    <row r="7196" spans="5:10" s="34" customFormat="1" x14ac:dyDescent="0.35">
      <c r="E7196" s="35"/>
      <c r="J7196" s="41"/>
    </row>
    <row r="7197" spans="5:10" s="34" customFormat="1" x14ac:dyDescent="0.35">
      <c r="E7197" s="35"/>
      <c r="J7197" s="41"/>
    </row>
    <row r="7198" spans="5:10" s="34" customFormat="1" x14ac:dyDescent="0.35">
      <c r="E7198" s="35"/>
      <c r="J7198" s="41"/>
    </row>
    <row r="7199" spans="5:10" s="34" customFormat="1" x14ac:dyDescent="0.35">
      <c r="E7199" s="35"/>
      <c r="J7199" s="41"/>
    </row>
    <row r="7200" spans="5:10" s="34" customFormat="1" x14ac:dyDescent="0.35">
      <c r="E7200" s="35"/>
      <c r="J7200" s="41"/>
    </row>
    <row r="7201" spans="5:10" s="34" customFormat="1" x14ac:dyDescent="0.35">
      <c r="E7201" s="35"/>
      <c r="J7201" s="41"/>
    </row>
    <row r="7202" spans="5:10" s="34" customFormat="1" x14ac:dyDescent="0.35">
      <c r="E7202" s="35"/>
      <c r="J7202" s="41"/>
    </row>
    <row r="7203" spans="5:10" s="34" customFormat="1" x14ac:dyDescent="0.35">
      <c r="E7203" s="35"/>
      <c r="J7203" s="41"/>
    </row>
    <row r="7204" spans="5:10" s="34" customFormat="1" x14ac:dyDescent="0.35">
      <c r="E7204" s="35"/>
      <c r="J7204" s="41"/>
    </row>
    <row r="7205" spans="5:10" s="34" customFormat="1" x14ac:dyDescent="0.35">
      <c r="E7205" s="35"/>
      <c r="J7205" s="41"/>
    </row>
    <row r="7206" spans="5:10" s="34" customFormat="1" x14ac:dyDescent="0.35">
      <c r="E7206" s="35"/>
      <c r="J7206" s="41"/>
    </row>
    <row r="7207" spans="5:10" s="34" customFormat="1" x14ac:dyDescent="0.35">
      <c r="E7207" s="35"/>
      <c r="J7207" s="41"/>
    </row>
    <row r="7208" spans="5:10" s="34" customFormat="1" x14ac:dyDescent="0.35">
      <c r="E7208" s="35"/>
      <c r="J7208" s="41"/>
    </row>
    <row r="7209" spans="5:10" s="34" customFormat="1" x14ac:dyDescent="0.35">
      <c r="E7209" s="35"/>
      <c r="J7209" s="41"/>
    </row>
    <row r="7210" spans="5:10" s="34" customFormat="1" x14ac:dyDescent="0.35">
      <c r="E7210" s="35"/>
      <c r="J7210" s="41"/>
    </row>
    <row r="7211" spans="5:10" s="34" customFormat="1" x14ac:dyDescent="0.35">
      <c r="E7211" s="35"/>
      <c r="J7211" s="41"/>
    </row>
    <row r="7212" spans="5:10" s="34" customFormat="1" x14ac:dyDescent="0.35">
      <c r="E7212" s="35"/>
      <c r="J7212" s="41"/>
    </row>
    <row r="7213" spans="5:10" s="34" customFormat="1" x14ac:dyDescent="0.35">
      <c r="E7213" s="35"/>
      <c r="J7213" s="41"/>
    </row>
    <row r="7214" spans="5:10" s="34" customFormat="1" x14ac:dyDescent="0.35">
      <c r="E7214" s="35"/>
      <c r="J7214" s="41"/>
    </row>
    <row r="7215" spans="5:10" s="34" customFormat="1" x14ac:dyDescent="0.35">
      <c r="E7215" s="35"/>
      <c r="J7215" s="41"/>
    </row>
    <row r="7216" spans="5:10" s="34" customFormat="1" x14ac:dyDescent="0.35">
      <c r="E7216" s="35"/>
      <c r="J7216" s="41"/>
    </row>
    <row r="7217" spans="5:10" s="34" customFormat="1" x14ac:dyDescent="0.35">
      <c r="E7217" s="35"/>
      <c r="J7217" s="41"/>
    </row>
    <row r="7218" spans="5:10" s="34" customFormat="1" x14ac:dyDescent="0.35">
      <c r="E7218" s="35"/>
      <c r="J7218" s="41"/>
    </row>
    <row r="7219" spans="5:10" s="34" customFormat="1" x14ac:dyDescent="0.35">
      <c r="E7219" s="35"/>
      <c r="J7219" s="41"/>
    </row>
    <row r="7220" spans="5:10" s="34" customFormat="1" x14ac:dyDescent="0.35">
      <c r="E7220" s="35"/>
      <c r="J7220" s="41"/>
    </row>
    <row r="7221" spans="5:10" s="34" customFormat="1" x14ac:dyDescent="0.35">
      <c r="E7221" s="35"/>
      <c r="J7221" s="41"/>
    </row>
    <row r="7222" spans="5:10" s="34" customFormat="1" x14ac:dyDescent="0.35">
      <c r="E7222" s="35"/>
      <c r="J7222" s="41"/>
    </row>
    <row r="7223" spans="5:10" s="34" customFormat="1" x14ac:dyDescent="0.35">
      <c r="E7223" s="35"/>
      <c r="J7223" s="41"/>
    </row>
    <row r="7224" spans="5:10" s="34" customFormat="1" x14ac:dyDescent="0.35">
      <c r="E7224" s="35"/>
      <c r="J7224" s="41"/>
    </row>
    <row r="7225" spans="5:10" s="34" customFormat="1" x14ac:dyDescent="0.35">
      <c r="E7225" s="35"/>
      <c r="J7225" s="41"/>
    </row>
    <row r="7226" spans="5:10" s="34" customFormat="1" x14ac:dyDescent="0.35">
      <c r="E7226" s="35"/>
      <c r="J7226" s="41"/>
    </row>
    <row r="7227" spans="5:10" s="34" customFormat="1" x14ac:dyDescent="0.35">
      <c r="E7227" s="35"/>
      <c r="J7227" s="41"/>
    </row>
    <row r="7228" spans="5:10" s="34" customFormat="1" x14ac:dyDescent="0.35">
      <c r="E7228" s="35"/>
      <c r="J7228" s="41"/>
    </row>
    <row r="7229" spans="5:10" s="34" customFormat="1" x14ac:dyDescent="0.35">
      <c r="E7229" s="35"/>
      <c r="J7229" s="41"/>
    </row>
    <row r="7230" spans="5:10" s="34" customFormat="1" x14ac:dyDescent="0.35">
      <c r="E7230" s="35"/>
      <c r="J7230" s="41"/>
    </row>
    <row r="7231" spans="5:10" s="34" customFormat="1" x14ac:dyDescent="0.35">
      <c r="E7231" s="35"/>
      <c r="J7231" s="41"/>
    </row>
    <row r="7232" spans="5:10" s="34" customFormat="1" x14ac:dyDescent="0.35">
      <c r="E7232" s="35"/>
      <c r="J7232" s="41"/>
    </row>
    <row r="7233" spans="5:10" s="34" customFormat="1" x14ac:dyDescent="0.35">
      <c r="E7233" s="35"/>
      <c r="J7233" s="41"/>
    </row>
    <row r="7234" spans="5:10" s="34" customFormat="1" x14ac:dyDescent="0.35">
      <c r="E7234" s="35"/>
      <c r="J7234" s="41"/>
    </row>
    <row r="7235" spans="5:10" s="34" customFormat="1" x14ac:dyDescent="0.35">
      <c r="E7235" s="35"/>
      <c r="J7235" s="41"/>
    </row>
    <row r="7236" spans="5:10" s="34" customFormat="1" x14ac:dyDescent="0.35">
      <c r="E7236" s="35"/>
      <c r="J7236" s="41"/>
    </row>
    <row r="7237" spans="5:10" s="34" customFormat="1" x14ac:dyDescent="0.35">
      <c r="E7237" s="35"/>
      <c r="J7237" s="41"/>
    </row>
    <row r="7238" spans="5:10" s="34" customFormat="1" x14ac:dyDescent="0.35">
      <c r="E7238" s="35"/>
      <c r="J7238" s="41"/>
    </row>
    <row r="7239" spans="5:10" s="34" customFormat="1" x14ac:dyDescent="0.35">
      <c r="E7239" s="35"/>
      <c r="J7239" s="41"/>
    </row>
    <row r="7240" spans="5:10" s="34" customFormat="1" x14ac:dyDescent="0.35">
      <c r="E7240" s="35"/>
      <c r="J7240" s="41"/>
    </row>
    <row r="7241" spans="5:10" s="34" customFormat="1" x14ac:dyDescent="0.35">
      <c r="E7241" s="35"/>
      <c r="J7241" s="41"/>
    </row>
    <row r="7242" spans="5:10" s="34" customFormat="1" x14ac:dyDescent="0.35">
      <c r="E7242" s="35"/>
      <c r="J7242" s="41"/>
    </row>
    <row r="7243" spans="5:10" s="34" customFormat="1" x14ac:dyDescent="0.35">
      <c r="E7243" s="35"/>
      <c r="J7243" s="41"/>
    </row>
    <row r="7244" spans="5:10" s="34" customFormat="1" x14ac:dyDescent="0.35">
      <c r="E7244" s="35"/>
      <c r="J7244" s="41"/>
    </row>
    <row r="7245" spans="5:10" s="34" customFormat="1" x14ac:dyDescent="0.35">
      <c r="E7245" s="35"/>
      <c r="J7245" s="41"/>
    </row>
    <row r="7246" spans="5:10" s="34" customFormat="1" x14ac:dyDescent="0.35">
      <c r="E7246" s="35"/>
      <c r="J7246" s="41"/>
    </row>
    <row r="7247" spans="5:10" s="34" customFormat="1" x14ac:dyDescent="0.35">
      <c r="E7247" s="35"/>
      <c r="J7247" s="41"/>
    </row>
    <row r="7248" spans="5:10" s="34" customFormat="1" x14ac:dyDescent="0.35">
      <c r="E7248" s="35"/>
      <c r="J7248" s="41"/>
    </row>
    <row r="7249" spans="5:10" s="34" customFormat="1" x14ac:dyDescent="0.35">
      <c r="E7249" s="35"/>
      <c r="J7249" s="41"/>
    </row>
    <row r="7250" spans="5:10" s="34" customFormat="1" x14ac:dyDescent="0.35">
      <c r="E7250" s="35"/>
      <c r="J7250" s="41"/>
    </row>
    <row r="7251" spans="5:10" s="34" customFormat="1" x14ac:dyDescent="0.35">
      <c r="E7251" s="35"/>
      <c r="J7251" s="41"/>
    </row>
    <row r="7252" spans="5:10" s="34" customFormat="1" x14ac:dyDescent="0.35">
      <c r="E7252" s="35"/>
      <c r="J7252" s="41"/>
    </row>
    <row r="7253" spans="5:10" s="34" customFormat="1" x14ac:dyDescent="0.35">
      <c r="E7253" s="35"/>
      <c r="J7253" s="41"/>
    </row>
    <row r="7254" spans="5:10" s="34" customFormat="1" x14ac:dyDescent="0.35">
      <c r="E7254" s="35"/>
      <c r="J7254" s="41"/>
    </row>
    <row r="7255" spans="5:10" s="34" customFormat="1" x14ac:dyDescent="0.35">
      <c r="E7255" s="35"/>
      <c r="J7255" s="41"/>
    </row>
    <row r="7256" spans="5:10" s="34" customFormat="1" x14ac:dyDescent="0.35">
      <c r="E7256" s="35"/>
      <c r="J7256" s="41"/>
    </row>
    <row r="7257" spans="5:10" s="34" customFormat="1" x14ac:dyDescent="0.35">
      <c r="E7257" s="35"/>
      <c r="J7257" s="41"/>
    </row>
    <row r="7258" spans="5:10" s="34" customFormat="1" x14ac:dyDescent="0.35">
      <c r="E7258" s="35"/>
      <c r="J7258" s="41"/>
    </row>
    <row r="7259" spans="5:10" s="34" customFormat="1" x14ac:dyDescent="0.35">
      <c r="E7259" s="35"/>
      <c r="J7259" s="41"/>
    </row>
    <row r="7260" spans="5:10" s="34" customFormat="1" x14ac:dyDescent="0.35">
      <c r="E7260" s="35"/>
      <c r="J7260" s="41"/>
    </row>
    <row r="7261" spans="5:10" s="34" customFormat="1" x14ac:dyDescent="0.35">
      <c r="E7261" s="35"/>
      <c r="J7261" s="41"/>
    </row>
    <row r="7262" spans="5:10" s="34" customFormat="1" x14ac:dyDescent="0.35">
      <c r="E7262" s="35"/>
      <c r="J7262" s="41"/>
    </row>
    <row r="7263" spans="5:10" s="34" customFormat="1" x14ac:dyDescent="0.35">
      <c r="E7263" s="35"/>
      <c r="J7263" s="41"/>
    </row>
    <row r="7264" spans="5:10" s="34" customFormat="1" x14ac:dyDescent="0.35">
      <c r="E7264" s="35"/>
      <c r="J7264" s="41"/>
    </row>
    <row r="7265" spans="5:10" s="34" customFormat="1" x14ac:dyDescent="0.35">
      <c r="E7265" s="35"/>
      <c r="J7265" s="41"/>
    </row>
    <row r="7266" spans="5:10" s="34" customFormat="1" x14ac:dyDescent="0.35">
      <c r="E7266" s="35"/>
      <c r="J7266" s="41"/>
    </row>
    <row r="7267" spans="5:10" s="34" customFormat="1" x14ac:dyDescent="0.35">
      <c r="E7267" s="35"/>
      <c r="J7267" s="41"/>
    </row>
    <row r="7268" spans="5:10" s="34" customFormat="1" x14ac:dyDescent="0.35">
      <c r="E7268" s="35"/>
      <c r="J7268" s="41"/>
    </row>
    <row r="7269" spans="5:10" s="34" customFormat="1" x14ac:dyDescent="0.35">
      <c r="E7269" s="35"/>
      <c r="J7269" s="41"/>
    </row>
    <row r="7270" spans="5:10" s="34" customFormat="1" x14ac:dyDescent="0.35">
      <c r="E7270" s="35"/>
      <c r="J7270" s="41"/>
    </row>
    <row r="7271" spans="5:10" s="34" customFormat="1" x14ac:dyDescent="0.35">
      <c r="E7271" s="35"/>
      <c r="J7271" s="41"/>
    </row>
    <row r="7272" spans="5:10" s="34" customFormat="1" x14ac:dyDescent="0.35">
      <c r="E7272" s="35"/>
      <c r="J7272" s="41"/>
    </row>
    <row r="7273" spans="5:10" s="34" customFormat="1" x14ac:dyDescent="0.35">
      <c r="E7273" s="35"/>
      <c r="J7273" s="41"/>
    </row>
    <row r="7274" spans="5:10" s="34" customFormat="1" x14ac:dyDescent="0.35">
      <c r="E7274" s="35"/>
      <c r="J7274" s="41"/>
    </row>
    <row r="7275" spans="5:10" s="34" customFormat="1" x14ac:dyDescent="0.35">
      <c r="E7275" s="35"/>
      <c r="J7275" s="41"/>
    </row>
    <row r="7276" spans="5:10" s="34" customFormat="1" x14ac:dyDescent="0.35">
      <c r="E7276" s="35"/>
      <c r="J7276" s="41"/>
    </row>
    <row r="7277" spans="5:10" s="34" customFormat="1" x14ac:dyDescent="0.35">
      <c r="E7277" s="35"/>
      <c r="J7277" s="41"/>
    </row>
    <row r="7278" spans="5:10" s="34" customFormat="1" x14ac:dyDescent="0.35">
      <c r="E7278" s="35"/>
      <c r="J7278" s="41"/>
    </row>
    <row r="7279" spans="5:10" s="34" customFormat="1" x14ac:dyDescent="0.35">
      <c r="E7279" s="35"/>
      <c r="J7279" s="41"/>
    </row>
    <row r="7280" spans="5:10" s="34" customFormat="1" x14ac:dyDescent="0.35">
      <c r="E7280" s="35"/>
      <c r="J7280" s="41"/>
    </row>
    <row r="7281" spans="5:10" s="34" customFormat="1" x14ac:dyDescent="0.35">
      <c r="E7281" s="35"/>
      <c r="J7281" s="41"/>
    </row>
    <row r="7282" spans="5:10" s="34" customFormat="1" x14ac:dyDescent="0.35">
      <c r="E7282" s="35"/>
      <c r="J7282" s="41"/>
    </row>
    <row r="7283" spans="5:10" s="34" customFormat="1" x14ac:dyDescent="0.35">
      <c r="E7283" s="35"/>
      <c r="J7283" s="41"/>
    </row>
    <row r="7284" spans="5:10" s="34" customFormat="1" x14ac:dyDescent="0.35">
      <c r="E7284" s="35"/>
      <c r="J7284" s="41"/>
    </row>
    <row r="7285" spans="5:10" s="34" customFormat="1" x14ac:dyDescent="0.35">
      <c r="E7285" s="35"/>
      <c r="J7285" s="41"/>
    </row>
    <row r="7286" spans="5:10" s="34" customFormat="1" x14ac:dyDescent="0.35">
      <c r="E7286" s="35"/>
      <c r="J7286" s="41"/>
    </row>
    <row r="7287" spans="5:10" s="34" customFormat="1" x14ac:dyDescent="0.35">
      <c r="E7287" s="35"/>
      <c r="J7287" s="41"/>
    </row>
    <row r="7288" spans="5:10" s="34" customFormat="1" x14ac:dyDescent="0.35">
      <c r="E7288" s="35"/>
      <c r="J7288" s="41"/>
    </row>
    <row r="7289" spans="5:10" s="34" customFormat="1" x14ac:dyDescent="0.35">
      <c r="E7289" s="35"/>
      <c r="J7289" s="41"/>
    </row>
    <row r="7290" spans="5:10" s="34" customFormat="1" x14ac:dyDescent="0.35">
      <c r="E7290" s="35"/>
      <c r="J7290" s="41"/>
    </row>
    <row r="7291" spans="5:10" s="34" customFormat="1" x14ac:dyDescent="0.35">
      <c r="E7291" s="35"/>
      <c r="J7291" s="41"/>
    </row>
    <row r="7292" spans="5:10" s="34" customFormat="1" x14ac:dyDescent="0.35">
      <c r="E7292" s="35"/>
      <c r="J7292" s="41"/>
    </row>
    <row r="7293" spans="5:10" s="34" customFormat="1" x14ac:dyDescent="0.35">
      <c r="E7293" s="35"/>
      <c r="J7293" s="41"/>
    </row>
    <row r="7294" spans="5:10" s="34" customFormat="1" x14ac:dyDescent="0.35">
      <c r="E7294" s="35"/>
      <c r="J7294" s="41"/>
    </row>
    <row r="7295" spans="5:10" s="34" customFormat="1" x14ac:dyDescent="0.35">
      <c r="E7295" s="35"/>
      <c r="J7295" s="41"/>
    </row>
    <row r="7296" spans="5:10" s="34" customFormat="1" x14ac:dyDescent="0.35">
      <c r="E7296" s="35"/>
      <c r="J7296" s="41"/>
    </row>
    <row r="7297" spans="5:10" s="34" customFormat="1" x14ac:dyDescent="0.35">
      <c r="E7297" s="35"/>
      <c r="J7297" s="41"/>
    </row>
    <row r="7298" spans="5:10" s="34" customFormat="1" x14ac:dyDescent="0.35">
      <c r="E7298" s="35"/>
      <c r="J7298" s="41"/>
    </row>
    <row r="7299" spans="5:10" s="34" customFormat="1" x14ac:dyDescent="0.35">
      <c r="E7299" s="35"/>
      <c r="J7299" s="41"/>
    </row>
    <row r="7300" spans="5:10" s="34" customFormat="1" x14ac:dyDescent="0.35">
      <c r="E7300" s="35"/>
      <c r="J7300" s="41"/>
    </row>
    <row r="7301" spans="5:10" s="34" customFormat="1" x14ac:dyDescent="0.35">
      <c r="E7301" s="35"/>
      <c r="J7301" s="41"/>
    </row>
    <row r="7302" spans="5:10" s="34" customFormat="1" x14ac:dyDescent="0.35">
      <c r="E7302" s="35"/>
      <c r="J7302" s="41"/>
    </row>
    <row r="7303" spans="5:10" s="34" customFormat="1" x14ac:dyDescent="0.35">
      <c r="E7303" s="35"/>
      <c r="J7303" s="41"/>
    </row>
    <row r="7304" spans="5:10" s="34" customFormat="1" x14ac:dyDescent="0.35">
      <c r="E7304" s="35"/>
      <c r="J7304" s="41"/>
    </row>
    <row r="7305" spans="5:10" s="34" customFormat="1" x14ac:dyDescent="0.35">
      <c r="E7305" s="35"/>
      <c r="J7305" s="41"/>
    </row>
    <row r="7306" spans="5:10" s="34" customFormat="1" x14ac:dyDescent="0.35">
      <c r="E7306" s="35"/>
      <c r="J7306" s="41"/>
    </row>
    <row r="7307" spans="5:10" s="34" customFormat="1" x14ac:dyDescent="0.35">
      <c r="E7307" s="35"/>
      <c r="J7307" s="41"/>
    </row>
    <row r="7308" spans="5:10" s="34" customFormat="1" x14ac:dyDescent="0.35">
      <c r="E7308" s="35"/>
      <c r="J7308" s="41"/>
    </row>
    <row r="7309" spans="5:10" s="34" customFormat="1" x14ac:dyDescent="0.35">
      <c r="E7309" s="35"/>
      <c r="J7309" s="41"/>
    </row>
    <row r="7310" spans="5:10" s="34" customFormat="1" x14ac:dyDescent="0.35">
      <c r="E7310" s="35"/>
      <c r="J7310" s="41"/>
    </row>
    <row r="7311" spans="5:10" s="34" customFormat="1" x14ac:dyDescent="0.35">
      <c r="E7311" s="35"/>
      <c r="J7311" s="41"/>
    </row>
    <row r="7312" spans="5:10" s="34" customFormat="1" x14ac:dyDescent="0.35">
      <c r="E7312" s="35"/>
      <c r="J7312" s="41"/>
    </row>
    <row r="7313" spans="5:10" s="34" customFormat="1" x14ac:dyDescent="0.35">
      <c r="E7313" s="35"/>
      <c r="J7313" s="41"/>
    </row>
    <row r="7314" spans="5:10" s="34" customFormat="1" x14ac:dyDescent="0.35">
      <c r="E7314" s="35"/>
      <c r="J7314" s="41"/>
    </row>
    <row r="7315" spans="5:10" s="34" customFormat="1" x14ac:dyDescent="0.35">
      <c r="E7315" s="35"/>
      <c r="J7315" s="41"/>
    </row>
    <row r="7316" spans="5:10" s="34" customFormat="1" x14ac:dyDescent="0.35">
      <c r="E7316" s="35"/>
      <c r="J7316" s="41"/>
    </row>
    <row r="7317" spans="5:10" s="34" customFormat="1" x14ac:dyDescent="0.35">
      <c r="E7317" s="35"/>
      <c r="J7317" s="41"/>
    </row>
    <row r="7318" spans="5:10" s="34" customFormat="1" x14ac:dyDescent="0.35">
      <c r="E7318" s="35"/>
      <c r="J7318" s="41"/>
    </row>
    <row r="7319" spans="5:10" s="34" customFormat="1" x14ac:dyDescent="0.35">
      <c r="E7319" s="35"/>
      <c r="J7319" s="41"/>
    </row>
    <row r="7320" spans="5:10" s="34" customFormat="1" x14ac:dyDescent="0.35">
      <c r="E7320" s="35"/>
      <c r="J7320" s="41"/>
    </row>
    <row r="7321" spans="5:10" s="34" customFormat="1" x14ac:dyDescent="0.35">
      <c r="E7321" s="35"/>
      <c r="J7321" s="41"/>
    </row>
    <row r="7322" spans="5:10" s="34" customFormat="1" x14ac:dyDescent="0.35">
      <c r="E7322" s="35"/>
      <c r="J7322" s="41"/>
    </row>
    <row r="7323" spans="5:10" s="34" customFormat="1" x14ac:dyDescent="0.35">
      <c r="E7323" s="35"/>
      <c r="J7323" s="41"/>
    </row>
    <row r="7324" spans="5:10" s="34" customFormat="1" x14ac:dyDescent="0.35">
      <c r="E7324" s="35"/>
      <c r="J7324" s="41"/>
    </row>
    <row r="7325" spans="5:10" s="34" customFormat="1" x14ac:dyDescent="0.35">
      <c r="E7325" s="35"/>
      <c r="J7325" s="41"/>
    </row>
    <row r="7326" spans="5:10" s="34" customFormat="1" x14ac:dyDescent="0.35">
      <c r="E7326" s="35"/>
      <c r="J7326" s="41"/>
    </row>
    <row r="7327" spans="5:10" s="34" customFormat="1" x14ac:dyDescent="0.35">
      <c r="E7327" s="35"/>
      <c r="J7327" s="41"/>
    </row>
    <row r="7328" spans="5:10" s="34" customFormat="1" x14ac:dyDescent="0.35">
      <c r="E7328" s="35"/>
      <c r="J7328" s="41"/>
    </row>
    <row r="7329" spans="5:10" s="34" customFormat="1" x14ac:dyDescent="0.35">
      <c r="E7329" s="35"/>
      <c r="J7329" s="41"/>
    </row>
    <row r="7330" spans="5:10" s="34" customFormat="1" x14ac:dyDescent="0.35">
      <c r="E7330" s="35"/>
      <c r="J7330" s="41"/>
    </row>
    <row r="7331" spans="5:10" s="34" customFormat="1" x14ac:dyDescent="0.35">
      <c r="E7331" s="35"/>
      <c r="J7331" s="41"/>
    </row>
    <row r="7332" spans="5:10" s="34" customFormat="1" x14ac:dyDescent="0.35">
      <c r="E7332" s="35"/>
      <c r="J7332" s="41"/>
    </row>
    <row r="7333" spans="5:10" s="34" customFormat="1" x14ac:dyDescent="0.35">
      <c r="E7333" s="35"/>
      <c r="J7333" s="41"/>
    </row>
    <row r="7334" spans="5:10" s="34" customFormat="1" x14ac:dyDescent="0.35">
      <c r="E7334" s="35"/>
      <c r="J7334" s="41"/>
    </row>
    <row r="7335" spans="5:10" s="34" customFormat="1" x14ac:dyDescent="0.35">
      <c r="E7335" s="35"/>
      <c r="J7335" s="41"/>
    </row>
    <row r="7336" spans="5:10" s="34" customFormat="1" x14ac:dyDescent="0.35">
      <c r="E7336" s="35"/>
      <c r="J7336" s="41"/>
    </row>
    <row r="7337" spans="5:10" s="34" customFormat="1" x14ac:dyDescent="0.35">
      <c r="E7337" s="35"/>
      <c r="J7337" s="41"/>
    </row>
    <row r="7338" spans="5:10" s="34" customFormat="1" x14ac:dyDescent="0.35">
      <c r="E7338" s="35"/>
      <c r="J7338" s="41"/>
    </row>
    <row r="7339" spans="5:10" s="34" customFormat="1" x14ac:dyDescent="0.35">
      <c r="E7339" s="35"/>
      <c r="J7339" s="41"/>
    </row>
    <row r="7340" spans="5:10" s="34" customFormat="1" x14ac:dyDescent="0.35">
      <c r="E7340" s="35"/>
      <c r="J7340" s="41"/>
    </row>
    <row r="7341" spans="5:10" s="34" customFormat="1" x14ac:dyDescent="0.35">
      <c r="E7341" s="35"/>
      <c r="J7341" s="41"/>
    </row>
    <row r="7342" spans="5:10" s="34" customFormat="1" x14ac:dyDescent="0.35">
      <c r="E7342" s="35"/>
      <c r="J7342" s="41"/>
    </row>
    <row r="7343" spans="5:10" s="34" customFormat="1" x14ac:dyDescent="0.35">
      <c r="E7343" s="35"/>
      <c r="J7343" s="41"/>
    </row>
    <row r="7344" spans="5:10" s="34" customFormat="1" x14ac:dyDescent="0.35">
      <c r="E7344" s="35"/>
      <c r="J7344" s="41"/>
    </row>
    <row r="7345" spans="5:10" s="34" customFormat="1" x14ac:dyDescent="0.35">
      <c r="E7345" s="35"/>
      <c r="J7345" s="41"/>
    </row>
    <row r="7346" spans="5:10" s="34" customFormat="1" x14ac:dyDescent="0.35">
      <c r="E7346" s="35"/>
      <c r="J7346" s="41"/>
    </row>
    <row r="7347" spans="5:10" s="34" customFormat="1" x14ac:dyDescent="0.35">
      <c r="E7347" s="35"/>
      <c r="J7347" s="41"/>
    </row>
    <row r="7348" spans="5:10" s="34" customFormat="1" x14ac:dyDescent="0.35">
      <c r="E7348" s="35"/>
      <c r="J7348" s="41"/>
    </row>
    <row r="7349" spans="5:10" s="34" customFormat="1" x14ac:dyDescent="0.35">
      <c r="E7349" s="35"/>
      <c r="J7349" s="41"/>
    </row>
    <row r="7350" spans="5:10" s="34" customFormat="1" x14ac:dyDescent="0.35">
      <c r="E7350" s="35"/>
      <c r="J7350" s="41"/>
    </row>
    <row r="7351" spans="5:10" s="34" customFormat="1" x14ac:dyDescent="0.35">
      <c r="E7351" s="35"/>
      <c r="J7351" s="41"/>
    </row>
    <row r="7352" spans="5:10" s="34" customFormat="1" x14ac:dyDescent="0.35">
      <c r="E7352" s="35"/>
      <c r="J7352" s="41"/>
    </row>
    <row r="7353" spans="5:10" s="34" customFormat="1" x14ac:dyDescent="0.35">
      <c r="E7353" s="35"/>
      <c r="J7353" s="41"/>
    </row>
    <row r="7354" spans="5:10" s="34" customFormat="1" x14ac:dyDescent="0.35">
      <c r="E7354" s="35"/>
      <c r="J7354" s="41"/>
    </row>
    <row r="7355" spans="5:10" s="34" customFormat="1" x14ac:dyDescent="0.35">
      <c r="E7355" s="35"/>
      <c r="J7355" s="41"/>
    </row>
    <row r="7356" spans="5:10" s="34" customFormat="1" x14ac:dyDescent="0.35">
      <c r="E7356" s="35"/>
      <c r="J7356" s="41"/>
    </row>
    <row r="7357" spans="5:10" s="34" customFormat="1" x14ac:dyDescent="0.35">
      <c r="E7357" s="35"/>
      <c r="J7357" s="41"/>
    </row>
    <row r="7358" spans="5:10" s="34" customFormat="1" x14ac:dyDescent="0.35">
      <c r="E7358" s="35"/>
      <c r="J7358" s="41"/>
    </row>
    <row r="7359" spans="5:10" s="34" customFormat="1" x14ac:dyDescent="0.35">
      <c r="E7359" s="35"/>
      <c r="J7359" s="41"/>
    </row>
    <row r="7360" spans="5:10" s="34" customFormat="1" x14ac:dyDescent="0.35">
      <c r="E7360" s="35"/>
      <c r="J7360" s="41"/>
    </row>
    <row r="7361" spans="5:10" s="34" customFormat="1" x14ac:dyDescent="0.35">
      <c r="E7361" s="35"/>
      <c r="J7361" s="41"/>
    </row>
    <row r="7362" spans="5:10" s="34" customFormat="1" x14ac:dyDescent="0.35">
      <c r="E7362" s="35"/>
      <c r="J7362" s="41"/>
    </row>
    <row r="7363" spans="5:10" s="34" customFormat="1" x14ac:dyDescent="0.35">
      <c r="E7363" s="35"/>
      <c r="J7363" s="41"/>
    </row>
    <row r="7364" spans="5:10" s="34" customFormat="1" x14ac:dyDescent="0.35">
      <c r="E7364" s="35"/>
      <c r="J7364" s="41"/>
    </row>
    <row r="7365" spans="5:10" s="34" customFormat="1" x14ac:dyDescent="0.35">
      <c r="E7365" s="35"/>
      <c r="J7365" s="41"/>
    </row>
    <row r="7366" spans="5:10" s="34" customFormat="1" x14ac:dyDescent="0.35">
      <c r="E7366" s="35"/>
      <c r="J7366" s="41"/>
    </row>
    <row r="7367" spans="5:10" s="34" customFormat="1" x14ac:dyDescent="0.35">
      <c r="E7367" s="35"/>
      <c r="J7367" s="41"/>
    </row>
    <row r="7368" spans="5:10" s="34" customFormat="1" x14ac:dyDescent="0.35">
      <c r="E7368" s="35"/>
      <c r="J7368" s="41"/>
    </row>
    <row r="7369" spans="5:10" s="34" customFormat="1" x14ac:dyDescent="0.35">
      <c r="E7369" s="35"/>
      <c r="J7369" s="41"/>
    </row>
    <row r="7370" spans="5:10" s="34" customFormat="1" x14ac:dyDescent="0.35">
      <c r="E7370" s="35"/>
      <c r="J7370" s="41"/>
    </row>
    <row r="7371" spans="5:10" s="34" customFormat="1" x14ac:dyDescent="0.35">
      <c r="E7371" s="35"/>
      <c r="J7371" s="41"/>
    </row>
    <row r="7372" spans="5:10" s="34" customFormat="1" x14ac:dyDescent="0.35">
      <c r="E7372" s="35"/>
      <c r="J7372" s="41"/>
    </row>
    <row r="7373" spans="5:10" s="34" customFormat="1" x14ac:dyDescent="0.35">
      <c r="E7373" s="35"/>
      <c r="J7373" s="41"/>
    </row>
    <row r="7374" spans="5:10" s="34" customFormat="1" x14ac:dyDescent="0.35">
      <c r="E7374" s="35"/>
      <c r="J7374" s="41"/>
    </row>
    <row r="7375" spans="5:10" s="34" customFormat="1" x14ac:dyDescent="0.35">
      <c r="E7375" s="35"/>
      <c r="J7375" s="41"/>
    </row>
    <row r="7376" spans="5:10" s="34" customFormat="1" x14ac:dyDescent="0.35">
      <c r="E7376" s="35"/>
      <c r="J7376" s="41"/>
    </row>
    <row r="7377" spans="5:10" s="34" customFormat="1" x14ac:dyDescent="0.35">
      <c r="E7377" s="35"/>
      <c r="J7377" s="41"/>
    </row>
    <row r="7378" spans="5:10" s="34" customFormat="1" x14ac:dyDescent="0.35">
      <c r="E7378" s="35"/>
      <c r="J7378" s="41"/>
    </row>
    <row r="7379" spans="5:10" s="34" customFormat="1" x14ac:dyDescent="0.35">
      <c r="E7379" s="35"/>
      <c r="J7379" s="41"/>
    </row>
    <row r="7380" spans="5:10" s="34" customFormat="1" x14ac:dyDescent="0.35">
      <c r="E7380" s="35"/>
      <c r="J7380" s="41"/>
    </row>
    <row r="7381" spans="5:10" s="34" customFormat="1" x14ac:dyDescent="0.35">
      <c r="E7381" s="35"/>
      <c r="J7381" s="41"/>
    </row>
    <row r="7382" spans="5:10" s="34" customFormat="1" x14ac:dyDescent="0.35">
      <c r="E7382" s="35"/>
      <c r="J7382" s="41"/>
    </row>
    <row r="7383" spans="5:10" s="34" customFormat="1" x14ac:dyDescent="0.35">
      <c r="E7383" s="35"/>
      <c r="J7383" s="41"/>
    </row>
    <row r="7384" spans="5:10" s="34" customFormat="1" x14ac:dyDescent="0.35">
      <c r="E7384" s="35"/>
      <c r="J7384" s="41"/>
    </row>
    <row r="7385" spans="5:10" s="34" customFormat="1" x14ac:dyDescent="0.35">
      <c r="E7385" s="35"/>
      <c r="J7385" s="41"/>
    </row>
    <row r="7386" spans="5:10" s="34" customFormat="1" x14ac:dyDescent="0.35">
      <c r="E7386" s="35"/>
      <c r="J7386" s="41"/>
    </row>
    <row r="7387" spans="5:10" s="34" customFormat="1" x14ac:dyDescent="0.35">
      <c r="E7387" s="35"/>
      <c r="J7387" s="41"/>
    </row>
    <row r="7388" spans="5:10" s="34" customFormat="1" x14ac:dyDescent="0.35">
      <c r="E7388" s="35"/>
      <c r="J7388" s="41"/>
    </row>
    <row r="7389" spans="5:10" s="34" customFormat="1" x14ac:dyDescent="0.35">
      <c r="E7389" s="35"/>
      <c r="J7389" s="41"/>
    </row>
    <row r="7390" spans="5:10" s="34" customFormat="1" x14ac:dyDescent="0.35">
      <c r="E7390" s="35"/>
      <c r="J7390" s="41"/>
    </row>
    <row r="7391" spans="5:10" s="34" customFormat="1" x14ac:dyDescent="0.35">
      <c r="E7391" s="35"/>
      <c r="J7391" s="41"/>
    </row>
    <row r="7392" spans="5:10" s="34" customFormat="1" x14ac:dyDescent="0.35">
      <c r="E7392" s="35"/>
      <c r="J7392" s="41"/>
    </row>
    <row r="7393" spans="5:10" s="34" customFormat="1" x14ac:dyDescent="0.35">
      <c r="E7393" s="35"/>
      <c r="J7393" s="41"/>
    </row>
    <row r="7394" spans="5:10" s="34" customFormat="1" x14ac:dyDescent="0.35">
      <c r="E7394" s="35"/>
      <c r="J7394" s="41"/>
    </row>
    <row r="7395" spans="5:10" s="34" customFormat="1" x14ac:dyDescent="0.35">
      <c r="E7395" s="35"/>
      <c r="J7395" s="41"/>
    </row>
    <row r="7396" spans="5:10" s="34" customFormat="1" x14ac:dyDescent="0.35">
      <c r="E7396" s="35"/>
      <c r="J7396" s="41"/>
    </row>
    <row r="7397" spans="5:10" s="34" customFormat="1" x14ac:dyDescent="0.35">
      <c r="E7397" s="35"/>
      <c r="J7397" s="41"/>
    </row>
    <row r="7398" spans="5:10" s="34" customFormat="1" x14ac:dyDescent="0.35">
      <c r="E7398" s="35"/>
      <c r="J7398" s="41"/>
    </row>
    <row r="7399" spans="5:10" s="34" customFormat="1" x14ac:dyDescent="0.35">
      <c r="E7399" s="35"/>
      <c r="J7399" s="41"/>
    </row>
    <row r="7400" spans="5:10" s="34" customFormat="1" x14ac:dyDescent="0.35">
      <c r="E7400" s="35"/>
      <c r="J7400" s="41"/>
    </row>
    <row r="7401" spans="5:10" s="34" customFormat="1" x14ac:dyDescent="0.35">
      <c r="E7401" s="35"/>
      <c r="J7401" s="41"/>
    </row>
    <row r="7402" spans="5:10" s="34" customFormat="1" x14ac:dyDescent="0.35">
      <c r="E7402" s="35"/>
      <c r="J7402" s="41"/>
    </row>
    <row r="7403" spans="5:10" s="34" customFormat="1" x14ac:dyDescent="0.35">
      <c r="E7403" s="35"/>
      <c r="J7403" s="41"/>
    </row>
    <row r="7404" spans="5:10" s="34" customFormat="1" x14ac:dyDescent="0.35">
      <c r="E7404" s="35"/>
      <c r="J7404" s="41"/>
    </row>
    <row r="7405" spans="5:10" s="34" customFormat="1" x14ac:dyDescent="0.35">
      <c r="E7405" s="35"/>
      <c r="J7405" s="41"/>
    </row>
    <row r="7406" spans="5:10" s="34" customFormat="1" x14ac:dyDescent="0.35">
      <c r="E7406" s="35"/>
      <c r="J7406" s="41"/>
    </row>
    <row r="7407" spans="5:10" s="34" customFormat="1" x14ac:dyDescent="0.35">
      <c r="E7407" s="35"/>
      <c r="J7407" s="41"/>
    </row>
    <row r="7408" spans="5:10" s="34" customFormat="1" x14ac:dyDescent="0.35">
      <c r="E7408" s="35"/>
      <c r="J7408" s="41"/>
    </row>
    <row r="7409" spans="5:10" s="34" customFormat="1" x14ac:dyDescent="0.35">
      <c r="E7409" s="35"/>
      <c r="J7409" s="41"/>
    </row>
    <row r="7410" spans="5:10" s="34" customFormat="1" x14ac:dyDescent="0.35">
      <c r="E7410" s="35"/>
      <c r="J7410" s="41"/>
    </row>
    <row r="7411" spans="5:10" s="34" customFormat="1" x14ac:dyDescent="0.35">
      <c r="E7411" s="35"/>
      <c r="J7411" s="41"/>
    </row>
    <row r="7412" spans="5:10" s="34" customFormat="1" x14ac:dyDescent="0.35">
      <c r="E7412" s="35"/>
      <c r="J7412" s="41"/>
    </row>
    <row r="7413" spans="5:10" s="34" customFormat="1" x14ac:dyDescent="0.35">
      <c r="E7413" s="35"/>
      <c r="J7413" s="41"/>
    </row>
    <row r="7414" spans="5:10" s="34" customFormat="1" x14ac:dyDescent="0.35">
      <c r="E7414" s="35"/>
      <c r="J7414" s="41"/>
    </row>
    <row r="7415" spans="5:10" s="34" customFormat="1" x14ac:dyDescent="0.35">
      <c r="E7415" s="35"/>
      <c r="J7415" s="41"/>
    </row>
    <row r="7416" spans="5:10" s="34" customFormat="1" x14ac:dyDescent="0.35">
      <c r="E7416" s="35"/>
      <c r="J7416" s="41"/>
    </row>
    <row r="7417" spans="5:10" s="34" customFormat="1" x14ac:dyDescent="0.35">
      <c r="E7417" s="35"/>
      <c r="J7417" s="41"/>
    </row>
    <row r="7418" spans="5:10" s="34" customFormat="1" x14ac:dyDescent="0.35">
      <c r="E7418" s="35"/>
      <c r="J7418" s="41"/>
    </row>
    <row r="7419" spans="5:10" s="34" customFormat="1" x14ac:dyDescent="0.35">
      <c r="E7419" s="35"/>
      <c r="J7419" s="41"/>
    </row>
    <row r="7420" spans="5:10" s="34" customFormat="1" x14ac:dyDescent="0.35">
      <c r="E7420" s="35"/>
      <c r="J7420" s="41"/>
    </row>
    <row r="7421" spans="5:10" s="34" customFormat="1" x14ac:dyDescent="0.35">
      <c r="E7421" s="35"/>
      <c r="J7421" s="41"/>
    </row>
    <row r="7422" spans="5:10" s="34" customFormat="1" x14ac:dyDescent="0.35">
      <c r="E7422" s="35"/>
      <c r="J7422" s="41"/>
    </row>
    <row r="7423" spans="5:10" s="34" customFormat="1" x14ac:dyDescent="0.35">
      <c r="E7423" s="35"/>
      <c r="J7423" s="41"/>
    </row>
    <row r="7424" spans="5:10" s="34" customFormat="1" x14ac:dyDescent="0.35">
      <c r="E7424" s="35"/>
      <c r="J7424" s="41"/>
    </row>
    <row r="7425" spans="5:10" s="34" customFormat="1" x14ac:dyDescent="0.35">
      <c r="E7425" s="35"/>
      <c r="J7425" s="41"/>
    </row>
    <row r="7426" spans="5:10" s="34" customFormat="1" x14ac:dyDescent="0.35">
      <c r="E7426" s="35"/>
      <c r="J7426" s="41"/>
    </row>
    <row r="7427" spans="5:10" s="34" customFormat="1" x14ac:dyDescent="0.35">
      <c r="E7427" s="35"/>
      <c r="J7427" s="41"/>
    </row>
    <row r="7428" spans="5:10" s="34" customFormat="1" x14ac:dyDescent="0.35">
      <c r="E7428" s="35"/>
      <c r="J7428" s="41"/>
    </row>
    <row r="7429" spans="5:10" s="34" customFormat="1" x14ac:dyDescent="0.35">
      <c r="E7429" s="35"/>
      <c r="J7429" s="41"/>
    </row>
    <row r="7430" spans="5:10" s="34" customFormat="1" x14ac:dyDescent="0.35">
      <c r="E7430" s="35"/>
      <c r="J7430" s="41"/>
    </row>
    <row r="7431" spans="5:10" s="34" customFormat="1" x14ac:dyDescent="0.35">
      <c r="E7431" s="35"/>
      <c r="J7431" s="41"/>
    </row>
    <row r="7432" spans="5:10" s="34" customFormat="1" x14ac:dyDescent="0.35">
      <c r="E7432" s="35"/>
      <c r="J7432" s="41"/>
    </row>
    <row r="7433" spans="5:10" s="34" customFormat="1" x14ac:dyDescent="0.35">
      <c r="E7433" s="35"/>
      <c r="J7433" s="41"/>
    </row>
    <row r="7434" spans="5:10" s="34" customFormat="1" x14ac:dyDescent="0.35">
      <c r="E7434" s="35"/>
      <c r="J7434" s="41"/>
    </row>
    <row r="7435" spans="5:10" s="34" customFormat="1" x14ac:dyDescent="0.35">
      <c r="E7435" s="35"/>
      <c r="J7435" s="41"/>
    </row>
    <row r="7436" spans="5:10" s="34" customFormat="1" x14ac:dyDescent="0.35">
      <c r="E7436" s="35"/>
      <c r="J7436" s="41"/>
    </row>
    <row r="7437" spans="5:10" s="34" customFormat="1" x14ac:dyDescent="0.35">
      <c r="E7437" s="35"/>
      <c r="J7437" s="41"/>
    </row>
    <row r="7438" spans="5:10" s="34" customFormat="1" x14ac:dyDescent="0.35">
      <c r="E7438" s="35"/>
      <c r="J7438" s="41"/>
    </row>
    <row r="7439" spans="5:10" s="34" customFormat="1" x14ac:dyDescent="0.35">
      <c r="E7439" s="35"/>
      <c r="J7439" s="41"/>
    </row>
    <row r="7440" spans="5:10" s="34" customFormat="1" x14ac:dyDescent="0.35">
      <c r="E7440" s="35"/>
      <c r="J7440" s="41"/>
    </row>
    <row r="7441" spans="5:10" s="34" customFormat="1" x14ac:dyDescent="0.35">
      <c r="E7441" s="35"/>
      <c r="J7441" s="41"/>
    </row>
    <row r="7442" spans="5:10" s="34" customFormat="1" x14ac:dyDescent="0.35">
      <c r="E7442" s="35"/>
      <c r="J7442" s="41"/>
    </row>
    <row r="7443" spans="5:10" s="34" customFormat="1" x14ac:dyDescent="0.35">
      <c r="E7443" s="35"/>
      <c r="J7443" s="41"/>
    </row>
    <row r="7444" spans="5:10" s="34" customFormat="1" x14ac:dyDescent="0.35">
      <c r="E7444" s="35"/>
      <c r="J7444" s="41"/>
    </row>
    <row r="7445" spans="5:10" s="34" customFormat="1" x14ac:dyDescent="0.35">
      <c r="E7445" s="35"/>
      <c r="J7445" s="41"/>
    </row>
    <row r="7446" spans="5:10" s="34" customFormat="1" x14ac:dyDescent="0.35">
      <c r="E7446" s="35"/>
      <c r="J7446" s="41"/>
    </row>
    <row r="7447" spans="5:10" s="34" customFormat="1" x14ac:dyDescent="0.35">
      <c r="E7447" s="35"/>
      <c r="J7447" s="41"/>
    </row>
    <row r="7448" spans="5:10" s="34" customFormat="1" x14ac:dyDescent="0.35">
      <c r="E7448" s="35"/>
      <c r="J7448" s="41"/>
    </row>
    <row r="7449" spans="5:10" s="34" customFormat="1" x14ac:dyDescent="0.35">
      <c r="E7449" s="35"/>
      <c r="J7449" s="41"/>
    </row>
    <row r="7450" spans="5:10" s="34" customFormat="1" x14ac:dyDescent="0.35">
      <c r="E7450" s="35"/>
      <c r="J7450" s="41"/>
    </row>
    <row r="7451" spans="5:10" s="34" customFormat="1" x14ac:dyDescent="0.35">
      <c r="E7451" s="35"/>
      <c r="J7451" s="41"/>
    </row>
    <row r="7452" spans="5:10" s="34" customFormat="1" x14ac:dyDescent="0.35">
      <c r="E7452" s="35"/>
      <c r="J7452" s="41"/>
    </row>
    <row r="7453" spans="5:10" s="34" customFormat="1" x14ac:dyDescent="0.35">
      <c r="E7453" s="35"/>
      <c r="J7453" s="41"/>
    </row>
    <row r="7454" spans="5:10" s="34" customFormat="1" x14ac:dyDescent="0.35">
      <c r="E7454" s="35"/>
      <c r="J7454" s="41"/>
    </row>
    <row r="7455" spans="5:10" s="34" customFormat="1" x14ac:dyDescent="0.35">
      <c r="E7455" s="35"/>
      <c r="J7455" s="41"/>
    </row>
    <row r="7456" spans="5:10" s="34" customFormat="1" x14ac:dyDescent="0.35">
      <c r="E7456" s="35"/>
      <c r="J7456" s="41"/>
    </row>
    <row r="7457" spans="5:10" s="34" customFormat="1" x14ac:dyDescent="0.35">
      <c r="E7457" s="35"/>
      <c r="J7457" s="41"/>
    </row>
    <row r="7458" spans="5:10" s="34" customFormat="1" x14ac:dyDescent="0.35">
      <c r="E7458" s="35"/>
      <c r="J7458" s="41"/>
    </row>
    <row r="7459" spans="5:10" s="34" customFormat="1" x14ac:dyDescent="0.35">
      <c r="E7459" s="35"/>
      <c r="J7459" s="41"/>
    </row>
    <row r="7460" spans="5:10" s="34" customFormat="1" x14ac:dyDescent="0.35">
      <c r="E7460" s="35"/>
      <c r="J7460" s="41"/>
    </row>
    <row r="7461" spans="5:10" s="34" customFormat="1" x14ac:dyDescent="0.35">
      <c r="E7461" s="35"/>
      <c r="J7461" s="41"/>
    </row>
    <row r="7462" spans="5:10" s="34" customFormat="1" x14ac:dyDescent="0.35">
      <c r="E7462" s="35"/>
      <c r="J7462" s="41"/>
    </row>
    <row r="7463" spans="5:10" s="34" customFormat="1" x14ac:dyDescent="0.35">
      <c r="E7463" s="35"/>
      <c r="J7463" s="41"/>
    </row>
    <row r="7464" spans="5:10" s="34" customFormat="1" x14ac:dyDescent="0.35">
      <c r="E7464" s="35"/>
      <c r="J7464" s="41"/>
    </row>
    <row r="7465" spans="5:10" s="34" customFormat="1" x14ac:dyDescent="0.35">
      <c r="E7465" s="35"/>
      <c r="J7465" s="41"/>
    </row>
    <row r="7466" spans="5:10" s="34" customFormat="1" x14ac:dyDescent="0.35">
      <c r="E7466" s="35"/>
      <c r="J7466" s="41"/>
    </row>
    <row r="7467" spans="5:10" s="34" customFormat="1" x14ac:dyDescent="0.35">
      <c r="E7467" s="35"/>
      <c r="J7467" s="41"/>
    </row>
    <row r="7468" spans="5:10" s="34" customFormat="1" x14ac:dyDescent="0.35">
      <c r="E7468" s="35"/>
      <c r="J7468" s="41"/>
    </row>
    <row r="7469" spans="5:10" s="34" customFormat="1" x14ac:dyDescent="0.35">
      <c r="E7469" s="35"/>
      <c r="J7469" s="41"/>
    </row>
    <row r="7470" spans="5:10" s="34" customFormat="1" x14ac:dyDescent="0.35">
      <c r="E7470" s="35"/>
      <c r="J7470" s="41"/>
    </row>
    <row r="7471" spans="5:10" s="34" customFormat="1" x14ac:dyDescent="0.35">
      <c r="E7471" s="35"/>
      <c r="J7471" s="41"/>
    </row>
    <row r="7472" spans="5:10" s="34" customFormat="1" x14ac:dyDescent="0.35">
      <c r="E7472" s="35"/>
      <c r="J7472" s="41"/>
    </row>
    <row r="7473" spans="5:10" s="34" customFormat="1" x14ac:dyDescent="0.35">
      <c r="E7473" s="35"/>
      <c r="J7473" s="41"/>
    </row>
    <row r="7474" spans="5:10" s="34" customFormat="1" x14ac:dyDescent="0.35">
      <c r="E7474" s="35"/>
      <c r="J7474" s="41"/>
    </row>
    <row r="7475" spans="5:10" s="34" customFormat="1" x14ac:dyDescent="0.35">
      <c r="E7475" s="35"/>
      <c r="J7475" s="41"/>
    </row>
    <row r="7476" spans="5:10" s="34" customFormat="1" x14ac:dyDescent="0.35">
      <c r="E7476" s="35"/>
      <c r="J7476" s="41"/>
    </row>
    <row r="7477" spans="5:10" s="34" customFormat="1" x14ac:dyDescent="0.35">
      <c r="E7477" s="35"/>
      <c r="J7477" s="41"/>
    </row>
    <row r="7478" spans="5:10" s="34" customFormat="1" x14ac:dyDescent="0.35">
      <c r="E7478" s="35"/>
      <c r="J7478" s="41"/>
    </row>
    <row r="7479" spans="5:10" s="34" customFormat="1" x14ac:dyDescent="0.35">
      <c r="E7479" s="35"/>
      <c r="J7479" s="41"/>
    </row>
    <row r="7480" spans="5:10" s="34" customFormat="1" x14ac:dyDescent="0.35">
      <c r="E7480" s="35"/>
      <c r="J7480" s="41"/>
    </row>
    <row r="7481" spans="5:10" s="34" customFormat="1" x14ac:dyDescent="0.35">
      <c r="E7481" s="35"/>
      <c r="J7481" s="41"/>
    </row>
    <row r="7482" spans="5:10" s="34" customFormat="1" x14ac:dyDescent="0.35">
      <c r="E7482" s="35"/>
      <c r="J7482" s="41"/>
    </row>
    <row r="7483" spans="5:10" s="34" customFormat="1" x14ac:dyDescent="0.35">
      <c r="E7483" s="35"/>
      <c r="J7483" s="41"/>
    </row>
    <row r="7484" spans="5:10" s="34" customFormat="1" x14ac:dyDescent="0.35">
      <c r="E7484" s="35"/>
      <c r="J7484" s="41"/>
    </row>
    <row r="7485" spans="5:10" s="34" customFormat="1" x14ac:dyDescent="0.35">
      <c r="E7485" s="35"/>
      <c r="J7485" s="41"/>
    </row>
    <row r="7486" spans="5:10" s="34" customFormat="1" x14ac:dyDescent="0.35">
      <c r="E7486" s="35"/>
      <c r="J7486" s="41"/>
    </row>
    <row r="7487" spans="5:10" s="34" customFormat="1" x14ac:dyDescent="0.35">
      <c r="E7487" s="35"/>
      <c r="J7487" s="41"/>
    </row>
    <row r="7488" spans="5:10" s="34" customFormat="1" x14ac:dyDescent="0.35">
      <c r="E7488" s="35"/>
      <c r="J7488" s="41"/>
    </row>
    <row r="7489" spans="5:10" s="34" customFormat="1" x14ac:dyDescent="0.35">
      <c r="E7489" s="35"/>
      <c r="J7489" s="41"/>
    </row>
    <row r="7490" spans="5:10" s="34" customFormat="1" x14ac:dyDescent="0.35">
      <c r="E7490" s="35"/>
      <c r="J7490" s="41"/>
    </row>
    <row r="7491" spans="5:10" s="34" customFormat="1" x14ac:dyDescent="0.35">
      <c r="E7491" s="35"/>
      <c r="J7491" s="41"/>
    </row>
    <row r="7492" spans="5:10" s="34" customFormat="1" x14ac:dyDescent="0.35">
      <c r="E7492" s="35"/>
      <c r="J7492" s="41"/>
    </row>
    <row r="7493" spans="5:10" s="34" customFormat="1" x14ac:dyDescent="0.35">
      <c r="E7493" s="35"/>
      <c r="J7493" s="41"/>
    </row>
    <row r="7494" spans="5:10" s="34" customFormat="1" x14ac:dyDescent="0.35">
      <c r="E7494" s="35"/>
      <c r="J7494" s="41"/>
    </row>
    <row r="7495" spans="5:10" s="34" customFormat="1" x14ac:dyDescent="0.35">
      <c r="E7495" s="35"/>
      <c r="J7495" s="41"/>
    </row>
    <row r="7496" spans="5:10" s="34" customFormat="1" x14ac:dyDescent="0.35">
      <c r="E7496" s="35"/>
      <c r="J7496" s="41"/>
    </row>
    <row r="7497" spans="5:10" s="34" customFormat="1" x14ac:dyDescent="0.35">
      <c r="E7497" s="35"/>
      <c r="J7497" s="41"/>
    </row>
    <row r="7498" spans="5:10" s="34" customFormat="1" x14ac:dyDescent="0.35">
      <c r="E7498" s="35"/>
      <c r="J7498" s="41"/>
    </row>
    <row r="7499" spans="5:10" s="34" customFormat="1" x14ac:dyDescent="0.35">
      <c r="E7499" s="35"/>
      <c r="J7499" s="41"/>
    </row>
    <row r="7500" spans="5:10" s="34" customFormat="1" x14ac:dyDescent="0.35">
      <c r="E7500" s="35"/>
      <c r="J7500" s="41"/>
    </row>
    <row r="7501" spans="5:10" s="34" customFormat="1" x14ac:dyDescent="0.35">
      <c r="E7501" s="35"/>
      <c r="J7501" s="41"/>
    </row>
    <row r="7502" spans="5:10" s="34" customFormat="1" x14ac:dyDescent="0.35">
      <c r="E7502" s="35"/>
      <c r="J7502" s="41"/>
    </row>
    <row r="7503" spans="5:10" s="34" customFormat="1" x14ac:dyDescent="0.35">
      <c r="E7503" s="35"/>
      <c r="J7503" s="41"/>
    </row>
    <row r="7504" spans="5:10" s="34" customFormat="1" x14ac:dyDescent="0.35">
      <c r="E7504" s="35"/>
      <c r="J7504" s="41"/>
    </row>
    <row r="7505" spans="5:10" s="34" customFormat="1" x14ac:dyDescent="0.35">
      <c r="E7505" s="35"/>
      <c r="J7505" s="41"/>
    </row>
    <row r="7506" spans="5:10" s="34" customFormat="1" x14ac:dyDescent="0.35">
      <c r="E7506" s="35"/>
      <c r="J7506" s="41"/>
    </row>
    <row r="7507" spans="5:10" s="34" customFormat="1" x14ac:dyDescent="0.35">
      <c r="E7507" s="35"/>
      <c r="J7507" s="41"/>
    </row>
    <row r="7508" spans="5:10" s="34" customFormat="1" x14ac:dyDescent="0.35">
      <c r="E7508" s="35"/>
      <c r="J7508" s="41"/>
    </row>
    <row r="7509" spans="5:10" s="34" customFormat="1" x14ac:dyDescent="0.35">
      <c r="E7509" s="35"/>
      <c r="J7509" s="41"/>
    </row>
    <row r="7510" spans="5:10" s="34" customFormat="1" x14ac:dyDescent="0.35">
      <c r="E7510" s="35"/>
      <c r="J7510" s="41"/>
    </row>
    <row r="7511" spans="5:10" s="34" customFormat="1" x14ac:dyDescent="0.35">
      <c r="E7511" s="35"/>
      <c r="J7511" s="41"/>
    </row>
    <row r="7512" spans="5:10" s="34" customFormat="1" x14ac:dyDescent="0.35">
      <c r="E7512" s="35"/>
      <c r="J7512" s="41"/>
    </row>
    <row r="7513" spans="5:10" s="34" customFormat="1" x14ac:dyDescent="0.35">
      <c r="E7513" s="35"/>
      <c r="J7513" s="41"/>
    </row>
    <row r="7514" spans="5:10" s="34" customFormat="1" x14ac:dyDescent="0.35">
      <c r="E7514" s="35"/>
      <c r="J7514" s="41"/>
    </row>
    <row r="7515" spans="5:10" s="34" customFormat="1" x14ac:dyDescent="0.35">
      <c r="E7515" s="35"/>
      <c r="J7515" s="41"/>
    </row>
    <row r="7516" spans="5:10" s="34" customFormat="1" x14ac:dyDescent="0.35">
      <c r="E7516" s="35"/>
      <c r="J7516" s="41"/>
    </row>
    <row r="7517" spans="5:10" s="34" customFormat="1" x14ac:dyDescent="0.35">
      <c r="E7517" s="35"/>
      <c r="J7517" s="41"/>
    </row>
    <row r="7518" spans="5:10" s="34" customFormat="1" x14ac:dyDescent="0.35">
      <c r="E7518" s="35"/>
      <c r="J7518" s="41"/>
    </row>
    <row r="7519" spans="5:10" s="34" customFormat="1" x14ac:dyDescent="0.35">
      <c r="E7519" s="35"/>
      <c r="J7519" s="41"/>
    </row>
    <row r="7520" spans="5:10" s="34" customFormat="1" x14ac:dyDescent="0.35">
      <c r="E7520" s="35"/>
      <c r="J7520" s="41"/>
    </row>
    <row r="7521" spans="5:10" s="34" customFormat="1" x14ac:dyDescent="0.35">
      <c r="E7521" s="35"/>
      <c r="J7521" s="41"/>
    </row>
    <row r="7522" spans="5:10" s="34" customFormat="1" x14ac:dyDescent="0.35">
      <c r="E7522" s="35"/>
      <c r="J7522" s="41"/>
    </row>
    <row r="7523" spans="5:10" s="34" customFormat="1" x14ac:dyDescent="0.35">
      <c r="E7523" s="35"/>
      <c r="J7523" s="41"/>
    </row>
    <row r="7524" spans="5:10" s="34" customFormat="1" x14ac:dyDescent="0.35">
      <c r="E7524" s="35"/>
      <c r="J7524" s="41"/>
    </row>
    <row r="7525" spans="5:10" s="34" customFormat="1" x14ac:dyDescent="0.35">
      <c r="E7525" s="35"/>
      <c r="J7525" s="41"/>
    </row>
    <row r="7526" spans="5:10" s="34" customFormat="1" x14ac:dyDescent="0.35">
      <c r="E7526" s="35"/>
      <c r="J7526" s="41"/>
    </row>
    <row r="7527" spans="5:10" s="34" customFormat="1" x14ac:dyDescent="0.35">
      <c r="E7527" s="35"/>
      <c r="J7527" s="41"/>
    </row>
    <row r="7528" spans="5:10" s="34" customFormat="1" x14ac:dyDescent="0.35">
      <c r="E7528" s="35"/>
      <c r="J7528" s="41"/>
    </row>
    <row r="7529" spans="5:10" s="34" customFormat="1" x14ac:dyDescent="0.35">
      <c r="E7529" s="35"/>
      <c r="J7529" s="41"/>
    </row>
    <row r="7530" spans="5:10" s="34" customFormat="1" x14ac:dyDescent="0.35">
      <c r="E7530" s="35"/>
      <c r="J7530" s="41"/>
    </row>
    <row r="7531" spans="5:10" s="34" customFormat="1" x14ac:dyDescent="0.35">
      <c r="E7531" s="35"/>
      <c r="J7531" s="41"/>
    </row>
    <row r="7532" spans="5:10" s="34" customFormat="1" x14ac:dyDescent="0.35">
      <c r="E7532" s="35"/>
      <c r="J7532" s="41"/>
    </row>
    <row r="7533" spans="5:10" s="34" customFormat="1" x14ac:dyDescent="0.35">
      <c r="E7533" s="35"/>
      <c r="J7533" s="41"/>
    </row>
    <row r="7534" spans="5:10" s="34" customFormat="1" x14ac:dyDescent="0.35">
      <c r="E7534" s="35"/>
      <c r="J7534" s="41"/>
    </row>
    <row r="7535" spans="5:10" s="34" customFormat="1" x14ac:dyDescent="0.35">
      <c r="E7535" s="35"/>
      <c r="J7535" s="41"/>
    </row>
    <row r="7536" spans="5:10" s="34" customFormat="1" x14ac:dyDescent="0.35">
      <c r="E7536" s="35"/>
      <c r="J7536" s="41"/>
    </row>
    <row r="7537" spans="5:10" s="34" customFormat="1" x14ac:dyDescent="0.35">
      <c r="E7537" s="35"/>
      <c r="J7537" s="41"/>
    </row>
    <row r="7538" spans="5:10" s="34" customFormat="1" x14ac:dyDescent="0.35">
      <c r="E7538" s="35"/>
      <c r="J7538" s="41"/>
    </row>
    <row r="7539" spans="5:10" s="34" customFormat="1" x14ac:dyDescent="0.35">
      <c r="E7539" s="35"/>
      <c r="J7539" s="41"/>
    </row>
    <row r="7540" spans="5:10" s="34" customFormat="1" x14ac:dyDescent="0.35">
      <c r="E7540" s="35"/>
      <c r="J7540" s="41"/>
    </row>
    <row r="7541" spans="5:10" s="34" customFormat="1" x14ac:dyDescent="0.35">
      <c r="E7541" s="35"/>
      <c r="J7541" s="41"/>
    </row>
    <row r="7542" spans="5:10" s="34" customFormat="1" x14ac:dyDescent="0.35">
      <c r="E7542" s="35"/>
      <c r="J7542" s="41"/>
    </row>
    <row r="7543" spans="5:10" s="34" customFormat="1" x14ac:dyDescent="0.35">
      <c r="E7543" s="35"/>
      <c r="J7543" s="41"/>
    </row>
    <row r="7544" spans="5:10" s="34" customFormat="1" x14ac:dyDescent="0.35">
      <c r="E7544" s="35"/>
      <c r="J7544" s="41"/>
    </row>
    <row r="7545" spans="5:10" s="34" customFormat="1" x14ac:dyDescent="0.35">
      <c r="E7545" s="35"/>
      <c r="J7545" s="41"/>
    </row>
    <row r="7546" spans="5:10" s="34" customFormat="1" x14ac:dyDescent="0.35">
      <c r="E7546" s="35"/>
      <c r="J7546" s="41"/>
    </row>
    <row r="7547" spans="5:10" s="34" customFormat="1" x14ac:dyDescent="0.35">
      <c r="E7547" s="35"/>
      <c r="J7547" s="41"/>
    </row>
    <row r="7548" spans="5:10" s="34" customFormat="1" x14ac:dyDescent="0.35">
      <c r="E7548" s="35"/>
      <c r="J7548" s="41"/>
    </row>
    <row r="7549" spans="5:10" s="34" customFormat="1" x14ac:dyDescent="0.35">
      <c r="E7549" s="35"/>
      <c r="J7549" s="41"/>
    </row>
    <row r="7550" spans="5:10" s="34" customFormat="1" x14ac:dyDescent="0.35">
      <c r="E7550" s="35"/>
      <c r="J7550" s="41"/>
    </row>
    <row r="7551" spans="5:10" s="34" customFormat="1" x14ac:dyDescent="0.35">
      <c r="E7551" s="35"/>
      <c r="J7551" s="41"/>
    </row>
    <row r="7552" spans="5:10" s="34" customFormat="1" x14ac:dyDescent="0.35">
      <c r="E7552" s="35"/>
      <c r="J7552" s="41"/>
    </row>
    <row r="7553" spans="5:10" s="34" customFormat="1" x14ac:dyDescent="0.35">
      <c r="E7553" s="35"/>
      <c r="J7553" s="41"/>
    </row>
    <row r="7554" spans="5:10" s="34" customFormat="1" x14ac:dyDescent="0.35">
      <c r="E7554" s="35"/>
      <c r="J7554" s="41"/>
    </row>
    <row r="7555" spans="5:10" s="34" customFormat="1" x14ac:dyDescent="0.35">
      <c r="E7555" s="35"/>
      <c r="J7555" s="41"/>
    </row>
    <row r="7556" spans="5:10" s="34" customFormat="1" x14ac:dyDescent="0.35">
      <c r="E7556" s="35"/>
      <c r="J7556" s="41"/>
    </row>
    <row r="7557" spans="5:10" s="34" customFormat="1" x14ac:dyDescent="0.35">
      <c r="E7557" s="35"/>
      <c r="J7557" s="41"/>
    </row>
    <row r="7558" spans="5:10" s="34" customFormat="1" x14ac:dyDescent="0.35">
      <c r="E7558" s="35"/>
      <c r="J7558" s="41"/>
    </row>
    <row r="7559" spans="5:10" s="34" customFormat="1" x14ac:dyDescent="0.35">
      <c r="E7559" s="35"/>
      <c r="J7559" s="41"/>
    </row>
    <row r="7560" spans="5:10" s="34" customFormat="1" x14ac:dyDescent="0.35">
      <c r="E7560" s="35"/>
      <c r="J7560" s="41"/>
    </row>
    <row r="7561" spans="5:10" s="34" customFormat="1" x14ac:dyDescent="0.35">
      <c r="E7561" s="35"/>
      <c r="J7561" s="41"/>
    </row>
    <row r="7562" spans="5:10" s="34" customFormat="1" x14ac:dyDescent="0.35">
      <c r="E7562" s="35"/>
      <c r="J7562" s="41"/>
    </row>
    <row r="7563" spans="5:10" s="34" customFormat="1" x14ac:dyDescent="0.35">
      <c r="E7563" s="35"/>
      <c r="J7563" s="41"/>
    </row>
    <row r="7564" spans="5:10" s="34" customFormat="1" x14ac:dyDescent="0.35">
      <c r="E7564" s="35"/>
      <c r="J7564" s="41"/>
    </row>
    <row r="7565" spans="5:10" s="34" customFormat="1" x14ac:dyDescent="0.35">
      <c r="E7565" s="35"/>
      <c r="J7565" s="41"/>
    </row>
    <row r="7566" spans="5:10" s="34" customFormat="1" x14ac:dyDescent="0.35">
      <c r="E7566" s="35"/>
      <c r="J7566" s="41"/>
    </row>
    <row r="7567" spans="5:10" s="34" customFormat="1" x14ac:dyDescent="0.35">
      <c r="E7567" s="35"/>
      <c r="J7567" s="41"/>
    </row>
    <row r="7568" spans="5:10" s="34" customFormat="1" x14ac:dyDescent="0.35">
      <c r="E7568" s="35"/>
      <c r="J7568" s="41"/>
    </row>
    <row r="7569" spans="5:10" s="34" customFormat="1" x14ac:dyDescent="0.35">
      <c r="E7569" s="35"/>
      <c r="J7569" s="41"/>
    </row>
    <row r="7570" spans="5:10" s="34" customFormat="1" x14ac:dyDescent="0.35">
      <c r="E7570" s="35"/>
      <c r="J7570" s="41"/>
    </row>
    <row r="7571" spans="5:10" s="34" customFormat="1" x14ac:dyDescent="0.35">
      <c r="E7571" s="35"/>
      <c r="J7571" s="41"/>
    </row>
    <row r="7572" spans="5:10" s="34" customFormat="1" x14ac:dyDescent="0.35">
      <c r="E7572" s="35"/>
      <c r="J7572" s="41"/>
    </row>
    <row r="7573" spans="5:10" s="34" customFormat="1" x14ac:dyDescent="0.35">
      <c r="E7573" s="35"/>
      <c r="J7573" s="41"/>
    </row>
    <row r="7574" spans="5:10" s="34" customFormat="1" x14ac:dyDescent="0.35">
      <c r="E7574" s="35"/>
      <c r="J7574" s="41"/>
    </row>
    <row r="7575" spans="5:10" s="34" customFormat="1" x14ac:dyDescent="0.35">
      <c r="E7575" s="35"/>
      <c r="J7575" s="41"/>
    </row>
    <row r="7576" spans="5:10" s="34" customFormat="1" x14ac:dyDescent="0.35">
      <c r="E7576" s="35"/>
      <c r="J7576" s="41"/>
    </row>
    <row r="7577" spans="5:10" s="34" customFormat="1" x14ac:dyDescent="0.35">
      <c r="E7577" s="35"/>
      <c r="J7577" s="41"/>
    </row>
    <row r="7578" spans="5:10" s="34" customFormat="1" x14ac:dyDescent="0.35">
      <c r="E7578" s="35"/>
      <c r="J7578" s="41"/>
    </row>
    <row r="7579" spans="5:10" s="34" customFormat="1" x14ac:dyDescent="0.35">
      <c r="E7579" s="35"/>
      <c r="J7579" s="41"/>
    </row>
    <row r="7580" spans="5:10" s="34" customFormat="1" x14ac:dyDescent="0.35">
      <c r="E7580" s="35"/>
      <c r="J7580" s="41"/>
    </row>
    <row r="7581" spans="5:10" s="34" customFormat="1" x14ac:dyDescent="0.35">
      <c r="E7581" s="35"/>
      <c r="J7581" s="41"/>
    </row>
    <row r="7582" spans="5:10" s="34" customFormat="1" x14ac:dyDescent="0.35">
      <c r="E7582" s="35"/>
      <c r="J7582" s="41"/>
    </row>
    <row r="7583" spans="5:10" s="34" customFormat="1" x14ac:dyDescent="0.35">
      <c r="E7583" s="35"/>
      <c r="J7583" s="41"/>
    </row>
    <row r="7584" spans="5:10" s="34" customFormat="1" x14ac:dyDescent="0.35">
      <c r="E7584" s="35"/>
      <c r="J7584" s="41"/>
    </row>
    <row r="7585" spans="5:10" s="34" customFormat="1" x14ac:dyDescent="0.35">
      <c r="E7585" s="35"/>
      <c r="J7585" s="41"/>
    </row>
    <row r="7586" spans="5:10" s="34" customFormat="1" x14ac:dyDescent="0.35">
      <c r="E7586" s="35"/>
      <c r="J7586" s="41"/>
    </row>
    <row r="7587" spans="5:10" s="34" customFormat="1" x14ac:dyDescent="0.35">
      <c r="E7587" s="35"/>
      <c r="J7587" s="41"/>
    </row>
    <row r="7588" spans="5:10" s="34" customFormat="1" x14ac:dyDescent="0.35">
      <c r="E7588" s="35"/>
      <c r="J7588" s="41"/>
    </row>
    <row r="7589" spans="5:10" s="34" customFormat="1" x14ac:dyDescent="0.35">
      <c r="E7589" s="35"/>
      <c r="J7589" s="41"/>
    </row>
    <row r="7590" spans="5:10" s="34" customFormat="1" x14ac:dyDescent="0.35">
      <c r="E7590" s="35"/>
      <c r="J7590" s="41"/>
    </row>
    <row r="7591" spans="5:10" s="34" customFormat="1" x14ac:dyDescent="0.35">
      <c r="E7591" s="35"/>
      <c r="J7591" s="41"/>
    </row>
    <row r="7592" spans="5:10" s="34" customFormat="1" x14ac:dyDescent="0.35">
      <c r="E7592" s="35"/>
      <c r="J7592" s="41"/>
    </row>
    <row r="7593" spans="5:10" s="34" customFormat="1" x14ac:dyDescent="0.35">
      <c r="E7593" s="35"/>
      <c r="J7593" s="41"/>
    </row>
    <row r="7594" spans="5:10" s="34" customFormat="1" x14ac:dyDescent="0.35">
      <c r="E7594" s="35"/>
      <c r="J7594" s="41"/>
    </row>
    <row r="7595" spans="5:10" s="34" customFormat="1" x14ac:dyDescent="0.35">
      <c r="E7595" s="35"/>
      <c r="J7595" s="41"/>
    </row>
    <row r="7596" spans="5:10" s="34" customFormat="1" x14ac:dyDescent="0.35">
      <c r="E7596" s="35"/>
      <c r="J7596" s="41"/>
    </row>
    <row r="7597" spans="5:10" s="34" customFormat="1" x14ac:dyDescent="0.35">
      <c r="E7597" s="35"/>
      <c r="J7597" s="41"/>
    </row>
    <row r="7598" spans="5:10" s="34" customFormat="1" x14ac:dyDescent="0.35">
      <c r="E7598" s="35"/>
      <c r="J7598" s="41"/>
    </row>
    <row r="7599" spans="5:10" s="34" customFormat="1" x14ac:dyDescent="0.35">
      <c r="E7599" s="35"/>
      <c r="J7599" s="41"/>
    </row>
    <row r="7600" spans="5:10" s="34" customFormat="1" x14ac:dyDescent="0.35">
      <c r="E7600" s="35"/>
      <c r="J7600" s="41"/>
    </row>
    <row r="7601" spans="5:10" s="34" customFormat="1" x14ac:dyDescent="0.35">
      <c r="E7601" s="35"/>
      <c r="J7601" s="41"/>
    </row>
    <row r="7602" spans="5:10" s="34" customFormat="1" x14ac:dyDescent="0.35">
      <c r="E7602" s="35"/>
      <c r="J7602" s="41"/>
    </row>
    <row r="7603" spans="5:10" s="34" customFormat="1" x14ac:dyDescent="0.35">
      <c r="E7603" s="35"/>
      <c r="J7603" s="41"/>
    </row>
    <row r="7604" spans="5:10" s="34" customFormat="1" x14ac:dyDescent="0.35">
      <c r="E7604" s="35"/>
      <c r="J7604" s="41"/>
    </row>
    <row r="7605" spans="5:10" s="34" customFormat="1" x14ac:dyDescent="0.35">
      <c r="E7605" s="35"/>
      <c r="J7605" s="41"/>
    </row>
    <row r="7606" spans="5:10" s="34" customFormat="1" x14ac:dyDescent="0.35">
      <c r="E7606" s="35"/>
      <c r="J7606" s="41"/>
    </row>
    <row r="7607" spans="5:10" s="34" customFormat="1" x14ac:dyDescent="0.35">
      <c r="E7607" s="35"/>
      <c r="J7607" s="41"/>
    </row>
    <row r="7608" spans="5:10" s="34" customFormat="1" x14ac:dyDescent="0.35">
      <c r="E7608" s="35"/>
      <c r="J7608" s="41"/>
    </row>
    <row r="7609" spans="5:10" s="34" customFormat="1" x14ac:dyDescent="0.35">
      <c r="E7609" s="35"/>
      <c r="J7609" s="41"/>
    </row>
    <row r="7610" spans="5:10" s="34" customFormat="1" x14ac:dyDescent="0.35">
      <c r="E7610" s="35"/>
      <c r="J7610" s="41"/>
    </row>
    <row r="7611" spans="5:10" s="34" customFormat="1" x14ac:dyDescent="0.35">
      <c r="E7611" s="35"/>
      <c r="J7611" s="41"/>
    </row>
    <row r="7612" spans="5:10" s="34" customFormat="1" x14ac:dyDescent="0.35">
      <c r="E7612" s="35"/>
      <c r="J7612" s="41"/>
    </row>
    <row r="7613" spans="5:10" s="34" customFormat="1" x14ac:dyDescent="0.35">
      <c r="E7613" s="35"/>
      <c r="J7613" s="41"/>
    </row>
    <row r="7614" spans="5:10" s="34" customFormat="1" x14ac:dyDescent="0.35">
      <c r="E7614" s="35"/>
      <c r="J7614" s="41"/>
    </row>
    <row r="7615" spans="5:10" s="34" customFormat="1" x14ac:dyDescent="0.35">
      <c r="E7615" s="35"/>
      <c r="J7615" s="41"/>
    </row>
    <row r="7616" spans="5:10" s="34" customFormat="1" x14ac:dyDescent="0.35">
      <c r="E7616" s="35"/>
      <c r="J7616" s="41"/>
    </row>
    <row r="7617" spans="5:10" s="34" customFormat="1" x14ac:dyDescent="0.35">
      <c r="E7617" s="35"/>
      <c r="J7617" s="41"/>
    </row>
    <row r="7618" spans="5:10" s="34" customFormat="1" x14ac:dyDescent="0.35">
      <c r="E7618" s="35"/>
      <c r="J7618" s="41"/>
    </row>
    <row r="7619" spans="5:10" s="34" customFormat="1" x14ac:dyDescent="0.35">
      <c r="E7619" s="35"/>
      <c r="J7619" s="41"/>
    </row>
    <row r="7620" spans="5:10" s="34" customFormat="1" x14ac:dyDescent="0.35">
      <c r="E7620" s="35"/>
      <c r="J7620" s="41"/>
    </row>
    <row r="7621" spans="5:10" s="34" customFormat="1" x14ac:dyDescent="0.35">
      <c r="E7621" s="35"/>
      <c r="J7621" s="41"/>
    </row>
    <row r="7622" spans="5:10" s="34" customFormat="1" x14ac:dyDescent="0.35">
      <c r="E7622" s="35"/>
      <c r="J7622" s="41"/>
    </row>
    <row r="7623" spans="5:10" s="34" customFormat="1" x14ac:dyDescent="0.35">
      <c r="E7623" s="35"/>
      <c r="J7623" s="41"/>
    </row>
    <row r="7624" spans="5:10" s="34" customFormat="1" x14ac:dyDescent="0.35">
      <c r="E7624" s="35"/>
      <c r="J7624" s="41"/>
    </row>
    <row r="7625" spans="5:10" s="34" customFormat="1" x14ac:dyDescent="0.35">
      <c r="E7625" s="35"/>
      <c r="J7625" s="41"/>
    </row>
    <row r="7626" spans="5:10" s="34" customFormat="1" x14ac:dyDescent="0.35">
      <c r="E7626" s="35"/>
      <c r="J7626" s="41"/>
    </row>
    <row r="7627" spans="5:10" s="34" customFormat="1" x14ac:dyDescent="0.35">
      <c r="E7627" s="35"/>
      <c r="J7627" s="41"/>
    </row>
    <row r="7628" spans="5:10" s="34" customFormat="1" x14ac:dyDescent="0.35">
      <c r="E7628" s="35"/>
      <c r="J7628" s="41"/>
    </row>
    <row r="7629" spans="5:10" s="34" customFormat="1" x14ac:dyDescent="0.35">
      <c r="E7629" s="35"/>
      <c r="J7629" s="41"/>
    </row>
    <row r="7630" spans="5:10" s="34" customFormat="1" x14ac:dyDescent="0.35">
      <c r="E7630" s="35"/>
      <c r="J7630" s="41"/>
    </row>
    <row r="7631" spans="5:10" s="34" customFormat="1" x14ac:dyDescent="0.35">
      <c r="E7631" s="35"/>
      <c r="J7631" s="41"/>
    </row>
    <row r="7632" spans="5:10" s="34" customFormat="1" x14ac:dyDescent="0.35">
      <c r="E7632" s="35"/>
      <c r="J7632" s="41"/>
    </row>
    <row r="7633" spans="5:10" s="34" customFormat="1" x14ac:dyDescent="0.35">
      <c r="E7633" s="35"/>
      <c r="J7633" s="41"/>
    </row>
    <row r="7634" spans="5:10" s="34" customFormat="1" x14ac:dyDescent="0.35">
      <c r="E7634" s="35"/>
      <c r="J7634" s="41"/>
    </row>
    <row r="7635" spans="5:10" s="34" customFormat="1" x14ac:dyDescent="0.35">
      <c r="E7635" s="35"/>
      <c r="J7635" s="41"/>
    </row>
    <row r="7636" spans="5:10" s="34" customFormat="1" x14ac:dyDescent="0.35">
      <c r="E7636" s="35"/>
      <c r="J7636" s="41"/>
    </row>
    <row r="7637" spans="5:10" s="34" customFormat="1" x14ac:dyDescent="0.35">
      <c r="E7637" s="35"/>
      <c r="J7637" s="41"/>
    </row>
    <row r="7638" spans="5:10" s="34" customFormat="1" x14ac:dyDescent="0.35">
      <c r="E7638" s="35"/>
      <c r="J7638" s="41"/>
    </row>
    <row r="7639" spans="5:10" s="34" customFormat="1" x14ac:dyDescent="0.35">
      <c r="E7639" s="35"/>
      <c r="J7639" s="41"/>
    </row>
    <row r="7640" spans="5:10" s="34" customFormat="1" x14ac:dyDescent="0.35">
      <c r="E7640" s="35"/>
      <c r="J7640" s="41"/>
    </row>
    <row r="7641" spans="5:10" s="34" customFormat="1" x14ac:dyDescent="0.35">
      <c r="E7641" s="35"/>
      <c r="J7641" s="41"/>
    </row>
    <row r="7642" spans="5:10" s="34" customFormat="1" x14ac:dyDescent="0.35">
      <c r="E7642" s="35"/>
      <c r="J7642" s="41"/>
    </row>
    <row r="7643" spans="5:10" s="34" customFormat="1" x14ac:dyDescent="0.35">
      <c r="E7643" s="35"/>
      <c r="J7643" s="41"/>
    </row>
    <row r="7644" spans="5:10" s="34" customFormat="1" x14ac:dyDescent="0.35">
      <c r="E7644" s="35"/>
      <c r="J7644" s="41"/>
    </row>
    <row r="7645" spans="5:10" s="34" customFormat="1" x14ac:dyDescent="0.35">
      <c r="E7645" s="35"/>
      <c r="J7645" s="41"/>
    </row>
    <row r="7646" spans="5:10" s="34" customFormat="1" x14ac:dyDescent="0.35">
      <c r="E7646" s="35"/>
      <c r="J7646" s="41"/>
    </row>
    <row r="7647" spans="5:10" s="34" customFormat="1" x14ac:dyDescent="0.35">
      <c r="E7647" s="35"/>
      <c r="J7647" s="41"/>
    </row>
    <row r="7648" spans="5:10" s="34" customFormat="1" x14ac:dyDescent="0.35">
      <c r="E7648" s="35"/>
      <c r="J7648" s="41"/>
    </row>
    <row r="7649" spans="5:10" s="34" customFormat="1" x14ac:dyDescent="0.35">
      <c r="E7649" s="35"/>
      <c r="J7649" s="41"/>
    </row>
    <row r="7650" spans="5:10" s="34" customFormat="1" x14ac:dyDescent="0.35">
      <c r="E7650" s="35"/>
      <c r="J7650" s="41"/>
    </row>
    <row r="7651" spans="5:10" s="34" customFormat="1" x14ac:dyDescent="0.35">
      <c r="E7651" s="35"/>
      <c r="J7651" s="41"/>
    </row>
    <row r="7652" spans="5:10" s="34" customFormat="1" x14ac:dyDescent="0.35">
      <c r="E7652" s="35"/>
      <c r="J7652" s="41"/>
    </row>
    <row r="7653" spans="5:10" s="34" customFormat="1" x14ac:dyDescent="0.35">
      <c r="E7653" s="35"/>
      <c r="J7653" s="41"/>
    </row>
    <row r="7654" spans="5:10" s="34" customFormat="1" x14ac:dyDescent="0.35">
      <c r="E7654" s="35"/>
      <c r="J7654" s="41"/>
    </row>
    <row r="7655" spans="5:10" s="34" customFormat="1" x14ac:dyDescent="0.35">
      <c r="E7655" s="35"/>
      <c r="J7655" s="41"/>
    </row>
    <row r="7656" spans="5:10" s="34" customFormat="1" x14ac:dyDescent="0.35">
      <c r="E7656" s="35"/>
      <c r="J7656" s="41"/>
    </row>
    <row r="7657" spans="5:10" s="34" customFormat="1" x14ac:dyDescent="0.35">
      <c r="E7657" s="35"/>
      <c r="J7657" s="41"/>
    </row>
    <row r="7658" spans="5:10" s="34" customFormat="1" x14ac:dyDescent="0.35">
      <c r="E7658" s="35"/>
      <c r="J7658" s="41"/>
    </row>
    <row r="7659" spans="5:10" s="34" customFormat="1" x14ac:dyDescent="0.35">
      <c r="E7659" s="35"/>
      <c r="J7659" s="41"/>
    </row>
    <row r="7660" spans="5:10" s="34" customFormat="1" x14ac:dyDescent="0.35">
      <c r="E7660" s="35"/>
      <c r="J7660" s="41"/>
    </row>
    <row r="7661" spans="5:10" s="34" customFormat="1" x14ac:dyDescent="0.35">
      <c r="E7661" s="35"/>
      <c r="J7661" s="41"/>
    </row>
    <row r="7662" spans="5:10" s="34" customFormat="1" x14ac:dyDescent="0.35">
      <c r="E7662" s="35"/>
      <c r="J7662" s="41"/>
    </row>
    <row r="7663" spans="5:10" s="34" customFormat="1" x14ac:dyDescent="0.35">
      <c r="E7663" s="35"/>
      <c r="J7663" s="41"/>
    </row>
    <row r="7664" spans="5:10" s="34" customFormat="1" x14ac:dyDescent="0.35">
      <c r="E7664" s="35"/>
      <c r="J7664" s="41"/>
    </row>
    <row r="7665" spans="5:10" s="34" customFormat="1" x14ac:dyDescent="0.35">
      <c r="E7665" s="35"/>
      <c r="J7665" s="41"/>
    </row>
    <row r="7666" spans="5:10" s="34" customFormat="1" x14ac:dyDescent="0.35">
      <c r="E7666" s="35"/>
      <c r="J7666" s="41"/>
    </row>
    <row r="7667" spans="5:10" s="34" customFormat="1" x14ac:dyDescent="0.35">
      <c r="E7667" s="35"/>
      <c r="J7667" s="41"/>
    </row>
    <row r="7668" spans="5:10" s="34" customFormat="1" x14ac:dyDescent="0.35">
      <c r="E7668" s="35"/>
      <c r="J7668" s="41"/>
    </row>
    <row r="7669" spans="5:10" s="34" customFormat="1" x14ac:dyDescent="0.35">
      <c r="E7669" s="35"/>
      <c r="J7669" s="41"/>
    </row>
    <row r="7670" spans="5:10" s="34" customFormat="1" x14ac:dyDescent="0.35">
      <c r="E7670" s="35"/>
      <c r="J7670" s="41"/>
    </row>
    <row r="7671" spans="5:10" s="34" customFormat="1" x14ac:dyDescent="0.35">
      <c r="E7671" s="35"/>
      <c r="J7671" s="41"/>
    </row>
    <row r="7672" spans="5:10" s="34" customFormat="1" x14ac:dyDescent="0.35">
      <c r="E7672" s="35"/>
      <c r="J7672" s="41"/>
    </row>
    <row r="7673" spans="5:10" s="34" customFormat="1" x14ac:dyDescent="0.35">
      <c r="E7673" s="35"/>
      <c r="J7673" s="41"/>
    </row>
    <row r="7674" spans="5:10" s="34" customFormat="1" x14ac:dyDescent="0.35">
      <c r="E7674" s="35"/>
      <c r="J7674" s="41"/>
    </row>
    <row r="7675" spans="5:10" s="34" customFormat="1" x14ac:dyDescent="0.35">
      <c r="E7675" s="35"/>
      <c r="J7675" s="41"/>
    </row>
    <row r="7676" spans="5:10" s="34" customFormat="1" x14ac:dyDescent="0.35">
      <c r="E7676" s="35"/>
      <c r="J7676" s="41"/>
    </row>
    <row r="7677" spans="5:10" s="34" customFormat="1" x14ac:dyDescent="0.35">
      <c r="E7677" s="35"/>
      <c r="J7677" s="41"/>
    </row>
    <row r="7678" spans="5:10" s="34" customFormat="1" x14ac:dyDescent="0.35">
      <c r="E7678" s="35"/>
      <c r="J7678" s="41"/>
    </row>
    <row r="7679" spans="5:10" s="34" customFormat="1" x14ac:dyDescent="0.35">
      <c r="E7679" s="35"/>
      <c r="J7679" s="41"/>
    </row>
    <row r="7680" spans="5:10" s="34" customFormat="1" x14ac:dyDescent="0.35">
      <c r="E7680" s="35"/>
      <c r="J7680" s="41"/>
    </row>
    <row r="7681" spans="5:10" s="34" customFormat="1" x14ac:dyDescent="0.35">
      <c r="E7681" s="35"/>
      <c r="J7681" s="41"/>
    </row>
    <row r="7682" spans="5:10" s="34" customFormat="1" x14ac:dyDescent="0.35">
      <c r="E7682" s="35"/>
      <c r="J7682" s="41"/>
    </row>
    <row r="7683" spans="5:10" s="34" customFormat="1" x14ac:dyDescent="0.35">
      <c r="E7683" s="35"/>
      <c r="J7683" s="41"/>
    </row>
    <row r="7684" spans="5:10" s="34" customFormat="1" x14ac:dyDescent="0.35">
      <c r="E7684" s="35"/>
      <c r="J7684" s="41"/>
    </row>
    <row r="7685" spans="5:10" s="34" customFormat="1" x14ac:dyDescent="0.35">
      <c r="E7685" s="35"/>
      <c r="J7685" s="41"/>
    </row>
    <row r="7686" spans="5:10" s="34" customFormat="1" x14ac:dyDescent="0.35">
      <c r="E7686" s="35"/>
      <c r="J7686" s="41"/>
    </row>
    <row r="7687" spans="5:10" s="34" customFormat="1" x14ac:dyDescent="0.35">
      <c r="E7687" s="35"/>
      <c r="J7687" s="41"/>
    </row>
    <row r="7688" spans="5:10" s="34" customFormat="1" x14ac:dyDescent="0.35">
      <c r="E7688" s="35"/>
      <c r="J7688" s="41"/>
    </row>
    <row r="7689" spans="5:10" s="34" customFormat="1" x14ac:dyDescent="0.35">
      <c r="E7689" s="35"/>
      <c r="J7689" s="41"/>
    </row>
    <row r="7690" spans="5:10" s="34" customFormat="1" x14ac:dyDescent="0.35">
      <c r="E7690" s="35"/>
      <c r="J7690" s="41"/>
    </row>
    <row r="7691" spans="5:10" s="34" customFormat="1" x14ac:dyDescent="0.35">
      <c r="E7691" s="35"/>
      <c r="J7691" s="41"/>
    </row>
    <row r="7692" spans="5:10" s="34" customFormat="1" x14ac:dyDescent="0.35">
      <c r="E7692" s="35"/>
      <c r="J7692" s="41"/>
    </row>
    <row r="7693" spans="5:10" s="34" customFormat="1" x14ac:dyDescent="0.35">
      <c r="E7693" s="35"/>
      <c r="J7693" s="41"/>
    </row>
    <row r="7694" spans="5:10" s="34" customFormat="1" x14ac:dyDescent="0.35">
      <c r="E7694" s="35"/>
      <c r="J7694" s="41"/>
    </row>
    <row r="7695" spans="5:10" s="34" customFormat="1" x14ac:dyDescent="0.35">
      <c r="E7695" s="35"/>
      <c r="J7695" s="41"/>
    </row>
    <row r="7696" spans="5:10" s="34" customFormat="1" x14ac:dyDescent="0.35">
      <c r="E7696" s="35"/>
      <c r="J7696" s="41"/>
    </row>
    <row r="7697" spans="5:10" s="34" customFormat="1" x14ac:dyDescent="0.35">
      <c r="E7697" s="35"/>
      <c r="J7697" s="41"/>
    </row>
    <row r="7698" spans="5:10" s="34" customFormat="1" x14ac:dyDescent="0.35">
      <c r="E7698" s="35"/>
      <c r="J7698" s="41"/>
    </row>
    <row r="7699" spans="5:10" s="34" customFormat="1" x14ac:dyDescent="0.35">
      <c r="E7699" s="35"/>
      <c r="J7699" s="41"/>
    </row>
    <row r="7700" spans="5:10" s="34" customFormat="1" x14ac:dyDescent="0.35">
      <c r="E7700" s="35"/>
      <c r="J7700" s="41"/>
    </row>
    <row r="7701" spans="5:10" s="34" customFormat="1" x14ac:dyDescent="0.35">
      <c r="E7701" s="35"/>
      <c r="J7701" s="41"/>
    </row>
    <row r="7702" spans="5:10" s="34" customFormat="1" x14ac:dyDescent="0.35">
      <c r="E7702" s="35"/>
      <c r="J7702" s="41"/>
    </row>
    <row r="7703" spans="5:10" s="34" customFormat="1" x14ac:dyDescent="0.35">
      <c r="E7703" s="35"/>
      <c r="J7703" s="41"/>
    </row>
    <row r="7704" spans="5:10" s="34" customFormat="1" x14ac:dyDescent="0.35">
      <c r="E7704" s="35"/>
      <c r="J7704" s="41"/>
    </row>
    <row r="7705" spans="5:10" s="34" customFormat="1" x14ac:dyDescent="0.35">
      <c r="E7705" s="35"/>
      <c r="J7705" s="41"/>
    </row>
    <row r="7706" spans="5:10" s="34" customFormat="1" x14ac:dyDescent="0.35">
      <c r="E7706" s="35"/>
      <c r="J7706" s="41"/>
    </row>
    <row r="7707" spans="5:10" s="34" customFormat="1" x14ac:dyDescent="0.35">
      <c r="E7707" s="35"/>
      <c r="J7707" s="41"/>
    </row>
    <row r="7708" spans="5:10" s="34" customFormat="1" x14ac:dyDescent="0.35">
      <c r="E7708" s="35"/>
      <c r="J7708" s="41"/>
    </row>
    <row r="7709" spans="5:10" s="34" customFormat="1" x14ac:dyDescent="0.35">
      <c r="E7709" s="35"/>
      <c r="J7709" s="41"/>
    </row>
    <row r="7710" spans="5:10" s="34" customFormat="1" x14ac:dyDescent="0.35">
      <c r="E7710" s="35"/>
      <c r="J7710" s="41"/>
    </row>
    <row r="7711" spans="5:10" s="34" customFormat="1" x14ac:dyDescent="0.35">
      <c r="E7711" s="35"/>
      <c r="J7711" s="41"/>
    </row>
    <row r="7712" spans="5:10" s="34" customFormat="1" x14ac:dyDescent="0.35">
      <c r="E7712" s="35"/>
      <c r="J7712" s="41"/>
    </row>
    <row r="7713" spans="5:10" s="34" customFormat="1" x14ac:dyDescent="0.35">
      <c r="E7713" s="35"/>
      <c r="J7713" s="41"/>
    </row>
    <row r="7714" spans="5:10" s="34" customFormat="1" x14ac:dyDescent="0.35">
      <c r="E7714" s="35"/>
      <c r="J7714" s="41"/>
    </row>
    <row r="7715" spans="5:10" s="34" customFormat="1" x14ac:dyDescent="0.35">
      <c r="E7715" s="35"/>
      <c r="J7715" s="41"/>
    </row>
    <row r="7716" spans="5:10" s="34" customFormat="1" x14ac:dyDescent="0.35">
      <c r="E7716" s="35"/>
      <c r="J7716" s="41"/>
    </row>
    <row r="7717" spans="5:10" s="34" customFormat="1" x14ac:dyDescent="0.35">
      <c r="E7717" s="35"/>
      <c r="J7717" s="41"/>
    </row>
    <row r="7718" spans="5:10" s="34" customFormat="1" x14ac:dyDescent="0.35">
      <c r="E7718" s="35"/>
      <c r="J7718" s="41"/>
    </row>
    <row r="7719" spans="5:10" s="34" customFormat="1" x14ac:dyDescent="0.35">
      <c r="E7719" s="35"/>
      <c r="J7719" s="41"/>
    </row>
    <row r="7720" spans="5:10" s="34" customFormat="1" x14ac:dyDescent="0.35">
      <c r="E7720" s="35"/>
      <c r="J7720" s="41"/>
    </row>
    <row r="7721" spans="5:10" s="34" customFormat="1" x14ac:dyDescent="0.35">
      <c r="E7721" s="35"/>
      <c r="J7721" s="41"/>
    </row>
    <row r="7722" spans="5:10" s="34" customFormat="1" x14ac:dyDescent="0.35">
      <c r="E7722" s="35"/>
      <c r="J7722" s="41"/>
    </row>
    <row r="7723" spans="5:10" s="34" customFormat="1" x14ac:dyDescent="0.35">
      <c r="E7723" s="35"/>
      <c r="J7723" s="41"/>
    </row>
    <row r="7724" spans="5:10" s="34" customFormat="1" x14ac:dyDescent="0.35">
      <c r="E7724" s="35"/>
      <c r="J7724" s="41"/>
    </row>
    <row r="7725" spans="5:10" s="34" customFormat="1" x14ac:dyDescent="0.35">
      <c r="E7725" s="35"/>
      <c r="J7725" s="41"/>
    </row>
    <row r="7726" spans="5:10" s="34" customFormat="1" x14ac:dyDescent="0.35">
      <c r="E7726" s="35"/>
      <c r="J7726" s="41"/>
    </row>
    <row r="7727" spans="5:10" s="34" customFormat="1" x14ac:dyDescent="0.35">
      <c r="E7727" s="35"/>
      <c r="J7727" s="41"/>
    </row>
    <row r="7728" spans="5:10" s="34" customFormat="1" x14ac:dyDescent="0.35">
      <c r="E7728" s="35"/>
      <c r="J7728" s="41"/>
    </row>
    <row r="7729" spans="5:10" s="34" customFormat="1" x14ac:dyDescent="0.35">
      <c r="E7729" s="35"/>
      <c r="J7729" s="41"/>
    </row>
    <row r="7730" spans="5:10" s="34" customFormat="1" x14ac:dyDescent="0.35">
      <c r="E7730" s="35"/>
      <c r="J7730" s="41"/>
    </row>
    <row r="7731" spans="5:10" s="34" customFormat="1" x14ac:dyDescent="0.35">
      <c r="E7731" s="35"/>
      <c r="J7731" s="41"/>
    </row>
    <row r="7732" spans="5:10" s="34" customFormat="1" x14ac:dyDescent="0.35">
      <c r="E7732" s="35"/>
      <c r="J7732" s="41"/>
    </row>
    <row r="7733" spans="5:10" s="34" customFormat="1" x14ac:dyDescent="0.35">
      <c r="E7733" s="35"/>
      <c r="J7733" s="41"/>
    </row>
    <row r="7734" spans="5:10" s="34" customFormat="1" x14ac:dyDescent="0.35">
      <c r="E7734" s="35"/>
      <c r="J7734" s="41"/>
    </row>
    <row r="7735" spans="5:10" s="34" customFormat="1" x14ac:dyDescent="0.35">
      <c r="E7735" s="35"/>
      <c r="J7735" s="41"/>
    </row>
    <row r="7736" spans="5:10" s="34" customFormat="1" x14ac:dyDescent="0.35">
      <c r="E7736" s="35"/>
      <c r="J7736" s="41"/>
    </row>
    <row r="7737" spans="5:10" s="34" customFormat="1" x14ac:dyDescent="0.35">
      <c r="E7737" s="35"/>
      <c r="J7737" s="41"/>
    </row>
    <row r="7738" spans="5:10" s="34" customFormat="1" x14ac:dyDescent="0.35">
      <c r="E7738" s="35"/>
      <c r="J7738" s="41"/>
    </row>
    <row r="7739" spans="5:10" s="34" customFormat="1" x14ac:dyDescent="0.35">
      <c r="E7739" s="35"/>
      <c r="J7739" s="41"/>
    </row>
    <row r="7740" spans="5:10" s="34" customFormat="1" x14ac:dyDescent="0.35">
      <c r="E7740" s="35"/>
      <c r="J7740" s="41"/>
    </row>
    <row r="7741" spans="5:10" s="34" customFormat="1" x14ac:dyDescent="0.35">
      <c r="E7741" s="35"/>
      <c r="J7741" s="41"/>
    </row>
    <row r="7742" spans="5:10" s="34" customFormat="1" x14ac:dyDescent="0.35">
      <c r="E7742" s="35"/>
      <c r="J7742" s="41"/>
    </row>
    <row r="7743" spans="5:10" s="34" customFormat="1" x14ac:dyDescent="0.35">
      <c r="E7743" s="35"/>
      <c r="J7743" s="41"/>
    </row>
    <row r="7744" spans="5:10" s="34" customFormat="1" x14ac:dyDescent="0.35">
      <c r="E7744" s="35"/>
      <c r="J7744" s="41"/>
    </row>
    <row r="7745" spans="5:10" s="34" customFormat="1" x14ac:dyDescent="0.35">
      <c r="E7745" s="35"/>
      <c r="J7745" s="41"/>
    </row>
    <row r="7746" spans="5:10" s="34" customFormat="1" x14ac:dyDescent="0.35">
      <c r="E7746" s="35"/>
      <c r="J7746" s="41"/>
    </row>
    <row r="7747" spans="5:10" s="34" customFormat="1" x14ac:dyDescent="0.35">
      <c r="E7747" s="35"/>
      <c r="J7747" s="41"/>
    </row>
    <row r="7748" spans="5:10" s="34" customFormat="1" x14ac:dyDescent="0.35">
      <c r="E7748" s="35"/>
      <c r="J7748" s="41"/>
    </row>
    <row r="7749" spans="5:10" s="34" customFormat="1" x14ac:dyDescent="0.35">
      <c r="E7749" s="35"/>
      <c r="J7749" s="41"/>
    </row>
    <row r="7750" spans="5:10" s="34" customFormat="1" x14ac:dyDescent="0.35">
      <c r="E7750" s="35"/>
      <c r="J7750" s="41"/>
    </row>
    <row r="7751" spans="5:10" s="34" customFormat="1" x14ac:dyDescent="0.35">
      <c r="E7751" s="35"/>
      <c r="J7751" s="41"/>
    </row>
    <row r="7752" spans="5:10" s="34" customFormat="1" x14ac:dyDescent="0.35">
      <c r="E7752" s="35"/>
      <c r="J7752" s="41"/>
    </row>
    <row r="7753" spans="5:10" s="34" customFormat="1" x14ac:dyDescent="0.35">
      <c r="E7753" s="35"/>
      <c r="J7753" s="41"/>
    </row>
    <row r="7754" spans="5:10" s="34" customFormat="1" x14ac:dyDescent="0.35">
      <c r="E7754" s="35"/>
      <c r="J7754" s="41"/>
    </row>
    <row r="7755" spans="5:10" s="34" customFormat="1" x14ac:dyDescent="0.35">
      <c r="E7755" s="35"/>
      <c r="J7755" s="41"/>
    </row>
    <row r="7756" spans="5:10" s="34" customFormat="1" x14ac:dyDescent="0.35">
      <c r="E7756" s="35"/>
      <c r="J7756" s="41"/>
    </row>
    <row r="7757" spans="5:10" s="34" customFormat="1" x14ac:dyDescent="0.35">
      <c r="E7757" s="35"/>
      <c r="J7757" s="41"/>
    </row>
    <row r="7758" spans="5:10" s="34" customFormat="1" x14ac:dyDescent="0.35">
      <c r="E7758" s="35"/>
      <c r="J7758" s="41"/>
    </row>
    <row r="7759" spans="5:10" s="34" customFormat="1" x14ac:dyDescent="0.35">
      <c r="E7759" s="35"/>
      <c r="J7759" s="41"/>
    </row>
    <row r="7760" spans="5:10" s="34" customFormat="1" x14ac:dyDescent="0.35">
      <c r="E7760" s="35"/>
      <c r="J7760" s="41"/>
    </row>
    <row r="7761" spans="5:10" s="34" customFormat="1" x14ac:dyDescent="0.35">
      <c r="E7761" s="35"/>
      <c r="J7761" s="41"/>
    </row>
    <row r="7762" spans="5:10" s="34" customFormat="1" x14ac:dyDescent="0.35">
      <c r="E7762" s="35"/>
      <c r="J7762" s="41"/>
    </row>
    <row r="7763" spans="5:10" s="34" customFormat="1" x14ac:dyDescent="0.35">
      <c r="E7763" s="35"/>
      <c r="J7763" s="41"/>
    </row>
    <row r="7764" spans="5:10" s="34" customFormat="1" x14ac:dyDescent="0.35">
      <c r="E7764" s="35"/>
      <c r="J7764" s="41"/>
    </row>
    <row r="7765" spans="5:10" s="34" customFormat="1" x14ac:dyDescent="0.35">
      <c r="E7765" s="35"/>
      <c r="J7765" s="41"/>
    </row>
    <row r="7766" spans="5:10" s="34" customFormat="1" x14ac:dyDescent="0.35">
      <c r="E7766" s="35"/>
      <c r="J7766" s="41"/>
    </row>
    <row r="7767" spans="5:10" s="34" customFormat="1" x14ac:dyDescent="0.35">
      <c r="E7767" s="35"/>
      <c r="J7767" s="41"/>
    </row>
    <row r="7768" spans="5:10" s="34" customFormat="1" x14ac:dyDescent="0.35">
      <c r="E7768" s="35"/>
      <c r="J7768" s="41"/>
    </row>
    <row r="7769" spans="5:10" s="34" customFormat="1" x14ac:dyDescent="0.35">
      <c r="E7769" s="35"/>
      <c r="J7769" s="41"/>
    </row>
    <row r="7770" spans="5:10" s="34" customFormat="1" x14ac:dyDescent="0.35">
      <c r="E7770" s="35"/>
      <c r="J7770" s="41"/>
    </row>
    <row r="7771" spans="5:10" s="34" customFormat="1" x14ac:dyDescent="0.35">
      <c r="E7771" s="35"/>
      <c r="J7771" s="41"/>
    </row>
    <row r="7772" spans="5:10" s="34" customFormat="1" x14ac:dyDescent="0.35">
      <c r="E7772" s="35"/>
      <c r="J7772" s="41"/>
    </row>
    <row r="7773" spans="5:10" s="34" customFormat="1" x14ac:dyDescent="0.35">
      <c r="E7773" s="35"/>
      <c r="J7773" s="41"/>
    </row>
    <row r="7774" spans="5:10" s="34" customFormat="1" x14ac:dyDescent="0.35">
      <c r="E7774" s="35"/>
      <c r="J7774" s="41"/>
    </row>
    <row r="7775" spans="5:10" s="34" customFormat="1" x14ac:dyDescent="0.35">
      <c r="E7775" s="35"/>
      <c r="J7775" s="41"/>
    </row>
    <row r="7776" spans="5:10" s="34" customFormat="1" x14ac:dyDescent="0.35">
      <c r="E7776" s="35"/>
      <c r="J7776" s="41"/>
    </row>
    <row r="7777" spans="5:10" s="34" customFormat="1" x14ac:dyDescent="0.35">
      <c r="E7777" s="35"/>
      <c r="J7777" s="41"/>
    </row>
    <row r="7778" spans="5:10" s="34" customFormat="1" x14ac:dyDescent="0.35">
      <c r="E7778" s="35"/>
      <c r="J7778" s="41"/>
    </row>
    <row r="7779" spans="5:10" s="34" customFormat="1" x14ac:dyDescent="0.35">
      <c r="E7779" s="35"/>
      <c r="J7779" s="41"/>
    </row>
    <row r="7780" spans="5:10" s="34" customFormat="1" x14ac:dyDescent="0.35">
      <c r="E7780" s="35"/>
      <c r="J7780" s="41"/>
    </row>
    <row r="7781" spans="5:10" s="34" customFormat="1" x14ac:dyDescent="0.35">
      <c r="E7781" s="35"/>
      <c r="J7781" s="41"/>
    </row>
    <row r="7782" spans="5:10" s="34" customFormat="1" x14ac:dyDescent="0.35">
      <c r="E7782" s="35"/>
      <c r="J7782" s="41"/>
    </row>
    <row r="7783" spans="5:10" s="34" customFormat="1" x14ac:dyDescent="0.35">
      <c r="E7783" s="35"/>
      <c r="J7783" s="41"/>
    </row>
    <row r="7784" spans="5:10" s="34" customFormat="1" x14ac:dyDescent="0.35">
      <c r="E7784" s="35"/>
      <c r="J7784" s="41"/>
    </row>
    <row r="7785" spans="5:10" s="34" customFormat="1" x14ac:dyDescent="0.35">
      <c r="E7785" s="35"/>
      <c r="J7785" s="41"/>
    </row>
    <row r="7786" spans="5:10" s="34" customFormat="1" x14ac:dyDescent="0.35">
      <c r="E7786" s="35"/>
      <c r="J7786" s="41"/>
    </row>
    <row r="7787" spans="5:10" s="34" customFormat="1" x14ac:dyDescent="0.35">
      <c r="E7787" s="35"/>
      <c r="J7787" s="41"/>
    </row>
    <row r="7788" spans="5:10" s="34" customFormat="1" x14ac:dyDescent="0.35">
      <c r="E7788" s="35"/>
      <c r="J7788" s="41"/>
    </row>
    <row r="7789" spans="5:10" s="34" customFormat="1" x14ac:dyDescent="0.35">
      <c r="E7789" s="35"/>
      <c r="J7789" s="41"/>
    </row>
    <row r="7790" spans="5:10" s="34" customFormat="1" x14ac:dyDescent="0.35">
      <c r="E7790" s="35"/>
      <c r="J7790" s="41"/>
    </row>
    <row r="7791" spans="5:10" s="34" customFormat="1" x14ac:dyDescent="0.35">
      <c r="E7791" s="35"/>
      <c r="J7791" s="41"/>
    </row>
    <row r="7792" spans="5:10" s="34" customFormat="1" x14ac:dyDescent="0.35">
      <c r="E7792" s="35"/>
      <c r="J7792" s="41"/>
    </row>
    <row r="7793" spans="5:10" s="34" customFormat="1" x14ac:dyDescent="0.35">
      <c r="E7793" s="35"/>
      <c r="J7793" s="41"/>
    </row>
    <row r="7794" spans="5:10" s="34" customFormat="1" x14ac:dyDescent="0.35">
      <c r="E7794" s="35"/>
      <c r="J7794" s="41"/>
    </row>
    <row r="7795" spans="5:10" s="34" customFormat="1" x14ac:dyDescent="0.35">
      <c r="E7795" s="35"/>
      <c r="J7795" s="41"/>
    </row>
    <row r="7796" spans="5:10" s="34" customFormat="1" x14ac:dyDescent="0.35">
      <c r="E7796" s="35"/>
      <c r="J7796" s="41"/>
    </row>
    <row r="7797" spans="5:10" s="34" customFormat="1" x14ac:dyDescent="0.35">
      <c r="E7797" s="35"/>
      <c r="J7797" s="41"/>
    </row>
    <row r="7798" spans="5:10" s="34" customFormat="1" x14ac:dyDescent="0.35">
      <c r="E7798" s="35"/>
      <c r="J7798" s="41"/>
    </row>
    <row r="7799" spans="5:10" s="34" customFormat="1" x14ac:dyDescent="0.35">
      <c r="E7799" s="35"/>
      <c r="J7799" s="41"/>
    </row>
    <row r="7800" spans="5:10" s="34" customFormat="1" x14ac:dyDescent="0.35">
      <c r="E7800" s="35"/>
      <c r="J7800" s="41"/>
    </row>
    <row r="7801" spans="5:10" s="34" customFormat="1" x14ac:dyDescent="0.35">
      <c r="E7801" s="35"/>
      <c r="J7801" s="41"/>
    </row>
    <row r="7802" spans="5:10" s="34" customFormat="1" x14ac:dyDescent="0.35">
      <c r="E7802" s="35"/>
      <c r="J7802" s="41"/>
    </row>
    <row r="7803" spans="5:10" s="34" customFormat="1" x14ac:dyDescent="0.35">
      <c r="E7803" s="35"/>
      <c r="J7803" s="41"/>
    </row>
    <row r="7804" spans="5:10" s="34" customFormat="1" x14ac:dyDescent="0.35">
      <c r="E7804" s="35"/>
      <c r="J7804" s="41"/>
    </row>
    <row r="7805" spans="5:10" s="34" customFormat="1" x14ac:dyDescent="0.35">
      <c r="E7805" s="35"/>
      <c r="J7805" s="41"/>
    </row>
    <row r="7806" spans="5:10" s="34" customFormat="1" x14ac:dyDescent="0.35">
      <c r="E7806" s="35"/>
      <c r="J7806" s="41"/>
    </row>
    <row r="7807" spans="5:10" s="34" customFormat="1" x14ac:dyDescent="0.35">
      <c r="E7807" s="35"/>
      <c r="J7807" s="41"/>
    </row>
    <row r="7808" spans="5:10" s="34" customFormat="1" x14ac:dyDescent="0.35">
      <c r="E7808" s="35"/>
      <c r="J7808" s="41"/>
    </row>
    <row r="7809" spans="5:10" s="34" customFormat="1" x14ac:dyDescent="0.35">
      <c r="E7809" s="35"/>
      <c r="J7809" s="41"/>
    </row>
    <row r="7810" spans="5:10" s="34" customFormat="1" x14ac:dyDescent="0.35">
      <c r="E7810" s="35"/>
      <c r="J7810" s="41"/>
    </row>
    <row r="7811" spans="5:10" s="34" customFormat="1" x14ac:dyDescent="0.35">
      <c r="E7811" s="35"/>
      <c r="J7811" s="41"/>
    </row>
    <row r="7812" spans="5:10" s="34" customFormat="1" x14ac:dyDescent="0.35">
      <c r="E7812" s="35"/>
      <c r="J7812" s="41"/>
    </row>
    <row r="7813" spans="5:10" s="34" customFormat="1" x14ac:dyDescent="0.35">
      <c r="E7813" s="35"/>
      <c r="J7813" s="41"/>
    </row>
    <row r="7814" spans="5:10" s="34" customFormat="1" x14ac:dyDescent="0.35">
      <c r="E7814" s="35"/>
      <c r="J7814" s="41"/>
    </row>
    <row r="7815" spans="5:10" s="34" customFormat="1" x14ac:dyDescent="0.35">
      <c r="E7815" s="35"/>
      <c r="J7815" s="41"/>
    </row>
    <row r="7816" spans="5:10" s="34" customFormat="1" x14ac:dyDescent="0.35">
      <c r="E7816" s="35"/>
      <c r="J7816" s="41"/>
    </row>
    <row r="7817" spans="5:10" s="34" customFormat="1" x14ac:dyDescent="0.35">
      <c r="E7817" s="35"/>
      <c r="J7817" s="41"/>
    </row>
    <row r="7818" spans="5:10" s="34" customFormat="1" x14ac:dyDescent="0.35">
      <c r="E7818" s="35"/>
      <c r="J7818" s="41"/>
    </row>
    <row r="7819" spans="5:10" s="34" customFormat="1" x14ac:dyDescent="0.35">
      <c r="E7819" s="35"/>
      <c r="J7819" s="41"/>
    </row>
    <row r="7820" spans="5:10" s="34" customFormat="1" x14ac:dyDescent="0.35">
      <c r="E7820" s="35"/>
      <c r="J7820" s="41"/>
    </row>
    <row r="7821" spans="5:10" s="34" customFormat="1" x14ac:dyDescent="0.35">
      <c r="E7821" s="35"/>
      <c r="J7821" s="41"/>
    </row>
    <row r="7822" spans="5:10" s="34" customFormat="1" x14ac:dyDescent="0.35">
      <c r="E7822" s="35"/>
      <c r="J7822" s="41"/>
    </row>
    <row r="7823" spans="5:10" s="34" customFormat="1" x14ac:dyDescent="0.35">
      <c r="E7823" s="35"/>
      <c r="J7823" s="41"/>
    </row>
    <row r="7824" spans="5:10" s="34" customFormat="1" x14ac:dyDescent="0.35">
      <c r="E7824" s="35"/>
      <c r="J7824" s="41"/>
    </row>
    <row r="7825" spans="5:10" s="34" customFormat="1" x14ac:dyDescent="0.35">
      <c r="E7825" s="35"/>
      <c r="J7825" s="41"/>
    </row>
    <row r="7826" spans="5:10" s="34" customFormat="1" x14ac:dyDescent="0.35">
      <c r="E7826" s="35"/>
      <c r="J7826" s="41"/>
    </row>
    <row r="7827" spans="5:10" s="34" customFormat="1" x14ac:dyDescent="0.35">
      <c r="E7827" s="35"/>
      <c r="J7827" s="41"/>
    </row>
    <row r="7828" spans="5:10" s="34" customFormat="1" x14ac:dyDescent="0.35">
      <c r="E7828" s="35"/>
      <c r="J7828" s="41"/>
    </row>
    <row r="7829" spans="5:10" s="34" customFormat="1" x14ac:dyDescent="0.35">
      <c r="E7829" s="35"/>
      <c r="J7829" s="41"/>
    </row>
    <row r="7830" spans="5:10" s="34" customFormat="1" x14ac:dyDescent="0.35">
      <c r="E7830" s="35"/>
      <c r="J7830" s="41"/>
    </row>
    <row r="7831" spans="5:10" s="34" customFormat="1" x14ac:dyDescent="0.35">
      <c r="E7831" s="35"/>
      <c r="J7831" s="41"/>
    </row>
    <row r="7832" spans="5:10" s="34" customFormat="1" x14ac:dyDescent="0.35">
      <c r="E7832" s="35"/>
      <c r="J7832" s="41"/>
    </row>
    <row r="7833" spans="5:10" s="34" customFormat="1" x14ac:dyDescent="0.35">
      <c r="E7833" s="35"/>
      <c r="J7833" s="41"/>
    </row>
    <row r="7834" spans="5:10" s="34" customFormat="1" x14ac:dyDescent="0.35">
      <c r="E7834" s="35"/>
      <c r="J7834" s="41"/>
    </row>
    <row r="7835" spans="5:10" s="34" customFormat="1" x14ac:dyDescent="0.35">
      <c r="E7835" s="35"/>
      <c r="J7835" s="41"/>
    </row>
    <row r="7836" spans="5:10" s="34" customFormat="1" x14ac:dyDescent="0.35">
      <c r="E7836" s="35"/>
      <c r="J7836" s="41"/>
    </row>
    <row r="7837" spans="5:10" s="34" customFormat="1" x14ac:dyDescent="0.35">
      <c r="E7837" s="35"/>
      <c r="J7837" s="41"/>
    </row>
    <row r="7838" spans="5:10" s="34" customFormat="1" x14ac:dyDescent="0.35">
      <c r="E7838" s="35"/>
      <c r="J7838" s="41"/>
    </row>
    <row r="7839" spans="5:10" s="34" customFormat="1" x14ac:dyDescent="0.35">
      <c r="E7839" s="35"/>
      <c r="J7839" s="41"/>
    </row>
    <row r="7840" spans="5:10" s="34" customFormat="1" x14ac:dyDescent="0.35">
      <c r="E7840" s="35"/>
      <c r="J7840" s="41"/>
    </row>
    <row r="7841" spans="5:10" s="34" customFormat="1" x14ac:dyDescent="0.35">
      <c r="E7841" s="35"/>
      <c r="J7841" s="41"/>
    </row>
    <row r="7842" spans="5:10" s="34" customFormat="1" x14ac:dyDescent="0.35">
      <c r="E7842" s="35"/>
      <c r="J7842" s="41"/>
    </row>
    <row r="7843" spans="5:10" s="34" customFormat="1" x14ac:dyDescent="0.35">
      <c r="E7843" s="35"/>
      <c r="J7843" s="41"/>
    </row>
    <row r="7844" spans="5:10" s="34" customFormat="1" x14ac:dyDescent="0.35">
      <c r="E7844" s="35"/>
      <c r="J7844" s="41"/>
    </row>
    <row r="7845" spans="5:10" s="34" customFormat="1" x14ac:dyDescent="0.35">
      <c r="E7845" s="35"/>
      <c r="J7845" s="41"/>
    </row>
    <row r="7846" spans="5:10" s="34" customFormat="1" x14ac:dyDescent="0.35">
      <c r="E7846" s="35"/>
      <c r="J7846" s="41"/>
    </row>
    <row r="7847" spans="5:10" s="34" customFormat="1" x14ac:dyDescent="0.35">
      <c r="E7847" s="35"/>
      <c r="J7847" s="41"/>
    </row>
    <row r="7848" spans="5:10" s="34" customFormat="1" x14ac:dyDescent="0.35">
      <c r="E7848" s="35"/>
      <c r="J7848" s="41"/>
    </row>
    <row r="7849" spans="5:10" s="34" customFormat="1" x14ac:dyDescent="0.35">
      <c r="E7849" s="35"/>
      <c r="J7849" s="41"/>
    </row>
    <row r="7850" spans="5:10" s="34" customFormat="1" x14ac:dyDescent="0.35">
      <c r="E7850" s="35"/>
      <c r="J7850" s="41"/>
    </row>
    <row r="7851" spans="5:10" s="34" customFormat="1" x14ac:dyDescent="0.35">
      <c r="E7851" s="35"/>
      <c r="J7851" s="41"/>
    </row>
    <row r="7852" spans="5:10" s="34" customFormat="1" x14ac:dyDescent="0.35">
      <c r="E7852" s="35"/>
      <c r="J7852" s="41"/>
    </row>
    <row r="7853" spans="5:10" s="34" customFormat="1" x14ac:dyDescent="0.35">
      <c r="E7853" s="35"/>
      <c r="J7853" s="41"/>
    </row>
    <row r="7854" spans="5:10" s="34" customFormat="1" x14ac:dyDescent="0.35">
      <c r="E7854" s="35"/>
      <c r="J7854" s="41"/>
    </row>
    <row r="7855" spans="5:10" s="34" customFormat="1" x14ac:dyDescent="0.35">
      <c r="E7855" s="35"/>
      <c r="J7855" s="41"/>
    </row>
    <row r="7856" spans="5:10" s="34" customFormat="1" x14ac:dyDescent="0.35">
      <c r="E7856" s="35"/>
      <c r="J7856" s="41"/>
    </row>
    <row r="7857" spans="5:10" s="34" customFormat="1" x14ac:dyDescent="0.35">
      <c r="E7857" s="35"/>
      <c r="J7857" s="41"/>
    </row>
    <row r="7858" spans="5:10" s="34" customFormat="1" x14ac:dyDescent="0.35">
      <c r="E7858" s="35"/>
      <c r="J7858" s="41"/>
    </row>
    <row r="7859" spans="5:10" s="34" customFormat="1" x14ac:dyDescent="0.35">
      <c r="E7859" s="35"/>
      <c r="J7859" s="41"/>
    </row>
    <row r="7860" spans="5:10" s="34" customFormat="1" x14ac:dyDescent="0.35">
      <c r="E7860" s="35"/>
      <c r="J7860" s="41"/>
    </row>
    <row r="7861" spans="5:10" s="34" customFormat="1" x14ac:dyDescent="0.35">
      <c r="E7861" s="35"/>
      <c r="J7861" s="41"/>
    </row>
    <row r="7862" spans="5:10" s="34" customFormat="1" x14ac:dyDescent="0.35">
      <c r="E7862" s="35"/>
      <c r="J7862" s="41"/>
    </row>
    <row r="7863" spans="5:10" s="34" customFormat="1" x14ac:dyDescent="0.35">
      <c r="E7863" s="35"/>
      <c r="J7863" s="41"/>
    </row>
    <row r="7864" spans="5:10" s="34" customFormat="1" x14ac:dyDescent="0.35">
      <c r="E7864" s="35"/>
      <c r="J7864" s="41"/>
    </row>
    <row r="7865" spans="5:10" s="34" customFormat="1" x14ac:dyDescent="0.35">
      <c r="E7865" s="35"/>
      <c r="J7865" s="41"/>
    </row>
    <row r="7866" spans="5:10" s="34" customFormat="1" x14ac:dyDescent="0.35">
      <c r="E7866" s="35"/>
      <c r="J7866" s="41"/>
    </row>
    <row r="7867" spans="5:10" s="34" customFormat="1" x14ac:dyDescent="0.35">
      <c r="E7867" s="35"/>
      <c r="J7867" s="41"/>
    </row>
    <row r="7868" spans="5:10" s="34" customFormat="1" x14ac:dyDescent="0.35">
      <c r="E7868" s="35"/>
      <c r="J7868" s="41"/>
    </row>
    <row r="7869" spans="5:10" s="34" customFormat="1" x14ac:dyDescent="0.35">
      <c r="E7869" s="35"/>
      <c r="J7869" s="41"/>
    </row>
    <row r="7870" spans="5:10" s="34" customFormat="1" x14ac:dyDescent="0.35">
      <c r="E7870" s="35"/>
      <c r="J7870" s="41"/>
    </row>
    <row r="7871" spans="5:10" s="34" customFormat="1" x14ac:dyDescent="0.35">
      <c r="E7871" s="35"/>
      <c r="J7871" s="41"/>
    </row>
    <row r="7872" spans="5:10" s="34" customFormat="1" x14ac:dyDescent="0.35">
      <c r="E7872" s="35"/>
      <c r="J7872" s="41"/>
    </row>
    <row r="7873" spans="5:10" s="34" customFormat="1" x14ac:dyDescent="0.35">
      <c r="E7873" s="35"/>
      <c r="J7873" s="41"/>
    </row>
    <row r="7874" spans="5:10" s="34" customFormat="1" x14ac:dyDescent="0.35">
      <c r="E7874" s="35"/>
      <c r="J7874" s="41"/>
    </row>
    <row r="7875" spans="5:10" s="34" customFormat="1" x14ac:dyDescent="0.35">
      <c r="E7875" s="35"/>
      <c r="J7875" s="41"/>
    </row>
    <row r="7876" spans="5:10" s="34" customFormat="1" x14ac:dyDescent="0.35">
      <c r="E7876" s="35"/>
      <c r="J7876" s="41"/>
    </row>
    <row r="7877" spans="5:10" s="34" customFormat="1" x14ac:dyDescent="0.35">
      <c r="E7877" s="35"/>
      <c r="J7877" s="41"/>
    </row>
    <row r="7878" spans="5:10" s="34" customFormat="1" x14ac:dyDescent="0.35">
      <c r="E7878" s="35"/>
      <c r="J7878" s="41"/>
    </row>
    <row r="7879" spans="5:10" s="34" customFormat="1" x14ac:dyDescent="0.35">
      <c r="E7879" s="35"/>
      <c r="J7879" s="41"/>
    </row>
    <row r="7880" spans="5:10" s="34" customFormat="1" x14ac:dyDescent="0.35">
      <c r="E7880" s="35"/>
      <c r="J7880" s="41"/>
    </row>
    <row r="7881" spans="5:10" s="34" customFormat="1" x14ac:dyDescent="0.35">
      <c r="E7881" s="35"/>
      <c r="J7881" s="41"/>
    </row>
    <row r="7882" spans="5:10" s="34" customFormat="1" x14ac:dyDescent="0.35">
      <c r="E7882" s="35"/>
      <c r="J7882" s="41"/>
    </row>
    <row r="7883" spans="5:10" s="34" customFormat="1" x14ac:dyDescent="0.35">
      <c r="E7883" s="35"/>
      <c r="J7883" s="41"/>
    </row>
    <row r="7884" spans="5:10" s="34" customFormat="1" x14ac:dyDescent="0.35">
      <c r="E7884" s="35"/>
      <c r="J7884" s="41"/>
    </row>
    <row r="7885" spans="5:10" s="34" customFormat="1" x14ac:dyDescent="0.35">
      <c r="E7885" s="35"/>
      <c r="J7885" s="41"/>
    </row>
    <row r="7886" spans="5:10" s="34" customFormat="1" x14ac:dyDescent="0.35">
      <c r="E7886" s="35"/>
      <c r="J7886" s="41"/>
    </row>
    <row r="7887" spans="5:10" s="34" customFormat="1" x14ac:dyDescent="0.35">
      <c r="E7887" s="35"/>
      <c r="J7887" s="41"/>
    </row>
    <row r="7888" spans="5:10" s="34" customFormat="1" x14ac:dyDescent="0.35">
      <c r="E7888" s="35"/>
      <c r="J7888" s="41"/>
    </row>
    <row r="7889" spans="5:10" s="34" customFormat="1" x14ac:dyDescent="0.35">
      <c r="E7889" s="35"/>
      <c r="J7889" s="41"/>
    </row>
    <row r="7890" spans="5:10" s="34" customFormat="1" x14ac:dyDescent="0.35">
      <c r="E7890" s="35"/>
      <c r="J7890" s="41"/>
    </row>
    <row r="7891" spans="5:10" s="34" customFormat="1" x14ac:dyDescent="0.35">
      <c r="E7891" s="35"/>
      <c r="J7891" s="41"/>
    </row>
    <row r="7892" spans="5:10" s="34" customFormat="1" x14ac:dyDescent="0.35">
      <c r="E7892" s="35"/>
      <c r="J7892" s="41"/>
    </row>
    <row r="7893" spans="5:10" s="34" customFormat="1" x14ac:dyDescent="0.35">
      <c r="E7893" s="35"/>
      <c r="J7893" s="41"/>
    </row>
    <row r="7894" spans="5:10" s="34" customFormat="1" x14ac:dyDescent="0.35">
      <c r="E7894" s="35"/>
      <c r="J7894" s="41"/>
    </row>
    <row r="7895" spans="5:10" s="34" customFormat="1" x14ac:dyDescent="0.35">
      <c r="E7895" s="35"/>
      <c r="J7895" s="41"/>
    </row>
    <row r="7896" spans="5:10" s="34" customFormat="1" x14ac:dyDescent="0.35">
      <c r="E7896" s="35"/>
      <c r="J7896" s="41"/>
    </row>
    <row r="7897" spans="5:10" s="34" customFormat="1" x14ac:dyDescent="0.35">
      <c r="E7897" s="35"/>
      <c r="J7897" s="41"/>
    </row>
    <row r="7898" spans="5:10" s="34" customFormat="1" x14ac:dyDescent="0.35">
      <c r="E7898" s="35"/>
      <c r="J7898" s="41"/>
    </row>
    <row r="7899" spans="5:10" s="34" customFormat="1" x14ac:dyDescent="0.35">
      <c r="E7899" s="35"/>
      <c r="J7899" s="41"/>
    </row>
    <row r="7900" spans="5:10" s="34" customFormat="1" x14ac:dyDescent="0.35">
      <c r="E7900" s="35"/>
      <c r="J7900" s="41"/>
    </row>
    <row r="7901" spans="5:10" s="34" customFormat="1" x14ac:dyDescent="0.35">
      <c r="E7901" s="35"/>
      <c r="J7901" s="41"/>
    </row>
    <row r="7902" spans="5:10" s="34" customFormat="1" x14ac:dyDescent="0.35">
      <c r="E7902" s="35"/>
      <c r="J7902" s="41"/>
    </row>
    <row r="7903" spans="5:10" s="34" customFormat="1" x14ac:dyDescent="0.35">
      <c r="E7903" s="35"/>
      <c r="J7903" s="41"/>
    </row>
    <row r="7904" spans="5:10" s="34" customFormat="1" x14ac:dyDescent="0.35">
      <c r="E7904" s="35"/>
      <c r="J7904" s="41"/>
    </row>
    <row r="7905" spans="5:10" s="34" customFormat="1" x14ac:dyDescent="0.35">
      <c r="E7905" s="35"/>
      <c r="J7905" s="41"/>
    </row>
    <row r="7906" spans="5:10" s="34" customFormat="1" x14ac:dyDescent="0.35">
      <c r="E7906" s="35"/>
      <c r="J7906" s="41"/>
    </row>
    <row r="7907" spans="5:10" s="34" customFormat="1" x14ac:dyDescent="0.35">
      <c r="E7907" s="35"/>
      <c r="J7907" s="41"/>
    </row>
    <row r="7908" spans="5:10" s="34" customFormat="1" x14ac:dyDescent="0.35">
      <c r="E7908" s="35"/>
      <c r="J7908" s="41"/>
    </row>
    <row r="7909" spans="5:10" s="34" customFormat="1" x14ac:dyDescent="0.35">
      <c r="E7909" s="35"/>
      <c r="J7909" s="41"/>
    </row>
    <row r="7910" spans="5:10" s="34" customFormat="1" x14ac:dyDescent="0.35">
      <c r="E7910" s="35"/>
      <c r="J7910" s="41"/>
    </row>
    <row r="7911" spans="5:10" s="34" customFormat="1" x14ac:dyDescent="0.35">
      <c r="E7911" s="35"/>
      <c r="J7911" s="41"/>
    </row>
    <row r="7912" spans="5:10" s="34" customFormat="1" x14ac:dyDescent="0.35">
      <c r="E7912" s="35"/>
      <c r="J7912" s="41"/>
    </row>
    <row r="7913" spans="5:10" s="34" customFormat="1" x14ac:dyDescent="0.35">
      <c r="E7913" s="35"/>
      <c r="J7913" s="41"/>
    </row>
    <row r="7914" spans="5:10" s="34" customFormat="1" x14ac:dyDescent="0.35">
      <c r="E7914" s="35"/>
      <c r="J7914" s="41"/>
    </row>
    <row r="7915" spans="5:10" s="34" customFormat="1" x14ac:dyDescent="0.35">
      <c r="E7915" s="35"/>
      <c r="J7915" s="41"/>
    </row>
    <row r="7916" spans="5:10" s="34" customFormat="1" x14ac:dyDescent="0.35">
      <c r="E7916" s="35"/>
      <c r="J7916" s="41"/>
    </row>
    <row r="7917" spans="5:10" s="34" customFormat="1" x14ac:dyDescent="0.35">
      <c r="E7917" s="35"/>
      <c r="J7917" s="41"/>
    </row>
    <row r="7918" spans="5:10" s="34" customFormat="1" x14ac:dyDescent="0.35">
      <c r="E7918" s="35"/>
      <c r="J7918" s="41"/>
    </row>
    <row r="7919" spans="5:10" s="34" customFormat="1" x14ac:dyDescent="0.35">
      <c r="E7919" s="35"/>
      <c r="J7919" s="41"/>
    </row>
    <row r="7920" spans="5:10" s="34" customFormat="1" x14ac:dyDescent="0.35">
      <c r="E7920" s="35"/>
      <c r="J7920" s="41"/>
    </row>
    <row r="7921" spans="5:10" s="34" customFormat="1" x14ac:dyDescent="0.35">
      <c r="E7921" s="35"/>
      <c r="J7921" s="41"/>
    </row>
    <row r="7922" spans="5:10" s="34" customFormat="1" x14ac:dyDescent="0.35">
      <c r="E7922" s="35"/>
      <c r="J7922" s="41"/>
    </row>
    <row r="7923" spans="5:10" s="34" customFormat="1" x14ac:dyDescent="0.35">
      <c r="E7923" s="35"/>
      <c r="J7923" s="41"/>
    </row>
    <row r="7924" spans="5:10" s="34" customFormat="1" x14ac:dyDescent="0.35">
      <c r="E7924" s="35"/>
      <c r="J7924" s="41"/>
    </row>
    <row r="7925" spans="5:10" s="34" customFormat="1" x14ac:dyDescent="0.35">
      <c r="E7925" s="35"/>
      <c r="J7925" s="41"/>
    </row>
    <row r="7926" spans="5:10" s="34" customFormat="1" x14ac:dyDescent="0.35">
      <c r="E7926" s="35"/>
      <c r="J7926" s="41"/>
    </row>
    <row r="7927" spans="5:10" s="34" customFormat="1" x14ac:dyDescent="0.35">
      <c r="E7927" s="35"/>
      <c r="J7927" s="41"/>
    </row>
    <row r="7928" spans="5:10" s="34" customFormat="1" x14ac:dyDescent="0.35">
      <c r="E7928" s="35"/>
      <c r="J7928" s="41"/>
    </row>
    <row r="7929" spans="5:10" s="34" customFormat="1" x14ac:dyDescent="0.35">
      <c r="E7929" s="35"/>
      <c r="J7929" s="41"/>
    </row>
    <row r="7930" spans="5:10" s="34" customFormat="1" x14ac:dyDescent="0.35">
      <c r="E7930" s="35"/>
      <c r="J7930" s="41"/>
    </row>
    <row r="7931" spans="5:10" s="34" customFormat="1" x14ac:dyDescent="0.35">
      <c r="E7931" s="35"/>
      <c r="J7931" s="41"/>
    </row>
    <row r="7932" spans="5:10" s="34" customFormat="1" x14ac:dyDescent="0.35">
      <c r="E7932" s="35"/>
      <c r="J7932" s="41"/>
    </row>
    <row r="7933" spans="5:10" s="34" customFormat="1" x14ac:dyDescent="0.35">
      <c r="E7933" s="35"/>
      <c r="J7933" s="41"/>
    </row>
    <row r="7934" spans="5:10" s="34" customFormat="1" x14ac:dyDescent="0.35">
      <c r="E7934" s="35"/>
      <c r="J7934" s="41"/>
    </row>
    <row r="7935" spans="5:10" s="34" customFormat="1" x14ac:dyDescent="0.35">
      <c r="E7935" s="35"/>
      <c r="J7935" s="41"/>
    </row>
    <row r="7936" spans="5:10" s="34" customFormat="1" x14ac:dyDescent="0.35">
      <c r="E7936" s="35"/>
      <c r="J7936" s="41"/>
    </row>
    <row r="7937" spans="5:10" s="34" customFormat="1" x14ac:dyDescent="0.35">
      <c r="E7937" s="35"/>
      <c r="J7937" s="41"/>
    </row>
    <row r="7938" spans="5:10" s="34" customFormat="1" x14ac:dyDescent="0.35">
      <c r="E7938" s="35"/>
      <c r="J7938" s="41"/>
    </row>
    <row r="7939" spans="5:10" s="34" customFormat="1" x14ac:dyDescent="0.35">
      <c r="E7939" s="35"/>
      <c r="J7939" s="41"/>
    </row>
    <row r="7940" spans="5:10" s="34" customFormat="1" x14ac:dyDescent="0.35">
      <c r="E7940" s="35"/>
      <c r="J7940" s="41"/>
    </row>
    <row r="7941" spans="5:10" s="34" customFormat="1" x14ac:dyDescent="0.35">
      <c r="E7941" s="35"/>
      <c r="J7941" s="41"/>
    </row>
    <row r="7942" spans="5:10" s="34" customFormat="1" x14ac:dyDescent="0.35">
      <c r="E7942" s="35"/>
      <c r="J7942" s="41"/>
    </row>
    <row r="7943" spans="5:10" s="34" customFormat="1" x14ac:dyDescent="0.35">
      <c r="E7943" s="35"/>
      <c r="J7943" s="41"/>
    </row>
    <row r="7944" spans="5:10" s="34" customFormat="1" x14ac:dyDescent="0.35">
      <c r="E7944" s="35"/>
      <c r="J7944" s="41"/>
    </row>
    <row r="7945" spans="5:10" s="34" customFormat="1" x14ac:dyDescent="0.35">
      <c r="E7945" s="35"/>
      <c r="J7945" s="41"/>
    </row>
    <row r="7946" spans="5:10" s="34" customFormat="1" x14ac:dyDescent="0.35">
      <c r="E7946" s="35"/>
      <c r="J7946" s="41"/>
    </row>
    <row r="7947" spans="5:10" s="34" customFormat="1" x14ac:dyDescent="0.35">
      <c r="E7947" s="35"/>
      <c r="J7947" s="41"/>
    </row>
    <row r="7948" spans="5:10" s="34" customFormat="1" x14ac:dyDescent="0.35">
      <c r="E7948" s="35"/>
      <c r="J7948" s="41"/>
    </row>
    <row r="7949" spans="5:10" s="34" customFormat="1" x14ac:dyDescent="0.35">
      <c r="E7949" s="35"/>
      <c r="J7949" s="41"/>
    </row>
    <row r="7950" spans="5:10" s="34" customFormat="1" x14ac:dyDescent="0.35">
      <c r="E7950" s="35"/>
      <c r="J7950" s="41"/>
    </row>
    <row r="7951" spans="5:10" s="34" customFormat="1" x14ac:dyDescent="0.35">
      <c r="E7951" s="35"/>
      <c r="J7951" s="41"/>
    </row>
    <row r="7952" spans="5:10" s="34" customFormat="1" x14ac:dyDescent="0.35">
      <c r="E7952" s="35"/>
      <c r="J7952" s="41"/>
    </row>
    <row r="7953" spans="5:10" s="34" customFormat="1" x14ac:dyDescent="0.35">
      <c r="E7953" s="35"/>
      <c r="J7953" s="41"/>
    </row>
    <row r="7954" spans="5:10" s="34" customFormat="1" x14ac:dyDescent="0.35">
      <c r="E7954" s="35"/>
      <c r="J7954" s="41"/>
    </row>
    <row r="7955" spans="5:10" s="34" customFormat="1" x14ac:dyDescent="0.35">
      <c r="E7955" s="35"/>
      <c r="J7955" s="41"/>
    </row>
    <row r="7956" spans="5:10" s="34" customFormat="1" x14ac:dyDescent="0.35">
      <c r="E7956" s="35"/>
      <c r="J7956" s="41"/>
    </row>
    <row r="7957" spans="5:10" s="34" customFormat="1" x14ac:dyDescent="0.35">
      <c r="E7957" s="35"/>
      <c r="J7957" s="41"/>
    </row>
    <row r="7958" spans="5:10" s="34" customFormat="1" x14ac:dyDescent="0.35">
      <c r="E7958" s="35"/>
      <c r="J7958" s="41"/>
    </row>
    <row r="7959" spans="5:10" s="34" customFormat="1" x14ac:dyDescent="0.35">
      <c r="E7959" s="35"/>
      <c r="J7959" s="41"/>
    </row>
    <row r="7960" spans="5:10" s="34" customFormat="1" x14ac:dyDescent="0.35">
      <c r="E7960" s="35"/>
      <c r="J7960" s="41"/>
    </row>
    <row r="7961" spans="5:10" s="34" customFormat="1" x14ac:dyDescent="0.35">
      <c r="E7961" s="35"/>
      <c r="J7961" s="41"/>
    </row>
    <row r="7962" spans="5:10" s="34" customFormat="1" x14ac:dyDescent="0.35">
      <c r="E7962" s="35"/>
      <c r="J7962" s="41"/>
    </row>
    <row r="7963" spans="5:10" s="34" customFormat="1" x14ac:dyDescent="0.35">
      <c r="E7963" s="35"/>
      <c r="J7963" s="41"/>
    </row>
    <row r="7964" spans="5:10" s="34" customFormat="1" x14ac:dyDescent="0.35">
      <c r="E7964" s="35"/>
      <c r="J7964" s="41"/>
    </row>
    <row r="7965" spans="5:10" s="34" customFormat="1" x14ac:dyDescent="0.35">
      <c r="E7965" s="35"/>
      <c r="J7965" s="41"/>
    </row>
    <row r="7966" spans="5:10" s="34" customFormat="1" x14ac:dyDescent="0.35">
      <c r="E7966" s="35"/>
      <c r="J7966" s="41"/>
    </row>
    <row r="7967" spans="5:10" s="34" customFormat="1" x14ac:dyDescent="0.35">
      <c r="E7967" s="35"/>
      <c r="J7967" s="41"/>
    </row>
    <row r="7968" spans="5:10" s="34" customFormat="1" x14ac:dyDescent="0.35">
      <c r="E7968" s="35"/>
      <c r="J7968" s="41"/>
    </row>
    <row r="7969" spans="5:10" s="34" customFormat="1" x14ac:dyDescent="0.35">
      <c r="E7969" s="35"/>
      <c r="J7969" s="41"/>
    </row>
    <row r="7970" spans="5:10" s="34" customFormat="1" x14ac:dyDescent="0.35">
      <c r="E7970" s="35"/>
      <c r="J7970" s="41"/>
    </row>
    <row r="7971" spans="5:10" s="34" customFormat="1" x14ac:dyDescent="0.35">
      <c r="E7971" s="35"/>
      <c r="J7971" s="41"/>
    </row>
    <row r="7972" spans="5:10" s="34" customFormat="1" x14ac:dyDescent="0.35">
      <c r="E7972" s="35"/>
      <c r="J7972" s="41"/>
    </row>
    <row r="7973" spans="5:10" s="34" customFormat="1" x14ac:dyDescent="0.35">
      <c r="E7973" s="35"/>
      <c r="J7973" s="41"/>
    </row>
    <row r="7974" spans="5:10" s="34" customFormat="1" x14ac:dyDescent="0.35">
      <c r="E7974" s="35"/>
      <c r="J7974" s="41"/>
    </row>
    <row r="7975" spans="5:10" s="34" customFormat="1" x14ac:dyDescent="0.35">
      <c r="E7975" s="35"/>
      <c r="J7975" s="41"/>
    </row>
    <row r="7976" spans="5:10" s="34" customFormat="1" x14ac:dyDescent="0.35">
      <c r="E7976" s="35"/>
      <c r="J7976" s="41"/>
    </row>
    <row r="7977" spans="5:10" s="34" customFormat="1" x14ac:dyDescent="0.35">
      <c r="E7977" s="35"/>
      <c r="J7977" s="41"/>
    </row>
    <row r="7978" spans="5:10" s="34" customFormat="1" x14ac:dyDescent="0.35">
      <c r="E7978" s="35"/>
      <c r="J7978" s="41"/>
    </row>
    <row r="7979" spans="5:10" s="34" customFormat="1" x14ac:dyDescent="0.35">
      <c r="E7979" s="35"/>
      <c r="J7979" s="41"/>
    </row>
    <row r="7980" spans="5:10" s="34" customFormat="1" x14ac:dyDescent="0.35">
      <c r="E7980" s="35"/>
      <c r="J7980" s="41"/>
    </row>
    <row r="7981" spans="5:10" s="34" customFormat="1" x14ac:dyDescent="0.35">
      <c r="E7981" s="35"/>
      <c r="J7981" s="41"/>
    </row>
    <row r="7982" spans="5:10" s="34" customFormat="1" x14ac:dyDescent="0.35">
      <c r="E7982" s="35"/>
      <c r="J7982" s="41"/>
    </row>
    <row r="7983" spans="5:10" s="34" customFormat="1" x14ac:dyDescent="0.35">
      <c r="E7983" s="35"/>
      <c r="J7983" s="41"/>
    </row>
    <row r="7984" spans="5:10" s="34" customFormat="1" x14ac:dyDescent="0.35">
      <c r="E7984" s="35"/>
      <c r="J7984" s="41"/>
    </row>
    <row r="7985" spans="5:10" s="34" customFormat="1" x14ac:dyDescent="0.35">
      <c r="E7985" s="35"/>
      <c r="J7985" s="41"/>
    </row>
    <row r="7986" spans="5:10" s="34" customFormat="1" x14ac:dyDescent="0.35">
      <c r="E7986" s="35"/>
      <c r="J7986" s="41"/>
    </row>
    <row r="7987" spans="5:10" s="34" customFormat="1" x14ac:dyDescent="0.35">
      <c r="E7987" s="35"/>
      <c r="J7987" s="41"/>
    </row>
    <row r="7988" spans="5:10" s="34" customFormat="1" x14ac:dyDescent="0.35">
      <c r="E7988" s="35"/>
      <c r="J7988" s="41"/>
    </row>
    <row r="7989" spans="5:10" s="34" customFormat="1" x14ac:dyDescent="0.35">
      <c r="E7989" s="35"/>
      <c r="J7989" s="41"/>
    </row>
    <row r="7990" spans="5:10" s="34" customFormat="1" x14ac:dyDescent="0.35">
      <c r="E7990" s="35"/>
      <c r="J7990" s="41"/>
    </row>
    <row r="7991" spans="5:10" s="34" customFormat="1" x14ac:dyDescent="0.35">
      <c r="E7991" s="35"/>
      <c r="J7991" s="41"/>
    </row>
    <row r="7992" spans="5:10" s="34" customFormat="1" x14ac:dyDescent="0.35">
      <c r="E7992" s="35"/>
      <c r="J7992" s="41"/>
    </row>
    <row r="7993" spans="5:10" s="34" customFormat="1" x14ac:dyDescent="0.35">
      <c r="E7993" s="35"/>
      <c r="J7993" s="41"/>
    </row>
    <row r="7994" spans="5:10" s="34" customFormat="1" x14ac:dyDescent="0.35">
      <c r="E7994" s="35"/>
      <c r="J7994" s="41"/>
    </row>
    <row r="7995" spans="5:10" s="34" customFormat="1" x14ac:dyDescent="0.35">
      <c r="E7995" s="35"/>
      <c r="J7995" s="41"/>
    </row>
    <row r="7996" spans="5:10" s="34" customFormat="1" x14ac:dyDescent="0.35">
      <c r="E7996" s="35"/>
      <c r="J7996" s="41"/>
    </row>
    <row r="7997" spans="5:10" s="34" customFormat="1" x14ac:dyDescent="0.35">
      <c r="E7997" s="35"/>
      <c r="J7997" s="41"/>
    </row>
    <row r="7998" spans="5:10" s="34" customFormat="1" x14ac:dyDescent="0.35">
      <c r="E7998" s="35"/>
      <c r="J7998" s="41"/>
    </row>
    <row r="7999" spans="5:10" s="34" customFormat="1" x14ac:dyDescent="0.35">
      <c r="E7999" s="35"/>
      <c r="J7999" s="41"/>
    </row>
    <row r="8000" spans="5:10" s="34" customFormat="1" x14ac:dyDescent="0.35">
      <c r="E8000" s="35"/>
      <c r="J8000" s="41"/>
    </row>
    <row r="8001" spans="5:10" s="34" customFormat="1" x14ac:dyDescent="0.35">
      <c r="E8001" s="35"/>
      <c r="J8001" s="41"/>
    </row>
    <row r="8002" spans="5:10" s="34" customFormat="1" x14ac:dyDescent="0.35">
      <c r="E8002" s="35"/>
      <c r="J8002" s="41"/>
    </row>
    <row r="8003" spans="5:10" s="34" customFormat="1" x14ac:dyDescent="0.35">
      <c r="E8003" s="35"/>
      <c r="J8003" s="41"/>
    </row>
    <row r="8004" spans="5:10" s="34" customFormat="1" x14ac:dyDescent="0.35">
      <c r="E8004" s="35"/>
      <c r="J8004" s="41"/>
    </row>
    <row r="8005" spans="5:10" s="34" customFormat="1" x14ac:dyDescent="0.35">
      <c r="E8005" s="35"/>
      <c r="J8005" s="41"/>
    </row>
    <row r="8006" spans="5:10" s="34" customFormat="1" x14ac:dyDescent="0.35">
      <c r="E8006" s="35"/>
      <c r="J8006" s="41"/>
    </row>
    <row r="8007" spans="5:10" s="34" customFormat="1" x14ac:dyDescent="0.35">
      <c r="E8007" s="35"/>
      <c r="J8007" s="41"/>
    </row>
    <row r="8008" spans="5:10" s="34" customFormat="1" x14ac:dyDescent="0.35">
      <c r="E8008" s="35"/>
      <c r="J8008" s="41"/>
    </row>
    <row r="8009" spans="5:10" s="34" customFormat="1" x14ac:dyDescent="0.35">
      <c r="E8009" s="35"/>
      <c r="J8009" s="41"/>
    </row>
    <row r="8010" spans="5:10" s="34" customFormat="1" x14ac:dyDescent="0.35">
      <c r="E8010" s="35"/>
      <c r="J8010" s="41"/>
    </row>
    <row r="8011" spans="5:10" s="34" customFormat="1" x14ac:dyDescent="0.35">
      <c r="E8011" s="35"/>
      <c r="J8011" s="41"/>
    </row>
    <row r="8012" spans="5:10" s="34" customFormat="1" x14ac:dyDescent="0.35">
      <c r="E8012" s="35"/>
      <c r="J8012" s="41"/>
    </row>
    <row r="8013" spans="5:10" s="34" customFormat="1" x14ac:dyDescent="0.35">
      <c r="E8013" s="35"/>
      <c r="J8013" s="41"/>
    </row>
    <row r="8014" spans="5:10" s="34" customFormat="1" x14ac:dyDescent="0.35">
      <c r="E8014" s="35"/>
      <c r="J8014" s="41"/>
    </row>
    <row r="8015" spans="5:10" s="34" customFormat="1" x14ac:dyDescent="0.35">
      <c r="E8015" s="35"/>
      <c r="J8015" s="41"/>
    </row>
    <row r="8016" spans="5:10" s="34" customFormat="1" x14ac:dyDescent="0.35">
      <c r="E8016" s="35"/>
      <c r="J8016" s="41"/>
    </row>
    <row r="8017" spans="5:10" s="34" customFormat="1" x14ac:dyDescent="0.35">
      <c r="E8017" s="35"/>
      <c r="J8017" s="41"/>
    </row>
    <row r="8018" spans="5:10" s="34" customFormat="1" x14ac:dyDescent="0.35">
      <c r="E8018" s="35"/>
      <c r="J8018" s="41"/>
    </row>
    <row r="8019" spans="5:10" s="34" customFormat="1" x14ac:dyDescent="0.35">
      <c r="E8019" s="35"/>
      <c r="J8019" s="41"/>
    </row>
    <row r="8020" spans="5:10" s="34" customFormat="1" x14ac:dyDescent="0.35">
      <c r="E8020" s="35"/>
      <c r="J8020" s="41"/>
    </row>
    <row r="8021" spans="5:10" s="34" customFormat="1" x14ac:dyDescent="0.35">
      <c r="E8021" s="35"/>
      <c r="J8021" s="41"/>
    </row>
    <row r="8022" spans="5:10" s="34" customFormat="1" x14ac:dyDescent="0.35">
      <c r="E8022" s="35"/>
      <c r="J8022" s="41"/>
    </row>
    <row r="8023" spans="5:10" s="34" customFormat="1" x14ac:dyDescent="0.35">
      <c r="E8023" s="35"/>
      <c r="J8023" s="41"/>
    </row>
    <row r="8024" spans="5:10" s="34" customFormat="1" x14ac:dyDescent="0.35">
      <c r="E8024" s="35"/>
      <c r="J8024" s="41"/>
    </row>
    <row r="8025" spans="5:10" s="34" customFormat="1" x14ac:dyDescent="0.35">
      <c r="E8025" s="35"/>
      <c r="J8025" s="41"/>
    </row>
    <row r="8026" spans="5:10" s="34" customFormat="1" x14ac:dyDescent="0.35">
      <c r="E8026" s="35"/>
      <c r="J8026" s="41"/>
    </row>
    <row r="8027" spans="5:10" s="34" customFormat="1" x14ac:dyDescent="0.35">
      <c r="E8027" s="35"/>
      <c r="J8027" s="41"/>
    </row>
    <row r="8028" spans="5:10" s="34" customFormat="1" x14ac:dyDescent="0.35">
      <c r="E8028" s="35"/>
      <c r="J8028" s="41"/>
    </row>
    <row r="8029" spans="5:10" s="34" customFormat="1" x14ac:dyDescent="0.35">
      <c r="E8029" s="35"/>
      <c r="J8029" s="41"/>
    </row>
    <row r="8030" spans="5:10" s="34" customFormat="1" x14ac:dyDescent="0.35">
      <c r="E8030" s="35"/>
      <c r="J8030" s="41"/>
    </row>
    <row r="8031" spans="5:10" s="34" customFormat="1" x14ac:dyDescent="0.35">
      <c r="E8031" s="35"/>
      <c r="J8031" s="41"/>
    </row>
    <row r="8032" spans="5:10" s="34" customFormat="1" x14ac:dyDescent="0.35">
      <c r="E8032" s="35"/>
      <c r="J8032" s="41"/>
    </row>
    <row r="8033" spans="5:10" s="34" customFormat="1" x14ac:dyDescent="0.35">
      <c r="E8033" s="35"/>
      <c r="J8033" s="41"/>
    </row>
    <row r="8034" spans="5:10" s="34" customFormat="1" x14ac:dyDescent="0.35">
      <c r="E8034" s="35"/>
      <c r="J8034" s="41"/>
    </row>
    <row r="8035" spans="5:10" s="34" customFormat="1" x14ac:dyDescent="0.35">
      <c r="E8035" s="35"/>
      <c r="J8035" s="41"/>
    </row>
    <row r="8036" spans="5:10" s="34" customFormat="1" x14ac:dyDescent="0.35">
      <c r="E8036" s="35"/>
      <c r="J8036" s="41"/>
    </row>
    <row r="8037" spans="5:10" s="34" customFormat="1" x14ac:dyDescent="0.35">
      <c r="E8037" s="35"/>
      <c r="J8037" s="41"/>
    </row>
    <row r="8038" spans="5:10" s="34" customFormat="1" x14ac:dyDescent="0.35">
      <c r="E8038" s="35"/>
      <c r="J8038" s="41"/>
    </row>
    <row r="8039" spans="5:10" s="34" customFormat="1" x14ac:dyDescent="0.35">
      <c r="E8039" s="35"/>
      <c r="J8039" s="41"/>
    </row>
    <row r="8040" spans="5:10" s="34" customFormat="1" x14ac:dyDescent="0.35">
      <c r="E8040" s="35"/>
      <c r="J8040" s="41"/>
    </row>
    <row r="8041" spans="5:10" s="34" customFormat="1" x14ac:dyDescent="0.35">
      <c r="E8041" s="35"/>
      <c r="J8041" s="41"/>
    </row>
    <row r="8042" spans="5:10" s="34" customFormat="1" x14ac:dyDescent="0.35">
      <c r="E8042" s="35"/>
      <c r="J8042" s="41"/>
    </row>
    <row r="8043" spans="5:10" s="34" customFormat="1" x14ac:dyDescent="0.35">
      <c r="E8043" s="35"/>
      <c r="J8043" s="41"/>
    </row>
    <row r="8044" spans="5:10" s="34" customFormat="1" x14ac:dyDescent="0.35">
      <c r="E8044" s="35"/>
      <c r="J8044" s="41"/>
    </row>
    <row r="8045" spans="5:10" s="34" customFormat="1" x14ac:dyDescent="0.35">
      <c r="E8045" s="35"/>
      <c r="J8045" s="41"/>
    </row>
    <row r="8046" spans="5:10" s="34" customFormat="1" x14ac:dyDescent="0.35">
      <c r="E8046" s="35"/>
      <c r="J8046" s="41"/>
    </row>
    <row r="8047" spans="5:10" s="34" customFormat="1" x14ac:dyDescent="0.35">
      <c r="E8047" s="35"/>
      <c r="J8047" s="41"/>
    </row>
    <row r="8048" spans="5:10" s="34" customFormat="1" x14ac:dyDescent="0.35">
      <c r="E8048" s="35"/>
      <c r="J8048" s="41"/>
    </row>
    <row r="8049" spans="5:10" s="34" customFormat="1" x14ac:dyDescent="0.35">
      <c r="E8049" s="35"/>
      <c r="J8049" s="41"/>
    </row>
    <row r="8050" spans="5:10" s="34" customFormat="1" x14ac:dyDescent="0.35">
      <c r="E8050" s="35"/>
      <c r="J8050" s="41"/>
    </row>
    <row r="8051" spans="5:10" s="34" customFormat="1" x14ac:dyDescent="0.35">
      <c r="E8051" s="35"/>
      <c r="J8051" s="41"/>
    </row>
    <row r="8052" spans="5:10" s="34" customFormat="1" x14ac:dyDescent="0.35">
      <c r="E8052" s="35"/>
      <c r="J8052" s="41"/>
    </row>
    <row r="8053" spans="5:10" s="34" customFormat="1" x14ac:dyDescent="0.35">
      <c r="E8053" s="35"/>
      <c r="J8053" s="41"/>
    </row>
    <row r="8054" spans="5:10" s="34" customFormat="1" x14ac:dyDescent="0.35">
      <c r="E8054" s="35"/>
      <c r="J8054" s="41"/>
    </row>
    <row r="8055" spans="5:10" s="34" customFormat="1" x14ac:dyDescent="0.35">
      <c r="E8055" s="35"/>
      <c r="J8055" s="41"/>
    </row>
    <row r="8056" spans="5:10" s="34" customFormat="1" x14ac:dyDescent="0.35">
      <c r="E8056" s="35"/>
      <c r="J8056" s="41"/>
    </row>
    <row r="8057" spans="5:10" s="34" customFormat="1" x14ac:dyDescent="0.35">
      <c r="E8057" s="35"/>
      <c r="J8057" s="41"/>
    </row>
    <row r="8058" spans="5:10" s="34" customFormat="1" x14ac:dyDescent="0.35">
      <c r="E8058" s="35"/>
      <c r="J8058" s="41"/>
    </row>
    <row r="8059" spans="5:10" s="34" customFormat="1" x14ac:dyDescent="0.35">
      <c r="E8059" s="35"/>
      <c r="J8059" s="41"/>
    </row>
    <row r="8060" spans="5:10" s="34" customFormat="1" x14ac:dyDescent="0.35">
      <c r="E8060" s="35"/>
      <c r="J8060" s="41"/>
    </row>
    <row r="8061" spans="5:10" s="34" customFormat="1" x14ac:dyDescent="0.35">
      <c r="E8061" s="35"/>
      <c r="J8061" s="41"/>
    </row>
    <row r="8062" spans="5:10" s="34" customFormat="1" x14ac:dyDescent="0.35">
      <c r="E8062" s="35"/>
      <c r="J8062" s="41"/>
    </row>
    <row r="8063" spans="5:10" s="34" customFormat="1" x14ac:dyDescent="0.35">
      <c r="E8063" s="35"/>
      <c r="J8063" s="41"/>
    </row>
    <row r="8064" spans="5:10" s="34" customFormat="1" x14ac:dyDescent="0.35">
      <c r="E8064" s="35"/>
      <c r="J8064" s="41"/>
    </row>
    <row r="8065" spans="5:10" s="34" customFormat="1" x14ac:dyDescent="0.35">
      <c r="E8065" s="35"/>
      <c r="J8065" s="41"/>
    </row>
    <row r="8066" spans="5:10" s="34" customFormat="1" x14ac:dyDescent="0.35">
      <c r="E8066" s="35"/>
      <c r="J8066" s="41"/>
    </row>
    <row r="8067" spans="5:10" s="34" customFormat="1" x14ac:dyDescent="0.35">
      <c r="E8067" s="35"/>
      <c r="J8067" s="41"/>
    </row>
    <row r="8068" spans="5:10" s="34" customFormat="1" x14ac:dyDescent="0.35">
      <c r="E8068" s="35"/>
      <c r="J8068" s="41"/>
    </row>
    <row r="8069" spans="5:10" s="34" customFormat="1" x14ac:dyDescent="0.35">
      <c r="E8069" s="35"/>
      <c r="J8069" s="41"/>
    </row>
    <row r="8070" spans="5:10" s="34" customFormat="1" x14ac:dyDescent="0.35">
      <c r="E8070" s="35"/>
      <c r="J8070" s="41"/>
    </row>
    <row r="8071" spans="5:10" s="34" customFormat="1" x14ac:dyDescent="0.35">
      <c r="E8071" s="35"/>
      <c r="J8071" s="41"/>
    </row>
    <row r="8072" spans="5:10" s="34" customFormat="1" x14ac:dyDescent="0.35">
      <c r="E8072" s="35"/>
      <c r="J8072" s="41"/>
    </row>
    <row r="8073" spans="5:10" s="34" customFormat="1" x14ac:dyDescent="0.35">
      <c r="E8073" s="35"/>
      <c r="J8073" s="41"/>
    </row>
    <row r="8074" spans="5:10" s="34" customFormat="1" x14ac:dyDescent="0.35">
      <c r="E8074" s="35"/>
      <c r="J8074" s="41"/>
    </row>
    <row r="8075" spans="5:10" s="34" customFormat="1" x14ac:dyDescent="0.35">
      <c r="E8075" s="35"/>
      <c r="J8075" s="41"/>
    </row>
    <row r="8076" spans="5:10" s="34" customFormat="1" x14ac:dyDescent="0.35">
      <c r="E8076" s="35"/>
      <c r="J8076" s="41"/>
    </row>
    <row r="8077" spans="5:10" s="34" customFormat="1" x14ac:dyDescent="0.35">
      <c r="E8077" s="35"/>
      <c r="J8077" s="41"/>
    </row>
    <row r="8078" spans="5:10" s="34" customFormat="1" x14ac:dyDescent="0.35">
      <c r="E8078" s="35"/>
      <c r="J8078" s="41"/>
    </row>
    <row r="8079" spans="5:10" s="34" customFormat="1" x14ac:dyDescent="0.35">
      <c r="E8079" s="35"/>
      <c r="J8079" s="41"/>
    </row>
    <row r="8080" spans="5:10" s="34" customFormat="1" x14ac:dyDescent="0.35">
      <c r="E8080" s="35"/>
      <c r="J8080" s="41"/>
    </row>
    <row r="8081" spans="5:10" s="34" customFormat="1" x14ac:dyDescent="0.35">
      <c r="E8081" s="35"/>
      <c r="J8081" s="41"/>
    </row>
    <row r="8082" spans="5:10" s="34" customFormat="1" x14ac:dyDescent="0.35">
      <c r="E8082" s="35"/>
      <c r="J8082" s="41"/>
    </row>
    <row r="8083" spans="5:10" s="34" customFormat="1" x14ac:dyDescent="0.35">
      <c r="E8083" s="35"/>
      <c r="J8083" s="41"/>
    </row>
    <row r="8084" spans="5:10" s="34" customFormat="1" x14ac:dyDescent="0.35">
      <c r="E8084" s="35"/>
      <c r="J8084" s="41"/>
    </row>
    <row r="8085" spans="5:10" s="34" customFormat="1" x14ac:dyDescent="0.35">
      <c r="E8085" s="35"/>
      <c r="J8085" s="41"/>
    </row>
    <row r="8086" spans="5:10" s="34" customFormat="1" x14ac:dyDescent="0.35">
      <c r="E8086" s="35"/>
      <c r="J8086" s="41"/>
    </row>
    <row r="8087" spans="5:10" s="34" customFormat="1" x14ac:dyDescent="0.35">
      <c r="E8087" s="35"/>
      <c r="J8087" s="41"/>
    </row>
    <row r="8088" spans="5:10" s="34" customFormat="1" x14ac:dyDescent="0.35">
      <c r="E8088" s="35"/>
      <c r="J8088" s="41"/>
    </row>
    <row r="8089" spans="5:10" s="34" customFormat="1" x14ac:dyDescent="0.35">
      <c r="E8089" s="35"/>
      <c r="J8089" s="41"/>
    </row>
    <row r="8090" spans="5:10" s="34" customFormat="1" x14ac:dyDescent="0.35">
      <c r="E8090" s="35"/>
      <c r="J8090" s="41"/>
    </row>
    <row r="8091" spans="5:10" s="34" customFormat="1" x14ac:dyDescent="0.35">
      <c r="E8091" s="35"/>
      <c r="J8091" s="41"/>
    </row>
    <row r="8092" spans="5:10" s="34" customFormat="1" x14ac:dyDescent="0.35">
      <c r="E8092" s="35"/>
      <c r="J8092" s="41"/>
    </row>
    <row r="8093" spans="5:10" s="34" customFormat="1" x14ac:dyDescent="0.35">
      <c r="E8093" s="35"/>
      <c r="J8093" s="41"/>
    </row>
    <row r="8094" spans="5:10" s="34" customFormat="1" x14ac:dyDescent="0.35">
      <c r="E8094" s="35"/>
      <c r="J8094" s="41"/>
    </row>
    <row r="8095" spans="5:10" s="34" customFormat="1" x14ac:dyDescent="0.35">
      <c r="E8095" s="35"/>
      <c r="J8095" s="41"/>
    </row>
    <row r="8096" spans="5:10" s="34" customFormat="1" x14ac:dyDescent="0.35">
      <c r="E8096" s="35"/>
      <c r="J8096" s="41"/>
    </row>
    <row r="8097" spans="5:10" s="34" customFormat="1" x14ac:dyDescent="0.35">
      <c r="E8097" s="35"/>
      <c r="J8097" s="41"/>
    </row>
    <row r="8098" spans="5:10" s="34" customFormat="1" x14ac:dyDescent="0.35">
      <c r="E8098" s="35"/>
      <c r="J8098" s="41"/>
    </row>
    <row r="8099" spans="5:10" s="34" customFormat="1" x14ac:dyDescent="0.35">
      <c r="E8099" s="35"/>
      <c r="J8099" s="41"/>
    </row>
    <row r="8100" spans="5:10" s="34" customFormat="1" x14ac:dyDescent="0.35">
      <c r="E8100" s="35"/>
      <c r="J8100" s="41"/>
    </row>
    <row r="8101" spans="5:10" s="34" customFormat="1" x14ac:dyDescent="0.35">
      <c r="E8101" s="35"/>
      <c r="J8101" s="41"/>
    </row>
    <row r="8102" spans="5:10" s="34" customFormat="1" x14ac:dyDescent="0.35">
      <c r="E8102" s="35"/>
      <c r="J8102" s="41"/>
    </row>
    <row r="8103" spans="5:10" s="34" customFormat="1" x14ac:dyDescent="0.35">
      <c r="E8103" s="35"/>
      <c r="J8103" s="41"/>
    </row>
    <row r="8104" spans="5:10" s="34" customFormat="1" x14ac:dyDescent="0.35">
      <c r="E8104" s="35"/>
      <c r="J8104" s="41"/>
    </row>
    <row r="8105" spans="5:10" s="34" customFormat="1" x14ac:dyDescent="0.35">
      <c r="E8105" s="35"/>
      <c r="J8105" s="41"/>
    </row>
    <row r="8106" spans="5:10" s="34" customFormat="1" x14ac:dyDescent="0.35">
      <c r="E8106" s="35"/>
      <c r="J8106" s="41"/>
    </row>
    <row r="8107" spans="5:10" s="34" customFormat="1" x14ac:dyDescent="0.35">
      <c r="E8107" s="35"/>
      <c r="J8107" s="41"/>
    </row>
    <row r="8108" spans="5:10" s="34" customFormat="1" x14ac:dyDescent="0.35">
      <c r="E8108" s="35"/>
      <c r="J8108" s="41"/>
    </row>
    <row r="8109" spans="5:10" s="34" customFormat="1" x14ac:dyDescent="0.35">
      <c r="E8109" s="35"/>
      <c r="J8109" s="41"/>
    </row>
    <row r="8110" spans="5:10" s="34" customFormat="1" x14ac:dyDescent="0.35">
      <c r="E8110" s="35"/>
      <c r="J8110" s="41"/>
    </row>
    <row r="8111" spans="5:10" s="34" customFormat="1" x14ac:dyDescent="0.35">
      <c r="E8111" s="35"/>
      <c r="J8111" s="41"/>
    </row>
    <row r="8112" spans="5:10" s="34" customFormat="1" x14ac:dyDescent="0.35">
      <c r="E8112" s="35"/>
      <c r="J8112" s="41"/>
    </row>
    <row r="8113" spans="5:10" s="34" customFormat="1" x14ac:dyDescent="0.35">
      <c r="E8113" s="35"/>
      <c r="J8113" s="41"/>
    </row>
    <row r="8114" spans="5:10" s="34" customFormat="1" x14ac:dyDescent="0.35">
      <c r="E8114" s="35"/>
      <c r="J8114" s="41"/>
    </row>
    <row r="8115" spans="5:10" s="34" customFormat="1" x14ac:dyDescent="0.35">
      <c r="E8115" s="35"/>
      <c r="J8115" s="41"/>
    </row>
    <row r="8116" spans="5:10" s="34" customFormat="1" x14ac:dyDescent="0.35">
      <c r="E8116" s="35"/>
      <c r="J8116" s="41"/>
    </row>
    <row r="8117" spans="5:10" s="34" customFormat="1" x14ac:dyDescent="0.35">
      <c r="E8117" s="35"/>
      <c r="J8117" s="41"/>
    </row>
    <row r="8118" spans="5:10" s="34" customFormat="1" x14ac:dyDescent="0.35">
      <c r="E8118" s="35"/>
      <c r="J8118" s="41"/>
    </row>
    <row r="8119" spans="5:10" s="34" customFormat="1" x14ac:dyDescent="0.35">
      <c r="E8119" s="35"/>
      <c r="J8119" s="41"/>
    </row>
    <row r="8120" spans="5:10" s="34" customFormat="1" x14ac:dyDescent="0.35">
      <c r="E8120" s="35"/>
      <c r="J8120" s="41"/>
    </row>
    <row r="8121" spans="5:10" s="34" customFormat="1" x14ac:dyDescent="0.35">
      <c r="E8121" s="35"/>
      <c r="J8121" s="41"/>
    </row>
    <row r="8122" spans="5:10" s="34" customFormat="1" x14ac:dyDescent="0.35">
      <c r="E8122" s="35"/>
      <c r="J8122" s="41"/>
    </row>
    <row r="8123" spans="5:10" s="34" customFormat="1" x14ac:dyDescent="0.35">
      <c r="E8123" s="35"/>
      <c r="J8123" s="41"/>
    </row>
    <row r="8124" spans="5:10" s="34" customFormat="1" x14ac:dyDescent="0.35">
      <c r="E8124" s="35"/>
      <c r="J8124" s="41"/>
    </row>
    <row r="8125" spans="5:10" s="34" customFormat="1" x14ac:dyDescent="0.35">
      <c r="E8125" s="35"/>
      <c r="J8125" s="41"/>
    </row>
    <row r="8126" spans="5:10" s="34" customFormat="1" x14ac:dyDescent="0.35">
      <c r="E8126" s="35"/>
      <c r="J8126" s="41"/>
    </row>
    <row r="8127" spans="5:10" s="34" customFormat="1" x14ac:dyDescent="0.35">
      <c r="E8127" s="35"/>
      <c r="J8127" s="41"/>
    </row>
    <row r="8128" spans="5:10" s="34" customFormat="1" x14ac:dyDescent="0.35">
      <c r="E8128" s="35"/>
      <c r="J8128" s="41"/>
    </row>
    <row r="8129" spans="5:10" s="34" customFormat="1" x14ac:dyDescent="0.35">
      <c r="E8129" s="35"/>
      <c r="J8129" s="41"/>
    </row>
    <row r="8130" spans="5:10" s="34" customFormat="1" x14ac:dyDescent="0.35">
      <c r="E8130" s="35"/>
      <c r="J8130" s="41"/>
    </row>
    <row r="8131" spans="5:10" s="34" customFormat="1" x14ac:dyDescent="0.35">
      <c r="E8131" s="35"/>
      <c r="J8131" s="41"/>
    </row>
    <row r="8132" spans="5:10" s="34" customFormat="1" x14ac:dyDescent="0.35">
      <c r="E8132" s="35"/>
      <c r="J8132" s="41"/>
    </row>
    <row r="8133" spans="5:10" s="34" customFormat="1" x14ac:dyDescent="0.35">
      <c r="E8133" s="35"/>
      <c r="J8133" s="41"/>
    </row>
    <row r="8134" spans="5:10" s="34" customFormat="1" x14ac:dyDescent="0.35">
      <c r="E8134" s="35"/>
      <c r="J8134" s="41"/>
    </row>
    <row r="8135" spans="5:10" s="34" customFormat="1" x14ac:dyDescent="0.35">
      <c r="E8135" s="35"/>
      <c r="J8135" s="41"/>
    </row>
    <row r="8136" spans="5:10" s="34" customFormat="1" x14ac:dyDescent="0.35">
      <c r="E8136" s="35"/>
      <c r="J8136" s="41"/>
    </row>
    <row r="8137" spans="5:10" s="34" customFormat="1" x14ac:dyDescent="0.35">
      <c r="E8137" s="35"/>
      <c r="J8137" s="41"/>
    </row>
    <row r="8138" spans="5:10" s="34" customFormat="1" x14ac:dyDescent="0.35">
      <c r="E8138" s="35"/>
      <c r="J8138" s="41"/>
    </row>
    <row r="8139" spans="5:10" s="34" customFormat="1" x14ac:dyDescent="0.35">
      <c r="E8139" s="35"/>
      <c r="J8139" s="41"/>
    </row>
    <row r="8140" spans="5:10" s="34" customFormat="1" x14ac:dyDescent="0.35">
      <c r="E8140" s="35"/>
      <c r="J8140" s="41"/>
    </row>
    <row r="8141" spans="5:10" s="34" customFormat="1" x14ac:dyDescent="0.35">
      <c r="E8141" s="35"/>
      <c r="J8141" s="41"/>
    </row>
    <row r="8142" spans="5:10" s="34" customFormat="1" x14ac:dyDescent="0.35">
      <c r="E8142" s="35"/>
      <c r="J8142" s="41"/>
    </row>
    <row r="8143" spans="5:10" s="34" customFormat="1" x14ac:dyDescent="0.35">
      <c r="E8143" s="35"/>
      <c r="J8143" s="41"/>
    </row>
    <row r="8144" spans="5:10" s="34" customFormat="1" x14ac:dyDescent="0.35">
      <c r="E8144" s="35"/>
      <c r="J8144" s="41"/>
    </row>
    <row r="8145" spans="5:10" s="34" customFormat="1" x14ac:dyDescent="0.35">
      <c r="E8145" s="35"/>
      <c r="J8145" s="41"/>
    </row>
    <row r="8146" spans="5:10" s="34" customFormat="1" x14ac:dyDescent="0.35">
      <c r="E8146" s="35"/>
      <c r="J8146" s="41"/>
    </row>
    <row r="8147" spans="5:10" s="34" customFormat="1" x14ac:dyDescent="0.35">
      <c r="E8147" s="35"/>
      <c r="J8147" s="41"/>
    </row>
    <row r="8148" spans="5:10" s="34" customFormat="1" x14ac:dyDescent="0.35">
      <c r="E8148" s="35"/>
      <c r="J8148" s="41"/>
    </row>
    <row r="8149" spans="5:10" s="34" customFormat="1" x14ac:dyDescent="0.35">
      <c r="E8149" s="35"/>
      <c r="J8149" s="41"/>
    </row>
    <row r="8150" spans="5:10" s="34" customFormat="1" x14ac:dyDescent="0.35">
      <c r="E8150" s="35"/>
      <c r="J8150" s="41"/>
    </row>
    <row r="8151" spans="5:10" s="34" customFormat="1" x14ac:dyDescent="0.35">
      <c r="E8151" s="35"/>
      <c r="J8151" s="41"/>
    </row>
    <row r="8152" spans="5:10" s="34" customFormat="1" x14ac:dyDescent="0.35">
      <c r="E8152" s="35"/>
      <c r="J8152" s="41"/>
    </row>
    <row r="8153" spans="5:10" s="34" customFormat="1" x14ac:dyDescent="0.35">
      <c r="E8153" s="35"/>
      <c r="J8153" s="41"/>
    </row>
    <row r="8154" spans="5:10" s="34" customFormat="1" x14ac:dyDescent="0.35">
      <c r="E8154" s="35"/>
      <c r="J8154" s="41"/>
    </row>
    <row r="8155" spans="5:10" s="34" customFormat="1" x14ac:dyDescent="0.35">
      <c r="E8155" s="35"/>
      <c r="J8155" s="41"/>
    </row>
    <row r="8156" spans="5:10" s="34" customFormat="1" x14ac:dyDescent="0.35">
      <c r="E8156" s="35"/>
      <c r="J8156" s="41"/>
    </row>
    <row r="8157" spans="5:10" s="34" customFormat="1" x14ac:dyDescent="0.35">
      <c r="E8157" s="35"/>
      <c r="J8157" s="41"/>
    </row>
    <row r="8158" spans="5:10" s="34" customFormat="1" x14ac:dyDescent="0.35">
      <c r="E8158" s="35"/>
      <c r="J8158" s="41"/>
    </row>
    <row r="8159" spans="5:10" s="34" customFormat="1" x14ac:dyDescent="0.35">
      <c r="E8159" s="35"/>
      <c r="J8159" s="41"/>
    </row>
    <row r="8160" spans="5:10" s="34" customFormat="1" x14ac:dyDescent="0.35">
      <c r="E8160" s="35"/>
      <c r="J8160" s="41"/>
    </row>
    <row r="8161" spans="5:10" s="34" customFormat="1" x14ac:dyDescent="0.35">
      <c r="E8161" s="35"/>
      <c r="J8161" s="41"/>
    </row>
    <row r="8162" spans="5:10" s="34" customFormat="1" x14ac:dyDescent="0.35">
      <c r="E8162" s="35"/>
      <c r="J8162" s="41"/>
    </row>
    <row r="8163" spans="5:10" s="34" customFormat="1" x14ac:dyDescent="0.35">
      <c r="E8163" s="35"/>
      <c r="J8163" s="41"/>
    </row>
    <row r="8164" spans="5:10" s="34" customFormat="1" x14ac:dyDescent="0.35">
      <c r="E8164" s="35"/>
      <c r="J8164" s="41"/>
    </row>
    <row r="8165" spans="5:10" s="34" customFormat="1" x14ac:dyDescent="0.35">
      <c r="E8165" s="35"/>
      <c r="J8165" s="41"/>
    </row>
    <row r="8166" spans="5:10" s="34" customFormat="1" x14ac:dyDescent="0.35">
      <c r="E8166" s="35"/>
      <c r="J8166" s="41"/>
    </row>
    <row r="8167" spans="5:10" s="34" customFormat="1" x14ac:dyDescent="0.35">
      <c r="E8167" s="35"/>
      <c r="J8167" s="41"/>
    </row>
    <row r="8168" spans="5:10" s="34" customFormat="1" x14ac:dyDescent="0.35">
      <c r="E8168" s="35"/>
      <c r="J8168" s="41"/>
    </row>
    <row r="8169" spans="5:10" s="34" customFormat="1" x14ac:dyDescent="0.35">
      <c r="E8169" s="35"/>
      <c r="J8169" s="41"/>
    </row>
    <row r="8170" spans="5:10" s="34" customFormat="1" x14ac:dyDescent="0.35">
      <c r="E8170" s="35"/>
      <c r="J8170" s="41"/>
    </row>
    <row r="8171" spans="5:10" s="34" customFormat="1" x14ac:dyDescent="0.35">
      <c r="E8171" s="35"/>
      <c r="J8171" s="41"/>
    </row>
    <row r="8172" spans="5:10" s="34" customFormat="1" x14ac:dyDescent="0.35">
      <c r="E8172" s="35"/>
      <c r="J8172" s="41"/>
    </row>
    <row r="8173" spans="5:10" s="34" customFormat="1" x14ac:dyDescent="0.35">
      <c r="E8173" s="35"/>
      <c r="J8173" s="41"/>
    </row>
    <row r="8174" spans="5:10" s="34" customFormat="1" x14ac:dyDescent="0.35">
      <c r="E8174" s="35"/>
      <c r="J8174" s="41"/>
    </row>
    <row r="8175" spans="5:10" s="34" customFormat="1" x14ac:dyDescent="0.35">
      <c r="E8175" s="35"/>
      <c r="J8175" s="41"/>
    </row>
    <row r="8176" spans="5:10" s="34" customFormat="1" x14ac:dyDescent="0.35">
      <c r="E8176" s="35"/>
      <c r="J8176" s="41"/>
    </row>
    <row r="8177" spans="5:10" s="34" customFormat="1" x14ac:dyDescent="0.35">
      <c r="E8177" s="35"/>
      <c r="J8177" s="41"/>
    </row>
    <row r="8178" spans="5:10" s="34" customFormat="1" x14ac:dyDescent="0.35">
      <c r="E8178" s="35"/>
      <c r="J8178" s="41"/>
    </row>
    <row r="8179" spans="5:10" s="34" customFormat="1" x14ac:dyDescent="0.35">
      <c r="E8179" s="35"/>
      <c r="J8179" s="41"/>
    </row>
    <row r="8180" spans="5:10" s="34" customFormat="1" x14ac:dyDescent="0.35">
      <c r="E8180" s="35"/>
      <c r="J8180" s="41"/>
    </row>
    <row r="8181" spans="5:10" s="34" customFormat="1" x14ac:dyDescent="0.35">
      <c r="E8181" s="35"/>
      <c r="J8181" s="41"/>
    </row>
    <row r="8182" spans="5:10" s="34" customFormat="1" x14ac:dyDescent="0.35">
      <c r="E8182" s="35"/>
      <c r="J8182" s="41"/>
    </row>
    <row r="8183" spans="5:10" s="34" customFormat="1" x14ac:dyDescent="0.35">
      <c r="E8183" s="35"/>
      <c r="J8183" s="41"/>
    </row>
    <row r="8184" spans="5:10" s="34" customFormat="1" x14ac:dyDescent="0.35">
      <c r="E8184" s="35"/>
      <c r="J8184" s="41"/>
    </row>
    <row r="8185" spans="5:10" s="34" customFormat="1" x14ac:dyDescent="0.35">
      <c r="E8185" s="35"/>
      <c r="J8185" s="41"/>
    </row>
    <row r="8186" spans="5:10" s="34" customFormat="1" x14ac:dyDescent="0.35">
      <c r="E8186" s="35"/>
      <c r="J8186" s="41"/>
    </row>
    <row r="8187" spans="5:10" s="34" customFormat="1" x14ac:dyDescent="0.35">
      <c r="E8187" s="35"/>
      <c r="J8187" s="41"/>
    </row>
    <row r="8188" spans="5:10" s="34" customFormat="1" x14ac:dyDescent="0.35">
      <c r="E8188" s="35"/>
      <c r="J8188" s="41"/>
    </row>
    <row r="8189" spans="5:10" s="34" customFormat="1" x14ac:dyDescent="0.35">
      <c r="E8189" s="35"/>
      <c r="J8189" s="41"/>
    </row>
    <row r="8190" spans="5:10" s="34" customFormat="1" x14ac:dyDescent="0.35">
      <c r="E8190" s="35"/>
      <c r="J8190" s="41"/>
    </row>
    <row r="8191" spans="5:10" s="34" customFormat="1" x14ac:dyDescent="0.35">
      <c r="E8191" s="35"/>
      <c r="J8191" s="41"/>
    </row>
    <row r="8192" spans="5:10" s="34" customFormat="1" x14ac:dyDescent="0.35">
      <c r="E8192" s="35"/>
      <c r="J8192" s="41"/>
    </row>
    <row r="8193" spans="5:10" s="34" customFormat="1" x14ac:dyDescent="0.35">
      <c r="E8193" s="35"/>
      <c r="J8193" s="41"/>
    </row>
    <row r="8194" spans="5:10" s="34" customFormat="1" x14ac:dyDescent="0.35">
      <c r="E8194" s="35"/>
      <c r="J8194" s="41"/>
    </row>
    <row r="8195" spans="5:10" s="34" customFormat="1" x14ac:dyDescent="0.35">
      <c r="E8195" s="35"/>
      <c r="J8195" s="41"/>
    </row>
    <row r="8196" spans="5:10" s="34" customFormat="1" x14ac:dyDescent="0.35">
      <c r="E8196" s="35"/>
      <c r="J8196" s="41"/>
    </row>
    <row r="8197" spans="5:10" s="34" customFormat="1" x14ac:dyDescent="0.35">
      <c r="E8197" s="35"/>
      <c r="J8197" s="41"/>
    </row>
    <row r="8198" spans="5:10" s="34" customFormat="1" x14ac:dyDescent="0.35">
      <c r="E8198" s="35"/>
      <c r="J8198" s="41"/>
    </row>
    <row r="8199" spans="5:10" s="34" customFormat="1" x14ac:dyDescent="0.35">
      <c r="E8199" s="35"/>
      <c r="J8199" s="41"/>
    </row>
    <row r="8200" spans="5:10" s="34" customFormat="1" x14ac:dyDescent="0.35">
      <c r="E8200" s="35"/>
      <c r="J8200" s="41"/>
    </row>
    <row r="8201" spans="5:10" s="34" customFormat="1" x14ac:dyDescent="0.35">
      <c r="E8201" s="35"/>
      <c r="J8201" s="41"/>
    </row>
    <row r="8202" spans="5:10" s="34" customFormat="1" x14ac:dyDescent="0.35">
      <c r="E8202" s="35"/>
      <c r="J8202" s="41"/>
    </row>
    <row r="8203" spans="5:10" s="34" customFormat="1" x14ac:dyDescent="0.35">
      <c r="E8203" s="35"/>
      <c r="J8203" s="41"/>
    </row>
    <row r="8204" spans="5:10" s="34" customFormat="1" x14ac:dyDescent="0.35">
      <c r="E8204" s="35"/>
      <c r="J8204" s="41"/>
    </row>
    <row r="8205" spans="5:10" s="34" customFormat="1" x14ac:dyDescent="0.35">
      <c r="E8205" s="35"/>
      <c r="J8205" s="41"/>
    </row>
    <row r="8206" spans="5:10" s="34" customFormat="1" x14ac:dyDescent="0.35">
      <c r="E8206" s="35"/>
      <c r="J8206" s="41"/>
    </row>
    <row r="8207" spans="5:10" s="34" customFormat="1" x14ac:dyDescent="0.35">
      <c r="E8207" s="35"/>
      <c r="J8207" s="41"/>
    </row>
    <row r="8208" spans="5:10" s="34" customFormat="1" x14ac:dyDescent="0.35">
      <c r="E8208" s="35"/>
      <c r="J8208" s="41"/>
    </row>
    <row r="8209" spans="5:10" s="34" customFormat="1" x14ac:dyDescent="0.35">
      <c r="E8209" s="35"/>
      <c r="J8209" s="41"/>
    </row>
    <row r="8210" spans="5:10" s="34" customFormat="1" x14ac:dyDescent="0.35">
      <c r="E8210" s="35"/>
      <c r="J8210" s="41"/>
    </row>
    <row r="8211" spans="5:10" s="34" customFormat="1" x14ac:dyDescent="0.35">
      <c r="E8211" s="35"/>
      <c r="J8211" s="41"/>
    </row>
    <row r="8212" spans="5:10" s="34" customFormat="1" x14ac:dyDescent="0.35">
      <c r="E8212" s="35"/>
      <c r="J8212" s="41"/>
    </row>
    <row r="8213" spans="5:10" s="34" customFormat="1" x14ac:dyDescent="0.35">
      <c r="E8213" s="35"/>
      <c r="J8213" s="41"/>
    </row>
    <row r="8214" spans="5:10" s="34" customFormat="1" x14ac:dyDescent="0.35">
      <c r="E8214" s="35"/>
      <c r="J8214" s="41"/>
    </row>
    <row r="8215" spans="5:10" s="34" customFormat="1" x14ac:dyDescent="0.35">
      <c r="E8215" s="35"/>
      <c r="J8215" s="41"/>
    </row>
    <row r="8216" spans="5:10" s="34" customFormat="1" x14ac:dyDescent="0.35">
      <c r="E8216" s="35"/>
      <c r="J8216" s="41"/>
    </row>
    <row r="8217" spans="5:10" s="34" customFormat="1" x14ac:dyDescent="0.35">
      <c r="E8217" s="35"/>
      <c r="J8217" s="41"/>
    </row>
    <row r="8218" spans="5:10" s="34" customFormat="1" x14ac:dyDescent="0.35">
      <c r="E8218" s="35"/>
      <c r="J8218" s="41"/>
    </row>
    <row r="8219" spans="5:10" s="34" customFormat="1" x14ac:dyDescent="0.35">
      <c r="E8219" s="35"/>
      <c r="J8219" s="41"/>
    </row>
    <row r="8220" spans="5:10" s="34" customFormat="1" x14ac:dyDescent="0.35">
      <c r="E8220" s="35"/>
      <c r="J8220" s="41"/>
    </row>
    <row r="8221" spans="5:10" s="34" customFormat="1" x14ac:dyDescent="0.35">
      <c r="E8221" s="35"/>
      <c r="J8221" s="41"/>
    </row>
    <row r="8222" spans="5:10" s="34" customFormat="1" x14ac:dyDescent="0.35">
      <c r="E8222" s="35"/>
      <c r="J8222" s="41"/>
    </row>
    <row r="8223" spans="5:10" s="34" customFormat="1" x14ac:dyDescent="0.35">
      <c r="E8223" s="35"/>
      <c r="J8223" s="41"/>
    </row>
    <row r="8224" spans="5:10" s="34" customFormat="1" x14ac:dyDescent="0.35">
      <c r="E8224" s="35"/>
      <c r="J8224" s="41"/>
    </row>
    <row r="8225" spans="5:10" s="34" customFormat="1" x14ac:dyDescent="0.35">
      <c r="E8225" s="35"/>
      <c r="J8225" s="41"/>
    </row>
    <row r="8226" spans="5:10" s="34" customFormat="1" x14ac:dyDescent="0.35">
      <c r="E8226" s="35"/>
      <c r="J8226" s="41"/>
    </row>
    <row r="8227" spans="5:10" s="34" customFormat="1" x14ac:dyDescent="0.35">
      <c r="E8227" s="35"/>
      <c r="J8227" s="41"/>
    </row>
    <row r="8228" spans="5:10" s="34" customFormat="1" x14ac:dyDescent="0.35">
      <c r="E8228" s="35"/>
      <c r="J8228" s="41"/>
    </row>
    <row r="8229" spans="5:10" s="34" customFormat="1" x14ac:dyDescent="0.35">
      <c r="E8229" s="35"/>
      <c r="J8229" s="41"/>
    </row>
    <row r="8230" spans="5:10" s="34" customFormat="1" x14ac:dyDescent="0.35">
      <c r="E8230" s="35"/>
      <c r="J8230" s="41"/>
    </row>
    <row r="8231" spans="5:10" s="34" customFormat="1" x14ac:dyDescent="0.35">
      <c r="E8231" s="35"/>
      <c r="J8231" s="41"/>
    </row>
    <row r="8232" spans="5:10" s="34" customFormat="1" x14ac:dyDescent="0.35">
      <c r="E8232" s="35"/>
      <c r="J8232" s="41"/>
    </row>
    <row r="8233" spans="5:10" s="34" customFormat="1" x14ac:dyDescent="0.35">
      <c r="E8233" s="35"/>
      <c r="J8233" s="41"/>
    </row>
    <row r="8234" spans="5:10" s="34" customFormat="1" x14ac:dyDescent="0.35">
      <c r="E8234" s="35"/>
      <c r="J8234" s="41"/>
    </row>
    <row r="8235" spans="5:10" s="34" customFormat="1" x14ac:dyDescent="0.35">
      <c r="E8235" s="35"/>
      <c r="J8235" s="41"/>
    </row>
    <row r="8236" spans="5:10" s="34" customFormat="1" x14ac:dyDescent="0.35">
      <c r="E8236" s="35"/>
      <c r="J8236" s="41"/>
    </row>
    <row r="8237" spans="5:10" s="34" customFormat="1" x14ac:dyDescent="0.35">
      <c r="E8237" s="35"/>
      <c r="J8237" s="41"/>
    </row>
    <row r="8238" spans="5:10" s="34" customFormat="1" x14ac:dyDescent="0.35">
      <c r="E8238" s="35"/>
      <c r="J8238" s="41"/>
    </row>
    <row r="8239" spans="5:10" s="34" customFormat="1" x14ac:dyDescent="0.35">
      <c r="E8239" s="35"/>
      <c r="J8239" s="41"/>
    </row>
    <row r="8240" spans="5:10" s="34" customFormat="1" x14ac:dyDescent="0.35">
      <c r="E8240" s="35"/>
      <c r="J8240" s="41"/>
    </row>
    <row r="8241" spans="5:10" s="34" customFormat="1" x14ac:dyDescent="0.35">
      <c r="E8241" s="35"/>
      <c r="J8241" s="41"/>
    </row>
    <row r="8242" spans="5:10" s="34" customFormat="1" x14ac:dyDescent="0.35">
      <c r="E8242" s="35"/>
      <c r="J8242" s="41"/>
    </row>
    <row r="8243" spans="5:10" s="34" customFormat="1" x14ac:dyDescent="0.35">
      <c r="E8243" s="35"/>
      <c r="J8243" s="41"/>
    </row>
    <row r="8244" spans="5:10" s="34" customFormat="1" x14ac:dyDescent="0.35">
      <c r="E8244" s="35"/>
      <c r="J8244" s="41"/>
    </row>
    <row r="8245" spans="5:10" s="34" customFormat="1" x14ac:dyDescent="0.35">
      <c r="E8245" s="35"/>
      <c r="J8245" s="41"/>
    </row>
    <row r="8246" spans="5:10" s="34" customFormat="1" x14ac:dyDescent="0.35">
      <c r="E8246" s="35"/>
      <c r="J8246" s="41"/>
    </row>
    <row r="8247" spans="5:10" s="34" customFormat="1" x14ac:dyDescent="0.35">
      <c r="E8247" s="35"/>
      <c r="J8247" s="41"/>
    </row>
    <row r="8248" spans="5:10" s="34" customFormat="1" x14ac:dyDescent="0.35">
      <c r="E8248" s="35"/>
      <c r="J8248" s="41"/>
    </row>
    <row r="8249" spans="5:10" s="34" customFormat="1" x14ac:dyDescent="0.35">
      <c r="E8249" s="35"/>
      <c r="J8249" s="41"/>
    </row>
    <row r="8250" spans="5:10" s="34" customFormat="1" x14ac:dyDescent="0.35">
      <c r="E8250" s="35"/>
      <c r="J8250" s="41"/>
    </row>
    <row r="8251" spans="5:10" s="34" customFormat="1" x14ac:dyDescent="0.35">
      <c r="E8251" s="35"/>
      <c r="J8251" s="41"/>
    </row>
    <row r="8252" spans="5:10" s="34" customFormat="1" x14ac:dyDescent="0.35">
      <c r="E8252" s="35"/>
      <c r="J8252" s="41"/>
    </row>
    <row r="8253" spans="5:10" s="34" customFormat="1" x14ac:dyDescent="0.35">
      <c r="E8253" s="35"/>
      <c r="J8253" s="41"/>
    </row>
    <row r="8254" spans="5:10" s="34" customFormat="1" x14ac:dyDescent="0.35">
      <c r="E8254" s="35"/>
      <c r="J8254" s="41"/>
    </row>
    <row r="8255" spans="5:10" s="34" customFormat="1" x14ac:dyDescent="0.35">
      <c r="E8255" s="35"/>
      <c r="J8255" s="41"/>
    </row>
    <row r="8256" spans="5:10" s="34" customFormat="1" x14ac:dyDescent="0.35">
      <c r="E8256" s="35"/>
      <c r="J8256" s="41"/>
    </row>
    <row r="8257" spans="5:10" s="34" customFormat="1" x14ac:dyDescent="0.35">
      <c r="E8257" s="35"/>
      <c r="J8257" s="41"/>
    </row>
    <row r="8258" spans="5:10" s="34" customFormat="1" x14ac:dyDescent="0.35">
      <c r="E8258" s="35"/>
      <c r="J8258" s="41"/>
    </row>
    <row r="8259" spans="5:10" s="34" customFormat="1" x14ac:dyDescent="0.35">
      <c r="E8259" s="35"/>
      <c r="J8259" s="41"/>
    </row>
    <row r="8260" spans="5:10" s="34" customFormat="1" x14ac:dyDescent="0.35">
      <c r="E8260" s="35"/>
      <c r="J8260" s="41"/>
    </row>
    <row r="8261" spans="5:10" s="34" customFormat="1" x14ac:dyDescent="0.35">
      <c r="E8261" s="35"/>
      <c r="J8261" s="41"/>
    </row>
    <row r="8262" spans="5:10" s="34" customFormat="1" x14ac:dyDescent="0.35">
      <c r="E8262" s="35"/>
      <c r="J8262" s="41"/>
    </row>
    <row r="8263" spans="5:10" s="34" customFormat="1" x14ac:dyDescent="0.35">
      <c r="E8263" s="35"/>
      <c r="J8263" s="41"/>
    </row>
    <row r="8264" spans="5:10" s="34" customFormat="1" x14ac:dyDescent="0.35">
      <c r="E8264" s="35"/>
      <c r="J8264" s="41"/>
    </row>
    <row r="8265" spans="5:10" s="34" customFormat="1" x14ac:dyDescent="0.35">
      <c r="E8265" s="35"/>
      <c r="J8265" s="41"/>
    </row>
    <row r="8266" spans="5:10" s="34" customFormat="1" x14ac:dyDescent="0.35">
      <c r="E8266" s="35"/>
      <c r="J8266" s="41"/>
    </row>
    <row r="8267" spans="5:10" s="34" customFormat="1" x14ac:dyDescent="0.35">
      <c r="E8267" s="35"/>
      <c r="J8267" s="41"/>
    </row>
    <row r="8268" spans="5:10" s="34" customFormat="1" x14ac:dyDescent="0.35">
      <c r="E8268" s="35"/>
      <c r="J8268" s="41"/>
    </row>
    <row r="8269" spans="5:10" s="34" customFormat="1" x14ac:dyDescent="0.35">
      <c r="E8269" s="35"/>
      <c r="J8269" s="41"/>
    </row>
    <row r="8270" spans="5:10" s="34" customFormat="1" x14ac:dyDescent="0.35">
      <c r="E8270" s="35"/>
      <c r="J8270" s="41"/>
    </row>
    <row r="8271" spans="5:10" s="34" customFormat="1" x14ac:dyDescent="0.35">
      <c r="E8271" s="35"/>
      <c r="J8271" s="41"/>
    </row>
    <row r="8272" spans="5:10" s="34" customFormat="1" x14ac:dyDescent="0.35">
      <c r="E8272" s="35"/>
      <c r="J8272" s="41"/>
    </row>
    <row r="8273" spans="5:10" s="34" customFormat="1" x14ac:dyDescent="0.35">
      <c r="E8273" s="35"/>
      <c r="J8273" s="41"/>
    </row>
    <row r="8274" spans="5:10" s="34" customFormat="1" x14ac:dyDescent="0.35">
      <c r="E8274" s="35"/>
      <c r="J8274" s="41"/>
    </row>
    <row r="8275" spans="5:10" s="34" customFormat="1" x14ac:dyDescent="0.35">
      <c r="E8275" s="35"/>
      <c r="J8275" s="41"/>
    </row>
    <row r="8276" spans="5:10" s="34" customFormat="1" x14ac:dyDescent="0.35">
      <c r="E8276" s="35"/>
      <c r="J8276" s="41"/>
    </row>
    <row r="8277" spans="5:10" s="34" customFormat="1" x14ac:dyDescent="0.35">
      <c r="E8277" s="35"/>
      <c r="J8277" s="41"/>
    </row>
    <row r="8278" spans="5:10" s="34" customFormat="1" x14ac:dyDescent="0.35">
      <c r="E8278" s="35"/>
      <c r="J8278" s="41"/>
    </row>
    <row r="8279" spans="5:10" s="34" customFormat="1" x14ac:dyDescent="0.35">
      <c r="E8279" s="35"/>
      <c r="J8279" s="41"/>
    </row>
    <row r="8280" spans="5:10" s="34" customFormat="1" x14ac:dyDescent="0.35">
      <c r="E8280" s="35"/>
      <c r="J8280" s="41"/>
    </row>
    <row r="8281" spans="5:10" s="34" customFormat="1" x14ac:dyDescent="0.35">
      <c r="E8281" s="35"/>
      <c r="J8281" s="41"/>
    </row>
    <row r="8282" spans="5:10" s="34" customFormat="1" x14ac:dyDescent="0.35">
      <c r="E8282" s="35"/>
      <c r="J8282" s="41"/>
    </row>
    <row r="8283" spans="5:10" s="34" customFormat="1" x14ac:dyDescent="0.35">
      <c r="E8283" s="35"/>
      <c r="J8283" s="41"/>
    </row>
    <row r="8284" spans="5:10" s="34" customFormat="1" x14ac:dyDescent="0.35">
      <c r="E8284" s="35"/>
      <c r="J8284" s="41"/>
    </row>
    <row r="8285" spans="5:10" s="34" customFormat="1" x14ac:dyDescent="0.35">
      <c r="E8285" s="35"/>
      <c r="J8285" s="41"/>
    </row>
    <row r="8286" spans="5:10" s="34" customFormat="1" x14ac:dyDescent="0.35">
      <c r="E8286" s="35"/>
      <c r="J8286" s="41"/>
    </row>
    <row r="8287" spans="5:10" s="34" customFormat="1" x14ac:dyDescent="0.35">
      <c r="E8287" s="35"/>
      <c r="J8287" s="41"/>
    </row>
    <row r="8288" spans="5:10" s="34" customFormat="1" x14ac:dyDescent="0.35">
      <c r="E8288" s="35"/>
      <c r="J8288" s="41"/>
    </row>
    <row r="8289" spans="5:10" s="34" customFormat="1" x14ac:dyDescent="0.35">
      <c r="E8289" s="35"/>
      <c r="J8289" s="41"/>
    </row>
    <row r="8290" spans="5:10" s="34" customFormat="1" x14ac:dyDescent="0.35">
      <c r="E8290" s="35"/>
      <c r="J8290" s="41"/>
    </row>
    <row r="8291" spans="5:10" s="34" customFormat="1" x14ac:dyDescent="0.35">
      <c r="E8291" s="35"/>
      <c r="J8291" s="41"/>
    </row>
    <row r="8292" spans="5:10" s="34" customFormat="1" x14ac:dyDescent="0.35">
      <c r="E8292" s="35"/>
      <c r="J8292" s="41"/>
    </row>
    <row r="8293" spans="5:10" s="34" customFormat="1" x14ac:dyDescent="0.35">
      <c r="E8293" s="35"/>
      <c r="J8293" s="41"/>
    </row>
    <row r="8294" spans="5:10" s="34" customFormat="1" x14ac:dyDescent="0.35">
      <c r="E8294" s="35"/>
      <c r="J8294" s="41"/>
    </row>
    <row r="8295" spans="5:10" s="34" customFormat="1" x14ac:dyDescent="0.35">
      <c r="E8295" s="35"/>
      <c r="J8295" s="41"/>
    </row>
    <row r="8296" spans="5:10" s="34" customFormat="1" x14ac:dyDescent="0.35">
      <c r="E8296" s="35"/>
      <c r="J8296" s="41"/>
    </row>
    <row r="8297" spans="5:10" s="34" customFormat="1" x14ac:dyDescent="0.35">
      <c r="E8297" s="35"/>
      <c r="J8297" s="41"/>
    </row>
    <row r="8298" spans="5:10" s="34" customFormat="1" x14ac:dyDescent="0.35">
      <c r="E8298" s="35"/>
      <c r="J8298" s="41"/>
    </row>
    <row r="8299" spans="5:10" s="34" customFormat="1" x14ac:dyDescent="0.35">
      <c r="E8299" s="35"/>
      <c r="J8299" s="41"/>
    </row>
    <row r="8300" spans="5:10" s="34" customFormat="1" x14ac:dyDescent="0.35">
      <c r="E8300" s="35"/>
      <c r="J8300" s="41"/>
    </row>
    <row r="8301" spans="5:10" s="34" customFormat="1" x14ac:dyDescent="0.35">
      <c r="E8301" s="35"/>
      <c r="J8301" s="41"/>
    </row>
    <row r="8302" spans="5:10" s="34" customFormat="1" x14ac:dyDescent="0.35">
      <c r="E8302" s="35"/>
      <c r="J8302" s="41"/>
    </row>
    <row r="8303" spans="5:10" s="34" customFormat="1" x14ac:dyDescent="0.35">
      <c r="E8303" s="35"/>
      <c r="J8303" s="41"/>
    </row>
    <row r="8304" spans="5:10" s="34" customFormat="1" x14ac:dyDescent="0.35">
      <c r="E8304" s="35"/>
      <c r="J8304" s="41"/>
    </row>
    <row r="8305" spans="5:10" s="34" customFormat="1" x14ac:dyDescent="0.35">
      <c r="E8305" s="35"/>
      <c r="J8305" s="41"/>
    </row>
    <row r="8306" spans="5:10" s="34" customFormat="1" x14ac:dyDescent="0.35">
      <c r="E8306" s="35"/>
      <c r="J8306" s="41"/>
    </row>
    <row r="8307" spans="5:10" s="34" customFormat="1" x14ac:dyDescent="0.35">
      <c r="E8307" s="35"/>
      <c r="J8307" s="41"/>
    </row>
    <row r="8308" spans="5:10" s="34" customFormat="1" x14ac:dyDescent="0.35">
      <c r="E8308" s="35"/>
      <c r="J8308" s="41"/>
    </row>
    <row r="8309" spans="5:10" s="34" customFormat="1" x14ac:dyDescent="0.35">
      <c r="E8309" s="35"/>
      <c r="J8309" s="41"/>
    </row>
    <row r="8310" spans="5:10" s="34" customFormat="1" x14ac:dyDescent="0.35">
      <c r="E8310" s="35"/>
      <c r="J8310" s="41"/>
    </row>
    <row r="8311" spans="5:10" s="34" customFormat="1" x14ac:dyDescent="0.35">
      <c r="E8311" s="35"/>
      <c r="J8311" s="41"/>
    </row>
    <row r="8312" spans="5:10" s="34" customFormat="1" x14ac:dyDescent="0.35">
      <c r="E8312" s="35"/>
      <c r="J8312" s="41"/>
    </row>
    <row r="8313" spans="5:10" s="34" customFormat="1" x14ac:dyDescent="0.35">
      <c r="E8313" s="35"/>
      <c r="J8313" s="41"/>
    </row>
    <row r="8314" spans="5:10" s="34" customFormat="1" x14ac:dyDescent="0.35">
      <c r="E8314" s="35"/>
      <c r="J8314" s="41"/>
    </row>
    <row r="8315" spans="5:10" s="34" customFormat="1" x14ac:dyDescent="0.35">
      <c r="E8315" s="35"/>
      <c r="J8315" s="41"/>
    </row>
    <row r="8316" spans="5:10" s="34" customFormat="1" x14ac:dyDescent="0.35">
      <c r="E8316" s="35"/>
      <c r="J8316" s="41"/>
    </row>
    <row r="8317" spans="5:10" s="34" customFormat="1" x14ac:dyDescent="0.35">
      <c r="E8317" s="35"/>
      <c r="J8317" s="41"/>
    </row>
    <row r="8318" spans="5:10" s="34" customFormat="1" x14ac:dyDescent="0.35">
      <c r="E8318" s="35"/>
      <c r="J8318" s="41"/>
    </row>
    <row r="8319" spans="5:10" s="34" customFormat="1" x14ac:dyDescent="0.35">
      <c r="E8319" s="35"/>
      <c r="J8319" s="41"/>
    </row>
    <row r="8320" spans="5:10" s="34" customFormat="1" x14ac:dyDescent="0.35">
      <c r="E8320" s="35"/>
      <c r="J8320" s="41"/>
    </row>
    <row r="8321" spans="5:10" s="34" customFormat="1" x14ac:dyDescent="0.35">
      <c r="E8321" s="35"/>
      <c r="J8321" s="41"/>
    </row>
    <row r="8322" spans="5:10" s="34" customFormat="1" x14ac:dyDescent="0.35">
      <c r="E8322" s="35"/>
      <c r="J8322" s="41"/>
    </row>
    <row r="8323" spans="5:10" s="34" customFormat="1" x14ac:dyDescent="0.35">
      <c r="E8323" s="35"/>
      <c r="J8323" s="41"/>
    </row>
    <row r="8324" spans="5:10" s="34" customFormat="1" x14ac:dyDescent="0.35">
      <c r="E8324" s="35"/>
      <c r="J8324" s="41"/>
    </row>
    <row r="8325" spans="5:10" s="34" customFormat="1" x14ac:dyDescent="0.35">
      <c r="E8325" s="35"/>
      <c r="J8325" s="41"/>
    </row>
    <row r="8326" spans="5:10" s="34" customFormat="1" x14ac:dyDescent="0.35">
      <c r="E8326" s="35"/>
      <c r="J8326" s="41"/>
    </row>
    <row r="8327" spans="5:10" s="34" customFormat="1" x14ac:dyDescent="0.35">
      <c r="E8327" s="35"/>
      <c r="J8327" s="41"/>
    </row>
    <row r="8328" spans="5:10" s="34" customFormat="1" x14ac:dyDescent="0.35">
      <c r="E8328" s="35"/>
      <c r="J8328" s="41"/>
    </row>
    <row r="8329" spans="5:10" s="34" customFormat="1" x14ac:dyDescent="0.35">
      <c r="E8329" s="35"/>
      <c r="J8329" s="41"/>
    </row>
    <row r="8330" spans="5:10" s="34" customFormat="1" x14ac:dyDescent="0.35">
      <c r="E8330" s="35"/>
      <c r="J8330" s="41"/>
    </row>
    <row r="8331" spans="5:10" s="34" customFormat="1" x14ac:dyDescent="0.35">
      <c r="E8331" s="35"/>
      <c r="J8331" s="41"/>
    </row>
    <row r="8332" spans="5:10" s="34" customFormat="1" x14ac:dyDescent="0.35">
      <c r="E8332" s="35"/>
      <c r="J8332" s="41"/>
    </row>
    <row r="8333" spans="5:10" s="34" customFormat="1" x14ac:dyDescent="0.35">
      <c r="E8333" s="35"/>
      <c r="J8333" s="41"/>
    </row>
    <row r="8334" spans="5:10" s="34" customFormat="1" x14ac:dyDescent="0.35">
      <c r="E8334" s="35"/>
      <c r="J8334" s="41"/>
    </row>
    <row r="8335" spans="5:10" s="34" customFormat="1" x14ac:dyDescent="0.35">
      <c r="E8335" s="35"/>
      <c r="J8335" s="41"/>
    </row>
    <row r="8336" spans="5:10" s="34" customFormat="1" x14ac:dyDescent="0.35">
      <c r="E8336" s="35"/>
      <c r="J8336" s="41"/>
    </row>
    <row r="8337" spans="5:10" s="34" customFormat="1" x14ac:dyDescent="0.35">
      <c r="E8337" s="35"/>
      <c r="J8337" s="41"/>
    </row>
    <row r="8338" spans="5:10" s="34" customFormat="1" x14ac:dyDescent="0.35">
      <c r="E8338" s="35"/>
      <c r="J8338" s="41"/>
    </row>
    <row r="8339" spans="5:10" s="34" customFormat="1" x14ac:dyDescent="0.35">
      <c r="E8339" s="35"/>
      <c r="J8339" s="41"/>
    </row>
    <row r="8340" spans="5:10" s="34" customFormat="1" x14ac:dyDescent="0.35">
      <c r="E8340" s="35"/>
      <c r="J8340" s="41"/>
    </row>
    <row r="8341" spans="5:10" s="34" customFormat="1" x14ac:dyDescent="0.35">
      <c r="E8341" s="35"/>
      <c r="J8341" s="41"/>
    </row>
    <row r="8342" spans="5:10" s="34" customFormat="1" x14ac:dyDescent="0.35">
      <c r="E8342" s="35"/>
      <c r="J8342" s="41"/>
    </row>
    <row r="8343" spans="5:10" s="34" customFormat="1" x14ac:dyDescent="0.35">
      <c r="E8343" s="35"/>
      <c r="J8343" s="41"/>
    </row>
    <row r="8344" spans="5:10" s="34" customFormat="1" x14ac:dyDescent="0.35">
      <c r="E8344" s="35"/>
      <c r="J8344" s="41"/>
    </row>
    <row r="8345" spans="5:10" s="34" customFormat="1" x14ac:dyDescent="0.35">
      <c r="E8345" s="35"/>
      <c r="J8345" s="41"/>
    </row>
    <row r="8346" spans="5:10" s="34" customFormat="1" x14ac:dyDescent="0.35">
      <c r="E8346" s="35"/>
      <c r="J8346" s="41"/>
    </row>
    <row r="8347" spans="5:10" s="34" customFormat="1" x14ac:dyDescent="0.35">
      <c r="E8347" s="35"/>
      <c r="J8347" s="41"/>
    </row>
    <row r="8348" spans="5:10" s="34" customFormat="1" x14ac:dyDescent="0.35">
      <c r="E8348" s="35"/>
      <c r="J8348" s="41"/>
    </row>
    <row r="8349" spans="5:10" s="34" customFormat="1" x14ac:dyDescent="0.35">
      <c r="E8349" s="35"/>
      <c r="J8349" s="41"/>
    </row>
    <row r="8350" spans="5:10" s="34" customFormat="1" x14ac:dyDescent="0.35">
      <c r="E8350" s="35"/>
      <c r="J8350" s="41"/>
    </row>
    <row r="8351" spans="5:10" s="34" customFormat="1" x14ac:dyDescent="0.35">
      <c r="E8351" s="35"/>
      <c r="J8351" s="41"/>
    </row>
    <row r="8352" spans="5:10" s="34" customFormat="1" x14ac:dyDescent="0.35">
      <c r="E8352" s="35"/>
      <c r="J8352" s="41"/>
    </row>
    <row r="8353" spans="5:10" s="34" customFormat="1" x14ac:dyDescent="0.35">
      <c r="E8353" s="35"/>
      <c r="J8353" s="41"/>
    </row>
    <row r="8354" spans="5:10" s="34" customFormat="1" x14ac:dyDescent="0.35">
      <c r="E8354" s="35"/>
      <c r="J8354" s="41"/>
    </row>
    <row r="8355" spans="5:10" s="34" customFormat="1" x14ac:dyDescent="0.35">
      <c r="E8355" s="35"/>
      <c r="J8355" s="41"/>
    </row>
    <row r="8356" spans="5:10" s="34" customFormat="1" x14ac:dyDescent="0.35">
      <c r="E8356" s="35"/>
      <c r="J8356" s="41"/>
    </row>
    <row r="8357" spans="5:10" s="34" customFormat="1" x14ac:dyDescent="0.35">
      <c r="E8357" s="35"/>
      <c r="J8357" s="41"/>
    </row>
    <row r="8358" spans="5:10" s="34" customFormat="1" x14ac:dyDescent="0.35">
      <c r="E8358" s="35"/>
      <c r="J8358" s="41"/>
    </row>
    <row r="8359" spans="5:10" s="34" customFormat="1" x14ac:dyDescent="0.35">
      <c r="E8359" s="35"/>
      <c r="J8359" s="41"/>
    </row>
    <row r="8360" spans="5:10" s="34" customFormat="1" x14ac:dyDescent="0.35">
      <c r="E8360" s="35"/>
      <c r="J8360" s="41"/>
    </row>
    <row r="8361" spans="5:10" s="34" customFormat="1" x14ac:dyDescent="0.35">
      <c r="E8361" s="35"/>
      <c r="J8361" s="41"/>
    </row>
    <row r="8362" spans="5:10" s="34" customFormat="1" x14ac:dyDescent="0.35">
      <c r="E8362" s="35"/>
      <c r="J8362" s="41"/>
    </row>
    <row r="8363" spans="5:10" s="34" customFormat="1" x14ac:dyDescent="0.35">
      <c r="E8363" s="35"/>
      <c r="J8363" s="41"/>
    </row>
    <row r="8364" spans="5:10" s="34" customFormat="1" x14ac:dyDescent="0.35">
      <c r="E8364" s="35"/>
      <c r="J8364" s="41"/>
    </row>
    <row r="8365" spans="5:10" s="34" customFormat="1" x14ac:dyDescent="0.35">
      <c r="E8365" s="35"/>
      <c r="J8365" s="41"/>
    </row>
    <row r="8366" spans="5:10" s="34" customFormat="1" x14ac:dyDescent="0.35">
      <c r="E8366" s="35"/>
      <c r="J8366" s="41"/>
    </row>
    <row r="8367" spans="5:10" s="34" customFormat="1" x14ac:dyDescent="0.35">
      <c r="E8367" s="35"/>
      <c r="J8367" s="41"/>
    </row>
    <row r="8368" spans="5:10" s="34" customFormat="1" x14ac:dyDescent="0.35">
      <c r="E8368" s="35"/>
      <c r="J8368" s="41"/>
    </row>
    <row r="8369" spans="5:10" s="34" customFormat="1" x14ac:dyDescent="0.35">
      <c r="E8369" s="35"/>
      <c r="J8369" s="41"/>
    </row>
    <row r="8370" spans="5:10" s="34" customFormat="1" x14ac:dyDescent="0.35">
      <c r="E8370" s="35"/>
      <c r="J8370" s="41"/>
    </row>
    <row r="8371" spans="5:10" s="34" customFormat="1" x14ac:dyDescent="0.35">
      <c r="E8371" s="35"/>
      <c r="J8371" s="41"/>
    </row>
    <row r="8372" spans="5:10" s="34" customFormat="1" x14ac:dyDescent="0.35">
      <c r="E8372" s="35"/>
      <c r="J8372" s="41"/>
    </row>
    <row r="8373" spans="5:10" s="34" customFormat="1" x14ac:dyDescent="0.35">
      <c r="E8373" s="35"/>
      <c r="J8373" s="41"/>
    </row>
    <row r="8374" spans="5:10" s="34" customFormat="1" x14ac:dyDescent="0.35">
      <c r="E8374" s="35"/>
      <c r="J8374" s="41"/>
    </row>
    <row r="8375" spans="5:10" s="34" customFormat="1" x14ac:dyDescent="0.35">
      <c r="E8375" s="35"/>
      <c r="J8375" s="41"/>
    </row>
    <row r="8376" spans="5:10" s="34" customFormat="1" x14ac:dyDescent="0.35">
      <c r="E8376" s="35"/>
      <c r="J8376" s="41"/>
    </row>
    <row r="8377" spans="5:10" s="34" customFormat="1" x14ac:dyDescent="0.35">
      <c r="E8377" s="35"/>
      <c r="J8377" s="41"/>
    </row>
    <row r="8378" spans="5:10" s="34" customFormat="1" x14ac:dyDescent="0.35">
      <c r="E8378" s="35"/>
      <c r="J8378" s="41"/>
    </row>
    <row r="8379" spans="5:10" s="34" customFormat="1" x14ac:dyDescent="0.35">
      <c r="E8379" s="35"/>
      <c r="J8379" s="41"/>
    </row>
    <row r="8380" spans="5:10" s="34" customFormat="1" x14ac:dyDescent="0.35">
      <c r="E8380" s="35"/>
      <c r="J8380" s="41"/>
    </row>
    <row r="8381" spans="5:10" s="34" customFormat="1" x14ac:dyDescent="0.35">
      <c r="E8381" s="35"/>
      <c r="J8381" s="41"/>
    </row>
    <row r="8382" spans="5:10" s="34" customFormat="1" x14ac:dyDescent="0.35">
      <c r="E8382" s="35"/>
      <c r="J8382" s="41"/>
    </row>
    <row r="8383" spans="5:10" s="34" customFormat="1" x14ac:dyDescent="0.35">
      <c r="E8383" s="35"/>
      <c r="J8383" s="41"/>
    </row>
    <row r="8384" spans="5:10" s="34" customFormat="1" x14ac:dyDescent="0.35">
      <c r="E8384" s="35"/>
      <c r="J8384" s="41"/>
    </row>
    <row r="8385" spans="5:10" s="34" customFormat="1" x14ac:dyDescent="0.35">
      <c r="E8385" s="35"/>
      <c r="J8385" s="41"/>
    </row>
    <row r="8386" spans="5:10" s="34" customFormat="1" x14ac:dyDescent="0.35">
      <c r="E8386" s="35"/>
      <c r="J8386" s="41"/>
    </row>
    <row r="8387" spans="5:10" s="34" customFormat="1" x14ac:dyDescent="0.35">
      <c r="E8387" s="35"/>
      <c r="J8387" s="41"/>
    </row>
    <row r="8388" spans="5:10" s="34" customFormat="1" x14ac:dyDescent="0.35">
      <c r="E8388" s="35"/>
      <c r="J8388" s="41"/>
    </row>
    <row r="8389" spans="5:10" s="34" customFormat="1" x14ac:dyDescent="0.35">
      <c r="E8389" s="35"/>
      <c r="J8389" s="41"/>
    </row>
    <row r="8390" spans="5:10" s="34" customFormat="1" x14ac:dyDescent="0.35">
      <c r="E8390" s="35"/>
      <c r="J8390" s="41"/>
    </row>
    <row r="8391" spans="5:10" s="34" customFormat="1" x14ac:dyDescent="0.35">
      <c r="E8391" s="35"/>
      <c r="J8391" s="41"/>
    </row>
    <row r="8392" spans="5:10" s="34" customFormat="1" x14ac:dyDescent="0.35">
      <c r="E8392" s="35"/>
      <c r="J8392" s="41"/>
    </row>
    <row r="8393" spans="5:10" s="34" customFormat="1" x14ac:dyDescent="0.35">
      <c r="E8393" s="35"/>
      <c r="J8393" s="41"/>
    </row>
    <row r="8394" spans="5:10" s="34" customFormat="1" x14ac:dyDescent="0.35">
      <c r="E8394" s="35"/>
      <c r="J8394" s="41"/>
    </row>
    <row r="8395" spans="5:10" s="34" customFormat="1" x14ac:dyDescent="0.35">
      <c r="E8395" s="35"/>
      <c r="J8395" s="41"/>
    </row>
    <row r="8396" spans="5:10" s="34" customFormat="1" x14ac:dyDescent="0.35">
      <c r="E8396" s="35"/>
      <c r="J8396" s="41"/>
    </row>
    <row r="8397" spans="5:10" s="34" customFormat="1" x14ac:dyDescent="0.35">
      <c r="E8397" s="35"/>
      <c r="J8397" s="41"/>
    </row>
    <row r="8398" spans="5:10" s="34" customFormat="1" x14ac:dyDescent="0.35">
      <c r="E8398" s="35"/>
      <c r="J8398" s="41"/>
    </row>
    <row r="8399" spans="5:10" s="34" customFormat="1" x14ac:dyDescent="0.35">
      <c r="E8399" s="35"/>
      <c r="J8399" s="41"/>
    </row>
    <row r="8400" spans="5:10" s="34" customFormat="1" x14ac:dyDescent="0.35">
      <c r="E8400" s="35"/>
      <c r="J8400" s="41"/>
    </row>
    <row r="8401" spans="5:10" s="34" customFormat="1" x14ac:dyDescent="0.35">
      <c r="E8401" s="35"/>
      <c r="J8401" s="41"/>
    </row>
    <row r="8402" spans="5:10" s="34" customFormat="1" x14ac:dyDescent="0.35">
      <c r="E8402" s="35"/>
      <c r="J8402" s="41"/>
    </row>
    <row r="8403" spans="5:10" s="34" customFormat="1" x14ac:dyDescent="0.35">
      <c r="E8403" s="35"/>
      <c r="J8403" s="41"/>
    </row>
    <row r="8404" spans="5:10" s="34" customFormat="1" x14ac:dyDescent="0.35">
      <c r="E8404" s="35"/>
      <c r="J8404" s="41"/>
    </row>
    <row r="8405" spans="5:10" s="34" customFormat="1" x14ac:dyDescent="0.35">
      <c r="E8405" s="35"/>
      <c r="J8405" s="41"/>
    </row>
    <row r="8406" spans="5:10" s="34" customFormat="1" x14ac:dyDescent="0.35">
      <c r="E8406" s="35"/>
      <c r="J8406" s="41"/>
    </row>
    <row r="8407" spans="5:10" s="34" customFormat="1" x14ac:dyDescent="0.35">
      <c r="E8407" s="35"/>
      <c r="J8407" s="41"/>
    </row>
    <row r="8408" spans="5:10" s="34" customFormat="1" x14ac:dyDescent="0.35">
      <c r="E8408" s="35"/>
      <c r="J8408" s="41"/>
    </row>
    <row r="8409" spans="5:10" s="34" customFormat="1" x14ac:dyDescent="0.35">
      <c r="E8409" s="35"/>
      <c r="J8409" s="41"/>
    </row>
    <row r="8410" spans="5:10" s="34" customFormat="1" x14ac:dyDescent="0.35">
      <c r="E8410" s="35"/>
      <c r="J8410" s="41"/>
    </row>
    <row r="8411" spans="5:10" s="34" customFormat="1" x14ac:dyDescent="0.35">
      <c r="E8411" s="35"/>
      <c r="J8411" s="41"/>
    </row>
    <row r="8412" spans="5:10" s="34" customFormat="1" x14ac:dyDescent="0.35">
      <c r="E8412" s="35"/>
      <c r="J8412" s="41"/>
    </row>
    <row r="8413" spans="5:10" s="34" customFormat="1" x14ac:dyDescent="0.35">
      <c r="E8413" s="35"/>
      <c r="J8413" s="41"/>
    </row>
    <row r="8414" spans="5:10" s="34" customFormat="1" x14ac:dyDescent="0.35">
      <c r="E8414" s="35"/>
      <c r="J8414" s="41"/>
    </row>
    <row r="8415" spans="5:10" s="34" customFormat="1" x14ac:dyDescent="0.35">
      <c r="E8415" s="35"/>
      <c r="J8415" s="41"/>
    </row>
    <row r="8416" spans="5:10" s="34" customFormat="1" x14ac:dyDescent="0.35">
      <c r="E8416" s="35"/>
      <c r="J8416" s="41"/>
    </row>
    <row r="8417" spans="5:10" s="34" customFormat="1" x14ac:dyDescent="0.35">
      <c r="E8417" s="35"/>
      <c r="J8417" s="41"/>
    </row>
    <row r="8418" spans="5:10" s="34" customFormat="1" x14ac:dyDescent="0.35">
      <c r="E8418" s="35"/>
      <c r="J8418" s="41"/>
    </row>
    <row r="8419" spans="5:10" s="34" customFormat="1" x14ac:dyDescent="0.35">
      <c r="E8419" s="35"/>
      <c r="J8419" s="41"/>
    </row>
    <row r="8420" spans="5:10" s="34" customFormat="1" x14ac:dyDescent="0.35">
      <c r="E8420" s="35"/>
      <c r="J8420" s="41"/>
    </row>
    <row r="8421" spans="5:10" s="34" customFormat="1" x14ac:dyDescent="0.35">
      <c r="E8421" s="35"/>
      <c r="J8421" s="41"/>
    </row>
    <row r="8422" spans="5:10" s="34" customFormat="1" x14ac:dyDescent="0.35">
      <c r="E8422" s="35"/>
      <c r="J8422" s="41"/>
    </row>
    <row r="8423" spans="5:10" s="34" customFormat="1" x14ac:dyDescent="0.35">
      <c r="E8423" s="35"/>
      <c r="J8423" s="41"/>
    </row>
    <row r="8424" spans="5:10" s="34" customFormat="1" x14ac:dyDescent="0.35">
      <c r="E8424" s="35"/>
      <c r="J8424" s="41"/>
    </row>
    <row r="8425" spans="5:10" s="34" customFormat="1" x14ac:dyDescent="0.35">
      <c r="E8425" s="35"/>
      <c r="J8425" s="41"/>
    </row>
    <row r="8426" spans="5:10" s="34" customFormat="1" x14ac:dyDescent="0.35">
      <c r="E8426" s="35"/>
      <c r="J8426" s="41"/>
    </row>
    <row r="8427" spans="5:10" s="34" customFormat="1" x14ac:dyDescent="0.35">
      <c r="E8427" s="35"/>
      <c r="J8427" s="41"/>
    </row>
    <row r="8428" spans="5:10" s="34" customFormat="1" x14ac:dyDescent="0.35">
      <c r="E8428" s="35"/>
      <c r="J8428" s="41"/>
    </row>
    <row r="8429" spans="5:10" s="34" customFormat="1" x14ac:dyDescent="0.35">
      <c r="E8429" s="35"/>
      <c r="J8429" s="41"/>
    </row>
    <row r="8430" spans="5:10" s="34" customFormat="1" x14ac:dyDescent="0.35">
      <c r="E8430" s="35"/>
      <c r="J8430" s="41"/>
    </row>
    <row r="8431" spans="5:10" s="34" customFormat="1" x14ac:dyDescent="0.35">
      <c r="E8431" s="35"/>
      <c r="J8431" s="41"/>
    </row>
    <row r="8432" spans="5:10" s="34" customFormat="1" x14ac:dyDescent="0.35">
      <c r="E8432" s="35"/>
      <c r="J8432" s="41"/>
    </row>
    <row r="8433" spans="5:10" s="34" customFormat="1" x14ac:dyDescent="0.35">
      <c r="E8433" s="35"/>
      <c r="J8433" s="41"/>
    </row>
    <row r="8434" spans="5:10" s="34" customFormat="1" x14ac:dyDescent="0.35">
      <c r="E8434" s="35"/>
      <c r="J8434" s="41"/>
    </row>
    <row r="8435" spans="5:10" s="34" customFormat="1" x14ac:dyDescent="0.35">
      <c r="E8435" s="35"/>
      <c r="J8435" s="41"/>
    </row>
    <row r="8436" spans="5:10" s="34" customFormat="1" x14ac:dyDescent="0.35">
      <c r="E8436" s="35"/>
      <c r="J8436" s="41"/>
    </row>
    <row r="8437" spans="5:10" s="34" customFormat="1" x14ac:dyDescent="0.35">
      <c r="E8437" s="35"/>
      <c r="J8437" s="41"/>
    </row>
    <row r="8438" spans="5:10" s="34" customFormat="1" x14ac:dyDescent="0.35">
      <c r="E8438" s="35"/>
      <c r="J8438" s="41"/>
    </row>
    <row r="8439" spans="5:10" s="34" customFormat="1" x14ac:dyDescent="0.35">
      <c r="E8439" s="35"/>
      <c r="J8439" s="41"/>
    </row>
    <row r="8440" spans="5:10" s="34" customFormat="1" x14ac:dyDescent="0.35">
      <c r="E8440" s="35"/>
      <c r="J8440" s="41"/>
    </row>
    <row r="8441" spans="5:10" s="34" customFormat="1" x14ac:dyDescent="0.35">
      <c r="E8441" s="35"/>
      <c r="J8441" s="41"/>
    </row>
    <row r="8442" spans="5:10" s="34" customFormat="1" x14ac:dyDescent="0.35">
      <c r="E8442" s="35"/>
      <c r="J8442" s="41"/>
    </row>
    <row r="8443" spans="5:10" s="34" customFormat="1" x14ac:dyDescent="0.35">
      <c r="E8443" s="35"/>
      <c r="J8443" s="41"/>
    </row>
    <row r="8444" spans="5:10" s="34" customFormat="1" x14ac:dyDescent="0.35">
      <c r="E8444" s="35"/>
      <c r="J8444" s="41"/>
    </row>
    <row r="8445" spans="5:10" s="34" customFormat="1" x14ac:dyDescent="0.35">
      <c r="E8445" s="35"/>
      <c r="J8445" s="41"/>
    </row>
    <row r="8446" spans="5:10" s="34" customFormat="1" x14ac:dyDescent="0.35">
      <c r="E8446" s="35"/>
      <c r="J8446" s="41"/>
    </row>
    <row r="8447" spans="5:10" s="34" customFormat="1" x14ac:dyDescent="0.35">
      <c r="E8447" s="35"/>
      <c r="J8447" s="41"/>
    </row>
    <row r="8448" spans="5:10" s="34" customFormat="1" x14ac:dyDescent="0.35">
      <c r="E8448" s="35"/>
      <c r="J8448" s="41"/>
    </row>
    <row r="8449" spans="5:10" s="34" customFormat="1" x14ac:dyDescent="0.35">
      <c r="E8449" s="35"/>
      <c r="J8449" s="41"/>
    </row>
    <row r="8450" spans="5:10" s="34" customFormat="1" x14ac:dyDescent="0.35">
      <c r="E8450" s="35"/>
      <c r="J8450" s="41"/>
    </row>
    <row r="8451" spans="5:10" s="34" customFormat="1" x14ac:dyDescent="0.35">
      <c r="E8451" s="35"/>
      <c r="J8451" s="41"/>
    </row>
    <row r="8452" spans="5:10" s="34" customFormat="1" x14ac:dyDescent="0.35">
      <c r="E8452" s="35"/>
      <c r="J8452" s="41"/>
    </row>
    <row r="8453" spans="5:10" s="34" customFormat="1" x14ac:dyDescent="0.35">
      <c r="E8453" s="35"/>
      <c r="J8453" s="41"/>
    </row>
    <row r="8454" spans="5:10" s="34" customFormat="1" x14ac:dyDescent="0.35">
      <c r="E8454" s="35"/>
      <c r="J8454" s="41"/>
    </row>
    <row r="8455" spans="5:10" s="34" customFormat="1" x14ac:dyDescent="0.35">
      <c r="E8455" s="35"/>
      <c r="J8455" s="41"/>
    </row>
    <row r="8456" spans="5:10" s="34" customFormat="1" x14ac:dyDescent="0.35">
      <c r="E8456" s="35"/>
      <c r="J8456" s="41"/>
    </row>
    <row r="8457" spans="5:10" s="34" customFormat="1" x14ac:dyDescent="0.35">
      <c r="E8457" s="35"/>
      <c r="J8457" s="41"/>
    </row>
    <row r="8458" spans="5:10" s="34" customFormat="1" x14ac:dyDescent="0.35">
      <c r="E8458" s="35"/>
      <c r="J8458" s="41"/>
    </row>
    <row r="8459" spans="5:10" s="34" customFormat="1" x14ac:dyDescent="0.35">
      <c r="E8459" s="35"/>
      <c r="J8459" s="41"/>
    </row>
    <row r="8460" spans="5:10" s="34" customFormat="1" x14ac:dyDescent="0.35">
      <c r="E8460" s="35"/>
      <c r="J8460" s="41"/>
    </row>
    <row r="8461" spans="5:10" s="34" customFormat="1" x14ac:dyDescent="0.35">
      <c r="E8461" s="35"/>
      <c r="J8461" s="41"/>
    </row>
    <row r="8462" spans="5:10" s="34" customFormat="1" x14ac:dyDescent="0.35">
      <c r="E8462" s="35"/>
      <c r="J8462" s="41"/>
    </row>
    <row r="8463" spans="5:10" s="34" customFormat="1" x14ac:dyDescent="0.35">
      <c r="E8463" s="35"/>
      <c r="J8463" s="41"/>
    </row>
    <row r="8464" spans="5:10" s="34" customFormat="1" x14ac:dyDescent="0.35">
      <c r="E8464" s="35"/>
      <c r="J8464" s="41"/>
    </row>
    <row r="8465" spans="5:10" s="34" customFormat="1" x14ac:dyDescent="0.35">
      <c r="E8465" s="35"/>
      <c r="J8465" s="41"/>
    </row>
    <row r="8466" spans="5:10" s="34" customFormat="1" x14ac:dyDescent="0.35">
      <c r="E8466" s="35"/>
      <c r="J8466" s="41"/>
    </row>
    <row r="8467" spans="5:10" s="34" customFormat="1" x14ac:dyDescent="0.35">
      <c r="E8467" s="35"/>
      <c r="J8467" s="41"/>
    </row>
    <row r="8468" spans="5:10" s="34" customFormat="1" x14ac:dyDescent="0.35">
      <c r="E8468" s="35"/>
      <c r="J8468" s="41"/>
    </row>
    <row r="8469" spans="5:10" s="34" customFormat="1" x14ac:dyDescent="0.35">
      <c r="E8469" s="35"/>
      <c r="J8469" s="41"/>
    </row>
    <row r="8470" spans="5:10" s="34" customFormat="1" x14ac:dyDescent="0.35">
      <c r="E8470" s="35"/>
      <c r="J8470" s="41"/>
    </row>
    <row r="8471" spans="5:10" s="34" customFormat="1" x14ac:dyDescent="0.35">
      <c r="E8471" s="35"/>
      <c r="J8471" s="41"/>
    </row>
    <row r="8472" spans="5:10" s="34" customFormat="1" x14ac:dyDescent="0.35">
      <c r="E8472" s="35"/>
      <c r="J8472" s="41"/>
    </row>
    <row r="8473" spans="5:10" s="34" customFormat="1" x14ac:dyDescent="0.35">
      <c r="E8473" s="35"/>
      <c r="J8473" s="41"/>
    </row>
    <row r="8474" spans="5:10" s="34" customFormat="1" x14ac:dyDescent="0.35">
      <c r="E8474" s="35"/>
      <c r="J8474" s="41"/>
    </row>
    <row r="8475" spans="5:10" s="34" customFormat="1" x14ac:dyDescent="0.35">
      <c r="E8475" s="35"/>
      <c r="J8475" s="41"/>
    </row>
    <row r="8476" spans="5:10" s="34" customFormat="1" x14ac:dyDescent="0.35">
      <c r="E8476" s="35"/>
      <c r="J8476" s="41"/>
    </row>
    <row r="8477" spans="5:10" s="34" customFormat="1" x14ac:dyDescent="0.35">
      <c r="E8477" s="35"/>
      <c r="J8477" s="41"/>
    </row>
    <row r="8478" spans="5:10" s="34" customFormat="1" x14ac:dyDescent="0.35">
      <c r="E8478" s="35"/>
      <c r="J8478" s="41"/>
    </row>
    <row r="8479" spans="5:10" s="34" customFormat="1" x14ac:dyDescent="0.35">
      <c r="E8479" s="35"/>
      <c r="J8479" s="41"/>
    </row>
    <row r="8480" spans="5:10" s="34" customFormat="1" x14ac:dyDescent="0.35">
      <c r="E8480" s="35"/>
      <c r="J8480" s="41"/>
    </row>
    <row r="8481" spans="5:10" s="34" customFormat="1" x14ac:dyDescent="0.35">
      <c r="E8481" s="35"/>
      <c r="J8481" s="41"/>
    </row>
    <row r="8482" spans="5:10" s="34" customFormat="1" x14ac:dyDescent="0.35">
      <c r="E8482" s="35"/>
      <c r="J8482" s="41"/>
    </row>
    <row r="8483" spans="5:10" s="34" customFormat="1" x14ac:dyDescent="0.35">
      <c r="E8483" s="35"/>
      <c r="J8483" s="41"/>
    </row>
    <row r="8484" spans="5:10" s="34" customFormat="1" x14ac:dyDescent="0.35">
      <c r="E8484" s="35"/>
      <c r="J8484" s="41"/>
    </row>
    <row r="8485" spans="5:10" s="34" customFormat="1" x14ac:dyDescent="0.35">
      <c r="E8485" s="35"/>
      <c r="J8485" s="41"/>
    </row>
    <row r="8486" spans="5:10" s="34" customFormat="1" x14ac:dyDescent="0.35">
      <c r="E8486" s="35"/>
      <c r="J8486" s="41"/>
    </row>
    <row r="8487" spans="5:10" s="34" customFormat="1" x14ac:dyDescent="0.35">
      <c r="E8487" s="35"/>
      <c r="J8487" s="41"/>
    </row>
    <row r="8488" spans="5:10" s="34" customFormat="1" x14ac:dyDescent="0.35">
      <c r="E8488" s="35"/>
      <c r="J8488" s="41"/>
    </row>
    <row r="8489" spans="5:10" s="34" customFormat="1" x14ac:dyDescent="0.35">
      <c r="E8489" s="35"/>
      <c r="J8489" s="41"/>
    </row>
    <row r="8490" spans="5:10" s="34" customFormat="1" x14ac:dyDescent="0.35">
      <c r="E8490" s="35"/>
      <c r="J8490" s="41"/>
    </row>
    <row r="8491" spans="5:10" s="34" customFormat="1" x14ac:dyDescent="0.35">
      <c r="E8491" s="35"/>
      <c r="J8491" s="41"/>
    </row>
    <row r="8492" spans="5:10" s="34" customFormat="1" x14ac:dyDescent="0.35">
      <c r="E8492" s="35"/>
      <c r="J8492" s="41"/>
    </row>
    <row r="8493" spans="5:10" s="34" customFormat="1" x14ac:dyDescent="0.35">
      <c r="E8493" s="35"/>
      <c r="J8493" s="41"/>
    </row>
    <row r="8494" spans="5:10" s="34" customFormat="1" x14ac:dyDescent="0.35">
      <c r="E8494" s="35"/>
      <c r="J8494" s="41"/>
    </row>
    <row r="8495" spans="5:10" s="34" customFormat="1" x14ac:dyDescent="0.35">
      <c r="E8495" s="35"/>
      <c r="J8495" s="41"/>
    </row>
    <row r="8496" spans="5:10" s="34" customFormat="1" x14ac:dyDescent="0.35">
      <c r="E8496" s="35"/>
      <c r="J8496" s="41"/>
    </row>
    <row r="8497" spans="5:10" s="34" customFormat="1" x14ac:dyDescent="0.35">
      <c r="E8497" s="35"/>
      <c r="J8497" s="41"/>
    </row>
    <row r="8498" spans="5:10" s="34" customFormat="1" x14ac:dyDescent="0.35">
      <c r="E8498" s="35"/>
      <c r="J8498" s="41"/>
    </row>
    <row r="8499" spans="5:10" s="34" customFormat="1" x14ac:dyDescent="0.35">
      <c r="E8499" s="35"/>
      <c r="J8499" s="41"/>
    </row>
    <row r="8500" spans="5:10" s="34" customFormat="1" x14ac:dyDescent="0.35">
      <c r="E8500" s="35"/>
      <c r="J8500" s="41"/>
    </row>
    <row r="8501" spans="5:10" s="34" customFormat="1" x14ac:dyDescent="0.35">
      <c r="E8501" s="35"/>
      <c r="J8501" s="41"/>
    </row>
    <row r="8502" spans="5:10" s="34" customFormat="1" x14ac:dyDescent="0.35">
      <c r="E8502" s="35"/>
      <c r="J8502" s="41"/>
    </row>
    <row r="8503" spans="5:10" s="34" customFormat="1" x14ac:dyDescent="0.35">
      <c r="E8503" s="35"/>
      <c r="J8503" s="41"/>
    </row>
    <row r="8504" spans="5:10" s="34" customFormat="1" x14ac:dyDescent="0.35">
      <c r="E8504" s="35"/>
      <c r="J8504" s="41"/>
    </row>
    <row r="8505" spans="5:10" s="34" customFormat="1" x14ac:dyDescent="0.35">
      <c r="E8505" s="35"/>
      <c r="J8505" s="41"/>
    </row>
    <row r="8506" spans="5:10" s="34" customFormat="1" x14ac:dyDescent="0.35">
      <c r="E8506" s="35"/>
      <c r="J8506" s="41"/>
    </row>
    <row r="8507" spans="5:10" s="34" customFormat="1" x14ac:dyDescent="0.35">
      <c r="E8507" s="35"/>
      <c r="J8507" s="41"/>
    </row>
    <row r="8508" spans="5:10" s="34" customFormat="1" x14ac:dyDescent="0.35">
      <c r="E8508" s="35"/>
      <c r="J8508" s="41"/>
    </row>
    <row r="8509" spans="5:10" s="34" customFormat="1" x14ac:dyDescent="0.35">
      <c r="E8509" s="35"/>
      <c r="J8509" s="41"/>
    </row>
    <row r="8510" spans="5:10" s="34" customFormat="1" x14ac:dyDescent="0.35">
      <c r="E8510" s="35"/>
      <c r="J8510" s="41"/>
    </row>
    <row r="8511" spans="5:10" s="34" customFormat="1" x14ac:dyDescent="0.35">
      <c r="E8511" s="35"/>
      <c r="J8511" s="41"/>
    </row>
    <row r="8512" spans="5:10" s="34" customFormat="1" x14ac:dyDescent="0.35">
      <c r="E8512" s="35"/>
      <c r="J8512" s="41"/>
    </row>
    <row r="8513" spans="5:10" s="34" customFormat="1" x14ac:dyDescent="0.35">
      <c r="E8513" s="35"/>
      <c r="J8513" s="41"/>
    </row>
    <row r="8514" spans="5:10" s="34" customFormat="1" x14ac:dyDescent="0.35">
      <c r="E8514" s="35"/>
      <c r="J8514" s="41"/>
    </row>
    <row r="8515" spans="5:10" s="34" customFormat="1" x14ac:dyDescent="0.35">
      <c r="E8515" s="35"/>
      <c r="J8515" s="41"/>
    </row>
    <row r="8516" spans="5:10" s="34" customFormat="1" x14ac:dyDescent="0.35">
      <c r="E8516" s="35"/>
      <c r="J8516" s="41"/>
    </row>
    <row r="8517" spans="5:10" s="34" customFormat="1" x14ac:dyDescent="0.35">
      <c r="E8517" s="35"/>
      <c r="J8517" s="41"/>
    </row>
    <row r="8518" spans="5:10" s="34" customFormat="1" x14ac:dyDescent="0.35">
      <c r="E8518" s="35"/>
      <c r="J8518" s="41"/>
    </row>
    <row r="8519" spans="5:10" s="34" customFormat="1" x14ac:dyDescent="0.35">
      <c r="E8519" s="35"/>
      <c r="J8519" s="41"/>
    </row>
    <row r="8520" spans="5:10" s="34" customFormat="1" x14ac:dyDescent="0.35">
      <c r="E8520" s="35"/>
      <c r="J8520" s="41"/>
    </row>
    <row r="8521" spans="5:10" s="34" customFormat="1" x14ac:dyDescent="0.35">
      <c r="E8521" s="35"/>
      <c r="J8521" s="41"/>
    </row>
    <row r="8522" spans="5:10" s="34" customFormat="1" x14ac:dyDescent="0.35">
      <c r="E8522" s="35"/>
      <c r="J8522" s="41"/>
    </row>
    <row r="8523" spans="5:10" s="34" customFormat="1" x14ac:dyDescent="0.35">
      <c r="E8523" s="35"/>
      <c r="J8523" s="41"/>
    </row>
    <row r="8524" spans="5:10" s="34" customFormat="1" x14ac:dyDescent="0.35">
      <c r="E8524" s="35"/>
      <c r="J8524" s="41"/>
    </row>
    <row r="8525" spans="5:10" s="34" customFormat="1" x14ac:dyDescent="0.35">
      <c r="E8525" s="35"/>
      <c r="J8525" s="41"/>
    </row>
    <row r="8526" spans="5:10" s="34" customFormat="1" x14ac:dyDescent="0.35">
      <c r="E8526" s="35"/>
      <c r="J8526" s="41"/>
    </row>
    <row r="8527" spans="5:10" s="34" customFormat="1" x14ac:dyDescent="0.35">
      <c r="E8527" s="35"/>
      <c r="J8527" s="41"/>
    </row>
    <row r="8528" spans="5:10" s="34" customFormat="1" x14ac:dyDescent="0.35">
      <c r="E8528" s="35"/>
      <c r="J8528" s="41"/>
    </row>
    <row r="8529" spans="5:10" s="34" customFormat="1" x14ac:dyDescent="0.35">
      <c r="E8529" s="35"/>
      <c r="J8529" s="41"/>
    </row>
    <row r="8530" spans="5:10" s="34" customFormat="1" x14ac:dyDescent="0.35">
      <c r="E8530" s="35"/>
      <c r="J8530" s="41"/>
    </row>
    <row r="8531" spans="5:10" s="34" customFormat="1" x14ac:dyDescent="0.35">
      <c r="E8531" s="35"/>
      <c r="J8531" s="41"/>
    </row>
    <row r="8532" spans="5:10" s="34" customFormat="1" x14ac:dyDescent="0.35">
      <c r="E8532" s="35"/>
      <c r="J8532" s="41"/>
    </row>
    <row r="8533" spans="5:10" s="34" customFormat="1" x14ac:dyDescent="0.35">
      <c r="E8533" s="35"/>
      <c r="J8533" s="41"/>
    </row>
    <row r="8534" spans="5:10" s="34" customFormat="1" x14ac:dyDescent="0.35">
      <c r="E8534" s="35"/>
      <c r="J8534" s="41"/>
    </row>
    <row r="8535" spans="5:10" s="34" customFormat="1" x14ac:dyDescent="0.35">
      <c r="E8535" s="35"/>
      <c r="J8535" s="41"/>
    </row>
    <row r="8536" spans="5:10" s="34" customFormat="1" x14ac:dyDescent="0.35">
      <c r="E8536" s="35"/>
      <c r="J8536" s="41"/>
    </row>
    <row r="8537" spans="5:10" s="34" customFormat="1" x14ac:dyDescent="0.35">
      <c r="E8537" s="35"/>
      <c r="J8537" s="41"/>
    </row>
    <row r="8538" spans="5:10" s="34" customFormat="1" x14ac:dyDescent="0.35">
      <c r="E8538" s="35"/>
      <c r="J8538" s="41"/>
    </row>
    <row r="8539" spans="5:10" s="34" customFormat="1" x14ac:dyDescent="0.35">
      <c r="E8539" s="35"/>
      <c r="J8539" s="41"/>
    </row>
    <row r="8540" spans="5:10" s="34" customFormat="1" x14ac:dyDescent="0.35">
      <c r="E8540" s="35"/>
      <c r="J8540" s="41"/>
    </row>
    <row r="8541" spans="5:10" s="34" customFormat="1" x14ac:dyDescent="0.35">
      <c r="E8541" s="35"/>
      <c r="J8541" s="41"/>
    </row>
    <row r="8542" spans="5:10" s="34" customFormat="1" x14ac:dyDescent="0.35">
      <c r="E8542" s="35"/>
      <c r="J8542" s="41"/>
    </row>
    <row r="8543" spans="5:10" s="34" customFormat="1" x14ac:dyDescent="0.35">
      <c r="E8543" s="35"/>
      <c r="J8543" s="41"/>
    </row>
    <row r="8544" spans="5:10" s="34" customFormat="1" x14ac:dyDescent="0.35">
      <c r="E8544" s="35"/>
      <c r="J8544" s="41"/>
    </row>
    <row r="8545" spans="5:10" s="34" customFormat="1" x14ac:dyDescent="0.35">
      <c r="E8545" s="35"/>
      <c r="J8545" s="41"/>
    </row>
    <row r="8546" spans="5:10" s="34" customFormat="1" x14ac:dyDescent="0.35">
      <c r="E8546" s="35"/>
      <c r="J8546" s="41"/>
    </row>
    <row r="8547" spans="5:10" s="34" customFormat="1" x14ac:dyDescent="0.35">
      <c r="E8547" s="35"/>
      <c r="J8547" s="41"/>
    </row>
    <row r="8548" spans="5:10" s="34" customFormat="1" x14ac:dyDescent="0.35">
      <c r="E8548" s="35"/>
      <c r="J8548" s="41"/>
    </row>
    <row r="8549" spans="5:10" s="34" customFormat="1" x14ac:dyDescent="0.35">
      <c r="E8549" s="35"/>
      <c r="J8549" s="41"/>
    </row>
    <row r="8550" spans="5:10" s="34" customFormat="1" x14ac:dyDescent="0.35">
      <c r="E8550" s="35"/>
      <c r="J8550" s="41"/>
    </row>
    <row r="8551" spans="5:10" s="34" customFormat="1" x14ac:dyDescent="0.35">
      <c r="E8551" s="35"/>
      <c r="J8551" s="41"/>
    </row>
    <row r="8552" spans="5:10" s="34" customFormat="1" x14ac:dyDescent="0.35">
      <c r="E8552" s="35"/>
      <c r="J8552" s="41"/>
    </row>
    <row r="8553" spans="5:10" s="34" customFormat="1" x14ac:dyDescent="0.35">
      <c r="E8553" s="35"/>
      <c r="J8553" s="41"/>
    </row>
    <row r="8554" spans="5:10" s="34" customFormat="1" x14ac:dyDescent="0.35">
      <c r="E8554" s="35"/>
      <c r="J8554" s="41"/>
    </row>
    <row r="8555" spans="5:10" s="34" customFormat="1" x14ac:dyDescent="0.35">
      <c r="E8555" s="35"/>
      <c r="J8555" s="41"/>
    </row>
    <row r="8556" spans="5:10" s="34" customFormat="1" x14ac:dyDescent="0.35">
      <c r="E8556" s="35"/>
      <c r="J8556" s="41"/>
    </row>
    <row r="8557" spans="5:10" s="34" customFormat="1" x14ac:dyDescent="0.35">
      <c r="E8557" s="35"/>
      <c r="J8557" s="41"/>
    </row>
    <row r="8558" spans="5:10" s="34" customFormat="1" x14ac:dyDescent="0.35">
      <c r="E8558" s="35"/>
      <c r="J8558" s="41"/>
    </row>
    <row r="8559" spans="5:10" s="34" customFormat="1" x14ac:dyDescent="0.35">
      <c r="E8559" s="35"/>
      <c r="J8559" s="41"/>
    </row>
    <row r="8560" spans="5:10" s="34" customFormat="1" x14ac:dyDescent="0.35">
      <c r="E8560" s="35"/>
      <c r="J8560" s="41"/>
    </row>
    <row r="8561" spans="5:10" s="34" customFormat="1" x14ac:dyDescent="0.35">
      <c r="E8561" s="35"/>
      <c r="J8561" s="41"/>
    </row>
    <row r="8562" spans="5:10" s="34" customFormat="1" x14ac:dyDescent="0.35">
      <c r="E8562" s="35"/>
      <c r="J8562" s="41"/>
    </row>
    <row r="8563" spans="5:10" s="34" customFormat="1" x14ac:dyDescent="0.35">
      <c r="E8563" s="35"/>
      <c r="J8563" s="41"/>
    </row>
    <row r="8564" spans="5:10" s="34" customFormat="1" x14ac:dyDescent="0.35">
      <c r="E8564" s="35"/>
      <c r="J8564" s="41"/>
    </row>
    <row r="8565" spans="5:10" s="34" customFormat="1" x14ac:dyDescent="0.35">
      <c r="E8565" s="35"/>
      <c r="J8565" s="41"/>
    </row>
    <row r="8566" spans="5:10" s="34" customFormat="1" x14ac:dyDescent="0.35">
      <c r="E8566" s="35"/>
      <c r="J8566" s="41"/>
    </row>
    <row r="8567" spans="5:10" s="34" customFormat="1" x14ac:dyDescent="0.35">
      <c r="E8567" s="35"/>
      <c r="J8567" s="41"/>
    </row>
    <row r="8568" spans="5:10" s="34" customFormat="1" x14ac:dyDescent="0.35">
      <c r="E8568" s="35"/>
      <c r="J8568" s="41"/>
    </row>
    <row r="8569" spans="5:10" s="34" customFormat="1" x14ac:dyDescent="0.35">
      <c r="E8569" s="35"/>
      <c r="J8569" s="41"/>
    </row>
    <row r="8570" spans="5:10" s="34" customFormat="1" x14ac:dyDescent="0.35">
      <c r="E8570" s="35"/>
      <c r="J8570" s="41"/>
    </row>
    <row r="8571" spans="5:10" s="34" customFormat="1" x14ac:dyDescent="0.35">
      <c r="E8571" s="35"/>
      <c r="J8571" s="41"/>
    </row>
    <row r="8572" spans="5:10" s="34" customFormat="1" x14ac:dyDescent="0.35">
      <c r="E8572" s="35"/>
      <c r="J8572" s="41"/>
    </row>
    <row r="8573" spans="5:10" s="34" customFormat="1" x14ac:dyDescent="0.35">
      <c r="E8573" s="35"/>
      <c r="J8573" s="41"/>
    </row>
    <row r="8574" spans="5:10" s="34" customFormat="1" x14ac:dyDescent="0.35">
      <c r="E8574" s="35"/>
      <c r="J8574" s="41"/>
    </row>
    <row r="8575" spans="5:10" s="34" customFormat="1" x14ac:dyDescent="0.35">
      <c r="E8575" s="35"/>
      <c r="J8575" s="41"/>
    </row>
    <row r="8576" spans="5:10" s="34" customFormat="1" x14ac:dyDescent="0.35">
      <c r="E8576" s="35"/>
      <c r="J8576" s="41"/>
    </row>
    <row r="8577" spans="5:10" s="34" customFormat="1" x14ac:dyDescent="0.35">
      <c r="E8577" s="35"/>
      <c r="J8577" s="41"/>
    </row>
    <row r="8578" spans="5:10" s="34" customFormat="1" x14ac:dyDescent="0.35">
      <c r="E8578" s="35"/>
      <c r="J8578" s="41"/>
    </row>
    <row r="8579" spans="5:10" s="34" customFormat="1" x14ac:dyDescent="0.35">
      <c r="E8579" s="35"/>
      <c r="J8579" s="41"/>
    </row>
    <row r="8580" spans="5:10" s="34" customFormat="1" x14ac:dyDescent="0.35">
      <c r="E8580" s="35"/>
      <c r="J8580" s="41"/>
    </row>
    <row r="8581" spans="5:10" s="34" customFormat="1" x14ac:dyDescent="0.35">
      <c r="E8581" s="35"/>
      <c r="J8581" s="41"/>
    </row>
    <row r="8582" spans="5:10" s="34" customFormat="1" x14ac:dyDescent="0.35">
      <c r="E8582" s="35"/>
      <c r="J8582" s="41"/>
    </row>
    <row r="8583" spans="5:10" s="34" customFormat="1" x14ac:dyDescent="0.35">
      <c r="E8583" s="35"/>
      <c r="J8583" s="41"/>
    </row>
    <row r="8584" spans="5:10" s="34" customFormat="1" x14ac:dyDescent="0.35">
      <c r="E8584" s="35"/>
      <c r="J8584" s="41"/>
    </row>
    <row r="8585" spans="5:10" s="34" customFormat="1" x14ac:dyDescent="0.35">
      <c r="E8585" s="35"/>
      <c r="J8585" s="41"/>
    </row>
    <row r="8586" spans="5:10" s="34" customFormat="1" x14ac:dyDescent="0.35">
      <c r="E8586" s="35"/>
      <c r="J8586" s="41"/>
    </row>
    <row r="8587" spans="5:10" s="34" customFormat="1" x14ac:dyDescent="0.35">
      <c r="E8587" s="35"/>
      <c r="J8587" s="41"/>
    </row>
    <row r="8588" spans="5:10" s="34" customFormat="1" x14ac:dyDescent="0.35">
      <c r="E8588" s="35"/>
      <c r="J8588" s="41"/>
    </row>
    <row r="8589" spans="5:10" s="34" customFormat="1" x14ac:dyDescent="0.35">
      <c r="E8589" s="35"/>
      <c r="J8589" s="41"/>
    </row>
    <row r="8590" spans="5:10" s="34" customFormat="1" x14ac:dyDescent="0.35">
      <c r="E8590" s="35"/>
      <c r="J8590" s="41"/>
    </row>
    <row r="8591" spans="5:10" s="34" customFormat="1" x14ac:dyDescent="0.35">
      <c r="E8591" s="35"/>
      <c r="J8591" s="41"/>
    </row>
    <row r="8592" spans="5:10" s="34" customFormat="1" x14ac:dyDescent="0.35">
      <c r="E8592" s="35"/>
      <c r="J8592" s="41"/>
    </row>
    <row r="8593" spans="5:10" s="34" customFormat="1" x14ac:dyDescent="0.35">
      <c r="E8593" s="35"/>
      <c r="J8593" s="41"/>
    </row>
    <row r="8594" spans="5:10" s="34" customFormat="1" x14ac:dyDescent="0.35">
      <c r="E8594" s="35"/>
      <c r="J8594" s="41"/>
    </row>
    <row r="8595" spans="5:10" s="34" customFormat="1" x14ac:dyDescent="0.35">
      <c r="E8595" s="35"/>
      <c r="J8595" s="41"/>
    </row>
    <row r="8596" spans="5:10" s="34" customFormat="1" x14ac:dyDescent="0.35">
      <c r="E8596" s="35"/>
      <c r="J8596" s="41"/>
    </row>
    <row r="8597" spans="5:10" s="34" customFormat="1" x14ac:dyDescent="0.35">
      <c r="E8597" s="35"/>
      <c r="J8597" s="41"/>
    </row>
    <row r="8598" spans="5:10" s="34" customFormat="1" x14ac:dyDescent="0.35">
      <c r="E8598" s="35"/>
      <c r="J8598" s="41"/>
    </row>
    <row r="8599" spans="5:10" s="34" customFormat="1" x14ac:dyDescent="0.35">
      <c r="E8599" s="35"/>
      <c r="J8599" s="41"/>
    </row>
    <row r="8600" spans="5:10" s="34" customFormat="1" x14ac:dyDescent="0.35">
      <c r="E8600" s="35"/>
      <c r="J8600" s="41"/>
    </row>
    <row r="8601" spans="5:10" s="34" customFormat="1" x14ac:dyDescent="0.35">
      <c r="E8601" s="35"/>
      <c r="J8601" s="41"/>
    </row>
    <row r="8602" spans="5:10" s="34" customFormat="1" x14ac:dyDescent="0.35">
      <c r="E8602" s="35"/>
      <c r="J8602" s="41"/>
    </row>
    <row r="8603" spans="5:10" s="34" customFormat="1" x14ac:dyDescent="0.35">
      <c r="E8603" s="35"/>
      <c r="J8603" s="41"/>
    </row>
    <row r="8604" spans="5:10" s="34" customFormat="1" x14ac:dyDescent="0.35">
      <c r="E8604" s="35"/>
      <c r="J8604" s="41"/>
    </row>
    <row r="8605" spans="5:10" s="34" customFormat="1" x14ac:dyDescent="0.35">
      <c r="E8605" s="35"/>
      <c r="J8605" s="41"/>
    </row>
    <row r="8606" spans="5:10" s="34" customFormat="1" x14ac:dyDescent="0.35">
      <c r="E8606" s="35"/>
      <c r="J8606" s="41"/>
    </row>
    <row r="8607" spans="5:10" s="34" customFormat="1" x14ac:dyDescent="0.35">
      <c r="E8607" s="35"/>
      <c r="J8607" s="41"/>
    </row>
    <row r="8608" spans="5:10" s="34" customFormat="1" x14ac:dyDescent="0.35">
      <c r="E8608" s="35"/>
      <c r="J8608" s="41"/>
    </row>
    <row r="8609" spans="5:10" s="34" customFormat="1" x14ac:dyDescent="0.35">
      <c r="E8609" s="35"/>
      <c r="J8609" s="41"/>
    </row>
    <row r="8610" spans="5:10" s="34" customFormat="1" x14ac:dyDescent="0.35">
      <c r="E8610" s="35"/>
      <c r="J8610" s="41"/>
    </row>
    <row r="8611" spans="5:10" s="34" customFormat="1" x14ac:dyDescent="0.35">
      <c r="E8611" s="35"/>
      <c r="J8611" s="41"/>
    </row>
    <row r="8612" spans="5:10" s="34" customFormat="1" x14ac:dyDescent="0.35">
      <c r="E8612" s="35"/>
      <c r="J8612" s="41"/>
    </row>
    <row r="8613" spans="5:10" s="34" customFormat="1" x14ac:dyDescent="0.35">
      <c r="E8613" s="35"/>
      <c r="J8613" s="41"/>
    </row>
    <row r="8614" spans="5:10" s="34" customFormat="1" x14ac:dyDescent="0.35">
      <c r="E8614" s="35"/>
      <c r="J8614" s="41"/>
    </row>
    <row r="8615" spans="5:10" s="34" customFormat="1" x14ac:dyDescent="0.35">
      <c r="E8615" s="35"/>
      <c r="J8615" s="41"/>
    </row>
    <row r="8616" spans="5:10" s="34" customFormat="1" x14ac:dyDescent="0.35">
      <c r="E8616" s="35"/>
      <c r="J8616" s="41"/>
    </row>
    <row r="8617" spans="5:10" s="34" customFormat="1" x14ac:dyDescent="0.35">
      <c r="E8617" s="35"/>
      <c r="J8617" s="41"/>
    </row>
    <row r="8618" spans="5:10" s="34" customFormat="1" x14ac:dyDescent="0.35">
      <c r="E8618" s="35"/>
      <c r="J8618" s="41"/>
    </row>
    <row r="8619" spans="5:10" s="34" customFormat="1" x14ac:dyDescent="0.35">
      <c r="E8619" s="35"/>
      <c r="J8619" s="41"/>
    </row>
    <row r="8620" spans="5:10" s="34" customFormat="1" x14ac:dyDescent="0.35">
      <c r="E8620" s="35"/>
      <c r="J8620" s="41"/>
    </row>
    <row r="8621" spans="5:10" s="34" customFormat="1" x14ac:dyDescent="0.35">
      <c r="E8621" s="35"/>
      <c r="J8621" s="41"/>
    </row>
    <row r="8622" spans="5:10" s="34" customFormat="1" x14ac:dyDescent="0.35">
      <c r="E8622" s="35"/>
      <c r="J8622" s="41"/>
    </row>
    <row r="8623" spans="5:10" s="34" customFormat="1" x14ac:dyDescent="0.35">
      <c r="E8623" s="35"/>
      <c r="J8623" s="41"/>
    </row>
    <row r="8624" spans="5:10" s="34" customFormat="1" x14ac:dyDescent="0.35">
      <c r="E8624" s="35"/>
      <c r="J8624" s="41"/>
    </row>
    <row r="8625" spans="5:10" s="34" customFormat="1" x14ac:dyDescent="0.35">
      <c r="E8625" s="35"/>
      <c r="J8625" s="41"/>
    </row>
    <row r="8626" spans="5:10" s="34" customFormat="1" x14ac:dyDescent="0.35">
      <c r="E8626" s="35"/>
      <c r="J8626" s="41"/>
    </row>
    <row r="8627" spans="5:10" s="34" customFormat="1" x14ac:dyDescent="0.35">
      <c r="E8627" s="35"/>
      <c r="J8627" s="41"/>
    </row>
    <row r="8628" spans="5:10" s="34" customFormat="1" x14ac:dyDescent="0.35">
      <c r="E8628" s="35"/>
      <c r="J8628" s="41"/>
    </row>
    <row r="8629" spans="5:10" s="34" customFormat="1" x14ac:dyDescent="0.35">
      <c r="E8629" s="35"/>
      <c r="J8629" s="41"/>
    </row>
    <row r="8630" spans="5:10" s="34" customFormat="1" x14ac:dyDescent="0.35">
      <c r="E8630" s="35"/>
      <c r="J8630" s="41"/>
    </row>
    <row r="8631" spans="5:10" s="34" customFormat="1" x14ac:dyDescent="0.35">
      <c r="E8631" s="35"/>
      <c r="J8631" s="41"/>
    </row>
    <row r="8632" spans="5:10" s="34" customFormat="1" x14ac:dyDescent="0.35">
      <c r="E8632" s="35"/>
      <c r="J8632" s="41"/>
    </row>
    <row r="8633" spans="5:10" s="34" customFormat="1" x14ac:dyDescent="0.35">
      <c r="E8633" s="35"/>
      <c r="J8633" s="41"/>
    </row>
    <row r="8634" spans="5:10" s="34" customFormat="1" x14ac:dyDescent="0.35">
      <c r="E8634" s="35"/>
      <c r="J8634" s="41"/>
    </row>
    <row r="8635" spans="5:10" s="34" customFormat="1" x14ac:dyDescent="0.35">
      <c r="E8635" s="35"/>
      <c r="J8635" s="41"/>
    </row>
    <row r="8636" spans="5:10" s="34" customFormat="1" x14ac:dyDescent="0.35">
      <c r="E8636" s="35"/>
      <c r="J8636" s="41"/>
    </row>
    <row r="8637" spans="5:10" s="34" customFormat="1" x14ac:dyDescent="0.35">
      <c r="E8637" s="35"/>
      <c r="J8637" s="41"/>
    </row>
    <row r="8638" spans="5:10" s="34" customFormat="1" x14ac:dyDescent="0.35">
      <c r="E8638" s="35"/>
      <c r="J8638" s="41"/>
    </row>
    <row r="8639" spans="5:10" s="34" customFormat="1" x14ac:dyDescent="0.35">
      <c r="E8639" s="35"/>
      <c r="J8639" s="41"/>
    </row>
    <row r="8640" spans="5:10" s="34" customFormat="1" x14ac:dyDescent="0.35">
      <c r="E8640" s="35"/>
      <c r="J8640" s="41"/>
    </row>
    <row r="8641" spans="5:10" s="34" customFormat="1" x14ac:dyDescent="0.35">
      <c r="E8641" s="35"/>
      <c r="J8641" s="41"/>
    </row>
    <row r="8642" spans="5:10" s="34" customFormat="1" x14ac:dyDescent="0.35">
      <c r="E8642" s="35"/>
      <c r="J8642" s="41"/>
    </row>
    <row r="8643" spans="5:10" s="34" customFormat="1" x14ac:dyDescent="0.35">
      <c r="E8643" s="35"/>
      <c r="J8643" s="41"/>
    </row>
    <row r="8644" spans="5:10" s="34" customFormat="1" x14ac:dyDescent="0.35">
      <c r="E8644" s="35"/>
      <c r="J8644" s="41"/>
    </row>
    <row r="8645" spans="5:10" s="34" customFormat="1" x14ac:dyDescent="0.35">
      <c r="E8645" s="35"/>
      <c r="J8645" s="41"/>
    </row>
    <row r="8646" spans="5:10" s="34" customFormat="1" x14ac:dyDescent="0.35">
      <c r="E8646" s="35"/>
      <c r="J8646" s="41"/>
    </row>
    <row r="8647" spans="5:10" s="34" customFormat="1" x14ac:dyDescent="0.35">
      <c r="E8647" s="35"/>
      <c r="J8647" s="41"/>
    </row>
    <row r="8648" spans="5:10" s="34" customFormat="1" x14ac:dyDescent="0.35">
      <c r="E8648" s="35"/>
      <c r="J8648" s="41"/>
    </row>
    <row r="8649" spans="5:10" s="34" customFormat="1" x14ac:dyDescent="0.35">
      <c r="E8649" s="35"/>
      <c r="J8649" s="41"/>
    </row>
    <row r="8650" spans="5:10" s="34" customFormat="1" x14ac:dyDescent="0.35">
      <c r="E8650" s="35"/>
      <c r="J8650" s="41"/>
    </row>
    <row r="8651" spans="5:10" s="34" customFormat="1" x14ac:dyDescent="0.35">
      <c r="E8651" s="35"/>
      <c r="J8651" s="41"/>
    </row>
    <row r="8652" spans="5:10" s="34" customFormat="1" x14ac:dyDescent="0.35">
      <c r="E8652" s="35"/>
      <c r="J8652" s="41"/>
    </row>
    <row r="8653" spans="5:10" s="34" customFormat="1" x14ac:dyDescent="0.35">
      <c r="E8653" s="35"/>
      <c r="J8653" s="41"/>
    </row>
    <row r="8654" spans="5:10" s="34" customFormat="1" x14ac:dyDescent="0.35">
      <c r="E8654" s="35"/>
      <c r="J8654" s="41"/>
    </row>
    <row r="8655" spans="5:10" s="34" customFormat="1" x14ac:dyDescent="0.35">
      <c r="E8655" s="35"/>
      <c r="J8655" s="41"/>
    </row>
    <row r="8656" spans="5:10" s="34" customFormat="1" x14ac:dyDescent="0.35">
      <c r="E8656" s="35"/>
      <c r="J8656" s="41"/>
    </row>
    <row r="8657" spans="5:10" s="34" customFormat="1" x14ac:dyDescent="0.35">
      <c r="E8657" s="35"/>
      <c r="J8657" s="41"/>
    </row>
    <row r="8658" spans="5:10" s="34" customFormat="1" x14ac:dyDescent="0.35">
      <c r="E8658" s="35"/>
      <c r="J8658" s="41"/>
    </row>
    <row r="8659" spans="5:10" s="34" customFormat="1" x14ac:dyDescent="0.35">
      <c r="E8659" s="35"/>
      <c r="J8659" s="41"/>
    </row>
    <row r="8660" spans="5:10" s="34" customFormat="1" x14ac:dyDescent="0.35">
      <c r="E8660" s="35"/>
      <c r="J8660" s="41"/>
    </row>
    <row r="8661" spans="5:10" s="34" customFormat="1" x14ac:dyDescent="0.35">
      <c r="E8661" s="35"/>
      <c r="J8661" s="41"/>
    </row>
    <row r="8662" spans="5:10" s="34" customFormat="1" x14ac:dyDescent="0.35">
      <c r="E8662" s="35"/>
      <c r="J8662" s="41"/>
    </row>
    <row r="8663" spans="5:10" s="34" customFormat="1" x14ac:dyDescent="0.35">
      <c r="E8663" s="35"/>
      <c r="J8663" s="41"/>
    </row>
    <row r="8664" spans="5:10" s="34" customFormat="1" x14ac:dyDescent="0.35">
      <c r="E8664" s="35"/>
      <c r="J8664" s="41"/>
    </row>
    <row r="8665" spans="5:10" s="34" customFormat="1" x14ac:dyDescent="0.35">
      <c r="E8665" s="35"/>
      <c r="J8665" s="41"/>
    </row>
    <row r="8666" spans="5:10" s="34" customFormat="1" x14ac:dyDescent="0.35">
      <c r="E8666" s="35"/>
      <c r="J8666" s="41"/>
    </row>
    <row r="8667" spans="5:10" s="34" customFormat="1" x14ac:dyDescent="0.35">
      <c r="E8667" s="35"/>
      <c r="J8667" s="41"/>
    </row>
    <row r="8668" spans="5:10" s="34" customFormat="1" x14ac:dyDescent="0.35">
      <c r="E8668" s="35"/>
      <c r="J8668" s="41"/>
    </row>
    <row r="8669" spans="5:10" s="34" customFormat="1" x14ac:dyDescent="0.35">
      <c r="E8669" s="35"/>
      <c r="J8669" s="41"/>
    </row>
    <row r="8670" spans="5:10" s="34" customFormat="1" x14ac:dyDescent="0.35">
      <c r="E8670" s="35"/>
      <c r="J8670" s="41"/>
    </row>
    <row r="8671" spans="5:10" s="34" customFormat="1" x14ac:dyDescent="0.35">
      <c r="E8671" s="35"/>
      <c r="J8671" s="41"/>
    </row>
    <row r="8672" spans="5:10" s="34" customFormat="1" x14ac:dyDescent="0.35">
      <c r="E8672" s="35"/>
      <c r="J8672" s="41"/>
    </row>
    <row r="8673" spans="5:10" s="34" customFormat="1" x14ac:dyDescent="0.35">
      <c r="E8673" s="35"/>
      <c r="J8673" s="41"/>
    </row>
    <row r="8674" spans="5:10" s="34" customFormat="1" x14ac:dyDescent="0.35">
      <c r="E8674" s="35"/>
      <c r="J8674" s="41"/>
    </row>
    <row r="8675" spans="5:10" s="34" customFormat="1" x14ac:dyDescent="0.35">
      <c r="E8675" s="35"/>
      <c r="J8675" s="41"/>
    </row>
    <row r="8676" spans="5:10" s="34" customFormat="1" x14ac:dyDescent="0.35">
      <c r="E8676" s="35"/>
      <c r="J8676" s="41"/>
    </row>
    <row r="8677" spans="5:10" s="34" customFormat="1" x14ac:dyDescent="0.35">
      <c r="E8677" s="35"/>
      <c r="J8677" s="41"/>
    </row>
    <row r="8678" spans="5:10" s="34" customFormat="1" x14ac:dyDescent="0.35">
      <c r="E8678" s="35"/>
      <c r="J8678" s="41"/>
    </row>
    <row r="8679" spans="5:10" s="34" customFormat="1" x14ac:dyDescent="0.35">
      <c r="E8679" s="35"/>
      <c r="J8679" s="41"/>
    </row>
    <row r="8680" spans="5:10" s="34" customFormat="1" x14ac:dyDescent="0.35">
      <c r="E8680" s="35"/>
      <c r="J8680" s="41"/>
    </row>
    <row r="8681" spans="5:10" s="34" customFormat="1" x14ac:dyDescent="0.35">
      <c r="E8681" s="35"/>
      <c r="J8681" s="41"/>
    </row>
    <row r="8682" spans="5:10" s="34" customFormat="1" x14ac:dyDescent="0.35">
      <c r="E8682" s="35"/>
      <c r="J8682" s="41"/>
    </row>
    <row r="8683" spans="5:10" s="34" customFormat="1" x14ac:dyDescent="0.35">
      <c r="E8683" s="35"/>
      <c r="J8683" s="41"/>
    </row>
    <row r="8684" spans="5:10" s="34" customFormat="1" x14ac:dyDescent="0.35">
      <c r="E8684" s="35"/>
      <c r="J8684" s="41"/>
    </row>
    <row r="8685" spans="5:10" s="34" customFormat="1" x14ac:dyDescent="0.35">
      <c r="E8685" s="35"/>
      <c r="J8685" s="41"/>
    </row>
    <row r="8686" spans="5:10" s="34" customFormat="1" x14ac:dyDescent="0.35">
      <c r="E8686" s="35"/>
      <c r="J8686" s="41"/>
    </row>
    <row r="8687" spans="5:10" s="34" customFormat="1" x14ac:dyDescent="0.35">
      <c r="E8687" s="35"/>
      <c r="J8687" s="41"/>
    </row>
    <row r="8688" spans="5:10" s="34" customFormat="1" x14ac:dyDescent="0.35">
      <c r="E8688" s="35"/>
      <c r="J8688" s="41"/>
    </row>
    <row r="8689" spans="5:10" s="34" customFormat="1" x14ac:dyDescent="0.35">
      <c r="E8689" s="35"/>
      <c r="J8689" s="41"/>
    </row>
    <row r="8690" spans="5:10" s="34" customFormat="1" x14ac:dyDescent="0.35">
      <c r="E8690" s="35"/>
      <c r="J8690" s="41"/>
    </row>
    <row r="8691" spans="5:10" s="34" customFormat="1" x14ac:dyDescent="0.35">
      <c r="E8691" s="35"/>
      <c r="J8691" s="41"/>
    </row>
    <row r="8692" spans="5:10" s="34" customFormat="1" x14ac:dyDescent="0.35">
      <c r="E8692" s="35"/>
      <c r="J8692" s="41"/>
    </row>
    <row r="8693" spans="5:10" s="34" customFormat="1" x14ac:dyDescent="0.35">
      <c r="E8693" s="35"/>
      <c r="J8693" s="41"/>
    </row>
    <row r="8694" spans="5:10" s="34" customFormat="1" x14ac:dyDescent="0.35">
      <c r="E8694" s="35"/>
      <c r="J8694" s="41"/>
    </row>
    <row r="8695" spans="5:10" s="34" customFormat="1" x14ac:dyDescent="0.35">
      <c r="E8695" s="35"/>
      <c r="J8695" s="41"/>
    </row>
    <row r="8696" spans="5:10" s="34" customFormat="1" x14ac:dyDescent="0.35">
      <c r="E8696" s="35"/>
      <c r="J8696" s="41"/>
    </row>
    <row r="8697" spans="5:10" s="34" customFormat="1" x14ac:dyDescent="0.35">
      <c r="E8697" s="35"/>
      <c r="J8697" s="41"/>
    </row>
    <row r="8698" spans="5:10" s="34" customFormat="1" x14ac:dyDescent="0.35">
      <c r="E8698" s="35"/>
      <c r="J8698" s="41"/>
    </row>
    <row r="8699" spans="5:10" s="34" customFormat="1" x14ac:dyDescent="0.35">
      <c r="E8699" s="35"/>
      <c r="J8699" s="41"/>
    </row>
    <row r="8700" spans="5:10" s="34" customFormat="1" x14ac:dyDescent="0.35">
      <c r="E8700" s="35"/>
      <c r="J8700" s="41"/>
    </row>
    <row r="8701" spans="5:10" s="34" customFormat="1" x14ac:dyDescent="0.35">
      <c r="E8701" s="35"/>
      <c r="J8701" s="41"/>
    </row>
    <row r="8702" spans="5:10" s="34" customFormat="1" x14ac:dyDescent="0.35">
      <c r="E8702" s="35"/>
      <c r="J8702" s="41"/>
    </row>
    <row r="8703" spans="5:10" s="34" customFormat="1" x14ac:dyDescent="0.35">
      <c r="E8703" s="35"/>
      <c r="J8703" s="41"/>
    </row>
    <row r="8704" spans="5:10" s="34" customFormat="1" x14ac:dyDescent="0.35">
      <c r="E8704" s="35"/>
      <c r="J8704" s="41"/>
    </row>
    <row r="8705" spans="5:10" s="34" customFormat="1" x14ac:dyDescent="0.35">
      <c r="E8705" s="35"/>
      <c r="J8705" s="41"/>
    </row>
    <row r="8706" spans="5:10" s="34" customFormat="1" x14ac:dyDescent="0.35">
      <c r="E8706" s="35"/>
      <c r="J8706" s="41"/>
    </row>
    <row r="8707" spans="5:10" s="34" customFormat="1" x14ac:dyDescent="0.35">
      <c r="E8707" s="35"/>
      <c r="J8707" s="41"/>
    </row>
    <row r="8708" spans="5:10" s="34" customFormat="1" x14ac:dyDescent="0.35">
      <c r="E8708" s="35"/>
      <c r="J8708" s="41"/>
    </row>
    <row r="8709" spans="5:10" s="34" customFormat="1" x14ac:dyDescent="0.35">
      <c r="E8709" s="35"/>
      <c r="J8709" s="41"/>
    </row>
    <row r="8710" spans="5:10" s="34" customFormat="1" x14ac:dyDescent="0.35">
      <c r="E8710" s="35"/>
      <c r="J8710" s="41"/>
    </row>
    <row r="8711" spans="5:10" s="34" customFormat="1" x14ac:dyDescent="0.35">
      <c r="E8711" s="35"/>
      <c r="J8711" s="41"/>
    </row>
    <row r="8712" spans="5:10" s="34" customFormat="1" x14ac:dyDescent="0.35">
      <c r="E8712" s="35"/>
      <c r="J8712" s="41"/>
    </row>
    <row r="8713" spans="5:10" s="34" customFormat="1" x14ac:dyDescent="0.35">
      <c r="E8713" s="35"/>
      <c r="J8713" s="41"/>
    </row>
    <row r="8714" spans="5:10" s="34" customFormat="1" x14ac:dyDescent="0.35">
      <c r="E8714" s="35"/>
      <c r="J8714" s="41"/>
    </row>
    <row r="8715" spans="5:10" s="34" customFormat="1" x14ac:dyDescent="0.35">
      <c r="E8715" s="35"/>
      <c r="J8715" s="41"/>
    </row>
    <row r="8716" spans="5:10" s="34" customFormat="1" x14ac:dyDescent="0.35">
      <c r="E8716" s="35"/>
      <c r="J8716" s="41"/>
    </row>
    <row r="8717" spans="5:10" s="34" customFormat="1" x14ac:dyDescent="0.35">
      <c r="E8717" s="35"/>
      <c r="J8717" s="41"/>
    </row>
    <row r="8718" spans="5:10" s="34" customFormat="1" x14ac:dyDescent="0.35">
      <c r="E8718" s="35"/>
      <c r="J8718" s="41"/>
    </row>
    <row r="8719" spans="5:10" s="34" customFormat="1" x14ac:dyDescent="0.35">
      <c r="E8719" s="35"/>
      <c r="J8719" s="41"/>
    </row>
    <row r="8720" spans="5:10" s="34" customFormat="1" x14ac:dyDescent="0.35">
      <c r="E8720" s="35"/>
      <c r="J8720" s="41"/>
    </row>
    <row r="8721" spans="5:10" s="34" customFormat="1" x14ac:dyDescent="0.35">
      <c r="E8721" s="35"/>
      <c r="J8721" s="41"/>
    </row>
    <row r="8722" spans="5:10" s="34" customFormat="1" x14ac:dyDescent="0.35">
      <c r="E8722" s="35"/>
      <c r="J8722" s="41"/>
    </row>
    <row r="8723" spans="5:10" s="34" customFormat="1" x14ac:dyDescent="0.35">
      <c r="E8723" s="35"/>
      <c r="J8723" s="41"/>
    </row>
    <row r="8724" spans="5:10" s="34" customFormat="1" x14ac:dyDescent="0.35">
      <c r="E8724" s="35"/>
      <c r="J8724" s="41"/>
    </row>
    <row r="8725" spans="5:10" s="34" customFormat="1" x14ac:dyDescent="0.35">
      <c r="E8725" s="35"/>
      <c r="J8725" s="41"/>
    </row>
    <row r="8726" spans="5:10" s="34" customFormat="1" x14ac:dyDescent="0.35">
      <c r="E8726" s="35"/>
      <c r="J8726" s="41"/>
    </row>
    <row r="8727" spans="5:10" s="34" customFormat="1" x14ac:dyDescent="0.35">
      <c r="E8727" s="35"/>
      <c r="J8727" s="41"/>
    </row>
    <row r="8728" spans="5:10" s="34" customFormat="1" x14ac:dyDescent="0.35">
      <c r="E8728" s="35"/>
      <c r="J8728" s="41"/>
    </row>
    <row r="8729" spans="5:10" s="34" customFormat="1" x14ac:dyDescent="0.35">
      <c r="E8729" s="35"/>
      <c r="J8729" s="41"/>
    </row>
    <row r="8730" spans="5:10" s="34" customFormat="1" x14ac:dyDescent="0.35">
      <c r="E8730" s="35"/>
      <c r="J8730" s="41"/>
    </row>
    <row r="8731" spans="5:10" s="34" customFormat="1" x14ac:dyDescent="0.35">
      <c r="E8731" s="35"/>
      <c r="J8731" s="41"/>
    </row>
    <row r="8732" spans="5:10" s="34" customFormat="1" x14ac:dyDescent="0.35">
      <c r="E8732" s="35"/>
      <c r="J8732" s="41"/>
    </row>
    <row r="8733" spans="5:10" s="34" customFormat="1" x14ac:dyDescent="0.35">
      <c r="E8733" s="35"/>
      <c r="J8733" s="41"/>
    </row>
    <row r="8734" spans="5:10" s="34" customFormat="1" x14ac:dyDescent="0.35">
      <c r="E8734" s="35"/>
      <c r="J8734" s="41"/>
    </row>
    <row r="8735" spans="5:10" s="34" customFormat="1" x14ac:dyDescent="0.35">
      <c r="E8735" s="35"/>
      <c r="J8735" s="41"/>
    </row>
    <row r="8736" spans="5:10" s="34" customFormat="1" x14ac:dyDescent="0.35">
      <c r="E8736" s="35"/>
      <c r="J8736" s="41"/>
    </row>
    <row r="8737" spans="5:10" s="34" customFormat="1" x14ac:dyDescent="0.35">
      <c r="E8737" s="35"/>
      <c r="J8737" s="41"/>
    </row>
    <row r="8738" spans="5:10" s="34" customFormat="1" x14ac:dyDescent="0.35">
      <c r="E8738" s="35"/>
      <c r="J8738" s="41"/>
    </row>
    <row r="8739" spans="5:10" s="34" customFormat="1" x14ac:dyDescent="0.35">
      <c r="E8739" s="35"/>
      <c r="J8739" s="41"/>
    </row>
    <row r="8740" spans="5:10" s="34" customFormat="1" x14ac:dyDescent="0.35">
      <c r="E8740" s="35"/>
      <c r="J8740" s="41"/>
    </row>
    <row r="8741" spans="5:10" s="34" customFormat="1" x14ac:dyDescent="0.35">
      <c r="E8741" s="35"/>
      <c r="J8741" s="41"/>
    </row>
    <row r="8742" spans="5:10" s="34" customFormat="1" x14ac:dyDescent="0.35">
      <c r="E8742" s="35"/>
      <c r="J8742" s="41"/>
    </row>
    <row r="8743" spans="5:10" s="34" customFormat="1" x14ac:dyDescent="0.35">
      <c r="E8743" s="35"/>
      <c r="J8743" s="41"/>
    </row>
    <row r="8744" spans="5:10" s="34" customFormat="1" x14ac:dyDescent="0.35">
      <c r="E8744" s="35"/>
      <c r="J8744" s="41"/>
    </row>
    <row r="8745" spans="5:10" s="34" customFormat="1" x14ac:dyDescent="0.35">
      <c r="E8745" s="35"/>
      <c r="J8745" s="41"/>
    </row>
    <row r="8746" spans="5:10" s="34" customFormat="1" x14ac:dyDescent="0.35">
      <c r="E8746" s="35"/>
      <c r="J8746" s="41"/>
    </row>
    <row r="8747" spans="5:10" s="34" customFormat="1" x14ac:dyDescent="0.35">
      <c r="E8747" s="35"/>
      <c r="J8747" s="41"/>
    </row>
    <row r="8748" spans="5:10" s="34" customFormat="1" x14ac:dyDescent="0.35">
      <c r="E8748" s="35"/>
      <c r="J8748" s="41"/>
    </row>
    <row r="8749" spans="5:10" s="34" customFormat="1" x14ac:dyDescent="0.35">
      <c r="E8749" s="35"/>
      <c r="J8749" s="41"/>
    </row>
    <row r="8750" spans="5:10" s="34" customFormat="1" x14ac:dyDescent="0.35">
      <c r="E8750" s="35"/>
      <c r="J8750" s="41"/>
    </row>
    <row r="8751" spans="5:10" s="34" customFormat="1" x14ac:dyDescent="0.35">
      <c r="E8751" s="35"/>
      <c r="J8751" s="41"/>
    </row>
    <row r="8752" spans="5:10" s="34" customFormat="1" x14ac:dyDescent="0.35">
      <c r="E8752" s="35"/>
      <c r="J8752" s="41"/>
    </row>
    <row r="8753" spans="5:10" s="34" customFormat="1" x14ac:dyDescent="0.35">
      <c r="E8753" s="35"/>
      <c r="J8753" s="41"/>
    </row>
    <row r="8754" spans="5:10" s="34" customFormat="1" x14ac:dyDescent="0.35">
      <c r="E8754" s="35"/>
      <c r="J8754" s="41"/>
    </row>
    <row r="8755" spans="5:10" s="34" customFormat="1" x14ac:dyDescent="0.35">
      <c r="E8755" s="35"/>
      <c r="J8755" s="41"/>
    </row>
    <row r="8756" spans="5:10" s="34" customFormat="1" x14ac:dyDescent="0.35">
      <c r="E8756" s="35"/>
      <c r="J8756" s="41"/>
    </row>
    <row r="8757" spans="5:10" s="34" customFormat="1" x14ac:dyDescent="0.35">
      <c r="E8757" s="35"/>
      <c r="J8757" s="41"/>
    </row>
    <row r="8758" spans="5:10" s="34" customFormat="1" x14ac:dyDescent="0.35">
      <c r="E8758" s="35"/>
      <c r="J8758" s="41"/>
    </row>
    <row r="8759" spans="5:10" s="34" customFormat="1" x14ac:dyDescent="0.35">
      <c r="E8759" s="35"/>
      <c r="J8759" s="41"/>
    </row>
    <row r="8760" spans="5:10" s="34" customFormat="1" x14ac:dyDescent="0.35">
      <c r="E8760" s="35"/>
      <c r="J8760" s="41"/>
    </row>
    <row r="8761" spans="5:10" s="34" customFormat="1" x14ac:dyDescent="0.35">
      <c r="E8761" s="35"/>
      <c r="J8761" s="41"/>
    </row>
    <row r="8762" spans="5:10" s="34" customFormat="1" x14ac:dyDescent="0.35">
      <c r="E8762" s="35"/>
      <c r="J8762" s="41"/>
    </row>
    <row r="8763" spans="5:10" s="34" customFormat="1" x14ac:dyDescent="0.35">
      <c r="E8763" s="35"/>
      <c r="J8763" s="41"/>
    </row>
    <row r="8764" spans="5:10" s="34" customFormat="1" x14ac:dyDescent="0.35">
      <c r="E8764" s="35"/>
      <c r="J8764" s="41"/>
    </row>
    <row r="8765" spans="5:10" s="34" customFormat="1" x14ac:dyDescent="0.35">
      <c r="E8765" s="35"/>
      <c r="J8765" s="41"/>
    </row>
    <row r="8766" spans="5:10" s="34" customFormat="1" x14ac:dyDescent="0.35">
      <c r="E8766" s="35"/>
      <c r="J8766" s="41"/>
    </row>
    <row r="8767" spans="5:10" s="34" customFormat="1" x14ac:dyDescent="0.35">
      <c r="E8767" s="35"/>
      <c r="J8767" s="41"/>
    </row>
    <row r="8768" spans="5:10" s="34" customFormat="1" x14ac:dyDescent="0.35">
      <c r="E8768" s="35"/>
      <c r="J8768" s="41"/>
    </row>
    <row r="8769" spans="5:10" s="34" customFormat="1" x14ac:dyDescent="0.35">
      <c r="E8769" s="35"/>
      <c r="J8769" s="41"/>
    </row>
    <row r="8770" spans="5:10" s="34" customFormat="1" x14ac:dyDescent="0.35">
      <c r="E8770" s="35"/>
      <c r="J8770" s="41"/>
    </row>
    <row r="8771" spans="5:10" s="34" customFormat="1" x14ac:dyDescent="0.35">
      <c r="E8771" s="35"/>
      <c r="J8771" s="41"/>
    </row>
    <row r="8772" spans="5:10" s="34" customFormat="1" x14ac:dyDescent="0.35">
      <c r="E8772" s="35"/>
      <c r="J8772" s="41"/>
    </row>
    <row r="8773" spans="5:10" s="34" customFormat="1" x14ac:dyDescent="0.35">
      <c r="E8773" s="35"/>
      <c r="J8773" s="41"/>
    </row>
    <row r="8774" spans="5:10" s="34" customFormat="1" x14ac:dyDescent="0.35">
      <c r="E8774" s="35"/>
      <c r="J8774" s="41"/>
    </row>
    <row r="8775" spans="5:10" s="34" customFormat="1" x14ac:dyDescent="0.35">
      <c r="E8775" s="35"/>
      <c r="J8775" s="41"/>
    </row>
    <row r="8776" spans="5:10" s="34" customFormat="1" x14ac:dyDescent="0.35">
      <c r="E8776" s="35"/>
      <c r="J8776" s="41"/>
    </row>
    <row r="8777" spans="5:10" s="34" customFormat="1" x14ac:dyDescent="0.35">
      <c r="E8777" s="35"/>
      <c r="J8777" s="41"/>
    </row>
    <row r="8778" spans="5:10" s="34" customFormat="1" x14ac:dyDescent="0.35">
      <c r="E8778" s="35"/>
      <c r="J8778" s="41"/>
    </row>
    <row r="8779" spans="5:10" s="34" customFormat="1" x14ac:dyDescent="0.35">
      <c r="E8779" s="35"/>
      <c r="J8779" s="41"/>
    </row>
    <row r="8780" spans="5:10" s="34" customFormat="1" x14ac:dyDescent="0.35">
      <c r="E8780" s="35"/>
      <c r="J8780" s="41"/>
    </row>
    <row r="8781" spans="5:10" s="34" customFormat="1" x14ac:dyDescent="0.35">
      <c r="E8781" s="35"/>
      <c r="J8781" s="41"/>
    </row>
    <row r="8782" spans="5:10" s="34" customFormat="1" x14ac:dyDescent="0.35">
      <c r="E8782" s="35"/>
      <c r="J8782" s="41"/>
    </row>
    <row r="8783" spans="5:10" s="34" customFormat="1" x14ac:dyDescent="0.35">
      <c r="E8783" s="35"/>
      <c r="J8783" s="41"/>
    </row>
    <row r="8784" spans="5:10" s="34" customFormat="1" x14ac:dyDescent="0.35">
      <c r="E8784" s="35"/>
      <c r="J8784" s="41"/>
    </row>
    <row r="8785" spans="5:10" s="34" customFormat="1" x14ac:dyDescent="0.35">
      <c r="E8785" s="35"/>
      <c r="J8785" s="41"/>
    </row>
    <row r="8786" spans="5:10" s="34" customFormat="1" x14ac:dyDescent="0.35">
      <c r="E8786" s="35"/>
      <c r="J8786" s="41"/>
    </row>
    <row r="8787" spans="5:10" s="34" customFormat="1" x14ac:dyDescent="0.35">
      <c r="E8787" s="35"/>
      <c r="J8787" s="41"/>
    </row>
    <row r="8788" spans="5:10" s="34" customFormat="1" x14ac:dyDescent="0.35">
      <c r="E8788" s="35"/>
      <c r="J8788" s="41"/>
    </row>
    <row r="8789" spans="5:10" s="34" customFormat="1" x14ac:dyDescent="0.35">
      <c r="E8789" s="35"/>
      <c r="J8789" s="41"/>
    </row>
    <row r="8790" spans="5:10" s="34" customFormat="1" x14ac:dyDescent="0.35">
      <c r="E8790" s="35"/>
      <c r="J8790" s="41"/>
    </row>
    <row r="8791" spans="5:10" s="34" customFormat="1" x14ac:dyDescent="0.35">
      <c r="E8791" s="35"/>
      <c r="J8791" s="41"/>
    </row>
    <row r="8792" spans="5:10" s="34" customFormat="1" x14ac:dyDescent="0.35">
      <c r="E8792" s="35"/>
      <c r="J8792" s="41"/>
    </row>
    <row r="8793" spans="5:10" s="34" customFormat="1" x14ac:dyDescent="0.35">
      <c r="E8793" s="35"/>
      <c r="J8793" s="41"/>
    </row>
    <row r="8794" spans="5:10" s="34" customFormat="1" x14ac:dyDescent="0.35">
      <c r="E8794" s="35"/>
      <c r="J8794" s="41"/>
    </row>
    <row r="8795" spans="5:10" s="34" customFormat="1" x14ac:dyDescent="0.35">
      <c r="E8795" s="35"/>
      <c r="J8795" s="41"/>
    </row>
    <row r="8796" spans="5:10" s="34" customFormat="1" x14ac:dyDescent="0.35">
      <c r="E8796" s="35"/>
      <c r="J8796" s="41"/>
    </row>
    <row r="8797" spans="5:10" s="34" customFormat="1" x14ac:dyDescent="0.35">
      <c r="E8797" s="35"/>
      <c r="J8797" s="41"/>
    </row>
    <row r="8798" spans="5:10" s="34" customFormat="1" x14ac:dyDescent="0.35">
      <c r="E8798" s="35"/>
      <c r="J8798" s="41"/>
    </row>
    <row r="8799" spans="5:10" s="34" customFormat="1" x14ac:dyDescent="0.35">
      <c r="E8799" s="35"/>
      <c r="J8799" s="41"/>
    </row>
    <row r="8800" spans="5:10" s="34" customFormat="1" x14ac:dyDescent="0.35">
      <c r="E8800" s="35"/>
      <c r="J8800" s="41"/>
    </row>
    <row r="8801" spans="5:10" s="34" customFormat="1" x14ac:dyDescent="0.35">
      <c r="E8801" s="35"/>
      <c r="J8801" s="41"/>
    </row>
    <row r="8802" spans="5:10" s="34" customFormat="1" x14ac:dyDescent="0.35">
      <c r="E8802" s="35"/>
      <c r="J8802" s="41"/>
    </row>
    <row r="8803" spans="5:10" s="34" customFormat="1" x14ac:dyDescent="0.35">
      <c r="E8803" s="35"/>
      <c r="J8803" s="41"/>
    </row>
    <row r="8804" spans="5:10" s="34" customFormat="1" x14ac:dyDescent="0.35">
      <c r="E8804" s="35"/>
      <c r="J8804" s="41"/>
    </row>
    <row r="8805" spans="5:10" s="34" customFormat="1" x14ac:dyDescent="0.35">
      <c r="E8805" s="35"/>
      <c r="J8805" s="41"/>
    </row>
    <row r="8806" spans="5:10" s="34" customFormat="1" x14ac:dyDescent="0.35">
      <c r="E8806" s="35"/>
      <c r="J8806" s="41"/>
    </row>
    <row r="8807" spans="5:10" s="34" customFormat="1" x14ac:dyDescent="0.35">
      <c r="E8807" s="35"/>
      <c r="J8807" s="41"/>
    </row>
    <row r="8808" spans="5:10" s="34" customFormat="1" x14ac:dyDescent="0.35">
      <c r="E8808" s="35"/>
      <c r="J8808" s="41"/>
    </row>
    <row r="8809" spans="5:10" s="34" customFormat="1" x14ac:dyDescent="0.35">
      <c r="E8809" s="35"/>
      <c r="J8809" s="41"/>
    </row>
    <row r="8810" spans="5:10" s="34" customFormat="1" x14ac:dyDescent="0.35">
      <c r="E8810" s="35"/>
      <c r="J8810" s="41"/>
    </row>
    <row r="8811" spans="5:10" s="34" customFormat="1" x14ac:dyDescent="0.35">
      <c r="E8811" s="35"/>
      <c r="J8811" s="41"/>
    </row>
    <row r="8812" spans="5:10" s="34" customFormat="1" x14ac:dyDescent="0.35">
      <c r="E8812" s="35"/>
      <c r="J8812" s="41"/>
    </row>
    <row r="8813" spans="5:10" s="34" customFormat="1" x14ac:dyDescent="0.35">
      <c r="E8813" s="35"/>
      <c r="J8813" s="41"/>
    </row>
    <row r="8814" spans="5:10" s="34" customFormat="1" x14ac:dyDescent="0.35">
      <c r="E8814" s="35"/>
      <c r="J8814" s="41"/>
    </row>
    <row r="8815" spans="5:10" s="34" customFormat="1" x14ac:dyDescent="0.35">
      <c r="E8815" s="35"/>
      <c r="J8815" s="41"/>
    </row>
    <row r="8816" spans="5:10" s="34" customFormat="1" x14ac:dyDescent="0.35">
      <c r="E8816" s="35"/>
      <c r="J8816" s="41"/>
    </row>
    <row r="8817" spans="5:10" s="34" customFormat="1" x14ac:dyDescent="0.35">
      <c r="E8817" s="35"/>
      <c r="J8817" s="41"/>
    </row>
    <row r="8818" spans="5:10" s="34" customFormat="1" x14ac:dyDescent="0.35">
      <c r="E8818" s="35"/>
      <c r="J8818" s="41"/>
    </row>
    <row r="8819" spans="5:10" s="34" customFormat="1" x14ac:dyDescent="0.35">
      <c r="E8819" s="35"/>
      <c r="J8819" s="41"/>
    </row>
    <row r="8820" spans="5:10" s="34" customFormat="1" x14ac:dyDescent="0.35">
      <c r="E8820" s="35"/>
      <c r="J8820" s="41"/>
    </row>
    <row r="8821" spans="5:10" s="34" customFormat="1" x14ac:dyDescent="0.35">
      <c r="E8821" s="35"/>
      <c r="J8821" s="41"/>
    </row>
    <row r="8822" spans="5:10" s="34" customFormat="1" x14ac:dyDescent="0.35">
      <c r="E8822" s="35"/>
      <c r="J8822" s="41"/>
    </row>
    <row r="8823" spans="5:10" s="34" customFormat="1" x14ac:dyDescent="0.35">
      <c r="E8823" s="35"/>
      <c r="J8823" s="41"/>
    </row>
    <row r="8824" spans="5:10" s="34" customFormat="1" x14ac:dyDescent="0.35">
      <c r="E8824" s="35"/>
      <c r="J8824" s="41"/>
    </row>
    <row r="8825" spans="5:10" s="34" customFormat="1" x14ac:dyDescent="0.35">
      <c r="E8825" s="35"/>
      <c r="J8825" s="41"/>
    </row>
    <row r="8826" spans="5:10" s="34" customFormat="1" x14ac:dyDescent="0.35">
      <c r="E8826" s="35"/>
      <c r="J8826" s="41"/>
    </row>
    <row r="8827" spans="5:10" s="34" customFormat="1" x14ac:dyDescent="0.35">
      <c r="E8827" s="35"/>
      <c r="J8827" s="41"/>
    </row>
    <row r="8828" spans="5:10" s="34" customFormat="1" x14ac:dyDescent="0.35">
      <c r="E8828" s="35"/>
      <c r="J8828" s="41"/>
    </row>
    <row r="8829" spans="5:10" s="34" customFormat="1" x14ac:dyDescent="0.35">
      <c r="E8829" s="35"/>
      <c r="J8829" s="41"/>
    </row>
    <row r="8830" spans="5:10" s="34" customFormat="1" x14ac:dyDescent="0.35">
      <c r="E8830" s="35"/>
      <c r="J8830" s="41"/>
    </row>
    <row r="8831" spans="5:10" s="34" customFormat="1" x14ac:dyDescent="0.35">
      <c r="E8831" s="35"/>
      <c r="J8831" s="41"/>
    </row>
    <row r="8832" spans="5:10" s="34" customFormat="1" x14ac:dyDescent="0.35">
      <c r="E8832" s="35"/>
      <c r="J8832" s="41"/>
    </row>
    <row r="8833" spans="5:10" s="34" customFormat="1" x14ac:dyDescent="0.35">
      <c r="E8833" s="35"/>
      <c r="J8833" s="41"/>
    </row>
    <row r="8834" spans="5:10" s="34" customFormat="1" x14ac:dyDescent="0.35">
      <c r="E8834" s="35"/>
      <c r="J8834" s="41"/>
    </row>
    <row r="8835" spans="5:10" s="34" customFormat="1" x14ac:dyDescent="0.35">
      <c r="E8835" s="35"/>
      <c r="J8835" s="41"/>
    </row>
    <row r="8836" spans="5:10" s="34" customFormat="1" x14ac:dyDescent="0.35">
      <c r="E8836" s="35"/>
      <c r="J8836" s="41"/>
    </row>
    <row r="8837" spans="5:10" s="34" customFormat="1" x14ac:dyDescent="0.35">
      <c r="E8837" s="35"/>
      <c r="J8837" s="41"/>
    </row>
    <row r="8838" spans="5:10" s="34" customFormat="1" x14ac:dyDescent="0.35">
      <c r="E8838" s="35"/>
      <c r="J8838" s="41"/>
    </row>
    <row r="8839" spans="5:10" s="34" customFormat="1" x14ac:dyDescent="0.35">
      <c r="E8839" s="35"/>
      <c r="J8839" s="41"/>
    </row>
    <row r="8840" spans="5:10" s="34" customFormat="1" x14ac:dyDescent="0.35">
      <c r="E8840" s="35"/>
      <c r="J8840" s="41"/>
    </row>
    <row r="8841" spans="5:10" s="34" customFormat="1" x14ac:dyDescent="0.35">
      <c r="E8841" s="35"/>
      <c r="J8841" s="41"/>
    </row>
    <row r="8842" spans="5:10" s="34" customFormat="1" x14ac:dyDescent="0.35">
      <c r="E8842" s="35"/>
      <c r="J8842" s="41"/>
    </row>
    <row r="8843" spans="5:10" s="34" customFormat="1" x14ac:dyDescent="0.35">
      <c r="E8843" s="35"/>
      <c r="J8843" s="41"/>
    </row>
    <row r="8844" spans="5:10" s="34" customFormat="1" x14ac:dyDescent="0.35">
      <c r="E8844" s="35"/>
      <c r="J8844" s="41"/>
    </row>
    <row r="8845" spans="5:10" s="34" customFormat="1" x14ac:dyDescent="0.35">
      <c r="E8845" s="35"/>
      <c r="J8845" s="41"/>
    </row>
    <row r="8846" spans="5:10" s="34" customFormat="1" x14ac:dyDescent="0.35">
      <c r="E8846" s="35"/>
      <c r="J8846" s="41"/>
    </row>
    <row r="8847" spans="5:10" s="34" customFormat="1" x14ac:dyDescent="0.35">
      <c r="E8847" s="35"/>
      <c r="J8847" s="41"/>
    </row>
    <row r="8848" spans="5:10" s="34" customFormat="1" x14ac:dyDescent="0.35">
      <c r="E8848" s="35"/>
      <c r="J8848" s="41"/>
    </row>
    <row r="8849" spans="5:10" s="34" customFormat="1" x14ac:dyDescent="0.35">
      <c r="E8849" s="35"/>
      <c r="J8849" s="41"/>
    </row>
    <row r="8850" spans="5:10" s="34" customFormat="1" x14ac:dyDescent="0.35">
      <c r="E8850" s="35"/>
      <c r="J8850" s="41"/>
    </row>
    <row r="8851" spans="5:10" s="34" customFormat="1" x14ac:dyDescent="0.35">
      <c r="E8851" s="35"/>
      <c r="J8851" s="41"/>
    </row>
    <row r="8852" spans="5:10" s="34" customFormat="1" x14ac:dyDescent="0.35">
      <c r="E8852" s="35"/>
      <c r="J8852" s="41"/>
    </row>
    <row r="8853" spans="5:10" s="34" customFormat="1" x14ac:dyDescent="0.35">
      <c r="E8853" s="35"/>
      <c r="J8853" s="41"/>
    </row>
    <row r="8854" spans="5:10" s="34" customFormat="1" x14ac:dyDescent="0.35">
      <c r="E8854" s="35"/>
      <c r="J8854" s="41"/>
    </row>
    <row r="8855" spans="5:10" s="34" customFormat="1" x14ac:dyDescent="0.35">
      <c r="E8855" s="35"/>
      <c r="J8855" s="41"/>
    </row>
    <row r="8856" spans="5:10" s="34" customFormat="1" x14ac:dyDescent="0.35">
      <c r="E8856" s="35"/>
      <c r="J8856" s="41"/>
    </row>
    <row r="8857" spans="5:10" s="34" customFormat="1" x14ac:dyDescent="0.35">
      <c r="E8857" s="35"/>
      <c r="J8857" s="41"/>
    </row>
    <row r="8858" spans="5:10" s="34" customFormat="1" x14ac:dyDescent="0.35">
      <c r="E8858" s="35"/>
      <c r="J8858" s="41"/>
    </row>
    <row r="8859" spans="5:10" s="34" customFormat="1" x14ac:dyDescent="0.35">
      <c r="E8859" s="35"/>
      <c r="J8859" s="41"/>
    </row>
    <row r="8860" spans="5:10" s="34" customFormat="1" x14ac:dyDescent="0.35">
      <c r="E8860" s="35"/>
      <c r="J8860" s="41"/>
    </row>
    <row r="8861" spans="5:10" s="34" customFormat="1" x14ac:dyDescent="0.35">
      <c r="E8861" s="35"/>
      <c r="J8861" s="41"/>
    </row>
    <row r="8862" spans="5:10" s="34" customFormat="1" x14ac:dyDescent="0.35">
      <c r="E8862" s="35"/>
      <c r="J8862" s="41"/>
    </row>
    <row r="8863" spans="5:10" s="34" customFormat="1" x14ac:dyDescent="0.35">
      <c r="E8863" s="35"/>
      <c r="J8863" s="41"/>
    </row>
    <row r="8864" spans="5:10" s="34" customFormat="1" x14ac:dyDescent="0.35">
      <c r="E8864" s="35"/>
      <c r="J8864" s="41"/>
    </row>
    <row r="8865" spans="5:10" s="34" customFormat="1" x14ac:dyDescent="0.35">
      <c r="E8865" s="35"/>
      <c r="J8865" s="41"/>
    </row>
    <row r="8866" spans="5:10" s="34" customFormat="1" x14ac:dyDescent="0.35">
      <c r="E8866" s="35"/>
      <c r="J8866" s="41"/>
    </row>
    <row r="8867" spans="5:10" s="34" customFormat="1" x14ac:dyDescent="0.35">
      <c r="E8867" s="35"/>
      <c r="J8867" s="41"/>
    </row>
    <row r="8868" spans="5:10" s="34" customFormat="1" x14ac:dyDescent="0.35">
      <c r="E8868" s="35"/>
      <c r="J8868" s="41"/>
    </row>
    <row r="8869" spans="5:10" s="34" customFormat="1" x14ac:dyDescent="0.35">
      <c r="E8869" s="35"/>
      <c r="J8869" s="41"/>
    </row>
    <row r="8870" spans="5:10" s="34" customFormat="1" x14ac:dyDescent="0.35">
      <c r="E8870" s="35"/>
      <c r="J8870" s="41"/>
    </row>
    <row r="8871" spans="5:10" s="34" customFormat="1" x14ac:dyDescent="0.35">
      <c r="E8871" s="35"/>
      <c r="J8871" s="41"/>
    </row>
    <row r="8872" spans="5:10" s="34" customFormat="1" x14ac:dyDescent="0.35">
      <c r="E8872" s="35"/>
      <c r="J8872" s="41"/>
    </row>
    <row r="8873" spans="5:10" s="34" customFormat="1" x14ac:dyDescent="0.35">
      <c r="E8873" s="35"/>
      <c r="J8873" s="41"/>
    </row>
    <row r="8874" spans="5:10" s="34" customFormat="1" x14ac:dyDescent="0.35">
      <c r="E8874" s="35"/>
      <c r="J8874" s="41"/>
    </row>
    <row r="8875" spans="5:10" s="34" customFormat="1" x14ac:dyDescent="0.35">
      <c r="E8875" s="35"/>
      <c r="J8875" s="41"/>
    </row>
    <row r="8876" spans="5:10" s="34" customFormat="1" x14ac:dyDescent="0.35">
      <c r="E8876" s="35"/>
      <c r="J8876" s="41"/>
    </row>
    <row r="8877" spans="5:10" s="34" customFormat="1" x14ac:dyDescent="0.35">
      <c r="E8877" s="35"/>
      <c r="J8877" s="41"/>
    </row>
    <row r="8878" spans="5:10" s="34" customFormat="1" x14ac:dyDescent="0.35">
      <c r="E8878" s="35"/>
      <c r="J8878" s="41"/>
    </row>
    <row r="8879" spans="5:10" s="34" customFormat="1" x14ac:dyDescent="0.35">
      <c r="E8879" s="35"/>
      <c r="J8879" s="41"/>
    </row>
    <row r="8880" spans="5:10" s="34" customFormat="1" x14ac:dyDescent="0.35">
      <c r="E8880" s="35"/>
      <c r="J8880" s="41"/>
    </row>
    <row r="8881" spans="5:10" s="34" customFormat="1" x14ac:dyDescent="0.35">
      <c r="E8881" s="35"/>
      <c r="J8881" s="41"/>
    </row>
    <row r="8882" spans="5:10" s="34" customFormat="1" x14ac:dyDescent="0.35">
      <c r="E8882" s="35"/>
      <c r="J8882" s="41"/>
    </row>
    <row r="8883" spans="5:10" s="34" customFormat="1" x14ac:dyDescent="0.35">
      <c r="E8883" s="35"/>
      <c r="J8883" s="41"/>
    </row>
    <row r="8884" spans="5:10" s="34" customFormat="1" x14ac:dyDescent="0.35">
      <c r="E8884" s="35"/>
      <c r="J8884" s="41"/>
    </row>
    <row r="8885" spans="5:10" s="34" customFormat="1" x14ac:dyDescent="0.35">
      <c r="E8885" s="35"/>
      <c r="J8885" s="41"/>
    </row>
    <row r="8886" spans="5:10" s="34" customFormat="1" x14ac:dyDescent="0.35">
      <c r="E8886" s="35"/>
      <c r="J8886" s="41"/>
    </row>
    <row r="8887" spans="5:10" s="34" customFormat="1" x14ac:dyDescent="0.35">
      <c r="E8887" s="35"/>
      <c r="J8887" s="41"/>
    </row>
    <row r="8888" spans="5:10" s="34" customFormat="1" x14ac:dyDescent="0.35">
      <c r="E8888" s="35"/>
      <c r="J8888" s="41"/>
    </row>
    <row r="8889" spans="5:10" s="34" customFormat="1" x14ac:dyDescent="0.35">
      <c r="E8889" s="35"/>
      <c r="J8889" s="41"/>
    </row>
    <row r="8890" spans="5:10" s="34" customFormat="1" x14ac:dyDescent="0.35">
      <c r="E8890" s="35"/>
      <c r="J8890" s="41"/>
    </row>
    <row r="8891" spans="5:10" s="34" customFormat="1" x14ac:dyDescent="0.35">
      <c r="E8891" s="35"/>
      <c r="J8891" s="41"/>
    </row>
    <row r="8892" spans="5:10" s="34" customFormat="1" x14ac:dyDescent="0.35">
      <c r="E8892" s="35"/>
      <c r="J8892" s="41"/>
    </row>
    <row r="8893" spans="5:10" s="34" customFormat="1" x14ac:dyDescent="0.35">
      <c r="E8893" s="35"/>
      <c r="J8893" s="41"/>
    </row>
    <row r="8894" spans="5:10" s="34" customFormat="1" x14ac:dyDescent="0.35">
      <c r="E8894" s="35"/>
      <c r="J8894" s="41"/>
    </row>
    <row r="8895" spans="5:10" s="34" customFormat="1" x14ac:dyDescent="0.35">
      <c r="E8895" s="35"/>
      <c r="J8895" s="41"/>
    </row>
    <row r="8896" spans="5:10" s="34" customFormat="1" x14ac:dyDescent="0.35">
      <c r="E8896" s="35"/>
      <c r="J8896" s="41"/>
    </row>
    <row r="8897" spans="5:10" s="34" customFormat="1" x14ac:dyDescent="0.35">
      <c r="E8897" s="35"/>
      <c r="J8897" s="41"/>
    </row>
    <row r="8898" spans="5:10" s="34" customFormat="1" x14ac:dyDescent="0.35">
      <c r="E8898" s="35"/>
      <c r="J8898" s="41"/>
    </row>
    <row r="8899" spans="5:10" s="34" customFormat="1" x14ac:dyDescent="0.35">
      <c r="E8899" s="35"/>
      <c r="J8899" s="41"/>
    </row>
    <row r="8900" spans="5:10" s="34" customFormat="1" x14ac:dyDescent="0.35">
      <c r="E8900" s="35"/>
      <c r="J8900" s="41"/>
    </row>
    <row r="8901" spans="5:10" s="34" customFormat="1" x14ac:dyDescent="0.35">
      <c r="E8901" s="35"/>
      <c r="J8901" s="41"/>
    </row>
    <row r="8902" spans="5:10" s="34" customFormat="1" x14ac:dyDescent="0.35">
      <c r="E8902" s="35"/>
      <c r="J8902" s="41"/>
    </row>
    <row r="8903" spans="5:10" s="34" customFormat="1" x14ac:dyDescent="0.35">
      <c r="E8903" s="35"/>
      <c r="J8903" s="41"/>
    </row>
    <row r="8904" spans="5:10" s="34" customFormat="1" x14ac:dyDescent="0.35">
      <c r="E8904" s="35"/>
      <c r="J8904" s="41"/>
    </row>
    <row r="8905" spans="5:10" s="34" customFormat="1" x14ac:dyDescent="0.35">
      <c r="E8905" s="35"/>
      <c r="J8905" s="41"/>
    </row>
    <row r="8906" spans="5:10" s="34" customFormat="1" x14ac:dyDescent="0.35">
      <c r="E8906" s="35"/>
      <c r="J8906" s="41"/>
    </row>
    <row r="8907" spans="5:10" s="34" customFormat="1" x14ac:dyDescent="0.35">
      <c r="E8907" s="35"/>
      <c r="J8907" s="41"/>
    </row>
    <row r="8908" spans="5:10" s="34" customFormat="1" x14ac:dyDescent="0.35">
      <c r="E8908" s="35"/>
      <c r="J8908" s="41"/>
    </row>
    <row r="8909" spans="5:10" s="34" customFormat="1" x14ac:dyDescent="0.35">
      <c r="E8909" s="35"/>
      <c r="J8909" s="41"/>
    </row>
    <row r="8910" spans="5:10" s="34" customFormat="1" x14ac:dyDescent="0.35">
      <c r="E8910" s="35"/>
      <c r="J8910" s="41"/>
    </row>
    <row r="8911" spans="5:10" s="34" customFormat="1" x14ac:dyDescent="0.35">
      <c r="E8911" s="35"/>
      <c r="J8911" s="41"/>
    </row>
    <row r="8912" spans="5:10" s="34" customFormat="1" x14ac:dyDescent="0.35">
      <c r="E8912" s="35"/>
      <c r="J8912" s="41"/>
    </row>
    <row r="8913" spans="5:10" s="34" customFormat="1" x14ac:dyDescent="0.35">
      <c r="E8913" s="35"/>
      <c r="J8913" s="41"/>
    </row>
    <row r="8914" spans="5:10" s="34" customFormat="1" x14ac:dyDescent="0.35">
      <c r="E8914" s="35"/>
      <c r="J8914" s="41"/>
    </row>
    <row r="8915" spans="5:10" s="34" customFormat="1" x14ac:dyDescent="0.35">
      <c r="E8915" s="35"/>
      <c r="J8915" s="41"/>
    </row>
    <row r="8916" spans="5:10" s="34" customFormat="1" x14ac:dyDescent="0.35">
      <c r="E8916" s="35"/>
      <c r="J8916" s="41"/>
    </row>
    <row r="8917" spans="5:10" s="34" customFormat="1" x14ac:dyDescent="0.35">
      <c r="E8917" s="35"/>
      <c r="J8917" s="41"/>
    </row>
    <row r="8918" spans="5:10" s="34" customFormat="1" x14ac:dyDescent="0.35">
      <c r="E8918" s="35"/>
      <c r="J8918" s="41"/>
    </row>
    <row r="8919" spans="5:10" s="34" customFormat="1" x14ac:dyDescent="0.35">
      <c r="E8919" s="35"/>
      <c r="J8919" s="41"/>
    </row>
    <row r="8920" spans="5:10" s="34" customFormat="1" x14ac:dyDescent="0.35">
      <c r="E8920" s="35"/>
      <c r="J8920" s="41"/>
    </row>
    <row r="8921" spans="5:10" s="34" customFormat="1" x14ac:dyDescent="0.35">
      <c r="E8921" s="35"/>
      <c r="J8921" s="41"/>
    </row>
    <row r="8922" spans="5:10" s="34" customFormat="1" x14ac:dyDescent="0.35">
      <c r="E8922" s="35"/>
      <c r="J8922" s="41"/>
    </row>
    <row r="8923" spans="5:10" s="34" customFormat="1" x14ac:dyDescent="0.35">
      <c r="E8923" s="35"/>
      <c r="J8923" s="41"/>
    </row>
    <row r="8924" spans="5:10" s="34" customFormat="1" x14ac:dyDescent="0.35">
      <c r="E8924" s="35"/>
      <c r="J8924" s="41"/>
    </row>
    <row r="8925" spans="5:10" s="34" customFormat="1" x14ac:dyDescent="0.35">
      <c r="E8925" s="35"/>
      <c r="J8925" s="41"/>
    </row>
    <row r="8926" spans="5:10" s="34" customFormat="1" x14ac:dyDescent="0.35">
      <c r="E8926" s="35"/>
      <c r="J8926" s="41"/>
    </row>
    <row r="8927" spans="5:10" s="34" customFormat="1" x14ac:dyDescent="0.35">
      <c r="E8927" s="35"/>
      <c r="J8927" s="41"/>
    </row>
    <row r="8928" spans="5:10" s="34" customFormat="1" x14ac:dyDescent="0.35">
      <c r="E8928" s="35"/>
      <c r="J8928" s="41"/>
    </row>
    <row r="8929" spans="5:10" s="34" customFormat="1" x14ac:dyDescent="0.35">
      <c r="E8929" s="35"/>
      <c r="J8929" s="41"/>
    </row>
    <row r="8930" spans="5:10" s="34" customFormat="1" x14ac:dyDescent="0.35">
      <c r="E8930" s="35"/>
      <c r="J8930" s="41"/>
    </row>
    <row r="8931" spans="5:10" s="34" customFormat="1" x14ac:dyDescent="0.35">
      <c r="E8931" s="35"/>
      <c r="J8931" s="41"/>
    </row>
    <row r="8932" spans="5:10" s="34" customFormat="1" x14ac:dyDescent="0.35">
      <c r="E8932" s="35"/>
      <c r="J8932" s="41"/>
    </row>
    <row r="8933" spans="5:10" s="34" customFormat="1" x14ac:dyDescent="0.35">
      <c r="E8933" s="35"/>
      <c r="J8933" s="41"/>
    </row>
    <row r="8934" spans="5:10" s="34" customFormat="1" x14ac:dyDescent="0.35">
      <c r="E8934" s="35"/>
      <c r="J8934" s="41"/>
    </row>
    <row r="8935" spans="5:10" s="34" customFormat="1" x14ac:dyDescent="0.35">
      <c r="E8935" s="35"/>
      <c r="J8935" s="41"/>
    </row>
    <row r="8936" spans="5:10" s="34" customFormat="1" x14ac:dyDescent="0.35">
      <c r="E8936" s="35"/>
      <c r="J8936" s="41"/>
    </row>
    <row r="8937" spans="5:10" s="34" customFormat="1" x14ac:dyDescent="0.35">
      <c r="E8937" s="35"/>
      <c r="J8937" s="41"/>
    </row>
    <row r="8938" spans="5:10" s="34" customFormat="1" x14ac:dyDescent="0.35">
      <c r="E8938" s="35"/>
      <c r="J8938" s="41"/>
    </row>
    <row r="8939" spans="5:10" s="34" customFormat="1" x14ac:dyDescent="0.35">
      <c r="E8939" s="35"/>
      <c r="J8939" s="41"/>
    </row>
    <row r="8940" spans="5:10" s="34" customFormat="1" x14ac:dyDescent="0.35">
      <c r="E8940" s="35"/>
      <c r="J8940" s="41"/>
    </row>
    <row r="8941" spans="5:10" s="34" customFormat="1" x14ac:dyDescent="0.35">
      <c r="E8941" s="35"/>
      <c r="J8941" s="41"/>
    </row>
    <row r="8942" spans="5:10" s="34" customFormat="1" x14ac:dyDescent="0.35">
      <c r="E8942" s="35"/>
      <c r="J8942" s="41"/>
    </row>
    <row r="8943" spans="5:10" s="34" customFormat="1" x14ac:dyDescent="0.35">
      <c r="E8943" s="35"/>
      <c r="J8943" s="41"/>
    </row>
    <row r="8944" spans="5:10" s="34" customFormat="1" x14ac:dyDescent="0.35">
      <c r="E8944" s="35"/>
      <c r="J8944" s="41"/>
    </row>
    <row r="8945" spans="5:10" s="34" customFormat="1" x14ac:dyDescent="0.35">
      <c r="E8945" s="35"/>
      <c r="J8945" s="41"/>
    </row>
    <row r="8946" spans="5:10" s="34" customFormat="1" x14ac:dyDescent="0.35">
      <c r="E8946" s="35"/>
      <c r="J8946" s="41"/>
    </row>
    <row r="8947" spans="5:10" s="34" customFormat="1" x14ac:dyDescent="0.35">
      <c r="E8947" s="35"/>
      <c r="J8947" s="41"/>
    </row>
    <row r="8948" spans="5:10" s="34" customFormat="1" x14ac:dyDescent="0.35">
      <c r="E8948" s="35"/>
      <c r="J8948" s="41"/>
    </row>
    <row r="8949" spans="5:10" s="34" customFormat="1" x14ac:dyDescent="0.35">
      <c r="E8949" s="35"/>
      <c r="J8949" s="41"/>
    </row>
    <row r="8950" spans="5:10" s="34" customFormat="1" x14ac:dyDescent="0.35">
      <c r="E8950" s="35"/>
      <c r="J8950" s="41"/>
    </row>
    <row r="8951" spans="5:10" s="34" customFormat="1" x14ac:dyDescent="0.35">
      <c r="E8951" s="35"/>
      <c r="J8951" s="41"/>
    </row>
    <row r="8952" spans="5:10" s="34" customFormat="1" x14ac:dyDescent="0.35">
      <c r="E8952" s="35"/>
      <c r="J8952" s="41"/>
    </row>
    <row r="8953" spans="5:10" s="34" customFormat="1" x14ac:dyDescent="0.35">
      <c r="E8953" s="35"/>
      <c r="J8953" s="41"/>
    </row>
    <row r="8954" spans="5:10" s="34" customFormat="1" x14ac:dyDescent="0.35">
      <c r="E8954" s="35"/>
      <c r="J8954" s="41"/>
    </row>
    <row r="8955" spans="5:10" s="34" customFormat="1" x14ac:dyDescent="0.35">
      <c r="E8955" s="35"/>
      <c r="J8955" s="41"/>
    </row>
    <row r="8956" spans="5:10" s="34" customFormat="1" x14ac:dyDescent="0.35">
      <c r="E8956" s="35"/>
      <c r="J8956" s="41"/>
    </row>
    <row r="8957" spans="5:10" s="34" customFormat="1" x14ac:dyDescent="0.35">
      <c r="E8957" s="35"/>
      <c r="J8957" s="41"/>
    </row>
    <row r="8958" spans="5:10" s="34" customFormat="1" x14ac:dyDescent="0.35">
      <c r="E8958" s="35"/>
      <c r="J8958" s="41"/>
    </row>
    <row r="8959" spans="5:10" s="34" customFormat="1" x14ac:dyDescent="0.35">
      <c r="E8959" s="35"/>
      <c r="J8959" s="41"/>
    </row>
    <row r="8960" spans="5:10" s="34" customFormat="1" x14ac:dyDescent="0.35">
      <c r="E8960" s="35"/>
      <c r="J8960" s="41"/>
    </row>
    <row r="8961" spans="5:10" s="34" customFormat="1" x14ac:dyDescent="0.35">
      <c r="E8961" s="35"/>
      <c r="J8961" s="41"/>
    </row>
    <row r="8962" spans="5:10" s="34" customFormat="1" x14ac:dyDescent="0.35">
      <c r="E8962" s="35"/>
      <c r="J8962" s="41"/>
    </row>
    <row r="8963" spans="5:10" s="34" customFormat="1" x14ac:dyDescent="0.35">
      <c r="E8963" s="35"/>
      <c r="J8963" s="41"/>
    </row>
    <row r="8964" spans="5:10" s="34" customFormat="1" x14ac:dyDescent="0.35">
      <c r="E8964" s="35"/>
      <c r="J8964" s="41"/>
    </row>
    <row r="8965" spans="5:10" s="34" customFormat="1" x14ac:dyDescent="0.35">
      <c r="E8965" s="35"/>
      <c r="J8965" s="41"/>
    </row>
    <row r="8966" spans="5:10" s="34" customFormat="1" x14ac:dyDescent="0.35">
      <c r="E8966" s="35"/>
      <c r="J8966" s="41"/>
    </row>
    <row r="8967" spans="5:10" s="34" customFormat="1" x14ac:dyDescent="0.35">
      <c r="E8967" s="35"/>
      <c r="J8967" s="41"/>
    </row>
    <row r="8968" spans="5:10" s="34" customFormat="1" x14ac:dyDescent="0.35">
      <c r="E8968" s="35"/>
      <c r="J8968" s="41"/>
    </row>
    <row r="8969" spans="5:10" s="34" customFormat="1" x14ac:dyDescent="0.35">
      <c r="E8969" s="35"/>
      <c r="J8969" s="41"/>
    </row>
    <row r="8970" spans="5:10" s="34" customFormat="1" x14ac:dyDescent="0.35">
      <c r="E8970" s="35"/>
      <c r="J8970" s="41"/>
    </row>
    <row r="8971" spans="5:10" s="34" customFormat="1" x14ac:dyDescent="0.35">
      <c r="E8971" s="35"/>
      <c r="J8971" s="41"/>
    </row>
    <row r="8972" spans="5:10" s="34" customFormat="1" x14ac:dyDescent="0.35">
      <c r="E8972" s="35"/>
      <c r="J8972" s="41"/>
    </row>
    <row r="8973" spans="5:10" s="34" customFormat="1" x14ac:dyDescent="0.35">
      <c r="E8973" s="35"/>
      <c r="J8973" s="41"/>
    </row>
    <row r="8974" spans="5:10" s="34" customFormat="1" x14ac:dyDescent="0.35">
      <c r="E8974" s="35"/>
      <c r="J8974" s="41"/>
    </row>
    <row r="8975" spans="5:10" s="34" customFormat="1" x14ac:dyDescent="0.35">
      <c r="E8975" s="35"/>
      <c r="J8975" s="41"/>
    </row>
    <row r="8976" spans="5:10" s="34" customFormat="1" x14ac:dyDescent="0.35">
      <c r="E8976" s="35"/>
      <c r="J8976" s="41"/>
    </row>
    <row r="8977" spans="5:10" s="34" customFormat="1" x14ac:dyDescent="0.35">
      <c r="E8977" s="35"/>
      <c r="J8977" s="41"/>
    </row>
    <row r="8978" spans="5:10" s="34" customFormat="1" x14ac:dyDescent="0.35">
      <c r="E8978" s="35"/>
      <c r="J8978" s="41"/>
    </row>
    <row r="8979" spans="5:10" s="34" customFormat="1" x14ac:dyDescent="0.35">
      <c r="E8979" s="35"/>
      <c r="J8979" s="41"/>
    </row>
    <row r="8980" spans="5:10" s="34" customFormat="1" x14ac:dyDescent="0.35">
      <c r="E8980" s="35"/>
      <c r="J8980" s="41"/>
    </row>
    <row r="8981" spans="5:10" s="34" customFormat="1" x14ac:dyDescent="0.35">
      <c r="E8981" s="35"/>
      <c r="J8981" s="41"/>
    </row>
    <row r="8982" spans="5:10" s="34" customFormat="1" x14ac:dyDescent="0.35">
      <c r="E8982" s="35"/>
      <c r="J8982" s="41"/>
    </row>
    <row r="8983" spans="5:10" s="34" customFormat="1" x14ac:dyDescent="0.35">
      <c r="E8983" s="35"/>
      <c r="J8983" s="41"/>
    </row>
    <row r="8984" spans="5:10" s="34" customFormat="1" x14ac:dyDescent="0.35">
      <c r="E8984" s="35"/>
      <c r="J8984" s="41"/>
    </row>
    <row r="8985" spans="5:10" s="34" customFormat="1" x14ac:dyDescent="0.35">
      <c r="E8985" s="35"/>
      <c r="J8985" s="41"/>
    </row>
    <row r="8986" spans="5:10" s="34" customFormat="1" x14ac:dyDescent="0.35">
      <c r="E8986" s="35"/>
      <c r="J8986" s="41"/>
    </row>
    <row r="8987" spans="5:10" s="34" customFormat="1" x14ac:dyDescent="0.35">
      <c r="E8987" s="35"/>
      <c r="J8987" s="41"/>
    </row>
    <row r="8988" spans="5:10" s="34" customFormat="1" x14ac:dyDescent="0.35">
      <c r="E8988" s="35"/>
      <c r="J8988" s="41"/>
    </row>
    <row r="8989" spans="5:10" s="34" customFormat="1" x14ac:dyDescent="0.35">
      <c r="E8989" s="35"/>
      <c r="J8989" s="41"/>
    </row>
    <row r="8990" spans="5:10" s="34" customFormat="1" x14ac:dyDescent="0.35">
      <c r="E8990" s="35"/>
      <c r="J8990" s="41"/>
    </row>
    <row r="8991" spans="5:10" s="34" customFormat="1" x14ac:dyDescent="0.35">
      <c r="E8991" s="35"/>
      <c r="J8991" s="41"/>
    </row>
    <row r="8992" spans="5:10" s="34" customFormat="1" x14ac:dyDescent="0.35">
      <c r="E8992" s="35"/>
      <c r="J8992" s="41"/>
    </row>
    <row r="8993" spans="5:10" s="34" customFormat="1" x14ac:dyDescent="0.35">
      <c r="E8993" s="35"/>
      <c r="J8993" s="41"/>
    </row>
    <row r="8994" spans="5:10" s="34" customFormat="1" x14ac:dyDescent="0.35">
      <c r="E8994" s="35"/>
      <c r="J8994" s="41"/>
    </row>
    <row r="8995" spans="5:10" s="34" customFormat="1" x14ac:dyDescent="0.35">
      <c r="E8995" s="35"/>
      <c r="J8995" s="41"/>
    </row>
    <row r="8996" spans="5:10" s="34" customFormat="1" x14ac:dyDescent="0.35">
      <c r="E8996" s="35"/>
      <c r="J8996" s="41"/>
    </row>
    <row r="8997" spans="5:10" s="34" customFormat="1" x14ac:dyDescent="0.35">
      <c r="E8997" s="35"/>
      <c r="J8997" s="41"/>
    </row>
    <row r="8998" spans="5:10" s="34" customFormat="1" x14ac:dyDescent="0.35">
      <c r="E8998" s="35"/>
      <c r="J8998" s="41"/>
    </row>
    <row r="8999" spans="5:10" s="34" customFormat="1" x14ac:dyDescent="0.35">
      <c r="E8999" s="35"/>
      <c r="J8999" s="41"/>
    </row>
    <row r="9000" spans="5:10" s="34" customFormat="1" x14ac:dyDescent="0.35">
      <c r="E9000" s="35"/>
      <c r="J9000" s="41"/>
    </row>
    <row r="9001" spans="5:10" s="34" customFormat="1" x14ac:dyDescent="0.35">
      <c r="E9001" s="35"/>
      <c r="J9001" s="41"/>
    </row>
    <row r="9002" spans="5:10" s="34" customFormat="1" x14ac:dyDescent="0.35">
      <c r="E9002" s="35"/>
      <c r="J9002" s="41"/>
    </row>
    <row r="9003" spans="5:10" s="34" customFormat="1" x14ac:dyDescent="0.35">
      <c r="E9003" s="35"/>
      <c r="J9003" s="41"/>
    </row>
    <row r="9004" spans="5:10" s="34" customFormat="1" x14ac:dyDescent="0.35">
      <c r="E9004" s="35"/>
      <c r="J9004" s="41"/>
    </row>
    <row r="9005" spans="5:10" s="34" customFormat="1" x14ac:dyDescent="0.35">
      <c r="E9005" s="35"/>
      <c r="J9005" s="41"/>
    </row>
    <row r="9006" spans="5:10" s="34" customFormat="1" x14ac:dyDescent="0.35">
      <c r="E9006" s="35"/>
      <c r="J9006" s="41"/>
    </row>
    <row r="9007" spans="5:10" s="34" customFormat="1" x14ac:dyDescent="0.35">
      <c r="E9007" s="35"/>
      <c r="J9007" s="41"/>
    </row>
    <row r="9008" spans="5:10" s="34" customFormat="1" x14ac:dyDescent="0.35">
      <c r="E9008" s="35"/>
      <c r="J9008" s="41"/>
    </row>
    <row r="9009" spans="5:10" s="34" customFormat="1" x14ac:dyDescent="0.35">
      <c r="E9009" s="35"/>
      <c r="J9009" s="41"/>
    </row>
    <row r="9010" spans="5:10" s="34" customFormat="1" x14ac:dyDescent="0.35">
      <c r="E9010" s="35"/>
      <c r="J9010" s="41"/>
    </row>
    <row r="9011" spans="5:10" s="34" customFormat="1" x14ac:dyDescent="0.35">
      <c r="E9011" s="35"/>
      <c r="J9011" s="41"/>
    </row>
    <row r="9012" spans="5:10" s="34" customFormat="1" x14ac:dyDescent="0.35">
      <c r="E9012" s="35"/>
      <c r="J9012" s="41"/>
    </row>
    <row r="9013" spans="5:10" s="34" customFormat="1" x14ac:dyDescent="0.35">
      <c r="E9013" s="35"/>
      <c r="J9013" s="41"/>
    </row>
    <row r="9014" spans="5:10" s="34" customFormat="1" x14ac:dyDescent="0.35">
      <c r="E9014" s="35"/>
      <c r="J9014" s="41"/>
    </row>
    <row r="9015" spans="5:10" s="34" customFormat="1" x14ac:dyDescent="0.35">
      <c r="E9015" s="35"/>
      <c r="J9015" s="41"/>
    </row>
    <row r="9016" spans="5:10" s="34" customFormat="1" x14ac:dyDescent="0.35">
      <c r="E9016" s="35"/>
      <c r="J9016" s="41"/>
    </row>
    <row r="9017" spans="5:10" s="34" customFormat="1" x14ac:dyDescent="0.35">
      <c r="E9017" s="35"/>
      <c r="J9017" s="41"/>
    </row>
    <row r="9018" spans="5:10" s="34" customFormat="1" x14ac:dyDescent="0.35">
      <c r="E9018" s="35"/>
      <c r="J9018" s="41"/>
    </row>
    <row r="9019" spans="5:10" s="34" customFormat="1" x14ac:dyDescent="0.35">
      <c r="E9019" s="35"/>
      <c r="J9019" s="41"/>
    </row>
    <row r="9020" spans="5:10" s="34" customFormat="1" x14ac:dyDescent="0.35">
      <c r="E9020" s="35"/>
      <c r="J9020" s="41"/>
    </row>
    <row r="9021" spans="5:10" s="34" customFormat="1" x14ac:dyDescent="0.35">
      <c r="E9021" s="35"/>
      <c r="J9021" s="41"/>
    </row>
    <row r="9022" spans="5:10" s="34" customFormat="1" x14ac:dyDescent="0.35">
      <c r="E9022" s="35"/>
      <c r="J9022" s="41"/>
    </row>
    <row r="9023" spans="5:10" s="34" customFormat="1" x14ac:dyDescent="0.35">
      <c r="E9023" s="35"/>
      <c r="J9023" s="41"/>
    </row>
    <row r="9024" spans="5:10" s="34" customFormat="1" x14ac:dyDescent="0.35">
      <c r="E9024" s="35"/>
      <c r="J9024" s="41"/>
    </row>
    <row r="9025" spans="5:10" s="34" customFormat="1" x14ac:dyDescent="0.35">
      <c r="E9025" s="35"/>
      <c r="J9025" s="41"/>
    </row>
    <row r="9026" spans="5:10" s="34" customFormat="1" x14ac:dyDescent="0.35">
      <c r="E9026" s="35"/>
      <c r="J9026" s="41"/>
    </row>
    <row r="9027" spans="5:10" s="34" customFormat="1" x14ac:dyDescent="0.35">
      <c r="E9027" s="35"/>
      <c r="J9027" s="41"/>
    </row>
    <row r="9028" spans="5:10" s="34" customFormat="1" x14ac:dyDescent="0.35">
      <c r="E9028" s="35"/>
      <c r="J9028" s="41"/>
    </row>
    <row r="9029" spans="5:10" s="34" customFormat="1" x14ac:dyDescent="0.35">
      <c r="E9029" s="35"/>
      <c r="J9029" s="41"/>
    </row>
    <row r="9030" spans="5:10" s="34" customFormat="1" x14ac:dyDescent="0.35">
      <c r="E9030" s="35"/>
      <c r="J9030" s="41"/>
    </row>
    <row r="9031" spans="5:10" s="34" customFormat="1" x14ac:dyDescent="0.35">
      <c r="E9031" s="35"/>
      <c r="J9031" s="41"/>
    </row>
    <row r="9032" spans="5:10" s="34" customFormat="1" x14ac:dyDescent="0.35">
      <c r="E9032" s="35"/>
      <c r="J9032" s="41"/>
    </row>
    <row r="9033" spans="5:10" s="34" customFormat="1" x14ac:dyDescent="0.35">
      <c r="E9033" s="35"/>
      <c r="J9033" s="41"/>
    </row>
    <row r="9034" spans="5:10" s="34" customFormat="1" x14ac:dyDescent="0.35">
      <c r="E9034" s="35"/>
      <c r="J9034" s="41"/>
    </row>
    <row r="9035" spans="5:10" s="34" customFormat="1" x14ac:dyDescent="0.35">
      <c r="E9035" s="35"/>
      <c r="J9035" s="41"/>
    </row>
    <row r="9036" spans="5:10" s="34" customFormat="1" x14ac:dyDescent="0.35">
      <c r="E9036" s="35"/>
      <c r="J9036" s="41"/>
    </row>
    <row r="9037" spans="5:10" s="34" customFormat="1" x14ac:dyDescent="0.35">
      <c r="E9037" s="35"/>
      <c r="J9037" s="41"/>
    </row>
    <row r="9038" spans="5:10" s="34" customFormat="1" x14ac:dyDescent="0.35">
      <c r="E9038" s="35"/>
      <c r="J9038" s="41"/>
    </row>
    <row r="9039" spans="5:10" s="34" customFormat="1" x14ac:dyDescent="0.35">
      <c r="E9039" s="35"/>
      <c r="J9039" s="41"/>
    </row>
    <row r="9040" spans="5:10" s="34" customFormat="1" x14ac:dyDescent="0.35">
      <c r="E9040" s="35"/>
      <c r="J9040" s="41"/>
    </row>
    <row r="9041" spans="5:10" s="34" customFormat="1" x14ac:dyDescent="0.35">
      <c r="E9041" s="35"/>
      <c r="J9041" s="41"/>
    </row>
    <row r="9042" spans="5:10" s="34" customFormat="1" x14ac:dyDescent="0.35">
      <c r="E9042" s="35"/>
      <c r="J9042" s="41"/>
    </row>
    <row r="9043" spans="5:10" s="34" customFormat="1" x14ac:dyDescent="0.35">
      <c r="E9043" s="35"/>
      <c r="J9043" s="41"/>
    </row>
    <row r="9044" spans="5:10" s="34" customFormat="1" x14ac:dyDescent="0.35">
      <c r="E9044" s="35"/>
      <c r="J9044" s="41"/>
    </row>
    <row r="9045" spans="5:10" s="34" customFormat="1" x14ac:dyDescent="0.35">
      <c r="E9045" s="35"/>
      <c r="J9045" s="41"/>
    </row>
    <row r="9046" spans="5:10" s="34" customFormat="1" x14ac:dyDescent="0.35">
      <c r="E9046" s="35"/>
      <c r="J9046" s="41"/>
    </row>
    <row r="9047" spans="5:10" s="34" customFormat="1" x14ac:dyDescent="0.35">
      <c r="E9047" s="35"/>
      <c r="J9047" s="41"/>
    </row>
    <row r="9048" spans="5:10" s="34" customFormat="1" x14ac:dyDescent="0.35">
      <c r="E9048" s="35"/>
      <c r="J9048" s="41"/>
    </row>
    <row r="9049" spans="5:10" s="34" customFormat="1" x14ac:dyDescent="0.35">
      <c r="E9049" s="35"/>
      <c r="J9049" s="41"/>
    </row>
    <row r="9050" spans="5:10" s="34" customFormat="1" x14ac:dyDescent="0.35">
      <c r="E9050" s="35"/>
      <c r="J9050" s="41"/>
    </row>
    <row r="9051" spans="5:10" s="34" customFormat="1" x14ac:dyDescent="0.35">
      <c r="E9051" s="35"/>
      <c r="J9051" s="41"/>
    </row>
    <row r="9052" spans="5:10" s="34" customFormat="1" x14ac:dyDescent="0.35">
      <c r="E9052" s="35"/>
      <c r="J9052" s="41"/>
    </row>
    <row r="9053" spans="5:10" s="34" customFormat="1" x14ac:dyDescent="0.35">
      <c r="E9053" s="35"/>
      <c r="J9053" s="41"/>
    </row>
    <row r="9054" spans="5:10" s="34" customFormat="1" x14ac:dyDescent="0.35">
      <c r="E9054" s="35"/>
      <c r="J9054" s="41"/>
    </row>
    <row r="9055" spans="5:10" s="34" customFormat="1" x14ac:dyDescent="0.35">
      <c r="E9055" s="35"/>
      <c r="J9055" s="41"/>
    </row>
    <row r="9056" spans="5:10" s="34" customFormat="1" x14ac:dyDescent="0.35">
      <c r="E9056" s="35"/>
      <c r="J9056" s="41"/>
    </row>
    <row r="9057" spans="5:10" s="34" customFormat="1" x14ac:dyDescent="0.35">
      <c r="E9057" s="35"/>
      <c r="J9057" s="41"/>
    </row>
    <row r="9058" spans="5:10" s="34" customFormat="1" x14ac:dyDescent="0.35">
      <c r="E9058" s="35"/>
      <c r="J9058" s="41"/>
    </row>
    <row r="9059" spans="5:10" s="34" customFormat="1" x14ac:dyDescent="0.35">
      <c r="E9059" s="35"/>
      <c r="J9059" s="41"/>
    </row>
    <row r="9060" spans="5:10" s="34" customFormat="1" x14ac:dyDescent="0.35">
      <c r="E9060" s="35"/>
      <c r="J9060" s="41"/>
    </row>
    <row r="9061" spans="5:10" s="34" customFormat="1" x14ac:dyDescent="0.35">
      <c r="E9061" s="35"/>
      <c r="J9061" s="41"/>
    </row>
    <row r="9062" spans="5:10" s="34" customFormat="1" x14ac:dyDescent="0.35">
      <c r="E9062" s="35"/>
      <c r="J9062" s="41"/>
    </row>
    <row r="9063" spans="5:10" s="34" customFormat="1" x14ac:dyDescent="0.35">
      <c r="E9063" s="35"/>
      <c r="J9063" s="41"/>
    </row>
    <row r="9064" spans="5:10" s="34" customFormat="1" x14ac:dyDescent="0.35">
      <c r="E9064" s="35"/>
      <c r="J9064" s="41"/>
    </row>
    <row r="9065" spans="5:10" s="34" customFormat="1" x14ac:dyDescent="0.35">
      <c r="E9065" s="35"/>
      <c r="J9065" s="41"/>
    </row>
    <row r="9066" spans="5:10" s="34" customFormat="1" x14ac:dyDescent="0.35">
      <c r="E9066" s="35"/>
      <c r="J9066" s="41"/>
    </row>
    <row r="9067" spans="5:10" s="34" customFormat="1" x14ac:dyDescent="0.35">
      <c r="E9067" s="35"/>
      <c r="J9067" s="41"/>
    </row>
    <row r="9068" spans="5:10" s="34" customFormat="1" x14ac:dyDescent="0.35">
      <c r="E9068" s="35"/>
      <c r="J9068" s="41"/>
    </row>
    <row r="9069" spans="5:10" s="34" customFormat="1" x14ac:dyDescent="0.35">
      <c r="E9069" s="35"/>
      <c r="J9069" s="41"/>
    </row>
    <row r="9070" spans="5:10" s="34" customFormat="1" x14ac:dyDescent="0.35">
      <c r="E9070" s="35"/>
      <c r="J9070" s="41"/>
    </row>
    <row r="9071" spans="5:10" s="34" customFormat="1" x14ac:dyDescent="0.35">
      <c r="E9071" s="35"/>
      <c r="J9071" s="41"/>
    </row>
    <row r="9072" spans="5:10" s="34" customFormat="1" x14ac:dyDescent="0.35">
      <c r="E9072" s="35"/>
      <c r="J9072" s="41"/>
    </row>
    <row r="9073" spans="5:10" s="34" customFormat="1" x14ac:dyDescent="0.35">
      <c r="E9073" s="35"/>
      <c r="J9073" s="41"/>
    </row>
    <row r="9074" spans="5:10" s="34" customFormat="1" x14ac:dyDescent="0.35">
      <c r="E9074" s="35"/>
      <c r="J9074" s="41"/>
    </row>
    <row r="9075" spans="5:10" s="34" customFormat="1" x14ac:dyDescent="0.35">
      <c r="E9075" s="35"/>
      <c r="J9075" s="41"/>
    </row>
    <row r="9076" spans="5:10" s="34" customFormat="1" x14ac:dyDescent="0.35">
      <c r="E9076" s="35"/>
      <c r="J9076" s="41"/>
    </row>
    <row r="9077" spans="5:10" s="34" customFormat="1" x14ac:dyDescent="0.35">
      <c r="E9077" s="35"/>
      <c r="J9077" s="41"/>
    </row>
    <row r="9078" spans="5:10" s="34" customFormat="1" x14ac:dyDescent="0.35">
      <c r="E9078" s="35"/>
      <c r="J9078" s="41"/>
    </row>
    <row r="9079" spans="5:10" s="34" customFormat="1" x14ac:dyDescent="0.35">
      <c r="E9079" s="35"/>
      <c r="J9079" s="41"/>
    </row>
    <row r="9080" spans="5:10" s="34" customFormat="1" x14ac:dyDescent="0.35">
      <c r="E9080" s="35"/>
      <c r="J9080" s="41"/>
    </row>
    <row r="9081" spans="5:10" s="34" customFormat="1" x14ac:dyDescent="0.35">
      <c r="E9081" s="35"/>
      <c r="J9081" s="41"/>
    </row>
    <row r="9082" spans="5:10" s="34" customFormat="1" x14ac:dyDescent="0.35">
      <c r="E9082" s="35"/>
      <c r="J9082" s="41"/>
    </row>
    <row r="9083" spans="5:10" s="34" customFormat="1" x14ac:dyDescent="0.35">
      <c r="E9083" s="35"/>
      <c r="J9083" s="41"/>
    </row>
    <row r="9084" spans="5:10" s="34" customFormat="1" x14ac:dyDescent="0.35">
      <c r="E9084" s="35"/>
      <c r="J9084" s="41"/>
    </row>
    <row r="9085" spans="5:10" s="34" customFormat="1" x14ac:dyDescent="0.35">
      <c r="E9085" s="35"/>
      <c r="J9085" s="41"/>
    </row>
    <row r="9086" spans="5:10" s="34" customFormat="1" x14ac:dyDescent="0.35">
      <c r="E9086" s="35"/>
      <c r="J9086" s="41"/>
    </row>
    <row r="9087" spans="5:10" s="34" customFormat="1" x14ac:dyDescent="0.35">
      <c r="E9087" s="35"/>
      <c r="J9087" s="41"/>
    </row>
    <row r="9088" spans="5:10" s="34" customFormat="1" x14ac:dyDescent="0.35">
      <c r="E9088" s="35"/>
      <c r="J9088" s="41"/>
    </row>
    <row r="9089" spans="5:10" s="34" customFormat="1" x14ac:dyDescent="0.35">
      <c r="E9089" s="35"/>
      <c r="J9089" s="41"/>
    </row>
    <row r="9090" spans="5:10" s="34" customFormat="1" x14ac:dyDescent="0.35">
      <c r="E9090" s="35"/>
      <c r="J9090" s="41"/>
    </row>
    <row r="9091" spans="5:10" s="34" customFormat="1" x14ac:dyDescent="0.35">
      <c r="E9091" s="35"/>
      <c r="J9091" s="41"/>
    </row>
    <row r="9092" spans="5:10" s="34" customFormat="1" x14ac:dyDescent="0.35">
      <c r="E9092" s="35"/>
      <c r="J9092" s="41"/>
    </row>
    <row r="9093" spans="5:10" s="34" customFormat="1" x14ac:dyDescent="0.35">
      <c r="E9093" s="35"/>
      <c r="J9093" s="41"/>
    </row>
    <row r="9094" spans="5:10" s="34" customFormat="1" x14ac:dyDescent="0.35">
      <c r="E9094" s="35"/>
      <c r="J9094" s="41"/>
    </row>
    <row r="9095" spans="5:10" s="34" customFormat="1" x14ac:dyDescent="0.35">
      <c r="E9095" s="35"/>
      <c r="J9095" s="41"/>
    </row>
    <row r="9096" spans="5:10" s="34" customFormat="1" x14ac:dyDescent="0.35">
      <c r="E9096" s="35"/>
      <c r="J9096" s="41"/>
    </row>
    <row r="9097" spans="5:10" s="34" customFormat="1" x14ac:dyDescent="0.35">
      <c r="E9097" s="35"/>
      <c r="J9097" s="41"/>
    </row>
    <row r="9098" spans="5:10" s="34" customFormat="1" x14ac:dyDescent="0.35">
      <c r="E9098" s="35"/>
      <c r="J9098" s="41"/>
    </row>
    <row r="9099" spans="5:10" s="34" customFormat="1" x14ac:dyDescent="0.35">
      <c r="E9099" s="35"/>
      <c r="J9099" s="41"/>
    </row>
    <row r="9100" spans="5:10" s="34" customFormat="1" x14ac:dyDescent="0.35">
      <c r="E9100" s="35"/>
      <c r="J9100" s="41"/>
    </row>
    <row r="9101" spans="5:10" s="34" customFormat="1" x14ac:dyDescent="0.35">
      <c r="E9101" s="35"/>
      <c r="J9101" s="41"/>
    </row>
    <row r="9102" spans="5:10" s="34" customFormat="1" x14ac:dyDescent="0.35">
      <c r="E9102" s="35"/>
      <c r="J9102" s="41"/>
    </row>
    <row r="9103" spans="5:10" s="34" customFormat="1" x14ac:dyDescent="0.35">
      <c r="E9103" s="35"/>
      <c r="J9103" s="41"/>
    </row>
    <row r="9104" spans="5:10" s="34" customFormat="1" x14ac:dyDescent="0.35">
      <c r="E9104" s="35"/>
      <c r="J9104" s="41"/>
    </row>
    <row r="9105" spans="5:10" s="34" customFormat="1" x14ac:dyDescent="0.35">
      <c r="E9105" s="35"/>
      <c r="J9105" s="41"/>
    </row>
    <row r="9106" spans="5:10" s="34" customFormat="1" x14ac:dyDescent="0.35">
      <c r="E9106" s="35"/>
      <c r="J9106" s="41"/>
    </row>
    <row r="9107" spans="5:10" s="34" customFormat="1" x14ac:dyDescent="0.35">
      <c r="E9107" s="35"/>
      <c r="J9107" s="41"/>
    </row>
    <row r="9108" spans="5:10" s="34" customFormat="1" x14ac:dyDescent="0.35">
      <c r="E9108" s="35"/>
      <c r="J9108" s="41"/>
    </row>
    <row r="9109" spans="5:10" s="34" customFormat="1" x14ac:dyDescent="0.35">
      <c r="E9109" s="35"/>
      <c r="J9109" s="41"/>
    </row>
    <row r="9110" spans="5:10" s="34" customFormat="1" x14ac:dyDescent="0.35">
      <c r="E9110" s="35"/>
      <c r="J9110" s="41"/>
    </row>
    <row r="9111" spans="5:10" s="34" customFormat="1" x14ac:dyDescent="0.35">
      <c r="E9111" s="35"/>
      <c r="J9111" s="41"/>
    </row>
    <row r="9112" spans="5:10" s="34" customFormat="1" x14ac:dyDescent="0.35">
      <c r="E9112" s="35"/>
      <c r="J9112" s="41"/>
    </row>
    <row r="9113" spans="5:10" s="34" customFormat="1" x14ac:dyDescent="0.35">
      <c r="E9113" s="35"/>
      <c r="J9113" s="41"/>
    </row>
    <row r="9114" spans="5:10" s="34" customFormat="1" x14ac:dyDescent="0.35">
      <c r="E9114" s="35"/>
      <c r="J9114" s="41"/>
    </row>
    <row r="9115" spans="5:10" s="34" customFormat="1" x14ac:dyDescent="0.35">
      <c r="E9115" s="35"/>
      <c r="J9115" s="41"/>
    </row>
    <row r="9116" spans="5:10" s="34" customFormat="1" x14ac:dyDescent="0.35">
      <c r="E9116" s="35"/>
      <c r="J9116" s="41"/>
    </row>
    <row r="9117" spans="5:10" s="34" customFormat="1" x14ac:dyDescent="0.35">
      <c r="E9117" s="35"/>
      <c r="J9117" s="41"/>
    </row>
    <row r="9118" spans="5:10" s="34" customFormat="1" x14ac:dyDescent="0.35">
      <c r="E9118" s="35"/>
      <c r="J9118" s="41"/>
    </row>
    <row r="9119" spans="5:10" s="34" customFormat="1" x14ac:dyDescent="0.35">
      <c r="E9119" s="35"/>
      <c r="J9119" s="41"/>
    </row>
    <row r="9120" spans="5:10" s="34" customFormat="1" x14ac:dyDescent="0.35">
      <c r="E9120" s="35"/>
      <c r="J9120" s="41"/>
    </row>
    <row r="9121" spans="5:10" s="34" customFormat="1" x14ac:dyDescent="0.35">
      <c r="E9121" s="35"/>
      <c r="J9121" s="41"/>
    </row>
    <row r="9122" spans="5:10" s="34" customFormat="1" x14ac:dyDescent="0.35">
      <c r="E9122" s="35"/>
      <c r="J9122" s="41"/>
    </row>
    <row r="9123" spans="5:10" s="34" customFormat="1" x14ac:dyDescent="0.35">
      <c r="E9123" s="35"/>
      <c r="J9123" s="41"/>
    </row>
    <row r="9124" spans="5:10" s="34" customFormat="1" x14ac:dyDescent="0.35">
      <c r="E9124" s="35"/>
      <c r="J9124" s="41"/>
    </row>
    <row r="9125" spans="5:10" s="34" customFormat="1" x14ac:dyDescent="0.35">
      <c r="E9125" s="35"/>
      <c r="J9125" s="41"/>
    </row>
    <row r="9126" spans="5:10" s="34" customFormat="1" x14ac:dyDescent="0.35">
      <c r="E9126" s="35"/>
      <c r="J9126" s="41"/>
    </row>
    <row r="9127" spans="5:10" s="34" customFormat="1" x14ac:dyDescent="0.35">
      <c r="E9127" s="35"/>
      <c r="J9127" s="41"/>
    </row>
    <row r="9128" spans="5:10" s="34" customFormat="1" x14ac:dyDescent="0.35">
      <c r="E9128" s="35"/>
      <c r="J9128" s="41"/>
    </row>
    <row r="9129" spans="5:10" s="34" customFormat="1" x14ac:dyDescent="0.35">
      <c r="E9129" s="35"/>
      <c r="J9129" s="41"/>
    </row>
    <row r="9130" spans="5:10" s="34" customFormat="1" x14ac:dyDescent="0.35">
      <c r="E9130" s="35"/>
      <c r="J9130" s="41"/>
    </row>
    <row r="9131" spans="5:10" s="34" customFormat="1" x14ac:dyDescent="0.35">
      <c r="E9131" s="35"/>
      <c r="J9131" s="41"/>
    </row>
    <row r="9132" spans="5:10" s="34" customFormat="1" x14ac:dyDescent="0.35">
      <c r="E9132" s="35"/>
      <c r="J9132" s="41"/>
    </row>
    <row r="9133" spans="5:10" s="34" customFormat="1" x14ac:dyDescent="0.35">
      <c r="E9133" s="35"/>
      <c r="J9133" s="41"/>
    </row>
    <row r="9134" spans="5:10" s="34" customFormat="1" x14ac:dyDescent="0.35">
      <c r="E9134" s="35"/>
      <c r="J9134" s="41"/>
    </row>
    <row r="9135" spans="5:10" s="34" customFormat="1" x14ac:dyDescent="0.35">
      <c r="E9135" s="35"/>
      <c r="J9135" s="41"/>
    </row>
    <row r="9136" spans="5:10" s="34" customFormat="1" x14ac:dyDescent="0.35">
      <c r="E9136" s="35"/>
      <c r="J9136" s="41"/>
    </row>
    <row r="9137" spans="5:10" s="34" customFormat="1" x14ac:dyDescent="0.35">
      <c r="E9137" s="35"/>
      <c r="J9137" s="41"/>
    </row>
    <row r="9138" spans="5:10" s="34" customFormat="1" x14ac:dyDescent="0.35">
      <c r="E9138" s="35"/>
      <c r="J9138" s="41"/>
    </row>
    <row r="9139" spans="5:10" s="34" customFormat="1" x14ac:dyDescent="0.35">
      <c r="E9139" s="35"/>
      <c r="J9139" s="41"/>
    </row>
    <row r="9140" spans="5:10" s="34" customFormat="1" x14ac:dyDescent="0.35">
      <c r="E9140" s="35"/>
      <c r="J9140" s="41"/>
    </row>
    <row r="9141" spans="5:10" s="34" customFormat="1" x14ac:dyDescent="0.35">
      <c r="E9141" s="35"/>
      <c r="J9141" s="41"/>
    </row>
    <row r="9142" spans="5:10" s="34" customFormat="1" x14ac:dyDescent="0.35">
      <c r="E9142" s="35"/>
      <c r="J9142" s="41"/>
    </row>
    <row r="9143" spans="5:10" s="34" customFormat="1" x14ac:dyDescent="0.35">
      <c r="E9143" s="35"/>
      <c r="J9143" s="41"/>
    </row>
    <row r="9144" spans="5:10" s="34" customFormat="1" x14ac:dyDescent="0.35">
      <c r="E9144" s="35"/>
      <c r="J9144" s="41"/>
    </row>
    <row r="9145" spans="5:10" s="34" customFormat="1" x14ac:dyDescent="0.35">
      <c r="E9145" s="35"/>
      <c r="J9145" s="41"/>
    </row>
    <row r="9146" spans="5:10" s="34" customFormat="1" x14ac:dyDescent="0.35">
      <c r="E9146" s="35"/>
      <c r="J9146" s="41"/>
    </row>
    <row r="9147" spans="5:10" s="34" customFormat="1" x14ac:dyDescent="0.35">
      <c r="E9147" s="35"/>
      <c r="J9147" s="41"/>
    </row>
    <row r="9148" spans="5:10" s="34" customFormat="1" x14ac:dyDescent="0.35">
      <c r="E9148" s="35"/>
      <c r="J9148" s="41"/>
    </row>
    <row r="9149" spans="5:10" s="34" customFormat="1" x14ac:dyDescent="0.35">
      <c r="E9149" s="35"/>
      <c r="J9149" s="41"/>
    </row>
    <row r="9150" spans="5:10" s="34" customFormat="1" x14ac:dyDescent="0.35">
      <c r="E9150" s="35"/>
      <c r="J9150" s="41"/>
    </row>
    <row r="9151" spans="5:10" s="34" customFormat="1" x14ac:dyDescent="0.35">
      <c r="E9151" s="35"/>
      <c r="J9151" s="41"/>
    </row>
    <row r="9152" spans="5:10" s="34" customFormat="1" x14ac:dyDescent="0.35">
      <c r="E9152" s="35"/>
      <c r="J9152" s="41"/>
    </row>
    <row r="9153" spans="5:10" s="34" customFormat="1" x14ac:dyDescent="0.35">
      <c r="E9153" s="35"/>
      <c r="J9153" s="41"/>
    </row>
    <row r="9154" spans="5:10" s="34" customFormat="1" x14ac:dyDescent="0.35">
      <c r="E9154" s="35"/>
      <c r="J9154" s="41"/>
    </row>
    <row r="9155" spans="5:10" s="34" customFormat="1" x14ac:dyDescent="0.35">
      <c r="E9155" s="35"/>
      <c r="J9155" s="41"/>
    </row>
    <row r="9156" spans="5:10" s="34" customFormat="1" x14ac:dyDescent="0.35">
      <c r="E9156" s="35"/>
      <c r="J9156" s="41"/>
    </row>
    <row r="9157" spans="5:10" s="34" customFormat="1" x14ac:dyDescent="0.35">
      <c r="E9157" s="35"/>
      <c r="J9157" s="41"/>
    </row>
    <row r="9158" spans="5:10" s="34" customFormat="1" x14ac:dyDescent="0.35">
      <c r="E9158" s="35"/>
      <c r="J9158" s="41"/>
    </row>
    <row r="9159" spans="5:10" s="34" customFormat="1" x14ac:dyDescent="0.35">
      <c r="E9159" s="35"/>
      <c r="J9159" s="41"/>
    </row>
    <row r="9160" spans="5:10" s="34" customFormat="1" x14ac:dyDescent="0.35">
      <c r="E9160" s="35"/>
      <c r="J9160" s="41"/>
    </row>
    <row r="9161" spans="5:10" s="34" customFormat="1" x14ac:dyDescent="0.35">
      <c r="E9161" s="35"/>
      <c r="J9161" s="41"/>
    </row>
    <row r="9162" spans="5:10" s="34" customFormat="1" x14ac:dyDescent="0.35">
      <c r="E9162" s="35"/>
      <c r="J9162" s="41"/>
    </row>
    <row r="9163" spans="5:10" s="34" customFormat="1" x14ac:dyDescent="0.35">
      <c r="E9163" s="35"/>
      <c r="J9163" s="41"/>
    </row>
    <row r="9164" spans="5:10" s="34" customFormat="1" x14ac:dyDescent="0.35">
      <c r="E9164" s="35"/>
      <c r="J9164" s="41"/>
    </row>
    <row r="9165" spans="5:10" s="34" customFormat="1" x14ac:dyDescent="0.35">
      <c r="E9165" s="35"/>
      <c r="J9165" s="41"/>
    </row>
    <row r="9166" spans="5:10" s="34" customFormat="1" x14ac:dyDescent="0.35">
      <c r="E9166" s="35"/>
      <c r="J9166" s="41"/>
    </row>
    <row r="9167" spans="5:10" s="34" customFormat="1" x14ac:dyDescent="0.35">
      <c r="E9167" s="35"/>
      <c r="J9167" s="41"/>
    </row>
    <row r="9168" spans="5:10" s="34" customFormat="1" x14ac:dyDescent="0.35">
      <c r="E9168" s="35"/>
      <c r="J9168" s="41"/>
    </row>
    <row r="9169" spans="5:10" s="34" customFormat="1" x14ac:dyDescent="0.35">
      <c r="E9169" s="35"/>
      <c r="J9169" s="41"/>
    </row>
    <row r="9170" spans="5:10" s="34" customFormat="1" x14ac:dyDescent="0.35">
      <c r="E9170" s="35"/>
      <c r="J9170" s="41"/>
    </row>
    <row r="9171" spans="5:10" s="34" customFormat="1" x14ac:dyDescent="0.35">
      <c r="E9171" s="35"/>
      <c r="J9171" s="41"/>
    </row>
    <row r="9172" spans="5:10" s="34" customFormat="1" x14ac:dyDescent="0.35">
      <c r="E9172" s="35"/>
      <c r="J9172" s="41"/>
    </row>
    <row r="9173" spans="5:10" s="34" customFormat="1" x14ac:dyDescent="0.35">
      <c r="E9173" s="35"/>
      <c r="J9173" s="41"/>
    </row>
    <row r="9174" spans="5:10" s="34" customFormat="1" x14ac:dyDescent="0.35">
      <c r="E9174" s="35"/>
      <c r="J9174" s="41"/>
    </row>
    <row r="9175" spans="5:10" s="34" customFormat="1" x14ac:dyDescent="0.35">
      <c r="E9175" s="35"/>
      <c r="J9175" s="41"/>
    </row>
    <row r="9176" spans="5:10" s="34" customFormat="1" x14ac:dyDescent="0.35">
      <c r="E9176" s="35"/>
      <c r="J9176" s="41"/>
    </row>
    <row r="9177" spans="5:10" s="34" customFormat="1" x14ac:dyDescent="0.35">
      <c r="E9177" s="35"/>
      <c r="J9177" s="41"/>
    </row>
    <row r="9178" spans="5:10" s="34" customFormat="1" x14ac:dyDescent="0.35">
      <c r="E9178" s="35"/>
      <c r="J9178" s="41"/>
    </row>
    <row r="9179" spans="5:10" s="34" customFormat="1" x14ac:dyDescent="0.35">
      <c r="E9179" s="35"/>
      <c r="J9179" s="41"/>
    </row>
    <row r="9180" spans="5:10" s="34" customFormat="1" x14ac:dyDescent="0.35">
      <c r="E9180" s="35"/>
      <c r="J9180" s="41"/>
    </row>
    <row r="9181" spans="5:10" s="34" customFormat="1" x14ac:dyDescent="0.35">
      <c r="E9181" s="35"/>
      <c r="J9181" s="41"/>
    </row>
    <row r="9182" spans="5:10" s="34" customFormat="1" x14ac:dyDescent="0.35">
      <c r="E9182" s="35"/>
      <c r="J9182" s="41"/>
    </row>
    <row r="9183" spans="5:10" s="34" customFormat="1" x14ac:dyDescent="0.35">
      <c r="E9183" s="35"/>
      <c r="J9183" s="41"/>
    </row>
    <row r="9184" spans="5:10" s="34" customFormat="1" x14ac:dyDescent="0.35">
      <c r="E9184" s="35"/>
      <c r="J9184" s="41"/>
    </row>
    <row r="9185" spans="5:10" s="34" customFormat="1" x14ac:dyDescent="0.35">
      <c r="E9185" s="35"/>
      <c r="J9185" s="41"/>
    </row>
    <row r="9186" spans="5:10" s="34" customFormat="1" x14ac:dyDescent="0.35">
      <c r="E9186" s="35"/>
      <c r="J9186" s="41"/>
    </row>
    <row r="9187" spans="5:10" s="34" customFormat="1" x14ac:dyDescent="0.35">
      <c r="E9187" s="35"/>
      <c r="J9187" s="41"/>
    </row>
    <row r="9188" spans="5:10" s="34" customFormat="1" x14ac:dyDescent="0.35">
      <c r="E9188" s="35"/>
      <c r="J9188" s="41"/>
    </row>
    <row r="9189" spans="5:10" s="34" customFormat="1" x14ac:dyDescent="0.35">
      <c r="E9189" s="35"/>
      <c r="J9189" s="41"/>
    </row>
    <row r="9190" spans="5:10" s="34" customFormat="1" x14ac:dyDescent="0.35">
      <c r="E9190" s="35"/>
      <c r="J9190" s="41"/>
    </row>
    <row r="9191" spans="5:10" s="34" customFormat="1" x14ac:dyDescent="0.35">
      <c r="E9191" s="35"/>
      <c r="J9191" s="41"/>
    </row>
    <row r="9192" spans="5:10" s="34" customFormat="1" x14ac:dyDescent="0.35">
      <c r="E9192" s="35"/>
      <c r="J9192" s="41"/>
    </row>
    <row r="9193" spans="5:10" s="34" customFormat="1" x14ac:dyDescent="0.35">
      <c r="E9193" s="35"/>
      <c r="J9193" s="41"/>
    </row>
    <row r="9194" spans="5:10" s="34" customFormat="1" x14ac:dyDescent="0.35">
      <c r="E9194" s="35"/>
      <c r="J9194" s="41"/>
    </row>
    <row r="9195" spans="5:10" s="34" customFormat="1" x14ac:dyDescent="0.35">
      <c r="E9195" s="35"/>
      <c r="J9195" s="41"/>
    </row>
    <row r="9196" spans="5:10" s="34" customFormat="1" x14ac:dyDescent="0.35">
      <c r="E9196" s="35"/>
      <c r="J9196" s="41"/>
    </row>
    <row r="9197" spans="5:10" s="34" customFormat="1" x14ac:dyDescent="0.35">
      <c r="E9197" s="35"/>
      <c r="J9197" s="41"/>
    </row>
    <row r="9198" spans="5:10" s="34" customFormat="1" x14ac:dyDescent="0.35">
      <c r="E9198" s="35"/>
      <c r="J9198" s="41"/>
    </row>
    <row r="9199" spans="5:10" s="34" customFormat="1" x14ac:dyDescent="0.35">
      <c r="E9199" s="35"/>
      <c r="J9199" s="41"/>
    </row>
    <row r="9200" spans="5:10" s="34" customFormat="1" x14ac:dyDescent="0.35">
      <c r="E9200" s="35"/>
      <c r="J9200" s="41"/>
    </row>
    <row r="9201" spans="5:10" s="34" customFormat="1" x14ac:dyDescent="0.35">
      <c r="E9201" s="35"/>
      <c r="J9201" s="41"/>
    </row>
    <row r="9202" spans="5:10" s="34" customFormat="1" x14ac:dyDescent="0.35">
      <c r="E9202" s="35"/>
      <c r="J9202" s="41"/>
    </row>
    <row r="9203" spans="5:10" s="34" customFormat="1" x14ac:dyDescent="0.35">
      <c r="E9203" s="35"/>
      <c r="J9203" s="41"/>
    </row>
    <row r="9204" spans="5:10" s="34" customFormat="1" x14ac:dyDescent="0.35">
      <c r="E9204" s="35"/>
      <c r="J9204" s="41"/>
    </row>
    <row r="9205" spans="5:10" s="34" customFormat="1" x14ac:dyDescent="0.35">
      <c r="E9205" s="35"/>
      <c r="J9205" s="41"/>
    </row>
    <row r="9206" spans="5:10" s="34" customFormat="1" x14ac:dyDescent="0.35">
      <c r="E9206" s="35"/>
      <c r="J9206" s="41"/>
    </row>
    <row r="9207" spans="5:10" s="34" customFormat="1" x14ac:dyDescent="0.35">
      <c r="E9207" s="35"/>
      <c r="J9207" s="41"/>
    </row>
    <row r="9208" spans="5:10" s="34" customFormat="1" x14ac:dyDescent="0.35">
      <c r="E9208" s="35"/>
      <c r="J9208" s="41"/>
    </row>
    <row r="9209" spans="5:10" s="34" customFormat="1" x14ac:dyDescent="0.35">
      <c r="E9209" s="35"/>
      <c r="J9209" s="41"/>
    </row>
    <row r="9210" spans="5:10" s="34" customFormat="1" x14ac:dyDescent="0.35">
      <c r="E9210" s="35"/>
      <c r="J9210" s="41"/>
    </row>
    <row r="9211" spans="5:10" s="34" customFormat="1" x14ac:dyDescent="0.35">
      <c r="E9211" s="35"/>
      <c r="J9211" s="41"/>
    </row>
    <row r="9212" spans="5:10" s="34" customFormat="1" x14ac:dyDescent="0.35">
      <c r="E9212" s="35"/>
      <c r="J9212" s="41"/>
    </row>
    <row r="9213" spans="5:10" s="34" customFormat="1" x14ac:dyDescent="0.35">
      <c r="E9213" s="35"/>
      <c r="J9213" s="41"/>
    </row>
    <row r="9214" spans="5:10" s="34" customFormat="1" x14ac:dyDescent="0.35">
      <c r="E9214" s="35"/>
      <c r="J9214" s="41"/>
    </row>
    <row r="9215" spans="5:10" s="34" customFormat="1" x14ac:dyDescent="0.35">
      <c r="E9215" s="35"/>
      <c r="J9215" s="41"/>
    </row>
    <row r="9216" spans="5:10" s="34" customFormat="1" x14ac:dyDescent="0.35">
      <c r="E9216" s="35"/>
      <c r="J9216" s="41"/>
    </row>
    <row r="9217" spans="5:10" s="34" customFormat="1" x14ac:dyDescent="0.35">
      <c r="E9217" s="35"/>
      <c r="J9217" s="41"/>
    </row>
    <row r="9218" spans="5:10" s="34" customFormat="1" x14ac:dyDescent="0.35">
      <c r="E9218" s="35"/>
      <c r="J9218" s="41"/>
    </row>
    <row r="9219" spans="5:10" s="34" customFormat="1" x14ac:dyDescent="0.35">
      <c r="E9219" s="35"/>
      <c r="J9219" s="41"/>
    </row>
    <row r="9220" spans="5:10" s="34" customFormat="1" x14ac:dyDescent="0.35">
      <c r="E9220" s="35"/>
      <c r="J9220" s="41"/>
    </row>
    <row r="9221" spans="5:10" s="34" customFormat="1" x14ac:dyDescent="0.35">
      <c r="E9221" s="35"/>
      <c r="J9221" s="41"/>
    </row>
    <row r="9222" spans="5:10" s="34" customFormat="1" x14ac:dyDescent="0.35">
      <c r="E9222" s="35"/>
      <c r="J9222" s="41"/>
    </row>
    <row r="9223" spans="5:10" s="34" customFormat="1" x14ac:dyDescent="0.35">
      <c r="E9223" s="35"/>
      <c r="J9223" s="41"/>
    </row>
    <row r="9224" spans="5:10" s="34" customFormat="1" x14ac:dyDescent="0.35">
      <c r="E9224" s="35"/>
      <c r="J9224" s="41"/>
    </row>
    <row r="9225" spans="5:10" s="34" customFormat="1" x14ac:dyDescent="0.35">
      <c r="E9225" s="35"/>
      <c r="J9225" s="41"/>
    </row>
    <row r="9226" spans="5:10" s="34" customFormat="1" x14ac:dyDescent="0.35">
      <c r="E9226" s="35"/>
      <c r="J9226" s="41"/>
    </row>
    <row r="9227" spans="5:10" s="34" customFormat="1" x14ac:dyDescent="0.35">
      <c r="E9227" s="35"/>
      <c r="J9227" s="41"/>
    </row>
    <row r="9228" spans="5:10" s="34" customFormat="1" x14ac:dyDescent="0.35">
      <c r="E9228" s="35"/>
      <c r="J9228" s="41"/>
    </row>
    <row r="9229" spans="5:10" s="34" customFormat="1" x14ac:dyDescent="0.35">
      <c r="E9229" s="35"/>
      <c r="J9229" s="41"/>
    </row>
    <row r="9230" spans="5:10" s="34" customFormat="1" x14ac:dyDescent="0.35">
      <c r="E9230" s="35"/>
      <c r="J9230" s="41"/>
    </row>
    <row r="9231" spans="5:10" s="34" customFormat="1" x14ac:dyDescent="0.35">
      <c r="E9231" s="35"/>
      <c r="J9231" s="41"/>
    </row>
    <row r="9232" spans="5:10" s="34" customFormat="1" x14ac:dyDescent="0.35">
      <c r="E9232" s="35"/>
      <c r="J9232" s="41"/>
    </row>
    <row r="9233" spans="5:10" s="34" customFormat="1" x14ac:dyDescent="0.35">
      <c r="E9233" s="35"/>
      <c r="J9233" s="41"/>
    </row>
    <row r="9234" spans="5:10" s="34" customFormat="1" x14ac:dyDescent="0.35">
      <c r="E9234" s="35"/>
      <c r="J9234" s="41"/>
    </row>
    <row r="9235" spans="5:10" s="34" customFormat="1" x14ac:dyDescent="0.35">
      <c r="E9235" s="35"/>
      <c r="J9235" s="41"/>
    </row>
    <row r="9236" spans="5:10" s="34" customFormat="1" x14ac:dyDescent="0.35">
      <c r="E9236" s="35"/>
      <c r="J9236" s="41"/>
    </row>
    <row r="9237" spans="5:10" s="34" customFormat="1" x14ac:dyDescent="0.35">
      <c r="E9237" s="35"/>
      <c r="J9237" s="41"/>
    </row>
    <row r="9238" spans="5:10" s="34" customFormat="1" x14ac:dyDescent="0.35">
      <c r="E9238" s="35"/>
      <c r="J9238" s="41"/>
    </row>
    <row r="9239" spans="5:10" s="34" customFormat="1" x14ac:dyDescent="0.35">
      <c r="E9239" s="35"/>
      <c r="J9239" s="41"/>
    </row>
    <row r="9240" spans="5:10" s="34" customFormat="1" x14ac:dyDescent="0.35">
      <c r="E9240" s="35"/>
      <c r="J9240" s="41"/>
    </row>
    <row r="9241" spans="5:10" s="34" customFormat="1" x14ac:dyDescent="0.35">
      <c r="E9241" s="35"/>
      <c r="J9241" s="41"/>
    </row>
    <row r="9242" spans="5:10" s="34" customFormat="1" x14ac:dyDescent="0.35">
      <c r="E9242" s="35"/>
      <c r="J9242" s="41"/>
    </row>
    <row r="9243" spans="5:10" s="34" customFormat="1" x14ac:dyDescent="0.35">
      <c r="E9243" s="35"/>
      <c r="J9243" s="41"/>
    </row>
    <row r="9244" spans="5:10" s="34" customFormat="1" x14ac:dyDescent="0.35">
      <c r="E9244" s="35"/>
      <c r="J9244" s="41"/>
    </row>
    <row r="9245" spans="5:10" s="34" customFormat="1" x14ac:dyDescent="0.35">
      <c r="E9245" s="35"/>
      <c r="J9245" s="41"/>
    </row>
    <row r="9246" spans="5:10" s="34" customFormat="1" x14ac:dyDescent="0.35">
      <c r="E9246" s="35"/>
      <c r="J9246" s="41"/>
    </row>
    <row r="9247" spans="5:10" s="34" customFormat="1" x14ac:dyDescent="0.35">
      <c r="E9247" s="35"/>
      <c r="J9247" s="41"/>
    </row>
    <row r="9248" spans="5:10" s="34" customFormat="1" x14ac:dyDescent="0.35">
      <c r="E9248" s="35"/>
      <c r="J9248" s="41"/>
    </row>
    <row r="9249" spans="5:10" s="34" customFormat="1" x14ac:dyDescent="0.35">
      <c r="E9249" s="35"/>
      <c r="J9249" s="41"/>
    </row>
    <row r="9250" spans="5:10" s="34" customFormat="1" x14ac:dyDescent="0.35">
      <c r="E9250" s="35"/>
      <c r="J9250" s="41"/>
    </row>
    <row r="9251" spans="5:10" s="34" customFormat="1" x14ac:dyDescent="0.35">
      <c r="E9251" s="35"/>
      <c r="J9251" s="41"/>
    </row>
    <row r="9252" spans="5:10" s="34" customFormat="1" x14ac:dyDescent="0.35">
      <c r="E9252" s="35"/>
      <c r="J9252" s="41"/>
    </row>
    <row r="9253" spans="5:10" s="34" customFormat="1" x14ac:dyDescent="0.35">
      <c r="E9253" s="35"/>
      <c r="J9253" s="41"/>
    </row>
    <row r="9254" spans="5:10" s="34" customFormat="1" x14ac:dyDescent="0.35">
      <c r="E9254" s="35"/>
      <c r="J9254" s="41"/>
    </row>
    <row r="9255" spans="5:10" s="34" customFormat="1" x14ac:dyDescent="0.35">
      <c r="E9255" s="35"/>
      <c r="J9255" s="41"/>
    </row>
    <row r="9256" spans="5:10" s="34" customFormat="1" x14ac:dyDescent="0.35">
      <c r="E9256" s="35"/>
      <c r="J9256" s="41"/>
    </row>
    <row r="9257" spans="5:10" s="34" customFormat="1" x14ac:dyDescent="0.35">
      <c r="E9257" s="35"/>
      <c r="J9257" s="41"/>
    </row>
    <row r="9258" spans="5:10" s="34" customFormat="1" x14ac:dyDescent="0.35">
      <c r="E9258" s="35"/>
      <c r="J9258" s="41"/>
    </row>
    <row r="9259" spans="5:10" s="34" customFormat="1" x14ac:dyDescent="0.35">
      <c r="E9259" s="35"/>
      <c r="J9259" s="41"/>
    </row>
    <row r="9260" spans="5:10" s="34" customFormat="1" x14ac:dyDescent="0.35">
      <c r="E9260" s="35"/>
      <c r="J9260" s="41"/>
    </row>
    <row r="9261" spans="5:10" s="34" customFormat="1" x14ac:dyDescent="0.35">
      <c r="E9261" s="35"/>
      <c r="J9261" s="41"/>
    </row>
    <row r="9262" spans="5:10" s="34" customFormat="1" x14ac:dyDescent="0.35">
      <c r="E9262" s="35"/>
      <c r="J9262" s="41"/>
    </row>
    <row r="9263" spans="5:10" s="34" customFormat="1" x14ac:dyDescent="0.35">
      <c r="E9263" s="35"/>
      <c r="J9263" s="41"/>
    </row>
    <row r="9264" spans="5:10" s="34" customFormat="1" x14ac:dyDescent="0.35">
      <c r="E9264" s="35"/>
      <c r="J9264" s="41"/>
    </row>
    <row r="9265" spans="5:10" s="34" customFormat="1" x14ac:dyDescent="0.35">
      <c r="E9265" s="35"/>
      <c r="J9265" s="41"/>
    </row>
    <row r="9266" spans="5:10" s="34" customFormat="1" x14ac:dyDescent="0.35">
      <c r="E9266" s="35"/>
      <c r="J9266" s="41"/>
    </row>
    <row r="9267" spans="5:10" s="34" customFormat="1" x14ac:dyDescent="0.35">
      <c r="E9267" s="35"/>
      <c r="J9267" s="41"/>
    </row>
    <row r="9268" spans="5:10" s="34" customFormat="1" x14ac:dyDescent="0.35">
      <c r="E9268" s="35"/>
      <c r="J9268" s="41"/>
    </row>
    <row r="9269" spans="5:10" s="34" customFormat="1" x14ac:dyDescent="0.35">
      <c r="E9269" s="35"/>
      <c r="J9269" s="41"/>
    </row>
    <row r="9270" spans="5:10" s="34" customFormat="1" x14ac:dyDescent="0.35">
      <c r="E9270" s="35"/>
      <c r="J9270" s="41"/>
    </row>
    <row r="9271" spans="5:10" s="34" customFormat="1" x14ac:dyDescent="0.35">
      <c r="E9271" s="35"/>
      <c r="J9271" s="41"/>
    </row>
    <row r="9272" spans="5:10" s="34" customFormat="1" x14ac:dyDescent="0.35">
      <c r="E9272" s="35"/>
      <c r="J9272" s="41"/>
    </row>
    <row r="9273" spans="5:10" s="34" customFormat="1" x14ac:dyDescent="0.35">
      <c r="E9273" s="35"/>
      <c r="J9273" s="41"/>
    </row>
    <row r="9274" spans="5:10" s="34" customFormat="1" x14ac:dyDescent="0.35">
      <c r="E9274" s="35"/>
      <c r="J9274" s="41"/>
    </row>
    <row r="9275" spans="5:10" s="34" customFormat="1" x14ac:dyDescent="0.35">
      <c r="E9275" s="35"/>
      <c r="J9275" s="41"/>
    </row>
    <row r="9276" spans="5:10" s="34" customFormat="1" x14ac:dyDescent="0.35">
      <c r="E9276" s="35"/>
      <c r="J9276" s="41"/>
    </row>
    <row r="9277" spans="5:10" s="34" customFormat="1" x14ac:dyDescent="0.35">
      <c r="E9277" s="35"/>
      <c r="J9277" s="41"/>
    </row>
    <row r="9278" spans="5:10" s="34" customFormat="1" x14ac:dyDescent="0.35">
      <c r="E9278" s="35"/>
      <c r="J9278" s="41"/>
    </row>
    <row r="9279" spans="5:10" s="34" customFormat="1" x14ac:dyDescent="0.35">
      <c r="E9279" s="35"/>
      <c r="J9279" s="41"/>
    </row>
    <row r="9280" spans="5:10" s="34" customFormat="1" x14ac:dyDescent="0.35">
      <c r="E9280" s="35"/>
      <c r="J9280" s="41"/>
    </row>
    <row r="9281" spans="5:10" s="34" customFormat="1" x14ac:dyDescent="0.35">
      <c r="E9281" s="35"/>
      <c r="J9281" s="41"/>
    </row>
    <row r="9282" spans="5:10" s="34" customFormat="1" x14ac:dyDescent="0.35">
      <c r="E9282" s="35"/>
      <c r="J9282" s="41"/>
    </row>
    <row r="9283" spans="5:10" s="34" customFormat="1" x14ac:dyDescent="0.35">
      <c r="E9283" s="35"/>
      <c r="J9283" s="41"/>
    </row>
    <row r="9284" spans="5:10" s="34" customFormat="1" x14ac:dyDescent="0.35">
      <c r="E9284" s="35"/>
      <c r="J9284" s="41"/>
    </row>
    <row r="9285" spans="5:10" s="34" customFormat="1" x14ac:dyDescent="0.35">
      <c r="E9285" s="35"/>
      <c r="J9285" s="41"/>
    </row>
    <row r="9286" spans="5:10" s="34" customFormat="1" x14ac:dyDescent="0.35">
      <c r="E9286" s="35"/>
      <c r="J9286" s="41"/>
    </row>
    <row r="9287" spans="5:10" s="34" customFormat="1" x14ac:dyDescent="0.35">
      <c r="E9287" s="35"/>
      <c r="J9287" s="41"/>
    </row>
    <row r="9288" spans="5:10" s="34" customFormat="1" x14ac:dyDescent="0.35">
      <c r="E9288" s="35"/>
      <c r="J9288" s="41"/>
    </row>
    <row r="9289" spans="5:10" s="34" customFormat="1" x14ac:dyDescent="0.35">
      <c r="E9289" s="35"/>
      <c r="J9289" s="41"/>
    </row>
    <row r="9290" spans="5:10" s="34" customFormat="1" x14ac:dyDescent="0.35">
      <c r="E9290" s="35"/>
      <c r="J9290" s="41"/>
    </row>
    <row r="9291" spans="5:10" s="34" customFormat="1" x14ac:dyDescent="0.35">
      <c r="E9291" s="35"/>
      <c r="J9291" s="41"/>
    </row>
    <row r="9292" spans="5:10" s="34" customFormat="1" x14ac:dyDescent="0.35">
      <c r="E9292" s="35"/>
      <c r="J9292" s="41"/>
    </row>
    <row r="9293" spans="5:10" s="34" customFormat="1" x14ac:dyDescent="0.35">
      <c r="E9293" s="35"/>
      <c r="J9293" s="41"/>
    </row>
    <row r="9294" spans="5:10" s="34" customFormat="1" x14ac:dyDescent="0.35">
      <c r="E9294" s="35"/>
      <c r="J9294" s="41"/>
    </row>
    <row r="9295" spans="5:10" s="34" customFormat="1" x14ac:dyDescent="0.35">
      <c r="E9295" s="35"/>
      <c r="J9295" s="41"/>
    </row>
    <row r="9296" spans="5:10" s="34" customFormat="1" x14ac:dyDescent="0.35">
      <c r="E9296" s="35"/>
      <c r="J9296" s="41"/>
    </row>
    <row r="9297" spans="5:10" s="34" customFormat="1" x14ac:dyDescent="0.35">
      <c r="E9297" s="35"/>
      <c r="J9297" s="41"/>
    </row>
    <row r="9298" spans="5:10" s="34" customFormat="1" x14ac:dyDescent="0.35">
      <c r="E9298" s="35"/>
      <c r="J9298" s="41"/>
    </row>
    <row r="9299" spans="5:10" s="34" customFormat="1" x14ac:dyDescent="0.35">
      <c r="E9299" s="35"/>
      <c r="J9299" s="41"/>
    </row>
    <row r="9300" spans="5:10" s="34" customFormat="1" x14ac:dyDescent="0.35">
      <c r="E9300" s="35"/>
      <c r="J9300" s="41"/>
    </row>
    <row r="9301" spans="5:10" s="34" customFormat="1" x14ac:dyDescent="0.35">
      <c r="E9301" s="35"/>
      <c r="J9301" s="41"/>
    </row>
    <row r="9302" spans="5:10" s="34" customFormat="1" x14ac:dyDescent="0.35">
      <c r="E9302" s="35"/>
      <c r="J9302" s="41"/>
    </row>
    <row r="9303" spans="5:10" s="34" customFormat="1" x14ac:dyDescent="0.35">
      <c r="E9303" s="35"/>
      <c r="J9303" s="41"/>
    </row>
    <row r="9304" spans="5:10" s="34" customFormat="1" x14ac:dyDescent="0.35">
      <c r="E9304" s="35"/>
      <c r="J9304" s="41"/>
    </row>
    <row r="9305" spans="5:10" s="34" customFormat="1" x14ac:dyDescent="0.35">
      <c r="E9305" s="35"/>
      <c r="J9305" s="41"/>
    </row>
    <row r="9306" spans="5:10" s="34" customFormat="1" x14ac:dyDescent="0.35">
      <c r="E9306" s="35"/>
      <c r="J9306" s="41"/>
    </row>
    <row r="9307" spans="5:10" s="34" customFormat="1" x14ac:dyDescent="0.35">
      <c r="E9307" s="35"/>
      <c r="J9307" s="41"/>
    </row>
    <row r="9308" spans="5:10" s="34" customFormat="1" x14ac:dyDescent="0.35">
      <c r="E9308" s="35"/>
      <c r="J9308" s="41"/>
    </row>
    <row r="9309" spans="5:10" s="34" customFormat="1" x14ac:dyDescent="0.35">
      <c r="E9309" s="35"/>
      <c r="J9309" s="41"/>
    </row>
    <row r="9310" spans="5:10" s="34" customFormat="1" x14ac:dyDescent="0.35">
      <c r="E9310" s="35"/>
      <c r="J9310" s="41"/>
    </row>
    <row r="9311" spans="5:10" s="34" customFormat="1" x14ac:dyDescent="0.35">
      <c r="E9311" s="35"/>
      <c r="J9311" s="41"/>
    </row>
    <row r="9312" spans="5:10" s="34" customFormat="1" x14ac:dyDescent="0.35">
      <c r="E9312" s="35"/>
      <c r="J9312" s="41"/>
    </row>
    <row r="9313" spans="5:10" s="34" customFormat="1" x14ac:dyDescent="0.35">
      <c r="E9313" s="35"/>
      <c r="J9313" s="41"/>
    </row>
    <row r="9314" spans="5:10" s="34" customFormat="1" x14ac:dyDescent="0.35">
      <c r="E9314" s="35"/>
      <c r="J9314" s="41"/>
    </row>
    <row r="9315" spans="5:10" s="34" customFormat="1" x14ac:dyDescent="0.35">
      <c r="E9315" s="35"/>
      <c r="J9315" s="41"/>
    </row>
    <row r="9316" spans="5:10" s="34" customFormat="1" x14ac:dyDescent="0.35">
      <c r="E9316" s="35"/>
      <c r="J9316" s="41"/>
    </row>
    <row r="9317" spans="5:10" s="34" customFormat="1" x14ac:dyDescent="0.35">
      <c r="E9317" s="35"/>
      <c r="J9317" s="41"/>
    </row>
    <row r="9318" spans="5:10" s="34" customFormat="1" x14ac:dyDescent="0.35">
      <c r="E9318" s="35"/>
      <c r="J9318" s="41"/>
    </row>
    <row r="9319" spans="5:10" s="34" customFormat="1" x14ac:dyDescent="0.35">
      <c r="E9319" s="35"/>
      <c r="J9319" s="41"/>
    </row>
    <row r="9320" spans="5:10" s="34" customFormat="1" x14ac:dyDescent="0.35">
      <c r="E9320" s="35"/>
      <c r="J9320" s="41"/>
    </row>
    <row r="9321" spans="5:10" s="34" customFormat="1" x14ac:dyDescent="0.35">
      <c r="E9321" s="35"/>
      <c r="J9321" s="41"/>
    </row>
    <row r="9322" spans="5:10" s="34" customFormat="1" x14ac:dyDescent="0.35">
      <c r="E9322" s="35"/>
      <c r="J9322" s="41"/>
    </row>
    <row r="9323" spans="5:10" s="34" customFormat="1" x14ac:dyDescent="0.35">
      <c r="E9323" s="35"/>
      <c r="J9323" s="41"/>
    </row>
    <row r="9324" spans="5:10" s="34" customFormat="1" x14ac:dyDescent="0.35">
      <c r="E9324" s="35"/>
      <c r="J9324" s="41"/>
    </row>
    <row r="9325" spans="5:10" s="34" customFormat="1" x14ac:dyDescent="0.35">
      <c r="E9325" s="35"/>
      <c r="J9325" s="41"/>
    </row>
    <row r="9326" spans="5:10" s="34" customFormat="1" x14ac:dyDescent="0.35">
      <c r="E9326" s="35"/>
      <c r="J9326" s="41"/>
    </row>
    <row r="9327" spans="5:10" s="34" customFormat="1" x14ac:dyDescent="0.35">
      <c r="E9327" s="35"/>
      <c r="J9327" s="41"/>
    </row>
    <row r="9328" spans="5:10" s="34" customFormat="1" x14ac:dyDescent="0.35">
      <c r="E9328" s="35"/>
      <c r="J9328" s="41"/>
    </row>
    <row r="9329" spans="5:10" s="34" customFormat="1" x14ac:dyDescent="0.35">
      <c r="E9329" s="35"/>
      <c r="J9329" s="41"/>
    </row>
    <row r="9330" spans="5:10" s="34" customFormat="1" x14ac:dyDescent="0.35">
      <c r="E9330" s="35"/>
      <c r="J9330" s="41"/>
    </row>
    <row r="9331" spans="5:10" s="34" customFormat="1" x14ac:dyDescent="0.35">
      <c r="E9331" s="35"/>
      <c r="J9331" s="41"/>
    </row>
    <row r="9332" spans="5:10" s="34" customFormat="1" x14ac:dyDescent="0.35">
      <c r="E9332" s="35"/>
      <c r="J9332" s="41"/>
    </row>
    <row r="9333" spans="5:10" s="34" customFormat="1" x14ac:dyDescent="0.35">
      <c r="E9333" s="35"/>
      <c r="J9333" s="41"/>
    </row>
    <row r="9334" spans="5:10" s="34" customFormat="1" x14ac:dyDescent="0.35">
      <c r="E9334" s="35"/>
      <c r="J9334" s="41"/>
    </row>
    <row r="9335" spans="5:10" s="34" customFormat="1" x14ac:dyDescent="0.35">
      <c r="E9335" s="35"/>
      <c r="J9335" s="41"/>
    </row>
    <row r="9336" spans="5:10" s="34" customFormat="1" x14ac:dyDescent="0.35">
      <c r="E9336" s="35"/>
      <c r="J9336" s="41"/>
    </row>
    <row r="9337" spans="5:10" s="34" customFormat="1" x14ac:dyDescent="0.35">
      <c r="E9337" s="35"/>
      <c r="J9337" s="41"/>
    </row>
    <row r="9338" spans="5:10" s="34" customFormat="1" x14ac:dyDescent="0.35">
      <c r="E9338" s="35"/>
      <c r="J9338" s="41"/>
    </row>
    <row r="9339" spans="5:10" s="34" customFormat="1" x14ac:dyDescent="0.35">
      <c r="E9339" s="35"/>
      <c r="J9339" s="41"/>
    </row>
    <row r="9340" spans="5:10" s="34" customFormat="1" x14ac:dyDescent="0.35">
      <c r="E9340" s="35"/>
      <c r="J9340" s="41"/>
    </row>
    <row r="9341" spans="5:10" s="34" customFormat="1" x14ac:dyDescent="0.35">
      <c r="E9341" s="35"/>
      <c r="J9341" s="41"/>
    </row>
    <row r="9342" spans="5:10" s="34" customFormat="1" x14ac:dyDescent="0.35">
      <c r="E9342" s="35"/>
      <c r="J9342" s="41"/>
    </row>
    <row r="9343" spans="5:10" s="34" customFormat="1" x14ac:dyDescent="0.35">
      <c r="E9343" s="35"/>
      <c r="J9343" s="41"/>
    </row>
    <row r="9344" spans="5:10" s="34" customFormat="1" x14ac:dyDescent="0.35">
      <c r="E9344" s="35"/>
      <c r="J9344" s="41"/>
    </row>
    <row r="9345" spans="5:10" s="34" customFormat="1" x14ac:dyDescent="0.35">
      <c r="E9345" s="35"/>
      <c r="J9345" s="41"/>
    </row>
    <row r="9346" spans="5:10" s="34" customFormat="1" x14ac:dyDescent="0.35">
      <c r="E9346" s="35"/>
      <c r="J9346" s="41"/>
    </row>
    <row r="9347" spans="5:10" s="34" customFormat="1" x14ac:dyDescent="0.35">
      <c r="E9347" s="35"/>
      <c r="J9347" s="41"/>
    </row>
    <row r="9348" spans="5:10" s="34" customFormat="1" x14ac:dyDescent="0.35">
      <c r="E9348" s="35"/>
      <c r="J9348" s="41"/>
    </row>
    <row r="9349" spans="5:10" s="34" customFormat="1" x14ac:dyDescent="0.35">
      <c r="E9349" s="35"/>
      <c r="J9349" s="41"/>
    </row>
    <row r="9350" spans="5:10" s="34" customFormat="1" x14ac:dyDescent="0.35">
      <c r="E9350" s="35"/>
      <c r="J9350" s="41"/>
    </row>
    <row r="9351" spans="5:10" s="34" customFormat="1" x14ac:dyDescent="0.35">
      <c r="E9351" s="35"/>
      <c r="J9351" s="41"/>
    </row>
    <row r="9352" spans="5:10" s="34" customFormat="1" x14ac:dyDescent="0.35">
      <c r="E9352" s="35"/>
      <c r="J9352" s="41"/>
    </row>
    <row r="9353" spans="5:10" s="34" customFormat="1" x14ac:dyDescent="0.35">
      <c r="E9353" s="35"/>
      <c r="J9353" s="41"/>
    </row>
    <row r="9354" spans="5:10" s="34" customFormat="1" x14ac:dyDescent="0.35">
      <c r="E9354" s="35"/>
      <c r="J9354" s="41"/>
    </row>
    <row r="9355" spans="5:10" s="34" customFormat="1" x14ac:dyDescent="0.35">
      <c r="E9355" s="35"/>
      <c r="J9355" s="41"/>
    </row>
    <row r="9356" spans="5:10" s="34" customFormat="1" x14ac:dyDescent="0.35">
      <c r="E9356" s="35"/>
      <c r="J9356" s="41"/>
    </row>
    <row r="9357" spans="5:10" s="34" customFormat="1" x14ac:dyDescent="0.35">
      <c r="E9357" s="35"/>
      <c r="J9357" s="41"/>
    </row>
    <row r="9358" spans="5:10" s="34" customFormat="1" x14ac:dyDescent="0.35">
      <c r="E9358" s="35"/>
      <c r="J9358" s="41"/>
    </row>
    <row r="9359" spans="5:10" s="34" customFormat="1" x14ac:dyDescent="0.35">
      <c r="E9359" s="35"/>
      <c r="J9359" s="41"/>
    </row>
    <row r="9360" spans="5:10" s="34" customFormat="1" x14ac:dyDescent="0.35">
      <c r="E9360" s="35"/>
      <c r="J9360" s="41"/>
    </row>
    <row r="9361" spans="5:10" s="34" customFormat="1" x14ac:dyDescent="0.35">
      <c r="E9361" s="35"/>
      <c r="J9361" s="41"/>
    </row>
    <row r="9362" spans="5:10" s="34" customFormat="1" x14ac:dyDescent="0.35">
      <c r="E9362" s="35"/>
      <c r="J9362" s="41"/>
    </row>
    <row r="9363" spans="5:10" s="34" customFormat="1" x14ac:dyDescent="0.35">
      <c r="E9363" s="35"/>
      <c r="J9363" s="41"/>
    </row>
    <row r="9364" spans="5:10" s="34" customFormat="1" x14ac:dyDescent="0.35">
      <c r="E9364" s="35"/>
      <c r="J9364" s="41"/>
    </row>
    <row r="9365" spans="5:10" s="34" customFormat="1" x14ac:dyDescent="0.35">
      <c r="E9365" s="35"/>
      <c r="J9365" s="41"/>
    </row>
    <row r="9366" spans="5:10" s="34" customFormat="1" x14ac:dyDescent="0.35">
      <c r="E9366" s="35"/>
      <c r="J9366" s="41"/>
    </row>
    <row r="9367" spans="5:10" s="34" customFormat="1" x14ac:dyDescent="0.35">
      <c r="E9367" s="35"/>
      <c r="J9367" s="41"/>
    </row>
    <row r="9368" spans="5:10" s="34" customFormat="1" x14ac:dyDescent="0.35">
      <c r="E9368" s="35"/>
      <c r="J9368" s="41"/>
    </row>
    <row r="9369" spans="5:10" s="34" customFormat="1" x14ac:dyDescent="0.35">
      <c r="E9369" s="35"/>
      <c r="J9369" s="41"/>
    </row>
    <row r="9370" spans="5:10" s="34" customFormat="1" x14ac:dyDescent="0.35">
      <c r="E9370" s="35"/>
      <c r="J9370" s="41"/>
    </row>
    <row r="9371" spans="5:10" s="34" customFormat="1" x14ac:dyDescent="0.35">
      <c r="E9371" s="35"/>
      <c r="J9371" s="41"/>
    </row>
    <row r="9372" spans="5:10" s="34" customFormat="1" x14ac:dyDescent="0.35">
      <c r="E9372" s="35"/>
      <c r="J9372" s="41"/>
    </row>
    <row r="9373" spans="5:10" s="34" customFormat="1" x14ac:dyDescent="0.35">
      <c r="E9373" s="35"/>
      <c r="J9373" s="41"/>
    </row>
    <row r="9374" spans="5:10" s="34" customFormat="1" x14ac:dyDescent="0.35">
      <c r="E9374" s="35"/>
      <c r="J9374" s="41"/>
    </row>
    <row r="9375" spans="5:10" s="34" customFormat="1" x14ac:dyDescent="0.35">
      <c r="E9375" s="35"/>
      <c r="J9375" s="41"/>
    </row>
    <row r="9376" spans="5:10" s="34" customFormat="1" x14ac:dyDescent="0.35">
      <c r="E9376" s="35"/>
      <c r="J9376" s="41"/>
    </row>
    <row r="9377" spans="5:10" s="34" customFormat="1" x14ac:dyDescent="0.35">
      <c r="E9377" s="35"/>
      <c r="J9377" s="41"/>
    </row>
    <row r="9378" spans="5:10" s="34" customFormat="1" x14ac:dyDescent="0.35">
      <c r="E9378" s="35"/>
      <c r="J9378" s="41"/>
    </row>
    <row r="9379" spans="5:10" s="34" customFormat="1" x14ac:dyDescent="0.35">
      <c r="E9379" s="35"/>
      <c r="J9379" s="41"/>
    </row>
    <row r="9380" spans="5:10" s="34" customFormat="1" x14ac:dyDescent="0.35">
      <c r="E9380" s="35"/>
      <c r="J9380" s="41"/>
    </row>
    <row r="9381" spans="5:10" s="34" customFormat="1" x14ac:dyDescent="0.35">
      <c r="E9381" s="35"/>
      <c r="J9381" s="41"/>
    </row>
    <row r="9382" spans="5:10" s="34" customFormat="1" x14ac:dyDescent="0.35">
      <c r="E9382" s="35"/>
      <c r="J9382" s="41"/>
    </row>
    <row r="9383" spans="5:10" s="34" customFormat="1" x14ac:dyDescent="0.35">
      <c r="E9383" s="35"/>
      <c r="J9383" s="41"/>
    </row>
    <row r="9384" spans="5:10" s="34" customFormat="1" x14ac:dyDescent="0.35">
      <c r="E9384" s="35"/>
      <c r="J9384" s="41"/>
    </row>
    <row r="9385" spans="5:10" s="34" customFormat="1" x14ac:dyDescent="0.35">
      <c r="E9385" s="35"/>
      <c r="J9385" s="41"/>
    </row>
    <row r="9386" spans="5:10" s="34" customFormat="1" x14ac:dyDescent="0.35">
      <c r="E9386" s="35"/>
      <c r="J9386" s="41"/>
    </row>
    <row r="9387" spans="5:10" s="34" customFormat="1" x14ac:dyDescent="0.35">
      <c r="E9387" s="35"/>
      <c r="J9387" s="41"/>
    </row>
    <row r="9388" spans="5:10" s="34" customFormat="1" x14ac:dyDescent="0.35">
      <c r="E9388" s="35"/>
      <c r="J9388" s="41"/>
    </row>
    <row r="9389" spans="5:10" s="34" customFormat="1" x14ac:dyDescent="0.35">
      <c r="E9389" s="35"/>
      <c r="J9389" s="41"/>
    </row>
    <row r="9390" spans="5:10" s="34" customFormat="1" x14ac:dyDescent="0.35">
      <c r="E9390" s="35"/>
      <c r="J9390" s="41"/>
    </row>
    <row r="9391" spans="5:10" s="34" customFormat="1" x14ac:dyDescent="0.35">
      <c r="E9391" s="35"/>
      <c r="J9391" s="41"/>
    </row>
    <row r="9392" spans="5:10" s="34" customFormat="1" x14ac:dyDescent="0.35">
      <c r="E9392" s="35"/>
      <c r="J9392" s="41"/>
    </row>
    <row r="9393" spans="5:10" s="34" customFormat="1" x14ac:dyDescent="0.35">
      <c r="E9393" s="35"/>
      <c r="J9393" s="41"/>
    </row>
    <row r="9394" spans="5:10" s="34" customFormat="1" x14ac:dyDescent="0.35">
      <c r="E9394" s="35"/>
      <c r="J9394" s="41"/>
    </row>
    <row r="9395" spans="5:10" s="34" customFormat="1" x14ac:dyDescent="0.35">
      <c r="E9395" s="35"/>
      <c r="J9395" s="41"/>
    </row>
    <row r="9396" spans="5:10" s="34" customFormat="1" x14ac:dyDescent="0.35">
      <c r="E9396" s="35"/>
      <c r="J9396" s="41"/>
    </row>
    <row r="9397" spans="5:10" s="34" customFormat="1" x14ac:dyDescent="0.35">
      <c r="E9397" s="35"/>
      <c r="J9397" s="41"/>
    </row>
    <row r="9398" spans="5:10" s="34" customFormat="1" x14ac:dyDescent="0.35">
      <c r="E9398" s="35"/>
      <c r="J9398" s="41"/>
    </row>
    <row r="9399" spans="5:10" s="34" customFormat="1" x14ac:dyDescent="0.35">
      <c r="E9399" s="35"/>
      <c r="J9399" s="41"/>
    </row>
    <row r="9400" spans="5:10" s="34" customFormat="1" x14ac:dyDescent="0.35">
      <c r="E9400" s="35"/>
      <c r="J9400" s="41"/>
    </row>
    <row r="9401" spans="5:10" s="34" customFormat="1" x14ac:dyDescent="0.35">
      <c r="E9401" s="35"/>
      <c r="J9401" s="41"/>
    </row>
    <row r="9402" spans="5:10" s="34" customFormat="1" x14ac:dyDescent="0.35">
      <c r="E9402" s="35"/>
      <c r="J9402" s="41"/>
    </row>
    <row r="9403" spans="5:10" s="34" customFormat="1" x14ac:dyDescent="0.35">
      <c r="E9403" s="35"/>
      <c r="J9403" s="41"/>
    </row>
    <row r="9404" spans="5:10" s="34" customFormat="1" x14ac:dyDescent="0.35">
      <c r="E9404" s="35"/>
      <c r="J9404" s="41"/>
    </row>
    <row r="9405" spans="5:10" s="34" customFormat="1" x14ac:dyDescent="0.35">
      <c r="E9405" s="35"/>
      <c r="J9405" s="41"/>
    </row>
    <row r="9406" spans="5:10" s="34" customFormat="1" x14ac:dyDescent="0.35">
      <c r="E9406" s="35"/>
      <c r="J9406" s="41"/>
    </row>
    <row r="9407" spans="5:10" s="34" customFormat="1" x14ac:dyDescent="0.35">
      <c r="E9407" s="35"/>
      <c r="J9407" s="41"/>
    </row>
    <row r="9408" spans="5:10" s="34" customFormat="1" x14ac:dyDescent="0.35">
      <c r="E9408" s="35"/>
      <c r="J9408" s="41"/>
    </row>
    <row r="9409" spans="5:10" s="34" customFormat="1" x14ac:dyDescent="0.35">
      <c r="E9409" s="35"/>
      <c r="J9409" s="41"/>
    </row>
    <row r="9410" spans="5:10" s="34" customFormat="1" x14ac:dyDescent="0.35">
      <c r="E9410" s="35"/>
      <c r="J9410" s="41"/>
    </row>
    <row r="9411" spans="5:10" s="34" customFormat="1" x14ac:dyDescent="0.35">
      <c r="E9411" s="35"/>
      <c r="J9411" s="41"/>
    </row>
    <row r="9412" spans="5:10" s="34" customFormat="1" x14ac:dyDescent="0.35">
      <c r="E9412" s="35"/>
      <c r="J9412" s="41"/>
    </row>
    <row r="9413" spans="5:10" s="34" customFormat="1" x14ac:dyDescent="0.35">
      <c r="E9413" s="35"/>
      <c r="J9413" s="41"/>
    </row>
    <row r="9414" spans="5:10" s="34" customFormat="1" x14ac:dyDescent="0.35">
      <c r="E9414" s="35"/>
      <c r="J9414" s="41"/>
    </row>
    <row r="9415" spans="5:10" s="34" customFormat="1" x14ac:dyDescent="0.35">
      <c r="E9415" s="35"/>
      <c r="J9415" s="41"/>
    </row>
    <row r="9416" spans="5:10" s="34" customFormat="1" x14ac:dyDescent="0.35">
      <c r="E9416" s="35"/>
      <c r="J9416" s="41"/>
    </row>
    <row r="9417" spans="5:10" s="34" customFormat="1" x14ac:dyDescent="0.35">
      <c r="E9417" s="35"/>
      <c r="J9417" s="41"/>
    </row>
    <row r="9418" spans="5:10" s="34" customFormat="1" x14ac:dyDescent="0.35">
      <c r="E9418" s="35"/>
      <c r="J9418" s="41"/>
    </row>
    <row r="9419" spans="5:10" s="34" customFormat="1" x14ac:dyDescent="0.35">
      <c r="E9419" s="35"/>
      <c r="J9419" s="41"/>
    </row>
    <row r="9420" spans="5:10" s="34" customFormat="1" x14ac:dyDescent="0.35">
      <c r="E9420" s="35"/>
      <c r="J9420" s="41"/>
    </row>
    <row r="9421" spans="5:10" s="34" customFormat="1" x14ac:dyDescent="0.35">
      <c r="E9421" s="35"/>
      <c r="J9421" s="41"/>
    </row>
    <row r="9422" spans="5:10" s="34" customFormat="1" x14ac:dyDescent="0.35">
      <c r="E9422" s="35"/>
      <c r="J9422" s="41"/>
    </row>
    <row r="9423" spans="5:10" s="34" customFormat="1" x14ac:dyDescent="0.35">
      <c r="E9423" s="35"/>
      <c r="J9423" s="41"/>
    </row>
    <row r="9424" spans="5:10" s="34" customFormat="1" x14ac:dyDescent="0.35">
      <c r="E9424" s="35"/>
      <c r="J9424" s="41"/>
    </row>
    <row r="9425" spans="5:10" s="34" customFormat="1" x14ac:dyDescent="0.35">
      <c r="E9425" s="35"/>
      <c r="J9425" s="41"/>
    </row>
    <row r="9426" spans="5:10" s="34" customFormat="1" x14ac:dyDescent="0.35">
      <c r="E9426" s="35"/>
      <c r="J9426" s="41"/>
    </row>
    <row r="9427" spans="5:10" s="34" customFormat="1" x14ac:dyDescent="0.35">
      <c r="E9427" s="35"/>
      <c r="J9427" s="41"/>
    </row>
    <row r="9428" spans="5:10" s="34" customFormat="1" x14ac:dyDescent="0.35">
      <c r="E9428" s="35"/>
      <c r="J9428" s="41"/>
    </row>
    <row r="9429" spans="5:10" s="34" customFormat="1" x14ac:dyDescent="0.35">
      <c r="E9429" s="35"/>
      <c r="J9429" s="41"/>
    </row>
    <row r="9430" spans="5:10" s="34" customFormat="1" x14ac:dyDescent="0.35">
      <c r="E9430" s="35"/>
      <c r="J9430" s="41"/>
    </row>
    <row r="9431" spans="5:10" s="34" customFormat="1" x14ac:dyDescent="0.35">
      <c r="E9431" s="35"/>
      <c r="J9431" s="41"/>
    </row>
    <row r="9432" spans="5:10" s="34" customFormat="1" x14ac:dyDescent="0.35">
      <c r="E9432" s="35"/>
      <c r="J9432" s="41"/>
    </row>
    <row r="9433" spans="5:10" s="34" customFormat="1" x14ac:dyDescent="0.35">
      <c r="E9433" s="35"/>
      <c r="J9433" s="41"/>
    </row>
    <row r="9434" spans="5:10" s="34" customFormat="1" x14ac:dyDescent="0.35">
      <c r="E9434" s="35"/>
      <c r="J9434" s="41"/>
    </row>
    <row r="9435" spans="5:10" s="34" customFormat="1" x14ac:dyDescent="0.35">
      <c r="E9435" s="35"/>
      <c r="J9435" s="41"/>
    </row>
    <row r="9436" spans="5:10" s="34" customFormat="1" x14ac:dyDescent="0.35">
      <c r="E9436" s="35"/>
      <c r="J9436" s="41"/>
    </row>
    <row r="9437" spans="5:10" s="34" customFormat="1" x14ac:dyDescent="0.35">
      <c r="E9437" s="35"/>
      <c r="J9437" s="41"/>
    </row>
    <row r="9438" spans="5:10" s="34" customFormat="1" x14ac:dyDescent="0.35">
      <c r="E9438" s="35"/>
      <c r="J9438" s="41"/>
    </row>
    <row r="9439" spans="5:10" s="34" customFormat="1" x14ac:dyDescent="0.35">
      <c r="E9439" s="35"/>
      <c r="J9439" s="41"/>
    </row>
    <row r="9440" spans="5:10" s="34" customFormat="1" x14ac:dyDescent="0.35">
      <c r="E9440" s="35"/>
      <c r="J9440" s="41"/>
    </row>
    <row r="9441" spans="5:10" s="34" customFormat="1" x14ac:dyDescent="0.35">
      <c r="E9441" s="35"/>
      <c r="J9441" s="41"/>
    </row>
    <row r="9442" spans="5:10" s="34" customFormat="1" x14ac:dyDescent="0.35">
      <c r="E9442" s="35"/>
      <c r="J9442" s="41"/>
    </row>
    <row r="9443" spans="5:10" s="34" customFormat="1" x14ac:dyDescent="0.35">
      <c r="E9443" s="35"/>
      <c r="J9443" s="41"/>
    </row>
    <row r="9444" spans="5:10" s="34" customFormat="1" x14ac:dyDescent="0.35">
      <c r="E9444" s="35"/>
      <c r="J9444" s="41"/>
    </row>
    <row r="9445" spans="5:10" s="34" customFormat="1" x14ac:dyDescent="0.35">
      <c r="E9445" s="35"/>
      <c r="J9445" s="41"/>
    </row>
    <row r="9446" spans="5:10" s="34" customFormat="1" x14ac:dyDescent="0.35">
      <c r="E9446" s="35"/>
      <c r="J9446" s="41"/>
    </row>
    <row r="9447" spans="5:10" s="34" customFormat="1" x14ac:dyDescent="0.35">
      <c r="E9447" s="35"/>
      <c r="J9447" s="41"/>
    </row>
    <row r="9448" spans="5:10" s="34" customFormat="1" x14ac:dyDescent="0.35">
      <c r="E9448" s="35"/>
      <c r="J9448" s="41"/>
    </row>
    <row r="9449" spans="5:10" s="34" customFormat="1" x14ac:dyDescent="0.35">
      <c r="E9449" s="35"/>
      <c r="J9449" s="41"/>
    </row>
    <row r="9450" spans="5:10" s="34" customFormat="1" x14ac:dyDescent="0.35">
      <c r="E9450" s="35"/>
      <c r="J9450" s="41"/>
    </row>
    <row r="9451" spans="5:10" s="34" customFormat="1" x14ac:dyDescent="0.35">
      <c r="E9451" s="35"/>
      <c r="J9451" s="41"/>
    </row>
    <row r="9452" spans="5:10" s="34" customFormat="1" x14ac:dyDescent="0.35">
      <c r="E9452" s="35"/>
      <c r="J9452" s="41"/>
    </row>
    <row r="9453" spans="5:10" s="34" customFormat="1" x14ac:dyDescent="0.35">
      <c r="E9453" s="35"/>
      <c r="J9453" s="41"/>
    </row>
    <row r="9454" spans="5:10" s="34" customFormat="1" x14ac:dyDescent="0.35">
      <c r="E9454" s="35"/>
      <c r="J9454" s="41"/>
    </row>
    <row r="9455" spans="5:10" s="34" customFormat="1" x14ac:dyDescent="0.35">
      <c r="E9455" s="35"/>
      <c r="J9455" s="41"/>
    </row>
    <row r="9456" spans="5:10" s="34" customFormat="1" x14ac:dyDescent="0.35">
      <c r="E9456" s="35"/>
      <c r="J9456" s="41"/>
    </row>
    <row r="9457" spans="5:10" s="34" customFormat="1" x14ac:dyDescent="0.35">
      <c r="E9457" s="35"/>
      <c r="J9457" s="41"/>
    </row>
    <row r="9458" spans="5:10" s="34" customFormat="1" x14ac:dyDescent="0.35">
      <c r="E9458" s="35"/>
      <c r="J9458" s="41"/>
    </row>
    <row r="9459" spans="5:10" s="34" customFormat="1" x14ac:dyDescent="0.35">
      <c r="E9459" s="35"/>
      <c r="J9459" s="41"/>
    </row>
    <row r="9460" spans="5:10" s="34" customFormat="1" x14ac:dyDescent="0.35">
      <c r="E9460" s="35"/>
      <c r="J9460" s="41"/>
    </row>
    <row r="9461" spans="5:10" s="34" customFormat="1" x14ac:dyDescent="0.35">
      <c r="E9461" s="35"/>
      <c r="J9461" s="41"/>
    </row>
    <row r="9462" spans="5:10" s="34" customFormat="1" x14ac:dyDescent="0.35">
      <c r="E9462" s="35"/>
      <c r="J9462" s="41"/>
    </row>
    <row r="9463" spans="5:10" s="34" customFormat="1" x14ac:dyDescent="0.35">
      <c r="E9463" s="35"/>
      <c r="J9463" s="41"/>
    </row>
    <row r="9464" spans="5:10" s="34" customFormat="1" x14ac:dyDescent="0.35">
      <c r="E9464" s="35"/>
      <c r="J9464" s="41"/>
    </row>
    <row r="9465" spans="5:10" s="34" customFormat="1" x14ac:dyDescent="0.35">
      <c r="E9465" s="35"/>
      <c r="J9465" s="41"/>
    </row>
    <row r="9466" spans="5:10" s="34" customFormat="1" x14ac:dyDescent="0.35">
      <c r="E9466" s="35"/>
      <c r="J9466" s="41"/>
    </row>
    <row r="9467" spans="5:10" s="34" customFormat="1" x14ac:dyDescent="0.35">
      <c r="E9467" s="35"/>
      <c r="J9467" s="41"/>
    </row>
    <row r="9468" spans="5:10" s="34" customFormat="1" x14ac:dyDescent="0.35">
      <c r="E9468" s="35"/>
      <c r="J9468" s="41"/>
    </row>
    <row r="9469" spans="5:10" s="34" customFormat="1" x14ac:dyDescent="0.35">
      <c r="E9469" s="35"/>
      <c r="J9469" s="41"/>
    </row>
    <row r="9470" spans="5:10" s="34" customFormat="1" x14ac:dyDescent="0.35">
      <c r="E9470" s="35"/>
      <c r="J9470" s="41"/>
    </row>
    <row r="9471" spans="5:10" s="34" customFormat="1" x14ac:dyDescent="0.35">
      <c r="E9471" s="35"/>
      <c r="J9471" s="41"/>
    </row>
    <row r="9472" spans="5:10" s="34" customFormat="1" x14ac:dyDescent="0.35">
      <c r="E9472" s="35"/>
      <c r="J9472" s="41"/>
    </row>
    <row r="9473" spans="5:10" s="34" customFormat="1" x14ac:dyDescent="0.35">
      <c r="E9473" s="35"/>
      <c r="J9473" s="41"/>
    </row>
    <row r="9474" spans="5:10" s="34" customFormat="1" x14ac:dyDescent="0.35">
      <c r="E9474" s="35"/>
      <c r="J9474" s="41"/>
    </row>
    <row r="9475" spans="5:10" s="34" customFormat="1" x14ac:dyDescent="0.35">
      <c r="E9475" s="35"/>
      <c r="J9475" s="41"/>
    </row>
    <row r="9476" spans="5:10" s="34" customFormat="1" x14ac:dyDescent="0.35">
      <c r="E9476" s="35"/>
      <c r="J9476" s="41"/>
    </row>
    <row r="9477" spans="5:10" s="34" customFormat="1" x14ac:dyDescent="0.35">
      <c r="E9477" s="35"/>
      <c r="J9477" s="41"/>
    </row>
    <row r="9478" spans="5:10" s="34" customFormat="1" x14ac:dyDescent="0.35">
      <c r="E9478" s="35"/>
      <c r="J9478" s="41"/>
    </row>
    <row r="9479" spans="5:10" s="34" customFormat="1" x14ac:dyDescent="0.35">
      <c r="E9479" s="35"/>
      <c r="J9479" s="41"/>
    </row>
    <row r="9480" spans="5:10" s="34" customFormat="1" x14ac:dyDescent="0.35">
      <c r="E9480" s="35"/>
      <c r="J9480" s="41"/>
    </row>
    <row r="9481" spans="5:10" s="34" customFormat="1" x14ac:dyDescent="0.35">
      <c r="E9481" s="35"/>
      <c r="J9481" s="41"/>
    </row>
    <row r="9482" spans="5:10" s="34" customFormat="1" x14ac:dyDescent="0.35">
      <c r="E9482" s="35"/>
      <c r="J9482" s="41"/>
    </row>
    <row r="9483" spans="5:10" s="34" customFormat="1" x14ac:dyDescent="0.35">
      <c r="E9483" s="35"/>
      <c r="J9483" s="41"/>
    </row>
    <row r="9484" spans="5:10" s="34" customFormat="1" x14ac:dyDescent="0.35">
      <c r="E9484" s="35"/>
      <c r="J9484" s="41"/>
    </row>
    <row r="9485" spans="5:10" s="34" customFormat="1" x14ac:dyDescent="0.35">
      <c r="E9485" s="35"/>
      <c r="J9485" s="41"/>
    </row>
    <row r="9486" spans="5:10" s="34" customFormat="1" x14ac:dyDescent="0.35">
      <c r="E9486" s="35"/>
      <c r="J9486" s="41"/>
    </row>
    <row r="9487" spans="5:10" s="34" customFormat="1" x14ac:dyDescent="0.35">
      <c r="E9487" s="35"/>
      <c r="J9487" s="41"/>
    </row>
    <row r="9488" spans="5:10" s="34" customFormat="1" x14ac:dyDescent="0.35">
      <c r="E9488" s="35"/>
      <c r="J9488" s="41"/>
    </row>
    <row r="9489" spans="5:10" s="34" customFormat="1" x14ac:dyDescent="0.35">
      <c r="E9489" s="35"/>
      <c r="J9489" s="41"/>
    </row>
    <row r="9490" spans="5:10" s="34" customFormat="1" x14ac:dyDescent="0.35">
      <c r="E9490" s="35"/>
      <c r="J9490" s="41"/>
    </row>
    <row r="9491" spans="5:10" s="34" customFormat="1" x14ac:dyDescent="0.35">
      <c r="E9491" s="35"/>
      <c r="J9491" s="41"/>
    </row>
    <row r="9492" spans="5:10" s="34" customFormat="1" x14ac:dyDescent="0.35">
      <c r="E9492" s="35"/>
      <c r="J9492" s="41"/>
    </row>
    <row r="9493" spans="5:10" s="34" customFormat="1" x14ac:dyDescent="0.35">
      <c r="E9493" s="35"/>
      <c r="J9493" s="41"/>
    </row>
    <row r="9494" spans="5:10" s="34" customFormat="1" x14ac:dyDescent="0.35">
      <c r="E9494" s="35"/>
      <c r="J9494" s="41"/>
    </row>
    <row r="9495" spans="5:10" s="34" customFormat="1" x14ac:dyDescent="0.35">
      <c r="E9495" s="35"/>
      <c r="J9495" s="41"/>
    </row>
    <row r="9496" spans="5:10" s="34" customFormat="1" x14ac:dyDescent="0.35">
      <c r="E9496" s="35"/>
      <c r="J9496" s="41"/>
    </row>
    <row r="9497" spans="5:10" s="34" customFormat="1" x14ac:dyDescent="0.35">
      <c r="E9497" s="35"/>
      <c r="J9497" s="41"/>
    </row>
    <row r="9498" spans="5:10" s="34" customFormat="1" x14ac:dyDescent="0.35">
      <c r="E9498" s="35"/>
      <c r="J9498" s="41"/>
    </row>
    <row r="9499" spans="5:10" s="34" customFormat="1" x14ac:dyDescent="0.35">
      <c r="E9499" s="35"/>
      <c r="J9499" s="41"/>
    </row>
    <row r="9500" spans="5:10" s="34" customFormat="1" x14ac:dyDescent="0.35">
      <c r="E9500" s="35"/>
      <c r="J9500" s="41"/>
    </row>
    <row r="9501" spans="5:10" s="34" customFormat="1" x14ac:dyDescent="0.35">
      <c r="E9501" s="35"/>
      <c r="J9501" s="41"/>
    </row>
    <row r="9502" spans="5:10" s="34" customFormat="1" x14ac:dyDescent="0.35">
      <c r="E9502" s="35"/>
      <c r="J9502" s="41"/>
    </row>
    <row r="9503" spans="5:10" s="34" customFormat="1" x14ac:dyDescent="0.35">
      <c r="E9503" s="35"/>
      <c r="J9503" s="41"/>
    </row>
    <row r="9504" spans="5:10" s="34" customFormat="1" x14ac:dyDescent="0.35">
      <c r="E9504" s="35"/>
      <c r="J9504" s="41"/>
    </row>
    <row r="9505" spans="5:10" s="34" customFormat="1" x14ac:dyDescent="0.35">
      <c r="E9505" s="35"/>
      <c r="J9505" s="41"/>
    </row>
    <row r="9506" spans="5:10" s="34" customFormat="1" x14ac:dyDescent="0.35">
      <c r="E9506" s="35"/>
      <c r="J9506" s="41"/>
    </row>
    <row r="9507" spans="5:10" s="34" customFormat="1" x14ac:dyDescent="0.35">
      <c r="E9507" s="35"/>
      <c r="J9507" s="41"/>
    </row>
    <row r="9508" spans="5:10" s="34" customFormat="1" x14ac:dyDescent="0.35">
      <c r="E9508" s="35"/>
      <c r="J9508" s="41"/>
    </row>
    <row r="9509" spans="5:10" s="34" customFormat="1" x14ac:dyDescent="0.35">
      <c r="E9509" s="35"/>
      <c r="J9509" s="41"/>
    </row>
    <row r="9510" spans="5:10" s="34" customFormat="1" x14ac:dyDescent="0.35">
      <c r="E9510" s="35"/>
      <c r="J9510" s="41"/>
    </row>
    <row r="9511" spans="5:10" s="34" customFormat="1" x14ac:dyDescent="0.35">
      <c r="E9511" s="35"/>
      <c r="J9511" s="41"/>
    </row>
    <row r="9512" spans="5:10" s="34" customFormat="1" x14ac:dyDescent="0.35">
      <c r="E9512" s="35"/>
      <c r="J9512" s="41"/>
    </row>
    <row r="9513" spans="5:10" s="34" customFormat="1" x14ac:dyDescent="0.35">
      <c r="E9513" s="35"/>
      <c r="J9513" s="41"/>
    </row>
    <row r="9514" spans="5:10" s="34" customFormat="1" x14ac:dyDescent="0.35">
      <c r="E9514" s="35"/>
      <c r="J9514" s="41"/>
    </row>
    <row r="9515" spans="5:10" s="34" customFormat="1" x14ac:dyDescent="0.35">
      <c r="E9515" s="35"/>
      <c r="J9515" s="41"/>
    </row>
    <row r="9516" spans="5:10" s="34" customFormat="1" x14ac:dyDescent="0.35">
      <c r="E9516" s="35"/>
      <c r="J9516" s="41"/>
    </row>
    <row r="9517" spans="5:10" s="34" customFormat="1" x14ac:dyDescent="0.35">
      <c r="E9517" s="35"/>
      <c r="J9517" s="41"/>
    </row>
    <row r="9518" spans="5:10" s="34" customFormat="1" x14ac:dyDescent="0.35">
      <c r="E9518" s="35"/>
      <c r="J9518" s="41"/>
    </row>
    <row r="9519" spans="5:10" s="34" customFormat="1" x14ac:dyDescent="0.35">
      <c r="E9519" s="35"/>
      <c r="J9519" s="41"/>
    </row>
    <row r="9520" spans="5:10" s="34" customFormat="1" x14ac:dyDescent="0.35">
      <c r="E9520" s="35"/>
      <c r="J9520" s="41"/>
    </row>
    <row r="9521" spans="5:10" s="34" customFormat="1" x14ac:dyDescent="0.35">
      <c r="E9521" s="35"/>
      <c r="J9521" s="41"/>
    </row>
    <row r="9522" spans="5:10" s="34" customFormat="1" x14ac:dyDescent="0.35">
      <c r="E9522" s="35"/>
      <c r="J9522" s="41"/>
    </row>
    <row r="9523" spans="5:10" s="34" customFormat="1" x14ac:dyDescent="0.35">
      <c r="E9523" s="35"/>
      <c r="J9523" s="41"/>
    </row>
    <row r="9524" spans="5:10" s="34" customFormat="1" x14ac:dyDescent="0.35">
      <c r="E9524" s="35"/>
      <c r="J9524" s="41"/>
    </row>
    <row r="9525" spans="5:10" s="34" customFormat="1" x14ac:dyDescent="0.35">
      <c r="E9525" s="35"/>
      <c r="J9525" s="41"/>
    </row>
    <row r="9526" spans="5:10" s="34" customFormat="1" x14ac:dyDescent="0.35">
      <c r="E9526" s="35"/>
      <c r="J9526" s="41"/>
    </row>
    <row r="9527" spans="5:10" s="34" customFormat="1" x14ac:dyDescent="0.35">
      <c r="E9527" s="35"/>
      <c r="J9527" s="41"/>
    </row>
    <row r="9528" spans="5:10" s="34" customFormat="1" x14ac:dyDescent="0.35">
      <c r="E9528" s="35"/>
      <c r="J9528" s="41"/>
    </row>
    <row r="9529" spans="5:10" s="34" customFormat="1" x14ac:dyDescent="0.35">
      <c r="E9529" s="35"/>
      <c r="J9529" s="41"/>
    </row>
    <row r="9530" spans="5:10" s="34" customFormat="1" x14ac:dyDescent="0.35">
      <c r="E9530" s="35"/>
      <c r="J9530" s="41"/>
    </row>
    <row r="9531" spans="5:10" s="34" customFormat="1" x14ac:dyDescent="0.35">
      <c r="E9531" s="35"/>
      <c r="J9531" s="41"/>
    </row>
    <row r="9532" spans="5:10" s="34" customFormat="1" x14ac:dyDescent="0.35">
      <c r="E9532" s="35"/>
      <c r="J9532" s="41"/>
    </row>
    <row r="9533" spans="5:10" s="34" customFormat="1" x14ac:dyDescent="0.35">
      <c r="E9533" s="35"/>
      <c r="J9533" s="41"/>
    </row>
    <row r="9534" spans="5:10" s="34" customFormat="1" x14ac:dyDescent="0.35">
      <c r="E9534" s="35"/>
      <c r="J9534" s="41"/>
    </row>
    <row r="9535" spans="5:10" s="34" customFormat="1" x14ac:dyDescent="0.35">
      <c r="E9535" s="35"/>
      <c r="J9535" s="41"/>
    </row>
    <row r="9536" spans="5:10" s="34" customFormat="1" x14ac:dyDescent="0.35">
      <c r="E9536" s="35"/>
      <c r="J9536" s="41"/>
    </row>
    <row r="9537" spans="5:10" s="34" customFormat="1" x14ac:dyDescent="0.35">
      <c r="E9537" s="35"/>
      <c r="J9537" s="41"/>
    </row>
    <row r="9538" spans="5:10" s="34" customFormat="1" x14ac:dyDescent="0.35">
      <c r="E9538" s="35"/>
      <c r="J9538" s="41"/>
    </row>
    <row r="9539" spans="5:10" s="34" customFormat="1" x14ac:dyDescent="0.35">
      <c r="E9539" s="35"/>
      <c r="J9539" s="41"/>
    </row>
    <row r="9540" spans="5:10" s="34" customFormat="1" x14ac:dyDescent="0.35">
      <c r="E9540" s="35"/>
      <c r="J9540" s="41"/>
    </row>
    <row r="9541" spans="5:10" s="34" customFormat="1" x14ac:dyDescent="0.35">
      <c r="E9541" s="35"/>
      <c r="J9541" s="41"/>
    </row>
    <row r="9542" spans="5:10" s="34" customFormat="1" x14ac:dyDescent="0.35">
      <c r="E9542" s="35"/>
      <c r="J9542" s="41"/>
    </row>
    <row r="9543" spans="5:10" s="34" customFormat="1" x14ac:dyDescent="0.35">
      <c r="E9543" s="35"/>
      <c r="J9543" s="41"/>
    </row>
    <row r="9544" spans="5:10" s="34" customFormat="1" x14ac:dyDescent="0.35">
      <c r="E9544" s="35"/>
      <c r="J9544" s="41"/>
    </row>
    <row r="9545" spans="5:10" s="34" customFormat="1" x14ac:dyDescent="0.35">
      <c r="E9545" s="35"/>
      <c r="J9545" s="41"/>
    </row>
    <row r="9546" spans="5:10" s="34" customFormat="1" x14ac:dyDescent="0.35">
      <c r="E9546" s="35"/>
      <c r="J9546" s="41"/>
    </row>
    <row r="9547" spans="5:10" s="34" customFormat="1" x14ac:dyDescent="0.35">
      <c r="E9547" s="35"/>
      <c r="J9547" s="41"/>
    </row>
    <row r="9548" spans="5:10" s="34" customFormat="1" x14ac:dyDescent="0.35">
      <c r="E9548" s="35"/>
      <c r="J9548" s="41"/>
    </row>
    <row r="9549" spans="5:10" s="34" customFormat="1" x14ac:dyDescent="0.35">
      <c r="E9549" s="35"/>
      <c r="J9549" s="41"/>
    </row>
    <row r="9550" spans="5:10" s="34" customFormat="1" x14ac:dyDescent="0.35">
      <c r="E9550" s="35"/>
      <c r="J9550" s="41"/>
    </row>
    <row r="9551" spans="5:10" s="34" customFormat="1" x14ac:dyDescent="0.35">
      <c r="E9551" s="35"/>
      <c r="J9551" s="41"/>
    </row>
    <row r="9552" spans="5:10" s="34" customFormat="1" x14ac:dyDescent="0.35">
      <c r="E9552" s="35"/>
      <c r="J9552" s="41"/>
    </row>
    <row r="9553" spans="5:10" s="34" customFormat="1" x14ac:dyDescent="0.35">
      <c r="E9553" s="35"/>
      <c r="J9553" s="41"/>
    </row>
    <row r="9554" spans="5:10" s="34" customFormat="1" x14ac:dyDescent="0.35">
      <c r="E9554" s="35"/>
      <c r="J9554" s="41"/>
    </row>
    <row r="9555" spans="5:10" s="34" customFormat="1" x14ac:dyDescent="0.35">
      <c r="E9555" s="35"/>
      <c r="J9555" s="41"/>
    </row>
    <row r="9556" spans="5:10" s="34" customFormat="1" x14ac:dyDescent="0.35">
      <c r="E9556" s="35"/>
      <c r="J9556" s="41"/>
    </row>
    <row r="9557" spans="5:10" s="34" customFormat="1" x14ac:dyDescent="0.35">
      <c r="E9557" s="35"/>
      <c r="J9557" s="41"/>
    </row>
    <row r="9558" spans="5:10" s="34" customFormat="1" x14ac:dyDescent="0.35">
      <c r="E9558" s="35"/>
      <c r="J9558" s="41"/>
    </row>
    <row r="9559" spans="5:10" s="34" customFormat="1" x14ac:dyDescent="0.35">
      <c r="E9559" s="35"/>
      <c r="J9559" s="41"/>
    </row>
    <row r="9560" spans="5:10" s="34" customFormat="1" x14ac:dyDescent="0.35">
      <c r="E9560" s="35"/>
      <c r="J9560" s="41"/>
    </row>
    <row r="9561" spans="5:10" s="34" customFormat="1" x14ac:dyDescent="0.35">
      <c r="E9561" s="35"/>
      <c r="J9561" s="41"/>
    </row>
    <row r="9562" spans="5:10" s="34" customFormat="1" x14ac:dyDescent="0.35">
      <c r="E9562" s="35"/>
      <c r="J9562" s="41"/>
    </row>
    <row r="9563" spans="5:10" s="34" customFormat="1" x14ac:dyDescent="0.35">
      <c r="E9563" s="35"/>
      <c r="J9563" s="41"/>
    </row>
    <row r="9564" spans="5:10" s="34" customFormat="1" x14ac:dyDescent="0.35">
      <c r="E9564" s="35"/>
      <c r="J9564" s="41"/>
    </row>
    <row r="9565" spans="5:10" s="34" customFormat="1" x14ac:dyDescent="0.35">
      <c r="E9565" s="35"/>
      <c r="J9565" s="41"/>
    </row>
    <row r="9566" spans="5:10" s="34" customFormat="1" x14ac:dyDescent="0.35">
      <c r="E9566" s="35"/>
      <c r="J9566" s="41"/>
    </row>
    <row r="9567" spans="5:10" s="34" customFormat="1" x14ac:dyDescent="0.35">
      <c r="E9567" s="35"/>
      <c r="J9567" s="41"/>
    </row>
    <row r="9568" spans="5:10" s="34" customFormat="1" x14ac:dyDescent="0.35">
      <c r="E9568" s="35"/>
      <c r="J9568" s="41"/>
    </row>
    <row r="9569" spans="5:10" s="34" customFormat="1" x14ac:dyDescent="0.35">
      <c r="E9569" s="35"/>
      <c r="J9569" s="41"/>
    </row>
    <row r="9570" spans="5:10" s="34" customFormat="1" x14ac:dyDescent="0.35">
      <c r="E9570" s="35"/>
      <c r="J9570" s="41"/>
    </row>
    <row r="9571" spans="5:10" s="34" customFormat="1" x14ac:dyDescent="0.35">
      <c r="E9571" s="35"/>
      <c r="J9571" s="41"/>
    </row>
    <row r="9572" spans="5:10" s="34" customFormat="1" x14ac:dyDescent="0.35">
      <c r="E9572" s="35"/>
      <c r="J9572" s="41"/>
    </row>
    <row r="9573" spans="5:10" s="34" customFormat="1" x14ac:dyDescent="0.35">
      <c r="E9573" s="35"/>
      <c r="J9573" s="41"/>
    </row>
    <row r="9574" spans="5:10" s="34" customFormat="1" x14ac:dyDescent="0.35">
      <c r="E9574" s="35"/>
      <c r="J9574" s="41"/>
    </row>
    <row r="9575" spans="5:10" s="34" customFormat="1" x14ac:dyDescent="0.35">
      <c r="E9575" s="35"/>
      <c r="J9575" s="41"/>
    </row>
    <row r="9576" spans="5:10" s="34" customFormat="1" x14ac:dyDescent="0.35">
      <c r="E9576" s="35"/>
      <c r="J9576" s="41"/>
    </row>
    <row r="9577" spans="5:10" s="34" customFormat="1" x14ac:dyDescent="0.35">
      <c r="E9577" s="35"/>
      <c r="J9577" s="41"/>
    </row>
    <row r="9578" spans="5:10" s="34" customFormat="1" x14ac:dyDescent="0.35">
      <c r="E9578" s="35"/>
      <c r="J9578" s="41"/>
    </row>
    <row r="9579" spans="5:10" s="34" customFormat="1" x14ac:dyDescent="0.35">
      <c r="E9579" s="35"/>
      <c r="J9579" s="41"/>
    </row>
    <row r="9580" spans="5:10" s="34" customFormat="1" x14ac:dyDescent="0.35">
      <c r="E9580" s="35"/>
      <c r="J9580" s="41"/>
    </row>
    <row r="9581" spans="5:10" s="34" customFormat="1" x14ac:dyDescent="0.35">
      <c r="E9581" s="35"/>
      <c r="J9581" s="41"/>
    </row>
    <row r="9582" spans="5:10" s="34" customFormat="1" x14ac:dyDescent="0.35">
      <c r="E9582" s="35"/>
      <c r="J9582" s="41"/>
    </row>
    <row r="9583" spans="5:10" s="34" customFormat="1" x14ac:dyDescent="0.35">
      <c r="E9583" s="35"/>
      <c r="J9583" s="41"/>
    </row>
    <row r="9584" spans="5:10" s="34" customFormat="1" x14ac:dyDescent="0.35">
      <c r="E9584" s="35"/>
      <c r="J9584" s="41"/>
    </row>
    <row r="9585" spans="5:10" s="34" customFormat="1" x14ac:dyDescent="0.35">
      <c r="E9585" s="35"/>
      <c r="J9585" s="41"/>
    </row>
    <row r="9586" spans="5:10" s="34" customFormat="1" x14ac:dyDescent="0.35">
      <c r="E9586" s="35"/>
      <c r="J9586" s="41"/>
    </row>
    <row r="9587" spans="5:10" s="34" customFormat="1" x14ac:dyDescent="0.35">
      <c r="E9587" s="35"/>
      <c r="J9587" s="41"/>
    </row>
    <row r="9588" spans="5:10" s="34" customFormat="1" x14ac:dyDescent="0.35">
      <c r="E9588" s="35"/>
      <c r="J9588" s="41"/>
    </row>
    <row r="9589" spans="5:10" s="34" customFormat="1" x14ac:dyDescent="0.35">
      <c r="E9589" s="35"/>
      <c r="J9589" s="41"/>
    </row>
    <row r="9590" spans="5:10" s="34" customFormat="1" x14ac:dyDescent="0.35">
      <c r="E9590" s="35"/>
      <c r="J9590" s="41"/>
    </row>
    <row r="9591" spans="5:10" s="34" customFormat="1" x14ac:dyDescent="0.35">
      <c r="E9591" s="35"/>
      <c r="J9591" s="41"/>
    </row>
    <row r="9592" spans="5:10" s="34" customFormat="1" x14ac:dyDescent="0.35">
      <c r="E9592" s="35"/>
      <c r="J9592" s="41"/>
    </row>
    <row r="9593" spans="5:10" s="34" customFormat="1" x14ac:dyDescent="0.35">
      <c r="E9593" s="35"/>
      <c r="J9593" s="41"/>
    </row>
    <row r="9594" spans="5:10" s="34" customFormat="1" x14ac:dyDescent="0.35">
      <c r="E9594" s="35"/>
      <c r="J9594" s="41"/>
    </row>
    <row r="9595" spans="5:10" s="34" customFormat="1" x14ac:dyDescent="0.35">
      <c r="E9595" s="35"/>
      <c r="J9595" s="41"/>
    </row>
    <row r="9596" spans="5:10" s="34" customFormat="1" x14ac:dyDescent="0.35">
      <c r="E9596" s="35"/>
      <c r="J9596" s="41"/>
    </row>
    <row r="9597" spans="5:10" s="34" customFormat="1" x14ac:dyDescent="0.35">
      <c r="E9597" s="35"/>
      <c r="J9597" s="41"/>
    </row>
    <row r="9598" spans="5:10" s="34" customFormat="1" x14ac:dyDescent="0.35">
      <c r="E9598" s="35"/>
      <c r="J9598" s="41"/>
    </row>
    <row r="9599" spans="5:10" s="34" customFormat="1" x14ac:dyDescent="0.35">
      <c r="E9599" s="35"/>
      <c r="J9599" s="41"/>
    </row>
    <row r="9600" spans="5:10" s="34" customFormat="1" x14ac:dyDescent="0.35">
      <c r="E9600" s="35"/>
      <c r="J9600" s="41"/>
    </row>
    <row r="9601" spans="5:10" s="34" customFormat="1" x14ac:dyDescent="0.35">
      <c r="E9601" s="35"/>
      <c r="J9601" s="41"/>
    </row>
    <row r="9602" spans="5:10" s="34" customFormat="1" x14ac:dyDescent="0.35">
      <c r="E9602" s="35"/>
      <c r="J9602" s="41"/>
    </row>
    <row r="9603" spans="5:10" s="34" customFormat="1" x14ac:dyDescent="0.35">
      <c r="E9603" s="35"/>
      <c r="J9603" s="41"/>
    </row>
    <row r="9604" spans="5:10" s="34" customFormat="1" x14ac:dyDescent="0.35">
      <c r="E9604" s="35"/>
      <c r="J9604" s="41"/>
    </row>
    <row r="9605" spans="5:10" s="34" customFormat="1" x14ac:dyDescent="0.35">
      <c r="E9605" s="35"/>
      <c r="J9605" s="41"/>
    </row>
    <row r="9606" spans="5:10" s="34" customFormat="1" x14ac:dyDescent="0.35">
      <c r="E9606" s="35"/>
      <c r="J9606" s="41"/>
    </row>
    <row r="9607" spans="5:10" s="34" customFormat="1" x14ac:dyDescent="0.35">
      <c r="E9607" s="35"/>
      <c r="J9607" s="41"/>
    </row>
    <row r="9608" spans="5:10" s="34" customFormat="1" x14ac:dyDescent="0.35">
      <c r="E9608" s="35"/>
      <c r="J9608" s="41"/>
    </row>
    <row r="9609" spans="5:10" s="34" customFormat="1" x14ac:dyDescent="0.35">
      <c r="E9609" s="35"/>
      <c r="J9609" s="41"/>
    </row>
    <row r="9610" spans="5:10" s="34" customFormat="1" x14ac:dyDescent="0.35">
      <c r="E9610" s="35"/>
      <c r="J9610" s="41"/>
    </row>
    <row r="9611" spans="5:10" s="34" customFormat="1" x14ac:dyDescent="0.35">
      <c r="E9611" s="35"/>
      <c r="J9611" s="41"/>
    </row>
    <row r="9612" spans="5:10" s="34" customFormat="1" x14ac:dyDescent="0.35">
      <c r="E9612" s="35"/>
      <c r="J9612" s="41"/>
    </row>
    <row r="9613" spans="5:10" s="34" customFormat="1" x14ac:dyDescent="0.35">
      <c r="E9613" s="35"/>
      <c r="J9613" s="41"/>
    </row>
    <row r="9614" spans="5:10" s="34" customFormat="1" x14ac:dyDescent="0.35">
      <c r="E9614" s="35"/>
      <c r="J9614" s="41"/>
    </row>
    <row r="9615" spans="5:10" s="34" customFormat="1" x14ac:dyDescent="0.35">
      <c r="E9615" s="35"/>
      <c r="J9615" s="41"/>
    </row>
    <row r="9616" spans="5:10" s="34" customFormat="1" x14ac:dyDescent="0.35">
      <c r="E9616" s="35"/>
      <c r="J9616" s="41"/>
    </row>
    <row r="9617" spans="5:10" s="34" customFormat="1" x14ac:dyDescent="0.35">
      <c r="E9617" s="35"/>
      <c r="J9617" s="41"/>
    </row>
    <row r="9618" spans="5:10" s="34" customFormat="1" x14ac:dyDescent="0.35">
      <c r="E9618" s="35"/>
      <c r="J9618" s="41"/>
    </row>
    <row r="9619" spans="5:10" s="34" customFormat="1" x14ac:dyDescent="0.35">
      <c r="E9619" s="35"/>
      <c r="J9619" s="41"/>
    </row>
    <row r="9620" spans="5:10" s="34" customFormat="1" x14ac:dyDescent="0.35">
      <c r="E9620" s="35"/>
      <c r="J9620" s="41"/>
    </row>
    <row r="9621" spans="5:10" s="34" customFormat="1" x14ac:dyDescent="0.35">
      <c r="E9621" s="35"/>
      <c r="J9621" s="41"/>
    </row>
    <row r="9622" spans="5:10" s="34" customFormat="1" x14ac:dyDescent="0.35">
      <c r="E9622" s="35"/>
      <c r="J9622" s="41"/>
    </row>
    <row r="9623" spans="5:10" s="34" customFormat="1" x14ac:dyDescent="0.35">
      <c r="E9623" s="35"/>
      <c r="J9623" s="41"/>
    </row>
    <row r="9624" spans="5:10" s="34" customFormat="1" x14ac:dyDescent="0.35">
      <c r="E9624" s="35"/>
      <c r="J9624" s="41"/>
    </row>
    <row r="9625" spans="5:10" s="34" customFormat="1" x14ac:dyDescent="0.35">
      <c r="E9625" s="35"/>
      <c r="J9625" s="41"/>
    </row>
    <row r="9626" spans="5:10" s="34" customFormat="1" x14ac:dyDescent="0.35">
      <c r="E9626" s="35"/>
      <c r="J9626" s="41"/>
    </row>
    <row r="9627" spans="5:10" s="34" customFormat="1" x14ac:dyDescent="0.35">
      <c r="E9627" s="35"/>
      <c r="J9627" s="41"/>
    </row>
    <row r="9628" spans="5:10" s="34" customFormat="1" x14ac:dyDescent="0.35">
      <c r="E9628" s="35"/>
      <c r="J9628" s="41"/>
    </row>
    <row r="9629" spans="5:10" s="34" customFormat="1" x14ac:dyDescent="0.35">
      <c r="E9629" s="35"/>
      <c r="J9629" s="41"/>
    </row>
    <row r="9630" spans="5:10" s="34" customFormat="1" x14ac:dyDescent="0.35">
      <c r="E9630" s="35"/>
      <c r="J9630" s="41"/>
    </row>
    <row r="9631" spans="5:10" s="34" customFormat="1" x14ac:dyDescent="0.35">
      <c r="E9631" s="35"/>
      <c r="J9631" s="41"/>
    </row>
    <row r="9632" spans="5:10" s="34" customFormat="1" x14ac:dyDescent="0.35">
      <c r="E9632" s="35"/>
      <c r="J9632" s="41"/>
    </row>
    <row r="9633" spans="5:10" s="34" customFormat="1" x14ac:dyDescent="0.35">
      <c r="E9633" s="35"/>
      <c r="J9633" s="41"/>
    </row>
    <row r="9634" spans="5:10" s="34" customFormat="1" x14ac:dyDescent="0.35">
      <c r="E9634" s="35"/>
      <c r="J9634" s="41"/>
    </row>
    <row r="9635" spans="5:10" s="34" customFormat="1" x14ac:dyDescent="0.35">
      <c r="E9635" s="35"/>
      <c r="J9635" s="41"/>
    </row>
    <row r="9636" spans="5:10" s="34" customFormat="1" x14ac:dyDescent="0.35">
      <c r="E9636" s="35"/>
      <c r="J9636" s="41"/>
    </row>
    <row r="9637" spans="5:10" s="34" customFormat="1" x14ac:dyDescent="0.35">
      <c r="E9637" s="35"/>
      <c r="J9637" s="41"/>
    </row>
    <row r="9638" spans="5:10" s="34" customFormat="1" x14ac:dyDescent="0.35">
      <c r="E9638" s="35"/>
      <c r="J9638" s="41"/>
    </row>
    <row r="9639" spans="5:10" s="34" customFormat="1" x14ac:dyDescent="0.35">
      <c r="E9639" s="35"/>
      <c r="J9639" s="41"/>
    </row>
    <row r="9640" spans="5:10" s="34" customFormat="1" x14ac:dyDescent="0.35">
      <c r="E9640" s="35"/>
      <c r="J9640" s="41"/>
    </row>
    <row r="9641" spans="5:10" s="34" customFormat="1" x14ac:dyDescent="0.35">
      <c r="E9641" s="35"/>
      <c r="J9641" s="41"/>
    </row>
    <row r="9642" spans="5:10" s="34" customFormat="1" x14ac:dyDescent="0.35">
      <c r="E9642" s="35"/>
      <c r="J9642" s="41"/>
    </row>
    <row r="9643" spans="5:10" s="34" customFormat="1" x14ac:dyDescent="0.35">
      <c r="E9643" s="35"/>
      <c r="J9643" s="41"/>
    </row>
    <row r="9644" spans="5:10" s="34" customFormat="1" x14ac:dyDescent="0.35">
      <c r="E9644" s="35"/>
      <c r="J9644" s="41"/>
    </row>
    <row r="9645" spans="5:10" s="34" customFormat="1" x14ac:dyDescent="0.35">
      <c r="E9645" s="35"/>
      <c r="J9645" s="41"/>
    </row>
    <row r="9646" spans="5:10" s="34" customFormat="1" x14ac:dyDescent="0.35">
      <c r="E9646" s="35"/>
      <c r="J9646" s="41"/>
    </row>
    <row r="9647" spans="5:10" s="34" customFormat="1" x14ac:dyDescent="0.35">
      <c r="E9647" s="35"/>
      <c r="J9647" s="41"/>
    </row>
    <row r="9648" spans="5:10" s="34" customFormat="1" x14ac:dyDescent="0.35">
      <c r="E9648" s="35"/>
      <c r="J9648" s="41"/>
    </row>
    <row r="9649" spans="5:10" s="34" customFormat="1" x14ac:dyDescent="0.35">
      <c r="E9649" s="35"/>
      <c r="J9649" s="41"/>
    </row>
    <row r="9650" spans="5:10" s="34" customFormat="1" x14ac:dyDescent="0.35">
      <c r="E9650" s="35"/>
      <c r="J9650" s="41"/>
    </row>
    <row r="9651" spans="5:10" s="34" customFormat="1" x14ac:dyDescent="0.35">
      <c r="E9651" s="35"/>
      <c r="J9651" s="41"/>
    </row>
    <row r="9652" spans="5:10" s="34" customFormat="1" x14ac:dyDescent="0.35">
      <c r="E9652" s="35"/>
      <c r="J9652" s="41"/>
    </row>
    <row r="9653" spans="5:10" s="34" customFormat="1" x14ac:dyDescent="0.35">
      <c r="E9653" s="35"/>
      <c r="J9653" s="41"/>
    </row>
    <row r="9654" spans="5:10" s="34" customFormat="1" x14ac:dyDescent="0.35">
      <c r="E9654" s="35"/>
      <c r="J9654" s="41"/>
    </row>
    <row r="9655" spans="5:10" s="34" customFormat="1" x14ac:dyDescent="0.35">
      <c r="E9655" s="35"/>
      <c r="J9655" s="41"/>
    </row>
    <row r="9656" spans="5:10" s="34" customFormat="1" x14ac:dyDescent="0.35">
      <c r="E9656" s="35"/>
      <c r="J9656" s="41"/>
    </row>
    <row r="9657" spans="5:10" s="34" customFormat="1" x14ac:dyDescent="0.35">
      <c r="E9657" s="35"/>
      <c r="J9657" s="41"/>
    </row>
    <row r="9658" spans="5:10" s="34" customFormat="1" x14ac:dyDescent="0.35">
      <c r="E9658" s="35"/>
      <c r="J9658" s="41"/>
    </row>
    <row r="9659" spans="5:10" s="34" customFormat="1" x14ac:dyDescent="0.35">
      <c r="E9659" s="35"/>
      <c r="J9659" s="41"/>
    </row>
    <row r="9660" spans="5:10" s="34" customFormat="1" x14ac:dyDescent="0.35">
      <c r="E9660" s="35"/>
      <c r="J9660" s="41"/>
    </row>
    <row r="9661" spans="5:10" s="34" customFormat="1" x14ac:dyDescent="0.35">
      <c r="E9661" s="35"/>
      <c r="J9661" s="41"/>
    </row>
    <row r="9662" spans="5:10" s="34" customFormat="1" x14ac:dyDescent="0.35">
      <c r="E9662" s="35"/>
      <c r="J9662" s="41"/>
    </row>
    <row r="9663" spans="5:10" s="34" customFormat="1" x14ac:dyDescent="0.35">
      <c r="E9663" s="35"/>
      <c r="J9663" s="41"/>
    </row>
    <row r="9664" spans="5:10" s="34" customFormat="1" x14ac:dyDescent="0.35">
      <c r="E9664" s="35"/>
      <c r="J9664" s="41"/>
    </row>
    <row r="9665" spans="5:10" s="34" customFormat="1" x14ac:dyDescent="0.35">
      <c r="E9665" s="35"/>
      <c r="J9665" s="41"/>
    </row>
    <row r="9666" spans="5:10" s="34" customFormat="1" x14ac:dyDescent="0.35">
      <c r="E9666" s="35"/>
      <c r="J9666" s="41"/>
    </row>
    <row r="9667" spans="5:10" s="34" customFormat="1" x14ac:dyDescent="0.35">
      <c r="E9667" s="35"/>
      <c r="J9667" s="41"/>
    </row>
    <row r="9668" spans="5:10" s="34" customFormat="1" x14ac:dyDescent="0.35">
      <c r="E9668" s="35"/>
      <c r="J9668" s="41"/>
    </row>
    <row r="9669" spans="5:10" s="34" customFormat="1" x14ac:dyDescent="0.35">
      <c r="E9669" s="35"/>
      <c r="J9669" s="41"/>
    </row>
    <row r="9670" spans="5:10" s="34" customFormat="1" x14ac:dyDescent="0.35">
      <c r="E9670" s="35"/>
      <c r="J9670" s="41"/>
    </row>
    <row r="9671" spans="5:10" s="34" customFormat="1" x14ac:dyDescent="0.35">
      <c r="E9671" s="35"/>
      <c r="J9671" s="41"/>
    </row>
    <row r="9672" spans="5:10" s="34" customFormat="1" x14ac:dyDescent="0.35">
      <c r="E9672" s="35"/>
      <c r="J9672" s="41"/>
    </row>
    <row r="9673" spans="5:10" s="34" customFormat="1" x14ac:dyDescent="0.35">
      <c r="E9673" s="35"/>
      <c r="J9673" s="41"/>
    </row>
    <row r="9674" spans="5:10" s="34" customFormat="1" x14ac:dyDescent="0.35">
      <c r="E9674" s="35"/>
      <c r="J9674" s="41"/>
    </row>
    <row r="9675" spans="5:10" s="34" customFormat="1" x14ac:dyDescent="0.35">
      <c r="E9675" s="35"/>
      <c r="J9675" s="41"/>
    </row>
    <row r="9676" spans="5:10" s="34" customFormat="1" x14ac:dyDescent="0.35">
      <c r="E9676" s="35"/>
      <c r="J9676" s="41"/>
    </row>
    <row r="9677" spans="5:10" s="34" customFormat="1" x14ac:dyDescent="0.35">
      <c r="E9677" s="35"/>
      <c r="J9677" s="41"/>
    </row>
    <row r="9678" spans="5:10" s="34" customFormat="1" x14ac:dyDescent="0.35">
      <c r="E9678" s="35"/>
      <c r="J9678" s="41"/>
    </row>
    <row r="9679" spans="5:10" s="34" customFormat="1" x14ac:dyDescent="0.35">
      <c r="E9679" s="35"/>
      <c r="J9679" s="41"/>
    </row>
    <row r="9680" spans="5:10" s="34" customFormat="1" x14ac:dyDescent="0.35">
      <c r="E9680" s="35"/>
      <c r="J9680" s="41"/>
    </row>
    <row r="9681" spans="5:10" s="34" customFormat="1" x14ac:dyDescent="0.35">
      <c r="E9681" s="35"/>
      <c r="J9681" s="41"/>
    </row>
    <row r="9682" spans="5:10" s="34" customFormat="1" x14ac:dyDescent="0.35">
      <c r="E9682" s="35"/>
      <c r="J9682" s="41"/>
    </row>
    <row r="9683" spans="5:10" s="34" customFormat="1" x14ac:dyDescent="0.35">
      <c r="E9683" s="35"/>
      <c r="J9683" s="41"/>
    </row>
    <row r="9684" spans="5:10" s="34" customFormat="1" x14ac:dyDescent="0.35">
      <c r="E9684" s="35"/>
      <c r="J9684" s="41"/>
    </row>
    <row r="9685" spans="5:10" s="34" customFormat="1" x14ac:dyDescent="0.35">
      <c r="E9685" s="35"/>
      <c r="J9685" s="41"/>
    </row>
    <row r="9686" spans="5:10" s="34" customFormat="1" x14ac:dyDescent="0.35">
      <c r="E9686" s="35"/>
      <c r="J9686" s="41"/>
    </row>
    <row r="9687" spans="5:10" s="34" customFormat="1" x14ac:dyDescent="0.35">
      <c r="E9687" s="35"/>
      <c r="J9687" s="41"/>
    </row>
    <row r="9688" spans="5:10" s="34" customFormat="1" x14ac:dyDescent="0.35">
      <c r="E9688" s="35"/>
      <c r="J9688" s="41"/>
    </row>
    <row r="9689" spans="5:10" s="34" customFormat="1" x14ac:dyDescent="0.35">
      <c r="E9689" s="35"/>
      <c r="J9689" s="41"/>
    </row>
    <row r="9690" spans="5:10" s="34" customFormat="1" x14ac:dyDescent="0.35">
      <c r="E9690" s="35"/>
      <c r="J9690" s="41"/>
    </row>
    <row r="9691" spans="5:10" s="34" customFormat="1" x14ac:dyDescent="0.35">
      <c r="E9691" s="35"/>
      <c r="J9691" s="41"/>
    </row>
    <row r="9692" spans="5:10" s="34" customFormat="1" x14ac:dyDescent="0.35">
      <c r="E9692" s="35"/>
      <c r="J9692" s="41"/>
    </row>
    <row r="9693" spans="5:10" s="34" customFormat="1" x14ac:dyDescent="0.35">
      <c r="E9693" s="35"/>
      <c r="J9693" s="41"/>
    </row>
    <row r="9694" spans="5:10" s="34" customFormat="1" x14ac:dyDescent="0.35">
      <c r="E9694" s="35"/>
      <c r="J9694" s="41"/>
    </row>
    <row r="9695" spans="5:10" s="34" customFormat="1" x14ac:dyDescent="0.35">
      <c r="E9695" s="35"/>
      <c r="J9695" s="41"/>
    </row>
    <row r="9696" spans="5:10" s="34" customFormat="1" x14ac:dyDescent="0.35">
      <c r="E9696" s="35"/>
      <c r="J9696" s="41"/>
    </row>
    <row r="9697" spans="5:10" s="34" customFormat="1" x14ac:dyDescent="0.35">
      <c r="E9697" s="35"/>
      <c r="J9697" s="41"/>
    </row>
    <row r="9698" spans="5:10" s="34" customFormat="1" x14ac:dyDescent="0.35">
      <c r="E9698" s="35"/>
      <c r="J9698" s="41"/>
    </row>
    <row r="9699" spans="5:10" s="34" customFormat="1" x14ac:dyDescent="0.35">
      <c r="E9699" s="35"/>
      <c r="J9699" s="41"/>
    </row>
    <row r="9700" spans="5:10" s="34" customFormat="1" x14ac:dyDescent="0.35">
      <c r="E9700" s="35"/>
      <c r="J9700" s="41"/>
    </row>
    <row r="9701" spans="5:10" s="34" customFormat="1" x14ac:dyDescent="0.35">
      <c r="E9701" s="35"/>
      <c r="J9701" s="41"/>
    </row>
    <row r="9702" spans="5:10" s="34" customFormat="1" x14ac:dyDescent="0.35">
      <c r="E9702" s="35"/>
      <c r="J9702" s="41"/>
    </row>
    <row r="9703" spans="5:10" s="34" customFormat="1" x14ac:dyDescent="0.35">
      <c r="E9703" s="35"/>
      <c r="J9703" s="41"/>
    </row>
    <row r="9704" spans="5:10" s="34" customFormat="1" x14ac:dyDescent="0.35">
      <c r="E9704" s="35"/>
      <c r="J9704" s="41"/>
    </row>
    <row r="9705" spans="5:10" s="34" customFormat="1" x14ac:dyDescent="0.35">
      <c r="E9705" s="35"/>
      <c r="J9705" s="41"/>
    </row>
    <row r="9706" spans="5:10" s="34" customFormat="1" x14ac:dyDescent="0.35">
      <c r="E9706" s="35"/>
      <c r="J9706" s="41"/>
    </row>
    <row r="9707" spans="5:10" s="34" customFormat="1" x14ac:dyDescent="0.35">
      <c r="E9707" s="35"/>
      <c r="J9707" s="41"/>
    </row>
    <row r="9708" spans="5:10" s="34" customFormat="1" x14ac:dyDescent="0.35">
      <c r="E9708" s="35"/>
      <c r="J9708" s="41"/>
    </row>
    <row r="9709" spans="5:10" s="34" customFormat="1" x14ac:dyDescent="0.35">
      <c r="E9709" s="35"/>
      <c r="J9709" s="41"/>
    </row>
    <row r="9710" spans="5:10" s="34" customFormat="1" x14ac:dyDescent="0.35">
      <c r="E9710" s="35"/>
      <c r="J9710" s="41"/>
    </row>
    <row r="9711" spans="5:10" s="34" customFormat="1" x14ac:dyDescent="0.35">
      <c r="E9711" s="35"/>
      <c r="J9711" s="41"/>
    </row>
    <row r="9712" spans="5:10" s="34" customFormat="1" x14ac:dyDescent="0.35">
      <c r="E9712" s="35"/>
      <c r="J9712" s="41"/>
    </row>
    <row r="9713" spans="5:10" s="34" customFormat="1" x14ac:dyDescent="0.35">
      <c r="E9713" s="35"/>
      <c r="J9713" s="41"/>
    </row>
    <row r="9714" spans="5:10" s="34" customFormat="1" x14ac:dyDescent="0.35">
      <c r="E9714" s="35"/>
      <c r="J9714" s="41"/>
    </row>
    <row r="9715" spans="5:10" s="34" customFormat="1" x14ac:dyDescent="0.35">
      <c r="E9715" s="35"/>
      <c r="J9715" s="41"/>
    </row>
    <row r="9716" spans="5:10" s="34" customFormat="1" x14ac:dyDescent="0.35">
      <c r="E9716" s="35"/>
      <c r="J9716" s="41"/>
    </row>
    <row r="9717" spans="5:10" s="34" customFormat="1" x14ac:dyDescent="0.35">
      <c r="E9717" s="35"/>
      <c r="J9717" s="41"/>
    </row>
    <row r="9718" spans="5:10" s="34" customFormat="1" x14ac:dyDescent="0.35">
      <c r="E9718" s="35"/>
      <c r="J9718" s="41"/>
    </row>
    <row r="9719" spans="5:10" s="34" customFormat="1" x14ac:dyDescent="0.35">
      <c r="E9719" s="35"/>
      <c r="J9719" s="41"/>
    </row>
    <row r="9720" spans="5:10" s="34" customFormat="1" x14ac:dyDescent="0.35">
      <c r="E9720" s="35"/>
      <c r="J9720" s="41"/>
    </row>
    <row r="9721" spans="5:10" s="34" customFormat="1" x14ac:dyDescent="0.35">
      <c r="E9721" s="35"/>
      <c r="J9721" s="41"/>
    </row>
    <row r="9722" spans="5:10" s="34" customFormat="1" x14ac:dyDescent="0.35">
      <c r="E9722" s="35"/>
      <c r="J9722" s="41"/>
    </row>
    <row r="9723" spans="5:10" s="34" customFormat="1" x14ac:dyDescent="0.35">
      <c r="E9723" s="35"/>
      <c r="J9723" s="41"/>
    </row>
    <row r="9724" spans="5:10" s="34" customFormat="1" x14ac:dyDescent="0.35">
      <c r="E9724" s="35"/>
      <c r="J9724" s="41"/>
    </row>
    <row r="9725" spans="5:10" s="34" customFormat="1" x14ac:dyDescent="0.35">
      <c r="E9725" s="35"/>
      <c r="J9725" s="41"/>
    </row>
    <row r="9726" spans="5:10" s="34" customFormat="1" x14ac:dyDescent="0.35">
      <c r="E9726" s="35"/>
      <c r="J9726" s="41"/>
    </row>
    <row r="9727" spans="5:10" s="34" customFormat="1" x14ac:dyDescent="0.35">
      <c r="E9727" s="35"/>
      <c r="J9727" s="41"/>
    </row>
    <row r="9728" spans="5:10" s="34" customFormat="1" x14ac:dyDescent="0.35">
      <c r="E9728" s="35"/>
      <c r="J9728" s="41"/>
    </row>
    <row r="9729" spans="5:10" s="34" customFormat="1" x14ac:dyDescent="0.35">
      <c r="E9729" s="35"/>
      <c r="J9729" s="41"/>
    </row>
    <row r="9730" spans="5:10" s="34" customFormat="1" x14ac:dyDescent="0.35">
      <c r="E9730" s="35"/>
      <c r="J9730" s="41"/>
    </row>
    <row r="9731" spans="5:10" s="34" customFormat="1" x14ac:dyDescent="0.35">
      <c r="E9731" s="35"/>
      <c r="J9731" s="41"/>
    </row>
    <row r="9732" spans="5:10" s="34" customFormat="1" x14ac:dyDescent="0.35">
      <c r="E9732" s="35"/>
      <c r="J9732" s="41"/>
    </row>
    <row r="9733" spans="5:10" s="34" customFormat="1" x14ac:dyDescent="0.35">
      <c r="E9733" s="35"/>
      <c r="J9733" s="41"/>
    </row>
    <row r="9734" spans="5:10" s="34" customFormat="1" x14ac:dyDescent="0.35">
      <c r="E9734" s="35"/>
      <c r="J9734" s="41"/>
    </row>
    <row r="9735" spans="5:10" s="34" customFormat="1" x14ac:dyDescent="0.35">
      <c r="E9735" s="35"/>
      <c r="J9735" s="41"/>
    </row>
    <row r="9736" spans="5:10" s="34" customFormat="1" x14ac:dyDescent="0.35">
      <c r="E9736" s="35"/>
      <c r="J9736" s="41"/>
    </row>
    <row r="9737" spans="5:10" s="34" customFormat="1" x14ac:dyDescent="0.35">
      <c r="E9737" s="35"/>
      <c r="J9737" s="41"/>
    </row>
    <row r="9738" spans="5:10" s="34" customFormat="1" x14ac:dyDescent="0.35">
      <c r="E9738" s="35"/>
      <c r="J9738" s="41"/>
    </row>
    <row r="9739" spans="5:10" s="34" customFormat="1" x14ac:dyDescent="0.35">
      <c r="E9739" s="35"/>
      <c r="J9739" s="41"/>
    </row>
    <row r="9740" spans="5:10" s="34" customFormat="1" x14ac:dyDescent="0.35">
      <c r="E9740" s="35"/>
      <c r="J9740" s="41"/>
    </row>
    <row r="9741" spans="5:10" s="34" customFormat="1" x14ac:dyDescent="0.35">
      <c r="E9741" s="35"/>
      <c r="J9741" s="41"/>
    </row>
    <row r="9742" spans="5:10" s="34" customFormat="1" x14ac:dyDescent="0.35">
      <c r="E9742" s="35"/>
      <c r="J9742" s="41"/>
    </row>
    <row r="9743" spans="5:10" s="34" customFormat="1" x14ac:dyDescent="0.35">
      <c r="E9743" s="35"/>
      <c r="J9743" s="41"/>
    </row>
    <row r="9744" spans="5:10" s="34" customFormat="1" x14ac:dyDescent="0.35">
      <c r="E9744" s="35"/>
      <c r="J9744" s="41"/>
    </row>
    <row r="9745" spans="5:10" s="34" customFormat="1" x14ac:dyDescent="0.35">
      <c r="E9745" s="35"/>
      <c r="J9745" s="41"/>
    </row>
    <row r="9746" spans="5:10" s="34" customFormat="1" x14ac:dyDescent="0.35">
      <c r="E9746" s="35"/>
      <c r="J9746" s="41"/>
    </row>
    <row r="9747" spans="5:10" s="34" customFormat="1" x14ac:dyDescent="0.35">
      <c r="E9747" s="35"/>
      <c r="J9747" s="41"/>
    </row>
    <row r="9748" spans="5:10" s="34" customFormat="1" x14ac:dyDescent="0.35">
      <c r="E9748" s="35"/>
      <c r="J9748" s="41"/>
    </row>
    <row r="9749" spans="5:10" s="34" customFormat="1" x14ac:dyDescent="0.35">
      <c r="E9749" s="35"/>
      <c r="J9749" s="41"/>
    </row>
    <row r="9750" spans="5:10" s="34" customFormat="1" x14ac:dyDescent="0.35">
      <c r="E9750" s="35"/>
      <c r="J9750" s="41"/>
    </row>
    <row r="9751" spans="5:10" s="34" customFormat="1" x14ac:dyDescent="0.35">
      <c r="E9751" s="35"/>
      <c r="J9751" s="41"/>
    </row>
    <row r="9752" spans="5:10" s="34" customFormat="1" x14ac:dyDescent="0.35">
      <c r="E9752" s="35"/>
      <c r="J9752" s="41"/>
    </row>
    <row r="9753" spans="5:10" s="34" customFormat="1" x14ac:dyDescent="0.35">
      <c r="E9753" s="35"/>
      <c r="J9753" s="41"/>
    </row>
    <row r="9754" spans="5:10" s="34" customFormat="1" x14ac:dyDescent="0.35">
      <c r="E9754" s="35"/>
      <c r="J9754" s="41"/>
    </row>
    <row r="9755" spans="5:10" s="34" customFormat="1" x14ac:dyDescent="0.35">
      <c r="E9755" s="35"/>
      <c r="J9755" s="41"/>
    </row>
    <row r="9756" spans="5:10" s="34" customFormat="1" x14ac:dyDescent="0.35">
      <c r="E9756" s="35"/>
      <c r="J9756" s="41"/>
    </row>
    <row r="9757" spans="5:10" s="34" customFormat="1" x14ac:dyDescent="0.35">
      <c r="E9757" s="35"/>
      <c r="J9757" s="41"/>
    </row>
    <row r="9758" spans="5:10" s="34" customFormat="1" x14ac:dyDescent="0.35">
      <c r="E9758" s="35"/>
      <c r="J9758" s="41"/>
    </row>
    <row r="9759" spans="5:10" s="34" customFormat="1" x14ac:dyDescent="0.35">
      <c r="E9759" s="35"/>
      <c r="J9759" s="41"/>
    </row>
    <row r="9760" spans="5:10" s="34" customFormat="1" x14ac:dyDescent="0.35">
      <c r="E9760" s="35"/>
      <c r="J9760" s="41"/>
    </row>
    <row r="9761" spans="5:10" s="34" customFormat="1" x14ac:dyDescent="0.35">
      <c r="E9761" s="35"/>
      <c r="J9761" s="41"/>
    </row>
    <row r="9762" spans="5:10" s="34" customFormat="1" x14ac:dyDescent="0.35">
      <c r="E9762" s="35"/>
      <c r="J9762" s="41"/>
    </row>
    <row r="9763" spans="5:10" s="34" customFormat="1" x14ac:dyDescent="0.35">
      <c r="E9763" s="35"/>
      <c r="J9763" s="41"/>
    </row>
    <row r="9764" spans="5:10" s="34" customFormat="1" x14ac:dyDescent="0.35">
      <c r="E9764" s="35"/>
      <c r="J9764" s="41"/>
    </row>
    <row r="9765" spans="5:10" s="34" customFormat="1" x14ac:dyDescent="0.35">
      <c r="E9765" s="35"/>
      <c r="J9765" s="41"/>
    </row>
    <row r="9766" spans="5:10" s="34" customFormat="1" x14ac:dyDescent="0.35">
      <c r="E9766" s="35"/>
      <c r="J9766" s="41"/>
    </row>
    <row r="9767" spans="5:10" s="34" customFormat="1" x14ac:dyDescent="0.35">
      <c r="E9767" s="35"/>
      <c r="J9767" s="41"/>
    </row>
    <row r="9768" spans="5:10" s="34" customFormat="1" x14ac:dyDescent="0.35">
      <c r="E9768" s="35"/>
      <c r="J9768" s="41"/>
    </row>
    <row r="9769" spans="5:10" s="34" customFormat="1" x14ac:dyDescent="0.35">
      <c r="E9769" s="35"/>
      <c r="J9769" s="41"/>
    </row>
    <row r="9770" spans="5:10" s="34" customFormat="1" x14ac:dyDescent="0.35">
      <c r="E9770" s="35"/>
      <c r="J9770" s="41"/>
    </row>
    <row r="9771" spans="5:10" s="34" customFormat="1" x14ac:dyDescent="0.35">
      <c r="E9771" s="35"/>
      <c r="J9771" s="41"/>
    </row>
    <row r="9772" spans="5:10" s="34" customFormat="1" x14ac:dyDescent="0.35">
      <c r="E9772" s="35"/>
      <c r="J9772" s="41"/>
    </row>
    <row r="9773" spans="5:10" s="34" customFormat="1" x14ac:dyDescent="0.35">
      <c r="E9773" s="35"/>
      <c r="J9773" s="41"/>
    </row>
    <row r="9774" spans="5:10" s="34" customFormat="1" x14ac:dyDescent="0.35">
      <c r="E9774" s="35"/>
      <c r="J9774" s="41"/>
    </row>
    <row r="9775" spans="5:10" s="34" customFormat="1" x14ac:dyDescent="0.35">
      <c r="E9775" s="35"/>
      <c r="J9775" s="41"/>
    </row>
    <row r="9776" spans="5:10" s="34" customFormat="1" x14ac:dyDescent="0.35">
      <c r="E9776" s="35"/>
      <c r="J9776" s="41"/>
    </row>
    <row r="9777" spans="5:10" s="34" customFormat="1" x14ac:dyDescent="0.35">
      <c r="E9777" s="35"/>
      <c r="J9777" s="41"/>
    </row>
    <row r="9778" spans="5:10" s="34" customFormat="1" x14ac:dyDescent="0.35">
      <c r="E9778" s="35"/>
      <c r="J9778" s="41"/>
    </row>
    <row r="9779" spans="5:10" s="34" customFormat="1" x14ac:dyDescent="0.35">
      <c r="E9779" s="35"/>
      <c r="J9779" s="41"/>
    </row>
    <row r="9780" spans="5:10" s="34" customFormat="1" x14ac:dyDescent="0.35">
      <c r="E9780" s="35"/>
      <c r="J9780" s="41"/>
    </row>
    <row r="9781" spans="5:10" s="34" customFormat="1" x14ac:dyDescent="0.35">
      <c r="E9781" s="35"/>
      <c r="J9781" s="41"/>
    </row>
    <row r="9782" spans="5:10" s="34" customFormat="1" x14ac:dyDescent="0.35">
      <c r="E9782" s="35"/>
      <c r="J9782" s="41"/>
    </row>
    <row r="9783" spans="5:10" s="34" customFormat="1" x14ac:dyDescent="0.35">
      <c r="E9783" s="35"/>
      <c r="J9783" s="41"/>
    </row>
    <row r="9784" spans="5:10" s="34" customFormat="1" x14ac:dyDescent="0.35">
      <c r="E9784" s="35"/>
      <c r="J9784" s="41"/>
    </row>
    <row r="9785" spans="5:10" s="34" customFormat="1" x14ac:dyDescent="0.35">
      <c r="E9785" s="35"/>
      <c r="J9785" s="41"/>
    </row>
    <row r="9786" spans="5:10" s="34" customFormat="1" x14ac:dyDescent="0.35">
      <c r="E9786" s="35"/>
      <c r="J9786" s="41"/>
    </row>
    <row r="9787" spans="5:10" s="34" customFormat="1" x14ac:dyDescent="0.35">
      <c r="E9787" s="35"/>
      <c r="J9787" s="41"/>
    </row>
    <row r="9788" spans="5:10" s="34" customFormat="1" x14ac:dyDescent="0.35">
      <c r="E9788" s="35"/>
      <c r="J9788" s="41"/>
    </row>
    <row r="9789" spans="5:10" s="34" customFormat="1" x14ac:dyDescent="0.35">
      <c r="E9789" s="35"/>
      <c r="J9789" s="41"/>
    </row>
    <row r="9790" spans="5:10" s="34" customFormat="1" x14ac:dyDescent="0.35">
      <c r="E9790" s="35"/>
      <c r="J9790" s="41"/>
    </row>
    <row r="9791" spans="5:10" s="34" customFormat="1" x14ac:dyDescent="0.35">
      <c r="E9791" s="35"/>
      <c r="J9791" s="41"/>
    </row>
    <row r="9792" spans="5:10" s="34" customFormat="1" x14ac:dyDescent="0.35">
      <c r="E9792" s="35"/>
      <c r="J9792" s="41"/>
    </row>
    <row r="9793" spans="5:10" s="34" customFormat="1" x14ac:dyDescent="0.35">
      <c r="E9793" s="35"/>
      <c r="J9793" s="41"/>
    </row>
    <row r="9794" spans="5:10" s="34" customFormat="1" x14ac:dyDescent="0.35">
      <c r="E9794" s="35"/>
      <c r="J9794" s="41"/>
    </row>
    <row r="9795" spans="5:10" s="34" customFormat="1" x14ac:dyDescent="0.35">
      <c r="E9795" s="35"/>
      <c r="J9795" s="41"/>
    </row>
    <row r="9796" spans="5:10" s="34" customFormat="1" x14ac:dyDescent="0.35">
      <c r="E9796" s="35"/>
      <c r="J9796" s="41"/>
    </row>
    <row r="9797" spans="5:10" s="34" customFormat="1" x14ac:dyDescent="0.35">
      <c r="E9797" s="35"/>
      <c r="J9797" s="41"/>
    </row>
    <row r="9798" spans="5:10" s="34" customFormat="1" x14ac:dyDescent="0.35">
      <c r="E9798" s="35"/>
      <c r="J9798" s="41"/>
    </row>
    <row r="9799" spans="5:10" s="34" customFormat="1" x14ac:dyDescent="0.35">
      <c r="E9799" s="35"/>
      <c r="J9799" s="41"/>
    </row>
    <row r="9800" spans="5:10" s="34" customFormat="1" x14ac:dyDescent="0.35">
      <c r="E9800" s="35"/>
      <c r="J9800" s="41"/>
    </row>
    <row r="9801" spans="5:10" s="34" customFormat="1" x14ac:dyDescent="0.35">
      <c r="E9801" s="35"/>
      <c r="J9801" s="41"/>
    </row>
    <row r="9802" spans="5:10" s="34" customFormat="1" x14ac:dyDescent="0.35">
      <c r="E9802" s="35"/>
      <c r="J9802" s="41"/>
    </row>
    <row r="9803" spans="5:10" s="34" customFormat="1" x14ac:dyDescent="0.35">
      <c r="E9803" s="35"/>
      <c r="J9803" s="41"/>
    </row>
    <row r="9804" spans="5:10" s="34" customFormat="1" x14ac:dyDescent="0.35">
      <c r="E9804" s="35"/>
      <c r="J9804" s="41"/>
    </row>
    <row r="9805" spans="5:10" s="34" customFormat="1" x14ac:dyDescent="0.35">
      <c r="E9805" s="35"/>
      <c r="J9805" s="41"/>
    </row>
    <row r="9806" spans="5:10" s="34" customFormat="1" x14ac:dyDescent="0.35">
      <c r="E9806" s="35"/>
      <c r="J9806" s="41"/>
    </row>
    <row r="9807" spans="5:10" s="34" customFormat="1" x14ac:dyDescent="0.35">
      <c r="E9807" s="35"/>
      <c r="J9807" s="41"/>
    </row>
    <row r="9808" spans="5:10" s="34" customFormat="1" x14ac:dyDescent="0.35">
      <c r="E9808" s="35"/>
      <c r="J9808" s="41"/>
    </row>
    <row r="9809" spans="5:10" s="34" customFormat="1" x14ac:dyDescent="0.35">
      <c r="E9809" s="35"/>
      <c r="J9809" s="41"/>
    </row>
    <row r="9810" spans="5:10" s="34" customFormat="1" x14ac:dyDescent="0.35">
      <c r="E9810" s="35"/>
      <c r="J9810" s="41"/>
    </row>
    <row r="9811" spans="5:10" s="34" customFormat="1" x14ac:dyDescent="0.35">
      <c r="E9811" s="35"/>
      <c r="J9811" s="41"/>
    </row>
    <row r="9812" spans="5:10" s="34" customFormat="1" x14ac:dyDescent="0.35">
      <c r="E9812" s="35"/>
      <c r="J9812" s="41"/>
    </row>
    <row r="9813" spans="5:10" s="34" customFormat="1" x14ac:dyDescent="0.35">
      <c r="E9813" s="35"/>
      <c r="J9813" s="41"/>
    </row>
    <row r="9814" spans="5:10" s="34" customFormat="1" x14ac:dyDescent="0.35">
      <c r="E9814" s="35"/>
      <c r="J9814" s="41"/>
    </row>
    <row r="9815" spans="5:10" s="34" customFormat="1" x14ac:dyDescent="0.35">
      <c r="E9815" s="35"/>
      <c r="J9815" s="41"/>
    </row>
    <row r="9816" spans="5:10" s="34" customFormat="1" x14ac:dyDescent="0.35">
      <c r="E9816" s="35"/>
      <c r="J9816" s="41"/>
    </row>
    <row r="9817" spans="5:10" s="34" customFormat="1" x14ac:dyDescent="0.35">
      <c r="E9817" s="35"/>
      <c r="J9817" s="41"/>
    </row>
    <row r="9818" spans="5:10" s="34" customFormat="1" x14ac:dyDescent="0.35">
      <c r="E9818" s="35"/>
      <c r="J9818" s="41"/>
    </row>
    <row r="9819" spans="5:10" s="34" customFormat="1" x14ac:dyDescent="0.35">
      <c r="E9819" s="35"/>
      <c r="J9819" s="41"/>
    </row>
    <row r="9820" spans="5:10" s="34" customFormat="1" x14ac:dyDescent="0.35">
      <c r="E9820" s="35"/>
      <c r="J9820" s="41"/>
    </row>
    <row r="9821" spans="5:10" s="34" customFormat="1" x14ac:dyDescent="0.35">
      <c r="E9821" s="35"/>
      <c r="J9821" s="41"/>
    </row>
    <row r="9822" spans="5:10" s="34" customFormat="1" x14ac:dyDescent="0.35">
      <c r="E9822" s="35"/>
      <c r="J9822" s="41"/>
    </row>
    <row r="9823" spans="5:10" s="34" customFormat="1" x14ac:dyDescent="0.35">
      <c r="E9823" s="35"/>
      <c r="J9823" s="41"/>
    </row>
    <row r="9824" spans="5:10" s="34" customFormat="1" x14ac:dyDescent="0.35">
      <c r="E9824" s="35"/>
      <c r="J9824" s="41"/>
    </row>
    <row r="9825" spans="5:10" s="34" customFormat="1" x14ac:dyDescent="0.35">
      <c r="E9825" s="35"/>
      <c r="J9825" s="41"/>
    </row>
    <row r="9826" spans="5:10" s="34" customFormat="1" x14ac:dyDescent="0.35">
      <c r="E9826" s="35"/>
      <c r="J9826" s="41"/>
    </row>
    <row r="9827" spans="5:10" s="34" customFormat="1" x14ac:dyDescent="0.35">
      <c r="E9827" s="35"/>
      <c r="J9827" s="41"/>
    </row>
    <row r="9828" spans="5:10" s="34" customFormat="1" x14ac:dyDescent="0.35">
      <c r="E9828" s="35"/>
      <c r="J9828" s="41"/>
    </row>
    <row r="9829" spans="5:10" s="34" customFormat="1" x14ac:dyDescent="0.35">
      <c r="E9829" s="35"/>
      <c r="J9829" s="41"/>
    </row>
    <row r="9830" spans="5:10" s="34" customFormat="1" x14ac:dyDescent="0.35">
      <c r="E9830" s="35"/>
      <c r="J9830" s="41"/>
    </row>
    <row r="9831" spans="5:10" s="34" customFormat="1" x14ac:dyDescent="0.35">
      <c r="E9831" s="35"/>
      <c r="J9831" s="41"/>
    </row>
    <row r="9832" spans="5:10" s="34" customFormat="1" x14ac:dyDescent="0.35">
      <c r="E9832" s="35"/>
      <c r="J9832" s="41"/>
    </row>
    <row r="9833" spans="5:10" s="34" customFormat="1" x14ac:dyDescent="0.35">
      <c r="E9833" s="35"/>
      <c r="J9833" s="41"/>
    </row>
    <row r="9834" spans="5:10" s="34" customFormat="1" x14ac:dyDescent="0.35">
      <c r="E9834" s="35"/>
      <c r="J9834" s="41"/>
    </row>
    <row r="9835" spans="5:10" s="34" customFormat="1" x14ac:dyDescent="0.35">
      <c r="E9835" s="35"/>
      <c r="J9835" s="41"/>
    </row>
    <row r="9836" spans="5:10" s="34" customFormat="1" x14ac:dyDescent="0.35">
      <c r="E9836" s="35"/>
      <c r="J9836" s="41"/>
    </row>
    <row r="9837" spans="5:10" s="34" customFormat="1" x14ac:dyDescent="0.35">
      <c r="E9837" s="35"/>
      <c r="J9837" s="41"/>
    </row>
    <row r="9838" spans="5:10" s="34" customFormat="1" x14ac:dyDescent="0.35">
      <c r="E9838" s="35"/>
      <c r="J9838" s="41"/>
    </row>
    <row r="9839" spans="5:10" s="34" customFormat="1" x14ac:dyDescent="0.35">
      <c r="E9839" s="35"/>
      <c r="J9839" s="41"/>
    </row>
    <row r="9840" spans="5:10" s="34" customFormat="1" x14ac:dyDescent="0.35">
      <c r="E9840" s="35"/>
      <c r="J9840" s="41"/>
    </row>
    <row r="9841" spans="5:10" s="34" customFormat="1" x14ac:dyDescent="0.35">
      <c r="E9841" s="35"/>
      <c r="J9841" s="41"/>
    </row>
    <row r="9842" spans="5:10" s="34" customFormat="1" x14ac:dyDescent="0.35">
      <c r="E9842" s="35"/>
      <c r="J9842" s="41"/>
    </row>
    <row r="9843" spans="5:10" s="34" customFormat="1" x14ac:dyDescent="0.35">
      <c r="E9843" s="35"/>
      <c r="J9843" s="41"/>
    </row>
    <row r="9844" spans="5:10" s="34" customFormat="1" x14ac:dyDescent="0.35">
      <c r="E9844" s="35"/>
      <c r="J9844" s="41"/>
    </row>
    <row r="9845" spans="5:10" s="34" customFormat="1" x14ac:dyDescent="0.35">
      <c r="E9845" s="35"/>
      <c r="J9845" s="41"/>
    </row>
    <row r="9846" spans="5:10" s="34" customFormat="1" x14ac:dyDescent="0.35">
      <c r="E9846" s="35"/>
      <c r="J9846" s="41"/>
    </row>
    <row r="9847" spans="5:10" s="34" customFormat="1" x14ac:dyDescent="0.35">
      <c r="E9847" s="35"/>
      <c r="J9847" s="41"/>
    </row>
    <row r="9848" spans="5:10" s="34" customFormat="1" x14ac:dyDescent="0.35">
      <c r="E9848" s="35"/>
      <c r="J9848" s="41"/>
    </row>
    <row r="9849" spans="5:10" s="34" customFormat="1" x14ac:dyDescent="0.35">
      <c r="E9849" s="35"/>
      <c r="J9849" s="41"/>
    </row>
    <row r="9850" spans="5:10" s="34" customFormat="1" x14ac:dyDescent="0.35">
      <c r="E9850" s="35"/>
      <c r="J9850" s="41"/>
    </row>
    <row r="9851" spans="5:10" s="34" customFormat="1" x14ac:dyDescent="0.35">
      <c r="E9851" s="35"/>
      <c r="J9851" s="41"/>
    </row>
    <row r="9852" spans="5:10" s="34" customFormat="1" x14ac:dyDescent="0.35">
      <c r="E9852" s="35"/>
      <c r="J9852" s="41"/>
    </row>
    <row r="9853" spans="5:10" s="34" customFormat="1" x14ac:dyDescent="0.35">
      <c r="E9853" s="35"/>
      <c r="J9853" s="41"/>
    </row>
    <row r="9854" spans="5:10" s="34" customFormat="1" x14ac:dyDescent="0.35">
      <c r="E9854" s="35"/>
      <c r="J9854" s="41"/>
    </row>
    <row r="9855" spans="5:10" s="34" customFormat="1" x14ac:dyDescent="0.35">
      <c r="E9855" s="35"/>
      <c r="J9855" s="41"/>
    </row>
    <row r="9856" spans="5:10" s="34" customFormat="1" x14ac:dyDescent="0.35">
      <c r="E9856" s="35"/>
      <c r="J9856" s="41"/>
    </row>
    <row r="9857" spans="5:10" s="34" customFormat="1" x14ac:dyDescent="0.35">
      <c r="E9857" s="35"/>
      <c r="J9857" s="41"/>
    </row>
    <row r="9858" spans="5:10" s="34" customFormat="1" x14ac:dyDescent="0.35">
      <c r="E9858" s="35"/>
      <c r="J9858" s="41"/>
    </row>
    <row r="9859" spans="5:10" s="34" customFormat="1" x14ac:dyDescent="0.35">
      <c r="E9859" s="35"/>
      <c r="J9859" s="41"/>
    </row>
    <row r="9860" spans="5:10" s="34" customFormat="1" x14ac:dyDescent="0.35">
      <c r="E9860" s="35"/>
      <c r="J9860" s="41"/>
    </row>
    <row r="9861" spans="5:10" s="34" customFormat="1" x14ac:dyDescent="0.35">
      <c r="E9861" s="35"/>
      <c r="J9861" s="41"/>
    </row>
    <row r="9862" spans="5:10" s="34" customFormat="1" x14ac:dyDescent="0.35">
      <c r="E9862" s="35"/>
      <c r="J9862" s="41"/>
    </row>
    <row r="9863" spans="5:10" s="34" customFormat="1" x14ac:dyDescent="0.35">
      <c r="E9863" s="35"/>
      <c r="J9863" s="41"/>
    </row>
    <row r="9864" spans="5:10" s="34" customFormat="1" x14ac:dyDescent="0.35">
      <c r="E9864" s="35"/>
      <c r="J9864" s="41"/>
    </row>
    <row r="9865" spans="5:10" s="34" customFormat="1" x14ac:dyDescent="0.35">
      <c r="E9865" s="35"/>
      <c r="J9865" s="41"/>
    </row>
    <row r="9866" spans="5:10" s="34" customFormat="1" x14ac:dyDescent="0.35">
      <c r="E9866" s="35"/>
      <c r="J9866" s="41"/>
    </row>
    <row r="9867" spans="5:10" s="34" customFormat="1" x14ac:dyDescent="0.35">
      <c r="E9867" s="35"/>
      <c r="J9867" s="41"/>
    </row>
    <row r="9868" spans="5:10" s="34" customFormat="1" x14ac:dyDescent="0.35">
      <c r="E9868" s="35"/>
      <c r="J9868" s="41"/>
    </row>
    <row r="9869" spans="5:10" s="34" customFormat="1" x14ac:dyDescent="0.35">
      <c r="E9869" s="35"/>
      <c r="J9869" s="41"/>
    </row>
    <row r="9870" spans="5:10" s="34" customFormat="1" x14ac:dyDescent="0.35">
      <c r="E9870" s="35"/>
      <c r="J9870" s="41"/>
    </row>
    <row r="9871" spans="5:10" s="34" customFormat="1" x14ac:dyDescent="0.35">
      <c r="E9871" s="35"/>
      <c r="J9871" s="41"/>
    </row>
    <row r="9872" spans="5:10" s="34" customFormat="1" x14ac:dyDescent="0.35">
      <c r="E9872" s="35"/>
      <c r="J9872" s="41"/>
    </row>
    <row r="9873" spans="5:10" s="34" customFormat="1" x14ac:dyDescent="0.35">
      <c r="E9873" s="35"/>
      <c r="J9873" s="41"/>
    </row>
    <row r="9874" spans="5:10" s="34" customFormat="1" x14ac:dyDescent="0.35">
      <c r="E9874" s="35"/>
      <c r="J9874" s="41"/>
    </row>
    <row r="9875" spans="5:10" s="34" customFormat="1" x14ac:dyDescent="0.35">
      <c r="E9875" s="35"/>
      <c r="J9875" s="41"/>
    </row>
    <row r="9876" spans="5:10" s="34" customFormat="1" x14ac:dyDescent="0.35">
      <c r="E9876" s="35"/>
      <c r="J9876" s="41"/>
    </row>
    <row r="9877" spans="5:10" s="34" customFormat="1" x14ac:dyDescent="0.35">
      <c r="E9877" s="35"/>
      <c r="J9877" s="41"/>
    </row>
    <row r="9878" spans="5:10" s="34" customFormat="1" x14ac:dyDescent="0.35">
      <c r="E9878" s="35"/>
      <c r="J9878" s="41"/>
    </row>
    <row r="9879" spans="5:10" s="34" customFormat="1" x14ac:dyDescent="0.35">
      <c r="E9879" s="35"/>
      <c r="J9879" s="41"/>
    </row>
    <row r="9880" spans="5:10" s="34" customFormat="1" x14ac:dyDescent="0.35">
      <c r="E9880" s="35"/>
      <c r="J9880" s="41"/>
    </row>
    <row r="9881" spans="5:10" s="34" customFormat="1" x14ac:dyDescent="0.35">
      <c r="E9881" s="35"/>
      <c r="J9881" s="41"/>
    </row>
    <row r="9882" spans="5:10" s="34" customFormat="1" x14ac:dyDescent="0.35">
      <c r="E9882" s="35"/>
      <c r="J9882" s="41"/>
    </row>
    <row r="9883" spans="5:10" s="34" customFormat="1" x14ac:dyDescent="0.35">
      <c r="E9883" s="35"/>
      <c r="J9883" s="41"/>
    </row>
    <row r="9884" spans="5:10" s="34" customFormat="1" x14ac:dyDescent="0.35">
      <c r="E9884" s="35"/>
      <c r="J9884" s="41"/>
    </row>
    <row r="9885" spans="5:10" s="34" customFormat="1" x14ac:dyDescent="0.35">
      <c r="E9885" s="35"/>
      <c r="J9885" s="41"/>
    </row>
    <row r="9886" spans="5:10" s="34" customFormat="1" x14ac:dyDescent="0.35">
      <c r="E9886" s="35"/>
      <c r="J9886" s="41"/>
    </row>
    <row r="9887" spans="5:10" s="34" customFormat="1" x14ac:dyDescent="0.35">
      <c r="E9887" s="35"/>
      <c r="J9887" s="41"/>
    </row>
    <row r="9888" spans="5:10" s="34" customFormat="1" x14ac:dyDescent="0.35">
      <c r="E9888" s="35"/>
      <c r="J9888" s="41"/>
    </row>
    <row r="9889" spans="5:10" s="34" customFormat="1" x14ac:dyDescent="0.35">
      <c r="E9889" s="35"/>
      <c r="J9889" s="41"/>
    </row>
    <row r="9890" spans="5:10" s="34" customFormat="1" x14ac:dyDescent="0.35">
      <c r="E9890" s="35"/>
      <c r="J9890" s="41"/>
    </row>
    <row r="9891" spans="5:10" s="34" customFormat="1" x14ac:dyDescent="0.35">
      <c r="E9891" s="35"/>
      <c r="J9891" s="41"/>
    </row>
    <row r="9892" spans="5:10" s="34" customFormat="1" x14ac:dyDescent="0.35">
      <c r="E9892" s="35"/>
      <c r="J9892" s="41"/>
    </row>
    <row r="9893" spans="5:10" s="34" customFormat="1" x14ac:dyDescent="0.35">
      <c r="E9893" s="35"/>
      <c r="J9893" s="41"/>
    </row>
    <row r="9894" spans="5:10" s="34" customFormat="1" x14ac:dyDescent="0.35">
      <c r="E9894" s="35"/>
      <c r="J9894" s="41"/>
    </row>
    <row r="9895" spans="5:10" s="34" customFormat="1" x14ac:dyDescent="0.35">
      <c r="E9895" s="35"/>
      <c r="J9895" s="41"/>
    </row>
    <row r="9896" spans="5:10" s="34" customFormat="1" x14ac:dyDescent="0.35">
      <c r="E9896" s="35"/>
      <c r="J9896" s="41"/>
    </row>
    <row r="9897" spans="5:10" s="34" customFormat="1" x14ac:dyDescent="0.35">
      <c r="E9897" s="35"/>
      <c r="J9897" s="41"/>
    </row>
    <row r="9898" spans="5:10" s="34" customFormat="1" x14ac:dyDescent="0.35">
      <c r="E9898" s="35"/>
      <c r="J9898" s="41"/>
    </row>
    <row r="9899" spans="5:10" s="34" customFormat="1" x14ac:dyDescent="0.35">
      <c r="E9899" s="35"/>
      <c r="J9899" s="41"/>
    </row>
    <row r="9900" spans="5:10" s="34" customFormat="1" x14ac:dyDescent="0.35">
      <c r="E9900" s="35"/>
      <c r="J9900" s="41"/>
    </row>
    <row r="9901" spans="5:10" s="34" customFormat="1" x14ac:dyDescent="0.35">
      <c r="E9901" s="35"/>
      <c r="J9901" s="41"/>
    </row>
    <row r="9902" spans="5:10" s="34" customFormat="1" x14ac:dyDescent="0.35">
      <c r="E9902" s="35"/>
      <c r="J9902" s="41"/>
    </row>
    <row r="9903" spans="5:10" s="34" customFormat="1" x14ac:dyDescent="0.35">
      <c r="E9903" s="35"/>
      <c r="J9903" s="41"/>
    </row>
    <row r="9904" spans="5:10" s="34" customFormat="1" x14ac:dyDescent="0.35">
      <c r="E9904" s="35"/>
      <c r="J9904" s="41"/>
    </row>
    <row r="9905" spans="5:10" s="34" customFormat="1" x14ac:dyDescent="0.35">
      <c r="E9905" s="35"/>
      <c r="J9905" s="41"/>
    </row>
    <row r="9906" spans="5:10" s="34" customFormat="1" x14ac:dyDescent="0.35">
      <c r="E9906" s="35"/>
      <c r="J9906" s="41"/>
    </row>
    <row r="9907" spans="5:10" s="34" customFormat="1" x14ac:dyDescent="0.35">
      <c r="E9907" s="35"/>
      <c r="J9907" s="41"/>
    </row>
    <row r="9908" spans="5:10" s="34" customFormat="1" x14ac:dyDescent="0.35">
      <c r="E9908" s="35"/>
      <c r="J9908" s="41"/>
    </row>
    <row r="9909" spans="5:10" s="34" customFormat="1" x14ac:dyDescent="0.35">
      <c r="E9909" s="35"/>
      <c r="J9909" s="41"/>
    </row>
    <row r="9910" spans="5:10" s="34" customFormat="1" x14ac:dyDescent="0.35">
      <c r="E9910" s="35"/>
      <c r="J9910" s="41"/>
    </row>
    <row r="9911" spans="5:10" s="34" customFormat="1" x14ac:dyDescent="0.35">
      <c r="E9911" s="35"/>
      <c r="J9911" s="41"/>
    </row>
    <row r="9912" spans="5:10" s="34" customFormat="1" x14ac:dyDescent="0.35">
      <c r="E9912" s="35"/>
      <c r="J9912" s="41"/>
    </row>
    <row r="9913" spans="5:10" s="34" customFormat="1" x14ac:dyDescent="0.35">
      <c r="E9913" s="35"/>
      <c r="J9913" s="41"/>
    </row>
    <row r="9914" spans="5:10" s="34" customFormat="1" x14ac:dyDescent="0.35">
      <c r="E9914" s="35"/>
      <c r="J9914" s="41"/>
    </row>
    <row r="9915" spans="5:10" s="34" customFormat="1" x14ac:dyDescent="0.35">
      <c r="E9915" s="35"/>
      <c r="J9915" s="41"/>
    </row>
    <row r="9916" spans="5:10" s="34" customFormat="1" x14ac:dyDescent="0.35">
      <c r="E9916" s="35"/>
      <c r="J9916" s="41"/>
    </row>
    <row r="9917" spans="5:10" s="34" customFormat="1" x14ac:dyDescent="0.35">
      <c r="E9917" s="35"/>
      <c r="J9917" s="41"/>
    </row>
    <row r="9918" spans="5:10" s="34" customFormat="1" x14ac:dyDescent="0.35">
      <c r="E9918" s="35"/>
      <c r="J9918" s="41"/>
    </row>
    <row r="9919" spans="5:10" s="34" customFormat="1" x14ac:dyDescent="0.35">
      <c r="E9919" s="35"/>
      <c r="J9919" s="41"/>
    </row>
    <row r="9920" spans="5:10" s="34" customFormat="1" x14ac:dyDescent="0.35">
      <c r="E9920" s="35"/>
      <c r="J9920" s="41"/>
    </row>
    <row r="9921" spans="5:10" s="34" customFormat="1" x14ac:dyDescent="0.35">
      <c r="E9921" s="35"/>
      <c r="J9921" s="41"/>
    </row>
    <row r="9922" spans="5:10" s="34" customFormat="1" x14ac:dyDescent="0.35">
      <c r="E9922" s="35"/>
      <c r="J9922" s="41"/>
    </row>
    <row r="9923" spans="5:10" s="34" customFormat="1" x14ac:dyDescent="0.35">
      <c r="E9923" s="35"/>
      <c r="J9923" s="41"/>
    </row>
    <row r="9924" spans="5:10" s="34" customFormat="1" x14ac:dyDescent="0.35">
      <c r="E9924" s="35"/>
      <c r="J9924" s="41"/>
    </row>
    <row r="9925" spans="5:10" s="34" customFormat="1" x14ac:dyDescent="0.35">
      <c r="E9925" s="35"/>
      <c r="J9925" s="41"/>
    </row>
    <row r="9926" spans="5:10" s="34" customFormat="1" x14ac:dyDescent="0.35">
      <c r="E9926" s="35"/>
      <c r="J9926" s="41"/>
    </row>
    <row r="9927" spans="5:10" s="34" customFormat="1" x14ac:dyDescent="0.35">
      <c r="E9927" s="35"/>
      <c r="J9927" s="41"/>
    </row>
    <row r="9928" spans="5:10" s="34" customFormat="1" x14ac:dyDescent="0.35">
      <c r="E9928" s="35"/>
      <c r="J9928" s="41"/>
    </row>
    <row r="9929" spans="5:10" s="34" customFormat="1" x14ac:dyDescent="0.35">
      <c r="E9929" s="35"/>
      <c r="J9929" s="41"/>
    </row>
    <row r="9930" spans="5:10" s="34" customFormat="1" x14ac:dyDescent="0.35">
      <c r="E9930" s="35"/>
      <c r="J9930" s="41"/>
    </row>
    <row r="9931" spans="5:10" s="34" customFormat="1" x14ac:dyDescent="0.35">
      <c r="E9931" s="35"/>
      <c r="J9931" s="41"/>
    </row>
    <row r="9932" spans="5:10" s="34" customFormat="1" x14ac:dyDescent="0.35">
      <c r="E9932" s="35"/>
      <c r="J9932" s="41"/>
    </row>
    <row r="9933" spans="5:10" s="34" customFormat="1" x14ac:dyDescent="0.35">
      <c r="E9933" s="35"/>
      <c r="J9933" s="41"/>
    </row>
    <row r="9934" spans="5:10" s="34" customFormat="1" x14ac:dyDescent="0.35">
      <c r="E9934" s="35"/>
      <c r="J9934" s="41"/>
    </row>
    <row r="9935" spans="5:10" s="34" customFormat="1" x14ac:dyDescent="0.35">
      <c r="E9935" s="35"/>
      <c r="J9935" s="41"/>
    </row>
    <row r="9936" spans="5:10" s="34" customFormat="1" x14ac:dyDescent="0.35">
      <c r="E9936" s="35"/>
      <c r="J9936" s="41"/>
    </row>
    <row r="9937" spans="5:10" s="34" customFormat="1" x14ac:dyDescent="0.35">
      <c r="E9937" s="35"/>
      <c r="J9937" s="41"/>
    </row>
    <row r="9938" spans="5:10" s="34" customFormat="1" x14ac:dyDescent="0.35">
      <c r="E9938" s="35"/>
      <c r="J9938" s="41"/>
    </row>
    <row r="9939" spans="5:10" s="34" customFormat="1" x14ac:dyDescent="0.35">
      <c r="E9939" s="35"/>
      <c r="J9939" s="41"/>
    </row>
    <row r="9940" spans="5:10" s="34" customFormat="1" x14ac:dyDescent="0.35">
      <c r="E9940" s="35"/>
      <c r="J9940" s="41"/>
    </row>
    <row r="9941" spans="5:10" s="34" customFormat="1" x14ac:dyDescent="0.35">
      <c r="E9941" s="35"/>
      <c r="J9941" s="41"/>
    </row>
    <row r="9942" spans="5:10" s="34" customFormat="1" x14ac:dyDescent="0.35">
      <c r="E9942" s="35"/>
      <c r="J9942" s="41"/>
    </row>
    <row r="9943" spans="5:10" s="34" customFormat="1" x14ac:dyDescent="0.35">
      <c r="E9943" s="35"/>
      <c r="J9943" s="41"/>
    </row>
    <row r="9944" spans="5:10" s="34" customFormat="1" x14ac:dyDescent="0.35">
      <c r="E9944" s="35"/>
      <c r="J9944" s="41"/>
    </row>
    <row r="9945" spans="5:10" s="34" customFormat="1" x14ac:dyDescent="0.35">
      <c r="E9945" s="35"/>
      <c r="J9945" s="41"/>
    </row>
    <row r="9946" spans="5:10" s="34" customFormat="1" x14ac:dyDescent="0.35">
      <c r="E9946" s="35"/>
      <c r="J9946" s="41"/>
    </row>
    <row r="9947" spans="5:10" s="34" customFormat="1" x14ac:dyDescent="0.35">
      <c r="E9947" s="35"/>
      <c r="J9947" s="41"/>
    </row>
    <row r="9948" spans="5:10" s="34" customFormat="1" x14ac:dyDescent="0.35">
      <c r="E9948" s="35"/>
      <c r="J9948" s="41"/>
    </row>
    <row r="9949" spans="5:10" s="34" customFormat="1" x14ac:dyDescent="0.35">
      <c r="E9949" s="35"/>
      <c r="J9949" s="41"/>
    </row>
    <row r="9950" spans="5:10" s="34" customFormat="1" x14ac:dyDescent="0.35">
      <c r="E9950" s="35"/>
      <c r="J9950" s="41"/>
    </row>
    <row r="9951" spans="5:10" s="34" customFormat="1" x14ac:dyDescent="0.35">
      <c r="E9951" s="35"/>
      <c r="J9951" s="41"/>
    </row>
    <row r="9952" spans="5:10" s="34" customFormat="1" x14ac:dyDescent="0.35">
      <c r="E9952" s="35"/>
      <c r="J9952" s="41"/>
    </row>
    <row r="9953" spans="5:10" s="34" customFormat="1" x14ac:dyDescent="0.35">
      <c r="E9953" s="35"/>
      <c r="J9953" s="41"/>
    </row>
    <row r="9954" spans="5:10" s="34" customFormat="1" x14ac:dyDescent="0.35">
      <c r="E9954" s="35"/>
      <c r="J9954" s="41"/>
    </row>
    <row r="9955" spans="5:10" s="34" customFormat="1" x14ac:dyDescent="0.35">
      <c r="E9955" s="35"/>
      <c r="J9955" s="41"/>
    </row>
    <row r="9956" spans="5:10" s="34" customFormat="1" x14ac:dyDescent="0.35">
      <c r="E9956" s="35"/>
      <c r="J9956" s="41"/>
    </row>
    <row r="9957" spans="5:10" s="34" customFormat="1" x14ac:dyDescent="0.35">
      <c r="E9957" s="35"/>
      <c r="J9957" s="41"/>
    </row>
    <row r="9958" spans="5:10" s="34" customFormat="1" x14ac:dyDescent="0.35">
      <c r="E9958" s="35"/>
      <c r="J9958" s="41"/>
    </row>
    <row r="9959" spans="5:10" s="34" customFormat="1" x14ac:dyDescent="0.35">
      <c r="E9959" s="35"/>
      <c r="J9959" s="41"/>
    </row>
    <row r="9960" spans="5:10" s="34" customFormat="1" x14ac:dyDescent="0.35">
      <c r="E9960" s="35"/>
      <c r="J9960" s="41"/>
    </row>
    <row r="9961" spans="5:10" s="34" customFormat="1" x14ac:dyDescent="0.35">
      <c r="E9961" s="35"/>
      <c r="J9961" s="41"/>
    </row>
    <row r="9962" spans="5:10" s="34" customFormat="1" x14ac:dyDescent="0.35">
      <c r="E9962" s="35"/>
      <c r="J9962" s="41"/>
    </row>
    <row r="9963" spans="5:10" s="34" customFormat="1" x14ac:dyDescent="0.35">
      <c r="E9963" s="35"/>
      <c r="J9963" s="41"/>
    </row>
    <row r="9964" spans="5:10" s="34" customFormat="1" x14ac:dyDescent="0.35">
      <c r="E9964" s="35"/>
      <c r="J9964" s="41"/>
    </row>
    <row r="9965" spans="5:10" s="34" customFormat="1" x14ac:dyDescent="0.35">
      <c r="E9965" s="35"/>
      <c r="J9965" s="41"/>
    </row>
    <row r="9966" spans="5:10" s="34" customFormat="1" x14ac:dyDescent="0.35">
      <c r="E9966" s="35"/>
      <c r="J9966" s="41"/>
    </row>
    <row r="9967" spans="5:10" s="34" customFormat="1" x14ac:dyDescent="0.35">
      <c r="E9967" s="35"/>
      <c r="J9967" s="41"/>
    </row>
    <row r="9968" spans="5:10" s="34" customFormat="1" x14ac:dyDescent="0.35">
      <c r="E9968" s="35"/>
      <c r="J9968" s="41"/>
    </row>
    <row r="9969" spans="5:10" s="34" customFormat="1" x14ac:dyDescent="0.35">
      <c r="E9969" s="35"/>
      <c r="J9969" s="41"/>
    </row>
    <row r="9970" spans="5:10" s="34" customFormat="1" x14ac:dyDescent="0.35">
      <c r="E9970" s="35"/>
      <c r="J9970" s="41"/>
    </row>
    <row r="9971" spans="5:10" s="34" customFormat="1" x14ac:dyDescent="0.35">
      <c r="E9971" s="35"/>
      <c r="J9971" s="41"/>
    </row>
    <row r="9972" spans="5:10" s="34" customFormat="1" x14ac:dyDescent="0.35">
      <c r="E9972" s="35"/>
      <c r="J9972" s="41"/>
    </row>
    <row r="9973" spans="5:10" s="34" customFormat="1" x14ac:dyDescent="0.35">
      <c r="E9973" s="35"/>
      <c r="J9973" s="41"/>
    </row>
    <row r="9974" spans="5:10" s="34" customFormat="1" x14ac:dyDescent="0.35">
      <c r="E9974" s="35"/>
      <c r="J9974" s="41"/>
    </row>
    <row r="9975" spans="5:10" s="34" customFormat="1" x14ac:dyDescent="0.35">
      <c r="E9975" s="35"/>
      <c r="J9975" s="41"/>
    </row>
    <row r="9976" spans="5:10" s="34" customFormat="1" x14ac:dyDescent="0.35">
      <c r="E9976" s="35"/>
      <c r="J9976" s="41"/>
    </row>
    <row r="9977" spans="5:10" s="34" customFormat="1" x14ac:dyDescent="0.35">
      <c r="E9977" s="35"/>
      <c r="J9977" s="41"/>
    </row>
    <row r="9978" spans="5:10" s="34" customFormat="1" x14ac:dyDescent="0.35">
      <c r="E9978" s="35"/>
      <c r="J9978" s="41"/>
    </row>
    <row r="9979" spans="5:10" s="34" customFormat="1" x14ac:dyDescent="0.35">
      <c r="E9979" s="35"/>
      <c r="J9979" s="41"/>
    </row>
    <row r="9980" spans="5:10" s="34" customFormat="1" x14ac:dyDescent="0.35">
      <c r="E9980" s="35"/>
      <c r="J9980" s="41"/>
    </row>
    <row r="9981" spans="5:10" s="34" customFormat="1" x14ac:dyDescent="0.35">
      <c r="E9981" s="35"/>
      <c r="J9981" s="41"/>
    </row>
    <row r="9982" spans="5:10" s="34" customFormat="1" x14ac:dyDescent="0.35">
      <c r="E9982" s="35"/>
      <c r="J9982" s="41"/>
    </row>
    <row r="9983" spans="5:10" s="34" customFormat="1" x14ac:dyDescent="0.35">
      <c r="E9983" s="35"/>
      <c r="J9983" s="41"/>
    </row>
    <row r="9984" spans="5:10" s="34" customFormat="1" x14ac:dyDescent="0.35">
      <c r="E9984" s="35"/>
      <c r="J9984" s="41"/>
    </row>
    <row r="9985" spans="5:10" s="34" customFormat="1" x14ac:dyDescent="0.35">
      <c r="E9985" s="35"/>
      <c r="J9985" s="41"/>
    </row>
    <row r="9986" spans="5:10" s="34" customFormat="1" x14ac:dyDescent="0.35">
      <c r="E9986" s="35"/>
      <c r="J9986" s="41"/>
    </row>
    <row r="9987" spans="5:10" s="34" customFormat="1" x14ac:dyDescent="0.35">
      <c r="E9987" s="35"/>
      <c r="J9987" s="41"/>
    </row>
    <row r="9988" spans="5:10" s="34" customFormat="1" x14ac:dyDescent="0.35">
      <c r="E9988" s="35"/>
      <c r="J9988" s="41"/>
    </row>
    <row r="9989" spans="5:10" s="34" customFormat="1" x14ac:dyDescent="0.35">
      <c r="E9989" s="35"/>
      <c r="J9989" s="41"/>
    </row>
    <row r="9990" spans="5:10" s="34" customFormat="1" x14ac:dyDescent="0.35">
      <c r="E9990" s="35"/>
      <c r="J9990" s="41"/>
    </row>
    <row r="9991" spans="5:10" s="34" customFormat="1" x14ac:dyDescent="0.35">
      <c r="E9991" s="35"/>
      <c r="J9991" s="41"/>
    </row>
    <row r="9992" spans="5:10" s="34" customFormat="1" x14ac:dyDescent="0.35">
      <c r="E9992" s="35"/>
      <c r="J9992" s="41"/>
    </row>
    <row r="9993" spans="5:10" s="34" customFormat="1" x14ac:dyDescent="0.35">
      <c r="E9993" s="35"/>
      <c r="J9993" s="41"/>
    </row>
    <row r="9994" spans="5:10" s="34" customFormat="1" x14ac:dyDescent="0.35">
      <c r="E9994" s="35"/>
      <c r="J9994" s="41"/>
    </row>
    <row r="9995" spans="5:10" s="34" customFormat="1" x14ac:dyDescent="0.35">
      <c r="E9995" s="35"/>
      <c r="J9995" s="41"/>
    </row>
    <row r="9996" spans="5:10" s="34" customFormat="1" x14ac:dyDescent="0.35">
      <c r="E9996" s="35"/>
      <c r="J9996" s="41"/>
    </row>
    <row r="9997" spans="5:10" s="34" customFormat="1" x14ac:dyDescent="0.35">
      <c r="E9997" s="35"/>
      <c r="J9997" s="41"/>
    </row>
    <row r="9998" spans="5:10" s="34" customFormat="1" x14ac:dyDescent="0.35">
      <c r="E9998" s="35"/>
      <c r="J9998" s="41"/>
    </row>
    <row r="9999" spans="5:10" s="34" customFormat="1" x14ac:dyDescent="0.35">
      <c r="E9999" s="35"/>
      <c r="J9999" s="41"/>
    </row>
    <row r="10000" spans="5:10" s="34" customFormat="1" x14ac:dyDescent="0.35">
      <c r="E10000" s="35"/>
      <c r="J10000" s="41"/>
    </row>
    <row r="10001" spans="5:10" s="34" customFormat="1" x14ac:dyDescent="0.35">
      <c r="E10001" s="35"/>
      <c r="J10001" s="41"/>
    </row>
    <row r="10002" spans="5:10" s="34" customFormat="1" x14ac:dyDescent="0.35">
      <c r="E10002" s="35"/>
      <c r="J10002" s="41"/>
    </row>
    <row r="10003" spans="5:10" s="34" customFormat="1" x14ac:dyDescent="0.35">
      <c r="E10003" s="35"/>
      <c r="J10003" s="41"/>
    </row>
    <row r="10004" spans="5:10" s="34" customFormat="1" x14ac:dyDescent="0.35">
      <c r="E10004" s="35"/>
      <c r="J10004" s="41"/>
    </row>
    <row r="10005" spans="5:10" s="34" customFormat="1" x14ac:dyDescent="0.35">
      <c r="E10005" s="35"/>
      <c r="J10005" s="41"/>
    </row>
    <row r="10006" spans="5:10" s="34" customFormat="1" x14ac:dyDescent="0.35">
      <c r="E10006" s="35"/>
      <c r="J10006" s="41"/>
    </row>
    <row r="10007" spans="5:10" s="34" customFormat="1" x14ac:dyDescent="0.35">
      <c r="E10007" s="35"/>
      <c r="J10007" s="41"/>
    </row>
    <row r="10008" spans="5:10" s="34" customFormat="1" x14ac:dyDescent="0.35">
      <c r="E10008" s="35"/>
      <c r="J10008" s="41"/>
    </row>
    <row r="10009" spans="5:10" s="34" customFormat="1" x14ac:dyDescent="0.35">
      <c r="E10009" s="35"/>
      <c r="J10009" s="41"/>
    </row>
    <row r="10010" spans="5:10" s="34" customFormat="1" x14ac:dyDescent="0.35">
      <c r="E10010" s="35"/>
      <c r="J10010" s="41"/>
    </row>
    <row r="10011" spans="5:10" s="34" customFormat="1" x14ac:dyDescent="0.35">
      <c r="E10011" s="35"/>
      <c r="J10011" s="41"/>
    </row>
    <row r="10012" spans="5:10" s="34" customFormat="1" x14ac:dyDescent="0.35">
      <c r="E10012" s="35"/>
      <c r="J10012" s="41"/>
    </row>
    <row r="10013" spans="5:10" s="34" customFormat="1" x14ac:dyDescent="0.35">
      <c r="E10013" s="35"/>
      <c r="J10013" s="41"/>
    </row>
    <row r="10014" spans="5:10" s="34" customFormat="1" x14ac:dyDescent="0.35">
      <c r="E10014" s="35"/>
      <c r="J10014" s="41"/>
    </row>
    <row r="10015" spans="5:10" s="34" customFormat="1" x14ac:dyDescent="0.35">
      <c r="E10015" s="35"/>
      <c r="J10015" s="41"/>
    </row>
    <row r="10016" spans="5:10" s="34" customFormat="1" x14ac:dyDescent="0.35">
      <c r="E10016" s="35"/>
      <c r="J10016" s="41"/>
    </row>
    <row r="10017" spans="5:10" s="34" customFormat="1" x14ac:dyDescent="0.35">
      <c r="E10017" s="35"/>
      <c r="J10017" s="41"/>
    </row>
    <row r="10018" spans="5:10" s="34" customFormat="1" x14ac:dyDescent="0.35">
      <c r="E10018" s="35"/>
      <c r="J10018" s="41"/>
    </row>
    <row r="10019" spans="5:10" s="34" customFormat="1" x14ac:dyDescent="0.35">
      <c r="E10019" s="35"/>
      <c r="J10019" s="41"/>
    </row>
    <row r="10020" spans="5:10" s="34" customFormat="1" x14ac:dyDescent="0.35">
      <c r="E10020" s="35"/>
      <c r="J10020" s="41"/>
    </row>
    <row r="10021" spans="5:10" s="34" customFormat="1" x14ac:dyDescent="0.35">
      <c r="E10021" s="35"/>
      <c r="J10021" s="41"/>
    </row>
    <row r="10022" spans="5:10" s="34" customFormat="1" x14ac:dyDescent="0.35">
      <c r="E10022" s="35"/>
      <c r="J10022" s="41"/>
    </row>
    <row r="10023" spans="5:10" s="34" customFormat="1" x14ac:dyDescent="0.35">
      <c r="E10023" s="35"/>
      <c r="J10023" s="41"/>
    </row>
    <row r="10024" spans="5:10" s="34" customFormat="1" x14ac:dyDescent="0.35">
      <c r="E10024" s="35"/>
      <c r="J10024" s="41"/>
    </row>
    <row r="10025" spans="5:10" s="34" customFormat="1" x14ac:dyDescent="0.35">
      <c r="E10025" s="35"/>
      <c r="J10025" s="41"/>
    </row>
    <row r="10026" spans="5:10" s="34" customFormat="1" x14ac:dyDescent="0.35">
      <c r="E10026" s="35"/>
      <c r="J10026" s="41"/>
    </row>
    <row r="10027" spans="5:10" s="34" customFormat="1" x14ac:dyDescent="0.35">
      <c r="E10027" s="35"/>
      <c r="J10027" s="41"/>
    </row>
    <row r="10028" spans="5:10" s="34" customFormat="1" x14ac:dyDescent="0.35">
      <c r="E10028" s="35"/>
      <c r="J10028" s="41"/>
    </row>
    <row r="10029" spans="5:10" s="34" customFormat="1" x14ac:dyDescent="0.35">
      <c r="E10029" s="35"/>
      <c r="J10029" s="41"/>
    </row>
    <row r="10030" spans="5:10" s="34" customFormat="1" x14ac:dyDescent="0.35">
      <c r="E10030" s="35"/>
      <c r="J10030" s="41"/>
    </row>
    <row r="10031" spans="5:10" s="34" customFormat="1" x14ac:dyDescent="0.35">
      <c r="E10031" s="35"/>
      <c r="J10031" s="41"/>
    </row>
    <row r="10032" spans="5:10" s="34" customFormat="1" x14ac:dyDescent="0.35">
      <c r="E10032" s="35"/>
      <c r="J10032" s="41"/>
    </row>
    <row r="10033" spans="5:10" s="34" customFormat="1" x14ac:dyDescent="0.35">
      <c r="E10033" s="35"/>
      <c r="J10033" s="41"/>
    </row>
    <row r="10034" spans="5:10" s="34" customFormat="1" x14ac:dyDescent="0.35">
      <c r="E10034" s="35"/>
      <c r="J10034" s="41"/>
    </row>
    <row r="10035" spans="5:10" s="34" customFormat="1" x14ac:dyDescent="0.35">
      <c r="E10035" s="35"/>
      <c r="J10035" s="41"/>
    </row>
    <row r="10036" spans="5:10" s="34" customFormat="1" x14ac:dyDescent="0.35">
      <c r="E10036" s="35"/>
      <c r="J10036" s="41"/>
    </row>
    <row r="10037" spans="5:10" s="34" customFormat="1" x14ac:dyDescent="0.35">
      <c r="E10037" s="35"/>
      <c r="J10037" s="41"/>
    </row>
    <row r="10038" spans="5:10" s="34" customFormat="1" x14ac:dyDescent="0.35">
      <c r="E10038" s="35"/>
      <c r="J10038" s="41"/>
    </row>
    <row r="10039" spans="5:10" s="34" customFormat="1" x14ac:dyDescent="0.35">
      <c r="E10039" s="35"/>
      <c r="J10039" s="41"/>
    </row>
    <row r="10040" spans="5:10" s="34" customFormat="1" x14ac:dyDescent="0.35">
      <c r="E10040" s="35"/>
      <c r="J10040" s="41"/>
    </row>
    <row r="10041" spans="5:10" s="34" customFormat="1" x14ac:dyDescent="0.35">
      <c r="E10041" s="35"/>
      <c r="J10041" s="41"/>
    </row>
    <row r="10042" spans="5:10" s="34" customFormat="1" x14ac:dyDescent="0.35">
      <c r="E10042" s="35"/>
      <c r="J10042" s="41"/>
    </row>
    <row r="10043" spans="5:10" s="34" customFormat="1" x14ac:dyDescent="0.35">
      <c r="E10043" s="35"/>
      <c r="J10043" s="41"/>
    </row>
    <row r="10044" spans="5:10" s="34" customFormat="1" x14ac:dyDescent="0.35">
      <c r="E10044" s="35"/>
      <c r="J10044" s="41"/>
    </row>
    <row r="10045" spans="5:10" s="34" customFormat="1" x14ac:dyDescent="0.35">
      <c r="E10045" s="35"/>
      <c r="J10045" s="41"/>
    </row>
    <row r="10046" spans="5:10" s="34" customFormat="1" x14ac:dyDescent="0.35">
      <c r="E10046" s="35"/>
      <c r="J10046" s="41"/>
    </row>
    <row r="10047" spans="5:10" s="34" customFormat="1" x14ac:dyDescent="0.35">
      <c r="E10047" s="35"/>
      <c r="J10047" s="41"/>
    </row>
    <row r="10048" spans="5:10" s="34" customFormat="1" x14ac:dyDescent="0.35">
      <c r="E10048" s="35"/>
      <c r="J10048" s="41"/>
    </row>
    <row r="10049" spans="5:10" s="34" customFormat="1" x14ac:dyDescent="0.35">
      <c r="E10049" s="35"/>
      <c r="J10049" s="41"/>
    </row>
    <row r="10050" spans="5:10" s="34" customFormat="1" x14ac:dyDescent="0.35">
      <c r="E10050" s="35"/>
      <c r="J10050" s="41"/>
    </row>
    <row r="10051" spans="5:10" s="34" customFormat="1" x14ac:dyDescent="0.35">
      <c r="E10051" s="35"/>
      <c r="J10051" s="41"/>
    </row>
    <row r="10052" spans="5:10" s="34" customFormat="1" x14ac:dyDescent="0.35">
      <c r="E10052" s="35"/>
      <c r="J10052" s="41"/>
    </row>
    <row r="10053" spans="5:10" s="34" customFormat="1" x14ac:dyDescent="0.35">
      <c r="E10053" s="35"/>
      <c r="J10053" s="41"/>
    </row>
    <row r="10054" spans="5:10" s="34" customFormat="1" x14ac:dyDescent="0.35">
      <c r="E10054" s="35"/>
      <c r="J10054" s="41"/>
    </row>
    <row r="10055" spans="5:10" s="34" customFormat="1" x14ac:dyDescent="0.35">
      <c r="E10055" s="35"/>
      <c r="J10055" s="41"/>
    </row>
    <row r="10056" spans="5:10" s="34" customFormat="1" x14ac:dyDescent="0.35">
      <c r="E10056" s="35"/>
      <c r="J10056" s="41"/>
    </row>
    <row r="10057" spans="5:10" s="34" customFormat="1" x14ac:dyDescent="0.35">
      <c r="E10057" s="35"/>
      <c r="J10057" s="41"/>
    </row>
    <row r="10058" spans="5:10" s="34" customFormat="1" x14ac:dyDescent="0.35">
      <c r="E10058" s="35"/>
      <c r="J10058" s="41"/>
    </row>
    <row r="10059" spans="5:10" s="34" customFormat="1" x14ac:dyDescent="0.35">
      <c r="E10059" s="35"/>
      <c r="J10059" s="41"/>
    </row>
    <row r="10060" spans="5:10" s="34" customFormat="1" x14ac:dyDescent="0.35">
      <c r="E10060" s="35"/>
      <c r="J10060" s="41"/>
    </row>
    <row r="10061" spans="5:10" s="34" customFormat="1" x14ac:dyDescent="0.35">
      <c r="E10061" s="35"/>
      <c r="J10061" s="41"/>
    </row>
    <row r="10062" spans="5:10" s="34" customFormat="1" x14ac:dyDescent="0.35">
      <c r="E10062" s="35"/>
      <c r="J10062" s="41"/>
    </row>
    <row r="10063" spans="5:10" s="34" customFormat="1" x14ac:dyDescent="0.35">
      <c r="E10063" s="35"/>
      <c r="J10063" s="41"/>
    </row>
    <row r="10064" spans="5:10" s="34" customFormat="1" x14ac:dyDescent="0.35">
      <c r="E10064" s="35"/>
      <c r="J10064" s="41"/>
    </row>
    <row r="10065" spans="5:10" s="34" customFormat="1" x14ac:dyDescent="0.35">
      <c r="E10065" s="35"/>
      <c r="J10065" s="41"/>
    </row>
    <row r="10066" spans="5:10" s="34" customFormat="1" x14ac:dyDescent="0.35">
      <c r="E10066" s="35"/>
      <c r="J10066" s="41"/>
    </row>
    <row r="10067" spans="5:10" s="34" customFormat="1" x14ac:dyDescent="0.35">
      <c r="E10067" s="35"/>
      <c r="J10067" s="41"/>
    </row>
    <row r="10068" spans="5:10" s="34" customFormat="1" x14ac:dyDescent="0.35">
      <c r="E10068" s="35"/>
      <c r="J10068" s="41"/>
    </row>
    <row r="10069" spans="5:10" s="34" customFormat="1" x14ac:dyDescent="0.35">
      <c r="E10069" s="35"/>
      <c r="J10069" s="41"/>
    </row>
    <row r="10070" spans="5:10" s="34" customFormat="1" x14ac:dyDescent="0.35">
      <c r="E10070" s="35"/>
      <c r="J10070" s="41"/>
    </row>
    <row r="10071" spans="5:10" s="34" customFormat="1" x14ac:dyDescent="0.35">
      <c r="E10071" s="35"/>
      <c r="J10071" s="41"/>
    </row>
    <row r="10072" spans="5:10" s="34" customFormat="1" x14ac:dyDescent="0.35">
      <c r="E10072" s="35"/>
      <c r="J10072" s="41"/>
    </row>
    <row r="10073" spans="5:10" s="34" customFormat="1" x14ac:dyDescent="0.35">
      <c r="E10073" s="35"/>
      <c r="J10073" s="41"/>
    </row>
    <row r="10074" spans="5:10" s="34" customFormat="1" x14ac:dyDescent="0.35">
      <c r="E10074" s="35"/>
      <c r="J10074" s="41"/>
    </row>
    <row r="10075" spans="5:10" s="34" customFormat="1" x14ac:dyDescent="0.35">
      <c r="E10075" s="35"/>
      <c r="J10075" s="41"/>
    </row>
    <row r="10076" spans="5:10" s="34" customFormat="1" x14ac:dyDescent="0.35">
      <c r="E10076" s="35"/>
      <c r="J10076" s="41"/>
    </row>
    <row r="10077" spans="5:10" s="34" customFormat="1" x14ac:dyDescent="0.35">
      <c r="E10077" s="35"/>
      <c r="J10077" s="41"/>
    </row>
    <row r="10078" spans="5:10" s="34" customFormat="1" x14ac:dyDescent="0.35">
      <c r="E10078" s="35"/>
      <c r="J10078" s="41"/>
    </row>
    <row r="10079" spans="5:10" s="34" customFormat="1" x14ac:dyDescent="0.35">
      <c r="E10079" s="35"/>
      <c r="J10079" s="41"/>
    </row>
    <row r="10080" spans="5:10" s="34" customFormat="1" x14ac:dyDescent="0.35">
      <c r="E10080" s="35"/>
      <c r="J10080" s="41"/>
    </row>
    <row r="10081" spans="5:10" s="34" customFormat="1" x14ac:dyDescent="0.35">
      <c r="E10081" s="35"/>
      <c r="J10081" s="41"/>
    </row>
    <row r="10082" spans="5:10" s="34" customFormat="1" x14ac:dyDescent="0.35">
      <c r="E10082" s="35"/>
      <c r="J10082" s="41"/>
    </row>
    <row r="10083" spans="5:10" s="34" customFormat="1" x14ac:dyDescent="0.35">
      <c r="E10083" s="35"/>
      <c r="J10083" s="41"/>
    </row>
    <row r="10084" spans="5:10" s="34" customFormat="1" x14ac:dyDescent="0.35">
      <c r="E10084" s="35"/>
      <c r="J10084" s="41"/>
    </row>
    <row r="10085" spans="5:10" s="34" customFormat="1" x14ac:dyDescent="0.35">
      <c r="E10085" s="35"/>
      <c r="J10085" s="41"/>
    </row>
    <row r="10086" spans="5:10" s="34" customFormat="1" x14ac:dyDescent="0.35">
      <c r="E10086" s="35"/>
      <c r="J10086" s="41"/>
    </row>
    <row r="10087" spans="5:10" s="34" customFormat="1" x14ac:dyDescent="0.35">
      <c r="E10087" s="35"/>
      <c r="J10087" s="41"/>
    </row>
    <row r="10088" spans="5:10" s="34" customFormat="1" x14ac:dyDescent="0.35">
      <c r="E10088" s="35"/>
      <c r="J10088" s="41"/>
    </row>
    <row r="10089" spans="5:10" s="34" customFormat="1" x14ac:dyDescent="0.35">
      <c r="E10089" s="35"/>
      <c r="J10089" s="41"/>
    </row>
    <row r="10090" spans="5:10" s="34" customFormat="1" x14ac:dyDescent="0.35">
      <c r="E10090" s="35"/>
      <c r="J10090" s="41"/>
    </row>
    <row r="10091" spans="5:10" s="34" customFormat="1" x14ac:dyDescent="0.35">
      <c r="E10091" s="35"/>
      <c r="J10091" s="41"/>
    </row>
    <row r="10092" spans="5:10" s="34" customFormat="1" x14ac:dyDescent="0.35">
      <c r="E10092" s="35"/>
      <c r="J10092" s="41"/>
    </row>
    <row r="10093" spans="5:10" s="34" customFormat="1" x14ac:dyDescent="0.35">
      <c r="E10093" s="35"/>
      <c r="J10093" s="41"/>
    </row>
    <row r="10094" spans="5:10" s="34" customFormat="1" x14ac:dyDescent="0.35">
      <c r="E10094" s="35"/>
      <c r="J10094" s="41"/>
    </row>
    <row r="10095" spans="5:10" s="34" customFormat="1" x14ac:dyDescent="0.35">
      <c r="E10095" s="35"/>
      <c r="J10095" s="41"/>
    </row>
    <row r="10096" spans="5:10" s="34" customFormat="1" x14ac:dyDescent="0.35">
      <c r="E10096" s="35"/>
      <c r="J10096" s="41"/>
    </row>
    <row r="10097" spans="5:10" s="34" customFormat="1" x14ac:dyDescent="0.35">
      <c r="E10097" s="35"/>
      <c r="J10097" s="41"/>
    </row>
    <row r="10098" spans="5:10" s="34" customFormat="1" x14ac:dyDescent="0.35">
      <c r="E10098" s="35"/>
      <c r="J10098" s="41"/>
    </row>
    <row r="10099" spans="5:10" s="34" customFormat="1" x14ac:dyDescent="0.35">
      <c r="E10099" s="35"/>
      <c r="J10099" s="41"/>
    </row>
    <row r="10100" spans="5:10" s="34" customFormat="1" x14ac:dyDescent="0.35">
      <c r="E10100" s="35"/>
      <c r="J10100" s="41"/>
    </row>
    <row r="10101" spans="5:10" s="34" customFormat="1" x14ac:dyDescent="0.35">
      <c r="E10101" s="35"/>
      <c r="J10101" s="41"/>
    </row>
    <row r="10102" spans="5:10" s="34" customFormat="1" x14ac:dyDescent="0.35">
      <c r="E10102" s="35"/>
      <c r="J10102" s="41"/>
    </row>
    <row r="10103" spans="5:10" s="34" customFormat="1" x14ac:dyDescent="0.35">
      <c r="E10103" s="35"/>
      <c r="J10103" s="41"/>
    </row>
    <row r="10104" spans="5:10" s="34" customFormat="1" x14ac:dyDescent="0.35">
      <c r="E10104" s="35"/>
      <c r="J10104" s="41"/>
    </row>
    <row r="10105" spans="5:10" s="34" customFormat="1" x14ac:dyDescent="0.35">
      <c r="E10105" s="35"/>
      <c r="J10105" s="41"/>
    </row>
    <row r="10106" spans="5:10" s="34" customFormat="1" x14ac:dyDescent="0.35">
      <c r="E10106" s="35"/>
      <c r="J10106" s="41"/>
    </row>
    <row r="10107" spans="5:10" s="34" customFormat="1" x14ac:dyDescent="0.35">
      <c r="E10107" s="35"/>
      <c r="J10107" s="41"/>
    </row>
    <row r="10108" spans="5:10" s="34" customFormat="1" x14ac:dyDescent="0.35">
      <c r="E10108" s="35"/>
      <c r="J10108" s="41"/>
    </row>
    <row r="10109" spans="5:10" s="34" customFormat="1" x14ac:dyDescent="0.35">
      <c r="E10109" s="35"/>
      <c r="J10109" s="41"/>
    </row>
    <row r="10110" spans="5:10" s="34" customFormat="1" x14ac:dyDescent="0.35">
      <c r="E10110" s="35"/>
      <c r="J10110" s="41"/>
    </row>
    <row r="10111" spans="5:10" s="34" customFormat="1" x14ac:dyDescent="0.35">
      <c r="E10111" s="35"/>
      <c r="J10111" s="41"/>
    </row>
    <row r="10112" spans="5:10" s="34" customFormat="1" x14ac:dyDescent="0.35">
      <c r="E10112" s="35"/>
      <c r="J10112" s="41"/>
    </row>
    <row r="10113" spans="5:10" s="34" customFormat="1" x14ac:dyDescent="0.35">
      <c r="E10113" s="35"/>
      <c r="J10113" s="41"/>
    </row>
    <row r="10114" spans="5:10" s="34" customFormat="1" x14ac:dyDescent="0.35">
      <c r="E10114" s="35"/>
      <c r="J10114" s="41"/>
    </row>
    <row r="10115" spans="5:10" s="34" customFormat="1" x14ac:dyDescent="0.35">
      <c r="E10115" s="35"/>
      <c r="J10115" s="41"/>
    </row>
    <row r="10116" spans="5:10" s="34" customFormat="1" x14ac:dyDescent="0.35">
      <c r="E10116" s="35"/>
      <c r="J10116" s="41"/>
    </row>
    <row r="10117" spans="5:10" s="34" customFormat="1" x14ac:dyDescent="0.35">
      <c r="E10117" s="35"/>
      <c r="J10117" s="41"/>
    </row>
    <row r="10118" spans="5:10" s="34" customFormat="1" x14ac:dyDescent="0.35">
      <c r="E10118" s="35"/>
      <c r="J10118" s="41"/>
    </row>
    <row r="10119" spans="5:10" s="34" customFormat="1" x14ac:dyDescent="0.35">
      <c r="E10119" s="35"/>
      <c r="J10119" s="41"/>
    </row>
    <row r="10120" spans="5:10" s="34" customFormat="1" x14ac:dyDescent="0.35">
      <c r="E10120" s="35"/>
      <c r="J10120" s="41"/>
    </row>
    <row r="10121" spans="5:10" s="34" customFormat="1" x14ac:dyDescent="0.35">
      <c r="E10121" s="35"/>
      <c r="J10121" s="41"/>
    </row>
    <row r="10122" spans="5:10" s="34" customFormat="1" x14ac:dyDescent="0.35">
      <c r="E10122" s="35"/>
      <c r="J10122" s="41"/>
    </row>
    <row r="10123" spans="5:10" s="34" customFormat="1" x14ac:dyDescent="0.35">
      <c r="E10123" s="35"/>
      <c r="J10123" s="41"/>
    </row>
    <row r="10124" spans="5:10" s="34" customFormat="1" x14ac:dyDescent="0.35">
      <c r="E10124" s="35"/>
      <c r="J10124" s="41"/>
    </row>
    <row r="10125" spans="5:10" s="34" customFormat="1" x14ac:dyDescent="0.35">
      <c r="E10125" s="35"/>
      <c r="J10125" s="41"/>
    </row>
    <row r="10126" spans="5:10" s="34" customFormat="1" x14ac:dyDescent="0.35">
      <c r="E10126" s="35"/>
      <c r="J10126" s="41"/>
    </row>
    <row r="10127" spans="5:10" s="34" customFormat="1" x14ac:dyDescent="0.35">
      <c r="E10127" s="35"/>
      <c r="J10127" s="41"/>
    </row>
    <row r="10128" spans="5:10" s="34" customFormat="1" x14ac:dyDescent="0.35">
      <c r="E10128" s="35"/>
      <c r="J10128" s="41"/>
    </row>
    <row r="10129" spans="5:10" s="34" customFormat="1" x14ac:dyDescent="0.35">
      <c r="E10129" s="35"/>
      <c r="J10129" s="41"/>
    </row>
    <row r="10130" spans="5:10" s="34" customFormat="1" x14ac:dyDescent="0.35">
      <c r="E10130" s="35"/>
      <c r="J10130" s="41"/>
    </row>
    <row r="10131" spans="5:10" s="34" customFormat="1" x14ac:dyDescent="0.35">
      <c r="E10131" s="35"/>
      <c r="J10131" s="41"/>
    </row>
    <row r="10132" spans="5:10" s="34" customFormat="1" x14ac:dyDescent="0.35">
      <c r="E10132" s="35"/>
      <c r="J10132" s="41"/>
    </row>
    <row r="10133" spans="5:10" s="34" customFormat="1" x14ac:dyDescent="0.35">
      <c r="E10133" s="35"/>
      <c r="J10133" s="41"/>
    </row>
    <row r="10134" spans="5:10" s="34" customFormat="1" x14ac:dyDescent="0.35">
      <c r="E10134" s="35"/>
      <c r="J10134" s="41"/>
    </row>
    <row r="10135" spans="5:10" s="34" customFormat="1" x14ac:dyDescent="0.35">
      <c r="E10135" s="35"/>
      <c r="J10135" s="41"/>
    </row>
    <row r="10136" spans="5:10" s="34" customFormat="1" x14ac:dyDescent="0.35">
      <c r="E10136" s="35"/>
      <c r="J10136" s="41"/>
    </row>
    <row r="10137" spans="5:10" s="34" customFormat="1" x14ac:dyDescent="0.35">
      <c r="E10137" s="35"/>
      <c r="J10137" s="41"/>
    </row>
    <row r="10138" spans="5:10" s="34" customFormat="1" x14ac:dyDescent="0.35">
      <c r="E10138" s="35"/>
      <c r="J10138" s="41"/>
    </row>
    <row r="10139" spans="5:10" s="34" customFormat="1" x14ac:dyDescent="0.35">
      <c r="E10139" s="35"/>
      <c r="J10139" s="41"/>
    </row>
    <row r="10140" spans="5:10" s="34" customFormat="1" x14ac:dyDescent="0.35">
      <c r="E10140" s="35"/>
      <c r="J10140" s="41"/>
    </row>
    <row r="10141" spans="5:10" s="34" customFormat="1" x14ac:dyDescent="0.35">
      <c r="E10141" s="35"/>
      <c r="J10141" s="41"/>
    </row>
    <row r="10142" spans="5:10" s="34" customFormat="1" x14ac:dyDescent="0.35">
      <c r="E10142" s="35"/>
      <c r="J10142" s="41"/>
    </row>
    <row r="10143" spans="5:10" s="34" customFormat="1" x14ac:dyDescent="0.35">
      <c r="E10143" s="35"/>
      <c r="J10143" s="41"/>
    </row>
    <row r="10144" spans="5:10" s="34" customFormat="1" x14ac:dyDescent="0.35">
      <c r="E10144" s="35"/>
      <c r="J10144" s="41"/>
    </row>
    <row r="10145" spans="5:10" s="34" customFormat="1" x14ac:dyDescent="0.35">
      <c r="E10145" s="35"/>
      <c r="J10145" s="41"/>
    </row>
    <row r="10146" spans="5:10" s="34" customFormat="1" x14ac:dyDescent="0.35">
      <c r="E10146" s="35"/>
      <c r="J10146" s="41"/>
    </row>
    <row r="10147" spans="5:10" s="34" customFormat="1" x14ac:dyDescent="0.35">
      <c r="E10147" s="35"/>
      <c r="J10147" s="41"/>
    </row>
    <row r="10148" spans="5:10" s="34" customFormat="1" x14ac:dyDescent="0.35">
      <c r="E10148" s="35"/>
      <c r="J10148" s="41"/>
    </row>
    <row r="10149" spans="5:10" s="34" customFormat="1" x14ac:dyDescent="0.35">
      <c r="E10149" s="35"/>
      <c r="J10149" s="41"/>
    </row>
    <row r="10150" spans="5:10" s="34" customFormat="1" x14ac:dyDescent="0.35">
      <c r="E10150" s="35"/>
      <c r="J10150" s="41"/>
    </row>
    <row r="10151" spans="5:10" s="34" customFormat="1" x14ac:dyDescent="0.35">
      <c r="E10151" s="35"/>
      <c r="J10151" s="41"/>
    </row>
    <row r="10152" spans="5:10" s="34" customFormat="1" x14ac:dyDescent="0.35">
      <c r="E10152" s="35"/>
      <c r="J10152" s="41"/>
    </row>
    <row r="10153" spans="5:10" s="34" customFormat="1" x14ac:dyDescent="0.35">
      <c r="E10153" s="35"/>
      <c r="J10153" s="41"/>
    </row>
    <row r="10154" spans="5:10" s="34" customFormat="1" x14ac:dyDescent="0.35">
      <c r="E10154" s="35"/>
      <c r="J10154" s="41"/>
    </row>
    <row r="10155" spans="5:10" s="34" customFormat="1" x14ac:dyDescent="0.35">
      <c r="E10155" s="35"/>
      <c r="J10155" s="41"/>
    </row>
    <row r="10156" spans="5:10" s="34" customFormat="1" x14ac:dyDescent="0.35">
      <c r="E10156" s="35"/>
      <c r="J10156" s="41"/>
    </row>
    <row r="10157" spans="5:10" s="34" customFormat="1" x14ac:dyDescent="0.35">
      <c r="E10157" s="35"/>
      <c r="J10157" s="41"/>
    </row>
    <row r="10158" spans="5:10" s="34" customFormat="1" x14ac:dyDescent="0.35">
      <c r="E10158" s="35"/>
      <c r="J10158" s="41"/>
    </row>
    <row r="10159" spans="5:10" s="34" customFormat="1" x14ac:dyDescent="0.35">
      <c r="E10159" s="35"/>
      <c r="J10159" s="41"/>
    </row>
    <row r="10160" spans="5:10" s="34" customFormat="1" x14ac:dyDescent="0.35">
      <c r="E10160" s="35"/>
      <c r="J10160" s="41"/>
    </row>
    <row r="10161" spans="5:10" s="34" customFormat="1" x14ac:dyDescent="0.35">
      <c r="E10161" s="35"/>
      <c r="J10161" s="41"/>
    </row>
    <row r="10162" spans="5:10" s="34" customFormat="1" x14ac:dyDescent="0.35">
      <c r="E10162" s="35"/>
      <c r="J10162" s="41"/>
    </row>
    <row r="10163" spans="5:10" s="34" customFormat="1" x14ac:dyDescent="0.35">
      <c r="E10163" s="35"/>
      <c r="J10163" s="41"/>
    </row>
    <row r="10164" spans="5:10" s="34" customFormat="1" x14ac:dyDescent="0.35">
      <c r="E10164" s="35"/>
      <c r="J10164" s="41"/>
    </row>
    <row r="10165" spans="5:10" s="34" customFormat="1" x14ac:dyDescent="0.35">
      <c r="E10165" s="35"/>
      <c r="J10165" s="41"/>
    </row>
    <row r="10166" spans="5:10" s="34" customFormat="1" x14ac:dyDescent="0.35">
      <c r="E10166" s="35"/>
      <c r="J10166" s="41"/>
    </row>
    <row r="10167" spans="5:10" s="34" customFormat="1" x14ac:dyDescent="0.35">
      <c r="E10167" s="35"/>
      <c r="J10167" s="41"/>
    </row>
    <row r="10168" spans="5:10" s="34" customFormat="1" x14ac:dyDescent="0.35">
      <c r="E10168" s="35"/>
      <c r="J10168" s="41"/>
    </row>
    <row r="10169" spans="5:10" s="34" customFormat="1" x14ac:dyDescent="0.35">
      <c r="E10169" s="35"/>
      <c r="J10169" s="41"/>
    </row>
    <row r="10170" spans="5:10" s="34" customFormat="1" x14ac:dyDescent="0.35">
      <c r="E10170" s="35"/>
      <c r="J10170" s="41"/>
    </row>
    <row r="10171" spans="5:10" s="34" customFormat="1" x14ac:dyDescent="0.35">
      <c r="E10171" s="35"/>
      <c r="J10171" s="41"/>
    </row>
    <row r="10172" spans="5:10" s="34" customFormat="1" x14ac:dyDescent="0.35">
      <c r="E10172" s="35"/>
      <c r="J10172" s="41"/>
    </row>
    <row r="10173" spans="5:10" s="34" customFormat="1" x14ac:dyDescent="0.35">
      <c r="E10173" s="35"/>
      <c r="J10173" s="41"/>
    </row>
    <row r="10174" spans="5:10" s="34" customFormat="1" x14ac:dyDescent="0.35">
      <c r="E10174" s="35"/>
      <c r="J10174" s="41"/>
    </row>
    <row r="10175" spans="5:10" s="34" customFormat="1" x14ac:dyDescent="0.35">
      <c r="E10175" s="35"/>
      <c r="J10175" s="41"/>
    </row>
    <row r="10176" spans="5:10" s="34" customFormat="1" x14ac:dyDescent="0.35">
      <c r="E10176" s="35"/>
      <c r="J10176" s="41"/>
    </row>
    <row r="10177" spans="5:10" s="34" customFormat="1" x14ac:dyDescent="0.35">
      <c r="E10177" s="35"/>
      <c r="J10177" s="41"/>
    </row>
    <row r="10178" spans="5:10" s="34" customFormat="1" x14ac:dyDescent="0.35">
      <c r="E10178" s="35"/>
      <c r="J10178" s="41"/>
    </row>
    <row r="10179" spans="5:10" s="34" customFormat="1" x14ac:dyDescent="0.35">
      <c r="E10179" s="35"/>
      <c r="J10179" s="41"/>
    </row>
    <row r="10180" spans="5:10" s="34" customFormat="1" x14ac:dyDescent="0.35">
      <c r="E10180" s="35"/>
      <c r="J10180" s="41"/>
    </row>
    <row r="10181" spans="5:10" s="34" customFormat="1" x14ac:dyDescent="0.35">
      <c r="E10181" s="35"/>
      <c r="J10181" s="41"/>
    </row>
    <row r="10182" spans="5:10" s="34" customFormat="1" x14ac:dyDescent="0.35">
      <c r="E10182" s="35"/>
      <c r="J10182" s="41"/>
    </row>
    <row r="10183" spans="5:10" s="34" customFormat="1" x14ac:dyDescent="0.35">
      <c r="E10183" s="35"/>
      <c r="J10183" s="41"/>
    </row>
    <row r="10184" spans="5:10" s="34" customFormat="1" x14ac:dyDescent="0.35">
      <c r="E10184" s="35"/>
      <c r="J10184" s="41"/>
    </row>
    <row r="10185" spans="5:10" s="34" customFormat="1" x14ac:dyDescent="0.35">
      <c r="E10185" s="35"/>
      <c r="J10185" s="41"/>
    </row>
    <row r="10186" spans="5:10" s="34" customFormat="1" x14ac:dyDescent="0.35">
      <c r="E10186" s="35"/>
      <c r="J10186" s="41"/>
    </row>
    <row r="10187" spans="5:10" s="34" customFormat="1" x14ac:dyDescent="0.35">
      <c r="E10187" s="35"/>
      <c r="J10187" s="41"/>
    </row>
    <row r="10188" spans="5:10" s="34" customFormat="1" x14ac:dyDescent="0.35">
      <c r="E10188" s="35"/>
      <c r="J10188" s="41"/>
    </row>
    <row r="10189" spans="5:10" s="34" customFormat="1" x14ac:dyDescent="0.35">
      <c r="E10189" s="35"/>
      <c r="J10189" s="41"/>
    </row>
    <row r="10190" spans="5:10" s="34" customFormat="1" x14ac:dyDescent="0.35">
      <c r="E10190" s="35"/>
      <c r="J10190" s="41"/>
    </row>
    <row r="10191" spans="5:10" s="34" customFormat="1" x14ac:dyDescent="0.35">
      <c r="E10191" s="35"/>
      <c r="J10191" s="41"/>
    </row>
    <row r="10192" spans="5:10" s="34" customFormat="1" x14ac:dyDescent="0.35">
      <c r="E10192" s="35"/>
      <c r="J10192" s="41"/>
    </row>
    <row r="10193" spans="5:10" s="34" customFormat="1" x14ac:dyDescent="0.35">
      <c r="E10193" s="35"/>
      <c r="J10193" s="41"/>
    </row>
    <row r="10194" spans="5:10" s="34" customFormat="1" x14ac:dyDescent="0.35">
      <c r="E10194" s="35"/>
      <c r="J10194" s="41"/>
    </row>
    <row r="10195" spans="5:10" s="34" customFormat="1" x14ac:dyDescent="0.35">
      <c r="E10195" s="35"/>
      <c r="J10195" s="41"/>
    </row>
    <row r="10196" spans="5:10" s="34" customFormat="1" x14ac:dyDescent="0.35">
      <c r="E10196" s="35"/>
      <c r="J10196" s="41"/>
    </row>
    <row r="10197" spans="5:10" s="34" customFormat="1" x14ac:dyDescent="0.35">
      <c r="E10197" s="35"/>
      <c r="J10197" s="41"/>
    </row>
    <row r="10198" spans="5:10" s="34" customFormat="1" x14ac:dyDescent="0.35">
      <c r="E10198" s="35"/>
      <c r="J10198" s="41"/>
    </row>
    <row r="10199" spans="5:10" s="34" customFormat="1" x14ac:dyDescent="0.35">
      <c r="E10199" s="35"/>
      <c r="J10199" s="41"/>
    </row>
    <row r="10200" spans="5:10" s="34" customFormat="1" x14ac:dyDescent="0.35">
      <c r="E10200" s="35"/>
      <c r="J10200" s="41"/>
    </row>
    <row r="10201" spans="5:10" s="34" customFormat="1" x14ac:dyDescent="0.35">
      <c r="E10201" s="35"/>
      <c r="J10201" s="41"/>
    </row>
    <row r="10202" spans="5:10" s="34" customFormat="1" x14ac:dyDescent="0.35">
      <c r="E10202" s="35"/>
      <c r="J10202" s="41"/>
    </row>
    <row r="10203" spans="5:10" s="34" customFormat="1" x14ac:dyDescent="0.35">
      <c r="E10203" s="35"/>
      <c r="J10203" s="41"/>
    </row>
    <row r="10204" spans="5:10" s="34" customFormat="1" x14ac:dyDescent="0.35">
      <c r="E10204" s="35"/>
      <c r="J10204" s="41"/>
    </row>
    <row r="10205" spans="5:10" s="34" customFormat="1" x14ac:dyDescent="0.35">
      <c r="E10205" s="35"/>
      <c r="J10205" s="41"/>
    </row>
    <row r="10206" spans="5:10" s="34" customFormat="1" x14ac:dyDescent="0.35">
      <c r="E10206" s="35"/>
      <c r="J10206" s="41"/>
    </row>
    <row r="10207" spans="5:10" s="34" customFormat="1" x14ac:dyDescent="0.35">
      <c r="E10207" s="35"/>
      <c r="J10207" s="41"/>
    </row>
    <row r="10208" spans="5:10" s="34" customFormat="1" x14ac:dyDescent="0.35">
      <c r="E10208" s="35"/>
      <c r="J10208" s="41"/>
    </row>
    <row r="10209" spans="5:10" s="34" customFormat="1" x14ac:dyDescent="0.35">
      <c r="E10209" s="35"/>
      <c r="J10209" s="41"/>
    </row>
    <row r="10210" spans="5:10" s="34" customFormat="1" x14ac:dyDescent="0.35">
      <c r="E10210" s="35"/>
      <c r="J10210" s="41"/>
    </row>
    <row r="10211" spans="5:10" s="34" customFormat="1" x14ac:dyDescent="0.35">
      <c r="E10211" s="35"/>
      <c r="J10211" s="41"/>
    </row>
    <row r="10212" spans="5:10" s="34" customFormat="1" x14ac:dyDescent="0.35">
      <c r="E10212" s="35"/>
      <c r="J10212" s="41"/>
    </row>
    <row r="10213" spans="5:10" s="34" customFormat="1" x14ac:dyDescent="0.35">
      <c r="E10213" s="35"/>
      <c r="J10213" s="41"/>
    </row>
    <row r="10214" spans="5:10" s="34" customFormat="1" x14ac:dyDescent="0.35">
      <c r="E10214" s="35"/>
      <c r="J10214" s="41"/>
    </row>
    <row r="10215" spans="5:10" s="34" customFormat="1" x14ac:dyDescent="0.35">
      <c r="E10215" s="35"/>
      <c r="J10215" s="41"/>
    </row>
    <row r="10216" spans="5:10" s="34" customFormat="1" x14ac:dyDescent="0.35">
      <c r="E10216" s="35"/>
      <c r="J10216" s="41"/>
    </row>
    <row r="10217" spans="5:10" s="34" customFormat="1" x14ac:dyDescent="0.35">
      <c r="E10217" s="35"/>
      <c r="J10217" s="41"/>
    </row>
    <row r="10218" spans="5:10" s="34" customFormat="1" x14ac:dyDescent="0.35">
      <c r="E10218" s="35"/>
      <c r="J10218" s="41"/>
    </row>
    <row r="10219" spans="5:10" s="34" customFormat="1" x14ac:dyDescent="0.35">
      <c r="E10219" s="35"/>
      <c r="J10219" s="41"/>
    </row>
    <row r="10220" spans="5:10" s="34" customFormat="1" x14ac:dyDescent="0.35">
      <c r="E10220" s="35"/>
      <c r="J10220" s="41"/>
    </row>
    <row r="10221" spans="5:10" s="34" customFormat="1" x14ac:dyDescent="0.35">
      <c r="E10221" s="35"/>
      <c r="J10221" s="41"/>
    </row>
    <row r="10222" spans="5:10" s="34" customFormat="1" x14ac:dyDescent="0.35">
      <c r="E10222" s="35"/>
      <c r="J10222" s="41"/>
    </row>
    <row r="10223" spans="5:10" s="34" customFormat="1" x14ac:dyDescent="0.35">
      <c r="E10223" s="35"/>
      <c r="J10223" s="41"/>
    </row>
    <row r="10224" spans="5:10" s="34" customFormat="1" x14ac:dyDescent="0.35">
      <c r="E10224" s="35"/>
      <c r="J10224" s="41"/>
    </row>
    <row r="10225" spans="5:10" s="34" customFormat="1" x14ac:dyDescent="0.35">
      <c r="E10225" s="35"/>
      <c r="J10225" s="41"/>
    </row>
    <row r="10226" spans="5:10" s="34" customFormat="1" x14ac:dyDescent="0.35">
      <c r="E10226" s="35"/>
      <c r="J10226" s="41"/>
    </row>
    <row r="10227" spans="5:10" s="34" customFormat="1" x14ac:dyDescent="0.35">
      <c r="E10227" s="35"/>
      <c r="J10227" s="41"/>
    </row>
    <row r="10228" spans="5:10" s="34" customFormat="1" x14ac:dyDescent="0.35">
      <c r="E10228" s="35"/>
      <c r="J10228" s="41"/>
    </row>
    <row r="10229" spans="5:10" s="34" customFormat="1" x14ac:dyDescent="0.35">
      <c r="E10229" s="35"/>
      <c r="J10229" s="41"/>
    </row>
    <row r="10230" spans="5:10" s="34" customFormat="1" x14ac:dyDescent="0.35">
      <c r="E10230" s="35"/>
      <c r="J10230" s="41"/>
    </row>
    <row r="10231" spans="5:10" s="34" customFormat="1" x14ac:dyDescent="0.35">
      <c r="E10231" s="35"/>
      <c r="J10231" s="41"/>
    </row>
    <row r="10232" spans="5:10" s="34" customFormat="1" x14ac:dyDescent="0.35">
      <c r="E10232" s="35"/>
      <c r="J10232" s="41"/>
    </row>
    <row r="10233" spans="5:10" s="34" customFormat="1" x14ac:dyDescent="0.35">
      <c r="E10233" s="35"/>
      <c r="J10233" s="41"/>
    </row>
    <row r="10234" spans="5:10" s="34" customFormat="1" x14ac:dyDescent="0.35">
      <c r="E10234" s="35"/>
      <c r="J10234" s="41"/>
    </row>
    <row r="10235" spans="5:10" s="34" customFormat="1" x14ac:dyDescent="0.35">
      <c r="E10235" s="35"/>
      <c r="J10235" s="41"/>
    </row>
    <row r="10236" spans="5:10" s="34" customFormat="1" x14ac:dyDescent="0.35">
      <c r="E10236" s="35"/>
      <c r="J10236" s="41"/>
    </row>
    <row r="10237" spans="5:10" s="34" customFormat="1" x14ac:dyDescent="0.35">
      <c r="E10237" s="35"/>
      <c r="J10237" s="41"/>
    </row>
    <row r="10238" spans="5:10" s="34" customFormat="1" x14ac:dyDescent="0.35">
      <c r="E10238" s="35"/>
      <c r="J10238" s="41"/>
    </row>
    <row r="10239" spans="5:10" s="34" customFormat="1" x14ac:dyDescent="0.35">
      <c r="E10239" s="35"/>
      <c r="J10239" s="41"/>
    </row>
    <row r="10240" spans="5:10" s="34" customFormat="1" x14ac:dyDescent="0.35">
      <c r="E10240" s="35"/>
      <c r="J10240" s="41"/>
    </row>
    <row r="10241" spans="5:10" s="34" customFormat="1" x14ac:dyDescent="0.35">
      <c r="E10241" s="35"/>
      <c r="J10241" s="41"/>
    </row>
    <row r="10242" spans="5:10" s="34" customFormat="1" x14ac:dyDescent="0.35">
      <c r="E10242" s="35"/>
      <c r="J10242" s="41"/>
    </row>
    <row r="10243" spans="5:10" s="34" customFormat="1" x14ac:dyDescent="0.35">
      <c r="E10243" s="35"/>
      <c r="J10243" s="41"/>
    </row>
    <row r="10244" spans="5:10" s="34" customFormat="1" x14ac:dyDescent="0.35">
      <c r="E10244" s="35"/>
      <c r="J10244" s="41"/>
    </row>
    <row r="10245" spans="5:10" s="34" customFormat="1" x14ac:dyDescent="0.35">
      <c r="E10245" s="35"/>
      <c r="J10245" s="41"/>
    </row>
    <row r="10246" spans="5:10" s="34" customFormat="1" x14ac:dyDescent="0.35">
      <c r="E10246" s="35"/>
      <c r="J10246" s="41"/>
    </row>
    <row r="10247" spans="5:10" s="34" customFormat="1" x14ac:dyDescent="0.35">
      <c r="E10247" s="35"/>
      <c r="J10247" s="41"/>
    </row>
    <row r="10248" spans="5:10" s="34" customFormat="1" x14ac:dyDescent="0.35">
      <c r="E10248" s="35"/>
      <c r="J10248" s="41"/>
    </row>
    <row r="10249" spans="5:10" s="34" customFormat="1" x14ac:dyDescent="0.35">
      <c r="E10249" s="35"/>
      <c r="J10249" s="41"/>
    </row>
    <row r="10250" spans="5:10" s="34" customFormat="1" x14ac:dyDescent="0.35">
      <c r="E10250" s="35"/>
      <c r="J10250" s="41"/>
    </row>
    <row r="10251" spans="5:10" s="34" customFormat="1" x14ac:dyDescent="0.35">
      <c r="E10251" s="35"/>
      <c r="J10251" s="41"/>
    </row>
    <row r="10252" spans="5:10" s="34" customFormat="1" x14ac:dyDescent="0.35">
      <c r="E10252" s="35"/>
      <c r="J10252" s="41"/>
    </row>
    <row r="10253" spans="5:10" s="34" customFormat="1" x14ac:dyDescent="0.35">
      <c r="E10253" s="35"/>
      <c r="J10253" s="41"/>
    </row>
    <row r="10254" spans="5:10" s="34" customFormat="1" x14ac:dyDescent="0.35">
      <c r="E10254" s="35"/>
      <c r="J10254" s="41"/>
    </row>
    <row r="10255" spans="5:10" s="34" customFormat="1" x14ac:dyDescent="0.35">
      <c r="E10255" s="35"/>
      <c r="J10255" s="41"/>
    </row>
    <row r="10256" spans="5:10" s="34" customFormat="1" x14ac:dyDescent="0.35">
      <c r="E10256" s="35"/>
      <c r="J10256" s="41"/>
    </row>
    <row r="10257" spans="5:10" s="34" customFormat="1" x14ac:dyDescent="0.35">
      <c r="E10257" s="35"/>
      <c r="J10257" s="41"/>
    </row>
    <row r="10258" spans="5:10" s="34" customFormat="1" x14ac:dyDescent="0.35">
      <c r="E10258" s="35"/>
      <c r="J10258" s="41"/>
    </row>
    <row r="10259" spans="5:10" s="34" customFormat="1" x14ac:dyDescent="0.35">
      <c r="E10259" s="35"/>
      <c r="J10259" s="41"/>
    </row>
    <row r="10260" spans="5:10" s="34" customFormat="1" x14ac:dyDescent="0.35">
      <c r="E10260" s="35"/>
      <c r="J10260" s="41"/>
    </row>
    <row r="10261" spans="5:10" s="34" customFormat="1" x14ac:dyDescent="0.35">
      <c r="E10261" s="35"/>
      <c r="J10261" s="41"/>
    </row>
    <row r="10262" spans="5:10" s="34" customFormat="1" x14ac:dyDescent="0.35">
      <c r="E10262" s="35"/>
      <c r="J10262" s="41"/>
    </row>
    <row r="10263" spans="5:10" s="34" customFormat="1" x14ac:dyDescent="0.35">
      <c r="E10263" s="35"/>
      <c r="J10263" s="41"/>
    </row>
    <row r="10264" spans="5:10" s="34" customFormat="1" x14ac:dyDescent="0.35">
      <c r="E10264" s="35"/>
      <c r="J10264" s="41"/>
    </row>
    <row r="10265" spans="5:10" s="34" customFormat="1" x14ac:dyDescent="0.35">
      <c r="E10265" s="35"/>
      <c r="J10265" s="41"/>
    </row>
    <row r="10266" spans="5:10" s="34" customFormat="1" x14ac:dyDescent="0.35">
      <c r="E10266" s="35"/>
      <c r="J10266" s="41"/>
    </row>
    <row r="10267" spans="5:10" s="34" customFormat="1" x14ac:dyDescent="0.35">
      <c r="E10267" s="35"/>
      <c r="J10267" s="41"/>
    </row>
    <row r="10268" spans="5:10" s="34" customFormat="1" x14ac:dyDescent="0.35">
      <c r="E10268" s="35"/>
      <c r="J10268" s="41"/>
    </row>
    <row r="10269" spans="5:10" s="34" customFormat="1" x14ac:dyDescent="0.35">
      <c r="E10269" s="35"/>
      <c r="J10269" s="41"/>
    </row>
    <row r="10270" spans="5:10" s="34" customFormat="1" x14ac:dyDescent="0.35">
      <c r="E10270" s="35"/>
      <c r="J10270" s="41"/>
    </row>
    <row r="10271" spans="5:10" s="34" customFormat="1" x14ac:dyDescent="0.35">
      <c r="E10271" s="35"/>
      <c r="J10271" s="41"/>
    </row>
    <row r="10272" spans="5:10" s="34" customFormat="1" x14ac:dyDescent="0.35">
      <c r="E10272" s="35"/>
      <c r="J10272" s="41"/>
    </row>
    <row r="10273" spans="5:10" s="34" customFormat="1" x14ac:dyDescent="0.35">
      <c r="E10273" s="35"/>
      <c r="J10273" s="41"/>
    </row>
    <row r="10274" spans="5:10" s="34" customFormat="1" x14ac:dyDescent="0.35">
      <c r="E10274" s="35"/>
      <c r="J10274" s="41"/>
    </row>
    <row r="10275" spans="5:10" s="34" customFormat="1" x14ac:dyDescent="0.35">
      <c r="E10275" s="35"/>
      <c r="J10275" s="41"/>
    </row>
    <row r="10276" spans="5:10" s="34" customFormat="1" x14ac:dyDescent="0.35">
      <c r="E10276" s="35"/>
      <c r="J10276" s="41"/>
    </row>
    <row r="10277" spans="5:10" s="34" customFormat="1" x14ac:dyDescent="0.35">
      <c r="E10277" s="35"/>
      <c r="J10277" s="41"/>
    </row>
    <row r="10278" spans="5:10" s="34" customFormat="1" x14ac:dyDescent="0.35">
      <c r="E10278" s="35"/>
      <c r="J10278" s="41"/>
    </row>
    <row r="10279" spans="5:10" s="34" customFormat="1" x14ac:dyDescent="0.35">
      <c r="E10279" s="35"/>
      <c r="J10279" s="41"/>
    </row>
    <row r="10280" spans="5:10" s="34" customFormat="1" x14ac:dyDescent="0.35">
      <c r="E10280" s="35"/>
      <c r="J10280" s="41"/>
    </row>
    <row r="10281" spans="5:10" s="34" customFormat="1" x14ac:dyDescent="0.35">
      <c r="E10281" s="35"/>
      <c r="J10281" s="41"/>
    </row>
    <row r="10282" spans="5:10" s="34" customFormat="1" x14ac:dyDescent="0.35">
      <c r="E10282" s="35"/>
      <c r="J10282" s="41"/>
    </row>
    <row r="10283" spans="5:10" s="34" customFormat="1" x14ac:dyDescent="0.35">
      <c r="E10283" s="35"/>
      <c r="J10283" s="41"/>
    </row>
    <row r="10284" spans="5:10" s="34" customFormat="1" x14ac:dyDescent="0.35">
      <c r="E10284" s="35"/>
      <c r="J10284" s="41"/>
    </row>
    <row r="10285" spans="5:10" s="34" customFormat="1" x14ac:dyDescent="0.35">
      <c r="E10285" s="35"/>
      <c r="J10285" s="41"/>
    </row>
    <row r="10286" spans="5:10" s="34" customFormat="1" x14ac:dyDescent="0.35">
      <c r="E10286" s="35"/>
      <c r="J10286" s="41"/>
    </row>
    <row r="10287" spans="5:10" s="34" customFormat="1" x14ac:dyDescent="0.35">
      <c r="E10287" s="35"/>
      <c r="J10287" s="41"/>
    </row>
    <row r="10288" spans="5:10" s="34" customFormat="1" x14ac:dyDescent="0.35">
      <c r="E10288" s="35"/>
      <c r="J10288" s="41"/>
    </row>
    <row r="10289" spans="5:10" s="34" customFormat="1" x14ac:dyDescent="0.35">
      <c r="E10289" s="35"/>
      <c r="J10289" s="41"/>
    </row>
    <row r="10290" spans="5:10" s="34" customFormat="1" x14ac:dyDescent="0.35">
      <c r="E10290" s="35"/>
      <c r="J10290" s="41"/>
    </row>
    <row r="10291" spans="5:10" s="34" customFormat="1" x14ac:dyDescent="0.35">
      <c r="E10291" s="35"/>
      <c r="J10291" s="41"/>
    </row>
    <row r="10292" spans="5:10" s="34" customFormat="1" x14ac:dyDescent="0.35">
      <c r="E10292" s="35"/>
      <c r="J10292" s="41"/>
    </row>
    <row r="10293" spans="5:10" s="34" customFormat="1" x14ac:dyDescent="0.35">
      <c r="E10293" s="35"/>
      <c r="J10293" s="41"/>
    </row>
    <row r="10294" spans="5:10" s="34" customFormat="1" x14ac:dyDescent="0.35">
      <c r="E10294" s="35"/>
      <c r="J10294" s="41"/>
    </row>
    <row r="10295" spans="5:10" s="34" customFormat="1" x14ac:dyDescent="0.35">
      <c r="E10295" s="35"/>
      <c r="J10295" s="41"/>
    </row>
    <row r="10296" spans="5:10" s="34" customFormat="1" x14ac:dyDescent="0.35">
      <c r="E10296" s="35"/>
      <c r="J10296" s="41"/>
    </row>
    <row r="10297" spans="5:10" s="34" customFormat="1" x14ac:dyDescent="0.35">
      <c r="E10297" s="35"/>
      <c r="J10297" s="41"/>
    </row>
    <row r="10298" spans="5:10" s="34" customFormat="1" x14ac:dyDescent="0.35">
      <c r="E10298" s="35"/>
      <c r="J10298" s="41"/>
    </row>
    <row r="10299" spans="5:10" s="34" customFormat="1" x14ac:dyDescent="0.35">
      <c r="E10299" s="35"/>
      <c r="J10299" s="41"/>
    </row>
    <row r="10300" spans="5:10" s="34" customFormat="1" x14ac:dyDescent="0.35">
      <c r="E10300" s="35"/>
      <c r="J10300" s="41"/>
    </row>
    <row r="10301" spans="5:10" s="34" customFormat="1" x14ac:dyDescent="0.35">
      <c r="E10301" s="35"/>
      <c r="J10301" s="41"/>
    </row>
    <row r="10302" spans="5:10" s="34" customFormat="1" x14ac:dyDescent="0.35">
      <c r="E10302" s="35"/>
      <c r="J10302" s="41"/>
    </row>
    <row r="10303" spans="5:10" s="34" customFormat="1" x14ac:dyDescent="0.35">
      <c r="E10303" s="35"/>
      <c r="J10303" s="41"/>
    </row>
    <row r="10304" spans="5:10" s="34" customFormat="1" x14ac:dyDescent="0.35">
      <c r="E10304" s="35"/>
      <c r="J10304" s="41"/>
    </row>
    <row r="10305" spans="5:10" s="34" customFormat="1" x14ac:dyDescent="0.35">
      <c r="E10305" s="35"/>
      <c r="J10305" s="41"/>
    </row>
    <row r="10306" spans="5:10" s="34" customFormat="1" x14ac:dyDescent="0.35">
      <c r="E10306" s="35"/>
      <c r="J10306" s="41"/>
    </row>
    <row r="10307" spans="5:10" s="34" customFormat="1" x14ac:dyDescent="0.35">
      <c r="E10307" s="35"/>
      <c r="J10307" s="41"/>
    </row>
    <row r="10308" spans="5:10" s="34" customFormat="1" x14ac:dyDescent="0.35">
      <c r="E10308" s="35"/>
      <c r="J10308" s="41"/>
    </row>
    <row r="10309" spans="5:10" s="34" customFormat="1" x14ac:dyDescent="0.35">
      <c r="E10309" s="35"/>
      <c r="J10309" s="41"/>
    </row>
    <row r="10310" spans="5:10" s="34" customFormat="1" x14ac:dyDescent="0.35">
      <c r="E10310" s="35"/>
      <c r="J10310" s="41"/>
    </row>
    <row r="10311" spans="5:10" s="34" customFormat="1" x14ac:dyDescent="0.35">
      <c r="E10311" s="35"/>
      <c r="J10311" s="41"/>
    </row>
    <row r="10312" spans="5:10" s="34" customFormat="1" x14ac:dyDescent="0.35">
      <c r="E10312" s="35"/>
      <c r="J10312" s="41"/>
    </row>
    <row r="10313" spans="5:10" s="34" customFormat="1" x14ac:dyDescent="0.35">
      <c r="E10313" s="35"/>
      <c r="J10313" s="41"/>
    </row>
    <row r="10314" spans="5:10" s="34" customFormat="1" x14ac:dyDescent="0.35">
      <c r="E10314" s="35"/>
      <c r="J10314" s="41"/>
    </row>
    <row r="10315" spans="5:10" s="34" customFormat="1" x14ac:dyDescent="0.35">
      <c r="E10315" s="35"/>
      <c r="J10315" s="41"/>
    </row>
    <row r="10316" spans="5:10" s="34" customFormat="1" x14ac:dyDescent="0.35">
      <c r="E10316" s="35"/>
      <c r="J10316" s="41"/>
    </row>
    <row r="10317" spans="5:10" s="34" customFormat="1" x14ac:dyDescent="0.35">
      <c r="E10317" s="35"/>
      <c r="J10317" s="41"/>
    </row>
    <row r="10318" spans="5:10" s="34" customFormat="1" x14ac:dyDescent="0.35">
      <c r="E10318" s="35"/>
      <c r="J10318" s="41"/>
    </row>
    <row r="10319" spans="5:10" s="34" customFormat="1" x14ac:dyDescent="0.35">
      <c r="E10319" s="35"/>
      <c r="J10319" s="41"/>
    </row>
    <row r="10320" spans="5:10" s="34" customFormat="1" x14ac:dyDescent="0.35">
      <c r="E10320" s="35"/>
      <c r="J10320" s="41"/>
    </row>
    <row r="10321" spans="5:10" s="34" customFormat="1" x14ac:dyDescent="0.35">
      <c r="E10321" s="35"/>
      <c r="J10321" s="41"/>
    </row>
    <row r="10322" spans="5:10" s="34" customFormat="1" x14ac:dyDescent="0.35">
      <c r="E10322" s="35"/>
      <c r="J10322" s="41"/>
    </row>
    <row r="10323" spans="5:10" s="34" customFormat="1" x14ac:dyDescent="0.35">
      <c r="E10323" s="35"/>
      <c r="J10323" s="41"/>
    </row>
    <row r="10324" spans="5:10" s="34" customFormat="1" x14ac:dyDescent="0.35">
      <c r="E10324" s="35"/>
      <c r="J10324" s="41"/>
    </row>
    <row r="10325" spans="5:10" s="34" customFormat="1" x14ac:dyDescent="0.35">
      <c r="E10325" s="35"/>
      <c r="J10325" s="41"/>
    </row>
    <row r="10326" spans="5:10" s="34" customFormat="1" x14ac:dyDescent="0.35">
      <c r="E10326" s="35"/>
      <c r="J10326" s="41"/>
    </row>
    <row r="10327" spans="5:10" s="34" customFormat="1" x14ac:dyDescent="0.35">
      <c r="E10327" s="35"/>
      <c r="J10327" s="41"/>
    </row>
    <row r="10328" spans="5:10" s="34" customFormat="1" x14ac:dyDescent="0.35">
      <c r="E10328" s="35"/>
      <c r="J10328" s="41"/>
    </row>
    <row r="10329" spans="5:10" s="34" customFormat="1" x14ac:dyDescent="0.35">
      <c r="E10329" s="35"/>
      <c r="J10329" s="41"/>
    </row>
    <row r="10330" spans="5:10" s="34" customFormat="1" x14ac:dyDescent="0.35">
      <c r="E10330" s="35"/>
      <c r="J10330" s="41"/>
    </row>
    <row r="10331" spans="5:10" s="34" customFormat="1" x14ac:dyDescent="0.35">
      <c r="E10331" s="35"/>
      <c r="J10331" s="41"/>
    </row>
    <row r="10332" spans="5:10" s="34" customFormat="1" x14ac:dyDescent="0.35">
      <c r="E10332" s="35"/>
      <c r="J10332" s="41"/>
    </row>
    <row r="10333" spans="5:10" s="34" customFormat="1" x14ac:dyDescent="0.35">
      <c r="E10333" s="35"/>
      <c r="J10333" s="41"/>
    </row>
    <row r="10334" spans="5:10" s="34" customFormat="1" x14ac:dyDescent="0.35">
      <c r="E10334" s="35"/>
      <c r="J10334" s="41"/>
    </row>
    <row r="10335" spans="5:10" s="34" customFormat="1" x14ac:dyDescent="0.35">
      <c r="E10335" s="35"/>
      <c r="J10335" s="41"/>
    </row>
    <row r="10336" spans="5:10" s="34" customFormat="1" x14ac:dyDescent="0.35">
      <c r="E10336" s="35"/>
      <c r="J10336" s="41"/>
    </row>
    <row r="10337" spans="5:10" s="34" customFormat="1" x14ac:dyDescent="0.35">
      <c r="E10337" s="35"/>
      <c r="J10337" s="41"/>
    </row>
    <row r="10338" spans="5:10" s="34" customFormat="1" x14ac:dyDescent="0.35">
      <c r="E10338" s="35"/>
      <c r="J10338" s="41"/>
    </row>
    <row r="10339" spans="5:10" s="34" customFormat="1" x14ac:dyDescent="0.35">
      <c r="E10339" s="35"/>
      <c r="J10339" s="41"/>
    </row>
    <row r="10340" spans="5:10" s="34" customFormat="1" x14ac:dyDescent="0.35">
      <c r="E10340" s="35"/>
      <c r="J10340" s="41"/>
    </row>
    <row r="10341" spans="5:10" s="34" customFormat="1" x14ac:dyDescent="0.35">
      <c r="E10341" s="35"/>
      <c r="J10341" s="41"/>
    </row>
    <row r="10342" spans="5:10" s="34" customFormat="1" x14ac:dyDescent="0.35">
      <c r="E10342" s="35"/>
      <c r="J10342" s="41"/>
    </row>
    <row r="10343" spans="5:10" s="34" customFormat="1" x14ac:dyDescent="0.35">
      <c r="E10343" s="35"/>
      <c r="J10343" s="41"/>
    </row>
    <row r="10344" spans="5:10" s="34" customFormat="1" x14ac:dyDescent="0.35">
      <c r="E10344" s="35"/>
      <c r="J10344" s="41"/>
    </row>
    <row r="10345" spans="5:10" s="34" customFormat="1" x14ac:dyDescent="0.35">
      <c r="E10345" s="35"/>
      <c r="J10345" s="41"/>
    </row>
    <row r="10346" spans="5:10" s="34" customFormat="1" x14ac:dyDescent="0.35">
      <c r="E10346" s="35"/>
      <c r="J10346" s="41"/>
    </row>
    <row r="10347" spans="5:10" s="34" customFormat="1" x14ac:dyDescent="0.35">
      <c r="E10347" s="35"/>
      <c r="J10347" s="41"/>
    </row>
    <row r="10348" spans="5:10" s="34" customFormat="1" x14ac:dyDescent="0.35">
      <c r="E10348" s="35"/>
      <c r="J10348" s="41"/>
    </row>
    <row r="10349" spans="5:10" s="34" customFormat="1" x14ac:dyDescent="0.35">
      <c r="E10349" s="35"/>
      <c r="J10349" s="41"/>
    </row>
    <row r="10350" spans="5:10" s="34" customFormat="1" x14ac:dyDescent="0.35">
      <c r="E10350" s="35"/>
      <c r="J10350" s="41"/>
    </row>
    <row r="10351" spans="5:10" s="34" customFormat="1" x14ac:dyDescent="0.35">
      <c r="E10351" s="35"/>
      <c r="J10351" s="41"/>
    </row>
    <row r="10352" spans="5:10" s="34" customFormat="1" x14ac:dyDescent="0.35">
      <c r="E10352" s="35"/>
      <c r="J10352" s="41"/>
    </row>
    <row r="10353" spans="5:10" s="34" customFormat="1" x14ac:dyDescent="0.35">
      <c r="E10353" s="35"/>
      <c r="J10353" s="41"/>
    </row>
    <row r="10354" spans="5:10" s="34" customFormat="1" x14ac:dyDescent="0.35">
      <c r="E10354" s="35"/>
      <c r="J10354" s="41"/>
    </row>
    <row r="10355" spans="5:10" s="34" customFormat="1" x14ac:dyDescent="0.35">
      <c r="E10355" s="35"/>
      <c r="J10355" s="41"/>
    </row>
    <row r="10356" spans="5:10" s="34" customFormat="1" x14ac:dyDescent="0.35">
      <c r="E10356" s="35"/>
      <c r="J10356" s="41"/>
    </row>
    <row r="10357" spans="5:10" s="34" customFormat="1" x14ac:dyDescent="0.35">
      <c r="E10357" s="35"/>
      <c r="J10357" s="41"/>
    </row>
    <row r="10358" spans="5:10" s="34" customFormat="1" x14ac:dyDescent="0.35">
      <c r="E10358" s="35"/>
      <c r="J10358" s="41"/>
    </row>
    <row r="10359" spans="5:10" s="34" customFormat="1" x14ac:dyDescent="0.35">
      <c r="E10359" s="35"/>
      <c r="J10359" s="41"/>
    </row>
    <row r="10360" spans="5:10" s="34" customFormat="1" x14ac:dyDescent="0.35">
      <c r="E10360" s="35"/>
      <c r="J10360" s="41"/>
    </row>
    <row r="10361" spans="5:10" s="34" customFormat="1" x14ac:dyDescent="0.35">
      <c r="E10361" s="35"/>
      <c r="J10361" s="41"/>
    </row>
    <row r="10362" spans="5:10" s="34" customFormat="1" x14ac:dyDescent="0.35">
      <c r="E10362" s="35"/>
      <c r="J10362" s="41"/>
    </row>
    <row r="10363" spans="5:10" s="34" customFormat="1" x14ac:dyDescent="0.35">
      <c r="E10363" s="35"/>
      <c r="J10363" s="41"/>
    </row>
    <row r="10364" spans="5:10" s="34" customFormat="1" x14ac:dyDescent="0.35">
      <c r="E10364" s="35"/>
      <c r="J10364" s="41"/>
    </row>
    <row r="10365" spans="5:10" s="34" customFormat="1" x14ac:dyDescent="0.35">
      <c r="E10365" s="35"/>
      <c r="J10365" s="41"/>
    </row>
    <row r="10366" spans="5:10" s="34" customFormat="1" x14ac:dyDescent="0.35">
      <c r="E10366" s="35"/>
      <c r="J10366" s="41"/>
    </row>
    <row r="10367" spans="5:10" s="34" customFormat="1" x14ac:dyDescent="0.35">
      <c r="E10367" s="35"/>
      <c r="J10367" s="41"/>
    </row>
    <row r="10368" spans="5:10" s="34" customFormat="1" x14ac:dyDescent="0.35">
      <c r="E10368" s="35"/>
      <c r="J10368" s="41"/>
    </row>
    <row r="10369" spans="5:10" s="34" customFormat="1" x14ac:dyDescent="0.35">
      <c r="E10369" s="35"/>
      <c r="J10369" s="41"/>
    </row>
    <row r="10370" spans="5:10" s="34" customFormat="1" x14ac:dyDescent="0.35">
      <c r="E10370" s="35"/>
      <c r="J10370" s="41"/>
    </row>
    <row r="10371" spans="5:10" s="34" customFormat="1" x14ac:dyDescent="0.35">
      <c r="E10371" s="35"/>
      <c r="J10371" s="41"/>
    </row>
    <row r="10372" spans="5:10" s="34" customFormat="1" x14ac:dyDescent="0.35">
      <c r="E10372" s="35"/>
      <c r="J10372" s="41"/>
    </row>
    <row r="10373" spans="5:10" s="34" customFormat="1" x14ac:dyDescent="0.35">
      <c r="E10373" s="35"/>
      <c r="J10373" s="41"/>
    </row>
    <row r="10374" spans="5:10" s="34" customFormat="1" x14ac:dyDescent="0.35">
      <c r="E10374" s="35"/>
      <c r="J10374" s="41"/>
    </row>
    <row r="10375" spans="5:10" s="34" customFormat="1" x14ac:dyDescent="0.35">
      <c r="E10375" s="35"/>
      <c r="J10375" s="41"/>
    </row>
    <row r="10376" spans="5:10" s="34" customFormat="1" x14ac:dyDescent="0.35">
      <c r="E10376" s="35"/>
      <c r="J10376" s="41"/>
    </row>
    <row r="10377" spans="5:10" s="34" customFormat="1" x14ac:dyDescent="0.35">
      <c r="E10377" s="35"/>
      <c r="J10377" s="41"/>
    </row>
    <row r="10378" spans="5:10" s="34" customFormat="1" x14ac:dyDescent="0.35">
      <c r="E10378" s="35"/>
      <c r="J10378" s="41"/>
    </row>
    <row r="10379" spans="5:10" s="34" customFormat="1" x14ac:dyDescent="0.35">
      <c r="E10379" s="35"/>
      <c r="J10379" s="41"/>
    </row>
    <row r="10380" spans="5:10" s="34" customFormat="1" x14ac:dyDescent="0.35">
      <c r="E10380" s="35"/>
      <c r="J10380" s="41"/>
    </row>
    <row r="10381" spans="5:10" s="34" customFormat="1" x14ac:dyDescent="0.35">
      <c r="E10381" s="35"/>
      <c r="J10381" s="41"/>
    </row>
    <row r="10382" spans="5:10" s="34" customFormat="1" x14ac:dyDescent="0.35">
      <c r="E10382" s="35"/>
      <c r="J10382" s="41"/>
    </row>
    <row r="10383" spans="5:10" s="34" customFormat="1" x14ac:dyDescent="0.35">
      <c r="E10383" s="35"/>
      <c r="J10383" s="41"/>
    </row>
    <row r="10384" spans="5:10" s="34" customFormat="1" x14ac:dyDescent="0.35">
      <c r="E10384" s="35"/>
      <c r="J10384" s="41"/>
    </row>
    <row r="10385" spans="5:10" s="34" customFormat="1" x14ac:dyDescent="0.35">
      <c r="E10385" s="35"/>
      <c r="J10385" s="41"/>
    </row>
    <row r="10386" spans="5:10" s="34" customFormat="1" x14ac:dyDescent="0.35">
      <c r="E10386" s="35"/>
      <c r="J10386" s="41"/>
    </row>
    <row r="10387" spans="5:10" s="34" customFormat="1" x14ac:dyDescent="0.35">
      <c r="E10387" s="35"/>
      <c r="J10387" s="41"/>
    </row>
    <row r="10388" spans="5:10" s="34" customFormat="1" x14ac:dyDescent="0.35">
      <c r="E10388" s="35"/>
      <c r="J10388" s="41"/>
    </row>
    <row r="10389" spans="5:10" s="34" customFormat="1" x14ac:dyDescent="0.35">
      <c r="E10389" s="35"/>
      <c r="J10389" s="41"/>
    </row>
    <row r="10390" spans="5:10" s="34" customFormat="1" x14ac:dyDescent="0.35">
      <c r="E10390" s="35"/>
      <c r="J10390" s="41"/>
    </row>
    <row r="10391" spans="5:10" s="34" customFormat="1" x14ac:dyDescent="0.35">
      <c r="E10391" s="35"/>
      <c r="J10391" s="41"/>
    </row>
    <row r="10392" spans="5:10" s="34" customFormat="1" x14ac:dyDescent="0.35">
      <c r="E10392" s="35"/>
      <c r="J10392" s="41"/>
    </row>
    <row r="10393" spans="5:10" s="34" customFormat="1" x14ac:dyDescent="0.35">
      <c r="E10393" s="35"/>
      <c r="J10393" s="41"/>
    </row>
    <row r="10394" spans="5:10" s="34" customFormat="1" x14ac:dyDescent="0.35">
      <c r="E10394" s="35"/>
      <c r="J10394" s="41"/>
    </row>
    <row r="10395" spans="5:10" s="34" customFormat="1" x14ac:dyDescent="0.35">
      <c r="E10395" s="35"/>
      <c r="J10395" s="41"/>
    </row>
    <row r="10396" spans="5:10" s="34" customFormat="1" x14ac:dyDescent="0.35">
      <c r="E10396" s="35"/>
      <c r="J10396" s="41"/>
    </row>
    <row r="10397" spans="5:10" s="34" customFormat="1" x14ac:dyDescent="0.35">
      <c r="E10397" s="35"/>
      <c r="J10397" s="41"/>
    </row>
    <row r="10398" spans="5:10" s="34" customFormat="1" x14ac:dyDescent="0.35">
      <c r="E10398" s="35"/>
      <c r="J10398" s="41"/>
    </row>
    <row r="10399" spans="5:10" s="34" customFormat="1" x14ac:dyDescent="0.35">
      <c r="E10399" s="35"/>
      <c r="J10399" s="41"/>
    </row>
    <row r="10400" spans="5:10" s="34" customFormat="1" x14ac:dyDescent="0.35">
      <c r="E10400" s="35"/>
      <c r="J10400" s="41"/>
    </row>
    <row r="10401" spans="5:10" s="34" customFormat="1" x14ac:dyDescent="0.35">
      <c r="E10401" s="35"/>
      <c r="J10401" s="41"/>
    </row>
    <row r="10402" spans="5:10" s="34" customFormat="1" x14ac:dyDescent="0.35">
      <c r="E10402" s="35"/>
      <c r="J10402" s="41"/>
    </row>
    <row r="10403" spans="5:10" s="34" customFormat="1" x14ac:dyDescent="0.35">
      <c r="E10403" s="35"/>
      <c r="J10403" s="41"/>
    </row>
    <row r="10404" spans="5:10" s="34" customFormat="1" x14ac:dyDescent="0.35">
      <c r="E10404" s="35"/>
      <c r="J10404" s="41"/>
    </row>
    <row r="10405" spans="5:10" s="34" customFormat="1" x14ac:dyDescent="0.35">
      <c r="E10405" s="35"/>
      <c r="J10405" s="41"/>
    </row>
    <row r="10406" spans="5:10" s="34" customFormat="1" x14ac:dyDescent="0.35">
      <c r="E10406" s="35"/>
      <c r="J10406" s="41"/>
    </row>
    <row r="10407" spans="5:10" s="34" customFormat="1" x14ac:dyDescent="0.35">
      <c r="E10407" s="35"/>
      <c r="J10407" s="41"/>
    </row>
    <row r="10408" spans="5:10" s="34" customFormat="1" x14ac:dyDescent="0.35">
      <c r="E10408" s="35"/>
      <c r="J10408" s="41"/>
    </row>
    <row r="10409" spans="5:10" s="34" customFormat="1" x14ac:dyDescent="0.35">
      <c r="E10409" s="35"/>
      <c r="J10409" s="41"/>
    </row>
    <row r="10410" spans="5:10" s="34" customFormat="1" x14ac:dyDescent="0.35">
      <c r="E10410" s="35"/>
      <c r="J10410" s="41"/>
    </row>
    <row r="10411" spans="5:10" s="34" customFormat="1" x14ac:dyDescent="0.35">
      <c r="E10411" s="35"/>
      <c r="J10411" s="41"/>
    </row>
    <row r="10412" spans="5:10" s="34" customFormat="1" x14ac:dyDescent="0.35">
      <c r="E10412" s="35"/>
      <c r="J10412" s="41"/>
    </row>
    <row r="10413" spans="5:10" s="34" customFormat="1" x14ac:dyDescent="0.35">
      <c r="E10413" s="35"/>
      <c r="J10413" s="41"/>
    </row>
    <row r="10414" spans="5:10" s="34" customFormat="1" x14ac:dyDescent="0.35">
      <c r="E10414" s="35"/>
      <c r="J10414" s="41"/>
    </row>
    <row r="10415" spans="5:10" s="34" customFormat="1" x14ac:dyDescent="0.35">
      <c r="E10415" s="35"/>
      <c r="J10415" s="41"/>
    </row>
    <row r="10416" spans="5:10" s="34" customFormat="1" x14ac:dyDescent="0.35">
      <c r="E10416" s="35"/>
      <c r="J10416" s="41"/>
    </row>
    <row r="10417" spans="5:10" s="34" customFormat="1" x14ac:dyDescent="0.35">
      <c r="E10417" s="35"/>
      <c r="J10417" s="41"/>
    </row>
    <row r="10418" spans="5:10" s="34" customFormat="1" x14ac:dyDescent="0.35">
      <c r="E10418" s="35"/>
      <c r="J10418" s="41"/>
    </row>
    <row r="10419" spans="5:10" s="34" customFormat="1" x14ac:dyDescent="0.35">
      <c r="E10419" s="35"/>
      <c r="J10419" s="41"/>
    </row>
    <row r="10420" spans="5:10" s="34" customFormat="1" x14ac:dyDescent="0.35">
      <c r="E10420" s="35"/>
      <c r="J10420" s="41"/>
    </row>
    <row r="10421" spans="5:10" s="34" customFormat="1" x14ac:dyDescent="0.35">
      <c r="E10421" s="35"/>
      <c r="J10421" s="41"/>
    </row>
    <row r="10422" spans="5:10" s="34" customFormat="1" x14ac:dyDescent="0.35">
      <c r="E10422" s="35"/>
      <c r="J10422" s="41"/>
    </row>
    <row r="10423" spans="5:10" s="34" customFormat="1" x14ac:dyDescent="0.35">
      <c r="E10423" s="35"/>
      <c r="J10423" s="41"/>
    </row>
    <row r="10424" spans="5:10" s="34" customFormat="1" x14ac:dyDescent="0.35">
      <c r="E10424" s="35"/>
      <c r="J10424" s="41"/>
    </row>
    <row r="10425" spans="5:10" s="34" customFormat="1" x14ac:dyDescent="0.35">
      <c r="E10425" s="35"/>
      <c r="J10425" s="41"/>
    </row>
    <row r="10426" spans="5:10" s="34" customFormat="1" x14ac:dyDescent="0.35">
      <c r="E10426" s="35"/>
      <c r="J10426" s="41"/>
    </row>
    <row r="10427" spans="5:10" s="34" customFormat="1" x14ac:dyDescent="0.35">
      <c r="E10427" s="35"/>
      <c r="J10427" s="41"/>
    </row>
    <row r="10428" spans="5:10" s="34" customFormat="1" x14ac:dyDescent="0.35">
      <c r="E10428" s="35"/>
      <c r="J10428" s="41"/>
    </row>
    <row r="10429" spans="5:10" s="34" customFormat="1" x14ac:dyDescent="0.35">
      <c r="E10429" s="35"/>
      <c r="J10429" s="41"/>
    </row>
    <row r="10430" spans="5:10" s="34" customFormat="1" x14ac:dyDescent="0.35">
      <c r="E10430" s="35"/>
      <c r="J10430" s="41"/>
    </row>
    <row r="10431" spans="5:10" s="34" customFormat="1" x14ac:dyDescent="0.35">
      <c r="E10431" s="35"/>
      <c r="J10431" s="41"/>
    </row>
    <row r="10432" spans="5:10" s="34" customFormat="1" x14ac:dyDescent="0.35">
      <c r="E10432" s="35"/>
      <c r="J10432" s="41"/>
    </row>
    <row r="10433" spans="5:10" s="34" customFormat="1" x14ac:dyDescent="0.35">
      <c r="E10433" s="35"/>
      <c r="J10433" s="41"/>
    </row>
    <row r="10434" spans="5:10" s="34" customFormat="1" x14ac:dyDescent="0.35">
      <c r="E10434" s="35"/>
      <c r="J10434" s="41"/>
    </row>
    <row r="10435" spans="5:10" s="34" customFormat="1" x14ac:dyDescent="0.35">
      <c r="E10435" s="35"/>
      <c r="J10435" s="41"/>
    </row>
    <row r="10436" spans="5:10" s="34" customFormat="1" x14ac:dyDescent="0.35">
      <c r="E10436" s="35"/>
      <c r="J10436" s="41"/>
    </row>
    <row r="10437" spans="5:10" s="34" customFormat="1" x14ac:dyDescent="0.35">
      <c r="E10437" s="35"/>
      <c r="J10437" s="41"/>
    </row>
    <row r="10438" spans="5:10" s="34" customFormat="1" x14ac:dyDescent="0.35">
      <c r="E10438" s="35"/>
      <c r="J10438" s="41"/>
    </row>
    <row r="10439" spans="5:10" s="34" customFormat="1" x14ac:dyDescent="0.35">
      <c r="E10439" s="35"/>
      <c r="J10439" s="41"/>
    </row>
    <row r="10440" spans="5:10" s="34" customFormat="1" x14ac:dyDescent="0.35">
      <c r="E10440" s="35"/>
      <c r="J10440" s="41"/>
    </row>
    <row r="10441" spans="5:10" s="34" customFormat="1" x14ac:dyDescent="0.35">
      <c r="E10441" s="35"/>
      <c r="J10441" s="41"/>
    </row>
    <row r="10442" spans="5:10" s="34" customFormat="1" x14ac:dyDescent="0.35">
      <c r="E10442" s="35"/>
      <c r="J10442" s="41"/>
    </row>
    <row r="10443" spans="5:10" s="34" customFormat="1" x14ac:dyDescent="0.35">
      <c r="E10443" s="35"/>
      <c r="J10443" s="41"/>
    </row>
    <row r="10444" spans="5:10" s="34" customFormat="1" x14ac:dyDescent="0.35">
      <c r="E10444" s="35"/>
      <c r="J10444" s="41"/>
    </row>
    <row r="10445" spans="5:10" s="34" customFormat="1" x14ac:dyDescent="0.35">
      <c r="E10445" s="35"/>
      <c r="J10445" s="41"/>
    </row>
    <row r="10446" spans="5:10" s="34" customFormat="1" x14ac:dyDescent="0.35">
      <c r="E10446" s="35"/>
      <c r="J10446" s="41"/>
    </row>
    <row r="10447" spans="5:10" s="34" customFormat="1" x14ac:dyDescent="0.35">
      <c r="E10447" s="35"/>
      <c r="J10447" s="41"/>
    </row>
    <row r="10448" spans="5:10" s="34" customFormat="1" x14ac:dyDescent="0.35">
      <c r="E10448" s="35"/>
      <c r="J10448" s="41"/>
    </row>
    <row r="10449" spans="5:10" s="34" customFormat="1" x14ac:dyDescent="0.35">
      <c r="E10449" s="35"/>
      <c r="J10449" s="41"/>
    </row>
    <row r="10450" spans="5:10" s="34" customFormat="1" x14ac:dyDescent="0.35">
      <c r="E10450" s="35"/>
      <c r="J10450" s="41"/>
    </row>
    <row r="10451" spans="5:10" s="34" customFormat="1" x14ac:dyDescent="0.35">
      <c r="E10451" s="35"/>
      <c r="J10451" s="41"/>
    </row>
    <row r="10452" spans="5:10" s="34" customFormat="1" x14ac:dyDescent="0.35">
      <c r="E10452" s="35"/>
      <c r="J10452" s="41"/>
    </row>
    <row r="10453" spans="5:10" s="34" customFormat="1" x14ac:dyDescent="0.35">
      <c r="E10453" s="35"/>
      <c r="J10453" s="41"/>
    </row>
    <row r="10454" spans="5:10" s="34" customFormat="1" x14ac:dyDescent="0.35">
      <c r="E10454" s="35"/>
      <c r="J10454" s="41"/>
    </row>
    <row r="10455" spans="5:10" s="34" customFormat="1" x14ac:dyDescent="0.35">
      <c r="E10455" s="35"/>
      <c r="J10455" s="41"/>
    </row>
    <row r="10456" spans="5:10" s="34" customFormat="1" x14ac:dyDescent="0.35">
      <c r="E10456" s="35"/>
      <c r="J10456" s="41"/>
    </row>
    <row r="10457" spans="5:10" s="34" customFormat="1" x14ac:dyDescent="0.35">
      <c r="E10457" s="35"/>
      <c r="J10457" s="41"/>
    </row>
    <row r="10458" spans="5:10" s="34" customFormat="1" x14ac:dyDescent="0.35">
      <c r="E10458" s="35"/>
      <c r="J10458" s="41"/>
    </row>
    <row r="10459" spans="5:10" s="34" customFormat="1" x14ac:dyDescent="0.35">
      <c r="E10459" s="35"/>
      <c r="J10459" s="41"/>
    </row>
    <row r="10460" spans="5:10" s="34" customFormat="1" x14ac:dyDescent="0.35">
      <c r="E10460" s="35"/>
      <c r="J10460" s="41"/>
    </row>
    <row r="10461" spans="5:10" s="34" customFormat="1" x14ac:dyDescent="0.35">
      <c r="E10461" s="35"/>
      <c r="J10461" s="41"/>
    </row>
    <row r="10462" spans="5:10" s="34" customFormat="1" x14ac:dyDescent="0.35">
      <c r="E10462" s="35"/>
      <c r="J10462" s="41"/>
    </row>
    <row r="10463" spans="5:10" s="34" customFormat="1" x14ac:dyDescent="0.35">
      <c r="E10463" s="35"/>
      <c r="J10463" s="41"/>
    </row>
    <row r="10464" spans="5:10" s="34" customFormat="1" x14ac:dyDescent="0.35">
      <c r="E10464" s="35"/>
      <c r="J10464" s="41"/>
    </row>
    <row r="10465" spans="5:10" s="34" customFormat="1" x14ac:dyDescent="0.35">
      <c r="E10465" s="35"/>
      <c r="J10465" s="41"/>
    </row>
    <row r="10466" spans="5:10" s="34" customFormat="1" x14ac:dyDescent="0.35">
      <c r="E10466" s="35"/>
      <c r="J10466" s="41"/>
    </row>
    <row r="10467" spans="5:10" s="34" customFormat="1" x14ac:dyDescent="0.35">
      <c r="E10467" s="35"/>
      <c r="J10467" s="41"/>
    </row>
    <row r="10468" spans="5:10" s="34" customFormat="1" x14ac:dyDescent="0.35">
      <c r="E10468" s="35"/>
      <c r="J10468" s="41"/>
    </row>
    <row r="10469" spans="5:10" s="34" customFormat="1" x14ac:dyDescent="0.35">
      <c r="E10469" s="35"/>
      <c r="J10469" s="41"/>
    </row>
    <row r="10470" spans="5:10" s="34" customFormat="1" x14ac:dyDescent="0.35">
      <c r="E10470" s="35"/>
      <c r="J10470" s="41"/>
    </row>
    <row r="10471" spans="5:10" s="34" customFormat="1" x14ac:dyDescent="0.35">
      <c r="E10471" s="35"/>
      <c r="J10471" s="41"/>
    </row>
    <row r="10472" spans="5:10" s="34" customFormat="1" x14ac:dyDescent="0.35">
      <c r="E10472" s="35"/>
      <c r="J10472" s="41"/>
    </row>
    <row r="10473" spans="5:10" s="34" customFormat="1" x14ac:dyDescent="0.35">
      <c r="E10473" s="35"/>
      <c r="J10473" s="41"/>
    </row>
    <row r="10474" spans="5:10" s="34" customFormat="1" x14ac:dyDescent="0.35">
      <c r="E10474" s="35"/>
      <c r="J10474" s="41"/>
    </row>
    <row r="10475" spans="5:10" s="34" customFormat="1" x14ac:dyDescent="0.35">
      <c r="E10475" s="35"/>
      <c r="J10475" s="41"/>
    </row>
    <row r="10476" spans="5:10" s="34" customFormat="1" x14ac:dyDescent="0.35">
      <c r="E10476" s="35"/>
      <c r="J10476" s="41"/>
    </row>
    <row r="10477" spans="5:10" s="34" customFormat="1" x14ac:dyDescent="0.35">
      <c r="E10477" s="35"/>
      <c r="J10477" s="41"/>
    </row>
    <row r="10478" spans="5:10" s="34" customFormat="1" x14ac:dyDescent="0.35">
      <c r="E10478" s="35"/>
      <c r="J10478" s="41"/>
    </row>
    <row r="10479" spans="5:10" s="34" customFormat="1" x14ac:dyDescent="0.35">
      <c r="E10479" s="35"/>
      <c r="J10479" s="41"/>
    </row>
    <row r="10480" spans="5:10" s="34" customFormat="1" x14ac:dyDescent="0.35">
      <c r="E10480" s="35"/>
      <c r="J10480" s="41"/>
    </row>
    <row r="10481" spans="5:10" s="34" customFormat="1" x14ac:dyDescent="0.35">
      <c r="E10481" s="35"/>
      <c r="J10481" s="41"/>
    </row>
    <row r="10482" spans="5:10" s="34" customFormat="1" x14ac:dyDescent="0.35">
      <c r="E10482" s="35"/>
      <c r="J10482" s="41"/>
    </row>
    <row r="10483" spans="5:10" s="34" customFormat="1" x14ac:dyDescent="0.35">
      <c r="E10483" s="35"/>
      <c r="J10483" s="41"/>
    </row>
    <row r="10484" spans="5:10" s="34" customFormat="1" x14ac:dyDescent="0.35">
      <c r="E10484" s="35"/>
      <c r="J10484" s="41"/>
    </row>
    <row r="10485" spans="5:10" s="34" customFormat="1" x14ac:dyDescent="0.35">
      <c r="E10485" s="35"/>
      <c r="J10485" s="41"/>
    </row>
    <row r="10486" spans="5:10" s="34" customFormat="1" x14ac:dyDescent="0.35">
      <c r="E10486" s="35"/>
      <c r="J10486" s="41"/>
    </row>
    <row r="10487" spans="5:10" s="34" customFormat="1" x14ac:dyDescent="0.35">
      <c r="E10487" s="35"/>
      <c r="J10487" s="41"/>
    </row>
    <row r="10488" spans="5:10" s="34" customFormat="1" x14ac:dyDescent="0.35">
      <c r="E10488" s="35"/>
      <c r="J10488" s="41"/>
    </row>
    <row r="10489" spans="5:10" s="34" customFormat="1" x14ac:dyDescent="0.35">
      <c r="E10489" s="35"/>
      <c r="J10489" s="41"/>
    </row>
    <row r="10490" spans="5:10" s="34" customFormat="1" x14ac:dyDescent="0.35">
      <c r="E10490" s="35"/>
      <c r="J10490" s="41"/>
    </row>
    <row r="10491" spans="5:10" s="34" customFormat="1" x14ac:dyDescent="0.35">
      <c r="E10491" s="35"/>
      <c r="J10491" s="41"/>
    </row>
    <row r="10492" spans="5:10" s="34" customFormat="1" x14ac:dyDescent="0.35">
      <c r="E10492" s="35"/>
      <c r="J10492" s="41"/>
    </row>
    <row r="10493" spans="5:10" s="34" customFormat="1" x14ac:dyDescent="0.35">
      <c r="E10493" s="35"/>
      <c r="J10493" s="41"/>
    </row>
    <row r="10494" spans="5:10" s="34" customFormat="1" x14ac:dyDescent="0.35">
      <c r="E10494" s="35"/>
      <c r="J10494" s="41"/>
    </row>
    <row r="10495" spans="5:10" s="34" customFormat="1" x14ac:dyDescent="0.35">
      <c r="E10495" s="35"/>
      <c r="J10495" s="41"/>
    </row>
    <row r="10496" spans="5:10" s="34" customFormat="1" x14ac:dyDescent="0.35">
      <c r="E10496" s="35"/>
      <c r="J10496" s="41"/>
    </row>
    <row r="10497" spans="5:10" s="34" customFormat="1" x14ac:dyDescent="0.35">
      <c r="E10497" s="35"/>
      <c r="J10497" s="41"/>
    </row>
    <row r="10498" spans="5:10" s="34" customFormat="1" x14ac:dyDescent="0.35">
      <c r="E10498" s="35"/>
      <c r="J10498" s="41"/>
    </row>
    <row r="10499" spans="5:10" s="34" customFormat="1" x14ac:dyDescent="0.35">
      <c r="E10499" s="35"/>
      <c r="J10499" s="41"/>
    </row>
    <row r="10500" spans="5:10" s="34" customFormat="1" x14ac:dyDescent="0.35">
      <c r="E10500" s="35"/>
      <c r="J10500" s="41"/>
    </row>
    <row r="10501" spans="5:10" s="34" customFormat="1" x14ac:dyDescent="0.35">
      <c r="E10501" s="35"/>
      <c r="J10501" s="41"/>
    </row>
    <row r="10502" spans="5:10" s="34" customFormat="1" x14ac:dyDescent="0.35">
      <c r="E10502" s="35"/>
      <c r="J10502" s="41"/>
    </row>
    <row r="10503" spans="5:10" s="34" customFormat="1" x14ac:dyDescent="0.35">
      <c r="E10503" s="35"/>
      <c r="J10503" s="41"/>
    </row>
    <row r="10504" spans="5:10" s="34" customFormat="1" x14ac:dyDescent="0.35">
      <c r="E10504" s="35"/>
      <c r="J10504" s="41"/>
    </row>
    <row r="10505" spans="5:10" s="34" customFormat="1" x14ac:dyDescent="0.35">
      <c r="E10505" s="35"/>
      <c r="J10505" s="41"/>
    </row>
    <row r="10506" spans="5:10" s="34" customFormat="1" x14ac:dyDescent="0.35">
      <c r="E10506" s="35"/>
      <c r="J10506" s="41"/>
    </row>
    <row r="10507" spans="5:10" s="34" customFormat="1" x14ac:dyDescent="0.35">
      <c r="E10507" s="35"/>
      <c r="J10507" s="41"/>
    </row>
    <row r="10508" spans="5:10" s="34" customFormat="1" x14ac:dyDescent="0.35">
      <c r="E10508" s="35"/>
      <c r="J10508" s="41"/>
    </row>
    <row r="10509" spans="5:10" s="34" customFormat="1" x14ac:dyDescent="0.35">
      <c r="E10509" s="35"/>
      <c r="J10509" s="41"/>
    </row>
    <row r="10510" spans="5:10" s="34" customFormat="1" x14ac:dyDescent="0.35">
      <c r="E10510" s="35"/>
      <c r="J10510" s="41"/>
    </row>
    <row r="10511" spans="5:10" s="34" customFormat="1" x14ac:dyDescent="0.35">
      <c r="E10511" s="35"/>
      <c r="J10511" s="41"/>
    </row>
    <row r="10512" spans="5:10" s="34" customFormat="1" x14ac:dyDescent="0.35">
      <c r="E10512" s="35"/>
      <c r="J10512" s="41"/>
    </row>
    <row r="10513" spans="5:10" s="34" customFormat="1" x14ac:dyDescent="0.35">
      <c r="E10513" s="35"/>
      <c r="J10513" s="41"/>
    </row>
    <row r="10514" spans="5:10" s="34" customFormat="1" x14ac:dyDescent="0.35">
      <c r="E10514" s="35"/>
      <c r="J10514" s="41"/>
    </row>
    <row r="10515" spans="5:10" s="34" customFormat="1" x14ac:dyDescent="0.35">
      <c r="E10515" s="35"/>
      <c r="J10515" s="41"/>
    </row>
    <row r="10516" spans="5:10" s="34" customFormat="1" x14ac:dyDescent="0.35">
      <c r="E10516" s="35"/>
      <c r="J10516" s="41"/>
    </row>
    <row r="10517" spans="5:10" s="34" customFormat="1" x14ac:dyDescent="0.35">
      <c r="E10517" s="35"/>
      <c r="J10517" s="41"/>
    </row>
    <row r="10518" spans="5:10" s="34" customFormat="1" x14ac:dyDescent="0.35">
      <c r="E10518" s="35"/>
      <c r="J10518" s="41"/>
    </row>
    <row r="10519" spans="5:10" s="34" customFormat="1" x14ac:dyDescent="0.35">
      <c r="E10519" s="35"/>
      <c r="J10519" s="41"/>
    </row>
    <row r="10520" spans="5:10" s="34" customFormat="1" x14ac:dyDescent="0.35">
      <c r="E10520" s="35"/>
      <c r="J10520" s="41"/>
    </row>
    <row r="10521" spans="5:10" s="34" customFormat="1" x14ac:dyDescent="0.35">
      <c r="E10521" s="35"/>
      <c r="J10521" s="41"/>
    </row>
    <row r="10522" spans="5:10" s="34" customFormat="1" x14ac:dyDescent="0.35">
      <c r="E10522" s="35"/>
      <c r="J10522" s="41"/>
    </row>
    <row r="10523" spans="5:10" s="34" customFormat="1" x14ac:dyDescent="0.35">
      <c r="E10523" s="35"/>
      <c r="J10523" s="41"/>
    </row>
    <row r="10524" spans="5:10" s="34" customFormat="1" x14ac:dyDescent="0.35">
      <c r="E10524" s="35"/>
      <c r="J10524" s="41"/>
    </row>
    <row r="10525" spans="5:10" s="34" customFormat="1" x14ac:dyDescent="0.35">
      <c r="E10525" s="35"/>
      <c r="J10525" s="41"/>
    </row>
    <row r="10526" spans="5:10" s="34" customFormat="1" x14ac:dyDescent="0.35">
      <c r="E10526" s="35"/>
      <c r="J10526" s="41"/>
    </row>
    <row r="10527" spans="5:10" s="34" customFormat="1" x14ac:dyDescent="0.35">
      <c r="E10527" s="35"/>
      <c r="J10527" s="41"/>
    </row>
    <row r="10528" spans="5:10" s="34" customFormat="1" x14ac:dyDescent="0.35">
      <c r="E10528" s="35"/>
      <c r="J10528" s="41"/>
    </row>
    <row r="10529" spans="5:10" s="34" customFormat="1" x14ac:dyDescent="0.35">
      <c r="E10529" s="35"/>
      <c r="J10529" s="41"/>
    </row>
    <row r="10530" spans="5:10" s="34" customFormat="1" x14ac:dyDescent="0.35">
      <c r="E10530" s="35"/>
      <c r="J10530" s="41"/>
    </row>
    <row r="10531" spans="5:10" s="34" customFormat="1" x14ac:dyDescent="0.35">
      <c r="E10531" s="35"/>
      <c r="J10531" s="41"/>
    </row>
    <row r="10532" spans="5:10" s="34" customFormat="1" x14ac:dyDescent="0.35">
      <c r="E10532" s="35"/>
      <c r="J10532" s="41"/>
    </row>
    <row r="10533" spans="5:10" s="34" customFormat="1" x14ac:dyDescent="0.35">
      <c r="E10533" s="35"/>
      <c r="J10533" s="41"/>
    </row>
    <row r="10534" spans="5:10" s="34" customFormat="1" x14ac:dyDescent="0.35">
      <c r="E10534" s="35"/>
      <c r="J10534" s="41"/>
    </row>
    <row r="10535" spans="5:10" s="34" customFormat="1" x14ac:dyDescent="0.35">
      <c r="E10535" s="35"/>
      <c r="J10535" s="41"/>
    </row>
    <row r="10536" spans="5:10" s="34" customFormat="1" x14ac:dyDescent="0.35">
      <c r="E10536" s="35"/>
      <c r="J10536" s="41"/>
    </row>
    <row r="10537" spans="5:10" s="34" customFormat="1" x14ac:dyDescent="0.35">
      <c r="E10537" s="35"/>
      <c r="J10537" s="41"/>
    </row>
    <row r="10538" spans="5:10" s="34" customFormat="1" x14ac:dyDescent="0.35">
      <c r="E10538" s="35"/>
      <c r="J10538" s="41"/>
    </row>
    <row r="10539" spans="5:10" s="34" customFormat="1" x14ac:dyDescent="0.35">
      <c r="E10539" s="35"/>
      <c r="J10539" s="41"/>
    </row>
    <row r="10540" spans="5:10" s="34" customFormat="1" x14ac:dyDescent="0.35">
      <c r="E10540" s="35"/>
      <c r="J10540" s="41"/>
    </row>
    <row r="10541" spans="5:10" s="34" customFormat="1" x14ac:dyDescent="0.35">
      <c r="E10541" s="35"/>
      <c r="J10541" s="41"/>
    </row>
    <row r="10542" spans="5:10" s="34" customFormat="1" x14ac:dyDescent="0.35">
      <c r="E10542" s="35"/>
      <c r="J10542" s="41"/>
    </row>
    <row r="10543" spans="5:10" s="34" customFormat="1" x14ac:dyDescent="0.35">
      <c r="E10543" s="35"/>
      <c r="J10543" s="41"/>
    </row>
    <row r="10544" spans="5:10" s="34" customFormat="1" x14ac:dyDescent="0.35">
      <c r="E10544" s="35"/>
      <c r="J10544" s="41"/>
    </row>
    <row r="10545" spans="5:10" s="34" customFormat="1" x14ac:dyDescent="0.35">
      <c r="E10545" s="35"/>
      <c r="J10545" s="41"/>
    </row>
    <row r="10546" spans="5:10" s="34" customFormat="1" x14ac:dyDescent="0.35">
      <c r="E10546" s="35"/>
      <c r="J10546" s="41"/>
    </row>
    <row r="10547" spans="5:10" s="34" customFormat="1" x14ac:dyDescent="0.35">
      <c r="E10547" s="35"/>
      <c r="J10547" s="41"/>
    </row>
    <row r="10548" spans="5:10" s="34" customFormat="1" x14ac:dyDescent="0.35">
      <c r="E10548" s="35"/>
      <c r="J10548" s="41"/>
    </row>
    <row r="10549" spans="5:10" s="34" customFormat="1" x14ac:dyDescent="0.35">
      <c r="E10549" s="35"/>
      <c r="J10549" s="41"/>
    </row>
    <row r="10550" spans="5:10" s="34" customFormat="1" x14ac:dyDescent="0.35">
      <c r="E10550" s="35"/>
      <c r="J10550" s="41"/>
    </row>
    <row r="10551" spans="5:10" s="34" customFormat="1" x14ac:dyDescent="0.35">
      <c r="E10551" s="35"/>
      <c r="J10551" s="41"/>
    </row>
    <row r="10552" spans="5:10" s="34" customFormat="1" x14ac:dyDescent="0.35">
      <c r="E10552" s="35"/>
      <c r="J10552" s="41"/>
    </row>
    <row r="10553" spans="5:10" s="34" customFormat="1" x14ac:dyDescent="0.35">
      <c r="E10553" s="35"/>
      <c r="J10553" s="41"/>
    </row>
    <row r="10554" spans="5:10" s="34" customFormat="1" x14ac:dyDescent="0.35">
      <c r="E10554" s="35"/>
      <c r="J10554" s="41"/>
    </row>
    <row r="10555" spans="5:10" s="34" customFormat="1" x14ac:dyDescent="0.35">
      <c r="E10555" s="35"/>
      <c r="J10555" s="41"/>
    </row>
    <row r="10556" spans="5:10" s="34" customFormat="1" x14ac:dyDescent="0.35">
      <c r="E10556" s="35"/>
      <c r="J10556" s="41"/>
    </row>
    <row r="10557" spans="5:10" s="34" customFormat="1" x14ac:dyDescent="0.35">
      <c r="E10557" s="35"/>
      <c r="J10557" s="41"/>
    </row>
    <row r="10558" spans="5:10" s="34" customFormat="1" x14ac:dyDescent="0.35">
      <c r="E10558" s="35"/>
      <c r="J10558" s="41"/>
    </row>
    <row r="10559" spans="5:10" s="34" customFormat="1" x14ac:dyDescent="0.35">
      <c r="E10559" s="35"/>
      <c r="J10559" s="41"/>
    </row>
    <row r="10560" spans="5:10" s="34" customFormat="1" x14ac:dyDescent="0.35">
      <c r="E10560" s="35"/>
      <c r="J10560" s="41"/>
    </row>
    <row r="10561" spans="5:10" s="34" customFormat="1" x14ac:dyDescent="0.35">
      <c r="E10561" s="35"/>
      <c r="J10561" s="41"/>
    </row>
    <row r="10562" spans="5:10" s="34" customFormat="1" x14ac:dyDescent="0.35">
      <c r="E10562" s="35"/>
      <c r="J10562" s="41"/>
    </row>
    <row r="10563" spans="5:10" s="34" customFormat="1" x14ac:dyDescent="0.35">
      <c r="E10563" s="35"/>
      <c r="J10563" s="41"/>
    </row>
    <row r="10564" spans="5:10" s="34" customFormat="1" x14ac:dyDescent="0.35">
      <c r="E10564" s="35"/>
      <c r="J10564" s="41"/>
    </row>
    <row r="10565" spans="5:10" s="34" customFormat="1" x14ac:dyDescent="0.35">
      <c r="E10565" s="35"/>
      <c r="J10565" s="41"/>
    </row>
    <row r="10566" spans="5:10" s="34" customFormat="1" x14ac:dyDescent="0.35">
      <c r="E10566" s="35"/>
      <c r="J10566" s="41"/>
    </row>
    <row r="10567" spans="5:10" s="34" customFormat="1" x14ac:dyDescent="0.35">
      <c r="E10567" s="35"/>
      <c r="J10567" s="41"/>
    </row>
    <row r="10568" spans="5:10" s="34" customFormat="1" x14ac:dyDescent="0.35">
      <c r="E10568" s="35"/>
      <c r="J10568" s="41"/>
    </row>
    <row r="10569" spans="5:10" s="34" customFormat="1" x14ac:dyDescent="0.35">
      <c r="E10569" s="35"/>
      <c r="J10569" s="41"/>
    </row>
    <row r="10570" spans="5:10" s="34" customFormat="1" x14ac:dyDescent="0.35">
      <c r="E10570" s="35"/>
      <c r="J10570" s="41"/>
    </row>
    <row r="10571" spans="5:10" s="34" customFormat="1" x14ac:dyDescent="0.35">
      <c r="E10571" s="35"/>
      <c r="J10571" s="41"/>
    </row>
    <row r="10572" spans="5:10" s="34" customFormat="1" x14ac:dyDescent="0.35">
      <c r="E10572" s="35"/>
      <c r="J10572" s="41"/>
    </row>
    <row r="10573" spans="5:10" s="34" customFormat="1" x14ac:dyDescent="0.35">
      <c r="E10573" s="35"/>
      <c r="J10573" s="41"/>
    </row>
    <row r="10574" spans="5:10" s="34" customFormat="1" x14ac:dyDescent="0.35">
      <c r="E10574" s="35"/>
      <c r="J10574" s="41"/>
    </row>
    <row r="10575" spans="5:10" s="34" customFormat="1" x14ac:dyDescent="0.35">
      <c r="E10575" s="35"/>
      <c r="J10575" s="41"/>
    </row>
    <row r="10576" spans="5:10" s="34" customFormat="1" x14ac:dyDescent="0.35">
      <c r="E10576" s="35"/>
      <c r="J10576" s="41"/>
    </row>
    <row r="10577" spans="5:10" s="34" customFormat="1" x14ac:dyDescent="0.35">
      <c r="E10577" s="35"/>
      <c r="J10577" s="41"/>
    </row>
    <row r="10578" spans="5:10" s="34" customFormat="1" x14ac:dyDescent="0.35">
      <c r="E10578" s="35"/>
      <c r="J10578" s="41"/>
    </row>
    <row r="10579" spans="5:10" s="34" customFormat="1" x14ac:dyDescent="0.35">
      <c r="E10579" s="35"/>
      <c r="J10579" s="41"/>
    </row>
    <row r="10580" spans="5:10" s="34" customFormat="1" x14ac:dyDescent="0.35">
      <c r="E10580" s="35"/>
      <c r="J10580" s="41"/>
    </row>
    <row r="10581" spans="5:10" s="34" customFormat="1" x14ac:dyDescent="0.35">
      <c r="E10581" s="35"/>
      <c r="J10581" s="41"/>
    </row>
    <row r="10582" spans="5:10" s="34" customFormat="1" x14ac:dyDescent="0.35">
      <c r="E10582" s="35"/>
      <c r="J10582" s="41"/>
    </row>
    <row r="10583" spans="5:10" s="34" customFormat="1" x14ac:dyDescent="0.35">
      <c r="E10583" s="35"/>
      <c r="J10583" s="41"/>
    </row>
    <row r="10584" spans="5:10" s="34" customFormat="1" x14ac:dyDescent="0.35">
      <c r="E10584" s="35"/>
      <c r="J10584" s="41"/>
    </row>
    <row r="10585" spans="5:10" s="34" customFormat="1" x14ac:dyDescent="0.35">
      <c r="E10585" s="35"/>
      <c r="J10585" s="41"/>
    </row>
    <row r="10586" spans="5:10" s="34" customFormat="1" x14ac:dyDescent="0.35">
      <c r="E10586" s="35"/>
      <c r="J10586" s="41"/>
    </row>
    <row r="10587" spans="5:10" s="34" customFormat="1" x14ac:dyDescent="0.35">
      <c r="E10587" s="35"/>
      <c r="J10587" s="41"/>
    </row>
    <row r="10588" spans="5:10" s="34" customFormat="1" x14ac:dyDescent="0.35">
      <c r="E10588" s="35"/>
      <c r="J10588" s="41"/>
    </row>
    <row r="10589" spans="5:10" s="34" customFormat="1" x14ac:dyDescent="0.35">
      <c r="E10589" s="35"/>
      <c r="J10589" s="41"/>
    </row>
    <row r="10590" spans="5:10" s="34" customFormat="1" x14ac:dyDescent="0.35">
      <c r="E10590" s="35"/>
      <c r="J10590" s="41"/>
    </row>
    <row r="10591" spans="5:10" s="34" customFormat="1" x14ac:dyDescent="0.35">
      <c r="E10591" s="35"/>
      <c r="J10591" s="41"/>
    </row>
    <row r="10592" spans="5:10" s="34" customFormat="1" x14ac:dyDescent="0.35">
      <c r="E10592" s="35"/>
      <c r="J10592" s="41"/>
    </row>
    <row r="10593" spans="5:10" s="34" customFormat="1" x14ac:dyDescent="0.35">
      <c r="E10593" s="35"/>
      <c r="J10593" s="41"/>
    </row>
    <row r="10594" spans="5:10" s="34" customFormat="1" x14ac:dyDescent="0.35">
      <c r="E10594" s="35"/>
      <c r="J10594" s="41"/>
    </row>
    <row r="10595" spans="5:10" s="34" customFormat="1" x14ac:dyDescent="0.35">
      <c r="E10595" s="35"/>
      <c r="J10595" s="41"/>
    </row>
    <row r="10596" spans="5:10" s="34" customFormat="1" x14ac:dyDescent="0.35">
      <c r="E10596" s="35"/>
      <c r="J10596" s="41"/>
    </row>
    <row r="10597" spans="5:10" s="34" customFormat="1" x14ac:dyDescent="0.35">
      <c r="E10597" s="35"/>
      <c r="J10597" s="41"/>
    </row>
    <row r="10598" spans="5:10" s="34" customFormat="1" x14ac:dyDescent="0.35">
      <c r="E10598" s="35"/>
      <c r="J10598" s="41"/>
    </row>
    <row r="10599" spans="5:10" s="34" customFormat="1" x14ac:dyDescent="0.35">
      <c r="E10599" s="35"/>
      <c r="J10599" s="41"/>
    </row>
    <row r="10600" spans="5:10" s="34" customFormat="1" x14ac:dyDescent="0.35">
      <c r="E10600" s="35"/>
      <c r="J10600" s="41"/>
    </row>
    <row r="10601" spans="5:10" s="34" customFormat="1" x14ac:dyDescent="0.35">
      <c r="E10601" s="35"/>
      <c r="J10601" s="41"/>
    </row>
    <row r="10602" spans="5:10" s="34" customFormat="1" x14ac:dyDescent="0.35">
      <c r="E10602" s="35"/>
      <c r="J10602" s="41"/>
    </row>
    <row r="10603" spans="5:10" s="34" customFormat="1" x14ac:dyDescent="0.35">
      <c r="E10603" s="35"/>
      <c r="J10603" s="41"/>
    </row>
    <row r="10604" spans="5:10" s="34" customFormat="1" x14ac:dyDescent="0.35">
      <c r="E10604" s="35"/>
      <c r="J10604" s="41"/>
    </row>
    <row r="10605" spans="5:10" s="34" customFormat="1" x14ac:dyDescent="0.35">
      <c r="E10605" s="35"/>
      <c r="J10605" s="41"/>
    </row>
    <row r="10606" spans="5:10" s="34" customFormat="1" x14ac:dyDescent="0.35">
      <c r="E10606" s="35"/>
      <c r="J10606" s="41"/>
    </row>
    <row r="10607" spans="5:10" s="34" customFormat="1" x14ac:dyDescent="0.35">
      <c r="E10607" s="35"/>
      <c r="J10607" s="41"/>
    </row>
    <row r="10608" spans="5:10" s="34" customFormat="1" x14ac:dyDescent="0.35">
      <c r="E10608" s="35"/>
      <c r="J10608" s="41"/>
    </row>
    <row r="10609" spans="5:10" s="34" customFormat="1" x14ac:dyDescent="0.35">
      <c r="E10609" s="35"/>
      <c r="J10609" s="41"/>
    </row>
    <row r="10610" spans="5:10" s="34" customFormat="1" x14ac:dyDescent="0.35">
      <c r="E10610" s="35"/>
      <c r="J10610" s="41"/>
    </row>
    <row r="10611" spans="5:10" s="34" customFormat="1" x14ac:dyDescent="0.35">
      <c r="E10611" s="35"/>
      <c r="J10611" s="41"/>
    </row>
    <row r="10612" spans="5:10" s="34" customFormat="1" x14ac:dyDescent="0.35">
      <c r="E10612" s="35"/>
      <c r="J10612" s="41"/>
    </row>
    <row r="10613" spans="5:10" s="34" customFormat="1" x14ac:dyDescent="0.35">
      <c r="E10613" s="35"/>
      <c r="J10613" s="41"/>
    </row>
    <row r="10614" spans="5:10" s="34" customFormat="1" x14ac:dyDescent="0.35">
      <c r="E10614" s="35"/>
      <c r="J10614" s="41"/>
    </row>
    <row r="10615" spans="5:10" s="34" customFormat="1" x14ac:dyDescent="0.35">
      <c r="E10615" s="35"/>
      <c r="J10615" s="41"/>
    </row>
    <row r="10616" spans="5:10" s="34" customFormat="1" x14ac:dyDescent="0.35">
      <c r="E10616" s="35"/>
      <c r="J10616" s="41"/>
    </row>
    <row r="10617" spans="5:10" s="34" customFormat="1" x14ac:dyDescent="0.35">
      <c r="E10617" s="35"/>
      <c r="J10617" s="41"/>
    </row>
    <row r="10618" spans="5:10" s="34" customFormat="1" x14ac:dyDescent="0.35">
      <c r="E10618" s="35"/>
      <c r="J10618" s="41"/>
    </row>
    <row r="10619" spans="5:10" s="34" customFormat="1" x14ac:dyDescent="0.35">
      <c r="E10619" s="35"/>
      <c r="J10619" s="41"/>
    </row>
    <row r="10620" spans="5:10" s="34" customFormat="1" x14ac:dyDescent="0.35">
      <c r="E10620" s="35"/>
      <c r="J10620" s="41"/>
    </row>
    <row r="10621" spans="5:10" s="34" customFormat="1" x14ac:dyDescent="0.35">
      <c r="E10621" s="35"/>
      <c r="J10621" s="41"/>
    </row>
    <row r="10622" spans="5:10" s="34" customFormat="1" x14ac:dyDescent="0.35">
      <c r="E10622" s="35"/>
      <c r="J10622" s="41"/>
    </row>
    <row r="10623" spans="5:10" s="34" customFormat="1" x14ac:dyDescent="0.35">
      <c r="E10623" s="35"/>
      <c r="J10623" s="41"/>
    </row>
    <row r="10624" spans="5:10" s="34" customFormat="1" x14ac:dyDescent="0.35">
      <c r="E10624" s="35"/>
      <c r="J10624" s="41"/>
    </row>
    <row r="10625" spans="5:10" s="34" customFormat="1" x14ac:dyDescent="0.35">
      <c r="E10625" s="35"/>
      <c r="J10625" s="41"/>
    </row>
    <row r="10626" spans="5:10" s="34" customFormat="1" x14ac:dyDescent="0.35">
      <c r="E10626" s="35"/>
      <c r="J10626" s="41"/>
    </row>
    <row r="10627" spans="5:10" s="34" customFormat="1" x14ac:dyDescent="0.35">
      <c r="E10627" s="35"/>
      <c r="J10627" s="41"/>
    </row>
    <row r="10628" spans="5:10" s="34" customFormat="1" x14ac:dyDescent="0.35">
      <c r="E10628" s="35"/>
      <c r="J10628" s="41"/>
    </row>
    <row r="10629" spans="5:10" s="34" customFormat="1" x14ac:dyDescent="0.35">
      <c r="E10629" s="35"/>
      <c r="J10629" s="41"/>
    </row>
    <row r="10630" spans="5:10" s="34" customFormat="1" x14ac:dyDescent="0.35">
      <c r="E10630" s="35"/>
      <c r="J10630" s="41"/>
    </row>
    <row r="10631" spans="5:10" s="34" customFormat="1" x14ac:dyDescent="0.35">
      <c r="E10631" s="35"/>
      <c r="J10631" s="41"/>
    </row>
    <row r="10632" spans="5:10" s="34" customFormat="1" x14ac:dyDescent="0.35">
      <c r="E10632" s="35"/>
      <c r="J10632" s="41"/>
    </row>
    <row r="10633" spans="5:10" s="34" customFormat="1" x14ac:dyDescent="0.35">
      <c r="E10633" s="35"/>
      <c r="J10633" s="41"/>
    </row>
    <row r="10634" spans="5:10" s="34" customFormat="1" x14ac:dyDescent="0.35">
      <c r="E10634" s="35"/>
      <c r="J10634" s="41"/>
    </row>
    <row r="10635" spans="5:10" s="34" customFormat="1" x14ac:dyDescent="0.35">
      <c r="E10635" s="35"/>
      <c r="J10635" s="41"/>
    </row>
    <row r="10636" spans="5:10" s="34" customFormat="1" x14ac:dyDescent="0.35">
      <c r="E10636" s="35"/>
      <c r="J10636" s="41"/>
    </row>
    <row r="10637" spans="5:10" s="34" customFormat="1" x14ac:dyDescent="0.35">
      <c r="E10637" s="35"/>
      <c r="J10637" s="41"/>
    </row>
    <row r="10638" spans="5:10" s="34" customFormat="1" x14ac:dyDescent="0.35">
      <c r="E10638" s="35"/>
      <c r="J10638" s="41"/>
    </row>
    <row r="10639" spans="5:10" s="34" customFormat="1" x14ac:dyDescent="0.35">
      <c r="E10639" s="35"/>
      <c r="J10639" s="41"/>
    </row>
    <row r="10640" spans="5:10" s="34" customFormat="1" x14ac:dyDescent="0.35">
      <c r="E10640" s="35"/>
      <c r="J10640" s="41"/>
    </row>
    <row r="10641" spans="5:10" s="34" customFormat="1" x14ac:dyDescent="0.35">
      <c r="E10641" s="35"/>
      <c r="J10641" s="41"/>
    </row>
    <row r="10642" spans="5:10" s="34" customFormat="1" x14ac:dyDescent="0.35">
      <c r="E10642" s="35"/>
      <c r="J10642" s="41"/>
    </row>
    <row r="10643" spans="5:10" s="34" customFormat="1" x14ac:dyDescent="0.35">
      <c r="E10643" s="35"/>
      <c r="J10643" s="41"/>
    </row>
    <row r="10644" spans="5:10" s="34" customFormat="1" x14ac:dyDescent="0.35">
      <c r="E10644" s="35"/>
      <c r="J10644" s="41"/>
    </row>
    <row r="10645" spans="5:10" s="34" customFormat="1" x14ac:dyDescent="0.35">
      <c r="E10645" s="35"/>
      <c r="J10645" s="41"/>
    </row>
    <row r="10646" spans="5:10" s="34" customFormat="1" x14ac:dyDescent="0.35">
      <c r="E10646" s="35"/>
      <c r="J10646" s="41"/>
    </row>
    <row r="10647" spans="5:10" s="34" customFormat="1" x14ac:dyDescent="0.35">
      <c r="E10647" s="35"/>
      <c r="J10647" s="41"/>
    </row>
    <row r="10648" spans="5:10" s="34" customFormat="1" x14ac:dyDescent="0.35">
      <c r="E10648" s="35"/>
      <c r="J10648" s="41"/>
    </row>
    <row r="10649" spans="5:10" s="34" customFormat="1" x14ac:dyDescent="0.35">
      <c r="E10649" s="35"/>
      <c r="J10649" s="41"/>
    </row>
    <row r="10650" spans="5:10" s="34" customFormat="1" x14ac:dyDescent="0.35">
      <c r="E10650" s="35"/>
      <c r="J10650" s="41"/>
    </row>
    <row r="10651" spans="5:10" s="34" customFormat="1" x14ac:dyDescent="0.35">
      <c r="E10651" s="35"/>
      <c r="J10651" s="41"/>
    </row>
    <row r="10652" spans="5:10" s="34" customFormat="1" x14ac:dyDescent="0.35">
      <c r="E10652" s="35"/>
      <c r="J10652" s="41"/>
    </row>
    <row r="10653" spans="5:10" s="34" customFormat="1" x14ac:dyDescent="0.35">
      <c r="E10653" s="35"/>
      <c r="J10653" s="41"/>
    </row>
    <row r="10654" spans="5:10" s="34" customFormat="1" x14ac:dyDescent="0.35">
      <c r="E10654" s="35"/>
      <c r="J10654" s="41"/>
    </row>
    <row r="10655" spans="5:10" s="34" customFormat="1" x14ac:dyDescent="0.35">
      <c r="E10655" s="35"/>
      <c r="J10655" s="41"/>
    </row>
    <row r="10656" spans="5:10" s="34" customFormat="1" x14ac:dyDescent="0.35">
      <c r="E10656" s="35"/>
      <c r="J10656" s="41"/>
    </row>
    <row r="10657" spans="5:10" s="34" customFormat="1" x14ac:dyDescent="0.35">
      <c r="E10657" s="35"/>
      <c r="J10657" s="41"/>
    </row>
    <row r="10658" spans="5:10" s="34" customFormat="1" x14ac:dyDescent="0.35">
      <c r="E10658" s="35"/>
      <c r="J10658" s="41"/>
    </row>
    <row r="10659" spans="5:10" s="34" customFormat="1" x14ac:dyDescent="0.35">
      <c r="E10659" s="35"/>
      <c r="J10659" s="41"/>
    </row>
    <row r="10660" spans="5:10" s="34" customFormat="1" x14ac:dyDescent="0.35">
      <c r="E10660" s="35"/>
      <c r="J10660" s="41"/>
    </row>
    <row r="10661" spans="5:10" s="34" customFormat="1" x14ac:dyDescent="0.35">
      <c r="E10661" s="35"/>
      <c r="J10661" s="41"/>
    </row>
    <row r="10662" spans="5:10" s="34" customFormat="1" x14ac:dyDescent="0.35">
      <c r="E10662" s="35"/>
      <c r="J10662" s="41"/>
    </row>
    <row r="10663" spans="5:10" s="34" customFormat="1" x14ac:dyDescent="0.35">
      <c r="E10663" s="35"/>
      <c r="J10663" s="41"/>
    </row>
    <row r="10664" spans="5:10" s="34" customFormat="1" x14ac:dyDescent="0.35">
      <c r="E10664" s="35"/>
      <c r="J10664" s="41"/>
    </row>
    <row r="10665" spans="5:10" s="34" customFormat="1" x14ac:dyDescent="0.35">
      <c r="E10665" s="35"/>
      <c r="J10665" s="41"/>
    </row>
    <row r="10666" spans="5:10" s="34" customFormat="1" x14ac:dyDescent="0.35">
      <c r="E10666" s="35"/>
      <c r="J10666" s="41"/>
    </row>
    <row r="10667" spans="5:10" s="34" customFormat="1" x14ac:dyDescent="0.35">
      <c r="E10667" s="35"/>
      <c r="J10667" s="41"/>
    </row>
    <row r="10668" spans="5:10" s="34" customFormat="1" x14ac:dyDescent="0.35">
      <c r="E10668" s="35"/>
      <c r="J10668" s="41"/>
    </row>
    <row r="10669" spans="5:10" s="34" customFormat="1" x14ac:dyDescent="0.35">
      <c r="E10669" s="35"/>
      <c r="J10669" s="41"/>
    </row>
    <row r="10670" spans="5:10" s="34" customFormat="1" x14ac:dyDescent="0.35">
      <c r="E10670" s="35"/>
      <c r="J10670" s="41"/>
    </row>
    <row r="10671" spans="5:10" s="34" customFormat="1" x14ac:dyDescent="0.35">
      <c r="E10671" s="35"/>
      <c r="J10671" s="41"/>
    </row>
    <row r="10672" spans="5:10" s="34" customFormat="1" x14ac:dyDescent="0.35">
      <c r="E10672" s="35"/>
      <c r="J10672" s="41"/>
    </row>
    <row r="10673" spans="5:10" s="34" customFormat="1" x14ac:dyDescent="0.35">
      <c r="E10673" s="35"/>
      <c r="J10673" s="41"/>
    </row>
    <row r="10674" spans="5:10" s="34" customFormat="1" x14ac:dyDescent="0.35">
      <c r="E10674" s="35"/>
      <c r="J10674" s="41"/>
    </row>
    <row r="10675" spans="5:10" s="34" customFormat="1" x14ac:dyDescent="0.35">
      <c r="E10675" s="35"/>
      <c r="J10675" s="41"/>
    </row>
    <row r="10676" spans="5:10" s="34" customFormat="1" x14ac:dyDescent="0.35">
      <c r="E10676" s="35"/>
      <c r="J10676" s="41"/>
    </row>
    <row r="10677" spans="5:10" s="34" customFormat="1" x14ac:dyDescent="0.35">
      <c r="E10677" s="35"/>
      <c r="J10677" s="41"/>
    </row>
    <row r="10678" spans="5:10" s="34" customFormat="1" x14ac:dyDescent="0.35">
      <c r="E10678" s="35"/>
      <c r="J10678" s="41"/>
    </row>
    <row r="10679" spans="5:10" s="34" customFormat="1" x14ac:dyDescent="0.35">
      <c r="E10679" s="35"/>
      <c r="J10679" s="41"/>
    </row>
    <row r="10680" spans="5:10" s="34" customFormat="1" x14ac:dyDescent="0.35">
      <c r="E10680" s="35"/>
      <c r="J10680" s="41"/>
    </row>
    <row r="10681" spans="5:10" s="34" customFormat="1" x14ac:dyDescent="0.35">
      <c r="E10681" s="35"/>
      <c r="J10681" s="41"/>
    </row>
    <row r="10682" spans="5:10" s="34" customFormat="1" x14ac:dyDescent="0.35">
      <c r="E10682" s="35"/>
      <c r="J10682" s="41"/>
    </row>
    <row r="10683" spans="5:10" s="34" customFormat="1" x14ac:dyDescent="0.35">
      <c r="E10683" s="35"/>
      <c r="J10683" s="41"/>
    </row>
    <row r="10684" spans="5:10" s="34" customFormat="1" x14ac:dyDescent="0.35">
      <c r="E10684" s="35"/>
      <c r="J10684" s="41"/>
    </row>
    <row r="10685" spans="5:10" s="34" customFormat="1" x14ac:dyDescent="0.35">
      <c r="E10685" s="35"/>
      <c r="J10685" s="41"/>
    </row>
    <row r="10686" spans="5:10" s="34" customFormat="1" x14ac:dyDescent="0.35">
      <c r="E10686" s="35"/>
      <c r="J10686" s="41"/>
    </row>
    <row r="10687" spans="5:10" s="34" customFormat="1" x14ac:dyDescent="0.35">
      <c r="E10687" s="35"/>
      <c r="J10687" s="41"/>
    </row>
    <row r="10688" spans="5:10" s="34" customFormat="1" x14ac:dyDescent="0.35">
      <c r="E10688" s="35"/>
      <c r="J10688" s="41"/>
    </row>
    <row r="10689" spans="5:10" s="34" customFormat="1" x14ac:dyDescent="0.35">
      <c r="E10689" s="35"/>
      <c r="J10689" s="41"/>
    </row>
    <row r="10690" spans="5:10" s="34" customFormat="1" x14ac:dyDescent="0.35">
      <c r="E10690" s="35"/>
      <c r="J10690" s="41"/>
    </row>
    <row r="10691" spans="5:10" s="34" customFormat="1" x14ac:dyDescent="0.35">
      <c r="E10691" s="35"/>
      <c r="J10691" s="41"/>
    </row>
    <row r="10692" spans="5:10" s="34" customFormat="1" x14ac:dyDescent="0.35">
      <c r="E10692" s="35"/>
      <c r="J10692" s="41"/>
    </row>
    <row r="10693" spans="5:10" s="34" customFormat="1" x14ac:dyDescent="0.35">
      <c r="E10693" s="35"/>
      <c r="J10693" s="41"/>
    </row>
    <row r="10694" spans="5:10" s="34" customFormat="1" x14ac:dyDescent="0.35">
      <c r="E10694" s="35"/>
      <c r="J10694" s="41"/>
    </row>
    <row r="10695" spans="5:10" s="34" customFormat="1" x14ac:dyDescent="0.35">
      <c r="E10695" s="35"/>
      <c r="J10695" s="41"/>
    </row>
    <row r="10696" spans="5:10" s="34" customFormat="1" x14ac:dyDescent="0.35">
      <c r="E10696" s="35"/>
      <c r="J10696" s="41"/>
    </row>
    <row r="10697" spans="5:10" s="34" customFormat="1" x14ac:dyDescent="0.35">
      <c r="E10697" s="35"/>
      <c r="J10697" s="41"/>
    </row>
    <row r="10698" spans="5:10" s="34" customFormat="1" x14ac:dyDescent="0.35">
      <c r="E10698" s="35"/>
      <c r="J10698" s="41"/>
    </row>
    <row r="10699" spans="5:10" s="34" customFormat="1" x14ac:dyDescent="0.35">
      <c r="E10699" s="35"/>
      <c r="J10699" s="41"/>
    </row>
    <row r="10700" spans="5:10" s="34" customFormat="1" x14ac:dyDescent="0.35">
      <c r="E10700" s="35"/>
      <c r="J10700" s="41"/>
    </row>
    <row r="10701" spans="5:10" s="34" customFormat="1" x14ac:dyDescent="0.35">
      <c r="E10701" s="35"/>
      <c r="J10701" s="41"/>
    </row>
    <row r="10702" spans="5:10" s="34" customFormat="1" x14ac:dyDescent="0.35">
      <c r="E10702" s="35"/>
      <c r="J10702" s="41"/>
    </row>
    <row r="10703" spans="5:10" s="34" customFormat="1" x14ac:dyDescent="0.35">
      <c r="E10703" s="35"/>
      <c r="J10703" s="41"/>
    </row>
    <row r="10704" spans="5:10" s="34" customFormat="1" x14ac:dyDescent="0.35">
      <c r="E10704" s="35"/>
      <c r="J10704" s="41"/>
    </row>
    <row r="10705" spans="5:10" s="34" customFormat="1" x14ac:dyDescent="0.35">
      <c r="E10705" s="35"/>
      <c r="J10705" s="41"/>
    </row>
    <row r="10706" spans="5:10" s="34" customFormat="1" x14ac:dyDescent="0.35">
      <c r="E10706" s="35"/>
      <c r="J10706" s="41"/>
    </row>
    <row r="10707" spans="5:10" s="34" customFormat="1" x14ac:dyDescent="0.35">
      <c r="E10707" s="35"/>
      <c r="J10707" s="41"/>
    </row>
    <row r="10708" spans="5:10" s="34" customFormat="1" x14ac:dyDescent="0.35">
      <c r="E10708" s="35"/>
      <c r="J10708" s="41"/>
    </row>
    <row r="10709" spans="5:10" s="34" customFormat="1" x14ac:dyDescent="0.35">
      <c r="E10709" s="35"/>
      <c r="J10709" s="41"/>
    </row>
    <row r="10710" spans="5:10" s="34" customFormat="1" x14ac:dyDescent="0.35">
      <c r="E10710" s="35"/>
      <c r="J10710" s="41"/>
    </row>
    <row r="10711" spans="5:10" s="34" customFormat="1" x14ac:dyDescent="0.35">
      <c r="E10711" s="35"/>
      <c r="J10711" s="41"/>
    </row>
    <row r="10712" spans="5:10" s="34" customFormat="1" x14ac:dyDescent="0.35">
      <c r="E10712" s="35"/>
      <c r="J10712" s="41"/>
    </row>
    <row r="10713" spans="5:10" s="34" customFormat="1" x14ac:dyDescent="0.35">
      <c r="E10713" s="35"/>
      <c r="J10713" s="41"/>
    </row>
    <row r="10714" spans="5:10" s="34" customFormat="1" x14ac:dyDescent="0.35">
      <c r="E10714" s="35"/>
      <c r="J10714" s="41"/>
    </row>
    <row r="10715" spans="5:10" s="34" customFormat="1" x14ac:dyDescent="0.35">
      <c r="E10715" s="35"/>
      <c r="J10715" s="41"/>
    </row>
    <row r="10716" spans="5:10" s="34" customFormat="1" x14ac:dyDescent="0.35">
      <c r="E10716" s="35"/>
      <c r="J10716" s="41"/>
    </row>
    <row r="10717" spans="5:10" s="34" customFormat="1" x14ac:dyDescent="0.35">
      <c r="E10717" s="35"/>
      <c r="J10717" s="41"/>
    </row>
    <row r="10718" spans="5:10" s="34" customFormat="1" x14ac:dyDescent="0.35">
      <c r="E10718" s="35"/>
      <c r="J10718" s="41"/>
    </row>
    <row r="10719" spans="5:10" s="34" customFormat="1" x14ac:dyDescent="0.35">
      <c r="E10719" s="35"/>
      <c r="J10719" s="41"/>
    </row>
    <row r="10720" spans="5:10" s="34" customFormat="1" x14ac:dyDescent="0.35">
      <c r="E10720" s="35"/>
      <c r="J10720" s="41"/>
    </row>
    <row r="10721" spans="5:10" s="34" customFormat="1" x14ac:dyDescent="0.35">
      <c r="E10721" s="35"/>
      <c r="J10721" s="41"/>
    </row>
    <row r="10722" spans="5:10" s="34" customFormat="1" x14ac:dyDescent="0.35">
      <c r="E10722" s="35"/>
      <c r="J10722" s="41"/>
    </row>
    <row r="10723" spans="5:10" s="34" customFormat="1" x14ac:dyDescent="0.35">
      <c r="E10723" s="35"/>
      <c r="J10723" s="41"/>
    </row>
    <row r="10724" spans="5:10" s="34" customFormat="1" x14ac:dyDescent="0.35">
      <c r="E10724" s="35"/>
      <c r="J10724" s="41"/>
    </row>
    <row r="10725" spans="5:10" s="34" customFormat="1" x14ac:dyDescent="0.35">
      <c r="E10725" s="35"/>
      <c r="J10725" s="41"/>
    </row>
    <row r="10726" spans="5:10" s="34" customFormat="1" x14ac:dyDescent="0.35">
      <c r="E10726" s="35"/>
      <c r="J10726" s="41"/>
    </row>
    <row r="10727" spans="5:10" s="34" customFormat="1" x14ac:dyDescent="0.35">
      <c r="E10727" s="35"/>
      <c r="J10727" s="41"/>
    </row>
    <row r="10728" spans="5:10" s="34" customFormat="1" x14ac:dyDescent="0.35">
      <c r="E10728" s="35"/>
      <c r="J10728" s="41"/>
    </row>
    <row r="10729" spans="5:10" s="34" customFormat="1" x14ac:dyDescent="0.35">
      <c r="E10729" s="35"/>
      <c r="J10729" s="41"/>
    </row>
    <row r="10730" spans="5:10" s="34" customFormat="1" x14ac:dyDescent="0.35">
      <c r="E10730" s="35"/>
      <c r="J10730" s="41"/>
    </row>
    <row r="10731" spans="5:10" s="34" customFormat="1" x14ac:dyDescent="0.35">
      <c r="E10731" s="35"/>
      <c r="J10731" s="41"/>
    </row>
    <row r="10732" spans="5:10" s="34" customFormat="1" x14ac:dyDescent="0.35">
      <c r="E10732" s="35"/>
      <c r="J10732" s="41"/>
    </row>
    <row r="10733" spans="5:10" s="34" customFormat="1" x14ac:dyDescent="0.35">
      <c r="E10733" s="35"/>
      <c r="J10733" s="41"/>
    </row>
    <row r="10734" spans="5:10" s="34" customFormat="1" x14ac:dyDescent="0.35">
      <c r="E10734" s="35"/>
      <c r="J10734" s="41"/>
    </row>
    <row r="10735" spans="5:10" s="34" customFormat="1" x14ac:dyDescent="0.35">
      <c r="E10735" s="35"/>
      <c r="J10735" s="41"/>
    </row>
    <row r="10736" spans="5:10" s="34" customFormat="1" x14ac:dyDescent="0.35">
      <c r="E10736" s="35"/>
      <c r="J10736" s="41"/>
    </row>
    <row r="10737" spans="5:10" s="34" customFormat="1" x14ac:dyDescent="0.35">
      <c r="E10737" s="35"/>
      <c r="J10737" s="41"/>
    </row>
    <row r="10738" spans="5:10" s="34" customFormat="1" x14ac:dyDescent="0.35">
      <c r="E10738" s="35"/>
      <c r="J10738" s="41"/>
    </row>
    <row r="10739" spans="5:10" s="34" customFormat="1" x14ac:dyDescent="0.35">
      <c r="E10739" s="35"/>
      <c r="J10739" s="41"/>
    </row>
    <row r="10740" spans="5:10" s="34" customFormat="1" x14ac:dyDescent="0.35">
      <c r="E10740" s="35"/>
      <c r="J10740" s="41"/>
    </row>
    <row r="10741" spans="5:10" s="34" customFormat="1" x14ac:dyDescent="0.35">
      <c r="E10741" s="35"/>
      <c r="J10741" s="41"/>
    </row>
    <row r="10742" spans="5:10" s="34" customFormat="1" x14ac:dyDescent="0.35">
      <c r="E10742" s="35"/>
      <c r="J10742" s="41"/>
    </row>
    <row r="10743" spans="5:10" s="34" customFormat="1" x14ac:dyDescent="0.35">
      <c r="E10743" s="35"/>
      <c r="J10743" s="41"/>
    </row>
    <row r="10744" spans="5:10" s="34" customFormat="1" x14ac:dyDescent="0.35">
      <c r="E10744" s="35"/>
      <c r="J10744" s="41"/>
    </row>
    <row r="10745" spans="5:10" s="34" customFormat="1" x14ac:dyDescent="0.35">
      <c r="E10745" s="35"/>
      <c r="J10745" s="41"/>
    </row>
    <row r="10746" spans="5:10" s="34" customFormat="1" x14ac:dyDescent="0.35">
      <c r="E10746" s="35"/>
      <c r="J10746" s="41"/>
    </row>
    <row r="10747" spans="5:10" s="34" customFormat="1" x14ac:dyDescent="0.35">
      <c r="E10747" s="35"/>
      <c r="J10747" s="41"/>
    </row>
    <row r="10748" spans="5:10" s="34" customFormat="1" x14ac:dyDescent="0.35">
      <c r="E10748" s="35"/>
      <c r="J10748" s="41"/>
    </row>
    <row r="10749" spans="5:10" s="34" customFormat="1" x14ac:dyDescent="0.35">
      <c r="E10749" s="35"/>
      <c r="J10749" s="41"/>
    </row>
    <row r="10750" spans="5:10" s="34" customFormat="1" x14ac:dyDescent="0.35">
      <c r="E10750" s="35"/>
      <c r="J10750" s="41"/>
    </row>
    <row r="10751" spans="5:10" s="34" customFormat="1" x14ac:dyDescent="0.35">
      <c r="E10751" s="35"/>
      <c r="J10751" s="41"/>
    </row>
    <row r="10752" spans="5:10" s="34" customFormat="1" x14ac:dyDescent="0.35">
      <c r="E10752" s="35"/>
      <c r="J10752" s="41"/>
    </row>
    <row r="10753" spans="5:10" s="34" customFormat="1" x14ac:dyDescent="0.35">
      <c r="E10753" s="35"/>
      <c r="J10753" s="41"/>
    </row>
    <row r="10754" spans="5:10" s="34" customFormat="1" x14ac:dyDescent="0.35">
      <c r="E10754" s="35"/>
      <c r="J10754" s="41"/>
    </row>
    <row r="10755" spans="5:10" s="34" customFormat="1" x14ac:dyDescent="0.35">
      <c r="E10755" s="35"/>
      <c r="J10755" s="41"/>
    </row>
    <row r="10756" spans="5:10" s="34" customFormat="1" x14ac:dyDescent="0.35">
      <c r="E10756" s="35"/>
      <c r="J10756" s="41"/>
    </row>
    <row r="10757" spans="5:10" s="34" customFormat="1" x14ac:dyDescent="0.35">
      <c r="E10757" s="35"/>
      <c r="J10757" s="41"/>
    </row>
    <row r="10758" spans="5:10" s="34" customFormat="1" x14ac:dyDescent="0.35">
      <c r="E10758" s="35"/>
      <c r="J10758" s="41"/>
    </row>
    <row r="10759" spans="5:10" s="34" customFormat="1" x14ac:dyDescent="0.35">
      <c r="E10759" s="35"/>
      <c r="J10759" s="41"/>
    </row>
    <row r="10760" spans="5:10" s="34" customFormat="1" x14ac:dyDescent="0.35">
      <c r="E10760" s="35"/>
      <c r="J10760" s="41"/>
    </row>
    <row r="10761" spans="5:10" s="34" customFormat="1" x14ac:dyDescent="0.35">
      <c r="E10761" s="35"/>
      <c r="J10761" s="41"/>
    </row>
    <row r="10762" spans="5:10" s="34" customFormat="1" x14ac:dyDescent="0.35">
      <c r="E10762" s="35"/>
      <c r="J10762" s="41"/>
    </row>
    <row r="10763" spans="5:10" s="34" customFormat="1" x14ac:dyDescent="0.35">
      <c r="E10763" s="35"/>
      <c r="J10763" s="41"/>
    </row>
    <row r="10764" spans="5:10" s="34" customFormat="1" x14ac:dyDescent="0.35">
      <c r="E10764" s="35"/>
      <c r="J10764" s="41"/>
    </row>
    <row r="10765" spans="5:10" s="34" customFormat="1" x14ac:dyDescent="0.35">
      <c r="E10765" s="35"/>
      <c r="J10765" s="41"/>
    </row>
    <row r="10766" spans="5:10" s="34" customFormat="1" x14ac:dyDescent="0.35">
      <c r="E10766" s="35"/>
      <c r="J10766" s="41"/>
    </row>
    <row r="10767" spans="5:10" s="34" customFormat="1" x14ac:dyDescent="0.35">
      <c r="E10767" s="35"/>
      <c r="J10767" s="41"/>
    </row>
    <row r="10768" spans="5:10" s="34" customFormat="1" x14ac:dyDescent="0.35">
      <c r="E10768" s="35"/>
      <c r="J10768" s="41"/>
    </row>
    <row r="10769" spans="5:10" s="34" customFormat="1" x14ac:dyDescent="0.35">
      <c r="E10769" s="35"/>
      <c r="J10769" s="41"/>
    </row>
    <row r="10770" spans="5:10" s="34" customFormat="1" x14ac:dyDescent="0.35">
      <c r="E10770" s="35"/>
      <c r="J10770" s="41"/>
    </row>
    <row r="10771" spans="5:10" s="34" customFormat="1" x14ac:dyDescent="0.35">
      <c r="E10771" s="35"/>
      <c r="J10771" s="41"/>
    </row>
    <row r="10772" spans="5:10" s="34" customFormat="1" x14ac:dyDescent="0.35">
      <c r="E10772" s="35"/>
      <c r="J10772" s="41"/>
    </row>
    <row r="10773" spans="5:10" s="34" customFormat="1" x14ac:dyDescent="0.35">
      <c r="E10773" s="35"/>
      <c r="J10773" s="41"/>
    </row>
    <row r="10774" spans="5:10" s="34" customFormat="1" x14ac:dyDescent="0.35">
      <c r="E10774" s="35"/>
      <c r="J10774" s="41"/>
    </row>
    <row r="10775" spans="5:10" s="34" customFormat="1" x14ac:dyDescent="0.35">
      <c r="E10775" s="35"/>
      <c r="J10775" s="41"/>
    </row>
    <row r="10776" spans="5:10" s="34" customFormat="1" x14ac:dyDescent="0.35">
      <c r="E10776" s="35"/>
      <c r="J10776" s="41"/>
    </row>
    <row r="10777" spans="5:10" s="34" customFormat="1" x14ac:dyDescent="0.35">
      <c r="E10777" s="35"/>
      <c r="J10777" s="41"/>
    </row>
    <row r="10778" spans="5:10" s="34" customFormat="1" x14ac:dyDescent="0.35">
      <c r="E10778" s="35"/>
      <c r="J10778" s="41"/>
    </row>
    <row r="10779" spans="5:10" s="34" customFormat="1" x14ac:dyDescent="0.35">
      <c r="E10779" s="35"/>
      <c r="J10779" s="41"/>
    </row>
    <row r="10780" spans="5:10" s="34" customFormat="1" x14ac:dyDescent="0.35">
      <c r="E10780" s="35"/>
      <c r="J10780" s="41"/>
    </row>
    <row r="10781" spans="5:10" s="34" customFormat="1" x14ac:dyDescent="0.35">
      <c r="E10781" s="35"/>
      <c r="J10781" s="41"/>
    </row>
    <row r="10782" spans="5:10" s="34" customFormat="1" x14ac:dyDescent="0.35">
      <c r="E10782" s="35"/>
      <c r="J10782" s="41"/>
    </row>
    <row r="10783" spans="5:10" s="34" customFormat="1" x14ac:dyDescent="0.35">
      <c r="E10783" s="35"/>
      <c r="J10783" s="41"/>
    </row>
    <row r="10784" spans="5:10" s="34" customFormat="1" x14ac:dyDescent="0.35">
      <c r="E10784" s="35"/>
      <c r="J10784" s="41"/>
    </row>
    <row r="10785" spans="5:10" s="34" customFormat="1" x14ac:dyDescent="0.35">
      <c r="E10785" s="35"/>
      <c r="J10785" s="41"/>
    </row>
    <row r="10786" spans="5:10" s="34" customFormat="1" x14ac:dyDescent="0.35">
      <c r="E10786" s="35"/>
      <c r="J10786" s="41"/>
    </row>
    <row r="10787" spans="5:10" s="34" customFormat="1" x14ac:dyDescent="0.35">
      <c r="E10787" s="35"/>
      <c r="J10787" s="41"/>
    </row>
    <row r="10788" spans="5:10" s="34" customFormat="1" x14ac:dyDescent="0.35">
      <c r="E10788" s="35"/>
      <c r="J10788" s="41"/>
    </row>
    <row r="10789" spans="5:10" s="34" customFormat="1" x14ac:dyDescent="0.35">
      <c r="E10789" s="35"/>
      <c r="J10789" s="41"/>
    </row>
    <row r="10790" spans="5:10" s="34" customFormat="1" x14ac:dyDescent="0.35">
      <c r="E10790" s="35"/>
      <c r="J10790" s="41"/>
    </row>
    <row r="10791" spans="5:10" s="34" customFormat="1" x14ac:dyDescent="0.35">
      <c r="E10791" s="35"/>
      <c r="J10791" s="41"/>
    </row>
    <row r="10792" spans="5:10" s="34" customFormat="1" x14ac:dyDescent="0.35">
      <c r="E10792" s="35"/>
      <c r="J10792" s="41"/>
    </row>
    <row r="10793" spans="5:10" s="34" customFormat="1" x14ac:dyDescent="0.35">
      <c r="E10793" s="35"/>
      <c r="J10793" s="41"/>
    </row>
    <row r="10794" spans="5:10" s="34" customFormat="1" x14ac:dyDescent="0.35">
      <c r="E10794" s="35"/>
      <c r="J10794" s="41"/>
    </row>
    <row r="10795" spans="5:10" s="34" customFormat="1" x14ac:dyDescent="0.35">
      <c r="E10795" s="35"/>
      <c r="J10795" s="41"/>
    </row>
    <row r="10796" spans="5:10" s="34" customFormat="1" x14ac:dyDescent="0.35">
      <c r="E10796" s="35"/>
      <c r="J10796" s="41"/>
    </row>
    <row r="10797" spans="5:10" s="34" customFormat="1" x14ac:dyDescent="0.35">
      <c r="E10797" s="35"/>
      <c r="J10797" s="41"/>
    </row>
    <row r="10798" spans="5:10" s="34" customFormat="1" x14ac:dyDescent="0.35">
      <c r="E10798" s="35"/>
      <c r="J10798" s="41"/>
    </row>
    <row r="10799" spans="5:10" s="34" customFormat="1" x14ac:dyDescent="0.35">
      <c r="E10799" s="35"/>
      <c r="J10799" s="41"/>
    </row>
    <row r="10800" spans="5:10" s="34" customFormat="1" x14ac:dyDescent="0.35">
      <c r="E10800" s="35"/>
      <c r="J10800" s="41"/>
    </row>
    <row r="10801" spans="5:10" s="34" customFormat="1" x14ac:dyDescent="0.35">
      <c r="E10801" s="35"/>
      <c r="J10801" s="41"/>
    </row>
    <row r="10802" spans="5:10" s="34" customFormat="1" x14ac:dyDescent="0.35">
      <c r="E10802" s="35"/>
      <c r="J10802" s="41"/>
    </row>
    <row r="10803" spans="5:10" s="34" customFormat="1" x14ac:dyDescent="0.35">
      <c r="E10803" s="35"/>
      <c r="J10803" s="41"/>
    </row>
    <row r="10804" spans="5:10" s="34" customFormat="1" x14ac:dyDescent="0.35">
      <c r="E10804" s="35"/>
      <c r="J10804" s="41"/>
    </row>
    <row r="10805" spans="5:10" s="34" customFormat="1" x14ac:dyDescent="0.35">
      <c r="E10805" s="35"/>
      <c r="J10805" s="41"/>
    </row>
    <row r="10806" spans="5:10" s="34" customFormat="1" x14ac:dyDescent="0.35">
      <c r="E10806" s="35"/>
      <c r="J10806" s="41"/>
    </row>
    <row r="10807" spans="5:10" s="34" customFormat="1" x14ac:dyDescent="0.35">
      <c r="E10807" s="35"/>
      <c r="J10807" s="41"/>
    </row>
    <row r="10808" spans="5:10" s="34" customFormat="1" x14ac:dyDescent="0.35">
      <c r="E10808" s="35"/>
      <c r="J10808" s="41"/>
    </row>
    <row r="10809" spans="5:10" s="34" customFormat="1" x14ac:dyDescent="0.35">
      <c r="E10809" s="35"/>
      <c r="J10809" s="41"/>
    </row>
    <row r="10810" spans="5:10" s="34" customFormat="1" x14ac:dyDescent="0.35">
      <c r="E10810" s="35"/>
      <c r="J10810" s="41"/>
    </row>
    <row r="10811" spans="5:10" s="34" customFormat="1" x14ac:dyDescent="0.35">
      <c r="E10811" s="35"/>
      <c r="J10811" s="41"/>
    </row>
    <row r="10812" spans="5:10" s="34" customFormat="1" x14ac:dyDescent="0.35">
      <c r="E10812" s="35"/>
      <c r="J10812" s="41"/>
    </row>
    <row r="10813" spans="5:10" s="34" customFormat="1" x14ac:dyDescent="0.35">
      <c r="E10813" s="35"/>
      <c r="J10813" s="41"/>
    </row>
    <row r="10814" spans="5:10" s="34" customFormat="1" x14ac:dyDescent="0.35">
      <c r="E10814" s="35"/>
      <c r="J10814" s="41"/>
    </row>
    <row r="10815" spans="5:10" s="34" customFormat="1" x14ac:dyDescent="0.35">
      <c r="E10815" s="35"/>
      <c r="J10815" s="41"/>
    </row>
    <row r="10816" spans="5:10" s="34" customFormat="1" x14ac:dyDescent="0.35">
      <c r="E10816" s="35"/>
      <c r="J10816" s="41"/>
    </row>
    <row r="10817" spans="5:10" s="34" customFormat="1" x14ac:dyDescent="0.35">
      <c r="E10817" s="35"/>
      <c r="J10817" s="41"/>
    </row>
    <row r="10818" spans="5:10" s="34" customFormat="1" x14ac:dyDescent="0.35">
      <c r="E10818" s="35"/>
      <c r="J10818" s="41"/>
    </row>
    <row r="10819" spans="5:10" s="34" customFormat="1" x14ac:dyDescent="0.35">
      <c r="E10819" s="35"/>
      <c r="J10819" s="41"/>
    </row>
    <row r="10820" spans="5:10" s="34" customFormat="1" x14ac:dyDescent="0.35">
      <c r="E10820" s="35"/>
      <c r="J10820" s="41"/>
    </row>
    <row r="10821" spans="5:10" s="34" customFormat="1" x14ac:dyDescent="0.35">
      <c r="E10821" s="35"/>
      <c r="J10821" s="41"/>
    </row>
    <row r="10822" spans="5:10" s="34" customFormat="1" x14ac:dyDescent="0.35">
      <c r="E10822" s="35"/>
      <c r="J10822" s="41"/>
    </row>
    <row r="10823" spans="5:10" s="34" customFormat="1" x14ac:dyDescent="0.35">
      <c r="E10823" s="35"/>
      <c r="J10823" s="41"/>
    </row>
    <row r="10824" spans="5:10" s="34" customFormat="1" x14ac:dyDescent="0.35">
      <c r="E10824" s="35"/>
      <c r="J10824" s="41"/>
    </row>
    <row r="10825" spans="5:10" s="34" customFormat="1" x14ac:dyDescent="0.35">
      <c r="E10825" s="35"/>
      <c r="J10825" s="41"/>
    </row>
    <row r="10826" spans="5:10" s="34" customFormat="1" x14ac:dyDescent="0.35">
      <c r="E10826" s="35"/>
      <c r="J10826" s="41"/>
    </row>
    <row r="10827" spans="5:10" s="34" customFormat="1" x14ac:dyDescent="0.35">
      <c r="E10827" s="35"/>
      <c r="J10827" s="41"/>
    </row>
    <row r="10828" spans="5:10" s="34" customFormat="1" x14ac:dyDescent="0.35">
      <c r="E10828" s="35"/>
      <c r="J10828" s="41"/>
    </row>
    <row r="10829" spans="5:10" s="34" customFormat="1" x14ac:dyDescent="0.35">
      <c r="E10829" s="35"/>
      <c r="J10829" s="41"/>
    </row>
    <row r="10830" spans="5:10" s="34" customFormat="1" x14ac:dyDescent="0.35">
      <c r="E10830" s="35"/>
      <c r="J10830" s="41"/>
    </row>
    <row r="10831" spans="5:10" s="34" customFormat="1" x14ac:dyDescent="0.35">
      <c r="E10831" s="35"/>
      <c r="J10831" s="41"/>
    </row>
    <row r="10832" spans="5:10" s="34" customFormat="1" x14ac:dyDescent="0.35">
      <c r="E10832" s="35"/>
      <c r="J10832" s="41"/>
    </row>
    <row r="10833" spans="5:10" s="34" customFormat="1" x14ac:dyDescent="0.35">
      <c r="E10833" s="35"/>
      <c r="J10833" s="41"/>
    </row>
    <row r="10834" spans="5:10" s="34" customFormat="1" x14ac:dyDescent="0.35">
      <c r="E10834" s="35"/>
      <c r="J10834" s="41"/>
    </row>
    <row r="10835" spans="5:10" s="34" customFormat="1" x14ac:dyDescent="0.35">
      <c r="E10835" s="35"/>
      <c r="J10835" s="41"/>
    </row>
    <row r="10836" spans="5:10" s="34" customFormat="1" x14ac:dyDescent="0.35">
      <c r="E10836" s="35"/>
      <c r="J10836" s="41"/>
    </row>
    <row r="10837" spans="5:10" s="34" customFormat="1" x14ac:dyDescent="0.35">
      <c r="E10837" s="35"/>
      <c r="J10837" s="41"/>
    </row>
    <row r="10838" spans="5:10" s="34" customFormat="1" x14ac:dyDescent="0.35">
      <c r="E10838" s="35"/>
      <c r="J10838" s="41"/>
    </row>
    <row r="10839" spans="5:10" s="34" customFormat="1" x14ac:dyDescent="0.35">
      <c r="E10839" s="35"/>
      <c r="J10839" s="41"/>
    </row>
    <row r="10840" spans="5:10" s="34" customFormat="1" x14ac:dyDescent="0.35">
      <c r="E10840" s="35"/>
      <c r="J10840" s="41"/>
    </row>
    <row r="10841" spans="5:10" s="34" customFormat="1" x14ac:dyDescent="0.35">
      <c r="E10841" s="35"/>
      <c r="J10841" s="41"/>
    </row>
    <row r="10842" spans="5:10" s="34" customFormat="1" x14ac:dyDescent="0.35">
      <c r="E10842" s="35"/>
      <c r="J10842" s="41"/>
    </row>
    <row r="10843" spans="5:10" s="34" customFormat="1" x14ac:dyDescent="0.35">
      <c r="E10843" s="35"/>
      <c r="J10843" s="41"/>
    </row>
    <row r="10844" spans="5:10" s="34" customFormat="1" x14ac:dyDescent="0.35">
      <c r="E10844" s="35"/>
      <c r="J10844" s="41"/>
    </row>
    <row r="10845" spans="5:10" s="34" customFormat="1" x14ac:dyDescent="0.35">
      <c r="E10845" s="35"/>
      <c r="J10845" s="41"/>
    </row>
    <row r="10846" spans="5:10" s="34" customFormat="1" x14ac:dyDescent="0.35">
      <c r="E10846" s="35"/>
      <c r="J10846" s="41"/>
    </row>
    <row r="10847" spans="5:10" s="34" customFormat="1" x14ac:dyDescent="0.35">
      <c r="E10847" s="35"/>
      <c r="J10847" s="41"/>
    </row>
    <row r="10848" spans="5:10" s="34" customFormat="1" x14ac:dyDescent="0.35">
      <c r="E10848" s="35"/>
      <c r="J10848" s="41"/>
    </row>
    <row r="10849" spans="5:10" s="34" customFormat="1" x14ac:dyDescent="0.35">
      <c r="E10849" s="35"/>
      <c r="J10849" s="41"/>
    </row>
    <row r="10850" spans="5:10" s="34" customFormat="1" x14ac:dyDescent="0.35">
      <c r="E10850" s="35"/>
      <c r="J10850" s="41"/>
    </row>
    <row r="10851" spans="5:10" s="34" customFormat="1" x14ac:dyDescent="0.35">
      <c r="E10851" s="35"/>
      <c r="J10851" s="41"/>
    </row>
    <row r="10852" spans="5:10" s="34" customFormat="1" x14ac:dyDescent="0.35">
      <c r="E10852" s="35"/>
      <c r="J10852" s="41"/>
    </row>
    <row r="10853" spans="5:10" s="34" customFormat="1" x14ac:dyDescent="0.35">
      <c r="E10853" s="35"/>
      <c r="J10853" s="41"/>
    </row>
    <row r="10854" spans="5:10" s="34" customFormat="1" x14ac:dyDescent="0.35">
      <c r="E10854" s="35"/>
      <c r="J10854" s="41"/>
    </row>
    <row r="10855" spans="5:10" s="34" customFormat="1" x14ac:dyDescent="0.35">
      <c r="E10855" s="35"/>
      <c r="J10855" s="41"/>
    </row>
    <row r="10856" spans="5:10" s="34" customFormat="1" x14ac:dyDescent="0.35">
      <c r="E10856" s="35"/>
      <c r="J10856" s="41"/>
    </row>
    <row r="10857" spans="5:10" s="34" customFormat="1" x14ac:dyDescent="0.35">
      <c r="E10857" s="35"/>
      <c r="J10857" s="41"/>
    </row>
    <row r="10858" spans="5:10" s="34" customFormat="1" x14ac:dyDescent="0.35">
      <c r="E10858" s="35"/>
      <c r="J10858" s="41"/>
    </row>
    <row r="10859" spans="5:10" s="34" customFormat="1" x14ac:dyDescent="0.35">
      <c r="E10859" s="35"/>
      <c r="J10859" s="41"/>
    </row>
    <row r="10860" spans="5:10" s="34" customFormat="1" x14ac:dyDescent="0.35">
      <c r="E10860" s="35"/>
      <c r="J10860" s="41"/>
    </row>
    <row r="10861" spans="5:10" s="34" customFormat="1" x14ac:dyDescent="0.35">
      <c r="E10861" s="35"/>
      <c r="J10861" s="41"/>
    </row>
    <row r="10862" spans="5:10" s="34" customFormat="1" x14ac:dyDescent="0.35">
      <c r="E10862" s="35"/>
      <c r="J10862" s="41"/>
    </row>
    <row r="10863" spans="5:10" s="34" customFormat="1" x14ac:dyDescent="0.35">
      <c r="E10863" s="35"/>
      <c r="J10863" s="41"/>
    </row>
    <row r="10864" spans="5:10" s="34" customFormat="1" x14ac:dyDescent="0.35">
      <c r="E10864" s="35"/>
      <c r="J10864" s="41"/>
    </row>
    <row r="10865" spans="5:10" s="34" customFormat="1" x14ac:dyDescent="0.35">
      <c r="E10865" s="35"/>
      <c r="J10865" s="41"/>
    </row>
    <row r="10866" spans="5:10" s="34" customFormat="1" x14ac:dyDescent="0.35">
      <c r="E10866" s="35"/>
      <c r="J10866" s="41"/>
    </row>
    <row r="10867" spans="5:10" s="34" customFormat="1" x14ac:dyDescent="0.35">
      <c r="E10867" s="35"/>
      <c r="J10867" s="41"/>
    </row>
    <row r="10868" spans="5:10" s="34" customFormat="1" x14ac:dyDescent="0.35">
      <c r="E10868" s="35"/>
      <c r="J10868" s="41"/>
    </row>
    <row r="10869" spans="5:10" s="34" customFormat="1" x14ac:dyDescent="0.35">
      <c r="E10869" s="35"/>
      <c r="J10869" s="41"/>
    </row>
    <row r="10870" spans="5:10" s="34" customFormat="1" x14ac:dyDescent="0.35">
      <c r="E10870" s="35"/>
      <c r="J10870" s="41"/>
    </row>
    <row r="10871" spans="5:10" s="34" customFormat="1" x14ac:dyDescent="0.35">
      <c r="E10871" s="35"/>
      <c r="J10871" s="41"/>
    </row>
    <row r="10872" spans="5:10" s="34" customFormat="1" x14ac:dyDescent="0.35">
      <c r="E10872" s="35"/>
      <c r="J10872" s="41"/>
    </row>
    <row r="10873" spans="5:10" s="34" customFormat="1" x14ac:dyDescent="0.35">
      <c r="E10873" s="35"/>
      <c r="J10873" s="41"/>
    </row>
    <row r="10874" spans="5:10" s="34" customFormat="1" x14ac:dyDescent="0.35">
      <c r="E10874" s="35"/>
      <c r="J10874" s="41"/>
    </row>
    <row r="10875" spans="5:10" s="34" customFormat="1" x14ac:dyDescent="0.35">
      <c r="E10875" s="35"/>
      <c r="J10875" s="41"/>
    </row>
    <row r="10876" spans="5:10" s="34" customFormat="1" x14ac:dyDescent="0.35">
      <c r="E10876" s="35"/>
      <c r="J10876" s="41"/>
    </row>
    <row r="10877" spans="5:10" s="34" customFormat="1" x14ac:dyDescent="0.35">
      <c r="E10877" s="35"/>
      <c r="J10877" s="41"/>
    </row>
    <row r="10878" spans="5:10" s="34" customFormat="1" x14ac:dyDescent="0.35">
      <c r="E10878" s="35"/>
      <c r="J10878" s="41"/>
    </row>
    <row r="10879" spans="5:10" s="34" customFormat="1" x14ac:dyDescent="0.35">
      <c r="E10879" s="35"/>
      <c r="J10879" s="41"/>
    </row>
    <row r="10880" spans="5:10" s="34" customFormat="1" x14ac:dyDescent="0.35">
      <c r="E10880" s="35"/>
      <c r="J10880" s="41"/>
    </row>
    <row r="10881" spans="5:10" s="34" customFormat="1" x14ac:dyDescent="0.35">
      <c r="E10881" s="35"/>
      <c r="J10881" s="41"/>
    </row>
    <row r="10882" spans="5:10" s="34" customFormat="1" x14ac:dyDescent="0.35">
      <c r="E10882" s="35"/>
      <c r="J10882" s="41"/>
    </row>
    <row r="10883" spans="5:10" s="34" customFormat="1" x14ac:dyDescent="0.35">
      <c r="E10883" s="35"/>
      <c r="J10883" s="41"/>
    </row>
    <row r="10884" spans="5:10" s="34" customFormat="1" x14ac:dyDescent="0.35">
      <c r="E10884" s="35"/>
      <c r="J10884" s="41"/>
    </row>
    <row r="10885" spans="5:10" s="34" customFormat="1" x14ac:dyDescent="0.35">
      <c r="E10885" s="35"/>
      <c r="J10885" s="41"/>
    </row>
    <row r="10886" spans="5:10" s="34" customFormat="1" x14ac:dyDescent="0.35">
      <c r="E10886" s="35"/>
      <c r="J10886" s="41"/>
    </row>
    <row r="10887" spans="5:10" s="34" customFormat="1" x14ac:dyDescent="0.35">
      <c r="E10887" s="35"/>
      <c r="J10887" s="41"/>
    </row>
    <row r="10888" spans="5:10" s="34" customFormat="1" x14ac:dyDescent="0.35">
      <c r="E10888" s="35"/>
      <c r="J10888" s="41"/>
    </row>
    <row r="10889" spans="5:10" s="34" customFormat="1" x14ac:dyDescent="0.35">
      <c r="E10889" s="35"/>
      <c r="J10889" s="41"/>
    </row>
    <row r="10890" spans="5:10" s="34" customFormat="1" x14ac:dyDescent="0.35">
      <c r="E10890" s="35"/>
      <c r="J10890" s="41"/>
    </row>
    <row r="10891" spans="5:10" s="34" customFormat="1" x14ac:dyDescent="0.35">
      <c r="E10891" s="35"/>
      <c r="J10891" s="41"/>
    </row>
    <row r="10892" spans="5:10" s="34" customFormat="1" x14ac:dyDescent="0.35">
      <c r="E10892" s="35"/>
      <c r="J10892" s="41"/>
    </row>
    <row r="10893" spans="5:10" s="34" customFormat="1" x14ac:dyDescent="0.35">
      <c r="E10893" s="35"/>
      <c r="J10893" s="41"/>
    </row>
    <row r="10894" spans="5:10" s="34" customFormat="1" x14ac:dyDescent="0.35">
      <c r="E10894" s="35"/>
      <c r="J10894" s="41"/>
    </row>
    <row r="10895" spans="5:10" s="34" customFormat="1" x14ac:dyDescent="0.35">
      <c r="E10895" s="35"/>
      <c r="J10895" s="41"/>
    </row>
    <row r="10896" spans="5:10" s="34" customFormat="1" x14ac:dyDescent="0.35">
      <c r="E10896" s="35"/>
      <c r="J10896" s="41"/>
    </row>
    <row r="10897" spans="5:10" s="34" customFormat="1" x14ac:dyDescent="0.35">
      <c r="E10897" s="35"/>
      <c r="J10897" s="41"/>
    </row>
    <row r="10898" spans="5:10" s="34" customFormat="1" x14ac:dyDescent="0.35">
      <c r="E10898" s="35"/>
      <c r="J10898" s="41"/>
    </row>
    <row r="10899" spans="5:10" s="34" customFormat="1" x14ac:dyDescent="0.35">
      <c r="E10899" s="35"/>
      <c r="J10899" s="41"/>
    </row>
    <row r="10900" spans="5:10" s="34" customFormat="1" x14ac:dyDescent="0.35">
      <c r="E10900" s="35"/>
      <c r="J10900" s="41"/>
    </row>
    <row r="10901" spans="5:10" s="34" customFormat="1" x14ac:dyDescent="0.35">
      <c r="E10901" s="35"/>
      <c r="J10901" s="41"/>
    </row>
    <row r="10902" spans="5:10" s="34" customFormat="1" x14ac:dyDescent="0.35">
      <c r="E10902" s="35"/>
      <c r="J10902" s="41"/>
    </row>
    <row r="10903" spans="5:10" s="34" customFormat="1" x14ac:dyDescent="0.35">
      <c r="E10903" s="35"/>
      <c r="J10903" s="41"/>
    </row>
    <row r="10904" spans="5:10" s="34" customFormat="1" x14ac:dyDescent="0.35">
      <c r="E10904" s="35"/>
      <c r="J10904" s="41"/>
    </row>
    <row r="10905" spans="5:10" s="34" customFormat="1" x14ac:dyDescent="0.35">
      <c r="E10905" s="35"/>
      <c r="J10905" s="41"/>
    </row>
    <row r="10906" spans="5:10" s="34" customFormat="1" x14ac:dyDescent="0.35">
      <c r="E10906" s="35"/>
      <c r="J10906" s="41"/>
    </row>
    <row r="10907" spans="5:10" s="34" customFormat="1" x14ac:dyDescent="0.35">
      <c r="E10907" s="35"/>
      <c r="J10907" s="41"/>
    </row>
    <row r="10908" spans="5:10" s="34" customFormat="1" x14ac:dyDescent="0.35">
      <c r="E10908" s="35"/>
      <c r="J10908" s="41"/>
    </row>
    <row r="10909" spans="5:10" s="34" customFormat="1" x14ac:dyDescent="0.35">
      <c r="E10909" s="35"/>
      <c r="J10909" s="41"/>
    </row>
    <row r="10910" spans="5:10" s="34" customFormat="1" x14ac:dyDescent="0.35">
      <c r="E10910" s="35"/>
      <c r="J10910" s="41"/>
    </row>
    <row r="10911" spans="5:10" s="34" customFormat="1" x14ac:dyDescent="0.35">
      <c r="E10911" s="35"/>
      <c r="J10911" s="41"/>
    </row>
    <row r="10912" spans="5:10" s="34" customFormat="1" x14ac:dyDescent="0.35">
      <c r="E10912" s="35"/>
      <c r="J10912" s="41"/>
    </row>
    <row r="10913" spans="5:10" s="34" customFormat="1" x14ac:dyDescent="0.35">
      <c r="E10913" s="35"/>
      <c r="J10913" s="41"/>
    </row>
    <row r="10914" spans="5:10" s="34" customFormat="1" x14ac:dyDescent="0.35">
      <c r="E10914" s="35"/>
      <c r="J10914" s="41"/>
    </row>
    <row r="10915" spans="5:10" s="34" customFormat="1" x14ac:dyDescent="0.35">
      <c r="E10915" s="35"/>
      <c r="J10915" s="41"/>
    </row>
    <row r="10916" spans="5:10" s="34" customFormat="1" x14ac:dyDescent="0.35">
      <c r="E10916" s="35"/>
      <c r="J10916" s="41"/>
    </row>
    <row r="10917" spans="5:10" s="34" customFormat="1" x14ac:dyDescent="0.35">
      <c r="E10917" s="35"/>
      <c r="J10917" s="41"/>
    </row>
    <row r="10918" spans="5:10" s="34" customFormat="1" x14ac:dyDescent="0.35">
      <c r="E10918" s="35"/>
      <c r="J10918" s="41"/>
    </row>
    <row r="10919" spans="5:10" s="34" customFormat="1" x14ac:dyDescent="0.35">
      <c r="E10919" s="35"/>
      <c r="J10919" s="41"/>
    </row>
    <row r="10920" spans="5:10" s="34" customFormat="1" x14ac:dyDescent="0.35">
      <c r="E10920" s="35"/>
      <c r="J10920" s="41"/>
    </row>
    <row r="10921" spans="5:10" s="34" customFormat="1" x14ac:dyDescent="0.35">
      <c r="E10921" s="35"/>
      <c r="J10921" s="41"/>
    </row>
    <row r="10922" spans="5:10" s="34" customFormat="1" x14ac:dyDescent="0.35">
      <c r="E10922" s="35"/>
      <c r="J10922" s="41"/>
    </row>
    <row r="10923" spans="5:10" s="34" customFormat="1" x14ac:dyDescent="0.35">
      <c r="E10923" s="35"/>
      <c r="J10923" s="41"/>
    </row>
    <row r="10924" spans="5:10" s="34" customFormat="1" x14ac:dyDescent="0.35">
      <c r="E10924" s="35"/>
      <c r="J10924" s="41"/>
    </row>
    <row r="10925" spans="5:10" s="34" customFormat="1" x14ac:dyDescent="0.35">
      <c r="E10925" s="35"/>
      <c r="J10925" s="41"/>
    </row>
    <row r="10926" spans="5:10" s="34" customFormat="1" x14ac:dyDescent="0.35">
      <c r="E10926" s="35"/>
      <c r="J10926" s="41"/>
    </row>
    <row r="10927" spans="5:10" s="34" customFormat="1" x14ac:dyDescent="0.35">
      <c r="E10927" s="35"/>
      <c r="J10927" s="41"/>
    </row>
    <row r="10928" spans="5:10" s="34" customFormat="1" x14ac:dyDescent="0.35">
      <c r="E10928" s="35"/>
      <c r="J10928" s="41"/>
    </row>
    <row r="10929" spans="5:10" s="34" customFormat="1" x14ac:dyDescent="0.35">
      <c r="E10929" s="35"/>
      <c r="J10929" s="41"/>
    </row>
    <row r="10930" spans="5:10" s="34" customFormat="1" x14ac:dyDescent="0.35">
      <c r="E10930" s="35"/>
      <c r="J10930" s="41"/>
    </row>
    <row r="10931" spans="5:10" s="34" customFormat="1" x14ac:dyDescent="0.35">
      <c r="E10931" s="35"/>
      <c r="J10931" s="41"/>
    </row>
    <row r="10932" spans="5:10" s="34" customFormat="1" x14ac:dyDescent="0.35">
      <c r="E10932" s="35"/>
      <c r="J10932" s="41"/>
    </row>
    <row r="10933" spans="5:10" s="34" customFormat="1" x14ac:dyDescent="0.35">
      <c r="E10933" s="35"/>
      <c r="J10933" s="41"/>
    </row>
    <row r="10934" spans="5:10" s="34" customFormat="1" x14ac:dyDescent="0.35">
      <c r="E10934" s="35"/>
      <c r="J10934" s="41"/>
    </row>
    <row r="10935" spans="5:10" s="34" customFormat="1" x14ac:dyDescent="0.35">
      <c r="E10935" s="35"/>
      <c r="J10935" s="41"/>
    </row>
    <row r="10936" spans="5:10" s="34" customFormat="1" x14ac:dyDescent="0.35">
      <c r="E10936" s="35"/>
      <c r="J10936" s="41"/>
    </row>
    <row r="10937" spans="5:10" s="34" customFormat="1" x14ac:dyDescent="0.35">
      <c r="E10937" s="35"/>
      <c r="J10937" s="41"/>
    </row>
    <row r="10938" spans="5:10" s="34" customFormat="1" x14ac:dyDescent="0.35">
      <c r="E10938" s="35"/>
      <c r="J10938" s="41"/>
    </row>
    <row r="10939" spans="5:10" s="34" customFormat="1" x14ac:dyDescent="0.35">
      <c r="E10939" s="35"/>
      <c r="J10939" s="41"/>
    </row>
    <row r="10940" spans="5:10" s="34" customFormat="1" x14ac:dyDescent="0.35">
      <c r="E10940" s="35"/>
      <c r="J10940" s="41"/>
    </row>
    <row r="10941" spans="5:10" s="34" customFormat="1" x14ac:dyDescent="0.35">
      <c r="E10941" s="35"/>
      <c r="J10941" s="41"/>
    </row>
    <row r="10942" spans="5:10" s="34" customFormat="1" x14ac:dyDescent="0.35">
      <c r="E10942" s="35"/>
      <c r="J10942" s="41"/>
    </row>
    <row r="10943" spans="5:10" s="34" customFormat="1" x14ac:dyDescent="0.35">
      <c r="E10943" s="35"/>
      <c r="J10943" s="41"/>
    </row>
    <row r="10944" spans="5:10" s="34" customFormat="1" x14ac:dyDescent="0.35">
      <c r="E10944" s="35"/>
      <c r="J10944" s="41"/>
    </row>
    <row r="10945" spans="5:10" s="34" customFormat="1" x14ac:dyDescent="0.35">
      <c r="E10945" s="35"/>
      <c r="J10945" s="41"/>
    </row>
    <row r="10946" spans="5:10" s="34" customFormat="1" x14ac:dyDescent="0.35">
      <c r="E10946" s="35"/>
      <c r="J10946" s="41"/>
    </row>
    <row r="10947" spans="5:10" s="34" customFormat="1" x14ac:dyDescent="0.35">
      <c r="E10947" s="35"/>
      <c r="J10947" s="41"/>
    </row>
    <row r="10948" spans="5:10" s="34" customFormat="1" x14ac:dyDescent="0.35">
      <c r="E10948" s="35"/>
      <c r="J10948" s="41"/>
    </row>
    <row r="10949" spans="5:10" s="34" customFormat="1" x14ac:dyDescent="0.35">
      <c r="E10949" s="35"/>
      <c r="J10949" s="41"/>
    </row>
    <row r="10950" spans="5:10" s="34" customFormat="1" x14ac:dyDescent="0.35">
      <c r="E10950" s="35"/>
      <c r="J10950" s="41"/>
    </row>
    <row r="10951" spans="5:10" s="34" customFormat="1" x14ac:dyDescent="0.35">
      <c r="E10951" s="35"/>
      <c r="J10951" s="41"/>
    </row>
    <row r="10952" spans="5:10" s="34" customFormat="1" x14ac:dyDescent="0.35">
      <c r="E10952" s="35"/>
      <c r="J10952" s="41"/>
    </row>
    <row r="10953" spans="5:10" s="34" customFormat="1" x14ac:dyDescent="0.35">
      <c r="E10953" s="35"/>
      <c r="J10953" s="41"/>
    </row>
    <row r="10954" spans="5:10" s="34" customFormat="1" x14ac:dyDescent="0.35">
      <c r="E10954" s="35"/>
      <c r="J10954" s="41"/>
    </row>
    <row r="10955" spans="5:10" s="34" customFormat="1" x14ac:dyDescent="0.35">
      <c r="E10955" s="35"/>
      <c r="J10955" s="41"/>
    </row>
    <row r="10956" spans="5:10" s="34" customFormat="1" x14ac:dyDescent="0.35">
      <c r="E10956" s="35"/>
      <c r="J10956" s="41"/>
    </row>
    <row r="10957" spans="5:10" s="34" customFormat="1" x14ac:dyDescent="0.35">
      <c r="E10957" s="35"/>
      <c r="J10957" s="41"/>
    </row>
    <row r="10958" spans="5:10" s="34" customFormat="1" x14ac:dyDescent="0.35">
      <c r="E10958" s="35"/>
      <c r="J10958" s="41"/>
    </row>
    <row r="10959" spans="5:10" s="34" customFormat="1" x14ac:dyDescent="0.35">
      <c r="E10959" s="35"/>
      <c r="J10959" s="41"/>
    </row>
    <row r="10960" spans="5:10" s="34" customFormat="1" x14ac:dyDescent="0.35">
      <c r="E10960" s="35"/>
      <c r="J10960" s="41"/>
    </row>
    <row r="10961" spans="5:10" s="34" customFormat="1" x14ac:dyDescent="0.35">
      <c r="E10961" s="35"/>
      <c r="J10961" s="41"/>
    </row>
    <row r="10962" spans="5:10" s="34" customFormat="1" x14ac:dyDescent="0.35">
      <c r="E10962" s="35"/>
      <c r="J10962" s="41"/>
    </row>
    <row r="10963" spans="5:10" s="34" customFormat="1" x14ac:dyDescent="0.35">
      <c r="E10963" s="35"/>
      <c r="J10963" s="41"/>
    </row>
    <row r="10964" spans="5:10" s="34" customFormat="1" x14ac:dyDescent="0.35">
      <c r="E10964" s="35"/>
      <c r="J10964" s="41"/>
    </row>
    <row r="10965" spans="5:10" s="34" customFormat="1" x14ac:dyDescent="0.35">
      <c r="E10965" s="35"/>
      <c r="J10965" s="41"/>
    </row>
    <row r="10966" spans="5:10" s="34" customFormat="1" x14ac:dyDescent="0.35">
      <c r="E10966" s="35"/>
      <c r="J10966" s="41"/>
    </row>
    <row r="10967" spans="5:10" s="34" customFormat="1" x14ac:dyDescent="0.35">
      <c r="E10967" s="35"/>
      <c r="J10967" s="41"/>
    </row>
    <row r="10968" spans="5:10" s="34" customFormat="1" x14ac:dyDescent="0.35">
      <c r="E10968" s="35"/>
      <c r="J10968" s="41"/>
    </row>
    <row r="10969" spans="5:10" s="34" customFormat="1" x14ac:dyDescent="0.35">
      <c r="E10969" s="35"/>
      <c r="J10969" s="41"/>
    </row>
    <row r="10970" spans="5:10" s="34" customFormat="1" x14ac:dyDescent="0.35">
      <c r="E10970" s="35"/>
      <c r="J10970" s="41"/>
    </row>
    <row r="10971" spans="5:10" s="34" customFormat="1" x14ac:dyDescent="0.35">
      <c r="E10971" s="35"/>
      <c r="J10971" s="41"/>
    </row>
    <row r="10972" spans="5:10" s="34" customFormat="1" x14ac:dyDescent="0.35">
      <c r="E10972" s="35"/>
      <c r="J10972" s="41"/>
    </row>
    <row r="10973" spans="5:10" s="34" customFormat="1" x14ac:dyDescent="0.35">
      <c r="E10973" s="35"/>
      <c r="J10973" s="41"/>
    </row>
    <row r="10974" spans="5:10" s="34" customFormat="1" x14ac:dyDescent="0.35">
      <c r="E10974" s="35"/>
      <c r="J10974" s="41"/>
    </row>
    <row r="10975" spans="5:10" s="34" customFormat="1" x14ac:dyDescent="0.35">
      <c r="E10975" s="35"/>
      <c r="J10975" s="41"/>
    </row>
    <row r="10976" spans="5:10" s="34" customFormat="1" x14ac:dyDescent="0.35">
      <c r="E10976" s="35"/>
      <c r="J10976" s="41"/>
    </row>
    <row r="10977" spans="5:10" s="34" customFormat="1" x14ac:dyDescent="0.35">
      <c r="E10977" s="35"/>
      <c r="J10977" s="41"/>
    </row>
    <row r="10978" spans="5:10" s="34" customFormat="1" x14ac:dyDescent="0.35">
      <c r="E10978" s="35"/>
      <c r="J10978" s="41"/>
    </row>
    <row r="10979" spans="5:10" s="34" customFormat="1" x14ac:dyDescent="0.35">
      <c r="E10979" s="35"/>
      <c r="J10979" s="41"/>
    </row>
    <row r="10980" spans="5:10" s="34" customFormat="1" x14ac:dyDescent="0.35">
      <c r="E10980" s="35"/>
      <c r="J10980" s="41"/>
    </row>
    <row r="10981" spans="5:10" s="34" customFormat="1" x14ac:dyDescent="0.35">
      <c r="E10981" s="35"/>
      <c r="J10981" s="41"/>
    </row>
    <row r="10982" spans="5:10" s="34" customFormat="1" x14ac:dyDescent="0.35">
      <c r="E10982" s="35"/>
      <c r="J10982" s="41"/>
    </row>
    <row r="10983" spans="5:10" s="34" customFormat="1" x14ac:dyDescent="0.35">
      <c r="E10983" s="35"/>
      <c r="J10983" s="41"/>
    </row>
    <row r="10984" spans="5:10" s="34" customFormat="1" x14ac:dyDescent="0.35">
      <c r="E10984" s="35"/>
      <c r="J10984" s="41"/>
    </row>
    <row r="10985" spans="5:10" s="34" customFormat="1" x14ac:dyDescent="0.35">
      <c r="E10985" s="35"/>
      <c r="J10985" s="41"/>
    </row>
    <row r="10986" spans="5:10" s="34" customFormat="1" x14ac:dyDescent="0.35">
      <c r="E10986" s="35"/>
      <c r="J10986" s="41"/>
    </row>
    <row r="10987" spans="5:10" s="34" customFormat="1" x14ac:dyDescent="0.35">
      <c r="E10987" s="35"/>
      <c r="J10987" s="41"/>
    </row>
    <row r="10988" spans="5:10" s="34" customFormat="1" x14ac:dyDescent="0.35">
      <c r="E10988" s="35"/>
      <c r="J10988" s="41"/>
    </row>
    <row r="10989" spans="5:10" s="34" customFormat="1" x14ac:dyDescent="0.35">
      <c r="E10989" s="35"/>
      <c r="J10989" s="41"/>
    </row>
    <row r="10990" spans="5:10" s="34" customFormat="1" x14ac:dyDescent="0.35">
      <c r="E10990" s="35"/>
      <c r="J10990" s="41"/>
    </row>
    <row r="10991" spans="5:10" s="34" customFormat="1" x14ac:dyDescent="0.35">
      <c r="E10991" s="35"/>
      <c r="J10991" s="41"/>
    </row>
    <row r="10992" spans="5:10" s="34" customFormat="1" x14ac:dyDescent="0.35">
      <c r="E10992" s="35"/>
      <c r="J10992" s="41"/>
    </row>
    <row r="10993" spans="5:10" s="34" customFormat="1" x14ac:dyDescent="0.35">
      <c r="E10993" s="35"/>
      <c r="J10993" s="41"/>
    </row>
    <row r="10994" spans="5:10" s="34" customFormat="1" x14ac:dyDescent="0.35">
      <c r="E10994" s="35"/>
      <c r="J10994" s="41"/>
    </row>
    <row r="10995" spans="5:10" s="34" customFormat="1" x14ac:dyDescent="0.35">
      <c r="E10995" s="35"/>
      <c r="J10995" s="41"/>
    </row>
    <row r="10996" spans="5:10" s="34" customFormat="1" x14ac:dyDescent="0.35">
      <c r="E10996" s="35"/>
      <c r="J10996" s="41"/>
    </row>
    <row r="10997" spans="5:10" s="34" customFormat="1" x14ac:dyDescent="0.35">
      <c r="E10997" s="35"/>
      <c r="J10997" s="41"/>
    </row>
    <row r="10998" spans="5:10" s="34" customFormat="1" x14ac:dyDescent="0.35">
      <c r="E10998" s="35"/>
      <c r="J10998" s="41"/>
    </row>
    <row r="10999" spans="5:10" s="34" customFormat="1" x14ac:dyDescent="0.35">
      <c r="E10999" s="35"/>
      <c r="J10999" s="41"/>
    </row>
    <row r="11000" spans="5:10" s="34" customFormat="1" x14ac:dyDescent="0.35">
      <c r="E11000" s="35"/>
      <c r="J11000" s="41"/>
    </row>
    <row r="11001" spans="5:10" s="34" customFormat="1" x14ac:dyDescent="0.35">
      <c r="E11001" s="35"/>
      <c r="J11001" s="41"/>
    </row>
    <row r="11002" spans="5:10" s="34" customFormat="1" x14ac:dyDescent="0.35">
      <c r="E11002" s="35"/>
      <c r="J11002" s="41"/>
    </row>
    <row r="11003" spans="5:10" s="34" customFormat="1" x14ac:dyDescent="0.35">
      <c r="E11003" s="35"/>
      <c r="J11003" s="41"/>
    </row>
    <row r="11004" spans="5:10" s="34" customFormat="1" x14ac:dyDescent="0.35">
      <c r="E11004" s="35"/>
      <c r="J11004" s="41"/>
    </row>
    <row r="11005" spans="5:10" s="34" customFormat="1" x14ac:dyDescent="0.35">
      <c r="E11005" s="35"/>
      <c r="J11005" s="41"/>
    </row>
    <row r="11006" spans="5:10" s="34" customFormat="1" x14ac:dyDescent="0.35">
      <c r="E11006" s="35"/>
      <c r="J11006" s="41"/>
    </row>
    <row r="11007" spans="5:10" s="34" customFormat="1" x14ac:dyDescent="0.35">
      <c r="E11007" s="35"/>
      <c r="J11007" s="41"/>
    </row>
    <row r="11008" spans="5:10" s="34" customFormat="1" x14ac:dyDescent="0.35">
      <c r="E11008" s="35"/>
      <c r="J11008" s="41"/>
    </row>
    <row r="11009" spans="5:10" s="34" customFormat="1" x14ac:dyDescent="0.35">
      <c r="E11009" s="35"/>
      <c r="J11009" s="41"/>
    </row>
    <row r="11010" spans="5:10" s="34" customFormat="1" x14ac:dyDescent="0.35">
      <c r="E11010" s="35"/>
      <c r="J11010" s="41"/>
    </row>
    <row r="11011" spans="5:10" s="34" customFormat="1" x14ac:dyDescent="0.35">
      <c r="E11011" s="35"/>
      <c r="J11011" s="41"/>
    </row>
    <row r="11012" spans="5:10" s="34" customFormat="1" x14ac:dyDescent="0.35">
      <c r="E11012" s="35"/>
      <c r="J11012" s="41"/>
    </row>
    <row r="11013" spans="5:10" s="34" customFormat="1" x14ac:dyDescent="0.35">
      <c r="E11013" s="35"/>
      <c r="J11013" s="41"/>
    </row>
    <row r="11014" spans="5:10" s="34" customFormat="1" x14ac:dyDescent="0.35">
      <c r="E11014" s="35"/>
      <c r="J11014" s="41"/>
    </row>
    <row r="11015" spans="5:10" s="34" customFormat="1" x14ac:dyDescent="0.35">
      <c r="E11015" s="35"/>
      <c r="J11015" s="41"/>
    </row>
    <row r="11016" spans="5:10" s="34" customFormat="1" x14ac:dyDescent="0.35">
      <c r="E11016" s="35"/>
      <c r="J11016" s="41"/>
    </row>
    <row r="11017" spans="5:10" s="34" customFormat="1" x14ac:dyDescent="0.35">
      <c r="E11017" s="35"/>
      <c r="J11017" s="41"/>
    </row>
    <row r="11018" spans="5:10" s="34" customFormat="1" x14ac:dyDescent="0.35">
      <c r="E11018" s="35"/>
      <c r="J11018" s="41"/>
    </row>
    <row r="11019" spans="5:10" s="34" customFormat="1" x14ac:dyDescent="0.35">
      <c r="E11019" s="35"/>
      <c r="J11019" s="41"/>
    </row>
    <row r="11020" spans="5:10" s="34" customFormat="1" x14ac:dyDescent="0.35">
      <c r="E11020" s="35"/>
      <c r="J11020" s="41"/>
    </row>
    <row r="11021" spans="5:10" s="34" customFormat="1" x14ac:dyDescent="0.35">
      <c r="E11021" s="35"/>
      <c r="J11021" s="41"/>
    </row>
    <row r="11022" spans="5:10" s="34" customFormat="1" x14ac:dyDescent="0.35">
      <c r="E11022" s="35"/>
      <c r="J11022" s="41"/>
    </row>
    <row r="11023" spans="5:10" s="34" customFormat="1" x14ac:dyDescent="0.35">
      <c r="E11023" s="35"/>
      <c r="J11023" s="41"/>
    </row>
    <row r="11024" spans="5:10" s="34" customFormat="1" x14ac:dyDescent="0.35">
      <c r="E11024" s="35"/>
      <c r="J11024" s="41"/>
    </row>
    <row r="11025" spans="5:10" s="34" customFormat="1" x14ac:dyDescent="0.35">
      <c r="E11025" s="35"/>
      <c r="J11025" s="41"/>
    </row>
    <row r="11026" spans="5:10" s="34" customFormat="1" x14ac:dyDescent="0.35">
      <c r="E11026" s="35"/>
      <c r="J11026" s="41"/>
    </row>
    <row r="11027" spans="5:10" s="34" customFormat="1" x14ac:dyDescent="0.35">
      <c r="E11027" s="35"/>
      <c r="J11027" s="41"/>
    </row>
    <row r="11028" spans="5:10" s="34" customFormat="1" x14ac:dyDescent="0.35">
      <c r="E11028" s="35"/>
      <c r="J11028" s="41"/>
    </row>
    <row r="11029" spans="5:10" s="34" customFormat="1" x14ac:dyDescent="0.35">
      <c r="E11029" s="35"/>
      <c r="J11029" s="41"/>
    </row>
    <row r="11030" spans="5:10" s="34" customFormat="1" x14ac:dyDescent="0.35">
      <c r="E11030" s="35"/>
      <c r="J11030" s="41"/>
    </row>
    <row r="11031" spans="5:10" s="34" customFormat="1" x14ac:dyDescent="0.35">
      <c r="E11031" s="35"/>
      <c r="J11031" s="41"/>
    </row>
    <row r="11032" spans="5:10" s="34" customFormat="1" x14ac:dyDescent="0.35">
      <c r="E11032" s="35"/>
      <c r="J11032" s="41"/>
    </row>
    <row r="11033" spans="5:10" s="34" customFormat="1" x14ac:dyDescent="0.35">
      <c r="E11033" s="35"/>
      <c r="J11033" s="41"/>
    </row>
    <row r="11034" spans="5:10" s="34" customFormat="1" x14ac:dyDescent="0.35">
      <c r="E11034" s="35"/>
      <c r="J11034" s="41"/>
    </row>
    <row r="11035" spans="5:10" s="34" customFormat="1" x14ac:dyDescent="0.35">
      <c r="E11035" s="35"/>
      <c r="J11035" s="41"/>
    </row>
    <row r="11036" spans="5:10" s="34" customFormat="1" x14ac:dyDescent="0.35">
      <c r="E11036" s="35"/>
      <c r="J11036" s="41"/>
    </row>
    <row r="11037" spans="5:10" s="34" customFormat="1" x14ac:dyDescent="0.35">
      <c r="E11037" s="35"/>
      <c r="J11037" s="41"/>
    </row>
    <row r="11038" spans="5:10" s="34" customFormat="1" x14ac:dyDescent="0.35">
      <c r="E11038" s="35"/>
      <c r="J11038" s="41"/>
    </row>
    <row r="11039" spans="5:10" s="34" customFormat="1" x14ac:dyDescent="0.35">
      <c r="E11039" s="35"/>
      <c r="J11039" s="41"/>
    </row>
    <row r="11040" spans="5:10" s="34" customFormat="1" x14ac:dyDescent="0.35">
      <c r="E11040" s="35"/>
      <c r="J11040" s="41"/>
    </row>
    <row r="11041" spans="5:10" s="34" customFormat="1" x14ac:dyDescent="0.35">
      <c r="E11041" s="35"/>
      <c r="J11041" s="41"/>
    </row>
    <row r="11042" spans="5:10" s="34" customFormat="1" x14ac:dyDescent="0.35">
      <c r="E11042" s="35"/>
      <c r="J11042" s="41"/>
    </row>
    <row r="11043" spans="5:10" s="34" customFormat="1" x14ac:dyDescent="0.35">
      <c r="E11043" s="35"/>
      <c r="J11043" s="41"/>
    </row>
    <row r="11044" spans="5:10" s="34" customFormat="1" x14ac:dyDescent="0.35">
      <c r="E11044" s="35"/>
      <c r="J11044" s="41"/>
    </row>
    <row r="11045" spans="5:10" s="34" customFormat="1" x14ac:dyDescent="0.35">
      <c r="E11045" s="35"/>
      <c r="J11045" s="41"/>
    </row>
    <row r="11046" spans="5:10" s="34" customFormat="1" x14ac:dyDescent="0.35">
      <c r="E11046" s="35"/>
      <c r="J11046" s="41"/>
    </row>
    <row r="11047" spans="5:10" s="34" customFormat="1" x14ac:dyDescent="0.35">
      <c r="E11047" s="35"/>
      <c r="J11047" s="41"/>
    </row>
    <row r="11048" spans="5:10" s="34" customFormat="1" x14ac:dyDescent="0.35">
      <c r="E11048" s="35"/>
      <c r="J11048" s="41"/>
    </row>
    <row r="11049" spans="5:10" s="34" customFormat="1" x14ac:dyDescent="0.35">
      <c r="E11049" s="35"/>
      <c r="J11049" s="41"/>
    </row>
    <row r="11050" spans="5:10" s="34" customFormat="1" x14ac:dyDescent="0.35">
      <c r="E11050" s="35"/>
      <c r="J11050" s="41"/>
    </row>
    <row r="11051" spans="5:10" s="34" customFormat="1" x14ac:dyDescent="0.35">
      <c r="E11051" s="35"/>
      <c r="J11051" s="41"/>
    </row>
    <row r="11052" spans="5:10" s="34" customFormat="1" x14ac:dyDescent="0.35">
      <c r="E11052" s="35"/>
      <c r="J11052" s="41"/>
    </row>
    <row r="11053" spans="5:10" s="34" customFormat="1" x14ac:dyDescent="0.35">
      <c r="E11053" s="35"/>
      <c r="J11053" s="41"/>
    </row>
    <row r="11054" spans="5:10" s="34" customFormat="1" x14ac:dyDescent="0.35">
      <c r="E11054" s="35"/>
      <c r="J11054" s="41"/>
    </row>
    <row r="11055" spans="5:10" s="34" customFormat="1" x14ac:dyDescent="0.35">
      <c r="E11055" s="35"/>
      <c r="J11055" s="41"/>
    </row>
    <row r="11056" spans="5:10" s="34" customFormat="1" x14ac:dyDescent="0.35">
      <c r="E11056" s="35"/>
      <c r="J11056" s="41"/>
    </row>
    <row r="11057" spans="5:10" s="34" customFormat="1" x14ac:dyDescent="0.35">
      <c r="E11057" s="35"/>
      <c r="J11057" s="41"/>
    </row>
    <row r="11058" spans="5:10" s="34" customFormat="1" x14ac:dyDescent="0.35">
      <c r="E11058" s="35"/>
      <c r="J11058" s="41"/>
    </row>
    <row r="11059" spans="5:10" s="34" customFormat="1" x14ac:dyDescent="0.35">
      <c r="E11059" s="35"/>
      <c r="J11059" s="41"/>
    </row>
    <row r="11060" spans="5:10" s="34" customFormat="1" x14ac:dyDescent="0.35">
      <c r="E11060" s="35"/>
      <c r="J11060" s="41"/>
    </row>
    <row r="11061" spans="5:10" s="34" customFormat="1" x14ac:dyDescent="0.35">
      <c r="E11061" s="35"/>
      <c r="J11061" s="41"/>
    </row>
    <row r="11062" spans="5:10" s="34" customFormat="1" x14ac:dyDescent="0.35">
      <c r="E11062" s="35"/>
      <c r="J11062" s="41"/>
    </row>
    <row r="11063" spans="5:10" s="34" customFormat="1" x14ac:dyDescent="0.35">
      <c r="E11063" s="35"/>
      <c r="J11063" s="41"/>
    </row>
    <row r="11064" spans="5:10" s="34" customFormat="1" x14ac:dyDescent="0.35">
      <c r="E11064" s="35"/>
      <c r="J11064" s="41"/>
    </row>
    <row r="11065" spans="5:10" s="34" customFormat="1" x14ac:dyDescent="0.35">
      <c r="E11065" s="35"/>
      <c r="J11065" s="41"/>
    </row>
    <row r="11066" spans="5:10" s="34" customFormat="1" x14ac:dyDescent="0.35">
      <c r="E11066" s="35"/>
      <c r="J11066" s="41"/>
    </row>
    <row r="11067" spans="5:10" s="34" customFormat="1" x14ac:dyDescent="0.35">
      <c r="E11067" s="35"/>
      <c r="J11067" s="41"/>
    </row>
    <row r="11068" spans="5:10" s="34" customFormat="1" x14ac:dyDescent="0.35">
      <c r="E11068" s="35"/>
      <c r="J11068" s="41"/>
    </row>
    <row r="11069" spans="5:10" s="34" customFormat="1" x14ac:dyDescent="0.35">
      <c r="E11069" s="35"/>
      <c r="J11069" s="41"/>
    </row>
    <row r="11070" spans="5:10" s="34" customFormat="1" x14ac:dyDescent="0.35">
      <c r="E11070" s="35"/>
      <c r="J11070" s="41"/>
    </row>
    <row r="11071" spans="5:10" s="34" customFormat="1" x14ac:dyDescent="0.35">
      <c r="E11071" s="35"/>
      <c r="J11071" s="41"/>
    </row>
    <row r="11072" spans="5:10" s="34" customFormat="1" x14ac:dyDescent="0.35">
      <c r="E11072" s="35"/>
      <c r="J11072" s="41"/>
    </row>
    <row r="11073" spans="5:10" s="34" customFormat="1" x14ac:dyDescent="0.35">
      <c r="E11073" s="35"/>
      <c r="J11073" s="41"/>
    </row>
    <row r="11074" spans="5:10" s="34" customFormat="1" x14ac:dyDescent="0.35">
      <c r="E11074" s="35"/>
      <c r="J11074" s="41"/>
    </row>
    <row r="11075" spans="5:10" s="34" customFormat="1" x14ac:dyDescent="0.35">
      <c r="E11075" s="35"/>
      <c r="J11075" s="41"/>
    </row>
    <row r="11076" spans="5:10" s="34" customFormat="1" x14ac:dyDescent="0.35">
      <c r="E11076" s="35"/>
      <c r="J11076" s="41"/>
    </row>
    <row r="11077" spans="5:10" s="34" customFormat="1" x14ac:dyDescent="0.35">
      <c r="E11077" s="35"/>
      <c r="J11077" s="41"/>
    </row>
    <row r="11078" spans="5:10" s="34" customFormat="1" x14ac:dyDescent="0.35">
      <c r="E11078" s="35"/>
      <c r="J11078" s="41"/>
    </row>
    <row r="11079" spans="5:10" s="34" customFormat="1" x14ac:dyDescent="0.35">
      <c r="E11079" s="35"/>
      <c r="J11079" s="41"/>
    </row>
    <row r="11080" spans="5:10" s="34" customFormat="1" x14ac:dyDescent="0.35">
      <c r="E11080" s="35"/>
      <c r="J11080" s="41"/>
    </row>
    <row r="11081" spans="5:10" s="34" customFormat="1" x14ac:dyDescent="0.35">
      <c r="E11081" s="35"/>
      <c r="J11081" s="41"/>
    </row>
    <row r="11082" spans="5:10" s="34" customFormat="1" x14ac:dyDescent="0.35">
      <c r="E11082" s="35"/>
      <c r="J11082" s="41"/>
    </row>
    <row r="11083" spans="5:10" s="34" customFormat="1" x14ac:dyDescent="0.35">
      <c r="E11083" s="35"/>
      <c r="J11083" s="41"/>
    </row>
    <row r="11084" spans="5:10" s="34" customFormat="1" x14ac:dyDescent="0.35">
      <c r="E11084" s="35"/>
      <c r="J11084" s="41"/>
    </row>
    <row r="11085" spans="5:10" s="34" customFormat="1" x14ac:dyDescent="0.35">
      <c r="E11085" s="35"/>
      <c r="J11085" s="41"/>
    </row>
    <row r="11086" spans="5:10" s="34" customFormat="1" x14ac:dyDescent="0.35">
      <c r="E11086" s="35"/>
      <c r="J11086" s="41"/>
    </row>
    <row r="11087" spans="5:10" s="34" customFormat="1" x14ac:dyDescent="0.35">
      <c r="E11087" s="35"/>
      <c r="J11087" s="41"/>
    </row>
    <row r="11088" spans="5:10" s="34" customFormat="1" x14ac:dyDescent="0.35">
      <c r="E11088" s="35"/>
      <c r="J11088" s="41"/>
    </row>
    <row r="11089" spans="5:10" s="34" customFormat="1" x14ac:dyDescent="0.35">
      <c r="E11089" s="35"/>
      <c r="J11089" s="41"/>
    </row>
    <row r="11090" spans="5:10" s="34" customFormat="1" x14ac:dyDescent="0.35">
      <c r="E11090" s="35"/>
      <c r="J11090" s="41"/>
    </row>
    <row r="11091" spans="5:10" s="34" customFormat="1" x14ac:dyDescent="0.35">
      <c r="E11091" s="35"/>
      <c r="J11091" s="41"/>
    </row>
    <row r="11092" spans="5:10" s="34" customFormat="1" x14ac:dyDescent="0.35">
      <c r="E11092" s="35"/>
      <c r="J11092" s="41"/>
    </row>
    <row r="11093" spans="5:10" s="34" customFormat="1" x14ac:dyDescent="0.35">
      <c r="E11093" s="35"/>
      <c r="J11093" s="41"/>
    </row>
    <row r="11094" spans="5:10" s="34" customFormat="1" x14ac:dyDescent="0.35">
      <c r="E11094" s="35"/>
      <c r="J11094" s="41"/>
    </row>
    <row r="11095" spans="5:10" s="34" customFormat="1" x14ac:dyDescent="0.35">
      <c r="E11095" s="35"/>
      <c r="J11095" s="41"/>
    </row>
    <row r="11096" spans="5:10" s="34" customFormat="1" x14ac:dyDescent="0.35">
      <c r="E11096" s="35"/>
      <c r="J11096" s="41"/>
    </row>
    <row r="11097" spans="5:10" s="34" customFormat="1" x14ac:dyDescent="0.35">
      <c r="E11097" s="35"/>
      <c r="J11097" s="41"/>
    </row>
    <row r="11098" spans="5:10" s="34" customFormat="1" x14ac:dyDescent="0.35">
      <c r="E11098" s="35"/>
      <c r="J11098" s="41"/>
    </row>
    <row r="11099" spans="5:10" s="34" customFormat="1" x14ac:dyDescent="0.35">
      <c r="E11099" s="35"/>
      <c r="J11099" s="41"/>
    </row>
    <row r="11100" spans="5:10" s="34" customFormat="1" x14ac:dyDescent="0.35">
      <c r="E11100" s="35"/>
      <c r="J11100" s="41"/>
    </row>
    <row r="11101" spans="5:10" s="34" customFormat="1" x14ac:dyDescent="0.35">
      <c r="E11101" s="35"/>
      <c r="J11101" s="41"/>
    </row>
    <row r="11102" spans="5:10" s="34" customFormat="1" x14ac:dyDescent="0.35">
      <c r="E11102" s="35"/>
      <c r="J11102" s="41"/>
    </row>
    <row r="11103" spans="5:10" s="34" customFormat="1" x14ac:dyDescent="0.35">
      <c r="E11103" s="35"/>
      <c r="J11103" s="41"/>
    </row>
    <row r="11104" spans="5:10" s="34" customFormat="1" x14ac:dyDescent="0.35">
      <c r="E11104" s="35"/>
      <c r="J11104" s="41"/>
    </row>
    <row r="11105" spans="5:10" s="34" customFormat="1" x14ac:dyDescent="0.35">
      <c r="E11105" s="35"/>
      <c r="J11105" s="41"/>
    </row>
    <row r="11106" spans="5:10" s="34" customFormat="1" x14ac:dyDescent="0.35">
      <c r="E11106" s="35"/>
      <c r="J11106" s="41"/>
    </row>
    <row r="11107" spans="5:10" s="34" customFormat="1" x14ac:dyDescent="0.35">
      <c r="E11107" s="35"/>
      <c r="J11107" s="41"/>
    </row>
    <row r="11108" spans="5:10" s="34" customFormat="1" x14ac:dyDescent="0.35">
      <c r="E11108" s="35"/>
      <c r="J11108" s="41"/>
    </row>
    <row r="11109" spans="5:10" s="34" customFormat="1" x14ac:dyDescent="0.35">
      <c r="E11109" s="35"/>
      <c r="J11109" s="41"/>
    </row>
    <row r="11110" spans="5:10" s="34" customFormat="1" x14ac:dyDescent="0.35">
      <c r="E11110" s="35"/>
      <c r="J11110" s="41"/>
    </row>
    <row r="11111" spans="5:10" s="34" customFormat="1" x14ac:dyDescent="0.35">
      <c r="E11111" s="35"/>
      <c r="J11111" s="41"/>
    </row>
    <row r="11112" spans="5:10" s="34" customFormat="1" x14ac:dyDescent="0.35">
      <c r="E11112" s="35"/>
      <c r="J11112" s="41"/>
    </row>
    <row r="11113" spans="5:10" s="34" customFormat="1" x14ac:dyDescent="0.35">
      <c r="E11113" s="35"/>
      <c r="J11113" s="41"/>
    </row>
    <row r="11114" spans="5:10" s="34" customFormat="1" x14ac:dyDescent="0.35">
      <c r="E11114" s="35"/>
      <c r="J11114" s="41"/>
    </row>
    <row r="11115" spans="5:10" s="34" customFormat="1" x14ac:dyDescent="0.35">
      <c r="E11115" s="35"/>
      <c r="J11115" s="41"/>
    </row>
    <row r="11116" spans="5:10" s="34" customFormat="1" x14ac:dyDescent="0.35">
      <c r="E11116" s="35"/>
      <c r="J11116" s="41"/>
    </row>
    <row r="11117" spans="5:10" s="34" customFormat="1" x14ac:dyDescent="0.35">
      <c r="E11117" s="35"/>
      <c r="J11117" s="41"/>
    </row>
    <row r="11118" spans="5:10" s="34" customFormat="1" x14ac:dyDescent="0.35">
      <c r="E11118" s="35"/>
      <c r="J11118" s="41"/>
    </row>
    <row r="11119" spans="5:10" s="34" customFormat="1" x14ac:dyDescent="0.35">
      <c r="E11119" s="35"/>
      <c r="J11119" s="41"/>
    </row>
    <row r="11120" spans="5:10" s="34" customFormat="1" x14ac:dyDescent="0.35">
      <c r="E11120" s="35"/>
      <c r="J11120" s="41"/>
    </row>
    <row r="11121" spans="5:10" s="34" customFormat="1" x14ac:dyDescent="0.35">
      <c r="E11121" s="35"/>
      <c r="J11121" s="41"/>
    </row>
    <row r="11122" spans="5:10" s="34" customFormat="1" x14ac:dyDescent="0.35">
      <c r="E11122" s="35"/>
      <c r="J11122" s="41"/>
    </row>
    <row r="11123" spans="5:10" s="34" customFormat="1" x14ac:dyDescent="0.35">
      <c r="E11123" s="35"/>
      <c r="J11123" s="41"/>
    </row>
    <row r="11124" spans="5:10" s="34" customFormat="1" x14ac:dyDescent="0.35">
      <c r="E11124" s="35"/>
      <c r="J11124" s="41"/>
    </row>
    <row r="11125" spans="5:10" s="34" customFormat="1" x14ac:dyDescent="0.35">
      <c r="E11125" s="35"/>
      <c r="J11125" s="41"/>
    </row>
    <row r="11126" spans="5:10" s="34" customFormat="1" x14ac:dyDescent="0.35">
      <c r="E11126" s="35"/>
      <c r="J11126" s="41"/>
    </row>
    <row r="11127" spans="5:10" s="34" customFormat="1" x14ac:dyDescent="0.35">
      <c r="E11127" s="35"/>
      <c r="J11127" s="41"/>
    </row>
    <row r="11128" spans="5:10" s="34" customFormat="1" x14ac:dyDescent="0.35">
      <c r="E11128" s="35"/>
      <c r="J11128" s="41"/>
    </row>
    <row r="11129" spans="5:10" s="34" customFormat="1" x14ac:dyDescent="0.35">
      <c r="E11129" s="35"/>
      <c r="J11129" s="41"/>
    </row>
    <row r="11130" spans="5:10" s="34" customFormat="1" x14ac:dyDescent="0.35">
      <c r="E11130" s="35"/>
      <c r="J11130" s="41"/>
    </row>
    <row r="11131" spans="5:10" s="34" customFormat="1" x14ac:dyDescent="0.35">
      <c r="E11131" s="35"/>
      <c r="J11131" s="41"/>
    </row>
    <row r="11132" spans="5:10" s="34" customFormat="1" x14ac:dyDescent="0.35">
      <c r="E11132" s="35"/>
      <c r="J11132" s="41"/>
    </row>
    <row r="11133" spans="5:10" s="34" customFormat="1" x14ac:dyDescent="0.35">
      <c r="E11133" s="35"/>
      <c r="J11133" s="41"/>
    </row>
    <row r="11134" spans="5:10" s="34" customFormat="1" x14ac:dyDescent="0.35">
      <c r="E11134" s="35"/>
      <c r="J11134" s="41"/>
    </row>
    <row r="11135" spans="5:10" s="34" customFormat="1" x14ac:dyDescent="0.35">
      <c r="E11135" s="35"/>
      <c r="J11135" s="41"/>
    </row>
    <row r="11136" spans="5:10" s="34" customFormat="1" x14ac:dyDescent="0.35">
      <c r="E11136" s="35"/>
      <c r="J11136" s="41"/>
    </row>
    <row r="11137" spans="5:10" s="34" customFormat="1" x14ac:dyDescent="0.35">
      <c r="E11137" s="35"/>
      <c r="J11137" s="41"/>
    </row>
    <row r="11138" spans="5:10" s="34" customFormat="1" x14ac:dyDescent="0.35">
      <c r="E11138" s="35"/>
      <c r="J11138" s="41"/>
    </row>
    <row r="11139" spans="5:10" s="34" customFormat="1" x14ac:dyDescent="0.35">
      <c r="E11139" s="35"/>
      <c r="J11139" s="41"/>
    </row>
    <row r="11140" spans="5:10" s="34" customFormat="1" x14ac:dyDescent="0.35">
      <c r="E11140" s="35"/>
      <c r="J11140" s="41"/>
    </row>
    <row r="11141" spans="5:10" s="34" customFormat="1" x14ac:dyDescent="0.35">
      <c r="E11141" s="35"/>
      <c r="J11141" s="41"/>
    </row>
    <row r="11142" spans="5:10" s="34" customFormat="1" x14ac:dyDescent="0.35">
      <c r="E11142" s="35"/>
      <c r="J11142" s="41"/>
    </row>
    <row r="11143" spans="5:10" s="34" customFormat="1" x14ac:dyDescent="0.35">
      <c r="E11143" s="35"/>
      <c r="J11143" s="41"/>
    </row>
    <row r="11144" spans="5:10" s="34" customFormat="1" x14ac:dyDescent="0.35">
      <c r="E11144" s="35"/>
      <c r="J11144" s="41"/>
    </row>
    <row r="11145" spans="5:10" s="34" customFormat="1" x14ac:dyDescent="0.35">
      <c r="E11145" s="35"/>
      <c r="J11145" s="41"/>
    </row>
    <row r="11146" spans="5:10" s="34" customFormat="1" x14ac:dyDescent="0.35">
      <c r="E11146" s="35"/>
      <c r="J11146" s="41"/>
    </row>
    <row r="11147" spans="5:10" s="34" customFormat="1" x14ac:dyDescent="0.35">
      <c r="E11147" s="35"/>
      <c r="J11147" s="41"/>
    </row>
    <row r="11148" spans="5:10" s="34" customFormat="1" x14ac:dyDescent="0.35">
      <c r="E11148" s="35"/>
      <c r="J11148" s="41"/>
    </row>
    <row r="11149" spans="5:10" s="34" customFormat="1" x14ac:dyDescent="0.35">
      <c r="E11149" s="35"/>
      <c r="J11149" s="41"/>
    </row>
    <row r="11150" spans="5:10" s="34" customFormat="1" x14ac:dyDescent="0.35">
      <c r="E11150" s="35"/>
      <c r="J11150" s="41"/>
    </row>
    <row r="11151" spans="5:10" s="34" customFormat="1" x14ac:dyDescent="0.35">
      <c r="E11151" s="35"/>
      <c r="J11151" s="41"/>
    </row>
    <row r="11152" spans="5:10" s="34" customFormat="1" x14ac:dyDescent="0.35">
      <c r="E11152" s="35"/>
      <c r="J11152" s="41"/>
    </row>
    <row r="11153" spans="5:10" s="34" customFormat="1" x14ac:dyDescent="0.35">
      <c r="E11153" s="35"/>
      <c r="J11153" s="41"/>
    </row>
    <row r="11154" spans="5:10" s="34" customFormat="1" x14ac:dyDescent="0.35">
      <c r="E11154" s="35"/>
      <c r="J11154" s="41"/>
    </row>
    <row r="11155" spans="5:10" s="34" customFormat="1" x14ac:dyDescent="0.35">
      <c r="E11155" s="35"/>
      <c r="J11155" s="41"/>
    </row>
    <row r="11156" spans="5:10" s="34" customFormat="1" x14ac:dyDescent="0.35">
      <c r="E11156" s="35"/>
      <c r="J11156" s="41"/>
    </row>
    <row r="11157" spans="5:10" s="34" customFormat="1" x14ac:dyDescent="0.35">
      <c r="E11157" s="35"/>
      <c r="J11157" s="41"/>
    </row>
    <row r="11158" spans="5:10" s="34" customFormat="1" x14ac:dyDescent="0.35">
      <c r="E11158" s="35"/>
      <c r="J11158" s="41"/>
    </row>
    <row r="11159" spans="5:10" s="34" customFormat="1" x14ac:dyDescent="0.35">
      <c r="E11159" s="35"/>
      <c r="J11159" s="41"/>
    </row>
    <row r="11160" spans="5:10" s="34" customFormat="1" x14ac:dyDescent="0.35">
      <c r="E11160" s="35"/>
      <c r="J11160" s="41"/>
    </row>
    <row r="11161" spans="5:10" s="34" customFormat="1" x14ac:dyDescent="0.35">
      <c r="E11161" s="35"/>
      <c r="J11161" s="41"/>
    </row>
    <row r="11162" spans="5:10" s="34" customFormat="1" x14ac:dyDescent="0.35">
      <c r="E11162" s="35"/>
      <c r="J11162" s="41"/>
    </row>
    <row r="11163" spans="5:10" s="34" customFormat="1" x14ac:dyDescent="0.35">
      <c r="E11163" s="35"/>
      <c r="J11163" s="41"/>
    </row>
    <row r="11164" spans="5:10" s="34" customFormat="1" x14ac:dyDescent="0.35">
      <c r="E11164" s="35"/>
      <c r="J11164" s="41"/>
    </row>
    <row r="11165" spans="5:10" s="34" customFormat="1" x14ac:dyDescent="0.35">
      <c r="E11165" s="35"/>
      <c r="J11165" s="41"/>
    </row>
    <row r="11166" spans="5:10" s="34" customFormat="1" x14ac:dyDescent="0.35">
      <c r="E11166" s="35"/>
      <c r="J11166" s="41"/>
    </row>
    <row r="11167" spans="5:10" s="34" customFormat="1" x14ac:dyDescent="0.35">
      <c r="E11167" s="35"/>
      <c r="J11167" s="41"/>
    </row>
    <row r="11168" spans="5:10" s="34" customFormat="1" x14ac:dyDescent="0.35">
      <c r="E11168" s="35"/>
      <c r="J11168" s="41"/>
    </row>
    <row r="11169" spans="5:10" s="34" customFormat="1" x14ac:dyDescent="0.35">
      <c r="E11169" s="35"/>
      <c r="J11169" s="41"/>
    </row>
    <row r="11170" spans="5:10" s="34" customFormat="1" x14ac:dyDescent="0.35">
      <c r="E11170" s="35"/>
      <c r="J11170" s="41"/>
    </row>
    <row r="11171" spans="5:10" s="34" customFormat="1" x14ac:dyDescent="0.35">
      <c r="E11171" s="35"/>
      <c r="J11171" s="41"/>
    </row>
    <row r="11172" spans="5:10" s="34" customFormat="1" x14ac:dyDescent="0.35">
      <c r="E11172" s="35"/>
      <c r="J11172" s="41"/>
    </row>
    <row r="11173" spans="5:10" s="34" customFormat="1" x14ac:dyDescent="0.35">
      <c r="E11173" s="35"/>
      <c r="J11173" s="41"/>
    </row>
    <row r="11174" spans="5:10" s="34" customFormat="1" x14ac:dyDescent="0.35">
      <c r="E11174" s="35"/>
      <c r="J11174" s="41"/>
    </row>
    <row r="11175" spans="5:10" s="34" customFormat="1" x14ac:dyDescent="0.35">
      <c r="E11175" s="35"/>
      <c r="J11175" s="41"/>
    </row>
    <row r="11176" spans="5:10" s="34" customFormat="1" x14ac:dyDescent="0.35">
      <c r="E11176" s="35"/>
      <c r="J11176" s="41"/>
    </row>
    <row r="11177" spans="5:10" s="34" customFormat="1" x14ac:dyDescent="0.35">
      <c r="E11177" s="35"/>
      <c r="J11177" s="41"/>
    </row>
    <row r="11178" spans="5:10" s="34" customFormat="1" x14ac:dyDescent="0.35">
      <c r="E11178" s="35"/>
      <c r="J11178" s="41"/>
    </row>
    <row r="11179" spans="5:10" s="34" customFormat="1" x14ac:dyDescent="0.35">
      <c r="E11179" s="35"/>
      <c r="J11179" s="41"/>
    </row>
    <row r="11180" spans="5:10" s="34" customFormat="1" x14ac:dyDescent="0.35">
      <c r="E11180" s="35"/>
      <c r="J11180" s="41"/>
    </row>
    <row r="11181" spans="5:10" s="34" customFormat="1" x14ac:dyDescent="0.35">
      <c r="E11181" s="35"/>
      <c r="J11181" s="41"/>
    </row>
    <row r="11182" spans="5:10" s="34" customFormat="1" x14ac:dyDescent="0.35">
      <c r="E11182" s="35"/>
      <c r="J11182" s="41"/>
    </row>
    <row r="11183" spans="5:10" s="34" customFormat="1" x14ac:dyDescent="0.35">
      <c r="E11183" s="35"/>
      <c r="J11183" s="41"/>
    </row>
    <row r="11184" spans="5:10" s="34" customFormat="1" x14ac:dyDescent="0.35">
      <c r="E11184" s="35"/>
      <c r="J11184" s="41"/>
    </row>
    <row r="11185" spans="5:10" s="34" customFormat="1" x14ac:dyDescent="0.35">
      <c r="E11185" s="35"/>
      <c r="J11185" s="41"/>
    </row>
    <row r="11186" spans="5:10" s="34" customFormat="1" x14ac:dyDescent="0.35">
      <c r="E11186" s="35"/>
      <c r="J11186" s="41"/>
    </row>
    <row r="11187" spans="5:10" s="34" customFormat="1" x14ac:dyDescent="0.35">
      <c r="E11187" s="35"/>
      <c r="J11187" s="41"/>
    </row>
    <row r="11188" spans="5:10" s="34" customFormat="1" x14ac:dyDescent="0.35">
      <c r="E11188" s="35"/>
      <c r="J11188" s="41"/>
    </row>
    <row r="11189" spans="5:10" s="34" customFormat="1" x14ac:dyDescent="0.35">
      <c r="E11189" s="35"/>
      <c r="J11189" s="41"/>
    </row>
    <row r="11190" spans="5:10" s="34" customFormat="1" x14ac:dyDescent="0.35">
      <c r="E11190" s="35"/>
      <c r="J11190" s="41"/>
    </row>
    <row r="11191" spans="5:10" s="34" customFormat="1" x14ac:dyDescent="0.35">
      <c r="E11191" s="35"/>
      <c r="J11191" s="41"/>
    </row>
    <row r="11192" spans="5:10" s="34" customFormat="1" x14ac:dyDescent="0.35">
      <c r="E11192" s="35"/>
      <c r="J11192" s="41"/>
    </row>
    <row r="11193" spans="5:10" s="34" customFormat="1" x14ac:dyDescent="0.35">
      <c r="E11193" s="35"/>
      <c r="J11193" s="41"/>
    </row>
    <row r="11194" spans="5:10" s="34" customFormat="1" x14ac:dyDescent="0.35">
      <c r="E11194" s="35"/>
      <c r="J11194" s="41"/>
    </row>
    <row r="11195" spans="5:10" s="34" customFormat="1" x14ac:dyDescent="0.35">
      <c r="E11195" s="35"/>
      <c r="J11195" s="41"/>
    </row>
    <row r="11196" spans="5:10" s="34" customFormat="1" x14ac:dyDescent="0.35">
      <c r="E11196" s="35"/>
      <c r="J11196" s="41"/>
    </row>
    <row r="11197" spans="5:10" s="34" customFormat="1" x14ac:dyDescent="0.35">
      <c r="E11197" s="35"/>
      <c r="J11197" s="41"/>
    </row>
    <row r="11198" spans="5:10" s="34" customFormat="1" x14ac:dyDescent="0.35">
      <c r="E11198" s="35"/>
      <c r="J11198" s="41"/>
    </row>
    <row r="11199" spans="5:10" s="34" customFormat="1" x14ac:dyDescent="0.35">
      <c r="E11199" s="35"/>
      <c r="J11199" s="41"/>
    </row>
    <row r="11200" spans="5:10" s="34" customFormat="1" x14ac:dyDescent="0.35">
      <c r="E11200" s="35"/>
      <c r="J11200" s="41"/>
    </row>
    <row r="11201" spans="5:10" s="34" customFormat="1" x14ac:dyDescent="0.35">
      <c r="E11201" s="35"/>
      <c r="J11201" s="41"/>
    </row>
    <row r="11202" spans="5:10" s="34" customFormat="1" x14ac:dyDescent="0.35">
      <c r="E11202" s="35"/>
      <c r="J11202" s="41"/>
    </row>
    <row r="11203" spans="5:10" s="34" customFormat="1" x14ac:dyDescent="0.35">
      <c r="E11203" s="35"/>
      <c r="J11203" s="41"/>
    </row>
    <row r="11204" spans="5:10" s="34" customFormat="1" x14ac:dyDescent="0.35">
      <c r="E11204" s="35"/>
      <c r="J11204" s="41"/>
    </row>
    <row r="11205" spans="5:10" s="34" customFormat="1" x14ac:dyDescent="0.35">
      <c r="E11205" s="35"/>
      <c r="J11205" s="41"/>
    </row>
    <row r="11206" spans="5:10" s="34" customFormat="1" x14ac:dyDescent="0.35">
      <c r="E11206" s="35"/>
      <c r="J11206" s="41"/>
    </row>
    <row r="11207" spans="5:10" s="34" customFormat="1" x14ac:dyDescent="0.35">
      <c r="E11207" s="35"/>
      <c r="J11207" s="41"/>
    </row>
    <row r="11208" spans="5:10" s="34" customFormat="1" x14ac:dyDescent="0.35">
      <c r="E11208" s="35"/>
      <c r="J11208" s="41"/>
    </row>
    <row r="11209" spans="5:10" s="34" customFormat="1" x14ac:dyDescent="0.35">
      <c r="E11209" s="35"/>
      <c r="J11209" s="41"/>
    </row>
    <row r="11210" spans="5:10" s="34" customFormat="1" x14ac:dyDescent="0.35">
      <c r="E11210" s="35"/>
      <c r="J11210" s="41"/>
    </row>
    <row r="11211" spans="5:10" s="34" customFormat="1" x14ac:dyDescent="0.35">
      <c r="E11211" s="35"/>
      <c r="J11211" s="41"/>
    </row>
    <row r="11212" spans="5:10" s="34" customFormat="1" x14ac:dyDescent="0.35">
      <c r="E11212" s="35"/>
      <c r="J11212" s="41"/>
    </row>
    <row r="11213" spans="5:10" s="34" customFormat="1" x14ac:dyDescent="0.35">
      <c r="E11213" s="35"/>
      <c r="J11213" s="41"/>
    </row>
    <row r="11214" spans="5:10" s="34" customFormat="1" x14ac:dyDescent="0.35">
      <c r="E11214" s="35"/>
      <c r="J11214" s="41"/>
    </row>
    <row r="11215" spans="5:10" s="34" customFormat="1" x14ac:dyDescent="0.35">
      <c r="E11215" s="35"/>
      <c r="J11215" s="41"/>
    </row>
    <row r="11216" spans="5:10" s="34" customFormat="1" x14ac:dyDescent="0.35">
      <c r="E11216" s="35"/>
      <c r="J11216" s="41"/>
    </row>
    <row r="11217" spans="5:10" s="34" customFormat="1" x14ac:dyDescent="0.35">
      <c r="E11217" s="35"/>
      <c r="J11217" s="41"/>
    </row>
    <row r="11218" spans="5:10" s="34" customFormat="1" x14ac:dyDescent="0.35">
      <c r="E11218" s="35"/>
      <c r="J11218" s="41"/>
    </row>
    <row r="11219" spans="5:10" s="34" customFormat="1" x14ac:dyDescent="0.35">
      <c r="E11219" s="35"/>
      <c r="J11219" s="41"/>
    </row>
    <row r="11220" spans="5:10" s="34" customFormat="1" x14ac:dyDescent="0.35">
      <c r="E11220" s="35"/>
      <c r="J11220" s="41"/>
    </row>
    <row r="11221" spans="5:10" s="34" customFormat="1" x14ac:dyDescent="0.35">
      <c r="E11221" s="35"/>
      <c r="J11221" s="41"/>
    </row>
    <row r="11222" spans="5:10" s="34" customFormat="1" x14ac:dyDescent="0.35">
      <c r="E11222" s="35"/>
      <c r="J11222" s="41"/>
    </row>
    <row r="11223" spans="5:10" s="34" customFormat="1" x14ac:dyDescent="0.35">
      <c r="E11223" s="35"/>
      <c r="J11223" s="41"/>
    </row>
    <row r="11224" spans="5:10" s="34" customFormat="1" x14ac:dyDescent="0.35">
      <c r="E11224" s="35"/>
      <c r="J11224" s="41"/>
    </row>
    <row r="11225" spans="5:10" s="34" customFormat="1" x14ac:dyDescent="0.35">
      <c r="E11225" s="35"/>
      <c r="J11225" s="41"/>
    </row>
    <row r="11226" spans="5:10" s="34" customFormat="1" x14ac:dyDescent="0.35">
      <c r="E11226" s="35"/>
      <c r="J11226" s="41"/>
    </row>
    <row r="11227" spans="5:10" s="34" customFormat="1" x14ac:dyDescent="0.35">
      <c r="E11227" s="35"/>
      <c r="J11227" s="41"/>
    </row>
    <row r="11228" spans="5:10" s="34" customFormat="1" x14ac:dyDescent="0.35">
      <c r="E11228" s="35"/>
      <c r="J11228" s="41"/>
    </row>
    <row r="11229" spans="5:10" s="34" customFormat="1" x14ac:dyDescent="0.35">
      <c r="E11229" s="35"/>
      <c r="J11229" s="41"/>
    </row>
    <row r="11230" spans="5:10" s="34" customFormat="1" x14ac:dyDescent="0.35">
      <c r="E11230" s="35"/>
      <c r="J11230" s="41"/>
    </row>
    <row r="11231" spans="5:10" s="34" customFormat="1" x14ac:dyDescent="0.35">
      <c r="E11231" s="35"/>
      <c r="J11231" s="41"/>
    </row>
    <row r="11232" spans="5:10" s="34" customFormat="1" x14ac:dyDescent="0.35">
      <c r="E11232" s="35"/>
      <c r="J11232" s="41"/>
    </row>
    <row r="11233" spans="5:10" s="34" customFormat="1" x14ac:dyDescent="0.35">
      <c r="E11233" s="35"/>
      <c r="J11233" s="41"/>
    </row>
    <row r="11234" spans="5:10" s="34" customFormat="1" x14ac:dyDescent="0.35">
      <c r="E11234" s="35"/>
      <c r="J11234" s="41"/>
    </row>
    <row r="11235" spans="5:10" s="34" customFormat="1" x14ac:dyDescent="0.35">
      <c r="E11235" s="35"/>
      <c r="J11235" s="41"/>
    </row>
    <row r="11236" spans="5:10" s="34" customFormat="1" x14ac:dyDescent="0.35">
      <c r="E11236" s="35"/>
      <c r="J11236" s="41"/>
    </row>
    <row r="11237" spans="5:10" s="34" customFormat="1" x14ac:dyDescent="0.35">
      <c r="E11237" s="35"/>
      <c r="J11237" s="41"/>
    </row>
    <row r="11238" spans="5:10" s="34" customFormat="1" x14ac:dyDescent="0.35">
      <c r="E11238" s="35"/>
      <c r="J11238" s="41"/>
    </row>
    <row r="11239" spans="5:10" s="34" customFormat="1" x14ac:dyDescent="0.35">
      <c r="E11239" s="35"/>
      <c r="J11239" s="41"/>
    </row>
    <row r="11240" spans="5:10" s="34" customFormat="1" x14ac:dyDescent="0.35">
      <c r="E11240" s="35"/>
      <c r="J11240" s="41"/>
    </row>
    <row r="11241" spans="5:10" s="34" customFormat="1" x14ac:dyDescent="0.35">
      <c r="E11241" s="35"/>
      <c r="J11241" s="41"/>
    </row>
    <row r="11242" spans="5:10" s="34" customFormat="1" x14ac:dyDescent="0.35">
      <c r="E11242" s="35"/>
      <c r="J11242" s="41"/>
    </row>
    <row r="11243" spans="5:10" s="34" customFormat="1" x14ac:dyDescent="0.35">
      <c r="E11243" s="35"/>
      <c r="J11243" s="41"/>
    </row>
    <row r="11244" spans="5:10" s="34" customFormat="1" x14ac:dyDescent="0.35">
      <c r="E11244" s="35"/>
      <c r="J11244" s="41"/>
    </row>
    <row r="11245" spans="5:10" s="34" customFormat="1" x14ac:dyDescent="0.35">
      <c r="E11245" s="35"/>
      <c r="J11245" s="41"/>
    </row>
    <row r="11246" spans="5:10" s="34" customFormat="1" x14ac:dyDescent="0.35">
      <c r="E11246" s="35"/>
      <c r="J11246" s="41"/>
    </row>
    <row r="11247" spans="5:10" s="34" customFormat="1" x14ac:dyDescent="0.35">
      <c r="E11247" s="35"/>
      <c r="J11247" s="41"/>
    </row>
    <row r="11248" spans="5:10" s="34" customFormat="1" x14ac:dyDescent="0.35">
      <c r="E11248" s="35"/>
      <c r="J11248" s="41"/>
    </row>
    <row r="11249" spans="5:10" s="34" customFormat="1" x14ac:dyDescent="0.35">
      <c r="E11249" s="35"/>
      <c r="J11249" s="41"/>
    </row>
    <row r="11250" spans="5:10" s="34" customFormat="1" x14ac:dyDescent="0.35">
      <c r="E11250" s="35"/>
      <c r="J11250" s="41"/>
    </row>
    <row r="11251" spans="5:10" s="34" customFormat="1" x14ac:dyDescent="0.35">
      <c r="E11251" s="35"/>
      <c r="J11251" s="41"/>
    </row>
    <row r="11252" spans="5:10" s="34" customFormat="1" x14ac:dyDescent="0.35">
      <c r="E11252" s="35"/>
      <c r="J11252" s="41"/>
    </row>
    <row r="11253" spans="5:10" s="34" customFormat="1" x14ac:dyDescent="0.35">
      <c r="E11253" s="35"/>
      <c r="J11253" s="41"/>
    </row>
    <row r="11254" spans="5:10" s="34" customFormat="1" x14ac:dyDescent="0.35">
      <c r="E11254" s="35"/>
      <c r="J11254" s="41"/>
    </row>
    <row r="11255" spans="5:10" s="34" customFormat="1" x14ac:dyDescent="0.35">
      <c r="E11255" s="35"/>
      <c r="J11255" s="41"/>
    </row>
    <row r="11256" spans="5:10" s="34" customFormat="1" x14ac:dyDescent="0.35">
      <c r="E11256" s="35"/>
      <c r="J11256" s="41"/>
    </row>
    <row r="11257" spans="5:10" s="34" customFormat="1" x14ac:dyDescent="0.35">
      <c r="E11257" s="35"/>
      <c r="J11257" s="41"/>
    </row>
    <row r="11258" spans="5:10" s="34" customFormat="1" x14ac:dyDescent="0.35">
      <c r="E11258" s="35"/>
      <c r="J11258" s="41"/>
    </row>
    <row r="11259" spans="5:10" s="34" customFormat="1" x14ac:dyDescent="0.35">
      <c r="E11259" s="35"/>
      <c r="J11259" s="41"/>
    </row>
    <row r="11260" spans="5:10" s="34" customFormat="1" x14ac:dyDescent="0.35">
      <c r="E11260" s="35"/>
      <c r="J11260" s="41"/>
    </row>
    <row r="11261" spans="5:10" s="34" customFormat="1" x14ac:dyDescent="0.35">
      <c r="E11261" s="35"/>
      <c r="J11261" s="41"/>
    </row>
    <row r="11262" spans="5:10" s="34" customFormat="1" x14ac:dyDescent="0.35">
      <c r="E11262" s="35"/>
      <c r="J11262" s="41"/>
    </row>
    <row r="11263" spans="5:10" s="34" customFormat="1" x14ac:dyDescent="0.35">
      <c r="E11263" s="35"/>
      <c r="J11263" s="41"/>
    </row>
    <row r="11264" spans="5:10" s="34" customFormat="1" x14ac:dyDescent="0.35">
      <c r="E11264" s="35"/>
      <c r="J11264" s="41"/>
    </row>
    <row r="11265" spans="5:10" s="34" customFormat="1" x14ac:dyDescent="0.35">
      <c r="E11265" s="35"/>
      <c r="J11265" s="41"/>
    </row>
    <row r="11266" spans="5:10" s="34" customFormat="1" x14ac:dyDescent="0.35">
      <c r="E11266" s="35"/>
      <c r="J11266" s="41"/>
    </row>
    <row r="11267" spans="5:10" s="34" customFormat="1" x14ac:dyDescent="0.35">
      <c r="E11267" s="35"/>
      <c r="J11267" s="41"/>
    </row>
    <row r="11268" spans="5:10" s="34" customFormat="1" x14ac:dyDescent="0.35">
      <c r="E11268" s="35"/>
      <c r="J11268" s="41"/>
    </row>
    <row r="11269" spans="5:10" s="34" customFormat="1" x14ac:dyDescent="0.35">
      <c r="E11269" s="35"/>
      <c r="J11269" s="41"/>
    </row>
    <row r="11270" spans="5:10" s="34" customFormat="1" x14ac:dyDescent="0.35">
      <c r="E11270" s="35"/>
      <c r="J11270" s="41"/>
    </row>
    <row r="11271" spans="5:10" s="34" customFormat="1" x14ac:dyDescent="0.35">
      <c r="E11271" s="35"/>
      <c r="J11271" s="41"/>
    </row>
    <row r="11272" spans="5:10" s="34" customFormat="1" x14ac:dyDescent="0.35">
      <c r="E11272" s="35"/>
      <c r="J11272" s="41"/>
    </row>
    <row r="11273" spans="5:10" s="34" customFormat="1" x14ac:dyDescent="0.35">
      <c r="E11273" s="35"/>
      <c r="J11273" s="41"/>
    </row>
    <row r="11274" spans="5:10" s="34" customFormat="1" x14ac:dyDescent="0.35">
      <c r="E11274" s="35"/>
      <c r="J11274" s="41"/>
    </row>
    <row r="11275" spans="5:10" s="34" customFormat="1" x14ac:dyDescent="0.35">
      <c r="E11275" s="35"/>
      <c r="J11275" s="41"/>
    </row>
    <row r="11276" spans="5:10" s="34" customFormat="1" x14ac:dyDescent="0.35">
      <c r="E11276" s="35"/>
      <c r="J11276" s="41"/>
    </row>
    <row r="11277" spans="5:10" s="34" customFormat="1" x14ac:dyDescent="0.35">
      <c r="E11277" s="35"/>
      <c r="J11277" s="41"/>
    </row>
    <row r="11278" spans="5:10" s="34" customFormat="1" x14ac:dyDescent="0.35">
      <c r="E11278" s="35"/>
      <c r="J11278" s="41"/>
    </row>
    <row r="11279" spans="5:10" s="34" customFormat="1" x14ac:dyDescent="0.35">
      <c r="E11279" s="35"/>
      <c r="J11279" s="41"/>
    </row>
    <row r="11280" spans="5:10" s="34" customFormat="1" x14ac:dyDescent="0.35">
      <c r="E11280" s="35"/>
      <c r="J11280" s="41"/>
    </row>
    <row r="11281" spans="5:10" s="34" customFormat="1" x14ac:dyDescent="0.35">
      <c r="E11281" s="35"/>
      <c r="J11281" s="41"/>
    </row>
    <row r="11282" spans="5:10" s="34" customFormat="1" x14ac:dyDescent="0.35">
      <c r="E11282" s="35"/>
      <c r="J11282" s="41"/>
    </row>
    <row r="11283" spans="5:10" s="34" customFormat="1" x14ac:dyDescent="0.35">
      <c r="E11283" s="35"/>
      <c r="J11283" s="41"/>
    </row>
    <row r="11284" spans="5:10" s="34" customFormat="1" x14ac:dyDescent="0.35">
      <c r="E11284" s="35"/>
      <c r="J11284" s="41"/>
    </row>
    <row r="11285" spans="5:10" s="34" customFormat="1" x14ac:dyDescent="0.35">
      <c r="E11285" s="35"/>
      <c r="J11285" s="41"/>
    </row>
    <row r="11286" spans="5:10" s="34" customFormat="1" x14ac:dyDescent="0.35">
      <c r="E11286" s="35"/>
      <c r="J11286" s="41"/>
    </row>
    <row r="11287" spans="5:10" s="34" customFormat="1" x14ac:dyDescent="0.35">
      <c r="E11287" s="35"/>
      <c r="J11287" s="41"/>
    </row>
    <row r="11288" spans="5:10" s="34" customFormat="1" x14ac:dyDescent="0.35">
      <c r="E11288" s="35"/>
      <c r="J11288" s="41"/>
    </row>
    <row r="11289" spans="5:10" s="34" customFormat="1" x14ac:dyDescent="0.35">
      <c r="E11289" s="35"/>
      <c r="J11289" s="41"/>
    </row>
    <row r="11290" spans="5:10" s="34" customFormat="1" x14ac:dyDescent="0.35">
      <c r="E11290" s="35"/>
      <c r="J11290" s="41"/>
    </row>
    <row r="11291" spans="5:10" s="34" customFormat="1" x14ac:dyDescent="0.35">
      <c r="E11291" s="35"/>
      <c r="J11291" s="41"/>
    </row>
    <row r="11292" spans="5:10" s="34" customFormat="1" x14ac:dyDescent="0.35">
      <c r="E11292" s="35"/>
      <c r="J11292" s="41"/>
    </row>
    <row r="11293" spans="5:10" s="34" customFormat="1" x14ac:dyDescent="0.35">
      <c r="E11293" s="35"/>
      <c r="J11293" s="41"/>
    </row>
    <row r="11294" spans="5:10" s="34" customFormat="1" x14ac:dyDescent="0.35">
      <c r="E11294" s="35"/>
      <c r="J11294" s="41"/>
    </row>
    <row r="11295" spans="5:10" s="34" customFormat="1" x14ac:dyDescent="0.35">
      <c r="E11295" s="35"/>
      <c r="J11295" s="41"/>
    </row>
    <row r="11296" spans="5:10" s="34" customFormat="1" x14ac:dyDescent="0.35">
      <c r="E11296" s="35"/>
      <c r="J11296" s="41"/>
    </row>
    <row r="11297" spans="5:10" s="34" customFormat="1" x14ac:dyDescent="0.35">
      <c r="E11297" s="35"/>
      <c r="J11297" s="41"/>
    </row>
    <row r="11298" spans="5:10" s="34" customFormat="1" x14ac:dyDescent="0.35">
      <c r="E11298" s="35"/>
      <c r="J11298" s="41"/>
    </row>
    <row r="11299" spans="5:10" s="34" customFormat="1" x14ac:dyDescent="0.35">
      <c r="E11299" s="35"/>
      <c r="J11299" s="41"/>
    </row>
    <row r="11300" spans="5:10" s="34" customFormat="1" x14ac:dyDescent="0.35">
      <c r="E11300" s="35"/>
      <c r="J11300" s="41"/>
    </row>
    <row r="11301" spans="5:10" s="34" customFormat="1" x14ac:dyDescent="0.35">
      <c r="E11301" s="35"/>
      <c r="J11301" s="41"/>
    </row>
    <row r="11302" spans="5:10" s="34" customFormat="1" x14ac:dyDescent="0.35">
      <c r="E11302" s="35"/>
      <c r="J11302" s="41"/>
    </row>
    <row r="11303" spans="5:10" s="34" customFormat="1" x14ac:dyDescent="0.35">
      <c r="E11303" s="35"/>
      <c r="J11303" s="41"/>
    </row>
    <row r="11304" spans="5:10" s="34" customFormat="1" x14ac:dyDescent="0.35">
      <c r="E11304" s="35"/>
      <c r="J11304" s="41"/>
    </row>
    <row r="11305" spans="5:10" s="34" customFormat="1" x14ac:dyDescent="0.35">
      <c r="E11305" s="35"/>
      <c r="J11305" s="41"/>
    </row>
    <row r="11306" spans="5:10" s="34" customFormat="1" x14ac:dyDescent="0.35">
      <c r="E11306" s="35"/>
      <c r="J11306" s="41"/>
    </row>
    <row r="11307" spans="5:10" s="34" customFormat="1" x14ac:dyDescent="0.35">
      <c r="E11307" s="35"/>
      <c r="J11307" s="41"/>
    </row>
    <row r="11308" spans="5:10" s="34" customFormat="1" x14ac:dyDescent="0.35">
      <c r="E11308" s="35"/>
      <c r="J11308" s="41"/>
    </row>
    <row r="11309" spans="5:10" s="34" customFormat="1" x14ac:dyDescent="0.35">
      <c r="E11309" s="35"/>
      <c r="J11309" s="41"/>
    </row>
    <row r="11310" spans="5:10" s="34" customFormat="1" x14ac:dyDescent="0.35">
      <c r="E11310" s="35"/>
      <c r="J11310" s="41"/>
    </row>
    <row r="11311" spans="5:10" s="34" customFormat="1" x14ac:dyDescent="0.35">
      <c r="E11311" s="35"/>
      <c r="J11311" s="41"/>
    </row>
    <row r="11312" spans="5:10" s="34" customFormat="1" x14ac:dyDescent="0.35">
      <c r="E11312" s="35"/>
      <c r="J11312" s="41"/>
    </row>
    <row r="11313" spans="5:10" s="34" customFormat="1" x14ac:dyDescent="0.35">
      <c r="E11313" s="35"/>
      <c r="J11313" s="41"/>
    </row>
    <row r="11314" spans="5:10" s="34" customFormat="1" x14ac:dyDescent="0.35">
      <c r="E11314" s="35"/>
      <c r="J11314" s="41"/>
    </row>
    <row r="11315" spans="5:10" s="34" customFormat="1" x14ac:dyDescent="0.35">
      <c r="E11315" s="35"/>
      <c r="J11315" s="41"/>
    </row>
    <row r="11316" spans="5:10" s="34" customFormat="1" x14ac:dyDescent="0.35">
      <c r="E11316" s="35"/>
      <c r="J11316" s="41"/>
    </row>
    <row r="11317" spans="5:10" s="34" customFormat="1" x14ac:dyDescent="0.35">
      <c r="E11317" s="35"/>
      <c r="J11317" s="41"/>
    </row>
    <row r="11318" spans="5:10" s="34" customFormat="1" x14ac:dyDescent="0.35">
      <c r="E11318" s="35"/>
      <c r="J11318" s="41"/>
    </row>
    <row r="11319" spans="5:10" s="34" customFormat="1" x14ac:dyDescent="0.35">
      <c r="E11319" s="35"/>
      <c r="J11319" s="41"/>
    </row>
    <row r="11320" spans="5:10" s="34" customFormat="1" x14ac:dyDescent="0.35">
      <c r="E11320" s="35"/>
      <c r="J11320" s="41"/>
    </row>
    <row r="11321" spans="5:10" s="34" customFormat="1" x14ac:dyDescent="0.35">
      <c r="E11321" s="35"/>
      <c r="J11321" s="41"/>
    </row>
    <row r="11322" spans="5:10" s="34" customFormat="1" x14ac:dyDescent="0.35">
      <c r="E11322" s="35"/>
      <c r="J11322" s="41"/>
    </row>
    <row r="11323" spans="5:10" s="34" customFormat="1" x14ac:dyDescent="0.35">
      <c r="E11323" s="35"/>
      <c r="J11323" s="41"/>
    </row>
    <row r="11324" spans="5:10" s="34" customFormat="1" x14ac:dyDescent="0.35">
      <c r="E11324" s="35"/>
      <c r="J11324" s="41"/>
    </row>
    <row r="11325" spans="5:10" s="34" customFormat="1" x14ac:dyDescent="0.35">
      <c r="E11325" s="35"/>
      <c r="J11325" s="41"/>
    </row>
    <row r="11326" spans="5:10" s="34" customFormat="1" x14ac:dyDescent="0.35">
      <c r="E11326" s="35"/>
      <c r="J11326" s="41"/>
    </row>
    <row r="11327" spans="5:10" s="34" customFormat="1" x14ac:dyDescent="0.35">
      <c r="E11327" s="35"/>
      <c r="J11327" s="41"/>
    </row>
    <row r="11328" spans="5:10" s="34" customFormat="1" x14ac:dyDescent="0.35">
      <c r="E11328" s="35"/>
      <c r="J11328" s="41"/>
    </row>
    <row r="11329" spans="5:10" s="34" customFormat="1" x14ac:dyDescent="0.35">
      <c r="E11329" s="35"/>
      <c r="J11329" s="41"/>
    </row>
    <row r="11330" spans="5:10" s="34" customFormat="1" x14ac:dyDescent="0.35">
      <c r="E11330" s="35"/>
      <c r="J11330" s="41"/>
    </row>
    <row r="11331" spans="5:10" s="34" customFormat="1" x14ac:dyDescent="0.35">
      <c r="E11331" s="35"/>
      <c r="J11331" s="41"/>
    </row>
    <row r="11332" spans="5:10" s="34" customFormat="1" x14ac:dyDescent="0.35">
      <c r="E11332" s="35"/>
      <c r="J11332" s="41"/>
    </row>
    <row r="11333" spans="5:10" s="34" customFormat="1" x14ac:dyDescent="0.35">
      <c r="E11333" s="35"/>
      <c r="J11333" s="41"/>
    </row>
    <row r="11334" spans="5:10" s="34" customFormat="1" x14ac:dyDescent="0.35">
      <c r="E11334" s="35"/>
      <c r="J11334" s="41"/>
    </row>
    <row r="11335" spans="5:10" s="34" customFormat="1" x14ac:dyDescent="0.35">
      <c r="E11335" s="35"/>
      <c r="J11335" s="41"/>
    </row>
    <row r="11336" spans="5:10" s="34" customFormat="1" x14ac:dyDescent="0.35">
      <c r="E11336" s="35"/>
      <c r="J11336" s="41"/>
    </row>
    <row r="11337" spans="5:10" s="34" customFormat="1" x14ac:dyDescent="0.35">
      <c r="E11337" s="35"/>
      <c r="J11337" s="41"/>
    </row>
    <row r="11338" spans="5:10" s="34" customFormat="1" x14ac:dyDescent="0.35">
      <c r="E11338" s="35"/>
      <c r="J11338" s="41"/>
    </row>
    <row r="11339" spans="5:10" s="34" customFormat="1" x14ac:dyDescent="0.35">
      <c r="E11339" s="35"/>
      <c r="J11339" s="41"/>
    </row>
    <row r="11340" spans="5:10" s="34" customFormat="1" x14ac:dyDescent="0.35">
      <c r="E11340" s="35"/>
      <c r="J11340" s="41"/>
    </row>
    <row r="11341" spans="5:10" s="34" customFormat="1" x14ac:dyDescent="0.35">
      <c r="E11341" s="35"/>
      <c r="J11341" s="41"/>
    </row>
    <row r="11342" spans="5:10" s="34" customFormat="1" x14ac:dyDescent="0.35">
      <c r="E11342" s="35"/>
      <c r="J11342" s="41"/>
    </row>
    <row r="11343" spans="5:10" s="34" customFormat="1" x14ac:dyDescent="0.35">
      <c r="E11343" s="35"/>
      <c r="J11343" s="41"/>
    </row>
    <row r="11344" spans="5:10" s="34" customFormat="1" x14ac:dyDescent="0.35">
      <c r="E11344" s="35"/>
      <c r="J11344" s="41"/>
    </row>
    <row r="11345" spans="5:10" s="34" customFormat="1" x14ac:dyDescent="0.35">
      <c r="E11345" s="35"/>
      <c r="J11345" s="41"/>
    </row>
    <row r="11346" spans="5:10" s="34" customFormat="1" x14ac:dyDescent="0.35">
      <c r="E11346" s="35"/>
      <c r="J11346" s="41"/>
    </row>
    <row r="11347" spans="5:10" s="34" customFormat="1" x14ac:dyDescent="0.35">
      <c r="E11347" s="35"/>
      <c r="J11347" s="41"/>
    </row>
    <row r="11348" spans="5:10" s="34" customFormat="1" x14ac:dyDescent="0.35">
      <c r="E11348" s="35"/>
      <c r="J11348" s="41"/>
    </row>
    <row r="11349" spans="5:10" s="34" customFormat="1" x14ac:dyDescent="0.35">
      <c r="E11349" s="35"/>
      <c r="J11349" s="41"/>
    </row>
    <row r="11350" spans="5:10" s="34" customFormat="1" x14ac:dyDescent="0.35">
      <c r="E11350" s="35"/>
      <c r="J11350" s="41"/>
    </row>
    <row r="11351" spans="5:10" s="34" customFormat="1" x14ac:dyDescent="0.35">
      <c r="E11351" s="35"/>
      <c r="J11351" s="41"/>
    </row>
    <row r="11352" spans="5:10" s="34" customFormat="1" x14ac:dyDescent="0.35">
      <c r="E11352" s="35"/>
      <c r="J11352" s="41"/>
    </row>
    <row r="11353" spans="5:10" s="34" customFormat="1" x14ac:dyDescent="0.35">
      <c r="E11353" s="35"/>
      <c r="J11353" s="41"/>
    </row>
    <row r="11354" spans="5:10" s="34" customFormat="1" x14ac:dyDescent="0.35">
      <c r="E11354" s="35"/>
      <c r="J11354" s="41"/>
    </row>
    <row r="11355" spans="5:10" s="34" customFormat="1" x14ac:dyDescent="0.35">
      <c r="E11355" s="35"/>
      <c r="J11355" s="41"/>
    </row>
    <row r="11356" spans="5:10" s="34" customFormat="1" x14ac:dyDescent="0.35">
      <c r="E11356" s="35"/>
      <c r="J11356" s="41"/>
    </row>
    <row r="11357" spans="5:10" s="34" customFormat="1" x14ac:dyDescent="0.35">
      <c r="E11357" s="35"/>
      <c r="J11357" s="41"/>
    </row>
    <row r="11358" spans="5:10" s="34" customFormat="1" x14ac:dyDescent="0.35">
      <c r="E11358" s="35"/>
      <c r="J11358" s="41"/>
    </row>
    <row r="11359" spans="5:10" s="34" customFormat="1" x14ac:dyDescent="0.35">
      <c r="E11359" s="35"/>
      <c r="J11359" s="41"/>
    </row>
    <row r="11360" spans="5:10" s="34" customFormat="1" x14ac:dyDescent="0.35">
      <c r="E11360" s="35"/>
      <c r="J11360" s="41"/>
    </row>
    <row r="11361" spans="5:10" s="34" customFormat="1" x14ac:dyDescent="0.35">
      <c r="E11361" s="35"/>
      <c r="J11361" s="41"/>
    </row>
    <row r="11362" spans="5:10" s="34" customFormat="1" x14ac:dyDescent="0.35">
      <c r="E11362" s="35"/>
      <c r="J11362" s="41"/>
    </row>
    <row r="11363" spans="5:10" s="34" customFormat="1" x14ac:dyDescent="0.35">
      <c r="E11363" s="35"/>
      <c r="J11363" s="41"/>
    </row>
    <row r="11364" spans="5:10" s="34" customFormat="1" x14ac:dyDescent="0.35">
      <c r="E11364" s="35"/>
      <c r="J11364" s="41"/>
    </row>
    <row r="11365" spans="5:10" s="34" customFormat="1" x14ac:dyDescent="0.35">
      <c r="E11365" s="35"/>
      <c r="J11365" s="41"/>
    </row>
    <row r="11366" spans="5:10" s="34" customFormat="1" x14ac:dyDescent="0.35">
      <c r="E11366" s="35"/>
      <c r="J11366" s="41"/>
    </row>
    <row r="11367" spans="5:10" s="34" customFormat="1" x14ac:dyDescent="0.35">
      <c r="E11367" s="35"/>
      <c r="J11367" s="41"/>
    </row>
    <row r="11368" spans="5:10" s="34" customFormat="1" x14ac:dyDescent="0.35">
      <c r="E11368" s="35"/>
      <c r="J11368" s="41"/>
    </row>
    <row r="11369" spans="5:10" s="34" customFormat="1" x14ac:dyDescent="0.35">
      <c r="E11369" s="35"/>
      <c r="J11369" s="41"/>
    </row>
    <row r="11370" spans="5:10" s="34" customFormat="1" x14ac:dyDescent="0.35">
      <c r="E11370" s="35"/>
      <c r="J11370" s="41"/>
    </row>
    <row r="11371" spans="5:10" s="34" customFormat="1" x14ac:dyDescent="0.35">
      <c r="E11371" s="35"/>
      <c r="J11371" s="41"/>
    </row>
    <row r="11372" spans="5:10" s="34" customFormat="1" x14ac:dyDescent="0.35">
      <c r="E11372" s="35"/>
      <c r="J11372" s="41"/>
    </row>
    <row r="11373" spans="5:10" s="34" customFormat="1" x14ac:dyDescent="0.35">
      <c r="E11373" s="35"/>
      <c r="J11373" s="41"/>
    </row>
    <row r="11374" spans="5:10" s="34" customFormat="1" x14ac:dyDescent="0.35">
      <c r="E11374" s="35"/>
      <c r="J11374" s="41"/>
    </row>
    <row r="11375" spans="5:10" s="34" customFormat="1" x14ac:dyDescent="0.35">
      <c r="E11375" s="35"/>
      <c r="J11375" s="41"/>
    </row>
    <row r="11376" spans="5:10" s="34" customFormat="1" x14ac:dyDescent="0.35">
      <c r="E11376" s="35"/>
      <c r="J11376" s="41"/>
    </row>
    <row r="11377" spans="5:10" s="34" customFormat="1" x14ac:dyDescent="0.35">
      <c r="E11377" s="35"/>
      <c r="J11377" s="41"/>
    </row>
    <row r="11378" spans="5:10" s="34" customFormat="1" x14ac:dyDescent="0.35">
      <c r="E11378" s="35"/>
      <c r="J11378" s="41"/>
    </row>
    <row r="11379" spans="5:10" s="34" customFormat="1" x14ac:dyDescent="0.35">
      <c r="E11379" s="35"/>
      <c r="J11379" s="41"/>
    </row>
    <row r="11380" spans="5:10" s="34" customFormat="1" x14ac:dyDescent="0.35">
      <c r="E11380" s="35"/>
      <c r="J11380" s="41"/>
    </row>
    <row r="11381" spans="5:10" s="34" customFormat="1" x14ac:dyDescent="0.35">
      <c r="E11381" s="35"/>
      <c r="J11381" s="41"/>
    </row>
    <row r="11382" spans="5:10" s="34" customFormat="1" x14ac:dyDescent="0.35">
      <c r="E11382" s="35"/>
      <c r="J11382" s="41"/>
    </row>
    <row r="11383" spans="5:10" s="34" customFormat="1" x14ac:dyDescent="0.35">
      <c r="E11383" s="35"/>
      <c r="J11383" s="41"/>
    </row>
    <row r="11384" spans="5:10" s="34" customFormat="1" x14ac:dyDescent="0.35">
      <c r="E11384" s="35"/>
      <c r="J11384" s="41"/>
    </row>
    <row r="11385" spans="5:10" s="34" customFormat="1" x14ac:dyDescent="0.35">
      <c r="E11385" s="35"/>
      <c r="J11385" s="41"/>
    </row>
    <row r="11386" spans="5:10" s="34" customFormat="1" x14ac:dyDescent="0.35">
      <c r="E11386" s="35"/>
      <c r="J11386" s="41"/>
    </row>
    <row r="11387" spans="5:10" s="34" customFormat="1" x14ac:dyDescent="0.35">
      <c r="E11387" s="35"/>
      <c r="J11387" s="41"/>
    </row>
    <row r="11388" spans="5:10" s="34" customFormat="1" x14ac:dyDescent="0.35">
      <c r="E11388" s="35"/>
      <c r="J11388" s="41"/>
    </row>
    <row r="11389" spans="5:10" s="34" customFormat="1" x14ac:dyDescent="0.35">
      <c r="E11389" s="35"/>
      <c r="J11389" s="41"/>
    </row>
    <row r="11390" spans="5:10" s="34" customFormat="1" x14ac:dyDescent="0.35">
      <c r="E11390" s="35"/>
      <c r="J11390" s="41"/>
    </row>
    <row r="11391" spans="5:10" s="34" customFormat="1" x14ac:dyDescent="0.35">
      <c r="E11391" s="35"/>
      <c r="J11391" s="41"/>
    </row>
    <row r="11392" spans="5:10" s="34" customFormat="1" x14ac:dyDescent="0.35">
      <c r="E11392" s="35"/>
      <c r="J11392" s="41"/>
    </row>
    <row r="11393" spans="5:10" s="34" customFormat="1" x14ac:dyDescent="0.35">
      <c r="E11393" s="35"/>
      <c r="J11393" s="41"/>
    </row>
    <row r="11394" spans="5:10" s="34" customFormat="1" x14ac:dyDescent="0.35">
      <c r="E11394" s="35"/>
      <c r="J11394" s="41"/>
    </row>
    <row r="11395" spans="5:10" s="34" customFormat="1" x14ac:dyDescent="0.35">
      <c r="E11395" s="35"/>
      <c r="J11395" s="41"/>
    </row>
    <row r="11396" spans="5:10" s="34" customFormat="1" x14ac:dyDescent="0.35">
      <c r="E11396" s="35"/>
      <c r="J11396" s="41"/>
    </row>
    <row r="11397" spans="5:10" s="34" customFormat="1" x14ac:dyDescent="0.35">
      <c r="E11397" s="35"/>
      <c r="J11397" s="41"/>
    </row>
    <row r="11398" spans="5:10" s="34" customFormat="1" x14ac:dyDescent="0.35">
      <c r="E11398" s="35"/>
      <c r="J11398" s="41"/>
    </row>
    <row r="11399" spans="5:10" s="34" customFormat="1" x14ac:dyDescent="0.35">
      <c r="E11399" s="35"/>
      <c r="J11399" s="41"/>
    </row>
    <row r="11400" spans="5:10" s="34" customFormat="1" x14ac:dyDescent="0.35">
      <c r="E11400" s="35"/>
      <c r="J11400" s="41"/>
    </row>
    <row r="11401" spans="5:10" s="34" customFormat="1" x14ac:dyDescent="0.35">
      <c r="E11401" s="35"/>
      <c r="J11401" s="41"/>
    </row>
    <row r="11402" spans="5:10" s="34" customFormat="1" x14ac:dyDescent="0.35">
      <c r="E11402" s="35"/>
      <c r="J11402" s="41"/>
    </row>
    <row r="11403" spans="5:10" s="34" customFormat="1" x14ac:dyDescent="0.35">
      <c r="E11403" s="35"/>
      <c r="J11403" s="41"/>
    </row>
    <row r="11404" spans="5:10" s="34" customFormat="1" x14ac:dyDescent="0.35">
      <c r="E11404" s="35"/>
      <c r="J11404" s="41"/>
    </row>
    <row r="11405" spans="5:10" s="34" customFormat="1" x14ac:dyDescent="0.35">
      <c r="E11405" s="35"/>
      <c r="J11405" s="41"/>
    </row>
    <row r="11406" spans="5:10" s="34" customFormat="1" x14ac:dyDescent="0.35">
      <c r="E11406" s="35"/>
      <c r="J11406" s="41"/>
    </row>
    <row r="11407" spans="5:10" s="34" customFormat="1" x14ac:dyDescent="0.35">
      <c r="E11407" s="35"/>
      <c r="J11407" s="41"/>
    </row>
    <row r="11408" spans="5:10" s="34" customFormat="1" x14ac:dyDescent="0.35">
      <c r="E11408" s="35"/>
      <c r="J11408" s="41"/>
    </row>
    <row r="11409" spans="5:10" s="34" customFormat="1" x14ac:dyDescent="0.35">
      <c r="E11409" s="35"/>
      <c r="J11409" s="41"/>
    </row>
    <row r="11410" spans="5:10" s="34" customFormat="1" x14ac:dyDescent="0.35">
      <c r="E11410" s="35"/>
      <c r="J11410" s="41"/>
    </row>
    <row r="11411" spans="5:10" s="34" customFormat="1" x14ac:dyDescent="0.35">
      <c r="E11411" s="35"/>
      <c r="J11411" s="41"/>
    </row>
    <row r="11412" spans="5:10" s="34" customFormat="1" x14ac:dyDescent="0.35">
      <c r="E11412" s="35"/>
      <c r="J11412" s="41"/>
    </row>
    <row r="11413" spans="5:10" s="34" customFormat="1" x14ac:dyDescent="0.35">
      <c r="E11413" s="35"/>
      <c r="J11413" s="41"/>
    </row>
    <row r="11414" spans="5:10" s="34" customFormat="1" x14ac:dyDescent="0.35">
      <c r="E11414" s="35"/>
      <c r="J11414" s="41"/>
    </row>
    <row r="11415" spans="5:10" s="34" customFormat="1" x14ac:dyDescent="0.35">
      <c r="E11415" s="35"/>
      <c r="J11415" s="41"/>
    </row>
    <row r="11416" spans="5:10" s="34" customFormat="1" x14ac:dyDescent="0.35">
      <c r="E11416" s="35"/>
      <c r="J11416" s="41"/>
    </row>
    <row r="11417" spans="5:10" s="34" customFormat="1" x14ac:dyDescent="0.35">
      <c r="E11417" s="35"/>
      <c r="J11417" s="41"/>
    </row>
    <row r="11418" spans="5:10" s="34" customFormat="1" x14ac:dyDescent="0.35">
      <c r="E11418" s="35"/>
      <c r="J11418" s="41"/>
    </row>
    <row r="11419" spans="5:10" s="34" customFormat="1" x14ac:dyDescent="0.35">
      <c r="E11419" s="35"/>
      <c r="J11419" s="41"/>
    </row>
    <row r="11420" spans="5:10" s="34" customFormat="1" x14ac:dyDescent="0.35">
      <c r="E11420" s="35"/>
      <c r="J11420" s="41"/>
    </row>
    <row r="11421" spans="5:10" s="34" customFormat="1" x14ac:dyDescent="0.35">
      <c r="E11421" s="35"/>
      <c r="J11421" s="41"/>
    </row>
    <row r="11422" spans="5:10" s="34" customFormat="1" x14ac:dyDescent="0.35">
      <c r="E11422" s="35"/>
      <c r="J11422" s="41"/>
    </row>
    <row r="11423" spans="5:10" s="34" customFormat="1" x14ac:dyDescent="0.35">
      <c r="E11423" s="35"/>
      <c r="J11423" s="41"/>
    </row>
    <row r="11424" spans="5:10" s="34" customFormat="1" x14ac:dyDescent="0.35">
      <c r="E11424" s="35"/>
      <c r="J11424" s="41"/>
    </row>
    <row r="11425" spans="5:10" s="34" customFormat="1" x14ac:dyDescent="0.35">
      <c r="E11425" s="35"/>
      <c r="J11425" s="41"/>
    </row>
    <row r="11426" spans="5:10" s="34" customFormat="1" x14ac:dyDescent="0.35">
      <c r="E11426" s="35"/>
      <c r="J11426" s="41"/>
    </row>
    <row r="11427" spans="5:10" s="34" customFormat="1" x14ac:dyDescent="0.35">
      <c r="E11427" s="35"/>
      <c r="J11427" s="41"/>
    </row>
    <row r="11428" spans="5:10" s="34" customFormat="1" x14ac:dyDescent="0.35">
      <c r="E11428" s="35"/>
      <c r="J11428" s="41"/>
    </row>
    <row r="11429" spans="5:10" s="34" customFormat="1" x14ac:dyDescent="0.35">
      <c r="E11429" s="35"/>
      <c r="J11429" s="41"/>
    </row>
    <row r="11430" spans="5:10" s="34" customFormat="1" x14ac:dyDescent="0.35">
      <c r="E11430" s="35"/>
      <c r="J11430" s="41"/>
    </row>
    <row r="11431" spans="5:10" s="34" customFormat="1" x14ac:dyDescent="0.35">
      <c r="E11431" s="35"/>
      <c r="J11431" s="41"/>
    </row>
    <row r="11432" spans="5:10" s="34" customFormat="1" x14ac:dyDescent="0.35">
      <c r="E11432" s="35"/>
      <c r="J11432" s="41"/>
    </row>
    <row r="11433" spans="5:10" s="34" customFormat="1" x14ac:dyDescent="0.35">
      <c r="E11433" s="35"/>
      <c r="J11433" s="41"/>
    </row>
    <row r="11434" spans="5:10" s="34" customFormat="1" x14ac:dyDescent="0.35">
      <c r="E11434" s="35"/>
      <c r="J11434" s="41"/>
    </row>
    <row r="11435" spans="5:10" s="34" customFormat="1" x14ac:dyDescent="0.35">
      <c r="E11435" s="35"/>
      <c r="J11435" s="41"/>
    </row>
    <row r="11436" spans="5:10" s="34" customFormat="1" x14ac:dyDescent="0.35">
      <c r="E11436" s="35"/>
      <c r="J11436" s="41"/>
    </row>
    <row r="11437" spans="5:10" s="34" customFormat="1" x14ac:dyDescent="0.35">
      <c r="E11437" s="35"/>
      <c r="J11437" s="41"/>
    </row>
    <row r="11438" spans="5:10" s="34" customFormat="1" x14ac:dyDescent="0.35">
      <c r="E11438" s="35"/>
      <c r="J11438" s="41"/>
    </row>
    <row r="11439" spans="5:10" s="34" customFormat="1" x14ac:dyDescent="0.35">
      <c r="E11439" s="35"/>
      <c r="J11439" s="41"/>
    </row>
    <row r="11440" spans="5:10" s="34" customFormat="1" x14ac:dyDescent="0.35">
      <c r="E11440" s="35"/>
      <c r="J11440" s="41"/>
    </row>
    <row r="11441" spans="5:10" s="34" customFormat="1" x14ac:dyDescent="0.35">
      <c r="E11441" s="35"/>
      <c r="J11441" s="41"/>
    </row>
    <row r="11442" spans="5:10" s="34" customFormat="1" x14ac:dyDescent="0.35">
      <c r="E11442" s="35"/>
      <c r="J11442" s="41"/>
    </row>
    <row r="11443" spans="5:10" s="34" customFormat="1" x14ac:dyDescent="0.35">
      <c r="E11443" s="35"/>
      <c r="J11443" s="41"/>
    </row>
    <row r="11444" spans="5:10" s="34" customFormat="1" x14ac:dyDescent="0.35">
      <c r="E11444" s="35"/>
      <c r="J11444" s="41"/>
    </row>
    <row r="11445" spans="5:10" s="34" customFormat="1" x14ac:dyDescent="0.35">
      <c r="E11445" s="35"/>
      <c r="J11445" s="41"/>
    </row>
    <row r="11446" spans="5:10" s="34" customFormat="1" x14ac:dyDescent="0.35">
      <c r="E11446" s="35"/>
      <c r="J11446" s="41"/>
    </row>
    <row r="11447" spans="5:10" s="34" customFormat="1" x14ac:dyDescent="0.35">
      <c r="E11447" s="35"/>
      <c r="J11447" s="41"/>
    </row>
    <row r="11448" spans="5:10" s="34" customFormat="1" x14ac:dyDescent="0.35">
      <c r="E11448" s="35"/>
      <c r="J11448" s="41"/>
    </row>
    <row r="11449" spans="5:10" s="34" customFormat="1" x14ac:dyDescent="0.35">
      <c r="E11449" s="35"/>
      <c r="J11449" s="41"/>
    </row>
    <row r="11450" spans="5:10" s="34" customFormat="1" x14ac:dyDescent="0.35">
      <c r="E11450" s="35"/>
      <c r="J11450" s="41"/>
    </row>
    <row r="11451" spans="5:10" s="34" customFormat="1" x14ac:dyDescent="0.35">
      <c r="E11451" s="35"/>
      <c r="J11451" s="41"/>
    </row>
    <row r="11452" spans="5:10" s="34" customFormat="1" x14ac:dyDescent="0.35">
      <c r="E11452" s="35"/>
      <c r="J11452" s="41"/>
    </row>
    <row r="11453" spans="5:10" s="34" customFormat="1" x14ac:dyDescent="0.35">
      <c r="E11453" s="35"/>
      <c r="J11453" s="41"/>
    </row>
    <row r="11454" spans="5:10" s="34" customFormat="1" x14ac:dyDescent="0.35">
      <c r="E11454" s="35"/>
      <c r="J11454" s="41"/>
    </row>
    <row r="11455" spans="5:10" s="34" customFormat="1" x14ac:dyDescent="0.35">
      <c r="E11455" s="35"/>
      <c r="J11455" s="41"/>
    </row>
    <row r="11456" spans="5:10" s="34" customFormat="1" x14ac:dyDescent="0.35">
      <c r="E11456" s="35"/>
      <c r="J11456" s="41"/>
    </row>
    <row r="11457" spans="5:10" s="34" customFormat="1" x14ac:dyDescent="0.35">
      <c r="E11457" s="35"/>
      <c r="J11457" s="41"/>
    </row>
    <row r="11458" spans="5:10" s="34" customFormat="1" x14ac:dyDescent="0.35">
      <c r="E11458" s="35"/>
      <c r="J11458" s="41"/>
    </row>
    <row r="11459" spans="5:10" s="34" customFormat="1" x14ac:dyDescent="0.35">
      <c r="E11459" s="35"/>
      <c r="J11459" s="41"/>
    </row>
    <row r="11460" spans="5:10" s="34" customFormat="1" x14ac:dyDescent="0.35">
      <c r="E11460" s="35"/>
      <c r="J11460" s="41"/>
    </row>
    <row r="11461" spans="5:10" s="34" customFormat="1" x14ac:dyDescent="0.35">
      <c r="E11461" s="35"/>
      <c r="J11461" s="41"/>
    </row>
    <row r="11462" spans="5:10" s="34" customFormat="1" x14ac:dyDescent="0.35">
      <c r="E11462" s="35"/>
      <c r="J11462" s="41"/>
    </row>
    <row r="11463" spans="5:10" s="34" customFormat="1" x14ac:dyDescent="0.35">
      <c r="E11463" s="35"/>
      <c r="J11463" s="41"/>
    </row>
    <row r="11464" spans="5:10" s="34" customFormat="1" x14ac:dyDescent="0.35">
      <c r="E11464" s="35"/>
      <c r="J11464" s="41"/>
    </row>
    <row r="11465" spans="5:10" s="34" customFormat="1" x14ac:dyDescent="0.35">
      <c r="E11465" s="35"/>
      <c r="J11465" s="41"/>
    </row>
    <row r="11466" spans="5:10" s="34" customFormat="1" x14ac:dyDescent="0.35">
      <c r="E11466" s="35"/>
      <c r="J11466" s="41"/>
    </row>
    <row r="11467" spans="5:10" s="34" customFormat="1" x14ac:dyDescent="0.35">
      <c r="E11467" s="35"/>
      <c r="J11467" s="41"/>
    </row>
    <row r="11468" spans="5:10" s="34" customFormat="1" x14ac:dyDescent="0.35">
      <c r="E11468" s="35"/>
      <c r="J11468" s="41"/>
    </row>
    <row r="11469" spans="5:10" s="34" customFormat="1" x14ac:dyDescent="0.35">
      <c r="E11469" s="35"/>
      <c r="J11469" s="41"/>
    </row>
    <row r="11470" spans="5:10" s="34" customFormat="1" x14ac:dyDescent="0.35">
      <c r="E11470" s="35"/>
      <c r="J11470" s="41"/>
    </row>
    <row r="11471" spans="5:10" s="34" customFormat="1" x14ac:dyDescent="0.35">
      <c r="E11471" s="35"/>
      <c r="J11471" s="41"/>
    </row>
    <row r="11472" spans="5:10" s="34" customFormat="1" x14ac:dyDescent="0.35">
      <c r="E11472" s="35"/>
      <c r="J11472" s="41"/>
    </row>
    <row r="11473" spans="5:10" s="34" customFormat="1" x14ac:dyDescent="0.35">
      <c r="E11473" s="35"/>
      <c r="J11473" s="41"/>
    </row>
    <row r="11474" spans="5:10" s="34" customFormat="1" x14ac:dyDescent="0.35">
      <c r="E11474" s="35"/>
      <c r="J11474" s="41"/>
    </row>
    <row r="11475" spans="5:10" s="34" customFormat="1" x14ac:dyDescent="0.35">
      <c r="E11475" s="35"/>
      <c r="J11475" s="41"/>
    </row>
    <row r="11476" spans="5:10" s="34" customFormat="1" x14ac:dyDescent="0.35">
      <c r="E11476" s="35"/>
      <c r="J11476" s="41"/>
    </row>
    <row r="11477" spans="5:10" s="34" customFormat="1" x14ac:dyDescent="0.35">
      <c r="E11477" s="35"/>
      <c r="J11477" s="41"/>
    </row>
    <row r="11478" spans="5:10" s="34" customFormat="1" x14ac:dyDescent="0.35">
      <c r="E11478" s="35"/>
      <c r="J11478" s="41"/>
    </row>
    <row r="11479" spans="5:10" s="34" customFormat="1" x14ac:dyDescent="0.35">
      <c r="E11479" s="35"/>
      <c r="J11479" s="41"/>
    </row>
    <row r="11480" spans="5:10" s="34" customFormat="1" x14ac:dyDescent="0.35">
      <c r="E11480" s="35"/>
      <c r="J11480" s="41"/>
    </row>
    <row r="11481" spans="5:10" s="34" customFormat="1" x14ac:dyDescent="0.35">
      <c r="E11481" s="35"/>
      <c r="J11481" s="41"/>
    </row>
    <row r="11482" spans="5:10" s="34" customFormat="1" x14ac:dyDescent="0.35">
      <c r="E11482" s="35"/>
      <c r="J11482" s="41"/>
    </row>
    <row r="11483" spans="5:10" s="34" customFormat="1" x14ac:dyDescent="0.35">
      <c r="E11483" s="35"/>
      <c r="J11483" s="41"/>
    </row>
    <row r="11484" spans="5:10" s="34" customFormat="1" x14ac:dyDescent="0.35">
      <c r="E11484" s="35"/>
      <c r="J11484" s="41"/>
    </row>
    <row r="11485" spans="5:10" s="34" customFormat="1" x14ac:dyDescent="0.35">
      <c r="E11485" s="35"/>
      <c r="J11485" s="41"/>
    </row>
    <row r="11486" spans="5:10" s="34" customFormat="1" x14ac:dyDescent="0.35">
      <c r="E11486" s="35"/>
      <c r="J11486" s="41"/>
    </row>
    <row r="11487" spans="5:10" s="34" customFormat="1" x14ac:dyDescent="0.35">
      <c r="E11487" s="35"/>
      <c r="J11487" s="41"/>
    </row>
    <row r="11488" spans="5:10" s="34" customFormat="1" x14ac:dyDescent="0.35">
      <c r="E11488" s="35"/>
      <c r="J11488" s="41"/>
    </row>
    <row r="11489" spans="5:10" s="34" customFormat="1" x14ac:dyDescent="0.35">
      <c r="E11489" s="35"/>
      <c r="J11489" s="41"/>
    </row>
    <row r="11490" spans="5:10" s="34" customFormat="1" x14ac:dyDescent="0.35">
      <c r="E11490" s="35"/>
      <c r="J11490" s="41"/>
    </row>
    <row r="11491" spans="5:10" s="34" customFormat="1" x14ac:dyDescent="0.35">
      <c r="E11491" s="35"/>
      <c r="J11491" s="41"/>
    </row>
    <row r="11492" spans="5:10" s="34" customFormat="1" x14ac:dyDescent="0.35">
      <c r="E11492" s="35"/>
      <c r="J11492" s="41"/>
    </row>
    <row r="11493" spans="5:10" s="34" customFormat="1" x14ac:dyDescent="0.35">
      <c r="E11493" s="35"/>
      <c r="J11493" s="41"/>
    </row>
    <row r="11494" spans="5:10" s="34" customFormat="1" x14ac:dyDescent="0.35">
      <c r="E11494" s="35"/>
      <c r="J11494" s="41"/>
    </row>
    <row r="11495" spans="5:10" s="34" customFormat="1" x14ac:dyDescent="0.35">
      <c r="E11495" s="35"/>
      <c r="J11495" s="41"/>
    </row>
    <row r="11496" spans="5:10" s="34" customFormat="1" x14ac:dyDescent="0.35">
      <c r="E11496" s="35"/>
      <c r="J11496" s="41"/>
    </row>
    <row r="11497" spans="5:10" s="34" customFormat="1" x14ac:dyDescent="0.35">
      <c r="E11497" s="35"/>
      <c r="J11497" s="41"/>
    </row>
    <row r="11498" spans="5:10" s="34" customFormat="1" x14ac:dyDescent="0.35">
      <c r="E11498" s="35"/>
      <c r="J11498" s="41"/>
    </row>
    <row r="11499" spans="5:10" s="34" customFormat="1" x14ac:dyDescent="0.35">
      <c r="E11499" s="35"/>
      <c r="J11499" s="41"/>
    </row>
    <row r="11500" spans="5:10" s="34" customFormat="1" x14ac:dyDescent="0.35">
      <c r="E11500" s="35"/>
      <c r="J11500" s="41"/>
    </row>
    <row r="11501" spans="5:10" s="34" customFormat="1" x14ac:dyDescent="0.35">
      <c r="E11501" s="35"/>
      <c r="J11501" s="41"/>
    </row>
    <row r="11502" spans="5:10" s="34" customFormat="1" x14ac:dyDescent="0.35">
      <c r="E11502" s="35"/>
      <c r="J11502" s="41"/>
    </row>
    <row r="11503" spans="5:10" s="34" customFormat="1" x14ac:dyDescent="0.35">
      <c r="E11503" s="35"/>
      <c r="J11503" s="41"/>
    </row>
    <row r="11504" spans="5:10" s="34" customFormat="1" x14ac:dyDescent="0.35">
      <c r="E11504" s="35"/>
      <c r="J11504" s="41"/>
    </row>
    <row r="11505" spans="5:10" s="34" customFormat="1" x14ac:dyDescent="0.35">
      <c r="E11505" s="35"/>
      <c r="J11505" s="41"/>
    </row>
    <row r="11506" spans="5:10" s="34" customFormat="1" x14ac:dyDescent="0.35">
      <c r="E11506" s="35"/>
      <c r="J11506" s="41"/>
    </row>
    <row r="11507" spans="5:10" s="34" customFormat="1" x14ac:dyDescent="0.35">
      <c r="E11507" s="35"/>
      <c r="J11507" s="41"/>
    </row>
    <row r="11508" spans="5:10" s="34" customFormat="1" x14ac:dyDescent="0.35">
      <c r="E11508" s="35"/>
      <c r="J11508" s="41"/>
    </row>
    <row r="11509" spans="5:10" s="34" customFormat="1" x14ac:dyDescent="0.35">
      <c r="E11509" s="35"/>
      <c r="J11509" s="41"/>
    </row>
    <row r="11510" spans="5:10" s="34" customFormat="1" x14ac:dyDescent="0.35">
      <c r="E11510" s="35"/>
      <c r="J11510" s="41"/>
    </row>
    <row r="11511" spans="5:10" s="34" customFormat="1" x14ac:dyDescent="0.35">
      <c r="E11511" s="35"/>
      <c r="J11511" s="41"/>
    </row>
    <row r="11512" spans="5:10" s="34" customFormat="1" x14ac:dyDescent="0.35">
      <c r="E11512" s="35"/>
      <c r="J11512" s="41"/>
    </row>
    <row r="11513" spans="5:10" s="34" customFormat="1" x14ac:dyDescent="0.35">
      <c r="E11513" s="35"/>
      <c r="J11513" s="41"/>
    </row>
    <row r="11514" spans="5:10" s="34" customFormat="1" x14ac:dyDescent="0.35">
      <c r="E11514" s="35"/>
      <c r="J11514" s="41"/>
    </row>
    <row r="11515" spans="5:10" s="34" customFormat="1" x14ac:dyDescent="0.35">
      <c r="E11515" s="35"/>
      <c r="J11515" s="41"/>
    </row>
    <row r="11516" spans="5:10" s="34" customFormat="1" x14ac:dyDescent="0.35">
      <c r="E11516" s="35"/>
      <c r="J11516" s="41"/>
    </row>
    <row r="11517" spans="5:10" s="34" customFormat="1" x14ac:dyDescent="0.35">
      <c r="E11517" s="35"/>
      <c r="J11517" s="41"/>
    </row>
    <row r="11518" spans="5:10" s="34" customFormat="1" x14ac:dyDescent="0.35">
      <c r="E11518" s="35"/>
      <c r="J11518" s="41"/>
    </row>
    <row r="11519" spans="5:10" s="34" customFormat="1" x14ac:dyDescent="0.35">
      <c r="E11519" s="35"/>
      <c r="J11519" s="41"/>
    </row>
    <row r="11520" spans="5:10" s="34" customFormat="1" x14ac:dyDescent="0.35">
      <c r="E11520" s="35"/>
      <c r="J11520" s="41"/>
    </row>
    <row r="11521" spans="5:10" s="34" customFormat="1" x14ac:dyDescent="0.35">
      <c r="E11521" s="35"/>
      <c r="J11521" s="41"/>
    </row>
    <row r="11522" spans="5:10" s="34" customFormat="1" x14ac:dyDescent="0.35">
      <c r="E11522" s="35"/>
      <c r="J11522" s="41"/>
    </row>
    <row r="11523" spans="5:10" s="34" customFormat="1" x14ac:dyDescent="0.35">
      <c r="E11523" s="35"/>
      <c r="J11523" s="41"/>
    </row>
    <row r="11524" spans="5:10" s="34" customFormat="1" x14ac:dyDescent="0.35">
      <c r="E11524" s="35"/>
      <c r="J11524" s="41"/>
    </row>
    <row r="11525" spans="5:10" s="34" customFormat="1" x14ac:dyDescent="0.35">
      <c r="E11525" s="35"/>
      <c r="J11525" s="41"/>
    </row>
    <row r="11526" spans="5:10" s="34" customFormat="1" x14ac:dyDescent="0.35">
      <c r="E11526" s="35"/>
      <c r="J11526" s="41"/>
    </row>
    <row r="11527" spans="5:10" s="34" customFormat="1" x14ac:dyDescent="0.35">
      <c r="E11527" s="35"/>
      <c r="J11527" s="41"/>
    </row>
    <row r="11528" spans="5:10" s="34" customFormat="1" x14ac:dyDescent="0.35">
      <c r="E11528" s="35"/>
      <c r="J11528" s="41"/>
    </row>
    <row r="11529" spans="5:10" s="34" customFormat="1" x14ac:dyDescent="0.35">
      <c r="E11529" s="35"/>
      <c r="J11529" s="41"/>
    </row>
    <row r="11530" spans="5:10" s="34" customFormat="1" x14ac:dyDescent="0.35">
      <c r="E11530" s="35"/>
      <c r="J11530" s="41"/>
    </row>
    <row r="11531" spans="5:10" s="34" customFormat="1" x14ac:dyDescent="0.35">
      <c r="E11531" s="35"/>
      <c r="J11531" s="41"/>
    </row>
    <row r="11532" spans="5:10" s="34" customFormat="1" x14ac:dyDescent="0.35">
      <c r="E11532" s="35"/>
      <c r="J11532" s="41"/>
    </row>
    <row r="11533" spans="5:10" s="34" customFormat="1" x14ac:dyDescent="0.35">
      <c r="E11533" s="35"/>
      <c r="J11533" s="41"/>
    </row>
    <row r="11534" spans="5:10" s="34" customFormat="1" x14ac:dyDescent="0.35">
      <c r="E11534" s="35"/>
      <c r="J11534" s="41"/>
    </row>
    <row r="11535" spans="5:10" s="34" customFormat="1" x14ac:dyDescent="0.35">
      <c r="E11535" s="35"/>
      <c r="J11535" s="41"/>
    </row>
    <row r="11536" spans="5:10" s="34" customFormat="1" x14ac:dyDescent="0.35">
      <c r="E11536" s="35"/>
      <c r="J11536" s="41"/>
    </row>
    <row r="11537" spans="5:10" s="34" customFormat="1" x14ac:dyDescent="0.35">
      <c r="E11537" s="35"/>
      <c r="J11537" s="41"/>
    </row>
    <row r="11538" spans="5:10" s="34" customFormat="1" x14ac:dyDescent="0.35">
      <c r="E11538" s="35"/>
      <c r="J11538" s="41"/>
    </row>
    <row r="11539" spans="5:10" s="34" customFormat="1" x14ac:dyDescent="0.35">
      <c r="E11539" s="35"/>
      <c r="J11539" s="41"/>
    </row>
    <row r="11540" spans="5:10" s="34" customFormat="1" x14ac:dyDescent="0.35">
      <c r="E11540" s="35"/>
      <c r="J11540" s="41"/>
    </row>
    <row r="11541" spans="5:10" s="34" customFormat="1" x14ac:dyDescent="0.35">
      <c r="E11541" s="35"/>
      <c r="J11541" s="41"/>
    </row>
    <row r="11542" spans="5:10" s="34" customFormat="1" x14ac:dyDescent="0.35">
      <c r="E11542" s="35"/>
      <c r="J11542" s="41"/>
    </row>
    <row r="11543" spans="5:10" s="34" customFormat="1" x14ac:dyDescent="0.35">
      <c r="E11543" s="35"/>
      <c r="J11543" s="41"/>
    </row>
    <row r="11544" spans="5:10" s="34" customFormat="1" x14ac:dyDescent="0.35">
      <c r="E11544" s="35"/>
      <c r="J11544" s="41"/>
    </row>
    <row r="11545" spans="5:10" s="34" customFormat="1" x14ac:dyDescent="0.35">
      <c r="E11545" s="35"/>
      <c r="J11545" s="41"/>
    </row>
    <row r="11546" spans="5:10" s="34" customFormat="1" x14ac:dyDescent="0.35">
      <c r="E11546" s="35"/>
      <c r="J11546" s="41"/>
    </row>
    <row r="11547" spans="5:10" s="34" customFormat="1" x14ac:dyDescent="0.35">
      <c r="E11547" s="35"/>
      <c r="J11547" s="41"/>
    </row>
    <row r="11548" spans="5:10" s="34" customFormat="1" x14ac:dyDescent="0.35">
      <c r="E11548" s="35"/>
      <c r="J11548" s="41"/>
    </row>
    <row r="11549" spans="5:10" s="34" customFormat="1" x14ac:dyDescent="0.35">
      <c r="E11549" s="35"/>
      <c r="J11549" s="41"/>
    </row>
    <row r="11550" spans="5:10" s="34" customFormat="1" x14ac:dyDescent="0.35">
      <c r="E11550" s="35"/>
      <c r="J11550" s="41"/>
    </row>
    <row r="11551" spans="5:10" s="34" customFormat="1" x14ac:dyDescent="0.35">
      <c r="E11551" s="35"/>
      <c r="J11551" s="41"/>
    </row>
    <row r="11552" spans="5:10" s="34" customFormat="1" x14ac:dyDescent="0.35">
      <c r="E11552" s="35"/>
      <c r="J11552" s="41"/>
    </row>
    <row r="11553" spans="5:10" s="34" customFormat="1" x14ac:dyDescent="0.35">
      <c r="E11553" s="35"/>
      <c r="J11553" s="41"/>
    </row>
    <row r="11554" spans="5:10" s="34" customFormat="1" x14ac:dyDescent="0.35">
      <c r="E11554" s="35"/>
      <c r="J11554" s="41"/>
    </row>
    <row r="11555" spans="5:10" s="34" customFormat="1" x14ac:dyDescent="0.35">
      <c r="E11555" s="35"/>
      <c r="J11555" s="41"/>
    </row>
    <row r="11556" spans="5:10" s="34" customFormat="1" x14ac:dyDescent="0.35">
      <c r="E11556" s="35"/>
      <c r="J11556" s="41"/>
    </row>
    <row r="11557" spans="5:10" s="34" customFormat="1" x14ac:dyDescent="0.35">
      <c r="E11557" s="35"/>
      <c r="J11557" s="41"/>
    </row>
    <row r="11558" spans="5:10" s="34" customFormat="1" x14ac:dyDescent="0.35">
      <c r="E11558" s="35"/>
      <c r="J11558" s="41"/>
    </row>
    <row r="11559" spans="5:10" s="34" customFormat="1" x14ac:dyDescent="0.35">
      <c r="E11559" s="35"/>
      <c r="J11559" s="41"/>
    </row>
    <row r="11560" spans="5:10" s="34" customFormat="1" x14ac:dyDescent="0.35">
      <c r="E11560" s="35"/>
      <c r="J11560" s="41"/>
    </row>
    <row r="11561" spans="5:10" s="34" customFormat="1" x14ac:dyDescent="0.35">
      <c r="E11561" s="35"/>
      <c r="J11561" s="41"/>
    </row>
    <row r="11562" spans="5:10" s="34" customFormat="1" x14ac:dyDescent="0.35">
      <c r="E11562" s="35"/>
      <c r="J11562" s="41"/>
    </row>
    <row r="11563" spans="5:10" s="34" customFormat="1" x14ac:dyDescent="0.35">
      <c r="E11563" s="35"/>
      <c r="J11563" s="41"/>
    </row>
    <row r="11564" spans="5:10" s="34" customFormat="1" x14ac:dyDescent="0.35">
      <c r="E11564" s="35"/>
      <c r="J11564" s="41"/>
    </row>
    <row r="11565" spans="5:10" s="34" customFormat="1" x14ac:dyDescent="0.35">
      <c r="E11565" s="35"/>
      <c r="J11565" s="41"/>
    </row>
    <row r="11566" spans="5:10" s="34" customFormat="1" x14ac:dyDescent="0.35">
      <c r="E11566" s="35"/>
      <c r="J11566" s="41"/>
    </row>
    <row r="11567" spans="5:10" s="34" customFormat="1" x14ac:dyDescent="0.35">
      <c r="E11567" s="35"/>
      <c r="J11567" s="41"/>
    </row>
    <row r="11568" spans="5:10" s="34" customFormat="1" x14ac:dyDescent="0.35">
      <c r="E11568" s="35"/>
      <c r="J11568" s="41"/>
    </row>
    <row r="11569" spans="5:10" s="34" customFormat="1" x14ac:dyDescent="0.35">
      <c r="E11569" s="35"/>
      <c r="J11569" s="41"/>
    </row>
    <row r="11570" spans="5:10" s="34" customFormat="1" x14ac:dyDescent="0.35">
      <c r="E11570" s="35"/>
      <c r="J11570" s="41"/>
    </row>
    <row r="11571" spans="5:10" s="34" customFormat="1" x14ac:dyDescent="0.35">
      <c r="E11571" s="35"/>
      <c r="J11571" s="41"/>
    </row>
    <row r="11572" spans="5:10" s="34" customFormat="1" x14ac:dyDescent="0.35">
      <c r="E11572" s="35"/>
      <c r="J11572" s="41"/>
    </row>
    <row r="11573" spans="5:10" s="34" customFormat="1" x14ac:dyDescent="0.35">
      <c r="E11573" s="35"/>
      <c r="J11573" s="41"/>
    </row>
    <row r="11574" spans="5:10" s="34" customFormat="1" x14ac:dyDescent="0.35">
      <c r="E11574" s="35"/>
      <c r="J11574" s="41"/>
    </row>
    <row r="11575" spans="5:10" s="34" customFormat="1" x14ac:dyDescent="0.35">
      <c r="E11575" s="35"/>
      <c r="J11575" s="41"/>
    </row>
    <row r="11576" spans="5:10" s="34" customFormat="1" x14ac:dyDescent="0.35">
      <c r="E11576" s="35"/>
      <c r="J11576" s="41"/>
    </row>
    <row r="11577" spans="5:10" s="34" customFormat="1" x14ac:dyDescent="0.35">
      <c r="E11577" s="35"/>
      <c r="J11577" s="41"/>
    </row>
    <row r="11578" spans="5:10" s="34" customFormat="1" x14ac:dyDescent="0.35">
      <c r="E11578" s="35"/>
      <c r="J11578" s="41"/>
    </row>
    <row r="11579" spans="5:10" s="34" customFormat="1" x14ac:dyDescent="0.35">
      <c r="E11579" s="35"/>
      <c r="J11579" s="41"/>
    </row>
    <row r="11580" spans="5:10" s="34" customFormat="1" x14ac:dyDescent="0.35">
      <c r="E11580" s="35"/>
      <c r="J11580" s="41"/>
    </row>
    <row r="11581" spans="5:10" s="34" customFormat="1" x14ac:dyDescent="0.35">
      <c r="E11581" s="35"/>
      <c r="J11581" s="41"/>
    </row>
    <row r="11582" spans="5:10" s="34" customFormat="1" x14ac:dyDescent="0.35">
      <c r="E11582" s="35"/>
      <c r="J11582" s="41"/>
    </row>
    <row r="11583" spans="5:10" s="34" customFormat="1" x14ac:dyDescent="0.35">
      <c r="E11583" s="35"/>
      <c r="J11583" s="41"/>
    </row>
    <row r="11584" spans="5:10" s="34" customFormat="1" x14ac:dyDescent="0.35">
      <c r="E11584" s="35"/>
      <c r="J11584" s="41"/>
    </row>
    <row r="11585" spans="5:10" s="34" customFormat="1" x14ac:dyDescent="0.35">
      <c r="E11585" s="35"/>
      <c r="J11585" s="41"/>
    </row>
    <row r="11586" spans="5:10" s="34" customFormat="1" x14ac:dyDescent="0.35">
      <c r="E11586" s="35"/>
      <c r="J11586" s="41"/>
    </row>
    <row r="11587" spans="5:10" s="34" customFormat="1" x14ac:dyDescent="0.35">
      <c r="E11587" s="35"/>
      <c r="J11587" s="41"/>
    </row>
    <row r="11588" spans="5:10" s="34" customFormat="1" x14ac:dyDescent="0.35">
      <c r="E11588" s="35"/>
      <c r="J11588" s="41"/>
    </row>
    <row r="11589" spans="5:10" s="34" customFormat="1" x14ac:dyDescent="0.35">
      <c r="E11589" s="35"/>
      <c r="J11589" s="41"/>
    </row>
    <row r="11590" spans="5:10" s="34" customFormat="1" x14ac:dyDescent="0.35">
      <c r="E11590" s="35"/>
      <c r="J11590" s="41"/>
    </row>
    <row r="11591" spans="5:10" s="34" customFormat="1" x14ac:dyDescent="0.35">
      <c r="E11591" s="35"/>
      <c r="J11591" s="41"/>
    </row>
    <row r="11592" spans="5:10" s="34" customFormat="1" x14ac:dyDescent="0.35">
      <c r="E11592" s="35"/>
      <c r="J11592" s="41"/>
    </row>
    <row r="11593" spans="5:10" s="34" customFormat="1" x14ac:dyDescent="0.35">
      <c r="E11593" s="35"/>
      <c r="J11593" s="41"/>
    </row>
    <row r="11594" spans="5:10" s="34" customFormat="1" x14ac:dyDescent="0.35">
      <c r="E11594" s="35"/>
      <c r="J11594" s="41"/>
    </row>
    <row r="11595" spans="5:10" s="34" customFormat="1" x14ac:dyDescent="0.35">
      <c r="E11595" s="35"/>
      <c r="J11595" s="41"/>
    </row>
    <row r="11596" spans="5:10" s="34" customFormat="1" x14ac:dyDescent="0.35">
      <c r="E11596" s="35"/>
      <c r="J11596" s="41"/>
    </row>
    <row r="11597" spans="5:10" s="34" customFormat="1" x14ac:dyDescent="0.35">
      <c r="E11597" s="35"/>
      <c r="J11597" s="41"/>
    </row>
    <row r="11598" spans="5:10" s="34" customFormat="1" x14ac:dyDescent="0.35">
      <c r="E11598" s="35"/>
      <c r="J11598" s="41"/>
    </row>
    <row r="11599" spans="5:10" s="34" customFormat="1" x14ac:dyDescent="0.35">
      <c r="E11599" s="35"/>
      <c r="J11599" s="41"/>
    </row>
    <row r="11600" spans="5:10" s="34" customFormat="1" x14ac:dyDescent="0.35">
      <c r="E11600" s="35"/>
      <c r="J11600" s="41"/>
    </row>
    <row r="11601" spans="5:10" s="34" customFormat="1" x14ac:dyDescent="0.35">
      <c r="E11601" s="35"/>
      <c r="J11601" s="41"/>
    </row>
    <row r="11602" spans="5:10" s="34" customFormat="1" x14ac:dyDescent="0.35">
      <c r="E11602" s="35"/>
      <c r="J11602" s="41"/>
    </row>
    <row r="11603" spans="5:10" s="34" customFormat="1" x14ac:dyDescent="0.35">
      <c r="E11603" s="35"/>
      <c r="J11603" s="41"/>
    </row>
    <row r="11604" spans="5:10" s="34" customFormat="1" x14ac:dyDescent="0.35">
      <c r="E11604" s="35"/>
      <c r="J11604" s="41"/>
    </row>
    <row r="11605" spans="5:10" s="34" customFormat="1" x14ac:dyDescent="0.35">
      <c r="E11605" s="35"/>
      <c r="J11605" s="41"/>
    </row>
    <row r="11606" spans="5:10" s="34" customFormat="1" x14ac:dyDescent="0.35">
      <c r="E11606" s="35"/>
      <c r="J11606" s="41"/>
    </row>
    <row r="11607" spans="5:10" s="34" customFormat="1" x14ac:dyDescent="0.35">
      <c r="E11607" s="35"/>
      <c r="J11607" s="41"/>
    </row>
    <row r="11608" spans="5:10" s="34" customFormat="1" x14ac:dyDescent="0.35">
      <c r="E11608" s="35"/>
      <c r="J11608" s="41"/>
    </row>
    <row r="11609" spans="5:10" s="34" customFormat="1" x14ac:dyDescent="0.35">
      <c r="E11609" s="35"/>
      <c r="J11609" s="41"/>
    </row>
    <row r="11610" spans="5:10" s="34" customFormat="1" x14ac:dyDescent="0.35">
      <c r="E11610" s="35"/>
      <c r="J11610" s="41"/>
    </row>
    <row r="11611" spans="5:10" s="34" customFormat="1" x14ac:dyDescent="0.35">
      <c r="E11611" s="35"/>
      <c r="J11611" s="41"/>
    </row>
    <row r="11612" spans="5:10" s="34" customFormat="1" x14ac:dyDescent="0.35">
      <c r="E11612" s="35"/>
      <c r="J11612" s="41"/>
    </row>
    <row r="11613" spans="5:10" s="34" customFormat="1" x14ac:dyDescent="0.35">
      <c r="E11613" s="35"/>
      <c r="J11613" s="41"/>
    </row>
    <row r="11614" spans="5:10" s="34" customFormat="1" x14ac:dyDescent="0.35">
      <c r="E11614" s="35"/>
      <c r="J11614" s="41"/>
    </row>
    <row r="11615" spans="5:10" s="34" customFormat="1" x14ac:dyDescent="0.35">
      <c r="E11615" s="35"/>
      <c r="J11615" s="41"/>
    </row>
    <row r="11616" spans="5:10" s="34" customFormat="1" x14ac:dyDescent="0.35">
      <c r="E11616" s="35"/>
      <c r="J11616" s="41"/>
    </row>
    <row r="11617" spans="5:10" s="34" customFormat="1" x14ac:dyDescent="0.35">
      <c r="E11617" s="35"/>
      <c r="J11617" s="41"/>
    </row>
    <row r="11618" spans="5:10" s="34" customFormat="1" x14ac:dyDescent="0.35">
      <c r="E11618" s="35"/>
      <c r="J11618" s="41"/>
    </row>
    <row r="11619" spans="5:10" s="34" customFormat="1" x14ac:dyDescent="0.35">
      <c r="E11619" s="35"/>
      <c r="J11619" s="41"/>
    </row>
    <row r="11620" spans="5:10" s="34" customFormat="1" x14ac:dyDescent="0.35">
      <c r="E11620" s="35"/>
      <c r="J11620" s="41"/>
    </row>
    <row r="11621" spans="5:10" s="34" customFormat="1" x14ac:dyDescent="0.35">
      <c r="E11621" s="35"/>
      <c r="J11621" s="41"/>
    </row>
    <row r="11622" spans="5:10" s="34" customFormat="1" x14ac:dyDescent="0.35">
      <c r="E11622" s="35"/>
      <c r="J11622" s="41"/>
    </row>
    <row r="11623" spans="5:10" s="34" customFormat="1" x14ac:dyDescent="0.35">
      <c r="E11623" s="35"/>
      <c r="J11623" s="41"/>
    </row>
    <row r="11624" spans="5:10" s="34" customFormat="1" x14ac:dyDescent="0.35">
      <c r="E11624" s="35"/>
      <c r="J11624" s="41"/>
    </row>
    <row r="11625" spans="5:10" s="34" customFormat="1" x14ac:dyDescent="0.35">
      <c r="E11625" s="35"/>
      <c r="J11625" s="41"/>
    </row>
    <row r="11626" spans="5:10" s="34" customFormat="1" x14ac:dyDescent="0.35">
      <c r="E11626" s="35"/>
      <c r="J11626" s="41"/>
    </row>
    <row r="11627" spans="5:10" s="34" customFormat="1" x14ac:dyDescent="0.35">
      <c r="E11627" s="35"/>
      <c r="J11627" s="41"/>
    </row>
    <row r="11628" spans="5:10" s="34" customFormat="1" x14ac:dyDescent="0.35">
      <c r="E11628" s="35"/>
      <c r="J11628" s="41"/>
    </row>
    <row r="11629" spans="5:10" s="34" customFormat="1" x14ac:dyDescent="0.35">
      <c r="E11629" s="35"/>
      <c r="J11629" s="41"/>
    </row>
    <row r="11630" spans="5:10" s="34" customFormat="1" x14ac:dyDescent="0.35">
      <c r="E11630" s="35"/>
      <c r="J11630" s="41"/>
    </row>
    <row r="11631" spans="5:10" s="34" customFormat="1" x14ac:dyDescent="0.35">
      <c r="E11631" s="35"/>
      <c r="J11631" s="41"/>
    </row>
    <row r="11632" spans="5:10" s="34" customFormat="1" x14ac:dyDescent="0.35">
      <c r="E11632" s="35"/>
      <c r="J11632" s="41"/>
    </row>
    <row r="11633" spans="5:10" s="34" customFormat="1" x14ac:dyDescent="0.35">
      <c r="E11633" s="35"/>
      <c r="J11633" s="41"/>
    </row>
    <row r="11634" spans="5:10" s="34" customFormat="1" x14ac:dyDescent="0.35">
      <c r="E11634" s="35"/>
      <c r="J11634" s="41"/>
    </row>
    <row r="11635" spans="5:10" s="34" customFormat="1" x14ac:dyDescent="0.35">
      <c r="E11635" s="35"/>
      <c r="J11635" s="41"/>
    </row>
    <row r="11636" spans="5:10" s="34" customFormat="1" x14ac:dyDescent="0.35">
      <c r="E11636" s="35"/>
      <c r="J11636" s="41"/>
    </row>
    <row r="11637" spans="5:10" s="34" customFormat="1" x14ac:dyDescent="0.35">
      <c r="E11637" s="35"/>
      <c r="J11637" s="41"/>
    </row>
    <row r="11638" spans="5:10" s="34" customFormat="1" x14ac:dyDescent="0.35">
      <c r="E11638" s="35"/>
      <c r="J11638" s="41"/>
    </row>
    <row r="11639" spans="5:10" s="34" customFormat="1" x14ac:dyDescent="0.35">
      <c r="E11639" s="35"/>
      <c r="J11639" s="41"/>
    </row>
    <row r="11640" spans="5:10" s="34" customFormat="1" x14ac:dyDescent="0.35">
      <c r="E11640" s="35"/>
      <c r="J11640" s="41"/>
    </row>
    <row r="11641" spans="5:10" s="34" customFormat="1" x14ac:dyDescent="0.35">
      <c r="E11641" s="35"/>
      <c r="J11641" s="41"/>
    </row>
    <row r="11642" spans="5:10" s="34" customFormat="1" x14ac:dyDescent="0.35">
      <c r="E11642" s="35"/>
      <c r="J11642" s="41"/>
    </row>
    <row r="11643" spans="5:10" s="34" customFormat="1" x14ac:dyDescent="0.35">
      <c r="E11643" s="35"/>
      <c r="J11643" s="41"/>
    </row>
    <row r="11644" spans="5:10" s="34" customFormat="1" x14ac:dyDescent="0.35">
      <c r="E11644" s="35"/>
      <c r="J11644" s="41"/>
    </row>
    <row r="11645" spans="5:10" s="34" customFormat="1" x14ac:dyDescent="0.35">
      <c r="E11645" s="35"/>
      <c r="J11645" s="41"/>
    </row>
    <row r="11646" spans="5:10" s="34" customFormat="1" x14ac:dyDescent="0.35">
      <c r="E11646" s="35"/>
      <c r="J11646" s="41"/>
    </row>
    <row r="11647" spans="5:10" s="34" customFormat="1" x14ac:dyDescent="0.35">
      <c r="E11647" s="35"/>
      <c r="J11647" s="41"/>
    </row>
    <row r="11648" spans="5:10" s="34" customFormat="1" x14ac:dyDescent="0.35">
      <c r="E11648" s="35"/>
      <c r="J11648" s="41"/>
    </row>
    <row r="11649" spans="5:10" s="34" customFormat="1" x14ac:dyDescent="0.35">
      <c r="E11649" s="35"/>
      <c r="J11649" s="41"/>
    </row>
    <row r="11650" spans="5:10" s="34" customFormat="1" x14ac:dyDescent="0.35">
      <c r="E11650" s="35"/>
      <c r="J11650" s="41"/>
    </row>
    <row r="11651" spans="5:10" s="34" customFormat="1" x14ac:dyDescent="0.35">
      <c r="E11651" s="35"/>
      <c r="J11651" s="41"/>
    </row>
    <row r="11652" spans="5:10" s="34" customFormat="1" x14ac:dyDescent="0.35">
      <c r="E11652" s="35"/>
      <c r="J11652" s="41"/>
    </row>
    <row r="11653" spans="5:10" s="34" customFormat="1" x14ac:dyDescent="0.35">
      <c r="E11653" s="35"/>
      <c r="J11653" s="41"/>
    </row>
    <row r="11654" spans="5:10" s="34" customFormat="1" x14ac:dyDescent="0.35">
      <c r="E11654" s="35"/>
      <c r="J11654" s="41"/>
    </row>
    <row r="11655" spans="5:10" s="34" customFormat="1" x14ac:dyDescent="0.35">
      <c r="E11655" s="35"/>
      <c r="J11655" s="41"/>
    </row>
    <row r="11656" spans="5:10" s="34" customFormat="1" x14ac:dyDescent="0.35">
      <c r="E11656" s="35"/>
      <c r="J11656" s="41"/>
    </row>
    <row r="11657" spans="5:10" s="34" customFormat="1" x14ac:dyDescent="0.35">
      <c r="E11657" s="35"/>
      <c r="J11657" s="41"/>
    </row>
    <row r="11658" spans="5:10" s="34" customFormat="1" x14ac:dyDescent="0.35">
      <c r="E11658" s="35"/>
      <c r="J11658" s="41"/>
    </row>
    <row r="11659" spans="5:10" s="34" customFormat="1" x14ac:dyDescent="0.35">
      <c r="E11659" s="35"/>
      <c r="J11659" s="41"/>
    </row>
    <row r="11660" spans="5:10" s="34" customFormat="1" x14ac:dyDescent="0.35">
      <c r="E11660" s="35"/>
      <c r="J11660" s="41"/>
    </row>
    <row r="11661" spans="5:10" s="34" customFormat="1" x14ac:dyDescent="0.35">
      <c r="E11661" s="35"/>
      <c r="J11661" s="41"/>
    </row>
    <row r="11662" spans="5:10" s="34" customFormat="1" x14ac:dyDescent="0.35">
      <c r="E11662" s="35"/>
      <c r="J11662" s="41"/>
    </row>
    <row r="11663" spans="5:10" s="34" customFormat="1" x14ac:dyDescent="0.35">
      <c r="E11663" s="35"/>
      <c r="J11663" s="41"/>
    </row>
    <row r="11664" spans="5:10" s="34" customFormat="1" x14ac:dyDescent="0.35">
      <c r="E11664" s="35"/>
      <c r="J11664" s="41"/>
    </row>
    <row r="11665" spans="5:10" s="34" customFormat="1" x14ac:dyDescent="0.35">
      <c r="E11665" s="35"/>
      <c r="J11665" s="41"/>
    </row>
    <row r="11666" spans="5:10" s="34" customFormat="1" x14ac:dyDescent="0.35">
      <c r="E11666" s="35"/>
      <c r="J11666" s="41"/>
    </row>
    <row r="11667" spans="5:10" s="34" customFormat="1" x14ac:dyDescent="0.35">
      <c r="E11667" s="35"/>
      <c r="J11667" s="41"/>
    </row>
    <row r="11668" spans="5:10" s="34" customFormat="1" x14ac:dyDescent="0.35">
      <c r="E11668" s="35"/>
      <c r="J11668" s="41"/>
    </row>
    <row r="11669" spans="5:10" s="34" customFormat="1" x14ac:dyDescent="0.35">
      <c r="E11669" s="35"/>
      <c r="J11669" s="41"/>
    </row>
    <row r="11670" spans="5:10" s="34" customFormat="1" x14ac:dyDescent="0.35">
      <c r="E11670" s="35"/>
      <c r="J11670" s="41"/>
    </row>
    <row r="11671" spans="5:10" s="34" customFormat="1" x14ac:dyDescent="0.35">
      <c r="E11671" s="35"/>
      <c r="J11671" s="41"/>
    </row>
    <row r="11672" spans="5:10" s="34" customFormat="1" x14ac:dyDescent="0.35">
      <c r="E11672" s="35"/>
      <c r="J11672" s="41"/>
    </row>
    <row r="11673" spans="5:10" s="34" customFormat="1" x14ac:dyDescent="0.35">
      <c r="E11673" s="35"/>
      <c r="J11673" s="41"/>
    </row>
    <row r="11674" spans="5:10" s="34" customFormat="1" x14ac:dyDescent="0.35">
      <c r="E11674" s="35"/>
      <c r="J11674" s="41"/>
    </row>
    <row r="11675" spans="5:10" s="34" customFormat="1" x14ac:dyDescent="0.35">
      <c r="E11675" s="35"/>
      <c r="J11675" s="41"/>
    </row>
    <row r="11676" spans="5:10" s="34" customFormat="1" x14ac:dyDescent="0.35">
      <c r="E11676" s="35"/>
      <c r="J11676" s="41"/>
    </row>
    <row r="11677" spans="5:10" s="34" customFormat="1" x14ac:dyDescent="0.35">
      <c r="E11677" s="35"/>
      <c r="J11677" s="41"/>
    </row>
    <row r="11678" spans="5:10" s="34" customFormat="1" x14ac:dyDescent="0.35">
      <c r="E11678" s="35"/>
      <c r="J11678" s="41"/>
    </row>
    <row r="11679" spans="5:10" s="34" customFormat="1" x14ac:dyDescent="0.35">
      <c r="E11679" s="35"/>
      <c r="J11679" s="41"/>
    </row>
    <row r="11680" spans="5:10" s="34" customFormat="1" x14ac:dyDescent="0.35">
      <c r="E11680" s="35"/>
      <c r="J11680" s="41"/>
    </row>
    <row r="11681" spans="5:10" s="34" customFormat="1" x14ac:dyDescent="0.35">
      <c r="E11681" s="35"/>
      <c r="J11681" s="41"/>
    </row>
    <row r="11682" spans="5:10" s="34" customFormat="1" x14ac:dyDescent="0.35">
      <c r="E11682" s="35"/>
      <c r="J11682" s="41"/>
    </row>
    <row r="11683" spans="5:10" s="34" customFormat="1" x14ac:dyDescent="0.35">
      <c r="E11683" s="35"/>
      <c r="J11683" s="41"/>
    </row>
    <row r="11684" spans="5:10" s="34" customFormat="1" x14ac:dyDescent="0.35">
      <c r="E11684" s="35"/>
      <c r="J11684" s="41"/>
    </row>
    <row r="11685" spans="5:10" s="34" customFormat="1" x14ac:dyDescent="0.35">
      <c r="E11685" s="35"/>
      <c r="J11685" s="41"/>
    </row>
    <row r="11686" spans="5:10" s="34" customFormat="1" x14ac:dyDescent="0.35">
      <c r="E11686" s="35"/>
      <c r="J11686" s="41"/>
    </row>
    <row r="11687" spans="5:10" s="34" customFormat="1" x14ac:dyDescent="0.35">
      <c r="E11687" s="35"/>
      <c r="J11687" s="41"/>
    </row>
    <row r="11688" spans="5:10" s="34" customFormat="1" x14ac:dyDescent="0.35">
      <c r="E11688" s="35"/>
      <c r="J11688" s="41"/>
    </row>
    <row r="11689" spans="5:10" s="34" customFormat="1" x14ac:dyDescent="0.35">
      <c r="E11689" s="35"/>
      <c r="J11689" s="41"/>
    </row>
    <row r="11690" spans="5:10" s="34" customFormat="1" x14ac:dyDescent="0.35">
      <c r="E11690" s="35"/>
      <c r="J11690" s="41"/>
    </row>
    <row r="11691" spans="5:10" s="34" customFormat="1" x14ac:dyDescent="0.35">
      <c r="E11691" s="35"/>
      <c r="J11691" s="41"/>
    </row>
    <row r="11692" spans="5:10" s="34" customFormat="1" x14ac:dyDescent="0.35">
      <c r="E11692" s="35"/>
      <c r="J11692" s="41"/>
    </row>
    <row r="11693" spans="5:10" s="34" customFormat="1" x14ac:dyDescent="0.35">
      <c r="E11693" s="35"/>
      <c r="J11693" s="41"/>
    </row>
    <row r="11694" spans="5:10" s="34" customFormat="1" x14ac:dyDescent="0.35">
      <c r="E11694" s="35"/>
      <c r="J11694" s="41"/>
    </row>
    <row r="11695" spans="5:10" s="34" customFormat="1" x14ac:dyDescent="0.35">
      <c r="E11695" s="35"/>
      <c r="J11695" s="41"/>
    </row>
    <row r="11696" spans="5:10" s="34" customFormat="1" x14ac:dyDescent="0.35">
      <c r="E11696" s="35"/>
      <c r="J11696" s="41"/>
    </row>
    <row r="11697" spans="5:10" s="34" customFormat="1" x14ac:dyDescent="0.35">
      <c r="E11697" s="35"/>
      <c r="J11697" s="41"/>
    </row>
    <row r="11698" spans="5:10" s="34" customFormat="1" x14ac:dyDescent="0.35">
      <c r="E11698" s="35"/>
      <c r="J11698" s="41"/>
    </row>
    <row r="11699" spans="5:10" s="34" customFormat="1" x14ac:dyDescent="0.35">
      <c r="E11699" s="35"/>
      <c r="J11699" s="41"/>
    </row>
    <row r="11700" spans="5:10" s="34" customFormat="1" x14ac:dyDescent="0.35">
      <c r="E11700" s="35"/>
      <c r="J11700" s="41"/>
    </row>
    <row r="11701" spans="5:10" s="34" customFormat="1" x14ac:dyDescent="0.35">
      <c r="E11701" s="35"/>
      <c r="J11701" s="41"/>
    </row>
    <row r="11702" spans="5:10" s="34" customFormat="1" x14ac:dyDescent="0.35">
      <c r="E11702" s="35"/>
      <c r="J11702" s="41"/>
    </row>
    <row r="11703" spans="5:10" s="34" customFormat="1" x14ac:dyDescent="0.35">
      <c r="E11703" s="35"/>
      <c r="J11703" s="41"/>
    </row>
    <row r="11704" spans="5:10" s="34" customFormat="1" x14ac:dyDescent="0.35">
      <c r="E11704" s="35"/>
      <c r="J11704" s="41"/>
    </row>
    <row r="11705" spans="5:10" s="34" customFormat="1" x14ac:dyDescent="0.35">
      <c r="E11705" s="35"/>
      <c r="J11705" s="41"/>
    </row>
    <row r="11706" spans="5:10" s="34" customFormat="1" x14ac:dyDescent="0.35">
      <c r="E11706" s="35"/>
      <c r="J11706" s="41"/>
    </row>
    <row r="11707" spans="5:10" s="34" customFormat="1" x14ac:dyDescent="0.35">
      <c r="E11707" s="35"/>
      <c r="J11707" s="41"/>
    </row>
    <row r="11708" spans="5:10" s="34" customFormat="1" x14ac:dyDescent="0.35">
      <c r="E11708" s="35"/>
      <c r="J11708" s="41"/>
    </row>
    <row r="11709" spans="5:10" s="34" customFormat="1" x14ac:dyDescent="0.35">
      <c r="E11709" s="35"/>
      <c r="J11709" s="41"/>
    </row>
    <row r="11710" spans="5:10" s="34" customFormat="1" x14ac:dyDescent="0.35">
      <c r="E11710" s="35"/>
      <c r="J11710" s="41"/>
    </row>
    <row r="11711" spans="5:10" s="34" customFormat="1" x14ac:dyDescent="0.35">
      <c r="E11711" s="35"/>
      <c r="J11711" s="41"/>
    </row>
    <row r="11712" spans="5:10" s="34" customFormat="1" x14ac:dyDescent="0.35">
      <c r="E11712" s="35"/>
      <c r="J11712" s="41"/>
    </row>
    <row r="11713" spans="5:10" s="34" customFormat="1" x14ac:dyDescent="0.35">
      <c r="E11713" s="35"/>
      <c r="J11713" s="41"/>
    </row>
    <row r="11714" spans="5:10" s="34" customFormat="1" x14ac:dyDescent="0.35">
      <c r="E11714" s="35"/>
      <c r="J11714" s="41"/>
    </row>
    <row r="11715" spans="5:10" s="34" customFormat="1" x14ac:dyDescent="0.35">
      <c r="E11715" s="35"/>
      <c r="J11715" s="41"/>
    </row>
    <row r="11716" spans="5:10" s="34" customFormat="1" x14ac:dyDescent="0.35">
      <c r="E11716" s="35"/>
      <c r="J11716" s="41"/>
    </row>
    <row r="11717" spans="5:10" s="34" customFormat="1" x14ac:dyDescent="0.35">
      <c r="E11717" s="35"/>
      <c r="J11717" s="41"/>
    </row>
    <row r="11718" spans="5:10" s="34" customFormat="1" x14ac:dyDescent="0.35">
      <c r="E11718" s="35"/>
      <c r="J11718" s="41"/>
    </row>
    <row r="11719" spans="5:10" s="34" customFormat="1" x14ac:dyDescent="0.35">
      <c r="E11719" s="35"/>
      <c r="J11719" s="41"/>
    </row>
    <row r="11720" spans="5:10" s="34" customFormat="1" x14ac:dyDescent="0.35">
      <c r="E11720" s="35"/>
      <c r="J11720" s="41"/>
    </row>
    <row r="11721" spans="5:10" s="34" customFormat="1" x14ac:dyDescent="0.35">
      <c r="E11721" s="35"/>
      <c r="J11721" s="41"/>
    </row>
    <row r="11722" spans="5:10" s="34" customFormat="1" x14ac:dyDescent="0.35">
      <c r="E11722" s="35"/>
      <c r="J11722" s="41"/>
    </row>
    <row r="11723" spans="5:10" s="34" customFormat="1" x14ac:dyDescent="0.35">
      <c r="E11723" s="35"/>
      <c r="J11723" s="41"/>
    </row>
    <row r="11724" spans="5:10" s="34" customFormat="1" x14ac:dyDescent="0.35">
      <c r="E11724" s="35"/>
      <c r="J11724" s="41"/>
    </row>
    <row r="11725" spans="5:10" s="34" customFormat="1" x14ac:dyDescent="0.35">
      <c r="E11725" s="35"/>
      <c r="J11725" s="41"/>
    </row>
    <row r="11726" spans="5:10" s="34" customFormat="1" x14ac:dyDescent="0.35">
      <c r="E11726" s="35"/>
      <c r="J11726" s="41"/>
    </row>
    <row r="11727" spans="5:10" s="34" customFormat="1" x14ac:dyDescent="0.35">
      <c r="E11727" s="35"/>
      <c r="J11727" s="41"/>
    </row>
    <row r="11728" spans="5:10" s="34" customFormat="1" x14ac:dyDescent="0.35">
      <c r="E11728" s="35"/>
      <c r="J11728" s="41"/>
    </row>
    <row r="11729" spans="5:10" s="34" customFormat="1" x14ac:dyDescent="0.35">
      <c r="E11729" s="35"/>
      <c r="J11729" s="41"/>
    </row>
    <row r="11730" spans="5:10" s="34" customFormat="1" x14ac:dyDescent="0.35">
      <c r="E11730" s="35"/>
      <c r="J11730" s="41"/>
    </row>
    <row r="11731" spans="5:10" s="34" customFormat="1" x14ac:dyDescent="0.35">
      <c r="E11731" s="35"/>
      <c r="J11731" s="41"/>
    </row>
    <row r="11732" spans="5:10" s="34" customFormat="1" x14ac:dyDescent="0.35">
      <c r="E11732" s="35"/>
      <c r="J11732" s="41"/>
    </row>
    <row r="11733" spans="5:10" s="34" customFormat="1" x14ac:dyDescent="0.35">
      <c r="E11733" s="35"/>
      <c r="J11733" s="41"/>
    </row>
    <row r="11734" spans="5:10" s="34" customFormat="1" x14ac:dyDescent="0.35">
      <c r="E11734" s="35"/>
      <c r="J11734" s="41"/>
    </row>
    <row r="11735" spans="5:10" s="34" customFormat="1" x14ac:dyDescent="0.35">
      <c r="E11735" s="35"/>
      <c r="J11735" s="41"/>
    </row>
    <row r="11736" spans="5:10" s="34" customFormat="1" x14ac:dyDescent="0.35">
      <c r="E11736" s="35"/>
      <c r="J11736" s="41"/>
    </row>
    <row r="11737" spans="5:10" s="34" customFormat="1" x14ac:dyDescent="0.35">
      <c r="E11737" s="35"/>
      <c r="J11737" s="41"/>
    </row>
    <row r="11738" spans="5:10" s="34" customFormat="1" x14ac:dyDescent="0.35">
      <c r="E11738" s="35"/>
      <c r="J11738" s="41"/>
    </row>
    <row r="11739" spans="5:10" s="34" customFormat="1" x14ac:dyDescent="0.35">
      <c r="E11739" s="35"/>
      <c r="J11739" s="41"/>
    </row>
    <row r="11740" spans="5:10" s="34" customFormat="1" x14ac:dyDescent="0.35">
      <c r="E11740" s="35"/>
      <c r="J11740" s="41"/>
    </row>
    <row r="11741" spans="5:10" s="34" customFormat="1" x14ac:dyDescent="0.35">
      <c r="E11741" s="35"/>
      <c r="J11741" s="41"/>
    </row>
    <row r="11742" spans="5:10" s="34" customFormat="1" x14ac:dyDescent="0.35">
      <c r="E11742" s="35"/>
      <c r="J11742" s="41"/>
    </row>
    <row r="11743" spans="5:10" s="34" customFormat="1" x14ac:dyDescent="0.35">
      <c r="E11743" s="35"/>
      <c r="J11743" s="41"/>
    </row>
    <row r="11744" spans="5:10" s="34" customFormat="1" x14ac:dyDescent="0.35">
      <c r="E11744" s="35"/>
      <c r="J11744" s="41"/>
    </row>
    <row r="11745" spans="5:10" s="34" customFormat="1" x14ac:dyDescent="0.35">
      <c r="E11745" s="35"/>
      <c r="J11745" s="41"/>
    </row>
    <row r="11746" spans="5:10" s="34" customFormat="1" x14ac:dyDescent="0.35">
      <c r="E11746" s="35"/>
      <c r="J11746" s="41"/>
    </row>
    <row r="11747" spans="5:10" s="34" customFormat="1" x14ac:dyDescent="0.35">
      <c r="E11747" s="35"/>
      <c r="J11747" s="41"/>
    </row>
    <row r="11748" spans="5:10" s="34" customFormat="1" x14ac:dyDescent="0.35">
      <c r="E11748" s="35"/>
      <c r="J11748" s="41"/>
    </row>
    <row r="11749" spans="5:10" s="34" customFormat="1" x14ac:dyDescent="0.35">
      <c r="E11749" s="35"/>
      <c r="J11749" s="41"/>
    </row>
    <row r="11750" spans="5:10" s="34" customFormat="1" x14ac:dyDescent="0.35">
      <c r="E11750" s="35"/>
      <c r="J11750" s="41"/>
    </row>
    <row r="11751" spans="5:10" s="34" customFormat="1" x14ac:dyDescent="0.35">
      <c r="E11751" s="35"/>
      <c r="J11751" s="41"/>
    </row>
    <row r="11752" spans="5:10" s="34" customFormat="1" x14ac:dyDescent="0.35">
      <c r="E11752" s="35"/>
      <c r="J11752" s="41"/>
    </row>
    <row r="11753" spans="5:10" s="34" customFormat="1" x14ac:dyDescent="0.35">
      <c r="E11753" s="35"/>
      <c r="J11753" s="41"/>
    </row>
    <row r="11754" spans="5:10" s="34" customFormat="1" x14ac:dyDescent="0.35">
      <c r="E11754" s="35"/>
      <c r="J11754" s="41"/>
    </row>
    <row r="11755" spans="5:10" s="34" customFormat="1" x14ac:dyDescent="0.35">
      <c r="E11755" s="35"/>
      <c r="J11755" s="41"/>
    </row>
    <row r="11756" spans="5:10" s="34" customFormat="1" x14ac:dyDescent="0.35">
      <c r="E11756" s="35"/>
      <c r="J11756" s="41"/>
    </row>
    <row r="11757" spans="5:10" s="34" customFormat="1" x14ac:dyDescent="0.35">
      <c r="E11757" s="35"/>
      <c r="J11757" s="41"/>
    </row>
    <row r="11758" spans="5:10" s="34" customFormat="1" x14ac:dyDescent="0.35">
      <c r="E11758" s="35"/>
      <c r="J11758" s="41"/>
    </row>
    <row r="11759" spans="5:10" s="34" customFormat="1" x14ac:dyDescent="0.35">
      <c r="E11759" s="35"/>
      <c r="J11759" s="41"/>
    </row>
    <row r="11760" spans="5:10" s="34" customFormat="1" x14ac:dyDescent="0.35">
      <c r="E11760" s="35"/>
      <c r="J11760" s="41"/>
    </row>
    <row r="11761" spans="5:10" s="34" customFormat="1" x14ac:dyDescent="0.35">
      <c r="E11761" s="35"/>
      <c r="J11761" s="41"/>
    </row>
    <row r="11762" spans="5:10" s="34" customFormat="1" x14ac:dyDescent="0.35">
      <c r="E11762" s="35"/>
      <c r="J11762" s="41"/>
    </row>
    <row r="11763" spans="5:10" s="34" customFormat="1" x14ac:dyDescent="0.35">
      <c r="E11763" s="35"/>
      <c r="J11763" s="41"/>
    </row>
    <row r="11764" spans="5:10" s="34" customFormat="1" x14ac:dyDescent="0.35">
      <c r="E11764" s="35"/>
      <c r="J11764" s="41"/>
    </row>
    <row r="11765" spans="5:10" s="34" customFormat="1" x14ac:dyDescent="0.35">
      <c r="E11765" s="35"/>
      <c r="J11765" s="41"/>
    </row>
    <row r="11766" spans="5:10" s="34" customFormat="1" x14ac:dyDescent="0.35">
      <c r="E11766" s="35"/>
      <c r="J11766" s="41"/>
    </row>
    <row r="11767" spans="5:10" s="34" customFormat="1" x14ac:dyDescent="0.35">
      <c r="E11767" s="35"/>
      <c r="J11767" s="41"/>
    </row>
    <row r="11768" spans="5:10" s="34" customFormat="1" x14ac:dyDescent="0.35">
      <c r="E11768" s="35"/>
      <c r="J11768" s="41"/>
    </row>
    <row r="11769" spans="5:10" s="34" customFormat="1" x14ac:dyDescent="0.35">
      <c r="E11769" s="35"/>
      <c r="J11769" s="41"/>
    </row>
    <row r="11770" spans="5:10" s="34" customFormat="1" x14ac:dyDescent="0.35">
      <c r="E11770" s="35"/>
      <c r="J11770" s="41"/>
    </row>
    <row r="11771" spans="5:10" s="34" customFormat="1" x14ac:dyDescent="0.35">
      <c r="E11771" s="35"/>
      <c r="J11771" s="41"/>
    </row>
    <row r="11772" spans="5:10" s="34" customFormat="1" x14ac:dyDescent="0.35">
      <c r="E11772" s="35"/>
      <c r="J11772" s="41"/>
    </row>
    <row r="11773" spans="5:10" s="34" customFormat="1" x14ac:dyDescent="0.35">
      <c r="E11773" s="35"/>
      <c r="J11773" s="41"/>
    </row>
    <row r="11774" spans="5:10" s="34" customFormat="1" x14ac:dyDescent="0.35">
      <c r="E11774" s="35"/>
      <c r="J11774" s="41"/>
    </row>
    <row r="11775" spans="5:10" s="34" customFormat="1" x14ac:dyDescent="0.35">
      <c r="E11775" s="35"/>
      <c r="J11775" s="41"/>
    </row>
    <row r="11776" spans="5:10" s="34" customFormat="1" x14ac:dyDescent="0.35">
      <c r="E11776" s="35"/>
      <c r="J11776" s="41"/>
    </row>
    <row r="11777" spans="5:10" s="34" customFormat="1" x14ac:dyDescent="0.35">
      <c r="E11777" s="35"/>
      <c r="J11777" s="41"/>
    </row>
    <row r="11778" spans="5:10" s="34" customFormat="1" x14ac:dyDescent="0.35">
      <c r="E11778" s="35"/>
      <c r="J11778" s="41"/>
    </row>
    <row r="11779" spans="5:10" s="34" customFormat="1" x14ac:dyDescent="0.35">
      <c r="E11779" s="35"/>
      <c r="J11779" s="41"/>
    </row>
    <row r="11780" spans="5:10" s="34" customFormat="1" x14ac:dyDescent="0.35">
      <c r="E11780" s="35"/>
      <c r="J11780" s="41"/>
    </row>
    <row r="11781" spans="5:10" s="34" customFormat="1" x14ac:dyDescent="0.35">
      <c r="E11781" s="35"/>
      <c r="J11781" s="41"/>
    </row>
    <row r="11782" spans="5:10" s="34" customFormat="1" x14ac:dyDescent="0.35">
      <c r="E11782" s="35"/>
      <c r="J11782" s="41"/>
    </row>
    <row r="11783" spans="5:10" s="34" customFormat="1" x14ac:dyDescent="0.35">
      <c r="E11783" s="35"/>
      <c r="J11783" s="41"/>
    </row>
    <row r="11784" spans="5:10" s="34" customFormat="1" x14ac:dyDescent="0.35">
      <c r="E11784" s="35"/>
      <c r="J11784" s="41"/>
    </row>
    <row r="11785" spans="5:10" s="34" customFormat="1" x14ac:dyDescent="0.35">
      <c r="E11785" s="35"/>
      <c r="J11785" s="41"/>
    </row>
    <row r="11786" spans="5:10" s="34" customFormat="1" x14ac:dyDescent="0.35">
      <c r="E11786" s="35"/>
      <c r="J11786" s="41"/>
    </row>
    <row r="11787" spans="5:10" s="34" customFormat="1" x14ac:dyDescent="0.35">
      <c r="E11787" s="35"/>
      <c r="J11787" s="41"/>
    </row>
    <row r="11788" spans="5:10" s="34" customFormat="1" x14ac:dyDescent="0.35">
      <c r="E11788" s="35"/>
      <c r="J11788" s="41"/>
    </row>
    <row r="11789" spans="5:10" s="34" customFormat="1" x14ac:dyDescent="0.35">
      <c r="E11789" s="35"/>
      <c r="J11789" s="41"/>
    </row>
    <row r="11790" spans="5:10" s="34" customFormat="1" x14ac:dyDescent="0.35">
      <c r="E11790" s="35"/>
      <c r="J11790" s="41"/>
    </row>
    <row r="11791" spans="5:10" s="34" customFormat="1" x14ac:dyDescent="0.35">
      <c r="E11791" s="35"/>
      <c r="J11791" s="41"/>
    </row>
    <row r="11792" spans="5:10" s="34" customFormat="1" x14ac:dyDescent="0.35">
      <c r="E11792" s="35"/>
      <c r="J11792" s="41"/>
    </row>
    <row r="11793" spans="5:10" s="34" customFormat="1" x14ac:dyDescent="0.35">
      <c r="E11793" s="35"/>
      <c r="J11793" s="41"/>
    </row>
    <row r="11794" spans="5:10" s="34" customFormat="1" x14ac:dyDescent="0.35">
      <c r="E11794" s="35"/>
      <c r="J11794" s="41"/>
    </row>
    <row r="11795" spans="5:10" s="34" customFormat="1" x14ac:dyDescent="0.35">
      <c r="E11795" s="35"/>
      <c r="J11795" s="41"/>
    </row>
    <row r="11796" spans="5:10" s="34" customFormat="1" x14ac:dyDescent="0.35">
      <c r="E11796" s="35"/>
      <c r="J11796" s="41"/>
    </row>
    <row r="11797" spans="5:10" s="34" customFormat="1" x14ac:dyDescent="0.35">
      <c r="E11797" s="35"/>
      <c r="J11797" s="41"/>
    </row>
    <row r="11798" spans="5:10" s="34" customFormat="1" x14ac:dyDescent="0.35">
      <c r="E11798" s="35"/>
      <c r="J11798" s="41"/>
    </row>
    <row r="11799" spans="5:10" s="34" customFormat="1" x14ac:dyDescent="0.35">
      <c r="E11799" s="35"/>
      <c r="J11799" s="41"/>
    </row>
    <row r="11800" spans="5:10" s="34" customFormat="1" x14ac:dyDescent="0.35">
      <c r="E11800" s="35"/>
      <c r="J11800" s="41"/>
    </row>
    <row r="11801" spans="5:10" s="34" customFormat="1" x14ac:dyDescent="0.35">
      <c r="E11801" s="35"/>
      <c r="J11801" s="41"/>
    </row>
    <row r="11802" spans="5:10" s="34" customFormat="1" x14ac:dyDescent="0.35">
      <c r="E11802" s="35"/>
      <c r="J11802" s="41"/>
    </row>
    <row r="11803" spans="5:10" s="34" customFormat="1" x14ac:dyDescent="0.35">
      <c r="E11803" s="35"/>
      <c r="J11803" s="41"/>
    </row>
    <row r="11804" spans="5:10" s="34" customFormat="1" x14ac:dyDescent="0.35">
      <c r="E11804" s="35"/>
      <c r="J11804" s="41"/>
    </row>
    <row r="11805" spans="5:10" s="34" customFormat="1" x14ac:dyDescent="0.35">
      <c r="E11805" s="35"/>
      <c r="J11805" s="41"/>
    </row>
    <row r="11806" spans="5:10" s="34" customFormat="1" x14ac:dyDescent="0.35">
      <c r="E11806" s="35"/>
      <c r="J11806" s="41"/>
    </row>
    <row r="11807" spans="5:10" s="34" customFormat="1" x14ac:dyDescent="0.35">
      <c r="E11807" s="35"/>
      <c r="J11807" s="41"/>
    </row>
    <row r="11808" spans="5:10" s="34" customFormat="1" x14ac:dyDescent="0.35">
      <c r="E11808" s="35"/>
      <c r="J11808" s="41"/>
    </row>
    <row r="11809" spans="5:10" s="34" customFormat="1" x14ac:dyDescent="0.35">
      <c r="E11809" s="35"/>
      <c r="J11809" s="41"/>
    </row>
    <row r="11810" spans="5:10" s="34" customFormat="1" x14ac:dyDescent="0.35">
      <c r="E11810" s="35"/>
      <c r="J11810" s="41"/>
    </row>
    <row r="11811" spans="5:10" s="34" customFormat="1" x14ac:dyDescent="0.35">
      <c r="E11811" s="35"/>
      <c r="J11811" s="41"/>
    </row>
    <row r="11812" spans="5:10" s="34" customFormat="1" x14ac:dyDescent="0.35">
      <c r="E11812" s="35"/>
      <c r="J11812" s="41"/>
    </row>
    <row r="11813" spans="5:10" s="34" customFormat="1" x14ac:dyDescent="0.35">
      <c r="E11813" s="35"/>
      <c r="J11813" s="41"/>
    </row>
    <row r="11814" spans="5:10" s="34" customFormat="1" x14ac:dyDescent="0.35">
      <c r="E11814" s="35"/>
      <c r="J11814" s="41"/>
    </row>
    <row r="11815" spans="5:10" s="34" customFormat="1" x14ac:dyDescent="0.35">
      <c r="E11815" s="35"/>
      <c r="J11815" s="41"/>
    </row>
    <row r="11816" spans="5:10" s="34" customFormat="1" x14ac:dyDescent="0.35">
      <c r="E11816" s="35"/>
      <c r="J11816" s="41"/>
    </row>
    <row r="11817" spans="5:10" s="34" customFormat="1" x14ac:dyDescent="0.35">
      <c r="E11817" s="35"/>
      <c r="J11817" s="41"/>
    </row>
    <row r="11818" spans="5:10" s="34" customFormat="1" x14ac:dyDescent="0.35">
      <c r="E11818" s="35"/>
      <c r="J11818" s="41"/>
    </row>
    <row r="11819" spans="5:10" s="34" customFormat="1" x14ac:dyDescent="0.35">
      <c r="E11819" s="35"/>
      <c r="J11819" s="41"/>
    </row>
    <row r="11820" spans="5:10" s="34" customFormat="1" x14ac:dyDescent="0.35">
      <c r="E11820" s="35"/>
      <c r="J11820" s="41"/>
    </row>
    <row r="11821" spans="5:10" s="34" customFormat="1" x14ac:dyDescent="0.35">
      <c r="E11821" s="35"/>
      <c r="J11821" s="41"/>
    </row>
    <row r="11822" spans="5:10" s="34" customFormat="1" x14ac:dyDescent="0.35">
      <c r="E11822" s="35"/>
      <c r="J11822" s="41"/>
    </row>
    <row r="11823" spans="5:10" s="34" customFormat="1" x14ac:dyDescent="0.35">
      <c r="E11823" s="35"/>
      <c r="J11823" s="41"/>
    </row>
    <row r="11824" spans="5:10" s="34" customFormat="1" x14ac:dyDescent="0.35">
      <c r="E11824" s="35"/>
      <c r="J11824" s="41"/>
    </row>
    <row r="11825" spans="5:10" s="34" customFormat="1" x14ac:dyDescent="0.35">
      <c r="E11825" s="35"/>
      <c r="J11825" s="41"/>
    </row>
    <row r="11826" spans="5:10" s="34" customFormat="1" x14ac:dyDescent="0.35">
      <c r="E11826" s="35"/>
      <c r="J11826" s="41"/>
    </row>
    <row r="11827" spans="5:10" s="34" customFormat="1" x14ac:dyDescent="0.35">
      <c r="E11827" s="35"/>
      <c r="J11827" s="41"/>
    </row>
    <row r="11828" spans="5:10" s="34" customFormat="1" x14ac:dyDescent="0.35">
      <c r="E11828" s="35"/>
      <c r="J11828" s="41"/>
    </row>
    <row r="11829" spans="5:10" s="34" customFormat="1" x14ac:dyDescent="0.35">
      <c r="E11829" s="35"/>
      <c r="J11829" s="41"/>
    </row>
    <row r="11830" spans="5:10" s="34" customFormat="1" x14ac:dyDescent="0.35">
      <c r="E11830" s="35"/>
      <c r="J11830" s="41"/>
    </row>
    <row r="11831" spans="5:10" s="34" customFormat="1" x14ac:dyDescent="0.35">
      <c r="E11831" s="35"/>
      <c r="J11831" s="41"/>
    </row>
    <row r="11832" spans="5:10" s="34" customFormat="1" x14ac:dyDescent="0.35">
      <c r="E11832" s="35"/>
      <c r="J11832" s="41"/>
    </row>
    <row r="11833" spans="5:10" s="34" customFormat="1" x14ac:dyDescent="0.35">
      <c r="E11833" s="35"/>
      <c r="J11833" s="41"/>
    </row>
    <row r="11834" spans="5:10" s="34" customFormat="1" x14ac:dyDescent="0.35">
      <c r="E11834" s="35"/>
      <c r="J11834" s="41"/>
    </row>
    <row r="11835" spans="5:10" s="34" customFormat="1" x14ac:dyDescent="0.35">
      <c r="E11835" s="35"/>
      <c r="J11835" s="41"/>
    </row>
    <row r="11836" spans="5:10" s="34" customFormat="1" x14ac:dyDescent="0.35">
      <c r="E11836" s="35"/>
      <c r="J11836" s="41"/>
    </row>
    <row r="11837" spans="5:10" s="34" customFormat="1" x14ac:dyDescent="0.35">
      <c r="E11837" s="35"/>
      <c r="J11837" s="41"/>
    </row>
    <row r="11838" spans="5:10" s="34" customFormat="1" x14ac:dyDescent="0.35">
      <c r="E11838" s="35"/>
      <c r="J11838" s="41"/>
    </row>
    <row r="11839" spans="5:10" s="34" customFormat="1" x14ac:dyDescent="0.35">
      <c r="E11839" s="35"/>
      <c r="J11839" s="41"/>
    </row>
    <row r="11840" spans="5:10" s="34" customFormat="1" x14ac:dyDescent="0.35">
      <c r="E11840" s="35"/>
      <c r="J11840" s="41"/>
    </row>
    <row r="11841" spans="5:10" s="34" customFormat="1" x14ac:dyDescent="0.35">
      <c r="E11841" s="35"/>
      <c r="J11841" s="41"/>
    </row>
    <row r="11842" spans="5:10" s="34" customFormat="1" x14ac:dyDescent="0.35">
      <c r="E11842" s="35"/>
      <c r="J11842" s="41"/>
    </row>
    <row r="11843" spans="5:10" s="34" customFormat="1" x14ac:dyDescent="0.35">
      <c r="E11843" s="35"/>
      <c r="J11843" s="41"/>
    </row>
    <row r="11844" spans="5:10" s="34" customFormat="1" x14ac:dyDescent="0.35">
      <c r="E11844" s="35"/>
      <c r="J11844" s="41"/>
    </row>
    <row r="11845" spans="5:10" s="34" customFormat="1" x14ac:dyDescent="0.35">
      <c r="E11845" s="35"/>
      <c r="J11845" s="41"/>
    </row>
    <row r="11846" spans="5:10" s="34" customFormat="1" x14ac:dyDescent="0.35">
      <c r="E11846" s="35"/>
      <c r="J11846" s="41"/>
    </row>
    <row r="11847" spans="5:10" s="34" customFormat="1" x14ac:dyDescent="0.35">
      <c r="E11847" s="35"/>
      <c r="J11847" s="41"/>
    </row>
    <row r="11848" spans="5:10" s="34" customFormat="1" x14ac:dyDescent="0.35">
      <c r="E11848" s="35"/>
      <c r="J11848" s="41"/>
    </row>
    <row r="11849" spans="5:10" s="34" customFormat="1" x14ac:dyDescent="0.35">
      <c r="E11849" s="35"/>
      <c r="J11849" s="41"/>
    </row>
    <row r="11850" spans="5:10" s="34" customFormat="1" x14ac:dyDescent="0.35">
      <c r="E11850" s="35"/>
      <c r="J11850" s="41"/>
    </row>
    <row r="11851" spans="5:10" s="34" customFormat="1" x14ac:dyDescent="0.35">
      <c r="E11851" s="35"/>
      <c r="J11851" s="41"/>
    </row>
    <row r="11852" spans="5:10" s="34" customFormat="1" x14ac:dyDescent="0.35">
      <c r="E11852" s="35"/>
      <c r="J11852" s="41"/>
    </row>
    <row r="11853" spans="5:10" s="34" customFormat="1" x14ac:dyDescent="0.35">
      <c r="E11853" s="35"/>
      <c r="J11853" s="41"/>
    </row>
    <row r="11854" spans="5:10" s="34" customFormat="1" x14ac:dyDescent="0.35">
      <c r="E11854" s="35"/>
      <c r="J11854" s="41"/>
    </row>
    <row r="11855" spans="5:10" s="34" customFormat="1" x14ac:dyDescent="0.35">
      <c r="E11855" s="35"/>
      <c r="J11855" s="41"/>
    </row>
    <row r="11856" spans="5:10" s="34" customFormat="1" x14ac:dyDescent="0.35">
      <c r="E11856" s="35"/>
      <c r="J11856" s="41"/>
    </row>
    <row r="11857" spans="5:10" s="34" customFormat="1" x14ac:dyDescent="0.35">
      <c r="E11857" s="35"/>
      <c r="J11857" s="41"/>
    </row>
    <row r="11858" spans="5:10" s="34" customFormat="1" x14ac:dyDescent="0.35">
      <c r="E11858" s="35"/>
      <c r="J11858" s="41"/>
    </row>
    <row r="11859" spans="5:10" s="34" customFormat="1" x14ac:dyDescent="0.35">
      <c r="E11859" s="35"/>
      <c r="J11859" s="41"/>
    </row>
    <row r="11860" spans="5:10" s="34" customFormat="1" x14ac:dyDescent="0.35">
      <c r="E11860" s="35"/>
      <c r="J11860" s="41"/>
    </row>
    <row r="11861" spans="5:10" s="34" customFormat="1" x14ac:dyDescent="0.35">
      <c r="E11861" s="35"/>
      <c r="J11861" s="41"/>
    </row>
    <row r="11862" spans="5:10" s="34" customFormat="1" x14ac:dyDescent="0.35">
      <c r="E11862" s="35"/>
      <c r="J11862" s="41"/>
    </row>
    <row r="11863" spans="5:10" s="34" customFormat="1" x14ac:dyDescent="0.35">
      <c r="E11863" s="35"/>
      <c r="J11863" s="41"/>
    </row>
    <row r="11864" spans="5:10" s="34" customFormat="1" x14ac:dyDescent="0.35">
      <c r="E11864" s="35"/>
      <c r="J11864" s="41"/>
    </row>
    <row r="11865" spans="5:10" s="34" customFormat="1" x14ac:dyDescent="0.35">
      <c r="E11865" s="35"/>
      <c r="J11865" s="41"/>
    </row>
    <row r="11866" spans="5:10" s="34" customFormat="1" x14ac:dyDescent="0.35">
      <c r="E11866" s="35"/>
      <c r="J11866" s="41"/>
    </row>
    <row r="11867" spans="5:10" s="34" customFormat="1" x14ac:dyDescent="0.35">
      <c r="E11867" s="35"/>
      <c r="J11867" s="41"/>
    </row>
    <row r="11868" spans="5:10" s="34" customFormat="1" x14ac:dyDescent="0.35">
      <c r="E11868" s="35"/>
      <c r="J11868" s="41"/>
    </row>
    <row r="11869" spans="5:10" s="34" customFormat="1" x14ac:dyDescent="0.35">
      <c r="E11869" s="35"/>
      <c r="J11869" s="41"/>
    </row>
    <row r="11870" spans="5:10" s="34" customFormat="1" x14ac:dyDescent="0.35">
      <c r="E11870" s="35"/>
      <c r="J11870" s="41"/>
    </row>
    <row r="11871" spans="5:10" s="34" customFormat="1" x14ac:dyDescent="0.35">
      <c r="E11871" s="35"/>
      <c r="J11871" s="41"/>
    </row>
    <row r="11872" spans="5:10" s="34" customFormat="1" x14ac:dyDescent="0.35">
      <c r="E11872" s="35"/>
      <c r="J11872" s="41"/>
    </row>
    <row r="11873" spans="5:10" s="34" customFormat="1" x14ac:dyDescent="0.35">
      <c r="E11873" s="35"/>
      <c r="J11873" s="41"/>
    </row>
    <row r="11874" spans="5:10" s="34" customFormat="1" x14ac:dyDescent="0.35">
      <c r="E11874" s="35"/>
      <c r="J11874" s="41"/>
    </row>
    <row r="11875" spans="5:10" s="34" customFormat="1" x14ac:dyDescent="0.35">
      <c r="E11875" s="35"/>
      <c r="J11875" s="41"/>
    </row>
    <row r="11876" spans="5:10" s="34" customFormat="1" x14ac:dyDescent="0.35">
      <c r="E11876" s="35"/>
      <c r="J11876" s="41"/>
    </row>
    <row r="11877" spans="5:10" s="34" customFormat="1" x14ac:dyDescent="0.35">
      <c r="E11877" s="35"/>
      <c r="J11877" s="41"/>
    </row>
    <row r="11878" spans="5:10" s="34" customFormat="1" x14ac:dyDescent="0.35">
      <c r="E11878" s="35"/>
      <c r="J11878" s="41"/>
    </row>
    <row r="11879" spans="5:10" s="34" customFormat="1" x14ac:dyDescent="0.35">
      <c r="E11879" s="35"/>
      <c r="J11879" s="41"/>
    </row>
    <row r="11880" spans="5:10" s="34" customFormat="1" x14ac:dyDescent="0.35">
      <c r="E11880" s="35"/>
      <c r="J11880" s="41"/>
    </row>
    <row r="11881" spans="5:10" s="34" customFormat="1" x14ac:dyDescent="0.35">
      <c r="E11881" s="35"/>
      <c r="J11881" s="41"/>
    </row>
    <row r="11882" spans="5:10" s="34" customFormat="1" x14ac:dyDescent="0.35">
      <c r="E11882" s="35"/>
      <c r="J11882" s="41"/>
    </row>
    <row r="11883" spans="5:10" s="34" customFormat="1" x14ac:dyDescent="0.35">
      <c r="E11883" s="35"/>
      <c r="J11883" s="41"/>
    </row>
    <row r="11884" spans="5:10" s="34" customFormat="1" x14ac:dyDescent="0.35">
      <c r="E11884" s="35"/>
      <c r="J11884" s="41"/>
    </row>
    <row r="11885" spans="5:10" s="34" customFormat="1" x14ac:dyDescent="0.35">
      <c r="E11885" s="35"/>
      <c r="J11885" s="41"/>
    </row>
    <row r="11886" spans="5:10" s="34" customFormat="1" x14ac:dyDescent="0.35">
      <c r="E11886" s="35"/>
      <c r="J11886" s="41"/>
    </row>
    <row r="11887" spans="5:10" s="34" customFormat="1" x14ac:dyDescent="0.35">
      <c r="E11887" s="35"/>
      <c r="J11887" s="41"/>
    </row>
    <row r="11888" spans="5:10" s="34" customFormat="1" x14ac:dyDescent="0.35">
      <c r="E11888" s="35"/>
      <c r="J11888" s="41"/>
    </row>
    <row r="11889" spans="5:10" s="34" customFormat="1" x14ac:dyDescent="0.35">
      <c r="E11889" s="35"/>
      <c r="J11889" s="41"/>
    </row>
    <row r="11890" spans="5:10" s="34" customFormat="1" x14ac:dyDescent="0.35">
      <c r="E11890" s="35"/>
      <c r="J11890" s="41"/>
    </row>
    <row r="11891" spans="5:10" s="34" customFormat="1" x14ac:dyDescent="0.35">
      <c r="E11891" s="35"/>
      <c r="J11891" s="41"/>
    </row>
    <row r="11892" spans="5:10" s="34" customFormat="1" x14ac:dyDescent="0.35">
      <c r="E11892" s="35"/>
      <c r="J11892" s="41"/>
    </row>
    <row r="11893" spans="5:10" s="34" customFormat="1" x14ac:dyDescent="0.35">
      <c r="E11893" s="35"/>
      <c r="J11893" s="41"/>
    </row>
    <row r="11894" spans="5:10" s="34" customFormat="1" x14ac:dyDescent="0.35">
      <c r="E11894" s="35"/>
      <c r="J11894" s="41"/>
    </row>
    <row r="11895" spans="5:10" s="34" customFormat="1" x14ac:dyDescent="0.35">
      <c r="E11895" s="35"/>
      <c r="J11895" s="41"/>
    </row>
    <row r="11896" spans="5:10" s="34" customFormat="1" x14ac:dyDescent="0.35">
      <c r="E11896" s="35"/>
      <c r="J11896" s="41"/>
    </row>
    <row r="11897" spans="5:10" s="34" customFormat="1" x14ac:dyDescent="0.35">
      <c r="E11897" s="35"/>
      <c r="J11897" s="41"/>
    </row>
    <row r="11898" spans="5:10" s="34" customFormat="1" x14ac:dyDescent="0.35">
      <c r="E11898" s="35"/>
      <c r="J11898" s="41"/>
    </row>
    <row r="11899" spans="5:10" s="34" customFormat="1" x14ac:dyDescent="0.35">
      <c r="E11899" s="35"/>
      <c r="J11899" s="41"/>
    </row>
    <row r="11900" spans="5:10" s="34" customFormat="1" x14ac:dyDescent="0.35">
      <c r="E11900" s="35"/>
      <c r="J11900" s="41"/>
    </row>
    <row r="11901" spans="5:10" s="34" customFormat="1" x14ac:dyDescent="0.35">
      <c r="E11901" s="35"/>
      <c r="J11901" s="41"/>
    </row>
    <row r="11902" spans="5:10" s="34" customFormat="1" x14ac:dyDescent="0.35">
      <c r="E11902" s="35"/>
      <c r="J11902" s="41"/>
    </row>
    <row r="11903" spans="5:10" s="34" customFormat="1" x14ac:dyDescent="0.35">
      <c r="E11903" s="35"/>
      <c r="J11903" s="41"/>
    </row>
    <row r="11904" spans="5:10" s="34" customFormat="1" x14ac:dyDescent="0.35">
      <c r="E11904" s="35"/>
      <c r="J11904" s="41"/>
    </row>
    <row r="11905" spans="5:10" s="34" customFormat="1" x14ac:dyDescent="0.35">
      <c r="E11905" s="35"/>
      <c r="J11905" s="41"/>
    </row>
    <row r="11906" spans="5:10" s="34" customFormat="1" x14ac:dyDescent="0.35">
      <c r="E11906" s="35"/>
      <c r="J11906" s="41"/>
    </row>
    <row r="11907" spans="5:10" s="34" customFormat="1" x14ac:dyDescent="0.35">
      <c r="E11907" s="35"/>
      <c r="J11907" s="41"/>
    </row>
    <row r="11908" spans="5:10" s="34" customFormat="1" x14ac:dyDescent="0.35">
      <c r="E11908" s="35"/>
      <c r="J11908" s="41"/>
    </row>
    <row r="11909" spans="5:10" s="34" customFormat="1" x14ac:dyDescent="0.35">
      <c r="E11909" s="35"/>
      <c r="J11909" s="41"/>
    </row>
    <row r="11910" spans="5:10" s="34" customFormat="1" x14ac:dyDescent="0.35">
      <c r="E11910" s="35"/>
      <c r="J11910" s="41"/>
    </row>
    <row r="11911" spans="5:10" s="34" customFormat="1" x14ac:dyDescent="0.35">
      <c r="E11911" s="35"/>
      <c r="J11911" s="41"/>
    </row>
    <row r="11912" spans="5:10" s="34" customFormat="1" x14ac:dyDescent="0.35">
      <c r="E11912" s="35"/>
      <c r="J11912" s="41"/>
    </row>
    <row r="11913" spans="5:10" s="34" customFormat="1" x14ac:dyDescent="0.35">
      <c r="E11913" s="35"/>
      <c r="J11913" s="41"/>
    </row>
    <row r="11914" spans="5:10" s="34" customFormat="1" x14ac:dyDescent="0.35">
      <c r="E11914" s="35"/>
      <c r="J11914" s="41"/>
    </row>
    <row r="11915" spans="5:10" s="34" customFormat="1" x14ac:dyDescent="0.35">
      <c r="E11915" s="35"/>
      <c r="J11915" s="41"/>
    </row>
    <row r="11916" spans="5:10" s="34" customFormat="1" x14ac:dyDescent="0.35">
      <c r="E11916" s="35"/>
      <c r="J11916" s="41"/>
    </row>
    <row r="11917" spans="5:10" s="34" customFormat="1" x14ac:dyDescent="0.35">
      <c r="E11917" s="35"/>
      <c r="J11917" s="41"/>
    </row>
    <row r="11918" spans="5:10" s="34" customFormat="1" x14ac:dyDescent="0.35">
      <c r="E11918" s="35"/>
      <c r="J11918" s="41"/>
    </row>
    <row r="11919" spans="5:10" s="34" customFormat="1" x14ac:dyDescent="0.35">
      <c r="E11919" s="35"/>
      <c r="J11919" s="41"/>
    </row>
    <row r="11920" spans="5:10" s="34" customFormat="1" x14ac:dyDescent="0.35">
      <c r="E11920" s="35"/>
      <c r="J11920" s="41"/>
    </row>
    <row r="11921" spans="5:10" s="34" customFormat="1" x14ac:dyDescent="0.35">
      <c r="E11921" s="35"/>
      <c r="J11921" s="41"/>
    </row>
    <row r="11922" spans="5:10" s="34" customFormat="1" x14ac:dyDescent="0.35">
      <c r="E11922" s="35"/>
      <c r="J11922" s="41"/>
    </row>
    <row r="11923" spans="5:10" s="34" customFormat="1" x14ac:dyDescent="0.35">
      <c r="E11923" s="35"/>
      <c r="J11923" s="41"/>
    </row>
    <row r="11924" spans="5:10" s="34" customFormat="1" x14ac:dyDescent="0.35">
      <c r="E11924" s="35"/>
      <c r="J11924" s="41"/>
    </row>
    <row r="11925" spans="5:10" s="34" customFormat="1" x14ac:dyDescent="0.35">
      <c r="E11925" s="35"/>
      <c r="J11925" s="41"/>
    </row>
    <row r="11926" spans="5:10" s="34" customFormat="1" x14ac:dyDescent="0.35">
      <c r="E11926" s="35"/>
      <c r="J11926" s="41"/>
    </row>
    <row r="11927" spans="5:10" s="34" customFormat="1" x14ac:dyDescent="0.35">
      <c r="E11927" s="35"/>
      <c r="J11927" s="41"/>
    </row>
    <row r="11928" spans="5:10" s="34" customFormat="1" x14ac:dyDescent="0.35">
      <c r="E11928" s="35"/>
      <c r="J11928" s="41"/>
    </row>
    <row r="11929" spans="5:10" s="34" customFormat="1" x14ac:dyDescent="0.35">
      <c r="E11929" s="35"/>
      <c r="J11929" s="41"/>
    </row>
    <row r="11930" spans="5:10" s="34" customFormat="1" x14ac:dyDescent="0.35">
      <c r="E11930" s="35"/>
      <c r="J11930" s="41"/>
    </row>
    <row r="11931" spans="5:10" s="34" customFormat="1" x14ac:dyDescent="0.35">
      <c r="E11931" s="35"/>
      <c r="J11931" s="41"/>
    </row>
    <row r="11932" spans="5:10" s="34" customFormat="1" x14ac:dyDescent="0.35">
      <c r="E11932" s="35"/>
      <c r="J11932" s="41"/>
    </row>
    <row r="11933" spans="5:10" s="34" customFormat="1" x14ac:dyDescent="0.35">
      <c r="E11933" s="35"/>
      <c r="J11933" s="41"/>
    </row>
    <row r="11934" spans="5:10" s="34" customFormat="1" x14ac:dyDescent="0.35">
      <c r="E11934" s="35"/>
      <c r="J11934" s="41"/>
    </row>
    <row r="11935" spans="5:10" s="34" customFormat="1" x14ac:dyDescent="0.35">
      <c r="E11935" s="35"/>
      <c r="J11935" s="41"/>
    </row>
    <row r="11936" spans="5:10" s="34" customFormat="1" x14ac:dyDescent="0.35">
      <c r="E11936" s="35"/>
      <c r="J11936" s="41"/>
    </row>
    <row r="11937" spans="5:10" s="34" customFormat="1" x14ac:dyDescent="0.35">
      <c r="E11937" s="35"/>
      <c r="J11937" s="41"/>
    </row>
    <row r="11938" spans="5:10" s="34" customFormat="1" x14ac:dyDescent="0.35">
      <c r="E11938" s="35"/>
      <c r="J11938" s="41"/>
    </row>
    <row r="11939" spans="5:10" s="34" customFormat="1" x14ac:dyDescent="0.35">
      <c r="E11939" s="35"/>
      <c r="J11939" s="41"/>
    </row>
    <row r="11940" spans="5:10" s="34" customFormat="1" x14ac:dyDescent="0.35">
      <c r="E11940" s="35"/>
      <c r="J11940" s="41"/>
    </row>
    <row r="11941" spans="5:10" s="34" customFormat="1" x14ac:dyDescent="0.35">
      <c r="E11941" s="35"/>
      <c r="J11941" s="41"/>
    </row>
    <row r="11942" spans="5:10" s="34" customFormat="1" x14ac:dyDescent="0.35">
      <c r="E11942" s="35"/>
      <c r="J11942" s="41"/>
    </row>
    <row r="11943" spans="5:10" s="34" customFormat="1" x14ac:dyDescent="0.35">
      <c r="E11943" s="35"/>
      <c r="J11943" s="41"/>
    </row>
    <row r="11944" spans="5:10" s="34" customFormat="1" x14ac:dyDescent="0.35">
      <c r="E11944" s="35"/>
      <c r="J11944" s="41"/>
    </row>
    <row r="11945" spans="5:10" s="34" customFormat="1" x14ac:dyDescent="0.35">
      <c r="E11945" s="35"/>
      <c r="J11945" s="41"/>
    </row>
    <row r="11946" spans="5:10" s="34" customFormat="1" x14ac:dyDescent="0.35">
      <c r="E11946" s="35"/>
      <c r="J11946" s="41"/>
    </row>
    <row r="11947" spans="5:10" s="34" customFormat="1" x14ac:dyDescent="0.35">
      <c r="E11947" s="35"/>
      <c r="J11947" s="41"/>
    </row>
    <row r="11948" spans="5:10" s="34" customFormat="1" x14ac:dyDescent="0.35">
      <c r="E11948" s="35"/>
      <c r="J11948" s="41"/>
    </row>
    <row r="11949" spans="5:10" s="34" customFormat="1" x14ac:dyDescent="0.35">
      <c r="E11949" s="35"/>
      <c r="J11949" s="41"/>
    </row>
    <row r="11950" spans="5:10" s="34" customFormat="1" x14ac:dyDescent="0.35">
      <c r="E11950" s="35"/>
      <c r="J11950" s="41"/>
    </row>
    <row r="11951" spans="5:10" s="34" customFormat="1" x14ac:dyDescent="0.35">
      <c r="E11951" s="35"/>
      <c r="J11951" s="41"/>
    </row>
    <row r="11952" spans="5:10" s="34" customFormat="1" x14ac:dyDescent="0.35">
      <c r="E11952" s="35"/>
      <c r="J11952" s="41"/>
    </row>
    <row r="11953" spans="5:10" s="34" customFormat="1" x14ac:dyDescent="0.35">
      <c r="E11953" s="35"/>
      <c r="J11953" s="41"/>
    </row>
    <row r="11954" spans="5:10" s="34" customFormat="1" x14ac:dyDescent="0.35">
      <c r="E11954" s="35"/>
      <c r="J11954" s="41"/>
    </row>
    <row r="11955" spans="5:10" s="34" customFormat="1" x14ac:dyDescent="0.35">
      <c r="E11955" s="35"/>
      <c r="J11955" s="41"/>
    </row>
    <row r="11956" spans="5:10" s="34" customFormat="1" x14ac:dyDescent="0.35">
      <c r="E11956" s="35"/>
      <c r="J11956" s="41"/>
    </row>
    <row r="11957" spans="5:10" s="34" customFormat="1" x14ac:dyDescent="0.35">
      <c r="E11957" s="35"/>
      <c r="J11957" s="41"/>
    </row>
    <row r="11958" spans="5:10" s="34" customFormat="1" x14ac:dyDescent="0.35">
      <c r="E11958" s="35"/>
      <c r="J11958" s="41"/>
    </row>
    <row r="11959" spans="5:10" s="34" customFormat="1" x14ac:dyDescent="0.35">
      <c r="E11959" s="35"/>
      <c r="J11959" s="41"/>
    </row>
    <row r="11960" spans="5:10" s="34" customFormat="1" x14ac:dyDescent="0.35">
      <c r="E11960" s="35"/>
      <c r="J11960" s="41"/>
    </row>
    <row r="11961" spans="5:10" s="34" customFormat="1" x14ac:dyDescent="0.35">
      <c r="E11961" s="35"/>
      <c r="J11961" s="41"/>
    </row>
    <row r="11962" spans="5:10" s="34" customFormat="1" x14ac:dyDescent="0.35">
      <c r="E11962" s="35"/>
      <c r="J11962" s="41"/>
    </row>
    <row r="11963" spans="5:10" s="34" customFormat="1" x14ac:dyDescent="0.35">
      <c r="E11963" s="35"/>
      <c r="J11963" s="41"/>
    </row>
    <row r="11964" spans="5:10" s="34" customFormat="1" x14ac:dyDescent="0.35">
      <c r="E11964" s="35"/>
      <c r="J11964" s="41"/>
    </row>
    <row r="11965" spans="5:10" s="34" customFormat="1" x14ac:dyDescent="0.35">
      <c r="E11965" s="35"/>
      <c r="J11965" s="41"/>
    </row>
    <row r="11966" spans="5:10" s="34" customFormat="1" x14ac:dyDescent="0.35">
      <c r="E11966" s="35"/>
      <c r="J11966" s="41"/>
    </row>
    <row r="11967" spans="5:10" s="34" customFormat="1" x14ac:dyDescent="0.35">
      <c r="E11967" s="35"/>
      <c r="J11967" s="41"/>
    </row>
    <row r="11968" spans="5:10" s="34" customFormat="1" x14ac:dyDescent="0.35">
      <c r="E11968" s="35"/>
      <c r="J11968" s="41"/>
    </row>
    <row r="11969" spans="5:10" s="34" customFormat="1" x14ac:dyDescent="0.35">
      <c r="E11969" s="35"/>
      <c r="J11969" s="41"/>
    </row>
    <row r="11970" spans="5:10" s="34" customFormat="1" x14ac:dyDescent="0.35">
      <c r="E11970" s="35"/>
      <c r="J11970" s="41"/>
    </row>
    <row r="11971" spans="5:10" s="34" customFormat="1" x14ac:dyDescent="0.35">
      <c r="E11971" s="35"/>
      <c r="J11971" s="41"/>
    </row>
    <row r="11972" spans="5:10" s="34" customFormat="1" x14ac:dyDescent="0.35">
      <c r="E11972" s="35"/>
      <c r="J11972" s="41"/>
    </row>
    <row r="11973" spans="5:10" s="34" customFormat="1" x14ac:dyDescent="0.35">
      <c r="E11973" s="35"/>
      <c r="J11973" s="41"/>
    </row>
    <row r="11974" spans="5:10" s="34" customFormat="1" x14ac:dyDescent="0.35">
      <c r="E11974" s="35"/>
      <c r="J11974" s="41"/>
    </row>
    <row r="11975" spans="5:10" s="34" customFormat="1" x14ac:dyDescent="0.35">
      <c r="E11975" s="35"/>
      <c r="J11975" s="41"/>
    </row>
    <row r="11976" spans="5:10" s="34" customFormat="1" x14ac:dyDescent="0.35">
      <c r="E11976" s="35"/>
      <c r="J11976" s="41"/>
    </row>
    <row r="11977" spans="5:10" s="34" customFormat="1" x14ac:dyDescent="0.35">
      <c r="E11977" s="35"/>
      <c r="J11977" s="41"/>
    </row>
    <row r="11978" spans="5:10" s="34" customFormat="1" x14ac:dyDescent="0.35">
      <c r="E11978" s="35"/>
      <c r="J11978" s="41"/>
    </row>
    <row r="11979" spans="5:10" s="34" customFormat="1" x14ac:dyDescent="0.35">
      <c r="E11979" s="35"/>
      <c r="J11979" s="41"/>
    </row>
    <row r="11980" spans="5:10" s="34" customFormat="1" x14ac:dyDescent="0.35">
      <c r="E11980" s="35"/>
      <c r="J11980" s="41"/>
    </row>
    <row r="11981" spans="5:10" s="34" customFormat="1" x14ac:dyDescent="0.35">
      <c r="E11981" s="35"/>
      <c r="J11981" s="41"/>
    </row>
    <row r="11982" spans="5:10" s="34" customFormat="1" x14ac:dyDescent="0.35">
      <c r="E11982" s="35"/>
      <c r="J11982" s="41"/>
    </row>
    <row r="11983" spans="5:10" s="34" customFormat="1" x14ac:dyDescent="0.35">
      <c r="E11983" s="35"/>
      <c r="J11983" s="41"/>
    </row>
    <row r="11984" spans="5:10" s="34" customFormat="1" x14ac:dyDescent="0.35">
      <c r="E11984" s="35"/>
      <c r="J11984" s="41"/>
    </row>
    <row r="11985" spans="5:10" s="34" customFormat="1" x14ac:dyDescent="0.35">
      <c r="E11985" s="35"/>
      <c r="J11985" s="41"/>
    </row>
    <row r="11986" spans="5:10" s="34" customFormat="1" x14ac:dyDescent="0.35">
      <c r="E11986" s="35"/>
      <c r="J11986" s="41"/>
    </row>
    <row r="11987" spans="5:10" s="34" customFormat="1" x14ac:dyDescent="0.35">
      <c r="E11987" s="35"/>
      <c r="J11987" s="41"/>
    </row>
    <row r="11988" spans="5:10" s="34" customFormat="1" x14ac:dyDescent="0.35">
      <c r="E11988" s="35"/>
      <c r="J11988" s="41"/>
    </row>
    <row r="11989" spans="5:10" s="34" customFormat="1" x14ac:dyDescent="0.35">
      <c r="E11989" s="35"/>
      <c r="J11989" s="41"/>
    </row>
    <row r="11990" spans="5:10" s="34" customFormat="1" x14ac:dyDescent="0.35">
      <c r="E11990" s="35"/>
      <c r="J11990" s="41"/>
    </row>
    <row r="11991" spans="5:10" s="34" customFormat="1" x14ac:dyDescent="0.35">
      <c r="E11991" s="35"/>
      <c r="J11991" s="41"/>
    </row>
    <row r="11992" spans="5:10" s="34" customFormat="1" x14ac:dyDescent="0.35">
      <c r="E11992" s="35"/>
      <c r="J11992" s="41"/>
    </row>
    <row r="11993" spans="5:10" s="34" customFormat="1" x14ac:dyDescent="0.35">
      <c r="E11993" s="35"/>
      <c r="J11993" s="41"/>
    </row>
    <row r="11994" spans="5:10" s="34" customFormat="1" x14ac:dyDescent="0.35">
      <c r="E11994" s="35"/>
      <c r="J11994" s="41"/>
    </row>
    <row r="11995" spans="5:10" s="34" customFormat="1" x14ac:dyDescent="0.35">
      <c r="E11995" s="35"/>
      <c r="J11995" s="41"/>
    </row>
    <row r="11996" spans="5:10" s="34" customFormat="1" x14ac:dyDescent="0.35">
      <c r="E11996" s="35"/>
      <c r="J11996" s="41"/>
    </row>
    <row r="11997" spans="5:10" s="34" customFormat="1" x14ac:dyDescent="0.35">
      <c r="E11997" s="35"/>
      <c r="J11997" s="41"/>
    </row>
    <row r="11998" spans="5:10" s="34" customFormat="1" x14ac:dyDescent="0.35">
      <c r="E11998" s="35"/>
      <c r="J11998" s="41"/>
    </row>
    <row r="11999" spans="5:10" s="34" customFormat="1" x14ac:dyDescent="0.35">
      <c r="E11999" s="35"/>
      <c r="J11999" s="41"/>
    </row>
    <row r="12000" spans="5:10" s="34" customFormat="1" x14ac:dyDescent="0.35">
      <c r="E12000" s="35"/>
      <c r="J12000" s="41"/>
    </row>
    <row r="12001" spans="5:10" s="34" customFormat="1" x14ac:dyDescent="0.35">
      <c r="E12001" s="35"/>
      <c r="J12001" s="41"/>
    </row>
    <row r="12002" spans="5:10" s="34" customFormat="1" x14ac:dyDescent="0.35">
      <c r="E12002" s="35"/>
      <c r="J12002" s="41"/>
    </row>
    <row r="12003" spans="5:10" s="34" customFormat="1" x14ac:dyDescent="0.35">
      <c r="E12003" s="35"/>
      <c r="J12003" s="41"/>
    </row>
    <row r="12004" spans="5:10" s="34" customFormat="1" x14ac:dyDescent="0.35">
      <c r="E12004" s="35"/>
      <c r="J12004" s="41"/>
    </row>
    <row r="12005" spans="5:10" s="34" customFormat="1" x14ac:dyDescent="0.35">
      <c r="E12005" s="35"/>
      <c r="J12005" s="41"/>
    </row>
    <row r="12006" spans="5:10" s="34" customFormat="1" x14ac:dyDescent="0.35">
      <c r="E12006" s="35"/>
      <c r="J12006" s="41"/>
    </row>
    <row r="12007" spans="5:10" s="34" customFormat="1" x14ac:dyDescent="0.35">
      <c r="E12007" s="35"/>
      <c r="J12007" s="41"/>
    </row>
    <row r="12008" spans="5:10" s="34" customFormat="1" x14ac:dyDescent="0.35">
      <c r="E12008" s="35"/>
      <c r="J12008" s="41"/>
    </row>
    <row r="12009" spans="5:10" s="34" customFormat="1" x14ac:dyDescent="0.35">
      <c r="E12009" s="35"/>
      <c r="J12009" s="41"/>
    </row>
    <row r="12010" spans="5:10" s="34" customFormat="1" x14ac:dyDescent="0.35">
      <c r="E12010" s="35"/>
      <c r="J12010" s="41"/>
    </row>
    <row r="12011" spans="5:10" s="34" customFormat="1" x14ac:dyDescent="0.35">
      <c r="E12011" s="35"/>
      <c r="J12011" s="41"/>
    </row>
    <row r="12012" spans="5:10" s="34" customFormat="1" x14ac:dyDescent="0.35">
      <c r="E12012" s="35"/>
      <c r="J12012" s="41"/>
    </row>
    <row r="12013" spans="5:10" s="34" customFormat="1" x14ac:dyDescent="0.35">
      <c r="E12013" s="35"/>
      <c r="J12013" s="41"/>
    </row>
    <row r="12014" spans="5:10" s="34" customFormat="1" x14ac:dyDescent="0.35">
      <c r="E12014" s="35"/>
      <c r="J12014" s="41"/>
    </row>
    <row r="12015" spans="5:10" s="34" customFormat="1" x14ac:dyDescent="0.35">
      <c r="E12015" s="35"/>
      <c r="J12015" s="41"/>
    </row>
    <row r="12016" spans="5:10" s="34" customFormat="1" x14ac:dyDescent="0.35">
      <c r="E12016" s="35"/>
      <c r="J12016" s="41"/>
    </row>
    <row r="12017" spans="5:10" s="34" customFormat="1" x14ac:dyDescent="0.35">
      <c r="E12017" s="35"/>
      <c r="J12017" s="41"/>
    </row>
    <row r="12018" spans="5:10" s="34" customFormat="1" x14ac:dyDescent="0.35">
      <c r="E12018" s="35"/>
      <c r="J12018" s="41"/>
    </row>
    <row r="12019" spans="5:10" s="34" customFormat="1" x14ac:dyDescent="0.35">
      <c r="E12019" s="35"/>
      <c r="J12019" s="41"/>
    </row>
    <row r="12020" spans="5:10" s="34" customFormat="1" x14ac:dyDescent="0.35">
      <c r="E12020" s="35"/>
      <c r="J12020" s="41"/>
    </row>
    <row r="12021" spans="5:10" s="34" customFormat="1" x14ac:dyDescent="0.35">
      <c r="E12021" s="35"/>
      <c r="J12021" s="41"/>
    </row>
    <row r="12022" spans="5:10" s="34" customFormat="1" x14ac:dyDescent="0.35">
      <c r="E12022" s="35"/>
      <c r="J12022" s="41"/>
    </row>
    <row r="12023" spans="5:10" s="34" customFormat="1" x14ac:dyDescent="0.35">
      <c r="E12023" s="35"/>
      <c r="J12023" s="41"/>
    </row>
    <row r="12024" spans="5:10" s="34" customFormat="1" x14ac:dyDescent="0.35">
      <c r="E12024" s="35"/>
      <c r="J12024" s="41"/>
    </row>
    <row r="12025" spans="5:10" s="34" customFormat="1" x14ac:dyDescent="0.35">
      <c r="E12025" s="35"/>
      <c r="J12025" s="41"/>
    </row>
    <row r="12026" spans="5:10" s="34" customFormat="1" x14ac:dyDescent="0.35">
      <c r="E12026" s="35"/>
      <c r="J12026" s="41"/>
    </row>
    <row r="12027" spans="5:10" s="34" customFormat="1" x14ac:dyDescent="0.35">
      <c r="E12027" s="35"/>
      <c r="J12027" s="41"/>
    </row>
    <row r="12028" spans="5:10" s="34" customFormat="1" x14ac:dyDescent="0.35">
      <c r="E12028" s="35"/>
      <c r="J12028" s="41"/>
    </row>
    <row r="12029" spans="5:10" s="34" customFormat="1" x14ac:dyDescent="0.35">
      <c r="E12029" s="35"/>
      <c r="J12029" s="41"/>
    </row>
    <row r="12030" spans="5:10" s="34" customFormat="1" x14ac:dyDescent="0.35">
      <c r="E12030" s="35"/>
      <c r="J12030" s="41"/>
    </row>
    <row r="12031" spans="5:10" s="34" customFormat="1" x14ac:dyDescent="0.35">
      <c r="E12031" s="35"/>
      <c r="J12031" s="41"/>
    </row>
    <row r="12032" spans="5:10" s="34" customFormat="1" x14ac:dyDescent="0.35">
      <c r="E12032" s="35"/>
      <c r="J12032" s="41"/>
    </row>
    <row r="12033" spans="5:10" s="34" customFormat="1" x14ac:dyDescent="0.35">
      <c r="E12033" s="35"/>
      <c r="J12033" s="41"/>
    </row>
    <row r="12034" spans="5:10" s="34" customFormat="1" x14ac:dyDescent="0.35">
      <c r="E12034" s="35"/>
      <c r="J12034" s="41"/>
    </row>
    <row r="12035" spans="5:10" s="34" customFormat="1" x14ac:dyDescent="0.35">
      <c r="E12035" s="35"/>
      <c r="J12035" s="41"/>
    </row>
    <row r="12036" spans="5:10" s="34" customFormat="1" x14ac:dyDescent="0.35">
      <c r="E12036" s="35"/>
      <c r="J12036" s="41"/>
    </row>
    <row r="12037" spans="5:10" s="34" customFormat="1" x14ac:dyDescent="0.35">
      <c r="E12037" s="35"/>
      <c r="J12037" s="41"/>
    </row>
    <row r="12038" spans="5:10" s="34" customFormat="1" x14ac:dyDescent="0.35">
      <c r="E12038" s="35"/>
      <c r="J12038" s="41"/>
    </row>
    <row r="12039" spans="5:10" s="34" customFormat="1" x14ac:dyDescent="0.35">
      <c r="E12039" s="35"/>
      <c r="J12039" s="41"/>
    </row>
    <row r="12040" spans="5:10" s="34" customFormat="1" x14ac:dyDescent="0.35">
      <c r="E12040" s="35"/>
      <c r="J12040" s="41"/>
    </row>
    <row r="12041" spans="5:10" s="34" customFormat="1" x14ac:dyDescent="0.35">
      <c r="E12041" s="35"/>
      <c r="J12041" s="41"/>
    </row>
    <row r="12042" spans="5:10" s="34" customFormat="1" x14ac:dyDescent="0.35">
      <c r="E12042" s="35"/>
      <c r="J12042" s="41"/>
    </row>
    <row r="12043" spans="5:10" s="34" customFormat="1" x14ac:dyDescent="0.35">
      <c r="E12043" s="35"/>
      <c r="J12043" s="41"/>
    </row>
    <row r="12044" spans="5:10" s="34" customFormat="1" x14ac:dyDescent="0.35">
      <c r="E12044" s="35"/>
      <c r="J12044" s="41"/>
    </row>
    <row r="12045" spans="5:10" s="34" customFormat="1" x14ac:dyDescent="0.35">
      <c r="E12045" s="35"/>
      <c r="J12045" s="41"/>
    </row>
    <row r="12046" spans="5:10" s="34" customFormat="1" x14ac:dyDescent="0.35">
      <c r="E12046" s="35"/>
      <c r="J12046" s="41"/>
    </row>
    <row r="12047" spans="5:10" s="34" customFormat="1" x14ac:dyDescent="0.35">
      <c r="E12047" s="35"/>
      <c r="J12047" s="41"/>
    </row>
    <row r="12048" spans="5:10" s="34" customFormat="1" x14ac:dyDescent="0.35">
      <c r="E12048" s="35"/>
      <c r="J12048" s="41"/>
    </row>
    <row r="12049" spans="5:10" s="34" customFormat="1" x14ac:dyDescent="0.35">
      <c r="E12049" s="35"/>
      <c r="J12049" s="41"/>
    </row>
    <row r="12050" spans="5:10" s="34" customFormat="1" x14ac:dyDescent="0.35">
      <c r="E12050" s="35"/>
      <c r="J12050" s="41"/>
    </row>
    <row r="12051" spans="5:10" s="34" customFormat="1" x14ac:dyDescent="0.35">
      <c r="E12051" s="35"/>
      <c r="J12051" s="41"/>
    </row>
    <row r="12052" spans="5:10" s="34" customFormat="1" x14ac:dyDescent="0.35">
      <c r="E12052" s="35"/>
      <c r="J12052" s="41"/>
    </row>
    <row r="12053" spans="5:10" s="34" customFormat="1" x14ac:dyDescent="0.35">
      <c r="E12053" s="35"/>
      <c r="J12053" s="41"/>
    </row>
    <row r="12054" spans="5:10" s="34" customFormat="1" x14ac:dyDescent="0.35">
      <c r="E12054" s="35"/>
      <c r="J12054" s="41"/>
    </row>
    <row r="12055" spans="5:10" s="34" customFormat="1" x14ac:dyDescent="0.35">
      <c r="E12055" s="35"/>
      <c r="J12055" s="41"/>
    </row>
    <row r="12056" spans="5:10" s="34" customFormat="1" x14ac:dyDescent="0.35">
      <c r="E12056" s="35"/>
      <c r="J12056" s="41"/>
    </row>
    <row r="12057" spans="5:10" s="34" customFormat="1" x14ac:dyDescent="0.35">
      <c r="E12057" s="35"/>
      <c r="J12057" s="41"/>
    </row>
    <row r="12058" spans="5:10" s="34" customFormat="1" x14ac:dyDescent="0.35">
      <c r="E12058" s="35"/>
      <c r="J12058" s="41"/>
    </row>
    <row r="12059" spans="5:10" s="34" customFormat="1" x14ac:dyDescent="0.35">
      <c r="E12059" s="35"/>
      <c r="J12059" s="41"/>
    </row>
    <row r="12060" spans="5:10" s="34" customFormat="1" x14ac:dyDescent="0.35">
      <c r="E12060" s="35"/>
      <c r="J12060" s="41"/>
    </row>
    <row r="12061" spans="5:10" s="34" customFormat="1" x14ac:dyDescent="0.35">
      <c r="E12061" s="35"/>
      <c r="J12061" s="41"/>
    </row>
    <row r="12062" spans="5:10" s="34" customFormat="1" x14ac:dyDescent="0.35">
      <c r="E12062" s="35"/>
      <c r="J12062" s="41"/>
    </row>
    <row r="12063" spans="5:10" s="34" customFormat="1" x14ac:dyDescent="0.35">
      <c r="E12063" s="35"/>
      <c r="J12063" s="41"/>
    </row>
    <row r="12064" spans="5:10" s="34" customFormat="1" x14ac:dyDescent="0.35">
      <c r="E12064" s="35"/>
      <c r="J12064" s="41"/>
    </row>
    <row r="12065" spans="5:10" s="34" customFormat="1" x14ac:dyDescent="0.35">
      <c r="E12065" s="35"/>
      <c r="J12065" s="41"/>
    </row>
    <row r="12066" spans="5:10" s="34" customFormat="1" x14ac:dyDescent="0.35">
      <c r="E12066" s="35"/>
      <c r="J12066" s="41"/>
    </row>
    <row r="12067" spans="5:10" s="34" customFormat="1" x14ac:dyDescent="0.35">
      <c r="E12067" s="35"/>
      <c r="J12067" s="41"/>
    </row>
    <row r="12068" spans="5:10" s="34" customFormat="1" x14ac:dyDescent="0.35">
      <c r="E12068" s="35"/>
      <c r="J12068" s="41"/>
    </row>
    <row r="12069" spans="5:10" s="34" customFormat="1" x14ac:dyDescent="0.35">
      <c r="E12069" s="35"/>
      <c r="J12069" s="41"/>
    </row>
    <row r="12070" spans="5:10" s="34" customFormat="1" x14ac:dyDescent="0.35">
      <c r="E12070" s="35"/>
      <c r="J12070" s="41"/>
    </row>
    <row r="12071" spans="5:10" s="34" customFormat="1" x14ac:dyDescent="0.35">
      <c r="E12071" s="35"/>
      <c r="J12071" s="41"/>
    </row>
    <row r="12072" spans="5:10" s="34" customFormat="1" x14ac:dyDescent="0.35">
      <c r="E12072" s="35"/>
      <c r="J12072" s="41"/>
    </row>
    <row r="12073" spans="5:10" s="34" customFormat="1" x14ac:dyDescent="0.35">
      <c r="E12073" s="35"/>
      <c r="J12073" s="41"/>
    </row>
    <row r="12074" spans="5:10" s="34" customFormat="1" x14ac:dyDescent="0.35">
      <c r="E12074" s="35"/>
      <c r="J12074" s="41"/>
    </row>
    <row r="12075" spans="5:10" s="34" customFormat="1" x14ac:dyDescent="0.35">
      <c r="E12075" s="35"/>
      <c r="J12075" s="41"/>
    </row>
    <row r="12076" spans="5:10" s="34" customFormat="1" x14ac:dyDescent="0.35">
      <c r="E12076" s="35"/>
      <c r="J12076" s="41"/>
    </row>
    <row r="12077" spans="5:10" s="34" customFormat="1" x14ac:dyDescent="0.35">
      <c r="E12077" s="35"/>
      <c r="J12077" s="41"/>
    </row>
    <row r="12078" spans="5:10" s="34" customFormat="1" x14ac:dyDescent="0.35">
      <c r="E12078" s="35"/>
      <c r="J12078" s="41"/>
    </row>
    <row r="12079" spans="5:10" s="34" customFormat="1" x14ac:dyDescent="0.35">
      <c r="E12079" s="35"/>
      <c r="J12079" s="41"/>
    </row>
    <row r="12080" spans="5:10" s="34" customFormat="1" x14ac:dyDescent="0.35">
      <c r="E12080" s="35"/>
      <c r="J12080" s="41"/>
    </row>
    <row r="12081" spans="5:10" s="34" customFormat="1" x14ac:dyDescent="0.35">
      <c r="E12081" s="35"/>
      <c r="J12081" s="41"/>
    </row>
    <row r="12082" spans="5:10" s="34" customFormat="1" x14ac:dyDescent="0.35">
      <c r="E12082" s="35"/>
      <c r="J12082" s="41"/>
    </row>
    <row r="12083" spans="5:10" s="34" customFormat="1" x14ac:dyDescent="0.35">
      <c r="E12083" s="35"/>
      <c r="J12083" s="41"/>
    </row>
    <row r="12084" spans="5:10" s="34" customFormat="1" x14ac:dyDescent="0.35">
      <c r="E12084" s="35"/>
      <c r="J12084" s="41"/>
    </row>
    <row r="12085" spans="5:10" s="34" customFormat="1" x14ac:dyDescent="0.35">
      <c r="E12085" s="35"/>
      <c r="J12085" s="41"/>
    </row>
    <row r="12086" spans="5:10" s="34" customFormat="1" x14ac:dyDescent="0.35">
      <c r="E12086" s="35"/>
      <c r="J12086" s="41"/>
    </row>
    <row r="12087" spans="5:10" s="34" customFormat="1" x14ac:dyDescent="0.35">
      <c r="E12087" s="35"/>
      <c r="J12087" s="41"/>
    </row>
    <row r="12088" spans="5:10" s="34" customFormat="1" x14ac:dyDescent="0.35">
      <c r="E12088" s="35"/>
      <c r="J12088" s="41"/>
    </row>
    <row r="12089" spans="5:10" s="34" customFormat="1" x14ac:dyDescent="0.35">
      <c r="E12089" s="35"/>
      <c r="J12089" s="41"/>
    </row>
    <row r="12090" spans="5:10" s="34" customFormat="1" x14ac:dyDescent="0.35">
      <c r="E12090" s="35"/>
      <c r="J12090" s="41"/>
    </row>
    <row r="12091" spans="5:10" s="34" customFormat="1" x14ac:dyDescent="0.35">
      <c r="E12091" s="35"/>
      <c r="J12091" s="41"/>
    </row>
    <row r="12092" spans="5:10" s="34" customFormat="1" x14ac:dyDescent="0.35">
      <c r="E12092" s="35"/>
      <c r="J12092" s="41"/>
    </row>
    <row r="12093" spans="5:10" s="34" customFormat="1" x14ac:dyDescent="0.35">
      <c r="E12093" s="35"/>
      <c r="J12093" s="41"/>
    </row>
    <row r="12094" spans="5:10" s="34" customFormat="1" x14ac:dyDescent="0.35">
      <c r="E12094" s="35"/>
      <c r="J12094" s="41"/>
    </row>
    <row r="12095" spans="5:10" s="34" customFormat="1" x14ac:dyDescent="0.35">
      <c r="E12095" s="35"/>
      <c r="J12095" s="41"/>
    </row>
    <row r="12096" spans="5:10" s="34" customFormat="1" x14ac:dyDescent="0.35">
      <c r="E12096" s="35"/>
      <c r="J12096" s="41"/>
    </row>
    <row r="12097" spans="5:10" s="34" customFormat="1" x14ac:dyDescent="0.35">
      <c r="E12097" s="35"/>
      <c r="J12097" s="41"/>
    </row>
    <row r="12098" spans="5:10" s="34" customFormat="1" x14ac:dyDescent="0.35">
      <c r="E12098" s="35"/>
      <c r="J12098" s="41"/>
    </row>
    <row r="12099" spans="5:10" s="34" customFormat="1" x14ac:dyDescent="0.35">
      <c r="E12099" s="35"/>
      <c r="J12099" s="41"/>
    </row>
    <row r="12100" spans="5:10" s="34" customFormat="1" x14ac:dyDescent="0.35">
      <c r="E12100" s="35"/>
      <c r="J12100" s="41"/>
    </row>
    <row r="12101" spans="5:10" s="34" customFormat="1" x14ac:dyDescent="0.35">
      <c r="E12101" s="35"/>
      <c r="J12101" s="41"/>
    </row>
    <row r="12102" spans="5:10" s="34" customFormat="1" x14ac:dyDescent="0.35">
      <c r="E12102" s="35"/>
      <c r="J12102" s="41"/>
    </row>
    <row r="12103" spans="5:10" s="34" customFormat="1" x14ac:dyDescent="0.35">
      <c r="E12103" s="35"/>
      <c r="J12103" s="41"/>
    </row>
    <row r="12104" spans="5:10" s="34" customFormat="1" x14ac:dyDescent="0.35">
      <c r="E12104" s="35"/>
      <c r="J12104" s="41"/>
    </row>
    <row r="12105" spans="5:10" s="34" customFormat="1" x14ac:dyDescent="0.35">
      <c r="E12105" s="35"/>
      <c r="J12105" s="41"/>
    </row>
    <row r="12106" spans="5:10" s="34" customFormat="1" x14ac:dyDescent="0.35">
      <c r="E12106" s="35"/>
      <c r="J12106" s="41"/>
    </row>
    <row r="12107" spans="5:10" s="34" customFormat="1" x14ac:dyDescent="0.35">
      <c r="E12107" s="35"/>
      <c r="J12107" s="41"/>
    </row>
    <row r="12108" spans="5:10" s="34" customFormat="1" x14ac:dyDescent="0.35">
      <c r="E12108" s="35"/>
      <c r="J12108" s="41"/>
    </row>
    <row r="12109" spans="5:10" s="34" customFormat="1" x14ac:dyDescent="0.35">
      <c r="E12109" s="35"/>
      <c r="J12109" s="41"/>
    </row>
    <row r="12110" spans="5:10" s="34" customFormat="1" x14ac:dyDescent="0.35">
      <c r="E12110" s="35"/>
      <c r="J12110" s="41"/>
    </row>
    <row r="12111" spans="5:10" s="34" customFormat="1" x14ac:dyDescent="0.35">
      <c r="E12111" s="35"/>
      <c r="J12111" s="41"/>
    </row>
    <row r="12112" spans="5:10" s="34" customFormat="1" x14ac:dyDescent="0.35">
      <c r="E12112" s="35"/>
      <c r="J12112" s="41"/>
    </row>
    <row r="12113" spans="5:10" s="34" customFormat="1" x14ac:dyDescent="0.35">
      <c r="E12113" s="35"/>
      <c r="J12113" s="41"/>
    </row>
    <row r="12114" spans="5:10" s="34" customFormat="1" x14ac:dyDescent="0.35">
      <c r="E12114" s="35"/>
      <c r="J12114" s="41"/>
    </row>
    <row r="12115" spans="5:10" s="34" customFormat="1" x14ac:dyDescent="0.35">
      <c r="E12115" s="35"/>
      <c r="J12115" s="41"/>
    </row>
    <row r="12116" spans="5:10" s="34" customFormat="1" x14ac:dyDescent="0.35">
      <c r="E12116" s="35"/>
      <c r="J12116" s="41"/>
    </row>
    <row r="12117" spans="5:10" s="34" customFormat="1" x14ac:dyDescent="0.35">
      <c r="E12117" s="35"/>
      <c r="J12117" s="41"/>
    </row>
    <row r="12118" spans="5:10" s="34" customFormat="1" x14ac:dyDescent="0.35">
      <c r="E12118" s="35"/>
      <c r="J12118" s="41"/>
    </row>
    <row r="12119" spans="5:10" s="34" customFormat="1" x14ac:dyDescent="0.35">
      <c r="E12119" s="35"/>
      <c r="J12119" s="41"/>
    </row>
    <row r="12120" spans="5:10" s="34" customFormat="1" x14ac:dyDescent="0.35">
      <c r="E12120" s="35"/>
      <c r="J12120" s="41"/>
    </row>
    <row r="12121" spans="5:10" s="34" customFormat="1" x14ac:dyDescent="0.35">
      <c r="E12121" s="35"/>
      <c r="J12121" s="41"/>
    </row>
    <row r="12122" spans="5:10" s="34" customFormat="1" x14ac:dyDescent="0.35">
      <c r="E12122" s="35"/>
      <c r="J12122" s="41"/>
    </row>
    <row r="12123" spans="5:10" s="34" customFormat="1" x14ac:dyDescent="0.35">
      <c r="E12123" s="35"/>
      <c r="J12123" s="41"/>
    </row>
    <row r="12124" spans="5:10" s="34" customFormat="1" x14ac:dyDescent="0.35">
      <c r="E12124" s="35"/>
      <c r="J12124" s="41"/>
    </row>
    <row r="12125" spans="5:10" s="34" customFormat="1" x14ac:dyDescent="0.35">
      <c r="E12125" s="35"/>
      <c r="J12125" s="41"/>
    </row>
    <row r="12126" spans="5:10" s="34" customFormat="1" x14ac:dyDescent="0.35">
      <c r="E12126" s="35"/>
      <c r="J12126" s="41"/>
    </row>
    <row r="12127" spans="5:10" s="34" customFormat="1" x14ac:dyDescent="0.35">
      <c r="E12127" s="35"/>
      <c r="J12127" s="41"/>
    </row>
    <row r="12128" spans="5:10" s="34" customFormat="1" x14ac:dyDescent="0.35">
      <c r="E12128" s="35"/>
      <c r="J12128" s="41"/>
    </row>
    <row r="12129" spans="5:10" s="34" customFormat="1" x14ac:dyDescent="0.35">
      <c r="E12129" s="35"/>
      <c r="J12129" s="41"/>
    </row>
    <row r="12130" spans="5:10" s="34" customFormat="1" x14ac:dyDescent="0.35">
      <c r="E12130" s="35"/>
      <c r="J12130" s="41"/>
    </row>
    <row r="12131" spans="5:10" s="34" customFormat="1" x14ac:dyDescent="0.35">
      <c r="E12131" s="35"/>
      <c r="J12131" s="41"/>
    </row>
    <row r="12132" spans="5:10" s="34" customFormat="1" x14ac:dyDescent="0.35">
      <c r="E12132" s="35"/>
      <c r="J12132" s="41"/>
    </row>
    <row r="12133" spans="5:10" s="34" customFormat="1" x14ac:dyDescent="0.35">
      <c r="E12133" s="35"/>
      <c r="J12133" s="41"/>
    </row>
    <row r="12134" spans="5:10" s="34" customFormat="1" x14ac:dyDescent="0.35">
      <c r="E12134" s="35"/>
      <c r="J12134" s="41"/>
    </row>
    <row r="12135" spans="5:10" s="34" customFormat="1" x14ac:dyDescent="0.35">
      <c r="E12135" s="35"/>
      <c r="J12135" s="41"/>
    </row>
    <row r="12136" spans="5:10" s="34" customFormat="1" x14ac:dyDescent="0.35">
      <c r="E12136" s="35"/>
      <c r="J12136" s="41"/>
    </row>
    <row r="12137" spans="5:10" s="34" customFormat="1" x14ac:dyDescent="0.35">
      <c r="E12137" s="35"/>
      <c r="J12137" s="41"/>
    </row>
    <row r="12138" spans="5:10" s="34" customFormat="1" x14ac:dyDescent="0.35">
      <c r="E12138" s="35"/>
      <c r="J12138" s="41"/>
    </row>
    <row r="12139" spans="5:10" s="34" customFormat="1" x14ac:dyDescent="0.35">
      <c r="E12139" s="35"/>
      <c r="J12139" s="41"/>
    </row>
    <row r="12140" spans="5:10" s="34" customFormat="1" x14ac:dyDescent="0.35">
      <c r="E12140" s="35"/>
      <c r="J12140" s="41"/>
    </row>
    <row r="12141" spans="5:10" s="34" customFormat="1" x14ac:dyDescent="0.35">
      <c r="E12141" s="35"/>
      <c r="J12141" s="41"/>
    </row>
    <row r="12142" spans="5:10" s="34" customFormat="1" x14ac:dyDescent="0.35">
      <c r="E12142" s="35"/>
      <c r="J12142" s="41"/>
    </row>
    <row r="12143" spans="5:10" s="34" customFormat="1" x14ac:dyDescent="0.35">
      <c r="E12143" s="35"/>
      <c r="J12143" s="41"/>
    </row>
    <row r="12144" spans="5:10" s="34" customFormat="1" x14ac:dyDescent="0.35">
      <c r="E12144" s="35"/>
      <c r="J12144" s="41"/>
    </row>
    <row r="12145" spans="5:10" s="34" customFormat="1" x14ac:dyDescent="0.35">
      <c r="E12145" s="35"/>
      <c r="J12145" s="41"/>
    </row>
    <row r="12146" spans="5:10" s="34" customFormat="1" x14ac:dyDescent="0.35">
      <c r="E12146" s="35"/>
      <c r="J12146" s="41"/>
    </row>
    <row r="12147" spans="5:10" s="34" customFormat="1" x14ac:dyDescent="0.35">
      <c r="E12147" s="35"/>
      <c r="J12147" s="41"/>
    </row>
    <row r="12148" spans="5:10" s="34" customFormat="1" x14ac:dyDescent="0.35">
      <c r="E12148" s="35"/>
      <c r="J12148" s="41"/>
    </row>
    <row r="12149" spans="5:10" s="34" customFormat="1" x14ac:dyDescent="0.35">
      <c r="E12149" s="35"/>
      <c r="J12149" s="41"/>
    </row>
    <row r="12150" spans="5:10" s="34" customFormat="1" x14ac:dyDescent="0.35">
      <c r="E12150" s="35"/>
      <c r="J12150" s="41"/>
    </row>
    <row r="12151" spans="5:10" s="34" customFormat="1" x14ac:dyDescent="0.35">
      <c r="E12151" s="35"/>
      <c r="J12151" s="41"/>
    </row>
    <row r="12152" spans="5:10" s="34" customFormat="1" x14ac:dyDescent="0.35">
      <c r="E12152" s="35"/>
      <c r="J12152" s="41"/>
    </row>
    <row r="12153" spans="5:10" s="34" customFormat="1" x14ac:dyDescent="0.35">
      <c r="E12153" s="35"/>
      <c r="J12153" s="41"/>
    </row>
    <row r="12154" spans="5:10" s="34" customFormat="1" x14ac:dyDescent="0.35">
      <c r="E12154" s="35"/>
      <c r="J12154" s="41"/>
    </row>
    <row r="12155" spans="5:10" s="34" customFormat="1" x14ac:dyDescent="0.35">
      <c r="E12155" s="35"/>
      <c r="J12155" s="41"/>
    </row>
    <row r="12156" spans="5:10" s="34" customFormat="1" x14ac:dyDescent="0.35">
      <c r="E12156" s="35"/>
      <c r="J12156" s="41"/>
    </row>
    <row r="12157" spans="5:10" s="34" customFormat="1" x14ac:dyDescent="0.35">
      <c r="E12157" s="35"/>
      <c r="J12157" s="41"/>
    </row>
    <row r="12158" spans="5:10" s="34" customFormat="1" x14ac:dyDescent="0.35">
      <c r="E12158" s="35"/>
      <c r="J12158" s="41"/>
    </row>
    <row r="12159" spans="5:10" s="34" customFormat="1" x14ac:dyDescent="0.35">
      <c r="E12159" s="35"/>
      <c r="J12159" s="41"/>
    </row>
    <row r="12160" spans="5:10" s="34" customFormat="1" x14ac:dyDescent="0.35">
      <c r="E12160" s="35"/>
      <c r="J12160" s="41"/>
    </row>
    <row r="12161" spans="5:10" s="34" customFormat="1" x14ac:dyDescent="0.35">
      <c r="E12161" s="35"/>
      <c r="J12161" s="41"/>
    </row>
    <row r="12162" spans="5:10" s="34" customFormat="1" x14ac:dyDescent="0.35">
      <c r="E12162" s="35"/>
      <c r="J12162" s="41"/>
    </row>
    <row r="12163" spans="5:10" s="34" customFormat="1" x14ac:dyDescent="0.35">
      <c r="E12163" s="35"/>
      <c r="J12163" s="41"/>
    </row>
    <row r="12164" spans="5:10" s="34" customFormat="1" x14ac:dyDescent="0.35">
      <c r="E12164" s="35"/>
      <c r="J12164" s="41"/>
    </row>
    <row r="12165" spans="5:10" s="34" customFormat="1" x14ac:dyDescent="0.35">
      <c r="E12165" s="35"/>
      <c r="J12165" s="41"/>
    </row>
    <row r="12166" spans="5:10" s="34" customFormat="1" x14ac:dyDescent="0.35">
      <c r="E12166" s="35"/>
      <c r="J12166" s="41"/>
    </row>
    <row r="12167" spans="5:10" s="34" customFormat="1" x14ac:dyDescent="0.35">
      <c r="E12167" s="35"/>
      <c r="J12167" s="41"/>
    </row>
    <row r="12168" spans="5:10" s="34" customFormat="1" x14ac:dyDescent="0.35">
      <c r="E12168" s="35"/>
      <c r="J12168" s="41"/>
    </row>
    <row r="12169" spans="5:10" s="34" customFormat="1" x14ac:dyDescent="0.35">
      <c r="E12169" s="35"/>
      <c r="J12169" s="41"/>
    </row>
    <row r="12170" spans="5:10" s="34" customFormat="1" x14ac:dyDescent="0.35">
      <c r="E12170" s="35"/>
      <c r="J12170" s="41"/>
    </row>
    <row r="12171" spans="5:10" s="34" customFormat="1" x14ac:dyDescent="0.35">
      <c r="E12171" s="35"/>
      <c r="J12171" s="41"/>
    </row>
    <row r="12172" spans="5:10" s="34" customFormat="1" x14ac:dyDescent="0.35">
      <c r="E12172" s="35"/>
      <c r="J12172" s="41"/>
    </row>
    <row r="12173" spans="5:10" s="34" customFormat="1" x14ac:dyDescent="0.35">
      <c r="E12173" s="35"/>
      <c r="J12173" s="41"/>
    </row>
    <row r="12174" spans="5:10" s="34" customFormat="1" x14ac:dyDescent="0.35">
      <c r="E12174" s="35"/>
      <c r="J12174" s="41"/>
    </row>
    <row r="12175" spans="5:10" s="34" customFormat="1" x14ac:dyDescent="0.35">
      <c r="E12175" s="35"/>
      <c r="J12175" s="41"/>
    </row>
    <row r="12176" spans="5:10" s="34" customFormat="1" x14ac:dyDescent="0.35">
      <c r="E12176" s="35"/>
      <c r="J12176" s="41"/>
    </row>
    <row r="12177" spans="5:10" s="34" customFormat="1" x14ac:dyDescent="0.35">
      <c r="E12177" s="35"/>
      <c r="J12177" s="41"/>
    </row>
    <row r="12178" spans="5:10" s="34" customFormat="1" x14ac:dyDescent="0.35">
      <c r="E12178" s="35"/>
      <c r="J12178" s="41"/>
    </row>
    <row r="12179" spans="5:10" s="34" customFormat="1" x14ac:dyDescent="0.35">
      <c r="E12179" s="35"/>
      <c r="J12179" s="41"/>
    </row>
    <row r="12180" spans="5:10" s="34" customFormat="1" x14ac:dyDescent="0.35">
      <c r="E12180" s="35"/>
      <c r="J12180" s="41"/>
    </row>
    <row r="12181" spans="5:10" s="34" customFormat="1" x14ac:dyDescent="0.35">
      <c r="E12181" s="35"/>
      <c r="J12181" s="41"/>
    </row>
    <row r="12182" spans="5:10" s="34" customFormat="1" x14ac:dyDescent="0.35">
      <c r="E12182" s="35"/>
      <c r="J12182" s="41"/>
    </row>
    <row r="12183" spans="5:10" s="34" customFormat="1" x14ac:dyDescent="0.35">
      <c r="E12183" s="35"/>
      <c r="J12183" s="41"/>
    </row>
    <row r="12184" spans="5:10" s="34" customFormat="1" x14ac:dyDescent="0.35">
      <c r="E12184" s="35"/>
      <c r="J12184" s="41"/>
    </row>
    <row r="12185" spans="5:10" s="34" customFormat="1" x14ac:dyDescent="0.35">
      <c r="E12185" s="35"/>
      <c r="J12185" s="41"/>
    </row>
    <row r="12186" spans="5:10" s="34" customFormat="1" x14ac:dyDescent="0.35">
      <c r="E12186" s="35"/>
      <c r="J12186" s="41"/>
    </row>
    <row r="12187" spans="5:10" s="34" customFormat="1" x14ac:dyDescent="0.35">
      <c r="E12187" s="35"/>
      <c r="J12187" s="41"/>
    </row>
    <row r="12188" spans="5:10" s="34" customFormat="1" x14ac:dyDescent="0.35">
      <c r="E12188" s="35"/>
      <c r="J12188" s="41"/>
    </row>
    <row r="12189" spans="5:10" s="34" customFormat="1" x14ac:dyDescent="0.35">
      <c r="E12189" s="35"/>
      <c r="J12189" s="41"/>
    </row>
    <row r="12190" spans="5:10" s="34" customFormat="1" x14ac:dyDescent="0.35">
      <c r="E12190" s="35"/>
      <c r="J12190" s="41"/>
    </row>
    <row r="12191" spans="5:10" s="34" customFormat="1" x14ac:dyDescent="0.35">
      <c r="E12191" s="35"/>
      <c r="J12191" s="41"/>
    </row>
    <row r="12192" spans="5:10" s="34" customFormat="1" x14ac:dyDescent="0.35">
      <c r="E12192" s="35"/>
      <c r="J12192" s="41"/>
    </row>
    <row r="12193" spans="5:10" s="34" customFormat="1" x14ac:dyDescent="0.35">
      <c r="E12193" s="35"/>
      <c r="J12193" s="41"/>
    </row>
    <row r="12194" spans="5:10" s="34" customFormat="1" x14ac:dyDescent="0.35">
      <c r="E12194" s="35"/>
      <c r="J12194" s="41"/>
    </row>
    <row r="12195" spans="5:10" s="34" customFormat="1" x14ac:dyDescent="0.35">
      <c r="E12195" s="35"/>
      <c r="J12195" s="41"/>
    </row>
    <row r="12196" spans="5:10" s="34" customFormat="1" x14ac:dyDescent="0.35">
      <c r="E12196" s="35"/>
      <c r="J12196" s="41"/>
    </row>
    <row r="12197" spans="5:10" s="34" customFormat="1" x14ac:dyDescent="0.35">
      <c r="E12197" s="35"/>
      <c r="J12197" s="41"/>
    </row>
    <row r="12198" spans="5:10" s="34" customFormat="1" x14ac:dyDescent="0.35">
      <c r="E12198" s="35"/>
      <c r="J12198" s="41"/>
    </row>
    <row r="12199" spans="5:10" s="34" customFormat="1" x14ac:dyDescent="0.35">
      <c r="E12199" s="35"/>
      <c r="J12199" s="41"/>
    </row>
    <row r="12200" spans="5:10" s="34" customFormat="1" x14ac:dyDescent="0.35">
      <c r="E12200" s="35"/>
      <c r="J12200" s="41"/>
    </row>
    <row r="12201" spans="5:10" s="34" customFormat="1" x14ac:dyDescent="0.35">
      <c r="E12201" s="35"/>
      <c r="J12201" s="41"/>
    </row>
    <row r="12202" spans="5:10" s="34" customFormat="1" x14ac:dyDescent="0.35">
      <c r="E12202" s="35"/>
      <c r="J12202" s="41"/>
    </row>
    <row r="12203" spans="5:10" s="34" customFormat="1" x14ac:dyDescent="0.35">
      <c r="E12203" s="35"/>
      <c r="J12203" s="41"/>
    </row>
    <row r="12204" spans="5:10" s="34" customFormat="1" x14ac:dyDescent="0.35">
      <c r="E12204" s="35"/>
      <c r="J12204" s="41"/>
    </row>
    <row r="12205" spans="5:10" s="34" customFormat="1" x14ac:dyDescent="0.35">
      <c r="E12205" s="35"/>
      <c r="J12205" s="41"/>
    </row>
    <row r="12206" spans="5:10" s="34" customFormat="1" x14ac:dyDescent="0.35">
      <c r="E12206" s="35"/>
      <c r="J12206" s="41"/>
    </row>
    <row r="12207" spans="5:10" s="34" customFormat="1" x14ac:dyDescent="0.35">
      <c r="E12207" s="35"/>
      <c r="J12207" s="41"/>
    </row>
    <row r="12208" spans="5:10" s="34" customFormat="1" x14ac:dyDescent="0.35">
      <c r="E12208" s="35"/>
      <c r="J12208" s="41"/>
    </row>
    <row r="12209" spans="5:10" s="34" customFormat="1" x14ac:dyDescent="0.35">
      <c r="E12209" s="35"/>
      <c r="J12209" s="41"/>
    </row>
    <row r="12210" spans="5:10" s="34" customFormat="1" x14ac:dyDescent="0.35">
      <c r="E12210" s="35"/>
      <c r="J12210" s="41"/>
    </row>
    <row r="12211" spans="5:10" s="34" customFormat="1" x14ac:dyDescent="0.35">
      <c r="E12211" s="35"/>
      <c r="J12211" s="41"/>
    </row>
    <row r="12212" spans="5:10" s="34" customFormat="1" x14ac:dyDescent="0.35">
      <c r="E12212" s="35"/>
      <c r="J12212" s="41"/>
    </row>
    <row r="12213" spans="5:10" s="34" customFormat="1" x14ac:dyDescent="0.35">
      <c r="E12213" s="35"/>
      <c r="J12213" s="41"/>
    </row>
    <row r="12214" spans="5:10" s="34" customFormat="1" x14ac:dyDescent="0.35">
      <c r="E12214" s="35"/>
      <c r="J12214" s="41"/>
    </row>
    <row r="12215" spans="5:10" s="34" customFormat="1" x14ac:dyDescent="0.35">
      <c r="E12215" s="35"/>
      <c r="J12215" s="41"/>
    </row>
    <row r="12216" spans="5:10" s="34" customFormat="1" x14ac:dyDescent="0.35">
      <c r="E12216" s="35"/>
      <c r="J12216" s="41"/>
    </row>
    <row r="12217" spans="5:10" s="34" customFormat="1" x14ac:dyDescent="0.35">
      <c r="E12217" s="35"/>
      <c r="J12217" s="41"/>
    </row>
    <row r="12218" spans="5:10" s="34" customFormat="1" x14ac:dyDescent="0.35">
      <c r="E12218" s="35"/>
      <c r="J12218" s="41"/>
    </row>
    <row r="12219" spans="5:10" s="34" customFormat="1" x14ac:dyDescent="0.35">
      <c r="E12219" s="35"/>
      <c r="J12219" s="41"/>
    </row>
    <row r="12220" spans="5:10" s="34" customFormat="1" x14ac:dyDescent="0.35">
      <c r="E12220" s="35"/>
      <c r="J12220" s="41"/>
    </row>
    <row r="12221" spans="5:10" s="34" customFormat="1" x14ac:dyDescent="0.35">
      <c r="E12221" s="35"/>
      <c r="J12221" s="41"/>
    </row>
    <row r="12222" spans="5:10" s="34" customFormat="1" x14ac:dyDescent="0.35">
      <c r="E12222" s="35"/>
      <c r="J12222" s="41"/>
    </row>
    <row r="12223" spans="5:10" s="34" customFormat="1" x14ac:dyDescent="0.35">
      <c r="E12223" s="35"/>
      <c r="J12223" s="41"/>
    </row>
    <row r="12224" spans="5:10" s="34" customFormat="1" x14ac:dyDescent="0.35">
      <c r="E12224" s="35"/>
      <c r="J12224" s="41"/>
    </row>
    <row r="12225" spans="5:10" s="34" customFormat="1" x14ac:dyDescent="0.35">
      <c r="E12225" s="35"/>
      <c r="J12225" s="41"/>
    </row>
    <row r="12226" spans="5:10" s="34" customFormat="1" x14ac:dyDescent="0.35">
      <c r="E12226" s="35"/>
      <c r="J12226" s="41"/>
    </row>
    <row r="12227" spans="5:10" s="34" customFormat="1" x14ac:dyDescent="0.35">
      <c r="E12227" s="35"/>
      <c r="J12227" s="41"/>
    </row>
    <row r="12228" spans="5:10" s="34" customFormat="1" x14ac:dyDescent="0.35">
      <c r="E12228" s="35"/>
      <c r="J12228" s="41"/>
    </row>
    <row r="12229" spans="5:10" s="34" customFormat="1" x14ac:dyDescent="0.35">
      <c r="E12229" s="35"/>
      <c r="J12229" s="41"/>
    </row>
    <row r="12230" spans="5:10" s="34" customFormat="1" x14ac:dyDescent="0.35">
      <c r="E12230" s="35"/>
      <c r="J12230" s="41"/>
    </row>
    <row r="12231" spans="5:10" s="34" customFormat="1" x14ac:dyDescent="0.35">
      <c r="E12231" s="35"/>
      <c r="J12231" s="41"/>
    </row>
    <row r="12232" spans="5:10" s="34" customFormat="1" x14ac:dyDescent="0.35">
      <c r="E12232" s="35"/>
      <c r="J12232" s="41"/>
    </row>
    <row r="12233" spans="5:10" s="34" customFormat="1" x14ac:dyDescent="0.35">
      <c r="E12233" s="35"/>
      <c r="J12233" s="41"/>
    </row>
    <row r="12234" spans="5:10" s="34" customFormat="1" x14ac:dyDescent="0.35">
      <c r="E12234" s="35"/>
      <c r="J12234" s="41"/>
    </row>
    <row r="12235" spans="5:10" s="34" customFormat="1" x14ac:dyDescent="0.35">
      <c r="E12235" s="35"/>
      <c r="J12235" s="41"/>
    </row>
    <row r="12236" spans="5:10" s="34" customFormat="1" x14ac:dyDescent="0.35">
      <c r="E12236" s="35"/>
      <c r="J12236" s="41"/>
    </row>
    <row r="12237" spans="5:10" s="34" customFormat="1" x14ac:dyDescent="0.35">
      <c r="E12237" s="35"/>
      <c r="J12237" s="41"/>
    </row>
    <row r="12238" spans="5:10" s="34" customFormat="1" x14ac:dyDescent="0.35">
      <c r="E12238" s="35"/>
      <c r="J12238" s="41"/>
    </row>
    <row r="12239" spans="5:10" s="34" customFormat="1" x14ac:dyDescent="0.35">
      <c r="E12239" s="35"/>
      <c r="J12239" s="41"/>
    </row>
    <row r="12240" spans="5:10" s="34" customFormat="1" x14ac:dyDescent="0.35">
      <c r="E12240" s="35"/>
      <c r="J12240" s="41"/>
    </row>
    <row r="12241" spans="5:10" s="34" customFormat="1" x14ac:dyDescent="0.35">
      <c r="E12241" s="35"/>
      <c r="J12241" s="41"/>
    </row>
    <row r="12242" spans="5:10" s="34" customFormat="1" x14ac:dyDescent="0.35">
      <c r="E12242" s="35"/>
      <c r="J12242" s="41"/>
    </row>
    <row r="12243" spans="5:10" s="34" customFormat="1" x14ac:dyDescent="0.35">
      <c r="E12243" s="35"/>
      <c r="J12243" s="41"/>
    </row>
    <row r="12244" spans="5:10" s="34" customFormat="1" x14ac:dyDescent="0.35">
      <c r="E12244" s="35"/>
      <c r="J12244" s="41"/>
    </row>
    <row r="12245" spans="5:10" s="34" customFormat="1" x14ac:dyDescent="0.35">
      <c r="E12245" s="35"/>
      <c r="J12245" s="41"/>
    </row>
    <row r="12246" spans="5:10" s="34" customFormat="1" x14ac:dyDescent="0.35">
      <c r="E12246" s="35"/>
      <c r="J12246" s="41"/>
    </row>
    <row r="12247" spans="5:10" s="34" customFormat="1" x14ac:dyDescent="0.35">
      <c r="E12247" s="35"/>
      <c r="J12247" s="41"/>
    </row>
    <row r="12248" spans="5:10" s="34" customFormat="1" x14ac:dyDescent="0.35">
      <c r="E12248" s="35"/>
      <c r="J12248" s="41"/>
    </row>
    <row r="12249" spans="5:10" s="34" customFormat="1" x14ac:dyDescent="0.35">
      <c r="E12249" s="35"/>
      <c r="J12249" s="41"/>
    </row>
    <row r="12250" spans="5:10" s="34" customFormat="1" x14ac:dyDescent="0.35">
      <c r="E12250" s="35"/>
      <c r="J12250" s="41"/>
    </row>
    <row r="12251" spans="5:10" s="34" customFormat="1" x14ac:dyDescent="0.35">
      <c r="E12251" s="35"/>
      <c r="J12251" s="41"/>
    </row>
    <row r="12252" spans="5:10" s="34" customFormat="1" x14ac:dyDescent="0.35">
      <c r="E12252" s="35"/>
      <c r="J12252" s="41"/>
    </row>
    <row r="12253" spans="5:10" s="34" customFormat="1" x14ac:dyDescent="0.35">
      <c r="E12253" s="35"/>
      <c r="J12253" s="41"/>
    </row>
    <row r="12254" spans="5:10" s="34" customFormat="1" x14ac:dyDescent="0.35">
      <c r="E12254" s="35"/>
      <c r="J12254" s="41"/>
    </row>
    <row r="12255" spans="5:10" s="34" customFormat="1" x14ac:dyDescent="0.35">
      <c r="E12255" s="35"/>
      <c r="J12255" s="41"/>
    </row>
    <row r="12256" spans="5:10" s="34" customFormat="1" x14ac:dyDescent="0.35">
      <c r="E12256" s="35"/>
      <c r="J12256" s="41"/>
    </row>
    <row r="12257" spans="5:10" s="34" customFormat="1" x14ac:dyDescent="0.35">
      <c r="E12257" s="35"/>
      <c r="J12257" s="41"/>
    </row>
    <row r="12258" spans="5:10" s="34" customFormat="1" x14ac:dyDescent="0.35">
      <c r="E12258" s="35"/>
      <c r="J12258" s="41"/>
    </row>
    <row r="12259" spans="5:10" s="34" customFormat="1" x14ac:dyDescent="0.35">
      <c r="E12259" s="35"/>
      <c r="J12259" s="41"/>
    </row>
    <row r="12260" spans="5:10" s="34" customFormat="1" x14ac:dyDescent="0.35">
      <c r="E12260" s="35"/>
      <c r="J12260" s="41"/>
    </row>
    <row r="12261" spans="5:10" s="34" customFormat="1" x14ac:dyDescent="0.35">
      <c r="E12261" s="35"/>
      <c r="J12261" s="41"/>
    </row>
    <row r="12262" spans="5:10" s="34" customFormat="1" x14ac:dyDescent="0.35">
      <c r="E12262" s="35"/>
      <c r="J12262" s="41"/>
    </row>
    <row r="12263" spans="5:10" s="34" customFormat="1" x14ac:dyDescent="0.35">
      <c r="E12263" s="35"/>
      <c r="J12263" s="41"/>
    </row>
    <row r="12264" spans="5:10" s="34" customFormat="1" x14ac:dyDescent="0.35">
      <c r="E12264" s="35"/>
      <c r="J12264" s="41"/>
    </row>
    <row r="12265" spans="5:10" s="34" customFormat="1" x14ac:dyDescent="0.35">
      <c r="E12265" s="35"/>
      <c r="J12265" s="41"/>
    </row>
    <row r="12266" spans="5:10" s="34" customFormat="1" x14ac:dyDescent="0.35">
      <c r="E12266" s="35"/>
      <c r="J12266" s="41"/>
    </row>
    <row r="12267" spans="5:10" s="34" customFormat="1" x14ac:dyDescent="0.35">
      <c r="E12267" s="35"/>
      <c r="J12267" s="41"/>
    </row>
    <row r="12268" spans="5:10" s="34" customFormat="1" x14ac:dyDescent="0.35">
      <c r="E12268" s="35"/>
      <c r="J12268" s="41"/>
    </row>
    <row r="12269" spans="5:10" s="34" customFormat="1" x14ac:dyDescent="0.35">
      <c r="E12269" s="35"/>
      <c r="J12269" s="41"/>
    </row>
    <row r="12270" spans="5:10" s="34" customFormat="1" x14ac:dyDescent="0.35">
      <c r="E12270" s="35"/>
      <c r="J12270" s="41"/>
    </row>
    <row r="12271" spans="5:10" s="34" customFormat="1" x14ac:dyDescent="0.35">
      <c r="E12271" s="35"/>
      <c r="J12271" s="41"/>
    </row>
    <row r="12272" spans="5:10" s="34" customFormat="1" x14ac:dyDescent="0.35">
      <c r="E12272" s="35"/>
      <c r="J12272" s="41"/>
    </row>
    <row r="12273" spans="5:10" s="34" customFormat="1" x14ac:dyDescent="0.35">
      <c r="E12273" s="35"/>
      <c r="J12273" s="41"/>
    </row>
    <row r="12274" spans="5:10" s="34" customFormat="1" x14ac:dyDescent="0.35">
      <c r="E12274" s="35"/>
      <c r="J12274" s="41"/>
    </row>
    <row r="12275" spans="5:10" s="34" customFormat="1" x14ac:dyDescent="0.35">
      <c r="E12275" s="35"/>
      <c r="J12275" s="41"/>
    </row>
    <row r="12276" spans="5:10" s="34" customFormat="1" x14ac:dyDescent="0.35">
      <c r="E12276" s="35"/>
      <c r="J12276" s="41"/>
    </row>
    <row r="12277" spans="5:10" s="34" customFormat="1" x14ac:dyDescent="0.35">
      <c r="E12277" s="35"/>
      <c r="J12277" s="41"/>
    </row>
    <row r="12278" spans="5:10" s="34" customFormat="1" x14ac:dyDescent="0.35">
      <c r="E12278" s="35"/>
      <c r="J12278" s="41"/>
    </row>
    <row r="12279" spans="5:10" s="34" customFormat="1" x14ac:dyDescent="0.35">
      <c r="E12279" s="35"/>
      <c r="J12279" s="41"/>
    </row>
    <row r="12280" spans="5:10" s="34" customFormat="1" x14ac:dyDescent="0.35">
      <c r="E12280" s="35"/>
      <c r="J12280" s="41"/>
    </row>
    <row r="12281" spans="5:10" s="34" customFormat="1" x14ac:dyDescent="0.35">
      <c r="E12281" s="35"/>
      <c r="J12281" s="41"/>
    </row>
    <row r="12282" spans="5:10" s="34" customFormat="1" x14ac:dyDescent="0.35">
      <c r="E12282" s="35"/>
      <c r="J12282" s="41"/>
    </row>
    <row r="12283" spans="5:10" s="34" customFormat="1" x14ac:dyDescent="0.35">
      <c r="E12283" s="35"/>
      <c r="J12283" s="41"/>
    </row>
    <row r="12284" spans="5:10" s="34" customFormat="1" x14ac:dyDescent="0.35">
      <c r="E12284" s="35"/>
      <c r="J12284" s="41"/>
    </row>
    <row r="12285" spans="5:10" s="34" customFormat="1" x14ac:dyDescent="0.35">
      <c r="E12285" s="35"/>
      <c r="J12285" s="41"/>
    </row>
    <row r="12286" spans="5:10" s="34" customFormat="1" x14ac:dyDescent="0.35">
      <c r="E12286" s="35"/>
      <c r="J12286" s="41"/>
    </row>
    <row r="12287" spans="5:10" s="34" customFormat="1" x14ac:dyDescent="0.35">
      <c r="E12287" s="35"/>
      <c r="J12287" s="41"/>
    </row>
    <row r="12288" spans="5:10" s="34" customFormat="1" x14ac:dyDescent="0.35">
      <c r="E12288" s="35"/>
      <c r="J12288" s="41"/>
    </row>
    <row r="12289" spans="5:10" s="34" customFormat="1" x14ac:dyDescent="0.35">
      <c r="E12289" s="35"/>
      <c r="J12289" s="41"/>
    </row>
    <row r="12290" spans="5:10" s="34" customFormat="1" x14ac:dyDescent="0.35">
      <c r="E12290" s="35"/>
      <c r="J12290" s="41"/>
    </row>
    <row r="12291" spans="5:10" s="34" customFormat="1" x14ac:dyDescent="0.35">
      <c r="E12291" s="35"/>
      <c r="J12291" s="41"/>
    </row>
    <row r="12292" spans="5:10" s="34" customFormat="1" x14ac:dyDescent="0.35">
      <c r="E12292" s="35"/>
      <c r="J12292" s="41"/>
    </row>
    <row r="12293" spans="5:10" s="34" customFormat="1" x14ac:dyDescent="0.35">
      <c r="E12293" s="35"/>
      <c r="J12293" s="41"/>
    </row>
    <row r="12294" spans="5:10" s="34" customFormat="1" x14ac:dyDescent="0.35">
      <c r="E12294" s="35"/>
      <c r="J12294" s="41"/>
    </row>
    <row r="12295" spans="5:10" s="34" customFormat="1" x14ac:dyDescent="0.35">
      <c r="E12295" s="35"/>
      <c r="J12295" s="41"/>
    </row>
    <row r="12296" spans="5:10" s="34" customFormat="1" x14ac:dyDescent="0.35">
      <c r="E12296" s="35"/>
      <c r="J12296" s="41"/>
    </row>
    <row r="12297" spans="5:10" s="34" customFormat="1" x14ac:dyDescent="0.35">
      <c r="E12297" s="35"/>
      <c r="J12297" s="41"/>
    </row>
    <row r="12298" spans="5:10" s="34" customFormat="1" x14ac:dyDescent="0.35">
      <c r="E12298" s="35"/>
      <c r="J12298" s="41"/>
    </row>
    <row r="12299" spans="5:10" s="34" customFormat="1" x14ac:dyDescent="0.35">
      <c r="E12299" s="35"/>
      <c r="J12299" s="41"/>
    </row>
    <row r="12300" spans="5:10" s="34" customFormat="1" x14ac:dyDescent="0.35">
      <c r="E12300" s="35"/>
      <c r="J12300" s="41"/>
    </row>
    <row r="12301" spans="5:10" s="34" customFormat="1" x14ac:dyDescent="0.35">
      <c r="E12301" s="35"/>
      <c r="J12301" s="41"/>
    </row>
    <row r="12302" spans="5:10" s="34" customFormat="1" x14ac:dyDescent="0.35">
      <c r="E12302" s="35"/>
      <c r="J12302" s="41"/>
    </row>
    <row r="12303" spans="5:10" s="34" customFormat="1" x14ac:dyDescent="0.35">
      <c r="E12303" s="35"/>
      <c r="J12303" s="41"/>
    </row>
    <row r="12304" spans="5:10" s="34" customFormat="1" x14ac:dyDescent="0.35">
      <c r="E12304" s="35"/>
      <c r="J12304" s="41"/>
    </row>
    <row r="12305" spans="5:10" s="34" customFormat="1" x14ac:dyDescent="0.35">
      <c r="E12305" s="35"/>
      <c r="J12305" s="41"/>
    </row>
    <row r="12306" spans="5:10" s="34" customFormat="1" x14ac:dyDescent="0.35">
      <c r="E12306" s="35"/>
      <c r="J12306" s="41"/>
    </row>
    <row r="12307" spans="5:10" s="34" customFormat="1" x14ac:dyDescent="0.35">
      <c r="E12307" s="35"/>
      <c r="J12307" s="41"/>
    </row>
    <row r="12308" spans="5:10" s="34" customFormat="1" x14ac:dyDescent="0.35">
      <c r="E12308" s="35"/>
      <c r="J12308" s="41"/>
    </row>
    <row r="12309" spans="5:10" s="34" customFormat="1" x14ac:dyDescent="0.35">
      <c r="E12309" s="35"/>
      <c r="J12309" s="41"/>
    </row>
    <row r="12310" spans="5:10" s="34" customFormat="1" x14ac:dyDescent="0.35">
      <c r="E12310" s="35"/>
      <c r="J12310" s="41"/>
    </row>
    <row r="12311" spans="5:10" s="34" customFormat="1" x14ac:dyDescent="0.35">
      <c r="E12311" s="35"/>
      <c r="J12311" s="41"/>
    </row>
    <row r="12312" spans="5:10" s="34" customFormat="1" x14ac:dyDescent="0.35">
      <c r="E12312" s="35"/>
      <c r="J12312" s="41"/>
    </row>
    <row r="12313" spans="5:10" s="34" customFormat="1" x14ac:dyDescent="0.35">
      <c r="E12313" s="35"/>
      <c r="J12313" s="41"/>
    </row>
    <row r="12314" spans="5:10" s="34" customFormat="1" x14ac:dyDescent="0.35">
      <c r="E12314" s="35"/>
      <c r="J12314" s="41"/>
    </row>
    <row r="12315" spans="5:10" s="34" customFormat="1" x14ac:dyDescent="0.35">
      <c r="E12315" s="35"/>
      <c r="J12315" s="41"/>
    </row>
    <row r="12316" spans="5:10" s="34" customFormat="1" x14ac:dyDescent="0.35">
      <c r="E12316" s="35"/>
      <c r="J12316" s="41"/>
    </row>
    <row r="12317" spans="5:10" s="34" customFormat="1" x14ac:dyDescent="0.35">
      <c r="E12317" s="35"/>
      <c r="J12317" s="41"/>
    </row>
    <row r="12318" spans="5:10" s="34" customFormat="1" x14ac:dyDescent="0.35">
      <c r="E12318" s="35"/>
      <c r="J12318" s="41"/>
    </row>
    <row r="12319" spans="5:10" s="34" customFormat="1" x14ac:dyDescent="0.35">
      <c r="E12319" s="35"/>
      <c r="J12319" s="41"/>
    </row>
    <row r="12320" spans="5:10" s="34" customFormat="1" x14ac:dyDescent="0.35">
      <c r="E12320" s="35"/>
      <c r="J12320" s="41"/>
    </row>
    <row r="12321" spans="5:10" s="34" customFormat="1" x14ac:dyDescent="0.35">
      <c r="E12321" s="35"/>
      <c r="J12321" s="41"/>
    </row>
    <row r="12322" spans="5:10" s="34" customFormat="1" x14ac:dyDescent="0.35">
      <c r="E12322" s="35"/>
      <c r="J12322" s="41"/>
    </row>
    <row r="12323" spans="5:10" s="34" customFormat="1" x14ac:dyDescent="0.35">
      <c r="E12323" s="35"/>
      <c r="J12323" s="41"/>
    </row>
    <row r="12324" spans="5:10" s="34" customFormat="1" x14ac:dyDescent="0.35">
      <c r="E12324" s="35"/>
      <c r="J12324" s="41"/>
    </row>
    <row r="12325" spans="5:10" s="34" customFormat="1" x14ac:dyDescent="0.35">
      <c r="E12325" s="35"/>
      <c r="J12325" s="41"/>
    </row>
    <row r="12326" spans="5:10" s="34" customFormat="1" x14ac:dyDescent="0.35">
      <c r="E12326" s="35"/>
      <c r="J12326" s="41"/>
    </row>
    <row r="12327" spans="5:10" s="34" customFormat="1" x14ac:dyDescent="0.35">
      <c r="E12327" s="35"/>
      <c r="J12327" s="41"/>
    </row>
    <row r="12328" spans="5:10" s="34" customFormat="1" x14ac:dyDescent="0.35">
      <c r="E12328" s="35"/>
      <c r="J12328" s="41"/>
    </row>
    <row r="12329" spans="5:10" s="34" customFormat="1" x14ac:dyDescent="0.35">
      <c r="E12329" s="35"/>
      <c r="J12329" s="41"/>
    </row>
    <row r="12330" spans="5:10" s="34" customFormat="1" x14ac:dyDescent="0.35">
      <c r="E12330" s="35"/>
      <c r="J12330" s="41"/>
    </row>
    <row r="12331" spans="5:10" s="34" customFormat="1" x14ac:dyDescent="0.35">
      <c r="E12331" s="35"/>
      <c r="J12331" s="41"/>
    </row>
    <row r="12332" spans="5:10" s="34" customFormat="1" x14ac:dyDescent="0.35">
      <c r="E12332" s="35"/>
      <c r="J12332" s="41"/>
    </row>
    <row r="12333" spans="5:10" s="34" customFormat="1" x14ac:dyDescent="0.35">
      <c r="E12333" s="35"/>
      <c r="J12333" s="41"/>
    </row>
    <row r="12334" spans="5:10" s="34" customFormat="1" x14ac:dyDescent="0.35">
      <c r="E12334" s="35"/>
      <c r="J12334" s="41"/>
    </row>
    <row r="12335" spans="5:10" s="34" customFormat="1" x14ac:dyDescent="0.35">
      <c r="E12335" s="35"/>
      <c r="J12335" s="41"/>
    </row>
    <row r="12336" spans="5:10" s="34" customFormat="1" x14ac:dyDescent="0.35">
      <c r="E12336" s="35"/>
      <c r="J12336" s="41"/>
    </row>
    <row r="12337" spans="5:10" s="34" customFormat="1" x14ac:dyDescent="0.35">
      <c r="E12337" s="35"/>
      <c r="J12337" s="41"/>
    </row>
    <row r="12338" spans="5:10" s="34" customFormat="1" x14ac:dyDescent="0.35">
      <c r="E12338" s="35"/>
      <c r="J12338" s="41"/>
    </row>
    <row r="12339" spans="5:10" s="34" customFormat="1" x14ac:dyDescent="0.35">
      <c r="E12339" s="35"/>
      <c r="J12339" s="41"/>
    </row>
    <row r="12340" spans="5:10" s="34" customFormat="1" x14ac:dyDescent="0.35">
      <c r="E12340" s="35"/>
      <c r="J12340" s="41"/>
    </row>
    <row r="12341" spans="5:10" s="34" customFormat="1" x14ac:dyDescent="0.35">
      <c r="E12341" s="35"/>
      <c r="J12341" s="41"/>
    </row>
    <row r="12342" spans="5:10" s="34" customFormat="1" x14ac:dyDescent="0.35">
      <c r="E12342" s="35"/>
      <c r="J12342" s="41"/>
    </row>
    <row r="12343" spans="5:10" s="34" customFormat="1" x14ac:dyDescent="0.35">
      <c r="E12343" s="35"/>
      <c r="J12343" s="41"/>
    </row>
    <row r="12344" spans="5:10" s="34" customFormat="1" x14ac:dyDescent="0.35">
      <c r="E12344" s="35"/>
      <c r="J12344" s="41"/>
    </row>
    <row r="12345" spans="5:10" s="34" customFormat="1" x14ac:dyDescent="0.35">
      <c r="E12345" s="35"/>
      <c r="J12345" s="41"/>
    </row>
    <row r="12346" spans="5:10" s="34" customFormat="1" x14ac:dyDescent="0.35">
      <c r="E12346" s="35"/>
      <c r="J12346" s="41"/>
    </row>
    <row r="12347" spans="5:10" s="34" customFormat="1" x14ac:dyDescent="0.35">
      <c r="E12347" s="35"/>
      <c r="J12347" s="41"/>
    </row>
    <row r="12348" spans="5:10" s="34" customFormat="1" x14ac:dyDescent="0.35">
      <c r="E12348" s="35"/>
      <c r="J12348" s="41"/>
    </row>
    <row r="12349" spans="5:10" s="34" customFormat="1" x14ac:dyDescent="0.35">
      <c r="E12349" s="35"/>
      <c r="J12349" s="41"/>
    </row>
    <row r="12350" spans="5:10" s="34" customFormat="1" x14ac:dyDescent="0.35">
      <c r="E12350" s="35"/>
      <c r="J12350" s="41"/>
    </row>
    <row r="12351" spans="5:10" s="34" customFormat="1" x14ac:dyDescent="0.35">
      <c r="E12351" s="35"/>
      <c r="J12351" s="41"/>
    </row>
    <row r="12352" spans="5:10" s="34" customFormat="1" x14ac:dyDescent="0.35">
      <c r="E12352" s="35"/>
      <c r="J12352" s="41"/>
    </row>
    <row r="12353" spans="5:10" s="34" customFormat="1" x14ac:dyDescent="0.35">
      <c r="E12353" s="35"/>
      <c r="J12353" s="41"/>
    </row>
    <row r="12354" spans="5:10" s="34" customFormat="1" x14ac:dyDescent="0.35">
      <c r="E12354" s="35"/>
      <c r="J12354" s="41"/>
    </row>
    <row r="12355" spans="5:10" s="34" customFormat="1" x14ac:dyDescent="0.35">
      <c r="E12355" s="35"/>
      <c r="J12355" s="41"/>
    </row>
    <row r="12356" spans="5:10" s="34" customFormat="1" x14ac:dyDescent="0.35">
      <c r="E12356" s="35"/>
      <c r="J12356" s="41"/>
    </row>
    <row r="12357" spans="5:10" s="34" customFormat="1" x14ac:dyDescent="0.35">
      <c r="E12357" s="35"/>
      <c r="J12357" s="41"/>
    </row>
    <row r="12358" spans="5:10" s="34" customFormat="1" x14ac:dyDescent="0.35">
      <c r="E12358" s="35"/>
      <c r="J12358" s="41"/>
    </row>
    <row r="12359" spans="5:10" s="34" customFormat="1" x14ac:dyDescent="0.35">
      <c r="E12359" s="35"/>
      <c r="J12359" s="41"/>
    </row>
    <row r="12360" spans="5:10" s="34" customFormat="1" x14ac:dyDescent="0.35">
      <c r="E12360" s="35"/>
      <c r="J12360" s="41"/>
    </row>
    <row r="12361" spans="5:10" s="34" customFormat="1" x14ac:dyDescent="0.35">
      <c r="E12361" s="35"/>
      <c r="J12361" s="41"/>
    </row>
    <row r="12362" spans="5:10" s="34" customFormat="1" x14ac:dyDescent="0.35">
      <c r="E12362" s="35"/>
      <c r="J12362" s="41"/>
    </row>
    <row r="12363" spans="5:10" s="34" customFormat="1" x14ac:dyDescent="0.35">
      <c r="E12363" s="35"/>
      <c r="J12363" s="41"/>
    </row>
    <row r="12364" spans="5:10" s="34" customFormat="1" x14ac:dyDescent="0.35">
      <c r="E12364" s="35"/>
      <c r="J12364" s="41"/>
    </row>
    <row r="12365" spans="5:10" s="34" customFormat="1" x14ac:dyDescent="0.35">
      <c r="E12365" s="35"/>
      <c r="J12365" s="41"/>
    </row>
    <row r="12366" spans="5:10" s="34" customFormat="1" x14ac:dyDescent="0.35">
      <c r="E12366" s="35"/>
      <c r="J12366" s="41"/>
    </row>
    <row r="12367" spans="5:10" s="34" customFormat="1" x14ac:dyDescent="0.35">
      <c r="E12367" s="35"/>
      <c r="J12367" s="41"/>
    </row>
    <row r="12368" spans="5:10" s="34" customFormat="1" x14ac:dyDescent="0.35">
      <c r="E12368" s="35"/>
      <c r="J12368" s="41"/>
    </row>
    <row r="12369" spans="5:10" s="34" customFormat="1" x14ac:dyDescent="0.35">
      <c r="E12369" s="35"/>
      <c r="J12369" s="41"/>
    </row>
    <row r="12370" spans="5:10" s="34" customFormat="1" x14ac:dyDescent="0.35">
      <c r="E12370" s="35"/>
      <c r="J12370" s="41"/>
    </row>
    <row r="12371" spans="5:10" s="34" customFormat="1" x14ac:dyDescent="0.35">
      <c r="E12371" s="35"/>
      <c r="J12371" s="41"/>
    </row>
    <row r="12372" spans="5:10" s="34" customFormat="1" x14ac:dyDescent="0.35">
      <c r="E12372" s="35"/>
      <c r="J12372" s="41"/>
    </row>
    <row r="12373" spans="5:10" s="34" customFormat="1" x14ac:dyDescent="0.35">
      <c r="E12373" s="35"/>
      <c r="J12373" s="41"/>
    </row>
    <row r="12374" spans="5:10" s="34" customFormat="1" x14ac:dyDescent="0.35">
      <c r="E12374" s="35"/>
      <c r="J12374" s="41"/>
    </row>
    <row r="12375" spans="5:10" s="34" customFormat="1" x14ac:dyDescent="0.35">
      <c r="E12375" s="35"/>
      <c r="J12375" s="41"/>
    </row>
    <row r="12376" spans="5:10" s="34" customFormat="1" x14ac:dyDescent="0.35">
      <c r="E12376" s="35"/>
      <c r="J12376" s="41"/>
    </row>
    <row r="12377" spans="5:10" s="34" customFormat="1" x14ac:dyDescent="0.35">
      <c r="E12377" s="35"/>
      <c r="J12377" s="41"/>
    </row>
    <row r="12378" spans="5:10" s="34" customFormat="1" x14ac:dyDescent="0.35">
      <c r="E12378" s="35"/>
      <c r="J12378" s="41"/>
    </row>
    <row r="12379" spans="5:10" s="34" customFormat="1" x14ac:dyDescent="0.35">
      <c r="E12379" s="35"/>
      <c r="J12379" s="41"/>
    </row>
    <row r="12380" spans="5:10" s="34" customFormat="1" x14ac:dyDescent="0.35">
      <c r="E12380" s="35"/>
      <c r="J12380" s="41"/>
    </row>
    <row r="12381" spans="5:10" s="34" customFormat="1" x14ac:dyDescent="0.35">
      <c r="E12381" s="35"/>
      <c r="J12381" s="41"/>
    </row>
    <row r="12382" spans="5:10" s="34" customFormat="1" x14ac:dyDescent="0.35">
      <c r="E12382" s="35"/>
      <c r="J12382" s="41"/>
    </row>
    <row r="12383" spans="5:10" s="34" customFormat="1" x14ac:dyDescent="0.35">
      <c r="E12383" s="35"/>
      <c r="J12383" s="41"/>
    </row>
    <row r="12384" spans="5:10" s="34" customFormat="1" x14ac:dyDescent="0.35">
      <c r="E12384" s="35"/>
      <c r="J12384" s="41"/>
    </row>
    <row r="12385" spans="5:10" s="34" customFormat="1" x14ac:dyDescent="0.35">
      <c r="E12385" s="35"/>
      <c r="J12385" s="41"/>
    </row>
    <row r="12386" spans="5:10" s="34" customFormat="1" x14ac:dyDescent="0.35">
      <c r="E12386" s="35"/>
      <c r="J12386" s="41"/>
    </row>
    <row r="12387" spans="5:10" s="34" customFormat="1" x14ac:dyDescent="0.35">
      <c r="E12387" s="35"/>
      <c r="J12387" s="41"/>
    </row>
    <row r="12388" spans="5:10" s="34" customFormat="1" x14ac:dyDescent="0.35">
      <c r="E12388" s="35"/>
      <c r="J12388" s="41"/>
    </row>
    <row r="12389" spans="5:10" s="34" customFormat="1" x14ac:dyDescent="0.35">
      <c r="E12389" s="35"/>
      <c r="J12389" s="41"/>
    </row>
    <row r="12390" spans="5:10" s="34" customFormat="1" x14ac:dyDescent="0.35">
      <c r="E12390" s="35"/>
      <c r="J12390" s="41"/>
    </row>
    <row r="12391" spans="5:10" s="34" customFormat="1" x14ac:dyDescent="0.35">
      <c r="E12391" s="35"/>
      <c r="J12391" s="41"/>
    </row>
    <row r="12392" spans="5:10" s="34" customFormat="1" x14ac:dyDescent="0.35">
      <c r="E12392" s="35"/>
      <c r="J12392" s="41"/>
    </row>
    <row r="12393" spans="5:10" s="34" customFormat="1" x14ac:dyDescent="0.35">
      <c r="E12393" s="35"/>
      <c r="J12393" s="41"/>
    </row>
    <row r="12394" spans="5:10" s="34" customFormat="1" x14ac:dyDescent="0.35">
      <c r="E12394" s="35"/>
      <c r="J12394" s="41"/>
    </row>
    <row r="12395" spans="5:10" s="34" customFormat="1" x14ac:dyDescent="0.35">
      <c r="E12395" s="35"/>
      <c r="J12395" s="41"/>
    </row>
    <row r="12396" spans="5:10" s="34" customFormat="1" x14ac:dyDescent="0.35">
      <c r="E12396" s="35"/>
      <c r="J12396" s="41"/>
    </row>
    <row r="12397" spans="5:10" s="34" customFormat="1" x14ac:dyDescent="0.35">
      <c r="E12397" s="35"/>
      <c r="J12397" s="41"/>
    </row>
    <row r="12398" spans="5:10" s="34" customFormat="1" x14ac:dyDescent="0.35">
      <c r="E12398" s="35"/>
      <c r="J12398" s="41"/>
    </row>
    <row r="12399" spans="5:10" s="34" customFormat="1" x14ac:dyDescent="0.35">
      <c r="E12399" s="35"/>
      <c r="J12399" s="41"/>
    </row>
    <row r="12400" spans="5:10" s="34" customFormat="1" x14ac:dyDescent="0.35">
      <c r="E12400" s="35"/>
      <c r="J12400" s="41"/>
    </row>
    <row r="12401" spans="5:10" s="34" customFormat="1" x14ac:dyDescent="0.35">
      <c r="E12401" s="35"/>
      <c r="J12401" s="41"/>
    </row>
    <row r="12402" spans="5:10" s="34" customFormat="1" x14ac:dyDescent="0.35">
      <c r="E12402" s="35"/>
      <c r="J12402" s="41"/>
    </row>
    <row r="12403" spans="5:10" s="34" customFormat="1" x14ac:dyDescent="0.35">
      <c r="E12403" s="35"/>
      <c r="J12403" s="41"/>
    </row>
    <row r="12404" spans="5:10" s="34" customFormat="1" x14ac:dyDescent="0.35">
      <c r="E12404" s="35"/>
      <c r="J12404" s="41"/>
    </row>
    <row r="12405" spans="5:10" s="34" customFormat="1" x14ac:dyDescent="0.35">
      <c r="E12405" s="35"/>
      <c r="J12405" s="41"/>
    </row>
    <row r="12406" spans="5:10" s="34" customFormat="1" x14ac:dyDescent="0.35">
      <c r="E12406" s="35"/>
      <c r="J12406" s="41"/>
    </row>
    <row r="12407" spans="5:10" s="34" customFormat="1" x14ac:dyDescent="0.35">
      <c r="E12407" s="35"/>
      <c r="J12407" s="41"/>
    </row>
    <row r="12408" spans="5:10" s="34" customFormat="1" x14ac:dyDescent="0.35">
      <c r="E12408" s="35"/>
      <c r="J12408" s="41"/>
    </row>
    <row r="12409" spans="5:10" s="34" customFormat="1" x14ac:dyDescent="0.35">
      <c r="E12409" s="35"/>
      <c r="J12409" s="41"/>
    </row>
    <row r="12410" spans="5:10" s="34" customFormat="1" x14ac:dyDescent="0.35">
      <c r="E12410" s="35"/>
      <c r="J12410" s="41"/>
    </row>
    <row r="12411" spans="5:10" s="34" customFormat="1" x14ac:dyDescent="0.35">
      <c r="E12411" s="35"/>
      <c r="J12411" s="41"/>
    </row>
    <row r="12412" spans="5:10" s="34" customFormat="1" x14ac:dyDescent="0.35">
      <c r="E12412" s="35"/>
      <c r="J12412" s="41"/>
    </row>
    <row r="12413" spans="5:10" s="34" customFormat="1" x14ac:dyDescent="0.35">
      <c r="E12413" s="35"/>
      <c r="J12413" s="41"/>
    </row>
    <row r="12414" spans="5:10" s="34" customFormat="1" x14ac:dyDescent="0.35">
      <c r="E12414" s="35"/>
      <c r="J12414" s="41"/>
    </row>
    <row r="12415" spans="5:10" s="34" customFormat="1" x14ac:dyDescent="0.35">
      <c r="E12415" s="35"/>
      <c r="J12415" s="41"/>
    </row>
    <row r="12416" spans="5:10" s="34" customFormat="1" x14ac:dyDescent="0.35">
      <c r="E12416" s="35"/>
      <c r="J12416" s="41"/>
    </row>
    <row r="12417" spans="5:10" s="34" customFormat="1" x14ac:dyDescent="0.35">
      <c r="E12417" s="35"/>
      <c r="J12417" s="41"/>
    </row>
    <row r="12418" spans="5:10" s="34" customFormat="1" x14ac:dyDescent="0.35">
      <c r="E12418" s="35"/>
      <c r="J12418" s="41"/>
    </row>
    <row r="12419" spans="5:10" s="34" customFormat="1" x14ac:dyDescent="0.35">
      <c r="E12419" s="35"/>
      <c r="J12419" s="41"/>
    </row>
    <row r="12420" spans="5:10" s="34" customFormat="1" x14ac:dyDescent="0.35">
      <c r="E12420" s="35"/>
      <c r="J12420" s="41"/>
    </row>
    <row r="12421" spans="5:10" s="34" customFormat="1" x14ac:dyDescent="0.35">
      <c r="E12421" s="35"/>
      <c r="J12421" s="41"/>
    </row>
    <row r="12422" spans="5:10" s="34" customFormat="1" x14ac:dyDescent="0.35">
      <c r="E12422" s="35"/>
      <c r="J12422" s="41"/>
    </row>
    <row r="12423" spans="5:10" s="34" customFormat="1" x14ac:dyDescent="0.35">
      <c r="E12423" s="35"/>
      <c r="J12423" s="41"/>
    </row>
    <row r="12424" spans="5:10" s="34" customFormat="1" x14ac:dyDescent="0.35">
      <c r="E12424" s="35"/>
      <c r="J12424" s="41"/>
    </row>
    <row r="12425" spans="5:10" s="34" customFormat="1" x14ac:dyDescent="0.35">
      <c r="E12425" s="35"/>
      <c r="J12425" s="41"/>
    </row>
    <row r="12426" spans="5:10" s="34" customFormat="1" x14ac:dyDescent="0.35">
      <c r="E12426" s="35"/>
      <c r="J12426" s="41"/>
    </row>
    <row r="12427" spans="5:10" s="34" customFormat="1" x14ac:dyDescent="0.35">
      <c r="E12427" s="35"/>
      <c r="J12427" s="41"/>
    </row>
    <row r="12428" spans="5:10" s="34" customFormat="1" x14ac:dyDescent="0.35">
      <c r="E12428" s="35"/>
      <c r="J12428" s="41"/>
    </row>
    <row r="12429" spans="5:10" s="34" customFormat="1" x14ac:dyDescent="0.35">
      <c r="E12429" s="35"/>
      <c r="J12429" s="41"/>
    </row>
    <row r="12430" spans="5:10" s="34" customFormat="1" x14ac:dyDescent="0.35">
      <c r="E12430" s="35"/>
      <c r="J12430" s="41"/>
    </row>
    <row r="12431" spans="5:10" s="34" customFormat="1" x14ac:dyDescent="0.35">
      <c r="E12431" s="35"/>
      <c r="J12431" s="41"/>
    </row>
    <row r="12432" spans="5:10" s="34" customFormat="1" x14ac:dyDescent="0.35">
      <c r="E12432" s="35"/>
      <c r="J12432" s="41"/>
    </row>
    <row r="12433" spans="5:10" s="34" customFormat="1" x14ac:dyDescent="0.35">
      <c r="E12433" s="35"/>
      <c r="J12433" s="41"/>
    </row>
    <row r="12434" spans="5:10" s="34" customFormat="1" x14ac:dyDescent="0.35">
      <c r="E12434" s="35"/>
      <c r="J12434" s="41"/>
    </row>
    <row r="12435" spans="5:10" s="34" customFormat="1" x14ac:dyDescent="0.35">
      <c r="E12435" s="35"/>
      <c r="J12435" s="41"/>
    </row>
    <row r="12436" spans="5:10" s="34" customFormat="1" x14ac:dyDescent="0.35">
      <c r="E12436" s="35"/>
      <c r="J12436" s="41"/>
    </row>
    <row r="12437" spans="5:10" s="34" customFormat="1" x14ac:dyDescent="0.35">
      <c r="E12437" s="35"/>
      <c r="J12437" s="41"/>
    </row>
    <row r="12438" spans="5:10" s="34" customFormat="1" x14ac:dyDescent="0.35">
      <c r="E12438" s="35"/>
      <c r="J12438" s="41"/>
    </row>
    <row r="12439" spans="5:10" s="34" customFormat="1" x14ac:dyDescent="0.35">
      <c r="E12439" s="35"/>
      <c r="J12439" s="41"/>
    </row>
    <row r="12440" spans="5:10" s="34" customFormat="1" x14ac:dyDescent="0.35">
      <c r="E12440" s="35"/>
      <c r="J12440" s="41"/>
    </row>
    <row r="12441" spans="5:10" s="34" customFormat="1" x14ac:dyDescent="0.35">
      <c r="E12441" s="35"/>
      <c r="J12441" s="41"/>
    </row>
    <row r="12442" spans="5:10" s="34" customFormat="1" x14ac:dyDescent="0.35">
      <c r="E12442" s="35"/>
      <c r="J12442" s="41"/>
    </row>
    <row r="12443" spans="5:10" s="34" customFormat="1" x14ac:dyDescent="0.35">
      <c r="E12443" s="35"/>
      <c r="J12443" s="41"/>
    </row>
    <row r="12444" spans="5:10" s="34" customFormat="1" x14ac:dyDescent="0.35">
      <c r="E12444" s="35"/>
      <c r="J12444" s="41"/>
    </row>
    <row r="12445" spans="5:10" s="34" customFormat="1" x14ac:dyDescent="0.35">
      <c r="E12445" s="35"/>
      <c r="J12445" s="41"/>
    </row>
    <row r="12446" spans="5:10" s="34" customFormat="1" x14ac:dyDescent="0.35">
      <c r="E12446" s="35"/>
      <c r="J12446" s="41"/>
    </row>
    <row r="12447" spans="5:10" s="34" customFormat="1" x14ac:dyDescent="0.35">
      <c r="E12447" s="35"/>
      <c r="J12447" s="41"/>
    </row>
    <row r="12448" spans="5:10" s="34" customFormat="1" x14ac:dyDescent="0.35">
      <c r="E12448" s="35"/>
      <c r="J12448" s="41"/>
    </row>
    <row r="12449" spans="5:10" s="34" customFormat="1" x14ac:dyDescent="0.35">
      <c r="E12449" s="35"/>
      <c r="J12449" s="41"/>
    </row>
    <row r="12450" spans="5:10" s="34" customFormat="1" x14ac:dyDescent="0.35">
      <c r="E12450" s="35"/>
      <c r="J12450" s="41"/>
    </row>
    <row r="12451" spans="5:10" s="34" customFormat="1" x14ac:dyDescent="0.35">
      <c r="E12451" s="35"/>
      <c r="J12451" s="41"/>
    </row>
    <row r="12452" spans="5:10" s="34" customFormat="1" x14ac:dyDescent="0.35">
      <c r="E12452" s="35"/>
      <c r="J12452" s="41"/>
    </row>
    <row r="12453" spans="5:10" s="34" customFormat="1" x14ac:dyDescent="0.35">
      <c r="E12453" s="35"/>
      <c r="J12453" s="41"/>
    </row>
    <row r="12454" spans="5:10" s="34" customFormat="1" x14ac:dyDescent="0.35">
      <c r="E12454" s="35"/>
      <c r="J12454" s="41"/>
    </row>
    <row r="12455" spans="5:10" s="34" customFormat="1" x14ac:dyDescent="0.35">
      <c r="E12455" s="35"/>
      <c r="J12455" s="41"/>
    </row>
    <row r="12456" spans="5:10" s="34" customFormat="1" x14ac:dyDescent="0.35">
      <c r="E12456" s="35"/>
      <c r="J12456" s="41"/>
    </row>
    <row r="12457" spans="5:10" s="34" customFormat="1" x14ac:dyDescent="0.35">
      <c r="E12457" s="35"/>
      <c r="J12457" s="41"/>
    </row>
    <row r="12458" spans="5:10" s="34" customFormat="1" x14ac:dyDescent="0.35">
      <c r="E12458" s="35"/>
      <c r="J12458" s="41"/>
    </row>
    <row r="12459" spans="5:10" s="34" customFormat="1" x14ac:dyDescent="0.35">
      <c r="E12459" s="35"/>
      <c r="J12459" s="41"/>
    </row>
    <row r="12460" spans="5:10" s="34" customFormat="1" x14ac:dyDescent="0.35">
      <c r="E12460" s="35"/>
      <c r="J12460" s="41"/>
    </row>
    <row r="12461" spans="5:10" s="34" customFormat="1" x14ac:dyDescent="0.35">
      <c r="E12461" s="35"/>
      <c r="J12461" s="41"/>
    </row>
    <row r="12462" spans="5:10" s="34" customFormat="1" x14ac:dyDescent="0.35">
      <c r="E12462" s="35"/>
      <c r="J12462" s="41"/>
    </row>
    <row r="12463" spans="5:10" s="34" customFormat="1" x14ac:dyDescent="0.35">
      <c r="E12463" s="35"/>
      <c r="J12463" s="41"/>
    </row>
    <row r="12464" spans="5:10" s="34" customFormat="1" x14ac:dyDescent="0.35">
      <c r="E12464" s="35"/>
      <c r="J12464" s="41"/>
    </row>
    <row r="12465" spans="5:10" s="34" customFormat="1" x14ac:dyDescent="0.35">
      <c r="E12465" s="35"/>
      <c r="J12465" s="41"/>
    </row>
    <row r="12466" spans="5:10" s="34" customFormat="1" x14ac:dyDescent="0.35">
      <c r="E12466" s="35"/>
      <c r="J12466" s="41"/>
    </row>
    <row r="12467" spans="5:10" s="34" customFormat="1" x14ac:dyDescent="0.35">
      <c r="E12467" s="35"/>
      <c r="J12467" s="41"/>
    </row>
    <row r="12468" spans="5:10" s="34" customFormat="1" x14ac:dyDescent="0.35">
      <c r="E12468" s="35"/>
      <c r="J12468" s="41"/>
    </row>
    <row r="12469" spans="5:10" s="34" customFormat="1" x14ac:dyDescent="0.35">
      <c r="E12469" s="35"/>
      <c r="J12469" s="41"/>
    </row>
    <row r="12470" spans="5:10" s="34" customFormat="1" x14ac:dyDescent="0.35">
      <c r="E12470" s="35"/>
      <c r="J12470" s="41"/>
    </row>
    <row r="12471" spans="5:10" s="34" customFormat="1" x14ac:dyDescent="0.35">
      <c r="E12471" s="35"/>
      <c r="J12471" s="41"/>
    </row>
    <row r="12472" spans="5:10" s="34" customFormat="1" x14ac:dyDescent="0.35">
      <c r="E12472" s="35"/>
      <c r="J12472" s="41"/>
    </row>
    <row r="12473" spans="5:10" s="34" customFormat="1" x14ac:dyDescent="0.35">
      <c r="E12473" s="35"/>
      <c r="J12473" s="41"/>
    </row>
    <row r="12474" spans="5:10" s="34" customFormat="1" x14ac:dyDescent="0.35">
      <c r="E12474" s="35"/>
      <c r="J12474" s="41"/>
    </row>
    <row r="12475" spans="5:10" s="34" customFormat="1" x14ac:dyDescent="0.35">
      <c r="E12475" s="35"/>
      <c r="J12475" s="41"/>
    </row>
    <row r="12476" spans="5:10" s="34" customFormat="1" x14ac:dyDescent="0.35">
      <c r="E12476" s="35"/>
      <c r="J12476" s="41"/>
    </row>
    <row r="12477" spans="5:10" s="34" customFormat="1" x14ac:dyDescent="0.35">
      <c r="E12477" s="35"/>
      <c r="J12477" s="41"/>
    </row>
    <row r="12478" spans="5:10" s="34" customFormat="1" x14ac:dyDescent="0.35">
      <c r="E12478" s="35"/>
      <c r="J12478" s="41"/>
    </row>
    <row r="12479" spans="5:10" s="34" customFormat="1" x14ac:dyDescent="0.35">
      <c r="E12479" s="35"/>
      <c r="J12479" s="41"/>
    </row>
    <row r="12480" spans="5:10" s="34" customFormat="1" x14ac:dyDescent="0.35">
      <c r="E12480" s="35"/>
      <c r="J12480" s="41"/>
    </row>
    <row r="12481" spans="5:10" s="34" customFormat="1" x14ac:dyDescent="0.35">
      <c r="E12481" s="35"/>
      <c r="J12481" s="41"/>
    </row>
    <row r="12482" spans="5:10" s="34" customFormat="1" x14ac:dyDescent="0.35">
      <c r="E12482" s="35"/>
      <c r="J12482" s="41"/>
    </row>
    <row r="12483" spans="5:10" s="34" customFormat="1" x14ac:dyDescent="0.35">
      <c r="E12483" s="35"/>
      <c r="J12483" s="41"/>
    </row>
    <row r="12484" spans="5:10" s="34" customFormat="1" x14ac:dyDescent="0.35">
      <c r="E12484" s="35"/>
      <c r="J12484" s="41"/>
    </row>
    <row r="12485" spans="5:10" s="34" customFormat="1" x14ac:dyDescent="0.35">
      <c r="E12485" s="35"/>
      <c r="J12485" s="41"/>
    </row>
    <row r="12486" spans="5:10" s="34" customFormat="1" x14ac:dyDescent="0.35">
      <c r="E12486" s="35"/>
      <c r="J12486" s="41"/>
    </row>
    <row r="12487" spans="5:10" s="34" customFormat="1" x14ac:dyDescent="0.35">
      <c r="E12487" s="35"/>
      <c r="J12487" s="41"/>
    </row>
    <row r="12488" spans="5:10" s="34" customFormat="1" x14ac:dyDescent="0.35">
      <c r="E12488" s="35"/>
      <c r="J12488" s="41"/>
    </row>
    <row r="12489" spans="5:10" s="34" customFormat="1" x14ac:dyDescent="0.35">
      <c r="E12489" s="35"/>
      <c r="J12489" s="41"/>
    </row>
    <row r="12490" spans="5:10" s="34" customFormat="1" x14ac:dyDescent="0.35">
      <c r="E12490" s="35"/>
      <c r="J12490" s="41"/>
    </row>
    <row r="12491" spans="5:10" s="34" customFormat="1" x14ac:dyDescent="0.35">
      <c r="E12491" s="35"/>
      <c r="J12491" s="41"/>
    </row>
    <row r="12492" spans="5:10" s="34" customFormat="1" x14ac:dyDescent="0.35">
      <c r="E12492" s="35"/>
      <c r="J12492" s="41"/>
    </row>
    <row r="12493" spans="5:10" s="34" customFormat="1" x14ac:dyDescent="0.35">
      <c r="E12493" s="35"/>
      <c r="J12493" s="41"/>
    </row>
    <row r="12494" spans="5:10" s="34" customFormat="1" x14ac:dyDescent="0.35">
      <c r="E12494" s="35"/>
      <c r="J12494" s="41"/>
    </row>
    <row r="12495" spans="5:10" s="34" customFormat="1" x14ac:dyDescent="0.35">
      <c r="E12495" s="35"/>
      <c r="J12495" s="41"/>
    </row>
    <row r="12496" spans="5:10" s="34" customFormat="1" x14ac:dyDescent="0.35">
      <c r="E12496" s="35"/>
      <c r="J12496" s="41"/>
    </row>
    <row r="12497" spans="5:10" s="34" customFormat="1" x14ac:dyDescent="0.35">
      <c r="E12497" s="35"/>
      <c r="J12497" s="41"/>
    </row>
    <row r="12498" spans="5:10" s="34" customFormat="1" x14ac:dyDescent="0.35">
      <c r="E12498" s="35"/>
      <c r="J12498" s="41"/>
    </row>
    <row r="12499" spans="5:10" s="34" customFormat="1" x14ac:dyDescent="0.35">
      <c r="E12499" s="35"/>
      <c r="J12499" s="41"/>
    </row>
    <row r="12500" spans="5:10" s="34" customFormat="1" x14ac:dyDescent="0.35">
      <c r="E12500" s="35"/>
      <c r="J12500" s="41"/>
    </row>
    <row r="12501" spans="5:10" s="34" customFormat="1" x14ac:dyDescent="0.35">
      <c r="E12501" s="35"/>
      <c r="J12501" s="41"/>
    </row>
    <row r="12502" spans="5:10" s="34" customFormat="1" x14ac:dyDescent="0.35">
      <c r="E12502" s="35"/>
      <c r="J12502" s="41"/>
    </row>
    <row r="12503" spans="5:10" s="34" customFormat="1" x14ac:dyDescent="0.35">
      <c r="E12503" s="35"/>
      <c r="J12503" s="41"/>
    </row>
    <row r="12504" spans="5:10" s="34" customFormat="1" x14ac:dyDescent="0.35">
      <c r="E12504" s="35"/>
      <c r="J12504" s="41"/>
    </row>
    <row r="12505" spans="5:10" s="34" customFormat="1" x14ac:dyDescent="0.35">
      <c r="E12505" s="35"/>
      <c r="J12505" s="41"/>
    </row>
    <row r="12506" spans="5:10" s="34" customFormat="1" x14ac:dyDescent="0.35">
      <c r="E12506" s="35"/>
      <c r="J12506" s="41"/>
    </row>
    <row r="12507" spans="5:10" s="34" customFormat="1" x14ac:dyDescent="0.35">
      <c r="E12507" s="35"/>
      <c r="J12507" s="41"/>
    </row>
    <row r="12508" spans="5:10" s="34" customFormat="1" x14ac:dyDescent="0.35">
      <c r="E12508" s="35"/>
      <c r="J12508" s="41"/>
    </row>
    <row r="12509" spans="5:10" s="34" customFormat="1" x14ac:dyDescent="0.35">
      <c r="E12509" s="35"/>
      <c r="J12509" s="41"/>
    </row>
    <row r="12510" spans="5:10" s="34" customFormat="1" x14ac:dyDescent="0.35">
      <c r="E12510" s="35"/>
      <c r="J12510" s="41"/>
    </row>
    <row r="12511" spans="5:10" s="34" customFormat="1" x14ac:dyDescent="0.35">
      <c r="E12511" s="35"/>
      <c r="J12511" s="41"/>
    </row>
    <row r="12512" spans="5:10" s="34" customFormat="1" x14ac:dyDescent="0.35">
      <c r="E12512" s="35"/>
      <c r="J12512" s="41"/>
    </row>
    <row r="12513" spans="5:10" s="34" customFormat="1" x14ac:dyDescent="0.35">
      <c r="E12513" s="35"/>
      <c r="J12513" s="41"/>
    </row>
    <row r="12514" spans="5:10" s="34" customFormat="1" x14ac:dyDescent="0.35">
      <c r="E12514" s="35"/>
      <c r="J12514" s="41"/>
    </row>
    <row r="12515" spans="5:10" s="34" customFormat="1" x14ac:dyDescent="0.35">
      <c r="E12515" s="35"/>
      <c r="J12515" s="41"/>
    </row>
    <row r="12516" spans="5:10" s="34" customFormat="1" x14ac:dyDescent="0.35">
      <c r="E12516" s="35"/>
      <c r="J12516" s="41"/>
    </row>
    <row r="12517" spans="5:10" s="34" customFormat="1" x14ac:dyDescent="0.35">
      <c r="E12517" s="35"/>
      <c r="J12517" s="41"/>
    </row>
    <row r="12518" spans="5:10" s="34" customFormat="1" x14ac:dyDescent="0.35">
      <c r="E12518" s="35"/>
      <c r="J12518" s="41"/>
    </row>
    <row r="12519" spans="5:10" s="34" customFormat="1" x14ac:dyDescent="0.35">
      <c r="E12519" s="35"/>
      <c r="J12519" s="41"/>
    </row>
    <row r="12520" spans="5:10" s="34" customFormat="1" x14ac:dyDescent="0.35">
      <c r="E12520" s="35"/>
      <c r="J12520" s="41"/>
    </row>
    <row r="12521" spans="5:10" s="34" customFormat="1" x14ac:dyDescent="0.35">
      <c r="E12521" s="35"/>
      <c r="J12521" s="41"/>
    </row>
    <row r="12522" spans="5:10" s="34" customFormat="1" x14ac:dyDescent="0.35">
      <c r="E12522" s="35"/>
      <c r="J12522" s="41"/>
    </row>
    <row r="12523" spans="5:10" s="34" customFormat="1" x14ac:dyDescent="0.35">
      <c r="E12523" s="35"/>
      <c r="J12523" s="41"/>
    </row>
    <row r="12524" spans="5:10" s="34" customFormat="1" x14ac:dyDescent="0.35">
      <c r="E12524" s="35"/>
      <c r="J12524" s="41"/>
    </row>
    <row r="12525" spans="5:10" s="34" customFormat="1" x14ac:dyDescent="0.35">
      <c r="E12525" s="35"/>
      <c r="J12525" s="41"/>
    </row>
    <row r="12526" spans="5:10" s="34" customFormat="1" x14ac:dyDescent="0.35">
      <c r="E12526" s="35"/>
      <c r="J12526" s="41"/>
    </row>
    <row r="12527" spans="5:10" s="34" customFormat="1" x14ac:dyDescent="0.35">
      <c r="E12527" s="35"/>
      <c r="J12527" s="41"/>
    </row>
    <row r="12528" spans="5:10" s="34" customFormat="1" x14ac:dyDescent="0.35">
      <c r="E12528" s="35"/>
      <c r="J12528" s="41"/>
    </row>
    <row r="12529" spans="5:10" s="34" customFormat="1" x14ac:dyDescent="0.35">
      <c r="E12529" s="35"/>
      <c r="J12529" s="41"/>
    </row>
    <row r="12530" spans="5:10" s="34" customFormat="1" x14ac:dyDescent="0.35">
      <c r="E12530" s="35"/>
      <c r="J12530" s="41"/>
    </row>
    <row r="12531" spans="5:10" s="34" customFormat="1" x14ac:dyDescent="0.35">
      <c r="E12531" s="35"/>
      <c r="J12531" s="41"/>
    </row>
    <row r="12532" spans="5:10" s="34" customFormat="1" x14ac:dyDescent="0.35">
      <c r="E12532" s="35"/>
      <c r="J12532" s="41"/>
    </row>
    <row r="12533" spans="5:10" s="34" customFormat="1" x14ac:dyDescent="0.35">
      <c r="E12533" s="35"/>
      <c r="J12533" s="41"/>
    </row>
    <row r="12534" spans="5:10" s="34" customFormat="1" x14ac:dyDescent="0.35">
      <c r="E12534" s="35"/>
      <c r="J12534" s="41"/>
    </row>
    <row r="12535" spans="5:10" s="34" customFormat="1" x14ac:dyDescent="0.35">
      <c r="E12535" s="35"/>
      <c r="J12535" s="41"/>
    </row>
    <row r="12536" spans="5:10" s="34" customFormat="1" x14ac:dyDescent="0.35">
      <c r="E12536" s="35"/>
      <c r="J12536" s="41"/>
    </row>
    <row r="12537" spans="5:10" s="34" customFormat="1" x14ac:dyDescent="0.35">
      <c r="E12537" s="35"/>
      <c r="J12537" s="41"/>
    </row>
    <row r="12538" spans="5:10" s="34" customFormat="1" x14ac:dyDescent="0.35">
      <c r="E12538" s="35"/>
      <c r="J12538" s="41"/>
    </row>
    <row r="12539" spans="5:10" s="34" customFormat="1" x14ac:dyDescent="0.35">
      <c r="E12539" s="35"/>
      <c r="J12539" s="41"/>
    </row>
    <row r="12540" spans="5:10" s="34" customFormat="1" x14ac:dyDescent="0.35">
      <c r="E12540" s="35"/>
      <c r="J12540" s="41"/>
    </row>
    <row r="12541" spans="5:10" s="34" customFormat="1" x14ac:dyDescent="0.35">
      <c r="E12541" s="35"/>
      <c r="J12541" s="41"/>
    </row>
    <row r="12542" spans="5:10" s="34" customFormat="1" x14ac:dyDescent="0.35">
      <c r="E12542" s="35"/>
      <c r="J12542" s="41"/>
    </row>
    <row r="12543" spans="5:10" s="34" customFormat="1" x14ac:dyDescent="0.35">
      <c r="E12543" s="35"/>
      <c r="J12543" s="41"/>
    </row>
    <row r="12544" spans="5:10" s="34" customFormat="1" x14ac:dyDescent="0.35">
      <c r="E12544" s="35"/>
      <c r="J12544" s="41"/>
    </row>
    <row r="12545" spans="5:10" s="34" customFormat="1" x14ac:dyDescent="0.35">
      <c r="E12545" s="35"/>
      <c r="J12545" s="41"/>
    </row>
    <row r="12546" spans="5:10" s="34" customFormat="1" x14ac:dyDescent="0.35">
      <c r="E12546" s="35"/>
      <c r="J12546" s="41"/>
    </row>
    <row r="12547" spans="5:10" s="34" customFormat="1" x14ac:dyDescent="0.35">
      <c r="E12547" s="35"/>
      <c r="J12547" s="41"/>
    </row>
    <row r="12548" spans="5:10" s="34" customFormat="1" x14ac:dyDescent="0.35">
      <c r="E12548" s="35"/>
      <c r="J12548" s="41"/>
    </row>
    <row r="12549" spans="5:10" s="34" customFormat="1" x14ac:dyDescent="0.35">
      <c r="E12549" s="35"/>
      <c r="J12549" s="41"/>
    </row>
    <row r="12550" spans="5:10" s="34" customFormat="1" x14ac:dyDescent="0.35">
      <c r="E12550" s="35"/>
      <c r="J12550" s="41"/>
    </row>
    <row r="12551" spans="5:10" s="34" customFormat="1" x14ac:dyDescent="0.35">
      <c r="E12551" s="35"/>
      <c r="J12551" s="41"/>
    </row>
    <row r="12552" spans="5:10" s="34" customFormat="1" x14ac:dyDescent="0.35">
      <c r="E12552" s="35"/>
      <c r="J12552" s="41"/>
    </row>
    <row r="12553" spans="5:10" s="34" customFormat="1" x14ac:dyDescent="0.35">
      <c r="E12553" s="35"/>
      <c r="J12553" s="41"/>
    </row>
    <row r="12554" spans="5:10" s="34" customFormat="1" x14ac:dyDescent="0.35">
      <c r="E12554" s="35"/>
      <c r="J12554" s="41"/>
    </row>
    <row r="12555" spans="5:10" s="34" customFormat="1" x14ac:dyDescent="0.35">
      <c r="E12555" s="35"/>
      <c r="J12555" s="41"/>
    </row>
    <row r="12556" spans="5:10" s="34" customFormat="1" x14ac:dyDescent="0.35">
      <c r="E12556" s="35"/>
      <c r="J12556" s="41"/>
    </row>
    <row r="12557" spans="5:10" s="34" customFormat="1" x14ac:dyDescent="0.35">
      <c r="E12557" s="35"/>
      <c r="J12557" s="41"/>
    </row>
    <row r="12558" spans="5:10" s="34" customFormat="1" x14ac:dyDescent="0.35">
      <c r="E12558" s="35"/>
      <c r="J12558" s="41"/>
    </row>
    <row r="12559" spans="5:10" s="34" customFormat="1" x14ac:dyDescent="0.35">
      <c r="E12559" s="35"/>
      <c r="J12559" s="41"/>
    </row>
    <row r="12560" spans="5:10" s="34" customFormat="1" x14ac:dyDescent="0.35">
      <c r="E12560" s="35"/>
      <c r="J12560" s="41"/>
    </row>
    <row r="12561" spans="5:10" s="34" customFormat="1" x14ac:dyDescent="0.35">
      <c r="E12561" s="35"/>
      <c r="J12561" s="41"/>
    </row>
    <row r="12562" spans="5:10" s="34" customFormat="1" x14ac:dyDescent="0.35">
      <c r="E12562" s="35"/>
      <c r="J12562" s="41"/>
    </row>
    <row r="12563" spans="5:10" s="34" customFormat="1" x14ac:dyDescent="0.35">
      <c r="E12563" s="35"/>
      <c r="J12563" s="41"/>
    </row>
    <row r="12564" spans="5:10" s="34" customFormat="1" x14ac:dyDescent="0.35">
      <c r="E12564" s="35"/>
      <c r="J12564" s="41"/>
    </row>
    <row r="12565" spans="5:10" s="34" customFormat="1" x14ac:dyDescent="0.35">
      <c r="E12565" s="35"/>
      <c r="J12565" s="41"/>
    </row>
    <row r="12566" spans="5:10" s="34" customFormat="1" x14ac:dyDescent="0.35">
      <c r="E12566" s="35"/>
      <c r="J12566" s="41"/>
    </row>
    <row r="12567" spans="5:10" s="34" customFormat="1" x14ac:dyDescent="0.35">
      <c r="E12567" s="35"/>
      <c r="J12567" s="41"/>
    </row>
    <row r="12568" spans="5:10" s="34" customFormat="1" x14ac:dyDescent="0.35">
      <c r="E12568" s="35"/>
      <c r="J12568" s="41"/>
    </row>
    <row r="12569" spans="5:10" s="34" customFormat="1" x14ac:dyDescent="0.35">
      <c r="E12569" s="35"/>
      <c r="J12569" s="41"/>
    </row>
    <row r="12570" spans="5:10" s="34" customFormat="1" x14ac:dyDescent="0.35">
      <c r="E12570" s="35"/>
      <c r="J12570" s="41"/>
    </row>
    <row r="12571" spans="5:10" s="34" customFormat="1" x14ac:dyDescent="0.35">
      <c r="E12571" s="35"/>
      <c r="J12571" s="41"/>
    </row>
    <row r="12572" spans="5:10" s="34" customFormat="1" x14ac:dyDescent="0.35">
      <c r="E12572" s="35"/>
      <c r="J12572" s="41"/>
    </row>
    <row r="12573" spans="5:10" s="34" customFormat="1" x14ac:dyDescent="0.35">
      <c r="E12573" s="35"/>
      <c r="J12573" s="41"/>
    </row>
    <row r="12574" spans="5:10" s="34" customFormat="1" x14ac:dyDescent="0.35">
      <c r="E12574" s="35"/>
      <c r="J12574" s="41"/>
    </row>
    <row r="12575" spans="5:10" s="34" customFormat="1" x14ac:dyDescent="0.35">
      <c r="E12575" s="35"/>
      <c r="J12575" s="41"/>
    </row>
    <row r="12576" spans="5:10" s="34" customFormat="1" x14ac:dyDescent="0.35">
      <c r="E12576" s="35"/>
      <c r="J12576" s="41"/>
    </row>
    <row r="12577" spans="5:10" s="34" customFormat="1" x14ac:dyDescent="0.35">
      <c r="E12577" s="35"/>
      <c r="J12577" s="41"/>
    </row>
    <row r="12578" spans="5:10" s="34" customFormat="1" x14ac:dyDescent="0.35">
      <c r="E12578" s="35"/>
      <c r="J12578" s="41"/>
    </row>
    <row r="12579" spans="5:10" s="34" customFormat="1" x14ac:dyDescent="0.35">
      <c r="E12579" s="35"/>
      <c r="J12579" s="41"/>
    </row>
    <row r="12580" spans="5:10" s="34" customFormat="1" x14ac:dyDescent="0.35">
      <c r="E12580" s="35"/>
      <c r="J12580" s="41"/>
    </row>
    <row r="12581" spans="5:10" s="34" customFormat="1" x14ac:dyDescent="0.35">
      <c r="E12581" s="35"/>
      <c r="J12581" s="41"/>
    </row>
    <row r="12582" spans="5:10" s="34" customFormat="1" x14ac:dyDescent="0.35">
      <c r="E12582" s="35"/>
      <c r="J12582" s="41"/>
    </row>
    <row r="12583" spans="5:10" s="34" customFormat="1" x14ac:dyDescent="0.35">
      <c r="E12583" s="35"/>
      <c r="J12583" s="41"/>
    </row>
    <row r="12584" spans="5:10" s="34" customFormat="1" x14ac:dyDescent="0.35">
      <c r="E12584" s="35"/>
      <c r="J12584" s="41"/>
    </row>
    <row r="12585" spans="5:10" s="34" customFormat="1" x14ac:dyDescent="0.35">
      <c r="E12585" s="35"/>
      <c r="J12585" s="41"/>
    </row>
    <row r="12586" spans="5:10" s="34" customFormat="1" x14ac:dyDescent="0.35">
      <c r="E12586" s="35"/>
      <c r="J12586" s="41"/>
    </row>
    <row r="12587" spans="5:10" s="34" customFormat="1" x14ac:dyDescent="0.35">
      <c r="E12587" s="35"/>
      <c r="J12587" s="41"/>
    </row>
    <row r="12588" spans="5:10" s="34" customFormat="1" x14ac:dyDescent="0.35">
      <c r="E12588" s="35"/>
      <c r="J12588" s="41"/>
    </row>
    <row r="12589" spans="5:10" s="34" customFormat="1" x14ac:dyDescent="0.35">
      <c r="E12589" s="35"/>
      <c r="J12589" s="41"/>
    </row>
    <row r="12590" spans="5:10" s="34" customFormat="1" x14ac:dyDescent="0.35">
      <c r="E12590" s="35"/>
      <c r="J12590" s="41"/>
    </row>
    <row r="12591" spans="5:10" s="34" customFormat="1" x14ac:dyDescent="0.35">
      <c r="E12591" s="35"/>
      <c r="J12591" s="41"/>
    </row>
    <row r="12592" spans="5:10" s="34" customFormat="1" x14ac:dyDescent="0.35">
      <c r="E12592" s="35"/>
      <c r="J12592" s="41"/>
    </row>
    <row r="12593" spans="5:10" s="34" customFormat="1" x14ac:dyDescent="0.35">
      <c r="E12593" s="35"/>
      <c r="J12593" s="41"/>
    </row>
    <row r="12594" spans="5:10" s="34" customFormat="1" x14ac:dyDescent="0.35">
      <c r="E12594" s="35"/>
      <c r="J12594" s="41"/>
    </row>
    <row r="12595" spans="5:10" s="34" customFormat="1" x14ac:dyDescent="0.35">
      <c r="E12595" s="35"/>
      <c r="J12595" s="41"/>
    </row>
    <row r="12596" spans="5:10" s="34" customFormat="1" x14ac:dyDescent="0.35">
      <c r="E12596" s="35"/>
      <c r="J12596" s="41"/>
    </row>
    <row r="12597" spans="5:10" s="34" customFormat="1" x14ac:dyDescent="0.35">
      <c r="E12597" s="35"/>
      <c r="J12597" s="41"/>
    </row>
    <row r="12598" spans="5:10" s="34" customFormat="1" x14ac:dyDescent="0.35">
      <c r="E12598" s="35"/>
      <c r="J12598" s="41"/>
    </row>
    <row r="12599" spans="5:10" s="34" customFormat="1" x14ac:dyDescent="0.35">
      <c r="E12599" s="35"/>
      <c r="J12599" s="41"/>
    </row>
    <row r="12600" spans="5:10" s="34" customFormat="1" x14ac:dyDescent="0.35">
      <c r="E12600" s="35"/>
      <c r="J12600" s="41"/>
    </row>
    <row r="12601" spans="5:10" s="34" customFormat="1" x14ac:dyDescent="0.35">
      <c r="E12601" s="35"/>
      <c r="J12601" s="41"/>
    </row>
    <row r="12602" spans="5:10" s="34" customFormat="1" x14ac:dyDescent="0.35">
      <c r="E12602" s="35"/>
      <c r="J12602" s="41"/>
    </row>
    <row r="12603" spans="5:10" s="34" customFormat="1" x14ac:dyDescent="0.35">
      <c r="E12603" s="35"/>
      <c r="J12603" s="41"/>
    </row>
    <row r="12604" spans="5:10" s="34" customFormat="1" x14ac:dyDescent="0.35">
      <c r="E12604" s="35"/>
      <c r="J12604" s="41"/>
    </row>
    <row r="12605" spans="5:10" s="34" customFormat="1" x14ac:dyDescent="0.35">
      <c r="E12605" s="35"/>
      <c r="J12605" s="41"/>
    </row>
    <row r="12606" spans="5:10" s="34" customFormat="1" x14ac:dyDescent="0.35">
      <c r="E12606" s="35"/>
      <c r="J12606" s="41"/>
    </row>
    <row r="12607" spans="5:10" s="34" customFormat="1" x14ac:dyDescent="0.35">
      <c r="E12607" s="35"/>
      <c r="J12607" s="41"/>
    </row>
    <row r="12608" spans="5:10" s="34" customFormat="1" x14ac:dyDescent="0.35">
      <c r="E12608" s="35"/>
      <c r="J12608" s="41"/>
    </row>
    <row r="12609" spans="5:10" s="34" customFormat="1" x14ac:dyDescent="0.35">
      <c r="E12609" s="35"/>
      <c r="J12609" s="41"/>
    </row>
    <row r="12610" spans="5:10" s="34" customFormat="1" x14ac:dyDescent="0.35">
      <c r="E12610" s="35"/>
      <c r="J12610" s="41"/>
    </row>
    <row r="12611" spans="5:10" s="34" customFormat="1" x14ac:dyDescent="0.35">
      <c r="E12611" s="35"/>
      <c r="J12611" s="41"/>
    </row>
    <row r="12612" spans="5:10" s="34" customFormat="1" x14ac:dyDescent="0.35">
      <c r="E12612" s="35"/>
      <c r="J12612" s="41"/>
    </row>
    <row r="12613" spans="5:10" s="34" customFormat="1" x14ac:dyDescent="0.35">
      <c r="E12613" s="35"/>
      <c r="J12613" s="41"/>
    </row>
    <row r="12614" spans="5:10" s="34" customFormat="1" x14ac:dyDescent="0.35">
      <c r="E12614" s="35"/>
      <c r="J12614" s="41"/>
    </row>
    <row r="12615" spans="5:10" s="34" customFormat="1" x14ac:dyDescent="0.35">
      <c r="E12615" s="35"/>
      <c r="J12615" s="41"/>
    </row>
    <row r="12616" spans="5:10" s="34" customFormat="1" x14ac:dyDescent="0.35">
      <c r="E12616" s="35"/>
      <c r="J12616" s="41"/>
    </row>
    <row r="12617" spans="5:10" s="34" customFormat="1" x14ac:dyDescent="0.35">
      <c r="E12617" s="35"/>
      <c r="J12617" s="41"/>
    </row>
    <row r="12618" spans="5:10" s="34" customFormat="1" x14ac:dyDescent="0.35">
      <c r="E12618" s="35"/>
      <c r="J12618" s="41"/>
    </row>
    <row r="12619" spans="5:10" s="34" customFormat="1" x14ac:dyDescent="0.35">
      <c r="E12619" s="35"/>
      <c r="J12619" s="41"/>
    </row>
    <row r="12620" spans="5:10" s="34" customFormat="1" x14ac:dyDescent="0.35">
      <c r="E12620" s="35"/>
      <c r="J12620" s="41"/>
    </row>
    <row r="12621" spans="5:10" s="34" customFormat="1" x14ac:dyDescent="0.35">
      <c r="E12621" s="35"/>
      <c r="J12621" s="41"/>
    </row>
    <row r="12622" spans="5:10" s="34" customFormat="1" x14ac:dyDescent="0.35">
      <c r="E12622" s="35"/>
      <c r="J12622" s="41"/>
    </row>
    <row r="12623" spans="5:10" s="34" customFormat="1" x14ac:dyDescent="0.35">
      <c r="E12623" s="35"/>
      <c r="J12623" s="41"/>
    </row>
    <row r="12624" spans="5:10" s="34" customFormat="1" x14ac:dyDescent="0.35">
      <c r="E12624" s="35"/>
      <c r="J12624" s="41"/>
    </row>
    <row r="12625" spans="5:10" s="34" customFormat="1" x14ac:dyDescent="0.35">
      <c r="E12625" s="35"/>
      <c r="J12625" s="41"/>
    </row>
    <row r="12626" spans="5:10" s="34" customFormat="1" x14ac:dyDescent="0.35">
      <c r="E12626" s="35"/>
      <c r="J12626" s="41"/>
    </row>
    <row r="12627" spans="5:10" s="34" customFormat="1" x14ac:dyDescent="0.35">
      <c r="E12627" s="35"/>
      <c r="J12627" s="41"/>
    </row>
    <row r="12628" spans="5:10" s="34" customFormat="1" x14ac:dyDescent="0.35">
      <c r="E12628" s="35"/>
      <c r="J12628" s="41"/>
    </row>
    <row r="12629" spans="5:10" s="34" customFormat="1" x14ac:dyDescent="0.35">
      <c r="E12629" s="35"/>
      <c r="J12629" s="41"/>
    </row>
    <row r="12630" spans="5:10" s="34" customFormat="1" x14ac:dyDescent="0.35">
      <c r="E12630" s="35"/>
      <c r="J12630" s="41"/>
    </row>
    <row r="12631" spans="5:10" s="34" customFormat="1" x14ac:dyDescent="0.35">
      <c r="E12631" s="35"/>
      <c r="J12631" s="41"/>
    </row>
    <row r="12632" spans="5:10" s="34" customFormat="1" x14ac:dyDescent="0.35">
      <c r="E12632" s="35"/>
      <c r="J12632" s="41"/>
    </row>
    <row r="12633" spans="5:10" s="34" customFormat="1" x14ac:dyDescent="0.35">
      <c r="E12633" s="35"/>
      <c r="J12633" s="41"/>
    </row>
    <row r="12634" spans="5:10" s="34" customFormat="1" x14ac:dyDescent="0.35">
      <c r="E12634" s="35"/>
      <c r="J12634" s="41"/>
    </row>
    <row r="12635" spans="5:10" s="34" customFormat="1" x14ac:dyDescent="0.35">
      <c r="E12635" s="35"/>
      <c r="J12635" s="41"/>
    </row>
    <row r="12636" spans="5:10" s="34" customFormat="1" x14ac:dyDescent="0.35">
      <c r="E12636" s="35"/>
      <c r="J12636" s="41"/>
    </row>
    <row r="12637" spans="5:10" s="34" customFormat="1" x14ac:dyDescent="0.35">
      <c r="E12637" s="35"/>
      <c r="J12637" s="41"/>
    </row>
    <row r="12638" spans="5:10" s="34" customFormat="1" x14ac:dyDescent="0.35">
      <c r="E12638" s="35"/>
      <c r="J12638" s="41"/>
    </row>
    <row r="12639" spans="5:10" s="34" customFormat="1" x14ac:dyDescent="0.35">
      <c r="E12639" s="35"/>
      <c r="J12639" s="41"/>
    </row>
    <row r="12640" spans="5:10" s="34" customFormat="1" x14ac:dyDescent="0.35">
      <c r="E12640" s="35"/>
      <c r="J12640" s="41"/>
    </row>
    <row r="12641" spans="5:10" s="34" customFormat="1" x14ac:dyDescent="0.35">
      <c r="E12641" s="35"/>
      <c r="J12641" s="41"/>
    </row>
    <row r="12642" spans="5:10" s="34" customFormat="1" x14ac:dyDescent="0.35">
      <c r="E12642" s="35"/>
      <c r="J12642" s="41"/>
    </row>
    <row r="12643" spans="5:10" s="34" customFormat="1" x14ac:dyDescent="0.35">
      <c r="E12643" s="35"/>
      <c r="J12643" s="41"/>
    </row>
    <row r="12644" spans="5:10" s="34" customFormat="1" x14ac:dyDescent="0.35">
      <c r="E12644" s="35"/>
      <c r="J12644" s="41"/>
    </row>
    <row r="12645" spans="5:10" s="34" customFormat="1" x14ac:dyDescent="0.35">
      <c r="E12645" s="35"/>
      <c r="J12645" s="41"/>
    </row>
    <row r="12646" spans="5:10" s="34" customFormat="1" x14ac:dyDescent="0.35">
      <c r="E12646" s="35"/>
      <c r="J12646" s="41"/>
    </row>
    <row r="12647" spans="5:10" s="34" customFormat="1" x14ac:dyDescent="0.35">
      <c r="E12647" s="35"/>
      <c r="J12647" s="41"/>
    </row>
    <row r="12648" spans="5:10" s="34" customFormat="1" x14ac:dyDescent="0.35">
      <c r="E12648" s="35"/>
      <c r="J12648" s="41"/>
    </row>
    <row r="12649" spans="5:10" s="34" customFormat="1" x14ac:dyDescent="0.35">
      <c r="E12649" s="35"/>
      <c r="J12649" s="41"/>
    </row>
    <row r="12650" spans="5:10" s="34" customFormat="1" x14ac:dyDescent="0.35">
      <c r="E12650" s="35"/>
      <c r="J12650" s="41"/>
    </row>
    <row r="12651" spans="5:10" s="34" customFormat="1" x14ac:dyDescent="0.35">
      <c r="E12651" s="35"/>
      <c r="J12651" s="41"/>
    </row>
    <row r="12652" spans="5:10" s="34" customFormat="1" x14ac:dyDescent="0.35">
      <c r="E12652" s="35"/>
      <c r="J12652" s="41"/>
    </row>
    <row r="12653" spans="5:10" s="34" customFormat="1" x14ac:dyDescent="0.35">
      <c r="E12653" s="35"/>
      <c r="J12653" s="41"/>
    </row>
    <row r="12654" spans="5:10" s="34" customFormat="1" x14ac:dyDescent="0.35">
      <c r="E12654" s="35"/>
      <c r="J12654" s="41"/>
    </row>
    <row r="12655" spans="5:10" s="34" customFormat="1" x14ac:dyDescent="0.35">
      <c r="E12655" s="35"/>
      <c r="J12655" s="41"/>
    </row>
    <row r="12656" spans="5:10" s="34" customFormat="1" x14ac:dyDescent="0.35">
      <c r="E12656" s="35"/>
      <c r="J12656" s="41"/>
    </row>
    <row r="12657" spans="5:10" s="34" customFormat="1" x14ac:dyDescent="0.35">
      <c r="E12657" s="35"/>
      <c r="J12657" s="41"/>
    </row>
    <row r="12658" spans="5:10" s="34" customFormat="1" x14ac:dyDescent="0.35">
      <c r="E12658" s="35"/>
      <c r="J12658" s="41"/>
    </row>
    <row r="12659" spans="5:10" s="34" customFormat="1" x14ac:dyDescent="0.35">
      <c r="E12659" s="35"/>
      <c r="J12659" s="41"/>
    </row>
    <row r="12660" spans="5:10" s="34" customFormat="1" x14ac:dyDescent="0.35">
      <c r="E12660" s="35"/>
      <c r="J12660" s="41"/>
    </row>
    <row r="12661" spans="5:10" s="34" customFormat="1" x14ac:dyDescent="0.35">
      <c r="E12661" s="35"/>
      <c r="J12661" s="41"/>
    </row>
    <row r="12662" spans="5:10" s="34" customFormat="1" x14ac:dyDescent="0.35">
      <c r="E12662" s="35"/>
      <c r="J12662" s="41"/>
    </row>
    <row r="12663" spans="5:10" s="34" customFormat="1" x14ac:dyDescent="0.35">
      <c r="E12663" s="35"/>
      <c r="J12663" s="41"/>
    </row>
    <row r="12664" spans="5:10" s="34" customFormat="1" x14ac:dyDescent="0.35">
      <c r="E12664" s="35"/>
      <c r="J12664" s="41"/>
    </row>
    <row r="12665" spans="5:10" s="34" customFormat="1" x14ac:dyDescent="0.35">
      <c r="E12665" s="35"/>
      <c r="J12665" s="41"/>
    </row>
    <row r="12666" spans="5:10" s="34" customFormat="1" x14ac:dyDescent="0.35">
      <c r="E12666" s="35"/>
      <c r="J12666" s="41"/>
    </row>
    <row r="12667" spans="5:10" s="34" customFormat="1" x14ac:dyDescent="0.35">
      <c r="E12667" s="35"/>
      <c r="J12667" s="41"/>
    </row>
    <row r="12668" spans="5:10" s="34" customFormat="1" x14ac:dyDescent="0.35">
      <c r="E12668" s="35"/>
      <c r="J12668" s="41"/>
    </row>
    <row r="12669" spans="5:10" s="34" customFormat="1" x14ac:dyDescent="0.35">
      <c r="E12669" s="35"/>
      <c r="J12669" s="41"/>
    </row>
    <row r="12670" spans="5:10" s="34" customFormat="1" x14ac:dyDescent="0.35">
      <c r="E12670" s="35"/>
      <c r="J12670" s="41"/>
    </row>
    <row r="12671" spans="5:10" s="34" customFormat="1" x14ac:dyDescent="0.35">
      <c r="E12671" s="35"/>
      <c r="J12671" s="41"/>
    </row>
    <row r="12672" spans="5:10" s="34" customFormat="1" x14ac:dyDescent="0.35">
      <c r="E12672" s="35"/>
      <c r="J12672" s="41"/>
    </row>
    <row r="12673" spans="5:10" s="34" customFormat="1" x14ac:dyDescent="0.35">
      <c r="E12673" s="35"/>
      <c r="J12673" s="41"/>
    </row>
    <row r="12674" spans="5:10" s="34" customFormat="1" x14ac:dyDescent="0.35">
      <c r="E12674" s="35"/>
      <c r="J12674" s="41"/>
    </row>
    <row r="12675" spans="5:10" s="34" customFormat="1" x14ac:dyDescent="0.35">
      <c r="E12675" s="35"/>
      <c r="J12675" s="41"/>
    </row>
    <row r="12676" spans="5:10" s="34" customFormat="1" x14ac:dyDescent="0.35">
      <c r="E12676" s="35"/>
      <c r="J12676" s="41"/>
    </row>
    <row r="12677" spans="5:10" s="34" customFormat="1" x14ac:dyDescent="0.35">
      <c r="E12677" s="35"/>
      <c r="J12677" s="41"/>
    </row>
    <row r="12678" spans="5:10" s="34" customFormat="1" x14ac:dyDescent="0.35">
      <c r="E12678" s="35"/>
      <c r="J12678" s="41"/>
    </row>
    <row r="12679" spans="5:10" s="34" customFormat="1" x14ac:dyDescent="0.35">
      <c r="E12679" s="35"/>
      <c r="J12679" s="41"/>
    </row>
    <row r="12680" spans="5:10" s="34" customFormat="1" x14ac:dyDescent="0.35">
      <c r="E12680" s="35"/>
      <c r="J12680" s="41"/>
    </row>
    <row r="12681" spans="5:10" s="34" customFormat="1" x14ac:dyDescent="0.35">
      <c r="E12681" s="35"/>
      <c r="J12681" s="41"/>
    </row>
    <row r="12682" spans="5:10" s="34" customFormat="1" x14ac:dyDescent="0.35">
      <c r="E12682" s="35"/>
      <c r="J12682" s="41"/>
    </row>
    <row r="12683" spans="5:10" s="34" customFormat="1" x14ac:dyDescent="0.35">
      <c r="E12683" s="35"/>
      <c r="J12683" s="41"/>
    </row>
    <row r="12684" spans="5:10" s="34" customFormat="1" x14ac:dyDescent="0.35">
      <c r="E12684" s="35"/>
      <c r="J12684" s="41"/>
    </row>
    <row r="12685" spans="5:10" s="34" customFormat="1" x14ac:dyDescent="0.35">
      <c r="E12685" s="35"/>
      <c r="J12685" s="41"/>
    </row>
    <row r="12686" spans="5:10" s="34" customFormat="1" x14ac:dyDescent="0.35">
      <c r="E12686" s="35"/>
      <c r="J12686" s="41"/>
    </row>
    <row r="12687" spans="5:10" s="34" customFormat="1" x14ac:dyDescent="0.35">
      <c r="E12687" s="35"/>
      <c r="J12687" s="41"/>
    </row>
    <row r="12688" spans="5:10" s="34" customFormat="1" x14ac:dyDescent="0.35">
      <c r="E12688" s="35"/>
      <c r="J12688" s="41"/>
    </row>
    <row r="12689" spans="5:10" s="34" customFormat="1" x14ac:dyDescent="0.35">
      <c r="E12689" s="35"/>
      <c r="J12689" s="41"/>
    </row>
    <row r="12690" spans="5:10" s="34" customFormat="1" x14ac:dyDescent="0.35">
      <c r="E12690" s="35"/>
      <c r="J12690" s="41"/>
    </row>
    <row r="12691" spans="5:10" s="34" customFormat="1" x14ac:dyDescent="0.35">
      <c r="E12691" s="35"/>
      <c r="J12691" s="41"/>
    </row>
    <row r="12692" spans="5:10" s="34" customFormat="1" x14ac:dyDescent="0.35">
      <c r="E12692" s="35"/>
      <c r="J12692" s="41"/>
    </row>
    <row r="12693" spans="5:10" s="34" customFormat="1" x14ac:dyDescent="0.35">
      <c r="E12693" s="35"/>
      <c r="J12693" s="41"/>
    </row>
    <row r="12694" spans="5:10" s="34" customFormat="1" x14ac:dyDescent="0.35">
      <c r="E12694" s="35"/>
      <c r="J12694" s="41"/>
    </row>
    <row r="12695" spans="5:10" s="34" customFormat="1" x14ac:dyDescent="0.35">
      <c r="E12695" s="35"/>
      <c r="J12695" s="41"/>
    </row>
    <row r="12696" spans="5:10" s="34" customFormat="1" x14ac:dyDescent="0.35">
      <c r="E12696" s="35"/>
      <c r="J12696" s="41"/>
    </row>
    <row r="12697" spans="5:10" s="34" customFormat="1" x14ac:dyDescent="0.35">
      <c r="E12697" s="35"/>
      <c r="J12697" s="41"/>
    </row>
    <row r="12698" spans="5:10" s="34" customFormat="1" x14ac:dyDescent="0.35">
      <c r="E12698" s="35"/>
      <c r="J12698" s="41"/>
    </row>
    <row r="12699" spans="5:10" s="34" customFormat="1" x14ac:dyDescent="0.35">
      <c r="E12699" s="35"/>
      <c r="J12699" s="41"/>
    </row>
    <row r="12700" spans="5:10" s="34" customFormat="1" x14ac:dyDescent="0.35">
      <c r="E12700" s="35"/>
      <c r="J12700" s="41"/>
    </row>
    <row r="12701" spans="5:10" s="34" customFormat="1" x14ac:dyDescent="0.35">
      <c r="E12701" s="35"/>
      <c r="J12701" s="41"/>
    </row>
    <row r="12702" spans="5:10" s="34" customFormat="1" x14ac:dyDescent="0.35">
      <c r="E12702" s="35"/>
      <c r="J12702" s="41"/>
    </row>
    <row r="12703" spans="5:10" s="34" customFormat="1" x14ac:dyDescent="0.35">
      <c r="E12703" s="35"/>
      <c r="J12703" s="41"/>
    </row>
    <row r="12704" spans="5:10" s="34" customFormat="1" x14ac:dyDescent="0.35">
      <c r="E12704" s="35"/>
      <c r="J12704" s="41"/>
    </row>
    <row r="12705" spans="5:10" s="34" customFormat="1" x14ac:dyDescent="0.35">
      <c r="E12705" s="35"/>
      <c r="J12705" s="41"/>
    </row>
    <row r="12706" spans="5:10" s="34" customFormat="1" x14ac:dyDescent="0.35">
      <c r="E12706" s="35"/>
      <c r="J12706" s="41"/>
    </row>
    <row r="12707" spans="5:10" s="34" customFormat="1" x14ac:dyDescent="0.35">
      <c r="E12707" s="35"/>
      <c r="J12707" s="41"/>
    </row>
    <row r="12708" spans="5:10" s="34" customFormat="1" x14ac:dyDescent="0.35">
      <c r="E12708" s="35"/>
      <c r="J12708" s="41"/>
    </row>
    <row r="12709" spans="5:10" s="34" customFormat="1" x14ac:dyDescent="0.35">
      <c r="E12709" s="35"/>
      <c r="J12709" s="41"/>
    </row>
    <row r="12710" spans="5:10" s="34" customFormat="1" x14ac:dyDescent="0.35">
      <c r="E12710" s="35"/>
      <c r="J12710" s="41"/>
    </row>
    <row r="12711" spans="5:10" s="34" customFormat="1" x14ac:dyDescent="0.35">
      <c r="E12711" s="35"/>
      <c r="J12711" s="41"/>
    </row>
    <row r="12712" spans="5:10" s="34" customFormat="1" x14ac:dyDescent="0.35">
      <c r="E12712" s="35"/>
      <c r="J12712" s="41"/>
    </row>
    <row r="12713" spans="5:10" s="34" customFormat="1" x14ac:dyDescent="0.35">
      <c r="E12713" s="35"/>
      <c r="J12713" s="41"/>
    </row>
    <row r="12714" spans="5:10" s="34" customFormat="1" x14ac:dyDescent="0.35">
      <c r="E12714" s="35"/>
      <c r="J12714" s="41"/>
    </row>
    <row r="12715" spans="5:10" s="34" customFormat="1" x14ac:dyDescent="0.35">
      <c r="E12715" s="35"/>
      <c r="J12715" s="41"/>
    </row>
    <row r="12716" spans="5:10" s="34" customFormat="1" x14ac:dyDescent="0.35">
      <c r="E12716" s="35"/>
      <c r="J12716" s="41"/>
    </row>
    <row r="12717" spans="5:10" s="34" customFormat="1" x14ac:dyDescent="0.35">
      <c r="E12717" s="35"/>
      <c r="J12717" s="41"/>
    </row>
    <row r="12718" spans="5:10" s="34" customFormat="1" x14ac:dyDescent="0.35">
      <c r="E12718" s="35"/>
      <c r="J12718" s="41"/>
    </row>
    <row r="12719" spans="5:10" s="34" customFormat="1" x14ac:dyDescent="0.35">
      <c r="E12719" s="35"/>
      <c r="J12719" s="41"/>
    </row>
    <row r="12720" spans="5:10" s="34" customFormat="1" x14ac:dyDescent="0.35">
      <c r="E12720" s="35"/>
      <c r="J12720" s="41"/>
    </row>
    <row r="12721" spans="5:10" s="34" customFormat="1" x14ac:dyDescent="0.35">
      <c r="E12721" s="35"/>
      <c r="J12721" s="41"/>
    </row>
    <row r="12722" spans="5:10" s="34" customFormat="1" x14ac:dyDescent="0.35">
      <c r="E12722" s="35"/>
      <c r="J12722" s="41"/>
    </row>
    <row r="12723" spans="5:10" s="34" customFormat="1" x14ac:dyDescent="0.35">
      <c r="E12723" s="35"/>
      <c r="J12723" s="41"/>
    </row>
    <row r="12724" spans="5:10" s="34" customFormat="1" x14ac:dyDescent="0.35">
      <c r="E12724" s="35"/>
      <c r="J12724" s="41"/>
    </row>
    <row r="12725" spans="5:10" s="34" customFormat="1" x14ac:dyDescent="0.35">
      <c r="E12725" s="35"/>
      <c r="J12725" s="41"/>
    </row>
    <row r="12726" spans="5:10" s="34" customFormat="1" x14ac:dyDescent="0.35">
      <c r="E12726" s="35"/>
      <c r="J12726" s="41"/>
    </row>
    <row r="12727" spans="5:10" s="34" customFormat="1" x14ac:dyDescent="0.35">
      <c r="E12727" s="35"/>
      <c r="J12727" s="41"/>
    </row>
    <row r="12728" spans="5:10" s="34" customFormat="1" x14ac:dyDescent="0.35">
      <c r="E12728" s="35"/>
      <c r="J12728" s="41"/>
    </row>
    <row r="12729" spans="5:10" s="34" customFormat="1" x14ac:dyDescent="0.35">
      <c r="E12729" s="35"/>
      <c r="J12729" s="41"/>
    </row>
    <row r="12730" spans="5:10" s="34" customFormat="1" x14ac:dyDescent="0.35">
      <c r="E12730" s="35"/>
      <c r="J12730" s="41"/>
    </row>
    <row r="12731" spans="5:10" s="34" customFormat="1" x14ac:dyDescent="0.35">
      <c r="E12731" s="35"/>
      <c r="J12731" s="41"/>
    </row>
    <row r="12732" spans="5:10" s="34" customFormat="1" x14ac:dyDescent="0.35">
      <c r="E12732" s="35"/>
      <c r="J12732" s="41"/>
    </row>
    <row r="12733" spans="5:10" s="34" customFormat="1" x14ac:dyDescent="0.35">
      <c r="E12733" s="35"/>
      <c r="J12733" s="41"/>
    </row>
    <row r="12734" spans="5:10" s="34" customFormat="1" x14ac:dyDescent="0.35">
      <c r="E12734" s="35"/>
      <c r="J12734" s="41"/>
    </row>
    <row r="12735" spans="5:10" s="34" customFormat="1" x14ac:dyDescent="0.35">
      <c r="E12735" s="35"/>
      <c r="J12735" s="41"/>
    </row>
    <row r="12736" spans="5:10" s="34" customFormat="1" x14ac:dyDescent="0.35">
      <c r="E12736" s="35"/>
      <c r="J12736" s="41"/>
    </row>
    <row r="12737" spans="5:10" s="34" customFormat="1" x14ac:dyDescent="0.35">
      <c r="E12737" s="35"/>
      <c r="J12737" s="41"/>
    </row>
    <row r="12738" spans="5:10" s="34" customFormat="1" x14ac:dyDescent="0.35">
      <c r="E12738" s="35"/>
      <c r="J12738" s="41"/>
    </row>
    <row r="12739" spans="5:10" s="34" customFormat="1" x14ac:dyDescent="0.35">
      <c r="E12739" s="35"/>
      <c r="J12739" s="41"/>
    </row>
    <row r="12740" spans="5:10" s="34" customFormat="1" x14ac:dyDescent="0.35">
      <c r="E12740" s="35"/>
      <c r="J12740" s="41"/>
    </row>
    <row r="12741" spans="5:10" s="34" customFormat="1" x14ac:dyDescent="0.35">
      <c r="E12741" s="35"/>
      <c r="J12741" s="41"/>
    </row>
    <row r="12742" spans="5:10" s="34" customFormat="1" x14ac:dyDescent="0.35">
      <c r="E12742" s="35"/>
      <c r="J12742" s="41"/>
    </row>
    <row r="12743" spans="5:10" s="34" customFormat="1" x14ac:dyDescent="0.35">
      <c r="E12743" s="35"/>
      <c r="J12743" s="41"/>
    </row>
    <row r="12744" spans="5:10" s="34" customFormat="1" x14ac:dyDescent="0.35">
      <c r="E12744" s="35"/>
      <c r="J12744" s="41"/>
    </row>
    <row r="12745" spans="5:10" s="34" customFormat="1" x14ac:dyDescent="0.35">
      <c r="E12745" s="35"/>
      <c r="J12745" s="41"/>
    </row>
    <row r="12746" spans="5:10" s="34" customFormat="1" x14ac:dyDescent="0.35">
      <c r="E12746" s="35"/>
      <c r="J12746" s="41"/>
    </row>
    <row r="12747" spans="5:10" s="34" customFormat="1" x14ac:dyDescent="0.35">
      <c r="E12747" s="35"/>
      <c r="J12747" s="41"/>
    </row>
    <row r="12748" spans="5:10" s="34" customFormat="1" x14ac:dyDescent="0.35">
      <c r="E12748" s="35"/>
      <c r="J12748" s="41"/>
    </row>
    <row r="12749" spans="5:10" s="34" customFormat="1" x14ac:dyDescent="0.35">
      <c r="E12749" s="35"/>
      <c r="J12749" s="41"/>
    </row>
    <row r="12750" spans="5:10" s="34" customFormat="1" x14ac:dyDescent="0.35">
      <c r="E12750" s="35"/>
      <c r="J12750" s="41"/>
    </row>
    <row r="12751" spans="5:10" s="34" customFormat="1" x14ac:dyDescent="0.35">
      <c r="E12751" s="35"/>
      <c r="J12751" s="41"/>
    </row>
    <row r="12752" spans="5:10" s="34" customFormat="1" x14ac:dyDescent="0.35">
      <c r="E12752" s="35"/>
      <c r="J12752" s="41"/>
    </row>
    <row r="12753" spans="5:10" s="34" customFormat="1" x14ac:dyDescent="0.35">
      <c r="E12753" s="35"/>
      <c r="J12753" s="41"/>
    </row>
    <row r="12754" spans="5:10" s="34" customFormat="1" x14ac:dyDescent="0.35">
      <c r="E12754" s="35"/>
      <c r="J12754" s="41"/>
    </row>
    <row r="12755" spans="5:10" s="34" customFormat="1" x14ac:dyDescent="0.35">
      <c r="E12755" s="35"/>
      <c r="J12755" s="41"/>
    </row>
    <row r="12756" spans="5:10" s="34" customFormat="1" x14ac:dyDescent="0.35">
      <c r="E12756" s="35"/>
      <c r="J12756" s="41"/>
    </row>
    <row r="12757" spans="5:10" s="34" customFormat="1" x14ac:dyDescent="0.35">
      <c r="E12757" s="35"/>
      <c r="J12757" s="41"/>
    </row>
    <row r="12758" spans="5:10" s="34" customFormat="1" x14ac:dyDescent="0.35">
      <c r="E12758" s="35"/>
      <c r="J12758" s="41"/>
    </row>
    <row r="12759" spans="5:10" s="34" customFormat="1" x14ac:dyDescent="0.35">
      <c r="E12759" s="35"/>
      <c r="J12759" s="41"/>
    </row>
    <row r="12760" spans="5:10" s="34" customFormat="1" x14ac:dyDescent="0.35">
      <c r="E12760" s="35"/>
      <c r="J12760" s="41"/>
    </row>
    <row r="12761" spans="5:10" s="34" customFormat="1" x14ac:dyDescent="0.35">
      <c r="E12761" s="35"/>
      <c r="J12761" s="41"/>
    </row>
    <row r="12762" spans="5:10" s="34" customFormat="1" x14ac:dyDescent="0.35">
      <c r="E12762" s="35"/>
      <c r="J12762" s="41"/>
    </row>
    <row r="12763" spans="5:10" s="34" customFormat="1" x14ac:dyDescent="0.35">
      <c r="E12763" s="35"/>
      <c r="J12763" s="41"/>
    </row>
    <row r="12764" spans="5:10" s="34" customFormat="1" x14ac:dyDescent="0.35">
      <c r="E12764" s="35"/>
      <c r="J12764" s="41"/>
    </row>
    <row r="12765" spans="5:10" s="34" customFormat="1" x14ac:dyDescent="0.35">
      <c r="E12765" s="35"/>
      <c r="J12765" s="41"/>
    </row>
    <row r="12766" spans="5:10" s="34" customFormat="1" x14ac:dyDescent="0.35">
      <c r="E12766" s="35"/>
      <c r="J12766" s="41"/>
    </row>
    <row r="12767" spans="5:10" s="34" customFormat="1" x14ac:dyDescent="0.35">
      <c r="E12767" s="35"/>
      <c r="J12767" s="41"/>
    </row>
    <row r="12768" spans="5:10" s="34" customFormat="1" x14ac:dyDescent="0.35">
      <c r="E12768" s="35"/>
      <c r="J12768" s="41"/>
    </row>
    <row r="12769" spans="5:10" s="34" customFormat="1" x14ac:dyDescent="0.35">
      <c r="E12769" s="35"/>
      <c r="J12769" s="41"/>
    </row>
    <row r="12770" spans="5:10" s="34" customFormat="1" x14ac:dyDescent="0.35">
      <c r="E12770" s="35"/>
      <c r="J12770" s="41"/>
    </row>
    <row r="12771" spans="5:10" s="34" customFormat="1" x14ac:dyDescent="0.35">
      <c r="E12771" s="35"/>
      <c r="J12771" s="41"/>
    </row>
    <row r="12772" spans="5:10" s="34" customFormat="1" x14ac:dyDescent="0.35">
      <c r="E12772" s="35"/>
      <c r="J12772" s="41"/>
    </row>
    <row r="12773" spans="5:10" s="34" customFormat="1" x14ac:dyDescent="0.35">
      <c r="E12773" s="35"/>
      <c r="J12773" s="41"/>
    </row>
    <row r="12774" spans="5:10" s="34" customFormat="1" x14ac:dyDescent="0.35">
      <c r="E12774" s="35"/>
      <c r="J12774" s="41"/>
    </row>
    <row r="12775" spans="5:10" s="34" customFormat="1" x14ac:dyDescent="0.35">
      <c r="E12775" s="35"/>
      <c r="J12775" s="41"/>
    </row>
    <row r="12776" spans="5:10" s="34" customFormat="1" x14ac:dyDescent="0.35">
      <c r="E12776" s="35"/>
      <c r="J12776" s="41"/>
    </row>
    <row r="12777" spans="5:10" s="34" customFormat="1" x14ac:dyDescent="0.35">
      <c r="E12777" s="35"/>
      <c r="J12777" s="41"/>
    </row>
    <row r="12778" spans="5:10" s="34" customFormat="1" x14ac:dyDescent="0.35">
      <c r="E12778" s="35"/>
      <c r="J12778" s="41"/>
    </row>
    <row r="12779" spans="5:10" s="34" customFormat="1" x14ac:dyDescent="0.35">
      <c r="E12779" s="35"/>
      <c r="J12779" s="41"/>
    </row>
    <row r="12780" spans="5:10" s="34" customFormat="1" x14ac:dyDescent="0.35">
      <c r="E12780" s="35"/>
      <c r="J12780" s="41"/>
    </row>
    <row r="12781" spans="5:10" s="34" customFormat="1" x14ac:dyDescent="0.35">
      <c r="E12781" s="35"/>
      <c r="J12781" s="41"/>
    </row>
    <row r="12782" spans="5:10" s="34" customFormat="1" x14ac:dyDescent="0.35">
      <c r="E12782" s="35"/>
      <c r="J12782" s="41"/>
    </row>
    <row r="12783" spans="5:10" s="34" customFormat="1" x14ac:dyDescent="0.35">
      <c r="E12783" s="35"/>
      <c r="J12783" s="41"/>
    </row>
    <row r="12784" spans="5:10" s="34" customFormat="1" x14ac:dyDescent="0.35">
      <c r="E12784" s="35"/>
      <c r="J12784" s="41"/>
    </row>
    <row r="12785" spans="5:10" s="34" customFormat="1" x14ac:dyDescent="0.35">
      <c r="E12785" s="35"/>
      <c r="J12785" s="41"/>
    </row>
    <row r="12786" spans="5:10" s="34" customFormat="1" x14ac:dyDescent="0.35">
      <c r="E12786" s="35"/>
      <c r="J12786" s="41"/>
    </row>
    <row r="12787" spans="5:10" s="34" customFormat="1" x14ac:dyDescent="0.35">
      <c r="E12787" s="35"/>
      <c r="J12787" s="41"/>
    </row>
    <row r="12788" spans="5:10" s="34" customFormat="1" x14ac:dyDescent="0.35">
      <c r="E12788" s="35"/>
      <c r="J12788" s="41"/>
    </row>
    <row r="12789" spans="5:10" s="34" customFormat="1" x14ac:dyDescent="0.35">
      <c r="E12789" s="35"/>
      <c r="J12789" s="41"/>
    </row>
    <row r="12790" spans="5:10" s="34" customFormat="1" x14ac:dyDescent="0.35">
      <c r="E12790" s="35"/>
      <c r="J12790" s="41"/>
    </row>
    <row r="12791" spans="5:10" s="34" customFormat="1" x14ac:dyDescent="0.35">
      <c r="E12791" s="35"/>
      <c r="J12791" s="41"/>
    </row>
    <row r="12792" spans="5:10" s="34" customFormat="1" x14ac:dyDescent="0.35">
      <c r="E12792" s="35"/>
      <c r="J12792" s="41"/>
    </row>
    <row r="12793" spans="5:10" s="34" customFormat="1" x14ac:dyDescent="0.35">
      <c r="E12793" s="35"/>
      <c r="J12793" s="41"/>
    </row>
    <row r="12794" spans="5:10" s="34" customFormat="1" x14ac:dyDescent="0.35">
      <c r="E12794" s="35"/>
      <c r="J12794" s="41"/>
    </row>
    <row r="12795" spans="5:10" s="34" customFormat="1" x14ac:dyDescent="0.35">
      <c r="E12795" s="35"/>
      <c r="J12795" s="41"/>
    </row>
    <row r="12796" spans="5:10" s="34" customFormat="1" x14ac:dyDescent="0.35">
      <c r="E12796" s="35"/>
      <c r="J12796" s="41"/>
    </row>
    <row r="12797" spans="5:10" s="34" customFormat="1" x14ac:dyDescent="0.35">
      <c r="E12797" s="35"/>
      <c r="J12797" s="41"/>
    </row>
    <row r="12798" spans="5:10" s="34" customFormat="1" x14ac:dyDescent="0.35">
      <c r="E12798" s="35"/>
      <c r="J12798" s="41"/>
    </row>
    <row r="12799" spans="5:10" s="34" customFormat="1" x14ac:dyDescent="0.35">
      <c r="E12799" s="35"/>
      <c r="J12799" s="41"/>
    </row>
    <row r="12800" spans="5:10" s="34" customFormat="1" x14ac:dyDescent="0.35">
      <c r="E12800" s="35"/>
      <c r="J12800" s="41"/>
    </row>
    <row r="12801" spans="5:10" s="34" customFormat="1" x14ac:dyDescent="0.35">
      <c r="E12801" s="35"/>
      <c r="J12801" s="41"/>
    </row>
    <row r="12802" spans="5:10" s="34" customFormat="1" x14ac:dyDescent="0.35">
      <c r="E12802" s="35"/>
      <c r="J12802" s="41"/>
    </row>
    <row r="12803" spans="5:10" s="34" customFormat="1" x14ac:dyDescent="0.35">
      <c r="E12803" s="35"/>
      <c r="J12803" s="41"/>
    </row>
    <row r="12804" spans="5:10" s="34" customFormat="1" x14ac:dyDescent="0.35">
      <c r="E12804" s="35"/>
      <c r="J12804" s="41"/>
    </row>
    <row r="12805" spans="5:10" s="34" customFormat="1" x14ac:dyDescent="0.35">
      <c r="E12805" s="35"/>
      <c r="J12805" s="41"/>
    </row>
    <row r="12806" spans="5:10" s="34" customFormat="1" x14ac:dyDescent="0.35">
      <c r="E12806" s="35"/>
      <c r="J12806" s="41"/>
    </row>
    <row r="12807" spans="5:10" s="34" customFormat="1" x14ac:dyDescent="0.35">
      <c r="E12807" s="35"/>
      <c r="J12807" s="41"/>
    </row>
    <row r="12808" spans="5:10" s="34" customFormat="1" x14ac:dyDescent="0.35">
      <c r="E12808" s="35"/>
      <c r="J12808" s="41"/>
    </row>
    <row r="12809" spans="5:10" s="34" customFormat="1" x14ac:dyDescent="0.35">
      <c r="E12809" s="35"/>
      <c r="J12809" s="41"/>
    </row>
    <row r="12810" spans="5:10" s="34" customFormat="1" x14ac:dyDescent="0.35">
      <c r="E12810" s="35"/>
      <c r="J12810" s="41"/>
    </row>
    <row r="12811" spans="5:10" s="34" customFormat="1" x14ac:dyDescent="0.35">
      <c r="E12811" s="35"/>
      <c r="J12811" s="41"/>
    </row>
    <row r="12812" spans="5:10" s="34" customFormat="1" x14ac:dyDescent="0.35">
      <c r="E12812" s="35"/>
      <c r="J12812" s="41"/>
    </row>
    <row r="12813" spans="5:10" s="34" customFormat="1" x14ac:dyDescent="0.35">
      <c r="E12813" s="35"/>
      <c r="J12813" s="41"/>
    </row>
    <row r="12814" spans="5:10" s="34" customFormat="1" x14ac:dyDescent="0.35">
      <c r="E12814" s="35"/>
      <c r="J12814" s="41"/>
    </row>
    <row r="12815" spans="5:10" s="34" customFormat="1" x14ac:dyDescent="0.35">
      <c r="E12815" s="35"/>
      <c r="J12815" s="41"/>
    </row>
    <row r="12816" spans="5:10" s="34" customFormat="1" x14ac:dyDescent="0.35">
      <c r="E12816" s="35"/>
      <c r="J12816" s="41"/>
    </row>
    <row r="12817" spans="5:10" s="34" customFormat="1" x14ac:dyDescent="0.35">
      <c r="E12817" s="35"/>
      <c r="J12817" s="41"/>
    </row>
    <row r="12818" spans="5:10" s="34" customFormat="1" x14ac:dyDescent="0.35">
      <c r="E12818" s="35"/>
      <c r="J12818" s="41"/>
    </row>
    <row r="12819" spans="5:10" s="34" customFormat="1" x14ac:dyDescent="0.35">
      <c r="E12819" s="35"/>
      <c r="J12819" s="41"/>
    </row>
    <row r="12820" spans="5:10" s="34" customFormat="1" x14ac:dyDescent="0.35">
      <c r="E12820" s="35"/>
      <c r="J12820" s="41"/>
    </row>
    <row r="12821" spans="5:10" s="34" customFormat="1" x14ac:dyDescent="0.35">
      <c r="E12821" s="35"/>
      <c r="J12821" s="41"/>
    </row>
    <row r="12822" spans="5:10" s="34" customFormat="1" x14ac:dyDescent="0.35">
      <c r="E12822" s="35"/>
      <c r="J12822" s="41"/>
    </row>
    <row r="12823" spans="5:10" s="34" customFormat="1" x14ac:dyDescent="0.35">
      <c r="E12823" s="35"/>
      <c r="J12823" s="41"/>
    </row>
    <row r="12824" spans="5:10" s="34" customFormat="1" x14ac:dyDescent="0.35">
      <c r="E12824" s="35"/>
      <c r="J12824" s="41"/>
    </row>
    <row r="12825" spans="5:10" s="34" customFormat="1" x14ac:dyDescent="0.35">
      <c r="E12825" s="35"/>
      <c r="J12825" s="41"/>
    </row>
    <row r="12826" spans="5:10" s="34" customFormat="1" x14ac:dyDescent="0.35">
      <c r="E12826" s="35"/>
      <c r="J12826" s="41"/>
    </row>
    <row r="12827" spans="5:10" s="34" customFormat="1" x14ac:dyDescent="0.35">
      <c r="E12827" s="35"/>
      <c r="J12827" s="41"/>
    </row>
    <row r="12828" spans="5:10" s="34" customFormat="1" x14ac:dyDescent="0.35">
      <c r="E12828" s="35"/>
      <c r="J12828" s="41"/>
    </row>
    <row r="12829" spans="5:10" s="34" customFormat="1" x14ac:dyDescent="0.35">
      <c r="E12829" s="35"/>
      <c r="J12829" s="41"/>
    </row>
    <row r="12830" spans="5:10" s="34" customFormat="1" x14ac:dyDescent="0.35">
      <c r="E12830" s="35"/>
      <c r="J12830" s="41"/>
    </row>
    <row r="12831" spans="5:10" s="34" customFormat="1" x14ac:dyDescent="0.35">
      <c r="E12831" s="35"/>
      <c r="J12831" s="41"/>
    </row>
    <row r="12832" spans="5:10" s="34" customFormat="1" x14ac:dyDescent="0.35">
      <c r="E12832" s="35"/>
      <c r="J12832" s="41"/>
    </row>
    <row r="12833" spans="5:10" s="34" customFormat="1" x14ac:dyDescent="0.35">
      <c r="E12833" s="35"/>
      <c r="J12833" s="41"/>
    </row>
    <row r="12834" spans="5:10" s="34" customFormat="1" x14ac:dyDescent="0.35">
      <c r="E12834" s="35"/>
      <c r="J12834" s="41"/>
    </row>
    <row r="12835" spans="5:10" s="34" customFormat="1" x14ac:dyDescent="0.35">
      <c r="E12835" s="35"/>
      <c r="J12835" s="41"/>
    </row>
    <row r="12836" spans="5:10" s="34" customFormat="1" x14ac:dyDescent="0.35">
      <c r="E12836" s="35"/>
      <c r="J12836" s="41"/>
    </row>
    <row r="12837" spans="5:10" s="34" customFormat="1" x14ac:dyDescent="0.35">
      <c r="E12837" s="35"/>
      <c r="J12837" s="41"/>
    </row>
    <row r="12838" spans="5:10" s="34" customFormat="1" x14ac:dyDescent="0.35">
      <c r="E12838" s="35"/>
      <c r="J12838" s="41"/>
    </row>
    <row r="12839" spans="5:10" s="34" customFormat="1" x14ac:dyDescent="0.35">
      <c r="E12839" s="35"/>
      <c r="J12839" s="41"/>
    </row>
    <row r="12840" spans="5:10" s="34" customFormat="1" x14ac:dyDescent="0.35">
      <c r="E12840" s="35"/>
      <c r="J12840" s="41"/>
    </row>
    <row r="12841" spans="5:10" s="34" customFormat="1" x14ac:dyDescent="0.35">
      <c r="E12841" s="35"/>
      <c r="J12841" s="41"/>
    </row>
    <row r="12842" spans="5:10" s="34" customFormat="1" x14ac:dyDescent="0.35">
      <c r="E12842" s="35"/>
      <c r="J12842" s="41"/>
    </row>
    <row r="12843" spans="5:10" s="34" customFormat="1" x14ac:dyDescent="0.35">
      <c r="E12843" s="35"/>
      <c r="J12843" s="41"/>
    </row>
    <row r="12844" spans="5:10" s="34" customFormat="1" x14ac:dyDescent="0.35">
      <c r="E12844" s="35"/>
      <c r="J12844" s="41"/>
    </row>
    <row r="12845" spans="5:10" s="34" customFormat="1" x14ac:dyDescent="0.35">
      <c r="E12845" s="35"/>
      <c r="J12845" s="41"/>
    </row>
    <row r="12846" spans="5:10" s="34" customFormat="1" x14ac:dyDescent="0.35">
      <c r="E12846" s="35"/>
      <c r="J12846" s="41"/>
    </row>
    <row r="12847" spans="5:10" s="34" customFormat="1" x14ac:dyDescent="0.35">
      <c r="E12847" s="35"/>
      <c r="J12847" s="41"/>
    </row>
    <row r="12848" spans="5:10" s="34" customFormat="1" x14ac:dyDescent="0.35">
      <c r="E12848" s="35"/>
      <c r="J12848" s="41"/>
    </row>
    <row r="12849" spans="5:10" s="34" customFormat="1" x14ac:dyDescent="0.35">
      <c r="E12849" s="35"/>
      <c r="J12849" s="41"/>
    </row>
    <row r="12850" spans="5:10" s="34" customFormat="1" x14ac:dyDescent="0.35">
      <c r="E12850" s="35"/>
      <c r="J12850" s="41"/>
    </row>
    <row r="12851" spans="5:10" s="34" customFormat="1" x14ac:dyDescent="0.35">
      <c r="E12851" s="35"/>
      <c r="J12851" s="41"/>
    </row>
    <row r="12852" spans="5:10" s="34" customFormat="1" x14ac:dyDescent="0.35">
      <c r="E12852" s="35"/>
      <c r="J12852" s="41"/>
    </row>
    <row r="12853" spans="5:10" s="34" customFormat="1" x14ac:dyDescent="0.35">
      <c r="E12853" s="35"/>
      <c r="J12853" s="41"/>
    </row>
    <row r="12854" spans="5:10" s="34" customFormat="1" x14ac:dyDescent="0.35">
      <c r="E12854" s="35"/>
      <c r="J12854" s="41"/>
    </row>
    <row r="12855" spans="5:10" s="34" customFormat="1" x14ac:dyDescent="0.35">
      <c r="E12855" s="35"/>
      <c r="J12855" s="41"/>
    </row>
    <row r="12856" spans="5:10" s="34" customFormat="1" x14ac:dyDescent="0.35">
      <c r="E12856" s="35"/>
      <c r="J12856" s="41"/>
    </row>
    <row r="12857" spans="5:10" s="34" customFormat="1" x14ac:dyDescent="0.35">
      <c r="E12857" s="35"/>
      <c r="J12857" s="41"/>
    </row>
    <row r="12858" spans="5:10" s="34" customFormat="1" x14ac:dyDescent="0.35">
      <c r="E12858" s="35"/>
      <c r="J12858" s="41"/>
    </row>
    <row r="12859" spans="5:10" s="34" customFormat="1" x14ac:dyDescent="0.35">
      <c r="E12859" s="35"/>
      <c r="J12859" s="41"/>
    </row>
    <row r="12860" spans="5:10" s="34" customFormat="1" x14ac:dyDescent="0.35">
      <c r="E12860" s="35"/>
      <c r="J12860" s="41"/>
    </row>
    <row r="12861" spans="5:10" s="34" customFormat="1" x14ac:dyDescent="0.35">
      <c r="E12861" s="35"/>
      <c r="J12861" s="41"/>
    </row>
    <row r="12862" spans="5:10" s="34" customFormat="1" x14ac:dyDescent="0.35">
      <c r="E12862" s="35"/>
      <c r="J12862" s="41"/>
    </row>
    <row r="12863" spans="5:10" s="34" customFormat="1" x14ac:dyDescent="0.35">
      <c r="E12863" s="35"/>
      <c r="J12863" s="41"/>
    </row>
    <row r="12864" spans="5:10" s="34" customFormat="1" x14ac:dyDescent="0.35">
      <c r="E12864" s="35"/>
      <c r="J12864" s="41"/>
    </row>
    <row r="12865" spans="5:10" s="34" customFormat="1" x14ac:dyDescent="0.35">
      <c r="E12865" s="35"/>
      <c r="J12865" s="41"/>
    </row>
    <row r="12866" spans="5:10" s="34" customFormat="1" x14ac:dyDescent="0.35">
      <c r="E12866" s="35"/>
      <c r="J12866" s="41"/>
    </row>
    <row r="12867" spans="5:10" s="34" customFormat="1" x14ac:dyDescent="0.35">
      <c r="E12867" s="35"/>
      <c r="J12867" s="41"/>
    </row>
    <row r="12868" spans="5:10" s="34" customFormat="1" x14ac:dyDescent="0.35">
      <c r="E12868" s="35"/>
      <c r="J12868" s="41"/>
    </row>
    <row r="12869" spans="5:10" s="34" customFormat="1" x14ac:dyDescent="0.35">
      <c r="E12869" s="35"/>
      <c r="J12869" s="41"/>
    </row>
    <row r="12870" spans="5:10" s="34" customFormat="1" x14ac:dyDescent="0.35">
      <c r="E12870" s="35"/>
      <c r="J12870" s="41"/>
    </row>
    <row r="12871" spans="5:10" s="34" customFormat="1" x14ac:dyDescent="0.35">
      <c r="E12871" s="35"/>
      <c r="J12871" s="41"/>
    </row>
    <row r="12872" spans="5:10" s="34" customFormat="1" x14ac:dyDescent="0.35">
      <c r="E12872" s="35"/>
      <c r="J12872" s="41"/>
    </row>
    <row r="12873" spans="5:10" s="34" customFormat="1" x14ac:dyDescent="0.35">
      <c r="E12873" s="35"/>
      <c r="J12873" s="41"/>
    </row>
    <row r="12874" spans="5:10" s="34" customFormat="1" x14ac:dyDescent="0.35">
      <c r="E12874" s="35"/>
      <c r="J12874" s="41"/>
    </row>
    <row r="12875" spans="5:10" s="34" customFormat="1" x14ac:dyDescent="0.35">
      <c r="E12875" s="35"/>
      <c r="J12875" s="41"/>
    </row>
    <row r="12876" spans="5:10" s="34" customFormat="1" x14ac:dyDescent="0.35">
      <c r="E12876" s="35"/>
      <c r="J12876" s="41"/>
    </row>
    <row r="12877" spans="5:10" s="34" customFormat="1" x14ac:dyDescent="0.35">
      <c r="E12877" s="35"/>
      <c r="J12877" s="41"/>
    </row>
    <row r="12878" spans="5:10" s="34" customFormat="1" x14ac:dyDescent="0.35">
      <c r="E12878" s="35"/>
      <c r="J12878" s="41"/>
    </row>
    <row r="12879" spans="5:10" s="34" customFormat="1" x14ac:dyDescent="0.35">
      <c r="E12879" s="35"/>
      <c r="J12879" s="41"/>
    </row>
    <row r="12880" spans="5:10" s="34" customFormat="1" x14ac:dyDescent="0.35">
      <c r="E12880" s="35"/>
      <c r="J12880" s="41"/>
    </row>
    <row r="12881" spans="5:10" s="34" customFormat="1" x14ac:dyDescent="0.35">
      <c r="E12881" s="35"/>
      <c r="J12881" s="41"/>
    </row>
    <row r="12882" spans="5:10" s="34" customFormat="1" x14ac:dyDescent="0.35">
      <c r="E12882" s="35"/>
      <c r="J12882" s="41"/>
    </row>
    <row r="12883" spans="5:10" s="34" customFormat="1" x14ac:dyDescent="0.35">
      <c r="E12883" s="35"/>
      <c r="J12883" s="41"/>
    </row>
    <row r="12884" spans="5:10" s="34" customFormat="1" x14ac:dyDescent="0.35">
      <c r="E12884" s="35"/>
      <c r="J12884" s="41"/>
    </row>
    <row r="12885" spans="5:10" s="34" customFormat="1" x14ac:dyDescent="0.35">
      <c r="E12885" s="35"/>
      <c r="J12885" s="41"/>
    </row>
    <row r="12886" spans="5:10" s="34" customFormat="1" x14ac:dyDescent="0.35">
      <c r="E12886" s="35"/>
      <c r="J12886" s="41"/>
    </row>
    <row r="12887" spans="5:10" s="34" customFormat="1" x14ac:dyDescent="0.35">
      <c r="E12887" s="35"/>
      <c r="J12887" s="41"/>
    </row>
    <row r="12888" spans="5:10" s="34" customFormat="1" x14ac:dyDescent="0.35">
      <c r="E12888" s="35"/>
      <c r="J12888" s="41"/>
    </row>
    <row r="12889" spans="5:10" s="34" customFormat="1" x14ac:dyDescent="0.35">
      <c r="E12889" s="35"/>
      <c r="J12889" s="41"/>
    </row>
    <row r="12890" spans="5:10" s="34" customFormat="1" x14ac:dyDescent="0.35">
      <c r="E12890" s="35"/>
      <c r="J12890" s="41"/>
    </row>
    <row r="12891" spans="5:10" s="34" customFormat="1" x14ac:dyDescent="0.35">
      <c r="E12891" s="35"/>
      <c r="J12891" s="41"/>
    </row>
    <row r="12892" spans="5:10" s="34" customFormat="1" x14ac:dyDescent="0.35">
      <c r="E12892" s="35"/>
      <c r="J12892" s="41"/>
    </row>
    <row r="12893" spans="5:10" s="34" customFormat="1" x14ac:dyDescent="0.35">
      <c r="E12893" s="35"/>
      <c r="J12893" s="41"/>
    </row>
    <row r="12894" spans="5:10" s="34" customFormat="1" x14ac:dyDescent="0.35">
      <c r="E12894" s="35"/>
      <c r="J12894" s="41"/>
    </row>
    <row r="12895" spans="5:10" s="34" customFormat="1" x14ac:dyDescent="0.35">
      <c r="E12895" s="35"/>
      <c r="J12895" s="41"/>
    </row>
    <row r="12896" spans="5:10" s="34" customFormat="1" x14ac:dyDescent="0.35">
      <c r="E12896" s="35"/>
      <c r="J12896" s="41"/>
    </row>
    <row r="12897" spans="5:10" s="34" customFormat="1" x14ac:dyDescent="0.35">
      <c r="E12897" s="35"/>
      <c r="J12897" s="41"/>
    </row>
    <row r="12898" spans="5:10" s="34" customFormat="1" x14ac:dyDescent="0.35">
      <c r="E12898" s="35"/>
      <c r="J12898" s="41"/>
    </row>
    <row r="12899" spans="5:10" s="34" customFormat="1" x14ac:dyDescent="0.35">
      <c r="E12899" s="35"/>
      <c r="J12899" s="41"/>
    </row>
    <row r="12900" spans="5:10" s="34" customFormat="1" x14ac:dyDescent="0.35">
      <c r="E12900" s="35"/>
      <c r="J12900" s="41"/>
    </row>
    <row r="12901" spans="5:10" s="34" customFormat="1" x14ac:dyDescent="0.35">
      <c r="E12901" s="35"/>
      <c r="J12901" s="41"/>
    </row>
    <row r="12902" spans="5:10" s="34" customFormat="1" x14ac:dyDescent="0.35">
      <c r="E12902" s="35"/>
      <c r="J12902" s="41"/>
    </row>
    <row r="12903" spans="5:10" s="34" customFormat="1" x14ac:dyDescent="0.35">
      <c r="E12903" s="35"/>
      <c r="J12903" s="41"/>
    </row>
    <row r="12904" spans="5:10" s="34" customFormat="1" x14ac:dyDescent="0.35">
      <c r="E12904" s="35"/>
      <c r="J12904" s="41"/>
    </row>
    <row r="12905" spans="5:10" s="34" customFormat="1" x14ac:dyDescent="0.35">
      <c r="E12905" s="35"/>
      <c r="J12905" s="41"/>
    </row>
    <row r="12906" spans="5:10" s="34" customFormat="1" x14ac:dyDescent="0.35">
      <c r="E12906" s="35"/>
      <c r="J12906" s="41"/>
    </row>
    <row r="12907" spans="5:10" s="34" customFormat="1" x14ac:dyDescent="0.35">
      <c r="E12907" s="35"/>
      <c r="J12907" s="41"/>
    </row>
    <row r="12908" spans="5:10" s="34" customFormat="1" x14ac:dyDescent="0.35">
      <c r="E12908" s="35"/>
      <c r="J12908" s="41"/>
    </row>
    <row r="12909" spans="5:10" s="34" customFormat="1" x14ac:dyDescent="0.35">
      <c r="E12909" s="35"/>
      <c r="J12909" s="41"/>
    </row>
    <row r="12910" spans="5:10" s="34" customFormat="1" x14ac:dyDescent="0.35">
      <c r="E12910" s="35"/>
      <c r="J12910" s="41"/>
    </row>
    <row r="12911" spans="5:10" s="34" customFormat="1" x14ac:dyDescent="0.35">
      <c r="E12911" s="35"/>
      <c r="J12911" s="41"/>
    </row>
    <row r="12912" spans="5:10" s="34" customFormat="1" x14ac:dyDescent="0.35">
      <c r="E12912" s="35"/>
      <c r="J12912" s="41"/>
    </row>
    <row r="12913" spans="5:10" s="34" customFormat="1" x14ac:dyDescent="0.35">
      <c r="E12913" s="35"/>
      <c r="J12913" s="41"/>
    </row>
    <row r="12914" spans="5:10" s="34" customFormat="1" x14ac:dyDescent="0.35">
      <c r="E12914" s="35"/>
      <c r="J12914" s="41"/>
    </row>
    <row r="12915" spans="5:10" s="34" customFormat="1" x14ac:dyDescent="0.35">
      <c r="E12915" s="35"/>
      <c r="J12915" s="41"/>
    </row>
    <row r="12916" spans="5:10" s="34" customFormat="1" x14ac:dyDescent="0.35">
      <c r="E12916" s="35"/>
      <c r="J12916" s="41"/>
    </row>
    <row r="12917" spans="5:10" s="34" customFormat="1" x14ac:dyDescent="0.35">
      <c r="E12917" s="35"/>
      <c r="J12917" s="41"/>
    </row>
    <row r="12918" spans="5:10" s="34" customFormat="1" x14ac:dyDescent="0.35">
      <c r="E12918" s="35"/>
      <c r="J12918" s="41"/>
    </row>
    <row r="12919" spans="5:10" s="34" customFormat="1" x14ac:dyDescent="0.35">
      <c r="E12919" s="35"/>
      <c r="J12919" s="41"/>
    </row>
    <row r="12920" spans="5:10" s="34" customFormat="1" x14ac:dyDescent="0.35">
      <c r="E12920" s="35"/>
      <c r="J12920" s="41"/>
    </row>
    <row r="12921" spans="5:10" s="34" customFormat="1" x14ac:dyDescent="0.35">
      <c r="E12921" s="35"/>
      <c r="J12921" s="41"/>
    </row>
    <row r="12922" spans="5:10" s="34" customFormat="1" x14ac:dyDescent="0.35">
      <c r="E12922" s="35"/>
      <c r="J12922" s="41"/>
    </row>
    <row r="12923" spans="5:10" s="34" customFormat="1" x14ac:dyDescent="0.35">
      <c r="E12923" s="35"/>
      <c r="J12923" s="41"/>
    </row>
    <row r="12924" spans="5:10" s="34" customFormat="1" x14ac:dyDescent="0.35">
      <c r="E12924" s="35"/>
      <c r="J12924" s="41"/>
    </row>
    <row r="12925" spans="5:10" s="34" customFormat="1" x14ac:dyDescent="0.35">
      <c r="E12925" s="35"/>
      <c r="J12925" s="41"/>
    </row>
    <row r="12926" spans="5:10" s="34" customFormat="1" x14ac:dyDescent="0.35">
      <c r="E12926" s="35"/>
      <c r="J12926" s="41"/>
    </row>
    <row r="12927" spans="5:10" s="34" customFormat="1" x14ac:dyDescent="0.35">
      <c r="E12927" s="35"/>
      <c r="J12927" s="41"/>
    </row>
    <row r="12928" spans="5:10" s="34" customFormat="1" x14ac:dyDescent="0.35">
      <c r="E12928" s="35"/>
      <c r="J12928" s="41"/>
    </row>
    <row r="12929" spans="5:10" s="34" customFormat="1" x14ac:dyDescent="0.35">
      <c r="E12929" s="35"/>
      <c r="J12929" s="41"/>
    </row>
    <row r="12930" spans="5:10" s="34" customFormat="1" x14ac:dyDescent="0.35">
      <c r="E12930" s="35"/>
      <c r="J12930" s="41"/>
    </row>
    <row r="12931" spans="5:10" s="34" customFormat="1" x14ac:dyDescent="0.35">
      <c r="E12931" s="35"/>
      <c r="J12931" s="41"/>
    </row>
    <row r="12932" spans="5:10" s="34" customFormat="1" x14ac:dyDescent="0.35">
      <c r="E12932" s="35"/>
      <c r="J12932" s="41"/>
    </row>
    <row r="12933" spans="5:10" s="34" customFormat="1" x14ac:dyDescent="0.35">
      <c r="E12933" s="35"/>
      <c r="J12933" s="41"/>
    </row>
    <row r="12934" spans="5:10" s="34" customFormat="1" x14ac:dyDescent="0.35">
      <c r="E12934" s="35"/>
      <c r="J12934" s="41"/>
    </row>
    <row r="12935" spans="5:10" s="34" customFormat="1" x14ac:dyDescent="0.35">
      <c r="E12935" s="35"/>
      <c r="J12935" s="41"/>
    </row>
    <row r="12936" spans="5:10" s="34" customFormat="1" x14ac:dyDescent="0.35">
      <c r="E12936" s="35"/>
      <c r="J12936" s="41"/>
    </row>
    <row r="12937" spans="5:10" s="34" customFormat="1" x14ac:dyDescent="0.35">
      <c r="E12937" s="35"/>
      <c r="J12937" s="41"/>
    </row>
    <row r="12938" spans="5:10" s="34" customFormat="1" x14ac:dyDescent="0.35">
      <c r="E12938" s="35"/>
      <c r="J12938" s="41"/>
    </row>
    <row r="12939" spans="5:10" s="34" customFormat="1" x14ac:dyDescent="0.35">
      <c r="E12939" s="35"/>
      <c r="J12939" s="41"/>
    </row>
    <row r="12940" spans="5:10" s="34" customFormat="1" x14ac:dyDescent="0.35">
      <c r="E12940" s="35"/>
      <c r="J12940" s="41"/>
    </row>
    <row r="12941" spans="5:10" s="34" customFormat="1" x14ac:dyDescent="0.35">
      <c r="E12941" s="35"/>
      <c r="J12941" s="41"/>
    </row>
    <row r="12942" spans="5:10" s="34" customFormat="1" x14ac:dyDescent="0.35">
      <c r="E12942" s="35"/>
      <c r="J12942" s="41"/>
    </row>
    <row r="12943" spans="5:10" s="34" customFormat="1" x14ac:dyDescent="0.35">
      <c r="E12943" s="35"/>
      <c r="J12943" s="41"/>
    </row>
    <row r="12944" spans="5:10" s="34" customFormat="1" x14ac:dyDescent="0.35">
      <c r="E12944" s="35"/>
      <c r="J12944" s="41"/>
    </row>
    <row r="12945" spans="5:10" s="34" customFormat="1" x14ac:dyDescent="0.35">
      <c r="E12945" s="35"/>
      <c r="J12945" s="41"/>
    </row>
    <row r="12946" spans="5:10" s="34" customFormat="1" x14ac:dyDescent="0.35">
      <c r="E12946" s="35"/>
      <c r="J12946" s="41"/>
    </row>
    <row r="12947" spans="5:10" s="34" customFormat="1" x14ac:dyDescent="0.35">
      <c r="E12947" s="35"/>
      <c r="J12947" s="41"/>
    </row>
    <row r="12948" spans="5:10" s="34" customFormat="1" x14ac:dyDescent="0.35">
      <c r="E12948" s="35"/>
      <c r="J12948" s="41"/>
    </row>
    <row r="12949" spans="5:10" s="34" customFormat="1" x14ac:dyDescent="0.35">
      <c r="E12949" s="35"/>
      <c r="J12949" s="41"/>
    </row>
    <row r="12950" spans="5:10" s="34" customFormat="1" x14ac:dyDescent="0.35">
      <c r="E12950" s="35"/>
      <c r="J12950" s="41"/>
    </row>
    <row r="12951" spans="5:10" s="34" customFormat="1" x14ac:dyDescent="0.35">
      <c r="E12951" s="35"/>
      <c r="J12951" s="41"/>
    </row>
    <row r="12952" spans="5:10" s="34" customFormat="1" x14ac:dyDescent="0.35">
      <c r="E12952" s="35"/>
      <c r="J12952" s="41"/>
    </row>
    <row r="12953" spans="5:10" s="34" customFormat="1" x14ac:dyDescent="0.35">
      <c r="E12953" s="35"/>
      <c r="J12953" s="41"/>
    </row>
    <row r="12954" spans="5:10" s="34" customFormat="1" x14ac:dyDescent="0.35">
      <c r="E12954" s="35"/>
      <c r="J12954" s="41"/>
    </row>
    <row r="12955" spans="5:10" s="34" customFormat="1" x14ac:dyDescent="0.35">
      <c r="E12955" s="35"/>
      <c r="J12955" s="41"/>
    </row>
    <row r="12956" spans="5:10" s="34" customFormat="1" x14ac:dyDescent="0.35">
      <c r="E12956" s="35"/>
      <c r="J12956" s="41"/>
    </row>
    <row r="12957" spans="5:10" s="34" customFormat="1" x14ac:dyDescent="0.35">
      <c r="E12957" s="35"/>
      <c r="J12957" s="41"/>
    </row>
    <row r="12958" spans="5:10" s="34" customFormat="1" x14ac:dyDescent="0.35">
      <c r="E12958" s="35"/>
      <c r="J12958" s="41"/>
    </row>
    <row r="12959" spans="5:10" s="34" customFormat="1" x14ac:dyDescent="0.35">
      <c r="E12959" s="35"/>
      <c r="J12959" s="41"/>
    </row>
    <row r="12960" spans="5:10" s="34" customFormat="1" x14ac:dyDescent="0.35">
      <c r="E12960" s="35"/>
      <c r="J12960" s="41"/>
    </row>
    <row r="12961" spans="5:10" s="34" customFormat="1" x14ac:dyDescent="0.35">
      <c r="E12961" s="35"/>
      <c r="J12961" s="41"/>
    </row>
    <row r="12962" spans="5:10" s="34" customFormat="1" x14ac:dyDescent="0.35">
      <c r="E12962" s="35"/>
      <c r="J12962" s="41"/>
    </row>
    <row r="12963" spans="5:10" s="34" customFormat="1" x14ac:dyDescent="0.35">
      <c r="E12963" s="35"/>
      <c r="J12963" s="41"/>
    </row>
    <row r="12964" spans="5:10" s="34" customFormat="1" x14ac:dyDescent="0.35">
      <c r="E12964" s="35"/>
      <c r="J12964" s="41"/>
    </row>
    <row r="12965" spans="5:10" s="34" customFormat="1" x14ac:dyDescent="0.35">
      <c r="E12965" s="35"/>
      <c r="J12965" s="41"/>
    </row>
    <row r="12966" spans="5:10" s="34" customFormat="1" x14ac:dyDescent="0.35">
      <c r="E12966" s="35"/>
      <c r="J12966" s="41"/>
    </row>
    <row r="12967" spans="5:10" s="34" customFormat="1" x14ac:dyDescent="0.35">
      <c r="E12967" s="35"/>
      <c r="J12967" s="41"/>
    </row>
    <row r="12968" spans="5:10" s="34" customFormat="1" x14ac:dyDescent="0.35">
      <c r="E12968" s="35"/>
      <c r="J12968" s="41"/>
    </row>
    <row r="12969" spans="5:10" s="34" customFormat="1" x14ac:dyDescent="0.35">
      <c r="E12969" s="35"/>
      <c r="J12969" s="41"/>
    </row>
    <row r="12970" spans="5:10" s="34" customFormat="1" x14ac:dyDescent="0.35">
      <c r="E12970" s="35"/>
      <c r="J12970" s="41"/>
    </row>
    <row r="12971" spans="5:10" s="34" customFormat="1" x14ac:dyDescent="0.35">
      <c r="E12971" s="35"/>
      <c r="J12971" s="41"/>
    </row>
    <row r="12972" spans="5:10" s="34" customFormat="1" x14ac:dyDescent="0.35">
      <c r="E12972" s="35"/>
      <c r="J12972" s="41"/>
    </row>
    <row r="12973" spans="5:10" s="34" customFormat="1" x14ac:dyDescent="0.35">
      <c r="E12973" s="35"/>
      <c r="J12973" s="41"/>
    </row>
    <row r="12974" spans="5:10" s="34" customFormat="1" x14ac:dyDescent="0.35">
      <c r="E12974" s="35"/>
      <c r="J12974" s="41"/>
    </row>
    <row r="12975" spans="5:10" s="34" customFormat="1" x14ac:dyDescent="0.35">
      <c r="E12975" s="35"/>
      <c r="J12975" s="41"/>
    </row>
    <row r="12976" spans="5:10" s="34" customFormat="1" x14ac:dyDescent="0.35">
      <c r="E12976" s="35"/>
      <c r="J12976" s="41"/>
    </row>
    <row r="12977" spans="5:10" s="34" customFormat="1" x14ac:dyDescent="0.35">
      <c r="E12977" s="35"/>
      <c r="J12977" s="41"/>
    </row>
    <row r="12978" spans="5:10" s="34" customFormat="1" x14ac:dyDescent="0.35">
      <c r="E12978" s="35"/>
      <c r="J12978" s="41"/>
    </row>
    <row r="12979" spans="5:10" s="34" customFormat="1" x14ac:dyDescent="0.35">
      <c r="E12979" s="35"/>
      <c r="J12979" s="41"/>
    </row>
    <row r="12980" spans="5:10" s="34" customFormat="1" x14ac:dyDescent="0.35">
      <c r="E12980" s="35"/>
      <c r="J12980" s="41"/>
    </row>
    <row r="12981" spans="5:10" s="34" customFormat="1" x14ac:dyDescent="0.35">
      <c r="E12981" s="35"/>
      <c r="J12981" s="41"/>
    </row>
    <row r="12982" spans="5:10" s="34" customFormat="1" x14ac:dyDescent="0.35">
      <c r="E12982" s="35"/>
      <c r="J12982" s="41"/>
    </row>
    <row r="12983" spans="5:10" s="34" customFormat="1" x14ac:dyDescent="0.35">
      <c r="E12983" s="35"/>
      <c r="J12983" s="41"/>
    </row>
    <row r="12984" spans="5:10" s="34" customFormat="1" x14ac:dyDescent="0.35">
      <c r="E12984" s="35"/>
      <c r="J12984" s="41"/>
    </row>
    <row r="12985" spans="5:10" s="34" customFormat="1" x14ac:dyDescent="0.35">
      <c r="E12985" s="35"/>
      <c r="J12985" s="41"/>
    </row>
    <row r="12986" spans="5:10" s="34" customFormat="1" x14ac:dyDescent="0.35">
      <c r="E12986" s="35"/>
      <c r="J12986" s="41"/>
    </row>
    <row r="12987" spans="5:10" s="34" customFormat="1" x14ac:dyDescent="0.35">
      <c r="E12987" s="35"/>
      <c r="J12987" s="41"/>
    </row>
    <row r="12988" spans="5:10" s="34" customFormat="1" x14ac:dyDescent="0.35">
      <c r="E12988" s="35"/>
      <c r="J12988" s="41"/>
    </row>
    <row r="12989" spans="5:10" s="34" customFormat="1" x14ac:dyDescent="0.35">
      <c r="E12989" s="35"/>
      <c r="J12989" s="41"/>
    </row>
    <row r="12990" spans="5:10" s="34" customFormat="1" x14ac:dyDescent="0.35">
      <c r="E12990" s="35"/>
      <c r="J12990" s="41"/>
    </row>
    <row r="12991" spans="5:10" s="34" customFormat="1" x14ac:dyDescent="0.35">
      <c r="E12991" s="35"/>
      <c r="J12991" s="41"/>
    </row>
    <row r="12992" spans="5:10" s="34" customFormat="1" x14ac:dyDescent="0.35">
      <c r="E12992" s="35"/>
      <c r="J12992" s="41"/>
    </row>
    <row r="12993" spans="5:10" s="34" customFormat="1" x14ac:dyDescent="0.35">
      <c r="E12993" s="35"/>
      <c r="J12993" s="41"/>
    </row>
    <row r="12994" spans="5:10" s="34" customFormat="1" x14ac:dyDescent="0.35">
      <c r="E12994" s="35"/>
      <c r="J12994" s="41"/>
    </row>
    <row r="12995" spans="5:10" s="34" customFormat="1" x14ac:dyDescent="0.35">
      <c r="E12995" s="35"/>
      <c r="J12995" s="41"/>
    </row>
    <row r="12996" spans="5:10" s="34" customFormat="1" x14ac:dyDescent="0.35">
      <c r="E12996" s="35"/>
      <c r="J12996" s="41"/>
    </row>
    <row r="12997" spans="5:10" s="34" customFormat="1" x14ac:dyDescent="0.35">
      <c r="E12997" s="35"/>
      <c r="J12997" s="41"/>
    </row>
    <row r="12998" spans="5:10" s="34" customFormat="1" x14ac:dyDescent="0.35">
      <c r="E12998" s="35"/>
      <c r="J12998" s="41"/>
    </row>
    <row r="12999" spans="5:10" s="34" customFormat="1" x14ac:dyDescent="0.35">
      <c r="E12999" s="35"/>
      <c r="J12999" s="41"/>
    </row>
    <row r="13000" spans="5:10" s="34" customFormat="1" x14ac:dyDescent="0.35">
      <c r="E13000" s="35"/>
      <c r="J13000" s="41"/>
    </row>
    <row r="13001" spans="5:10" s="34" customFormat="1" x14ac:dyDescent="0.35">
      <c r="E13001" s="35"/>
      <c r="J13001" s="41"/>
    </row>
    <row r="13002" spans="5:10" s="34" customFormat="1" x14ac:dyDescent="0.35">
      <c r="E13002" s="35"/>
      <c r="J13002" s="41"/>
    </row>
    <row r="13003" spans="5:10" s="34" customFormat="1" x14ac:dyDescent="0.35">
      <c r="E13003" s="35"/>
      <c r="J13003" s="41"/>
    </row>
    <row r="13004" spans="5:10" s="34" customFormat="1" x14ac:dyDescent="0.35">
      <c r="E13004" s="35"/>
      <c r="J13004" s="41"/>
    </row>
    <row r="13005" spans="5:10" s="34" customFormat="1" x14ac:dyDescent="0.35">
      <c r="E13005" s="35"/>
      <c r="J13005" s="41"/>
    </row>
    <row r="13006" spans="5:10" s="34" customFormat="1" x14ac:dyDescent="0.35">
      <c r="E13006" s="35"/>
      <c r="J13006" s="41"/>
    </row>
    <row r="13007" spans="5:10" s="34" customFormat="1" x14ac:dyDescent="0.35">
      <c r="E13007" s="35"/>
      <c r="J13007" s="41"/>
    </row>
    <row r="13008" spans="5:10" s="34" customFormat="1" x14ac:dyDescent="0.35">
      <c r="E13008" s="35"/>
      <c r="J13008" s="41"/>
    </row>
    <row r="13009" spans="5:10" s="34" customFormat="1" x14ac:dyDescent="0.35">
      <c r="E13009" s="35"/>
      <c r="J13009" s="41"/>
    </row>
    <row r="13010" spans="5:10" s="34" customFormat="1" x14ac:dyDescent="0.35">
      <c r="E13010" s="35"/>
      <c r="J13010" s="41"/>
    </row>
    <row r="13011" spans="5:10" s="34" customFormat="1" x14ac:dyDescent="0.35">
      <c r="E13011" s="35"/>
      <c r="J13011" s="41"/>
    </row>
    <row r="13012" spans="5:10" s="34" customFormat="1" x14ac:dyDescent="0.35">
      <c r="E13012" s="35"/>
      <c r="J13012" s="41"/>
    </row>
    <row r="13013" spans="5:10" s="34" customFormat="1" x14ac:dyDescent="0.35">
      <c r="E13013" s="35"/>
      <c r="J13013" s="41"/>
    </row>
    <row r="13014" spans="5:10" s="34" customFormat="1" x14ac:dyDescent="0.35">
      <c r="E13014" s="35"/>
      <c r="J13014" s="41"/>
    </row>
    <row r="13015" spans="5:10" s="34" customFormat="1" x14ac:dyDescent="0.35">
      <c r="E13015" s="35"/>
      <c r="J13015" s="41"/>
    </row>
    <row r="13016" spans="5:10" s="34" customFormat="1" x14ac:dyDescent="0.35">
      <c r="E13016" s="35"/>
      <c r="J13016" s="41"/>
    </row>
    <row r="13017" spans="5:10" s="34" customFormat="1" x14ac:dyDescent="0.35">
      <c r="E13017" s="35"/>
      <c r="J13017" s="41"/>
    </row>
    <row r="13018" spans="5:10" s="34" customFormat="1" x14ac:dyDescent="0.35">
      <c r="E13018" s="35"/>
      <c r="J13018" s="41"/>
    </row>
    <row r="13019" spans="5:10" s="34" customFormat="1" x14ac:dyDescent="0.35">
      <c r="E13019" s="35"/>
      <c r="J13019" s="41"/>
    </row>
    <row r="13020" spans="5:10" s="34" customFormat="1" x14ac:dyDescent="0.35">
      <c r="E13020" s="35"/>
      <c r="J13020" s="41"/>
    </row>
    <row r="13021" spans="5:10" s="34" customFormat="1" x14ac:dyDescent="0.35">
      <c r="E13021" s="35"/>
      <c r="J13021" s="41"/>
    </row>
    <row r="13022" spans="5:10" s="34" customFormat="1" x14ac:dyDescent="0.35">
      <c r="E13022" s="35"/>
      <c r="J13022" s="41"/>
    </row>
    <row r="13023" spans="5:10" s="34" customFormat="1" x14ac:dyDescent="0.35">
      <c r="E13023" s="35"/>
      <c r="J13023" s="41"/>
    </row>
    <row r="13024" spans="5:10" s="34" customFormat="1" x14ac:dyDescent="0.35">
      <c r="E13024" s="35"/>
      <c r="J13024" s="41"/>
    </row>
    <row r="13025" spans="5:10" s="34" customFormat="1" x14ac:dyDescent="0.35">
      <c r="E13025" s="35"/>
      <c r="J13025" s="41"/>
    </row>
    <row r="13026" spans="5:10" s="34" customFormat="1" x14ac:dyDescent="0.35">
      <c r="E13026" s="35"/>
      <c r="J13026" s="41"/>
    </row>
    <row r="13027" spans="5:10" s="34" customFormat="1" x14ac:dyDescent="0.35">
      <c r="E13027" s="35"/>
      <c r="J13027" s="41"/>
    </row>
    <row r="13028" spans="5:10" s="34" customFormat="1" x14ac:dyDescent="0.35">
      <c r="E13028" s="35"/>
      <c r="J13028" s="41"/>
    </row>
    <row r="13029" spans="5:10" s="34" customFormat="1" x14ac:dyDescent="0.35">
      <c r="E13029" s="35"/>
      <c r="J13029" s="41"/>
    </row>
    <row r="13030" spans="5:10" s="34" customFormat="1" x14ac:dyDescent="0.35">
      <c r="E13030" s="35"/>
      <c r="J13030" s="41"/>
    </row>
    <row r="13031" spans="5:10" s="34" customFormat="1" x14ac:dyDescent="0.35">
      <c r="E13031" s="35"/>
      <c r="J13031" s="41"/>
    </row>
    <row r="13032" spans="5:10" s="34" customFormat="1" x14ac:dyDescent="0.35">
      <c r="E13032" s="35"/>
      <c r="J13032" s="41"/>
    </row>
    <row r="13033" spans="5:10" s="34" customFormat="1" x14ac:dyDescent="0.35">
      <c r="E13033" s="35"/>
      <c r="J13033" s="41"/>
    </row>
    <row r="13034" spans="5:10" s="34" customFormat="1" x14ac:dyDescent="0.35">
      <c r="E13034" s="35"/>
      <c r="J13034" s="41"/>
    </row>
    <row r="13035" spans="5:10" s="34" customFormat="1" x14ac:dyDescent="0.35">
      <c r="E13035" s="35"/>
      <c r="J13035" s="41"/>
    </row>
    <row r="13036" spans="5:10" s="34" customFormat="1" x14ac:dyDescent="0.35">
      <c r="E13036" s="35"/>
      <c r="J13036" s="41"/>
    </row>
    <row r="13037" spans="5:10" s="34" customFormat="1" x14ac:dyDescent="0.35">
      <c r="E13037" s="35"/>
      <c r="J13037" s="41"/>
    </row>
    <row r="13038" spans="5:10" s="34" customFormat="1" x14ac:dyDescent="0.35">
      <c r="E13038" s="35"/>
      <c r="J13038" s="41"/>
    </row>
    <row r="13039" spans="5:10" s="34" customFormat="1" x14ac:dyDescent="0.35">
      <c r="E13039" s="35"/>
      <c r="J13039" s="41"/>
    </row>
    <row r="13040" spans="5:10" s="34" customFormat="1" x14ac:dyDescent="0.35">
      <c r="E13040" s="35"/>
      <c r="J13040" s="41"/>
    </row>
    <row r="13041" spans="5:10" s="34" customFormat="1" x14ac:dyDescent="0.35">
      <c r="E13041" s="35"/>
      <c r="J13041" s="41"/>
    </row>
    <row r="13042" spans="5:10" s="34" customFormat="1" x14ac:dyDescent="0.35">
      <c r="E13042" s="35"/>
      <c r="J13042" s="41"/>
    </row>
    <row r="13043" spans="5:10" s="34" customFormat="1" x14ac:dyDescent="0.35">
      <c r="E13043" s="35"/>
      <c r="J13043" s="41"/>
    </row>
    <row r="13044" spans="5:10" s="34" customFormat="1" x14ac:dyDescent="0.35">
      <c r="E13044" s="35"/>
      <c r="J13044" s="41"/>
    </row>
    <row r="13045" spans="5:10" s="34" customFormat="1" x14ac:dyDescent="0.35">
      <c r="E13045" s="35"/>
      <c r="J13045" s="41"/>
    </row>
    <row r="13046" spans="5:10" s="34" customFormat="1" x14ac:dyDescent="0.35">
      <c r="E13046" s="35"/>
      <c r="J13046" s="41"/>
    </row>
    <row r="13047" spans="5:10" s="34" customFormat="1" x14ac:dyDescent="0.35">
      <c r="E13047" s="35"/>
      <c r="J13047" s="41"/>
    </row>
    <row r="13048" spans="5:10" s="34" customFormat="1" x14ac:dyDescent="0.35">
      <c r="E13048" s="35"/>
      <c r="J13048" s="41"/>
    </row>
    <row r="13049" spans="5:10" s="34" customFormat="1" x14ac:dyDescent="0.35">
      <c r="E13049" s="35"/>
      <c r="J13049" s="41"/>
    </row>
    <row r="13050" spans="5:10" s="34" customFormat="1" x14ac:dyDescent="0.35">
      <c r="E13050" s="35"/>
      <c r="J13050" s="41"/>
    </row>
    <row r="13051" spans="5:10" s="34" customFormat="1" x14ac:dyDescent="0.35">
      <c r="E13051" s="35"/>
      <c r="J13051" s="41"/>
    </row>
    <row r="13052" spans="5:10" s="34" customFormat="1" x14ac:dyDescent="0.35">
      <c r="E13052" s="35"/>
      <c r="J13052" s="41"/>
    </row>
    <row r="13053" spans="5:10" s="34" customFormat="1" x14ac:dyDescent="0.35">
      <c r="E13053" s="35"/>
      <c r="J13053" s="41"/>
    </row>
    <row r="13054" spans="5:10" s="34" customFormat="1" x14ac:dyDescent="0.35">
      <c r="E13054" s="35"/>
      <c r="J13054" s="41"/>
    </row>
    <row r="13055" spans="5:10" s="34" customFormat="1" x14ac:dyDescent="0.35">
      <c r="E13055" s="35"/>
      <c r="J13055" s="41"/>
    </row>
    <row r="13056" spans="5:10" s="34" customFormat="1" x14ac:dyDescent="0.35">
      <c r="E13056" s="35"/>
      <c r="J13056" s="41"/>
    </row>
    <row r="13057" spans="5:10" s="34" customFormat="1" x14ac:dyDescent="0.35">
      <c r="E13057" s="35"/>
      <c r="J13057" s="41"/>
    </row>
    <row r="13058" spans="5:10" s="34" customFormat="1" x14ac:dyDescent="0.35">
      <c r="E13058" s="35"/>
      <c r="J13058" s="41"/>
    </row>
    <row r="13059" spans="5:10" s="34" customFormat="1" x14ac:dyDescent="0.35">
      <c r="E13059" s="35"/>
      <c r="J13059" s="41"/>
    </row>
    <row r="13060" spans="5:10" s="34" customFormat="1" x14ac:dyDescent="0.35">
      <c r="E13060" s="35"/>
      <c r="J13060" s="41"/>
    </row>
    <row r="13061" spans="5:10" s="34" customFormat="1" x14ac:dyDescent="0.35">
      <c r="E13061" s="35"/>
      <c r="J13061" s="41"/>
    </row>
    <row r="13062" spans="5:10" s="34" customFormat="1" x14ac:dyDescent="0.35">
      <c r="E13062" s="35"/>
      <c r="J13062" s="41"/>
    </row>
    <row r="13063" spans="5:10" s="34" customFormat="1" x14ac:dyDescent="0.35">
      <c r="E13063" s="35"/>
      <c r="J13063" s="41"/>
    </row>
    <row r="13064" spans="5:10" s="34" customFormat="1" x14ac:dyDescent="0.35">
      <c r="E13064" s="35"/>
      <c r="J13064" s="41"/>
    </row>
    <row r="13065" spans="5:10" s="34" customFormat="1" x14ac:dyDescent="0.35">
      <c r="E13065" s="35"/>
      <c r="J13065" s="41"/>
    </row>
    <row r="13066" spans="5:10" s="34" customFormat="1" x14ac:dyDescent="0.35">
      <c r="E13066" s="35"/>
      <c r="J13066" s="41"/>
    </row>
    <row r="13067" spans="5:10" s="34" customFormat="1" x14ac:dyDescent="0.35">
      <c r="E13067" s="35"/>
      <c r="J13067" s="41"/>
    </row>
    <row r="13068" spans="5:10" s="34" customFormat="1" x14ac:dyDescent="0.35">
      <c r="E13068" s="35"/>
      <c r="J13068" s="41"/>
    </row>
    <row r="13069" spans="5:10" s="34" customFormat="1" x14ac:dyDescent="0.35">
      <c r="E13069" s="35"/>
      <c r="J13069" s="41"/>
    </row>
    <row r="13070" spans="5:10" s="34" customFormat="1" x14ac:dyDescent="0.35">
      <c r="E13070" s="35"/>
      <c r="J13070" s="41"/>
    </row>
    <row r="13071" spans="5:10" s="34" customFormat="1" x14ac:dyDescent="0.35">
      <c r="E13071" s="35"/>
      <c r="J13071" s="41"/>
    </row>
    <row r="13072" spans="5:10" s="34" customFormat="1" x14ac:dyDescent="0.35">
      <c r="E13072" s="35"/>
      <c r="J13072" s="41"/>
    </row>
    <row r="13073" spans="5:10" s="34" customFormat="1" x14ac:dyDescent="0.35">
      <c r="E13073" s="35"/>
      <c r="J13073" s="41"/>
    </row>
    <row r="13074" spans="5:10" s="34" customFormat="1" x14ac:dyDescent="0.35">
      <c r="E13074" s="35"/>
      <c r="J13074" s="41"/>
    </row>
    <row r="13075" spans="5:10" s="34" customFormat="1" x14ac:dyDescent="0.35">
      <c r="E13075" s="35"/>
      <c r="J13075" s="41"/>
    </row>
    <row r="13076" spans="5:10" s="34" customFormat="1" x14ac:dyDescent="0.35">
      <c r="E13076" s="35"/>
      <c r="J13076" s="41"/>
    </row>
    <row r="13077" spans="5:10" s="34" customFormat="1" x14ac:dyDescent="0.35">
      <c r="E13077" s="35"/>
      <c r="J13077" s="41"/>
    </row>
    <row r="13078" spans="5:10" s="34" customFormat="1" x14ac:dyDescent="0.35">
      <c r="E13078" s="35"/>
      <c r="J13078" s="41"/>
    </row>
    <row r="13079" spans="5:10" s="34" customFormat="1" x14ac:dyDescent="0.35">
      <c r="E13079" s="35"/>
      <c r="J13079" s="41"/>
    </row>
    <row r="13080" spans="5:10" s="34" customFormat="1" x14ac:dyDescent="0.35">
      <c r="E13080" s="35"/>
      <c r="J13080" s="41"/>
    </row>
    <row r="13081" spans="5:10" s="34" customFormat="1" x14ac:dyDescent="0.35">
      <c r="E13081" s="35"/>
      <c r="J13081" s="41"/>
    </row>
    <row r="13082" spans="5:10" s="34" customFormat="1" x14ac:dyDescent="0.35">
      <c r="E13082" s="35"/>
      <c r="J13082" s="41"/>
    </row>
    <row r="13083" spans="5:10" s="34" customFormat="1" x14ac:dyDescent="0.35">
      <c r="E13083" s="35"/>
      <c r="J13083" s="41"/>
    </row>
    <row r="13084" spans="5:10" s="34" customFormat="1" x14ac:dyDescent="0.35">
      <c r="E13084" s="35"/>
      <c r="J13084" s="41"/>
    </row>
    <row r="13085" spans="5:10" s="34" customFormat="1" x14ac:dyDescent="0.35">
      <c r="E13085" s="35"/>
      <c r="J13085" s="41"/>
    </row>
    <row r="13086" spans="5:10" s="34" customFormat="1" x14ac:dyDescent="0.35">
      <c r="E13086" s="35"/>
      <c r="J13086" s="41"/>
    </row>
    <row r="13087" spans="5:10" s="34" customFormat="1" x14ac:dyDescent="0.35">
      <c r="E13087" s="35"/>
      <c r="J13087" s="41"/>
    </row>
    <row r="13088" spans="5:10" s="34" customFormat="1" x14ac:dyDescent="0.35">
      <c r="E13088" s="35"/>
      <c r="J13088" s="41"/>
    </row>
    <row r="13089" spans="5:10" s="34" customFormat="1" x14ac:dyDescent="0.35">
      <c r="E13089" s="35"/>
      <c r="J13089" s="41"/>
    </row>
    <row r="13090" spans="5:10" s="34" customFormat="1" x14ac:dyDescent="0.35">
      <c r="E13090" s="35"/>
      <c r="J13090" s="41"/>
    </row>
    <row r="13091" spans="5:10" s="34" customFormat="1" x14ac:dyDescent="0.35">
      <c r="E13091" s="35"/>
      <c r="J13091" s="41"/>
    </row>
    <row r="13092" spans="5:10" s="34" customFormat="1" x14ac:dyDescent="0.35">
      <c r="E13092" s="35"/>
      <c r="J13092" s="41"/>
    </row>
    <row r="13093" spans="5:10" s="34" customFormat="1" x14ac:dyDescent="0.35">
      <c r="E13093" s="35"/>
      <c r="J13093" s="41"/>
    </row>
    <row r="13094" spans="5:10" s="34" customFormat="1" x14ac:dyDescent="0.35">
      <c r="E13094" s="35"/>
      <c r="J13094" s="41"/>
    </row>
    <row r="13095" spans="5:10" s="34" customFormat="1" x14ac:dyDescent="0.35">
      <c r="E13095" s="35"/>
      <c r="J13095" s="41"/>
    </row>
    <row r="13096" spans="5:10" s="34" customFormat="1" x14ac:dyDescent="0.35">
      <c r="E13096" s="35"/>
      <c r="J13096" s="41"/>
    </row>
    <row r="13097" spans="5:10" s="34" customFormat="1" x14ac:dyDescent="0.35">
      <c r="E13097" s="35"/>
      <c r="J13097" s="41"/>
    </row>
    <row r="13098" spans="5:10" s="34" customFormat="1" x14ac:dyDescent="0.35">
      <c r="E13098" s="35"/>
      <c r="J13098" s="41"/>
    </row>
    <row r="13099" spans="5:10" s="34" customFormat="1" x14ac:dyDescent="0.35">
      <c r="E13099" s="35"/>
      <c r="J13099" s="41"/>
    </row>
    <row r="13100" spans="5:10" s="34" customFormat="1" x14ac:dyDescent="0.35">
      <c r="E13100" s="35"/>
      <c r="J13100" s="41"/>
    </row>
    <row r="13101" spans="5:10" s="34" customFormat="1" x14ac:dyDescent="0.35">
      <c r="E13101" s="35"/>
      <c r="J13101" s="41"/>
    </row>
    <row r="13102" spans="5:10" s="34" customFormat="1" x14ac:dyDescent="0.35">
      <c r="E13102" s="35"/>
      <c r="J13102" s="41"/>
    </row>
    <row r="13103" spans="5:10" s="34" customFormat="1" x14ac:dyDescent="0.35">
      <c r="E13103" s="35"/>
      <c r="J13103" s="41"/>
    </row>
    <row r="13104" spans="5:10" s="34" customFormat="1" x14ac:dyDescent="0.35">
      <c r="E13104" s="35"/>
      <c r="J13104" s="41"/>
    </row>
    <row r="13105" spans="5:10" s="34" customFormat="1" x14ac:dyDescent="0.35">
      <c r="E13105" s="35"/>
      <c r="J13105" s="41"/>
    </row>
    <row r="13106" spans="5:10" s="34" customFormat="1" x14ac:dyDescent="0.35">
      <c r="E13106" s="35"/>
      <c r="J13106" s="41"/>
    </row>
    <row r="13107" spans="5:10" s="34" customFormat="1" x14ac:dyDescent="0.35">
      <c r="E13107" s="35"/>
      <c r="J13107" s="41"/>
    </row>
    <row r="13108" spans="5:10" s="34" customFormat="1" x14ac:dyDescent="0.35">
      <c r="E13108" s="35"/>
      <c r="J13108" s="41"/>
    </row>
    <row r="13109" spans="5:10" s="34" customFormat="1" x14ac:dyDescent="0.35">
      <c r="E13109" s="35"/>
      <c r="J13109" s="41"/>
    </row>
    <row r="13110" spans="5:10" s="34" customFormat="1" x14ac:dyDescent="0.35">
      <c r="E13110" s="35"/>
      <c r="J13110" s="41"/>
    </row>
    <row r="13111" spans="5:10" s="34" customFormat="1" x14ac:dyDescent="0.35">
      <c r="E13111" s="35"/>
      <c r="J13111" s="41"/>
    </row>
    <row r="13112" spans="5:10" s="34" customFormat="1" x14ac:dyDescent="0.35">
      <c r="E13112" s="35"/>
      <c r="J13112" s="41"/>
    </row>
    <row r="13113" spans="5:10" s="34" customFormat="1" x14ac:dyDescent="0.35">
      <c r="E13113" s="35"/>
      <c r="J13113" s="41"/>
    </row>
    <row r="13114" spans="5:10" s="34" customFormat="1" x14ac:dyDescent="0.35">
      <c r="E13114" s="35"/>
      <c r="J13114" s="41"/>
    </row>
    <row r="13115" spans="5:10" s="34" customFormat="1" x14ac:dyDescent="0.35">
      <c r="E13115" s="35"/>
      <c r="J13115" s="41"/>
    </row>
    <row r="13116" spans="5:10" s="34" customFormat="1" x14ac:dyDescent="0.35">
      <c r="E13116" s="35"/>
      <c r="J13116" s="41"/>
    </row>
    <row r="13117" spans="5:10" s="34" customFormat="1" x14ac:dyDescent="0.35">
      <c r="E13117" s="35"/>
      <c r="J13117" s="41"/>
    </row>
    <row r="13118" spans="5:10" s="34" customFormat="1" x14ac:dyDescent="0.35">
      <c r="E13118" s="35"/>
      <c r="J13118" s="41"/>
    </row>
    <row r="13119" spans="5:10" s="34" customFormat="1" x14ac:dyDescent="0.35">
      <c r="E13119" s="35"/>
      <c r="J13119" s="41"/>
    </row>
    <row r="13120" spans="5:10" s="34" customFormat="1" x14ac:dyDescent="0.35">
      <c r="E13120" s="35"/>
      <c r="J13120" s="41"/>
    </row>
    <row r="13121" spans="5:10" s="34" customFormat="1" x14ac:dyDescent="0.35">
      <c r="E13121" s="35"/>
      <c r="J13121" s="41"/>
    </row>
    <row r="13122" spans="5:10" s="34" customFormat="1" x14ac:dyDescent="0.35">
      <c r="E13122" s="35"/>
      <c r="J13122" s="41"/>
    </row>
    <row r="13123" spans="5:10" s="34" customFormat="1" x14ac:dyDescent="0.35">
      <c r="E13123" s="35"/>
      <c r="J13123" s="41"/>
    </row>
    <row r="13124" spans="5:10" s="34" customFormat="1" x14ac:dyDescent="0.35">
      <c r="E13124" s="35"/>
      <c r="J13124" s="41"/>
    </row>
    <row r="13125" spans="5:10" s="34" customFormat="1" x14ac:dyDescent="0.35">
      <c r="E13125" s="35"/>
      <c r="J13125" s="41"/>
    </row>
    <row r="13126" spans="5:10" s="34" customFormat="1" x14ac:dyDescent="0.35">
      <c r="E13126" s="35"/>
      <c r="J13126" s="41"/>
    </row>
    <row r="13127" spans="5:10" s="34" customFormat="1" x14ac:dyDescent="0.35">
      <c r="E13127" s="35"/>
      <c r="J13127" s="41"/>
    </row>
    <row r="13128" spans="5:10" s="34" customFormat="1" x14ac:dyDescent="0.35">
      <c r="E13128" s="35"/>
      <c r="J13128" s="41"/>
    </row>
    <row r="13129" spans="5:10" s="34" customFormat="1" x14ac:dyDescent="0.35">
      <c r="E13129" s="35"/>
      <c r="J13129" s="41"/>
    </row>
    <row r="13130" spans="5:10" s="34" customFormat="1" x14ac:dyDescent="0.35">
      <c r="E13130" s="35"/>
      <c r="J13130" s="41"/>
    </row>
    <row r="13131" spans="5:10" s="34" customFormat="1" x14ac:dyDescent="0.35">
      <c r="E13131" s="35"/>
      <c r="J13131" s="41"/>
    </row>
    <row r="13132" spans="5:10" s="34" customFormat="1" x14ac:dyDescent="0.35">
      <c r="E13132" s="35"/>
      <c r="J13132" s="41"/>
    </row>
    <row r="13133" spans="5:10" s="34" customFormat="1" x14ac:dyDescent="0.35">
      <c r="E13133" s="35"/>
      <c r="J13133" s="41"/>
    </row>
    <row r="13134" spans="5:10" s="34" customFormat="1" x14ac:dyDescent="0.35">
      <c r="E13134" s="35"/>
      <c r="J13134" s="41"/>
    </row>
    <row r="13135" spans="5:10" s="34" customFormat="1" x14ac:dyDescent="0.35">
      <c r="E13135" s="35"/>
      <c r="J13135" s="41"/>
    </row>
    <row r="13136" spans="5:10" s="34" customFormat="1" x14ac:dyDescent="0.35">
      <c r="E13136" s="35"/>
      <c r="J13136" s="41"/>
    </row>
    <row r="13137" spans="5:10" s="34" customFormat="1" x14ac:dyDescent="0.35">
      <c r="E13137" s="35"/>
      <c r="J13137" s="41"/>
    </row>
    <row r="13138" spans="5:10" s="34" customFormat="1" x14ac:dyDescent="0.35">
      <c r="E13138" s="35"/>
      <c r="J13138" s="41"/>
    </row>
    <row r="13139" spans="5:10" s="34" customFormat="1" x14ac:dyDescent="0.35">
      <c r="E13139" s="35"/>
      <c r="J13139" s="41"/>
    </row>
    <row r="13140" spans="5:10" s="34" customFormat="1" x14ac:dyDescent="0.35">
      <c r="E13140" s="35"/>
      <c r="J13140" s="41"/>
    </row>
    <row r="13141" spans="5:10" s="34" customFormat="1" x14ac:dyDescent="0.35">
      <c r="E13141" s="35"/>
      <c r="J13141" s="41"/>
    </row>
    <row r="13142" spans="5:10" s="34" customFormat="1" x14ac:dyDescent="0.35">
      <c r="E13142" s="35"/>
      <c r="J13142" s="41"/>
    </row>
    <row r="13143" spans="5:10" s="34" customFormat="1" x14ac:dyDescent="0.35">
      <c r="E13143" s="35"/>
      <c r="J13143" s="41"/>
    </row>
    <row r="13144" spans="5:10" s="34" customFormat="1" x14ac:dyDescent="0.35">
      <c r="E13144" s="35"/>
      <c r="J13144" s="41"/>
    </row>
    <row r="13145" spans="5:10" s="34" customFormat="1" x14ac:dyDescent="0.35">
      <c r="E13145" s="35"/>
      <c r="J13145" s="41"/>
    </row>
    <row r="13146" spans="5:10" s="34" customFormat="1" x14ac:dyDescent="0.35">
      <c r="E13146" s="35"/>
      <c r="J13146" s="41"/>
    </row>
    <row r="13147" spans="5:10" s="34" customFormat="1" x14ac:dyDescent="0.35">
      <c r="E13147" s="35"/>
      <c r="J13147" s="41"/>
    </row>
    <row r="13148" spans="5:10" s="34" customFormat="1" x14ac:dyDescent="0.35">
      <c r="E13148" s="35"/>
      <c r="J13148" s="41"/>
    </row>
    <row r="13149" spans="5:10" s="34" customFormat="1" x14ac:dyDescent="0.35">
      <c r="E13149" s="35"/>
      <c r="J13149" s="41"/>
    </row>
    <row r="13150" spans="5:10" s="34" customFormat="1" x14ac:dyDescent="0.35">
      <c r="E13150" s="35"/>
      <c r="J13150" s="41"/>
    </row>
    <row r="13151" spans="5:10" s="34" customFormat="1" x14ac:dyDescent="0.35">
      <c r="E13151" s="35"/>
      <c r="J13151" s="41"/>
    </row>
    <row r="13152" spans="5:10" s="34" customFormat="1" x14ac:dyDescent="0.35">
      <c r="E13152" s="35"/>
      <c r="J13152" s="41"/>
    </row>
    <row r="13153" spans="5:10" s="34" customFormat="1" x14ac:dyDescent="0.35">
      <c r="E13153" s="35"/>
      <c r="J13153" s="41"/>
    </row>
    <row r="13154" spans="5:10" s="34" customFormat="1" x14ac:dyDescent="0.35">
      <c r="E13154" s="35"/>
      <c r="J13154" s="41"/>
    </row>
    <row r="13155" spans="5:10" s="34" customFormat="1" x14ac:dyDescent="0.35">
      <c r="E13155" s="35"/>
      <c r="J13155" s="41"/>
    </row>
    <row r="13156" spans="5:10" s="34" customFormat="1" x14ac:dyDescent="0.35">
      <c r="E13156" s="35"/>
      <c r="J13156" s="41"/>
    </row>
    <row r="13157" spans="5:10" s="34" customFormat="1" x14ac:dyDescent="0.35">
      <c r="E13157" s="35"/>
      <c r="J13157" s="41"/>
    </row>
    <row r="13158" spans="5:10" s="34" customFormat="1" x14ac:dyDescent="0.35">
      <c r="E13158" s="35"/>
      <c r="J13158" s="41"/>
    </row>
    <row r="13159" spans="5:10" s="34" customFormat="1" x14ac:dyDescent="0.35">
      <c r="E13159" s="35"/>
      <c r="J13159" s="41"/>
    </row>
    <row r="13160" spans="5:10" s="34" customFormat="1" x14ac:dyDescent="0.35">
      <c r="E13160" s="35"/>
      <c r="J13160" s="41"/>
    </row>
    <row r="13161" spans="5:10" s="34" customFormat="1" x14ac:dyDescent="0.35">
      <c r="E13161" s="35"/>
      <c r="J13161" s="41"/>
    </row>
    <row r="13162" spans="5:10" s="34" customFormat="1" x14ac:dyDescent="0.35">
      <c r="E13162" s="35"/>
      <c r="J13162" s="41"/>
    </row>
    <row r="13163" spans="5:10" s="34" customFormat="1" x14ac:dyDescent="0.35">
      <c r="E13163" s="35"/>
      <c r="J13163" s="41"/>
    </row>
    <row r="13164" spans="5:10" s="34" customFormat="1" x14ac:dyDescent="0.35">
      <c r="E13164" s="35"/>
      <c r="J13164" s="41"/>
    </row>
    <row r="13165" spans="5:10" s="34" customFormat="1" x14ac:dyDescent="0.35">
      <c r="E13165" s="35"/>
      <c r="J13165" s="41"/>
    </row>
    <row r="13166" spans="5:10" s="34" customFormat="1" x14ac:dyDescent="0.35">
      <c r="E13166" s="35"/>
      <c r="J13166" s="41"/>
    </row>
    <row r="13167" spans="5:10" s="34" customFormat="1" x14ac:dyDescent="0.35">
      <c r="E13167" s="35"/>
      <c r="J13167" s="41"/>
    </row>
    <row r="13168" spans="5:10" s="34" customFormat="1" x14ac:dyDescent="0.35">
      <c r="E13168" s="35"/>
      <c r="J13168" s="41"/>
    </row>
    <row r="13169" spans="5:10" s="34" customFormat="1" x14ac:dyDescent="0.35">
      <c r="E13169" s="35"/>
      <c r="J13169" s="41"/>
    </row>
    <row r="13170" spans="5:10" s="34" customFormat="1" x14ac:dyDescent="0.35">
      <c r="E13170" s="35"/>
      <c r="J13170" s="41"/>
    </row>
    <row r="13171" spans="5:10" s="34" customFormat="1" x14ac:dyDescent="0.35">
      <c r="E13171" s="35"/>
      <c r="J13171" s="41"/>
    </row>
    <row r="13172" spans="5:10" s="34" customFormat="1" x14ac:dyDescent="0.35">
      <c r="E13172" s="35"/>
      <c r="J13172" s="41"/>
    </row>
    <row r="13173" spans="5:10" s="34" customFormat="1" x14ac:dyDescent="0.35">
      <c r="E13173" s="35"/>
      <c r="J13173" s="41"/>
    </row>
    <row r="13174" spans="5:10" s="34" customFormat="1" x14ac:dyDescent="0.35">
      <c r="E13174" s="35"/>
      <c r="J13174" s="41"/>
    </row>
    <row r="13175" spans="5:10" s="34" customFormat="1" x14ac:dyDescent="0.35">
      <c r="E13175" s="35"/>
      <c r="J13175" s="41"/>
    </row>
    <row r="13176" spans="5:10" s="34" customFormat="1" x14ac:dyDescent="0.35">
      <c r="E13176" s="35"/>
      <c r="J13176" s="41"/>
    </row>
    <row r="13177" spans="5:10" s="34" customFormat="1" x14ac:dyDescent="0.35">
      <c r="E13177" s="35"/>
      <c r="J13177" s="41"/>
    </row>
    <row r="13178" spans="5:10" s="34" customFormat="1" x14ac:dyDescent="0.35">
      <c r="E13178" s="35"/>
      <c r="J13178" s="41"/>
    </row>
    <row r="13179" spans="5:10" s="34" customFormat="1" x14ac:dyDescent="0.35">
      <c r="E13179" s="35"/>
      <c r="J13179" s="41"/>
    </row>
    <row r="13180" spans="5:10" s="34" customFormat="1" x14ac:dyDescent="0.35">
      <c r="E13180" s="35"/>
      <c r="J13180" s="41"/>
    </row>
    <row r="13181" spans="5:10" s="34" customFormat="1" x14ac:dyDescent="0.35">
      <c r="E13181" s="35"/>
      <c r="J13181" s="41"/>
    </row>
    <row r="13182" spans="5:10" s="34" customFormat="1" x14ac:dyDescent="0.35">
      <c r="E13182" s="35"/>
      <c r="J13182" s="41"/>
    </row>
    <row r="13183" spans="5:10" s="34" customFormat="1" x14ac:dyDescent="0.35">
      <c r="E13183" s="35"/>
      <c r="J13183" s="41"/>
    </row>
    <row r="13184" spans="5:10" s="34" customFormat="1" x14ac:dyDescent="0.35">
      <c r="E13184" s="35"/>
      <c r="J13184" s="41"/>
    </row>
    <row r="13185" spans="5:10" s="34" customFormat="1" x14ac:dyDescent="0.35">
      <c r="E13185" s="35"/>
      <c r="J13185" s="41"/>
    </row>
    <row r="13186" spans="5:10" s="34" customFormat="1" x14ac:dyDescent="0.35">
      <c r="E13186" s="35"/>
      <c r="J13186" s="41"/>
    </row>
    <row r="13187" spans="5:10" s="34" customFormat="1" x14ac:dyDescent="0.35">
      <c r="E13187" s="35"/>
      <c r="J13187" s="41"/>
    </row>
    <row r="13188" spans="5:10" s="34" customFormat="1" x14ac:dyDescent="0.35">
      <c r="E13188" s="35"/>
      <c r="J13188" s="41"/>
    </row>
    <row r="13189" spans="5:10" s="34" customFormat="1" x14ac:dyDescent="0.35">
      <c r="E13189" s="35"/>
      <c r="J13189" s="41"/>
    </row>
    <row r="13190" spans="5:10" s="34" customFormat="1" x14ac:dyDescent="0.35">
      <c r="E13190" s="35"/>
      <c r="J13190" s="41"/>
    </row>
    <row r="13191" spans="5:10" s="34" customFormat="1" x14ac:dyDescent="0.35">
      <c r="E13191" s="35"/>
      <c r="J13191" s="41"/>
    </row>
    <row r="13192" spans="5:10" s="34" customFormat="1" x14ac:dyDescent="0.35">
      <c r="E13192" s="35"/>
      <c r="J13192" s="41"/>
    </row>
    <row r="13193" spans="5:10" s="34" customFormat="1" x14ac:dyDescent="0.35">
      <c r="E13193" s="35"/>
      <c r="J13193" s="41"/>
    </row>
    <row r="13194" spans="5:10" s="34" customFormat="1" x14ac:dyDescent="0.35">
      <c r="E13194" s="35"/>
      <c r="J13194" s="41"/>
    </row>
    <row r="13195" spans="5:10" s="34" customFormat="1" x14ac:dyDescent="0.35">
      <c r="E13195" s="35"/>
      <c r="J13195" s="41"/>
    </row>
    <row r="13196" spans="5:10" s="34" customFormat="1" x14ac:dyDescent="0.35">
      <c r="E13196" s="35"/>
      <c r="J13196" s="41"/>
    </row>
    <row r="13197" spans="5:10" s="34" customFormat="1" x14ac:dyDescent="0.35">
      <c r="E13197" s="35"/>
      <c r="J13197" s="41"/>
    </row>
    <row r="13198" spans="5:10" s="34" customFormat="1" x14ac:dyDescent="0.35">
      <c r="E13198" s="35"/>
      <c r="J13198" s="41"/>
    </row>
    <row r="13199" spans="5:10" s="34" customFormat="1" x14ac:dyDescent="0.35">
      <c r="E13199" s="35"/>
      <c r="J13199" s="41"/>
    </row>
    <row r="13200" spans="5:10" s="34" customFormat="1" x14ac:dyDescent="0.35">
      <c r="E13200" s="35"/>
      <c r="J13200" s="41"/>
    </row>
    <row r="13201" spans="5:10" s="34" customFormat="1" x14ac:dyDescent="0.35">
      <c r="E13201" s="35"/>
      <c r="J13201" s="41"/>
    </row>
    <row r="13202" spans="5:10" s="34" customFormat="1" x14ac:dyDescent="0.35">
      <c r="E13202" s="35"/>
      <c r="J13202" s="41"/>
    </row>
    <row r="13203" spans="5:10" s="34" customFormat="1" x14ac:dyDescent="0.35">
      <c r="E13203" s="35"/>
      <c r="J13203" s="41"/>
    </row>
    <row r="13204" spans="5:10" s="34" customFormat="1" x14ac:dyDescent="0.35">
      <c r="E13204" s="35"/>
      <c r="J13204" s="41"/>
    </row>
    <row r="13205" spans="5:10" s="34" customFormat="1" x14ac:dyDescent="0.35">
      <c r="E13205" s="35"/>
      <c r="J13205" s="41"/>
    </row>
    <row r="13206" spans="5:10" s="34" customFormat="1" x14ac:dyDescent="0.35">
      <c r="E13206" s="35"/>
      <c r="J13206" s="41"/>
    </row>
    <row r="13207" spans="5:10" s="34" customFormat="1" x14ac:dyDescent="0.35">
      <c r="E13207" s="35"/>
      <c r="J13207" s="41"/>
    </row>
    <row r="13208" spans="5:10" s="34" customFormat="1" x14ac:dyDescent="0.35">
      <c r="E13208" s="35"/>
      <c r="J13208" s="41"/>
    </row>
    <row r="13209" spans="5:10" s="34" customFormat="1" x14ac:dyDescent="0.35">
      <c r="E13209" s="35"/>
      <c r="J13209" s="41"/>
    </row>
    <row r="13210" spans="5:10" s="34" customFormat="1" x14ac:dyDescent="0.35">
      <c r="E13210" s="35"/>
      <c r="J13210" s="41"/>
    </row>
    <row r="13211" spans="5:10" s="34" customFormat="1" x14ac:dyDescent="0.35">
      <c r="E13211" s="35"/>
      <c r="J13211" s="41"/>
    </row>
    <row r="13212" spans="5:10" s="34" customFormat="1" x14ac:dyDescent="0.35">
      <c r="E13212" s="35"/>
      <c r="J13212" s="41"/>
    </row>
    <row r="13213" spans="5:10" s="34" customFormat="1" x14ac:dyDescent="0.35">
      <c r="E13213" s="35"/>
      <c r="J13213" s="41"/>
    </row>
    <row r="13214" spans="5:10" s="34" customFormat="1" x14ac:dyDescent="0.35">
      <c r="E13214" s="35"/>
      <c r="J13214" s="41"/>
    </row>
    <row r="13215" spans="5:10" s="34" customFormat="1" x14ac:dyDescent="0.35">
      <c r="E13215" s="35"/>
      <c r="J13215" s="41"/>
    </row>
    <row r="13216" spans="5:10" s="34" customFormat="1" x14ac:dyDescent="0.35">
      <c r="E13216" s="35"/>
      <c r="J13216" s="41"/>
    </row>
    <row r="13217" spans="5:10" s="34" customFormat="1" x14ac:dyDescent="0.35">
      <c r="E13217" s="35"/>
      <c r="J13217" s="41"/>
    </row>
    <row r="13218" spans="5:10" s="34" customFormat="1" x14ac:dyDescent="0.35">
      <c r="E13218" s="35"/>
      <c r="J13218" s="41"/>
    </row>
    <row r="13219" spans="5:10" s="34" customFormat="1" x14ac:dyDescent="0.35">
      <c r="E13219" s="35"/>
      <c r="J13219" s="41"/>
    </row>
    <row r="13220" spans="5:10" s="34" customFormat="1" x14ac:dyDescent="0.35">
      <c r="E13220" s="35"/>
      <c r="J13220" s="41"/>
    </row>
    <row r="13221" spans="5:10" s="34" customFormat="1" x14ac:dyDescent="0.35">
      <c r="E13221" s="35"/>
      <c r="J13221" s="41"/>
    </row>
    <row r="13222" spans="5:10" s="34" customFormat="1" x14ac:dyDescent="0.35">
      <c r="E13222" s="35"/>
      <c r="J13222" s="41"/>
    </row>
    <row r="13223" spans="5:10" s="34" customFormat="1" x14ac:dyDescent="0.35">
      <c r="E13223" s="35"/>
      <c r="J13223" s="41"/>
    </row>
    <row r="13224" spans="5:10" s="34" customFormat="1" x14ac:dyDescent="0.35">
      <c r="E13224" s="35"/>
      <c r="J13224" s="41"/>
    </row>
    <row r="13225" spans="5:10" s="34" customFormat="1" x14ac:dyDescent="0.35">
      <c r="E13225" s="35"/>
      <c r="J13225" s="41"/>
    </row>
    <row r="13226" spans="5:10" s="34" customFormat="1" x14ac:dyDescent="0.35">
      <c r="E13226" s="35"/>
      <c r="J13226" s="41"/>
    </row>
    <row r="13227" spans="5:10" s="34" customFormat="1" x14ac:dyDescent="0.35">
      <c r="E13227" s="35"/>
      <c r="J13227" s="41"/>
    </row>
    <row r="13228" spans="5:10" s="34" customFormat="1" x14ac:dyDescent="0.35">
      <c r="E13228" s="35"/>
      <c r="J13228" s="41"/>
    </row>
    <row r="13229" spans="5:10" s="34" customFormat="1" x14ac:dyDescent="0.35">
      <c r="E13229" s="35"/>
      <c r="J13229" s="41"/>
    </row>
    <row r="13230" spans="5:10" s="34" customFormat="1" x14ac:dyDescent="0.35">
      <c r="E13230" s="35"/>
      <c r="J13230" s="41"/>
    </row>
    <row r="13231" spans="5:10" s="34" customFormat="1" x14ac:dyDescent="0.35">
      <c r="E13231" s="35"/>
      <c r="J13231" s="41"/>
    </row>
    <row r="13232" spans="5:10" s="34" customFormat="1" x14ac:dyDescent="0.35">
      <c r="E13232" s="35"/>
      <c r="J13232" s="41"/>
    </row>
    <row r="13233" spans="5:10" s="34" customFormat="1" x14ac:dyDescent="0.35">
      <c r="E13233" s="35"/>
      <c r="J13233" s="41"/>
    </row>
    <row r="13234" spans="5:10" s="34" customFormat="1" x14ac:dyDescent="0.35">
      <c r="E13234" s="35"/>
      <c r="J13234" s="41"/>
    </row>
    <row r="13235" spans="5:10" s="34" customFormat="1" x14ac:dyDescent="0.35">
      <c r="E13235" s="35"/>
      <c r="J13235" s="41"/>
    </row>
    <row r="13236" spans="5:10" s="34" customFormat="1" x14ac:dyDescent="0.35">
      <c r="E13236" s="35"/>
      <c r="J13236" s="41"/>
    </row>
    <row r="13237" spans="5:10" s="34" customFormat="1" x14ac:dyDescent="0.35">
      <c r="E13237" s="35"/>
      <c r="J13237" s="41"/>
    </row>
    <row r="13238" spans="5:10" s="34" customFormat="1" x14ac:dyDescent="0.35">
      <c r="E13238" s="35"/>
      <c r="J13238" s="41"/>
    </row>
    <row r="13239" spans="5:10" s="34" customFormat="1" x14ac:dyDescent="0.35">
      <c r="E13239" s="35"/>
      <c r="J13239" s="41"/>
    </row>
    <row r="13240" spans="5:10" s="34" customFormat="1" x14ac:dyDescent="0.35">
      <c r="E13240" s="35"/>
      <c r="J13240" s="41"/>
    </row>
    <row r="13241" spans="5:10" s="34" customFormat="1" x14ac:dyDescent="0.35">
      <c r="E13241" s="35"/>
      <c r="J13241" s="41"/>
    </row>
    <row r="13242" spans="5:10" s="34" customFormat="1" x14ac:dyDescent="0.35">
      <c r="E13242" s="35"/>
      <c r="J13242" s="41"/>
    </row>
    <row r="13243" spans="5:10" s="34" customFormat="1" x14ac:dyDescent="0.35">
      <c r="E13243" s="35"/>
      <c r="J13243" s="41"/>
    </row>
    <row r="13244" spans="5:10" s="34" customFormat="1" x14ac:dyDescent="0.35">
      <c r="E13244" s="35"/>
      <c r="J13244" s="41"/>
    </row>
    <row r="13245" spans="5:10" s="34" customFormat="1" x14ac:dyDescent="0.35">
      <c r="E13245" s="35"/>
      <c r="J13245" s="41"/>
    </row>
    <row r="13246" spans="5:10" s="34" customFormat="1" x14ac:dyDescent="0.35">
      <c r="E13246" s="35"/>
      <c r="J13246" s="41"/>
    </row>
    <row r="13247" spans="5:10" s="34" customFormat="1" x14ac:dyDescent="0.35">
      <c r="E13247" s="35"/>
      <c r="J13247" s="41"/>
    </row>
    <row r="13248" spans="5:10" s="34" customFormat="1" x14ac:dyDescent="0.35">
      <c r="E13248" s="35"/>
      <c r="J13248" s="41"/>
    </row>
    <row r="13249" spans="5:10" s="34" customFormat="1" x14ac:dyDescent="0.35">
      <c r="E13249" s="35"/>
      <c r="J13249" s="41"/>
    </row>
    <row r="13250" spans="5:10" s="34" customFormat="1" x14ac:dyDescent="0.35">
      <c r="E13250" s="35"/>
      <c r="J13250" s="41"/>
    </row>
    <row r="13251" spans="5:10" s="34" customFormat="1" x14ac:dyDescent="0.35">
      <c r="E13251" s="35"/>
      <c r="J13251" s="41"/>
    </row>
    <row r="13252" spans="5:10" s="34" customFormat="1" x14ac:dyDescent="0.35">
      <c r="E13252" s="35"/>
      <c r="J13252" s="41"/>
    </row>
    <row r="13253" spans="5:10" s="34" customFormat="1" x14ac:dyDescent="0.35">
      <c r="E13253" s="35"/>
      <c r="J13253" s="41"/>
    </row>
    <row r="13254" spans="5:10" s="34" customFormat="1" x14ac:dyDescent="0.35">
      <c r="E13254" s="35"/>
      <c r="J13254" s="41"/>
    </row>
    <row r="13255" spans="5:10" s="34" customFormat="1" x14ac:dyDescent="0.35">
      <c r="E13255" s="35"/>
      <c r="J13255" s="41"/>
    </row>
    <row r="13256" spans="5:10" s="34" customFormat="1" x14ac:dyDescent="0.35">
      <c r="E13256" s="35"/>
      <c r="J13256" s="41"/>
    </row>
    <row r="13257" spans="5:10" s="34" customFormat="1" x14ac:dyDescent="0.35">
      <c r="E13257" s="35"/>
      <c r="J13257" s="41"/>
    </row>
    <row r="13258" spans="5:10" s="34" customFormat="1" x14ac:dyDescent="0.35">
      <c r="E13258" s="35"/>
      <c r="J13258" s="41"/>
    </row>
    <row r="13259" spans="5:10" s="34" customFormat="1" x14ac:dyDescent="0.35">
      <c r="E13259" s="35"/>
      <c r="J13259" s="41"/>
    </row>
    <row r="13260" spans="5:10" s="34" customFormat="1" x14ac:dyDescent="0.35">
      <c r="E13260" s="35"/>
      <c r="J13260" s="41"/>
    </row>
    <row r="13261" spans="5:10" s="34" customFormat="1" x14ac:dyDescent="0.35">
      <c r="E13261" s="35"/>
      <c r="J13261" s="41"/>
    </row>
    <row r="13262" spans="5:10" s="34" customFormat="1" x14ac:dyDescent="0.35">
      <c r="E13262" s="35"/>
      <c r="J13262" s="41"/>
    </row>
    <row r="13263" spans="5:10" s="34" customFormat="1" x14ac:dyDescent="0.35">
      <c r="E13263" s="35"/>
      <c r="J13263" s="41"/>
    </row>
    <row r="13264" spans="5:10" s="34" customFormat="1" x14ac:dyDescent="0.35">
      <c r="E13264" s="35"/>
      <c r="J13264" s="41"/>
    </row>
    <row r="13265" spans="5:10" s="34" customFormat="1" x14ac:dyDescent="0.35">
      <c r="E13265" s="35"/>
      <c r="J13265" s="41"/>
    </row>
    <row r="13266" spans="5:10" s="34" customFormat="1" x14ac:dyDescent="0.35">
      <c r="E13266" s="35"/>
      <c r="J13266" s="41"/>
    </row>
    <row r="13267" spans="5:10" s="34" customFormat="1" x14ac:dyDescent="0.35">
      <c r="E13267" s="35"/>
      <c r="J13267" s="41"/>
    </row>
    <row r="13268" spans="5:10" s="34" customFormat="1" x14ac:dyDescent="0.35">
      <c r="E13268" s="35"/>
      <c r="J13268" s="41"/>
    </row>
    <row r="13269" spans="5:10" s="34" customFormat="1" x14ac:dyDescent="0.35">
      <c r="E13269" s="35"/>
      <c r="J13269" s="41"/>
    </row>
    <row r="13270" spans="5:10" s="34" customFormat="1" x14ac:dyDescent="0.35">
      <c r="E13270" s="35"/>
      <c r="J13270" s="41"/>
    </row>
    <row r="13271" spans="5:10" s="34" customFormat="1" x14ac:dyDescent="0.35">
      <c r="E13271" s="35"/>
      <c r="J13271" s="41"/>
    </row>
    <row r="13272" spans="5:10" s="34" customFormat="1" x14ac:dyDescent="0.35">
      <c r="E13272" s="35"/>
      <c r="J13272" s="41"/>
    </row>
    <row r="13273" spans="5:10" s="34" customFormat="1" x14ac:dyDescent="0.35">
      <c r="E13273" s="35"/>
      <c r="J13273" s="41"/>
    </row>
    <row r="13274" spans="5:10" s="34" customFormat="1" x14ac:dyDescent="0.35">
      <c r="E13274" s="35"/>
      <c r="J13274" s="41"/>
    </row>
    <row r="13275" spans="5:10" s="34" customFormat="1" x14ac:dyDescent="0.35">
      <c r="E13275" s="35"/>
      <c r="J13275" s="41"/>
    </row>
    <row r="13276" spans="5:10" s="34" customFormat="1" x14ac:dyDescent="0.35">
      <c r="E13276" s="35"/>
      <c r="J13276" s="41"/>
    </row>
    <row r="13277" spans="5:10" s="34" customFormat="1" x14ac:dyDescent="0.35">
      <c r="E13277" s="35"/>
      <c r="J13277" s="41"/>
    </row>
    <row r="13278" spans="5:10" s="34" customFormat="1" x14ac:dyDescent="0.35">
      <c r="E13278" s="35"/>
      <c r="J13278" s="41"/>
    </row>
    <row r="13279" spans="5:10" s="34" customFormat="1" x14ac:dyDescent="0.35">
      <c r="E13279" s="35"/>
      <c r="J13279" s="41"/>
    </row>
    <row r="13280" spans="5:10" s="34" customFormat="1" x14ac:dyDescent="0.35">
      <c r="E13280" s="35"/>
      <c r="J13280" s="41"/>
    </row>
    <row r="13281" spans="5:10" s="34" customFormat="1" x14ac:dyDescent="0.35">
      <c r="E13281" s="35"/>
      <c r="J13281" s="41"/>
    </row>
    <row r="13282" spans="5:10" s="34" customFormat="1" x14ac:dyDescent="0.35">
      <c r="E13282" s="35"/>
      <c r="J13282" s="41"/>
    </row>
    <row r="13283" spans="5:10" s="34" customFormat="1" x14ac:dyDescent="0.35">
      <c r="E13283" s="35"/>
      <c r="J13283" s="41"/>
    </row>
    <row r="13284" spans="5:10" s="34" customFormat="1" x14ac:dyDescent="0.35">
      <c r="E13284" s="35"/>
      <c r="J13284" s="41"/>
    </row>
    <row r="13285" spans="5:10" s="34" customFormat="1" x14ac:dyDescent="0.35">
      <c r="E13285" s="35"/>
      <c r="J13285" s="41"/>
    </row>
    <row r="13286" spans="5:10" s="34" customFormat="1" x14ac:dyDescent="0.35">
      <c r="E13286" s="35"/>
      <c r="J13286" s="41"/>
    </row>
    <row r="13287" spans="5:10" s="34" customFormat="1" x14ac:dyDescent="0.35">
      <c r="E13287" s="35"/>
      <c r="J13287" s="41"/>
    </row>
    <row r="13288" spans="5:10" s="34" customFormat="1" x14ac:dyDescent="0.35">
      <c r="E13288" s="35"/>
      <c r="J13288" s="41"/>
    </row>
    <row r="13289" spans="5:10" s="34" customFormat="1" x14ac:dyDescent="0.35">
      <c r="E13289" s="35"/>
      <c r="J13289" s="41"/>
    </row>
    <row r="13290" spans="5:10" s="34" customFormat="1" x14ac:dyDescent="0.35">
      <c r="E13290" s="35"/>
      <c r="J13290" s="41"/>
    </row>
    <row r="13291" spans="5:10" s="34" customFormat="1" x14ac:dyDescent="0.35">
      <c r="E13291" s="35"/>
      <c r="J13291" s="41"/>
    </row>
    <row r="13292" spans="5:10" s="34" customFormat="1" x14ac:dyDescent="0.35">
      <c r="E13292" s="35"/>
      <c r="J13292" s="41"/>
    </row>
    <row r="13293" spans="5:10" s="34" customFormat="1" x14ac:dyDescent="0.35">
      <c r="E13293" s="35"/>
      <c r="J13293" s="41"/>
    </row>
    <row r="13294" spans="5:10" s="34" customFormat="1" x14ac:dyDescent="0.35">
      <c r="E13294" s="35"/>
      <c r="J13294" s="41"/>
    </row>
    <row r="13295" spans="5:10" s="34" customFormat="1" x14ac:dyDescent="0.35">
      <c r="E13295" s="35"/>
      <c r="J13295" s="41"/>
    </row>
    <row r="13296" spans="5:10" s="34" customFormat="1" x14ac:dyDescent="0.35">
      <c r="E13296" s="35"/>
      <c r="J13296" s="41"/>
    </row>
    <row r="13297" spans="5:10" s="34" customFormat="1" x14ac:dyDescent="0.35">
      <c r="E13297" s="35"/>
      <c r="J13297" s="41"/>
    </row>
    <row r="13298" spans="5:10" s="34" customFormat="1" x14ac:dyDescent="0.35">
      <c r="E13298" s="35"/>
      <c r="J13298" s="41"/>
    </row>
    <row r="13299" spans="5:10" s="34" customFormat="1" x14ac:dyDescent="0.35">
      <c r="E13299" s="35"/>
      <c r="J13299" s="41"/>
    </row>
    <row r="13300" spans="5:10" s="34" customFormat="1" x14ac:dyDescent="0.35">
      <c r="E13300" s="35"/>
      <c r="J13300" s="41"/>
    </row>
    <row r="13301" spans="5:10" s="34" customFormat="1" x14ac:dyDescent="0.35">
      <c r="E13301" s="35"/>
      <c r="J13301" s="41"/>
    </row>
    <row r="13302" spans="5:10" s="34" customFormat="1" x14ac:dyDescent="0.35">
      <c r="E13302" s="35"/>
      <c r="J13302" s="41"/>
    </row>
    <row r="13303" spans="5:10" s="34" customFormat="1" x14ac:dyDescent="0.35">
      <c r="E13303" s="35"/>
      <c r="J13303" s="41"/>
    </row>
    <row r="13304" spans="5:10" s="34" customFormat="1" x14ac:dyDescent="0.35">
      <c r="E13304" s="35"/>
      <c r="J13304" s="41"/>
    </row>
    <row r="13305" spans="5:10" s="34" customFormat="1" x14ac:dyDescent="0.35">
      <c r="E13305" s="35"/>
      <c r="J13305" s="41"/>
    </row>
    <row r="13306" spans="5:10" s="34" customFormat="1" x14ac:dyDescent="0.35">
      <c r="E13306" s="35"/>
      <c r="J13306" s="41"/>
    </row>
    <row r="13307" spans="5:10" s="34" customFormat="1" x14ac:dyDescent="0.35">
      <c r="E13307" s="35"/>
      <c r="J13307" s="41"/>
    </row>
    <row r="13308" spans="5:10" s="34" customFormat="1" x14ac:dyDescent="0.35">
      <c r="E13308" s="35"/>
      <c r="J13308" s="41"/>
    </row>
    <row r="13309" spans="5:10" s="34" customFormat="1" x14ac:dyDescent="0.35">
      <c r="E13309" s="35"/>
      <c r="J13309" s="41"/>
    </row>
    <row r="13310" spans="5:10" s="34" customFormat="1" x14ac:dyDescent="0.35">
      <c r="E13310" s="35"/>
      <c r="J13310" s="41"/>
    </row>
    <row r="13311" spans="5:10" s="34" customFormat="1" x14ac:dyDescent="0.35">
      <c r="E13311" s="35"/>
      <c r="J13311" s="41"/>
    </row>
    <row r="13312" spans="5:10" s="34" customFormat="1" x14ac:dyDescent="0.35">
      <c r="E13312" s="35"/>
      <c r="J13312" s="41"/>
    </row>
    <row r="13313" spans="5:10" s="34" customFormat="1" x14ac:dyDescent="0.35">
      <c r="E13313" s="35"/>
      <c r="J13313" s="41"/>
    </row>
    <row r="13314" spans="5:10" s="34" customFormat="1" x14ac:dyDescent="0.35">
      <c r="E13314" s="35"/>
      <c r="J13314" s="41"/>
    </row>
    <row r="13315" spans="5:10" s="34" customFormat="1" x14ac:dyDescent="0.35">
      <c r="E13315" s="35"/>
      <c r="J13315" s="41"/>
    </row>
    <row r="13316" spans="5:10" s="34" customFormat="1" x14ac:dyDescent="0.35">
      <c r="E13316" s="35"/>
      <c r="J13316" s="41"/>
    </row>
    <row r="13317" spans="5:10" s="34" customFormat="1" x14ac:dyDescent="0.35">
      <c r="E13317" s="35"/>
      <c r="J13317" s="41"/>
    </row>
    <row r="13318" spans="5:10" s="34" customFormat="1" x14ac:dyDescent="0.35">
      <c r="E13318" s="35"/>
      <c r="J13318" s="41"/>
    </row>
    <row r="13319" spans="5:10" s="34" customFormat="1" x14ac:dyDescent="0.35">
      <c r="E13319" s="35"/>
      <c r="J13319" s="41"/>
    </row>
    <row r="13320" spans="5:10" s="34" customFormat="1" x14ac:dyDescent="0.35">
      <c r="E13320" s="35"/>
      <c r="J13320" s="41"/>
    </row>
    <row r="13321" spans="5:10" s="34" customFormat="1" x14ac:dyDescent="0.35">
      <c r="E13321" s="35"/>
      <c r="J13321" s="41"/>
    </row>
    <row r="13322" spans="5:10" s="34" customFormat="1" x14ac:dyDescent="0.35">
      <c r="E13322" s="35"/>
      <c r="J13322" s="41"/>
    </row>
    <row r="13323" spans="5:10" s="34" customFormat="1" x14ac:dyDescent="0.35">
      <c r="E13323" s="35"/>
      <c r="J13323" s="41"/>
    </row>
    <row r="13324" spans="5:10" s="34" customFormat="1" x14ac:dyDescent="0.35">
      <c r="E13324" s="35"/>
      <c r="J13324" s="41"/>
    </row>
    <row r="13325" spans="5:10" s="34" customFormat="1" x14ac:dyDescent="0.35">
      <c r="E13325" s="35"/>
      <c r="J13325" s="41"/>
    </row>
    <row r="13326" spans="5:10" s="34" customFormat="1" x14ac:dyDescent="0.35">
      <c r="E13326" s="35"/>
      <c r="J13326" s="41"/>
    </row>
    <row r="13327" spans="5:10" s="34" customFormat="1" x14ac:dyDescent="0.35">
      <c r="E13327" s="35"/>
      <c r="J13327" s="41"/>
    </row>
    <row r="13328" spans="5:10" s="34" customFormat="1" x14ac:dyDescent="0.35">
      <c r="E13328" s="35"/>
      <c r="J13328" s="41"/>
    </row>
    <row r="13329" spans="5:10" s="34" customFormat="1" x14ac:dyDescent="0.35">
      <c r="E13329" s="35"/>
      <c r="J13329" s="41"/>
    </row>
    <row r="13330" spans="5:10" s="34" customFormat="1" x14ac:dyDescent="0.35">
      <c r="E13330" s="35"/>
      <c r="J13330" s="41"/>
    </row>
    <row r="13331" spans="5:10" s="34" customFormat="1" x14ac:dyDescent="0.35">
      <c r="E13331" s="35"/>
      <c r="J13331" s="41"/>
    </row>
    <row r="13332" spans="5:10" s="34" customFormat="1" x14ac:dyDescent="0.35">
      <c r="E13332" s="35"/>
      <c r="J13332" s="41"/>
    </row>
    <row r="13333" spans="5:10" s="34" customFormat="1" x14ac:dyDescent="0.35">
      <c r="E13333" s="35"/>
      <c r="J13333" s="41"/>
    </row>
    <row r="13334" spans="5:10" s="34" customFormat="1" x14ac:dyDescent="0.35">
      <c r="E13334" s="35"/>
      <c r="J13334" s="41"/>
    </row>
    <row r="13335" spans="5:10" s="34" customFormat="1" x14ac:dyDescent="0.35">
      <c r="E13335" s="35"/>
      <c r="J13335" s="41"/>
    </row>
    <row r="13336" spans="5:10" s="34" customFormat="1" x14ac:dyDescent="0.35">
      <c r="E13336" s="35"/>
      <c r="J13336" s="41"/>
    </row>
    <row r="13337" spans="5:10" s="34" customFormat="1" x14ac:dyDescent="0.35">
      <c r="E13337" s="35"/>
      <c r="J13337" s="41"/>
    </row>
    <row r="13338" spans="5:10" s="34" customFormat="1" x14ac:dyDescent="0.35">
      <c r="E13338" s="35"/>
      <c r="J13338" s="41"/>
    </row>
    <row r="13339" spans="5:10" s="34" customFormat="1" x14ac:dyDescent="0.35">
      <c r="E13339" s="35"/>
      <c r="J13339" s="41"/>
    </row>
    <row r="13340" spans="5:10" s="34" customFormat="1" x14ac:dyDescent="0.35">
      <c r="E13340" s="35"/>
      <c r="J13340" s="41"/>
    </row>
    <row r="13341" spans="5:10" s="34" customFormat="1" x14ac:dyDescent="0.35">
      <c r="E13341" s="35"/>
      <c r="J13341" s="41"/>
    </row>
    <row r="13342" spans="5:10" s="34" customFormat="1" x14ac:dyDescent="0.35">
      <c r="E13342" s="35"/>
      <c r="J13342" s="41"/>
    </row>
    <row r="13343" spans="5:10" s="34" customFormat="1" x14ac:dyDescent="0.35">
      <c r="E13343" s="35"/>
      <c r="J13343" s="41"/>
    </row>
    <row r="13344" spans="5:10" s="34" customFormat="1" x14ac:dyDescent="0.35">
      <c r="E13344" s="35"/>
      <c r="J13344" s="41"/>
    </row>
    <row r="13345" spans="5:10" s="34" customFormat="1" x14ac:dyDescent="0.35">
      <c r="E13345" s="35"/>
      <c r="J13345" s="41"/>
    </row>
    <row r="13346" spans="5:10" s="34" customFormat="1" x14ac:dyDescent="0.35">
      <c r="E13346" s="35"/>
      <c r="J13346" s="41"/>
    </row>
    <row r="13347" spans="5:10" s="34" customFormat="1" x14ac:dyDescent="0.35">
      <c r="E13347" s="35"/>
      <c r="J13347" s="41"/>
    </row>
    <row r="13348" spans="5:10" s="34" customFormat="1" x14ac:dyDescent="0.35">
      <c r="E13348" s="35"/>
      <c r="J13348" s="41"/>
    </row>
    <row r="13349" spans="5:10" s="34" customFormat="1" x14ac:dyDescent="0.35">
      <c r="E13349" s="35"/>
      <c r="J13349" s="41"/>
    </row>
    <row r="13350" spans="5:10" s="34" customFormat="1" x14ac:dyDescent="0.35">
      <c r="E13350" s="35"/>
      <c r="J13350" s="41"/>
    </row>
    <row r="13351" spans="5:10" s="34" customFormat="1" x14ac:dyDescent="0.35">
      <c r="E13351" s="35"/>
      <c r="J13351" s="41"/>
    </row>
    <row r="13352" spans="5:10" s="34" customFormat="1" x14ac:dyDescent="0.35">
      <c r="E13352" s="35"/>
      <c r="J13352" s="41"/>
    </row>
    <row r="13353" spans="5:10" s="34" customFormat="1" x14ac:dyDescent="0.35">
      <c r="E13353" s="35"/>
      <c r="J13353" s="41"/>
    </row>
    <row r="13354" spans="5:10" s="34" customFormat="1" x14ac:dyDescent="0.35">
      <c r="E13354" s="35"/>
      <c r="J13354" s="41"/>
    </row>
    <row r="13355" spans="5:10" s="34" customFormat="1" x14ac:dyDescent="0.35">
      <c r="E13355" s="35"/>
      <c r="J13355" s="41"/>
    </row>
    <row r="13356" spans="5:10" s="34" customFormat="1" x14ac:dyDescent="0.35">
      <c r="E13356" s="35"/>
      <c r="J13356" s="41"/>
    </row>
    <row r="13357" spans="5:10" s="34" customFormat="1" x14ac:dyDescent="0.35">
      <c r="E13357" s="35"/>
      <c r="J13357" s="41"/>
    </row>
    <row r="13358" spans="5:10" s="34" customFormat="1" x14ac:dyDescent="0.35">
      <c r="E13358" s="35"/>
      <c r="J13358" s="41"/>
    </row>
    <row r="13359" spans="5:10" s="34" customFormat="1" x14ac:dyDescent="0.35">
      <c r="E13359" s="35"/>
      <c r="J13359" s="41"/>
    </row>
    <row r="13360" spans="5:10" s="34" customFormat="1" x14ac:dyDescent="0.35">
      <c r="E13360" s="35"/>
      <c r="J13360" s="41"/>
    </row>
    <row r="13361" spans="5:10" s="34" customFormat="1" x14ac:dyDescent="0.35">
      <c r="E13361" s="35"/>
      <c r="J13361" s="41"/>
    </row>
    <row r="13362" spans="5:10" s="34" customFormat="1" x14ac:dyDescent="0.35">
      <c r="E13362" s="35"/>
      <c r="J13362" s="41"/>
    </row>
    <row r="13363" spans="5:10" s="34" customFormat="1" x14ac:dyDescent="0.35">
      <c r="E13363" s="35"/>
      <c r="J13363" s="41"/>
    </row>
    <row r="13364" spans="5:10" s="34" customFormat="1" x14ac:dyDescent="0.35">
      <c r="E13364" s="35"/>
      <c r="J13364" s="41"/>
    </row>
    <row r="13365" spans="5:10" s="34" customFormat="1" x14ac:dyDescent="0.35">
      <c r="E13365" s="35"/>
      <c r="J13365" s="41"/>
    </row>
    <row r="13366" spans="5:10" s="34" customFormat="1" x14ac:dyDescent="0.35">
      <c r="E13366" s="35"/>
      <c r="J13366" s="41"/>
    </row>
    <row r="13367" spans="5:10" s="34" customFormat="1" x14ac:dyDescent="0.35">
      <c r="E13367" s="35"/>
      <c r="J13367" s="41"/>
    </row>
    <row r="13368" spans="5:10" s="34" customFormat="1" x14ac:dyDescent="0.35">
      <c r="E13368" s="35"/>
      <c r="J13368" s="41"/>
    </row>
    <row r="13369" spans="5:10" s="34" customFormat="1" x14ac:dyDescent="0.35">
      <c r="E13369" s="35"/>
      <c r="J13369" s="41"/>
    </row>
    <row r="13370" spans="5:10" s="34" customFormat="1" x14ac:dyDescent="0.35">
      <c r="E13370" s="35"/>
      <c r="J13370" s="41"/>
    </row>
    <row r="13371" spans="5:10" s="34" customFormat="1" x14ac:dyDescent="0.35">
      <c r="E13371" s="35"/>
      <c r="J13371" s="41"/>
    </row>
    <row r="13372" spans="5:10" s="34" customFormat="1" x14ac:dyDescent="0.35">
      <c r="E13372" s="35"/>
      <c r="J13372" s="41"/>
    </row>
    <row r="13373" spans="5:10" s="34" customFormat="1" x14ac:dyDescent="0.35">
      <c r="E13373" s="35"/>
      <c r="J13373" s="41"/>
    </row>
    <row r="13374" spans="5:10" s="34" customFormat="1" x14ac:dyDescent="0.35">
      <c r="E13374" s="35"/>
      <c r="J13374" s="41"/>
    </row>
    <row r="13375" spans="5:10" s="34" customFormat="1" x14ac:dyDescent="0.35">
      <c r="E13375" s="35"/>
      <c r="J13375" s="41"/>
    </row>
    <row r="13376" spans="5:10" s="34" customFormat="1" x14ac:dyDescent="0.35">
      <c r="E13376" s="35"/>
      <c r="J13376" s="41"/>
    </row>
    <row r="13377" spans="5:10" s="34" customFormat="1" x14ac:dyDescent="0.35">
      <c r="E13377" s="35"/>
      <c r="J13377" s="41"/>
    </row>
    <row r="13378" spans="5:10" s="34" customFormat="1" x14ac:dyDescent="0.35">
      <c r="E13378" s="35"/>
      <c r="J13378" s="41"/>
    </row>
    <row r="13379" spans="5:10" s="34" customFormat="1" x14ac:dyDescent="0.35">
      <c r="E13379" s="35"/>
      <c r="J13379" s="41"/>
    </row>
    <row r="13380" spans="5:10" s="34" customFormat="1" x14ac:dyDescent="0.35">
      <c r="E13380" s="35"/>
      <c r="J13380" s="41"/>
    </row>
    <row r="13381" spans="5:10" s="34" customFormat="1" x14ac:dyDescent="0.35">
      <c r="E13381" s="35"/>
      <c r="J13381" s="41"/>
    </row>
    <row r="13382" spans="5:10" s="34" customFormat="1" x14ac:dyDescent="0.35">
      <c r="E13382" s="35"/>
      <c r="J13382" s="41"/>
    </row>
    <row r="13383" spans="5:10" s="34" customFormat="1" x14ac:dyDescent="0.35">
      <c r="E13383" s="35"/>
      <c r="J13383" s="41"/>
    </row>
    <row r="13384" spans="5:10" s="34" customFormat="1" x14ac:dyDescent="0.35">
      <c r="E13384" s="35"/>
      <c r="J13384" s="41"/>
    </row>
    <row r="13385" spans="5:10" s="34" customFormat="1" x14ac:dyDescent="0.35">
      <c r="E13385" s="35"/>
      <c r="J13385" s="41"/>
    </row>
    <row r="13386" spans="5:10" s="34" customFormat="1" x14ac:dyDescent="0.35">
      <c r="E13386" s="35"/>
      <c r="J13386" s="41"/>
    </row>
    <row r="13387" spans="5:10" s="34" customFormat="1" x14ac:dyDescent="0.35">
      <c r="E13387" s="35"/>
      <c r="J13387" s="41"/>
    </row>
    <row r="13388" spans="5:10" s="34" customFormat="1" x14ac:dyDescent="0.35">
      <c r="E13388" s="35"/>
      <c r="J13388" s="41"/>
    </row>
    <row r="13389" spans="5:10" s="34" customFormat="1" x14ac:dyDescent="0.35">
      <c r="E13389" s="35"/>
      <c r="J13389" s="41"/>
    </row>
    <row r="13390" spans="5:10" s="34" customFormat="1" x14ac:dyDescent="0.35">
      <c r="E13390" s="35"/>
      <c r="J13390" s="41"/>
    </row>
    <row r="13391" spans="5:10" s="34" customFormat="1" x14ac:dyDescent="0.35">
      <c r="E13391" s="35"/>
      <c r="J13391" s="41"/>
    </row>
    <row r="13392" spans="5:10" s="34" customFormat="1" x14ac:dyDescent="0.35">
      <c r="E13392" s="35"/>
      <c r="J13392" s="41"/>
    </row>
    <row r="13393" spans="5:10" s="34" customFormat="1" x14ac:dyDescent="0.35">
      <c r="E13393" s="35"/>
      <c r="J13393" s="41"/>
    </row>
    <row r="13394" spans="5:10" s="34" customFormat="1" x14ac:dyDescent="0.35">
      <c r="E13394" s="35"/>
      <c r="J13394" s="41"/>
    </row>
    <row r="13395" spans="5:10" s="34" customFormat="1" x14ac:dyDescent="0.35">
      <c r="E13395" s="35"/>
      <c r="J13395" s="41"/>
    </row>
    <row r="13396" spans="5:10" s="34" customFormat="1" x14ac:dyDescent="0.35">
      <c r="E13396" s="35"/>
      <c r="J13396" s="41"/>
    </row>
    <row r="13397" spans="5:10" s="34" customFormat="1" x14ac:dyDescent="0.35">
      <c r="E13397" s="35"/>
      <c r="J13397" s="41"/>
    </row>
    <row r="13398" spans="5:10" s="34" customFormat="1" x14ac:dyDescent="0.35">
      <c r="E13398" s="35"/>
      <c r="J13398" s="41"/>
    </row>
    <row r="13399" spans="5:10" s="34" customFormat="1" x14ac:dyDescent="0.35">
      <c r="E13399" s="35"/>
      <c r="J13399" s="41"/>
    </row>
    <row r="13400" spans="5:10" s="34" customFormat="1" x14ac:dyDescent="0.35">
      <c r="E13400" s="35"/>
      <c r="J13400" s="41"/>
    </row>
    <row r="13401" spans="5:10" s="34" customFormat="1" x14ac:dyDescent="0.35">
      <c r="E13401" s="35"/>
      <c r="J13401" s="41"/>
    </row>
    <row r="13402" spans="5:10" s="34" customFormat="1" x14ac:dyDescent="0.35">
      <c r="E13402" s="35"/>
      <c r="J13402" s="41"/>
    </row>
    <row r="13403" spans="5:10" s="34" customFormat="1" x14ac:dyDescent="0.35">
      <c r="E13403" s="35"/>
      <c r="J13403" s="41"/>
    </row>
    <row r="13404" spans="5:10" s="34" customFormat="1" x14ac:dyDescent="0.35">
      <c r="E13404" s="35"/>
      <c r="J13404" s="41"/>
    </row>
    <row r="13405" spans="5:10" s="34" customFormat="1" x14ac:dyDescent="0.35">
      <c r="E13405" s="35"/>
      <c r="J13405" s="41"/>
    </row>
    <row r="13406" spans="5:10" s="34" customFormat="1" x14ac:dyDescent="0.35">
      <c r="E13406" s="35"/>
      <c r="J13406" s="41"/>
    </row>
    <row r="13407" spans="5:10" s="34" customFormat="1" x14ac:dyDescent="0.35">
      <c r="E13407" s="35"/>
      <c r="J13407" s="41"/>
    </row>
    <row r="13408" spans="5:10" s="34" customFormat="1" x14ac:dyDescent="0.35">
      <c r="E13408" s="35"/>
      <c r="J13408" s="41"/>
    </row>
    <row r="13409" spans="5:10" s="34" customFormat="1" x14ac:dyDescent="0.35">
      <c r="E13409" s="35"/>
      <c r="J13409" s="41"/>
    </row>
    <row r="13410" spans="5:10" s="34" customFormat="1" x14ac:dyDescent="0.35">
      <c r="E13410" s="35"/>
      <c r="J13410" s="41"/>
    </row>
    <row r="13411" spans="5:10" s="34" customFormat="1" x14ac:dyDescent="0.35">
      <c r="E13411" s="35"/>
      <c r="J13411" s="41"/>
    </row>
    <row r="13412" spans="5:10" s="34" customFormat="1" x14ac:dyDescent="0.35">
      <c r="E13412" s="35"/>
      <c r="J13412" s="41"/>
    </row>
    <row r="13413" spans="5:10" s="34" customFormat="1" x14ac:dyDescent="0.35">
      <c r="E13413" s="35"/>
      <c r="J13413" s="41"/>
    </row>
    <row r="13414" spans="5:10" s="34" customFormat="1" x14ac:dyDescent="0.35">
      <c r="E13414" s="35"/>
      <c r="J13414" s="41"/>
    </row>
    <row r="13415" spans="5:10" s="34" customFormat="1" x14ac:dyDescent="0.35">
      <c r="E13415" s="35"/>
      <c r="J13415" s="41"/>
    </row>
    <row r="13416" spans="5:10" s="34" customFormat="1" x14ac:dyDescent="0.35">
      <c r="E13416" s="35"/>
      <c r="J13416" s="41"/>
    </row>
    <row r="13417" spans="5:10" s="34" customFormat="1" x14ac:dyDescent="0.35">
      <c r="E13417" s="35"/>
      <c r="J13417" s="41"/>
    </row>
    <row r="13418" spans="5:10" s="34" customFormat="1" x14ac:dyDescent="0.35">
      <c r="E13418" s="35"/>
      <c r="J13418" s="41"/>
    </row>
    <row r="13419" spans="5:10" s="34" customFormat="1" x14ac:dyDescent="0.35">
      <c r="E13419" s="35"/>
      <c r="J13419" s="41"/>
    </row>
    <row r="13420" spans="5:10" s="34" customFormat="1" x14ac:dyDescent="0.35">
      <c r="E13420" s="35"/>
      <c r="J13420" s="41"/>
    </row>
    <row r="13421" spans="5:10" s="34" customFormat="1" x14ac:dyDescent="0.35">
      <c r="E13421" s="35"/>
      <c r="J13421" s="41"/>
    </row>
    <row r="13422" spans="5:10" s="34" customFormat="1" x14ac:dyDescent="0.35">
      <c r="E13422" s="35"/>
      <c r="J13422" s="41"/>
    </row>
    <row r="13423" spans="5:10" s="34" customFormat="1" x14ac:dyDescent="0.35">
      <c r="E13423" s="35"/>
      <c r="J13423" s="41"/>
    </row>
    <row r="13424" spans="5:10" s="34" customFormat="1" x14ac:dyDescent="0.35">
      <c r="E13424" s="35"/>
      <c r="J13424" s="41"/>
    </row>
    <row r="13425" spans="5:10" s="34" customFormat="1" x14ac:dyDescent="0.35">
      <c r="E13425" s="35"/>
      <c r="J13425" s="41"/>
    </row>
    <row r="13426" spans="5:10" s="34" customFormat="1" x14ac:dyDescent="0.35">
      <c r="E13426" s="35"/>
      <c r="J13426" s="41"/>
    </row>
    <row r="13427" spans="5:10" s="34" customFormat="1" x14ac:dyDescent="0.35">
      <c r="E13427" s="35"/>
      <c r="J13427" s="41"/>
    </row>
    <row r="13428" spans="5:10" s="34" customFormat="1" x14ac:dyDescent="0.35">
      <c r="E13428" s="35"/>
      <c r="J13428" s="41"/>
    </row>
    <row r="13429" spans="5:10" s="34" customFormat="1" x14ac:dyDescent="0.35">
      <c r="E13429" s="35"/>
      <c r="J13429" s="41"/>
    </row>
    <row r="13430" spans="5:10" s="34" customFormat="1" x14ac:dyDescent="0.35">
      <c r="E13430" s="35"/>
      <c r="J13430" s="41"/>
    </row>
    <row r="13431" spans="5:10" s="34" customFormat="1" x14ac:dyDescent="0.35">
      <c r="E13431" s="35"/>
      <c r="J13431" s="41"/>
    </row>
    <row r="13432" spans="5:10" s="34" customFormat="1" x14ac:dyDescent="0.35">
      <c r="E13432" s="35"/>
      <c r="J13432" s="41"/>
    </row>
    <row r="13433" spans="5:10" s="34" customFormat="1" x14ac:dyDescent="0.35">
      <c r="E13433" s="35"/>
      <c r="J13433" s="41"/>
    </row>
    <row r="13434" spans="5:10" s="34" customFormat="1" x14ac:dyDescent="0.35">
      <c r="E13434" s="35"/>
      <c r="J13434" s="41"/>
    </row>
    <row r="13435" spans="5:10" s="34" customFormat="1" x14ac:dyDescent="0.35">
      <c r="E13435" s="35"/>
      <c r="J13435" s="41"/>
    </row>
    <row r="13436" spans="5:10" s="34" customFormat="1" x14ac:dyDescent="0.35">
      <c r="E13436" s="35"/>
      <c r="J13436" s="41"/>
    </row>
    <row r="13437" spans="5:10" s="34" customFormat="1" x14ac:dyDescent="0.35">
      <c r="E13437" s="35"/>
      <c r="J13437" s="41"/>
    </row>
    <row r="13438" spans="5:10" s="34" customFormat="1" x14ac:dyDescent="0.35">
      <c r="E13438" s="35"/>
      <c r="J13438" s="41"/>
    </row>
    <row r="13439" spans="5:10" s="34" customFormat="1" x14ac:dyDescent="0.35">
      <c r="E13439" s="35"/>
      <c r="J13439" s="41"/>
    </row>
    <row r="13440" spans="5:10" s="34" customFormat="1" x14ac:dyDescent="0.35">
      <c r="E13440" s="35"/>
      <c r="J13440" s="41"/>
    </row>
    <row r="13441" spans="5:10" s="34" customFormat="1" x14ac:dyDescent="0.35">
      <c r="E13441" s="35"/>
      <c r="J13441" s="41"/>
    </row>
    <row r="13442" spans="5:10" s="34" customFormat="1" x14ac:dyDescent="0.35">
      <c r="E13442" s="35"/>
      <c r="J13442" s="41"/>
    </row>
    <row r="13443" spans="5:10" s="34" customFormat="1" x14ac:dyDescent="0.35">
      <c r="E13443" s="35"/>
      <c r="J13443" s="41"/>
    </row>
    <row r="13444" spans="5:10" s="34" customFormat="1" x14ac:dyDescent="0.35">
      <c r="E13444" s="35"/>
      <c r="J13444" s="41"/>
    </row>
    <row r="13445" spans="5:10" s="34" customFormat="1" x14ac:dyDescent="0.35">
      <c r="E13445" s="35"/>
      <c r="J13445" s="41"/>
    </row>
    <row r="13446" spans="5:10" s="34" customFormat="1" x14ac:dyDescent="0.35">
      <c r="E13446" s="35"/>
      <c r="J13446" s="41"/>
    </row>
    <row r="13447" spans="5:10" s="34" customFormat="1" x14ac:dyDescent="0.35">
      <c r="E13447" s="35"/>
      <c r="J13447" s="41"/>
    </row>
    <row r="13448" spans="5:10" s="34" customFormat="1" x14ac:dyDescent="0.35">
      <c r="E13448" s="35"/>
      <c r="J13448" s="41"/>
    </row>
    <row r="13449" spans="5:10" s="34" customFormat="1" x14ac:dyDescent="0.35">
      <c r="E13449" s="35"/>
      <c r="J13449" s="41"/>
    </row>
    <row r="13450" spans="5:10" s="34" customFormat="1" x14ac:dyDescent="0.35">
      <c r="E13450" s="35"/>
      <c r="J13450" s="41"/>
    </row>
    <row r="13451" spans="5:10" s="34" customFormat="1" x14ac:dyDescent="0.35">
      <c r="E13451" s="35"/>
      <c r="J13451" s="41"/>
    </row>
    <row r="13452" spans="5:10" s="34" customFormat="1" x14ac:dyDescent="0.35">
      <c r="E13452" s="35"/>
      <c r="J13452" s="41"/>
    </row>
    <row r="13453" spans="5:10" s="34" customFormat="1" x14ac:dyDescent="0.35">
      <c r="E13453" s="35"/>
      <c r="J13453" s="41"/>
    </row>
    <row r="13454" spans="5:10" s="34" customFormat="1" x14ac:dyDescent="0.35">
      <c r="E13454" s="35"/>
      <c r="J13454" s="41"/>
    </row>
    <row r="13455" spans="5:10" s="34" customFormat="1" x14ac:dyDescent="0.35">
      <c r="E13455" s="35"/>
      <c r="J13455" s="41"/>
    </row>
    <row r="13456" spans="5:10" s="34" customFormat="1" x14ac:dyDescent="0.35">
      <c r="E13456" s="35"/>
      <c r="J13456" s="41"/>
    </row>
    <row r="13457" spans="5:10" s="34" customFormat="1" x14ac:dyDescent="0.35">
      <c r="E13457" s="35"/>
      <c r="J13457" s="41"/>
    </row>
    <row r="13458" spans="5:10" s="34" customFormat="1" x14ac:dyDescent="0.35">
      <c r="E13458" s="35"/>
      <c r="J13458" s="41"/>
    </row>
    <row r="13459" spans="5:10" s="34" customFormat="1" x14ac:dyDescent="0.35">
      <c r="E13459" s="35"/>
      <c r="J13459" s="41"/>
    </row>
    <row r="13460" spans="5:10" s="34" customFormat="1" x14ac:dyDescent="0.35">
      <c r="E13460" s="35"/>
      <c r="J13460" s="41"/>
    </row>
    <row r="13461" spans="5:10" s="34" customFormat="1" x14ac:dyDescent="0.35">
      <c r="E13461" s="35"/>
      <c r="J13461" s="41"/>
    </row>
    <row r="13462" spans="5:10" s="34" customFormat="1" x14ac:dyDescent="0.35">
      <c r="E13462" s="35"/>
      <c r="J13462" s="41"/>
    </row>
    <row r="13463" spans="5:10" s="34" customFormat="1" x14ac:dyDescent="0.35">
      <c r="E13463" s="35"/>
      <c r="J13463" s="41"/>
    </row>
    <row r="13464" spans="5:10" s="34" customFormat="1" x14ac:dyDescent="0.35">
      <c r="E13464" s="35"/>
      <c r="J13464" s="41"/>
    </row>
    <row r="13465" spans="5:10" s="34" customFormat="1" x14ac:dyDescent="0.35">
      <c r="E13465" s="35"/>
      <c r="J13465" s="41"/>
    </row>
    <row r="13466" spans="5:10" s="34" customFormat="1" x14ac:dyDescent="0.35">
      <c r="E13466" s="35"/>
      <c r="J13466" s="41"/>
    </row>
    <row r="13467" spans="5:10" s="34" customFormat="1" x14ac:dyDescent="0.35">
      <c r="E13467" s="35"/>
      <c r="J13467" s="41"/>
    </row>
    <row r="13468" spans="5:10" s="34" customFormat="1" x14ac:dyDescent="0.35">
      <c r="E13468" s="35"/>
      <c r="J13468" s="41"/>
    </row>
    <row r="13469" spans="5:10" s="34" customFormat="1" x14ac:dyDescent="0.35">
      <c r="E13469" s="35"/>
      <c r="J13469" s="41"/>
    </row>
    <row r="13470" spans="5:10" s="34" customFormat="1" x14ac:dyDescent="0.35">
      <c r="E13470" s="35"/>
      <c r="J13470" s="41"/>
    </row>
    <row r="13471" spans="5:10" s="34" customFormat="1" x14ac:dyDescent="0.35">
      <c r="E13471" s="35"/>
      <c r="J13471" s="41"/>
    </row>
    <row r="13472" spans="5:10" s="34" customFormat="1" x14ac:dyDescent="0.35">
      <c r="E13472" s="35"/>
      <c r="J13472" s="41"/>
    </row>
    <row r="13473" spans="5:10" s="34" customFormat="1" x14ac:dyDescent="0.35">
      <c r="E13473" s="35"/>
      <c r="J13473" s="41"/>
    </row>
    <row r="13474" spans="5:10" s="34" customFormat="1" x14ac:dyDescent="0.35">
      <c r="E13474" s="35"/>
      <c r="J13474" s="41"/>
    </row>
    <row r="13475" spans="5:10" s="34" customFormat="1" x14ac:dyDescent="0.35">
      <c r="E13475" s="35"/>
      <c r="J13475" s="41"/>
    </row>
    <row r="13476" spans="5:10" s="34" customFormat="1" x14ac:dyDescent="0.35">
      <c r="E13476" s="35"/>
      <c r="J13476" s="41"/>
    </row>
    <row r="13477" spans="5:10" s="34" customFormat="1" x14ac:dyDescent="0.35">
      <c r="E13477" s="35"/>
      <c r="J13477" s="41"/>
    </row>
    <row r="13478" spans="5:10" s="34" customFormat="1" x14ac:dyDescent="0.35">
      <c r="E13478" s="35"/>
      <c r="J13478" s="41"/>
    </row>
    <row r="13479" spans="5:10" s="34" customFormat="1" x14ac:dyDescent="0.35">
      <c r="E13479" s="35"/>
      <c r="J13479" s="41"/>
    </row>
    <row r="13480" spans="5:10" s="34" customFormat="1" x14ac:dyDescent="0.35">
      <c r="E13480" s="35"/>
      <c r="J13480" s="41"/>
    </row>
    <row r="13481" spans="5:10" s="34" customFormat="1" x14ac:dyDescent="0.35">
      <c r="E13481" s="35"/>
      <c r="J13481" s="41"/>
    </row>
    <row r="13482" spans="5:10" s="34" customFormat="1" x14ac:dyDescent="0.35">
      <c r="E13482" s="35"/>
      <c r="J13482" s="41"/>
    </row>
    <row r="13483" spans="5:10" s="34" customFormat="1" x14ac:dyDescent="0.35">
      <c r="E13483" s="35"/>
      <c r="J13483" s="41"/>
    </row>
    <row r="13484" spans="5:10" s="34" customFormat="1" x14ac:dyDescent="0.35">
      <c r="E13484" s="35"/>
      <c r="J13484" s="41"/>
    </row>
    <row r="13485" spans="5:10" s="34" customFormat="1" x14ac:dyDescent="0.35">
      <c r="E13485" s="35"/>
      <c r="J13485" s="41"/>
    </row>
    <row r="13486" spans="5:10" s="34" customFormat="1" x14ac:dyDescent="0.35">
      <c r="E13486" s="35"/>
      <c r="J13486" s="41"/>
    </row>
    <row r="13487" spans="5:10" s="34" customFormat="1" x14ac:dyDescent="0.35">
      <c r="E13487" s="35"/>
      <c r="J13487" s="41"/>
    </row>
    <row r="13488" spans="5:10" s="34" customFormat="1" x14ac:dyDescent="0.35">
      <c r="E13488" s="35"/>
      <c r="J13488" s="41"/>
    </row>
    <row r="13489" spans="5:10" s="34" customFormat="1" x14ac:dyDescent="0.35">
      <c r="E13489" s="35"/>
      <c r="J13489" s="41"/>
    </row>
    <row r="13490" spans="5:10" s="34" customFormat="1" x14ac:dyDescent="0.35">
      <c r="E13490" s="35"/>
      <c r="J13490" s="41"/>
    </row>
    <row r="13491" spans="5:10" s="34" customFormat="1" x14ac:dyDescent="0.35">
      <c r="E13491" s="35"/>
      <c r="J13491" s="41"/>
    </row>
    <row r="13492" spans="5:10" s="34" customFormat="1" x14ac:dyDescent="0.35">
      <c r="E13492" s="35"/>
      <c r="J13492" s="41"/>
    </row>
    <row r="13493" spans="5:10" s="34" customFormat="1" x14ac:dyDescent="0.35">
      <c r="E13493" s="35"/>
      <c r="J13493" s="41"/>
    </row>
    <row r="13494" spans="5:10" s="34" customFormat="1" x14ac:dyDescent="0.35">
      <c r="E13494" s="35"/>
      <c r="J13494" s="41"/>
    </row>
    <row r="13495" spans="5:10" s="34" customFormat="1" x14ac:dyDescent="0.35">
      <c r="E13495" s="35"/>
      <c r="J13495" s="41"/>
    </row>
    <row r="13496" spans="5:10" s="34" customFormat="1" x14ac:dyDescent="0.35">
      <c r="E13496" s="35"/>
      <c r="J13496" s="41"/>
    </row>
    <row r="13497" spans="5:10" s="34" customFormat="1" x14ac:dyDescent="0.35">
      <c r="E13497" s="35"/>
      <c r="J13497" s="41"/>
    </row>
    <row r="13498" spans="5:10" s="34" customFormat="1" x14ac:dyDescent="0.35">
      <c r="E13498" s="35"/>
      <c r="J13498" s="41"/>
    </row>
    <row r="13499" spans="5:10" s="34" customFormat="1" x14ac:dyDescent="0.35">
      <c r="E13499" s="35"/>
      <c r="J13499" s="41"/>
    </row>
    <row r="13500" spans="5:10" s="34" customFormat="1" x14ac:dyDescent="0.35">
      <c r="E13500" s="35"/>
      <c r="J13500" s="41"/>
    </row>
    <row r="13501" spans="5:10" s="34" customFormat="1" x14ac:dyDescent="0.35">
      <c r="E13501" s="35"/>
      <c r="J13501" s="41"/>
    </row>
    <row r="13502" spans="5:10" s="34" customFormat="1" x14ac:dyDescent="0.35">
      <c r="E13502" s="35"/>
      <c r="J13502" s="41"/>
    </row>
    <row r="13503" spans="5:10" s="34" customFormat="1" x14ac:dyDescent="0.35">
      <c r="E13503" s="35"/>
      <c r="J13503" s="41"/>
    </row>
    <row r="13504" spans="5:10" s="34" customFormat="1" x14ac:dyDescent="0.35">
      <c r="E13504" s="35"/>
      <c r="J13504" s="41"/>
    </row>
    <row r="13505" spans="5:10" s="34" customFormat="1" x14ac:dyDescent="0.35">
      <c r="E13505" s="35"/>
      <c r="J13505" s="41"/>
    </row>
    <row r="13506" spans="5:10" s="34" customFormat="1" x14ac:dyDescent="0.35">
      <c r="E13506" s="35"/>
      <c r="J13506" s="41"/>
    </row>
    <row r="13507" spans="5:10" s="34" customFormat="1" x14ac:dyDescent="0.35">
      <c r="E13507" s="35"/>
      <c r="J13507" s="41"/>
    </row>
    <row r="13508" spans="5:10" s="34" customFormat="1" x14ac:dyDescent="0.35">
      <c r="E13508" s="35"/>
      <c r="J13508" s="41"/>
    </row>
    <row r="13509" spans="5:10" s="34" customFormat="1" x14ac:dyDescent="0.35">
      <c r="E13509" s="35"/>
      <c r="J13509" s="41"/>
    </row>
    <row r="13510" spans="5:10" s="34" customFormat="1" x14ac:dyDescent="0.35">
      <c r="E13510" s="35"/>
      <c r="J13510" s="41"/>
    </row>
    <row r="13511" spans="5:10" s="34" customFormat="1" x14ac:dyDescent="0.35">
      <c r="E13511" s="35"/>
      <c r="J13511" s="41"/>
    </row>
    <row r="13512" spans="5:10" s="34" customFormat="1" x14ac:dyDescent="0.35">
      <c r="E13512" s="35"/>
      <c r="J13512" s="41"/>
    </row>
    <row r="13513" spans="5:10" s="34" customFormat="1" x14ac:dyDescent="0.35">
      <c r="E13513" s="35"/>
      <c r="J13513" s="41"/>
    </row>
    <row r="13514" spans="5:10" s="34" customFormat="1" x14ac:dyDescent="0.35">
      <c r="E13514" s="35"/>
      <c r="J13514" s="41"/>
    </row>
    <row r="13515" spans="5:10" s="34" customFormat="1" x14ac:dyDescent="0.35">
      <c r="E13515" s="35"/>
      <c r="J13515" s="41"/>
    </row>
    <row r="13516" spans="5:10" s="34" customFormat="1" x14ac:dyDescent="0.35">
      <c r="E13516" s="35"/>
      <c r="J13516" s="41"/>
    </row>
    <row r="13517" spans="5:10" s="34" customFormat="1" x14ac:dyDescent="0.35">
      <c r="E13517" s="35"/>
      <c r="J13517" s="41"/>
    </row>
    <row r="13518" spans="5:10" s="34" customFormat="1" x14ac:dyDescent="0.35">
      <c r="E13518" s="35"/>
      <c r="J13518" s="41"/>
    </row>
    <row r="13519" spans="5:10" s="34" customFormat="1" x14ac:dyDescent="0.35">
      <c r="E13519" s="35"/>
      <c r="J13519" s="41"/>
    </row>
    <row r="13520" spans="5:10" s="34" customFormat="1" x14ac:dyDescent="0.35">
      <c r="E13520" s="35"/>
      <c r="J13520" s="41"/>
    </row>
    <row r="13521" spans="5:10" s="34" customFormat="1" x14ac:dyDescent="0.35">
      <c r="E13521" s="35"/>
      <c r="J13521" s="41"/>
    </row>
    <row r="13522" spans="5:10" s="34" customFormat="1" x14ac:dyDescent="0.35">
      <c r="E13522" s="35"/>
      <c r="J13522" s="41"/>
    </row>
    <row r="13523" spans="5:10" s="34" customFormat="1" x14ac:dyDescent="0.35">
      <c r="E13523" s="35"/>
      <c r="J13523" s="41"/>
    </row>
    <row r="13524" spans="5:10" s="34" customFormat="1" x14ac:dyDescent="0.35">
      <c r="E13524" s="35"/>
      <c r="J13524" s="41"/>
    </row>
    <row r="13525" spans="5:10" s="34" customFormat="1" x14ac:dyDescent="0.35">
      <c r="E13525" s="35"/>
      <c r="J13525" s="41"/>
    </row>
    <row r="13526" spans="5:10" s="34" customFormat="1" x14ac:dyDescent="0.35">
      <c r="E13526" s="35"/>
      <c r="J13526" s="41"/>
    </row>
    <row r="13527" spans="5:10" s="34" customFormat="1" x14ac:dyDescent="0.35">
      <c r="E13527" s="35"/>
      <c r="J13527" s="41"/>
    </row>
    <row r="13528" spans="5:10" s="34" customFormat="1" x14ac:dyDescent="0.35">
      <c r="E13528" s="35"/>
      <c r="J13528" s="41"/>
    </row>
    <row r="13529" spans="5:10" s="34" customFormat="1" x14ac:dyDescent="0.35">
      <c r="E13529" s="35"/>
      <c r="J13529" s="41"/>
    </row>
    <row r="13530" spans="5:10" s="34" customFormat="1" x14ac:dyDescent="0.35">
      <c r="E13530" s="35"/>
      <c r="J13530" s="41"/>
    </row>
    <row r="13531" spans="5:10" s="34" customFormat="1" x14ac:dyDescent="0.35">
      <c r="E13531" s="35"/>
      <c r="J13531" s="41"/>
    </row>
    <row r="13532" spans="5:10" s="34" customFormat="1" x14ac:dyDescent="0.35">
      <c r="E13532" s="35"/>
      <c r="J13532" s="41"/>
    </row>
    <row r="13533" spans="5:10" s="34" customFormat="1" x14ac:dyDescent="0.35">
      <c r="E13533" s="35"/>
      <c r="J13533" s="41"/>
    </row>
    <row r="13534" spans="5:10" s="34" customFormat="1" x14ac:dyDescent="0.35">
      <c r="E13534" s="35"/>
      <c r="J13534" s="41"/>
    </row>
    <row r="13535" spans="5:10" s="34" customFormat="1" x14ac:dyDescent="0.35">
      <c r="E13535" s="35"/>
      <c r="J13535" s="41"/>
    </row>
    <row r="13536" spans="5:10" s="34" customFormat="1" x14ac:dyDescent="0.35">
      <c r="E13536" s="35"/>
      <c r="J13536" s="41"/>
    </row>
    <row r="13537" spans="5:10" s="34" customFormat="1" x14ac:dyDescent="0.35">
      <c r="E13537" s="35"/>
      <c r="J13537" s="41"/>
    </row>
    <row r="13538" spans="5:10" s="34" customFormat="1" x14ac:dyDescent="0.35">
      <c r="E13538" s="35"/>
      <c r="J13538" s="41"/>
    </row>
    <row r="13539" spans="5:10" s="34" customFormat="1" x14ac:dyDescent="0.35">
      <c r="E13539" s="35"/>
      <c r="J13539" s="41"/>
    </row>
    <row r="13540" spans="5:10" s="34" customFormat="1" x14ac:dyDescent="0.35">
      <c r="E13540" s="35"/>
      <c r="J13540" s="41"/>
    </row>
    <row r="13541" spans="5:10" s="34" customFormat="1" x14ac:dyDescent="0.35">
      <c r="E13541" s="35"/>
      <c r="J13541" s="41"/>
    </row>
    <row r="13542" spans="5:10" s="34" customFormat="1" x14ac:dyDescent="0.35">
      <c r="E13542" s="35"/>
      <c r="J13542" s="41"/>
    </row>
    <row r="13543" spans="5:10" s="34" customFormat="1" x14ac:dyDescent="0.35">
      <c r="E13543" s="35"/>
      <c r="J13543" s="41"/>
    </row>
    <row r="13544" spans="5:10" s="34" customFormat="1" x14ac:dyDescent="0.35">
      <c r="E13544" s="35"/>
      <c r="J13544" s="41"/>
    </row>
    <row r="13545" spans="5:10" s="34" customFormat="1" x14ac:dyDescent="0.35">
      <c r="E13545" s="35"/>
      <c r="J13545" s="41"/>
    </row>
    <row r="13546" spans="5:10" s="34" customFormat="1" x14ac:dyDescent="0.35">
      <c r="E13546" s="35"/>
      <c r="J13546" s="41"/>
    </row>
    <row r="13547" spans="5:10" s="34" customFormat="1" x14ac:dyDescent="0.35">
      <c r="E13547" s="35"/>
      <c r="J13547" s="41"/>
    </row>
    <row r="13548" spans="5:10" s="34" customFormat="1" x14ac:dyDescent="0.35">
      <c r="E13548" s="35"/>
      <c r="J13548" s="41"/>
    </row>
    <row r="13549" spans="5:10" s="34" customFormat="1" x14ac:dyDescent="0.35">
      <c r="E13549" s="35"/>
      <c r="J13549" s="41"/>
    </row>
    <row r="13550" spans="5:10" s="34" customFormat="1" x14ac:dyDescent="0.35">
      <c r="E13550" s="35"/>
      <c r="J13550" s="41"/>
    </row>
    <row r="13551" spans="5:10" s="34" customFormat="1" x14ac:dyDescent="0.35">
      <c r="E13551" s="35"/>
      <c r="J13551" s="41"/>
    </row>
    <row r="13552" spans="5:10" s="34" customFormat="1" x14ac:dyDescent="0.35">
      <c r="E13552" s="35"/>
      <c r="J13552" s="41"/>
    </row>
    <row r="13553" spans="5:10" s="34" customFormat="1" x14ac:dyDescent="0.35">
      <c r="E13553" s="35"/>
      <c r="J13553" s="41"/>
    </row>
    <row r="13554" spans="5:10" s="34" customFormat="1" x14ac:dyDescent="0.35">
      <c r="E13554" s="35"/>
      <c r="J13554" s="41"/>
    </row>
    <row r="13555" spans="5:10" s="34" customFormat="1" x14ac:dyDescent="0.35">
      <c r="E13555" s="35"/>
      <c r="J13555" s="41"/>
    </row>
    <row r="13556" spans="5:10" s="34" customFormat="1" x14ac:dyDescent="0.35">
      <c r="E13556" s="35"/>
      <c r="J13556" s="41"/>
    </row>
    <row r="13557" spans="5:10" s="34" customFormat="1" x14ac:dyDescent="0.35">
      <c r="E13557" s="35"/>
      <c r="J13557" s="41"/>
    </row>
    <row r="13558" spans="5:10" s="34" customFormat="1" x14ac:dyDescent="0.35">
      <c r="E13558" s="35"/>
      <c r="J13558" s="41"/>
    </row>
    <row r="13559" spans="5:10" s="34" customFormat="1" x14ac:dyDescent="0.35">
      <c r="E13559" s="35"/>
      <c r="J13559" s="41"/>
    </row>
    <row r="13560" spans="5:10" s="34" customFormat="1" x14ac:dyDescent="0.35">
      <c r="E13560" s="35"/>
      <c r="J13560" s="41"/>
    </row>
    <row r="13561" spans="5:10" s="34" customFormat="1" x14ac:dyDescent="0.35">
      <c r="E13561" s="35"/>
      <c r="J13561" s="41"/>
    </row>
    <row r="13562" spans="5:10" s="34" customFormat="1" x14ac:dyDescent="0.35">
      <c r="E13562" s="35"/>
      <c r="J13562" s="41"/>
    </row>
    <row r="13563" spans="5:10" s="34" customFormat="1" x14ac:dyDescent="0.35">
      <c r="E13563" s="35"/>
      <c r="J13563" s="41"/>
    </row>
    <row r="13564" spans="5:10" s="34" customFormat="1" x14ac:dyDescent="0.35">
      <c r="E13564" s="35"/>
      <c r="J13564" s="41"/>
    </row>
    <row r="13565" spans="5:10" s="34" customFormat="1" x14ac:dyDescent="0.35">
      <c r="E13565" s="35"/>
      <c r="J13565" s="41"/>
    </row>
    <row r="13566" spans="5:10" s="34" customFormat="1" x14ac:dyDescent="0.35">
      <c r="E13566" s="35"/>
      <c r="J13566" s="41"/>
    </row>
    <row r="13567" spans="5:10" s="34" customFormat="1" x14ac:dyDescent="0.35">
      <c r="E13567" s="35"/>
      <c r="J13567" s="41"/>
    </row>
    <row r="13568" spans="5:10" s="34" customFormat="1" x14ac:dyDescent="0.35">
      <c r="E13568" s="35"/>
      <c r="J13568" s="41"/>
    </row>
    <row r="13569" spans="5:10" s="34" customFormat="1" x14ac:dyDescent="0.35">
      <c r="E13569" s="35"/>
      <c r="J13569" s="41"/>
    </row>
    <row r="13570" spans="5:10" s="34" customFormat="1" x14ac:dyDescent="0.35">
      <c r="E13570" s="35"/>
      <c r="J13570" s="41"/>
    </row>
    <row r="13571" spans="5:10" s="34" customFormat="1" x14ac:dyDescent="0.35">
      <c r="E13571" s="35"/>
      <c r="J13571" s="41"/>
    </row>
    <row r="13572" spans="5:10" s="34" customFormat="1" x14ac:dyDescent="0.35">
      <c r="E13572" s="35"/>
      <c r="J13572" s="41"/>
    </row>
    <row r="13573" spans="5:10" s="34" customFormat="1" x14ac:dyDescent="0.35">
      <c r="E13573" s="35"/>
      <c r="J13573" s="41"/>
    </row>
    <row r="13574" spans="5:10" s="34" customFormat="1" x14ac:dyDescent="0.35">
      <c r="E13574" s="35"/>
      <c r="J13574" s="41"/>
    </row>
    <row r="13575" spans="5:10" s="34" customFormat="1" x14ac:dyDescent="0.35">
      <c r="E13575" s="35"/>
      <c r="J13575" s="41"/>
    </row>
    <row r="13576" spans="5:10" s="34" customFormat="1" x14ac:dyDescent="0.35">
      <c r="E13576" s="35"/>
      <c r="J13576" s="41"/>
    </row>
    <row r="13577" spans="5:10" s="34" customFormat="1" x14ac:dyDescent="0.35">
      <c r="E13577" s="35"/>
      <c r="J13577" s="41"/>
    </row>
    <row r="13578" spans="5:10" s="34" customFormat="1" x14ac:dyDescent="0.35">
      <c r="E13578" s="35"/>
      <c r="J13578" s="41"/>
    </row>
    <row r="13579" spans="5:10" s="34" customFormat="1" x14ac:dyDescent="0.35">
      <c r="E13579" s="35"/>
      <c r="J13579" s="41"/>
    </row>
    <row r="13580" spans="5:10" s="34" customFormat="1" x14ac:dyDescent="0.35">
      <c r="E13580" s="35"/>
      <c r="J13580" s="41"/>
    </row>
    <row r="13581" spans="5:10" s="34" customFormat="1" x14ac:dyDescent="0.35">
      <c r="E13581" s="35"/>
      <c r="J13581" s="41"/>
    </row>
    <row r="13582" spans="5:10" s="34" customFormat="1" x14ac:dyDescent="0.35">
      <c r="E13582" s="35"/>
      <c r="J13582" s="41"/>
    </row>
    <row r="13583" spans="5:10" s="34" customFormat="1" x14ac:dyDescent="0.35">
      <c r="E13583" s="35"/>
      <c r="J13583" s="41"/>
    </row>
    <row r="13584" spans="5:10" s="34" customFormat="1" x14ac:dyDescent="0.35">
      <c r="E13584" s="35"/>
      <c r="J13584" s="41"/>
    </row>
    <row r="13585" spans="5:10" s="34" customFormat="1" x14ac:dyDescent="0.35">
      <c r="E13585" s="35"/>
      <c r="J13585" s="41"/>
    </row>
    <row r="13586" spans="5:10" s="34" customFormat="1" x14ac:dyDescent="0.35">
      <c r="E13586" s="35"/>
      <c r="J13586" s="41"/>
    </row>
    <row r="13587" spans="5:10" s="34" customFormat="1" x14ac:dyDescent="0.35">
      <c r="E13587" s="35"/>
      <c r="J13587" s="41"/>
    </row>
    <row r="13588" spans="5:10" s="34" customFormat="1" x14ac:dyDescent="0.35">
      <c r="E13588" s="35"/>
      <c r="J13588" s="41"/>
    </row>
    <row r="13589" spans="5:10" s="34" customFormat="1" x14ac:dyDescent="0.35">
      <c r="E13589" s="35"/>
      <c r="J13589" s="41"/>
    </row>
    <row r="13590" spans="5:10" s="34" customFormat="1" x14ac:dyDescent="0.35">
      <c r="E13590" s="35"/>
      <c r="J13590" s="41"/>
    </row>
    <row r="13591" spans="5:10" s="34" customFormat="1" x14ac:dyDescent="0.35">
      <c r="E13591" s="35"/>
      <c r="J13591" s="41"/>
    </row>
    <row r="13592" spans="5:10" s="34" customFormat="1" x14ac:dyDescent="0.35">
      <c r="E13592" s="35"/>
      <c r="J13592" s="41"/>
    </row>
    <row r="13593" spans="5:10" s="34" customFormat="1" x14ac:dyDescent="0.35">
      <c r="E13593" s="35"/>
      <c r="J13593" s="41"/>
    </row>
    <row r="13594" spans="5:10" s="34" customFormat="1" x14ac:dyDescent="0.35">
      <c r="E13594" s="35"/>
      <c r="J13594" s="41"/>
    </row>
    <row r="13595" spans="5:10" s="34" customFormat="1" x14ac:dyDescent="0.35">
      <c r="E13595" s="35"/>
      <c r="J13595" s="41"/>
    </row>
    <row r="13596" spans="5:10" s="34" customFormat="1" x14ac:dyDescent="0.35">
      <c r="E13596" s="35"/>
      <c r="J13596" s="41"/>
    </row>
    <row r="13597" spans="5:10" s="34" customFormat="1" x14ac:dyDescent="0.35">
      <c r="E13597" s="35"/>
      <c r="J13597" s="41"/>
    </row>
    <row r="13598" spans="5:10" s="34" customFormat="1" x14ac:dyDescent="0.35">
      <c r="E13598" s="35"/>
      <c r="J13598" s="41"/>
    </row>
    <row r="13599" spans="5:10" s="34" customFormat="1" x14ac:dyDescent="0.35">
      <c r="E13599" s="35"/>
      <c r="J13599" s="41"/>
    </row>
    <row r="13600" spans="5:10" s="34" customFormat="1" x14ac:dyDescent="0.35">
      <c r="E13600" s="35"/>
      <c r="J13600" s="41"/>
    </row>
    <row r="13601" spans="5:10" s="34" customFormat="1" x14ac:dyDescent="0.35">
      <c r="E13601" s="35"/>
      <c r="J13601" s="41"/>
    </row>
    <row r="13602" spans="5:10" s="34" customFormat="1" x14ac:dyDescent="0.35">
      <c r="E13602" s="35"/>
      <c r="J13602" s="41"/>
    </row>
    <row r="13603" spans="5:10" s="34" customFormat="1" x14ac:dyDescent="0.35">
      <c r="E13603" s="35"/>
      <c r="J13603" s="41"/>
    </row>
    <row r="13604" spans="5:10" s="34" customFormat="1" x14ac:dyDescent="0.35">
      <c r="E13604" s="35"/>
      <c r="J13604" s="41"/>
    </row>
    <row r="13605" spans="5:10" s="34" customFormat="1" x14ac:dyDescent="0.35">
      <c r="E13605" s="35"/>
      <c r="J13605" s="41"/>
    </row>
    <row r="13606" spans="5:10" s="34" customFormat="1" x14ac:dyDescent="0.35">
      <c r="E13606" s="35"/>
      <c r="J13606" s="41"/>
    </row>
    <row r="13607" spans="5:10" s="34" customFormat="1" x14ac:dyDescent="0.35">
      <c r="E13607" s="35"/>
      <c r="J13607" s="41"/>
    </row>
    <row r="13608" spans="5:10" s="34" customFormat="1" x14ac:dyDescent="0.35">
      <c r="E13608" s="35"/>
      <c r="J13608" s="41"/>
    </row>
    <row r="13609" spans="5:10" s="34" customFormat="1" x14ac:dyDescent="0.35">
      <c r="E13609" s="35"/>
      <c r="J13609" s="41"/>
    </row>
    <row r="13610" spans="5:10" s="34" customFormat="1" x14ac:dyDescent="0.35">
      <c r="E13610" s="35"/>
      <c r="J13610" s="41"/>
    </row>
    <row r="13611" spans="5:10" s="34" customFormat="1" x14ac:dyDescent="0.35">
      <c r="E13611" s="35"/>
      <c r="J13611" s="41"/>
    </row>
    <row r="13612" spans="5:10" s="34" customFormat="1" x14ac:dyDescent="0.35">
      <c r="E13612" s="35"/>
      <c r="J13612" s="41"/>
    </row>
    <row r="13613" spans="5:10" s="34" customFormat="1" x14ac:dyDescent="0.35">
      <c r="E13613" s="35"/>
      <c r="J13613" s="41"/>
    </row>
    <row r="13614" spans="5:10" s="34" customFormat="1" x14ac:dyDescent="0.35">
      <c r="E13614" s="35"/>
      <c r="J13614" s="41"/>
    </row>
    <row r="13615" spans="5:10" s="34" customFormat="1" x14ac:dyDescent="0.35">
      <c r="E13615" s="35"/>
      <c r="J13615" s="41"/>
    </row>
    <row r="13616" spans="5:10" s="34" customFormat="1" x14ac:dyDescent="0.35">
      <c r="E13616" s="35"/>
      <c r="J13616" s="41"/>
    </row>
    <row r="13617" spans="5:10" s="34" customFormat="1" x14ac:dyDescent="0.35">
      <c r="E13617" s="35"/>
      <c r="J13617" s="41"/>
    </row>
    <row r="13618" spans="5:10" s="34" customFormat="1" x14ac:dyDescent="0.35">
      <c r="E13618" s="35"/>
      <c r="J13618" s="41"/>
    </row>
    <row r="13619" spans="5:10" s="34" customFormat="1" x14ac:dyDescent="0.35">
      <c r="E13619" s="35"/>
      <c r="J13619" s="41"/>
    </row>
    <row r="13620" spans="5:10" s="34" customFormat="1" x14ac:dyDescent="0.35">
      <c r="E13620" s="35"/>
      <c r="J13620" s="41"/>
    </row>
    <row r="13621" spans="5:10" s="34" customFormat="1" x14ac:dyDescent="0.35">
      <c r="E13621" s="35"/>
      <c r="J13621" s="41"/>
    </row>
    <row r="13622" spans="5:10" s="34" customFormat="1" x14ac:dyDescent="0.35">
      <c r="E13622" s="35"/>
      <c r="J13622" s="41"/>
    </row>
    <row r="13623" spans="5:10" s="34" customFormat="1" x14ac:dyDescent="0.35">
      <c r="E13623" s="35"/>
      <c r="J13623" s="41"/>
    </row>
    <row r="13624" spans="5:10" s="34" customFormat="1" x14ac:dyDescent="0.35">
      <c r="E13624" s="35"/>
      <c r="J13624" s="41"/>
    </row>
    <row r="13625" spans="5:10" s="34" customFormat="1" x14ac:dyDescent="0.35">
      <c r="E13625" s="35"/>
      <c r="J13625" s="41"/>
    </row>
    <row r="13626" spans="5:10" s="34" customFormat="1" x14ac:dyDescent="0.35">
      <c r="E13626" s="35"/>
      <c r="J13626" s="41"/>
    </row>
    <row r="13627" spans="5:10" s="34" customFormat="1" x14ac:dyDescent="0.35">
      <c r="E13627" s="35"/>
      <c r="J13627" s="41"/>
    </row>
    <row r="13628" spans="5:10" s="34" customFormat="1" x14ac:dyDescent="0.35">
      <c r="E13628" s="35"/>
      <c r="J13628" s="41"/>
    </row>
    <row r="13629" spans="5:10" s="34" customFormat="1" x14ac:dyDescent="0.35">
      <c r="E13629" s="35"/>
      <c r="J13629" s="41"/>
    </row>
    <row r="13630" spans="5:10" s="34" customFormat="1" x14ac:dyDescent="0.35">
      <c r="E13630" s="35"/>
      <c r="J13630" s="41"/>
    </row>
    <row r="13631" spans="5:10" s="34" customFormat="1" x14ac:dyDescent="0.35">
      <c r="E13631" s="35"/>
      <c r="J13631" s="41"/>
    </row>
    <row r="13632" spans="5:10" s="34" customFormat="1" x14ac:dyDescent="0.35">
      <c r="E13632" s="35"/>
      <c r="J13632" s="41"/>
    </row>
    <row r="13633" spans="5:10" s="34" customFormat="1" x14ac:dyDescent="0.35">
      <c r="E13633" s="35"/>
      <c r="J13633" s="41"/>
    </row>
    <row r="13634" spans="5:10" s="34" customFormat="1" x14ac:dyDescent="0.35">
      <c r="E13634" s="35"/>
      <c r="J13634" s="41"/>
    </row>
    <row r="13635" spans="5:10" s="34" customFormat="1" x14ac:dyDescent="0.35">
      <c r="E13635" s="35"/>
      <c r="J13635" s="41"/>
    </row>
    <row r="13636" spans="5:10" s="34" customFormat="1" x14ac:dyDescent="0.35">
      <c r="E13636" s="35"/>
      <c r="J13636" s="41"/>
    </row>
    <row r="13637" spans="5:10" s="34" customFormat="1" x14ac:dyDescent="0.35">
      <c r="E13637" s="35"/>
      <c r="J13637" s="41"/>
    </row>
    <row r="13638" spans="5:10" s="34" customFormat="1" x14ac:dyDescent="0.35">
      <c r="E13638" s="35"/>
      <c r="J13638" s="41"/>
    </row>
    <row r="13639" spans="5:10" s="34" customFormat="1" x14ac:dyDescent="0.35">
      <c r="E13639" s="35"/>
      <c r="J13639" s="41"/>
    </row>
    <row r="13640" spans="5:10" s="34" customFormat="1" x14ac:dyDescent="0.35">
      <c r="E13640" s="35"/>
      <c r="J13640" s="41"/>
    </row>
    <row r="13641" spans="5:10" s="34" customFormat="1" x14ac:dyDescent="0.35">
      <c r="E13641" s="35"/>
      <c r="J13641" s="41"/>
    </row>
    <row r="13642" spans="5:10" s="34" customFormat="1" x14ac:dyDescent="0.35">
      <c r="E13642" s="35"/>
      <c r="J13642" s="41"/>
    </row>
    <row r="13643" spans="5:10" s="34" customFormat="1" x14ac:dyDescent="0.35">
      <c r="E13643" s="35"/>
      <c r="J13643" s="41"/>
    </row>
    <row r="13644" spans="5:10" s="34" customFormat="1" x14ac:dyDescent="0.35">
      <c r="E13644" s="35"/>
      <c r="J13644" s="41"/>
    </row>
    <row r="13645" spans="5:10" s="34" customFormat="1" x14ac:dyDescent="0.35">
      <c r="E13645" s="35"/>
      <c r="J13645" s="41"/>
    </row>
    <row r="13646" spans="5:10" s="34" customFormat="1" x14ac:dyDescent="0.35">
      <c r="E13646" s="35"/>
      <c r="J13646" s="41"/>
    </row>
    <row r="13647" spans="5:10" s="34" customFormat="1" x14ac:dyDescent="0.35">
      <c r="E13647" s="35"/>
      <c r="J13647" s="41"/>
    </row>
    <row r="13648" spans="5:10" s="34" customFormat="1" x14ac:dyDescent="0.35">
      <c r="E13648" s="35"/>
      <c r="J13648" s="41"/>
    </row>
    <row r="13649" spans="5:10" s="34" customFormat="1" x14ac:dyDescent="0.35">
      <c r="E13649" s="35"/>
      <c r="J13649" s="41"/>
    </row>
    <row r="13650" spans="5:10" s="34" customFormat="1" x14ac:dyDescent="0.35">
      <c r="E13650" s="35"/>
      <c r="J13650" s="41"/>
    </row>
    <row r="13651" spans="5:10" s="34" customFormat="1" x14ac:dyDescent="0.35">
      <c r="E13651" s="35"/>
      <c r="J13651" s="41"/>
    </row>
    <row r="13652" spans="5:10" s="34" customFormat="1" x14ac:dyDescent="0.35">
      <c r="E13652" s="35"/>
      <c r="J13652" s="41"/>
    </row>
    <row r="13653" spans="5:10" s="34" customFormat="1" x14ac:dyDescent="0.35">
      <c r="E13653" s="35"/>
      <c r="J13653" s="41"/>
    </row>
    <row r="13654" spans="5:10" s="34" customFormat="1" x14ac:dyDescent="0.35">
      <c r="E13654" s="35"/>
      <c r="J13654" s="41"/>
    </row>
    <row r="13655" spans="5:10" s="34" customFormat="1" x14ac:dyDescent="0.35">
      <c r="E13655" s="35"/>
      <c r="J13655" s="41"/>
    </row>
    <row r="13656" spans="5:10" s="34" customFormat="1" x14ac:dyDescent="0.35">
      <c r="E13656" s="35"/>
      <c r="J13656" s="41"/>
    </row>
    <row r="13657" spans="5:10" s="34" customFormat="1" x14ac:dyDescent="0.35">
      <c r="E13657" s="35"/>
      <c r="J13657" s="41"/>
    </row>
    <row r="13658" spans="5:10" s="34" customFormat="1" x14ac:dyDescent="0.35">
      <c r="E13658" s="35"/>
      <c r="J13658" s="41"/>
    </row>
    <row r="13659" spans="5:10" s="34" customFormat="1" x14ac:dyDescent="0.35">
      <c r="E13659" s="35"/>
      <c r="J13659" s="41"/>
    </row>
    <row r="13660" spans="5:10" s="34" customFormat="1" x14ac:dyDescent="0.35">
      <c r="E13660" s="35"/>
      <c r="J13660" s="41"/>
    </row>
    <row r="13661" spans="5:10" s="34" customFormat="1" x14ac:dyDescent="0.35">
      <c r="E13661" s="35"/>
      <c r="J13661" s="41"/>
    </row>
    <row r="13662" spans="5:10" s="34" customFormat="1" x14ac:dyDescent="0.35">
      <c r="E13662" s="35"/>
      <c r="J13662" s="41"/>
    </row>
    <row r="13663" spans="5:10" s="34" customFormat="1" x14ac:dyDescent="0.35">
      <c r="E13663" s="35"/>
      <c r="J13663" s="41"/>
    </row>
    <row r="13664" spans="5:10" s="34" customFormat="1" x14ac:dyDescent="0.35">
      <c r="E13664" s="35"/>
      <c r="J13664" s="41"/>
    </row>
    <row r="13665" spans="5:10" s="34" customFormat="1" x14ac:dyDescent="0.35">
      <c r="E13665" s="35"/>
      <c r="J13665" s="41"/>
    </row>
    <row r="13666" spans="5:10" s="34" customFormat="1" x14ac:dyDescent="0.35">
      <c r="E13666" s="35"/>
      <c r="J13666" s="41"/>
    </row>
    <row r="13667" spans="5:10" s="34" customFormat="1" x14ac:dyDescent="0.35">
      <c r="E13667" s="35"/>
      <c r="J13667" s="41"/>
    </row>
    <row r="13668" spans="5:10" s="34" customFormat="1" x14ac:dyDescent="0.35">
      <c r="E13668" s="35"/>
      <c r="J13668" s="41"/>
    </row>
    <row r="13669" spans="5:10" s="34" customFormat="1" x14ac:dyDescent="0.35">
      <c r="E13669" s="35"/>
      <c r="J13669" s="41"/>
    </row>
    <row r="13670" spans="5:10" s="34" customFormat="1" x14ac:dyDescent="0.35">
      <c r="E13670" s="35"/>
      <c r="J13670" s="41"/>
    </row>
    <row r="13671" spans="5:10" s="34" customFormat="1" x14ac:dyDescent="0.35">
      <c r="E13671" s="35"/>
      <c r="J13671" s="41"/>
    </row>
    <row r="13672" spans="5:10" s="34" customFormat="1" x14ac:dyDescent="0.35">
      <c r="E13672" s="35"/>
      <c r="J13672" s="41"/>
    </row>
    <row r="13673" spans="5:10" s="34" customFormat="1" x14ac:dyDescent="0.35">
      <c r="E13673" s="35"/>
      <c r="J13673" s="41"/>
    </row>
    <row r="13674" spans="5:10" s="34" customFormat="1" x14ac:dyDescent="0.35">
      <c r="E13674" s="35"/>
      <c r="J13674" s="41"/>
    </row>
    <row r="13675" spans="5:10" s="34" customFormat="1" x14ac:dyDescent="0.35">
      <c r="E13675" s="35"/>
      <c r="J13675" s="41"/>
    </row>
    <row r="13676" spans="5:10" s="34" customFormat="1" x14ac:dyDescent="0.35">
      <c r="E13676" s="35"/>
      <c r="J13676" s="41"/>
    </row>
    <row r="13677" spans="5:10" s="34" customFormat="1" x14ac:dyDescent="0.35">
      <c r="E13677" s="35"/>
      <c r="J13677" s="41"/>
    </row>
    <row r="13678" spans="5:10" s="34" customFormat="1" x14ac:dyDescent="0.35">
      <c r="E13678" s="35"/>
      <c r="J13678" s="41"/>
    </row>
    <row r="13679" spans="5:10" s="34" customFormat="1" x14ac:dyDescent="0.35">
      <c r="E13679" s="35"/>
      <c r="J13679" s="41"/>
    </row>
    <row r="13680" spans="5:10" s="34" customFormat="1" x14ac:dyDescent="0.35">
      <c r="E13680" s="35"/>
      <c r="J13680" s="41"/>
    </row>
    <row r="13681" spans="5:10" s="34" customFormat="1" x14ac:dyDescent="0.35">
      <c r="E13681" s="35"/>
      <c r="J13681" s="41"/>
    </row>
    <row r="13682" spans="5:10" s="34" customFormat="1" x14ac:dyDescent="0.35">
      <c r="E13682" s="35"/>
      <c r="J13682" s="41"/>
    </row>
    <row r="13683" spans="5:10" s="34" customFormat="1" x14ac:dyDescent="0.35">
      <c r="E13683" s="35"/>
      <c r="J13683" s="41"/>
    </row>
    <row r="13684" spans="5:10" s="34" customFormat="1" x14ac:dyDescent="0.35">
      <c r="E13684" s="35"/>
      <c r="J13684" s="41"/>
    </row>
    <row r="13685" spans="5:10" s="34" customFormat="1" x14ac:dyDescent="0.35">
      <c r="E13685" s="35"/>
      <c r="J13685" s="41"/>
    </row>
    <row r="13686" spans="5:10" s="34" customFormat="1" x14ac:dyDescent="0.35">
      <c r="E13686" s="35"/>
      <c r="J13686" s="41"/>
    </row>
    <row r="13687" spans="5:10" s="34" customFormat="1" x14ac:dyDescent="0.35">
      <c r="E13687" s="35"/>
      <c r="J13687" s="41"/>
    </row>
    <row r="13688" spans="5:10" s="34" customFormat="1" x14ac:dyDescent="0.35">
      <c r="E13688" s="35"/>
      <c r="J13688" s="41"/>
    </row>
    <row r="13689" spans="5:10" s="34" customFormat="1" x14ac:dyDescent="0.35">
      <c r="E13689" s="35"/>
      <c r="J13689" s="41"/>
    </row>
    <row r="13690" spans="5:10" s="34" customFormat="1" x14ac:dyDescent="0.35">
      <c r="E13690" s="35"/>
      <c r="J13690" s="41"/>
    </row>
    <row r="13691" spans="5:10" s="34" customFormat="1" x14ac:dyDescent="0.35">
      <c r="E13691" s="35"/>
      <c r="J13691" s="41"/>
    </row>
    <row r="13692" spans="5:10" s="34" customFormat="1" x14ac:dyDescent="0.35">
      <c r="E13692" s="35"/>
      <c r="J13692" s="41"/>
    </row>
    <row r="13693" spans="5:10" s="34" customFormat="1" x14ac:dyDescent="0.35">
      <c r="E13693" s="35"/>
      <c r="J13693" s="41"/>
    </row>
    <row r="13694" spans="5:10" s="34" customFormat="1" x14ac:dyDescent="0.35">
      <c r="E13694" s="35"/>
      <c r="J13694" s="41"/>
    </row>
    <row r="13695" spans="5:10" s="34" customFormat="1" x14ac:dyDescent="0.35">
      <c r="E13695" s="35"/>
      <c r="J13695" s="41"/>
    </row>
    <row r="13696" spans="5:10" s="34" customFormat="1" x14ac:dyDescent="0.35">
      <c r="E13696" s="35"/>
      <c r="J13696" s="41"/>
    </row>
    <row r="13697" spans="5:10" s="34" customFormat="1" x14ac:dyDescent="0.35">
      <c r="E13697" s="35"/>
      <c r="J13697" s="41"/>
    </row>
    <row r="13698" spans="5:10" s="34" customFormat="1" x14ac:dyDescent="0.35">
      <c r="E13698" s="35"/>
      <c r="J13698" s="41"/>
    </row>
    <row r="13699" spans="5:10" s="34" customFormat="1" x14ac:dyDescent="0.35">
      <c r="E13699" s="35"/>
      <c r="J13699" s="41"/>
    </row>
    <row r="13700" spans="5:10" s="34" customFormat="1" x14ac:dyDescent="0.35">
      <c r="E13700" s="35"/>
      <c r="J13700" s="41"/>
    </row>
    <row r="13701" spans="5:10" s="34" customFormat="1" x14ac:dyDescent="0.35">
      <c r="E13701" s="35"/>
      <c r="J13701" s="41"/>
    </row>
    <row r="13702" spans="5:10" s="34" customFormat="1" x14ac:dyDescent="0.35">
      <c r="E13702" s="35"/>
      <c r="J13702" s="41"/>
    </row>
    <row r="13703" spans="5:10" s="34" customFormat="1" x14ac:dyDescent="0.35">
      <c r="E13703" s="35"/>
      <c r="J13703" s="41"/>
    </row>
    <row r="13704" spans="5:10" s="34" customFormat="1" x14ac:dyDescent="0.35">
      <c r="E13704" s="35"/>
      <c r="J13704" s="41"/>
    </row>
    <row r="13705" spans="5:10" s="34" customFormat="1" x14ac:dyDescent="0.35">
      <c r="E13705" s="35"/>
      <c r="J13705" s="41"/>
    </row>
    <row r="13706" spans="5:10" s="34" customFormat="1" x14ac:dyDescent="0.35">
      <c r="E13706" s="35"/>
      <c r="J13706" s="41"/>
    </row>
    <row r="13707" spans="5:10" s="34" customFormat="1" x14ac:dyDescent="0.35">
      <c r="E13707" s="35"/>
      <c r="J13707" s="41"/>
    </row>
    <row r="13708" spans="5:10" s="34" customFormat="1" x14ac:dyDescent="0.35">
      <c r="E13708" s="35"/>
      <c r="J13708" s="41"/>
    </row>
    <row r="13709" spans="5:10" s="34" customFormat="1" x14ac:dyDescent="0.35">
      <c r="E13709" s="35"/>
      <c r="J13709" s="41"/>
    </row>
    <row r="13710" spans="5:10" s="34" customFormat="1" x14ac:dyDescent="0.35">
      <c r="E13710" s="35"/>
      <c r="J13710" s="41"/>
    </row>
    <row r="13711" spans="5:10" s="34" customFormat="1" x14ac:dyDescent="0.35">
      <c r="E13711" s="35"/>
      <c r="J13711" s="41"/>
    </row>
    <row r="13712" spans="5:10" s="34" customFormat="1" x14ac:dyDescent="0.35">
      <c r="E13712" s="35"/>
      <c r="J13712" s="41"/>
    </row>
    <row r="13713" spans="5:10" s="34" customFormat="1" x14ac:dyDescent="0.35">
      <c r="E13713" s="35"/>
      <c r="J13713" s="41"/>
    </row>
    <row r="13714" spans="5:10" s="34" customFormat="1" x14ac:dyDescent="0.35">
      <c r="E13714" s="35"/>
      <c r="J13714" s="41"/>
    </row>
    <row r="13715" spans="5:10" s="34" customFormat="1" x14ac:dyDescent="0.35">
      <c r="E13715" s="35"/>
      <c r="J13715" s="41"/>
    </row>
    <row r="13716" spans="5:10" s="34" customFormat="1" x14ac:dyDescent="0.35">
      <c r="E13716" s="35"/>
      <c r="J13716" s="41"/>
    </row>
    <row r="13717" spans="5:10" s="34" customFormat="1" x14ac:dyDescent="0.35">
      <c r="E13717" s="35"/>
      <c r="J13717" s="41"/>
    </row>
    <row r="13718" spans="5:10" s="34" customFormat="1" x14ac:dyDescent="0.35">
      <c r="E13718" s="35"/>
      <c r="J13718" s="41"/>
    </row>
    <row r="13719" spans="5:10" s="34" customFormat="1" x14ac:dyDescent="0.35">
      <c r="E13719" s="35"/>
      <c r="J13719" s="41"/>
    </row>
    <row r="13720" spans="5:10" s="34" customFormat="1" x14ac:dyDescent="0.35">
      <c r="E13720" s="35"/>
      <c r="J13720" s="41"/>
    </row>
    <row r="13721" spans="5:10" s="34" customFormat="1" x14ac:dyDescent="0.35">
      <c r="E13721" s="35"/>
      <c r="J13721" s="41"/>
    </row>
    <row r="13722" spans="5:10" s="34" customFormat="1" x14ac:dyDescent="0.35">
      <c r="E13722" s="35"/>
      <c r="J13722" s="41"/>
    </row>
    <row r="13723" spans="5:10" s="34" customFormat="1" x14ac:dyDescent="0.35">
      <c r="E13723" s="35"/>
      <c r="J13723" s="41"/>
    </row>
    <row r="13724" spans="5:10" s="34" customFormat="1" x14ac:dyDescent="0.35">
      <c r="E13724" s="35"/>
      <c r="J13724" s="41"/>
    </row>
    <row r="13725" spans="5:10" s="34" customFormat="1" x14ac:dyDescent="0.35">
      <c r="E13725" s="35"/>
      <c r="J13725" s="41"/>
    </row>
    <row r="13726" spans="5:10" s="34" customFormat="1" x14ac:dyDescent="0.35">
      <c r="E13726" s="35"/>
      <c r="J13726" s="41"/>
    </row>
    <row r="13727" spans="5:10" s="34" customFormat="1" x14ac:dyDescent="0.35">
      <c r="E13727" s="35"/>
      <c r="J13727" s="41"/>
    </row>
    <row r="13728" spans="5:10" s="34" customFormat="1" x14ac:dyDescent="0.35">
      <c r="E13728" s="35"/>
      <c r="J13728" s="41"/>
    </row>
    <row r="13729" spans="5:10" s="34" customFormat="1" x14ac:dyDescent="0.35">
      <c r="E13729" s="35"/>
      <c r="J13729" s="41"/>
    </row>
    <row r="13730" spans="5:10" s="34" customFormat="1" x14ac:dyDescent="0.35">
      <c r="E13730" s="35"/>
      <c r="J13730" s="41"/>
    </row>
    <row r="13731" spans="5:10" s="34" customFormat="1" x14ac:dyDescent="0.35">
      <c r="E13731" s="35"/>
      <c r="J13731" s="41"/>
    </row>
    <row r="13732" spans="5:10" s="34" customFormat="1" x14ac:dyDescent="0.35">
      <c r="E13732" s="35"/>
      <c r="J13732" s="41"/>
    </row>
    <row r="13733" spans="5:10" s="34" customFormat="1" x14ac:dyDescent="0.35">
      <c r="E13733" s="35"/>
      <c r="J13733" s="41"/>
    </row>
    <row r="13734" spans="5:10" s="34" customFormat="1" x14ac:dyDescent="0.35">
      <c r="E13734" s="35"/>
      <c r="J13734" s="41"/>
    </row>
    <row r="13735" spans="5:10" s="34" customFormat="1" x14ac:dyDescent="0.35">
      <c r="E13735" s="35"/>
      <c r="J13735" s="41"/>
    </row>
    <row r="13736" spans="5:10" s="34" customFormat="1" x14ac:dyDescent="0.35">
      <c r="E13736" s="35"/>
      <c r="J13736" s="41"/>
    </row>
    <row r="13737" spans="5:10" s="34" customFormat="1" x14ac:dyDescent="0.35">
      <c r="E13737" s="35"/>
      <c r="J13737" s="41"/>
    </row>
    <row r="13738" spans="5:10" s="34" customFormat="1" x14ac:dyDescent="0.35">
      <c r="E13738" s="35"/>
      <c r="J13738" s="41"/>
    </row>
    <row r="13739" spans="5:10" s="34" customFormat="1" x14ac:dyDescent="0.35">
      <c r="E13739" s="35"/>
      <c r="J13739" s="41"/>
    </row>
    <row r="13740" spans="5:10" s="34" customFormat="1" x14ac:dyDescent="0.35">
      <c r="E13740" s="35"/>
      <c r="J13740" s="41"/>
    </row>
    <row r="13741" spans="5:10" s="34" customFormat="1" x14ac:dyDescent="0.35">
      <c r="E13741" s="35"/>
      <c r="J13741" s="41"/>
    </row>
    <row r="13742" spans="5:10" s="34" customFormat="1" x14ac:dyDescent="0.35">
      <c r="E13742" s="35"/>
      <c r="J13742" s="41"/>
    </row>
    <row r="13743" spans="5:10" s="34" customFormat="1" x14ac:dyDescent="0.35">
      <c r="E13743" s="35"/>
      <c r="J13743" s="41"/>
    </row>
    <row r="13744" spans="5:10" s="34" customFormat="1" x14ac:dyDescent="0.35">
      <c r="E13744" s="35"/>
      <c r="J13744" s="41"/>
    </row>
    <row r="13745" spans="5:10" s="34" customFormat="1" x14ac:dyDescent="0.35">
      <c r="E13745" s="35"/>
      <c r="J13745" s="41"/>
    </row>
    <row r="13746" spans="5:10" s="34" customFormat="1" x14ac:dyDescent="0.35">
      <c r="E13746" s="35"/>
      <c r="J13746" s="41"/>
    </row>
    <row r="13747" spans="5:10" s="34" customFormat="1" x14ac:dyDescent="0.35">
      <c r="E13747" s="35"/>
      <c r="J13747" s="41"/>
    </row>
    <row r="13748" spans="5:10" s="34" customFormat="1" x14ac:dyDescent="0.35">
      <c r="E13748" s="35"/>
      <c r="J13748" s="41"/>
    </row>
    <row r="13749" spans="5:10" s="34" customFormat="1" x14ac:dyDescent="0.35">
      <c r="E13749" s="35"/>
      <c r="J13749" s="41"/>
    </row>
    <row r="13750" spans="5:10" s="34" customFormat="1" x14ac:dyDescent="0.35">
      <c r="E13750" s="35"/>
      <c r="J13750" s="41"/>
    </row>
    <row r="13751" spans="5:10" s="34" customFormat="1" x14ac:dyDescent="0.35">
      <c r="E13751" s="35"/>
      <c r="J13751" s="41"/>
    </row>
    <row r="13752" spans="5:10" s="34" customFormat="1" x14ac:dyDescent="0.35">
      <c r="E13752" s="35"/>
      <c r="J13752" s="41"/>
    </row>
    <row r="13753" spans="5:10" s="34" customFormat="1" x14ac:dyDescent="0.35">
      <c r="E13753" s="35"/>
      <c r="J13753" s="41"/>
    </row>
    <row r="13754" spans="5:10" s="34" customFormat="1" x14ac:dyDescent="0.35">
      <c r="E13754" s="35"/>
      <c r="J13754" s="41"/>
    </row>
    <row r="13755" spans="5:10" s="34" customFormat="1" x14ac:dyDescent="0.35">
      <c r="E13755" s="35"/>
      <c r="J13755" s="41"/>
    </row>
    <row r="13756" spans="5:10" s="34" customFormat="1" x14ac:dyDescent="0.35">
      <c r="E13756" s="35"/>
      <c r="J13756" s="41"/>
    </row>
    <row r="13757" spans="5:10" s="34" customFormat="1" x14ac:dyDescent="0.35">
      <c r="E13757" s="35"/>
      <c r="J13757" s="41"/>
    </row>
    <row r="13758" spans="5:10" s="34" customFormat="1" x14ac:dyDescent="0.35">
      <c r="E13758" s="35"/>
      <c r="J13758" s="41"/>
    </row>
    <row r="13759" spans="5:10" s="34" customFormat="1" x14ac:dyDescent="0.35">
      <c r="E13759" s="35"/>
      <c r="J13759" s="41"/>
    </row>
    <row r="13760" spans="5:10" s="34" customFormat="1" x14ac:dyDescent="0.35">
      <c r="E13760" s="35"/>
      <c r="J13760" s="41"/>
    </row>
    <row r="13761" spans="5:10" s="34" customFormat="1" x14ac:dyDescent="0.35">
      <c r="E13761" s="35"/>
      <c r="J13761" s="41"/>
    </row>
    <row r="13762" spans="5:10" s="34" customFormat="1" x14ac:dyDescent="0.35">
      <c r="E13762" s="35"/>
      <c r="J13762" s="41"/>
    </row>
    <row r="13763" spans="5:10" s="34" customFormat="1" x14ac:dyDescent="0.35">
      <c r="E13763" s="35"/>
      <c r="J13763" s="41"/>
    </row>
    <row r="13764" spans="5:10" s="34" customFormat="1" x14ac:dyDescent="0.35">
      <c r="E13764" s="35"/>
      <c r="J13764" s="41"/>
    </row>
    <row r="13765" spans="5:10" s="34" customFormat="1" x14ac:dyDescent="0.35">
      <c r="E13765" s="35"/>
      <c r="J13765" s="41"/>
    </row>
    <row r="13766" spans="5:10" s="34" customFormat="1" x14ac:dyDescent="0.35">
      <c r="E13766" s="35"/>
      <c r="J13766" s="41"/>
    </row>
    <row r="13767" spans="5:10" s="34" customFormat="1" x14ac:dyDescent="0.35">
      <c r="E13767" s="35"/>
      <c r="J13767" s="41"/>
    </row>
    <row r="13768" spans="5:10" s="34" customFormat="1" x14ac:dyDescent="0.35">
      <c r="E13768" s="35"/>
      <c r="J13768" s="41"/>
    </row>
    <row r="13769" spans="5:10" s="34" customFormat="1" x14ac:dyDescent="0.35">
      <c r="E13769" s="35"/>
      <c r="J13769" s="41"/>
    </row>
    <row r="13770" spans="5:10" s="34" customFormat="1" x14ac:dyDescent="0.35">
      <c r="E13770" s="35"/>
      <c r="J13770" s="41"/>
    </row>
    <row r="13771" spans="5:10" s="34" customFormat="1" x14ac:dyDescent="0.35">
      <c r="E13771" s="35"/>
      <c r="J13771" s="41"/>
    </row>
    <row r="13772" spans="5:10" s="34" customFormat="1" x14ac:dyDescent="0.35">
      <c r="E13772" s="35"/>
      <c r="J13772" s="41"/>
    </row>
    <row r="13773" spans="5:10" s="34" customFormat="1" x14ac:dyDescent="0.35">
      <c r="E13773" s="35"/>
      <c r="J13773" s="41"/>
    </row>
    <row r="13774" spans="5:10" s="34" customFormat="1" x14ac:dyDescent="0.35">
      <c r="E13774" s="35"/>
      <c r="J13774" s="41"/>
    </row>
    <row r="13775" spans="5:10" s="34" customFormat="1" x14ac:dyDescent="0.35">
      <c r="E13775" s="35"/>
      <c r="J13775" s="41"/>
    </row>
    <row r="13776" spans="5:10" s="34" customFormat="1" x14ac:dyDescent="0.35">
      <c r="E13776" s="35"/>
      <c r="J13776" s="41"/>
    </row>
    <row r="13777" spans="5:10" s="34" customFormat="1" x14ac:dyDescent="0.35">
      <c r="E13777" s="35"/>
      <c r="J13777" s="41"/>
    </row>
    <row r="13778" spans="5:10" s="34" customFormat="1" x14ac:dyDescent="0.35">
      <c r="E13778" s="35"/>
      <c r="J13778" s="41"/>
    </row>
    <row r="13779" spans="5:10" s="34" customFormat="1" x14ac:dyDescent="0.35">
      <c r="E13779" s="35"/>
      <c r="J13779" s="41"/>
    </row>
    <row r="13780" spans="5:10" s="34" customFormat="1" x14ac:dyDescent="0.35">
      <c r="E13780" s="35"/>
      <c r="J13780" s="41"/>
    </row>
    <row r="13781" spans="5:10" s="34" customFormat="1" x14ac:dyDescent="0.35">
      <c r="E13781" s="35"/>
      <c r="J13781" s="41"/>
    </row>
    <row r="13782" spans="5:10" s="34" customFormat="1" x14ac:dyDescent="0.35">
      <c r="E13782" s="35"/>
      <c r="J13782" s="41"/>
    </row>
    <row r="13783" spans="5:10" s="34" customFormat="1" x14ac:dyDescent="0.35">
      <c r="E13783" s="35"/>
      <c r="J13783" s="41"/>
    </row>
    <row r="13784" spans="5:10" s="34" customFormat="1" x14ac:dyDescent="0.35">
      <c r="E13784" s="35"/>
      <c r="J13784" s="41"/>
    </row>
    <row r="13785" spans="5:10" s="34" customFormat="1" x14ac:dyDescent="0.35">
      <c r="E13785" s="35"/>
      <c r="J13785" s="41"/>
    </row>
    <row r="13786" spans="5:10" s="34" customFormat="1" x14ac:dyDescent="0.35">
      <c r="E13786" s="35"/>
      <c r="J13786" s="41"/>
    </row>
    <row r="13787" spans="5:10" s="34" customFormat="1" x14ac:dyDescent="0.35">
      <c r="E13787" s="35"/>
      <c r="J13787" s="41"/>
    </row>
    <row r="13788" spans="5:10" s="34" customFormat="1" x14ac:dyDescent="0.35">
      <c r="E13788" s="35"/>
      <c r="J13788" s="41"/>
    </row>
    <row r="13789" spans="5:10" s="34" customFormat="1" x14ac:dyDescent="0.35">
      <c r="E13789" s="35"/>
      <c r="J13789" s="41"/>
    </row>
    <row r="13790" spans="5:10" s="34" customFormat="1" x14ac:dyDescent="0.35">
      <c r="E13790" s="35"/>
      <c r="J13790" s="41"/>
    </row>
    <row r="13791" spans="5:10" s="34" customFormat="1" x14ac:dyDescent="0.35">
      <c r="E13791" s="35"/>
      <c r="J13791" s="41"/>
    </row>
    <row r="13792" spans="5:10" s="34" customFormat="1" x14ac:dyDescent="0.35">
      <c r="E13792" s="35"/>
      <c r="J13792" s="41"/>
    </row>
    <row r="13793" spans="5:10" s="34" customFormat="1" x14ac:dyDescent="0.35">
      <c r="E13793" s="35"/>
      <c r="J13793" s="41"/>
    </row>
    <row r="13794" spans="5:10" s="34" customFormat="1" x14ac:dyDescent="0.35">
      <c r="E13794" s="35"/>
      <c r="J13794" s="41"/>
    </row>
    <row r="13795" spans="5:10" s="34" customFormat="1" x14ac:dyDescent="0.35">
      <c r="E13795" s="35"/>
      <c r="J13795" s="41"/>
    </row>
    <row r="13796" spans="5:10" s="34" customFormat="1" x14ac:dyDescent="0.35">
      <c r="E13796" s="35"/>
      <c r="J13796" s="41"/>
    </row>
    <row r="13797" spans="5:10" s="34" customFormat="1" x14ac:dyDescent="0.35">
      <c r="E13797" s="35"/>
      <c r="J13797" s="41"/>
    </row>
    <row r="13798" spans="5:10" s="34" customFormat="1" x14ac:dyDescent="0.35">
      <c r="E13798" s="35"/>
      <c r="J13798" s="41"/>
    </row>
    <row r="13799" spans="5:10" s="34" customFormat="1" x14ac:dyDescent="0.35">
      <c r="E13799" s="35"/>
      <c r="J13799" s="41"/>
    </row>
    <row r="13800" spans="5:10" s="34" customFormat="1" x14ac:dyDescent="0.35">
      <c r="E13800" s="35"/>
      <c r="J13800" s="41"/>
    </row>
    <row r="13801" spans="5:10" s="34" customFormat="1" x14ac:dyDescent="0.35">
      <c r="E13801" s="35"/>
      <c r="J13801" s="41"/>
    </row>
    <row r="13802" spans="5:10" s="34" customFormat="1" x14ac:dyDescent="0.35">
      <c r="E13802" s="35"/>
      <c r="J13802" s="41"/>
    </row>
    <row r="13803" spans="5:10" s="34" customFormat="1" x14ac:dyDescent="0.35">
      <c r="E13803" s="35"/>
      <c r="J13803" s="41"/>
    </row>
    <row r="13804" spans="5:10" s="34" customFormat="1" x14ac:dyDescent="0.35">
      <c r="E13804" s="35"/>
      <c r="J13804" s="41"/>
    </row>
    <row r="13805" spans="5:10" s="34" customFormat="1" x14ac:dyDescent="0.35">
      <c r="E13805" s="35"/>
      <c r="J13805" s="41"/>
    </row>
    <row r="13806" spans="5:10" s="34" customFormat="1" x14ac:dyDescent="0.35">
      <c r="E13806" s="35"/>
      <c r="J13806" s="41"/>
    </row>
    <row r="13807" spans="5:10" s="34" customFormat="1" x14ac:dyDescent="0.35">
      <c r="E13807" s="35"/>
      <c r="J13807" s="41"/>
    </row>
    <row r="13808" spans="5:10" s="34" customFormat="1" x14ac:dyDescent="0.35">
      <c r="E13808" s="35"/>
      <c r="J13808" s="41"/>
    </row>
    <row r="13809" spans="5:10" s="34" customFormat="1" x14ac:dyDescent="0.35">
      <c r="E13809" s="35"/>
      <c r="J13809" s="41"/>
    </row>
    <row r="13810" spans="5:10" s="34" customFormat="1" x14ac:dyDescent="0.35">
      <c r="E13810" s="35"/>
      <c r="J13810" s="41"/>
    </row>
    <row r="13811" spans="5:10" s="34" customFormat="1" x14ac:dyDescent="0.35">
      <c r="E13811" s="35"/>
      <c r="J13811" s="41"/>
    </row>
    <row r="13812" spans="5:10" s="34" customFormat="1" x14ac:dyDescent="0.35">
      <c r="E13812" s="35"/>
      <c r="J13812" s="41"/>
    </row>
    <row r="13813" spans="5:10" s="34" customFormat="1" x14ac:dyDescent="0.35">
      <c r="E13813" s="35"/>
      <c r="J13813" s="41"/>
    </row>
    <row r="13814" spans="5:10" s="34" customFormat="1" x14ac:dyDescent="0.35">
      <c r="E13814" s="35"/>
      <c r="J13814" s="41"/>
    </row>
    <row r="13815" spans="5:10" s="34" customFormat="1" x14ac:dyDescent="0.35">
      <c r="E13815" s="35"/>
      <c r="J13815" s="41"/>
    </row>
    <row r="13816" spans="5:10" s="34" customFormat="1" x14ac:dyDescent="0.35">
      <c r="E13816" s="35"/>
      <c r="J13816" s="41"/>
    </row>
    <row r="13817" spans="5:10" s="34" customFormat="1" x14ac:dyDescent="0.35">
      <c r="E13817" s="35"/>
      <c r="J13817" s="41"/>
    </row>
    <row r="13818" spans="5:10" s="34" customFormat="1" x14ac:dyDescent="0.35">
      <c r="E13818" s="35"/>
      <c r="J13818" s="41"/>
    </row>
    <row r="13819" spans="5:10" s="34" customFormat="1" x14ac:dyDescent="0.35">
      <c r="E13819" s="35"/>
      <c r="J13819" s="41"/>
    </row>
    <row r="13820" spans="5:10" s="34" customFormat="1" x14ac:dyDescent="0.35">
      <c r="E13820" s="35"/>
      <c r="J13820" s="41"/>
    </row>
    <row r="13821" spans="5:10" s="34" customFormat="1" x14ac:dyDescent="0.35">
      <c r="E13821" s="35"/>
      <c r="J13821" s="41"/>
    </row>
    <row r="13822" spans="5:10" s="34" customFormat="1" x14ac:dyDescent="0.35">
      <c r="E13822" s="35"/>
      <c r="J13822" s="41"/>
    </row>
    <row r="13823" spans="5:10" s="34" customFormat="1" x14ac:dyDescent="0.35">
      <c r="E13823" s="35"/>
      <c r="J13823" s="41"/>
    </row>
    <row r="13824" spans="5:10" s="34" customFormat="1" x14ac:dyDescent="0.35">
      <c r="E13824" s="35"/>
      <c r="J13824" s="41"/>
    </row>
    <row r="13825" spans="5:10" s="34" customFormat="1" x14ac:dyDescent="0.35">
      <c r="E13825" s="35"/>
      <c r="J13825" s="41"/>
    </row>
    <row r="13826" spans="5:10" s="34" customFormat="1" x14ac:dyDescent="0.35">
      <c r="E13826" s="35"/>
      <c r="J13826" s="41"/>
    </row>
    <row r="13827" spans="5:10" s="34" customFormat="1" x14ac:dyDescent="0.35">
      <c r="E13827" s="35"/>
      <c r="J13827" s="41"/>
    </row>
    <row r="13828" spans="5:10" s="34" customFormat="1" x14ac:dyDescent="0.35">
      <c r="E13828" s="35"/>
      <c r="J13828" s="41"/>
    </row>
    <row r="13829" spans="5:10" s="34" customFormat="1" x14ac:dyDescent="0.35">
      <c r="E13829" s="35"/>
      <c r="J13829" s="41"/>
    </row>
    <row r="13830" spans="5:10" s="34" customFormat="1" x14ac:dyDescent="0.35">
      <c r="E13830" s="35"/>
      <c r="J13830" s="41"/>
    </row>
    <row r="13831" spans="5:10" s="34" customFormat="1" x14ac:dyDescent="0.35">
      <c r="E13831" s="35"/>
      <c r="J13831" s="41"/>
    </row>
    <row r="13832" spans="5:10" s="34" customFormat="1" x14ac:dyDescent="0.35">
      <c r="E13832" s="35"/>
      <c r="J13832" s="41"/>
    </row>
    <row r="13833" spans="5:10" s="34" customFormat="1" x14ac:dyDescent="0.35">
      <c r="E13833" s="35"/>
      <c r="J13833" s="41"/>
    </row>
    <row r="13834" spans="5:10" s="34" customFormat="1" x14ac:dyDescent="0.35">
      <c r="E13834" s="35"/>
      <c r="J13834" s="41"/>
    </row>
    <row r="13835" spans="5:10" s="34" customFormat="1" x14ac:dyDescent="0.35">
      <c r="E13835" s="35"/>
      <c r="J13835" s="41"/>
    </row>
    <row r="13836" spans="5:10" s="34" customFormat="1" x14ac:dyDescent="0.35">
      <c r="E13836" s="35"/>
      <c r="J13836" s="41"/>
    </row>
    <row r="13837" spans="5:10" s="34" customFormat="1" x14ac:dyDescent="0.35">
      <c r="E13837" s="35"/>
      <c r="J13837" s="41"/>
    </row>
    <row r="13838" spans="5:10" s="34" customFormat="1" x14ac:dyDescent="0.35">
      <c r="E13838" s="35"/>
      <c r="J13838" s="41"/>
    </row>
    <row r="13839" spans="5:10" s="34" customFormat="1" x14ac:dyDescent="0.35">
      <c r="E13839" s="35"/>
      <c r="J13839" s="41"/>
    </row>
    <row r="13840" spans="5:10" s="34" customFormat="1" x14ac:dyDescent="0.35">
      <c r="E13840" s="35"/>
      <c r="J13840" s="41"/>
    </row>
    <row r="13841" spans="5:10" s="34" customFormat="1" x14ac:dyDescent="0.35">
      <c r="E13841" s="35"/>
      <c r="J13841" s="41"/>
    </row>
    <row r="13842" spans="5:10" s="34" customFormat="1" x14ac:dyDescent="0.35">
      <c r="E13842" s="35"/>
      <c r="J13842" s="41"/>
    </row>
    <row r="13843" spans="5:10" s="34" customFormat="1" x14ac:dyDescent="0.35">
      <c r="E13843" s="35"/>
      <c r="J13843" s="41"/>
    </row>
    <row r="13844" spans="5:10" s="34" customFormat="1" x14ac:dyDescent="0.35">
      <c r="E13844" s="35"/>
      <c r="J13844" s="41"/>
    </row>
    <row r="13845" spans="5:10" s="34" customFormat="1" x14ac:dyDescent="0.35">
      <c r="E13845" s="35"/>
      <c r="J13845" s="41"/>
    </row>
    <row r="13846" spans="5:10" s="34" customFormat="1" x14ac:dyDescent="0.35">
      <c r="E13846" s="35"/>
      <c r="J13846" s="41"/>
    </row>
    <row r="13847" spans="5:10" s="34" customFormat="1" x14ac:dyDescent="0.35">
      <c r="E13847" s="35"/>
      <c r="J13847" s="41"/>
    </row>
    <row r="13848" spans="5:10" s="34" customFormat="1" x14ac:dyDescent="0.35">
      <c r="E13848" s="35"/>
      <c r="J13848" s="41"/>
    </row>
    <row r="13849" spans="5:10" s="34" customFormat="1" x14ac:dyDescent="0.35">
      <c r="E13849" s="35"/>
      <c r="J13849" s="41"/>
    </row>
    <row r="13850" spans="5:10" s="34" customFormat="1" x14ac:dyDescent="0.35">
      <c r="E13850" s="35"/>
      <c r="J13850" s="41"/>
    </row>
    <row r="13851" spans="5:10" s="34" customFormat="1" x14ac:dyDescent="0.35">
      <c r="E13851" s="35"/>
      <c r="J13851" s="41"/>
    </row>
    <row r="13852" spans="5:10" s="34" customFormat="1" x14ac:dyDescent="0.35">
      <c r="E13852" s="35"/>
      <c r="J13852" s="41"/>
    </row>
    <row r="13853" spans="5:10" s="34" customFormat="1" x14ac:dyDescent="0.35">
      <c r="E13853" s="35"/>
      <c r="J13853" s="41"/>
    </row>
    <row r="13854" spans="5:10" s="34" customFormat="1" x14ac:dyDescent="0.35">
      <c r="E13854" s="35"/>
      <c r="J13854" s="41"/>
    </row>
    <row r="13855" spans="5:10" s="34" customFormat="1" x14ac:dyDescent="0.35">
      <c r="E13855" s="35"/>
      <c r="J13855" s="41"/>
    </row>
    <row r="13856" spans="5:10" s="34" customFormat="1" x14ac:dyDescent="0.35">
      <c r="E13856" s="35"/>
      <c r="J13856" s="41"/>
    </row>
    <row r="13857" spans="5:10" s="34" customFormat="1" x14ac:dyDescent="0.35">
      <c r="E13857" s="35"/>
      <c r="J13857" s="41"/>
    </row>
    <row r="13858" spans="5:10" s="34" customFormat="1" x14ac:dyDescent="0.35">
      <c r="E13858" s="35"/>
      <c r="J13858" s="41"/>
    </row>
    <row r="13859" spans="5:10" s="34" customFormat="1" x14ac:dyDescent="0.35">
      <c r="E13859" s="35"/>
      <c r="J13859" s="41"/>
    </row>
    <row r="13860" spans="5:10" s="34" customFormat="1" x14ac:dyDescent="0.35">
      <c r="E13860" s="35"/>
      <c r="J13860" s="41"/>
    </row>
    <row r="13861" spans="5:10" s="34" customFormat="1" x14ac:dyDescent="0.35">
      <c r="E13861" s="35"/>
      <c r="J13861" s="41"/>
    </row>
    <row r="13862" spans="5:10" s="34" customFormat="1" x14ac:dyDescent="0.35">
      <c r="E13862" s="35"/>
      <c r="J13862" s="41"/>
    </row>
    <row r="13863" spans="5:10" s="34" customFormat="1" x14ac:dyDescent="0.35">
      <c r="E13863" s="35"/>
      <c r="J13863" s="41"/>
    </row>
    <row r="13864" spans="5:10" s="34" customFormat="1" x14ac:dyDescent="0.35">
      <c r="E13864" s="35"/>
      <c r="J13864" s="41"/>
    </row>
    <row r="13865" spans="5:10" s="34" customFormat="1" x14ac:dyDescent="0.35">
      <c r="E13865" s="35"/>
      <c r="J13865" s="41"/>
    </row>
    <row r="13866" spans="5:10" s="34" customFormat="1" x14ac:dyDescent="0.35">
      <c r="E13866" s="35"/>
      <c r="J13866" s="41"/>
    </row>
    <row r="13867" spans="5:10" s="34" customFormat="1" x14ac:dyDescent="0.35">
      <c r="E13867" s="35"/>
      <c r="J13867" s="41"/>
    </row>
    <row r="13868" spans="5:10" s="34" customFormat="1" x14ac:dyDescent="0.35">
      <c r="E13868" s="35"/>
      <c r="J13868" s="41"/>
    </row>
    <row r="13869" spans="5:10" s="34" customFormat="1" x14ac:dyDescent="0.35">
      <c r="E13869" s="35"/>
      <c r="J13869" s="41"/>
    </row>
    <row r="13870" spans="5:10" s="34" customFormat="1" x14ac:dyDescent="0.35">
      <c r="E13870" s="35"/>
      <c r="J13870" s="41"/>
    </row>
    <row r="13871" spans="5:10" s="34" customFormat="1" x14ac:dyDescent="0.35">
      <c r="E13871" s="35"/>
      <c r="J13871" s="41"/>
    </row>
    <row r="13872" spans="5:10" s="34" customFormat="1" x14ac:dyDescent="0.35">
      <c r="E13872" s="35"/>
      <c r="J13872" s="41"/>
    </row>
    <row r="13873" spans="5:10" s="34" customFormat="1" x14ac:dyDescent="0.35">
      <c r="E13873" s="35"/>
      <c r="J13873" s="41"/>
    </row>
    <row r="13874" spans="5:10" s="34" customFormat="1" x14ac:dyDescent="0.35">
      <c r="E13874" s="35"/>
      <c r="J13874" s="41"/>
    </row>
    <row r="13875" spans="5:10" s="34" customFormat="1" x14ac:dyDescent="0.35">
      <c r="E13875" s="35"/>
      <c r="J13875" s="41"/>
    </row>
    <row r="13876" spans="5:10" s="34" customFormat="1" x14ac:dyDescent="0.35">
      <c r="E13876" s="35"/>
      <c r="J13876" s="41"/>
    </row>
    <row r="13877" spans="5:10" s="34" customFormat="1" x14ac:dyDescent="0.35">
      <c r="E13877" s="35"/>
      <c r="J13877" s="41"/>
    </row>
    <row r="13878" spans="5:10" s="34" customFormat="1" x14ac:dyDescent="0.35">
      <c r="E13878" s="35"/>
      <c r="J13878" s="41"/>
    </row>
    <row r="13879" spans="5:10" s="34" customFormat="1" x14ac:dyDescent="0.35">
      <c r="E13879" s="35"/>
      <c r="J13879" s="41"/>
    </row>
    <row r="13880" spans="5:10" s="34" customFormat="1" x14ac:dyDescent="0.35">
      <c r="E13880" s="35"/>
      <c r="J13880" s="41"/>
    </row>
    <row r="13881" spans="5:10" s="34" customFormat="1" x14ac:dyDescent="0.35">
      <c r="E13881" s="35"/>
      <c r="J13881" s="41"/>
    </row>
    <row r="13882" spans="5:10" s="34" customFormat="1" x14ac:dyDescent="0.35">
      <c r="E13882" s="35"/>
      <c r="J13882" s="41"/>
    </row>
    <row r="13883" spans="5:10" s="34" customFormat="1" x14ac:dyDescent="0.35">
      <c r="E13883" s="35"/>
      <c r="J13883" s="41"/>
    </row>
    <row r="13884" spans="5:10" s="34" customFormat="1" x14ac:dyDescent="0.35">
      <c r="E13884" s="35"/>
      <c r="J13884" s="41"/>
    </row>
    <row r="13885" spans="5:10" s="34" customFormat="1" x14ac:dyDescent="0.35">
      <c r="E13885" s="35"/>
      <c r="J13885" s="41"/>
    </row>
    <row r="13886" spans="5:10" s="34" customFormat="1" x14ac:dyDescent="0.35">
      <c r="E13886" s="35"/>
      <c r="J13886" s="41"/>
    </row>
    <row r="13887" spans="5:10" s="34" customFormat="1" x14ac:dyDescent="0.35">
      <c r="E13887" s="35"/>
      <c r="J13887" s="41"/>
    </row>
    <row r="13888" spans="5:10" s="34" customFormat="1" x14ac:dyDescent="0.35">
      <c r="E13888" s="35"/>
      <c r="J13888" s="41"/>
    </row>
    <row r="13889" spans="5:10" s="34" customFormat="1" x14ac:dyDescent="0.35">
      <c r="E13889" s="35"/>
      <c r="J13889" s="41"/>
    </row>
    <row r="13890" spans="5:10" s="34" customFormat="1" x14ac:dyDescent="0.35">
      <c r="E13890" s="35"/>
      <c r="J13890" s="41"/>
    </row>
    <row r="13891" spans="5:10" s="34" customFormat="1" x14ac:dyDescent="0.35">
      <c r="E13891" s="35"/>
      <c r="J13891" s="41"/>
    </row>
    <row r="13892" spans="5:10" s="34" customFormat="1" x14ac:dyDescent="0.35">
      <c r="E13892" s="35"/>
      <c r="J13892" s="41"/>
    </row>
    <row r="13893" spans="5:10" s="34" customFormat="1" x14ac:dyDescent="0.35">
      <c r="E13893" s="35"/>
      <c r="J13893" s="41"/>
    </row>
    <row r="13894" spans="5:10" s="34" customFormat="1" x14ac:dyDescent="0.35">
      <c r="E13894" s="35"/>
      <c r="J13894" s="41"/>
    </row>
    <row r="13895" spans="5:10" s="34" customFormat="1" x14ac:dyDescent="0.35">
      <c r="E13895" s="35"/>
      <c r="J13895" s="41"/>
    </row>
    <row r="13896" spans="5:10" s="34" customFormat="1" x14ac:dyDescent="0.35">
      <c r="E13896" s="35"/>
      <c r="J13896" s="41"/>
    </row>
    <row r="13897" spans="5:10" s="34" customFormat="1" x14ac:dyDescent="0.35">
      <c r="E13897" s="35"/>
      <c r="J13897" s="41"/>
    </row>
    <row r="13898" spans="5:10" s="34" customFormat="1" x14ac:dyDescent="0.35">
      <c r="E13898" s="35"/>
      <c r="J13898" s="41"/>
    </row>
    <row r="13899" spans="5:10" s="34" customFormat="1" x14ac:dyDescent="0.35">
      <c r="E13899" s="35"/>
      <c r="J13899" s="41"/>
    </row>
    <row r="13900" spans="5:10" s="34" customFormat="1" x14ac:dyDescent="0.35">
      <c r="E13900" s="35"/>
      <c r="J13900" s="41"/>
    </row>
    <row r="13901" spans="5:10" s="34" customFormat="1" x14ac:dyDescent="0.35">
      <c r="E13901" s="35"/>
      <c r="J13901" s="41"/>
    </row>
    <row r="13902" spans="5:10" s="34" customFormat="1" x14ac:dyDescent="0.35">
      <c r="E13902" s="35"/>
      <c r="J13902" s="41"/>
    </row>
    <row r="13903" spans="5:10" s="34" customFormat="1" x14ac:dyDescent="0.35">
      <c r="E13903" s="35"/>
      <c r="J13903" s="41"/>
    </row>
    <row r="13904" spans="5:10" s="34" customFormat="1" x14ac:dyDescent="0.35">
      <c r="E13904" s="35"/>
      <c r="J13904" s="41"/>
    </row>
    <row r="13905" spans="5:10" s="34" customFormat="1" x14ac:dyDescent="0.35">
      <c r="E13905" s="35"/>
      <c r="J13905" s="41"/>
    </row>
    <row r="13906" spans="5:10" s="34" customFormat="1" x14ac:dyDescent="0.35">
      <c r="E13906" s="35"/>
      <c r="J13906" s="41"/>
    </row>
    <row r="13907" spans="5:10" s="34" customFormat="1" x14ac:dyDescent="0.35">
      <c r="E13907" s="35"/>
      <c r="J13907" s="41"/>
    </row>
    <row r="13908" spans="5:10" s="34" customFormat="1" x14ac:dyDescent="0.35">
      <c r="E13908" s="35"/>
      <c r="J13908" s="41"/>
    </row>
    <row r="13909" spans="5:10" s="34" customFormat="1" x14ac:dyDescent="0.35">
      <c r="E13909" s="35"/>
      <c r="J13909" s="41"/>
    </row>
    <row r="13910" spans="5:10" s="34" customFormat="1" x14ac:dyDescent="0.35">
      <c r="E13910" s="35"/>
      <c r="J13910" s="41"/>
    </row>
    <row r="13911" spans="5:10" s="34" customFormat="1" x14ac:dyDescent="0.35">
      <c r="E13911" s="35"/>
      <c r="J13911" s="41"/>
    </row>
    <row r="13912" spans="5:10" s="34" customFormat="1" x14ac:dyDescent="0.35">
      <c r="E13912" s="35"/>
      <c r="J13912" s="41"/>
    </row>
    <row r="13913" spans="5:10" s="34" customFormat="1" x14ac:dyDescent="0.35">
      <c r="E13913" s="35"/>
      <c r="J13913" s="41"/>
    </row>
    <row r="13914" spans="5:10" s="34" customFormat="1" x14ac:dyDescent="0.35">
      <c r="E13914" s="35"/>
      <c r="J13914" s="41"/>
    </row>
    <row r="13915" spans="5:10" s="34" customFormat="1" x14ac:dyDescent="0.35">
      <c r="E13915" s="35"/>
      <c r="J13915" s="41"/>
    </row>
    <row r="13916" spans="5:10" s="34" customFormat="1" x14ac:dyDescent="0.35">
      <c r="E13916" s="35"/>
      <c r="J13916" s="41"/>
    </row>
    <row r="13917" spans="5:10" s="34" customFormat="1" x14ac:dyDescent="0.35">
      <c r="E13917" s="35"/>
      <c r="J13917" s="41"/>
    </row>
    <row r="13918" spans="5:10" s="34" customFormat="1" x14ac:dyDescent="0.35">
      <c r="E13918" s="35"/>
      <c r="J13918" s="41"/>
    </row>
    <row r="13919" spans="5:10" s="34" customFormat="1" x14ac:dyDescent="0.35">
      <c r="E13919" s="35"/>
      <c r="J13919" s="41"/>
    </row>
    <row r="13920" spans="5:10" s="34" customFormat="1" x14ac:dyDescent="0.35">
      <c r="E13920" s="35"/>
      <c r="J13920" s="41"/>
    </row>
    <row r="13921" spans="5:10" s="34" customFormat="1" x14ac:dyDescent="0.35">
      <c r="E13921" s="35"/>
      <c r="J13921" s="41"/>
    </row>
    <row r="13922" spans="5:10" s="34" customFormat="1" x14ac:dyDescent="0.35">
      <c r="E13922" s="35"/>
      <c r="J13922" s="41"/>
    </row>
    <row r="13923" spans="5:10" s="34" customFormat="1" x14ac:dyDescent="0.35">
      <c r="E13923" s="35"/>
      <c r="J13923" s="41"/>
    </row>
    <row r="13924" spans="5:10" s="34" customFormat="1" x14ac:dyDescent="0.35">
      <c r="E13924" s="35"/>
      <c r="J13924" s="41"/>
    </row>
    <row r="13925" spans="5:10" s="34" customFormat="1" x14ac:dyDescent="0.35">
      <c r="E13925" s="35"/>
      <c r="J13925" s="41"/>
    </row>
    <row r="13926" spans="5:10" s="34" customFormat="1" x14ac:dyDescent="0.35">
      <c r="E13926" s="35"/>
      <c r="J13926" s="41"/>
    </row>
    <row r="13927" spans="5:10" s="34" customFormat="1" x14ac:dyDescent="0.35">
      <c r="E13927" s="35"/>
      <c r="J13927" s="41"/>
    </row>
    <row r="13928" spans="5:10" s="34" customFormat="1" x14ac:dyDescent="0.35">
      <c r="E13928" s="35"/>
      <c r="J13928" s="41"/>
    </row>
    <row r="13929" spans="5:10" s="34" customFormat="1" x14ac:dyDescent="0.35">
      <c r="E13929" s="35"/>
      <c r="J13929" s="41"/>
    </row>
    <row r="13930" spans="5:10" s="34" customFormat="1" x14ac:dyDescent="0.35">
      <c r="E13930" s="35"/>
      <c r="J13930" s="41"/>
    </row>
    <row r="13931" spans="5:10" s="34" customFormat="1" x14ac:dyDescent="0.35">
      <c r="E13931" s="35"/>
      <c r="J13931" s="41"/>
    </row>
    <row r="13932" spans="5:10" s="34" customFormat="1" x14ac:dyDescent="0.35">
      <c r="E13932" s="35"/>
      <c r="J13932" s="41"/>
    </row>
    <row r="13933" spans="5:10" s="34" customFormat="1" x14ac:dyDescent="0.35">
      <c r="E13933" s="35"/>
      <c r="J13933" s="41"/>
    </row>
    <row r="13934" spans="5:10" s="34" customFormat="1" x14ac:dyDescent="0.35">
      <c r="E13934" s="35"/>
      <c r="J13934" s="41"/>
    </row>
    <row r="13935" spans="5:10" s="34" customFormat="1" x14ac:dyDescent="0.35">
      <c r="E13935" s="35"/>
      <c r="J13935" s="41"/>
    </row>
    <row r="13936" spans="5:10" s="34" customFormat="1" x14ac:dyDescent="0.35">
      <c r="E13936" s="35"/>
      <c r="J13936" s="41"/>
    </row>
    <row r="13937" spans="5:10" s="34" customFormat="1" x14ac:dyDescent="0.35">
      <c r="E13937" s="35"/>
      <c r="J13937" s="41"/>
    </row>
    <row r="13938" spans="5:10" s="34" customFormat="1" x14ac:dyDescent="0.35">
      <c r="E13938" s="35"/>
      <c r="J13938" s="41"/>
    </row>
    <row r="13939" spans="5:10" s="34" customFormat="1" x14ac:dyDescent="0.35">
      <c r="E13939" s="35"/>
      <c r="J13939" s="41"/>
    </row>
    <row r="13940" spans="5:10" s="34" customFormat="1" x14ac:dyDescent="0.35">
      <c r="E13940" s="35"/>
      <c r="J13940" s="41"/>
    </row>
    <row r="13941" spans="5:10" s="34" customFormat="1" x14ac:dyDescent="0.35">
      <c r="E13941" s="35"/>
      <c r="J13941" s="41"/>
    </row>
    <row r="13942" spans="5:10" s="34" customFormat="1" x14ac:dyDescent="0.35">
      <c r="E13942" s="35"/>
      <c r="J13942" s="41"/>
    </row>
    <row r="13943" spans="5:10" s="34" customFormat="1" x14ac:dyDescent="0.35">
      <c r="E13943" s="35"/>
      <c r="J13943" s="41"/>
    </row>
    <row r="13944" spans="5:10" s="34" customFormat="1" x14ac:dyDescent="0.35">
      <c r="E13944" s="35"/>
      <c r="J13944" s="41"/>
    </row>
    <row r="13945" spans="5:10" s="34" customFormat="1" x14ac:dyDescent="0.35">
      <c r="E13945" s="35"/>
      <c r="J13945" s="41"/>
    </row>
    <row r="13946" spans="5:10" s="34" customFormat="1" x14ac:dyDescent="0.35">
      <c r="E13946" s="35"/>
      <c r="J13946" s="41"/>
    </row>
    <row r="13947" spans="5:10" s="34" customFormat="1" x14ac:dyDescent="0.35">
      <c r="E13947" s="35"/>
      <c r="J13947" s="41"/>
    </row>
    <row r="13948" spans="5:10" s="34" customFormat="1" x14ac:dyDescent="0.35">
      <c r="E13948" s="35"/>
      <c r="J13948" s="41"/>
    </row>
    <row r="13949" spans="5:10" s="34" customFormat="1" x14ac:dyDescent="0.35">
      <c r="E13949" s="35"/>
      <c r="J13949" s="41"/>
    </row>
    <row r="13950" spans="5:10" s="34" customFormat="1" x14ac:dyDescent="0.35">
      <c r="E13950" s="35"/>
      <c r="J13950" s="41"/>
    </row>
    <row r="13951" spans="5:10" s="34" customFormat="1" x14ac:dyDescent="0.35">
      <c r="E13951" s="35"/>
      <c r="J13951" s="41"/>
    </row>
    <row r="13952" spans="5:10" s="34" customFormat="1" x14ac:dyDescent="0.35">
      <c r="E13952" s="35"/>
      <c r="J13952" s="41"/>
    </row>
    <row r="13953" spans="5:10" s="34" customFormat="1" x14ac:dyDescent="0.35">
      <c r="E13953" s="35"/>
      <c r="J13953" s="41"/>
    </row>
    <row r="13954" spans="5:10" s="34" customFormat="1" x14ac:dyDescent="0.35">
      <c r="E13954" s="35"/>
      <c r="J13954" s="41"/>
    </row>
    <row r="13955" spans="5:10" s="34" customFormat="1" x14ac:dyDescent="0.35">
      <c r="E13955" s="35"/>
      <c r="J13955" s="41"/>
    </row>
    <row r="13956" spans="5:10" s="34" customFormat="1" x14ac:dyDescent="0.35">
      <c r="E13956" s="35"/>
      <c r="J13956" s="41"/>
    </row>
    <row r="13957" spans="5:10" s="34" customFormat="1" x14ac:dyDescent="0.35">
      <c r="E13957" s="35"/>
      <c r="J13957" s="41"/>
    </row>
    <row r="13958" spans="5:10" s="34" customFormat="1" x14ac:dyDescent="0.35">
      <c r="E13958" s="35"/>
      <c r="J13958" s="41"/>
    </row>
    <row r="13959" spans="5:10" s="34" customFormat="1" x14ac:dyDescent="0.35">
      <c r="E13959" s="35"/>
      <c r="J13959" s="41"/>
    </row>
    <row r="13960" spans="5:10" s="34" customFormat="1" x14ac:dyDescent="0.35">
      <c r="E13960" s="35"/>
      <c r="J13960" s="41"/>
    </row>
    <row r="13961" spans="5:10" s="34" customFormat="1" x14ac:dyDescent="0.35">
      <c r="E13961" s="35"/>
      <c r="J13961" s="41"/>
    </row>
    <row r="13962" spans="5:10" s="34" customFormat="1" x14ac:dyDescent="0.35">
      <c r="E13962" s="35"/>
      <c r="J13962" s="41"/>
    </row>
    <row r="13963" spans="5:10" s="34" customFormat="1" x14ac:dyDescent="0.35">
      <c r="E13963" s="35"/>
      <c r="J13963" s="41"/>
    </row>
    <row r="13964" spans="5:10" s="34" customFormat="1" x14ac:dyDescent="0.35">
      <c r="E13964" s="35"/>
      <c r="J13964" s="41"/>
    </row>
    <row r="13965" spans="5:10" s="34" customFormat="1" x14ac:dyDescent="0.35">
      <c r="E13965" s="35"/>
      <c r="J13965" s="41"/>
    </row>
    <row r="13966" spans="5:10" s="34" customFormat="1" x14ac:dyDescent="0.35">
      <c r="E13966" s="35"/>
      <c r="J13966" s="41"/>
    </row>
    <row r="13967" spans="5:10" s="34" customFormat="1" x14ac:dyDescent="0.35">
      <c r="E13967" s="35"/>
      <c r="J13967" s="41"/>
    </row>
    <row r="13968" spans="5:10" s="34" customFormat="1" x14ac:dyDescent="0.35">
      <c r="E13968" s="35"/>
      <c r="J13968" s="41"/>
    </row>
    <row r="13969" spans="5:10" s="34" customFormat="1" x14ac:dyDescent="0.35">
      <c r="E13969" s="35"/>
      <c r="J13969" s="41"/>
    </row>
    <row r="13970" spans="5:10" s="34" customFormat="1" x14ac:dyDescent="0.35">
      <c r="E13970" s="35"/>
      <c r="J13970" s="41"/>
    </row>
    <row r="13971" spans="5:10" s="34" customFormat="1" x14ac:dyDescent="0.35">
      <c r="E13971" s="35"/>
      <c r="J13971" s="41"/>
    </row>
    <row r="13972" spans="5:10" s="34" customFormat="1" x14ac:dyDescent="0.35">
      <c r="E13972" s="35"/>
      <c r="J13972" s="41"/>
    </row>
    <row r="13973" spans="5:10" s="34" customFormat="1" x14ac:dyDescent="0.35">
      <c r="E13973" s="35"/>
      <c r="J13973" s="41"/>
    </row>
    <row r="13974" spans="5:10" s="34" customFormat="1" x14ac:dyDescent="0.35">
      <c r="E13974" s="35"/>
      <c r="J13974" s="41"/>
    </row>
    <row r="13975" spans="5:10" s="34" customFormat="1" x14ac:dyDescent="0.35">
      <c r="E13975" s="35"/>
      <c r="J13975" s="41"/>
    </row>
    <row r="13976" spans="5:10" s="34" customFormat="1" x14ac:dyDescent="0.35">
      <c r="E13976" s="35"/>
      <c r="J13976" s="41"/>
    </row>
    <row r="13977" spans="5:10" s="34" customFormat="1" x14ac:dyDescent="0.35">
      <c r="E13977" s="35"/>
      <c r="J13977" s="41"/>
    </row>
    <row r="13978" spans="5:10" s="34" customFormat="1" x14ac:dyDescent="0.35">
      <c r="E13978" s="35"/>
      <c r="J13978" s="41"/>
    </row>
    <row r="13979" spans="5:10" s="34" customFormat="1" x14ac:dyDescent="0.35">
      <c r="E13979" s="35"/>
      <c r="J13979" s="41"/>
    </row>
    <row r="13980" spans="5:10" s="34" customFormat="1" x14ac:dyDescent="0.35">
      <c r="E13980" s="35"/>
      <c r="J13980" s="41"/>
    </row>
    <row r="13981" spans="5:10" s="34" customFormat="1" x14ac:dyDescent="0.35">
      <c r="E13981" s="35"/>
      <c r="J13981" s="41"/>
    </row>
    <row r="13982" spans="5:10" s="34" customFormat="1" x14ac:dyDescent="0.35">
      <c r="E13982" s="35"/>
      <c r="J13982" s="41"/>
    </row>
    <row r="13983" spans="5:10" s="34" customFormat="1" x14ac:dyDescent="0.35">
      <c r="E13983" s="35"/>
      <c r="J13983" s="41"/>
    </row>
    <row r="13984" spans="5:10" s="34" customFormat="1" x14ac:dyDescent="0.35">
      <c r="E13984" s="35"/>
      <c r="J13984" s="41"/>
    </row>
    <row r="13985" spans="5:10" s="34" customFormat="1" x14ac:dyDescent="0.35">
      <c r="E13985" s="35"/>
      <c r="J13985" s="41"/>
    </row>
    <row r="13986" spans="5:10" s="34" customFormat="1" x14ac:dyDescent="0.35">
      <c r="E13986" s="35"/>
      <c r="J13986" s="41"/>
    </row>
    <row r="13987" spans="5:10" s="34" customFormat="1" x14ac:dyDescent="0.35">
      <c r="E13987" s="35"/>
      <c r="J13987" s="41"/>
    </row>
    <row r="13988" spans="5:10" s="34" customFormat="1" x14ac:dyDescent="0.35">
      <c r="E13988" s="35"/>
      <c r="J13988" s="41"/>
    </row>
    <row r="13989" spans="5:10" s="34" customFormat="1" x14ac:dyDescent="0.35">
      <c r="E13989" s="35"/>
      <c r="J13989" s="41"/>
    </row>
    <row r="13990" spans="5:10" s="34" customFormat="1" x14ac:dyDescent="0.35">
      <c r="E13990" s="35"/>
      <c r="J13990" s="41"/>
    </row>
    <row r="13991" spans="5:10" s="34" customFormat="1" x14ac:dyDescent="0.35">
      <c r="E13991" s="35"/>
      <c r="J13991" s="41"/>
    </row>
    <row r="13992" spans="5:10" s="34" customFormat="1" x14ac:dyDescent="0.35">
      <c r="E13992" s="35"/>
      <c r="J13992" s="41"/>
    </row>
    <row r="13993" spans="5:10" s="34" customFormat="1" x14ac:dyDescent="0.35">
      <c r="E13993" s="35"/>
      <c r="J13993" s="41"/>
    </row>
    <row r="13994" spans="5:10" s="34" customFormat="1" x14ac:dyDescent="0.35">
      <c r="E13994" s="35"/>
      <c r="J13994" s="41"/>
    </row>
    <row r="13995" spans="5:10" s="34" customFormat="1" x14ac:dyDescent="0.35">
      <c r="E13995" s="35"/>
      <c r="J13995" s="41"/>
    </row>
    <row r="13996" spans="5:10" s="34" customFormat="1" x14ac:dyDescent="0.35">
      <c r="E13996" s="35"/>
      <c r="J13996" s="41"/>
    </row>
    <row r="13997" spans="5:10" s="34" customFormat="1" x14ac:dyDescent="0.35">
      <c r="E13997" s="35"/>
      <c r="J13997" s="41"/>
    </row>
    <row r="13998" spans="5:10" s="34" customFormat="1" x14ac:dyDescent="0.35">
      <c r="E13998" s="35"/>
      <c r="J13998" s="41"/>
    </row>
    <row r="13999" spans="5:10" s="34" customFormat="1" x14ac:dyDescent="0.35">
      <c r="E13999" s="35"/>
      <c r="J13999" s="41"/>
    </row>
    <row r="14000" spans="5:10" s="34" customFormat="1" x14ac:dyDescent="0.35">
      <c r="E14000" s="35"/>
      <c r="J14000" s="41"/>
    </row>
    <row r="14001" spans="5:10" s="34" customFormat="1" x14ac:dyDescent="0.35">
      <c r="E14001" s="35"/>
      <c r="J14001" s="41"/>
    </row>
    <row r="14002" spans="5:10" s="34" customFormat="1" x14ac:dyDescent="0.35">
      <c r="E14002" s="35"/>
      <c r="J14002" s="41"/>
    </row>
    <row r="14003" spans="5:10" s="34" customFormat="1" x14ac:dyDescent="0.35">
      <c r="E14003" s="35"/>
      <c r="J14003" s="41"/>
    </row>
    <row r="14004" spans="5:10" s="34" customFormat="1" x14ac:dyDescent="0.35">
      <c r="E14004" s="35"/>
      <c r="J14004" s="41"/>
    </row>
    <row r="14005" spans="5:10" s="34" customFormat="1" x14ac:dyDescent="0.35">
      <c r="E14005" s="35"/>
      <c r="J14005" s="41"/>
    </row>
    <row r="14006" spans="5:10" s="34" customFormat="1" x14ac:dyDescent="0.35">
      <c r="E14006" s="35"/>
      <c r="J14006" s="41"/>
    </row>
    <row r="14007" spans="5:10" s="34" customFormat="1" x14ac:dyDescent="0.35">
      <c r="E14007" s="35"/>
      <c r="J14007" s="41"/>
    </row>
    <row r="14008" spans="5:10" s="34" customFormat="1" x14ac:dyDescent="0.35">
      <c r="E14008" s="35"/>
      <c r="J14008" s="41"/>
    </row>
    <row r="14009" spans="5:10" s="34" customFormat="1" x14ac:dyDescent="0.35">
      <c r="E14009" s="35"/>
      <c r="J14009" s="41"/>
    </row>
    <row r="14010" spans="5:10" s="34" customFormat="1" x14ac:dyDescent="0.35">
      <c r="E14010" s="35"/>
      <c r="J14010" s="41"/>
    </row>
    <row r="14011" spans="5:10" s="34" customFormat="1" x14ac:dyDescent="0.35">
      <c r="E14011" s="35"/>
      <c r="J14011" s="41"/>
    </row>
    <row r="14012" spans="5:10" s="34" customFormat="1" x14ac:dyDescent="0.35">
      <c r="E14012" s="35"/>
      <c r="J14012" s="41"/>
    </row>
    <row r="14013" spans="5:10" s="34" customFormat="1" x14ac:dyDescent="0.35">
      <c r="E14013" s="35"/>
      <c r="J14013" s="41"/>
    </row>
    <row r="14014" spans="5:10" s="34" customFormat="1" x14ac:dyDescent="0.35">
      <c r="E14014" s="35"/>
      <c r="J14014" s="41"/>
    </row>
    <row r="14015" spans="5:10" s="34" customFormat="1" x14ac:dyDescent="0.35">
      <c r="E14015" s="35"/>
      <c r="J14015" s="41"/>
    </row>
    <row r="14016" spans="5:10" s="34" customFormat="1" x14ac:dyDescent="0.35">
      <c r="E14016" s="35"/>
      <c r="J14016" s="41"/>
    </row>
    <row r="14017" spans="5:10" s="34" customFormat="1" x14ac:dyDescent="0.35">
      <c r="E14017" s="35"/>
      <c r="J14017" s="41"/>
    </row>
    <row r="14018" spans="5:10" s="34" customFormat="1" x14ac:dyDescent="0.35">
      <c r="E14018" s="35"/>
      <c r="J14018" s="41"/>
    </row>
    <row r="14019" spans="5:10" s="34" customFormat="1" x14ac:dyDescent="0.35">
      <c r="E14019" s="35"/>
      <c r="J14019" s="41"/>
    </row>
    <row r="14020" spans="5:10" s="34" customFormat="1" x14ac:dyDescent="0.35">
      <c r="E14020" s="35"/>
      <c r="J14020" s="41"/>
    </row>
    <row r="14021" spans="5:10" s="34" customFormat="1" x14ac:dyDescent="0.35">
      <c r="E14021" s="35"/>
      <c r="J14021" s="41"/>
    </row>
    <row r="14022" spans="5:10" s="34" customFormat="1" x14ac:dyDescent="0.35">
      <c r="E14022" s="35"/>
      <c r="J14022" s="41"/>
    </row>
    <row r="14023" spans="5:10" s="34" customFormat="1" x14ac:dyDescent="0.35">
      <c r="E14023" s="35"/>
      <c r="J14023" s="41"/>
    </row>
    <row r="14024" spans="5:10" s="34" customFormat="1" x14ac:dyDescent="0.35">
      <c r="E14024" s="35"/>
      <c r="J14024" s="41"/>
    </row>
    <row r="14025" spans="5:10" s="34" customFormat="1" x14ac:dyDescent="0.35">
      <c r="E14025" s="35"/>
      <c r="J14025" s="41"/>
    </row>
    <row r="14026" spans="5:10" s="34" customFormat="1" x14ac:dyDescent="0.35">
      <c r="E14026" s="35"/>
      <c r="J14026" s="41"/>
    </row>
    <row r="14027" spans="5:10" s="34" customFormat="1" x14ac:dyDescent="0.35">
      <c r="E14027" s="35"/>
      <c r="J14027" s="41"/>
    </row>
    <row r="14028" spans="5:10" s="34" customFormat="1" x14ac:dyDescent="0.35">
      <c r="E14028" s="35"/>
      <c r="J14028" s="41"/>
    </row>
    <row r="14029" spans="5:10" s="34" customFormat="1" x14ac:dyDescent="0.35">
      <c r="E14029" s="35"/>
      <c r="J14029" s="41"/>
    </row>
    <row r="14030" spans="5:10" s="34" customFormat="1" x14ac:dyDescent="0.35">
      <c r="E14030" s="35"/>
      <c r="J14030" s="41"/>
    </row>
    <row r="14031" spans="5:10" s="34" customFormat="1" x14ac:dyDescent="0.35">
      <c r="E14031" s="35"/>
      <c r="J14031" s="41"/>
    </row>
    <row r="14032" spans="5:10" s="34" customFormat="1" x14ac:dyDescent="0.35">
      <c r="E14032" s="35"/>
      <c r="J14032" s="41"/>
    </row>
    <row r="14033" spans="5:10" s="34" customFormat="1" x14ac:dyDescent="0.35">
      <c r="E14033" s="35"/>
      <c r="J14033" s="41"/>
    </row>
    <row r="14034" spans="5:10" s="34" customFormat="1" x14ac:dyDescent="0.35">
      <c r="E14034" s="35"/>
      <c r="J14034" s="41"/>
    </row>
    <row r="14035" spans="5:10" s="34" customFormat="1" x14ac:dyDescent="0.35">
      <c r="E14035" s="35"/>
      <c r="J14035" s="41"/>
    </row>
    <row r="14036" spans="5:10" s="34" customFormat="1" x14ac:dyDescent="0.35">
      <c r="E14036" s="35"/>
      <c r="J14036" s="41"/>
    </row>
    <row r="14037" spans="5:10" s="34" customFormat="1" x14ac:dyDescent="0.35">
      <c r="E14037" s="35"/>
      <c r="J14037" s="41"/>
    </row>
    <row r="14038" spans="5:10" s="34" customFormat="1" x14ac:dyDescent="0.35">
      <c r="E14038" s="35"/>
      <c r="J14038" s="41"/>
    </row>
    <row r="14039" spans="5:10" s="34" customFormat="1" x14ac:dyDescent="0.35">
      <c r="E14039" s="35"/>
      <c r="J14039" s="41"/>
    </row>
    <row r="14040" spans="5:10" s="34" customFormat="1" x14ac:dyDescent="0.35">
      <c r="E14040" s="35"/>
      <c r="J14040" s="41"/>
    </row>
    <row r="14041" spans="5:10" s="34" customFormat="1" x14ac:dyDescent="0.35">
      <c r="E14041" s="35"/>
      <c r="J14041" s="41"/>
    </row>
    <row r="14042" spans="5:10" s="34" customFormat="1" x14ac:dyDescent="0.35">
      <c r="E14042" s="35"/>
      <c r="J14042" s="41"/>
    </row>
    <row r="14043" spans="5:10" s="34" customFormat="1" x14ac:dyDescent="0.35">
      <c r="E14043" s="35"/>
      <c r="J14043" s="41"/>
    </row>
    <row r="14044" spans="5:10" s="34" customFormat="1" x14ac:dyDescent="0.35">
      <c r="E14044" s="35"/>
      <c r="J14044" s="41"/>
    </row>
    <row r="14045" spans="5:10" s="34" customFormat="1" x14ac:dyDescent="0.35">
      <c r="E14045" s="35"/>
      <c r="J14045" s="41"/>
    </row>
    <row r="14046" spans="5:10" s="34" customFormat="1" x14ac:dyDescent="0.35">
      <c r="E14046" s="35"/>
      <c r="J14046" s="41"/>
    </row>
    <row r="14047" spans="5:10" s="34" customFormat="1" x14ac:dyDescent="0.35">
      <c r="E14047" s="35"/>
      <c r="J14047" s="41"/>
    </row>
    <row r="14048" spans="5:10" s="34" customFormat="1" x14ac:dyDescent="0.35">
      <c r="E14048" s="35"/>
      <c r="J14048" s="41"/>
    </row>
    <row r="14049" spans="5:10" s="34" customFormat="1" x14ac:dyDescent="0.35">
      <c r="E14049" s="35"/>
      <c r="J14049" s="41"/>
    </row>
    <row r="14050" spans="5:10" s="34" customFormat="1" x14ac:dyDescent="0.35">
      <c r="E14050" s="35"/>
      <c r="J14050" s="41"/>
    </row>
    <row r="14051" spans="5:10" s="34" customFormat="1" x14ac:dyDescent="0.35">
      <c r="E14051" s="35"/>
      <c r="J14051" s="41"/>
    </row>
    <row r="14052" spans="5:10" s="34" customFormat="1" x14ac:dyDescent="0.35">
      <c r="E14052" s="35"/>
      <c r="J14052" s="41"/>
    </row>
    <row r="14053" spans="5:10" s="34" customFormat="1" x14ac:dyDescent="0.35">
      <c r="E14053" s="35"/>
      <c r="J14053" s="41"/>
    </row>
    <row r="14054" spans="5:10" s="34" customFormat="1" x14ac:dyDescent="0.35">
      <c r="E14054" s="35"/>
      <c r="J14054" s="41"/>
    </row>
    <row r="14055" spans="5:10" s="34" customFormat="1" x14ac:dyDescent="0.35">
      <c r="E14055" s="35"/>
      <c r="J14055" s="41"/>
    </row>
    <row r="14056" spans="5:10" s="34" customFormat="1" x14ac:dyDescent="0.35">
      <c r="E14056" s="35"/>
      <c r="J14056" s="41"/>
    </row>
    <row r="14057" spans="5:10" s="34" customFormat="1" x14ac:dyDescent="0.35">
      <c r="E14057" s="35"/>
      <c r="J14057" s="41"/>
    </row>
    <row r="14058" spans="5:10" s="34" customFormat="1" x14ac:dyDescent="0.35">
      <c r="E14058" s="35"/>
      <c r="J14058" s="41"/>
    </row>
    <row r="14059" spans="5:10" s="34" customFormat="1" x14ac:dyDescent="0.35">
      <c r="E14059" s="35"/>
      <c r="J14059" s="41"/>
    </row>
    <row r="14060" spans="5:10" s="34" customFormat="1" x14ac:dyDescent="0.35">
      <c r="E14060" s="35"/>
      <c r="J14060" s="41"/>
    </row>
    <row r="14061" spans="5:10" s="34" customFormat="1" x14ac:dyDescent="0.35">
      <c r="E14061" s="35"/>
      <c r="J14061" s="41"/>
    </row>
    <row r="14062" spans="5:10" s="34" customFormat="1" x14ac:dyDescent="0.35">
      <c r="E14062" s="35"/>
      <c r="J14062" s="41"/>
    </row>
    <row r="14063" spans="5:10" s="34" customFormat="1" x14ac:dyDescent="0.35">
      <c r="E14063" s="35"/>
      <c r="J14063" s="41"/>
    </row>
    <row r="14064" spans="5:10" s="34" customFormat="1" x14ac:dyDescent="0.35">
      <c r="E14064" s="35"/>
      <c r="J14064" s="41"/>
    </row>
    <row r="14065" spans="5:10" s="34" customFormat="1" x14ac:dyDescent="0.35">
      <c r="E14065" s="35"/>
      <c r="J14065" s="41"/>
    </row>
    <row r="14066" spans="5:10" s="34" customFormat="1" x14ac:dyDescent="0.35">
      <c r="E14066" s="35"/>
      <c r="J14066" s="41"/>
    </row>
    <row r="14067" spans="5:10" s="34" customFormat="1" x14ac:dyDescent="0.35">
      <c r="E14067" s="35"/>
      <c r="J14067" s="41"/>
    </row>
    <row r="14068" spans="5:10" s="34" customFormat="1" x14ac:dyDescent="0.35">
      <c r="E14068" s="35"/>
      <c r="J14068" s="41"/>
    </row>
    <row r="14069" spans="5:10" s="34" customFormat="1" x14ac:dyDescent="0.35">
      <c r="E14069" s="35"/>
      <c r="J14069" s="41"/>
    </row>
    <row r="14070" spans="5:10" s="34" customFormat="1" x14ac:dyDescent="0.35">
      <c r="E14070" s="35"/>
      <c r="J14070" s="41"/>
    </row>
    <row r="14071" spans="5:10" s="34" customFormat="1" x14ac:dyDescent="0.35">
      <c r="E14071" s="35"/>
      <c r="J14071" s="41"/>
    </row>
    <row r="14072" spans="5:10" s="34" customFormat="1" x14ac:dyDescent="0.35">
      <c r="E14072" s="35"/>
      <c r="J14072" s="41"/>
    </row>
    <row r="14073" spans="5:10" s="34" customFormat="1" x14ac:dyDescent="0.35">
      <c r="E14073" s="35"/>
      <c r="J14073" s="41"/>
    </row>
    <row r="14074" spans="5:10" s="34" customFormat="1" x14ac:dyDescent="0.35">
      <c r="E14074" s="35"/>
      <c r="J14074" s="41"/>
    </row>
    <row r="14075" spans="5:10" s="34" customFormat="1" x14ac:dyDescent="0.35">
      <c r="E14075" s="35"/>
      <c r="J14075" s="41"/>
    </row>
    <row r="14076" spans="5:10" s="34" customFormat="1" x14ac:dyDescent="0.35">
      <c r="E14076" s="35"/>
      <c r="J14076" s="41"/>
    </row>
    <row r="14077" spans="5:10" s="34" customFormat="1" x14ac:dyDescent="0.35">
      <c r="E14077" s="35"/>
      <c r="J14077" s="41"/>
    </row>
    <row r="14078" spans="5:10" s="34" customFormat="1" x14ac:dyDescent="0.35">
      <c r="E14078" s="35"/>
      <c r="J14078" s="41"/>
    </row>
    <row r="14079" spans="5:10" s="34" customFormat="1" x14ac:dyDescent="0.35">
      <c r="E14079" s="35"/>
      <c r="J14079" s="41"/>
    </row>
    <row r="14080" spans="5:10" s="34" customFormat="1" x14ac:dyDescent="0.35">
      <c r="E14080" s="35"/>
      <c r="J14080" s="41"/>
    </row>
    <row r="14081" spans="5:10" s="34" customFormat="1" x14ac:dyDescent="0.35">
      <c r="E14081" s="35"/>
      <c r="J14081" s="41"/>
    </row>
    <row r="14082" spans="5:10" s="34" customFormat="1" x14ac:dyDescent="0.35">
      <c r="E14082" s="35"/>
      <c r="J14082" s="41"/>
    </row>
    <row r="14083" spans="5:10" s="34" customFormat="1" x14ac:dyDescent="0.35">
      <c r="E14083" s="35"/>
      <c r="J14083" s="41"/>
    </row>
    <row r="14084" spans="5:10" s="34" customFormat="1" x14ac:dyDescent="0.35">
      <c r="E14084" s="35"/>
      <c r="J14084" s="41"/>
    </row>
    <row r="14085" spans="5:10" s="34" customFormat="1" x14ac:dyDescent="0.35">
      <c r="E14085" s="35"/>
      <c r="J14085" s="41"/>
    </row>
    <row r="14086" spans="5:10" s="34" customFormat="1" x14ac:dyDescent="0.35">
      <c r="E14086" s="35"/>
      <c r="J14086" s="41"/>
    </row>
    <row r="14087" spans="5:10" s="34" customFormat="1" x14ac:dyDescent="0.35">
      <c r="E14087" s="35"/>
      <c r="J14087" s="41"/>
    </row>
    <row r="14088" spans="5:10" s="34" customFormat="1" x14ac:dyDescent="0.35">
      <c r="E14088" s="35"/>
      <c r="J14088" s="41"/>
    </row>
    <row r="14089" spans="5:10" s="34" customFormat="1" x14ac:dyDescent="0.35">
      <c r="E14089" s="35"/>
      <c r="J14089" s="41"/>
    </row>
    <row r="14090" spans="5:10" s="34" customFormat="1" x14ac:dyDescent="0.35">
      <c r="E14090" s="35"/>
      <c r="J14090" s="41"/>
    </row>
    <row r="14091" spans="5:10" s="34" customFormat="1" x14ac:dyDescent="0.35">
      <c r="E14091" s="35"/>
      <c r="J14091" s="41"/>
    </row>
    <row r="14092" spans="5:10" s="34" customFormat="1" x14ac:dyDescent="0.35">
      <c r="E14092" s="35"/>
      <c r="J14092" s="41"/>
    </row>
    <row r="14093" spans="5:10" s="34" customFormat="1" x14ac:dyDescent="0.35">
      <c r="E14093" s="35"/>
      <c r="J14093" s="41"/>
    </row>
    <row r="14094" spans="5:10" s="34" customFormat="1" x14ac:dyDescent="0.35">
      <c r="E14094" s="35"/>
      <c r="J14094" s="41"/>
    </row>
    <row r="14095" spans="5:10" s="34" customFormat="1" x14ac:dyDescent="0.35">
      <c r="E14095" s="35"/>
      <c r="J14095" s="41"/>
    </row>
    <row r="14096" spans="5:10" s="34" customFormat="1" x14ac:dyDescent="0.35">
      <c r="E14096" s="35"/>
      <c r="J14096" s="41"/>
    </row>
    <row r="14097" spans="5:10" s="34" customFormat="1" x14ac:dyDescent="0.35">
      <c r="E14097" s="35"/>
      <c r="J14097" s="41"/>
    </row>
    <row r="14098" spans="5:10" s="34" customFormat="1" x14ac:dyDescent="0.35">
      <c r="E14098" s="35"/>
      <c r="J14098" s="41"/>
    </row>
    <row r="14099" spans="5:10" s="34" customFormat="1" x14ac:dyDescent="0.35">
      <c r="E14099" s="35"/>
      <c r="J14099" s="41"/>
    </row>
    <row r="14100" spans="5:10" s="34" customFormat="1" x14ac:dyDescent="0.35">
      <c r="E14100" s="35"/>
      <c r="J14100" s="41"/>
    </row>
    <row r="14101" spans="5:10" s="34" customFormat="1" x14ac:dyDescent="0.35">
      <c r="E14101" s="35"/>
      <c r="J14101" s="41"/>
    </row>
    <row r="14102" spans="5:10" s="34" customFormat="1" x14ac:dyDescent="0.35">
      <c r="E14102" s="35"/>
      <c r="J14102" s="41"/>
    </row>
    <row r="14103" spans="5:10" s="34" customFormat="1" x14ac:dyDescent="0.35">
      <c r="E14103" s="35"/>
      <c r="J14103" s="41"/>
    </row>
    <row r="14104" spans="5:10" s="34" customFormat="1" x14ac:dyDescent="0.35">
      <c r="E14104" s="35"/>
      <c r="J14104" s="41"/>
    </row>
    <row r="14105" spans="5:10" s="34" customFormat="1" x14ac:dyDescent="0.35">
      <c r="E14105" s="35"/>
      <c r="J14105" s="41"/>
    </row>
    <row r="14106" spans="5:10" s="34" customFormat="1" x14ac:dyDescent="0.35">
      <c r="E14106" s="35"/>
      <c r="J14106" s="41"/>
    </row>
    <row r="14107" spans="5:10" s="34" customFormat="1" x14ac:dyDescent="0.35">
      <c r="E14107" s="35"/>
      <c r="J14107" s="41"/>
    </row>
    <row r="14108" spans="5:10" s="34" customFormat="1" x14ac:dyDescent="0.35">
      <c r="E14108" s="35"/>
      <c r="J14108" s="41"/>
    </row>
    <row r="14109" spans="5:10" s="34" customFormat="1" x14ac:dyDescent="0.35">
      <c r="E14109" s="35"/>
      <c r="J14109" s="41"/>
    </row>
    <row r="14110" spans="5:10" s="34" customFormat="1" x14ac:dyDescent="0.35">
      <c r="E14110" s="35"/>
      <c r="J14110" s="41"/>
    </row>
    <row r="14111" spans="5:10" s="34" customFormat="1" x14ac:dyDescent="0.35">
      <c r="E14111" s="35"/>
      <c r="J14111" s="41"/>
    </row>
    <row r="14112" spans="5:10" s="34" customFormat="1" x14ac:dyDescent="0.35">
      <c r="E14112" s="35"/>
      <c r="J14112" s="41"/>
    </row>
    <row r="14113" spans="5:10" s="34" customFormat="1" x14ac:dyDescent="0.35">
      <c r="E14113" s="35"/>
      <c r="J14113" s="41"/>
    </row>
    <row r="14114" spans="5:10" s="34" customFormat="1" x14ac:dyDescent="0.35">
      <c r="E14114" s="35"/>
      <c r="J14114" s="41"/>
    </row>
    <row r="14115" spans="5:10" s="34" customFormat="1" x14ac:dyDescent="0.35">
      <c r="E14115" s="35"/>
      <c r="J14115" s="41"/>
    </row>
    <row r="14116" spans="5:10" s="34" customFormat="1" x14ac:dyDescent="0.35">
      <c r="E14116" s="35"/>
      <c r="J14116" s="41"/>
    </row>
    <row r="14117" spans="5:10" s="34" customFormat="1" x14ac:dyDescent="0.35">
      <c r="E14117" s="35"/>
      <c r="J14117" s="41"/>
    </row>
    <row r="14118" spans="5:10" s="34" customFormat="1" x14ac:dyDescent="0.35">
      <c r="E14118" s="35"/>
      <c r="J14118" s="41"/>
    </row>
    <row r="14119" spans="5:10" s="34" customFormat="1" x14ac:dyDescent="0.35">
      <c r="E14119" s="35"/>
      <c r="J14119" s="41"/>
    </row>
    <row r="14120" spans="5:10" s="34" customFormat="1" x14ac:dyDescent="0.35">
      <c r="E14120" s="35"/>
      <c r="J14120" s="41"/>
    </row>
    <row r="14121" spans="5:10" s="34" customFormat="1" x14ac:dyDescent="0.35">
      <c r="E14121" s="35"/>
      <c r="J14121" s="41"/>
    </row>
    <row r="14122" spans="5:10" s="34" customFormat="1" x14ac:dyDescent="0.35">
      <c r="E14122" s="35"/>
      <c r="J14122" s="41"/>
    </row>
    <row r="14123" spans="5:10" s="34" customFormat="1" x14ac:dyDescent="0.35">
      <c r="E14123" s="35"/>
      <c r="J14123" s="41"/>
    </row>
    <row r="14124" spans="5:10" s="34" customFormat="1" x14ac:dyDescent="0.35">
      <c r="E14124" s="35"/>
      <c r="J14124" s="41"/>
    </row>
    <row r="14125" spans="5:10" s="34" customFormat="1" x14ac:dyDescent="0.35">
      <c r="E14125" s="35"/>
      <c r="J14125" s="41"/>
    </row>
    <row r="14126" spans="5:10" s="34" customFormat="1" x14ac:dyDescent="0.35">
      <c r="E14126" s="35"/>
      <c r="J14126" s="41"/>
    </row>
    <row r="14127" spans="5:10" s="34" customFormat="1" x14ac:dyDescent="0.35">
      <c r="E14127" s="35"/>
      <c r="J14127" s="41"/>
    </row>
    <row r="14128" spans="5:10" s="34" customFormat="1" x14ac:dyDescent="0.35">
      <c r="E14128" s="35"/>
      <c r="J14128" s="41"/>
    </row>
    <row r="14129" spans="5:10" s="34" customFormat="1" x14ac:dyDescent="0.35">
      <c r="E14129" s="35"/>
      <c r="J14129" s="41"/>
    </row>
    <row r="14130" spans="5:10" s="34" customFormat="1" x14ac:dyDescent="0.35">
      <c r="E14130" s="35"/>
      <c r="J14130" s="41"/>
    </row>
    <row r="14131" spans="5:10" s="34" customFormat="1" x14ac:dyDescent="0.35">
      <c r="E14131" s="35"/>
      <c r="J14131" s="41"/>
    </row>
    <row r="14132" spans="5:10" s="34" customFormat="1" x14ac:dyDescent="0.35">
      <c r="E14132" s="35"/>
      <c r="J14132" s="41"/>
    </row>
    <row r="14133" spans="5:10" s="34" customFormat="1" x14ac:dyDescent="0.35">
      <c r="E14133" s="35"/>
      <c r="J14133" s="41"/>
    </row>
    <row r="14134" spans="5:10" s="34" customFormat="1" x14ac:dyDescent="0.35">
      <c r="E14134" s="35"/>
      <c r="J14134" s="41"/>
    </row>
    <row r="14135" spans="5:10" s="34" customFormat="1" x14ac:dyDescent="0.35">
      <c r="E14135" s="35"/>
      <c r="J14135" s="41"/>
    </row>
    <row r="14136" spans="5:10" s="34" customFormat="1" x14ac:dyDescent="0.35">
      <c r="E14136" s="35"/>
      <c r="J14136" s="41"/>
    </row>
    <row r="14137" spans="5:10" s="34" customFormat="1" x14ac:dyDescent="0.35">
      <c r="E14137" s="35"/>
      <c r="J14137" s="41"/>
    </row>
    <row r="14138" spans="5:10" s="34" customFormat="1" x14ac:dyDescent="0.35">
      <c r="E14138" s="35"/>
      <c r="J14138" s="41"/>
    </row>
    <row r="14139" spans="5:10" s="34" customFormat="1" x14ac:dyDescent="0.35">
      <c r="E14139" s="35"/>
      <c r="J14139" s="41"/>
    </row>
    <row r="14140" spans="5:10" s="34" customFormat="1" x14ac:dyDescent="0.35">
      <c r="E14140" s="35"/>
      <c r="J14140" s="41"/>
    </row>
    <row r="14141" spans="5:10" s="34" customFormat="1" x14ac:dyDescent="0.35">
      <c r="E14141" s="35"/>
      <c r="J14141" s="41"/>
    </row>
    <row r="14142" spans="5:10" s="34" customFormat="1" x14ac:dyDescent="0.35">
      <c r="E14142" s="35"/>
      <c r="J14142" s="41"/>
    </row>
    <row r="14143" spans="5:10" s="34" customFormat="1" x14ac:dyDescent="0.35">
      <c r="E14143" s="35"/>
      <c r="J14143" s="41"/>
    </row>
    <row r="14144" spans="5:10" s="34" customFormat="1" x14ac:dyDescent="0.35">
      <c r="E14144" s="35"/>
      <c r="J14144" s="41"/>
    </row>
    <row r="14145" spans="5:10" s="34" customFormat="1" x14ac:dyDescent="0.35">
      <c r="E14145" s="35"/>
      <c r="J14145" s="41"/>
    </row>
    <row r="14146" spans="5:10" s="34" customFormat="1" x14ac:dyDescent="0.35">
      <c r="E14146" s="35"/>
      <c r="J14146" s="41"/>
    </row>
    <row r="14147" spans="5:10" s="34" customFormat="1" x14ac:dyDescent="0.35">
      <c r="E14147" s="35"/>
      <c r="J14147" s="41"/>
    </row>
    <row r="14148" spans="5:10" s="34" customFormat="1" x14ac:dyDescent="0.35">
      <c r="E14148" s="35"/>
      <c r="J14148" s="41"/>
    </row>
    <row r="14149" spans="5:10" s="34" customFormat="1" x14ac:dyDescent="0.35">
      <c r="E14149" s="35"/>
      <c r="J14149" s="41"/>
    </row>
    <row r="14150" spans="5:10" s="34" customFormat="1" x14ac:dyDescent="0.35">
      <c r="E14150" s="35"/>
      <c r="J14150" s="41"/>
    </row>
    <row r="14151" spans="5:10" s="34" customFormat="1" x14ac:dyDescent="0.35">
      <c r="E14151" s="35"/>
      <c r="J14151" s="41"/>
    </row>
    <row r="14152" spans="5:10" s="34" customFormat="1" x14ac:dyDescent="0.35">
      <c r="E14152" s="35"/>
      <c r="J14152" s="41"/>
    </row>
    <row r="14153" spans="5:10" s="34" customFormat="1" x14ac:dyDescent="0.35">
      <c r="E14153" s="35"/>
      <c r="J14153" s="41"/>
    </row>
    <row r="14154" spans="5:10" s="34" customFormat="1" x14ac:dyDescent="0.35">
      <c r="E14154" s="35"/>
      <c r="J14154" s="41"/>
    </row>
    <row r="14155" spans="5:10" s="34" customFormat="1" x14ac:dyDescent="0.35">
      <c r="E14155" s="35"/>
      <c r="J14155" s="41"/>
    </row>
    <row r="14156" spans="5:10" s="34" customFormat="1" x14ac:dyDescent="0.35">
      <c r="E14156" s="35"/>
      <c r="J14156" s="41"/>
    </row>
    <row r="14157" spans="5:10" s="34" customFormat="1" x14ac:dyDescent="0.35">
      <c r="E14157" s="35"/>
      <c r="J14157" s="41"/>
    </row>
    <row r="14158" spans="5:10" s="34" customFormat="1" x14ac:dyDescent="0.35">
      <c r="E14158" s="35"/>
      <c r="J14158" s="41"/>
    </row>
    <row r="14159" spans="5:10" s="34" customFormat="1" x14ac:dyDescent="0.35">
      <c r="E14159" s="35"/>
      <c r="J14159" s="41"/>
    </row>
    <row r="14160" spans="5:10" s="34" customFormat="1" x14ac:dyDescent="0.35">
      <c r="E14160" s="35"/>
      <c r="J14160" s="41"/>
    </row>
    <row r="14161" spans="5:10" s="34" customFormat="1" x14ac:dyDescent="0.35">
      <c r="E14161" s="35"/>
      <c r="J14161" s="41"/>
    </row>
    <row r="14162" spans="5:10" s="34" customFormat="1" x14ac:dyDescent="0.35">
      <c r="E14162" s="35"/>
      <c r="J14162" s="41"/>
    </row>
    <row r="14163" spans="5:10" s="34" customFormat="1" x14ac:dyDescent="0.35">
      <c r="E14163" s="35"/>
      <c r="J14163" s="41"/>
    </row>
    <row r="14164" spans="5:10" s="34" customFormat="1" x14ac:dyDescent="0.35">
      <c r="E14164" s="35"/>
      <c r="J14164" s="41"/>
    </row>
    <row r="14165" spans="5:10" s="34" customFormat="1" x14ac:dyDescent="0.35">
      <c r="E14165" s="35"/>
      <c r="J14165" s="41"/>
    </row>
    <row r="14166" spans="5:10" s="34" customFormat="1" x14ac:dyDescent="0.35">
      <c r="E14166" s="35"/>
      <c r="J14166" s="41"/>
    </row>
    <row r="14167" spans="5:10" s="34" customFormat="1" x14ac:dyDescent="0.35">
      <c r="E14167" s="35"/>
      <c r="J14167" s="41"/>
    </row>
    <row r="14168" spans="5:10" s="34" customFormat="1" x14ac:dyDescent="0.35">
      <c r="E14168" s="35"/>
      <c r="J14168" s="41"/>
    </row>
    <row r="14169" spans="5:10" s="34" customFormat="1" x14ac:dyDescent="0.35">
      <c r="E14169" s="35"/>
      <c r="J14169" s="41"/>
    </row>
    <row r="14170" spans="5:10" s="34" customFormat="1" x14ac:dyDescent="0.35">
      <c r="E14170" s="35"/>
      <c r="J14170" s="41"/>
    </row>
    <row r="14171" spans="5:10" s="34" customFormat="1" x14ac:dyDescent="0.35">
      <c r="E14171" s="35"/>
      <c r="J14171" s="41"/>
    </row>
    <row r="14172" spans="5:10" s="34" customFormat="1" x14ac:dyDescent="0.35">
      <c r="E14172" s="35"/>
      <c r="J14172" s="41"/>
    </row>
    <row r="14173" spans="5:10" s="34" customFormat="1" x14ac:dyDescent="0.35">
      <c r="E14173" s="35"/>
      <c r="J14173" s="41"/>
    </row>
    <row r="14174" spans="5:10" s="34" customFormat="1" x14ac:dyDescent="0.35">
      <c r="E14174" s="35"/>
      <c r="J14174" s="41"/>
    </row>
    <row r="14175" spans="5:10" s="34" customFormat="1" x14ac:dyDescent="0.35">
      <c r="E14175" s="35"/>
      <c r="J14175" s="41"/>
    </row>
    <row r="14176" spans="5:10" s="34" customFormat="1" x14ac:dyDescent="0.35">
      <c r="E14176" s="35"/>
      <c r="J14176" s="41"/>
    </row>
    <row r="14177" spans="5:10" s="34" customFormat="1" x14ac:dyDescent="0.35">
      <c r="E14177" s="35"/>
      <c r="J14177" s="41"/>
    </row>
    <row r="14178" spans="5:10" s="34" customFormat="1" x14ac:dyDescent="0.35">
      <c r="E14178" s="35"/>
      <c r="J14178" s="41"/>
    </row>
    <row r="14179" spans="5:10" s="34" customFormat="1" x14ac:dyDescent="0.35">
      <c r="E14179" s="35"/>
      <c r="J14179" s="41"/>
    </row>
    <row r="14180" spans="5:10" s="34" customFormat="1" x14ac:dyDescent="0.35">
      <c r="E14180" s="35"/>
      <c r="J14180" s="41"/>
    </row>
    <row r="14181" spans="5:10" s="34" customFormat="1" x14ac:dyDescent="0.35">
      <c r="E14181" s="35"/>
      <c r="J14181" s="41"/>
    </row>
    <row r="14182" spans="5:10" s="34" customFormat="1" x14ac:dyDescent="0.35">
      <c r="E14182" s="35"/>
      <c r="J14182" s="41"/>
    </row>
    <row r="14183" spans="5:10" s="34" customFormat="1" x14ac:dyDescent="0.35">
      <c r="E14183" s="35"/>
      <c r="J14183" s="41"/>
    </row>
    <row r="14184" spans="5:10" s="34" customFormat="1" x14ac:dyDescent="0.35">
      <c r="E14184" s="35"/>
      <c r="J14184" s="41"/>
    </row>
    <row r="14185" spans="5:10" s="34" customFormat="1" x14ac:dyDescent="0.35">
      <c r="E14185" s="35"/>
      <c r="J14185" s="41"/>
    </row>
    <row r="14186" spans="5:10" s="34" customFormat="1" x14ac:dyDescent="0.35">
      <c r="E14186" s="35"/>
      <c r="J14186" s="41"/>
    </row>
    <row r="14187" spans="5:10" s="34" customFormat="1" x14ac:dyDescent="0.35">
      <c r="E14187" s="35"/>
      <c r="J14187" s="41"/>
    </row>
    <row r="14188" spans="5:10" s="34" customFormat="1" x14ac:dyDescent="0.35">
      <c r="E14188" s="35"/>
      <c r="J14188" s="41"/>
    </row>
    <row r="14189" spans="5:10" s="34" customFormat="1" x14ac:dyDescent="0.35">
      <c r="E14189" s="35"/>
      <c r="J14189" s="41"/>
    </row>
    <row r="14190" spans="5:10" s="34" customFormat="1" x14ac:dyDescent="0.35">
      <c r="E14190" s="35"/>
      <c r="J14190" s="41"/>
    </row>
    <row r="14191" spans="5:10" s="34" customFormat="1" x14ac:dyDescent="0.35">
      <c r="E14191" s="35"/>
      <c r="J14191" s="41"/>
    </row>
    <row r="14192" spans="5:10" s="34" customFormat="1" x14ac:dyDescent="0.35">
      <c r="E14192" s="35"/>
      <c r="J14192" s="41"/>
    </row>
    <row r="14193" spans="5:10" s="34" customFormat="1" x14ac:dyDescent="0.35">
      <c r="E14193" s="35"/>
      <c r="J14193" s="41"/>
    </row>
    <row r="14194" spans="5:10" s="34" customFormat="1" x14ac:dyDescent="0.35">
      <c r="E14194" s="35"/>
      <c r="J14194" s="41"/>
    </row>
    <row r="14195" spans="5:10" s="34" customFormat="1" x14ac:dyDescent="0.35">
      <c r="E14195" s="35"/>
      <c r="J14195" s="41"/>
    </row>
    <row r="14196" spans="5:10" s="34" customFormat="1" x14ac:dyDescent="0.35">
      <c r="E14196" s="35"/>
      <c r="J14196" s="41"/>
    </row>
    <row r="14197" spans="5:10" s="34" customFormat="1" x14ac:dyDescent="0.35">
      <c r="E14197" s="35"/>
      <c r="J14197" s="41"/>
    </row>
    <row r="14198" spans="5:10" s="34" customFormat="1" x14ac:dyDescent="0.35">
      <c r="E14198" s="35"/>
      <c r="J14198" s="41"/>
    </row>
    <row r="14199" spans="5:10" s="34" customFormat="1" x14ac:dyDescent="0.35">
      <c r="E14199" s="35"/>
      <c r="J14199" s="41"/>
    </row>
    <row r="14200" spans="5:10" s="34" customFormat="1" x14ac:dyDescent="0.35">
      <c r="E14200" s="35"/>
      <c r="J14200" s="41"/>
    </row>
    <row r="14201" spans="5:10" s="34" customFormat="1" x14ac:dyDescent="0.35">
      <c r="E14201" s="35"/>
      <c r="J14201" s="41"/>
    </row>
    <row r="14202" spans="5:10" s="34" customFormat="1" x14ac:dyDescent="0.35">
      <c r="E14202" s="35"/>
      <c r="J14202" s="41"/>
    </row>
    <row r="14203" spans="5:10" s="34" customFormat="1" x14ac:dyDescent="0.35">
      <c r="E14203" s="35"/>
      <c r="J14203" s="41"/>
    </row>
    <row r="14204" spans="5:10" s="34" customFormat="1" x14ac:dyDescent="0.35">
      <c r="E14204" s="35"/>
      <c r="J14204" s="41"/>
    </row>
    <row r="14205" spans="5:10" s="34" customFormat="1" x14ac:dyDescent="0.35">
      <c r="E14205" s="35"/>
      <c r="J14205" s="41"/>
    </row>
    <row r="14206" spans="5:10" s="34" customFormat="1" x14ac:dyDescent="0.35">
      <c r="E14206" s="35"/>
      <c r="J14206" s="41"/>
    </row>
    <row r="14207" spans="5:10" s="34" customFormat="1" x14ac:dyDescent="0.35">
      <c r="E14207" s="35"/>
      <c r="J14207" s="41"/>
    </row>
    <row r="14208" spans="5:10" s="34" customFormat="1" x14ac:dyDescent="0.35">
      <c r="E14208" s="35"/>
      <c r="J14208" s="41"/>
    </row>
    <row r="14209" spans="5:10" s="34" customFormat="1" x14ac:dyDescent="0.35">
      <c r="E14209" s="35"/>
      <c r="J14209" s="41"/>
    </row>
    <row r="14210" spans="5:10" s="34" customFormat="1" x14ac:dyDescent="0.35">
      <c r="E14210" s="35"/>
      <c r="J14210" s="41"/>
    </row>
    <row r="14211" spans="5:10" s="34" customFormat="1" x14ac:dyDescent="0.35">
      <c r="E14211" s="35"/>
      <c r="J14211" s="41"/>
    </row>
    <row r="14212" spans="5:10" s="34" customFormat="1" x14ac:dyDescent="0.35">
      <c r="E14212" s="35"/>
      <c r="J14212" s="41"/>
    </row>
    <row r="14213" spans="5:10" s="34" customFormat="1" x14ac:dyDescent="0.35">
      <c r="E14213" s="35"/>
      <c r="J14213" s="41"/>
    </row>
    <row r="14214" spans="5:10" s="34" customFormat="1" x14ac:dyDescent="0.35">
      <c r="E14214" s="35"/>
      <c r="J14214" s="41"/>
    </row>
    <row r="14215" spans="5:10" s="34" customFormat="1" x14ac:dyDescent="0.35">
      <c r="E14215" s="35"/>
      <c r="J14215" s="41"/>
    </row>
    <row r="14216" spans="5:10" s="34" customFormat="1" x14ac:dyDescent="0.35">
      <c r="E14216" s="35"/>
      <c r="J14216" s="41"/>
    </row>
    <row r="14217" spans="5:10" s="34" customFormat="1" x14ac:dyDescent="0.35">
      <c r="E14217" s="35"/>
      <c r="J14217" s="41"/>
    </row>
    <row r="14218" spans="5:10" s="34" customFormat="1" x14ac:dyDescent="0.35">
      <c r="E14218" s="35"/>
      <c r="J14218" s="41"/>
    </row>
    <row r="14219" spans="5:10" s="34" customFormat="1" x14ac:dyDescent="0.35">
      <c r="E14219" s="35"/>
      <c r="J14219" s="41"/>
    </row>
    <row r="14220" spans="5:10" s="34" customFormat="1" x14ac:dyDescent="0.35">
      <c r="E14220" s="35"/>
      <c r="J14220" s="41"/>
    </row>
    <row r="14221" spans="5:10" s="34" customFormat="1" x14ac:dyDescent="0.35">
      <c r="E14221" s="35"/>
      <c r="J14221" s="41"/>
    </row>
    <row r="14222" spans="5:10" s="34" customFormat="1" x14ac:dyDescent="0.35">
      <c r="E14222" s="35"/>
      <c r="J14222" s="41"/>
    </row>
    <row r="14223" spans="5:10" s="34" customFormat="1" x14ac:dyDescent="0.35">
      <c r="E14223" s="35"/>
      <c r="J14223" s="41"/>
    </row>
    <row r="14224" spans="5:10" s="34" customFormat="1" x14ac:dyDescent="0.35">
      <c r="E14224" s="35"/>
      <c r="J14224" s="41"/>
    </row>
    <row r="14225" spans="5:10" s="34" customFormat="1" x14ac:dyDescent="0.35">
      <c r="E14225" s="35"/>
      <c r="J14225" s="41"/>
    </row>
    <row r="14226" spans="5:10" s="34" customFormat="1" x14ac:dyDescent="0.35">
      <c r="E14226" s="35"/>
      <c r="J14226" s="41"/>
    </row>
    <row r="14227" spans="5:10" s="34" customFormat="1" x14ac:dyDescent="0.35">
      <c r="E14227" s="35"/>
      <c r="J14227" s="41"/>
    </row>
    <row r="14228" spans="5:10" s="34" customFormat="1" x14ac:dyDescent="0.35">
      <c r="E14228" s="35"/>
      <c r="J14228" s="41"/>
    </row>
    <row r="14229" spans="5:10" s="34" customFormat="1" x14ac:dyDescent="0.35">
      <c r="E14229" s="35"/>
      <c r="J14229" s="41"/>
    </row>
    <row r="14230" spans="5:10" s="34" customFormat="1" x14ac:dyDescent="0.35">
      <c r="E14230" s="35"/>
      <c r="J14230" s="41"/>
    </row>
    <row r="14231" spans="5:10" s="34" customFormat="1" x14ac:dyDescent="0.35">
      <c r="E14231" s="35"/>
      <c r="J14231" s="41"/>
    </row>
    <row r="14232" spans="5:10" s="34" customFormat="1" x14ac:dyDescent="0.35">
      <c r="E14232" s="35"/>
      <c r="J14232" s="41"/>
    </row>
    <row r="14233" spans="5:10" s="34" customFormat="1" x14ac:dyDescent="0.35">
      <c r="E14233" s="35"/>
      <c r="J14233" s="41"/>
    </row>
    <row r="14234" spans="5:10" s="34" customFormat="1" x14ac:dyDescent="0.35">
      <c r="E14234" s="35"/>
      <c r="J14234" s="41"/>
    </row>
    <row r="14235" spans="5:10" s="34" customFormat="1" x14ac:dyDescent="0.35">
      <c r="E14235" s="35"/>
      <c r="J14235" s="41"/>
    </row>
    <row r="14236" spans="5:10" s="34" customFormat="1" x14ac:dyDescent="0.35">
      <c r="E14236" s="35"/>
      <c r="J14236" s="41"/>
    </row>
    <row r="14237" spans="5:10" s="34" customFormat="1" x14ac:dyDescent="0.35">
      <c r="E14237" s="35"/>
      <c r="J14237" s="41"/>
    </row>
    <row r="14238" spans="5:10" s="34" customFormat="1" x14ac:dyDescent="0.35">
      <c r="E14238" s="35"/>
      <c r="J14238" s="41"/>
    </row>
    <row r="14239" spans="5:10" s="34" customFormat="1" x14ac:dyDescent="0.35">
      <c r="E14239" s="35"/>
      <c r="J14239" s="41"/>
    </row>
    <row r="14240" spans="5:10" s="34" customFormat="1" x14ac:dyDescent="0.35">
      <c r="E14240" s="35"/>
      <c r="J14240" s="41"/>
    </row>
    <row r="14241" spans="5:10" s="34" customFormat="1" x14ac:dyDescent="0.35">
      <c r="E14241" s="35"/>
      <c r="J14241" s="41"/>
    </row>
    <row r="14242" spans="5:10" s="34" customFormat="1" x14ac:dyDescent="0.35">
      <c r="E14242" s="35"/>
      <c r="J14242" s="41"/>
    </row>
    <row r="14243" spans="5:10" s="34" customFormat="1" x14ac:dyDescent="0.35">
      <c r="E14243" s="35"/>
      <c r="J14243" s="41"/>
    </row>
    <row r="14244" spans="5:10" s="34" customFormat="1" x14ac:dyDescent="0.35">
      <c r="E14244" s="35"/>
      <c r="J14244" s="41"/>
    </row>
    <row r="14245" spans="5:10" s="34" customFormat="1" x14ac:dyDescent="0.35">
      <c r="E14245" s="35"/>
      <c r="J14245" s="41"/>
    </row>
    <row r="14246" spans="5:10" s="34" customFormat="1" x14ac:dyDescent="0.35">
      <c r="E14246" s="35"/>
      <c r="J14246" s="41"/>
    </row>
    <row r="14247" spans="5:10" s="34" customFormat="1" x14ac:dyDescent="0.35">
      <c r="E14247" s="35"/>
      <c r="J14247" s="41"/>
    </row>
    <row r="14248" spans="5:10" s="34" customFormat="1" x14ac:dyDescent="0.35">
      <c r="E14248" s="35"/>
      <c r="J14248" s="41"/>
    </row>
    <row r="14249" spans="5:10" s="34" customFormat="1" x14ac:dyDescent="0.35">
      <c r="E14249" s="35"/>
      <c r="J14249" s="41"/>
    </row>
    <row r="14250" spans="5:10" s="34" customFormat="1" x14ac:dyDescent="0.35">
      <c r="E14250" s="35"/>
      <c r="J14250" s="41"/>
    </row>
    <row r="14251" spans="5:10" s="34" customFormat="1" x14ac:dyDescent="0.35">
      <c r="E14251" s="35"/>
      <c r="J14251" s="41"/>
    </row>
    <row r="14252" spans="5:10" s="34" customFormat="1" x14ac:dyDescent="0.35">
      <c r="E14252" s="35"/>
      <c r="J14252" s="41"/>
    </row>
    <row r="14253" spans="5:10" s="34" customFormat="1" x14ac:dyDescent="0.35">
      <c r="E14253" s="35"/>
      <c r="J14253" s="41"/>
    </row>
    <row r="14254" spans="5:10" s="34" customFormat="1" x14ac:dyDescent="0.35">
      <c r="E14254" s="35"/>
      <c r="J14254" s="41"/>
    </row>
    <row r="14255" spans="5:10" s="34" customFormat="1" x14ac:dyDescent="0.35">
      <c r="E14255" s="35"/>
      <c r="J14255" s="41"/>
    </row>
    <row r="14256" spans="5:10" s="34" customFormat="1" x14ac:dyDescent="0.35">
      <c r="E14256" s="35"/>
      <c r="J14256" s="41"/>
    </row>
    <row r="14257" spans="5:10" s="34" customFormat="1" x14ac:dyDescent="0.35">
      <c r="E14257" s="35"/>
      <c r="J14257" s="41"/>
    </row>
    <row r="14258" spans="5:10" s="34" customFormat="1" x14ac:dyDescent="0.35">
      <c r="E14258" s="35"/>
      <c r="J14258" s="41"/>
    </row>
    <row r="14259" spans="5:10" s="34" customFormat="1" x14ac:dyDescent="0.35">
      <c r="E14259" s="35"/>
      <c r="J14259" s="41"/>
    </row>
    <row r="14260" spans="5:10" s="34" customFormat="1" x14ac:dyDescent="0.35">
      <c r="E14260" s="35"/>
      <c r="J14260" s="41"/>
    </row>
    <row r="14261" spans="5:10" s="34" customFormat="1" x14ac:dyDescent="0.35">
      <c r="E14261" s="35"/>
      <c r="J14261" s="41"/>
    </row>
    <row r="14262" spans="5:10" s="34" customFormat="1" x14ac:dyDescent="0.35">
      <c r="E14262" s="35"/>
      <c r="J14262" s="41"/>
    </row>
    <row r="14263" spans="5:10" s="34" customFormat="1" x14ac:dyDescent="0.35">
      <c r="E14263" s="35"/>
      <c r="J14263" s="41"/>
    </row>
    <row r="14264" spans="5:10" s="34" customFormat="1" x14ac:dyDescent="0.35">
      <c r="E14264" s="35"/>
      <c r="J14264" s="41"/>
    </row>
    <row r="14265" spans="5:10" s="34" customFormat="1" x14ac:dyDescent="0.35">
      <c r="E14265" s="35"/>
      <c r="J14265" s="41"/>
    </row>
    <row r="14266" spans="5:10" s="34" customFormat="1" x14ac:dyDescent="0.35">
      <c r="E14266" s="35"/>
      <c r="J14266" s="41"/>
    </row>
    <row r="14267" spans="5:10" s="34" customFormat="1" x14ac:dyDescent="0.35">
      <c r="E14267" s="35"/>
      <c r="J14267" s="41"/>
    </row>
    <row r="14268" spans="5:10" s="34" customFormat="1" x14ac:dyDescent="0.35">
      <c r="E14268" s="35"/>
      <c r="J14268" s="41"/>
    </row>
    <row r="14269" spans="5:10" s="34" customFormat="1" x14ac:dyDescent="0.35">
      <c r="E14269" s="35"/>
      <c r="J14269" s="41"/>
    </row>
    <row r="14270" spans="5:10" s="34" customFormat="1" x14ac:dyDescent="0.35">
      <c r="E14270" s="35"/>
      <c r="J14270" s="41"/>
    </row>
    <row r="14271" spans="5:10" s="34" customFormat="1" x14ac:dyDescent="0.35">
      <c r="E14271" s="35"/>
      <c r="J14271" s="41"/>
    </row>
    <row r="14272" spans="5:10" s="34" customFormat="1" x14ac:dyDescent="0.35">
      <c r="E14272" s="35"/>
      <c r="J14272" s="41"/>
    </row>
    <row r="14273" spans="5:10" s="34" customFormat="1" x14ac:dyDescent="0.35">
      <c r="E14273" s="35"/>
      <c r="J14273" s="41"/>
    </row>
    <row r="14274" spans="5:10" s="34" customFormat="1" x14ac:dyDescent="0.35">
      <c r="E14274" s="35"/>
      <c r="J14274" s="41"/>
    </row>
    <row r="14275" spans="5:10" s="34" customFormat="1" x14ac:dyDescent="0.35">
      <c r="E14275" s="35"/>
      <c r="J14275" s="41"/>
    </row>
    <row r="14276" spans="5:10" s="34" customFormat="1" x14ac:dyDescent="0.35">
      <c r="E14276" s="35"/>
      <c r="J14276" s="41"/>
    </row>
    <row r="14277" spans="5:10" s="34" customFormat="1" x14ac:dyDescent="0.35">
      <c r="E14277" s="35"/>
      <c r="J14277" s="41"/>
    </row>
    <row r="14278" spans="5:10" s="34" customFormat="1" x14ac:dyDescent="0.35">
      <c r="E14278" s="35"/>
      <c r="J14278" s="41"/>
    </row>
    <row r="14279" spans="5:10" s="34" customFormat="1" x14ac:dyDescent="0.35">
      <c r="E14279" s="35"/>
      <c r="J14279" s="41"/>
    </row>
    <row r="14280" spans="5:10" s="34" customFormat="1" x14ac:dyDescent="0.35">
      <c r="E14280" s="35"/>
      <c r="J14280" s="41"/>
    </row>
    <row r="14281" spans="5:10" s="34" customFormat="1" x14ac:dyDescent="0.35">
      <c r="E14281" s="35"/>
      <c r="J14281" s="41"/>
    </row>
    <row r="14282" spans="5:10" s="34" customFormat="1" x14ac:dyDescent="0.35">
      <c r="E14282" s="35"/>
      <c r="J14282" s="41"/>
    </row>
    <row r="14283" spans="5:10" s="34" customFormat="1" x14ac:dyDescent="0.35">
      <c r="E14283" s="35"/>
      <c r="J14283" s="41"/>
    </row>
    <row r="14284" spans="5:10" s="34" customFormat="1" x14ac:dyDescent="0.35">
      <c r="E14284" s="35"/>
      <c r="J14284" s="41"/>
    </row>
    <row r="14285" spans="5:10" s="34" customFormat="1" x14ac:dyDescent="0.35">
      <c r="E14285" s="35"/>
      <c r="J14285" s="41"/>
    </row>
    <row r="14286" spans="5:10" s="34" customFormat="1" x14ac:dyDescent="0.35">
      <c r="E14286" s="35"/>
      <c r="J14286" s="41"/>
    </row>
    <row r="14287" spans="5:10" s="34" customFormat="1" x14ac:dyDescent="0.35">
      <c r="E14287" s="35"/>
      <c r="J14287" s="41"/>
    </row>
    <row r="14288" spans="5:10" s="34" customFormat="1" x14ac:dyDescent="0.35">
      <c r="E14288" s="35"/>
      <c r="J14288" s="41"/>
    </row>
    <row r="14289" spans="5:10" s="34" customFormat="1" x14ac:dyDescent="0.35">
      <c r="E14289" s="35"/>
      <c r="J14289" s="41"/>
    </row>
    <row r="14290" spans="5:10" s="34" customFormat="1" x14ac:dyDescent="0.35">
      <c r="E14290" s="35"/>
      <c r="J14290" s="41"/>
    </row>
    <row r="14291" spans="5:10" s="34" customFormat="1" x14ac:dyDescent="0.35">
      <c r="E14291" s="35"/>
      <c r="J14291" s="41"/>
    </row>
    <row r="14292" spans="5:10" s="34" customFormat="1" x14ac:dyDescent="0.35">
      <c r="E14292" s="35"/>
      <c r="J14292" s="41"/>
    </row>
    <row r="14293" spans="5:10" s="34" customFormat="1" x14ac:dyDescent="0.35">
      <c r="E14293" s="35"/>
      <c r="J14293" s="41"/>
    </row>
    <row r="14294" spans="5:10" s="34" customFormat="1" x14ac:dyDescent="0.35">
      <c r="E14294" s="35"/>
      <c r="J14294" s="41"/>
    </row>
    <row r="14295" spans="5:10" s="34" customFormat="1" x14ac:dyDescent="0.35">
      <c r="E14295" s="35"/>
      <c r="J14295" s="41"/>
    </row>
    <row r="14296" spans="5:10" s="34" customFormat="1" x14ac:dyDescent="0.35">
      <c r="E14296" s="35"/>
      <c r="J14296" s="41"/>
    </row>
    <row r="14297" spans="5:10" s="34" customFormat="1" x14ac:dyDescent="0.35">
      <c r="E14297" s="35"/>
      <c r="J14297" s="41"/>
    </row>
    <row r="14298" spans="5:10" s="34" customFormat="1" x14ac:dyDescent="0.35">
      <c r="E14298" s="35"/>
      <c r="J14298" s="41"/>
    </row>
    <row r="14299" spans="5:10" s="34" customFormat="1" x14ac:dyDescent="0.35">
      <c r="E14299" s="35"/>
      <c r="J14299" s="41"/>
    </row>
    <row r="14300" spans="5:10" s="34" customFormat="1" x14ac:dyDescent="0.35">
      <c r="E14300" s="35"/>
      <c r="J14300" s="41"/>
    </row>
    <row r="14301" spans="5:10" s="34" customFormat="1" x14ac:dyDescent="0.35">
      <c r="E14301" s="35"/>
      <c r="J14301" s="41"/>
    </row>
    <row r="14302" spans="5:10" s="34" customFormat="1" x14ac:dyDescent="0.35">
      <c r="E14302" s="35"/>
      <c r="J14302" s="41"/>
    </row>
    <row r="14303" spans="5:10" s="34" customFormat="1" x14ac:dyDescent="0.35">
      <c r="E14303" s="35"/>
      <c r="J14303" s="41"/>
    </row>
    <row r="14304" spans="5:10" s="34" customFormat="1" x14ac:dyDescent="0.35">
      <c r="E14304" s="35"/>
      <c r="J14304" s="41"/>
    </row>
    <row r="14305" spans="5:10" s="34" customFormat="1" x14ac:dyDescent="0.35">
      <c r="E14305" s="35"/>
      <c r="J14305" s="41"/>
    </row>
    <row r="14306" spans="5:10" s="34" customFormat="1" x14ac:dyDescent="0.35">
      <c r="E14306" s="35"/>
      <c r="J14306" s="41"/>
    </row>
    <row r="14307" spans="5:10" s="34" customFormat="1" x14ac:dyDescent="0.35">
      <c r="E14307" s="35"/>
      <c r="J14307" s="41"/>
    </row>
    <row r="14308" spans="5:10" s="34" customFormat="1" x14ac:dyDescent="0.35">
      <c r="E14308" s="35"/>
      <c r="J14308" s="41"/>
    </row>
    <row r="14309" spans="5:10" s="34" customFormat="1" x14ac:dyDescent="0.35">
      <c r="E14309" s="35"/>
      <c r="J14309" s="41"/>
    </row>
    <row r="14310" spans="5:10" s="34" customFormat="1" x14ac:dyDescent="0.35">
      <c r="E14310" s="35"/>
      <c r="J14310" s="41"/>
    </row>
    <row r="14311" spans="5:10" s="34" customFormat="1" x14ac:dyDescent="0.35">
      <c r="E14311" s="35"/>
      <c r="J14311" s="41"/>
    </row>
    <row r="14312" spans="5:10" s="34" customFormat="1" x14ac:dyDescent="0.35">
      <c r="E14312" s="35"/>
      <c r="J14312" s="41"/>
    </row>
    <row r="14313" spans="5:10" s="34" customFormat="1" x14ac:dyDescent="0.35">
      <c r="E14313" s="35"/>
      <c r="J14313" s="41"/>
    </row>
    <row r="14314" spans="5:10" s="34" customFormat="1" x14ac:dyDescent="0.35">
      <c r="E14314" s="35"/>
      <c r="J14314" s="41"/>
    </row>
    <row r="14315" spans="5:10" s="34" customFormat="1" x14ac:dyDescent="0.35">
      <c r="E14315" s="35"/>
      <c r="J14315" s="41"/>
    </row>
    <row r="14316" spans="5:10" s="34" customFormat="1" x14ac:dyDescent="0.35">
      <c r="E14316" s="35"/>
      <c r="J14316" s="41"/>
    </row>
    <row r="14317" spans="5:10" s="34" customFormat="1" x14ac:dyDescent="0.35">
      <c r="E14317" s="35"/>
      <c r="J14317" s="41"/>
    </row>
    <row r="14318" spans="5:10" s="34" customFormat="1" x14ac:dyDescent="0.35">
      <c r="E14318" s="35"/>
      <c r="J14318" s="41"/>
    </row>
    <row r="14319" spans="5:10" s="34" customFormat="1" x14ac:dyDescent="0.35">
      <c r="E14319" s="35"/>
      <c r="J14319" s="41"/>
    </row>
    <row r="14320" spans="5:10" s="34" customFormat="1" x14ac:dyDescent="0.35">
      <c r="E14320" s="35"/>
      <c r="J14320" s="41"/>
    </row>
    <row r="14321" spans="5:10" s="34" customFormat="1" x14ac:dyDescent="0.35">
      <c r="E14321" s="35"/>
      <c r="J14321" s="41"/>
    </row>
    <row r="14322" spans="5:10" s="34" customFormat="1" x14ac:dyDescent="0.35">
      <c r="E14322" s="35"/>
      <c r="J14322" s="41"/>
    </row>
    <row r="14323" spans="5:10" s="34" customFormat="1" x14ac:dyDescent="0.35">
      <c r="E14323" s="35"/>
      <c r="J14323" s="41"/>
    </row>
    <row r="14324" spans="5:10" s="34" customFormat="1" x14ac:dyDescent="0.35">
      <c r="E14324" s="35"/>
      <c r="J14324" s="41"/>
    </row>
    <row r="14325" spans="5:10" s="34" customFormat="1" x14ac:dyDescent="0.35">
      <c r="E14325" s="35"/>
      <c r="J14325" s="41"/>
    </row>
    <row r="14326" spans="5:10" s="34" customFormat="1" x14ac:dyDescent="0.35">
      <c r="E14326" s="35"/>
      <c r="J14326" s="41"/>
    </row>
    <row r="14327" spans="5:10" s="34" customFormat="1" x14ac:dyDescent="0.35">
      <c r="E14327" s="35"/>
      <c r="J14327" s="41"/>
    </row>
    <row r="14328" spans="5:10" s="34" customFormat="1" x14ac:dyDescent="0.35">
      <c r="E14328" s="35"/>
      <c r="J14328" s="41"/>
    </row>
    <row r="14329" spans="5:10" s="34" customFormat="1" x14ac:dyDescent="0.35">
      <c r="E14329" s="35"/>
      <c r="J14329" s="41"/>
    </row>
    <row r="14330" spans="5:10" s="34" customFormat="1" x14ac:dyDescent="0.35">
      <c r="E14330" s="35"/>
      <c r="J14330" s="41"/>
    </row>
    <row r="14331" spans="5:10" s="34" customFormat="1" x14ac:dyDescent="0.35">
      <c r="E14331" s="35"/>
      <c r="J14331" s="41"/>
    </row>
    <row r="14332" spans="5:10" s="34" customFormat="1" x14ac:dyDescent="0.35">
      <c r="E14332" s="35"/>
      <c r="J14332" s="41"/>
    </row>
    <row r="14333" spans="5:10" s="34" customFormat="1" x14ac:dyDescent="0.35">
      <c r="E14333" s="35"/>
      <c r="J14333" s="41"/>
    </row>
    <row r="14334" spans="5:10" s="34" customFormat="1" x14ac:dyDescent="0.35">
      <c r="E14334" s="35"/>
      <c r="J14334" s="41"/>
    </row>
    <row r="14335" spans="5:10" s="34" customFormat="1" x14ac:dyDescent="0.35">
      <c r="E14335" s="35"/>
      <c r="J14335" s="41"/>
    </row>
    <row r="14336" spans="5:10" s="34" customFormat="1" x14ac:dyDescent="0.35">
      <c r="E14336" s="35"/>
      <c r="J14336" s="41"/>
    </row>
    <row r="14337" spans="5:10" s="34" customFormat="1" x14ac:dyDescent="0.35">
      <c r="E14337" s="35"/>
      <c r="J14337" s="41"/>
    </row>
    <row r="14338" spans="5:10" s="34" customFormat="1" x14ac:dyDescent="0.35">
      <c r="E14338" s="35"/>
      <c r="J14338" s="41"/>
    </row>
    <row r="14339" spans="5:10" s="34" customFormat="1" x14ac:dyDescent="0.35">
      <c r="E14339" s="35"/>
      <c r="J14339" s="41"/>
    </row>
    <row r="14340" spans="5:10" s="34" customFormat="1" x14ac:dyDescent="0.35">
      <c r="E14340" s="35"/>
      <c r="J14340" s="41"/>
    </row>
    <row r="14341" spans="5:10" s="34" customFormat="1" x14ac:dyDescent="0.35">
      <c r="E14341" s="35"/>
      <c r="J14341" s="41"/>
    </row>
    <row r="14342" spans="5:10" s="34" customFormat="1" x14ac:dyDescent="0.35">
      <c r="E14342" s="35"/>
      <c r="J14342" s="41"/>
    </row>
    <row r="14343" spans="5:10" s="34" customFormat="1" x14ac:dyDescent="0.35">
      <c r="E14343" s="35"/>
      <c r="J14343" s="41"/>
    </row>
    <row r="14344" spans="5:10" s="34" customFormat="1" x14ac:dyDescent="0.35">
      <c r="E14344" s="35"/>
      <c r="J14344" s="41"/>
    </row>
    <row r="14345" spans="5:10" s="34" customFormat="1" x14ac:dyDescent="0.35">
      <c r="E14345" s="35"/>
      <c r="J14345" s="41"/>
    </row>
    <row r="14346" spans="5:10" s="34" customFormat="1" x14ac:dyDescent="0.35">
      <c r="E14346" s="35"/>
      <c r="J14346" s="41"/>
    </row>
    <row r="14347" spans="5:10" s="34" customFormat="1" x14ac:dyDescent="0.35">
      <c r="E14347" s="35"/>
      <c r="J14347" s="41"/>
    </row>
    <row r="14348" spans="5:10" s="34" customFormat="1" x14ac:dyDescent="0.35">
      <c r="E14348" s="35"/>
      <c r="J14348" s="41"/>
    </row>
    <row r="14349" spans="5:10" s="34" customFormat="1" x14ac:dyDescent="0.35">
      <c r="E14349" s="35"/>
      <c r="J14349" s="41"/>
    </row>
    <row r="14350" spans="5:10" s="34" customFormat="1" x14ac:dyDescent="0.35">
      <c r="E14350" s="35"/>
      <c r="J14350" s="41"/>
    </row>
    <row r="14351" spans="5:10" s="34" customFormat="1" x14ac:dyDescent="0.35">
      <c r="E14351" s="35"/>
      <c r="J14351" s="41"/>
    </row>
    <row r="14352" spans="5:10" s="34" customFormat="1" x14ac:dyDescent="0.35">
      <c r="E14352" s="35"/>
      <c r="J14352" s="41"/>
    </row>
    <row r="14353" spans="5:10" s="34" customFormat="1" x14ac:dyDescent="0.35">
      <c r="E14353" s="35"/>
      <c r="J14353" s="41"/>
    </row>
    <row r="14354" spans="5:10" s="34" customFormat="1" x14ac:dyDescent="0.35">
      <c r="E14354" s="35"/>
      <c r="J14354" s="41"/>
    </row>
    <row r="14355" spans="5:10" s="34" customFormat="1" x14ac:dyDescent="0.35">
      <c r="E14355" s="35"/>
      <c r="J14355" s="41"/>
    </row>
    <row r="14356" spans="5:10" s="34" customFormat="1" x14ac:dyDescent="0.35">
      <c r="E14356" s="35"/>
      <c r="J14356" s="41"/>
    </row>
    <row r="14357" spans="5:10" s="34" customFormat="1" x14ac:dyDescent="0.35">
      <c r="E14357" s="35"/>
      <c r="J14357" s="41"/>
    </row>
    <row r="14358" spans="5:10" s="34" customFormat="1" x14ac:dyDescent="0.35">
      <c r="E14358" s="35"/>
      <c r="J14358" s="41"/>
    </row>
    <row r="14359" spans="5:10" s="34" customFormat="1" x14ac:dyDescent="0.35">
      <c r="E14359" s="35"/>
      <c r="J14359" s="41"/>
    </row>
    <row r="14360" spans="5:10" s="34" customFormat="1" x14ac:dyDescent="0.35">
      <c r="E14360" s="35"/>
      <c r="J14360" s="41"/>
    </row>
    <row r="14361" spans="5:10" s="34" customFormat="1" x14ac:dyDescent="0.35">
      <c r="E14361" s="35"/>
      <c r="J14361" s="41"/>
    </row>
    <row r="14362" spans="5:10" s="34" customFormat="1" x14ac:dyDescent="0.35">
      <c r="E14362" s="35"/>
      <c r="J14362" s="41"/>
    </row>
    <row r="14363" spans="5:10" s="34" customFormat="1" x14ac:dyDescent="0.35">
      <c r="E14363" s="35"/>
      <c r="J14363" s="41"/>
    </row>
    <row r="14364" spans="5:10" s="34" customFormat="1" x14ac:dyDescent="0.35">
      <c r="E14364" s="35"/>
      <c r="J14364" s="41"/>
    </row>
    <row r="14365" spans="5:10" s="34" customFormat="1" x14ac:dyDescent="0.35">
      <c r="E14365" s="35"/>
      <c r="J14365" s="41"/>
    </row>
    <row r="14366" spans="5:10" s="34" customFormat="1" x14ac:dyDescent="0.35">
      <c r="E14366" s="35"/>
      <c r="J14366" s="41"/>
    </row>
    <row r="14367" spans="5:10" s="34" customFormat="1" x14ac:dyDescent="0.35">
      <c r="E14367" s="35"/>
      <c r="J14367" s="41"/>
    </row>
    <row r="14368" spans="5:10" s="34" customFormat="1" x14ac:dyDescent="0.35">
      <c r="E14368" s="35"/>
      <c r="J14368" s="41"/>
    </row>
    <row r="14369" spans="5:10" s="34" customFormat="1" x14ac:dyDescent="0.35">
      <c r="E14369" s="35"/>
      <c r="J14369" s="41"/>
    </row>
    <row r="14370" spans="5:10" s="34" customFormat="1" x14ac:dyDescent="0.35">
      <c r="E14370" s="35"/>
      <c r="J14370" s="41"/>
    </row>
    <row r="14371" spans="5:10" s="34" customFormat="1" x14ac:dyDescent="0.35">
      <c r="E14371" s="35"/>
      <c r="J14371" s="41"/>
    </row>
    <row r="14372" spans="5:10" s="34" customFormat="1" x14ac:dyDescent="0.35">
      <c r="E14372" s="35"/>
      <c r="J14372" s="41"/>
    </row>
    <row r="14373" spans="5:10" s="34" customFormat="1" x14ac:dyDescent="0.35">
      <c r="E14373" s="35"/>
      <c r="J14373" s="41"/>
    </row>
    <row r="14374" spans="5:10" s="34" customFormat="1" x14ac:dyDescent="0.35">
      <c r="E14374" s="35"/>
      <c r="J14374" s="41"/>
    </row>
    <row r="14375" spans="5:10" s="34" customFormat="1" x14ac:dyDescent="0.35">
      <c r="E14375" s="35"/>
      <c r="J14375" s="41"/>
    </row>
    <row r="14376" spans="5:10" s="34" customFormat="1" x14ac:dyDescent="0.35">
      <c r="E14376" s="35"/>
      <c r="J14376" s="41"/>
    </row>
    <row r="14377" spans="5:10" s="34" customFormat="1" x14ac:dyDescent="0.35">
      <c r="E14377" s="35"/>
      <c r="J14377" s="41"/>
    </row>
    <row r="14378" spans="5:10" s="34" customFormat="1" x14ac:dyDescent="0.35">
      <c r="E14378" s="35"/>
      <c r="J14378" s="41"/>
    </row>
    <row r="14379" spans="5:10" s="34" customFormat="1" x14ac:dyDescent="0.35">
      <c r="E14379" s="35"/>
      <c r="J14379" s="41"/>
    </row>
    <row r="14380" spans="5:10" s="34" customFormat="1" x14ac:dyDescent="0.35">
      <c r="E14380" s="35"/>
      <c r="J14380" s="41"/>
    </row>
    <row r="14381" spans="5:10" s="34" customFormat="1" x14ac:dyDescent="0.35">
      <c r="E14381" s="35"/>
      <c r="J14381" s="41"/>
    </row>
    <row r="14382" spans="5:10" s="34" customFormat="1" x14ac:dyDescent="0.35">
      <c r="E14382" s="35"/>
      <c r="J14382" s="41"/>
    </row>
    <row r="14383" spans="5:10" s="34" customFormat="1" x14ac:dyDescent="0.35">
      <c r="E14383" s="35"/>
      <c r="J14383" s="41"/>
    </row>
    <row r="14384" spans="5:10" s="34" customFormat="1" x14ac:dyDescent="0.35">
      <c r="E14384" s="35"/>
      <c r="J14384" s="41"/>
    </row>
    <row r="14385" spans="5:10" s="34" customFormat="1" x14ac:dyDescent="0.35">
      <c r="E14385" s="35"/>
      <c r="J14385" s="41"/>
    </row>
    <row r="14386" spans="5:10" s="34" customFormat="1" x14ac:dyDescent="0.35">
      <c r="E14386" s="35"/>
      <c r="J14386" s="41"/>
    </row>
    <row r="14387" spans="5:10" s="34" customFormat="1" x14ac:dyDescent="0.35">
      <c r="E14387" s="35"/>
      <c r="J14387" s="41"/>
    </row>
    <row r="14388" spans="5:10" s="34" customFormat="1" x14ac:dyDescent="0.35">
      <c r="E14388" s="35"/>
      <c r="J14388" s="41"/>
    </row>
    <row r="14389" spans="5:10" s="34" customFormat="1" x14ac:dyDescent="0.35">
      <c r="E14389" s="35"/>
      <c r="J14389" s="41"/>
    </row>
    <row r="14390" spans="5:10" s="34" customFormat="1" x14ac:dyDescent="0.35">
      <c r="E14390" s="35"/>
      <c r="J14390" s="41"/>
    </row>
    <row r="14391" spans="5:10" s="34" customFormat="1" x14ac:dyDescent="0.35">
      <c r="E14391" s="35"/>
      <c r="J14391" s="41"/>
    </row>
    <row r="14392" spans="5:10" s="34" customFormat="1" x14ac:dyDescent="0.35">
      <c r="E14392" s="35"/>
      <c r="J14392" s="41"/>
    </row>
    <row r="14393" spans="5:10" s="34" customFormat="1" x14ac:dyDescent="0.35">
      <c r="E14393" s="35"/>
      <c r="J14393" s="41"/>
    </row>
    <row r="14394" spans="5:10" s="34" customFormat="1" x14ac:dyDescent="0.35">
      <c r="E14394" s="35"/>
      <c r="J14394" s="41"/>
    </row>
    <row r="14395" spans="5:10" s="34" customFormat="1" x14ac:dyDescent="0.35">
      <c r="E14395" s="35"/>
      <c r="J14395" s="41"/>
    </row>
    <row r="14396" spans="5:10" s="34" customFormat="1" x14ac:dyDescent="0.35">
      <c r="E14396" s="35"/>
      <c r="J14396" s="41"/>
    </row>
    <row r="14397" spans="5:10" s="34" customFormat="1" x14ac:dyDescent="0.35">
      <c r="E14397" s="35"/>
      <c r="J14397" s="41"/>
    </row>
    <row r="14398" spans="5:10" s="34" customFormat="1" x14ac:dyDescent="0.35">
      <c r="E14398" s="35"/>
      <c r="J14398" s="41"/>
    </row>
    <row r="14399" spans="5:10" s="34" customFormat="1" x14ac:dyDescent="0.35">
      <c r="E14399" s="35"/>
      <c r="J14399" s="41"/>
    </row>
    <row r="14400" spans="5:10" s="34" customFormat="1" x14ac:dyDescent="0.35">
      <c r="E14400" s="35"/>
      <c r="J14400" s="41"/>
    </row>
    <row r="14401" spans="5:10" s="34" customFormat="1" x14ac:dyDescent="0.35">
      <c r="E14401" s="35"/>
      <c r="J14401" s="41"/>
    </row>
    <row r="14402" spans="5:10" s="34" customFormat="1" x14ac:dyDescent="0.35">
      <c r="E14402" s="35"/>
      <c r="J14402" s="41"/>
    </row>
    <row r="14403" spans="5:10" s="34" customFormat="1" x14ac:dyDescent="0.35">
      <c r="E14403" s="35"/>
      <c r="J14403" s="41"/>
    </row>
    <row r="14404" spans="5:10" s="34" customFormat="1" x14ac:dyDescent="0.35">
      <c r="E14404" s="35"/>
      <c r="J14404" s="41"/>
    </row>
    <row r="14405" spans="5:10" s="34" customFormat="1" x14ac:dyDescent="0.35">
      <c r="E14405" s="35"/>
      <c r="J14405" s="41"/>
    </row>
    <row r="14406" spans="5:10" s="34" customFormat="1" x14ac:dyDescent="0.35">
      <c r="E14406" s="35"/>
      <c r="J14406" s="41"/>
    </row>
    <row r="14407" spans="5:10" s="34" customFormat="1" x14ac:dyDescent="0.35">
      <c r="E14407" s="35"/>
      <c r="J14407" s="41"/>
    </row>
    <row r="14408" spans="5:10" s="34" customFormat="1" x14ac:dyDescent="0.35">
      <c r="E14408" s="35"/>
      <c r="J14408" s="41"/>
    </row>
    <row r="14409" spans="5:10" s="34" customFormat="1" x14ac:dyDescent="0.35">
      <c r="E14409" s="35"/>
      <c r="J14409" s="41"/>
    </row>
    <row r="14410" spans="5:10" s="34" customFormat="1" x14ac:dyDescent="0.35">
      <c r="E14410" s="35"/>
      <c r="J14410" s="41"/>
    </row>
    <row r="14411" spans="5:10" s="34" customFormat="1" x14ac:dyDescent="0.35">
      <c r="E14411" s="35"/>
      <c r="J14411" s="41"/>
    </row>
    <row r="14412" spans="5:10" s="34" customFormat="1" x14ac:dyDescent="0.35">
      <c r="E14412" s="35"/>
      <c r="J14412" s="41"/>
    </row>
    <row r="14413" spans="5:10" s="34" customFormat="1" x14ac:dyDescent="0.35">
      <c r="E14413" s="35"/>
      <c r="J14413" s="41"/>
    </row>
    <row r="14414" spans="5:10" s="34" customFormat="1" x14ac:dyDescent="0.35">
      <c r="E14414" s="35"/>
      <c r="J14414" s="41"/>
    </row>
    <row r="14415" spans="5:10" s="34" customFormat="1" x14ac:dyDescent="0.35">
      <c r="E14415" s="35"/>
      <c r="J14415" s="41"/>
    </row>
    <row r="14416" spans="5:10" s="34" customFormat="1" x14ac:dyDescent="0.35">
      <c r="E14416" s="35"/>
      <c r="J14416" s="41"/>
    </row>
    <row r="14417" spans="5:10" s="34" customFormat="1" x14ac:dyDescent="0.35">
      <c r="E14417" s="35"/>
      <c r="J14417" s="41"/>
    </row>
    <row r="14418" spans="5:10" s="34" customFormat="1" x14ac:dyDescent="0.35">
      <c r="E14418" s="35"/>
      <c r="J14418" s="41"/>
    </row>
    <row r="14419" spans="5:10" s="34" customFormat="1" x14ac:dyDescent="0.35">
      <c r="E14419" s="35"/>
      <c r="J14419" s="41"/>
    </row>
    <row r="14420" spans="5:10" s="34" customFormat="1" x14ac:dyDescent="0.35">
      <c r="E14420" s="35"/>
      <c r="J14420" s="41"/>
    </row>
    <row r="14421" spans="5:10" s="34" customFormat="1" x14ac:dyDescent="0.35">
      <c r="E14421" s="35"/>
      <c r="J14421" s="41"/>
    </row>
    <row r="14422" spans="5:10" s="34" customFormat="1" x14ac:dyDescent="0.35">
      <c r="E14422" s="35"/>
      <c r="J14422" s="41"/>
    </row>
    <row r="14423" spans="5:10" s="34" customFormat="1" x14ac:dyDescent="0.35">
      <c r="E14423" s="35"/>
      <c r="J14423" s="41"/>
    </row>
    <row r="14424" spans="5:10" s="34" customFormat="1" x14ac:dyDescent="0.35">
      <c r="E14424" s="35"/>
      <c r="J14424" s="41"/>
    </row>
    <row r="14425" spans="5:10" s="34" customFormat="1" x14ac:dyDescent="0.35">
      <c r="E14425" s="35"/>
      <c r="J14425" s="41"/>
    </row>
    <row r="14426" spans="5:10" s="34" customFormat="1" x14ac:dyDescent="0.35">
      <c r="E14426" s="35"/>
      <c r="J14426" s="41"/>
    </row>
    <row r="14427" spans="5:10" s="34" customFormat="1" x14ac:dyDescent="0.35">
      <c r="E14427" s="35"/>
      <c r="J14427" s="41"/>
    </row>
    <row r="14428" spans="5:10" s="34" customFormat="1" x14ac:dyDescent="0.35">
      <c r="E14428" s="35"/>
      <c r="J14428" s="41"/>
    </row>
    <row r="14429" spans="5:10" s="34" customFormat="1" x14ac:dyDescent="0.35">
      <c r="E14429" s="35"/>
      <c r="J14429" s="41"/>
    </row>
    <row r="14430" spans="5:10" s="34" customFormat="1" x14ac:dyDescent="0.35">
      <c r="E14430" s="35"/>
      <c r="J14430" s="41"/>
    </row>
    <row r="14431" spans="5:10" s="34" customFormat="1" x14ac:dyDescent="0.35">
      <c r="E14431" s="35"/>
      <c r="J14431" s="41"/>
    </row>
    <row r="14432" spans="5:10" s="34" customFormat="1" x14ac:dyDescent="0.35">
      <c r="E14432" s="35"/>
      <c r="J14432" s="41"/>
    </row>
    <row r="14433" spans="5:10" s="34" customFormat="1" x14ac:dyDescent="0.35">
      <c r="E14433" s="35"/>
      <c r="J14433" s="41"/>
    </row>
    <row r="14434" spans="5:10" s="34" customFormat="1" x14ac:dyDescent="0.35">
      <c r="E14434" s="35"/>
      <c r="J14434" s="41"/>
    </row>
    <row r="14435" spans="5:10" s="34" customFormat="1" x14ac:dyDescent="0.35">
      <c r="E14435" s="35"/>
      <c r="J14435" s="41"/>
    </row>
    <row r="14436" spans="5:10" s="34" customFormat="1" x14ac:dyDescent="0.35">
      <c r="E14436" s="35"/>
      <c r="J14436" s="41"/>
    </row>
    <row r="14437" spans="5:10" s="34" customFormat="1" x14ac:dyDescent="0.35">
      <c r="E14437" s="35"/>
      <c r="J14437" s="41"/>
    </row>
    <row r="14438" spans="5:10" s="34" customFormat="1" x14ac:dyDescent="0.35">
      <c r="E14438" s="35"/>
      <c r="J14438" s="41"/>
    </row>
    <row r="14439" spans="5:10" s="34" customFormat="1" x14ac:dyDescent="0.35">
      <c r="E14439" s="35"/>
      <c r="J14439" s="41"/>
    </row>
    <row r="14440" spans="5:10" s="34" customFormat="1" x14ac:dyDescent="0.35">
      <c r="E14440" s="35"/>
      <c r="J14440" s="41"/>
    </row>
    <row r="14441" spans="5:10" s="34" customFormat="1" x14ac:dyDescent="0.35">
      <c r="E14441" s="35"/>
      <c r="J14441" s="41"/>
    </row>
    <row r="14442" spans="5:10" s="34" customFormat="1" x14ac:dyDescent="0.35">
      <c r="E14442" s="35"/>
      <c r="J14442" s="41"/>
    </row>
    <row r="14443" spans="5:10" s="34" customFormat="1" x14ac:dyDescent="0.35">
      <c r="E14443" s="35"/>
      <c r="J14443" s="41"/>
    </row>
    <row r="14444" spans="5:10" s="34" customFormat="1" x14ac:dyDescent="0.35">
      <c r="E14444" s="35"/>
      <c r="J14444" s="41"/>
    </row>
    <row r="14445" spans="5:10" s="34" customFormat="1" x14ac:dyDescent="0.35">
      <c r="E14445" s="35"/>
      <c r="J14445" s="41"/>
    </row>
    <row r="14446" spans="5:10" s="34" customFormat="1" x14ac:dyDescent="0.35">
      <c r="E14446" s="35"/>
      <c r="J14446" s="41"/>
    </row>
    <row r="14447" spans="5:10" s="34" customFormat="1" x14ac:dyDescent="0.35">
      <c r="E14447" s="35"/>
      <c r="J14447" s="41"/>
    </row>
    <row r="14448" spans="5:10" s="34" customFormat="1" x14ac:dyDescent="0.35">
      <c r="E14448" s="35"/>
      <c r="J14448" s="41"/>
    </row>
    <row r="14449" spans="5:10" s="34" customFormat="1" x14ac:dyDescent="0.35">
      <c r="E14449" s="35"/>
      <c r="J14449" s="41"/>
    </row>
    <row r="14450" spans="5:10" s="34" customFormat="1" x14ac:dyDescent="0.35">
      <c r="E14450" s="35"/>
      <c r="J14450" s="41"/>
    </row>
    <row r="14451" spans="5:10" s="34" customFormat="1" x14ac:dyDescent="0.35">
      <c r="E14451" s="35"/>
      <c r="J14451" s="41"/>
    </row>
    <row r="14452" spans="5:10" s="34" customFormat="1" x14ac:dyDescent="0.35">
      <c r="E14452" s="35"/>
      <c r="J14452" s="41"/>
    </row>
    <row r="14453" spans="5:10" s="34" customFormat="1" x14ac:dyDescent="0.35">
      <c r="E14453" s="35"/>
      <c r="J14453" s="41"/>
    </row>
    <row r="14454" spans="5:10" s="34" customFormat="1" x14ac:dyDescent="0.35">
      <c r="E14454" s="35"/>
      <c r="J14454" s="41"/>
    </row>
    <row r="14455" spans="5:10" s="34" customFormat="1" x14ac:dyDescent="0.35">
      <c r="E14455" s="35"/>
      <c r="J14455" s="41"/>
    </row>
    <row r="14456" spans="5:10" s="34" customFormat="1" x14ac:dyDescent="0.35">
      <c r="E14456" s="35"/>
      <c r="J14456" s="41"/>
    </row>
    <row r="14457" spans="5:10" s="34" customFormat="1" x14ac:dyDescent="0.35">
      <c r="E14457" s="35"/>
      <c r="J14457" s="41"/>
    </row>
    <row r="14458" spans="5:10" s="34" customFormat="1" x14ac:dyDescent="0.35">
      <c r="E14458" s="35"/>
      <c r="J14458" s="41"/>
    </row>
    <row r="14459" spans="5:10" s="34" customFormat="1" x14ac:dyDescent="0.35">
      <c r="E14459" s="35"/>
      <c r="J14459" s="41"/>
    </row>
    <row r="14460" spans="5:10" s="34" customFormat="1" x14ac:dyDescent="0.35">
      <c r="E14460" s="35"/>
      <c r="J14460" s="41"/>
    </row>
    <row r="14461" spans="5:10" s="34" customFormat="1" x14ac:dyDescent="0.35">
      <c r="E14461" s="35"/>
      <c r="J14461" s="41"/>
    </row>
    <row r="14462" spans="5:10" s="34" customFormat="1" x14ac:dyDescent="0.35">
      <c r="E14462" s="35"/>
      <c r="J14462" s="41"/>
    </row>
    <row r="14463" spans="5:10" s="34" customFormat="1" x14ac:dyDescent="0.35">
      <c r="E14463" s="35"/>
      <c r="J14463" s="41"/>
    </row>
    <row r="14464" spans="5:10" s="34" customFormat="1" x14ac:dyDescent="0.35">
      <c r="E14464" s="35"/>
      <c r="J14464" s="41"/>
    </row>
    <row r="14465" spans="5:10" s="34" customFormat="1" x14ac:dyDescent="0.35">
      <c r="E14465" s="35"/>
      <c r="J14465" s="41"/>
    </row>
    <row r="14466" spans="5:10" s="34" customFormat="1" x14ac:dyDescent="0.35">
      <c r="E14466" s="35"/>
      <c r="J14466" s="41"/>
    </row>
    <row r="14467" spans="5:10" s="34" customFormat="1" x14ac:dyDescent="0.35">
      <c r="E14467" s="35"/>
      <c r="J14467" s="41"/>
    </row>
    <row r="14468" spans="5:10" s="34" customFormat="1" x14ac:dyDescent="0.35">
      <c r="E14468" s="35"/>
      <c r="J14468" s="41"/>
    </row>
    <row r="14469" spans="5:10" s="34" customFormat="1" x14ac:dyDescent="0.35">
      <c r="E14469" s="35"/>
      <c r="J14469" s="41"/>
    </row>
    <row r="14470" spans="5:10" s="34" customFormat="1" x14ac:dyDescent="0.35">
      <c r="E14470" s="35"/>
      <c r="J14470" s="41"/>
    </row>
    <row r="14471" spans="5:10" s="34" customFormat="1" x14ac:dyDescent="0.35">
      <c r="E14471" s="35"/>
      <c r="J14471" s="41"/>
    </row>
    <row r="14472" spans="5:10" s="34" customFormat="1" x14ac:dyDescent="0.35">
      <c r="E14472" s="35"/>
      <c r="J14472" s="41"/>
    </row>
    <row r="14473" spans="5:10" s="34" customFormat="1" x14ac:dyDescent="0.35">
      <c r="E14473" s="35"/>
      <c r="J14473" s="41"/>
    </row>
    <row r="14474" spans="5:10" s="34" customFormat="1" x14ac:dyDescent="0.35">
      <c r="E14474" s="35"/>
      <c r="J14474" s="41"/>
    </row>
    <row r="14475" spans="5:10" s="34" customFormat="1" x14ac:dyDescent="0.35">
      <c r="E14475" s="35"/>
      <c r="J14475" s="41"/>
    </row>
    <row r="14476" spans="5:10" s="34" customFormat="1" x14ac:dyDescent="0.35">
      <c r="E14476" s="35"/>
      <c r="J14476" s="41"/>
    </row>
    <row r="14477" spans="5:10" s="34" customFormat="1" x14ac:dyDescent="0.35">
      <c r="E14477" s="35"/>
      <c r="J14477" s="41"/>
    </row>
    <row r="14478" spans="5:10" s="34" customFormat="1" x14ac:dyDescent="0.35">
      <c r="E14478" s="35"/>
      <c r="J14478" s="41"/>
    </row>
    <row r="14479" spans="5:10" s="34" customFormat="1" x14ac:dyDescent="0.35">
      <c r="E14479" s="35"/>
      <c r="J14479" s="41"/>
    </row>
    <row r="14480" spans="5:10" s="34" customFormat="1" x14ac:dyDescent="0.35">
      <c r="E14480" s="35"/>
      <c r="J14480" s="41"/>
    </row>
    <row r="14481" spans="5:10" s="34" customFormat="1" x14ac:dyDescent="0.35">
      <c r="E14481" s="35"/>
      <c r="J14481" s="41"/>
    </row>
    <row r="14482" spans="5:10" s="34" customFormat="1" x14ac:dyDescent="0.35">
      <c r="E14482" s="35"/>
      <c r="J14482" s="41"/>
    </row>
    <row r="14483" spans="5:10" s="34" customFormat="1" x14ac:dyDescent="0.35">
      <c r="E14483" s="35"/>
      <c r="J14483" s="41"/>
    </row>
    <row r="14484" spans="5:10" s="34" customFormat="1" x14ac:dyDescent="0.35">
      <c r="E14484" s="35"/>
      <c r="J14484" s="41"/>
    </row>
    <row r="14485" spans="5:10" s="34" customFormat="1" x14ac:dyDescent="0.35">
      <c r="E14485" s="35"/>
      <c r="J14485" s="41"/>
    </row>
    <row r="14486" spans="5:10" s="34" customFormat="1" x14ac:dyDescent="0.35">
      <c r="E14486" s="35"/>
      <c r="J14486" s="41"/>
    </row>
    <row r="14487" spans="5:10" s="34" customFormat="1" x14ac:dyDescent="0.35">
      <c r="E14487" s="35"/>
      <c r="J14487" s="41"/>
    </row>
    <row r="14488" spans="5:10" s="34" customFormat="1" x14ac:dyDescent="0.35">
      <c r="E14488" s="35"/>
      <c r="J14488" s="41"/>
    </row>
    <row r="14489" spans="5:10" s="34" customFormat="1" x14ac:dyDescent="0.35">
      <c r="E14489" s="35"/>
      <c r="J14489" s="41"/>
    </row>
    <row r="14490" spans="5:10" s="34" customFormat="1" x14ac:dyDescent="0.35">
      <c r="E14490" s="35"/>
      <c r="J14490" s="41"/>
    </row>
    <row r="14491" spans="5:10" s="34" customFormat="1" x14ac:dyDescent="0.35">
      <c r="E14491" s="35"/>
      <c r="J14491" s="41"/>
    </row>
    <row r="14492" spans="5:10" s="34" customFormat="1" x14ac:dyDescent="0.35">
      <c r="E14492" s="35"/>
      <c r="J14492" s="41"/>
    </row>
    <row r="14493" spans="5:10" s="34" customFormat="1" x14ac:dyDescent="0.35">
      <c r="E14493" s="35"/>
      <c r="J14493" s="41"/>
    </row>
    <row r="14494" spans="5:10" s="34" customFormat="1" x14ac:dyDescent="0.35">
      <c r="E14494" s="35"/>
      <c r="J14494" s="41"/>
    </row>
    <row r="14495" spans="5:10" s="34" customFormat="1" x14ac:dyDescent="0.35">
      <c r="E14495" s="35"/>
      <c r="J14495" s="41"/>
    </row>
    <row r="14496" spans="5:10" s="34" customFormat="1" x14ac:dyDescent="0.35">
      <c r="E14496" s="35"/>
      <c r="J14496" s="41"/>
    </row>
    <row r="14497" spans="5:10" s="34" customFormat="1" x14ac:dyDescent="0.35">
      <c r="E14497" s="35"/>
      <c r="J14497" s="41"/>
    </row>
    <row r="14498" spans="5:10" s="34" customFormat="1" x14ac:dyDescent="0.35">
      <c r="E14498" s="35"/>
      <c r="J14498" s="41"/>
    </row>
    <row r="14499" spans="5:10" s="34" customFormat="1" x14ac:dyDescent="0.35">
      <c r="E14499" s="35"/>
      <c r="J14499" s="41"/>
    </row>
    <row r="14500" spans="5:10" s="34" customFormat="1" x14ac:dyDescent="0.35">
      <c r="E14500" s="35"/>
      <c r="J14500" s="41"/>
    </row>
    <row r="14501" spans="5:10" s="34" customFormat="1" x14ac:dyDescent="0.35">
      <c r="E14501" s="35"/>
      <c r="J14501" s="41"/>
    </row>
    <row r="14502" spans="5:10" s="34" customFormat="1" x14ac:dyDescent="0.35">
      <c r="E14502" s="35"/>
      <c r="J14502" s="41"/>
    </row>
    <row r="14503" spans="5:10" s="34" customFormat="1" x14ac:dyDescent="0.35">
      <c r="E14503" s="35"/>
      <c r="J14503" s="41"/>
    </row>
    <row r="14504" spans="5:10" s="34" customFormat="1" x14ac:dyDescent="0.35">
      <c r="E14504" s="35"/>
      <c r="J14504" s="41"/>
    </row>
    <row r="14505" spans="5:10" s="34" customFormat="1" x14ac:dyDescent="0.35">
      <c r="E14505" s="35"/>
      <c r="J14505" s="41"/>
    </row>
    <row r="14506" spans="5:10" s="34" customFormat="1" x14ac:dyDescent="0.35">
      <c r="E14506" s="35"/>
      <c r="J14506" s="41"/>
    </row>
    <row r="14507" spans="5:10" s="34" customFormat="1" x14ac:dyDescent="0.35">
      <c r="E14507" s="35"/>
      <c r="J14507" s="41"/>
    </row>
    <row r="14508" spans="5:10" s="34" customFormat="1" x14ac:dyDescent="0.35">
      <c r="E14508" s="35"/>
      <c r="J14508" s="41"/>
    </row>
    <row r="14509" spans="5:10" s="34" customFormat="1" x14ac:dyDescent="0.35">
      <c r="E14509" s="35"/>
      <c r="J14509" s="41"/>
    </row>
    <row r="14510" spans="5:10" s="34" customFormat="1" x14ac:dyDescent="0.35">
      <c r="E14510" s="35"/>
      <c r="J14510" s="41"/>
    </row>
    <row r="14511" spans="5:10" s="34" customFormat="1" x14ac:dyDescent="0.35">
      <c r="E14511" s="35"/>
      <c r="J14511" s="41"/>
    </row>
    <row r="14512" spans="5:10" s="34" customFormat="1" x14ac:dyDescent="0.35">
      <c r="E14512" s="35"/>
      <c r="J14512" s="41"/>
    </row>
    <row r="14513" spans="5:10" s="34" customFormat="1" x14ac:dyDescent="0.35">
      <c r="E14513" s="35"/>
      <c r="J14513" s="41"/>
    </row>
    <row r="14514" spans="5:10" s="34" customFormat="1" x14ac:dyDescent="0.35">
      <c r="E14514" s="35"/>
      <c r="J14514" s="41"/>
    </row>
    <row r="14515" spans="5:10" s="34" customFormat="1" x14ac:dyDescent="0.35">
      <c r="E14515" s="35"/>
      <c r="J14515" s="41"/>
    </row>
    <row r="14516" spans="5:10" s="34" customFormat="1" x14ac:dyDescent="0.35">
      <c r="E14516" s="35"/>
      <c r="J14516" s="41"/>
    </row>
    <row r="14517" spans="5:10" s="34" customFormat="1" x14ac:dyDescent="0.35">
      <c r="E14517" s="35"/>
      <c r="J14517" s="41"/>
    </row>
    <row r="14518" spans="5:10" s="34" customFormat="1" x14ac:dyDescent="0.35">
      <c r="E14518" s="35"/>
      <c r="J14518" s="41"/>
    </row>
    <row r="14519" spans="5:10" s="34" customFormat="1" x14ac:dyDescent="0.35">
      <c r="E14519" s="35"/>
      <c r="J14519" s="41"/>
    </row>
    <row r="14520" spans="5:10" s="34" customFormat="1" x14ac:dyDescent="0.35">
      <c r="E14520" s="35"/>
      <c r="J14520" s="41"/>
    </row>
    <row r="14521" spans="5:10" s="34" customFormat="1" x14ac:dyDescent="0.35">
      <c r="E14521" s="35"/>
      <c r="J14521" s="41"/>
    </row>
    <row r="14522" spans="5:10" s="34" customFormat="1" x14ac:dyDescent="0.35">
      <c r="E14522" s="35"/>
      <c r="J14522" s="41"/>
    </row>
    <row r="14523" spans="5:10" s="34" customFormat="1" x14ac:dyDescent="0.35">
      <c r="E14523" s="35"/>
      <c r="J14523" s="41"/>
    </row>
    <row r="14524" spans="5:10" s="34" customFormat="1" x14ac:dyDescent="0.35">
      <c r="E14524" s="35"/>
      <c r="J14524" s="41"/>
    </row>
    <row r="14525" spans="5:10" s="34" customFormat="1" x14ac:dyDescent="0.35">
      <c r="E14525" s="35"/>
      <c r="J14525" s="41"/>
    </row>
    <row r="14526" spans="5:10" s="34" customFormat="1" x14ac:dyDescent="0.35">
      <c r="E14526" s="35"/>
      <c r="J14526" s="41"/>
    </row>
    <row r="14527" spans="5:10" s="34" customFormat="1" x14ac:dyDescent="0.35">
      <c r="E14527" s="35"/>
      <c r="J14527" s="41"/>
    </row>
    <row r="14528" spans="5:10" s="34" customFormat="1" x14ac:dyDescent="0.35">
      <c r="E14528" s="35"/>
      <c r="J14528" s="41"/>
    </row>
    <row r="14529" spans="5:10" s="34" customFormat="1" x14ac:dyDescent="0.35">
      <c r="E14529" s="35"/>
      <c r="J14529" s="41"/>
    </row>
    <row r="14530" spans="5:10" s="34" customFormat="1" x14ac:dyDescent="0.35">
      <c r="E14530" s="35"/>
      <c r="J14530" s="41"/>
    </row>
    <row r="14531" spans="5:10" s="34" customFormat="1" x14ac:dyDescent="0.35">
      <c r="E14531" s="35"/>
      <c r="J14531" s="41"/>
    </row>
    <row r="14532" spans="5:10" s="34" customFormat="1" x14ac:dyDescent="0.35">
      <c r="E14532" s="35"/>
      <c r="J14532" s="41"/>
    </row>
    <row r="14533" spans="5:10" s="34" customFormat="1" x14ac:dyDescent="0.35">
      <c r="E14533" s="35"/>
      <c r="J14533" s="41"/>
    </row>
    <row r="14534" spans="5:10" s="34" customFormat="1" x14ac:dyDescent="0.35">
      <c r="E14534" s="35"/>
      <c r="J14534" s="41"/>
    </row>
    <row r="14535" spans="5:10" s="34" customFormat="1" x14ac:dyDescent="0.35">
      <c r="E14535" s="35"/>
      <c r="J14535" s="41"/>
    </row>
    <row r="14536" spans="5:10" s="34" customFormat="1" x14ac:dyDescent="0.35">
      <c r="E14536" s="35"/>
      <c r="J14536" s="41"/>
    </row>
    <row r="14537" spans="5:10" s="34" customFormat="1" x14ac:dyDescent="0.35">
      <c r="E14537" s="35"/>
      <c r="J14537" s="41"/>
    </row>
    <row r="14538" spans="5:10" s="34" customFormat="1" x14ac:dyDescent="0.35">
      <c r="E14538" s="35"/>
      <c r="J14538" s="41"/>
    </row>
    <row r="14539" spans="5:10" s="34" customFormat="1" x14ac:dyDescent="0.35">
      <c r="E14539" s="35"/>
      <c r="J14539" s="41"/>
    </row>
    <row r="14540" spans="5:10" s="34" customFormat="1" x14ac:dyDescent="0.35">
      <c r="E14540" s="35"/>
      <c r="J14540" s="41"/>
    </row>
    <row r="14541" spans="5:10" s="34" customFormat="1" x14ac:dyDescent="0.35">
      <c r="E14541" s="35"/>
      <c r="J14541" s="41"/>
    </row>
    <row r="14542" spans="5:10" s="34" customFormat="1" x14ac:dyDescent="0.35">
      <c r="E14542" s="35"/>
      <c r="J14542" s="41"/>
    </row>
    <row r="14543" spans="5:10" s="34" customFormat="1" x14ac:dyDescent="0.35">
      <c r="E14543" s="35"/>
      <c r="J14543" s="41"/>
    </row>
    <row r="14544" spans="5:10" s="34" customFormat="1" x14ac:dyDescent="0.35">
      <c r="E14544" s="35"/>
      <c r="J14544" s="41"/>
    </row>
    <row r="14545" spans="5:10" s="34" customFormat="1" x14ac:dyDescent="0.35">
      <c r="E14545" s="35"/>
      <c r="J14545" s="41"/>
    </row>
    <row r="14546" spans="5:10" s="34" customFormat="1" x14ac:dyDescent="0.35">
      <c r="E14546" s="35"/>
      <c r="J14546" s="41"/>
    </row>
    <row r="14547" spans="5:10" s="34" customFormat="1" x14ac:dyDescent="0.35">
      <c r="E14547" s="35"/>
      <c r="J14547" s="41"/>
    </row>
    <row r="14548" spans="5:10" s="34" customFormat="1" x14ac:dyDescent="0.35">
      <c r="E14548" s="35"/>
      <c r="J14548" s="41"/>
    </row>
    <row r="14549" spans="5:10" s="34" customFormat="1" x14ac:dyDescent="0.35">
      <c r="E14549" s="35"/>
      <c r="J14549" s="41"/>
    </row>
    <row r="14550" spans="5:10" s="34" customFormat="1" x14ac:dyDescent="0.35">
      <c r="E14550" s="35"/>
      <c r="J14550" s="41"/>
    </row>
    <row r="14551" spans="5:10" s="34" customFormat="1" x14ac:dyDescent="0.35">
      <c r="E14551" s="35"/>
      <c r="J14551" s="41"/>
    </row>
    <row r="14552" spans="5:10" s="34" customFormat="1" x14ac:dyDescent="0.35">
      <c r="E14552" s="35"/>
      <c r="J14552" s="41"/>
    </row>
    <row r="14553" spans="5:10" s="34" customFormat="1" x14ac:dyDescent="0.35">
      <c r="E14553" s="35"/>
      <c r="J14553" s="41"/>
    </row>
    <row r="14554" spans="5:10" s="34" customFormat="1" x14ac:dyDescent="0.35">
      <c r="E14554" s="35"/>
      <c r="J14554" s="41"/>
    </row>
    <row r="14555" spans="5:10" s="34" customFormat="1" x14ac:dyDescent="0.35">
      <c r="E14555" s="35"/>
      <c r="J14555" s="41"/>
    </row>
    <row r="14556" spans="5:10" s="34" customFormat="1" x14ac:dyDescent="0.35">
      <c r="E14556" s="35"/>
      <c r="J14556" s="41"/>
    </row>
    <row r="14557" spans="5:10" s="34" customFormat="1" x14ac:dyDescent="0.35">
      <c r="E14557" s="35"/>
      <c r="J14557" s="41"/>
    </row>
    <row r="14558" spans="5:10" s="34" customFormat="1" x14ac:dyDescent="0.35">
      <c r="E14558" s="35"/>
      <c r="J14558" s="41"/>
    </row>
    <row r="14559" spans="5:10" s="34" customFormat="1" x14ac:dyDescent="0.35">
      <c r="E14559" s="35"/>
      <c r="J14559" s="41"/>
    </row>
    <row r="14560" spans="5:10" s="34" customFormat="1" x14ac:dyDescent="0.35">
      <c r="E14560" s="35"/>
      <c r="J14560" s="41"/>
    </row>
    <row r="14561" spans="5:10" s="34" customFormat="1" x14ac:dyDescent="0.35">
      <c r="E14561" s="35"/>
      <c r="J14561" s="41"/>
    </row>
    <row r="14562" spans="5:10" s="34" customFormat="1" x14ac:dyDescent="0.35">
      <c r="E14562" s="35"/>
      <c r="J14562" s="41"/>
    </row>
    <row r="14563" spans="5:10" s="34" customFormat="1" x14ac:dyDescent="0.35">
      <c r="E14563" s="35"/>
      <c r="J14563" s="41"/>
    </row>
    <row r="14564" spans="5:10" s="34" customFormat="1" x14ac:dyDescent="0.35">
      <c r="E14564" s="35"/>
      <c r="J14564" s="41"/>
    </row>
    <row r="14565" spans="5:10" s="34" customFormat="1" x14ac:dyDescent="0.35">
      <c r="E14565" s="35"/>
      <c r="J14565" s="41"/>
    </row>
    <row r="14566" spans="5:10" s="34" customFormat="1" x14ac:dyDescent="0.35">
      <c r="E14566" s="35"/>
      <c r="J14566" s="41"/>
    </row>
    <row r="14567" spans="5:10" s="34" customFormat="1" x14ac:dyDescent="0.35">
      <c r="E14567" s="35"/>
      <c r="J14567" s="41"/>
    </row>
    <row r="14568" spans="5:10" s="34" customFormat="1" x14ac:dyDescent="0.35">
      <c r="E14568" s="35"/>
      <c r="J14568" s="41"/>
    </row>
    <row r="14569" spans="5:10" s="34" customFormat="1" x14ac:dyDescent="0.35">
      <c r="E14569" s="35"/>
      <c r="J14569" s="41"/>
    </row>
    <row r="14570" spans="5:10" s="34" customFormat="1" x14ac:dyDescent="0.35">
      <c r="E14570" s="35"/>
      <c r="J14570" s="41"/>
    </row>
    <row r="14571" spans="5:10" s="34" customFormat="1" x14ac:dyDescent="0.35">
      <c r="E14571" s="35"/>
      <c r="J14571" s="41"/>
    </row>
    <row r="14572" spans="5:10" s="34" customFormat="1" x14ac:dyDescent="0.35">
      <c r="E14572" s="35"/>
      <c r="J14572" s="41"/>
    </row>
    <row r="14573" spans="5:10" s="34" customFormat="1" x14ac:dyDescent="0.35">
      <c r="E14573" s="35"/>
      <c r="J14573" s="41"/>
    </row>
    <row r="14574" spans="5:10" s="34" customFormat="1" x14ac:dyDescent="0.35">
      <c r="E14574" s="35"/>
      <c r="J14574" s="41"/>
    </row>
    <row r="14575" spans="5:10" s="34" customFormat="1" x14ac:dyDescent="0.35">
      <c r="E14575" s="35"/>
      <c r="J14575" s="41"/>
    </row>
    <row r="14576" spans="5:10" s="34" customFormat="1" x14ac:dyDescent="0.35">
      <c r="E14576" s="35"/>
      <c r="J14576" s="41"/>
    </row>
    <row r="14577" spans="5:10" s="34" customFormat="1" x14ac:dyDescent="0.35">
      <c r="E14577" s="35"/>
      <c r="J14577" s="41"/>
    </row>
    <row r="14578" spans="5:10" s="34" customFormat="1" x14ac:dyDescent="0.35">
      <c r="E14578" s="35"/>
      <c r="J14578" s="41"/>
    </row>
    <row r="14579" spans="5:10" s="34" customFormat="1" x14ac:dyDescent="0.35">
      <c r="E14579" s="35"/>
      <c r="J14579" s="41"/>
    </row>
    <row r="14580" spans="5:10" s="34" customFormat="1" x14ac:dyDescent="0.35">
      <c r="E14580" s="35"/>
      <c r="J14580" s="41"/>
    </row>
    <row r="14581" spans="5:10" s="34" customFormat="1" x14ac:dyDescent="0.35">
      <c r="E14581" s="35"/>
      <c r="J14581" s="41"/>
    </row>
    <row r="14582" spans="5:10" s="34" customFormat="1" x14ac:dyDescent="0.35">
      <c r="E14582" s="35"/>
      <c r="J14582" s="41"/>
    </row>
    <row r="14583" spans="5:10" s="34" customFormat="1" x14ac:dyDescent="0.35">
      <c r="E14583" s="35"/>
      <c r="J14583" s="41"/>
    </row>
    <row r="14584" spans="5:10" s="34" customFormat="1" x14ac:dyDescent="0.35">
      <c r="E14584" s="35"/>
      <c r="J14584" s="41"/>
    </row>
    <row r="14585" spans="5:10" s="34" customFormat="1" x14ac:dyDescent="0.35">
      <c r="E14585" s="35"/>
      <c r="J14585" s="41"/>
    </row>
    <row r="14586" spans="5:10" s="34" customFormat="1" x14ac:dyDescent="0.35">
      <c r="E14586" s="35"/>
      <c r="J14586" s="41"/>
    </row>
    <row r="14587" spans="5:10" s="34" customFormat="1" x14ac:dyDescent="0.35">
      <c r="E14587" s="35"/>
      <c r="J14587" s="41"/>
    </row>
    <row r="14588" spans="5:10" s="34" customFormat="1" x14ac:dyDescent="0.35">
      <c r="E14588" s="35"/>
      <c r="J14588" s="41"/>
    </row>
    <row r="14589" spans="5:10" s="34" customFormat="1" x14ac:dyDescent="0.35">
      <c r="E14589" s="35"/>
      <c r="J14589" s="41"/>
    </row>
    <row r="14590" spans="5:10" s="34" customFormat="1" x14ac:dyDescent="0.35">
      <c r="E14590" s="35"/>
      <c r="J14590" s="41"/>
    </row>
    <row r="14591" spans="5:10" s="34" customFormat="1" x14ac:dyDescent="0.35">
      <c r="E14591" s="35"/>
      <c r="J14591" s="41"/>
    </row>
    <row r="14592" spans="5:10" s="34" customFormat="1" x14ac:dyDescent="0.35">
      <c r="E14592" s="35"/>
      <c r="J14592" s="41"/>
    </row>
    <row r="14593" spans="5:10" s="34" customFormat="1" x14ac:dyDescent="0.35">
      <c r="E14593" s="35"/>
      <c r="J14593" s="41"/>
    </row>
    <row r="14594" spans="5:10" s="34" customFormat="1" x14ac:dyDescent="0.35">
      <c r="E14594" s="35"/>
      <c r="J14594" s="41"/>
    </row>
    <row r="14595" spans="5:10" s="34" customFormat="1" x14ac:dyDescent="0.35">
      <c r="E14595" s="35"/>
      <c r="J14595" s="41"/>
    </row>
    <row r="14596" spans="5:10" s="34" customFormat="1" x14ac:dyDescent="0.35">
      <c r="E14596" s="35"/>
      <c r="J14596" s="41"/>
    </row>
    <row r="14597" spans="5:10" s="34" customFormat="1" x14ac:dyDescent="0.35">
      <c r="E14597" s="35"/>
      <c r="J14597" s="41"/>
    </row>
    <row r="14598" spans="5:10" s="34" customFormat="1" x14ac:dyDescent="0.35">
      <c r="E14598" s="35"/>
      <c r="J14598" s="41"/>
    </row>
    <row r="14599" spans="5:10" s="34" customFormat="1" x14ac:dyDescent="0.35">
      <c r="E14599" s="35"/>
      <c r="J14599" s="41"/>
    </row>
    <row r="14600" spans="5:10" s="34" customFormat="1" x14ac:dyDescent="0.35">
      <c r="E14600" s="35"/>
      <c r="J14600" s="41"/>
    </row>
    <row r="14601" spans="5:10" s="34" customFormat="1" x14ac:dyDescent="0.35">
      <c r="E14601" s="35"/>
      <c r="J14601" s="41"/>
    </row>
    <row r="14602" spans="5:10" s="34" customFormat="1" x14ac:dyDescent="0.35">
      <c r="E14602" s="35"/>
      <c r="J14602" s="41"/>
    </row>
    <row r="14603" spans="5:10" s="34" customFormat="1" x14ac:dyDescent="0.35">
      <c r="E14603" s="35"/>
      <c r="J14603" s="41"/>
    </row>
    <row r="14604" spans="5:10" s="34" customFormat="1" x14ac:dyDescent="0.35">
      <c r="E14604" s="35"/>
      <c r="J14604" s="41"/>
    </row>
    <row r="14605" spans="5:10" s="34" customFormat="1" x14ac:dyDescent="0.35">
      <c r="E14605" s="35"/>
      <c r="J14605" s="41"/>
    </row>
    <row r="14606" spans="5:10" s="34" customFormat="1" x14ac:dyDescent="0.35">
      <c r="E14606" s="35"/>
      <c r="J14606" s="41"/>
    </row>
    <row r="14607" spans="5:10" s="34" customFormat="1" x14ac:dyDescent="0.35">
      <c r="E14607" s="35"/>
      <c r="J14607" s="41"/>
    </row>
    <row r="14608" spans="5:10" s="34" customFormat="1" x14ac:dyDescent="0.35">
      <c r="E14608" s="35"/>
      <c r="J14608" s="41"/>
    </row>
    <row r="14609" spans="5:10" s="34" customFormat="1" x14ac:dyDescent="0.35">
      <c r="E14609" s="35"/>
      <c r="J14609" s="41"/>
    </row>
    <row r="14610" spans="5:10" s="34" customFormat="1" x14ac:dyDescent="0.35">
      <c r="E14610" s="35"/>
      <c r="J14610" s="41"/>
    </row>
    <row r="14611" spans="5:10" s="34" customFormat="1" x14ac:dyDescent="0.35">
      <c r="E14611" s="35"/>
      <c r="J14611" s="41"/>
    </row>
    <row r="14612" spans="5:10" s="34" customFormat="1" x14ac:dyDescent="0.35">
      <c r="E14612" s="35"/>
      <c r="J14612" s="41"/>
    </row>
    <row r="14613" spans="5:10" s="34" customFormat="1" x14ac:dyDescent="0.35">
      <c r="E14613" s="35"/>
      <c r="J14613" s="41"/>
    </row>
    <row r="14614" spans="5:10" s="34" customFormat="1" x14ac:dyDescent="0.35">
      <c r="E14614" s="35"/>
      <c r="J14614" s="41"/>
    </row>
    <row r="14615" spans="5:10" s="34" customFormat="1" x14ac:dyDescent="0.35">
      <c r="E14615" s="35"/>
      <c r="J14615" s="41"/>
    </row>
    <row r="14616" spans="5:10" s="34" customFormat="1" x14ac:dyDescent="0.35">
      <c r="E14616" s="35"/>
      <c r="J14616" s="41"/>
    </row>
    <row r="14617" spans="5:10" s="34" customFormat="1" x14ac:dyDescent="0.35">
      <c r="E14617" s="35"/>
      <c r="J14617" s="41"/>
    </row>
    <row r="14618" spans="5:10" s="34" customFormat="1" x14ac:dyDescent="0.35">
      <c r="E14618" s="35"/>
      <c r="J14618" s="41"/>
    </row>
    <row r="14619" spans="5:10" s="34" customFormat="1" x14ac:dyDescent="0.35">
      <c r="E14619" s="35"/>
      <c r="J14619" s="41"/>
    </row>
    <row r="14620" spans="5:10" s="34" customFormat="1" x14ac:dyDescent="0.35">
      <c r="E14620" s="35"/>
      <c r="J14620" s="41"/>
    </row>
    <row r="14621" spans="5:10" s="34" customFormat="1" x14ac:dyDescent="0.35">
      <c r="E14621" s="35"/>
      <c r="J14621" s="41"/>
    </row>
    <row r="14622" spans="5:10" s="34" customFormat="1" x14ac:dyDescent="0.35">
      <c r="E14622" s="35"/>
      <c r="J14622" s="41"/>
    </row>
    <row r="14623" spans="5:10" s="34" customFormat="1" x14ac:dyDescent="0.35">
      <c r="E14623" s="35"/>
      <c r="J14623" s="41"/>
    </row>
    <row r="14624" spans="5:10" s="34" customFormat="1" x14ac:dyDescent="0.35">
      <c r="E14624" s="35"/>
      <c r="J14624" s="41"/>
    </row>
    <row r="14625" spans="5:10" s="34" customFormat="1" x14ac:dyDescent="0.35">
      <c r="E14625" s="35"/>
      <c r="J14625" s="41"/>
    </row>
    <row r="14626" spans="5:10" s="34" customFormat="1" x14ac:dyDescent="0.35">
      <c r="E14626" s="35"/>
      <c r="J14626" s="41"/>
    </row>
    <row r="14627" spans="5:10" s="34" customFormat="1" x14ac:dyDescent="0.35">
      <c r="E14627" s="35"/>
      <c r="J14627" s="41"/>
    </row>
    <row r="14628" spans="5:10" s="34" customFormat="1" x14ac:dyDescent="0.35">
      <c r="E14628" s="35"/>
      <c r="J14628" s="41"/>
    </row>
    <row r="14629" spans="5:10" s="34" customFormat="1" x14ac:dyDescent="0.35">
      <c r="E14629" s="35"/>
      <c r="J14629" s="41"/>
    </row>
    <row r="14630" spans="5:10" s="34" customFormat="1" x14ac:dyDescent="0.35">
      <c r="E14630" s="35"/>
      <c r="J14630" s="41"/>
    </row>
    <row r="14631" spans="5:10" s="34" customFormat="1" x14ac:dyDescent="0.35">
      <c r="E14631" s="35"/>
      <c r="J14631" s="41"/>
    </row>
    <row r="14632" spans="5:10" s="34" customFormat="1" x14ac:dyDescent="0.35">
      <c r="E14632" s="35"/>
      <c r="J14632" s="41"/>
    </row>
    <row r="14633" spans="5:10" s="34" customFormat="1" x14ac:dyDescent="0.35">
      <c r="E14633" s="35"/>
      <c r="J14633" s="41"/>
    </row>
    <row r="14634" spans="5:10" s="34" customFormat="1" x14ac:dyDescent="0.35">
      <c r="E14634" s="35"/>
      <c r="J14634" s="41"/>
    </row>
    <row r="14635" spans="5:10" s="34" customFormat="1" x14ac:dyDescent="0.35">
      <c r="E14635" s="35"/>
      <c r="J14635" s="41"/>
    </row>
    <row r="14636" spans="5:10" s="34" customFormat="1" x14ac:dyDescent="0.35">
      <c r="E14636" s="35"/>
      <c r="J14636" s="41"/>
    </row>
    <row r="14637" spans="5:10" s="34" customFormat="1" x14ac:dyDescent="0.35">
      <c r="E14637" s="35"/>
      <c r="J14637" s="41"/>
    </row>
    <row r="14638" spans="5:10" s="34" customFormat="1" x14ac:dyDescent="0.35">
      <c r="E14638" s="35"/>
      <c r="J14638" s="41"/>
    </row>
    <row r="14639" spans="5:10" s="34" customFormat="1" x14ac:dyDescent="0.35">
      <c r="E14639" s="35"/>
      <c r="J14639" s="41"/>
    </row>
    <row r="14640" spans="5:10" s="34" customFormat="1" x14ac:dyDescent="0.35">
      <c r="E14640" s="35"/>
      <c r="J14640" s="41"/>
    </row>
    <row r="14641" spans="5:10" s="34" customFormat="1" x14ac:dyDescent="0.35">
      <c r="E14641" s="35"/>
      <c r="J14641" s="41"/>
    </row>
    <row r="14642" spans="5:10" s="34" customFormat="1" x14ac:dyDescent="0.35">
      <c r="E14642" s="35"/>
      <c r="J14642" s="41"/>
    </row>
    <row r="14643" spans="5:10" s="34" customFormat="1" x14ac:dyDescent="0.35">
      <c r="E14643" s="35"/>
      <c r="J14643" s="41"/>
    </row>
    <row r="14644" spans="5:10" s="34" customFormat="1" x14ac:dyDescent="0.35">
      <c r="E14644" s="35"/>
      <c r="J14644" s="41"/>
    </row>
    <row r="14645" spans="5:10" s="34" customFormat="1" x14ac:dyDescent="0.35">
      <c r="E14645" s="35"/>
      <c r="J14645" s="41"/>
    </row>
    <row r="14646" spans="5:10" s="34" customFormat="1" x14ac:dyDescent="0.35">
      <c r="E14646" s="35"/>
      <c r="J14646" s="41"/>
    </row>
    <row r="14647" spans="5:10" s="34" customFormat="1" x14ac:dyDescent="0.35">
      <c r="E14647" s="35"/>
      <c r="J14647" s="41"/>
    </row>
    <row r="14648" spans="5:10" s="34" customFormat="1" x14ac:dyDescent="0.35">
      <c r="E14648" s="35"/>
      <c r="J14648" s="41"/>
    </row>
    <row r="14649" spans="5:10" s="34" customFormat="1" x14ac:dyDescent="0.35">
      <c r="E14649" s="35"/>
      <c r="J14649" s="41"/>
    </row>
    <row r="14650" spans="5:10" s="34" customFormat="1" x14ac:dyDescent="0.35">
      <c r="E14650" s="35"/>
      <c r="J14650" s="41"/>
    </row>
    <row r="14651" spans="5:10" s="34" customFormat="1" x14ac:dyDescent="0.35">
      <c r="E14651" s="35"/>
      <c r="J14651" s="41"/>
    </row>
    <row r="14652" spans="5:10" s="34" customFormat="1" x14ac:dyDescent="0.35">
      <c r="E14652" s="35"/>
      <c r="J14652" s="41"/>
    </row>
    <row r="14653" spans="5:10" s="34" customFormat="1" x14ac:dyDescent="0.35">
      <c r="E14653" s="35"/>
      <c r="J14653" s="41"/>
    </row>
    <row r="14654" spans="5:10" s="34" customFormat="1" x14ac:dyDescent="0.35">
      <c r="E14654" s="35"/>
      <c r="J14654" s="41"/>
    </row>
    <row r="14655" spans="5:10" s="34" customFormat="1" x14ac:dyDescent="0.35">
      <c r="E14655" s="35"/>
      <c r="J14655" s="41"/>
    </row>
    <row r="14656" spans="5:10" s="34" customFormat="1" x14ac:dyDescent="0.35">
      <c r="E14656" s="35"/>
      <c r="J14656" s="41"/>
    </row>
    <row r="14657" spans="5:10" s="34" customFormat="1" x14ac:dyDescent="0.35">
      <c r="E14657" s="35"/>
      <c r="J14657" s="41"/>
    </row>
    <row r="14658" spans="5:10" s="34" customFormat="1" x14ac:dyDescent="0.35">
      <c r="E14658" s="35"/>
      <c r="J14658" s="41"/>
    </row>
    <row r="14659" spans="5:10" s="34" customFormat="1" x14ac:dyDescent="0.35">
      <c r="E14659" s="35"/>
      <c r="J14659" s="41"/>
    </row>
    <row r="14660" spans="5:10" s="34" customFormat="1" x14ac:dyDescent="0.35">
      <c r="E14660" s="35"/>
      <c r="J14660" s="41"/>
    </row>
    <row r="14661" spans="5:10" s="34" customFormat="1" x14ac:dyDescent="0.35">
      <c r="E14661" s="35"/>
      <c r="J14661" s="41"/>
    </row>
    <row r="14662" spans="5:10" s="34" customFormat="1" x14ac:dyDescent="0.35">
      <c r="E14662" s="35"/>
      <c r="J14662" s="41"/>
    </row>
    <row r="14663" spans="5:10" s="34" customFormat="1" x14ac:dyDescent="0.35">
      <c r="E14663" s="35"/>
      <c r="J14663" s="41"/>
    </row>
    <row r="14664" spans="5:10" s="34" customFormat="1" x14ac:dyDescent="0.35">
      <c r="E14664" s="35"/>
      <c r="J14664" s="41"/>
    </row>
    <row r="14665" spans="5:10" s="34" customFormat="1" x14ac:dyDescent="0.35">
      <c r="E14665" s="35"/>
      <c r="J14665" s="41"/>
    </row>
    <row r="14666" spans="5:10" s="34" customFormat="1" x14ac:dyDescent="0.35">
      <c r="E14666" s="35"/>
      <c r="J14666" s="41"/>
    </row>
    <row r="14667" spans="5:10" s="34" customFormat="1" x14ac:dyDescent="0.35">
      <c r="E14667" s="35"/>
      <c r="J14667" s="41"/>
    </row>
    <row r="14668" spans="5:10" s="34" customFormat="1" x14ac:dyDescent="0.35">
      <c r="E14668" s="35"/>
      <c r="J14668" s="41"/>
    </row>
    <row r="14669" spans="5:10" s="34" customFormat="1" x14ac:dyDescent="0.35">
      <c r="E14669" s="35"/>
      <c r="J14669" s="41"/>
    </row>
    <row r="14670" spans="5:10" s="34" customFormat="1" x14ac:dyDescent="0.35">
      <c r="E14670" s="35"/>
      <c r="J14670" s="41"/>
    </row>
    <row r="14671" spans="5:10" s="34" customFormat="1" x14ac:dyDescent="0.35">
      <c r="E14671" s="35"/>
      <c r="J14671" s="41"/>
    </row>
    <row r="14672" spans="5:10" s="34" customFormat="1" x14ac:dyDescent="0.35">
      <c r="E14672" s="35"/>
      <c r="J14672" s="41"/>
    </row>
    <row r="14673" spans="5:10" s="34" customFormat="1" x14ac:dyDescent="0.35">
      <c r="E14673" s="35"/>
      <c r="J14673" s="41"/>
    </row>
    <row r="14674" spans="5:10" s="34" customFormat="1" x14ac:dyDescent="0.35">
      <c r="E14674" s="35"/>
      <c r="J14674" s="41"/>
    </row>
    <row r="14675" spans="5:10" s="34" customFormat="1" x14ac:dyDescent="0.35">
      <c r="E14675" s="35"/>
      <c r="J14675" s="41"/>
    </row>
    <row r="14676" spans="5:10" s="34" customFormat="1" x14ac:dyDescent="0.35">
      <c r="E14676" s="35"/>
      <c r="J14676" s="41"/>
    </row>
    <row r="14677" spans="5:10" s="34" customFormat="1" x14ac:dyDescent="0.35">
      <c r="E14677" s="35"/>
      <c r="J14677" s="41"/>
    </row>
    <row r="14678" spans="5:10" s="34" customFormat="1" x14ac:dyDescent="0.35">
      <c r="E14678" s="35"/>
      <c r="J14678" s="41"/>
    </row>
    <row r="14679" spans="5:10" s="34" customFormat="1" x14ac:dyDescent="0.35">
      <c r="E14679" s="35"/>
      <c r="J14679" s="41"/>
    </row>
    <row r="14680" spans="5:10" s="34" customFormat="1" x14ac:dyDescent="0.35">
      <c r="E14680" s="35"/>
      <c r="J14680" s="41"/>
    </row>
    <row r="14681" spans="5:10" s="34" customFormat="1" x14ac:dyDescent="0.35">
      <c r="E14681" s="35"/>
      <c r="J14681" s="41"/>
    </row>
    <row r="14682" spans="5:10" s="34" customFormat="1" x14ac:dyDescent="0.35">
      <c r="E14682" s="35"/>
      <c r="J14682" s="41"/>
    </row>
    <row r="14683" spans="5:10" s="34" customFormat="1" x14ac:dyDescent="0.35">
      <c r="E14683" s="35"/>
      <c r="J14683" s="41"/>
    </row>
    <row r="14684" spans="5:10" s="34" customFormat="1" x14ac:dyDescent="0.35">
      <c r="E14684" s="35"/>
      <c r="J14684" s="41"/>
    </row>
    <row r="14685" spans="5:10" s="34" customFormat="1" x14ac:dyDescent="0.35">
      <c r="E14685" s="35"/>
      <c r="J14685" s="41"/>
    </row>
    <row r="14686" spans="5:10" s="34" customFormat="1" x14ac:dyDescent="0.35">
      <c r="E14686" s="35"/>
      <c r="J14686" s="41"/>
    </row>
    <row r="14687" spans="5:10" s="34" customFormat="1" x14ac:dyDescent="0.35">
      <c r="E14687" s="35"/>
      <c r="J14687" s="41"/>
    </row>
    <row r="14688" spans="5:10" s="34" customFormat="1" x14ac:dyDescent="0.35">
      <c r="E14688" s="35"/>
      <c r="J14688" s="41"/>
    </row>
    <row r="14689" spans="5:10" s="34" customFormat="1" x14ac:dyDescent="0.35">
      <c r="E14689" s="35"/>
      <c r="J14689" s="41"/>
    </row>
    <row r="14690" spans="5:10" s="34" customFormat="1" x14ac:dyDescent="0.35">
      <c r="E14690" s="35"/>
      <c r="J14690" s="41"/>
    </row>
    <row r="14691" spans="5:10" s="34" customFormat="1" x14ac:dyDescent="0.35">
      <c r="E14691" s="35"/>
      <c r="J14691" s="41"/>
    </row>
    <row r="14692" spans="5:10" s="34" customFormat="1" x14ac:dyDescent="0.35">
      <c r="E14692" s="35"/>
      <c r="J14692" s="41"/>
    </row>
    <row r="14693" spans="5:10" s="34" customFormat="1" x14ac:dyDescent="0.35">
      <c r="E14693" s="35"/>
      <c r="J14693" s="41"/>
    </row>
    <row r="14694" spans="5:10" s="34" customFormat="1" x14ac:dyDescent="0.35">
      <c r="E14694" s="35"/>
      <c r="J14694" s="41"/>
    </row>
    <row r="14695" spans="5:10" s="34" customFormat="1" x14ac:dyDescent="0.35">
      <c r="E14695" s="35"/>
      <c r="J14695" s="41"/>
    </row>
    <row r="14696" spans="5:10" s="34" customFormat="1" x14ac:dyDescent="0.35">
      <c r="E14696" s="35"/>
      <c r="J14696" s="41"/>
    </row>
    <row r="14697" spans="5:10" s="34" customFormat="1" x14ac:dyDescent="0.35">
      <c r="E14697" s="35"/>
      <c r="J14697" s="41"/>
    </row>
    <row r="14698" spans="5:10" s="34" customFormat="1" x14ac:dyDescent="0.35">
      <c r="E14698" s="35"/>
      <c r="J14698" s="41"/>
    </row>
    <row r="14699" spans="5:10" s="34" customFormat="1" x14ac:dyDescent="0.35">
      <c r="E14699" s="35"/>
      <c r="J14699" s="41"/>
    </row>
    <row r="14700" spans="5:10" s="34" customFormat="1" x14ac:dyDescent="0.35">
      <c r="E14700" s="35"/>
      <c r="J14700" s="41"/>
    </row>
    <row r="14701" spans="5:10" s="34" customFormat="1" x14ac:dyDescent="0.35">
      <c r="E14701" s="35"/>
      <c r="J14701" s="41"/>
    </row>
    <row r="14702" spans="5:10" s="34" customFormat="1" x14ac:dyDescent="0.35">
      <c r="E14702" s="35"/>
      <c r="J14702" s="41"/>
    </row>
    <row r="14703" spans="5:10" s="34" customFormat="1" x14ac:dyDescent="0.35">
      <c r="E14703" s="35"/>
      <c r="J14703" s="41"/>
    </row>
    <row r="14704" spans="5:10" s="34" customFormat="1" x14ac:dyDescent="0.35">
      <c r="E14704" s="35"/>
      <c r="J14704" s="41"/>
    </row>
    <row r="14705" spans="5:10" s="34" customFormat="1" x14ac:dyDescent="0.35">
      <c r="E14705" s="35"/>
      <c r="J14705" s="41"/>
    </row>
    <row r="14706" spans="5:10" s="34" customFormat="1" x14ac:dyDescent="0.35">
      <c r="E14706" s="35"/>
      <c r="J14706" s="41"/>
    </row>
    <row r="14707" spans="5:10" s="34" customFormat="1" x14ac:dyDescent="0.35">
      <c r="E14707" s="35"/>
      <c r="J14707" s="41"/>
    </row>
    <row r="14708" spans="5:10" s="34" customFormat="1" x14ac:dyDescent="0.35">
      <c r="E14708" s="35"/>
      <c r="J14708" s="41"/>
    </row>
    <row r="14709" spans="5:10" s="34" customFormat="1" x14ac:dyDescent="0.35">
      <c r="E14709" s="35"/>
      <c r="J14709" s="41"/>
    </row>
    <row r="14710" spans="5:10" s="34" customFormat="1" x14ac:dyDescent="0.35">
      <c r="E14710" s="35"/>
      <c r="J14710" s="41"/>
    </row>
    <row r="14711" spans="5:10" s="34" customFormat="1" x14ac:dyDescent="0.35">
      <c r="E14711" s="35"/>
      <c r="J14711" s="41"/>
    </row>
    <row r="14712" spans="5:10" s="34" customFormat="1" x14ac:dyDescent="0.35">
      <c r="E14712" s="35"/>
      <c r="J14712" s="41"/>
    </row>
    <row r="14713" spans="5:10" s="34" customFormat="1" x14ac:dyDescent="0.35">
      <c r="E14713" s="35"/>
      <c r="J14713" s="41"/>
    </row>
    <row r="14714" spans="5:10" s="34" customFormat="1" x14ac:dyDescent="0.35">
      <c r="E14714" s="35"/>
      <c r="J14714" s="41"/>
    </row>
    <row r="14715" spans="5:10" s="34" customFormat="1" x14ac:dyDescent="0.35">
      <c r="E14715" s="35"/>
      <c r="J14715" s="41"/>
    </row>
    <row r="14716" spans="5:10" s="34" customFormat="1" x14ac:dyDescent="0.35">
      <c r="E14716" s="35"/>
      <c r="J14716" s="41"/>
    </row>
    <row r="14717" spans="5:10" s="34" customFormat="1" x14ac:dyDescent="0.35">
      <c r="E14717" s="35"/>
      <c r="J14717" s="41"/>
    </row>
    <row r="14718" spans="5:10" s="34" customFormat="1" x14ac:dyDescent="0.35">
      <c r="E14718" s="35"/>
      <c r="J14718" s="41"/>
    </row>
    <row r="14719" spans="5:10" s="34" customFormat="1" x14ac:dyDescent="0.35">
      <c r="E14719" s="35"/>
      <c r="J14719" s="41"/>
    </row>
    <row r="14720" spans="5:10" s="34" customFormat="1" x14ac:dyDescent="0.35">
      <c r="E14720" s="35"/>
      <c r="J14720" s="41"/>
    </row>
    <row r="14721" spans="5:10" s="34" customFormat="1" x14ac:dyDescent="0.35">
      <c r="E14721" s="35"/>
      <c r="J14721" s="41"/>
    </row>
    <row r="14722" spans="5:10" s="34" customFormat="1" x14ac:dyDescent="0.35">
      <c r="E14722" s="35"/>
      <c r="J14722" s="41"/>
    </row>
    <row r="14723" spans="5:10" s="34" customFormat="1" x14ac:dyDescent="0.35">
      <c r="E14723" s="35"/>
      <c r="J14723" s="41"/>
    </row>
    <row r="14724" spans="5:10" s="34" customFormat="1" x14ac:dyDescent="0.35">
      <c r="E14724" s="35"/>
      <c r="J14724" s="41"/>
    </row>
    <row r="14725" spans="5:10" s="34" customFormat="1" x14ac:dyDescent="0.35">
      <c r="E14725" s="35"/>
      <c r="J14725" s="41"/>
    </row>
    <row r="14726" spans="5:10" s="34" customFormat="1" x14ac:dyDescent="0.35">
      <c r="E14726" s="35"/>
      <c r="J14726" s="41"/>
    </row>
    <row r="14727" spans="5:10" s="34" customFormat="1" x14ac:dyDescent="0.35">
      <c r="E14727" s="35"/>
      <c r="J14727" s="41"/>
    </row>
    <row r="14728" spans="5:10" s="34" customFormat="1" x14ac:dyDescent="0.35">
      <c r="E14728" s="35"/>
      <c r="J14728" s="41"/>
    </row>
    <row r="14729" spans="5:10" s="34" customFormat="1" x14ac:dyDescent="0.35">
      <c r="E14729" s="35"/>
      <c r="J14729" s="41"/>
    </row>
    <row r="14730" spans="5:10" s="34" customFormat="1" x14ac:dyDescent="0.35">
      <c r="E14730" s="35"/>
      <c r="J14730" s="41"/>
    </row>
    <row r="14731" spans="5:10" s="34" customFormat="1" x14ac:dyDescent="0.35">
      <c r="E14731" s="35"/>
      <c r="J14731" s="41"/>
    </row>
    <row r="14732" spans="5:10" s="34" customFormat="1" x14ac:dyDescent="0.35">
      <c r="E14732" s="35"/>
      <c r="J14732" s="41"/>
    </row>
    <row r="14733" spans="5:10" s="34" customFormat="1" x14ac:dyDescent="0.35">
      <c r="E14733" s="35"/>
      <c r="J14733" s="41"/>
    </row>
    <row r="14734" spans="5:10" s="34" customFormat="1" x14ac:dyDescent="0.35">
      <c r="E14734" s="35"/>
      <c r="J14734" s="41"/>
    </row>
    <row r="14735" spans="5:10" s="34" customFormat="1" x14ac:dyDescent="0.35">
      <c r="E14735" s="35"/>
      <c r="J14735" s="41"/>
    </row>
    <row r="14736" spans="5:10" s="34" customFormat="1" x14ac:dyDescent="0.35">
      <c r="E14736" s="35"/>
      <c r="J14736" s="41"/>
    </row>
    <row r="14737" spans="5:10" s="34" customFormat="1" x14ac:dyDescent="0.35">
      <c r="E14737" s="35"/>
      <c r="J14737" s="41"/>
    </row>
    <row r="14738" spans="5:10" s="34" customFormat="1" x14ac:dyDescent="0.35">
      <c r="E14738" s="35"/>
      <c r="J14738" s="41"/>
    </row>
    <row r="14739" spans="5:10" s="34" customFormat="1" x14ac:dyDescent="0.35">
      <c r="E14739" s="35"/>
      <c r="J14739" s="41"/>
    </row>
    <row r="14740" spans="5:10" s="34" customFormat="1" x14ac:dyDescent="0.35">
      <c r="E14740" s="35"/>
      <c r="J14740" s="41"/>
    </row>
    <row r="14741" spans="5:10" s="34" customFormat="1" x14ac:dyDescent="0.35">
      <c r="E14741" s="35"/>
      <c r="J14741" s="41"/>
    </row>
    <row r="14742" spans="5:10" s="34" customFormat="1" x14ac:dyDescent="0.35">
      <c r="E14742" s="35"/>
      <c r="J14742" s="41"/>
    </row>
    <row r="14743" spans="5:10" s="34" customFormat="1" x14ac:dyDescent="0.35">
      <c r="E14743" s="35"/>
      <c r="J14743" s="41"/>
    </row>
    <row r="14744" spans="5:10" s="34" customFormat="1" x14ac:dyDescent="0.35">
      <c r="E14744" s="35"/>
      <c r="J14744" s="41"/>
    </row>
    <row r="14745" spans="5:10" s="34" customFormat="1" x14ac:dyDescent="0.35">
      <c r="E14745" s="35"/>
      <c r="J14745" s="41"/>
    </row>
    <row r="14746" spans="5:10" s="34" customFormat="1" x14ac:dyDescent="0.35">
      <c r="E14746" s="35"/>
      <c r="J14746" s="41"/>
    </row>
    <row r="14747" spans="5:10" s="34" customFormat="1" x14ac:dyDescent="0.35">
      <c r="E14747" s="35"/>
      <c r="J14747" s="41"/>
    </row>
    <row r="14748" spans="5:10" s="34" customFormat="1" x14ac:dyDescent="0.35">
      <c r="E14748" s="35"/>
      <c r="J14748" s="41"/>
    </row>
    <row r="14749" spans="5:10" s="34" customFormat="1" x14ac:dyDescent="0.35">
      <c r="E14749" s="35"/>
      <c r="J14749" s="41"/>
    </row>
    <row r="14750" spans="5:10" s="34" customFormat="1" x14ac:dyDescent="0.35">
      <c r="E14750" s="35"/>
      <c r="J14750" s="41"/>
    </row>
    <row r="14751" spans="5:10" s="34" customFormat="1" x14ac:dyDescent="0.35">
      <c r="E14751" s="35"/>
      <c r="J14751" s="41"/>
    </row>
    <row r="14752" spans="5:10" s="34" customFormat="1" x14ac:dyDescent="0.35">
      <c r="E14752" s="35"/>
      <c r="J14752" s="41"/>
    </row>
    <row r="14753" spans="5:10" s="34" customFormat="1" x14ac:dyDescent="0.35">
      <c r="E14753" s="35"/>
      <c r="J14753" s="41"/>
    </row>
    <row r="14754" spans="5:10" s="34" customFormat="1" x14ac:dyDescent="0.35">
      <c r="E14754" s="35"/>
      <c r="J14754" s="41"/>
    </row>
    <row r="14755" spans="5:10" s="34" customFormat="1" x14ac:dyDescent="0.35">
      <c r="E14755" s="35"/>
      <c r="J14755" s="41"/>
    </row>
    <row r="14756" spans="5:10" s="34" customFormat="1" x14ac:dyDescent="0.35">
      <c r="E14756" s="35"/>
      <c r="J14756" s="41"/>
    </row>
    <row r="14757" spans="5:10" s="34" customFormat="1" x14ac:dyDescent="0.35">
      <c r="E14757" s="35"/>
      <c r="J14757" s="41"/>
    </row>
    <row r="14758" spans="5:10" s="34" customFormat="1" x14ac:dyDescent="0.35">
      <c r="E14758" s="35"/>
      <c r="J14758" s="41"/>
    </row>
    <row r="14759" spans="5:10" s="34" customFormat="1" x14ac:dyDescent="0.35">
      <c r="E14759" s="35"/>
      <c r="J14759" s="41"/>
    </row>
    <row r="14760" spans="5:10" s="34" customFormat="1" x14ac:dyDescent="0.35">
      <c r="E14760" s="35"/>
      <c r="J14760" s="41"/>
    </row>
    <row r="14761" spans="5:10" s="34" customFormat="1" x14ac:dyDescent="0.35">
      <c r="E14761" s="35"/>
      <c r="J14761" s="41"/>
    </row>
    <row r="14762" spans="5:10" s="34" customFormat="1" x14ac:dyDescent="0.35">
      <c r="E14762" s="35"/>
      <c r="J14762" s="41"/>
    </row>
    <row r="14763" spans="5:10" s="34" customFormat="1" x14ac:dyDescent="0.35">
      <c r="E14763" s="35"/>
      <c r="J14763" s="41"/>
    </row>
    <row r="14764" spans="5:10" s="34" customFormat="1" x14ac:dyDescent="0.35">
      <c r="E14764" s="35"/>
      <c r="J14764" s="41"/>
    </row>
    <row r="14765" spans="5:10" s="34" customFormat="1" x14ac:dyDescent="0.35">
      <c r="E14765" s="35"/>
      <c r="J14765" s="41"/>
    </row>
    <row r="14766" spans="5:10" s="34" customFormat="1" x14ac:dyDescent="0.35">
      <c r="E14766" s="35"/>
      <c r="J14766" s="41"/>
    </row>
    <row r="14767" spans="5:10" s="34" customFormat="1" x14ac:dyDescent="0.35">
      <c r="E14767" s="35"/>
      <c r="J14767" s="41"/>
    </row>
    <row r="14768" spans="5:10" s="34" customFormat="1" x14ac:dyDescent="0.35">
      <c r="E14768" s="35"/>
      <c r="J14768" s="41"/>
    </row>
    <row r="14769" spans="5:10" s="34" customFormat="1" x14ac:dyDescent="0.35">
      <c r="E14769" s="35"/>
      <c r="J14769" s="41"/>
    </row>
    <row r="14770" spans="5:10" s="34" customFormat="1" x14ac:dyDescent="0.35">
      <c r="E14770" s="35"/>
      <c r="J14770" s="41"/>
    </row>
    <row r="14771" spans="5:10" s="34" customFormat="1" x14ac:dyDescent="0.35">
      <c r="E14771" s="35"/>
      <c r="J14771" s="41"/>
    </row>
    <row r="14772" spans="5:10" s="34" customFormat="1" x14ac:dyDescent="0.35">
      <c r="E14772" s="35"/>
      <c r="J14772" s="41"/>
    </row>
    <row r="14773" spans="5:10" s="34" customFormat="1" x14ac:dyDescent="0.35">
      <c r="E14773" s="35"/>
      <c r="J14773" s="41"/>
    </row>
    <row r="14774" spans="5:10" s="34" customFormat="1" x14ac:dyDescent="0.35">
      <c r="E14774" s="35"/>
      <c r="J14774" s="41"/>
    </row>
    <row r="14775" spans="5:10" s="34" customFormat="1" x14ac:dyDescent="0.35">
      <c r="E14775" s="35"/>
      <c r="J14775" s="41"/>
    </row>
    <row r="14776" spans="5:10" s="34" customFormat="1" x14ac:dyDescent="0.35">
      <c r="E14776" s="35"/>
      <c r="J14776" s="41"/>
    </row>
    <row r="14777" spans="5:10" s="34" customFormat="1" x14ac:dyDescent="0.35">
      <c r="E14777" s="35"/>
      <c r="J14777" s="41"/>
    </row>
    <row r="14778" spans="5:10" s="34" customFormat="1" x14ac:dyDescent="0.35">
      <c r="E14778" s="35"/>
      <c r="J14778" s="41"/>
    </row>
    <row r="14779" spans="5:10" s="34" customFormat="1" x14ac:dyDescent="0.35">
      <c r="E14779" s="35"/>
      <c r="J14779" s="41"/>
    </row>
    <row r="14780" spans="5:10" s="34" customFormat="1" x14ac:dyDescent="0.35">
      <c r="E14780" s="35"/>
      <c r="J14780" s="41"/>
    </row>
    <row r="14781" spans="5:10" s="34" customFormat="1" x14ac:dyDescent="0.35">
      <c r="E14781" s="35"/>
      <c r="J14781" s="41"/>
    </row>
    <row r="14782" spans="5:10" s="34" customFormat="1" x14ac:dyDescent="0.35">
      <c r="E14782" s="35"/>
      <c r="J14782" s="41"/>
    </row>
    <row r="14783" spans="5:10" s="34" customFormat="1" x14ac:dyDescent="0.35">
      <c r="E14783" s="35"/>
      <c r="J14783" s="41"/>
    </row>
    <row r="14784" spans="5:10" s="34" customFormat="1" x14ac:dyDescent="0.35">
      <c r="E14784" s="35"/>
      <c r="J14784" s="41"/>
    </row>
    <row r="14785" spans="5:10" s="34" customFormat="1" x14ac:dyDescent="0.35">
      <c r="E14785" s="35"/>
      <c r="J14785" s="41"/>
    </row>
    <row r="14786" spans="5:10" s="34" customFormat="1" x14ac:dyDescent="0.35">
      <c r="E14786" s="35"/>
      <c r="J14786" s="41"/>
    </row>
    <row r="14787" spans="5:10" s="34" customFormat="1" x14ac:dyDescent="0.35">
      <c r="E14787" s="35"/>
      <c r="J14787" s="41"/>
    </row>
    <row r="14788" spans="5:10" s="34" customFormat="1" x14ac:dyDescent="0.35">
      <c r="E14788" s="35"/>
      <c r="J14788" s="41"/>
    </row>
    <row r="14789" spans="5:10" s="34" customFormat="1" x14ac:dyDescent="0.35">
      <c r="E14789" s="35"/>
      <c r="J14789" s="41"/>
    </row>
    <row r="14790" spans="5:10" s="34" customFormat="1" x14ac:dyDescent="0.35">
      <c r="E14790" s="35"/>
      <c r="J14790" s="41"/>
    </row>
    <row r="14791" spans="5:10" s="34" customFormat="1" x14ac:dyDescent="0.35">
      <c r="E14791" s="35"/>
      <c r="J14791" s="41"/>
    </row>
    <row r="14792" spans="5:10" s="34" customFormat="1" x14ac:dyDescent="0.35">
      <c r="E14792" s="35"/>
      <c r="J14792" s="41"/>
    </row>
    <row r="14793" spans="5:10" s="34" customFormat="1" x14ac:dyDescent="0.35">
      <c r="E14793" s="35"/>
      <c r="J14793" s="41"/>
    </row>
    <row r="14794" spans="5:10" s="34" customFormat="1" x14ac:dyDescent="0.35">
      <c r="E14794" s="35"/>
      <c r="J14794" s="41"/>
    </row>
    <row r="14795" spans="5:10" s="34" customFormat="1" x14ac:dyDescent="0.35">
      <c r="E14795" s="35"/>
      <c r="J14795" s="41"/>
    </row>
    <row r="14796" spans="5:10" s="34" customFormat="1" x14ac:dyDescent="0.35">
      <c r="E14796" s="35"/>
      <c r="J14796" s="41"/>
    </row>
    <row r="14797" spans="5:10" s="34" customFormat="1" x14ac:dyDescent="0.35">
      <c r="E14797" s="35"/>
      <c r="J14797" s="41"/>
    </row>
    <row r="14798" spans="5:10" s="34" customFormat="1" x14ac:dyDescent="0.35">
      <c r="E14798" s="35"/>
      <c r="J14798" s="41"/>
    </row>
    <row r="14799" spans="5:10" s="34" customFormat="1" x14ac:dyDescent="0.35">
      <c r="E14799" s="35"/>
      <c r="J14799" s="41"/>
    </row>
    <row r="14800" spans="5:10" s="34" customFormat="1" x14ac:dyDescent="0.35">
      <c r="E14800" s="35"/>
      <c r="J14800" s="41"/>
    </row>
    <row r="14801" spans="5:10" s="34" customFormat="1" x14ac:dyDescent="0.35">
      <c r="E14801" s="35"/>
      <c r="J14801" s="41"/>
    </row>
    <row r="14802" spans="5:10" s="34" customFormat="1" x14ac:dyDescent="0.35">
      <c r="E14802" s="35"/>
      <c r="J14802" s="41"/>
    </row>
    <row r="14803" spans="5:10" s="34" customFormat="1" x14ac:dyDescent="0.35">
      <c r="E14803" s="35"/>
      <c r="J14803" s="41"/>
    </row>
    <row r="14804" spans="5:10" s="34" customFormat="1" x14ac:dyDescent="0.35">
      <c r="E14804" s="35"/>
      <c r="J14804" s="41"/>
    </row>
    <row r="14805" spans="5:10" s="34" customFormat="1" x14ac:dyDescent="0.35">
      <c r="E14805" s="35"/>
      <c r="J14805" s="41"/>
    </row>
    <row r="14806" spans="5:10" s="34" customFormat="1" x14ac:dyDescent="0.35">
      <c r="E14806" s="35"/>
      <c r="J14806" s="41"/>
    </row>
    <row r="14807" spans="5:10" s="34" customFormat="1" x14ac:dyDescent="0.35">
      <c r="E14807" s="35"/>
      <c r="J14807" s="41"/>
    </row>
    <row r="14808" spans="5:10" s="34" customFormat="1" x14ac:dyDescent="0.35">
      <c r="E14808" s="35"/>
      <c r="J14808" s="41"/>
    </row>
    <row r="14809" spans="5:10" s="34" customFormat="1" x14ac:dyDescent="0.35">
      <c r="E14809" s="35"/>
      <c r="J14809" s="41"/>
    </row>
    <row r="14810" spans="5:10" s="34" customFormat="1" x14ac:dyDescent="0.35">
      <c r="E14810" s="35"/>
      <c r="J14810" s="41"/>
    </row>
    <row r="14811" spans="5:10" s="34" customFormat="1" x14ac:dyDescent="0.35">
      <c r="E14811" s="35"/>
      <c r="J14811" s="41"/>
    </row>
    <row r="14812" spans="5:10" s="34" customFormat="1" x14ac:dyDescent="0.35">
      <c r="E14812" s="35"/>
      <c r="J14812" s="41"/>
    </row>
    <row r="14813" spans="5:10" s="34" customFormat="1" x14ac:dyDescent="0.35">
      <c r="E14813" s="35"/>
      <c r="J14813" s="41"/>
    </row>
    <row r="14814" spans="5:10" s="34" customFormat="1" x14ac:dyDescent="0.35">
      <c r="E14814" s="35"/>
      <c r="J14814" s="41"/>
    </row>
    <row r="14815" spans="5:10" s="34" customFormat="1" x14ac:dyDescent="0.35">
      <c r="E14815" s="35"/>
      <c r="J14815" s="41"/>
    </row>
    <row r="14816" spans="5:10" s="34" customFormat="1" x14ac:dyDescent="0.35">
      <c r="E14816" s="35"/>
      <c r="J14816" s="41"/>
    </row>
    <row r="14817" spans="5:10" s="34" customFormat="1" x14ac:dyDescent="0.35">
      <c r="E14817" s="35"/>
      <c r="J14817" s="41"/>
    </row>
    <row r="14818" spans="5:10" s="34" customFormat="1" x14ac:dyDescent="0.35">
      <c r="E14818" s="35"/>
      <c r="J14818" s="41"/>
    </row>
    <row r="14819" spans="5:10" s="34" customFormat="1" x14ac:dyDescent="0.35">
      <c r="E14819" s="35"/>
      <c r="J14819" s="41"/>
    </row>
    <row r="14820" spans="5:10" s="34" customFormat="1" x14ac:dyDescent="0.35">
      <c r="E14820" s="35"/>
      <c r="J14820" s="41"/>
    </row>
    <row r="14821" spans="5:10" s="34" customFormat="1" x14ac:dyDescent="0.35">
      <c r="E14821" s="35"/>
      <c r="J14821" s="41"/>
    </row>
    <row r="14822" spans="5:10" s="34" customFormat="1" x14ac:dyDescent="0.35">
      <c r="E14822" s="35"/>
      <c r="J14822" s="41"/>
    </row>
    <row r="14823" spans="5:10" s="34" customFormat="1" x14ac:dyDescent="0.35">
      <c r="E14823" s="35"/>
      <c r="J14823" s="41"/>
    </row>
    <row r="14824" spans="5:10" s="34" customFormat="1" x14ac:dyDescent="0.35">
      <c r="E14824" s="35"/>
      <c r="J14824" s="41"/>
    </row>
    <row r="14825" spans="5:10" s="34" customFormat="1" x14ac:dyDescent="0.35">
      <c r="E14825" s="35"/>
      <c r="J14825" s="41"/>
    </row>
    <row r="14826" spans="5:10" s="34" customFormat="1" x14ac:dyDescent="0.35">
      <c r="E14826" s="35"/>
      <c r="J14826" s="41"/>
    </row>
    <row r="14827" spans="5:10" s="34" customFormat="1" x14ac:dyDescent="0.35">
      <c r="E14827" s="35"/>
      <c r="J14827" s="41"/>
    </row>
    <row r="14828" spans="5:10" s="34" customFormat="1" x14ac:dyDescent="0.35">
      <c r="E14828" s="35"/>
      <c r="J14828" s="41"/>
    </row>
    <row r="14829" spans="5:10" s="34" customFormat="1" x14ac:dyDescent="0.35">
      <c r="E14829" s="35"/>
      <c r="J14829" s="41"/>
    </row>
    <row r="14830" spans="5:10" s="34" customFormat="1" x14ac:dyDescent="0.35">
      <c r="E14830" s="35"/>
      <c r="J14830" s="41"/>
    </row>
    <row r="14831" spans="5:10" s="34" customFormat="1" x14ac:dyDescent="0.35">
      <c r="E14831" s="35"/>
      <c r="J14831" s="41"/>
    </row>
    <row r="14832" spans="5:10" s="34" customFormat="1" x14ac:dyDescent="0.35">
      <c r="E14832" s="35"/>
      <c r="J14832" s="41"/>
    </row>
    <row r="14833" spans="5:10" s="34" customFormat="1" x14ac:dyDescent="0.35">
      <c r="E14833" s="35"/>
      <c r="J14833" s="41"/>
    </row>
    <row r="14834" spans="5:10" s="34" customFormat="1" x14ac:dyDescent="0.35">
      <c r="E14834" s="35"/>
      <c r="J14834" s="41"/>
    </row>
    <row r="14835" spans="5:10" s="34" customFormat="1" x14ac:dyDescent="0.35">
      <c r="E14835" s="35"/>
      <c r="J14835" s="41"/>
    </row>
    <row r="14836" spans="5:10" s="34" customFormat="1" x14ac:dyDescent="0.35">
      <c r="E14836" s="35"/>
      <c r="J14836" s="41"/>
    </row>
    <row r="14837" spans="5:10" s="34" customFormat="1" x14ac:dyDescent="0.35">
      <c r="E14837" s="35"/>
      <c r="J14837" s="41"/>
    </row>
    <row r="14838" spans="5:10" s="34" customFormat="1" x14ac:dyDescent="0.35">
      <c r="E14838" s="35"/>
      <c r="J14838" s="41"/>
    </row>
    <row r="14839" spans="5:10" s="34" customFormat="1" x14ac:dyDescent="0.35">
      <c r="E14839" s="35"/>
      <c r="J14839" s="41"/>
    </row>
    <row r="14840" spans="5:10" s="34" customFormat="1" x14ac:dyDescent="0.35">
      <c r="E14840" s="35"/>
      <c r="J14840" s="41"/>
    </row>
    <row r="14841" spans="5:10" s="34" customFormat="1" x14ac:dyDescent="0.35">
      <c r="E14841" s="35"/>
      <c r="J14841" s="41"/>
    </row>
    <row r="14842" spans="5:10" s="34" customFormat="1" x14ac:dyDescent="0.35">
      <c r="E14842" s="35"/>
      <c r="J14842" s="41"/>
    </row>
    <row r="14843" spans="5:10" s="34" customFormat="1" x14ac:dyDescent="0.35">
      <c r="E14843" s="35"/>
      <c r="J14843" s="41"/>
    </row>
    <row r="14844" spans="5:10" s="34" customFormat="1" x14ac:dyDescent="0.35">
      <c r="E14844" s="35"/>
      <c r="J14844" s="41"/>
    </row>
    <row r="14845" spans="5:10" s="34" customFormat="1" x14ac:dyDescent="0.35">
      <c r="E14845" s="35"/>
      <c r="J14845" s="41"/>
    </row>
    <row r="14846" spans="5:10" s="34" customFormat="1" x14ac:dyDescent="0.35">
      <c r="E14846" s="35"/>
      <c r="J14846" s="41"/>
    </row>
    <row r="14847" spans="5:10" s="34" customFormat="1" x14ac:dyDescent="0.35">
      <c r="E14847" s="35"/>
      <c r="J14847" s="41"/>
    </row>
    <row r="14848" spans="5:10" s="34" customFormat="1" x14ac:dyDescent="0.35">
      <c r="E14848" s="35"/>
      <c r="J14848" s="41"/>
    </row>
    <row r="14849" spans="5:10" s="34" customFormat="1" x14ac:dyDescent="0.35">
      <c r="E14849" s="35"/>
      <c r="J14849" s="41"/>
    </row>
    <row r="14850" spans="5:10" s="34" customFormat="1" x14ac:dyDescent="0.35">
      <c r="E14850" s="35"/>
      <c r="J14850" s="41"/>
    </row>
    <row r="14851" spans="5:10" s="34" customFormat="1" x14ac:dyDescent="0.35">
      <c r="E14851" s="35"/>
      <c r="J14851" s="41"/>
    </row>
    <row r="14852" spans="5:10" s="34" customFormat="1" x14ac:dyDescent="0.35">
      <c r="E14852" s="35"/>
      <c r="J14852" s="41"/>
    </row>
    <row r="14853" spans="5:10" s="34" customFormat="1" x14ac:dyDescent="0.35">
      <c r="E14853" s="35"/>
      <c r="J14853" s="41"/>
    </row>
    <row r="14854" spans="5:10" s="34" customFormat="1" x14ac:dyDescent="0.35">
      <c r="E14854" s="35"/>
      <c r="J14854" s="41"/>
    </row>
    <row r="14855" spans="5:10" s="34" customFormat="1" x14ac:dyDescent="0.35">
      <c r="E14855" s="35"/>
      <c r="J14855" s="41"/>
    </row>
    <row r="14856" spans="5:10" s="34" customFormat="1" x14ac:dyDescent="0.35">
      <c r="E14856" s="35"/>
      <c r="J14856" s="41"/>
    </row>
    <row r="14857" spans="5:10" s="34" customFormat="1" x14ac:dyDescent="0.35">
      <c r="E14857" s="35"/>
      <c r="J14857" s="41"/>
    </row>
    <row r="14858" spans="5:10" s="34" customFormat="1" x14ac:dyDescent="0.35">
      <c r="E14858" s="35"/>
      <c r="J14858" s="41"/>
    </row>
    <row r="14859" spans="5:10" s="34" customFormat="1" x14ac:dyDescent="0.35">
      <c r="E14859" s="35"/>
      <c r="J14859" s="41"/>
    </row>
    <row r="14860" spans="5:10" s="34" customFormat="1" x14ac:dyDescent="0.35">
      <c r="E14860" s="35"/>
      <c r="J14860" s="41"/>
    </row>
    <row r="14861" spans="5:10" s="34" customFormat="1" x14ac:dyDescent="0.35">
      <c r="E14861" s="35"/>
      <c r="J14861" s="41"/>
    </row>
    <row r="14862" spans="5:10" s="34" customFormat="1" x14ac:dyDescent="0.35">
      <c r="E14862" s="35"/>
      <c r="J14862" s="41"/>
    </row>
    <row r="14863" spans="5:10" s="34" customFormat="1" x14ac:dyDescent="0.35">
      <c r="E14863" s="35"/>
      <c r="J14863" s="41"/>
    </row>
    <row r="14864" spans="5:10" s="34" customFormat="1" x14ac:dyDescent="0.35">
      <c r="E14864" s="35"/>
      <c r="J14864" s="41"/>
    </row>
    <row r="14865" spans="5:10" s="34" customFormat="1" x14ac:dyDescent="0.35">
      <c r="E14865" s="35"/>
      <c r="J14865" s="41"/>
    </row>
    <row r="14866" spans="5:10" s="34" customFormat="1" x14ac:dyDescent="0.35">
      <c r="E14866" s="35"/>
      <c r="J14866" s="41"/>
    </row>
    <row r="14867" spans="5:10" s="34" customFormat="1" x14ac:dyDescent="0.35">
      <c r="E14867" s="35"/>
      <c r="J14867" s="41"/>
    </row>
    <row r="14868" spans="5:10" s="34" customFormat="1" x14ac:dyDescent="0.35">
      <c r="E14868" s="35"/>
      <c r="J14868" s="41"/>
    </row>
    <row r="14869" spans="5:10" s="34" customFormat="1" x14ac:dyDescent="0.35">
      <c r="E14869" s="35"/>
      <c r="J14869" s="41"/>
    </row>
    <row r="14870" spans="5:10" s="34" customFormat="1" x14ac:dyDescent="0.35">
      <c r="E14870" s="35"/>
      <c r="J14870" s="41"/>
    </row>
    <row r="14871" spans="5:10" s="34" customFormat="1" x14ac:dyDescent="0.35">
      <c r="E14871" s="35"/>
      <c r="J14871" s="41"/>
    </row>
    <row r="14872" spans="5:10" s="34" customFormat="1" x14ac:dyDescent="0.35">
      <c r="E14872" s="35"/>
      <c r="J14872" s="41"/>
    </row>
    <row r="14873" spans="5:10" s="34" customFormat="1" x14ac:dyDescent="0.35">
      <c r="E14873" s="35"/>
      <c r="J14873" s="41"/>
    </row>
    <row r="14874" spans="5:10" s="34" customFormat="1" x14ac:dyDescent="0.35">
      <c r="E14874" s="35"/>
      <c r="J14874" s="41"/>
    </row>
    <row r="14875" spans="5:10" s="34" customFormat="1" x14ac:dyDescent="0.35">
      <c r="E14875" s="35"/>
      <c r="J14875" s="41"/>
    </row>
    <row r="14876" spans="5:10" s="34" customFormat="1" x14ac:dyDescent="0.35">
      <c r="E14876" s="35"/>
      <c r="J14876" s="41"/>
    </row>
    <row r="14877" spans="5:10" s="34" customFormat="1" x14ac:dyDescent="0.35">
      <c r="E14877" s="35"/>
      <c r="J14877" s="41"/>
    </row>
    <row r="14878" spans="5:10" s="34" customFormat="1" x14ac:dyDescent="0.35">
      <c r="E14878" s="35"/>
      <c r="J14878" s="41"/>
    </row>
    <row r="14879" spans="5:10" s="34" customFormat="1" x14ac:dyDescent="0.35">
      <c r="E14879" s="35"/>
      <c r="J14879" s="41"/>
    </row>
    <row r="14880" spans="5:10" s="34" customFormat="1" x14ac:dyDescent="0.35">
      <c r="E14880" s="35"/>
      <c r="J14880" s="41"/>
    </row>
    <row r="14881" spans="5:10" s="34" customFormat="1" x14ac:dyDescent="0.35">
      <c r="E14881" s="35"/>
      <c r="J14881" s="41"/>
    </row>
    <row r="14882" spans="5:10" s="34" customFormat="1" x14ac:dyDescent="0.35">
      <c r="E14882" s="35"/>
      <c r="J14882" s="41"/>
    </row>
    <row r="14883" spans="5:10" s="34" customFormat="1" x14ac:dyDescent="0.35">
      <c r="E14883" s="35"/>
      <c r="J14883" s="41"/>
    </row>
    <row r="14884" spans="5:10" s="34" customFormat="1" x14ac:dyDescent="0.35">
      <c r="E14884" s="35"/>
      <c r="J14884" s="41"/>
    </row>
    <row r="14885" spans="5:10" s="34" customFormat="1" x14ac:dyDescent="0.35">
      <c r="E14885" s="35"/>
      <c r="J14885" s="41"/>
    </row>
    <row r="14886" spans="5:10" s="34" customFormat="1" x14ac:dyDescent="0.35">
      <c r="E14886" s="35"/>
      <c r="J14886" s="41"/>
    </row>
    <row r="14887" spans="5:10" s="34" customFormat="1" x14ac:dyDescent="0.35">
      <c r="E14887" s="35"/>
      <c r="J14887" s="41"/>
    </row>
    <row r="14888" spans="5:10" s="34" customFormat="1" x14ac:dyDescent="0.35">
      <c r="E14888" s="35"/>
      <c r="J14888" s="41"/>
    </row>
    <row r="14889" spans="5:10" s="34" customFormat="1" x14ac:dyDescent="0.35">
      <c r="E14889" s="35"/>
      <c r="J14889" s="41"/>
    </row>
    <row r="14890" spans="5:10" s="34" customFormat="1" x14ac:dyDescent="0.35">
      <c r="E14890" s="35"/>
      <c r="J14890" s="41"/>
    </row>
    <row r="14891" spans="5:10" s="34" customFormat="1" x14ac:dyDescent="0.35">
      <c r="E14891" s="35"/>
      <c r="J14891" s="41"/>
    </row>
    <row r="14892" spans="5:10" s="34" customFormat="1" x14ac:dyDescent="0.35">
      <c r="E14892" s="35"/>
      <c r="J14892" s="41"/>
    </row>
    <row r="14893" spans="5:10" s="34" customFormat="1" x14ac:dyDescent="0.35">
      <c r="E14893" s="35"/>
      <c r="J14893" s="41"/>
    </row>
    <row r="14894" spans="5:10" s="34" customFormat="1" x14ac:dyDescent="0.35">
      <c r="E14894" s="35"/>
      <c r="J14894" s="41"/>
    </row>
    <row r="14895" spans="5:10" s="34" customFormat="1" x14ac:dyDescent="0.35">
      <c r="E14895" s="35"/>
      <c r="J14895" s="41"/>
    </row>
    <row r="14896" spans="5:10" s="34" customFormat="1" x14ac:dyDescent="0.35">
      <c r="E14896" s="35"/>
      <c r="J14896" s="41"/>
    </row>
    <row r="14897" spans="5:10" s="34" customFormat="1" x14ac:dyDescent="0.35">
      <c r="E14897" s="35"/>
      <c r="J14897" s="41"/>
    </row>
    <row r="14898" spans="5:10" s="34" customFormat="1" x14ac:dyDescent="0.35">
      <c r="E14898" s="35"/>
      <c r="J14898" s="41"/>
    </row>
    <row r="14899" spans="5:10" s="34" customFormat="1" x14ac:dyDescent="0.35">
      <c r="E14899" s="35"/>
      <c r="J14899" s="41"/>
    </row>
    <row r="14900" spans="5:10" s="34" customFormat="1" x14ac:dyDescent="0.35">
      <c r="E14900" s="35"/>
      <c r="J14900" s="41"/>
    </row>
    <row r="14901" spans="5:10" s="34" customFormat="1" x14ac:dyDescent="0.35">
      <c r="E14901" s="35"/>
      <c r="J14901" s="41"/>
    </row>
    <row r="14902" spans="5:10" s="34" customFormat="1" x14ac:dyDescent="0.35">
      <c r="E14902" s="35"/>
      <c r="J14902" s="41"/>
    </row>
    <row r="14903" spans="5:10" s="34" customFormat="1" x14ac:dyDescent="0.35">
      <c r="E14903" s="35"/>
      <c r="J14903" s="41"/>
    </row>
    <row r="14904" spans="5:10" s="34" customFormat="1" x14ac:dyDescent="0.35">
      <c r="E14904" s="35"/>
      <c r="J14904" s="41"/>
    </row>
    <row r="14905" spans="5:10" s="34" customFormat="1" x14ac:dyDescent="0.35">
      <c r="E14905" s="35"/>
      <c r="J14905" s="41"/>
    </row>
    <row r="14906" spans="5:10" s="34" customFormat="1" x14ac:dyDescent="0.35">
      <c r="E14906" s="35"/>
      <c r="J14906" s="41"/>
    </row>
    <row r="14907" spans="5:10" s="34" customFormat="1" x14ac:dyDescent="0.35">
      <c r="E14907" s="35"/>
      <c r="J14907" s="41"/>
    </row>
    <row r="14908" spans="5:10" s="34" customFormat="1" x14ac:dyDescent="0.35">
      <c r="E14908" s="35"/>
      <c r="J14908" s="41"/>
    </row>
    <row r="14909" spans="5:10" s="34" customFormat="1" x14ac:dyDescent="0.35">
      <c r="E14909" s="35"/>
      <c r="J14909" s="41"/>
    </row>
    <row r="14910" spans="5:10" s="34" customFormat="1" x14ac:dyDescent="0.35">
      <c r="E14910" s="35"/>
      <c r="J14910" s="41"/>
    </row>
    <row r="14911" spans="5:10" s="34" customFormat="1" x14ac:dyDescent="0.35">
      <c r="E14911" s="35"/>
      <c r="J14911" s="41"/>
    </row>
    <row r="14912" spans="5:10" s="34" customFormat="1" x14ac:dyDescent="0.35">
      <c r="E14912" s="35"/>
      <c r="J14912" s="41"/>
    </row>
    <row r="14913" spans="5:10" s="34" customFormat="1" x14ac:dyDescent="0.35">
      <c r="E14913" s="35"/>
      <c r="J14913" s="41"/>
    </row>
    <row r="14914" spans="5:10" s="34" customFormat="1" x14ac:dyDescent="0.35">
      <c r="E14914" s="35"/>
      <c r="J14914" s="41"/>
    </row>
    <row r="14915" spans="5:10" s="34" customFormat="1" x14ac:dyDescent="0.35">
      <c r="E14915" s="35"/>
      <c r="J14915" s="41"/>
    </row>
    <row r="14916" spans="5:10" s="34" customFormat="1" x14ac:dyDescent="0.35">
      <c r="E14916" s="35"/>
      <c r="J14916" s="41"/>
    </row>
    <row r="14917" spans="5:10" s="34" customFormat="1" x14ac:dyDescent="0.35">
      <c r="E14917" s="35"/>
      <c r="J14917" s="41"/>
    </row>
    <row r="14918" spans="5:10" s="34" customFormat="1" x14ac:dyDescent="0.35">
      <c r="E14918" s="35"/>
      <c r="J14918" s="41"/>
    </row>
    <row r="14919" spans="5:10" s="34" customFormat="1" x14ac:dyDescent="0.35">
      <c r="E14919" s="35"/>
      <c r="J14919" s="41"/>
    </row>
    <row r="14920" spans="5:10" s="34" customFormat="1" x14ac:dyDescent="0.35">
      <c r="E14920" s="35"/>
      <c r="J14920" s="41"/>
    </row>
    <row r="14921" spans="5:10" s="34" customFormat="1" x14ac:dyDescent="0.35">
      <c r="E14921" s="35"/>
      <c r="J14921" s="41"/>
    </row>
    <row r="14922" spans="5:10" s="34" customFormat="1" x14ac:dyDescent="0.35">
      <c r="E14922" s="35"/>
      <c r="J14922" s="41"/>
    </row>
    <row r="14923" spans="5:10" s="34" customFormat="1" x14ac:dyDescent="0.35">
      <c r="E14923" s="35"/>
      <c r="J14923" s="41"/>
    </row>
    <row r="14924" spans="5:10" s="34" customFormat="1" x14ac:dyDescent="0.35">
      <c r="E14924" s="35"/>
      <c r="J14924" s="41"/>
    </row>
    <row r="14925" spans="5:10" s="34" customFormat="1" x14ac:dyDescent="0.35">
      <c r="E14925" s="35"/>
      <c r="J14925" s="41"/>
    </row>
    <row r="14926" spans="5:10" s="34" customFormat="1" x14ac:dyDescent="0.35">
      <c r="E14926" s="35"/>
      <c r="J14926" s="41"/>
    </row>
    <row r="14927" spans="5:10" s="34" customFormat="1" x14ac:dyDescent="0.35">
      <c r="E14927" s="35"/>
      <c r="J14927" s="41"/>
    </row>
    <row r="14928" spans="5:10" s="34" customFormat="1" x14ac:dyDescent="0.35">
      <c r="E14928" s="35"/>
      <c r="J14928" s="41"/>
    </row>
    <row r="14929" spans="5:10" s="34" customFormat="1" x14ac:dyDescent="0.35">
      <c r="E14929" s="35"/>
      <c r="J14929" s="41"/>
    </row>
    <row r="14930" spans="5:10" s="34" customFormat="1" x14ac:dyDescent="0.35">
      <c r="E14930" s="35"/>
      <c r="J14930" s="41"/>
    </row>
    <row r="14931" spans="5:10" s="34" customFormat="1" x14ac:dyDescent="0.35">
      <c r="E14931" s="35"/>
      <c r="J14931" s="41"/>
    </row>
    <row r="14932" spans="5:10" s="34" customFormat="1" x14ac:dyDescent="0.35">
      <c r="E14932" s="35"/>
      <c r="J14932" s="41"/>
    </row>
    <row r="14933" spans="5:10" s="34" customFormat="1" x14ac:dyDescent="0.35">
      <c r="E14933" s="35"/>
      <c r="J14933" s="41"/>
    </row>
    <row r="14934" spans="5:10" s="34" customFormat="1" x14ac:dyDescent="0.35">
      <c r="E14934" s="35"/>
      <c r="J14934" s="41"/>
    </row>
    <row r="14935" spans="5:10" s="34" customFormat="1" x14ac:dyDescent="0.35">
      <c r="E14935" s="35"/>
      <c r="J14935" s="41"/>
    </row>
    <row r="14936" spans="5:10" s="34" customFormat="1" x14ac:dyDescent="0.35">
      <c r="E14936" s="35"/>
      <c r="J14936" s="41"/>
    </row>
    <row r="14937" spans="5:10" s="34" customFormat="1" x14ac:dyDescent="0.35">
      <c r="E14937" s="35"/>
      <c r="J14937" s="41"/>
    </row>
    <row r="14938" spans="5:10" s="34" customFormat="1" x14ac:dyDescent="0.35">
      <c r="E14938" s="35"/>
      <c r="J14938" s="41"/>
    </row>
    <row r="14939" spans="5:10" s="34" customFormat="1" x14ac:dyDescent="0.35">
      <c r="E14939" s="35"/>
      <c r="J14939" s="41"/>
    </row>
    <row r="14940" spans="5:10" s="34" customFormat="1" x14ac:dyDescent="0.35">
      <c r="E14940" s="35"/>
      <c r="J14940" s="41"/>
    </row>
    <row r="14941" spans="5:10" s="34" customFormat="1" x14ac:dyDescent="0.35">
      <c r="E14941" s="35"/>
      <c r="J14941" s="41"/>
    </row>
    <row r="14942" spans="5:10" s="34" customFormat="1" x14ac:dyDescent="0.35">
      <c r="E14942" s="35"/>
      <c r="J14942" s="41"/>
    </row>
    <row r="14943" spans="5:10" s="34" customFormat="1" x14ac:dyDescent="0.35">
      <c r="E14943" s="35"/>
      <c r="J14943" s="41"/>
    </row>
    <row r="14944" spans="5:10" s="34" customFormat="1" x14ac:dyDescent="0.35">
      <c r="E14944" s="35"/>
      <c r="J14944" s="41"/>
    </row>
    <row r="14945" spans="5:10" s="34" customFormat="1" x14ac:dyDescent="0.35">
      <c r="E14945" s="35"/>
      <c r="J14945" s="41"/>
    </row>
    <row r="14946" spans="5:10" s="34" customFormat="1" x14ac:dyDescent="0.35">
      <c r="E14946" s="35"/>
      <c r="J14946" s="41"/>
    </row>
    <row r="14947" spans="5:10" s="34" customFormat="1" x14ac:dyDescent="0.35">
      <c r="E14947" s="35"/>
      <c r="J14947" s="41"/>
    </row>
    <row r="14948" spans="5:10" s="34" customFormat="1" x14ac:dyDescent="0.35">
      <c r="E14948" s="35"/>
      <c r="J14948" s="41"/>
    </row>
    <row r="14949" spans="5:10" s="34" customFormat="1" x14ac:dyDescent="0.35">
      <c r="E14949" s="35"/>
      <c r="J14949" s="41"/>
    </row>
    <row r="14950" spans="5:10" s="34" customFormat="1" x14ac:dyDescent="0.35">
      <c r="E14950" s="35"/>
      <c r="J14950" s="41"/>
    </row>
    <row r="14951" spans="5:10" s="34" customFormat="1" x14ac:dyDescent="0.35">
      <c r="E14951" s="35"/>
      <c r="J14951" s="41"/>
    </row>
    <row r="14952" spans="5:10" s="34" customFormat="1" x14ac:dyDescent="0.35">
      <c r="E14952" s="35"/>
      <c r="J14952" s="41"/>
    </row>
    <row r="14953" spans="5:10" s="34" customFormat="1" x14ac:dyDescent="0.35">
      <c r="E14953" s="35"/>
      <c r="J14953" s="41"/>
    </row>
    <row r="14954" spans="5:10" s="34" customFormat="1" x14ac:dyDescent="0.35">
      <c r="E14954" s="35"/>
      <c r="J14954" s="41"/>
    </row>
    <row r="14955" spans="5:10" s="34" customFormat="1" x14ac:dyDescent="0.35">
      <c r="E14955" s="35"/>
      <c r="J14955" s="41"/>
    </row>
    <row r="14956" spans="5:10" s="34" customFormat="1" x14ac:dyDescent="0.35">
      <c r="E14956" s="35"/>
      <c r="J14956" s="41"/>
    </row>
    <row r="14957" spans="5:10" s="34" customFormat="1" x14ac:dyDescent="0.35">
      <c r="E14957" s="35"/>
      <c r="J14957" s="41"/>
    </row>
    <row r="14958" spans="5:10" s="34" customFormat="1" x14ac:dyDescent="0.35">
      <c r="E14958" s="35"/>
      <c r="J14958" s="41"/>
    </row>
    <row r="14959" spans="5:10" s="34" customFormat="1" x14ac:dyDescent="0.35">
      <c r="E14959" s="35"/>
      <c r="J14959" s="41"/>
    </row>
    <row r="14960" spans="5:10" s="34" customFormat="1" x14ac:dyDescent="0.35">
      <c r="E14960" s="35"/>
      <c r="J14960" s="41"/>
    </row>
    <row r="14961" spans="5:10" s="34" customFormat="1" x14ac:dyDescent="0.35">
      <c r="E14961" s="35"/>
      <c r="J14961" s="41"/>
    </row>
    <row r="14962" spans="5:10" s="34" customFormat="1" x14ac:dyDescent="0.35">
      <c r="E14962" s="35"/>
      <c r="J14962" s="41"/>
    </row>
    <row r="14963" spans="5:10" s="34" customFormat="1" x14ac:dyDescent="0.35">
      <c r="E14963" s="35"/>
      <c r="J14963" s="41"/>
    </row>
    <row r="14964" spans="5:10" s="34" customFormat="1" x14ac:dyDescent="0.35">
      <c r="E14964" s="35"/>
      <c r="J14964" s="41"/>
    </row>
    <row r="14965" spans="5:10" s="34" customFormat="1" x14ac:dyDescent="0.35">
      <c r="E14965" s="35"/>
      <c r="J14965" s="41"/>
    </row>
    <row r="14966" spans="5:10" s="34" customFormat="1" x14ac:dyDescent="0.35">
      <c r="E14966" s="35"/>
      <c r="J14966" s="41"/>
    </row>
    <row r="14967" spans="5:10" s="34" customFormat="1" x14ac:dyDescent="0.35">
      <c r="E14967" s="35"/>
      <c r="J14967" s="41"/>
    </row>
    <row r="14968" spans="5:10" s="34" customFormat="1" x14ac:dyDescent="0.35">
      <c r="E14968" s="35"/>
      <c r="J14968" s="41"/>
    </row>
    <row r="14969" spans="5:10" s="34" customFormat="1" x14ac:dyDescent="0.35">
      <c r="E14969" s="35"/>
      <c r="J14969" s="41"/>
    </row>
    <row r="14970" spans="5:10" s="34" customFormat="1" x14ac:dyDescent="0.35">
      <c r="E14970" s="35"/>
      <c r="J14970" s="41"/>
    </row>
    <row r="14971" spans="5:10" s="34" customFormat="1" x14ac:dyDescent="0.35">
      <c r="E14971" s="35"/>
      <c r="J14971" s="41"/>
    </row>
    <row r="14972" spans="5:10" s="34" customFormat="1" x14ac:dyDescent="0.35">
      <c r="E14972" s="35"/>
      <c r="J14972" s="41"/>
    </row>
    <row r="14973" spans="5:10" s="34" customFormat="1" x14ac:dyDescent="0.35">
      <c r="E14973" s="35"/>
      <c r="J14973" s="41"/>
    </row>
    <row r="14974" spans="5:10" s="34" customFormat="1" x14ac:dyDescent="0.35">
      <c r="E14974" s="35"/>
      <c r="J14974" s="41"/>
    </row>
    <row r="14975" spans="5:10" s="34" customFormat="1" x14ac:dyDescent="0.35">
      <c r="E14975" s="35"/>
      <c r="J14975" s="41"/>
    </row>
    <row r="14976" spans="5:10" s="34" customFormat="1" x14ac:dyDescent="0.35">
      <c r="E14976" s="35"/>
      <c r="J14976" s="41"/>
    </row>
    <row r="14977" spans="5:10" s="34" customFormat="1" x14ac:dyDescent="0.35">
      <c r="E14977" s="35"/>
      <c r="J14977" s="41"/>
    </row>
    <row r="14978" spans="5:10" s="34" customFormat="1" x14ac:dyDescent="0.35">
      <c r="E14978" s="35"/>
      <c r="J14978" s="41"/>
    </row>
    <row r="14979" spans="5:10" s="34" customFormat="1" x14ac:dyDescent="0.35">
      <c r="E14979" s="35"/>
      <c r="J14979" s="41"/>
    </row>
    <row r="14980" spans="5:10" s="34" customFormat="1" x14ac:dyDescent="0.35">
      <c r="E14980" s="35"/>
      <c r="J14980" s="41"/>
    </row>
    <row r="14981" spans="5:10" s="34" customFormat="1" x14ac:dyDescent="0.35">
      <c r="E14981" s="35"/>
      <c r="J14981" s="41"/>
    </row>
    <row r="14982" spans="5:10" s="34" customFormat="1" x14ac:dyDescent="0.35">
      <c r="E14982" s="35"/>
      <c r="J14982" s="41"/>
    </row>
    <row r="14983" spans="5:10" s="34" customFormat="1" x14ac:dyDescent="0.35">
      <c r="E14983" s="35"/>
      <c r="J14983" s="41"/>
    </row>
    <row r="14984" spans="5:10" s="34" customFormat="1" x14ac:dyDescent="0.35">
      <c r="E14984" s="35"/>
      <c r="J14984" s="41"/>
    </row>
    <row r="14985" spans="5:10" s="34" customFormat="1" x14ac:dyDescent="0.35">
      <c r="E14985" s="35"/>
      <c r="J14985" s="41"/>
    </row>
    <row r="14986" spans="5:10" s="34" customFormat="1" x14ac:dyDescent="0.35">
      <c r="E14986" s="35"/>
      <c r="J14986" s="41"/>
    </row>
    <row r="14987" spans="5:10" s="34" customFormat="1" x14ac:dyDescent="0.35">
      <c r="E14987" s="35"/>
      <c r="J14987" s="41"/>
    </row>
    <row r="14988" spans="5:10" s="34" customFormat="1" x14ac:dyDescent="0.35">
      <c r="E14988" s="35"/>
      <c r="J14988" s="41"/>
    </row>
    <row r="14989" spans="5:10" s="34" customFormat="1" x14ac:dyDescent="0.35">
      <c r="E14989" s="35"/>
      <c r="J14989" s="41"/>
    </row>
    <row r="14990" spans="5:10" s="34" customFormat="1" x14ac:dyDescent="0.35">
      <c r="E14990" s="35"/>
      <c r="J14990" s="41"/>
    </row>
    <row r="14991" spans="5:10" s="34" customFormat="1" x14ac:dyDescent="0.35">
      <c r="E14991" s="35"/>
      <c r="J14991" s="41"/>
    </row>
    <row r="14992" spans="5:10" s="34" customFormat="1" x14ac:dyDescent="0.35">
      <c r="E14992" s="35"/>
      <c r="J14992" s="41"/>
    </row>
    <row r="14993" spans="5:10" s="34" customFormat="1" x14ac:dyDescent="0.35">
      <c r="E14993" s="35"/>
      <c r="J14993" s="41"/>
    </row>
    <row r="14994" spans="5:10" s="34" customFormat="1" x14ac:dyDescent="0.35">
      <c r="E14994" s="35"/>
      <c r="J14994" s="41"/>
    </row>
    <row r="14995" spans="5:10" s="34" customFormat="1" x14ac:dyDescent="0.35">
      <c r="E14995" s="35"/>
      <c r="J14995" s="41"/>
    </row>
    <row r="14996" spans="5:10" s="34" customFormat="1" x14ac:dyDescent="0.35">
      <c r="E14996" s="35"/>
      <c r="J14996" s="41"/>
    </row>
    <row r="14997" spans="5:10" s="34" customFormat="1" x14ac:dyDescent="0.35">
      <c r="E14997" s="35"/>
      <c r="J14997" s="41"/>
    </row>
    <row r="14998" spans="5:10" s="34" customFormat="1" x14ac:dyDescent="0.35">
      <c r="E14998" s="35"/>
      <c r="J14998" s="41"/>
    </row>
    <row r="14999" spans="5:10" s="34" customFormat="1" x14ac:dyDescent="0.35">
      <c r="E14999" s="35"/>
      <c r="J14999" s="41"/>
    </row>
    <row r="15000" spans="5:10" s="34" customFormat="1" x14ac:dyDescent="0.35">
      <c r="E15000" s="35"/>
      <c r="J15000" s="41"/>
    </row>
    <row r="15001" spans="5:10" s="34" customFormat="1" x14ac:dyDescent="0.35">
      <c r="E15001" s="35"/>
      <c r="J15001" s="41"/>
    </row>
    <row r="15002" spans="5:10" s="34" customFormat="1" x14ac:dyDescent="0.35">
      <c r="E15002" s="35"/>
      <c r="J15002" s="41"/>
    </row>
    <row r="15003" spans="5:10" s="34" customFormat="1" x14ac:dyDescent="0.35">
      <c r="E15003" s="35"/>
      <c r="J15003" s="41"/>
    </row>
    <row r="15004" spans="5:10" s="34" customFormat="1" x14ac:dyDescent="0.35">
      <c r="E15004" s="35"/>
      <c r="J15004" s="41"/>
    </row>
    <row r="15005" spans="5:10" s="34" customFormat="1" x14ac:dyDescent="0.35">
      <c r="E15005" s="35"/>
      <c r="J15005" s="41"/>
    </row>
    <row r="15006" spans="5:10" s="34" customFormat="1" x14ac:dyDescent="0.35">
      <c r="E15006" s="35"/>
      <c r="J15006" s="41"/>
    </row>
    <row r="15007" spans="5:10" s="34" customFormat="1" x14ac:dyDescent="0.35">
      <c r="E15007" s="35"/>
      <c r="J15007" s="41"/>
    </row>
    <row r="15008" spans="5:10" s="34" customFormat="1" x14ac:dyDescent="0.35">
      <c r="E15008" s="35"/>
      <c r="J15008" s="41"/>
    </row>
    <row r="15009" spans="5:10" s="34" customFormat="1" x14ac:dyDescent="0.35">
      <c r="E15009" s="35"/>
      <c r="J15009" s="41"/>
    </row>
    <row r="15010" spans="5:10" s="34" customFormat="1" x14ac:dyDescent="0.35">
      <c r="E15010" s="35"/>
      <c r="J15010" s="41"/>
    </row>
    <row r="15011" spans="5:10" s="34" customFormat="1" x14ac:dyDescent="0.35">
      <c r="E15011" s="35"/>
      <c r="J15011" s="41"/>
    </row>
    <row r="15012" spans="5:10" s="34" customFormat="1" x14ac:dyDescent="0.35">
      <c r="E15012" s="35"/>
      <c r="J15012" s="41"/>
    </row>
    <row r="15013" spans="5:10" s="34" customFormat="1" x14ac:dyDescent="0.35">
      <c r="E15013" s="35"/>
      <c r="J15013" s="41"/>
    </row>
    <row r="15014" spans="5:10" s="34" customFormat="1" x14ac:dyDescent="0.35">
      <c r="E15014" s="35"/>
      <c r="J15014" s="41"/>
    </row>
    <row r="15015" spans="5:10" s="34" customFormat="1" x14ac:dyDescent="0.35">
      <c r="E15015" s="35"/>
      <c r="J15015" s="41"/>
    </row>
    <row r="15016" spans="5:10" s="34" customFormat="1" x14ac:dyDescent="0.35">
      <c r="E15016" s="35"/>
      <c r="J15016" s="41"/>
    </row>
    <row r="15017" spans="5:10" s="34" customFormat="1" x14ac:dyDescent="0.35">
      <c r="E15017" s="35"/>
      <c r="J15017" s="41"/>
    </row>
    <row r="15018" spans="5:10" s="34" customFormat="1" x14ac:dyDescent="0.35">
      <c r="E15018" s="35"/>
      <c r="J15018" s="41"/>
    </row>
    <row r="15019" spans="5:10" s="34" customFormat="1" x14ac:dyDescent="0.35">
      <c r="E15019" s="35"/>
      <c r="J15019" s="41"/>
    </row>
    <row r="15020" spans="5:10" s="34" customFormat="1" x14ac:dyDescent="0.35">
      <c r="E15020" s="35"/>
      <c r="J15020" s="41"/>
    </row>
    <row r="15021" spans="5:10" s="34" customFormat="1" x14ac:dyDescent="0.35">
      <c r="E15021" s="35"/>
      <c r="J15021" s="41"/>
    </row>
    <row r="15022" spans="5:10" s="34" customFormat="1" x14ac:dyDescent="0.35">
      <c r="E15022" s="35"/>
      <c r="J15022" s="41"/>
    </row>
    <row r="15023" spans="5:10" s="34" customFormat="1" x14ac:dyDescent="0.35">
      <c r="E15023" s="35"/>
      <c r="J15023" s="41"/>
    </row>
    <row r="15024" spans="5:10" s="34" customFormat="1" x14ac:dyDescent="0.35">
      <c r="E15024" s="35"/>
      <c r="J15024" s="41"/>
    </row>
    <row r="15025" spans="5:10" s="34" customFormat="1" x14ac:dyDescent="0.35">
      <c r="E15025" s="35"/>
      <c r="J15025" s="41"/>
    </row>
    <row r="15026" spans="5:10" s="34" customFormat="1" x14ac:dyDescent="0.35">
      <c r="E15026" s="35"/>
      <c r="J15026" s="41"/>
    </row>
    <row r="15027" spans="5:10" s="34" customFormat="1" x14ac:dyDescent="0.35">
      <c r="E15027" s="35"/>
      <c r="J15027" s="41"/>
    </row>
    <row r="15028" spans="5:10" s="34" customFormat="1" x14ac:dyDescent="0.35">
      <c r="E15028" s="35"/>
      <c r="J15028" s="41"/>
    </row>
    <row r="15029" spans="5:10" s="34" customFormat="1" x14ac:dyDescent="0.35">
      <c r="E15029" s="35"/>
      <c r="J15029" s="41"/>
    </row>
    <row r="15030" spans="5:10" s="34" customFormat="1" x14ac:dyDescent="0.35">
      <c r="E15030" s="35"/>
      <c r="J15030" s="41"/>
    </row>
    <row r="15031" spans="5:10" s="34" customFormat="1" x14ac:dyDescent="0.35">
      <c r="E15031" s="35"/>
      <c r="J15031" s="41"/>
    </row>
    <row r="15032" spans="5:10" s="34" customFormat="1" x14ac:dyDescent="0.35">
      <c r="E15032" s="35"/>
      <c r="J15032" s="41"/>
    </row>
    <row r="15033" spans="5:10" s="34" customFormat="1" x14ac:dyDescent="0.35">
      <c r="E15033" s="35"/>
      <c r="J15033" s="41"/>
    </row>
    <row r="15034" spans="5:10" s="34" customFormat="1" x14ac:dyDescent="0.35">
      <c r="E15034" s="35"/>
      <c r="J15034" s="41"/>
    </row>
    <row r="15035" spans="5:10" s="34" customFormat="1" x14ac:dyDescent="0.35">
      <c r="E15035" s="35"/>
      <c r="J15035" s="41"/>
    </row>
    <row r="15036" spans="5:10" s="34" customFormat="1" x14ac:dyDescent="0.35">
      <c r="E15036" s="35"/>
      <c r="J15036" s="41"/>
    </row>
    <row r="15037" spans="5:10" s="34" customFormat="1" x14ac:dyDescent="0.35">
      <c r="E15037" s="35"/>
      <c r="J15037" s="41"/>
    </row>
    <row r="15038" spans="5:10" s="34" customFormat="1" x14ac:dyDescent="0.35">
      <c r="E15038" s="35"/>
      <c r="J15038" s="41"/>
    </row>
    <row r="15039" spans="5:10" s="34" customFormat="1" x14ac:dyDescent="0.35">
      <c r="E15039" s="35"/>
      <c r="J15039" s="41"/>
    </row>
    <row r="15040" spans="5:10" s="34" customFormat="1" x14ac:dyDescent="0.35">
      <c r="E15040" s="35"/>
      <c r="J15040" s="41"/>
    </row>
    <row r="15041" spans="5:10" s="34" customFormat="1" x14ac:dyDescent="0.35">
      <c r="E15041" s="35"/>
      <c r="J15041" s="41"/>
    </row>
    <row r="15042" spans="5:10" s="34" customFormat="1" x14ac:dyDescent="0.35">
      <c r="E15042" s="35"/>
      <c r="J15042" s="41"/>
    </row>
    <row r="15043" spans="5:10" s="34" customFormat="1" x14ac:dyDescent="0.35">
      <c r="E15043" s="35"/>
      <c r="J15043" s="41"/>
    </row>
    <row r="15044" spans="5:10" s="34" customFormat="1" x14ac:dyDescent="0.35">
      <c r="E15044" s="35"/>
      <c r="J15044" s="41"/>
    </row>
    <row r="15045" spans="5:10" s="34" customFormat="1" x14ac:dyDescent="0.35">
      <c r="E15045" s="35"/>
      <c r="J15045" s="41"/>
    </row>
    <row r="15046" spans="5:10" s="34" customFormat="1" x14ac:dyDescent="0.35">
      <c r="E15046" s="35"/>
      <c r="J15046" s="41"/>
    </row>
    <row r="15047" spans="5:10" s="34" customFormat="1" x14ac:dyDescent="0.35">
      <c r="E15047" s="35"/>
      <c r="J15047" s="41"/>
    </row>
    <row r="15048" spans="5:10" s="34" customFormat="1" x14ac:dyDescent="0.35">
      <c r="E15048" s="35"/>
      <c r="J15048" s="41"/>
    </row>
    <row r="15049" spans="5:10" s="34" customFormat="1" x14ac:dyDescent="0.35">
      <c r="E15049" s="35"/>
      <c r="J15049" s="41"/>
    </row>
    <row r="15050" spans="5:10" s="34" customFormat="1" x14ac:dyDescent="0.35">
      <c r="E15050" s="35"/>
      <c r="J15050" s="41"/>
    </row>
    <row r="15051" spans="5:10" s="34" customFormat="1" x14ac:dyDescent="0.35">
      <c r="E15051" s="35"/>
      <c r="J15051" s="41"/>
    </row>
    <row r="15052" spans="5:10" s="34" customFormat="1" x14ac:dyDescent="0.35">
      <c r="E15052" s="35"/>
      <c r="J15052" s="41"/>
    </row>
    <row r="15053" spans="5:10" s="34" customFormat="1" x14ac:dyDescent="0.35">
      <c r="E15053" s="35"/>
      <c r="J15053" s="41"/>
    </row>
    <row r="15054" spans="5:10" s="34" customFormat="1" x14ac:dyDescent="0.35">
      <c r="E15054" s="35"/>
      <c r="J15054" s="41"/>
    </row>
    <row r="15055" spans="5:10" s="34" customFormat="1" x14ac:dyDescent="0.35">
      <c r="E15055" s="35"/>
      <c r="J15055" s="41"/>
    </row>
    <row r="15056" spans="5:10" s="34" customFormat="1" x14ac:dyDescent="0.35">
      <c r="E15056" s="35"/>
      <c r="J15056" s="41"/>
    </row>
    <row r="15057" spans="5:10" s="34" customFormat="1" x14ac:dyDescent="0.35">
      <c r="E15057" s="35"/>
      <c r="J15057" s="41"/>
    </row>
    <row r="15058" spans="5:10" s="34" customFormat="1" x14ac:dyDescent="0.35">
      <c r="E15058" s="35"/>
      <c r="J15058" s="41"/>
    </row>
    <row r="15059" spans="5:10" s="34" customFormat="1" x14ac:dyDescent="0.35">
      <c r="E15059" s="35"/>
      <c r="J15059" s="41"/>
    </row>
    <row r="15060" spans="5:10" s="34" customFormat="1" x14ac:dyDescent="0.35">
      <c r="E15060" s="35"/>
      <c r="J15060" s="41"/>
    </row>
    <row r="15061" spans="5:10" s="34" customFormat="1" x14ac:dyDescent="0.35">
      <c r="E15061" s="35"/>
      <c r="J15061" s="41"/>
    </row>
    <row r="15062" spans="5:10" s="34" customFormat="1" x14ac:dyDescent="0.35">
      <c r="E15062" s="35"/>
      <c r="J15062" s="41"/>
    </row>
    <row r="15063" spans="5:10" s="34" customFormat="1" x14ac:dyDescent="0.35">
      <c r="E15063" s="35"/>
      <c r="J15063" s="41"/>
    </row>
    <row r="15064" spans="5:10" s="34" customFormat="1" x14ac:dyDescent="0.35">
      <c r="E15064" s="35"/>
      <c r="J15064" s="41"/>
    </row>
    <row r="15065" spans="5:10" s="34" customFormat="1" x14ac:dyDescent="0.35">
      <c r="E15065" s="35"/>
      <c r="J15065" s="41"/>
    </row>
    <row r="15066" spans="5:10" s="34" customFormat="1" x14ac:dyDescent="0.35">
      <c r="E15066" s="35"/>
      <c r="J15066" s="41"/>
    </row>
    <row r="15067" spans="5:10" s="34" customFormat="1" x14ac:dyDescent="0.35">
      <c r="E15067" s="35"/>
      <c r="J15067" s="41"/>
    </row>
    <row r="15068" spans="5:10" s="34" customFormat="1" x14ac:dyDescent="0.35">
      <c r="E15068" s="35"/>
      <c r="J15068" s="41"/>
    </row>
    <row r="15069" spans="5:10" s="34" customFormat="1" x14ac:dyDescent="0.35">
      <c r="E15069" s="35"/>
      <c r="J15069" s="41"/>
    </row>
    <row r="15070" spans="5:10" s="34" customFormat="1" x14ac:dyDescent="0.35">
      <c r="E15070" s="35"/>
      <c r="J15070" s="41"/>
    </row>
    <row r="15071" spans="5:10" s="34" customFormat="1" x14ac:dyDescent="0.35">
      <c r="E15071" s="35"/>
      <c r="J15071" s="41"/>
    </row>
    <row r="15072" spans="5:10" s="34" customFormat="1" x14ac:dyDescent="0.35">
      <c r="E15072" s="35"/>
      <c r="J15072" s="41"/>
    </row>
    <row r="15073" spans="5:10" s="34" customFormat="1" x14ac:dyDescent="0.35">
      <c r="E15073" s="35"/>
      <c r="J15073" s="41"/>
    </row>
    <row r="15074" spans="5:10" s="34" customFormat="1" x14ac:dyDescent="0.35">
      <c r="E15074" s="35"/>
      <c r="J15074" s="41"/>
    </row>
    <row r="15075" spans="5:10" s="34" customFormat="1" x14ac:dyDescent="0.35">
      <c r="E15075" s="35"/>
      <c r="J15075" s="41"/>
    </row>
    <row r="15076" spans="5:10" s="34" customFormat="1" x14ac:dyDescent="0.35">
      <c r="E15076" s="35"/>
      <c r="J15076" s="41"/>
    </row>
    <row r="15077" spans="5:10" s="34" customFormat="1" x14ac:dyDescent="0.35">
      <c r="E15077" s="35"/>
      <c r="J15077" s="41"/>
    </row>
    <row r="15078" spans="5:10" s="34" customFormat="1" x14ac:dyDescent="0.35">
      <c r="E15078" s="35"/>
      <c r="J15078" s="41"/>
    </row>
    <row r="15079" spans="5:10" s="34" customFormat="1" x14ac:dyDescent="0.35">
      <c r="E15079" s="35"/>
      <c r="J15079" s="41"/>
    </row>
    <row r="15080" spans="5:10" s="34" customFormat="1" x14ac:dyDescent="0.35">
      <c r="E15080" s="35"/>
      <c r="J15080" s="41"/>
    </row>
    <row r="15081" spans="5:10" s="34" customFormat="1" x14ac:dyDescent="0.35">
      <c r="E15081" s="35"/>
      <c r="J15081" s="41"/>
    </row>
    <row r="15082" spans="5:10" s="34" customFormat="1" x14ac:dyDescent="0.35">
      <c r="E15082" s="35"/>
      <c r="J15082" s="41"/>
    </row>
    <row r="15083" spans="5:10" s="34" customFormat="1" x14ac:dyDescent="0.35">
      <c r="E15083" s="35"/>
      <c r="J15083" s="41"/>
    </row>
    <row r="15084" spans="5:10" s="34" customFormat="1" x14ac:dyDescent="0.35">
      <c r="E15084" s="35"/>
      <c r="J15084" s="41"/>
    </row>
    <row r="15085" spans="5:10" s="34" customFormat="1" x14ac:dyDescent="0.35">
      <c r="E15085" s="35"/>
      <c r="J15085" s="41"/>
    </row>
    <row r="15086" spans="5:10" s="34" customFormat="1" x14ac:dyDescent="0.35">
      <c r="E15086" s="35"/>
      <c r="J15086" s="41"/>
    </row>
    <row r="15087" spans="5:10" s="34" customFormat="1" x14ac:dyDescent="0.35">
      <c r="E15087" s="35"/>
      <c r="J15087" s="41"/>
    </row>
    <row r="15088" spans="5:10" s="34" customFormat="1" x14ac:dyDescent="0.35">
      <c r="E15088" s="35"/>
      <c r="J15088" s="41"/>
    </row>
    <row r="15089" spans="5:10" s="34" customFormat="1" x14ac:dyDescent="0.35">
      <c r="E15089" s="35"/>
      <c r="J15089" s="41"/>
    </row>
    <row r="15090" spans="5:10" s="34" customFormat="1" x14ac:dyDescent="0.35">
      <c r="E15090" s="35"/>
      <c r="J15090" s="41"/>
    </row>
    <row r="15091" spans="5:10" s="34" customFormat="1" x14ac:dyDescent="0.35">
      <c r="E15091" s="35"/>
      <c r="J15091" s="41"/>
    </row>
    <row r="15092" spans="5:10" s="34" customFormat="1" x14ac:dyDescent="0.35">
      <c r="E15092" s="35"/>
      <c r="J15092" s="41"/>
    </row>
    <row r="15093" spans="5:10" s="34" customFormat="1" x14ac:dyDescent="0.35">
      <c r="E15093" s="35"/>
      <c r="J15093" s="41"/>
    </row>
    <row r="15094" spans="5:10" s="34" customFormat="1" x14ac:dyDescent="0.35">
      <c r="E15094" s="35"/>
      <c r="J15094" s="41"/>
    </row>
    <row r="15095" spans="5:10" s="34" customFormat="1" x14ac:dyDescent="0.35">
      <c r="E15095" s="35"/>
      <c r="J15095" s="41"/>
    </row>
    <row r="15096" spans="5:10" s="34" customFormat="1" x14ac:dyDescent="0.35">
      <c r="E15096" s="35"/>
      <c r="J15096" s="41"/>
    </row>
    <row r="15097" spans="5:10" s="34" customFormat="1" x14ac:dyDescent="0.35">
      <c r="E15097" s="35"/>
      <c r="J15097" s="41"/>
    </row>
    <row r="15098" spans="5:10" s="34" customFormat="1" x14ac:dyDescent="0.35">
      <c r="E15098" s="35"/>
      <c r="J15098" s="41"/>
    </row>
    <row r="15099" spans="5:10" s="34" customFormat="1" x14ac:dyDescent="0.35">
      <c r="E15099" s="35"/>
      <c r="J15099" s="41"/>
    </row>
    <row r="15100" spans="5:10" s="34" customFormat="1" x14ac:dyDescent="0.35">
      <c r="E15100" s="35"/>
      <c r="J15100" s="41"/>
    </row>
    <row r="15101" spans="5:10" s="34" customFormat="1" x14ac:dyDescent="0.35">
      <c r="E15101" s="35"/>
      <c r="J15101" s="41"/>
    </row>
    <row r="15102" spans="5:10" s="34" customFormat="1" x14ac:dyDescent="0.35">
      <c r="E15102" s="35"/>
      <c r="J15102" s="41"/>
    </row>
    <row r="15103" spans="5:10" s="34" customFormat="1" x14ac:dyDescent="0.35">
      <c r="E15103" s="35"/>
      <c r="J15103" s="41"/>
    </row>
    <row r="15104" spans="5:10" s="34" customFormat="1" x14ac:dyDescent="0.35">
      <c r="E15104" s="35"/>
      <c r="J15104" s="41"/>
    </row>
    <row r="15105" spans="5:10" s="34" customFormat="1" x14ac:dyDescent="0.35">
      <c r="E15105" s="35"/>
      <c r="J15105" s="41"/>
    </row>
    <row r="15106" spans="5:10" s="34" customFormat="1" x14ac:dyDescent="0.35">
      <c r="E15106" s="35"/>
      <c r="J15106" s="41"/>
    </row>
    <row r="15107" spans="5:10" s="34" customFormat="1" x14ac:dyDescent="0.35">
      <c r="E15107" s="35"/>
      <c r="J15107" s="41"/>
    </row>
    <row r="15108" spans="5:10" s="34" customFormat="1" x14ac:dyDescent="0.35">
      <c r="E15108" s="35"/>
      <c r="J15108" s="41"/>
    </row>
    <row r="15109" spans="5:10" s="34" customFormat="1" x14ac:dyDescent="0.35">
      <c r="E15109" s="35"/>
      <c r="J15109" s="41"/>
    </row>
    <row r="15110" spans="5:10" s="34" customFormat="1" x14ac:dyDescent="0.35">
      <c r="E15110" s="35"/>
      <c r="J15110" s="41"/>
    </row>
    <row r="15111" spans="5:10" s="34" customFormat="1" x14ac:dyDescent="0.35">
      <c r="E15111" s="35"/>
      <c r="J15111" s="41"/>
    </row>
    <row r="15112" spans="5:10" s="34" customFormat="1" x14ac:dyDescent="0.35">
      <c r="E15112" s="35"/>
      <c r="J15112" s="41"/>
    </row>
    <row r="15113" spans="5:10" s="34" customFormat="1" x14ac:dyDescent="0.35">
      <c r="E15113" s="35"/>
      <c r="J15113" s="41"/>
    </row>
    <row r="15114" spans="5:10" s="34" customFormat="1" x14ac:dyDescent="0.35">
      <c r="E15114" s="35"/>
      <c r="J15114" s="41"/>
    </row>
    <row r="15115" spans="5:10" s="34" customFormat="1" x14ac:dyDescent="0.35">
      <c r="E15115" s="35"/>
      <c r="J15115" s="41"/>
    </row>
    <row r="15116" spans="5:10" s="34" customFormat="1" x14ac:dyDescent="0.35">
      <c r="E15116" s="35"/>
      <c r="J15116" s="41"/>
    </row>
    <row r="15117" spans="5:10" s="34" customFormat="1" x14ac:dyDescent="0.35">
      <c r="E15117" s="35"/>
      <c r="J15117" s="41"/>
    </row>
    <row r="15118" spans="5:10" s="34" customFormat="1" x14ac:dyDescent="0.35">
      <c r="E15118" s="35"/>
      <c r="J15118" s="41"/>
    </row>
    <row r="15119" spans="5:10" s="34" customFormat="1" x14ac:dyDescent="0.35">
      <c r="E15119" s="35"/>
      <c r="J15119" s="41"/>
    </row>
    <row r="15120" spans="5:10" s="34" customFormat="1" x14ac:dyDescent="0.35">
      <c r="E15120" s="35"/>
      <c r="J15120" s="41"/>
    </row>
    <row r="15121" spans="5:10" s="34" customFormat="1" x14ac:dyDescent="0.35">
      <c r="E15121" s="35"/>
      <c r="J15121" s="41"/>
    </row>
    <row r="15122" spans="5:10" s="34" customFormat="1" x14ac:dyDescent="0.35">
      <c r="E15122" s="35"/>
      <c r="J15122" s="41"/>
    </row>
    <row r="15123" spans="5:10" s="34" customFormat="1" x14ac:dyDescent="0.35">
      <c r="E15123" s="35"/>
      <c r="J15123" s="41"/>
    </row>
    <row r="15124" spans="5:10" s="34" customFormat="1" x14ac:dyDescent="0.35">
      <c r="E15124" s="35"/>
      <c r="J15124" s="41"/>
    </row>
    <row r="15125" spans="5:10" s="34" customFormat="1" x14ac:dyDescent="0.35">
      <c r="E15125" s="35"/>
      <c r="J15125" s="41"/>
    </row>
    <row r="15126" spans="5:10" s="34" customFormat="1" x14ac:dyDescent="0.35">
      <c r="E15126" s="35"/>
      <c r="J15126" s="41"/>
    </row>
    <row r="15127" spans="5:10" s="34" customFormat="1" x14ac:dyDescent="0.35">
      <c r="E15127" s="35"/>
      <c r="J15127" s="41"/>
    </row>
    <row r="15128" spans="5:10" s="34" customFormat="1" x14ac:dyDescent="0.35">
      <c r="E15128" s="35"/>
      <c r="J15128" s="41"/>
    </row>
    <row r="15129" spans="5:10" s="34" customFormat="1" x14ac:dyDescent="0.35">
      <c r="E15129" s="35"/>
      <c r="J15129" s="41"/>
    </row>
    <row r="15130" spans="5:10" s="34" customFormat="1" x14ac:dyDescent="0.35">
      <c r="E15130" s="35"/>
      <c r="J15130" s="41"/>
    </row>
    <row r="15131" spans="5:10" s="34" customFormat="1" x14ac:dyDescent="0.35">
      <c r="E15131" s="35"/>
      <c r="J15131" s="41"/>
    </row>
    <row r="15132" spans="5:10" s="34" customFormat="1" x14ac:dyDescent="0.35">
      <c r="E15132" s="35"/>
      <c r="J15132" s="41"/>
    </row>
    <row r="15133" spans="5:10" s="34" customFormat="1" x14ac:dyDescent="0.35">
      <c r="E15133" s="35"/>
      <c r="J15133" s="41"/>
    </row>
    <row r="15134" spans="5:10" s="34" customFormat="1" x14ac:dyDescent="0.35">
      <c r="E15134" s="35"/>
      <c r="J15134" s="41"/>
    </row>
    <row r="15135" spans="5:10" s="34" customFormat="1" x14ac:dyDescent="0.35">
      <c r="E15135" s="35"/>
      <c r="J15135" s="41"/>
    </row>
    <row r="15136" spans="5:10" s="34" customFormat="1" x14ac:dyDescent="0.35">
      <c r="E15136" s="35"/>
      <c r="J15136" s="41"/>
    </row>
    <row r="15137" spans="5:10" s="34" customFormat="1" x14ac:dyDescent="0.35">
      <c r="E15137" s="35"/>
      <c r="J15137" s="41"/>
    </row>
    <row r="15138" spans="5:10" s="34" customFormat="1" x14ac:dyDescent="0.35">
      <c r="E15138" s="35"/>
      <c r="J15138" s="41"/>
    </row>
    <row r="15139" spans="5:10" s="34" customFormat="1" x14ac:dyDescent="0.35">
      <c r="E15139" s="35"/>
      <c r="J15139" s="41"/>
    </row>
    <row r="15140" spans="5:10" s="34" customFormat="1" x14ac:dyDescent="0.35">
      <c r="E15140" s="35"/>
      <c r="J15140" s="41"/>
    </row>
    <row r="15141" spans="5:10" s="34" customFormat="1" x14ac:dyDescent="0.35">
      <c r="E15141" s="35"/>
      <c r="J15141" s="41"/>
    </row>
    <row r="15142" spans="5:10" s="34" customFormat="1" x14ac:dyDescent="0.35">
      <c r="E15142" s="35"/>
      <c r="J15142" s="41"/>
    </row>
    <row r="15143" spans="5:10" s="34" customFormat="1" x14ac:dyDescent="0.35">
      <c r="E15143" s="35"/>
      <c r="J15143" s="41"/>
    </row>
    <row r="15144" spans="5:10" s="34" customFormat="1" x14ac:dyDescent="0.35">
      <c r="E15144" s="35"/>
      <c r="J15144" s="41"/>
    </row>
    <row r="15145" spans="5:10" s="34" customFormat="1" x14ac:dyDescent="0.35">
      <c r="E15145" s="35"/>
      <c r="J15145" s="41"/>
    </row>
    <row r="15146" spans="5:10" s="34" customFormat="1" x14ac:dyDescent="0.35">
      <c r="E15146" s="35"/>
      <c r="J15146" s="41"/>
    </row>
    <row r="15147" spans="5:10" s="34" customFormat="1" x14ac:dyDescent="0.35">
      <c r="E15147" s="35"/>
      <c r="J15147" s="41"/>
    </row>
    <row r="15148" spans="5:10" s="34" customFormat="1" x14ac:dyDescent="0.35">
      <c r="E15148" s="35"/>
      <c r="J15148" s="41"/>
    </row>
    <row r="15149" spans="5:10" s="34" customFormat="1" x14ac:dyDescent="0.35">
      <c r="E15149" s="35"/>
      <c r="J15149" s="41"/>
    </row>
    <row r="15150" spans="5:10" s="34" customFormat="1" x14ac:dyDescent="0.35">
      <c r="E15150" s="35"/>
      <c r="J15150" s="41"/>
    </row>
    <row r="15151" spans="5:10" s="34" customFormat="1" x14ac:dyDescent="0.35">
      <c r="E15151" s="35"/>
      <c r="J15151" s="41"/>
    </row>
    <row r="15152" spans="5:10" s="34" customFormat="1" x14ac:dyDescent="0.35">
      <c r="E15152" s="35"/>
      <c r="J15152" s="41"/>
    </row>
    <row r="15153" spans="5:10" s="34" customFormat="1" x14ac:dyDescent="0.35">
      <c r="E15153" s="35"/>
      <c r="J15153" s="41"/>
    </row>
    <row r="15154" spans="5:10" s="34" customFormat="1" x14ac:dyDescent="0.35">
      <c r="E15154" s="35"/>
      <c r="J15154" s="41"/>
    </row>
    <row r="15155" spans="5:10" s="34" customFormat="1" x14ac:dyDescent="0.35">
      <c r="E15155" s="35"/>
      <c r="J15155" s="41"/>
    </row>
    <row r="15156" spans="5:10" s="34" customFormat="1" x14ac:dyDescent="0.35">
      <c r="E15156" s="35"/>
      <c r="J15156" s="41"/>
    </row>
    <row r="15157" spans="5:10" s="34" customFormat="1" x14ac:dyDescent="0.35">
      <c r="E15157" s="35"/>
      <c r="J15157" s="41"/>
    </row>
    <row r="15158" spans="5:10" s="34" customFormat="1" x14ac:dyDescent="0.35">
      <c r="E15158" s="35"/>
      <c r="J15158" s="41"/>
    </row>
    <row r="15159" spans="5:10" s="34" customFormat="1" x14ac:dyDescent="0.35">
      <c r="E15159" s="35"/>
      <c r="J15159" s="41"/>
    </row>
    <row r="15160" spans="5:10" s="34" customFormat="1" x14ac:dyDescent="0.35">
      <c r="E15160" s="35"/>
      <c r="J15160" s="41"/>
    </row>
    <row r="15161" spans="5:10" s="34" customFormat="1" x14ac:dyDescent="0.35">
      <c r="E15161" s="35"/>
      <c r="J15161" s="41"/>
    </row>
    <row r="15162" spans="5:10" s="34" customFormat="1" x14ac:dyDescent="0.35">
      <c r="E15162" s="35"/>
      <c r="J15162" s="41"/>
    </row>
    <row r="15163" spans="5:10" s="34" customFormat="1" x14ac:dyDescent="0.35">
      <c r="E15163" s="35"/>
      <c r="J15163" s="41"/>
    </row>
    <row r="15164" spans="5:10" s="34" customFormat="1" x14ac:dyDescent="0.35">
      <c r="E15164" s="35"/>
      <c r="J15164" s="41"/>
    </row>
    <row r="15165" spans="5:10" s="34" customFormat="1" x14ac:dyDescent="0.35">
      <c r="E15165" s="35"/>
      <c r="J15165" s="41"/>
    </row>
    <row r="15166" spans="5:10" s="34" customFormat="1" x14ac:dyDescent="0.35">
      <c r="E15166" s="35"/>
      <c r="J15166" s="41"/>
    </row>
    <row r="15167" spans="5:10" s="34" customFormat="1" x14ac:dyDescent="0.35">
      <c r="E15167" s="35"/>
      <c r="J15167" s="41"/>
    </row>
    <row r="15168" spans="5:10" s="34" customFormat="1" x14ac:dyDescent="0.35">
      <c r="E15168" s="35"/>
      <c r="J15168" s="41"/>
    </row>
    <row r="15169" spans="5:10" s="34" customFormat="1" x14ac:dyDescent="0.35">
      <c r="E15169" s="35"/>
      <c r="J15169" s="41"/>
    </row>
    <row r="15170" spans="5:10" s="34" customFormat="1" x14ac:dyDescent="0.35">
      <c r="E15170" s="35"/>
      <c r="J15170" s="41"/>
    </row>
    <row r="15171" spans="5:10" s="34" customFormat="1" x14ac:dyDescent="0.35">
      <c r="E15171" s="35"/>
      <c r="J15171" s="41"/>
    </row>
    <row r="15172" spans="5:10" s="34" customFormat="1" x14ac:dyDescent="0.35">
      <c r="E15172" s="35"/>
      <c r="J15172" s="41"/>
    </row>
    <row r="15173" spans="5:10" s="34" customFormat="1" x14ac:dyDescent="0.35">
      <c r="E15173" s="35"/>
      <c r="J15173" s="41"/>
    </row>
    <row r="15174" spans="5:10" s="34" customFormat="1" x14ac:dyDescent="0.35">
      <c r="E15174" s="35"/>
      <c r="J15174" s="41"/>
    </row>
    <row r="15175" spans="5:10" s="34" customFormat="1" x14ac:dyDescent="0.35">
      <c r="E15175" s="35"/>
      <c r="J15175" s="41"/>
    </row>
    <row r="15176" spans="5:10" s="34" customFormat="1" x14ac:dyDescent="0.35">
      <c r="E15176" s="35"/>
      <c r="J15176" s="41"/>
    </row>
    <row r="15177" spans="5:10" s="34" customFormat="1" x14ac:dyDescent="0.35">
      <c r="E15177" s="35"/>
      <c r="J15177" s="41"/>
    </row>
    <row r="15178" spans="5:10" s="34" customFormat="1" x14ac:dyDescent="0.35">
      <c r="E15178" s="35"/>
      <c r="J15178" s="41"/>
    </row>
    <row r="15179" spans="5:10" s="34" customFormat="1" x14ac:dyDescent="0.35">
      <c r="E15179" s="35"/>
      <c r="J15179" s="41"/>
    </row>
    <row r="15180" spans="5:10" s="34" customFormat="1" x14ac:dyDescent="0.35">
      <c r="E15180" s="35"/>
      <c r="J15180" s="41"/>
    </row>
    <row r="15181" spans="5:10" s="34" customFormat="1" x14ac:dyDescent="0.35">
      <c r="E15181" s="35"/>
      <c r="J15181" s="41"/>
    </row>
    <row r="15182" spans="5:10" s="34" customFormat="1" x14ac:dyDescent="0.35">
      <c r="E15182" s="35"/>
      <c r="J15182" s="41"/>
    </row>
    <row r="15183" spans="5:10" s="34" customFormat="1" x14ac:dyDescent="0.35">
      <c r="E15183" s="35"/>
      <c r="J15183" s="41"/>
    </row>
    <row r="15184" spans="5:10" s="34" customFormat="1" x14ac:dyDescent="0.35">
      <c r="E15184" s="35"/>
      <c r="J15184" s="41"/>
    </row>
    <row r="15185" spans="5:10" s="34" customFormat="1" x14ac:dyDescent="0.35">
      <c r="E15185" s="35"/>
      <c r="J15185" s="41"/>
    </row>
    <row r="15186" spans="5:10" s="34" customFormat="1" x14ac:dyDescent="0.35">
      <c r="E15186" s="35"/>
      <c r="J15186" s="41"/>
    </row>
    <row r="15187" spans="5:10" s="34" customFormat="1" x14ac:dyDescent="0.35">
      <c r="E15187" s="35"/>
      <c r="J15187" s="41"/>
    </row>
    <row r="15188" spans="5:10" s="34" customFormat="1" x14ac:dyDescent="0.35">
      <c r="E15188" s="35"/>
      <c r="J15188" s="41"/>
    </row>
    <row r="15189" spans="5:10" s="34" customFormat="1" x14ac:dyDescent="0.35">
      <c r="E15189" s="35"/>
      <c r="J15189" s="41"/>
    </row>
    <row r="15190" spans="5:10" s="34" customFormat="1" x14ac:dyDescent="0.35">
      <c r="E15190" s="35"/>
      <c r="J15190" s="41"/>
    </row>
    <row r="15191" spans="5:10" s="34" customFormat="1" x14ac:dyDescent="0.35">
      <c r="E15191" s="35"/>
      <c r="J15191" s="41"/>
    </row>
    <row r="15192" spans="5:10" s="34" customFormat="1" x14ac:dyDescent="0.35">
      <c r="E15192" s="35"/>
      <c r="J15192" s="41"/>
    </row>
    <row r="15193" spans="5:10" s="34" customFormat="1" x14ac:dyDescent="0.35">
      <c r="E15193" s="35"/>
      <c r="J15193" s="41"/>
    </row>
    <row r="15194" spans="5:10" s="34" customFormat="1" x14ac:dyDescent="0.35">
      <c r="E15194" s="35"/>
      <c r="J15194" s="41"/>
    </row>
    <row r="15195" spans="5:10" s="34" customFormat="1" x14ac:dyDescent="0.35">
      <c r="E15195" s="35"/>
      <c r="J15195" s="41"/>
    </row>
    <row r="15196" spans="5:10" s="34" customFormat="1" x14ac:dyDescent="0.35">
      <c r="E15196" s="35"/>
      <c r="J15196" s="41"/>
    </row>
    <row r="15197" spans="5:10" s="34" customFormat="1" x14ac:dyDescent="0.35">
      <c r="E15197" s="35"/>
      <c r="J15197" s="41"/>
    </row>
    <row r="15198" spans="5:10" s="34" customFormat="1" x14ac:dyDescent="0.35">
      <c r="E15198" s="35"/>
      <c r="J15198" s="41"/>
    </row>
    <row r="15199" spans="5:10" s="34" customFormat="1" x14ac:dyDescent="0.35">
      <c r="E15199" s="35"/>
      <c r="J15199" s="41"/>
    </row>
    <row r="15200" spans="5:10" s="34" customFormat="1" x14ac:dyDescent="0.35">
      <c r="E15200" s="35"/>
      <c r="J15200" s="41"/>
    </row>
    <row r="15201" spans="5:10" s="34" customFormat="1" x14ac:dyDescent="0.35">
      <c r="E15201" s="35"/>
      <c r="J15201" s="41"/>
    </row>
    <row r="15202" spans="5:10" s="34" customFormat="1" x14ac:dyDescent="0.35">
      <c r="E15202" s="35"/>
      <c r="J15202" s="41"/>
    </row>
    <row r="15203" spans="5:10" s="34" customFormat="1" x14ac:dyDescent="0.35">
      <c r="E15203" s="35"/>
      <c r="J15203" s="41"/>
    </row>
    <row r="15204" spans="5:10" s="34" customFormat="1" x14ac:dyDescent="0.35">
      <c r="E15204" s="35"/>
      <c r="J15204" s="41"/>
    </row>
    <row r="15205" spans="5:10" s="34" customFormat="1" x14ac:dyDescent="0.35">
      <c r="E15205" s="35"/>
      <c r="J15205" s="41"/>
    </row>
    <row r="15206" spans="5:10" s="34" customFormat="1" x14ac:dyDescent="0.35">
      <c r="E15206" s="35"/>
      <c r="J15206" s="41"/>
    </row>
    <row r="15207" spans="5:10" s="34" customFormat="1" x14ac:dyDescent="0.35">
      <c r="E15207" s="35"/>
      <c r="J15207" s="41"/>
    </row>
    <row r="15208" spans="5:10" s="34" customFormat="1" x14ac:dyDescent="0.35">
      <c r="E15208" s="35"/>
      <c r="J15208" s="41"/>
    </row>
    <row r="15209" spans="5:10" s="34" customFormat="1" x14ac:dyDescent="0.35">
      <c r="E15209" s="35"/>
      <c r="J15209" s="41"/>
    </row>
    <row r="15210" spans="5:10" s="34" customFormat="1" x14ac:dyDescent="0.35">
      <c r="E15210" s="35"/>
      <c r="J15210" s="41"/>
    </row>
    <row r="15211" spans="5:10" s="34" customFormat="1" x14ac:dyDescent="0.35">
      <c r="E15211" s="35"/>
      <c r="J15211" s="41"/>
    </row>
    <row r="15212" spans="5:10" s="34" customFormat="1" x14ac:dyDescent="0.35">
      <c r="E15212" s="35"/>
      <c r="J15212" s="41"/>
    </row>
    <row r="15213" spans="5:10" s="34" customFormat="1" x14ac:dyDescent="0.35">
      <c r="E15213" s="35"/>
      <c r="J15213" s="41"/>
    </row>
    <row r="15214" spans="5:10" s="34" customFormat="1" x14ac:dyDescent="0.35">
      <c r="E15214" s="35"/>
      <c r="J15214" s="41"/>
    </row>
    <row r="15215" spans="5:10" s="34" customFormat="1" x14ac:dyDescent="0.35">
      <c r="E15215" s="35"/>
      <c r="J15215" s="41"/>
    </row>
    <row r="15216" spans="5:10" s="34" customFormat="1" x14ac:dyDescent="0.35">
      <c r="E15216" s="35"/>
      <c r="J15216" s="41"/>
    </row>
    <row r="15217" spans="5:10" s="34" customFormat="1" x14ac:dyDescent="0.35">
      <c r="E15217" s="35"/>
      <c r="J15217" s="41"/>
    </row>
    <row r="15218" spans="5:10" s="34" customFormat="1" x14ac:dyDescent="0.35">
      <c r="E15218" s="35"/>
      <c r="J15218" s="41"/>
    </row>
    <row r="15219" spans="5:10" s="34" customFormat="1" x14ac:dyDescent="0.35">
      <c r="E15219" s="35"/>
      <c r="J15219" s="41"/>
    </row>
    <row r="15220" spans="5:10" s="34" customFormat="1" x14ac:dyDescent="0.35">
      <c r="E15220" s="35"/>
      <c r="J15220" s="41"/>
    </row>
    <row r="15221" spans="5:10" s="34" customFormat="1" x14ac:dyDescent="0.35">
      <c r="E15221" s="35"/>
      <c r="J15221" s="41"/>
    </row>
    <row r="15222" spans="5:10" s="34" customFormat="1" x14ac:dyDescent="0.35">
      <c r="E15222" s="35"/>
      <c r="J15222" s="41"/>
    </row>
    <row r="15223" spans="5:10" s="34" customFormat="1" x14ac:dyDescent="0.35">
      <c r="E15223" s="35"/>
      <c r="J15223" s="41"/>
    </row>
    <row r="15224" spans="5:10" s="34" customFormat="1" x14ac:dyDescent="0.35">
      <c r="E15224" s="35"/>
      <c r="J15224" s="41"/>
    </row>
    <row r="15225" spans="5:10" s="34" customFormat="1" x14ac:dyDescent="0.35">
      <c r="E15225" s="35"/>
      <c r="J15225" s="41"/>
    </row>
    <row r="15226" spans="5:10" s="34" customFormat="1" x14ac:dyDescent="0.35">
      <c r="E15226" s="35"/>
      <c r="J15226" s="41"/>
    </row>
    <row r="15227" spans="5:10" s="34" customFormat="1" x14ac:dyDescent="0.35">
      <c r="E15227" s="35"/>
      <c r="J15227" s="41"/>
    </row>
    <row r="15228" spans="5:10" s="34" customFormat="1" x14ac:dyDescent="0.35">
      <c r="E15228" s="35"/>
      <c r="J15228" s="41"/>
    </row>
    <row r="15229" spans="5:10" s="34" customFormat="1" x14ac:dyDescent="0.35">
      <c r="E15229" s="35"/>
      <c r="J15229" s="41"/>
    </row>
    <row r="15230" spans="5:10" s="34" customFormat="1" x14ac:dyDescent="0.35">
      <c r="E15230" s="35"/>
      <c r="J15230" s="41"/>
    </row>
    <row r="15231" spans="5:10" s="34" customFormat="1" x14ac:dyDescent="0.35">
      <c r="E15231" s="35"/>
      <c r="J15231" s="41"/>
    </row>
    <row r="15232" spans="5:10" s="34" customFormat="1" x14ac:dyDescent="0.35">
      <c r="E15232" s="35"/>
      <c r="J15232" s="41"/>
    </row>
    <row r="15233" spans="5:10" s="34" customFormat="1" x14ac:dyDescent="0.35">
      <c r="E15233" s="35"/>
      <c r="J15233" s="41"/>
    </row>
    <row r="15234" spans="5:10" s="34" customFormat="1" x14ac:dyDescent="0.35">
      <c r="E15234" s="35"/>
      <c r="J15234" s="41"/>
    </row>
    <row r="15235" spans="5:10" s="34" customFormat="1" x14ac:dyDescent="0.35">
      <c r="E15235" s="35"/>
      <c r="J15235" s="41"/>
    </row>
    <row r="15236" spans="5:10" s="34" customFormat="1" x14ac:dyDescent="0.35">
      <c r="E15236" s="35"/>
      <c r="J15236" s="41"/>
    </row>
    <row r="15237" spans="5:10" s="34" customFormat="1" x14ac:dyDescent="0.35">
      <c r="E15237" s="35"/>
      <c r="J15237" s="41"/>
    </row>
    <row r="15238" spans="5:10" s="34" customFormat="1" x14ac:dyDescent="0.35">
      <c r="E15238" s="35"/>
      <c r="J15238" s="41"/>
    </row>
    <row r="15239" spans="5:10" s="34" customFormat="1" x14ac:dyDescent="0.35">
      <c r="E15239" s="35"/>
      <c r="J15239" s="41"/>
    </row>
    <row r="15240" spans="5:10" s="34" customFormat="1" x14ac:dyDescent="0.35">
      <c r="E15240" s="35"/>
      <c r="J15240" s="41"/>
    </row>
    <row r="15241" spans="5:10" s="34" customFormat="1" x14ac:dyDescent="0.35">
      <c r="E15241" s="35"/>
      <c r="J15241" s="41"/>
    </row>
    <row r="15242" spans="5:10" s="34" customFormat="1" x14ac:dyDescent="0.35">
      <c r="E15242" s="35"/>
      <c r="J15242" s="41"/>
    </row>
    <row r="15243" spans="5:10" s="34" customFormat="1" x14ac:dyDescent="0.35">
      <c r="E15243" s="35"/>
      <c r="J15243" s="41"/>
    </row>
    <row r="15244" spans="5:10" s="34" customFormat="1" x14ac:dyDescent="0.35">
      <c r="E15244" s="35"/>
      <c r="J15244" s="41"/>
    </row>
    <row r="15245" spans="5:10" s="34" customFormat="1" x14ac:dyDescent="0.35">
      <c r="E15245" s="35"/>
      <c r="J15245" s="41"/>
    </row>
    <row r="15246" spans="5:10" s="34" customFormat="1" x14ac:dyDescent="0.35">
      <c r="E15246" s="35"/>
      <c r="J15246" s="41"/>
    </row>
    <row r="15247" spans="5:10" s="34" customFormat="1" x14ac:dyDescent="0.35">
      <c r="E15247" s="35"/>
      <c r="J15247" s="41"/>
    </row>
    <row r="15248" spans="5:10" s="34" customFormat="1" x14ac:dyDescent="0.35">
      <c r="E15248" s="35"/>
      <c r="J15248" s="41"/>
    </row>
    <row r="15249" spans="5:10" s="34" customFormat="1" x14ac:dyDescent="0.35">
      <c r="E15249" s="35"/>
      <c r="J15249" s="41"/>
    </row>
    <row r="15250" spans="5:10" s="34" customFormat="1" x14ac:dyDescent="0.35">
      <c r="E15250" s="35"/>
      <c r="J15250" s="41"/>
    </row>
    <row r="15251" spans="5:10" s="34" customFormat="1" x14ac:dyDescent="0.35">
      <c r="E15251" s="35"/>
      <c r="J15251" s="41"/>
    </row>
    <row r="15252" spans="5:10" s="34" customFormat="1" x14ac:dyDescent="0.35">
      <c r="E15252" s="35"/>
      <c r="J15252" s="41"/>
    </row>
    <row r="15253" spans="5:10" s="34" customFormat="1" x14ac:dyDescent="0.35">
      <c r="E15253" s="35"/>
      <c r="J15253" s="41"/>
    </row>
    <row r="15254" spans="5:10" s="34" customFormat="1" x14ac:dyDescent="0.35">
      <c r="E15254" s="35"/>
      <c r="J15254" s="41"/>
    </row>
    <row r="15255" spans="5:10" s="34" customFormat="1" x14ac:dyDescent="0.35">
      <c r="E15255" s="35"/>
      <c r="J15255" s="41"/>
    </row>
    <row r="15256" spans="5:10" s="34" customFormat="1" x14ac:dyDescent="0.35">
      <c r="E15256" s="35"/>
      <c r="J15256" s="41"/>
    </row>
    <row r="15257" spans="5:10" s="34" customFormat="1" x14ac:dyDescent="0.35">
      <c r="E15257" s="35"/>
      <c r="J15257" s="41"/>
    </row>
    <row r="15258" spans="5:10" s="34" customFormat="1" x14ac:dyDescent="0.35">
      <c r="E15258" s="35"/>
      <c r="J15258" s="41"/>
    </row>
    <row r="15259" spans="5:10" s="34" customFormat="1" x14ac:dyDescent="0.35">
      <c r="E15259" s="35"/>
      <c r="J15259" s="41"/>
    </row>
    <row r="15260" spans="5:10" s="34" customFormat="1" x14ac:dyDescent="0.35">
      <c r="E15260" s="35"/>
      <c r="J15260" s="41"/>
    </row>
    <row r="15261" spans="5:10" s="34" customFormat="1" x14ac:dyDescent="0.35">
      <c r="E15261" s="35"/>
      <c r="J15261" s="41"/>
    </row>
    <row r="15262" spans="5:10" s="34" customFormat="1" x14ac:dyDescent="0.35">
      <c r="E15262" s="35"/>
      <c r="J15262" s="41"/>
    </row>
    <row r="15263" spans="5:10" s="34" customFormat="1" x14ac:dyDescent="0.35">
      <c r="E15263" s="35"/>
      <c r="J15263" s="41"/>
    </row>
    <row r="15264" spans="5:10" s="34" customFormat="1" x14ac:dyDescent="0.35">
      <c r="E15264" s="35"/>
      <c r="J15264" s="41"/>
    </row>
    <row r="15265" spans="5:10" s="34" customFormat="1" x14ac:dyDescent="0.35">
      <c r="E15265" s="35"/>
      <c r="J15265" s="41"/>
    </row>
    <row r="15266" spans="5:10" s="34" customFormat="1" x14ac:dyDescent="0.35">
      <c r="E15266" s="35"/>
      <c r="J15266" s="41"/>
    </row>
    <row r="15267" spans="5:10" s="34" customFormat="1" x14ac:dyDescent="0.35">
      <c r="E15267" s="35"/>
      <c r="J15267" s="41"/>
    </row>
    <row r="15268" spans="5:10" s="34" customFormat="1" x14ac:dyDescent="0.35">
      <c r="E15268" s="35"/>
      <c r="J15268" s="41"/>
    </row>
    <row r="15269" spans="5:10" s="34" customFormat="1" x14ac:dyDescent="0.35">
      <c r="E15269" s="35"/>
      <c r="J15269" s="41"/>
    </row>
    <row r="15270" spans="5:10" s="34" customFormat="1" x14ac:dyDescent="0.35">
      <c r="E15270" s="35"/>
      <c r="J15270" s="41"/>
    </row>
    <row r="15271" spans="5:10" s="34" customFormat="1" x14ac:dyDescent="0.35">
      <c r="E15271" s="35"/>
      <c r="J15271" s="41"/>
    </row>
    <row r="15272" spans="5:10" s="34" customFormat="1" x14ac:dyDescent="0.35">
      <c r="E15272" s="35"/>
      <c r="J15272" s="41"/>
    </row>
    <row r="15273" spans="5:10" s="34" customFormat="1" x14ac:dyDescent="0.35">
      <c r="E15273" s="35"/>
      <c r="J15273" s="41"/>
    </row>
    <row r="15274" spans="5:10" s="34" customFormat="1" x14ac:dyDescent="0.35">
      <c r="E15274" s="35"/>
      <c r="J15274" s="41"/>
    </row>
    <row r="15275" spans="5:10" s="34" customFormat="1" x14ac:dyDescent="0.35">
      <c r="E15275" s="35"/>
      <c r="J15275" s="41"/>
    </row>
    <row r="15276" spans="5:10" s="34" customFormat="1" x14ac:dyDescent="0.35">
      <c r="E15276" s="35"/>
      <c r="J15276" s="41"/>
    </row>
    <row r="15277" spans="5:10" s="34" customFormat="1" x14ac:dyDescent="0.35">
      <c r="E15277" s="35"/>
      <c r="J15277" s="41"/>
    </row>
    <row r="15278" spans="5:10" s="34" customFormat="1" x14ac:dyDescent="0.35">
      <c r="E15278" s="35"/>
      <c r="J15278" s="41"/>
    </row>
    <row r="15279" spans="5:10" s="34" customFormat="1" x14ac:dyDescent="0.35">
      <c r="E15279" s="35"/>
      <c r="J15279" s="41"/>
    </row>
    <row r="15280" spans="5:10" s="34" customFormat="1" x14ac:dyDescent="0.35">
      <c r="E15280" s="35"/>
      <c r="J15280" s="41"/>
    </row>
    <row r="15281" spans="5:10" s="34" customFormat="1" x14ac:dyDescent="0.35">
      <c r="E15281" s="35"/>
      <c r="J15281" s="41"/>
    </row>
    <row r="15282" spans="5:10" s="34" customFormat="1" x14ac:dyDescent="0.35">
      <c r="E15282" s="35"/>
      <c r="J15282" s="41"/>
    </row>
    <row r="15283" spans="5:10" s="34" customFormat="1" x14ac:dyDescent="0.35">
      <c r="E15283" s="35"/>
      <c r="J15283" s="41"/>
    </row>
    <row r="15284" spans="5:10" s="34" customFormat="1" x14ac:dyDescent="0.35">
      <c r="E15284" s="35"/>
      <c r="J15284" s="41"/>
    </row>
    <row r="15285" spans="5:10" s="34" customFormat="1" x14ac:dyDescent="0.35">
      <c r="E15285" s="35"/>
      <c r="J15285" s="41"/>
    </row>
    <row r="15286" spans="5:10" s="34" customFormat="1" x14ac:dyDescent="0.35">
      <c r="E15286" s="35"/>
      <c r="J15286" s="41"/>
    </row>
    <row r="15287" spans="5:10" s="34" customFormat="1" x14ac:dyDescent="0.35">
      <c r="E15287" s="35"/>
      <c r="J15287" s="41"/>
    </row>
    <row r="15288" spans="5:10" s="34" customFormat="1" x14ac:dyDescent="0.35">
      <c r="E15288" s="35"/>
      <c r="J15288" s="41"/>
    </row>
    <row r="15289" spans="5:10" s="34" customFormat="1" x14ac:dyDescent="0.35">
      <c r="E15289" s="35"/>
      <c r="J15289" s="41"/>
    </row>
    <row r="15290" spans="5:10" s="34" customFormat="1" x14ac:dyDescent="0.35">
      <c r="E15290" s="35"/>
      <c r="J15290" s="41"/>
    </row>
    <row r="15291" spans="5:10" s="34" customFormat="1" x14ac:dyDescent="0.35">
      <c r="E15291" s="35"/>
      <c r="J15291" s="41"/>
    </row>
    <row r="15292" spans="5:10" s="34" customFormat="1" x14ac:dyDescent="0.35">
      <c r="E15292" s="35"/>
      <c r="J15292" s="41"/>
    </row>
    <row r="15293" spans="5:10" s="34" customFormat="1" x14ac:dyDescent="0.35">
      <c r="E15293" s="35"/>
      <c r="J15293" s="41"/>
    </row>
    <row r="15294" spans="5:10" s="34" customFormat="1" x14ac:dyDescent="0.35">
      <c r="E15294" s="35"/>
      <c r="J15294" s="41"/>
    </row>
    <row r="15295" spans="5:10" s="34" customFormat="1" x14ac:dyDescent="0.35">
      <c r="E15295" s="35"/>
      <c r="J15295" s="41"/>
    </row>
    <row r="15296" spans="5:10" s="34" customFormat="1" x14ac:dyDescent="0.35">
      <c r="E15296" s="35"/>
      <c r="J15296" s="41"/>
    </row>
    <row r="15297" spans="5:10" s="34" customFormat="1" x14ac:dyDescent="0.35">
      <c r="E15297" s="35"/>
      <c r="J15297" s="41"/>
    </row>
    <row r="15298" spans="5:10" s="34" customFormat="1" x14ac:dyDescent="0.35">
      <c r="E15298" s="35"/>
      <c r="J15298" s="41"/>
    </row>
    <row r="15299" spans="5:10" s="34" customFormat="1" x14ac:dyDescent="0.35">
      <c r="E15299" s="35"/>
      <c r="J15299" s="41"/>
    </row>
    <row r="15300" spans="5:10" s="34" customFormat="1" x14ac:dyDescent="0.35">
      <c r="E15300" s="35"/>
      <c r="J15300" s="41"/>
    </row>
    <row r="15301" spans="5:10" s="34" customFormat="1" x14ac:dyDescent="0.35">
      <c r="E15301" s="35"/>
      <c r="J15301" s="41"/>
    </row>
    <row r="15302" spans="5:10" s="34" customFormat="1" x14ac:dyDescent="0.35">
      <c r="E15302" s="35"/>
      <c r="J15302" s="41"/>
    </row>
    <row r="15303" spans="5:10" s="34" customFormat="1" x14ac:dyDescent="0.35">
      <c r="E15303" s="35"/>
      <c r="J15303" s="41"/>
    </row>
    <row r="15304" spans="5:10" s="34" customFormat="1" x14ac:dyDescent="0.35">
      <c r="E15304" s="35"/>
      <c r="J15304" s="41"/>
    </row>
    <row r="15305" spans="5:10" s="34" customFormat="1" x14ac:dyDescent="0.35">
      <c r="E15305" s="35"/>
      <c r="J15305" s="41"/>
    </row>
    <row r="15306" spans="5:10" s="34" customFormat="1" x14ac:dyDescent="0.35">
      <c r="E15306" s="35"/>
      <c r="J15306" s="41"/>
    </row>
    <row r="15307" spans="5:10" s="34" customFormat="1" x14ac:dyDescent="0.35">
      <c r="E15307" s="35"/>
      <c r="J15307" s="41"/>
    </row>
    <row r="15308" spans="5:10" s="34" customFormat="1" x14ac:dyDescent="0.35">
      <c r="E15308" s="35"/>
      <c r="J15308" s="41"/>
    </row>
    <row r="15309" spans="5:10" s="34" customFormat="1" x14ac:dyDescent="0.35">
      <c r="E15309" s="35"/>
      <c r="J15309" s="41"/>
    </row>
    <row r="15310" spans="5:10" s="34" customFormat="1" x14ac:dyDescent="0.35">
      <c r="E15310" s="35"/>
      <c r="J15310" s="41"/>
    </row>
    <row r="15311" spans="5:10" s="34" customFormat="1" x14ac:dyDescent="0.35">
      <c r="E15311" s="35"/>
      <c r="J15311" s="41"/>
    </row>
    <row r="15312" spans="5:10" s="34" customFormat="1" x14ac:dyDescent="0.35">
      <c r="E15312" s="35"/>
      <c r="J15312" s="41"/>
    </row>
    <row r="15313" spans="5:10" s="34" customFormat="1" x14ac:dyDescent="0.35">
      <c r="E15313" s="35"/>
      <c r="J15313" s="41"/>
    </row>
    <row r="15314" spans="5:10" s="34" customFormat="1" x14ac:dyDescent="0.35">
      <c r="E15314" s="35"/>
      <c r="J15314" s="41"/>
    </row>
    <row r="15315" spans="5:10" s="34" customFormat="1" x14ac:dyDescent="0.35">
      <c r="E15315" s="35"/>
      <c r="J15315" s="41"/>
    </row>
    <row r="15316" spans="5:10" s="34" customFormat="1" x14ac:dyDescent="0.35">
      <c r="E15316" s="35"/>
      <c r="J15316" s="41"/>
    </row>
    <row r="15317" spans="5:10" s="34" customFormat="1" x14ac:dyDescent="0.35">
      <c r="E15317" s="35"/>
      <c r="J15317" s="41"/>
    </row>
    <row r="15318" spans="5:10" s="34" customFormat="1" x14ac:dyDescent="0.35">
      <c r="E15318" s="35"/>
      <c r="J15318" s="41"/>
    </row>
    <row r="15319" spans="5:10" s="34" customFormat="1" x14ac:dyDescent="0.35">
      <c r="E15319" s="35"/>
      <c r="J15319" s="41"/>
    </row>
    <row r="15320" spans="5:10" s="34" customFormat="1" x14ac:dyDescent="0.35">
      <c r="E15320" s="35"/>
      <c r="J15320" s="41"/>
    </row>
    <row r="15321" spans="5:10" s="34" customFormat="1" x14ac:dyDescent="0.35">
      <c r="E15321" s="35"/>
      <c r="J15321" s="41"/>
    </row>
    <row r="15322" spans="5:10" s="34" customFormat="1" x14ac:dyDescent="0.35">
      <c r="E15322" s="35"/>
      <c r="J15322" s="41"/>
    </row>
    <row r="15323" spans="5:10" s="34" customFormat="1" x14ac:dyDescent="0.35">
      <c r="E15323" s="35"/>
      <c r="J15323" s="41"/>
    </row>
    <row r="15324" spans="5:10" s="34" customFormat="1" x14ac:dyDescent="0.35">
      <c r="E15324" s="35"/>
      <c r="J15324" s="41"/>
    </row>
    <row r="15325" spans="5:10" s="34" customFormat="1" x14ac:dyDescent="0.35">
      <c r="E15325" s="35"/>
      <c r="J15325" s="41"/>
    </row>
    <row r="15326" spans="5:10" s="34" customFormat="1" x14ac:dyDescent="0.35">
      <c r="E15326" s="35"/>
      <c r="J15326" s="41"/>
    </row>
    <row r="15327" spans="5:10" s="34" customFormat="1" x14ac:dyDescent="0.35">
      <c r="E15327" s="35"/>
      <c r="J15327" s="41"/>
    </row>
    <row r="15328" spans="5:10" s="34" customFormat="1" x14ac:dyDescent="0.35">
      <c r="E15328" s="35"/>
      <c r="J15328" s="41"/>
    </row>
    <row r="15329" spans="5:10" s="34" customFormat="1" x14ac:dyDescent="0.35">
      <c r="E15329" s="35"/>
      <c r="J15329" s="41"/>
    </row>
    <row r="15330" spans="5:10" s="34" customFormat="1" x14ac:dyDescent="0.35">
      <c r="E15330" s="35"/>
      <c r="J15330" s="41"/>
    </row>
    <row r="15331" spans="5:10" s="34" customFormat="1" x14ac:dyDescent="0.35">
      <c r="E15331" s="35"/>
      <c r="J15331" s="41"/>
    </row>
    <row r="15332" spans="5:10" s="34" customFormat="1" x14ac:dyDescent="0.35">
      <c r="E15332" s="35"/>
      <c r="J15332" s="41"/>
    </row>
    <row r="15333" spans="5:10" s="34" customFormat="1" x14ac:dyDescent="0.35">
      <c r="E15333" s="35"/>
      <c r="J15333" s="41"/>
    </row>
    <row r="15334" spans="5:10" s="34" customFormat="1" x14ac:dyDescent="0.35">
      <c r="E15334" s="35"/>
      <c r="J15334" s="41"/>
    </row>
    <row r="15335" spans="5:10" s="34" customFormat="1" x14ac:dyDescent="0.35">
      <c r="E15335" s="35"/>
      <c r="J15335" s="41"/>
    </row>
    <row r="15336" spans="5:10" s="34" customFormat="1" x14ac:dyDescent="0.35">
      <c r="E15336" s="35"/>
      <c r="J15336" s="41"/>
    </row>
    <row r="15337" spans="5:10" s="34" customFormat="1" x14ac:dyDescent="0.35">
      <c r="E15337" s="35"/>
      <c r="J15337" s="41"/>
    </row>
    <row r="15338" spans="5:10" s="34" customFormat="1" x14ac:dyDescent="0.35">
      <c r="E15338" s="35"/>
      <c r="J15338" s="41"/>
    </row>
    <row r="15339" spans="5:10" s="34" customFormat="1" x14ac:dyDescent="0.35">
      <c r="E15339" s="35"/>
      <c r="J15339" s="41"/>
    </row>
    <row r="15340" spans="5:10" s="34" customFormat="1" x14ac:dyDescent="0.35">
      <c r="E15340" s="35"/>
      <c r="J15340" s="41"/>
    </row>
    <row r="15341" spans="5:10" s="34" customFormat="1" x14ac:dyDescent="0.35">
      <c r="E15341" s="35"/>
      <c r="J15341" s="41"/>
    </row>
    <row r="15342" spans="5:10" s="34" customFormat="1" x14ac:dyDescent="0.35">
      <c r="E15342" s="35"/>
      <c r="J15342" s="41"/>
    </row>
    <row r="15343" spans="5:10" s="34" customFormat="1" x14ac:dyDescent="0.35">
      <c r="E15343" s="35"/>
      <c r="J15343" s="41"/>
    </row>
    <row r="15344" spans="5:10" s="34" customFormat="1" x14ac:dyDescent="0.35">
      <c r="E15344" s="35"/>
      <c r="J15344" s="41"/>
    </row>
    <row r="15345" spans="5:10" s="34" customFormat="1" x14ac:dyDescent="0.35">
      <c r="E15345" s="35"/>
      <c r="J15345" s="41"/>
    </row>
    <row r="15346" spans="5:10" s="34" customFormat="1" x14ac:dyDescent="0.35">
      <c r="E15346" s="35"/>
      <c r="J15346" s="41"/>
    </row>
    <row r="15347" spans="5:10" s="34" customFormat="1" x14ac:dyDescent="0.35">
      <c r="E15347" s="35"/>
      <c r="J15347" s="41"/>
    </row>
    <row r="15348" spans="5:10" s="34" customFormat="1" x14ac:dyDescent="0.35">
      <c r="E15348" s="35"/>
      <c r="J15348" s="41"/>
    </row>
    <row r="15349" spans="5:10" s="34" customFormat="1" x14ac:dyDescent="0.35">
      <c r="E15349" s="35"/>
      <c r="J15349" s="41"/>
    </row>
    <row r="15350" spans="5:10" s="34" customFormat="1" x14ac:dyDescent="0.35">
      <c r="E15350" s="35"/>
      <c r="J15350" s="41"/>
    </row>
    <row r="15351" spans="5:10" s="34" customFormat="1" x14ac:dyDescent="0.35">
      <c r="E15351" s="35"/>
      <c r="J15351" s="41"/>
    </row>
    <row r="15352" spans="5:10" s="34" customFormat="1" x14ac:dyDescent="0.35">
      <c r="E15352" s="35"/>
      <c r="J15352" s="41"/>
    </row>
    <row r="15353" spans="5:10" s="34" customFormat="1" x14ac:dyDescent="0.35">
      <c r="E15353" s="35"/>
      <c r="J15353" s="41"/>
    </row>
    <row r="15354" spans="5:10" s="34" customFormat="1" x14ac:dyDescent="0.35">
      <c r="E15354" s="35"/>
      <c r="J15354" s="41"/>
    </row>
    <row r="15355" spans="5:10" s="34" customFormat="1" x14ac:dyDescent="0.35">
      <c r="E15355" s="35"/>
      <c r="J15355" s="41"/>
    </row>
    <row r="15356" spans="5:10" s="34" customFormat="1" x14ac:dyDescent="0.35">
      <c r="E15356" s="35"/>
      <c r="J15356" s="41"/>
    </row>
    <row r="15357" spans="5:10" s="34" customFormat="1" x14ac:dyDescent="0.35">
      <c r="E15357" s="35"/>
      <c r="J15357" s="41"/>
    </row>
    <row r="15358" spans="5:10" s="34" customFormat="1" x14ac:dyDescent="0.35">
      <c r="E15358" s="35"/>
      <c r="J15358" s="41"/>
    </row>
    <row r="15359" spans="5:10" s="34" customFormat="1" x14ac:dyDescent="0.35">
      <c r="E15359" s="35"/>
      <c r="J15359" s="41"/>
    </row>
    <row r="15360" spans="5:10" s="34" customFormat="1" x14ac:dyDescent="0.35">
      <c r="E15360" s="35"/>
      <c r="J15360" s="41"/>
    </row>
    <row r="15361" spans="5:10" s="34" customFormat="1" x14ac:dyDescent="0.35">
      <c r="E15361" s="35"/>
      <c r="J15361" s="41"/>
    </row>
    <row r="15362" spans="5:10" s="34" customFormat="1" x14ac:dyDescent="0.35">
      <c r="E15362" s="35"/>
      <c r="J15362" s="41"/>
    </row>
    <row r="15363" spans="5:10" s="34" customFormat="1" x14ac:dyDescent="0.35">
      <c r="E15363" s="35"/>
      <c r="J15363" s="41"/>
    </row>
    <row r="15364" spans="5:10" s="34" customFormat="1" x14ac:dyDescent="0.35">
      <c r="E15364" s="35"/>
      <c r="J15364" s="41"/>
    </row>
    <row r="15365" spans="5:10" s="34" customFormat="1" x14ac:dyDescent="0.35">
      <c r="E15365" s="35"/>
      <c r="J15365" s="41"/>
    </row>
    <row r="15366" spans="5:10" s="34" customFormat="1" x14ac:dyDescent="0.35">
      <c r="E15366" s="35"/>
      <c r="J15366" s="41"/>
    </row>
    <row r="15367" spans="5:10" s="34" customFormat="1" x14ac:dyDescent="0.35">
      <c r="E15367" s="35"/>
      <c r="J15367" s="41"/>
    </row>
    <row r="15368" spans="5:10" s="34" customFormat="1" x14ac:dyDescent="0.35">
      <c r="E15368" s="35"/>
      <c r="J15368" s="41"/>
    </row>
    <row r="15369" spans="5:10" s="34" customFormat="1" x14ac:dyDescent="0.35">
      <c r="E15369" s="35"/>
      <c r="J15369" s="41"/>
    </row>
    <row r="15370" spans="5:10" s="34" customFormat="1" x14ac:dyDescent="0.35">
      <c r="E15370" s="35"/>
      <c r="J15370" s="41"/>
    </row>
    <row r="15371" spans="5:10" s="34" customFormat="1" x14ac:dyDescent="0.35">
      <c r="E15371" s="35"/>
      <c r="J15371" s="41"/>
    </row>
    <row r="15372" spans="5:10" s="34" customFormat="1" x14ac:dyDescent="0.35">
      <c r="E15372" s="35"/>
      <c r="J15372" s="41"/>
    </row>
    <row r="15373" spans="5:10" s="34" customFormat="1" x14ac:dyDescent="0.35">
      <c r="E15373" s="35"/>
      <c r="J15373" s="41"/>
    </row>
    <row r="15374" spans="5:10" s="34" customFormat="1" x14ac:dyDescent="0.35">
      <c r="E15374" s="35"/>
      <c r="J15374" s="41"/>
    </row>
    <row r="15375" spans="5:10" s="34" customFormat="1" x14ac:dyDescent="0.35">
      <c r="E15375" s="35"/>
      <c r="J15375" s="41"/>
    </row>
    <row r="15376" spans="5:10" s="34" customFormat="1" x14ac:dyDescent="0.35">
      <c r="E15376" s="35"/>
      <c r="J15376" s="41"/>
    </row>
    <row r="15377" spans="5:10" s="34" customFormat="1" x14ac:dyDescent="0.35">
      <c r="E15377" s="35"/>
      <c r="J15377" s="41"/>
    </row>
    <row r="15378" spans="5:10" s="34" customFormat="1" x14ac:dyDescent="0.35">
      <c r="E15378" s="35"/>
      <c r="J15378" s="41"/>
    </row>
    <row r="15379" spans="5:10" s="34" customFormat="1" x14ac:dyDescent="0.35">
      <c r="E15379" s="35"/>
      <c r="J15379" s="41"/>
    </row>
    <row r="15380" spans="5:10" s="34" customFormat="1" x14ac:dyDescent="0.35">
      <c r="E15380" s="35"/>
      <c r="J15380" s="41"/>
    </row>
    <row r="15381" spans="5:10" s="34" customFormat="1" x14ac:dyDescent="0.35">
      <c r="E15381" s="35"/>
      <c r="J15381" s="41"/>
    </row>
    <row r="15382" spans="5:10" s="34" customFormat="1" x14ac:dyDescent="0.35">
      <c r="E15382" s="35"/>
      <c r="J15382" s="41"/>
    </row>
    <row r="15383" spans="5:10" s="34" customFormat="1" x14ac:dyDescent="0.35">
      <c r="E15383" s="35"/>
      <c r="J15383" s="41"/>
    </row>
    <row r="15384" spans="5:10" s="34" customFormat="1" x14ac:dyDescent="0.35">
      <c r="E15384" s="35"/>
      <c r="J15384" s="41"/>
    </row>
    <row r="15385" spans="5:10" s="34" customFormat="1" x14ac:dyDescent="0.35">
      <c r="E15385" s="35"/>
      <c r="J15385" s="41"/>
    </row>
    <row r="15386" spans="5:10" s="34" customFormat="1" x14ac:dyDescent="0.35">
      <c r="E15386" s="35"/>
      <c r="J15386" s="41"/>
    </row>
    <row r="15387" spans="5:10" s="34" customFormat="1" x14ac:dyDescent="0.35">
      <c r="E15387" s="35"/>
      <c r="J15387" s="41"/>
    </row>
    <row r="15388" spans="5:10" s="34" customFormat="1" x14ac:dyDescent="0.35">
      <c r="E15388" s="35"/>
      <c r="J15388" s="41"/>
    </row>
    <row r="15389" spans="5:10" s="34" customFormat="1" x14ac:dyDescent="0.35">
      <c r="E15389" s="35"/>
      <c r="J15389" s="41"/>
    </row>
    <row r="15390" spans="5:10" s="34" customFormat="1" x14ac:dyDescent="0.35">
      <c r="E15390" s="35"/>
      <c r="J15390" s="41"/>
    </row>
    <row r="15391" spans="5:10" s="34" customFormat="1" x14ac:dyDescent="0.35">
      <c r="E15391" s="35"/>
      <c r="J15391" s="41"/>
    </row>
    <row r="15392" spans="5:10" s="34" customFormat="1" x14ac:dyDescent="0.35">
      <c r="E15392" s="35"/>
      <c r="J15392" s="41"/>
    </row>
    <row r="15393" spans="5:10" s="34" customFormat="1" x14ac:dyDescent="0.35">
      <c r="E15393" s="35"/>
      <c r="J15393" s="41"/>
    </row>
    <row r="15394" spans="5:10" s="34" customFormat="1" x14ac:dyDescent="0.35">
      <c r="E15394" s="35"/>
      <c r="J15394" s="41"/>
    </row>
    <row r="15395" spans="5:10" s="34" customFormat="1" x14ac:dyDescent="0.35">
      <c r="E15395" s="35"/>
      <c r="J15395" s="41"/>
    </row>
    <row r="15396" spans="5:10" s="34" customFormat="1" x14ac:dyDescent="0.35">
      <c r="E15396" s="35"/>
      <c r="J15396" s="41"/>
    </row>
    <row r="15397" spans="5:10" s="34" customFormat="1" x14ac:dyDescent="0.35">
      <c r="E15397" s="35"/>
      <c r="J15397" s="41"/>
    </row>
    <row r="15398" spans="5:10" s="34" customFormat="1" x14ac:dyDescent="0.35">
      <c r="E15398" s="35"/>
      <c r="J15398" s="41"/>
    </row>
    <row r="15399" spans="5:10" s="34" customFormat="1" x14ac:dyDescent="0.35">
      <c r="E15399" s="35"/>
      <c r="J15399" s="41"/>
    </row>
    <row r="15400" spans="5:10" s="34" customFormat="1" x14ac:dyDescent="0.35">
      <c r="E15400" s="35"/>
      <c r="J15400" s="41"/>
    </row>
    <row r="15401" spans="5:10" s="34" customFormat="1" x14ac:dyDescent="0.35">
      <c r="E15401" s="35"/>
      <c r="J15401" s="41"/>
    </row>
    <row r="15402" spans="5:10" s="34" customFormat="1" x14ac:dyDescent="0.35">
      <c r="E15402" s="35"/>
      <c r="J15402" s="41"/>
    </row>
    <row r="15403" spans="5:10" s="34" customFormat="1" x14ac:dyDescent="0.35">
      <c r="E15403" s="35"/>
      <c r="J15403" s="41"/>
    </row>
    <row r="15404" spans="5:10" s="34" customFormat="1" x14ac:dyDescent="0.35">
      <c r="E15404" s="35"/>
      <c r="J15404" s="41"/>
    </row>
    <row r="15405" spans="5:10" s="34" customFormat="1" x14ac:dyDescent="0.35">
      <c r="E15405" s="35"/>
      <c r="J15405" s="41"/>
    </row>
    <row r="15406" spans="5:10" s="34" customFormat="1" x14ac:dyDescent="0.35">
      <c r="E15406" s="35"/>
      <c r="J15406" s="41"/>
    </row>
    <row r="15407" spans="5:10" s="34" customFormat="1" x14ac:dyDescent="0.35">
      <c r="E15407" s="35"/>
      <c r="J15407" s="41"/>
    </row>
    <row r="15408" spans="5:10" s="34" customFormat="1" x14ac:dyDescent="0.35">
      <c r="E15408" s="35"/>
      <c r="J15408" s="41"/>
    </row>
    <row r="15409" spans="5:10" s="34" customFormat="1" x14ac:dyDescent="0.35">
      <c r="E15409" s="35"/>
      <c r="J15409" s="41"/>
    </row>
    <row r="15410" spans="5:10" s="34" customFormat="1" x14ac:dyDescent="0.35">
      <c r="E15410" s="35"/>
      <c r="J15410" s="41"/>
    </row>
    <row r="15411" spans="5:10" s="34" customFormat="1" x14ac:dyDescent="0.35">
      <c r="E15411" s="35"/>
      <c r="J15411" s="41"/>
    </row>
    <row r="15412" spans="5:10" s="34" customFormat="1" x14ac:dyDescent="0.35">
      <c r="E15412" s="35"/>
      <c r="J15412" s="41"/>
    </row>
    <row r="15413" spans="5:10" s="34" customFormat="1" x14ac:dyDescent="0.35">
      <c r="E15413" s="35"/>
      <c r="J15413" s="41"/>
    </row>
    <row r="15414" spans="5:10" s="34" customFormat="1" x14ac:dyDescent="0.35">
      <c r="E15414" s="35"/>
      <c r="J15414" s="41"/>
    </row>
    <row r="15415" spans="5:10" s="34" customFormat="1" x14ac:dyDescent="0.35">
      <c r="E15415" s="35"/>
      <c r="J15415" s="41"/>
    </row>
    <row r="15416" spans="5:10" s="34" customFormat="1" x14ac:dyDescent="0.35">
      <c r="E15416" s="35"/>
      <c r="J15416" s="41"/>
    </row>
    <row r="15417" spans="5:10" s="34" customFormat="1" x14ac:dyDescent="0.35">
      <c r="E15417" s="35"/>
      <c r="J15417" s="41"/>
    </row>
    <row r="15418" spans="5:10" s="34" customFormat="1" x14ac:dyDescent="0.35">
      <c r="E15418" s="35"/>
      <c r="J15418" s="41"/>
    </row>
    <row r="15419" spans="5:10" s="34" customFormat="1" x14ac:dyDescent="0.35">
      <c r="E15419" s="35"/>
      <c r="J15419" s="41"/>
    </row>
    <row r="15420" spans="5:10" s="34" customFormat="1" x14ac:dyDescent="0.35">
      <c r="E15420" s="35"/>
      <c r="J15420" s="41"/>
    </row>
    <row r="15421" spans="5:10" s="34" customFormat="1" x14ac:dyDescent="0.35">
      <c r="E15421" s="35"/>
      <c r="J15421" s="41"/>
    </row>
    <row r="15422" spans="5:10" s="34" customFormat="1" x14ac:dyDescent="0.35">
      <c r="E15422" s="35"/>
      <c r="J15422" s="41"/>
    </row>
    <row r="15423" spans="5:10" s="34" customFormat="1" x14ac:dyDescent="0.35">
      <c r="E15423" s="35"/>
      <c r="J15423" s="41"/>
    </row>
    <row r="15424" spans="5:10" s="34" customFormat="1" x14ac:dyDescent="0.35">
      <c r="E15424" s="35"/>
      <c r="J15424" s="41"/>
    </row>
    <row r="15425" spans="5:10" s="34" customFormat="1" x14ac:dyDescent="0.35">
      <c r="E15425" s="35"/>
      <c r="J15425" s="41"/>
    </row>
    <row r="15426" spans="5:10" s="34" customFormat="1" x14ac:dyDescent="0.35">
      <c r="E15426" s="35"/>
      <c r="J15426" s="41"/>
    </row>
    <row r="15427" spans="5:10" s="34" customFormat="1" x14ac:dyDescent="0.35">
      <c r="E15427" s="35"/>
      <c r="J15427" s="41"/>
    </row>
    <row r="15428" spans="5:10" s="34" customFormat="1" x14ac:dyDescent="0.35">
      <c r="E15428" s="35"/>
      <c r="J15428" s="41"/>
    </row>
    <row r="15429" spans="5:10" s="34" customFormat="1" x14ac:dyDescent="0.35">
      <c r="E15429" s="35"/>
      <c r="J15429" s="41"/>
    </row>
    <row r="15430" spans="5:10" s="34" customFormat="1" x14ac:dyDescent="0.35">
      <c r="E15430" s="35"/>
      <c r="J15430" s="41"/>
    </row>
    <row r="15431" spans="5:10" s="34" customFormat="1" x14ac:dyDescent="0.35">
      <c r="E15431" s="35"/>
      <c r="J15431" s="41"/>
    </row>
    <row r="15432" spans="5:10" s="34" customFormat="1" x14ac:dyDescent="0.35">
      <c r="E15432" s="35"/>
      <c r="J15432" s="41"/>
    </row>
    <row r="15433" spans="5:10" s="34" customFormat="1" x14ac:dyDescent="0.35">
      <c r="E15433" s="35"/>
      <c r="J15433" s="41"/>
    </row>
    <row r="15434" spans="5:10" s="34" customFormat="1" x14ac:dyDescent="0.35">
      <c r="E15434" s="35"/>
      <c r="J15434" s="41"/>
    </row>
    <row r="15435" spans="5:10" s="34" customFormat="1" x14ac:dyDescent="0.35">
      <c r="E15435" s="35"/>
      <c r="J15435" s="41"/>
    </row>
    <row r="15436" spans="5:10" s="34" customFormat="1" x14ac:dyDescent="0.35">
      <c r="E15436" s="35"/>
      <c r="J15436" s="41"/>
    </row>
    <row r="15437" spans="5:10" s="34" customFormat="1" x14ac:dyDescent="0.35">
      <c r="E15437" s="35"/>
      <c r="J15437" s="41"/>
    </row>
    <row r="15438" spans="5:10" s="34" customFormat="1" x14ac:dyDescent="0.35">
      <c r="E15438" s="35"/>
      <c r="J15438" s="41"/>
    </row>
    <row r="15439" spans="5:10" s="34" customFormat="1" x14ac:dyDescent="0.35">
      <c r="E15439" s="35"/>
      <c r="J15439" s="41"/>
    </row>
    <row r="15440" spans="5:10" s="34" customFormat="1" x14ac:dyDescent="0.35">
      <c r="E15440" s="35"/>
      <c r="J15440" s="41"/>
    </row>
    <row r="15441" spans="5:10" s="34" customFormat="1" x14ac:dyDescent="0.35">
      <c r="E15441" s="35"/>
      <c r="J15441" s="41"/>
    </row>
    <row r="15442" spans="5:10" s="34" customFormat="1" x14ac:dyDescent="0.35">
      <c r="E15442" s="35"/>
      <c r="J15442" s="41"/>
    </row>
    <row r="15443" spans="5:10" s="34" customFormat="1" x14ac:dyDescent="0.35">
      <c r="E15443" s="35"/>
      <c r="J15443" s="41"/>
    </row>
    <row r="15444" spans="5:10" s="34" customFormat="1" x14ac:dyDescent="0.35">
      <c r="E15444" s="35"/>
      <c r="J15444" s="41"/>
    </row>
    <row r="15445" spans="5:10" s="34" customFormat="1" x14ac:dyDescent="0.35">
      <c r="E15445" s="35"/>
      <c r="J15445" s="41"/>
    </row>
    <row r="15446" spans="5:10" s="34" customFormat="1" x14ac:dyDescent="0.35">
      <c r="E15446" s="35"/>
      <c r="J15446" s="41"/>
    </row>
    <row r="15447" spans="5:10" s="34" customFormat="1" x14ac:dyDescent="0.35">
      <c r="E15447" s="35"/>
      <c r="J15447" s="41"/>
    </row>
    <row r="15448" spans="5:10" s="34" customFormat="1" x14ac:dyDescent="0.35">
      <c r="E15448" s="35"/>
      <c r="J15448" s="41"/>
    </row>
    <row r="15449" spans="5:10" s="34" customFormat="1" x14ac:dyDescent="0.35">
      <c r="E15449" s="35"/>
      <c r="J15449" s="41"/>
    </row>
    <row r="15450" spans="5:10" s="34" customFormat="1" x14ac:dyDescent="0.35">
      <c r="E15450" s="35"/>
      <c r="J15450" s="41"/>
    </row>
    <row r="15451" spans="5:10" s="34" customFormat="1" x14ac:dyDescent="0.35">
      <c r="E15451" s="35"/>
      <c r="J15451" s="41"/>
    </row>
    <row r="15452" spans="5:10" s="34" customFormat="1" x14ac:dyDescent="0.35">
      <c r="E15452" s="35"/>
      <c r="J15452" s="41"/>
    </row>
    <row r="15453" spans="5:10" s="34" customFormat="1" x14ac:dyDescent="0.35">
      <c r="E15453" s="35"/>
      <c r="J15453" s="41"/>
    </row>
    <row r="15454" spans="5:10" s="34" customFormat="1" x14ac:dyDescent="0.35">
      <c r="E15454" s="35"/>
      <c r="J15454" s="41"/>
    </row>
    <row r="15455" spans="5:10" s="34" customFormat="1" x14ac:dyDescent="0.35">
      <c r="E15455" s="35"/>
      <c r="J15455" s="41"/>
    </row>
    <row r="15456" spans="5:10" s="34" customFormat="1" x14ac:dyDescent="0.35">
      <c r="E15456" s="35"/>
      <c r="J15456" s="41"/>
    </row>
    <row r="15457" spans="5:10" s="34" customFormat="1" x14ac:dyDescent="0.35">
      <c r="E15457" s="35"/>
      <c r="J15457" s="41"/>
    </row>
    <row r="15458" spans="5:10" s="34" customFormat="1" x14ac:dyDescent="0.35">
      <c r="E15458" s="35"/>
      <c r="J15458" s="41"/>
    </row>
    <row r="15459" spans="5:10" s="34" customFormat="1" x14ac:dyDescent="0.35">
      <c r="E15459" s="35"/>
      <c r="J15459" s="41"/>
    </row>
    <row r="15460" spans="5:10" s="34" customFormat="1" x14ac:dyDescent="0.35">
      <c r="E15460" s="35"/>
      <c r="J15460" s="41"/>
    </row>
    <row r="15461" spans="5:10" s="34" customFormat="1" x14ac:dyDescent="0.35">
      <c r="E15461" s="35"/>
      <c r="J15461" s="41"/>
    </row>
    <row r="15462" spans="5:10" s="34" customFormat="1" x14ac:dyDescent="0.35">
      <c r="E15462" s="35"/>
      <c r="J15462" s="41"/>
    </row>
    <row r="15463" spans="5:10" s="34" customFormat="1" x14ac:dyDescent="0.35">
      <c r="E15463" s="35"/>
      <c r="J15463" s="41"/>
    </row>
    <row r="15464" spans="5:10" s="34" customFormat="1" x14ac:dyDescent="0.35">
      <c r="E15464" s="35"/>
      <c r="J15464" s="41"/>
    </row>
    <row r="15465" spans="5:10" s="34" customFormat="1" x14ac:dyDescent="0.35">
      <c r="E15465" s="35"/>
      <c r="J15465" s="41"/>
    </row>
    <row r="15466" spans="5:10" s="34" customFormat="1" x14ac:dyDescent="0.35">
      <c r="E15466" s="35"/>
      <c r="J15466" s="41"/>
    </row>
    <row r="15467" spans="5:10" s="34" customFormat="1" x14ac:dyDescent="0.35">
      <c r="E15467" s="35"/>
      <c r="J15467" s="41"/>
    </row>
    <row r="15468" spans="5:10" s="34" customFormat="1" x14ac:dyDescent="0.35">
      <c r="E15468" s="35"/>
      <c r="J15468" s="41"/>
    </row>
    <row r="15469" spans="5:10" s="34" customFormat="1" x14ac:dyDescent="0.35">
      <c r="E15469" s="35"/>
      <c r="J15469" s="41"/>
    </row>
    <row r="15470" spans="5:10" s="34" customFormat="1" x14ac:dyDescent="0.35">
      <c r="E15470" s="35"/>
      <c r="J15470" s="41"/>
    </row>
    <row r="15471" spans="5:10" s="34" customFormat="1" x14ac:dyDescent="0.35">
      <c r="E15471" s="35"/>
      <c r="J15471" s="41"/>
    </row>
    <row r="15472" spans="5:10" s="34" customFormat="1" x14ac:dyDescent="0.35">
      <c r="E15472" s="35"/>
      <c r="J15472" s="41"/>
    </row>
    <row r="15473" spans="5:10" s="34" customFormat="1" x14ac:dyDescent="0.35">
      <c r="E15473" s="35"/>
      <c r="J15473" s="41"/>
    </row>
    <row r="15474" spans="5:10" s="34" customFormat="1" x14ac:dyDescent="0.35">
      <c r="E15474" s="35"/>
      <c r="J15474" s="41"/>
    </row>
    <row r="15475" spans="5:10" s="34" customFormat="1" x14ac:dyDescent="0.35">
      <c r="E15475" s="35"/>
      <c r="J15475" s="41"/>
    </row>
    <row r="15476" spans="5:10" s="34" customFormat="1" x14ac:dyDescent="0.35">
      <c r="E15476" s="35"/>
      <c r="J15476" s="41"/>
    </row>
    <row r="15477" spans="5:10" s="34" customFormat="1" x14ac:dyDescent="0.35">
      <c r="E15477" s="35"/>
      <c r="J15477" s="41"/>
    </row>
    <row r="15478" spans="5:10" s="34" customFormat="1" x14ac:dyDescent="0.35">
      <c r="E15478" s="35"/>
      <c r="J15478" s="41"/>
    </row>
    <row r="15479" spans="5:10" s="34" customFormat="1" x14ac:dyDescent="0.35">
      <c r="E15479" s="35"/>
      <c r="J15479" s="41"/>
    </row>
    <row r="15480" spans="5:10" s="34" customFormat="1" x14ac:dyDescent="0.35">
      <c r="E15480" s="35"/>
      <c r="J15480" s="41"/>
    </row>
    <row r="15481" spans="5:10" s="34" customFormat="1" x14ac:dyDescent="0.35">
      <c r="E15481" s="35"/>
      <c r="J15481" s="41"/>
    </row>
    <row r="15482" spans="5:10" s="34" customFormat="1" x14ac:dyDescent="0.35">
      <c r="E15482" s="35"/>
      <c r="J15482" s="41"/>
    </row>
    <row r="15483" spans="5:10" s="34" customFormat="1" x14ac:dyDescent="0.35">
      <c r="E15483" s="35"/>
      <c r="J15483" s="41"/>
    </row>
    <row r="15484" spans="5:10" s="34" customFormat="1" x14ac:dyDescent="0.35">
      <c r="E15484" s="35"/>
      <c r="J15484" s="41"/>
    </row>
    <row r="15485" spans="5:10" s="34" customFormat="1" x14ac:dyDescent="0.35">
      <c r="E15485" s="35"/>
      <c r="J15485" s="41"/>
    </row>
    <row r="15486" spans="5:10" s="34" customFormat="1" x14ac:dyDescent="0.35">
      <c r="E15486" s="35"/>
      <c r="J15486" s="41"/>
    </row>
    <row r="15487" spans="5:10" s="34" customFormat="1" x14ac:dyDescent="0.35">
      <c r="E15487" s="35"/>
      <c r="J15487" s="41"/>
    </row>
    <row r="15488" spans="5:10" s="34" customFormat="1" x14ac:dyDescent="0.35">
      <c r="E15488" s="35"/>
      <c r="J15488" s="41"/>
    </row>
    <row r="15489" spans="5:10" s="34" customFormat="1" x14ac:dyDescent="0.35">
      <c r="E15489" s="35"/>
      <c r="J15489" s="41"/>
    </row>
    <row r="15490" spans="5:10" s="34" customFormat="1" x14ac:dyDescent="0.35">
      <c r="E15490" s="35"/>
      <c r="J15490" s="41"/>
    </row>
    <row r="15491" spans="5:10" s="34" customFormat="1" x14ac:dyDescent="0.35">
      <c r="E15491" s="35"/>
      <c r="J15491" s="41"/>
    </row>
    <row r="15492" spans="5:10" s="34" customFormat="1" x14ac:dyDescent="0.35">
      <c r="E15492" s="35"/>
      <c r="J15492" s="41"/>
    </row>
    <row r="15493" spans="5:10" s="34" customFormat="1" x14ac:dyDescent="0.35">
      <c r="E15493" s="35"/>
      <c r="J15493" s="41"/>
    </row>
    <row r="15494" spans="5:10" s="34" customFormat="1" x14ac:dyDescent="0.35">
      <c r="E15494" s="35"/>
      <c r="J15494" s="41"/>
    </row>
    <row r="15495" spans="5:10" s="34" customFormat="1" x14ac:dyDescent="0.35">
      <c r="E15495" s="35"/>
      <c r="J15495" s="41"/>
    </row>
    <row r="15496" spans="5:10" s="34" customFormat="1" x14ac:dyDescent="0.35">
      <c r="E15496" s="35"/>
      <c r="J15496" s="41"/>
    </row>
    <row r="15497" spans="5:10" s="34" customFormat="1" x14ac:dyDescent="0.35">
      <c r="E15497" s="35"/>
      <c r="J15497" s="41"/>
    </row>
    <row r="15498" spans="5:10" s="34" customFormat="1" x14ac:dyDescent="0.35">
      <c r="E15498" s="35"/>
      <c r="J15498" s="41"/>
    </row>
    <row r="15499" spans="5:10" s="34" customFormat="1" x14ac:dyDescent="0.35">
      <c r="E15499" s="35"/>
      <c r="J15499" s="41"/>
    </row>
    <row r="15500" spans="5:10" s="34" customFormat="1" x14ac:dyDescent="0.35">
      <c r="E15500" s="35"/>
      <c r="J15500" s="41"/>
    </row>
    <row r="15501" spans="5:10" s="34" customFormat="1" x14ac:dyDescent="0.35">
      <c r="E15501" s="35"/>
      <c r="J15501" s="41"/>
    </row>
    <row r="15502" spans="5:10" s="34" customFormat="1" x14ac:dyDescent="0.35">
      <c r="E15502" s="35"/>
      <c r="J15502" s="41"/>
    </row>
    <row r="15503" spans="5:10" s="34" customFormat="1" x14ac:dyDescent="0.35">
      <c r="E15503" s="35"/>
      <c r="J15503" s="41"/>
    </row>
    <row r="15504" spans="5:10" s="34" customFormat="1" x14ac:dyDescent="0.35">
      <c r="E15504" s="35"/>
      <c r="J15504" s="41"/>
    </row>
    <row r="15505" spans="5:10" s="34" customFormat="1" x14ac:dyDescent="0.35">
      <c r="E15505" s="35"/>
      <c r="J15505" s="41"/>
    </row>
    <row r="15506" spans="5:10" s="34" customFormat="1" x14ac:dyDescent="0.35">
      <c r="E15506" s="35"/>
      <c r="J15506" s="41"/>
    </row>
    <row r="15507" spans="5:10" s="34" customFormat="1" x14ac:dyDescent="0.35">
      <c r="E15507" s="35"/>
      <c r="J15507" s="41"/>
    </row>
    <row r="15508" spans="5:10" s="34" customFormat="1" x14ac:dyDescent="0.35">
      <c r="E15508" s="35"/>
      <c r="J15508" s="41"/>
    </row>
    <row r="15509" spans="5:10" s="34" customFormat="1" x14ac:dyDescent="0.35">
      <c r="E15509" s="35"/>
      <c r="J15509" s="41"/>
    </row>
    <row r="15510" spans="5:10" s="34" customFormat="1" x14ac:dyDescent="0.35">
      <c r="E15510" s="35"/>
      <c r="J15510" s="41"/>
    </row>
    <row r="15511" spans="5:10" s="34" customFormat="1" x14ac:dyDescent="0.35">
      <c r="E15511" s="35"/>
      <c r="J15511" s="41"/>
    </row>
    <row r="15512" spans="5:10" s="34" customFormat="1" x14ac:dyDescent="0.35">
      <c r="E15512" s="35"/>
      <c r="J15512" s="41"/>
    </row>
    <row r="15513" spans="5:10" s="34" customFormat="1" x14ac:dyDescent="0.35">
      <c r="E15513" s="35"/>
      <c r="J15513" s="41"/>
    </row>
    <row r="15514" spans="5:10" s="34" customFormat="1" x14ac:dyDescent="0.35">
      <c r="E15514" s="35"/>
      <c r="J15514" s="41"/>
    </row>
    <row r="15515" spans="5:10" s="34" customFormat="1" x14ac:dyDescent="0.35">
      <c r="E15515" s="35"/>
      <c r="J15515" s="41"/>
    </row>
    <row r="15516" spans="5:10" s="34" customFormat="1" x14ac:dyDescent="0.35">
      <c r="E15516" s="35"/>
      <c r="J15516" s="41"/>
    </row>
    <row r="15517" spans="5:10" s="34" customFormat="1" x14ac:dyDescent="0.35">
      <c r="E15517" s="35"/>
      <c r="J15517" s="41"/>
    </row>
    <row r="15518" spans="5:10" s="34" customFormat="1" x14ac:dyDescent="0.35">
      <c r="E15518" s="35"/>
      <c r="J15518" s="41"/>
    </row>
    <row r="15519" spans="5:10" s="34" customFormat="1" x14ac:dyDescent="0.35">
      <c r="E15519" s="35"/>
      <c r="J15519" s="41"/>
    </row>
    <row r="15520" spans="5:10" s="34" customFormat="1" x14ac:dyDescent="0.35">
      <c r="E15520" s="35"/>
      <c r="J15520" s="41"/>
    </row>
    <row r="15521" spans="5:10" s="34" customFormat="1" x14ac:dyDescent="0.35">
      <c r="E15521" s="35"/>
      <c r="J15521" s="41"/>
    </row>
    <row r="15522" spans="5:10" s="34" customFormat="1" x14ac:dyDescent="0.35">
      <c r="E15522" s="35"/>
      <c r="J15522" s="41"/>
    </row>
    <row r="15523" spans="5:10" s="34" customFormat="1" x14ac:dyDescent="0.35">
      <c r="E15523" s="35"/>
      <c r="J15523" s="41"/>
    </row>
    <row r="15524" spans="5:10" s="34" customFormat="1" x14ac:dyDescent="0.35">
      <c r="E15524" s="35"/>
      <c r="J15524" s="41"/>
    </row>
    <row r="15525" spans="5:10" s="34" customFormat="1" x14ac:dyDescent="0.35">
      <c r="E15525" s="35"/>
      <c r="J15525" s="41"/>
    </row>
    <row r="15526" spans="5:10" s="34" customFormat="1" x14ac:dyDescent="0.35">
      <c r="E15526" s="35"/>
      <c r="J15526" s="41"/>
    </row>
    <row r="15527" spans="5:10" s="34" customFormat="1" x14ac:dyDescent="0.35">
      <c r="E15527" s="35"/>
      <c r="J15527" s="41"/>
    </row>
    <row r="15528" spans="5:10" s="34" customFormat="1" x14ac:dyDescent="0.35">
      <c r="E15528" s="35"/>
      <c r="J15528" s="41"/>
    </row>
    <row r="15529" spans="5:10" s="34" customFormat="1" x14ac:dyDescent="0.35">
      <c r="E15529" s="35"/>
      <c r="J15529" s="41"/>
    </row>
    <row r="15530" spans="5:10" s="34" customFormat="1" x14ac:dyDescent="0.35">
      <c r="E15530" s="35"/>
      <c r="J15530" s="41"/>
    </row>
    <row r="15531" spans="5:10" s="34" customFormat="1" x14ac:dyDescent="0.35">
      <c r="E15531" s="35"/>
      <c r="J15531" s="41"/>
    </row>
    <row r="15532" spans="5:10" s="34" customFormat="1" x14ac:dyDescent="0.35">
      <c r="E15532" s="35"/>
      <c r="J15532" s="41"/>
    </row>
    <row r="15533" spans="5:10" s="34" customFormat="1" x14ac:dyDescent="0.35">
      <c r="E15533" s="35"/>
      <c r="J15533" s="41"/>
    </row>
    <row r="15534" spans="5:10" s="34" customFormat="1" x14ac:dyDescent="0.35">
      <c r="E15534" s="35"/>
      <c r="J15534" s="41"/>
    </row>
    <row r="15535" spans="5:10" s="34" customFormat="1" x14ac:dyDescent="0.35">
      <c r="E15535" s="35"/>
      <c r="J15535" s="41"/>
    </row>
    <row r="15536" spans="5:10" s="34" customFormat="1" x14ac:dyDescent="0.35">
      <c r="E15536" s="35"/>
      <c r="J15536" s="41"/>
    </row>
    <row r="15537" spans="5:10" s="34" customFormat="1" x14ac:dyDescent="0.35">
      <c r="E15537" s="35"/>
      <c r="J15537" s="41"/>
    </row>
    <row r="15538" spans="5:10" s="34" customFormat="1" x14ac:dyDescent="0.35">
      <c r="E15538" s="35"/>
      <c r="J15538" s="41"/>
    </row>
    <row r="15539" spans="5:10" s="34" customFormat="1" x14ac:dyDescent="0.35">
      <c r="E15539" s="35"/>
      <c r="J15539" s="41"/>
    </row>
    <row r="15540" spans="5:10" s="34" customFormat="1" x14ac:dyDescent="0.35">
      <c r="E15540" s="35"/>
      <c r="J15540" s="41"/>
    </row>
    <row r="15541" spans="5:10" s="34" customFormat="1" x14ac:dyDescent="0.35">
      <c r="E15541" s="35"/>
      <c r="J15541" s="41"/>
    </row>
    <row r="15542" spans="5:10" s="34" customFormat="1" x14ac:dyDescent="0.35">
      <c r="E15542" s="35"/>
      <c r="J15542" s="41"/>
    </row>
    <row r="15543" spans="5:10" s="34" customFormat="1" x14ac:dyDescent="0.35">
      <c r="E15543" s="35"/>
      <c r="J15543" s="41"/>
    </row>
    <row r="15544" spans="5:10" s="34" customFormat="1" x14ac:dyDescent="0.35">
      <c r="E15544" s="35"/>
      <c r="J15544" s="41"/>
    </row>
    <row r="15545" spans="5:10" s="34" customFormat="1" x14ac:dyDescent="0.35">
      <c r="E15545" s="35"/>
      <c r="J15545" s="41"/>
    </row>
    <row r="15546" spans="5:10" s="34" customFormat="1" x14ac:dyDescent="0.35">
      <c r="E15546" s="35"/>
      <c r="J15546" s="41"/>
    </row>
    <row r="15547" spans="5:10" s="34" customFormat="1" x14ac:dyDescent="0.35">
      <c r="E15547" s="35"/>
      <c r="J15547" s="41"/>
    </row>
    <row r="15548" spans="5:10" s="34" customFormat="1" x14ac:dyDescent="0.35">
      <c r="E15548" s="35"/>
      <c r="J15548" s="41"/>
    </row>
    <row r="15549" spans="5:10" s="34" customFormat="1" x14ac:dyDescent="0.35">
      <c r="E15549" s="35"/>
      <c r="J15549" s="41"/>
    </row>
    <row r="15550" spans="5:10" s="34" customFormat="1" x14ac:dyDescent="0.35">
      <c r="E15550" s="35"/>
      <c r="J15550" s="41"/>
    </row>
    <row r="15551" spans="5:10" s="34" customFormat="1" x14ac:dyDescent="0.35">
      <c r="E15551" s="35"/>
      <c r="J15551" s="41"/>
    </row>
    <row r="15552" spans="5:10" s="34" customFormat="1" x14ac:dyDescent="0.35">
      <c r="E15552" s="35"/>
      <c r="J15552" s="41"/>
    </row>
    <row r="15553" spans="5:10" s="34" customFormat="1" x14ac:dyDescent="0.35">
      <c r="E15553" s="35"/>
      <c r="J15553" s="41"/>
    </row>
    <row r="15554" spans="5:10" s="34" customFormat="1" x14ac:dyDescent="0.35">
      <c r="E15554" s="35"/>
      <c r="J15554" s="41"/>
    </row>
    <row r="15555" spans="5:10" s="34" customFormat="1" x14ac:dyDescent="0.35">
      <c r="E15555" s="35"/>
      <c r="J15555" s="41"/>
    </row>
    <row r="15556" spans="5:10" s="34" customFormat="1" x14ac:dyDescent="0.35">
      <c r="E15556" s="35"/>
      <c r="J15556" s="41"/>
    </row>
    <row r="15557" spans="5:10" s="34" customFormat="1" x14ac:dyDescent="0.35">
      <c r="E15557" s="35"/>
      <c r="J15557" s="41"/>
    </row>
    <row r="15558" spans="5:10" s="34" customFormat="1" x14ac:dyDescent="0.35">
      <c r="E15558" s="35"/>
      <c r="J15558" s="41"/>
    </row>
    <row r="15559" spans="5:10" s="34" customFormat="1" x14ac:dyDescent="0.35">
      <c r="E15559" s="35"/>
      <c r="J15559" s="41"/>
    </row>
    <row r="15560" spans="5:10" s="34" customFormat="1" x14ac:dyDescent="0.35">
      <c r="E15560" s="35"/>
      <c r="J15560" s="41"/>
    </row>
    <row r="15561" spans="5:10" s="34" customFormat="1" x14ac:dyDescent="0.35">
      <c r="E15561" s="35"/>
      <c r="J15561" s="41"/>
    </row>
    <row r="15562" spans="5:10" s="34" customFormat="1" x14ac:dyDescent="0.35">
      <c r="E15562" s="35"/>
      <c r="J15562" s="41"/>
    </row>
    <row r="15563" spans="5:10" s="34" customFormat="1" x14ac:dyDescent="0.35">
      <c r="E15563" s="35"/>
      <c r="J15563" s="41"/>
    </row>
    <row r="15564" spans="5:10" s="34" customFormat="1" x14ac:dyDescent="0.35">
      <c r="E15564" s="35"/>
      <c r="J15564" s="41"/>
    </row>
    <row r="15565" spans="5:10" s="34" customFormat="1" x14ac:dyDescent="0.35">
      <c r="E15565" s="35"/>
      <c r="J15565" s="41"/>
    </row>
    <row r="15566" spans="5:10" s="34" customFormat="1" x14ac:dyDescent="0.35">
      <c r="E15566" s="35"/>
      <c r="J15566" s="41"/>
    </row>
    <row r="15567" spans="5:10" s="34" customFormat="1" x14ac:dyDescent="0.35">
      <c r="E15567" s="35"/>
      <c r="J15567" s="41"/>
    </row>
    <row r="15568" spans="5:10" s="34" customFormat="1" x14ac:dyDescent="0.35">
      <c r="E15568" s="35"/>
      <c r="J15568" s="41"/>
    </row>
    <row r="15569" spans="5:10" s="34" customFormat="1" x14ac:dyDescent="0.35">
      <c r="E15569" s="35"/>
      <c r="J15569" s="41"/>
    </row>
    <row r="15570" spans="5:10" s="34" customFormat="1" x14ac:dyDescent="0.35">
      <c r="E15570" s="35"/>
      <c r="J15570" s="41"/>
    </row>
    <row r="15571" spans="5:10" s="34" customFormat="1" x14ac:dyDescent="0.35">
      <c r="E15571" s="35"/>
      <c r="J15571" s="41"/>
    </row>
    <row r="15572" spans="5:10" s="34" customFormat="1" x14ac:dyDescent="0.35">
      <c r="E15572" s="35"/>
      <c r="J15572" s="41"/>
    </row>
    <row r="15573" spans="5:10" s="34" customFormat="1" x14ac:dyDescent="0.35">
      <c r="E15573" s="35"/>
      <c r="J15573" s="41"/>
    </row>
    <row r="15574" spans="5:10" s="34" customFormat="1" x14ac:dyDescent="0.35">
      <c r="E15574" s="35"/>
      <c r="J15574" s="41"/>
    </row>
    <row r="15575" spans="5:10" s="34" customFormat="1" x14ac:dyDescent="0.35">
      <c r="E15575" s="35"/>
      <c r="J15575" s="41"/>
    </row>
    <row r="15576" spans="5:10" s="34" customFormat="1" x14ac:dyDescent="0.35">
      <c r="E15576" s="35"/>
      <c r="J15576" s="41"/>
    </row>
    <row r="15577" spans="5:10" s="34" customFormat="1" x14ac:dyDescent="0.35">
      <c r="E15577" s="35"/>
      <c r="J15577" s="41"/>
    </row>
    <row r="15578" spans="5:10" s="34" customFormat="1" x14ac:dyDescent="0.35">
      <c r="E15578" s="35"/>
      <c r="J15578" s="41"/>
    </row>
    <row r="15579" spans="5:10" s="34" customFormat="1" x14ac:dyDescent="0.35">
      <c r="E15579" s="35"/>
      <c r="J15579" s="41"/>
    </row>
    <row r="15580" spans="5:10" s="34" customFormat="1" x14ac:dyDescent="0.35">
      <c r="E15580" s="35"/>
      <c r="J15580" s="41"/>
    </row>
    <row r="15581" spans="5:10" s="34" customFormat="1" x14ac:dyDescent="0.35">
      <c r="E15581" s="35"/>
      <c r="J15581" s="41"/>
    </row>
    <row r="15582" spans="5:10" s="34" customFormat="1" x14ac:dyDescent="0.35">
      <c r="E15582" s="35"/>
      <c r="J15582" s="41"/>
    </row>
    <row r="15583" spans="5:10" s="34" customFormat="1" x14ac:dyDescent="0.35">
      <c r="E15583" s="35"/>
      <c r="J15583" s="41"/>
    </row>
    <row r="15584" spans="5:10" s="34" customFormat="1" x14ac:dyDescent="0.35">
      <c r="E15584" s="35"/>
      <c r="J15584" s="41"/>
    </row>
    <row r="15585" spans="5:10" s="34" customFormat="1" x14ac:dyDescent="0.35">
      <c r="E15585" s="35"/>
      <c r="J15585" s="41"/>
    </row>
    <row r="15586" spans="5:10" s="34" customFormat="1" x14ac:dyDescent="0.35">
      <c r="E15586" s="35"/>
      <c r="J15586" s="41"/>
    </row>
    <row r="15587" spans="5:10" s="34" customFormat="1" x14ac:dyDescent="0.35">
      <c r="E15587" s="35"/>
      <c r="J15587" s="41"/>
    </row>
    <row r="15588" spans="5:10" s="34" customFormat="1" x14ac:dyDescent="0.35">
      <c r="E15588" s="35"/>
      <c r="J15588" s="41"/>
    </row>
    <row r="15589" spans="5:10" s="34" customFormat="1" x14ac:dyDescent="0.35">
      <c r="E15589" s="35"/>
      <c r="J15589" s="41"/>
    </row>
    <row r="15590" spans="5:10" s="34" customFormat="1" x14ac:dyDescent="0.35">
      <c r="E15590" s="35"/>
      <c r="J15590" s="41"/>
    </row>
    <row r="15591" spans="5:10" s="34" customFormat="1" x14ac:dyDescent="0.35">
      <c r="E15591" s="35"/>
      <c r="J15591" s="41"/>
    </row>
    <row r="15592" spans="5:10" s="34" customFormat="1" x14ac:dyDescent="0.35">
      <c r="E15592" s="35"/>
      <c r="J15592" s="41"/>
    </row>
    <row r="15593" spans="5:10" s="34" customFormat="1" x14ac:dyDescent="0.35">
      <c r="E15593" s="35"/>
      <c r="J15593" s="41"/>
    </row>
    <row r="15594" spans="5:10" s="34" customFormat="1" x14ac:dyDescent="0.35">
      <c r="E15594" s="35"/>
      <c r="J15594" s="41"/>
    </row>
    <row r="15595" spans="5:10" s="34" customFormat="1" x14ac:dyDescent="0.35">
      <c r="E15595" s="35"/>
      <c r="J15595" s="41"/>
    </row>
    <row r="15596" spans="5:10" s="34" customFormat="1" x14ac:dyDescent="0.35">
      <c r="E15596" s="35"/>
      <c r="J15596" s="41"/>
    </row>
    <row r="15597" spans="5:10" s="34" customFormat="1" x14ac:dyDescent="0.35">
      <c r="E15597" s="35"/>
      <c r="J15597" s="41"/>
    </row>
    <row r="15598" spans="5:10" s="34" customFormat="1" x14ac:dyDescent="0.35">
      <c r="E15598" s="35"/>
      <c r="J15598" s="41"/>
    </row>
    <row r="15599" spans="5:10" s="34" customFormat="1" x14ac:dyDescent="0.35">
      <c r="E15599" s="35"/>
      <c r="J15599" s="41"/>
    </row>
    <row r="15600" spans="5:10" s="34" customFormat="1" x14ac:dyDescent="0.35">
      <c r="E15600" s="35"/>
      <c r="J15600" s="41"/>
    </row>
    <row r="15601" spans="5:10" s="34" customFormat="1" x14ac:dyDescent="0.35">
      <c r="E15601" s="35"/>
      <c r="J15601" s="41"/>
    </row>
    <row r="15602" spans="5:10" s="34" customFormat="1" x14ac:dyDescent="0.35">
      <c r="E15602" s="35"/>
      <c r="J15602" s="41"/>
    </row>
    <row r="15603" spans="5:10" s="34" customFormat="1" x14ac:dyDescent="0.35">
      <c r="E15603" s="35"/>
      <c r="J15603" s="41"/>
    </row>
    <row r="15604" spans="5:10" s="34" customFormat="1" x14ac:dyDescent="0.35">
      <c r="E15604" s="35"/>
      <c r="J15604" s="41"/>
    </row>
    <row r="15605" spans="5:10" s="34" customFormat="1" x14ac:dyDescent="0.35">
      <c r="E15605" s="35"/>
      <c r="J15605" s="41"/>
    </row>
    <row r="15606" spans="5:10" s="34" customFormat="1" x14ac:dyDescent="0.35">
      <c r="E15606" s="35"/>
      <c r="J15606" s="41"/>
    </row>
    <row r="15607" spans="5:10" s="34" customFormat="1" x14ac:dyDescent="0.35">
      <c r="E15607" s="35"/>
      <c r="J15607" s="41"/>
    </row>
    <row r="15608" spans="5:10" s="34" customFormat="1" x14ac:dyDescent="0.35">
      <c r="E15608" s="35"/>
      <c r="J15608" s="41"/>
    </row>
    <row r="15609" spans="5:10" s="34" customFormat="1" x14ac:dyDescent="0.35">
      <c r="E15609" s="35"/>
      <c r="J15609" s="41"/>
    </row>
    <row r="15610" spans="5:10" s="34" customFormat="1" x14ac:dyDescent="0.35">
      <c r="E15610" s="35"/>
      <c r="J15610" s="41"/>
    </row>
    <row r="15611" spans="5:10" s="34" customFormat="1" x14ac:dyDescent="0.35">
      <c r="E15611" s="35"/>
      <c r="J15611" s="41"/>
    </row>
    <row r="15612" spans="5:10" s="34" customFormat="1" x14ac:dyDescent="0.35">
      <c r="E15612" s="35"/>
      <c r="J15612" s="41"/>
    </row>
    <row r="15613" spans="5:10" s="34" customFormat="1" x14ac:dyDescent="0.35">
      <c r="E15613" s="35"/>
      <c r="J15613" s="41"/>
    </row>
    <row r="15614" spans="5:10" s="34" customFormat="1" x14ac:dyDescent="0.35">
      <c r="E15614" s="35"/>
      <c r="J15614" s="41"/>
    </row>
    <row r="15615" spans="5:10" s="34" customFormat="1" x14ac:dyDescent="0.35">
      <c r="E15615" s="35"/>
      <c r="J15615" s="41"/>
    </row>
    <row r="15616" spans="5:10" s="34" customFormat="1" x14ac:dyDescent="0.35">
      <c r="E15616" s="35"/>
      <c r="J15616" s="41"/>
    </row>
    <row r="15617" spans="5:10" s="34" customFormat="1" x14ac:dyDescent="0.35">
      <c r="E15617" s="35"/>
      <c r="J15617" s="41"/>
    </row>
    <row r="15618" spans="5:10" s="34" customFormat="1" x14ac:dyDescent="0.35">
      <c r="E15618" s="35"/>
      <c r="J15618" s="41"/>
    </row>
    <row r="15619" spans="5:10" s="34" customFormat="1" x14ac:dyDescent="0.35">
      <c r="E15619" s="35"/>
      <c r="J15619" s="41"/>
    </row>
    <row r="15620" spans="5:10" s="34" customFormat="1" x14ac:dyDescent="0.35">
      <c r="E15620" s="35"/>
      <c r="J15620" s="41"/>
    </row>
    <row r="15621" spans="5:10" s="34" customFormat="1" x14ac:dyDescent="0.35">
      <c r="E15621" s="35"/>
      <c r="J15621" s="41"/>
    </row>
    <row r="15622" spans="5:10" s="34" customFormat="1" x14ac:dyDescent="0.35">
      <c r="E15622" s="35"/>
      <c r="J15622" s="41"/>
    </row>
    <row r="15623" spans="5:10" s="34" customFormat="1" x14ac:dyDescent="0.35">
      <c r="E15623" s="35"/>
      <c r="J15623" s="41"/>
    </row>
    <row r="15624" spans="5:10" s="34" customFormat="1" x14ac:dyDescent="0.35">
      <c r="E15624" s="35"/>
      <c r="J15624" s="41"/>
    </row>
    <row r="15625" spans="5:10" s="34" customFormat="1" x14ac:dyDescent="0.35">
      <c r="E15625" s="35"/>
      <c r="J15625" s="41"/>
    </row>
    <row r="15626" spans="5:10" s="34" customFormat="1" x14ac:dyDescent="0.35">
      <c r="E15626" s="35"/>
      <c r="J15626" s="41"/>
    </row>
    <row r="15627" spans="5:10" s="34" customFormat="1" x14ac:dyDescent="0.35">
      <c r="E15627" s="35"/>
      <c r="J15627" s="41"/>
    </row>
    <row r="15628" spans="5:10" s="34" customFormat="1" x14ac:dyDescent="0.35">
      <c r="E15628" s="35"/>
      <c r="J15628" s="41"/>
    </row>
    <row r="15629" spans="5:10" s="34" customFormat="1" x14ac:dyDescent="0.35">
      <c r="E15629" s="35"/>
      <c r="J15629" s="41"/>
    </row>
    <row r="15630" spans="5:10" s="34" customFormat="1" x14ac:dyDescent="0.35">
      <c r="E15630" s="35"/>
      <c r="J15630" s="41"/>
    </row>
    <row r="15631" spans="5:10" s="34" customFormat="1" x14ac:dyDescent="0.35">
      <c r="E15631" s="35"/>
      <c r="J15631" s="41"/>
    </row>
    <row r="15632" spans="5:10" s="34" customFormat="1" x14ac:dyDescent="0.35">
      <c r="E15632" s="35"/>
      <c r="J15632" s="41"/>
    </row>
    <row r="15633" spans="5:10" s="34" customFormat="1" x14ac:dyDescent="0.35">
      <c r="E15633" s="35"/>
      <c r="J15633" s="41"/>
    </row>
    <row r="15634" spans="5:10" s="34" customFormat="1" x14ac:dyDescent="0.35">
      <c r="E15634" s="35"/>
      <c r="J15634" s="41"/>
    </row>
    <row r="15635" spans="5:10" s="34" customFormat="1" x14ac:dyDescent="0.35">
      <c r="E15635" s="35"/>
      <c r="J15635" s="41"/>
    </row>
    <row r="15636" spans="5:10" s="34" customFormat="1" x14ac:dyDescent="0.35">
      <c r="E15636" s="35"/>
      <c r="J15636" s="41"/>
    </row>
    <row r="15637" spans="5:10" s="34" customFormat="1" x14ac:dyDescent="0.35">
      <c r="E15637" s="35"/>
      <c r="J15637" s="41"/>
    </row>
    <row r="15638" spans="5:10" s="34" customFormat="1" x14ac:dyDescent="0.35">
      <c r="E15638" s="35"/>
      <c r="J15638" s="41"/>
    </row>
    <row r="15639" spans="5:10" s="34" customFormat="1" x14ac:dyDescent="0.35">
      <c r="E15639" s="35"/>
      <c r="J15639" s="41"/>
    </row>
    <row r="15640" spans="5:10" s="34" customFormat="1" x14ac:dyDescent="0.35">
      <c r="E15640" s="35"/>
      <c r="J15640" s="41"/>
    </row>
    <row r="15641" spans="5:10" s="34" customFormat="1" x14ac:dyDescent="0.35">
      <c r="E15641" s="35"/>
      <c r="J15641" s="41"/>
    </row>
    <row r="15642" spans="5:10" s="34" customFormat="1" x14ac:dyDescent="0.35">
      <c r="E15642" s="35"/>
      <c r="J15642" s="41"/>
    </row>
    <row r="15643" spans="5:10" s="34" customFormat="1" x14ac:dyDescent="0.35">
      <c r="E15643" s="35"/>
      <c r="J15643" s="41"/>
    </row>
    <row r="15644" spans="5:10" s="34" customFormat="1" x14ac:dyDescent="0.35">
      <c r="E15644" s="35"/>
      <c r="J15644" s="41"/>
    </row>
    <row r="15645" spans="5:10" s="34" customFormat="1" x14ac:dyDescent="0.35">
      <c r="E15645" s="35"/>
      <c r="J15645" s="41"/>
    </row>
    <row r="15646" spans="5:10" s="34" customFormat="1" x14ac:dyDescent="0.35">
      <c r="E15646" s="35"/>
      <c r="J15646" s="41"/>
    </row>
    <row r="15647" spans="5:10" s="34" customFormat="1" x14ac:dyDescent="0.35">
      <c r="E15647" s="35"/>
      <c r="J15647" s="41"/>
    </row>
    <row r="15648" spans="5:10" s="34" customFormat="1" x14ac:dyDescent="0.35">
      <c r="E15648" s="35"/>
      <c r="J15648" s="41"/>
    </row>
    <row r="15649" spans="5:10" s="34" customFormat="1" x14ac:dyDescent="0.35">
      <c r="E15649" s="35"/>
      <c r="J15649" s="41"/>
    </row>
    <row r="15650" spans="5:10" s="34" customFormat="1" x14ac:dyDescent="0.35">
      <c r="E15650" s="35"/>
      <c r="J15650" s="41"/>
    </row>
    <row r="15651" spans="5:10" s="34" customFormat="1" x14ac:dyDescent="0.35">
      <c r="E15651" s="35"/>
      <c r="J15651" s="41"/>
    </row>
    <row r="15652" spans="5:10" s="34" customFormat="1" x14ac:dyDescent="0.35">
      <c r="E15652" s="35"/>
      <c r="J15652" s="41"/>
    </row>
    <row r="15653" spans="5:10" s="34" customFormat="1" x14ac:dyDescent="0.35">
      <c r="E15653" s="35"/>
      <c r="J15653" s="41"/>
    </row>
    <row r="15654" spans="5:10" s="34" customFormat="1" x14ac:dyDescent="0.35">
      <c r="E15654" s="35"/>
      <c r="J15654" s="41"/>
    </row>
    <row r="15655" spans="5:10" s="34" customFormat="1" x14ac:dyDescent="0.35">
      <c r="E15655" s="35"/>
      <c r="J15655" s="41"/>
    </row>
    <row r="15656" spans="5:10" s="34" customFormat="1" x14ac:dyDescent="0.35">
      <c r="E15656" s="35"/>
      <c r="J15656" s="41"/>
    </row>
    <row r="15657" spans="5:10" s="34" customFormat="1" x14ac:dyDescent="0.35">
      <c r="E15657" s="35"/>
      <c r="J15657" s="41"/>
    </row>
    <row r="15658" spans="5:10" s="34" customFormat="1" x14ac:dyDescent="0.35">
      <c r="E15658" s="35"/>
      <c r="J15658" s="41"/>
    </row>
    <row r="15659" spans="5:10" s="34" customFormat="1" x14ac:dyDescent="0.35">
      <c r="E15659" s="35"/>
      <c r="J15659" s="41"/>
    </row>
    <row r="15660" spans="5:10" s="34" customFormat="1" x14ac:dyDescent="0.35">
      <c r="E15660" s="35"/>
      <c r="J15660" s="41"/>
    </row>
    <row r="15661" spans="5:10" s="34" customFormat="1" x14ac:dyDescent="0.35">
      <c r="E15661" s="35"/>
      <c r="J15661" s="41"/>
    </row>
    <row r="15662" spans="5:10" s="34" customFormat="1" x14ac:dyDescent="0.35">
      <c r="E15662" s="35"/>
      <c r="J15662" s="41"/>
    </row>
    <row r="15663" spans="5:10" s="34" customFormat="1" x14ac:dyDescent="0.35">
      <c r="E15663" s="35"/>
      <c r="J15663" s="41"/>
    </row>
    <row r="15664" spans="5:10" s="34" customFormat="1" x14ac:dyDescent="0.35">
      <c r="E15664" s="35"/>
      <c r="J15664" s="41"/>
    </row>
    <row r="15665" spans="5:10" s="34" customFormat="1" x14ac:dyDescent="0.35">
      <c r="E15665" s="35"/>
      <c r="J15665" s="41"/>
    </row>
    <row r="15666" spans="5:10" s="34" customFormat="1" x14ac:dyDescent="0.35">
      <c r="E15666" s="35"/>
      <c r="J15666" s="41"/>
    </row>
    <row r="15667" spans="5:10" s="34" customFormat="1" x14ac:dyDescent="0.35">
      <c r="E15667" s="35"/>
      <c r="J15667" s="41"/>
    </row>
    <row r="15668" spans="5:10" s="34" customFormat="1" x14ac:dyDescent="0.35">
      <c r="E15668" s="35"/>
      <c r="J15668" s="41"/>
    </row>
    <row r="15669" spans="5:10" s="34" customFormat="1" x14ac:dyDescent="0.35">
      <c r="E15669" s="35"/>
      <c r="J15669" s="41"/>
    </row>
    <row r="15670" spans="5:10" s="34" customFormat="1" x14ac:dyDescent="0.35">
      <c r="E15670" s="35"/>
      <c r="J15670" s="41"/>
    </row>
    <row r="15671" spans="5:10" s="34" customFormat="1" x14ac:dyDescent="0.35">
      <c r="E15671" s="35"/>
      <c r="J15671" s="41"/>
    </row>
    <row r="15672" spans="5:10" s="34" customFormat="1" x14ac:dyDescent="0.35">
      <c r="E15672" s="35"/>
      <c r="J15672" s="41"/>
    </row>
    <row r="15673" spans="5:10" s="34" customFormat="1" x14ac:dyDescent="0.35">
      <c r="E15673" s="35"/>
      <c r="J15673" s="41"/>
    </row>
    <row r="15674" spans="5:10" s="34" customFormat="1" x14ac:dyDescent="0.35">
      <c r="E15674" s="35"/>
      <c r="J15674" s="41"/>
    </row>
    <row r="15675" spans="5:10" s="34" customFormat="1" x14ac:dyDescent="0.35">
      <c r="E15675" s="35"/>
      <c r="J15675" s="41"/>
    </row>
    <row r="15676" spans="5:10" s="34" customFormat="1" x14ac:dyDescent="0.35">
      <c r="E15676" s="35"/>
      <c r="J15676" s="41"/>
    </row>
    <row r="15677" spans="5:10" s="34" customFormat="1" x14ac:dyDescent="0.35">
      <c r="E15677" s="35"/>
      <c r="J15677" s="41"/>
    </row>
    <row r="15678" spans="5:10" s="34" customFormat="1" x14ac:dyDescent="0.35">
      <c r="E15678" s="35"/>
      <c r="J15678" s="41"/>
    </row>
    <row r="15679" spans="5:10" s="34" customFormat="1" x14ac:dyDescent="0.35">
      <c r="E15679" s="35"/>
      <c r="J15679" s="41"/>
    </row>
    <row r="15680" spans="5:10" s="34" customFormat="1" x14ac:dyDescent="0.35">
      <c r="E15680" s="35"/>
      <c r="J15680" s="41"/>
    </row>
    <row r="15681" spans="5:10" s="34" customFormat="1" x14ac:dyDescent="0.35">
      <c r="E15681" s="35"/>
      <c r="J15681" s="41"/>
    </row>
    <row r="15682" spans="5:10" s="34" customFormat="1" x14ac:dyDescent="0.35">
      <c r="E15682" s="35"/>
      <c r="J15682" s="41"/>
    </row>
    <row r="15683" spans="5:10" s="34" customFormat="1" x14ac:dyDescent="0.35">
      <c r="E15683" s="35"/>
      <c r="J15683" s="41"/>
    </row>
    <row r="15684" spans="5:10" s="34" customFormat="1" x14ac:dyDescent="0.35">
      <c r="E15684" s="35"/>
      <c r="J15684" s="41"/>
    </row>
    <row r="15685" spans="5:10" s="34" customFormat="1" x14ac:dyDescent="0.35">
      <c r="E15685" s="35"/>
      <c r="J15685" s="41"/>
    </row>
    <row r="15686" spans="5:10" s="34" customFormat="1" x14ac:dyDescent="0.35">
      <c r="E15686" s="35"/>
      <c r="J15686" s="41"/>
    </row>
    <row r="15687" spans="5:10" s="34" customFormat="1" x14ac:dyDescent="0.35">
      <c r="E15687" s="35"/>
      <c r="J15687" s="41"/>
    </row>
    <row r="15688" spans="5:10" s="34" customFormat="1" x14ac:dyDescent="0.35">
      <c r="E15688" s="35"/>
      <c r="J15688" s="41"/>
    </row>
    <row r="15689" spans="5:10" s="34" customFormat="1" x14ac:dyDescent="0.35">
      <c r="E15689" s="35"/>
      <c r="J15689" s="41"/>
    </row>
    <row r="15690" spans="5:10" s="34" customFormat="1" x14ac:dyDescent="0.35">
      <c r="E15690" s="35"/>
      <c r="J15690" s="41"/>
    </row>
    <row r="15691" spans="5:10" s="34" customFormat="1" x14ac:dyDescent="0.35">
      <c r="E15691" s="35"/>
      <c r="J15691" s="41"/>
    </row>
    <row r="15692" spans="5:10" s="34" customFormat="1" x14ac:dyDescent="0.35">
      <c r="E15692" s="35"/>
      <c r="J15692" s="41"/>
    </row>
    <row r="15693" spans="5:10" s="34" customFormat="1" x14ac:dyDescent="0.35">
      <c r="E15693" s="35"/>
      <c r="J15693" s="41"/>
    </row>
    <row r="15694" spans="5:10" s="34" customFormat="1" x14ac:dyDescent="0.35">
      <c r="E15694" s="35"/>
      <c r="J15694" s="41"/>
    </row>
    <row r="15695" spans="5:10" s="34" customFormat="1" x14ac:dyDescent="0.35">
      <c r="E15695" s="35"/>
      <c r="J15695" s="41"/>
    </row>
    <row r="15696" spans="5:10" s="34" customFormat="1" x14ac:dyDescent="0.35">
      <c r="E15696" s="35"/>
      <c r="J15696" s="41"/>
    </row>
    <row r="15697" spans="5:10" s="34" customFormat="1" x14ac:dyDescent="0.35">
      <c r="E15697" s="35"/>
      <c r="J15697" s="41"/>
    </row>
    <row r="15698" spans="5:10" s="34" customFormat="1" x14ac:dyDescent="0.35">
      <c r="E15698" s="35"/>
      <c r="J15698" s="41"/>
    </row>
    <row r="15699" spans="5:10" s="34" customFormat="1" x14ac:dyDescent="0.35">
      <c r="E15699" s="35"/>
      <c r="J15699" s="41"/>
    </row>
    <row r="15700" spans="5:10" s="34" customFormat="1" x14ac:dyDescent="0.35">
      <c r="E15700" s="35"/>
      <c r="J15700" s="41"/>
    </row>
    <row r="15701" spans="5:10" s="34" customFormat="1" x14ac:dyDescent="0.35">
      <c r="E15701" s="35"/>
      <c r="J15701" s="41"/>
    </row>
    <row r="15702" spans="5:10" s="34" customFormat="1" x14ac:dyDescent="0.35">
      <c r="E15702" s="35"/>
      <c r="J15702" s="41"/>
    </row>
    <row r="15703" spans="5:10" s="34" customFormat="1" x14ac:dyDescent="0.35">
      <c r="E15703" s="35"/>
      <c r="J15703" s="41"/>
    </row>
    <row r="15704" spans="5:10" s="34" customFormat="1" x14ac:dyDescent="0.35">
      <c r="E15704" s="35"/>
      <c r="J15704" s="41"/>
    </row>
    <row r="15705" spans="5:10" s="34" customFormat="1" x14ac:dyDescent="0.35">
      <c r="E15705" s="35"/>
      <c r="J15705" s="41"/>
    </row>
    <row r="15706" spans="5:10" s="34" customFormat="1" x14ac:dyDescent="0.35">
      <c r="E15706" s="35"/>
      <c r="J15706" s="41"/>
    </row>
    <row r="15707" spans="5:10" s="34" customFormat="1" x14ac:dyDescent="0.35">
      <c r="E15707" s="35"/>
      <c r="J15707" s="41"/>
    </row>
    <row r="15708" spans="5:10" s="34" customFormat="1" x14ac:dyDescent="0.35">
      <c r="E15708" s="35"/>
      <c r="J15708" s="41"/>
    </row>
    <row r="15709" spans="5:10" s="34" customFormat="1" x14ac:dyDescent="0.35">
      <c r="E15709" s="35"/>
      <c r="J15709" s="41"/>
    </row>
    <row r="15710" spans="5:10" s="34" customFormat="1" x14ac:dyDescent="0.35">
      <c r="E15710" s="35"/>
      <c r="J15710" s="41"/>
    </row>
    <row r="15711" spans="5:10" s="34" customFormat="1" x14ac:dyDescent="0.35">
      <c r="E15711" s="35"/>
      <c r="J15711" s="41"/>
    </row>
    <row r="15712" spans="5:10" s="34" customFormat="1" x14ac:dyDescent="0.35">
      <c r="E15712" s="35"/>
      <c r="J15712" s="41"/>
    </row>
    <row r="15713" spans="5:10" s="34" customFormat="1" x14ac:dyDescent="0.35">
      <c r="E15713" s="35"/>
      <c r="J15713" s="41"/>
    </row>
    <row r="15714" spans="5:10" s="34" customFormat="1" x14ac:dyDescent="0.35">
      <c r="E15714" s="35"/>
      <c r="J15714" s="41"/>
    </row>
    <row r="15715" spans="5:10" s="34" customFormat="1" x14ac:dyDescent="0.35">
      <c r="E15715" s="35"/>
      <c r="J15715" s="41"/>
    </row>
    <row r="15716" spans="5:10" s="34" customFormat="1" x14ac:dyDescent="0.35">
      <c r="E15716" s="35"/>
      <c r="J15716" s="41"/>
    </row>
    <row r="15717" spans="5:10" s="34" customFormat="1" x14ac:dyDescent="0.35">
      <c r="E15717" s="35"/>
      <c r="J15717" s="41"/>
    </row>
    <row r="15718" spans="5:10" s="34" customFormat="1" x14ac:dyDescent="0.35">
      <c r="E15718" s="35"/>
      <c r="J15718" s="41"/>
    </row>
    <row r="15719" spans="5:10" s="34" customFormat="1" x14ac:dyDescent="0.35">
      <c r="E15719" s="35"/>
      <c r="J15719" s="41"/>
    </row>
    <row r="15720" spans="5:10" s="34" customFormat="1" x14ac:dyDescent="0.35">
      <c r="E15720" s="35"/>
      <c r="J15720" s="41"/>
    </row>
    <row r="15721" spans="5:10" s="34" customFormat="1" x14ac:dyDescent="0.35">
      <c r="E15721" s="35"/>
      <c r="J15721" s="41"/>
    </row>
    <row r="15722" spans="5:10" s="34" customFormat="1" x14ac:dyDescent="0.35">
      <c r="E15722" s="35"/>
      <c r="J15722" s="41"/>
    </row>
    <row r="15723" spans="5:10" s="34" customFormat="1" x14ac:dyDescent="0.35">
      <c r="E15723" s="35"/>
      <c r="J15723" s="41"/>
    </row>
    <row r="15724" spans="5:10" s="34" customFormat="1" x14ac:dyDescent="0.35">
      <c r="E15724" s="35"/>
      <c r="J15724" s="41"/>
    </row>
    <row r="15725" spans="5:10" s="34" customFormat="1" x14ac:dyDescent="0.35">
      <c r="E15725" s="35"/>
      <c r="J15725" s="41"/>
    </row>
    <row r="15726" spans="5:10" s="34" customFormat="1" x14ac:dyDescent="0.35">
      <c r="E15726" s="35"/>
      <c r="J15726" s="41"/>
    </row>
    <row r="15727" spans="5:10" s="34" customFormat="1" x14ac:dyDescent="0.35">
      <c r="E15727" s="35"/>
      <c r="J15727" s="41"/>
    </row>
    <row r="15728" spans="5:10" s="34" customFormat="1" x14ac:dyDescent="0.35">
      <c r="E15728" s="35"/>
      <c r="J15728" s="41"/>
    </row>
    <row r="15729" spans="5:10" s="34" customFormat="1" x14ac:dyDescent="0.35">
      <c r="E15729" s="35"/>
      <c r="J15729" s="41"/>
    </row>
    <row r="15730" spans="5:10" s="34" customFormat="1" x14ac:dyDescent="0.35">
      <c r="E15730" s="35"/>
      <c r="J15730" s="41"/>
    </row>
    <row r="15731" spans="5:10" s="34" customFormat="1" x14ac:dyDescent="0.35">
      <c r="E15731" s="35"/>
      <c r="J15731" s="41"/>
    </row>
    <row r="15732" spans="5:10" s="34" customFormat="1" x14ac:dyDescent="0.35">
      <c r="E15732" s="35"/>
      <c r="J15732" s="41"/>
    </row>
    <row r="15733" spans="5:10" s="34" customFormat="1" x14ac:dyDescent="0.35">
      <c r="E15733" s="35"/>
      <c r="J15733" s="41"/>
    </row>
    <row r="15734" spans="5:10" s="34" customFormat="1" x14ac:dyDescent="0.35">
      <c r="E15734" s="35"/>
      <c r="J15734" s="41"/>
    </row>
    <row r="15735" spans="5:10" s="34" customFormat="1" x14ac:dyDescent="0.35">
      <c r="E15735" s="35"/>
      <c r="J15735" s="41"/>
    </row>
    <row r="15736" spans="5:10" s="34" customFormat="1" x14ac:dyDescent="0.35">
      <c r="E15736" s="35"/>
      <c r="J15736" s="41"/>
    </row>
    <row r="15737" spans="5:10" s="34" customFormat="1" x14ac:dyDescent="0.35">
      <c r="E15737" s="35"/>
      <c r="J15737" s="41"/>
    </row>
    <row r="15738" spans="5:10" s="34" customFormat="1" x14ac:dyDescent="0.35">
      <c r="E15738" s="35"/>
      <c r="J15738" s="41"/>
    </row>
    <row r="15739" spans="5:10" s="34" customFormat="1" x14ac:dyDescent="0.35">
      <c r="E15739" s="35"/>
      <c r="J15739" s="41"/>
    </row>
    <row r="15740" spans="5:10" s="34" customFormat="1" x14ac:dyDescent="0.35">
      <c r="E15740" s="35"/>
      <c r="J15740" s="41"/>
    </row>
    <row r="15741" spans="5:10" s="34" customFormat="1" x14ac:dyDescent="0.35">
      <c r="E15741" s="35"/>
      <c r="J15741" s="41"/>
    </row>
    <row r="15742" spans="5:10" s="34" customFormat="1" x14ac:dyDescent="0.35">
      <c r="E15742" s="35"/>
      <c r="J15742" s="41"/>
    </row>
    <row r="15743" spans="5:10" s="34" customFormat="1" x14ac:dyDescent="0.35">
      <c r="E15743" s="35"/>
      <c r="J15743" s="41"/>
    </row>
    <row r="15744" spans="5:10" s="34" customFormat="1" x14ac:dyDescent="0.35">
      <c r="E15744" s="35"/>
      <c r="J15744" s="41"/>
    </row>
    <row r="15745" spans="5:10" s="34" customFormat="1" x14ac:dyDescent="0.35">
      <c r="E15745" s="35"/>
      <c r="J15745" s="41"/>
    </row>
    <row r="15746" spans="5:10" s="34" customFormat="1" x14ac:dyDescent="0.35">
      <c r="E15746" s="35"/>
      <c r="J15746" s="41"/>
    </row>
    <row r="15747" spans="5:10" s="34" customFormat="1" x14ac:dyDescent="0.35">
      <c r="E15747" s="35"/>
      <c r="J15747" s="41"/>
    </row>
    <row r="15748" spans="5:10" s="34" customFormat="1" x14ac:dyDescent="0.35">
      <c r="E15748" s="35"/>
      <c r="J15748" s="41"/>
    </row>
    <row r="15749" spans="5:10" s="34" customFormat="1" x14ac:dyDescent="0.35">
      <c r="E15749" s="35"/>
      <c r="J15749" s="41"/>
    </row>
    <row r="15750" spans="5:10" s="34" customFormat="1" x14ac:dyDescent="0.35">
      <c r="E15750" s="35"/>
      <c r="J15750" s="41"/>
    </row>
    <row r="15751" spans="5:10" s="34" customFormat="1" x14ac:dyDescent="0.35">
      <c r="E15751" s="35"/>
      <c r="J15751" s="41"/>
    </row>
    <row r="15752" spans="5:10" s="34" customFormat="1" x14ac:dyDescent="0.35">
      <c r="E15752" s="35"/>
      <c r="J15752" s="41"/>
    </row>
    <row r="15753" spans="5:10" s="34" customFormat="1" x14ac:dyDescent="0.35">
      <c r="E15753" s="35"/>
      <c r="J15753" s="41"/>
    </row>
    <row r="15754" spans="5:10" s="34" customFormat="1" x14ac:dyDescent="0.35">
      <c r="E15754" s="35"/>
      <c r="J15754" s="41"/>
    </row>
    <row r="15755" spans="5:10" s="34" customFormat="1" x14ac:dyDescent="0.35">
      <c r="E15755" s="35"/>
      <c r="J15755" s="41"/>
    </row>
    <row r="15756" spans="5:10" s="34" customFormat="1" x14ac:dyDescent="0.35">
      <c r="E15756" s="35"/>
      <c r="J15756" s="41"/>
    </row>
    <row r="15757" spans="5:10" s="34" customFormat="1" x14ac:dyDescent="0.35">
      <c r="E15757" s="35"/>
      <c r="J15757" s="41"/>
    </row>
    <row r="15758" spans="5:10" s="34" customFormat="1" x14ac:dyDescent="0.35">
      <c r="E15758" s="35"/>
      <c r="J15758" s="41"/>
    </row>
    <row r="15759" spans="5:10" s="34" customFormat="1" x14ac:dyDescent="0.35">
      <c r="E15759" s="35"/>
      <c r="J15759" s="41"/>
    </row>
    <row r="15760" spans="5:10" s="34" customFormat="1" x14ac:dyDescent="0.35">
      <c r="E15760" s="35"/>
      <c r="J15760" s="41"/>
    </row>
    <row r="15761" spans="5:10" s="34" customFormat="1" x14ac:dyDescent="0.35">
      <c r="E15761" s="35"/>
      <c r="J15761" s="41"/>
    </row>
    <row r="15762" spans="5:10" s="34" customFormat="1" x14ac:dyDescent="0.35">
      <c r="E15762" s="35"/>
      <c r="J15762" s="41"/>
    </row>
    <row r="15763" spans="5:10" s="34" customFormat="1" x14ac:dyDescent="0.35">
      <c r="E15763" s="35"/>
      <c r="J15763" s="41"/>
    </row>
    <row r="15764" spans="5:10" s="34" customFormat="1" x14ac:dyDescent="0.35">
      <c r="E15764" s="35"/>
      <c r="J15764" s="41"/>
    </row>
    <row r="15765" spans="5:10" s="34" customFormat="1" x14ac:dyDescent="0.35">
      <c r="E15765" s="35"/>
      <c r="J15765" s="41"/>
    </row>
    <row r="15766" spans="5:10" s="34" customFormat="1" x14ac:dyDescent="0.35">
      <c r="E15766" s="35"/>
      <c r="J15766" s="41"/>
    </row>
    <row r="15767" spans="5:10" s="34" customFormat="1" x14ac:dyDescent="0.35">
      <c r="E15767" s="35"/>
      <c r="J15767" s="41"/>
    </row>
    <row r="15768" spans="5:10" s="34" customFormat="1" x14ac:dyDescent="0.35">
      <c r="E15768" s="35"/>
      <c r="J15768" s="41"/>
    </row>
    <row r="15769" spans="5:10" s="34" customFormat="1" x14ac:dyDescent="0.35">
      <c r="E15769" s="35"/>
      <c r="J15769" s="41"/>
    </row>
    <row r="15770" spans="5:10" s="34" customFormat="1" x14ac:dyDescent="0.35">
      <c r="E15770" s="35"/>
      <c r="J15770" s="41"/>
    </row>
    <row r="15771" spans="5:10" s="34" customFormat="1" x14ac:dyDescent="0.35">
      <c r="E15771" s="35"/>
      <c r="J15771" s="41"/>
    </row>
    <row r="15772" spans="5:10" s="34" customFormat="1" x14ac:dyDescent="0.35">
      <c r="E15772" s="35"/>
      <c r="J15772" s="41"/>
    </row>
    <row r="15773" spans="5:10" s="34" customFormat="1" x14ac:dyDescent="0.35">
      <c r="E15773" s="35"/>
      <c r="J15773" s="41"/>
    </row>
    <row r="15774" spans="5:10" s="34" customFormat="1" x14ac:dyDescent="0.35">
      <c r="E15774" s="35"/>
      <c r="J15774" s="41"/>
    </row>
    <row r="15775" spans="5:10" s="34" customFormat="1" x14ac:dyDescent="0.35">
      <c r="E15775" s="35"/>
      <c r="J15775" s="41"/>
    </row>
    <row r="15776" spans="5:10" s="34" customFormat="1" x14ac:dyDescent="0.35">
      <c r="E15776" s="35"/>
      <c r="J15776" s="41"/>
    </row>
    <row r="15777" spans="5:10" s="34" customFormat="1" x14ac:dyDescent="0.35">
      <c r="E15777" s="35"/>
      <c r="J15777" s="41"/>
    </row>
    <row r="15778" spans="5:10" s="34" customFormat="1" x14ac:dyDescent="0.35">
      <c r="E15778" s="35"/>
      <c r="J15778" s="41"/>
    </row>
    <row r="15779" spans="5:10" s="34" customFormat="1" x14ac:dyDescent="0.35">
      <c r="E15779" s="35"/>
      <c r="J15779" s="41"/>
    </row>
    <row r="15780" spans="5:10" s="34" customFormat="1" x14ac:dyDescent="0.35">
      <c r="E15780" s="35"/>
      <c r="J15780" s="41"/>
    </row>
    <row r="15781" spans="5:10" s="34" customFormat="1" x14ac:dyDescent="0.35">
      <c r="E15781" s="35"/>
      <c r="J15781" s="41"/>
    </row>
    <row r="15782" spans="5:10" s="34" customFormat="1" x14ac:dyDescent="0.35">
      <c r="E15782" s="35"/>
      <c r="J15782" s="41"/>
    </row>
    <row r="15783" spans="5:10" s="34" customFormat="1" x14ac:dyDescent="0.35">
      <c r="E15783" s="35"/>
      <c r="J15783" s="41"/>
    </row>
    <row r="15784" spans="5:10" s="34" customFormat="1" x14ac:dyDescent="0.35">
      <c r="E15784" s="35"/>
      <c r="J15784" s="41"/>
    </row>
    <row r="15785" spans="5:10" s="34" customFormat="1" x14ac:dyDescent="0.35">
      <c r="E15785" s="35"/>
      <c r="J15785" s="41"/>
    </row>
    <row r="15786" spans="5:10" s="34" customFormat="1" x14ac:dyDescent="0.35">
      <c r="E15786" s="35"/>
      <c r="J15786" s="41"/>
    </row>
    <row r="15787" spans="5:10" s="34" customFormat="1" x14ac:dyDescent="0.35">
      <c r="E15787" s="35"/>
      <c r="J15787" s="41"/>
    </row>
    <row r="15788" spans="5:10" s="34" customFormat="1" x14ac:dyDescent="0.35">
      <c r="E15788" s="35"/>
      <c r="J15788" s="41"/>
    </row>
    <row r="15789" spans="5:10" s="34" customFormat="1" x14ac:dyDescent="0.35">
      <c r="E15789" s="35"/>
      <c r="J15789" s="41"/>
    </row>
    <row r="15790" spans="5:10" s="34" customFormat="1" x14ac:dyDescent="0.35">
      <c r="E15790" s="35"/>
      <c r="J15790" s="41"/>
    </row>
    <row r="15791" spans="5:10" s="34" customFormat="1" x14ac:dyDescent="0.35">
      <c r="E15791" s="35"/>
      <c r="J15791" s="41"/>
    </row>
    <row r="15792" spans="5:10" s="34" customFormat="1" x14ac:dyDescent="0.35">
      <c r="E15792" s="35"/>
      <c r="J15792" s="41"/>
    </row>
    <row r="15793" spans="5:10" s="34" customFormat="1" x14ac:dyDescent="0.35">
      <c r="E15793" s="35"/>
      <c r="J15793" s="41"/>
    </row>
    <row r="15794" spans="5:10" s="34" customFormat="1" x14ac:dyDescent="0.35">
      <c r="E15794" s="35"/>
      <c r="J15794" s="41"/>
    </row>
    <row r="15795" spans="5:10" s="34" customFormat="1" x14ac:dyDescent="0.35">
      <c r="E15795" s="35"/>
      <c r="J15795" s="41"/>
    </row>
    <row r="15796" spans="5:10" s="34" customFormat="1" x14ac:dyDescent="0.35">
      <c r="E15796" s="35"/>
      <c r="J15796" s="41"/>
    </row>
    <row r="15797" spans="5:10" s="34" customFormat="1" x14ac:dyDescent="0.35">
      <c r="E15797" s="35"/>
      <c r="J15797" s="41"/>
    </row>
    <row r="15798" spans="5:10" s="34" customFormat="1" x14ac:dyDescent="0.35">
      <c r="E15798" s="35"/>
      <c r="J15798" s="41"/>
    </row>
    <row r="15799" spans="5:10" s="34" customFormat="1" x14ac:dyDescent="0.35">
      <c r="E15799" s="35"/>
      <c r="J15799" s="41"/>
    </row>
    <row r="15800" spans="5:10" s="34" customFormat="1" x14ac:dyDescent="0.35">
      <c r="E15800" s="35"/>
      <c r="J15800" s="41"/>
    </row>
    <row r="15801" spans="5:10" s="34" customFormat="1" x14ac:dyDescent="0.35">
      <c r="E15801" s="35"/>
      <c r="J15801" s="41"/>
    </row>
    <row r="15802" spans="5:10" s="34" customFormat="1" x14ac:dyDescent="0.35">
      <c r="E15802" s="35"/>
      <c r="J15802" s="41"/>
    </row>
    <row r="15803" spans="5:10" s="34" customFormat="1" x14ac:dyDescent="0.35">
      <c r="E15803" s="35"/>
      <c r="J15803" s="41"/>
    </row>
    <row r="15804" spans="5:10" s="34" customFormat="1" x14ac:dyDescent="0.35">
      <c r="E15804" s="35"/>
      <c r="J15804" s="41"/>
    </row>
    <row r="15805" spans="5:10" s="34" customFormat="1" x14ac:dyDescent="0.35">
      <c r="E15805" s="35"/>
      <c r="J15805" s="41"/>
    </row>
    <row r="15806" spans="5:10" s="34" customFormat="1" x14ac:dyDescent="0.35">
      <c r="E15806" s="35"/>
      <c r="J15806" s="41"/>
    </row>
    <row r="15807" spans="5:10" s="34" customFormat="1" x14ac:dyDescent="0.35">
      <c r="E15807" s="35"/>
      <c r="J15807" s="41"/>
    </row>
    <row r="15808" spans="5:10" s="34" customFormat="1" x14ac:dyDescent="0.35">
      <c r="E15808" s="35"/>
      <c r="J15808" s="41"/>
    </row>
    <row r="15809" spans="5:10" s="34" customFormat="1" x14ac:dyDescent="0.35">
      <c r="E15809" s="35"/>
      <c r="J15809" s="41"/>
    </row>
    <row r="15810" spans="5:10" s="34" customFormat="1" x14ac:dyDescent="0.35">
      <c r="E15810" s="35"/>
      <c r="J15810" s="41"/>
    </row>
    <row r="15811" spans="5:10" s="34" customFormat="1" x14ac:dyDescent="0.35">
      <c r="E15811" s="35"/>
      <c r="J15811" s="41"/>
    </row>
    <row r="15812" spans="5:10" s="34" customFormat="1" x14ac:dyDescent="0.35">
      <c r="E15812" s="35"/>
      <c r="J15812" s="41"/>
    </row>
    <row r="15813" spans="5:10" s="34" customFormat="1" x14ac:dyDescent="0.35">
      <c r="E15813" s="35"/>
      <c r="J15813" s="41"/>
    </row>
    <row r="15814" spans="5:10" s="34" customFormat="1" x14ac:dyDescent="0.35">
      <c r="E15814" s="35"/>
      <c r="J15814" s="41"/>
    </row>
    <row r="15815" spans="5:10" s="34" customFormat="1" x14ac:dyDescent="0.35">
      <c r="E15815" s="35"/>
      <c r="J15815" s="41"/>
    </row>
    <row r="15816" spans="5:10" s="34" customFormat="1" x14ac:dyDescent="0.35">
      <c r="E15816" s="35"/>
      <c r="J15816" s="41"/>
    </row>
    <row r="15817" spans="5:10" s="34" customFormat="1" x14ac:dyDescent="0.35">
      <c r="E15817" s="35"/>
      <c r="J15817" s="41"/>
    </row>
    <row r="15818" spans="5:10" s="34" customFormat="1" x14ac:dyDescent="0.35">
      <c r="E15818" s="35"/>
      <c r="J15818" s="41"/>
    </row>
    <row r="15819" spans="5:10" s="34" customFormat="1" x14ac:dyDescent="0.35">
      <c r="E15819" s="35"/>
      <c r="J15819" s="41"/>
    </row>
    <row r="15820" spans="5:10" s="34" customFormat="1" x14ac:dyDescent="0.35">
      <c r="E15820" s="35"/>
      <c r="J15820" s="41"/>
    </row>
    <row r="15821" spans="5:10" s="34" customFormat="1" x14ac:dyDescent="0.35">
      <c r="E15821" s="35"/>
      <c r="J15821" s="41"/>
    </row>
    <row r="15822" spans="5:10" s="34" customFormat="1" x14ac:dyDescent="0.35">
      <c r="E15822" s="35"/>
      <c r="J15822" s="41"/>
    </row>
    <row r="15823" spans="5:10" s="34" customFormat="1" x14ac:dyDescent="0.35">
      <c r="E15823" s="35"/>
      <c r="J15823" s="41"/>
    </row>
    <row r="15824" spans="5:10" s="34" customFormat="1" x14ac:dyDescent="0.35">
      <c r="E15824" s="35"/>
      <c r="J15824" s="41"/>
    </row>
    <row r="15825" spans="5:10" s="34" customFormat="1" x14ac:dyDescent="0.35">
      <c r="E15825" s="35"/>
      <c r="J15825" s="41"/>
    </row>
    <row r="15826" spans="5:10" s="34" customFormat="1" x14ac:dyDescent="0.35">
      <c r="E15826" s="35"/>
      <c r="J15826" s="41"/>
    </row>
    <row r="15827" spans="5:10" s="34" customFormat="1" x14ac:dyDescent="0.35">
      <c r="E15827" s="35"/>
      <c r="J15827" s="41"/>
    </row>
    <row r="15828" spans="5:10" s="34" customFormat="1" x14ac:dyDescent="0.35">
      <c r="E15828" s="35"/>
      <c r="J15828" s="41"/>
    </row>
    <row r="15829" spans="5:10" s="34" customFormat="1" x14ac:dyDescent="0.35">
      <c r="E15829" s="35"/>
      <c r="J15829" s="41"/>
    </row>
    <row r="15830" spans="5:10" s="34" customFormat="1" x14ac:dyDescent="0.35">
      <c r="E15830" s="35"/>
      <c r="J15830" s="41"/>
    </row>
    <row r="15831" spans="5:10" s="34" customFormat="1" x14ac:dyDescent="0.35">
      <c r="E15831" s="35"/>
      <c r="J15831" s="41"/>
    </row>
    <row r="15832" spans="5:10" s="34" customFormat="1" x14ac:dyDescent="0.35">
      <c r="E15832" s="35"/>
      <c r="J15832" s="41"/>
    </row>
    <row r="15833" spans="5:10" s="34" customFormat="1" x14ac:dyDescent="0.35">
      <c r="E15833" s="35"/>
      <c r="J15833" s="41"/>
    </row>
    <row r="15834" spans="5:10" s="34" customFormat="1" x14ac:dyDescent="0.35">
      <c r="E15834" s="35"/>
      <c r="J15834" s="41"/>
    </row>
    <row r="15835" spans="5:10" s="34" customFormat="1" x14ac:dyDescent="0.35">
      <c r="E15835" s="35"/>
      <c r="J15835" s="41"/>
    </row>
    <row r="15836" spans="5:10" s="34" customFormat="1" x14ac:dyDescent="0.35">
      <c r="E15836" s="35"/>
      <c r="J15836" s="41"/>
    </row>
    <row r="15837" spans="5:10" s="34" customFormat="1" x14ac:dyDescent="0.35">
      <c r="E15837" s="35"/>
      <c r="J15837" s="41"/>
    </row>
    <row r="15838" spans="5:10" s="34" customFormat="1" x14ac:dyDescent="0.35">
      <c r="E15838" s="35"/>
      <c r="J15838" s="41"/>
    </row>
    <row r="15839" spans="5:10" s="34" customFormat="1" x14ac:dyDescent="0.35">
      <c r="E15839" s="35"/>
      <c r="J15839" s="41"/>
    </row>
    <row r="15840" spans="5:10" s="34" customFormat="1" x14ac:dyDescent="0.35">
      <c r="E15840" s="35"/>
      <c r="J15840" s="41"/>
    </row>
    <row r="15841" spans="5:10" s="34" customFormat="1" x14ac:dyDescent="0.35">
      <c r="E15841" s="35"/>
      <c r="J15841" s="41"/>
    </row>
    <row r="15842" spans="5:10" s="34" customFormat="1" x14ac:dyDescent="0.35">
      <c r="E15842" s="35"/>
      <c r="J15842" s="41"/>
    </row>
    <row r="15843" spans="5:10" s="34" customFormat="1" x14ac:dyDescent="0.35">
      <c r="E15843" s="35"/>
      <c r="J15843" s="41"/>
    </row>
    <row r="15844" spans="5:10" s="34" customFormat="1" x14ac:dyDescent="0.35">
      <c r="E15844" s="35"/>
      <c r="J15844" s="41"/>
    </row>
    <row r="15845" spans="5:10" s="34" customFormat="1" x14ac:dyDescent="0.35">
      <c r="E15845" s="35"/>
      <c r="J15845" s="41"/>
    </row>
    <row r="15846" spans="5:10" s="34" customFormat="1" x14ac:dyDescent="0.35">
      <c r="E15846" s="35"/>
      <c r="J15846" s="41"/>
    </row>
    <row r="15847" spans="5:10" s="34" customFormat="1" x14ac:dyDescent="0.35">
      <c r="E15847" s="35"/>
      <c r="J15847" s="41"/>
    </row>
    <row r="15848" spans="5:10" s="34" customFormat="1" x14ac:dyDescent="0.35">
      <c r="E15848" s="35"/>
      <c r="J15848" s="41"/>
    </row>
    <row r="15849" spans="5:10" s="34" customFormat="1" x14ac:dyDescent="0.35">
      <c r="E15849" s="35"/>
      <c r="J15849" s="41"/>
    </row>
    <row r="15850" spans="5:10" s="34" customFormat="1" x14ac:dyDescent="0.35">
      <c r="E15850" s="35"/>
      <c r="J15850" s="41"/>
    </row>
    <row r="15851" spans="5:10" s="34" customFormat="1" x14ac:dyDescent="0.35">
      <c r="E15851" s="35"/>
      <c r="J15851" s="41"/>
    </row>
    <row r="15852" spans="5:10" s="34" customFormat="1" x14ac:dyDescent="0.35">
      <c r="E15852" s="35"/>
      <c r="J15852" s="41"/>
    </row>
    <row r="15853" spans="5:10" s="34" customFormat="1" x14ac:dyDescent="0.35">
      <c r="E15853" s="35"/>
      <c r="J15853" s="41"/>
    </row>
    <row r="15854" spans="5:10" s="34" customFormat="1" x14ac:dyDescent="0.35">
      <c r="E15854" s="35"/>
      <c r="J15854" s="41"/>
    </row>
    <row r="15855" spans="5:10" s="34" customFormat="1" x14ac:dyDescent="0.35">
      <c r="E15855" s="35"/>
      <c r="J15855" s="41"/>
    </row>
    <row r="15856" spans="5:10" s="34" customFormat="1" x14ac:dyDescent="0.35">
      <c r="E15856" s="35"/>
      <c r="J15856" s="41"/>
    </row>
    <row r="15857" spans="5:10" s="34" customFormat="1" x14ac:dyDescent="0.35">
      <c r="E15857" s="35"/>
      <c r="J15857" s="41"/>
    </row>
    <row r="15858" spans="5:10" s="34" customFormat="1" x14ac:dyDescent="0.35">
      <c r="E15858" s="35"/>
      <c r="J15858" s="41"/>
    </row>
    <row r="15859" spans="5:10" s="34" customFormat="1" x14ac:dyDescent="0.35">
      <c r="E15859" s="35"/>
      <c r="J15859" s="41"/>
    </row>
    <row r="15860" spans="5:10" s="34" customFormat="1" x14ac:dyDescent="0.35">
      <c r="E15860" s="35"/>
      <c r="J15860" s="41"/>
    </row>
    <row r="15861" spans="5:10" s="34" customFormat="1" x14ac:dyDescent="0.35">
      <c r="E15861" s="35"/>
      <c r="J15861" s="41"/>
    </row>
    <row r="15862" spans="5:10" s="34" customFormat="1" x14ac:dyDescent="0.35">
      <c r="E15862" s="35"/>
      <c r="J15862" s="41"/>
    </row>
    <row r="15863" spans="5:10" s="34" customFormat="1" x14ac:dyDescent="0.35">
      <c r="E15863" s="35"/>
      <c r="J15863" s="41"/>
    </row>
    <row r="15864" spans="5:10" s="34" customFormat="1" x14ac:dyDescent="0.35">
      <c r="E15864" s="35"/>
      <c r="J15864" s="41"/>
    </row>
    <row r="15865" spans="5:10" s="34" customFormat="1" x14ac:dyDescent="0.35">
      <c r="E15865" s="35"/>
      <c r="J15865" s="41"/>
    </row>
    <row r="15866" spans="5:10" s="34" customFormat="1" x14ac:dyDescent="0.35">
      <c r="E15866" s="35"/>
      <c r="J15866" s="41"/>
    </row>
    <row r="15867" spans="5:10" s="34" customFormat="1" x14ac:dyDescent="0.35">
      <c r="E15867" s="35"/>
      <c r="J15867" s="41"/>
    </row>
    <row r="15868" spans="5:10" s="34" customFormat="1" x14ac:dyDescent="0.35">
      <c r="E15868" s="35"/>
      <c r="J15868" s="41"/>
    </row>
    <row r="15869" spans="5:10" s="34" customFormat="1" x14ac:dyDescent="0.35">
      <c r="E15869" s="35"/>
      <c r="J15869" s="41"/>
    </row>
    <row r="15870" spans="5:10" s="34" customFormat="1" x14ac:dyDescent="0.35">
      <c r="E15870" s="35"/>
      <c r="J15870" s="41"/>
    </row>
    <row r="15871" spans="5:10" s="34" customFormat="1" x14ac:dyDescent="0.35">
      <c r="E15871" s="35"/>
      <c r="J15871" s="41"/>
    </row>
    <row r="15872" spans="5:10" s="34" customFormat="1" x14ac:dyDescent="0.35">
      <c r="E15872" s="35"/>
      <c r="J15872" s="41"/>
    </row>
    <row r="15873" spans="5:10" s="34" customFormat="1" x14ac:dyDescent="0.35">
      <c r="E15873" s="35"/>
      <c r="J15873" s="41"/>
    </row>
    <row r="15874" spans="5:10" s="34" customFormat="1" x14ac:dyDescent="0.35">
      <c r="E15874" s="35"/>
      <c r="J15874" s="41"/>
    </row>
    <row r="15875" spans="5:10" s="34" customFormat="1" x14ac:dyDescent="0.35">
      <c r="E15875" s="35"/>
      <c r="J15875" s="41"/>
    </row>
    <row r="15876" spans="5:10" s="34" customFormat="1" x14ac:dyDescent="0.35">
      <c r="E15876" s="35"/>
      <c r="J15876" s="41"/>
    </row>
    <row r="15877" spans="5:10" s="34" customFormat="1" x14ac:dyDescent="0.35">
      <c r="E15877" s="35"/>
      <c r="J15877" s="41"/>
    </row>
    <row r="15878" spans="5:10" s="34" customFormat="1" x14ac:dyDescent="0.35">
      <c r="E15878" s="35"/>
      <c r="J15878" s="41"/>
    </row>
    <row r="15879" spans="5:10" s="34" customFormat="1" x14ac:dyDescent="0.35">
      <c r="E15879" s="35"/>
      <c r="J15879" s="41"/>
    </row>
    <row r="15880" spans="5:10" s="34" customFormat="1" x14ac:dyDescent="0.35">
      <c r="E15880" s="35"/>
      <c r="J15880" s="41"/>
    </row>
    <row r="15881" spans="5:10" s="34" customFormat="1" x14ac:dyDescent="0.35">
      <c r="E15881" s="35"/>
      <c r="J15881" s="41"/>
    </row>
    <row r="15882" spans="5:10" s="34" customFormat="1" x14ac:dyDescent="0.35">
      <c r="E15882" s="35"/>
      <c r="J15882" s="41"/>
    </row>
    <row r="15883" spans="5:10" s="34" customFormat="1" x14ac:dyDescent="0.35">
      <c r="E15883" s="35"/>
      <c r="J15883" s="41"/>
    </row>
    <row r="15884" spans="5:10" s="34" customFormat="1" x14ac:dyDescent="0.35">
      <c r="E15884" s="35"/>
      <c r="J15884" s="41"/>
    </row>
    <row r="15885" spans="5:10" s="34" customFormat="1" x14ac:dyDescent="0.35">
      <c r="E15885" s="35"/>
      <c r="J15885" s="41"/>
    </row>
    <row r="15886" spans="5:10" s="34" customFormat="1" x14ac:dyDescent="0.35">
      <c r="E15886" s="35"/>
      <c r="J15886" s="41"/>
    </row>
    <row r="15887" spans="5:10" s="34" customFormat="1" x14ac:dyDescent="0.35">
      <c r="E15887" s="35"/>
      <c r="J15887" s="41"/>
    </row>
    <row r="15888" spans="5:10" s="34" customFormat="1" x14ac:dyDescent="0.35">
      <c r="E15888" s="35"/>
      <c r="J15888" s="41"/>
    </row>
    <row r="15889" spans="5:10" s="34" customFormat="1" x14ac:dyDescent="0.35">
      <c r="E15889" s="35"/>
      <c r="J15889" s="41"/>
    </row>
    <row r="15890" spans="5:10" s="34" customFormat="1" x14ac:dyDescent="0.35">
      <c r="E15890" s="35"/>
      <c r="J15890" s="41"/>
    </row>
    <row r="15891" spans="5:10" s="34" customFormat="1" x14ac:dyDescent="0.35">
      <c r="E15891" s="35"/>
      <c r="J15891" s="41"/>
    </row>
    <row r="15892" spans="5:10" s="34" customFormat="1" x14ac:dyDescent="0.35">
      <c r="E15892" s="35"/>
      <c r="J15892" s="41"/>
    </row>
    <row r="15893" spans="5:10" s="34" customFormat="1" x14ac:dyDescent="0.35">
      <c r="E15893" s="35"/>
      <c r="J15893" s="41"/>
    </row>
    <row r="15894" spans="5:10" s="34" customFormat="1" x14ac:dyDescent="0.35">
      <c r="E15894" s="35"/>
      <c r="J15894" s="41"/>
    </row>
    <row r="15895" spans="5:10" s="34" customFormat="1" x14ac:dyDescent="0.35">
      <c r="E15895" s="35"/>
      <c r="J15895" s="41"/>
    </row>
    <row r="15896" spans="5:10" s="34" customFormat="1" x14ac:dyDescent="0.35">
      <c r="E15896" s="35"/>
      <c r="J15896" s="41"/>
    </row>
    <row r="15897" spans="5:10" s="34" customFormat="1" x14ac:dyDescent="0.35">
      <c r="E15897" s="35"/>
      <c r="J15897" s="41"/>
    </row>
    <row r="15898" spans="5:10" s="34" customFormat="1" x14ac:dyDescent="0.35">
      <c r="E15898" s="35"/>
      <c r="J15898" s="41"/>
    </row>
    <row r="15899" spans="5:10" s="34" customFormat="1" x14ac:dyDescent="0.35">
      <c r="E15899" s="35"/>
      <c r="J15899" s="41"/>
    </row>
    <row r="15900" spans="5:10" s="34" customFormat="1" x14ac:dyDescent="0.35">
      <c r="E15900" s="35"/>
      <c r="J15900" s="41"/>
    </row>
    <row r="15901" spans="5:10" s="34" customFormat="1" x14ac:dyDescent="0.35">
      <c r="E15901" s="35"/>
      <c r="J15901" s="41"/>
    </row>
    <row r="15902" spans="5:10" s="34" customFormat="1" x14ac:dyDescent="0.35">
      <c r="E15902" s="35"/>
      <c r="J15902" s="41"/>
    </row>
    <row r="15903" spans="5:10" s="34" customFormat="1" x14ac:dyDescent="0.35">
      <c r="E15903" s="35"/>
      <c r="J15903" s="41"/>
    </row>
    <row r="15904" spans="5:10" s="34" customFormat="1" x14ac:dyDescent="0.35">
      <c r="E15904" s="35"/>
      <c r="J15904" s="41"/>
    </row>
    <row r="15905" spans="5:10" s="34" customFormat="1" x14ac:dyDescent="0.35">
      <c r="E15905" s="35"/>
      <c r="J15905" s="41"/>
    </row>
    <row r="15906" spans="5:10" s="34" customFormat="1" x14ac:dyDescent="0.35">
      <c r="E15906" s="35"/>
      <c r="J15906" s="41"/>
    </row>
    <row r="15907" spans="5:10" s="34" customFormat="1" x14ac:dyDescent="0.35">
      <c r="E15907" s="35"/>
      <c r="J15907" s="41"/>
    </row>
    <row r="15908" spans="5:10" s="34" customFormat="1" x14ac:dyDescent="0.35">
      <c r="E15908" s="35"/>
      <c r="J15908" s="41"/>
    </row>
    <row r="15909" spans="5:10" s="34" customFormat="1" x14ac:dyDescent="0.35">
      <c r="E15909" s="35"/>
      <c r="J15909" s="41"/>
    </row>
    <row r="15910" spans="5:10" s="34" customFormat="1" x14ac:dyDescent="0.35">
      <c r="E15910" s="35"/>
      <c r="J15910" s="41"/>
    </row>
    <row r="15911" spans="5:10" s="34" customFormat="1" x14ac:dyDescent="0.35">
      <c r="E15911" s="35"/>
      <c r="J15911" s="41"/>
    </row>
    <row r="15912" spans="5:10" s="34" customFormat="1" x14ac:dyDescent="0.35">
      <c r="E15912" s="35"/>
      <c r="J15912" s="41"/>
    </row>
    <row r="15913" spans="5:10" s="34" customFormat="1" x14ac:dyDescent="0.35">
      <c r="E15913" s="35"/>
      <c r="J15913" s="41"/>
    </row>
    <row r="15914" spans="5:10" s="34" customFormat="1" x14ac:dyDescent="0.35">
      <c r="E15914" s="35"/>
      <c r="J15914" s="41"/>
    </row>
    <row r="15915" spans="5:10" s="34" customFormat="1" x14ac:dyDescent="0.35">
      <c r="E15915" s="35"/>
      <c r="J15915" s="41"/>
    </row>
    <row r="15916" spans="5:10" s="34" customFormat="1" x14ac:dyDescent="0.35">
      <c r="E15916" s="35"/>
      <c r="J15916" s="41"/>
    </row>
    <row r="15917" spans="5:10" s="34" customFormat="1" x14ac:dyDescent="0.35">
      <c r="E15917" s="35"/>
      <c r="J15917" s="41"/>
    </row>
    <row r="15918" spans="5:10" s="34" customFormat="1" x14ac:dyDescent="0.35">
      <c r="E15918" s="35"/>
      <c r="J15918" s="41"/>
    </row>
    <row r="15919" spans="5:10" s="34" customFormat="1" x14ac:dyDescent="0.35">
      <c r="E15919" s="35"/>
      <c r="J15919" s="41"/>
    </row>
    <row r="15920" spans="5:10" s="34" customFormat="1" x14ac:dyDescent="0.35">
      <c r="E15920" s="35"/>
      <c r="J15920" s="41"/>
    </row>
    <row r="15921" spans="5:10" s="34" customFormat="1" x14ac:dyDescent="0.35">
      <c r="E15921" s="35"/>
      <c r="J15921" s="41"/>
    </row>
    <row r="15922" spans="5:10" s="34" customFormat="1" x14ac:dyDescent="0.35">
      <c r="E15922" s="35"/>
      <c r="J15922" s="41"/>
    </row>
    <row r="15923" spans="5:10" s="34" customFormat="1" x14ac:dyDescent="0.35">
      <c r="E15923" s="35"/>
      <c r="J15923" s="41"/>
    </row>
    <row r="15924" spans="5:10" s="34" customFormat="1" x14ac:dyDescent="0.35">
      <c r="E15924" s="35"/>
      <c r="J15924" s="41"/>
    </row>
    <row r="15925" spans="5:10" s="34" customFormat="1" x14ac:dyDescent="0.35">
      <c r="E15925" s="35"/>
      <c r="J15925" s="41"/>
    </row>
    <row r="15926" spans="5:10" s="34" customFormat="1" x14ac:dyDescent="0.35">
      <c r="E15926" s="35"/>
      <c r="J15926" s="41"/>
    </row>
    <row r="15927" spans="5:10" s="34" customFormat="1" x14ac:dyDescent="0.35">
      <c r="E15927" s="35"/>
      <c r="J15927" s="41"/>
    </row>
    <row r="15928" spans="5:10" s="34" customFormat="1" x14ac:dyDescent="0.35">
      <c r="E15928" s="35"/>
      <c r="J15928" s="41"/>
    </row>
    <row r="15929" spans="5:10" s="34" customFormat="1" x14ac:dyDescent="0.35">
      <c r="E15929" s="35"/>
      <c r="J15929" s="41"/>
    </row>
    <row r="15930" spans="5:10" s="34" customFormat="1" x14ac:dyDescent="0.35">
      <c r="E15930" s="35"/>
      <c r="J15930" s="41"/>
    </row>
    <row r="15931" spans="5:10" s="34" customFormat="1" x14ac:dyDescent="0.35">
      <c r="E15931" s="35"/>
      <c r="J15931" s="41"/>
    </row>
    <row r="15932" spans="5:10" s="34" customFormat="1" x14ac:dyDescent="0.35">
      <c r="E15932" s="35"/>
      <c r="J15932" s="41"/>
    </row>
    <row r="15933" spans="5:10" s="34" customFormat="1" x14ac:dyDescent="0.35">
      <c r="E15933" s="35"/>
      <c r="J15933" s="41"/>
    </row>
    <row r="15934" spans="5:10" s="34" customFormat="1" x14ac:dyDescent="0.35">
      <c r="E15934" s="35"/>
      <c r="J15934" s="41"/>
    </row>
    <row r="15935" spans="5:10" s="34" customFormat="1" x14ac:dyDescent="0.35">
      <c r="E15935" s="35"/>
      <c r="J15935" s="41"/>
    </row>
    <row r="15936" spans="5:10" s="34" customFormat="1" x14ac:dyDescent="0.35">
      <c r="E15936" s="35"/>
      <c r="J15936" s="41"/>
    </row>
    <row r="15937" spans="5:10" s="34" customFormat="1" x14ac:dyDescent="0.35">
      <c r="E15937" s="35"/>
      <c r="J15937" s="41"/>
    </row>
    <row r="15938" spans="5:10" s="34" customFormat="1" x14ac:dyDescent="0.35">
      <c r="E15938" s="35"/>
      <c r="J15938" s="41"/>
    </row>
    <row r="15939" spans="5:10" s="34" customFormat="1" x14ac:dyDescent="0.35">
      <c r="E15939" s="35"/>
      <c r="J15939" s="41"/>
    </row>
    <row r="15940" spans="5:10" s="34" customFormat="1" x14ac:dyDescent="0.35">
      <c r="E15940" s="35"/>
      <c r="J15940" s="41"/>
    </row>
    <row r="15941" spans="5:10" s="34" customFormat="1" x14ac:dyDescent="0.35">
      <c r="E15941" s="35"/>
      <c r="J15941" s="41"/>
    </row>
    <row r="15942" spans="5:10" s="34" customFormat="1" x14ac:dyDescent="0.35">
      <c r="E15942" s="35"/>
      <c r="J15942" s="41"/>
    </row>
    <row r="15943" spans="5:10" s="34" customFormat="1" x14ac:dyDescent="0.35">
      <c r="E15943" s="35"/>
      <c r="J15943" s="41"/>
    </row>
    <row r="15944" spans="5:10" s="34" customFormat="1" x14ac:dyDescent="0.35">
      <c r="E15944" s="35"/>
      <c r="J15944" s="41"/>
    </row>
    <row r="15945" spans="5:10" s="34" customFormat="1" x14ac:dyDescent="0.35">
      <c r="E15945" s="35"/>
      <c r="J15945" s="41"/>
    </row>
    <row r="15946" spans="5:10" s="34" customFormat="1" x14ac:dyDescent="0.35">
      <c r="E15946" s="35"/>
      <c r="J15946" s="41"/>
    </row>
    <row r="15947" spans="5:10" s="34" customFormat="1" x14ac:dyDescent="0.35">
      <c r="E15947" s="35"/>
      <c r="J15947" s="41"/>
    </row>
    <row r="15948" spans="5:10" s="34" customFormat="1" x14ac:dyDescent="0.35">
      <c r="E15948" s="35"/>
      <c r="J15948" s="41"/>
    </row>
    <row r="15949" spans="5:10" s="34" customFormat="1" x14ac:dyDescent="0.35">
      <c r="E15949" s="35"/>
      <c r="J15949" s="41"/>
    </row>
    <row r="15950" spans="5:10" s="34" customFormat="1" x14ac:dyDescent="0.35">
      <c r="E15950" s="35"/>
      <c r="J15950" s="41"/>
    </row>
    <row r="15951" spans="5:10" s="34" customFormat="1" x14ac:dyDescent="0.35">
      <c r="E15951" s="35"/>
      <c r="J15951" s="41"/>
    </row>
    <row r="15952" spans="5:10" s="34" customFormat="1" x14ac:dyDescent="0.35">
      <c r="E15952" s="35"/>
      <c r="J15952" s="41"/>
    </row>
    <row r="15953" spans="5:10" s="34" customFormat="1" x14ac:dyDescent="0.35">
      <c r="E15953" s="35"/>
      <c r="J15953" s="41"/>
    </row>
    <row r="15954" spans="5:10" s="34" customFormat="1" x14ac:dyDescent="0.35">
      <c r="E15954" s="35"/>
      <c r="J15954" s="41"/>
    </row>
    <row r="15955" spans="5:10" s="34" customFormat="1" x14ac:dyDescent="0.35">
      <c r="E15955" s="35"/>
      <c r="J15955" s="41"/>
    </row>
    <row r="15956" spans="5:10" s="34" customFormat="1" x14ac:dyDescent="0.35">
      <c r="E15956" s="35"/>
      <c r="J15956" s="41"/>
    </row>
    <row r="15957" spans="5:10" s="34" customFormat="1" x14ac:dyDescent="0.35">
      <c r="E15957" s="35"/>
      <c r="J15957" s="41"/>
    </row>
    <row r="15958" spans="5:10" s="34" customFormat="1" x14ac:dyDescent="0.35">
      <c r="E15958" s="35"/>
      <c r="J15958" s="41"/>
    </row>
    <row r="15959" spans="5:10" s="34" customFormat="1" x14ac:dyDescent="0.35">
      <c r="E15959" s="35"/>
      <c r="J15959" s="41"/>
    </row>
    <row r="15960" spans="5:10" s="34" customFormat="1" x14ac:dyDescent="0.35">
      <c r="E15960" s="35"/>
      <c r="J15960" s="41"/>
    </row>
    <row r="15961" spans="5:10" s="34" customFormat="1" x14ac:dyDescent="0.35">
      <c r="E15961" s="35"/>
      <c r="J15961" s="41"/>
    </row>
    <row r="15962" spans="5:10" s="34" customFormat="1" x14ac:dyDescent="0.35">
      <c r="E15962" s="35"/>
      <c r="J15962" s="41"/>
    </row>
    <row r="15963" spans="5:10" s="34" customFormat="1" x14ac:dyDescent="0.35">
      <c r="E15963" s="35"/>
      <c r="J15963" s="41"/>
    </row>
    <row r="15964" spans="5:10" s="34" customFormat="1" x14ac:dyDescent="0.35">
      <c r="E15964" s="35"/>
      <c r="J15964" s="41"/>
    </row>
    <row r="15965" spans="5:10" s="34" customFormat="1" x14ac:dyDescent="0.35">
      <c r="E15965" s="35"/>
      <c r="J15965" s="41"/>
    </row>
    <row r="15966" spans="5:10" s="34" customFormat="1" x14ac:dyDescent="0.35">
      <c r="E15966" s="35"/>
      <c r="J15966" s="41"/>
    </row>
    <row r="15967" spans="5:10" s="34" customFormat="1" x14ac:dyDescent="0.35">
      <c r="E15967" s="35"/>
      <c r="J15967" s="41"/>
    </row>
    <row r="15968" spans="5:10" s="34" customFormat="1" x14ac:dyDescent="0.35">
      <c r="E15968" s="35"/>
      <c r="J15968" s="41"/>
    </row>
    <row r="15969" spans="5:10" s="34" customFormat="1" x14ac:dyDescent="0.35">
      <c r="E15969" s="35"/>
      <c r="J15969" s="41"/>
    </row>
    <row r="15970" spans="5:10" s="34" customFormat="1" x14ac:dyDescent="0.35">
      <c r="E15970" s="35"/>
      <c r="J15970" s="41"/>
    </row>
    <row r="15971" spans="5:10" s="34" customFormat="1" x14ac:dyDescent="0.35">
      <c r="E15971" s="35"/>
      <c r="J15971" s="41"/>
    </row>
    <row r="15972" spans="5:10" s="34" customFormat="1" x14ac:dyDescent="0.35">
      <c r="E15972" s="35"/>
      <c r="J15972" s="41"/>
    </row>
    <row r="15973" spans="5:10" s="34" customFormat="1" x14ac:dyDescent="0.35">
      <c r="E15973" s="35"/>
      <c r="J15973" s="41"/>
    </row>
    <row r="15974" spans="5:10" s="34" customFormat="1" x14ac:dyDescent="0.35">
      <c r="E15974" s="35"/>
      <c r="J15974" s="41"/>
    </row>
    <row r="15975" spans="5:10" s="34" customFormat="1" x14ac:dyDescent="0.35">
      <c r="E15975" s="35"/>
      <c r="J15975" s="41"/>
    </row>
    <row r="15976" spans="5:10" s="34" customFormat="1" x14ac:dyDescent="0.35">
      <c r="E15976" s="35"/>
      <c r="J15976" s="41"/>
    </row>
    <row r="15977" spans="5:10" s="34" customFormat="1" x14ac:dyDescent="0.35">
      <c r="E15977" s="35"/>
      <c r="J15977" s="41"/>
    </row>
    <row r="15978" spans="5:10" s="34" customFormat="1" x14ac:dyDescent="0.35">
      <c r="E15978" s="35"/>
      <c r="J15978" s="41"/>
    </row>
    <row r="15979" spans="5:10" s="34" customFormat="1" x14ac:dyDescent="0.35">
      <c r="E15979" s="35"/>
      <c r="J15979" s="41"/>
    </row>
    <row r="15980" spans="5:10" s="34" customFormat="1" x14ac:dyDescent="0.35">
      <c r="E15980" s="35"/>
      <c r="J15980" s="41"/>
    </row>
    <row r="15981" spans="5:10" s="34" customFormat="1" x14ac:dyDescent="0.35">
      <c r="E15981" s="35"/>
      <c r="J15981" s="41"/>
    </row>
    <row r="15982" spans="5:10" s="34" customFormat="1" x14ac:dyDescent="0.35">
      <c r="E15982" s="35"/>
      <c r="J15982" s="41"/>
    </row>
    <row r="15983" spans="5:10" s="34" customFormat="1" x14ac:dyDescent="0.35">
      <c r="E15983" s="35"/>
      <c r="J15983" s="41"/>
    </row>
    <row r="15984" spans="5:10" s="34" customFormat="1" x14ac:dyDescent="0.35">
      <c r="E15984" s="35"/>
      <c r="J15984" s="41"/>
    </row>
    <row r="15985" spans="5:10" s="34" customFormat="1" x14ac:dyDescent="0.35">
      <c r="E15985" s="35"/>
      <c r="J15985" s="41"/>
    </row>
    <row r="15986" spans="5:10" s="34" customFormat="1" x14ac:dyDescent="0.35">
      <c r="E15986" s="35"/>
      <c r="J15986" s="41"/>
    </row>
    <row r="15987" spans="5:10" s="34" customFormat="1" x14ac:dyDescent="0.35">
      <c r="E15987" s="35"/>
      <c r="J15987" s="41"/>
    </row>
    <row r="15988" spans="5:10" s="34" customFormat="1" x14ac:dyDescent="0.35">
      <c r="E15988" s="35"/>
      <c r="J15988" s="41"/>
    </row>
    <row r="15989" spans="5:10" s="34" customFormat="1" x14ac:dyDescent="0.35">
      <c r="E15989" s="35"/>
      <c r="J15989" s="41"/>
    </row>
    <row r="15990" spans="5:10" s="34" customFormat="1" x14ac:dyDescent="0.35">
      <c r="E15990" s="35"/>
      <c r="J15990" s="41"/>
    </row>
    <row r="15991" spans="5:10" s="34" customFormat="1" x14ac:dyDescent="0.35">
      <c r="E15991" s="35"/>
      <c r="J15991" s="41"/>
    </row>
    <row r="15992" spans="5:10" s="34" customFormat="1" x14ac:dyDescent="0.35">
      <c r="E15992" s="35"/>
      <c r="J15992" s="41"/>
    </row>
    <row r="15993" spans="5:10" s="34" customFormat="1" x14ac:dyDescent="0.35">
      <c r="E15993" s="35"/>
      <c r="J15993" s="41"/>
    </row>
    <row r="15994" spans="5:10" s="34" customFormat="1" x14ac:dyDescent="0.35">
      <c r="E15994" s="35"/>
      <c r="J15994" s="41"/>
    </row>
    <row r="15995" spans="5:10" s="34" customFormat="1" x14ac:dyDescent="0.35">
      <c r="E15995" s="35"/>
      <c r="J15995" s="41"/>
    </row>
    <row r="15996" spans="5:10" s="34" customFormat="1" x14ac:dyDescent="0.35">
      <c r="E15996" s="35"/>
      <c r="J15996" s="41"/>
    </row>
    <row r="15997" spans="5:10" s="34" customFormat="1" x14ac:dyDescent="0.35">
      <c r="E15997" s="35"/>
      <c r="J15997" s="41"/>
    </row>
    <row r="15998" spans="5:10" s="34" customFormat="1" x14ac:dyDescent="0.35">
      <c r="E15998" s="35"/>
      <c r="J15998" s="41"/>
    </row>
    <row r="15999" spans="5:10" s="34" customFormat="1" x14ac:dyDescent="0.35">
      <c r="E15999" s="35"/>
      <c r="J15999" s="41"/>
    </row>
    <row r="16000" spans="5:10" s="34" customFormat="1" x14ac:dyDescent="0.35">
      <c r="E16000" s="35"/>
      <c r="J16000" s="41"/>
    </row>
    <row r="16001" spans="5:10" s="34" customFormat="1" x14ac:dyDescent="0.35">
      <c r="E16001" s="35"/>
      <c r="J16001" s="41"/>
    </row>
    <row r="16002" spans="5:10" s="34" customFormat="1" x14ac:dyDescent="0.35">
      <c r="E16002" s="35"/>
      <c r="J16002" s="41"/>
    </row>
    <row r="16003" spans="5:10" s="34" customFormat="1" x14ac:dyDescent="0.35">
      <c r="E16003" s="35"/>
      <c r="J16003" s="41"/>
    </row>
    <row r="16004" spans="5:10" s="34" customFormat="1" x14ac:dyDescent="0.35">
      <c r="E16004" s="35"/>
      <c r="J16004" s="41"/>
    </row>
    <row r="16005" spans="5:10" s="34" customFormat="1" x14ac:dyDescent="0.35">
      <c r="E16005" s="35"/>
      <c r="J16005" s="41"/>
    </row>
    <row r="16006" spans="5:10" s="34" customFormat="1" x14ac:dyDescent="0.35">
      <c r="E16006" s="35"/>
      <c r="J16006" s="41"/>
    </row>
    <row r="16007" spans="5:10" s="34" customFormat="1" x14ac:dyDescent="0.35">
      <c r="E16007" s="35"/>
      <c r="J16007" s="41"/>
    </row>
    <row r="16008" spans="5:10" s="34" customFormat="1" x14ac:dyDescent="0.35">
      <c r="E16008" s="35"/>
      <c r="J16008" s="41"/>
    </row>
    <row r="16009" spans="5:10" s="34" customFormat="1" x14ac:dyDescent="0.35">
      <c r="E16009" s="35"/>
      <c r="J16009" s="41"/>
    </row>
    <row r="16010" spans="5:10" s="34" customFormat="1" x14ac:dyDescent="0.35">
      <c r="E16010" s="35"/>
      <c r="J16010" s="41"/>
    </row>
    <row r="16011" spans="5:10" s="34" customFormat="1" x14ac:dyDescent="0.35">
      <c r="E16011" s="35"/>
      <c r="J16011" s="41"/>
    </row>
    <row r="16012" spans="5:10" s="34" customFormat="1" x14ac:dyDescent="0.35">
      <c r="E16012" s="35"/>
      <c r="J16012" s="41"/>
    </row>
    <row r="16013" spans="5:10" s="34" customFormat="1" x14ac:dyDescent="0.35">
      <c r="E16013" s="35"/>
      <c r="J16013" s="41"/>
    </row>
    <row r="16014" spans="5:10" s="34" customFormat="1" x14ac:dyDescent="0.35">
      <c r="E16014" s="35"/>
      <c r="J16014" s="41"/>
    </row>
    <row r="16015" spans="5:10" s="34" customFormat="1" x14ac:dyDescent="0.35">
      <c r="E16015" s="35"/>
      <c r="J16015" s="41"/>
    </row>
    <row r="16016" spans="5:10" s="34" customFormat="1" x14ac:dyDescent="0.35">
      <c r="E16016" s="35"/>
      <c r="J16016" s="41"/>
    </row>
    <row r="16017" spans="5:10" s="34" customFormat="1" x14ac:dyDescent="0.35">
      <c r="E16017" s="35"/>
      <c r="J16017" s="41"/>
    </row>
    <row r="16018" spans="5:10" s="34" customFormat="1" x14ac:dyDescent="0.35">
      <c r="E16018" s="35"/>
      <c r="J16018" s="41"/>
    </row>
    <row r="16019" spans="5:10" s="34" customFormat="1" x14ac:dyDescent="0.35">
      <c r="E16019" s="35"/>
      <c r="J16019" s="41"/>
    </row>
    <row r="16020" spans="5:10" s="34" customFormat="1" x14ac:dyDescent="0.35">
      <c r="E16020" s="35"/>
      <c r="J16020" s="41"/>
    </row>
    <row r="16021" spans="5:10" s="34" customFormat="1" x14ac:dyDescent="0.35">
      <c r="E16021" s="35"/>
      <c r="J16021" s="41"/>
    </row>
    <row r="16022" spans="5:10" s="34" customFormat="1" x14ac:dyDescent="0.35">
      <c r="E16022" s="35"/>
      <c r="J16022" s="41"/>
    </row>
    <row r="16023" spans="5:10" s="34" customFormat="1" x14ac:dyDescent="0.35">
      <c r="E16023" s="35"/>
      <c r="J16023" s="41"/>
    </row>
    <row r="16024" spans="5:10" s="34" customFormat="1" x14ac:dyDescent="0.35">
      <c r="E16024" s="35"/>
      <c r="J16024" s="41"/>
    </row>
    <row r="16025" spans="5:10" s="34" customFormat="1" x14ac:dyDescent="0.35">
      <c r="E16025" s="35"/>
      <c r="J16025" s="41"/>
    </row>
    <row r="16026" spans="5:10" s="34" customFormat="1" x14ac:dyDescent="0.35">
      <c r="E16026" s="35"/>
      <c r="J16026" s="41"/>
    </row>
    <row r="16027" spans="5:10" s="34" customFormat="1" x14ac:dyDescent="0.35">
      <c r="E16027" s="35"/>
      <c r="J16027" s="41"/>
    </row>
    <row r="16028" spans="5:10" s="34" customFormat="1" x14ac:dyDescent="0.35">
      <c r="E16028" s="35"/>
      <c r="J16028" s="41"/>
    </row>
    <row r="16029" spans="5:10" s="34" customFormat="1" x14ac:dyDescent="0.35">
      <c r="E16029" s="35"/>
      <c r="J16029" s="41"/>
    </row>
    <row r="16030" spans="5:10" s="34" customFormat="1" x14ac:dyDescent="0.35">
      <c r="E16030" s="35"/>
      <c r="J16030" s="41"/>
    </row>
    <row r="16031" spans="5:10" s="34" customFormat="1" x14ac:dyDescent="0.35">
      <c r="E16031" s="35"/>
      <c r="J16031" s="41"/>
    </row>
    <row r="16032" spans="5:10" s="34" customFormat="1" x14ac:dyDescent="0.35">
      <c r="E16032" s="35"/>
      <c r="J16032" s="41"/>
    </row>
    <row r="16033" spans="5:10" s="34" customFormat="1" x14ac:dyDescent="0.35">
      <c r="E16033" s="35"/>
      <c r="J16033" s="41"/>
    </row>
    <row r="16034" spans="5:10" s="34" customFormat="1" x14ac:dyDescent="0.35">
      <c r="E16034" s="35"/>
      <c r="J16034" s="41"/>
    </row>
    <row r="16035" spans="5:10" s="34" customFormat="1" x14ac:dyDescent="0.35">
      <c r="E16035" s="35"/>
      <c r="J16035" s="41"/>
    </row>
    <row r="16036" spans="5:10" s="34" customFormat="1" x14ac:dyDescent="0.35">
      <c r="E16036" s="35"/>
      <c r="J16036" s="41"/>
    </row>
    <row r="16037" spans="5:10" s="34" customFormat="1" x14ac:dyDescent="0.35">
      <c r="E16037" s="35"/>
      <c r="J16037" s="41"/>
    </row>
    <row r="16038" spans="5:10" s="34" customFormat="1" x14ac:dyDescent="0.35">
      <c r="E16038" s="35"/>
      <c r="J16038" s="41"/>
    </row>
    <row r="16039" spans="5:10" s="34" customFormat="1" x14ac:dyDescent="0.35">
      <c r="E16039" s="35"/>
      <c r="J16039" s="41"/>
    </row>
    <row r="16040" spans="5:10" s="34" customFormat="1" x14ac:dyDescent="0.35">
      <c r="E16040" s="35"/>
      <c r="J16040" s="41"/>
    </row>
    <row r="16041" spans="5:10" s="34" customFormat="1" x14ac:dyDescent="0.35">
      <c r="E16041" s="35"/>
      <c r="J16041" s="41"/>
    </row>
    <row r="16042" spans="5:10" s="34" customFormat="1" x14ac:dyDescent="0.35">
      <c r="E16042" s="35"/>
      <c r="J16042" s="41"/>
    </row>
    <row r="16043" spans="5:10" s="34" customFormat="1" x14ac:dyDescent="0.35">
      <c r="E16043" s="35"/>
      <c r="J16043" s="41"/>
    </row>
    <row r="16044" spans="5:10" s="34" customFormat="1" x14ac:dyDescent="0.35">
      <c r="E16044" s="35"/>
      <c r="J16044" s="41"/>
    </row>
    <row r="16045" spans="5:10" s="34" customFormat="1" x14ac:dyDescent="0.35">
      <c r="E16045" s="35"/>
      <c r="J16045" s="41"/>
    </row>
    <row r="16046" spans="5:10" s="34" customFormat="1" x14ac:dyDescent="0.35">
      <c r="E16046" s="35"/>
      <c r="J16046" s="41"/>
    </row>
    <row r="16047" spans="5:10" s="34" customFormat="1" x14ac:dyDescent="0.35">
      <c r="E16047" s="35"/>
      <c r="J16047" s="41"/>
    </row>
    <row r="16048" spans="5:10" s="34" customFormat="1" x14ac:dyDescent="0.35">
      <c r="E16048" s="35"/>
      <c r="J16048" s="41"/>
    </row>
    <row r="16049" spans="5:10" s="34" customFormat="1" x14ac:dyDescent="0.35">
      <c r="E16049" s="35"/>
      <c r="J16049" s="41"/>
    </row>
    <row r="16050" spans="5:10" s="34" customFormat="1" x14ac:dyDescent="0.35">
      <c r="E16050" s="35"/>
      <c r="J16050" s="41"/>
    </row>
    <row r="16051" spans="5:10" s="34" customFormat="1" x14ac:dyDescent="0.35">
      <c r="E16051" s="35"/>
      <c r="J16051" s="41"/>
    </row>
    <row r="16052" spans="5:10" s="34" customFormat="1" x14ac:dyDescent="0.35">
      <c r="E16052" s="35"/>
      <c r="J16052" s="41"/>
    </row>
    <row r="16053" spans="5:10" s="34" customFormat="1" x14ac:dyDescent="0.35">
      <c r="E16053" s="35"/>
      <c r="J16053" s="41"/>
    </row>
    <row r="16054" spans="5:10" s="34" customFormat="1" x14ac:dyDescent="0.35">
      <c r="E16054" s="35"/>
      <c r="J16054" s="41"/>
    </row>
    <row r="16055" spans="5:10" s="34" customFormat="1" x14ac:dyDescent="0.35">
      <c r="E16055" s="35"/>
      <c r="J16055" s="41"/>
    </row>
    <row r="16056" spans="5:10" s="34" customFormat="1" x14ac:dyDescent="0.35">
      <c r="E16056" s="35"/>
      <c r="J16056" s="41"/>
    </row>
    <row r="16057" spans="5:10" s="34" customFormat="1" x14ac:dyDescent="0.35">
      <c r="E16057" s="35"/>
      <c r="J16057" s="41"/>
    </row>
    <row r="16058" spans="5:10" s="34" customFormat="1" x14ac:dyDescent="0.35">
      <c r="E16058" s="35"/>
      <c r="J16058" s="41"/>
    </row>
    <row r="16059" spans="5:10" s="34" customFormat="1" x14ac:dyDescent="0.35">
      <c r="E16059" s="35"/>
      <c r="J16059" s="41"/>
    </row>
    <row r="16060" spans="5:10" s="34" customFormat="1" x14ac:dyDescent="0.35">
      <c r="E16060" s="35"/>
      <c r="J16060" s="41"/>
    </row>
    <row r="16061" spans="5:10" s="34" customFormat="1" x14ac:dyDescent="0.35">
      <c r="E16061" s="35"/>
      <c r="J16061" s="41"/>
    </row>
    <row r="16062" spans="5:10" s="34" customFormat="1" x14ac:dyDescent="0.35">
      <c r="E16062" s="35"/>
      <c r="J16062" s="41"/>
    </row>
    <row r="16063" spans="5:10" s="34" customFormat="1" x14ac:dyDescent="0.35">
      <c r="E16063" s="35"/>
      <c r="J16063" s="41"/>
    </row>
    <row r="16064" spans="5:10" s="34" customFormat="1" x14ac:dyDescent="0.35">
      <c r="E16064" s="35"/>
      <c r="J16064" s="41"/>
    </row>
    <row r="16065" spans="5:10" s="34" customFormat="1" x14ac:dyDescent="0.35">
      <c r="E16065" s="35"/>
      <c r="J16065" s="41"/>
    </row>
    <row r="16066" spans="5:10" s="34" customFormat="1" x14ac:dyDescent="0.35">
      <c r="E16066" s="35"/>
      <c r="J16066" s="41"/>
    </row>
    <row r="16067" spans="5:10" s="34" customFormat="1" x14ac:dyDescent="0.35">
      <c r="E16067" s="35"/>
      <c r="J16067" s="41"/>
    </row>
    <row r="16068" spans="5:10" s="34" customFormat="1" x14ac:dyDescent="0.35">
      <c r="E16068" s="35"/>
      <c r="J16068" s="41"/>
    </row>
    <row r="16069" spans="5:10" s="34" customFormat="1" x14ac:dyDescent="0.35">
      <c r="E16069" s="35"/>
      <c r="J16069" s="41"/>
    </row>
    <row r="16070" spans="5:10" s="34" customFormat="1" x14ac:dyDescent="0.35">
      <c r="E16070" s="35"/>
      <c r="J16070" s="41"/>
    </row>
    <row r="16071" spans="5:10" s="34" customFormat="1" x14ac:dyDescent="0.35">
      <c r="E16071" s="35"/>
      <c r="J16071" s="41"/>
    </row>
    <row r="16072" spans="5:10" s="34" customFormat="1" x14ac:dyDescent="0.35">
      <c r="E16072" s="35"/>
      <c r="J16072" s="41"/>
    </row>
    <row r="16073" spans="5:10" s="34" customFormat="1" x14ac:dyDescent="0.35">
      <c r="E16073" s="35"/>
      <c r="J16073" s="41"/>
    </row>
    <row r="16074" spans="5:10" s="34" customFormat="1" x14ac:dyDescent="0.35">
      <c r="E16074" s="35"/>
      <c r="J16074" s="41"/>
    </row>
    <row r="16075" spans="5:10" s="34" customFormat="1" x14ac:dyDescent="0.35">
      <c r="E16075" s="35"/>
      <c r="J16075" s="41"/>
    </row>
    <row r="16076" spans="5:10" s="34" customFormat="1" x14ac:dyDescent="0.35">
      <c r="E16076" s="35"/>
      <c r="J16076" s="41"/>
    </row>
    <row r="16077" spans="5:10" s="34" customFormat="1" x14ac:dyDescent="0.35">
      <c r="E16077" s="35"/>
      <c r="J16077" s="41"/>
    </row>
    <row r="16078" spans="5:10" s="34" customFormat="1" x14ac:dyDescent="0.35">
      <c r="E16078" s="35"/>
      <c r="J16078" s="41"/>
    </row>
    <row r="16079" spans="5:10" s="34" customFormat="1" x14ac:dyDescent="0.35">
      <c r="E16079" s="35"/>
      <c r="J16079" s="41"/>
    </row>
    <row r="16080" spans="5:10" s="34" customFormat="1" x14ac:dyDescent="0.35">
      <c r="E16080" s="35"/>
      <c r="J16080" s="41"/>
    </row>
    <row r="16081" spans="5:10" s="34" customFormat="1" x14ac:dyDescent="0.35">
      <c r="E16081" s="35"/>
      <c r="J16081" s="41"/>
    </row>
    <row r="16082" spans="5:10" s="34" customFormat="1" x14ac:dyDescent="0.35">
      <c r="E16082" s="35"/>
      <c r="J16082" s="41"/>
    </row>
    <row r="16083" spans="5:10" s="34" customFormat="1" x14ac:dyDescent="0.35">
      <c r="E16083" s="35"/>
      <c r="J16083" s="41"/>
    </row>
    <row r="16084" spans="5:10" s="34" customFormat="1" x14ac:dyDescent="0.35">
      <c r="E16084" s="35"/>
      <c r="J16084" s="41"/>
    </row>
    <row r="16085" spans="5:10" s="34" customFormat="1" x14ac:dyDescent="0.35">
      <c r="E16085" s="35"/>
      <c r="J16085" s="41"/>
    </row>
    <row r="16086" spans="5:10" s="34" customFormat="1" x14ac:dyDescent="0.35">
      <c r="E16086" s="35"/>
      <c r="J16086" s="41"/>
    </row>
    <row r="16087" spans="5:10" s="34" customFormat="1" x14ac:dyDescent="0.35">
      <c r="E16087" s="35"/>
      <c r="J16087" s="41"/>
    </row>
    <row r="16088" spans="5:10" s="34" customFormat="1" x14ac:dyDescent="0.35">
      <c r="E16088" s="35"/>
      <c r="J16088" s="41"/>
    </row>
    <row r="16089" spans="5:10" s="34" customFormat="1" x14ac:dyDescent="0.35">
      <c r="E16089" s="35"/>
      <c r="J16089" s="41"/>
    </row>
    <row r="16090" spans="5:10" s="34" customFormat="1" x14ac:dyDescent="0.35">
      <c r="E16090" s="35"/>
      <c r="J16090" s="41"/>
    </row>
    <row r="16091" spans="5:10" s="34" customFormat="1" x14ac:dyDescent="0.35">
      <c r="E16091" s="35"/>
      <c r="J16091" s="41"/>
    </row>
    <row r="16092" spans="5:10" s="34" customFormat="1" x14ac:dyDescent="0.35">
      <c r="E16092" s="35"/>
      <c r="J16092" s="41"/>
    </row>
    <row r="16093" spans="5:10" s="34" customFormat="1" x14ac:dyDescent="0.35">
      <c r="E16093" s="35"/>
      <c r="J16093" s="41"/>
    </row>
    <row r="16094" spans="5:10" s="34" customFormat="1" x14ac:dyDescent="0.35">
      <c r="E16094" s="35"/>
      <c r="J16094" s="41"/>
    </row>
    <row r="16095" spans="5:10" s="34" customFormat="1" x14ac:dyDescent="0.35">
      <c r="E16095" s="35"/>
      <c r="J16095" s="41"/>
    </row>
    <row r="16096" spans="5:10" s="34" customFormat="1" x14ac:dyDescent="0.35">
      <c r="E16096" s="35"/>
      <c r="J16096" s="41"/>
    </row>
    <row r="16097" spans="5:10" s="34" customFormat="1" x14ac:dyDescent="0.35">
      <c r="E16097" s="35"/>
      <c r="J16097" s="41"/>
    </row>
    <row r="16098" spans="5:10" s="34" customFormat="1" x14ac:dyDescent="0.35">
      <c r="E16098" s="35"/>
      <c r="J16098" s="41"/>
    </row>
    <row r="16099" spans="5:10" s="34" customFormat="1" x14ac:dyDescent="0.35">
      <c r="E16099" s="35"/>
      <c r="J16099" s="41"/>
    </row>
    <row r="16100" spans="5:10" s="34" customFormat="1" x14ac:dyDescent="0.35">
      <c r="E16100" s="35"/>
      <c r="J16100" s="41"/>
    </row>
    <row r="16101" spans="5:10" s="34" customFormat="1" x14ac:dyDescent="0.35">
      <c r="E16101" s="35"/>
      <c r="J16101" s="41"/>
    </row>
    <row r="16102" spans="5:10" s="34" customFormat="1" x14ac:dyDescent="0.35">
      <c r="E16102" s="35"/>
      <c r="J16102" s="41"/>
    </row>
    <row r="16103" spans="5:10" s="34" customFormat="1" x14ac:dyDescent="0.35">
      <c r="E16103" s="35"/>
      <c r="J16103" s="41"/>
    </row>
    <row r="16104" spans="5:10" s="34" customFormat="1" x14ac:dyDescent="0.35">
      <c r="E16104" s="35"/>
      <c r="J16104" s="41"/>
    </row>
    <row r="16105" spans="5:10" s="34" customFormat="1" x14ac:dyDescent="0.35">
      <c r="E16105" s="35"/>
      <c r="J16105" s="41"/>
    </row>
    <row r="16106" spans="5:10" s="34" customFormat="1" x14ac:dyDescent="0.35">
      <c r="E16106" s="35"/>
      <c r="J16106" s="41"/>
    </row>
    <row r="16107" spans="5:10" s="34" customFormat="1" x14ac:dyDescent="0.35">
      <c r="E16107" s="35"/>
      <c r="J16107" s="41"/>
    </row>
    <row r="16108" spans="5:10" s="34" customFormat="1" x14ac:dyDescent="0.35">
      <c r="E16108" s="35"/>
      <c r="J16108" s="41"/>
    </row>
    <row r="16109" spans="5:10" s="34" customFormat="1" x14ac:dyDescent="0.35">
      <c r="E16109" s="35"/>
      <c r="J16109" s="41"/>
    </row>
    <row r="16110" spans="5:10" s="34" customFormat="1" x14ac:dyDescent="0.35">
      <c r="E16110" s="35"/>
      <c r="J16110" s="41"/>
    </row>
    <row r="16111" spans="5:10" s="34" customFormat="1" x14ac:dyDescent="0.35">
      <c r="E16111" s="35"/>
      <c r="J16111" s="41"/>
    </row>
    <row r="16112" spans="5:10" s="34" customFormat="1" x14ac:dyDescent="0.35">
      <c r="E16112" s="35"/>
      <c r="J16112" s="41"/>
    </row>
    <row r="16113" spans="5:10" s="34" customFormat="1" x14ac:dyDescent="0.35">
      <c r="E16113" s="35"/>
      <c r="J16113" s="41"/>
    </row>
    <row r="16114" spans="5:10" s="34" customFormat="1" x14ac:dyDescent="0.35">
      <c r="E16114" s="35"/>
      <c r="J16114" s="41"/>
    </row>
    <row r="16115" spans="5:10" s="34" customFormat="1" x14ac:dyDescent="0.35">
      <c r="E16115" s="35"/>
      <c r="J16115" s="41"/>
    </row>
    <row r="16116" spans="5:10" s="34" customFormat="1" x14ac:dyDescent="0.35">
      <c r="E16116" s="35"/>
      <c r="J16116" s="41"/>
    </row>
    <row r="16117" spans="5:10" s="34" customFormat="1" x14ac:dyDescent="0.35">
      <c r="E16117" s="35"/>
      <c r="J16117" s="41"/>
    </row>
    <row r="16118" spans="5:10" s="34" customFormat="1" x14ac:dyDescent="0.35">
      <c r="E16118" s="35"/>
      <c r="J16118" s="41"/>
    </row>
    <row r="16119" spans="5:10" s="34" customFormat="1" x14ac:dyDescent="0.35">
      <c r="E16119" s="35"/>
      <c r="J16119" s="41"/>
    </row>
    <row r="16120" spans="5:10" s="34" customFormat="1" x14ac:dyDescent="0.35">
      <c r="E16120" s="35"/>
      <c r="J16120" s="41"/>
    </row>
    <row r="16121" spans="5:10" s="34" customFormat="1" x14ac:dyDescent="0.35">
      <c r="E16121" s="35"/>
      <c r="J16121" s="41"/>
    </row>
    <row r="16122" spans="5:10" s="34" customFormat="1" x14ac:dyDescent="0.35">
      <c r="E16122" s="35"/>
      <c r="J16122" s="41"/>
    </row>
    <row r="16123" spans="5:10" s="34" customFormat="1" x14ac:dyDescent="0.35">
      <c r="E16123" s="35"/>
      <c r="J16123" s="41"/>
    </row>
    <row r="16124" spans="5:10" s="34" customFormat="1" x14ac:dyDescent="0.35">
      <c r="E16124" s="35"/>
      <c r="J16124" s="41"/>
    </row>
    <row r="16125" spans="5:10" s="34" customFormat="1" x14ac:dyDescent="0.35">
      <c r="E16125" s="35"/>
      <c r="J16125" s="41"/>
    </row>
    <row r="16126" spans="5:10" s="34" customFormat="1" x14ac:dyDescent="0.35">
      <c r="E16126" s="35"/>
      <c r="J16126" s="41"/>
    </row>
    <row r="16127" spans="5:10" s="34" customFormat="1" x14ac:dyDescent="0.35">
      <c r="E16127" s="35"/>
      <c r="J16127" s="41"/>
    </row>
    <row r="16128" spans="5:10" s="34" customFormat="1" x14ac:dyDescent="0.35">
      <c r="E16128" s="35"/>
      <c r="J16128" s="41"/>
    </row>
    <row r="16129" spans="5:10" s="34" customFormat="1" x14ac:dyDescent="0.35">
      <c r="E16129" s="35"/>
      <c r="J16129" s="41"/>
    </row>
    <row r="16130" spans="5:10" s="34" customFormat="1" x14ac:dyDescent="0.35">
      <c r="E16130" s="35"/>
      <c r="J16130" s="41"/>
    </row>
    <row r="16131" spans="5:10" s="34" customFormat="1" x14ac:dyDescent="0.35">
      <c r="E16131" s="35"/>
      <c r="J16131" s="41"/>
    </row>
    <row r="16132" spans="5:10" s="34" customFormat="1" x14ac:dyDescent="0.35">
      <c r="E16132" s="35"/>
      <c r="J16132" s="41"/>
    </row>
    <row r="16133" spans="5:10" s="34" customFormat="1" x14ac:dyDescent="0.35">
      <c r="E16133" s="35"/>
      <c r="J16133" s="41"/>
    </row>
    <row r="16134" spans="5:10" s="34" customFormat="1" x14ac:dyDescent="0.35">
      <c r="E16134" s="35"/>
      <c r="J16134" s="41"/>
    </row>
    <row r="16135" spans="5:10" s="34" customFormat="1" x14ac:dyDescent="0.35">
      <c r="E16135" s="35"/>
      <c r="J16135" s="41"/>
    </row>
    <row r="16136" spans="5:10" s="34" customFormat="1" x14ac:dyDescent="0.35">
      <c r="E16136" s="35"/>
      <c r="J16136" s="41"/>
    </row>
    <row r="16137" spans="5:10" s="34" customFormat="1" x14ac:dyDescent="0.35">
      <c r="E16137" s="35"/>
      <c r="J16137" s="41"/>
    </row>
    <row r="16138" spans="5:10" s="34" customFormat="1" x14ac:dyDescent="0.35">
      <c r="E16138" s="35"/>
      <c r="J16138" s="41"/>
    </row>
    <row r="16139" spans="5:10" s="34" customFormat="1" x14ac:dyDescent="0.35">
      <c r="E16139" s="35"/>
      <c r="J16139" s="41"/>
    </row>
    <row r="16140" spans="5:10" s="34" customFormat="1" x14ac:dyDescent="0.35">
      <c r="E16140" s="35"/>
      <c r="J16140" s="41"/>
    </row>
    <row r="16141" spans="5:10" s="34" customFormat="1" x14ac:dyDescent="0.35">
      <c r="E16141" s="35"/>
      <c r="J16141" s="41"/>
    </row>
    <row r="16142" spans="5:10" s="34" customFormat="1" x14ac:dyDescent="0.35">
      <c r="E16142" s="35"/>
      <c r="J16142" s="41"/>
    </row>
    <row r="16143" spans="5:10" s="34" customFormat="1" x14ac:dyDescent="0.35">
      <c r="E16143" s="35"/>
      <c r="J16143" s="41"/>
    </row>
    <row r="16144" spans="5:10" s="34" customFormat="1" x14ac:dyDescent="0.35">
      <c r="E16144" s="35"/>
      <c r="J16144" s="41"/>
    </row>
    <row r="16145" spans="5:10" s="34" customFormat="1" x14ac:dyDescent="0.35">
      <c r="E16145" s="35"/>
      <c r="J16145" s="41"/>
    </row>
    <row r="16146" spans="5:10" s="34" customFormat="1" x14ac:dyDescent="0.35">
      <c r="E16146" s="35"/>
      <c r="J16146" s="41"/>
    </row>
    <row r="16147" spans="5:10" s="34" customFormat="1" x14ac:dyDescent="0.35">
      <c r="E16147" s="35"/>
      <c r="J16147" s="41"/>
    </row>
    <row r="16148" spans="5:10" s="34" customFormat="1" x14ac:dyDescent="0.35">
      <c r="E16148" s="35"/>
      <c r="J16148" s="41"/>
    </row>
    <row r="16149" spans="5:10" s="34" customFormat="1" x14ac:dyDescent="0.35">
      <c r="E16149" s="35"/>
      <c r="J16149" s="41"/>
    </row>
    <row r="16150" spans="5:10" s="34" customFormat="1" x14ac:dyDescent="0.35">
      <c r="E16150" s="35"/>
      <c r="J16150" s="41"/>
    </row>
    <row r="16151" spans="5:10" s="34" customFormat="1" x14ac:dyDescent="0.35">
      <c r="E16151" s="35"/>
      <c r="J16151" s="41"/>
    </row>
    <row r="16152" spans="5:10" s="34" customFormat="1" x14ac:dyDescent="0.35">
      <c r="E16152" s="35"/>
      <c r="J16152" s="41"/>
    </row>
    <row r="16153" spans="5:10" s="34" customFormat="1" x14ac:dyDescent="0.35">
      <c r="E16153" s="35"/>
      <c r="J16153" s="41"/>
    </row>
    <row r="16154" spans="5:10" s="34" customFormat="1" x14ac:dyDescent="0.35">
      <c r="E16154" s="35"/>
      <c r="J16154" s="41"/>
    </row>
    <row r="16155" spans="5:10" s="34" customFormat="1" x14ac:dyDescent="0.35">
      <c r="E16155" s="35"/>
      <c r="J16155" s="41"/>
    </row>
    <row r="16156" spans="5:10" s="34" customFormat="1" x14ac:dyDescent="0.35">
      <c r="E16156" s="35"/>
      <c r="J16156" s="41"/>
    </row>
    <row r="16157" spans="5:10" s="34" customFormat="1" x14ac:dyDescent="0.35">
      <c r="E16157" s="35"/>
      <c r="J16157" s="41"/>
    </row>
    <row r="16158" spans="5:10" s="34" customFormat="1" x14ac:dyDescent="0.35">
      <c r="E16158" s="35"/>
      <c r="J16158" s="41"/>
    </row>
    <row r="16159" spans="5:10" s="34" customFormat="1" x14ac:dyDescent="0.35">
      <c r="E16159" s="35"/>
      <c r="J16159" s="41"/>
    </row>
    <row r="16160" spans="5:10" s="34" customFormat="1" x14ac:dyDescent="0.35">
      <c r="E16160" s="35"/>
      <c r="J16160" s="41"/>
    </row>
    <row r="16161" spans="5:10" s="34" customFormat="1" x14ac:dyDescent="0.35">
      <c r="E16161" s="35"/>
      <c r="J16161" s="41"/>
    </row>
    <row r="16162" spans="5:10" s="34" customFormat="1" x14ac:dyDescent="0.35">
      <c r="E16162" s="35"/>
      <c r="J16162" s="41"/>
    </row>
    <row r="16163" spans="5:10" s="34" customFormat="1" x14ac:dyDescent="0.35">
      <c r="E16163" s="35"/>
      <c r="J16163" s="41"/>
    </row>
    <row r="16164" spans="5:10" s="34" customFormat="1" x14ac:dyDescent="0.35">
      <c r="E16164" s="35"/>
      <c r="J16164" s="41"/>
    </row>
    <row r="16165" spans="5:10" s="34" customFormat="1" x14ac:dyDescent="0.35">
      <c r="E16165" s="35"/>
      <c r="J16165" s="41"/>
    </row>
    <row r="16166" spans="5:10" s="34" customFormat="1" x14ac:dyDescent="0.35">
      <c r="E16166" s="35"/>
      <c r="J16166" s="41"/>
    </row>
    <row r="16167" spans="5:10" s="34" customFormat="1" x14ac:dyDescent="0.35">
      <c r="E16167" s="35"/>
      <c r="J16167" s="41"/>
    </row>
    <row r="16168" spans="5:10" s="34" customFormat="1" x14ac:dyDescent="0.35">
      <c r="E16168" s="35"/>
      <c r="J16168" s="41"/>
    </row>
    <row r="16169" spans="5:10" s="34" customFormat="1" x14ac:dyDescent="0.35">
      <c r="E16169" s="35"/>
      <c r="J16169" s="41"/>
    </row>
    <row r="16170" spans="5:10" s="34" customFormat="1" x14ac:dyDescent="0.35">
      <c r="E16170" s="35"/>
      <c r="J16170" s="41"/>
    </row>
    <row r="16171" spans="5:10" s="34" customFormat="1" x14ac:dyDescent="0.35">
      <c r="E16171" s="35"/>
      <c r="J16171" s="41"/>
    </row>
    <row r="16172" spans="5:10" s="34" customFormat="1" x14ac:dyDescent="0.35">
      <c r="E16172" s="35"/>
      <c r="J16172" s="41"/>
    </row>
    <row r="16173" spans="5:10" s="34" customFormat="1" x14ac:dyDescent="0.35">
      <c r="E16173" s="35"/>
      <c r="J16173" s="41"/>
    </row>
    <row r="16174" spans="5:10" s="34" customFormat="1" x14ac:dyDescent="0.35">
      <c r="E16174" s="35"/>
      <c r="J16174" s="41"/>
    </row>
    <row r="16175" spans="5:10" s="34" customFormat="1" x14ac:dyDescent="0.35">
      <c r="E16175" s="35"/>
      <c r="J16175" s="41"/>
    </row>
    <row r="16176" spans="5:10" s="34" customFormat="1" x14ac:dyDescent="0.35">
      <c r="E16176" s="35"/>
      <c r="J16176" s="41"/>
    </row>
    <row r="16177" spans="5:10" s="34" customFormat="1" x14ac:dyDescent="0.35">
      <c r="E16177" s="35"/>
      <c r="J16177" s="41"/>
    </row>
    <row r="16178" spans="5:10" s="34" customFormat="1" x14ac:dyDescent="0.35">
      <c r="E16178" s="35"/>
      <c r="J16178" s="41"/>
    </row>
    <row r="16179" spans="5:10" s="34" customFormat="1" x14ac:dyDescent="0.35">
      <c r="E16179" s="35"/>
      <c r="J16179" s="41"/>
    </row>
    <row r="16180" spans="5:10" s="34" customFormat="1" x14ac:dyDescent="0.35">
      <c r="E16180" s="35"/>
      <c r="J16180" s="41"/>
    </row>
    <row r="16181" spans="5:10" s="34" customFormat="1" x14ac:dyDescent="0.35">
      <c r="E16181" s="35"/>
      <c r="J16181" s="41"/>
    </row>
    <row r="16182" spans="5:10" s="34" customFormat="1" x14ac:dyDescent="0.35">
      <c r="E16182" s="35"/>
      <c r="J16182" s="41"/>
    </row>
    <row r="16183" spans="5:10" s="34" customFormat="1" x14ac:dyDescent="0.35">
      <c r="E16183" s="35"/>
      <c r="J16183" s="41"/>
    </row>
    <row r="16184" spans="5:10" s="34" customFormat="1" x14ac:dyDescent="0.35">
      <c r="E16184" s="35"/>
      <c r="J16184" s="41"/>
    </row>
    <row r="16185" spans="5:10" s="34" customFormat="1" x14ac:dyDescent="0.35">
      <c r="E16185" s="35"/>
      <c r="J16185" s="41"/>
    </row>
    <row r="16186" spans="5:10" s="34" customFormat="1" x14ac:dyDescent="0.35">
      <c r="E16186" s="35"/>
      <c r="J16186" s="41"/>
    </row>
    <row r="16187" spans="5:10" s="34" customFormat="1" x14ac:dyDescent="0.35">
      <c r="E16187" s="35"/>
      <c r="J16187" s="41"/>
    </row>
    <row r="16188" spans="5:10" s="34" customFormat="1" x14ac:dyDescent="0.35">
      <c r="E16188" s="35"/>
      <c r="J16188" s="41"/>
    </row>
    <row r="16189" spans="5:10" s="34" customFormat="1" x14ac:dyDescent="0.35">
      <c r="E16189" s="35"/>
      <c r="J16189" s="41"/>
    </row>
    <row r="16190" spans="5:10" s="34" customFormat="1" x14ac:dyDescent="0.35">
      <c r="E16190" s="35"/>
      <c r="J16190" s="41"/>
    </row>
    <row r="16191" spans="5:10" s="34" customFormat="1" x14ac:dyDescent="0.35">
      <c r="E16191" s="35"/>
      <c r="J16191" s="41"/>
    </row>
    <row r="16192" spans="5:10" s="34" customFormat="1" x14ac:dyDescent="0.35">
      <c r="E16192" s="35"/>
      <c r="J16192" s="41"/>
    </row>
    <row r="16193" spans="5:10" s="34" customFormat="1" x14ac:dyDescent="0.35">
      <c r="E16193" s="35"/>
      <c r="J16193" s="41"/>
    </row>
    <row r="16194" spans="5:10" s="34" customFormat="1" x14ac:dyDescent="0.35">
      <c r="E16194" s="35"/>
      <c r="J16194" s="41"/>
    </row>
    <row r="16195" spans="5:10" s="34" customFormat="1" x14ac:dyDescent="0.35">
      <c r="E16195" s="35"/>
      <c r="J16195" s="41"/>
    </row>
    <row r="16196" spans="5:10" s="34" customFormat="1" x14ac:dyDescent="0.35">
      <c r="E16196" s="35"/>
      <c r="J16196" s="41"/>
    </row>
    <row r="16197" spans="5:10" s="34" customFormat="1" x14ac:dyDescent="0.35">
      <c r="E16197" s="35"/>
      <c r="J16197" s="41"/>
    </row>
    <row r="16198" spans="5:10" s="34" customFormat="1" x14ac:dyDescent="0.35">
      <c r="E16198" s="35"/>
      <c r="J16198" s="41"/>
    </row>
    <row r="16199" spans="5:10" s="34" customFormat="1" x14ac:dyDescent="0.35">
      <c r="E16199" s="35"/>
      <c r="J16199" s="41"/>
    </row>
    <row r="16200" spans="5:10" s="34" customFormat="1" x14ac:dyDescent="0.35">
      <c r="E16200" s="35"/>
      <c r="J16200" s="41"/>
    </row>
    <row r="16201" spans="5:10" s="34" customFormat="1" x14ac:dyDescent="0.35">
      <c r="E16201" s="35"/>
      <c r="J16201" s="41"/>
    </row>
    <row r="16202" spans="5:10" s="34" customFormat="1" x14ac:dyDescent="0.35">
      <c r="E16202" s="35"/>
      <c r="J16202" s="41"/>
    </row>
    <row r="16203" spans="5:10" s="34" customFormat="1" x14ac:dyDescent="0.35">
      <c r="E16203" s="35"/>
      <c r="J16203" s="41"/>
    </row>
    <row r="16204" spans="5:10" s="34" customFormat="1" x14ac:dyDescent="0.35">
      <c r="E16204" s="35"/>
      <c r="J16204" s="41"/>
    </row>
    <row r="16205" spans="5:10" s="34" customFormat="1" x14ac:dyDescent="0.35">
      <c r="E16205" s="35"/>
      <c r="J16205" s="41"/>
    </row>
    <row r="16206" spans="5:10" s="34" customFormat="1" x14ac:dyDescent="0.35">
      <c r="E16206" s="35"/>
      <c r="J16206" s="41"/>
    </row>
    <row r="16207" spans="5:10" s="34" customFormat="1" x14ac:dyDescent="0.35">
      <c r="E16207" s="35"/>
      <c r="J16207" s="41"/>
    </row>
    <row r="16208" spans="5:10" s="34" customFormat="1" x14ac:dyDescent="0.35">
      <c r="E16208" s="35"/>
      <c r="J16208" s="41"/>
    </row>
    <row r="16209" spans="5:10" s="34" customFormat="1" x14ac:dyDescent="0.35">
      <c r="E16209" s="35"/>
      <c r="J16209" s="41"/>
    </row>
    <row r="16210" spans="5:10" s="34" customFormat="1" x14ac:dyDescent="0.35">
      <c r="E16210" s="35"/>
      <c r="J16210" s="41"/>
    </row>
    <row r="16211" spans="5:10" s="34" customFormat="1" x14ac:dyDescent="0.35">
      <c r="E16211" s="35"/>
      <c r="J16211" s="41"/>
    </row>
    <row r="16212" spans="5:10" s="34" customFormat="1" x14ac:dyDescent="0.35">
      <c r="E16212" s="35"/>
      <c r="J16212" s="41"/>
    </row>
    <row r="16213" spans="5:10" s="34" customFormat="1" x14ac:dyDescent="0.35">
      <c r="E16213" s="35"/>
      <c r="J16213" s="41"/>
    </row>
    <row r="16214" spans="5:10" s="34" customFormat="1" x14ac:dyDescent="0.35">
      <c r="E16214" s="35"/>
      <c r="J16214" s="41"/>
    </row>
    <row r="16215" spans="5:10" s="34" customFormat="1" x14ac:dyDescent="0.35">
      <c r="E16215" s="35"/>
      <c r="J16215" s="41"/>
    </row>
    <row r="16216" spans="5:10" s="34" customFormat="1" x14ac:dyDescent="0.35">
      <c r="E16216" s="35"/>
      <c r="J16216" s="41"/>
    </row>
    <row r="16217" spans="5:10" s="34" customFormat="1" x14ac:dyDescent="0.35">
      <c r="E16217" s="35"/>
      <c r="J16217" s="41"/>
    </row>
    <row r="16218" spans="5:10" s="34" customFormat="1" x14ac:dyDescent="0.35">
      <c r="E16218" s="35"/>
      <c r="J16218" s="41"/>
    </row>
    <row r="16219" spans="5:10" s="34" customFormat="1" x14ac:dyDescent="0.35">
      <c r="E16219" s="35"/>
      <c r="J16219" s="41"/>
    </row>
    <row r="16220" spans="5:10" s="34" customFormat="1" x14ac:dyDescent="0.35">
      <c r="E16220" s="35"/>
      <c r="J16220" s="41"/>
    </row>
    <row r="16221" spans="5:10" s="34" customFormat="1" x14ac:dyDescent="0.35">
      <c r="E16221" s="35"/>
      <c r="J16221" s="41"/>
    </row>
    <row r="16222" spans="5:10" s="34" customFormat="1" x14ac:dyDescent="0.35">
      <c r="E16222" s="35"/>
      <c r="J16222" s="41"/>
    </row>
    <row r="16223" spans="5:10" s="34" customFormat="1" x14ac:dyDescent="0.35">
      <c r="E16223" s="35"/>
      <c r="J16223" s="41"/>
    </row>
    <row r="16224" spans="5:10" s="34" customFormat="1" x14ac:dyDescent="0.35">
      <c r="E16224" s="35"/>
      <c r="J16224" s="41"/>
    </row>
    <row r="16225" spans="5:10" s="34" customFormat="1" x14ac:dyDescent="0.35">
      <c r="E16225" s="35"/>
      <c r="J16225" s="41"/>
    </row>
    <row r="16226" spans="5:10" s="34" customFormat="1" x14ac:dyDescent="0.35">
      <c r="E16226" s="35"/>
      <c r="J16226" s="41"/>
    </row>
    <row r="16227" spans="5:10" s="34" customFormat="1" x14ac:dyDescent="0.35">
      <c r="E16227" s="35"/>
      <c r="J16227" s="41"/>
    </row>
    <row r="16228" spans="5:10" s="34" customFormat="1" x14ac:dyDescent="0.35">
      <c r="E16228" s="35"/>
      <c r="J16228" s="41"/>
    </row>
    <row r="16229" spans="5:10" s="34" customFormat="1" x14ac:dyDescent="0.35">
      <c r="E16229" s="35"/>
      <c r="J16229" s="41"/>
    </row>
    <row r="16230" spans="5:10" s="34" customFormat="1" x14ac:dyDescent="0.35">
      <c r="E16230" s="35"/>
      <c r="J16230" s="41"/>
    </row>
    <row r="16231" spans="5:10" s="34" customFormat="1" x14ac:dyDescent="0.35">
      <c r="E16231" s="35"/>
      <c r="J16231" s="41"/>
    </row>
    <row r="16232" spans="5:10" s="34" customFormat="1" x14ac:dyDescent="0.35">
      <c r="E16232" s="35"/>
      <c r="J16232" s="41"/>
    </row>
    <row r="16233" spans="5:10" s="34" customFormat="1" x14ac:dyDescent="0.35">
      <c r="E16233" s="35"/>
      <c r="J16233" s="41"/>
    </row>
    <row r="16234" spans="5:10" s="34" customFormat="1" x14ac:dyDescent="0.35">
      <c r="E16234" s="35"/>
      <c r="J16234" s="41"/>
    </row>
    <row r="16235" spans="5:10" s="34" customFormat="1" x14ac:dyDescent="0.35">
      <c r="E16235" s="35"/>
      <c r="J16235" s="41"/>
    </row>
    <row r="16236" spans="5:10" s="34" customFormat="1" x14ac:dyDescent="0.35">
      <c r="E16236" s="35"/>
      <c r="J16236" s="41"/>
    </row>
    <row r="16237" spans="5:10" s="34" customFormat="1" x14ac:dyDescent="0.35">
      <c r="E16237" s="35"/>
      <c r="J16237" s="41"/>
    </row>
    <row r="16238" spans="5:10" s="34" customFormat="1" x14ac:dyDescent="0.35">
      <c r="E16238" s="35"/>
      <c r="J16238" s="41"/>
    </row>
    <row r="16239" spans="5:10" s="34" customFormat="1" x14ac:dyDescent="0.35">
      <c r="E16239" s="35"/>
      <c r="J16239" s="41"/>
    </row>
    <row r="16240" spans="5:10" s="34" customFormat="1" x14ac:dyDescent="0.35">
      <c r="E16240" s="35"/>
      <c r="J16240" s="41"/>
    </row>
    <row r="16241" spans="5:10" s="34" customFormat="1" x14ac:dyDescent="0.35">
      <c r="E16241" s="35"/>
      <c r="J16241" s="41"/>
    </row>
    <row r="16242" spans="5:10" s="34" customFormat="1" x14ac:dyDescent="0.35">
      <c r="E16242" s="35"/>
      <c r="J16242" s="41"/>
    </row>
    <row r="16243" spans="5:10" s="34" customFormat="1" x14ac:dyDescent="0.35">
      <c r="E16243" s="35"/>
      <c r="J16243" s="41"/>
    </row>
    <row r="16244" spans="5:10" s="34" customFormat="1" x14ac:dyDescent="0.35">
      <c r="E16244" s="35"/>
      <c r="J16244" s="41"/>
    </row>
    <row r="16245" spans="5:10" s="34" customFormat="1" x14ac:dyDescent="0.35">
      <c r="E16245" s="35"/>
      <c r="J16245" s="41"/>
    </row>
    <row r="16246" spans="5:10" s="34" customFormat="1" x14ac:dyDescent="0.35">
      <c r="E16246" s="35"/>
      <c r="J16246" s="41"/>
    </row>
    <row r="16247" spans="5:10" s="34" customFormat="1" x14ac:dyDescent="0.35">
      <c r="E16247" s="35"/>
      <c r="J16247" s="41"/>
    </row>
    <row r="16248" spans="5:10" s="34" customFormat="1" x14ac:dyDescent="0.35">
      <c r="E16248" s="35"/>
      <c r="J16248" s="41"/>
    </row>
    <row r="16249" spans="5:10" s="34" customFormat="1" x14ac:dyDescent="0.35">
      <c r="E16249" s="35"/>
      <c r="J16249" s="41"/>
    </row>
    <row r="16250" spans="5:10" s="34" customFormat="1" x14ac:dyDescent="0.35">
      <c r="E16250" s="35"/>
      <c r="J16250" s="41"/>
    </row>
    <row r="16251" spans="5:10" s="34" customFormat="1" x14ac:dyDescent="0.35">
      <c r="E16251" s="35"/>
      <c r="J16251" s="41"/>
    </row>
    <row r="16252" spans="5:10" s="34" customFormat="1" x14ac:dyDescent="0.35">
      <c r="E16252" s="35"/>
      <c r="J16252" s="41"/>
    </row>
    <row r="16253" spans="5:10" s="34" customFormat="1" x14ac:dyDescent="0.35">
      <c r="E16253" s="35"/>
      <c r="J16253" s="41"/>
    </row>
    <row r="16254" spans="5:10" s="34" customFormat="1" x14ac:dyDescent="0.35">
      <c r="E16254" s="35"/>
      <c r="J16254" s="41"/>
    </row>
    <row r="16255" spans="5:10" s="34" customFormat="1" x14ac:dyDescent="0.35">
      <c r="E16255" s="35"/>
      <c r="J16255" s="41"/>
    </row>
    <row r="16256" spans="5:10" s="34" customFormat="1" x14ac:dyDescent="0.35">
      <c r="E16256" s="35"/>
      <c r="J16256" s="41"/>
    </row>
    <row r="16257" spans="5:10" s="34" customFormat="1" x14ac:dyDescent="0.35">
      <c r="E16257" s="35"/>
      <c r="J16257" s="41"/>
    </row>
    <row r="16258" spans="5:10" s="34" customFormat="1" x14ac:dyDescent="0.35">
      <c r="E16258" s="35"/>
      <c r="J16258" s="41"/>
    </row>
    <row r="16259" spans="5:10" s="34" customFormat="1" x14ac:dyDescent="0.35">
      <c r="E16259" s="35"/>
      <c r="J16259" s="41"/>
    </row>
    <row r="16260" spans="5:10" s="34" customFormat="1" x14ac:dyDescent="0.35">
      <c r="E16260" s="35"/>
      <c r="J16260" s="41"/>
    </row>
    <row r="16261" spans="5:10" s="34" customFormat="1" x14ac:dyDescent="0.35">
      <c r="E16261" s="35"/>
      <c r="J16261" s="41"/>
    </row>
    <row r="16262" spans="5:10" s="34" customFormat="1" x14ac:dyDescent="0.35">
      <c r="E16262" s="35"/>
      <c r="J16262" s="41"/>
    </row>
    <row r="16263" spans="5:10" s="34" customFormat="1" x14ac:dyDescent="0.35">
      <c r="E16263" s="35"/>
      <c r="J16263" s="41"/>
    </row>
    <row r="16264" spans="5:10" s="34" customFormat="1" x14ac:dyDescent="0.35">
      <c r="E16264" s="35"/>
      <c r="J16264" s="41"/>
    </row>
    <row r="16265" spans="5:10" s="34" customFormat="1" x14ac:dyDescent="0.35">
      <c r="E16265" s="35"/>
      <c r="J16265" s="41"/>
    </row>
    <row r="16266" spans="5:10" s="34" customFormat="1" x14ac:dyDescent="0.35">
      <c r="E16266" s="35"/>
      <c r="J16266" s="41"/>
    </row>
    <row r="16267" spans="5:10" s="34" customFormat="1" x14ac:dyDescent="0.35">
      <c r="E16267" s="35"/>
      <c r="J16267" s="41"/>
    </row>
    <row r="16268" spans="5:10" s="34" customFormat="1" x14ac:dyDescent="0.35">
      <c r="E16268" s="35"/>
      <c r="J16268" s="41"/>
    </row>
    <row r="16269" spans="5:10" s="34" customFormat="1" x14ac:dyDescent="0.35">
      <c r="E16269" s="35"/>
      <c r="J16269" s="41"/>
    </row>
    <row r="16270" spans="5:10" s="34" customFormat="1" x14ac:dyDescent="0.35">
      <c r="E16270" s="35"/>
      <c r="J16270" s="41"/>
    </row>
    <row r="16271" spans="5:10" s="34" customFormat="1" x14ac:dyDescent="0.35">
      <c r="E16271" s="35"/>
      <c r="J16271" s="41"/>
    </row>
    <row r="16272" spans="5:10" s="34" customFormat="1" x14ac:dyDescent="0.35">
      <c r="E16272" s="35"/>
      <c r="J16272" s="41"/>
    </row>
    <row r="16273" spans="5:10" s="34" customFormat="1" x14ac:dyDescent="0.35">
      <c r="E16273" s="35"/>
      <c r="J16273" s="41"/>
    </row>
    <row r="16274" spans="5:10" s="34" customFormat="1" x14ac:dyDescent="0.35">
      <c r="E16274" s="35"/>
      <c r="J16274" s="41"/>
    </row>
    <row r="16275" spans="5:10" s="34" customFormat="1" x14ac:dyDescent="0.35">
      <c r="E16275" s="35"/>
      <c r="J16275" s="41"/>
    </row>
    <row r="16276" spans="5:10" s="34" customFormat="1" x14ac:dyDescent="0.35">
      <c r="E16276" s="35"/>
      <c r="J16276" s="41"/>
    </row>
    <row r="16277" spans="5:10" s="34" customFormat="1" x14ac:dyDescent="0.35">
      <c r="E16277" s="35"/>
      <c r="J16277" s="41"/>
    </row>
    <row r="16278" spans="5:10" s="34" customFormat="1" x14ac:dyDescent="0.35">
      <c r="E16278" s="35"/>
      <c r="J16278" s="41"/>
    </row>
    <row r="16279" spans="5:10" s="34" customFormat="1" x14ac:dyDescent="0.35">
      <c r="E16279" s="35"/>
      <c r="J16279" s="41"/>
    </row>
    <row r="16280" spans="5:10" s="34" customFormat="1" x14ac:dyDescent="0.35">
      <c r="E16280" s="35"/>
      <c r="J16280" s="41"/>
    </row>
    <row r="16281" spans="5:10" s="34" customFormat="1" x14ac:dyDescent="0.35">
      <c r="E16281" s="35"/>
      <c r="J16281" s="41"/>
    </row>
    <row r="16282" spans="5:10" s="34" customFormat="1" x14ac:dyDescent="0.35">
      <c r="E16282" s="35"/>
      <c r="J16282" s="41"/>
    </row>
    <row r="16283" spans="5:10" s="34" customFormat="1" x14ac:dyDescent="0.35">
      <c r="E16283" s="35"/>
      <c r="J16283" s="41"/>
    </row>
    <row r="16284" spans="5:10" s="34" customFormat="1" x14ac:dyDescent="0.35">
      <c r="E16284" s="35"/>
      <c r="J16284" s="41"/>
    </row>
    <row r="16285" spans="5:10" s="34" customFormat="1" x14ac:dyDescent="0.35">
      <c r="E16285" s="35"/>
      <c r="J16285" s="41"/>
    </row>
    <row r="16286" spans="5:10" s="34" customFormat="1" x14ac:dyDescent="0.35">
      <c r="E16286" s="35"/>
      <c r="J16286" s="41"/>
    </row>
    <row r="16287" spans="5:10" s="34" customFormat="1" x14ac:dyDescent="0.35">
      <c r="E16287" s="35"/>
      <c r="J16287" s="41"/>
    </row>
    <row r="16288" spans="5:10" s="34" customFormat="1" x14ac:dyDescent="0.35">
      <c r="E16288" s="35"/>
      <c r="J16288" s="41"/>
    </row>
    <row r="16289" spans="5:10" s="34" customFormat="1" x14ac:dyDescent="0.35">
      <c r="E16289" s="35"/>
      <c r="J16289" s="41"/>
    </row>
    <row r="16290" spans="5:10" s="34" customFormat="1" x14ac:dyDescent="0.35">
      <c r="E16290" s="35"/>
      <c r="J16290" s="41"/>
    </row>
    <row r="16291" spans="5:10" s="34" customFormat="1" x14ac:dyDescent="0.35">
      <c r="E16291" s="35"/>
      <c r="J16291" s="41"/>
    </row>
    <row r="16292" spans="5:10" s="34" customFormat="1" x14ac:dyDescent="0.35">
      <c r="E16292" s="35"/>
      <c r="J16292" s="41"/>
    </row>
    <row r="16293" spans="5:10" s="34" customFormat="1" x14ac:dyDescent="0.35">
      <c r="E16293" s="35"/>
      <c r="J16293" s="41"/>
    </row>
    <row r="16294" spans="5:10" s="34" customFormat="1" x14ac:dyDescent="0.35">
      <c r="E16294" s="35"/>
      <c r="J16294" s="41"/>
    </row>
    <row r="16295" spans="5:10" s="34" customFormat="1" x14ac:dyDescent="0.35">
      <c r="E16295" s="35"/>
      <c r="J16295" s="41"/>
    </row>
    <row r="16296" spans="5:10" s="34" customFormat="1" x14ac:dyDescent="0.35">
      <c r="E16296" s="35"/>
      <c r="J16296" s="41"/>
    </row>
    <row r="16297" spans="5:10" s="34" customFormat="1" x14ac:dyDescent="0.35">
      <c r="E16297" s="35"/>
      <c r="J16297" s="41"/>
    </row>
    <row r="16298" spans="5:10" s="34" customFormat="1" x14ac:dyDescent="0.35">
      <c r="E16298" s="35"/>
      <c r="J16298" s="41"/>
    </row>
    <row r="16299" spans="5:10" s="34" customFormat="1" x14ac:dyDescent="0.35">
      <c r="E16299" s="35"/>
      <c r="J16299" s="41"/>
    </row>
    <row r="16300" spans="5:10" s="34" customFormat="1" x14ac:dyDescent="0.35">
      <c r="E16300" s="35"/>
      <c r="J16300" s="41"/>
    </row>
    <row r="16301" spans="5:10" s="34" customFormat="1" x14ac:dyDescent="0.35">
      <c r="E16301" s="35"/>
      <c r="J16301" s="41"/>
    </row>
    <row r="16302" spans="5:10" s="34" customFormat="1" x14ac:dyDescent="0.35">
      <c r="E16302" s="35"/>
      <c r="J16302" s="41"/>
    </row>
    <row r="16303" spans="5:10" s="34" customFormat="1" x14ac:dyDescent="0.35">
      <c r="E16303" s="35"/>
      <c r="J16303" s="41"/>
    </row>
    <row r="16304" spans="5:10" s="34" customFormat="1" x14ac:dyDescent="0.35">
      <c r="E16304" s="35"/>
      <c r="J16304" s="41"/>
    </row>
    <row r="16305" spans="5:10" s="34" customFormat="1" x14ac:dyDescent="0.35">
      <c r="E16305" s="35"/>
      <c r="J16305" s="41"/>
    </row>
    <row r="16306" spans="5:10" s="34" customFormat="1" x14ac:dyDescent="0.35">
      <c r="E16306" s="35"/>
      <c r="J16306" s="41"/>
    </row>
    <row r="16307" spans="5:10" s="34" customFormat="1" x14ac:dyDescent="0.35">
      <c r="E16307" s="35"/>
      <c r="J16307" s="41"/>
    </row>
    <row r="16308" spans="5:10" s="34" customFormat="1" x14ac:dyDescent="0.35">
      <c r="E16308" s="35"/>
      <c r="J16308" s="41"/>
    </row>
    <row r="16309" spans="5:10" s="34" customFormat="1" x14ac:dyDescent="0.35">
      <c r="E16309" s="35"/>
      <c r="J16309" s="41"/>
    </row>
    <row r="16310" spans="5:10" s="34" customFormat="1" x14ac:dyDescent="0.35">
      <c r="E16310" s="35"/>
      <c r="J16310" s="41"/>
    </row>
    <row r="16311" spans="5:10" s="34" customFormat="1" x14ac:dyDescent="0.35">
      <c r="E16311" s="35"/>
      <c r="J16311" s="41"/>
    </row>
    <row r="16312" spans="5:10" s="34" customFormat="1" x14ac:dyDescent="0.35">
      <c r="E16312" s="35"/>
      <c r="J16312" s="41"/>
    </row>
    <row r="16313" spans="5:10" s="34" customFormat="1" x14ac:dyDescent="0.35">
      <c r="E16313" s="35"/>
      <c r="J16313" s="41"/>
    </row>
    <row r="16314" spans="5:10" s="34" customFormat="1" x14ac:dyDescent="0.35">
      <c r="E16314" s="35"/>
      <c r="J16314" s="41"/>
    </row>
    <row r="16315" spans="5:10" s="34" customFormat="1" x14ac:dyDescent="0.35">
      <c r="E16315" s="35"/>
      <c r="J16315" s="41"/>
    </row>
    <row r="16316" spans="5:10" s="34" customFormat="1" x14ac:dyDescent="0.35">
      <c r="E16316" s="35"/>
      <c r="J16316" s="41"/>
    </row>
    <row r="16317" spans="5:10" s="34" customFormat="1" x14ac:dyDescent="0.35">
      <c r="E16317" s="35"/>
      <c r="J16317" s="41"/>
    </row>
    <row r="16318" spans="5:10" s="34" customFormat="1" x14ac:dyDescent="0.35">
      <c r="E16318" s="35"/>
      <c r="J16318" s="41"/>
    </row>
    <row r="16319" spans="5:10" s="34" customFormat="1" x14ac:dyDescent="0.35">
      <c r="E16319" s="35"/>
      <c r="J16319" s="41"/>
    </row>
    <row r="16320" spans="5:10" s="34" customFormat="1" x14ac:dyDescent="0.35">
      <c r="E16320" s="35"/>
      <c r="J16320" s="41"/>
    </row>
    <row r="16321" spans="5:10" s="34" customFormat="1" x14ac:dyDescent="0.35">
      <c r="E16321" s="35"/>
      <c r="J16321" s="41"/>
    </row>
    <row r="16322" spans="5:10" s="34" customFormat="1" x14ac:dyDescent="0.35">
      <c r="E16322" s="35"/>
      <c r="J16322" s="41"/>
    </row>
    <row r="16323" spans="5:10" s="34" customFormat="1" x14ac:dyDescent="0.35">
      <c r="E16323" s="35"/>
      <c r="J16323" s="41"/>
    </row>
    <row r="16324" spans="5:10" s="34" customFormat="1" x14ac:dyDescent="0.35">
      <c r="E16324" s="35"/>
      <c r="J16324" s="41"/>
    </row>
    <row r="16325" spans="5:10" s="34" customFormat="1" x14ac:dyDescent="0.35">
      <c r="E16325" s="35"/>
      <c r="J16325" s="41"/>
    </row>
    <row r="16326" spans="5:10" s="34" customFormat="1" x14ac:dyDescent="0.35">
      <c r="E16326" s="35"/>
      <c r="J16326" s="41"/>
    </row>
    <row r="16327" spans="5:10" s="34" customFormat="1" x14ac:dyDescent="0.35">
      <c r="E16327" s="35"/>
      <c r="J16327" s="41"/>
    </row>
    <row r="16328" spans="5:10" s="34" customFormat="1" x14ac:dyDescent="0.35">
      <c r="E16328" s="35"/>
      <c r="J16328" s="41"/>
    </row>
    <row r="16329" spans="5:10" s="34" customFormat="1" x14ac:dyDescent="0.35">
      <c r="E16329" s="35"/>
      <c r="J16329" s="41"/>
    </row>
    <row r="16330" spans="5:10" s="34" customFormat="1" x14ac:dyDescent="0.35">
      <c r="E16330" s="35"/>
      <c r="J16330" s="41"/>
    </row>
    <row r="16331" spans="5:10" s="34" customFormat="1" x14ac:dyDescent="0.35">
      <c r="E16331" s="35"/>
      <c r="J16331" s="41"/>
    </row>
    <row r="16332" spans="5:10" s="34" customFormat="1" x14ac:dyDescent="0.35">
      <c r="E16332" s="35"/>
      <c r="J16332" s="41"/>
    </row>
    <row r="16333" spans="5:10" s="34" customFormat="1" x14ac:dyDescent="0.35">
      <c r="E16333" s="35"/>
      <c r="J16333" s="41"/>
    </row>
    <row r="16334" spans="5:10" s="34" customFormat="1" x14ac:dyDescent="0.35">
      <c r="E16334" s="35"/>
      <c r="J16334" s="41"/>
    </row>
    <row r="16335" spans="5:10" s="34" customFormat="1" x14ac:dyDescent="0.35">
      <c r="E16335" s="35"/>
      <c r="J16335" s="41"/>
    </row>
    <row r="16336" spans="5:10" s="34" customFormat="1" x14ac:dyDescent="0.35">
      <c r="E16336" s="35"/>
      <c r="J16336" s="41"/>
    </row>
    <row r="16337" spans="5:10" s="34" customFormat="1" x14ac:dyDescent="0.35">
      <c r="E16337" s="35"/>
      <c r="J16337" s="41"/>
    </row>
    <row r="16338" spans="5:10" s="34" customFormat="1" x14ac:dyDescent="0.35">
      <c r="E16338" s="35"/>
      <c r="J16338" s="41"/>
    </row>
    <row r="16339" spans="5:10" s="34" customFormat="1" x14ac:dyDescent="0.35">
      <c r="E16339" s="35"/>
      <c r="J16339" s="41"/>
    </row>
    <row r="16340" spans="5:10" s="34" customFormat="1" x14ac:dyDescent="0.35">
      <c r="E16340" s="35"/>
      <c r="J16340" s="41"/>
    </row>
    <row r="16341" spans="5:10" s="34" customFormat="1" x14ac:dyDescent="0.35">
      <c r="E16341" s="35"/>
      <c r="J16341" s="41"/>
    </row>
    <row r="16342" spans="5:10" s="34" customFormat="1" x14ac:dyDescent="0.35">
      <c r="E16342" s="35"/>
      <c r="J16342" s="41"/>
    </row>
    <row r="16343" spans="5:10" s="34" customFormat="1" x14ac:dyDescent="0.35">
      <c r="E16343" s="35"/>
      <c r="J16343" s="41"/>
    </row>
    <row r="16344" spans="5:10" s="34" customFormat="1" x14ac:dyDescent="0.35">
      <c r="E16344" s="35"/>
      <c r="J16344" s="41"/>
    </row>
    <row r="16345" spans="5:10" s="34" customFormat="1" x14ac:dyDescent="0.35">
      <c r="E16345" s="35"/>
      <c r="J16345" s="41"/>
    </row>
    <row r="16346" spans="5:10" s="34" customFormat="1" x14ac:dyDescent="0.35">
      <c r="E16346" s="35"/>
      <c r="J16346" s="41"/>
    </row>
    <row r="16347" spans="5:10" s="34" customFormat="1" x14ac:dyDescent="0.35">
      <c r="E16347" s="35"/>
      <c r="J16347" s="41"/>
    </row>
    <row r="16348" spans="5:10" s="34" customFormat="1" x14ac:dyDescent="0.35">
      <c r="E16348" s="35"/>
      <c r="J16348" s="41"/>
    </row>
    <row r="16349" spans="5:10" s="34" customFormat="1" x14ac:dyDescent="0.35">
      <c r="E16349" s="35"/>
      <c r="J16349" s="41"/>
    </row>
    <row r="16350" spans="5:10" s="34" customFormat="1" x14ac:dyDescent="0.35">
      <c r="E16350" s="35"/>
      <c r="J16350" s="41"/>
    </row>
    <row r="16351" spans="5:10" s="34" customFormat="1" x14ac:dyDescent="0.35">
      <c r="E16351" s="35"/>
      <c r="J16351" s="41"/>
    </row>
    <row r="16352" spans="5:10" s="34" customFormat="1" x14ac:dyDescent="0.35">
      <c r="E16352" s="35"/>
      <c r="J16352" s="41"/>
    </row>
    <row r="16353" spans="5:10" s="34" customFormat="1" x14ac:dyDescent="0.35">
      <c r="E16353" s="35"/>
      <c r="J16353" s="41"/>
    </row>
    <row r="16354" spans="5:10" s="34" customFormat="1" x14ac:dyDescent="0.35">
      <c r="E16354" s="35"/>
      <c r="J16354" s="41"/>
    </row>
    <row r="16355" spans="5:10" s="34" customFormat="1" x14ac:dyDescent="0.35">
      <c r="E16355" s="35"/>
      <c r="J16355" s="41"/>
    </row>
    <row r="16356" spans="5:10" s="34" customFormat="1" x14ac:dyDescent="0.35">
      <c r="E16356" s="35"/>
      <c r="J16356" s="41"/>
    </row>
    <row r="16357" spans="5:10" s="34" customFormat="1" x14ac:dyDescent="0.35">
      <c r="E16357" s="35"/>
      <c r="J16357" s="41"/>
    </row>
    <row r="16358" spans="5:10" s="34" customFormat="1" x14ac:dyDescent="0.35">
      <c r="E16358" s="35"/>
      <c r="J16358" s="41"/>
    </row>
    <row r="16359" spans="5:10" s="34" customFormat="1" x14ac:dyDescent="0.35">
      <c r="E16359" s="35"/>
      <c r="J16359" s="41"/>
    </row>
    <row r="16360" spans="5:10" s="34" customFormat="1" x14ac:dyDescent="0.35">
      <c r="E16360" s="35"/>
      <c r="J16360" s="41"/>
    </row>
    <row r="16361" spans="5:10" s="34" customFormat="1" x14ac:dyDescent="0.35">
      <c r="E16361" s="35"/>
      <c r="J16361" s="41"/>
    </row>
    <row r="16362" spans="5:10" s="34" customFormat="1" x14ac:dyDescent="0.35">
      <c r="E16362" s="35"/>
      <c r="J16362" s="41"/>
    </row>
    <row r="16363" spans="5:10" s="34" customFormat="1" x14ac:dyDescent="0.35">
      <c r="E16363" s="35"/>
      <c r="J16363" s="41"/>
    </row>
    <row r="16364" spans="5:10" s="34" customFormat="1" x14ac:dyDescent="0.35">
      <c r="E16364" s="35"/>
      <c r="J16364" s="41"/>
    </row>
    <row r="16365" spans="5:10" s="34" customFormat="1" x14ac:dyDescent="0.35">
      <c r="E16365" s="35"/>
      <c r="J16365" s="41"/>
    </row>
    <row r="16366" spans="5:10" s="34" customFormat="1" x14ac:dyDescent="0.35">
      <c r="E16366" s="35"/>
      <c r="J16366" s="41"/>
    </row>
    <row r="16367" spans="5:10" s="34" customFormat="1" x14ac:dyDescent="0.35">
      <c r="E16367" s="35"/>
      <c r="J16367" s="41"/>
    </row>
    <row r="16368" spans="5:10" s="34" customFormat="1" x14ac:dyDescent="0.35">
      <c r="E16368" s="35"/>
      <c r="J16368" s="41"/>
    </row>
    <row r="16369" spans="5:10" s="34" customFormat="1" x14ac:dyDescent="0.35">
      <c r="E16369" s="35"/>
      <c r="J16369" s="41"/>
    </row>
    <row r="16370" spans="5:10" s="34" customFormat="1" x14ac:dyDescent="0.35">
      <c r="E16370" s="35"/>
      <c r="J16370" s="41"/>
    </row>
    <row r="16371" spans="5:10" s="34" customFormat="1" x14ac:dyDescent="0.35">
      <c r="E16371" s="35"/>
      <c r="J16371" s="41"/>
    </row>
    <row r="16372" spans="5:10" s="34" customFormat="1" x14ac:dyDescent="0.35">
      <c r="E16372" s="35"/>
      <c r="J16372" s="41"/>
    </row>
    <row r="16373" spans="5:10" s="34" customFormat="1" x14ac:dyDescent="0.35">
      <c r="E16373" s="35"/>
      <c r="J16373" s="41"/>
    </row>
    <row r="16374" spans="5:10" s="34" customFormat="1" x14ac:dyDescent="0.35">
      <c r="E16374" s="35"/>
      <c r="J16374" s="41"/>
    </row>
    <row r="16375" spans="5:10" s="34" customFormat="1" x14ac:dyDescent="0.35">
      <c r="E16375" s="35"/>
      <c r="J16375" s="41"/>
    </row>
    <row r="16376" spans="5:10" s="34" customFormat="1" x14ac:dyDescent="0.35">
      <c r="E16376" s="35"/>
      <c r="J16376" s="41"/>
    </row>
    <row r="16377" spans="5:10" s="34" customFormat="1" x14ac:dyDescent="0.35">
      <c r="E16377" s="35"/>
      <c r="J16377" s="41"/>
    </row>
    <row r="16378" spans="5:10" s="34" customFormat="1" x14ac:dyDescent="0.35">
      <c r="E16378" s="35"/>
      <c r="J16378" s="41"/>
    </row>
    <row r="16379" spans="5:10" s="34" customFormat="1" x14ac:dyDescent="0.35">
      <c r="E16379" s="35"/>
      <c r="J16379" s="41"/>
    </row>
    <row r="16380" spans="5:10" s="34" customFormat="1" x14ac:dyDescent="0.35">
      <c r="E16380" s="35"/>
      <c r="J16380" s="41"/>
    </row>
    <row r="16381" spans="5:10" s="34" customFormat="1" x14ac:dyDescent="0.35">
      <c r="E16381" s="35"/>
      <c r="J16381" s="41"/>
    </row>
    <row r="16382" spans="5:10" s="34" customFormat="1" x14ac:dyDescent="0.35">
      <c r="E16382" s="35"/>
      <c r="J16382" s="41"/>
    </row>
    <row r="16383" spans="5:10" s="34" customFormat="1" x14ac:dyDescent="0.35">
      <c r="E16383" s="35"/>
      <c r="J16383" s="41"/>
    </row>
    <row r="16384" spans="5:10" s="34" customFormat="1" x14ac:dyDescent="0.35">
      <c r="E16384" s="35"/>
      <c r="J16384" s="41"/>
    </row>
    <row r="16385" spans="5:10" s="34" customFormat="1" x14ac:dyDescent="0.35">
      <c r="E16385" s="35"/>
      <c r="J16385" s="41"/>
    </row>
    <row r="16386" spans="5:10" s="34" customFormat="1" x14ac:dyDescent="0.35">
      <c r="E16386" s="35"/>
      <c r="J16386" s="41"/>
    </row>
    <row r="16387" spans="5:10" s="34" customFormat="1" x14ac:dyDescent="0.35">
      <c r="E16387" s="35"/>
      <c r="J16387" s="41"/>
    </row>
    <row r="16388" spans="5:10" s="34" customFormat="1" x14ac:dyDescent="0.35">
      <c r="E16388" s="35"/>
      <c r="J16388" s="41"/>
    </row>
    <row r="16389" spans="5:10" s="34" customFormat="1" x14ac:dyDescent="0.35">
      <c r="E16389" s="35"/>
      <c r="J16389" s="41"/>
    </row>
    <row r="16390" spans="5:10" s="34" customFormat="1" x14ac:dyDescent="0.35">
      <c r="E16390" s="35"/>
      <c r="J16390" s="41"/>
    </row>
    <row r="16391" spans="5:10" s="34" customFormat="1" x14ac:dyDescent="0.35">
      <c r="E16391" s="35"/>
      <c r="J16391" s="41"/>
    </row>
    <row r="16392" spans="5:10" s="34" customFormat="1" x14ac:dyDescent="0.35">
      <c r="E16392" s="35"/>
      <c r="J16392" s="41"/>
    </row>
    <row r="16393" spans="5:10" s="34" customFormat="1" x14ac:dyDescent="0.35">
      <c r="E16393" s="35"/>
      <c r="J16393" s="41"/>
    </row>
    <row r="16394" spans="5:10" s="34" customFormat="1" x14ac:dyDescent="0.35">
      <c r="E16394" s="35"/>
      <c r="J16394" s="41"/>
    </row>
    <row r="16395" spans="5:10" s="34" customFormat="1" x14ac:dyDescent="0.35">
      <c r="E16395" s="35"/>
      <c r="J16395" s="41"/>
    </row>
    <row r="16396" spans="5:10" s="34" customFormat="1" x14ac:dyDescent="0.35">
      <c r="E16396" s="35"/>
      <c r="J16396" s="41"/>
    </row>
    <row r="16397" spans="5:10" s="34" customFormat="1" x14ac:dyDescent="0.35">
      <c r="E16397" s="35"/>
      <c r="J16397" s="41"/>
    </row>
    <row r="16398" spans="5:10" s="34" customFormat="1" x14ac:dyDescent="0.35">
      <c r="E16398" s="35"/>
      <c r="J16398" s="41"/>
    </row>
    <row r="16399" spans="5:10" s="34" customFormat="1" x14ac:dyDescent="0.35">
      <c r="E16399" s="35"/>
      <c r="J16399" s="41"/>
    </row>
    <row r="16400" spans="5:10" s="34" customFormat="1" x14ac:dyDescent="0.35">
      <c r="E16400" s="35"/>
      <c r="J16400" s="41"/>
    </row>
    <row r="16401" spans="5:10" s="34" customFormat="1" x14ac:dyDescent="0.35">
      <c r="E16401" s="35"/>
      <c r="J16401" s="41"/>
    </row>
    <row r="16402" spans="5:10" s="34" customFormat="1" x14ac:dyDescent="0.35">
      <c r="E16402" s="35"/>
      <c r="J16402" s="41"/>
    </row>
    <row r="16403" spans="5:10" s="34" customFormat="1" x14ac:dyDescent="0.35">
      <c r="E16403" s="35"/>
      <c r="J16403" s="41"/>
    </row>
    <row r="16404" spans="5:10" s="34" customFormat="1" x14ac:dyDescent="0.35">
      <c r="E16404" s="35"/>
      <c r="J16404" s="41"/>
    </row>
    <row r="16405" spans="5:10" s="34" customFormat="1" x14ac:dyDescent="0.35">
      <c r="E16405" s="35"/>
      <c r="J16405" s="41"/>
    </row>
    <row r="16406" spans="5:10" s="34" customFormat="1" x14ac:dyDescent="0.35">
      <c r="E16406" s="35"/>
      <c r="J16406" s="41"/>
    </row>
    <row r="16407" spans="5:10" s="34" customFormat="1" x14ac:dyDescent="0.35">
      <c r="E16407" s="35"/>
      <c r="J16407" s="41"/>
    </row>
    <row r="16408" spans="5:10" s="34" customFormat="1" x14ac:dyDescent="0.35">
      <c r="E16408" s="35"/>
      <c r="J16408" s="41"/>
    </row>
    <row r="16409" spans="5:10" s="34" customFormat="1" x14ac:dyDescent="0.35">
      <c r="E16409" s="35"/>
      <c r="J16409" s="41"/>
    </row>
    <row r="16410" spans="5:10" s="34" customFormat="1" x14ac:dyDescent="0.35">
      <c r="E16410" s="35"/>
      <c r="J16410" s="41"/>
    </row>
    <row r="16411" spans="5:10" s="34" customFormat="1" x14ac:dyDescent="0.35">
      <c r="E16411" s="35"/>
      <c r="J16411" s="41"/>
    </row>
    <row r="16412" spans="5:10" s="34" customFormat="1" x14ac:dyDescent="0.35">
      <c r="E16412" s="35"/>
      <c r="J16412" s="41"/>
    </row>
    <row r="16413" spans="5:10" s="34" customFormat="1" x14ac:dyDescent="0.35">
      <c r="E16413" s="35"/>
      <c r="J16413" s="41"/>
    </row>
    <row r="16414" spans="5:10" s="34" customFormat="1" x14ac:dyDescent="0.35">
      <c r="E16414" s="35"/>
      <c r="J16414" s="41"/>
    </row>
    <row r="16415" spans="5:10" s="34" customFormat="1" x14ac:dyDescent="0.35">
      <c r="E16415" s="35"/>
      <c r="J16415" s="41"/>
    </row>
    <row r="16416" spans="5:10" s="34" customFormat="1" x14ac:dyDescent="0.35">
      <c r="E16416" s="35"/>
      <c r="J16416" s="41"/>
    </row>
    <row r="16417" spans="5:10" s="34" customFormat="1" x14ac:dyDescent="0.35">
      <c r="E16417" s="35"/>
      <c r="J16417" s="41"/>
    </row>
    <row r="16418" spans="5:10" s="34" customFormat="1" x14ac:dyDescent="0.35">
      <c r="E16418" s="35"/>
      <c r="J16418" s="41"/>
    </row>
    <row r="16419" spans="5:10" s="34" customFormat="1" x14ac:dyDescent="0.35">
      <c r="E16419" s="35"/>
      <c r="J16419" s="41"/>
    </row>
    <row r="16420" spans="5:10" s="34" customFormat="1" x14ac:dyDescent="0.35">
      <c r="E16420" s="35"/>
      <c r="J16420" s="41"/>
    </row>
    <row r="16421" spans="5:10" s="34" customFormat="1" x14ac:dyDescent="0.35">
      <c r="E16421" s="35"/>
      <c r="J16421" s="41"/>
    </row>
    <row r="16422" spans="5:10" s="34" customFormat="1" x14ac:dyDescent="0.35">
      <c r="E16422" s="35"/>
      <c r="J16422" s="41"/>
    </row>
    <row r="16423" spans="5:10" s="34" customFormat="1" x14ac:dyDescent="0.35">
      <c r="E16423" s="35"/>
      <c r="J16423" s="41"/>
    </row>
    <row r="16424" spans="5:10" s="34" customFormat="1" x14ac:dyDescent="0.35">
      <c r="E16424" s="35"/>
      <c r="J16424" s="41"/>
    </row>
    <row r="16425" spans="5:10" s="34" customFormat="1" x14ac:dyDescent="0.35">
      <c r="E16425" s="35"/>
      <c r="J16425" s="41"/>
    </row>
    <row r="16426" spans="5:10" s="34" customFormat="1" x14ac:dyDescent="0.35">
      <c r="E16426" s="35"/>
      <c r="J16426" s="41"/>
    </row>
    <row r="16427" spans="5:10" s="34" customFormat="1" x14ac:dyDescent="0.35">
      <c r="E16427" s="35"/>
      <c r="J16427" s="41"/>
    </row>
    <row r="16428" spans="5:10" s="34" customFormat="1" x14ac:dyDescent="0.35">
      <c r="E16428" s="35"/>
      <c r="J16428" s="41"/>
    </row>
    <row r="16429" spans="5:10" s="34" customFormat="1" x14ac:dyDescent="0.35">
      <c r="E16429" s="35"/>
      <c r="J16429" s="41"/>
    </row>
    <row r="16430" spans="5:10" s="34" customFormat="1" x14ac:dyDescent="0.35">
      <c r="E16430" s="35"/>
      <c r="J16430" s="41"/>
    </row>
    <row r="16431" spans="5:10" s="34" customFormat="1" x14ac:dyDescent="0.35">
      <c r="E16431" s="35"/>
      <c r="J16431" s="41"/>
    </row>
    <row r="16432" spans="5:10" s="34" customFormat="1" x14ac:dyDescent="0.35">
      <c r="E16432" s="35"/>
      <c r="J16432" s="41"/>
    </row>
    <row r="16433" spans="5:10" s="34" customFormat="1" x14ac:dyDescent="0.35">
      <c r="E16433" s="35"/>
      <c r="J16433" s="41"/>
    </row>
    <row r="16434" spans="5:10" s="34" customFormat="1" x14ac:dyDescent="0.35">
      <c r="E16434" s="35"/>
      <c r="J16434" s="41"/>
    </row>
    <row r="16435" spans="5:10" s="34" customFormat="1" x14ac:dyDescent="0.35">
      <c r="E16435" s="35"/>
      <c r="J16435" s="41"/>
    </row>
    <row r="16436" spans="5:10" s="34" customFormat="1" x14ac:dyDescent="0.35">
      <c r="E16436" s="35"/>
      <c r="J16436" s="41"/>
    </row>
    <row r="16437" spans="5:10" s="34" customFormat="1" x14ac:dyDescent="0.35">
      <c r="E16437" s="35"/>
      <c r="J16437" s="41"/>
    </row>
    <row r="16438" spans="5:10" s="34" customFormat="1" x14ac:dyDescent="0.35">
      <c r="E16438" s="35"/>
      <c r="J16438" s="41"/>
    </row>
    <row r="16439" spans="5:10" s="34" customFormat="1" x14ac:dyDescent="0.35">
      <c r="E16439" s="35"/>
      <c r="J16439" s="41"/>
    </row>
    <row r="16440" spans="5:10" s="34" customFormat="1" x14ac:dyDescent="0.35">
      <c r="E16440" s="35"/>
      <c r="J16440" s="41"/>
    </row>
    <row r="16441" spans="5:10" s="34" customFormat="1" x14ac:dyDescent="0.35">
      <c r="E16441" s="35"/>
      <c r="J16441" s="41"/>
    </row>
    <row r="16442" spans="5:10" s="34" customFormat="1" x14ac:dyDescent="0.35">
      <c r="E16442" s="35"/>
      <c r="J16442" s="41"/>
    </row>
    <row r="16443" spans="5:10" s="34" customFormat="1" x14ac:dyDescent="0.35">
      <c r="E16443" s="35"/>
      <c r="J16443" s="41"/>
    </row>
    <row r="16444" spans="5:10" s="34" customFormat="1" x14ac:dyDescent="0.35">
      <c r="E16444" s="35"/>
      <c r="J16444" s="41"/>
    </row>
    <row r="16445" spans="5:10" s="34" customFormat="1" x14ac:dyDescent="0.35">
      <c r="E16445" s="35"/>
      <c r="J16445" s="41"/>
    </row>
    <row r="16446" spans="5:10" s="34" customFormat="1" x14ac:dyDescent="0.35">
      <c r="E16446" s="35"/>
      <c r="J16446" s="41"/>
    </row>
    <row r="16447" spans="5:10" s="34" customFormat="1" x14ac:dyDescent="0.35">
      <c r="E16447" s="35"/>
      <c r="J16447" s="41"/>
    </row>
    <row r="16448" spans="5:10" s="34" customFormat="1" x14ac:dyDescent="0.35">
      <c r="E16448" s="35"/>
      <c r="J16448" s="41"/>
    </row>
    <row r="16449" spans="5:10" s="34" customFormat="1" x14ac:dyDescent="0.35">
      <c r="E16449" s="35"/>
      <c r="J16449" s="41"/>
    </row>
    <row r="16450" spans="5:10" s="34" customFormat="1" x14ac:dyDescent="0.35">
      <c r="E16450" s="35"/>
      <c r="J16450" s="41"/>
    </row>
    <row r="16451" spans="5:10" s="34" customFormat="1" x14ac:dyDescent="0.35">
      <c r="E16451" s="35"/>
      <c r="J16451" s="41"/>
    </row>
    <row r="16452" spans="5:10" s="34" customFormat="1" x14ac:dyDescent="0.35">
      <c r="E16452" s="35"/>
      <c r="J16452" s="41"/>
    </row>
    <row r="16453" spans="5:10" s="34" customFormat="1" x14ac:dyDescent="0.35">
      <c r="E16453" s="35"/>
      <c r="J16453" s="41"/>
    </row>
    <row r="16454" spans="5:10" s="34" customFormat="1" x14ac:dyDescent="0.35">
      <c r="E16454" s="35"/>
      <c r="J16454" s="41"/>
    </row>
    <row r="16455" spans="5:10" s="34" customFormat="1" x14ac:dyDescent="0.35">
      <c r="E16455" s="35"/>
      <c r="J16455" s="41"/>
    </row>
    <row r="16456" spans="5:10" s="34" customFormat="1" x14ac:dyDescent="0.35">
      <c r="E16456" s="35"/>
      <c r="J16456" s="41"/>
    </row>
    <row r="16457" spans="5:10" s="34" customFormat="1" x14ac:dyDescent="0.35">
      <c r="E16457" s="35"/>
      <c r="J16457" s="41"/>
    </row>
    <row r="16458" spans="5:10" s="34" customFormat="1" x14ac:dyDescent="0.35">
      <c r="E16458" s="35"/>
      <c r="J16458" s="41"/>
    </row>
    <row r="16459" spans="5:10" s="34" customFormat="1" x14ac:dyDescent="0.35">
      <c r="E16459" s="35"/>
      <c r="J16459" s="41"/>
    </row>
    <row r="16460" spans="5:10" s="34" customFormat="1" x14ac:dyDescent="0.35">
      <c r="E16460" s="35"/>
      <c r="J16460" s="41"/>
    </row>
    <row r="16461" spans="5:10" s="34" customFormat="1" x14ac:dyDescent="0.35">
      <c r="E16461" s="35"/>
      <c r="J16461" s="41"/>
    </row>
    <row r="16462" spans="5:10" s="34" customFormat="1" x14ac:dyDescent="0.35">
      <c r="E16462" s="35"/>
      <c r="J16462" s="41"/>
    </row>
    <row r="16463" spans="5:10" s="34" customFormat="1" x14ac:dyDescent="0.35">
      <c r="E16463" s="35"/>
      <c r="J16463" s="41"/>
    </row>
    <row r="16464" spans="5:10" s="34" customFormat="1" x14ac:dyDescent="0.35">
      <c r="E16464" s="35"/>
      <c r="J16464" s="41"/>
    </row>
    <row r="16465" spans="5:10" s="34" customFormat="1" x14ac:dyDescent="0.35">
      <c r="E16465" s="35"/>
      <c r="J16465" s="41"/>
    </row>
    <row r="16466" spans="5:10" s="34" customFormat="1" x14ac:dyDescent="0.35">
      <c r="E16466" s="35"/>
      <c r="J16466" s="41"/>
    </row>
    <row r="16467" spans="5:10" s="34" customFormat="1" x14ac:dyDescent="0.35">
      <c r="E16467" s="35"/>
      <c r="J16467" s="41"/>
    </row>
    <row r="16468" spans="5:10" s="34" customFormat="1" x14ac:dyDescent="0.35">
      <c r="E16468" s="35"/>
      <c r="J16468" s="41"/>
    </row>
    <row r="16469" spans="5:10" s="34" customFormat="1" x14ac:dyDescent="0.35">
      <c r="E16469" s="35"/>
      <c r="J16469" s="41"/>
    </row>
    <row r="16470" spans="5:10" s="34" customFormat="1" x14ac:dyDescent="0.35">
      <c r="E16470" s="35"/>
      <c r="J16470" s="41"/>
    </row>
    <row r="16471" spans="5:10" s="34" customFormat="1" x14ac:dyDescent="0.35">
      <c r="E16471" s="35"/>
      <c r="J16471" s="41"/>
    </row>
    <row r="16472" spans="5:10" s="34" customFormat="1" x14ac:dyDescent="0.35">
      <c r="E16472" s="35"/>
      <c r="J16472" s="41"/>
    </row>
    <row r="16473" spans="5:10" s="34" customFormat="1" x14ac:dyDescent="0.35">
      <c r="E16473" s="35"/>
      <c r="J16473" s="41"/>
    </row>
    <row r="16474" spans="5:10" s="34" customFormat="1" x14ac:dyDescent="0.35">
      <c r="E16474" s="35"/>
      <c r="J16474" s="41"/>
    </row>
    <row r="16475" spans="5:10" s="34" customFormat="1" x14ac:dyDescent="0.35">
      <c r="E16475" s="35"/>
      <c r="J16475" s="41"/>
    </row>
    <row r="16476" spans="5:10" s="34" customFormat="1" x14ac:dyDescent="0.35">
      <c r="E16476" s="35"/>
      <c r="J16476" s="41"/>
    </row>
    <row r="16477" spans="5:10" s="34" customFormat="1" x14ac:dyDescent="0.35">
      <c r="E16477" s="35"/>
      <c r="J16477" s="41"/>
    </row>
    <row r="16478" spans="5:10" s="34" customFormat="1" x14ac:dyDescent="0.35">
      <c r="E16478" s="35"/>
      <c r="J16478" s="41"/>
    </row>
    <row r="16479" spans="5:10" s="34" customFormat="1" x14ac:dyDescent="0.35">
      <c r="E16479" s="35"/>
      <c r="J16479" s="41"/>
    </row>
    <row r="16480" spans="5:10" s="34" customFormat="1" x14ac:dyDescent="0.35">
      <c r="E16480" s="35"/>
      <c r="J16480" s="41"/>
    </row>
    <row r="16481" spans="5:10" s="34" customFormat="1" x14ac:dyDescent="0.35">
      <c r="E16481" s="35"/>
      <c r="J16481" s="41"/>
    </row>
    <row r="16482" spans="5:10" s="34" customFormat="1" x14ac:dyDescent="0.35">
      <c r="E16482" s="35"/>
      <c r="J16482" s="41"/>
    </row>
    <row r="16483" spans="5:10" s="34" customFormat="1" x14ac:dyDescent="0.35">
      <c r="E16483" s="35"/>
      <c r="J16483" s="41"/>
    </row>
    <row r="16484" spans="5:10" s="34" customFormat="1" x14ac:dyDescent="0.35">
      <c r="E16484" s="35"/>
      <c r="J16484" s="41"/>
    </row>
    <row r="16485" spans="5:10" s="34" customFormat="1" x14ac:dyDescent="0.35">
      <c r="E16485" s="35"/>
      <c r="J16485" s="41"/>
    </row>
    <row r="16486" spans="5:10" s="34" customFormat="1" x14ac:dyDescent="0.35">
      <c r="E16486" s="35"/>
      <c r="J16486" s="41"/>
    </row>
    <row r="16487" spans="5:10" s="34" customFormat="1" x14ac:dyDescent="0.35">
      <c r="E16487" s="35"/>
      <c r="J16487" s="41"/>
    </row>
    <row r="16488" spans="5:10" s="34" customFormat="1" x14ac:dyDescent="0.35">
      <c r="E16488" s="35"/>
      <c r="J16488" s="41"/>
    </row>
    <row r="16489" spans="5:10" s="34" customFormat="1" x14ac:dyDescent="0.35">
      <c r="E16489" s="35"/>
      <c r="J16489" s="41"/>
    </row>
    <row r="16490" spans="5:10" s="34" customFormat="1" x14ac:dyDescent="0.35">
      <c r="E16490" s="35"/>
      <c r="J16490" s="41"/>
    </row>
    <row r="16491" spans="5:10" s="34" customFormat="1" x14ac:dyDescent="0.35">
      <c r="E16491" s="35"/>
      <c r="J16491" s="41"/>
    </row>
    <row r="16492" spans="5:10" s="34" customFormat="1" x14ac:dyDescent="0.35">
      <c r="E16492" s="35"/>
      <c r="J16492" s="41"/>
    </row>
    <row r="16493" spans="5:10" s="34" customFormat="1" x14ac:dyDescent="0.35">
      <c r="E16493" s="35"/>
      <c r="J16493" s="41"/>
    </row>
    <row r="16494" spans="5:10" s="34" customFormat="1" x14ac:dyDescent="0.35">
      <c r="E16494" s="35"/>
      <c r="J16494" s="41"/>
    </row>
    <row r="16495" spans="5:10" s="34" customFormat="1" x14ac:dyDescent="0.35">
      <c r="E16495" s="35"/>
      <c r="J16495" s="41"/>
    </row>
    <row r="16496" spans="5:10" s="34" customFormat="1" x14ac:dyDescent="0.35">
      <c r="E16496" s="35"/>
      <c r="J16496" s="41"/>
    </row>
    <row r="16497" spans="5:10" s="34" customFormat="1" x14ac:dyDescent="0.35">
      <c r="E16497" s="35"/>
      <c r="J16497" s="41"/>
    </row>
    <row r="16498" spans="5:10" s="34" customFormat="1" x14ac:dyDescent="0.35">
      <c r="E16498" s="35"/>
      <c r="J16498" s="41"/>
    </row>
    <row r="16499" spans="5:10" s="34" customFormat="1" x14ac:dyDescent="0.35">
      <c r="E16499" s="35"/>
      <c r="J16499" s="41"/>
    </row>
    <row r="16500" spans="5:10" s="34" customFormat="1" x14ac:dyDescent="0.35">
      <c r="E16500" s="35"/>
      <c r="J16500" s="41"/>
    </row>
    <row r="16501" spans="5:10" s="34" customFormat="1" x14ac:dyDescent="0.35">
      <c r="E16501" s="35"/>
      <c r="J16501" s="41"/>
    </row>
    <row r="16502" spans="5:10" s="34" customFormat="1" x14ac:dyDescent="0.35">
      <c r="E16502" s="35"/>
      <c r="J16502" s="41"/>
    </row>
    <row r="16503" spans="5:10" s="34" customFormat="1" x14ac:dyDescent="0.35">
      <c r="E16503" s="35"/>
      <c r="J16503" s="41"/>
    </row>
    <row r="16504" spans="5:10" s="34" customFormat="1" x14ac:dyDescent="0.35">
      <c r="E16504" s="35"/>
      <c r="J16504" s="41"/>
    </row>
    <row r="16505" spans="5:10" s="34" customFormat="1" x14ac:dyDescent="0.35">
      <c r="E16505" s="35"/>
      <c r="J16505" s="41"/>
    </row>
    <row r="16506" spans="5:10" s="34" customFormat="1" x14ac:dyDescent="0.35">
      <c r="E16506" s="35"/>
      <c r="J16506" s="41"/>
    </row>
    <row r="16507" spans="5:10" s="34" customFormat="1" x14ac:dyDescent="0.35">
      <c r="E16507" s="35"/>
      <c r="J16507" s="41"/>
    </row>
    <row r="16508" spans="5:10" s="34" customFormat="1" x14ac:dyDescent="0.35">
      <c r="E16508" s="35"/>
      <c r="J16508" s="41"/>
    </row>
    <row r="16509" spans="5:10" s="34" customFormat="1" x14ac:dyDescent="0.35">
      <c r="E16509" s="35"/>
      <c r="J16509" s="41"/>
    </row>
    <row r="16510" spans="5:10" s="34" customFormat="1" x14ac:dyDescent="0.35">
      <c r="E16510" s="35"/>
      <c r="J16510" s="41"/>
    </row>
    <row r="16511" spans="5:10" s="34" customFormat="1" x14ac:dyDescent="0.35">
      <c r="E16511" s="35"/>
      <c r="J16511" s="41"/>
    </row>
    <row r="16512" spans="5:10" s="34" customFormat="1" x14ac:dyDescent="0.35">
      <c r="E16512" s="35"/>
      <c r="J16512" s="41"/>
    </row>
    <row r="16513" spans="5:10" s="34" customFormat="1" x14ac:dyDescent="0.35">
      <c r="E16513" s="35"/>
      <c r="J16513" s="41"/>
    </row>
    <row r="16514" spans="5:10" s="34" customFormat="1" x14ac:dyDescent="0.35">
      <c r="E16514" s="35"/>
      <c r="J16514" s="41"/>
    </row>
    <row r="16515" spans="5:10" s="34" customFormat="1" x14ac:dyDescent="0.35">
      <c r="E16515" s="35"/>
      <c r="J16515" s="41"/>
    </row>
    <row r="16516" spans="5:10" s="34" customFormat="1" x14ac:dyDescent="0.35">
      <c r="E16516" s="35"/>
      <c r="J16516" s="41"/>
    </row>
    <row r="16517" spans="5:10" s="34" customFormat="1" x14ac:dyDescent="0.35">
      <c r="E16517" s="35"/>
      <c r="J16517" s="41"/>
    </row>
    <row r="16518" spans="5:10" s="34" customFormat="1" x14ac:dyDescent="0.35">
      <c r="E16518" s="35"/>
      <c r="J16518" s="41"/>
    </row>
    <row r="16519" spans="5:10" s="34" customFormat="1" x14ac:dyDescent="0.35">
      <c r="E16519" s="35"/>
      <c r="J16519" s="41"/>
    </row>
    <row r="16520" spans="5:10" s="34" customFormat="1" x14ac:dyDescent="0.35">
      <c r="E16520" s="35"/>
      <c r="J16520" s="41"/>
    </row>
    <row r="16521" spans="5:10" s="34" customFormat="1" x14ac:dyDescent="0.35">
      <c r="E16521" s="35"/>
      <c r="J16521" s="41"/>
    </row>
    <row r="16522" spans="5:10" s="34" customFormat="1" x14ac:dyDescent="0.35">
      <c r="E16522" s="35"/>
      <c r="J16522" s="41"/>
    </row>
    <row r="16523" spans="5:10" s="34" customFormat="1" x14ac:dyDescent="0.35">
      <c r="E16523" s="35"/>
      <c r="J16523" s="41"/>
    </row>
    <row r="16524" spans="5:10" s="34" customFormat="1" x14ac:dyDescent="0.35">
      <c r="E16524" s="35"/>
      <c r="J16524" s="41"/>
    </row>
    <row r="16525" spans="5:10" s="34" customFormat="1" x14ac:dyDescent="0.35">
      <c r="E16525" s="35"/>
      <c r="J16525" s="41"/>
    </row>
    <row r="16526" spans="5:10" s="34" customFormat="1" x14ac:dyDescent="0.35">
      <c r="E16526" s="35"/>
      <c r="J16526" s="41"/>
    </row>
    <row r="16527" spans="5:10" s="34" customFormat="1" x14ac:dyDescent="0.35">
      <c r="E16527" s="35"/>
      <c r="J16527" s="41"/>
    </row>
    <row r="16528" spans="5:10" s="34" customFormat="1" x14ac:dyDescent="0.35">
      <c r="E16528" s="35"/>
      <c r="J16528" s="41"/>
    </row>
    <row r="16529" spans="5:10" s="34" customFormat="1" x14ac:dyDescent="0.35">
      <c r="E16529" s="35"/>
      <c r="J16529" s="41"/>
    </row>
    <row r="16530" spans="5:10" s="34" customFormat="1" x14ac:dyDescent="0.35">
      <c r="E16530" s="35"/>
      <c r="J16530" s="41"/>
    </row>
    <row r="16531" spans="5:10" s="34" customFormat="1" x14ac:dyDescent="0.35">
      <c r="E16531" s="35"/>
      <c r="J16531" s="41"/>
    </row>
    <row r="16532" spans="5:10" s="34" customFormat="1" x14ac:dyDescent="0.35">
      <c r="E16532" s="35"/>
      <c r="J16532" s="41"/>
    </row>
    <row r="16533" spans="5:10" s="34" customFormat="1" x14ac:dyDescent="0.35">
      <c r="E16533" s="35"/>
      <c r="J16533" s="41"/>
    </row>
    <row r="16534" spans="5:10" s="34" customFormat="1" x14ac:dyDescent="0.35">
      <c r="E16534" s="35"/>
      <c r="J16534" s="41"/>
    </row>
    <row r="16535" spans="5:10" s="34" customFormat="1" x14ac:dyDescent="0.35">
      <c r="E16535" s="35"/>
      <c r="J16535" s="41"/>
    </row>
    <row r="16536" spans="5:10" s="34" customFormat="1" x14ac:dyDescent="0.35">
      <c r="E16536" s="35"/>
      <c r="J16536" s="41"/>
    </row>
    <row r="16537" spans="5:10" s="34" customFormat="1" x14ac:dyDescent="0.35">
      <c r="E16537" s="35"/>
      <c r="J16537" s="41"/>
    </row>
    <row r="16538" spans="5:10" s="34" customFormat="1" x14ac:dyDescent="0.35">
      <c r="E16538" s="35"/>
      <c r="J16538" s="41"/>
    </row>
    <row r="16539" spans="5:10" s="34" customFormat="1" x14ac:dyDescent="0.35">
      <c r="E16539" s="35"/>
      <c r="J16539" s="41"/>
    </row>
    <row r="16540" spans="5:10" s="34" customFormat="1" x14ac:dyDescent="0.35">
      <c r="E16540" s="35"/>
      <c r="J16540" s="41"/>
    </row>
    <row r="16541" spans="5:10" s="34" customFormat="1" x14ac:dyDescent="0.35">
      <c r="E16541" s="35"/>
      <c r="J16541" s="41"/>
    </row>
    <row r="16542" spans="5:10" s="34" customFormat="1" x14ac:dyDescent="0.35">
      <c r="E16542" s="35"/>
      <c r="J16542" s="41"/>
    </row>
    <row r="16543" spans="5:10" s="34" customFormat="1" x14ac:dyDescent="0.35">
      <c r="E16543" s="35"/>
      <c r="J16543" s="41"/>
    </row>
    <row r="16544" spans="5:10" s="34" customFormat="1" x14ac:dyDescent="0.35">
      <c r="E16544" s="35"/>
      <c r="J16544" s="41"/>
    </row>
    <row r="16545" spans="5:10" s="34" customFormat="1" x14ac:dyDescent="0.35">
      <c r="E16545" s="35"/>
      <c r="J16545" s="41"/>
    </row>
    <row r="16546" spans="5:10" s="34" customFormat="1" x14ac:dyDescent="0.35">
      <c r="E16546" s="35"/>
      <c r="J16546" s="41"/>
    </row>
    <row r="16547" spans="5:10" s="34" customFormat="1" x14ac:dyDescent="0.35">
      <c r="E16547" s="35"/>
      <c r="J16547" s="41"/>
    </row>
    <row r="16548" spans="5:10" s="34" customFormat="1" x14ac:dyDescent="0.35">
      <c r="E16548" s="35"/>
      <c r="J16548" s="41"/>
    </row>
    <row r="16549" spans="5:10" s="34" customFormat="1" x14ac:dyDescent="0.35">
      <c r="E16549" s="35"/>
      <c r="J16549" s="41"/>
    </row>
    <row r="16550" spans="5:10" s="34" customFormat="1" x14ac:dyDescent="0.35">
      <c r="E16550" s="35"/>
      <c r="J16550" s="41"/>
    </row>
    <row r="16551" spans="5:10" s="34" customFormat="1" x14ac:dyDescent="0.35">
      <c r="E16551" s="35"/>
      <c r="J16551" s="41"/>
    </row>
    <row r="16552" spans="5:10" s="34" customFormat="1" x14ac:dyDescent="0.35">
      <c r="E16552" s="35"/>
      <c r="J16552" s="41"/>
    </row>
    <row r="16553" spans="5:10" s="34" customFormat="1" x14ac:dyDescent="0.35">
      <c r="E16553" s="35"/>
      <c r="J16553" s="41"/>
    </row>
    <row r="16554" spans="5:10" s="34" customFormat="1" x14ac:dyDescent="0.35">
      <c r="E16554" s="35"/>
      <c r="J16554" s="41"/>
    </row>
    <row r="16555" spans="5:10" s="34" customFormat="1" x14ac:dyDescent="0.35">
      <c r="E16555" s="35"/>
      <c r="J16555" s="41"/>
    </row>
    <row r="16556" spans="5:10" s="34" customFormat="1" x14ac:dyDescent="0.35">
      <c r="E16556" s="35"/>
      <c r="J16556" s="41"/>
    </row>
    <row r="16557" spans="5:10" s="34" customFormat="1" x14ac:dyDescent="0.35">
      <c r="E16557" s="35"/>
      <c r="J16557" s="41"/>
    </row>
    <row r="16558" spans="5:10" s="34" customFormat="1" x14ac:dyDescent="0.35">
      <c r="E16558" s="35"/>
      <c r="J16558" s="41"/>
    </row>
    <row r="16559" spans="5:10" s="34" customFormat="1" x14ac:dyDescent="0.35">
      <c r="E16559" s="35"/>
      <c r="J16559" s="41"/>
    </row>
    <row r="16560" spans="5:10" s="34" customFormat="1" x14ac:dyDescent="0.35">
      <c r="E16560" s="35"/>
      <c r="J16560" s="41"/>
    </row>
    <row r="16561" spans="5:10" s="34" customFormat="1" x14ac:dyDescent="0.35">
      <c r="E16561" s="35"/>
      <c r="J16561" s="41"/>
    </row>
    <row r="16562" spans="5:10" s="34" customFormat="1" x14ac:dyDescent="0.35">
      <c r="E16562" s="35"/>
      <c r="J16562" s="41"/>
    </row>
    <row r="16563" spans="5:10" s="34" customFormat="1" x14ac:dyDescent="0.35">
      <c r="E16563" s="35"/>
      <c r="J16563" s="41"/>
    </row>
    <row r="16564" spans="5:10" s="34" customFormat="1" x14ac:dyDescent="0.35">
      <c r="E16564" s="35"/>
      <c r="J16564" s="41"/>
    </row>
    <row r="16565" spans="5:10" s="34" customFormat="1" x14ac:dyDescent="0.35">
      <c r="E16565" s="35"/>
      <c r="J16565" s="41"/>
    </row>
    <row r="16566" spans="5:10" s="34" customFormat="1" x14ac:dyDescent="0.35">
      <c r="E16566" s="35"/>
      <c r="J16566" s="41"/>
    </row>
    <row r="16567" spans="5:10" s="34" customFormat="1" x14ac:dyDescent="0.35">
      <c r="E16567" s="35"/>
      <c r="J16567" s="41"/>
    </row>
    <row r="16568" spans="5:10" s="34" customFormat="1" x14ac:dyDescent="0.35">
      <c r="E16568" s="35"/>
      <c r="J16568" s="41"/>
    </row>
    <row r="16569" spans="5:10" s="34" customFormat="1" x14ac:dyDescent="0.35">
      <c r="E16569" s="35"/>
      <c r="J16569" s="41"/>
    </row>
    <row r="16570" spans="5:10" s="34" customFormat="1" x14ac:dyDescent="0.35">
      <c r="E16570" s="35"/>
      <c r="J16570" s="41"/>
    </row>
    <row r="16571" spans="5:10" s="34" customFormat="1" x14ac:dyDescent="0.35">
      <c r="E16571" s="35"/>
      <c r="J16571" s="41"/>
    </row>
    <row r="16572" spans="5:10" s="34" customFormat="1" x14ac:dyDescent="0.35">
      <c r="E16572" s="35"/>
      <c r="J16572" s="41"/>
    </row>
    <row r="16573" spans="5:10" s="34" customFormat="1" x14ac:dyDescent="0.35">
      <c r="E16573" s="35"/>
      <c r="J16573" s="41"/>
    </row>
    <row r="16574" spans="5:10" s="34" customFormat="1" x14ac:dyDescent="0.35">
      <c r="E16574" s="35"/>
      <c r="J16574" s="41"/>
    </row>
    <row r="16575" spans="5:10" s="34" customFormat="1" x14ac:dyDescent="0.35">
      <c r="E16575" s="35"/>
      <c r="J16575" s="41"/>
    </row>
    <row r="16576" spans="5:10" s="34" customFormat="1" x14ac:dyDescent="0.35">
      <c r="E16576" s="35"/>
      <c r="J16576" s="41"/>
    </row>
    <row r="16577" spans="5:10" s="34" customFormat="1" x14ac:dyDescent="0.35">
      <c r="E16577" s="35"/>
      <c r="J16577" s="41"/>
    </row>
    <row r="16578" spans="5:10" s="34" customFormat="1" x14ac:dyDescent="0.35">
      <c r="E16578" s="35"/>
      <c r="J16578" s="41"/>
    </row>
    <row r="16579" spans="5:10" s="34" customFormat="1" x14ac:dyDescent="0.35">
      <c r="E16579" s="35"/>
      <c r="J16579" s="41"/>
    </row>
    <row r="16580" spans="5:10" s="34" customFormat="1" x14ac:dyDescent="0.35">
      <c r="E16580" s="35"/>
      <c r="J16580" s="41"/>
    </row>
    <row r="16581" spans="5:10" s="34" customFormat="1" x14ac:dyDescent="0.35">
      <c r="E16581" s="35"/>
      <c r="J16581" s="41"/>
    </row>
    <row r="16582" spans="5:10" s="34" customFormat="1" x14ac:dyDescent="0.35">
      <c r="E16582" s="35"/>
      <c r="J16582" s="41"/>
    </row>
    <row r="16583" spans="5:10" s="34" customFormat="1" x14ac:dyDescent="0.35">
      <c r="E16583" s="35"/>
      <c r="J16583" s="41"/>
    </row>
    <row r="16584" spans="5:10" s="34" customFormat="1" x14ac:dyDescent="0.35">
      <c r="E16584" s="35"/>
      <c r="J16584" s="41"/>
    </row>
    <row r="16585" spans="5:10" s="34" customFormat="1" x14ac:dyDescent="0.35">
      <c r="E16585" s="35"/>
      <c r="J16585" s="41"/>
    </row>
    <row r="16586" spans="5:10" s="34" customFormat="1" x14ac:dyDescent="0.35">
      <c r="E16586" s="35"/>
      <c r="J16586" s="41"/>
    </row>
    <row r="16587" spans="5:10" s="34" customFormat="1" x14ac:dyDescent="0.35">
      <c r="E16587" s="35"/>
      <c r="J16587" s="41"/>
    </row>
    <row r="16588" spans="5:10" s="34" customFormat="1" x14ac:dyDescent="0.35">
      <c r="E16588" s="35"/>
      <c r="J16588" s="41"/>
    </row>
    <row r="16589" spans="5:10" s="34" customFormat="1" x14ac:dyDescent="0.35">
      <c r="E16589" s="35"/>
      <c r="J16589" s="41"/>
    </row>
    <row r="16590" spans="5:10" s="34" customFormat="1" x14ac:dyDescent="0.35">
      <c r="E16590" s="35"/>
      <c r="J16590" s="41"/>
    </row>
    <row r="16591" spans="5:10" s="34" customFormat="1" x14ac:dyDescent="0.35">
      <c r="E16591" s="35"/>
      <c r="J16591" s="41"/>
    </row>
    <row r="16592" spans="5:10" s="34" customFormat="1" x14ac:dyDescent="0.35">
      <c r="E16592" s="35"/>
      <c r="J16592" s="41"/>
    </row>
    <row r="16593" spans="5:10" s="34" customFormat="1" x14ac:dyDescent="0.35">
      <c r="E16593" s="35"/>
      <c r="J16593" s="41"/>
    </row>
    <row r="16594" spans="5:10" s="34" customFormat="1" x14ac:dyDescent="0.35">
      <c r="E16594" s="35"/>
      <c r="J16594" s="41"/>
    </row>
    <row r="16595" spans="5:10" s="34" customFormat="1" x14ac:dyDescent="0.35">
      <c r="E16595" s="35"/>
      <c r="J16595" s="41"/>
    </row>
    <row r="16596" spans="5:10" s="34" customFormat="1" x14ac:dyDescent="0.35">
      <c r="E16596" s="35"/>
      <c r="J16596" s="41"/>
    </row>
    <row r="16597" spans="5:10" s="34" customFormat="1" x14ac:dyDescent="0.35">
      <c r="E16597" s="35"/>
      <c r="J16597" s="41"/>
    </row>
    <row r="16598" spans="5:10" s="34" customFormat="1" x14ac:dyDescent="0.35">
      <c r="E16598" s="35"/>
      <c r="J16598" s="41"/>
    </row>
    <row r="16599" spans="5:10" s="34" customFormat="1" x14ac:dyDescent="0.35">
      <c r="E16599" s="35"/>
      <c r="J16599" s="41"/>
    </row>
    <row r="16600" spans="5:10" s="34" customFormat="1" x14ac:dyDescent="0.35">
      <c r="E16600" s="35"/>
      <c r="J16600" s="41"/>
    </row>
    <row r="16601" spans="5:10" s="34" customFormat="1" x14ac:dyDescent="0.35">
      <c r="E16601" s="35"/>
      <c r="J16601" s="41"/>
    </row>
    <row r="16602" spans="5:10" s="34" customFormat="1" x14ac:dyDescent="0.35">
      <c r="E16602" s="35"/>
      <c r="J16602" s="41"/>
    </row>
    <row r="16603" spans="5:10" s="34" customFormat="1" x14ac:dyDescent="0.35">
      <c r="E16603" s="35"/>
      <c r="J16603" s="41"/>
    </row>
    <row r="16604" spans="5:10" s="34" customFormat="1" x14ac:dyDescent="0.35">
      <c r="E16604" s="35"/>
      <c r="J16604" s="41"/>
    </row>
    <row r="16605" spans="5:10" s="34" customFormat="1" x14ac:dyDescent="0.35">
      <c r="E16605" s="35"/>
      <c r="J16605" s="41"/>
    </row>
    <row r="16606" spans="5:10" s="34" customFormat="1" x14ac:dyDescent="0.35">
      <c r="E16606" s="35"/>
      <c r="J16606" s="41"/>
    </row>
    <row r="16607" spans="5:10" s="34" customFormat="1" x14ac:dyDescent="0.35">
      <c r="E16607" s="35"/>
      <c r="J16607" s="41"/>
    </row>
    <row r="16608" spans="5:10" s="34" customFormat="1" x14ac:dyDescent="0.35">
      <c r="E16608" s="35"/>
      <c r="J16608" s="41"/>
    </row>
    <row r="16609" spans="5:10" s="34" customFormat="1" x14ac:dyDescent="0.35">
      <c r="E16609" s="35"/>
      <c r="J16609" s="41"/>
    </row>
    <row r="16610" spans="5:10" s="34" customFormat="1" x14ac:dyDescent="0.35">
      <c r="E16610" s="35"/>
      <c r="J16610" s="41"/>
    </row>
    <row r="16611" spans="5:10" s="34" customFormat="1" x14ac:dyDescent="0.35">
      <c r="E16611" s="35"/>
      <c r="J16611" s="41"/>
    </row>
    <row r="16612" spans="5:10" s="34" customFormat="1" x14ac:dyDescent="0.35">
      <c r="E16612" s="35"/>
      <c r="J16612" s="41"/>
    </row>
    <row r="16613" spans="5:10" s="34" customFormat="1" x14ac:dyDescent="0.35">
      <c r="E16613" s="35"/>
      <c r="J16613" s="41"/>
    </row>
    <row r="16614" spans="5:10" s="34" customFormat="1" x14ac:dyDescent="0.35">
      <c r="E16614" s="35"/>
      <c r="J16614" s="41"/>
    </row>
    <row r="16615" spans="5:10" s="34" customFormat="1" x14ac:dyDescent="0.35">
      <c r="E16615" s="35"/>
      <c r="J16615" s="41"/>
    </row>
    <row r="16616" spans="5:10" s="34" customFormat="1" x14ac:dyDescent="0.35">
      <c r="E16616" s="35"/>
      <c r="J16616" s="41"/>
    </row>
    <row r="16617" spans="5:10" s="34" customFormat="1" x14ac:dyDescent="0.35">
      <c r="E16617" s="35"/>
      <c r="J16617" s="41"/>
    </row>
    <row r="16618" spans="5:10" s="34" customFormat="1" x14ac:dyDescent="0.35">
      <c r="E16618" s="35"/>
      <c r="J16618" s="41"/>
    </row>
    <row r="16619" spans="5:10" s="34" customFormat="1" x14ac:dyDescent="0.35">
      <c r="E16619" s="35"/>
      <c r="J16619" s="41"/>
    </row>
    <row r="16620" spans="5:10" s="34" customFormat="1" x14ac:dyDescent="0.35">
      <c r="E16620" s="35"/>
      <c r="J16620" s="41"/>
    </row>
    <row r="16621" spans="5:10" s="34" customFormat="1" x14ac:dyDescent="0.35">
      <c r="E16621" s="35"/>
      <c r="J16621" s="41"/>
    </row>
    <row r="16622" spans="5:10" s="34" customFormat="1" x14ac:dyDescent="0.35">
      <c r="E16622" s="35"/>
      <c r="J16622" s="41"/>
    </row>
    <row r="16623" spans="5:10" s="34" customFormat="1" x14ac:dyDescent="0.35">
      <c r="E16623" s="35"/>
      <c r="J16623" s="41"/>
    </row>
    <row r="16624" spans="5:10" s="34" customFormat="1" x14ac:dyDescent="0.35">
      <c r="E16624" s="35"/>
      <c r="J16624" s="41"/>
    </row>
    <row r="16625" spans="5:10" s="34" customFormat="1" x14ac:dyDescent="0.35">
      <c r="E16625" s="35"/>
      <c r="J16625" s="41"/>
    </row>
    <row r="16626" spans="5:10" s="34" customFormat="1" x14ac:dyDescent="0.35">
      <c r="E16626" s="35"/>
      <c r="J16626" s="41"/>
    </row>
    <row r="16627" spans="5:10" s="34" customFormat="1" x14ac:dyDescent="0.35">
      <c r="E16627" s="35"/>
      <c r="J16627" s="41"/>
    </row>
    <row r="16628" spans="5:10" s="34" customFormat="1" x14ac:dyDescent="0.35">
      <c r="E16628" s="35"/>
      <c r="J16628" s="41"/>
    </row>
    <row r="16629" spans="5:10" s="34" customFormat="1" x14ac:dyDescent="0.35">
      <c r="E16629" s="35"/>
      <c r="J16629" s="41"/>
    </row>
    <row r="16630" spans="5:10" s="34" customFormat="1" x14ac:dyDescent="0.35">
      <c r="E16630" s="35"/>
      <c r="J16630" s="41"/>
    </row>
    <row r="16631" spans="5:10" s="34" customFormat="1" x14ac:dyDescent="0.35">
      <c r="E16631" s="35"/>
      <c r="J16631" s="41"/>
    </row>
    <row r="16632" spans="5:10" s="34" customFormat="1" x14ac:dyDescent="0.35">
      <c r="E16632" s="35"/>
      <c r="J16632" s="41"/>
    </row>
    <row r="16633" spans="5:10" s="34" customFormat="1" x14ac:dyDescent="0.35">
      <c r="E16633" s="35"/>
      <c r="J16633" s="41"/>
    </row>
    <row r="16634" spans="5:10" s="34" customFormat="1" x14ac:dyDescent="0.35">
      <c r="E16634" s="35"/>
      <c r="J16634" s="41"/>
    </row>
    <row r="16635" spans="5:10" s="34" customFormat="1" x14ac:dyDescent="0.35">
      <c r="E16635" s="35"/>
      <c r="J16635" s="41"/>
    </row>
    <row r="16636" spans="5:10" s="34" customFormat="1" x14ac:dyDescent="0.35">
      <c r="E16636" s="35"/>
      <c r="J16636" s="41"/>
    </row>
    <row r="16637" spans="5:10" s="34" customFormat="1" x14ac:dyDescent="0.35">
      <c r="E16637" s="35"/>
      <c r="J16637" s="41"/>
    </row>
    <row r="16638" spans="5:10" s="34" customFormat="1" x14ac:dyDescent="0.35">
      <c r="E16638" s="35"/>
      <c r="J16638" s="41"/>
    </row>
    <row r="16639" spans="5:10" s="34" customFormat="1" x14ac:dyDescent="0.35">
      <c r="E16639" s="35"/>
      <c r="J16639" s="41"/>
    </row>
    <row r="16640" spans="5:10" s="34" customFormat="1" x14ac:dyDescent="0.35">
      <c r="E16640" s="35"/>
      <c r="J16640" s="41"/>
    </row>
    <row r="16641" spans="5:10" s="34" customFormat="1" x14ac:dyDescent="0.35">
      <c r="E16641" s="35"/>
      <c r="J16641" s="41"/>
    </row>
    <row r="16642" spans="5:10" s="34" customFormat="1" x14ac:dyDescent="0.35">
      <c r="E16642" s="35"/>
      <c r="J16642" s="41"/>
    </row>
    <row r="16643" spans="5:10" s="34" customFormat="1" x14ac:dyDescent="0.35">
      <c r="E16643" s="35"/>
      <c r="J16643" s="41"/>
    </row>
    <row r="16644" spans="5:10" s="34" customFormat="1" x14ac:dyDescent="0.35">
      <c r="E16644" s="35"/>
      <c r="J16644" s="41"/>
    </row>
    <row r="16645" spans="5:10" s="34" customFormat="1" x14ac:dyDescent="0.35">
      <c r="E16645" s="35"/>
      <c r="J16645" s="41"/>
    </row>
    <row r="16646" spans="5:10" s="34" customFormat="1" x14ac:dyDescent="0.35">
      <c r="E16646" s="35"/>
      <c r="J16646" s="41"/>
    </row>
    <row r="16647" spans="5:10" s="34" customFormat="1" x14ac:dyDescent="0.35">
      <c r="E16647" s="35"/>
      <c r="J16647" s="41"/>
    </row>
    <row r="16648" spans="5:10" s="34" customFormat="1" x14ac:dyDescent="0.35">
      <c r="E16648" s="35"/>
      <c r="J16648" s="41"/>
    </row>
    <row r="16649" spans="5:10" s="34" customFormat="1" x14ac:dyDescent="0.35">
      <c r="E16649" s="35"/>
      <c r="J16649" s="41"/>
    </row>
    <row r="16650" spans="5:10" s="34" customFormat="1" x14ac:dyDescent="0.35">
      <c r="E16650" s="35"/>
      <c r="J16650" s="41"/>
    </row>
    <row r="16651" spans="5:10" s="34" customFormat="1" x14ac:dyDescent="0.35">
      <c r="E16651" s="35"/>
      <c r="J16651" s="41"/>
    </row>
    <row r="16652" spans="5:10" s="34" customFormat="1" x14ac:dyDescent="0.35">
      <c r="E16652" s="35"/>
      <c r="J16652" s="41"/>
    </row>
    <row r="16653" spans="5:10" s="34" customFormat="1" x14ac:dyDescent="0.35">
      <c r="E16653" s="35"/>
      <c r="J16653" s="41"/>
    </row>
    <row r="16654" spans="5:10" s="34" customFormat="1" x14ac:dyDescent="0.35">
      <c r="E16654" s="35"/>
      <c r="J16654" s="41"/>
    </row>
    <row r="16655" spans="5:10" s="34" customFormat="1" x14ac:dyDescent="0.35">
      <c r="E16655" s="35"/>
      <c r="J16655" s="41"/>
    </row>
    <row r="16656" spans="5:10" s="34" customFormat="1" x14ac:dyDescent="0.35">
      <c r="E16656" s="35"/>
      <c r="J16656" s="41"/>
    </row>
    <row r="16657" spans="5:10" s="34" customFormat="1" x14ac:dyDescent="0.35">
      <c r="E16657" s="35"/>
      <c r="J16657" s="41"/>
    </row>
    <row r="16658" spans="5:10" s="34" customFormat="1" x14ac:dyDescent="0.35">
      <c r="E16658" s="35"/>
      <c r="J16658" s="41"/>
    </row>
    <row r="16659" spans="5:10" s="34" customFormat="1" x14ac:dyDescent="0.35">
      <c r="E16659" s="35"/>
      <c r="J16659" s="41"/>
    </row>
    <row r="16660" spans="5:10" s="34" customFormat="1" x14ac:dyDescent="0.35">
      <c r="E16660" s="35"/>
      <c r="J16660" s="41"/>
    </row>
    <row r="16661" spans="5:10" s="34" customFormat="1" x14ac:dyDescent="0.35">
      <c r="E16661" s="35"/>
      <c r="J16661" s="41"/>
    </row>
    <row r="16662" spans="5:10" s="34" customFormat="1" x14ac:dyDescent="0.35">
      <c r="E16662" s="35"/>
      <c r="J16662" s="41"/>
    </row>
    <row r="16663" spans="5:10" s="34" customFormat="1" x14ac:dyDescent="0.35">
      <c r="E16663" s="35"/>
      <c r="J16663" s="41"/>
    </row>
    <row r="16664" spans="5:10" s="34" customFormat="1" x14ac:dyDescent="0.35">
      <c r="E16664" s="35"/>
      <c r="J16664" s="41"/>
    </row>
    <row r="16665" spans="5:10" s="34" customFormat="1" x14ac:dyDescent="0.35">
      <c r="E16665" s="35"/>
      <c r="J16665" s="41"/>
    </row>
    <row r="16666" spans="5:10" s="34" customFormat="1" x14ac:dyDescent="0.35">
      <c r="E16666" s="35"/>
      <c r="J16666" s="41"/>
    </row>
    <row r="16667" spans="5:10" s="34" customFormat="1" x14ac:dyDescent="0.35">
      <c r="E16667" s="35"/>
      <c r="J16667" s="41"/>
    </row>
    <row r="16668" spans="5:10" s="34" customFormat="1" x14ac:dyDescent="0.35">
      <c r="E16668" s="35"/>
      <c r="J16668" s="41"/>
    </row>
    <row r="16669" spans="5:10" s="34" customFormat="1" x14ac:dyDescent="0.35">
      <c r="E16669" s="35"/>
      <c r="J16669" s="41"/>
    </row>
    <row r="16670" spans="5:10" s="34" customFormat="1" x14ac:dyDescent="0.35">
      <c r="E16670" s="35"/>
      <c r="J16670" s="41"/>
    </row>
    <row r="16671" spans="5:10" s="34" customFormat="1" x14ac:dyDescent="0.35">
      <c r="E16671" s="35"/>
      <c r="J16671" s="41"/>
    </row>
    <row r="16672" spans="5:10" s="34" customFormat="1" x14ac:dyDescent="0.35">
      <c r="E16672" s="35"/>
      <c r="J16672" s="41"/>
    </row>
    <row r="16673" spans="5:10" s="34" customFormat="1" x14ac:dyDescent="0.35">
      <c r="E16673" s="35"/>
      <c r="J16673" s="41"/>
    </row>
    <row r="16674" spans="5:10" s="34" customFormat="1" x14ac:dyDescent="0.35">
      <c r="E16674" s="35"/>
      <c r="J16674" s="41"/>
    </row>
    <row r="16675" spans="5:10" s="34" customFormat="1" x14ac:dyDescent="0.35">
      <c r="E16675" s="35"/>
      <c r="J16675" s="41"/>
    </row>
    <row r="16676" spans="5:10" s="34" customFormat="1" x14ac:dyDescent="0.35">
      <c r="E16676" s="35"/>
      <c r="J16676" s="41"/>
    </row>
    <row r="16677" spans="5:10" s="34" customFormat="1" x14ac:dyDescent="0.35">
      <c r="E16677" s="35"/>
      <c r="J16677" s="41"/>
    </row>
    <row r="16678" spans="5:10" s="34" customFormat="1" x14ac:dyDescent="0.35">
      <c r="E16678" s="35"/>
      <c r="J16678" s="41"/>
    </row>
    <row r="16679" spans="5:10" s="34" customFormat="1" x14ac:dyDescent="0.35">
      <c r="E16679" s="35"/>
      <c r="J16679" s="41"/>
    </row>
    <row r="16680" spans="5:10" s="34" customFormat="1" x14ac:dyDescent="0.35">
      <c r="E16680" s="35"/>
      <c r="J16680" s="41"/>
    </row>
    <row r="16681" spans="5:10" s="34" customFormat="1" x14ac:dyDescent="0.35">
      <c r="E16681" s="35"/>
      <c r="J16681" s="41"/>
    </row>
    <row r="16682" spans="5:10" s="34" customFormat="1" x14ac:dyDescent="0.35">
      <c r="E16682" s="35"/>
      <c r="J16682" s="41"/>
    </row>
    <row r="16683" spans="5:10" s="34" customFormat="1" x14ac:dyDescent="0.35">
      <c r="E16683" s="35"/>
      <c r="J16683" s="41"/>
    </row>
    <row r="16684" spans="5:10" s="34" customFormat="1" x14ac:dyDescent="0.35">
      <c r="E16684" s="35"/>
      <c r="J16684" s="41"/>
    </row>
    <row r="16685" spans="5:10" s="34" customFormat="1" x14ac:dyDescent="0.35">
      <c r="E16685" s="35"/>
      <c r="J16685" s="41"/>
    </row>
    <row r="16686" spans="5:10" s="34" customFormat="1" x14ac:dyDescent="0.35">
      <c r="E16686" s="35"/>
      <c r="J16686" s="41"/>
    </row>
    <row r="16687" spans="5:10" s="34" customFormat="1" x14ac:dyDescent="0.35">
      <c r="E16687" s="35"/>
      <c r="J16687" s="41"/>
    </row>
    <row r="16688" spans="5:10" s="34" customFormat="1" x14ac:dyDescent="0.35">
      <c r="E16688" s="35"/>
      <c r="J16688" s="41"/>
    </row>
    <row r="16689" spans="5:10" s="34" customFormat="1" x14ac:dyDescent="0.35">
      <c r="E16689" s="35"/>
      <c r="J16689" s="41"/>
    </row>
    <row r="16690" spans="5:10" s="34" customFormat="1" x14ac:dyDescent="0.35">
      <c r="E16690" s="35"/>
      <c r="J16690" s="41"/>
    </row>
    <row r="16691" spans="5:10" s="34" customFormat="1" x14ac:dyDescent="0.35">
      <c r="E16691" s="35"/>
      <c r="J16691" s="41"/>
    </row>
    <row r="16692" spans="5:10" s="34" customFormat="1" x14ac:dyDescent="0.35">
      <c r="E16692" s="35"/>
      <c r="J16692" s="41"/>
    </row>
    <row r="16693" spans="5:10" s="34" customFormat="1" x14ac:dyDescent="0.35">
      <c r="E16693" s="35"/>
      <c r="J16693" s="41"/>
    </row>
    <row r="16694" spans="5:10" s="34" customFormat="1" x14ac:dyDescent="0.35">
      <c r="E16694" s="35"/>
      <c r="J16694" s="41"/>
    </row>
    <row r="16695" spans="5:10" s="34" customFormat="1" x14ac:dyDescent="0.35">
      <c r="E16695" s="35"/>
      <c r="J16695" s="41"/>
    </row>
    <row r="16696" spans="5:10" s="34" customFormat="1" x14ac:dyDescent="0.35">
      <c r="E16696" s="35"/>
      <c r="J16696" s="41"/>
    </row>
    <row r="16697" spans="5:10" s="34" customFormat="1" x14ac:dyDescent="0.35">
      <c r="E16697" s="35"/>
      <c r="J16697" s="41"/>
    </row>
    <row r="16698" spans="5:10" s="34" customFormat="1" x14ac:dyDescent="0.35">
      <c r="E16698" s="35"/>
      <c r="J16698" s="41"/>
    </row>
    <row r="16699" spans="5:10" s="34" customFormat="1" x14ac:dyDescent="0.35">
      <c r="E16699" s="35"/>
      <c r="J16699" s="41"/>
    </row>
    <row r="16700" spans="5:10" s="34" customFormat="1" x14ac:dyDescent="0.35">
      <c r="E16700" s="35"/>
      <c r="J16700" s="41"/>
    </row>
    <row r="16701" spans="5:10" s="34" customFormat="1" x14ac:dyDescent="0.35">
      <c r="E16701" s="35"/>
      <c r="J16701" s="41"/>
    </row>
    <row r="16702" spans="5:10" s="34" customFormat="1" x14ac:dyDescent="0.35">
      <c r="E16702" s="35"/>
      <c r="J16702" s="41"/>
    </row>
    <row r="16703" spans="5:10" s="34" customFormat="1" x14ac:dyDescent="0.35">
      <c r="E16703" s="35"/>
      <c r="J16703" s="41"/>
    </row>
    <row r="16704" spans="5:10" s="34" customFormat="1" x14ac:dyDescent="0.35">
      <c r="E16704" s="35"/>
      <c r="J16704" s="41"/>
    </row>
    <row r="16705" spans="5:10" s="34" customFormat="1" x14ac:dyDescent="0.35">
      <c r="E16705" s="35"/>
      <c r="J16705" s="41"/>
    </row>
    <row r="16706" spans="5:10" s="34" customFormat="1" x14ac:dyDescent="0.35">
      <c r="E16706" s="35"/>
      <c r="J16706" s="41"/>
    </row>
    <row r="16707" spans="5:10" s="34" customFormat="1" x14ac:dyDescent="0.35">
      <c r="E16707" s="35"/>
      <c r="J16707" s="41"/>
    </row>
    <row r="16708" spans="5:10" s="34" customFormat="1" x14ac:dyDescent="0.35">
      <c r="E16708" s="35"/>
      <c r="J16708" s="41"/>
    </row>
    <row r="16709" spans="5:10" s="34" customFormat="1" x14ac:dyDescent="0.35">
      <c r="E16709" s="35"/>
      <c r="J16709" s="41"/>
    </row>
    <row r="16710" spans="5:10" s="34" customFormat="1" x14ac:dyDescent="0.35">
      <c r="E16710" s="35"/>
      <c r="J16710" s="41"/>
    </row>
    <row r="16711" spans="5:10" s="34" customFormat="1" x14ac:dyDescent="0.35">
      <c r="E16711" s="35"/>
      <c r="J16711" s="41"/>
    </row>
    <row r="16712" spans="5:10" s="34" customFormat="1" x14ac:dyDescent="0.35">
      <c r="E16712" s="35"/>
      <c r="J16712" s="41"/>
    </row>
    <row r="16713" spans="5:10" s="34" customFormat="1" x14ac:dyDescent="0.35">
      <c r="E16713" s="35"/>
      <c r="J16713" s="41"/>
    </row>
    <row r="16714" spans="5:10" s="34" customFormat="1" x14ac:dyDescent="0.35">
      <c r="E16714" s="35"/>
      <c r="J16714" s="41"/>
    </row>
    <row r="16715" spans="5:10" s="34" customFormat="1" x14ac:dyDescent="0.35">
      <c r="E16715" s="35"/>
      <c r="J16715" s="41"/>
    </row>
    <row r="16716" spans="5:10" s="34" customFormat="1" x14ac:dyDescent="0.35">
      <c r="E16716" s="35"/>
      <c r="J16716" s="41"/>
    </row>
    <row r="16717" spans="5:10" s="34" customFormat="1" x14ac:dyDescent="0.35">
      <c r="E16717" s="35"/>
      <c r="J16717" s="41"/>
    </row>
    <row r="16718" spans="5:10" s="34" customFormat="1" x14ac:dyDescent="0.35">
      <c r="E16718" s="35"/>
      <c r="J16718" s="41"/>
    </row>
    <row r="16719" spans="5:10" s="34" customFormat="1" x14ac:dyDescent="0.35">
      <c r="E16719" s="35"/>
      <c r="J16719" s="41"/>
    </row>
    <row r="16720" spans="5:10" s="34" customFormat="1" x14ac:dyDescent="0.35">
      <c r="E16720" s="35"/>
      <c r="J16720" s="41"/>
    </row>
    <row r="16721" spans="5:10" s="34" customFormat="1" x14ac:dyDescent="0.35">
      <c r="E16721" s="35"/>
      <c r="J16721" s="41"/>
    </row>
    <row r="16722" spans="5:10" s="34" customFormat="1" x14ac:dyDescent="0.35">
      <c r="E16722" s="35"/>
      <c r="J16722" s="41"/>
    </row>
    <row r="16723" spans="5:10" s="34" customFormat="1" x14ac:dyDescent="0.35">
      <c r="E16723" s="35"/>
      <c r="J16723" s="41"/>
    </row>
    <row r="16724" spans="5:10" s="34" customFormat="1" x14ac:dyDescent="0.35">
      <c r="E16724" s="35"/>
      <c r="J16724" s="41"/>
    </row>
    <row r="16725" spans="5:10" s="34" customFormat="1" x14ac:dyDescent="0.35">
      <c r="E16725" s="35"/>
      <c r="J16725" s="41"/>
    </row>
    <row r="16726" spans="5:10" s="34" customFormat="1" x14ac:dyDescent="0.35">
      <c r="E16726" s="35"/>
      <c r="J16726" s="41"/>
    </row>
    <row r="16727" spans="5:10" s="34" customFormat="1" x14ac:dyDescent="0.35">
      <c r="E16727" s="35"/>
      <c r="J16727" s="41"/>
    </row>
    <row r="16728" spans="5:10" s="34" customFormat="1" x14ac:dyDescent="0.35">
      <c r="E16728" s="35"/>
      <c r="J16728" s="41"/>
    </row>
    <row r="16729" spans="5:10" s="34" customFormat="1" x14ac:dyDescent="0.35">
      <c r="E16729" s="35"/>
      <c r="J16729" s="41"/>
    </row>
    <row r="16730" spans="5:10" s="34" customFormat="1" x14ac:dyDescent="0.35">
      <c r="E16730" s="35"/>
      <c r="J16730" s="41"/>
    </row>
    <row r="16731" spans="5:10" s="34" customFormat="1" x14ac:dyDescent="0.35">
      <c r="E16731" s="35"/>
      <c r="J16731" s="41"/>
    </row>
    <row r="16732" spans="5:10" s="34" customFormat="1" x14ac:dyDescent="0.35">
      <c r="E16732" s="35"/>
      <c r="J16732" s="41"/>
    </row>
    <row r="16733" spans="5:10" s="34" customFormat="1" x14ac:dyDescent="0.35">
      <c r="E16733" s="35"/>
      <c r="J16733" s="41"/>
    </row>
    <row r="16734" spans="5:10" s="34" customFormat="1" x14ac:dyDescent="0.35">
      <c r="E16734" s="35"/>
      <c r="J16734" s="41"/>
    </row>
    <row r="16735" spans="5:10" s="34" customFormat="1" x14ac:dyDescent="0.35">
      <c r="E16735" s="35"/>
      <c r="J16735" s="41"/>
    </row>
    <row r="16736" spans="5:10" s="34" customFormat="1" x14ac:dyDescent="0.35">
      <c r="E16736" s="35"/>
      <c r="J16736" s="41"/>
    </row>
    <row r="16737" spans="5:10" s="34" customFormat="1" x14ac:dyDescent="0.35">
      <c r="E16737" s="35"/>
      <c r="J16737" s="41"/>
    </row>
    <row r="16738" spans="5:10" s="34" customFormat="1" x14ac:dyDescent="0.35">
      <c r="E16738" s="35"/>
      <c r="J16738" s="41"/>
    </row>
    <row r="16739" spans="5:10" s="34" customFormat="1" x14ac:dyDescent="0.35">
      <c r="E16739" s="35"/>
      <c r="J16739" s="41"/>
    </row>
    <row r="16740" spans="5:10" s="34" customFormat="1" x14ac:dyDescent="0.35">
      <c r="E16740" s="35"/>
      <c r="J16740" s="41"/>
    </row>
    <row r="16741" spans="5:10" s="34" customFormat="1" x14ac:dyDescent="0.35">
      <c r="E16741" s="35"/>
      <c r="J16741" s="41"/>
    </row>
    <row r="16742" spans="5:10" s="34" customFormat="1" x14ac:dyDescent="0.35">
      <c r="E16742" s="35"/>
      <c r="J16742" s="41"/>
    </row>
    <row r="16743" spans="5:10" s="34" customFormat="1" x14ac:dyDescent="0.35">
      <c r="E16743" s="35"/>
      <c r="J16743" s="41"/>
    </row>
    <row r="16744" spans="5:10" s="34" customFormat="1" x14ac:dyDescent="0.35">
      <c r="E16744" s="35"/>
      <c r="J16744" s="41"/>
    </row>
    <row r="16745" spans="5:10" s="34" customFormat="1" x14ac:dyDescent="0.35">
      <c r="E16745" s="35"/>
      <c r="J16745" s="41"/>
    </row>
    <row r="16746" spans="5:10" s="34" customFormat="1" x14ac:dyDescent="0.35">
      <c r="E16746" s="35"/>
      <c r="J16746" s="41"/>
    </row>
    <row r="16747" spans="5:10" s="34" customFormat="1" x14ac:dyDescent="0.35">
      <c r="E16747" s="35"/>
      <c r="J16747" s="41"/>
    </row>
    <row r="16748" spans="5:10" s="34" customFormat="1" x14ac:dyDescent="0.35">
      <c r="E16748" s="35"/>
      <c r="J16748" s="41"/>
    </row>
    <row r="16749" spans="5:10" s="34" customFormat="1" x14ac:dyDescent="0.35">
      <c r="E16749" s="35"/>
      <c r="J16749" s="41"/>
    </row>
    <row r="16750" spans="5:10" s="34" customFormat="1" x14ac:dyDescent="0.35">
      <c r="E16750" s="35"/>
      <c r="J16750" s="41"/>
    </row>
    <row r="16751" spans="5:10" s="34" customFormat="1" x14ac:dyDescent="0.35">
      <c r="E16751" s="35"/>
      <c r="J16751" s="41"/>
    </row>
    <row r="16752" spans="5:10" s="34" customFormat="1" x14ac:dyDescent="0.35">
      <c r="E16752" s="35"/>
      <c r="J16752" s="41"/>
    </row>
    <row r="16753" spans="5:10" s="34" customFormat="1" x14ac:dyDescent="0.35">
      <c r="E16753" s="35"/>
      <c r="J16753" s="41"/>
    </row>
    <row r="16754" spans="5:10" s="34" customFormat="1" x14ac:dyDescent="0.35">
      <c r="E16754" s="35"/>
      <c r="J16754" s="41"/>
    </row>
    <row r="16755" spans="5:10" s="34" customFormat="1" x14ac:dyDescent="0.35">
      <c r="E16755" s="35"/>
      <c r="J16755" s="41"/>
    </row>
    <row r="16756" spans="5:10" s="34" customFormat="1" x14ac:dyDescent="0.35">
      <c r="E16756" s="35"/>
      <c r="J16756" s="41"/>
    </row>
    <row r="16757" spans="5:10" s="34" customFormat="1" x14ac:dyDescent="0.35">
      <c r="E16757" s="35"/>
      <c r="J16757" s="41"/>
    </row>
    <row r="16758" spans="5:10" s="34" customFormat="1" x14ac:dyDescent="0.35">
      <c r="E16758" s="35"/>
      <c r="J16758" s="41"/>
    </row>
    <row r="16759" spans="5:10" s="34" customFormat="1" x14ac:dyDescent="0.35">
      <c r="E16759" s="35"/>
      <c r="J16759" s="41"/>
    </row>
    <row r="16760" spans="5:10" s="34" customFormat="1" x14ac:dyDescent="0.35">
      <c r="E16760" s="35"/>
      <c r="J16760" s="41"/>
    </row>
    <row r="16761" spans="5:10" s="34" customFormat="1" x14ac:dyDescent="0.35">
      <c r="E16761" s="35"/>
      <c r="J16761" s="41"/>
    </row>
    <row r="16762" spans="5:10" s="34" customFormat="1" x14ac:dyDescent="0.35">
      <c r="E16762" s="35"/>
      <c r="J16762" s="41"/>
    </row>
    <row r="16763" spans="5:10" s="34" customFormat="1" x14ac:dyDescent="0.35">
      <c r="E16763" s="35"/>
      <c r="J16763" s="41"/>
    </row>
    <row r="16764" spans="5:10" s="34" customFormat="1" x14ac:dyDescent="0.35">
      <c r="E16764" s="35"/>
      <c r="J16764" s="41"/>
    </row>
    <row r="16765" spans="5:10" s="34" customFormat="1" x14ac:dyDescent="0.35">
      <c r="E16765" s="35"/>
      <c r="J16765" s="41"/>
    </row>
    <row r="16766" spans="5:10" s="34" customFormat="1" x14ac:dyDescent="0.35">
      <c r="E16766" s="35"/>
      <c r="J16766" s="41"/>
    </row>
    <row r="16767" spans="5:10" s="34" customFormat="1" x14ac:dyDescent="0.35">
      <c r="E16767" s="35"/>
      <c r="J16767" s="41"/>
    </row>
    <row r="16768" spans="5:10" s="34" customFormat="1" x14ac:dyDescent="0.35">
      <c r="E16768" s="35"/>
      <c r="J16768" s="41"/>
    </row>
    <row r="16769" spans="5:10" s="34" customFormat="1" x14ac:dyDescent="0.35">
      <c r="E16769" s="35"/>
      <c r="J16769" s="41"/>
    </row>
    <row r="16770" spans="5:10" s="34" customFormat="1" x14ac:dyDescent="0.35">
      <c r="E16770" s="35"/>
      <c r="J16770" s="41"/>
    </row>
    <row r="16771" spans="5:10" s="34" customFormat="1" x14ac:dyDescent="0.35">
      <c r="E16771" s="35"/>
      <c r="J16771" s="41"/>
    </row>
    <row r="16772" spans="5:10" s="34" customFormat="1" x14ac:dyDescent="0.35">
      <c r="E16772" s="35"/>
      <c r="J16772" s="41"/>
    </row>
    <row r="16773" spans="5:10" s="34" customFormat="1" x14ac:dyDescent="0.35">
      <c r="E16773" s="35"/>
      <c r="J16773" s="41"/>
    </row>
    <row r="16774" spans="5:10" s="34" customFormat="1" x14ac:dyDescent="0.35">
      <c r="E16774" s="35"/>
      <c r="J16774" s="41"/>
    </row>
    <row r="16775" spans="5:10" s="34" customFormat="1" x14ac:dyDescent="0.35">
      <c r="E16775" s="35"/>
      <c r="J16775" s="41"/>
    </row>
    <row r="16776" spans="5:10" s="34" customFormat="1" x14ac:dyDescent="0.35">
      <c r="E16776" s="35"/>
      <c r="J16776" s="41"/>
    </row>
    <row r="16777" spans="5:10" s="34" customFormat="1" x14ac:dyDescent="0.35">
      <c r="E16777" s="35"/>
      <c r="J16777" s="41"/>
    </row>
    <row r="16778" spans="5:10" s="34" customFormat="1" x14ac:dyDescent="0.35">
      <c r="E16778" s="35"/>
      <c r="J16778" s="41"/>
    </row>
    <row r="16779" spans="5:10" s="34" customFormat="1" x14ac:dyDescent="0.35">
      <c r="E16779" s="35"/>
      <c r="J16779" s="41"/>
    </row>
    <row r="16780" spans="5:10" s="34" customFormat="1" x14ac:dyDescent="0.35">
      <c r="E16780" s="35"/>
      <c r="J16780" s="41"/>
    </row>
    <row r="16781" spans="5:10" s="34" customFormat="1" x14ac:dyDescent="0.35">
      <c r="E16781" s="35"/>
      <c r="J16781" s="41"/>
    </row>
    <row r="16782" spans="5:10" s="34" customFormat="1" x14ac:dyDescent="0.35">
      <c r="E16782" s="35"/>
      <c r="J16782" s="41"/>
    </row>
    <row r="16783" spans="5:10" s="34" customFormat="1" x14ac:dyDescent="0.35">
      <c r="E16783" s="35"/>
      <c r="J16783" s="41"/>
    </row>
    <row r="16784" spans="5:10" s="34" customFormat="1" x14ac:dyDescent="0.35">
      <c r="E16784" s="35"/>
      <c r="J16784" s="41"/>
    </row>
    <row r="16785" spans="5:10" s="34" customFormat="1" x14ac:dyDescent="0.35">
      <c r="E16785" s="35"/>
      <c r="J16785" s="41"/>
    </row>
    <row r="16786" spans="5:10" s="34" customFormat="1" x14ac:dyDescent="0.35">
      <c r="E16786" s="35"/>
      <c r="J16786" s="41"/>
    </row>
    <row r="16787" spans="5:10" s="34" customFormat="1" x14ac:dyDescent="0.35">
      <c r="E16787" s="35"/>
      <c r="J16787" s="41"/>
    </row>
    <row r="16788" spans="5:10" s="34" customFormat="1" x14ac:dyDescent="0.35">
      <c r="E16788" s="35"/>
      <c r="J16788" s="41"/>
    </row>
    <row r="16789" spans="5:10" s="34" customFormat="1" x14ac:dyDescent="0.35">
      <c r="E16789" s="35"/>
      <c r="J16789" s="41"/>
    </row>
    <row r="16790" spans="5:10" s="34" customFormat="1" x14ac:dyDescent="0.35">
      <c r="E16790" s="35"/>
      <c r="J16790" s="41"/>
    </row>
    <row r="16791" spans="5:10" s="34" customFormat="1" x14ac:dyDescent="0.35">
      <c r="E16791" s="35"/>
      <c r="J16791" s="41"/>
    </row>
    <row r="16792" spans="5:10" s="34" customFormat="1" x14ac:dyDescent="0.35">
      <c r="E16792" s="35"/>
      <c r="J16792" s="41"/>
    </row>
    <row r="16793" spans="5:10" s="34" customFormat="1" x14ac:dyDescent="0.35">
      <c r="E16793" s="35"/>
      <c r="J16793" s="41"/>
    </row>
    <row r="16794" spans="5:10" s="34" customFormat="1" x14ac:dyDescent="0.35">
      <c r="E16794" s="35"/>
      <c r="J16794" s="41"/>
    </row>
    <row r="16795" spans="5:10" s="34" customFormat="1" x14ac:dyDescent="0.35">
      <c r="E16795" s="35"/>
      <c r="J16795" s="41"/>
    </row>
    <row r="16796" spans="5:10" s="34" customFormat="1" x14ac:dyDescent="0.35">
      <c r="E16796" s="35"/>
      <c r="J16796" s="41"/>
    </row>
    <row r="16797" spans="5:10" s="34" customFormat="1" x14ac:dyDescent="0.35">
      <c r="E16797" s="35"/>
      <c r="J16797" s="41"/>
    </row>
    <row r="16798" spans="5:10" s="34" customFormat="1" x14ac:dyDescent="0.35">
      <c r="E16798" s="35"/>
      <c r="J16798" s="41"/>
    </row>
    <row r="16799" spans="5:10" s="34" customFormat="1" x14ac:dyDescent="0.35">
      <c r="E16799" s="35"/>
      <c r="J16799" s="41"/>
    </row>
    <row r="16800" spans="5:10" s="34" customFormat="1" x14ac:dyDescent="0.35">
      <c r="E16800" s="35"/>
      <c r="J16800" s="41"/>
    </row>
    <row r="16801" spans="5:10" s="34" customFormat="1" x14ac:dyDescent="0.35">
      <c r="E16801" s="35"/>
      <c r="J16801" s="41"/>
    </row>
    <row r="16802" spans="5:10" s="34" customFormat="1" x14ac:dyDescent="0.35">
      <c r="E16802" s="35"/>
      <c r="J16802" s="41"/>
    </row>
    <row r="16803" spans="5:10" s="34" customFormat="1" x14ac:dyDescent="0.35">
      <c r="E16803" s="35"/>
      <c r="J16803" s="41"/>
    </row>
    <row r="16804" spans="5:10" s="34" customFormat="1" x14ac:dyDescent="0.35">
      <c r="E16804" s="35"/>
      <c r="J16804" s="41"/>
    </row>
    <row r="16805" spans="5:10" s="34" customFormat="1" x14ac:dyDescent="0.35">
      <c r="E16805" s="35"/>
      <c r="J16805" s="41"/>
    </row>
    <row r="16806" spans="5:10" s="34" customFormat="1" x14ac:dyDescent="0.35">
      <c r="E16806" s="35"/>
      <c r="J16806" s="41"/>
    </row>
    <row r="16807" spans="5:10" s="34" customFormat="1" x14ac:dyDescent="0.35">
      <c r="E16807" s="35"/>
      <c r="J16807" s="41"/>
    </row>
    <row r="16808" spans="5:10" s="34" customFormat="1" x14ac:dyDescent="0.35">
      <c r="E16808" s="35"/>
      <c r="J16808" s="41"/>
    </row>
    <row r="16809" spans="5:10" s="34" customFormat="1" x14ac:dyDescent="0.35">
      <c r="E16809" s="35"/>
      <c r="J16809" s="41"/>
    </row>
    <row r="16810" spans="5:10" s="34" customFormat="1" x14ac:dyDescent="0.35">
      <c r="E16810" s="35"/>
      <c r="J16810" s="41"/>
    </row>
    <row r="16811" spans="5:10" s="34" customFormat="1" x14ac:dyDescent="0.35">
      <c r="E16811" s="35"/>
      <c r="J16811" s="41"/>
    </row>
    <row r="16812" spans="5:10" s="34" customFormat="1" x14ac:dyDescent="0.35">
      <c r="E16812" s="35"/>
      <c r="J16812" s="41"/>
    </row>
    <row r="16813" spans="5:10" s="34" customFormat="1" x14ac:dyDescent="0.35">
      <c r="E16813" s="35"/>
      <c r="J16813" s="41"/>
    </row>
    <row r="16814" spans="5:10" s="34" customFormat="1" x14ac:dyDescent="0.35">
      <c r="E16814" s="35"/>
      <c r="J16814" s="41"/>
    </row>
    <row r="16815" spans="5:10" s="34" customFormat="1" x14ac:dyDescent="0.35">
      <c r="E16815" s="35"/>
      <c r="J16815" s="41"/>
    </row>
    <row r="16816" spans="5:10" s="34" customFormat="1" x14ac:dyDescent="0.35">
      <c r="E16816" s="35"/>
      <c r="J16816" s="41"/>
    </row>
    <row r="16817" spans="5:10" s="34" customFormat="1" x14ac:dyDescent="0.35">
      <c r="E16817" s="35"/>
      <c r="J16817" s="41"/>
    </row>
    <row r="16818" spans="5:10" s="34" customFormat="1" x14ac:dyDescent="0.35">
      <c r="E16818" s="35"/>
      <c r="J16818" s="41"/>
    </row>
    <row r="16819" spans="5:10" s="34" customFormat="1" x14ac:dyDescent="0.35">
      <c r="E16819" s="35"/>
      <c r="J16819" s="41"/>
    </row>
    <row r="16820" spans="5:10" s="34" customFormat="1" x14ac:dyDescent="0.35">
      <c r="E16820" s="35"/>
      <c r="J16820" s="41"/>
    </row>
    <row r="16821" spans="5:10" s="34" customFormat="1" x14ac:dyDescent="0.35">
      <c r="E16821" s="35"/>
      <c r="J16821" s="41"/>
    </row>
    <row r="16822" spans="5:10" s="34" customFormat="1" x14ac:dyDescent="0.35">
      <c r="E16822" s="35"/>
      <c r="J16822" s="41"/>
    </row>
    <row r="16823" spans="5:10" s="34" customFormat="1" x14ac:dyDescent="0.35">
      <c r="E16823" s="35"/>
      <c r="J16823" s="41"/>
    </row>
    <row r="16824" spans="5:10" s="34" customFormat="1" x14ac:dyDescent="0.35">
      <c r="E16824" s="35"/>
      <c r="J16824" s="41"/>
    </row>
    <row r="16825" spans="5:10" s="34" customFormat="1" x14ac:dyDescent="0.35">
      <c r="E16825" s="35"/>
      <c r="J16825" s="41"/>
    </row>
    <row r="16826" spans="5:10" s="34" customFormat="1" x14ac:dyDescent="0.35">
      <c r="E16826" s="35"/>
      <c r="J16826" s="41"/>
    </row>
    <row r="16827" spans="5:10" s="34" customFormat="1" x14ac:dyDescent="0.35">
      <c r="E16827" s="35"/>
      <c r="J16827" s="41"/>
    </row>
    <row r="16828" spans="5:10" s="34" customFormat="1" x14ac:dyDescent="0.35">
      <c r="E16828" s="35"/>
      <c r="J16828" s="41"/>
    </row>
    <row r="16829" spans="5:10" s="34" customFormat="1" x14ac:dyDescent="0.35">
      <c r="E16829" s="35"/>
      <c r="J16829" s="41"/>
    </row>
    <row r="16830" spans="5:10" s="34" customFormat="1" x14ac:dyDescent="0.35">
      <c r="E16830" s="35"/>
      <c r="J16830" s="41"/>
    </row>
    <row r="16831" spans="5:10" s="34" customFormat="1" x14ac:dyDescent="0.35">
      <c r="E16831" s="35"/>
      <c r="J16831" s="41"/>
    </row>
    <row r="16832" spans="5:10" s="34" customFormat="1" x14ac:dyDescent="0.35">
      <c r="E16832" s="35"/>
      <c r="J16832" s="41"/>
    </row>
    <row r="16833" spans="5:10" s="34" customFormat="1" x14ac:dyDescent="0.35">
      <c r="E16833" s="35"/>
      <c r="J16833" s="41"/>
    </row>
    <row r="16834" spans="5:10" s="34" customFormat="1" x14ac:dyDescent="0.35">
      <c r="E16834" s="35"/>
      <c r="J16834" s="41"/>
    </row>
    <row r="16835" spans="5:10" s="34" customFormat="1" x14ac:dyDescent="0.35">
      <c r="E16835" s="35"/>
      <c r="J16835" s="41"/>
    </row>
    <row r="16836" spans="5:10" s="34" customFormat="1" x14ac:dyDescent="0.35">
      <c r="E16836" s="35"/>
      <c r="J16836" s="41"/>
    </row>
    <row r="16837" spans="5:10" s="34" customFormat="1" x14ac:dyDescent="0.35">
      <c r="E16837" s="35"/>
      <c r="J16837" s="41"/>
    </row>
    <row r="16838" spans="5:10" s="34" customFormat="1" x14ac:dyDescent="0.35">
      <c r="E16838" s="35"/>
      <c r="J16838" s="41"/>
    </row>
    <row r="16839" spans="5:10" s="34" customFormat="1" x14ac:dyDescent="0.35">
      <c r="E16839" s="35"/>
      <c r="J16839" s="41"/>
    </row>
    <row r="16840" spans="5:10" s="34" customFormat="1" x14ac:dyDescent="0.35">
      <c r="E16840" s="35"/>
      <c r="J16840" s="41"/>
    </row>
    <row r="16841" spans="5:10" s="34" customFormat="1" x14ac:dyDescent="0.35">
      <c r="E16841" s="35"/>
      <c r="J16841" s="41"/>
    </row>
    <row r="16842" spans="5:10" s="34" customFormat="1" x14ac:dyDescent="0.35">
      <c r="E16842" s="35"/>
      <c r="J16842" s="41"/>
    </row>
    <row r="16843" spans="5:10" s="34" customFormat="1" x14ac:dyDescent="0.35">
      <c r="E16843" s="35"/>
      <c r="J16843" s="41"/>
    </row>
    <row r="16844" spans="5:10" s="34" customFormat="1" x14ac:dyDescent="0.35">
      <c r="E16844" s="35"/>
      <c r="J16844" s="41"/>
    </row>
    <row r="16845" spans="5:10" s="34" customFormat="1" x14ac:dyDescent="0.35">
      <c r="E16845" s="35"/>
      <c r="J16845" s="41"/>
    </row>
    <row r="16846" spans="5:10" s="34" customFormat="1" x14ac:dyDescent="0.35">
      <c r="E16846" s="35"/>
      <c r="J16846" s="41"/>
    </row>
    <row r="16847" spans="5:10" s="34" customFormat="1" x14ac:dyDescent="0.35">
      <c r="E16847" s="35"/>
      <c r="J16847" s="41"/>
    </row>
    <row r="16848" spans="5:10" s="34" customFormat="1" x14ac:dyDescent="0.35">
      <c r="E16848" s="35"/>
      <c r="J16848" s="41"/>
    </row>
    <row r="16849" spans="5:10" s="34" customFormat="1" x14ac:dyDescent="0.35">
      <c r="E16849" s="35"/>
      <c r="J16849" s="41"/>
    </row>
    <row r="16850" spans="5:10" s="34" customFormat="1" x14ac:dyDescent="0.35">
      <c r="E16850" s="35"/>
      <c r="J16850" s="41"/>
    </row>
    <row r="16851" spans="5:10" s="34" customFormat="1" x14ac:dyDescent="0.35">
      <c r="E16851" s="35"/>
      <c r="J16851" s="41"/>
    </row>
    <row r="16852" spans="5:10" s="34" customFormat="1" x14ac:dyDescent="0.35">
      <c r="E16852" s="35"/>
      <c r="J16852" s="41"/>
    </row>
    <row r="16853" spans="5:10" s="34" customFormat="1" x14ac:dyDescent="0.35">
      <c r="E16853" s="35"/>
      <c r="J16853" s="41"/>
    </row>
    <row r="16854" spans="5:10" s="34" customFormat="1" x14ac:dyDescent="0.35">
      <c r="E16854" s="35"/>
      <c r="J16854" s="41"/>
    </row>
    <row r="16855" spans="5:10" s="34" customFormat="1" x14ac:dyDescent="0.35">
      <c r="E16855" s="35"/>
      <c r="J16855" s="41"/>
    </row>
    <row r="16856" spans="5:10" s="34" customFormat="1" x14ac:dyDescent="0.35">
      <c r="E16856" s="35"/>
      <c r="J16856" s="41"/>
    </row>
    <row r="16857" spans="5:10" s="34" customFormat="1" x14ac:dyDescent="0.35">
      <c r="E16857" s="35"/>
      <c r="J16857" s="41"/>
    </row>
    <row r="16858" spans="5:10" s="34" customFormat="1" x14ac:dyDescent="0.35">
      <c r="E16858" s="35"/>
      <c r="J16858" s="41"/>
    </row>
    <row r="16859" spans="5:10" s="34" customFormat="1" x14ac:dyDescent="0.35">
      <c r="E16859" s="35"/>
      <c r="J16859" s="41"/>
    </row>
    <row r="16860" spans="5:10" s="34" customFormat="1" x14ac:dyDescent="0.35">
      <c r="E16860" s="35"/>
      <c r="J16860" s="41"/>
    </row>
    <row r="16861" spans="5:10" s="34" customFormat="1" x14ac:dyDescent="0.35">
      <c r="E16861" s="35"/>
      <c r="J16861" s="41"/>
    </row>
    <row r="16862" spans="5:10" s="34" customFormat="1" x14ac:dyDescent="0.35">
      <c r="E16862" s="35"/>
      <c r="J16862" s="41"/>
    </row>
    <row r="16863" spans="5:10" s="34" customFormat="1" x14ac:dyDescent="0.35">
      <c r="E16863" s="35"/>
      <c r="J16863" s="41"/>
    </row>
    <row r="16864" spans="5:10" s="34" customFormat="1" x14ac:dyDescent="0.35">
      <c r="E16864" s="35"/>
      <c r="J16864" s="41"/>
    </row>
    <row r="16865" spans="5:10" s="34" customFormat="1" x14ac:dyDescent="0.35">
      <c r="E16865" s="35"/>
      <c r="J16865" s="41"/>
    </row>
    <row r="16866" spans="5:10" s="34" customFormat="1" x14ac:dyDescent="0.35">
      <c r="E16866" s="35"/>
      <c r="J16866" s="41"/>
    </row>
    <row r="16867" spans="5:10" s="34" customFormat="1" x14ac:dyDescent="0.35">
      <c r="E16867" s="35"/>
      <c r="J16867" s="41"/>
    </row>
    <row r="16868" spans="5:10" s="34" customFormat="1" x14ac:dyDescent="0.35">
      <c r="E16868" s="35"/>
      <c r="J16868" s="41"/>
    </row>
    <row r="16869" spans="5:10" s="34" customFormat="1" x14ac:dyDescent="0.35">
      <c r="E16869" s="35"/>
      <c r="J16869" s="41"/>
    </row>
    <row r="16870" spans="5:10" s="34" customFormat="1" x14ac:dyDescent="0.35">
      <c r="E16870" s="35"/>
      <c r="J16870" s="41"/>
    </row>
    <row r="16871" spans="5:10" s="34" customFormat="1" x14ac:dyDescent="0.35">
      <c r="E16871" s="35"/>
      <c r="J16871" s="41"/>
    </row>
    <row r="16872" spans="5:10" s="34" customFormat="1" x14ac:dyDescent="0.35">
      <c r="E16872" s="35"/>
      <c r="J16872" s="41"/>
    </row>
    <row r="16873" spans="5:10" s="34" customFormat="1" x14ac:dyDescent="0.35">
      <c r="E16873" s="35"/>
      <c r="J16873" s="41"/>
    </row>
    <row r="16874" spans="5:10" s="34" customFormat="1" x14ac:dyDescent="0.35">
      <c r="E16874" s="35"/>
      <c r="J16874" s="41"/>
    </row>
    <row r="16875" spans="5:10" s="34" customFormat="1" x14ac:dyDescent="0.35">
      <c r="E16875" s="35"/>
      <c r="J16875" s="41"/>
    </row>
    <row r="16876" spans="5:10" s="34" customFormat="1" x14ac:dyDescent="0.35">
      <c r="E16876" s="35"/>
      <c r="J16876" s="41"/>
    </row>
    <row r="16877" spans="5:10" s="34" customFormat="1" x14ac:dyDescent="0.35">
      <c r="E16877" s="35"/>
      <c r="J16877" s="41"/>
    </row>
    <row r="16878" spans="5:10" s="34" customFormat="1" x14ac:dyDescent="0.35">
      <c r="E16878" s="35"/>
      <c r="J16878" s="41"/>
    </row>
    <row r="16879" spans="5:10" s="34" customFormat="1" x14ac:dyDescent="0.35">
      <c r="E16879" s="35"/>
      <c r="J16879" s="41"/>
    </row>
    <row r="16880" spans="5:10" s="34" customFormat="1" x14ac:dyDescent="0.35">
      <c r="E16880" s="35"/>
      <c r="J16880" s="41"/>
    </row>
    <row r="16881" spans="5:10" s="34" customFormat="1" x14ac:dyDescent="0.35">
      <c r="E16881" s="35"/>
      <c r="J16881" s="41"/>
    </row>
    <row r="16882" spans="5:10" s="34" customFormat="1" x14ac:dyDescent="0.35">
      <c r="E16882" s="35"/>
      <c r="J16882" s="41"/>
    </row>
    <row r="16883" spans="5:10" s="34" customFormat="1" x14ac:dyDescent="0.35">
      <c r="E16883" s="35"/>
      <c r="J16883" s="41"/>
    </row>
    <row r="16884" spans="5:10" s="34" customFormat="1" x14ac:dyDescent="0.35">
      <c r="E16884" s="35"/>
      <c r="J16884" s="41"/>
    </row>
    <row r="16885" spans="5:10" s="34" customFormat="1" x14ac:dyDescent="0.35">
      <c r="E16885" s="35"/>
      <c r="J16885" s="41"/>
    </row>
    <row r="16886" spans="5:10" s="34" customFormat="1" x14ac:dyDescent="0.35">
      <c r="E16886" s="35"/>
      <c r="J16886" s="41"/>
    </row>
    <row r="16887" spans="5:10" s="34" customFormat="1" x14ac:dyDescent="0.35">
      <c r="E16887" s="35"/>
      <c r="J16887" s="41"/>
    </row>
    <row r="16888" spans="5:10" s="34" customFormat="1" x14ac:dyDescent="0.35">
      <c r="E16888" s="35"/>
      <c r="J16888" s="41"/>
    </row>
    <row r="16889" spans="5:10" s="34" customFormat="1" x14ac:dyDescent="0.35">
      <c r="E16889" s="35"/>
      <c r="J16889" s="41"/>
    </row>
    <row r="16890" spans="5:10" s="34" customFormat="1" x14ac:dyDescent="0.35">
      <c r="E16890" s="35"/>
      <c r="J16890" s="41"/>
    </row>
    <row r="16891" spans="5:10" s="34" customFormat="1" x14ac:dyDescent="0.35">
      <c r="E16891" s="35"/>
      <c r="J16891" s="41"/>
    </row>
    <row r="16892" spans="5:10" s="34" customFormat="1" x14ac:dyDescent="0.35">
      <c r="E16892" s="35"/>
      <c r="J16892" s="41"/>
    </row>
    <row r="16893" spans="5:10" s="34" customFormat="1" x14ac:dyDescent="0.35">
      <c r="E16893" s="35"/>
      <c r="J16893" s="41"/>
    </row>
    <row r="16894" spans="5:10" s="34" customFormat="1" x14ac:dyDescent="0.35">
      <c r="E16894" s="35"/>
      <c r="J16894" s="41"/>
    </row>
    <row r="16895" spans="5:10" s="34" customFormat="1" x14ac:dyDescent="0.35">
      <c r="E16895" s="35"/>
      <c r="J16895" s="41"/>
    </row>
    <row r="16896" spans="5:10" s="34" customFormat="1" x14ac:dyDescent="0.35">
      <c r="E16896" s="35"/>
      <c r="J16896" s="41"/>
    </row>
    <row r="16897" spans="5:10" s="34" customFormat="1" x14ac:dyDescent="0.35">
      <c r="E16897" s="35"/>
      <c r="J16897" s="41"/>
    </row>
    <row r="16898" spans="5:10" s="34" customFormat="1" x14ac:dyDescent="0.35">
      <c r="E16898" s="35"/>
      <c r="J16898" s="41"/>
    </row>
    <row r="16899" spans="5:10" s="34" customFormat="1" x14ac:dyDescent="0.35">
      <c r="E16899" s="35"/>
      <c r="J16899" s="41"/>
    </row>
    <row r="16900" spans="5:10" s="34" customFormat="1" x14ac:dyDescent="0.35">
      <c r="E16900" s="35"/>
      <c r="J16900" s="41"/>
    </row>
    <row r="16901" spans="5:10" s="34" customFormat="1" x14ac:dyDescent="0.35">
      <c r="E16901" s="35"/>
      <c r="J16901" s="41"/>
    </row>
    <row r="16902" spans="5:10" s="34" customFormat="1" x14ac:dyDescent="0.35">
      <c r="E16902" s="35"/>
      <c r="J16902" s="41"/>
    </row>
    <row r="16903" spans="5:10" s="34" customFormat="1" x14ac:dyDescent="0.35">
      <c r="E16903" s="35"/>
      <c r="J16903" s="41"/>
    </row>
    <row r="16904" spans="5:10" s="34" customFormat="1" x14ac:dyDescent="0.35">
      <c r="E16904" s="35"/>
      <c r="J16904" s="41"/>
    </row>
    <row r="16905" spans="5:10" s="34" customFormat="1" x14ac:dyDescent="0.35">
      <c r="E16905" s="35"/>
      <c r="J16905" s="41"/>
    </row>
    <row r="16906" spans="5:10" s="34" customFormat="1" x14ac:dyDescent="0.35">
      <c r="E16906" s="35"/>
      <c r="J16906" s="41"/>
    </row>
    <row r="16907" spans="5:10" s="34" customFormat="1" x14ac:dyDescent="0.35">
      <c r="E16907" s="35"/>
      <c r="J16907" s="41"/>
    </row>
    <row r="16908" spans="5:10" s="34" customFormat="1" x14ac:dyDescent="0.35">
      <c r="E16908" s="35"/>
      <c r="J16908" s="41"/>
    </row>
    <row r="16909" spans="5:10" s="34" customFormat="1" x14ac:dyDescent="0.35">
      <c r="E16909" s="35"/>
      <c r="J16909" s="41"/>
    </row>
    <row r="16910" spans="5:10" s="34" customFormat="1" x14ac:dyDescent="0.35">
      <c r="E16910" s="35"/>
      <c r="J16910" s="41"/>
    </row>
    <row r="16911" spans="5:10" s="34" customFormat="1" x14ac:dyDescent="0.35">
      <c r="E16911" s="35"/>
      <c r="J16911" s="41"/>
    </row>
    <row r="16912" spans="5:10" s="34" customFormat="1" x14ac:dyDescent="0.35">
      <c r="E16912" s="35"/>
      <c r="J16912" s="41"/>
    </row>
    <row r="16913" spans="5:10" s="34" customFormat="1" x14ac:dyDescent="0.35">
      <c r="E16913" s="35"/>
      <c r="J16913" s="41"/>
    </row>
    <row r="16914" spans="5:10" s="34" customFormat="1" x14ac:dyDescent="0.35">
      <c r="E16914" s="35"/>
      <c r="J16914" s="41"/>
    </row>
    <row r="16915" spans="5:10" s="34" customFormat="1" x14ac:dyDescent="0.35">
      <c r="E16915" s="35"/>
      <c r="J16915" s="41"/>
    </row>
    <row r="16916" spans="5:10" s="34" customFormat="1" x14ac:dyDescent="0.35">
      <c r="E16916" s="35"/>
      <c r="J16916" s="41"/>
    </row>
    <row r="16917" spans="5:10" s="34" customFormat="1" x14ac:dyDescent="0.35">
      <c r="E16917" s="35"/>
      <c r="J16917" s="41"/>
    </row>
    <row r="16918" spans="5:10" s="34" customFormat="1" x14ac:dyDescent="0.35">
      <c r="E16918" s="35"/>
      <c r="J16918" s="41"/>
    </row>
    <row r="16919" spans="5:10" s="34" customFormat="1" x14ac:dyDescent="0.35">
      <c r="E16919" s="35"/>
      <c r="J16919" s="41"/>
    </row>
    <row r="16920" spans="5:10" s="34" customFormat="1" x14ac:dyDescent="0.35">
      <c r="E16920" s="35"/>
      <c r="J16920" s="41"/>
    </row>
    <row r="16921" spans="5:10" s="34" customFormat="1" x14ac:dyDescent="0.35">
      <c r="E16921" s="35"/>
      <c r="J16921" s="41"/>
    </row>
    <row r="16922" spans="5:10" s="34" customFormat="1" x14ac:dyDescent="0.35">
      <c r="E16922" s="35"/>
      <c r="J16922" s="41"/>
    </row>
    <row r="16923" spans="5:10" s="34" customFormat="1" x14ac:dyDescent="0.35">
      <c r="E16923" s="35"/>
      <c r="J16923" s="41"/>
    </row>
    <row r="16924" spans="5:10" s="34" customFormat="1" x14ac:dyDescent="0.35">
      <c r="E16924" s="35"/>
      <c r="J16924" s="41"/>
    </row>
    <row r="16925" spans="5:10" s="34" customFormat="1" x14ac:dyDescent="0.35">
      <c r="E16925" s="35"/>
      <c r="J16925" s="41"/>
    </row>
    <row r="16926" spans="5:10" s="34" customFormat="1" x14ac:dyDescent="0.35">
      <c r="E16926" s="35"/>
      <c r="J16926" s="41"/>
    </row>
    <row r="16927" spans="5:10" s="34" customFormat="1" x14ac:dyDescent="0.35">
      <c r="E16927" s="35"/>
      <c r="J16927" s="41"/>
    </row>
    <row r="16928" spans="5:10" s="34" customFormat="1" x14ac:dyDescent="0.35">
      <c r="E16928" s="35"/>
      <c r="J16928" s="41"/>
    </row>
    <row r="16929" spans="5:10" s="34" customFormat="1" x14ac:dyDescent="0.35">
      <c r="E16929" s="35"/>
      <c r="J16929" s="41"/>
    </row>
    <row r="16930" spans="5:10" s="34" customFormat="1" x14ac:dyDescent="0.35">
      <c r="E16930" s="35"/>
      <c r="J16930" s="41"/>
    </row>
    <row r="16931" spans="5:10" s="34" customFormat="1" x14ac:dyDescent="0.35">
      <c r="E16931" s="35"/>
      <c r="J16931" s="41"/>
    </row>
    <row r="16932" spans="5:10" s="34" customFormat="1" x14ac:dyDescent="0.35">
      <c r="E16932" s="35"/>
      <c r="J16932" s="41"/>
    </row>
    <row r="16933" spans="5:10" s="34" customFormat="1" x14ac:dyDescent="0.35">
      <c r="E16933" s="35"/>
      <c r="J16933" s="41"/>
    </row>
    <row r="16934" spans="5:10" s="34" customFormat="1" x14ac:dyDescent="0.35">
      <c r="E16934" s="35"/>
      <c r="J16934" s="41"/>
    </row>
    <row r="16935" spans="5:10" s="34" customFormat="1" x14ac:dyDescent="0.35">
      <c r="E16935" s="35"/>
      <c r="J16935" s="41"/>
    </row>
    <row r="16936" spans="5:10" s="34" customFormat="1" x14ac:dyDescent="0.35">
      <c r="E16936" s="35"/>
      <c r="J16936" s="41"/>
    </row>
    <row r="16937" spans="5:10" s="34" customFormat="1" x14ac:dyDescent="0.35">
      <c r="E16937" s="35"/>
      <c r="J16937" s="41"/>
    </row>
    <row r="16938" spans="5:10" s="34" customFormat="1" x14ac:dyDescent="0.35">
      <c r="E16938" s="35"/>
      <c r="J16938" s="41"/>
    </row>
    <row r="16939" spans="5:10" s="34" customFormat="1" x14ac:dyDescent="0.35">
      <c r="E16939" s="35"/>
      <c r="J16939" s="41"/>
    </row>
    <row r="16940" spans="5:10" s="34" customFormat="1" x14ac:dyDescent="0.35">
      <c r="E16940" s="35"/>
      <c r="J16940" s="41"/>
    </row>
    <row r="16941" spans="5:10" s="34" customFormat="1" x14ac:dyDescent="0.35">
      <c r="E16941" s="35"/>
      <c r="J16941" s="41"/>
    </row>
    <row r="16942" spans="5:10" s="34" customFormat="1" x14ac:dyDescent="0.35">
      <c r="E16942" s="35"/>
      <c r="J16942" s="41"/>
    </row>
    <row r="16943" spans="5:10" s="34" customFormat="1" x14ac:dyDescent="0.35">
      <c r="E16943" s="35"/>
      <c r="J16943" s="41"/>
    </row>
    <row r="16944" spans="5:10" s="34" customFormat="1" x14ac:dyDescent="0.35">
      <c r="E16944" s="35"/>
      <c r="J16944" s="41"/>
    </row>
    <row r="16945" spans="5:10" s="34" customFormat="1" x14ac:dyDescent="0.35">
      <c r="E16945" s="35"/>
      <c r="J16945" s="41"/>
    </row>
    <row r="16946" spans="5:10" s="34" customFormat="1" x14ac:dyDescent="0.35">
      <c r="E16946" s="35"/>
      <c r="J16946" s="41"/>
    </row>
    <row r="16947" spans="5:10" s="34" customFormat="1" x14ac:dyDescent="0.35">
      <c r="E16947" s="35"/>
      <c r="J16947" s="41"/>
    </row>
    <row r="16948" spans="5:10" s="34" customFormat="1" x14ac:dyDescent="0.35">
      <c r="E16948" s="35"/>
      <c r="J16948" s="41"/>
    </row>
    <row r="16949" spans="5:10" s="34" customFormat="1" x14ac:dyDescent="0.35">
      <c r="E16949" s="35"/>
      <c r="J16949" s="41"/>
    </row>
    <row r="16950" spans="5:10" s="34" customFormat="1" x14ac:dyDescent="0.35">
      <c r="E16950" s="35"/>
      <c r="J16950" s="41"/>
    </row>
    <row r="16951" spans="5:10" s="34" customFormat="1" x14ac:dyDescent="0.35">
      <c r="E16951" s="35"/>
      <c r="J16951" s="41"/>
    </row>
    <row r="16952" spans="5:10" s="34" customFormat="1" x14ac:dyDescent="0.35">
      <c r="E16952" s="35"/>
      <c r="J16952" s="41"/>
    </row>
    <row r="16953" spans="5:10" s="34" customFormat="1" x14ac:dyDescent="0.35">
      <c r="E16953" s="35"/>
      <c r="J16953" s="41"/>
    </row>
    <row r="16954" spans="5:10" s="34" customFormat="1" x14ac:dyDescent="0.35">
      <c r="E16954" s="35"/>
      <c r="J16954" s="41"/>
    </row>
    <row r="16955" spans="5:10" s="34" customFormat="1" x14ac:dyDescent="0.35">
      <c r="E16955" s="35"/>
      <c r="J16955" s="41"/>
    </row>
    <row r="16956" spans="5:10" s="34" customFormat="1" x14ac:dyDescent="0.35">
      <c r="E16956" s="35"/>
      <c r="J16956" s="41"/>
    </row>
    <row r="16957" spans="5:10" s="34" customFormat="1" x14ac:dyDescent="0.35">
      <c r="E16957" s="35"/>
      <c r="J16957" s="41"/>
    </row>
    <row r="16958" spans="5:10" s="34" customFormat="1" x14ac:dyDescent="0.35">
      <c r="E16958" s="35"/>
      <c r="J16958" s="41"/>
    </row>
    <row r="16959" spans="5:10" s="34" customFormat="1" x14ac:dyDescent="0.35">
      <c r="E16959" s="35"/>
      <c r="J16959" s="41"/>
    </row>
    <row r="16960" spans="5:10" s="34" customFormat="1" x14ac:dyDescent="0.35">
      <c r="E16960" s="35"/>
      <c r="J16960" s="41"/>
    </row>
    <row r="16961" spans="5:10" s="34" customFormat="1" x14ac:dyDescent="0.35">
      <c r="E16961" s="35"/>
      <c r="J16961" s="41"/>
    </row>
    <row r="16962" spans="5:10" s="34" customFormat="1" x14ac:dyDescent="0.35">
      <c r="E16962" s="35"/>
      <c r="J16962" s="41"/>
    </row>
    <row r="16963" spans="5:10" s="34" customFormat="1" x14ac:dyDescent="0.35">
      <c r="E16963" s="35"/>
      <c r="J16963" s="41"/>
    </row>
    <row r="16964" spans="5:10" s="34" customFormat="1" x14ac:dyDescent="0.35">
      <c r="E16964" s="35"/>
      <c r="J16964" s="41"/>
    </row>
    <row r="16965" spans="5:10" s="34" customFormat="1" x14ac:dyDescent="0.35">
      <c r="E16965" s="35"/>
      <c r="J16965" s="41"/>
    </row>
    <row r="16966" spans="5:10" s="34" customFormat="1" x14ac:dyDescent="0.35">
      <c r="E16966" s="35"/>
      <c r="J16966" s="41"/>
    </row>
    <row r="16967" spans="5:10" s="34" customFormat="1" x14ac:dyDescent="0.35">
      <c r="E16967" s="35"/>
      <c r="J16967" s="41"/>
    </row>
    <row r="16968" spans="5:10" s="34" customFormat="1" x14ac:dyDescent="0.35">
      <c r="E16968" s="35"/>
      <c r="J16968" s="41"/>
    </row>
    <row r="16969" spans="5:10" s="34" customFormat="1" x14ac:dyDescent="0.35">
      <c r="E16969" s="35"/>
      <c r="J16969" s="41"/>
    </row>
    <row r="16970" spans="5:10" s="34" customFormat="1" x14ac:dyDescent="0.35">
      <c r="E16970" s="35"/>
      <c r="J16970" s="41"/>
    </row>
    <row r="16971" spans="5:10" s="34" customFormat="1" x14ac:dyDescent="0.35">
      <c r="E16971" s="35"/>
      <c r="J16971" s="41"/>
    </row>
    <row r="16972" spans="5:10" s="34" customFormat="1" x14ac:dyDescent="0.35">
      <c r="E16972" s="35"/>
      <c r="J16972" s="41"/>
    </row>
    <row r="16973" spans="5:10" s="34" customFormat="1" x14ac:dyDescent="0.35">
      <c r="E16973" s="35"/>
      <c r="J16973" s="41"/>
    </row>
    <row r="16974" spans="5:10" s="34" customFormat="1" x14ac:dyDescent="0.35">
      <c r="E16974" s="35"/>
      <c r="J16974" s="41"/>
    </row>
    <row r="16975" spans="5:10" s="34" customFormat="1" x14ac:dyDescent="0.35">
      <c r="E16975" s="35"/>
      <c r="J16975" s="41"/>
    </row>
    <row r="16976" spans="5:10" s="34" customFormat="1" x14ac:dyDescent="0.35">
      <c r="E16976" s="35"/>
      <c r="J16976" s="41"/>
    </row>
    <row r="16977" spans="5:10" s="34" customFormat="1" x14ac:dyDescent="0.35">
      <c r="E16977" s="35"/>
      <c r="J16977" s="41"/>
    </row>
    <row r="16978" spans="5:10" s="34" customFormat="1" x14ac:dyDescent="0.35">
      <c r="E16978" s="35"/>
      <c r="J16978" s="41"/>
    </row>
    <row r="16979" spans="5:10" s="34" customFormat="1" x14ac:dyDescent="0.35">
      <c r="E16979" s="35"/>
      <c r="J16979" s="41"/>
    </row>
    <row r="16980" spans="5:10" s="34" customFormat="1" x14ac:dyDescent="0.35">
      <c r="E16980" s="35"/>
      <c r="J16980" s="41"/>
    </row>
    <row r="16981" spans="5:10" s="34" customFormat="1" x14ac:dyDescent="0.35">
      <c r="E16981" s="35"/>
      <c r="J16981" s="41"/>
    </row>
    <row r="16982" spans="5:10" s="34" customFormat="1" x14ac:dyDescent="0.35">
      <c r="E16982" s="35"/>
      <c r="J16982" s="41"/>
    </row>
    <row r="16983" spans="5:10" s="34" customFormat="1" x14ac:dyDescent="0.35">
      <c r="E16983" s="35"/>
      <c r="J16983" s="41"/>
    </row>
    <row r="16984" spans="5:10" s="34" customFormat="1" x14ac:dyDescent="0.35">
      <c r="E16984" s="35"/>
      <c r="J16984" s="41"/>
    </row>
    <row r="16985" spans="5:10" s="34" customFormat="1" x14ac:dyDescent="0.35">
      <c r="E16985" s="35"/>
      <c r="J16985" s="41"/>
    </row>
    <row r="16986" spans="5:10" s="34" customFormat="1" x14ac:dyDescent="0.35">
      <c r="E16986" s="35"/>
      <c r="J16986" s="41"/>
    </row>
    <row r="16987" spans="5:10" s="34" customFormat="1" x14ac:dyDescent="0.35">
      <c r="E16987" s="35"/>
      <c r="J16987" s="41"/>
    </row>
    <row r="16988" spans="5:10" s="34" customFormat="1" x14ac:dyDescent="0.35">
      <c r="E16988" s="35"/>
      <c r="J16988" s="41"/>
    </row>
    <row r="16989" spans="5:10" s="34" customFormat="1" x14ac:dyDescent="0.35">
      <c r="E16989" s="35"/>
      <c r="J16989" s="41"/>
    </row>
    <row r="16990" spans="5:10" s="34" customFormat="1" x14ac:dyDescent="0.35">
      <c r="E16990" s="35"/>
      <c r="J16990" s="41"/>
    </row>
    <row r="16991" spans="5:10" s="34" customFormat="1" x14ac:dyDescent="0.35">
      <c r="E16991" s="35"/>
      <c r="J16991" s="41"/>
    </row>
    <row r="16992" spans="5:10" s="34" customFormat="1" x14ac:dyDescent="0.35">
      <c r="E16992" s="35"/>
      <c r="J16992" s="41"/>
    </row>
    <row r="16993" spans="5:10" s="34" customFormat="1" x14ac:dyDescent="0.35">
      <c r="E16993" s="35"/>
      <c r="J16993" s="41"/>
    </row>
    <row r="16994" spans="5:10" s="34" customFormat="1" x14ac:dyDescent="0.35">
      <c r="E16994" s="35"/>
      <c r="J16994" s="41"/>
    </row>
    <row r="16995" spans="5:10" s="34" customFormat="1" x14ac:dyDescent="0.35">
      <c r="E16995" s="35"/>
      <c r="J16995" s="41"/>
    </row>
    <row r="16996" spans="5:10" s="34" customFormat="1" x14ac:dyDescent="0.35">
      <c r="E16996" s="35"/>
      <c r="J16996" s="41"/>
    </row>
    <row r="16997" spans="5:10" s="34" customFormat="1" x14ac:dyDescent="0.35">
      <c r="E16997" s="35"/>
      <c r="J16997" s="41"/>
    </row>
    <row r="16998" spans="5:10" s="34" customFormat="1" x14ac:dyDescent="0.35">
      <c r="E16998" s="35"/>
      <c r="J16998" s="41"/>
    </row>
    <row r="16999" spans="5:10" s="34" customFormat="1" x14ac:dyDescent="0.35">
      <c r="E16999" s="35"/>
      <c r="J16999" s="41"/>
    </row>
    <row r="17000" spans="5:10" s="34" customFormat="1" x14ac:dyDescent="0.35">
      <c r="E17000" s="35"/>
      <c r="J17000" s="41"/>
    </row>
    <row r="17001" spans="5:10" s="34" customFormat="1" x14ac:dyDescent="0.35">
      <c r="E17001" s="35"/>
      <c r="J17001" s="41"/>
    </row>
    <row r="17002" spans="5:10" s="34" customFormat="1" x14ac:dyDescent="0.35">
      <c r="E17002" s="35"/>
      <c r="J17002" s="41"/>
    </row>
    <row r="17003" spans="5:10" s="34" customFormat="1" x14ac:dyDescent="0.35">
      <c r="E17003" s="35"/>
      <c r="J17003" s="41"/>
    </row>
    <row r="17004" spans="5:10" s="34" customFormat="1" x14ac:dyDescent="0.35">
      <c r="E17004" s="35"/>
      <c r="J17004" s="41"/>
    </row>
    <row r="17005" spans="5:10" s="34" customFormat="1" x14ac:dyDescent="0.35">
      <c r="E17005" s="35"/>
      <c r="J17005" s="41"/>
    </row>
    <row r="17006" spans="5:10" s="34" customFormat="1" x14ac:dyDescent="0.35">
      <c r="E17006" s="35"/>
      <c r="J17006" s="41"/>
    </row>
    <row r="17007" spans="5:10" s="34" customFormat="1" x14ac:dyDescent="0.35">
      <c r="E17007" s="35"/>
      <c r="J17007" s="41"/>
    </row>
    <row r="17008" spans="5:10" s="34" customFormat="1" x14ac:dyDescent="0.35">
      <c r="E17008" s="35"/>
      <c r="J17008" s="41"/>
    </row>
    <row r="17009" spans="5:10" s="34" customFormat="1" x14ac:dyDescent="0.35">
      <c r="E17009" s="35"/>
      <c r="J17009" s="41"/>
    </row>
    <row r="17010" spans="5:10" s="34" customFormat="1" x14ac:dyDescent="0.35">
      <c r="E17010" s="35"/>
      <c r="J17010" s="41"/>
    </row>
    <row r="17011" spans="5:10" s="34" customFormat="1" x14ac:dyDescent="0.35">
      <c r="E17011" s="35"/>
      <c r="J17011" s="41"/>
    </row>
    <row r="17012" spans="5:10" s="34" customFormat="1" x14ac:dyDescent="0.35">
      <c r="E17012" s="35"/>
      <c r="J17012" s="41"/>
    </row>
    <row r="17013" spans="5:10" s="34" customFormat="1" x14ac:dyDescent="0.35">
      <c r="E17013" s="35"/>
      <c r="J17013" s="41"/>
    </row>
    <row r="17014" spans="5:10" s="34" customFormat="1" x14ac:dyDescent="0.35">
      <c r="E17014" s="35"/>
      <c r="J17014" s="41"/>
    </row>
    <row r="17015" spans="5:10" s="34" customFormat="1" x14ac:dyDescent="0.35">
      <c r="E17015" s="35"/>
      <c r="J17015" s="41"/>
    </row>
    <row r="17016" spans="5:10" s="34" customFormat="1" x14ac:dyDescent="0.35">
      <c r="E17016" s="35"/>
      <c r="J17016" s="41"/>
    </row>
    <row r="17017" spans="5:10" s="34" customFormat="1" x14ac:dyDescent="0.35">
      <c r="E17017" s="35"/>
      <c r="J17017" s="41"/>
    </row>
    <row r="17018" spans="5:10" s="34" customFormat="1" x14ac:dyDescent="0.35">
      <c r="E17018" s="35"/>
      <c r="J17018" s="41"/>
    </row>
    <row r="17019" spans="5:10" s="34" customFormat="1" x14ac:dyDescent="0.35">
      <c r="E17019" s="35"/>
      <c r="J17019" s="41"/>
    </row>
    <row r="17020" spans="5:10" s="34" customFormat="1" x14ac:dyDescent="0.35">
      <c r="E17020" s="35"/>
      <c r="J17020" s="41"/>
    </row>
    <row r="17021" spans="5:10" s="34" customFormat="1" x14ac:dyDescent="0.35">
      <c r="E17021" s="35"/>
      <c r="J17021" s="41"/>
    </row>
    <row r="17022" spans="5:10" s="34" customFormat="1" x14ac:dyDescent="0.35">
      <c r="E17022" s="35"/>
      <c r="J17022" s="41"/>
    </row>
    <row r="17023" spans="5:10" s="34" customFormat="1" x14ac:dyDescent="0.35">
      <c r="E17023" s="35"/>
      <c r="J17023" s="41"/>
    </row>
    <row r="17024" spans="5:10" s="34" customFormat="1" x14ac:dyDescent="0.35">
      <c r="E17024" s="35"/>
      <c r="J17024" s="41"/>
    </row>
    <row r="17025" spans="5:10" s="34" customFormat="1" x14ac:dyDescent="0.35">
      <c r="E17025" s="35"/>
      <c r="J17025" s="41"/>
    </row>
    <row r="17026" spans="5:10" s="34" customFormat="1" x14ac:dyDescent="0.35">
      <c r="E17026" s="35"/>
      <c r="J17026" s="41"/>
    </row>
    <row r="17027" spans="5:10" s="34" customFormat="1" x14ac:dyDescent="0.35">
      <c r="E17027" s="35"/>
      <c r="J17027" s="41"/>
    </row>
    <row r="17028" spans="5:10" s="34" customFormat="1" x14ac:dyDescent="0.35">
      <c r="E17028" s="35"/>
      <c r="J17028" s="41"/>
    </row>
    <row r="17029" spans="5:10" s="34" customFormat="1" x14ac:dyDescent="0.35">
      <c r="E17029" s="35"/>
      <c r="J17029" s="41"/>
    </row>
    <row r="17030" spans="5:10" s="34" customFormat="1" x14ac:dyDescent="0.35">
      <c r="E17030" s="35"/>
      <c r="J17030" s="41"/>
    </row>
    <row r="17031" spans="5:10" s="34" customFormat="1" x14ac:dyDescent="0.35">
      <c r="E17031" s="35"/>
      <c r="J17031" s="41"/>
    </row>
    <row r="17032" spans="5:10" s="34" customFormat="1" x14ac:dyDescent="0.35">
      <c r="E17032" s="35"/>
      <c r="J17032" s="41"/>
    </row>
    <row r="17033" spans="5:10" s="34" customFormat="1" x14ac:dyDescent="0.35">
      <c r="E17033" s="35"/>
      <c r="J17033" s="41"/>
    </row>
    <row r="17034" spans="5:10" s="34" customFormat="1" x14ac:dyDescent="0.35">
      <c r="E17034" s="35"/>
      <c r="J17034" s="41"/>
    </row>
    <row r="17035" spans="5:10" s="34" customFormat="1" x14ac:dyDescent="0.35">
      <c r="E17035" s="35"/>
      <c r="J17035" s="41"/>
    </row>
    <row r="17036" spans="5:10" s="34" customFormat="1" x14ac:dyDescent="0.35">
      <c r="E17036" s="35"/>
      <c r="J17036" s="41"/>
    </row>
    <row r="17037" spans="5:10" s="34" customFormat="1" x14ac:dyDescent="0.35">
      <c r="E17037" s="35"/>
      <c r="J17037" s="41"/>
    </row>
    <row r="17038" spans="5:10" s="34" customFormat="1" x14ac:dyDescent="0.35">
      <c r="E17038" s="35"/>
      <c r="J17038" s="41"/>
    </row>
    <row r="17039" spans="5:10" s="34" customFormat="1" x14ac:dyDescent="0.35">
      <c r="E17039" s="35"/>
      <c r="J17039" s="41"/>
    </row>
    <row r="17040" spans="5:10" s="34" customFormat="1" x14ac:dyDescent="0.35">
      <c r="E17040" s="35"/>
      <c r="J17040" s="41"/>
    </row>
    <row r="17041" spans="5:10" s="34" customFormat="1" x14ac:dyDescent="0.35">
      <c r="E17041" s="35"/>
      <c r="J17041" s="41"/>
    </row>
    <row r="17042" spans="5:10" s="34" customFormat="1" x14ac:dyDescent="0.35">
      <c r="E17042" s="35"/>
      <c r="J17042" s="41"/>
    </row>
    <row r="17043" spans="5:10" s="34" customFormat="1" x14ac:dyDescent="0.35">
      <c r="E17043" s="35"/>
      <c r="J17043" s="41"/>
    </row>
    <row r="17044" spans="5:10" s="34" customFormat="1" x14ac:dyDescent="0.35">
      <c r="E17044" s="35"/>
      <c r="J17044" s="41"/>
    </row>
    <row r="17045" spans="5:10" s="34" customFormat="1" x14ac:dyDescent="0.35">
      <c r="E17045" s="35"/>
      <c r="J17045" s="41"/>
    </row>
    <row r="17046" spans="5:10" s="34" customFormat="1" x14ac:dyDescent="0.35">
      <c r="E17046" s="35"/>
      <c r="J17046" s="41"/>
    </row>
    <row r="17047" spans="5:10" s="34" customFormat="1" x14ac:dyDescent="0.35">
      <c r="E17047" s="35"/>
      <c r="J17047" s="41"/>
    </row>
    <row r="17048" spans="5:10" s="34" customFormat="1" x14ac:dyDescent="0.35">
      <c r="E17048" s="35"/>
      <c r="J17048" s="41"/>
    </row>
    <row r="17049" spans="5:10" s="34" customFormat="1" x14ac:dyDescent="0.35">
      <c r="E17049" s="35"/>
      <c r="J17049" s="41"/>
    </row>
    <row r="17050" spans="5:10" s="34" customFormat="1" x14ac:dyDescent="0.35">
      <c r="E17050" s="35"/>
      <c r="J17050" s="41"/>
    </row>
    <row r="17051" spans="5:10" s="34" customFormat="1" x14ac:dyDescent="0.35">
      <c r="E17051" s="35"/>
      <c r="J17051" s="41"/>
    </row>
    <row r="17052" spans="5:10" s="34" customFormat="1" x14ac:dyDescent="0.35">
      <c r="E17052" s="35"/>
      <c r="J17052" s="41"/>
    </row>
    <row r="17053" spans="5:10" s="34" customFormat="1" x14ac:dyDescent="0.35">
      <c r="E17053" s="35"/>
      <c r="J17053" s="41"/>
    </row>
    <row r="17054" spans="5:10" s="34" customFormat="1" x14ac:dyDescent="0.35">
      <c r="E17054" s="35"/>
      <c r="J17054" s="41"/>
    </row>
    <row r="17055" spans="5:10" s="34" customFormat="1" x14ac:dyDescent="0.35">
      <c r="E17055" s="35"/>
      <c r="J17055" s="41"/>
    </row>
    <row r="17056" spans="5:10" s="34" customFormat="1" x14ac:dyDescent="0.35">
      <c r="E17056" s="35"/>
      <c r="J17056" s="41"/>
    </row>
    <row r="17057" spans="5:10" s="34" customFormat="1" x14ac:dyDescent="0.35">
      <c r="E17057" s="35"/>
      <c r="J17057" s="41"/>
    </row>
    <row r="17058" spans="5:10" s="34" customFormat="1" x14ac:dyDescent="0.35">
      <c r="E17058" s="35"/>
      <c r="J17058" s="41"/>
    </row>
    <row r="17059" spans="5:10" s="34" customFormat="1" x14ac:dyDescent="0.35">
      <c r="E17059" s="35"/>
      <c r="J17059" s="41"/>
    </row>
    <row r="17060" spans="5:10" s="34" customFormat="1" x14ac:dyDescent="0.35">
      <c r="E17060" s="35"/>
      <c r="J17060" s="41"/>
    </row>
    <row r="17061" spans="5:10" s="34" customFormat="1" x14ac:dyDescent="0.35">
      <c r="E17061" s="35"/>
      <c r="J17061" s="41"/>
    </row>
    <row r="17062" spans="5:10" s="34" customFormat="1" x14ac:dyDescent="0.35">
      <c r="E17062" s="35"/>
      <c r="J17062" s="41"/>
    </row>
    <row r="17063" spans="5:10" s="34" customFormat="1" x14ac:dyDescent="0.35">
      <c r="E17063" s="35"/>
      <c r="J17063" s="41"/>
    </row>
    <row r="17064" spans="5:10" s="34" customFormat="1" x14ac:dyDescent="0.35">
      <c r="E17064" s="35"/>
      <c r="J17064" s="41"/>
    </row>
    <row r="17065" spans="5:10" s="34" customFormat="1" x14ac:dyDescent="0.35">
      <c r="E17065" s="35"/>
      <c r="J17065" s="41"/>
    </row>
    <row r="17066" spans="5:10" s="34" customFormat="1" x14ac:dyDescent="0.35">
      <c r="E17066" s="35"/>
      <c r="J17066" s="41"/>
    </row>
    <row r="17067" spans="5:10" s="34" customFormat="1" x14ac:dyDescent="0.35">
      <c r="E17067" s="35"/>
      <c r="J17067" s="41"/>
    </row>
    <row r="17068" spans="5:10" s="34" customFormat="1" x14ac:dyDescent="0.35">
      <c r="E17068" s="35"/>
      <c r="J17068" s="41"/>
    </row>
    <row r="17069" spans="5:10" s="34" customFormat="1" x14ac:dyDescent="0.35">
      <c r="E17069" s="35"/>
      <c r="J17069" s="41"/>
    </row>
    <row r="17070" spans="5:10" s="34" customFormat="1" x14ac:dyDescent="0.35">
      <c r="E17070" s="35"/>
      <c r="J17070" s="41"/>
    </row>
    <row r="17071" spans="5:10" s="34" customFormat="1" x14ac:dyDescent="0.35">
      <c r="E17071" s="35"/>
      <c r="J17071" s="41"/>
    </row>
    <row r="17072" spans="5:10" s="34" customFormat="1" x14ac:dyDescent="0.35">
      <c r="E17072" s="35"/>
      <c r="J17072" s="41"/>
    </row>
    <row r="17073" spans="5:10" s="34" customFormat="1" x14ac:dyDescent="0.35">
      <c r="E17073" s="35"/>
      <c r="J17073" s="41"/>
    </row>
    <row r="17074" spans="5:10" s="34" customFormat="1" x14ac:dyDescent="0.35">
      <c r="E17074" s="35"/>
      <c r="J17074" s="41"/>
    </row>
    <row r="17075" spans="5:10" s="34" customFormat="1" x14ac:dyDescent="0.35">
      <c r="E17075" s="35"/>
      <c r="J17075" s="41"/>
    </row>
    <row r="17076" spans="5:10" s="34" customFormat="1" x14ac:dyDescent="0.35">
      <c r="E17076" s="35"/>
      <c r="J17076" s="41"/>
    </row>
    <row r="17077" spans="5:10" s="34" customFormat="1" x14ac:dyDescent="0.35">
      <c r="E17077" s="35"/>
      <c r="J17077" s="41"/>
    </row>
    <row r="17078" spans="5:10" s="34" customFormat="1" x14ac:dyDescent="0.35">
      <c r="E17078" s="35"/>
      <c r="J17078" s="41"/>
    </row>
    <row r="17079" spans="5:10" s="34" customFormat="1" x14ac:dyDescent="0.35">
      <c r="E17079" s="35"/>
      <c r="J17079" s="41"/>
    </row>
    <row r="17080" spans="5:10" s="34" customFormat="1" x14ac:dyDescent="0.35">
      <c r="E17080" s="35"/>
      <c r="J17080" s="41"/>
    </row>
    <row r="17081" spans="5:10" s="34" customFormat="1" x14ac:dyDescent="0.35">
      <c r="E17081" s="35"/>
      <c r="J17081" s="41"/>
    </row>
    <row r="17082" spans="5:10" s="34" customFormat="1" x14ac:dyDescent="0.35">
      <c r="E17082" s="35"/>
      <c r="J17082" s="41"/>
    </row>
    <row r="17083" spans="5:10" s="34" customFormat="1" x14ac:dyDescent="0.35">
      <c r="E17083" s="35"/>
      <c r="J17083" s="41"/>
    </row>
    <row r="17084" spans="5:10" s="34" customFormat="1" x14ac:dyDescent="0.35">
      <c r="E17084" s="35"/>
      <c r="J17084" s="41"/>
    </row>
    <row r="17085" spans="5:10" s="34" customFormat="1" x14ac:dyDescent="0.35">
      <c r="E17085" s="35"/>
      <c r="J17085" s="41"/>
    </row>
    <row r="17086" spans="5:10" s="34" customFormat="1" x14ac:dyDescent="0.35">
      <c r="E17086" s="35"/>
      <c r="J17086" s="41"/>
    </row>
    <row r="17087" spans="5:10" s="34" customFormat="1" x14ac:dyDescent="0.35">
      <c r="E17087" s="35"/>
      <c r="J17087" s="41"/>
    </row>
    <row r="17088" spans="5:10" s="34" customFormat="1" x14ac:dyDescent="0.35">
      <c r="E17088" s="35"/>
      <c r="J17088" s="41"/>
    </row>
    <row r="17089" spans="5:10" s="34" customFormat="1" x14ac:dyDescent="0.35">
      <c r="E17089" s="35"/>
      <c r="J17089" s="41"/>
    </row>
    <row r="17090" spans="5:10" s="34" customFormat="1" x14ac:dyDescent="0.35">
      <c r="E17090" s="35"/>
      <c r="J17090" s="41"/>
    </row>
    <row r="17091" spans="5:10" s="34" customFormat="1" x14ac:dyDescent="0.35">
      <c r="E17091" s="35"/>
      <c r="J17091" s="41"/>
    </row>
    <row r="17092" spans="5:10" s="34" customFormat="1" x14ac:dyDescent="0.35">
      <c r="E17092" s="35"/>
      <c r="J17092" s="41"/>
    </row>
    <row r="17093" spans="5:10" s="34" customFormat="1" x14ac:dyDescent="0.35">
      <c r="E17093" s="35"/>
      <c r="J17093" s="41"/>
    </row>
    <row r="17094" spans="5:10" s="34" customFormat="1" x14ac:dyDescent="0.35">
      <c r="E17094" s="35"/>
      <c r="J17094" s="41"/>
    </row>
    <row r="17095" spans="5:10" s="34" customFormat="1" x14ac:dyDescent="0.35">
      <c r="E17095" s="35"/>
      <c r="J17095" s="41"/>
    </row>
    <row r="17096" spans="5:10" s="34" customFormat="1" x14ac:dyDescent="0.35">
      <c r="E17096" s="35"/>
      <c r="J17096" s="41"/>
    </row>
    <row r="17097" spans="5:10" s="34" customFormat="1" x14ac:dyDescent="0.35">
      <c r="E17097" s="35"/>
      <c r="J17097" s="41"/>
    </row>
    <row r="17098" spans="5:10" s="34" customFormat="1" x14ac:dyDescent="0.35">
      <c r="E17098" s="35"/>
      <c r="J17098" s="41"/>
    </row>
    <row r="17099" spans="5:10" s="34" customFormat="1" x14ac:dyDescent="0.35">
      <c r="E17099" s="35"/>
      <c r="J17099" s="41"/>
    </row>
    <row r="17100" spans="5:10" s="34" customFormat="1" x14ac:dyDescent="0.35">
      <c r="E17100" s="35"/>
      <c r="J17100" s="41"/>
    </row>
    <row r="17101" spans="5:10" s="34" customFormat="1" x14ac:dyDescent="0.35">
      <c r="E17101" s="35"/>
      <c r="J17101" s="41"/>
    </row>
    <row r="17102" spans="5:10" s="34" customFormat="1" x14ac:dyDescent="0.35">
      <c r="E17102" s="35"/>
      <c r="J17102" s="41"/>
    </row>
    <row r="17103" spans="5:10" s="34" customFormat="1" x14ac:dyDescent="0.35">
      <c r="E17103" s="35"/>
      <c r="J17103" s="41"/>
    </row>
    <row r="17104" spans="5:10" s="34" customFormat="1" x14ac:dyDescent="0.35">
      <c r="E17104" s="35"/>
      <c r="J17104" s="41"/>
    </row>
    <row r="17105" spans="5:10" s="34" customFormat="1" x14ac:dyDescent="0.35">
      <c r="E17105" s="35"/>
      <c r="J17105" s="41"/>
    </row>
    <row r="17106" spans="5:10" s="34" customFormat="1" x14ac:dyDescent="0.35">
      <c r="E17106" s="35"/>
      <c r="J17106" s="41"/>
    </row>
    <row r="17107" spans="5:10" s="34" customFormat="1" x14ac:dyDescent="0.35">
      <c r="E17107" s="35"/>
      <c r="J17107" s="41"/>
    </row>
    <row r="17108" spans="5:10" s="34" customFormat="1" x14ac:dyDescent="0.35">
      <c r="E17108" s="35"/>
      <c r="J17108" s="41"/>
    </row>
    <row r="17109" spans="5:10" s="34" customFormat="1" x14ac:dyDescent="0.35">
      <c r="E17109" s="35"/>
      <c r="J17109" s="41"/>
    </row>
    <row r="17110" spans="5:10" s="34" customFormat="1" x14ac:dyDescent="0.35">
      <c r="E17110" s="35"/>
      <c r="J17110" s="41"/>
    </row>
    <row r="17111" spans="5:10" s="34" customFormat="1" x14ac:dyDescent="0.35">
      <c r="E17111" s="35"/>
      <c r="J17111" s="41"/>
    </row>
    <row r="17112" spans="5:10" s="34" customFormat="1" x14ac:dyDescent="0.35">
      <c r="E17112" s="35"/>
      <c r="J17112" s="41"/>
    </row>
    <row r="17113" spans="5:10" s="34" customFormat="1" x14ac:dyDescent="0.35">
      <c r="E17113" s="35"/>
      <c r="J17113" s="41"/>
    </row>
    <row r="17114" spans="5:10" s="34" customFormat="1" x14ac:dyDescent="0.35">
      <c r="E17114" s="35"/>
      <c r="J17114" s="41"/>
    </row>
    <row r="17115" spans="5:10" s="34" customFormat="1" x14ac:dyDescent="0.35">
      <c r="E17115" s="35"/>
      <c r="J17115" s="41"/>
    </row>
    <row r="17116" spans="5:10" s="34" customFormat="1" x14ac:dyDescent="0.35">
      <c r="E17116" s="35"/>
      <c r="J17116" s="41"/>
    </row>
    <row r="17117" spans="5:10" s="34" customFormat="1" x14ac:dyDescent="0.35">
      <c r="E17117" s="35"/>
      <c r="J17117" s="41"/>
    </row>
    <row r="17118" spans="5:10" s="34" customFormat="1" x14ac:dyDescent="0.35">
      <c r="E17118" s="35"/>
      <c r="J17118" s="41"/>
    </row>
    <row r="17119" spans="5:10" s="34" customFormat="1" x14ac:dyDescent="0.35">
      <c r="E17119" s="35"/>
      <c r="J17119" s="41"/>
    </row>
    <row r="17120" spans="5:10" s="34" customFormat="1" x14ac:dyDescent="0.35">
      <c r="E17120" s="35"/>
      <c r="J17120" s="41"/>
    </row>
    <row r="17121" spans="5:10" s="34" customFormat="1" x14ac:dyDescent="0.35">
      <c r="E17121" s="35"/>
      <c r="J17121" s="41"/>
    </row>
    <row r="17122" spans="5:10" s="34" customFormat="1" x14ac:dyDescent="0.35">
      <c r="E17122" s="35"/>
      <c r="J17122" s="41"/>
    </row>
    <row r="17123" spans="5:10" s="34" customFormat="1" x14ac:dyDescent="0.35">
      <c r="E17123" s="35"/>
      <c r="J17123" s="41"/>
    </row>
    <row r="17124" spans="5:10" s="34" customFormat="1" x14ac:dyDescent="0.35">
      <c r="E17124" s="35"/>
      <c r="J17124" s="41"/>
    </row>
    <row r="17125" spans="5:10" s="34" customFormat="1" x14ac:dyDescent="0.35">
      <c r="E17125" s="35"/>
      <c r="J17125" s="41"/>
    </row>
    <row r="17126" spans="5:10" s="34" customFormat="1" x14ac:dyDescent="0.35">
      <c r="E17126" s="35"/>
      <c r="J17126" s="41"/>
    </row>
    <row r="17127" spans="5:10" s="34" customFormat="1" x14ac:dyDescent="0.35">
      <c r="E17127" s="35"/>
      <c r="J17127" s="41"/>
    </row>
    <row r="17128" spans="5:10" s="34" customFormat="1" x14ac:dyDescent="0.35">
      <c r="E17128" s="35"/>
      <c r="J17128" s="41"/>
    </row>
    <row r="17129" spans="5:10" s="34" customFormat="1" x14ac:dyDescent="0.35">
      <c r="E17129" s="35"/>
      <c r="J17129" s="41"/>
    </row>
    <row r="17130" spans="5:10" s="34" customFormat="1" x14ac:dyDescent="0.35">
      <c r="E17130" s="35"/>
      <c r="J17130" s="41"/>
    </row>
    <row r="17131" spans="5:10" s="34" customFormat="1" x14ac:dyDescent="0.35">
      <c r="E17131" s="35"/>
      <c r="J17131" s="41"/>
    </row>
    <row r="17132" spans="5:10" s="34" customFormat="1" x14ac:dyDescent="0.35">
      <c r="E17132" s="35"/>
      <c r="J17132" s="41"/>
    </row>
    <row r="17133" spans="5:10" s="34" customFormat="1" x14ac:dyDescent="0.35">
      <c r="E17133" s="35"/>
      <c r="J17133" s="41"/>
    </row>
    <row r="17134" spans="5:10" s="34" customFormat="1" x14ac:dyDescent="0.35">
      <c r="E17134" s="35"/>
      <c r="J17134" s="41"/>
    </row>
    <row r="17135" spans="5:10" s="34" customFormat="1" x14ac:dyDescent="0.35">
      <c r="E17135" s="35"/>
      <c r="J17135" s="41"/>
    </row>
    <row r="17136" spans="5:10" s="34" customFormat="1" x14ac:dyDescent="0.35">
      <c r="E17136" s="35"/>
      <c r="J17136" s="41"/>
    </row>
    <row r="17137" spans="5:10" s="34" customFormat="1" x14ac:dyDescent="0.35">
      <c r="E17137" s="35"/>
      <c r="J17137" s="41"/>
    </row>
    <row r="17138" spans="5:10" s="34" customFormat="1" x14ac:dyDescent="0.35">
      <c r="E17138" s="35"/>
      <c r="J17138" s="41"/>
    </row>
    <row r="17139" spans="5:10" s="34" customFormat="1" x14ac:dyDescent="0.35">
      <c r="E17139" s="35"/>
      <c r="J17139" s="41"/>
    </row>
    <row r="17140" spans="5:10" s="34" customFormat="1" x14ac:dyDescent="0.35">
      <c r="E17140" s="35"/>
      <c r="J17140" s="41"/>
    </row>
    <row r="17141" spans="5:10" s="34" customFormat="1" x14ac:dyDescent="0.35">
      <c r="E17141" s="35"/>
      <c r="J17141" s="41"/>
    </row>
    <row r="17142" spans="5:10" s="34" customFormat="1" x14ac:dyDescent="0.35">
      <c r="E17142" s="35"/>
      <c r="J17142" s="41"/>
    </row>
    <row r="17143" spans="5:10" s="34" customFormat="1" x14ac:dyDescent="0.35">
      <c r="E17143" s="35"/>
      <c r="J17143" s="41"/>
    </row>
    <row r="17144" spans="5:10" s="34" customFormat="1" x14ac:dyDescent="0.35">
      <c r="E17144" s="35"/>
      <c r="J17144" s="41"/>
    </row>
    <row r="17145" spans="5:10" s="34" customFormat="1" x14ac:dyDescent="0.35">
      <c r="E17145" s="35"/>
      <c r="J17145" s="41"/>
    </row>
    <row r="17146" spans="5:10" s="34" customFormat="1" x14ac:dyDescent="0.35">
      <c r="E17146" s="35"/>
      <c r="J17146" s="41"/>
    </row>
    <row r="17147" spans="5:10" s="34" customFormat="1" x14ac:dyDescent="0.35">
      <c r="E17147" s="35"/>
      <c r="J17147" s="41"/>
    </row>
    <row r="17148" spans="5:10" s="34" customFormat="1" x14ac:dyDescent="0.35">
      <c r="E17148" s="35"/>
      <c r="J17148" s="41"/>
    </row>
    <row r="17149" spans="5:10" s="34" customFormat="1" x14ac:dyDescent="0.35">
      <c r="E17149" s="35"/>
      <c r="J17149" s="41"/>
    </row>
    <row r="17150" spans="5:10" s="34" customFormat="1" x14ac:dyDescent="0.35">
      <c r="E17150" s="35"/>
      <c r="J17150" s="41"/>
    </row>
    <row r="17151" spans="5:10" s="34" customFormat="1" x14ac:dyDescent="0.35">
      <c r="E17151" s="35"/>
      <c r="J17151" s="41"/>
    </row>
    <row r="17152" spans="5:10" s="34" customFormat="1" x14ac:dyDescent="0.35">
      <c r="E17152" s="35"/>
      <c r="J17152" s="41"/>
    </row>
    <row r="17153" spans="5:10" s="34" customFormat="1" x14ac:dyDescent="0.35">
      <c r="E17153" s="35"/>
      <c r="J17153" s="41"/>
    </row>
    <row r="17154" spans="5:10" s="34" customFormat="1" x14ac:dyDescent="0.35">
      <c r="E17154" s="35"/>
      <c r="J17154" s="41"/>
    </row>
    <row r="17155" spans="5:10" s="34" customFormat="1" x14ac:dyDescent="0.35">
      <c r="E17155" s="35"/>
      <c r="J17155" s="41"/>
    </row>
    <row r="17156" spans="5:10" s="34" customFormat="1" x14ac:dyDescent="0.35">
      <c r="E17156" s="35"/>
      <c r="J17156" s="41"/>
    </row>
    <row r="17157" spans="5:10" s="34" customFormat="1" x14ac:dyDescent="0.35">
      <c r="E17157" s="35"/>
      <c r="J17157" s="41"/>
    </row>
    <row r="17158" spans="5:10" s="34" customFormat="1" x14ac:dyDescent="0.35">
      <c r="E17158" s="35"/>
      <c r="J17158" s="41"/>
    </row>
    <row r="17159" spans="5:10" s="34" customFormat="1" x14ac:dyDescent="0.35">
      <c r="E17159" s="35"/>
      <c r="J17159" s="41"/>
    </row>
    <row r="17160" spans="5:10" s="34" customFormat="1" x14ac:dyDescent="0.35">
      <c r="E17160" s="35"/>
      <c r="J17160" s="41"/>
    </row>
    <row r="17161" spans="5:10" s="34" customFormat="1" x14ac:dyDescent="0.35">
      <c r="E17161" s="35"/>
      <c r="J17161" s="41"/>
    </row>
    <row r="17162" spans="5:10" s="34" customFormat="1" x14ac:dyDescent="0.35">
      <c r="E17162" s="35"/>
      <c r="J17162" s="41"/>
    </row>
    <row r="17163" spans="5:10" s="34" customFormat="1" x14ac:dyDescent="0.35">
      <c r="E17163" s="35"/>
      <c r="J17163" s="41"/>
    </row>
    <row r="17164" spans="5:10" s="34" customFormat="1" x14ac:dyDescent="0.35">
      <c r="E17164" s="35"/>
      <c r="J17164" s="41"/>
    </row>
    <row r="17165" spans="5:10" s="34" customFormat="1" x14ac:dyDescent="0.35">
      <c r="E17165" s="35"/>
      <c r="J17165" s="41"/>
    </row>
    <row r="17166" spans="5:10" s="34" customFormat="1" x14ac:dyDescent="0.35">
      <c r="E17166" s="35"/>
      <c r="J17166" s="41"/>
    </row>
    <row r="17167" spans="5:10" s="34" customFormat="1" x14ac:dyDescent="0.35">
      <c r="E17167" s="35"/>
      <c r="J17167" s="41"/>
    </row>
    <row r="17168" spans="5:10" s="34" customFormat="1" x14ac:dyDescent="0.35">
      <c r="E17168" s="35"/>
      <c r="J17168" s="41"/>
    </row>
    <row r="17169" spans="5:10" s="34" customFormat="1" x14ac:dyDescent="0.35">
      <c r="E17169" s="35"/>
      <c r="J17169" s="41"/>
    </row>
    <row r="17170" spans="5:10" s="34" customFormat="1" x14ac:dyDescent="0.35">
      <c r="E17170" s="35"/>
      <c r="J17170" s="41"/>
    </row>
    <row r="17171" spans="5:10" s="34" customFormat="1" x14ac:dyDescent="0.35">
      <c r="E17171" s="35"/>
      <c r="J17171" s="41"/>
    </row>
    <row r="17172" spans="5:10" s="34" customFormat="1" x14ac:dyDescent="0.35">
      <c r="E17172" s="35"/>
      <c r="J17172" s="41"/>
    </row>
    <row r="17173" spans="5:10" s="34" customFormat="1" x14ac:dyDescent="0.35">
      <c r="E17173" s="35"/>
      <c r="J17173" s="41"/>
    </row>
    <row r="17174" spans="5:10" s="34" customFormat="1" x14ac:dyDescent="0.35">
      <c r="E17174" s="35"/>
      <c r="J17174" s="41"/>
    </row>
    <row r="17175" spans="5:10" s="34" customFormat="1" x14ac:dyDescent="0.35">
      <c r="E17175" s="35"/>
      <c r="J17175" s="41"/>
    </row>
    <row r="17176" spans="5:10" s="34" customFormat="1" x14ac:dyDescent="0.35">
      <c r="E17176" s="35"/>
      <c r="J17176" s="41"/>
    </row>
    <row r="17177" spans="5:10" s="34" customFormat="1" x14ac:dyDescent="0.35">
      <c r="E17177" s="35"/>
      <c r="J17177" s="41"/>
    </row>
    <row r="17178" spans="5:10" s="34" customFormat="1" x14ac:dyDescent="0.35">
      <c r="E17178" s="35"/>
      <c r="J17178" s="41"/>
    </row>
    <row r="17179" spans="5:10" s="34" customFormat="1" x14ac:dyDescent="0.35">
      <c r="E17179" s="35"/>
      <c r="J17179" s="41"/>
    </row>
    <row r="17180" spans="5:10" s="34" customFormat="1" x14ac:dyDescent="0.35">
      <c r="E17180" s="35"/>
      <c r="J17180" s="41"/>
    </row>
    <row r="17181" spans="5:10" s="34" customFormat="1" x14ac:dyDescent="0.35">
      <c r="E17181" s="35"/>
      <c r="J17181" s="41"/>
    </row>
    <row r="17182" spans="5:10" s="34" customFormat="1" x14ac:dyDescent="0.35">
      <c r="E17182" s="35"/>
      <c r="J17182" s="41"/>
    </row>
    <row r="17183" spans="5:10" s="34" customFormat="1" x14ac:dyDescent="0.35">
      <c r="E17183" s="35"/>
      <c r="J17183" s="41"/>
    </row>
    <row r="17184" spans="5:10" s="34" customFormat="1" x14ac:dyDescent="0.35">
      <c r="E17184" s="35"/>
      <c r="J17184" s="41"/>
    </row>
    <row r="17185" spans="5:10" s="34" customFormat="1" x14ac:dyDescent="0.35">
      <c r="E17185" s="35"/>
      <c r="J17185" s="41"/>
    </row>
    <row r="17186" spans="5:10" s="34" customFormat="1" x14ac:dyDescent="0.35">
      <c r="E17186" s="35"/>
      <c r="J17186" s="41"/>
    </row>
    <row r="17187" spans="5:10" s="34" customFormat="1" x14ac:dyDescent="0.35">
      <c r="E17187" s="35"/>
      <c r="J17187" s="41"/>
    </row>
    <row r="17188" spans="5:10" s="34" customFormat="1" x14ac:dyDescent="0.35">
      <c r="E17188" s="35"/>
      <c r="J17188" s="41"/>
    </row>
    <row r="17189" spans="5:10" s="34" customFormat="1" x14ac:dyDescent="0.35">
      <c r="E17189" s="35"/>
      <c r="J17189" s="41"/>
    </row>
    <row r="17190" spans="5:10" s="34" customFormat="1" x14ac:dyDescent="0.35">
      <c r="E17190" s="35"/>
      <c r="J17190" s="41"/>
    </row>
    <row r="17191" spans="5:10" s="34" customFormat="1" x14ac:dyDescent="0.35">
      <c r="E17191" s="35"/>
      <c r="J17191" s="41"/>
    </row>
    <row r="17192" spans="5:10" s="34" customFormat="1" x14ac:dyDescent="0.35">
      <c r="E17192" s="35"/>
      <c r="J17192" s="41"/>
    </row>
    <row r="17193" spans="5:10" s="34" customFormat="1" x14ac:dyDescent="0.35">
      <c r="E17193" s="35"/>
      <c r="J17193" s="41"/>
    </row>
    <row r="17194" spans="5:10" s="34" customFormat="1" x14ac:dyDescent="0.35">
      <c r="E17194" s="35"/>
      <c r="J17194" s="41"/>
    </row>
    <row r="17195" spans="5:10" s="34" customFormat="1" x14ac:dyDescent="0.35">
      <c r="E17195" s="35"/>
      <c r="J17195" s="41"/>
    </row>
    <row r="17196" spans="5:10" s="34" customFormat="1" x14ac:dyDescent="0.35">
      <c r="E17196" s="35"/>
      <c r="J17196" s="41"/>
    </row>
    <row r="17197" spans="5:10" s="34" customFormat="1" x14ac:dyDescent="0.35">
      <c r="E17197" s="35"/>
      <c r="J17197" s="41"/>
    </row>
    <row r="17198" spans="5:10" s="34" customFormat="1" x14ac:dyDescent="0.35">
      <c r="E17198" s="35"/>
      <c r="J17198" s="41"/>
    </row>
    <row r="17199" spans="5:10" s="34" customFormat="1" x14ac:dyDescent="0.35">
      <c r="E17199" s="35"/>
      <c r="J17199" s="41"/>
    </row>
    <row r="17200" spans="5:10" s="34" customFormat="1" x14ac:dyDescent="0.35">
      <c r="E17200" s="35"/>
      <c r="J17200" s="41"/>
    </row>
    <row r="17201" spans="5:10" s="34" customFormat="1" x14ac:dyDescent="0.35">
      <c r="E17201" s="35"/>
      <c r="J17201" s="41"/>
    </row>
    <row r="17202" spans="5:10" s="34" customFormat="1" x14ac:dyDescent="0.35">
      <c r="E17202" s="35"/>
      <c r="J17202" s="41"/>
    </row>
    <row r="17203" spans="5:10" s="34" customFormat="1" x14ac:dyDescent="0.35">
      <c r="E17203" s="35"/>
      <c r="J17203" s="41"/>
    </row>
    <row r="17204" spans="5:10" s="34" customFormat="1" x14ac:dyDescent="0.35">
      <c r="E17204" s="35"/>
      <c r="J17204" s="41"/>
    </row>
    <row r="17205" spans="5:10" s="34" customFormat="1" x14ac:dyDescent="0.35">
      <c r="E17205" s="35"/>
      <c r="J17205" s="41"/>
    </row>
    <row r="17206" spans="5:10" s="34" customFormat="1" x14ac:dyDescent="0.35">
      <c r="E17206" s="35"/>
      <c r="J17206" s="41"/>
    </row>
    <row r="17207" spans="5:10" s="34" customFormat="1" x14ac:dyDescent="0.35">
      <c r="E17207" s="35"/>
      <c r="J17207" s="41"/>
    </row>
    <row r="17208" spans="5:10" s="34" customFormat="1" x14ac:dyDescent="0.35">
      <c r="E17208" s="35"/>
      <c r="J17208" s="41"/>
    </row>
    <row r="17209" spans="5:10" s="34" customFormat="1" x14ac:dyDescent="0.35">
      <c r="E17209" s="35"/>
      <c r="J17209" s="41"/>
    </row>
    <row r="17210" spans="5:10" s="34" customFormat="1" x14ac:dyDescent="0.35">
      <c r="E17210" s="35"/>
      <c r="J17210" s="41"/>
    </row>
    <row r="17211" spans="5:10" s="34" customFormat="1" x14ac:dyDescent="0.35">
      <c r="E17211" s="35"/>
      <c r="J17211" s="41"/>
    </row>
    <row r="17212" spans="5:10" s="34" customFormat="1" x14ac:dyDescent="0.35">
      <c r="E17212" s="35"/>
      <c r="J17212" s="41"/>
    </row>
    <row r="17213" spans="5:10" s="34" customFormat="1" x14ac:dyDescent="0.35">
      <c r="E17213" s="35"/>
      <c r="J17213" s="41"/>
    </row>
    <row r="17214" spans="5:10" s="34" customFormat="1" x14ac:dyDescent="0.35">
      <c r="E17214" s="35"/>
      <c r="J17214" s="41"/>
    </row>
    <row r="17215" spans="5:10" s="34" customFormat="1" x14ac:dyDescent="0.35">
      <c r="E17215" s="35"/>
      <c r="J17215" s="41"/>
    </row>
    <row r="17216" spans="5:10" s="34" customFormat="1" x14ac:dyDescent="0.35">
      <c r="E17216" s="35"/>
      <c r="J17216" s="41"/>
    </row>
    <row r="17217" spans="5:10" s="34" customFormat="1" x14ac:dyDescent="0.35">
      <c r="E17217" s="35"/>
      <c r="J17217" s="41"/>
    </row>
    <row r="17218" spans="5:10" s="34" customFormat="1" x14ac:dyDescent="0.35">
      <c r="E17218" s="35"/>
      <c r="J17218" s="41"/>
    </row>
    <row r="17219" spans="5:10" s="34" customFormat="1" x14ac:dyDescent="0.35">
      <c r="E17219" s="35"/>
      <c r="J17219" s="41"/>
    </row>
    <row r="17220" spans="5:10" s="34" customFormat="1" x14ac:dyDescent="0.35">
      <c r="E17220" s="35"/>
      <c r="J17220" s="41"/>
    </row>
    <row r="17221" spans="5:10" s="34" customFormat="1" x14ac:dyDescent="0.35">
      <c r="E17221" s="35"/>
      <c r="J17221" s="41"/>
    </row>
    <row r="17222" spans="5:10" s="34" customFormat="1" x14ac:dyDescent="0.35">
      <c r="E17222" s="35"/>
      <c r="J17222" s="41"/>
    </row>
    <row r="17223" spans="5:10" s="34" customFormat="1" x14ac:dyDescent="0.35">
      <c r="E17223" s="35"/>
      <c r="J17223" s="41"/>
    </row>
    <row r="17224" spans="5:10" s="34" customFormat="1" x14ac:dyDescent="0.35">
      <c r="E17224" s="35"/>
      <c r="J17224" s="41"/>
    </row>
    <row r="17225" spans="5:10" s="34" customFormat="1" x14ac:dyDescent="0.35">
      <c r="E17225" s="35"/>
      <c r="J17225" s="41"/>
    </row>
    <row r="17226" spans="5:10" s="34" customFormat="1" x14ac:dyDescent="0.35">
      <c r="E17226" s="35"/>
      <c r="J17226" s="41"/>
    </row>
    <row r="17227" spans="5:10" s="34" customFormat="1" x14ac:dyDescent="0.35">
      <c r="E17227" s="35"/>
      <c r="J17227" s="41"/>
    </row>
    <row r="17228" spans="5:10" s="34" customFormat="1" x14ac:dyDescent="0.35">
      <c r="E17228" s="35"/>
      <c r="J17228" s="41"/>
    </row>
    <row r="17229" spans="5:10" s="34" customFormat="1" x14ac:dyDescent="0.35">
      <c r="E17229" s="35"/>
      <c r="J17229" s="41"/>
    </row>
    <row r="17230" spans="5:10" s="34" customFormat="1" x14ac:dyDescent="0.35">
      <c r="E17230" s="35"/>
      <c r="J17230" s="41"/>
    </row>
    <row r="17231" spans="5:10" s="34" customFormat="1" x14ac:dyDescent="0.35">
      <c r="E17231" s="35"/>
      <c r="J17231" s="41"/>
    </row>
    <row r="17232" spans="5:10" s="34" customFormat="1" x14ac:dyDescent="0.35">
      <c r="E17232" s="35"/>
      <c r="J17232" s="41"/>
    </row>
    <row r="17233" spans="5:10" s="34" customFormat="1" x14ac:dyDescent="0.35">
      <c r="E17233" s="35"/>
      <c r="J17233" s="41"/>
    </row>
    <row r="17234" spans="5:10" s="34" customFormat="1" x14ac:dyDescent="0.35">
      <c r="E17234" s="35"/>
      <c r="J17234" s="41"/>
    </row>
    <row r="17235" spans="5:10" s="34" customFormat="1" x14ac:dyDescent="0.35">
      <c r="E17235" s="35"/>
      <c r="J17235" s="41"/>
    </row>
    <row r="17236" spans="5:10" s="34" customFormat="1" x14ac:dyDescent="0.35">
      <c r="E17236" s="35"/>
      <c r="J17236" s="41"/>
    </row>
    <row r="17237" spans="5:10" s="34" customFormat="1" x14ac:dyDescent="0.35">
      <c r="E17237" s="35"/>
      <c r="J17237" s="41"/>
    </row>
    <row r="17238" spans="5:10" s="34" customFormat="1" x14ac:dyDescent="0.35">
      <c r="E17238" s="35"/>
      <c r="J17238" s="41"/>
    </row>
    <row r="17239" spans="5:10" s="34" customFormat="1" x14ac:dyDescent="0.35">
      <c r="E17239" s="35"/>
      <c r="J17239" s="41"/>
    </row>
    <row r="17240" spans="5:10" s="34" customFormat="1" x14ac:dyDescent="0.35">
      <c r="E17240" s="35"/>
      <c r="J17240" s="41"/>
    </row>
    <row r="17241" spans="5:10" s="34" customFormat="1" x14ac:dyDescent="0.35">
      <c r="E17241" s="35"/>
      <c r="J17241" s="41"/>
    </row>
    <row r="17242" spans="5:10" s="34" customFormat="1" x14ac:dyDescent="0.35">
      <c r="E17242" s="35"/>
      <c r="J17242" s="41"/>
    </row>
    <row r="17243" spans="5:10" s="34" customFormat="1" x14ac:dyDescent="0.35">
      <c r="E17243" s="35"/>
      <c r="J17243" s="41"/>
    </row>
    <row r="17244" spans="5:10" s="34" customFormat="1" x14ac:dyDescent="0.35">
      <c r="E17244" s="35"/>
      <c r="J17244" s="41"/>
    </row>
    <row r="17245" spans="5:10" s="34" customFormat="1" x14ac:dyDescent="0.35">
      <c r="E17245" s="35"/>
      <c r="J17245" s="41"/>
    </row>
    <row r="17246" spans="5:10" s="34" customFormat="1" x14ac:dyDescent="0.35">
      <c r="E17246" s="35"/>
      <c r="J17246" s="41"/>
    </row>
    <row r="17247" spans="5:10" s="34" customFormat="1" x14ac:dyDescent="0.35">
      <c r="E17247" s="35"/>
      <c r="J17247" s="41"/>
    </row>
    <row r="17248" spans="5:10" s="34" customFormat="1" x14ac:dyDescent="0.35">
      <c r="E17248" s="35"/>
      <c r="J17248" s="41"/>
    </row>
    <row r="17249" spans="5:10" s="34" customFormat="1" x14ac:dyDescent="0.35">
      <c r="E17249" s="35"/>
      <c r="J17249" s="41"/>
    </row>
    <row r="17250" spans="5:10" s="34" customFormat="1" x14ac:dyDescent="0.35">
      <c r="E17250" s="35"/>
      <c r="J17250" s="41"/>
    </row>
    <row r="17251" spans="5:10" s="34" customFormat="1" x14ac:dyDescent="0.35">
      <c r="E17251" s="35"/>
      <c r="J17251" s="41"/>
    </row>
    <row r="17252" spans="5:10" s="34" customFormat="1" x14ac:dyDescent="0.35">
      <c r="E17252" s="35"/>
      <c r="J17252" s="41"/>
    </row>
    <row r="17253" spans="5:10" s="34" customFormat="1" x14ac:dyDescent="0.35">
      <c r="E17253" s="35"/>
      <c r="J17253" s="41"/>
    </row>
    <row r="17254" spans="5:10" s="34" customFormat="1" x14ac:dyDescent="0.35">
      <c r="E17254" s="35"/>
      <c r="J17254" s="41"/>
    </row>
    <row r="17255" spans="5:10" s="34" customFormat="1" x14ac:dyDescent="0.35">
      <c r="E17255" s="35"/>
      <c r="J17255" s="41"/>
    </row>
    <row r="17256" spans="5:10" s="34" customFormat="1" x14ac:dyDescent="0.35">
      <c r="E17256" s="35"/>
      <c r="J17256" s="41"/>
    </row>
    <row r="17257" spans="5:10" s="34" customFormat="1" x14ac:dyDescent="0.35">
      <c r="E17257" s="35"/>
      <c r="J17257" s="41"/>
    </row>
    <row r="17258" spans="5:10" s="34" customFormat="1" x14ac:dyDescent="0.35">
      <c r="E17258" s="35"/>
      <c r="J17258" s="41"/>
    </row>
    <row r="17259" spans="5:10" s="34" customFormat="1" x14ac:dyDescent="0.35">
      <c r="E17259" s="35"/>
      <c r="J17259" s="41"/>
    </row>
    <row r="17260" spans="5:10" s="34" customFormat="1" x14ac:dyDescent="0.35">
      <c r="E17260" s="35"/>
      <c r="J17260" s="41"/>
    </row>
    <row r="17261" spans="5:10" s="34" customFormat="1" x14ac:dyDescent="0.35">
      <c r="E17261" s="35"/>
      <c r="J17261" s="41"/>
    </row>
    <row r="17262" spans="5:10" s="34" customFormat="1" x14ac:dyDescent="0.35">
      <c r="E17262" s="35"/>
      <c r="J17262" s="41"/>
    </row>
    <row r="17263" spans="5:10" s="34" customFormat="1" x14ac:dyDescent="0.35">
      <c r="E17263" s="35"/>
      <c r="J17263" s="41"/>
    </row>
    <row r="17264" spans="5:10" s="34" customFormat="1" x14ac:dyDescent="0.35">
      <c r="E17264" s="35"/>
      <c r="J17264" s="41"/>
    </row>
    <row r="17265" spans="5:10" s="34" customFormat="1" x14ac:dyDescent="0.35">
      <c r="E17265" s="35"/>
      <c r="J17265" s="41"/>
    </row>
    <row r="17266" spans="5:10" s="34" customFormat="1" x14ac:dyDescent="0.35">
      <c r="E17266" s="35"/>
      <c r="J17266" s="41"/>
    </row>
    <row r="17267" spans="5:10" s="34" customFormat="1" x14ac:dyDescent="0.35">
      <c r="E17267" s="35"/>
      <c r="J17267" s="41"/>
    </row>
    <row r="17268" spans="5:10" s="34" customFormat="1" x14ac:dyDescent="0.35">
      <c r="E17268" s="35"/>
      <c r="J17268" s="41"/>
    </row>
    <row r="17269" spans="5:10" s="34" customFormat="1" x14ac:dyDescent="0.35">
      <c r="E17269" s="35"/>
      <c r="J17269" s="41"/>
    </row>
    <row r="17270" spans="5:10" s="34" customFormat="1" x14ac:dyDescent="0.35">
      <c r="E17270" s="35"/>
      <c r="J17270" s="41"/>
    </row>
    <row r="17271" spans="5:10" s="34" customFormat="1" x14ac:dyDescent="0.35">
      <c r="E17271" s="35"/>
      <c r="J17271" s="41"/>
    </row>
    <row r="17272" spans="5:10" s="34" customFormat="1" x14ac:dyDescent="0.35">
      <c r="E17272" s="35"/>
      <c r="J17272" s="41"/>
    </row>
    <row r="17273" spans="5:10" s="34" customFormat="1" x14ac:dyDescent="0.35">
      <c r="E17273" s="35"/>
      <c r="J17273" s="41"/>
    </row>
    <row r="17274" spans="5:10" s="34" customFormat="1" x14ac:dyDescent="0.35">
      <c r="E17274" s="35"/>
      <c r="J17274" s="41"/>
    </row>
    <row r="17275" spans="5:10" s="34" customFormat="1" x14ac:dyDescent="0.35">
      <c r="E17275" s="35"/>
      <c r="J17275" s="41"/>
    </row>
    <row r="17276" spans="5:10" s="34" customFormat="1" x14ac:dyDescent="0.35">
      <c r="E17276" s="35"/>
      <c r="J17276" s="41"/>
    </row>
    <row r="17277" spans="5:10" s="34" customFormat="1" x14ac:dyDescent="0.35">
      <c r="E17277" s="35"/>
      <c r="J17277" s="41"/>
    </row>
    <row r="17278" spans="5:10" s="34" customFormat="1" x14ac:dyDescent="0.35">
      <c r="E17278" s="35"/>
      <c r="J17278" s="41"/>
    </row>
    <row r="17279" spans="5:10" s="34" customFormat="1" x14ac:dyDescent="0.35">
      <c r="E17279" s="35"/>
      <c r="J17279" s="41"/>
    </row>
    <row r="17280" spans="5:10" s="34" customFormat="1" x14ac:dyDescent="0.35">
      <c r="E17280" s="35"/>
      <c r="J17280" s="41"/>
    </row>
    <row r="17281" spans="5:10" s="34" customFormat="1" x14ac:dyDescent="0.35">
      <c r="E17281" s="35"/>
      <c r="J17281" s="41"/>
    </row>
    <row r="17282" spans="5:10" s="34" customFormat="1" x14ac:dyDescent="0.35">
      <c r="E17282" s="35"/>
      <c r="J17282" s="41"/>
    </row>
    <row r="17283" spans="5:10" s="34" customFormat="1" x14ac:dyDescent="0.35">
      <c r="E17283" s="35"/>
      <c r="J17283" s="41"/>
    </row>
    <row r="17284" spans="5:10" s="34" customFormat="1" x14ac:dyDescent="0.35">
      <c r="E17284" s="35"/>
      <c r="J17284" s="41"/>
    </row>
    <row r="17285" spans="5:10" s="34" customFormat="1" x14ac:dyDescent="0.35">
      <c r="E17285" s="35"/>
      <c r="J17285" s="41"/>
    </row>
    <row r="17286" spans="5:10" s="34" customFormat="1" x14ac:dyDescent="0.35">
      <c r="E17286" s="35"/>
      <c r="J17286" s="41"/>
    </row>
    <row r="17287" spans="5:10" s="34" customFormat="1" x14ac:dyDescent="0.35">
      <c r="E17287" s="35"/>
      <c r="J17287" s="41"/>
    </row>
    <row r="17288" spans="5:10" s="34" customFormat="1" x14ac:dyDescent="0.35">
      <c r="E17288" s="35"/>
      <c r="J17288" s="41"/>
    </row>
    <row r="17289" spans="5:10" s="34" customFormat="1" x14ac:dyDescent="0.35">
      <c r="E17289" s="35"/>
      <c r="J17289" s="41"/>
    </row>
    <row r="17290" spans="5:10" s="34" customFormat="1" x14ac:dyDescent="0.35">
      <c r="E17290" s="35"/>
      <c r="J17290" s="41"/>
    </row>
    <row r="17291" spans="5:10" s="34" customFormat="1" x14ac:dyDescent="0.35">
      <c r="E17291" s="35"/>
      <c r="J17291" s="41"/>
    </row>
    <row r="17292" spans="5:10" s="34" customFormat="1" x14ac:dyDescent="0.35">
      <c r="E17292" s="35"/>
      <c r="J17292" s="41"/>
    </row>
    <row r="17293" spans="5:10" s="34" customFormat="1" x14ac:dyDescent="0.35">
      <c r="E17293" s="35"/>
      <c r="J17293" s="41"/>
    </row>
    <row r="17294" spans="5:10" s="34" customFormat="1" x14ac:dyDescent="0.35">
      <c r="E17294" s="35"/>
      <c r="J17294" s="41"/>
    </row>
    <row r="17295" spans="5:10" s="34" customFormat="1" x14ac:dyDescent="0.35">
      <c r="E17295" s="35"/>
      <c r="J17295" s="41"/>
    </row>
    <row r="17296" spans="5:10" s="34" customFormat="1" x14ac:dyDescent="0.35">
      <c r="E17296" s="35"/>
      <c r="J17296" s="41"/>
    </row>
    <row r="17297" spans="5:10" s="34" customFormat="1" x14ac:dyDescent="0.35">
      <c r="E17297" s="35"/>
      <c r="J17297" s="41"/>
    </row>
    <row r="17298" spans="5:10" s="34" customFormat="1" x14ac:dyDescent="0.35">
      <c r="E17298" s="35"/>
      <c r="J17298" s="41"/>
    </row>
    <row r="17299" spans="5:10" s="34" customFormat="1" x14ac:dyDescent="0.35">
      <c r="E17299" s="35"/>
      <c r="J17299" s="41"/>
    </row>
    <row r="17300" spans="5:10" s="34" customFormat="1" x14ac:dyDescent="0.35">
      <c r="E17300" s="35"/>
      <c r="J17300" s="41"/>
    </row>
    <row r="17301" spans="5:10" s="34" customFormat="1" x14ac:dyDescent="0.35">
      <c r="E17301" s="35"/>
      <c r="J17301" s="41"/>
    </row>
    <row r="17302" spans="5:10" s="34" customFormat="1" x14ac:dyDescent="0.35">
      <c r="E17302" s="35"/>
      <c r="J17302" s="41"/>
    </row>
    <row r="17303" spans="5:10" s="34" customFormat="1" x14ac:dyDescent="0.35">
      <c r="E17303" s="35"/>
      <c r="J17303" s="41"/>
    </row>
    <row r="17304" spans="5:10" s="34" customFormat="1" x14ac:dyDescent="0.35">
      <c r="E17304" s="35"/>
      <c r="J17304" s="41"/>
    </row>
    <row r="17305" spans="5:10" s="34" customFormat="1" x14ac:dyDescent="0.35">
      <c r="E17305" s="35"/>
      <c r="J17305" s="41"/>
    </row>
    <row r="17306" spans="5:10" s="34" customFormat="1" x14ac:dyDescent="0.35">
      <c r="E17306" s="35"/>
      <c r="J17306" s="41"/>
    </row>
    <row r="17307" spans="5:10" s="34" customFormat="1" x14ac:dyDescent="0.35">
      <c r="E17307" s="35"/>
      <c r="J17307" s="41"/>
    </row>
    <row r="17308" spans="5:10" s="34" customFormat="1" x14ac:dyDescent="0.35">
      <c r="E17308" s="35"/>
      <c r="J17308" s="41"/>
    </row>
    <row r="17309" spans="5:10" s="34" customFormat="1" x14ac:dyDescent="0.35">
      <c r="E17309" s="35"/>
      <c r="J17309" s="41"/>
    </row>
    <row r="17310" spans="5:10" s="34" customFormat="1" x14ac:dyDescent="0.35">
      <c r="E17310" s="35"/>
      <c r="J17310" s="41"/>
    </row>
    <row r="17311" spans="5:10" s="34" customFormat="1" x14ac:dyDescent="0.35">
      <c r="E17311" s="35"/>
      <c r="J17311" s="41"/>
    </row>
    <row r="17312" spans="5:10" s="34" customFormat="1" x14ac:dyDescent="0.35">
      <c r="E17312" s="35"/>
      <c r="J17312" s="41"/>
    </row>
    <row r="17313" spans="5:10" s="34" customFormat="1" x14ac:dyDescent="0.35">
      <c r="E17313" s="35"/>
      <c r="J17313" s="41"/>
    </row>
    <row r="17314" spans="5:10" s="34" customFormat="1" x14ac:dyDescent="0.35">
      <c r="E17314" s="35"/>
      <c r="J17314" s="41"/>
    </row>
    <row r="17315" spans="5:10" s="34" customFormat="1" x14ac:dyDescent="0.35">
      <c r="E17315" s="35"/>
      <c r="J17315" s="41"/>
    </row>
    <row r="17316" spans="5:10" s="34" customFormat="1" x14ac:dyDescent="0.35">
      <c r="E17316" s="35"/>
      <c r="J17316" s="41"/>
    </row>
    <row r="17317" spans="5:10" s="34" customFormat="1" x14ac:dyDescent="0.35">
      <c r="E17317" s="35"/>
      <c r="J17317" s="41"/>
    </row>
    <row r="17318" spans="5:10" s="34" customFormat="1" x14ac:dyDescent="0.35">
      <c r="E17318" s="35"/>
      <c r="J17318" s="41"/>
    </row>
    <row r="17319" spans="5:10" s="34" customFormat="1" x14ac:dyDescent="0.35">
      <c r="E17319" s="35"/>
      <c r="J17319" s="41"/>
    </row>
    <row r="17320" spans="5:10" s="34" customFormat="1" x14ac:dyDescent="0.35">
      <c r="E17320" s="35"/>
      <c r="J17320" s="41"/>
    </row>
    <row r="17321" spans="5:10" s="34" customFormat="1" x14ac:dyDescent="0.35">
      <c r="E17321" s="35"/>
      <c r="J17321" s="41"/>
    </row>
    <row r="17322" spans="5:10" s="34" customFormat="1" x14ac:dyDescent="0.35">
      <c r="E17322" s="35"/>
      <c r="J17322" s="41"/>
    </row>
    <row r="17323" spans="5:10" s="34" customFormat="1" x14ac:dyDescent="0.35">
      <c r="E17323" s="35"/>
      <c r="J17323" s="41"/>
    </row>
    <row r="17324" spans="5:10" s="34" customFormat="1" x14ac:dyDescent="0.35">
      <c r="E17324" s="35"/>
      <c r="J17324" s="41"/>
    </row>
    <row r="17325" spans="5:10" s="34" customFormat="1" x14ac:dyDescent="0.35">
      <c r="E17325" s="35"/>
      <c r="J17325" s="41"/>
    </row>
    <row r="17326" spans="5:10" s="34" customFormat="1" x14ac:dyDescent="0.35">
      <c r="E17326" s="35"/>
      <c r="J17326" s="41"/>
    </row>
    <row r="17327" spans="5:10" s="34" customFormat="1" x14ac:dyDescent="0.35">
      <c r="E17327" s="35"/>
      <c r="J17327" s="41"/>
    </row>
    <row r="17328" spans="5:10" s="34" customFormat="1" x14ac:dyDescent="0.35">
      <c r="E17328" s="35"/>
      <c r="J17328" s="41"/>
    </row>
    <row r="17329" spans="5:10" s="34" customFormat="1" x14ac:dyDescent="0.35">
      <c r="E17329" s="35"/>
      <c r="J17329" s="41"/>
    </row>
    <row r="17330" spans="5:10" s="34" customFormat="1" x14ac:dyDescent="0.35">
      <c r="E17330" s="35"/>
      <c r="J17330" s="41"/>
    </row>
    <row r="17331" spans="5:10" s="34" customFormat="1" x14ac:dyDescent="0.35">
      <c r="E17331" s="35"/>
      <c r="J17331" s="41"/>
    </row>
    <row r="17332" spans="5:10" s="34" customFormat="1" x14ac:dyDescent="0.35">
      <c r="E17332" s="35"/>
      <c r="J17332" s="41"/>
    </row>
    <row r="17333" spans="5:10" s="34" customFormat="1" x14ac:dyDescent="0.35">
      <c r="E17333" s="35"/>
      <c r="J17333" s="41"/>
    </row>
    <row r="17334" spans="5:10" s="34" customFormat="1" x14ac:dyDescent="0.35">
      <c r="E17334" s="35"/>
      <c r="J17334" s="41"/>
    </row>
    <row r="17335" spans="5:10" s="34" customFormat="1" x14ac:dyDescent="0.35">
      <c r="E17335" s="35"/>
      <c r="J17335" s="41"/>
    </row>
    <row r="17336" spans="5:10" s="34" customFormat="1" x14ac:dyDescent="0.35">
      <c r="E17336" s="35"/>
      <c r="J17336" s="41"/>
    </row>
    <row r="17337" spans="5:10" s="34" customFormat="1" x14ac:dyDescent="0.35">
      <c r="E17337" s="35"/>
      <c r="J17337" s="41"/>
    </row>
    <row r="17338" spans="5:10" s="34" customFormat="1" x14ac:dyDescent="0.35">
      <c r="E17338" s="35"/>
      <c r="J17338" s="41"/>
    </row>
    <row r="17339" spans="5:10" s="34" customFormat="1" x14ac:dyDescent="0.35">
      <c r="E17339" s="35"/>
      <c r="J17339" s="41"/>
    </row>
    <row r="17340" spans="5:10" s="34" customFormat="1" x14ac:dyDescent="0.35">
      <c r="E17340" s="35"/>
      <c r="J17340" s="41"/>
    </row>
    <row r="17341" spans="5:10" s="34" customFormat="1" x14ac:dyDescent="0.35">
      <c r="E17341" s="35"/>
      <c r="J17341" s="41"/>
    </row>
    <row r="17342" spans="5:10" s="34" customFormat="1" x14ac:dyDescent="0.35">
      <c r="E17342" s="35"/>
      <c r="J17342" s="41"/>
    </row>
    <row r="17343" spans="5:10" s="34" customFormat="1" x14ac:dyDescent="0.35">
      <c r="E17343" s="35"/>
      <c r="J17343" s="41"/>
    </row>
    <row r="17344" spans="5:10" s="34" customFormat="1" x14ac:dyDescent="0.35">
      <c r="E17344" s="35"/>
      <c r="J17344" s="41"/>
    </row>
    <row r="17345" spans="5:10" s="34" customFormat="1" x14ac:dyDescent="0.35">
      <c r="E17345" s="35"/>
      <c r="J17345" s="41"/>
    </row>
    <row r="17346" spans="5:10" s="34" customFormat="1" x14ac:dyDescent="0.35">
      <c r="E17346" s="35"/>
      <c r="J17346" s="41"/>
    </row>
    <row r="17347" spans="5:10" s="34" customFormat="1" x14ac:dyDescent="0.35">
      <c r="E17347" s="35"/>
      <c r="J17347" s="41"/>
    </row>
    <row r="17348" spans="5:10" s="34" customFormat="1" x14ac:dyDescent="0.35">
      <c r="E17348" s="35"/>
      <c r="J17348" s="41"/>
    </row>
    <row r="17349" spans="5:10" s="34" customFormat="1" x14ac:dyDescent="0.35">
      <c r="E17349" s="35"/>
      <c r="J17349" s="41"/>
    </row>
    <row r="17350" spans="5:10" s="34" customFormat="1" x14ac:dyDescent="0.35">
      <c r="E17350" s="35"/>
      <c r="J17350" s="41"/>
    </row>
    <row r="17351" spans="5:10" s="34" customFormat="1" x14ac:dyDescent="0.35">
      <c r="E17351" s="35"/>
      <c r="J17351" s="41"/>
    </row>
    <row r="17352" spans="5:10" s="34" customFormat="1" x14ac:dyDescent="0.35">
      <c r="E17352" s="35"/>
      <c r="J17352" s="41"/>
    </row>
    <row r="17353" spans="5:10" s="34" customFormat="1" x14ac:dyDescent="0.35">
      <c r="E17353" s="35"/>
      <c r="J17353" s="41"/>
    </row>
    <row r="17354" spans="5:10" s="34" customFormat="1" x14ac:dyDescent="0.35">
      <c r="E17354" s="35"/>
      <c r="J17354" s="41"/>
    </row>
    <row r="17355" spans="5:10" s="34" customFormat="1" x14ac:dyDescent="0.35">
      <c r="E17355" s="35"/>
      <c r="J17355" s="41"/>
    </row>
    <row r="17356" spans="5:10" s="34" customFormat="1" x14ac:dyDescent="0.35">
      <c r="E17356" s="35"/>
      <c r="J17356" s="41"/>
    </row>
    <row r="17357" spans="5:10" s="34" customFormat="1" x14ac:dyDescent="0.35">
      <c r="E17357" s="35"/>
      <c r="J17357" s="41"/>
    </row>
    <row r="17358" spans="5:10" s="34" customFormat="1" x14ac:dyDescent="0.35">
      <c r="E17358" s="35"/>
      <c r="J17358" s="41"/>
    </row>
    <row r="17359" spans="5:10" s="34" customFormat="1" x14ac:dyDescent="0.35">
      <c r="E17359" s="35"/>
      <c r="J17359" s="41"/>
    </row>
    <row r="17360" spans="5:10" s="34" customFormat="1" x14ac:dyDescent="0.35">
      <c r="E17360" s="35"/>
      <c r="J17360" s="41"/>
    </row>
    <row r="17361" spans="5:10" s="34" customFormat="1" x14ac:dyDescent="0.35">
      <c r="E17361" s="35"/>
      <c r="J17361" s="41"/>
    </row>
    <row r="17362" spans="5:10" s="34" customFormat="1" x14ac:dyDescent="0.35">
      <c r="E17362" s="35"/>
      <c r="J17362" s="41"/>
    </row>
    <row r="17363" spans="5:10" s="34" customFormat="1" x14ac:dyDescent="0.35">
      <c r="E17363" s="35"/>
      <c r="J17363" s="41"/>
    </row>
    <row r="17364" spans="5:10" s="34" customFormat="1" x14ac:dyDescent="0.35">
      <c r="E17364" s="35"/>
      <c r="J17364" s="41"/>
    </row>
    <row r="17365" spans="5:10" s="34" customFormat="1" x14ac:dyDescent="0.35">
      <c r="E17365" s="35"/>
      <c r="J17365" s="41"/>
    </row>
    <row r="17366" spans="5:10" s="34" customFormat="1" x14ac:dyDescent="0.35">
      <c r="E17366" s="35"/>
      <c r="J17366" s="41"/>
    </row>
    <row r="17367" spans="5:10" s="34" customFormat="1" x14ac:dyDescent="0.35">
      <c r="E17367" s="35"/>
      <c r="J17367" s="41"/>
    </row>
    <row r="17368" spans="5:10" s="34" customFormat="1" x14ac:dyDescent="0.35">
      <c r="E17368" s="35"/>
      <c r="J17368" s="41"/>
    </row>
    <row r="17369" spans="5:10" s="34" customFormat="1" x14ac:dyDescent="0.35">
      <c r="E17369" s="35"/>
      <c r="J17369" s="41"/>
    </row>
    <row r="17370" spans="5:10" s="34" customFormat="1" x14ac:dyDescent="0.35">
      <c r="E17370" s="35"/>
      <c r="J17370" s="41"/>
    </row>
    <row r="17371" spans="5:10" s="34" customFormat="1" x14ac:dyDescent="0.35">
      <c r="E17371" s="35"/>
      <c r="J17371" s="41"/>
    </row>
    <row r="17372" spans="5:10" s="34" customFormat="1" x14ac:dyDescent="0.35">
      <c r="E17372" s="35"/>
      <c r="J17372" s="41"/>
    </row>
    <row r="17373" spans="5:10" s="34" customFormat="1" x14ac:dyDescent="0.35">
      <c r="E17373" s="35"/>
      <c r="J17373" s="41"/>
    </row>
    <row r="17374" spans="5:10" s="34" customFormat="1" x14ac:dyDescent="0.35">
      <c r="E17374" s="35"/>
      <c r="J17374" s="41"/>
    </row>
    <row r="17375" spans="5:10" s="34" customFormat="1" x14ac:dyDescent="0.35">
      <c r="E17375" s="35"/>
      <c r="J17375" s="41"/>
    </row>
    <row r="17376" spans="5:10" s="34" customFormat="1" x14ac:dyDescent="0.35">
      <c r="E17376" s="35"/>
      <c r="J17376" s="41"/>
    </row>
    <row r="17377" spans="5:10" s="34" customFormat="1" x14ac:dyDescent="0.35">
      <c r="E17377" s="35"/>
      <c r="J17377" s="41"/>
    </row>
    <row r="17378" spans="5:10" s="34" customFormat="1" x14ac:dyDescent="0.35">
      <c r="E17378" s="35"/>
      <c r="J17378" s="41"/>
    </row>
    <row r="17379" spans="5:10" s="34" customFormat="1" x14ac:dyDescent="0.35">
      <c r="E17379" s="35"/>
      <c r="J17379" s="41"/>
    </row>
    <row r="17380" spans="5:10" s="34" customFormat="1" x14ac:dyDescent="0.35">
      <c r="E17380" s="35"/>
      <c r="J17380" s="41"/>
    </row>
    <row r="17381" spans="5:10" s="34" customFormat="1" x14ac:dyDescent="0.35">
      <c r="E17381" s="35"/>
      <c r="J17381" s="41"/>
    </row>
    <row r="17382" spans="5:10" s="34" customFormat="1" x14ac:dyDescent="0.35">
      <c r="E17382" s="35"/>
      <c r="J17382" s="41"/>
    </row>
    <row r="17383" spans="5:10" s="34" customFormat="1" x14ac:dyDescent="0.35">
      <c r="E17383" s="35"/>
      <c r="J17383" s="41"/>
    </row>
    <row r="17384" spans="5:10" s="34" customFormat="1" x14ac:dyDescent="0.35">
      <c r="E17384" s="35"/>
      <c r="J17384" s="41"/>
    </row>
    <row r="17385" spans="5:10" s="34" customFormat="1" x14ac:dyDescent="0.35">
      <c r="E17385" s="35"/>
      <c r="J17385" s="41"/>
    </row>
    <row r="17386" spans="5:10" s="34" customFormat="1" x14ac:dyDescent="0.35">
      <c r="E17386" s="35"/>
      <c r="J17386" s="41"/>
    </row>
    <row r="17387" spans="5:10" s="34" customFormat="1" x14ac:dyDescent="0.35">
      <c r="E17387" s="35"/>
      <c r="J17387" s="41"/>
    </row>
    <row r="17388" spans="5:10" s="34" customFormat="1" x14ac:dyDescent="0.35">
      <c r="E17388" s="35"/>
      <c r="J17388" s="41"/>
    </row>
    <row r="17389" spans="5:10" s="34" customFormat="1" x14ac:dyDescent="0.35">
      <c r="E17389" s="35"/>
      <c r="J17389" s="41"/>
    </row>
    <row r="17390" spans="5:10" s="34" customFormat="1" x14ac:dyDescent="0.35">
      <c r="E17390" s="35"/>
      <c r="J17390" s="41"/>
    </row>
    <row r="17391" spans="5:10" s="34" customFormat="1" x14ac:dyDescent="0.35">
      <c r="E17391" s="35"/>
      <c r="J17391" s="41"/>
    </row>
    <row r="17392" spans="5:10" s="34" customFormat="1" x14ac:dyDescent="0.35">
      <c r="E17392" s="35"/>
      <c r="J17392" s="41"/>
    </row>
    <row r="17393" spans="5:10" s="34" customFormat="1" x14ac:dyDescent="0.35">
      <c r="E17393" s="35"/>
      <c r="J17393" s="41"/>
    </row>
    <row r="17394" spans="5:10" s="34" customFormat="1" x14ac:dyDescent="0.35">
      <c r="E17394" s="35"/>
      <c r="J17394" s="41"/>
    </row>
    <row r="17395" spans="5:10" s="34" customFormat="1" x14ac:dyDescent="0.35">
      <c r="E17395" s="35"/>
      <c r="J17395" s="41"/>
    </row>
    <row r="17396" spans="5:10" s="34" customFormat="1" x14ac:dyDescent="0.35">
      <c r="E17396" s="35"/>
      <c r="J17396" s="41"/>
    </row>
    <row r="17397" spans="5:10" s="34" customFormat="1" x14ac:dyDescent="0.35">
      <c r="E17397" s="35"/>
      <c r="J17397" s="41"/>
    </row>
    <row r="17398" spans="5:10" s="34" customFormat="1" x14ac:dyDescent="0.35">
      <c r="E17398" s="35"/>
      <c r="J17398" s="41"/>
    </row>
    <row r="17399" spans="5:10" s="34" customFormat="1" x14ac:dyDescent="0.35">
      <c r="E17399" s="35"/>
      <c r="J17399" s="41"/>
    </row>
    <row r="17400" spans="5:10" s="34" customFormat="1" x14ac:dyDescent="0.35">
      <c r="E17400" s="35"/>
      <c r="J17400" s="41"/>
    </row>
    <row r="17401" spans="5:10" s="34" customFormat="1" x14ac:dyDescent="0.35">
      <c r="E17401" s="35"/>
      <c r="J17401" s="41"/>
    </row>
    <row r="17402" spans="5:10" s="34" customFormat="1" x14ac:dyDescent="0.35">
      <c r="E17402" s="35"/>
      <c r="J17402" s="41"/>
    </row>
    <row r="17403" spans="5:10" s="34" customFormat="1" x14ac:dyDescent="0.35">
      <c r="E17403" s="35"/>
      <c r="J17403" s="41"/>
    </row>
    <row r="17404" spans="5:10" s="34" customFormat="1" x14ac:dyDescent="0.35">
      <c r="E17404" s="35"/>
      <c r="J17404" s="41"/>
    </row>
    <row r="17405" spans="5:10" s="34" customFormat="1" x14ac:dyDescent="0.35">
      <c r="E17405" s="35"/>
      <c r="J17405" s="41"/>
    </row>
    <row r="17406" spans="5:10" s="34" customFormat="1" x14ac:dyDescent="0.35">
      <c r="E17406" s="35"/>
      <c r="J17406" s="41"/>
    </row>
    <row r="17407" spans="5:10" s="34" customFormat="1" x14ac:dyDescent="0.35">
      <c r="E17407" s="35"/>
      <c r="J17407" s="41"/>
    </row>
    <row r="17408" spans="5:10" s="34" customFormat="1" x14ac:dyDescent="0.35">
      <c r="E17408" s="35"/>
      <c r="J17408" s="41"/>
    </row>
    <row r="17409" spans="5:10" s="34" customFormat="1" x14ac:dyDescent="0.35">
      <c r="E17409" s="35"/>
      <c r="J17409" s="41"/>
    </row>
    <row r="17410" spans="5:10" s="34" customFormat="1" x14ac:dyDescent="0.35">
      <c r="E17410" s="35"/>
      <c r="J17410" s="41"/>
    </row>
    <row r="17411" spans="5:10" s="34" customFormat="1" x14ac:dyDescent="0.35">
      <c r="E17411" s="35"/>
      <c r="J17411" s="41"/>
    </row>
    <row r="17412" spans="5:10" s="34" customFormat="1" x14ac:dyDescent="0.35">
      <c r="E17412" s="35"/>
      <c r="J17412" s="41"/>
    </row>
    <row r="17413" spans="5:10" s="34" customFormat="1" x14ac:dyDescent="0.35">
      <c r="E17413" s="35"/>
      <c r="J17413" s="41"/>
    </row>
    <row r="17414" spans="5:10" s="34" customFormat="1" x14ac:dyDescent="0.35">
      <c r="E17414" s="35"/>
      <c r="J17414" s="41"/>
    </row>
    <row r="17415" spans="5:10" s="34" customFormat="1" x14ac:dyDescent="0.35">
      <c r="E17415" s="35"/>
      <c r="J17415" s="41"/>
    </row>
    <row r="17416" spans="5:10" s="34" customFormat="1" x14ac:dyDescent="0.35">
      <c r="E17416" s="35"/>
      <c r="J17416" s="41"/>
    </row>
    <row r="17417" spans="5:10" s="34" customFormat="1" x14ac:dyDescent="0.35">
      <c r="E17417" s="35"/>
      <c r="J17417" s="41"/>
    </row>
    <row r="17418" spans="5:10" s="34" customFormat="1" x14ac:dyDescent="0.35">
      <c r="E17418" s="35"/>
      <c r="J17418" s="41"/>
    </row>
    <row r="17419" spans="5:10" s="34" customFormat="1" x14ac:dyDescent="0.35">
      <c r="E17419" s="35"/>
      <c r="J17419" s="41"/>
    </row>
    <row r="17420" spans="5:10" s="34" customFormat="1" x14ac:dyDescent="0.35">
      <c r="E17420" s="35"/>
      <c r="J17420" s="41"/>
    </row>
    <row r="17421" spans="5:10" s="34" customFormat="1" x14ac:dyDescent="0.35">
      <c r="E17421" s="35"/>
      <c r="J17421" s="41"/>
    </row>
    <row r="17422" spans="5:10" s="34" customFormat="1" x14ac:dyDescent="0.35">
      <c r="E17422" s="35"/>
      <c r="J17422" s="41"/>
    </row>
    <row r="17423" spans="5:10" s="34" customFormat="1" x14ac:dyDescent="0.35">
      <c r="E17423" s="35"/>
      <c r="J17423" s="41"/>
    </row>
    <row r="17424" spans="5:10" s="34" customFormat="1" x14ac:dyDescent="0.35">
      <c r="E17424" s="35"/>
      <c r="J17424" s="41"/>
    </row>
    <row r="17425" spans="5:10" s="34" customFormat="1" x14ac:dyDescent="0.35">
      <c r="E17425" s="35"/>
      <c r="J17425" s="41"/>
    </row>
    <row r="17426" spans="5:10" s="34" customFormat="1" x14ac:dyDescent="0.35">
      <c r="E17426" s="35"/>
      <c r="J17426" s="41"/>
    </row>
    <row r="17427" spans="5:10" s="34" customFormat="1" x14ac:dyDescent="0.35">
      <c r="E17427" s="35"/>
      <c r="J17427" s="41"/>
    </row>
    <row r="17428" spans="5:10" s="34" customFormat="1" x14ac:dyDescent="0.35">
      <c r="E17428" s="35"/>
      <c r="J17428" s="41"/>
    </row>
    <row r="17429" spans="5:10" s="34" customFormat="1" x14ac:dyDescent="0.35">
      <c r="E17429" s="35"/>
      <c r="J17429" s="41"/>
    </row>
    <row r="17430" spans="5:10" s="34" customFormat="1" x14ac:dyDescent="0.35">
      <c r="E17430" s="35"/>
      <c r="J17430" s="41"/>
    </row>
    <row r="17431" spans="5:10" s="34" customFormat="1" x14ac:dyDescent="0.35">
      <c r="E17431" s="35"/>
      <c r="J17431" s="41"/>
    </row>
    <row r="17432" spans="5:10" s="34" customFormat="1" x14ac:dyDescent="0.35">
      <c r="E17432" s="35"/>
      <c r="J17432" s="41"/>
    </row>
    <row r="17433" spans="5:10" s="34" customFormat="1" x14ac:dyDescent="0.35">
      <c r="E17433" s="35"/>
      <c r="J17433" s="41"/>
    </row>
    <row r="17434" spans="5:10" s="34" customFormat="1" x14ac:dyDescent="0.35">
      <c r="E17434" s="35"/>
      <c r="J17434" s="41"/>
    </row>
    <row r="17435" spans="5:10" s="34" customFormat="1" x14ac:dyDescent="0.35">
      <c r="E17435" s="35"/>
      <c r="J17435" s="41"/>
    </row>
    <row r="17436" spans="5:10" s="34" customFormat="1" x14ac:dyDescent="0.35">
      <c r="E17436" s="35"/>
      <c r="J17436" s="41"/>
    </row>
    <row r="17437" spans="5:10" s="34" customFormat="1" x14ac:dyDescent="0.35">
      <c r="E17437" s="35"/>
      <c r="J17437" s="41"/>
    </row>
    <row r="17438" spans="5:10" s="34" customFormat="1" x14ac:dyDescent="0.35">
      <c r="E17438" s="35"/>
      <c r="J17438" s="41"/>
    </row>
    <row r="17439" spans="5:10" s="34" customFormat="1" x14ac:dyDescent="0.35">
      <c r="E17439" s="35"/>
      <c r="J17439" s="41"/>
    </row>
    <row r="17440" spans="5:10" s="34" customFormat="1" x14ac:dyDescent="0.35">
      <c r="E17440" s="35"/>
      <c r="J17440" s="41"/>
    </row>
    <row r="17441" spans="5:10" s="34" customFormat="1" x14ac:dyDescent="0.35">
      <c r="E17441" s="35"/>
      <c r="J17441" s="41"/>
    </row>
    <row r="17442" spans="5:10" s="34" customFormat="1" x14ac:dyDescent="0.35">
      <c r="E17442" s="35"/>
      <c r="J17442" s="41"/>
    </row>
    <row r="17443" spans="5:10" s="34" customFormat="1" x14ac:dyDescent="0.35">
      <c r="E17443" s="35"/>
      <c r="J17443" s="41"/>
    </row>
    <row r="17444" spans="5:10" s="34" customFormat="1" x14ac:dyDescent="0.35">
      <c r="E17444" s="35"/>
      <c r="J17444" s="41"/>
    </row>
    <row r="17445" spans="5:10" s="34" customFormat="1" x14ac:dyDescent="0.35">
      <c r="E17445" s="35"/>
      <c r="J17445" s="41"/>
    </row>
    <row r="17446" spans="5:10" s="34" customFormat="1" x14ac:dyDescent="0.35">
      <c r="E17446" s="35"/>
      <c r="J17446" s="41"/>
    </row>
    <row r="17447" spans="5:10" s="34" customFormat="1" x14ac:dyDescent="0.35">
      <c r="E17447" s="35"/>
      <c r="J17447" s="41"/>
    </row>
    <row r="17448" spans="5:10" s="34" customFormat="1" x14ac:dyDescent="0.35">
      <c r="E17448" s="35"/>
      <c r="J17448" s="41"/>
    </row>
    <row r="17449" spans="5:10" s="34" customFormat="1" x14ac:dyDescent="0.35">
      <c r="E17449" s="35"/>
      <c r="J17449" s="41"/>
    </row>
    <row r="17450" spans="5:10" s="34" customFormat="1" x14ac:dyDescent="0.35">
      <c r="E17450" s="35"/>
      <c r="J17450" s="41"/>
    </row>
    <row r="17451" spans="5:10" s="34" customFormat="1" x14ac:dyDescent="0.35">
      <c r="E17451" s="35"/>
      <c r="J17451" s="41"/>
    </row>
    <row r="17452" spans="5:10" s="34" customFormat="1" x14ac:dyDescent="0.35">
      <c r="E17452" s="35"/>
      <c r="J17452" s="41"/>
    </row>
    <row r="17453" spans="5:10" s="34" customFormat="1" x14ac:dyDescent="0.35">
      <c r="E17453" s="35"/>
      <c r="J17453" s="41"/>
    </row>
    <row r="17454" spans="5:10" s="34" customFormat="1" x14ac:dyDescent="0.35">
      <c r="E17454" s="35"/>
      <c r="J17454" s="41"/>
    </row>
    <row r="17455" spans="5:10" s="34" customFormat="1" x14ac:dyDescent="0.35">
      <c r="E17455" s="35"/>
      <c r="J17455" s="41"/>
    </row>
    <row r="17456" spans="5:10" s="34" customFormat="1" x14ac:dyDescent="0.35">
      <c r="E17456" s="35"/>
      <c r="J17456" s="41"/>
    </row>
    <row r="17457" spans="5:10" s="34" customFormat="1" x14ac:dyDescent="0.35">
      <c r="E17457" s="35"/>
      <c r="J17457" s="41"/>
    </row>
    <row r="17458" spans="5:10" s="34" customFormat="1" x14ac:dyDescent="0.35">
      <c r="E17458" s="35"/>
      <c r="J17458" s="41"/>
    </row>
    <row r="17459" spans="5:10" s="34" customFormat="1" x14ac:dyDescent="0.35">
      <c r="E17459" s="35"/>
      <c r="J17459" s="41"/>
    </row>
    <row r="17460" spans="5:10" s="34" customFormat="1" x14ac:dyDescent="0.35">
      <c r="E17460" s="35"/>
      <c r="J17460" s="41"/>
    </row>
    <row r="17461" spans="5:10" s="34" customFormat="1" x14ac:dyDescent="0.35">
      <c r="E17461" s="35"/>
      <c r="J17461" s="41"/>
    </row>
    <row r="17462" spans="5:10" s="34" customFormat="1" x14ac:dyDescent="0.35">
      <c r="E17462" s="35"/>
      <c r="J17462" s="41"/>
    </row>
    <row r="17463" spans="5:10" s="34" customFormat="1" x14ac:dyDescent="0.35">
      <c r="E17463" s="35"/>
      <c r="J17463" s="41"/>
    </row>
    <row r="17464" spans="5:10" s="34" customFormat="1" x14ac:dyDescent="0.35">
      <c r="E17464" s="35"/>
      <c r="J17464" s="41"/>
    </row>
    <row r="17465" spans="5:10" s="34" customFormat="1" x14ac:dyDescent="0.35">
      <c r="E17465" s="35"/>
      <c r="J17465" s="41"/>
    </row>
    <row r="17466" spans="5:10" s="34" customFormat="1" x14ac:dyDescent="0.35">
      <c r="E17466" s="35"/>
      <c r="J17466" s="41"/>
    </row>
    <row r="17467" spans="5:10" s="34" customFormat="1" x14ac:dyDescent="0.35">
      <c r="E17467" s="35"/>
      <c r="J17467" s="41"/>
    </row>
    <row r="17468" spans="5:10" s="34" customFormat="1" x14ac:dyDescent="0.35">
      <c r="E17468" s="35"/>
      <c r="J17468" s="41"/>
    </row>
    <row r="17469" spans="5:10" s="34" customFormat="1" x14ac:dyDescent="0.35">
      <c r="E17469" s="35"/>
      <c r="J17469" s="41"/>
    </row>
    <row r="17470" spans="5:10" s="34" customFormat="1" x14ac:dyDescent="0.35">
      <c r="E17470" s="35"/>
      <c r="J17470" s="41"/>
    </row>
    <row r="17471" spans="5:10" s="34" customFormat="1" x14ac:dyDescent="0.35">
      <c r="E17471" s="35"/>
      <c r="J17471" s="41"/>
    </row>
    <row r="17472" spans="5:10" s="34" customFormat="1" x14ac:dyDescent="0.35">
      <c r="E17472" s="35"/>
      <c r="J17472" s="41"/>
    </row>
    <row r="17473" spans="5:10" s="34" customFormat="1" x14ac:dyDescent="0.35">
      <c r="E17473" s="35"/>
      <c r="J17473" s="41"/>
    </row>
    <row r="17474" spans="5:10" s="34" customFormat="1" x14ac:dyDescent="0.35">
      <c r="E17474" s="35"/>
      <c r="J17474" s="41"/>
    </row>
    <row r="17475" spans="5:10" s="34" customFormat="1" x14ac:dyDescent="0.35">
      <c r="E17475" s="35"/>
      <c r="J17475" s="41"/>
    </row>
    <row r="17476" spans="5:10" s="34" customFormat="1" x14ac:dyDescent="0.35">
      <c r="E17476" s="35"/>
      <c r="J17476" s="41"/>
    </row>
    <row r="17477" spans="5:10" s="34" customFormat="1" x14ac:dyDescent="0.35">
      <c r="E17477" s="35"/>
      <c r="J17477" s="41"/>
    </row>
    <row r="17478" spans="5:10" s="34" customFormat="1" x14ac:dyDescent="0.35">
      <c r="E17478" s="35"/>
      <c r="J17478" s="41"/>
    </row>
    <row r="17479" spans="5:10" s="34" customFormat="1" x14ac:dyDescent="0.35">
      <c r="E17479" s="35"/>
      <c r="J17479" s="41"/>
    </row>
    <row r="17480" spans="5:10" s="34" customFormat="1" x14ac:dyDescent="0.35">
      <c r="E17480" s="35"/>
      <c r="J17480" s="41"/>
    </row>
    <row r="17481" spans="5:10" s="34" customFormat="1" x14ac:dyDescent="0.35">
      <c r="E17481" s="35"/>
      <c r="J17481" s="41"/>
    </row>
    <row r="17482" spans="5:10" s="34" customFormat="1" x14ac:dyDescent="0.35">
      <c r="E17482" s="35"/>
      <c r="J17482" s="41"/>
    </row>
    <row r="17483" spans="5:10" s="34" customFormat="1" x14ac:dyDescent="0.35">
      <c r="E17483" s="35"/>
      <c r="J17483" s="41"/>
    </row>
    <row r="17484" spans="5:10" s="34" customFormat="1" x14ac:dyDescent="0.35">
      <c r="E17484" s="35"/>
      <c r="J17484" s="41"/>
    </row>
    <row r="17485" spans="5:10" s="34" customFormat="1" x14ac:dyDescent="0.35">
      <c r="E17485" s="35"/>
      <c r="J17485" s="41"/>
    </row>
    <row r="17486" spans="5:10" s="34" customFormat="1" x14ac:dyDescent="0.35">
      <c r="E17486" s="35"/>
      <c r="J17486" s="41"/>
    </row>
    <row r="17487" spans="5:10" s="34" customFormat="1" x14ac:dyDescent="0.35">
      <c r="E17487" s="35"/>
      <c r="J17487" s="41"/>
    </row>
    <row r="17488" spans="5:10" s="34" customFormat="1" x14ac:dyDescent="0.35">
      <c r="E17488" s="35"/>
      <c r="J17488" s="41"/>
    </row>
    <row r="17489" spans="5:10" s="34" customFormat="1" x14ac:dyDescent="0.35">
      <c r="E17489" s="35"/>
      <c r="J17489" s="41"/>
    </row>
    <row r="17490" spans="5:10" s="34" customFormat="1" x14ac:dyDescent="0.35">
      <c r="E17490" s="35"/>
      <c r="J17490" s="41"/>
    </row>
    <row r="17491" spans="5:10" s="34" customFormat="1" x14ac:dyDescent="0.35">
      <c r="E17491" s="35"/>
      <c r="J17491" s="41"/>
    </row>
    <row r="17492" spans="5:10" s="34" customFormat="1" x14ac:dyDescent="0.35">
      <c r="E17492" s="35"/>
      <c r="J17492" s="41"/>
    </row>
    <row r="17493" spans="5:10" s="34" customFormat="1" x14ac:dyDescent="0.35">
      <c r="E17493" s="35"/>
      <c r="J17493" s="41"/>
    </row>
    <row r="17494" spans="5:10" s="34" customFormat="1" x14ac:dyDescent="0.35">
      <c r="E17494" s="35"/>
      <c r="J17494" s="41"/>
    </row>
    <row r="17495" spans="5:10" s="34" customFormat="1" x14ac:dyDescent="0.35">
      <c r="E17495" s="35"/>
      <c r="J17495" s="41"/>
    </row>
    <row r="17496" spans="5:10" s="34" customFormat="1" x14ac:dyDescent="0.35">
      <c r="E17496" s="35"/>
      <c r="J17496" s="41"/>
    </row>
    <row r="17497" spans="5:10" s="34" customFormat="1" x14ac:dyDescent="0.35">
      <c r="E17497" s="35"/>
      <c r="J17497" s="41"/>
    </row>
    <row r="17498" spans="5:10" s="34" customFormat="1" x14ac:dyDescent="0.35">
      <c r="E17498" s="35"/>
      <c r="J17498" s="41"/>
    </row>
    <row r="17499" spans="5:10" s="34" customFormat="1" x14ac:dyDescent="0.35">
      <c r="E17499" s="35"/>
      <c r="J17499" s="41"/>
    </row>
    <row r="17500" spans="5:10" s="34" customFormat="1" x14ac:dyDescent="0.35">
      <c r="E17500" s="35"/>
      <c r="J17500" s="41"/>
    </row>
    <row r="17501" spans="5:10" s="34" customFormat="1" x14ac:dyDescent="0.35">
      <c r="E17501" s="35"/>
      <c r="J17501" s="41"/>
    </row>
    <row r="17502" spans="5:10" s="34" customFormat="1" x14ac:dyDescent="0.35">
      <c r="E17502" s="35"/>
      <c r="J17502" s="41"/>
    </row>
    <row r="17503" spans="5:10" s="34" customFormat="1" x14ac:dyDescent="0.35">
      <c r="E17503" s="35"/>
      <c r="J17503" s="41"/>
    </row>
    <row r="17504" spans="5:10" s="34" customFormat="1" x14ac:dyDescent="0.35">
      <c r="E17504" s="35"/>
      <c r="J17504" s="41"/>
    </row>
    <row r="17505" spans="5:10" s="34" customFormat="1" x14ac:dyDescent="0.35">
      <c r="E17505" s="35"/>
      <c r="J17505" s="41"/>
    </row>
    <row r="17506" spans="5:10" s="34" customFormat="1" x14ac:dyDescent="0.35">
      <c r="E17506" s="35"/>
      <c r="J17506" s="41"/>
    </row>
    <row r="17507" spans="5:10" s="34" customFormat="1" x14ac:dyDescent="0.35">
      <c r="E17507" s="35"/>
      <c r="J17507" s="41"/>
    </row>
    <row r="17508" spans="5:10" s="34" customFormat="1" x14ac:dyDescent="0.35">
      <c r="E17508" s="35"/>
      <c r="J17508" s="41"/>
    </row>
    <row r="17509" spans="5:10" s="34" customFormat="1" x14ac:dyDescent="0.35">
      <c r="E17509" s="35"/>
      <c r="J17509" s="41"/>
    </row>
    <row r="17510" spans="5:10" s="34" customFormat="1" x14ac:dyDescent="0.35">
      <c r="E17510" s="35"/>
      <c r="J17510" s="41"/>
    </row>
    <row r="17511" spans="5:10" s="34" customFormat="1" x14ac:dyDescent="0.35">
      <c r="E17511" s="35"/>
      <c r="J17511" s="41"/>
    </row>
    <row r="17512" spans="5:10" s="34" customFormat="1" x14ac:dyDescent="0.35">
      <c r="E17512" s="35"/>
      <c r="J17512" s="41"/>
    </row>
    <row r="17513" spans="5:10" s="34" customFormat="1" x14ac:dyDescent="0.35">
      <c r="E17513" s="35"/>
      <c r="J17513" s="41"/>
    </row>
    <row r="17514" spans="5:10" s="34" customFormat="1" x14ac:dyDescent="0.35">
      <c r="E17514" s="35"/>
      <c r="J17514" s="41"/>
    </row>
    <row r="17515" spans="5:10" s="34" customFormat="1" x14ac:dyDescent="0.35">
      <c r="E17515" s="35"/>
      <c r="J17515" s="41"/>
    </row>
    <row r="17516" spans="5:10" s="34" customFormat="1" x14ac:dyDescent="0.35">
      <c r="E17516" s="35"/>
      <c r="J17516" s="41"/>
    </row>
    <row r="17517" spans="5:10" s="34" customFormat="1" x14ac:dyDescent="0.35">
      <c r="E17517" s="35"/>
      <c r="J17517" s="41"/>
    </row>
    <row r="17518" spans="5:10" s="34" customFormat="1" x14ac:dyDescent="0.35">
      <c r="E17518" s="35"/>
      <c r="J17518" s="41"/>
    </row>
    <row r="17519" spans="5:10" s="34" customFormat="1" x14ac:dyDescent="0.35">
      <c r="E17519" s="35"/>
      <c r="J17519" s="41"/>
    </row>
    <row r="17520" spans="5:10" s="34" customFormat="1" x14ac:dyDescent="0.35">
      <c r="E17520" s="35"/>
      <c r="J17520" s="41"/>
    </row>
    <row r="17521" spans="5:10" s="34" customFormat="1" x14ac:dyDescent="0.35">
      <c r="E17521" s="35"/>
      <c r="J17521" s="41"/>
    </row>
    <row r="17522" spans="5:10" s="34" customFormat="1" x14ac:dyDescent="0.35">
      <c r="E17522" s="35"/>
      <c r="J17522" s="41"/>
    </row>
    <row r="17523" spans="5:10" s="34" customFormat="1" x14ac:dyDescent="0.35">
      <c r="E17523" s="35"/>
      <c r="J17523" s="41"/>
    </row>
    <row r="17524" spans="5:10" s="34" customFormat="1" x14ac:dyDescent="0.35">
      <c r="E17524" s="35"/>
      <c r="J17524" s="41"/>
    </row>
    <row r="17525" spans="5:10" s="34" customFormat="1" x14ac:dyDescent="0.35">
      <c r="E17525" s="35"/>
      <c r="J17525" s="41"/>
    </row>
    <row r="17526" spans="5:10" s="34" customFormat="1" x14ac:dyDescent="0.35">
      <c r="E17526" s="35"/>
      <c r="J17526" s="41"/>
    </row>
    <row r="17527" spans="5:10" s="34" customFormat="1" x14ac:dyDescent="0.35">
      <c r="E17527" s="35"/>
      <c r="J17527" s="41"/>
    </row>
    <row r="17528" spans="5:10" s="34" customFormat="1" x14ac:dyDescent="0.35">
      <c r="E17528" s="35"/>
      <c r="J17528" s="41"/>
    </row>
    <row r="17529" spans="5:10" s="34" customFormat="1" x14ac:dyDescent="0.35">
      <c r="E17529" s="35"/>
      <c r="J17529" s="41"/>
    </row>
    <row r="17530" spans="5:10" s="34" customFormat="1" x14ac:dyDescent="0.35">
      <c r="E17530" s="35"/>
      <c r="J17530" s="41"/>
    </row>
    <row r="17531" spans="5:10" s="34" customFormat="1" x14ac:dyDescent="0.35">
      <c r="E17531" s="35"/>
      <c r="J17531" s="41"/>
    </row>
    <row r="17532" spans="5:10" s="34" customFormat="1" x14ac:dyDescent="0.35">
      <c r="E17532" s="35"/>
      <c r="J17532" s="41"/>
    </row>
    <row r="17533" spans="5:10" s="34" customFormat="1" x14ac:dyDescent="0.35">
      <c r="E17533" s="35"/>
      <c r="J17533" s="41"/>
    </row>
    <row r="17534" spans="5:10" s="34" customFormat="1" x14ac:dyDescent="0.35">
      <c r="E17534" s="35"/>
      <c r="J17534" s="41"/>
    </row>
    <row r="17535" spans="5:10" s="34" customFormat="1" x14ac:dyDescent="0.35">
      <c r="E17535" s="35"/>
      <c r="J17535" s="41"/>
    </row>
    <row r="17536" spans="5:10" s="34" customFormat="1" x14ac:dyDescent="0.35">
      <c r="E17536" s="35"/>
      <c r="J17536" s="41"/>
    </row>
    <row r="17537" spans="5:10" s="34" customFormat="1" x14ac:dyDescent="0.35">
      <c r="E17537" s="35"/>
      <c r="J17537" s="41"/>
    </row>
    <row r="17538" spans="5:10" s="34" customFormat="1" x14ac:dyDescent="0.35">
      <c r="E17538" s="35"/>
      <c r="J17538" s="41"/>
    </row>
    <row r="17539" spans="5:10" s="34" customFormat="1" x14ac:dyDescent="0.35">
      <c r="E17539" s="35"/>
      <c r="J17539" s="41"/>
    </row>
    <row r="17540" spans="5:10" s="34" customFormat="1" x14ac:dyDescent="0.35">
      <c r="E17540" s="35"/>
      <c r="J17540" s="41"/>
    </row>
    <row r="17541" spans="5:10" s="34" customFormat="1" x14ac:dyDescent="0.35">
      <c r="E17541" s="35"/>
      <c r="J17541" s="41"/>
    </row>
    <row r="17542" spans="5:10" s="34" customFormat="1" x14ac:dyDescent="0.35">
      <c r="E17542" s="35"/>
      <c r="J17542" s="41"/>
    </row>
    <row r="17543" spans="5:10" s="34" customFormat="1" x14ac:dyDescent="0.35">
      <c r="E17543" s="35"/>
      <c r="J17543" s="41"/>
    </row>
    <row r="17544" spans="5:10" s="34" customFormat="1" x14ac:dyDescent="0.35">
      <c r="E17544" s="35"/>
      <c r="J17544" s="41"/>
    </row>
    <row r="17545" spans="5:10" s="34" customFormat="1" x14ac:dyDescent="0.35">
      <c r="E17545" s="35"/>
      <c r="J17545" s="41"/>
    </row>
    <row r="17546" spans="5:10" s="34" customFormat="1" x14ac:dyDescent="0.35">
      <c r="E17546" s="35"/>
      <c r="J17546" s="41"/>
    </row>
    <row r="17547" spans="5:10" s="34" customFormat="1" x14ac:dyDescent="0.35">
      <c r="E17547" s="35"/>
      <c r="J17547" s="41"/>
    </row>
    <row r="17548" spans="5:10" s="34" customFormat="1" x14ac:dyDescent="0.35">
      <c r="E17548" s="35"/>
      <c r="J17548" s="41"/>
    </row>
    <row r="17549" spans="5:10" s="34" customFormat="1" x14ac:dyDescent="0.35">
      <c r="E17549" s="35"/>
      <c r="J17549" s="41"/>
    </row>
    <row r="17550" spans="5:10" s="34" customFormat="1" x14ac:dyDescent="0.35">
      <c r="E17550" s="35"/>
      <c r="J17550" s="41"/>
    </row>
    <row r="17551" spans="5:10" s="34" customFormat="1" x14ac:dyDescent="0.35">
      <c r="E17551" s="35"/>
      <c r="J17551" s="41"/>
    </row>
    <row r="17552" spans="5:10" s="34" customFormat="1" x14ac:dyDescent="0.35">
      <c r="E17552" s="35"/>
      <c r="J17552" s="41"/>
    </row>
    <row r="17553" spans="5:10" s="34" customFormat="1" x14ac:dyDescent="0.35">
      <c r="E17553" s="35"/>
      <c r="J17553" s="41"/>
    </row>
    <row r="17554" spans="5:10" s="34" customFormat="1" x14ac:dyDescent="0.35">
      <c r="E17554" s="35"/>
      <c r="J17554" s="41"/>
    </row>
    <row r="17555" spans="5:10" s="34" customFormat="1" x14ac:dyDescent="0.35">
      <c r="E17555" s="35"/>
      <c r="J17555" s="41"/>
    </row>
    <row r="17556" spans="5:10" s="34" customFormat="1" x14ac:dyDescent="0.35">
      <c r="E17556" s="35"/>
      <c r="J17556" s="41"/>
    </row>
    <row r="17557" spans="5:10" s="34" customFormat="1" x14ac:dyDescent="0.35">
      <c r="E17557" s="35"/>
      <c r="J17557" s="41"/>
    </row>
    <row r="17558" spans="5:10" s="34" customFormat="1" x14ac:dyDescent="0.35">
      <c r="E17558" s="35"/>
      <c r="J17558" s="41"/>
    </row>
    <row r="17559" spans="5:10" s="34" customFormat="1" x14ac:dyDescent="0.35">
      <c r="E17559" s="35"/>
      <c r="J17559" s="41"/>
    </row>
    <row r="17560" spans="5:10" s="34" customFormat="1" x14ac:dyDescent="0.35">
      <c r="E17560" s="35"/>
      <c r="J17560" s="41"/>
    </row>
    <row r="17561" spans="5:10" s="34" customFormat="1" x14ac:dyDescent="0.35">
      <c r="E17561" s="35"/>
      <c r="J17561" s="41"/>
    </row>
    <row r="17562" spans="5:10" s="34" customFormat="1" x14ac:dyDescent="0.35">
      <c r="E17562" s="35"/>
      <c r="J17562" s="41"/>
    </row>
    <row r="17563" spans="5:10" s="34" customFormat="1" x14ac:dyDescent="0.35">
      <c r="E17563" s="35"/>
      <c r="J17563" s="41"/>
    </row>
    <row r="17564" spans="5:10" s="34" customFormat="1" x14ac:dyDescent="0.35">
      <c r="E17564" s="35"/>
      <c r="J17564" s="41"/>
    </row>
    <row r="17565" spans="5:10" s="34" customFormat="1" x14ac:dyDescent="0.35">
      <c r="E17565" s="35"/>
      <c r="J17565" s="41"/>
    </row>
    <row r="17566" spans="5:10" s="34" customFormat="1" x14ac:dyDescent="0.35">
      <c r="E17566" s="35"/>
      <c r="J17566" s="41"/>
    </row>
    <row r="17567" spans="5:10" s="34" customFormat="1" x14ac:dyDescent="0.35">
      <c r="E17567" s="35"/>
      <c r="J17567" s="41"/>
    </row>
    <row r="17568" spans="5:10" s="34" customFormat="1" x14ac:dyDescent="0.35">
      <c r="E17568" s="35"/>
      <c r="J17568" s="41"/>
    </row>
    <row r="17569" spans="5:10" s="34" customFormat="1" x14ac:dyDescent="0.35">
      <c r="E17569" s="35"/>
      <c r="J17569" s="41"/>
    </row>
    <row r="17570" spans="5:10" s="34" customFormat="1" x14ac:dyDescent="0.35">
      <c r="E17570" s="35"/>
      <c r="J17570" s="41"/>
    </row>
    <row r="17571" spans="5:10" s="34" customFormat="1" x14ac:dyDescent="0.35">
      <c r="E17571" s="35"/>
      <c r="J17571" s="41"/>
    </row>
    <row r="17572" spans="5:10" s="34" customFormat="1" x14ac:dyDescent="0.35">
      <c r="E17572" s="35"/>
      <c r="J17572" s="41"/>
    </row>
    <row r="17573" spans="5:10" s="34" customFormat="1" x14ac:dyDescent="0.35">
      <c r="E17573" s="35"/>
      <c r="J17573" s="41"/>
    </row>
    <row r="17574" spans="5:10" s="34" customFormat="1" x14ac:dyDescent="0.35">
      <c r="E17574" s="35"/>
      <c r="J17574" s="41"/>
    </row>
    <row r="17575" spans="5:10" s="34" customFormat="1" x14ac:dyDescent="0.35">
      <c r="E17575" s="35"/>
      <c r="J17575" s="41"/>
    </row>
    <row r="17576" spans="5:10" s="34" customFormat="1" x14ac:dyDescent="0.35">
      <c r="E17576" s="35"/>
      <c r="J17576" s="41"/>
    </row>
    <row r="17577" spans="5:10" s="34" customFormat="1" x14ac:dyDescent="0.35">
      <c r="E17577" s="35"/>
      <c r="J17577" s="41"/>
    </row>
    <row r="17578" spans="5:10" s="34" customFormat="1" x14ac:dyDescent="0.35">
      <c r="E17578" s="35"/>
      <c r="J17578" s="41"/>
    </row>
    <row r="17579" spans="5:10" s="34" customFormat="1" x14ac:dyDescent="0.35">
      <c r="E17579" s="35"/>
      <c r="J17579" s="41"/>
    </row>
    <row r="17580" spans="5:10" s="34" customFormat="1" x14ac:dyDescent="0.35">
      <c r="E17580" s="35"/>
      <c r="J17580" s="41"/>
    </row>
    <row r="17581" spans="5:10" s="34" customFormat="1" x14ac:dyDescent="0.35">
      <c r="E17581" s="35"/>
      <c r="J17581" s="41"/>
    </row>
    <row r="17582" spans="5:10" s="34" customFormat="1" x14ac:dyDescent="0.35">
      <c r="E17582" s="35"/>
      <c r="J17582" s="41"/>
    </row>
    <row r="17583" spans="5:10" s="34" customFormat="1" x14ac:dyDescent="0.35">
      <c r="E17583" s="35"/>
      <c r="J17583" s="41"/>
    </row>
    <row r="17584" spans="5:10" s="34" customFormat="1" x14ac:dyDescent="0.35">
      <c r="E17584" s="35"/>
      <c r="J17584" s="41"/>
    </row>
    <row r="17585" spans="5:10" s="34" customFormat="1" x14ac:dyDescent="0.35">
      <c r="E17585" s="35"/>
      <c r="J17585" s="41"/>
    </row>
    <row r="17586" spans="5:10" s="34" customFormat="1" x14ac:dyDescent="0.35">
      <c r="E17586" s="35"/>
      <c r="J17586" s="41"/>
    </row>
    <row r="17587" spans="5:10" s="34" customFormat="1" x14ac:dyDescent="0.35">
      <c r="E17587" s="35"/>
      <c r="J17587" s="41"/>
    </row>
    <row r="17588" spans="5:10" s="34" customFormat="1" x14ac:dyDescent="0.35">
      <c r="E17588" s="35"/>
      <c r="J17588" s="41"/>
    </row>
    <row r="17589" spans="5:10" s="34" customFormat="1" x14ac:dyDescent="0.35">
      <c r="E17589" s="35"/>
      <c r="J17589" s="41"/>
    </row>
    <row r="17590" spans="5:10" s="34" customFormat="1" x14ac:dyDescent="0.35">
      <c r="E17590" s="35"/>
      <c r="J17590" s="41"/>
    </row>
    <row r="17591" spans="5:10" s="34" customFormat="1" x14ac:dyDescent="0.35">
      <c r="E17591" s="35"/>
      <c r="J17591" s="41"/>
    </row>
    <row r="17592" spans="5:10" s="34" customFormat="1" x14ac:dyDescent="0.35">
      <c r="E17592" s="35"/>
      <c r="J17592" s="41"/>
    </row>
    <row r="17593" spans="5:10" s="34" customFormat="1" x14ac:dyDescent="0.35">
      <c r="E17593" s="35"/>
      <c r="J17593" s="41"/>
    </row>
    <row r="17594" spans="5:10" s="34" customFormat="1" x14ac:dyDescent="0.35">
      <c r="E17594" s="35"/>
      <c r="J17594" s="41"/>
    </row>
    <row r="17595" spans="5:10" s="34" customFormat="1" x14ac:dyDescent="0.35">
      <c r="E17595" s="35"/>
      <c r="J17595" s="41"/>
    </row>
    <row r="17596" spans="5:10" s="34" customFormat="1" x14ac:dyDescent="0.35">
      <c r="E17596" s="35"/>
      <c r="J17596" s="41"/>
    </row>
    <row r="17597" spans="5:10" s="34" customFormat="1" x14ac:dyDescent="0.35">
      <c r="E17597" s="35"/>
      <c r="J17597" s="41"/>
    </row>
    <row r="17598" spans="5:10" s="34" customFormat="1" x14ac:dyDescent="0.35">
      <c r="E17598" s="35"/>
      <c r="J17598" s="41"/>
    </row>
    <row r="17599" spans="5:10" s="34" customFormat="1" x14ac:dyDescent="0.35">
      <c r="E17599" s="35"/>
      <c r="J17599" s="41"/>
    </row>
    <row r="17600" spans="5:10" s="34" customFormat="1" x14ac:dyDescent="0.35">
      <c r="E17600" s="35"/>
      <c r="J17600" s="41"/>
    </row>
    <row r="17601" spans="5:10" s="34" customFormat="1" x14ac:dyDescent="0.35">
      <c r="E17601" s="35"/>
      <c r="J17601" s="41"/>
    </row>
    <row r="17602" spans="5:10" s="34" customFormat="1" x14ac:dyDescent="0.35">
      <c r="E17602" s="35"/>
      <c r="J17602" s="41"/>
    </row>
    <row r="17603" spans="5:10" s="34" customFormat="1" x14ac:dyDescent="0.35">
      <c r="E17603" s="35"/>
      <c r="J17603" s="41"/>
    </row>
    <row r="17604" spans="5:10" s="34" customFormat="1" x14ac:dyDescent="0.35">
      <c r="E17604" s="35"/>
      <c r="J17604" s="41"/>
    </row>
    <row r="17605" spans="5:10" s="34" customFormat="1" x14ac:dyDescent="0.35">
      <c r="E17605" s="35"/>
      <c r="J17605" s="41"/>
    </row>
    <row r="17606" spans="5:10" s="34" customFormat="1" x14ac:dyDescent="0.35">
      <c r="E17606" s="35"/>
      <c r="J17606" s="41"/>
    </row>
    <row r="17607" spans="5:10" s="34" customFormat="1" x14ac:dyDescent="0.35">
      <c r="E17607" s="35"/>
      <c r="J17607" s="41"/>
    </row>
    <row r="17608" spans="5:10" s="34" customFormat="1" x14ac:dyDescent="0.35">
      <c r="E17608" s="35"/>
      <c r="J17608" s="41"/>
    </row>
    <row r="17609" spans="5:10" s="34" customFormat="1" x14ac:dyDescent="0.35">
      <c r="E17609" s="35"/>
      <c r="J17609" s="41"/>
    </row>
    <row r="17610" spans="5:10" s="34" customFormat="1" x14ac:dyDescent="0.35">
      <c r="E17610" s="35"/>
      <c r="J17610" s="41"/>
    </row>
    <row r="17611" spans="5:10" s="34" customFormat="1" x14ac:dyDescent="0.35">
      <c r="E17611" s="35"/>
      <c r="J17611" s="41"/>
    </row>
    <row r="17612" spans="5:10" s="34" customFormat="1" x14ac:dyDescent="0.35">
      <c r="E17612" s="35"/>
      <c r="J17612" s="41"/>
    </row>
    <row r="17613" spans="5:10" s="34" customFormat="1" x14ac:dyDescent="0.35">
      <c r="E17613" s="35"/>
      <c r="J17613" s="41"/>
    </row>
    <row r="17614" spans="5:10" s="34" customFormat="1" x14ac:dyDescent="0.35">
      <c r="E17614" s="35"/>
      <c r="J17614" s="41"/>
    </row>
    <row r="17615" spans="5:10" s="34" customFormat="1" x14ac:dyDescent="0.35">
      <c r="E17615" s="35"/>
      <c r="J17615" s="41"/>
    </row>
    <row r="17616" spans="5:10" s="34" customFormat="1" x14ac:dyDescent="0.35">
      <c r="E17616" s="35"/>
      <c r="J17616" s="41"/>
    </row>
    <row r="17617" spans="5:10" s="34" customFormat="1" x14ac:dyDescent="0.35">
      <c r="E17617" s="35"/>
      <c r="J17617" s="41"/>
    </row>
    <row r="17618" spans="5:10" s="34" customFormat="1" x14ac:dyDescent="0.35">
      <c r="E17618" s="35"/>
      <c r="J17618" s="41"/>
    </row>
    <row r="17619" spans="5:10" s="34" customFormat="1" x14ac:dyDescent="0.35">
      <c r="E17619" s="35"/>
      <c r="J17619" s="41"/>
    </row>
    <row r="17620" spans="5:10" s="34" customFormat="1" x14ac:dyDescent="0.35">
      <c r="E17620" s="35"/>
      <c r="J17620" s="41"/>
    </row>
    <row r="17621" spans="5:10" s="34" customFormat="1" x14ac:dyDescent="0.35">
      <c r="E17621" s="35"/>
      <c r="J17621" s="41"/>
    </row>
    <row r="17622" spans="5:10" s="34" customFormat="1" x14ac:dyDescent="0.35">
      <c r="E17622" s="35"/>
      <c r="J17622" s="41"/>
    </row>
    <row r="17623" spans="5:10" s="34" customFormat="1" x14ac:dyDescent="0.35">
      <c r="E17623" s="35"/>
      <c r="J17623" s="41"/>
    </row>
    <row r="17624" spans="5:10" s="34" customFormat="1" x14ac:dyDescent="0.35">
      <c r="E17624" s="35"/>
      <c r="J17624" s="41"/>
    </row>
    <row r="17625" spans="5:10" s="34" customFormat="1" x14ac:dyDescent="0.35">
      <c r="E17625" s="35"/>
      <c r="J17625" s="41"/>
    </row>
    <row r="17626" spans="5:10" s="34" customFormat="1" x14ac:dyDescent="0.35">
      <c r="E17626" s="35"/>
      <c r="J17626" s="41"/>
    </row>
    <row r="17627" spans="5:10" s="34" customFormat="1" x14ac:dyDescent="0.35">
      <c r="E17627" s="35"/>
      <c r="J17627" s="41"/>
    </row>
    <row r="17628" spans="5:10" s="34" customFormat="1" x14ac:dyDescent="0.35">
      <c r="E17628" s="35"/>
      <c r="J17628" s="41"/>
    </row>
    <row r="17629" spans="5:10" s="34" customFormat="1" x14ac:dyDescent="0.35">
      <c r="E17629" s="35"/>
      <c r="J17629" s="41"/>
    </row>
    <row r="17630" spans="5:10" s="34" customFormat="1" x14ac:dyDescent="0.35">
      <c r="E17630" s="35"/>
      <c r="J17630" s="41"/>
    </row>
    <row r="17631" spans="5:10" s="34" customFormat="1" x14ac:dyDescent="0.35">
      <c r="E17631" s="35"/>
      <c r="J17631" s="41"/>
    </row>
    <row r="17632" spans="5:10" s="34" customFormat="1" x14ac:dyDescent="0.35">
      <c r="E17632" s="35"/>
      <c r="J17632" s="41"/>
    </row>
    <row r="17633" spans="5:10" s="34" customFormat="1" x14ac:dyDescent="0.35">
      <c r="E17633" s="35"/>
      <c r="J17633" s="41"/>
    </row>
    <row r="17634" spans="5:10" s="34" customFormat="1" x14ac:dyDescent="0.35">
      <c r="E17634" s="35"/>
      <c r="J17634" s="41"/>
    </row>
    <row r="17635" spans="5:10" s="34" customFormat="1" x14ac:dyDescent="0.35">
      <c r="E17635" s="35"/>
      <c r="J17635" s="41"/>
    </row>
    <row r="17636" spans="5:10" s="34" customFormat="1" x14ac:dyDescent="0.35">
      <c r="E17636" s="35"/>
      <c r="J17636" s="41"/>
    </row>
    <row r="17637" spans="5:10" s="34" customFormat="1" x14ac:dyDescent="0.35">
      <c r="E17637" s="35"/>
      <c r="J17637" s="41"/>
    </row>
    <row r="17638" spans="5:10" s="34" customFormat="1" x14ac:dyDescent="0.35">
      <c r="E17638" s="35"/>
      <c r="J17638" s="41"/>
    </row>
    <row r="17639" spans="5:10" s="34" customFormat="1" x14ac:dyDescent="0.35">
      <c r="E17639" s="35"/>
      <c r="J17639" s="41"/>
    </row>
    <row r="17640" spans="5:10" s="34" customFormat="1" x14ac:dyDescent="0.35">
      <c r="E17640" s="35"/>
      <c r="J17640" s="41"/>
    </row>
    <row r="17641" spans="5:10" s="34" customFormat="1" x14ac:dyDescent="0.35">
      <c r="E17641" s="35"/>
      <c r="J17641" s="41"/>
    </row>
    <row r="17642" spans="5:10" s="34" customFormat="1" x14ac:dyDescent="0.35">
      <c r="E17642" s="35"/>
      <c r="J17642" s="41"/>
    </row>
    <row r="17643" spans="5:10" s="34" customFormat="1" x14ac:dyDescent="0.35">
      <c r="E17643" s="35"/>
      <c r="J17643" s="41"/>
    </row>
    <row r="17644" spans="5:10" s="34" customFormat="1" x14ac:dyDescent="0.35">
      <c r="E17644" s="35"/>
      <c r="J17644" s="41"/>
    </row>
    <row r="17645" spans="5:10" s="34" customFormat="1" x14ac:dyDescent="0.35">
      <c r="E17645" s="35"/>
      <c r="J17645" s="41"/>
    </row>
    <row r="17646" spans="5:10" s="34" customFormat="1" x14ac:dyDescent="0.35">
      <c r="E17646" s="35"/>
      <c r="J17646" s="41"/>
    </row>
    <row r="17647" spans="5:10" s="34" customFormat="1" x14ac:dyDescent="0.35">
      <c r="E17647" s="35"/>
      <c r="J17647" s="41"/>
    </row>
    <row r="17648" spans="5:10" s="34" customFormat="1" x14ac:dyDescent="0.35">
      <c r="E17648" s="35"/>
      <c r="J17648" s="41"/>
    </row>
    <row r="17649" spans="5:10" s="34" customFormat="1" x14ac:dyDescent="0.35">
      <c r="E17649" s="35"/>
      <c r="J17649" s="41"/>
    </row>
    <row r="17650" spans="5:10" s="34" customFormat="1" x14ac:dyDescent="0.35">
      <c r="E17650" s="35"/>
      <c r="J17650" s="41"/>
    </row>
    <row r="17651" spans="5:10" s="34" customFormat="1" x14ac:dyDescent="0.35">
      <c r="E17651" s="35"/>
      <c r="J17651" s="41"/>
    </row>
    <row r="17652" spans="5:10" s="34" customFormat="1" x14ac:dyDescent="0.35">
      <c r="E17652" s="35"/>
      <c r="J17652" s="41"/>
    </row>
    <row r="17653" spans="5:10" s="34" customFormat="1" x14ac:dyDescent="0.35">
      <c r="E17653" s="35"/>
      <c r="J17653" s="41"/>
    </row>
    <row r="17654" spans="5:10" s="34" customFormat="1" x14ac:dyDescent="0.35">
      <c r="E17654" s="35"/>
      <c r="J17654" s="41"/>
    </row>
    <row r="17655" spans="5:10" s="34" customFormat="1" x14ac:dyDescent="0.35">
      <c r="E17655" s="35"/>
      <c r="J17655" s="41"/>
    </row>
    <row r="17656" spans="5:10" s="34" customFormat="1" x14ac:dyDescent="0.35">
      <c r="E17656" s="35"/>
      <c r="J17656" s="41"/>
    </row>
    <row r="17657" spans="5:10" s="34" customFormat="1" x14ac:dyDescent="0.35">
      <c r="E17657" s="35"/>
      <c r="J17657" s="41"/>
    </row>
    <row r="17658" spans="5:10" s="34" customFormat="1" x14ac:dyDescent="0.35">
      <c r="E17658" s="35"/>
      <c r="J17658" s="41"/>
    </row>
    <row r="17659" spans="5:10" s="34" customFormat="1" x14ac:dyDescent="0.35">
      <c r="E17659" s="35"/>
      <c r="J17659" s="41"/>
    </row>
    <row r="17660" spans="5:10" s="34" customFormat="1" x14ac:dyDescent="0.35">
      <c r="E17660" s="35"/>
      <c r="J17660" s="41"/>
    </row>
    <row r="17661" spans="5:10" s="34" customFormat="1" x14ac:dyDescent="0.35">
      <c r="E17661" s="35"/>
      <c r="J17661" s="41"/>
    </row>
    <row r="17662" spans="5:10" s="34" customFormat="1" x14ac:dyDescent="0.35">
      <c r="E17662" s="35"/>
      <c r="J17662" s="41"/>
    </row>
    <row r="17663" spans="5:10" s="34" customFormat="1" x14ac:dyDescent="0.35">
      <c r="E17663" s="35"/>
      <c r="J17663" s="41"/>
    </row>
    <row r="17664" spans="5:10" s="34" customFormat="1" x14ac:dyDescent="0.35">
      <c r="E17664" s="35"/>
      <c r="J17664" s="41"/>
    </row>
    <row r="17665" spans="5:10" s="34" customFormat="1" x14ac:dyDescent="0.35">
      <c r="E17665" s="35"/>
      <c r="J17665" s="41"/>
    </row>
    <row r="17666" spans="5:10" s="34" customFormat="1" x14ac:dyDescent="0.35">
      <c r="E17666" s="35"/>
      <c r="J17666" s="41"/>
    </row>
    <row r="17667" spans="5:10" s="34" customFormat="1" x14ac:dyDescent="0.35">
      <c r="E17667" s="35"/>
      <c r="J17667" s="41"/>
    </row>
    <row r="17668" spans="5:10" s="34" customFormat="1" x14ac:dyDescent="0.35">
      <c r="E17668" s="35"/>
      <c r="J17668" s="41"/>
    </row>
    <row r="17669" spans="5:10" s="34" customFormat="1" x14ac:dyDescent="0.35">
      <c r="E17669" s="35"/>
      <c r="J17669" s="41"/>
    </row>
    <row r="17670" spans="5:10" s="34" customFormat="1" x14ac:dyDescent="0.35">
      <c r="E17670" s="35"/>
      <c r="J17670" s="41"/>
    </row>
    <row r="17671" spans="5:10" s="34" customFormat="1" x14ac:dyDescent="0.35">
      <c r="E17671" s="35"/>
      <c r="J17671" s="41"/>
    </row>
    <row r="17672" spans="5:10" s="34" customFormat="1" x14ac:dyDescent="0.35">
      <c r="E17672" s="35"/>
      <c r="J17672" s="41"/>
    </row>
    <row r="17673" spans="5:10" s="34" customFormat="1" x14ac:dyDescent="0.35">
      <c r="E17673" s="35"/>
      <c r="J17673" s="41"/>
    </row>
    <row r="17674" spans="5:10" s="34" customFormat="1" x14ac:dyDescent="0.35">
      <c r="E17674" s="35"/>
      <c r="J17674" s="41"/>
    </row>
    <row r="17675" spans="5:10" s="34" customFormat="1" x14ac:dyDescent="0.35">
      <c r="E17675" s="35"/>
      <c r="J17675" s="41"/>
    </row>
    <row r="17676" spans="5:10" s="34" customFormat="1" x14ac:dyDescent="0.35">
      <c r="E17676" s="35"/>
      <c r="J17676" s="41"/>
    </row>
    <row r="17677" spans="5:10" s="34" customFormat="1" x14ac:dyDescent="0.35">
      <c r="E17677" s="35"/>
      <c r="J17677" s="41"/>
    </row>
    <row r="17678" spans="5:10" s="34" customFormat="1" x14ac:dyDescent="0.35">
      <c r="E17678" s="35"/>
      <c r="J17678" s="41"/>
    </row>
    <row r="17679" spans="5:10" s="34" customFormat="1" x14ac:dyDescent="0.35">
      <c r="E17679" s="35"/>
      <c r="J17679" s="41"/>
    </row>
    <row r="17680" spans="5:10" s="34" customFormat="1" x14ac:dyDescent="0.35">
      <c r="E17680" s="35"/>
      <c r="J17680" s="41"/>
    </row>
    <row r="17681" spans="5:10" s="34" customFormat="1" x14ac:dyDescent="0.35">
      <c r="E17681" s="35"/>
      <c r="J17681" s="41"/>
    </row>
    <row r="17682" spans="5:10" s="34" customFormat="1" x14ac:dyDescent="0.35">
      <c r="E17682" s="35"/>
      <c r="J17682" s="41"/>
    </row>
    <row r="17683" spans="5:10" s="34" customFormat="1" x14ac:dyDescent="0.35">
      <c r="E17683" s="35"/>
      <c r="J17683" s="41"/>
    </row>
    <row r="17684" spans="5:10" s="34" customFormat="1" x14ac:dyDescent="0.35">
      <c r="E17684" s="35"/>
      <c r="J17684" s="41"/>
    </row>
    <row r="17685" spans="5:10" s="34" customFormat="1" x14ac:dyDescent="0.35">
      <c r="E17685" s="35"/>
      <c r="J17685" s="41"/>
    </row>
    <row r="17686" spans="5:10" s="34" customFormat="1" x14ac:dyDescent="0.35">
      <c r="E17686" s="35"/>
      <c r="J17686" s="41"/>
    </row>
    <row r="17687" spans="5:10" s="34" customFormat="1" x14ac:dyDescent="0.35">
      <c r="E17687" s="35"/>
      <c r="J17687" s="41"/>
    </row>
    <row r="17688" spans="5:10" s="34" customFormat="1" x14ac:dyDescent="0.35">
      <c r="E17688" s="35"/>
      <c r="J17688" s="41"/>
    </row>
    <row r="17689" spans="5:10" s="34" customFormat="1" x14ac:dyDescent="0.35">
      <c r="E17689" s="35"/>
      <c r="J17689" s="41"/>
    </row>
    <row r="17690" spans="5:10" s="34" customFormat="1" x14ac:dyDescent="0.35">
      <c r="E17690" s="35"/>
      <c r="J17690" s="41"/>
    </row>
    <row r="17691" spans="5:10" s="34" customFormat="1" x14ac:dyDescent="0.35">
      <c r="E17691" s="35"/>
      <c r="J17691" s="41"/>
    </row>
    <row r="17692" spans="5:10" s="34" customFormat="1" x14ac:dyDescent="0.35">
      <c r="E17692" s="35"/>
      <c r="J17692" s="41"/>
    </row>
    <row r="17693" spans="5:10" s="34" customFormat="1" x14ac:dyDescent="0.35">
      <c r="E17693" s="35"/>
      <c r="J17693" s="41"/>
    </row>
    <row r="17694" spans="5:10" s="34" customFormat="1" x14ac:dyDescent="0.35">
      <c r="E17694" s="35"/>
      <c r="J17694" s="41"/>
    </row>
    <row r="17695" spans="5:10" s="34" customFormat="1" x14ac:dyDescent="0.35">
      <c r="E17695" s="35"/>
      <c r="J17695" s="41"/>
    </row>
    <row r="17696" spans="5:10" s="34" customFormat="1" x14ac:dyDescent="0.35">
      <c r="E17696" s="35"/>
      <c r="J17696" s="41"/>
    </row>
    <row r="17697" spans="5:10" s="34" customFormat="1" x14ac:dyDescent="0.35">
      <c r="E17697" s="35"/>
      <c r="J17697" s="41"/>
    </row>
    <row r="17698" spans="5:10" s="34" customFormat="1" x14ac:dyDescent="0.35">
      <c r="E17698" s="35"/>
      <c r="J17698" s="41"/>
    </row>
    <row r="17699" spans="5:10" s="34" customFormat="1" x14ac:dyDescent="0.35">
      <c r="E17699" s="35"/>
      <c r="J17699" s="41"/>
    </row>
    <row r="17700" spans="5:10" s="34" customFormat="1" x14ac:dyDescent="0.35">
      <c r="E17700" s="35"/>
      <c r="J17700" s="41"/>
    </row>
    <row r="17701" spans="5:10" s="34" customFormat="1" x14ac:dyDescent="0.35">
      <c r="E17701" s="35"/>
      <c r="J17701" s="41"/>
    </row>
    <row r="17702" spans="5:10" s="34" customFormat="1" x14ac:dyDescent="0.35">
      <c r="E17702" s="35"/>
      <c r="J17702" s="41"/>
    </row>
    <row r="17703" spans="5:10" s="34" customFormat="1" x14ac:dyDescent="0.35">
      <c r="E17703" s="35"/>
      <c r="J17703" s="41"/>
    </row>
    <row r="17704" spans="5:10" s="34" customFormat="1" x14ac:dyDescent="0.35">
      <c r="E17704" s="35"/>
      <c r="J17704" s="41"/>
    </row>
    <row r="17705" spans="5:10" s="34" customFormat="1" x14ac:dyDescent="0.35">
      <c r="E17705" s="35"/>
      <c r="J17705" s="41"/>
    </row>
    <row r="17706" spans="5:10" s="34" customFormat="1" x14ac:dyDescent="0.35">
      <c r="E17706" s="35"/>
      <c r="J17706" s="41"/>
    </row>
    <row r="17707" spans="5:10" s="34" customFormat="1" x14ac:dyDescent="0.35">
      <c r="E17707" s="35"/>
      <c r="J17707" s="41"/>
    </row>
    <row r="17708" spans="5:10" s="34" customFormat="1" x14ac:dyDescent="0.35">
      <c r="E17708" s="35"/>
      <c r="J17708" s="41"/>
    </row>
    <row r="17709" spans="5:10" s="34" customFormat="1" x14ac:dyDescent="0.35">
      <c r="E17709" s="35"/>
      <c r="J17709" s="41"/>
    </row>
    <row r="17710" spans="5:10" s="34" customFormat="1" x14ac:dyDescent="0.35">
      <c r="E17710" s="35"/>
      <c r="J17710" s="41"/>
    </row>
    <row r="17711" spans="5:10" s="34" customFormat="1" x14ac:dyDescent="0.35">
      <c r="E17711" s="35"/>
      <c r="J17711" s="41"/>
    </row>
    <row r="17712" spans="5:10" s="34" customFormat="1" x14ac:dyDescent="0.35">
      <c r="E17712" s="35"/>
      <c r="J17712" s="41"/>
    </row>
    <row r="17713" spans="5:10" s="34" customFormat="1" x14ac:dyDescent="0.35">
      <c r="E17713" s="35"/>
      <c r="J17713" s="41"/>
    </row>
    <row r="17714" spans="5:10" s="34" customFormat="1" x14ac:dyDescent="0.35">
      <c r="E17714" s="35"/>
      <c r="J17714" s="41"/>
    </row>
    <row r="17715" spans="5:10" s="34" customFormat="1" x14ac:dyDescent="0.35">
      <c r="E17715" s="35"/>
      <c r="J17715" s="41"/>
    </row>
    <row r="17716" spans="5:10" s="34" customFormat="1" x14ac:dyDescent="0.35">
      <c r="E17716" s="35"/>
      <c r="J17716" s="41"/>
    </row>
    <row r="17717" spans="5:10" s="34" customFormat="1" x14ac:dyDescent="0.35">
      <c r="E17717" s="35"/>
      <c r="J17717" s="41"/>
    </row>
    <row r="17718" spans="5:10" s="34" customFormat="1" x14ac:dyDescent="0.35">
      <c r="E17718" s="35"/>
      <c r="J17718" s="41"/>
    </row>
    <row r="17719" spans="5:10" s="34" customFormat="1" x14ac:dyDescent="0.35">
      <c r="E17719" s="35"/>
      <c r="J17719" s="41"/>
    </row>
    <row r="17720" spans="5:10" s="34" customFormat="1" x14ac:dyDescent="0.35">
      <c r="E17720" s="35"/>
      <c r="J17720" s="41"/>
    </row>
    <row r="17721" spans="5:10" s="34" customFormat="1" x14ac:dyDescent="0.35">
      <c r="E17721" s="35"/>
      <c r="J17721" s="41"/>
    </row>
    <row r="17722" spans="5:10" s="34" customFormat="1" x14ac:dyDescent="0.35">
      <c r="E17722" s="35"/>
      <c r="J17722" s="41"/>
    </row>
    <row r="17723" spans="5:10" s="34" customFormat="1" x14ac:dyDescent="0.35">
      <c r="E17723" s="35"/>
      <c r="J17723" s="41"/>
    </row>
    <row r="17724" spans="5:10" s="34" customFormat="1" x14ac:dyDescent="0.35">
      <c r="E17724" s="35"/>
      <c r="J17724" s="41"/>
    </row>
    <row r="17725" spans="5:10" s="34" customFormat="1" x14ac:dyDescent="0.35">
      <c r="E17725" s="35"/>
      <c r="J17725" s="41"/>
    </row>
    <row r="17726" spans="5:10" s="34" customFormat="1" x14ac:dyDescent="0.35">
      <c r="E17726" s="35"/>
      <c r="J17726" s="41"/>
    </row>
    <row r="17727" spans="5:10" s="34" customFormat="1" x14ac:dyDescent="0.35">
      <c r="E17727" s="35"/>
      <c r="J17727" s="41"/>
    </row>
    <row r="17728" spans="5:10" s="34" customFormat="1" x14ac:dyDescent="0.35">
      <c r="E17728" s="35"/>
      <c r="J17728" s="41"/>
    </row>
    <row r="17729" spans="5:10" s="34" customFormat="1" x14ac:dyDescent="0.35">
      <c r="E17729" s="35"/>
      <c r="J17729" s="41"/>
    </row>
    <row r="17730" spans="5:10" s="34" customFormat="1" x14ac:dyDescent="0.35">
      <c r="E17730" s="35"/>
      <c r="J17730" s="41"/>
    </row>
    <row r="17731" spans="5:10" s="34" customFormat="1" x14ac:dyDescent="0.35">
      <c r="E17731" s="35"/>
      <c r="J17731" s="41"/>
    </row>
    <row r="17732" spans="5:10" s="34" customFormat="1" x14ac:dyDescent="0.35">
      <c r="E17732" s="35"/>
      <c r="J17732" s="41"/>
    </row>
    <row r="17733" spans="5:10" s="34" customFormat="1" x14ac:dyDescent="0.35">
      <c r="E17733" s="35"/>
      <c r="J17733" s="41"/>
    </row>
    <row r="17734" spans="5:10" s="34" customFormat="1" x14ac:dyDescent="0.35">
      <c r="E17734" s="35"/>
      <c r="J17734" s="41"/>
    </row>
    <row r="17735" spans="5:10" s="34" customFormat="1" x14ac:dyDescent="0.35">
      <c r="E17735" s="35"/>
      <c r="J17735" s="41"/>
    </row>
    <row r="17736" spans="5:10" s="34" customFormat="1" x14ac:dyDescent="0.35">
      <c r="E17736" s="35"/>
      <c r="J17736" s="41"/>
    </row>
    <row r="17737" spans="5:10" s="34" customFormat="1" x14ac:dyDescent="0.35">
      <c r="E17737" s="35"/>
      <c r="J17737" s="41"/>
    </row>
    <row r="17738" spans="5:10" s="34" customFormat="1" x14ac:dyDescent="0.35">
      <c r="E17738" s="35"/>
      <c r="J17738" s="41"/>
    </row>
    <row r="17739" spans="5:10" s="34" customFormat="1" x14ac:dyDescent="0.35">
      <c r="E17739" s="35"/>
      <c r="J17739" s="41"/>
    </row>
    <row r="17740" spans="5:10" s="34" customFormat="1" x14ac:dyDescent="0.35">
      <c r="E17740" s="35"/>
      <c r="J17740" s="41"/>
    </row>
    <row r="17741" spans="5:10" s="34" customFormat="1" x14ac:dyDescent="0.35">
      <c r="E17741" s="35"/>
      <c r="J17741" s="41"/>
    </row>
    <row r="17742" spans="5:10" s="34" customFormat="1" x14ac:dyDescent="0.35">
      <c r="E17742" s="35"/>
      <c r="J17742" s="41"/>
    </row>
    <row r="17743" spans="5:10" s="34" customFormat="1" x14ac:dyDescent="0.35">
      <c r="E17743" s="35"/>
      <c r="J17743" s="41"/>
    </row>
    <row r="17744" spans="5:10" s="34" customFormat="1" x14ac:dyDescent="0.35">
      <c r="E17744" s="35"/>
      <c r="J17744" s="41"/>
    </row>
    <row r="17745" spans="5:10" s="34" customFormat="1" x14ac:dyDescent="0.35">
      <c r="E17745" s="35"/>
      <c r="J17745" s="41"/>
    </row>
    <row r="17746" spans="5:10" s="34" customFormat="1" x14ac:dyDescent="0.35">
      <c r="E17746" s="35"/>
      <c r="J17746" s="41"/>
    </row>
    <row r="17747" spans="5:10" s="34" customFormat="1" x14ac:dyDescent="0.35">
      <c r="E17747" s="35"/>
      <c r="J17747" s="41"/>
    </row>
    <row r="17748" spans="5:10" s="34" customFormat="1" x14ac:dyDescent="0.35">
      <c r="E17748" s="35"/>
      <c r="J17748" s="41"/>
    </row>
    <row r="17749" spans="5:10" s="34" customFormat="1" x14ac:dyDescent="0.35">
      <c r="E17749" s="35"/>
      <c r="J17749" s="41"/>
    </row>
    <row r="17750" spans="5:10" s="34" customFormat="1" x14ac:dyDescent="0.35">
      <c r="E17750" s="35"/>
      <c r="J17750" s="41"/>
    </row>
    <row r="17751" spans="5:10" s="34" customFormat="1" x14ac:dyDescent="0.35">
      <c r="E17751" s="35"/>
      <c r="J17751" s="41"/>
    </row>
    <row r="17752" spans="5:10" s="34" customFormat="1" x14ac:dyDescent="0.35">
      <c r="E17752" s="35"/>
      <c r="J17752" s="41"/>
    </row>
    <row r="17753" spans="5:10" s="34" customFormat="1" x14ac:dyDescent="0.35">
      <c r="E17753" s="35"/>
      <c r="J17753" s="41"/>
    </row>
    <row r="17754" spans="5:10" s="34" customFormat="1" x14ac:dyDescent="0.35">
      <c r="E17754" s="35"/>
      <c r="J17754" s="41"/>
    </row>
    <row r="17755" spans="5:10" s="34" customFormat="1" x14ac:dyDescent="0.35">
      <c r="E17755" s="35"/>
      <c r="J17755" s="41"/>
    </row>
    <row r="17756" spans="5:10" s="34" customFormat="1" x14ac:dyDescent="0.35">
      <c r="E17756" s="35"/>
      <c r="J17756" s="41"/>
    </row>
    <row r="17757" spans="5:10" s="34" customFormat="1" x14ac:dyDescent="0.35">
      <c r="E17757" s="35"/>
      <c r="J17757" s="41"/>
    </row>
    <row r="17758" spans="5:10" s="34" customFormat="1" x14ac:dyDescent="0.35">
      <c r="E17758" s="35"/>
      <c r="J17758" s="41"/>
    </row>
    <row r="17759" spans="5:10" s="34" customFormat="1" x14ac:dyDescent="0.35">
      <c r="E17759" s="35"/>
      <c r="J17759" s="41"/>
    </row>
    <row r="17760" spans="5:10" s="34" customFormat="1" x14ac:dyDescent="0.35">
      <c r="E17760" s="35"/>
      <c r="J17760" s="41"/>
    </row>
    <row r="17761" spans="5:10" s="34" customFormat="1" x14ac:dyDescent="0.35">
      <c r="E17761" s="35"/>
      <c r="J17761" s="41"/>
    </row>
    <row r="17762" spans="5:10" s="34" customFormat="1" x14ac:dyDescent="0.35">
      <c r="E17762" s="35"/>
      <c r="J17762" s="41"/>
    </row>
    <row r="17763" spans="5:10" s="34" customFormat="1" x14ac:dyDescent="0.35">
      <c r="E17763" s="35"/>
      <c r="J17763" s="41"/>
    </row>
    <row r="17764" spans="5:10" s="34" customFormat="1" x14ac:dyDescent="0.35">
      <c r="E17764" s="35"/>
      <c r="J17764" s="41"/>
    </row>
    <row r="17765" spans="5:10" s="34" customFormat="1" x14ac:dyDescent="0.35">
      <c r="E17765" s="35"/>
      <c r="J17765" s="41"/>
    </row>
    <row r="17766" spans="5:10" s="34" customFormat="1" x14ac:dyDescent="0.35">
      <c r="E17766" s="35"/>
      <c r="J17766" s="41"/>
    </row>
    <row r="17767" spans="5:10" s="34" customFormat="1" x14ac:dyDescent="0.35">
      <c r="E17767" s="35"/>
      <c r="J17767" s="41"/>
    </row>
    <row r="17768" spans="5:10" s="34" customFormat="1" x14ac:dyDescent="0.35">
      <c r="E17768" s="35"/>
      <c r="J17768" s="41"/>
    </row>
    <row r="17769" spans="5:10" s="34" customFormat="1" x14ac:dyDescent="0.35">
      <c r="E17769" s="35"/>
      <c r="J17769" s="41"/>
    </row>
    <row r="17770" spans="5:10" s="34" customFormat="1" x14ac:dyDescent="0.35">
      <c r="E17770" s="35"/>
      <c r="J17770" s="41"/>
    </row>
    <row r="17771" spans="5:10" s="34" customFormat="1" x14ac:dyDescent="0.35">
      <c r="E17771" s="35"/>
      <c r="J17771" s="41"/>
    </row>
    <row r="17772" spans="5:10" s="34" customFormat="1" x14ac:dyDescent="0.35">
      <c r="E17772" s="35"/>
      <c r="J17772" s="41"/>
    </row>
    <row r="17773" spans="5:10" s="34" customFormat="1" x14ac:dyDescent="0.35">
      <c r="E17773" s="35"/>
      <c r="J17773" s="41"/>
    </row>
    <row r="17774" spans="5:10" s="34" customFormat="1" x14ac:dyDescent="0.35">
      <c r="E17774" s="35"/>
      <c r="J17774" s="41"/>
    </row>
    <row r="17775" spans="5:10" s="34" customFormat="1" x14ac:dyDescent="0.35">
      <c r="E17775" s="35"/>
      <c r="J17775" s="41"/>
    </row>
    <row r="17776" spans="5:10" s="34" customFormat="1" x14ac:dyDescent="0.35">
      <c r="E17776" s="35"/>
      <c r="J17776" s="41"/>
    </row>
    <row r="17777" spans="5:10" s="34" customFormat="1" x14ac:dyDescent="0.35">
      <c r="E17777" s="35"/>
      <c r="J17777" s="41"/>
    </row>
    <row r="17778" spans="5:10" s="34" customFormat="1" x14ac:dyDescent="0.35">
      <c r="E17778" s="35"/>
      <c r="J17778" s="41"/>
    </row>
    <row r="17779" spans="5:10" s="34" customFormat="1" x14ac:dyDescent="0.35">
      <c r="E17779" s="35"/>
      <c r="J17779" s="41"/>
    </row>
    <row r="17780" spans="5:10" s="34" customFormat="1" x14ac:dyDescent="0.35">
      <c r="E17780" s="35"/>
      <c r="J17780" s="41"/>
    </row>
    <row r="17781" spans="5:10" s="34" customFormat="1" x14ac:dyDescent="0.35">
      <c r="E17781" s="35"/>
      <c r="J17781" s="41"/>
    </row>
    <row r="17782" spans="5:10" s="34" customFormat="1" x14ac:dyDescent="0.35">
      <c r="E17782" s="35"/>
      <c r="J17782" s="41"/>
    </row>
    <row r="17783" spans="5:10" s="34" customFormat="1" x14ac:dyDescent="0.35">
      <c r="E17783" s="35"/>
      <c r="J17783" s="41"/>
    </row>
    <row r="17784" spans="5:10" s="34" customFormat="1" x14ac:dyDescent="0.35">
      <c r="E17784" s="35"/>
      <c r="J17784" s="41"/>
    </row>
    <row r="17785" spans="5:10" s="34" customFormat="1" x14ac:dyDescent="0.35">
      <c r="E17785" s="35"/>
      <c r="J17785" s="41"/>
    </row>
    <row r="17786" spans="5:10" s="34" customFormat="1" x14ac:dyDescent="0.35">
      <c r="E17786" s="35"/>
      <c r="J17786" s="41"/>
    </row>
    <row r="17787" spans="5:10" s="34" customFormat="1" x14ac:dyDescent="0.35">
      <c r="E17787" s="35"/>
      <c r="J17787" s="41"/>
    </row>
    <row r="17788" spans="5:10" s="34" customFormat="1" x14ac:dyDescent="0.35">
      <c r="E17788" s="35"/>
      <c r="J17788" s="41"/>
    </row>
    <row r="17789" spans="5:10" s="34" customFormat="1" x14ac:dyDescent="0.35">
      <c r="E17789" s="35"/>
      <c r="J17789" s="41"/>
    </row>
    <row r="17790" spans="5:10" s="34" customFormat="1" x14ac:dyDescent="0.35">
      <c r="E17790" s="35"/>
      <c r="J17790" s="41"/>
    </row>
    <row r="17791" spans="5:10" s="34" customFormat="1" x14ac:dyDescent="0.35">
      <c r="E17791" s="35"/>
      <c r="J17791" s="41"/>
    </row>
    <row r="17792" spans="5:10" s="34" customFormat="1" x14ac:dyDescent="0.35">
      <c r="E17792" s="35"/>
      <c r="J17792" s="41"/>
    </row>
    <row r="17793" spans="5:10" s="34" customFormat="1" x14ac:dyDescent="0.35">
      <c r="E17793" s="35"/>
      <c r="J17793" s="41"/>
    </row>
    <row r="17794" spans="5:10" s="34" customFormat="1" x14ac:dyDescent="0.35">
      <c r="E17794" s="35"/>
      <c r="J17794" s="41"/>
    </row>
    <row r="17795" spans="5:10" s="34" customFormat="1" x14ac:dyDescent="0.35">
      <c r="E17795" s="35"/>
      <c r="J17795" s="41"/>
    </row>
    <row r="17796" spans="5:10" s="34" customFormat="1" x14ac:dyDescent="0.35">
      <c r="E17796" s="35"/>
      <c r="J17796" s="41"/>
    </row>
    <row r="17797" spans="5:10" s="34" customFormat="1" x14ac:dyDescent="0.35">
      <c r="E17797" s="35"/>
      <c r="J17797" s="41"/>
    </row>
    <row r="17798" spans="5:10" s="34" customFormat="1" x14ac:dyDescent="0.35">
      <c r="E17798" s="35"/>
      <c r="J17798" s="41"/>
    </row>
    <row r="17799" spans="5:10" s="34" customFormat="1" x14ac:dyDescent="0.35">
      <c r="E17799" s="35"/>
      <c r="J17799" s="41"/>
    </row>
    <row r="17800" spans="5:10" s="34" customFormat="1" x14ac:dyDescent="0.35">
      <c r="E17800" s="35"/>
      <c r="J17800" s="41"/>
    </row>
    <row r="17801" spans="5:10" s="34" customFormat="1" x14ac:dyDescent="0.35">
      <c r="E17801" s="35"/>
      <c r="J17801" s="41"/>
    </row>
    <row r="17802" spans="5:10" s="34" customFormat="1" x14ac:dyDescent="0.35">
      <c r="E17802" s="35"/>
      <c r="J17802" s="41"/>
    </row>
    <row r="17803" spans="5:10" s="34" customFormat="1" x14ac:dyDescent="0.35">
      <c r="E17803" s="35"/>
      <c r="J17803" s="41"/>
    </row>
    <row r="17804" spans="5:10" s="34" customFormat="1" x14ac:dyDescent="0.35">
      <c r="E17804" s="35"/>
      <c r="J17804" s="41"/>
    </row>
    <row r="17805" spans="5:10" s="34" customFormat="1" x14ac:dyDescent="0.35">
      <c r="E17805" s="35"/>
      <c r="J17805" s="41"/>
    </row>
    <row r="17806" spans="5:10" s="34" customFormat="1" x14ac:dyDescent="0.35">
      <c r="E17806" s="35"/>
      <c r="J17806" s="41"/>
    </row>
    <row r="17807" spans="5:10" s="34" customFormat="1" x14ac:dyDescent="0.35">
      <c r="E17807" s="35"/>
      <c r="J17807" s="41"/>
    </row>
    <row r="17808" spans="5:10" s="34" customFormat="1" x14ac:dyDescent="0.35">
      <c r="E17808" s="35"/>
      <c r="J17808" s="41"/>
    </row>
    <row r="17809" spans="5:10" s="34" customFormat="1" x14ac:dyDescent="0.35">
      <c r="E17809" s="35"/>
      <c r="J17809" s="41"/>
    </row>
    <row r="17810" spans="5:10" s="34" customFormat="1" x14ac:dyDescent="0.35">
      <c r="E17810" s="35"/>
      <c r="J17810" s="41"/>
    </row>
    <row r="17811" spans="5:10" s="34" customFormat="1" x14ac:dyDescent="0.35">
      <c r="E17811" s="35"/>
      <c r="J17811" s="41"/>
    </row>
    <row r="17812" spans="5:10" s="34" customFormat="1" x14ac:dyDescent="0.35">
      <c r="E17812" s="35"/>
      <c r="J17812" s="41"/>
    </row>
    <row r="17813" spans="5:10" s="34" customFormat="1" x14ac:dyDescent="0.35">
      <c r="E17813" s="35"/>
      <c r="J17813" s="41"/>
    </row>
    <row r="17814" spans="5:10" s="34" customFormat="1" x14ac:dyDescent="0.35">
      <c r="E17814" s="35"/>
      <c r="J17814" s="41"/>
    </row>
    <row r="17815" spans="5:10" s="34" customFormat="1" x14ac:dyDescent="0.35">
      <c r="E17815" s="35"/>
      <c r="J17815" s="41"/>
    </row>
    <row r="17816" spans="5:10" s="34" customFormat="1" x14ac:dyDescent="0.35">
      <c r="E17816" s="35"/>
      <c r="J17816" s="41"/>
    </row>
    <row r="17817" spans="5:10" s="34" customFormat="1" x14ac:dyDescent="0.35">
      <c r="E17817" s="35"/>
      <c r="J17817" s="41"/>
    </row>
    <row r="17818" spans="5:10" s="34" customFormat="1" x14ac:dyDescent="0.35">
      <c r="E17818" s="35"/>
      <c r="J17818" s="41"/>
    </row>
    <row r="17819" spans="5:10" s="34" customFormat="1" x14ac:dyDescent="0.35">
      <c r="E17819" s="35"/>
      <c r="J17819" s="41"/>
    </row>
    <row r="17820" spans="5:10" s="34" customFormat="1" x14ac:dyDescent="0.35">
      <c r="E17820" s="35"/>
      <c r="J17820" s="41"/>
    </row>
    <row r="17821" spans="5:10" s="34" customFormat="1" x14ac:dyDescent="0.35">
      <c r="E17821" s="35"/>
      <c r="J17821" s="41"/>
    </row>
    <row r="17822" spans="5:10" s="34" customFormat="1" x14ac:dyDescent="0.35">
      <c r="E17822" s="35"/>
      <c r="J17822" s="41"/>
    </row>
    <row r="17823" spans="5:10" s="34" customFormat="1" x14ac:dyDescent="0.35">
      <c r="E17823" s="35"/>
      <c r="J17823" s="41"/>
    </row>
    <row r="17824" spans="5:10" s="34" customFormat="1" x14ac:dyDescent="0.35">
      <c r="E17824" s="35"/>
      <c r="J17824" s="41"/>
    </row>
    <row r="17825" spans="5:10" s="34" customFormat="1" x14ac:dyDescent="0.35">
      <c r="E17825" s="35"/>
      <c r="J17825" s="41"/>
    </row>
    <row r="17826" spans="5:10" s="34" customFormat="1" x14ac:dyDescent="0.35">
      <c r="E17826" s="35"/>
      <c r="J17826" s="41"/>
    </row>
    <row r="17827" spans="5:10" s="34" customFormat="1" x14ac:dyDescent="0.35">
      <c r="E17827" s="35"/>
      <c r="J17827" s="41"/>
    </row>
    <row r="17828" spans="5:10" s="34" customFormat="1" x14ac:dyDescent="0.35">
      <c r="E17828" s="35"/>
      <c r="J17828" s="41"/>
    </row>
    <row r="17829" spans="5:10" s="34" customFormat="1" x14ac:dyDescent="0.35">
      <c r="E17829" s="35"/>
      <c r="J17829" s="41"/>
    </row>
    <row r="17830" spans="5:10" s="34" customFormat="1" x14ac:dyDescent="0.35">
      <c r="E17830" s="35"/>
      <c r="J17830" s="41"/>
    </row>
    <row r="17831" spans="5:10" s="34" customFormat="1" x14ac:dyDescent="0.35">
      <c r="E17831" s="35"/>
      <c r="J17831" s="41"/>
    </row>
    <row r="17832" spans="5:10" s="34" customFormat="1" x14ac:dyDescent="0.35">
      <c r="E17832" s="35"/>
      <c r="J17832" s="41"/>
    </row>
    <row r="17833" spans="5:10" s="34" customFormat="1" x14ac:dyDescent="0.35">
      <c r="E17833" s="35"/>
      <c r="J17833" s="41"/>
    </row>
    <row r="17834" spans="5:10" s="34" customFormat="1" x14ac:dyDescent="0.35">
      <c r="E17834" s="35"/>
      <c r="J17834" s="41"/>
    </row>
    <row r="17835" spans="5:10" s="34" customFormat="1" x14ac:dyDescent="0.35">
      <c r="E17835" s="35"/>
      <c r="J17835" s="41"/>
    </row>
    <row r="17836" spans="5:10" s="34" customFormat="1" x14ac:dyDescent="0.35">
      <c r="E17836" s="35"/>
      <c r="J17836" s="41"/>
    </row>
    <row r="17837" spans="5:10" s="34" customFormat="1" x14ac:dyDescent="0.35">
      <c r="E17837" s="35"/>
      <c r="J17837" s="41"/>
    </row>
    <row r="17838" spans="5:10" s="34" customFormat="1" x14ac:dyDescent="0.35">
      <c r="E17838" s="35"/>
      <c r="J17838" s="41"/>
    </row>
    <row r="17839" spans="5:10" s="34" customFormat="1" x14ac:dyDescent="0.35">
      <c r="E17839" s="35"/>
      <c r="J17839" s="41"/>
    </row>
    <row r="17840" spans="5:10" s="34" customFormat="1" x14ac:dyDescent="0.35">
      <c r="E17840" s="35"/>
      <c r="J17840" s="41"/>
    </row>
    <row r="17841" spans="5:10" s="34" customFormat="1" x14ac:dyDescent="0.35">
      <c r="E17841" s="35"/>
      <c r="J17841" s="41"/>
    </row>
    <row r="17842" spans="5:10" s="34" customFormat="1" x14ac:dyDescent="0.35">
      <c r="E17842" s="35"/>
      <c r="J17842" s="41"/>
    </row>
    <row r="17843" spans="5:10" s="34" customFormat="1" x14ac:dyDescent="0.35">
      <c r="E17843" s="35"/>
      <c r="J17843" s="41"/>
    </row>
    <row r="17844" spans="5:10" s="34" customFormat="1" x14ac:dyDescent="0.35">
      <c r="E17844" s="35"/>
      <c r="J17844" s="41"/>
    </row>
    <row r="17845" spans="5:10" s="34" customFormat="1" x14ac:dyDescent="0.35">
      <c r="E17845" s="35"/>
      <c r="J17845" s="41"/>
    </row>
    <row r="17846" spans="5:10" s="34" customFormat="1" x14ac:dyDescent="0.35">
      <c r="E17846" s="35"/>
      <c r="J17846" s="41"/>
    </row>
    <row r="17847" spans="5:10" s="34" customFormat="1" x14ac:dyDescent="0.35">
      <c r="E17847" s="35"/>
      <c r="J17847" s="41"/>
    </row>
    <row r="17848" spans="5:10" s="34" customFormat="1" x14ac:dyDescent="0.35">
      <c r="E17848" s="35"/>
      <c r="J17848" s="41"/>
    </row>
    <row r="17849" spans="5:10" s="34" customFormat="1" x14ac:dyDescent="0.35">
      <c r="E17849" s="35"/>
      <c r="J17849" s="41"/>
    </row>
    <row r="17850" spans="5:10" s="34" customFormat="1" x14ac:dyDescent="0.35">
      <c r="E17850" s="35"/>
      <c r="J17850" s="41"/>
    </row>
    <row r="17851" spans="5:10" s="34" customFormat="1" x14ac:dyDescent="0.35">
      <c r="E17851" s="35"/>
      <c r="J17851" s="41"/>
    </row>
    <row r="17852" spans="5:10" s="34" customFormat="1" x14ac:dyDescent="0.35">
      <c r="E17852" s="35"/>
      <c r="J17852" s="41"/>
    </row>
    <row r="17853" spans="5:10" s="34" customFormat="1" x14ac:dyDescent="0.35">
      <c r="E17853" s="35"/>
      <c r="J17853" s="41"/>
    </row>
    <row r="17854" spans="5:10" s="34" customFormat="1" x14ac:dyDescent="0.35">
      <c r="E17854" s="35"/>
      <c r="J17854" s="41"/>
    </row>
    <row r="17855" spans="5:10" s="34" customFormat="1" x14ac:dyDescent="0.35">
      <c r="E17855" s="35"/>
      <c r="J17855" s="41"/>
    </row>
    <row r="17856" spans="5:10" s="34" customFormat="1" x14ac:dyDescent="0.35">
      <c r="E17856" s="35"/>
      <c r="J17856" s="41"/>
    </row>
    <row r="17857" spans="5:10" s="34" customFormat="1" x14ac:dyDescent="0.35">
      <c r="E17857" s="35"/>
      <c r="J17857" s="41"/>
    </row>
    <row r="17858" spans="5:10" s="34" customFormat="1" x14ac:dyDescent="0.35">
      <c r="E17858" s="35"/>
      <c r="J17858" s="41"/>
    </row>
    <row r="17859" spans="5:10" s="34" customFormat="1" x14ac:dyDescent="0.35">
      <c r="E17859" s="35"/>
      <c r="J17859" s="41"/>
    </row>
    <row r="17860" spans="5:10" s="34" customFormat="1" x14ac:dyDescent="0.35">
      <c r="E17860" s="35"/>
      <c r="J17860" s="41"/>
    </row>
    <row r="17861" spans="5:10" s="34" customFormat="1" x14ac:dyDescent="0.35">
      <c r="E17861" s="35"/>
      <c r="J17861" s="41"/>
    </row>
    <row r="17862" spans="5:10" s="34" customFormat="1" x14ac:dyDescent="0.35">
      <c r="E17862" s="35"/>
      <c r="J17862" s="41"/>
    </row>
    <row r="17863" spans="5:10" s="34" customFormat="1" x14ac:dyDescent="0.35">
      <c r="E17863" s="35"/>
      <c r="J17863" s="41"/>
    </row>
    <row r="17864" spans="5:10" s="34" customFormat="1" x14ac:dyDescent="0.35">
      <c r="E17864" s="35"/>
      <c r="J17864" s="41"/>
    </row>
    <row r="17865" spans="5:10" s="34" customFormat="1" x14ac:dyDescent="0.35">
      <c r="E17865" s="35"/>
      <c r="J17865" s="41"/>
    </row>
    <row r="17866" spans="5:10" s="34" customFormat="1" x14ac:dyDescent="0.35">
      <c r="E17866" s="35"/>
      <c r="J17866" s="41"/>
    </row>
    <row r="17867" spans="5:10" s="34" customFormat="1" x14ac:dyDescent="0.35">
      <c r="E17867" s="35"/>
      <c r="J17867" s="41"/>
    </row>
    <row r="17868" spans="5:10" s="34" customFormat="1" x14ac:dyDescent="0.35">
      <c r="E17868" s="35"/>
      <c r="J17868" s="41"/>
    </row>
    <row r="17869" spans="5:10" s="34" customFormat="1" x14ac:dyDescent="0.35">
      <c r="E17869" s="35"/>
      <c r="J17869" s="41"/>
    </row>
    <row r="17870" spans="5:10" s="34" customFormat="1" x14ac:dyDescent="0.35">
      <c r="E17870" s="35"/>
      <c r="J17870" s="41"/>
    </row>
    <row r="17871" spans="5:10" s="34" customFormat="1" x14ac:dyDescent="0.35">
      <c r="E17871" s="35"/>
      <c r="J17871" s="41"/>
    </row>
    <row r="17872" spans="5:10" s="34" customFormat="1" x14ac:dyDescent="0.35">
      <c r="E17872" s="35"/>
      <c r="J17872" s="41"/>
    </row>
    <row r="17873" spans="5:10" s="34" customFormat="1" x14ac:dyDescent="0.35">
      <c r="E17873" s="35"/>
      <c r="J17873" s="41"/>
    </row>
    <row r="17874" spans="5:10" s="34" customFormat="1" x14ac:dyDescent="0.35">
      <c r="E17874" s="35"/>
      <c r="J17874" s="41"/>
    </row>
    <row r="17875" spans="5:10" s="34" customFormat="1" x14ac:dyDescent="0.35">
      <c r="E17875" s="35"/>
      <c r="J17875" s="41"/>
    </row>
    <row r="17876" spans="5:10" s="34" customFormat="1" x14ac:dyDescent="0.35">
      <c r="E17876" s="35"/>
      <c r="J17876" s="41"/>
    </row>
    <row r="17877" spans="5:10" s="34" customFormat="1" x14ac:dyDescent="0.35">
      <c r="E17877" s="35"/>
      <c r="J17877" s="41"/>
    </row>
    <row r="17878" spans="5:10" s="34" customFormat="1" x14ac:dyDescent="0.35">
      <c r="E17878" s="35"/>
      <c r="J17878" s="41"/>
    </row>
    <row r="17879" spans="5:10" s="34" customFormat="1" x14ac:dyDescent="0.35">
      <c r="E17879" s="35"/>
      <c r="J17879" s="41"/>
    </row>
    <row r="17880" spans="5:10" s="34" customFormat="1" x14ac:dyDescent="0.35">
      <c r="E17880" s="35"/>
      <c r="J17880" s="41"/>
    </row>
    <row r="17881" spans="5:10" s="34" customFormat="1" x14ac:dyDescent="0.35">
      <c r="E17881" s="35"/>
      <c r="J17881" s="41"/>
    </row>
    <row r="17882" spans="5:10" s="34" customFormat="1" x14ac:dyDescent="0.35">
      <c r="E17882" s="35"/>
      <c r="J17882" s="41"/>
    </row>
    <row r="17883" spans="5:10" s="34" customFormat="1" x14ac:dyDescent="0.35">
      <c r="E17883" s="35"/>
      <c r="J17883" s="41"/>
    </row>
    <row r="17884" spans="5:10" s="34" customFormat="1" x14ac:dyDescent="0.35">
      <c r="E17884" s="35"/>
      <c r="J17884" s="41"/>
    </row>
    <row r="17885" spans="5:10" s="34" customFormat="1" x14ac:dyDescent="0.35">
      <c r="E17885" s="35"/>
      <c r="J17885" s="41"/>
    </row>
    <row r="17886" spans="5:10" s="34" customFormat="1" x14ac:dyDescent="0.35">
      <c r="E17886" s="35"/>
      <c r="J17886" s="41"/>
    </row>
    <row r="17887" spans="5:10" s="34" customFormat="1" x14ac:dyDescent="0.35">
      <c r="E17887" s="35"/>
      <c r="J17887" s="41"/>
    </row>
    <row r="17888" spans="5:10" s="34" customFormat="1" x14ac:dyDescent="0.35">
      <c r="E17888" s="35"/>
      <c r="J17888" s="41"/>
    </row>
    <row r="17889" spans="5:10" s="34" customFormat="1" x14ac:dyDescent="0.35">
      <c r="E17889" s="35"/>
      <c r="J17889" s="41"/>
    </row>
    <row r="17890" spans="5:10" s="34" customFormat="1" x14ac:dyDescent="0.35">
      <c r="E17890" s="35"/>
      <c r="J17890" s="41"/>
    </row>
    <row r="17891" spans="5:10" s="34" customFormat="1" x14ac:dyDescent="0.35">
      <c r="E17891" s="35"/>
      <c r="J17891" s="41"/>
    </row>
    <row r="17892" spans="5:10" s="34" customFormat="1" x14ac:dyDescent="0.35">
      <c r="E17892" s="35"/>
      <c r="J17892" s="41"/>
    </row>
    <row r="17893" spans="5:10" s="34" customFormat="1" x14ac:dyDescent="0.35">
      <c r="E17893" s="35"/>
      <c r="J17893" s="41"/>
    </row>
    <row r="17894" spans="5:10" s="34" customFormat="1" x14ac:dyDescent="0.35">
      <c r="E17894" s="35"/>
      <c r="J17894" s="41"/>
    </row>
    <row r="17895" spans="5:10" s="34" customFormat="1" x14ac:dyDescent="0.35">
      <c r="E17895" s="35"/>
      <c r="J17895" s="41"/>
    </row>
    <row r="17896" spans="5:10" s="34" customFormat="1" x14ac:dyDescent="0.35">
      <c r="E17896" s="35"/>
      <c r="J17896" s="41"/>
    </row>
    <row r="17897" spans="5:10" s="34" customFormat="1" x14ac:dyDescent="0.35">
      <c r="E17897" s="35"/>
      <c r="J17897" s="41"/>
    </row>
    <row r="17898" spans="5:10" s="34" customFormat="1" x14ac:dyDescent="0.35">
      <c r="E17898" s="35"/>
      <c r="J17898" s="41"/>
    </row>
    <row r="17899" spans="5:10" s="34" customFormat="1" x14ac:dyDescent="0.35">
      <c r="E17899" s="35"/>
      <c r="J17899" s="41"/>
    </row>
    <row r="17900" spans="5:10" s="34" customFormat="1" x14ac:dyDescent="0.35">
      <c r="E17900" s="35"/>
      <c r="J17900" s="41"/>
    </row>
    <row r="17901" spans="5:10" s="34" customFormat="1" x14ac:dyDescent="0.35">
      <c r="E17901" s="35"/>
      <c r="J17901" s="41"/>
    </row>
    <row r="17902" spans="5:10" s="34" customFormat="1" x14ac:dyDescent="0.35">
      <c r="E17902" s="35"/>
      <c r="J17902" s="41"/>
    </row>
    <row r="17903" spans="5:10" s="34" customFormat="1" x14ac:dyDescent="0.35">
      <c r="E17903" s="35"/>
      <c r="J17903" s="41"/>
    </row>
    <row r="17904" spans="5:10" s="34" customFormat="1" x14ac:dyDescent="0.35">
      <c r="E17904" s="35"/>
      <c r="J17904" s="41"/>
    </row>
    <row r="17905" spans="5:10" s="34" customFormat="1" x14ac:dyDescent="0.35">
      <c r="E17905" s="35"/>
      <c r="J17905" s="41"/>
    </row>
    <row r="17906" spans="5:10" s="34" customFormat="1" x14ac:dyDescent="0.35">
      <c r="E17906" s="35"/>
      <c r="J17906" s="41"/>
    </row>
    <row r="17907" spans="5:10" s="34" customFormat="1" x14ac:dyDescent="0.35">
      <c r="E17907" s="35"/>
      <c r="J17907" s="41"/>
    </row>
    <row r="17908" spans="5:10" s="34" customFormat="1" x14ac:dyDescent="0.35">
      <c r="E17908" s="35"/>
      <c r="J17908" s="41"/>
    </row>
    <row r="17909" spans="5:10" s="34" customFormat="1" x14ac:dyDescent="0.35">
      <c r="E17909" s="35"/>
      <c r="J17909" s="41"/>
    </row>
    <row r="17910" spans="5:10" s="34" customFormat="1" x14ac:dyDescent="0.35">
      <c r="E17910" s="35"/>
      <c r="J17910" s="41"/>
    </row>
    <row r="17911" spans="5:10" s="34" customFormat="1" x14ac:dyDescent="0.35">
      <c r="E17911" s="35"/>
      <c r="J17911" s="41"/>
    </row>
    <row r="17912" spans="5:10" s="34" customFormat="1" x14ac:dyDescent="0.35">
      <c r="E17912" s="35"/>
      <c r="J17912" s="41"/>
    </row>
    <row r="17913" spans="5:10" s="34" customFormat="1" x14ac:dyDescent="0.35">
      <c r="E17913" s="35"/>
      <c r="J17913" s="41"/>
    </row>
    <row r="17914" spans="5:10" s="34" customFormat="1" x14ac:dyDescent="0.35">
      <c r="E17914" s="35"/>
      <c r="J17914" s="41"/>
    </row>
    <row r="17915" spans="5:10" s="34" customFormat="1" x14ac:dyDescent="0.35">
      <c r="E17915" s="35"/>
      <c r="J17915" s="41"/>
    </row>
    <row r="17916" spans="5:10" s="34" customFormat="1" x14ac:dyDescent="0.35">
      <c r="E17916" s="35"/>
      <c r="J17916" s="41"/>
    </row>
    <row r="17917" spans="5:10" s="34" customFormat="1" x14ac:dyDescent="0.35">
      <c r="E17917" s="35"/>
      <c r="J17917" s="41"/>
    </row>
    <row r="17918" spans="5:10" s="34" customFormat="1" x14ac:dyDescent="0.35">
      <c r="E17918" s="35"/>
      <c r="J17918" s="41"/>
    </row>
    <row r="17919" spans="5:10" s="34" customFormat="1" x14ac:dyDescent="0.35">
      <c r="E17919" s="35"/>
      <c r="J17919" s="41"/>
    </row>
    <row r="17920" spans="5:10" s="34" customFormat="1" x14ac:dyDescent="0.35">
      <c r="E17920" s="35"/>
      <c r="J17920" s="41"/>
    </row>
    <row r="17921" spans="5:10" s="34" customFormat="1" x14ac:dyDescent="0.35">
      <c r="E17921" s="35"/>
      <c r="J17921" s="41"/>
    </row>
    <row r="17922" spans="5:10" s="34" customFormat="1" x14ac:dyDescent="0.35">
      <c r="E17922" s="35"/>
      <c r="J17922" s="41"/>
    </row>
    <row r="17923" spans="5:10" s="34" customFormat="1" x14ac:dyDescent="0.35">
      <c r="E17923" s="35"/>
      <c r="J17923" s="41"/>
    </row>
    <row r="17924" spans="5:10" s="34" customFormat="1" x14ac:dyDescent="0.35">
      <c r="E17924" s="35"/>
      <c r="J17924" s="41"/>
    </row>
    <row r="17925" spans="5:10" s="34" customFormat="1" x14ac:dyDescent="0.35">
      <c r="E17925" s="35"/>
      <c r="J17925" s="41"/>
    </row>
    <row r="17926" spans="5:10" s="34" customFormat="1" x14ac:dyDescent="0.35">
      <c r="E17926" s="35"/>
      <c r="J17926" s="41"/>
    </row>
    <row r="17927" spans="5:10" s="34" customFormat="1" x14ac:dyDescent="0.35">
      <c r="E17927" s="35"/>
      <c r="J17927" s="41"/>
    </row>
    <row r="17928" spans="5:10" s="34" customFormat="1" x14ac:dyDescent="0.35">
      <c r="E17928" s="35"/>
      <c r="J17928" s="41"/>
    </row>
    <row r="17929" spans="5:10" s="34" customFormat="1" x14ac:dyDescent="0.35">
      <c r="E17929" s="35"/>
      <c r="J17929" s="41"/>
    </row>
    <row r="17930" spans="5:10" s="34" customFormat="1" x14ac:dyDescent="0.35">
      <c r="E17930" s="35"/>
      <c r="J17930" s="41"/>
    </row>
    <row r="17931" spans="5:10" s="34" customFormat="1" x14ac:dyDescent="0.35">
      <c r="E17931" s="35"/>
      <c r="J17931" s="41"/>
    </row>
    <row r="17932" spans="5:10" s="34" customFormat="1" x14ac:dyDescent="0.35">
      <c r="E17932" s="35"/>
      <c r="J17932" s="41"/>
    </row>
    <row r="17933" spans="5:10" s="34" customFormat="1" x14ac:dyDescent="0.35">
      <c r="E17933" s="35"/>
      <c r="J17933" s="41"/>
    </row>
    <row r="17934" spans="5:10" s="34" customFormat="1" x14ac:dyDescent="0.35">
      <c r="E17934" s="35"/>
      <c r="J17934" s="41"/>
    </row>
    <row r="17935" spans="5:10" s="34" customFormat="1" x14ac:dyDescent="0.35">
      <c r="E17935" s="35"/>
      <c r="J17935" s="41"/>
    </row>
    <row r="17936" spans="5:10" s="34" customFormat="1" x14ac:dyDescent="0.35">
      <c r="E17936" s="35"/>
      <c r="J17936" s="41"/>
    </row>
    <row r="17937" spans="5:10" s="34" customFormat="1" x14ac:dyDescent="0.35">
      <c r="E17937" s="35"/>
      <c r="J17937" s="41"/>
    </row>
    <row r="17938" spans="5:10" s="34" customFormat="1" x14ac:dyDescent="0.35">
      <c r="E17938" s="35"/>
      <c r="J17938" s="41"/>
    </row>
    <row r="17939" spans="5:10" s="34" customFormat="1" x14ac:dyDescent="0.35">
      <c r="E17939" s="35"/>
      <c r="J17939" s="41"/>
    </row>
    <row r="17940" spans="5:10" s="34" customFormat="1" x14ac:dyDescent="0.35">
      <c r="E17940" s="35"/>
      <c r="J17940" s="41"/>
    </row>
    <row r="17941" spans="5:10" s="34" customFormat="1" x14ac:dyDescent="0.35">
      <c r="E17941" s="35"/>
      <c r="J17941" s="41"/>
    </row>
    <row r="17942" spans="5:10" s="34" customFormat="1" x14ac:dyDescent="0.35">
      <c r="E17942" s="35"/>
      <c r="J17942" s="41"/>
    </row>
    <row r="17943" spans="5:10" s="34" customFormat="1" x14ac:dyDescent="0.35">
      <c r="E17943" s="35"/>
      <c r="J17943" s="41"/>
    </row>
    <row r="17944" spans="5:10" s="34" customFormat="1" x14ac:dyDescent="0.35">
      <c r="E17944" s="35"/>
      <c r="J17944" s="41"/>
    </row>
    <row r="17945" spans="5:10" s="34" customFormat="1" x14ac:dyDescent="0.35">
      <c r="E17945" s="35"/>
      <c r="J17945" s="41"/>
    </row>
    <row r="17946" spans="5:10" s="34" customFormat="1" x14ac:dyDescent="0.35">
      <c r="E17946" s="35"/>
      <c r="J17946" s="41"/>
    </row>
    <row r="17947" spans="5:10" s="34" customFormat="1" x14ac:dyDescent="0.35">
      <c r="E17947" s="35"/>
      <c r="J17947" s="41"/>
    </row>
    <row r="17948" spans="5:10" s="34" customFormat="1" x14ac:dyDescent="0.35">
      <c r="E17948" s="35"/>
      <c r="J17948" s="41"/>
    </row>
    <row r="17949" spans="5:10" s="34" customFormat="1" x14ac:dyDescent="0.35">
      <c r="E17949" s="35"/>
      <c r="J17949" s="41"/>
    </row>
    <row r="17950" spans="5:10" s="34" customFormat="1" x14ac:dyDescent="0.35">
      <c r="E17950" s="35"/>
      <c r="J17950" s="41"/>
    </row>
    <row r="17951" spans="5:10" s="34" customFormat="1" x14ac:dyDescent="0.35">
      <c r="E17951" s="35"/>
      <c r="J17951" s="41"/>
    </row>
    <row r="17952" spans="5:10" s="34" customFormat="1" x14ac:dyDescent="0.35">
      <c r="E17952" s="35"/>
      <c r="J17952" s="41"/>
    </row>
    <row r="17953" spans="5:10" s="34" customFormat="1" x14ac:dyDescent="0.35">
      <c r="E17953" s="35"/>
      <c r="J17953" s="41"/>
    </row>
    <row r="17954" spans="5:10" s="34" customFormat="1" x14ac:dyDescent="0.35">
      <c r="E17954" s="35"/>
      <c r="J17954" s="41"/>
    </row>
    <row r="17955" spans="5:10" s="34" customFormat="1" x14ac:dyDescent="0.35">
      <c r="E17955" s="35"/>
      <c r="J17955" s="41"/>
    </row>
    <row r="17956" spans="5:10" s="34" customFormat="1" x14ac:dyDescent="0.35">
      <c r="E17956" s="35"/>
      <c r="J17956" s="41"/>
    </row>
    <row r="17957" spans="5:10" s="34" customFormat="1" x14ac:dyDescent="0.35">
      <c r="E17957" s="35"/>
      <c r="J17957" s="41"/>
    </row>
    <row r="17958" spans="5:10" s="34" customFormat="1" x14ac:dyDescent="0.35">
      <c r="E17958" s="35"/>
      <c r="J17958" s="41"/>
    </row>
    <row r="17959" spans="5:10" s="34" customFormat="1" x14ac:dyDescent="0.35">
      <c r="E17959" s="35"/>
      <c r="J17959" s="41"/>
    </row>
    <row r="17960" spans="5:10" s="34" customFormat="1" x14ac:dyDescent="0.35">
      <c r="E17960" s="35"/>
      <c r="J17960" s="41"/>
    </row>
    <row r="17961" spans="5:10" s="34" customFormat="1" x14ac:dyDescent="0.35">
      <c r="E17961" s="35"/>
      <c r="J17961" s="41"/>
    </row>
    <row r="17962" spans="5:10" s="34" customFormat="1" x14ac:dyDescent="0.35">
      <c r="E17962" s="35"/>
      <c r="J17962" s="41"/>
    </row>
    <row r="17963" spans="5:10" s="34" customFormat="1" x14ac:dyDescent="0.35">
      <c r="E17963" s="35"/>
      <c r="J17963" s="41"/>
    </row>
    <row r="17964" spans="5:10" s="34" customFormat="1" x14ac:dyDescent="0.35">
      <c r="E17964" s="35"/>
      <c r="J17964" s="41"/>
    </row>
    <row r="17965" spans="5:10" s="34" customFormat="1" x14ac:dyDescent="0.35">
      <c r="E17965" s="35"/>
      <c r="J17965" s="41"/>
    </row>
    <row r="17966" spans="5:10" s="34" customFormat="1" x14ac:dyDescent="0.35">
      <c r="E17966" s="35"/>
      <c r="J17966" s="41"/>
    </row>
    <row r="17967" spans="5:10" s="34" customFormat="1" x14ac:dyDescent="0.35">
      <c r="E17967" s="35"/>
      <c r="J17967" s="41"/>
    </row>
    <row r="17968" spans="5:10" s="34" customFormat="1" x14ac:dyDescent="0.35">
      <c r="E17968" s="35"/>
      <c r="J17968" s="41"/>
    </row>
    <row r="17969" spans="5:10" s="34" customFormat="1" x14ac:dyDescent="0.35">
      <c r="E17969" s="35"/>
      <c r="J17969" s="41"/>
    </row>
    <row r="17970" spans="5:10" s="34" customFormat="1" x14ac:dyDescent="0.35">
      <c r="E17970" s="35"/>
      <c r="J17970" s="41"/>
    </row>
    <row r="17971" spans="5:10" s="34" customFormat="1" x14ac:dyDescent="0.35">
      <c r="E17971" s="35"/>
      <c r="J17971" s="41"/>
    </row>
    <row r="17972" spans="5:10" s="34" customFormat="1" x14ac:dyDescent="0.35">
      <c r="E17972" s="35"/>
      <c r="J17972" s="41"/>
    </row>
    <row r="17973" spans="5:10" s="34" customFormat="1" x14ac:dyDescent="0.35">
      <c r="E17973" s="35"/>
      <c r="J17973" s="41"/>
    </row>
    <row r="17974" spans="5:10" s="34" customFormat="1" x14ac:dyDescent="0.35">
      <c r="E17974" s="35"/>
      <c r="J17974" s="41"/>
    </row>
    <row r="17975" spans="5:10" s="34" customFormat="1" x14ac:dyDescent="0.35">
      <c r="E17975" s="35"/>
      <c r="J17975" s="41"/>
    </row>
    <row r="17976" spans="5:10" s="34" customFormat="1" x14ac:dyDescent="0.35">
      <c r="E17976" s="35"/>
      <c r="J17976" s="41"/>
    </row>
    <row r="17977" spans="5:10" s="34" customFormat="1" x14ac:dyDescent="0.35">
      <c r="E17977" s="35"/>
      <c r="J17977" s="41"/>
    </row>
    <row r="17978" spans="5:10" s="34" customFormat="1" x14ac:dyDescent="0.35">
      <c r="E17978" s="35"/>
      <c r="J17978" s="41"/>
    </row>
    <row r="17979" spans="5:10" s="34" customFormat="1" x14ac:dyDescent="0.35">
      <c r="E17979" s="35"/>
      <c r="J17979" s="41"/>
    </row>
    <row r="17980" spans="5:10" s="34" customFormat="1" x14ac:dyDescent="0.35">
      <c r="E17980" s="35"/>
      <c r="J17980" s="41"/>
    </row>
    <row r="17981" spans="5:10" s="34" customFormat="1" x14ac:dyDescent="0.35">
      <c r="E17981" s="35"/>
      <c r="J17981" s="41"/>
    </row>
    <row r="17982" spans="5:10" s="34" customFormat="1" x14ac:dyDescent="0.35">
      <c r="E17982" s="35"/>
      <c r="J17982" s="41"/>
    </row>
    <row r="17983" spans="5:10" s="34" customFormat="1" x14ac:dyDescent="0.35">
      <c r="E17983" s="35"/>
      <c r="J17983" s="41"/>
    </row>
    <row r="17984" spans="5:10" s="34" customFormat="1" x14ac:dyDescent="0.35">
      <c r="E17984" s="35"/>
      <c r="J17984" s="41"/>
    </row>
    <row r="17985" spans="5:10" s="34" customFormat="1" x14ac:dyDescent="0.35">
      <c r="E17985" s="35"/>
      <c r="J17985" s="41"/>
    </row>
    <row r="17986" spans="5:10" s="34" customFormat="1" x14ac:dyDescent="0.35">
      <c r="E17986" s="35"/>
      <c r="J17986" s="41"/>
    </row>
    <row r="17987" spans="5:10" s="34" customFormat="1" x14ac:dyDescent="0.35">
      <c r="E17987" s="35"/>
      <c r="J17987" s="41"/>
    </row>
    <row r="17988" spans="5:10" s="34" customFormat="1" x14ac:dyDescent="0.35">
      <c r="E17988" s="35"/>
      <c r="J17988" s="41"/>
    </row>
    <row r="17989" spans="5:10" s="34" customFormat="1" x14ac:dyDescent="0.35">
      <c r="E17989" s="35"/>
      <c r="J17989" s="41"/>
    </row>
    <row r="17990" spans="5:10" s="34" customFormat="1" x14ac:dyDescent="0.35">
      <c r="E17990" s="35"/>
      <c r="J17990" s="41"/>
    </row>
    <row r="17991" spans="5:10" s="34" customFormat="1" x14ac:dyDescent="0.35">
      <c r="E17991" s="35"/>
      <c r="J17991" s="41"/>
    </row>
    <row r="17992" spans="5:10" s="34" customFormat="1" x14ac:dyDescent="0.35">
      <c r="E17992" s="35"/>
      <c r="J17992" s="41"/>
    </row>
    <row r="17993" spans="5:10" s="34" customFormat="1" x14ac:dyDescent="0.35">
      <c r="E17993" s="35"/>
      <c r="J17993" s="41"/>
    </row>
    <row r="17994" spans="5:10" s="34" customFormat="1" x14ac:dyDescent="0.35">
      <c r="E17994" s="35"/>
      <c r="J17994" s="41"/>
    </row>
    <row r="17995" spans="5:10" s="34" customFormat="1" x14ac:dyDescent="0.35">
      <c r="E17995" s="35"/>
      <c r="J17995" s="41"/>
    </row>
    <row r="17996" spans="5:10" s="34" customFormat="1" x14ac:dyDescent="0.35">
      <c r="E17996" s="35"/>
      <c r="J17996" s="41"/>
    </row>
    <row r="17997" spans="5:10" s="34" customFormat="1" x14ac:dyDescent="0.35">
      <c r="E17997" s="35"/>
      <c r="J17997" s="41"/>
    </row>
    <row r="17998" spans="5:10" s="34" customFormat="1" x14ac:dyDescent="0.35">
      <c r="E17998" s="35"/>
      <c r="J17998" s="41"/>
    </row>
    <row r="17999" spans="5:10" s="34" customFormat="1" x14ac:dyDescent="0.35">
      <c r="E17999" s="35"/>
      <c r="J17999" s="41"/>
    </row>
    <row r="18000" spans="5:10" s="34" customFormat="1" x14ac:dyDescent="0.35">
      <c r="E18000" s="35"/>
      <c r="J18000" s="41"/>
    </row>
    <row r="18001" spans="5:10" s="34" customFormat="1" x14ac:dyDescent="0.35">
      <c r="E18001" s="35"/>
      <c r="J18001" s="41"/>
    </row>
    <row r="18002" spans="5:10" s="34" customFormat="1" x14ac:dyDescent="0.35">
      <c r="E18002" s="35"/>
      <c r="J18002" s="41"/>
    </row>
    <row r="18003" spans="5:10" s="34" customFormat="1" x14ac:dyDescent="0.35">
      <c r="E18003" s="35"/>
      <c r="J18003" s="41"/>
    </row>
    <row r="18004" spans="5:10" s="34" customFormat="1" x14ac:dyDescent="0.35">
      <c r="E18004" s="35"/>
      <c r="J18004" s="41"/>
    </row>
    <row r="18005" spans="5:10" s="34" customFormat="1" x14ac:dyDescent="0.35">
      <c r="E18005" s="35"/>
      <c r="J18005" s="41"/>
    </row>
    <row r="18006" spans="5:10" s="34" customFormat="1" x14ac:dyDescent="0.35">
      <c r="E18006" s="35"/>
      <c r="J18006" s="41"/>
    </row>
    <row r="18007" spans="5:10" s="34" customFormat="1" x14ac:dyDescent="0.35">
      <c r="E18007" s="35"/>
      <c r="J18007" s="41"/>
    </row>
    <row r="18008" spans="5:10" s="34" customFormat="1" x14ac:dyDescent="0.35">
      <c r="E18008" s="35"/>
      <c r="J18008" s="41"/>
    </row>
    <row r="18009" spans="5:10" s="34" customFormat="1" x14ac:dyDescent="0.35">
      <c r="E18009" s="35"/>
      <c r="J18009" s="41"/>
    </row>
    <row r="18010" spans="5:10" s="34" customFormat="1" x14ac:dyDescent="0.35">
      <c r="E18010" s="35"/>
      <c r="J18010" s="41"/>
    </row>
    <row r="18011" spans="5:10" s="34" customFormat="1" x14ac:dyDescent="0.35">
      <c r="E18011" s="35"/>
      <c r="J18011" s="41"/>
    </row>
    <row r="18012" spans="5:10" s="34" customFormat="1" x14ac:dyDescent="0.35">
      <c r="E18012" s="35"/>
      <c r="J18012" s="41"/>
    </row>
    <row r="18013" spans="5:10" s="34" customFormat="1" x14ac:dyDescent="0.35">
      <c r="E18013" s="35"/>
      <c r="J18013" s="41"/>
    </row>
    <row r="18014" spans="5:10" s="34" customFormat="1" x14ac:dyDescent="0.35">
      <c r="E18014" s="35"/>
      <c r="J18014" s="41"/>
    </row>
    <row r="18015" spans="5:10" s="34" customFormat="1" x14ac:dyDescent="0.35">
      <c r="E18015" s="35"/>
      <c r="J18015" s="41"/>
    </row>
    <row r="18016" spans="5:10" s="34" customFormat="1" x14ac:dyDescent="0.35">
      <c r="E18016" s="35"/>
      <c r="J18016" s="41"/>
    </row>
    <row r="18017" spans="5:10" s="34" customFormat="1" x14ac:dyDescent="0.35">
      <c r="E18017" s="35"/>
      <c r="J18017" s="41"/>
    </row>
    <row r="18018" spans="5:10" s="34" customFormat="1" x14ac:dyDescent="0.35">
      <c r="E18018" s="35"/>
      <c r="J18018" s="41"/>
    </row>
    <row r="18019" spans="5:10" s="34" customFormat="1" x14ac:dyDescent="0.35">
      <c r="E18019" s="35"/>
      <c r="J18019" s="41"/>
    </row>
    <row r="18020" spans="5:10" s="34" customFormat="1" x14ac:dyDescent="0.35">
      <c r="E18020" s="35"/>
      <c r="J18020" s="41"/>
    </row>
    <row r="18021" spans="5:10" s="34" customFormat="1" x14ac:dyDescent="0.35">
      <c r="E18021" s="35"/>
      <c r="J18021" s="41"/>
    </row>
    <row r="18022" spans="5:10" s="34" customFormat="1" x14ac:dyDescent="0.35">
      <c r="E18022" s="35"/>
      <c r="J18022" s="41"/>
    </row>
    <row r="18023" spans="5:10" s="34" customFormat="1" x14ac:dyDescent="0.35">
      <c r="E18023" s="35"/>
      <c r="J18023" s="41"/>
    </row>
    <row r="18024" spans="5:10" s="34" customFormat="1" x14ac:dyDescent="0.35">
      <c r="E18024" s="35"/>
      <c r="J18024" s="41"/>
    </row>
    <row r="18025" spans="5:10" s="34" customFormat="1" x14ac:dyDescent="0.35">
      <c r="E18025" s="35"/>
      <c r="J18025" s="41"/>
    </row>
    <row r="18026" spans="5:10" s="34" customFormat="1" x14ac:dyDescent="0.35">
      <c r="E18026" s="35"/>
      <c r="J18026" s="41"/>
    </row>
    <row r="18027" spans="5:10" s="34" customFormat="1" x14ac:dyDescent="0.35">
      <c r="E18027" s="35"/>
      <c r="J18027" s="41"/>
    </row>
    <row r="18028" spans="5:10" s="34" customFormat="1" x14ac:dyDescent="0.35">
      <c r="E18028" s="35"/>
      <c r="J18028" s="41"/>
    </row>
    <row r="18029" spans="5:10" s="34" customFormat="1" x14ac:dyDescent="0.35">
      <c r="E18029" s="35"/>
      <c r="J18029" s="41"/>
    </row>
    <row r="18030" spans="5:10" s="34" customFormat="1" x14ac:dyDescent="0.35">
      <c r="E18030" s="35"/>
      <c r="J18030" s="41"/>
    </row>
    <row r="18031" spans="5:10" s="34" customFormat="1" x14ac:dyDescent="0.35">
      <c r="E18031" s="35"/>
      <c r="J18031" s="41"/>
    </row>
    <row r="18032" spans="5:10" s="34" customFormat="1" x14ac:dyDescent="0.35">
      <c r="E18032" s="35"/>
      <c r="J18032" s="41"/>
    </row>
    <row r="18033" spans="5:10" s="34" customFormat="1" x14ac:dyDescent="0.35">
      <c r="E18033" s="35"/>
      <c r="J18033" s="41"/>
    </row>
    <row r="18034" spans="5:10" s="34" customFormat="1" x14ac:dyDescent="0.35">
      <c r="E18034" s="35"/>
      <c r="J18034" s="41"/>
    </row>
    <row r="18035" spans="5:10" s="34" customFormat="1" x14ac:dyDescent="0.35">
      <c r="E18035" s="35"/>
      <c r="J18035" s="41"/>
    </row>
    <row r="18036" spans="5:10" s="34" customFormat="1" x14ac:dyDescent="0.35">
      <c r="E18036" s="35"/>
      <c r="J18036" s="41"/>
    </row>
    <row r="18037" spans="5:10" s="34" customFormat="1" x14ac:dyDescent="0.35">
      <c r="E18037" s="35"/>
      <c r="J18037" s="41"/>
    </row>
    <row r="18038" spans="5:10" s="34" customFormat="1" x14ac:dyDescent="0.35">
      <c r="E18038" s="35"/>
      <c r="J18038" s="41"/>
    </row>
    <row r="18039" spans="5:10" s="34" customFormat="1" x14ac:dyDescent="0.35">
      <c r="E18039" s="35"/>
      <c r="J18039" s="41"/>
    </row>
    <row r="18040" spans="5:10" s="34" customFormat="1" x14ac:dyDescent="0.35">
      <c r="E18040" s="35"/>
      <c r="J18040" s="41"/>
    </row>
    <row r="18041" spans="5:10" s="34" customFormat="1" x14ac:dyDescent="0.35">
      <c r="E18041" s="35"/>
      <c r="J18041" s="41"/>
    </row>
    <row r="18042" spans="5:10" s="34" customFormat="1" x14ac:dyDescent="0.35">
      <c r="E18042" s="35"/>
      <c r="J18042" s="41"/>
    </row>
    <row r="18043" spans="5:10" s="34" customFormat="1" x14ac:dyDescent="0.35">
      <c r="E18043" s="35"/>
      <c r="J18043" s="41"/>
    </row>
    <row r="18044" spans="5:10" s="34" customFormat="1" x14ac:dyDescent="0.35">
      <c r="E18044" s="35"/>
      <c r="J18044" s="41"/>
    </row>
    <row r="18045" spans="5:10" s="34" customFormat="1" x14ac:dyDescent="0.35">
      <c r="E18045" s="35"/>
      <c r="J18045" s="41"/>
    </row>
    <row r="18046" spans="5:10" s="34" customFormat="1" x14ac:dyDescent="0.35">
      <c r="E18046" s="35"/>
      <c r="J18046" s="41"/>
    </row>
    <row r="18047" spans="5:10" s="34" customFormat="1" x14ac:dyDescent="0.35">
      <c r="E18047" s="35"/>
      <c r="J18047" s="41"/>
    </row>
    <row r="18048" spans="5:10" s="34" customFormat="1" x14ac:dyDescent="0.35">
      <c r="E18048" s="35"/>
      <c r="J18048" s="41"/>
    </row>
    <row r="18049" spans="5:10" s="34" customFormat="1" x14ac:dyDescent="0.35">
      <c r="E18049" s="35"/>
      <c r="J18049" s="41"/>
    </row>
    <row r="18050" spans="5:10" s="34" customFormat="1" x14ac:dyDescent="0.35">
      <c r="E18050" s="35"/>
      <c r="J18050" s="41"/>
    </row>
    <row r="18051" spans="5:10" s="34" customFormat="1" x14ac:dyDescent="0.35">
      <c r="E18051" s="35"/>
      <c r="J18051" s="41"/>
    </row>
    <row r="18052" spans="5:10" s="34" customFormat="1" x14ac:dyDescent="0.35">
      <c r="E18052" s="35"/>
      <c r="J18052" s="41"/>
    </row>
    <row r="18053" spans="5:10" s="34" customFormat="1" x14ac:dyDescent="0.35">
      <c r="E18053" s="35"/>
      <c r="J18053" s="41"/>
    </row>
    <row r="18054" spans="5:10" s="34" customFormat="1" x14ac:dyDescent="0.35">
      <c r="E18054" s="35"/>
      <c r="J18054" s="41"/>
    </row>
    <row r="18055" spans="5:10" s="34" customFormat="1" x14ac:dyDescent="0.35">
      <c r="E18055" s="35"/>
      <c r="J18055" s="41"/>
    </row>
    <row r="18056" spans="5:10" s="34" customFormat="1" x14ac:dyDescent="0.35">
      <c r="E18056" s="35"/>
      <c r="J18056" s="41"/>
    </row>
    <row r="18057" spans="5:10" s="34" customFormat="1" x14ac:dyDescent="0.35">
      <c r="E18057" s="35"/>
      <c r="J18057" s="41"/>
    </row>
    <row r="18058" spans="5:10" s="34" customFormat="1" x14ac:dyDescent="0.35">
      <c r="E18058" s="35"/>
      <c r="J18058" s="41"/>
    </row>
    <row r="18059" spans="5:10" s="34" customFormat="1" x14ac:dyDescent="0.35">
      <c r="E18059" s="35"/>
      <c r="J18059" s="41"/>
    </row>
    <row r="18060" spans="5:10" s="34" customFormat="1" x14ac:dyDescent="0.35">
      <c r="E18060" s="35"/>
      <c r="J18060" s="41"/>
    </row>
    <row r="18061" spans="5:10" s="34" customFormat="1" x14ac:dyDescent="0.35">
      <c r="E18061" s="35"/>
      <c r="J18061" s="41"/>
    </row>
    <row r="18062" spans="5:10" s="34" customFormat="1" x14ac:dyDescent="0.35">
      <c r="E18062" s="35"/>
      <c r="J18062" s="41"/>
    </row>
    <row r="18063" spans="5:10" s="34" customFormat="1" x14ac:dyDescent="0.35">
      <c r="E18063" s="35"/>
      <c r="J18063" s="41"/>
    </row>
    <row r="18064" spans="5:10" s="34" customFormat="1" x14ac:dyDescent="0.35">
      <c r="E18064" s="35"/>
      <c r="J18064" s="41"/>
    </row>
    <row r="18065" spans="5:10" s="34" customFormat="1" x14ac:dyDescent="0.35">
      <c r="E18065" s="35"/>
      <c r="J18065" s="41"/>
    </row>
    <row r="18066" spans="5:10" s="34" customFormat="1" x14ac:dyDescent="0.35">
      <c r="E18066" s="35"/>
      <c r="J18066" s="41"/>
    </row>
    <row r="18067" spans="5:10" s="34" customFormat="1" x14ac:dyDescent="0.35">
      <c r="E18067" s="35"/>
      <c r="J18067" s="41"/>
    </row>
    <row r="18068" spans="5:10" s="34" customFormat="1" x14ac:dyDescent="0.35">
      <c r="E18068" s="35"/>
      <c r="J18068" s="41"/>
    </row>
    <row r="18069" spans="5:10" s="34" customFormat="1" x14ac:dyDescent="0.35">
      <c r="E18069" s="35"/>
      <c r="J18069" s="41"/>
    </row>
    <row r="18070" spans="5:10" s="34" customFormat="1" x14ac:dyDescent="0.35">
      <c r="E18070" s="35"/>
      <c r="J18070" s="41"/>
    </row>
    <row r="18071" spans="5:10" s="34" customFormat="1" x14ac:dyDescent="0.35">
      <c r="E18071" s="35"/>
      <c r="J18071" s="41"/>
    </row>
    <row r="18072" spans="5:10" s="34" customFormat="1" x14ac:dyDescent="0.35">
      <c r="E18072" s="35"/>
      <c r="J18072" s="41"/>
    </row>
    <row r="18073" spans="5:10" s="34" customFormat="1" x14ac:dyDescent="0.35">
      <c r="E18073" s="35"/>
      <c r="J18073" s="41"/>
    </row>
    <row r="18074" spans="5:10" s="34" customFormat="1" x14ac:dyDescent="0.35">
      <c r="E18074" s="35"/>
      <c r="J18074" s="41"/>
    </row>
    <row r="18075" spans="5:10" s="34" customFormat="1" x14ac:dyDescent="0.35">
      <c r="E18075" s="35"/>
      <c r="J18075" s="41"/>
    </row>
    <row r="18076" spans="5:10" s="34" customFormat="1" x14ac:dyDescent="0.35">
      <c r="E18076" s="35"/>
      <c r="J18076" s="41"/>
    </row>
    <row r="18077" spans="5:10" s="34" customFormat="1" x14ac:dyDescent="0.35">
      <c r="E18077" s="35"/>
      <c r="J18077" s="41"/>
    </row>
    <row r="18078" spans="5:10" s="34" customFormat="1" x14ac:dyDescent="0.35">
      <c r="E18078" s="35"/>
      <c r="J18078" s="41"/>
    </row>
    <row r="18079" spans="5:10" s="34" customFormat="1" x14ac:dyDescent="0.35">
      <c r="E18079" s="35"/>
      <c r="J18079" s="41"/>
    </row>
    <row r="18080" spans="5:10" s="34" customFormat="1" x14ac:dyDescent="0.35">
      <c r="E18080" s="35"/>
      <c r="J18080" s="41"/>
    </row>
    <row r="18081" spans="5:10" s="34" customFormat="1" x14ac:dyDescent="0.35">
      <c r="E18081" s="35"/>
      <c r="J18081" s="41"/>
    </row>
    <row r="18082" spans="5:10" s="34" customFormat="1" x14ac:dyDescent="0.35">
      <c r="E18082" s="35"/>
      <c r="J18082" s="41"/>
    </row>
    <row r="18083" spans="5:10" s="34" customFormat="1" x14ac:dyDescent="0.35">
      <c r="E18083" s="35"/>
      <c r="J18083" s="41"/>
    </row>
    <row r="18084" spans="5:10" s="34" customFormat="1" x14ac:dyDescent="0.35">
      <c r="E18084" s="35"/>
      <c r="J18084" s="41"/>
    </row>
    <row r="18085" spans="5:10" s="34" customFormat="1" x14ac:dyDescent="0.35">
      <c r="E18085" s="35"/>
      <c r="J18085" s="41"/>
    </row>
    <row r="18086" spans="5:10" s="34" customFormat="1" x14ac:dyDescent="0.35">
      <c r="E18086" s="35"/>
      <c r="J18086" s="41"/>
    </row>
    <row r="18087" spans="5:10" s="34" customFormat="1" x14ac:dyDescent="0.35">
      <c r="E18087" s="35"/>
      <c r="J18087" s="41"/>
    </row>
    <row r="18088" spans="5:10" s="34" customFormat="1" x14ac:dyDescent="0.35">
      <c r="E18088" s="35"/>
      <c r="J18088" s="41"/>
    </row>
    <row r="18089" spans="5:10" s="34" customFormat="1" x14ac:dyDescent="0.35">
      <c r="E18089" s="35"/>
      <c r="J18089" s="41"/>
    </row>
    <row r="18090" spans="5:10" s="34" customFormat="1" x14ac:dyDescent="0.35">
      <c r="E18090" s="35"/>
      <c r="J18090" s="41"/>
    </row>
    <row r="18091" spans="5:10" s="34" customFormat="1" x14ac:dyDescent="0.35">
      <c r="E18091" s="35"/>
      <c r="J18091" s="41"/>
    </row>
    <row r="18092" spans="5:10" s="34" customFormat="1" x14ac:dyDescent="0.35">
      <c r="E18092" s="35"/>
      <c r="J18092" s="41"/>
    </row>
    <row r="18093" spans="5:10" s="34" customFormat="1" x14ac:dyDescent="0.35">
      <c r="E18093" s="35"/>
      <c r="J18093" s="41"/>
    </row>
    <row r="18094" spans="5:10" s="34" customFormat="1" x14ac:dyDescent="0.35">
      <c r="E18094" s="35"/>
      <c r="J18094" s="41"/>
    </row>
    <row r="18095" spans="5:10" s="34" customFormat="1" x14ac:dyDescent="0.35">
      <c r="E18095" s="35"/>
      <c r="J18095" s="41"/>
    </row>
    <row r="18096" spans="5:10" s="34" customFormat="1" x14ac:dyDescent="0.35">
      <c r="E18096" s="35"/>
      <c r="J18096" s="41"/>
    </row>
    <row r="18097" spans="5:10" s="34" customFormat="1" x14ac:dyDescent="0.35">
      <c r="E18097" s="35"/>
      <c r="J18097" s="41"/>
    </row>
    <row r="18098" spans="5:10" s="34" customFormat="1" x14ac:dyDescent="0.35">
      <c r="E18098" s="35"/>
      <c r="J18098" s="41"/>
    </row>
    <row r="18099" spans="5:10" s="34" customFormat="1" x14ac:dyDescent="0.35">
      <c r="E18099" s="35"/>
      <c r="J18099" s="41"/>
    </row>
    <row r="18100" spans="5:10" s="34" customFormat="1" x14ac:dyDescent="0.35">
      <c r="E18100" s="35"/>
      <c r="J18100" s="41"/>
    </row>
    <row r="18101" spans="5:10" s="34" customFormat="1" x14ac:dyDescent="0.35">
      <c r="E18101" s="35"/>
      <c r="J18101" s="41"/>
    </row>
    <row r="18102" spans="5:10" s="34" customFormat="1" x14ac:dyDescent="0.35">
      <c r="E18102" s="35"/>
      <c r="J18102" s="41"/>
    </row>
    <row r="18103" spans="5:10" s="34" customFormat="1" x14ac:dyDescent="0.35">
      <c r="E18103" s="35"/>
      <c r="J18103" s="41"/>
    </row>
    <row r="18104" spans="5:10" s="34" customFormat="1" x14ac:dyDescent="0.35">
      <c r="E18104" s="35"/>
      <c r="J18104" s="41"/>
    </row>
    <row r="18105" spans="5:10" s="34" customFormat="1" x14ac:dyDescent="0.35">
      <c r="E18105" s="35"/>
      <c r="J18105" s="41"/>
    </row>
    <row r="18106" spans="5:10" s="34" customFormat="1" x14ac:dyDescent="0.35">
      <c r="E18106" s="35"/>
      <c r="J18106" s="41"/>
    </row>
    <row r="18107" spans="5:10" s="34" customFormat="1" x14ac:dyDescent="0.35">
      <c r="E18107" s="35"/>
      <c r="J18107" s="41"/>
    </row>
    <row r="18108" spans="5:10" s="34" customFormat="1" x14ac:dyDescent="0.35">
      <c r="E18108" s="35"/>
      <c r="J18108" s="41"/>
    </row>
    <row r="18109" spans="5:10" s="34" customFormat="1" x14ac:dyDescent="0.35">
      <c r="E18109" s="35"/>
      <c r="J18109" s="41"/>
    </row>
    <row r="18110" spans="5:10" s="34" customFormat="1" x14ac:dyDescent="0.35">
      <c r="E18110" s="35"/>
      <c r="J18110" s="41"/>
    </row>
    <row r="18111" spans="5:10" s="34" customFormat="1" x14ac:dyDescent="0.35">
      <c r="E18111" s="35"/>
      <c r="J18111" s="41"/>
    </row>
    <row r="18112" spans="5:10" s="34" customFormat="1" x14ac:dyDescent="0.35">
      <c r="E18112" s="35"/>
      <c r="J18112" s="41"/>
    </row>
    <row r="18113" spans="5:10" s="34" customFormat="1" x14ac:dyDescent="0.35">
      <c r="E18113" s="35"/>
      <c r="J18113" s="41"/>
    </row>
    <row r="18114" spans="5:10" s="34" customFormat="1" x14ac:dyDescent="0.35">
      <c r="E18114" s="35"/>
      <c r="J18114" s="41"/>
    </row>
    <row r="18115" spans="5:10" s="34" customFormat="1" x14ac:dyDescent="0.35">
      <c r="E18115" s="35"/>
      <c r="J18115" s="41"/>
    </row>
    <row r="18116" spans="5:10" s="34" customFormat="1" x14ac:dyDescent="0.35">
      <c r="E18116" s="35"/>
      <c r="J18116" s="41"/>
    </row>
    <row r="18117" spans="5:10" s="34" customFormat="1" x14ac:dyDescent="0.35">
      <c r="E18117" s="35"/>
      <c r="J18117" s="41"/>
    </row>
    <row r="18118" spans="5:10" s="34" customFormat="1" x14ac:dyDescent="0.35">
      <c r="E18118" s="35"/>
      <c r="J18118" s="41"/>
    </row>
    <row r="18119" spans="5:10" s="34" customFormat="1" x14ac:dyDescent="0.35">
      <c r="E18119" s="35"/>
      <c r="J18119" s="41"/>
    </row>
    <row r="18120" spans="5:10" s="34" customFormat="1" x14ac:dyDescent="0.35">
      <c r="E18120" s="35"/>
      <c r="J18120" s="41"/>
    </row>
    <row r="18121" spans="5:10" s="34" customFormat="1" x14ac:dyDescent="0.35">
      <c r="E18121" s="35"/>
      <c r="J18121" s="41"/>
    </row>
    <row r="18122" spans="5:10" s="34" customFormat="1" x14ac:dyDescent="0.35">
      <c r="E18122" s="35"/>
      <c r="J18122" s="41"/>
    </row>
    <row r="18123" spans="5:10" s="34" customFormat="1" x14ac:dyDescent="0.35">
      <c r="E18123" s="35"/>
      <c r="J18123" s="41"/>
    </row>
    <row r="18124" spans="5:10" s="34" customFormat="1" x14ac:dyDescent="0.35">
      <c r="E18124" s="35"/>
      <c r="J18124" s="41"/>
    </row>
    <row r="18125" spans="5:10" s="34" customFormat="1" x14ac:dyDescent="0.35">
      <c r="E18125" s="35"/>
      <c r="J18125" s="41"/>
    </row>
    <row r="18126" spans="5:10" s="34" customFormat="1" x14ac:dyDescent="0.35">
      <c r="E18126" s="35"/>
      <c r="J18126" s="41"/>
    </row>
    <row r="18127" spans="5:10" s="34" customFormat="1" x14ac:dyDescent="0.35">
      <c r="E18127" s="35"/>
      <c r="J18127" s="41"/>
    </row>
    <row r="18128" spans="5:10" s="34" customFormat="1" x14ac:dyDescent="0.35">
      <c r="E18128" s="35"/>
      <c r="J18128" s="41"/>
    </row>
    <row r="18129" spans="5:10" s="34" customFormat="1" x14ac:dyDescent="0.35">
      <c r="E18129" s="35"/>
      <c r="J18129" s="41"/>
    </row>
    <row r="18130" spans="5:10" s="34" customFormat="1" x14ac:dyDescent="0.35">
      <c r="E18130" s="35"/>
      <c r="J18130" s="41"/>
    </row>
    <row r="18131" spans="5:10" s="34" customFormat="1" x14ac:dyDescent="0.35">
      <c r="E18131" s="35"/>
      <c r="J18131" s="41"/>
    </row>
    <row r="18132" spans="5:10" s="34" customFormat="1" x14ac:dyDescent="0.35">
      <c r="E18132" s="35"/>
      <c r="J18132" s="41"/>
    </row>
    <row r="18133" spans="5:10" s="34" customFormat="1" x14ac:dyDescent="0.35">
      <c r="E18133" s="35"/>
      <c r="J18133" s="41"/>
    </row>
    <row r="18134" spans="5:10" s="34" customFormat="1" x14ac:dyDescent="0.35">
      <c r="E18134" s="35"/>
      <c r="J18134" s="41"/>
    </row>
    <row r="18135" spans="5:10" s="34" customFormat="1" x14ac:dyDescent="0.35">
      <c r="E18135" s="35"/>
      <c r="J18135" s="41"/>
    </row>
    <row r="18136" spans="5:10" s="34" customFormat="1" x14ac:dyDescent="0.35">
      <c r="E18136" s="35"/>
      <c r="J18136" s="41"/>
    </row>
    <row r="18137" spans="5:10" s="34" customFormat="1" x14ac:dyDescent="0.35">
      <c r="E18137" s="35"/>
      <c r="J18137" s="41"/>
    </row>
    <row r="18138" spans="5:10" s="34" customFormat="1" x14ac:dyDescent="0.35">
      <c r="E18138" s="35"/>
      <c r="J18138" s="41"/>
    </row>
    <row r="18139" spans="5:10" s="34" customFormat="1" x14ac:dyDescent="0.35">
      <c r="E18139" s="35"/>
      <c r="J18139" s="41"/>
    </row>
    <row r="18140" spans="5:10" s="34" customFormat="1" x14ac:dyDescent="0.35">
      <c r="E18140" s="35"/>
      <c r="J18140" s="41"/>
    </row>
    <row r="18141" spans="5:10" s="34" customFormat="1" x14ac:dyDescent="0.35">
      <c r="E18141" s="35"/>
      <c r="J18141" s="41"/>
    </row>
    <row r="18142" spans="5:10" s="34" customFormat="1" x14ac:dyDescent="0.35">
      <c r="E18142" s="35"/>
      <c r="J18142" s="41"/>
    </row>
    <row r="18143" spans="5:10" s="34" customFormat="1" x14ac:dyDescent="0.35">
      <c r="E18143" s="35"/>
      <c r="J18143" s="41"/>
    </row>
    <row r="18144" spans="5:10" s="34" customFormat="1" x14ac:dyDescent="0.35">
      <c r="E18144" s="35"/>
      <c r="J18144" s="41"/>
    </row>
    <row r="18145" spans="5:10" s="34" customFormat="1" x14ac:dyDescent="0.35">
      <c r="E18145" s="35"/>
      <c r="J18145" s="41"/>
    </row>
    <row r="18146" spans="5:10" s="34" customFormat="1" x14ac:dyDescent="0.35">
      <c r="E18146" s="35"/>
      <c r="J18146" s="41"/>
    </row>
    <row r="18147" spans="5:10" s="34" customFormat="1" x14ac:dyDescent="0.35">
      <c r="E18147" s="35"/>
      <c r="J18147" s="41"/>
    </row>
    <row r="18148" spans="5:10" s="34" customFormat="1" x14ac:dyDescent="0.35">
      <c r="E18148" s="35"/>
      <c r="J18148" s="41"/>
    </row>
    <row r="18149" spans="5:10" s="34" customFormat="1" x14ac:dyDescent="0.35">
      <c r="E18149" s="35"/>
      <c r="J18149" s="41"/>
    </row>
    <row r="18150" spans="5:10" s="34" customFormat="1" x14ac:dyDescent="0.35">
      <c r="E18150" s="35"/>
      <c r="J18150" s="41"/>
    </row>
    <row r="18151" spans="5:10" s="34" customFormat="1" x14ac:dyDescent="0.35">
      <c r="E18151" s="35"/>
      <c r="J18151" s="41"/>
    </row>
    <row r="18152" spans="5:10" s="34" customFormat="1" x14ac:dyDescent="0.35">
      <c r="E18152" s="35"/>
      <c r="J18152" s="41"/>
    </row>
    <row r="18153" spans="5:10" s="34" customFormat="1" x14ac:dyDescent="0.35">
      <c r="E18153" s="35"/>
      <c r="J18153" s="41"/>
    </row>
    <row r="18154" spans="5:10" s="34" customFormat="1" x14ac:dyDescent="0.35">
      <c r="E18154" s="35"/>
      <c r="J18154" s="41"/>
    </row>
    <row r="18155" spans="5:10" s="34" customFormat="1" x14ac:dyDescent="0.35">
      <c r="E18155" s="35"/>
      <c r="J18155" s="41"/>
    </row>
    <row r="18156" spans="5:10" s="34" customFormat="1" x14ac:dyDescent="0.35">
      <c r="E18156" s="35"/>
      <c r="J18156" s="41"/>
    </row>
    <row r="18157" spans="5:10" s="34" customFormat="1" x14ac:dyDescent="0.35">
      <c r="E18157" s="35"/>
      <c r="J18157" s="41"/>
    </row>
    <row r="18158" spans="5:10" s="34" customFormat="1" x14ac:dyDescent="0.35">
      <c r="E18158" s="35"/>
      <c r="J18158" s="41"/>
    </row>
    <row r="18159" spans="5:10" s="34" customFormat="1" x14ac:dyDescent="0.35">
      <c r="E18159" s="35"/>
      <c r="J18159" s="41"/>
    </row>
    <row r="18160" spans="5:10" s="34" customFormat="1" x14ac:dyDescent="0.35">
      <c r="E18160" s="35"/>
      <c r="J18160" s="41"/>
    </row>
    <row r="18161" spans="5:10" s="34" customFormat="1" x14ac:dyDescent="0.35">
      <c r="E18161" s="35"/>
      <c r="J18161" s="41"/>
    </row>
    <row r="18162" spans="5:10" s="34" customFormat="1" x14ac:dyDescent="0.35">
      <c r="E18162" s="35"/>
      <c r="J18162" s="41"/>
    </row>
    <row r="18163" spans="5:10" s="34" customFormat="1" x14ac:dyDescent="0.35">
      <c r="E18163" s="35"/>
      <c r="J18163" s="41"/>
    </row>
    <row r="18164" spans="5:10" s="34" customFormat="1" x14ac:dyDescent="0.35">
      <c r="E18164" s="35"/>
      <c r="J18164" s="41"/>
    </row>
    <row r="18165" spans="5:10" s="34" customFormat="1" x14ac:dyDescent="0.35">
      <c r="E18165" s="35"/>
      <c r="J18165" s="41"/>
    </row>
    <row r="18166" spans="5:10" s="34" customFormat="1" x14ac:dyDescent="0.35">
      <c r="E18166" s="35"/>
      <c r="J18166" s="41"/>
    </row>
    <row r="18167" spans="5:10" s="34" customFormat="1" x14ac:dyDescent="0.35">
      <c r="E18167" s="35"/>
      <c r="J18167" s="41"/>
    </row>
    <row r="18168" spans="5:10" s="34" customFormat="1" x14ac:dyDescent="0.35">
      <c r="E18168" s="35"/>
      <c r="J18168" s="41"/>
    </row>
    <row r="18169" spans="5:10" s="34" customFormat="1" x14ac:dyDescent="0.35">
      <c r="E18169" s="35"/>
      <c r="J18169" s="41"/>
    </row>
    <row r="18170" spans="5:10" s="34" customFormat="1" x14ac:dyDescent="0.35">
      <c r="E18170" s="35"/>
      <c r="J18170" s="41"/>
    </row>
    <row r="18171" spans="5:10" s="34" customFormat="1" x14ac:dyDescent="0.35">
      <c r="E18171" s="35"/>
      <c r="J18171" s="41"/>
    </row>
    <row r="18172" spans="5:10" s="34" customFormat="1" x14ac:dyDescent="0.35">
      <c r="E18172" s="35"/>
      <c r="J18172" s="41"/>
    </row>
    <row r="18173" spans="5:10" s="34" customFormat="1" x14ac:dyDescent="0.35">
      <c r="E18173" s="35"/>
      <c r="J18173" s="41"/>
    </row>
    <row r="18174" spans="5:10" s="34" customFormat="1" x14ac:dyDescent="0.35">
      <c r="E18174" s="35"/>
      <c r="J18174" s="41"/>
    </row>
    <row r="18175" spans="5:10" s="34" customFormat="1" x14ac:dyDescent="0.35">
      <c r="E18175" s="35"/>
      <c r="J18175" s="41"/>
    </row>
    <row r="18176" spans="5:10" s="34" customFormat="1" x14ac:dyDescent="0.35">
      <c r="E18176" s="35"/>
      <c r="J18176" s="41"/>
    </row>
    <row r="18177" spans="5:10" s="34" customFormat="1" x14ac:dyDescent="0.35">
      <c r="E18177" s="35"/>
      <c r="J18177" s="41"/>
    </row>
    <row r="18178" spans="5:10" s="34" customFormat="1" x14ac:dyDescent="0.35">
      <c r="E18178" s="35"/>
      <c r="J18178" s="41"/>
    </row>
    <row r="18179" spans="5:10" s="34" customFormat="1" x14ac:dyDescent="0.35">
      <c r="E18179" s="35"/>
      <c r="J18179" s="41"/>
    </row>
    <row r="18180" spans="5:10" s="34" customFormat="1" x14ac:dyDescent="0.35">
      <c r="E18180" s="35"/>
      <c r="J18180" s="41"/>
    </row>
    <row r="18181" spans="5:10" s="34" customFormat="1" x14ac:dyDescent="0.35">
      <c r="E18181" s="35"/>
      <c r="J18181" s="41"/>
    </row>
    <row r="18182" spans="5:10" s="34" customFormat="1" x14ac:dyDescent="0.35">
      <c r="E18182" s="35"/>
      <c r="J18182" s="41"/>
    </row>
    <row r="18183" spans="5:10" s="34" customFormat="1" x14ac:dyDescent="0.35">
      <c r="E18183" s="35"/>
      <c r="J18183" s="41"/>
    </row>
    <row r="18184" spans="5:10" s="34" customFormat="1" x14ac:dyDescent="0.35">
      <c r="E18184" s="35"/>
      <c r="J18184" s="41"/>
    </row>
    <row r="18185" spans="5:10" s="34" customFormat="1" x14ac:dyDescent="0.35">
      <c r="E18185" s="35"/>
      <c r="J18185" s="41"/>
    </row>
    <row r="18186" spans="5:10" s="34" customFormat="1" x14ac:dyDescent="0.35">
      <c r="E18186" s="35"/>
      <c r="J18186" s="41"/>
    </row>
    <row r="18187" spans="5:10" s="34" customFormat="1" x14ac:dyDescent="0.35">
      <c r="E18187" s="35"/>
      <c r="J18187" s="41"/>
    </row>
    <row r="18188" spans="5:10" s="34" customFormat="1" x14ac:dyDescent="0.35">
      <c r="E18188" s="35"/>
      <c r="J18188" s="41"/>
    </row>
    <row r="18189" spans="5:10" s="34" customFormat="1" x14ac:dyDescent="0.35">
      <c r="E18189" s="35"/>
      <c r="J18189" s="41"/>
    </row>
    <row r="18190" spans="5:10" s="34" customFormat="1" x14ac:dyDescent="0.35">
      <c r="E18190" s="35"/>
      <c r="J18190" s="41"/>
    </row>
    <row r="18191" spans="5:10" s="34" customFormat="1" x14ac:dyDescent="0.35">
      <c r="E18191" s="35"/>
      <c r="J18191" s="41"/>
    </row>
    <row r="18192" spans="5:10" s="34" customFormat="1" x14ac:dyDescent="0.35">
      <c r="E18192" s="35"/>
      <c r="J18192" s="41"/>
    </row>
    <row r="18193" spans="5:10" s="34" customFormat="1" x14ac:dyDescent="0.35">
      <c r="E18193" s="35"/>
      <c r="J18193" s="41"/>
    </row>
    <row r="18194" spans="5:10" s="34" customFormat="1" x14ac:dyDescent="0.35">
      <c r="E18194" s="35"/>
      <c r="J18194" s="41"/>
    </row>
    <row r="18195" spans="5:10" s="34" customFormat="1" x14ac:dyDescent="0.35">
      <c r="E18195" s="35"/>
      <c r="J18195" s="41"/>
    </row>
    <row r="18196" spans="5:10" s="34" customFormat="1" x14ac:dyDescent="0.35">
      <c r="E18196" s="35"/>
      <c r="J18196" s="41"/>
    </row>
    <row r="18197" spans="5:10" s="34" customFormat="1" x14ac:dyDescent="0.35">
      <c r="E18197" s="35"/>
      <c r="J18197" s="41"/>
    </row>
    <row r="18198" spans="5:10" s="34" customFormat="1" x14ac:dyDescent="0.35">
      <c r="E18198" s="35"/>
      <c r="J18198" s="41"/>
    </row>
    <row r="18199" spans="5:10" s="34" customFormat="1" x14ac:dyDescent="0.35">
      <c r="E18199" s="35"/>
      <c r="J18199" s="41"/>
    </row>
    <row r="18200" spans="5:10" s="34" customFormat="1" x14ac:dyDescent="0.35">
      <c r="E18200" s="35"/>
      <c r="J18200" s="41"/>
    </row>
    <row r="18201" spans="5:10" s="34" customFormat="1" x14ac:dyDescent="0.35">
      <c r="E18201" s="35"/>
      <c r="J18201" s="41"/>
    </row>
    <row r="18202" spans="5:10" s="34" customFormat="1" x14ac:dyDescent="0.35">
      <c r="E18202" s="35"/>
      <c r="J18202" s="41"/>
    </row>
    <row r="18203" spans="5:10" s="34" customFormat="1" x14ac:dyDescent="0.35">
      <c r="E18203" s="35"/>
      <c r="J18203" s="41"/>
    </row>
    <row r="18204" spans="5:10" s="34" customFormat="1" x14ac:dyDescent="0.35">
      <c r="E18204" s="35"/>
      <c r="J18204" s="41"/>
    </row>
    <row r="18205" spans="5:10" s="34" customFormat="1" x14ac:dyDescent="0.35">
      <c r="E18205" s="35"/>
      <c r="J18205" s="41"/>
    </row>
    <row r="18206" spans="5:10" s="34" customFormat="1" x14ac:dyDescent="0.35">
      <c r="E18206" s="35"/>
      <c r="J18206" s="41"/>
    </row>
    <row r="18207" spans="5:10" s="34" customFormat="1" x14ac:dyDescent="0.35">
      <c r="E18207" s="35"/>
      <c r="J18207" s="41"/>
    </row>
    <row r="18208" spans="5:10" s="34" customFormat="1" x14ac:dyDescent="0.35">
      <c r="E18208" s="35"/>
      <c r="J18208" s="41"/>
    </row>
    <row r="18209" spans="5:10" s="34" customFormat="1" x14ac:dyDescent="0.35">
      <c r="E18209" s="35"/>
      <c r="J18209" s="41"/>
    </row>
    <row r="18210" spans="5:10" s="34" customFormat="1" x14ac:dyDescent="0.35">
      <c r="E18210" s="35"/>
      <c r="J18210" s="41"/>
    </row>
    <row r="18211" spans="5:10" s="34" customFormat="1" x14ac:dyDescent="0.35">
      <c r="E18211" s="35"/>
      <c r="J18211" s="41"/>
    </row>
    <row r="18212" spans="5:10" s="34" customFormat="1" x14ac:dyDescent="0.35">
      <c r="E18212" s="35"/>
      <c r="J18212" s="41"/>
    </row>
    <row r="18213" spans="5:10" s="34" customFormat="1" x14ac:dyDescent="0.35">
      <c r="E18213" s="35"/>
      <c r="J18213" s="41"/>
    </row>
    <row r="18214" spans="5:10" s="34" customFormat="1" x14ac:dyDescent="0.35">
      <c r="E18214" s="35"/>
      <c r="J18214" s="41"/>
    </row>
    <row r="18215" spans="5:10" s="34" customFormat="1" x14ac:dyDescent="0.35">
      <c r="E18215" s="35"/>
      <c r="J18215" s="41"/>
    </row>
    <row r="18216" spans="5:10" s="34" customFormat="1" x14ac:dyDescent="0.35">
      <c r="E18216" s="35"/>
      <c r="J18216" s="41"/>
    </row>
    <row r="18217" spans="5:10" s="34" customFormat="1" x14ac:dyDescent="0.35">
      <c r="E18217" s="35"/>
      <c r="J18217" s="41"/>
    </row>
    <row r="18218" spans="5:10" s="34" customFormat="1" x14ac:dyDescent="0.35">
      <c r="E18218" s="35"/>
      <c r="J18218" s="41"/>
    </row>
    <row r="18219" spans="5:10" s="34" customFormat="1" x14ac:dyDescent="0.35">
      <c r="E18219" s="35"/>
      <c r="J18219" s="41"/>
    </row>
    <row r="18220" spans="5:10" s="34" customFormat="1" x14ac:dyDescent="0.35">
      <c r="E18220" s="35"/>
      <c r="J18220" s="41"/>
    </row>
    <row r="18221" spans="5:10" s="34" customFormat="1" x14ac:dyDescent="0.35">
      <c r="E18221" s="35"/>
      <c r="J18221" s="41"/>
    </row>
    <row r="18222" spans="5:10" s="34" customFormat="1" x14ac:dyDescent="0.35">
      <c r="E18222" s="35"/>
      <c r="J18222" s="41"/>
    </row>
    <row r="18223" spans="5:10" s="34" customFormat="1" x14ac:dyDescent="0.35">
      <c r="E18223" s="35"/>
      <c r="J18223" s="41"/>
    </row>
    <row r="18224" spans="5:10" s="34" customFormat="1" x14ac:dyDescent="0.35">
      <c r="E18224" s="35"/>
      <c r="J18224" s="41"/>
    </row>
    <row r="18225" spans="5:10" s="34" customFormat="1" x14ac:dyDescent="0.35">
      <c r="E18225" s="35"/>
      <c r="J18225" s="41"/>
    </row>
    <row r="18226" spans="5:10" s="34" customFormat="1" x14ac:dyDescent="0.35">
      <c r="E18226" s="35"/>
      <c r="J18226" s="41"/>
    </row>
    <row r="18227" spans="5:10" s="34" customFormat="1" x14ac:dyDescent="0.35">
      <c r="E18227" s="35"/>
      <c r="J18227" s="41"/>
    </row>
    <row r="18228" spans="5:10" s="34" customFormat="1" x14ac:dyDescent="0.35">
      <c r="E18228" s="35"/>
      <c r="J18228" s="41"/>
    </row>
    <row r="18229" spans="5:10" s="34" customFormat="1" x14ac:dyDescent="0.35">
      <c r="E18229" s="35"/>
      <c r="J18229" s="41"/>
    </row>
    <row r="18230" spans="5:10" s="34" customFormat="1" x14ac:dyDescent="0.35">
      <c r="E18230" s="35"/>
      <c r="J18230" s="41"/>
    </row>
    <row r="18231" spans="5:10" s="34" customFormat="1" x14ac:dyDescent="0.35">
      <c r="E18231" s="35"/>
      <c r="J18231" s="41"/>
    </row>
    <row r="18232" spans="5:10" s="34" customFormat="1" x14ac:dyDescent="0.35">
      <c r="E18232" s="35"/>
      <c r="J18232" s="41"/>
    </row>
    <row r="18233" spans="5:10" s="34" customFormat="1" x14ac:dyDescent="0.35">
      <c r="E18233" s="35"/>
      <c r="J18233" s="41"/>
    </row>
    <row r="18234" spans="5:10" s="34" customFormat="1" x14ac:dyDescent="0.35">
      <c r="E18234" s="35"/>
      <c r="J18234" s="41"/>
    </row>
    <row r="18235" spans="5:10" s="34" customFormat="1" x14ac:dyDescent="0.35">
      <c r="E18235" s="35"/>
      <c r="J18235" s="41"/>
    </row>
    <row r="18236" spans="5:10" s="34" customFormat="1" x14ac:dyDescent="0.35">
      <c r="E18236" s="35"/>
      <c r="J18236" s="41"/>
    </row>
    <row r="18237" spans="5:10" s="34" customFormat="1" x14ac:dyDescent="0.35">
      <c r="E18237" s="35"/>
      <c r="J18237" s="41"/>
    </row>
    <row r="18238" spans="5:10" s="34" customFormat="1" x14ac:dyDescent="0.35">
      <c r="E18238" s="35"/>
      <c r="J18238" s="41"/>
    </row>
    <row r="18239" spans="5:10" s="34" customFormat="1" x14ac:dyDescent="0.35">
      <c r="E18239" s="35"/>
      <c r="J18239" s="41"/>
    </row>
    <row r="18240" spans="5:10" s="34" customFormat="1" x14ac:dyDescent="0.35">
      <c r="E18240" s="35"/>
      <c r="J18240" s="41"/>
    </row>
    <row r="18241" spans="5:10" s="34" customFormat="1" x14ac:dyDescent="0.35">
      <c r="E18241" s="35"/>
      <c r="J18241" s="41"/>
    </row>
    <row r="18242" spans="5:10" s="34" customFormat="1" x14ac:dyDescent="0.35">
      <c r="E18242" s="35"/>
      <c r="J18242" s="41"/>
    </row>
    <row r="18243" spans="5:10" s="34" customFormat="1" x14ac:dyDescent="0.35">
      <c r="E18243" s="35"/>
      <c r="J18243" s="41"/>
    </row>
    <row r="18244" spans="5:10" s="34" customFormat="1" x14ac:dyDescent="0.35">
      <c r="E18244" s="35"/>
      <c r="J18244" s="41"/>
    </row>
    <row r="18245" spans="5:10" s="34" customFormat="1" x14ac:dyDescent="0.35">
      <c r="E18245" s="35"/>
      <c r="J18245" s="41"/>
    </row>
    <row r="18246" spans="5:10" s="34" customFormat="1" x14ac:dyDescent="0.35">
      <c r="E18246" s="35"/>
      <c r="J18246" s="41"/>
    </row>
    <row r="18247" spans="5:10" s="34" customFormat="1" x14ac:dyDescent="0.35">
      <c r="E18247" s="35"/>
      <c r="J18247" s="41"/>
    </row>
    <row r="18248" spans="5:10" s="34" customFormat="1" x14ac:dyDescent="0.35">
      <c r="E18248" s="35"/>
      <c r="J18248" s="41"/>
    </row>
    <row r="18249" spans="5:10" s="34" customFormat="1" x14ac:dyDescent="0.35">
      <c r="E18249" s="35"/>
      <c r="J18249" s="41"/>
    </row>
    <row r="18250" spans="5:10" s="34" customFormat="1" x14ac:dyDescent="0.35">
      <c r="E18250" s="35"/>
      <c r="J18250" s="41"/>
    </row>
    <row r="18251" spans="5:10" s="34" customFormat="1" x14ac:dyDescent="0.35">
      <c r="E18251" s="35"/>
      <c r="J18251" s="41"/>
    </row>
    <row r="18252" spans="5:10" s="34" customFormat="1" x14ac:dyDescent="0.35">
      <c r="E18252" s="35"/>
      <c r="J18252" s="41"/>
    </row>
    <row r="18253" spans="5:10" s="34" customFormat="1" x14ac:dyDescent="0.35">
      <c r="E18253" s="35"/>
      <c r="J18253" s="41"/>
    </row>
    <row r="18254" spans="5:10" s="34" customFormat="1" x14ac:dyDescent="0.35">
      <c r="E18254" s="35"/>
      <c r="J18254" s="41"/>
    </row>
    <row r="18255" spans="5:10" s="34" customFormat="1" x14ac:dyDescent="0.35">
      <c r="E18255" s="35"/>
      <c r="J18255" s="41"/>
    </row>
    <row r="18256" spans="5:10" s="34" customFormat="1" x14ac:dyDescent="0.35">
      <c r="E18256" s="35"/>
      <c r="J18256" s="41"/>
    </row>
    <row r="18257" spans="5:10" s="34" customFormat="1" x14ac:dyDescent="0.35">
      <c r="E18257" s="35"/>
      <c r="J18257" s="41"/>
    </row>
    <row r="18258" spans="5:10" s="34" customFormat="1" x14ac:dyDescent="0.35">
      <c r="E18258" s="35"/>
      <c r="J18258" s="41"/>
    </row>
    <row r="18259" spans="5:10" s="34" customFormat="1" x14ac:dyDescent="0.35">
      <c r="E18259" s="35"/>
      <c r="J18259" s="41"/>
    </row>
    <row r="18260" spans="5:10" s="34" customFormat="1" x14ac:dyDescent="0.35">
      <c r="E18260" s="35"/>
      <c r="J18260" s="41"/>
    </row>
    <row r="18261" spans="5:10" s="34" customFormat="1" x14ac:dyDescent="0.35">
      <c r="E18261" s="35"/>
      <c r="J18261" s="41"/>
    </row>
    <row r="18262" spans="5:10" s="34" customFormat="1" x14ac:dyDescent="0.35">
      <c r="E18262" s="35"/>
      <c r="J18262" s="41"/>
    </row>
    <row r="18263" spans="5:10" s="34" customFormat="1" x14ac:dyDescent="0.35">
      <c r="E18263" s="35"/>
      <c r="J18263" s="41"/>
    </row>
    <row r="18264" spans="5:10" s="34" customFormat="1" x14ac:dyDescent="0.35">
      <c r="E18264" s="35"/>
      <c r="J18264" s="41"/>
    </row>
    <row r="18265" spans="5:10" s="34" customFormat="1" x14ac:dyDescent="0.35">
      <c r="E18265" s="35"/>
      <c r="J18265" s="41"/>
    </row>
    <row r="18266" spans="5:10" s="34" customFormat="1" x14ac:dyDescent="0.35">
      <c r="E18266" s="35"/>
      <c r="J18266" s="41"/>
    </row>
    <row r="18267" spans="5:10" s="34" customFormat="1" x14ac:dyDescent="0.35">
      <c r="E18267" s="35"/>
      <c r="J18267" s="41"/>
    </row>
    <row r="18268" spans="5:10" s="34" customFormat="1" x14ac:dyDescent="0.35">
      <c r="E18268" s="35"/>
      <c r="J18268" s="41"/>
    </row>
    <row r="18269" spans="5:10" s="34" customFormat="1" x14ac:dyDescent="0.35">
      <c r="E18269" s="35"/>
      <c r="J18269" s="41"/>
    </row>
    <row r="18270" spans="5:10" s="34" customFormat="1" x14ac:dyDescent="0.35">
      <c r="E18270" s="35"/>
      <c r="J18270" s="41"/>
    </row>
    <row r="18271" spans="5:10" s="34" customFormat="1" x14ac:dyDescent="0.35">
      <c r="E18271" s="35"/>
      <c r="J18271" s="41"/>
    </row>
    <row r="18272" spans="5:10" s="34" customFormat="1" x14ac:dyDescent="0.35">
      <c r="E18272" s="35"/>
      <c r="J18272" s="41"/>
    </row>
    <row r="18273" spans="5:10" s="34" customFormat="1" x14ac:dyDescent="0.35">
      <c r="E18273" s="35"/>
      <c r="J18273" s="41"/>
    </row>
    <row r="18274" spans="5:10" s="34" customFormat="1" x14ac:dyDescent="0.35">
      <c r="E18274" s="35"/>
      <c r="J18274" s="41"/>
    </row>
    <row r="18275" spans="5:10" s="34" customFormat="1" x14ac:dyDescent="0.35">
      <c r="E18275" s="35"/>
      <c r="J18275" s="41"/>
    </row>
    <row r="18276" spans="5:10" s="34" customFormat="1" x14ac:dyDescent="0.35">
      <c r="E18276" s="35"/>
      <c r="J18276" s="41"/>
    </row>
    <row r="18277" spans="5:10" s="34" customFormat="1" x14ac:dyDescent="0.35">
      <c r="E18277" s="35"/>
      <c r="J18277" s="41"/>
    </row>
    <row r="18278" spans="5:10" s="34" customFormat="1" x14ac:dyDescent="0.35">
      <c r="E18278" s="35"/>
      <c r="J18278" s="41"/>
    </row>
    <row r="18279" spans="5:10" s="34" customFormat="1" x14ac:dyDescent="0.35">
      <c r="E18279" s="35"/>
      <c r="J18279" s="41"/>
    </row>
    <row r="18280" spans="5:10" s="34" customFormat="1" x14ac:dyDescent="0.35">
      <c r="E18280" s="35"/>
      <c r="J18280" s="41"/>
    </row>
    <row r="18281" spans="5:10" s="34" customFormat="1" x14ac:dyDescent="0.35">
      <c r="E18281" s="35"/>
      <c r="J18281" s="41"/>
    </row>
    <row r="18282" spans="5:10" s="34" customFormat="1" x14ac:dyDescent="0.35">
      <c r="E18282" s="35"/>
      <c r="J18282" s="41"/>
    </row>
    <row r="18283" spans="5:10" s="34" customFormat="1" x14ac:dyDescent="0.35">
      <c r="E18283" s="35"/>
      <c r="J18283" s="41"/>
    </row>
    <row r="18284" spans="5:10" s="34" customFormat="1" x14ac:dyDescent="0.35">
      <c r="E18284" s="35"/>
      <c r="J18284" s="41"/>
    </row>
    <row r="18285" spans="5:10" s="34" customFormat="1" x14ac:dyDescent="0.35">
      <c r="E18285" s="35"/>
      <c r="J18285" s="41"/>
    </row>
    <row r="18286" spans="5:10" s="34" customFormat="1" x14ac:dyDescent="0.35">
      <c r="E18286" s="35"/>
      <c r="J18286" s="41"/>
    </row>
    <row r="18287" spans="5:10" s="34" customFormat="1" x14ac:dyDescent="0.35">
      <c r="E18287" s="35"/>
      <c r="J18287" s="41"/>
    </row>
    <row r="18288" spans="5:10" s="34" customFormat="1" x14ac:dyDescent="0.35">
      <c r="E18288" s="35"/>
      <c r="J18288" s="41"/>
    </row>
    <row r="18289" spans="5:10" s="34" customFormat="1" x14ac:dyDescent="0.35">
      <c r="E18289" s="35"/>
      <c r="J18289" s="41"/>
    </row>
    <row r="18290" spans="5:10" s="34" customFormat="1" x14ac:dyDescent="0.35">
      <c r="E18290" s="35"/>
      <c r="J18290" s="41"/>
    </row>
    <row r="18291" spans="5:10" s="34" customFormat="1" x14ac:dyDescent="0.35">
      <c r="E18291" s="35"/>
      <c r="J18291" s="41"/>
    </row>
    <row r="18292" spans="5:10" s="34" customFormat="1" x14ac:dyDescent="0.35">
      <c r="E18292" s="35"/>
      <c r="J18292" s="41"/>
    </row>
    <row r="18293" spans="5:10" s="34" customFormat="1" x14ac:dyDescent="0.35">
      <c r="E18293" s="35"/>
      <c r="J18293" s="41"/>
    </row>
    <row r="18294" spans="5:10" s="34" customFormat="1" x14ac:dyDescent="0.35">
      <c r="E18294" s="35"/>
      <c r="J18294" s="41"/>
    </row>
    <row r="18295" spans="5:10" s="34" customFormat="1" x14ac:dyDescent="0.35">
      <c r="E18295" s="35"/>
      <c r="J18295" s="41"/>
    </row>
    <row r="18296" spans="5:10" s="34" customFormat="1" x14ac:dyDescent="0.35">
      <c r="E18296" s="35"/>
      <c r="J18296" s="41"/>
    </row>
    <row r="18297" spans="5:10" s="34" customFormat="1" x14ac:dyDescent="0.35">
      <c r="E18297" s="35"/>
      <c r="J18297" s="41"/>
    </row>
    <row r="18298" spans="5:10" s="34" customFormat="1" x14ac:dyDescent="0.35">
      <c r="E18298" s="35"/>
      <c r="J18298" s="41"/>
    </row>
    <row r="18299" spans="5:10" s="34" customFormat="1" x14ac:dyDescent="0.35">
      <c r="E18299" s="35"/>
      <c r="J18299" s="41"/>
    </row>
    <row r="18300" spans="5:10" s="34" customFormat="1" x14ac:dyDescent="0.35">
      <c r="E18300" s="35"/>
      <c r="J18300" s="41"/>
    </row>
    <row r="18301" spans="5:10" s="34" customFormat="1" x14ac:dyDescent="0.35">
      <c r="E18301" s="35"/>
      <c r="J18301" s="41"/>
    </row>
    <row r="18302" spans="5:10" s="34" customFormat="1" x14ac:dyDescent="0.35">
      <c r="E18302" s="35"/>
      <c r="J18302" s="41"/>
    </row>
    <row r="18303" spans="5:10" s="34" customFormat="1" x14ac:dyDescent="0.35">
      <c r="E18303" s="35"/>
      <c r="J18303" s="41"/>
    </row>
    <row r="18304" spans="5:10" s="34" customFormat="1" x14ac:dyDescent="0.35">
      <c r="E18304" s="35"/>
      <c r="J18304" s="41"/>
    </row>
    <row r="18305" spans="5:10" s="34" customFormat="1" x14ac:dyDescent="0.35">
      <c r="E18305" s="35"/>
      <c r="J18305" s="41"/>
    </row>
    <row r="18306" spans="5:10" s="34" customFormat="1" x14ac:dyDescent="0.35">
      <c r="E18306" s="35"/>
      <c r="J18306" s="41"/>
    </row>
    <row r="18307" spans="5:10" s="34" customFormat="1" x14ac:dyDescent="0.35">
      <c r="E18307" s="35"/>
      <c r="J18307" s="41"/>
    </row>
    <row r="18308" spans="5:10" s="34" customFormat="1" x14ac:dyDescent="0.35">
      <c r="E18308" s="35"/>
      <c r="J18308" s="41"/>
    </row>
    <row r="18309" spans="5:10" s="34" customFormat="1" x14ac:dyDescent="0.35">
      <c r="E18309" s="35"/>
      <c r="J18309" s="41"/>
    </row>
    <row r="18310" spans="5:10" s="34" customFormat="1" x14ac:dyDescent="0.35">
      <c r="E18310" s="35"/>
      <c r="J18310" s="41"/>
    </row>
    <row r="18311" spans="5:10" s="34" customFormat="1" x14ac:dyDescent="0.35">
      <c r="E18311" s="35"/>
      <c r="J18311" s="41"/>
    </row>
    <row r="18312" spans="5:10" s="34" customFormat="1" x14ac:dyDescent="0.35">
      <c r="E18312" s="35"/>
      <c r="J18312" s="41"/>
    </row>
    <row r="18313" spans="5:10" s="34" customFormat="1" x14ac:dyDescent="0.35">
      <c r="E18313" s="35"/>
      <c r="J18313" s="41"/>
    </row>
    <row r="18314" spans="5:10" s="34" customFormat="1" x14ac:dyDescent="0.35">
      <c r="E18314" s="35"/>
      <c r="J18314" s="41"/>
    </row>
    <row r="18315" spans="5:10" s="34" customFormat="1" x14ac:dyDescent="0.35">
      <c r="E18315" s="35"/>
      <c r="J18315" s="41"/>
    </row>
    <row r="18316" spans="5:10" s="34" customFormat="1" x14ac:dyDescent="0.35">
      <c r="E18316" s="35"/>
      <c r="J18316" s="41"/>
    </row>
    <row r="18317" spans="5:10" s="34" customFormat="1" x14ac:dyDescent="0.35">
      <c r="E18317" s="35"/>
      <c r="J18317" s="41"/>
    </row>
    <row r="18318" spans="5:10" s="34" customFormat="1" x14ac:dyDescent="0.35">
      <c r="E18318" s="35"/>
      <c r="J18318" s="41"/>
    </row>
    <row r="18319" spans="5:10" s="34" customFormat="1" x14ac:dyDescent="0.35">
      <c r="E18319" s="35"/>
      <c r="J18319" s="41"/>
    </row>
    <row r="18320" spans="5:10" s="34" customFormat="1" x14ac:dyDescent="0.35">
      <c r="E18320" s="35"/>
      <c r="J18320" s="41"/>
    </row>
    <row r="18321" spans="5:10" s="34" customFormat="1" x14ac:dyDescent="0.35">
      <c r="E18321" s="35"/>
      <c r="J18321" s="41"/>
    </row>
    <row r="18322" spans="5:10" s="34" customFormat="1" x14ac:dyDescent="0.35">
      <c r="E18322" s="35"/>
      <c r="J18322" s="41"/>
    </row>
    <row r="18323" spans="5:10" s="34" customFormat="1" x14ac:dyDescent="0.35">
      <c r="E18323" s="35"/>
      <c r="J18323" s="41"/>
    </row>
    <row r="18324" spans="5:10" s="34" customFormat="1" x14ac:dyDescent="0.35">
      <c r="E18324" s="35"/>
      <c r="J18324" s="41"/>
    </row>
    <row r="18325" spans="5:10" s="34" customFormat="1" x14ac:dyDescent="0.35">
      <c r="E18325" s="35"/>
      <c r="J18325" s="41"/>
    </row>
    <row r="18326" spans="5:10" s="34" customFormat="1" x14ac:dyDescent="0.35">
      <c r="E18326" s="35"/>
      <c r="J18326" s="41"/>
    </row>
    <row r="18327" spans="5:10" s="34" customFormat="1" x14ac:dyDescent="0.35">
      <c r="E18327" s="35"/>
      <c r="J18327" s="41"/>
    </row>
    <row r="18328" spans="5:10" s="34" customFormat="1" x14ac:dyDescent="0.35">
      <c r="E18328" s="35"/>
      <c r="J18328" s="41"/>
    </row>
    <row r="18329" spans="5:10" s="34" customFormat="1" x14ac:dyDescent="0.35">
      <c r="E18329" s="35"/>
      <c r="J18329" s="41"/>
    </row>
    <row r="18330" spans="5:10" s="34" customFormat="1" x14ac:dyDescent="0.35">
      <c r="E18330" s="35"/>
      <c r="J18330" s="41"/>
    </row>
    <row r="18331" spans="5:10" s="34" customFormat="1" x14ac:dyDescent="0.35">
      <c r="E18331" s="35"/>
      <c r="J18331" s="41"/>
    </row>
    <row r="18332" spans="5:10" s="34" customFormat="1" x14ac:dyDescent="0.35">
      <c r="E18332" s="35"/>
      <c r="J18332" s="41"/>
    </row>
    <row r="18333" spans="5:10" s="34" customFormat="1" x14ac:dyDescent="0.35">
      <c r="E18333" s="35"/>
      <c r="J18333" s="41"/>
    </row>
    <row r="18334" spans="5:10" s="34" customFormat="1" x14ac:dyDescent="0.35">
      <c r="E18334" s="35"/>
      <c r="J18334" s="41"/>
    </row>
    <row r="18335" spans="5:10" s="34" customFormat="1" x14ac:dyDescent="0.35">
      <c r="E18335" s="35"/>
      <c r="J18335" s="41"/>
    </row>
    <row r="18336" spans="5:10" s="34" customFormat="1" x14ac:dyDescent="0.35">
      <c r="E18336" s="35"/>
      <c r="J18336" s="41"/>
    </row>
    <row r="18337" spans="5:10" s="34" customFormat="1" x14ac:dyDescent="0.35">
      <c r="E18337" s="35"/>
      <c r="J18337" s="41"/>
    </row>
    <row r="18338" spans="5:10" s="34" customFormat="1" x14ac:dyDescent="0.35">
      <c r="E18338" s="35"/>
      <c r="J18338" s="41"/>
    </row>
    <row r="18339" spans="5:10" s="34" customFormat="1" x14ac:dyDescent="0.35">
      <c r="E18339" s="35"/>
      <c r="J18339" s="41"/>
    </row>
    <row r="18340" spans="5:10" s="34" customFormat="1" x14ac:dyDescent="0.35">
      <c r="E18340" s="35"/>
      <c r="J18340" s="41"/>
    </row>
    <row r="18341" spans="5:10" s="34" customFormat="1" x14ac:dyDescent="0.35">
      <c r="E18341" s="35"/>
      <c r="J18341" s="41"/>
    </row>
    <row r="18342" spans="5:10" s="34" customFormat="1" x14ac:dyDescent="0.35">
      <c r="E18342" s="35"/>
      <c r="J18342" s="41"/>
    </row>
    <row r="18343" spans="5:10" s="34" customFormat="1" x14ac:dyDescent="0.35">
      <c r="E18343" s="35"/>
      <c r="J18343" s="41"/>
    </row>
    <row r="18344" spans="5:10" s="34" customFormat="1" x14ac:dyDescent="0.35">
      <c r="E18344" s="35"/>
      <c r="J18344" s="41"/>
    </row>
    <row r="18345" spans="5:10" s="34" customFormat="1" x14ac:dyDescent="0.35">
      <c r="E18345" s="35"/>
      <c r="J18345" s="41"/>
    </row>
    <row r="18346" spans="5:10" s="34" customFormat="1" x14ac:dyDescent="0.35">
      <c r="E18346" s="35"/>
      <c r="J18346" s="41"/>
    </row>
    <row r="18347" spans="5:10" s="34" customFormat="1" x14ac:dyDescent="0.35">
      <c r="E18347" s="35"/>
      <c r="J18347" s="41"/>
    </row>
    <row r="18348" spans="5:10" s="34" customFormat="1" x14ac:dyDescent="0.35">
      <c r="E18348" s="35"/>
      <c r="J18348" s="41"/>
    </row>
    <row r="18349" spans="5:10" s="34" customFormat="1" x14ac:dyDescent="0.35">
      <c r="E18349" s="35"/>
      <c r="J18349" s="41"/>
    </row>
    <row r="18350" spans="5:10" s="34" customFormat="1" x14ac:dyDescent="0.35">
      <c r="E18350" s="35"/>
      <c r="J18350" s="41"/>
    </row>
    <row r="18351" spans="5:10" s="34" customFormat="1" x14ac:dyDescent="0.35">
      <c r="E18351" s="35"/>
      <c r="J18351" s="41"/>
    </row>
    <row r="18352" spans="5:10" s="34" customFormat="1" x14ac:dyDescent="0.35">
      <c r="E18352" s="35"/>
      <c r="J18352" s="41"/>
    </row>
    <row r="18353" spans="5:10" s="34" customFormat="1" x14ac:dyDescent="0.35">
      <c r="E18353" s="35"/>
      <c r="J18353" s="41"/>
    </row>
    <row r="18354" spans="5:10" s="34" customFormat="1" x14ac:dyDescent="0.35">
      <c r="E18354" s="35"/>
      <c r="J18354" s="41"/>
    </row>
    <row r="18355" spans="5:10" s="34" customFormat="1" x14ac:dyDescent="0.35">
      <c r="E18355" s="35"/>
      <c r="J18355" s="41"/>
    </row>
    <row r="18356" spans="5:10" s="34" customFormat="1" x14ac:dyDescent="0.35">
      <c r="E18356" s="35"/>
      <c r="J18356" s="41"/>
    </row>
    <row r="18357" spans="5:10" s="34" customFormat="1" x14ac:dyDescent="0.35">
      <c r="E18357" s="35"/>
      <c r="J18357" s="41"/>
    </row>
    <row r="18358" spans="5:10" s="34" customFormat="1" x14ac:dyDescent="0.35">
      <c r="E18358" s="35"/>
      <c r="J18358" s="41"/>
    </row>
    <row r="18359" spans="5:10" s="34" customFormat="1" x14ac:dyDescent="0.35">
      <c r="E18359" s="35"/>
      <c r="J18359" s="41"/>
    </row>
    <row r="18360" spans="5:10" s="34" customFormat="1" x14ac:dyDescent="0.35">
      <c r="E18360" s="35"/>
      <c r="J18360" s="41"/>
    </row>
    <row r="18361" spans="5:10" s="34" customFormat="1" x14ac:dyDescent="0.35">
      <c r="E18361" s="35"/>
      <c r="J18361" s="41"/>
    </row>
    <row r="18362" spans="5:10" s="34" customFormat="1" x14ac:dyDescent="0.35">
      <c r="E18362" s="35"/>
      <c r="J18362" s="41"/>
    </row>
    <row r="18363" spans="5:10" s="34" customFormat="1" x14ac:dyDescent="0.35">
      <c r="E18363" s="35"/>
      <c r="J18363" s="41"/>
    </row>
    <row r="18364" spans="5:10" s="34" customFormat="1" x14ac:dyDescent="0.35">
      <c r="E18364" s="35"/>
      <c r="J18364" s="41"/>
    </row>
    <row r="18365" spans="5:10" s="34" customFormat="1" x14ac:dyDescent="0.35">
      <c r="E18365" s="35"/>
      <c r="J18365" s="41"/>
    </row>
    <row r="18366" spans="5:10" s="34" customFormat="1" x14ac:dyDescent="0.35">
      <c r="E18366" s="35"/>
      <c r="J18366" s="41"/>
    </row>
    <row r="18367" spans="5:10" s="34" customFormat="1" x14ac:dyDescent="0.35">
      <c r="E18367" s="35"/>
      <c r="J18367" s="41"/>
    </row>
    <row r="18368" spans="5:10" s="34" customFormat="1" x14ac:dyDescent="0.35">
      <c r="E18368" s="35"/>
      <c r="J18368" s="41"/>
    </row>
    <row r="18369" spans="5:10" s="34" customFormat="1" x14ac:dyDescent="0.35">
      <c r="E18369" s="35"/>
      <c r="J18369" s="41"/>
    </row>
    <row r="18370" spans="5:10" s="34" customFormat="1" x14ac:dyDescent="0.35">
      <c r="E18370" s="35"/>
      <c r="J18370" s="41"/>
    </row>
    <row r="18371" spans="5:10" s="34" customFormat="1" x14ac:dyDescent="0.35">
      <c r="E18371" s="35"/>
      <c r="J18371" s="41"/>
    </row>
    <row r="18372" spans="5:10" s="34" customFormat="1" x14ac:dyDescent="0.35">
      <c r="E18372" s="35"/>
      <c r="J18372" s="41"/>
    </row>
    <row r="18373" spans="5:10" s="34" customFormat="1" x14ac:dyDescent="0.35">
      <c r="E18373" s="35"/>
      <c r="J18373" s="41"/>
    </row>
    <row r="18374" spans="5:10" s="34" customFormat="1" x14ac:dyDescent="0.35">
      <c r="E18374" s="35"/>
      <c r="J18374" s="41"/>
    </row>
    <row r="18375" spans="5:10" s="34" customFormat="1" x14ac:dyDescent="0.35">
      <c r="E18375" s="35"/>
      <c r="J18375" s="41"/>
    </row>
    <row r="18376" spans="5:10" s="34" customFormat="1" x14ac:dyDescent="0.35">
      <c r="E18376" s="35"/>
      <c r="J18376" s="41"/>
    </row>
    <row r="18377" spans="5:10" s="34" customFormat="1" x14ac:dyDescent="0.35">
      <c r="E18377" s="35"/>
      <c r="J18377" s="41"/>
    </row>
    <row r="18378" spans="5:10" s="34" customFormat="1" x14ac:dyDescent="0.35">
      <c r="E18378" s="35"/>
      <c r="J18378" s="41"/>
    </row>
    <row r="18379" spans="5:10" s="34" customFormat="1" x14ac:dyDescent="0.35">
      <c r="E18379" s="35"/>
      <c r="J18379" s="41"/>
    </row>
    <row r="18380" spans="5:10" s="34" customFormat="1" x14ac:dyDescent="0.35">
      <c r="E18380" s="35"/>
      <c r="J18380" s="41"/>
    </row>
    <row r="18381" spans="5:10" s="34" customFormat="1" x14ac:dyDescent="0.35">
      <c r="E18381" s="35"/>
      <c r="J18381" s="41"/>
    </row>
    <row r="18382" spans="5:10" s="34" customFormat="1" x14ac:dyDescent="0.35">
      <c r="E18382" s="35"/>
      <c r="J18382" s="41"/>
    </row>
    <row r="18383" spans="5:10" s="34" customFormat="1" x14ac:dyDescent="0.35">
      <c r="E18383" s="35"/>
      <c r="J18383" s="41"/>
    </row>
    <row r="18384" spans="5:10" s="34" customFormat="1" x14ac:dyDescent="0.35">
      <c r="E18384" s="35"/>
      <c r="J18384" s="41"/>
    </row>
    <row r="18385" spans="5:10" s="34" customFormat="1" x14ac:dyDescent="0.35">
      <c r="E18385" s="35"/>
      <c r="J18385" s="41"/>
    </row>
    <row r="18386" spans="5:10" s="34" customFormat="1" x14ac:dyDescent="0.35">
      <c r="E18386" s="35"/>
      <c r="J18386" s="41"/>
    </row>
    <row r="18387" spans="5:10" s="34" customFormat="1" x14ac:dyDescent="0.35">
      <c r="E18387" s="35"/>
      <c r="J18387" s="41"/>
    </row>
    <row r="18388" spans="5:10" s="34" customFormat="1" x14ac:dyDescent="0.35">
      <c r="E18388" s="35"/>
      <c r="J18388" s="41"/>
    </row>
    <row r="18389" spans="5:10" s="34" customFormat="1" x14ac:dyDescent="0.35">
      <c r="E18389" s="35"/>
      <c r="J18389" s="41"/>
    </row>
    <row r="18390" spans="5:10" s="34" customFormat="1" x14ac:dyDescent="0.35">
      <c r="E18390" s="35"/>
      <c r="J18390" s="41"/>
    </row>
    <row r="18391" spans="5:10" s="34" customFormat="1" x14ac:dyDescent="0.35">
      <c r="E18391" s="35"/>
      <c r="J18391" s="41"/>
    </row>
    <row r="18392" spans="5:10" s="34" customFormat="1" x14ac:dyDescent="0.35">
      <c r="E18392" s="35"/>
      <c r="J18392" s="41"/>
    </row>
    <row r="18393" spans="5:10" s="34" customFormat="1" x14ac:dyDescent="0.35">
      <c r="E18393" s="35"/>
      <c r="J18393" s="41"/>
    </row>
    <row r="18394" spans="5:10" s="34" customFormat="1" x14ac:dyDescent="0.35">
      <c r="E18394" s="35"/>
      <c r="J18394" s="41"/>
    </row>
    <row r="18395" spans="5:10" s="34" customFormat="1" x14ac:dyDescent="0.35">
      <c r="E18395" s="35"/>
      <c r="J18395" s="41"/>
    </row>
    <row r="18396" spans="5:10" s="34" customFormat="1" x14ac:dyDescent="0.35">
      <c r="E18396" s="35"/>
      <c r="J18396" s="41"/>
    </row>
    <row r="18397" spans="5:10" s="34" customFormat="1" x14ac:dyDescent="0.35">
      <c r="E18397" s="35"/>
      <c r="J18397" s="41"/>
    </row>
    <row r="18398" spans="5:10" s="34" customFormat="1" x14ac:dyDescent="0.35">
      <c r="E18398" s="35"/>
      <c r="J18398" s="41"/>
    </row>
    <row r="18399" spans="5:10" s="34" customFormat="1" x14ac:dyDescent="0.35">
      <c r="E18399" s="35"/>
      <c r="J18399" s="41"/>
    </row>
    <row r="18400" spans="5:10" s="34" customFormat="1" x14ac:dyDescent="0.35">
      <c r="E18400" s="35"/>
      <c r="J18400" s="41"/>
    </row>
    <row r="18401" spans="5:10" s="34" customFormat="1" x14ac:dyDescent="0.35">
      <c r="E18401" s="35"/>
      <c r="J18401" s="41"/>
    </row>
    <row r="18402" spans="5:10" s="34" customFormat="1" x14ac:dyDescent="0.35">
      <c r="E18402" s="35"/>
      <c r="J18402" s="41"/>
    </row>
    <row r="18403" spans="5:10" s="34" customFormat="1" x14ac:dyDescent="0.35">
      <c r="E18403" s="35"/>
      <c r="J18403" s="41"/>
    </row>
    <row r="18404" spans="5:10" s="34" customFormat="1" x14ac:dyDescent="0.35">
      <c r="E18404" s="35"/>
      <c r="J18404" s="41"/>
    </row>
    <row r="18405" spans="5:10" s="34" customFormat="1" x14ac:dyDescent="0.35">
      <c r="E18405" s="35"/>
      <c r="J18405" s="41"/>
    </row>
    <row r="18406" spans="5:10" s="34" customFormat="1" x14ac:dyDescent="0.35">
      <c r="E18406" s="35"/>
      <c r="J18406" s="41"/>
    </row>
    <row r="18407" spans="5:10" s="34" customFormat="1" x14ac:dyDescent="0.35">
      <c r="E18407" s="35"/>
      <c r="J18407" s="41"/>
    </row>
    <row r="18408" spans="5:10" s="34" customFormat="1" x14ac:dyDescent="0.35">
      <c r="E18408" s="35"/>
      <c r="J18408" s="41"/>
    </row>
    <row r="18409" spans="5:10" s="34" customFormat="1" x14ac:dyDescent="0.35">
      <c r="E18409" s="35"/>
      <c r="J18409" s="41"/>
    </row>
    <row r="18410" spans="5:10" s="34" customFormat="1" x14ac:dyDescent="0.35">
      <c r="E18410" s="35"/>
      <c r="J18410" s="41"/>
    </row>
    <row r="18411" spans="5:10" s="34" customFormat="1" x14ac:dyDescent="0.35">
      <c r="E18411" s="35"/>
      <c r="J18411" s="41"/>
    </row>
    <row r="18412" spans="5:10" s="34" customFormat="1" x14ac:dyDescent="0.35">
      <c r="E18412" s="35"/>
      <c r="J18412" s="41"/>
    </row>
    <row r="18413" spans="5:10" s="34" customFormat="1" x14ac:dyDescent="0.35">
      <c r="E18413" s="35"/>
      <c r="J18413" s="41"/>
    </row>
    <row r="18414" spans="5:10" s="34" customFormat="1" x14ac:dyDescent="0.35">
      <c r="E18414" s="35"/>
      <c r="J18414" s="41"/>
    </row>
    <row r="18415" spans="5:10" s="34" customFormat="1" x14ac:dyDescent="0.35">
      <c r="E18415" s="35"/>
      <c r="J18415" s="41"/>
    </row>
    <row r="18416" spans="5:10" s="34" customFormat="1" x14ac:dyDescent="0.35">
      <c r="E18416" s="35"/>
      <c r="J18416" s="41"/>
    </row>
    <row r="18417" spans="5:10" s="34" customFormat="1" x14ac:dyDescent="0.35">
      <c r="E18417" s="35"/>
      <c r="J18417" s="41"/>
    </row>
    <row r="18418" spans="5:10" s="34" customFormat="1" x14ac:dyDescent="0.35">
      <c r="E18418" s="35"/>
      <c r="J18418" s="41"/>
    </row>
    <row r="18419" spans="5:10" s="34" customFormat="1" x14ac:dyDescent="0.35">
      <c r="E18419" s="35"/>
      <c r="J18419" s="41"/>
    </row>
    <row r="18420" spans="5:10" s="34" customFormat="1" x14ac:dyDescent="0.35">
      <c r="E18420" s="35"/>
      <c r="J18420" s="41"/>
    </row>
    <row r="18421" spans="5:10" s="34" customFormat="1" x14ac:dyDescent="0.35">
      <c r="E18421" s="35"/>
      <c r="J18421" s="41"/>
    </row>
    <row r="18422" spans="5:10" s="34" customFormat="1" x14ac:dyDescent="0.35">
      <c r="E18422" s="35"/>
      <c r="J18422" s="41"/>
    </row>
    <row r="18423" spans="5:10" s="34" customFormat="1" x14ac:dyDescent="0.35">
      <c r="E18423" s="35"/>
      <c r="J18423" s="41"/>
    </row>
    <row r="18424" spans="5:10" s="34" customFormat="1" x14ac:dyDescent="0.35">
      <c r="E18424" s="35"/>
      <c r="J18424" s="41"/>
    </row>
    <row r="18425" spans="5:10" s="34" customFormat="1" x14ac:dyDescent="0.35">
      <c r="E18425" s="35"/>
      <c r="J18425" s="41"/>
    </row>
    <row r="18426" spans="5:10" s="34" customFormat="1" x14ac:dyDescent="0.35">
      <c r="E18426" s="35"/>
      <c r="J18426" s="41"/>
    </row>
    <row r="18427" spans="5:10" s="34" customFormat="1" x14ac:dyDescent="0.35">
      <c r="E18427" s="35"/>
      <c r="J18427" s="41"/>
    </row>
    <row r="18428" spans="5:10" s="34" customFormat="1" x14ac:dyDescent="0.35">
      <c r="E18428" s="35"/>
      <c r="J18428" s="41"/>
    </row>
    <row r="18429" spans="5:10" s="34" customFormat="1" x14ac:dyDescent="0.35">
      <c r="E18429" s="35"/>
      <c r="J18429" s="41"/>
    </row>
    <row r="18430" spans="5:10" s="34" customFormat="1" x14ac:dyDescent="0.35">
      <c r="E18430" s="35"/>
      <c r="J18430" s="41"/>
    </row>
    <row r="18431" spans="5:10" s="34" customFormat="1" x14ac:dyDescent="0.35">
      <c r="E18431" s="35"/>
      <c r="J18431" s="41"/>
    </row>
    <row r="18432" spans="5:10" s="34" customFormat="1" x14ac:dyDescent="0.35">
      <c r="E18432" s="35"/>
      <c r="J18432" s="41"/>
    </row>
    <row r="18433" spans="5:10" s="34" customFormat="1" x14ac:dyDescent="0.35">
      <c r="E18433" s="35"/>
      <c r="J18433" s="41"/>
    </row>
    <row r="18434" spans="5:10" s="34" customFormat="1" x14ac:dyDescent="0.35">
      <c r="E18434" s="35"/>
      <c r="J18434" s="41"/>
    </row>
    <row r="18435" spans="5:10" s="34" customFormat="1" x14ac:dyDescent="0.35">
      <c r="E18435" s="35"/>
      <c r="J18435" s="41"/>
    </row>
    <row r="18436" spans="5:10" s="34" customFormat="1" x14ac:dyDescent="0.35">
      <c r="E18436" s="35"/>
      <c r="J18436" s="41"/>
    </row>
    <row r="18437" spans="5:10" s="34" customFormat="1" x14ac:dyDescent="0.35">
      <c r="E18437" s="35"/>
      <c r="J18437" s="41"/>
    </row>
    <row r="18438" spans="5:10" s="34" customFormat="1" x14ac:dyDescent="0.35">
      <c r="E18438" s="35"/>
      <c r="J18438" s="41"/>
    </row>
    <row r="18439" spans="5:10" s="34" customFormat="1" x14ac:dyDescent="0.35">
      <c r="E18439" s="35"/>
      <c r="J18439" s="41"/>
    </row>
    <row r="18440" spans="5:10" s="34" customFormat="1" x14ac:dyDescent="0.35">
      <c r="E18440" s="35"/>
      <c r="J18440" s="41"/>
    </row>
    <row r="18441" spans="5:10" s="34" customFormat="1" x14ac:dyDescent="0.35">
      <c r="E18441" s="35"/>
      <c r="J18441" s="41"/>
    </row>
    <row r="18442" spans="5:10" s="34" customFormat="1" x14ac:dyDescent="0.35">
      <c r="E18442" s="35"/>
      <c r="J18442" s="41"/>
    </row>
    <row r="18443" spans="5:10" s="34" customFormat="1" x14ac:dyDescent="0.35">
      <c r="E18443" s="35"/>
      <c r="J18443" s="41"/>
    </row>
    <row r="18444" spans="5:10" s="34" customFormat="1" x14ac:dyDescent="0.35">
      <c r="E18444" s="35"/>
      <c r="J18444" s="41"/>
    </row>
    <row r="18445" spans="5:10" s="34" customFormat="1" x14ac:dyDescent="0.35">
      <c r="E18445" s="35"/>
      <c r="J18445" s="41"/>
    </row>
    <row r="18446" spans="5:10" s="34" customFormat="1" x14ac:dyDescent="0.35">
      <c r="E18446" s="35"/>
      <c r="J18446" s="41"/>
    </row>
    <row r="18447" spans="5:10" s="34" customFormat="1" x14ac:dyDescent="0.35">
      <c r="E18447" s="35"/>
      <c r="J18447" s="41"/>
    </row>
    <row r="18448" spans="5:10" s="34" customFormat="1" x14ac:dyDescent="0.35">
      <c r="E18448" s="35"/>
      <c r="J18448" s="41"/>
    </row>
    <row r="18449" spans="5:10" s="34" customFormat="1" x14ac:dyDescent="0.35">
      <c r="E18449" s="35"/>
      <c r="J18449" s="41"/>
    </row>
    <row r="18450" spans="5:10" s="34" customFormat="1" x14ac:dyDescent="0.35">
      <c r="E18450" s="35"/>
      <c r="J18450" s="41"/>
    </row>
    <row r="18451" spans="5:10" s="34" customFormat="1" x14ac:dyDescent="0.35">
      <c r="E18451" s="35"/>
      <c r="J18451" s="41"/>
    </row>
    <row r="18452" spans="5:10" s="34" customFormat="1" x14ac:dyDescent="0.35">
      <c r="E18452" s="35"/>
      <c r="J18452" s="41"/>
    </row>
    <row r="18453" spans="5:10" s="34" customFormat="1" x14ac:dyDescent="0.35">
      <c r="E18453" s="35"/>
      <c r="J18453" s="41"/>
    </row>
    <row r="18454" spans="5:10" s="34" customFormat="1" x14ac:dyDescent="0.35">
      <c r="E18454" s="35"/>
      <c r="J18454" s="41"/>
    </row>
    <row r="18455" spans="5:10" s="34" customFormat="1" x14ac:dyDescent="0.35">
      <c r="E18455" s="35"/>
      <c r="J18455" s="41"/>
    </row>
    <row r="18456" spans="5:10" s="34" customFormat="1" x14ac:dyDescent="0.35">
      <c r="E18456" s="35"/>
      <c r="J18456" s="41"/>
    </row>
    <row r="18457" spans="5:10" s="34" customFormat="1" x14ac:dyDescent="0.35">
      <c r="E18457" s="35"/>
      <c r="J18457" s="41"/>
    </row>
    <row r="18458" spans="5:10" s="34" customFormat="1" x14ac:dyDescent="0.35">
      <c r="E18458" s="35"/>
      <c r="J18458" s="41"/>
    </row>
    <row r="18459" spans="5:10" s="34" customFormat="1" x14ac:dyDescent="0.35">
      <c r="E18459" s="35"/>
      <c r="J18459" s="41"/>
    </row>
    <row r="18460" spans="5:10" s="34" customFormat="1" x14ac:dyDescent="0.35">
      <c r="E18460" s="35"/>
      <c r="J18460" s="41"/>
    </row>
    <row r="18461" spans="5:10" s="34" customFormat="1" x14ac:dyDescent="0.35">
      <c r="E18461" s="35"/>
      <c r="J18461" s="41"/>
    </row>
    <row r="18462" spans="5:10" s="34" customFormat="1" x14ac:dyDescent="0.35">
      <c r="E18462" s="35"/>
      <c r="J18462" s="41"/>
    </row>
    <row r="18463" spans="5:10" s="34" customFormat="1" x14ac:dyDescent="0.35">
      <c r="E18463" s="35"/>
      <c r="J18463" s="41"/>
    </row>
    <row r="18464" spans="5:10" s="34" customFormat="1" x14ac:dyDescent="0.35">
      <c r="E18464" s="35"/>
      <c r="J18464" s="41"/>
    </row>
    <row r="18465" spans="5:10" s="34" customFormat="1" x14ac:dyDescent="0.35">
      <c r="E18465" s="35"/>
      <c r="J18465" s="41"/>
    </row>
    <row r="18466" spans="5:10" s="34" customFormat="1" x14ac:dyDescent="0.35">
      <c r="E18466" s="35"/>
      <c r="J18466" s="41"/>
    </row>
    <row r="18467" spans="5:10" s="34" customFormat="1" x14ac:dyDescent="0.35">
      <c r="E18467" s="35"/>
      <c r="J18467" s="41"/>
    </row>
    <row r="18468" spans="5:10" s="34" customFormat="1" x14ac:dyDescent="0.35">
      <c r="E18468" s="35"/>
      <c r="J18468" s="41"/>
    </row>
    <row r="18469" spans="5:10" s="34" customFormat="1" x14ac:dyDescent="0.35">
      <c r="E18469" s="35"/>
      <c r="J18469" s="41"/>
    </row>
    <row r="18470" spans="5:10" s="34" customFormat="1" x14ac:dyDescent="0.35">
      <c r="E18470" s="35"/>
      <c r="J18470" s="41"/>
    </row>
    <row r="18471" spans="5:10" s="34" customFormat="1" x14ac:dyDescent="0.35">
      <c r="E18471" s="35"/>
      <c r="J18471" s="41"/>
    </row>
    <row r="18472" spans="5:10" s="34" customFormat="1" x14ac:dyDescent="0.35">
      <c r="E18472" s="35"/>
      <c r="J18472" s="41"/>
    </row>
    <row r="18473" spans="5:10" s="34" customFormat="1" x14ac:dyDescent="0.35">
      <c r="E18473" s="35"/>
      <c r="J18473" s="41"/>
    </row>
    <row r="18474" spans="5:10" s="34" customFormat="1" x14ac:dyDescent="0.35">
      <c r="E18474" s="35"/>
      <c r="J18474" s="41"/>
    </row>
    <row r="18475" spans="5:10" s="34" customFormat="1" x14ac:dyDescent="0.35">
      <c r="E18475" s="35"/>
      <c r="J18475" s="41"/>
    </row>
    <row r="18476" spans="5:10" s="34" customFormat="1" x14ac:dyDescent="0.35">
      <c r="E18476" s="35"/>
      <c r="J18476" s="41"/>
    </row>
    <row r="18477" spans="5:10" s="34" customFormat="1" x14ac:dyDescent="0.35">
      <c r="E18477" s="35"/>
      <c r="J18477" s="41"/>
    </row>
    <row r="18478" spans="5:10" s="34" customFormat="1" x14ac:dyDescent="0.35">
      <c r="E18478" s="35"/>
      <c r="J18478" s="41"/>
    </row>
    <row r="18479" spans="5:10" s="34" customFormat="1" x14ac:dyDescent="0.35">
      <c r="E18479" s="35"/>
      <c r="J18479" s="41"/>
    </row>
    <row r="18480" spans="5:10" s="34" customFormat="1" x14ac:dyDescent="0.35">
      <c r="E18480" s="35"/>
      <c r="J18480" s="41"/>
    </row>
    <row r="18481" spans="5:10" s="34" customFormat="1" x14ac:dyDescent="0.35">
      <c r="E18481" s="35"/>
      <c r="J18481" s="41"/>
    </row>
    <row r="18482" spans="5:10" s="34" customFormat="1" x14ac:dyDescent="0.35">
      <c r="E18482" s="35"/>
      <c r="J18482" s="41"/>
    </row>
    <row r="18483" spans="5:10" s="34" customFormat="1" x14ac:dyDescent="0.35">
      <c r="E18483" s="35"/>
      <c r="J18483" s="41"/>
    </row>
    <row r="18484" spans="5:10" s="34" customFormat="1" x14ac:dyDescent="0.35">
      <c r="E18484" s="35"/>
      <c r="J18484" s="41"/>
    </row>
    <row r="18485" spans="5:10" s="34" customFormat="1" x14ac:dyDescent="0.35">
      <c r="E18485" s="35"/>
      <c r="J18485" s="41"/>
    </row>
    <row r="18486" spans="5:10" s="34" customFormat="1" x14ac:dyDescent="0.35">
      <c r="E18486" s="35"/>
      <c r="J18486" s="41"/>
    </row>
    <row r="18487" spans="5:10" s="34" customFormat="1" x14ac:dyDescent="0.35">
      <c r="E18487" s="35"/>
      <c r="J18487" s="41"/>
    </row>
    <row r="18488" spans="5:10" s="34" customFormat="1" x14ac:dyDescent="0.35">
      <c r="E18488" s="35"/>
      <c r="J18488" s="41"/>
    </row>
    <row r="18489" spans="5:10" s="34" customFormat="1" x14ac:dyDescent="0.35">
      <c r="E18489" s="35"/>
      <c r="J18489" s="41"/>
    </row>
    <row r="18490" spans="5:10" s="34" customFormat="1" x14ac:dyDescent="0.35">
      <c r="E18490" s="35"/>
      <c r="J18490" s="41"/>
    </row>
    <row r="18491" spans="5:10" s="34" customFormat="1" x14ac:dyDescent="0.35">
      <c r="E18491" s="35"/>
      <c r="J18491" s="41"/>
    </row>
    <row r="18492" spans="5:10" s="34" customFormat="1" x14ac:dyDescent="0.35">
      <c r="E18492" s="35"/>
      <c r="J18492" s="41"/>
    </row>
    <row r="18493" spans="5:10" s="34" customFormat="1" x14ac:dyDescent="0.35">
      <c r="E18493" s="35"/>
      <c r="J18493" s="41"/>
    </row>
    <row r="18494" spans="5:10" s="34" customFormat="1" x14ac:dyDescent="0.35">
      <c r="E18494" s="35"/>
      <c r="J18494" s="41"/>
    </row>
    <row r="18495" spans="5:10" s="34" customFormat="1" x14ac:dyDescent="0.35">
      <c r="E18495" s="35"/>
      <c r="J18495" s="41"/>
    </row>
    <row r="18496" spans="5:10" s="34" customFormat="1" x14ac:dyDescent="0.35">
      <c r="E18496" s="35"/>
      <c r="J18496" s="41"/>
    </row>
    <row r="18497" spans="5:10" s="34" customFormat="1" x14ac:dyDescent="0.35">
      <c r="E18497" s="35"/>
      <c r="J18497" s="41"/>
    </row>
    <row r="18498" spans="5:10" s="34" customFormat="1" x14ac:dyDescent="0.35">
      <c r="E18498" s="35"/>
      <c r="J18498" s="41"/>
    </row>
    <row r="18499" spans="5:10" s="34" customFormat="1" x14ac:dyDescent="0.35">
      <c r="E18499" s="35"/>
      <c r="J18499" s="41"/>
    </row>
    <row r="18500" spans="5:10" s="34" customFormat="1" x14ac:dyDescent="0.35">
      <c r="E18500" s="35"/>
      <c r="J18500" s="41"/>
    </row>
    <row r="18501" spans="5:10" s="34" customFormat="1" x14ac:dyDescent="0.35">
      <c r="E18501" s="35"/>
      <c r="J18501" s="41"/>
    </row>
    <row r="18502" spans="5:10" s="34" customFormat="1" x14ac:dyDescent="0.35">
      <c r="E18502" s="35"/>
      <c r="J18502" s="41"/>
    </row>
    <row r="18503" spans="5:10" s="34" customFormat="1" x14ac:dyDescent="0.35">
      <c r="E18503" s="35"/>
      <c r="J18503" s="41"/>
    </row>
    <row r="18504" spans="5:10" s="34" customFormat="1" x14ac:dyDescent="0.35">
      <c r="E18504" s="35"/>
      <c r="J18504" s="41"/>
    </row>
    <row r="18505" spans="5:10" s="34" customFormat="1" x14ac:dyDescent="0.35">
      <c r="E18505" s="35"/>
      <c r="J18505" s="41"/>
    </row>
    <row r="18506" spans="5:10" s="34" customFormat="1" x14ac:dyDescent="0.35">
      <c r="E18506" s="35"/>
      <c r="J18506" s="41"/>
    </row>
    <row r="18507" spans="5:10" s="34" customFormat="1" x14ac:dyDescent="0.35">
      <c r="E18507" s="35"/>
      <c r="J18507" s="41"/>
    </row>
    <row r="18508" spans="5:10" s="34" customFormat="1" x14ac:dyDescent="0.35">
      <c r="E18508" s="35"/>
      <c r="J18508" s="41"/>
    </row>
    <row r="18509" spans="5:10" s="34" customFormat="1" x14ac:dyDescent="0.35">
      <c r="E18509" s="35"/>
      <c r="J18509" s="41"/>
    </row>
    <row r="18510" spans="5:10" s="34" customFormat="1" x14ac:dyDescent="0.35">
      <c r="E18510" s="35"/>
      <c r="J18510" s="41"/>
    </row>
    <row r="18511" spans="5:10" s="34" customFormat="1" x14ac:dyDescent="0.35">
      <c r="E18511" s="35"/>
      <c r="J18511" s="41"/>
    </row>
    <row r="18512" spans="5:10" s="34" customFormat="1" x14ac:dyDescent="0.35">
      <c r="E18512" s="35"/>
      <c r="J18512" s="41"/>
    </row>
    <row r="18513" spans="5:10" s="34" customFormat="1" x14ac:dyDescent="0.35">
      <c r="E18513" s="35"/>
      <c r="J18513" s="41"/>
    </row>
    <row r="18514" spans="5:10" s="34" customFormat="1" x14ac:dyDescent="0.35">
      <c r="E18514" s="35"/>
      <c r="J18514" s="41"/>
    </row>
    <row r="18515" spans="5:10" s="34" customFormat="1" x14ac:dyDescent="0.35">
      <c r="E18515" s="35"/>
      <c r="J18515" s="41"/>
    </row>
    <row r="18516" spans="5:10" s="34" customFormat="1" x14ac:dyDescent="0.35">
      <c r="E18516" s="35"/>
      <c r="J18516" s="41"/>
    </row>
    <row r="18517" spans="5:10" s="34" customFormat="1" x14ac:dyDescent="0.35">
      <c r="E18517" s="35"/>
      <c r="J18517" s="41"/>
    </row>
    <row r="18518" spans="5:10" s="34" customFormat="1" x14ac:dyDescent="0.35">
      <c r="E18518" s="35"/>
      <c r="J18518" s="41"/>
    </row>
    <row r="18519" spans="5:10" s="34" customFormat="1" x14ac:dyDescent="0.35">
      <c r="E18519" s="35"/>
      <c r="J18519" s="41"/>
    </row>
    <row r="18520" spans="5:10" s="34" customFormat="1" x14ac:dyDescent="0.35">
      <c r="E18520" s="35"/>
      <c r="J18520" s="41"/>
    </row>
    <row r="18521" spans="5:10" s="34" customFormat="1" x14ac:dyDescent="0.35">
      <c r="E18521" s="35"/>
      <c r="J18521" s="41"/>
    </row>
    <row r="18522" spans="5:10" s="34" customFormat="1" x14ac:dyDescent="0.35">
      <c r="E18522" s="35"/>
      <c r="J18522" s="41"/>
    </row>
    <row r="18523" spans="5:10" s="34" customFormat="1" x14ac:dyDescent="0.35">
      <c r="E18523" s="35"/>
      <c r="J18523" s="41"/>
    </row>
    <row r="18524" spans="5:10" s="34" customFormat="1" x14ac:dyDescent="0.35">
      <c r="E18524" s="35"/>
      <c r="J18524" s="41"/>
    </row>
    <row r="18525" spans="5:10" s="34" customFormat="1" x14ac:dyDescent="0.35">
      <c r="E18525" s="35"/>
      <c r="J18525" s="41"/>
    </row>
    <row r="18526" spans="5:10" s="34" customFormat="1" x14ac:dyDescent="0.35">
      <c r="E18526" s="35"/>
      <c r="J18526" s="41"/>
    </row>
    <row r="18527" spans="5:10" s="34" customFormat="1" x14ac:dyDescent="0.35">
      <c r="E18527" s="35"/>
      <c r="J18527" s="41"/>
    </row>
    <row r="18528" spans="5:10" s="34" customFormat="1" x14ac:dyDescent="0.35">
      <c r="E18528" s="35"/>
      <c r="J18528" s="41"/>
    </row>
    <row r="18529" spans="5:10" s="34" customFormat="1" x14ac:dyDescent="0.35">
      <c r="E18529" s="35"/>
      <c r="J18529" s="41"/>
    </row>
    <row r="18530" spans="5:10" s="34" customFormat="1" x14ac:dyDescent="0.35">
      <c r="E18530" s="35"/>
      <c r="J18530" s="41"/>
    </row>
    <row r="18531" spans="5:10" s="34" customFormat="1" x14ac:dyDescent="0.35">
      <c r="E18531" s="35"/>
      <c r="J18531" s="41"/>
    </row>
    <row r="18532" spans="5:10" s="34" customFormat="1" x14ac:dyDescent="0.35">
      <c r="E18532" s="35"/>
      <c r="J18532" s="41"/>
    </row>
    <row r="18533" spans="5:10" s="34" customFormat="1" x14ac:dyDescent="0.35">
      <c r="E18533" s="35"/>
      <c r="J18533" s="41"/>
    </row>
    <row r="18534" spans="5:10" s="34" customFormat="1" x14ac:dyDescent="0.35">
      <c r="E18534" s="35"/>
      <c r="J18534" s="41"/>
    </row>
    <row r="18535" spans="5:10" s="34" customFormat="1" x14ac:dyDescent="0.35">
      <c r="E18535" s="35"/>
      <c r="J18535" s="41"/>
    </row>
    <row r="18536" spans="5:10" s="34" customFormat="1" x14ac:dyDescent="0.35">
      <c r="E18536" s="35"/>
      <c r="J18536" s="41"/>
    </row>
    <row r="18537" spans="5:10" s="34" customFormat="1" x14ac:dyDescent="0.35">
      <c r="E18537" s="35"/>
      <c r="J18537" s="41"/>
    </row>
    <row r="18538" spans="5:10" s="34" customFormat="1" x14ac:dyDescent="0.35">
      <c r="E18538" s="35"/>
      <c r="J18538" s="41"/>
    </row>
    <row r="18539" spans="5:10" s="34" customFormat="1" x14ac:dyDescent="0.35">
      <c r="E18539" s="35"/>
      <c r="J18539" s="41"/>
    </row>
    <row r="18540" spans="5:10" s="34" customFormat="1" x14ac:dyDescent="0.35">
      <c r="E18540" s="35"/>
      <c r="J18540" s="41"/>
    </row>
    <row r="18541" spans="5:10" s="34" customFormat="1" x14ac:dyDescent="0.35">
      <c r="E18541" s="35"/>
      <c r="J18541" s="41"/>
    </row>
    <row r="18542" spans="5:10" s="34" customFormat="1" x14ac:dyDescent="0.35">
      <c r="E18542" s="35"/>
      <c r="J18542" s="41"/>
    </row>
    <row r="18543" spans="5:10" s="34" customFormat="1" x14ac:dyDescent="0.35">
      <c r="E18543" s="35"/>
      <c r="J18543" s="41"/>
    </row>
    <row r="18544" spans="5:10" s="34" customFormat="1" x14ac:dyDescent="0.35">
      <c r="E18544" s="35"/>
      <c r="J18544" s="41"/>
    </row>
    <row r="18545" spans="5:10" s="34" customFormat="1" x14ac:dyDescent="0.35">
      <c r="E18545" s="35"/>
      <c r="J18545" s="41"/>
    </row>
    <row r="18546" spans="5:10" s="34" customFormat="1" x14ac:dyDescent="0.35">
      <c r="E18546" s="35"/>
      <c r="J18546" s="41"/>
    </row>
    <row r="18547" spans="5:10" s="34" customFormat="1" x14ac:dyDescent="0.35">
      <c r="E18547" s="35"/>
      <c r="J18547" s="41"/>
    </row>
    <row r="18548" spans="5:10" s="34" customFormat="1" x14ac:dyDescent="0.35">
      <c r="E18548" s="35"/>
      <c r="J18548" s="41"/>
    </row>
    <row r="18549" spans="5:10" s="34" customFormat="1" x14ac:dyDescent="0.35">
      <c r="E18549" s="35"/>
      <c r="J18549" s="41"/>
    </row>
    <row r="18550" spans="5:10" s="34" customFormat="1" x14ac:dyDescent="0.35">
      <c r="E18550" s="35"/>
      <c r="J18550" s="41"/>
    </row>
    <row r="18551" spans="5:10" s="34" customFormat="1" x14ac:dyDescent="0.35">
      <c r="E18551" s="35"/>
      <c r="J18551" s="41"/>
    </row>
    <row r="18552" spans="5:10" s="34" customFormat="1" x14ac:dyDescent="0.35">
      <c r="E18552" s="35"/>
      <c r="J18552" s="41"/>
    </row>
    <row r="18553" spans="5:10" s="34" customFormat="1" x14ac:dyDescent="0.35">
      <c r="E18553" s="35"/>
      <c r="J18553" s="41"/>
    </row>
    <row r="18554" spans="5:10" s="34" customFormat="1" x14ac:dyDescent="0.35">
      <c r="E18554" s="35"/>
      <c r="J18554" s="41"/>
    </row>
    <row r="18555" spans="5:10" s="34" customFormat="1" x14ac:dyDescent="0.35">
      <c r="E18555" s="35"/>
      <c r="J18555" s="41"/>
    </row>
    <row r="18556" spans="5:10" s="34" customFormat="1" x14ac:dyDescent="0.35">
      <c r="E18556" s="35"/>
      <c r="J18556" s="41"/>
    </row>
    <row r="18557" spans="5:10" s="34" customFormat="1" x14ac:dyDescent="0.35">
      <c r="E18557" s="35"/>
      <c r="J18557" s="41"/>
    </row>
    <row r="18558" spans="5:10" s="34" customFormat="1" x14ac:dyDescent="0.35">
      <c r="E18558" s="35"/>
      <c r="J18558" s="41"/>
    </row>
    <row r="18559" spans="5:10" s="34" customFormat="1" x14ac:dyDescent="0.35">
      <c r="E18559" s="35"/>
      <c r="J18559" s="41"/>
    </row>
    <row r="18560" spans="5:10" s="34" customFormat="1" x14ac:dyDescent="0.35">
      <c r="E18560" s="35"/>
      <c r="J18560" s="41"/>
    </row>
    <row r="18561" spans="5:10" s="34" customFormat="1" x14ac:dyDescent="0.35">
      <c r="E18561" s="35"/>
      <c r="J18561" s="41"/>
    </row>
    <row r="18562" spans="5:10" s="34" customFormat="1" x14ac:dyDescent="0.35">
      <c r="E18562" s="35"/>
      <c r="J18562" s="41"/>
    </row>
    <row r="18563" spans="5:10" s="34" customFormat="1" x14ac:dyDescent="0.35">
      <c r="E18563" s="35"/>
      <c r="J18563" s="41"/>
    </row>
    <row r="18564" spans="5:10" s="34" customFormat="1" x14ac:dyDescent="0.35">
      <c r="E18564" s="35"/>
      <c r="J18564" s="41"/>
    </row>
    <row r="18565" spans="5:10" s="34" customFormat="1" x14ac:dyDescent="0.35">
      <c r="E18565" s="35"/>
      <c r="J18565" s="41"/>
    </row>
    <row r="18566" spans="5:10" s="34" customFormat="1" x14ac:dyDescent="0.35">
      <c r="E18566" s="35"/>
      <c r="J18566" s="41"/>
    </row>
    <row r="18567" spans="5:10" s="34" customFormat="1" x14ac:dyDescent="0.35">
      <c r="E18567" s="35"/>
      <c r="J18567" s="41"/>
    </row>
    <row r="18568" spans="5:10" s="34" customFormat="1" x14ac:dyDescent="0.35">
      <c r="E18568" s="35"/>
      <c r="J18568" s="41"/>
    </row>
    <row r="18569" spans="5:10" s="34" customFormat="1" x14ac:dyDescent="0.35">
      <c r="E18569" s="35"/>
      <c r="J18569" s="41"/>
    </row>
    <row r="18570" spans="5:10" s="34" customFormat="1" x14ac:dyDescent="0.35">
      <c r="E18570" s="35"/>
      <c r="J18570" s="41"/>
    </row>
    <row r="18571" spans="5:10" s="34" customFormat="1" x14ac:dyDescent="0.35">
      <c r="E18571" s="35"/>
      <c r="J18571" s="41"/>
    </row>
    <row r="18572" spans="5:10" s="34" customFormat="1" x14ac:dyDescent="0.35">
      <c r="E18572" s="35"/>
      <c r="J18572" s="41"/>
    </row>
    <row r="18573" spans="5:10" s="34" customFormat="1" x14ac:dyDescent="0.35">
      <c r="E18573" s="35"/>
      <c r="J18573" s="41"/>
    </row>
    <row r="18574" spans="5:10" s="34" customFormat="1" x14ac:dyDescent="0.35">
      <c r="E18574" s="35"/>
      <c r="J18574" s="41"/>
    </row>
    <row r="18575" spans="5:10" s="34" customFormat="1" x14ac:dyDescent="0.35">
      <c r="E18575" s="35"/>
      <c r="J18575" s="41"/>
    </row>
    <row r="18576" spans="5:10" s="34" customFormat="1" x14ac:dyDescent="0.35">
      <c r="E18576" s="35"/>
      <c r="J18576" s="41"/>
    </row>
    <row r="18577" spans="5:10" s="34" customFormat="1" x14ac:dyDescent="0.35">
      <c r="E18577" s="35"/>
      <c r="J18577" s="41"/>
    </row>
    <row r="18578" spans="5:10" s="34" customFormat="1" x14ac:dyDescent="0.35">
      <c r="E18578" s="35"/>
      <c r="J18578" s="41"/>
    </row>
    <row r="18579" spans="5:10" s="34" customFormat="1" x14ac:dyDescent="0.35">
      <c r="E18579" s="35"/>
      <c r="J18579" s="41"/>
    </row>
    <row r="18580" spans="5:10" s="34" customFormat="1" x14ac:dyDescent="0.35">
      <c r="E18580" s="35"/>
      <c r="J18580" s="41"/>
    </row>
    <row r="18581" spans="5:10" s="34" customFormat="1" x14ac:dyDescent="0.35">
      <c r="E18581" s="35"/>
      <c r="J18581" s="41"/>
    </row>
    <row r="18582" spans="5:10" s="34" customFormat="1" x14ac:dyDescent="0.35">
      <c r="E18582" s="35"/>
      <c r="J18582" s="41"/>
    </row>
    <row r="18583" spans="5:10" s="34" customFormat="1" x14ac:dyDescent="0.35">
      <c r="E18583" s="35"/>
      <c r="J18583" s="41"/>
    </row>
    <row r="18584" spans="5:10" s="34" customFormat="1" x14ac:dyDescent="0.35">
      <c r="E18584" s="35"/>
      <c r="J18584" s="41"/>
    </row>
    <row r="18585" spans="5:10" s="34" customFormat="1" x14ac:dyDescent="0.35">
      <c r="E18585" s="35"/>
      <c r="J18585" s="41"/>
    </row>
    <row r="18586" spans="5:10" s="34" customFormat="1" x14ac:dyDescent="0.35">
      <c r="E18586" s="35"/>
      <c r="J18586" s="41"/>
    </row>
    <row r="18587" spans="5:10" s="34" customFormat="1" x14ac:dyDescent="0.35">
      <c r="E18587" s="35"/>
      <c r="J18587" s="41"/>
    </row>
    <row r="18588" spans="5:10" s="34" customFormat="1" x14ac:dyDescent="0.35">
      <c r="E18588" s="35"/>
      <c r="J18588" s="41"/>
    </row>
    <row r="18589" spans="5:10" s="34" customFormat="1" x14ac:dyDescent="0.35">
      <c r="E18589" s="35"/>
      <c r="J18589" s="41"/>
    </row>
    <row r="18590" spans="5:10" s="34" customFormat="1" x14ac:dyDescent="0.35">
      <c r="E18590" s="35"/>
      <c r="J18590" s="41"/>
    </row>
    <row r="18591" spans="5:10" s="34" customFormat="1" x14ac:dyDescent="0.35">
      <c r="E18591" s="35"/>
      <c r="J18591" s="41"/>
    </row>
    <row r="18592" spans="5:10" s="34" customFormat="1" x14ac:dyDescent="0.35">
      <c r="E18592" s="35"/>
      <c r="J18592" s="41"/>
    </row>
    <row r="18593" spans="5:10" s="34" customFormat="1" x14ac:dyDescent="0.35">
      <c r="E18593" s="35"/>
      <c r="J18593" s="41"/>
    </row>
    <row r="18594" spans="5:10" s="34" customFormat="1" x14ac:dyDescent="0.35">
      <c r="E18594" s="35"/>
      <c r="J18594" s="41"/>
    </row>
    <row r="18595" spans="5:10" s="34" customFormat="1" x14ac:dyDescent="0.35">
      <c r="E18595" s="35"/>
      <c r="J18595" s="41"/>
    </row>
    <row r="18596" spans="5:10" s="34" customFormat="1" x14ac:dyDescent="0.35">
      <c r="E18596" s="35"/>
      <c r="J18596" s="41"/>
    </row>
    <row r="18597" spans="5:10" s="34" customFormat="1" x14ac:dyDescent="0.35">
      <c r="E18597" s="35"/>
      <c r="J18597" s="41"/>
    </row>
    <row r="18598" spans="5:10" s="34" customFormat="1" x14ac:dyDescent="0.35">
      <c r="E18598" s="35"/>
      <c r="J18598" s="41"/>
    </row>
    <row r="18599" spans="5:10" s="34" customFormat="1" x14ac:dyDescent="0.35">
      <c r="E18599" s="35"/>
      <c r="J18599" s="41"/>
    </row>
    <row r="18600" spans="5:10" s="34" customFormat="1" x14ac:dyDescent="0.35">
      <c r="E18600" s="35"/>
      <c r="J18600" s="41"/>
    </row>
    <row r="18601" spans="5:10" s="34" customFormat="1" x14ac:dyDescent="0.35">
      <c r="E18601" s="35"/>
      <c r="J18601" s="41"/>
    </row>
    <row r="18602" spans="5:10" s="34" customFormat="1" x14ac:dyDescent="0.35">
      <c r="E18602" s="35"/>
      <c r="J18602" s="41"/>
    </row>
    <row r="18603" spans="5:10" s="34" customFormat="1" x14ac:dyDescent="0.35">
      <c r="E18603" s="35"/>
      <c r="J18603" s="41"/>
    </row>
    <row r="18604" spans="5:10" s="34" customFormat="1" x14ac:dyDescent="0.35">
      <c r="E18604" s="35"/>
      <c r="J18604" s="41"/>
    </row>
    <row r="18605" spans="5:10" s="34" customFormat="1" x14ac:dyDescent="0.35">
      <c r="E18605" s="35"/>
      <c r="J18605" s="41"/>
    </row>
    <row r="18606" spans="5:10" s="34" customFormat="1" x14ac:dyDescent="0.35">
      <c r="E18606" s="35"/>
      <c r="J18606" s="41"/>
    </row>
    <row r="18607" spans="5:10" s="34" customFormat="1" x14ac:dyDescent="0.35">
      <c r="E18607" s="35"/>
      <c r="J18607" s="41"/>
    </row>
    <row r="18608" spans="5:10" s="34" customFormat="1" x14ac:dyDescent="0.35">
      <c r="E18608" s="35"/>
      <c r="J18608" s="41"/>
    </row>
    <row r="18609" spans="5:10" s="34" customFormat="1" x14ac:dyDescent="0.35">
      <c r="E18609" s="35"/>
      <c r="J18609" s="41"/>
    </row>
    <row r="18610" spans="5:10" s="34" customFormat="1" x14ac:dyDescent="0.35">
      <c r="E18610" s="35"/>
      <c r="J18610" s="41"/>
    </row>
    <row r="18611" spans="5:10" s="34" customFormat="1" x14ac:dyDescent="0.35">
      <c r="E18611" s="35"/>
      <c r="J18611" s="41"/>
    </row>
    <row r="18612" spans="5:10" s="34" customFormat="1" x14ac:dyDescent="0.35">
      <c r="E18612" s="35"/>
      <c r="J18612" s="41"/>
    </row>
    <row r="18613" spans="5:10" s="34" customFormat="1" x14ac:dyDescent="0.35">
      <c r="E18613" s="35"/>
      <c r="J18613" s="41"/>
    </row>
    <row r="18614" spans="5:10" s="34" customFormat="1" x14ac:dyDescent="0.35">
      <c r="E18614" s="35"/>
      <c r="J18614" s="41"/>
    </row>
    <row r="18615" spans="5:10" s="34" customFormat="1" x14ac:dyDescent="0.35">
      <c r="E18615" s="35"/>
      <c r="J18615" s="41"/>
    </row>
    <row r="18616" spans="5:10" s="34" customFormat="1" x14ac:dyDescent="0.35">
      <c r="E18616" s="35"/>
      <c r="J18616" s="41"/>
    </row>
    <row r="18617" spans="5:10" s="34" customFormat="1" x14ac:dyDescent="0.35">
      <c r="E18617" s="35"/>
      <c r="J18617" s="41"/>
    </row>
    <row r="18618" spans="5:10" s="34" customFormat="1" x14ac:dyDescent="0.35">
      <c r="E18618" s="35"/>
      <c r="J18618" s="41"/>
    </row>
    <row r="18619" spans="5:10" s="34" customFormat="1" x14ac:dyDescent="0.35">
      <c r="E18619" s="35"/>
      <c r="J18619" s="41"/>
    </row>
    <row r="18620" spans="5:10" s="34" customFormat="1" x14ac:dyDescent="0.35">
      <c r="E18620" s="35"/>
      <c r="J18620" s="41"/>
    </row>
    <row r="18621" spans="5:10" s="34" customFormat="1" x14ac:dyDescent="0.35">
      <c r="E18621" s="35"/>
      <c r="J18621" s="41"/>
    </row>
    <row r="18622" spans="5:10" s="34" customFormat="1" x14ac:dyDescent="0.35">
      <c r="E18622" s="35"/>
      <c r="J18622" s="41"/>
    </row>
    <row r="18623" spans="5:10" s="34" customFormat="1" x14ac:dyDescent="0.35">
      <c r="E18623" s="35"/>
      <c r="J18623" s="41"/>
    </row>
    <row r="18624" spans="5:10" s="34" customFormat="1" x14ac:dyDescent="0.35">
      <c r="E18624" s="35"/>
      <c r="J18624" s="41"/>
    </row>
    <row r="18625" spans="5:10" s="34" customFormat="1" x14ac:dyDescent="0.35">
      <c r="E18625" s="35"/>
      <c r="J18625" s="41"/>
    </row>
    <row r="18626" spans="5:10" s="34" customFormat="1" x14ac:dyDescent="0.35">
      <c r="E18626" s="35"/>
      <c r="J18626" s="41"/>
    </row>
    <row r="18627" spans="5:10" s="34" customFormat="1" x14ac:dyDescent="0.35">
      <c r="E18627" s="35"/>
      <c r="J18627" s="41"/>
    </row>
    <row r="18628" spans="5:10" s="34" customFormat="1" x14ac:dyDescent="0.35">
      <c r="E18628" s="35"/>
      <c r="J18628" s="41"/>
    </row>
    <row r="18629" spans="5:10" s="34" customFormat="1" x14ac:dyDescent="0.35">
      <c r="E18629" s="35"/>
      <c r="J18629" s="41"/>
    </row>
    <row r="18630" spans="5:10" s="34" customFormat="1" x14ac:dyDescent="0.35">
      <c r="E18630" s="35"/>
      <c r="J18630" s="41"/>
    </row>
    <row r="18631" spans="5:10" s="34" customFormat="1" x14ac:dyDescent="0.35">
      <c r="E18631" s="35"/>
      <c r="J18631" s="41"/>
    </row>
    <row r="18632" spans="5:10" s="34" customFormat="1" x14ac:dyDescent="0.35">
      <c r="E18632" s="35"/>
      <c r="J18632" s="41"/>
    </row>
    <row r="18633" spans="5:10" s="34" customFormat="1" x14ac:dyDescent="0.35">
      <c r="E18633" s="35"/>
      <c r="J18633" s="41"/>
    </row>
    <row r="18634" spans="5:10" s="34" customFormat="1" x14ac:dyDescent="0.35">
      <c r="E18634" s="35"/>
      <c r="J18634" s="41"/>
    </row>
    <row r="18635" spans="5:10" s="34" customFormat="1" x14ac:dyDescent="0.35">
      <c r="E18635" s="35"/>
      <c r="J18635" s="41"/>
    </row>
    <row r="18636" spans="5:10" s="34" customFormat="1" x14ac:dyDescent="0.35">
      <c r="E18636" s="35"/>
      <c r="J18636" s="41"/>
    </row>
    <row r="18637" spans="5:10" s="34" customFormat="1" x14ac:dyDescent="0.35">
      <c r="E18637" s="35"/>
      <c r="J18637" s="41"/>
    </row>
    <row r="18638" spans="5:10" s="34" customFormat="1" x14ac:dyDescent="0.35">
      <c r="E18638" s="35"/>
      <c r="J18638" s="41"/>
    </row>
    <row r="18639" spans="5:10" s="34" customFormat="1" x14ac:dyDescent="0.35">
      <c r="E18639" s="35"/>
      <c r="J18639" s="41"/>
    </row>
    <row r="18640" spans="5:10" s="34" customFormat="1" x14ac:dyDescent="0.35">
      <c r="E18640" s="35"/>
      <c r="J18640" s="41"/>
    </row>
    <row r="18641" spans="5:10" s="34" customFormat="1" x14ac:dyDescent="0.35">
      <c r="E18641" s="35"/>
      <c r="J18641" s="41"/>
    </row>
    <row r="18642" spans="5:10" s="34" customFormat="1" x14ac:dyDescent="0.35">
      <c r="E18642" s="35"/>
      <c r="J18642" s="41"/>
    </row>
    <row r="18643" spans="5:10" s="34" customFormat="1" x14ac:dyDescent="0.35">
      <c r="E18643" s="35"/>
      <c r="J18643" s="41"/>
    </row>
    <row r="18644" spans="5:10" s="34" customFormat="1" x14ac:dyDescent="0.35">
      <c r="E18644" s="35"/>
      <c r="J18644" s="41"/>
    </row>
    <row r="18645" spans="5:10" s="34" customFormat="1" x14ac:dyDescent="0.35">
      <c r="E18645" s="35"/>
      <c r="J18645" s="41"/>
    </row>
    <row r="18646" spans="5:10" s="34" customFormat="1" x14ac:dyDescent="0.35">
      <c r="E18646" s="35"/>
      <c r="J18646" s="41"/>
    </row>
    <row r="18647" spans="5:10" s="34" customFormat="1" x14ac:dyDescent="0.35">
      <c r="E18647" s="35"/>
      <c r="J18647" s="41"/>
    </row>
    <row r="18648" spans="5:10" s="34" customFormat="1" x14ac:dyDescent="0.35">
      <c r="E18648" s="35"/>
      <c r="J18648" s="41"/>
    </row>
    <row r="18649" spans="5:10" s="34" customFormat="1" x14ac:dyDescent="0.35">
      <c r="E18649" s="35"/>
      <c r="J18649" s="41"/>
    </row>
    <row r="18650" spans="5:10" s="34" customFormat="1" x14ac:dyDescent="0.35">
      <c r="E18650" s="35"/>
      <c r="J18650" s="41"/>
    </row>
    <row r="18651" spans="5:10" s="34" customFormat="1" x14ac:dyDescent="0.35">
      <c r="E18651" s="35"/>
      <c r="J18651" s="41"/>
    </row>
    <row r="18652" spans="5:10" s="34" customFormat="1" x14ac:dyDescent="0.35">
      <c r="E18652" s="35"/>
      <c r="J18652" s="41"/>
    </row>
    <row r="18653" spans="5:10" s="34" customFormat="1" x14ac:dyDescent="0.35">
      <c r="E18653" s="35"/>
      <c r="J18653" s="41"/>
    </row>
    <row r="18654" spans="5:10" s="34" customFormat="1" x14ac:dyDescent="0.35">
      <c r="E18654" s="35"/>
      <c r="J18654" s="41"/>
    </row>
    <row r="18655" spans="5:10" s="34" customFormat="1" x14ac:dyDescent="0.35">
      <c r="E18655" s="35"/>
      <c r="J18655" s="41"/>
    </row>
    <row r="18656" spans="5:10" s="34" customFormat="1" x14ac:dyDescent="0.35">
      <c r="E18656" s="35"/>
      <c r="J18656" s="41"/>
    </row>
    <row r="18657" spans="5:10" s="34" customFormat="1" x14ac:dyDescent="0.35">
      <c r="E18657" s="35"/>
      <c r="J18657" s="41"/>
    </row>
    <row r="18658" spans="5:10" s="34" customFormat="1" x14ac:dyDescent="0.35">
      <c r="E18658" s="35"/>
      <c r="J18658" s="41"/>
    </row>
    <row r="18659" spans="5:10" s="34" customFormat="1" x14ac:dyDescent="0.35">
      <c r="E18659" s="35"/>
      <c r="J18659" s="41"/>
    </row>
    <row r="18660" spans="5:10" s="34" customFormat="1" x14ac:dyDescent="0.35">
      <c r="E18660" s="35"/>
      <c r="J18660" s="41"/>
    </row>
    <row r="18661" spans="5:10" s="34" customFormat="1" x14ac:dyDescent="0.35">
      <c r="E18661" s="35"/>
      <c r="J18661" s="41"/>
    </row>
    <row r="18662" spans="5:10" s="34" customFormat="1" x14ac:dyDescent="0.35">
      <c r="E18662" s="35"/>
      <c r="J18662" s="41"/>
    </row>
    <row r="18663" spans="5:10" s="34" customFormat="1" x14ac:dyDescent="0.35">
      <c r="E18663" s="35"/>
      <c r="J18663" s="41"/>
    </row>
    <row r="18664" spans="5:10" s="34" customFormat="1" x14ac:dyDescent="0.35">
      <c r="E18664" s="35"/>
      <c r="J18664" s="41"/>
    </row>
    <row r="18665" spans="5:10" s="34" customFormat="1" x14ac:dyDescent="0.35">
      <c r="E18665" s="35"/>
      <c r="J18665" s="41"/>
    </row>
    <row r="18666" spans="5:10" s="34" customFormat="1" x14ac:dyDescent="0.35">
      <c r="E18666" s="35"/>
      <c r="J18666" s="41"/>
    </row>
    <row r="18667" spans="5:10" s="34" customFormat="1" x14ac:dyDescent="0.35">
      <c r="E18667" s="35"/>
      <c r="J18667" s="41"/>
    </row>
    <row r="18668" spans="5:10" s="34" customFormat="1" x14ac:dyDescent="0.35">
      <c r="E18668" s="35"/>
      <c r="J18668" s="41"/>
    </row>
    <row r="18669" spans="5:10" s="34" customFormat="1" x14ac:dyDescent="0.35">
      <c r="E18669" s="35"/>
      <c r="J18669" s="41"/>
    </row>
    <row r="18670" spans="5:10" s="34" customFormat="1" x14ac:dyDescent="0.35">
      <c r="E18670" s="35"/>
      <c r="J18670" s="41"/>
    </row>
    <row r="18671" spans="5:10" s="34" customFormat="1" x14ac:dyDescent="0.35">
      <c r="E18671" s="35"/>
      <c r="J18671" s="41"/>
    </row>
    <row r="18672" spans="5:10" s="34" customFormat="1" x14ac:dyDescent="0.35">
      <c r="E18672" s="35"/>
      <c r="J18672" s="41"/>
    </row>
    <row r="18673" spans="5:10" s="34" customFormat="1" x14ac:dyDescent="0.35">
      <c r="E18673" s="35"/>
      <c r="J18673" s="41"/>
    </row>
    <row r="18674" spans="5:10" s="34" customFormat="1" x14ac:dyDescent="0.35">
      <c r="E18674" s="35"/>
      <c r="J18674" s="41"/>
    </row>
    <row r="18675" spans="5:10" s="34" customFormat="1" x14ac:dyDescent="0.35">
      <c r="E18675" s="35"/>
      <c r="J18675" s="41"/>
    </row>
    <row r="18676" spans="5:10" s="34" customFormat="1" x14ac:dyDescent="0.35">
      <c r="E18676" s="35"/>
      <c r="J18676" s="41"/>
    </row>
    <row r="18677" spans="5:10" s="34" customFormat="1" x14ac:dyDescent="0.35">
      <c r="E18677" s="35"/>
      <c r="J18677" s="41"/>
    </row>
    <row r="18678" spans="5:10" s="34" customFormat="1" x14ac:dyDescent="0.35">
      <c r="E18678" s="35"/>
      <c r="J18678" s="41"/>
    </row>
    <row r="18679" spans="5:10" s="34" customFormat="1" x14ac:dyDescent="0.35">
      <c r="E18679" s="35"/>
      <c r="J18679" s="41"/>
    </row>
    <row r="18680" spans="5:10" s="34" customFormat="1" x14ac:dyDescent="0.35">
      <c r="E18680" s="35"/>
      <c r="J18680" s="41"/>
    </row>
    <row r="18681" spans="5:10" s="34" customFormat="1" x14ac:dyDescent="0.35">
      <c r="E18681" s="35"/>
      <c r="J18681" s="41"/>
    </row>
    <row r="18682" spans="5:10" s="34" customFormat="1" x14ac:dyDescent="0.35">
      <c r="E18682" s="35"/>
      <c r="J18682" s="41"/>
    </row>
    <row r="18683" spans="5:10" s="34" customFormat="1" x14ac:dyDescent="0.35">
      <c r="E18683" s="35"/>
      <c r="J18683" s="41"/>
    </row>
    <row r="18684" spans="5:10" s="34" customFormat="1" x14ac:dyDescent="0.35">
      <c r="E18684" s="35"/>
      <c r="J18684" s="41"/>
    </row>
    <row r="18685" spans="5:10" s="34" customFormat="1" x14ac:dyDescent="0.35">
      <c r="E18685" s="35"/>
      <c r="J18685" s="41"/>
    </row>
    <row r="18686" spans="5:10" s="34" customFormat="1" x14ac:dyDescent="0.35">
      <c r="E18686" s="35"/>
      <c r="J18686" s="41"/>
    </row>
    <row r="18687" spans="5:10" s="34" customFormat="1" x14ac:dyDescent="0.35">
      <c r="E18687" s="35"/>
      <c r="J18687" s="41"/>
    </row>
    <row r="18688" spans="5:10" s="34" customFormat="1" x14ac:dyDescent="0.35">
      <c r="E18688" s="35"/>
      <c r="J18688" s="41"/>
    </row>
    <row r="18689" spans="5:10" s="34" customFormat="1" x14ac:dyDescent="0.35">
      <c r="E18689" s="35"/>
      <c r="J18689" s="41"/>
    </row>
    <row r="18690" spans="5:10" s="34" customFormat="1" x14ac:dyDescent="0.35">
      <c r="E18690" s="35"/>
      <c r="J18690" s="41"/>
    </row>
    <row r="18691" spans="5:10" s="34" customFormat="1" x14ac:dyDescent="0.35">
      <c r="E18691" s="35"/>
      <c r="J18691" s="41"/>
    </row>
    <row r="18692" spans="5:10" s="34" customFormat="1" x14ac:dyDescent="0.35">
      <c r="E18692" s="35"/>
      <c r="J18692" s="41"/>
    </row>
    <row r="18693" spans="5:10" s="34" customFormat="1" x14ac:dyDescent="0.35">
      <c r="E18693" s="35"/>
      <c r="J18693" s="41"/>
    </row>
    <row r="18694" spans="5:10" s="34" customFormat="1" x14ac:dyDescent="0.35">
      <c r="E18694" s="35"/>
      <c r="J18694" s="41"/>
    </row>
    <row r="18695" spans="5:10" s="34" customFormat="1" x14ac:dyDescent="0.35">
      <c r="E18695" s="35"/>
      <c r="J18695" s="41"/>
    </row>
    <row r="18696" spans="5:10" s="34" customFormat="1" x14ac:dyDescent="0.35">
      <c r="E18696" s="35"/>
      <c r="J18696" s="41"/>
    </row>
    <row r="18697" spans="5:10" s="34" customFormat="1" x14ac:dyDescent="0.35">
      <c r="E18697" s="35"/>
      <c r="J18697" s="41"/>
    </row>
    <row r="18698" spans="5:10" s="34" customFormat="1" x14ac:dyDescent="0.35">
      <c r="E18698" s="35"/>
      <c r="J18698" s="41"/>
    </row>
    <row r="18699" spans="5:10" s="34" customFormat="1" x14ac:dyDescent="0.35">
      <c r="E18699" s="35"/>
      <c r="J18699" s="41"/>
    </row>
    <row r="18700" spans="5:10" s="34" customFormat="1" x14ac:dyDescent="0.35">
      <c r="E18700" s="35"/>
      <c r="J18700" s="41"/>
    </row>
    <row r="18701" spans="5:10" s="34" customFormat="1" x14ac:dyDescent="0.35">
      <c r="E18701" s="35"/>
      <c r="J18701" s="41"/>
    </row>
    <row r="18702" spans="5:10" s="34" customFormat="1" x14ac:dyDescent="0.35">
      <c r="E18702" s="35"/>
      <c r="J18702" s="41"/>
    </row>
    <row r="18703" spans="5:10" s="34" customFormat="1" x14ac:dyDescent="0.35">
      <c r="E18703" s="35"/>
      <c r="J18703" s="41"/>
    </row>
    <row r="18704" spans="5:10" s="34" customFormat="1" x14ac:dyDescent="0.35">
      <c r="E18704" s="35"/>
      <c r="J18704" s="41"/>
    </row>
    <row r="18705" spans="5:10" s="34" customFormat="1" x14ac:dyDescent="0.35">
      <c r="E18705" s="35"/>
      <c r="J18705" s="41"/>
    </row>
    <row r="18706" spans="5:10" s="34" customFormat="1" x14ac:dyDescent="0.35">
      <c r="E18706" s="35"/>
      <c r="J18706" s="41"/>
    </row>
    <row r="18707" spans="5:10" s="34" customFormat="1" x14ac:dyDescent="0.35">
      <c r="E18707" s="35"/>
      <c r="J18707" s="41"/>
    </row>
    <row r="18708" spans="5:10" s="34" customFormat="1" x14ac:dyDescent="0.35">
      <c r="E18708" s="35"/>
      <c r="J18708" s="41"/>
    </row>
    <row r="18709" spans="5:10" s="34" customFormat="1" x14ac:dyDescent="0.35">
      <c r="E18709" s="35"/>
      <c r="J18709" s="41"/>
    </row>
    <row r="18710" spans="5:10" s="34" customFormat="1" x14ac:dyDescent="0.35">
      <c r="E18710" s="35"/>
      <c r="J18710" s="41"/>
    </row>
    <row r="18711" spans="5:10" s="34" customFormat="1" x14ac:dyDescent="0.35">
      <c r="E18711" s="35"/>
      <c r="J18711" s="41"/>
    </row>
    <row r="18712" spans="5:10" s="34" customFormat="1" x14ac:dyDescent="0.35">
      <c r="E18712" s="35"/>
      <c r="J18712" s="41"/>
    </row>
    <row r="18713" spans="5:10" s="34" customFormat="1" x14ac:dyDescent="0.35">
      <c r="E18713" s="35"/>
      <c r="J18713" s="41"/>
    </row>
    <row r="18714" spans="5:10" s="34" customFormat="1" x14ac:dyDescent="0.35">
      <c r="E18714" s="35"/>
      <c r="J18714" s="41"/>
    </row>
    <row r="18715" spans="5:10" s="34" customFormat="1" x14ac:dyDescent="0.35">
      <c r="E18715" s="35"/>
      <c r="J18715" s="41"/>
    </row>
    <row r="18716" spans="5:10" s="34" customFormat="1" x14ac:dyDescent="0.35">
      <c r="E18716" s="35"/>
      <c r="J18716" s="41"/>
    </row>
    <row r="18717" spans="5:10" s="34" customFormat="1" x14ac:dyDescent="0.35">
      <c r="E18717" s="35"/>
      <c r="J18717" s="41"/>
    </row>
    <row r="18718" spans="5:10" s="34" customFormat="1" x14ac:dyDescent="0.35">
      <c r="E18718" s="35"/>
      <c r="J18718" s="41"/>
    </row>
    <row r="18719" spans="5:10" s="34" customFormat="1" x14ac:dyDescent="0.35">
      <c r="E18719" s="35"/>
      <c r="J18719" s="41"/>
    </row>
    <row r="18720" spans="5:10" s="34" customFormat="1" x14ac:dyDescent="0.35">
      <c r="E18720" s="35"/>
      <c r="J18720" s="41"/>
    </row>
    <row r="18721" spans="5:10" s="34" customFormat="1" x14ac:dyDescent="0.35">
      <c r="E18721" s="35"/>
      <c r="J18721" s="41"/>
    </row>
    <row r="18722" spans="5:10" s="34" customFormat="1" x14ac:dyDescent="0.35">
      <c r="E18722" s="35"/>
      <c r="J18722" s="41"/>
    </row>
    <row r="18723" spans="5:10" s="34" customFormat="1" x14ac:dyDescent="0.35">
      <c r="E18723" s="35"/>
      <c r="J18723" s="41"/>
    </row>
    <row r="18724" spans="5:10" s="34" customFormat="1" x14ac:dyDescent="0.35">
      <c r="E18724" s="35"/>
      <c r="J18724" s="41"/>
    </row>
    <row r="18725" spans="5:10" s="34" customFormat="1" x14ac:dyDescent="0.35">
      <c r="E18725" s="35"/>
      <c r="J18725" s="41"/>
    </row>
    <row r="18726" spans="5:10" s="34" customFormat="1" x14ac:dyDescent="0.35">
      <c r="E18726" s="35"/>
      <c r="J18726" s="41"/>
    </row>
    <row r="18727" spans="5:10" s="34" customFormat="1" x14ac:dyDescent="0.35">
      <c r="E18727" s="35"/>
      <c r="J18727" s="41"/>
    </row>
    <row r="18728" spans="5:10" s="34" customFormat="1" x14ac:dyDescent="0.35">
      <c r="E18728" s="35"/>
      <c r="J18728" s="41"/>
    </row>
    <row r="18729" spans="5:10" s="34" customFormat="1" x14ac:dyDescent="0.35">
      <c r="E18729" s="35"/>
      <c r="J18729" s="41"/>
    </row>
    <row r="18730" spans="5:10" s="34" customFormat="1" x14ac:dyDescent="0.35">
      <c r="E18730" s="35"/>
      <c r="J18730" s="41"/>
    </row>
    <row r="18731" spans="5:10" s="34" customFormat="1" x14ac:dyDescent="0.35">
      <c r="E18731" s="35"/>
      <c r="J18731" s="41"/>
    </row>
    <row r="18732" spans="5:10" s="34" customFormat="1" x14ac:dyDescent="0.35">
      <c r="E18732" s="35"/>
      <c r="J18732" s="41"/>
    </row>
    <row r="18733" spans="5:10" s="34" customFormat="1" x14ac:dyDescent="0.35">
      <c r="E18733" s="35"/>
      <c r="J18733" s="41"/>
    </row>
    <row r="18734" spans="5:10" s="34" customFormat="1" x14ac:dyDescent="0.35">
      <c r="E18734" s="35"/>
      <c r="J18734" s="41"/>
    </row>
    <row r="18735" spans="5:10" s="34" customFormat="1" x14ac:dyDescent="0.35">
      <c r="E18735" s="35"/>
      <c r="J18735" s="41"/>
    </row>
    <row r="18736" spans="5:10" s="34" customFormat="1" x14ac:dyDescent="0.35">
      <c r="E18736" s="35"/>
      <c r="J18736" s="41"/>
    </row>
    <row r="18737" spans="5:10" s="34" customFormat="1" x14ac:dyDescent="0.35">
      <c r="E18737" s="35"/>
      <c r="J18737" s="41"/>
    </row>
    <row r="18738" spans="5:10" s="34" customFormat="1" x14ac:dyDescent="0.35">
      <c r="E18738" s="35"/>
      <c r="J18738" s="41"/>
    </row>
    <row r="18739" spans="5:10" s="34" customFormat="1" x14ac:dyDescent="0.35">
      <c r="E18739" s="35"/>
      <c r="J18739" s="41"/>
    </row>
    <row r="18740" spans="5:10" s="34" customFormat="1" x14ac:dyDescent="0.35">
      <c r="E18740" s="35"/>
      <c r="J18740" s="41"/>
    </row>
    <row r="18741" spans="5:10" s="34" customFormat="1" x14ac:dyDescent="0.35">
      <c r="E18741" s="35"/>
      <c r="J18741" s="41"/>
    </row>
    <row r="18742" spans="5:10" s="34" customFormat="1" x14ac:dyDescent="0.35">
      <c r="E18742" s="35"/>
      <c r="J18742" s="41"/>
    </row>
    <row r="18743" spans="5:10" s="34" customFormat="1" x14ac:dyDescent="0.35">
      <c r="E18743" s="35"/>
      <c r="J18743" s="41"/>
    </row>
    <row r="18744" spans="5:10" s="34" customFormat="1" x14ac:dyDescent="0.35">
      <c r="E18744" s="35"/>
      <c r="J18744" s="41"/>
    </row>
    <row r="18745" spans="5:10" s="34" customFormat="1" x14ac:dyDescent="0.35">
      <c r="E18745" s="35"/>
      <c r="J18745" s="41"/>
    </row>
    <row r="18746" spans="5:10" s="34" customFormat="1" x14ac:dyDescent="0.35">
      <c r="E18746" s="35"/>
      <c r="J18746" s="41"/>
    </row>
    <row r="18747" spans="5:10" s="34" customFormat="1" x14ac:dyDescent="0.35">
      <c r="E18747" s="35"/>
      <c r="J18747" s="41"/>
    </row>
    <row r="18748" spans="5:10" s="34" customFormat="1" x14ac:dyDescent="0.35">
      <c r="E18748" s="35"/>
      <c r="J18748" s="41"/>
    </row>
    <row r="18749" spans="5:10" s="34" customFormat="1" x14ac:dyDescent="0.35">
      <c r="E18749" s="35"/>
      <c r="J18749" s="41"/>
    </row>
    <row r="18750" spans="5:10" s="34" customFormat="1" x14ac:dyDescent="0.35">
      <c r="E18750" s="35"/>
      <c r="J18750" s="41"/>
    </row>
    <row r="18751" spans="5:10" s="34" customFormat="1" x14ac:dyDescent="0.35">
      <c r="E18751" s="35"/>
      <c r="J18751" s="41"/>
    </row>
    <row r="18752" spans="5:10" s="34" customFormat="1" x14ac:dyDescent="0.35">
      <c r="E18752" s="35"/>
      <c r="J18752" s="41"/>
    </row>
    <row r="18753" spans="5:10" s="34" customFormat="1" x14ac:dyDescent="0.35">
      <c r="E18753" s="35"/>
      <c r="J18753" s="41"/>
    </row>
    <row r="18754" spans="5:10" s="34" customFormat="1" x14ac:dyDescent="0.35">
      <c r="E18754" s="35"/>
      <c r="J18754" s="41"/>
    </row>
    <row r="18755" spans="5:10" s="34" customFormat="1" x14ac:dyDescent="0.35">
      <c r="E18755" s="35"/>
      <c r="J18755" s="41"/>
    </row>
    <row r="18756" spans="5:10" s="34" customFormat="1" x14ac:dyDescent="0.35">
      <c r="E18756" s="35"/>
      <c r="J18756" s="41"/>
    </row>
    <row r="18757" spans="5:10" s="34" customFormat="1" x14ac:dyDescent="0.35">
      <c r="E18757" s="35"/>
      <c r="J18757" s="41"/>
    </row>
    <row r="18758" spans="5:10" s="34" customFormat="1" x14ac:dyDescent="0.35">
      <c r="E18758" s="35"/>
      <c r="J18758" s="41"/>
    </row>
    <row r="18759" spans="5:10" s="34" customFormat="1" x14ac:dyDescent="0.35">
      <c r="E18759" s="35"/>
      <c r="J18759" s="41"/>
    </row>
    <row r="18760" spans="5:10" s="34" customFormat="1" x14ac:dyDescent="0.35">
      <c r="E18760" s="35"/>
      <c r="J18760" s="41"/>
    </row>
    <row r="18761" spans="5:10" s="34" customFormat="1" x14ac:dyDescent="0.35">
      <c r="E18761" s="35"/>
      <c r="J18761" s="41"/>
    </row>
    <row r="18762" spans="5:10" s="34" customFormat="1" x14ac:dyDescent="0.35">
      <c r="E18762" s="35"/>
      <c r="J18762" s="41"/>
    </row>
    <row r="18763" spans="5:10" s="34" customFormat="1" x14ac:dyDescent="0.35">
      <c r="E18763" s="35"/>
      <c r="J18763" s="41"/>
    </row>
    <row r="18764" spans="5:10" s="34" customFormat="1" x14ac:dyDescent="0.35">
      <c r="E18764" s="35"/>
      <c r="J18764" s="41"/>
    </row>
    <row r="18765" spans="5:10" s="34" customFormat="1" x14ac:dyDescent="0.35">
      <c r="E18765" s="35"/>
      <c r="J18765" s="41"/>
    </row>
    <row r="18766" spans="5:10" s="34" customFormat="1" x14ac:dyDescent="0.35">
      <c r="E18766" s="35"/>
      <c r="J18766" s="41"/>
    </row>
    <row r="18767" spans="5:10" s="34" customFormat="1" x14ac:dyDescent="0.35">
      <c r="E18767" s="35"/>
      <c r="J18767" s="41"/>
    </row>
    <row r="18768" spans="5:10" s="34" customFormat="1" x14ac:dyDescent="0.35">
      <c r="E18768" s="35"/>
      <c r="J18768" s="41"/>
    </row>
    <row r="18769" spans="5:10" s="34" customFormat="1" x14ac:dyDescent="0.35">
      <c r="E18769" s="35"/>
      <c r="J18769" s="41"/>
    </row>
    <row r="18770" spans="5:10" s="34" customFormat="1" x14ac:dyDescent="0.35">
      <c r="E18770" s="35"/>
      <c r="J18770" s="41"/>
    </row>
    <row r="18771" spans="5:10" s="34" customFormat="1" x14ac:dyDescent="0.35">
      <c r="E18771" s="35"/>
      <c r="J18771" s="41"/>
    </row>
    <row r="18772" spans="5:10" s="34" customFormat="1" x14ac:dyDescent="0.35">
      <c r="E18772" s="35"/>
      <c r="J18772" s="41"/>
    </row>
    <row r="18773" spans="5:10" s="34" customFormat="1" x14ac:dyDescent="0.35">
      <c r="E18773" s="35"/>
      <c r="J18773" s="41"/>
    </row>
    <row r="18774" spans="5:10" s="34" customFormat="1" x14ac:dyDescent="0.35">
      <c r="E18774" s="35"/>
      <c r="J18774" s="41"/>
    </row>
    <row r="18775" spans="5:10" s="34" customFormat="1" x14ac:dyDescent="0.35">
      <c r="E18775" s="35"/>
      <c r="J18775" s="41"/>
    </row>
    <row r="18776" spans="5:10" s="34" customFormat="1" x14ac:dyDescent="0.35">
      <c r="E18776" s="35"/>
      <c r="J18776" s="41"/>
    </row>
    <row r="18777" spans="5:10" s="34" customFormat="1" x14ac:dyDescent="0.35">
      <c r="E18777" s="35"/>
      <c r="J18777" s="41"/>
    </row>
    <row r="18778" spans="5:10" s="34" customFormat="1" x14ac:dyDescent="0.35">
      <c r="E18778" s="35"/>
      <c r="J18778" s="41"/>
    </row>
    <row r="18779" spans="5:10" s="34" customFormat="1" x14ac:dyDescent="0.35">
      <c r="E18779" s="35"/>
      <c r="J18779" s="41"/>
    </row>
    <row r="18780" spans="5:10" s="34" customFormat="1" x14ac:dyDescent="0.35">
      <c r="E18780" s="35"/>
      <c r="J18780" s="41"/>
    </row>
    <row r="18781" spans="5:10" s="34" customFormat="1" x14ac:dyDescent="0.35">
      <c r="E18781" s="35"/>
      <c r="J18781" s="41"/>
    </row>
    <row r="18782" spans="5:10" s="34" customFormat="1" x14ac:dyDescent="0.35">
      <c r="E18782" s="35"/>
      <c r="J18782" s="41"/>
    </row>
    <row r="18783" spans="5:10" s="34" customFormat="1" x14ac:dyDescent="0.35">
      <c r="E18783" s="35"/>
      <c r="J18783" s="41"/>
    </row>
    <row r="18784" spans="5:10" s="34" customFormat="1" x14ac:dyDescent="0.35">
      <c r="E18784" s="35"/>
      <c r="J18784" s="41"/>
    </row>
    <row r="18785" spans="5:10" s="34" customFormat="1" x14ac:dyDescent="0.35">
      <c r="E18785" s="35"/>
      <c r="J18785" s="41"/>
    </row>
    <row r="18786" spans="5:10" s="34" customFormat="1" x14ac:dyDescent="0.35">
      <c r="E18786" s="35"/>
      <c r="J18786" s="41"/>
    </row>
    <row r="18787" spans="5:10" s="34" customFormat="1" x14ac:dyDescent="0.35">
      <c r="E18787" s="35"/>
      <c r="J18787" s="41"/>
    </row>
    <row r="18788" spans="5:10" s="34" customFormat="1" x14ac:dyDescent="0.35">
      <c r="E18788" s="35"/>
      <c r="J18788" s="41"/>
    </row>
    <row r="18789" spans="5:10" s="34" customFormat="1" x14ac:dyDescent="0.35">
      <c r="E18789" s="35"/>
      <c r="J18789" s="41"/>
    </row>
    <row r="18790" spans="5:10" s="34" customFormat="1" x14ac:dyDescent="0.35">
      <c r="E18790" s="35"/>
      <c r="J18790" s="41"/>
    </row>
    <row r="18791" spans="5:10" s="34" customFormat="1" x14ac:dyDescent="0.35">
      <c r="E18791" s="35"/>
      <c r="J18791" s="41"/>
    </row>
    <row r="18792" spans="5:10" s="34" customFormat="1" x14ac:dyDescent="0.35">
      <c r="E18792" s="35"/>
      <c r="J18792" s="41"/>
    </row>
    <row r="18793" spans="5:10" s="34" customFormat="1" x14ac:dyDescent="0.35">
      <c r="E18793" s="35"/>
      <c r="J18793" s="41"/>
    </row>
    <row r="18794" spans="5:10" s="34" customFormat="1" x14ac:dyDescent="0.35">
      <c r="E18794" s="35"/>
      <c r="J18794" s="41"/>
    </row>
    <row r="18795" spans="5:10" s="34" customFormat="1" x14ac:dyDescent="0.35">
      <c r="E18795" s="35"/>
      <c r="J18795" s="41"/>
    </row>
    <row r="18796" spans="5:10" s="34" customFormat="1" x14ac:dyDescent="0.35">
      <c r="E18796" s="35"/>
      <c r="J18796" s="41"/>
    </row>
    <row r="18797" spans="5:10" s="34" customFormat="1" x14ac:dyDescent="0.35">
      <c r="E18797" s="35"/>
      <c r="J18797" s="41"/>
    </row>
    <row r="18798" spans="5:10" s="34" customFormat="1" x14ac:dyDescent="0.35">
      <c r="E18798" s="35"/>
      <c r="J18798" s="41"/>
    </row>
    <row r="18799" spans="5:10" s="34" customFormat="1" x14ac:dyDescent="0.35">
      <c r="E18799" s="35"/>
      <c r="J18799" s="41"/>
    </row>
    <row r="18800" spans="5:10" s="34" customFormat="1" x14ac:dyDescent="0.35">
      <c r="E18800" s="35"/>
      <c r="J18800" s="41"/>
    </row>
    <row r="18801" spans="5:10" s="34" customFormat="1" x14ac:dyDescent="0.35">
      <c r="E18801" s="35"/>
      <c r="J18801" s="41"/>
    </row>
    <row r="18802" spans="5:10" s="34" customFormat="1" x14ac:dyDescent="0.35">
      <c r="E18802" s="35"/>
      <c r="J18802" s="41"/>
    </row>
    <row r="18803" spans="5:10" s="34" customFormat="1" x14ac:dyDescent="0.35">
      <c r="E18803" s="35"/>
      <c r="J18803" s="41"/>
    </row>
    <row r="18804" spans="5:10" s="34" customFormat="1" x14ac:dyDescent="0.35">
      <c r="E18804" s="35"/>
      <c r="J18804" s="41"/>
    </row>
    <row r="18805" spans="5:10" s="34" customFormat="1" x14ac:dyDescent="0.35">
      <c r="E18805" s="35"/>
      <c r="J18805" s="41"/>
    </row>
    <row r="18806" spans="5:10" s="34" customFormat="1" x14ac:dyDescent="0.35">
      <c r="E18806" s="35"/>
      <c r="J18806" s="41"/>
    </row>
    <row r="18807" spans="5:10" s="34" customFormat="1" x14ac:dyDescent="0.35">
      <c r="E18807" s="35"/>
      <c r="J18807" s="41"/>
    </row>
    <row r="18808" spans="5:10" s="34" customFormat="1" x14ac:dyDescent="0.35">
      <c r="E18808" s="35"/>
      <c r="J18808" s="41"/>
    </row>
    <row r="18809" spans="5:10" s="34" customFormat="1" x14ac:dyDescent="0.35">
      <c r="E18809" s="35"/>
      <c r="J18809" s="41"/>
    </row>
    <row r="18810" spans="5:10" s="34" customFormat="1" x14ac:dyDescent="0.35">
      <c r="E18810" s="35"/>
      <c r="J18810" s="41"/>
    </row>
    <row r="18811" spans="5:10" s="34" customFormat="1" x14ac:dyDescent="0.35">
      <c r="E18811" s="35"/>
      <c r="J18811" s="41"/>
    </row>
    <row r="18812" spans="5:10" s="34" customFormat="1" x14ac:dyDescent="0.35">
      <c r="E18812" s="35"/>
      <c r="J18812" s="41"/>
    </row>
    <row r="18813" spans="5:10" s="34" customFormat="1" x14ac:dyDescent="0.35">
      <c r="E18813" s="35"/>
      <c r="J18813" s="41"/>
    </row>
    <row r="18814" spans="5:10" s="34" customFormat="1" x14ac:dyDescent="0.35">
      <c r="E18814" s="35"/>
      <c r="J18814" s="41"/>
    </row>
    <row r="18815" spans="5:10" s="34" customFormat="1" x14ac:dyDescent="0.35">
      <c r="E18815" s="35"/>
      <c r="J18815" s="41"/>
    </row>
    <row r="18816" spans="5:10" s="34" customFormat="1" x14ac:dyDescent="0.35">
      <c r="E18816" s="35"/>
      <c r="J18816" s="41"/>
    </row>
    <row r="18817" spans="5:10" s="34" customFormat="1" x14ac:dyDescent="0.35">
      <c r="E18817" s="35"/>
      <c r="J18817" s="41"/>
    </row>
    <row r="18818" spans="5:10" s="34" customFormat="1" x14ac:dyDescent="0.35">
      <c r="E18818" s="35"/>
      <c r="J18818" s="41"/>
    </row>
    <row r="18819" spans="5:10" s="34" customFormat="1" x14ac:dyDescent="0.35">
      <c r="E18819" s="35"/>
      <c r="J18819" s="41"/>
    </row>
    <row r="18820" spans="5:10" s="34" customFormat="1" x14ac:dyDescent="0.35">
      <c r="E18820" s="35"/>
      <c r="J18820" s="41"/>
    </row>
    <row r="18821" spans="5:10" s="34" customFormat="1" x14ac:dyDescent="0.35">
      <c r="E18821" s="35"/>
      <c r="J18821" s="41"/>
    </row>
    <row r="18822" spans="5:10" s="34" customFormat="1" x14ac:dyDescent="0.35">
      <c r="E18822" s="35"/>
      <c r="J18822" s="41"/>
    </row>
    <row r="18823" spans="5:10" s="34" customFormat="1" x14ac:dyDescent="0.35">
      <c r="E18823" s="35"/>
      <c r="J18823" s="41"/>
    </row>
    <row r="18824" spans="5:10" s="34" customFormat="1" x14ac:dyDescent="0.35">
      <c r="E18824" s="35"/>
      <c r="J18824" s="41"/>
    </row>
    <row r="18825" spans="5:10" s="34" customFormat="1" x14ac:dyDescent="0.35">
      <c r="E18825" s="35"/>
      <c r="J18825" s="41"/>
    </row>
    <row r="18826" spans="5:10" s="34" customFormat="1" x14ac:dyDescent="0.35">
      <c r="E18826" s="35"/>
      <c r="J18826" s="41"/>
    </row>
    <row r="18827" spans="5:10" s="34" customFormat="1" x14ac:dyDescent="0.35">
      <c r="E18827" s="35"/>
      <c r="J18827" s="41"/>
    </row>
    <row r="18828" spans="5:10" s="34" customFormat="1" x14ac:dyDescent="0.35">
      <c r="E18828" s="35"/>
      <c r="J18828" s="41"/>
    </row>
    <row r="18829" spans="5:10" s="34" customFormat="1" x14ac:dyDescent="0.35">
      <c r="E18829" s="35"/>
      <c r="J18829" s="41"/>
    </row>
    <row r="18830" spans="5:10" s="34" customFormat="1" x14ac:dyDescent="0.35">
      <c r="E18830" s="35"/>
      <c r="J18830" s="41"/>
    </row>
    <row r="18831" spans="5:10" s="34" customFormat="1" x14ac:dyDescent="0.35">
      <c r="E18831" s="35"/>
      <c r="J18831" s="41"/>
    </row>
    <row r="18832" spans="5:10" s="34" customFormat="1" x14ac:dyDescent="0.35">
      <c r="E18832" s="35"/>
      <c r="J18832" s="41"/>
    </row>
    <row r="18833" spans="5:10" s="34" customFormat="1" x14ac:dyDescent="0.35">
      <c r="E18833" s="35"/>
      <c r="J18833" s="41"/>
    </row>
    <row r="18834" spans="5:10" s="34" customFormat="1" x14ac:dyDescent="0.35">
      <c r="E18834" s="35"/>
      <c r="J18834" s="41"/>
    </row>
    <row r="18835" spans="5:10" s="34" customFormat="1" x14ac:dyDescent="0.35">
      <c r="E18835" s="35"/>
      <c r="J18835" s="41"/>
    </row>
    <row r="18836" spans="5:10" s="34" customFormat="1" x14ac:dyDescent="0.35">
      <c r="E18836" s="35"/>
      <c r="J18836" s="41"/>
    </row>
    <row r="18837" spans="5:10" s="34" customFormat="1" x14ac:dyDescent="0.35">
      <c r="E18837" s="35"/>
      <c r="J18837" s="41"/>
    </row>
    <row r="18838" spans="5:10" s="34" customFormat="1" x14ac:dyDescent="0.35">
      <c r="E18838" s="35"/>
      <c r="J18838" s="41"/>
    </row>
    <row r="18839" spans="5:10" s="34" customFormat="1" x14ac:dyDescent="0.35">
      <c r="E18839" s="35"/>
      <c r="J18839" s="41"/>
    </row>
    <row r="18840" spans="5:10" s="34" customFormat="1" x14ac:dyDescent="0.35">
      <c r="E18840" s="35"/>
      <c r="J18840" s="41"/>
    </row>
    <row r="18841" spans="5:10" s="34" customFormat="1" x14ac:dyDescent="0.35">
      <c r="E18841" s="35"/>
      <c r="J18841" s="41"/>
    </row>
    <row r="18842" spans="5:10" s="34" customFormat="1" x14ac:dyDescent="0.35">
      <c r="E18842" s="35"/>
      <c r="J18842" s="41"/>
    </row>
    <row r="18843" spans="5:10" s="34" customFormat="1" x14ac:dyDescent="0.35">
      <c r="E18843" s="35"/>
      <c r="J18843" s="41"/>
    </row>
    <row r="18844" spans="5:10" s="34" customFormat="1" x14ac:dyDescent="0.35">
      <c r="E18844" s="35"/>
      <c r="J18844" s="41"/>
    </row>
    <row r="18845" spans="5:10" s="34" customFormat="1" x14ac:dyDescent="0.35">
      <c r="E18845" s="35"/>
      <c r="J18845" s="41"/>
    </row>
    <row r="18846" spans="5:10" s="34" customFormat="1" x14ac:dyDescent="0.35">
      <c r="E18846" s="35"/>
      <c r="J18846" s="41"/>
    </row>
    <row r="18847" spans="5:10" s="34" customFormat="1" x14ac:dyDescent="0.35">
      <c r="E18847" s="35"/>
      <c r="J18847" s="41"/>
    </row>
    <row r="18848" spans="5:10" s="34" customFormat="1" x14ac:dyDescent="0.35">
      <c r="E18848" s="35"/>
      <c r="J18848" s="41"/>
    </row>
    <row r="18849" spans="5:10" s="34" customFormat="1" x14ac:dyDescent="0.35">
      <c r="E18849" s="35"/>
      <c r="J18849" s="41"/>
    </row>
    <row r="18850" spans="5:10" s="34" customFormat="1" x14ac:dyDescent="0.35">
      <c r="E18850" s="35"/>
      <c r="J18850" s="41"/>
    </row>
    <row r="18851" spans="5:10" s="34" customFormat="1" x14ac:dyDescent="0.35">
      <c r="E18851" s="35"/>
      <c r="J18851" s="41"/>
    </row>
    <row r="18852" spans="5:10" s="34" customFormat="1" x14ac:dyDescent="0.35">
      <c r="E18852" s="35"/>
      <c r="J18852" s="41"/>
    </row>
    <row r="18853" spans="5:10" s="34" customFormat="1" x14ac:dyDescent="0.35">
      <c r="E18853" s="35"/>
      <c r="J18853" s="41"/>
    </row>
    <row r="18854" spans="5:10" s="34" customFormat="1" x14ac:dyDescent="0.35">
      <c r="E18854" s="35"/>
      <c r="J18854" s="41"/>
    </row>
    <row r="18855" spans="5:10" s="34" customFormat="1" x14ac:dyDescent="0.35">
      <c r="E18855" s="35"/>
      <c r="J18855" s="41"/>
    </row>
    <row r="18856" spans="5:10" s="34" customFormat="1" x14ac:dyDescent="0.35">
      <c r="E18856" s="35"/>
      <c r="J18856" s="41"/>
    </row>
    <row r="18857" spans="5:10" s="34" customFormat="1" x14ac:dyDescent="0.35">
      <c r="E18857" s="35"/>
      <c r="J18857" s="41"/>
    </row>
    <row r="18858" spans="5:10" s="34" customFormat="1" x14ac:dyDescent="0.35">
      <c r="E18858" s="35"/>
      <c r="J18858" s="41"/>
    </row>
    <row r="18859" spans="5:10" s="34" customFormat="1" x14ac:dyDescent="0.35">
      <c r="E18859" s="35"/>
      <c r="J18859" s="41"/>
    </row>
    <row r="18860" spans="5:10" s="34" customFormat="1" x14ac:dyDescent="0.35">
      <c r="E18860" s="35"/>
      <c r="J18860" s="41"/>
    </row>
    <row r="18861" spans="5:10" s="34" customFormat="1" x14ac:dyDescent="0.35">
      <c r="E18861" s="35"/>
      <c r="J18861" s="41"/>
    </row>
    <row r="18862" spans="5:10" s="34" customFormat="1" x14ac:dyDescent="0.35">
      <c r="E18862" s="35"/>
      <c r="J18862" s="41"/>
    </row>
    <row r="18863" spans="5:10" s="34" customFormat="1" x14ac:dyDescent="0.35">
      <c r="E18863" s="35"/>
      <c r="J18863" s="41"/>
    </row>
    <row r="18864" spans="5:10" s="34" customFormat="1" x14ac:dyDescent="0.35">
      <c r="E18864" s="35"/>
      <c r="J18864" s="41"/>
    </row>
    <row r="18865" spans="5:10" s="34" customFormat="1" x14ac:dyDescent="0.35">
      <c r="E18865" s="35"/>
      <c r="J18865" s="41"/>
    </row>
    <row r="18866" spans="5:10" s="34" customFormat="1" x14ac:dyDescent="0.35">
      <c r="E18866" s="35"/>
      <c r="J18866" s="41"/>
    </row>
    <row r="18867" spans="5:10" s="34" customFormat="1" x14ac:dyDescent="0.35">
      <c r="E18867" s="35"/>
      <c r="J18867" s="41"/>
    </row>
    <row r="18868" spans="5:10" s="34" customFormat="1" x14ac:dyDescent="0.35">
      <c r="E18868" s="35"/>
      <c r="J18868" s="41"/>
    </row>
    <row r="18869" spans="5:10" s="34" customFormat="1" x14ac:dyDescent="0.35">
      <c r="E18869" s="35"/>
      <c r="J18869" s="41"/>
    </row>
    <row r="18870" spans="5:10" s="34" customFormat="1" x14ac:dyDescent="0.35">
      <c r="E18870" s="35"/>
      <c r="J18870" s="41"/>
    </row>
    <row r="18871" spans="5:10" s="34" customFormat="1" x14ac:dyDescent="0.35">
      <c r="E18871" s="35"/>
      <c r="J18871" s="41"/>
    </row>
    <row r="18872" spans="5:10" s="34" customFormat="1" x14ac:dyDescent="0.35">
      <c r="E18872" s="35"/>
      <c r="J18872" s="41"/>
    </row>
    <row r="18873" spans="5:10" s="34" customFormat="1" x14ac:dyDescent="0.35">
      <c r="E18873" s="35"/>
      <c r="J18873" s="41"/>
    </row>
    <row r="18874" spans="5:10" s="34" customFormat="1" x14ac:dyDescent="0.35">
      <c r="E18874" s="35"/>
      <c r="J18874" s="41"/>
    </row>
    <row r="18875" spans="5:10" s="34" customFormat="1" x14ac:dyDescent="0.35">
      <c r="E18875" s="35"/>
      <c r="J18875" s="41"/>
    </row>
    <row r="18876" spans="5:10" s="34" customFormat="1" x14ac:dyDescent="0.35">
      <c r="E18876" s="35"/>
      <c r="J18876" s="41"/>
    </row>
    <row r="18877" spans="5:10" s="34" customFormat="1" x14ac:dyDescent="0.35">
      <c r="E18877" s="35"/>
      <c r="J18877" s="41"/>
    </row>
    <row r="18878" spans="5:10" s="34" customFormat="1" x14ac:dyDescent="0.35">
      <c r="E18878" s="35"/>
      <c r="J18878" s="41"/>
    </row>
    <row r="18879" spans="5:10" s="34" customFormat="1" x14ac:dyDescent="0.35">
      <c r="E18879" s="35"/>
      <c r="J18879" s="41"/>
    </row>
    <row r="18880" spans="5:10" s="34" customFormat="1" x14ac:dyDescent="0.35">
      <c r="E18880" s="35"/>
      <c r="J18880" s="41"/>
    </row>
    <row r="18881" spans="5:10" s="34" customFormat="1" x14ac:dyDescent="0.35">
      <c r="E18881" s="35"/>
      <c r="J18881" s="41"/>
    </row>
    <row r="18882" spans="5:10" s="34" customFormat="1" x14ac:dyDescent="0.35">
      <c r="E18882" s="35"/>
      <c r="J18882" s="41"/>
    </row>
    <row r="18883" spans="5:10" s="34" customFormat="1" x14ac:dyDescent="0.35">
      <c r="E18883" s="35"/>
      <c r="J18883" s="41"/>
    </row>
    <row r="18884" spans="5:10" s="34" customFormat="1" x14ac:dyDescent="0.35">
      <c r="E18884" s="35"/>
      <c r="J18884" s="41"/>
    </row>
    <row r="18885" spans="5:10" s="34" customFormat="1" x14ac:dyDescent="0.35">
      <c r="E18885" s="35"/>
      <c r="J18885" s="41"/>
    </row>
    <row r="18886" spans="5:10" s="34" customFormat="1" x14ac:dyDescent="0.35">
      <c r="E18886" s="35"/>
      <c r="J18886" s="41"/>
    </row>
    <row r="18887" spans="5:10" s="34" customFormat="1" x14ac:dyDescent="0.35">
      <c r="E18887" s="35"/>
      <c r="J18887" s="41"/>
    </row>
    <row r="18888" spans="5:10" s="34" customFormat="1" x14ac:dyDescent="0.35">
      <c r="E18888" s="35"/>
      <c r="J18888" s="41"/>
    </row>
    <row r="18889" spans="5:10" s="34" customFormat="1" x14ac:dyDescent="0.35">
      <c r="E18889" s="35"/>
      <c r="J18889" s="41"/>
    </row>
    <row r="18890" spans="5:10" s="34" customFormat="1" x14ac:dyDescent="0.35">
      <c r="E18890" s="35"/>
      <c r="J18890" s="41"/>
    </row>
    <row r="18891" spans="5:10" s="34" customFormat="1" x14ac:dyDescent="0.35">
      <c r="E18891" s="35"/>
      <c r="J18891" s="41"/>
    </row>
    <row r="18892" spans="5:10" s="34" customFormat="1" x14ac:dyDescent="0.35">
      <c r="E18892" s="35"/>
      <c r="J18892" s="41"/>
    </row>
    <row r="18893" spans="5:10" s="34" customFormat="1" x14ac:dyDescent="0.35">
      <c r="E18893" s="35"/>
      <c r="J18893" s="41"/>
    </row>
    <row r="18894" spans="5:10" s="34" customFormat="1" x14ac:dyDescent="0.35">
      <c r="E18894" s="35"/>
      <c r="J18894" s="41"/>
    </row>
    <row r="18895" spans="5:10" s="34" customFormat="1" x14ac:dyDescent="0.35">
      <c r="E18895" s="35"/>
      <c r="J18895" s="41"/>
    </row>
    <row r="18896" spans="5:10" s="34" customFormat="1" x14ac:dyDescent="0.35">
      <c r="E18896" s="35"/>
      <c r="J18896" s="41"/>
    </row>
    <row r="18897" spans="5:10" s="34" customFormat="1" x14ac:dyDescent="0.35">
      <c r="E18897" s="35"/>
      <c r="J18897" s="41"/>
    </row>
    <row r="18898" spans="5:10" s="34" customFormat="1" x14ac:dyDescent="0.35">
      <c r="E18898" s="35"/>
      <c r="J18898" s="41"/>
    </row>
    <row r="18899" spans="5:10" s="34" customFormat="1" x14ac:dyDescent="0.35">
      <c r="E18899" s="35"/>
      <c r="J18899" s="41"/>
    </row>
    <row r="18900" spans="5:10" s="34" customFormat="1" x14ac:dyDescent="0.35">
      <c r="E18900" s="35"/>
      <c r="J18900" s="41"/>
    </row>
    <row r="18901" spans="5:10" s="34" customFormat="1" x14ac:dyDescent="0.35">
      <c r="E18901" s="35"/>
      <c r="J18901" s="41"/>
    </row>
    <row r="18902" spans="5:10" s="34" customFormat="1" x14ac:dyDescent="0.35">
      <c r="E18902" s="35"/>
      <c r="J18902" s="41"/>
    </row>
    <row r="18903" spans="5:10" s="34" customFormat="1" x14ac:dyDescent="0.35">
      <c r="E18903" s="35"/>
      <c r="J18903" s="41"/>
    </row>
    <row r="18904" spans="5:10" s="34" customFormat="1" x14ac:dyDescent="0.35">
      <c r="E18904" s="35"/>
      <c r="J18904" s="41"/>
    </row>
    <row r="18905" spans="5:10" s="34" customFormat="1" x14ac:dyDescent="0.35">
      <c r="E18905" s="35"/>
      <c r="J18905" s="41"/>
    </row>
    <row r="18906" spans="5:10" s="34" customFormat="1" x14ac:dyDescent="0.35">
      <c r="E18906" s="35"/>
      <c r="J18906" s="41"/>
    </row>
    <row r="18907" spans="5:10" s="34" customFormat="1" x14ac:dyDescent="0.35">
      <c r="E18907" s="35"/>
      <c r="J18907" s="41"/>
    </row>
    <row r="18908" spans="5:10" s="34" customFormat="1" x14ac:dyDescent="0.35">
      <c r="E18908" s="35"/>
      <c r="J18908" s="41"/>
    </row>
    <row r="18909" spans="5:10" s="34" customFormat="1" x14ac:dyDescent="0.35">
      <c r="E18909" s="35"/>
      <c r="J18909" s="41"/>
    </row>
    <row r="18910" spans="5:10" s="34" customFormat="1" x14ac:dyDescent="0.35">
      <c r="E18910" s="35"/>
      <c r="J18910" s="41"/>
    </row>
    <row r="18911" spans="5:10" s="34" customFormat="1" x14ac:dyDescent="0.35">
      <c r="E18911" s="35"/>
      <c r="J18911" s="41"/>
    </row>
    <row r="18912" spans="5:10" s="34" customFormat="1" x14ac:dyDescent="0.35">
      <c r="E18912" s="35"/>
      <c r="J18912" s="41"/>
    </row>
    <row r="18913" spans="5:10" s="34" customFormat="1" x14ac:dyDescent="0.35">
      <c r="E18913" s="35"/>
      <c r="J18913" s="41"/>
    </row>
    <row r="18914" spans="5:10" s="34" customFormat="1" x14ac:dyDescent="0.35">
      <c r="E18914" s="35"/>
      <c r="J18914" s="41"/>
    </row>
    <row r="18915" spans="5:10" s="34" customFormat="1" x14ac:dyDescent="0.35">
      <c r="E18915" s="35"/>
      <c r="J18915" s="41"/>
    </row>
    <row r="18916" spans="5:10" s="34" customFormat="1" x14ac:dyDescent="0.35">
      <c r="E18916" s="35"/>
      <c r="J18916" s="41"/>
    </row>
    <row r="18917" spans="5:10" s="34" customFormat="1" x14ac:dyDescent="0.35">
      <c r="E18917" s="35"/>
      <c r="J18917" s="41"/>
    </row>
    <row r="18918" spans="5:10" s="34" customFormat="1" x14ac:dyDescent="0.35">
      <c r="E18918" s="35"/>
      <c r="J18918" s="41"/>
    </row>
    <row r="18919" spans="5:10" s="34" customFormat="1" x14ac:dyDescent="0.35">
      <c r="E18919" s="35"/>
      <c r="J18919" s="41"/>
    </row>
    <row r="18920" spans="5:10" s="34" customFormat="1" x14ac:dyDescent="0.35">
      <c r="E18920" s="35"/>
      <c r="J18920" s="41"/>
    </row>
    <row r="18921" spans="5:10" s="34" customFormat="1" x14ac:dyDescent="0.35">
      <c r="E18921" s="35"/>
      <c r="J18921" s="41"/>
    </row>
    <row r="18922" spans="5:10" s="34" customFormat="1" x14ac:dyDescent="0.35">
      <c r="E18922" s="35"/>
      <c r="J18922" s="41"/>
    </row>
    <row r="18923" spans="5:10" s="34" customFormat="1" x14ac:dyDescent="0.35">
      <c r="E18923" s="35"/>
      <c r="J18923" s="41"/>
    </row>
    <row r="18924" spans="5:10" s="34" customFormat="1" x14ac:dyDescent="0.35">
      <c r="E18924" s="35"/>
      <c r="J18924" s="41"/>
    </row>
    <row r="18925" spans="5:10" s="34" customFormat="1" x14ac:dyDescent="0.35">
      <c r="E18925" s="35"/>
      <c r="J18925" s="41"/>
    </row>
    <row r="18926" spans="5:10" s="34" customFormat="1" x14ac:dyDescent="0.35">
      <c r="E18926" s="35"/>
      <c r="J18926" s="41"/>
    </row>
    <row r="18927" spans="5:10" s="34" customFormat="1" x14ac:dyDescent="0.35">
      <c r="E18927" s="35"/>
      <c r="J18927" s="41"/>
    </row>
    <row r="18928" spans="5:10" s="34" customFormat="1" x14ac:dyDescent="0.35">
      <c r="E18928" s="35"/>
      <c r="J18928" s="41"/>
    </row>
    <row r="18929" spans="5:10" s="34" customFormat="1" x14ac:dyDescent="0.35">
      <c r="E18929" s="35"/>
      <c r="J18929" s="41"/>
    </row>
    <row r="18930" spans="5:10" s="34" customFormat="1" x14ac:dyDescent="0.35">
      <c r="E18930" s="35"/>
      <c r="J18930" s="41"/>
    </row>
    <row r="18931" spans="5:10" s="34" customFormat="1" x14ac:dyDescent="0.35">
      <c r="E18931" s="35"/>
      <c r="J18931" s="41"/>
    </row>
    <row r="18932" spans="5:10" s="34" customFormat="1" x14ac:dyDescent="0.35">
      <c r="E18932" s="35"/>
      <c r="J18932" s="41"/>
    </row>
    <row r="18933" spans="5:10" s="34" customFormat="1" x14ac:dyDescent="0.35">
      <c r="E18933" s="35"/>
      <c r="J18933" s="41"/>
    </row>
    <row r="18934" spans="5:10" s="34" customFormat="1" x14ac:dyDescent="0.35">
      <c r="E18934" s="35"/>
      <c r="J18934" s="41"/>
    </row>
    <row r="18935" spans="5:10" s="34" customFormat="1" x14ac:dyDescent="0.35">
      <c r="E18935" s="35"/>
      <c r="J18935" s="41"/>
    </row>
    <row r="18936" spans="5:10" s="34" customFormat="1" x14ac:dyDescent="0.35">
      <c r="E18936" s="35"/>
      <c r="J18936" s="41"/>
    </row>
    <row r="18937" spans="5:10" s="34" customFormat="1" x14ac:dyDescent="0.35">
      <c r="E18937" s="35"/>
      <c r="J18937" s="41"/>
    </row>
    <row r="18938" spans="5:10" s="34" customFormat="1" x14ac:dyDescent="0.35">
      <c r="E18938" s="35"/>
      <c r="J18938" s="41"/>
    </row>
    <row r="18939" spans="5:10" s="34" customFormat="1" x14ac:dyDescent="0.35">
      <c r="E18939" s="35"/>
      <c r="J18939" s="41"/>
    </row>
    <row r="18940" spans="5:10" s="34" customFormat="1" x14ac:dyDescent="0.35">
      <c r="E18940" s="35"/>
      <c r="J18940" s="41"/>
    </row>
    <row r="18941" spans="5:10" s="34" customFormat="1" x14ac:dyDescent="0.35">
      <c r="E18941" s="35"/>
      <c r="J18941" s="41"/>
    </row>
    <row r="18942" spans="5:10" s="34" customFormat="1" x14ac:dyDescent="0.35">
      <c r="E18942" s="35"/>
      <c r="J18942" s="41"/>
    </row>
    <row r="18943" spans="5:10" s="34" customFormat="1" x14ac:dyDescent="0.35">
      <c r="E18943" s="35"/>
      <c r="J18943" s="41"/>
    </row>
    <row r="18944" spans="5:10" s="34" customFormat="1" x14ac:dyDescent="0.35">
      <c r="E18944" s="35"/>
      <c r="J18944" s="41"/>
    </row>
    <row r="18945" spans="5:10" s="34" customFormat="1" x14ac:dyDescent="0.35">
      <c r="E18945" s="35"/>
      <c r="J18945" s="41"/>
    </row>
    <row r="18946" spans="5:10" s="34" customFormat="1" x14ac:dyDescent="0.35">
      <c r="E18946" s="35"/>
      <c r="J18946" s="41"/>
    </row>
    <row r="18947" spans="5:10" s="34" customFormat="1" x14ac:dyDescent="0.35">
      <c r="E18947" s="35"/>
      <c r="J18947" s="41"/>
    </row>
    <row r="18948" spans="5:10" s="34" customFormat="1" x14ac:dyDescent="0.35">
      <c r="E18948" s="35"/>
      <c r="J18948" s="41"/>
    </row>
    <row r="18949" spans="5:10" s="34" customFormat="1" x14ac:dyDescent="0.35">
      <c r="E18949" s="35"/>
      <c r="J18949" s="41"/>
    </row>
    <row r="18950" spans="5:10" s="34" customFormat="1" x14ac:dyDescent="0.35">
      <c r="E18950" s="35"/>
      <c r="J18950" s="41"/>
    </row>
    <row r="18951" spans="5:10" s="34" customFormat="1" x14ac:dyDescent="0.35">
      <c r="E18951" s="35"/>
      <c r="J18951" s="41"/>
    </row>
    <row r="18952" spans="5:10" s="34" customFormat="1" x14ac:dyDescent="0.35">
      <c r="E18952" s="35"/>
      <c r="J18952" s="41"/>
    </row>
    <row r="18953" spans="5:10" s="34" customFormat="1" x14ac:dyDescent="0.35">
      <c r="E18953" s="35"/>
      <c r="J18953" s="41"/>
    </row>
    <row r="18954" spans="5:10" s="34" customFormat="1" x14ac:dyDescent="0.35">
      <c r="E18954" s="35"/>
      <c r="J18954" s="41"/>
    </row>
    <row r="18955" spans="5:10" s="34" customFormat="1" x14ac:dyDescent="0.35">
      <c r="E18955" s="35"/>
      <c r="J18955" s="41"/>
    </row>
    <row r="18956" spans="5:10" s="34" customFormat="1" x14ac:dyDescent="0.35">
      <c r="E18956" s="35"/>
      <c r="J18956" s="41"/>
    </row>
    <row r="18957" spans="5:10" s="34" customFormat="1" x14ac:dyDescent="0.35">
      <c r="E18957" s="35"/>
      <c r="J18957" s="41"/>
    </row>
    <row r="18958" spans="5:10" s="34" customFormat="1" x14ac:dyDescent="0.35">
      <c r="E18958" s="35"/>
      <c r="J18958" s="41"/>
    </row>
    <row r="18959" spans="5:10" s="34" customFormat="1" x14ac:dyDescent="0.35">
      <c r="E18959" s="35"/>
      <c r="J18959" s="41"/>
    </row>
    <row r="18960" spans="5:10" s="34" customFormat="1" x14ac:dyDescent="0.35">
      <c r="E18960" s="35"/>
      <c r="J18960" s="41"/>
    </row>
    <row r="18961" spans="5:10" s="34" customFormat="1" x14ac:dyDescent="0.35">
      <c r="E18961" s="35"/>
      <c r="J18961" s="41"/>
    </row>
    <row r="18962" spans="5:10" s="34" customFormat="1" x14ac:dyDescent="0.35">
      <c r="E18962" s="35"/>
      <c r="J18962" s="41"/>
    </row>
    <row r="18963" spans="5:10" s="34" customFormat="1" x14ac:dyDescent="0.35">
      <c r="E18963" s="35"/>
      <c r="J18963" s="41"/>
    </row>
    <row r="18964" spans="5:10" s="34" customFormat="1" x14ac:dyDescent="0.35">
      <c r="E18964" s="35"/>
      <c r="J18964" s="41"/>
    </row>
    <row r="18965" spans="5:10" s="34" customFormat="1" x14ac:dyDescent="0.35">
      <c r="E18965" s="35"/>
      <c r="J18965" s="41"/>
    </row>
    <row r="18966" spans="5:10" s="34" customFormat="1" x14ac:dyDescent="0.35">
      <c r="E18966" s="35"/>
      <c r="J18966" s="41"/>
    </row>
    <row r="18967" spans="5:10" s="34" customFormat="1" x14ac:dyDescent="0.35">
      <c r="E18967" s="35"/>
      <c r="J18967" s="41"/>
    </row>
    <row r="18968" spans="5:10" s="34" customFormat="1" x14ac:dyDescent="0.35">
      <c r="E18968" s="35"/>
      <c r="J18968" s="41"/>
    </row>
    <row r="18969" spans="5:10" s="34" customFormat="1" x14ac:dyDescent="0.35">
      <c r="E18969" s="35"/>
      <c r="J18969" s="41"/>
    </row>
    <row r="18970" spans="5:10" s="34" customFormat="1" x14ac:dyDescent="0.35">
      <c r="E18970" s="35"/>
      <c r="J18970" s="41"/>
    </row>
    <row r="18971" spans="5:10" s="34" customFormat="1" x14ac:dyDescent="0.35">
      <c r="E18971" s="35"/>
      <c r="J18971" s="41"/>
    </row>
    <row r="18972" spans="5:10" s="34" customFormat="1" x14ac:dyDescent="0.35">
      <c r="E18972" s="35"/>
      <c r="J18972" s="41"/>
    </row>
    <row r="18973" spans="5:10" s="34" customFormat="1" x14ac:dyDescent="0.35">
      <c r="E18973" s="35"/>
      <c r="J18973" s="41"/>
    </row>
    <row r="18974" spans="5:10" s="34" customFormat="1" x14ac:dyDescent="0.35">
      <c r="E18974" s="35"/>
      <c r="J18974" s="41"/>
    </row>
    <row r="18975" spans="5:10" s="34" customFormat="1" x14ac:dyDescent="0.35">
      <c r="E18975" s="35"/>
      <c r="J18975" s="41"/>
    </row>
    <row r="18976" spans="5:10" s="34" customFormat="1" x14ac:dyDescent="0.35">
      <c r="E18976" s="35"/>
      <c r="J18976" s="41"/>
    </row>
    <row r="18977" spans="5:10" s="34" customFormat="1" x14ac:dyDescent="0.35">
      <c r="E18977" s="35"/>
      <c r="J18977" s="41"/>
    </row>
    <row r="18978" spans="5:10" s="34" customFormat="1" x14ac:dyDescent="0.35">
      <c r="E18978" s="35"/>
      <c r="J18978" s="41"/>
    </row>
    <row r="18979" spans="5:10" s="34" customFormat="1" x14ac:dyDescent="0.35">
      <c r="E18979" s="35"/>
      <c r="J18979" s="41"/>
    </row>
    <row r="18980" spans="5:10" s="34" customFormat="1" x14ac:dyDescent="0.35">
      <c r="E18980" s="35"/>
      <c r="J18980" s="41"/>
    </row>
    <row r="18981" spans="5:10" s="34" customFormat="1" x14ac:dyDescent="0.35">
      <c r="E18981" s="35"/>
      <c r="J18981" s="41"/>
    </row>
    <row r="18982" spans="5:10" s="34" customFormat="1" x14ac:dyDescent="0.35">
      <c r="E18982" s="35"/>
      <c r="J18982" s="41"/>
    </row>
    <row r="18983" spans="5:10" s="34" customFormat="1" x14ac:dyDescent="0.35">
      <c r="E18983" s="35"/>
      <c r="J18983" s="41"/>
    </row>
    <row r="18984" spans="5:10" s="34" customFormat="1" x14ac:dyDescent="0.35">
      <c r="E18984" s="35"/>
      <c r="J18984" s="41"/>
    </row>
    <row r="18985" spans="5:10" s="34" customFormat="1" x14ac:dyDescent="0.35">
      <c r="E18985" s="35"/>
      <c r="J18985" s="41"/>
    </row>
    <row r="18986" spans="5:10" s="34" customFormat="1" x14ac:dyDescent="0.35">
      <c r="E18986" s="35"/>
      <c r="J18986" s="41"/>
    </row>
    <row r="18987" spans="5:10" s="34" customFormat="1" x14ac:dyDescent="0.35">
      <c r="E18987" s="35"/>
      <c r="J18987" s="41"/>
    </row>
    <row r="18988" spans="5:10" s="34" customFormat="1" x14ac:dyDescent="0.35">
      <c r="E18988" s="35"/>
      <c r="J18988" s="41"/>
    </row>
    <row r="18989" spans="5:10" s="34" customFormat="1" x14ac:dyDescent="0.35">
      <c r="E18989" s="35"/>
      <c r="J18989" s="41"/>
    </row>
    <row r="18990" spans="5:10" s="34" customFormat="1" x14ac:dyDescent="0.35">
      <c r="E18990" s="35"/>
      <c r="J18990" s="41"/>
    </row>
    <row r="18991" spans="5:10" s="34" customFormat="1" x14ac:dyDescent="0.35">
      <c r="E18991" s="35"/>
      <c r="J18991" s="41"/>
    </row>
    <row r="18992" spans="5:10" s="34" customFormat="1" x14ac:dyDescent="0.35">
      <c r="E18992" s="35"/>
      <c r="J18992" s="41"/>
    </row>
    <row r="18993" spans="5:10" s="34" customFormat="1" x14ac:dyDescent="0.35">
      <c r="E18993" s="35"/>
      <c r="J18993" s="41"/>
    </row>
    <row r="18994" spans="5:10" s="34" customFormat="1" x14ac:dyDescent="0.35">
      <c r="E18994" s="35"/>
      <c r="J18994" s="41"/>
    </row>
    <row r="18995" spans="5:10" s="34" customFormat="1" x14ac:dyDescent="0.35">
      <c r="E18995" s="35"/>
      <c r="J18995" s="41"/>
    </row>
    <row r="18996" spans="5:10" s="34" customFormat="1" x14ac:dyDescent="0.35">
      <c r="E18996" s="35"/>
      <c r="J18996" s="41"/>
    </row>
    <row r="18997" spans="5:10" s="34" customFormat="1" x14ac:dyDescent="0.35">
      <c r="E18997" s="35"/>
      <c r="J18997" s="41"/>
    </row>
    <row r="18998" spans="5:10" s="34" customFormat="1" x14ac:dyDescent="0.35">
      <c r="E18998" s="35"/>
      <c r="J18998" s="41"/>
    </row>
    <row r="18999" spans="5:10" s="34" customFormat="1" x14ac:dyDescent="0.35">
      <c r="E18999" s="35"/>
      <c r="J18999" s="41"/>
    </row>
    <row r="19000" spans="5:10" s="34" customFormat="1" x14ac:dyDescent="0.35">
      <c r="E19000" s="35"/>
      <c r="J19000" s="41"/>
    </row>
    <row r="19001" spans="5:10" s="34" customFormat="1" x14ac:dyDescent="0.35">
      <c r="E19001" s="35"/>
      <c r="J19001" s="41"/>
    </row>
    <row r="19002" spans="5:10" s="34" customFormat="1" x14ac:dyDescent="0.35">
      <c r="E19002" s="35"/>
      <c r="J19002" s="41"/>
    </row>
    <row r="19003" spans="5:10" s="34" customFormat="1" x14ac:dyDescent="0.35">
      <c r="E19003" s="35"/>
      <c r="J19003" s="41"/>
    </row>
    <row r="19004" spans="5:10" s="34" customFormat="1" x14ac:dyDescent="0.35">
      <c r="E19004" s="35"/>
      <c r="J19004" s="41"/>
    </row>
    <row r="19005" spans="5:10" s="34" customFormat="1" x14ac:dyDescent="0.35">
      <c r="E19005" s="35"/>
      <c r="J19005" s="41"/>
    </row>
    <row r="19006" spans="5:10" s="34" customFormat="1" x14ac:dyDescent="0.35">
      <c r="E19006" s="35"/>
      <c r="J19006" s="41"/>
    </row>
    <row r="19007" spans="5:10" s="34" customFormat="1" x14ac:dyDescent="0.35">
      <c r="E19007" s="35"/>
      <c r="J19007" s="41"/>
    </row>
    <row r="19008" spans="5:10" s="34" customFormat="1" x14ac:dyDescent="0.35">
      <c r="E19008" s="35"/>
      <c r="J19008" s="41"/>
    </row>
    <row r="19009" spans="5:10" s="34" customFormat="1" x14ac:dyDescent="0.35">
      <c r="E19009" s="35"/>
      <c r="J19009" s="41"/>
    </row>
    <row r="19010" spans="5:10" s="34" customFormat="1" x14ac:dyDescent="0.35">
      <c r="E19010" s="35"/>
      <c r="J19010" s="41"/>
    </row>
    <row r="19011" spans="5:10" s="34" customFormat="1" x14ac:dyDescent="0.35">
      <c r="E19011" s="35"/>
      <c r="J19011" s="41"/>
    </row>
    <row r="19012" spans="5:10" s="34" customFormat="1" x14ac:dyDescent="0.35">
      <c r="E19012" s="35"/>
      <c r="J19012" s="41"/>
    </row>
    <row r="19013" spans="5:10" s="34" customFormat="1" x14ac:dyDescent="0.35">
      <c r="E19013" s="35"/>
      <c r="J19013" s="41"/>
    </row>
    <row r="19014" spans="5:10" s="34" customFormat="1" x14ac:dyDescent="0.35">
      <c r="E19014" s="35"/>
      <c r="J19014" s="41"/>
    </row>
    <row r="19015" spans="5:10" s="34" customFormat="1" x14ac:dyDescent="0.35">
      <c r="E19015" s="35"/>
      <c r="J19015" s="41"/>
    </row>
    <row r="19016" spans="5:10" s="34" customFormat="1" x14ac:dyDescent="0.35">
      <c r="E19016" s="35"/>
      <c r="J19016" s="41"/>
    </row>
    <row r="19017" spans="5:10" s="34" customFormat="1" x14ac:dyDescent="0.35">
      <c r="E19017" s="35"/>
      <c r="J19017" s="41"/>
    </row>
    <row r="19018" spans="5:10" s="34" customFormat="1" x14ac:dyDescent="0.35">
      <c r="E19018" s="35"/>
      <c r="J19018" s="41"/>
    </row>
    <row r="19019" spans="5:10" s="34" customFormat="1" x14ac:dyDescent="0.35">
      <c r="E19019" s="35"/>
      <c r="J19019" s="41"/>
    </row>
    <row r="19020" spans="5:10" s="34" customFormat="1" x14ac:dyDescent="0.35">
      <c r="E19020" s="35"/>
      <c r="J19020" s="41"/>
    </row>
    <row r="19021" spans="5:10" s="34" customFormat="1" x14ac:dyDescent="0.35">
      <c r="E19021" s="35"/>
      <c r="J19021" s="41"/>
    </row>
    <row r="19022" spans="5:10" s="34" customFormat="1" x14ac:dyDescent="0.35">
      <c r="E19022" s="35"/>
      <c r="J19022" s="41"/>
    </row>
    <row r="19023" spans="5:10" s="34" customFormat="1" x14ac:dyDescent="0.35">
      <c r="E19023" s="35"/>
      <c r="J19023" s="41"/>
    </row>
    <row r="19024" spans="5:10" s="34" customFormat="1" x14ac:dyDescent="0.35">
      <c r="E19024" s="35"/>
      <c r="J19024" s="41"/>
    </row>
    <row r="19025" spans="5:10" s="34" customFormat="1" x14ac:dyDescent="0.35">
      <c r="E19025" s="35"/>
      <c r="J19025" s="41"/>
    </row>
    <row r="19026" spans="5:10" s="34" customFormat="1" x14ac:dyDescent="0.35">
      <c r="E19026" s="35"/>
      <c r="J19026" s="41"/>
    </row>
    <row r="19027" spans="5:10" s="34" customFormat="1" x14ac:dyDescent="0.35">
      <c r="E19027" s="35"/>
      <c r="J19027" s="41"/>
    </row>
    <row r="19028" spans="5:10" s="34" customFormat="1" x14ac:dyDescent="0.35">
      <c r="E19028" s="35"/>
      <c r="J19028" s="41"/>
    </row>
    <row r="19029" spans="5:10" s="34" customFormat="1" x14ac:dyDescent="0.35">
      <c r="E19029" s="35"/>
      <c r="J19029" s="41"/>
    </row>
    <row r="19030" spans="5:10" s="34" customFormat="1" x14ac:dyDescent="0.35">
      <c r="E19030" s="35"/>
      <c r="J19030" s="41"/>
    </row>
    <row r="19031" spans="5:10" s="34" customFormat="1" x14ac:dyDescent="0.35">
      <c r="E19031" s="35"/>
      <c r="J19031" s="41"/>
    </row>
    <row r="19032" spans="5:10" s="34" customFormat="1" x14ac:dyDescent="0.35">
      <c r="E19032" s="35"/>
      <c r="J19032" s="41"/>
    </row>
    <row r="19033" spans="5:10" s="34" customFormat="1" x14ac:dyDescent="0.35">
      <c r="E19033" s="35"/>
      <c r="J19033" s="41"/>
    </row>
    <row r="19034" spans="5:10" s="34" customFormat="1" x14ac:dyDescent="0.35">
      <c r="E19034" s="35"/>
      <c r="J19034" s="41"/>
    </row>
    <row r="19035" spans="5:10" s="34" customFormat="1" x14ac:dyDescent="0.35">
      <c r="E19035" s="35"/>
      <c r="J19035" s="41"/>
    </row>
    <row r="19036" spans="5:10" s="34" customFormat="1" x14ac:dyDescent="0.35">
      <c r="E19036" s="35"/>
      <c r="J19036" s="41"/>
    </row>
    <row r="19037" spans="5:10" s="34" customFormat="1" x14ac:dyDescent="0.35">
      <c r="E19037" s="35"/>
      <c r="J19037" s="41"/>
    </row>
    <row r="19038" spans="5:10" s="34" customFormat="1" x14ac:dyDescent="0.35">
      <c r="E19038" s="35"/>
      <c r="J19038" s="41"/>
    </row>
    <row r="19039" spans="5:10" s="34" customFormat="1" x14ac:dyDescent="0.35">
      <c r="E19039" s="35"/>
      <c r="J19039" s="41"/>
    </row>
    <row r="19040" spans="5:10" s="34" customFormat="1" x14ac:dyDescent="0.35">
      <c r="E19040" s="35"/>
      <c r="J19040" s="41"/>
    </row>
    <row r="19041" spans="5:10" s="34" customFormat="1" x14ac:dyDescent="0.35">
      <c r="E19041" s="35"/>
      <c r="J19041" s="41"/>
    </row>
    <row r="19042" spans="5:10" s="34" customFormat="1" x14ac:dyDescent="0.35">
      <c r="E19042" s="35"/>
      <c r="J19042" s="41"/>
    </row>
    <row r="19043" spans="5:10" s="34" customFormat="1" x14ac:dyDescent="0.35">
      <c r="E19043" s="35"/>
      <c r="J19043" s="41"/>
    </row>
    <row r="19044" spans="5:10" s="34" customFormat="1" x14ac:dyDescent="0.35">
      <c r="E19044" s="35"/>
      <c r="J19044" s="41"/>
    </row>
    <row r="19045" spans="5:10" s="34" customFormat="1" x14ac:dyDescent="0.35">
      <c r="E19045" s="35"/>
      <c r="J19045" s="41"/>
    </row>
    <row r="19046" spans="5:10" s="34" customFormat="1" x14ac:dyDescent="0.35">
      <c r="E19046" s="35"/>
      <c r="J19046" s="41"/>
    </row>
    <row r="19047" spans="5:10" s="34" customFormat="1" x14ac:dyDescent="0.35">
      <c r="E19047" s="35"/>
      <c r="J19047" s="41"/>
    </row>
    <row r="19048" spans="5:10" s="34" customFormat="1" x14ac:dyDescent="0.35">
      <c r="E19048" s="35"/>
      <c r="J19048" s="41"/>
    </row>
    <row r="19049" spans="5:10" s="34" customFormat="1" x14ac:dyDescent="0.35">
      <c r="E19049" s="35"/>
      <c r="J19049" s="41"/>
    </row>
    <row r="19050" spans="5:10" s="34" customFormat="1" x14ac:dyDescent="0.35">
      <c r="E19050" s="35"/>
      <c r="J19050" s="41"/>
    </row>
    <row r="19051" spans="5:10" s="34" customFormat="1" x14ac:dyDescent="0.35">
      <c r="E19051" s="35"/>
      <c r="J19051" s="41"/>
    </row>
    <row r="19052" spans="5:10" s="34" customFormat="1" x14ac:dyDescent="0.35">
      <c r="E19052" s="35"/>
      <c r="J19052" s="41"/>
    </row>
    <row r="19053" spans="5:10" s="34" customFormat="1" x14ac:dyDescent="0.35">
      <c r="E19053" s="35"/>
      <c r="J19053" s="41"/>
    </row>
    <row r="19054" spans="5:10" s="34" customFormat="1" x14ac:dyDescent="0.35">
      <c r="E19054" s="35"/>
      <c r="J19054" s="41"/>
    </row>
    <row r="19055" spans="5:10" s="34" customFormat="1" x14ac:dyDescent="0.35">
      <c r="E19055" s="35"/>
      <c r="J19055" s="41"/>
    </row>
    <row r="19056" spans="5:10" s="34" customFormat="1" x14ac:dyDescent="0.35">
      <c r="E19056" s="35"/>
      <c r="J19056" s="41"/>
    </row>
    <row r="19057" spans="5:10" s="34" customFormat="1" x14ac:dyDescent="0.35">
      <c r="E19057" s="35"/>
      <c r="J19057" s="41"/>
    </row>
    <row r="19058" spans="5:10" s="34" customFormat="1" x14ac:dyDescent="0.35">
      <c r="E19058" s="35"/>
      <c r="J19058" s="41"/>
    </row>
    <row r="19059" spans="5:10" s="34" customFormat="1" x14ac:dyDescent="0.35">
      <c r="E19059" s="35"/>
      <c r="J19059" s="41"/>
    </row>
    <row r="19060" spans="5:10" s="34" customFormat="1" x14ac:dyDescent="0.35">
      <c r="E19060" s="35"/>
      <c r="J19060" s="41"/>
    </row>
    <row r="19061" spans="5:10" s="34" customFormat="1" x14ac:dyDescent="0.35">
      <c r="E19061" s="35"/>
      <c r="J19061" s="41"/>
    </row>
    <row r="19062" spans="5:10" s="34" customFormat="1" x14ac:dyDescent="0.35">
      <c r="E19062" s="35"/>
      <c r="J19062" s="41"/>
    </row>
    <row r="19063" spans="5:10" s="34" customFormat="1" x14ac:dyDescent="0.35">
      <c r="E19063" s="35"/>
      <c r="J19063" s="41"/>
    </row>
    <row r="19064" spans="5:10" s="34" customFormat="1" x14ac:dyDescent="0.35">
      <c r="E19064" s="35"/>
      <c r="J19064" s="41"/>
    </row>
    <row r="19065" spans="5:10" s="34" customFormat="1" x14ac:dyDescent="0.35">
      <c r="E19065" s="35"/>
      <c r="J19065" s="41"/>
    </row>
    <row r="19066" spans="5:10" s="34" customFormat="1" x14ac:dyDescent="0.35">
      <c r="E19066" s="35"/>
      <c r="J19066" s="41"/>
    </row>
    <row r="19067" spans="5:10" s="34" customFormat="1" x14ac:dyDescent="0.35">
      <c r="E19067" s="35"/>
      <c r="J19067" s="41"/>
    </row>
    <row r="19068" spans="5:10" s="34" customFormat="1" x14ac:dyDescent="0.35">
      <c r="E19068" s="35"/>
      <c r="J19068" s="41"/>
    </row>
    <row r="19069" spans="5:10" s="34" customFormat="1" x14ac:dyDescent="0.35">
      <c r="E19069" s="35"/>
      <c r="J19069" s="41"/>
    </row>
    <row r="19070" spans="5:10" s="34" customFormat="1" x14ac:dyDescent="0.35">
      <c r="E19070" s="35"/>
      <c r="J19070" s="41"/>
    </row>
    <row r="19071" spans="5:10" s="34" customFormat="1" x14ac:dyDescent="0.35">
      <c r="E19071" s="35"/>
      <c r="J19071" s="41"/>
    </row>
    <row r="19072" spans="5:10" s="34" customFormat="1" x14ac:dyDescent="0.35">
      <c r="E19072" s="35"/>
      <c r="J19072" s="41"/>
    </row>
    <row r="19073" spans="5:10" s="34" customFormat="1" x14ac:dyDescent="0.35">
      <c r="E19073" s="35"/>
      <c r="J19073" s="41"/>
    </row>
    <row r="19074" spans="5:10" s="34" customFormat="1" x14ac:dyDescent="0.35">
      <c r="E19074" s="35"/>
      <c r="J19074" s="41"/>
    </row>
    <row r="19075" spans="5:10" s="34" customFormat="1" x14ac:dyDescent="0.35">
      <c r="E19075" s="35"/>
      <c r="J19075" s="41"/>
    </row>
    <row r="19076" spans="5:10" s="34" customFormat="1" x14ac:dyDescent="0.35">
      <c r="E19076" s="35"/>
      <c r="J19076" s="41"/>
    </row>
    <row r="19077" spans="5:10" s="34" customFormat="1" x14ac:dyDescent="0.35">
      <c r="E19077" s="35"/>
      <c r="J19077" s="41"/>
    </row>
    <row r="19078" spans="5:10" s="34" customFormat="1" x14ac:dyDescent="0.35">
      <c r="E19078" s="35"/>
      <c r="J19078" s="41"/>
    </row>
    <row r="19079" spans="5:10" s="34" customFormat="1" x14ac:dyDescent="0.35">
      <c r="E19079" s="35"/>
      <c r="J19079" s="41"/>
    </row>
    <row r="19080" spans="5:10" s="34" customFormat="1" x14ac:dyDescent="0.35">
      <c r="E19080" s="35"/>
      <c r="J19080" s="41"/>
    </row>
    <row r="19081" spans="5:10" s="34" customFormat="1" x14ac:dyDescent="0.35">
      <c r="E19081" s="35"/>
      <c r="J19081" s="41"/>
    </row>
    <row r="19082" spans="5:10" s="34" customFormat="1" x14ac:dyDescent="0.35">
      <c r="E19082" s="35"/>
      <c r="J19082" s="41"/>
    </row>
    <row r="19083" spans="5:10" s="34" customFormat="1" x14ac:dyDescent="0.35">
      <c r="E19083" s="35"/>
      <c r="J19083" s="41"/>
    </row>
    <row r="19084" spans="5:10" s="34" customFormat="1" x14ac:dyDescent="0.35">
      <c r="E19084" s="35"/>
      <c r="J19084" s="41"/>
    </row>
    <row r="19085" spans="5:10" s="34" customFormat="1" x14ac:dyDescent="0.35">
      <c r="E19085" s="35"/>
      <c r="J19085" s="41"/>
    </row>
    <row r="19086" spans="5:10" s="34" customFormat="1" x14ac:dyDescent="0.35">
      <c r="E19086" s="35"/>
      <c r="J19086" s="41"/>
    </row>
    <row r="19087" spans="5:10" s="34" customFormat="1" x14ac:dyDescent="0.35">
      <c r="E19087" s="35"/>
      <c r="J19087" s="41"/>
    </row>
    <row r="19088" spans="5:10" s="34" customFormat="1" x14ac:dyDescent="0.35">
      <c r="E19088" s="35"/>
      <c r="J19088" s="41"/>
    </row>
    <row r="19089" spans="5:10" s="34" customFormat="1" x14ac:dyDescent="0.35">
      <c r="E19089" s="35"/>
      <c r="J19089" s="41"/>
    </row>
    <row r="19090" spans="5:10" s="34" customFormat="1" x14ac:dyDescent="0.35">
      <c r="E19090" s="35"/>
      <c r="J19090" s="41"/>
    </row>
    <row r="19091" spans="5:10" s="34" customFormat="1" x14ac:dyDescent="0.35">
      <c r="E19091" s="35"/>
      <c r="J19091" s="41"/>
    </row>
    <row r="19092" spans="5:10" s="34" customFormat="1" x14ac:dyDescent="0.35">
      <c r="E19092" s="35"/>
      <c r="J19092" s="41"/>
    </row>
    <row r="19093" spans="5:10" s="34" customFormat="1" x14ac:dyDescent="0.35">
      <c r="E19093" s="35"/>
      <c r="J19093" s="41"/>
    </row>
    <row r="19094" spans="5:10" s="34" customFormat="1" x14ac:dyDescent="0.35">
      <c r="E19094" s="35"/>
      <c r="J19094" s="41"/>
    </row>
    <row r="19095" spans="5:10" s="34" customFormat="1" x14ac:dyDescent="0.35">
      <c r="E19095" s="35"/>
      <c r="J19095" s="41"/>
    </row>
    <row r="19096" spans="5:10" s="34" customFormat="1" x14ac:dyDescent="0.35">
      <c r="E19096" s="35"/>
      <c r="J19096" s="41"/>
    </row>
    <row r="19097" spans="5:10" s="34" customFormat="1" x14ac:dyDescent="0.35">
      <c r="E19097" s="35"/>
      <c r="J19097" s="41"/>
    </row>
    <row r="19098" spans="5:10" s="34" customFormat="1" x14ac:dyDescent="0.35">
      <c r="E19098" s="35"/>
      <c r="J19098" s="41"/>
    </row>
    <row r="19099" spans="5:10" s="34" customFormat="1" x14ac:dyDescent="0.35">
      <c r="E19099" s="35"/>
      <c r="J19099" s="41"/>
    </row>
    <row r="19100" spans="5:10" s="34" customFormat="1" x14ac:dyDescent="0.35">
      <c r="E19100" s="35"/>
      <c r="J19100" s="41"/>
    </row>
    <row r="19101" spans="5:10" s="34" customFormat="1" x14ac:dyDescent="0.35">
      <c r="E19101" s="35"/>
      <c r="J19101" s="41"/>
    </row>
    <row r="19102" spans="5:10" s="34" customFormat="1" x14ac:dyDescent="0.35">
      <c r="E19102" s="35"/>
      <c r="J19102" s="41"/>
    </row>
    <row r="19103" spans="5:10" s="34" customFormat="1" x14ac:dyDescent="0.35">
      <c r="E19103" s="35"/>
      <c r="J19103" s="41"/>
    </row>
    <row r="19104" spans="5:10" s="34" customFormat="1" x14ac:dyDescent="0.35">
      <c r="E19104" s="35"/>
      <c r="J19104" s="41"/>
    </row>
    <row r="19105" spans="5:10" s="34" customFormat="1" x14ac:dyDescent="0.35">
      <c r="E19105" s="35"/>
      <c r="J19105" s="41"/>
    </row>
    <row r="19106" spans="5:10" s="34" customFormat="1" x14ac:dyDescent="0.35">
      <c r="E19106" s="35"/>
      <c r="J19106" s="41"/>
    </row>
    <row r="19107" spans="5:10" s="34" customFormat="1" x14ac:dyDescent="0.35">
      <c r="E19107" s="35"/>
      <c r="J19107" s="41"/>
    </row>
    <row r="19108" spans="5:10" s="34" customFormat="1" x14ac:dyDescent="0.35">
      <c r="E19108" s="35"/>
      <c r="J19108" s="41"/>
    </row>
    <row r="19109" spans="5:10" s="34" customFormat="1" x14ac:dyDescent="0.35">
      <c r="E19109" s="35"/>
      <c r="J19109" s="41"/>
    </row>
    <row r="19110" spans="5:10" s="34" customFormat="1" x14ac:dyDescent="0.35">
      <c r="E19110" s="35"/>
      <c r="J19110" s="41"/>
    </row>
    <row r="19111" spans="5:10" s="34" customFormat="1" x14ac:dyDescent="0.35">
      <c r="E19111" s="35"/>
      <c r="J19111" s="41"/>
    </row>
    <row r="19112" spans="5:10" s="34" customFormat="1" x14ac:dyDescent="0.35">
      <c r="E19112" s="35"/>
      <c r="J19112" s="41"/>
    </row>
    <row r="19113" spans="5:10" s="34" customFormat="1" x14ac:dyDescent="0.35">
      <c r="E19113" s="35"/>
      <c r="J19113" s="41"/>
    </row>
    <row r="19114" spans="5:10" s="34" customFormat="1" x14ac:dyDescent="0.35">
      <c r="E19114" s="35"/>
      <c r="J19114" s="41"/>
    </row>
    <row r="19115" spans="5:10" s="34" customFormat="1" x14ac:dyDescent="0.35">
      <c r="E19115" s="35"/>
      <c r="J19115" s="41"/>
    </row>
    <row r="19116" spans="5:10" s="34" customFormat="1" x14ac:dyDescent="0.35">
      <c r="E19116" s="35"/>
      <c r="J19116" s="41"/>
    </row>
    <row r="19117" spans="5:10" s="34" customFormat="1" x14ac:dyDescent="0.35">
      <c r="E19117" s="35"/>
      <c r="J19117" s="41"/>
    </row>
    <row r="19118" spans="5:10" s="34" customFormat="1" x14ac:dyDescent="0.35">
      <c r="E19118" s="35"/>
      <c r="J19118" s="41"/>
    </row>
    <row r="19119" spans="5:10" s="34" customFormat="1" x14ac:dyDescent="0.35">
      <c r="E19119" s="35"/>
      <c r="J19119" s="41"/>
    </row>
    <row r="19120" spans="5:10" s="34" customFormat="1" x14ac:dyDescent="0.35">
      <c r="E19120" s="35"/>
      <c r="J19120" s="41"/>
    </row>
    <row r="19121" spans="5:10" s="34" customFormat="1" x14ac:dyDescent="0.35">
      <c r="E19121" s="35"/>
      <c r="J19121" s="41"/>
    </row>
    <row r="19122" spans="5:10" s="34" customFormat="1" x14ac:dyDescent="0.35">
      <c r="E19122" s="35"/>
      <c r="J19122" s="41"/>
    </row>
    <row r="19123" spans="5:10" s="34" customFormat="1" x14ac:dyDescent="0.35">
      <c r="E19123" s="35"/>
      <c r="J19123" s="41"/>
    </row>
    <row r="19124" spans="5:10" s="34" customFormat="1" x14ac:dyDescent="0.35">
      <c r="E19124" s="35"/>
      <c r="J19124" s="41"/>
    </row>
    <row r="19125" spans="5:10" s="34" customFormat="1" x14ac:dyDescent="0.35">
      <c r="E19125" s="35"/>
      <c r="J19125" s="41"/>
    </row>
    <row r="19126" spans="5:10" s="34" customFormat="1" x14ac:dyDescent="0.35">
      <c r="E19126" s="35"/>
      <c r="J19126" s="41"/>
    </row>
    <row r="19127" spans="5:10" s="34" customFormat="1" x14ac:dyDescent="0.35">
      <c r="E19127" s="35"/>
      <c r="J19127" s="41"/>
    </row>
    <row r="19128" spans="5:10" s="34" customFormat="1" x14ac:dyDescent="0.35">
      <c r="E19128" s="35"/>
      <c r="J19128" s="41"/>
    </row>
    <row r="19129" spans="5:10" s="34" customFormat="1" x14ac:dyDescent="0.35">
      <c r="E19129" s="35"/>
      <c r="J19129" s="41"/>
    </row>
    <row r="19130" spans="5:10" s="34" customFormat="1" x14ac:dyDescent="0.35">
      <c r="E19130" s="35"/>
      <c r="J19130" s="41"/>
    </row>
    <row r="19131" spans="5:10" s="34" customFormat="1" x14ac:dyDescent="0.35">
      <c r="E19131" s="35"/>
      <c r="J19131" s="41"/>
    </row>
    <row r="19132" spans="5:10" s="34" customFormat="1" x14ac:dyDescent="0.35">
      <c r="E19132" s="35"/>
      <c r="J19132" s="41"/>
    </row>
    <row r="19133" spans="5:10" s="34" customFormat="1" x14ac:dyDescent="0.35">
      <c r="E19133" s="35"/>
      <c r="J19133" s="41"/>
    </row>
    <row r="19134" spans="5:10" s="34" customFormat="1" x14ac:dyDescent="0.35">
      <c r="E19134" s="35"/>
      <c r="J19134" s="41"/>
    </row>
    <row r="19135" spans="5:10" s="34" customFormat="1" x14ac:dyDescent="0.35">
      <c r="E19135" s="35"/>
      <c r="J19135" s="41"/>
    </row>
    <row r="19136" spans="5:10" s="34" customFormat="1" x14ac:dyDescent="0.35">
      <c r="E19136" s="35"/>
      <c r="J19136" s="41"/>
    </row>
    <row r="19137" spans="5:10" s="34" customFormat="1" x14ac:dyDescent="0.35">
      <c r="E19137" s="35"/>
      <c r="J19137" s="41"/>
    </row>
    <row r="19138" spans="5:10" s="34" customFormat="1" x14ac:dyDescent="0.35">
      <c r="E19138" s="35"/>
      <c r="J19138" s="41"/>
    </row>
    <row r="19139" spans="5:10" s="34" customFormat="1" x14ac:dyDescent="0.35">
      <c r="E19139" s="35"/>
      <c r="J19139" s="41"/>
    </row>
    <row r="19140" spans="5:10" s="34" customFormat="1" x14ac:dyDescent="0.35">
      <c r="E19140" s="35"/>
      <c r="J19140" s="41"/>
    </row>
    <row r="19141" spans="5:10" s="34" customFormat="1" x14ac:dyDescent="0.35">
      <c r="E19141" s="35"/>
      <c r="J19141" s="41"/>
    </row>
    <row r="19142" spans="5:10" s="34" customFormat="1" x14ac:dyDescent="0.35">
      <c r="E19142" s="35"/>
      <c r="J19142" s="41"/>
    </row>
    <row r="19143" spans="5:10" s="34" customFormat="1" x14ac:dyDescent="0.35">
      <c r="E19143" s="35"/>
      <c r="J19143" s="41"/>
    </row>
    <row r="19144" spans="5:10" s="34" customFormat="1" x14ac:dyDescent="0.35">
      <c r="E19144" s="35"/>
      <c r="J19144" s="41"/>
    </row>
    <row r="19145" spans="5:10" s="34" customFormat="1" x14ac:dyDescent="0.35">
      <c r="E19145" s="35"/>
      <c r="J19145" s="41"/>
    </row>
    <row r="19146" spans="5:10" s="34" customFormat="1" x14ac:dyDescent="0.35">
      <c r="E19146" s="35"/>
      <c r="J19146" s="41"/>
    </row>
    <row r="19147" spans="5:10" s="34" customFormat="1" x14ac:dyDescent="0.35">
      <c r="E19147" s="35"/>
      <c r="J19147" s="41"/>
    </row>
    <row r="19148" spans="5:10" s="34" customFormat="1" x14ac:dyDescent="0.35">
      <c r="E19148" s="35"/>
      <c r="J19148" s="41"/>
    </row>
    <row r="19149" spans="5:10" s="34" customFormat="1" x14ac:dyDescent="0.35">
      <c r="E19149" s="35"/>
      <c r="J19149" s="41"/>
    </row>
    <row r="19150" spans="5:10" s="34" customFormat="1" x14ac:dyDescent="0.35">
      <c r="E19150" s="35"/>
      <c r="J19150" s="41"/>
    </row>
    <row r="19151" spans="5:10" s="34" customFormat="1" x14ac:dyDescent="0.35">
      <c r="E19151" s="35"/>
      <c r="J19151" s="41"/>
    </row>
    <row r="19152" spans="5:10" s="34" customFormat="1" x14ac:dyDescent="0.35">
      <c r="E19152" s="35"/>
      <c r="J19152" s="41"/>
    </row>
    <row r="19153" spans="5:10" s="34" customFormat="1" x14ac:dyDescent="0.35">
      <c r="E19153" s="35"/>
      <c r="J19153" s="41"/>
    </row>
    <row r="19154" spans="5:10" s="34" customFormat="1" x14ac:dyDescent="0.35">
      <c r="E19154" s="35"/>
      <c r="J19154" s="41"/>
    </row>
    <row r="19155" spans="5:10" s="34" customFormat="1" x14ac:dyDescent="0.35">
      <c r="E19155" s="35"/>
      <c r="J19155" s="41"/>
    </row>
    <row r="19156" spans="5:10" s="34" customFormat="1" x14ac:dyDescent="0.35">
      <c r="E19156" s="35"/>
      <c r="J19156" s="41"/>
    </row>
    <row r="19157" spans="5:10" s="34" customFormat="1" x14ac:dyDescent="0.35">
      <c r="E19157" s="35"/>
      <c r="J19157" s="41"/>
    </row>
    <row r="19158" spans="5:10" s="34" customFormat="1" x14ac:dyDescent="0.35">
      <c r="E19158" s="35"/>
      <c r="J19158" s="41"/>
    </row>
    <row r="19159" spans="5:10" s="34" customFormat="1" x14ac:dyDescent="0.35">
      <c r="E19159" s="35"/>
      <c r="J19159" s="41"/>
    </row>
    <row r="19160" spans="5:10" s="34" customFormat="1" x14ac:dyDescent="0.35">
      <c r="E19160" s="35"/>
      <c r="J19160" s="41"/>
    </row>
    <row r="19161" spans="5:10" s="34" customFormat="1" x14ac:dyDescent="0.35">
      <c r="E19161" s="35"/>
      <c r="J19161" s="41"/>
    </row>
    <row r="19162" spans="5:10" s="34" customFormat="1" x14ac:dyDescent="0.35">
      <c r="E19162" s="35"/>
      <c r="J19162" s="41"/>
    </row>
    <row r="19163" spans="5:10" s="34" customFormat="1" x14ac:dyDescent="0.35">
      <c r="E19163" s="35"/>
      <c r="J19163" s="41"/>
    </row>
    <row r="19164" spans="5:10" s="34" customFormat="1" x14ac:dyDescent="0.35">
      <c r="E19164" s="35"/>
      <c r="J19164" s="41"/>
    </row>
    <row r="19165" spans="5:10" s="34" customFormat="1" x14ac:dyDescent="0.35">
      <c r="E19165" s="35"/>
      <c r="J19165" s="41"/>
    </row>
    <row r="19166" spans="5:10" s="34" customFormat="1" x14ac:dyDescent="0.35">
      <c r="E19166" s="35"/>
      <c r="J19166" s="41"/>
    </row>
    <row r="19167" spans="5:10" s="34" customFormat="1" x14ac:dyDescent="0.35">
      <c r="E19167" s="35"/>
      <c r="J19167" s="41"/>
    </row>
    <row r="19168" spans="5:10" s="34" customFormat="1" x14ac:dyDescent="0.35">
      <c r="E19168" s="35"/>
      <c r="J19168" s="41"/>
    </row>
    <row r="19169" spans="5:10" s="34" customFormat="1" x14ac:dyDescent="0.35">
      <c r="E19169" s="35"/>
      <c r="J19169" s="41"/>
    </row>
    <row r="19170" spans="5:10" s="34" customFormat="1" x14ac:dyDescent="0.35">
      <c r="E19170" s="35"/>
      <c r="J19170" s="41"/>
    </row>
    <row r="19171" spans="5:10" s="34" customFormat="1" x14ac:dyDescent="0.35">
      <c r="E19171" s="35"/>
      <c r="J19171" s="41"/>
    </row>
    <row r="19172" spans="5:10" s="34" customFormat="1" x14ac:dyDescent="0.35">
      <c r="E19172" s="35"/>
      <c r="J19172" s="41"/>
    </row>
    <row r="19173" spans="5:10" s="34" customFormat="1" x14ac:dyDescent="0.35">
      <c r="E19173" s="35"/>
      <c r="J19173" s="41"/>
    </row>
    <row r="19174" spans="5:10" s="34" customFormat="1" x14ac:dyDescent="0.35">
      <c r="E19174" s="35"/>
      <c r="J19174" s="41"/>
    </row>
    <row r="19175" spans="5:10" s="34" customFormat="1" x14ac:dyDescent="0.35">
      <c r="E19175" s="35"/>
      <c r="J19175" s="41"/>
    </row>
    <row r="19176" spans="5:10" s="34" customFormat="1" x14ac:dyDescent="0.35">
      <c r="E19176" s="35"/>
      <c r="J19176" s="41"/>
    </row>
    <row r="19177" spans="5:10" s="34" customFormat="1" x14ac:dyDescent="0.35">
      <c r="E19177" s="35"/>
      <c r="J19177" s="41"/>
    </row>
    <row r="19178" spans="5:10" s="34" customFormat="1" x14ac:dyDescent="0.35">
      <c r="E19178" s="35"/>
      <c r="J19178" s="41"/>
    </row>
    <row r="19179" spans="5:10" s="34" customFormat="1" x14ac:dyDescent="0.35">
      <c r="E19179" s="35"/>
      <c r="J19179" s="41"/>
    </row>
    <row r="19180" spans="5:10" s="34" customFormat="1" x14ac:dyDescent="0.35">
      <c r="E19180" s="35"/>
      <c r="J19180" s="41"/>
    </row>
    <row r="19181" spans="5:10" s="34" customFormat="1" x14ac:dyDescent="0.35">
      <c r="E19181" s="35"/>
      <c r="J19181" s="41"/>
    </row>
    <row r="19182" spans="5:10" s="34" customFormat="1" x14ac:dyDescent="0.35">
      <c r="E19182" s="35"/>
      <c r="J19182" s="41"/>
    </row>
    <row r="19183" spans="5:10" s="34" customFormat="1" x14ac:dyDescent="0.35">
      <c r="E19183" s="35"/>
      <c r="J19183" s="41"/>
    </row>
    <row r="19184" spans="5:10" s="34" customFormat="1" x14ac:dyDescent="0.35">
      <c r="E19184" s="35"/>
      <c r="J19184" s="41"/>
    </row>
    <row r="19185" spans="5:10" s="34" customFormat="1" x14ac:dyDescent="0.35">
      <c r="E19185" s="35"/>
      <c r="J19185" s="41"/>
    </row>
    <row r="19186" spans="5:10" s="34" customFormat="1" x14ac:dyDescent="0.35">
      <c r="E19186" s="35"/>
      <c r="J19186" s="41"/>
    </row>
    <row r="19187" spans="5:10" s="34" customFormat="1" x14ac:dyDescent="0.35">
      <c r="E19187" s="35"/>
      <c r="J19187" s="41"/>
    </row>
    <row r="19188" spans="5:10" s="34" customFormat="1" x14ac:dyDescent="0.35">
      <c r="E19188" s="35"/>
      <c r="J19188" s="41"/>
    </row>
    <row r="19189" spans="5:10" s="34" customFormat="1" x14ac:dyDescent="0.35">
      <c r="E19189" s="35"/>
      <c r="J19189" s="41"/>
    </row>
    <row r="19190" spans="5:10" s="34" customFormat="1" x14ac:dyDescent="0.35">
      <c r="E19190" s="35"/>
      <c r="J19190" s="41"/>
    </row>
    <row r="19191" spans="5:10" s="34" customFormat="1" x14ac:dyDescent="0.35">
      <c r="E19191" s="35"/>
      <c r="J19191" s="41"/>
    </row>
    <row r="19192" spans="5:10" s="34" customFormat="1" x14ac:dyDescent="0.35">
      <c r="E19192" s="35"/>
      <c r="J19192" s="41"/>
    </row>
    <row r="19193" spans="5:10" s="34" customFormat="1" x14ac:dyDescent="0.35">
      <c r="E19193" s="35"/>
      <c r="J19193" s="41"/>
    </row>
    <row r="19194" spans="5:10" s="34" customFormat="1" x14ac:dyDescent="0.35">
      <c r="E19194" s="35"/>
      <c r="J19194" s="41"/>
    </row>
    <row r="19195" spans="5:10" s="34" customFormat="1" x14ac:dyDescent="0.35">
      <c r="E19195" s="35"/>
      <c r="J19195" s="41"/>
    </row>
    <row r="19196" spans="5:10" s="34" customFormat="1" x14ac:dyDescent="0.35">
      <c r="E19196" s="35"/>
      <c r="J19196" s="41"/>
    </row>
    <row r="19197" spans="5:10" s="34" customFormat="1" x14ac:dyDescent="0.35">
      <c r="E19197" s="35"/>
      <c r="J19197" s="41"/>
    </row>
    <row r="19198" spans="5:10" s="34" customFormat="1" x14ac:dyDescent="0.35">
      <c r="E19198" s="35"/>
      <c r="J19198" s="41"/>
    </row>
    <row r="19199" spans="5:10" s="34" customFormat="1" x14ac:dyDescent="0.35">
      <c r="E19199" s="35"/>
      <c r="J19199" s="41"/>
    </row>
    <row r="19200" spans="5:10" s="34" customFormat="1" x14ac:dyDescent="0.35">
      <c r="E19200" s="35"/>
      <c r="J19200" s="41"/>
    </row>
    <row r="19201" spans="5:10" s="34" customFormat="1" x14ac:dyDescent="0.35">
      <c r="E19201" s="35"/>
      <c r="J19201" s="41"/>
    </row>
    <row r="19202" spans="5:10" s="34" customFormat="1" x14ac:dyDescent="0.35">
      <c r="E19202" s="35"/>
      <c r="J19202" s="41"/>
    </row>
    <row r="19203" spans="5:10" s="34" customFormat="1" x14ac:dyDescent="0.35">
      <c r="E19203" s="35"/>
      <c r="J19203" s="41"/>
    </row>
    <row r="19204" spans="5:10" s="34" customFormat="1" x14ac:dyDescent="0.35">
      <c r="E19204" s="35"/>
      <c r="J19204" s="41"/>
    </row>
    <row r="19205" spans="5:10" s="34" customFormat="1" x14ac:dyDescent="0.35">
      <c r="E19205" s="35"/>
      <c r="J19205" s="41"/>
    </row>
    <row r="19206" spans="5:10" s="34" customFormat="1" x14ac:dyDescent="0.35">
      <c r="E19206" s="35"/>
      <c r="J19206" s="41"/>
    </row>
    <row r="19207" spans="5:10" s="34" customFormat="1" x14ac:dyDescent="0.35">
      <c r="E19207" s="35"/>
      <c r="J19207" s="41"/>
    </row>
    <row r="19208" spans="5:10" s="34" customFormat="1" x14ac:dyDescent="0.35">
      <c r="E19208" s="35"/>
      <c r="J19208" s="41"/>
    </row>
    <row r="19209" spans="5:10" s="34" customFormat="1" x14ac:dyDescent="0.35">
      <c r="E19209" s="35"/>
      <c r="J19209" s="41"/>
    </row>
    <row r="19210" spans="5:10" s="34" customFormat="1" x14ac:dyDescent="0.35">
      <c r="E19210" s="35"/>
      <c r="J19210" s="41"/>
    </row>
    <row r="19211" spans="5:10" s="34" customFormat="1" x14ac:dyDescent="0.35">
      <c r="E19211" s="35"/>
      <c r="J19211" s="41"/>
    </row>
    <row r="19212" spans="5:10" s="34" customFormat="1" x14ac:dyDescent="0.35">
      <c r="E19212" s="35"/>
      <c r="J19212" s="41"/>
    </row>
    <row r="19213" spans="5:10" s="34" customFormat="1" x14ac:dyDescent="0.35">
      <c r="E19213" s="35"/>
      <c r="J19213" s="41"/>
    </row>
    <row r="19214" spans="5:10" s="34" customFormat="1" x14ac:dyDescent="0.35">
      <c r="E19214" s="35"/>
      <c r="J19214" s="41"/>
    </row>
    <row r="19215" spans="5:10" s="34" customFormat="1" x14ac:dyDescent="0.35">
      <c r="E19215" s="35"/>
      <c r="J19215" s="41"/>
    </row>
    <row r="19216" spans="5:10" s="34" customFormat="1" x14ac:dyDescent="0.35">
      <c r="E19216" s="35"/>
      <c r="J19216" s="41"/>
    </row>
    <row r="19217" spans="5:10" s="34" customFormat="1" x14ac:dyDescent="0.35">
      <c r="E19217" s="35"/>
      <c r="J19217" s="41"/>
    </row>
    <row r="19218" spans="5:10" s="34" customFormat="1" x14ac:dyDescent="0.35">
      <c r="E19218" s="35"/>
      <c r="J19218" s="41"/>
    </row>
    <row r="19219" spans="5:10" s="34" customFormat="1" x14ac:dyDescent="0.35">
      <c r="E19219" s="35"/>
      <c r="J19219" s="41"/>
    </row>
    <row r="19220" spans="5:10" s="34" customFormat="1" x14ac:dyDescent="0.35">
      <c r="E19220" s="35"/>
      <c r="J19220" s="41"/>
    </row>
    <row r="19221" spans="5:10" s="34" customFormat="1" x14ac:dyDescent="0.35">
      <c r="E19221" s="35"/>
      <c r="J19221" s="41"/>
    </row>
    <row r="19222" spans="5:10" s="34" customFormat="1" x14ac:dyDescent="0.35">
      <c r="E19222" s="35"/>
      <c r="J19222" s="41"/>
    </row>
    <row r="19223" spans="5:10" s="34" customFormat="1" x14ac:dyDescent="0.35">
      <c r="E19223" s="35"/>
      <c r="J19223" s="41"/>
    </row>
    <row r="19224" spans="5:10" s="34" customFormat="1" x14ac:dyDescent="0.35">
      <c r="E19224" s="35"/>
      <c r="J19224" s="41"/>
    </row>
    <row r="19225" spans="5:10" s="34" customFormat="1" x14ac:dyDescent="0.35">
      <c r="E19225" s="35"/>
      <c r="J19225" s="41"/>
    </row>
    <row r="19226" spans="5:10" s="34" customFormat="1" x14ac:dyDescent="0.35">
      <c r="E19226" s="35"/>
      <c r="J19226" s="41"/>
    </row>
    <row r="19227" spans="5:10" s="34" customFormat="1" x14ac:dyDescent="0.35">
      <c r="E19227" s="35"/>
      <c r="J19227" s="41"/>
    </row>
    <row r="19228" spans="5:10" s="34" customFormat="1" x14ac:dyDescent="0.35">
      <c r="E19228" s="35"/>
      <c r="J19228" s="41"/>
    </row>
    <row r="19229" spans="5:10" s="34" customFormat="1" x14ac:dyDescent="0.35">
      <c r="E19229" s="35"/>
      <c r="J19229" s="41"/>
    </row>
    <row r="19230" spans="5:10" s="34" customFormat="1" x14ac:dyDescent="0.35">
      <c r="E19230" s="35"/>
      <c r="J19230" s="41"/>
    </row>
    <row r="19231" spans="5:10" s="34" customFormat="1" x14ac:dyDescent="0.35">
      <c r="E19231" s="35"/>
      <c r="J19231" s="41"/>
    </row>
    <row r="19232" spans="5:10" s="34" customFormat="1" x14ac:dyDescent="0.35">
      <c r="E19232" s="35"/>
      <c r="J19232" s="41"/>
    </row>
    <row r="19233" spans="5:10" s="34" customFormat="1" x14ac:dyDescent="0.35">
      <c r="E19233" s="35"/>
      <c r="J19233" s="41"/>
    </row>
    <row r="19234" spans="5:10" s="34" customFormat="1" x14ac:dyDescent="0.35">
      <c r="E19234" s="35"/>
      <c r="J19234" s="41"/>
    </row>
    <row r="19235" spans="5:10" s="34" customFormat="1" x14ac:dyDescent="0.35">
      <c r="E19235" s="35"/>
      <c r="J19235" s="41"/>
    </row>
    <row r="19236" spans="5:10" s="34" customFormat="1" x14ac:dyDescent="0.35">
      <c r="E19236" s="35"/>
      <c r="J19236" s="41"/>
    </row>
    <row r="19237" spans="5:10" s="34" customFormat="1" x14ac:dyDescent="0.35">
      <c r="E19237" s="35"/>
      <c r="J19237" s="41"/>
    </row>
    <row r="19238" spans="5:10" s="34" customFormat="1" x14ac:dyDescent="0.35">
      <c r="E19238" s="35"/>
      <c r="J19238" s="41"/>
    </row>
    <row r="19239" spans="5:10" s="34" customFormat="1" x14ac:dyDescent="0.35">
      <c r="E19239" s="35"/>
      <c r="J19239" s="41"/>
    </row>
    <row r="19240" spans="5:10" s="34" customFormat="1" x14ac:dyDescent="0.35">
      <c r="E19240" s="35"/>
      <c r="J19240" s="41"/>
    </row>
    <row r="19241" spans="5:10" s="34" customFormat="1" x14ac:dyDescent="0.35">
      <c r="E19241" s="35"/>
      <c r="J19241" s="41"/>
    </row>
    <row r="19242" spans="5:10" s="34" customFormat="1" x14ac:dyDescent="0.35">
      <c r="E19242" s="35"/>
      <c r="J19242" s="41"/>
    </row>
    <row r="19243" spans="5:10" s="34" customFormat="1" x14ac:dyDescent="0.35">
      <c r="E19243" s="35"/>
      <c r="J19243" s="41"/>
    </row>
    <row r="19244" spans="5:10" s="34" customFormat="1" x14ac:dyDescent="0.35">
      <c r="E19244" s="35"/>
      <c r="J19244" s="41"/>
    </row>
    <row r="19245" spans="5:10" s="34" customFormat="1" x14ac:dyDescent="0.35">
      <c r="E19245" s="35"/>
      <c r="J19245" s="41"/>
    </row>
    <row r="19246" spans="5:10" s="34" customFormat="1" x14ac:dyDescent="0.35">
      <c r="E19246" s="35"/>
      <c r="J19246" s="41"/>
    </row>
    <row r="19247" spans="5:10" s="34" customFormat="1" x14ac:dyDescent="0.35">
      <c r="E19247" s="35"/>
      <c r="J19247" s="41"/>
    </row>
    <row r="19248" spans="5:10" s="34" customFormat="1" x14ac:dyDescent="0.35">
      <c r="E19248" s="35"/>
      <c r="J19248" s="41"/>
    </row>
    <row r="19249" spans="5:10" s="34" customFormat="1" x14ac:dyDescent="0.35">
      <c r="E19249" s="35"/>
      <c r="J19249" s="41"/>
    </row>
    <row r="19250" spans="5:10" s="34" customFormat="1" x14ac:dyDescent="0.35">
      <c r="E19250" s="35"/>
      <c r="J19250" s="41"/>
    </row>
    <row r="19251" spans="5:10" s="34" customFormat="1" x14ac:dyDescent="0.35">
      <c r="E19251" s="35"/>
      <c r="J19251" s="41"/>
    </row>
    <row r="19252" spans="5:10" s="34" customFormat="1" x14ac:dyDescent="0.35">
      <c r="E19252" s="35"/>
      <c r="J19252" s="41"/>
    </row>
    <row r="19253" spans="5:10" s="34" customFormat="1" x14ac:dyDescent="0.35">
      <c r="E19253" s="35"/>
      <c r="J19253" s="41"/>
    </row>
    <row r="19254" spans="5:10" s="34" customFormat="1" x14ac:dyDescent="0.35">
      <c r="E19254" s="35"/>
      <c r="J19254" s="41"/>
    </row>
    <row r="19255" spans="5:10" s="34" customFormat="1" x14ac:dyDescent="0.35">
      <c r="E19255" s="35"/>
      <c r="J19255" s="41"/>
    </row>
    <row r="19256" spans="5:10" s="34" customFormat="1" x14ac:dyDescent="0.35">
      <c r="E19256" s="35"/>
      <c r="J19256" s="41"/>
    </row>
    <row r="19257" spans="5:10" s="34" customFormat="1" x14ac:dyDescent="0.35">
      <c r="E19257" s="35"/>
      <c r="J19257" s="41"/>
    </row>
    <row r="19258" spans="5:10" s="34" customFormat="1" x14ac:dyDescent="0.35">
      <c r="E19258" s="35"/>
      <c r="J19258" s="41"/>
    </row>
    <row r="19259" spans="5:10" s="34" customFormat="1" x14ac:dyDescent="0.35">
      <c r="E19259" s="35"/>
      <c r="J19259" s="41"/>
    </row>
    <row r="19260" spans="5:10" s="34" customFormat="1" x14ac:dyDescent="0.35">
      <c r="E19260" s="35"/>
      <c r="J19260" s="41"/>
    </row>
    <row r="19261" spans="5:10" s="34" customFormat="1" x14ac:dyDescent="0.35">
      <c r="E19261" s="35"/>
      <c r="J19261" s="41"/>
    </row>
    <row r="19262" spans="5:10" s="34" customFormat="1" x14ac:dyDescent="0.35">
      <c r="E19262" s="35"/>
      <c r="J19262" s="41"/>
    </row>
    <row r="19263" spans="5:10" s="34" customFormat="1" x14ac:dyDescent="0.35">
      <c r="E19263" s="35"/>
      <c r="J19263" s="41"/>
    </row>
    <row r="19264" spans="5:10" s="34" customFormat="1" x14ac:dyDescent="0.35">
      <c r="E19264" s="35"/>
      <c r="J19264" s="41"/>
    </row>
    <row r="19265" spans="5:10" s="34" customFormat="1" x14ac:dyDescent="0.35">
      <c r="E19265" s="35"/>
      <c r="J19265" s="41"/>
    </row>
    <row r="19266" spans="5:10" s="34" customFormat="1" x14ac:dyDescent="0.35">
      <c r="E19266" s="35"/>
      <c r="J19266" s="41"/>
    </row>
    <row r="19267" spans="5:10" s="34" customFormat="1" x14ac:dyDescent="0.35">
      <c r="E19267" s="35"/>
      <c r="J19267" s="41"/>
    </row>
    <row r="19268" spans="5:10" s="34" customFormat="1" x14ac:dyDescent="0.35">
      <c r="E19268" s="35"/>
      <c r="J19268" s="41"/>
    </row>
    <row r="19269" spans="5:10" s="34" customFormat="1" x14ac:dyDescent="0.35">
      <c r="E19269" s="35"/>
      <c r="J19269" s="41"/>
    </row>
    <row r="19270" spans="5:10" s="34" customFormat="1" x14ac:dyDescent="0.35">
      <c r="E19270" s="35"/>
      <c r="J19270" s="41"/>
    </row>
    <row r="19271" spans="5:10" s="34" customFormat="1" x14ac:dyDescent="0.35">
      <c r="E19271" s="35"/>
      <c r="J19271" s="41"/>
    </row>
    <row r="19272" spans="5:10" s="34" customFormat="1" x14ac:dyDescent="0.35">
      <c r="E19272" s="35"/>
      <c r="J19272" s="41"/>
    </row>
    <row r="19273" spans="5:10" s="34" customFormat="1" x14ac:dyDescent="0.35">
      <c r="E19273" s="35"/>
      <c r="J19273" s="41"/>
    </row>
    <row r="19274" spans="5:10" s="34" customFormat="1" x14ac:dyDescent="0.35">
      <c r="E19274" s="35"/>
      <c r="J19274" s="41"/>
    </row>
    <row r="19275" spans="5:10" s="34" customFormat="1" x14ac:dyDescent="0.35">
      <c r="E19275" s="35"/>
      <c r="J19275" s="41"/>
    </row>
    <row r="19276" spans="5:10" s="34" customFormat="1" x14ac:dyDescent="0.35">
      <c r="E19276" s="35"/>
      <c r="J19276" s="41"/>
    </row>
    <row r="19277" spans="5:10" s="34" customFormat="1" x14ac:dyDescent="0.35">
      <c r="E19277" s="35"/>
      <c r="J19277" s="41"/>
    </row>
    <row r="19278" spans="5:10" s="34" customFormat="1" x14ac:dyDescent="0.35">
      <c r="E19278" s="35"/>
      <c r="J19278" s="41"/>
    </row>
    <row r="19279" spans="5:10" s="34" customFormat="1" x14ac:dyDescent="0.35">
      <c r="E19279" s="35"/>
      <c r="J19279" s="41"/>
    </row>
    <row r="19280" spans="5:10" s="34" customFormat="1" x14ac:dyDescent="0.35">
      <c r="E19280" s="35"/>
      <c r="J19280" s="41"/>
    </row>
    <row r="19281" spans="5:10" s="34" customFormat="1" x14ac:dyDescent="0.35">
      <c r="E19281" s="35"/>
      <c r="J19281" s="41"/>
    </row>
    <row r="19282" spans="5:10" s="34" customFormat="1" x14ac:dyDescent="0.35">
      <c r="E19282" s="35"/>
      <c r="J19282" s="41"/>
    </row>
    <row r="19283" spans="5:10" s="34" customFormat="1" x14ac:dyDescent="0.35">
      <c r="E19283" s="35"/>
      <c r="J19283" s="41"/>
    </row>
    <row r="19284" spans="5:10" s="34" customFormat="1" x14ac:dyDescent="0.35">
      <c r="E19284" s="35"/>
      <c r="J19284" s="41"/>
    </row>
    <row r="19285" spans="5:10" s="34" customFormat="1" x14ac:dyDescent="0.35">
      <c r="E19285" s="35"/>
      <c r="J19285" s="41"/>
    </row>
    <row r="19286" spans="5:10" s="34" customFormat="1" x14ac:dyDescent="0.35">
      <c r="E19286" s="35"/>
      <c r="J19286" s="41"/>
    </row>
    <row r="19287" spans="5:10" s="34" customFormat="1" x14ac:dyDescent="0.35">
      <c r="E19287" s="35"/>
      <c r="J19287" s="41"/>
    </row>
    <row r="19288" spans="5:10" s="34" customFormat="1" x14ac:dyDescent="0.35">
      <c r="E19288" s="35"/>
      <c r="J19288" s="41"/>
    </row>
    <row r="19289" spans="5:10" s="34" customFormat="1" x14ac:dyDescent="0.35">
      <c r="E19289" s="35"/>
      <c r="J19289" s="41"/>
    </row>
    <row r="19290" spans="5:10" s="34" customFormat="1" x14ac:dyDescent="0.35">
      <c r="E19290" s="35"/>
      <c r="J19290" s="41"/>
    </row>
    <row r="19291" spans="5:10" s="34" customFormat="1" x14ac:dyDescent="0.35">
      <c r="E19291" s="35"/>
      <c r="J19291" s="41"/>
    </row>
    <row r="19292" spans="5:10" s="34" customFormat="1" x14ac:dyDescent="0.35">
      <c r="E19292" s="35"/>
      <c r="J19292" s="41"/>
    </row>
    <row r="19293" spans="5:10" s="34" customFormat="1" x14ac:dyDescent="0.35">
      <c r="E19293" s="35"/>
      <c r="J19293" s="41"/>
    </row>
    <row r="19294" spans="5:10" s="34" customFormat="1" x14ac:dyDescent="0.35">
      <c r="E19294" s="35"/>
      <c r="J19294" s="41"/>
    </row>
    <row r="19295" spans="5:10" s="34" customFormat="1" x14ac:dyDescent="0.35">
      <c r="E19295" s="35"/>
      <c r="J19295" s="41"/>
    </row>
    <row r="19296" spans="5:10" s="34" customFormat="1" x14ac:dyDescent="0.35">
      <c r="E19296" s="35"/>
      <c r="J19296" s="41"/>
    </row>
    <row r="19297" spans="5:10" s="34" customFormat="1" x14ac:dyDescent="0.35">
      <c r="E19297" s="35"/>
      <c r="J19297" s="41"/>
    </row>
    <row r="19298" spans="5:10" s="34" customFormat="1" x14ac:dyDescent="0.35">
      <c r="E19298" s="35"/>
      <c r="J19298" s="41"/>
    </row>
    <row r="19299" spans="5:10" s="34" customFormat="1" x14ac:dyDescent="0.35">
      <c r="E19299" s="35"/>
      <c r="J19299" s="41"/>
    </row>
    <row r="19300" spans="5:10" s="34" customFormat="1" x14ac:dyDescent="0.35">
      <c r="E19300" s="35"/>
      <c r="J19300" s="41"/>
    </row>
    <row r="19301" spans="5:10" s="34" customFormat="1" x14ac:dyDescent="0.35">
      <c r="E19301" s="35"/>
      <c r="J19301" s="41"/>
    </row>
    <row r="19302" spans="5:10" s="34" customFormat="1" x14ac:dyDescent="0.35">
      <c r="E19302" s="35"/>
      <c r="J19302" s="41"/>
    </row>
    <row r="19303" spans="5:10" s="34" customFormat="1" x14ac:dyDescent="0.35">
      <c r="E19303" s="35"/>
      <c r="J19303" s="41"/>
    </row>
    <row r="19304" spans="5:10" s="34" customFormat="1" x14ac:dyDescent="0.35">
      <c r="E19304" s="35"/>
      <c r="J19304" s="41"/>
    </row>
    <row r="19305" spans="5:10" s="34" customFormat="1" x14ac:dyDescent="0.35">
      <c r="E19305" s="35"/>
      <c r="J19305" s="41"/>
    </row>
    <row r="19306" spans="5:10" s="34" customFormat="1" x14ac:dyDescent="0.35">
      <c r="E19306" s="35"/>
      <c r="J19306" s="41"/>
    </row>
    <row r="19307" spans="5:10" s="34" customFormat="1" x14ac:dyDescent="0.35">
      <c r="E19307" s="35"/>
      <c r="J19307" s="41"/>
    </row>
    <row r="19308" spans="5:10" s="34" customFormat="1" x14ac:dyDescent="0.35">
      <c r="E19308" s="35"/>
      <c r="J19308" s="41"/>
    </row>
    <row r="19309" spans="5:10" s="34" customFormat="1" x14ac:dyDescent="0.35">
      <c r="E19309" s="35"/>
      <c r="J19309" s="41"/>
    </row>
    <row r="19310" spans="5:10" s="34" customFormat="1" x14ac:dyDescent="0.35">
      <c r="E19310" s="35"/>
      <c r="J19310" s="41"/>
    </row>
    <row r="19311" spans="5:10" s="34" customFormat="1" x14ac:dyDescent="0.35">
      <c r="E19311" s="35"/>
      <c r="J19311" s="41"/>
    </row>
    <row r="19312" spans="5:10" s="34" customFormat="1" x14ac:dyDescent="0.35">
      <c r="E19312" s="35"/>
      <c r="J19312" s="41"/>
    </row>
    <row r="19313" spans="5:10" s="34" customFormat="1" x14ac:dyDescent="0.35">
      <c r="E19313" s="35"/>
      <c r="J19313" s="41"/>
    </row>
    <row r="19314" spans="5:10" s="34" customFormat="1" x14ac:dyDescent="0.35">
      <c r="E19314" s="35"/>
      <c r="J19314" s="41"/>
    </row>
    <row r="19315" spans="5:10" s="34" customFormat="1" x14ac:dyDescent="0.35">
      <c r="E19315" s="35"/>
      <c r="J19315" s="41"/>
    </row>
    <row r="19316" spans="5:10" s="34" customFormat="1" x14ac:dyDescent="0.35">
      <c r="E19316" s="35"/>
      <c r="J19316" s="41"/>
    </row>
    <row r="19317" spans="5:10" s="34" customFormat="1" x14ac:dyDescent="0.35">
      <c r="E19317" s="35"/>
      <c r="J19317" s="41"/>
    </row>
    <row r="19318" spans="5:10" s="34" customFormat="1" x14ac:dyDescent="0.35">
      <c r="E19318" s="35"/>
      <c r="J19318" s="41"/>
    </row>
    <row r="19319" spans="5:10" s="34" customFormat="1" x14ac:dyDescent="0.35">
      <c r="E19319" s="35"/>
      <c r="J19319" s="41"/>
    </row>
    <row r="19320" spans="5:10" s="34" customFormat="1" x14ac:dyDescent="0.35">
      <c r="E19320" s="35"/>
      <c r="J19320" s="41"/>
    </row>
    <row r="19321" spans="5:10" s="34" customFormat="1" x14ac:dyDescent="0.35">
      <c r="E19321" s="35"/>
      <c r="J19321" s="41"/>
    </row>
    <row r="19322" spans="5:10" s="34" customFormat="1" x14ac:dyDescent="0.35">
      <c r="E19322" s="35"/>
      <c r="J19322" s="41"/>
    </row>
    <row r="19323" spans="5:10" s="34" customFormat="1" x14ac:dyDescent="0.35">
      <c r="E19323" s="35"/>
      <c r="J19323" s="41"/>
    </row>
    <row r="19324" spans="5:10" s="34" customFormat="1" x14ac:dyDescent="0.35">
      <c r="E19324" s="35"/>
      <c r="J19324" s="41"/>
    </row>
    <row r="19325" spans="5:10" s="34" customFormat="1" x14ac:dyDescent="0.35">
      <c r="E19325" s="35"/>
      <c r="J19325" s="41"/>
    </row>
    <row r="19326" spans="5:10" s="34" customFormat="1" x14ac:dyDescent="0.35">
      <c r="E19326" s="35"/>
      <c r="J19326" s="41"/>
    </row>
    <row r="19327" spans="5:10" s="34" customFormat="1" x14ac:dyDescent="0.35">
      <c r="E19327" s="35"/>
      <c r="J19327" s="41"/>
    </row>
    <row r="19328" spans="5:10" s="34" customFormat="1" x14ac:dyDescent="0.35">
      <c r="E19328" s="35"/>
      <c r="J19328" s="41"/>
    </row>
    <row r="19329" spans="5:10" s="34" customFormat="1" x14ac:dyDescent="0.35">
      <c r="E19329" s="35"/>
      <c r="J19329" s="41"/>
    </row>
    <row r="19330" spans="5:10" s="34" customFormat="1" x14ac:dyDescent="0.35">
      <c r="E19330" s="35"/>
      <c r="J19330" s="41"/>
    </row>
    <row r="19331" spans="5:10" s="34" customFormat="1" x14ac:dyDescent="0.35">
      <c r="E19331" s="35"/>
      <c r="J19331" s="41"/>
    </row>
    <row r="19332" spans="5:10" s="34" customFormat="1" x14ac:dyDescent="0.35">
      <c r="E19332" s="35"/>
      <c r="J19332" s="41"/>
    </row>
    <row r="19333" spans="5:10" s="34" customFormat="1" x14ac:dyDescent="0.35">
      <c r="E19333" s="35"/>
      <c r="J19333" s="41"/>
    </row>
    <row r="19334" spans="5:10" s="34" customFormat="1" x14ac:dyDescent="0.35">
      <c r="E19334" s="35"/>
      <c r="J19334" s="41"/>
    </row>
    <row r="19335" spans="5:10" s="34" customFormat="1" x14ac:dyDescent="0.35">
      <c r="E19335" s="35"/>
      <c r="J19335" s="41"/>
    </row>
    <row r="19336" spans="5:10" s="34" customFormat="1" x14ac:dyDescent="0.35">
      <c r="E19336" s="35"/>
      <c r="J19336" s="41"/>
    </row>
    <row r="19337" spans="5:10" s="34" customFormat="1" x14ac:dyDescent="0.35">
      <c r="E19337" s="35"/>
      <c r="J19337" s="41"/>
    </row>
    <row r="19338" spans="5:10" s="34" customFormat="1" x14ac:dyDescent="0.35">
      <c r="E19338" s="35"/>
      <c r="J19338" s="41"/>
    </row>
    <row r="19339" spans="5:10" s="34" customFormat="1" x14ac:dyDescent="0.35">
      <c r="E19339" s="35"/>
      <c r="J19339" s="41"/>
    </row>
    <row r="19340" spans="5:10" s="34" customFormat="1" x14ac:dyDescent="0.35">
      <c r="E19340" s="35"/>
      <c r="J19340" s="41"/>
    </row>
    <row r="19341" spans="5:10" s="34" customFormat="1" x14ac:dyDescent="0.35">
      <c r="E19341" s="35"/>
      <c r="J19341" s="41"/>
    </row>
    <row r="19342" spans="5:10" s="34" customFormat="1" x14ac:dyDescent="0.35">
      <c r="E19342" s="35"/>
      <c r="J19342" s="41"/>
    </row>
    <row r="19343" spans="5:10" s="34" customFormat="1" x14ac:dyDescent="0.35">
      <c r="E19343" s="35"/>
      <c r="J19343" s="41"/>
    </row>
    <row r="19344" spans="5:10" s="34" customFormat="1" x14ac:dyDescent="0.35">
      <c r="E19344" s="35"/>
      <c r="J19344" s="41"/>
    </row>
    <row r="19345" spans="5:10" s="34" customFormat="1" x14ac:dyDescent="0.35">
      <c r="E19345" s="35"/>
      <c r="J19345" s="41"/>
    </row>
    <row r="19346" spans="5:10" s="34" customFormat="1" x14ac:dyDescent="0.35">
      <c r="E19346" s="35"/>
      <c r="J19346" s="41"/>
    </row>
    <row r="19347" spans="5:10" s="34" customFormat="1" x14ac:dyDescent="0.35">
      <c r="E19347" s="35"/>
      <c r="J19347" s="41"/>
    </row>
    <row r="19348" spans="5:10" s="34" customFormat="1" x14ac:dyDescent="0.35">
      <c r="E19348" s="35"/>
      <c r="J19348" s="41"/>
    </row>
    <row r="19349" spans="5:10" s="34" customFormat="1" x14ac:dyDescent="0.35">
      <c r="E19349" s="35"/>
      <c r="J19349" s="41"/>
    </row>
    <row r="19350" spans="5:10" s="34" customFormat="1" x14ac:dyDescent="0.35">
      <c r="E19350" s="35"/>
      <c r="J19350" s="41"/>
    </row>
    <row r="19351" spans="5:10" s="34" customFormat="1" x14ac:dyDescent="0.35">
      <c r="E19351" s="35"/>
      <c r="J19351" s="41"/>
    </row>
    <row r="19352" spans="5:10" s="34" customFormat="1" x14ac:dyDescent="0.35">
      <c r="E19352" s="35"/>
      <c r="J19352" s="41"/>
    </row>
    <row r="19353" spans="5:10" s="34" customFormat="1" x14ac:dyDescent="0.35">
      <c r="E19353" s="35"/>
      <c r="J19353" s="41"/>
    </row>
    <row r="19354" spans="5:10" s="34" customFormat="1" x14ac:dyDescent="0.35">
      <c r="E19354" s="35"/>
      <c r="J19354" s="41"/>
    </row>
    <row r="19355" spans="5:10" s="34" customFormat="1" x14ac:dyDescent="0.35">
      <c r="E19355" s="35"/>
      <c r="J19355" s="41"/>
    </row>
    <row r="19356" spans="5:10" s="34" customFormat="1" x14ac:dyDescent="0.35">
      <c r="E19356" s="35"/>
      <c r="J19356" s="41"/>
    </row>
    <row r="19357" spans="5:10" s="34" customFormat="1" x14ac:dyDescent="0.35">
      <c r="E19357" s="35"/>
      <c r="J19357" s="41"/>
    </row>
    <row r="19358" spans="5:10" s="34" customFormat="1" x14ac:dyDescent="0.35">
      <c r="E19358" s="35"/>
      <c r="J19358" s="41"/>
    </row>
    <row r="19359" spans="5:10" s="34" customFormat="1" x14ac:dyDescent="0.35">
      <c r="E19359" s="35"/>
      <c r="J19359" s="41"/>
    </row>
    <row r="19360" spans="5:10" s="34" customFormat="1" x14ac:dyDescent="0.35">
      <c r="E19360" s="35"/>
      <c r="J19360" s="41"/>
    </row>
    <row r="19361" spans="5:10" s="34" customFormat="1" x14ac:dyDescent="0.35">
      <c r="E19361" s="35"/>
      <c r="J19361" s="41"/>
    </row>
    <row r="19362" spans="5:10" s="34" customFormat="1" x14ac:dyDescent="0.35">
      <c r="E19362" s="35"/>
      <c r="J19362" s="41"/>
    </row>
    <row r="19363" spans="5:10" s="34" customFormat="1" x14ac:dyDescent="0.35">
      <c r="E19363" s="35"/>
      <c r="J19363" s="41"/>
    </row>
    <row r="19364" spans="5:10" s="34" customFormat="1" x14ac:dyDescent="0.35">
      <c r="E19364" s="35"/>
      <c r="J19364" s="41"/>
    </row>
    <row r="19365" spans="5:10" s="34" customFormat="1" x14ac:dyDescent="0.35">
      <c r="E19365" s="35"/>
      <c r="J19365" s="41"/>
    </row>
    <row r="19366" spans="5:10" s="34" customFormat="1" x14ac:dyDescent="0.35">
      <c r="E19366" s="35"/>
      <c r="J19366" s="41"/>
    </row>
    <row r="19367" spans="5:10" s="34" customFormat="1" x14ac:dyDescent="0.35">
      <c r="E19367" s="35"/>
      <c r="J19367" s="41"/>
    </row>
    <row r="19368" spans="5:10" s="34" customFormat="1" x14ac:dyDescent="0.35">
      <c r="E19368" s="35"/>
      <c r="J19368" s="41"/>
    </row>
    <row r="19369" spans="5:10" s="34" customFormat="1" x14ac:dyDescent="0.35">
      <c r="E19369" s="35"/>
      <c r="J19369" s="41"/>
    </row>
    <row r="19370" spans="5:10" s="34" customFormat="1" x14ac:dyDescent="0.35">
      <c r="E19370" s="35"/>
      <c r="J19370" s="41"/>
    </row>
    <row r="19371" spans="5:10" s="34" customFormat="1" x14ac:dyDescent="0.35">
      <c r="E19371" s="35"/>
      <c r="J19371" s="41"/>
    </row>
    <row r="19372" spans="5:10" s="34" customFormat="1" x14ac:dyDescent="0.35">
      <c r="E19372" s="35"/>
      <c r="J19372" s="41"/>
    </row>
    <row r="19373" spans="5:10" s="34" customFormat="1" x14ac:dyDescent="0.35">
      <c r="E19373" s="35"/>
      <c r="J19373" s="41"/>
    </row>
    <row r="19374" spans="5:10" s="34" customFormat="1" x14ac:dyDescent="0.35">
      <c r="E19374" s="35"/>
      <c r="J19374" s="41"/>
    </row>
    <row r="19375" spans="5:10" s="34" customFormat="1" x14ac:dyDescent="0.35">
      <c r="E19375" s="35"/>
      <c r="J19375" s="41"/>
    </row>
    <row r="19376" spans="5:10" s="34" customFormat="1" x14ac:dyDescent="0.35">
      <c r="E19376" s="35"/>
      <c r="J19376" s="41"/>
    </row>
    <row r="19377" spans="5:10" s="34" customFormat="1" x14ac:dyDescent="0.35">
      <c r="E19377" s="35"/>
      <c r="J19377" s="41"/>
    </row>
    <row r="19378" spans="5:10" s="34" customFormat="1" x14ac:dyDescent="0.35">
      <c r="E19378" s="35"/>
      <c r="J19378" s="41"/>
    </row>
    <row r="19379" spans="5:10" s="34" customFormat="1" x14ac:dyDescent="0.35">
      <c r="E19379" s="35"/>
      <c r="J19379" s="41"/>
    </row>
    <row r="19380" spans="5:10" s="34" customFormat="1" x14ac:dyDescent="0.35">
      <c r="E19380" s="35"/>
      <c r="J19380" s="41"/>
    </row>
    <row r="19381" spans="5:10" s="34" customFormat="1" x14ac:dyDescent="0.35">
      <c r="E19381" s="35"/>
      <c r="J19381" s="41"/>
    </row>
    <row r="19382" spans="5:10" s="34" customFormat="1" x14ac:dyDescent="0.35">
      <c r="E19382" s="35"/>
      <c r="J19382" s="41"/>
    </row>
    <row r="19383" spans="5:10" s="34" customFormat="1" x14ac:dyDescent="0.35">
      <c r="E19383" s="35"/>
      <c r="J19383" s="41"/>
    </row>
    <row r="19384" spans="5:10" s="34" customFormat="1" x14ac:dyDescent="0.35">
      <c r="E19384" s="35"/>
      <c r="J19384" s="41"/>
    </row>
    <row r="19385" spans="5:10" s="34" customFormat="1" x14ac:dyDescent="0.35">
      <c r="E19385" s="35"/>
      <c r="J19385" s="41"/>
    </row>
    <row r="19386" spans="5:10" s="34" customFormat="1" x14ac:dyDescent="0.35">
      <c r="E19386" s="35"/>
      <c r="J19386" s="41"/>
    </row>
    <row r="19387" spans="5:10" s="34" customFormat="1" x14ac:dyDescent="0.35">
      <c r="E19387" s="35"/>
      <c r="J19387" s="41"/>
    </row>
    <row r="19388" spans="5:10" s="34" customFormat="1" x14ac:dyDescent="0.35">
      <c r="E19388" s="35"/>
      <c r="J19388" s="41"/>
    </row>
    <row r="19389" spans="5:10" s="34" customFormat="1" x14ac:dyDescent="0.35">
      <c r="E19389" s="35"/>
      <c r="J19389" s="41"/>
    </row>
    <row r="19390" spans="5:10" s="34" customFormat="1" x14ac:dyDescent="0.35">
      <c r="E19390" s="35"/>
      <c r="J19390" s="41"/>
    </row>
    <row r="19391" spans="5:10" s="34" customFormat="1" x14ac:dyDescent="0.35">
      <c r="E19391" s="35"/>
      <c r="J19391" s="41"/>
    </row>
    <row r="19392" spans="5:10" s="34" customFormat="1" x14ac:dyDescent="0.35">
      <c r="E19392" s="35"/>
      <c r="J19392" s="41"/>
    </row>
    <row r="19393" spans="5:10" s="34" customFormat="1" x14ac:dyDescent="0.35">
      <c r="E19393" s="35"/>
      <c r="J19393" s="41"/>
    </row>
    <row r="19394" spans="5:10" s="34" customFormat="1" x14ac:dyDescent="0.35">
      <c r="E19394" s="35"/>
      <c r="J19394" s="41"/>
    </row>
    <row r="19395" spans="5:10" s="34" customFormat="1" x14ac:dyDescent="0.35">
      <c r="E19395" s="35"/>
      <c r="J19395" s="41"/>
    </row>
    <row r="19396" spans="5:10" s="34" customFormat="1" x14ac:dyDescent="0.35">
      <c r="E19396" s="35"/>
      <c r="J19396" s="41"/>
    </row>
    <row r="19397" spans="5:10" s="34" customFormat="1" x14ac:dyDescent="0.35">
      <c r="E19397" s="35"/>
      <c r="J19397" s="41"/>
    </row>
    <row r="19398" spans="5:10" s="34" customFormat="1" x14ac:dyDescent="0.35">
      <c r="E19398" s="35"/>
      <c r="J19398" s="41"/>
    </row>
    <row r="19399" spans="5:10" s="34" customFormat="1" x14ac:dyDescent="0.35">
      <c r="E19399" s="35"/>
      <c r="J19399" s="41"/>
    </row>
    <row r="19400" spans="5:10" s="34" customFormat="1" x14ac:dyDescent="0.35">
      <c r="E19400" s="35"/>
      <c r="J19400" s="41"/>
    </row>
    <row r="19401" spans="5:10" s="34" customFormat="1" x14ac:dyDescent="0.35">
      <c r="E19401" s="35"/>
      <c r="J19401" s="41"/>
    </row>
    <row r="19402" spans="5:10" s="34" customFormat="1" x14ac:dyDescent="0.35">
      <c r="E19402" s="35"/>
      <c r="J19402" s="41"/>
    </row>
    <row r="19403" spans="5:10" s="34" customFormat="1" x14ac:dyDescent="0.35">
      <c r="E19403" s="35"/>
      <c r="J19403" s="41"/>
    </row>
    <row r="19404" spans="5:10" s="34" customFormat="1" x14ac:dyDescent="0.35">
      <c r="E19404" s="35"/>
      <c r="J19404" s="41"/>
    </row>
    <row r="19405" spans="5:10" s="34" customFormat="1" x14ac:dyDescent="0.35">
      <c r="E19405" s="35"/>
      <c r="J19405" s="41"/>
    </row>
    <row r="19406" spans="5:10" s="34" customFormat="1" x14ac:dyDescent="0.35">
      <c r="E19406" s="35"/>
      <c r="J19406" s="41"/>
    </row>
    <row r="19407" spans="5:10" s="34" customFormat="1" x14ac:dyDescent="0.35">
      <c r="E19407" s="35"/>
      <c r="J19407" s="41"/>
    </row>
    <row r="19408" spans="5:10" s="34" customFormat="1" x14ac:dyDescent="0.35">
      <c r="E19408" s="35"/>
      <c r="J19408" s="41"/>
    </row>
    <row r="19409" spans="5:10" s="34" customFormat="1" x14ac:dyDescent="0.35">
      <c r="E19409" s="35"/>
      <c r="J19409" s="41"/>
    </row>
    <row r="19410" spans="5:10" s="34" customFormat="1" x14ac:dyDescent="0.35">
      <c r="E19410" s="35"/>
      <c r="J19410" s="41"/>
    </row>
    <row r="19411" spans="5:10" s="34" customFormat="1" x14ac:dyDescent="0.35">
      <c r="E19411" s="35"/>
      <c r="J19411" s="41"/>
    </row>
    <row r="19412" spans="5:10" s="34" customFormat="1" x14ac:dyDescent="0.35">
      <c r="E19412" s="35"/>
      <c r="J19412" s="41"/>
    </row>
    <row r="19413" spans="5:10" s="34" customFormat="1" x14ac:dyDescent="0.35">
      <c r="E19413" s="35"/>
      <c r="J19413" s="41"/>
    </row>
    <row r="19414" spans="5:10" s="34" customFormat="1" x14ac:dyDescent="0.35">
      <c r="E19414" s="35"/>
      <c r="J19414" s="41"/>
    </row>
    <row r="19415" spans="5:10" s="34" customFormat="1" x14ac:dyDescent="0.35">
      <c r="E19415" s="35"/>
      <c r="J19415" s="41"/>
    </row>
    <row r="19416" spans="5:10" s="34" customFormat="1" x14ac:dyDescent="0.35">
      <c r="E19416" s="35"/>
      <c r="J19416" s="41"/>
    </row>
    <row r="19417" spans="5:10" s="34" customFormat="1" x14ac:dyDescent="0.35">
      <c r="E19417" s="35"/>
      <c r="J19417" s="41"/>
    </row>
    <row r="19418" spans="5:10" s="34" customFormat="1" x14ac:dyDescent="0.35">
      <c r="E19418" s="35"/>
      <c r="J19418" s="41"/>
    </row>
    <row r="19419" spans="5:10" s="34" customFormat="1" x14ac:dyDescent="0.35">
      <c r="E19419" s="35"/>
      <c r="J19419" s="41"/>
    </row>
    <row r="19420" spans="5:10" s="34" customFormat="1" x14ac:dyDescent="0.35">
      <c r="E19420" s="35"/>
      <c r="J19420" s="41"/>
    </row>
    <row r="19421" spans="5:10" s="34" customFormat="1" x14ac:dyDescent="0.35">
      <c r="E19421" s="35"/>
      <c r="J19421" s="41"/>
    </row>
    <row r="19422" spans="5:10" s="34" customFormat="1" x14ac:dyDescent="0.35">
      <c r="E19422" s="35"/>
      <c r="J19422" s="41"/>
    </row>
    <row r="19423" spans="5:10" s="34" customFormat="1" x14ac:dyDescent="0.35">
      <c r="E19423" s="35"/>
      <c r="J19423" s="41"/>
    </row>
    <row r="19424" spans="5:10" s="34" customFormat="1" x14ac:dyDescent="0.35">
      <c r="E19424" s="35"/>
      <c r="J19424" s="41"/>
    </row>
    <row r="19425" spans="5:10" s="34" customFormat="1" x14ac:dyDescent="0.35">
      <c r="E19425" s="35"/>
      <c r="J19425" s="41"/>
    </row>
    <row r="19426" spans="5:10" s="34" customFormat="1" x14ac:dyDescent="0.35">
      <c r="E19426" s="35"/>
      <c r="J19426" s="41"/>
    </row>
    <row r="19427" spans="5:10" s="34" customFormat="1" x14ac:dyDescent="0.35">
      <c r="E19427" s="35"/>
      <c r="J19427" s="41"/>
    </row>
    <row r="19428" spans="5:10" s="34" customFormat="1" x14ac:dyDescent="0.35">
      <c r="E19428" s="35"/>
      <c r="J19428" s="41"/>
    </row>
    <row r="19429" spans="5:10" s="34" customFormat="1" x14ac:dyDescent="0.35">
      <c r="E19429" s="35"/>
      <c r="J19429" s="41"/>
    </row>
    <row r="19430" spans="5:10" s="34" customFormat="1" x14ac:dyDescent="0.35">
      <c r="E19430" s="35"/>
      <c r="J19430" s="41"/>
    </row>
    <row r="19431" spans="5:10" s="34" customFormat="1" x14ac:dyDescent="0.35">
      <c r="E19431" s="35"/>
      <c r="J19431" s="41"/>
    </row>
    <row r="19432" spans="5:10" s="34" customFormat="1" x14ac:dyDescent="0.35">
      <c r="E19432" s="35"/>
      <c r="J19432" s="41"/>
    </row>
    <row r="19433" spans="5:10" s="34" customFormat="1" x14ac:dyDescent="0.35">
      <c r="E19433" s="35"/>
      <c r="J19433" s="41"/>
    </row>
    <row r="19434" spans="5:10" s="34" customFormat="1" x14ac:dyDescent="0.35">
      <c r="E19434" s="35"/>
      <c r="J19434" s="41"/>
    </row>
    <row r="19435" spans="5:10" s="34" customFormat="1" x14ac:dyDescent="0.35">
      <c r="E19435" s="35"/>
      <c r="J19435" s="41"/>
    </row>
    <row r="19436" spans="5:10" s="34" customFormat="1" x14ac:dyDescent="0.35">
      <c r="E19436" s="35"/>
      <c r="J19436" s="41"/>
    </row>
    <row r="19437" spans="5:10" s="34" customFormat="1" x14ac:dyDescent="0.35">
      <c r="E19437" s="35"/>
      <c r="J19437" s="41"/>
    </row>
    <row r="19438" spans="5:10" s="34" customFormat="1" x14ac:dyDescent="0.35">
      <c r="E19438" s="35"/>
      <c r="J19438" s="41"/>
    </row>
    <row r="19439" spans="5:10" s="34" customFormat="1" x14ac:dyDescent="0.35">
      <c r="E19439" s="35"/>
      <c r="J19439" s="41"/>
    </row>
    <row r="19440" spans="5:10" s="34" customFormat="1" x14ac:dyDescent="0.35">
      <c r="E19440" s="35"/>
      <c r="J19440" s="41"/>
    </row>
    <row r="19441" spans="5:10" s="34" customFormat="1" x14ac:dyDescent="0.35">
      <c r="E19441" s="35"/>
      <c r="J19441" s="41"/>
    </row>
    <row r="19442" spans="5:10" s="34" customFormat="1" x14ac:dyDescent="0.35">
      <c r="E19442" s="35"/>
      <c r="J19442" s="41"/>
    </row>
    <row r="19443" spans="5:10" s="34" customFormat="1" x14ac:dyDescent="0.35">
      <c r="E19443" s="35"/>
      <c r="J19443" s="41"/>
    </row>
    <row r="19444" spans="5:10" s="34" customFormat="1" x14ac:dyDescent="0.35">
      <c r="E19444" s="35"/>
      <c r="J19444" s="41"/>
    </row>
    <row r="19445" spans="5:10" s="34" customFormat="1" x14ac:dyDescent="0.35">
      <c r="E19445" s="35"/>
      <c r="J19445" s="41"/>
    </row>
    <row r="19446" spans="5:10" s="34" customFormat="1" x14ac:dyDescent="0.35">
      <c r="E19446" s="35"/>
      <c r="J19446" s="41"/>
    </row>
    <row r="19447" spans="5:10" s="34" customFormat="1" x14ac:dyDescent="0.35">
      <c r="E19447" s="35"/>
      <c r="J19447" s="41"/>
    </row>
    <row r="19448" spans="5:10" s="34" customFormat="1" x14ac:dyDescent="0.35">
      <c r="E19448" s="35"/>
      <c r="J19448" s="41"/>
    </row>
    <row r="19449" spans="5:10" s="34" customFormat="1" x14ac:dyDescent="0.35">
      <c r="E19449" s="35"/>
      <c r="J19449" s="41"/>
    </row>
    <row r="19450" spans="5:10" s="34" customFormat="1" x14ac:dyDescent="0.35">
      <c r="E19450" s="35"/>
      <c r="J19450" s="41"/>
    </row>
    <row r="19451" spans="5:10" s="34" customFormat="1" x14ac:dyDescent="0.35">
      <c r="E19451" s="35"/>
      <c r="J19451" s="41"/>
    </row>
    <row r="19452" spans="5:10" s="34" customFormat="1" x14ac:dyDescent="0.35">
      <c r="E19452" s="35"/>
      <c r="J19452" s="41"/>
    </row>
    <row r="19453" spans="5:10" s="34" customFormat="1" x14ac:dyDescent="0.35">
      <c r="E19453" s="35"/>
      <c r="J19453" s="41"/>
    </row>
    <row r="19454" spans="5:10" s="34" customFormat="1" x14ac:dyDescent="0.35">
      <c r="E19454" s="35"/>
      <c r="J19454" s="41"/>
    </row>
    <row r="19455" spans="5:10" s="34" customFormat="1" x14ac:dyDescent="0.35">
      <c r="E19455" s="35"/>
      <c r="J19455" s="41"/>
    </row>
    <row r="19456" spans="5:10" s="34" customFormat="1" x14ac:dyDescent="0.35">
      <c r="E19456" s="35"/>
      <c r="J19456" s="41"/>
    </row>
    <row r="19457" spans="5:10" s="34" customFormat="1" x14ac:dyDescent="0.35">
      <c r="E19457" s="35"/>
      <c r="J19457" s="41"/>
    </row>
    <row r="19458" spans="5:10" s="34" customFormat="1" x14ac:dyDescent="0.35">
      <c r="E19458" s="35"/>
      <c r="J19458" s="41"/>
    </row>
    <row r="19459" spans="5:10" s="34" customFormat="1" x14ac:dyDescent="0.35">
      <c r="E19459" s="35"/>
      <c r="J19459" s="41"/>
    </row>
    <row r="19460" spans="5:10" s="34" customFormat="1" x14ac:dyDescent="0.35">
      <c r="E19460" s="35"/>
      <c r="J19460" s="41"/>
    </row>
    <row r="19461" spans="5:10" s="34" customFormat="1" x14ac:dyDescent="0.35">
      <c r="E19461" s="35"/>
      <c r="J19461" s="41"/>
    </row>
    <row r="19462" spans="5:10" s="34" customFormat="1" x14ac:dyDescent="0.35">
      <c r="E19462" s="35"/>
      <c r="J19462" s="41"/>
    </row>
    <row r="19463" spans="5:10" s="34" customFormat="1" x14ac:dyDescent="0.35">
      <c r="E19463" s="35"/>
      <c r="J19463" s="41"/>
    </row>
    <row r="19464" spans="5:10" s="34" customFormat="1" x14ac:dyDescent="0.35">
      <c r="E19464" s="35"/>
      <c r="J19464" s="41"/>
    </row>
    <row r="19465" spans="5:10" s="34" customFormat="1" x14ac:dyDescent="0.35">
      <c r="E19465" s="35"/>
      <c r="J19465" s="41"/>
    </row>
    <row r="19466" spans="5:10" s="34" customFormat="1" x14ac:dyDescent="0.35">
      <c r="E19466" s="35"/>
      <c r="J19466" s="41"/>
    </row>
    <row r="19467" spans="5:10" s="34" customFormat="1" x14ac:dyDescent="0.35">
      <c r="E19467" s="35"/>
      <c r="J19467" s="41"/>
    </row>
    <row r="19468" spans="5:10" s="34" customFormat="1" x14ac:dyDescent="0.35">
      <c r="E19468" s="35"/>
      <c r="J19468" s="41"/>
    </row>
    <row r="19469" spans="5:10" s="34" customFormat="1" x14ac:dyDescent="0.35">
      <c r="E19469" s="35"/>
      <c r="J19469" s="41"/>
    </row>
    <row r="19470" spans="5:10" s="34" customFormat="1" x14ac:dyDescent="0.35">
      <c r="E19470" s="35"/>
      <c r="J19470" s="41"/>
    </row>
    <row r="19471" spans="5:10" s="34" customFormat="1" x14ac:dyDescent="0.35">
      <c r="E19471" s="35"/>
      <c r="J19471" s="41"/>
    </row>
    <row r="19472" spans="5:10" s="34" customFormat="1" x14ac:dyDescent="0.35">
      <c r="E19472" s="35"/>
      <c r="J19472" s="41"/>
    </row>
    <row r="19473" spans="5:10" s="34" customFormat="1" x14ac:dyDescent="0.35">
      <c r="E19473" s="35"/>
      <c r="J19473" s="41"/>
    </row>
    <row r="19474" spans="5:10" s="34" customFormat="1" x14ac:dyDescent="0.35">
      <c r="E19474" s="35"/>
      <c r="J19474" s="41"/>
    </row>
    <row r="19475" spans="5:10" s="34" customFormat="1" x14ac:dyDescent="0.35">
      <c r="E19475" s="35"/>
      <c r="J19475" s="41"/>
    </row>
    <row r="19476" spans="5:10" s="34" customFormat="1" x14ac:dyDescent="0.35">
      <c r="E19476" s="35"/>
      <c r="J19476" s="41"/>
    </row>
    <row r="19477" spans="5:10" s="34" customFormat="1" x14ac:dyDescent="0.35">
      <c r="E19477" s="35"/>
      <c r="J19477" s="41"/>
    </row>
    <row r="19478" spans="5:10" s="34" customFormat="1" x14ac:dyDescent="0.35">
      <c r="E19478" s="35"/>
      <c r="J19478" s="41"/>
    </row>
    <row r="19479" spans="5:10" s="34" customFormat="1" x14ac:dyDescent="0.35">
      <c r="E19479" s="35"/>
      <c r="J19479" s="41"/>
    </row>
    <row r="19480" spans="5:10" s="34" customFormat="1" x14ac:dyDescent="0.35">
      <c r="E19480" s="35"/>
      <c r="J19480" s="41"/>
    </row>
    <row r="19481" spans="5:10" s="34" customFormat="1" x14ac:dyDescent="0.35">
      <c r="E19481" s="35"/>
      <c r="J19481" s="41"/>
    </row>
    <row r="19482" spans="5:10" s="34" customFormat="1" x14ac:dyDescent="0.35">
      <c r="E19482" s="35"/>
      <c r="J19482" s="41"/>
    </row>
    <row r="19483" spans="5:10" s="34" customFormat="1" x14ac:dyDescent="0.35">
      <c r="E19483" s="35"/>
      <c r="J19483" s="41"/>
    </row>
    <row r="19484" spans="5:10" s="34" customFormat="1" x14ac:dyDescent="0.35">
      <c r="E19484" s="35"/>
      <c r="J19484" s="41"/>
    </row>
    <row r="19485" spans="5:10" s="34" customFormat="1" x14ac:dyDescent="0.35">
      <c r="E19485" s="35"/>
      <c r="J19485" s="41"/>
    </row>
    <row r="19486" spans="5:10" s="34" customFormat="1" x14ac:dyDescent="0.35">
      <c r="E19486" s="35"/>
      <c r="J19486" s="41"/>
    </row>
    <row r="19487" spans="5:10" s="34" customFormat="1" x14ac:dyDescent="0.35">
      <c r="E19487" s="35"/>
      <c r="J19487" s="41"/>
    </row>
    <row r="19488" spans="5:10" s="34" customFormat="1" x14ac:dyDescent="0.35">
      <c r="E19488" s="35"/>
      <c r="J19488" s="41"/>
    </row>
    <row r="19489" spans="5:10" s="34" customFormat="1" x14ac:dyDescent="0.35">
      <c r="E19489" s="35"/>
      <c r="J19489" s="41"/>
    </row>
    <row r="19490" spans="5:10" s="34" customFormat="1" x14ac:dyDescent="0.35">
      <c r="E19490" s="35"/>
      <c r="J19490" s="41"/>
    </row>
    <row r="19491" spans="5:10" s="34" customFormat="1" x14ac:dyDescent="0.35">
      <c r="E19491" s="35"/>
      <c r="J19491" s="41"/>
    </row>
    <row r="19492" spans="5:10" s="34" customFormat="1" x14ac:dyDescent="0.35">
      <c r="E19492" s="35"/>
      <c r="J19492" s="41"/>
    </row>
    <row r="19493" spans="5:10" s="34" customFormat="1" x14ac:dyDescent="0.35">
      <c r="E19493" s="35"/>
      <c r="J19493" s="41"/>
    </row>
    <row r="19494" spans="5:10" s="34" customFormat="1" x14ac:dyDescent="0.35">
      <c r="E19494" s="35"/>
      <c r="J19494" s="41"/>
    </row>
    <row r="19495" spans="5:10" s="34" customFormat="1" x14ac:dyDescent="0.35">
      <c r="E19495" s="35"/>
      <c r="J19495" s="41"/>
    </row>
    <row r="19496" spans="5:10" s="34" customFormat="1" x14ac:dyDescent="0.35">
      <c r="E19496" s="35"/>
      <c r="J19496" s="41"/>
    </row>
    <row r="19497" spans="5:10" s="34" customFormat="1" x14ac:dyDescent="0.35">
      <c r="E19497" s="35"/>
      <c r="J19497" s="41"/>
    </row>
    <row r="19498" spans="5:10" s="34" customFormat="1" x14ac:dyDescent="0.35">
      <c r="E19498" s="35"/>
      <c r="J19498" s="41"/>
    </row>
    <row r="19499" spans="5:10" s="34" customFormat="1" x14ac:dyDescent="0.35">
      <c r="E19499" s="35"/>
      <c r="J19499" s="41"/>
    </row>
    <row r="19500" spans="5:10" s="34" customFormat="1" x14ac:dyDescent="0.35">
      <c r="E19500" s="35"/>
      <c r="J19500" s="41"/>
    </row>
    <row r="19501" spans="5:10" s="34" customFormat="1" x14ac:dyDescent="0.35">
      <c r="E19501" s="35"/>
      <c r="J19501" s="41"/>
    </row>
    <row r="19502" spans="5:10" s="34" customFormat="1" x14ac:dyDescent="0.35">
      <c r="E19502" s="35"/>
      <c r="J19502" s="41"/>
    </row>
    <row r="19503" spans="5:10" s="34" customFormat="1" x14ac:dyDescent="0.35">
      <c r="E19503" s="35"/>
      <c r="J19503" s="41"/>
    </row>
    <row r="19504" spans="5:10" s="34" customFormat="1" x14ac:dyDescent="0.35">
      <c r="E19504" s="35"/>
      <c r="J19504" s="41"/>
    </row>
    <row r="19505" spans="5:10" s="34" customFormat="1" x14ac:dyDescent="0.35">
      <c r="E19505" s="35"/>
      <c r="J19505" s="41"/>
    </row>
    <row r="19506" spans="5:10" s="34" customFormat="1" x14ac:dyDescent="0.35">
      <c r="E19506" s="35"/>
      <c r="J19506" s="41"/>
    </row>
    <row r="19507" spans="5:10" s="34" customFormat="1" x14ac:dyDescent="0.35">
      <c r="E19507" s="35"/>
      <c r="J19507" s="41"/>
    </row>
    <row r="19508" spans="5:10" s="34" customFormat="1" x14ac:dyDescent="0.35">
      <c r="E19508" s="35"/>
      <c r="J19508" s="41"/>
    </row>
    <row r="19509" spans="5:10" s="34" customFormat="1" x14ac:dyDescent="0.35">
      <c r="E19509" s="35"/>
      <c r="J19509" s="41"/>
    </row>
    <row r="19510" spans="5:10" s="34" customFormat="1" x14ac:dyDescent="0.35">
      <c r="E19510" s="35"/>
      <c r="J19510" s="41"/>
    </row>
    <row r="19511" spans="5:10" s="34" customFormat="1" x14ac:dyDescent="0.35">
      <c r="E19511" s="35"/>
      <c r="J19511" s="41"/>
    </row>
    <row r="19512" spans="5:10" s="34" customFormat="1" x14ac:dyDescent="0.35">
      <c r="E19512" s="35"/>
      <c r="J19512" s="41"/>
    </row>
    <row r="19513" spans="5:10" s="34" customFormat="1" x14ac:dyDescent="0.35">
      <c r="E19513" s="35"/>
      <c r="J19513" s="41"/>
    </row>
    <row r="19514" spans="5:10" s="34" customFormat="1" x14ac:dyDescent="0.35">
      <c r="E19514" s="35"/>
      <c r="J19514" s="41"/>
    </row>
    <row r="19515" spans="5:10" s="34" customFormat="1" x14ac:dyDescent="0.35">
      <c r="E19515" s="35"/>
      <c r="J19515" s="41"/>
    </row>
    <row r="19516" spans="5:10" s="34" customFormat="1" x14ac:dyDescent="0.35">
      <c r="E19516" s="35"/>
      <c r="J19516" s="41"/>
    </row>
    <row r="19517" spans="5:10" s="34" customFormat="1" x14ac:dyDescent="0.35">
      <c r="E19517" s="35"/>
      <c r="J19517" s="41"/>
    </row>
    <row r="19518" spans="5:10" s="34" customFormat="1" x14ac:dyDescent="0.35">
      <c r="E19518" s="35"/>
      <c r="J19518" s="41"/>
    </row>
    <row r="19519" spans="5:10" s="34" customFormat="1" x14ac:dyDescent="0.35">
      <c r="E19519" s="35"/>
      <c r="J19519" s="41"/>
    </row>
    <row r="19520" spans="5:10" s="34" customFormat="1" x14ac:dyDescent="0.35">
      <c r="E19520" s="35"/>
      <c r="J19520" s="41"/>
    </row>
    <row r="19521" spans="5:10" s="34" customFormat="1" x14ac:dyDescent="0.35">
      <c r="E19521" s="35"/>
      <c r="J19521" s="41"/>
    </row>
    <row r="19522" spans="5:10" s="34" customFormat="1" x14ac:dyDescent="0.35">
      <c r="E19522" s="35"/>
      <c r="J19522" s="41"/>
    </row>
    <row r="19523" spans="5:10" s="34" customFormat="1" x14ac:dyDescent="0.35">
      <c r="E19523" s="35"/>
      <c r="J19523" s="41"/>
    </row>
    <row r="19524" spans="5:10" s="34" customFormat="1" x14ac:dyDescent="0.35">
      <c r="E19524" s="35"/>
      <c r="J19524" s="41"/>
    </row>
    <row r="19525" spans="5:10" s="34" customFormat="1" x14ac:dyDescent="0.35">
      <c r="E19525" s="35"/>
      <c r="J19525" s="41"/>
    </row>
    <row r="19526" spans="5:10" s="34" customFormat="1" x14ac:dyDescent="0.35">
      <c r="E19526" s="35"/>
      <c r="J19526" s="41"/>
    </row>
    <row r="19527" spans="5:10" s="34" customFormat="1" x14ac:dyDescent="0.35">
      <c r="E19527" s="35"/>
      <c r="J19527" s="41"/>
    </row>
    <row r="19528" spans="5:10" s="34" customFormat="1" x14ac:dyDescent="0.35">
      <c r="E19528" s="35"/>
      <c r="J19528" s="41"/>
    </row>
    <row r="19529" spans="5:10" s="34" customFormat="1" x14ac:dyDescent="0.35">
      <c r="E19529" s="35"/>
      <c r="J19529" s="41"/>
    </row>
    <row r="19530" spans="5:10" s="34" customFormat="1" x14ac:dyDescent="0.35">
      <c r="E19530" s="35"/>
      <c r="J19530" s="41"/>
    </row>
    <row r="19531" spans="5:10" s="34" customFormat="1" x14ac:dyDescent="0.35">
      <c r="E19531" s="35"/>
      <c r="J19531" s="41"/>
    </row>
    <row r="19532" spans="5:10" s="34" customFormat="1" x14ac:dyDescent="0.35">
      <c r="E19532" s="35"/>
      <c r="J19532" s="41"/>
    </row>
    <row r="19533" spans="5:10" s="34" customFormat="1" x14ac:dyDescent="0.35">
      <c r="E19533" s="35"/>
      <c r="J19533" s="41"/>
    </row>
    <row r="19534" spans="5:10" s="34" customFormat="1" x14ac:dyDescent="0.35">
      <c r="E19534" s="35"/>
      <c r="J19534" s="41"/>
    </row>
    <row r="19535" spans="5:10" s="34" customFormat="1" x14ac:dyDescent="0.35">
      <c r="E19535" s="35"/>
      <c r="J19535" s="41"/>
    </row>
    <row r="19536" spans="5:10" s="34" customFormat="1" x14ac:dyDescent="0.35">
      <c r="E19536" s="35"/>
      <c r="J19536" s="41"/>
    </row>
    <row r="19537" spans="5:10" s="34" customFormat="1" x14ac:dyDescent="0.35">
      <c r="E19537" s="35"/>
      <c r="J19537" s="41"/>
    </row>
    <row r="19538" spans="5:10" s="34" customFormat="1" x14ac:dyDescent="0.35">
      <c r="E19538" s="35"/>
      <c r="J19538" s="41"/>
    </row>
    <row r="19539" spans="5:10" s="34" customFormat="1" x14ac:dyDescent="0.35">
      <c r="E19539" s="35"/>
      <c r="J19539" s="41"/>
    </row>
    <row r="19540" spans="5:10" s="34" customFormat="1" x14ac:dyDescent="0.35">
      <c r="E19540" s="35"/>
      <c r="J19540" s="41"/>
    </row>
    <row r="19541" spans="5:10" s="34" customFormat="1" x14ac:dyDescent="0.35">
      <c r="E19541" s="35"/>
      <c r="J19541" s="41"/>
    </row>
    <row r="19542" spans="5:10" s="34" customFormat="1" x14ac:dyDescent="0.35">
      <c r="E19542" s="35"/>
      <c r="J19542" s="41"/>
    </row>
    <row r="19543" spans="5:10" s="34" customFormat="1" x14ac:dyDescent="0.35">
      <c r="E19543" s="35"/>
      <c r="J19543" s="41"/>
    </row>
    <row r="19544" spans="5:10" s="34" customFormat="1" x14ac:dyDescent="0.35">
      <c r="E19544" s="35"/>
      <c r="J19544" s="41"/>
    </row>
    <row r="19545" spans="5:10" s="34" customFormat="1" x14ac:dyDescent="0.35">
      <c r="E19545" s="35"/>
      <c r="J19545" s="41"/>
    </row>
    <row r="19546" spans="5:10" s="34" customFormat="1" x14ac:dyDescent="0.35">
      <c r="E19546" s="35"/>
      <c r="J19546" s="41"/>
    </row>
    <row r="19547" spans="5:10" s="34" customFormat="1" x14ac:dyDescent="0.35">
      <c r="E19547" s="35"/>
      <c r="J19547" s="41"/>
    </row>
    <row r="19548" spans="5:10" s="34" customFormat="1" x14ac:dyDescent="0.35">
      <c r="E19548" s="35"/>
      <c r="J19548" s="41"/>
    </row>
    <row r="19549" spans="5:10" s="34" customFormat="1" x14ac:dyDescent="0.35">
      <c r="E19549" s="35"/>
      <c r="J19549" s="41"/>
    </row>
    <row r="19550" spans="5:10" s="34" customFormat="1" x14ac:dyDescent="0.35">
      <c r="E19550" s="35"/>
      <c r="J19550" s="41"/>
    </row>
    <row r="19551" spans="5:10" s="34" customFormat="1" x14ac:dyDescent="0.35">
      <c r="E19551" s="35"/>
      <c r="J19551" s="41"/>
    </row>
    <row r="19552" spans="5:10" s="34" customFormat="1" x14ac:dyDescent="0.35">
      <c r="E19552" s="35"/>
      <c r="J19552" s="41"/>
    </row>
    <row r="19553" spans="5:10" s="34" customFormat="1" x14ac:dyDescent="0.35">
      <c r="E19553" s="35"/>
      <c r="J19553" s="41"/>
    </row>
    <row r="19554" spans="5:10" s="34" customFormat="1" x14ac:dyDescent="0.35">
      <c r="E19554" s="35"/>
      <c r="J19554" s="41"/>
    </row>
    <row r="19555" spans="5:10" s="34" customFormat="1" x14ac:dyDescent="0.35">
      <c r="E19555" s="35"/>
      <c r="J19555" s="41"/>
    </row>
    <row r="19556" spans="5:10" s="34" customFormat="1" x14ac:dyDescent="0.35">
      <c r="E19556" s="35"/>
      <c r="J19556" s="41"/>
    </row>
    <row r="19557" spans="5:10" s="34" customFormat="1" x14ac:dyDescent="0.35">
      <c r="E19557" s="35"/>
      <c r="J19557" s="41"/>
    </row>
    <row r="19558" spans="5:10" s="34" customFormat="1" x14ac:dyDescent="0.35">
      <c r="E19558" s="35"/>
      <c r="J19558" s="41"/>
    </row>
    <row r="19559" spans="5:10" s="34" customFormat="1" x14ac:dyDescent="0.35">
      <c r="E19559" s="35"/>
      <c r="J19559" s="41"/>
    </row>
    <row r="19560" spans="5:10" s="34" customFormat="1" x14ac:dyDescent="0.35">
      <c r="E19560" s="35"/>
      <c r="J19560" s="41"/>
    </row>
    <row r="19561" spans="5:10" s="34" customFormat="1" x14ac:dyDescent="0.35">
      <c r="E19561" s="35"/>
      <c r="J19561" s="41"/>
    </row>
    <row r="19562" spans="5:10" s="34" customFormat="1" x14ac:dyDescent="0.35">
      <c r="E19562" s="35"/>
      <c r="J19562" s="41"/>
    </row>
    <row r="19563" spans="5:10" s="34" customFormat="1" x14ac:dyDescent="0.35">
      <c r="E19563" s="35"/>
      <c r="J19563" s="41"/>
    </row>
    <row r="19564" spans="5:10" s="34" customFormat="1" x14ac:dyDescent="0.35">
      <c r="E19564" s="35"/>
      <c r="J19564" s="41"/>
    </row>
    <row r="19565" spans="5:10" s="34" customFormat="1" x14ac:dyDescent="0.35">
      <c r="E19565" s="35"/>
      <c r="J19565" s="41"/>
    </row>
    <row r="19566" spans="5:10" s="34" customFormat="1" x14ac:dyDescent="0.35">
      <c r="E19566" s="35"/>
      <c r="J19566" s="41"/>
    </row>
    <row r="19567" spans="5:10" s="34" customFormat="1" x14ac:dyDescent="0.35">
      <c r="E19567" s="35"/>
      <c r="J19567" s="41"/>
    </row>
    <row r="19568" spans="5:10" s="34" customFormat="1" x14ac:dyDescent="0.35">
      <c r="E19568" s="35"/>
      <c r="J19568" s="41"/>
    </row>
    <row r="19569" spans="5:10" s="34" customFormat="1" x14ac:dyDescent="0.35">
      <c r="E19569" s="35"/>
      <c r="J19569" s="41"/>
    </row>
    <row r="19570" spans="5:10" s="34" customFormat="1" x14ac:dyDescent="0.35">
      <c r="E19570" s="35"/>
      <c r="J19570" s="41"/>
    </row>
    <row r="19571" spans="5:10" s="34" customFormat="1" x14ac:dyDescent="0.35">
      <c r="E19571" s="35"/>
      <c r="J19571" s="41"/>
    </row>
    <row r="19572" spans="5:10" s="34" customFormat="1" x14ac:dyDescent="0.35">
      <c r="E19572" s="35"/>
      <c r="J19572" s="41"/>
    </row>
    <row r="19573" spans="5:10" s="34" customFormat="1" x14ac:dyDescent="0.35">
      <c r="E19573" s="35"/>
      <c r="J19573" s="41"/>
    </row>
    <row r="19574" spans="5:10" s="34" customFormat="1" x14ac:dyDescent="0.35">
      <c r="E19574" s="35"/>
      <c r="J19574" s="41"/>
    </row>
    <row r="19575" spans="5:10" s="34" customFormat="1" x14ac:dyDescent="0.35">
      <c r="E19575" s="35"/>
      <c r="J19575" s="41"/>
    </row>
    <row r="19576" spans="5:10" s="34" customFormat="1" x14ac:dyDescent="0.35">
      <c r="E19576" s="35"/>
      <c r="J19576" s="41"/>
    </row>
    <row r="19577" spans="5:10" s="34" customFormat="1" x14ac:dyDescent="0.35">
      <c r="E19577" s="35"/>
      <c r="J19577" s="41"/>
    </row>
    <row r="19578" spans="5:10" s="34" customFormat="1" x14ac:dyDescent="0.35">
      <c r="E19578" s="35"/>
      <c r="J19578" s="41"/>
    </row>
    <row r="19579" spans="5:10" s="34" customFormat="1" x14ac:dyDescent="0.35">
      <c r="E19579" s="35"/>
      <c r="J19579" s="41"/>
    </row>
    <row r="19580" spans="5:10" s="34" customFormat="1" x14ac:dyDescent="0.35">
      <c r="E19580" s="35"/>
      <c r="J19580" s="41"/>
    </row>
    <row r="19581" spans="5:10" s="34" customFormat="1" x14ac:dyDescent="0.35">
      <c r="E19581" s="35"/>
      <c r="J19581" s="41"/>
    </row>
    <row r="19582" spans="5:10" s="34" customFormat="1" x14ac:dyDescent="0.35">
      <c r="E19582" s="35"/>
      <c r="J19582" s="41"/>
    </row>
    <row r="19583" spans="5:10" s="34" customFormat="1" x14ac:dyDescent="0.35">
      <c r="E19583" s="35"/>
      <c r="J19583" s="41"/>
    </row>
    <row r="19584" spans="5:10" s="34" customFormat="1" x14ac:dyDescent="0.35">
      <c r="E19584" s="35"/>
      <c r="J19584" s="41"/>
    </row>
    <row r="19585" spans="5:10" s="34" customFormat="1" x14ac:dyDescent="0.35">
      <c r="E19585" s="35"/>
      <c r="J19585" s="41"/>
    </row>
    <row r="19586" spans="5:10" s="34" customFormat="1" x14ac:dyDescent="0.35">
      <c r="E19586" s="35"/>
      <c r="J19586" s="41"/>
    </row>
    <row r="19587" spans="5:10" s="34" customFormat="1" x14ac:dyDescent="0.35">
      <c r="E19587" s="35"/>
      <c r="J19587" s="41"/>
    </row>
    <row r="19588" spans="5:10" s="34" customFormat="1" x14ac:dyDescent="0.35">
      <c r="E19588" s="35"/>
      <c r="J19588" s="41"/>
    </row>
    <row r="19589" spans="5:10" s="34" customFormat="1" x14ac:dyDescent="0.35">
      <c r="E19589" s="35"/>
      <c r="J19589" s="41"/>
    </row>
    <row r="19590" spans="5:10" s="34" customFormat="1" x14ac:dyDescent="0.35">
      <c r="E19590" s="35"/>
      <c r="J19590" s="41"/>
    </row>
    <row r="19591" spans="5:10" s="34" customFormat="1" x14ac:dyDescent="0.35">
      <c r="E19591" s="35"/>
      <c r="J19591" s="41"/>
    </row>
    <row r="19592" spans="5:10" s="34" customFormat="1" x14ac:dyDescent="0.35">
      <c r="E19592" s="35"/>
      <c r="J19592" s="41"/>
    </row>
    <row r="19593" spans="5:10" s="34" customFormat="1" x14ac:dyDescent="0.35">
      <c r="E19593" s="35"/>
      <c r="J19593" s="41"/>
    </row>
    <row r="19594" spans="5:10" s="34" customFormat="1" x14ac:dyDescent="0.35">
      <c r="E19594" s="35"/>
      <c r="J19594" s="41"/>
    </row>
    <row r="19595" spans="5:10" s="34" customFormat="1" x14ac:dyDescent="0.35">
      <c r="E19595" s="35"/>
      <c r="J19595" s="41"/>
    </row>
    <row r="19596" spans="5:10" s="34" customFormat="1" x14ac:dyDescent="0.35">
      <c r="E19596" s="35"/>
      <c r="J19596" s="41"/>
    </row>
    <row r="19597" spans="5:10" s="34" customFormat="1" x14ac:dyDescent="0.35">
      <c r="E19597" s="35"/>
      <c r="J19597" s="41"/>
    </row>
    <row r="19598" spans="5:10" s="34" customFormat="1" x14ac:dyDescent="0.35">
      <c r="E19598" s="35"/>
      <c r="J19598" s="41"/>
    </row>
    <row r="19599" spans="5:10" s="34" customFormat="1" x14ac:dyDescent="0.35">
      <c r="E19599" s="35"/>
      <c r="J19599" s="41"/>
    </row>
    <row r="19600" spans="5:10" s="34" customFormat="1" x14ac:dyDescent="0.35">
      <c r="E19600" s="35"/>
      <c r="J19600" s="41"/>
    </row>
    <row r="19601" spans="5:10" s="34" customFormat="1" x14ac:dyDescent="0.35">
      <c r="E19601" s="35"/>
      <c r="J19601" s="41"/>
    </row>
    <row r="19602" spans="5:10" s="34" customFormat="1" x14ac:dyDescent="0.35">
      <c r="E19602" s="35"/>
      <c r="J19602" s="41"/>
    </row>
    <row r="19603" spans="5:10" s="34" customFormat="1" x14ac:dyDescent="0.35">
      <c r="E19603" s="35"/>
      <c r="J19603" s="41"/>
    </row>
    <row r="19604" spans="5:10" s="34" customFormat="1" x14ac:dyDescent="0.35">
      <c r="E19604" s="35"/>
      <c r="J19604" s="41"/>
    </row>
    <row r="19605" spans="5:10" s="34" customFormat="1" x14ac:dyDescent="0.35">
      <c r="E19605" s="35"/>
      <c r="J19605" s="41"/>
    </row>
    <row r="19606" spans="5:10" s="34" customFormat="1" x14ac:dyDescent="0.35">
      <c r="E19606" s="35"/>
      <c r="J19606" s="41"/>
    </row>
    <row r="19607" spans="5:10" s="34" customFormat="1" x14ac:dyDescent="0.35">
      <c r="E19607" s="35"/>
      <c r="J19607" s="41"/>
    </row>
    <row r="19608" spans="5:10" s="34" customFormat="1" x14ac:dyDescent="0.35">
      <c r="E19608" s="35"/>
      <c r="J19608" s="41"/>
    </row>
    <row r="19609" spans="5:10" s="34" customFormat="1" x14ac:dyDescent="0.35">
      <c r="E19609" s="35"/>
      <c r="J19609" s="41"/>
    </row>
    <row r="19610" spans="5:10" s="34" customFormat="1" x14ac:dyDescent="0.35">
      <c r="E19610" s="35"/>
      <c r="J19610" s="41"/>
    </row>
    <row r="19611" spans="5:10" s="34" customFormat="1" x14ac:dyDescent="0.35">
      <c r="E19611" s="35"/>
      <c r="J19611" s="41"/>
    </row>
    <row r="19612" spans="5:10" s="34" customFormat="1" x14ac:dyDescent="0.35">
      <c r="E19612" s="35"/>
      <c r="J19612" s="41"/>
    </row>
    <row r="19613" spans="5:10" s="34" customFormat="1" x14ac:dyDescent="0.35">
      <c r="E19613" s="35"/>
      <c r="J19613" s="41"/>
    </row>
    <row r="19614" spans="5:10" s="34" customFormat="1" x14ac:dyDescent="0.35">
      <c r="E19614" s="35"/>
      <c r="J19614" s="41"/>
    </row>
    <row r="19615" spans="5:10" s="34" customFormat="1" x14ac:dyDescent="0.35">
      <c r="E19615" s="35"/>
      <c r="J19615" s="41"/>
    </row>
    <row r="19616" spans="5:10" s="34" customFormat="1" x14ac:dyDescent="0.35">
      <c r="E19616" s="35"/>
      <c r="J19616" s="41"/>
    </row>
    <row r="19617" spans="5:10" s="34" customFormat="1" x14ac:dyDescent="0.35">
      <c r="E19617" s="35"/>
      <c r="J19617" s="41"/>
    </row>
    <row r="19618" spans="5:10" s="34" customFormat="1" x14ac:dyDescent="0.35">
      <c r="E19618" s="35"/>
      <c r="J19618" s="41"/>
    </row>
    <row r="19619" spans="5:10" s="34" customFormat="1" x14ac:dyDescent="0.35">
      <c r="E19619" s="35"/>
      <c r="J19619" s="41"/>
    </row>
    <row r="19620" spans="5:10" s="34" customFormat="1" x14ac:dyDescent="0.35">
      <c r="E19620" s="35"/>
      <c r="J19620" s="41"/>
    </row>
    <row r="19621" spans="5:10" s="34" customFormat="1" x14ac:dyDescent="0.35">
      <c r="E19621" s="35"/>
      <c r="J19621" s="41"/>
    </row>
    <row r="19622" spans="5:10" s="34" customFormat="1" x14ac:dyDescent="0.35">
      <c r="E19622" s="35"/>
      <c r="J19622" s="41"/>
    </row>
    <row r="19623" spans="5:10" s="34" customFormat="1" x14ac:dyDescent="0.35">
      <c r="E19623" s="35"/>
      <c r="J19623" s="41"/>
    </row>
    <row r="19624" spans="5:10" s="34" customFormat="1" x14ac:dyDescent="0.35">
      <c r="E19624" s="35"/>
      <c r="J19624" s="41"/>
    </row>
    <row r="19625" spans="5:10" s="34" customFormat="1" x14ac:dyDescent="0.35">
      <c r="E19625" s="35"/>
      <c r="J19625" s="41"/>
    </row>
    <row r="19626" spans="5:10" s="34" customFormat="1" x14ac:dyDescent="0.35">
      <c r="E19626" s="35"/>
      <c r="J19626" s="41"/>
    </row>
    <row r="19627" spans="5:10" s="34" customFormat="1" x14ac:dyDescent="0.35">
      <c r="E19627" s="35"/>
      <c r="J19627" s="41"/>
    </row>
    <row r="19628" spans="5:10" s="34" customFormat="1" x14ac:dyDescent="0.35">
      <c r="E19628" s="35"/>
      <c r="J19628" s="41"/>
    </row>
    <row r="19629" spans="5:10" s="34" customFormat="1" x14ac:dyDescent="0.35">
      <c r="E19629" s="35"/>
      <c r="J19629" s="41"/>
    </row>
    <row r="19630" spans="5:10" s="34" customFormat="1" x14ac:dyDescent="0.35">
      <c r="E19630" s="35"/>
      <c r="J19630" s="41"/>
    </row>
    <row r="19631" spans="5:10" s="34" customFormat="1" x14ac:dyDescent="0.35">
      <c r="E19631" s="35"/>
      <c r="J19631" s="41"/>
    </row>
    <row r="19632" spans="5:10" s="34" customFormat="1" x14ac:dyDescent="0.35">
      <c r="E19632" s="35"/>
      <c r="J19632" s="41"/>
    </row>
    <row r="19633" spans="5:10" s="34" customFormat="1" x14ac:dyDescent="0.35">
      <c r="E19633" s="35"/>
      <c r="J19633" s="41"/>
    </row>
    <row r="19634" spans="5:10" s="34" customFormat="1" x14ac:dyDescent="0.35">
      <c r="E19634" s="35"/>
      <c r="J19634" s="41"/>
    </row>
    <row r="19635" spans="5:10" s="34" customFormat="1" x14ac:dyDescent="0.35">
      <c r="E19635" s="35"/>
      <c r="J19635" s="41"/>
    </row>
    <row r="19636" spans="5:10" s="34" customFormat="1" x14ac:dyDescent="0.35">
      <c r="E19636" s="35"/>
      <c r="J19636" s="41"/>
    </row>
    <row r="19637" spans="5:10" s="34" customFormat="1" x14ac:dyDescent="0.35">
      <c r="E19637" s="35"/>
      <c r="J19637" s="41"/>
    </row>
    <row r="19638" spans="5:10" s="34" customFormat="1" x14ac:dyDescent="0.35">
      <c r="E19638" s="35"/>
      <c r="J19638" s="41"/>
    </row>
    <row r="19639" spans="5:10" s="34" customFormat="1" x14ac:dyDescent="0.35">
      <c r="E19639" s="35"/>
      <c r="J19639" s="41"/>
    </row>
    <row r="19640" spans="5:10" s="34" customFormat="1" x14ac:dyDescent="0.35">
      <c r="E19640" s="35"/>
      <c r="J19640" s="41"/>
    </row>
    <row r="19641" spans="5:10" s="34" customFormat="1" x14ac:dyDescent="0.35">
      <c r="E19641" s="35"/>
      <c r="J19641" s="41"/>
    </row>
    <row r="19642" spans="5:10" s="34" customFormat="1" x14ac:dyDescent="0.35">
      <c r="E19642" s="35"/>
      <c r="J19642" s="41"/>
    </row>
    <row r="19643" spans="5:10" s="34" customFormat="1" x14ac:dyDescent="0.35">
      <c r="E19643" s="35"/>
      <c r="J19643" s="41"/>
    </row>
    <row r="19644" spans="5:10" s="34" customFormat="1" x14ac:dyDescent="0.35">
      <c r="E19644" s="35"/>
      <c r="J19644" s="41"/>
    </row>
    <row r="19645" spans="5:10" s="34" customFormat="1" x14ac:dyDescent="0.35">
      <c r="E19645" s="35"/>
      <c r="J19645" s="41"/>
    </row>
    <row r="19646" spans="5:10" s="34" customFormat="1" x14ac:dyDescent="0.35">
      <c r="E19646" s="35"/>
      <c r="J19646" s="41"/>
    </row>
    <row r="19647" spans="5:10" s="34" customFormat="1" x14ac:dyDescent="0.35">
      <c r="E19647" s="35"/>
      <c r="J19647" s="41"/>
    </row>
    <row r="19648" spans="5:10" s="34" customFormat="1" x14ac:dyDescent="0.35">
      <c r="E19648" s="35"/>
      <c r="J19648" s="41"/>
    </row>
    <row r="19649" spans="5:10" s="34" customFormat="1" x14ac:dyDescent="0.35">
      <c r="E19649" s="35"/>
      <c r="J19649" s="41"/>
    </row>
    <row r="19650" spans="5:10" s="34" customFormat="1" x14ac:dyDescent="0.35">
      <c r="E19650" s="35"/>
      <c r="J19650" s="41"/>
    </row>
    <row r="19651" spans="5:10" s="34" customFormat="1" x14ac:dyDescent="0.35">
      <c r="E19651" s="35"/>
      <c r="J19651" s="41"/>
    </row>
    <row r="19652" spans="5:10" s="34" customFormat="1" x14ac:dyDescent="0.35">
      <c r="E19652" s="35"/>
      <c r="J19652" s="41"/>
    </row>
    <row r="19653" spans="5:10" s="34" customFormat="1" x14ac:dyDescent="0.35">
      <c r="E19653" s="35"/>
      <c r="J19653" s="41"/>
    </row>
    <row r="19654" spans="5:10" s="34" customFormat="1" x14ac:dyDescent="0.35">
      <c r="E19654" s="35"/>
      <c r="J19654" s="41"/>
    </row>
    <row r="19655" spans="5:10" s="34" customFormat="1" x14ac:dyDescent="0.35">
      <c r="E19655" s="35"/>
      <c r="J19655" s="41"/>
    </row>
    <row r="19656" spans="5:10" s="34" customFormat="1" x14ac:dyDescent="0.35">
      <c r="E19656" s="35"/>
      <c r="J19656" s="41"/>
    </row>
    <row r="19657" spans="5:10" s="34" customFormat="1" x14ac:dyDescent="0.35">
      <c r="E19657" s="35"/>
      <c r="J19657" s="41"/>
    </row>
    <row r="19658" spans="5:10" s="34" customFormat="1" x14ac:dyDescent="0.35">
      <c r="E19658" s="35"/>
      <c r="J19658" s="41"/>
    </row>
    <row r="19659" spans="5:10" s="34" customFormat="1" x14ac:dyDescent="0.35">
      <c r="E19659" s="35"/>
      <c r="J19659" s="41"/>
    </row>
    <row r="19660" spans="5:10" s="34" customFormat="1" x14ac:dyDescent="0.35">
      <c r="E19660" s="35"/>
      <c r="J19660" s="41"/>
    </row>
    <row r="19661" spans="5:10" s="34" customFormat="1" x14ac:dyDescent="0.35">
      <c r="E19661" s="35"/>
      <c r="J19661" s="41"/>
    </row>
    <row r="19662" spans="5:10" s="34" customFormat="1" x14ac:dyDescent="0.35">
      <c r="E19662" s="35"/>
      <c r="J19662" s="41"/>
    </row>
    <row r="19663" spans="5:10" s="34" customFormat="1" x14ac:dyDescent="0.35">
      <c r="E19663" s="35"/>
      <c r="J19663" s="41"/>
    </row>
    <row r="19664" spans="5:10" s="34" customFormat="1" x14ac:dyDescent="0.35">
      <c r="E19664" s="35"/>
      <c r="J19664" s="41"/>
    </row>
    <row r="19665" spans="5:10" s="34" customFormat="1" x14ac:dyDescent="0.35">
      <c r="E19665" s="35"/>
      <c r="J19665" s="41"/>
    </row>
    <row r="19666" spans="5:10" s="34" customFormat="1" x14ac:dyDescent="0.35">
      <c r="E19666" s="35"/>
      <c r="J19666" s="41"/>
    </row>
    <row r="19667" spans="5:10" s="34" customFormat="1" x14ac:dyDescent="0.35">
      <c r="E19667" s="35"/>
      <c r="J19667" s="41"/>
    </row>
    <row r="19668" spans="5:10" s="34" customFormat="1" x14ac:dyDescent="0.35">
      <c r="E19668" s="35"/>
      <c r="J19668" s="41"/>
    </row>
    <row r="19669" spans="5:10" s="34" customFormat="1" x14ac:dyDescent="0.35">
      <c r="E19669" s="35"/>
      <c r="J19669" s="41"/>
    </row>
    <row r="19670" spans="5:10" s="34" customFormat="1" x14ac:dyDescent="0.35">
      <c r="E19670" s="35"/>
      <c r="J19670" s="41"/>
    </row>
    <row r="19671" spans="5:10" s="34" customFormat="1" x14ac:dyDescent="0.35">
      <c r="E19671" s="35"/>
      <c r="J19671" s="41"/>
    </row>
    <row r="19672" spans="5:10" s="34" customFormat="1" x14ac:dyDescent="0.35">
      <c r="E19672" s="35"/>
      <c r="J19672" s="41"/>
    </row>
    <row r="19673" spans="5:10" s="34" customFormat="1" x14ac:dyDescent="0.35">
      <c r="E19673" s="35"/>
      <c r="J19673" s="41"/>
    </row>
    <row r="19674" spans="5:10" s="34" customFormat="1" x14ac:dyDescent="0.35">
      <c r="E19674" s="35"/>
      <c r="J19674" s="41"/>
    </row>
    <row r="19675" spans="5:10" s="34" customFormat="1" x14ac:dyDescent="0.35">
      <c r="E19675" s="35"/>
      <c r="J19675" s="41"/>
    </row>
    <row r="19676" spans="5:10" s="34" customFormat="1" x14ac:dyDescent="0.35">
      <c r="E19676" s="35"/>
      <c r="J19676" s="41"/>
    </row>
    <row r="19677" spans="5:10" s="34" customFormat="1" x14ac:dyDescent="0.35">
      <c r="E19677" s="35"/>
      <c r="J19677" s="41"/>
    </row>
    <row r="19678" spans="5:10" s="34" customFormat="1" x14ac:dyDescent="0.35">
      <c r="E19678" s="35"/>
      <c r="J19678" s="41"/>
    </row>
    <row r="19679" spans="5:10" s="34" customFormat="1" x14ac:dyDescent="0.35">
      <c r="E19679" s="35"/>
      <c r="J19679" s="41"/>
    </row>
    <row r="19680" spans="5:10" s="34" customFormat="1" x14ac:dyDescent="0.35">
      <c r="E19680" s="35"/>
      <c r="J19680" s="41"/>
    </row>
    <row r="19681" spans="5:10" s="34" customFormat="1" x14ac:dyDescent="0.35">
      <c r="E19681" s="35"/>
      <c r="J19681" s="41"/>
    </row>
    <row r="19682" spans="5:10" s="34" customFormat="1" x14ac:dyDescent="0.35">
      <c r="E19682" s="35"/>
      <c r="J19682" s="41"/>
    </row>
    <row r="19683" spans="5:10" s="34" customFormat="1" x14ac:dyDescent="0.35">
      <c r="E19683" s="35"/>
      <c r="J19683" s="41"/>
    </row>
    <row r="19684" spans="5:10" s="34" customFormat="1" x14ac:dyDescent="0.35">
      <c r="E19684" s="35"/>
      <c r="J19684" s="41"/>
    </row>
    <row r="19685" spans="5:10" s="34" customFormat="1" x14ac:dyDescent="0.35">
      <c r="E19685" s="35"/>
      <c r="J19685" s="41"/>
    </row>
    <row r="19686" spans="5:10" s="34" customFormat="1" x14ac:dyDescent="0.35">
      <c r="E19686" s="35"/>
      <c r="J19686" s="41"/>
    </row>
    <row r="19687" spans="5:10" s="34" customFormat="1" x14ac:dyDescent="0.35">
      <c r="E19687" s="35"/>
      <c r="J19687" s="41"/>
    </row>
    <row r="19688" spans="5:10" s="34" customFormat="1" x14ac:dyDescent="0.35">
      <c r="E19688" s="35"/>
      <c r="J19688" s="41"/>
    </row>
    <row r="19689" spans="5:10" s="34" customFormat="1" x14ac:dyDescent="0.35">
      <c r="E19689" s="35"/>
      <c r="J19689" s="41"/>
    </row>
    <row r="19690" spans="5:10" s="34" customFormat="1" x14ac:dyDescent="0.35">
      <c r="E19690" s="35"/>
      <c r="J19690" s="41"/>
    </row>
    <row r="19691" spans="5:10" s="34" customFormat="1" x14ac:dyDescent="0.35">
      <c r="E19691" s="35"/>
      <c r="J19691" s="41"/>
    </row>
    <row r="19692" spans="5:10" s="34" customFormat="1" x14ac:dyDescent="0.35">
      <c r="E19692" s="35"/>
      <c r="J19692" s="41"/>
    </row>
    <row r="19693" spans="5:10" s="34" customFormat="1" x14ac:dyDescent="0.35">
      <c r="E19693" s="35"/>
      <c r="J19693" s="41"/>
    </row>
    <row r="19694" spans="5:10" s="34" customFormat="1" x14ac:dyDescent="0.35">
      <c r="E19694" s="35"/>
      <c r="J19694" s="41"/>
    </row>
    <row r="19695" spans="5:10" s="34" customFormat="1" x14ac:dyDescent="0.35">
      <c r="E19695" s="35"/>
      <c r="J19695" s="41"/>
    </row>
    <row r="19696" spans="5:10" s="34" customFormat="1" x14ac:dyDescent="0.35">
      <c r="E19696" s="35"/>
      <c r="J19696" s="41"/>
    </row>
    <row r="19697" spans="5:10" s="34" customFormat="1" x14ac:dyDescent="0.35">
      <c r="E19697" s="35"/>
      <c r="J19697" s="41"/>
    </row>
    <row r="19698" spans="5:10" s="34" customFormat="1" x14ac:dyDescent="0.35">
      <c r="E19698" s="35"/>
      <c r="J19698" s="41"/>
    </row>
    <row r="19699" spans="5:10" s="34" customFormat="1" x14ac:dyDescent="0.35">
      <c r="E19699" s="35"/>
      <c r="J19699" s="41"/>
    </row>
    <row r="19700" spans="5:10" s="34" customFormat="1" x14ac:dyDescent="0.35">
      <c r="E19700" s="35"/>
      <c r="J19700" s="41"/>
    </row>
    <row r="19701" spans="5:10" s="34" customFormat="1" x14ac:dyDescent="0.35">
      <c r="E19701" s="35"/>
      <c r="J19701" s="41"/>
    </row>
    <row r="19702" spans="5:10" s="34" customFormat="1" x14ac:dyDescent="0.35">
      <c r="E19702" s="35"/>
      <c r="J19702" s="41"/>
    </row>
    <row r="19703" spans="5:10" s="34" customFormat="1" x14ac:dyDescent="0.35">
      <c r="E19703" s="35"/>
      <c r="J19703" s="41"/>
    </row>
    <row r="19704" spans="5:10" s="34" customFormat="1" x14ac:dyDescent="0.35">
      <c r="E19704" s="35"/>
      <c r="J19704" s="41"/>
    </row>
    <row r="19705" spans="5:10" s="34" customFormat="1" x14ac:dyDescent="0.35">
      <c r="E19705" s="35"/>
      <c r="J19705" s="41"/>
    </row>
    <row r="19706" spans="5:10" s="34" customFormat="1" x14ac:dyDescent="0.35">
      <c r="E19706" s="35"/>
      <c r="J19706" s="41"/>
    </row>
    <row r="19707" spans="5:10" s="34" customFormat="1" x14ac:dyDescent="0.35">
      <c r="E19707" s="35"/>
      <c r="J19707" s="41"/>
    </row>
    <row r="19708" spans="5:10" s="34" customFormat="1" x14ac:dyDescent="0.35">
      <c r="E19708" s="35"/>
      <c r="J19708" s="41"/>
    </row>
    <row r="19709" spans="5:10" s="34" customFormat="1" x14ac:dyDescent="0.35">
      <c r="E19709" s="35"/>
      <c r="J19709" s="41"/>
    </row>
    <row r="19710" spans="5:10" s="34" customFormat="1" x14ac:dyDescent="0.35">
      <c r="E19710" s="35"/>
      <c r="J19710" s="41"/>
    </row>
    <row r="19711" spans="5:10" s="34" customFormat="1" x14ac:dyDescent="0.35">
      <c r="E19711" s="35"/>
      <c r="J19711" s="41"/>
    </row>
    <row r="19712" spans="5:10" s="34" customFormat="1" x14ac:dyDescent="0.35">
      <c r="E19712" s="35"/>
      <c r="J19712" s="41"/>
    </row>
    <row r="19713" spans="5:10" s="34" customFormat="1" x14ac:dyDescent="0.35">
      <c r="E19713" s="35"/>
      <c r="J19713" s="41"/>
    </row>
    <row r="19714" spans="5:10" s="34" customFormat="1" x14ac:dyDescent="0.35">
      <c r="E19714" s="35"/>
      <c r="J19714" s="41"/>
    </row>
    <row r="19715" spans="5:10" s="34" customFormat="1" x14ac:dyDescent="0.35">
      <c r="E19715" s="35"/>
      <c r="J19715" s="41"/>
    </row>
    <row r="19716" spans="5:10" s="34" customFormat="1" x14ac:dyDescent="0.35">
      <c r="E19716" s="35"/>
      <c r="J19716" s="41"/>
    </row>
    <row r="19717" spans="5:10" s="34" customFormat="1" x14ac:dyDescent="0.35">
      <c r="E19717" s="35"/>
      <c r="J19717" s="41"/>
    </row>
    <row r="19718" spans="5:10" s="34" customFormat="1" x14ac:dyDescent="0.35">
      <c r="E19718" s="35"/>
      <c r="J19718" s="41"/>
    </row>
    <row r="19719" spans="5:10" s="34" customFormat="1" x14ac:dyDescent="0.35">
      <c r="E19719" s="35"/>
      <c r="J19719" s="41"/>
    </row>
    <row r="19720" spans="5:10" s="34" customFormat="1" x14ac:dyDescent="0.35">
      <c r="E19720" s="35"/>
      <c r="J19720" s="41"/>
    </row>
    <row r="19721" spans="5:10" s="34" customFormat="1" x14ac:dyDescent="0.35">
      <c r="E19721" s="35"/>
      <c r="J19721" s="41"/>
    </row>
    <row r="19722" spans="5:10" s="34" customFormat="1" x14ac:dyDescent="0.35">
      <c r="E19722" s="35"/>
      <c r="J19722" s="41"/>
    </row>
    <row r="19723" spans="5:10" s="34" customFormat="1" x14ac:dyDescent="0.35">
      <c r="E19723" s="35"/>
      <c r="J19723" s="41"/>
    </row>
    <row r="19724" spans="5:10" s="34" customFormat="1" x14ac:dyDescent="0.35">
      <c r="E19724" s="35"/>
      <c r="J19724" s="41"/>
    </row>
    <row r="19725" spans="5:10" s="34" customFormat="1" x14ac:dyDescent="0.35">
      <c r="E19725" s="35"/>
      <c r="J19725" s="41"/>
    </row>
    <row r="19726" spans="5:10" s="34" customFormat="1" x14ac:dyDescent="0.35">
      <c r="E19726" s="35"/>
      <c r="J19726" s="41"/>
    </row>
    <row r="19727" spans="5:10" s="34" customFormat="1" x14ac:dyDescent="0.35">
      <c r="E19727" s="35"/>
      <c r="J19727" s="41"/>
    </row>
    <row r="19728" spans="5:10" s="34" customFormat="1" x14ac:dyDescent="0.35">
      <c r="E19728" s="35"/>
      <c r="J19728" s="41"/>
    </row>
    <row r="19729" spans="5:10" s="34" customFormat="1" x14ac:dyDescent="0.35">
      <c r="E19729" s="35"/>
      <c r="J19729" s="41"/>
    </row>
    <row r="19730" spans="5:10" s="34" customFormat="1" x14ac:dyDescent="0.35">
      <c r="E19730" s="35"/>
      <c r="J19730" s="41"/>
    </row>
    <row r="19731" spans="5:10" s="34" customFormat="1" x14ac:dyDescent="0.35">
      <c r="E19731" s="35"/>
      <c r="J19731" s="41"/>
    </row>
    <row r="19732" spans="5:10" s="34" customFormat="1" x14ac:dyDescent="0.35">
      <c r="E19732" s="35"/>
      <c r="J19732" s="41"/>
    </row>
    <row r="19733" spans="5:10" s="34" customFormat="1" x14ac:dyDescent="0.35">
      <c r="E19733" s="35"/>
      <c r="J19733" s="41"/>
    </row>
    <row r="19734" spans="5:10" s="34" customFormat="1" x14ac:dyDescent="0.35">
      <c r="E19734" s="35"/>
      <c r="J19734" s="41"/>
    </row>
    <row r="19735" spans="5:10" s="34" customFormat="1" x14ac:dyDescent="0.35">
      <c r="E19735" s="35"/>
      <c r="J19735" s="41"/>
    </row>
    <row r="19736" spans="5:10" s="34" customFormat="1" x14ac:dyDescent="0.35">
      <c r="E19736" s="35"/>
      <c r="J19736" s="41"/>
    </row>
    <row r="19737" spans="5:10" s="34" customFormat="1" x14ac:dyDescent="0.35">
      <c r="E19737" s="35"/>
      <c r="J19737" s="41"/>
    </row>
    <row r="19738" spans="5:10" s="34" customFormat="1" x14ac:dyDescent="0.35">
      <c r="E19738" s="35"/>
      <c r="J19738" s="41"/>
    </row>
    <row r="19739" spans="5:10" s="34" customFormat="1" x14ac:dyDescent="0.35">
      <c r="E19739" s="35"/>
      <c r="J19739" s="41"/>
    </row>
    <row r="19740" spans="5:10" s="34" customFormat="1" x14ac:dyDescent="0.35">
      <c r="E19740" s="35"/>
      <c r="J19740" s="41"/>
    </row>
    <row r="19741" spans="5:10" s="34" customFormat="1" x14ac:dyDescent="0.35">
      <c r="E19741" s="35"/>
      <c r="J19741" s="41"/>
    </row>
    <row r="19742" spans="5:10" s="34" customFormat="1" x14ac:dyDescent="0.35">
      <c r="E19742" s="35"/>
      <c r="J19742" s="41"/>
    </row>
    <row r="19743" spans="5:10" s="34" customFormat="1" x14ac:dyDescent="0.35">
      <c r="E19743" s="35"/>
      <c r="J19743" s="41"/>
    </row>
    <row r="19744" spans="5:10" s="34" customFormat="1" x14ac:dyDescent="0.35">
      <c r="E19744" s="35"/>
      <c r="J19744" s="41"/>
    </row>
    <row r="19745" spans="5:10" s="34" customFormat="1" x14ac:dyDescent="0.35">
      <c r="E19745" s="35"/>
      <c r="J19745" s="41"/>
    </row>
    <row r="19746" spans="5:10" s="34" customFormat="1" x14ac:dyDescent="0.35">
      <c r="E19746" s="35"/>
      <c r="J19746" s="41"/>
    </row>
    <row r="19747" spans="5:10" s="34" customFormat="1" x14ac:dyDescent="0.35">
      <c r="E19747" s="35"/>
      <c r="J19747" s="41"/>
    </row>
    <row r="19748" spans="5:10" s="34" customFormat="1" x14ac:dyDescent="0.35">
      <c r="E19748" s="35"/>
      <c r="J19748" s="41"/>
    </row>
    <row r="19749" spans="5:10" s="34" customFormat="1" x14ac:dyDescent="0.35">
      <c r="E19749" s="35"/>
      <c r="J19749" s="41"/>
    </row>
    <row r="19750" spans="5:10" s="34" customFormat="1" x14ac:dyDescent="0.35">
      <c r="E19750" s="35"/>
      <c r="J19750" s="41"/>
    </row>
    <row r="19751" spans="5:10" s="34" customFormat="1" x14ac:dyDescent="0.35">
      <c r="E19751" s="35"/>
      <c r="J19751" s="41"/>
    </row>
    <row r="19752" spans="5:10" s="34" customFormat="1" x14ac:dyDescent="0.35">
      <c r="E19752" s="35"/>
      <c r="J19752" s="41"/>
    </row>
    <row r="19753" spans="5:10" s="34" customFormat="1" x14ac:dyDescent="0.35">
      <c r="E19753" s="35"/>
      <c r="J19753" s="41"/>
    </row>
    <row r="19754" spans="5:10" s="34" customFormat="1" x14ac:dyDescent="0.35">
      <c r="E19754" s="35"/>
      <c r="J19754" s="41"/>
    </row>
    <row r="19755" spans="5:10" s="34" customFormat="1" x14ac:dyDescent="0.35">
      <c r="E19755" s="35"/>
      <c r="J19755" s="41"/>
    </row>
    <row r="19756" spans="5:10" s="34" customFormat="1" x14ac:dyDescent="0.35">
      <c r="E19756" s="35"/>
      <c r="J19756" s="41"/>
    </row>
    <row r="19757" spans="5:10" s="34" customFormat="1" x14ac:dyDescent="0.35">
      <c r="E19757" s="35"/>
      <c r="J19757" s="41"/>
    </row>
    <row r="19758" spans="5:10" s="34" customFormat="1" x14ac:dyDescent="0.35">
      <c r="E19758" s="35"/>
      <c r="J19758" s="41"/>
    </row>
    <row r="19759" spans="5:10" s="34" customFormat="1" x14ac:dyDescent="0.35">
      <c r="E19759" s="35"/>
      <c r="J19759" s="41"/>
    </row>
    <row r="19760" spans="5:10" s="34" customFormat="1" x14ac:dyDescent="0.35">
      <c r="E19760" s="35"/>
      <c r="J19760" s="41"/>
    </row>
    <row r="19761" spans="5:10" s="34" customFormat="1" x14ac:dyDescent="0.35">
      <c r="E19761" s="35"/>
      <c r="J19761" s="41"/>
    </row>
    <row r="19762" spans="5:10" s="34" customFormat="1" x14ac:dyDescent="0.35">
      <c r="E19762" s="35"/>
      <c r="J19762" s="41"/>
    </row>
    <row r="19763" spans="5:10" s="34" customFormat="1" x14ac:dyDescent="0.35">
      <c r="E19763" s="35"/>
      <c r="J19763" s="41"/>
    </row>
    <row r="19764" spans="5:10" s="34" customFormat="1" x14ac:dyDescent="0.35">
      <c r="E19764" s="35"/>
      <c r="J19764" s="41"/>
    </row>
    <row r="19765" spans="5:10" s="34" customFormat="1" x14ac:dyDescent="0.35">
      <c r="E19765" s="35"/>
      <c r="J19765" s="41"/>
    </row>
    <row r="19766" spans="5:10" s="34" customFormat="1" x14ac:dyDescent="0.35">
      <c r="E19766" s="35"/>
      <c r="J19766" s="41"/>
    </row>
    <row r="19767" spans="5:10" s="34" customFormat="1" x14ac:dyDescent="0.35">
      <c r="E19767" s="35"/>
      <c r="J19767" s="41"/>
    </row>
    <row r="19768" spans="5:10" s="34" customFormat="1" x14ac:dyDescent="0.35">
      <c r="E19768" s="35"/>
      <c r="J19768" s="41"/>
    </row>
    <row r="19769" spans="5:10" s="34" customFormat="1" x14ac:dyDescent="0.35">
      <c r="E19769" s="35"/>
      <c r="J19769" s="41"/>
    </row>
    <row r="19770" spans="5:10" s="34" customFormat="1" x14ac:dyDescent="0.35">
      <c r="E19770" s="35"/>
      <c r="J19770" s="41"/>
    </row>
    <row r="19771" spans="5:10" s="34" customFormat="1" x14ac:dyDescent="0.35">
      <c r="E19771" s="35"/>
      <c r="J19771" s="41"/>
    </row>
    <row r="19772" spans="5:10" s="34" customFormat="1" x14ac:dyDescent="0.35">
      <c r="E19772" s="35"/>
      <c r="J19772" s="41"/>
    </row>
    <row r="19773" spans="5:10" s="34" customFormat="1" x14ac:dyDescent="0.35">
      <c r="E19773" s="35"/>
      <c r="J19773" s="41"/>
    </row>
    <row r="19774" spans="5:10" s="34" customFormat="1" x14ac:dyDescent="0.35">
      <c r="E19774" s="35"/>
      <c r="J19774" s="41"/>
    </row>
    <row r="19775" spans="5:10" s="34" customFormat="1" x14ac:dyDescent="0.35">
      <c r="E19775" s="35"/>
      <c r="J19775" s="41"/>
    </row>
    <row r="19776" spans="5:10" s="34" customFormat="1" x14ac:dyDescent="0.35">
      <c r="E19776" s="35"/>
      <c r="J19776" s="41"/>
    </row>
    <row r="19777" spans="5:10" s="34" customFormat="1" x14ac:dyDescent="0.35">
      <c r="E19777" s="35"/>
      <c r="J19777" s="41"/>
    </row>
    <row r="19778" spans="5:10" s="34" customFormat="1" x14ac:dyDescent="0.35">
      <c r="E19778" s="35"/>
      <c r="J19778" s="41"/>
    </row>
    <row r="19779" spans="5:10" s="34" customFormat="1" x14ac:dyDescent="0.35">
      <c r="E19779" s="35"/>
      <c r="J19779" s="41"/>
    </row>
    <row r="19780" spans="5:10" s="34" customFormat="1" x14ac:dyDescent="0.35">
      <c r="E19780" s="35"/>
      <c r="J19780" s="41"/>
    </row>
    <row r="19781" spans="5:10" s="34" customFormat="1" x14ac:dyDescent="0.35">
      <c r="E19781" s="35"/>
      <c r="J19781" s="41"/>
    </row>
    <row r="19782" spans="5:10" s="34" customFormat="1" x14ac:dyDescent="0.35">
      <c r="E19782" s="35"/>
      <c r="J19782" s="41"/>
    </row>
    <row r="19783" spans="5:10" s="34" customFormat="1" x14ac:dyDescent="0.35">
      <c r="E19783" s="35"/>
      <c r="J19783" s="41"/>
    </row>
    <row r="19784" spans="5:10" s="34" customFormat="1" x14ac:dyDescent="0.35">
      <c r="E19784" s="35"/>
      <c r="J19784" s="41"/>
    </row>
    <row r="19785" spans="5:10" s="34" customFormat="1" x14ac:dyDescent="0.35">
      <c r="E19785" s="35"/>
      <c r="J19785" s="41"/>
    </row>
    <row r="19786" spans="5:10" s="34" customFormat="1" x14ac:dyDescent="0.35">
      <c r="E19786" s="35"/>
      <c r="J19786" s="41"/>
    </row>
    <row r="19787" spans="5:10" s="34" customFormat="1" x14ac:dyDescent="0.35">
      <c r="E19787" s="35"/>
      <c r="J19787" s="41"/>
    </row>
    <row r="19788" spans="5:10" s="34" customFormat="1" x14ac:dyDescent="0.35">
      <c r="E19788" s="35"/>
      <c r="J19788" s="41"/>
    </row>
    <row r="19789" spans="5:10" s="34" customFormat="1" x14ac:dyDescent="0.35">
      <c r="E19789" s="35"/>
      <c r="J19789" s="41"/>
    </row>
    <row r="19790" spans="5:10" s="34" customFormat="1" x14ac:dyDescent="0.35">
      <c r="E19790" s="35"/>
      <c r="J19790" s="41"/>
    </row>
    <row r="19791" spans="5:10" s="34" customFormat="1" x14ac:dyDescent="0.35">
      <c r="E19791" s="35"/>
      <c r="J19791" s="41"/>
    </row>
    <row r="19792" spans="5:10" s="34" customFormat="1" x14ac:dyDescent="0.35">
      <c r="E19792" s="35"/>
      <c r="J19792" s="41"/>
    </row>
    <row r="19793" spans="5:10" s="34" customFormat="1" x14ac:dyDescent="0.35">
      <c r="E19793" s="35"/>
      <c r="J19793" s="41"/>
    </row>
    <row r="19794" spans="5:10" s="34" customFormat="1" x14ac:dyDescent="0.35">
      <c r="E19794" s="35"/>
      <c r="J19794" s="41"/>
    </row>
    <row r="19795" spans="5:10" s="34" customFormat="1" x14ac:dyDescent="0.35">
      <c r="E19795" s="35"/>
      <c r="J19795" s="41"/>
    </row>
    <row r="19796" spans="5:10" s="34" customFormat="1" x14ac:dyDescent="0.35">
      <c r="E19796" s="35"/>
      <c r="J19796" s="41"/>
    </row>
    <row r="19797" spans="5:10" s="34" customFormat="1" x14ac:dyDescent="0.35">
      <c r="E19797" s="35"/>
      <c r="J19797" s="41"/>
    </row>
    <row r="19798" spans="5:10" s="34" customFormat="1" x14ac:dyDescent="0.35">
      <c r="E19798" s="35"/>
      <c r="J19798" s="41"/>
    </row>
    <row r="19799" spans="5:10" s="34" customFormat="1" x14ac:dyDescent="0.35">
      <c r="E19799" s="35"/>
      <c r="J19799" s="41"/>
    </row>
    <row r="19800" spans="5:10" s="34" customFormat="1" x14ac:dyDescent="0.35">
      <c r="E19800" s="35"/>
      <c r="J19800" s="41"/>
    </row>
    <row r="19801" spans="5:10" s="34" customFormat="1" x14ac:dyDescent="0.35">
      <c r="E19801" s="35"/>
      <c r="J19801" s="41"/>
    </row>
    <row r="19802" spans="5:10" s="34" customFormat="1" x14ac:dyDescent="0.35">
      <c r="E19802" s="35"/>
      <c r="J19802" s="41"/>
    </row>
    <row r="19803" spans="5:10" s="34" customFormat="1" x14ac:dyDescent="0.35">
      <c r="E19803" s="35"/>
      <c r="J19803" s="41"/>
    </row>
    <row r="19804" spans="5:10" s="34" customFormat="1" x14ac:dyDescent="0.35">
      <c r="E19804" s="35"/>
      <c r="J19804" s="41"/>
    </row>
    <row r="19805" spans="5:10" s="34" customFormat="1" x14ac:dyDescent="0.35">
      <c r="E19805" s="35"/>
      <c r="J19805" s="41"/>
    </row>
    <row r="19806" spans="5:10" s="34" customFormat="1" x14ac:dyDescent="0.35">
      <c r="E19806" s="35"/>
      <c r="J19806" s="41"/>
    </row>
    <row r="19807" spans="5:10" s="34" customFormat="1" x14ac:dyDescent="0.35">
      <c r="E19807" s="35"/>
      <c r="J19807" s="41"/>
    </row>
    <row r="19808" spans="5:10" s="34" customFormat="1" x14ac:dyDescent="0.35">
      <c r="E19808" s="35"/>
      <c r="J19808" s="41"/>
    </row>
    <row r="19809" spans="5:10" s="34" customFormat="1" x14ac:dyDescent="0.35">
      <c r="E19809" s="35"/>
      <c r="J19809" s="41"/>
    </row>
    <row r="19810" spans="5:10" s="34" customFormat="1" x14ac:dyDescent="0.35">
      <c r="E19810" s="35"/>
      <c r="J19810" s="41"/>
    </row>
    <row r="19811" spans="5:10" s="34" customFormat="1" x14ac:dyDescent="0.35">
      <c r="E19811" s="35"/>
      <c r="J19811" s="41"/>
    </row>
    <row r="19812" spans="5:10" s="34" customFormat="1" x14ac:dyDescent="0.35">
      <c r="E19812" s="35"/>
      <c r="J19812" s="41"/>
    </row>
    <row r="19813" spans="5:10" s="34" customFormat="1" x14ac:dyDescent="0.35">
      <c r="E19813" s="35"/>
      <c r="J19813" s="41"/>
    </row>
    <row r="19814" spans="5:10" s="34" customFormat="1" x14ac:dyDescent="0.35">
      <c r="E19814" s="35"/>
      <c r="J19814" s="41"/>
    </row>
    <row r="19815" spans="5:10" s="34" customFormat="1" x14ac:dyDescent="0.35">
      <c r="E19815" s="35"/>
      <c r="J19815" s="41"/>
    </row>
    <row r="19816" spans="5:10" s="34" customFormat="1" x14ac:dyDescent="0.35">
      <c r="E19816" s="35"/>
      <c r="J19816" s="41"/>
    </row>
    <row r="19817" spans="5:10" s="34" customFormat="1" x14ac:dyDescent="0.35">
      <c r="E19817" s="35"/>
      <c r="J19817" s="41"/>
    </row>
    <row r="19818" spans="5:10" s="34" customFormat="1" x14ac:dyDescent="0.35">
      <c r="E19818" s="35"/>
      <c r="J19818" s="41"/>
    </row>
    <row r="19819" spans="5:10" s="34" customFormat="1" x14ac:dyDescent="0.35">
      <c r="E19819" s="35"/>
      <c r="J19819" s="41"/>
    </row>
    <row r="19820" spans="5:10" s="34" customFormat="1" x14ac:dyDescent="0.35">
      <c r="E19820" s="35"/>
      <c r="J19820" s="41"/>
    </row>
    <row r="19821" spans="5:10" s="34" customFormat="1" x14ac:dyDescent="0.35">
      <c r="E19821" s="35"/>
      <c r="J19821" s="41"/>
    </row>
    <row r="19822" spans="5:10" s="34" customFormat="1" x14ac:dyDescent="0.35">
      <c r="E19822" s="35"/>
      <c r="J19822" s="41"/>
    </row>
    <row r="19823" spans="5:10" s="34" customFormat="1" x14ac:dyDescent="0.35">
      <c r="E19823" s="35"/>
      <c r="J19823" s="41"/>
    </row>
    <row r="19824" spans="5:10" s="34" customFormat="1" x14ac:dyDescent="0.35">
      <c r="E19824" s="35"/>
      <c r="J19824" s="41"/>
    </row>
    <row r="19825" spans="5:10" s="34" customFormat="1" x14ac:dyDescent="0.35">
      <c r="E19825" s="35"/>
      <c r="J19825" s="41"/>
    </row>
    <row r="19826" spans="5:10" s="34" customFormat="1" x14ac:dyDescent="0.35">
      <c r="E19826" s="35"/>
      <c r="J19826" s="41"/>
    </row>
    <row r="19827" spans="5:10" s="34" customFormat="1" x14ac:dyDescent="0.35">
      <c r="E19827" s="35"/>
      <c r="J19827" s="41"/>
    </row>
    <row r="19828" spans="5:10" s="34" customFormat="1" x14ac:dyDescent="0.35">
      <c r="E19828" s="35"/>
      <c r="J19828" s="41"/>
    </row>
    <row r="19829" spans="5:10" s="34" customFormat="1" x14ac:dyDescent="0.35">
      <c r="E19829" s="35"/>
      <c r="J19829" s="41"/>
    </row>
    <row r="19830" spans="5:10" s="34" customFormat="1" x14ac:dyDescent="0.35">
      <c r="E19830" s="35"/>
      <c r="J19830" s="41"/>
    </row>
    <row r="19831" spans="5:10" s="34" customFormat="1" x14ac:dyDescent="0.35">
      <c r="E19831" s="35"/>
      <c r="J19831" s="41"/>
    </row>
    <row r="19832" spans="5:10" s="34" customFormat="1" x14ac:dyDescent="0.35">
      <c r="E19832" s="35"/>
      <c r="J19832" s="41"/>
    </row>
    <row r="19833" spans="5:10" s="34" customFormat="1" x14ac:dyDescent="0.35">
      <c r="E19833" s="35"/>
      <c r="J19833" s="41"/>
    </row>
    <row r="19834" spans="5:10" s="34" customFormat="1" x14ac:dyDescent="0.35">
      <c r="E19834" s="35"/>
      <c r="J19834" s="41"/>
    </row>
    <row r="19835" spans="5:10" s="34" customFormat="1" x14ac:dyDescent="0.35">
      <c r="E19835" s="35"/>
      <c r="J19835" s="41"/>
    </row>
    <row r="19836" spans="5:10" s="34" customFormat="1" x14ac:dyDescent="0.35">
      <c r="E19836" s="35"/>
      <c r="J19836" s="41"/>
    </row>
    <row r="19837" spans="5:10" s="34" customFormat="1" x14ac:dyDescent="0.35">
      <c r="E19837" s="35"/>
      <c r="J19837" s="41"/>
    </row>
    <row r="19838" spans="5:10" s="34" customFormat="1" x14ac:dyDescent="0.35">
      <c r="E19838" s="35"/>
      <c r="J19838" s="41"/>
    </row>
    <row r="19839" spans="5:10" s="34" customFormat="1" x14ac:dyDescent="0.35">
      <c r="E19839" s="35"/>
      <c r="J19839" s="41"/>
    </row>
    <row r="19840" spans="5:10" s="34" customFormat="1" x14ac:dyDescent="0.35">
      <c r="E19840" s="35"/>
      <c r="J19840" s="41"/>
    </row>
    <row r="19841" spans="5:10" s="34" customFormat="1" x14ac:dyDescent="0.35">
      <c r="E19841" s="35"/>
      <c r="J19841" s="41"/>
    </row>
    <row r="19842" spans="5:10" s="34" customFormat="1" x14ac:dyDescent="0.35">
      <c r="E19842" s="35"/>
      <c r="J19842" s="41"/>
    </row>
    <row r="19843" spans="5:10" s="34" customFormat="1" x14ac:dyDescent="0.35">
      <c r="E19843" s="35"/>
      <c r="J19843" s="41"/>
    </row>
    <row r="19844" spans="5:10" s="34" customFormat="1" x14ac:dyDescent="0.35">
      <c r="E19844" s="35"/>
      <c r="J19844" s="41"/>
    </row>
    <row r="19845" spans="5:10" s="34" customFormat="1" x14ac:dyDescent="0.35">
      <c r="E19845" s="35"/>
      <c r="J19845" s="41"/>
    </row>
    <row r="19846" spans="5:10" s="34" customFormat="1" x14ac:dyDescent="0.35">
      <c r="E19846" s="35"/>
      <c r="J19846" s="41"/>
    </row>
    <row r="19847" spans="5:10" s="34" customFormat="1" x14ac:dyDescent="0.35">
      <c r="E19847" s="35"/>
      <c r="J19847" s="41"/>
    </row>
    <row r="19848" spans="5:10" s="34" customFormat="1" x14ac:dyDescent="0.35">
      <c r="E19848" s="35"/>
      <c r="J19848" s="41"/>
    </row>
    <row r="19849" spans="5:10" s="34" customFormat="1" x14ac:dyDescent="0.35">
      <c r="E19849" s="35"/>
      <c r="J19849" s="41"/>
    </row>
    <row r="19850" spans="5:10" s="34" customFormat="1" x14ac:dyDescent="0.35">
      <c r="E19850" s="35"/>
      <c r="J19850" s="41"/>
    </row>
    <row r="19851" spans="5:10" s="34" customFormat="1" x14ac:dyDescent="0.35">
      <c r="E19851" s="35"/>
      <c r="J19851" s="41"/>
    </row>
    <row r="19852" spans="5:10" s="34" customFormat="1" x14ac:dyDescent="0.35">
      <c r="E19852" s="35"/>
      <c r="J19852" s="41"/>
    </row>
    <row r="19853" spans="5:10" s="34" customFormat="1" x14ac:dyDescent="0.35">
      <c r="E19853" s="35"/>
      <c r="J19853" s="41"/>
    </row>
    <row r="19854" spans="5:10" s="34" customFormat="1" x14ac:dyDescent="0.35">
      <c r="E19854" s="35"/>
      <c r="J19854" s="41"/>
    </row>
    <row r="19855" spans="5:10" s="34" customFormat="1" x14ac:dyDescent="0.35">
      <c r="E19855" s="35"/>
      <c r="J19855" s="41"/>
    </row>
    <row r="19856" spans="5:10" s="34" customFormat="1" x14ac:dyDescent="0.35">
      <c r="E19856" s="35"/>
      <c r="J19856" s="41"/>
    </row>
    <row r="19857" spans="5:10" s="34" customFormat="1" x14ac:dyDescent="0.35">
      <c r="E19857" s="35"/>
      <c r="J19857" s="41"/>
    </row>
    <row r="19858" spans="5:10" s="34" customFormat="1" x14ac:dyDescent="0.35">
      <c r="E19858" s="35"/>
      <c r="J19858" s="41"/>
    </row>
    <row r="19859" spans="5:10" s="34" customFormat="1" x14ac:dyDescent="0.35">
      <c r="E19859" s="35"/>
      <c r="J19859" s="41"/>
    </row>
    <row r="19860" spans="5:10" s="34" customFormat="1" x14ac:dyDescent="0.35">
      <c r="E19860" s="35"/>
      <c r="J19860" s="41"/>
    </row>
    <row r="19861" spans="5:10" s="34" customFormat="1" x14ac:dyDescent="0.35">
      <c r="E19861" s="35"/>
      <c r="J19861" s="41"/>
    </row>
    <row r="19862" spans="5:10" s="34" customFormat="1" x14ac:dyDescent="0.35">
      <c r="E19862" s="35"/>
      <c r="J19862" s="41"/>
    </row>
    <row r="19863" spans="5:10" s="34" customFormat="1" x14ac:dyDescent="0.35">
      <c r="E19863" s="35"/>
      <c r="J19863" s="41"/>
    </row>
    <row r="19864" spans="5:10" s="34" customFormat="1" x14ac:dyDescent="0.35">
      <c r="E19864" s="35"/>
      <c r="J19864" s="41"/>
    </row>
    <row r="19865" spans="5:10" s="34" customFormat="1" x14ac:dyDescent="0.35">
      <c r="E19865" s="35"/>
      <c r="J19865" s="41"/>
    </row>
    <row r="19866" spans="5:10" s="34" customFormat="1" x14ac:dyDescent="0.35">
      <c r="E19866" s="35"/>
      <c r="J19866" s="41"/>
    </row>
    <row r="19867" spans="5:10" s="34" customFormat="1" x14ac:dyDescent="0.35">
      <c r="E19867" s="35"/>
      <c r="J19867" s="41"/>
    </row>
    <row r="19868" spans="5:10" s="34" customFormat="1" x14ac:dyDescent="0.35">
      <c r="E19868" s="35"/>
      <c r="J19868" s="41"/>
    </row>
    <row r="19869" spans="5:10" s="34" customFormat="1" x14ac:dyDescent="0.35">
      <c r="E19869" s="35"/>
      <c r="J19869" s="41"/>
    </row>
    <row r="19870" spans="5:10" s="34" customFormat="1" x14ac:dyDescent="0.35">
      <c r="E19870" s="35"/>
      <c r="J19870" s="41"/>
    </row>
    <row r="19871" spans="5:10" s="34" customFormat="1" x14ac:dyDescent="0.35">
      <c r="E19871" s="35"/>
      <c r="J19871" s="41"/>
    </row>
    <row r="19872" spans="5:10" s="34" customFormat="1" x14ac:dyDescent="0.35">
      <c r="E19872" s="35"/>
      <c r="J19872" s="41"/>
    </row>
    <row r="19873" spans="5:10" s="34" customFormat="1" x14ac:dyDescent="0.35">
      <c r="E19873" s="35"/>
      <c r="J19873" s="41"/>
    </row>
    <row r="19874" spans="5:10" s="34" customFormat="1" x14ac:dyDescent="0.35">
      <c r="E19874" s="35"/>
      <c r="J19874" s="41"/>
    </row>
    <row r="19875" spans="5:10" s="34" customFormat="1" x14ac:dyDescent="0.35">
      <c r="E19875" s="35"/>
      <c r="J19875" s="41"/>
    </row>
    <row r="19876" spans="5:10" s="34" customFormat="1" x14ac:dyDescent="0.35">
      <c r="E19876" s="35"/>
      <c r="J19876" s="41"/>
    </row>
    <row r="19877" spans="5:10" s="34" customFormat="1" x14ac:dyDescent="0.35">
      <c r="E19877" s="35"/>
      <c r="J19877" s="41"/>
    </row>
    <row r="19878" spans="5:10" s="34" customFormat="1" x14ac:dyDescent="0.35">
      <c r="E19878" s="35"/>
      <c r="J19878" s="41"/>
    </row>
    <row r="19879" spans="5:10" s="34" customFormat="1" x14ac:dyDescent="0.35">
      <c r="E19879" s="35"/>
      <c r="J19879" s="41"/>
    </row>
    <row r="19880" spans="5:10" s="34" customFormat="1" x14ac:dyDescent="0.35">
      <c r="E19880" s="35"/>
      <c r="J19880" s="41"/>
    </row>
    <row r="19881" spans="5:10" s="34" customFormat="1" x14ac:dyDescent="0.35">
      <c r="E19881" s="35"/>
      <c r="J19881" s="41"/>
    </row>
    <row r="19882" spans="5:10" s="34" customFormat="1" x14ac:dyDescent="0.35">
      <c r="E19882" s="35"/>
      <c r="J19882" s="41"/>
    </row>
    <row r="19883" spans="5:10" s="34" customFormat="1" x14ac:dyDescent="0.35">
      <c r="E19883" s="35"/>
      <c r="J19883" s="41"/>
    </row>
    <row r="19884" spans="5:10" s="34" customFormat="1" x14ac:dyDescent="0.35">
      <c r="E19884" s="35"/>
      <c r="J19884" s="41"/>
    </row>
    <row r="19885" spans="5:10" s="34" customFormat="1" x14ac:dyDescent="0.35">
      <c r="E19885" s="35"/>
      <c r="J19885" s="41"/>
    </row>
    <row r="19886" spans="5:10" s="34" customFormat="1" x14ac:dyDescent="0.35">
      <c r="E19886" s="35"/>
      <c r="J19886" s="41"/>
    </row>
    <row r="19887" spans="5:10" s="34" customFormat="1" x14ac:dyDescent="0.35">
      <c r="E19887" s="35"/>
      <c r="J19887" s="41"/>
    </row>
    <row r="19888" spans="5:10" s="34" customFormat="1" x14ac:dyDescent="0.35">
      <c r="E19888" s="35"/>
      <c r="J19888" s="41"/>
    </row>
    <row r="19889" spans="5:10" s="34" customFormat="1" x14ac:dyDescent="0.35">
      <c r="E19889" s="35"/>
      <c r="J19889" s="41"/>
    </row>
    <row r="19890" spans="5:10" s="34" customFormat="1" x14ac:dyDescent="0.35">
      <c r="E19890" s="35"/>
      <c r="J19890" s="41"/>
    </row>
    <row r="19891" spans="5:10" s="34" customFormat="1" x14ac:dyDescent="0.35">
      <c r="E19891" s="35"/>
      <c r="J19891" s="41"/>
    </row>
    <row r="19892" spans="5:10" s="34" customFormat="1" x14ac:dyDescent="0.35">
      <c r="E19892" s="35"/>
      <c r="J19892" s="41"/>
    </row>
    <row r="19893" spans="5:10" s="34" customFormat="1" x14ac:dyDescent="0.35">
      <c r="E19893" s="35"/>
      <c r="J19893" s="41"/>
    </row>
    <row r="19894" spans="5:10" s="34" customFormat="1" x14ac:dyDescent="0.35">
      <c r="E19894" s="35"/>
      <c r="J19894" s="41"/>
    </row>
    <row r="19895" spans="5:10" s="34" customFormat="1" x14ac:dyDescent="0.35">
      <c r="E19895" s="35"/>
      <c r="J19895" s="41"/>
    </row>
    <row r="19896" spans="5:10" s="34" customFormat="1" x14ac:dyDescent="0.35">
      <c r="E19896" s="35"/>
      <c r="J19896" s="41"/>
    </row>
    <row r="19897" spans="5:10" s="34" customFormat="1" x14ac:dyDescent="0.35">
      <c r="E19897" s="35"/>
      <c r="J19897" s="41"/>
    </row>
    <row r="19898" spans="5:10" s="34" customFormat="1" x14ac:dyDescent="0.35">
      <c r="E19898" s="35"/>
      <c r="J19898" s="41"/>
    </row>
    <row r="19899" spans="5:10" s="34" customFormat="1" x14ac:dyDescent="0.35">
      <c r="E19899" s="35"/>
      <c r="J19899" s="41"/>
    </row>
    <row r="19900" spans="5:10" s="34" customFormat="1" x14ac:dyDescent="0.35">
      <c r="E19900" s="35"/>
      <c r="J19900" s="41"/>
    </row>
    <row r="19901" spans="5:10" s="34" customFormat="1" x14ac:dyDescent="0.35">
      <c r="E19901" s="35"/>
      <c r="J19901" s="41"/>
    </row>
    <row r="19902" spans="5:10" s="34" customFormat="1" x14ac:dyDescent="0.35">
      <c r="E19902" s="35"/>
      <c r="J19902" s="41"/>
    </row>
    <row r="19903" spans="5:10" s="34" customFormat="1" x14ac:dyDescent="0.35">
      <c r="E19903" s="35"/>
      <c r="J19903" s="41"/>
    </row>
    <row r="19904" spans="5:10" s="34" customFormat="1" x14ac:dyDescent="0.35">
      <c r="E19904" s="35"/>
      <c r="J19904" s="41"/>
    </row>
    <row r="19905" spans="5:10" s="34" customFormat="1" x14ac:dyDescent="0.35">
      <c r="E19905" s="35"/>
      <c r="J19905" s="41"/>
    </row>
    <row r="19906" spans="5:10" s="34" customFormat="1" x14ac:dyDescent="0.35">
      <c r="E19906" s="35"/>
      <c r="J19906" s="41"/>
    </row>
    <row r="19907" spans="5:10" s="34" customFormat="1" x14ac:dyDescent="0.35">
      <c r="E19907" s="35"/>
      <c r="J19907" s="41"/>
    </row>
    <row r="19908" spans="5:10" s="34" customFormat="1" x14ac:dyDescent="0.35">
      <c r="E19908" s="35"/>
      <c r="J19908" s="41"/>
    </row>
    <row r="19909" spans="5:10" s="34" customFormat="1" x14ac:dyDescent="0.35">
      <c r="E19909" s="35"/>
      <c r="J19909" s="41"/>
    </row>
    <row r="19910" spans="5:10" s="34" customFormat="1" x14ac:dyDescent="0.35">
      <c r="E19910" s="35"/>
      <c r="J19910" s="41"/>
    </row>
    <row r="19911" spans="5:10" s="34" customFormat="1" x14ac:dyDescent="0.35">
      <c r="E19911" s="35"/>
      <c r="J19911" s="41"/>
    </row>
    <row r="19912" spans="5:10" s="34" customFormat="1" x14ac:dyDescent="0.35">
      <c r="E19912" s="35"/>
      <c r="J19912" s="41"/>
    </row>
    <row r="19913" spans="5:10" s="34" customFormat="1" x14ac:dyDescent="0.35">
      <c r="E19913" s="35"/>
      <c r="J19913" s="41"/>
    </row>
    <row r="19914" spans="5:10" s="34" customFormat="1" x14ac:dyDescent="0.35">
      <c r="E19914" s="35"/>
      <c r="J19914" s="41"/>
    </row>
    <row r="19915" spans="5:10" s="34" customFormat="1" x14ac:dyDescent="0.35">
      <c r="E19915" s="35"/>
      <c r="J19915" s="41"/>
    </row>
    <row r="19916" spans="5:10" s="34" customFormat="1" x14ac:dyDescent="0.35">
      <c r="E19916" s="35"/>
      <c r="J19916" s="41"/>
    </row>
    <row r="19917" spans="5:10" s="34" customFormat="1" x14ac:dyDescent="0.35">
      <c r="E19917" s="35"/>
      <c r="J19917" s="41"/>
    </row>
    <row r="19918" spans="5:10" s="34" customFormat="1" x14ac:dyDescent="0.35">
      <c r="E19918" s="35"/>
      <c r="J19918" s="41"/>
    </row>
    <row r="19919" spans="5:10" s="34" customFormat="1" x14ac:dyDescent="0.35">
      <c r="E19919" s="35"/>
      <c r="J19919" s="41"/>
    </row>
    <row r="19920" spans="5:10" s="34" customFormat="1" x14ac:dyDescent="0.35">
      <c r="E19920" s="35"/>
      <c r="J19920" s="41"/>
    </row>
    <row r="19921" spans="5:10" s="34" customFormat="1" x14ac:dyDescent="0.35">
      <c r="E19921" s="35"/>
      <c r="J19921" s="41"/>
    </row>
    <row r="19922" spans="5:10" s="34" customFormat="1" x14ac:dyDescent="0.35">
      <c r="E19922" s="35"/>
      <c r="J19922" s="41"/>
    </row>
    <row r="19923" spans="5:10" s="34" customFormat="1" x14ac:dyDescent="0.35">
      <c r="E19923" s="35"/>
      <c r="J19923" s="41"/>
    </row>
    <row r="19924" spans="5:10" s="34" customFormat="1" x14ac:dyDescent="0.35">
      <c r="E19924" s="35"/>
      <c r="J19924" s="41"/>
    </row>
    <row r="19925" spans="5:10" s="34" customFormat="1" x14ac:dyDescent="0.35">
      <c r="E19925" s="35"/>
      <c r="J19925" s="41"/>
    </row>
    <row r="19926" spans="5:10" s="34" customFormat="1" x14ac:dyDescent="0.35">
      <c r="E19926" s="35"/>
      <c r="J19926" s="41"/>
    </row>
    <row r="19927" spans="5:10" s="34" customFormat="1" x14ac:dyDescent="0.35">
      <c r="E19927" s="35"/>
      <c r="J19927" s="41"/>
    </row>
    <row r="19928" spans="5:10" s="34" customFormat="1" x14ac:dyDescent="0.35">
      <c r="E19928" s="35"/>
      <c r="J19928" s="41"/>
    </row>
    <row r="19929" spans="5:10" s="34" customFormat="1" x14ac:dyDescent="0.35">
      <c r="E19929" s="35"/>
      <c r="J19929" s="41"/>
    </row>
    <row r="19930" spans="5:10" s="34" customFormat="1" x14ac:dyDescent="0.35">
      <c r="E19930" s="35"/>
      <c r="J19930" s="41"/>
    </row>
    <row r="19931" spans="5:10" s="34" customFormat="1" x14ac:dyDescent="0.35">
      <c r="E19931" s="35"/>
      <c r="J19931" s="41"/>
    </row>
    <row r="19932" spans="5:10" s="34" customFormat="1" x14ac:dyDescent="0.35">
      <c r="E19932" s="35"/>
      <c r="J19932" s="41"/>
    </row>
    <row r="19933" spans="5:10" s="34" customFormat="1" x14ac:dyDescent="0.35">
      <c r="E19933" s="35"/>
      <c r="J19933" s="41"/>
    </row>
    <row r="19934" spans="5:10" s="34" customFormat="1" x14ac:dyDescent="0.35">
      <c r="E19934" s="35"/>
      <c r="J19934" s="41"/>
    </row>
    <row r="19935" spans="5:10" s="34" customFormat="1" x14ac:dyDescent="0.35">
      <c r="E19935" s="35"/>
      <c r="J19935" s="41"/>
    </row>
    <row r="19936" spans="5:10" s="34" customFormat="1" x14ac:dyDescent="0.35">
      <c r="E19936" s="35"/>
      <c r="J19936" s="41"/>
    </row>
    <row r="19937" spans="5:10" s="34" customFormat="1" x14ac:dyDescent="0.35">
      <c r="E19937" s="35"/>
      <c r="J19937" s="41"/>
    </row>
    <row r="19938" spans="5:10" s="34" customFormat="1" x14ac:dyDescent="0.35">
      <c r="E19938" s="35"/>
      <c r="J19938" s="41"/>
    </row>
    <row r="19939" spans="5:10" s="34" customFormat="1" x14ac:dyDescent="0.35">
      <c r="E19939" s="35"/>
      <c r="J19939" s="41"/>
    </row>
    <row r="19940" spans="5:10" s="34" customFormat="1" x14ac:dyDescent="0.35">
      <c r="E19940" s="35"/>
      <c r="J19940" s="41"/>
    </row>
    <row r="19941" spans="5:10" s="34" customFormat="1" x14ac:dyDescent="0.35">
      <c r="E19941" s="35"/>
      <c r="J19941" s="41"/>
    </row>
    <row r="19942" spans="5:10" s="34" customFormat="1" x14ac:dyDescent="0.35">
      <c r="E19942" s="35"/>
      <c r="J19942" s="41"/>
    </row>
    <row r="19943" spans="5:10" s="34" customFormat="1" x14ac:dyDescent="0.35">
      <c r="E19943" s="35"/>
      <c r="J19943" s="41"/>
    </row>
    <row r="19944" spans="5:10" s="34" customFormat="1" x14ac:dyDescent="0.35">
      <c r="E19944" s="35"/>
      <c r="J19944" s="41"/>
    </row>
    <row r="19945" spans="5:10" s="34" customFormat="1" x14ac:dyDescent="0.35">
      <c r="E19945" s="35"/>
      <c r="J19945" s="41"/>
    </row>
    <row r="19946" spans="5:10" s="34" customFormat="1" x14ac:dyDescent="0.35">
      <c r="E19946" s="35"/>
      <c r="J19946" s="41"/>
    </row>
    <row r="19947" spans="5:10" s="34" customFormat="1" x14ac:dyDescent="0.35">
      <c r="E19947" s="35"/>
      <c r="J19947" s="41"/>
    </row>
    <row r="19948" spans="5:10" s="34" customFormat="1" x14ac:dyDescent="0.35">
      <c r="E19948" s="35"/>
      <c r="J19948" s="41"/>
    </row>
    <row r="19949" spans="5:10" s="34" customFormat="1" x14ac:dyDescent="0.35">
      <c r="E19949" s="35"/>
      <c r="J19949" s="41"/>
    </row>
    <row r="19950" spans="5:10" s="34" customFormat="1" x14ac:dyDescent="0.35">
      <c r="E19950" s="35"/>
      <c r="J19950" s="41"/>
    </row>
    <row r="19951" spans="5:10" s="34" customFormat="1" x14ac:dyDescent="0.35">
      <c r="E19951" s="35"/>
      <c r="J19951" s="41"/>
    </row>
    <row r="19952" spans="5:10" s="34" customFormat="1" x14ac:dyDescent="0.35">
      <c r="E19952" s="35"/>
      <c r="J19952" s="41"/>
    </row>
    <row r="19953" spans="5:10" s="34" customFormat="1" x14ac:dyDescent="0.35">
      <c r="E19953" s="35"/>
      <c r="J19953" s="41"/>
    </row>
    <row r="19954" spans="5:10" s="34" customFormat="1" x14ac:dyDescent="0.35">
      <c r="E19954" s="35"/>
      <c r="J19954" s="41"/>
    </row>
    <row r="19955" spans="5:10" s="34" customFormat="1" x14ac:dyDescent="0.35">
      <c r="E19955" s="35"/>
      <c r="J19955" s="41"/>
    </row>
    <row r="19956" spans="5:10" s="34" customFormat="1" x14ac:dyDescent="0.35">
      <c r="E19956" s="35"/>
      <c r="J19956" s="41"/>
    </row>
    <row r="19957" spans="5:10" s="34" customFormat="1" x14ac:dyDescent="0.35">
      <c r="E19957" s="35"/>
      <c r="J19957" s="41"/>
    </row>
    <row r="19958" spans="5:10" s="34" customFormat="1" x14ac:dyDescent="0.35">
      <c r="E19958" s="35"/>
      <c r="J19958" s="41"/>
    </row>
    <row r="19959" spans="5:10" s="34" customFormat="1" x14ac:dyDescent="0.35">
      <c r="E19959" s="35"/>
      <c r="J19959" s="41"/>
    </row>
    <row r="19960" spans="5:10" s="34" customFormat="1" x14ac:dyDescent="0.35">
      <c r="E19960" s="35"/>
      <c r="J19960" s="41"/>
    </row>
    <row r="19961" spans="5:10" s="34" customFormat="1" x14ac:dyDescent="0.35">
      <c r="E19961" s="35"/>
      <c r="J19961" s="41"/>
    </row>
    <row r="19962" spans="5:10" s="34" customFormat="1" x14ac:dyDescent="0.35">
      <c r="E19962" s="35"/>
      <c r="J19962" s="41"/>
    </row>
    <row r="19963" spans="5:10" s="34" customFormat="1" x14ac:dyDescent="0.35">
      <c r="E19963" s="35"/>
      <c r="J19963" s="41"/>
    </row>
    <row r="19964" spans="5:10" s="34" customFormat="1" x14ac:dyDescent="0.35">
      <c r="E19964" s="35"/>
      <c r="J19964" s="41"/>
    </row>
    <row r="19965" spans="5:10" s="34" customFormat="1" x14ac:dyDescent="0.35">
      <c r="E19965" s="35"/>
      <c r="J19965" s="41"/>
    </row>
    <row r="19966" spans="5:10" s="34" customFormat="1" x14ac:dyDescent="0.35">
      <c r="E19966" s="35"/>
      <c r="J19966" s="41"/>
    </row>
    <row r="19967" spans="5:10" s="34" customFormat="1" x14ac:dyDescent="0.35">
      <c r="E19967" s="35"/>
      <c r="J19967" s="41"/>
    </row>
    <row r="19968" spans="5:10" s="34" customFormat="1" x14ac:dyDescent="0.35">
      <c r="E19968" s="35"/>
      <c r="J19968" s="41"/>
    </row>
    <row r="19969" spans="5:10" s="34" customFormat="1" x14ac:dyDescent="0.35">
      <c r="E19969" s="35"/>
      <c r="J19969" s="41"/>
    </row>
    <row r="19970" spans="5:10" s="34" customFormat="1" x14ac:dyDescent="0.35">
      <c r="E19970" s="35"/>
      <c r="J19970" s="41"/>
    </row>
    <row r="19971" spans="5:10" s="34" customFormat="1" x14ac:dyDescent="0.35">
      <c r="E19971" s="35"/>
      <c r="J19971" s="41"/>
    </row>
    <row r="19972" spans="5:10" s="34" customFormat="1" x14ac:dyDescent="0.35">
      <c r="E19972" s="35"/>
      <c r="J19972" s="41"/>
    </row>
    <row r="19973" spans="5:10" s="34" customFormat="1" x14ac:dyDescent="0.35">
      <c r="E19973" s="35"/>
      <c r="J19973" s="41"/>
    </row>
    <row r="19974" spans="5:10" s="34" customFormat="1" x14ac:dyDescent="0.35">
      <c r="E19974" s="35"/>
      <c r="J19974" s="41"/>
    </row>
    <row r="19975" spans="5:10" s="34" customFormat="1" x14ac:dyDescent="0.35">
      <c r="E19975" s="35"/>
      <c r="J19975" s="41"/>
    </row>
    <row r="19976" spans="5:10" s="34" customFormat="1" x14ac:dyDescent="0.35">
      <c r="E19976" s="35"/>
      <c r="J19976" s="41"/>
    </row>
    <row r="19977" spans="5:10" s="34" customFormat="1" x14ac:dyDescent="0.35">
      <c r="E19977" s="35"/>
      <c r="J19977" s="41"/>
    </row>
    <row r="19978" spans="5:10" s="34" customFormat="1" x14ac:dyDescent="0.35">
      <c r="E19978" s="35"/>
      <c r="J19978" s="41"/>
    </row>
    <row r="19979" spans="5:10" s="34" customFormat="1" x14ac:dyDescent="0.35">
      <c r="E19979" s="35"/>
      <c r="J19979" s="41"/>
    </row>
    <row r="19980" spans="5:10" s="34" customFormat="1" x14ac:dyDescent="0.35">
      <c r="E19980" s="35"/>
      <c r="J19980" s="41"/>
    </row>
    <row r="19981" spans="5:10" s="34" customFormat="1" x14ac:dyDescent="0.35">
      <c r="E19981" s="35"/>
      <c r="J19981" s="41"/>
    </row>
    <row r="19982" spans="5:10" s="34" customFormat="1" x14ac:dyDescent="0.35">
      <c r="E19982" s="35"/>
      <c r="J19982" s="41"/>
    </row>
    <row r="19983" spans="5:10" s="34" customFormat="1" x14ac:dyDescent="0.35">
      <c r="E19983" s="35"/>
      <c r="J19983" s="41"/>
    </row>
    <row r="19984" spans="5:10" s="34" customFormat="1" x14ac:dyDescent="0.35">
      <c r="E19984" s="35"/>
      <c r="J19984" s="41"/>
    </row>
    <row r="19985" spans="5:10" s="34" customFormat="1" x14ac:dyDescent="0.35">
      <c r="E19985" s="35"/>
      <c r="J19985" s="41"/>
    </row>
    <row r="19986" spans="5:10" s="34" customFormat="1" x14ac:dyDescent="0.35">
      <c r="E19986" s="35"/>
      <c r="J19986" s="41"/>
    </row>
    <row r="19987" spans="5:10" s="34" customFormat="1" x14ac:dyDescent="0.35">
      <c r="E19987" s="35"/>
      <c r="J19987" s="41"/>
    </row>
    <row r="19988" spans="5:10" s="34" customFormat="1" x14ac:dyDescent="0.35">
      <c r="E19988" s="35"/>
      <c r="J19988" s="41"/>
    </row>
    <row r="19989" spans="5:10" s="34" customFormat="1" x14ac:dyDescent="0.35">
      <c r="E19989" s="35"/>
      <c r="J19989" s="41"/>
    </row>
    <row r="19990" spans="5:10" s="34" customFormat="1" x14ac:dyDescent="0.35">
      <c r="E19990" s="35"/>
      <c r="J19990" s="41"/>
    </row>
    <row r="19991" spans="5:10" s="34" customFormat="1" x14ac:dyDescent="0.35">
      <c r="E19991" s="35"/>
      <c r="J19991" s="41"/>
    </row>
    <row r="19992" spans="5:10" s="34" customFormat="1" x14ac:dyDescent="0.35">
      <c r="E19992" s="35"/>
      <c r="J19992" s="41"/>
    </row>
    <row r="19993" spans="5:10" s="34" customFormat="1" x14ac:dyDescent="0.35">
      <c r="E19993" s="35"/>
      <c r="J19993" s="41"/>
    </row>
    <row r="19994" spans="5:10" s="34" customFormat="1" x14ac:dyDescent="0.35">
      <c r="E19994" s="35"/>
      <c r="J19994" s="41"/>
    </row>
    <row r="19995" spans="5:10" s="34" customFormat="1" x14ac:dyDescent="0.35">
      <c r="E19995" s="35"/>
      <c r="J19995" s="41"/>
    </row>
    <row r="19996" spans="5:10" s="34" customFormat="1" x14ac:dyDescent="0.35">
      <c r="E19996" s="35"/>
      <c r="J19996" s="41"/>
    </row>
    <row r="19997" spans="5:10" s="34" customFormat="1" x14ac:dyDescent="0.35">
      <c r="E19997" s="35"/>
      <c r="J19997" s="41"/>
    </row>
    <row r="19998" spans="5:10" s="34" customFormat="1" x14ac:dyDescent="0.35">
      <c r="E19998" s="35"/>
      <c r="J19998" s="41"/>
    </row>
    <row r="19999" spans="5:10" s="34" customFormat="1" x14ac:dyDescent="0.35">
      <c r="E19999" s="35"/>
      <c r="J19999" s="41"/>
    </row>
    <row r="20000" spans="5:10" s="34" customFormat="1" x14ac:dyDescent="0.35">
      <c r="E20000" s="35"/>
      <c r="J20000" s="41"/>
    </row>
    <row r="20001" spans="5:10" s="34" customFormat="1" x14ac:dyDescent="0.35">
      <c r="E20001" s="35"/>
      <c r="J20001" s="41"/>
    </row>
    <row r="20002" spans="5:10" s="34" customFormat="1" x14ac:dyDescent="0.35">
      <c r="E20002" s="35"/>
      <c r="J20002" s="41"/>
    </row>
    <row r="20003" spans="5:10" s="34" customFormat="1" x14ac:dyDescent="0.35">
      <c r="E20003" s="35"/>
      <c r="J20003" s="41"/>
    </row>
    <row r="20004" spans="5:10" s="34" customFormat="1" x14ac:dyDescent="0.35">
      <c r="E20004" s="35"/>
      <c r="J20004" s="41"/>
    </row>
    <row r="20005" spans="5:10" s="34" customFormat="1" x14ac:dyDescent="0.35">
      <c r="E20005" s="35"/>
      <c r="J20005" s="41"/>
    </row>
    <row r="20006" spans="5:10" s="34" customFormat="1" x14ac:dyDescent="0.35">
      <c r="E20006" s="35"/>
      <c r="J20006" s="41"/>
    </row>
    <row r="20007" spans="5:10" s="34" customFormat="1" x14ac:dyDescent="0.35">
      <c r="E20007" s="35"/>
      <c r="J20007" s="41"/>
    </row>
    <row r="20008" spans="5:10" s="34" customFormat="1" x14ac:dyDescent="0.35">
      <c r="E20008" s="35"/>
      <c r="J20008" s="41"/>
    </row>
    <row r="20009" spans="5:10" s="34" customFormat="1" x14ac:dyDescent="0.35">
      <c r="E20009" s="35"/>
      <c r="J20009" s="41"/>
    </row>
    <row r="20010" spans="5:10" s="34" customFormat="1" x14ac:dyDescent="0.35">
      <c r="E20010" s="35"/>
      <c r="J20010" s="41"/>
    </row>
    <row r="20011" spans="5:10" s="34" customFormat="1" x14ac:dyDescent="0.35">
      <c r="E20011" s="35"/>
      <c r="J20011" s="41"/>
    </row>
    <row r="20012" spans="5:10" s="34" customFormat="1" x14ac:dyDescent="0.35">
      <c r="E20012" s="35"/>
      <c r="J20012" s="41"/>
    </row>
    <row r="20013" spans="5:10" s="34" customFormat="1" x14ac:dyDescent="0.35">
      <c r="E20013" s="35"/>
      <c r="J20013" s="41"/>
    </row>
    <row r="20014" spans="5:10" s="34" customFormat="1" x14ac:dyDescent="0.35">
      <c r="E20014" s="35"/>
      <c r="J20014" s="41"/>
    </row>
    <row r="20015" spans="5:10" s="34" customFormat="1" x14ac:dyDescent="0.35">
      <c r="E20015" s="35"/>
      <c r="J20015" s="41"/>
    </row>
    <row r="20016" spans="5:10" s="34" customFormat="1" x14ac:dyDescent="0.35">
      <c r="E20016" s="35"/>
      <c r="J20016" s="41"/>
    </row>
    <row r="20017" spans="5:10" s="34" customFormat="1" x14ac:dyDescent="0.35">
      <c r="E20017" s="35"/>
      <c r="J20017" s="41"/>
    </row>
    <row r="20018" spans="5:10" s="34" customFormat="1" x14ac:dyDescent="0.35">
      <c r="E20018" s="35"/>
      <c r="J20018" s="41"/>
    </row>
    <row r="20019" spans="5:10" s="34" customFormat="1" x14ac:dyDescent="0.35">
      <c r="E20019" s="35"/>
      <c r="J20019" s="41"/>
    </row>
    <row r="20020" spans="5:10" s="34" customFormat="1" x14ac:dyDescent="0.35">
      <c r="E20020" s="35"/>
      <c r="J20020" s="41"/>
    </row>
    <row r="20021" spans="5:10" s="34" customFormat="1" x14ac:dyDescent="0.35">
      <c r="E20021" s="35"/>
      <c r="J20021" s="41"/>
    </row>
    <row r="20022" spans="5:10" s="34" customFormat="1" x14ac:dyDescent="0.35">
      <c r="E20022" s="35"/>
      <c r="J20022" s="41"/>
    </row>
    <row r="20023" spans="5:10" s="34" customFormat="1" x14ac:dyDescent="0.35">
      <c r="E20023" s="35"/>
      <c r="J20023" s="41"/>
    </row>
    <row r="20024" spans="5:10" s="34" customFormat="1" x14ac:dyDescent="0.35">
      <c r="E20024" s="35"/>
      <c r="J20024" s="41"/>
    </row>
    <row r="20025" spans="5:10" s="34" customFormat="1" x14ac:dyDescent="0.35">
      <c r="E20025" s="35"/>
      <c r="J20025" s="41"/>
    </row>
    <row r="20026" spans="5:10" s="34" customFormat="1" x14ac:dyDescent="0.35">
      <c r="E20026" s="35"/>
      <c r="J20026" s="41"/>
    </row>
    <row r="20027" spans="5:10" s="34" customFormat="1" x14ac:dyDescent="0.35">
      <c r="E20027" s="35"/>
      <c r="J20027" s="41"/>
    </row>
    <row r="20028" spans="5:10" s="34" customFormat="1" x14ac:dyDescent="0.35">
      <c r="E20028" s="35"/>
      <c r="J20028" s="41"/>
    </row>
    <row r="20029" spans="5:10" s="34" customFormat="1" x14ac:dyDescent="0.35">
      <c r="E20029" s="35"/>
      <c r="J20029" s="41"/>
    </row>
    <row r="20030" spans="5:10" s="34" customFormat="1" x14ac:dyDescent="0.35">
      <c r="E20030" s="35"/>
      <c r="J20030" s="41"/>
    </row>
    <row r="20031" spans="5:10" s="34" customFormat="1" x14ac:dyDescent="0.35">
      <c r="E20031" s="35"/>
      <c r="J20031" s="41"/>
    </row>
    <row r="20032" spans="5:10" s="34" customFormat="1" x14ac:dyDescent="0.35">
      <c r="E20032" s="35"/>
      <c r="J20032" s="41"/>
    </row>
    <row r="20033" spans="5:10" s="34" customFormat="1" x14ac:dyDescent="0.35">
      <c r="E20033" s="35"/>
      <c r="J20033" s="41"/>
    </row>
    <row r="20034" spans="5:10" s="34" customFormat="1" x14ac:dyDescent="0.35">
      <c r="E20034" s="35"/>
      <c r="J20034" s="41"/>
    </row>
    <row r="20035" spans="5:10" s="34" customFormat="1" x14ac:dyDescent="0.35">
      <c r="E20035" s="35"/>
      <c r="J20035" s="41"/>
    </row>
    <row r="20036" spans="5:10" s="34" customFormat="1" x14ac:dyDescent="0.35">
      <c r="E20036" s="35"/>
      <c r="J20036" s="41"/>
    </row>
    <row r="20037" spans="5:10" s="34" customFormat="1" x14ac:dyDescent="0.35">
      <c r="E20037" s="35"/>
      <c r="J20037" s="41"/>
    </row>
    <row r="20038" spans="5:10" s="34" customFormat="1" x14ac:dyDescent="0.35">
      <c r="E20038" s="35"/>
      <c r="J20038" s="41"/>
    </row>
    <row r="20039" spans="5:10" s="34" customFormat="1" x14ac:dyDescent="0.35">
      <c r="E20039" s="35"/>
      <c r="J20039" s="41"/>
    </row>
    <row r="20040" spans="5:10" s="34" customFormat="1" x14ac:dyDescent="0.35">
      <c r="E20040" s="35"/>
      <c r="J20040" s="41"/>
    </row>
    <row r="20041" spans="5:10" s="34" customFormat="1" x14ac:dyDescent="0.35">
      <c r="E20041" s="35"/>
      <c r="J20041" s="41"/>
    </row>
    <row r="20042" spans="5:10" s="34" customFormat="1" x14ac:dyDescent="0.35">
      <c r="E20042" s="35"/>
      <c r="J20042" s="41"/>
    </row>
    <row r="20043" spans="5:10" s="34" customFormat="1" x14ac:dyDescent="0.35">
      <c r="E20043" s="35"/>
      <c r="J20043" s="41"/>
    </row>
    <row r="20044" spans="5:10" s="34" customFormat="1" x14ac:dyDescent="0.35">
      <c r="E20044" s="35"/>
      <c r="J20044" s="41"/>
    </row>
    <row r="20045" spans="5:10" s="34" customFormat="1" x14ac:dyDescent="0.35">
      <c r="E20045" s="35"/>
      <c r="J20045" s="41"/>
    </row>
    <row r="20046" spans="5:10" s="34" customFormat="1" x14ac:dyDescent="0.35">
      <c r="E20046" s="35"/>
      <c r="J20046" s="41"/>
    </row>
    <row r="20047" spans="5:10" s="34" customFormat="1" x14ac:dyDescent="0.35">
      <c r="E20047" s="35"/>
      <c r="J20047" s="41"/>
    </row>
    <row r="20048" spans="5:10" s="34" customFormat="1" x14ac:dyDescent="0.35">
      <c r="E20048" s="35"/>
      <c r="J20048" s="41"/>
    </row>
    <row r="20049" spans="5:10" s="34" customFormat="1" x14ac:dyDescent="0.35">
      <c r="E20049" s="35"/>
      <c r="J20049" s="41"/>
    </row>
    <row r="20050" spans="5:10" s="34" customFormat="1" x14ac:dyDescent="0.35">
      <c r="E20050" s="35"/>
      <c r="J20050" s="41"/>
    </row>
    <row r="20051" spans="5:10" s="34" customFormat="1" x14ac:dyDescent="0.35">
      <c r="E20051" s="35"/>
      <c r="J20051" s="41"/>
    </row>
    <row r="20052" spans="5:10" s="34" customFormat="1" x14ac:dyDescent="0.35">
      <c r="E20052" s="35"/>
      <c r="J20052" s="41"/>
    </row>
    <row r="20053" spans="5:10" s="34" customFormat="1" x14ac:dyDescent="0.35">
      <c r="E20053" s="35"/>
      <c r="J20053" s="41"/>
    </row>
    <row r="20054" spans="5:10" s="34" customFormat="1" x14ac:dyDescent="0.35">
      <c r="E20054" s="35"/>
      <c r="J20054" s="41"/>
    </row>
    <row r="20055" spans="5:10" s="34" customFormat="1" x14ac:dyDescent="0.35">
      <c r="E20055" s="35"/>
      <c r="J20055" s="41"/>
    </row>
    <row r="20056" spans="5:10" s="34" customFormat="1" x14ac:dyDescent="0.35">
      <c r="E20056" s="35"/>
      <c r="J20056" s="41"/>
    </row>
    <row r="20057" spans="5:10" s="34" customFormat="1" x14ac:dyDescent="0.35">
      <c r="E20057" s="35"/>
      <c r="J20057" s="41"/>
    </row>
    <row r="20058" spans="5:10" s="34" customFormat="1" x14ac:dyDescent="0.35">
      <c r="E20058" s="35"/>
      <c r="J20058" s="41"/>
    </row>
    <row r="20059" spans="5:10" s="34" customFormat="1" x14ac:dyDescent="0.35">
      <c r="E20059" s="35"/>
      <c r="J20059" s="41"/>
    </row>
    <row r="20060" spans="5:10" s="34" customFormat="1" x14ac:dyDescent="0.35">
      <c r="E20060" s="35"/>
      <c r="J20060" s="41"/>
    </row>
    <row r="20061" spans="5:10" s="34" customFormat="1" x14ac:dyDescent="0.35">
      <c r="E20061" s="35"/>
      <c r="J20061" s="41"/>
    </row>
    <row r="20062" spans="5:10" s="34" customFormat="1" x14ac:dyDescent="0.35">
      <c r="E20062" s="35"/>
      <c r="J20062" s="41"/>
    </row>
    <row r="20063" spans="5:10" s="34" customFormat="1" x14ac:dyDescent="0.35">
      <c r="E20063" s="35"/>
      <c r="J20063" s="41"/>
    </row>
    <row r="20064" spans="5:10" s="34" customFormat="1" x14ac:dyDescent="0.35">
      <c r="E20064" s="35"/>
      <c r="J20064" s="41"/>
    </row>
    <row r="20065" spans="5:10" s="34" customFormat="1" x14ac:dyDescent="0.35">
      <c r="E20065" s="35"/>
      <c r="J20065" s="41"/>
    </row>
    <row r="20066" spans="5:10" s="34" customFormat="1" x14ac:dyDescent="0.35">
      <c r="E20066" s="35"/>
      <c r="J20066" s="41"/>
    </row>
    <row r="20067" spans="5:10" s="34" customFormat="1" x14ac:dyDescent="0.35">
      <c r="E20067" s="35"/>
      <c r="J20067" s="41"/>
    </row>
    <row r="20068" spans="5:10" s="34" customFormat="1" x14ac:dyDescent="0.35">
      <c r="E20068" s="35"/>
      <c r="J20068" s="41"/>
    </row>
    <row r="20069" spans="5:10" s="34" customFormat="1" x14ac:dyDescent="0.35">
      <c r="E20069" s="35"/>
      <c r="J20069" s="41"/>
    </row>
    <row r="20070" spans="5:10" s="34" customFormat="1" x14ac:dyDescent="0.35">
      <c r="E20070" s="35"/>
      <c r="J20070" s="41"/>
    </row>
    <row r="20071" spans="5:10" s="34" customFormat="1" x14ac:dyDescent="0.35">
      <c r="E20071" s="35"/>
      <c r="J20071" s="41"/>
    </row>
    <row r="20072" spans="5:10" s="34" customFormat="1" x14ac:dyDescent="0.35">
      <c r="E20072" s="35"/>
      <c r="J20072" s="41"/>
    </row>
    <row r="20073" spans="5:10" s="34" customFormat="1" x14ac:dyDescent="0.35">
      <c r="E20073" s="35"/>
      <c r="J20073" s="41"/>
    </row>
    <row r="20074" spans="5:10" s="34" customFormat="1" x14ac:dyDescent="0.35">
      <c r="E20074" s="35"/>
      <c r="J20074" s="41"/>
    </row>
    <row r="20075" spans="5:10" s="34" customFormat="1" x14ac:dyDescent="0.35">
      <c r="E20075" s="35"/>
      <c r="J20075" s="41"/>
    </row>
    <row r="20076" spans="5:10" s="34" customFormat="1" x14ac:dyDescent="0.35">
      <c r="E20076" s="35"/>
      <c r="J20076" s="41"/>
    </row>
    <row r="20077" spans="5:10" s="34" customFormat="1" x14ac:dyDescent="0.35">
      <c r="E20077" s="35"/>
      <c r="J20077" s="41"/>
    </row>
    <row r="20078" spans="5:10" s="34" customFormat="1" x14ac:dyDescent="0.35">
      <c r="E20078" s="35"/>
      <c r="J20078" s="41"/>
    </row>
    <row r="20079" spans="5:10" s="34" customFormat="1" x14ac:dyDescent="0.35">
      <c r="E20079" s="35"/>
      <c r="J20079" s="41"/>
    </row>
    <row r="20080" spans="5:10" s="34" customFormat="1" x14ac:dyDescent="0.35">
      <c r="E20080" s="35"/>
      <c r="J20080" s="41"/>
    </row>
    <row r="20081" spans="5:10" s="34" customFormat="1" x14ac:dyDescent="0.35">
      <c r="E20081" s="35"/>
      <c r="J20081" s="41"/>
    </row>
    <row r="20082" spans="5:10" s="34" customFormat="1" x14ac:dyDescent="0.35">
      <c r="E20082" s="35"/>
      <c r="J20082" s="41"/>
    </row>
    <row r="20083" spans="5:10" s="34" customFormat="1" x14ac:dyDescent="0.35">
      <c r="E20083" s="35"/>
      <c r="J20083" s="41"/>
    </row>
    <row r="20084" spans="5:10" s="34" customFormat="1" x14ac:dyDescent="0.35">
      <c r="E20084" s="35"/>
      <c r="J20084" s="41"/>
    </row>
    <row r="20085" spans="5:10" s="34" customFormat="1" x14ac:dyDescent="0.35">
      <c r="E20085" s="35"/>
      <c r="J20085" s="41"/>
    </row>
    <row r="20086" spans="5:10" s="34" customFormat="1" x14ac:dyDescent="0.35">
      <c r="E20086" s="35"/>
      <c r="J20086" s="41"/>
    </row>
    <row r="20087" spans="5:10" s="34" customFormat="1" x14ac:dyDescent="0.35">
      <c r="E20087" s="35"/>
      <c r="J20087" s="41"/>
    </row>
    <row r="20088" spans="5:10" s="34" customFormat="1" x14ac:dyDescent="0.35">
      <c r="E20088" s="35"/>
      <c r="J20088" s="41"/>
    </row>
    <row r="20089" spans="5:10" s="34" customFormat="1" x14ac:dyDescent="0.35">
      <c r="E20089" s="35"/>
      <c r="J20089" s="41"/>
    </row>
    <row r="20090" spans="5:10" s="34" customFormat="1" x14ac:dyDescent="0.35">
      <c r="E20090" s="35"/>
      <c r="J20090" s="41"/>
    </row>
    <row r="20091" spans="5:10" s="34" customFormat="1" x14ac:dyDescent="0.35">
      <c r="E20091" s="35"/>
      <c r="J20091" s="41"/>
    </row>
    <row r="20092" spans="5:10" s="34" customFormat="1" x14ac:dyDescent="0.35">
      <c r="E20092" s="35"/>
      <c r="J20092" s="41"/>
    </row>
    <row r="20093" spans="5:10" s="34" customFormat="1" x14ac:dyDescent="0.35">
      <c r="E20093" s="35"/>
      <c r="J20093" s="41"/>
    </row>
    <row r="20094" spans="5:10" s="34" customFormat="1" x14ac:dyDescent="0.35">
      <c r="E20094" s="35"/>
      <c r="J20094" s="41"/>
    </row>
    <row r="20095" spans="5:10" s="34" customFormat="1" x14ac:dyDescent="0.35">
      <c r="E20095" s="35"/>
      <c r="J20095" s="41"/>
    </row>
    <row r="20096" spans="5:10" s="34" customFormat="1" x14ac:dyDescent="0.35">
      <c r="E20096" s="35"/>
      <c r="J20096" s="41"/>
    </row>
    <row r="20097" spans="5:10" s="34" customFormat="1" x14ac:dyDescent="0.35">
      <c r="E20097" s="35"/>
      <c r="J20097" s="41"/>
    </row>
    <row r="20098" spans="5:10" s="34" customFormat="1" x14ac:dyDescent="0.35">
      <c r="E20098" s="35"/>
      <c r="J20098" s="41"/>
    </row>
    <row r="20099" spans="5:10" s="34" customFormat="1" x14ac:dyDescent="0.35">
      <c r="E20099" s="35"/>
      <c r="J20099" s="41"/>
    </row>
    <row r="20100" spans="5:10" s="34" customFormat="1" x14ac:dyDescent="0.35">
      <c r="E20100" s="35"/>
      <c r="J20100" s="41"/>
    </row>
    <row r="20101" spans="5:10" s="34" customFormat="1" x14ac:dyDescent="0.35">
      <c r="E20101" s="35"/>
      <c r="J20101" s="41"/>
    </row>
    <row r="20102" spans="5:10" s="34" customFormat="1" x14ac:dyDescent="0.35">
      <c r="E20102" s="35"/>
      <c r="J20102" s="41"/>
    </row>
    <row r="20103" spans="5:10" s="34" customFormat="1" x14ac:dyDescent="0.35">
      <c r="E20103" s="35"/>
      <c r="J20103" s="41"/>
    </row>
    <row r="20104" spans="5:10" s="34" customFormat="1" x14ac:dyDescent="0.35">
      <c r="E20104" s="35"/>
      <c r="J20104" s="41"/>
    </row>
    <row r="20105" spans="5:10" s="34" customFormat="1" x14ac:dyDescent="0.35">
      <c r="E20105" s="35"/>
      <c r="J20105" s="41"/>
    </row>
    <row r="20106" spans="5:10" s="34" customFormat="1" x14ac:dyDescent="0.35">
      <c r="E20106" s="35"/>
      <c r="J20106" s="41"/>
    </row>
    <row r="20107" spans="5:10" s="34" customFormat="1" x14ac:dyDescent="0.35">
      <c r="E20107" s="35"/>
      <c r="J20107" s="41"/>
    </row>
    <row r="20108" spans="5:10" s="34" customFormat="1" x14ac:dyDescent="0.35">
      <c r="E20108" s="35"/>
      <c r="J20108" s="41"/>
    </row>
    <row r="20109" spans="5:10" s="34" customFormat="1" x14ac:dyDescent="0.35">
      <c r="E20109" s="35"/>
      <c r="J20109" s="41"/>
    </row>
    <row r="20110" spans="5:10" s="34" customFormat="1" x14ac:dyDescent="0.35">
      <c r="E20110" s="35"/>
      <c r="J20110" s="41"/>
    </row>
    <row r="20111" spans="5:10" s="34" customFormat="1" x14ac:dyDescent="0.35">
      <c r="E20111" s="35"/>
      <c r="J20111" s="41"/>
    </row>
    <row r="20112" spans="5:10" s="34" customFormat="1" x14ac:dyDescent="0.35">
      <c r="E20112" s="35"/>
      <c r="J20112" s="41"/>
    </row>
    <row r="20113" spans="5:10" s="34" customFormat="1" x14ac:dyDescent="0.35">
      <c r="E20113" s="35"/>
      <c r="J20113" s="41"/>
    </row>
    <row r="20114" spans="5:10" s="34" customFormat="1" x14ac:dyDescent="0.35">
      <c r="E20114" s="35"/>
      <c r="J20114" s="41"/>
    </row>
    <row r="20115" spans="5:10" s="34" customFormat="1" x14ac:dyDescent="0.35">
      <c r="E20115" s="35"/>
      <c r="J20115" s="41"/>
    </row>
    <row r="20116" spans="5:10" s="34" customFormat="1" x14ac:dyDescent="0.35">
      <c r="E20116" s="35"/>
      <c r="J20116" s="41"/>
    </row>
    <row r="20117" spans="5:10" s="34" customFormat="1" x14ac:dyDescent="0.35">
      <c r="E20117" s="35"/>
      <c r="J20117" s="41"/>
    </row>
    <row r="20118" spans="5:10" s="34" customFormat="1" x14ac:dyDescent="0.35">
      <c r="E20118" s="35"/>
      <c r="J20118" s="41"/>
    </row>
    <row r="20119" spans="5:10" s="34" customFormat="1" x14ac:dyDescent="0.35">
      <c r="E20119" s="35"/>
      <c r="J20119" s="41"/>
    </row>
    <row r="20120" spans="5:10" s="34" customFormat="1" x14ac:dyDescent="0.35">
      <c r="E20120" s="35"/>
      <c r="J20120" s="41"/>
    </row>
    <row r="20121" spans="5:10" s="34" customFormat="1" x14ac:dyDescent="0.35">
      <c r="E20121" s="35"/>
      <c r="J20121" s="41"/>
    </row>
    <row r="20122" spans="5:10" s="34" customFormat="1" x14ac:dyDescent="0.35">
      <c r="E20122" s="35"/>
      <c r="J20122" s="41"/>
    </row>
    <row r="20123" spans="5:10" s="34" customFormat="1" x14ac:dyDescent="0.35">
      <c r="E20123" s="35"/>
      <c r="J20123" s="41"/>
    </row>
    <row r="20124" spans="5:10" s="34" customFormat="1" x14ac:dyDescent="0.35">
      <c r="E20124" s="35"/>
      <c r="J20124" s="41"/>
    </row>
    <row r="20125" spans="5:10" s="34" customFormat="1" x14ac:dyDescent="0.35">
      <c r="E20125" s="35"/>
      <c r="J20125" s="41"/>
    </row>
    <row r="20126" spans="5:10" s="34" customFormat="1" x14ac:dyDescent="0.35">
      <c r="E20126" s="35"/>
      <c r="J20126" s="41"/>
    </row>
    <row r="20127" spans="5:10" s="34" customFormat="1" x14ac:dyDescent="0.35">
      <c r="E20127" s="35"/>
      <c r="J20127" s="41"/>
    </row>
    <row r="20128" spans="5:10" s="34" customFormat="1" x14ac:dyDescent="0.35">
      <c r="E20128" s="35"/>
      <c r="J20128" s="41"/>
    </row>
    <row r="20129" spans="5:10" s="34" customFormat="1" x14ac:dyDescent="0.35">
      <c r="E20129" s="35"/>
      <c r="J20129" s="41"/>
    </row>
    <row r="20130" spans="5:10" s="34" customFormat="1" x14ac:dyDescent="0.35">
      <c r="E20130" s="35"/>
      <c r="J20130" s="41"/>
    </row>
    <row r="20131" spans="5:10" s="34" customFormat="1" x14ac:dyDescent="0.35">
      <c r="E20131" s="35"/>
      <c r="J20131" s="41"/>
    </row>
    <row r="20132" spans="5:10" s="34" customFormat="1" x14ac:dyDescent="0.35">
      <c r="E20132" s="35"/>
      <c r="J20132" s="41"/>
    </row>
    <row r="20133" spans="5:10" s="34" customFormat="1" x14ac:dyDescent="0.35">
      <c r="E20133" s="35"/>
      <c r="J20133" s="41"/>
    </row>
    <row r="20134" spans="5:10" s="34" customFormat="1" x14ac:dyDescent="0.35">
      <c r="E20134" s="35"/>
      <c r="J20134" s="41"/>
    </row>
    <row r="20135" spans="5:10" s="34" customFormat="1" x14ac:dyDescent="0.35">
      <c r="E20135" s="35"/>
      <c r="J20135" s="41"/>
    </row>
    <row r="20136" spans="5:10" s="34" customFormat="1" x14ac:dyDescent="0.35">
      <c r="E20136" s="35"/>
      <c r="J20136" s="41"/>
    </row>
    <row r="20137" spans="5:10" s="34" customFormat="1" x14ac:dyDescent="0.35">
      <c r="E20137" s="35"/>
      <c r="J20137" s="41"/>
    </row>
    <row r="20138" spans="5:10" s="34" customFormat="1" x14ac:dyDescent="0.35">
      <c r="E20138" s="35"/>
      <c r="J20138" s="41"/>
    </row>
    <row r="20139" spans="5:10" s="34" customFormat="1" x14ac:dyDescent="0.35">
      <c r="E20139" s="35"/>
      <c r="J20139" s="41"/>
    </row>
    <row r="20140" spans="5:10" s="34" customFormat="1" x14ac:dyDescent="0.35">
      <c r="E20140" s="35"/>
      <c r="J20140" s="41"/>
    </row>
    <row r="20141" spans="5:10" s="34" customFormat="1" x14ac:dyDescent="0.35">
      <c r="E20141" s="35"/>
      <c r="J20141" s="41"/>
    </row>
    <row r="20142" spans="5:10" s="34" customFormat="1" x14ac:dyDescent="0.35">
      <c r="E20142" s="35"/>
      <c r="J20142" s="41"/>
    </row>
    <row r="20143" spans="5:10" s="34" customFormat="1" x14ac:dyDescent="0.35">
      <c r="E20143" s="35"/>
      <c r="J20143" s="41"/>
    </row>
    <row r="20144" spans="5:10" s="34" customFormat="1" x14ac:dyDescent="0.35">
      <c r="E20144" s="35"/>
      <c r="J20144" s="41"/>
    </row>
    <row r="20145" spans="5:10" s="34" customFormat="1" x14ac:dyDescent="0.35">
      <c r="E20145" s="35"/>
      <c r="J20145" s="41"/>
    </row>
    <row r="20146" spans="5:10" s="34" customFormat="1" x14ac:dyDescent="0.35">
      <c r="E20146" s="35"/>
      <c r="J20146" s="41"/>
    </row>
    <row r="20147" spans="5:10" s="34" customFormat="1" x14ac:dyDescent="0.35">
      <c r="E20147" s="35"/>
      <c r="J20147" s="41"/>
    </row>
    <row r="20148" spans="5:10" s="34" customFormat="1" x14ac:dyDescent="0.35">
      <c r="E20148" s="35"/>
      <c r="J20148" s="41"/>
    </row>
    <row r="20149" spans="5:10" s="34" customFormat="1" x14ac:dyDescent="0.35">
      <c r="E20149" s="35"/>
      <c r="J20149" s="41"/>
    </row>
    <row r="20150" spans="5:10" s="34" customFormat="1" x14ac:dyDescent="0.35">
      <c r="E20150" s="35"/>
      <c r="J20150" s="41"/>
    </row>
    <row r="20151" spans="5:10" s="34" customFormat="1" x14ac:dyDescent="0.35">
      <c r="E20151" s="35"/>
      <c r="J20151" s="41"/>
    </row>
    <row r="20152" spans="5:10" s="34" customFormat="1" x14ac:dyDescent="0.35">
      <c r="E20152" s="35"/>
      <c r="J20152" s="41"/>
    </row>
    <row r="20153" spans="5:10" s="34" customFormat="1" x14ac:dyDescent="0.35">
      <c r="E20153" s="35"/>
      <c r="J20153" s="41"/>
    </row>
    <row r="20154" spans="5:10" s="34" customFormat="1" x14ac:dyDescent="0.35">
      <c r="E20154" s="35"/>
      <c r="J20154" s="41"/>
    </row>
    <row r="20155" spans="5:10" s="34" customFormat="1" x14ac:dyDescent="0.35">
      <c r="E20155" s="35"/>
      <c r="J20155" s="41"/>
    </row>
    <row r="20156" spans="5:10" s="34" customFormat="1" x14ac:dyDescent="0.35">
      <c r="E20156" s="35"/>
      <c r="J20156" s="41"/>
    </row>
    <row r="20157" spans="5:10" s="34" customFormat="1" x14ac:dyDescent="0.35">
      <c r="E20157" s="35"/>
      <c r="J20157" s="41"/>
    </row>
    <row r="20158" spans="5:10" s="34" customFormat="1" x14ac:dyDescent="0.35">
      <c r="E20158" s="35"/>
      <c r="J20158" s="41"/>
    </row>
    <row r="20159" spans="5:10" s="34" customFormat="1" x14ac:dyDescent="0.35">
      <c r="E20159" s="35"/>
      <c r="J20159" s="41"/>
    </row>
    <row r="20160" spans="5:10" s="34" customFormat="1" x14ac:dyDescent="0.35">
      <c r="E20160" s="35"/>
      <c r="J20160" s="41"/>
    </row>
    <row r="20161" spans="5:10" s="34" customFormat="1" x14ac:dyDescent="0.35">
      <c r="E20161" s="35"/>
      <c r="J20161" s="41"/>
    </row>
    <row r="20162" spans="5:10" s="34" customFormat="1" x14ac:dyDescent="0.35">
      <c r="E20162" s="35"/>
      <c r="J20162" s="41"/>
    </row>
    <row r="20163" spans="5:10" s="34" customFormat="1" x14ac:dyDescent="0.35">
      <c r="E20163" s="35"/>
      <c r="J20163" s="41"/>
    </row>
    <row r="20164" spans="5:10" s="34" customFormat="1" x14ac:dyDescent="0.35">
      <c r="E20164" s="35"/>
      <c r="J20164" s="41"/>
    </row>
    <row r="20165" spans="5:10" s="34" customFormat="1" x14ac:dyDescent="0.35">
      <c r="E20165" s="35"/>
      <c r="J20165" s="41"/>
    </row>
    <row r="20166" spans="5:10" s="34" customFormat="1" x14ac:dyDescent="0.35">
      <c r="E20166" s="35"/>
      <c r="J20166" s="41"/>
    </row>
    <row r="20167" spans="5:10" s="34" customFormat="1" x14ac:dyDescent="0.35">
      <c r="E20167" s="35"/>
      <c r="J20167" s="41"/>
    </row>
    <row r="20168" spans="5:10" s="34" customFormat="1" x14ac:dyDescent="0.35">
      <c r="E20168" s="35"/>
      <c r="J20168" s="41"/>
    </row>
    <row r="20169" spans="5:10" s="34" customFormat="1" x14ac:dyDescent="0.35">
      <c r="E20169" s="35"/>
      <c r="J20169" s="41"/>
    </row>
    <row r="20170" spans="5:10" s="34" customFormat="1" x14ac:dyDescent="0.35">
      <c r="E20170" s="35"/>
      <c r="J20170" s="41"/>
    </row>
    <row r="20171" spans="5:10" s="34" customFormat="1" x14ac:dyDescent="0.35">
      <c r="E20171" s="35"/>
      <c r="J20171" s="41"/>
    </row>
    <row r="20172" spans="5:10" s="34" customFormat="1" x14ac:dyDescent="0.35">
      <c r="E20172" s="35"/>
      <c r="J20172" s="41"/>
    </row>
    <row r="20173" spans="5:10" s="34" customFormat="1" x14ac:dyDescent="0.35">
      <c r="E20173" s="35"/>
      <c r="J20173" s="41"/>
    </row>
    <row r="20174" spans="5:10" s="34" customFormat="1" x14ac:dyDescent="0.35">
      <c r="E20174" s="35"/>
      <c r="J20174" s="41"/>
    </row>
    <row r="20175" spans="5:10" s="34" customFormat="1" x14ac:dyDescent="0.35">
      <c r="E20175" s="35"/>
      <c r="J20175" s="41"/>
    </row>
    <row r="20176" spans="5:10" s="34" customFormat="1" x14ac:dyDescent="0.35">
      <c r="E20176" s="35"/>
      <c r="J20176" s="41"/>
    </row>
    <row r="20177" spans="5:10" s="34" customFormat="1" x14ac:dyDescent="0.35">
      <c r="E20177" s="35"/>
      <c r="J20177" s="41"/>
    </row>
    <row r="20178" spans="5:10" s="34" customFormat="1" x14ac:dyDescent="0.35">
      <c r="E20178" s="35"/>
      <c r="J20178" s="41"/>
    </row>
    <row r="20179" spans="5:10" s="34" customFormat="1" x14ac:dyDescent="0.35">
      <c r="E20179" s="35"/>
      <c r="J20179" s="41"/>
    </row>
    <row r="20180" spans="5:10" s="34" customFormat="1" x14ac:dyDescent="0.35">
      <c r="E20180" s="35"/>
      <c r="J20180" s="41"/>
    </row>
    <row r="20181" spans="5:10" s="34" customFormat="1" x14ac:dyDescent="0.35">
      <c r="E20181" s="35"/>
      <c r="J20181" s="41"/>
    </row>
    <row r="20182" spans="5:10" s="34" customFormat="1" x14ac:dyDescent="0.35">
      <c r="E20182" s="35"/>
      <c r="J20182" s="41"/>
    </row>
    <row r="20183" spans="5:10" s="34" customFormat="1" x14ac:dyDescent="0.35">
      <c r="E20183" s="35"/>
      <c r="J20183" s="41"/>
    </row>
    <row r="20184" spans="5:10" s="34" customFormat="1" x14ac:dyDescent="0.35">
      <c r="E20184" s="35"/>
      <c r="J20184" s="41"/>
    </row>
    <row r="20185" spans="5:10" s="34" customFormat="1" x14ac:dyDescent="0.35">
      <c r="E20185" s="35"/>
      <c r="J20185" s="41"/>
    </row>
    <row r="20186" spans="5:10" s="34" customFormat="1" x14ac:dyDescent="0.35">
      <c r="E20186" s="35"/>
      <c r="J20186" s="41"/>
    </row>
    <row r="20187" spans="5:10" s="34" customFormat="1" x14ac:dyDescent="0.35">
      <c r="E20187" s="35"/>
      <c r="J20187" s="41"/>
    </row>
    <row r="20188" spans="5:10" s="34" customFormat="1" x14ac:dyDescent="0.35">
      <c r="E20188" s="35"/>
      <c r="J20188" s="41"/>
    </row>
    <row r="20189" spans="5:10" s="34" customFormat="1" x14ac:dyDescent="0.35">
      <c r="E20189" s="35"/>
      <c r="J20189" s="41"/>
    </row>
    <row r="20190" spans="5:10" s="34" customFormat="1" x14ac:dyDescent="0.35">
      <c r="E20190" s="35"/>
      <c r="J20190" s="41"/>
    </row>
    <row r="20191" spans="5:10" s="34" customFormat="1" x14ac:dyDescent="0.35">
      <c r="E20191" s="35"/>
      <c r="J20191" s="41"/>
    </row>
    <row r="20192" spans="5:10" s="34" customFormat="1" x14ac:dyDescent="0.35">
      <c r="E20192" s="35"/>
      <c r="J20192" s="41"/>
    </row>
    <row r="20193" spans="5:10" s="34" customFormat="1" x14ac:dyDescent="0.35">
      <c r="E20193" s="35"/>
      <c r="J20193" s="41"/>
    </row>
    <row r="20194" spans="5:10" s="34" customFormat="1" x14ac:dyDescent="0.35">
      <c r="E20194" s="35"/>
      <c r="J20194" s="41"/>
    </row>
    <row r="20195" spans="5:10" s="34" customFormat="1" x14ac:dyDescent="0.35">
      <c r="E20195" s="35"/>
      <c r="J20195" s="41"/>
    </row>
    <row r="20196" spans="5:10" s="34" customFormat="1" x14ac:dyDescent="0.35">
      <c r="E20196" s="35"/>
      <c r="J20196" s="41"/>
    </row>
    <row r="20197" spans="5:10" s="34" customFormat="1" x14ac:dyDescent="0.35">
      <c r="E20197" s="35"/>
      <c r="J20197" s="41"/>
    </row>
    <row r="20198" spans="5:10" s="34" customFormat="1" x14ac:dyDescent="0.35">
      <c r="E20198" s="35"/>
      <c r="J20198" s="41"/>
    </row>
    <row r="20199" spans="5:10" s="34" customFormat="1" x14ac:dyDescent="0.35">
      <c r="E20199" s="35"/>
      <c r="J20199" s="41"/>
    </row>
    <row r="20200" spans="5:10" s="34" customFormat="1" x14ac:dyDescent="0.35">
      <c r="E20200" s="35"/>
      <c r="J20200" s="41"/>
    </row>
    <row r="20201" spans="5:10" s="34" customFormat="1" x14ac:dyDescent="0.35">
      <c r="E20201" s="35"/>
      <c r="J20201" s="41"/>
    </row>
    <row r="20202" spans="5:10" s="34" customFormat="1" x14ac:dyDescent="0.35">
      <c r="E20202" s="35"/>
      <c r="J20202" s="41"/>
    </row>
    <row r="20203" spans="5:10" s="34" customFormat="1" x14ac:dyDescent="0.35">
      <c r="E20203" s="35"/>
      <c r="J20203" s="41"/>
    </row>
    <row r="20204" spans="5:10" s="34" customFormat="1" x14ac:dyDescent="0.35">
      <c r="E20204" s="35"/>
      <c r="J20204" s="41"/>
    </row>
    <row r="20205" spans="5:10" s="34" customFormat="1" x14ac:dyDescent="0.35">
      <c r="E20205" s="35"/>
      <c r="J20205" s="41"/>
    </row>
    <row r="20206" spans="5:10" s="34" customFormat="1" x14ac:dyDescent="0.35">
      <c r="E20206" s="35"/>
      <c r="J20206" s="41"/>
    </row>
    <row r="20207" spans="5:10" s="34" customFormat="1" x14ac:dyDescent="0.35">
      <c r="E20207" s="35"/>
      <c r="J20207" s="41"/>
    </row>
    <row r="20208" spans="5:10" s="34" customFormat="1" x14ac:dyDescent="0.35">
      <c r="E20208" s="35"/>
      <c r="J20208" s="41"/>
    </row>
    <row r="20209" spans="5:10" s="34" customFormat="1" x14ac:dyDescent="0.35">
      <c r="E20209" s="35"/>
      <c r="J20209" s="41"/>
    </row>
    <row r="20210" spans="5:10" s="34" customFormat="1" x14ac:dyDescent="0.35">
      <c r="E20210" s="35"/>
      <c r="J20210" s="41"/>
    </row>
    <row r="20211" spans="5:10" s="34" customFormat="1" x14ac:dyDescent="0.35">
      <c r="E20211" s="35"/>
      <c r="J20211" s="41"/>
    </row>
    <row r="20212" spans="5:10" s="34" customFormat="1" x14ac:dyDescent="0.35">
      <c r="E20212" s="35"/>
      <c r="J20212" s="41"/>
    </row>
    <row r="20213" spans="5:10" s="34" customFormat="1" x14ac:dyDescent="0.35">
      <c r="E20213" s="35"/>
      <c r="J20213" s="41"/>
    </row>
    <row r="20214" spans="5:10" s="34" customFormat="1" x14ac:dyDescent="0.35">
      <c r="E20214" s="35"/>
      <c r="J20214" s="41"/>
    </row>
    <row r="20215" spans="5:10" s="34" customFormat="1" x14ac:dyDescent="0.35">
      <c r="E20215" s="35"/>
      <c r="J20215" s="41"/>
    </row>
    <row r="20216" spans="5:10" s="34" customFormat="1" x14ac:dyDescent="0.35">
      <c r="E20216" s="35"/>
      <c r="J20216" s="41"/>
    </row>
    <row r="20217" spans="5:10" s="34" customFormat="1" x14ac:dyDescent="0.35">
      <c r="E20217" s="35"/>
      <c r="J20217" s="41"/>
    </row>
    <row r="20218" spans="5:10" s="34" customFormat="1" x14ac:dyDescent="0.35">
      <c r="E20218" s="35"/>
      <c r="J20218" s="41"/>
    </row>
    <row r="20219" spans="5:10" s="34" customFormat="1" x14ac:dyDescent="0.35">
      <c r="E20219" s="35"/>
      <c r="J20219" s="41"/>
    </row>
    <row r="20220" spans="5:10" s="34" customFormat="1" x14ac:dyDescent="0.35">
      <c r="E20220" s="35"/>
      <c r="J20220" s="41"/>
    </row>
    <row r="20221" spans="5:10" s="34" customFormat="1" x14ac:dyDescent="0.35">
      <c r="E20221" s="35"/>
      <c r="J20221" s="41"/>
    </row>
    <row r="20222" spans="5:10" s="34" customFormat="1" x14ac:dyDescent="0.35">
      <c r="E20222" s="35"/>
      <c r="J20222" s="41"/>
    </row>
    <row r="20223" spans="5:10" s="34" customFormat="1" x14ac:dyDescent="0.35">
      <c r="E20223" s="35"/>
      <c r="J20223" s="41"/>
    </row>
    <row r="20224" spans="5:10" s="34" customFormat="1" x14ac:dyDescent="0.35">
      <c r="E20224" s="35"/>
      <c r="J20224" s="41"/>
    </row>
    <row r="20225" spans="5:10" s="34" customFormat="1" x14ac:dyDescent="0.35">
      <c r="E20225" s="35"/>
      <c r="J20225" s="41"/>
    </row>
    <row r="20226" spans="5:10" s="34" customFormat="1" x14ac:dyDescent="0.35">
      <c r="E20226" s="35"/>
      <c r="J20226" s="41"/>
    </row>
    <row r="20227" spans="5:10" s="34" customFormat="1" x14ac:dyDescent="0.35">
      <c r="E20227" s="35"/>
      <c r="J20227" s="41"/>
    </row>
    <row r="20228" spans="5:10" s="34" customFormat="1" x14ac:dyDescent="0.35">
      <c r="E20228" s="35"/>
      <c r="J20228" s="41"/>
    </row>
    <row r="20229" spans="5:10" s="34" customFormat="1" x14ac:dyDescent="0.35">
      <c r="E20229" s="35"/>
      <c r="J20229" s="41"/>
    </row>
    <row r="20230" spans="5:10" s="34" customFormat="1" x14ac:dyDescent="0.35">
      <c r="E20230" s="35"/>
      <c r="J20230" s="41"/>
    </row>
    <row r="20231" spans="5:10" s="34" customFormat="1" x14ac:dyDescent="0.35">
      <c r="E20231" s="35"/>
      <c r="J20231" s="41"/>
    </row>
    <row r="20232" spans="5:10" s="34" customFormat="1" x14ac:dyDescent="0.35">
      <c r="E20232" s="35"/>
      <c r="J20232" s="41"/>
    </row>
    <row r="20233" spans="5:10" s="34" customFormat="1" x14ac:dyDescent="0.35">
      <c r="E20233" s="35"/>
      <c r="J20233" s="41"/>
    </row>
    <row r="20234" spans="5:10" s="34" customFormat="1" x14ac:dyDescent="0.35">
      <c r="E20234" s="35"/>
      <c r="J20234" s="41"/>
    </row>
    <row r="20235" spans="5:10" s="34" customFormat="1" x14ac:dyDescent="0.35">
      <c r="E20235" s="35"/>
      <c r="J20235" s="41"/>
    </row>
    <row r="20236" spans="5:10" s="34" customFormat="1" x14ac:dyDescent="0.35">
      <c r="E20236" s="35"/>
      <c r="J20236" s="41"/>
    </row>
    <row r="20237" spans="5:10" s="34" customFormat="1" x14ac:dyDescent="0.35">
      <c r="E20237" s="35"/>
      <c r="J20237" s="41"/>
    </row>
    <row r="20238" spans="5:10" s="34" customFormat="1" x14ac:dyDescent="0.35">
      <c r="E20238" s="35"/>
      <c r="J20238" s="41"/>
    </row>
    <row r="20239" spans="5:10" s="34" customFormat="1" x14ac:dyDescent="0.35">
      <c r="E20239" s="35"/>
      <c r="J20239" s="41"/>
    </row>
    <row r="20240" spans="5:10" s="34" customFormat="1" x14ac:dyDescent="0.35">
      <c r="E20240" s="35"/>
      <c r="J20240" s="41"/>
    </row>
    <row r="20241" spans="5:10" s="34" customFormat="1" x14ac:dyDescent="0.35">
      <c r="E20241" s="35"/>
      <c r="J20241" s="41"/>
    </row>
    <row r="20242" spans="5:10" s="34" customFormat="1" x14ac:dyDescent="0.35">
      <c r="E20242" s="35"/>
      <c r="J20242" s="41"/>
    </row>
    <row r="20243" spans="5:10" s="34" customFormat="1" x14ac:dyDescent="0.35">
      <c r="E20243" s="35"/>
      <c r="J20243" s="41"/>
    </row>
    <row r="20244" spans="5:10" s="34" customFormat="1" x14ac:dyDescent="0.35">
      <c r="E20244" s="35"/>
      <c r="J20244" s="41"/>
    </row>
    <row r="20245" spans="5:10" s="34" customFormat="1" x14ac:dyDescent="0.35">
      <c r="E20245" s="35"/>
      <c r="J20245" s="41"/>
    </row>
    <row r="20246" spans="5:10" s="34" customFormat="1" x14ac:dyDescent="0.35">
      <c r="E20246" s="35"/>
      <c r="J20246" s="41"/>
    </row>
    <row r="20247" spans="5:10" s="34" customFormat="1" x14ac:dyDescent="0.35">
      <c r="E20247" s="35"/>
      <c r="J20247" s="41"/>
    </row>
    <row r="20248" spans="5:10" s="34" customFormat="1" x14ac:dyDescent="0.35">
      <c r="E20248" s="35"/>
      <c r="J20248" s="41"/>
    </row>
    <row r="20249" spans="5:10" s="34" customFormat="1" x14ac:dyDescent="0.35">
      <c r="E20249" s="35"/>
      <c r="J20249" s="41"/>
    </row>
    <row r="20250" spans="5:10" s="34" customFormat="1" x14ac:dyDescent="0.35">
      <c r="E20250" s="35"/>
      <c r="J20250" s="41"/>
    </row>
    <row r="20251" spans="5:10" s="34" customFormat="1" x14ac:dyDescent="0.35">
      <c r="E20251" s="35"/>
      <c r="J20251" s="41"/>
    </row>
    <row r="20252" spans="5:10" s="34" customFormat="1" x14ac:dyDescent="0.35">
      <c r="E20252" s="35"/>
      <c r="J20252" s="41"/>
    </row>
    <row r="20253" spans="5:10" s="34" customFormat="1" x14ac:dyDescent="0.35">
      <c r="E20253" s="35"/>
      <c r="J20253" s="41"/>
    </row>
    <row r="20254" spans="5:10" s="34" customFormat="1" x14ac:dyDescent="0.35">
      <c r="E20254" s="35"/>
      <c r="J20254" s="41"/>
    </row>
    <row r="20255" spans="5:10" s="34" customFormat="1" x14ac:dyDescent="0.35">
      <c r="E20255" s="35"/>
      <c r="J20255" s="41"/>
    </row>
    <row r="20256" spans="5:10" s="34" customFormat="1" x14ac:dyDescent="0.35">
      <c r="E20256" s="35"/>
      <c r="J20256" s="41"/>
    </row>
    <row r="20257" spans="5:10" s="34" customFormat="1" x14ac:dyDescent="0.35">
      <c r="E20257" s="35"/>
      <c r="J20257" s="41"/>
    </row>
    <row r="20258" spans="5:10" s="34" customFormat="1" x14ac:dyDescent="0.35">
      <c r="E20258" s="35"/>
      <c r="J20258" s="41"/>
    </row>
    <row r="20259" spans="5:10" s="34" customFormat="1" x14ac:dyDescent="0.35">
      <c r="E20259" s="35"/>
      <c r="J20259" s="41"/>
    </row>
    <row r="20260" spans="5:10" s="34" customFormat="1" x14ac:dyDescent="0.35">
      <c r="E20260" s="35"/>
      <c r="J20260" s="41"/>
    </row>
    <row r="20261" spans="5:10" s="34" customFormat="1" x14ac:dyDescent="0.35">
      <c r="E20261" s="35"/>
      <c r="J20261" s="41"/>
    </row>
    <row r="20262" spans="5:10" s="34" customFormat="1" x14ac:dyDescent="0.35">
      <c r="E20262" s="35"/>
      <c r="J20262" s="41"/>
    </row>
    <row r="20263" spans="5:10" s="34" customFormat="1" x14ac:dyDescent="0.35">
      <c r="E20263" s="35"/>
      <c r="J20263" s="41"/>
    </row>
    <row r="20264" spans="5:10" s="34" customFormat="1" x14ac:dyDescent="0.35">
      <c r="E20264" s="35"/>
      <c r="J20264" s="41"/>
    </row>
    <row r="20265" spans="5:10" s="34" customFormat="1" x14ac:dyDescent="0.35">
      <c r="E20265" s="35"/>
      <c r="J20265" s="41"/>
    </row>
    <row r="20266" spans="5:10" s="34" customFormat="1" x14ac:dyDescent="0.35">
      <c r="E20266" s="35"/>
      <c r="J20266" s="41"/>
    </row>
    <row r="20267" spans="5:10" s="34" customFormat="1" x14ac:dyDescent="0.35">
      <c r="E20267" s="35"/>
      <c r="J20267" s="41"/>
    </row>
    <row r="20268" spans="5:10" s="34" customFormat="1" x14ac:dyDescent="0.35">
      <c r="E20268" s="35"/>
      <c r="J20268" s="41"/>
    </row>
    <row r="20269" spans="5:10" s="34" customFormat="1" x14ac:dyDescent="0.35">
      <c r="E20269" s="35"/>
      <c r="J20269" s="41"/>
    </row>
    <row r="20270" spans="5:10" s="34" customFormat="1" x14ac:dyDescent="0.35">
      <c r="E20270" s="35"/>
      <c r="J20270" s="41"/>
    </row>
    <row r="20271" spans="5:10" s="34" customFormat="1" x14ac:dyDescent="0.35">
      <c r="E20271" s="35"/>
      <c r="J20271" s="41"/>
    </row>
    <row r="20272" spans="5:10" s="34" customFormat="1" x14ac:dyDescent="0.35">
      <c r="E20272" s="35"/>
      <c r="J20272" s="41"/>
    </row>
    <row r="20273" spans="5:10" s="34" customFormat="1" x14ac:dyDescent="0.35">
      <c r="E20273" s="35"/>
      <c r="J20273" s="41"/>
    </row>
    <row r="20274" spans="5:10" s="34" customFormat="1" x14ac:dyDescent="0.35">
      <c r="E20274" s="35"/>
      <c r="J20274" s="41"/>
    </row>
    <row r="20275" spans="5:10" s="34" customFormat="1" x14ac:dyDescent="0.35">
      <c r="E20275" s="35"/>
      <c r="J20275" s="41"/>
    </row>
    <row r="20276" spans="5:10" s="34" customFormat="1" x14ac:dyDescent="0.35">
      <c r="E20276" s="35"/>
      <c r="J20276" s="41"/>
    </row>
    <row r="20277" spans="5:10" s="34" customFormat="1" x14ac:dyDescent="0.35">
      <c r="E20277" s="35"/>
      <c r="J20277" s="41"/>
    </row>
    <row r="20278" spans="5:10" s="34" customFormat="1" x14ac:dyDescent="0.35">
      <c r="E20278" s="35"/>
      <c r="J20278" s="41"/>
    </row>
    <row r="20279" spans="5:10" s="34" customFormat="1" x14ac:dyDescent="0.35">
      <c r="E20279" s="35"/>
      <c r="J20279" s="41"/>
    </row>
    <row r="20280" spans="5:10" s="34" customFormat="1" x14ac:dyDescent="0.35">
      <c r="E20280" s="35"/>
      <c r="J20280" s="41"/>
    </row>
    <row r="20281" spans="5:10" s="34" customFormat="1" x14ac:dyDescent="0.35">
      <c r="E20281" s="35"/>
      <c r="J20281" s="41"/>
    </row>
    <row r="20282" spans="5:10" s="34" customFormat="1" x14ac:dyDescent="0.35">
      <c r="E20282" s="35"/>
      <c r="J20282" s="41"/>
    </row>
    <row r="20283" spans="5:10" s="34" customFormat="1" x14ac:dyDescent="0.35">
      <c r="E20283" s="35"/>
      <c r="J20283" s="41"/>
    </row>
    <row r="20284" spans="5:10" s="34" customFormat="1" x14ac:dyDescent="0.35">
      <c r="E20284" s="35"/>
      <c r="J20284" s="41"/>
    </row>
    <row r="20285" spans="5:10" s="34" customFormat="1" x14ac:dyDescent="0.35">
      <c r="E20285" s="35"/>
      <c r="J20285" s="41"/>
    </row>
    <row r="20286" spans="5:10" s="34" customFormat="1" x14ac:dyDescent="0.35">
      <c r="E20286" s="35"/>
      <c r="J20286" s="41"/>
    </row>
    <row r="20287" spans="5:10" s="34" customFormat="1" x14ac:dyDescent="0.35">
      <c r="E20287" s="35"/>
      <c r="J20287" s="41"/>
    </row>
    <row r="20288" spans="5:10" s="34" customFormat="1" x14ac:dyDescent="0.35">
      <c r="E20288" s="35"/>
      <c r="J20288" s="41"/>
    </row>
    <row r="20289" spans="5:10" s="34" customFormat="1" x14ac:dyDescent="0.35">
      <c r="E20289" s="35"/>
      <c r="J20289" s="41"/>
    </row>
    <row r="20290" spans="5:10" s="34" customFormat="1" x14ac:dyDescent="0.35">
      <c r="E20290" s="35"/>
      <c r="J20290" s="41"/>
    </row>
    <row r="20291" spans="5:10" s="34" customFormat="1" x14ac:dyDescent="0.35">
      <c r="E20291" s="35"/>
      <c r="J20291" s="41"/>
    </row>
    <row r="20292" spans="5:10" s="34" customFormat="1" x14ac:dyDescent="0.35">
      <c r="E20292" s="35"/>
      <c r="J20292" s="41"/>
    </row>
    <row r="20293" spans="5:10" s="34" customFormat="1" x14ac:dyDescent="0.35">
      <c r="E20293" s="35"/>
      <c r="J20293" s="41"/>
    </row>
    <row r="20294" spans="5:10" s="34" customFormat="1" x14ac:dyDescent="0.35">
      <c r="E20294" s="35"/>
      <c r="J20294" s="41"/>
    </row>
    <row r="20295" spans="5:10" s="34" customFormat="1" x14ac:dyDescent="0.35">
      <c r="E20295" s="35"/>
      <c r="J20295" s="41"/>
    </row>
    <row r="20296" spans="5:10" s="34" customFormat="1" x14ac:dyDescent="0.35">
      <c r="E20296" s="35"/>
      <c r="J20296" s="41"/>
    </row>
    <row r="20297" spans="5:10" s="34" customFormat="1" x14ac:dyDescent="0.35">
      <c r="E20297" s="35"/>
      <c r="J20297" s="41"/>
    </row>
    <row r="20298" spans="5:10" s="34" customFormat="1" x14ac:dyDescent="0.35">
      <c r="E20298" s="35"/>
      <c r="J20298" s="41"/>
    </row>
    <row r="20299" spans="5:10" s="34" customFormat="1" x14ac:dyDescent="0.35">
      <c r="E20299" s="35"/>
      <c r="J20299" s="41"/>
    </row>
    <row r="20300" spans="5:10" s="34" customFormat="1" x14ac:dyDescent="0.35">
      <c r="E20300" s="35"/>
      <c r="J20300" s="41"/>
    </row>
    <row r="20301" spans="5:10" s="34" customFormat="1" x14ac:dyDescent="0.35">
      <c r="E20301" s="35"/>
      <c r="J20301" s="41"/>
    </row>
    <row r="20302" spans="5:10" s="34" customFormat="1" x14ac:dyDescent="0.35">
      <c r="E20302" s="35"/>
      <c r="J20302" s="41"/>
    </row>
    <row r="20303" spans="5:10" s="34" customFormat="1" x14ac:dyDescent="0.35">
      <c r="E20303" s="35"/>
      <c r="J20303" s="41"/>
    </row>
    <row r="20304" spans="5:10" s="34" customFormat="1" x14ac:dyDescent="0.35">
      <c r="E20304" s="35"/>
      <c r="J20304" s="41"/>
    </row>
    <row r="20305" spans="5:10" s="34" customFormat="1" x14ac:dyDescent="0.35">
      <c r="E20305" s="35"/>
      <c r="J20305" s="41"/>
    </row>
    <row r="20306" spans="5:10" s="34" customFormat="1" x14ac:dyDescent="0.35">
      <c r="E20306" s="35"/>
      <c r="J20306" s="41"/>
    </row>
    <row r="20307" spans="5:10" s="34" customFormat="1" x14ac:dyDescent="0.35">
      <c r="E20307" s="35"/>
      <c r="J20307" s="41"/>
    </row>
    <row r="20308" spans="5:10" s="34" customFormat="1" x14ac:dyDescent="0.35">
      <c r="E20308" s="35"/>
      <c r="J20308" s="41"/>
    </row>
    <row r="20309" spans="5:10" s="34" customFormat="1" x14ac:dyDescent="0.35">
      <c r="E20309" s="35"/>
      <c r="J20309" s="41"/>
    </row>
    <row r="20310" spans="5:10" s="34" customFormat="1" x14ac:dyDescent="0.35">
      <c r="E20310" s="35"/>
      <c r="J20310" s="41"/>
    </row>
    <row r="20311" spans="5:10" s="34" customFormat="1" x14ac:dyDescent="0.35">
      <c r="E20311" s="35"/>
      <c r="J20311" s="41"/>
    </row>
    <row r="20312" spans="5:10" s="34" customFormat="1" x14ac:dyDescent="0.35">
      <c r="E20312" s="35"/>
      <c r="J20312" s="41"/>
    </row>
    <row r="20313" spans="5:10" s="34" customFormat="1" x14ac:dyDescent="0.35">
      <c r="E20313" s="35"/>
      <c r="J20313" s="41"/>
    </row>
    <row r="20314" spans="5:10" s="34" customFormat="1" x14ac:dyDescent="0.35">
      <c r="E20314" s="35"/>
      <c r="J20314" s="41"/>
    </row>
    <row r="20315" spans="5:10" s="34" customFormat="1" x14ac:dyDescent="0.35">
      <c r="E20315" s="35"/>
      <c r="J20315" s="41"/>
    </row>
    <row r="20316" spans="5:10" s="34" customFormat="1" x14ac:dyDescent="0.35">
      <c r="E20316" s="35"/>
      <c r="J20316" s="41"/>
    </row>
    <row r="20317" spans="5:10" s="34" customFormat="1" x14ac:dyDescent="0.35">
      <c r="E20317" s="35"/>
      <c r="J20317" s="41"/>
    </row>
    <row r="20318" spans="5:10" s="34" customFormat="1" x14ac:dyDescent="0.35">
      <c r="E20318" s="35"/>
      <c r="J20318" s="41"/>
    </row>
    <row r="20319" spans="5:10" s="34" customFormat="1" x14ac:dyDescent="0.35">
      <c r="E20319" s="35"/>
      <c r="J20319" s="41"/>
    </row>
    <row r="20320" spans="5:10" s="34" customFormat="1" x14ac:dyDescent="0.35">
      <c r="E20320" s="35"/>
      <c r="J20320" s="41"/>
    </row>
    <row r="20321" spans="5:10" s="34" customFormat="1" x14ac:dyDescent="0.35">
      <c r="E20321" s="35"/>
      <c r="J20321" s="41"/>
    </row>
    <row r="20322" spans="5:10" s="34" customFormat="1" x14ac:dyDescent="0.35">
      <c r="E20322" s="35"/>
      <c r="J20322" s="41"/>
    </row>
    <row r="20323" spans="5:10" s="34" customFormat="1" x14ac:dyDescent="0.35">
      <c r="E20323" s="35"/>
      <c r="J20323" s="41"/>
    </row>
    <row r="20324" spans="5:10" s="34" customFormat="1" x14ac:dyDescent="0.35">
      <c r="E20324" s="35"/>
      <c r="J20324" s="41"/>
    </row>
    <row r="20325" spans="5:10" s="34" customFormat="1" x14ac:dyDescent="0.35">
      <c r="E20325" s="35"/>
      <c r="J20325" s="41"/>
    </row>
    <row r="20326" spans="5:10" s="34" customFormat="1" x14ac:dyDescent="0.35">
      <c r="E20326" s="35"/>
      <c r="J20326" s="41"/>
    </row>
    <row r="20327" spans="5:10" s="34" customFormat="1" x14ac:dyDescent="0.35">
      <c r="E20327" s="35"/>
      <c r="J20327" s="41"/>
    </row>
    <row r="20328" spans="5:10" s="34" customFormat="1" x14ac:dyDescent="0.35">
      <c r="E20328" s="35"/>
      <c r="J20328" s="41"/>
    </row>
    <row r="20329" spans="5:10" s="34" customFormat="1" x14ac:dyDescent="0.35">
      <c r="E20329" s="35"/>
      <c r="J20329" s="41"/>
    </row>
    <row r="20330" spans="5:10" s="34" customFormat="1" x14ac:dyDescent="0.35">
      <c r="E20330" s="35"/>
      <c r="J20330" s="41"/>
    </row>
    <row r="20331" spans="5:10" s="34" customFormat="1" x14ac:dyDescent="0.35">
      <c r="E20331" s="35"/>
      <c r="J20331" s="41"/>
    </row>
    <row r="20332" spans="5:10" s="34" customFormat="1" x14ac:dyDescent="0.35">
      <c r="E20332" s="35"/>
      <c r="J20332" s="41"/>
    </row>
    <row r="20333" spans="5:10" s="34" customFormat="1" x14ac:dyDescent="0.35">
      <c r="E20333" s="35"/>
      <c r="J20333" s="41"/>
    </row>
    <row r="20334" spans="5:10" s="34" customFormat="1" x14ac:dyDescent="0.35">
      <c r="E20334" s="35"/>
      <c r="J20334" s="41"/>
    </row>
    <row r="20335" spans="5:10" s="34" customFormat="1" x14ac:dyDescent="0.35">
      <c r="E20335" s="35"/>
      <c r="J20335" s="41"/>
    </row>
    <row r="20336" spans="5:10" s="34" customFormat="1" x14ac:dyDescent="0.35">
      <c r="E20336" s="35"/>
      <c r="J20336" s="41"/>
    </row>
    <row r="20337" spans="5:10" s="34" customFormat="1" x14ac:dyDescent="0.35">
      <c r="E20337" s="35"/>
      <c r="J20337" s="41"/>
    </row>
    <row r="20338" spans="5:10" s="34" customFormat="1" x14ac:dyDescent="0.35">
      <c r="E20338" s="35"/>
      <c r="J20338" s="41"/>
    </row>
    <row r="20339" spans="5:10" s="34" customFormat="1" x14ac:dyDescent="0.35">
      <c r="E20339" s="35"/>
      <c r="J20339" s="41"/>
    </row>
    <row r="20340" spans="5:10" s="34" customFormat="1" x14ac:dyDescent="0.35">
      <c r="E20340" s="35"/>
      <c r="J20340" s="41"/>
    </row>
    <row r="20341" spans="5:10" s="34" customFormat="1" x14ac:dyDescent="0.35">
      <c r="E20341" s="35"/>
      <c r="J20341" s="41"/>
    </row>
    <row r="20342" spans="5:10" s="34" customFormat="1" x14ac:dyDescent="0.35">
      <c r="E20342" s="35"/>
      <c r="J20342" s="41"/>
    </row>
    <row r="20343" spans="5:10" s="34" customFormat="1" x14ac:dyDescent="0.35">
      <c r="E20343" s="35"/>
      <c r="J20343" s="41"/>
    </row>
    <row r="20344" spans="5:10" s="34" customFormat="1" x14ac:dyDescent="0.35">
      <c r="E20344" s="35"/>
      <c r="J20344" s="41"/>
    </row>
    <row r="20345" spans="5:10" s="34" customFormat="1" x14ac:dyDescent="0.35">
      <c r="E20345" s="35"/>
      <c r="J20345" s="41"/>
    </row>
    <row r="20346" spans="5:10" s="34" customFormat="1" x14ac:dyDescent="0.35">
      <c r="E20346" s="35"/>
      <c r="J20346" s="41"/>
    </row>
    <row r="20347" spans="5:10" s="34" customFormat="1" x14ac:dyDescent="0.35">
      <c r="E20347" s="35"/>
      <c r="J20347" s="41"/>
    </row>
    <row r="20348" spans="5:10" s="34" customFormat="1" x14ac:dyDescent="0.35">
      <c r="E20348" s="35"/>
      <c r="J20348" s="41"/>
    </row>
    <row r="20349" spans="5:10" s="34" customFormat="1" x14ac:dyDescent="0.35">
      <c r="E20349" s="35"/>
      <c r="J20349" s="41"/>
    </row>
    <row r="20350" spans="5:10" s="34" customFormat="1" x14ac:dyDescent="0.35">
      <c r="E20350" s="35"/>
      <c r="J20350" s="41"/>
    </row>
    <row r="20351" spans="5:10" s="34" customFormat="1" x14ac:dyDescent="0.35">
      <c r="E20351" s="35"/>
      <c r="J20351" s="41"/>
    </row>
    <row r="20352" spans="5:10" s="34" customFormat="1" x14ac:dyDescent="0.35">
      <c r="E20352" s="35"/>
      <c r="J20352" s="41"/>
    </row>
    <row r="20353" spans="5:10" s="34" customFormat="1" x14ac:dyDescent="0.35">
      <c r="E20353" s="35"/>
      <c r="J20353" s="41"/>
    </row>
    <row r="20354" spans="5:10" s="34" customFormat="1" x14ac:dyDescent="0.35">
      <c r="E20354" s="35"/>
      <c r="J20354" s="41"/>
    </row>
    <row r="20355" spans="5:10" s="34" customFormat="1" x14ac:dyDescent="0.35">
      <c r="E20355" s="35"/>
      <c r="J20355" s="41"/>
    </row>
    <row r="20356" spans="5:10" s="34" customFormat="1" x14ac:dyDescent="0.35">
      <c r="E20356" s="35"/>
      <c r="J20356" s="41"/>
    </row>
    <row r="20357" spans="5:10" s="34" customFormat="1" x14ac:dyDescent="0.35">
      <c r="E20357" s="35"/>
      <c r="J20357" s="41"/>
    </row>
    <row r="20358" spans="5:10" s="34" customFormat="1" x14ac:dyDescent="0.35">
      <c r="E20358" s="35"/>
      <c r="J20358" s="41"/>
    </row>
    <row r="20359" spans="5:10" s="34" customFormat="1" x14ac:dyDescent="0.35">
      <c r="E20359" s="35"/>
      <c r="J20359" s="41"/>
    </row>
    <row r="20360" spans="5:10" s="34" customFormat="1" x14ac:dyDescent="0.35">
      <c r="E20360" s="35"/>
      <c r="J20360" s="41"/>
    </row>
    <row r="20361" spans="5:10" s="34" customFormat="1" x14ac:dyDescent="0.35">
      <c r="E20361" s="35"/>
      <c r="J20361" s="41"/>
    </row>
    <row r="20362" spans="5:10" s="34" customFormat="1" x14ac:dyDescent="0.35">
      <c r="E20362" s="35"/>
      <c r="J20362" s="41"/>
    </row>
    <row r="20363" spans="5:10" s="34" customFormat="1" x14ac:dyDescent="0.35">
      <c r="E20363" s="35"/>
      <c r="J20363" s="41"/>
    </row>
    <row r="20364" spans="5:10" s="34" customFormat="1" x14ac:dyDescent="0.35">
      <c r="E20364" s="35"/>
      <c r="J20364" s="41"/>
    </row>
    <row r="20365" spans="5:10" s="34" customFormat="1" x14ac:dyDescent="0.35">
      <c r="E20365" s="35"/>
      <c r="J20365" s="41"/>
    </row>
    <row r="20366" spans="5:10" s="34" customFormat="1" x14ac:dyDescent="0.35">
      <c r="E20366" s="35"/>
      <c r="J20366" s="41"/>
    </row>
    <row r="20367" spans="5:10" s="34" customFormat="1" x14ac:dyDescent="0.35">
      <c r="E20367" s="35"/>
      <c r="J20367" s="41"/>
    </row>
    <row r="20368" spans="5:10" s="34" customFormat="1" x14ac:dyDescent="0.35">
      <c r="E20368" s="35"/>
      <c r="J20368" s="41"/>
    </row>
    <row r="20369" spans="5:10" s="34" customFormat="1" x14ac:dyDescent="0.35">
      <c r="E20369" s="35"/>
      <c r="J20369" s="41"/>
    </row>
    <row r="20370" spans="5:10" s="34" customFormat="1" x14ac:dyDescent="0.35">
      <c r="E20370" s="35"/>
      <c r="J20370" s="41"/>
    </row>
    <row r="20371" spans="5:10" s="34" customFormat="1" x14ac:dyDescent="0.35">
      <c r="E20371" s="35"/>
      <c r="J20371" s="41"/>
    </row>
    <row r="20372" spans="5:10" s="34" customFormat="1" x14ac:dyDescent="0.35">
      <c r="E20372" s="35"/>
      <c r="J20372" s="41"/>
    </row>
    <row r="20373" spans="5:10" s="34" customFormat="1" x14ac:dyDescent="0.35">
      <c r="E20373" s="35"/>
      <c r="J20373" s="41"/>
    </row>
    <row r="20374" spans="5:10" s="34" customFormat="1" x14ac:dyDescent="0.35">
      <c r="E20374" s="35"/>
      <c r="J20374" s="41"/>
    </row>
    <row r="20375" spans="5:10" s="34" customFormat="1" x14ac:dyDescent="0.35">
      <c r="E20375" s="35"/>
      <c r="J20375" s="41"/>
    </row>
    <row r="20376" spans="5:10" s="34" customFormat="1" x14ac:dyDescent="0.35">
      <c r="E20376" s="35"/>
      <c r="J20376" s="41"/>
    </row>
    <row r="20377" spans="5:10" s="34" customFormat="1" x14ac:dyDescent="0.35">
      <c r="E20377" s="35"/>
      <c r="J20377" s="41"/>
    </row>
    <row r="20378" spans="5:10" s="34" customFormat="1" x14ac:dyDescent="0.35">
      <c r="E20378" s="35"/>
      <c r="J20378" s="41"/>
    </row>
    <row r="20379" spans="5:10" s="34" customFormat="1" x14ac:dyDescent="0.35">
      <c r="E20379" s="35"/>
      <c r="J20379" s="41"/>
    </row>
    <row r="20380" spans="5:10" s="34" customFormat="1" x14ac:dyDescent="0.35">
      <c r="E20380" s="35"/>
      <c r="J20380" s="41"/>
    </row>
    <row r="20381" spans="5:10" s="34" customFormat="1" x14ac:dyDescent="0.35">
      <c r="E20381" s="35"/>
      <c r="J20381" s="41"/>
    </row>
    <row r="20382" spans="5:10" s="34" customFormat="1" x14ac:dyDescent="0.35">
      <c r="E20382" s="35"/>
      <c r="J20382" s="41"/>
    </row>
    <row r="20383" spans="5:10" s="34" customFormat="1" x14ac:dyDescent="0.35">
      <c r="E20383" s="35"/>
      <c r="J20383" s="41"/>
    </row>
    <row r="20384" spans="5:10" s="34" customFormat="1" x14ac:dyDescent="0.35">
      <c r="E20384" s="35"/>
      <c r="J20384" s="41"/>
    </row>
    <row r="20385" spans="5:10" s="34" customFormat="1" x14ac:dyDescent="0.35">
      <c r="E20385" s="35"/>
      <c r="J20385" s="41"/>
    </row>
    <row r="20386" spans="5:10" s="34" customFormat="1" x14ac:dyDescent="0.35">
      <c r="E20386" s="35"/>
      <c r="J20386" s="41"/>
    </row>
    <row r="20387" spans="5:10" s="34" customFormat="1" x14ac:dyDescent="0.35">
      <c r="E20387" s="35"/>
      <c r="J20387" s="41"/>
    </row>
    <row r="20388" spans="5:10" s="34" customFormat="1" x14ac:dyDescent="0.35">
      <c r="E20388" s="35"/>
      <c r="J20388" s="41"/>
    </row>
    <row r="20389" spans="5:10" s="34" customFormat="1" x14ac:dyDescent="0.35">
      <c r="E20389" s="35"/>
      <c r="J20389" s="41"/>
    </row>
    <row r="20390" spans="5:10" s="34" customFormat="1" x14ac:dyDescent="0.35">
      <c r="E20390" s="35"/>
      <c r="J20390" s="41"/>
    </row>
    <row r="20391" spans="5:10" s="34" customFormat="1" x14ac:dyDescent="0.35">
      <c r="E20391" s="35"/>
      <c r="J20391" s="41"/>
    </row>
    <row r="20392" spans="5:10" s="34" customFormat="1" x14ac:dyDescent="0.35">
      <c r="E20392" s="35"/>
      <c r="J20392" s="41"/>
    </row>
    <row r="20393" spans="5:10" s="34" customFormat="1" x14ac:dyDescent="0.35">
      <c r="E20393" s="35"/>
      <c r="J20393" s="41"/>
    </row>
    <row r="20394" spans="5:10" s="34" customFormat="1" x14ac:dyDescent="0.35">
      <c r="E20394" s="35"/>
      <c r="J20394" s="41"/>
    </row>
    <row r="20395" spans="5:10" s="34" customFormat="1" x14ac:dyDescent="0.35">
      <c r="E20395" s="35"/>
      <c r="J20395" s="41"/>
    </row>
    <row r="20396" spans="5:10" s="34" customFormat="1" x14ac:dyDescent="0.35">
      <c r="E20396" s="35"/>
      <c r="J20396" s="41"/>
    </row>
    <row r="20397" spans="5:10" s="34" customFormat="1" x14ac:dyDescent="0.35">
      <c r="E20397" s="35"/>
      <c r="J20397" s="41"/>
    </row>
    <row r="20398" spans="5:10" s="34" customFormat="1" x14ac:dyDescent="0.35">
      <c r="E20398" s="35"/>
      <c r="J20398" s="41"/>
    </row>
    <row r="20399" spans="5:10" s="34" customFormat="1" x14ac:dyDescent="0.35">
      <c r="E20399" s="35"/>
      <c r="J20399" s="41"/>
    </row>
    <row r="20400" spans="5:10" s="34" customFormat="1" x14ac:dyDescent="0.35">
      <c r="E20400" s="35"/>
      <c r="J20400" s="41"/>
    </row>
    <row r="20401" spans="5:10" s="34" customFormat="1" x14ac:dyDescent="0.35">
      <c r="E20401" s="35"/>
      <c r="J20401" s="41"/>
    </row>
    <row r="20402" spans="5:10" s="34" customFormat="1" x14ac:dyDescent="0.35">
      <c r="E20402" s="35"/>
      <c r="J20402" s="41"/>
    </row>
    <row r="20403" spans="5:10" s="34" customFormat="1" x14ac:dyDescent="0.35">
      <c r="E20403" s="35"/>
      <c r="J20403" s="41"/>
    </row>
    <row r="20404" spans="5:10" s="34" customFormat="1" x14ac:dyDescent="0.35">
      <c r="E20404" s="35"/>
      <c r="J20404" s="41"/>
    </row>
    <row r="20405" spans="5:10" s="34" customFormat="1" x14ac:dyDescent="0.35">
      <c r="E20405" s="35"/>
      <c r="J20405" s="41"/>
    </row>
    <row r="20406" spans="5:10" s="34" customFormat="1" x14ac:dyDescent="0.35">
      <c r="E20406" s="35"/>
      <c r="J20406" s="41"/>
    </row>
    <row r="20407" spans="5:10" s="34" customFormat="1" x14ac:dyDescent="0.35">
      <c r="E20407" s="35"/>
      <c r="J20407" s="41"/>
    </row>
    <row r="20408" spans="5:10" s="34" customFormat="1" x14ac:dyDescent="0.35">
      <c r="E20408" s="35"/>
      <c r="J20408" s="41"/>
    </row>
    <row r="20409" spans="5:10" s="34" customFormat="1" x14ac:dyDescent="0.35">
      <c r="E20409" s="35"/>
      <c r="J20409" s="41"/>
    </row>
    <row r="20410" spans="5:10" s="34" customFormat="1" x14ac:dyDescent="0.35">
      <c r="E20410" s="35"/>
      <c r="J20410" s="41"/>
    </row>
    <row r="20411" spans="5:10" s="34" customFormat="1" x14ac:dyDescent="0.35">
      <c r="E20411" s="35"/>
      <c r="J20411" s="41"/>
    </row>
    <row r="20412" spans="5:10" s="34" customFormat="1" x14ac:dyDescent="0.35">
      <c r="E20412" s="35"/>
      <c r="J20412" s="41"/>
    </row>
    <row r="20413" spans="5:10" s="34" customFormat="1" x14ac:dyDescent="0.35">
      <c r="E20413" s="35"/>
      <c r="J20413" s="41"/>
    </row>
    <row r="20414" spans="5:10" s="34" customFormat="1" x14ac:dyDescent="0.35">
      <c r="E20414" s="35"/>
      <c r="J20414" s="41"/>
    </row>
    <row r="20415" spans="5:10" s="34" customFormat="1" x14ac:dyDescent="0.35">
      <c r="E20415" s="35"/>
      <c r="J20415" s="41"/>
    </row>
    <row r="20416" spans="5:10" s="34" customFormat="1" x14ac:dyDescent="0.35">
      <c r="E20416" s="35"/>
      <c r="J20416" s="41"/>
    </row>
    <row r="20417" spans="5:10" s="34" customFormat="1" x14ac:dyDescent="0.35">
      <c r="E20417" s="35"/>
      <c r="J20417" s="41"/>
    </row>
    <row r="20418" spans="5:10" s="34" customFormat="1" x14ac:dyDescent="0.35">
      <c r="E20418" s="35"/>
      <c r="J20418" s="41"/>
    </row>
    <row r="20419" spans="5:10" s="34" customFormat="1" x14ac:dyDescent="0.35">
      <c r="E20419" s="35"/>
      <c r="J20419" s="41"/>
    </row>
    <row r="20420" spans="5:10" s="34" customFormat="1" x14ac:dyDescent="0.35">
      <c r="E20420" s="35"/>
      <c r="J20420" s="41"/>
    </row>
    <row r="20421" spans="5:10" s="34" customFormat="1" x14ac:dyDescent="0.35">
      <c r="E20421" s="35"/>
      <c r="J20421" s="41"/>
    </row>
    <row r="20422" spans="5:10" s="34" customFormat="1" x14ac:dyDescent="0.35">
      <c r="E20422" s="35"/>
      <c r="J20422" s="41"/>
    </row>
    <row r="20423" spans="5:10" s="34" customFormat="1" x14ac:dyDescent="0.35">
      <c r="E20423" s="35"/>
      <c r="J20423" s="41"/>
    </row>
    <row r="20424" spans="5:10" s="34" customFormat="1" x14ac:dyDescent="0.35">
      <c r="E20424" s="35"/>
      <c r="J20424" s="41"/>
    </row>
    <row r="20425" spans="5:10" s="34" customFormat="1" x14ac:dyDescent="0.35">
      <c r="E20425" s="35"/>
      <c r="J20425" s="41"/>
    </row>
    <row r="20426" spans="5:10" s="34" customFormat="1" x14ac:dyDescent="0.35">
      <c r="E20426" s="35"/>
      <c r="J20426" s="41"/>
    </row>
    <row r="20427" spans="5:10" s="34" customFormat="1" x14ac:dyDescent="0.35">
      <c r="E20427" s="35"/>
      <c r="J20427" s="41"/>
    </row>
    <row r="20428" spans="5:10" s="34" customFormat="1" x14ac:dyDescent="0.35">
      <c r="E20428" s="35"/>
      <c r="J20428" s="41"/>
    </row>
    <row r="20429" spans="5:10" s="34" customFormat="1" x14ac:dyDescent="0.35">
      <c r="E20429" s="35"/>
      <c r="J20429" s="41"/>
    </row>
    <row r="20430" spans="5:10" s="34" customFormat="1" x14ac:dyDescent="0.35">
      <c r="E20430" s="35"/>
      <c r="J20430" s="41"/>
    </row>
    <row r="20431" spans="5:10" s="34" customFormat="1" x14ac:dyDescent="0.35">
      <c r="E20431" s="35"/>
      <c r="J20431" s="41"/>
    </row>
    <row r="20432" spans="5:10" s="34" customFormat="1" x14ac:dyDescent="0.35">
      <c r="E20432" s="35"/>
      <c r="J20432" s="41"/>
    </row>
    <row r="20433" spans="5:10" s="34" customFormat="1" x14ac:dyDescent="0.35">
      <c r="E20433" s="35"/>
      <c r="J20433" s="41"/>
    </row>
    <row r="20434" spans="5:10" s="34" customFormat="1" x14ac:dyDescent="0.35">
      <c r="E20434" s="35"/>
      <c r="J20434" s="41"/>
    </row>
    <row r="20435" spans="5:10" s="34" customFormat="1" x14ac:dyDescent="0.35">
      <c r="E20435" s="35"/>
      <c r="J20435" s="41"/>
    </row>
    <row r="20436" spans="5:10" s="34" customFormat="1" x14ac:dyDescent="0.35">
      <c r="E20436" s="35"/>
      <c r="J20436" s="41"/>
    </row>
    <row r="20437" spans="5:10" s="34" customFormat="1" x14ac:dyDescent="0.35">
      <c r="E20437" s="35"/>
      <c r="J20437" s="41"/>
    </row>
    <row r="20438" spans="5:10" s="34" customFormat="1" x14ac:dyDescent="0.35">
      <c r="E20438" s="35"/>
      <c r="J20438" s="41"/>
    </row>
    <row r="20439" spans="5:10" s="34" customFormat="1" x14ac:dyDescent="0.35">
      <c r="E20439" s="35"/>
      <c r="J20439" s="41"/>
    </row>
    <row r="20440" spans="5:10" s="34" customFormat="1" x14ac:dyDescent="0.35">
      <c r="E20440" s="35"/>
      <c r="J20440" s="41"/>
    </row>
    <row r="20441" spans="5:10" s="34" customFormat="1" x14ac:dyDescent="0.35">
      <c r="E20441" s="35"/>
      <c r="J20441" s="41"/>
    </row>
    <row r="20442" spans="5:10" s="34" customFormat="1" x14ac:dyDescent="0.35">
      <c r="E20442" s="35"/>
      <c r="J20442" s="41"/>
    </row>
    <row r="20443" spans="5:10" s="34" customFormat="1" x14ac:dyDescent="0.35">
      <c r="E20443" s="35"/>
      <c r="J20443" s="41"/>
    </row>
    <row r="20444" spans="5:10" s="34" customFormat="1" x14ac:dyDescent="0.35">
      <c r="E20444" s="35"/>
      <c r="J20444" s="41"/>
    </row>
    <row r="20445" spans="5:10" s="34" customFormat="1" x14ac:dyDescent="0.35">
      <c r="E20445" s="35"/>
      <c r="J20445" s="41"/>
    </row>
    <row r="20446" spans="5:10" s="34" customFormat="1" x14ac:dyDescent="0.35">
      <c r="E20446" s="35"/>
      <c r="J20446" s="41"/>
    </row>
    <row r="20447" spans="5:10" s="34" customFormat="1" x14ac:dyDescent="0.35">
      <c r="E20447" s="35"/>
      <c r="J20447" s="41"/>
    </row>
    <row r="20448" spans="5:10" s="34" customFormat="1" x14ac:dyDescent="0.35">
      <c r="E20448" s="35"/>
      <c r="J20448" s="41"/>
    </row>
    <row r="20449" spans="5:10" s="34" customFormat="1" x14ac:dyDescent="0.35">
      <c r="E20449" s="35"/>
      <c r="J20449" s="41"/>
    </row>
    <row r="20450" spans="5:10" s="34" customFormat="1" x14ac:dyDescent="0.35">
      <c r="E20450" s="35"/>
      <c r="J20450" s="41"/>
    </row>
    <row r="20451" spans="5:10" s="34" customFormat="1" x14ac:dyDescent="0.35">
      <c r="E20451" s="35"/>
      <c r="J20451" s="41"/>
    </row>
    <row r="20452" spans="5:10" s="34" customFormat="1" x14ac:dyDescent="0.35">
      <c r="E20452" s="35"/>
      <c r="J20452" s="41"/>
    </row>
    <row r="20453" spans="5:10" s="34" customFormat="1" x14ac:dyDescent="0.35">
      <c r="E20453" s="35"/>
      <c r="J20453" s="41"/>
    </row>
    <row r="20454" spans="5:10" s="34" customFormat="1" x14ac:dyDescent="0.35">
      <c r="E20454" s="35"/>
      <c r="J20454" s="41"/>
    </row>
    <row r="20455" spans="5:10" s="34" customFormat="1" x14ac:dyDescent="0.35">
      <c r="E20455" s="35"/>
      <c r="J20455" s="41"/>
    </row>
    <row r="20456" spans="5:10" s="34" customFormat="1" x14ac:dyDescent="0.35">
      <c r="E20456" s="35"/>
      <c r="J20456" s="41"/>
    </row>
    <row r="20457" spans="5:10" s="34" customFormat="1" x14ac:dyDescent="0.35">
      <c r="E20457" s="35"/>
      <c r="J20457" s="41"/>
    </row>
    <row r="20458" spans="5:10" s="34" customFormat="1" x14ac:dyDescent="0.35">
      <c r="E20458" s="35"/>
      <c r="J20458" s="41"/>
    </row>
    <row r="20459" spans="5:10" s="34" customFormat="1" x14ac:dyDescent="0.35">
      <c r="E20459" s="35"/>
      <c r="J20459" s="41"/>
    </row>
    <row r="20460" spans="5:10" s="34" customFormat="1" x14ac:dyDescent="0.35">
      <c r="E20460" s="35"/>
      <c r="J20460" s="41"/>
    </row>
    <row r="20461" spans="5:10" s="34" customFormat="1" x14ac:dyDescent="0.35">
      <c r="E20461" s="35"/>
      <c r="J20461" s="41"/>
    </row>
    <row r="20462" spans="5:10" s="34" customFormat="1" x14ac:dyDescent="0.35">
      <c r="E20462" s="35"/>
      <c r="J20462" s="41"/>
    </row>
    <row r="20463" spans="5:10" s="34" customFormat="1" x14ac:dyDescent="0.35">
      <c r="E20463" s="35"/>
      <c r="J20463" s="41"/>
    </row>
    <row r="20464" spans="5:10" s="34" customFormat="1" x14ac:dyDescent="0.35">
      <c r="E20464" s="35"/>
      <c r="J20464" s="41"/>
    </row>
    <row r="20465" spans="5:10" s="34" customFormat="1" x14ac:dyDescent="0.35">
      <c r="E20465" s="35"/>
      <c r="J20465" s="41"/>
    </row>
    <row r="20466" spans="5:10" s="34" customFormat="1" x14ac:dyDescent="0.35">
      <c r="E20466" s="35"/>
      <c r="J20466" s="41"/>
    </row>
    <row r="20467" spans="5:10" s="34" customFormat="1" x14ac:dyDescent="0.35">
      <c r="E20467" s="35"/>
      <c r="J20467" s="41"/>
    </row>
    <row r="20468" spans="5:10" s="34" customFormat="1" x14ac:dyDescent="0.35">
      <c r="E20468" s="35"/>
      <c r="J20468" s="41"/>
    </row>
    <row r="20469" spans="5:10" s="34" customFormat="1" x14ac:dyDescent="0.35">
      <c r="E20469" s="35"/>
      <c r="J20469" s="41"/>
    </row>
    <row r="20470" spans="5:10" s="34" customFormat="1" x14ac:dyDescent="0.35">
      <c r="E20470" s="35"/>
      <c r="J20470" s="41"/>
    </row>
    <row r="20471" spans="5:10" s="34" customFormat="1" x14ac:dyDescent="0.35">
      <c r="E20471" s="35"/>
      <c r="J20471" s="41"/>
    </row>
    <row r="20472" spans="5:10" s="34" customFormat="1" x14ac:dyDescent="0.35">
      <c r="E20472" s="35"/>
      <c r="J20472" s="41"/>
    </row>
    <row r="20473" spans="5:10" s="34" customFormat="1" x14ac:dyDescent="0.35">
      <c r="E20473" s="35"/>
      <c r="J20473" s="41"/>
    </row>
    <row r="20474" spans="5:10" s="34" customFormat="1" x14ac:dyDescent="0.35">
      <c r="E20474" s="35"/>
      <c r="J20474" s="41"/>
    </row>
    <row r="20475" spans="5:10" s="34" customFormat="1" x14ac:dyDescent="0.35">
      <c r="E20475" s="35"/>
      <c r="J20475" s="41"/>
    </row>
    <row r="20476" spans="5:10" s="34" customFormat="1" x14ac:dyDescent="0.35">
      <c r="E20476" s="35"/>
      <c r="J20476" s="41"/>
    </row>
    <row r="20477" spans="5:10" s="34" customFormat="1" x14ac:dyDescent="0.35">
      <c r="E20477" s="35"/>
      <c r="J20477" s="41"/>
    </row>
    <row r="20478" spans="5:10" s="34" customFormat="1" x14ac:dyDescent="0.35">
      <c r="E20478" s="35"/>
      <c r="J20478" s="41"/>
    </row>
    <row r="20479" spans="5:10" s="34" customFormat="1" x14ac:dyDescent="0.35">
      <c r="E20479" s="35"/>
      <c r="J20479" s="41"/>
    </row>
    <row r="20480" spans="5:10" s="34" customFormat="1" x14ac:dyDescent="0.35">
      <c r="E20480" s="35"/>
      <c r="J20480" s="41"/>
    </row>
    <row r="20481" spans="5:10" s="34" customFormat="1" x14ac:dyDescent="0.35">
      <c r="E20481" s="35"/>
      <c r="J20481" s="41"/>
    </row>
    <row r="20482" spans="5:10" s="34" customFormat="1" x14ac:dyDescent="0.35">
      <c r="E20482" s="35"/>
      <c r="J20482" s="41"/>
    </row>
    <row r="20483" spans="5:10" s="34" customFormat="1" x14ac:dyDescent="0.35">
      <c r="E20483" s="35"/>
      <c r="J20483" s="41"/>
    </row>
    <row r="20484" spans="5:10" s="34" customFormat="1" x14ac:dyDescent="0.35">
      <c r="E20484" s="35"/>
      <c r="J20484" s="41"/>
    </row>
    <row r="20485" spans="5:10" s="34" customFormat="1" x14ac:dyDescent="0.35">
      <c r="E20485" s="35"/>
      <c r="J20485" s="41"/>
    </row>
    <row r="20486" spans="5:10" s="34" customFormat="1" x14ac:dyDescent="0.35">
      <c r="E20486" s="35"/>
      <c r="J20486" s="41"/>
    </row>
    <row r="20487" spans="5:10" s="34" customFormat="1" x14ac:dyDescent="0.35">
      <c r="E20487" s="35"/>
      <c r="J20487" s="41"/>
    </row>
    <row r="20488" spans="5:10" s="34" customFormat="1" x14ac:dyDescent="0.35">
      <c r="E20488" s="35"/>
      <c r="J20488" s="41"/>
    </row>
    <row r="20489" spans="5:10" s="34" customFormat="1" x14ac:dyDescent="0.35">
      <c r="E20489" s="35"/>
      <c r="J20489" s="41"/>
    </row>
    <row r="20490" spans="5:10" s="34" customFormat="1" x14ac:dyDescent="0.35">
      <c r="E20490" s="35"/>
      <c r="J20490" s="41"/>
    </row>
    <row r="20491" spans="5:10" s="34" customFormat="1" x14ac:dyDescent="0.35">
      <c r="E20491" s="35"/>
      <c r="J20491" s="41"/>
    </row>
    <row r="20492" spans="5:10" s="34" customFormat="1" x14ac:dyDescent="0.35">
      <c r="E20492" s="35"/>
      <c r="J20492" s="41"/>
    </row>
    <row r="20493" spans="5:10" s="34" customFormat="1" x14ac:dyDescent="0.35">
      <c r="E20493" s="35"/>
      <c r="J20493" s="41"/>
    </row>
    <row r="20494" spans="5:10" s="34" customFormat="1" x14ac:dyDescent="0.35">
      <c r="E20494" s="35"/>
      <c r="J20494" s="41"/>
    </row>
    <row r="20495" spans="5:10" s="34" customFormat="1" x14ac:dyDescent="0.35">
      <c r="E20495" s="35"/>
      <c r="J20495" s="41"/>
    </row>
    <row r="20496" spans="5:10" s="34" customFormat="1" x14ac:dyDescent="0.35">
      <c r="E20496" s="35"/>
      <c r="J20496" s="41"/>
    </row>
    <row r="20497" spans="5:10" s="34" customFormat="1" x14ac:dyDescent="0.35">
      <c r="E20497" s="35"/>
      <c r="J20497" s="41"/>
    </row>
    <row r="20498" spans="5:10" s="34" customFormat="1" x14ac:dyDescent="0.35">
      <c r="E20498" s="35"/>
      <c r="J20498" s="41"/>
    </row>
    <row r="20499" spans="5:10" s="34" customFormat="1" x14ac:dyDescent="0.35">
      <c r="E20499" s="35"/>
      <c r="J20499" s="41"/>
    </row>
    <row r="20500" spans="5:10" s="34" customFormat="1" x14ac:dyDescent="0.35">
      <c r="E20500" s="35"/>
      <c r="J20500" s="41"/>
    </row>
    <row r="20501" spans="5:10" s="34" customFormat="1" x14ac:dyDescent="0.35">
      <c r="E20501" s="35"/>
      <c r="J20501" s="41"/>
    </row>
    <row r="20502" spans="5:10" s="34" customFormat="1" x14ac:dyDescent="0.35">
      <c r="E20502" s="35"/>
      <c r="J20502" s="41"/>
    </row>
    <row r="20503" spans="5:10" s="34" customFormat="1" x14ac:dyDescent="0.35">
      <c r="E20503" s="35"/>
      <c r="J20503" s="41"/>
    </row>
    <row r="20504" spans="5:10" s="34" customFormat="1" x14ac:dyDescent="0.35">
      <c r="E20504" s="35"/>
      <c r="J20504" s="41"/>
    </row>
    <row r="20505" spans="5:10" s="34" customFormat="1" x14ac:dyDescent="0.35">
      <c r="E20505" s="35"/>
      <c r="J20505" s="41"/>
    </row>
    <row r="20506" spans="5:10" s="34" customFormat="1" x14ac:dyDescent="0.35">
      <c r="E20506" s="35"/>
      <c r="J20506" s="41"/>
    </row>
    <row r="20507" spans="5:10" s="34" customFormat="1" x14ac:dyDescent="0.35">
      <c r="E20507" s="35"/>
      <c r="J20507" s="41"/>
    </row>
    <row r="20508" spans="5:10" s="34" customFormat="1" x14ac:dyDescent="0.35">
      <c r="E20508" s="35"/>
      <c r="J20508" s="41"/>
    </row>
    <row r="20509" spans="5:10" s="34" customFormat="1" x14ac:dyDescent="0.35">
      <c r="E20509" s="35"/>
      <c r="J20509" s="41"/>
    </row>
    <row r="20510" spans="5:10" s="34" customFormat="1" x14ac:dyDescent="0.35">
      <c r="E20510" s="35"/>
      <c r="J20510" s="41"/>
    </row>
    <row r="20511" spans="5:10" s="34" customFormat="1" x14ac:dyDescent="0.35">
      <c r="E20511" s="35"/>
      <c r="J20511" s="41"/>
    </row>
    <row r="20512" spans="5:10" s="34" customFormat="1" x14ac:dyDescent="0.35">
      <c r="E20512" s="35"/>
      <c r="J20512" s="41"/>
    </row>
    <row r="20513" spans="5:10" s="34" customFormat="1" x14ac:dyDescent="0.35">
      <c r="E20513" s="35"/>
      <c r="J20513" s="41"/>
    </row>
    <row r="20514" spans="5:10" s="34" customFormat="1" x14ac:dyDescent="0.35">
      <c r="E20514" s="35"/>
      <c r="J20514" s="41"/>
    </row>
    <row r="20515" spans="5:10" s="34" customFormat="1" x14ac:dyDescent="0.35">
      <c r="E20515" s="35"/>
      <c r="J20515" s="41"/>
    </row>
    <row r="20516" spans="5:10" s="34" customFormat="1" x14ac:dyDescent="0.35">
      <c r="E20516" s="35"/>
      <c r="J20516" s="41"/>
    </row>
    <row r="20517" spans="5:10" s="34" customFormat="1" x14ac:dyDescent="0.35">
      <c r="E20517" s="35"/>
      <c r="J20517" s="41"/>
    </row>
    <row r="20518" spans="5:10" s="34" customFormat="1" x14ac:dyDescent="0.35">
      <c r="E20518" s="35"/>
      <c r="J20518" s="41"/>
    </row>
    <row r="20519" spans="5:10" s="34" customFormat="1" x14ac:dyDescent="0.35">
      <c r="E20519" s="35"/>
      <c r="J20519" s="41"/>
    </row>
    <row r="20520" spans="5:10" s="34" customFormat="1" x14ac:dyDescent="0.35">
      <c r="E20520" s="35"/>
      <c r="J20520" s="41"/>
    </row>
    <row r="20521" spans="5:10" s="34" customFormat="1" x14ac:dyDescent="0.35">
      <c r="E20521" s="35"/>
      <c r="J20521" s="41"/>
    </row>
    <row r="20522" spans="5:10" s="34" customFormat="1" x14ac:dyDescent="0.35">
      <c r="E20522" s="35"/>
      <c r="J20522" s="41"/>
    </row>
    <row r="20523" spans="5:10" s="34" customFormat="1" x14ac:dyDescent="0.35">
      <c r="E20523" s="35"/>
      <c r="J20523" s="41"/>
    </row>
    <row r="20524" spans="5:10" s="34" customFormat="1" x14ac:dyDescent="0.35">
      <c r="E20524" s="35"/>
      <c r="J20524" s="41"/>
    </row>
    <row r="20525" spans="5:10" s="34" customFormat="1" x14ac:dyDescent="0.35">
      <c r="E20525" s="35"/>
      <c r="J20525" s="41"/>
    </row>
    <row r="20526" spans="5:10" s="34" customFormat="1" x14ac:dyDescent="0.35">
      <c r="E20526" s="35"/>
      <c r="J20526" s="41"/>
    </row>
    <row r="20527" spans="5:10" s="34" customFormat="1" x14ac:dyDescent="0.35">
      <c r="E20527" s="35"/>
      <c r="J20527" s="41"/>
    </row>
    <row r="20528" spans="5:10" s="34" customFormat="1" x14ac:dyDescent="0.35">
      <c r="E20528" s="35"/>
      <c r="J20528" s="41"/>
    </row>
    <row r="20529" spans="5:10" s="34" customFormat="1" x14ac:dyDescent="0.35">
      <c r="E20529" s="35"/>
      <c r="J20529" s="41"/>
    </row>
    <row r="20530" spans="5:10" s="34" customFormat="1" x14ac:dyDescent="0.35">
      <c r="E20530" s="35"/>
      <c r="J20530" s="41"/>
    </row>
    <row r="20531" spans="5:10" s="34" customFormat="1" x14ac:dyDescent="0.35">
      <c r="E20531" s="35"/>
      <c r="J20531" s="41"/>
    </row>
    <row r="20532" spans="5:10" s="34" customFormat="1" x14ac:dyDescent="0.35">
      <c r="E20532" s="35"/>
      <c r="J20532" s="41"/>
    </row>
    <row r="20533" spans="5:10" s="34" customFormat="1" x14ac:dyDescent="0.35">
      <c r="E20533" s="35"/>
      <c r="J20533" s="41"/>
    </row>
    <row r="20534" spans="5:10" s="34" customFormat="1" x14ac:dyDescent="0.35">
      <c r="E20534" s="35"/>
      <c r="J20534" s="41"/>
    </row>
    <row r="20535" spans="5:10" s="34" customFormat="1" x14ac:dyDescent="0.35">
      <c r="E20535" s="35"/>
      <c r="J20535" s="41"/>
    </row>
    <row r="20536" spans="5:10" s="34" customFormat="1" x14ac:dyDescent="0.35">
      <c r="E20536" s="35"/>
      <c r="J20536" s="41"/>
    </row>
    <row r="20537" spans="5:10" s="34" customFormat="1" x14ac:dyDescent="0.35">
      <c r="E20537" s="35"/>
      <c r="J20537" s="41"/>
    </row>
    <row r="20538" spans="5:10" s="34" customFormat="1" x14ac:dyDescent="0.35">
      <c r="E20538" s="35"/>
      <c r="J20538" s="41"/>
    </row>
    <row r="20539" spans="5:10" s="34" customFormat="1" x14ac:dyDescent="0.35">
      <c r="E20539" s="35"/>
      <c r="J20539" s="41"/>
    </row>
    <row r="20540" spans="5:10" s="34" customFormat="1" x14ac:dyDescent="0.35">
      <c r="E20540" s="35"/>
      <c r="J20540" s="41"/>
    </row>
    <row r="20541" spans="5:10" s="34" customFormat="1" x14ac:dyDescent="0.35">
      <c r="E20541" s="35"/>
      <c r="J20541" s="41"/>
    </row>
    <row r="20542" spans="5:10" s="34" customFormat="1" x14ac:dyDescent="0.35">
      <c r="E20542" s="35"/>
      <c r="J20542" s="41"/>
    </row>
    <row r="20543" spans="5:10" s="34" customFormat="1" x14ac:dyDescent="0.35">
      <c r="E20543" s="35"/>
      <c r="J20543" s="41"/>
    </row>
    <row r="20544" spans="5:10" s="34" customFormat="1" x14ac:dyDescent="0.35">
      <c r="E20544" s="35"/>
      <c r="J20544" s="41"/>
    </row>
    <row r="20545" spans="5:10" s="34" customFormat="1" x14ac:dyDescent="0.35">
      <c r="E20545" s="35"/>
      <c r="J20545" s="41"/>
    </row>
    <row r="20546" spans="5:10" s="34" customFormat="1" x14ac:dyDescent="0.35">
      <c r="E20546" s="35"/>
      <c r="J20546" s="41"/>
    </row>
    <row r="20547" spans="5:10" s="34" customFormat="1" x14ac:dyDescent="0.35">
      <c r="E20547" s="35"/>
      <c r="J20547" s="41"/>
    </row>
    <row r="20548" spans="5:10" s="34" customFormat="1" x14ac:dyDescent="0.35">
      <c r="E20548" s="35"/>
      <c r="J20548" s="41"/>
    </row>
    <row r="20549" spans="5:10" s="34" customFormat="1" x14ac:dyDescent="0.35">
      <c r="E20549" s="35"/>
      <c r="J20549" s="41"/>
    </row>
    <row r="20550" spans="5:10" s="34" customFormat="1" x14ac:dyDescent="0.35">
      <c r="E20550" s="35"/>
      <c r="J20550" s="41"/>
    </row>
    <row r="20551" spans="5:10" s="34" customFormat="1" x14ac:dyDescent="0.35">
      <c r="E20551" s="35"/>
      <c r="J20551" s="41"/>
    </row>
    <row r="20552" spans="5:10" s="34" customFormat="1" x14ac:dyDescent="0.35">
      <c r="E20552" s="35"/>
      <c r="J20552" s="41"/>
    </row>
    <row r="20553" spans="5:10" s="34" customFormat="1" x14ac:dyDescent="0.35">
      <c r="E20553" s="35"/>
      <c r="J20553" s="41"/>
    </row>
    <row r="20554" spans="5:10" s="34" customFormat="1" x14ac:dyDescent="0.35">
      <c r="E20554" s="35"/>
      <c r="J20554" s="41"/>
    </row>
    <row r="20555" spans="5:10" s="34" customFormat="1" x14ac:dyDescent="0.35">
      <c r="E20555" s="35"/>
      <c r="J20555" s="41"/>
    </row>
    <row r="20556" spans="5:10" s="34" customFormat="1" x14ac:dyDescent="0.35">
      <c r="E20556" s="35"/>
      <c r="J20556" s="41"/>
    </row>
    <row r="20557" spans="5:10" s="34" customFormat="1" x14ac:dyDescent="0.35">
      <c r="E20557" s="35"/>
      <c r="J20557" s="41"/>
    </row>
    <row r="20558" spans="5:10" s="34" customFormat="1" x14ac:dyDescent="0.35">
      <c r="E20558" s="35"/>
      <c r="J20558" s="41"/>
    </row>
    <row r="20559" spans="5:10" s="34" customFormat="1" x14ac:dyDescent="0.35">
      <c r="E20559" s="35"/>
      <c r="J20559" s="41"/>
    </row>
    <row r="20560" spans="5:10" s="34" customFormat="1" x14ac:dyDescent="0.35">
      <c r="E20560" s="35"/>
      <c r="J20560" s="41"/>
    </row>
    <row r="20561" spans="5:10" s="34" customFormat="1" x14ac:dyDescent="0.35">
      <c r="E20561" s="35"/>
      <c r="J20561" s="41"/>
    </row>
    <row r="20562" spans="5:10" s="34" customFormat="1" x14ac:dyDescent="0.35">
      <c r="E20562" s="35"/>
      <c r="J20562" s="41"/>
    </row>
    <row r="20563" spans="5:10" s="34" customFormat="1" x14ac:dyDescent="0.35">
      <c r="E20563" s="35"/>
      <c r="J20563" s="41"/>
    </row>
    <row r="20564" spans="5:10" s="34" customFormat="1" x14ac:dyDescent="0.35">
      <c r="E20564" s="35"/>
      <c r="J20564" s="41"/>
    </row>
    <row r="20565" spans="5:10" s="34" customFormat="1" x14ac:dyDescent="0.35">
      <c r="E20565" s="35"/>
      <c r="J20565" s="41"/>
    </row>
    <row r="20566" spans="5:10" s="34" customFormat="1" x14ac:dyDescent="0.35">
      <c r="E20566" s="35"/>
      <c r="J20566" s="41"/>
    </row>
    <row r="20567" spans="5:10" s="34" customFormat="1" x14ac:dyDescent="0.35">
      <c r="E20567" s="35"/>
      <c r="J20567" s="41"/>
    </row>
    <row r="20568" spans="5:10" s="34" customFormat="1" x14ac:dyDescent="0.35">
      <c r="E20568" s="35"/>
      <c r="J20568" s="41"/>
    </row>
    <row r="20569" spans="5:10" s="34" customFormat="1" x14ac:dyDescent="0.35">
      <c r="E20569" s="35"/>
      <c r="J20569" s="41"/>
    </row>
    <row r="20570" spans="5:10" s="34" customFormat="1" x14ac:dyDescent="0.35">
      <c r="E20570" s="35"/>
      <c r="J20570" s="41"/>
    </row>
    <row r="20571" spans="5:10" s="34" customFormat="1" x14ac:dyDescent="0.35">
      <c r="E20571" s="35"/>
      <c r="J20571" s="41"/>
    </row>
    <row r="20572" spans="5:10" s="34" customFormat="1" x14ac:dyDescent="0.35">
      <c r="E20572" s="35"/>
      <c r="J20572" s="41"/>
    </row>
    <row r="20573" spans="5:10" s="34" customFormat="1" x14ac:dyDescent="0.35">
      <c r="E20573" s="35"/>
      <c r="J20573" s="41"/>
    </row>
    <row r="20574" spans="5:10" s="34" customFormat="1" x14ac:dyDescent="0.35">
      <c r="E20574" s="35"/>
      <c r="J20574" s="41"/>
    </row>
    <row r="20575" spans="5:10" s="34" customFormat="1" x14ac:dyDescent="0.35">
      <c r="E20575" s="35"/>
      <c r="J20575" s="41"/>
    </row>
    <row r="20576" spans="5:10" s="34" customFormat="1" x14ac:dyDescent="0.35">
      <c r="E20576" s="35"/>
      <c r="J20576" s="41"/>
    </row>
    <row r="20577" spans="5:10" s="34" customFormat="1" x14ac:dyDescent="0.35">
      <c r="E20577" s="35"/>
      <c r="J20577" s="41"/>
    </row>
    <row r="20578" spans="5:10" s="34" customFormat="1" x14ac:dyDescent="0.35">
      <c r="E20578" s="35"/>
      <c r="J20578" s="41"/>
    </row>
    <row r="20579" spans="5:10" s="34" customFormat="1" x14ac:dyDescent="0.35">
      <c r="E20579" s="35"/>
      <c r="J20579" s="41"/>
    </row>
    <row r="20580" spans="5:10" s="34" customFormat="1" x14ac:dyDescent="0.35">
      <c r="E20580" s="35"/>
      <c r="J20580" s="41"/>
    </row>
    <row r="20581" spans="5:10" s="34" customFormat="1" x14ac:dyDescent="0.35">
      <c r="E20581" s="35"/>
      <c r="J20581" s="41"/>
    </row>
    <row r="20582" spans="5:10" s="34" customFormat="1" x14ac:dyDescent="0.35">
      <c r="E20582" s="35"/>
      <c r="J20582" s="41"/>
    </row>
    <row r="20583" spans="5:10" s="34" customFormat="1" x14ac:dyDescent="0.35">
      <c r="E20583" s="35"/>
      <c r="J20583" s="41"/>
    </row>
    <row r="20584" spans="5:10" s="34" customFormat="1" x14ac:dyDescent="0.35">
      <c r="E20584" s="35"/>
      <c r="J20584" s="41"/>
    </row>
    <row r="20585" spans="5:10" s="34" customFormat="1" x14ac:dyDescent="0.35">
      <c r="E20585" s="35"/>
      <c r="J20585" s="41"/>
    </row>
    <row r="20586" spans="5:10" s="34" customFormat="1" x14ac:dyDescent="0.35">
      <c r="E20586" s="35"/>
      <c r="J20586" s="41"/>
    </row>
    <row r="20587" spans="5:10" s="34" customFormat="1" x14ac:dyDescent="0.35">
      <c r="E20587" s="35"/>
      <c r="J20587" s="41"/>
    </row>
    <row r="20588" spans="5:10" s="34" customFormat="1" x14ac:dyDescent="0.35">
      <c r="E20588" s="35"/>
      <c r="J20588" s="41"/>
    </row>
    <row r="20589" spans="5:10" s="34" customFormat="1" x14ac:dyDescent="0.35">
      <c r="E20589" s="35"/>
      <c r="J20589" s="41"/>
    </row>
    <row r="20590" spans="5:10" s="34" customFormat="1" x14ac:dyDescent="0.35">
      <c r="E20590" s="35"/>
      <c r="J20590" s="41"/>
    </row>
    <row r="20591" spans="5:10" s="34" customFormat="1" x14ac:dyDescent="0.35">
      <c r="E20591" s="35"/>
      <c r="J20591" s="41"/>
    </row>
    <row r="20592" spans="5:10" s="34" customFormat="1" x14ac:dyDescent="0.35">
      <c r="E20592" s="35"/>
      <c r="J20592" s="41"/>
    </row>
    <row r="20593" spans="5:10" s="34" customFormat="1" x14ac:dyDescent="0.35">
      <c r="E20593" s="35"/>
      <c r="J20593" s="41"/>
    </row>
    <row r="20594" spans="5:10" s="34" customFormat="1" x14ac:dyDescent="0.35">
      <c r="E20594" s="35"/>
      <c r="J20594" s="41"/>
    </row>
    <row r="20595" spans="5:10" s="34" customFormat="1" x14ac:dyDescent="0.35">
      <c r="E20595" s="35"/>
      <c r="J20595" s="41"/>
    </row>
    <row r="20596" spans="5:10" s="34" customFormat="1" x14ac:dyDescent="0.35">
      <c r="E20596" s="35"/>
      <c r="J20596" s="41"/>
    </row>
    <row r="20597" spans="5:10" s="34" customFormat="1" x14ac:dyDescent="0.35">
      <c r="E20597" s="35"/>
      <c r="J20597" s="41"/>
    </row>
    <row r="20598" spans="5:10" s="34" customFormat="1" x14ac:dyDescent="0.35">
      <c r="E20598" s="35"/>
      <c r="J20598" s="41"/>
    </row>
    <row r="20599" spans="5:10" s="34" customFormat="1" x14ac:dyDescent="0.35">
      <c r="E20599" s="35"/>
      <c r="J20599" s="41"/>
    </row>
    <row r="20600" spans="5:10" s="34" customFormat="1" x14ac:dyDescent="0.35">
      <c r="E20600" s="35"/>
      <c r="J20600" s="41"/>
    </row>
    <row r="20601" spans="5:10" s="34" customFormat="1" x14ac:dyDescent="0.35">
      <c r="E20601" s="35"/>
      <c r="J20601" s="41"/>
    </row>
    <row r="20602" spans="5:10" s="34" customFormat="1" x14ac:dyDescent="0.35">
      <c r="E20602" s="35"/>
      <c r="J20602" s="41"/>
    </row>
    <row r="20603" spans="5:10" s="34" customFormat="1" x14ac:dyDescent="0.35">
      <c r="E20603" s="35"/>
      <c r="J20603" s="41"/>
    </row>
    <row r="20604" spans="5:10" s="34" customFormat="1" x14ac:dyDescent="0.35">
      <c r="E20604" s="35"/>
      <c r="J20604" s="41"/>
    </row>
    <row r="20605" spans="5:10" s="34" customFormat="1" x14ac:dyDescent="0.35">
      <c r="E20605" s="35"/>
      <c r="J20605" s="41"/>
    </row>
    <row r="20606" spans="5:10" s="34" customFormat="1" x14ac:dyDescent="0.35">
      <c r="E20606" s="35"/>
      <c r="J20606" s="41"/>
    </row>
    <row r="20607" spans="5:10" s="34" customFormat="1" x14ac:dyDescent="0.35">
      <c r="E20607" s="35"/>
      <c r="J20607" s="41"/>
    </row>
    <row r="20608" spans="5:10" s="34" customFormat="1" x14ac:dyDescent="0.35">
      <c r="E20608" s="35"/>
      <c r="J20608" s="41"/>
    </row>
    <row r="20609" spans="5:10" s="34" customFormat="1" x14ac:dyDescent="0.35">
      <c r="E20609" s="35"/>
      <c r="J20609" s="41"/>
    </row>
    <row r="20610" spans="5:10" s="34" customFormat="1" x14ac:dyDescent="0.35">
      <c r="E20610" s="35"/>
      <c r="J20610" s="41"/>
    </row>
    <row r="20611" spans="5:10" s="34" customFormat="1" x14ac:dyDescent="0.35">
      <c r="E20611" s="35"/>
      <c r="J20611" s="41"/>
    </row>
    <row r="20612" spans="5:10" s="34" customFormat="1" x14ac:dyDescent="0.35">
      <c r="E20612" s="35"/>
      <c r="J20612" s="41"/>
    </row>
    <row r="20613" spans="5:10" s="34" customFormat="1" x14ac:dyDescent="0.35">
      <c r="E20613" s="35"/>
      <c r="J20613" s="41"/>
    </row>
    <row r="20614" spans="5:10" s="34" customFormat="1" x14ac:dyDescent="0.35">
      <c r="E20614" s="35"/>
      <c r="J20614" s="41"/>
    </row>
    <row r="20615" spans="5:10" s="34" customFormat="1" x14ac:dyDescent="0.35">
      <c r="E20615" s="35"/>
      <c r="J20615" s="41"/>
    </row>
    <row r="20616" spans="5:10" s="34" customFormat="1" x14ac:dyDescent="0.35">
      <c r="E20616" s="35"/>
      <c r="J20616" s="41"/>
    </row>
    <row r="20617" spans="5:10" s="34" customFormat="1" x14ac:dyDescent="0.35">
      <c r="E20617" s="35"/>
      <c r="J20617" s="41"/>
    </row>
    <row r="20618" spans="5:10" s="34" customFormat="1" x14ac:dyDescent="0.35">
      <c r="E20618" s="35"/>
      <c r="J20618" s="41"/>
    </row>
    <row r="20619" spans="5:10" s="34" customFormat="1" x14ac:dyDescent="0.35">
      <c r="E20619" s="35"/>
      <c r="J20619" s="41"/>
    </row>
    <row r="20620" spans="5:10" s="34" customFormat="1" x14ac:dyDescent="0.35">
      <c r="E20620" s="35"/>
      <c r="J20620" s="41"/>
    </row>
    <row r="20621" spans="5:10" s="34" customFormat="1" x14ac:dyDescent="0.35">
      <c r="E20621" s="35"/>
      <c r="J20621" s="41"/>
    </row>
    <row r="20622" spans="5:10" s="34" customFormat="1" x14ac:dyDescent="0.35">
      <c r="E20622" s="35"/>
      <c r="J20622" s="41"/>
    </row>
    <row r="20623" spans="5:10" s="34" customFormat="1" x14ac:dyDescent="0.35">
      <c r="E20623" s="35"/>
      <c r="J20623" s="41"/>
    </row>
    <row r="20624" spans="5:10" s="34" customFormat="1" x14ac:dyDescent="0.35">
      <c r="E20624" s="35"/>
      <c r="J20624" s="41"/>
    </row>
    <row r="20625" spans="5:10" s="34" customFormat="1" x14ac:dyDescent="0.35">
      <c r="E20625" s="35"/>
      <c r="J20625" s="41"/>
    </row>
    <row r="20626" spans="5:10" s="34" customFormat="1" x14ac:dyDescent="0.35">
      <c r="E20626" s="35"/>
      <c r="J20626" s="41"/>
    </row>
    <row r="20627" spans="5:10" s="34" customFormat="1" x14ac:dyDescent="0.35">
      <c r="E20627" s="35"/>
      <c r="J20627" s="41"/>
    </row>
    <row r="20628" spans="5:10" s="34" customFormat="1" x14ac:dyDescent="0.35">
      <c r="E20628" s="35"/>
      <c r="J20628" s="41"/>
    </row>
    <row r="20629" spans="5:10" s="34" customFormat="1" x14ac:dyDescent="0.35">
      <c r="E20629" s="35"/>
      <c r="J20629" s="41"/>
    </row>
    <row r="20630" spans="5:10" s="34" customFormat="1" x14ac:dyDescent="0.35">
      <c r="E20630" s="35"/>
      <c r="J20630" s="41"/>
    </row>
    <row r="20631" spans="5:10" s="34" customFormat="1" x14ac:dyDescent="0.35">
      <c r="E20631" s="35"/>
      <c r="J20631" s="41"/>
    </row>
    <row r="20632" spans="5:10" s="34" customFormat="1" x14ac:dyDescent="0.35">
      <c r="E20632" s="35"/>
      <c r="J20632" s="41"/>
    </row>
    <row r="20633" spans="5:10" s="34" customFormat="1" x14ac:dyDescent="0.35">
      <c r="E20633" s="35"/>
      <c r="J20633" s="41"/>
    </row>
    <row r="20634" spans="5:10" s="34" customFormat="1" x14ac:dyDescent="0.35">
      <c r="E20634" s="35"/>
      <c r="J20634" s="41"/>
    </row>
    <row r="20635" spans="5:10" s="34" customFormat="1" x14ac:dyDescent="0.35">
      <c r="E20635" s="35"/>
      <c r="J20635" s="41"/>
    </row>
    <row r="20636" spans="5:10" s="34" customFormat="1" x14ac:dyDescent="0.35">
      <c r="E20636" s="35"/>
      <c r="J20636" s="41"/>
    </row>
    <row r="20637" spans="5:10" s="34" customFormat="1" x14ac:dyDescent="0.35">
      <c r="E20637" s="35"/>
      <c r="J20637" s="41"/>
    </row>
    <row r="20638" spans="5:10" s="34" customFormat="1" x14ac:dyDescent="0.35">
      <c r="E20638" s="35"/>
      <c r="J20638" s="41"/>
    </row>
    <row r="20639" spans="5:10" s="34" customFormat="1" x14ac:dyDescent="0.35">
      <c r="E20639" s="35"/>
      <c r="J20639" s="41"/>
    </row>
    <row r="20640" spans="5:10" s="34" customFormat="1" x14ac:dyDescent="0.35">
      <c r="E20640" s="35"/>
      <c r="J20640" s="41"/>
    </row>
    <row r="20641" spans="5:10" s="34" customFormat="1" x14ac:dyDescent="0.35">
      <c r="E20641" s="35"/>
      <c r="J20641" s="41"/>
    </row>
    <row r="20642" spans="5:10" s="34" customFormat="1" x14ac:dyDescent="0.35">
      <c r="E20642" s="35"/>
      <c r="J20642" s="41"/>
    </row>
    <row r="20643" spans="5:10" s="34" customFormat="1" x14ac:dyDescent="0.35">
      <c r="E20643" s="35"/>
      <c r="J20643" s="41"/>
    </row>
    <row r="20644" spans="5:10" s="34" customFormat="1" x14ac:dyDescent="0.35">
      <c r="E20644" s="35"/>
      <c r="J20644" s="41"/>
    </row>
    <row r="20645" spans="5:10" s="34" customFormat="1" x14ac:dyDescent="0.35">
      <c r="E20645" s="35"/>
      <c r="J20645" s="41"/>
    </row>
    <row r="20646" spans="5:10" s="34" customFormat="1" x14ac:dyDescent="0.35">
      <c r="E20646" s="35"/>
      <c r="J20646" s="41"/>
    </row>
    <row r="20647" spans="5:10" s="34" customFormat="1" x14ac:dyDescent="0.35">
      <c r="E20647" s="35"/>
      <c r="J20647" s="41"/>
    </row>
    <row r="20648" spans="5:10" s="34" customFormat="1" x14ac:dyDescent="0.35">
      <c r="E20648" s="35"/>
      <c r="J20648" s="41"/>
    </row>
    <row r="20649" spans="5:10" s="34" customFormat="1" x14ac:dyDescent="0.35">
      <c r="E20649" s="35"/>
      <c r="J20649" s="41"/>
    </row>
    <row r="20650" spans="5:10" s="34" customFormat="1" x14ac:dyDescent="0.35">
      <c r="E20650" s="35"/>
      <c r="J20650" s="41"/>
    </row>
    <row r="20651" spans="5:10" s="34" customFormat="1" x14ac:dyDescent="0.35">
      <c r="E20651" s="35"/>
      <c r="J20651" s="41"/>
    </row>
    <row r="20652" spans="5:10" s="34" customFormat="1" x14ac:dyDescent="0.35">
      <c r="E20652" s="35"/>
      <c r="J20652" s="41"/>
    </row>
    <row r="20653" spans="5:10" s="34" customFormat="1" x14ac:dyDescent="0.35">
      <c r="E20653" s="35"/>
      <c r="J20653" s="41"/>
    </row>
    <row r="20654" spans="5:10" s="34" customFormat="1" x14ac:dyDescent="0.35">
      <c r="E20654" s="35"/>
      <c r="J20654" s="41"/>
    </row>
    <row r="20655" spans="5:10" s="34" customFormat="1" x14ac:dyDescent="0.35">
      <c r="E20655" s="35"/>
      <c r="J20655" s="41"/>
    </row>
    <row r="20656" spans="5:10" s="34" customFormat="1" x14ac:dyDescent="0.35">
      <c r="E20656" s="35"/>
      <c r="J20656" s="41"/>
    </row>
    <row r="20657" spans="5:10" s="34" customFormat="1" x14ac:dyDescent="0.35">
      <c r="E20657" s="35"/>
      <c r="J20657" s="41"/>
    </row>
    <row r="20658" spans="5:10" s="34" customFormat="1" x14ac:dyDescent="0.35">
      <c r="E20658" s="35"/>
      <c r="J20658" s="41"/>
    </row>
    <row r="20659" spans="5:10" s="34" customFormat="1" x14ac:dyDescent="0.35">
      <c r="E20659" s="35"/>
      <c r="J20659" s="41"/>
    </row>
    <row r="20660" spans="5:10" s="34" customFormat="1" x14ac:dyDescent="0.35">
      <c r="E20660" s="35"/>
      <c r="J20660" s="41"/>
    </row>
    <row r="20661" spans="5:10" s="34" customFormat="1" x14ac:dyDescent="0.35">
      <c r="E20661" s="35"/>
      <c r="J20661" s="41"/>
    </row>
    <row r="20662" spans="5:10" s="34" customFormat="1" x14ac:dyDescent="0.35">
      <c r="E20662" s="35"/>
      <c r="J20662" s="41"/>
    </row>
    <row r="20663" spans="5:10" s="34" customFormat="1" x14ac:dyDescent="0.35">
      <c r="E20663" s="35"/>
      <c r="J20663" s="41"/>
    </row>
    <row r="20664" spans="5:10" s="34" customFormat="1" x14ac:dyDescent="0.35">
      <c r="E20664" s="35"/>
      <c r="J20664" s="41"/>
    </row>
    <row r="20665" spans="5:10" s="34" customFormat="1" x14ac:dyDescent="0.35">
      <c r="E20665" s="35"/>
      <c r="J20665" s="41"/>
    </row>
    <row r="20666" spans="5:10" s="34" customFormat="1" x14ac:dyDescent="0.35">
      <c r="E20666" s="35"/>
      <c r="J20666" s="41"/>
    </row>
    <row r="20667" spans="5:10" s="34" customFormat="1" x14ac:dyDescent="0.35">
      <c r="E20667" s="35"/>
      <c r="J20667" s="41"/>
    </row>
    <row r="20668" spans="5:10" s="34" customFormat="1" x14ac:dyDescent="0.35">
      <c r="E20668" s="35"/>
      <c r="J20668" s="41"/>
    </row>
    <row r="20669" spans="5:10" s="34" customFormat="1" x14ac:dyDescent="0.35">
      <c r="E20669" s="35"/>
      <c r="J20669" s="41"/>
    </row>
    <row r="20670" spans="5:10" s="34" customFormat="1" x14ac:dyDescent="0.35">
      <c r="E20670" s="35"/>
      <c r="J20670" s="41"/>
    </row>
    <row r="20671" spans="5:10" s="34" customFormat="1" x14ac:dyDescent="0.35">
      <c r="E20671" s="35"/>
      <c r="J20671" s="41"/>
    </row>
    <row r="20672" spans="5:10" s="34" customFormat="1" x14ac:dyDescent="0.35">
      <c r="E20672" s="35"/>
      <c r="J20672" s="41"/>
    </row>
    <row r="20673" spans="5:10" s="34" customFormat="1" x14ac:dyDescent="0.35">
      <c r="E20673" s="35"/>
      <c r="J20673" s="41"/>
    </row>
    <row r="20674" spans="5:10" s="34" customFormat="1" x14ac:dyDescent="0.35">
      <c r="E20674" s="35"/>
      <c r="J20674" s="41"/>
    </row>
    <row r="20675" spans="5:10" s="34" customFormat="1" x14ac:dyDescent="0.35">
      <c r="E20675" s="35"/>
      <c r="J20675" s="41"/>
    </row>
    <row r="20676" spans="5:10" s="34" customFormat="1" x14ac:dyDescent="0.35">
      <c r="E20676" s="35"/>
      <c r="J20676" s="41"/>
    </row>
    <row r="20677" spans="5:10" s="34" customFormat="1" x14ac:dyDescent="0.35">
      <c r="E20677" s="35"/>
      <c r="J20677" s="41"/>
    </row>
    <row r="20678" spans="5:10" s="34" customFormat="1" x14ac:dyDescent="0.35">
      <c r="E20678" s="35"/>
      <c r="J20678" s="41"/>
    </row>
    <row r="20679" spans="5:10" s="34" customFormat="1" x14ac:dyDescent="0.35">
      <c r="E20679" s="35"/>
      <c r="J20679" s="41"/>
    </row>
    <row r="20680" spans="5:10" s="34" customFormat="1" x14ac:dyDescent="0.35">
      <c r="E20680" s="35"/>
      <c r="J20680" s="41"/>
    </row>
    <row r="20681" spans="5:10" s="34" customFormat="1" x14ac:dyDescent="0.35">
      <c r="E20681" s="35"/>
      <c r="J20681" s="41"/>
    </row>
    <row r="20682" spans="5:10" s="34" customFormat="1" x14ac:dyDescent="0.35">
      <c r="E20682" s="35"/>
      <c r="J20682" s="41"/>
    </row>
    <row r="20683" spans="5:10" s="34" customFormat="1" x14ac:dyDescent="0.35">
      <c r="E20683" s="35"/>
      <c r="J20683" s="41"/>
    </row>
    <row r="20684" spans="5:10" s="34" customFormat="1" x14ac:dyDescent="0.35">
      <c r="E20684" s="35"/>
      <c r="J20684" s="41"/>
    </row>
    <row r="20685" spans="5:10" s="34" customFormat="1" x14ac:dyDescent="0.35">
      <c r="E20685" s="35"/>
      <c r="J20685" s="41"/>
    </row>
    <row r="20686" spans="5:10" s="34" customFormat="1" x14ac:dyDescent="0.35">
      <c r="E20686" s="35"/>
      <c r="J20686" s="41"/>
    </row>
    <row r="20687" spans="5:10" s="34" customFormat="1" x14ac:dyDescent="0.35">
      <c r="E20687" s="35"/>
      <c r="J20687" s="41"/>
    </row>
    <row r="20688" spans="5:10" s="34" customFormat="1" x14ac:dyDescent="0.35">
      <c r="E20688" s="35"/>
      <c r="J20688" s="41"/>
    </row>
    <row r="20689" spans="5:10" s="34" customFormat="1" x14ac:dyDescent="0.35">
      <c r="E20689" s="35"/>
      <c r="J20689" s="41"/>
    </row>
    <row r="20690" spans="5:10" s="34" customFormat="1" x14ac:dyDescent="0.35">
      <c r="E20690" s="35"/>
      <c r="J20690" s="41"/>
    </row>
    <row r="20691" spans="5:10" s="34" customFormat="1" x14ac:dyDescent="0.35">
      <c r="E20691" s="35"/>
      <c r="J20691" s="41"/>
    </row>
    <row r="20692" spans="5:10" s="34" customFormat="1" x14ac:dyDescent="0.35">
      <c r="E20692" s="35"/>
      <c r="J20692" s="41"/>
    </row>
    <row r="20693" spans="5:10" s="34" customFormat="1" x14ac:dyDescent="0.35">
      <c r="E20693" s="35"/>
      <c r="J20693" s="41"/>
    </row>
    <row r="20694" spans="5:10" s="34" customFormat="1" x14ac:dyDescent="0.35">
      <c r="E20694" s="35"/>
      <c r="J20694" s="41"/>
    </row>
    <row r="20695" spans="5:10" s="34" customFormat="1" x14ac:dyDescent="0.35">
      <c r="E20695" s="35"/>
      <c r="J20695" s="41"/>
    </row>
    <row r="20696" spans="5:10" s="34" customFormat="1" x14ac:dyDescent="0.35">
      <c r="E20696" s="35"/>
      <c r="J20696" s="41"/>
    </row>
    <row r="20697" spans="5:10" s="34" customFormat="1" x14ac:dyDescent="0.35">
      <c r="E20697" s="35"/>
      <c r="J20697" s="41"/>
    </row>
    <row r="20698" spans="5:10" s="34" customFormat="1" x14ac:dyDescent="0.35">
      <c r="E20698" s="35"/>
      <c r="J20698" s="41"/>
    </row>
    <row r="20699" spans="5:10" s="34" customFormat="1" x14ac:dyDescent="0.35">
      <c r="E20699" s="35"/>
      <c r="J20699" s="41"/>
    </row>
    <row r="20700" spans="5:10" s="34" customFormat="1" x14ac:dyDescent="0.35">
      <c r="E20700" s="35"/>
      <c r="J20700" s="41"/>
    </row>
    <row r="20701" spans="5:10" s="34" customFormat="1" x14ac:dyDescent="0.35">
      <c r="E20701" s="35"/>
      <c r="J20701" s="41"/>
    </row>
    <row r="20702" spans="5:10" s="34" customFormat="1" x14ac:dyDescent="0.35">
      <c r="E20702" s="35"/>
      <c r="J20702" s="41"/>
    </row>
    <row r="20703" spans="5:10" s="34" customFormat="1" x14ac:dyDescent="0.35">
      <c r="E20703" s="35"/>
      <c r="J20703" s="41"/>
    </row>
    <row r="20704" spans="5:10" s="34" customFormat="1" x14ac:dyDescent="0.35">
      <c r="E20704" s="35"/>
      <c r="J20704" s="41"/>
    </row>
    <row r="20705" spans="5:10" s="34" customFormat="1" x14ac:dyDescent="0.35">
      <c r="E20705" s="35"/>
      <c r="J20705" s="41"/>
    </row>
    <row r="20706" spans="5:10" s="34" customFormat="1" x14ac:dyDescent="0.35">
      <c r="E20706" s="35"/>
      <c r="J20706" s="41"/>
    </row>
    <row r="20707" spans="5:10" s="34" customFormat="1" x14ac:dyDescent="0.35">
      <c r="E20707" s="35"/>
      <c r="J20707" s="41"/>
    </row>
    <row r="20708" spans="5:10" s="34" customFormat="1" x14ac:dyDescent="0.35">
      <c r="E20708" s="35"/>
      <c r="J20708" s="41"/>
    </row>
    <row r="20709" spans="5:10" s="34" customFormat="1" x14ac:dyDescent="0.35">
      <c r="E20709" s="35"/>
      <c r="J20709" s="41"/>
    </row>
    <row r="20710" spans="5:10" s="34" customFormat="1" x14ac:dyDescent="0.35">
      <c r="E20710" s="35"/>
      <c r="J20710" s="41"/>
    </row>
    <row r="20711" spans="5:10" s="34" customFormat="1" x14ac:dyDescent="0.35">
      <c r="E20711" s="35"/>
      <c r="J20711" s="41"/>
    </row>
    <row r="20712" spans="5:10" s="34" customFormat="1" x14ac:dyDescent="0.35">
      <c r="E20712" s="35"/>
      <c r="J20712" s="41"/>
    </row>
    <row r="20713" spans="5:10" s="34" customFormat="1" x14ac:dyDescent="0.35">
      <c r="E20713" s="35"/>
      <c r="J20713" s="41"/>
    </row>
    <row r="20714" spans="5:10" s="34" customFormat="1" x14ac:dyDescent="0.35">
      <c r="E20714" s="35"/>
      <c r="J20714" s="41"/>
    </row>
    <row r="20715" spans="5:10" s="34" customFormat="1" x14ac:dyDescent="0.35">
      <c r="E20715" s="35"/>
      <c r="J20715" s="41"/>
    </row>
    <row r="20716" spans="5:10" s="34" customFormat="1" x14ac:dyDescent="0.35">
      <c r="E20716" s="35"/>
      <c r="J20716" s="41"/>
    </row>
    <row r="20717" spans="5:10" s="34" customFormat="1" x14ac:dyDescent="0.35">
      <c r="E20717" s="35"/>
      <c r="J20717" s="41"/>
    </row>
    <row r="20718" spans="5:10" s="34" customFormat="1" x14ac:dyDescent="0.35">
      <c r="E20718" s="35"/>
      <c r="J20718" s="41"/>
    </row>
    <row r="20719" spans="5:10" s="34" customFormat="1" x14ac:dyDescent="0.35">
      <c r="E20719" s="35"/>
      <c r="J20719" s="41"/>
    </row>
    <row r="20720" spans="5:10" s="34" customFormat="1" x14ac:dyDescent="0.35">
      <c r="E20720" s="35"/>
      <c r="J20720" s="41"/>
    </row>
    <row r="20721" spans="5:10" s="34" customFormat="1" x14ac:dyDescent="0.35">
      <c r="E20721" s="35"/>
      <c r="J20721" s="41"/>
    </row>
    <row r="20722" spans="5:10" s="34" customFormat="1" x14ac:dyDescent="0.35">
      <c r="E20722" s="35"/>
      <c r="J20722" s="41"/>
    </row>
    <row r="20723" spans="5:10" s="34" customFormat="1" x14ac:dyDescent="0.35">
      <c r="E20723" s="35"/>
      <c r="J20723" s="41"/>
    </row>
    <row r="20724" spans="5:10" s="34" customFormat="1" x14ac:dyDescent="0.35">
      <c r="E20724" s="35"/>
      <c r="J20724" s="41"/>
    </row>
    <row r="20725" spans="5:10" s="34" customFormat="1" x14ac:dyDescent="0.35">
      <c r="E20725" s="35"/>
      <c r="J20725" s="41"/>
    </row>
    <row r="20726" spans="5:10" s="34" customFormat="1" x14ac:dyDescent="0.35">
      <c r="E20726" s="35"/>
      <c r="J20726" s="41"/>
    </row>
    <row r="20727" spans="5:10" s="34" customFormat="1" x14ac:dyDescent="0.35">
      <c r="E20727" s="35"/>
      <c r="J20727" s="41"/>
    </row>
    <row r="20728" spans="5:10" s="34" customFormat="1" x14ac:dyDescent="0.35">
      <c r="E20728" s="35"/>
      <c r="J20728" s="41"/>
    </row>
    <row r="20729" spans="5:10" s="34" customFormat="1" x14ac:dyDescent="0.35">
      <c r="E20729" s="35"/>
      <c r="J20729" s="41"/>
    </row>
    <row r="20730" spans="5:10" s="34" customFormat="1" x14ac:dyDescent="0.35">
      <c r="E20730" s="35"/>
      <c r="J20730" s="41"/>
    </row>
    <row r="20731" spans="5:10" s="34" customFormat="1" x14ac:dyDescent="0.35">
      <c r="E20731" s="35"/>
      <c r="J20731" s="41"/>
    </row>
    <row r="20732" spans="5:10" s="34" customFormat="1" x14ac:dyDescent="0.35">
      <c r="E20732" s="35"/>
      <c r="J20732" s="41"/>
    </row>
    <row r="20733" spans="5:10" s="34" customFormat="1" x14ac:dyDescent="0.35">
      <c r="E20733" s="35"/>
      <c r="J20733" s="41"/>
    </row>
    <row r="20734" spans="5:10" s="34" customFormat="1" x14ac:dyDescent="0.35">
      <c r="E20734" s="35"/>
      <c r="J20734" s="41"/>
    </row>
    <row r="20735" spans="5:10" s="34" customFormat="1" x14ac:dyDescent="0.35">
      <c r="E20735" s="35"/>
      <c r="J20735" s="41"/>
    </row>
    <row r="20736" spans="5:10" s="34" customFormat="1" x14ac:dyDescent="0.35">
      <c r="E20736" s="35"/>
      <c r="J20736" s="41"/>
    </row>
    <row r="20737" spans="5:10" s="34" customFormat="1" x14ac:dyDescent="0.35">
      <c r="E20737" s="35"/>
      <c r="J20737" s="41"/>
    </row>
    <row r="20738" spans="5:10" s="34" customFormat="1" x14ac:dyDescent="0.35">
      <c r="E20738" s="35"/>
      <c r="J20738" s="41"/>
    </row>
    <row r="20739" spans="5:10" s="34" customFormat="1" x14ac:dyDescent="0.35">
      <c r="E20739" s="35"/>
      <c r="J20739" s="41"/>
    </row>
    <row r="20740" spans="5:10" s="34" customFormat="1" x14ac:dyDescent="0.35">
      <c r="E20740" s="35"/>
      <c r="J20740" s="41"/>
    </row>
    <row r="20741" spans="5:10" s="34" customFormat="1" x14ac:dyDescent="0.35">
      <c r="E20741" s="35"/>
      <c r="J20741" s="41"/>
    </row>
    <row r="20742" spans="5:10" s="34" customFormat="1" x14ac:dyDescent="0.35">
      <c r="E20742" s="35"/>
      <c r="J20742" s="41"/>
    </row>
    <row r="20743" spans="5:10" s="34" customFormat="1" x14ac:dyDescent="0.35">
      <c r="E20743" s="35"/>
      <c r="J20743" s="41"/>
    </row>
    <row r="20744" spans="5:10" s="34" customFormat="1" x14ac:dyDescent="0.35">
      <c r="E20744" s="35"/>
      <c r="J20744" s="41"/>
    </row>
    <row r="20745" spans="5:10" s="34" customFormat="1" x14ac:dyDescent="0.35">
      <c r="E20745" s="35"/>
      <c r="J20745" s="41"/>
    </row>
    <row r="20746" spans="5:10" s="34" customFormat="1" x14ac:dyDescent="0.35">
      <c r="E20746" s="35"/>
      <c r="J20746" s="41"/>
    </row>
    <row r="20747" spans="5:10" s="34" customFormat="1" x14ac:dyDescent="0.35">
      <c r="E20747" s="35"/>
      <c r="J20747" s="41"/>
    </row>
    <row r="20748" spans="5:10" s="34" customFormat="1" x14ac:dyDescent="0.35">
      <c r="E20748" s="35"/>
      <c r="J20748" s="41"/>
    </row>
    <row r="20749" spans="5:10" s="34" customFormat="1" x14ac:dyDescent="0.35">
      <c r="E20749" s="35"/>
      <c r="J20749" s="41"/>
    </row>
    <row r="20750" spans="5:10" s="34" customFormat="1" x14ac:dyDescent="0.35">
      <c r="E20750" s="35"/>
      <c r="J20750" s="41"/>
    </row>
    <row r="20751" spans="5:10" s="34" customFormat="1" x14ac:dyDescent="0.35">
      <c r="E20751" s="35"/>
      <c r="J20751" s="41"/>
    </row>
    <row r="20752" spans="5:10" s="34" customFormat="1" x14ac:dyDescent="0.35">
      <c r="E20752" s="35"/>
      <c r="J20752" s="41"/>
    </row>
    <row r="20753" spans="5:10" s="34" customFormat="1" x14ac:dyDescent="0.35">
      <c r="E20753" s="35"/>
      <c r="J20753" s="41"/>
    </row>
    <row r="20754" spans="5:10" s="34" customFormat="1" x14ac:dyDescent="0.35">
      <c r="E20754" s="35"/>
      <c r="J20754" s="41"/>
    </row>
    <row r="20755" spans="5:10" s="34" customFormat="1" x14ac:dyDescent="0.35">
      <c r="E20755" s="35"/>
      <c r="J20755" s="41"/>
    </row>
    <row r="20756" spans="5:10" s="34" customFormat="1" x14ac:dyDescent="0.35">
      <c r="E20756" s="35"/>
      <c r="J20756" s="41"/>
    </row>
    <row r="20757" spans="5:10" s="34" customFormat="1" x14ac:dyDescent="0.35">
      <c r="E20757" s="35"/>
      <c r="J20757" s="41"/>
    </row>
    <row r="20758" spans="5:10" s="34" customFormat="1" x14ac:dyDescent="0.35">
      <c r="E20758" s="35"/>
      <c r="J20758" s="41"/>
    </row>
    <row r="20759" spans="5:10" s="34" customFormat="1" x14ac:dyDescent="0.35">
      <c r="E20759" s="35"/>
      <c r="J20759" s="41"/>
    </row>
    <row r="20760" spans="5:10" s="34" customFormat="1" x14ac:dyDescent="0.35">
      <c r="E20760" s="35"/>
      <c r="J20760" s="41"/>
    </row>
    <row r="20761" spans="5:10" s="34" customFormat="1" x14ac:dyDescent="0.35">
      <c r="E20761" s="35"/>
      <c r="J20761" s="41"/>
    </row>
    <row r="20762" spans="5:10" s="34" customFormat="1" x14ac:dyDescent="0.35">
      <c r="E20762" s="35"/>
      <c r="J20762" s="41"/>
    </row>
    <row r="20763" spans="5:10" s="34" customFormat="1" x14ac:dyDescent="0.35">
      <c r="E20763" s="35"/>
      <c r="J20763" s="41"/>
    </row>
    <row r="20764" spans="5:10" s="34" customFormat="1" x14ac:dyDescent="0.35">
      <c r="E20764" s="35"/>
      <c r="J20764" s="41"/>
    </row>
    <row r="20765" spans="5:10" s="34" customFormat="1" x14ac:dyDescent="0.35">
      <c r="E20765" s="35"/>
      <c r="J20765" s="41"/>
    </row>
    <row r="20766" spans="5:10" s="34" customFormat="1" x14ac:dyDescent="0.35">
      <c r="E20766" s="35"/>
      <c r="J20766" s="41"/>
    </row>
    <row r="20767" spans="5:10" s="34" customFormat="1" x14ac:dyDescent="0.35">
      <c r="E20767" s="35"/>
      <c r="J20767" s="41"/>
    </row>
    <row r="20768" spans="5:10" s="34" customFormat="1" x14ac:dyDescent="0.35">
      <c r="E20768" s="35"/>
      <c r="J20768" s="41"/>
    </row>
    <row r="20769" spans="5:10" s="34" customFormat="1" x14ac:dyDescent="0.35">
      <c r="E20769" s="35"/>
      <c r="J20769" s="41"/>
    </row>
    <row r="20770" spans="5:10" s="34" customFormat="1" x14ac:dyDescent="0.35">
      <c r="E20770" s="35"/>
      <c r="J20770" s="41"/>
    </row>
    <row r="20771" spans="5:10" s="34" customFormat="1" x14ac:dyDescent="0.35">
      <c r="E20771" s="35"/>
      <c r="J20771" s="41"/>
    </row>
    <row r="20772" spans="5:10" s="34" customFormat="1" x14ac:dyDescent="0.35">
      <c r="E20772" s="35"/>
      <c r="J20772" s="41"/>
    </row>
    <row r="20773" spans="5:10" s="34" customFormat="1" x14ac:dyDescent="0.35">
      <c r="E20773" s="35"/>
      <c r="J20773" s="41"/>
    </row>
    <row r="20774" spans="5:10" s="34" customFormat="1" x14ac:dyDescent="0.35">
      <c r="E20774" s="35"/>
      <c r="J20774" s="41"/>
    </row>
    <row r="20775" spans="5:10" s="34" customFormat="1" x14ac:dyDescent="0.35">
      <c r="E20775" s="35"/>
      <c r="J20775" s="41"/>
    </row>
    <row r="20776" spans="5:10" s="34" customFormat="1" x14ac:dyDescent="0.35">
      <c r="E20776" s="35"/>
      <c r="J20776" s="41"/>
    </row>
    <row r="20777" spans="5:10" s="34" customFormat="1" x14ac:dyDescent="0.35">
      <c r="E20777" s="35"/>
      <c r="J20777" s="41"/>
    </row>
    <row r="20778" spans="5:10" s="34" customFormat="1" x14ac:dyDescent="0.35">
      <c r="E20778" s="35"/>
      <c r="J20778" s="41"/>
    </row>
    <row r="20779" spans="5:10" s="34" customFormat="1" x14ac:dyDescent="0.35">
      <c r="E20779" s="35"/>
      <c r="J20779" s="41"/>
    </row>
    <row r="20780" spans="5:10" s="34" customFormat="1" x14ac:dyDescent="0.35">
      <c r="E20780" s="35"/>
      <c r="J20780" s="41"/>
    </row>
    <row r="20781" spans="5:10" s="34" customFormat="1" x14ac:dyDescent="0.35">
      <c r="E20781" s="35"/>
      <c r="J20781" s="41"/>
    </row>
    <row r="20782" spans="5:10" s="34" customFormat="1" x14ac:dyDescent="0.35">
      <c r="E20782" s="35"/>
      <c r="J20782" s="41"/>
    </row>
    <row r="20783" spans="5:10" s="34" customFormat="1" x14ac:dyDescent="0.35">
      <c r="E20783" s="35"/>
      <c r="J20783" s="41"/>
    </row>
    <row r="20784" spans="5:10" s="34" customFormat="1" x14ac:dyDescent="0.35">
      <c r="E20784" s="35"/>
      <c r="J20784" s="41"/>
    </row>
    <row r="20785" spans="5:10" s="34" customFormat="1" x14ac:dyDescent="0.35">
      <c r="E20785" s="35"/>
      <c r="J20785" s="41"/>
    </row>
    <row r="20786" spans="5:10" s="34" customFormat="1" x14ac:dyDescent="0.35">
      <c r="E20786" s="35"/>
      <c r="J20786" s="41"/>
    </row>
    <row r="20787" spans="5:10" s="34" customFormat="1" x14ac:dyDescent="0.35">
      <c r="E20787" s="35"/>
      <c r="J20787" s="41"/>
    </row>
    <row r="20788" spans="5:10" s="34" customFormat="1" x14ac:dyDescent="0.35">
      <c r="E20788" s="35"/>
      <c r="J20788" s="41"/>
    </row>
    <row r="20789" spans="5:10" s="34" customFormat="1" x14ac:dyDescent="0.35">
      <c r="E20789" s="35"/>
      <c r="J20789" s="41"/>
    </row>
    <row r="20790" spans="5:10" s="34" customFormat="1" x14ac:dyDescent="0.35">
      <c r="E20790" s="35"/>
      <c r="J20790" s="41"/>
    </row>
    <row r="20791" spans="5:10" s="34" customFormat="1" x14ac:dyDescent="0.35">
      <c r="E20791" s="35"/>
      <c r="J20791" s="41"/>
    </row>
    <row r="20792" spans="5:10" s="34" customFormat="1" x14ac:dyDescent="0.35">
      <c r="E20792" s="35"/>
      <c r="J20792" s="41"/>
    </row>
    <row r="20793" spans="5:10" s="34" customFormat="1" x14ac:dyDescent="0.35">
      <c r="E20793" s="35"/>
      <c r="J20793" s="41"/>
    </row>
    <row r="20794" spans="5:10" s="34" customFormat="1" x14ac:dyDescent="0.35">
      <c r="E20794" s="35"/>
      <c r="J20794" s="41"/>
    </row>
    <row r="20795" spans="5:10" s="34" customFormat="1" x14ac:dyDescent="0.35">
      <c r="E20795" s="35"/>
      <c r="J20795" s="41"/>
    </row>
    <row r="20796" spans="5:10" s="34" customFormat="1" x14ac:dyDescent="0.35">
      <c r="E20796" s="35"/>
      <c r="J20796" s="41"/>
    </row>
    <row r="20797" spans="5:10" s="34" customFormat="1" x14ac:dyDescent="0.35">
      <c r="E20797" s="35"/>
      <c r="J20797" s="41"/>
    </row>
    <row r="20798" spans="5:10" s="34" customFormat="1" x14ac:dyDescent="0.35">
      <c r="E20798" s="35"/>
      <c r="J20798" s="41"/>
    </row>
    <row r="20799" spans="5:10" s="34" customFormat="1" x14ac:dyDescent="0.35">
      <c r="E20799" s="35"/>
      <c r="J20799" s="41"/>
    </row>
    <row r="20800" spans="5:10" s="34" customFormat="1" x14ac:dyDescent="0.35">
      <c r="E20800" s="35"/>
      <c r="J20800" s="41"/>
    </row>
    <row r="20801" spans="5:10" s="34" customFormat="1" x14ac:dyDescent="0.35">
      <c r="E20801" s="35"/>
      <c r="J20801" s="41"/>
    </row>
    <row r="20802" spans="5:10" s="34" customFormat="1" x14ac:dyDescent="0.35">
      <c r="E20802" s="35"/>
      <c r="J20802" s="41"/>
    </row>
    <row r="20803" spans="5:10" s="34" customFormat="1" x14ac:dyDescent="0.35">
      <c r="E20803" s="35"/>
      <c r="J20803" s="41"/>
    </row>
    <row r="20804" spans="5:10" s="34" customFormat="1" x14ac:dyDescent="0.35">
      <c r="E20804" s="35"/>
      <c r="J20804" s="41"/>
    </row>
    <row r="20805" spans="5:10" s="34" customFormat="1" x14ac:dyDescent="0.35">
      <c r="E20805" s="35"/>
      <c r="J20805" s="41"/>
    </row>
    <row r="20806" spans="5:10" s="34" customFormat="1" x14ac:dyDescent="0.35">
      <c r="E20806" s="35"/>
      <c r="J20806" s="41"/>
    </row>
    <row r="20807" spans="5:10" s="34" customFormat="1" x14ac:dyDescent="0.35">
      <c r="E20807" s="35"/>
      <c r="J20807" s="41"/>
    </row>
    <row r="20808" spans="5:10" s="34" customFormat="1" x14ac:dyDescent="0.35">
      <c r="E20808" s="35"/>
      <c r="J20808" s="41"/>
    </row>
    <row r="20809" spans="5:10" s="34" customFormat="1" x14ac:dyDescent="0.35">
      <c r="E20809" s="35"/>
      <c r="J20809" s="41"/>
    </row>
    <row r="20810" spans="5:10" s="34" customFormat="1" x14ac:dyDescent="0.35">
      <c r="E20810" s="35"/>
      <c r="J20810" s="41"/>
    </row>
    <row r="20811" spans="5:10" s="34" customFormat="1" x14ac:dyDescent="0.35">
      <c r="E20811" s="35"/>
      <c r="J20811" s="41"/>
    </row>
    <row r="20812" spans="5:10" s="34" customFormat="1" x14ac:dyDescent="0.35">
      <c r="E20812" s="35"/>
      <c r="J20812" s="41"/>
    </row>
    <row r="20813" spans="5:10" s="34" customFormat="1" x14ac:dyDescent="0.35">
      <c r="E20813" s="35"/>
      <c r="J20813" s="41"/>
    </row>
    <row r="20814" spans="5:10" s="34" customFormat="1" x14ac:dyDescent="0.35">
      <c r="E20814" s="35"/>
      <c r="J20814" s="41"/>
    </row>
    <row r="20815" spans="5:10" s="34" customFormat="1" x14ac:dyDescent="0.35">
      <c r="E20815" s="35"/>
      <c r="J20815" s="41"/>
    </row>
    <row r="20816" spans="5:10" s="34" customFormat="1" x14ac:dyDescent="0.35">
      <c r="E20816" s="35"/>
      <c r="J20816" s="41"/>
    </row>
    <row r="20817" spans="5:10" s="34" customFormat="1" x14ac:dyDescent="0.35">
      <c r="E20817" s="35"/>
      <c r="J20817" s="41"/>
    </row>
    <row r="20818" spans="5:10" s="34" customFormat="1" x14ac:dyDescent="0.35">
      <c r="E20818" s="35"/>
      <c r="J20818" s="41"/>
    </row>
    <row r="20819" spans="5:10" s="34" customFormat="1" x14ac:dyDescent="0.35">
      <c r="E20819" s="35"/>
      <c r="J20819" s="41"/>
    </row>
    <row r="20820" spans="5:10" s="34" customFormat="1" x14ac:dyDescent="0.35">
      <c r="E20820" s="35"/>
      <c r="J20820" s="41"/>
    </row>
    <row r="20821" spans="5:10" s="34" customFormat="1" x14ac:dyDescent="0.35">
      <c r="E20821" s="35"/>
      <c r="J20821" s="41"/>
    </row>
    <row r="20822" spans="5:10" s="34" customFormat="1" x14ac:dyDescent="0.35">
      <c r="E20822" s="35"/>
      <c r="J20822" s="41"/>
    </row>
    <row r="20823" spans="5:10" s="34" customFormat="1" x14ac:dyDescent="0.35">
      <c r="E20823" s="35"/>
      <c r="J20823" s="41"/>
    </row>
    <row r="20824" spans="5:10" s="34" customFormat="1" x14ac:dyDescent="0.35">
      <c r="E20824" s="35"/>
      <c r="J20824" s="41"/>
    </row>
    <row r="20825" spans="5:10" s="34" customFormat="1" x14ac:dyDescent="0.35">
      <c r="E20825" s="35"/>
      <c r="J20825" s="41"/>
    </row>
    <row r="20826" spans="5:10" s="34" customFormat="1" x14ac:dyDescent="0.35">
      <c r="E20826" s="35"/>
      <c r="J20826" s="41"/>
    </row>
    <row r="20827" spans="5:10" s="34" customFormat="1" x14ac:dyDescent="0.35">
      <c r="E20827" s="35"/>
      <c r="J20827" s="41"/>
    </row>
    <row r="20828" spans="5:10" s="34" customFormat="1" x14ac:dyDescent="0.35">
      <c r="E20828" s="35"/>
      <c r="J20828" s="41"/>
    </row>
    <row r="20829" spans="5:10" s="34" customFormat="1" x14ac:dyDescent="0.35">
      <c r="E20829" s="35"/>
      <c r="J20829" s="41"/>
    </row>
    <row r="20830" spans="5:10" s="34" customFormat="1" x14ac:dyDescent="0.35">
      <c r="E20830" s="35"/>
      <c r="J20830" s="41"/>
    </row>
    <row r="20831" spans="5:10" s="34" customFormat="1" x14ac:dyDescent="0.35">
      <c r="E20831" s="35"/>
      <c r="J20831" s="41"/>
    </row>
    <row r="20832" spans="5:10" s="34" customFormat="1" x14ac:dyDescent="0.35">
      <c r="E20832" s="35"/>
      <c r="J20832" s="41"/>
    </row>
    <row r="20833" spans="5:10" s="34" customFormat="1" x14ac:dyDescent="0.35">
      <c r="E20833" s="35"/>
      <c r="J20833" s="41"/>
    </row>
    <row r="20834" spans="5:10" s="34" customFormat="1" x14ac:dyDescent="0.35">
      <c r="E20834" s="35"/>
      <c r="J20834" s="41"/>
    </row>
    <row r="20835" spans="5:10" s="34" customFormat="1" x14ac:dyDescent="0.35">
      <c r="E20835" s="35"/>
      <c r="J20835" s="41"/>
    </row>
    <row r="20836" spans="5:10" s="34" customFormat="1" x14ac:dyDescent="0.35">
      <c r="E20836" s="35"/>
      <c r="J20836" s="41"/>
    </row>
    <row r="20837" spans="5:10" s="34" customFormat="1" x14ac:dyDescent="0.35">
      <c r="E20837" s="35"/>
      <c r="J20837" s="41"/>
    </row>
    <row r="20838" spans="5:10" s="34" customFormat="1" x14ac:dyDescent="0.35">
      <c r="E20838" s="35"/>
      <c r="J20838" s="41"/>
    </row>
    <row r="20839" spans="5:10" s="34" customFormat="1" x14ac:dyDescent="0.35">
      <c r="E20839" s="35"/>
      <c r="J20839" s="41"/>
    </row>
    <row r="20840" spans="5:10" s="34" customFormat="1" x14ac:dyDescent="0.35">
      <c r="E20840" s="35"/>
      <c r="J20840" s="41"/>
    </row>
    <row r="20841" spans="5:10" s="34" customFormat="1" x14ac:dyDescent="0.35">
      <c r="E20841" s="35"/>
      <c r="J20841" s="41"/>
    </row>
    <row r="20842" spans="5:10" s="34" customFormat="1" x14ac:dyDescent="0.35">
      <c r="E20842" s="35"/>
      <c r="J20842" s="41"/>
    </row>
    <row r="20843" spans="5:10" s="34" customFormat="1" x14ac:dyDescent="0.35">
      <c r="E20843" s="35"/>
      <c r="J20843" s="41"/>
    </row>
    <row r="20844" spans="5:10" s="34" customFormat="1" x14ac:dyDescent="0.35">
      <c r="E20844" s="35"/>
      <c r="J20844" s="41"/>
    </row>
    <row r="20845" spans="5:10" s="34" customFormat="1" x14ac:dyDescent="0.35">
      <c r="E20845" s="35"/>
      <c r="J20845" s="41"/>
    </row>
    <row r="20846" spans="5:10" s="34" customFormat="1" x14ac:dyDescent="0.35">
      <c r="E20846" s="35"/>
      <c r="J20846" s="41"/>
    </row>
    <row r="20847" spans="5:10" s="34" customFormat="1" x14ac:dyDescent="0.35">
      <c r="E20847" s="35"/>
      <c r="J20847" s="41"/>
    </row>
    <row r="20848" spans="5:10" s="34" customFormat="1" x14ac:dyDescent="0.35">
      <c r="E20848" s="35"/>
      <c r="J20848" s="41"/>
    </row>
    <row r="20849" spans="5:10" s="34" customFormat="1" x14ac:dyDescent="0.35">
      <c r="E20849" s="35"/>
      <c r="J20849" s="41"/>
    </row>
    <row r="20850" spans="5:10" s="34" customFormat="1" x14ac:dyDescent="0.35">
      <c r="E20850" s="35"/>
      <c r="J20850" s="41"/>
    </row>
    <row r="20851" spans="5:10" s="34" customFormat="1" x14ac:dyDescent="0.35">
      <c r="E20851" s="35"/>
      <c r="J20851" s="41"/>
    </row>
    <row r="20852" spans="5:10" s="34" customFormat="1" x14ac:dyDescent="0.35">
      <c r="E20852" s="35"/>
      <c r="J20852" s="41"/>
    </row>
    <row r="20853" spans="5:10" s="34" customFormat="1" x14ac:dyDescent="0.35">
      <c r="E20853" s="35"/>
      <c r="J20853" s="41"/>
    </row>
    <row r="20854" spans="5:10" s="34" customFormat="1" x14ac:dyDescent="0.35">
      <c r="E20854" s="35"/>
      <c r="J20854" s="41"/>
    </row>
    <row r="20855" spans="5:10" s="34" customFormat="1" x14ac:dyDescent="0.35">
      <c r="E20855" s="35"/>
      <c r="J20855" s="41"/>
    </row>
    <row r="20856" spans="5:10" s="34" customFormat="1" x14ac:dyDescent="0.35">
      <c r="E20856" s="35"/>
      <c r="J20856" s="41"/>
    </row>
    <row r="20857" spans="5:10" s="34" customFormat="1" x14ac:dyDescent="0.35">
      <c r="E20857" s="35"/>
      <c r="J20857" s="41"/>
    </row>
    <row r="20858" spans="5:10" s="34" customFormat="1" x14ac:dyDescent="0.35">
      <c r="E20858" s="35"/>
      <c r="J20858" s="41"/>
    </row>
    <row r="20859" spans="5:10" s="34" customFormat="1" x14ac:dyDescent="0.35">
      <c r="E20859" s="35"/>
      <c r="J20859" s="41"/>
    </row>
    <row r="20860" spans="5:10" s="34" customFormat="1" x14ac:dyDescent="0.35">
      <c r="E20860" s="35"/>
      <c r="J20860" s="41"/>
    </row>
    <row r="20861" spans="5:10" s="34" customFormat="1" x14ac:dyDescent="0.35">
      <c r="E20861" s="35"/>
      <c r="J20861" s="41"/>
    </row>
    <row r="20862" spans="5:10" s="34" customFormat="1" x14ac:dyDescent="0.35">
      <c r="E20862" s="35"/>
      <c r="J20862" s="41"/>
    </row>
    <row r="20863" spans="5:10" s="34" customFormat="1" x14ac:dyDescent="0.35">
      <c r="E20863" s="35"/>
      <c r="J20863" s="41"/>
    </row>
    <row r="20864" spans="5:10" s="34" customFormat="1" x14ac:dyDescent="0.35">
      <c r="E20864" s="35"/>
      <c r="J20864" s="41"/>
    </row>
    <row r="20865" spans="5:10" s="34" customFormat="1" x14ac:dyDescent="0.35">
      <c r="E20865" s="35"/>
      <c r="J20865" s="41"/>
    </row>
    <row r="20866" spans="5:10" s="34" customFormat="1" x14ac:dyDescent="0.35">
      <c r="E20866" s="35"/>
      <c r="J20866" s="41"/>
    </row>
    <row r="20867" spans="5:10" s="34" customFormat="1" x14ac:dyDescent="0.35">
      <c r="E20867" s="35"/>
      <c r="J20867" s="41"/>
    </row>
    <row r="20868" spans="5:10" s="34" customFormat="1" x14ac:dyDescent="0.35">
      <c r="E20868" s="35"/>
      <c r="J20868" s="41"/>
    </row>
    <row r="20869" spans="5:10" s="34" customFormat="1" x14ac:dyDescent="0.35">
      <c r="E20869" s="35"/>
      <c r="J20869" s="41"/>
    </row>
    <row r="20870" spans="5:10" s="34" customFormat="1" x14ac:dyDescent="0.35">
      <c r="E20870" s="35"/>
      <c r="J20870" s="41"/>
    </row>
    <row r="20871" spans="5:10" s="34" customFormat="1" x14ac:dyDescent="0.35">
      <c r="E20871" s="35"/>
      <c r="J20871" s="41"/>
    </row>
    <row r="20872" spans="5:10" s="34" customFormat="1" x14ac:dyDescent="0.35">
      <c r="E20872" s="35"/>
      <c r="J20872" s="41"/>
    </row>
    <row r="20873" spans="5:10" s="34" customFormat="1" x14ac:dyDescent="0.35">
      <c r="E20873" s="35"/>
      <c r="J20873" s="41"/>
    </row>
    <row r="20874" spans="5:10" s="34" customFormat="1" x14ac:dyDescent="0.35">
      <c r="E20874" s="35"/>
      <c r="J20874" s="41"/>
    </row>
    <row r="20875" spans="5:10" s="34" customFormat="1" x14ac:dyDescent="0.35">
      <c r="E20875" s="35"/>
      <c r="J20875" s="41"/>
    </row>
    <row r="20876" spans="5:10" s="34" customFormat="1" x14ac:dyDescent="0.35">
      <c r="E20876" s="35"/>
      <c r="J20876" s="41"/>
    </row>
    <row r="20877" spans="5:10" s="34" customFormat="1" x14ac:dyDescent="0.35">
      <c r="E20877" s="35"/>
      <c r="J20877" s="41"/>
    </row>
    <row r="20878" spans="5:10" s="34" customFormat="1" x14ac:dyDescent="0.35">
      <c r="E20878" s="35"/>
      <c r="J20878" s="41"/>
    </row>
    <row r="20879" spans="5:10" s="34" customFormat="1" x14ac:dyDescent="0.35">
      <c r="E20879" s="35"/>
      <c r="J20879" s="41"/>
    </row>
    <row r="20880" spans="5:10" s="34" customFormat="1" x14ac:dyDescent="0.35">
      <c r="E20880" s="35"/>
      <c r="J20880" s="41"/>
    </row>
    <row r="20881" spans="5:10" s="34" customFormat="1" x14ac:dyDescent="0.35">
      <c r="E20881" s="35"/>
      <c r="J20881" s="41"/>
    </row>
    <row r="20882" spans="5:10" s="34" customFormat="1" x14ac:dyDescent="0.35">
      <c r="E20882" s="35"/>
      <c r="J20882" s="41"/>
    </row>
    <row r="20883" spans="5:10" s="34" customFormat="1" x14ac:dyDescent="0.35">
      <c r="E20883" s="35"/>
      <c r="J20883" s="41"/>
    </row>
    <row r="20884" spans="5:10" s="34" customFormat="1" x14ac:dyDescent="0.35">
      <c r="E20884" s="35"/>
      <c r="J20884" s="41"/>
    </row>
    <row r="20885" spans="5:10" s="34" customFormat="1" x14ac:dyDescent="0.35">
      <c r="E20885" s="35"/>
      <c r="J20885" s="41"/>
    </row>
    <row r="20886" spans="5:10" s="34" customFormat="1" x14ac:dyDescent="0.35">
      <c r="E20886" s="35"/>
      <c r="J20886" s="41"/>
    </row>
    <row r="20887" spans="5:10" s="34" customFormat="1" x14ac:dyDescent="0.35">
      <c r="E20887" s="35"/>
      <c r="J20887" s="41"/>
    </row>
    <row r="20888" spans="5:10" s="34" customFormat="1" x14ac:dyDescent="0.35">
      <c r="E20888" s="35"/>
      <c r="J20888" s="41"/>
    </row>
    <row r="20889" spans="5:10" s="34" customFormat="1" x14ac:dyDescent="0.35">
      <c r="E20889" s="35"/>
      <c r="J20889" s="41"/>
    </row>
    <row r="20890" spans="5:10" s="34" customFormat="1" x14ac:dyDescent="0.35">
      <c r="E20890" s="35"/>
      <c r="J20890" s="41"/>
    </row>
    <row r="20891" spans="5:10" s="34" customFormat="1" x14ac:dyDescent="0.35">
      <c r="E20891" s="35"/>
      <c r="J20891" s="41"/>
    </row>
    <row r="20892" spans="5:10" s="34" customFormat="1" x14ac:dyDescent="0.35">
      <c r="E20892" s="35"/>
      <c r="J20892" s="41"/>
    </row>
    <row r="20893" spans="5:10" s="34" customFormat="1" x14ac:dyDescent="0.35">
      <c r="E20893" s="35"/>
      <c r="J20893" s="41"/>
    </row>
    <row r="20894" spans="5:10" s="34" customFormat="1" x14ac:dyDescent="0.35">
      <c r="E20894" s="35"/>
      <c r="J20894" s="41"/>
    </row>
    <row r="20895" spans="5:10" s="34" customFormat="1" x14ac:dyDescent="0.35">
      <c r="E20895" s="35"/>
      <c r="J20895" s="41"/>
    </row>
    <row r="20896" spans="5:10" s="34" customFormat="1" x14ac:dyDescent="0.35">
      <c r="E20896" s="35"/>
      <c r="J20896" s="41"/>
    </row>
    <row r="20897" spans="5:10" s="34" customFormat="1" x14ac:dyDescent="0.35">
      <c r="E20897" s="35"/>
      <c r="J20897" s="41"/>
    </row>
    <row r="20898" spans="5:10" s="34" customFormat="1" x14ac:dyDescent="0.35">
      <c r="E20898" s="35"/>
      <c r="J20898" s="41"/>
    </row>
    <row r="20899" spans="5:10" s="34" customFormat="1" x14ac:dyDescent="0.35">
      <c r="E20899" s="35"/>
      <c r="J20899" s="41"/>
    </row>
    <row r="20900" spans="5:10" s="34" customFormat="1" x14ac:dyDescent="0.35">
      <c r="E20900" s="35"/>
      <c r="J20900" s="41"/>
    </row>
    <row r="20901" spans="5:10" s="34" customFormat="1" x14ac:dyDescent="0.35">
      <c r="E20901" s="35"/>
      <c r="J20901" s="41"/>
    </row>
    <row r="20902" spans="5:10" s="34" customFormat="1" x14ac:dyDescent="0.35">
      <c r="E20902" s="35"/>
      <c r="J20902" s="41"/>
    </row>
    <row r="20903" spans="5:10" s="34" customFormat="1" x14ac:dyDescent="0.35">
      <c r="E20903" s="35"/>
      <c r="J20903" s="41"/>
    </row>
    <row r="20904" spans="5:10" s="34" customFormat="1" x14ac:dyDescent="0.35">
      <c r="E20904" s="35"/>
      <c r="J20904" s="41"/>
    </row>
    <row r="20905" spans="5:10" s="34" customFormat="1" x14ac:dyDescent="0.35">
      <c r="E20905" s="35"/>
      <c r="J20905" s="41"/>
    </row>
    <row r="20906" spans="5:10" s="34" customFormat="1" x14ac:dyDescent="0.35">
      <c r="E20906" s="35"/>
      <c r="J20906" s="41"/>
    </row>
    <row r="20907" spans="5:10" s="34" customFormat="1" x14ac:dyDescent="0.35">
      <c r="E20907" s="35"/>
      <c r="J20907" s="41"/>
    </row>
    <row r="20908" spans="5:10" s="34" customFormat="1" x14ac:dyDescent="0.35">
      <c r="E20908" s="35"/>
      <c r="J20908" s="41"/>
    </row>
    <row r="20909" spans="5:10" s="34" customFormat="1" x14ac:dyDescent="0.35">
      <c r="E20909" s="35"/>
      <c r="J20909" s="41"/>
    </row>
    <row r="20910" spans="5:10" s="34" customFormat="1" x14ac:dyDescent="0.35">
      <c r="E20910" s="35"/>
      <c r="J20910" s="41"/>
    </row>
    <row r="20911" spans="5:10" s="34" customFormat="1" x14ac:dyDescent="0.35">
      <c r="E20911" s="35"/>
      <c r="J20911" s="41"/>
    </row>
    <row r="20912" spans="5:10" s="34" customFormat="1" x14ac:dyDescent="0.35">
      <c r="E20912" s="35"/>
      <c r="J20912" s="41"/>
    </row>
    <row r="20913" spans="5:10" s="34" customFormat="1" x14ac:dyDescent="0.35">
      <c r="E20913" s="35"/>
      <c r="J20913" s="41"/>
    </row>
    <row r="20914" spans="5:10" s="34" customFormat="1" x14ac:dyDescent="0.35">
      <c r="E20914" s="35"/>
      <c r="J20914" s="41"/>
    </row>
    <row r="20915" spans="5:10" s="34" customFormat="1" x14ac:dyDescent="0.35">
      <c r="E20915" s="35"/>
      <c r="J20915" s="41"/>
    </row>
    <row r="20916" spans="5:10" s="34" customFormat="1" x14ac:dyDescent="0.35">
      <c r="E20916" s="35"/>
      <c r="J20916" s="41"/>
    </row>
    <row r="20917" spans="5:10" s="34" customFormat="1" x14ac:dyDescent="0.35">
      <c r="E20917" s="35"/>
      <c r="J20917" s="41"/>
    </row>
    <row r="20918" spans="5:10" s="34" customFormat="1" x14ac:dyDescent="0.35">
      <c r="E20918" s="35"/>
      <c r="J20918" s="41"/>
    </row>
    <row r="20919" spans="5:10" s="34" customFormat="1" x14ac:dyDescent="0.35">
      <c r="E20919" s="35"/>
      <c r="J20919" s="41"/>
    </row>
    <row r="20920" spans="5:10" s="34" customFormat="1" x14ac:dyDescent="0.35">
      <c r="E20920" s="35"/>
      <c r="J20920" s="41"/>
    </row>
    <row r="20921" spans="5:10" s="34" customFormat="1" x14ac:dyDescent="0.35">
      <c r="E20921" s="35"/>
      <c r="J20921" s="41"/>
    </row>
    <row r="20922" spans="5:10" s="34" customFormat="1" x14ac:dyDescent="0.35">
      <c r="E20922" s="35"/>
      <c r="J20922" s="41"/>
    </row>
    <row r="20923" spans="5:10" s="34" customFormat="1" x14ac:dyDescent="0.35">
      <c r="E20923" s="35"/>
      <c r="J20923" s="41"/>
    </row>
    <row r="20924" spans="5:10" s="34" customFormat="1" x14ac:dyDescent="0.35">
      <c r="E20924" s="35"/>
      <c r="J20924" s="41"/>
    </row>
    <row r="20925" spans="5:10" s="34" customFormat="1" x14ac:dyDescent="0.35">
      <c r="E20925" s="35"/>
      <c r="J20925" s="41"/>
    </row>
    <row r="20926" spans="5:10" s="34" customFormat="1" x14ac:dyDescent="0.35">
      <c r="E20926" s="35"/>
      <c r="J20926" s="41"/>
    </row>
    <row r="20927" spans="5:10" s="34" customFormat="1" x14ac:dyDescent="0.35">
      <c r="E20927" s="35"/>
      <c r="J20927" s="41"/>
    </row>
    <row r="20928" spans="5:10" s="34" customFormat="1" x14ac:dyDescent="0.35">
      <c r="E20928" s="35"/>
      <c r="J20928" s="41"/>
    </row>
    <row r="20929" spans="5:10" s="34" customFormat="1" x14ac:dyDescent="0.35">
      <c r="E20929" s="35"/>
      <c r="J20929" s="41"/>
    </row>
    <row r="20930" spans="5:10" s="34" customFormat="1" x14ac:dyDescent="0.35">
      <c r="E20930" s="35"/>
      <c r="J20930" s="41"/>
    </row>
    <row r="20931" spans="5:10" s="34" customFormat="1" x14ac:dyDescent="0.35">
      <c r="E20931" s="35"/>
      <c r="J20931" s="41"/>
    </row>
    <row r="20932" spans="5:10" s="34" customFormat="1" x14ac:dyDescent="0.35">
      <c r="E20932" s="35"/>
      <c r="J20932" s="41"/>
    </row>
    <row r="20933" spans="5:10" s="34" customFormat="1" x14ac:dyDescent="0.35">
      <c r="E20933" s="35"/>
      <c r="J20933" s="41"/>
    </row>
    <row r="20934" spans="5:10" s="34" customFormat="1" x14ac:dyDescent="0.35">
      <c r="E20934" s="35"/>
      <c r="J20934" s="41"/>
    </row>
    <row r="20935" spans="5:10" s="34" customFormat="1" x14ac:dyDescent="0.35">
      <c r="E20935" s="35"/>
      <c r="J20935" s="41"/>
    </row>
    <row r="20936" spans="5:10" s="34" customFormat="1" x14ac:dyDescent="0.35">
      <c r="E20936" s="35"/>
      <c r="J20936" s="41"/>
    </row>
    <row r="20937" spans="5:10" s="34" customFormat="1" x14ac:dyDescent="0.35">
      <c r="E20937" s="35"/>
      <c r="J20937" s="41"/>
    </row>
    <row r="20938" spans="5:10" s="34" customFormat="1" x14ac:dyDescent="0.35">
      <c r="E20938" s="35"/>
      <c r="J20938" s="41"/>
    </row>
    <row r="20939" spans="5:10" s="34" customFormat="1" x14ac:dyDescent="0.35">
      <c r="E20939" s="35"/>
      <c r="J20939" s="41"/>
    </row>
    <row r="20940" spans="5:10" s="34" customFormat="1" x14ac:dyDescent="0.35">
      <c r="E20940" s="35"/>
      <c r="J20940" s="41"/>
    </row>
    <row r="20941" spans="5:10" s="34" customFormat="1" x14ac:dyDescent="0.35">
      <c r="E20941" s="35"/>
      <c r="J20941" s="41"/>
    </row>
    <row r="20942" spans="5:10" s="34" customFormat="1" x14ac:dyDescent="0.35">
      <c r="E20942" s="35"/>
      <c r="J20942" s="41"/>
    </row>
    <row r="20943" spans="5:10" s="34" customFormat="1" x14ac:dyDescent="0.35">
      <c r="E20943" s="35"/>
      <c r="J20943" s="41"/>
    </row>
    <row r="20944" spans="5:10" s="34" customFormat="1" x14ac:dyDescent="0.35">
      <c r="E20944" s="35"/>
      <c r="J20944" s="41"/>
    </row>
    <row r="20945" spans="5:10" s="34" customFormat="1" x14ac:dyDescent="0.35">
      <c r="E20945" s="35"/>
      <c r="J20945" s="41"/>
    </row>
    <row r="20946" spans="5:10" s="34" customFormat="1" x14ac:dyDescent="0.35">
      <c r="E20946" s="35"/>
      <c r="J20946" s="41"/>
    </row>
    <row r="20947" spans="5:10" s="34" customFormat="1" x14ac:dyDescent="0.35">
      <c r="E20947" s="35"/>
      <c r="J20947" s="41"/>
    </row>
    <row r="20948" spans="5:10" s="34" customFormat="1" x14ac:dyDescent="0.35">
      <c r="E20948" s="35"/>
      <c r="J20948" s="41"/>
    </row>
    <row r="20949" spans="5:10" s="34" customFormat="1" x14ac:dyDescent="0.35">
      <c r="E20949" s="35"/>
      <c r="J20949" s="41"/>
    </row>
    <row r="20950" spans="5:10" s="34" customFormat="1" x14ac:dyDescent="0.35">
      <c r="E20950" s="35"/>
      <c r="J20950" s="41"/>
    </row>
    <row r="20951" spans="5:10" s="34" customFormat="1" x14ac:dyDescent="0.35">
      <c r="E20951" s="35"/>
      <c r="J20951" s="41"/>
    </row>
    <row r="20952" spans="5:10" s="34" customFormat="1" x14ac:dyDescent="0.35">
      <c r="E20952" s="35"/>
      <c r="J20952" s="41"/>
    </row>
    <row r="20953" spans="5:10" s="34" customFormat="1" x14ac:dyDescent="0.35">
      <c r="E20953" s="35"/>
      <c r="J20953" s="41"/>
    </row>
    <row r="20954" spans="5:10" s="34" customFormat="1" x14ac:dyDescent="0.35">
      <c r="E20954" s="35"/>
      <c r="J20954" s="41"/>
    </row>
    <row r="20955" spans="5:10" s="34" customFormat="1" x14ac:dyDescent="0.35">
      <c r="E20955" s="35"/>
      <c r="J20955" s="41"/>
    </row>
    <row r="20956" spans="5:10" s="34" customFormat="1" x14ac:dyDescent="0.35">
      <c r="E20956" s="35"/>
      <c r="J20956" s="41"/>
    </row>
    <row r="20957" spans="5:10" s="34" customFormat="1" x14ac:dyDescent="0.35">
      <c r="E20957" s="35"/>
      <c r="J20957" s="41"/>
    </row>
    <row r="20958" spans="5:10" s="34" customFormat="1" x14ac:dyDescent="0.35">
      <c r="E20958" s="35"/>
      <c r="J20958" s="41"/>
    </row>
    <row r="20959" spans="5:10" s="34" customFormat="1" x14ac:dyDescent="0.35">
      <c r="E20959" s="35"/>
      <c r="J20959" s="41"/>
    </row>
    <row r="20960" spans="5:10" s="34" customFormat="1" x14ac:dyDescent="0.35">
      <c r="E20960" s="35"/>
      <c r="J20960" s="41"/>
    </row>
    <row r="20961" spans="5:10" s="34" customFormat="1" x14ac:dyDescent="0.35">
      <c r="E20961" s="35"/>
      <c r="J20961" s="41"/>
    </row>
    <row r="20962" spans="5:10" s="34" customFormat="1" x14ac:dyDescent="0.35">
      <c r="E20962" s="35"/>
      <c r="J20962" s="41"/>
    </row>
    <row r="20963" spans="5:10" s="34" customFormat="1" x14ac:dyDescent="0.35">
      <c r="E20963" s="35"/>
      <c r="J20963" s="41"/>
    </row>
    <row r="20964" spans="5:10" s="34" customFormat="1" x14ac:dyDescent="0.35">
      <c r="E20964" s="35"/>
      <c r="J20964" s="41"/>
    </row>
    <row r="20965" spans="5:10" s="34" customFormat="1" x14ac:dyDescent="0.35">
      <c r="E20965" s="35"/>
      <c r="J20965" s="41"/>
    </row>
    <row r="20966" spans="5:10" s="34" customFormat="1" x14ac:dyDescent="0.35">
      <c r="E20966" s="35"/>
      <c r="J20966" s="41"/>
    </row>
    <row r="20967" spans="5:10" s="34" customFormat="1" x14ac:dyDescent="0.35">
      <c r="E20967" s="35"/>
      <c r="J20967" s="41"/>
    </row>
    <row r="20968" spans="5:10" s="34" customFormat="1" x14ac:dyDescent="0.35">
      <c r="E20968" s="35"/>
      <c r="J20968" s="41"/>
    </row>
    <row r="20969" spans="5:10" s="34" customFormat="1" x14ac:dyDescent="0.35">
      <c r="E20969" s="35"/>
      <c r="J20969" s="41"/>
    </row>
    <row r="20970" spans="5:10" s="34" customFormat="1" x14ac:dyDescent="0.35">
      <c r="E20970" s="35"/>
      <c r="J20970" s="41"/>
    </row>
    <row r="20971" spans="5:10" s="34" customFormat="1" x14ac:dyDescent="0.35">
      <c r="E20971" s="35"/>
      <c r="J20971" s="41"/>
    </row>
    <row r="20972" spans="5:10" s="34" customFormat="1" x14ac:dyDescent="0.35">
      <c r="E20972" s="35"/>
      <c r="J20972" s="41"/>
    </row>
    <row r="20973" spans="5:10" s="34" customFormat="1" x14ac:dyDescent="0.35">
      <c r="E20973" s="35"/>
      <c r="J20973" s="41"/>
    </row>
    <row r="20974" spans="5:10" s="34" customFormat="1" x14ac:dyDescent="0.35">
      <c r="E20974" s="35"/>
      <c r="J20974" s="41"/>
    </row>
    <row r="20975" spans="5:10" s="34" customFormat="1" x14ac:dyDescent="0.35">
      <c r="E20975" s="35"/>
      <c r="J20975" s="41"/>
    </row>
    <row r="20976" spans="5:10" s="34" customFormat="1" x14ac:dyDescent="0.35">
      <c r="E20976" s="35"/>
      <c r="J20976" s="41"/>
    </row>
    <row r="20977" spans="5:10" s="34" customFormat="1" x14ac:dyDescent="0.35">
      <c r="E20977" s="35"/>
      <c r="J20977" s="41"/>
    </row>
    <row r="20978" spans="5:10" s="34" customFormat="1" x14ac:dyDescent="0.35">
      <c r="E20978" s="35"/>
      <c r="J20978" s="41"/>
    </row>
    <row r="20979" spans="5:10" s="34" customFormat="1" x14ac:dyDescent="0.35">
      <c r="E20979" s="35"/>
      <c r="J20979" s="41"/>
    </row>
    <row r="20980" spans="5:10" s="34" customFormat="1" x14ac:dyDescent="0.35">
      <c r="E20980" s="35"/>
      <c r="J20980" s="41"/>
    </row>
    <row r="20981" spans="5:10" s="34" customFormat="1" x14ac:dyDescent="0.35">
      <c r="E20981" s="35"/>
      <c r="J20981" s="41"/>
    </row>
    <row r="20982" spans="5:10" s="34" customFormat="1" x14ac:dyDescent="0.35">
      <c r="E20982" s="35"/>
      <c r="J20982" s="41"/>
    </row>
    <row r="20983" spans="5:10" s="34" customFormat="1" x14ac:dyDescent="0.35">
      <c r="E20983" s="35"/>
      <c r="J20983" s="41"/>
    </row>
    <row r="20984" spans="5:10" s="34" customFormat="1" x14ac:dyDescent="0.35">
      <c r="E20984" s="35"/>
      <c r="J20984" s="41"/>
    </row>
    <row r="20985" spans="5:10" s="34" customFormat="1" x14ac:dyDescent="0.35">
      <c r="E20985" s="35"/>
      <c r="J20985" s="41"/>
    </row>
    <row r="20986" spans="5:10" s="34" customFormat="1" x14ac:dyDescent="0.35">
      <c r="E20986" s="35"/>
      <c r="J20986" s="41"/>
    </row>
    <row r="20987" spans="5:10" s="34" customFormat="1" x14ac:dyDescent="0.35">
      <c r="E20987" s="35"/>
      <c r="J20987" s="41"/>
    </row>
    <row r="20988" spans="5:10" s="34" customFormat="1" x14ac:dyDescent="0.35">
      <c r="E20988" s="35"/>
      <c r="J20988" s="41"/>
    </row>
    <row r="20989" spans="5:10" s="34" customFormat="1" x14ac:dyDescent="0.35">
      <c r="E20989" s="35"/>
      <c r="J20989" s="41"/>
    </row>
    <row r="20990" spans="5:10" s="34" customFormat="1" x14ac:dyDescent="0.35">
      <c r="E20990" s="35"/>
      <c r="J20990" s="41"/>
    </row>
    <row r="20991" spans="5:10" s="34" customFormat="1" x14ac:dyDescent="0.35">
      <c r="E20991" s="35"/>
      <c r="J20991" s="41"/>
    </row>
    <row r="20992" spans="5:10" s="34" customFormat="1" x14ac:dyDescent="0.35">
      <c r="E20992" s="35"/>
      <c r="J20992" s="41"/>
    </row>
    <row r="20993" spans="5:10" s="34" customFormat="1" x14ac:dyDescent="0.35">
      <c r="E20993" s="35"/>
      <c r="J20993" s="41"/>
    </row>
    <row r="20994" spans="5:10" s="34" customFormat="1" x14ac:dyDescent="0.35">
      <c r="E20994" s="35"/>
      <c r="J20994" s="41"/>
    </row>
    <row r="20995" spans="5:10" s="34" customFormat="1" x14ac:dyDescent="0.35">
      <c r="E20995" s="35"/>
      <c r="J20995" s="41"/>
    </row>
    <row r="20996" spans="5:10" s="34" customFormat="1" x14ac:dyDescent="0.35">
      <c r="E20996" s="35"/>
      <c r="J20996" s="41"/>
    </row>
    <row r="20997" spans="5:10" s="34" customFormat="1" x14ac:dyDescent="0.35">
      <c r="E20997" s="35"/>
      <c r="J20997" s="41"/>
    </row>
    <row r="20998" spans="5:10" s="34" customFormat="1" x14ac:dyDescent="0.35">
      <c r="E20998" s="35"/>
      <c r="J20998" s="41"/>
    </row>
    <row r="20999" spans="5:10" s="34" customFormat="1" x14ac:dyDescent="0.35">
      <c r="E20999" s="35"/>
      <c r="J20999" s="41"/>
    </row>
    <row r="21000" spans="5:10" s="34" customFormat="1" x14ac:dyDescent="0.35">
      <c r="E21000" s="35"/>
      <c r="J21000" s="41"/>
    </row>
    <row r="21001" spans="5:10" s="34" customFormat="1" x14ac:dyDescent="0.35">
      <c r="E21001" s="35"/>
      <c r="J21001" s="41"/>
    </row>
    <row r="21002" spans="5:10" s="34" customFormat="1" x14ac:dyDescent="0.35">
      <c r="E21002" s="35"/>
      <c r="J21002" s="41"/>
    </row>
    <row r="21003" spans="5:10" s="34" customFormat="1" x14ac:dyDescent="0.35">
      <c r="E21003" s="35"/>
      <c r="J21003" s="41"/>
    </row>
    <row r="21004" spans="5:10" s="34" customFormat="1" x14ac:dyDescent="0.35">
      <c r="E21004" s="35"/>
      <c r="J21004" s="41"/>
    </row>
    <row r="21005" spans="5:10" s="34" customFormat="1" x14ac:dyDescent="0.35">
      <c r="E21005" s="35"/>
      <c r="J21005" s="41"/>
    </row>
    <row r="21006" spans="5:10" s="34" customFormat="1" x14ac:dyDescent="0.35">
      <c r="E21006" s="35"/>
      <c r="J21006" s="41"/>
    </row>
    <row r="21007" spans="5:10" s="34" customFormat="1" x14ac:dyDescent="0.35">
      <c r="E21007" s="35"/>
      <c r="J21007" s="41"/>
    </row>
    <row r="21008" spans="5:10" s="34" customFormat="1" x14ac:dyDescent="0.35">
      <c r="E21008" s="35"/>
      <c r="J21008" s="41"/>
    </row>
    <row r="21009" spans="5:10" s="34" customFormat="1" x14ac:dyDescent="0.35">
      <c r="E21009" s="35"/>
      <c r="J21009" s="41"/>
    </row>
    <row r="21010" spans="5:10" s="34" customFormat="1" x14ac:dyDescent="0.35">
      <c r="E21010" s="35"/>
      <c r="J21010" s="41"/>
    </row>
    <row r="21011" spans="5:10" s="34" customFormat="1" x14ac:dyDescent="0.35">
      <c r="E21011" s="35"/>
      <c r="J21011" s="41"/>
    </row>
    <row r="21012" spans="5:10" s="34" customFormat="1" x14ac:dyDescent="0.35">
      <c r="E21012" s="35"/>
      <c r="J21012" s="41"/>
    </row>
    <row r="21013" spans="5:10" s="34" customFormat="1" x14ac:dyDescent="0.35">
      <c r="E21013" s="35"/>
      <c r="J21013" s="41"/>
    </row>
    <row r="21014" spans="5:10" s="34" customFormat="1" x14ac:dyDescent="0.35">
      <c r="E21014" s="35"/>
      <c r="J21014" s="41"/>
    </row>
    <row r="21015" spans="5:10" s="34" customFormat="1" x14ac:dyDescent="0.35">
      <c r="E21015" s="35"/>
      <c r="J21015" s="41"/>
    </row>
    <row r="21016" spans="5:10" s="34" customFormat="1" x14ac:dyDescent="0.35">
      <c r="E21016" s="35"/>
      <c r="J21016" s="41"/>
    </row>
    <row r="21017" spans="5:10" s="34" customFormat="1" x14ac:dyDescent="0.35">
      <c r="E21017" s="35"/>
      <c r="J21017" s="41"/>
    </row>
    <row r="21018" spans="5:10" s="34" customFormat="1" x14ac:dyDescent="0.35">
      <c r="E21018" s="35"/>
      <c r="J21018" s="41"/>
    </row>
    <row r="21019" spans="5:10" s="34" customFormat="1" x14ac:dyDescent="0.35">
      <c r="E21019" s="35"/>
      <c r="J21019" s="41"/>
    </row>
    <row r="21020" spans="5:10" s="34" customFormat="1" x14ac:dyDescent="0.35">
      <c r="E21020" s="35"/>
      <c r="J21020" s="41"/>
    </row>
    <row r="21021" spans="5:10" s="34" customFormat="1" x14ac:dyDescent="0.35">
      <c r="E21021" s="35"/>
      <c r="J21021" s="41"/>
    </row>
    <row r="21022" spans="5:10" s="34" customFormat="1" x14ac:dyDescent="0.35">
      <c r="E21022" s="35"/>
      <c r="J21022" s="41"/>
    </row>
    <row r="21023" spans="5:10" s="34" customFormat="1" x14ac:dyDescent="0.35">
      <c r="E21023" s="35"/>
      <c r="J21023" s="41"/>
    </row>
    <row r="21024" spans="5:10" s="34" customFormat="1" x14ac:dyDescent="0.35">
      <c r="E21024" s="35"/>
      <c r="J21024" s="41"/>
    </row>
    <row r="21025" spans="5:10" s="34" customFormat="1" x14ac:dyDescent="0.35">
      <c r="E21025" s="35"/>
      <c r="J21025" s="41"/>
    </row>
    <row r="21026" spans="5:10" s="34" customFormat="1" x14ac:dyDescent="0.35">
      <c r="E21026" s="35"/>
      <c r="J21026" s="41"/>
    </row>
    <row r="21027" spans="5:10" s="34" customFormat="1" x14ac:dyDescent="0.35">
      <c r="E21027" s="35"/>
      <c r="J21027" s="41"/>
    </row>
    <row r="21028" spans="5:10" s="34" customFormat="1" x14ac:dyDescent="0.35">
      <c r="E21028" s="35"/>
      <c r="J21028" s="41"/>
    </row>
    <row r="21029" spans="5:10" s="34" customFormat="1" x14ac:dyDescent="0.35">
      <c r="E21029" s="35"/>
      <c r="J21029" s="41"/>
    </row>
    <row r="21030" spans="5:10" s="34" customFormat="1" x14ac:dyDescent="0.35">
      <c r="E21030" s="35"/>
      <c r="J21030" s="41"/>
    </row>
    <row r="21031" spans="5:10" s="34" customFormat="1" x14ac:dyDescent="0.35">
      <c r="E21031" s="35"/>
      <c r="J21031" s="41"/>
    </row>
    <row r="21032" spans="5:10" s="34" customFormat="1" x14ac:dyDescent="0.35">
      <c r="E21032" s="35"/>
      <c r="J21032" s="41"/>
    </row>
    <row r="21033" spans="5:10" s="34" customFormat="1" x14ac:dyDescent="0.35">
      <c r="E21033" s="35"/>
      <c r="J21033" s="41"/>
    </row>
    <row r="21034" spans="5:10" s="34" customFormat="1" x14ac:dyDescent="0.35">
      <c r="E21034" s="35"/>
      <c r="J21034" s="41"/>
    </row>
    <row r="21035" spans="5:10" s="34" customFormat="1" x14ac:dyDescent="0.35">
      <c r="E21035" s="35"/>
      <c r="J21035" s="41"/>
    </row>
    <row r="21036" spans="5:10" s="34" customFormat="1" x14ac:dyDescent="0.35">
      <c r="E21036" s="35"/>
      <c r="J21036" s="41"/>
    </row>
    <row r="21037" spans="5:10" s="34" customFormat="1" x14ac:dyDescent="0.35">
      <c r="E21037" s="35"/>
      <c r="J21037" s="41"/>
    </row>
    <row r="21038" spans="5:10" s="34" customFormat="1" x14ac:dyDescent="0.35">
      <c r="E21038" s="35"/>
      <c r="J21038" s="41"/>
    </row>
    <row r="21039" spans="5:10" s="34" customFormat="1" x14ac:dyDescent="0.35">
      <c r="E21039" s="35"/>
      <c r="J21039" s="41"/>
    </row>
    <row r="21040" spans="5:10" s="34" customFormat="1" x14ac:dyDescent="0.35">
      <c r="E21040" s="35"/>
      <c r="J21040" s="41"/>
    </row>
    <row r="21041" spans="5:10" s="34" customFormat="1" x14ac:dyDescent="0.35">
      <c r="E21041" s="35"/>
      <c r="J21041" s="41"/>
    </row>
    <row r="21042" spans="5:10" s="34" customFormat="1" x14ac:dyDescent="0.35">
      <c r="E21042" s="35"/>
      <c r="J21042" s="41"/>
    </row>
    <row r="21043" spans="5:10" s="34" customFormat="1" x14ac:dyDescent="0.35">
      <c r="E21043" s="35"/>
      <c r="J21043" s="41"/>
    </row>
    <row r="21044" spans="5:10" s="34" customFormat="1" x14ac:dyDescent="0.35">
      <c r="E21044" s="35"/>
      <c r="J21044" s="41"/>
    </row>
    <row r="21045" spans="5:10" s="34" customFormat="1" x14ac:dyDescent="0.35">
      <c r="E21045" s="35"/>
      <c r="J21045" s="41"/>
    </row>
    <row r="21046" spans="5:10" s="34" customFormat="1" x14ac:dyDescent="0.35">
      <c r="E21046" s="35"/>
      <c r="J21046" s="41"/>
    </row>
    <row r="21047" spans="5:10" s="34" customFormat="1" x14ac:dyDescent="0.35">
      <c r="E21047" s="35"/>
      <c r="J21047" s="41"/>
    </row>
    <row r="21048" spans="5:10" s="34" customFormat="1" x14ac:dyDescent="0.35">
      <c r="E21048" s="35"/>
      <c r="J21048" s="41"/>
    </row>
    <row r="21049" spans="5:10" s="34" customFormat="1" x14ac:dyDescent="0.35">
      <c r="E21049" s="35"/>
      <c r="J21049" s="41"/>
    </row>
    <row r="21050" spans="5:10" s="34" customFormat="1" x14ac:dyDescent="0.35">
      <c r="E21050" s="35"/>
      <c r="J21050" s="41"/>
    </row>
    <row r="21051" spans="5:10" s="34" customFormat="1" x14ac:dyDescent="0.35">
      <c r="E21051" s="35"/>
      <c r="J21051" s="41"/>
    </row>
    <row r="21052" spans="5:10" s="34" customFormat="1" x14ac:dyDescent="0.35">
      <c r="E21052" s="35"/>
      <c r="J21052" s="41"/>
    </row>
    <row r="21053" spans="5:10" s="34" customFormat="1" x14ac:dyDescent="0.35">
      <c r="E21053" s="35"/>
      <c r="J21053" s="41"/>
    </row>
    <row r="21054" spans="5:10" s="34" customFormat="1" x14ac:dyDescent="0.35">
      <c r="E21054" s="35"/>
      <c r="J21054" s="41"/>
    </row>
    <row r="21055" spans="5:10" s="34" customFormat="1" x14ac:dyDescent="0.35">
      <c r="E21055" s="35"/>
      <c r="J21055" s="41"/>
    </row>
    <row r="21056" spans="5:10" s="34" customFormat="1" x14ac:dyDescent="0.35">
      <c r="E21056" s="35"/>
      <c r="J21056" s="41"/>
    </row>
    <row r="21057" spans="5:10" s="34" customFormat="1" x14ac:dyDescent="0.35">
      <c r="E21057" s="35"/>
      <c r="J21057" s="41"/>
    </row>
    <row r="21058" spans="5:10" s="34" customFormat="1" x14ac:dyDescent="0.35">
      <c r="E21058" s="35"/>
      <c r="J21058" s="41"/>
    </row>
    <row r="21059" spans="5:10" s="34" customFormat="1" x14ac:dyDescent="0.35">
      <c r="E21059" s="35"/>
      <c r="J21059" s="41"/>
    </row>
    <row r="21060" spans="5:10" s="34" customFormat="1" x14ac:dyDescent="0.35">
      <c r="E21060" s="35"/>
      <c r="J21060" s="41"/>
    </row>
    <row r="21061" spans="5:10" s="34" customFormat="1" x14ac:dyDescent="0.35">
      <c r="E21061" s="35"/>
      <c r="J21061" s="41"/>
    </row>
    <row r="21062" spans="5:10" s="34" customFormat="1" x14ac:dyDescent="0.35">
      <c r="E21062" s="35"/>
      <c r="J21062" s="41"/>
    </row>
    <row r="21063" spans="5:10" s="34" customFormat="1" x14ac:dyDescent="0.35">
      <c r="E21063" s="35"/>
      <c r="J21063" s="41"/>
    </row>
    <row r="21064" spans="5:10" s="34" customFormat="1" x14ac:dyDescent="0.35">
      <c r="E21064" s="35"/>
      <c r="J21064" s="41"/>
    </row>
    <row r="21065" spans="5:10" s="34" customFormat="1" x14ac:dyDescent="0.35">
      <c r="E21065" s="35"/>
      <c r="J21065" s="41"/>
    </row>
    <row r="21066" spans="5:10" s="34" customFormat="1" x14ac:dyDescent="0.35">
      <c r="E21066" s="35"/>
      <c r="J21066" s="41"/>
    </row>
    <row r="21067" spans="5:10" s="34" customFormat="1" x14ac:dyDescent="0.35">
      <c r="E21067" s="35"/>
      <c r="J21067" s="41"/>
    </row>
    <row r="21068" spans="5:10" s="34" customFormat="1" x14ac:dyDescent="0.35">
      <c r="E21068" s="35"/>
      <c r="J21068" s="41"/>
    </row>
    <row r="21069" spans="5:10" s="34" customFormat="1" x14ac:dyDescent="0.35">
      <c r="E21069" s="35"/>
      <c r="J21069" s="41"/>
    </row>
    <row r="21070" spans="5:10" s="34" customFormat="1" x14ac:dyDescent="0.35">
      <c r="E21070" s="35"/>
      <c r="J21070" s="41"/>
    </row>
    <row r="21071" spans="5:10" s="34" customFormat="1" x14ac:dyDescent="0.35">
      <c r="E21071" s="35"/>
      <c r="J21071" s="41"/>
    </row>
    <row r="21072" spans="5:10" s="34" customFormat="1" x14ac:dyDescent="0.35">
      <c r="E21072" s="35"/>
      <c r="J21072" s="41"/>
    </row>
    <row r="21073" spans="5:10" s="34" customFormat="1" x14ac:dyDescent="0.35">
      <c r="E21073" s="35"/>
      <c r="J21073" s="41"/>
    </row>
    <row r="21074" spans="5:10" s="34" customFormat="1" x14ac:dyDescent="0.35">
      <c r="E21074" s="35"/>
      <c r="J21074" s="41"/>
    </row>
    <row r="21075" spans="5:10" s="34" customFormat="1" x14ac:dyDescent="0.35">
      <c r="E21075" s="35"/>
      <c r="J21075" s="41"/>
    </row>
    <row r="21076" spans="5:10" s="34" customFormat="1" x14ac:dyDescent="0.35">
      <c r="E21076" s="35"/>
      <c r="J21076" s="41"/>
    </row>
    <row r="21077" spans="5:10" s="34" customFormat="1" x14ac:dyDescent="0.35">
      <c r="E21077" s="35"/>
      <c r="J21077" s="41"/>
    </row>
    <row r="21078" spans="5:10" s="34" customFormat="1" x14ac:dyDescent="0.35">
      <c r="E21078" s="35"/>
      <c r="J21078" s="41"/>
    </row>
    <row r="21079" spans="5:10" s="34" customFormat="1" x14ac:dyDescent="0.35">
      <c r="E21079" s="35"/>
      <c r="J21079" s="41"/>
    </row>
    <row r="21080" spans="5:10" s="34" customFormat="1" x14ac:dyDescent="0.35">
      <c r="E21080" s="35"/>
      <c r="J21080" s="41"/>
    </row>
    <row r="21081" spans="5:10" s="34" customFormat="1" x14ac:dyDescent="0.35">
      <c r="E21081" s="35"/>
      <c r="J21081" s="41"/>
    </row>
    <row r="21082" spans="5:10" s="34" customFormat="1" x14ac:dyDescent="0.35">
      <c r="E21082" s="35"/>
      <c r="J21082" s="41"/>
    </row>
    <row r="21083" spans="5:10" s="34" customFormat="1" x14ac:dyDescent="0.35">
      <c r="E21083" s="35"/>
      <c r="J21083" s="41"/>
    </row>
    <row r="21084" spans="5:10" s="34" customFormat="1" x14ac:dyDescent="0.35">
      <c r="E21084" s="35"/>
      <c r="J21084" s="41"/>
    </row>
    <row r="21085" spans="5:10" s="34" customFormat="1" x14ac:dyDescent="0.35">
      <c r="E21085" s="35"/>
      <c r="J21085" s="41"/>
    </row>
    <row r="21086" spans="5:10" s="34" customFormat="1" x14ac:dyDescent="0.35">
      <c r="E21086" s="35"/>
      <c r="J21086" s="41"/>
    </row>
    <row r="21087" spans="5:10" s="34" customFormat="1" x14ac:dyDescent="0.35">
      <c r="E21087" s="35"/>
      <c r="J21087" s="41"/>
    </row>
    <row r="21088" spans="5:10" s="34" customFormat="1" x14ac:dyDescent="0.35">
      <c r="E21088" s="35"/>
      <c r="J21088" s="41"/>
    </row>
    <row r="21089" spans="5:10" s="34" customFormat="1" x14ac:dyDescent="0.35">
      <c r="E21089" s="35"/>
      <c r="J21089" s="41"/>
    </row>
    <row r="21090" spans="5:10" s="34" customFormat="1" x14ac:dyDescent="0.35">
      <c r="E21090" s="35"/>
      <c r="J21090" s="41"/>
    </row>
    <row r="21091" spans="5:10" s="34" customFormat="1" x14ac:dyDescent="0.35">
      <c r="E21091" s="35"/>
      <c r="J21091" s="41"/>
    </row>
    <row r="21092" spans="5:10" s="34" customFormat="1" x14ac:dyDescent="0.35">
      <c r="E21092" s="35"/>
      <c r="J21092" s="41"/>
    </row>
    <row r="21093" spans="5:10" s="34" customFormat="1" x14ac:dyDescent="0.35">
      <c r="E21093" s="35"/>
      <c r="J21093" s="41"/>
    </row>
    <row r="21094" spans="5:10" s="34" customFormat="1" x14ac:dyDescent="0.35">
      <c r="E21094" s="35"/>
      <c r="J21094" s="41"/>
    </row>
    <row r="21095" spans="5:10" s="34" customFormat="1" x14ac:dyDescent="0.35">
      <c r="E21095" s="35"/>
      <c r="J21095" s="41"/>
    </row>
    <row r="21096" spans="5:10" s="34" customFormat="1" x14ac:dyDescent="0.35">
      <c r="E21096" s="35"/>
      <c r="J21096" s="41"/>
    </row>
    <row r="21097" spans="5:10" s="34" customFormat="1" x14ac:dyDescent="0.35">
      <c r="E21097" s="35"/>
      <c r="J21097" s="41"/>
    </row>
    <row r="21098" spans="5:10" s="34" customFormat="1" x14ac:dyDescent="0.35">
      <c r="E21098" s="35"/>
      <c r="J21098" s="41"/>
    </row>
    <row r="21099" spans="5:10" s="34" customFormat="1" x14ac:dyDescent="0.35">
      <c r="E21099" s="35"/>
      <c r="J21099" s="41"/>
    </row>
    <row r="21100" spans="5:10" s="34" customFormat="1" x14ac:dyDescent="0.35">
      <c r="E21100" s="35"/>
      <c r="J21100" s="41"/>
    </row>
    <row r="21101" spans="5:10" s="34" customFormat="1" x14ac:dyDescent="0.35">
      <c r="E21101" s="35"/>
      <c r="J21101" s="41"/>
    </row>
    <row r="21102" spans="5:10" s="34" customFormat="1" x14ac:dyDescent="0.35">
      <c r="E21102" s="35"/>
      <c r="J21102" s="41"/>
    </row>
    <row r="21103" spans="5:10" s="34" customFormat="1" x14ac:dyDescent="0.35">
      <c r="E21103" s="35"/>
      <c r="J21103" s="41"/>
    </row>
    <row r="21104" spans="5:10" s="34" customFormat="1" x14ac:dyDescent="0.35">
      <c r="E21104" s="35"/>
      <c r="J21104" s="41"/>
    </row>
    <row r="21105" spans="5:10" s="34" customFormat="1" x14ac:dyDescent="0.35">
      <c r="E21105" s="35"/>
      <c r="J21105" s="41"/>
    </row>
    <row r="21106" spans="5:10" s="34" customFormat="1" x14ac:dyDescent="0.35">
      <c r="E21106" s="35"/>
      <c r="J21106" s="41"/>
    </row>
    <row r="21107" spans="5:10" s="34" customFormat="1" x14ac:dyDescent="0.35">
      <c r="E21107" s="35"/>
      <c r="J21107" s="41"/>
    </row>
    <row r="21108" spans="5:10" s="34" customFormat="1" x14ac:dyDescent="0.35">
      <c r="E21108" s="35"/>
      <c r="J21108" s="41"/>
    </row>
    <row r="21109" spans="5:10" s="34" customFormat="1" x14ac:dyDescent="0.35">
      <c r="E21109" s="35"/>
      <c r="J21109" s="41"/>
    </row>
    <row r="21110" spans="5:10" s="34" customFormat="1" x14ac:dyDescent="0.35">
      <c r="E21110" s="35"/>
      <c r="J21110" s="41"/>
    </row>
    <row r="21111" spans="5:10" s="34" customFormat="1" x14ac:dyDescent="0.35">
      <c r="E21111" s="35"/>
      <c r="J21111" s="41"/>
    </row>
    <row r="21112" spans="5:10" s="34" customFormat="1" x14ac:dyDescent="0.35">
      <c r="E21112" s="35"/>
      <c r="J21112" s="41"/>
    </row>
    <row r="21113" spans="5:10" s="34" customFormat="1" x14ac:dyDescent="0.35">
      <c r="E21113" s="35"/>
      <c r="J21113" s="41"/>
    </row>
    <row r="21114" spans="5:10" s="34" customFormat="1" x14ac:dyDescent="0.35">
      <c r="E21114" s="35"/>
      <c r="J21114" s="41"/>
    </row>
    <row r="21115" spans="5:10" s="34" customFormat="1" x14ac:dyDescent="0.35">
      <c r="E21115" s="35"/>
      <c r="J21115" s="41"/>
    </row>
    <row r="21116" spans="5:10" s="34" customFormat="1" x14ac:dyDescent="0.35">
      <c r="E21116" s="35"/>
      <c r="J21116" s="41"/>
    </row>
    <row r="21117" spans="5:10" s="34" customFormat="1" x14ac:dyDescent="0.35">
      <c r="E21117" s="35"/>
      <c r="J21117" s="41"/>
    </row>
    <row r="21118" spans="5:10" s="34" customFormat="1" x14ac:dyDescent="0.35">
      <c r="E21118" s="35"/>
      <c r="J21118" s="41"/>
    </row>
    <row r="21119" spans="5:10" s="34" customFormat="1" x14ac:dyDescent="0.35">
      <c r="E21119" s="35"/>
      <c r="J21119" s="41"/>
    </row>
    <row r="21120" spans="5:10" s="34" customFormat="1" x14ac:dyDescent="0.35">
      <c r="E21120" s="35"/>
      <c r="J21120" s="41"/>
    </row>
    <row r="21121" spans="5:10" s="34" customFormat="1" x14ac:dyDescent="0.35">
      <c r="E21121" s="35"/>
      <c r="J21121" s="41"/>
    </row>
    <row r="21122" spans="5:10" s="34" customFormat="1" x14ac:dyDescent="0.35">
      <c r="E21122" s="35"/>
      <c r="J21122" s="41"/>
    </row>
    <row r="21123" spans="5:10" s="34" customFormat="1" x14ac:dyDescent="0.35">
      <c r="E21123" s="35"/>
      <c r="J21123" s="41"/>
    </row>
    <row r="21124" spans="5:10" s="34" customFormat="1" x14ac:dyDescent="0.35">
      <c r="E21124" s="35"/>
      <c r="J21124" s="41"/>
    </row>
    <row r="21125" spans="5:10" s="34" customFormat="1" x14ac:dyDescent="0.35">
      <c r="E21125" s="35"/>
      <c r="J21125" s="41"/>
    </row>
    <row r="21126" spans="5:10" s="34" customFormat="1" x14ac:dyDescent="0.35">
      <c r="E21126" s="35"/>
      <c r="J21126" s="41"/>
    </row>
    <row r="21127" spans="5:10" s="34" customFormat="1" x14ac:dyDescent="0.35">
      <c r="E21127" s="35"/>
      <c r="J21127" s="41"/>
    </row>
    <row r="21128" spans="5:10" s="34" customFormat="1" x14ac:dyDescent="0.35">
      <c r="E21128" s="35"/>
      <c r="J21128" s="41"/>
    </row>
    <row r="21129" spans="5:10" s="34" customFormat="1" x14ac:dyDescent="0.35">
      <c r="E21129" s="35"/>
      <c r="J21129" s="41"/>
    </row>
    <row r="21130" spans="5:10" s="34" customFormat="1" x14ac:dyDescent="0.35">
      <c r="E21130" s="35"/>
      <c r="J21130" s="41"/>
    </row>
    <row r="21131" spans="5:10" s="34" customFormat="1" x14ac:dyDescent="0.35">
      <c r="E21131" s="35"/>
      <c r="J21131" s="41"/>
    </row>
    <row r="21132" spans="5:10" s="34" customFormat="1" x14ac:dyDescent="0.35">
      <c r="E21132" s="35"/>
      <c r="J21132" s="41"/>
    </row>
    <row r="21133" spans="5:10" s="34" customFormat="1" x14ac:dyDescent="0.35">
      <c r="E21133" s="35"/>
      <c r="J21133" s="41"/>
    </row>
    <row r="21134" spans="5:10" s="34" customFormat="1" x14ac:dyDescent="0.35">
      <c r="E21134" s="35"/>
      <c r="J21134" s="41"/>
    </row>
    <row r="21135" spans="5:10" s="34" customFormat="1" x14ac:dyDescent="0.35">
      <c r="E21135" s="35"/>
      <c r="J21135" s="41"/>
    </row>
    <row r="21136" spans="5:10" s="34" customFormat="1" x14ac:dyDescent="0.35">
      <c r="E21136" s="35"/>
      <c r="J21136" s="41"/>
    </row>
    <row r="21137" spans="5:10" s="34" customFormat="1" x14ac:dyDescent="0.35">
      <c r="E21137" s="35"/>
      <c r="J21137" s="41"/>
    </row>
    <row r="21138" spans="5:10" s="34" customFormat="1" x14ac:dyDescent="0.35">
      <c r="E21138" s="35"/>
      <c r="J21138" s="41"/>
    </row>
    <row r="21139" spans="5:10" s="34" customFormat="1" x14ac:dyDescent="0.35">
      <c r="E21139" s="35"/>
      <c r="J21139" s="41"/>
    </row>
    <row r="21140" spans="5:10" s="34" customFormat="1" x14ac:dyDescent="0.35">
      <c r="E21140" s="35"/>
      <c r="J21140" s="41"/>
    </row>
    <row r="21141" spans="5:10" s="34" customFormat="1" x14ac:dyDescent="0.35">
      <c r="E21141" s="35"/>
      <c r="J21141" s="41"/>
    </row>
    <row r="21142" spans="5:10" s="34" customFormat="1" x14ac:dyDescent="0.35">
      <c r="E21142" s="35"/>
      <c r="J21142" s="41"/>
    </row>
    <row r="21143" spans="5:10" s="34" customFormat="1" x14ac:dyDescent="0.35">
      <c r="E21143" s="35"/>
      <c r="J21143" s="41"/>
    </row>
    <row r="21144" spans="5:10" s="34" customFormat="1" x14ac:dyDescent="0.35">
      <c r="E21144" s="35"/>
      <c r="J21144" s="41"/>
    </row>
    <row r="21145" spans="5:10" s="34" customFormat="1" x14ac:dyDescent="0.35">
      <c r="E21145" s="35"/>
      <c r="J21145" s="41"/>
    </row>
    <row r="21146" spans="5:10" s="34" customFormat="1" x14ac:dyDescent="0.35">
      <c r="E21146" s="35"/>
      <c r="J21146" s="41"/>
    </row>
    <row r="21147" spans="5:10" s="34" customFormat="1" x14ac:dyDescent="0.35">
      <c r="E21147" s="35"/>
      <c r="J21147" s="41"/>
    </row>
    <row r="21148" spans="5:10" s="34" customFormat="1" x14ac:dyDescent="0.35">
      <c r="E21148" s="35"/>
      <c r="J21148" s="41"/>
    </row>
    <row r="21149" spans="5:10" s="34" customFormat="1" x14ac:dyDescent="0.35">
      <c r="E21149" s="35"/>
      <c r="J21149" s="41"/>
    </row>
    <row r="21150" spans="5:10" s="34" customFormat="1" x14ac:dyDescent="0.35">
      <c r="E21150" s="35"/>
      <c r="J21150" s="41"/>
    </row>
    <row r="21151" spans="5:10" s="34" customFormat="1" x14ac:dyDescent="0.35">
      <c r="E21151" s="35"/>
      <c r="J21151" s="41"/>
    </row>
    <row r="21152" spans="5:10" s="34" customFormat="1" x14ac:dyDescent="0.35">
      <c r="E21152" s="35"/>
      <c r="J21152" s="41"/>
    </row>
    <row r="21153" spans="5:10" s="34" customFormat="1" x14ac:dyDescent="0.35">
      <c r="E21153" s="35"/>
      <c r="J21153" s="41"/>
    </row>
    <row r="21154" spans="5:10" s="34" customFormat="1" x14ac:dyDescent="0.35">
      <c r="E21154" s="35"/>
      <c r="J21154" s="41"/>
    </row>
    <row r="21155" spans="5:10" s="34" customFormat="1" x14ac:dyDescent="0.35">
      <c r="E21155" s="35"/>
      <c r="J21155" s="41"/>
    </row>
    <row r="21156" spans="5:10" s="34" customFormat="1" x14ac:dyDescent="0.35">
      <c r="E21156" s="35"/>
      <c r="J21156" s="41"/>
    </row>
    <row r="21157" spans="5:10" s="34" customFormat="1" x14ac:dyDescent="0.35">
      <c r="E21157" s="35"/>
      <c r="J21157" s="41"/>
    </row>
    <row r="21158" spans="5:10" s="34" customFormat="1" x14ac:dyDescent="0.35">
      <c r="E21158" s="35"/>
      <c r="J21158" s="41"/>
    </row>
    <row r="21159" spans="5:10" s="34" customFormat="1" x14ac:dyDescent="0.35">
      <c r="E21159" s="35"/>
      <c r="J21159" s="41"/>
    </row>
    <row r="21160" spans="5:10" s="34" customFormat="1" x14ac:dyDescent="0.35">
      <c r="E21160" s="35"/>
      <c r="J21160" s="41"/>
    </row>
    <row r="21161" spans="5:10" s="34" customFormat="1" x14ac:dyDescent="0.35">
      <c r="E21161" s="35"/>
      <c r="J21161" s="41"/>
    </row>
    <row r="21162" spans="5:10" s="34" customFormat="1" x14ac:dyDescent="0.35">
      <c r="E21162" s="35"/>
      <c r="J21162" s="41"/>
    </row>
    <row r="21163" spans="5:10" s="34" customFormat="1" x14ac:dyDescent="0.35">
      <c r="E21163" s="35"/>
      <c r="J21163" s="41"/>
    </row>
    <row r="21164" spans="5:10" s="34" customFormat="1" x14ac:dyDescent="0.35">
      <c r="E21164" s="35"/>
      <c r="J21164" s="41"/>
    </row>
    <row r="21165" spans="5:10" s="34" customFormat="1" x14ac:dyDescent="0.35">
      <c r="E21165" s="35"/>
      <c r="J21165" s="41"/>
    </row>
    <row r="21166" spans="5:10" s="34" customFormat="1" x14ac:dyDescent="0.35">
      <c r="E21166" s="35"/>
      <c r="J21166" s="41"/>
    </row>
    <row r="21167" spans="5:10" s="34" customFormat="1" x14ac:dyDescent="0.35">
      <c r="E21167" s="35"/>
      <c r="J21167" s="41"/>
    </row>
    <row r="21168" spans="5:10" s="34" customFormat="1" x14ac:dyDescent="0.35">
      <c r="E21168" s="35"/>
      <c r="J21168" s="41"/>
    </row>
    <row r="21169" spans="5:10" s="34" customFormat="1" x14ac:dyDescent="0.35">
      <c r="E21169" s="35"/>
      <c r="J21169" s="41"/>
    </row>
    <row r="21170" spans="5:10" s="34" customFormat="1" x14ac:dyDescent="0.35">
      <c r="E21170" s="35"/>
      <c r="J21170" s="41"/>
    </row>
    <row r="21171" spans="5:10" s="34" customFormat="1" x14ac:dyDescent="0.35">
      <c r="E21171" s="35"/>
      <c r="J21171" s="41"/>
    </row>
    <row r="21172" spans="5:10" s="34" customFormat="1" x14ac:dyDescent="0.35">
      <c r="E21172" s="35"/>
      <c r="J21172" s="41"/>
    </row>
    <row r="21173" spans="5:10" s="34" customFormat="1" x14ac:dyDescent="0.35">
      <c r="E21173" s="35"/>
      <c r="J21173" s="41"/>
    </row>
    <row r="21174" spans="5:10" s="34" customFormat="1" x14ac:dyDescent="0.35">
      <c r="E21174" s="35"/>
      <c r="J21174" s="41"/>
    </row>
    <row r="21175" spans="5:10" s="34" customFormat="1" x14ac:dyDescent="0.35">
      <c r="E21175" s="35"/>
      <c r="J21175" s="41"/>
    </row>
    <row r="21176" spans="5:10" s="34" customFormat="1" x14ac:dyDescent="0.35">
      <c r="E21176" s="35"/>
      <c r="J21176" s="41"/>
    </row>
    <row r="21177" spans="5:10" s="34" customFormat="1" x14ac:dyDescent="0.35">
      <c r="E21177" s="35"/>
      <c r="J21177" s="41"/>
    </row>
    <row r="21178" spans="5:10" s="34" customFormat="1" x14ac:dyDescent="0.35">
      <c r="E21178" s="35"/>
      <c r="J21178" s="41"/>
    </row>
    <row r="21179" spans="5:10" s="34" customFormat="1" x14ac:dyDescent="0.35">
      <c r="E21179" s="35"/>
      <c r="J21179" s="41"/>
    </row>
    <row r="21180" spans="5:10" s="34" customFormat="1" x14ac:dyDescent="0.35">
      <c r="E21180" s="35"/>
      <c r="J21180" s="41"/>
    </row>
    <row r="21181" spans="5:10" s="34" customFormat="1" x14ac:dyDescent="0.35">
      <c r="E21181" s="35"/>
      <c r="J21181" s="41"/>
    </row>
    <row r="21182" spans="5:10" s="34" customFormat="1" x14ac:dyDescent="0.35">
      <c r="E21182" s="35"/>
      <c r="J21182" s="41"/>
    </row>
    <row r="21183" spans="5:10" s="34" customFormat="1" x14ac:dyDescent="0.35">
      <c r="E21183" s="35"/>
      <c r="J21183" s="41"/>
    </row>
    <row r="21184" spans="5:10" s="34" customFormat="1" x14ac:dyDescent="0.35">
      <c r="E21184" s="35"/>
      <c r="J21184" s="41"/>
    </row>
    <row r="21185" spans="5:10" s="34" customFormat="1" x14ac:dyDescent="0.35">
      <c r="E21185" s="35"/>
      <c r="J21185" s="41"/>
    </row>
    <row r="21186" spans="5:10" s="34" customFormat="1" x14ac:dyDescent="0.35">
      <c r="E21186" s="35"/>
      <c r="J21186" s="41"/>
    </row>
    <row r="21187" spans="5:10" s="34" customFormat="1" x14ac:dyDescent="0.35">
      <c r="E21187" s="35"/>
      <c r="J21187" s="41"/>
    </row>
    <row r="21188" spans="5:10" s="34" customFormat="1" x14ac:dyDescent="0.35">
      <c r="E21188" s="35"/>
      <c r="J21188" s="41"/>
    </row>
    <row r="21189" spans="5:10" s="34" customFormat="1" x14ac:dyDescent="0.35">
      <c r="E21189" s="35"/>
      <c r="J21189" s="41"/>
    </row>
    <row r="21190" spans="5:10" s="34" customFormat="1" x14ac:dyDescent="0.35">
      <c r="E21190" s="35"/>
      <c r="J21190" s="41"/>
    </row>
    <row r="21191" spans="5:10" s="34" customFormat="1" x14ac:dyDescent="0.35">
      <c r="E21191" s="35"/>
      <c r="J21191" s="41"/>
    </row>
    <row r="21192" spans="5:10" s="34" customFormat="1" x14ac:dyDescent="0.35">
      <c r="E21192" s="35"/>
      <c r="J21192" s="41"/>
    </row>
    <row r="21193" spans="5:10" s="34" customFormat="1" x14ac:dyDescent="0.35">
      <c r="E21193" s="35"/>
      <c r="J21193" s="41"/>
    </row>
    <row r="21194" spans="5:10" s="34" customFormat="1" x14ac:dyDescent="0.35">
      <c r="E21194" s="35"/>
      <c r="J21194" s="41"/>
    </row>
    <row r="21195" spans="5:10" s="34" customFormat="1" x14ac:dyDescent="0.35">
      <c r="E21195" s="35"/>
      <c r="J21195" s="41"/>
    </row>
    <row r="21196" spans="5:10" s="34" customFormat="1" x14ac:dyDescent="0.35">
      <c r="E21196" s="35"/>
      <c r="J21196" s="41"/>
    </row>
    <row r="21197" spans="5:10" s="34" customFormat="1" x14ac:dyDescent="0.35">
      <c r="E21197" s="35"/>
      <c r="J21197" s="41"/>
    </row>
    <row r="21198" spans="5:10" s="34" customFormat="1" x14ac:dyDescent="0.35">
      <c r="E21198" s="35"/>
      <c r="J21198" s="41"/>
    </row>
    <row r="21199" spans="5:10" s="34" customFormat="1" x14ac:dyDescent="0.35">
      <c r="E21199" s="35"/>
      <c r="J21199" s="41"/>
    </row>
    <row r="21200" spans="5:10" s="34" customFormat="1" x14ac:dyDescent="0.35">
      <c r="E21200" s="35"/>
      <c r="J21200" s="41"/>
    </row>
    <row r="21201" spans="5:10" s="34" customFormat="1" x14ac:dyDescent="0.35">
      <c r="E21201" s="35"/>
      <c r="J21201" s="41"/>
    </row>
    <row r="21202" spans="5:10" s="34" customFormat="1" x14ac:dyDescent="0.35">
      <c r="E21202" s="35"/>
      <c r="J21202" s="41"/>
    </row>
    <row r="21203" spans="5:10" s="34" customFormat="1" x14ac:dyDescent="0.35">
      <c r="E21203" s="35"/>
      <c r="J21203" s="41"/>
    </row>
    <row r="21204" spans="5:10" s="34" customFormat="1" x14ac:dyDescent="0.35">
      <c r="E21204" s="35"/>
      <c r="J21204" s="41"/>
    </row>
    <row r="21205" spans="5:10" s="34" customFormat="1" x14ac:dyDescent="0.35">
      <c r="E21205" s="35"/>
      <c r="J21205" s="41"/>
    </row>
    <row r="21206" spans="5:10" s="34" customFormat="1" x14ac:dyDescent="0.35">
      <c r="E21206" s="35"/>
      <c r="J21206" s="41"/>
    </row>
    <row r="21207" spans="5:10" s="34" customFormat="1" x14ac:dyDescent="0.35">
      <c r="E21207" s="35"/>
      <c r="J21207" s="41"/>
    </row>
    <row r="21208" spans="5:10" s="34" customFormat="1" x14ac:dyDescent="0.35">
      <c r="E21208" s="35"/>
      <c r="J21208" s="41"/>
    </row>
    <row r="21209" spans="5:10" s="34" customFormat="1" x14ac:dyDescent="0.35">
      <c r="E21209" s="35"/>
      <c r="J21209" s="41"/>
    </row>
    <row r="21210" spans="5:10" s="34" customFormat="1" x14ac:dyDescent="0.35">
      <c r="E21210" s="35"/>
      <c r="J21210" s="41"/>
    </row>
    <row r="21211" spans="5:10" s="34" customFormat="1" x14ac:dyDescent="0.35">
      <c r="E21211" s="35"/>
      <c r="J21211" s="41"/>
    </row>
    <row r="21212" spans="5:10" s="34" customFormat="1" x14ac:dyDescent="0.35">
      <c r="E21212" s="35"/>
      <c r="J21212" s="41"/>
    </row>
    <row r="21213" spans="5:10" s="34" customFormat="1" x14ac:dyDescent="0.35">
      <c r="E21213" s="35"/>
      <c r="J21213" s="41"/>
    </row>
    <row r="21214" spans="5:10" s="34" customFormat="1" x14ac:dyDescent="0.35">
      <c r="E21214" s="35"/>
      <c r="J21214" s="41"/>
    </row>
    <row r="21215" spans="5:10" s="34" customFormat="1" x14ac:dyDescent="0.35">
      <c r="E21215" s="35"/>
      <c r="J21215" s="41"/>
    </row>
    <row r="21216" spans="5:10" s="34" customFormat="1" x14ac:dyDescent="0.35">
      <c r="E21216" s="35"/>
      <c r="J21216" s="41"/>
    </row>
    <row r="21217" spans="5:10" s="34" customFormat="1" x14ac:dyDescent="0.35">
      <c r="E21217" s="35"/>
      <c r="J21217" s="41"/>
    </row>
    <row r="21218" spans="5:10" s="34" customFormat="1" x14ac:dyDescent="0.35">
      <c r="E21218" s="35"/>
      <c r="J21218" s="41"/>
    </row>
    <row r="21219" spans="5:10" s="34" customFormat="1" x14ac:dyDescent="0.35">
      <c r="E21219" s="35"/>
      <c r="J21219" s="41"/>
    </row>
    <row r="21220" spans="5:10" s="34" customFormat="1" x14ac:dyDescent="0.35">
      <c r="E21220" s="35"/>
      <c r="J21220" s="41"/>
    </row>
    <row r="21221" spans="5:10" s="34" customFormat="1" x14ac:dyDescent="0.35">
      <c r="E21221" s="35"/>
      <c r="J21221" s="41"/>
    </row>
    <row r="21222" spans="5:10" s="34" customFormat="1" x14ac:dyDescent="0.35">
      <c r="E21222" s="35"/>
      <c r="J21222" s="41"/>
    </row>
    <row r="21223" spans="5:10" s="34" customFormat="1" x14ac:dyDescent="0.35">
      <c r="E21223" s="35"/>
      <c r="J21223" s="41"/>
    </row>
    <row r="21224" spans="5:10" s="34" customFormat="1" x14ac:dyDescent="0.35">
      <c r="E21224" s="35"/>
      <c r="J21224" s="41"/>
    </row>
    <row r="21225" spans="5:10" s="34" customFormat="1" x14ac:dyDescent="0.35">
      <c r="E21225" s="35"/>
      <c r="J21225" s="41"/>
    </row>
    <row r="21226" spans="5:10" s="34" customFormat="1" x14ac:dyDescent="0.35">
      <c r="E21226" s="35"/>
      <c r="J21226" s="41"/>
    </row>
    <row r="21227" spans="5:10" s="34" customFormat="1" x14ac:dyDescent="0.35">
      <c r="E21227" s="35"/>
      <c r="J21227" s="41"/>
    </row>
    <row r="21228" spans="5:10" s="34" customFormat="1" x14ac:dyDescent="0.35">
      <c r="E21228" s="35"/>
      <c r="J21228" s="41"/>
    </row>
    <row r="21229" spans="5:10" s="34" customFormat="1" x14ac:dyDescent="0.35">
      <c r="E21229" s="35"/>
      <c r="J21229" s="41"/>
    </row>
    <row r="21230" spans="5:10" s="34" customFormat="1" x14ac:dyDescent="0.35">
      <c r="E21230" s="35"/>
      <c r="J21230" s="41"/>
    </row>
    <row r="21231" spans="5:10" s="34" customFormat="1" x14ac:dyDescent="0.35">
      <c r="E21231" s="35"/>
      <c r="J21231" s="41"/>
    </row>
    <row r="21232" spans="5:10" s="34" customFormat="1" x14ac:dyDescent="0.35">
      <c r="E21232" s="35"/>
      <c r="J21232" s="41"/>
    </row>
    <row r="21233" spans="5:10" s="34" customFormat="1" x14ac:dyDescent="0.35">
      <c r="E21233" s="35"/>
      <c r="J21233" s="41"/>
    </row>
    <row r="21234" spans="5:10" s="34" customFormat="1" x14ac:dyDescent="0.35">
      <c r="E21234" s="35"/>
      <c r="J21234" s="41"/>
    </row>
    <row r="21235" spans="5:10" s="34" customFormat="1" x14ac:dyDescent="0.35">
      <c r="E21235" s="35"/>
      <c r="J21235" s="41"/>
    </row>
    <row r="21236" spans="5:10" s="34" customFormat="1" x14ac:dyDescent="0.35">
      <c r="E21236" s="35"/>
      <c r="J21236" s="41"/>
    </row>
    <row r="21237" spans="5:10" s="34" customFormat="1" x14ac:dyDescent="0.35">
      <c r="E21237" s="35"/>
      <c r="J21237" s="41"/>
    </row>
    <row r="21238" spans="5:10" s="34" customFormat="1" x14ac:dyDescent="0.35">
      <c r="E21238" s="35"/>
      <c r="J21238" s="41"/>
    </row>
    <row r="21239" spans="5:10" s="34" customFormat="1" x14ac:dyDescent="0.35">
      <c r="E21239" s="35"/>
      <c r="J21239" s="41"/>
    </row>
    <row r="21240" spans="5:10" s="34" customFormat="1" x14ac:dyDescent="0.35">
      <c r="E21240" s="35"/>
      <c r="J21240" s="41"/>
    </row>
    <row r="21241" spans="5:10" s="34" customFormat="1" x14ac:dyDescent="0.35">
      <c r="E21241" s="35"/>
      <c r="J21241" s="41"/>
    </row>
    <row r="21242" spans="5:10" s="34" customFormat="1" x14ac:dyDescent="0.35">
      <c r="E21242" s="35"/>
      <c r="J21242" s="41"/>
    </row>
    <row r="21243" spans="5:10" s="34" customFormat="1" x14ac:dyDescent="0.35">
      <c r="E21243" s="35"/>
      <c r="J21243" s="41"/>
    </row>
    <row r="21244" spans="5:10" s="34" customFormat="1" x14ac:dyDescent="0.35">
      <c r="E21244" s="35"/>
      <c r="J21244" s="41"/>
    </row>
    <row r="21245" spans="5:10" s="34" customFormat="1" x14ac:dyDescent="0.35">
      <c r="E21245" s="35"/>
      <c r="J21245" s="41"/>
    </row>
    <row r="21246" spans="5:10" s="34" customFormat="1" x14ac:dyDescent="0.35">
      <c r="E21246" s="35"/>
      <c r="J21246" s="41"/>
    </row>
    <row r="21247" spans="5:10" s="34" customFormat="1" x14ac:dyDescent="0.35">
      <c r="E21247" s="35"/>
      <c r="J21247" s="41"/>
    </row>
    <row r="21248" spans="5:10" s="34" customFormat="1" x14ac:dyDescent="0.35">
      <c r="E21248" s="35"/>
      <c r="J21248" s="41"/>
    </row>
    <row r="21249" spans="5:10" s="34" customFormat="1" x14ac:dyDescent="0.35">
      <c r="E21249" s="35"/>
      <c r="J21249" s="41"/>
    </row>
    <row r="21250" spans="5:10" s="34" customFormat="1" x14ac:dyDescent="0.35">
      <c r="E21250" s="35"/>
      <c r="J21250" s="41"/>
    </row>
    <row r="21251" spans="5:10" s="34" customFormat="1" x14ac:dyDescent="0.35">
      <c r="E21251" s="35"/>
      <c r="J21251" s="41"/>
    </row>
    <row r="21252" spans="5:10" s="34" customFormat="1" x14ac:dyDescent="0.35">
      <c r="E21252" s="35"/>
      <c r="J21252" s="41"/>
    </row>
    <row r="21253" spans="5:10" s="34" customFormat="1" x14ac:dyDescent="0.35">
      <c r="E21253" s="35"/>
      <c r="J21253" s="41"/>
    </row>
    <row r="21254" spans="5:10" s="34" customFormat="1" x14ac:dyDescent="0.35">
      <c r="E21254" s="35"/>
      <c r="J21254" s="41"/>
    </row>
    <row r="21255" spans="5:10" s="34" customFormat="1" x14ac:dyDescent="0.35">
      <c r="E21255" s="35"/>
      <c r="J21255" s="41"/>
    </row>
    <row r="21256" spans="5:10" s="34" customFormat="1" x14ac:dyDescent="0.35">
      <c r="E21256" s="35"/>
      <c r="J21256" s="41"/>
    </row>
    <row r="21257" spans="5:10" s="34" customFormat="1" x14ac:dyDescent="0.35">
      <c r="E21257" s="35"/>
      <c r="J21257" s="41"/>
    </row>
    <row r="21258" spans="5:10" s="34" customFormat="1" x14ac:dyDescent="0.35">
      <c r="E21258" s="35"/>
      <c r="J21258" s="41"/>
    </row>
    <row r="21259" spans="5:10" s="34" customFormat="1" x14ac:dyDescent="0.35">
      <c r="E21259" s="35"/>
      <c r="J21259" s="41"/>
    </row>
    <row r="21260" spans="5:10" s="34" customFormat="1" x14ac:dyDescent="0.35">
      <c r="E21260" s="35"/>
      <c r="J21260" s="41"/>
    </row>
    <row r="21261" spans="5:10" s="34" customFormat="1" x14ac:dyDescent="0.35">
      <c r="E21261" s="35"/>
      <c r="J21261" s="41"/>
    </row>
    <row r="21262" spans="5:10" s="34" customFormat="1" x14ac:dyDescent="0.35">
      <c r="E21262" s="35"/>
      <c r="J21262" s="41"/>
    </row>
    <row r="21263" spans="5:10" s="34" customFormat="1" x14ac:dyDescent="0.35">
      <c r="E21263" s="35"/>
      <c r="J21263" s="41"/>
    </row>
    <row r="21264" spans="5:10" s="34" customFormat="1" x14ac:dyDescent="0.35">
      <c r="E21264" s="35"/>
      <c r="J21264" s="41"/>
    </row>
    <row r="21265" spans="5:10" s="34" customFormat="1" x14ac:dyDescent="0.35">
      <c r="E21265" s="35"/>
      <c r="J21265" s="41"/>
    </row>
    <row r="21266" spans="5:10" s="34" customFormat="1" x14ac:dyDescent="0.35">
      <c r="E21266" s="35"/>
      <c r="J21266" s="41"/>
    </row>
    <row r="21267" spans="5:10" s="34" customFormat="1" x14ac:dyDescent="0.35">
      <c r="E21267" s="35"/>
      <c r="J21267" s="41"/>
    </row>
    <row r="21268" spans="5:10" s="34" customFormat="1" x14ac:dyDescent="0.35">
      <c r="E21268" s="35"/>
      <c r="J21268" s="41"/>
    </row>
    <row r="21269" spans="5:10" s="34" customFormat="1" x14ac:dyDescent="0.35">
      <c r="E21269" s="35"/>
      <c r="J21269" s="41"/>
    </row>
    <row r="21270" spans="5:10" s="34" customFormat="1" x14ac:dyDescent="0.35">
      <c r="E21270" s="35"/>
      <c r="J21270" s="41"/>
    </row>
    <row r="21271" spans="5:10" s="34" customFormat="1" x14ac:dyDescent="0.35">
      <c r="E21271" s="35"/>
      <c r="J21271" s="41"/>
    </row>
    <row r="21272" spans="5:10" s="34" customFormat="1" x14ac:dyDescent="0.35">
      <c r="E21272" s="35"/>
      <c r="J21272" s="41"/>
    </row>
    <row r="21273" spans="5:10" s="34" customFormat="1" x14ac:dyDescent="0.35">
      <c r="E21273" s="35"/>
      <c r="J21273" s="41"/>
    </row>
    <row r="21274" spans="5:10" s="34" customFormat="1" x14ac:dyDescent="0.35">
      <c r="E21274" s="35"/>
      <c r="J21274" s="41"/>
    </row>
    <row r="21275" spans="5:10" s="34" customFormat="1" x14ac:dyDescent="0.35">
      <c r="E21275" s="35"/>
      <c r="J21275" s="41"/>
    </row>
    <row r="21276" spans="5:10" s="34" customFormat="1" x14ac:dyDescent="0.35">
      <c r="E21276" s="35"/>
      <c r="J21276" s="41"/>
    </row>
    <row r="21277" spans="5:10" s="34" customFormat="1" x14ac:dyDescent="0.35">
      <c r="E21277" s="35"/>
      <c r="J21277" s="41"/>
    </row>
    <row r="21278" spans="5:10" s="34" customFormat="1" x14ac:dyDescent="0.35">
      <c r="E21278" s="35"/>
      <c r="J21278" s="41"/>
    </row>
    <row r="21279" spans="5:10" s="34" customFormat="1" x14ac:dyDescent="0.35">
      <c r="E21279" s="35"/>
      <c r="J21279" s="41"/>
    </row>
    <row r="21280" spans="5:10" s="34" customFormat="1" x14ac:dyDescent="0.35">
      <c r="E21280" s="35"/>
      <c r="J21280" s="41"/>
    </row>
    <row r="21281" spans="5:10" s="34" customFormat="1" x14ac:dyDescent="0.35">
      <c r="E21281" s="35"/>
      <c r="J21281" s="41"/>
    </row>
    <row r="21282" spans="5:10" s="34" customFormat="1" x14ac:dyDescent="0.35">
      <c r="E21282" s="35"/>
      <c r="J21282" s="41"/>
    </row>
    <row r="21283" spans="5:10" s="34" customFormat="1" x14ac:dyDescent="0.35">
      <c r="E21283" s="35"/>
      <c r="J21283" s="41"/>
    </row>
    <row r="21284" spans="5:10" s="34" customFormat="1" x14ac:dyDescent="0.35">
      <c r="E21284" s="35"/>
      <c r="J21284" s="41"/>
    </row>
    <row r="21285" spans="5:10" s="34" customFormat="1" x14ac:dyDescent="0.35">
      <c r="E21285" s="35"/>
      <c r="J21285" s="41"/>
    </row>
    <row r="21286" spans="5:10" s="34" customFormat="1" x14ac:dyDescent="0.35">
      <c r="E21286" s="35"/>
      <c r="J21286" s="41"/>
    </row>
    <row r="21287" spans="5:10" s="34" customFormat="1" x14ac:dyDescent="0.35">
      <c r="E21287" s="35"/>
      <c r="J21287" s="41"/>
    </row>
    <row r="21288" spans="5:10" s="34" customFormat="1" x14ac:dyDescent="0.35">
      <c r="E21288" s="35"/>
      <c r="J21288" s="41"/>
    </row>
    <row r="21289" spans="5:10" s="34" customFormat="1" x14ac:dyDescent="0.35">
      <c r="E21289" s="35"/>
      <c r="J21289" s="41"/>
    </row>
    <row r="21290" spans="5:10" s="34" customFormat="1" x14ac:dyDescent="0.35">
      <c r="E21290" s="35"/>
      <c r="J21290" s="41"/>
    </row>
    <row r="21291" spans="5:10" s="34" customFormat="1" x14ac:dyDescent="0.35">
      <c r="E21291" s="35"/>
      <c r="J21291" s="41"/>
    </row>
    <row r="21292" spans="5:10" s="34" customFormat="1" x14ac:dyDescent="0.35">
      <c r="E21292" s="35"/>
      <c r="J21292" s="41"/>
    </row>
    <row r="21293" spans="5:10" s="34" customFormat="1" x14ac:dyDescent="0.35">
      <c r="E21293" s="35"/>
      <c r="J21293" s="41"/>
    </row>
    <row r="21294" spans="5:10" s="34" customFormat="1" x14ac:dyDescent="0.35">
      <c r="E21294" s="35"/>
      <c r="J21294" s="41"/>
    </row>
    <row r="21295" spans="5:10" s="34" customFormat="1" x14ac:dyDescent="0.35">
      <c r="E21295" s="35"/>
      <c r="J21295" s="41"/>
    </row>
    <row r="21296" spans="5:10" s="34" customFormat="1" x14ac:dyDescent="0.35">
      <c r="E21296" s="35"/>
      <c r="J21296" s="41"/>
    </row>
    <row r="21297" spans="5:10" s="34" customFormat="1" x14ac:dyDescent="0.35">
      <c r="E21297" s="35"/>
      <c r="J21297" s="41"/>
    </row>
    <row r="21298" spans="5:10" s="34" customFormat="1" x14ac:dyDescent="0.35">
      <c r="E21298" s="35"/>
      <c r="J21298" s="41"/>
    </row>
    <row r="21299" spans="5:10" s="34" customFormat="1" x14ac:dyDescent="0.35">
      <c r="E21299" s="35"/>
      <c r="J21299" s="41"/>
    </row>
    <row r="21300" spans="5:10" s="34" customFormat="1" x14ac:dyDescent="0.35">
      <c r="E21300" s="35"/>
      <c r="J21300" s="41"/>
    </row>
    <row r="21301" spans="5:10" s="34" customFormat="1" x14ac:dyDescent="0.35">
      <c r="E21301" s="35"/>
      <c r="J21301" s="41"/>
    </row>
    <row r="21302" spans="5:10" s="34" customFormat="1" x14ac:dyDescent="0.35">
      <c r="E21302" s="35"/>
      <c r="J21302" s="41"/>
    </row>
    <row r="21303" spans="5:10" s="34" customFormat="1" x14ac:dyDescent="0.35">
      <c r="E21303" s="35"/>
      <c r="J21303" s="41"/>
    </row>
    <row r="21304" spans="5:10" s="34" customFormat="1" x14ac:dyDescent="0.35">
      <c r="E21304" s="35"/>
      <c r="J21304" s="41"/>
    </row>
    <row r="21305" spans="5:10" s="34" customFormat="1" x14ac:dyDescent="0.35">
      <c r="E21305" s="35"/>
      <c r="J21305" s="41"/>
    </row>
    <row r="21306" spans="5:10" s="34" customFormat="1" x14ac:dyDescent="0.35">
      <c r="E21306" s="35"/>
      <c r="J21306" s="41"/>
    </row>
    <row r="21307" spans="5:10" s="34" customFormat="1" x14ac:dyDescent="0.35">
      <c r="E21307" s="35"/>
      <c r="J21307" s="41"/>
    </row>
    <row r="21308" spans="5:10" s="34" customFormat="1" x14ac:dyDescent="0.35">
      <c r="E21308" s="35"/>
      <c r="J21308" s="41"/>
    </row>
    <row r="21309" spans="5:10" s="34" customFormat="1" x14ac:dyDescent="0.35">
      <c r="E21309" s="35"/>
      <c r="J21309" s="41"/>
    </row>
    <row r="21310" spans="5:10" s="34" customFormat="1" x14ac:dyDescent="0.35">
      <c r="E21310" s="35"/>
      <c r="J21310" s="41"/>
    </row>
    <row r="21311" spans="5:10" s="34" customFormat="1" x14ac:dyDescent="0.35">
      <c r="E21311" s="35"/>
      <c r="J21311" s="41"/>
    </row>
    <row r="21312" spans="5:10" s="34" customFormat="1" x14ac:dyDescent="0.35">
      <c r="E21312" s="35"/>
      <c r="J21312" s="41"/>
    </row>
    <row r="21313" spans="5:10" s="34" customFormat="1" x14ac:dyDescent="0.35">
      <c r="E21313" s="35"/>
      <c r="J21313" s="41"/>
    </row>
    <row r="21314" spans="5:10" s="34" customFormat="1" x14ac:dyDescent="0.35">
      <c r="E21314" s="35"/>
      <c r="J21314" s="41"/>
    </row>
    <row r="21315" spans="5:10" s="34" customFormat="1" x14ac:dyDescent="0.35">
      <c r="E21315" s="35"/>
      <c r="J21315" s="41"/>
    </row>
    <row r="21316" spans="5:10" s="34" customFormat="1" x14ac:dyDescent="0.35">
      <c r="E21316" s="35"/>
      <c r="J21316" s="41"/>
    </row>
    <row r="21317" spans="5:10" s="34" customFormat="1" x14ac:dyDescent="0.35">
      <c r="E21317" s="35"/>
      <c r="J21317" s="41"/>
    </row>
    <row r="21318" spans="5:10" s="34" customFormat="1" x14ac:dyDescent="0.35">
      <c r="E21318" s="35"/>
      <c r="J21318" s="41"/>
    </row>
    <row r="21319" spans="5:10" s="34" customFormat="1" x14ac:dyDescent="0.35">
      <c r="E21319" s="35"/>
      <c r="J21319" s="41"/>
    </row>
    <row r="21320" spans="5:10" s="34" customFormat="1" x14ac:dyDescent="0.35">
      <c r="E21320" s="35"/>
      <c r="J21320" s="41"/>
    </row>
    <row r="21321" spans="5:10" s="34" customFormat="1" x14ac:dyDescent="0.35">
      <c r="E21321" s="35"/>
      <c r="J21321" s="41"/>
    </row>
    <row r="21322" spans="5:10" s="34" customFormat="1" x14ac:dyDescent="0.35">
      <c r="E21322" s="35"/>
      <c r="J21322" s="41"/>
    </row>
    <row r="21323" spans="5:10" s="34" customFormat="1" x14ac:dyDescent="0.35">
      <c r="E21323" s="35"/>
      <c r="J21323" s="41"/>
    </row>
    <row r="21324" spans="5:10" s="34" customFormat="1" x14ac:dyDescent="0.35">
      <c r="E21324" s="35"/>
      <c r="J21324" s="41"/>
    </row>
    <row r="21325" spans="5:10" s="34" customFormat="1" x14ac:dyDescent="0.35">
      <c r="E21325" s="35"/>
      <c r="J21325" s="41"/>
    </row>
    <row r="21326" spans="5:10" s="34" customFormat="1" x14ac:dyDescent="0.35">
      <c r="E21326" s="35"/>
      <c r="J21326" s="41"/>
    </row>
    <row r="21327" spans="5:10" s="34" customFormat="1" x14ac:dyDescent="0.35">
      <c r="E21327" s="35"/>
      <c r="J21327" s="41"/>
    </row>
    <row r="21328" spans="5:10" s="34" customFormat="1" x14ac:dyDescent="0.35">
      <c r="E21328" s="35"/>
      <c r="J21328" s="41"/>
    </row>
    <row r="21329" spans="5:10" s="34" customFormat="1" x14ac:dyDescent="0.35">
      <c r="E21329" s="35"/>
      <c r="J21329" s="41"/>
    </row>
    <row r="21330" spans="5:10" s="34" customFormat="1" x14ac:dyDescent="0.35">
      <c r="E21330" s="35"/>
      <c r="J21330" s="41"/>
    </row>
    <row r="21331" spans="5:10" s="34" customFormat="1" x14ac:dyDescent="0.35">
      <c r="E21331" s="35"/>
      <c r="J21331" s="41"/>
    </row>
    <row r="21332" spans="5:10" s="34" customFormat="1" x14ac:dyDescent="0.35">
      <c r="E21332" s="35"/>
      <c r="J21332" s="41"/>
    </row>
    <row r="21333" spans="5:10" s="34" customFormat="1" x14ac:dyDescent="0.35">
      <c r="E21333" s="35"/>
      <c r="J21333" s="41"/>
    </row>
    <row r="21334" spans="5:10" s="34" customFormat="1" x14ac:dyDescent="0.35">
      <c r="E21334" s="35"/>
      <c r="J21334" s="41"/>
    </row>
    <row r="21335" spans="5:10" s="34" customFormat="1" x14ac:dyDescent="0.35">
      <c r="E21335" s="35"/>
      <c r="J21335" s="41"/>
    </row>
    <row r="21336" spans="5:10" s="34" customFormat="1" x14ac:dyDescent="0.35">
      <c r="E21336" s="35"/>
      <c r="J21336" s="41"/>
    </row>
    <row r="21337" spans="5:10" s="34" customFormat="1" x14ac:dyDescent="0.35">
      <c r="E21337" s="35"/>
      <c r="J21337" s="41"/>
    </row>
    <row r="21338" spans="5:10" s="34" customFormat="1" x14ac:dyDescent="0.35">
      <c r="E21338" s="35"/>
      <c r="J21338" s="41"/>
    </row>
    <row r="21339" spans="5:10" s="34" customFormat="1" x14ac:dyDescent="0.35">
      <c r="E21339" s="35"/>
      <c r="J21339" s="41"/>
    </row>
    <row r="21340" spans="5:10" s="34" customFormat="1" x14ac:dyDescent="0.35">
      <c r="E21340" s="35"/>
      <c r="J21340" s="41"/>
    </row>
    <row r="21341" spans="5:10" s="34" customFormat="1" x14ac:dyDescent="0.35">
      <c r="E21341" s="35"/>
      <c r="J21341" s="41"/>
    </row>
    <row r="21342" spans="5:10" s="34" customFormat="1" x14ac:dyDescent="0.35">
      <c r="E21342" s="35"/>
      <c r="J21342" s="41"/>
    </row>
    <row r="21343" spans="5:10" s="34" customFormat="1" x14ac:dyDescent="0.35">
      <c r="E21343" s="35"/>
      <c r="J21343" s="41"/>
    </row>
    <row r="21344" spans="5:10" s="34" customFormat="1" x14ac:dyDescent="0.35">
      <c r="E21344" s="35"/>
      <c r="J21344" s="41"/>
    </row>
    <row r="21345" spans="5:10" s="34" customFormat="1" x14ac:dyDescent="0.35">
      <c r="E21345" s="35"/>
      <c r="J21345" s="41"/>
    </row>
    <row r="21346" spans="5:10" s="34" customFormat="1" x14ac:dyDescent="0.35">
      <c r="E21346" s="35"/>
      <c r="J21346" s="41"/>
    </row>
    <row r="21347" spans="5:10" s="34" customFormat="1" x14ac:dyDescent="0.35">
      <c r="E21347" s="35"/>
      <c r="J21347" s="41"/>
    </row>
    <row r="21348" spans="5:10" s="34" customFormat="1" x14ac:dyDescent="0.35">
      <c r="E21348" s="35"/>
      <c r="J21348" s="41"/>
    </row>
    <row r="21349" spans="5:10" s="34" customFormat="1" x14ac:dyDescent="0.35">
      <c r="E21349" s="35"/>
      <c r="J21349" s="41"/>
    </row>
    <row r="21350" spans="5:10" s="34" customFormat="1" x14ac:dyDescent="0.35">
      <c r="E21350" s="35"/>
      <c r="J21350" s="41"/>
    </row>
    <row r="21351" spans="5:10" s="34" customFormat="1" x14ac:dyDescent="0.35">
      <c r="E21351" s="35"/>
      <c r="J21351" s="41"/>
    </row>
    <row r="21352" spans="5:10" s="34" customFormat="1" x14ac:dyDescent="0.35">
      <c r="E21352" s="35"/>
      <c r="J21352" s="41"/>
    </row>
    <row r="21353" spans="5:10" s="34" customFormat="1" x14ac:dyDescent="0.35">
      <c r="E21353" s="35"/>
      <c r="J21353" s="41"/>
    </row>
    <row r="21354" spans="5:10" s="34" customFormat="1" x14ac:dyDescent="0.35">
      <c r="E21354" s="35"/>
      <c r="J21354" s="41"/>
    </row>
    <row r="21355" spans="5:10" s="34" customFormat="1" x14ac:dyDescent="0.35">
      <c r="E21355" s="35"/>
      <c r="J21355" s="41"/>
    </row>
    <row r="21356" spans="5:10" s="34" customFormat="1" x14ac:dyDescent="0.35">
      <c r="E21356" s="35"/>
      <c r="J21356" s="41"/>
    </row>
    <row r="21357" spans="5:10" s="34" customFormat="1" x14ac:dyDescent="0.35">
      <c r="E21357" s="35"/>
      <c r="J21357" s="41"/>
    </row>
    <row r="21358" spans="5:10" s="34" customFormat="1" x14ac:dyDescent="0.35">
      <c r="E21358" s="35"/>
      <c r="J21358" s="41"/>
    </row>
    <row r="21359" spans="5:10" s="34" customFormat="1" x14ac:dyDescent="0.35">
      <c r="E21359" s="35"/>
      <c r="J21359" s="41"/>
    </row>
    <row r="21360" spans="5:10" s="34" customFormat="1" x14ac:dyDescent="0.35">
      <c r="E21360" s="35"/>
      <c r="J21360" s="41"/>
    </row>
    <row r="21361" spans="5:10" s="34" customFormat="1" x14ac:dyDescent="0.35">
      <c r="E21361" s="35"/>
      <c r="J21361" s="41"/>
    </row>
    <row r="21362" spans="5:10" s="34" customFormat="1" x14ac:dyDescent="0.35">
      <c r="E21362" s="35"/>
      <c r="J21362" s="41"/>
    </row>
    <row r="21363" spans="5:10" s="34" customFormat="1" x14ac:dyDescent="0.35">
      <c r="E21363" s="35"/>
      <c r="J21363" s="41"/>
    </row>
    <row r="21364" spans="5:10" s="34" customFormat="1" x14ac:dyDescent="0.35">
      <c r="E21364" s="35"/>
      <c r="J21364" s="41"/>
    </row>
    <row r="21365" spans="5:10" s="34" customFormat="1" x14ac:dyDescent="0.35">
      <c r="E21365" s="35"/>
      <c r="J21365" s="41"/>
    </row>
    <row r="21366" spans="5:10" s="34" customFormat="1" x14ac:dyDescent="0.35">
      <c r="E21366" s="35"/>
      <c r="J21366" s="41"/>
    </row>
    <row r="21367" spans="5:10" s="34" customFormat="1" x14ac:dyDescent="0.35">
      <c r="E21367" s="35"/>
      <c r="J21367" s="41"/>
    </row>
    <row r="21368" spans="5:10" s="34" customFormat="1" x14ac:dyDescent="0.35">
      <c r="E21368" s="35"/>
      <c r="J21368" s="41"/>
    </row>
    <row r="21369" spans="5:10" s="34" customFormat="1" x14ac:dyDescent="0.35">
      <c r="E21369" s="35"/>
      <c r="J21369" s="41"/>
    </row>
    <row r="21370" spans="5:10" s="34" customFormat="1" x14ac:dyDescent="0.35">
      <c r="E21370" s="35"/>
      <c r="J21370" s="41"/>
    </row>
    <row r="21371" spans="5:10" s="34" customFormat="1" x14ac:dyDescent="0.35">
      <c r="E21371" s="35"/>
      <c r="J21371" s="41"/>
    </row>
    <row r="21372" spans="5:10" s="34" customFormat="1" x14ac:dyDescent="0.35">
      <c r="E21372" s="35"/>
      <c r="J21372" s="41"/>
    </row>
    <row r="21373" spans="5:10" s="34" customFormat="1" x14ac:dyDescent="0.35">
      <c r="E21373" s="35"/>
      <c r="J21373" s="41"/>
    </row>
    <row r="21374" spans="5:10" s="34" customFormat="1" x14ac:dyDescent="0.35">
      <c r="E21374" s="35"/>
      <c r="J21374" s="41"/>
    </row>
    <row r="21375" spans="5:10" s="34" customFormat="1" x14ac:dyDescent="0.35">
      <c r="E21375" s="35"/>
      <c r="J21375" s="41"/>
    </row>
    <row r="21376" spans="5:10" s="34" customFormat="1" x14ac:dyDescent="0.35">
      <c r="E21376" s="35"/>
      <c r="J21376" s="41"/>
    </row>
    <row r="21377" spans="5:10" s="34" customFormat="1" x14ac:dyDescent="0.35">
      <c r="E21377" s="35"/>
      <c r="J21377" s="41"/>
    </row>
    <row r="21378" spans="5:10" s="34" customFormat="1" x14ac:dyDescent="0.35">
      <c r="E21378" s="35"/>
      <c r="J21378" s="41"/>
    </row>
    <row r="21379" spans="5:10" s="34" customFormat="1" x14ac:dyDescent="0.35">
      <c r="E21379" s="35"/>
      <c r="J21379" s="41"/>
    </row>
    <row r="21380" spans="5:10" s="34" customFormat="1" x14ac:dyDescent="0.35">
      <c r="E21380" s="35"/>
      <c r="J21380" s="41"/>
    </row>
    <row r="21381" spans="5:10" s="34" customFormat="1" x14ac:dyDescent="0.35">
      <c r="E21381" s="35"/>
      <c r="J21381" s="41"/>
    </row>
    <row r="21382" spans="5:10" s="34" customFormat="1" x14ac:dyDescent="0.35">
      <c r="E21382" s="35"/>
      <c r="J21382" s="41"/>
    </row>
    <row r="21383" spans="5:10" s="34" customFormat="1" x14ac:dyDescent="0.35">
      <c r="E21383" s="35"/>
      <c r="J21383" s="41"/>
    </row>
    <row r="21384" spans="5:10" s="34" customFormat="1" x14ac:dyDescent="0.35">
      <c r="E21384" s="35"/>
      <c r="J21384" s="41"/>
    </row>
    <row r="21385" spans="5:10" s="34" customFormat="1" x14ac:dyDescent="0.35">
      <c r="E21385" s="35"/>
      <c r="J21385" s="41"/>
    </row>
    <row r="21386" spans="5:10" s="34" customFormat="1" x14ac:dyDescent="0.35">
      <c r="E21386" s="35"/>
      <c r="J21386" s="41"/>
    </row>
    <row r="21387" spans="5:10" s="34" customFormat="1" x14ac:dyDescent="0.35">
      <c r="E21387" s="35"/>
      <c r="J21387" s="41"/>
    </row>
    <row r="21388" spans="5:10" s="34" customFormat="1" x14ac:dyDescent="0.35">
      <c r="E21388" s="35"/>
      <c r="J21388" s="41"/>
    </row>
    <row r="21389" spans="5:10" s="34" customFormat="1" x14ac:dyDescent="0.35">
      <c r="E21389" s="35"/>
      <c r="J21389" s="41"/>
    </row>
    <row r="21390" spans="5:10" s="34" customFormat="1" x14ac:dyDescent="0.35">
      <c r="E21390" s="35"/>
      <c r="J21390" s="41"/>
    </row>
    <row r="21391" spans="5:10" s="34" customFormat="1" x14ac:dyDescent="0.35">
      <c r="E21391" s="35"/>
      <c r="J21391" s="41"/>
    </row>
    <row r="21392" spans="5:10" s="34" customFormat="1" x14ac:dyDescent="0.35">
      <c r="E21392" s="35"/>
      <c r="J21392" s="41"/>
    </row>
    <row r="21393" spans="5:10" s="34" customFormat="1" x14ac:dyDescent="0.35">
      <c r="E21393" s="35"/>
      <c r="J21393" s="41"/>
    </row>
    <row r="21394" spans="5:10" s="34" customFormat="1" x14ac:dyDescent="0.35">
      <c r="E21394" s="35"/>
      <c r="J21394" s="41"/>
    </row>
    <row r="21395" spans="5:10" s="34" customFormat="1" x14ac:dyDescent="0.35">
      <c r="E21395" s="35"/>
      <c r="J21395" s="41"/>
    </row>
    <row r="21396" spans="5:10" s="34" customFormat="1" x14ac:dyDescent="0.35">
      <c r="E21396" s="35"/>
      <c r="J21396" s="41"/>
    </row>
    <row r="21397" spans="5:10" s="34" customFormat="1" x14ac:dyDescent="0.35">
      <c r="E21397" s="35"/>
      <c r="J21397" s="41"/>
    </row>
    <row r="21398" spans="5:10" s="34" customFormat="1" x14ac:dyDescent="0.35">
      <c r="E21398" s="35"/>
      <c r="J21398" s="41"/>
    </row>
    <row r="21399" spans="5:10" s="34" customFormat="1" x14ac:dyDescent="0.35">
      <c r="E21399" s="35"/>
      <c r="J21399" s="41"/>
    </row>
    <row r="21400" spans="5:10" s="34" customFormat="1" x14ac:dyDescent="0.35">
      <c r="E21400" s="35"/>
      <c r="J21400" s="41"/>
    </row>
    <row r="21401" spans="5:10" s="34" customFormat="1" x14ac:dyDescent="0.35">
      <c r="E21401" s="35"/>
      <c r="J21401" s="41"/>
    </row>
    <row r="21402" spans="5:10" s="34" customFormat="1" x14ac:dyDescent="0.35">
      <c r="E21402" s="35"/>
      <c r="J21402" s="41"/>
    </row>
    <row r="21403" spans="5:10" s="34" customFormat="1" x14ac:dyDescent="0.35">
      <c r="E21403" s="35"/>
      <c r="J21403" s="41"/>
    </row>
    <row r="21404" spans="5:10" s="34" customFormat="1" x14ac:dyDescent="0.35">
      <c r="E21404" s="35"/>
      <c r="J21404" s="41"/>
    </row>
    <row r="21405" spans="5:10" s="34" customFormat="1" x14ac:dyDescent="0.35">
      <c r="E21405" s="35"/>
      <c r="J21405" s="41"/>
    </row>
    <row r="21406" spans="5:10" s="34" customFormat="1" x14ac:dyDescent="0.35">
      <c r="E21406" s="35"/>
      <c r="J21406" s="41"/>
    </row>
    <row r="21407" spans="5:10" s="34" customFormat="1" x14ac:dyDescent="0.35">
      <c r="E21407" s="35"/>
      <c r="J21407" s="41"/>
    </row>
    <row r="21408" spans="5:10" s="34" customFormat="1" x14ac:dyDescent="0.35">
      <c r="E21408" s="35"/>
      <c r="J21408" s="41"/>
    </row>
    <row r="21409" spans="5:10" s="34" customFormat="1" x14ac:dyDescent="0.35">
      <c r="E21409" s="35"/>
      <c r="J21409" s="41"/>
    </row>
    <row r="21410" spans="5:10" s="34" customFormat="1" x14ac:dyDescent="0.35">
      <c r="E21410" s="35"/>
      <c r="J21410" s="41"/>
    </row>
    <row r="21411" spans="5:10" s="34" customFormat="1" x14ac:dyDescent="0.35">
      <c r="E21411" s="35"/>
      <c r="J21411" s="41"/>
    </row>
    <row r="21412" spans="5:10" s="34" customFormat="1" x14ac:dyDescent="0.35">
      <c r="E21412" s="35"/>
      <c r="J21412" s="41"/>
    </row>
    <row r="21413" spans="5:10" s="34" customFormat="1" x14ac:dyDescent="0.35">
      <c r="E21413" s="35"/>
      <c r="J21413" s="41"/>
    </row>
    <row r="21414" spans="5:10" s="34" customFormat="1" x14ac:dyDescent="0.35">
      <c r="E21414" s="35"/>
      <c r="J21414" s="41"/>
    </row>
    <row r="21415" spans="5:10" s="34" customFormat="1" x14ac:dyDescent="0.35">
      <c r="E21415" s="35"/>
      <c r="J21415" s="41"/>
    </row>
    <row r="21416" spans="5:10" s="34" customFormat="1" x14ac:dyDescent="0.35">
      <c r="E21416" s="35"/>
      <c r="J21416" s="41"/>
    </row>
    <row r="21417" spans="5:10" s="34" customFormat="1" x14ac:dyDescent="0.35">
      <c r="E21417" s="35"/>
      <c r="J21417" s="41"/>
    </row>
    <row r="21418" spans="5:10" s="34" customFormat="1" x14ac:dyDescent="0.35">
      <c r="E21418" s="35"/>
      <c r="J21418" s="41"/>
    </row>
    <row r="21419" spans="5:10" s="34" customFormat="1" x14ac:dyDescent="0.35">
      <c r="E21419" s="35"/>
      <c r="J21419" s="41"/>
    </row>
    <row r="21420" spans="5:10" s="34" customFormat="1" x14ac:dyDescent="0.35">
      <c r="E21420" s="35"/>
      <c r="J21420" s="41"/>
    </row>
    <row r="21421" spans="5:10" s="34" customFormat="1" x14ac:dyDescent="0.35">
      <c r="E21421" s="35"/>
      <c r="J21421" s="41"/>
    </row>
    <row r="21422" spans="5:10" s="34" customFormat="1" x14ac:dyDescent="0.35">
      <c r="E21422" s="35"/>
      <c r="J21422" s="41"/>
    </row>
    <row r="21423" spans="5:10" s="34" customFormat="1" x14ac:dyDescent="0.35">
      <c r="E21423" s="35"/>
      <c r="J21423" s="41"/>
    </row>
    <row r="21424" spans="5:10" s="34" customFormat="1" x14ac:dyDescent="0.35">
      <c r="E21424" s="35"/>
      <c r="J21424" s="41"/>
    </row>
    <row r="21425" spans="5:10" s="34" customFormat="1" x14ac:dyDescent="0.35">
      <c r="E21425" s="35"/>
      <c r="J21425" s="41"/>
    </row>
    <row r="21426" spans="5:10" s="34" customFormat="1" x14ac:dyDescent="0.35">
      <c r="E21426" s="35"/>
      <c r="J21426" s="41"/>
    </row>
    <row r="21427" spans="5:10" s="34" customFormat="1" x14ac:dyDescent="0.35">
      <c r="E21427" s="35"/>
      <c r="J21427" s="41"/>
    </row>
    <row r="21428" spans="5:10" s="34" customFormat="1" x14ac:dyDescent="0.35">
      <c r="E21428" s="35"/>
      <c r="J21428" s="41"/>
    </row>
    <row r="21429" spans="5:10" s="34" customFormat="1" x14ac:dyDescent="0.35">
      <c r="E21429" s="35"/>
      <c r="J21429" s="41"/>
    </row>
    <row r="21430" spans="5:10" s="34" customFormat="1" x14ac:dyDescent="0.35">
      <c r="E21430" s="35"/>
      <c r="J21430" s="41"/>
    </row>
    <row r="21431" spans="5:10" s="34" customFormat="1" x14ac:dyDescent="0.35">
      <c r="E21431" s="35"/>
      <c r="J21431" s="41"/>
    </row>
    <row r="21432" spans="5:10" s="34" customFormat="1" x14ac:dyDescent="0.35">
      <c r="E21432" s="35"/>
      <c r="J21432" s="41"/>
    </row>
    <row r="21433" spans="5:10" s="34" customFormat="1" x14ac:dyDescent="0.35">
      <c r="E21433" s="35"/>
      <c r="J21433" s="41"/>
    </row>
    <row r="21434" spans="5:10" s="34" customFormat="1" x14ac:dyDescent="0.35">
      <c r="E21434" s="35"/>
      <c r="J21434" s="41"/>
    </row>
    <row r="21435" spans="5:10" s="34" customFormat="1" x14ac:dyDescent="0.35">
      <c r="E21435" s="35"/>
      <c r="J21435" s="41"/>
    </row>
    <row r="21436" spans="5:10" s="34" customFormat="1" x14ac:dyDescent="0.35">
      <c r="E21436" s="35"/>
      <c r="J21436" s="41"/>
    </row>
    <row r="21437" spans="5:10" s="34" customFormat="1" x14ac:dyDescent="0.35">
      <c r="E21437" s="35"/>
      <c r="J21437" s="41"/>
    </row>
    <row r="21438" spans="5:10" s="34" customFormat="1" x14ac:dyDescent="0.35">
      <c r="E21438" s="35"/>
      <c r="J21438" s="41"/>
    </row>
    <row r="21439" spans="5:10" s="34" customFormat="1" x14ac:dyDescent="0.35">
      <c r="E21439" s="35"/>
      <c r="J21439" s="41"/>
    </row>
    <row r="21440" spans="5:10" s="34" customFormat="1" x14ac:dyDescent="0.35">
      <c r="E21440" s="35"/>
      <c r="J21440" s="41"/>
    </row>
    <row r="21441" spans="5:10" s="34" customFormat="1" x14ac:dyDescent="0.35">
      <c r="E21441" s="35"/>
      <c r="J21441" s="41"/>
    </row>
    <row r="21442" spans="5:10" s="34" customFormat="1" x14ac:dyDescent="0.35">
      <c r="E21442" s="35"/>
      <c r="J21442" s="41"/>
    </row>
    <row r="21443" spans="5:10" s="34" customFormat="1" x14ac:dyDescent="0.35">
      <c r="E21443" s="35"/>
      <c r="J21443" s="41"/>
    </row>
    <row r="21444" spans="5:10" s="34" customFormat="1" x14ac:dyDescent="0.35">
      <c r="E21444" s="35"/>
      <c r="J21444" s="41"/>
    </row>
    <row r="21445" spans="5:10" s="34" customFormat="1" x14ac:dyDescent="0.35">
      <c r="E21445" s="35"/>
      <c r="J21445" s="41"/>
    </row>
    <row r="21446" spans="5:10" s="34" customFormat="1" x14ac:dyDescent="0.35">
      <c r="E21446" s="35"/>
      <c r="J21446" s="41"/>
    </row>
    <row r="21447" spans="5:10" s="34" customFormat="1" x14ac:dyDescent="0.35">
      <c r="E21447" s="35"/>
      <c r="J21447" s="41"/>
    </row>
    <row r="21448" spans="5:10" s="34" customFormat="1" x14ac:dyDescent="0.35">
      <c r="E21448" s="35"/>
      <c r="J21448" s="41"/>
    </row>
    <row r="21449" spans="5:10" s="34" customFormat="1" x14ac:dyDescent="0.35">
      <c r="E21449" s="35"/>
      <c r="J21449" s="41"/>
    </row>
    <row r="21450" spans="5:10" s="34" customFormat="1" x14ac:dyDescent="0.35">
      <c r="E21450" s="35"/>
      <c r="J21450" s="41"/>
    </row>
    <row r="21451" spans="5:10" s="34" customFormat="1" x14ac:dyDescent="0.35">
      <c r="E21451" s="35"/>
      <c r="J21451" s="41"/>
    </row>
    <row r="21452" spans="5:10" s="34" customFormat="1" x14ac:dyDescent="0.35">
      <c r="E21452" s="35"/>
      <c r="J21452" s="41"/>
    </row>
    <row r="21453" spans="5:10" s="34" customFormat="1" x14ac:dyDescent="0.35">
      <c r="E21453" s="35"/>
      <c r="J21453" s="41"/>
    </row>
    <row r="21454" spans="5:10" s="34" customFormat="1" x14ac:dyDescent="0.35">
      <c r="E21454" s="35"/>
      <c r="J21454" s="41"/>
    </row>
    <row r="21455" spans="5:10" s="34" customFormat="1" x14ac:dyDescent="0.35">
      <c r="E21455" s="35"/>
      <c r="J21455" s="41"/>
    </row>
    <row r="21456" spans="5:10" s="34" customFormat="1" x14ac:dyDescent="0.35">
      <c r="E21456" s="35"/>
      <c r="J21456" s="41"/>
    </row>
    <row r="21457" spans="5:10" s="34" customFormat="1" x14ac:dyDescent="0.35">
      <c r="E21457" s="35"/>
      <c r="J21457" s="41"/>
    </row>
    <row r="21458" spans="5:10" s="34" customFormat="1" x14ac:dyDescent="0.35">
      <c r="E21458" s="35"/>
      <c r="J21458" s="41"/>
    </row>
    <row r="21459" spans="5:10" s="34" customFormat="1" x14ac:dyDescent="0.35">
      <c r="E21459" s="35"/>
      <c r="J21459" s="41"/>
    </row>
    <row r="21460" spans="5:10" s="34" customFormat="1" x14ac:dyDescent="0.35">
      <c r="E21460" s="35"/>
      <c r="J21460" s="41"/>
    </row>
    <row r="21461" spans="5:10" s="34" customFormat="1" x14ac:dyDescent="0.35">
      <c r="E21461" s="35"/>
      <c r="J21461" s="41"/>
    </row>
    <row r="21462" spans="5:10" s="34" customFormat="1" x14ac:dyDescent="0.35">
      <c r="E21462" s="35"/>
      <c r="J21462" s="41"/>
    </row>
    <row r="21463" spans="5:10" s="34" customFormat="1" x14ac:dyDescent="0.35">
      <c r="E21463" s="35"/>
      <c r="J21463" s="41"/>
    </row>
    <row r="21464" spans="5:10" s="34" customFormat="1" x14ac:dyDescent="0.35">
      <c r="E21464" s="35"/>
      <c r="J21464" s="41"/>
    </row>
    <row r="21465" spans="5:10" s="34" customFormat="1" x14ac:dyDescent="0.35">
      <c r="E21465" s="35"/>
      <c r="J21465" s="41"/>
    </row>
    <row r="21466" spans="5:10" s="34" customFormat="1" x14ac:dyDescent="0.35">
      <c r="E21466" s="35"/>
      <c r="J21466" s="41"/>
    </row>
    <row r="21467" spans="5:10" s="34" customFormat="1" x14ac:dyDescent="0.35">
      <c r="E21467" s="35"/>
      <c r="J21467" s="41"/>
    </row>
    <row r="21468" spans="5:10" s="34" customFormat="1" x14ac:dyDescent="0.35">
      <c r="E21468" s="35"/>
      <c r="J21468" s="41"/>
    </row>
    <row r="21469" spans="5:10" s="34" customFormat="1" x14ac:dyDescent="0.35">
      <c r="E21469" s="35"/>
      <c r="J21469" s="41"/>
    </row>
    <row r="21470" spans="5:10" s="34" customFormat="1" x14ac:dyDescent="0.35">
      <c r="E21470" s="35"/>
      <c r="J21470" s="41"/>
    </row>
    <row r="21471" spans="5:10" s="34" customFormat="1" x14ac:dyDescent="0.35">
      <c r="E21471" s="35"/>
      <c r="J21471" s="41"/>
    </row>
    <row r="21472" spans="5:10" s="34" customFormat="1" x14ac:dyDescent="0.35">
      <c r="E21472" s="35"/>
      <c r="J21472" s="41"/>
    </row>
    <row r="21473" spans="5:10" s="34" customFormat="1" x14ac:dyDescent="0.35">
      <c r="E21473" s="35"/>
      <c r="J21473" s="41"/>
    </row>
    <row r="21474" spans="5:10" s="34" customFormat="1" x14ac:dyDescent="0.35">
      <c r="E21474" s="35"/>
      <c r="J21474" s="41"/>
    </row>
    <row r="21475" spans="5:10" s="34" customFormat="1" x14ac:dyDescent="0.35">
      <c r="E21475" s="35"/>
      <c r="J21475" s="41"/>
    </row>
    <row r="21476" spans="5:10" s="34" customFormat="1" x14ac:dyDescent="0.35">
      <c r="E21476" s="35"/>
      <c r="J21476" s="41"/>
    </row>
    <row r="21477" spans="5:10" s="34" customFormat="1" x14ac:dyDescent="0.35">
      <c r="E21477" s="35"/>
      <c r="J21477" s="41"/>
    </row>
    <row r="21478" spans="5:10" s="34" customFormat="1" x14ac:dyDescent="0.35">
      <c r="E21478" s="35"/>
      <c r="J21478" s="41"/>
    </row>
    <row r="21479" spans="5:10" s="34" customFormat="1" x14ac:dyDescent="0.35">
      <c r="E21479" s="35"/>
      <c r="J21479" s="41"/>
    </row>
    <row r="21480" spans="5:10" s="34" customFormat="1" x14ac:dyDescent="0.35">
      <c r="E21480" s="35"/>
      <c r="J21480" s="41"/>
    </row>
    <row r="21481" spans="5:10" s="34" customFormat="1" x14ac:dyDescent="0.35">
      <c r="E21481" s="35"/>
      <c r="J21481" s="41"/>
    </row>
    <row r="21482" spans="5:10" s="34" customFormat="1" x14ac:dyDescent="0.35">
      <c r="E21482" s="35"/>
      <c r="J21482" s="41"/>
    </row>
    <row r="21483" spans="5:10" s="34" customFormat="1" x14ac:dyDescent="0.35">
      <c r="E21483" s="35"/>
      <c r="J21483" s="41"/>
    </row>
    <row r="21484" spans="5:10" s="34" customFormat="1" x14ac:dyDescent="0.35">
      <c r="E21484" s="35"/>
      <c r="J21484" s="41"/>
    </row>
    <row r="21485" spans="5:10" s="34" customFormat="1" x14ac:dyDescent="0.35">
      <c r="E21485" s="35"/>
      <c r="J21485" s="41"/>
    </row>
    <row r="21486" spans="5:10" s="34" customFormat="1" x14ac:dyDescent="0.35">
      <c r="E21486" s="35"/>
      <c r="J21486" s="41"/>
    </row>
    <row r="21487" spans="5:10" s="34" customFormat="1" x14ac:dyDescent="0.35">
      <c r="E21487" s="35"/>
      <c r="J21487" s="41"/>
    </row>
    <row r="21488" spans="5:10" s="34" customFormat="1" x14ac:dyDescent="0.35">
      <c r="E21488" s="35"/>
      <c r="J21488" s="41"/>
    </row>
    <row r="21489" spans="5:10" s="34" customFormat="1" x14ac:dyDescent="0.35">
      <c r="E21489" s="35"/>
      <c r="J21489" s="41"/>
    </row>
    <row r="21490" spans="5:10" s="34" customFormat="1" x14ac:dyDescent="0.35">
      <c r="E21490" s="35"/>
      <c r="J21490" s="41"/>
    </row>
    <row r="21491" spans="5:10" s="34" customFormat="1" x14ac:dyDescent="0.35">
      <c r="E21491" s="35"/>
      <c r="J21491" s="41"/>
    </row>
    <row r="21492" spans="5:10" s="34" customFormat="1" x14ac:dyDescent="0.35">
      <c r="E21492" s="35"/>
      <c r="J21492" s="41"/>
    </row>
    <row r="21493" spans="5:10" s="34" customFormat="1" x14ac:dyDescent="0.35">
      <c r="E21493" s="35"/>
      <c r="J21493" s="41"/>
    </row>
    <row r="21494" spans="5:10" s="34" customFormat="1" x14ac:dyDescent="0.35">
      <c r="E21494" s="35"/>
      <c r="J21494" s="41"/>
    </row>
    <row r="21495" spans="5:10" s="34" customFormat="1" x14ac:dyDescent="0.35">
      <c r="E21495" s="35"/>
      <c r="J21495" s="41"/>
    </row>
    <row r="21496" spans="5:10" s="34" customFormat="1" x14ac:dyDescent="0.35">
      <c r="E21496" s="35"/>
      <c r="J21496" s="41"/>
    </row>
    <row r="21497" spans="5:10" s="34" customFormat="1" x14ac:dyDescent="0.35">
      <c r="E21497" s="35"/>
      <c r="J21497" s="41"/>
    </row>
    <row r="21498" spans="5:10" s="34" customFormat="1" x14ac:dyDescent="0.35">
      <c r="E21498" s="35"/>
      <c r="J21498" s="41"/>
    </row>
    <row r="21499" spans="5:10" s="34" customFormat="1" x14ac:dyDescent="0.35">
      <c r="E21499" s="35"/>
      <c r="J21499" s="41"/>
    </row>
    <row r="21500" spans="5:10" s="34" customFormat="1" x14ac:dyDescent="0.35">
      <c r="E21500" s="35"/>
      <c r="J21500" s="41"/>
    </row>
    <row r="21501" spans="5:10" s="34" customFormat="1" x14ac:dyDescent="0.35">
      <c r="E21501" s="35"/>
      <c r="J21501" s="41"/>
    </row>
    <row r="21502" spans="5:10" s="34" customFormat="1" x14ac:dyDescent="0.35">
      <c r="E21502" s="35"/>
      <c r="J21502" s="41"/>
    </row>
    <row r="21503" spans="5:10" s="34" customFormat="1" x14ac:dyDescent="0.35">
      <c r="E21503" s="35"/>
      <c r="J21503" s="41"/>
    </row>
    <row r="21504" spans="5:10" s="34" customFormat="1" x14ac:dyDescent="0.35">
      <c r="E21504" s="35"/>
      <c r="J21504" s="41"/>
    </row>
    <row r="21505" spans="5:10" s="34" customFormat="1" x14ac:dyDescent="0.35">
      <c r="E21505" s="35"/>
      <c r="J21505" s="41"/>
    </row>
    <row r="21506" spans="5:10" s="34" customFormat="1" x14ac:dyDescent="0.35">
      <c r="E21506" s="35"/>
      <c r="J21506" s="41"/>
    </row>
    <row r="21507" spans="5:10" s="34" customFormat="1" x14ac:dyDescent="0.35">
      <c r="E21507" s="35"/>
      <c r="J21507" s="41"/>
    </row>
    <row r="21508" spans="5:10" s="34" customFormat="1" x14ac:dyDescent="0.35">
      <c r="E21508" s="35"/>
      <c r="J21508" s="41"/>
    </row>
    <row r="21509" spans="5:10" s="34" customFormat="1" x14ac:dyDescent="0.35">
      <c r="E21509" s="35"/>
      <c r="J21509" s="41"/>
    </row>
    <row r="21510" spans="5:10" s="34" customFormat="1" x14ac:dyDescent="0.35">
      <c r="E21510" s="35"/>
      <c r="J21510" s="41"/>
    </row>
    <row r="21511" spans="5:10" s="34" customFormat="1" x14ac:dyDescent="0.35">
      <c r="E21511" s="35"/>
      <c r="J21511" s="41"/>
    </row>
    <row r="21512" spans="5:10" s="34" customFormat="1" x14ac:dyDescent="0.35">
      <c r="E21512" s="35"/>
      <c r="J21512" s="41"/>
    </row>
    <row r="21513" spans="5:10" s="34" customFormat="1" x14ac:dyDescent="0.35">
      <c r="E21513" s="35"/>
      <c r="J21513" s="41"/>
    </row>
    <row r="21514" spans="5:10" s="34" customFormat="1" x14ac:dyDescent="0.35">
      <c r="E21514" s="35"/>
      <c r="J21514" s="41"/>
    </row>
    <row r="21515" spans="5:10" s="34" customFormat="1" x14ac:dyDescent="0.35">
      <c r="E21515" s="35"/>
      <c r="J21515" s="41"/>
    </row>
    <row r="21516" spans="5:10" s="34" customFormat="1" x14ac:dyDescent="0.35">
      <c r="E21516" s="35"/>
      <c r="J21516" s="41"/>
    </row>
    <row r="21517" spans="5:10" s="34" customFormat="1" x14ac:dyDescent="0.35">
      <c r="E21517" s="35"/>
      <c r="J21517" s="41"/>
    </row>
    <row r="21518" spans="5:10" s="34" customFormat="1" x14ac:dyDescent="0.35">
      <c r="E21518" s="35"/>
      <c r="J21518" s="41"/>
    </row>
    <row r="21519" spans="5:10" s="34" customFormat="1" x14ac:dyDescent="0.35">
      <c r="E21519" s="35"/>
      <c r="J21519" s="41"/>
    </row>
    <row r="21520" spans="5:10" s="34" customFormat="1" x14ac:dyDescent="0.35">
      <c r="E21520" s="35"/>
      <c r="J21520" s="41"/>
    </row>
    <row r="21521" spans="5:10" s="34" customFormat="1" x14ac:dyDescent="0.35">
      <c r="E21521" s="35"/>
      <c r="J21521" s="41"/>
    </row>
    <row r="21522" spans="5:10" s="34" customFormat="1" x14ac:dyDescent="0.35">
      <c r="E21522" s="35"/>
      <c r="J21522" s="41"/>
    </row>
    <row r="21523" spans="5:10" s="34" customFormat="1" x14ac:dyDescent="0.35">
      <c r="E21523" s="35"/>
      <c r="J21523" s="41"/>
    </row>
    <row r="21524" spans="5:10" s="34" customFormat="1" x14ac:dyDescent="0.35">
      <c r="E21524" s="35"/>
      <c r="J21524" s="41"/>
    </row>
    <row r="21525" spans="5:10" s="34" customFormat="1" x14ac:dyDescent="0.35">
      <c r="E21525" s="35"/>
      <c r="J21525" s="41"/>
    </row>
    <row r="21526" spans="5:10" s="34" customFormat="1" x14ac:dyDescent="0.35">
      <c r="E21526" s="35"/>
      <c r="J21526" s="41"/>
    </row>
    <row r="21527" spans="5:10" s="34" customFormat="1" x14ac:dyDescent="0.35">
      <c r="E21527" s="35"/>
      <c r="J21527" s="41"/>
    </row>
    <row r="21528" spans="5:10" s="34" customFormat="1" x14ac:dyDescent="0.35">
      <c r="E21528" s="35"/>
      <c r="J21528" s="41"/>
    </row>
    <row r="21529" spans="5:10" s="34" customFormat="1" x14ac:dyDescent="0.35">
      <c r="E21529" s="35"/>
      <c r="J21529" s="41"/>
    </row>
    <row r="21530" spans="5:10" s="34" customFormat="1" x14ac:dyDescent="0.35">
      <c r="E21530" s="35"/>
      <c r="J21530" s="41"/>
    </row>
    <row r="21531" spans="5:10" s="34" customFormat="1" x14ac:dyDescent="0.35">
      <c r="E21531" s="35"/>
      <c r="J21531" s="41"/>
    </row>
    <row r="21532" spans="5:10" s="34" customFormat="1" x14ac:dyDescent="0.35">
      <c r="E21532" s="35"/>
      <c r="J21532" s="41"/>
    </row>
    <row r="21533" spans="5:10" s="34" customFormat="1" x14ac:dyDescent="0.35">
      <c r="E21533" s="35"/>
      <c r="J21533" s="41"/>
    </row>
    <row r="21534" spans="5:10" s="34" customFormat="1" x14ac:dyDescent="0.35">
      <c r="E21534" s="35"/>
      <c r="J21534" s="41"/>
    </row>
    <row r="21535" spans="5:10" s="34" customFormat="1" x14ac:dyDescent="0.35">
      <c r="E21535" s="35"/>
      <c r="J21535" s="41"/>
    </row>
    <row r="21536" spans="5:10" s="34" customFormat="1" x14ac:dyDescent="0.35">
      <c r="E21536" s="35"/>
      <c r="J21536" s="41"/>
    </row>
    <row r="21537" spans="5:10" s="34" customFormat="1" x14ac:dyDescent="0.35">
      <c r="E21537" s="35"/>
      <c r="J21537" s="41"/>
    </row>
    <row r="21538" spans="5:10" s="34" customFormat="1" x14ac:dyDescent="0.35">
      <c r="E21538" s="35"/>
      <c r="J21538" s="41"/>
    </row>
    <row r="21539" spans="5:10" s="34" customFormat="1" x14ac:dyDescent="0.35">
      <c r="E21539" s="35"/>
      <c r="J21539" s="41"/>
    </row>
    <row r="21540" spans="5:10" s="34" customFormat="1" x14ac:dyDescent="0.35">
      <c r="E21540" s="35"/>
      <c r="J21540" s="41"/>
    </row>
    <row r="21541" spans="5:10" s="34" customFormat="1" x14ac:dyDescent="0.35">
      <c r="E21541" s="35"/>
      <c r="J21541" s="41"/>
    </row>
    <row r="21542" spans="5:10" s="34" customFormat="1" x14ac:dyDescent="0.35">
      <c r="E21542" s="35"/>
      <c r="J21542" s="41"/>
    </row>
    <row r="21543" spans="5:10" s="34" customFormat="1" x14ac:dyDescent="0.35">
      <c r="E21543" s="35"/>
      <c r="J21543" s="41"/>
    </row>
    <row r="21544" spans="5:10" s="34" customFormat="1" x14ac:dyDescent="0.35">
      <c r="E21544" s="35"/>
      <c r="J21544" s="41"/>
    </row>
    <row r="21545" spans="5:10" s="34" customFormat="1" x14ac:dyDescent="0.35">
      <c r="E21545" s="35"/>
      <c r="J21545" s="41"/>
    </row>
    <row r="21546" spans="5:10" s="34" customFormat="1" x14ac:dyDescent="0.35">
      <c r="E21546" s="35"/>
      <c r="J21546" s="41"/>
    </row>
    <row r="21547" spans="5:10" s="34" customFormat="1" x14ac:dyDescent="0.35">
      <c r="E21547" s="35"/>
      <c r="J21547" s="41"/>
    </row>
    <row r="21548" spans="5:10" s="34" customFormat="1" x14ac:dyDescent="0.35">
      <c r="E21548" s="35"/>
      <c r="J21548" s="41"/>
    </row>
    <row r="21549" spans="5:10" s="34" customFormat="1" x14ac:dyDescent="0.35">
      <c r="E21549" s="35"/>
      <c r="J21549" s="41"/>
    </row>
    <row r="21550" spans="5:10" s="34" customFormat="1" x14ac:dyDescent="0.35">
      <c r="E21550" s="35"/>
      <c r="J21550" s="41"/>
    </row>
    <row r="21551" spans="5:10" s="34" customFormat="1" x14ac:dyDescent="0.35">
      <c r="E21551" s="35"/>
      <c r="J21551" s="41"/>
    </row>
    <row r="21552" spans="5:10" s="34" customFormat="1" x14ac:dyDescent="0.35">
      <c r="E21552" s="35"/>
      <c r="J21552" s="41"/>
    </row>
    <row r="21553" spans="5:10" s="34" customFormat="1" x14ac:dyDescent="0.35">
      <c r="E21553" s="35"/>
      <c r="J21553" s="41"/>
    </row>
    <row r="21554" spans="5:10" s="34" customFormat="1" x14ac:dyDescent="0.35">
      <c r="E21554" s="35"/>
      <c r="J21554" s="41"/>
    </row>
    <row r="21555" spans="5:10" s="34" customFormat="1" x14ac:dyDescent="0.35">
      <c r="E21555" s="35"/>
      <c r="J21555" s="41"/>
    </row>
    <row r="21556" spans="5:10" s="34" customFormat="1" x14ac:dyDescent="0.35">
      <c r="E21556" s="35"/>
      <c r="J21556" s="41"/>
    </row>
    <row r="21557" spans="5:10" s="34" customFormat="1" x14ac:dyDescent="0.35">
      <c r="E21557" s="35"/>
      <c r="J21557" s="41"/>
    </row>
    <row r="21558" spans="5:10" s="34" customFormat="1" x14ac:dyDescent="0.35">
      <c r="E21558" s="35"/>
      <c r="J21558" s="41"/>
    </row>
    <row r="21559" spans="5:10" s="34" customFormat="1" x14ac:dyDescent="0.35">
      <c r="E21559" s="35"/>
      <c r="J21559" s="41"/>
    </row>
    <row r="21560" spans="5:10" s="34" customFormat="1" x14ac:dyDescent="0.35">
      <c r="E21560" s="35"/>
      <c r="J21560" s="41"/>
    </row>
    <row r="21561" spans="5:10" s="34" customFormat="1" x14ac:dyDescent="0.35">
      <c r="E21561" s="35"/>
      <c r="J21561" s="41"/>
    </row>
    <row r="21562" spans="5:10" s="34" customFormat="1" x14ac:dyDescent="0.35">
      <c r="E21562" s="35"/>
      <c r="J21562" s="41"/>
    </row>
    <row r="21563" spans="5:10" s="34" customFormat="1" x14ac:dyDescent="0.35">
      <c r="E21563" s="35"/>
      <c r="J21563" s="41"/>
    </row>
    <row r="21564" spans="5:10" s="34" customFormat="1" x14ac:dyDescent="0.35">
      <c r="E21564" s="35"/>
      <c r="J21564" s="41"/>
    </row>
    <row r="21565" spans="5:10" s="34" customFormat="1" x14ac:dyDescent="0.35">
      <c r="E21565" s="35"/>
      <c r="J21565" s="41"/>
    </row>
    <row r="21566" spans="5:10" s="34" customFormat="1" x14ac:dyDescent="0.35">
      <c r="E21566" s="35"/>
      <c r="J21566" s="41"/>
    </row>
    <row r="21567" spans="5:10" s="34" customFormat="1" x14ac:dyDescent="0.35">
      <c r="E21567" s="35"/>
      <c r="J21567" s="41"/>
    </row>
    <row r="21568" spans="5:10" s="34" customFormat="1" x14ac:dyDescent="0.35">
      <c r="E21568" s="35"/>
      <c r="J21568" s="41"/>
    </row>
    <row r="21569" spans="5:10" s="34" customFormat="1" x14ac:dyDescent="0.35">
      <c r="E21569" s="35"/>
      <c r="J21569" s="41"/>
    </row>
    <row r="21570" spans="5:10" s="34" customFormat="1" x14ac:dyDescent="0.35">
      <c r="E21570" s="35"/>
      <c r="J21570" s="41"/>
    </row>
    <row r="21571" spans="5:10" s="34" customFormat="1" x14ac:dyDescent="0.35">
      <c r="E21571" s="35"/>
      <c r="J21571" s="41"/>
    </row>
    <row r="21572" spans="5:10" s="34" customFormat="1" x14ac:dyDescent="0.35">
      <c r="E21572" s="35"/>
      <c r="J21572" s="41"/>
    </row>
    <row r="21573" spans="5:10" s="34" customFormat="1" x14ac:dyDescent="0.35">
      <c r="E21573" s="35"/>
      <c r="J21573" s="41"/>
    </row>
    <row r="21574" spans="5:10" s="34" customFormat="1" x14ac:dyDescent="0.35">
      <c r="E21574" s="35"/>
      <c r="J21574" s="41"/>
    </row>
    <row r="21575" spans="5:10" s="34" customFormat="1" x14ac:dyDescent="0.35">
      <c r="E21575" s="35"/>
      <c r="J21575" s="41"/>
    </row>
    <row r="21576" spans="5:10" s="34" customFormat="1" x14ac:dyDescent="0.35">
      <c r="E21576" s="35"/>
      <c r="J21576" s="41"/>
    </row>
    <row r="21577" spans="5:10" s="34" customFormat="1" x14ac:dyDescent="0.35">
      <c r="E21577" s="35"/>
      <c r="J21577" s="41"/>
    </row>
    <row r="21578" spans="5:10" s="34" customFormat="1" x14ac:dyDescent="0.35">
      <c r="E21578" s="35"/>
      <c r="J21578" s="41"/>
    </row>
    <row r="21579" spans="5:10" s="34" customFormat="1" x14ac:dyDescent="0.35">
      <c r="E21579" s="35"/>
      <c r="J21579" s="41"/>
    </row>
    <row r="21580" spans="5:10" s="34" customFormat="1" x14ac:dyDescent="0.35">
      <c r="E21580" s="35"/>
      <c r="J21580" s="41"/>
    </row>
    <row r="21581" spans="5:10" s="34" customFormat="1" x14ac:dyDescent="0.35">
      <c r="E21581" s="35"/>
      <c r="J21581" s="41"/>
    </row>
    <row r="21582" spans="5:10" s="34" customFormat="1" x14ac:dyDescent="0.35">
      <c r="E21582" s="35"/>
      <c r="J21582" s="41"/>
    </row>
    <row r="21583" spans="5:10" s="34" customFormat="1" x14ac:dyDescent="0.35">
      <c r="E21583" s="35"/>
      <c r="J21583" s="41"/>
    </row>
    <row r="21584" spans="5:10" s="34" customFormat="1" x14ac:dyDescent="0.35">
      <c r="E21584" s="35"/>
      <c r="J21584" s="41"/>
    </row>
    <row r="21585" spans="5:10" s="34" customFormat="1" x14ac:dyDescent="0.35">
      <c r="E21585" s="35"/>
      <c r="J21585" s="41"/>
    </row>
    <row r="21586" spans="5:10" s="34" customFormat="1" x14ac:dyDescent="0.35">
      <c r="E21586" s="35"/>
      <c r="J21586" s="41"/>
    </row>
    <row r="21587" spans="5:10" s="34" customFormat="1" x14ac:dyDescent="0.35">
      <c r="E21587" s="35"/>
      <c r="J21587" s="41"/>
    </row>
    <row r="21588" spans="5:10" s="34" customFormat="1" x14ac:dyDescent="0.35">
      <c r="E21588" s="35"/>
      <c r="J21588" s="41"/>
    </row>
    <row r="21589" spans="5:10" s="34" customFormat="1" x14ac:dyDescent="0.35">
      <c r="E21589" s="35"/>
      <c r="J21589" s="41"/>
    </row>
    <row r="21590" spans="5:10" s="34" customFormat="1" x14ac:dyDescent="0.35">
      <c r="E21590" s="35"/>
      <c r="J21590" s="41"/>
    </row>
    <row r="21591" spans="5:10" s="34" customFormat="1" x14ac:dyDescent="0.35">
      <c r="E21591" s="35"/>
      <c r="J21591" s="41"/>
    </row>
    <row r="21592" spans="5:10" s="34" customFormat="1" x14ac:dyDescent="0.35">
      <c r="E21592" s="35"/>
      <c r="J21592" s="41"/>
    </row>
    <row r="21593" spans="5:10" s="34" customFormat="1" x14ac:dyDescent="0.35">
      <c r="E21593" s="35"/>
      <c r="J21593" s="41"/>
    </row>
    <row r="21594" spans="5:10" s="34" customFormat="1" x14ac:dyDescent="0.35">
      <c r="E21594" s="35"/>
      <c r="J21594" s="41"/>
    </row>
    <row r="21595" spans="5:10" s="34" customFormat="1" x14ac:dyDescent="0.35">
      <c r="E21595" s="35"/>
      <c r="J21595" s="41"/>
    </row>
    <row r="21596" spans="5:10" s="34" customFormat="1" x14ac:dyDescent="0.35">
      <c r="E21596" s="35"/>
      <c r="J21596" s="41"/>
    </row>
    <row r="21597" spans="5:10" s="34" customFormat="1" x14ac:dyDescent="0.35">
      <c r="E21597" s="35"/>
      <c r="J21597" s="41"/>
    </row>
    <row r="21598" spans="5:10" s="34" customFormat="1" x14ac:dyDescent="0.35">
      <c r="E21598" s="35"/>
      <c r="J21598" s="41"/>
    </row>
    <row r="21599" spans="5:10" s="34" customFormat="1" x14ac:dyDescent="0.35">
      <c r="E21599" s="35"/>
      <c r="J21599" s="41"/>
    </row>
    <row r="21600" spans="5:10" s="34" customFormat="1" x14ac:dyDescent="0.35">
      <c r="E21600" s="35"/>
      <c r="J21600" s="41"/>
    </row>
    <row r="21601" spans="5:10" s="34" customFormat="1" x14ac:dyDescent="0.35">
      <c r="E21601" s="35"/>
      <c r="J21601" s="41"/>
    </row>
    <row r="21602" spans="5:10" s="34" customFormat="1" x14ac:dyDescent="0.35">
      <c r="E21602" s="35"/>
      <c r="J21602" s="41"/>
    </row>
    <row r="21603" spans="5:10" s="34" customFormat="1" x14ac:dyDescent="0.35">
      <c r="E21603" s="35"/>
      <c r="J21603" s="41"/>
    </row>
    <row r="21604" spans="5:10" s="34" customFormat="1" x14ac:dyDescent="0.35">
      <c r="E21604" s="35"/>
      <c r="J21604" s="41"/>
    </row>
    <row r="21605" spans="5:10" s="34" customFormat="1" x14ac:dyDescent="0.35">
      <c r="E21605" s="35"/>
      <c r="J21605" s="41"/>
    </row>
    <row r="21606" spans="5:10" s="34" customFormat="1" x14ac:dyDescent="0.35">
      <c r="E21606" s="35"/>
      <c r="J21606" s="41"/>
    </row>
    <row r="21607" spans="5:10" s="34" customFormat="1" x14ac:dyDescent="0.35">
      <c r="E21607" s="35"/>
      <c r="J21607" s="41"/>
    </row>
    <row r="21608" spans="5:10" s="34" customFormat="1" x14ac:dyDescent="0.35">
      <c r="E21608" s="35"/>
      <c r="J21608" s="41"/>
    </row>
    <row r="21609" spans="5:10" s="34" customFormat="1" x14ac:dyDescent="0.35">
      <c r="E21609" s="35"/>
      <c r="J21609" s="41"/>
    </row>
    <row r="21610" spans="5:10" s="34" customFormat="1" x14ac:dyDescent="0.35">
      <c r="E21610" s="35"/>
      <c r="J21610" s="41"/>
    </row>
    <row r="21611" spans="5:10" s="34" customFormat="1" x14ac:dyDescent="0.35">
      <c r="E21611" s="35"/>
      <c r="J21611" s="41"/>
    </row>
    <row r="21612" spans="5:10" s="34" customFormat="1" x14ac:dyDescent="0.35">
      <c r="E21612" s="35"/>
      <c r="J21612" s="41"/>
    </row>
    <row r="21613" spans="5:10" s="34" customFormat="1" x14ac:dyDescent="0.35">
      <c r="E21613" s="35"/>
      <c r="J21613" s="41"/>
    </row>
    <row r="21614" spans="5:10" s="34" customFormat="1" x14ac:dyDescent="0.35">
      <c r="E21614" s="35"/>
      <c r="J21614" s="41"/>
    </row>
    <row r="21615" spans="5:10" s="34" customFormat="1" x14ac:dyDescent="0.35">
      <c r="E21615" s="35"/>
      <c r="J21615" s="41"/>
    </row>
    <row r="21616" spans="5:10" s="34" customFormat="1" x14ac:dyDescent="0.35">
      <c r="E21616" s="35"/>
      <c r="J21616" s="41"/>
    </row>
    <row r="21617" spans="5:10" s="34" customFormat="1" x14ac:dyDescent="0.35">
      <c r="E21617" s="35"/>
      <c r="J21617" s="41"/>
    </row>
    <row r="21618" spans="5:10" s="34" customFormat="1" x14ac:dyDescent="0.35">
      <c r="E21618" s="35"/>
      <c r="J21618" s="41"/>
    </row>
    <row r="21619" spans="5:10" s="34" customFormat="1" x14ac:dyDescent="0.35">
      <c r="E21619" s="35"/>
      <c r="J21619" s="41"/>
    </row>
    <row r="21620" spans="5:10" s="34" customFormat="1" x14ac:dyDescent="0.35">
      <c r="E21620" s="35"/>
      <c r="J21620" s="41"/>
    </row>
    <row r="21621" spans="5:10" s="34" customFormat="1" x14ac:dyDescent="0.35">
      <c r="E21621" s="35"/>
      <c r="J21621" s="41"/>
    </row>
    <row r="21622" spans="5:10" s="34" customFormat="1" x14ac:dyDescent="0.35">
      <c r="E21622" s="35"/>
      <c r="J21622" s="41"/>
    </row>
    <row r="21623" spans="5:10" s="34" customFormat="1" x14ac:dyDescent="0.35">
      <c r="E21623" s="35"/>
      <c r="J21623" s="41"/>
    </row>
    <row r="21624" spans="5:10" s="34" customFormat="1" x14ac:dyDescent="0.35">
      <c r="E21624" s="35"/>
      <c r="J21624" s="41"/>
    </row>
    <row r="21625" spans="5:10" s="34" customFormat="1" x14ac:dyDescent="0.35">
      <c r="E21625" s="35"/>
      <c r="J21625" s="41"/>
    </row>
    <row r="21626" spans="5:10" s="34" customFormat="1" x14ac:dyDescent="0.35">
      <c r="E21626" s="35"/>
      <c r="J21626" s="41"/>
    </row>
    <row r="21627" spans="5:10" s="34" customFormat="1" x14ac:dyDescent="0.35">
      <c r="E21627" s="35"/>
      <c r="J21627" s="41"/>
    </row>
    <row r="21628" spans="5:10" s="34" customFormat="1" x14ac:dyDescent="0.35">
      <c r="E21628" s="35"/>
      <c r="J21628" s="41"/>
    </row>
    <row r="21629" spans="5:10" s="34" customFormat="1" x14ac:dyDescent="0.35">
      <c r="E21629" s="35"/>
      <c r="J21629" s="41"/>
    </row>
    <row r="21630" spans="5:10" s="34" customFormat="1" x14ac:dyDescent="0.35">
      <c r="E21630" s="35"/>
      <c r="J21630" s="41"/>
    </row>
    <row r="21631" spans="5:10" s="34" customFormat="1" x14ac:dyDescent="0.35">
      <c r="E21631" s="35"/>
      <c r="J21631" s="41"/>
    </row>
    <row r="21632" spans="5:10" s="34" customFormat="1" x14ac:dyDescent="0.35">
      <c r="E21632" s="35"/>
      <c r="J21632" s="41"/>
    </row>
    <row r="21633" spans="5:10" s="34" customFormat="1" x14ac:dyDescent="0.35">
      <c r="E21633" s="35"/>
      <c r="J21633" s="41"/>
    </row>
    <row r="21634" spans="5:10" s="34" customFormat="1" x14ac:dyDescent="0.35">
      <c r="E21634" s="35"/>
      <c r="J21634" s="41"/>
    </row>
    <row r="21635" spans="5:10" s="34" customFormat="1" x14ac:dyDescent="0.35">
      <c r="E21635" s="35"/>
      <c r="J21635" s="41"/>
    </row>
    <row r="21636" spans="5:10" s="34" customFormat="1" x14ac:dyDescent="0.35">
      <c r="E21636" s="35"/>
      <c r="J21636" s="41"/>
    </row>
    <row r="21637" spans="5:10" s="34" customFormat="1" x14ac:dyDescent="0.35">
      <c r="E21637" s="35"/>
      <c r="J21637" s="41"/>
    </row>
    <row r="21638" spans="5:10" s="34" customFormat="1" x14ac:dyDescent="0.35">
      <c r="E21638" s="35"/>
      <c r="J21638" s="41"/>
    </row>
    <row r="21639" spans="5:10" s="34" customFormat="1" x14ac:dyDescent="0.35">
      <c r="E21639" s="35"/>
      <c r="J21639" s="41"/>
    </row>
    <row r="21640" spans="5:10" s="34" customFormat="1" x14ac:dyDescent="0.35">
      <c r="E21640" s="35"/>
      <c r="J21640" s="41"/>
    </row>
    <row r="21641" spans="5:10" s="34" customFormat="1" x14ac:dyDescent="0.35">
      <c r="E21641" s="35"/>
      <c r="J21641" s="41"/>
    </row>
    <row r="21642" spans="5:10" s="34" customFormat="1" x14ac:dyDescent="0.35">
      <c r="E21642" s="35"/>
      <c r="J21642" s="41"/>
    </row>
    <row r="21643" spans="5:10" s="34" customFormat="1" x14ac:dyDescent="0.35">
      <c r="E21643" s="35"/>
      <c r="J21643" s="41"/>
    </row>
    <row r="21644" spans="5:10" s="34" customFormat="1" x14ac:dyDescent="0.35">
      <c r="E21644" s="35"/>
      <c r="J21644" s="41"/>
    </row>
    <row r="21645" spans="5:10" s="34" customFormat="1" x14ac:dyDescent="0.35">
      <c r="E21645" s="35"/>
      <c r="J21645" s="41"/>
    </row>
    <row r="21646" spans="5:10" s="34" customFormat="1" x14ac:dyDescent="0.35">
      <c r="E21646" s="35"/>
      <c r="J21646" s="41"/>
    </row>
    <row r="21647" spans="5:10" s="34" customFormat="1" x14ac:dyDescent="0.35">
      <c r="E21647" s="35"/>
      <c r="J21647" s="41"/>
    </row>
    <row r="21648" spans="5:10" s="34" customFormat="1" x14ac:dyDescent="0.35">
      <c r="E21648" s="35"/>
      <c r="J21648" s="41"/>
    </row>
    <row r="21649" spans="5:10" s="34" customFormat="1" x14ac:dyDescent="0.35">
      <c r="E21649" s="35"/>
      <c r="J21649" s="41"/>
    </row>
    <row r="21650" spans="5:10" s="34" customFormat="1" x14ac:dyDescent="0.35">
      <c r="E21650" s="35"/>
      <c r="J21650" s="41"/>
    </row>
    <row r="21651" spans="5:10" s="34" customFormat="1" x14ac:dyDescent="0.35">
      <c r="E21651" s="35"/>
      <c r="J21651" s="41"/>
    </row>
    <row r="21652" spans="5:10" s="34" customFormat="1" x14ac:dyDescent="0.35">
      <c r="E21652" s="35"/>
      <c r="J21652" s="41"/>
    </row>
    <row r="21653" spans="5:10" s="34" customFormat="1" x14ac:dyDescent="0.35">
      <c r="E21653" s="35"/>
      <c r="J21653" s="41"/>
    </row>
    <row r="21654" spans="5:10" s="34" customFormat="1" x14ac:dyDescent="0.35">
      <c r="E21654" s="35"/>
      <c r="J21654" s="41"/>
    </row>
    <row r="21655" spans="5:10" s="34" customFormat="1" x14ac:dyDescent="0.35">
      <c r="E21655" s="35"/>
      <c r="J21655" s="41"/>
    </row>
    <row r="21656" spans="5:10" s="34" customFormat="1" x14ac:dyDescent="0.35">
      <c r="E21656" s="35"/>
      <c r="J21656" s="41"/>
    </row>
    <row r="21657" spans="5:10" s="34" customFormat="1" x14ac:dyDescent="0.35">
      <c r="E21657" s="35"/>
      <c r="J21657" s="41"/>
    </row>
    <row r="21658" spans="5:10" s="34" customFormat="1" x14ac:dyDescent="0.35">
      <c r="E21658" s="35"/>
      <c r="J21658" s="41"/>
    </row>
    <row r="21659" spans="5:10" s="34" customFormat="1" x14ac:dyDescent="0.35">
      <c r="E21659" s="35"/>
      <c r="J21659" s="41"/>
    </row>
    <row r="21660" spans="5:10" s="34" customFormat="1" x14ac:dyDescent="0.35">
      <c r="E21660" s="35"/>
      <c r="J21660" s="41"/>
    </row>
    <row r="21661" spans="5:10" s="34" customFormat="1" x14ac:dyDescent="0.35">
      <c r="E21661" s="35"/>
      <c r="J21661" s="41"/>
    </row>
    <row r="21662" spans="5:10" s="34" customFormat="1" x14ac:dyDescent="0.35">
      <c r="E21662" s="35"/>
      <c r="J21662" s="41"/>
    </row>
    <row r="21663" spans="5:10" s="34" customFormat="1" x14ac:dyDescent="0.35">
      <c r="E21663" s="35"/>
      <c r="J21663" s="41"/>
    </row>
    <row r="21664" spans="5:10" s="34" customFormat="1" x14ac:dyDescent="0.35">
      <c r="E21664" s="35"/>
      <c r="J21664" s="41"/>
    </row>
    <row r="21665" spans="5:10" s="34" customFormat="1" x14ac:dyDescent="0.35">
      <c r="E21665" s="35"/>
      <c r="J21665" s="41"/>
    </row>
    <row r="21666" spans="5:10" s="34" customFormat="1" x14ac:dyDescent="0.35">
      <c r="E21666" s="35"/>
      <c r="J21666" s="41"/>
    </row>
    <row r="21667" spans="5:10" s="34" customFormat="1" x14ac:dyDescent="0.35">
      <c r="E21667" s="35"/>
      <c r="J21667" s="41"/>
    </row>
    <row r="21668" spans="5:10" s="34" customFormat="1" x14ac:dyDescent="0.35">
      <c r="E21668" s="35"/>
      <c r="J21668" s="41"/>
    </row>
    <row r="21669" spans="5:10" s="34" customFormat="1" x14ac:dyDescent="0.35">
      <c r="E21669" s="35"/>
      <c r="J21669" s="41"/>
    </row>
    <row r="21670" spans="5:10" s="34" customFormat="1" x14ac:dyDescent="0.35">
      <c r="E21670" s="35"/>
      <c r="J21670" s="41"/>
    </row>
    <row r="21671" spans="5:10" s="34" customFormat="1" x14ac:dyDescent="0.35">
      <c r="E21671" s="35"/>
      <c r="J21671" s="41"/>
    </row>
    <row r="21672" spans="5:10" s="34" customFormat="1" x14ac:dyDescent="0.35">
      <c r="E21672" s="35"/>
      <c r="J21672" s="41"/>
    </row>
    <row r="21673" spans="5:10" s="34" customFormat="1" x14ac:dyDescent="0.35">
      <c r="E21673" s="35"/>
      <c r="J21673" s="41"/>
    </row>
    <row r="21674" spans="5:10" s="34" customFormat="1" x14ac:dyDescent="0.35">
      <c r="E21674" s="35"/>
      <c r="J21674" s="41"/>
    </row>
    <row r="21675" spans="5:10" s="34" customFormat="1" x14ac:dyDescent="0.35">
      <c r="E21675" s="35"/>
      <c r="J21675" s="41"/>
    </row>
    <row r="21676" spans="5:10" s="34" customFormat="1" x14ac:dyDescent="0.35">
      <c r="E21676" s="35"/>
      <c r="J21676" s="41"/>
    </row>
    <row r="21677" spans="5:10" s="34" customFormat="1" x14ac:dyDescent="0.35">
      <c r="E21677" s="35"/>
      <c r="J21677" s="41"/>
    </row>
    <row r="21678" spans="5:10" s="34" customFormat="1" x14ac:dyDescent="0.35">
      <c r="E21678" s="35"/>
      <c r="J21678" s="41"/>
    </row>
    <row r="21679" spans="5:10" s="34" customFormat="1" x14ac:dyDescent="0.35">
      <c r="E21679" s="35"/>
      <c r="J21679" s="41"/>
    </row>
    <row r="21680" spans="5:10" s="34" customFormat="1" x14ac:dyDescent="0.35">
      <c r="E21680" s="35"/>
      <c r="J21680" s="41"/>
    </row>
    <row r="21681" spans="5:10" s="34" customFormat="1" x14ac:dyDescent="0.35">
      <c r="E21681" s="35"/>
      <c r="J21681" s="41"/>
    </row>
    <row r="21682" spans="5:10" s="34" customFormat="1" x14ac:dyDescent="0.35">
      <c r="E21682" s="35"/>
      <c r="J21682" s="41"/>
    </row>
    <row r="21683" spans="5:10" s="34" customFormat="1" x14ac:dyDescent="0.35">
      <c r="E21683" s="35"/>
      <c r="J21683" s="41"/>
    </row>
    <row r="21684" spans="5:10" s="34" customFormat="1" x14ac:dyDescent="0.35">
      <c r="E21684" s="35"/>
      <c r="J21684" s="41"/>
    </row>
    <row r="21685" spans="5:10" s="34" customFormat="1" x14ac:dyDescent="0.35">
      <c r="E21685" s="35"/>
      <c r="J21685" s="41"/>
    </row>
    <row r="21686" spans="5:10" s="34" customFormat="1" x14ac:dyDescent="0.35">
      <c r="E21686" s="35"/>
      <c r="J21686" s="41"/>
    </row>
    <row r="21687" spans="5:10" s="34" customFormat="1" x14ac:dyDescent="0.35">
      <c r="E21687" s="35"/>
      <c r="J21687" s="41"/>
    </row>
    <row r="21688" spans="5:10" s="34" customFormat="1" x14ac:dyDescent="0.35">
      <c r="E21688" s="35"/>
      <c r="J21688" s="41"/>
    </row>
    <row r="21689" spans="5:10" s="34" customFormat="1" x14ac:dyDescent="0.35">
      <c r="E21689" s="35"/>
      <c r="J21689" s="41"/>
    </row>
    <row r="21690" spans="5:10" s="34" customFormat="1" x14ac:dyDescent="0.35">
      <c r="E21690" s="35"/>
      <c r="J21690" s="41"/>
    </row>
    <row r="21691" spans="5:10" s="34" customFormat="1" x14ac:dyDescent="0.35">
      <c r="E21691" s="35"/>
      <c r="J21691" s="41"/>
    </row>
    <row r="21692" spans="5:10" s="34" customFormat="1" x14ac:dyDescent="0.35">
      <c r="E21692" s="35"/>
      <c r="J21692" s="41"/>
    </row>
    <row r="21693" spans="5:10" s="34" customFormat="1" x14ac:dyDescent="0.35">
      <c r="E21693" s="35"/>
      <c r="J21693" s="41"/>
    </row>
    <row r="21694" spans="5:10" s="34" customFormat="1" x14ac:dyDescent="0.35">
      <c r="E21694" s="35"/>
      <c r="J21694" s="41"/>
    </row>
    <row r="21695" spans="5:10" s="34" customFormat="1" x14ac:dyDescent="0.35">
      <c r="E21695" s="35"/>
      <c r="J21695" s="41"/>
    </row>
    <row r="21696" spans="5:10" s="34" customFormat="1" x14ac:dyDescent="0.35">
      <c r="E21696" s="35"/>
      <c r="J21696" s="41"/>
    </row>
    <row r="21697" spans="5:10" s="34" customFormat="1" x14ac:dyDescent="0.35">
      <c r="E21697" s="35"/>
      <c r="J21697" s="41"/>
    </row>
    <row r="21698" spans="5:10" s="34" customFormat="1" x14ac:dyDescent="0.35">
      <c r="E21698" s="35"/>
      <c r="J21698" s="41"/>
    </row>
    <row r="21699" spans="5:10" s="34" customFormat="1" x14ac:dyDescent="0.35">
      <c r="E21699" s="35"/>
      <c r="J21699" s="41"/>
    </row>
    <row r="21700" spans="5:10" s="34" customFormat="1" x14ac:dyDescent="0.35">
      <c r="E21700" s="35"/>
      <c r="J21700" s="41"/>
    </row>
    <row r="21701" spans="5:10" s="34" customFormat="1" x14ac:dyDescent="0.35">
      <c r="E21701" s="35"/>
      <c r="J21701" s="41"/>
    </row>
    <row r="21702" spans="5:10" s="34" customFormat="1" x14ac:dyDescent="0.35">
      <c r="E21702" s="35"/>
      <c r="J21702" s="41"/>
    </row>
    <row r="21703" spans="5:10" s="34" customFormat="1" x14ac:dyDescent="0.35">
      <c r="E21703" s="35"/>
      <c r="J21703" s="41"/>
    </row>
    <row r="21704" spans="5:10" s="34" customFormat="1" x14ac:dyDescent="0.35">
      <c r="E21704" s="35"/>
      <c r="J21704" s="41"/>
    </row>
    <row r="21705" spans="5:10" s="34" customFormat="1" x14ac:dyDescent="0.35">
      <c r="E21705" s="35"/>
      <c r="J21705" s="41"/>
    </row>
    <row r="21706" spans="5:10" s="34" customFormat="1" x14ac:dyDescent="0.35">
      <c r="E21706" s="35"/>
      <c r="J21706" s="41"/>
    </row>
    <row r="21707" spans="5:10" s="34" customFormat="1" x14ac:dyDescent="0.35">
      <c r="E21707" s="35"/>
      <c r="J21707" s="41"/>
    </row>
    <row r="21708" spans="5:10" s="34" customFormat="1" x14ac:dyDescent="0.35">
      <c r="E21708" s="35"/>
      <c r="J21708" s="41"/>
    </row>
    <row r="21709" spans="5:10" s="34" customFormat="1" x14ac:dyDescent="0.35">
      <c r="E21709" s="35"/>
      <c r="J21709" s="41"/>
    </row>
    <row r="21710" spans="5:10" s="34" customFormat="1" x14ac:dyDescent="0.35">
      <c r="E21710" s="35"/>
      <c r="J21710" s="41"/>
    </row>
    <row r="21711" spans="5:10" s="34" customFormat="1" x14ac:dyDescent="0.35">
      <c r="E21711" s="35"/>
      <c r="J21711" s="41"/>
    </row>
    <row r="21712" spans="5:10" s="34" customFormat="1" x14ac:dyDescent="0.35">
      <c r="E21712" s="35"/>
      <c r="J21712" s="41"/>
    </row>
    <row r="21713" spans="5:10" s="34" customFormat="1" x14ac:dyDescent="0.35">
      <c r="E21713" s="35"/>
      <c r="J21713" s="41"/>
    </row>
    <row r="21714" spans="5:10" s="34" customFormat="1" x14ac:dyDescent="0.35">
      <c r="E21714" s="35"/>
      <c r="J21714" s="41"/>
    </row>
    <row r="21715" spans="5:10" s="34" customFormat="1" x14ac:dyDescent="0.35">
      <c r="E21715" s="35"/>
      <c r="J21715" s="41"/>
    </row>
    <row r="21716" spans="5:10" s="34" customFormat="1" x14ac:dyDescent="0.35">
      <c r="E21716" s="35"/>
      <c r="J21716" s="41"/>
    </row>
    <row r="21717" spans="5:10" s="34" customFormat="1" x14ac:dyDescent="0.35">
      <c r="E21717" s="35"/>
      <c r="J21717" s="41"/>
    </row>
    <row r="21718" spans="5:10" s="34" customFormat="1" x14ac:dyDescent="0.35">
      <c r="E21718" s="35"/>
      <c r="J21718" s="41"/>
    </row>
    <row r="21719" spans="5:10" s="34" customFormat="1" x14ac:dyDescent="0.35">
      <c r="E21719" s="35"/>
      <c r="J21719" s="41"/>
    </row>
    <row r="21720" spans="5:10" s="34" customFormat="1" x14ac:dyDescent="0.35">
      <c r="E21720" s="35"/>
      <c r="J21720" s="41"/>
    </row>
    <row r="21721" spans="5:10" s="34" customFormat="1" x14ac:dyDescent="0.35">
      <c r="E21721" s="35"/>
      <c r="J21721" s="41"/>
    </row>
    <row r="21722" spans="5:10" s="34" customFormat="1" x14ac:dyDescent="0.35">
      <c r="E21722" s="35"/>
      <c r="J21722" s="41"/>
    </row>
    <row r="21723" spans="5:10" s="34" customFormat="1" x14ac:dyDescent="0.35">
      <c r="E21723" s="35"/>
      <c r="J21723" s="41"/>
    </row>
    <row r="21724" spans="5:10" s="34" customFormat="1" x14ac:dyDescent="0.35">
      <c r="E21724" s="35"/>
      <c r="J21724" s="41"/>
    </row>
    <row r="21725" spans="5:10" s="34" customFormat="1" x14ac:dyDescent="0.35">
      <c r="E21725" s="35"/>
      <c r="J21725" s="41"/>
    </row>
    <row r="21726" spans="5:10" s="34" customFormat="1" x14ac:dyDescent="0.35">
      <c r="E21726" s="35"/>
      <c r="J21726" s="41"/>
    </row>
    <row r="21727" spans="5:10" s="34" customFormat="1" x14ac:dyDescent="0.35">
      <c r="E21727" s="35"/>
      <c r="J21727" s="41"/>
    </row>
    <row r="21728" spans="5:10" s="34" customFormat="1" x14ac:dyDescent="0.35">
      <c r="E21728" s="35"/>
      <c r="J21728" s="41"/>
    </row>
    <row r="21729" spans="5:10" s="34" customFormat="1" x14ac:dyDescent="0.35">
      <c r="E21729" s="35"/>
      <c r="J21729" s="41"/>
    </row>
    <row r="21730" spans="5:10" s="34" customFormat="1" x14ac:dyDescent="0.35">
      <c r="E21730" s="35"/>
      <c r="J21730" s="41"/>
    </row>
    <row r="21731" spans="5:10" s="34" customFormat="1" x14ac:dyDescent="0.35">
      <c r="E21731" s="35"/>
      <c r="J21731" s="41"/>
    </row>
    <row r="21732" spans="5:10" s="34" customFormat="1" x14ac:dyDescent="0.35">
      <c r="E21732" s="35"/>
      <c r="J21732" s="41"/>
    </row>
    <row r="21733" spans="5:10" s="34" customFormat="1" x14ac:dyDescent="0.35">
      <c r="E21733" s="35"/>
      <c r="J21733" s="41"/>
    </row>
    <row r="21734" spans="5:10" s="34" customFormat="1" x14ac:dyDescent="0.35">
      <c r="E21734" s="35"/>
      <c r="J21734" s="41"/>
    </row>
    <row r="21735" spans="5:10" s="34" customFormat="1" x14ac:dyDescent="0.35">
      <c r="E21735" s="35"/>
      <c r="J21735" s="41"/>
    </row>
    <row r="21736" spans="5:10" s="34" customFormat="1" x14ac:dyDescent="0.35">
      <c r="E21736" s="35"/>
      <c r="J21736" s="41"/>
    </row>
    <row r="21737" spans="5:10" s="34" customFormat="1" x14ac:dyDescent="0.35">
      <c r="E21737" s="35"/>
      <c r="J21737" s="41"/>
    </row>
    <row r="21738" spans="5:10" s="34" customFormat="1" x14ac:dyDescent="0.35">
      <c r="E21738" s="35"/>
      <c r="J21738" s="41"/>
    </row>
    <row r="21739" spans="5:10" s="34" customFormat="1" x14ac:dyDescent="0.35">
      <c r="E21739" s="35"/>
      <c r="J21739" s="41"/>
    </row>
    <row r="21740" spans="5:10" s="34" customFormat="1" x14ac:dyDescent="0.35">
      <c r="E21740" s="35"/>
      <c r="J21740" s="41"/>
    </row>
    <row r="21741" spans="5:10" s="34" customFormat="1" x14ac:dyDescent="0.35">
      <c r="E21741" s="35"/>
      <c r="J21741" s="41"/>
    </row>
    <row r="21742" spans="5:10" s="34" customFormat="1" x14ac:dyDescent="0.35">
      <c r="E21742" s="35"/>
      <c r="J21742" s="41"/>
    </row>
    <row r="21743" spans="5:10" s="34" customFormat="1" x14ac:dyDescent="0.35">
      <c r="E21743" s="35"/>
      <c r="J21743" s="41"/>
    </row>
    <row r="21744" spans="5:10" s="34" customFormat="1" x14ac:dyDescent="0.35">
      <c r="E21744" s="35"/>
      <c r="J21744" s="41"/>
    </row>
    <row r="21745" spans="5:10" s="34" customFormat="1" x14ac:dyDescent="0.35">
      <c r="E21745" s="35"/>
      <c r="J21745" s="41"/>
    </row>
    <row r="21746" spans="5:10" s="34" customFormat="1" x14ac:dyDescent="0.35">
      <c r="E21746" s="35"/>
      <c r="J21746" s="41"/>
    </row>
    <row r="21747" spans="5:10" s="34" customFormat="1" x14ac:dyDescent="0.35">
      <c r="E21747" s="35"/>
      <c r="J21747" s="41"/>
    </row>
    <row r="21748" spans="5:10" s="34" customFormat="1" x14ac:dyDescent="0.35">
      <c r="E21748" s="35"/>
      <c r="J21748" s="41"/>
    </row>
    <row r="21749" spans="5:10" s="34" customFormat="1" x14ac:dyDescent="0.35">
      <c r="E21749" s="35"/>
      <c r="J21749" s="41"/>
    </row>
    <row r="21750" spans="5:10" s="34" customFormat="1" x14ac:dyDescent="0.35">
      <c r="E21750" s="35"/>
      <c r="J21750" s="41"/>
    </row>
    <row r="21751" spans="5:10" s="34" customFormat="1" x14ac:dyDescent="0.35">
      <c r="E21751" s="35"/>
      <c r="J21751" s="41"/>
    </row>
    <row r="21752" spans="5:10" s="34" customFormat="1" x14ac:dyDescent="0.35">
      <c r="E21752" s="35"/>
      <c r="J21752" s="41"/>
    </row>
    <row r="21753" spans="5:10" s="34" customFormat="1" x14ac:dyDescent="0.35">
      <c r="E21753" s="35"/>
      <c r="J21753" s="41"/>
    </row>
    <row r="21754" spans="5:10" s="34" customFormat="1" x14ac:dyDescent="0.35">
      <c r="E21754" s="35"/>
      <c r="J21754" s="41"/>
    </row>
    <row r="21755" spans="5:10" s="34" customFormat="1" x14ac:dyDescent="0.35">
      <c r="E21755" s="35"/>
      <c r="J21755" s="41"/>
    </row>
    <row r="21756" spans="5:10" s="34" customFormat="1" x14ac:dyDescent="0.35">
      <c r="E21756" s="35"/>
      <c r="J21756" s="41"/>
    </row>
    <row r="21757" spans="5:10" s="34" customFormat="1" x14ac:dyDescent="0.35">
      <c r="E21757" s="35"/>
      <c r="J21757" s="41"/>
    </row>
    <row r="21758" spans="5:10" s="34" customFormat="1" x14ac:dyDescent="0.35">
      <c r="E21758" s="35"/>
      <c r="J21758" s="41"/>
    </row>
    <row r="21759" spans="5:10" s="34" customFormat="1" x14ac:dyDescent="0.35">
      <c r="E21759" s="35"/>
      <c r="J21759" s="41"/>
    </row>
    <row r="21760" spans="5:10" s="34" customFormat="1" x14ac:dyDescent="0.35">
      <c r="E21760" s="35"/>
      <c r="J21760" s="41"/>
    </row>
    <row r="21761" spans="5:10" s="34" customFormat="1" x14ac:dyDescent="0.35">
      <c r="E21761" s="35"/>
      <c r="J21761" s="41"/>
    </row>
    <row r="21762" spans="5:10" s="34" customFormat="1" x14ac:dyDescent="0.35">
      <c r="E21762" s="35"/>
      <c r="J21762" s="41"/>
    </row>
    <row r="21763" spans="5:10" s="34" customFormat="1" x14ac:dyDescent="0.35">
      <c r="E21763" s="35"/>
      <c r="J21763" s="41"/>
    </row>
    <row r="21764" spans="5:10" s="34" customFormat="1" x14ac:dyDescent="0.35">
      <c r="E21764" s="35"/>
      <c r="J21764" s="41"/>
    </row>
    <row r="21765" spans="5:10" s="34" customFormat="1" x14ac:dyDescent="0.35">
      <c r="E21765" s="35"/>
      <c r="J21765" s="41"/>
    </row>
    <row r="21766" spans="5:10" s="34" customFormat="1" x14ac:dyDescent="0.35">
      <c r="E21766" s="35"/>
      <c r="J21766" s="41"/>
    </row>
    <row r="21767" spans="5:10" s="34" customFormat="1" x14ac:dyDescent="0.35">
      <c r="E21767" s="35"/>
      <c r="J21767" s="41"/>
    </row>
    <row r="21768" spans="5:10" s="34" customFormat="1" x14ac:dyDescent="0.35">
      <c r="E21768" s="35"/>
      <c r="J21768" s="41"/>
    </row>
    <row r="21769" spans="5:10" s="34" customFormat="1" x14ac:dyDescent="0.35">
      <c r="E21769" s="35"/>
      <c r="J21769" s="41"/>
    </row>
    <row r="21770" spans="5:10" s="34" customFormat="1" x14ac:dyDescent="0.35">
      <c r="E21770" s="35"/>
      <c r="J21770" s="41"/>
    </row>
    <row r="21771" spans="5:10" s="34" customFormat="1" x14ac:dyDescent="0.35">
      <c r="E21771" s="35"/>
      <c r="J21771" s="41"/>
    </row>
    <row r="21772" spans="5:10" s="34" customFormat="1" x14ac:dyDescent="0.35">
      <c r="E21772" s="35"/>
      <c r="J21772" s="41"/>
    </row>
    <row r="21773" spans="5:10" s="34" customFormat="1" x14ac:dyDescent="0.35">
      <c r="E21773" s="35"/>
      <c r="J21773" s="41"/>
    </row>
    <row r="21774" spans="5:10" s="34" customFormat="1" x14ac:dyDescent="0.35">
      <c r="E21774" s="35"/>
      <c r="J21774" s="41"/>
    </row>
    <row r="21775" spans="5:10" s="34" customFormat="1" x14ac:dyDescent="0.35">
      <c r="E21775" s="35"/>
      <c r="J21775" s="41"/>
    </row>
    <row r="21776" spans="5:10" s="34" customFormat="1" x14ac:dyDescent="0.35">
      <c r="E21776" s="35"/>
      <c r="J21776" s="41"/>
    </row>
    <row r="21777" spans="5:10" s="34" customFormat="1" x14ac:dyDescent="0.35">
      <c r="E21777" s="35"/>
      <c r="J21777" s="41"/>
    </row>
    <row r="21778" spans="5:10" s="34" customFormat="1" x14ac:dyDescent="0.35">
      <c r="E21778" s="35"/>
      <c r="J21778" s="41"/>
    </row>
    <row r="21779" spans="5:10" s="34" customFormat="1" x14ac:dyDescent="0.35">
      <c r="E21779" s="35"/>
      <c r="J21779" s="41"/>
    </row>
    <row r="21780" spans="5:10" s="34" customFormat="1" x14ac:dyDescent="0.35">
      <c r="E21780" s="35"/>
      <c r="J21780" s="41"/>
    </row>
    <row r="21781" spans="5:10" s="34" customFormat="1" x14ac:dyDescent="0.35">
      <c r="E21781" s="35"/>
      <c r="J21781" s="41"/>
    </row>
    <row r="21782" spans="5:10" s="34" customFormat="1" x14ac:dyDescent="0.35">
      <c r="E21782" s="35"/>
      <c r="J21782" s="41"/>
    </row>
    <row r="21783" spans="5:10" s="34" customFormat="1" x14ac:dyDescent="0.35">
      <c r="E21783" s="35"/>
      <c r="J21783" s="41"/>
    </row>
    <row r="21784" spans="5:10" s="34" customFormat="1" x14ac:dyDescent="0.35">
      <c r="E21784" s="35"/>
      <c r="J21784" s="41"/>
    </row>
    <row r="21785" spans="5:10" s="34" customFormat="1" x14ac:dyDescent="0.35">
      <c r="E21785" s="35"/>
      <c r="J21785" s="41"/>
    </row>
    <row r="21786" spans="5:10" s="34" customFormat="1" x14ac:dyDescent="0.35">
      <c r="E21786" s="35"/>
      <c r="J21786" s="41"/>
    </row>
    <row r="21787" spans="5:10" s="34" customFormat="1" x14ac:dyDescent="0.35">
      <c r="E21787" s="35"/>
      <c r="J21787" s="41"/>
    </row>
    <row r="21788" spans="5:10" s="34" customFormat="1" x14ac:dyDescent="0.35">
      <c r="E21788" s="35"/>
      <c r="J21788" s="41"/>
    </row>
    <row r="21789" spans="5:10" s="34" customFormat="1" x14ac:dyDescent="0.35">
      <c r="E21789" s="35"/>
      <c r="J21789" s="41"/>
    </row>
    <row r="21790" spans="5:10" s="34" customFormat="1" x14ac:dyDescent="0.35">
      <c r="E21790" s="35"/>
      <c r="J21790" s="41"/>
    </row>
    <row r="21791" spans="5:10" s="34" customFormat="1" x14ac:dyDescent="0.35">
      <c r="E21791" s="35"/>
      <c r="J21791" s="41"/>
    </row>
    <row r="21792" spans="5:10" s="34" customFormat="1" x14ac:dyDescent="0.35">
      <c r="E21792" s="35"/>
      <c r="J21792" s="41"/>
    </row>
    <row r="21793" spans="5:10" s="34" customFormat="1" x14ac:dyDescent="0.35">
      <c r="E21793" s="35"/>
      <c r="J21793" s="41"/>
    </row>
    <row r="21794" spans="5:10" s="34" customFormat="1" x14ac:dyDescent="0.35">
      <c r="E21794" s="35"/>
      <c r="J21794" s="41"/>
    </row>
    <row r="21795" spans="5:10" s="34" customFormat="1" x14ac:dyDescent="0.35">
      <c r="E21795" s="35"/>
      <c r="J21795" s="41"/>
    </row>
    <row r="21796" spans="5:10" s="34" customFormat="1" x14ac:dyDescent="0.35">
      <c r="E21796" s="35"/>
      <c r="J21796" s="41"/>
    </row>
    <row r="21797" spans="5:10" s="34" customFormat="1" x14ac:dyDescent="0.35">
      <c r="E21797" s="35"/>
      <c r="J21797" s="41"/>
    </row>
    <row r="21798" spans="5:10" s="34" customFormat="1" x14ac:dyDescent="0.35">
      <c r="E21798" s="35"/>
      <c r="J21798" s="41"/>
    </row>
    <row r="21799" spans="5:10" s="34" customFormat="1" x14ac:dyDescent="0.35">
      <c r="E21799" s="35"/>
      <c r="J21799" s="41"/>
    </row>
    <row r="21800" spans="5:10" s="34" customFormat="1" x14ac:dyDescent="0.35">
      <c r="E21800" s="35"/>
      <c r="J21800" s="41"/>
    </row>
    <row r="21801" spans="5:10" s="34" customFormat="1" x14ac:dyDescent="0.35">
      <c r="E21801" s="35"/>
      <c r="J21801" s="41"/>
    </row>
    <row r="21802" spans="5:10" s="34" customFormat="1" x14ac:dyDescent="0.35">
      <c r="E21802" s="35"/>
      <c r="J21802" s="41"/>
    </row>
    <row r="21803" spans="5:10" s="34" customFormat="1" x14ac:dyDescent="0.35">
      <c r="E21803" s="35"/>
      <c r="J21803" s="41"/>
    </row>
    <row r="21804" spans="5:10" s="34" customFormat="1" x14ac:dyDescent="0.35">
      <c r="E21804" s="35"/>
      <c r="J21804" s="41"/>
    </row>
    <row r="21805" spans="5:10" s="34" customFormat="1" x14ac:dyDescent="0.35">
      <c r="E21805" s="35"/>
      <c r="J21805" s="41"/>
    </row>
    <row r="21806" spans="5:10" s="34" customFormat="1" x14ac:dyDescent="0.35">
      <c r="E21806" s="35"/>
      <c r="J21806" s="41"/>
    </row>
    <row r="21807" spans="5:10" s="34" customFormat="1" x14ac:dyDescent="0.35">
      <c r="E21807" s="35"/>
      <c r="J21807" s="41"/>
    </row>
    <row r="21808" spans="5:10" s="34" customFormat="1" x14ac:dyDescent="0.35">
      <c r="E21808" s="35"/>
      <c r="J21808" s="41"/>
    </row>
    <row r="21809" spans="5:10" s="34" customFormat="1" x14ac:dyDescent="0.35">
      <c r="E21809" s="35"/>
      <c r="J21809" s="41"/>
    </row>
    <row r="21810" spans="5:10" s="34" customFormat="1" x14ac:dyDescent="0.35">
      <c r="E21810" s="35"/>
      <c r="J21810" s="41"/>
    </row>
    <row r="21811" spans="5:10" s="34" customFormat="1" x14ac:dyDescent="0.35">
      <c r="E21811" s="35"/>
      <c r="J21811" s="41"/>
    </row>
    <row r="21812" spans="5:10" s="34" customFormat="1" x14ac:dyDescent="0.35">
      <c r="E21812" s="35"/>
      <c r="J21812" s="41"/>
    </row>
    <row r="21813" spans="5:10" s="34" customFormat="1" x14ac:dyDescent="0.35">
      <c r="E21813" s="35"/>
      <c r="J21813" s="41"/>
    </row>
    <row r="21814" spans="5:10" s="34" customFormat="1" x14ac:dyDescent="0.35">
      <c r="E21814" s="35"/>
      <c r="J21814" s="41"/>
    </row>
    <row r="21815" spans="5:10" s="34" customFormat="1" x14ac:dyDescent="0.35">
      <c r="E21815" s="35"/>
      <c r="J21815" s="41"/>
    </row>
    <row r="21816" spans="5:10" s="34" customFormat="1" x14ac:dyDescent="0.35">
      <c r="E21816" s="35"/>
      <c r="J21816" s="41"/>
    </row>
    <row r="21817" spans="5:10" s="34" customFormat="1" x14ac:dyDescent="0.35">
      <c r="E21817" s="35"/>
      <c r="J21817" s="41"/>
    </row>
    <row r="21818" spans="5:10" s="34" customFormat="1" x14ac:dyDescent="0.35">
      <c r="E21818" s="35"/>
      <c r="J21818" s="41"/>
    </row>
    <row r="21819" spans="5:10" s="34" customFormat="1" x14ac:dyDescent="0.35">
      <c r="E21819" s="35"/>
      <c r="J21819" s="41"/>
    </row>
    <row r="21820" spans="5:10" s="34" customFormat="1" x14ac:dyDescent="0.35">
      <c r="E21820" s="35"/>
      <c r="J21820" s="41"/>
    </row>
    <row r="21821" spans="5:10" s="34" customFormat="1" x14ac:dyDescent="0.35">
      <c r="E21821" s="35"/>
      <c r="J21821" s="41"/>
    </row>
    <row r="21822" spans="5:10" s="34" customFormat="1" x14ac:dyDescent="0.35">
      <c r="E21822" s="35"/>
      <c r="J21822" s="41"/>
    </row>
    <row r="21823" spans="5:10" s="34" customFormat="1" x14ac:dyDescent="0.35">
      <c r="E21823" s="35"/>
      <c r="J21823" s="41"/>
    </row>
    <row r="21824" spans="5:10" s="34" customFormat="1" x14ac:dyDescent="0.35">
      <c r="E21824" s="35"/>
      <c r="J21824" s="41"/>
    </row>
    <row r="21825" spans="5:10" s="34" customFormat="1" x14ac:dyDescent="0.35">
      <c r="E21825" s="35"/>
      <c r="J21825" s="41"/>
    </row>
    <row r="21826" spans="5:10" s="34" customFormat="1" x14ac:dyDescent="0.35">
      <c r="E21826" s="35"/>
      <c r="J21826" s="41"/>
    </row>
    <row r="21827" spans="5:10" s="34" customFormat="1" x14ac:dyDescent="0.35">
      <c r="E21827" s="35"/>
      <c r="J21827" s="41"/>
    </row>
    <row r="21828" spans="5:10" s="34" customFormat="1" x14ac:dyDescent="0.35">
      <c r="E21828" s="35"/>
      <c r="J21828" s="41"/>
    </row>
    <row r="21829" spans="5:10" s="34" customFormat="1" x14ac:dyDescent="0.35">
      <c r="E21829" s="35"/>
      <c r="J21829" s="41"/>
    </row>
    <row r="21830" spans="5:10" s="34" customFormat="1" x14ac:dyDescent="0.35">
      <c r="E21830" s="35"/>
      <c r="J21830" s="41"/>
    </row>
    <row r="21831" spans="5:10" s="34" customFormat="1" x14ac:dyDescent="0.35">
      <c r="E21831" s="35"/>
      <c r="J21831" s="41"/>
    </row>
    <row r="21832" spans="5:10" s="34" customFormat="1" x14ac:dyDescent="0.35">
      <c r="E21832" s="35"/>
      <c r="J21832" s="41"/>
    </row>
    <row r="21833" spans="5:10" s="34" customFormat="1" x14ac:dyDescent="0.35">
      <c r="E21833" s="35"/>
      <c r="J21833" s="41"/>
    </row>
    <row r="21834" spans="5:10" s="34" customFormat="1" x14ac:dyDescent="0.35">
      <c r="E21834" s="35"/>
      <c r="J21834" s="41"/>
    </row>
    <row r="21835" spans="5:10" s="34" customFormat="1" x14ac:dyDescent="0.35">
      <c r="E21835" s="35"/>
      <c r="J21835" s="41"/>
    </row>
    <row r="21836" spans="5:10" s="34" customFormat="1" x14ac:dyDescent="0.35">
      <c r="E21836" s="35"/>
      <c r="J21836" s="41"/>
    </row>
    <row r="21837" spans="5:10" s="34" customFormat="1" x14ac:dyDescent="0.35">
      <c r="E21837" s="35"/>
      <c r="J21837" s="41"/>
    </row>
    <row r="21838" spans="5:10" s="34" customFormat="1" x14ac:dyDescent="0.35">
      <c r="E21838" s="35"/>
      <c r="J21838" s="41"/>
    </row>
    <row r="21839" spans="5:10" s="34" customFormat="1" x14ac:dyDescent="0.35">
      <c r="E21839" s="35"/>
      <c r="J21839" s="41"/>
    </row>
    <row r="21840" spans="5:10" s="34" customFormat="1" x14ac:dyDescent="0.35">
      <c r="E21840" s="35"/>
      <c r="J21840" s="41"/>
    </row>
    <row r="21841" spans="5:10" s="34" customFormat="1" x14ac:dyDescent="0.35">
      <c r="E21841" s="35"/>
      <c r="J21841" s="41"/>
    </row>
    <row r="21842" spans="5:10" s="34" customFormat="1" x14ac:dyDescent="0.35">
      <c r="E21842" s="35"/>
      <c r="J21842" s="41"/>
    </row>
    <row r="21843" spans="5:10" s="34" customFormat="1" x14ac:dyDescent="0.35">
      <c r="E21843" s="35"/>
      <c r="J21843" s="41"/>
    </row>
    <row r="21844" spans="5:10" s="34" customFormat="1" x14ac:dyDescent="0.35">
      <c r="E21844" s="35"/>
      <c r="J21844" s="41"/>
    </row>
    <row r="21845" spans="5:10" s="34" customFormat="1" x14ac:dyDescent="0.35">
      <c r="E21845" s="35"/>
      <c r="J21845" s="41"/>
    </row>
    <row r="21846" spans="5:10" s="34" customFormat="1" x14ac:dyDescent="0.35">
      <c r="E21846" s="35"/>
      <c r="J21846" s="41"/>
    </row>
    <row r="21847" spans="5:10" s="34" customFormat="1" x14ac:dyDescent="0.35">
      <c r="E21847" s="35"/>
      <c r="J21847" s="41"/>
    </row>
    <row r="21848" spans="5:10" s="34" customFormat="1" x14ac:dyDescent="0.35">
      <c r="E21848" s="35"/>
      <c r="J21848" s="41"/>
    </row>
    <row r="21849" spans="5:10" s="34" customFormat="1" x14ac:dyDescent="0.35">
      <c r="E21849" s="35"/>
      <c r="J21849" s="41"/>
    </row>
    <row r="21850" spans="5:10" s="34" customFormat="1" x14ac:dyDescent="0.35">
      <c r="E21850" s="35"/>
      <c r="J21850" s="41"/>
    </row>
    <row r="21851" spans="5:10" s="34" customFormat="1" x14ac:dyDescent="0.35">
      <c r="E21851" s="35"/>
      <c r="J21851" s="41"/>
    </row>
    <row r="21852" spans="5:10" s="34" customFormat="1" x14ac:dyDescent="0.35">
      <c r="E21852" s="35"/>
      <c r="J21852" s="41"/>
    </row>
    <row r="21853" spans="5:10" s="34" customFormat="1" x14ac:dyDescent="0.35">
      <c r="E21853" s="35"/>
      <c r="J21853" s="41"/>
    </row>
    <row r="21854" spans="5:10" s="34" customFormat="1" x14ac:dyDescent="0.35">
      <c r="E21854" s="35"/>
      <c r="J21854" s="41"/>
    </row>
    <row r="21855" spans="5:10" s="34" customFormat="1" x14ac:dyDescent="0.35">
      <c r="E21855" s="35"/>
      <c r="J21855" s="41"/>
    </row>
    <row r="21856" spans="5:10" s="34" customFormat="1" x14ac:dyDescent="0.35">
      <c r="E21856" s="35"/>
      <c r="J21856" s="41"/>
    </row>
    <row r="21857" spans="5:10" s="34" customFormat="1" x14ac:dyDescent="0.35">
      <c r="E21857" s="35"/>
      <c r="J21857" s="41"/>
    </row>
    <row r="21858" spans="5:10" s="34" customFormat="1" x14ac:dyDescent="0.35">
      <c r="E21858" s="35"/>
      <c r="J21858" s="41"/>
    </row>
    <row r="21859" spans="5:10" s="34" customFormat="1" x14ac:dyDescent="0.35">
      <c r="E21859" s="35"/>
      <c r="J21859" s="41"/>
    </row>
    <row r="21860" spans="5:10" s="34" customFormat="1" x14ac:dyDescent="0.35">
      <c r="E21860" s="35"/>
      <c r="J21860" s="41"/>
    </row>
    <row r="21861" spans="5:10" s="34" customFormat="1" x14ac:dyDescent="0.35">
      <c r="E21861" s="35"/>
      <c r="J21861" s="41"/>
    </row>
    <row r="21862" spans="5:10" s="34" customFormat="1" x14ac:dyDescent="0.35">
      <c r="E21862" s="35"/>
      <c r="J21862" s="41"/>
    </row>
    <row r="21863" spans="5:10" s="34" customFormat="1" x14ac:dyDescent="0.35">
      <c r="E21863" s="35"/>
      <c r="J21863" s="41"/>
    </row>
    <row r="21864" spans="5:10" s="34" customFormat="1" x14ac:dyDescent="0.35">
      <c r="E21864" s="35"/>
      <c r="J21864" s="41"/>
    </row>
    <row r="21865" spans="5:10" s="34" customFormat="1" x14ac:dyDescent="0.35">
      <c r="E21865" s="35"/>
      <c r="J21865" s="41"/>
    </row>
    <row r="21866" spans="5:10" s="34" customFormat="1" x14ac:dyDescent="0.35">
      <c r="E21866" s="35"/>
      <c r="J21866" s="41"/>
    </row>
    <row r="21867" spans="5:10" s="34" customFormat="1" x14ac:dyDescent="0.35">
      <c r="E21867" s="35"/>
      <c r="J21867" s="41"/>
    </row>
    <row r="21868" spans="5:10" s="34" customFormat="1" x14ac:dyDescent="0.35">
      <c r="E21868" s="35"/>
      <c r="J21868" s="41"/>
    </row>
    <row r="21869" spans="5:10" s="34" customFormat="1" x14ac:dyDescent="0.35">
      <c r="E21869" s="35"/>
      <c r="J21869" s="41"/>
    </row>
    <row r="21870" spans="5:10" s="34" customFormat="1" x14ac:dyDescent="0.35">
      <c r="E21870" s="35"/>
      <c r="J21870" s="41"/>
    </row>
    <row r="21871" spans="5:10" s="34" customFormat="1" x14ac:dyDescent="0.35">
      <c r="E21871" s="35"/>
      <c r="J21871" s="41"/>
    </row>
    <row r="21872" spans="5:10" s="34" customFormat="1" x14ac:dyDescent="0.35">
      <c r="E21872" s="35"/>
      <c r="J21872" s="41"/>
    </row>
    <row r="21873" spans="5:10" s="34" customFormat="1" x14ac:dyDescent="0.35">
      <c r="E21873" s="35"/>
      <c r="J21873" s="41"/>
    </row>
    <row r="21874" spans="5:10" s="34" customFormat="1" x14ac:dyDescent="0.35">
      <c r="E21874" s="35"/>
      <c r="J21874" s="41"/>
    </row>
    <row r="21875" spans="5:10" s="34" customFormat="1" x14ac:dyDescent="0.35">
      <c r="E21875" s="35"/>
      <c r="J21875" s="41"/>
    </row>
    <row r="21876" spans="5:10" s="34" customFormat="1" x14ac:dyDescent="0.35">
      <c r="E21876" s="35"/>
      <c r="J21876" s="41"/>
    </row>
    <row r="21877" spans="5:10" s="34" customFormat="1" x14ac:dyDescent="0.35">
      <c r="E21877" s="35"/>
      <c r="J21877" s="41"/>
    </row>
    <row r="21878" spans="5:10" s="34" customFormat="1" x14ac:dyDescent="0.35">
      <c r="E21878" s="35"/>
      <c r="J21878" s="41"/>
    </row>
    <row r="21879" spans="5:10" s="34" customFormat="1" x14ac:dyDescent="0.35">
      <c r="E21879" s="35"/>
      <c r="J21879" s="41"/>
    </row>
    <row r="21880" spans="5:10" s="34" customFormat="1" x14ac:dyDescent="0.35">
      <c r="E21880" s="35"/>
      <c r="J21880" s="41"/>
    </row>
    <row r="21881" spans="5:10" s="34" customFormat="1" x14ac:dyDescent="0.35">
      <c r="E21881" s="35"/>
      <c r="J21881" s="41"/>
    </row>
    <row r="21882" spans="5:10" s="34" customFormat="1" x14ac:dyDescent="0.35">
      <c r="E21882" s="35"/>
      <c r="J21882" s="41"/>
    </row>
    <row r="21883" spans="5:10" s="34" customFormat="1" x14ac:dyDescent="0.35">
      <c r="E21883" s="35"/>
      <c r="J21883" s="41"/>
    </row>
    <row r="21884" spans="5:10" s="34" customFormat="1" x14ac:dyDescent="0.35">
      <c r="E21884" s="35"/>
      <c r="J21884" s="41"/>
    </row>
    <row r="21885" spans="5:10" s="34" customFormat="1" x14ac:dyDescent="0.35">
      <c r="E21885" s="35"/>
      <c r="J21885" s="41"/>
    </row>
    <row r="21886" spans="5:10" s="34" customFormat="1" x14ac:dyDescent="0.35">
      <c r="E21886" s="35"/>
      <c r="J21886" s="41"/>
    </row>
    <row r="21887" spans="5:10" s="34" customFormat="1" x14ac:dyDescent="0.35">
      <c r="E21887" s="35"/>
      <c r="J21887" s="41"/>
    </row>
    <row r="21888" spans="5:10" s="34" customFormat="1" x14ac:dyDescent="0.35">
      <c r="E21888" s="35"/>
      <c r="J21888" s="41"/>
    </row>
    <row r="21889" spans="5:10" s="34" customFormat="1" x14ac:dyDescent="0.35">
      <c r="E21889" s="35"/>
      <c r="J21889" s="41"/>
    </row>
    <row r="21890" spans="5:10" s="34" customFormat="1" x14ac:dyDescent="0.35">
      <c r="E21890" s="35"/>
      <c r="J21890" s="41"/>
    </row>
    <row r="21891" spans="5:10" s="34" customFormat="1" x14ac:dyDescent="0.35">
      <c r="E21891" s="35"/>
      <c r="J21891" s="41"/>
    </row>
    <row r="21892" spans="5:10" s="34" customFormat="1" x14ac:dyDescent="0.35">
      <c r="E21892" s="35"/>
      <c r="J21892" s="41"/>
    </row>
    <row r="21893" spans="5:10" s="34" customFormat="1" x14ac:dyDescent="0.35">
      <c r="E21893" s="35"/>
      <c r="J21893" s="41"/>
    </row>
    <row r="21894" spans="5:10" s="34" customFormat="1" x14ac:dyDescent="0.35">
      <c r="E21894" s="35"/>
      <c r="J21894" s="41"/>
    </row>
    <row r="21895" spans="5:10" s="34" customFormat="1" x14ac:dyDescent="0.35">
      <c r="E21895" s="35"/>
      <c r="J21895" s="41"/>
    </row>
    <row r="21896" spans="5:10" s="34" customFormat="1" x14ac:dyDescent="0.35">
      <c r="E21896" s="35"/>
      <c r="J21896" s="41"/>
    </row>
    <row r="21897" spans="5:10" s="34" customFormat="1" x14ac:dyDescent="0.35">
      <c r="E21897" s="35"/>
      <c r="J21897" s="41"/>
    </row>
    <row r="21898" spans="5:10" s="34" customFormat="1" x14ac:dyDescent="0.35">
      <c r="E21898" s="35"/>
      <c r="J21898" s="41"/>
    </row>
    <row r="21899" spans="5:10" s="34" customFormat="1" x14ac:dyDescent="0.35">
      <c r="E21899" s="35"/>
      <c r="J21899" s="41"/>
    </row>
    <row r="21900" spans="5:10" s="34" customFormat="1" x14ac:dyDescent="0.35">
      <c r="E21900" s="35"/>
      <c r="J21900" s="41"/>
    </row>
    <row r="21901" spans="5:10" s="34" customFormat="1" x14ac:dyDescent="0.35">
      <c r="E21901" s="35"/>
      <c r="J21901" s="41"/>
    </row>
    <row r="21902" spans="5:10" s="34" customFormat="1" x14ac:dyDescent="0.35">
      <c r="E21902" s="35"/>
      <c r="J21902" s="41"/>
    </row>
    <row r="21903" spans="5:10" s="34" customFormat="1" x14ac:dyDescent="0.35">
      <c r="E21903" s="35"/>
      <c r="J21903" s="41"/>
    </row>
    <row r="21904" spans="5:10" s="34" customFormat="1" x14ac:dyDescent="0.35">
      <c r="E21904" s="35"/>
      <c r="J21904" s="41"/>
    </row>
    <row r="21905" spans="5:10" s="34" customFormat="1" x14ac:dyDescent="0.35">
      <c r="E21905" s="35"/>
      <c r="J21905" s="41"/>
    </row>
    <row r="21906" spans="5:10" s="34" customFormat="1" x14ac:dyDescent="0.35">
      <c r="E21906" s="35"/>
      <c r="J21906" s="41"/>
    </row>
    <row r="21907" spans="5:10" s="34" customFormat="1" x14ac:dyDescent="0.35">
      <c r="E21907" s="35"/>
      <c r="J21907" s="41"/>
    </row>
    <row r="21908" spans="5:10" s="34" customFormat="1" x14ac:dyDescent="0.35">
      <c r="E21908" s="35"/>
      <c r="J21908" s="41"/>
    </row>
    <row r="21909" spans="5:10" s="34" customFormat="1" x14ac:dyDescent="0.35">
      <c r="E21909" s="35"/>
      <c r="J21909" s="41"/>
    </row>
    <row r="21910" spans="5:10" s="34" customFormat="1" x14ac:dyDescent="0.35">
      <c r="E21910" s="35"/>
      <c r="J21910" s="41"/>
    </row>
    <row r="21911" spans="5:10" s="34" customFormat="1" x14ac:dyDescent="0.35">
      <c r="E21911" s="35"/>
      <c r="J21911" s="41"/>
    </row>
    <row r="21912" spans="5:10" s="34" customFormat="1" x14ac:dyDescent="0.35">
      <c r="E21912" s="35"/>
      <c r="J21912" s="41"/>
    </row>
    <row r="21913" spans="5:10" s="34" customFormat="1" x14ac:dyDescent="0.35">
      <c r="E21913" s="35"/>
      <c r="J21913" s="41"/>
    </row>
    <row r="21914" spans="5:10" s="34" customFormat="1" x14ac:dyDescent="0.35">
      <c r="E21914" s="35"/>
      <c r="J21914" s="41"/>
    </row>
    <row r="21915" spans="5:10" s="34" customFormat="1" x14ac:dyDescent="0.35">
      <c r="E21915" s="35"/>
      <c r="J21915" s="41"/>
    </row>
    <row r="21916" spans="5:10" s="34" customFormat="1" x14ac:dyDescent="0.35">
      <c r="E21916" s="35"/>
      <c r="J21916" s="41"/>
    </row>
    <row r="21917" spans="5:10" s="34" customFormat="1" x14ac:dyDescent="0.35">
      <c r="E21917" s="35"/>
      <c r="J21917" s="41"/>
    </row>
    <row r="21918" spans="5:10" s="34" customFormat="1" x14ac:dyDescent="0.35">
      <c r="E21918" s="35"/>
      <c r="J21918" s="41"/>
    </row>
    <row r="21919" spans="5:10" s="34" customFormat="1" x14ac:dyDescent="0.35">
      <c r="E21919" s="35"/>
      <c r="J21919" s="41"/>
    </row>
    <row r="21920" spans="5:10" s="34" customFormat="1" x14ac:dyDescent="0.35">
      <c r="E21920" s="35"/>
      <c r="J21920" s="41"/>
    </row>
    <row r="21921" spans="5:10" s="34" customFormat="1" x14ac:dyDescent="0.35">
      <c r="E21921" s="35"/>
      <c r="J21921" s="41"/>
    </row>
    <row r="21922" spans="5:10" s="34" customFormat="1" x14ac:dyDescent="0.35">
      <c r="E21922" s="35"/>
      <c r="J21922" s="41"/>
    </row>
    <row r="21923" spans="5:10" s="34" customFormat="1" x14ac:dyDescent="0.35">
      <c r="E21923" s="35"/>
      <c r="J21923" s="41"/>
    </row>
    <row r="21924" spans="5:10" s="34" customFormat="1" x14ac:dyDescent="0.35">
      <c r="E21924" s="35"/>
      <c r="J21924" s="41"/>
    </row>
    <row r="21925" spans="5:10" s="34" customFormat="1" x14ac:dyDescent="0.35">
      <c r="E21925" s="35"/>
      <c r="J21925" s="41"/>
    </row>
    <row r="21926" spans="5:10" s="34" customFormat="1" x14ac:dyDescent="0.35">
      <c r="E21926" s="35"/>
      <c r="J21926" s="41"/>
    </row>
    <row r="21927" spans="5:10" s="34" customFormat="1" x14ac:dyDescent="0.35">
      <c r="E21927" s="35"/>
      <c r="J21927" s="41"/>
    </row>
    <row r="21928" spans="5:10" s="34" customFormat="1" x14ac:dyDescent="0.35">
      <c r="E21928" s="35"/>
      <c r="J21928" s="41"/>
    </row>
    <row r="21929" spans="5:10" s="34" customFormat="1" x14ac:dyDescent="0.35">
      <c r="E21929" s="35"/>
      <c r="J21929" s="41"/>
    </row>
    <row r="21930" spans="5:10" s="34" customFormat="1" x14ac:dyDescent="0.35">
      <c r="E21930" s="35"/>
      <c r="J21930" s="41"/>
    </row>
    <row r="21931" spans="5:10" s="34" customFormat="1" x14ac:dyDescent="0.35">
      <c r="E21931" s="35"/>
      <c r="J21931" s="41"/>
    </row>
    <row r="21932" spans="5:10" s="34" customFormat="1" x14ac:dyDescent="0.35">
      <c r="E21932" s="35"/>
      <c r="J21932" s="41"/>
    </row>
    <row r="21933" spans="5:10" s="34" customFormat="1" x14ac:dyDescent="0.35">
      <c r="E21933" s="35"/>
      <c r="J21933" s="41"/>
    </row>
    <row r="21934" spans="5:10" s="34" customFormat="1" x14ac:dyDescent="0.35">
      <c r="E21934" s="35"/>
      <c r="J21934" s="41"/>
    </row>
    <row r="21935" spans="5:10" s="34" customFormat="1" x14ac:dyDescent="0.35">
      <c r="E21935" s="35"/>
      <c r="J21935" s="41"/>
    </row>
    <row r="21936" spans="5:10" s="34" customFormat="1" x14ac:dyDescent="0.35">
      <c r="E21936" s="35"/>
      <c r="J21936" s="41"/>
    </row>
    <row r="21937" spans="5:10" s="34" customFormat="1" x14ac:dyDescent="0.35">
      <c r="E21937" s="35"/>
      <c r="J21937" s="41"/>
    </row>
    <row r="21938" spans="5:10" s="34" customFormat="1" x14ac:dyDescent="0.35">
      <c r="E21938" s="35"/>
      <c r="J21938" s="41"/>
    </row>
    <row r="21939" spans="5:10" s="34" customFormat="1" x14ac:dyDescent="0.35">
      <c r="E21939" s="35"/>
      <c r="J21939" s="41"/>
    </row>
    <row r="21940" spans="5:10" s="34" customFormat="1" x14ac:dyDescent="0.35">
      <c r="E21940" s="35"/>
      <c r="J21940" s="41"/>
    </row>
    <row r="21941" spans="5:10" s="34" customFormat="1" x14ac:dyDescent="0.35">
      <c r="E21941" s="35"/>
      <c r="J21941" s="41"/>
    </row>
    <row r="21942" spans="5:10" s="34" customFormat="1" x14ac:dyDescent="0.35">
      <c r="E21942" s="35"/>
      <c r="J21942" s="41"/>
    </row>
    <row r="21943" spans="5:10" s="34" customFormat="1" x14ac:dyDescent="0.35">
      <c r="E21943" s="35"/>
      <c r="J21943" s="41"/>
    </row>
    <row r="21944" spans="5:10" s="34" customFormat="1" x14ac:dyDescent="0.35">
      <c r="E21944" s="35"/>
      <c r="J21944" s="41"/>
    </row>
    <row r="21945" spans="5:10" s="34" customFormat="1" x14ac:dyDescent="0.35">
      <c r="E21945" s="35"/>
      <c r="J21945" s="41"/>
    </row>
    <row r="21946" spans="5:10" s="34" customFormat="1" x14ac:dyDescent="0.35">
      <c r="E21946" s="35"/>
      <c r="J21946" s="41"/>
    </row>
    <row r="21947" spans="5:10" s="34" customFormat="1" x14ac:dyDescent="0.35">
      <c r="E21947" s="35"/>
      <c r="J21947" s="41"/>
    </row>
    <row r="21948" spans="5:10" s="34" customFormat="1" x14ac:dyDescent="0.35">
      <c r="E21948" s="35"/>
      <c r="J21948" s="41"/>
    </row>
    <row r="21949" spans="5:10" s="34" customFormat="1" x14ac:dyDescent="0.35">
      <c r="E21949" s="35"/>
      <c r="J21949" s="41"/>
    </row>
    <row r="21950" spans="5:10" s="34" customFormat="1" x14ac:dyDescent="0.35">
      <c r="E21950" s="35"/>
      <c r="J21950" s="41"/>
    </row>
    <row r="21951" spans="5:10" s="34" customFormat="1" x14ac:dyDescent="0.35">
      <c r="E21951" s="35"/>
      <c r="J21951" s="41"/>
    </row>
    <row r="21952" spans="5:10" s="34" customFormat="1" x14ac:dyDescent="0.35">
      <c r="E21952" s="35"/>
      <c r="J21952" s="41"/>
    </row>
    <row r="21953" spans="5:10" s="34" customFormat="1" x14ac:dyDescent="0.35">
      <c r="E21953" s="35"/>
      <c r="J21953" s="41"/>
    </row>
    <row r="21954" spans="5:10" s="34" customFormat="1" x14ac:dyDescent="0.35">
      <c r="E21954" s="35"/>
      <c r="J21954" s="41"/>
    </row>
    <row r="21955" spans="5:10" s="34" customFormat="1" x14ac:dyDescent="0.35">
      <c r="E21955" s="35"/>
      <c r="J21955" s="41"/>
    </row>
    <row r="21956" spans="5:10" s="34" customFormat="1" x14ac:dyDescent="0.35">
      <c r="E21956" s="35"/>
      <c r="J21956" s="41"/>
    </row>
    <row r="21957" spans="5:10" s="34" customFormat="1" x14ac:dyDescent="0.35">
      <c r="E21957" s="35"/>
      <c r="J21957" s="41"/>
    </row>
    <row r="21958" spans="5:10" s="34" customFormat="1" x14ac:dyDescent="0.35">
      <c r="E21958" s="35"/>
      <c r="J21958" s="41"/>
    </row>
    <row r="21959" spans="5:10" s="34" customFormat="1" x14ac:dyDescent="0.35">
      <c r="E21959" s="35"/>
      <c r="J21959" s="41"/>
    </row>
    <row r="21960" spans="5:10" s="34" customFormat="1" x14ac:dyDescent="0.35">
      <c r="E21960" s="35"/>
      <c r="J21960" s="41"/>
    </row>
    <row r="21961" spans="5:10" s="34" customFormat="1" x14ac:dyDescent="0.35">
      <c r="E21961" s="35"/>
      <c r="J21961" s="41"/>
    </row>
    <row r="21962" spans="5:10" s="34" customFormat="1" x14ac:dyDescent="0.35">
      <c r="E21962" s="35"/>
      <c r="J21962" s="41"/>
    </row>
    <row r="21963" spans="5:10" s="34" customFormat="1" x14ac:dyDescent="0.35">
      <c r="E21963" s="35"/>
      <c r="J21963" s="41"/>
    </row>
    <row r="21964" spans="5:10" s="34" customFormat="1" x14ac:dyDescent="0.35">
      <c r="E21964" s="35"/>
      <c r="J21964" s="41"/>
    </row>
    <row r="21965" spans="5:10" s="34" customFormat="1" x14ac:dyDescent="0.35">
      <c r="E21965" s="35"/>
      <c r="J21965" s="41"/>
    </row>
    <row r="21966" spans="5:10" s="34" customFormat="1" x14ac:dyDescent="0.35">
      <c r="E21966" s="35"/>
      <c r="J21966" s="41"/>
    </row>
    <row r="21967" spans="5:10" s="34" customFormat="1" x14ac:dyDescent="0.35">
      <c r="E21967" s="35"/>
      <c r="J21967" s="41"/>
    </row>
    <row r="21968" spans="5:10" s="34" customFormat="1" x14ac:dyDescent="0.35">
      <c r="E21968" s="35"/>
      <c r="J21968" s="41"/>
    </row>
    <row r="21969" spans="5:10" s="34" customFormat="1" x14ac:dyDescent="0.35">
      <c r="E21969" s="35"/>
      <c r="J21969" s="41"/>
    </row>
    <row r="21970" spans="5:10" s="34" customFormat="1" x14ac:dyDescent="0.35">
      <c r="E21970" s="35"/>
      <c r="J21970" s="41"/>
    </row>
    <row r="21971" spans="5:10" s="34" customFormat="1" x14ac:dyDescent="0.35">
      <c r="E21971" s="35"/>
      <c r="J21971" s="41"/>
    </row>
    <row r="21972" spans="5:10" s="34" customFormat="1" x14ac:dyDescent="0.35">
      <c r="E21972" s="35"/>
      <c r="J21972" s="41"/>
    </row>
    <row r="21973" spans="5:10" s="34" customFormat="1" x14ac:dyDescent="0.35">
      <c r="E21973" s="35"/>
      <c r="J21973" s="41"/>
    </row>
    <row r="21974" spans="5:10" s="34" customFormat="1" x14ac:dyDescent="0.35">
      <c r="E21974" s="35"/>
      <c r="J21974" s="41"/>
    </row>
    <row r="21975" spans="5:10" s="34" customFormat="1" x14ac:dyDescent="0.35">
      <c r="E21975" s="35"/>
      <c r="J21975" s="41"/>
    </row>
    <row r="21976" spans="5:10" s="34" customFormat="1" x14ac:dyDescent="0.35">
      <c r="E21976" s="35"/>
      <c r="J21976" s="41"/>
    </row>
    <row r="21977" spans="5:10" s="34" customFormat="1" x14ac:dyDescent="0.35">
      <c r="E21977" s="35"/>
      <c r="J21977" s="41"/>
    </row>
    <row r="21978" spans="5:10" s="34" customFormat="1" x14ac:dyDescent="0.35">
      <c r="E21978" s="35"/>
      <c r="J21978" s="41"/>
    </row>
    <row r="21979" spans="5:10" s="34" customFormat="1" x14ac:dyDescent="0.35">
      <c r="E21979" s="35"/>
      <c r="J21979" s="41"/>
    </row>
    <row r="21980" spans="5:10" s="34" customFormat="1" x14ac:dyDescent="0.35">
      <c r="E21980" s="35"/>
      <c r="J21980" s="41"/>
    </row>
    <row r="21981" spans="5:10" s="34" customFormat="1" x14ac:dyDescent="0.35">
      <c r="E21981" s="35"/>
      <c r="J21981" s="41"/>
    </row>
    <row r="21982" spans="5:10" s="34" customFormat="1" x14ac:dyDescent="0.35">
      <c r="E21982" s="35"/>
      <c r="J21982" s="41"/>
    </row>
    <row r="21983" spans="5:10" s="34" customFormat="1" x14ac:dyDescent="0.35">
      <c r="E21983" s="35"/>
      <c r="J21983" s="41"/>
    </row>
    <row r="21984" spans="5:10" s="34" customFormat="1" x14ac:dyDescent="0.35">
      <c r="E21984" s="35"/>
      <c r="J21984" s="41"/>
    </row>
    <row r="21985" spans="5:10" s="34" customFormat="1" x14ac:dyDescent="0.35">
      <c r="E21985" s="35"/>
      <c r="J21985" s="41"/>
    </row>
    <row r="21986" spans="5:10" s="34" customFormat="1" x14ac:dyDescent="0.35">
      <c r="E21986" s="35"/>
      <c r="J21986" s="41"/>
    </row>
    <row r="21987" spans="5:10" s="34" customFormat="1" x14ac:dyDescent="0.35">
      <c r="E21987" s="35"/>
      <c r="J21987" s="41"/>
    </row>
    <row r="21988" spans="5:10" s="34" customFormat="1" x14ac:dyDescent="0.35">
      <c r="E21988" s="35"/>
      <c r="J21988" s="41"/>
    </row>
    <row r="21989" spans="5:10" s="34" customFormat="1" x14ac:dyDescent="0.35">
      <c r="E21989" s="35"/>
      <c r="J21989" s="41"/>
    </row>
    <row r="21990" spans="5:10" s="34" customFormat="1" x14ac:dyDescent="0.35">
      <c r="E21990" s="35"/>
      <c r="J21990" s="41"/>
    </row>
    <row r="21991" spans="5:10" s="34" customFormat="1" x14ac:dyDescent="0.35">
      <c r="E21991" s="35"/>
      <c r="J21991" s="41"/>
    </row>
    <row r="21992" spans="5:10" s="34" customFormat="1" x14ac:dyDescent="0.35">
      <c r="E21992" s="35"/>
      <c r="J21992" s="41"/>
    </row>
    <row r="21993" spans="5:10" s="34" customFormat="1" x14ac:dyDescent="0.35">
      <c r="E21993" s="35"/>
      <c r="J21993" s="41"/>
    </row>
    <row r="21994" spans="5:10" s="34" customFormat="1" x14ac:dyDescent="0.35">
      <c r="E21994" s="35"/>
      <c r="J21994" s="41"/>
    </row>
    <row r="21995" spans="5:10" s="34" customFormat="1" x14ac:dyDescent="0.35">
      <c r="E21995" s="35"/>
      <c r="J21995" s="41"/>
    </row>
    <row r="21996" spans="5:10" s="34" customFormat="1" x14ac:dyDescent="0.35">
      <c r="E21996" s="35"/>
      <c r="J21996" s="41"/>
    </row>
    <row r="21997" spans="5:10" s="34" customFormat="1" x14ac:dyDescent="0.35">
      <c r="E21997" s="35"/>
      <c r="J21997" s="41"/>
    </row>
    <row r="21998" spans="5:10" s="34" customFormat="1" x14ac:dyDescent="0.35">
      <c r="E21998" s="35"/>
      <c r="J21998" s="41"/>
    </row>
    <row r="21999" spans="5:10" s="34" customFormat="1" x14ac:dyDescent="0.35">
      <c r="E21999" s="35"/>
      <c r="J21999" s="41"/>
    </row>
    <row r="22000" spans="5:10" s="34" customFormat="1" x14ac:dyDescent="0.35">
      <c r="E22000" s="35"/>
      <c r="J22000" s="41"/>
    </row>
    <row r="22001" spans="5:10" s="34" customFormat="1" x14ac:dyDescent="0.35">
      <c r="E22001" s="35"/>
      <c r="J22001" s="41"/>
    </row>
    <row r="22002" spans="5:10" s="34" customFormat="1" x14ac:dyDescent="0.35">
      <c r="E22002" s="35"/>
      <c r="J22002" s="41"/>
    </row>
    <row r="22003" spans="5:10" s="34" customFormat="1" x14ac:dyDescent="0.35">
      <c r="E22003" s="35"/>
      <c r="J22003" s="41"/>
    </row>
    <row r="22004" spans="5:10" s="34" customFormat="1" x14ac:dyDescent="0.35">
      <c r="E22004" s="35"/>
      <c r="J22004" s="41"/>
    </row>
    <row r="22005" spans="5:10" s="34" customFormat="1" x14ac:dyDescent="0.35">
      <c r="E22005" s="35"/>
      <c r="J22005" s="41"/>
    </row>
    <row r="22006" spans="5:10" s="34" customFormat="1" x14ac:dyDescent="0.35">
      <c r="E22006" s="35"/>
      <c r="J22006" s="41"/>
    </row>
    <row r="22007" spans="5:10" s="34" customFormat="1" x14ac:dyDescent="0.35">
      <c r="E22007" s="35"/>
      <c r="J22007" s="41"/>
    </row>
    <row r="22008" spans="5:10" s="34" customFormat="1" x14ac:dyDescent="0.35">
      <c r="E22008" s="35"/>
      <c r="J22008" s="41"/>
    </row>
    <row r="22009" spans="5:10" s="34" customFormat="1" x14ac:dyDescent="0.35">
      <c r="E22009" s="35"/>
      <c r="J22009" s="41"/>
    </row>
    <row r="22010" spans="5:10" s="34" customFormat="1" x14ac:dyDescent="0.35">
      <c r="E22010" s="35"/>
      <c r="J22010" s="41"/>
    </row>
    <row r="22011" spans="5:10" s="34" customFormat="1" x14ac:dyDescent="0.35">
      <c r="E22011" s="35"/>
      <c r="J22011" s="41"/>
    </row>
    <row r="22012" spans="5:10" s="34" customFormat="1" x14ac:dyDescent="0.35">
      <c r="E22012" s="35"/>
      <c r="J22012" s="41"/>
    </row>
    <row r="22013" spans="5:10" s="34" customFormat="1" x14ac:dyDescent="0.35">
      <c r="E22013" s="35"/>
      <c r="J22013" s="41"/>
    </row>
    <row r="22014" spans="5:10" s="34" customFormat="1" x14ac:dyDescent="0.35">
      <c r="E22014" s="35"/>
      <c r="J22014" s="41"/>
    </row>
    <row r="22015" spans="5:10" s="34" customFormat="1" x14ac:dyDescent="0.35">
      <c r="E22015" s="35"/>
      <c r="J22015" s="41"/>
    </row>
    <row r="22016" spans="5:10" s="34" customFormat="1" x14ac:dyDescent="0.35">
      <c r="E22016" s="35"/>
      <c r="J22016" s="41"/>
    </row>
    <row r="22017" spans="5:10" s="34" customFormat="1" x14ac:dyDescent="0.35">
      <c r="E22017" s="35"/>
      <c r="J22017" s="41"/>
    </row>
    <row r="22018" spans="5:10" s="34" customFormat="1" x14ac:dyDescent="0.35">
      <c r="E22018" s="35"/>
      <c r="J22018" s="41"/>
    </row>
    <row r="22019" spans="5:10" s="34" customFormat="1" x14ac:dyDescent="0.35">
      <c r="E22019" s="35"/>
      <c r="J22019" s="41"/>
    </row>
    <row r="22020" spans="5:10" s="34" customFormat="1" x14ac:dyDescent="0.35">
      <c r="E22020" s="35"/>
      <c r="J22020" s="41"/>
    </row>
    <row r="22021" spans="5:10" s="34" customFormat="1" x14ac:dyDescent="0.35">
      <c r="E22021" s="35"/>
      <c r="J22021" s="41"/>
    </row>
    <row r="22022" spans="5:10" s="34" customFormat="1" x14ac:dyDescent="0.35">
      <c r="E22022" s="35"/>
      <c r="J22022" s="41"/>
    </row>
    <row r="22023" spans="5:10" s="34" customFormat="1" x14ac:dyDescent="0.35">
      <c r="E22023" s="35"/>
      <c r="J22023" s="41"/>
    </row>
    <row r="22024" spans="5:10" s="34" customFormat="1" x14ac:dyDescent="0.35">
      <c r="E22024" s="35"/>
      <c r="J22024" s="41"/>
    </row>
    <row r="22025" spans="5:10" s="34" customFormat="1" x14ac:dyDescent="0.35">
      <c r="E22025" s="35"/>
      <c r="J22025" s="41"/>
    </row>
    <row r="22026" spans="5:10" s="34" customFormat="1" x14ac:dyDescent="0.35">
      <c r="E22026" s="35"/>
      <c r="J22026" s="41"/>
    </row>
    <row r="22027" spans="5:10" s="34" customFormat="1" x14ac:dyDescent="0.35">
      <c r="E22027" s="35"/>
      <c r="J22027" s="41"/>
    </row>
    <row r="22028" spans="5:10" s="34" customFormat="1" x14ac:dyDescent="0.35">
      <c r="E22028" s="35"/>
      <c r="J22028" s="41"/>
    </row>
    <row r="22029" spans="5:10" s="34" customFormat="1" x14ac:dyDescent="0.35">
      <c r="E22029" s="35"/>
      <c r="J22029" s="41"/>
    </row>
    <row r="22030" spans="5:10" s="34" customFormat="1" x14ac:dyDescent="0.35">
      <c r="E22030" s="35"/>
      <c r="J22030" s="41"/>
    </row>
    <row r="22031" spans="5:10" s="34" customFormat="1" x14ac:dyDescent="0.35">
      <c r="E22031" s="35"/>
      <c r="J22031" s="41"/>
    </row>
    <row r="22032" spans="5:10" s="34" customFormat="1" x14ac:dyDescent="0.35">
      <c r="E22032" s="35"/>
      <c r="J22032" s="41"/>
    </row>
    <row r="22033" spans="5:10" s="34" customFormat="1" x14ac:dyDescent="0.35">
      <c r="E22033" s="35"/>
      <c r="J22033" s="41"/>
    </row>
    <row r="22034" spans="5:10" s="34" customFormat="1" x14ac:dyDescent="0.35">
      <c r="E22034" s="35"/>
      <c r="J22034" s="41"/>
    </row>
    <row r="22035" spans="5:10" s="34" customFormat="1" x14ac:dyDescent="0.35">
      <c r="E22035" s="35"/>
      <c r="J22035" s="41"/>
    </row>
    <row r="22036" spans="5:10" s="34" customFormat="1" x14ac:dyDescent="0.35">
      <c r="E22036" s="35"/>
      <c r="J22036" s="41"/>
    </row>
    <row r="22037" spans="5:10" s="34" customFormat="1" x14ac:dyDescent="0.35">
      <c r="E22037" s="35"/>
      <c r="J22037" s="41"/>
    </row>
    <row r="22038" spans="5:10" s="34" customFormat="1" x14ac:dyDescent="0.35">
      <c r="E22038" s="35"/>
      <c r="J22038" s="41"/>
    </row>
    <row r="22039" spans="5:10" s="34" customFormat="1" x14ac:dyDescent="0.35">
      <c r="E22039" s="35"/>
      <c r="J22039" s="41"/>
    </row>
    <row r="22040" spans="5:10" s="34" customFormat="1" x14ac:dyDescent="0.35">
      <c r="E22040" s="35"/>
      <c r="J22040" s="41"/>
    </row>
    <row r="22041" spans="5:10" s="34" customFormat="1" x14ac:dyDescent="0.35">
      <c r="E22041" s="35"/>
      <c r="J22041" s="41"/>
    </row>
    <row r="22042" spans="5:10" s="34" customFormat="1" x14ac:dyDescent="0.35">
      <c r="E22042" s="35"/>
      <c r="J22042" s="41"/>
    </row>
    <row r="22043" spans="5:10" s="34" customFormat="1" x14ac:dyDescent="0.35">
      <c r="E22043" s="35"/>
      <c r="J22043" s="41"/>
    </row>
    <row r="22044" spans="5:10" s="34" customFormat="1" x14ac:dyDescent="0.35">
      <c r="E22044" s="35"/>
      <c r="J22044" s="41"/>
    </row>
    <row r="22045" spans="5:10" s="34" customFormat="1" x14ac:dyDescent="0.35">
      <c r="E22045" s="35"/>
      <c r="J22045" s="41"/>
    </row>
    <row r="22046" spans="5:10" s="34" customFormat="1" x14ac:dyDescent="0.35">
      <c r="E22046" s="35"/>
      <c r="J22046" s="41"/>
    </row>
    <row r="22047" spans="5:10" s="34" customFormat="1" x14ac:dyDescent="0.35">
      <c r="E22047" s="35"/>
      <c r="J22047" s="41"/>
    </row>
    <row r="22048" spans="5:10" s="34" customFormat="1" x14ac:dyDescent="0.35">
      <c r="E22048" s="35"/>
      <c r="J22048" s="41"/>
    </row>
    <row r="22049" spans="5:10" s="34" customFormat="1" x14ac:dyDescent="0.35">
      <c r="E22049" s="35"/>
      <c r="J22049" s="41"/>
    </row>
    <row r="22050" spans="5:10" s="34" customFormat="1" x14ac:dyDescent="0.35">
      <c r="E22050" s="35"/>
      <c r="J22050" s="41"/>
    </row>
    <row r="22051" spans="5:10" s="34" customFormat="1" x14ac:dyDescent="0.35">
      <c r="E22051" s="35"/>
      <c r="J22051" s="41"/>
    </row>
    <row r="22052" spans="5:10" s="34" customFormat="1" x14ac:dyDescent="0.35">
      <c r="E22052" s="35"/>
      <c r="J22052" s="41"/>
    </row>
    <row r="22053" spans="5:10" s="34" customFormat="1" x14ac:dyDescent="0.35">
      <c r="E22053" s="35"/>
      <c r="J22053" s="41"/>
    </row>
    <row r="22054" spans="5:10" s="34" customFormat="1" x14ac:dyDescent="0.35">
      <c r="E22054" s="35"/>
      <c r="J22054" s="41"/>
    </row>
    <row r="22055" spans="5:10" s="34" customFormat="1" x14ac:dyDescent="0.35">
      <c r="E22055" s="35"/>
      <c r="J22055" s="41"/>
    </row>
    <row r="22056" spans="5:10" s="34" customFormat="1" x14ac:dyDescent="0.35">
      <c r="E22056" s="35"/>
      <c r="J22056" s="41"/>
    </row>
    <row r="22057" spans="5:10" s="34" customFormat="1" x14ac:dyDescent="0.35">
      <c r="E22057" s="35"/>
      <c r="J22057" s="41"/>
    </row>
    <row r="22058" spans="5:10" s="34" customFormat="1" x14ac:dyDescent="0.35">
      <c r="E22058" s="35"/>
      <c r="J22058" s="41"/>
    </row>
    <row r="22059" spans="5:10" s="34" customFormat="1" x14ac:dyDescent="0.35">
      <c r="E22059" s="35"/>
      <c r="J22059" s="41"/>
    </row>
    <row r="22060" spans="5:10" s="34" customFormat="1" x14ac:dyDescent="0.35">
      <c r="E22060" s="35"/>
      <c r="J22060" s="41"/>
    </row>
    <row r="22061" spans="5:10" s="34" customFormat="1" x14ac:dyDescent="0.35">
      <c r="E22061" s="35"/>
      <c r="J22061" s="41"/>
    </row>
    <row r="22062" spans="5:10" s="34" customFormat="1" x14ac:dyDescent="0.35">
      <c r="E22062" s="35"/>
      <c r="J22062" s="41"/>
    </row>
    <row r="22063" spans="5:10" s="34" customFormat="1" x14ac:dyDescent="0.35">
      <c r="E22063" s="35"/>
      <c r="J22063" s="41"/>
    </row>
    <row r="22064" spans="5:10" s="34" customFormat="1" x14ac:dyDescent="0.35">
      <c r="E22064" s="35"/>
      <c r="J22064" s="41"/>
    </row>
    <row r="22065" spans="5:10" s="34" customFormat="1" x14ac:dyDescent="0.35">
      <c r="E22065" s="35"/>
      <c r="J22065" s="41"/>
    </row>
    <row r="22066" spans="5:10" s="34" customFormat="1" x14ac:dyDescent="0.35">
      <c r="E22066" s="35"/>
      <c r="J22066" s="41"/>
    </row>
    <row r="22067" spans="5:10" s="34" customFormat="1" x14ac:dyDescent="0.35">
      <c r="E22067" s="35"/>
      <c r="J22067" s="41"/>
    </row>
    <row r="22068" spans="5:10" s="34" customFormat="1" x14ac:dyDescent="0.35">
      <c r="E22068" s="35"/>
      <c r="J22068" s="41"/>
    </row>
    <row r="22069" spans="5:10" s="34" customFormat="1" x14ac:dyDescent="0.35">
      <c r="E22069" s="35"/>
      <c r="J22069" s="41"/>
    </row>
    <row r="22070" spans="5:10" s="34" customFormat="1" x14ac:dyDescent="0.35">
      <c r="E22070" s="35"/>
      <c r="J22070" s="41"/>
    </row>
    <row r="22071" spans="5:10" s="34" customFormat="1" x14ac:dyDescent="0.35">
      <c r="E22071" s="35"/>
      <c r="J22071" s="41"/>
    </row>
    <row r="22072" spans="5:10" s="34" customFormat="1" x14ac:dyDescent="0.35">
      <c r="E22072" s="35"/>
      <c r="J22072" s="41"/>
    </row>
    <row r="22073" spans="5:10" s="34" customFormat="1" x14ac:dyDescent="0.35">
      <c r="E22073" s="35"/>
      <c r="J22073" s="41"/>
    </row>
    <row r="22074" spans="5:10" s="34" customFormat="1" x14ac:dyDescent="0.35">
      <c r="E22074" s="35"/>
      <c r="J22074" s="41"/>
    </row>
    <row r="22075" spans="5:10" s="34" customFormat="1" x14ac:dyDescent="0.35">
      <c r="E22075" s="35"/>
      <c r="J22075" s="41"/>
    </row>
    <row r="22076" spans="5:10" s="34" customFormat="1" x14ac:dyDescent="0.35">
      <c r="E22076" s="35"/>
      <c r="J22076" s="41"/>
    </row>
    <row r="22077" spans="5:10" s="34" customFormat="1" x14ac:dyDescent="0.35">
      <c r="E22077" s="35"/>
      <c r="J22077" s="41"/>
    </row>
    <row r="22078" spans="5:10" s="34" customFormat="1" x14ac:dyDescent="0.35">
      <c r="E22078" s="35"/>
      <c r="J22078" s="41"/>
    </row>
    <row r="22079" spans="5:10" s="34" customFormat="1" x14ac:dyDescent="0.35">
      <c r="E22079" s="35"/>
      <c r="J22079" s="41"/>
    </row>
    <row r="22080" spans="5:10" s="34" customFormat="1" x14ac:dyDescent="0.35">
      <c r="E22080" s="35"/>
      <c r="J22080" s="41"/>
    </row>
    <row r="22081" spans="5:10" s="34" customFormat="1" x14ac:dyDescent="0.35">
      <c r="E22081" s="35"/>
      <c r="J22081" s="41"/>
    </row>
    <row r="22082" spans="5:10" s="34" customFormat="1" x14ac:dyDescent="0.35">
      <c r="E22082" s="35"/>
      <c r="J22082" s="41"/>
    </row>
    <row r="22083" spans="5:10" s="34" customFormat="1" x14ac:dyDescent="0.35">
      <c r="E22083" s="35"/>
      <c r="J22083" s="41"/>
    </row>
    <row r="22084" spans="5:10" s="34" customFormat="1" x14ac:dyDescent="0.35">
      <c r="E22084" s="35"/>
      <c r="J22084" s="41"/>
    </row>
    <row r="22085" spans="5:10" s="34" customFormat="1" x14ac:dyDescent="0.35">
      <c r="E22085" s="35"/>
      <c r="J22085" s="41"/>
    </row>
    <row r="22086" spans="5:10" s="34" customFormat="1" x14ac:dyDescent="0.35">
      <c r="E22086" s="35"/>
      <c r="J22086" s="41"/>
    </row>
    <row r="22087" spans="5:10" s="34" customFormat="1" x14ac:dyDescent="0.35">
      <c r="E22087" s="35"/>
      <c r="J22087" s="41"/>
    </row>
    <row r="22088" spans="5:10" s="34" customFormat="1" x14ac:dyDescent="0.35">
      <c r="E22088" s="35"/>
      <c r="J22088" s="41"/>
    </row>
    <row r="22089" spans="5:10" s="34" customFormat="1" x14ac:dyDescent="0.35">
      <c r="E22089" s="35"/>
      <c r="J22089" s="41"/>
    </row>
    <row r="22090" spans="5:10" s="34" customFormat="1" x14ac:dyDescent="0.35">
      <c r="E22090" s="35"/>
      <c r="J22090" s="41"/>
    </row>
    <row r="22091" spans="5:10" s="34" customFormat="1" x14ac:dyDescent="0.35">
      <c r="E22091" s="35"/>
      <c r="J22091" s="41"/>
    </row>
    <row r="22092" spans="5:10" s="34" customFormat="1" x14ac:dyDescent="0.35">
      <c r="E22092" s="35"/>
      <c r="J22092" s="41"/>
    </row>
    <row r="22093" spans="5:10" s="34" customFormat="1" x14ac:dyDescent="0.35">
      <c r="E22093" s="35"/>
      <c r="J22093" s="41"/>
    </row>
    <row r="22094" spans="5:10" s="34" customFormat="1" x14ac:dyDescent="0.35">
      <c r="E22094" s="35"/>
      <c r="J22094" s="41"/>
    </row>
    <row r="22095" spans="5:10" s="34" customFormat="1" x14ac:dyDescent="0.35">
      <c r="E22095" s="35"/>
      <c r="J22095" s="41"/>
    </row>
    <row r="22096" spans="5:10" s="34" customFormat="1" x14ac:dyDescent="0.35">
      <c r="E22096" s="35"/>
      <c r="J22096" s="41"/>
    </row>
    <row r="22097" spans="5:10" s="34" customFormat="1" x14ac:dyDescent="0.35">
      <c r="E22097" s="35"/>
      <c r="J22097" s="41"/>
    </row>
    <row r="22098" spans="5:10" s="34" customFormat="1" x14ac:dyDescent="0.35">
      <c r="E22098" s="35"/>
      <c r="J22098" s="41"/>
    </row>
    <row r="22099" spans="5:10" s="34" customFormat="1" x14ac:dyDescent="0.35">
      <c r="E22099" s="35"/>
      <c r="J22099" s="41"/>
    </row>
    <row r="22100" spans="5:10" s="34" customFormat="1" x14ac:dyDescent="0.35">
      <c r="E22100" s="35"/>
      <c r="J22100" s="41"/>
    </row>
    <row r="22101" spans="5:10" s="34" customFormat="1" x14ac:dyDescent="0.35">
      <c r="E22101" s="35"/>
      <c r="J22101" s="41"/>
    </row>
    <row r="22102" spans="5:10" s="34" customFormat="1" x14ac:dyDescent="0.35">
      <c r="E22102" s="35"/>
      <c r="J22102" s="41"/>
    </row>
    <row r="22103" spans="5:10" s="34" customFormat="1" x14ac:dyDescent="0.35">
      <c r="E22103" s="35"/>
      <c r="J22103" s="41"/>
    </row>
    <row r="22104" spans="5:10" s="34" customFormat="1" x14ac:dyDescent="0.35">
      <c r="E22104" s="35"/>
      <c r="J22104" s="41"/>
    </row>
    <row r="22105" spans="5:10" s="34" customFormat="1" x14ac:dyDescent="0.35">
      <c r="E22105" s="35"/>
      <c r="J22105" s="41"/>
    </row>
    <row r="22106" spans="5:10" s="34" customFormat="1" x14ac:dyDescent="0.35">
      <c r="E22106" s="35"/>
      <c r="J22106" s="41"/>
    </row>
    <row r="22107" spans="5:10" s="34" customFormat="1" x14ac:dyDescent="0.35">
      <c r="E22107" s="35"/>
      <c r="J22107" s="41"/>
    </row>
    <row r="22108" spans="5:10" s="34" customFormat="1" x14ac:dyDescent="0.35">
      <c r="E22108" s="35"/>
      <c r="J22108" s="41"/>
    </row>
    <row r="22109" spans="5:10" s="34" customFormat="1" x14ac:dyDescent="0.35">
      <c r="E22109" s="35"/>
      <c r="J22109" s="41"/>
    </row>
    <row r="22110" spans="5:10" s="34" customFormat="1" x14ac:dyDescent="0.35">
      <c r="E22110" s="35"/>
      <c r="J22110" s="41"/>
    </row>
    <row r="22111" spans="5:10" s="34" customFormat="1" x14ac:dyDescent="0.35">
      <c r="E22111" s="35"/>
      <c r="J22111" s="41"/>
    </row>
    <row r="22112" spans="5:10" s="34" customFormat="1" x14ac:dyDescent="0.35">
      <c r="E22112" s="35"/>
      <c r="J22112" s="41"/>
    </row>
    <row r="22113" spans="5:10" s="34" customFormat="1" x14ac:dyDescent="0.35">
      <c r="E22113" s="35"/>
      <c r="J22113" s="41"/>
    </row>
    <row r="22114" spans="5:10" s="34" customFormat="1" x14ac:dyDescent="0.35">
      <c r="E22114" s="35"/>
      <c r="J22114" s="41"/>
    </row>
    <row r="22115" spans="5:10" s="34" customFormat="1" x14ac:dyDescent="0.35">
      <c r="E22115" s="35"/>
      <c r="J22115" s="41"/>
    </row>
    <row r="22116" spans="5:10" s="34" customFormat="1" x14ac:dyDescent="0.35">
      <c r="E22116" s="35"/>
      <c r="J22116" s="41"/>
    </row>
    <row r="22117" spans="5:10" s="34" customFormat="1" x14ac:dyDescent="0.35">
      <c r="E22117" s="35"/>
      <c r="J22117" s="41"/>
    </row>
    <row r="22118" spans="5:10" s="34" customFormat="1" x14ac:dyDescent="0.35">
      <c r="E22118" s="35"/>
      <c r="J22118" s="41"/>
    </row>
    <row r="22119" spans="5:10" s="34" customFormat="1" x14ac:dyDescent="0.35">
      <c r="E22119" s="35"/>
      <c r="J22119" s="41"/>
    </row>
    <row r="22120" spans="5:10" s="34" customFormat="1" x14ac:dyDescent="0.35">
      <c r="E22120" s="35"/>
      <c r="J22120" s="41"/>
    </row>
    <row r="22121" spans="5:10" s="34" customFormat="1" x14ac:dyDescent="0.35">
      <c r="E22121" s="35"/>
      <c r="J22121" s="41"/>
    </row>
    <row r="22122" spans="5:10" s="34" customFormat="1" x14ac:dyDescent="0.35">
      <c r="E22122" s="35"/>
      <c r="J22122" s="41"/>
    </row>
    <row r="22123" spans="5:10" s="34" customFormat="1" x14ac:dyDescent="0.35">
      <c r="E22123" s="35"/>
      <c r="J22123" s="41"/>
    </row>
    <row r="22124" spans="5:10" s="34" customFormat="1" x14ac:dyDescent="0.35">
      <c r="E22124" s="35"/>
      <c r="J22124" s="41"/>
    </row>
    <row r="22125" spans="5:10" s="34" customFormat="1" x14ac:dyDescent="0.35">
      <c r="E22125" s="35"/>
      <c r="J22125" s="41"/>
    </row>
    <row r="22126" spans="5:10" s="34" customFormat="1" x14ac:dyDescent="0.35">
      <c r="E22126" s="35"/>
      <c r="J22126" s="41"/>
    </row>
    <row r="22127" spans="5:10" s="34" customFormat="1" x14ac:dyDescent="0.35">
      <c r="E22127" s="35"/>
      <c r="J22127" s="41"/>
    </row>
    <row r="22128" spans="5:10" s="34" customFormat="1" x14ac:dyDescent="0.35">
      <c r="E22128" s="35"/>
      <c r="J22128" s="41"/>
    </row>
    <row r="22129" spans="5:10" s="34" customFormat="1" x14ac:dyDescent="0.35">
      <c r="E22129" s="35"/>
      <c r="J22129" s="41"/>
    </row>
    <row r="22130" spans="5:10" s="34" customFormat="1" x14ac:dyDescent="0.35">
      <c r="E22130" s="35"/>
      <c r="J22130" s="41"/>
    </row>
    <row r="22131" spans="5:10" s="34" customFormat="1" x14ac:dyDescent="0.35">
      <c r="E22131" s="35"/>
      <c r="J22131" s="41"/>
    </row>
    <row r="22132" spans="5:10" s="34" customFormat="1" x14ac:dyDescent="0.35">
      <c r="E22132" s="35"/>
      <c r="J22132" s="41"/>
    </row>
    <row r="22133" spans="5:10" s="34" customFormat="1" x14ac:dyDescent="0.35">
      <c r="E22133" s="35"/>
      <c r="J22133" s="41"/>
    </row>
    <row r="22134" spans="5:10" s="34" customFormat="1" x14ac:dyDescent="0.35">
      <c r="E22134" s="35"/>
      <c r="J22134" s="41"/>
    </row>
    <row r="22135" spans="5:10" s="34" customFormat="1" x14ac:dyDescent="0.35">
      <c r="E22135" s="35"/>
      <c r="J22135" s="41"/>
    </row>
    <row r="22136" spans="5:10" s="34" customFormat="1" x14ac:dyDescent="0.35">
      <c r="E22136" s="35"/>
      <c r="J22136" s="41"/>
    </row>
    <row r="22137" spans="5:10" s="34" customFormat="1" x14ac:dyDescent="0.35">
      <c r="E22137" s="35"/>
      <c r="J22137" s="41"/>
    </row>
    <row r="22138" spans="5:10" s="34" customFormat="1" x14ac:dyDescent="0.35">
      <c r="E22138" s="35"/>
      <c r="J22138" s="41"/>
    </row>
    <row r="22139" spans="5:10" s="34" customFormat="1" x14ac:dyDescent="0.35">
      <c r="E22139" s="35"/>
      <c r="J22139" s="41"/>
    </row>
    <row r="22140" spans="5:10" s="34" customFormat="1" x14ac:dyDescent="0.35">
      <c r="E22140" s="35"/>
      <c r="J22140" s="41"/>
    </row>
    <row r="22141" spans="5:10" s="34" customFormat="1" x14ac:dyDescent="0.35">
      <c r="E22141" s="35"/>
      <c r="J22141" s="41"/>
    </row>
    <row r="22142" spans="5:10" s="34" customFormat="1" x14ac:dyDescent="0.35">
      <c r="E22142" s="35"/>
      <c r="J22142" s="41"/>
    </row>
    <row r="22143" spans="5:10" s="34" customFormat="1" x14ac:dyDescent="0.35">
      <c r="E22143" s="35"/>
      <c r="J22143" s="41"/>
    </row>
    <row r="22144" spans="5:10" s="34" customFormat="1" x14ac:dyDescent="0.35">
      <c r="E22144" s="35"/>
      <c r="J22144" s="41"/>
    </row>
    <row r="22145" spans="5:10" s="34" customFormat="1" x14ac:dyDescent="0.35">
      <c r="E22145" s="35"/>
      <c r="J22145" s="41"/>
    </row>
    <row r="22146" spans="5:10" s="34" customFormat="1" x14ac:dyDescent="0.35">
      <c r="E22146" s="35"/>
      <c r="J22146" s="41"/>
    </row>
    <row r="22147" spans="5:10" s="34" customFormat="1" x14ac:dyDescent="0.35">
      <c r="E22147" s="35"/>
      <c r="J22147" s="41"/>
    </row>
    <row r="22148" spans="5:10" s="34" customFormat="1" x14ac:dyDescent="0.35">
      <c r="E22148" s="35"/>
      <c r="J22148" s="41"/>
    </row>
    <row r="22149" spans="5:10" s="34" customFormat="1" x14ac:dyDescent="0.35">
      <c r="E22149" s="35"/>
      <c r="J22149" s="41"/>
    </row>
    <row r="22150" spans="5:10" s="34" customFormat="1" x14ac:dyDescent="0.35">
      <c r="E22150" s="35"/>
      <c r="J22150" s="41"/>
    </row>
    <row r="22151" spans="5:10" s="34" customFormat="1" x14ac:dyDescent="0.35">
      <c r="E22151" s="35"/>
      <c r="J22151" s="41"/>
    </row>
    <row r="22152" spans="5:10" s="34" customFormat="1" x14ac:dyDescent="0.35">
      <c r="E22152" s="35"/>
      <c r="J22152" s="41"/>
    </row>
    <row r="22153" spans="5:10" s="34" customFormat="1" x14ac:dyDescent="0.35">
      <c r="E22153" s="35"/>
      <c r="J22153" s="41"/>
    </row>
    <row r="22154" spans="5:10" s="34" customFormat="1" x14ac:dyDescent="0.35">
      <c r="E22154" s="35"/>
      <c r="J22154" s="41"/>
    </row>
    <row r="22155" spans="5:10" s="34" customFormat="1" x14ac:dyDescent="0.35">
      <c r="E22155" s="35"/>
      <c r="J22155" s="41"/>
    </row>
    <row r="22156" spans="5:10" s="34" customFormat="1" x14ac:dyDescent="0.35">
      <c r="E22156" s="35"/>
      <c r="J22156" s="41"/>
    </row>
    <row r="22157" spans="5:10" s="34" customFormat="1" x14ac:dyDescent="0.35">
      <c r="E22157" s="35"/>
      <c r="J22157" s="41"/>
    </row>
    <row r="22158" spans="5:10" s="34" customFormat="1" x14ac:dyDescent="0.35">
      <c r="E22158" s="35"/>
      <c r="J22158" s="41"/>
    </row>
    <row r="22159" spans="5:10" s="34" customFormat="1" x14ac:dyDescent="0.35">
      <c r="E22159" s="35"/>
      <c r="J22159" s="41"/>
    </row>
    <row r="22160" spans="5:10" s="34" customFormat="1" x14ac:dyDescent="0.35">
      <c r="E22160" s="35"/>
      <c r="J22160" s="41"/>
    </row>
    <row r="22161" spans="5:10" s="34" customFormat="1" x14ac:dyDescent="0.35">
      <c r="E22161" s="35"/>
      <c r="J22161" s="41"/>
    </row>
    <row r="22162" spans="5:10" s="34" customFormat="1" x14ac:dyDescent="0.35">
      <c r="E22162" s="35"/>
      <c r="J22162" s="41"/>
    </row>
    <row r="22163" spans="5:10" s="34" customFormat="1" x14ac:dyDescent="0.35">
      <c r="E22163" s="35"/>
      <c r="J22163" s="41"/>
    </row>
    <row r="22164" spans="5:10" s="34" customFormat="1" x14ac:dyDescent="0.35">
      <c r="E22164" s="35"/>
      <c r="J22164" s="41"/>
    </row>
    <row r="22165" spans="5:10" s="34" customFormat="1" x14ac:dyDescent="0.35">
      <c r="E22165" s="35"/>
      <c r="J22165" s="41"/>
    </row>
    <row r="22166" spans="5:10" s="34" customFormat="1" x14ac:dyDescent="0.35">
      <c r="E22166" s="35"/>
      <c r="J22166" s="41"/>
    </row>
    <row r="22167" spans="5:10" s="34" customFormat="1" x14ac:dyDescent="0.35">
      <c r="E22167" s="35"/>
      <c r="J22167" s="41"/>
    </row>
    <row r="22168" spans="5:10" s="34" customFormat="1" x14ac:dyDescent="0.35">
      <c r="E22168" s="35"/>
      <c r="J22168" s="41"/>
    </row>
    <row r="22169" spans="5:10" s="34" customFormat="1" x14ac:dyDescent="0.35">
      <c r="E22169" s="35"/>
      <c r="J22169" s="41"/>
    </row>
    <row r="22170" spans="5:10" s="34" customFormat="1" x14ac:dyDescent="0.35">
      <c r="E22170" s="35"/>
      <c r="J22170" s="41"/>
    </row>
    <row r="22171" spans="5:10" s="34" customFormat="1" x14ac:dyDescent="0.35">
      <c r="E22171" s="35"/>
      <c r="J22171" s="41"/>
    </row>
    <row r="22172" spans="5:10" s="34" customFormat="1" x14ac:dyDescent="0.35">
      <c r="E22172" s="35"/>
      <c r="J22172" s="41"/>
    </row>
    <row r="22173" spans="5:10" s="34" customFormat="1" x14ac:dyDescent="0.35">
      <c r="E22173" s="35"/>
      <c r="J22173" s="41"/>
    </row>
    <row r="22174" spans="5:10" s="34" customFormat="1" x14ac:dyDescent="0.35">
      <c r="E22174" s="35"/>
      <c r="J22174" s="41"/>
    </row>
    <row r="22175" spans="5:10" s="34" customFormat="1" x14ac:dyDescent="0.35">
      <c r="E22175" s="35"/>
      <c r="J22175" s="41"/>
    </row>
    <row r="22176" spans="5:10" s="34" customFormat="1" x14ac:dyDescent="0.35">
      <c r="E22176" s="35"/>
      <c r="J22176" s="41"/>
    </row>
    <row r="22177" spans="5:10" s="34" customFormat="1" x14ac:dyDescent="0.35">
      <c r="E22177" s="35"/>
      <c r="J22177" s="41"/>
    </row>
    <row r="22178" spans="5:10" s="34" customFormat="1" x14ac:dyDescent="0.35">
      <c r="E22178" s="35"/>
      <c r="J22178" s="41"/>
    </row>
    <row r="22179" spans="5:10" s="34" customFormat="1" x14ac:dyDescent="0.35">
      <c r="E22179" s="35"/>
      <c r="J22179" s="41"/>
    </row>
    <row r="22180" spans="5:10" s="34" customFormat="1" x14ac:dyDescent="0.35">
      <c r="E22180" s="35"/>
      <c r="J22180" s="41"/>
    </row>
    <row r="22181" spans="5:10" s="34" customFormat="1" x14ac:dyDescent="0.35">
      <c r="E22181" s="35"/>
      <c r="J22181" s="41"/>
    </row>
    <row r="22182" spans="5:10" s="34" customFormat="1" x14ac:dyDescent="0.35">
      <c r="E22182" s="35"/>
      <c r="J22182" s="41"/>
    </row>
    <row r="22183" spans="5:10" s="34" customFormat="1" x14ac:dyDescent="0.35">
      <c r="E22183" s="35"/>
      <c r="J22183" s="41"/>
    </row>
    <row r="22184" spans="5:10" s="34" customFormat="1" x14ac:dyDescent="0.35">
      <c r="E22184" s="35"/>
      <c r="J22184" s="41"/>
    </row>
    <row r="22185" spans="5:10" s="34" customFormat="1" x14ac:dyDescent="0.35">
      <c r="E22185" s="35"/>
      <c r="J22185" s="41"/>
    </row>
    <row r="22186" spans="5:10" s="34" customFormat="1" x14ac:dyDescent="0.35">
      <c r="E22186" s="35"/>
      <c r="J22186" s="41"/>
    </row>
    <row r="22187" spans="5:10" s="34" customFormat="1" x14ac:dyDescent="0.35">
      <c r="E22187" s="35"/>
      <c r="J22187" s="41"/>
    </row>
    <row r="22188" spans="5:10" s="34" customFormat="1" x14ac:dyDescent="0.35">
      <c r="E22188" s="35"/>
      <c r="J22188" s="41"/>
    </row>
    <row r="22189" spans="5:10" s="34" customFormat="1" x14ac:dyDescent="0.35">
      <c r="E22189" s="35"/>
      <c r="J22189" s="41"/>
    </row>
    <row r="22190" spans="5:10" s="34" customFormat="1" x14ac:dyDescent="0.35">
      <c r="E22190" s="35"/>
      <c r="J22190" s="41"/>
    </row>
    <row r="22191" spans="5:10" s="34" customFormat="1" x14ac:dyDescent="0.35">
      <c r="E22191" s="35"/>
      <c r="J22191" s="41"/>
    </row>
    <row r="22192" spans="5:10" s="34" customFormat="1" x14ac:dyDescent="0.35">
      <c r="E22192" s="35"/>
      <c r="J22192" s="41"/>
    </row>
    <row r="22193" spans="5:10" s="34" customFormat="1" x14ac:dyDescent="0.35">
      <c r="E22193" s="35"/>
      <c r="J22193" s="41"/>
    </row>
    <row r="22194" spans="5:10" s="34" customFormat="1" x14ac:dyDescent="0.35">
      <c r="E22194" s="35"/>
      <c r="J22194" s="41"/>
    </row>
    <row r="22195" spans="5:10" s="34" customFormat="1" x14ac:dyDescent="0.35">
      <c r="E22195" s="35"/>
      <c r="J22195" s="41"/>
    </row>
    <row r="22196" spans="5:10" s="34" customFormat="1" x14ac:dyDescent="0.35">
      <c r="E22196" s="35"/>
      <c r="J22196" s="41"/>
    </row>
    <row r="22197" spans="5:10" s="34" customFormat="1" x14ac:dyDescent="0.35">
      <c r="E22197" s="35"/>
      <c r="J22197" s="41"/>
    </row>
    <row r="22198" spans="5:10" s="34" customFormat="1" x14ac:dyDescent="0.35">
      <c r="E22198" s="35"/>
      <c r="J22198" s="41"/>
    </row>
    <row r="22199" spans="5:10" s="34" customFormat="1" x14ac:dyDescent="0.35">
      <c r="E22199" s="35"/>
      <c r="J22199" s="41"/>
    </row>
    <row r="22200" spans="5:10" s="34" customFormat="1" x14ac:dyDescent="0.35">
      <c r="E22200" s="35"/>
      <c r="J22200" s="41"/>
    </row>
    <row r="22201" spans="5:10" s="34" customFormat="1" x14ac:dyDescent="0.35">
      <c r="E22201" s="35"/>
      <c r="J22201" s="41"/>
    </row>
    <row r="22202" spans="5:10" s="34" customFormat="1" x14ac:dyDescent="0.35">
      <c r="E22202" s="35"/>
      <c r="J22202" s="41"/>
    </row>
    <row r="22203" spans="5:10" s="34" customFormat="1" x14ac:dyDescent="0.35">
      <c r="E22203" s="35"/>
      <c r="J22203" s="41"/>
    </row>
    <row r="22204" spans="5:10" s="34" customFormat="1" x14ac:dyDescent="0.35">
      <c r="E22204" s="35"/>
      <c r="J22204" s="41"/>
    </row>
    <row r="22205" spans="5:10" s="34" customFormat="1" x14ac:dyDescent="0.35">
      <c r="E22205" s="35"/>
      <c r="J22205" s="41"/>
    </row>
    <row r="22206" spans="5:10" s="34" customFormat="1" x14ac:dyDescent="0.35">
      <c r="E22206" s="35"/>
      <c r="J22206" s="41"/>
    </row>
    <row r="22207" spans="5:10" s="34" customFormat="1" x14ac:dyDescent="0.35">
      <c r="E22207" s="35"/>
      <c r="J22207" s="41"/>
    </row>
    <row r="22208" spans="5:10" s="34" customFormat="1" x14ac:dyDescent="0.35">
      <c r="E22208" s="35"/>
      <c r="J22208" s="41"/>
    </row>
    <row r="22209" spans="5:10" s="34" customFormat="1" x14ac:dyDescent="0.35">
      <c r="E22209" s="35"/>
      <c r="J22209" s="41"/>
    </row>
    <row r="22210" spans="5:10" s="34" customFormat="1" x14ac:dyDescent="0.35">
      <c r="E22210" s="35"/>
      <c r="J22210" s="41"/>
    </row>
    <row r="22211" spans="5:10" s="34" customFormat="1" x14ac:dyDescent="0.35">
      <c r="E22211" s="35"/>
      <c r="J22211" s="41"/>
    </row>
    <row r="22212" spans="5:10" s="34" customFormat="1" x14ac:dyDescent="0.35">
      <c r="E22212" s="35"/>
      <c r="J22212" s="41"/>
    </row>
    <row r="22213" spans="5:10" s="34" customFormat="1" x14ac:dyDescent="0.35">
      <c r="E22213" s="35"/>
      <c r="J22213" s="41"/>
    </row>
    <row r="22214" spans="5:10" s="34" customFormat="1" x14ac:dyDescent="0.35">
      <c r="E22214" s="35"/>
      <c r="J22214" s="41"/>
    </row>
    <row r="22215" spans="5:10" s="34" customFormat="1" x14ac:dyDescent="0.35">
      <c r="E22215" s="35"/>
      <c r="J22215" s="41"/>
    </row>
    <row r="22216" spans="5:10" s="34" customFormat="1" x14ac:dyDescent="0.35">
      <c r="E22216" s="35"/>
      <c r="J22216" s="41"/>
    </row>
    <row r="22217" spans="5:10" s="34" customFormat="1" x14ac:dyDescent="0.35">
      <c r="E22217" s="35"/>
      <c r="J22217" s="41"/>
    </row>
    <row r="22218" spans="5:10" s="34" customFormat="1" x14ac:dyDescent="0.35">
      <c r="E22218" s="35"/>
      <c r="J22218" s="41"/>
    </row>
    <row r="22219" spans="5:10" s="34" customFormat="1" x14ac:dyDescent="0.35">
      <c r="E22219" s="35"/>
      <c r="J22219" s="41"/>
    </row>
    <row r="22220" spans="5:10" s="34" customFormat="1" x14ac:dyDescent="0.35">
      <c r="E22220" s="35"/>
      <c r="J22220" s="41"/>
    </row>
    <row r="22221" spans="5:10" s="34" customFormat="1" x14ac:dyDescent="0.35">
      <c r="E22221" s="35"/>
      <c r="J22221" s="41"/>
    </row>
    <row r="22222" spans="5:10" s="34" customFormat="1" x14ac:dyDescent="0.35">
      <c r="E22222" s="35"/>
      <c r="J22222" s="41"/>
    </row>
    <row r="22223" spans="5:10" s="34" customFormat="1" x14ac:dyDescent="0.35">
      <c r="E22223" s="35"/>
      <c r="J22223" s="41"/>
    </row>
    <row r="22224" spans="5:10" s="34" customFormat="1" x14ac:dyDescent="0.35">
      <c r="E22224" s="35"/>
      <c r="J22224" s="41"/>
    </row>
    <row r="22225" spans="5:10" s="34" customFormat="1" x14ac:dyDescent="0.35">
      <c r="E22225" s="35"/>
      <c r="J22225" s="41"/>
    </row>
    <row r="22226" spans="5:10" s="34" customFormat="1" x14ac:dyDescent="0.35">
      <c r="E22226" s="35"/>
      <c r="J22226" s="41"/>
    </row>
    <row r="22227" spans="5:10" s="34" customFormat="1" x14ac:dyDescent="0.35">
      <c r="E22227" s="35"/>
      <c r="J22227" s="41"/>
    </row>
    <row r="22228" spans="5:10" s="34" customFormat="1" x14ac:dyDescent="0.35">
      <c r="E22228" s="35"/>
      <c r="J22228" s="41"/>
    </row>
    <row r="22229" spans="5:10" s="34" customFormat="1" x14ac:dyDescent="0.35">
      <c r="E22229" s="35"/>
      <c r="J22229" s="41"/>
    </row>
    <row r="22230" spans="5:10" s="34" customFormat="1" x14ac:dyDescent="0.35">
      <c r="E22230" s="35"/>
      <c r="J22230" s="41"/>
    </row>
    <row r="22231" spans="5:10" s="34" customFormat="1" x14ac:dyDescent="0.35">
      <c r="E22231" s="35"/>
      <c r="J22231" s="41"/>
    </row>
    <row r="22232" spans="5:10" s="34" customFormat="1" x14ac:dyDescent="0.35">
      <c r="E22232" s="35"/>
      <c r="J22232" s="41"/>
    </row>
    <row r="22233" spans="5:10" s="34" customFormat="1" x14ac:dyDescent="0.35">
      <c r="E22233" s="35"/>
      <c r="J22233" s="41"/>
    </row>
    <row r="22234" spans="5:10" s="34" customFormat="1" x14ac:dyDescent="0.35">
      <c r="E22234" s="35"/>
      <c r="J22234" s="41"/>
    </row>
    <row r="22235" spans="5:10" s="34" customFormat="1" x14ac:dyDescent="0.35">
      <c r="E22235" s="35"/>
      <c r="J22235" s="41"/>
    </row>
    <row r="22236" spans="5:10" s="34" customFormat="1" x14ac:dyDescent="0.35">
      <c r="E22236" s="35"/>
      <c r="J22236" s="41"/>
    </row>
    <row r="22237" spans="5:10" s="34" customFormat="1" x14ac:dyDescent="0.35">
      <c r="E22237" s="35"/>
      <c r="J22237" s="41"/>
    </row>
    <row r="22238" spans="5:10" s="34" customFormat="1" x14ac:dyDescent="0.35">
      <c r="E22238" s="35"/>
      <c r="J22238" s="41"/>
    </row>
    <row r="22239" spans="5:10" s="34" customFormat="1" x14ac:dyDescent="0.35">
      <c r="E22239" s="35"/>
      <c r="J22239" s="41"/>
    </row>
    <row r="22240" spans="5:10" s="34" customFormat="1" x14ac:dyDescent="0.35">
      <c r="E22240" s="35"/>
      <c r="J22240" s="41"/>
    </row>
    <row r="22241" spans="5:10" s="34" customFormat="1" x14ac:dyDescent="0.35">
      <c r="E22241" s="35"/>
      <c r="J22241" s="41"/>
    </row>
    <row r="22242" spans="5:10" s="34" customFormat="1" x14ac:dyDescent="0.35">
      <c r="E22242" s="35"/>
      <c r="J22242" s="41"/>
    </row>
    <row r="22243" spans="5:10" s="34" customFormat="1" x14ac:dyDescent="0.35">
      <c r="E22243" s="35"/>
      <c r="J22243" s="41"/>
    </row>
    <row r="22244" spans="5:10" s="34" customFormat="1" x14ac:dyDescent="0.35">
      <c r="E22244" s="35"/>
      <c r="J22244" s="41"/>
    </row>
    <row r="22245" spans="5:10" s="34" customFormat="1" x14ac:dyDescent="0.35">
      <c r="E22245" s="35"/>
      <c r="J22245" s="41"/>
    </row>
    <row r="22246" spans="5:10" s="34" customFormat="1" x14ac:dyDescent="0.35">
      <c r="E22246" s="35"/>
      <c r="J22246" s="41"/>
    </row>
    <row r="22247" spans="5:10" s="34" customFormat="1" x14ac:dyDescent="0.35">
      <c r="E22247" s="35"/>
      <c r="J22247" s="41"/>
    </row>
    <row r="22248" spans="5:10" s="34" customFormat="1" x14ac:dyDescent="0.35">
      <c r="E22248" s="35"/>
      <c r="J22248" s="41"/>
    </row>
    <row r="22249" spans="5:10" s="34" customFormat="1" x14ac:dyDescent="0.35">
      <c r="E22249" s="35"/>
      <c r="J22249" s="41"/>
    </row>
    <row r="22250" spans="5:10" s="34" customFormat="1" x14ac:dyDescent="0.35">
      <c r="E22250" s="35"/>
      <c r="J22250" s="41"/>
    </row>
    <row r="22251" spans="5:10" s="34" customFormat="1" x14ac:dyDescent="0.35">
      <c r="E22251" s="35"/>
      <c r="J22251" s="41"/>
    </row>
    <row r="22252" spans="5:10" s="34" customFormat="1" x14ac:dyDescent="0.35">
      <c r="E22252" s="35"/>
      <c r="J22252" s="41"/>
    </row>
    <row r="22253" spans="5:10" s="34" customFormat="1" x14ac:dyDescent="0.35">
      <c r="E22253" s="35"/>
      <c r="J22253" s="41"/>
    </row>
    <row r="22254" spans="5:10" s="34" customFormat="1" x14ac:dyDescent="0.35">
      <c r="E22254" s="35"/>
      <c r="J22254" s="41"/>
    </row>
    <row r="22255" spans="5:10" s="34" customFormat="1" x14ac:dyDescent="0.35">
      <c r="E22255" s="35"/>
      <c r="J22255" s="41"/>
    </row>
    <row r="22256" spans="5:10" s="34" customFormat="1" x14ac:dyDescent="0.35">
      <c r="E22256" s="35"/>
      <c r="J22256" s="41"/>
    </row>
    <row r="22257" spans="5:10" s="34" customFormat="1" x14ac:dyDescent="0.35">
      <c r="E22257" s="35"/>
      <c r="J22257" s="41"/>
    </row>
    <row r="22258" spans="5:10" s="34" customFormat="1" x14ac:dyDescent="0.35">
      <c r="E22258" s="35"/>
      <c r="J22258" s="41"/>
    </row>
    <row r="22259" spans="5:10" s="34" customFormat="1" x14ac:dyDescent="0.35">
      <c r="E22259" s="35"/>
      <c r="J22259" s="41"/>
    </row>
    <row r="22260" spans="5:10" s="34" customFormat="1" x14ac:dyDescent="0.35">
      <c r="E22260" s="35"/>
      <c r="J22260" s="41"/>
    </row>
    <row r="22261" spans="5:10" s="34" customFormat="1" x14ac:dyDescent="0.35">
      <c r="E22261" s="35"/>
      <c r="J22261" s="41"/>
    </row>
    <row r="22262" spans="5:10" s="34" customFormat="1" x14ac:dyDescent="0.35">
      <c r="E22262" s="35"/>
      <c r="J22262" s="41"/>
    </row>
    <row r="22263" spans="5:10" s="34" customFormat="1" x14ac:dyDescent="0.35">
      <c r="E22263" s="35"/>
      <c r="J22263" s="41"/>
    </row>
    <row r="22264" spans="5:10" s="34" customFormat="1" x14ac:dyDescent="0.35">
      <c r="E22264" s="35"/>
      <c r="J22264" s="41"/>
    </row>
    <row r="22265" spans="5:10" s="34" customFormat="1" x14ac:dyDescent="0.35">
      <c r="E22265" s="35"/>
      <c r="J22265" s="41"/>
    </row>
    <row r="22266" spans="5:10" s="34" customFormat="1" x14ac:dyDescent="0.35">
      <c r="E22266" s="35"/>
      <c r="J22266" s="41"/>
    </row>
    <row r="22267" spans="5:10" s="34" customFormat="1" x14ac:dyDescent="0.35">
      <c r="E22267" s="35"/>
      <c r="J22267" s="41"/>
    </row>
    <row r="22268" spans="5:10" s="34" customFormat="1" x14ac:dyDescent="0.35">
      <c r="E22268" s="35"/>
      <c r="J22268" s="41"/>
    </row>
    <row r="22269" spans="5:10" s="34" customFormat="1" x14ac:dyDescent="0.35">
      <c r="E22269" s="35"/>
      <c r="J22269" s="41"/>
    </row>
    <row r="22270" spans="5:10" s="34" customFormat="1" x14ac:dyDescent="0.35">
      <c r="E22270" s="35"/>
      <c r="J22270" s="41"/>
    </row>
    <row r="22271" spans="5:10" s="34" customFormat="1" x14ac:dyDescent="0.35">
      <c r="E22271" s="35"/>
      <c r="J22271" s="41"/>
    </row>
    <row r="22272" spans="5:10" s="34" customFormat="1" x14ac:dyDescent="0.35">
      <c r="E22272" s="35"/>
      <c r="J22272" s="41"/>
    </row>
    <row r="22273" spans="5:10" s="34" customFormat="1" x14ac:dyDescent="0.35">
      <c r="E22273" s="35"/>
      <c r="J22273" s="41"/>
    </row>
    <row r="22274" spans="5:10" s="34" customFormat="1" x14ac:dyDescent="0.35">
      <c r="E22274" s="35"/>
      <c r="J22274" s="41"/>
    </row>
    <row r="22275" spans="5:10" s="34" customFormat="1" x14ac:dyDescent="0.35">
      <c r="E22275" s="35"/>
      <c r="J22275" s="41"/>
    </row>
    <row r="22276" spans="5:10" s="34" customFormat="1" x14ac:dyDescent="0.35">
      <c r="E22276" s="35"/>
      <c r="J22276" s="41"/>
    </row>
    <row r="22277" spans="5:10" s="34" customFormat="1" x14ac:dyDescent="0.35">
      <c r="E22277" s="35"/>
      <c r="J22277" s="41"/>
    </row>
    <row r="22278" spans="5:10" s="34" customFormat="1" x14ac:dyDescent="0.35">
      <c r="E22278" s="35"/>
      <c r="J22278" s="41"/>
    </row>
    <row r="22279" spans="5:10" s="34" customFormat="1" x14ac:dyDescent="0.35">
      <c r="E22279" s="35"/>
      <c r="J22279" s="41"/>
    </row>
    <row r="22280" spans="5:10" s="34" customFormat="1" x14ac:dyDescent="0.35">
      <c r="E22280" s="35"/>
      <c r="J22280" s="41"/>
    </row>
    <row r="22281" spans="5:10" s="34" customFormat="1" x14ac:dyDescent="0.35">
      <c r="E22281" s="35"/>
      <c r="J22281" s="41"/>
    </row>
    <row r="22282" spans="5:10" s="34" customFormat="1" x14ac:dyDescent="0.35">
      <c r="E22282" s="35"/>
      <c r="J22282" s="41"/>
    </row>
    <row r="22283" spans="5:10" s="34" customFormat="1" x14ac:dyDescent="0.35">
      <c r="E22283" s="35"/>
      <c r="J22283" s="41"/>
    </row>
    <row r="22284" spans="5:10" s="34" customFormat="1" x14ac:dyDescent="0.35">
      <c r="E22284" s="35"/>
      <c r="J22284" s="41"/>
    </row>
    <row r="22285" spans="5:10" s="34" customFormat="1" x14ac:dyDescent="0.35">
      <c r="E22285" s="35"/>
      <c r="J22285" s="41"/>
    </row>
    <row r="22286" spans="5:10" s="34" customFormat="1" x14ac:dyDescent="0.35">
      <c r="E22286" s="35"/>
      <c r="J22286" s="41"/>
    </row>
    <row r="22287" spans="5:10" s="34" customFormat="1" x14ac:dyDescent="0.35">
      <c r="E22287" s="35"/>
      <c r="J22287" s="41"/>
    </row>
    <row r="22288" spans="5:10" s="34" customFormat="1" x14ac:dyDescent="0.35">
      <c r="E22288" s="35"/>
      <c r="J22288" s="41"/>
    </row>
    <row r="22289" spans="5:10" s="34" customFormat="1" x14ac:dyDescent="0.35">
      <c r="E22289" s="35"/>
      <c r="J22289" s="41"/>
    </row>
    <row r="22290" spans="5:10" s="34" customFormat="1" x14ac:dyDescent="0.35">
      <c r="E22290" s="35"/>
      <c r="J22290" s="41"/>
    </row>
    <row r="22291" spans="5:10" s="34" customFormat="1" x14ac:dyDescent="0.35">
      <c r="E22291" s="35"/>
      <c r="J22291" s="41"/>
    </row>
    <row r="22292" spans="5:10" s="34" customFormat="1" x14ac:dyDescent="0.35">
      <c r="E22292" s="35"/>
      <c r="J22292" s="41"/>
    </row>
    <row r="22293" spans="5:10" s="34" customFormat="1" x14ac:dyDescent="0.35">
      <c r="E22293" s="35"/>
      <c r="J22293" s="41"/>
    </row>
    <row r="22294" spans="5:10" s="34" customFormat="1" x14ac:dyDescent="0.35">
      <c r="E22294" s="35"/>
      <c r="J22294" s="41"/>
    </row>
    <row r="22295" spans="5:10" s="34" customFormat="1" x14ac:dyDescent="0.35">
      <c r="E22295" s="35"/>
      <c r="J22295" s="41"/>
    </row>
    <row r="22296" spans="5:10" s="34" customFormat="1" x14ac:dyDescent="0.35">
      <c r="E22296" s="35"/>
      <c r="J22296" s="41"/>
    </row>
    <row r="22297" spans="5:10" s="34" customFormat="1" x14ac:dyDescent="0.35">
      <c r="E22297" s="35"/>
      <c r="J22297" s="41"/>
    </row>
    <row r="22298" spans="5:10" s="34" customFormat="1" x14ac:dyDescent="0.35">
      <c r="E22298" s="35"/>
      <c r="J22298" s="41"/>
    </row>
    <row r="22299" spans="5:10" s="34" customFormat="1" x14ac:dyDescent="0.35">
      <c r="E22299" s="35"/>
      <c r="J22299" s="41"/>
    </row>
    <row r="22300" spans="5:10" s="34" customFormat="1" x14ac:dyDescent="0.35">
      <c r="E22300" s="35"/>
      <c r="J22300" s="41"/>
    </row>
    <row r="22301" spans="5:10" s="34" customFormat="1" x14ac:dyDescent="0.35">
      <c r="E22301" s="35"/>
      <c r="J22301" s="41"/>
    </row>
    <row r="22302" spans="5:10" s="34" customFormat="1" x14ac:dyDescent="0.35">
      <c r="E22302" s="35"/>
      <c r="J22302" s="41"/>
    </row>
    <row r="22303" spans="5:10" s="34" customFormat="1" x14ac:dyDescent="0.35">
      <c r="E22303" s="35"/>
      <c r="J22303" s="41"/>
    </row>
    <row r="22304" spans="5:10" s="34" customFormat="1" x14ac:dyDescent="0.35">
      <c r="E22304" s="35"/>
      <c r="J22304" s="41"/>
    </row>
    <row r="22305" spans="5:10" s="34" customFormat="1" x14ac:dyDescent="0.35">
      <c r="E22305" s="35"/>
      <c r="J22305" s="41"/>
    </row>
    <row r="22306" spans="5:10" s="34" customFormat="1" x14ac:dyDescent="0.35">
      <c r="E22306" s="35"/>
      <c r="J22306" s="41"/>
    </row>
    <row r="22307" spans="5:10" s="34" customFormat="1" x14ac:dyDescent="0.35">
      <c r="E22307" s="35"/>
      <c r="J22307" s="41"/>
    </row>
    <row r="22308" spans="5:10" s="34" customFormat="1" x14ac:dyDescent="0.35">
      <c r="E22308" s="35"/>
      <c r="J22308" s="41"/>
    </row>
    <row r="22309" spans="5:10" s="34" customFormat="1" x14ac:dyDescent="0.35">
      <c r="E22309" s="35"/>
      <c r="J22309" s="41"/>
    </row>
    <row r="22310" spans="5:10" s="34" customFormat="1" x14ac:dyDescent="0.35">
      <c r="E22310" s="35"/>
      <c r="J22310" s="41"/>
    </row>
    <row r="22311" spans="5:10" s="34" customFormat="1" x14ac:dyDescent="0.35">
      <c r="E22311" s="35"/>
      <c r="J22311" s="41"/>
    </row>
    <row r="22312" spans="5:10" s="34" customFormat="1" x14ac:dyDescent="0.35">
      <c r="E22312" s="35"/>
      <c r="J22312" s="41"/>
    </row>
    <row r="22313" spans="5:10" s="34" customFormat="1" x14ac:dyDescent="0.35">
      <c r="E22313" s="35"/>
      <c r="J22313" s="41"/>
    </row>
    <row r="22314" spans="5:10" s="34" customFormat="1" x14ac:dyDescent="0.35">
      <c r="E22314" s="35"/>
      <c r="J22314" s="41"/>
    </row>
    <row r="22315" spans="5:10" s="34" customFormat="1" x14ac:dyDescent="0.35">
      <c r="E22315" s="35"/>
      <c r="J22315" s="41"/>
    </row>
    <row r="22316" spans="5:10" s="34" customFormat="1" x14ac:dyDescent="0.35">
      <c r="E22316" s="35"/>
      <c r="J22316" s="41"/>
    </row>
    <row r="22317" spans="5:10" s="34" customFormat="1" x14ac:dyDescent="0.35">
      <c r="E22317" s="35"/>
      <c r="J22317" s="41"/>
    </row>
    <row r="22318" spans="5:10" s="34" customFormat="1" x14ac:dyDescent="0.35">
      <c r="E22318" s="35"/>
      <c r="J22318" s="41"/>
    </row>
    <row r="22319" spans="5:10" s="34" customFormat="1" x14ac:dyDescent="0.35">
      <c r="E22319" s="35"/>
      <c r="J22319" s="41"/>
    </row>
    <row r="22320" spans="5:10" s="34" customFormat="1" x14ac:dyDescent="0.35">
      <c r="E22320" s="35"/>
      <c r="J22320" s="41"/>
    </row>
    <row r="22321" spans="5:10" s="34" customFormat="1" x14ac:dyDescent="0.35">
      <c r="E22321" s="35"/>
      <c r="J22321" s="41"/>
    </row>
    <row r="22322" spans="5:10" s="34" customFormat="1" x14ac:dyDescent="0.35">
      <c r="E22322" s="35"/>
      <c r="J22322" s="41"/>
    </row>
    <row r="22323" spans="5:10" s="34" customFormat="1" x14ac:dyDescent="0.35">
      <c r="E22323" s="35"/>
      <c r="J22323" s="41"/>
    </row>
    <row r="22324" spans="5:10" s="34" customFormat="1" x14ac:dyDescent="0.35">
      <c r="E22324" s="35"/>
      <c r="J22324" s="41"/>
    </row>
    <row r="22325" spans="5:10" s="34" customFormat="1" x14ac:dyDescent="0.35">
      <c r="E22325" s="35"/>
      <c r="J22325" s="41"/>
    </row>
    <row r="22326" spans="5:10" s="34" customFormat="1" x14ac:dyDescent="0.35">
      <c r="E22326" s="35"/>
      <c r="J22326" s="41"/>
    </row>
    <row r="22327" spans="5:10" s="34" customFormat="1" x14ac:dyDescent="0.35">
      <c r="E22327" s="35"/>
      <c r="J22327" s="41"/>
    </row>
    <row r="22328" spans="5:10" s="34" customFormat="1" x14ac:dyDescent="0.35">
      <c r="E22328" s="35"/>
      <c r="J22328" s="41"/>
    </row>
    <row r="22329" spans="5:10" s="34" customFormat="1" x14ac:dyDescent="0.35">
      <c r="E22329" s="35"/>
      <c r="J22329" s="41"/>
    </row>
    <row r="22330" spans="5:10" s="34" customFormat="1" x14ac:dyDescent="0.35">
      <c r="E22330" s="35"/>
      <c r="J22330" s="41"/>
    </row>
    <row r="22331" spans="5:10" s="34" customFormat="1" x14ac:dyDescent="0.35">
      <c r="E22331" s="35"/>
      <c r="J22331" s="41"/>
    </row>
    <row r="22332" spans="5:10" s="34" customFormat="1" x14ac:dyDescent="0.35">
      <c r="E22332" s="35"/>
      <c r="J22332" s="41"/>
    </row>
    <row r="22333" spans="5:10" s="34" customFormat="1" x14ac:dyDescent="0.35">
      <c r="E22333" s="35"/>
      <c r="J22333" s="41"/>
    </row>
    <row r="22334" spans="5:10" s="34" customFormat="1" x14ac:dyDescent="0.35">
      <c r="E22334" s="35"/>
      <c r="J22334" s="41"/>
    </row>
    <row r="22335" spans="5:10" s="34" customFormat="1" x14ac:dyDescent="0.35">
      <c r="E22335" s="35"/>
      <c r="J22335" s="41"/>
    </row>
    <row r="22336" spans="5:10" s="34" customFormat="1" x14ac:dyDescent="0.35">
      <c r="E22336" s="35"/>
      <c r="J22336" s="41"/>
    </row>
    <row r="22337" spans="5:10" s="34" customFormat="1" x14ac:dyDescent="0.35">
      <c r="E22337" s="35"/>
      <c r="J22337" s="41"/>
    </row>
    <row r="22338" spans="5:10" s="34" customFormat="1" x14ac:dyDescent="0.35">
      <c r="E22338" s="35"/>
      <c r="J22338" s="41"/>
    </row>
    <row r="22339" spans="5:10" s="34" customFormat="1" x14ac:dyDescent="0.35">
      <c r="E22339" s="35"/>
      <c r="J22339" s="41"/>
    </row>
    <row r="22340" spans="5:10" s="34" customFormat="1" x14ac:dyDescent="0.35">
      <c r="E22340" s="35"/>
      <c r="J22340" s="41"/>
    </row>
    <row r="22341" spans="5:10" s="34" customFormat="1" x14ac:dyDescent="0.35">
      <c r="E22341" s="35"/>
      <c r="J22341" s="41"/>
    </row>
    <row r="22342" spans="5:10" s="34" customFormat="1" x14ac:dyDescent="0.35">
      <c r="E22342" s="35"/>
      <c r="J22342" s="41"/>
    </row>
    <row r="22343" spans="5:10" s="34" customFormat="1" x14ac:dyDescent="0.35">
      <c r="E22343" s="35"/>
      <c r="J22343" s="41"/>
    </row>
    <row r="22344" spans="5:10" s="34" customFormat="1" x14ac:dyDescent="0.35">
      <c r="E22344" s="35"/>
      <c r="J22344" s="41"/>
    </row>
    <row r="22345" spans="5:10" s="34" customFormat="1" x14ac:dyDescent="0.35">
      <c r="E22345" s="35"/>
      <c r="J22345" s="41"/>
    </row>
    <row r="22346" spans="5:10" s="34" customFormat="1" x14ac:dyDescent="0.35">
      <c r="E22346" s="35"/>
      <c r="J22346" s="41"/>
    </row>
    <row r="22347" spans="5:10" s="34" customFormat="1" x14ac:dyDescent="0.35">
      <c r="E22347" s="35"/>
      <c r="J22347" s="41"/>
    </row>
    <row r="22348" spans="5:10" s="34" customFormat="1" x14ac:dyDescent="0.35">
      <c r="E22348" s="35"/>
      <c r="J22348" s="41"/>
    </row>
    <row r="22349" spans="5:10" s="34" customFormat="1" x14ac:dyDescent="0.35">
      <c r="E22349" s="35"/>
      <c r="J22349" s="41"/>
    </row>
    <row r="22350" spans="5:10" s="34" customFormat="1" x14ac:dyDescent="0.35">
      <c r="E22350" s="35"/>
      <c r="J22350" s="41"/>
    </row>
    <row r="22351" spans="5:10" s="34" customFormat="1" x14ac:dyDescent="0.35">
      <c r="E22351" s="35"/>
      <c r="J22351" s="41"/>
    </row>
    <row r="22352" spans="5:10" s="34" customFormat="1" x14ac:dyDescent="0.35">
      <c r="E22352" s="35"/>
      <c r="J22352" s="41"/>
    </row>
    <row r="22353" spans="5:10" s="34" customFormat="1" x14ac:dyDescent="0.35">
      <c r="E22353" s="35"/>
      <c r="J22353" s="41"/>
    </row>
    <row r="22354" spans="5:10" s="34" customFormat="1" x14ac:dyDescent="0.35">
      <c r="E22354" s="35"/>
      <c r="J22354" s="41"/>
    </row>
    <row r="22355" spans="5:10" s="34" customFormat="1" x14ac:dyDescent="0.35">
      <c r="E22355" s="35"/>
      <c r="J22355" s="41"/>
    </row>
    <row r="22356" spans="5:10" s="34" customFormat="1" x14ac:dyDescent="0.35">
      <c r="E22356" s="35"/>
      <c r="J22356" s="41"/>
    </row>
    <row r="22357" spans="5:10" s="34" customFormat="1" x14ac:dyDescent="0.35">
      <c r="E22357" s="35"/>
      <c r="J22357" s="41"/>
    </row>
    <row r="22358" spans="5:10" s="34" customFormat="1" x14ac:dyDescent="0.35">
      <c r="E22358" s="35"/>
      <c r="J22358" s="41"/>
    </row>
    <row r="22359" spans="5:10" s="34" customFormat="1" x14ac:dyDescent="0.35">
      <c r="E22359" s="35"/>
      <c r="J22359" s="41"/>
    </row>
    <row r="22360" spans="5:10" s="34" customFormat="1" x14ac:dyDescent="0.35">
      <c r="E22360" s="35"/>
      <c r="J22360" s="41"/>
    </row>
    <row r="22361" spans="5:10" s="34" customFormat="1" x14ac:dyDescent="0.35">
      <c r="E22361" s="35"/>
      <c r="J22361" s="41"/>
    </row>
    <row r="22362" spans="5:10" s="34" customFormat="1" x14ac:dyDescent="0.35">
      <c r="E22362" s="35"/>
      <c r="J22362" s="41"/>
    </row>
    <row r="22363" spans="5:10" s="34" customFormat="1" x14ac:dyDescent="0.35">
      <c r="E22363" s="35"/>
      <c r="J22363" s="41"/>
    </row>
    <row r="22364" spans="5:10" s="34" customFormat="1" x14ac:dyDescent="0.35">
      <c r="E22364" s="35"/>
      <c r="J22364" s="41"/>
    </row>
    <row r="22365" spans="5:10" s="34" customFormat="1" x14ac:dyDescent="0.35">
      <c r="E22365" s="35"/>
      <c r="J22365" s="41"/>
    </row>
    <row r="22366" spans="5:10" s="34" customFormat="1" x14ac:dyDescent="0.35">
      <c r="E22366" s="35"/>
      <c r="J22366" s="41"/>
    </row>
    <row r="22367" spans="5:10" s="34" customFormat="1" x14ac:dyDescent="0.35">
      <c r="E22367" s="35"/>
      <c r="J22367" s="41"/>
    </row>
    <row r="22368" spans="5:10" s="34" customFormat="1" x14ac:dyDescent="0.35">
      <c r="E22368" s="35"/>
      <c r="J22368" s="41"/>
    </row>
    <row r="22369" spans="5:10" s="34" customFormat="1" x14ac:dyDescent="0.35">
      <c r="E22369" s="35"/>
      <c r="J22369" s="41"/>
    </row>
    <row r="22370" spans="5:10" s="34" customFormat="1" x14ac:dyDescent="0.35">
      <c r="E22370" s="35"/>
      <c r="J22370" s="41"/>
    </row>
    <row r="22371" spans="5:10" s="34" customFormat="1" x14ac:dyDescent="0.35">
      <c r="E22371" s="35"/>
      <c r="J22371" s="41"/>
    </row>
    <row r="22372" spans="5:10" s="34" customFormat="1" x14ac:dyDescent="0.35">
      <c r="E22372" s="35"/>
      <c r="J22372" s="41"/>
    </row>
    <row r="22373" spans="5:10" s="34" customFormat="1" x14ac:dyDescent="0.35">
      <c r="E22373" s="35"/>
      <c r="J22373" s="41"/>
    </row>
    <row r="22374" spans="5:10" s="34" customFormat="1" x14ac:dyDescent="0.35">
      <c r="E22374" s="35"/>
      <c r="J22374" s="41"/>
    </row>
    <row r="22375" spans="5:10" s="34" customFormat="1" x14ac:dyDescent="0.35">
      <c r="E22375" s="35"/>
      <c r="J22375" s="41"/>
    </row>
    <row r="22376" spans="5:10" s="34" customFormat="1" x14ac:dyDescent="0.35">
      <c r="E22376" s="35"/>
      <c r="J22376" s="41"/>
    </row>
    <row r="22377" spans="5:10" s="34" customFormat="1" x14ac:dyDescent="0.35">
      <c r="E22377" s="35"/>
      <c r="J22377" s="41"/>
    </row>
    <row r="22378" spans="5:10" s="34" customFormat="1" x14ac:dyDescent="0.35">
      <c r="E22378" s="35"/>
      <c r="J22378" s="41"/>
    </row>
    <row r="22379" spans="5:10" s="34" customFormat="1" x14ac:dyDescent="0.35">
      <c r="E22379" s="35"/>
      <c r="J22379" s="41"/>
    </row>
    <row r="22380" spans="5:10" s="34" customFormat="1" x14ac:dyDescent="0.35">
      <c r="E22380" s="35"/>
      <c r="J22380" s="41"/>
    </row>
    <row r="22381" spans="5:10" s="34" customFormat="1" x14ac:dyDescent="0.35">
      <c r="E22381" s="35"/>
      <c r="J22381" s="41"/>
    </row>
    <row r="22382" spans="5:10" s="34" customFormat="1" x14ac:dyDescent="0.35">
      <c r="E22382" s="35"/>
      <c r="J22382" s="41"/>
    </row>
    <row r="22383" spans="5:10" s="34" customFormat="1" x14ac:dyDescent="0.35">
      <c r="E22383" s="35"/>
      <c r="J22383" s="41"/>
    </row>
    <row r="22384" spans="5:10" s="34" customFormat="1" x14ac:dyDescent="0.35">
      <c r="E22384" s="35"/>
      <c r="J22384" s="41"/>
    </row>
    <row r="22385" spans="5:10" s="34" customFormat="1" x14ac:dyDescent="0.35">
      <c r="E22385" s="35"/>
      <c r="J22385" s="41"/>
    </row>
    <row r="22386" spans="5:10" s="34" customFormat="1" x14ac:dyDescent="0.35">
      <c r="E22386" s="35"/>
      <c r="J22386" s="41"/>
    </row>
    <row r="22387" spans="5:10" s="34" customFormat="1" x14ac:dyDescent="0.35">
      <c r="E22387" s="35"/>
      <c r="J22387" s="41"/>
    </row>
    <row r="22388" spans="5:10" s="34" customFormat="1" x14ac:dyDescent="0.35">
      <c r="E22388" s="35"/>
      <c r="J22388" s="41"/>
    </row>
    <row r="22389" spans="5:10" s="34" customFormat="1" x14ac:dyDescent="0.35">
      <c r="E22389" s="35"/>
      <c r="J22389" s="41"/>
    </row>
    <row r="22390" spans="5:10" s="34" customFormat="1" x14ac:dyDescent="0.35">
      <c r="E22390" s="35"/>
      <c r="J22390" s="41"/>
    </row>
    <row r="22391" spans="5:10" s="34" customFormat="1" x14ac:dyDescent="0.35">
      <c r="E22391" s="35"/>
      <c r="J22391" s="41"/>
    </row>
    <row r="22392" spans="5:10" s="34" customFormat="1" x14ac:dyDescent="0.35">
      <c r="E22392" s="35"/>
      <c r="J22392" s="41"/>
    </row>
    <row r="22393" spans="5:10" s="34" customFormat="1" x14ac:dyDescent="0.35">
      <c r="E22393" s="35"/>
      <c r="J22393" s="41"/>
    </row>
    <row r="22394" spans="5:10" s="34" customFormat="1" x14ac:dyDescent="0.35">
      <c r="E22394" s="35"/>
      <c r="J22394" s="41"/>
    </row>
    <row r="22395" spans="5:10" s="34" customFormat="1" x14ac:dyDescent="0.35">
      <c r="E22395" s="35"/>
      <c r="J22395" s="41"/>
    </row>
    <row r="22396" spans="5:10" s="34" customFormat="1" x14ac:dyDescent="0.35">
      <c r="E22396" s="35"/>
      <c r="J22396" s="41"/>
    </row>
    <row r="22397" spans="5:10" s="34" customFormat="1" x14ac:dyDescent="0.35">
      <c r="E22397" s="35"/>
      <c r="J22397" s="41"/>
    </row>
    <row r="22398" spans="5:10" s="34" customFormat="1" x14ac:dyDescent="0.35">
      <c r="E22398" s="35"/>
      <c r="J22398" s="41"/>
    </row>
    <row r="22399" spans="5:10" s="34" customFormat="1" x14ac:dyDescent="0.35">
      <c r="E22399" s="35"/>
      <c r="J22399" s="41"/>
    </row>
    <row r="22400" spans="5:10" s="34" customFormat="1" x14ac:dyDescent="0.35">
      <c r="E22400" s="35"/>
      <c r="J22400" s="41"/>
    </row>
    <row r="22401" spans="5:10" s="34" customFormat="1" x14ac:dyDescent="0.35">
      <c r="E22401" s="35"/>
      <c r="J22401" s="41"/>
    </row>
    <row r="22402" spans="5:10" s="34" customFormat="1" x14ac:dyDescent="0.35">
      <c r="E22402" s="35"/>
      <c r="J22402" s="41"/>
    </row>
    <row r="22403" spans="5:10" s="34" customFormat="1" x14ac:dyDescent="0.35">
      <c r="E22403" s="35"/>
      <c r="J22403" s="41"/>
    </row>
    <row r="22404" spans="5:10" s="34" customFormat="1" x14ac:dyDescent="0.35">
      <c r="E22404" s="35"/>
      <c r="J22404" s="41"/>
    </row>
    <row r="22405" spans="5:10" s="34" customFormat="1" x14ac:dyDescent="0.35">
      <c r="E22405" s="35"/>
      <c r="J22405" s="41"/>
    </row>
    <row r="22406" spans="5:10" s="34" customFormat="1" x14ac:dyDescent="0.35">
      <c r="E22406" s="35"/>
      <c r="J22406" s="41"/>
    </row>
    <row r="22407" spans="5:10" s="34" customFormat="1" x14ac:dyDescent="0.35">
      <c r="E22407" s="35"/>
      <c r="J22407" s="41"/>
    </row>
    <row r="22408" spans="5:10" s="34" customFormat="1" x14ac:dyDescent="0.35">
      <c r="E22408" s="35"/>
      <c r="J22408" s="41"/>
    </row>
    <row r="22409" spans="5:10" s="34" customFormat="1" x14ac:dyDescent="0.35">
      <c r="E22409" s="35"/>
      <c r="J22409" s="41"/>
    </row>
    <row r="22410" spans="5:10" s="34" customFormat="1" x14ac:dyDescent="0.35">
      <c r="E22410" s="35"/>
      <c r="J22410" s="41"/>
    </row>
    <row r="22411" spans="5:10" s="34" customFormat="1" x14ac:dyDescent="0.35">
      <c r="E22411" s="35"/>
      <c r="J22411" s="41"/>
    </row>
    <row r="22412" spans="5:10" s="34" customFormat="1" x14ac:dyDescent="0.35">
      <c r="E22412" s="35"/>
      <c r="J22412" s="41"/>
    </row>
    <row r="22413" spans="5:10" s="34" customFormat="1" x14ac:dyDescent="0.35">
      <c r="E22413" s="35"/>
      <c r="J22413" s="41"/>
    </row>
    <row r="22414" spans="5:10" s="34" customFormat="1" x14ac:dyDescent="0.35">
      <c r="E22414" s="35"/>
      <c r="J22414" s="41"/>
    </row>
    <row r="22415" spans="5:10" s="34" customFormat="1" x14ac:dyDescent="0.35">
      <c r="E22415" s="35"/>
      <c r="J22415" s="41"/>
    </row>
    <row r="22416" spans="5:10" s="34" customFormat="1" x14ac:dyDescent="0.35">
      <c r="E22416" s="35"/>
      <c r="J22416" s="41"/>
    </row>
    <row r="22417" spans="5:10" s="34" customFormat="1" x14ac:dyDescent="0.35">
      <c r="E22417" s="35"/>
      <c r="J22417" s="41"/>
    </row>
    <row r="22418" spans="5:10" s="34" customFormat="1" x14ac:dyDescent="0.35">
      <c r="E22418" s="35"/>
      <c r="J22418" s="41"/>
    </row>
    <row r="22419" spans="5:10" s="34" customFormat="1" x14ac:dyDescent="0.35">
      <c r="E22419" s="35"/>
      <c r="J22419" s="41"/>
    </row>
    <row r="22420" spans="5:10" s="34" customFormat="1" x14ac:dyDescent="0.35">
      <c r="E22420" s="35"/>
      <c r="J22420" s="41"/>
    </row>
    <row r="22421" spans="5:10" s="34" customFormat="1" x14ac:dyDescent="0.35">
      <c r="E22421" s="35"/>
      <c r="J22421" s="41"/>
    </row>
    <row r="22422" spans="5:10" s="34" customFormat="1" x14ac:dyDescent="0.35">
      <c r="E22422" s="35"/>
      <c r="J22422" s="41"/>
    </row>
    <row r="22423" spans="5:10" s="34" customFormat="1" x14ac:dyDescent="0.35">
      <c r="E22423" s="35"/>
      <c r="J22423" s="41"/>
    </row>
    <row r="22424" spans="5:10" s="34" customFormat="1" x14ac:dyDescent="0.35">
      <c r="E22424" s="35"/>
      <c r="J22424" s="41"/>
    </row>
    <row r="22425" spans="5:10" s="34" customFormat="1" x14ac:dyDescent="0.35">
      <c r="E22425" s="35"/>
      <c r="J22425" s="41"/>
    </row>
    <row r="22426" spans="5:10" s="34" customFormat="1" x14ac:dyDescent="0.35">
      <c r="E22426" s="35"/>
      <c r="J22426" s="41"/>
    </row>
    <row r="22427" spans="5:10" s="34" customFormat="1" x14ac:dyDescent="0.35">
      <c r="E22427" s="35"/>
      <c r="J22427" s="41"/>
    </row>
    <row r="22428" spans="5:10" s="34" customFormat="1" x14ac:dyDescent="0.35">
      <c r="E22428" s="35"/>
      <c r="J22428" s="41"/>
    </row>
    <row r="22429" spans="5:10" s="34" customFormat="1" x14ac:dyDescent="0.35">
      <c r="E22429" s="35"/>
      <c r="J22429" s="41"/>
    </row>
    <row r="22430" spans="5:10" s="34" customFormat="1" x14ac:dyDescent="0.35">
      <c r="E22430" s="35"/>
      <c r="J22430" s="41"/>
    </row>
    <row r="22431" spans="5:10" s="34" customFormat="1" x14ac:dyDescent="0.35">
      <c r="E22431" s="35"/>
      <c r="J22431" s="41"/>
    </row>
    <row r="22432" spans="5:10" s="34" customFormat="1" x14ac:dyDescent="0.35">
      <c r="E22432" s="35"/>
      <c r="J22432" s="41"/>
    </row>
    <row r="22433" spans="5:10" s="34" customFormat="1" x14ac:dyDescent="0.35">
      <c r="E22433" s="35"/>
      <c r="J22433" s="41"/>
    </row>
    <row r="22434" spans="5:10" s="34" customFormat="1" x14ac:dyDescent="0.35">
      <c r="E22434" s="35"/>
      <c r="J22434" s="41"/>
    </row>
    <row r="22435" spans="5:10" s="34" customFormat="1" x14ac:dyDescent="0.35">
      <c r="E22435" s="35"/>
      <c r="J22435" s="41"/>
    </row>
    <row r="22436" spans="5:10" s="34" customFormat="1" x14ac:dyDescent="0.35">
      <c r="E22436" s="35"/>
      <c r="J22436" s="41"/>
    </row>
    <row r="22437" spans="5:10" s="34" customFormat="1" x14ac:dyDescent="0.35">
      <c r="E22437" s="35"/>
      <c r="J22437" s="41"/>
    </row>
    <row r="22438" spans="5:10" s="34" customFormat="1" x14ac:dyDescent="0.35">
      <c r="E22438" s="35"/>
      <c r="J22438" s="41"/>
    </row>
    <row r="22439" spans="5:10" s="34" customFormat="1" x14ac:dyDescent="0.35">
      <c r="E22439" s="35"/>
      <c r="J22439" s="41"/>
    </row>
    <row r="22440" spans="5:10" s="34" customFormat="1" x14ac:dyDescent="0.35">
      <c r="E22440" s="35"/>
      <c r="J22440" s="41"/>
    </row>
    <row r="22441" spans="5:10" s="34" customFormat="1" x14ac:dyDescent="0.35">
      <c r="E22441" s="35"/>
      <c r="J22441" s="41"/>
    </row>
    <row r="22442" spans="5:10" s="34" customFormat="1" x14ac:dyDescent="0.35">
      <c r="E22442" s="35"/>
      <c r="J22442" s="41"/>
    </row>
    <row r="22443" spans="5:10" s="34" customFormat="1" x14ac:dyDescent="0.35">
      <c r="E22443" s="35"/>
      <c r="J22443" s="41"/>
    </row>
    <row r="22444" spans="5:10" s="34" customFormat="1" x14ac:dyDescent="0.35">
      <c r="E22444" s="35"/>
      <c r="J22444" s="41"/>
    </row>
    <row r="22445" spans="5:10" s="34" customFormat="1" x14ac:dyDescent="0.35">
      <c r="E22445" s="35"/>
      <c r="J22445" s="41"/>
    </row>
    <row r="22446" spans="5:10" s="34" customFormat="1" x14ac:dyDescent="0.35">
      <c r="E22446" s="35"/>
      <c r="J22446" s="41"/>
    </row>
    <row r="22447" spans="5:10" s="34" customFormat="1" x14ac:dyDescent="0.35">
      <c r="E22447" s="35"/>
      <c r="J22447" s="41"/>
    </row>
    <row r="22448" spans="5:10" s="34" customFormat="1" x14ac:dyDescent="0.35">
      <c r="E22448" s="35"/>
      <c r="J22448" s="41"/>
    </row>
    <row r="22449" spans="5:10" s="34" customFormat="1" x14ac:dyDescent="0.35">
      <c r="E22449" s="35"/>
      <c r="J22449" s="41"/>
    </row>
    <row r="22450" spans="5:10" s="34" customFormat="1" x14ac:dyDescent="0.35">
      <c r="E22450" s="35"/>
      <c r="J22450" s="41"/>
    </row>
    <row r="22451" spans="5:10" s="34" customFormat="1" x14ac:dyDescent="0.35">
      <c r="E22451" s="35"/>
      <c r="J22451" s="41"/>
    </row>
    <row r="22452" spans="5:10" s="34" customFormat="1" x14ac:dyDescent="0.35">
      <c r="E22452" s="35"/>
      <c r="J22452" s="41"/>
    </row>
    <row r="22453" spans="5:10" s="34" customFormat="1" x14ac:dyDescent="0.35">
      <c r="E22453" s="35"/>
      <c r="J22453" s="41"/>
    </row>
    <row r="22454" spans="5:10" s="34" customFormat="1" x14ac:dyDescent="0.35">
      <c r="E22454" s="35"/>
      <c r="J22454" s="41"/>
    </row>
    <row r="22455" spans="5:10" s="34" customFormat="1" x14ac:dyDescent="0.35">
      <c r="E22455" s="35"/>
      <c r="J22455" s="41"/>
    </row>
    <row r="22456" spans="5:10" s="34" customFormat="1" x14ac:dyDescent="0.35">
      <c r="E22456" s="35"/>
      <c r="J22456" s="41"/>
    </row>
    <row r="22457" spans="5:10" s="34" customFormat="1" x14ac:dyDescent="0.35">
      <c r="E22457" s="35"/>
      <c r="J22457" s="41"/>
    </row>
    <row r="22458" spans="5:10" s="34" customFormat="1" x14ac:dyDescent="0.35">
      <c r="E22458" s="35"/>
      <c r="J22458" s="41"/>
    </row>
    <row r="22459" spans="5:10" s="34" customFormat="1" x14ac:dyDescent="0.35">
      <c r="E22459" s="35"/>
      <c r="J22459" s="41"/>
    </row>
    <row r="22460" spans="5:10" s="34" customFormat="1" x14ac:dyDescent="0.35">
      <c r="E22460" s="35"/>
      <c r="J22460" s="41"/>
    </row>
    <row r="22461" spans="5:10" s="34" customFormat="1" x14ac:dyDescent="0.35">
      <c r="E22461" s="35"/>
      <c r="J22461" s="41"/>
    </row>
    <row r="22462" spans="5:10" s="34" customFormat="1" x14ac:dyDescent="0.35">
      <c r="E22462" s="35"/>
      <c r="J22462" s="41"/>
    </row>
    <row r="22463" spans="5:10" s="34" customFormat="1" x14ac:dyDescent="0.35">
      <c r="E22463" s="35"/>
      <c r="J22463" s="41"/>
    </row>
    <row r="22464" spans="5:10" s="34" customFormat="1" x14ac:dyDescent="0.35">
      <c r="E22464" s="35"/>
      <c r="J22464" s="41"/>
    </row>
    <row r="22465" spans="5:10" s="34" customFormat="1" x14ac:dyDescent="0.35">
      <c r="E22465" s="35"/>
      <c r="J22465" s="41"/>
    </row>
    <row r="22466" spans="5:10" s="34" customFormat="1" x14ac:dyDescent="0.35">
      <c r="E22466" s="35"/>
      <c r="J22466" s="41"/>
    </row>
    <row r="22467" spans="5:10" s="34" customFormat="1" x14ac:dyDescent="0.35">
      <c r="E22467" s="35"/>
      <c r="J22467" s="41"/>
    </row>
    <row r="22468" spans="5:10" s="34" customFormat="1" x14ac:dyDescent="0.35">
      <c r="E22468" s="35"/>
      <c r="J22468" s="41"/>
    </row>
    <row r="22469" spans="5:10" s="34" customFormat="1" x14ac:dyDescent="0.35">
      <c r="E22469" s="35"/>
      <c r="J22469" s="41"/>
    </row>
    <row r="22470" spans="5:10" s="34" customFormat="1" x14ac:dyDescent="0.35">
      <c r="E22470" s="35"/>
      <c r="J22470" s="41"/>
    </row>
    <row r="22471" spans="5:10" s="34" customFormat="1" x14ac:dyDescent="0.35">
      <c r="E22471" s="35"/>
      <c r="J22471" s="41"/>
    </row>
    <row r="22472" spans="5:10" s="34" customFormat="1" x14ac:dyDescent="0.35">
      <c r="E22472" s="35"/>
      <c r="J22472" s="41"/>
    </row>
    <row r="22473" spans="5:10" s="34" customFormat="1" x14ac:dyDescent="0.35">
      <c r="E22473" s="35"/>
      <c r="J22473" s="41"/>
    </row>
    <row r="22474" spans="5:10" s="34" customFormat="1" x14ac:dyDescent="0.35">
      <c r="E22474" s="35"/>
      <c r="J22474" s="41"/>
    </row>
    <row r="22475" spans="5:10" s="34" customFormat="1" x14ac:dyDescent="0.35">
      <c r="E22475" s="35"/>
      <c r="J22475" s="41"/>
    </row>
    <row r="22476" spans="5:10" s="34" customFormat="1" x14ac:dyDescent="0.35">
      <c r="E22476" s="35"/>
      <c r="J22476" s="41"/>
    </row>
    <row r="22477" spans="5:10" s="34" customFormat="1" x14ac:dyDescent="0.35">
      <c r="E22477" s="35"/>
      <c r="J22477" s="41"/>
    </row>
    <row r="22478" spans="5:10" s="34" customFormat="1" x14ac:dyDescent="0.35">
      <c r="E22478" s="35"/>
      <c r="J22478" s="41"/>
    </row>
    <row r="22479" spans="5:10" s="34" customFormat="1" x14ac:dyDescent="0.35">
      <c r="E22479" s="35"/>
      <c r="J22479" s="41"/>
    </row>
    <row r="22480" spans="5:10" s="34" customFormat="1" x14ac:dyDescent="0.35">
      <c r="E22480" s="35"/>
      <c r="J22480" s="41"/>
    </row>
    <row r="22481" spans="5:10" s="34" customFormat="1" x14ac:dyDescent="0.35">
      <c r="E22481" s="35"/>
      <c r="J22481" s="41"/>
    </row>
    <row r="22482" spans="5:10" s="34" customFormat="1" x14ac:dyDescent="0.35">
      <c r="E22482" s="35"/>
      <c r="J22482" s="41"/>
    </row>
    <row r="22483" spans="5:10" s="34" customFormat="1" x14ac:dyDescent="0.35">
      <c r="E22483" s="35"/>
      <c r="J22483" s="41"/>
    </row>
    <row r="22484" spans="5:10" s="34" customFormat="1" x14ac:dyDescent="0.35">
      <c r="E22484" s="35"/>
      <c r="J22484" s="41"/>
    </row>
    <row r="22485" spans="5:10" s="34" customFormat="1" x14ac:dyDescent="0.35">
      <c r="E22485" s="35"/>
      <c r="J22485" s="41"/>
    </row>
    <row r="22486" spans="5:10" s="34" customFormat="1" x14ac:dyDescent="0.35">
      <c r="E22486" s="35"/>
      <c r="J22486" s="41"/>
    </row>
    <row r="22487" spans="5:10" s="34" customFormat="1" x14ac:dyDescent="0.35">
      <c r="E22487" s="35"/>
      <c r="J22487" s="41"/>
    </row>
    <row r="22488" spans="5:10" s="34" customFormat="1" x14ac:dyDescent="0.35">
      <c r="E22488" s="35"/>
      <c r="J22488" s="41"/>
    </row>
    <row r="22489" spans="5:10" s="34" customFormat="1" x14ac:dyDescent="0.35">
      <c r="E22489" s="35"/>
      <c r="J22489" s="41"/>
    </row>
    <row r="22490" spans="5:10" s="34" customFormat="1" x14ac:dyDescent="0.35">
      <c r="E22490" s="35"/>
      <c r="J22490" s="41"/>
    </row>
    <row r="22491" spans="5:10" s="34" customFormat="1" x14ac:dyDescent="0.35">
      <c r="E22491" s="35"/>
      <c r="J22491" s="41"/>
    </row>
    <row r="22492" spans="5:10" s="34" customFormat="1" x14ac:dyDescent="0.35">
      <c r="E22492" s="35"/>
      <c r="J22492" s="41"/>
    </row>
    <row r="22493" spans="5:10" s="34" customFormat="1" x14ac:dyDescent="0.35">
      <c r="E22493" s="35"/>
      <c r="J22493" s="41"/>
    </row>
    <row r="22494" spans="5:10" s="34" customFormat="1" x14ac:dyDescent="0.35">
      <c r="E22494" s="35"/>
      <c r="J22494" s="41"/>
    </row>
    <row r="22495" spans="5:10" s="34" customFormat="1" x14ac:dyDescent="0.35">
      <c r="E22495" s="35"/>
      <c r="J22495" s="41"/>
    </row>
    <row r="22496" spans="5:10" s="34" customFormat="1" x14ac:dyDescent="0.35">
      <c r="E22496" s="35"/>
      <c r="J22496" s="41"/>
    </row>
    <row r="22497" spans="5:10" s="34" customFormat="1" x14ac:dyDescent="0.35">
      <c r="E22497" s="35"/>
      <c r="J22497" s="41"/>
    </row>
    <row r="22498" spans="5:10" s="34" customFormat="1" x14ac:dyDescent="0.35">
      <c r="E22498" s="35"/>
      <c r="J22498" s="41"/>
    </row>
    <row r="22499" spans="5:10" s="34" customFormat="1" x14ac:dyDescent="0.35">
      <c r="E22499" s="35"/>
      <c r="J22499" s="41"/>
    </row>
    <row r="22500" spans="5:10" s="34" customFormat="1" x14ac:dyDescent="0.35">
      <c r="E22500" s="35"/>
      <c r="J22500" s="41"/>
    </row>
    <row r="22501" spans="5:10" s="34" customFormat="1" x14ac:dyDescent="0.35">
      <c r="E22501" s="35"/>
      <c r="J22501" s="41"/>
    </row>
    <row r="22502" spans="5:10" s="34" customFormat="1" x14ac:dyDescent="0.35">
      <c r="E22502" s="35"/>
      <c r="J22502" s="41"/>
    </row>
    <row r="22503" spans="5:10" s="34" customFormat="1" x14ac:dyDescent="0.35">
      <c r="E22503" s="35"/>
      <c r="J22503" s="41"/>
    </row>
    <row r="22504" spans="5:10" s="34" customFormat="1" x14ac:dyDescent="0.35">
      <c r="E22504" s="35"/>
      <c r="J22504" s="41"/>
    </row>
    <row r="22505" spans="5:10" s="34" customFormat="1" x14ac:dyDescent="0.35">
      <c r="E22505" s="35"/>
      <c r="J22505" s="41"/>
    </row>
    <row r="22506" spans="5:10" s="34" customFormat="1" x14ac:dyDescent="0.35">
      <c r="E22506" s="35"/>
      <c r="J22506" s="41"/>
    </row>
    <row r="22507" spans="5:10" s="34" customFormat="1" x14ac:dyDescent="0.35">
      <c r="E22507" s="35"/>
      <c r="J22507" s="41"/>
    </row>
    <row r="22508" spans="5:10" s="34" customFormat="1" x14ac:dyDescent="0.35">
      <c r="E22508" s="35"/>
      <c r="J22508" s="41"/>
    </row>
    <row r="22509" spans="5:10" s="34" customFormat="1" x14ac:dyDescent="0.35">
      <c r="E22509" s="35"/>
      <c r="J22509" s="41"/>
    </row>
    <row r="22510" spans="5:10" s="34" customFormat="1" x14ac:dyDescent="0.35">
      <c r="E22510" s="35"/>
      <c r="J22510" s="41"/>
    </row>
    <row r="22511" spans="5:10" s="34" customFormat="1" x14ac:dyDescent="0.35">
      <c r="E22511" s="35"/>
      <c r="J22511" s="41"/>
    </row>
    <row r="22512" spans="5:10" s="34" customFormat="1" x14ac:dyDescent="0.35">
      <c r="E22512" s="35"/>
      <c r="J22512" s="41"/>
    </row>
    <row r="22513" spans="5:10" s="34" customFormat="1" x14ac:dyDescent="0.35">
      <c r="E22513" s="35"/>
      <c r="J22513" s="41"/>
    </row>
    <row r="22514" spans="5:10" s="34" customFormat="1" x14ac:dyDescent="0.35">
      <c r="E22514" s="35"/>
      <c r="J22514" s="41"/>
    </row>
    <row r="22515" spans="5:10" s="34" customFormat="1" x14ac:dyDescent="0.35">
      <c r="E22515" s="35"/>
      <c r="J22515" s="41"/>
    </row>
    <row r="22516" spans="5:10" s="34" customFormat="1" x14ac:dyDescent="0.35">
      <c r="E22516" s="35"/>
      <c r="J22516" s="41"/>
    </row>
    <row r="22517" spans="5:10" s="34" customFormat="1" x14ac:dyDescent="0.35">
      <c r="E22517" s="35"/>
      <c r="J22517" s="41"/>
    </row>
    <row r="22518" spans="5:10" s="34" customFormat="1" x14ac:dyDescent="0.35">
      <c r="E22518" s="35"/>
      <c r="J22518" s="41"/>
    </row>
    <row r="22519" spans="5:10" s="34" customFormat="1" x14ac:dyDescent="0.35">
      <c r="E22519" s="35"/>
      <c r="J22519" s="41"/>
    </row>
    <row r="22520" spans="5:10" s="34" customFormat="1" x14ac:dyDescent="0.35">
      <c r="E22520" s="35"/>
      <c r="J22520" s="41"/>
    </row>
    <row r="22521" spans="5:10" s="34" customFormat="1" x14ac:dyDescent="0.35">
      <c r="E22521" s="35"/>
      <c r="J22521" s="41"/>
    </row>
    <row r="22522" spans="5:10" s="34" customFormat="1" x14ac:dyDescent="0.35">
      <c r="E22522" s="35"/>
      <c r="J22522" s="41"/>
    </row>
    <row r="22523" spans="5:10" s="34" customFormat="1" x14ac:dyDescent="0.35">
      <c r="E22523" s="35"/>
      <c r="J22523" s="41"/>
    </row>
    <row r="22524" spans="5:10" s="34" customFormat="1" x14ac:dyDescent="0.35">
      <c r="E22524" s="35"/>
      <c r="J22524" s="41"/>
    </row>
    <row r="22525" spans="5:10" s="34" customFormat="1" x14ac:dyDescent="0.35">
      <c r="E22525" s="35"/>
      <c r="J22525" s="41"/>
    </row>
    <row r="22526" spans="5:10" s="34" customFormat="1" x14ac:dyDescent="0.35">
      <c r="E22526" s="35"/>
      <c r="J22526" s="41"/>
    </row>
    <row r="22527" spans="5:10" s="34" customFormat="1" x14ac:dyDescent="0.35">
      <c r="E22527" s="35"/>
      <c r="J22527" s="41"/>
    </row>
    <row r="22528" spans="5:10" s="34" customFormat="1" x14ac:dyDescent="0.35">
      <c r="E22528" s="35"/>
      <c r="J22528" s="41"/>
    </row>
    <row r="22529" spans="5:10" s="34" customFormat="1" x14ac:dyDescent="0.35">
      <c r="E22529" s="35"/>
      <c r="J22529" s="41"/>
    </row>
    <row r="22530" spans="5:10" s="34" customFormat="1" x14ac:dyDescent="0.35">
      <c r="E22530" s="35"/>
      <c r="J22530" s="41"/>
    </row>
    <row r="22531" spans="5:10" s="34" customFormat="1" x14ac:dyDescent="0.35">
      <c r="E22531" s="35"/>
      <c r="J22531" s="41"/>
    </row>
    <row r="22532" spans="5:10" s="34" customFormat="1" x14ac:dyDescent="0.35">
      <c r="E22532" s="35"/>
      <c r="J22532" s="41"/>
    </row>
    <row r="22533" spans="5:10" s="34" customFormat="1" x14ac:dyDescent="0.35">
      <c r="E22533" s="35"/>
      <c r="J22533" s="41"/>
    </row>
    <row r="22534" spans="5:10" s="34" customFormat="1" x14ac:dyDescent="0.35">
      <c r="E22534" s="35"/>
      <c r="J22534" s="41"/>
    </row>
    <row r="22535" spans="5:10" s="34" customFormat="1" x14ac:dyDescent="0.35">
      <c r="E22535" s="35"/>
      <c r="J22535" s="41"/>
    </row>
    <row r="22536" spans="5:10" s="34" customFormat="1" x14ac:dyDescent="0.35">
      <c r="E22536" s="35"/>
      <c r="J22536" s="41"/>
    </row>
    <row r="22537" spans="5:10" s="34" customFormat="1" x14ac:dyDescent="0.35">
      <c r="E22537" s="35"/>
      <c r="J22537" s="41"/>
    </row>
    <row r="22538" spans="5:10" s="34" customFormat="1" x14ac:dyDescent="0.35">
      <c r="E22538" s="35"/>
      <c r="J22538" s="41"/>
    </row>
    <row r="22539" spans="5:10" s="34" customFormat="1" x14ac:dyDescent="0.35">
      <c r="E22539" s="35"/>
      <c r="J22539" s="41"/>
    </row>
    <row r="22540" spans="5:10" s="34" customFormat="1" x14ac:dyDescent="0.35">
      <c r="E22540" s="35"/>
      <c r="J22540" s="41"/>
    </row>
    <row r="22541" spans="5:10" s="34" customFormat="1" x14ac:dyDescent="0.35">
      <c r="E22541" s="35"/>
      <c r="J22541" s="41"/>
    </row>
    <row r="22542" spans="5:10" s="34" customFormat="1" x14ac:dyDescent="0.35">
      <c r="E22542" s="35"/>
      <c r="J22542" s="41"/>
    </row>
    <row r="22543" spans="5:10" s="34" customFormat="1" x14ac:dyDescent="0.35">
      <c r="E22543" s="35"/>
      <c r="J22543" s="41"/>
    </row>
    <row r="22544" spans="5:10" s="34" customFormat="1" x14ac:dyDescent="0.35">
      <c r="E22544" s="35"/>
      <c r="J22544" s="41"/>
    </row>
    <row r="22545" spans="5:10" s="34" customFormat="1" x14ac:dyDescent="0.35">
      <c r="E22545" s="35"/>
      <c r="J22545" s="41"/>
    </row>
    <row r="22546" spans="5:10" s="34" customFormat="1" x14ac:dyDescent="0.35">
      <c r="E22546" s="35"/>
      <c r="J22546" s="41"/>
    </row>
    <row r="22547" spans="5:10" s="34" customFormat="1" x14ac:dyDescent="0.35">
      <c r="E22547" s="35"/>
      <c r="J22547" s="41"/>
    </row>
    <row r="22548" spans="5:10" s="34" customFormat="1" x14ac:dyDescent="0.35">
      <c r="E22548" s="35"/>
      <c r="J22548" s="41"/>
    </row>
    <row r="22549" spans="5:10" s="34" customFormat="1" x14ac:dyDescent="0.35">
      <c r="E22549" s="35"/>
      <c r="J22549" s="41"/>
    </row>
    <row r="22550" spans="5:10" s="34" customFormat="1" x14ac:dyDescent="0.35">
      <c r="E22550" s="35"/>
      <c r="J22550" s="41"/>
    </row>
    <row r="22551" spans="5:10" s="34" customFormat="1" x14ac:dyDescent="0.35">
      <c r="E22551" s="35"/>
      <c r="J22551" s="41"/>
    </row>
    <row r="22552" spans="5:10" s="34" customFormat="1" x14ac:dyDescent="0.35">
      <c r="E22552" s="35"/>
      <c r="J22552" s="41"/>
    </row>
    <row r="22553" spans="5:10" s="34" customFormat="1" x14ac:dyDescent="0.35">
      <c r="E22553" s="35"/>
      <c r="J22553" s="41"/>
    </row>
    <row r="22554" spans="5:10" s="34" customFormat="1" x14ac:dyDescent="0.35">
      <c r="E22554" s="35"/>
      <c r="J22554" s="41"/>
    </row>
    <row r="22555" spans="5:10" s="34" customFormat="1" x14ac:dyDescent="0.35">
      <c r="E22555" s="35"/>
      <c r="J22555" s="41"/>
    </row>
    <row r="22556" spans="5:10" s="34" customFormat="1" x14ac:dyDescent="0.35">
      <c r="E22556" s="35"/>
      <c r="J22556" s="41"/>
    </row>
    <row r="22557" spans="5:10" s="34" customFormat="1" x14ac:dyDescent="0.35">
      <c r="E22557" s="35"/>
      <c r="J22557" s="41"/>
    </row>
    <row r="22558" spans="5:10" s="34" customFormat="1" x14ac:dyDescent="0.35">
      <c r="E22558" s="35"/>
      <c r="J22558" s="41"/>
    </row>
    <row r="22559" spans="5:10" s="34" customFormat="1" x14ac:dyDescent="0.35">
      <c r="E22559" s="35"/>
      <c r="J22559" s="41"/>
    </row>
    <row r="22560" spans="5:10" s="34" customFormat="1" x14ac:dyDescent="0.35">
      <c r="E22560" s="35"/>
      <c r="J22560" s="41"/>
    </row>
    <row r="22561" spans="5:10" s="34" customFormat="1" x14ac:dyDescent="0.35">
      <c r="E22561" s="35"/>
      <c r="J22561" s="41"/>
    </row>
    <row r="22562" spans="5:10" s="34" customFormat="1" x14ac:dyDescent="0.35">
      <c r="E22562" s="35"/>
      <c r="J22562" s="41"/>
    </row>
    <row r="22563" spans="5:10" s="34" customFormat="1" x14ac:dyDescent="0.35">
      <c r="E22563" s="35"/>
      <c r="J22563" s="41"/>
    </row>
    <row r="22564" spans="5:10" s="34" customFormat="1" x14ac:dyDescent="0.35">
      <c r="E22564" s="35"/>
      <c r="J22564" s="41"/>
    </row>
    <row r="22565" spans="5:10" s="34" customFormat="1" x14ac:dyDescent="0.35">
      <c r="E22565" s="35"/>
      <c r="J22565" s="41"/>
    </row>
    <row r="22566" spans="5:10" s="34" customFormat="1" x14ac:dyDescent="0.35">
      <c r="E22566" s="35"/>
      <c r="J22566" s="41"/>
    </row>
    <row r="22567" spans="5:10" s="34" customFormat="1" x14ac:dyDescent="0.35">
      <c r="E22567" s="35"/>
      <c r="J22567" s="41"/>
    </row>
    <row r="22568" spans="5:10" s="34" customFormat="1" x14ac:dyDescent="0.35">
      <c r="E22568" s="35"/>
      <c r="J22568" s="41"/>
    </row>
    <row r="22569" spans="5:10" s="34" customFormat="1" x14ac:dyDescent="0.35">
      <c r="E22569" s="35"/>
      <c r="J22569" s="41"/>
    </row>
    <row r="22570" spans="5:10" s="34" customFormat="1" x14ac:dyDescent="0.35">
      <c r="E22570" s="35"/>
      <c r="J22570" s="41"/>
    </row>
    <row r="22571" spans="5:10" s="34" customFormat="1" x14ac:dyDescent="0.35">
      <c r="E22571" s="35"/>
      <c r="J22571" s="41"/>
    </row>
    <row r="22572" spans="5:10" s="34" customFormat="1" x14ac:dyDescent="0.35">
      <c r="E22572" s="35"/>
      <c r="J22572" s="41"/>
    </row>
    <row r="22573" spans="5:10" s="34" customFormat="1" x14ac:dyDescent="0.35">
      <c r="E22573" s="35"/>
      <c r="J22573" s="41"/>
    </row>
    <row r="22574" spans="5:10" s="34" customFormat="1" x14ac:dyDescent="0.35">
      <c r="E22574" s="35"/>
      <c r="J22574" s="41"/>
    </row>
    <row r="22575" spans="5:10" s="34" customFormat="1" x14ac:dyDescent="0.35">
      <c r="E22575" s="35"/>
      <c r="J22575" s="41"/>
    </row>
    <row r="22576" spans="5:10" s="34" customFormat="1" x14ac:dyDescent="0.35">
      <c r="E22576" s="35"/>
      <c r="J22576" s="41"/>
    </row>
    <row r="22577" spans="5:10" s="34" customFormat="1" x14ac:dyDescent="0.35">
      <c r="E22577" s="35"/>
      <c r="J22577" s="41"/>
    </row>
    <row r="22578" spans="5:10" s="34" customFormat="1" x14ac:dyDescent="0.35">
      <c r="E22578" s="35"/>
      <c r="J22578" s="41"/>
    </row>
    <row r="22579" spans="5:10" s="34" customFormat="1" x14ac:dyDescent="0.35">
      <c r="E22579" s="35"/>
      <c r="J22579" s="41"/>
    </row>
    <row r="22580" spans="5:10" s="34" customFormat="1" x14ac:dyDescent="0.35">
      <c r="E22580" s="35"/>
      <c r="J22580" s="41"/>
    </row>
    <row r="22581" spans="5:10" s="34" customFormat="1" x14ac:dyDescent="0.35">
      <c r="E22581" s="35"/>
      <c r="J22581" s="41"/>
    </row>
    <row r="22582" spans="5:10" s="34" customFormat="1" x14ac:dyDescent="0.35">
      <c r="E22582" s="35"/>
      <c r="J22582" s="41"/>
    </row>
    <row r="22583" spans="5:10" s="34" customFormat="1" x14ac:dyDescent="0.35">
      <c r="E22583" s="35"/>
      <c r="J22583" s="41"/>
    </row>
    <row r="22584" spans="5:10" s="34" customFormat="1" x14ac:dyDescent="0.35">
      <c r="E22584" s="35"/>
      <c r="J22584" s="41"/>
    </row>
    <row r="22585" spans="5:10" s="34" customFormat="1" x14ac:dyDescent="0.35">
      <c r="E22585" s="35"/>
      <c r="J22585" s="41"/>
    </row>
    <row r="22586" spans="5:10" s="34" customFormat="1" x14ac:dyDescent="0.35">
      <c r="E22586" s="35"/>
      <c r="J22586" s="41"/>
    </row>
    <row r="22587" spans="5:10" s="34" customFormat="1" x14ac:dyDescent="0.35">
      <c r="E22587" s="35"/>
      <c r="J22587" s="41"/>
    </row>
    <row r="22588" spans="5:10" s="34" customFormat="1" x14ac:dyDescent="0.35">
      <c r="E22588" s="35"/>
      <c r="J22588" s="41"/>
    </row>
    <row r="22589" spans="5:10" s="34" customFormat="1" x14ac:dyDescent="0.35">
      <c r="E22589" s="35"/>
      <c r="J22589" s="41"/>
    </row>
    <row r="22590" spans="5:10" s="34" customFormat="1" x14ac:dyDescent="0.35">
      <c r="E22590" s="35"/>
      <c r="J22590" s="41"/>
    </row>
    <row r="22591" spans="5:10" s="34" customFormat="1" x14ac:dyDescent="0.35">
      <c r="E22591" s="35"/>
      <c r="J22591" s="41"/>
    </row>
    <row r="22592" spans="5:10" s="34" customFormat="1" x14ac:dyDescent="0.35">
      <c r="E22592" s="35"/>
      <c r="J22592" s="41"/>
    </row>
    <row r="22593" spans="5:10" s="34" customFormat="1" x14ac:dyDescent="0.35">
      <c r="E22593" s="35"/>
      <c r="J22593" s="41"/>
    </row>
    <row r="22594" spans="5:10" s="34" customFormat="1" x14ac:dyDescent="0.35">
      <c r="E22594" s="35"/>
      <c r="J22594" s="41"/>
    </row>
    <row r="22595" spans="5:10" s="34" customFormat="1" x14ac:dyDescent="0.35">
      <c r="E22595" s="35"/>
      <c r="J22595" s="41"/>
    </row>
    <row r="22596" spans="5:10" s="34" customFormat="1" x14ac:dyDescent="0.35">
      <c r="E22596" s="35"/>
      <c r="J22596" s="41"/>
    </row>
    <row r="22597" spans="5:10" s="34" customFormat="1" x14ac:dyDescent="0.35">
      <c r="E22597" s="35"/>
      <c r="J22597" s="41"/>
    </row>
    <row r="22598" spans="5:10" s="34" customFormat="1" x14ac:dyDescent="0.35">
      <c r="E22598" s="35"/>
      <c r="J22598" s="41"/>
    </row>
    <row r="22599" spans="5:10" s="34" customFormat="1" x14ac:dyDescent="0.35">
      <c r="E22599" s="35"/>
      <c r="J22599" s="41"/>
    </row>
    <row r="22600" spans="5:10" s="34" customFormat="1" x14ac:dyDescent="0.35">
      <c r="E22600" s="35"/>
      <c r="J22600" s="41"/>
    </row>
    <row r="22601" spans="5:10" s="34" customFormat="1" x14ac:dyDescent="0.35">
      <c r="E22601" s="35"/>
      <c r="J22601" s="41"/>
    </row>
    <row r="22602" spans="5:10" s="34" customFormat="1" x14ac:dyDescent="0.35">
      <c r="E22602" s="35"/>
      <c r="J22602" s="41"/>
    </row>
    <row r="22603" spans="5:10" s="34" customFormat="1" x14ac:dyDescent="0.35">
      <c r="E22603" s="35"/>
      <c r="J22603" s="41"/>
    </row>
    <row r="22604" spans="5:10" s="34" customFormat="1" x14ac:dyDescent="0.35">
      <c r="E22604" s="35"/>
      <c r="J22604" s="41"/>
    </row>
    <row r="22605" spans="5:10" s="34" customFormat="1" x14ac:dyDescent="0.35">
      <c r="E22605" s="35"/>
      <c r="J22605" s="41"/>
    </row>
    <row r="22606" spans="5:10" s="34" customFormat="1" x14ac:dyDescent="0.35">
      <c r="E22606" s="35"/>
      <c r="J22606" s="41"/>
    </row>
    <row r="22607" spans="5:10" s="34" customFormat="1" x14ac:dyDescent="0.35">
      <c r="E22607" s="35"/>
      <c r="J22607" s="41"/>
    </row>
    <row r="22608" spans="5:10" s="34" customFormat="1" x14ac:dyDescent="0.35">
      <c r="E22608" s="35"/>
      <c r="J22608" s="41"/>
    </row>
    <row r="22609" spans="5:10" s="34" customFormat="1" x14ac:dyDescent="0.35">
      <c r="E22609" s="35"/>
      <c r="J22609" s="41"/>
    </row>
    <row r="22610" spans="5:10" s="34" customFormat="1" x14ac:dyDescent="0.35">
      <c r="E22610" s="35"/>
      <c r="J22610" s="41"/>
    </row>
    <row r="22611" spans="5:10" s="34" customFormat="1" x14ac:dyDescent="0.35">
      <c r="E22611" s="35"/>
      <c r="J22611" s="41"/>
    </row>
    <row r="22612" spans="5:10" s="34" customFormat="1" x14ac:dyDescent="0.35">
      <c r="E22612" s="35"/>
      <c r="J22612" s="41"/>
    </row>
    <row r="22613" spans="5:10" s="34" customFormat="1" x14ac:dyDescent="0.35">
      <c r="E22613" s="35"/>
      <c r="J22613" s="41"/>
    </row>
    <row r="22614" spans="5:10" s="34" customFormat="1" x14ac:dyDescent="0.35">
      <c r="E22614" s="35"/>
      <c r="J22614" s="41"/>
    </row>
    <row r="22615" spans="5:10" s="34" customFormat="1" x14ac:dyDescent="0.35">
      <c r="E22615" s="35"/>
      <c r="J22615" s="41"/>
    </row>
    <row r="22616" spans="5:10" s="34" customFormat="1" x14ac:dyDescent="0.35">
      <c r="E22616" s="35"/>
      <c r="J22616" s="41"/>
    </row>
    <row r="22617" spans="5:10" s="34" customFormat="1" x14ac:dyDescent="0.35">
      <c r="E22617" s="35"/>
      <c r="J22617" s="41"/>
    </row>
    <row r="22618" spans="5:10" s="34" customFormat="1" x14ac:dyDescent="0.35">
      <c r="E22618" s="35"/>
      <c r="J22618" s="41"/>
    </row>
    <row r="22619" spans="5:10" s="34" customFormat="1" x14ac:dyDescent="0.35">
      <c r="E22619" s="35"/>
      <c r="J22619" s="41"/>
    </row>
    <row r="22620" spans="5:10" s="34" customFormat="1" x14ac:dyDescent="0.35">
      <c r="E22620" s="35"/>
      <c r="J22620" s="41"/>
    </row>
    <row r="22621" spans="5:10" s="34" customFormat="1" x14ac:dyDescent="0.35">
      <c r="E22621" s="35"/>
      <c r="J22621" s="41"/>
    </row>
    <row r="22622" spans="5:10" s="34" customFormat="1" x14ac:dyDescent="0.35">
      <c r="E22622" s="35"/>
      <c r="J22622" s="41"/>
    </row>
    <row r="22623" spans="5:10" s="34" customFormat="1" x14ac:dyDescent="0.35">
      <c r="E22623" s="35"/>
      <c r="J22623" s="41"/>
    </row>
    <row r="22624" spans="5:10" s="34" customFormat="1" x14ac:dyDescent="0.35">
      <c r="E22624" s="35"/>
      <c r="J22624" s="41"/>
    </row>
    <row r="22625" spans="5:10" s="34" customFormat="1" x14ac:dyDescent="0.35">
      <c r="E22625" s="35"/>
      <c r="J22625" s="41"/>
    </row>
    <row r="22626" spans="5:10" s="34" customFormat="1" x14ac:dyDescent="0.35">
      <c r="E22626" s="35"/>
      <c r="J22626" s="41"/>
    </row>
    <row r="22627" spans="5:10" s="34" customFormat="1" x14ac:dyDescent="0.35">
      <c r="E22627" s="35"/>
      <c r="J22627" s="41"/>
    </row>
    <row r="22628" spans="5:10" s="34" customFormat="1" x14ac:dyDescent="0.35">
      <c r="E22628" s="35"/>
      <c r="J22628" s="41"/>
    </row>
    <row r="22629" spans="5:10" s="34" customFormat="1" x14ac:dyDescent="0.35">
      <c r="E22629" s="35"/>
      <c r="J22629" s="41"/>
    </row>
    <row r="22630" spans="5:10" s="34" customFormat="1" x14ac:dyDescent="0.35">
      <c r="E22630" s="35"/>
      <c r="J22630" s="41"/>
    </row>
    <row r="22631" spans="5:10" s="34" customFormat="1" x14ac:dyDescent="0.35">
      <c r="E22631" s="35"/>
      <c r="J22631" s="41"/>
    </row>
    <row r="22632" spans="5:10" s="34" customFormat="1" x14ac:dyDescent="0.35">
      <c r="E22632" s="35"/>
      <c r="J22632" s="41"/>
    </row>
    <row r="22633" spans="5:10" s="34" customFormat="1" x14ac:dyDescent="0.35">
      <c r="E22633" s="35"/>
      <c r="J22633" s="41"/>
    </row>
    <row r="22634" spans="5:10" s="34" customFormat="1" x14ac:dyDescent="0.35">
      <c r="E22634" s="35"/>
      <c r="J22634" s="41"/>
    </row>
    <row r="22635" spans="5:10" s="34" customFormat="1" x14ac:dyDescent="0.35">
      <c r="E22635" s="35"/>
      <c r="J22635" s="41"/>
    </row>
    <row r="22636" spans="5:10" s="34" customFormat="1" x14ac:dyDescent="0.35">
      <c r="E22636" s="35"/>
      <c r="J22636" s="41"/>
    </row>
    <row r="22637" spans="5:10" s="34" customFormat="1" x14ac:dyDescent="0.35">
      <c r="E22637" s="35"/>
      <c r="J22637" s="41"/>
    </row>
    <row r="22638" spans="5:10" s="34" customFormat="1" x14ac:dyDescent="0.35">
      <c r="E22638" s="35"/>
      <c r="J22638" s="41"/>
    </row>
    <row r="22639" spans="5:10" s="34" customFormat="1" x14ac:dyDescent="0.35">
      <c r="E22639" s="35"/>
      <c r="J22639" s="41"/>
    </row>
    <row r="22640" spans="5:10" s="34" customFormat="1" x14ac:dyDescent="0.35">
      <c r="E22640" s="35"/>
      <c r="J22640" s="41"/>
    </row>
    <row r="22641" spans="5:10" s="34" customFormat="1" x14ac:dyDescent="0.35">
      <c r="E22641" s="35"/>
      <c r="J22641" s="41"/>
    </row>
    <row r="22642" spans="5:10" s="34" customFormat="1" x14ac:dyDescent="0.35">
      <c r="E22642" s="35"/>
      <c r="J22642" s="41"/>
    </row>
    <row r="22643" spans="5:10" s="34" customFormat="1" x14ac:dyDescent="0.35">
      <c r="E22643" s="35"/>
      <c r="J22643" s="41"/>
    </row>
    <row r="22644" spans="5:10" s="34" customFormat="1" x14ac:dyDescent="0.35">
      <c r="E22644" s="35"/>
      <c r="J22644" s="41"/>
    </row>
    <row r="22645" spans="5:10" s="34" customFormat="1" x14ac:dyDescent="0.35">
      <c r="E22645" s="35"/>
      <c r="J22645" s="41"/>
    </row>
    <row r="22646" spans="5:10" s="34" customFormat="1" x14ac:dyDescent="0.35">
      <c r="E22646" s="35"/>
      <c r="J22646" s="41"/>
    </row>
    <row r="22647" spans="5:10" s="34" customFormat="1" x14ac:dyDescent="0.35">
      <c r="E22647" s="35"/>
      <c r="J22647" s="41"/>
    </row>
    <row r="22648" spans="5:10" s="34" customFormat="1" x14ac:dyDescent="0.35">
      <c r="E22648" s="35"/>
      <c r="J22648" s="41"/>
    </row>
    <row r="22649" spans="5:10" s="34" customFormat="1" x14ac:dyDescent="0.35">
      <c r="E22649" s="35"/>
      <c r="J22649" s="41"/>
    </row>
    <row r="22650" spans="5:10" s="34" customFormat="1" x14ac:dyDescent="0.35">
      <c r="E22650" s="35"/>
      <c r="J22650" s="41"/>
    </row>
    <row r="22651" spans="5:10" s="34" customFormat="1" x14ac:dyDescent="0.35">
      <c r="E22651" s="35"/>
      <c r="J22651" s="41"/>
    </row>
    <row r="22652" spans="5:10" s="34" customFormat="1" x14ac:dyDescent="0.35">
      <c r="E22652" s="35"/>
      <c r="J22652" s="41"/>
    </row>
    <row r="22653" spans="5:10" s="34" customFormat="1" x14ac:dyDescent="0.35">
      <c r="E22653" s="35"/>
      <c r="J22653" s="41"/>
    </row>
    <row r="22654" spans="5:10" s="34" customFormat="1" x14ac:dyDescent="0.35">
      <c r="E22654" s="35"/>
      <c r="J22654" s="41"/>
    </row>
    <row r="22655" spans="5:10" s="34" customFormat="1" x14ac:dyDescent="0.35">
      <c r="E22655" s="35"/>
      <c r="J22655" s="41"/>
    </row>
    <row r="22656" spans="5:10" s="34" customFormat="1" x14ac:dyDescent="0.35">
      <c r="E22656" s="35"/>
      <c r="J22656" s="41"/>
    </row>
    <row r="22657" spans="5:10" s="34" customFormat="1" x14ac:dyDescent="0.35">
      <c r="E22657" s="35"/>
      <c r="J22657" s="41"/>
    </row>
    <row r="22658" spans="5:10" s="34" customFormat="1" x14ac:dyDescent="0.35">
      <c r="E22658" s="35"/>
      <c r="J22658" s="41"/>
    </row>
    <row r="22659" spans="5:10" s="34" customFormat="1" x14ac:dyDescent="0.35">
      <c r="E22659" s="35"/>
      <c r="J22659" s="41"/>
    </row>
    <row r="22660" spans="5:10" s="34" customFormat="1" x14ac:dyDescent="0.35">
      <c r="E22660" s="35"/>
      <c r="J22660" s="41"/>
    </row>
    <row r="22661" spans="5:10" s="34" customFormat="1" x14ac:dyDescent="0.35">
      <c r="E22661" s="35"/>
      <c r="J22661" s="41"/>
    </row>
    <row r="22662" spans="5:10" s="34" customFormat="1" x14ac:dyDescent="0.35">
      <c r="E22662" s="35"/>
      <c r="J22662" s="41"/>
    </row>
    <row r="22663" spans="5:10" s="34" customFormat="1" x14ac:dyDescent="0.35">
      <c r="E22663" s="35"/>
      <c r="J22663" s="41"/>
    </row>
    <row r="22664" spans="5:10" s="34" customFormat="1" x14ac:dyDescent="0.35">
      <c r="E22664" s="35"/>
      <c r="J22664" s="41"/>
    </row>
    <row r="22665" spans="5:10" s="34" customFormat="1" x14ac:dyDescent="0.35">
      <c r="E22665" s="35"/>
      <c r="J22665" s="41"/>
    </row>
    <row r="22666" spans="5:10" s="34" customFormat="1" x14ac:dyDescent="0.35">
      <c r="E22666" s="35"/>
      <c r="J22666" s="41"/>
    </row>
    <row r="22667" spans="5:10" s="34" customFormat="1" x14ac:dyDescent="0.35">
      <c r="E22667" s="35"/>
      <c r="J22667" s="41"/>
    </row>
    <row r="22668" spans="5:10" s="34" customFormat="1" x14ac:dyDescent="0.35">
      <c r="E22668" s="35"/>
      <c r="J22668" s="41"/>
    </row>
    <row r="22669" spans="5:10" s="34" customFormat="1" x14ac:dyDescent="0.35">
      <c r="E22669" s="35"/>
      <c r="J22669" s="41"/>
    </row>
    <row r="22670" spans="5:10" s="34" customFormat="1" x14ac:dyDescent="0.35">
      <c r="E22670" s="35"/>
      <c r="J22670" s="41"/>
    </row>
    <row r="22671" spans="5:10" s="34" customFormat="1" x14ac:dyDescent="0.35">
      <c r="E22671" s="35"/>
      <c r="J22671" s="41"/>
    </row>
    <row r="22672" spans="5:10" s="34" customFormat="1" x14ac:dyDescent="0.35">
      <c r="E22672" s="35"/>
      <c r="J22672" s="41"/>
    </row>
    <row r="22673" spans="5:10" s="34" customFormat="1" x14ac:dyDescent="0.35">
      <c r="E22673" s="35"/>
      <c r="J22673" s="41"/>
    </row>
    <row r="22674" spans="5:10" s="34" customFormat="1" x14ac:dyDescent="0.35">
      <c r="E22674" s="35"/>
      <c r="J22674" s="41"/>
    </row>
    <row r="22675" spans="5:10" s="34" customFormat="1" x14ac:dyDescent="0.35">
      <c r="E22675" s="35"/>
      <c r="J22675" s="41"/>
    </row>
    <row r="22676" spans="5:10" s="34" customFormat="1" x14ac:dyDescent="0.35">
      <c r="E22676" s="35"/>
      <c r="J22676" s="41"/>
    </row>
    <row r="22677" spans="5:10" s="34" customFormat="1" x14ac:dyDescent="0.35">
      <c r="E22677" s="35"/>
      <c r="J22677" s="41"/>
    </row>
    <row r="22678" spans="5:10" s="34" customFormat="1" x14ac:dyDescent="0.35">
      <c r="E22678" s="35"/>
      <c r="J22678" s="41"/>
    </row>
    <row r="22679" spans="5:10" s="34" customFormat="1" x14ac:dyDescent="0.35">
      <c r="E22679" s="35"/>
      <c r="J22679" s="41"/>
    </row>
    <row r="22680" spans="5:10" s="34" customFormat="1" x14ac:dyDescent="0.35">
      <c r="E22680" s="35"/>
      <c r="J22680" s="41"/>
    </row>
    <row r="22681" spans="5:10" s="34" customFormat="1" x14ac:dyDescent="0.35">
      <c r="E22681" s="35"/>
      <c r="J22681" s="41"/>
    </row>
    <row r="22682" spans="5:10" s="34" customFormat="1" x14ac:dyDescent="0.35">
      <c r="E22682" s="35"/>
      <c r="J22682" s="41"/>
    </row>
    <row r="22683" spans="5:10" s="34" customFormat="1" x14ac:dyDescent="0.35">
      <c r="E22683" s="35"/>
      <c r="J22683" s="41"/>
    </row>
    <row r="22684" spans="5:10" s="34" customFormat="1" x14ac:dyDescent="0.35">
      <c r="E22684" s="35"/>
      <c r="J22684" s="41"/>
    </row>
    <row r="22685" spans="5:10" s="34" customFormat="1" x14ac:dyDescent="0.35">
      <c r="E22685" s="35"/>
      <c r="J22685" s="41"/>
    </row>
    <row r="22686" spans="5:10" s="34" customFormat="1" x14ac:dyDescent="0.35">
      <c r="E22686" s="35"/>
      <c r="J22686" s="41"/>
    </row>
    <row r="22687" spans="5:10" s="34" customFormat="1" x14ac:dyDescent="0.35">
      <c r="E22687" s="35"/>
      <c r="J22687" s="41"/>
    </row>
    <row r="22688" spans="5:10" s="34" customFormat="1" x14ac:dyDescent="0.35">
      <c r="E22688" s="35"/>
      <c r="J22688" s="41"/>
    </row>
    <row r="22689" spans="5:10" s="34" customFormat="1" x14ac:dyDescent="0.35">
      <c r="E22689" s="35"/>
      <c r="J22689" s="41"/>
    </row>
    <row r="22690" spans="5:10" s="34" customFormat="1" x14ac:dyDescent="0.35">
      <c r="E22690" s="35"/>
      <c r="J22690" s="41"/>
    </row>
    <row r="22691" spans="5:10" s="34" customFormat="1" x14ac:dyDescent="0.35">
      <c r="E22691" s="35"/>
      <c r="J22691" s="41"/>
    </row>
    <row r="22692" spans="5:10" s="34" customFormat="1" x14ac:dyDescent="0.35">
      <c r="E22692" s="35"/>
      <c r="J22692" s="41"/>
    </row>
    <row r="22693" spans="5:10" s="34" customFormat="1" x14ac:dyDescent="0.35">
      <c r="E22693" s="35"/>
      <c r="J22693" s="41"/>
    </row>
    <row r="22694" spans="5:10" s="34" customFormat="1" x14ac:dyDescent="0.35">
      <c r="E22694" s="35"/>
      <c r="J22694" s="41"/>
    </row>
    <row r="22695" spans="5:10" s="34" customFormat="1" x14ac:dyDescent="0.35">
      <c r="E22695" s="35"/>
      <c r="J22695" s="41"/>
    </row>
    <row r="22696" spans="5:10" s="34" customFormat="1" x14ac:dyDescent="0.35">
      <c r="E22696" s="35"/>
      <c r="J22696" s="41"/>
    </row>
    <row r="22697" spans="5:10" s="34" customFormat="1" x14ac:dyDescent="0.35">
      <c r="E22697" s="35"/>
      <c r="J22697" s="41"/>
    </row>
    <row r="22698" spans="5:10" s="34" customFormat="1" x14ac:dyDescent="0.35">
      <c r="E22698" s="35"/>
      <c r="J22698" s="41"/>
    </row>
    <row r="22699" spans="5:10" s="34" customFormat="1" x14ac:dyDescent="0.35">
      <c r="E22699" s="35"/>
      <c r="J22699" s="41"/>
    </row>
    <row r="22700" spans="5:10" s="34" customFormat="1" x14ac:dyDescent="0.35">
      <c r="E22700" s="35"/>
      <c r="J22700" s="41"/>
    </row>
    <row r="22701" spans="5:10" s="34" customFormat="1" x14ac:dyDescent="0.35">
      <c r="E22701" s="35"/>
      <c r="J22701" s="41"/>
    </row>
    <row r="22702" spans="5:10" s="34" customFormat="1" x14ac:dyDescent="0.35">
      <c r="E22702" s="35"/>
      <c r="J22702" s="41"/>
    </row>
    <row r="22703" spans="5:10" s="34" customFormat="1" x14ac:dyDescent="0.35">
      <c r="E22703" s="35"/>
      <c r="J22703" s="41"/>
    </row>
    <row r="22704" spans="5:10" s="34" customFormat="1" x14ac:dyDescent="0.35">
      <c r="E22704" s="35"/>
      <c r="J22704" s="41"/>
    </row>
    <row r="22705" spans="5:10" s="34" customFormat="1" x14ac:dyDescent="0.35">
      <c r="E22705" s="35"/>
      <c r="J22705" s="41"/>
    </row>
    <row r="22706" spans="5:10" s="34" customFormat="1" x14ac:dyDescent="0.35">
      <c r="E22706" s="35"/>
      <c r="J22706" s="41"/>
    </row>
    <row r="22707" spans="5:10" s="34" customFormat="1" x14ac:dyDescent="0.35">
      <c r="E22707" s="35"/>
      <c r="J22707" s="41"/>
    </row>
    <row r="22708" spans="5:10" s="34" customFormat="1" x14ac:dyDescent="0.35">
      <c r="E22708" s="35"/>
      <c r="J22708" s="41"/>
    </row>
    <row r="22709" spans="5:10" s="34" customFormat="1" x14ac:dyDescent="0.35">
      <c r="E22709" s="35"/>
      <c r="J22709" s="41"/>
    </row>
    <row r="22710" spans="5:10" s="34" customFormat="1" x14ac:dyDescent="0.35">
      <c r="E22710" s="35"/>
      <c r="J22710" s="41"/>
    </row>
    <row r="22711" spans="5:10" s="34" customFormat="1" x14ac:dyDescent="0.35">
      <c r="E22711" s="35"/>
      <c r="J22711" s="41"/>
    </row>
    <row r="22712" spans="5:10" s="34" customFormat="1" x14ac:dyDescent="0.35">
      <c r="E22712" s="35"/>
      <c r="J22712" s="41"/>
    </row>
    <row r="22713" spans="5:10" s="34" customFormat="1" x14ac:dyDescent="0.35">
      <c r="E22713" s="35"/>
      <c r="J22713" s="41"/>
    </row>
    <row r="22714" spans="5:10" s="34" customFormat="1" x14ac:dyDescent="0.35">
      <c r="E22714" s="35"/>
      <c r="J22714" s="41"/>
    </row>
    <row r="22715" spans="5:10" s="34" customFormat="1" x14ac:dyDescent="0.35">
      <c r="E22715" s="35"/>
      <c r="J22715" s="41"/>
    </row>
    <row r="22716" spans="5:10" s="34" customFormat="1" x14ac:dyDescent="0.35">
      <c r="E22716" s="35"/>
      <c r="J22716" s="41"/>
    </row>
    <row r="22717" spans="5:10" s="34" customFormat="1" x14ac:dyDescent="0.35">
      <c r="E22717" s="35"/>
      <c r="J22717" s="41"/>
    </row>
    <row r="22718" spans="5:10" s="34" customFormat="1" x14ac:dyDescent="0.35">
      <c r="E22718" s="35"/>
      <c r="J22718" s="41"/>
    </row>
    <row r="22719" spans="5:10" s="34" customFormat="1" x14ac:dyDescent="0.35">
      <c r="E22719" s="35"/>
      <c r="J22719" s="41"/>
    </row>
    <row r="22720" spans="5:10" s="34" customFormat="1" x14ac:dyDescent="0.35">
      <c r="E22720" s="35"/>
      <c r="J22720" s="41"/>
    </row>
    <row r="22721" spans="5:10" s="34" customFormat="1" x14ac:dyDescent="0.35">
      <c r="E22721" s="35"/>
      <c r="J22721" s="41"/>
    </row>
    <row r="22722" spans="5:10" s="34" customFormat="1" x14ac:dyDescent="0.35">
      <c r="E22722" s="35"/>
      <c r="J22722" s="41"/>
    </row>
    <row r="22723" spans="5:10" s="34" customFormat="1" x14ac:dyDescent="0.35">
      <c r="E22723" s="35"/>
      <c r="J22723" s="41"/>
    </row>
    <row r="22724" spans="5:10" s="34" customFormat="1" x14ac:dyDescent="0.35">
      <c r="E22724" s="35"/>
      <c r="J22724" s="41"/>
    </row>
    <row r="22725" spans="5:10" s="34" customFormat="1" x14ac:dyDescent="0.35">
      <c r="E22725" s="35"/>
      <c r="J22725" s="41"/>
    </row>
    <row r="22726" spans="5:10" s="34" customFormat="1" x14ac:dyDescent="0.35">
      <c r="E22726" s="35"/>
      <c r="J22726" s="41"/>
    </row>
    <row r="22727" spans="5:10" s="34" customFormat="1" x14ac:dyDescent="0.35">
      <c r="E22727" s="35"/>
      <c r="J22727" s="41"/>
    </row>
    <row r="22728" spans="5:10" s="34" customFormat="1" x14ac:dyDescent="0.35">
      <c r="E22728" s="35"/>
      <c r="J22728" s="41"/>
    </row>
    <row r="22729" spans="5:10" s="34" customFormat="1" x14ac:dyDescent="0.35">
      <c r="E22729" s="35"/>
      <c r="J22729" s="41"/>
    </row>
    <row r="22730" spans="5:10" s="34" customFormat="1" x14ac:dyDescent="0.35">
      <c r="E22730" s="35"/>
      <c r="J22730" s="41"/>
    </row>
    <row r="22731" spans="5:10" s="34" customFormat="1" x14ac:dyDescent="0.35">
      <c r="E22731" s="35"/>
      <c r="J22731" s="41"/>
    </row>
    <row r="22732" spans="5:10" s="34" customFormat="1" x14ac:dyDescent="0.35">
      <c r="E22732" s="35"/>
      <c r="J22732" s="41"/>
    </row>
    <row r="22733" spans="5:10" s="34" customFormat="1" x14ac:dyDescent="0.35">
      <c r="E22733" s="35"/>
      <c r="J22733" s="41"/>
    </row>
    <row r="22734" spans="5:10" s="34" customFormat="1" x14ac:dyDescent="0.35">
      <c r="E22734" s="35"/>
      <c r="J22734" s="41"/>
    </row>
    <row r="22735" spans="5:10" s="34" customFormat="1" x14ac:dyDescent="0.35">
      <c r="E22735" s="35"/>
      <c r="J22735" s="41"/>
    </row>
    <row r="22736" spans="5:10" s="34" customFormat="1" x14ac:dyDescent="0.35">
      <c r="E22736" s="35"/>
      <c r="J22736" s="41"/>
    </row>
    <row r="22737" spans="5:10" s="34" customFormat="1" x14ac:dyDescent="0.35">
      <c r="E22737" s="35"/>
      <c r="J22737" s="41"/>
    </row>
    <row r="22738" spans="5:10" s="34" customFormat="1" x14ac:dyDescent="0.35">
      <c r="E22738" s="35"/>
      <c r="J22738" s="41"/>
    </row>
    <row r="22739" spans="5:10" s="34" customFormat="1" x14ac:dyDescent="0.35">
      <c r="E22739" s="35"/>
      <c r="J22739" s="41"/>
    </row>
    <row r="22740" spans="5:10" s="34" customFormat="1" x14ac:dyDescent="0.35">
      <c r="E22740" s="35"/>
      <c r="J22740" s="41"/>
    </row>
    <row r="22741" spans="5:10" s="34" customFormat="1" x14ac:dyDescent="0.35">
      <c r="E22741" s="35"/>
      <c r="J22741" s="41"/>
    </row>
    <row r="22742" spans="5:10" s="34" customFormat="1" x14ac:dyDescent="0.35">
      <c r="E22742" s="35"/>
      <c r="J22742" s="41"/>
    </row>
    <row r="22743" spans="5:10" s="34" customFormat="1" x14ac:dyDescent="0.35">
      <c r="E22743" s="35"/>
      <c r="J22743" s="41"/>
    </row>
    <row r="22744" spans="5:10" s="34" customFormat="1" x14ac:dyDescent="0.35">
      <c r="E22744" s="35"/>
      <c r="J22744" s="41"/>
    </row>
    <row r="22745" spans="5:10" s="34" customFormat="1" x14ac:dyDescent="0.35">
      <c r="E22745" s="35"/>
      <c r="J22745" s="41"/>
    </row>
    <row r="22746" spans="5:10" s="34" customFormat="1" x14ac:dyDescent="0.35">
      <c r="E22746" s="35"/>
      <c r="J22746" s="41"/>
    </row>
    <row r="22747" spans="5:10" s="34" customFormat="1" x14ac:dyDescent="0.35">
      <c r="E22747" s="35"/>
      <c r="J22747" s="41"/>
    </row>
    <row r="22748" spans="5:10" s="34" customFormat="1" x14ac:dyDescent="0.35">
      <c r="E22748" s="35"/>
      <c r="J22748" s="41"/>
    </row>
    <row r="22749" spans="5:10" s="34" customFormat="1" x14ac:dyDescent="0.35">
      <c r="E22749" s="35"/>
      <c r="J22749" s="41"/>
    </row>
    <row r="22750" spans="5:10" s="34" customFormat="1" x14ac:dyDescent="0.35">
      <c r="E22750" s="35"/>
      <c r="J22750" s="41"/>
    </row>
    <row r="22751" spans="5:10" s="34" customFormat="1" x14ac:dyDescent="0.35">
      <c r="E22751" s="35"/>
      <c r="J22751" s="41"/>
    </row>
    <row r="22752" spans="5:10" s="34" customFormat="1" x14ac:dyDescent="0.35">
      <c r="E22752" s="35"/>
      <c r="J22752" s="41"/>
    </row>
    <row r="22753" spans="5:10" s="34" customFormat="1" x14ac:dyDescent="0.35">
      <c r="E22753" s="35"/>
      <c r="J22753" s="41"/>
    </row>
    <row r="22754" spans="5:10" s="34" customFormat="1" x14ac:dyDescent="0.35">
      <c r="E22754" s="35"/>
      <c r="J22754" s="41"/>
    </row>
    <row r="22755" spans="5:10" s="34" customFormat="1" x14ac:dyDescent="0.35">
      <c r="E22755" s="35"/>
      <c r="J22755" s="41"/>
    </row>
    <row r="22756" spans="5:10" s="34" customFormat="1" x14ac:dyDescent="0.35">
      <c r="E22756" s="35"/>
      <c r="J22756" s="41"/>
    </row>
    <row r="22757" spans="5:10" s="34" customFormat="1" x14ac:dyDescent="0.35">
      <c r="E22757" s="35"/>
      <c r="J22757" s="41"/>
    </row>
    <row r="22758" spans="5:10" s="34" customFormat="1" x14ac:dyDescent="0.35">
      <c r="E22758" s="35"/>
      <c r="J22758" s="41"/>
    </row>
    <row r="22759" spans="5:10" s="34" customFormat="1" x14ac:dyDescent="0.35">
      <c r="E22759" s="35"/>
      <c r="J22759" s="41"/>
    </row>
    <row r="22760" spans="5:10" s="34" customFormat="1" x14ac:dyDescent="0.35">
      <c r="E22760" s="35"/>
      <c r="J22760" s="41"/>
    </row>
    <row r="22761" spans="5:10" s="34" customFormat="1" x14ac:dyDescent="0.35">
      <c r="E22761" s="35"/>
      <c r="J22761" s="41"/>
    </row>
    <row r="22762" spans="5:10" s="34" customFormat="1" x14ac:dyDescent="0.35">
      <c r="E22762" s="35"/>
      <c r="J22762" s="41"/>
    </row>
    <row r="22763" spans="5:10" s="34" customFormat="1" x14ac:dyDescent="0.35">
      <c r="E22763" s="35"/>
      <c r="J22763" s="41"/>
    </row>
    <row r="22764" spans="5:10" s="34" customFormat="1" x14ac:dyDescent="0.35">
      <c r="E22764" s="35"/>
      <c r="J22764" s="41"/>
    </row>
    <row r="22765" spans="5:10" s="34" customFormat="1" x14ac:dyDescent="0.35">
      <c r="E22765" s="35"/>
      <c r="J22765" s="41"/>
    </row>
    <row r="22766" spans="5:10" s="34" customFormat="1" x14ac:dyDescent="0.35">
      <c r="E22766" s="35"/>
      <c r="J22766" s="41"/>
    </row>
    <row r="22767" spans="5:10" s="34" customFormat="1" x14ac:dyDescent="0.35">
      <c r="E22767" s="35"/>
      <c r="J22767" s="41"/>
    </row>
    <row r="22768" spans="5:10" s="34" customFormat="1" x14ac:dyDescent="0.35">
      <c r="E22768" s="35"/>
      <c r="J22768" s="41"/>
    </row>
    <row r="22769" spans="5:10" s="34" customFormat="1" x14ac:dyDescent="0.35">
      <c r="E22769" s="35"/>
      <c r="J22769" s="41"/>
    </row>
    <row r="22770" spans="5:10" s="34" customFormat="1" x14ac:dyDescent="0.35">
      <c r="E22770" s="35"/>
      <c r="J22770" s="41"/>
    </row>
    <row r="22771" spans="5:10" s="34" customFormat="1" x14ac:dyDescent="0.35">
      <c r="E22771" s="35"/>
      <c r="J22771" s="41"/>
    </row>
    <row r="22772" spans="5:10" s="34" customFormat="1" x14ac:dyDescent="0.35">
      <c r="E22772" s="35"/>
      <c r="J22772" s="41"/>
    </row>
    <row r="22773" spans="5:10" s="34" customFormat="1" x14ac:dyDescent="0.35">
      <c r="E22773" s="35"/>
      <c r="J22773" s="41"/>
    </row>
    <row r="22774" spans="5:10" s="34" customFormat="1" x14ac:dyDescent="0.35">
      <c r="E22774" s="35"/>
      <c r="J22774" s="41"/>
    </row>
    <row r="22775" spans="5:10" s="34" customFormat="1" x14ac:dyDescent="0.35">
      <c r="E22775" s="35"/>
      <c r="J22775" s="41"/>
    </row>
    <row r="22776" spans="5:10" s="34" customFormat="1" x14ac:dyDescent="0.35">
      <c r="E22776" s="35"/>
      <c r="J22776" s="41"/>
    </row>
    <row r="22777" spans="5:10" s="34" customFormat="1" x14ac:dyDescent="0.35">
      <c r="E22777" s="35"/>
      <c r="J22777" s="41"/>
    </row>
    <row r="22778" spans="5:10" s="34" customFormat="1" x14ac:dyDescent="0.35">
      <c r="E22778" s="35"/>
      <c r="J22778" s="41"/>
    </row>
    <row r="22779" spans="5:10" s="34" customFormat="1" x14ac:dyDescent="0.35">
      <c r="E22779" s="35"/>
      <c r="J22779" s="41"/>
    </row>
    <row r="22780" spans="5:10" s="34" customFormat="1" x14ac:dyDescent="0.35">
      <c r="E22780" s="35"/>
      <c r="J22780" s="41"/>
    </row>
    <row r="22781" spans="5:10" s="34" customFormat="1" x14ac:dyDescent="0.35">
      <c r="E22781" s="35"/>
      <c r="J22781" s="41"/>
    </row>
    <row r="22782" spans="5:10" s="34" customFormat="1" x14ac:dyDescent="0.35">
      <c r="E22782" s="35"/>
      <c r="J22782" s="41"/>
    </row>
    <row r="22783" spans="5:10" s="34" customFormat="1" x14ac:dyDescent="0.35">
      <c r="E22783" s="35"/>
      <c r="J22783" s="41"/>
    </row>
    <row r="22784" spans="5:10" s="34" customFormat="1" x14ac:dyDescent="0.35">
      <c r="E22784" s="35"/>
      <c r="J22784" s="41"/>
    </row>
    <row r="22785" spans="5:10" s="34" customFormat="1" x14ac:dyDescent="0.35">
      <c r="E22785" s="35"/>
      <c r="J22785" s="41"/>
    </row>
    <row r="22786" spans="5:10" s="34" customFormat="1" x14ac:dyDescent="0.35">
      <c r="E22786" s="35"/>
      <c r="J22786" s="41"/>
    </row>
    <row r="22787" spans="5:10" s="34" customFormat="1" x14ac:dyDescent="0.35">
      <c r="E22787" s="35"/>
      <c r="J22787" s="41"/>
    </row>
    <row r="22788" spans="5:10" s="34" customFormat="1" x14ac:dyDescent="0.35">
      <c r="E22788" s="35"/>
      <c r="J22788" s="41"/>
    </row>
    <row r="22789" spans="5:10" s="34" customFormat="1" x14ac:dyDescent="0.35">
      <c r="E22789" s="35"/>
      <c r="J22789" s="41"/>
    </row>
    <row r="22790" spans="5:10" s="34" customFormat="1" x14ac:dyDescent="0.35">
      <c r="E22790" s="35"/>
      <c r="J22790" s="41"/>
    </row>
    <row r="22791" spans="5:10" s="34" customFormat="1" x14ac:dyDescent="0.35">
      <c r="E22791" s="35"/>
      <c r="J22791" s="41"/>
    </row>
    <row r="22792" spans="5:10" s="34" customFormat="1" x14ac:dyDescent="0.35">
      <c r="E22792" s="35"/>
      <c r="J22792" s="41"/>
    </row>
    <row r="22793" spans="5:10" s="34" customFormat="1" x14ac:dyDescent="0.35">
      <c r="E22793" s="35"/>
      <c r="J22793" s="41"/>
    </row>
    <row r="22794" spans="5:10" s="34" customFormat="1" x14ac:dyDescent="0.35">
      <c r="E22794" s="35"/>
      <c r="J22794" s="41"/>
    </row>
    <row r="22795" spans="5:10" s="34" customFormat="1" x14ac:dyDescent="0.35">
      <c r="E22795" s="35"/>
      <c r="J22795" s="41"/>
    </row>
    <row r="22796" spans="5:10" s="34" customFormat="1" x14ac:dyDescent="0.35">
      <c r="E22796" s="35"/>
      <c r="J22796" s="41"/>
    </row>
    <row r="22797" spans="5:10" s="34" customFormat="1" x14ac:dyDescent="0.35">
      <c r="E22797" s="35"/>
      <c r="J22797" s="41"/>
    </row>
    <row r="22798" spans="5:10" s="34" customFormat="1" x14ac:dyDescent="0.35">
      <c r="E22798" s="35"/>
      <c r="J22798" s="41"/>
    </row>
    <row r="22799" spans="5:10" s="34" customFormat="1" x14ac:dyDescent="0.35">
      <c r="E22799" s="35"/>
      <c r="J22799" s="41"/>
    </row>
    <row r="22800" spans="5:10" s="34" customFormat="1" x14ac:dyDescent="0.35">
      <c r="E22800" s="35"/>
      <c r="J22800" s="41"/>
    </row>
    <row r="22801" spans="5:10" s="34" customFormat="1" x14ac:dyDescent="0.35">
      <c r="E22801" s="35"/>
      <c r="J22801" s="41"/>
    </row>
    <row r="22802" spans="5:10" s="34" customFormat="1" x14ac:dyDescent="0.35">
      <c r="E22802" s="35"/>
      <c r="J22802" s="41"/>
    </row>
    <row r="22803" spans="5:10" s="34" customFormat="1" x14ac:dyDescent="0.35">
      <c r="E22803" s="35"/>
      <c r="J22803" s="41"/>
    </row>
    <row r="22804" spans="5:10" s="34" customFormat="1" x14ac:dyDescent="0.35">
      <c r="E22804" s="35"/>
      <c r="J22804" s="41"/>
    </row>
    <row r="22805" spans="5:10" s="34" customFormat="1" x14ac:dyDescent="0.35">
      <c r="E22805" s="35"/>
      <c r="J22805" s="41"/>
    </row>
    <row r="22806" spans="5:10" s="34" customFormat="1" x14ac:dyDescent="0.35">
      <c r="E22806" s="35"/>
      <c r="J22806" s="41"/>
    </row>
    <row r="22807" spans="5:10" s="34" customFormat="1" x14ac:dyDescent="0.35">
      <c r="E22807" s="35"/>
      <c r="J22807" s="41"/>
    </row>
    <row r="22808" spans="5:10" s="34" customFormat="1" x14ac:dyDescent="0.35">
      <c r="E22808" s="35"/>
      <c r="J22808" s="41"/>
    </row>
    <row r="22809" spans="5:10" s="34" customFormat="1" x14ac:dyDescent="0.35">
      <c r="E22809" s="35"/>
      <c r="J22809" s="41"/>
    </row>
    <row r="22810" spans="5:10" s="34" customFormat="1" x14ac:dyDescent="0.35">
      <c r="E22810" s="35"/>
      <c r="J22810" s="41"/>
    </row>
    <row r="22811" spans="5:10" s="34" customFormat="1" x14ac:dyDescent="0.35">
      <c r="E22811" s="35"/>
      <c r="J22811" s="41"/>
    </row>
    <row r="22812" spans="5:10" s="34" customFormat="1" x14ac:dyDescent="0.35">
      <c r="E22812" s="35"/>
      <c r="J22812" s="41"/>
    </row>
    <row r="22813" spans="5:10" s="34" customFormat="1" x14ac:dyDescent="0.35">
      <c r="E22813" s="35"/>
      <c r="J22813" s="41"/>
    </row>
    <row r="22814" spans="5:10" s="34" customFormat="1" x14ac:dyDescent="0.35">
      <c r="E22814" s="35"/>
      <c r="J22814" s="41"/>
    </row>
    <row r="22815" spans="5:10" s="34" customFormat="1" x14ac:dyDescent="0.35">
      <c r="E22815" s="35"/>
      <c r="J22815" s="41"/>
    </row>
    <row r="22816" spans="5:10" s="34" customFormat="1" x14ac:dyDescent="0.35">
      <c r="E22816" s="35"/>
      <c r="J22816" s="41"/>
    </row>
    <row r="22817" spans="5:10" s="34" customFormat="1" x14ac:dyDescent="0.35">
      <c r="E22817" s="35"/>
      <c r="J22817" s="41"/>
    </row>
    <row r="22818" spans="5:10" s="34" customFormat="1" x14ac:dyDescent="0.35">
      <c r="E22818" s="35"/>
      <c r="J22818" s="41"/>
    </row>
    <row r="22819" spans="5:10" s="34" customFormat="1" x14ac:dyDescent="0.35">
      <c r="E22819" s="35"/>
      <c r="J22819" s="41"/>
    </row>
    <row r="22820" spans="5:10" s="34" customFormat="1" x14ac:dyDescent="0.35">
      <c r="E22820" s="35"/>
      <c r="J22820" s="41"/>
    </row>
    <row r="22821" spans="5:10" s="34" customFormat="1" x14ac:dyDescent="0.35">
      <c r="E22821" s="35"/>
      <c r="J22821" s="41"/>
    </row>
    <row r="22822" spans="5:10" s="34" customFormat="1" x14ac:dyDescent="0.35">
      <c r="E22822" s="35"/>
      <c r="J22822" s="41"/>
    </row>
    <row r="22823" spans="5:10" s="34" customFormat="1" x14ac:dyDescent="0.35">
      <c r="E22823" s="35"/>
      <c r="J22823" s="41"/>
    </row>
    <row r="22824" spans="5:10" s="34" customFormat="1" x14ac:dyDescent="0.35">
      <c r="E22824" s="35"/>
      <c r="J22824" s="41"/>
    </row>
    <row r="22825" spans="5:10" s="34" customFormat="1" x14ac:dyDescent="0.35">
      <c r="E22825" s="35"/>
      <c r="J22825" s="41"/>
    </row>
    <row r="22826" spans="5:10" s="34" customFormat="1" x14ac:dyDescent="0.35">
      <c r="E22826" s="35"/>
      <c r="J22826" s="41"/>
    </row>
    <row r="22827" spans="5:10" s="34" customFormat="1" x14ac:dyDescent="0.35">
      <c r="E22827" s="35"/>
      <c r="J22827" s="41"/>
    </row>
    <row r="22828" spans="5:10" s="34" customFormat="1" x14ac:dyDescent="0.35">
      <c r="E22828" s="35"/>
      <c r="J22828" s="41"/>
    </row>
    <row r="22829" spans="5:10" s="34" customFormat="1" x14ac:dyDescent="0.35">
      <c r="E22829" s="35"/>
      <c r="J22829" s="41"/>
    </row>
    <row r="22830" spans="5:10" s="34" customFormat="1" x14ac:dyDescent="0.35">
      <c r="E22830" s="35"/>
      <c r="J22830" s="41"/>
    </row>
    <row r="22831" spans="5:10" s="34" customFormat="1" x14ac:dyDescent="0.35">
      <c r="E22831" s="35"/>
      <c r="J22831" s="41"/>
    </row>
    <row r="22832" spans="5:10" s="34" customFormat="1" x14ac:dyDescent="0.35">
      <c r="E22832" s="35"/>
      <c r="J22832" s="41"/>
    </row>
    <row r="22833" spans="5:10" s="34" customFormat="1" x14ac:dyDescent="0.35">
      <c r="E22833" s="35"/>
      <c r="J22833" s="41"/>
    </row>
    <row r="22834" spans="5:10" s="34" customFormat="1" x14ac:dyDescent="0.35">
      <c r="E22834" s="35"/>
      <c r="J22834" s="41"/>
    </row>
    <row r="22835" spans="5:10" s="34" customFormat="1" x14ac:dyDescent="0.35">
      <c r="E22835" s="35"/>
      <c r="J22835" s="41"/>
    </row>
    <row r="22836" spans="5:10" s="34" customFormat="1" x14ac:dyDescent="0.35">
      <c r="E22836" s="35"/>
      <c r="J22836" s="41"/>
    </row>
    <row r="22837" spans="5:10" s="34" customFormat="1" x14ac:dyDescent="0.35">
      <c r="E22837" s="35"/>
      <c r="J22837" s="41"/>
    </row>
    <row r="22838" spans="5:10" s="34" customFormat="1" x14ac:dyDescent="0.35">
      <c r="E22838" s="35"/>
      <c r="J22838" s="41"/>
    </row>
    <row r="22839" spans="5:10" s="34" customFormat="1" x14ac:dyDescent="0.35">
      <c r="E22839" s="35"/>
      <c r="J22839" s="41"/>
    </row>
    <row r="22840" spans="5:10" s="34" customFormat="1" x14ac:dyDescent="0.35">
      <c r="E22840" s="35"/>
      <c r="J22840" s="41"/>
    </row>
    <row r="22841" spans="5:10" s="34" customFormat="1" x14ac:dyDescent="0.35">
      <c r="E22841" s="35"/>
      <c r="J22841" s="41"/>
    </row>
    <row r="22842" spans="5:10" s="34" customFormat="1" x14ac:dyDescent="0.35">
      <c r="E22842" s="35"/>
      <c r="J22842" s="41"/>
    </row>
    <row r="22843" spans="5:10" s="34" customFormat="1" x14ac:dyDescent="0.35">
      <c r="E22843" s="35"/>
      <c r="J22843" s="41"/>
    </row>
    <row r="22844" spans="5:10" s="34" customFormat="1" x14ac:dyDescent="0.35">
      <c r="E22844" s="35"/>
      <c r="J22844" s="41"/>
    </row>
    <row r="22845" spans="5:10" s="34" customFormat="1" x14ac:dyDescent="0.35">
      <c r="E22845" s="35"/>
      <c r="J22845" s="41"/>
    </row>
    <row r="22846" spans="5:10" s="34" customFormat="1" x14ac:dyDescent="0.35">
      <c r="E22846" s="35"/>
      <c r="J22846" s="41"/>
    </row>
    <row r="22847" spans="5:10" s="34" customFormat="1" x14ac:dyDescent="0.35">
      <c r="E22847" s="35"/>
      <c r="J22847" s="41"/>
    </row>
    <row r="22848" spans="5:10" s="34" customFormat="1" x14ac:dyDescent="0.35">
      <c r="E22848" s="35"/>
      <c r="J22848" s="41"/>
    </row>
    <row r="22849" spans="5:10" s="34" customFormat="1" x14ac:dyDescent="0.35">
      <c r="E22849" s="35"/>
      <c r="J22849" s="41"/>
    </row>
    <row r="22850" spans="5:10" s="34" customFormat="1" x14ac:dyDescent="0.35">
      <c r="E22850" s="35"/>
      <c r="J22850" s="41"/>
    </row>
    <row r="22851" spans="5:10" s="34" customFormat="1" x14ac:dyDescent="0.35">
      <c r="E22851" s="35"/>
      <c r="J22851" s="41"/>
    </row>
    <row r="22852" spans="5:10" s="34" customFormat="1" x14ac:dyDescent="0.35">
      <c r="E22852" s="35"/>
      <c r="J22852" s="41"/>
    </row>
    <row r="22853" spans="5:10" s="34" customFormat="1" x14ac:dyDescent="0.35">
      <c r="E22853" s="35"/>
      <c r="J22853" s="41"/>
    </row>
    <row r="22854" spans="5:10" s="34" customFormat="1" x14ac:dyDescent="0.35">
      <c r="E22854" s="35"/>
      <c r="J22854" s="41"/>
    </row>
    <row r="22855" spans="5:10" s="34" customFormat="1" x14ac:dyDescent="0.35">
      <c r="E22855" s="35"/>
      <c r="J22855" s="41"/>
    </row>
    <row r="22856" spans="5:10" s="34" customFormat="1" x14ac:dyDescent="0.35">
      <c r="E22856" s="35"/>
      <c r="J22856" s="41"/>
    </row>
    <row r="22857" spans="5:10" s="34" customFormat="1" x14ac:dyDescent="0.35">
      <c r="E22857" s="35"/>
      <c r="J22857" s="41"/>
    </row>
    <row r="22858" spans="5:10" s="34" customFormat="1" x14ac:dyDescent="0.35">
      <c r="E22858" s="35"/>
      <c r="J22858" s="41"/>
    </row>
    <row r="22859" spans="5:10" s="34" customFormat="1" x14ac:dyDescent="0.35">
      <c r="E22859" s="35"/>
      <c r="J22859" s="41"/>
    </row>
    <row r="22860" spans="5:10" s="34" customFormat="1" x14ac:dyDescent="0.35">
      <c r="E22860" s="35"/>
      <c r="J22860" s="41"/>
    </row>
    <row r="22861" spans="5:10" s="34" customFormat="1" x14ac:dyDescent="0.35">
      <c r="E22861" s="35"/>
      <c r="J22861" s="41"/>
    </row>
    <row r="22862" spans="5:10" s="34" customFormat="1" x14ac:dyDescent="0.35">
      <c r="E22862" s="35"/>
      <c r="J22862" s="41"/>
    </row>
    <row r="22863" spans="5:10" s="34" customFormat="1" x14ac:dyDescent="0.35">
      <c r="E22863" s="35"/>
      <c r="J22863" s="41"/>
    </row>
    <row r="22864" spans="5:10" s="34" customFormat="1" x14ac:dyDescent="0.35">
      <c r="E22864" s="35"/>
      <c r="J22864" s="41"/>
    </row>
    <row r="22865" spans="5:10" s="34" customFormat="1" x14ac:dyDescent="0.35">
      <c r="E22865" s="35"/>
      <c r="J22865" s="41"/>
    </row>
    <row r="22866" spans="5:10" s="34" customFormat="1" x14ac:dyDescent="0.35">
      <c r="E22866" s="35"/>
      <c r="J22866" s="41"/>
    </row>
    <row r="22867" spans="5:10" s="34" customFormat="1" x14ac:dyDescent="0.35">
      <c r="E22867" s="35"/>
      <c r="J22867" s="41"/>
    </row>
    <row r="22868" spans="5:10" s="34" customFormat="1" x14ac:dyDescent="0.35">
      <c r="E22868" s="35"/>
      <c r="J22868" s="41"/>
    </row>
    <row r="22869" spans="5:10" s="34" customFormat="1" x14ac:dyDescent="0.35">
      <c r="E22869" s="35"/>
      <c r="J22869" s="41"/>
    </row>
    <row r="22870" spans="5:10" s="34" customFormat="1" x14ac:dyDescent="0.35">
      <c r="E22870" s="35"/>
      <c r="J22870" s="41"/>
    </row>
    <row r="22871" spans="5:10" s="34" customFormat="1" x14ac:dyDescent="0.35">
      <c r="E22871" s="35"/>
      <c r="J22871" s="41"/>
    </row>
    <row r="22872" spans="5:10" s="34" customFormat="1" x14ac:dyDescent="0.35">
      <c r="E22872" s="35"/>
      <c r="J22872" s="41"/>
    </row>
    <row r="22873" spans="5:10" s="34" customFormat="1" x14ac:dyDescent="0.35">
      <c r="E22873" s="35"/>
      <c r="J22873" s="41"/>
    </row>
    <row r="22874" spans="5:10" s="34" customFormat="1" x14ac:dyDescent="0.35">
      <c r="E22874" s="35"/>
      <c r="J22874" s="41"/>
    </row>
    <row r="22875" spans="5:10" s="34" customFormat="1" x14ac:dyDescent="0.35">
      <c r="E22875" s="35"/>
      <c r="J22875" s="41"/>
    </row>
    <row r="22876" spans="5:10" s="34" customFormat="1" x14ac:dyDescent="0.35">
      <c r="E22876" s="35"/>
      <c r="J22876" s="41"/>
    </row>
    <row r="22877" spans="5:10" s="34" customFormat="1" x14ac:dyDescent="0.35">
      <c r="E22877" s="35"/>
      <c r="J22877" s="41"/>
    </row>
    <row r="22878" spans="5:10" s="34" customFormat="1" x14ac:dyDescent="0.35">
      <c r="E22878" s="35"/>
      <c r="J22878" s="41"/>
    </row>
    <row r="22879" spans="5:10" s="34" customFormat="1" x14ac:dyDescent="0.35">
      <c r="E22879" s="35"/>
      <c r="J22879" s="41"/>
    </row>
    <row r="22880" spans="5:10" s="34" customFormat="1" x14ac:dyDescent="0.35">
      <c r="E22880" s="35"/>
      <c r="J22880" s="41"/>
    </row>
    <row r="22881" spans="5:10" s="34" customFormat="1" x14ac:dyDescent="0.35">
      <c r="E22881" s="35"/>
      <c r="J22881" s="41"/>
    </row>
    <row r="22882" spans="5:10" s="34" customFormat="1" x14ac:dyDescent="0.35">
      <c r="E22882" s="35"/>
      <c r="J22882" s="41"/>
    </row>
    <row r="22883" spans="5:10" s="34" customFormat="1" x14ac:dyDescent="0.35">
      <c r="E22883" s="35"/>
      <c r="J22883" s="41"/>
    </row>
    <row r="22884" spans="5:10" s="34" customFormat="1" x14ac:dyDescent="0.35">
      <c r="E22884" s="35"/>
      <c r="J22884" s="41"/>
    </row>
    <row r="22885" spans="5:10" s="34" customFormat="1" x14ac:dyDescent="0.35">
      <c r="E22885" s="35"/>
      <c r="J22885" s="41"/>
    </row>
    <row r="22886" spans="5:10" s="34" customFormat="1" x14ac:dyDescent="0.35">
      <c r="E22886" s="35"/>
      <c r="J22886" s="41"/>
    </row>
    <row r="22887" spans="5:10" s="34" customFormat="1" x14ac:dyDescent="0.35">
      <c r="E22887" s="35"/>
      <c r="J22887" s="41"/>
    </row>
    <row r="22888" spans="5:10" s="34" customFormat="1" x14ac:dyDescent="0.35">
      <c r="E22888" s="35"/>
      <c r="J22888" s="41"/>
    </row>
    <row r="22889" spans="5:10" s="34" customFormat="1" x14ac:dyDescent="0.35">
      <c r="E22889" s="35"/>
      <c r="J22889" s="41"/>
    </row>
    <row r="22890" spans="5:10" s="34" customFormat="1" x14ac:dyDescent="0.35">
      <c r="E22890" s="35"/>
      <c r="J22890" s="41"/>
    </row>
    <row r="22891" spans="5:10" s="34" customFormat="1" x14ac:dyDescent="0.35">
      <c r="E22891" s="35"/>
      <c r="J22891" s="41"/>
    </row>
    <row r="22892" spans="5:10" s="34" customFormat="1" x14ac:dyDescent="0.35">
      <c r="E22892" s="35"/>
      <c r="J22892" s="41"/>
    </row>
    <row r="22893" spans="5:10" s="34" customFormat="1" x14ac:dyDescent="0.35">
      <c r="E22893" s="35"/>
      <c r="J22893" s="41"/>
    </row>
    <row r="22894" spans="5:10" s="34" customFormat="1" x14ac:dyDescent="0.35">
      <c r="E22894" s="35"/>
      <c r="J22894" s="41"/>
    </row>
    <row r="22895" spans="5:10" s="34" customFormat="1" x14ac:dyDescent="0.35">
      <c r="E22895" s="35"/>
      <c r="J22895" s="41"/>
    </row>
    <row r="22896" spans="5:10" s="34" customFormat="1" x14ac:dyDescent="0.35">
      <c r="E22896" s="35"/>
      <c r="J22896" s="41"/>
    </row>
    <row r="22897" spans="5:10" s="34" customFormat="1" x14ac:dyDescent="0.35">
      <c r="E22897" s="35"/>
      <c r="J22897" s="41"/>
    </row>
    <row r="22898" spans="5:10" s="34" customFormat="1" x14ac:dyDescent="0.35">
      <c r="E22898" s="35"/>
      <c r="J22898" s="41"/>
    </row>
    <row r="22899" spans="5:10" s="34" customFormat="1" x14ac:dyDescent="0.35">
      <c r="E22899" s="35"/>
      <c r="J22899" s="41"/>
    </row>
    <row r="22900" spans="5:10" s="34" customFormat="1" x14ac:dyDescent="0.35">
      <c r="E22900" s="35"/>
      <c r="J22900" s="41"/>
    </row>
    <row r="22901" spans="5:10" s="34" customFormat="1" x14ac:dyDescent="0.35">
      <c r="E22901" s="35"/>
      <c r="J22901" s="41"/>
    </row>
    <row r="22902" spans="5:10" s="34" customFormat="1" x14ac:dyDescent="0.35">
      <c r="E22902" s="35"/>
      <c r="J22902" s="41"/>
    </row>
    <row r="22903" spans="5:10" s="34" customFormat="1" x14ac:dyDescent="0.35">
      <c r="E22903" s="35"/>
      <c r="J22903" s="41"/>
    </row>
    <row r="22904" spans="5:10" s="34" customFormat="1" x14ac:dyDescent="0.35">
      <c r="E22904" s="35"/>
      <c r="J22904" s="41"/>
    </row>
    <row r="22905" spans="5:10" s="34" customFormat="1" x14ac:dyDescent="0.35">
      <c r="E22905" s="35"/>
      <c r="J22905" s="41"/>
    </row>
    <row r="22906" spans="5:10" s="34" customFormat="1" x14ac:dyDescent="0.35">
      <c r="E22906" s="35"/>
      <c r="J22906" s="41"/>
    </row>
    <row r="22907" spans="5:10" s="34" customFormat="1" x14ac:dyDescent="0.35">
      <c r="E22907" s="35"/>
      <c r="J22907" s="41"/>
    </row>
    <row r="22908" spans="5:10" s="34" customFormat="1" x14ac:dyDescent="0.35">
      <c r="E22908" s="35"/>
      <c r="J22908" s="41"/>
    </row>
    <row r="22909" spans="5:10" s="34" customFormat="1" x14ac:dyDescent="0.35">
      <c r="E22909" s="35"/>
      <c r="J22909" s="41"/>
    </row>
    <row r="22910" spans="5:10" s="34" customFormat="1" x14ac:dyDescent="0.35">
      <c r="E22910" s="35"/>
      <c r="J22910" s="41"/>
    </row>
    <row r="22911" spans="5:10" s="34" customFormat="1" x14ac:dyDescent="0.35">
      <c r="E22911" s="35"/>
      <c r="J22911" s="41"/>
    </row>
    <row r="22912" spans="5:10" s="34" customFormat="1" x14ac:dyDescent="0.35">
      <c r="E22912" s="35"/>
      <c r="J22912" s="41"/>
    </row>
    <row r="22913" spans="5:10" s="34" customFormat="1" x14ac:dyDescent="0.35">
      <c r="E22913" s="35"/>
      <c r="J22913" s="41"/>
    </row>
    <row r="22914" spans="5:10" s="34" customFormat="1" x14ac:dyDescent="0.35">
      <c r="E22914" s="35"/>
      <c r="J22914" s="41"/>
    </row>
    <row r="22915" spans="5:10" s="34" customFormat="1" x14ac:dyDescent="0.35">
      <c r="E22915" s="35"/>
      <c r="J22915" s="41"/>
    </row>
    <row r="22916" spans="5:10" s="34" customFormat="1" x14ac:dyDescent="0.35">
      <c r="E22916" s="35"/>
      <c r="J22916" s="41"/>
    </row>
    <row r="22917" spans="5:10" s="34" customFormat="1" x14ac:dyDescent="0.35">
      <c r="E22917" s="35"/>
      <c r="J22917" s="41"/>
    </row>
    <row r="22918" spans="5:10" s="34" customFormat="1" x14ac:dyDescent="0.35">
      <c r="E22918" s="35"/>
      <c r="J22918" s="41"/>
    </row>
    <row r="22919" spans="5:10" s="34" customFormat="1" x14ac:dyDescent="0.35">
      <c r="E22919" s="35"/>
      <c r="J22919" s="41"/>
    </row>
    <row r="22920" spans="5:10" s="34" customFormat="1" x14ac:dyDescent="0.35">
      <c r="E22920" s="35"/>
      <c r="J22920" s="41"/>
    </row>
    <row r="22921" spans="5:10" s="34" customFormat="1" x14ac:dyDescent="0.35">
      <c r="E22921" s="35"/>
      <c r="J22921" s="41"/>
    </row>
    <row r="22922" spans="5:10" s="34" customFormat="1" x14ac:dyDescent="0.35">
      <c r="E22922" s="35"/>
      <c r="J22922" s="41"/>
    </row>
    <row r="22923" spans="5:10" s="34" customFormat="1" x14ac:dyDescent="0.35">
      <c r="E22923" s="35"/>
      <c r="J22923" s="41"/>
    </row>
    <row r="22924" spans="5:10" s="34" customFormat="1" x14ac:dyDescent="0.35">
      <c r="E22924" s="35"/>
      <c r="J22924" s="41"/>
    </row>
    <row r="22925" spans="5:10" s="34" customFormat="1" x14ac:dyDescent="0.35">
      <c r="E22925" s="35"/>
      <c r="J22925" s="41"/>
    </row>
    <row r="22926" spans="5:10" s="34" customFormat="1" x14ac:dyDescent="0.35">
      <c r="E22926" s="35"/>
      <c r="J22926" s="41"/>
    </row>
    <row r="22927" spans="5:10" s="34" customFormat="1" x14ac:dyDescent="0.35">
      <c r="E22927" s="35"/>
      <c r="J22927" s="41"/>
    </row>
    <row r="22928" spans="5:10" s="34" customFormat="1" x14ac:dyDescent="0.35">
      <c r="E22928" s="35"/>
      <c r="J22928" s="41"/>
    </row>
    <row r="22929" spans="5:10" s="34" customFormat="1" x14ac:dyDescent="0.35">
      <c r="E22929" s="35"/>
      <c r="J22929" s="41"/>
    </row>
    <row r="22930" spans="5:10" s="34" customFormat="1" x14ac:dyDescent="0.35">
      <c r="E22930" s="35"/>
      <c r="J22930" s="41"/>
    </row>
    <row r="22931" spans="5:10" s="34" customFormat="1" x14ac:dyDescent="0.35">
      <c r="E22931" s="35"/>
      <c r="J22931" s="41"/>
    </row>
    <row r="22932" spans="5:10" s="34" customFormat="1" x14ac:dyDescent="0.35">
      <c r="E22932" s="35"/>
      <c r="J22932" s="41"/>
    </row>
    <row r="22933" spans="5:10" s="34" customFormat="1" x14ac:dyDescent="0.35">
      <c r="E22933" s="35"/>
      <c r="J22933" s="41"/>
    </row>
    <row r="22934" spans="5:10" s="34" customFormat="1" x14ac:dyDescent="0.35">
      <c r="E22934" s="35"/>
      <c r="J22934" s="41"/>
    </row>
    <row r="22935" spans="5:10" s="34" customFormat="1" x14ac:dyDescent="0.35">
      <c r="E22935" s="35"/>
      <c r="J22935" s="41"/>
    </row>
    <row r="22936" spans="5:10" s="34" customFormat="1" x14ac:dyDescent="0.35">
      <c r="E22936" s="35"/>
      <c r="J22936" s="41"/>
    </row>
    <row r="22937" spans="5:10" s="34" customFormat="1" x14ac:dyDescent="0.35">
      <c r="E22937" s="35"/>
      <c r="J22937" s="41"/>
    </row>
    <row r="22938" spans="5:10" s="34" customFormat="1" x14ac:dyDescent="0.35">
      <c r="E22938" s="35"/>
      <c r="J22938" s="41"/>
    </row>
    <row r="22939" spans="5:10" s="34" customFormat="1" x14ac:dyDescent="0.35">
      <c r="E22939" s="35"/>
      <c r="J22939" s="41"/>
    </row>
    <row r="22940" spans="5:10" s="34" customFormat="1" x14ac:dyDescent="0.35">
      <c r="E22940" s="35"/>
      <c r="J22940" s="41"/>
    </row>
    <row r="22941" spans="5:10" s="34" customFormat="1" x14ac:dyDescent="0.35">
      <c r="E22941" s="35"/>
      <c r="J22941" s="41"/>
    </row>
    <row r="22942" spans="5:10" s="34" customFormat="1" x14ac:dyDescent="0.35">
      <c r="E22942" s="35"/>
      <c r="J22942" s="41"/>
    </row>
    <row r="22943" spans="5:10" s="34" customFormat="1" x14ac:dyDescent="0.35">
      <c r="E22943" s="35"/>
      <c r="J22943" s="41"/>
    </row>
    <row r="22944" spans="5:10" s="34" customFormat="1" x14ac:dyDescent="0.35">
      <c r="E22944" s="35"/>
      <c r="J22944" s="41"/>
    </row>
    <row r="22945" spans="5:10" s="34" customFormat="1" x14ac:dyDescent="0.35">
      <c r="E22945" s="35"/>
      <c r="J22945" s="41"/>
    </row>
    <row r="22946" spans="5:10" s="34" customFormat="1" x14ac:dyDescent="0.35">
      <c r="E22946" s="35"/>
      <c r="J22946" s="41"/>
    </row>
    <row r="22947" spans="5:10" s="34" customFormat="1" x14ac:dyDescent="0.35">
      <c r="E22947" s="35"/>
      <c r="J22947" s="41"/>
    </row>
    <row r="22948" spans="5:10" s="34" customFormat="1" x14ac:dyDescent="0.35">
      <c r="E22948" s="35"/>
      <c r="J22948" s="41"/>
    </row>
    <row r="22949" spans="5:10" s="34" customFormat="1" x14ac:dyDescent="0.35">
      <c r="E22949" s="35"/>
      <c r="J22949" s="41"/>
    </row>
    <row r="22950" spans="5:10" s="34" customFormat="1" x14ac:dyDescent="0.35">
      <c r="E22950" s="35"/>
      <c r="J22950" s="41"/>
    </row>
    <row r="22951" spans="5:10" s="34" customFormat="1" x14ac:dyDescent="0.35">
      <c r="E22951" s="35"/>
      <c r="J22951" s="41"/>
    </row>
    <row r="22952" spans="5:10" s="34" customFormat="1" x14ac:dyDescent="0.35">
      <c r="E22952" s="35"/>
      <c r="J22952" s="41"/>
    </row>
    <row r="22953" spans="5:10" s="34" customFormat="1" x14ac:dyDescent="0.35">
      <c r="E22953" s="35"/>
      <c r="J22953" s="41"/>
    </row>
    <row r="22954" spans="5:10" s="34" customFormat="1" x14ac:dyDescent="0.35">
      <c r="E22954" s="35"/>
      <c r="J22954" s="41"/>
    </row>
    <row r="22955" spans="5:10" s="34" customFormat="1" x14ac:dyDescent="0.35">
      <c r="E22955" s="35"/>
      <c r="J22955" s="41"/>
    </row>
    <row r="22956" spans="5:10" s="34" customFormat="1" x14ac:dyDescent="0.35">
      <c r="E22956" s="35"/>
      <c r="J22956" s="41"/>
    </row>
    <row r="22957" spans="5:10" s="34" customFormat="1" x14ac:dyDescent="0.35">
      <c r="E22957" s="35"/>
      <c r="J22957" s="41"/>
    </row>
    <row r="22958" spans="5:10" s="34" customFormat="1" x14ac:dyDescent="0.35">
      <c r="E22958" s="35"/>
      <c r="J22958" s="41"/>
    </row>
    <row r="22959" spans="5:10" s="34" customFormat="1" x14ac:dyDescent="0.35">
      <c r="E22959" s="35"/>
      <c r="J22959" s="41"/>
    </row>
    <row r="22960" spans="5:10" s="34" customFormat="1" x14ac:dyDescent="0.35">
      <c r="E22960" s="35"/>
      <c r="J22960" s="41"/>
    </row>
    <row r="22961" spans="5:10" s="34" customFormat="1" x14ac:dyDescent="0.35">
      <c r="E22961" s="35"/>
      <c r="J22961" s="41"/>
    </row>
    <row r="22962" spans="5:10" s="34" customFormat="1" x14ac:dyDescent="0.35">
      <c r="E22962" s="35"/>
      <c r="J22962" s="41"/>
    </row>
    <row r="22963" spans="5:10" s="34" customFormat="1" x14ac:dyDescent="0.35">
      <c r="E22963" s="35"/>
      <c r="J22963" s="41"/>
    </row>
    <row r="22964" spans="5:10" s="34" customFormat="1" x14ac:dyDescent="0.35">
      <c r="E22964" s="35"/>
      <c r="J22964" s="41"/>
    </row>
    <row r="22965" spans="5:10" s="34" customFormat="1" x14ac:dyDescent="0.35">
      <c r="E22965" s="35"/>
      <c r="J22965" s="41"/>
    </row>
    <row r="22966" spans="5:10" s="34" customFormat="1" x14ac:dyDescent="0.35">
      <c r="E22966" s="35"/>
      <c r="J22966" s="41"/>
    </row>
    <row r="22967" spans="5:10" s="34" customFormat="1" x14ac:dyDescent="0.35">
      <c r="E22967" s="35"/>
      <c r="J22967" s="41"/>
    </row>
    <row r="22968" spans="5:10" s="34" customFormat="1" x14ac:dyDescent="0.35">
      <c r="E22968" s="35"/>
      <c r="J22968" s="41"/>
    </row>
    <row r="22969" spans="5:10" s="34" customFormat="1" x14ac:dyDescent="0.35">
      <c r="E22969" s="35"/>
      <c r="J22969" s="41"/>
    </row>
    <row r="22970" spans="5:10" s="34" customFormat="1" x14ac:dyDescent="0.35">
      <c r="E22970" s="35"/>
      <c r="J22970" s="41"/>
    </row>
    <row r="22971" spans="5:10" s="34" customFormat="1" x14ac:dyDescent="0.35">
      <c r="E22971" s="35"/>
      <c r="J22971" s="41"/>
    </row>
    <row r="22972" spans="5:10" s="34" customFormat="1" x14ac:dyDescent="0.35">
      <c r="E22972" s="35"/>
      <c r="J22972" s="41"/>
    </row>
    <row r="22973" spans="5:10" s="34" customFormat="1" x14ac:dyDescent="0.35">
      <c r="E22973" s="35"/>
      <c r="J22973" s="41"/>
    </row>
    <row r="22974" spans="5:10" s="34" customFormat="1" x14ac:dyDescent="0.35">
      <c r="E22974" s="35"/>
      <c r="J22974" s="41"/>
    </row>
    <row r="22975" spans="5:10" s="34" customFormat="1" x14ac:dyDescent="0.35">
      <c r="E22975" s="35"/>
      <c r="J22975" s="41"/>
    </row>
    <row r="22976" spans="5:10" s="34" customFormat="1" x14ac:dyDescent="0.35">
      <c r="E22976" s="35"/>
      <c r="J22976" s="41"/>
    </row>
    <row r="22977" spans="5:10" s="34" customFormat="1" x14ac:dyDescent="0.35">
      <c r="E22977" s="35"/>
      <c r="J22977" s="41"/>
    </row>
    <row r="22978" spans="5:10" s="34" customFormat="1" x14ac:dyDescent="0.35">
      <c r="E22978" s="35"/>
      <c r="J22978" s="41"/>
    </row>
    <row r="22979" spans="5:10" s="34" customFormat="1" x14ac:dyDescent="0.35">
      <c r="E22979" s="35"/>
      <c r="J22979" s="41"/>
    </row>
    <row r="22980" spans="5:10" s="34" customFormat="1" x14ac:dyDescent="0.35">
      <c r="E22980" s="35"/>
      <c r="J22980" s="41"/>
    </row>
    <row r="22981" spans="5:10" s="34" customFormat="1" x14ac:dyDescent="0.35">
      <c r="E22981" s="35"/>
      <c r="J22981" s="41"/>
    </row>
    <row r="22982" spans="5:10" s="34" customFormat="1" x14ac:dyDescent="0.35">
      <c r="E22982" s="35"/>
      <c r="J22982" s="41"/>
    </row>
    <row r="22983" spans="5:10" s="34" customFormat="1" x14ac:dyDescent="0.35">
      <c r="E22983" s="35"/>
      <c r="J22983" s="41"/>
    </row>
    <row r="22984" spans="5:10" s="34" customFormat="1" x14ac:dyDescent="0.35">
      <c r="E22984" s="35"/>
      <c r="J22984" s="41"/>
    </row>
    <row r="22985" spans="5:10" s="34" customFormat="1" x14ac:dyDescent="0.35">
      <c r="E22985" s="35"/>
      <c r="J22985" s="41"/>
    </row>
    <row r="22986" spans="5:10" s="34" customFormat="1" x14ac:dyDescent="0.35">
      <c r="E22986" s="35"/>
      <c r="J22986" s="41"/>
    </row>
    <row r="22987" spans="5:10" s="34" customFormat="1" x14ac:dyDescent="0.35">
      <c r="E22987" s="35"/>
      <c r="J22987" s="41"/>
    </row>
    <row r="22988" spans="5:10" s="34" customFormat="1" x14ac:dyDescent="0.35">
      <c r="E22988" s="35"/>
      <c r="J22988" s="41"/>
    </row>
    <row r="22989" spans="5:10" s="34" customFormat="1" x14ac:dyDescent="0.35">
      <c r="E22989" s="35"/>
      <c r="J22989" s="41"/>
    </row>
    <row r="22990" spans="5:10" s="34" customFormat="1" x14ac:dyDescent="0.35">
      <c r="E22990" s="35"/>
      <c r="J22990" s="41"/>
    </row>
    <row r="22991" spans="5:10" s="34" customFormat="1" x14ac:dyDescent="0.35">
      <c r="E22991" s="35"/>
      <c r="J22991" s="41"/>
    </row>
    <row r="22992" spans="5:10" s="34" customFormat="1" x14ac:dyDescent="0.35">
      <c r="E22992" s="35"/>
      <c r="J22992" s="41"/>
    </row>
    <row r="22993" spans="5:10" s="34" customFormat="1" x14ac:dyDescent="0.35">
      <c r="E22993" s="35"/>
      <c r="J22993" s="41"/>
    </row>
    <row r="22994" spans="5:10" s="34" customFormat="1" x14ac:dyDescent="0.35">
      <c r="E22994" s="35"/>
      <c r="J22994" s="41"/>
    </row>
    <row r="22995" spans="5:10" s="34" customFormat="1" x14ac:dyDescent="0.35">
      <c r="E22995" s="35"/>
      <c r="J22995" s="41"/>
    </row>
    <row r="22996" spans="5:10" s="34" customFormat="1" x14ac:dyDescent="0.35">
      <c r="E22996" s="35"/>
      <c r="J22996" s="41"/>
    </row>
    <row r="22997" spans="5:10" s="34" customFormat="1" x14ac:dyDescent="0.35">
      <c r="E22997" s="35"/>
      <c r="J22997" s="41"/>
    </row>
    <row r="22998" spans="5:10" s="34" customFormat="1" x14ac:dyDescent="0.35">
      <c r="E22998" s="35"/>
      <c r="J22998" s="41"/>
    </row>
    <row r="22999" spans="5:10" s="34" customFormat="1" x14ac:dyDescent="0.35">
      <c r="E22999" s="35"/>
      <c r="J22999" s="41"/>
    </row>
    <row r="23000" spans="5:10" s="34" customFormat="1" x14ac:dyDescent="0.35">
      <c r="E23000" s="35"/>
      <c r="J23000" s="41"/>
    </row>
    <row r="23001" spans="5:10" s="34" customFormat="1" x14ac:dyDescent="0.35">
      <c r="E23001" s="35"/>
      <c r="J23001" s="41"/>
    </row>
    <row r="23002" spans="5:10" s="34" customFormat="1" x14ac:dyDescent="0.35">
      <c r="E23002" s="35"/>
      <c r="J23002" s="41"/>
    </row>
    <row r="23003" spans="5:10" s="34" customFormat="1" x14ac:dyDescent="0.35">
      <c r="E23003" s="35"/>
      <c r="J23003" s="41"/>
    </row>
    <row r="23004" spans="5:10" s="34" customFormat="1" x14ac:dyDescent="0.35">
      <c r="E23004" s="35"/>
      <c r="J23004" s="41"/>
    </row>
    <row r="23005" spans="5:10" s="34" customFormat="1" x14ac:dyDescent="0.35">
      <c r="E23005" s="35"/>
      <c r="J23005" s="41"/>
    </row>
    <row r="23006" spans="5:10" s="34" customFormat="1" x14ac:dyDescent="0.35">
      <c r="E23006" s="35"/>
      <c r="J23006" s="41"/>
    </row>
    <row r="23007" spans="5:10" s="34" customFormat="1" x14ac:dyDescent="0.35">
      <c r="E23007" s="35"/>
      <c r="J23007" s="41"/>
    </row>
    <row r="23008" spans="5:10" s="34" customFormat="1" x14ac:dyDescent="0.35">
      <c r="E23008" s="35"/>
      <c r="J23008" s="41"/>
    </row>
    <row r="23009" spans="5:10" s="34" customFormat="1" x14ac:dyDescent="0.35">
      <c r="E23009" s="35"/>
      <c r="J23009" s="41"/>
    </row>
    <row r="23010" spans="5:10" s="34" customFormat="1" x14ac:dyDescent="0.35">
      <c r="E23010" s="35"/>
      <c r="J23010" s="41"/>
    </row>
    <row r="23011" spans="5:10" s="34" customFormat="1" x14ac:dyDescent="0.35">
      <c r="E23011" s="35"/>
      <c r="J23011" s="41"/>
    </row>
    <row r="23012" spans="5:10" s="34" customFormat="1" x14ac:dyDescent="0.35">
      <c r="E23012" s="35"/>
      <c r="J23012" s="41"/>
    </row>
    <row r="23013" spans="5:10" s="34" customFormat="1" x14ac:dyDescent="0.35">
      <c r="E23013" s="35"/>
      <c r="J23013" s="41"/>
    </row>
    <row r="23014" spans="5:10" s="34" customFormat="1" x14ac:dyDescent="0.35">
      <c r="E23014" s="35"/>
      <c r="J23014" s="41"/>
    </row>
    <row r="23015" spans="5:10" s="34" customFormat="1" x14ac:dyDescent="0.35">
      <c r="E23015" s="35"/>
      <c r="J23015" s="41"/>
    </row>
    <row r="23016" spans="5:10" s="34" customFormat="1" x14ac:dyDescent="0.35">
      <c r="E23016" s="35"/>
      <c r="J23016" s="41"/>
    </row>
    <row r="23017" spans="5:10" s="34" customFormat="1" x14ac:dyDescent="0.35">
      <c r="E23017" s="35"/>
      <c r="J23017" s="41"/>
    </row>
    <row r="23018" spans="5:10" s="34" customFormat="1" x14ac:dyDescent="0.35">
      <c r="E23018" s="35"/>
      <c r="J23018" s="41"/>
    </row>
    <row r="23019" spans="5:10" s="34" customFormat="1" x14ac:dyDescent="0.35">
      <c r="E23019" s="35"/>
      <c r="J23019" s="41"/>
    </row>
    <row r="23020" spans="5:10" s="34" customFormat="1" x14ac:dyDescent="0.35">
      <c r="E23020" s="35"/>
      <c r="J23020" s="41"/>
    </row>
    <row r="23021" spans="5:10" s="34" customFormat="1" x14ac:dyDescent="0.35">
      <c r="E23021" s="35"/>
      <c r="J23021" s="41"/>
    </row>
    <row r="23022" spans="5:10" s="34" customFormat="1" x14ac:dyDescent="0.35">
      <c r="E23022" s="35"/>
      <c r="J23022" s="41"/>
    </row>
    <row r="23023" spans="5:10" s="34" customFormat="1" x14ac:dyDescent="0.35">
      <c r="E23023" s="35"/>
      <c r="J23023" s="41"/>
    </row>
    <row r="23024" spans="5:10" s="34" customFormat="1" x14ac:dyDescent="0.35">
      <c r="E23024" s="35"/>
      <c r="J23024" s="41"/>
    </row>
    <row r="23025" spans="5:10" s="34" customFormat="1" x14ac:dyDescent="0.35">
      <c r="E23025" s="35"/>
      <c r="J23025" s="41"/>
    </row>
    <row r="23026" spans="5:10" s="34" customFormat="1" x14ac:dyDescent="0.35">
      <c r="E23026" s="35"/>
      <c r="J23026" s="41"/>
    </row>
    <row r="23027" spans="5:10" s="34" customFormat="1" x14ac:dyDescent="0.35">
      <c r="E23027" s="35"/>
      <c r="J23027" s="41"/>
    </row>
    <row r="23028" spans="5:10" s="34" customFormat="1" x14ac:dyDescent="0.35">
      <c r="E23028" s="35"/>
      <c r="J23028" s="41"/>
    </row>
    <row r="23029" spans="5:10" s="34" customFormat="1" x14ac:dyDescent="0.35">
      <c r="E23029" s="35"/>
      <c r="J23029" s="41"/>
    </row>
    <row r="23030" spans="5:10" s="34" customFormat="1" x14ac:dyDescent="0.35">
      <c r="E23030" s="35"/>
      <c r="J23030" s="41"/>
    </row>
    <row r="23031" spans="5:10" s="34" customFormat="1" x14ac:dyDescent="0.35">
      <c r="E23031" s="35"/>
      <c r="J23031" s="41"/>
    </row>
    <row r="23032" spans="5:10" s="34" customFormat="1" x14ac:dyDescent="0.35">
      <c r="E23032" s="35"/>
      <c r="J23032" s="41"/>
    </row>
    <row r="23033" spans="5:10" s="34" customFormat="1" x14ac:dyDescent="0.35">
      <c r="E23033" s="35"/>
      <c r="J23033" s="41"/>
    </row>
    <row r="23034" spans="5:10" s="34" customFormat="1" x14ac:dyDescent="0.35">
      <c r="E23034" s="35"/>
      <c r="J23034" s="41"/>
    </row>
    <row r="23035" spans="5:10" s="34" customFormat="1" x14ac:dyDescent="0.35">
      <c r="E23035" s="35"/>
      <c r="J23035" s="41"/>
    </row>
    <row r="23036" spans="5:10" s="34" customFormat="1" x14ac:dyDescent="0.35">
      <c r="E23036" s="35"/>
      <c r="J23036" s="41"/>
    </row>
    <row r="23037" spans="5:10" s="34" customFormat="1" x14ac:dyDescent="0.35">
      <c r="E23037" s="35"/>
      <c r="J23037" s="41"/>
    </row>
    <row r="23038" spans="5:10" s="34" customFormat="1" x14ac:dyDescent="0.35">
      <c r="E23038" s="35"/>
      <c r="J23038" s="41"/>
    </row>
    <row r="23039" spans="5:10" s="34" customFormat="1" x14ac:dyDescent="0.35">
      <c r="E23039" s="35"/>
      <c r="J23039" s="41"/>
    </row>
    <row r="23040" spans="5:10" s="34" customFormat="1" x14ac:dyDescent="0.35">
      <c r="E23040" s="35"/>
      <c r="J23040" s="41"/>
    </row>
    <row r="23041" spans="5:10" s="34" customFormat="1" x14ac:dyDescent="0.35">
      <c r="E23041" s="35"/>
      <c r="J23041" s="41"/>
    </row>
    <row r="23042" spans="5:10" s="34" customFormat="1" x14ac:dyDescent="0.35">
      <c r="E23042" s="35"/>
      <c r="J23042" s="41"/>
    </row>
    <row r="23043" spans="5:10" s="34" customFormat="1" x14ac:dyDescent="0.35">
      <c r="E23043" s="35"/>
      <c r="J23043" s="41"/>
    </row>
    <row r="23044" spans="5:10" s="34" customFormat="1" x14ac:dyDescent="0.35">
      <c r="E23044" s="35"/>
      <c r="J23044" s="41"/>
    </row>
    <row r="23045" spans="5:10" s="34" customFormat="1" x14ac:dyDescent="0.35">
      <c r="E23045" s="35"/>
      <c r="J23045" s="41"/>
    </row>
    <row r="23046" spans="5:10" s="34" customFormat="1" x14ac:dyDescent="0.35">
      <c r="E23046" s="35"/>
      <c r="J23046" s="41"/>
    </row>
    <row r="23047" spans="5:10" s="34" customFormat="1" x14ac:dyDescent="0.35">
      <c r="E23047" s="35"/>
      <c r="J23047" s="41"/>
    </row>
    <row r="23048" spans="5:10" s="34" customFormat="1" x14ac:dyDescent="0.35">
      <c r="E23048" s="35"/>
      <c r="J23048" s="41"/>
    </row>
    <row r="23049" spans="5:10" s="34" customFormat="1" x14ac:dyDescent="0.35">
      <c r="E23049" s="35"/>
      <c r="J23049" s="41"/>
    </row>
    <row r="23050" spans="5:10" s="34" customFormat="1" x14ac:dyDescent="0.35">
      <c r="E23050" s="35"/>
      <c r="J23050" s="41"/>
    </row>
    <row r="23051" spans="5:10" s="34" customFormat="1" x14ac:dyDescent="0.35">
      <c r="E23051" s="35"/>
      <c r="J23051" s="41"/>
    </row>
    <row r="23052" spans="5:10" s="34" customFormat="1" x14ac:dyDescent="0.35">
      <c r="E23052" s="35"/>
      <c r="J23052" s="41"/>
    </row>
    <row r="23053" spans="5:10" s="34" customFormat="1" x14ac:dyDescent="0.35">
      <c r="E23053" s="35"/>
      <c r="J23053" s="41"/>
    </row>
    <row r="23054" spans="5:10" s="34" customFormat="1" x14ac:dyDescent="0.35">
      <c r="E23054" s="35"/>
      <c r="J23054" s="41"/>
    </row>
    <row r="23055" spans="5:10" s="34" customFormat="1" x14ac:dyDescent="0.35">
      <c r="E23055" s="35"/>
      <c r="J23055" s="41"/>
    </row>
    <row r="23056" spans="5:10" s="34" customFormat="1" x14ac:dyDescent="0.35">
      <c r="E23056" s="35"/>
      <c r="J23056" s="41"/>
    </row>
    <row r="23057" spans="5:10" s="34" customFormat="1" x14ac:dyDescent="0.35">
      <c r="E23057" s="35"/>
      <c r="J23057" s="41"/>
    </row>
    <row r="23058" spans="5:10" s="34" customFormat="1" x14ac:dyDescent="0.35">
      <c r="E23058" s="35"/>
      <c r="J23058" s="41"/>
    </row>
    <row r="23059" spans="5:10" s="34" customFormat="1" x14ac:dyDescent="0.35">
      <c r="E23059" s="35"/>
      <c r="J23059" s="41"/>
    </row>
    <row r="23060" spans="5:10" s="34" customFormat="1" x14ac:dyDescent="0.35">
      <c r="E23060" s="35"/>
      <c r="J23060" s="41"/>
    </row>
    <row r="23061" spans="5:10" s="34" customFormat="1" x14ac:dyDescent="0.35">
      <c r="E23061" s="35"/>
      <c r="J23061" s="41"/>
    </row>
    <row r="23062" spans="5:10" s="34" customFormat="1" x14ac:dyDescent="0.35">
      <c r="E23062" s="35"/>
      <c r="J23062" s="41"/>
    </row>
    <row r="23063" spans="5:10" s="34" customFormat="1" x14ac:dyDescent="0.35">
      <c r="E23063" s="35"/>
      <c r="J23063" s="41"/>
    </row>
    <row r="23064" spans="5:10" s="34" customFormat="1" x14ac:dyDescent="0.35">
      <c r="E23064" s="35"/>
      <c r="J23064" s="41"/>
    </row>
    <row r="23065" spans="5:10" s="34" customFormat="1" x14ac:dyDescent="0.35">
      <c r="E23065" s="35"/>
      <c r="J23065" s="41"/>
    </row>
    <row r="23066" spans="5:10" s="34" customFormat="1" x14ac:dyDescent="0.35">
      <c r="E23066" s="35"/>
      <c r="J23066" s="41"/>
    </row>
    <row r="23067" spans="5:10" s="34" customFormat="1" x14ac:dyDescent="0.35">
      <c r="E23067" s="35"/>
      <c r="J23067" s="41"/>
    </row>
    <row r="23068" spans="5:10" s="34" customFormat="1" x14ac:dyDescent="0.35">
      <c r="E23068" s="35"/>
      <c r="J23068" s="41"/>
    </row>
    <row r="23069" spans="5:10" s="34" customFormat="1" x14ac:dyDescent="0.35">
      <c r="E23069" s="35"/>
      <c r="J23069" s="41"/>
    </row>
    <row r="23070" spans="5:10" s="34" customFormat="1" x14ac:dyDescent="0.35">
      <c r="E23070" s="35"/>
      <c r="J23070" s="41"/>
    </row>
    <row r="23071" spans="5:10" s="34" customFormat="1" x14ac:dyDescent="0.35">
      <c r="E23071" s="35"/>
      <c r="J23071" s="41"/>
    </row>
    <row r="23072" spans="5:10" s="34" customFormat="1" x14ac:dyDescent="0.35">
      <c r="E23072" s="35"/>
      <c r="J23072" s="41"/>
    </row>
    <row r="23073" spans="5:10" s="34" customFormat="1" x14ac:dyDescent="0.35">
      <c r="E23073" s="35"/>
      <c r="J23073" s="41"/>
    </row>
    <row r="23074" spans="5:10" s="34" customFormat="1" x14ac:dyDescent="0.35">
      <c r="E23074" s="35"/>
      <c r="J23074" s="41"/>
    </row>
    <row r="23075" spans="5:10" s="34" customFormat="1" x14ac:dyDescent="0.35">
      <c r="E23075" s="35"/>
      <c r="J23075" s="41"/>
    </row>
    <row r="23076" spans="5:10" s="34" customFormat="1" x14ac:dyDescent="0.35">
      <c r="E23076" s="35"/>
      <c r="J23076" s="41"/>
    </row>
    <row r="23077" spans="5:10" s="34" customFormat="1" x14ac:dyDescent="0.35">
      <c r="E23077" s="35"/>
      <c r="J23077" s="41"/>
    </row>
    <row r="23078" spans="5:10" s="34" customFormat="1" x14ac:dyDescent="0.35">
      <c r="E23078" s="35"/>
      <c r="J23078" s="41"/>
    </row>
    <row r="23079" spans="5:10" s="34" customFormat="1" x14ac:dyDescent="0.35">
      <c r="E23079" s="35"/>
      <c r="J23079" s="41"/>
    </row>
    <row r="23080" spans="5:10" s="34" customFormat="1" x14ac:dyDescent="0.35">
      <c r="E23080" s="35"/>
      <c r="J23080" s="41"/>
    </row>
    <row r="23081" spans="5:10" s="34" customFormat="1" x14ac:dyDescent="0.35">
      <c r="E23081" s="35"/>
      <c r="J23081" s="41"/>
    </row>
    <row r="23082" spans="5:10" s="34" customFormat="1" x14ac:dyDescent="0.35">
      <c r="E23082" s="35"/>
      <c r="J23082" s="41"/>
    </row>
    <row r="23083" spans="5:10" s="34" customFormat="1" x14ac:dyDescent="0.35">
      <c r="E23083" s="35"/>
      <c r="J23083" s="41"/>
    </row>
    <row r="23084" spans="5:10" s="34" customFormat="1" x14ac:dyDescent="0.35">
      <c r="E23084" s="35"/>
      <c r="J23084" s="41"/>
    </row>
    <row r="23085" spans="5:10" s="34" customFormat="1" x14ac:dyDescent="0.35">
      <c r="E23085" s="35"/>
      <c r="J23085" s="41"/>
    </row>
    <row r="23086" spans="5:10" s="34" customFormat="1" x14ac:dyDescent="0.35">
      <c r="E23086" s="35"/>
      <c r="J23086" s="41"/>
    </row>
    <row r="23087" spans="5:10" s="34" customFormat="1" x14ac:dyDescent="0.35">
      <c r="E23087" s="35"/>
      <c r="J23087" s="41"/>
    </row>
    <row r="23088" spans="5:10" s="34" customFormat="1" x14ac:dyDescent="0.35">
      <c r="E23088" s="35"/>
      <c r="J23088" s="41"/>
    </row>
    <row r="23089" spans="5:10" s="34" customFormat="1" x14ac:dyDescent="0.35">
      <c r="E23089" s="35"/>
      <c r="J23089" s="41"/>
    </row>
    <row r="23090" spans="5:10" s="34" customFormat="1" x14ac:dyDescent="0.35">
      <c r="E23090" s="35"/>
      <c r="J23090" s="41"/>
    </row>
    <row r="23091" spans="5:10" s="34" customFormat="1" x14ac:dyDescent="0.35">
      <c r="E23091" s="35"/>
      <c r="J23091" s="41"/>
    </row>
    <row r="23092" spans="5:10" s="34" customFormat="1" x14ac:dyDescent="0.35">
      <c r="E23092" s="35"/>
      <c r="J23092" s="41"/>
    </row>
    <row r="23093" spans="5:10" s="34" customFormat="1" x14ac:dyDescent="0.35">
      <c r="E23093" s="35"/>
      <c r="J23093" s="41"/>
    </row>
    <row r="23094" spans="5:10" s="34" customFormat="1" x14ac:dyDescent="0.35">
      <c r="E23094" s="35"/>
      <c r="J23094" s="41"/>
    </row>
    <row r="23095" spans="5:10" s="34" customFormat="1" x14ac:dyDescent="0.35">
      <c r="E23095" s="35"/>
      <c r="J23095" s="41"/>
    </row>
    <row r="23096" spans="5:10" s="34" customFormat="1" x14ac:dyDescent="0.35">
      <c r="E23096" s="35"/>
      <c r="J23096" s="41"/>
    </row>
    <row r="23097" spans="5:10" s="34" customFormat="1" x14ac:dyDescent="0.35">
      <c r="E23097" s="35"/>
      <c r="J23097" s="41"/>
    </row>
    <row r="23098" spans="5:10" s="34" customFormat="1" x14ac:dyDescent="0.35">
      <c r="E23098" s="35"/>
      <c r="J23098" s="41"/>
    </row>
    <row r="23099" spans="5:10" s="34" customFormat="1" x14ac:dyDescent="0.35">
      <c r="E23099" s="35"/>
      <c r="J23099" s="41"/>
    </row>
    <row r="23100" spans="5:10" s="34" customFormat="1" x14ac:dyDescent="0.35">
      <c r="E23100" s="35"/>
      <c r="J23100" s="41"/>
    </row>
    <row r="23101" spans="5:10" s="34" customFormat="1" x14ac:dyDescent="0.35">
      <c r="E23101" s="35"/>
      <c r="J23101" s="41"/>
    </row>
    <row r="23102" spans="5:10" s="34" customFormat="1" x14ac:dyDescent="0.35">
      <c r="E23102" s="35"/>
      <c r="J23102" s="41"/>
    </row>
    <row r="23103" spans="5:10" s="34" customFormat="1" x14ac:dyDescent="0.35">
      <c r="E23103" s="35"/>
      <c r="J23103" s="41"/>
    </row>
    <row r="23104" spans="5:10" s="34" customFormat="1" x14ac:dyDescent="0.35">
      <c r="E23104" s="35"/>
      <c r="J23104" s="41"/>
    </row>
    <row r="23105" spans="5:10" s="34" customFormat="1" x14ac:dyDescent="0.35">
      <c r="E23105" s="35"/>
      <c r="J23105" s="41"/>
    </row>
    <row r="23106" spans="5:10" s="34" customFormat="1" x14ac:dyDescent="0.35">
      <c r="E23106" s="35"/>
      <c r="J23106" s="41"/>
    </row>
    <row r="23107" spans="5:10" s="34" customFormat="1" x14ac:dyDescent="0.35">
      <c r="E23107" s="35"/>
      <c r="J23107" s="41"/>
    </row>
    <row r="23108" spans="5:10" s="34" customFormat="1" x14ac:dyDescent="0.35">
      <c r="E23108" s="35"/>
      <c r="J23108" s="41"/>
    </row>
    <row r="23109" spans="5:10" s="34" customFormat="1" x14ac:dyDescent="0.35">
      <c r="E23109" s="35"/>
      <c r="J23109" s="41"/>
    </row>
    <row r="23110" spans="5:10" s="34" customFormat="1" x14ac:dyDescent="0.35">
      <c r="E23110" s="35"/>
      <c r="J23110" s="41"/>
    </row>
    <row r="23111" spans="5:10" s="34" customFormat="1" x14ac:dyDescent="0.35">
      <c r="E23111" s="35"/>
      <c r="J23111" s="41"/>
    </row>
    <row r="23112" spans="5:10" s="34" customFormat="1" x14ac:dyDescent="0.35">
      <c r="E23112" s="35"/>
      <c r="J23112" s="41"/>
    </row>
    <row r="23113" spans="5:10" s="34" customFormat="1" x14ac:dyDescent="0.35">
      <c r="E23113" s="35"/>
      <c r="J23113" s="41"/>
    </row>
    <row r="23114" spans="5:10" s="34" customFormat="1" x14ac:dyDescent="0.35">
      <c r="E23114" s="35"/>
      <c r="J23114" s="41"/>
    </row>
    <row r="23115" spans="5:10" s="34" customFormat="1" x14ac:dyDescent="0.35">
      <c r="E23115" s="35"/>
      <c r="J23115" s="41"/>
    </row>
    <row r="23116" spans="5:10" s="34" customFormat="1" x14ac:dyDescent="0.35">
      <c r="E23116" s="35"/>
      <c r="J23116" s="41"/>
    </row>
    <row r="23117" spans="5:10" s="34" customFormat="1" x14ac:dyDescent="0.35">
      <c r="E23117" s="35"/>
      <c r="J23117" s="41"/>
    </row>
    <row r="23118" spans="5:10" s="34" customFormat="1" x14ac:dyDescent="0.35">
      <c r="E23118" s="35"/>
      <c r="J23118" s="41"/>
    </row>
    <row r="23119" spans="5:10" s="34" customFormat="1" x14ac:dyDescent="0.35">
      <c r="E23119" s="35"/>
      <c r="J23119" s="41"/>
    </row>
    <row r="23120" spans="5:10" s="34" customFormat="1" x14ac:dyDescent="0.35">
      <c r="E23120" s="35"/>
      <c r="J23120" s="41"/>
    </row>
    <row r="23121" spans="5:10" s="34" customFormat="1" x14ac:dyDescent="0.35">
      <c r="E23121" s="35"/>
      <c r="J23121" s="41"/>
    </row>
    <row r="23122" spans="5:10" s="34" customFormat="1" x14ac:dyDescent="0.35">
      <c r="E23122" s="35"/>
      <c r="J23122" s="41"/>
    </row>
    <row r="23123" spans="5:10" s="34" customFormat="1" x14ac:dyDescent="0.35">
      <c r="E23123" s="35"/>
      <c r="J23123" s="41"/>
    </row>
    <row r="23124" spans="5:10" s="34" customFormat="1" x14ac:dyDescent="0.35">
      <c r="E23124" s="35"/>
      <c r="J23124" s="41"/>
    </row>
    <row r="23125" spans="5:10" s="34" customFormat="1" x14ac:dyDescent="0.35">
      <c r="E23125" s="35"/>
      <c r="J23125" s="41"/>
    </row>
    <row r="23126" spans="5:10" s="34" customFormat="1" x14ac:dyDescent="0.35">
      <c r="E23126" s="35"/>
      <c r="J23126" s="41"/>
    </row>
    <row r="23127" spans="5:10" s="34" customFormat="1" x14ac:dyDescent="0.35">
      <c r="E23127" s="35"/>
      <c r="J23127" s="41"/>
    </row>
    <row r="23128" spans="5:10" s="34" customFormat="1" x14ac:dyDescent="0.35">
      <c r="E23128" s="35"/>
      <c r="J23128" s="41"/>
    </row>
    <row r="23129" spans="5:10" s="34" customFormat="1" x14ac:dyDescent="0.35">
      <c r="E23129" s="35"/>
      <c r="J23129" s="41"/>
    </row>
    <row r="23130" spans="5:10" s="34" customFormat="1" x14ac:dyDescent="0.35">
      <c r="E23130" s="35"/>
      <c r="J23130" s="41"/>
    </row>
    <row r="23131" spans="5:10" s="34" customFormat="1" x14ac:dyDescent="0.35">
      <c r="E23131" s="35"/>
      <c r="J23131" s="41"/>
    </row>
    <row r="23132" spans="5:10" s="34" customFormat="1" x14ac:dyDescent="0.35">
      <c r="E23132" s="35"/>
      <c r="J23132" s="41"/>
    </row>
    <row r="23133" spans="5:10" s="34" customFormat="1" x14ac:dyDescent="0.35">
      <c r="E23133" s="35"/>
      <c r="J23133" s="41"/>
    </row>
    <row r="23134" spans="5:10" s="34" customFormat="1" x14ac:dyDescent="0.35">
      <c r="E23134" s="35"/>
      <c r="J23134" s="41"/>
    </row>
    <row r="23135" spans="5:10" s="34" customFormat="1" x14ac:dyDescent="0.35">
      <c r="E23135" s="35"/>
      <c r="J23135" s="41"/>
    </row>
    <row r="23136" spans="5:10" s="34" customFormat="1" x14ac:dyDescent="0.35">
      <c r="E23136" s="35"/>
      <c r="J23136" s="41"/>
    </row>
    <row r="23137" spans="5:10" s="34" customFormat="1" x14ac:dyDescent="0.35">
      <c r="E23137" s="35"/>
      <c r="J23137" s="41"/>
    </row>
    <row r="23138" spans="5:10" s="34" customFormat="1" x14ac:dyDescent="0.35">
      <c r="E23138" s="35"/>
      <c r="J23138" s="41"/>
    </row>
    <row r="23139" spans="5:10" s="34" customFormat="1" x14ac:dyDescent="0.35">
      <c r="E23139" s="35"/>
      <c r="J23139" s="41"/>
    </row>
    <row r="23140" spans="5:10" s="34" customFormat="1" x14ac:dyDescent="0.35">
      <c r="E23140" s="35"/>
      <c r="J23140" s="41"/>
    </row>
    <row r="23141" spans="5:10" s="34" customFormat="1" x14ac:dyDescent="0.35">
      <c r="E23141" s="35"/>
      <c r="J23141" s="41"/>
    </row>
    <row r="23142" spans="5:10" s="34" customFormat="1" x14ac:dyDescent="0.35">
      <c r="E23142" s="35"/>
      <c r="J23142" s="41"/>
    </row>
    <row r="23143" spans="5:10" s="34" customFormat="1" x14ac:dyDescent="0.35">
      <c r="E23143" s="35"/>
      <c r="J23143" s="41"/>
    </row>
    <row r="23144" spans="5:10" s="34" customFormat="1" x14ac:dyDescent="0.35">
      <c r="E23144" s="35"/>
      <c r="J23144" s="41"/>
    </row>
    <row r="23145" spans="5:10" s="34" customFormat="1" x14ac:dyDescent="0.35">
      <c r="E23145" s="35"/>
      <c r="J23145" s="41"/>
    </row>
    <row r="23146" spans="5:10" s="34" customFormat="1" x14ac:dyDescent="0.35">
      <c r="E23146" s="35"/>
      <c r="J23146" s="41"/>
    </row>
    <row r="23147" spans="5:10" s="34" customFormat="1" x14ac:dyDescent="0.35">
      <c r="E23147" s="35"/>
      <c r="J23147" s="41"/>
    </row>
    <row r="23148" spans="5:10" s="34" customFormat="1" x14ac:dyDescent="0.35">
      <c r="E23148" s="35"/>
      <c r="J23148" s="41"/>
    </row>
    <row r="23149" spans="5:10" s="34" customFormat="1" x14ac:dyDescent="0.35">
      <c r="E23149" s="35"/>
      <c r="J23149" s="41"/>
    </row>
    <row r="23150" spans="5:10" s="34" customFormat="1" x14ac:dyDescent="0.35">
      <c r="E23150" s="35"/>
      <c r="J23150" s="41"/>
    </row>
    <row r="23151" spans="5:10" s="34" customFormat="1" x14ac:dyDescent="0.35">
      <c r="E23151" s="35"/>
      <c r="J23151" s="41"/>
    </row>
    <row r="23152" spans="5:10" s="34" customFormat="1" x14ac:dyDescent="0.35">
      <c r="E23152" s="35"/>
      <c r="J23152" s="41"/>
    </row>
    <row r="23153" spans="5:10" s="34" customFormat="1" x14ac:dyDescent="0.35">
      <c r="E23153" s="35"/>
      <c r="J23153" s="41"/>
    </row>
    <row r="23154" spans="5:10" s="34" customFormat="1" x14ac:dyDescent="0.35">
      <c r="E23154" s="35"/>
      <c r="J23154" s="41"/>
    </row>
    <row r="23155" spans="5:10" s="34" customFormat="1" x14ac:dyDescent="0.35">
      <c r="E23155" s="35"/>
      <c r="J23155" s="41"/>
    </row>
    <row r="23156" spans="5:10" s="34" customFormat="1" x14ac:dyDescent="0.35">
      <c r="E23156" s="35"/>
      <c r="J23156" s="41"/>
    </row>
    <row r="23157" spans="5:10" s="34" customFormat="1" x14ac:dyDescent="0.35">
      <c r="E23157" s="35"/>
      <c r="J23157" s="41"/>
    </row>
    <row r="23158" spans="5:10" s="34" customFormat="1" x14ac:dyDescent="0.35">
      <c r="E23158" s="35"/>
      <c r="J23158" s="41"/>
    </row>
    <row r="23159" spans="5:10" s="34" customFormat="1" x14ac:dyDescent="0.35">
      <c r="E23159" s="35"/>
      <c r="J23159" s="41"/>
    </row>
    <row r="23160" spans="5:10" s="34" customFormat="1" x14ac:dyDescent="0.35">
      <c r="E23160" s="35"/>
      <c r="J23160" s="41"/>
    </row>
    <row r="23161" spans="5:10" s="34" customFormat="1" x14ac:dyDescent="0.35">
      <c r="E23161" s="35"/>
      <c r="J23161" s="41"/>
    </row>
    <row r="23162" spans="5:10" s="34" customFormat="1" x14ac:dyDescent="0.35">
      <c r="E23162" s="35"/>
      <c r="J23162" s="41"/>
    </row>
    <row r="23163" spans="5:10" s="34" customFormat="1" x14ac:dyDescent="0.35">
      <c r="E23163" s="35"/>
      <c r="J23163" s="41"/>
    </row>
    <row r="23164" spans="5:10" s="34" customFormat="1" x14ac:dyDescent="0.35">
      <c r="E23164" s="35"/>
      <c r="J23164" s="41"/>
    </row>
    <row r="23165" spans="5:10" s="34" customFormat="1" x14ac:dyDescent="0.35">
      <c r="E23165" s="35"/>
      <c r="J23165" s="41"/>
    </row>
    <row r="23166" spans="5:10" s="34" customFormat="1" x14ac:dyDescent="0.35">
      <c r="E23166" s="35"/>
      <c r="J23166" s="41"/>
    </row>
    <row r="23167" spans="5:10" s="34" customFormat="1" x14ac:dyDescent="0.35">
      <c r="E23167" s="35"/>
      <c r="J23167" s="41"/>
    </row>
    <row r="23168" spans="5:10" s="34" customFormat="1" x14ac:dyDescent="0.35">
      <c r="E23168" s="35"/>
      <c r="J23168" s="41"/>
    </row>
    <row r="23169" spans="5:10" s="34" customFormat="1" x14ac:dyDescent="0.35">
      <c r="E23169" s="35"/>
      <c r="J23169" s="41"/>
    </row>
    <row r="23170" spans="5:10" s="34" customFormat="1" x14ac:dyDescent="0.35">
      <c r="E23170" s="35"/>
      <c r="J23170" s="41"/>
    </row>
    <row r="23171" spans="5:10" s="34" customFormat="1" x14ac:dyDescent="0.35">
      <c r="E23171" s="35"/>
      <c r="J23171" s="41"/>
    </row>
    <row r="23172" spans="5:10" s="34" customFormat="1" x14ac:dyDescent="0.35">
      <c r="E23172" s="35"/>
      <c r="J23172" s="41"/>
    </row>
    <row r="23173" spans="5:10" s="34" customFormat="1" x14ac:dyDescent="0.35">
      <c r="E23173" s="35"/>
      <c r="J23173" s="41"/>
    </row>
    <row r="23174" spans="5:10" s="34" customFormat="1" x14ac:dyDescent="0.35">
      <c r="E23174" s="35"/>
      <c r="J23174" s="41"/>
    </row>
    <row r="23175" spans="5:10" s="34" customFormat="1" x14ac:dyDescent="0.35">
      <c r="E23175" s="35"/>
      <c r="J23175" s="41"/>
    </row>
    <row r="23176" spans="5:10" s="34" customFormat="1" x14ac:dyDescent="0.35">
      <c r="E23176" s="35"/>
      <c r="J23176" s="41"/>
    </row>
    <row r="23177" spans="5:10" s="34" customFormat="1" x14ac:dyDescent="0.35">
      <c r="E23177" s="35"/>
      <c r="J23177" s="41"/>
    </row>
    <row r="23178" spans="5:10" s="34" customFormat="1" x14ac:dyDescent="0.35">
      <c r="E23178" s="35"/>
      <c r="J23178" s="41"/>
    </row>
    <row r="23179" spans="5:10" s="34" customFormat="1" x14ac:dyDescent="0.35">
      <c r="E23179" s="35"/>
      <c r="J23179" s="41"/>
    </row>
    <row r="23180" spans="5:10" s="34" customFormat="1" x14ac:dyDescent="0.35">
      <c r="E23180" s="35"/>
      <c r="J23180" s="41"/>
    </row>
    <row r="23181" spans="5:10" s="34" customFormat="1" x14ac:dyDescent="0.35">
      <c r="E23181" s="35"/>
      <c r="J23181" s="41"/>
    </row>
    <row r="23182" spans="5:10" s="34" customFormat="1" x14ac:dyDescent="0.35">
      <c r="E23182" s="35"/>
      <c r="J23182" s="41"/>
    </row>
    <row r="23183" spans="5:10" s="34" customFormat="1" x14ac:dyDescent="0.35">
      <c r="E23183" s="35"/>
      <c r="J23183" s="41"/>
    </row>
    <row r="23184" spans="5:10" s="34" customFormat="1" x14ac:dyDescent="0.35">
      <c r="E23184" s="35"/>
      <c r="J23184" s="41"/>
    </row>
    <row r="23185" spans="5:10" s="34" customFormat="1" x14ac:dyDescent="0.35">
      <c r="E23185" s="35"/>
      <c r="J23185" s="41"/>
    </row>
    <row r="23186" spans="5:10" s="34" customFormat="1" x14ac:dyDescent="0.35">
      <c r="E23186" s="35"/>
      <c r="J23186" s="41"/>
    </row>
    <row r="23187" spans="5:10" s="34" customFormat="1" x14ac:dyDescent="0.35">
      <c r="E23187" s="35"/>
      <c r="J23187" s="41"/>
    </row>
    <row r="23188" spans="5:10" s="34" customFormat="1" x14ac:dyDescent="0.35">
      <c r="E23188" s="35"/>
      <c r="J23188" s="41"/>
    </row>
    <row r="23189" spans="5:10" s="34" customFormat="1" x14ac:dyDescent="0.35">
      <c r="E23189" s="35"/>
      <c r="J23189" s="41"/>
    </row>
    <row r="23190" spans="5:10" s="34" customFormat="1" x14ac:dyDescent="0.35">
      <c r="E23190" s="35"/>
      <c r="J23190" s="41"/>
    </row>
    <row r="23191" spans="5:10" s="34" customFormat="1" x14ac:dyDescent="0.35">
      <c r="E23191" s="35"/>
      <c r="J23191" s="41"/>
    </row>
    <row r="23192" spans="5:10" s="34" customFormat="1" x14ac:dyDescent="0.35">
      <c r="E23192" s="35"/>
      <c r="J23192" s="41"/>
    </row>
    <row r="23193" spans="5:10" s="34" customFormat="1" x14ac:dyDescent="0.35">
      <c r="E23193" s="35"/>
      <c r="J23193" s="41"/>
    </row>
    <row r="23194" spans="5:10" s="34" customFormat="1" x14ac:dyDescent="0.35">
      <c r="E23194" s="35"/>
      <c r="J23194" s="41"/>
    </row>
    <row r="23195" spans="5:10" s="34" customFormat="1" x14ac:dyDescent="0.35">
      <c r="E23195" s="35"/>
      <c r="J23195" s="41"/>
    </row>
    <row r="23196" spans="5:10" s="34" customFormat="1" x14ac:dyDescent="0.35">
      <c r="E23196" s="35"/>
      <c r="J23196" s="41"/>
    </row>
    <row r="23197" spans="5:10" s="34" customFormat="1" x14ac:dyDescent="0.35">
      <c r="E23197" s="35"/>
      <c r="J23197" s="41"/>
    </row>
    <row r="23198" spans="5:10" s="34" customFormat="1" x14ac:dyDescent="0.35">
      <c r="E23198" s="35"/>
      <c r="J23198" s="41"/>
    </row>
    <row r="23199" spans="5:10" s="34" customFormat="1" x14ac:dyDescent="0.35">
      <c r="E23199" s="35"/>
      <c r="J23199" s="41"/>
    </row>
    <row r="23200" spans="5:10" s="34" customFormat="1" x14ac:dyDescent="0.35">
      <c r="E23200" s="35"/>
      <c r="J23200" s="41"/>
    </row>
    <row r="23201" spans="5:10" s="34" customFormat="1" x14ac:dyDescent="0.35">
      <c r="E23201" s="35"/>
      <c r="J23201" s="41"/>
    </row>
    <row r="23202" spans="5:10" s="34" customFormat="1" x14ac:dyDescent="0.35">
      <c r="E23202" s="35"/>
      <c r="J23202" s="41"/>
    </row>
    <row r="23203" spans="5:10" s="34" customFormat="1" x14ac:dyDescent="0.35">
      <c r="E23203" s="35"/>
      <c r="J23203" s="41"/>
    </row>
    <row r="23204" spans="5:10" s="34" customFormat="1" x14ac:dyDescent="0.35">
      <c r="E23204" s="35"/>
      <c r="J23204" s="41"/>
    </row>
    <row r="23205" spans="5:10" s="34" customFormat="1" x14ac:dyDescent="0.35">
      <c r="E23205" s="35"/>
      <c r="J23205" s="41"/>
    </row>
    <row r="23206" spans="5:10" s="34" customFormat="1" x14ac:dyDescent="0.35">
      <c r="E23206" s="35"/>
      <c r="J23206" s="41"/>
    </row>
    <row r="23207" spans="5:10" s="34" customFormat="1" x14ac:dyDescent="0.35">
      <c r="E23207" s="35"/>
      <c r="J23207" s="41"/>
    </row>
    <row r="23208" spans="5:10" s="34" customFormat="1" x14ac:dyDescent="0.35">
      <c r="E23208" s="35"/>
      <c r="J23208" s="41"/>
    </row>
    <row r="23209" spans="5:10" s="34" customFormat="1" x14ac:dyDescent="0.35">
      <c r="E23209" s="35"/>
      <c r="J23209" s="41"/>
    </row>
    <row r="23210" spans="5:10" s="34" customFormat="1" x14ac:dyDescent="0.35">
      <c r="E23210" s="35"/>
      <c r="J23210" s="41"/>
    </row>
    <row r="23211" spans="5:10" s="34" customFormat="1" x14ac:dyDescent="0.35">
      <c r="E23211" s="35"/>
      <c r="J23211" s="41"/>
    </row>
    <row r="23212" spans="5:10" s="34" customFormat="1" x14ac:dyDescent="0.35">
      <c r="E23212" s="35"/>
      <c r="J23212" s="41"/>
    </row>
    <row r="23213" spans="5:10" s="34" customFormat="1" x14ac:dyDescent="0.35">
      <c r="E23213" s="35"/>
      <c r="J23213" s="41"/>
    </row>
    <row r="23214" spans="5:10" s="34" customFormat="1" x14ac:dyDescent="0.35">
      <c r="E23214" s="35"/>
      <c r="J23214" s="41"/>
    </row>
    <row r="23215" spans="5:10" s="34" customFormat="1" x14ac:dyDescent="0.35">
      <c r="E23215" s="35"/>
      <c r="J23215" s="41"/>
    </row>
    <row r="23216" spans="5:10" s="34" customFormat="1" x14ac:dyDescent="0.35">
      <c r="E23216" s="35"/>
      <c r="J23216" s="41"/>
    </row>
    <row r="23217" spans="5:10" s="34" customFormat="1" x14ac:dyDescent="0.35">
      <c r="E23217" s="35"/>
      <c r="J23217" s="41"/>
    </row>
    <row r="23218" spans="5:10" s="34" customFormat="1" x14ac:dyDescent="0.35">
      <c r="E23218" s="35"/>
      <c r="J23218" s="41"/>
    </row>
    <row r="23219" spans="5:10" s="34" customFormat="1" x14ac:dyDescent="0.35">
      <c r="E23219" s="35"/>
      <c r="J23219" s="41"/>
    </row>
    <row r="23220" spans="5:10" s="34" customFormat="1" x14ac:dyDescent="0.35">
      <c r="E23220" s="35"/>
      <c r="J23220" s="41"/>
    </row>
    <row r="23221" spans="5:10" s="34" customFormat="1" x14ac:dyDescent="0.35">
      <c r="E23221" s="35"/>
      <c r="J23221" s="41"/>
    </row>
    <row r="23222" spans="5:10" s="34" customFormat="1" x14ac:dyDescent="0.35">
      <c r="E23222" s="35"/>
      <c r="J23222" s="41"/>
    </row>
    <row r="23223" spans="5:10" s="34" customFormat="1" x14ac:dyDescent="0.35">
      <c r="E23223" s="35"/>
      <c r="J23223" s="41"/>
    </row>
    <row r="23224" spans="5:10" s="34" customFormat="1" x14ac:dyDescent="0.35">
      <c r="E23224" s="35"/>
      <c r="J23224" s="41"/>
    </row>
    <row r="23225" spans="5:10" s="34" customFormat="1" x14ac:dyDescent="0.35">
      <c r="E23225" s="35"/>
      <c r="J23225" s="41"/>
    </row>
    <row r="23226" spans="5:10" s="34" customFormat="1" x14ac:dyDescent="0.35">
      <c r="E23226" s="35"/>
      <c r="J23226" s="41"/>
    </row>
    <row r="23227" spans="5:10" s="34" customFormat="1" x14ac:dyDescent="0.35">
      <c r="E23227" s="35"/>
      <c r="J23227" s="41"/>
    </row>
    <row r="23228" spans="5:10" s="34" customFormat="1" x14ac:dyDescent="0.35">
      <c r="E23228" s="35"/>
      <c r="J23228" s="41"/>
    </row>
    <row r="23229" spans="5:10" s="34" customFormat="1" x14ac:dyDescent="0.35">
      <c r="E23229" s="35"/>
      <c r="J23229" s="41"/>
    </row>
    <row r="23230" spans="5:10" s="34" customFormat="1" x14ac:dyDescent="0.35">
      <c r="E23230" s="35"/>
      <c r="J23230" s="41"/>
    </row>
    <row r="23231" spans="5:10" s="34" customFormat="1" x14ac:dyDescent="0.35">
      <c r="E23231" s="35"/>
      <c r="J23231" s="41"/>
    </row>
    <row r="23232" spans="5:10" s="34" customFormat="1" x14ac:dyDescent="0.35">
      <c r="E23232" s="35"/>
      <c r="J23232" s="41"/>
    </row>
    <row r="23233" spans="5:10" s="34" customFormat="1" x14ac:dyDescent="0.35">
      <c r="E23233" s="35"/>
      <c r="J23233" s="41"/>
    </row>
    <row r="23234" spans="5:10" s="34" customFormat="1" x14ac:dyDescent="0.35">
      <c r="E23234" s="35"/>
      <c r="J23234" s="41"/>
    </row>
    <row r="23235" spans="5:10" s="34" customFormat="1" x14ac:dyDescent="0.35">
      <c r="E23235" s="35"/>
      <c r="J23235" s="41"/>
    </row>
    <row r="23236" spans="5:10" s="34" customFormat="1" x14ac:dyDescent="0.35">
      <c r="E23236" s="35"/>
      <c r="J23236" s="41"/>
    </row>
    <row r="23237" spans="5:10" s="34" customFormat="1" x14ac:dyDescent="0.35">
      <c r="E23237" s="35"/>
      <c r="J23237" s="41"/>
    </row>
    <row r="23238" spans="5:10" s="34" customFormat="1" x14ac:dyDescent="0.35">
      <c r="E23238" s="35"/>
      <c r="J23238" s="41"/>
    </row>
    <row r="23239" spans="5:10" s="34" customFormat="1" x14ac:dyDescent="0.35">
      <c r="E23239" s="35"/>
      <c r="J23239" s="41"/>
    </row>
    <row r="23240" spans="5:10" s="34" customFormat="1" x14ac:dyDescent="0.35">
      <c r="E23240" s="35"/>
      <c r="J23240" s="41"/>
    </row>
    <row r="23241" spans="5:10" s="34" customFormat="1" x14ac:dyDescent="0.35">
      <c r="E23241" s="35"/>
      <c r="J23241" s="41"/>
    </row>
    <row r="23242" spans="5:10" s="34" customFormat="1" x14ac:dyDescent="0.35">
      <c r="E23242" s="35"/>
      <c r="J23242" s="41"/>
    </row>
    <row r="23243" spans="5:10" s="34" customFormat="1" x14ac:dyDescent="0.35">
      <c r="E23243" s="35"/>
      <c r="J23243" s="41"/>
    </row>
    <row r="23244" spans="5:10" s="34" customFormat="1" x14ac:dyDescent="0.35">
      <c r="E23244" s="35"/>
      <c r="J23244" s="41"/>
    </row>
    <row r="23245" spans="5:10" s="34" customFormat="1" x14ac:dyDescent="0.35">
      <c r="E23245" s="35"/>
      <c r="J23245" s="41"/>
    </row>
    <row r="23246" spans="5:10" s="34" customFormat="1" x14ac:dyDescent="0.35">
      <c r="E23246" s="35"/>
      <c r="J23246" s="41"/>
    </row>
    <row r="23247" spans="5:10" s="34" customFormat="1" x14ac:dyDescent="0.35">
      <c r="E23247" s="35"/>
      <c r="J23247" s="41"/>
    </row>
    <row r="23248" spans="5:10" s="34" customFormat="1" x14ac:dyDescent="0.35">
      <c r="E23248" s="35"/>
      <c r="J23248" s="41"/>
    </row>
    <row r="23249" spans="5:10" s="34" customFormat="1" x14ac:dyDescent="0.35">
      <c r="E23249" s="35"/>
      <c r="J23249" s="41"/>
    </row>
    <row r="23250" spans="5:10" s="34" customFormat="1" x14ac:dyDescent="0.35">
      <c r="E23250" s="35"/>
      <c r="J23250" s="41"/>
    </row>
    <row r="23251" spans="5:10" s="34" customFormat="1" x14ac:dyDescent="0.35">
      <c r="E23251" s="35"/>
      <c r="J23251" s="41"/>
    </row>
    <row r="23252" spans="5:10" s="34" customFormat="1" x14ac:dyDescent="0.35">
      <c r="E23252" s="35"/>
      <c r="J23252" s="41"/>
    </row>
    <row r="23253" spans="5:10" s="34" customFormat="1" x14ac:dyDescent="0.35">
      <c r="E23253" s="35"/>
      <c r="J23253" s="41"/>
    </row>
    <row r="23254" spans="5:10" s="34" customFormat="1" x14ac:dyDescent="0.35">
      <c r="E23254" s="35"/>
      <c r="J23254" s="41"/>
    </row>
    <row r="23255" spans="5:10" s="34" customFormat="1" x14ac:dyDescent="0.35">
      <c r="E23255" s="35"/>
      <c r="J23255" s="41"/>
    </row>
    <row r="23256" spans="5:10" s="34" customFormat="1" x14ac:dyDescent="0.35">
      <c r="E23256" s="35"/>
      <c r="J23256" s="41"/>
    </row>
    <row r="23257" spans="5:10" s="34" customFormat="1" x14ac:dyDescent="0.35">
      <c r="E23257" s="35"/>
      <c r="J23257" s="41"/>
    </row>
    <row r="23258" spans="5:10" s="34" customFormat="1" x14ac:dyDescent="0.35">
      <c r="E23258" s="35"/>
      <c r="J23258" s="41"/>
    </row>
    <row r="23259" spans="5:10" s="34" customFormat="1" x14ac:dyDescent="0.35">
      <c r="E23259" s="35"/>
      <c r="J23259" s="41"/>
    </row>
    <row r="23260" spans="5:10" s="34" customFormat="1" x14ac:dyDescent="0.35">
      <c r="E23260" s="35"/>
      <c r="J23260" s="41"/>
    </row>
    <row r="23261" spans="5:10" s="34" customFormat="1" x14ac:dyDescent="0.35">
      <c r="E23261" s="35"/>
      <c r="J23261" s="41"/>
    </row>
    <row r="23262" spans="5:10" s="34" customFormat="1" x14ac:dyDescent="0.35">
      <c r="E23262" s="35"/>
      <c r="J23262" s="41"/>
    </row>
    <row r="23263" spans="5:10" s="34" customFormat="1" x14ac:dyDescent="0.35">
      <c r="E23263" s="35"/>
      <c r="J23263" s="41"/>
    </row>
    <row r="23264" spans="5:10" s="34" customFormat="1" x14ac:dyDescent="0.35">
      <c r="E23264" s="35"/>
      <c r="J23264" s="41"/>
    </row>
    <row r="23265" spans="5:10" s="34" customFormat="1" x14ac:dyDescent="0.35">
      <c r="E23265" s="35"/>
      <c r="J23265" s="41"/>
    </row>
    <row r="23266" spans="5:10" s="34" customFormat="1" x14ac:dyDescent="0.35">
      <c r="E23266" s="35"/>
      <c r="J23266" s="41"/>
    </row>
    <row r="23267" spans="5:10" s="34" customFormat="1" x14ac:dyDescent="0.35">
      <c r="E23267" s="35"/>
      <c r="J23267" s="41"/>
    </row>
    <row r="23268" spans="5:10" s="34" customFormat="1" x14ac:dyDescent="0.35">
      <c r="E23268" s="35"/>
      <c r="J23268" s="41"/>
    </row>
    <row r="23269" spans="5:10" s="34" customFormat="1" x14ac:dyDescent="0.35">
      <c r="E23269" s="35"/>
      <c r="J23269" s="41"/>
    </row>
    <row r="23270" spans="5:10" s="34" customFormat="1" x14ac:dyDescent="0.35">
      <c r="E23270" s="35"/>
      <c r="J23270" s="41"/>
    </row>
    <row r="23271" spans="5:10" s="34" customFormat="1" x14ac:dyDescent="0.35">
      <c r="E23271" s="35"/>
      <c r="J23271" s="41"/>
    </row>
    <row r="23272" spans="5:10" s="34" customFormat="1" x14ac:dyDescent="0.35">
      <c r="E23272" s="35"/>
      <c r="J23272" s="41"/>
    </row>
    <row r="23273" spans="5:10" s="34" customFormat="1" x14ac:dyDescent="0.35">
      <c r="E23273" s="35"/>
      <c r="J23273" s="41"/>
    </row>
    <row r="23274" spans="5:10" s="34" customFormat="1" x14ac:dyDescent="0.35">
      <c r="E23274" s="35"/>
      <c r="J23274" s="41"/>
    </row>
    <row r="23275" spans="5:10" s="34" customFormat="1" x14ac:dyDescent="0.35">
      <c r="E23275" s="35"/>
      <c r="J23275" s="41"/>
    </row>
    <row r="23276" spans="5:10" s="34" customFormat="1" x14ac:dyDescent="0.35">
      <c r="E23276" s="35"/>
      <c r="J23276" s="41"/>
    </row>
    <row r="23277" spans="5:10" s="34" customFormat="1" x14ac:dyDescent="0.35">
      <c r="E23277" s="35"/>
      <c r="J23277" s="41"/>
    </row>
    <row r="23278" spans="5:10" s="34" customFormat="1" x14ac:dyDescent="0.35">
      <c r="E23278" s="35"/>
      <c r="J23278" s="41"/>
    </row>
    <row r="23279" spans="5:10" s="34" customFormat="1" x14ac:dyDescent="0.35">
      <c r="E23279" s="35"/>
      <c r="J23279" s="41"/>
    </row>
    <row r="23280" spans="5:10" s="34" customFormat="1" x14ac:dyDescent="0.35">
      <c r="E23280" s="35"/>
      <c r="J23280" s="41"/>
    </row>
    <row r="23281" spans="5:10" s="34" customFormat="1" x14ac:dyDescent="0.35">
      <c r="E23281" s="35"/>
      <c r="J23281" s="41"/>
    </row>
    <row r="23282" spans="5:10" s="34" customFormat="1" x14ac:dyDescent="0.35">
      <c r="E23282" s="35"/>
      <c r="J23282" s="41"/>
    </row>
    <row r="23283" spans="5:10" s="34" customFormat="1" x14ac:dyDescent="0.35">
      <c r="E23283" s="35"/>
      <c r="J23283" s="41"/>
    </row>
    <row r="23284" spans="5:10" s="34" customFormat="1" x14ac:dyDescent="0.35">
      <c r="E23284" s="35"/>
      <c r="J23284" s="41"/>
    </row>
    <row r="23285" spans="5:10" s="34" customFormat="1" x14ac:dyDescent="0.35">
      <c r="E23285" s="35"/>
      <c r="J23285" s="41"/>
    </row>
    <row r="23286" spans="5:10" s="34" customFormat="1" x14ac:dyDescent="0.35">
      <c r="E23286" s="35"/>
      <c r="J23286" s="41"/>
    </row>
    <row r="23287" spans="5:10" s="34" customFormat="1" x14ac:dyDescent="0.35">
      <c r="E23287" s="35"/>
      <c r="J23287" s="41"/>
    </row>
    <row r="23288" spans="5:10" s="34" customFormat="1" x14ac:dyDescent="0.35">
      <c r="E23288" s="35"/>
      <c r="J23288" s="41"/>
    </row>
    <row r="23289" spans="5:10" s="34" customFormat="1" x14ac:dyDescent="0.35">
      <c r="E23289" s="35"/>
      <c r="J23289" s="41"/>
    </row>
    <row r="23290" spans="5:10" s="34" customFormat="1" x14ac:dyDescent="0.35">
      <c r="E23290" s="35"/>
      <c r="J23290" s="41"/>
    </row>
    <row r="23291" spans="5:10" s="34" customFormat="1" x14ac:dyDescent="0.35">
      <c r="E23291" s="35"/>
      <c r="J23291" s="41"/>
    </row>
    <row r="23292" spans="5:10" s="34" customFormat="1" x14ac:dyDescent="0.35">
      <c r="E23292" s="35"/>
      <c r="J23292" s="41"/>
    </row>
    <row r="23293" spans="5:10" s="34" customFormat="1" x14ac:dyDescent="0.35">
      <c r="E23293" s="35"/>
      <c r="J23293" s="41"/>
    </row>
    <row r="23294" spans="5:10" s="34" customFormat="1" x14ac:dyDescent="0.35">
      <c r="E23294" s="35"/>
      <c r="J23294" s="41"/>
    </row>
    <row r="23295" spans="5:10" s="34" customFormat="1" x14ac:dyDescent="0.35">
      <c r="E23295" s="35"/>
      <c r="J23295" s="41"/>
    </row>
    <row r="23296" spans="5:10" s="34" customFormat="1" x14ac:dyDescent="0.35">
      <c r="E23296" s="35"/>
      <c r="J23296" s="41"/>
    </row>
    <row r="23297" spans="5:10" s="34" customFormat="1" x14ac:dyDescent="0.35">
      <c r="E23297" s="35"/>
      <c r="J23297" s="41"/>
    </row>
    <row r="23298" spans="5:10" s="34" customFormat="1" x14ac:dyDescent="0.35">
      <c r="E23298" s="35"/>
      <c r="J23298" s="41"/>
    </row>
    <row r="23299" spans="5:10" s="34" customFormat="1" x14ac:dyDescent="0.35">
      <c r="E23299" s="35"/>
      <c r="J23299" s="41"/>
    </row>
    <row r="23300" spans="5:10" s="34" customFormat="1" x14ac:dyDescent="0.35">
      <c r="E23300" s="35"/>
      <c r="J23300" s="41"/>
    </row>
    <row r="23301" spans="5:10" s="34" customFormat="1" x14ac:dyDescent="0.35">
      <c r="E23301" s="35"/>
      <c r="J23301" s="41"/>
    </row>
    <row r="23302" spans="5:10" s="34" customFormat="1" x14ac:dyDescent="0.35">
      <c r="E23302" s="35"/>
      <c r="J23302" s="41"/>
    </row>
    <row r="23303" spans="5:10" s="34" customFormat="1" x14ac:dyDescent="0.35">
      <c r="E23303" s="35"/>
      <c r="J23303" s="41"/>
    </row>
    <row r="23304" spans="5:10" s="34" customFormat="1" x14ac:dyDescent="0.35">
      <c r="E23304" s="35"/>
      <c r="J23304" s="41"/>
    </row>
    <row r="23305" spans="5:10" s="34" customFormat="1" x14ac:dyDescent="0.35">
      <c r="E23305" s="35"/>
      <c r="J23305" s="41"/>
    </row>
    <row r="23306" spans="5:10" s="34" customFormat="1" x14ac:dyDescent="0.35">
      <c r="E23306" s="35"/>
      <c r="J23306" s="41"/>
    </row>
    <row r="23307" spans="5:10" s="34" customFormat="1" x14ac:dyDescent="0.35">
      <c r="E23307" s="35"/>
      <c r="J23307" s="41"/>
    </row>
    <row r="23308" spans="5:10" s="34" customFormat="1" x14ac:dyDescent="0.35">
      <c r="E23308" s="35"/>
      <c r="J23308" s="41"/>
    </row>
    <row r="23309" spans="5:10" s="34" customFormat="1" x14ac:dyDescent="0.35">
      <c r="E23309" s="35"/>
      <c r="J23309" s="41"/>
    </row>
    <row r="23310" spans="5:10" s="34" customFormat="1" x14ac:dyDescent="0.35">
      <c r="E23310" s="35"/>
      <c r="J23310" s="41"/>
    </row>
    <row r="23311" spans="5:10" s="34" customFormat="1" x14ac:dyDescent="0.35">
      <c r="E23311" s="35"/>
      <c r="J23311" s="41"/>
    </row>
    <row r="23312" spans="5:10" s="34" customFormat="1" x14ac:dyDescent="0.35">
      <c r="E23312" s="35"/>
      <c r="J23312" s="41"/>
    </row>
    <row r="23313" spans="5:10" s="34" customFormat="1" x14ac:dyDescent="0.35">
      <c r="E23313" s="35"/>
      <c r="J23313" s="41"/>
    </row>
    <row r="23314" spans="5:10" s="34" customFormat="1" x14ac:dyDescent="0.35">
      <c r="E23314" s="35"/>
      <c r="J23314" s="41"/>
    </row>
    <row r="23315" spans="5:10" s="34" customFormat="1" x14ac:dyDescent="0.35">
      <c r="E23315" s="35"/>
      <c r="J23315" s="41"/>
    </row>
    <row r="23316" spans="5:10" s="34" customFormat="1" x14ac:dyDescent="0.35">
      <c r="E23316" s="35"/>
      <c r="J23316" s="41"/>
    </row>
    <row r="23317" spans="5:10" s="34" customFormat="1" x14ac:dyDescent="0.35">
      <c r="E23317" s="35"/>
      <c r="J23317" s="41"/>
    </row>
    <row r="23318" spans="5:10" s="34" customFormat="1" x14ac:dyDescent="0.35">
      <c r="E23318" s="35"/>
      <c r="J23318" s="41"/>
    </row>
    <row r="23319" spans="5:10" s="34" customFormat="1" x14ac:dyDescent="0.35">
      <c r="E23319" s="35"/>
      <c r="J23319" s="41"/>
    </row>
    <row r="23320" spans="5:10" s="34" customFormat="1" x14ac:dyDescent="0.35">
      <c r="E23320" s="35"/>
      <c r="J23320" s="41"/>
    </row>
    <row r="23321" spans="5:10" s="34" customFormat="1" x14ac:dyDescent="0.35">
      <c r="E23321" s="35"/>
      <c r="J23321" s="41"/>
    </row>
    <row r="23322" spans="5:10" s="34" customFormat="1" x14ac:dyDescent="0.35">
      <c r="E23322" s="35"/>
      <c r="J23322" s="41"/>
    </row>
    <row r="23323" spans="5:10" s="34" customFormat="1" x14ac:dyDescent="0.35">
      <c r="E23323" s="35"/>
      <c r="J23323" s="41"/>
    </row>
    <row r="23324" spans="5:10" s="34" customFormat="1" x14ac:dyDescent="0.35">
      <c r="E23324" s="35"/>
      <c r="J23324" s="41"/>
    </row>
    <row r="23325" spans="5:10" s="34" customFormat="1" x14ac:dyDescent="0.35">
      <c r="E23325" s="35"/>
      <c r="J23325" s="41"/>
    </row>
    <row r="23326" spans="5:10" s="34" customFormat="1" x14ac:dyDescent="0.35">
      <c r="E23326" s="35"/>
      <c r="J23326" s="41"/>
    </row>
    <row r="23327" spans="5:10" s="34" customFormat="1" x14ac:dyDescent="0.35">
      <c r="E23327" s="35"/>
      <c r="J23327" s="41"/>
    </row>
    <row r="23328" spans="5:10" s="34" customFormat="1" x14ac:dyDescent="0.35">
      <c r="E23328" s="35"/>
      <c r="J23328" s="41"/>
    </row>
    <row r="23329" spans="5:10" s="34" customFormat="1" x14ac:dyDescent="0.35">
      <c r="E23329" s="35"/>
      <c r="J23329" s="41"/>
    </row>
    <row r="23330" spans="5:10" s="34" customFormat="1" x14ac:dyDescent="0.35">
      <c r="E23330" s="35"/>
      <c r="J23330" s="41"/>
    </row>
    <row r="23331" spans="5:10" s="34" customFormat="1" x14ac:dyDescent="0.35">
      <c r="E23331" s="35"/>
      <c r="J23331" s="41"/>
    </row>
    <row r="23332" spans="5:10" s="34" customFormat="1" x14ac:dyDescent="0.35">
      <c r="E23332" s="35"/>
      <c r="J23332" s="41"/>
    </row>
    <row r="23333" spans="5:10" s="34" customFormat="1" x14ac:dyDescent="0.35">
      <c r="E23333" s="35"/>
      <c r="J23333" s="41"/>
    </row>
    <row r="23334" spans="5:10" s="34" customFormat="1" x14ac:dyDescent="0.35">
      <c r="E23334" s="35"/>
      <c r="J23334" s="41"/>
    </row>
    <row r="23335" spans="5:10" s="34" customFormat="1" x14ac:dyDescent="0.35">
      <c r="E23335" s="35"/>
      <c r="J23335" s="41"/>
    </row>
    <row r="23336" spans="5:10" s="34" customFormat="1" x14ac:dyDescent="0.35">
      <c r="E23336" s="35"/>
      <c r="J23336" s="41"/>
    </row>
    <row r="23337" spans="5:10" s="34" customFormat="1" x14ac:dyDescent="0.35">
      <c r="E23337" s="35"/>
      <c r="J23337" s="41"/>
    </row>
    <row r="23338" spans="5:10" s="34" customFormat="1" x14ac:dyDescent="0.35">
      <c r="E23338" s="35"/>
      <c r="J23338" s="41"/>
    </row>
    <row r="23339" spans="5:10" s="34" customFormat="1" x14ac:dyDescent="0.35">
      <c r="E23339" s="35"/>
      <c r="J23339" s="41"/>
    </row>
    <row r="23340" spans="5:10" s="34" customFormat="1" x14ac:dyDescent="0.35">
      <c r="E23340" s="35"/>
      <c r="J23340" s="41"/>
    </row>
    <row r="23341" spans="5:10" s="34" customFormat="1" x14ac:dyDescent="0.35">
      <c r="E23341" s="35"/>
      <c r="J23341" s="41"/>
    </row>
    <row r="23342" spans="5:10" s="34" customFormat="1" x14ac:dyDescent="0.35">
      <c r="E23342" s="35"/>
      <c r="J23342" s="41"/>
    </row>
    <row r="23343" spans="5:10" s="34" customFormat="1" x14ac:dyDescent="0.35">
      <c r="E23343" s="35"/>
      <c r="J23343" s="41"/>
    </row>
    <row r="23344" spans="5:10" s="34" customFormat="1" x14ac:dyDescent="0.35">
      <c r="E23344" s="35"/>
      <c r="J23344" s="41"/>
    </row>
    <row r="23345" spans="5:10" s="34" customFormat="1" x14ac:dyDescent="0.35">
      <c r="E23345" s="35"/>
      <c r="J23345" s="41"/>
    </row>
    <row r="23346" spans="5:10" s="34" customFormat="1" x14ac:dyDescent="0.35">
      <c r="E23346" s="35"/>
      <c r="J23346" s="41"/>
    </row>
    <row r="23347" spans="5:10" s="34" customFormat="1" x14ac:dyDescent="0.35">
      <c r="E23347" s="35"/>
      <c r="J23347" s="41"/>
    </row>
    <row r="23348" spans="5:10" s="34" customFormat="1" x14ac:dyDescent="0.35">
      <c r="E23348" s="35"/>
      <c r="J23348" s="41"/>
    </row>
    <row r="23349" spans="5:10" s="34" customFormat="1" x14ac:dyDescent="0.35">
      <c r="E23349" s="35"/>
      <c r="J23349" s="41"/>
    </row>
    <row r="23350" spans="5:10" s="34" customFormat="1" x14ac:dyDescent="0.35">
      <c r="E23350" s="35"/>
      <c r="J23350" s="41"/>
    </row>
    <row r="23351" spans="5:10" s="34" customFormat="1" x14ac:dyDescent="0.35">
      <c r="E23351" s="35"/>
      <c r="J23351" s="41"/>
    </row>
    <row r="23352" spans="5:10" s="34" customFormat="1" x14ac:dyDescent="0.35">
      <c r="E23352" s="35"/>
      <c r="J23352" s="41"/>
    </row>
    <row r="23353" spans="5:10" s="34" customFormat="1" x14ac:dyDescent="0.35">
      <c r="E23353" s="35"/>
      <c r="J23353" s="41"/>
    </row>
    <row r="23354" spans="5:10" s="34" customFormat="1" x14ac:dyDescent="0.35">
      <c r="E23354" s="35"/>
      <c r="J23354" s="41"/>
    </row>
    <row r="23355" spans="5:10" s="34" customFormat="1" x14ac:dyDescent="0.35">
      <c r="E23355" s="35"/>
      <c r="J23355" s="41"/>
    </row>
    <row r="23356" spans="5:10" s="34" customFormat="1" x14ac:dyDescent="0.35">
      <c r="E23356" s="35"/>
      <c r="J23356" s="41"/>
    </row>
    <row r="23357" spans="5:10" s="34" customFormat="1" x14ac:dyDescent="0.35">
      <c r="E23357" s="35"/>
      <c r="J23357" s="41"/>
    </row>
    <row r="23358" spans="5:10" s="34" customFormat="1" x14ac:dyDescent="0.35">
      <c r="E23358" s="35"/>
      <c r="J23358" s="41"/>
    </row>
    <row r="23359" spans="5:10" s="34" customFormat="1" x14ac:dyDescent="0.35">
      <c r="E23359" s="35"/>
      <c r="J23359" s="41"/>
    </row>
    <row r="23360" spans="5:10" s="34" customFormat="1" x14ac:dyDescent="0.35">
      <c r="E23360" s="35"/>
      <c r="J23360" s="41"/>
    </row>
    <row r="23361" spans="5:10" s="34" customFormat="1" x14ac:dyDescent="0.35">
      <c r="E23361" s="35"/>
      <c r="J23361" s="41"/>
    </row>
    <row r="23362" spans="5:10" s="34" customFormat="1" x14ac:dyDescent="0.35">
      <c r="E23362" s="35"/>
      <c r="J23362" s="41"/>
    </row>
    <row r="23363" spans="5:10" s="34" customFormat="1" x14ac:dyDescent="0.35">
      <c r="E23363" s="35"/>
      <c r="J23363" s="41"/>
    </row>
    <row r="23364" spans="5:10" s="34" customFormat="1" x14ac:dyDescent="0.35">
      <c r="E23364" s="35"/>
      <c r="J23364" s="41"/>
    </row>
    <row r="23365" spans="5:10" s="34" customFormat="1" x14ac:dyDescent="0.35">
      <c r="E23365" s="35"/>
      <c r="J23365" s="41"/>
    </row>
    <row r="23366" spans="5:10" s="34" customFormat="1" x14ac:dyDescent="0.35">
      <c r="E23366" s="35"/>
      <c r="J23366" s="41"/>
    </row>
    <row r="23367" spans="5:10" s="34" customFormat="1" x14ac:dyDescent="0.35">
      <c r="E23367" s="35"/>
      <c r="J23367" s="41"/>
    </row>
    <row r="23368" spans="5:10" s="34" customFormat="1" x14ac:dyDescent="0.35">
      <c r="E23368" s="35"/>
      <c r="J23368" s="41"/>
    </row>
    <row r="23369" spans="5:10" s="34" customFormat="1" x14ac:dyDescent="0.35">
      <c r="E23369" s="35"/>
      <c r="J23369" s="41"/>
    </row>
    <row r="23370" spans="5:10" s="34" customFormat="1" x14ac:dyDescent="0.35">
      <c r="E23370" s="35"/>
      <c r="J23370" s="41"/>
    </row>
    <row r="23371" spans="5:10" s="34" customFormat="1" x14ac:dyDescent="0.35">
      <c r="E23371" s="35"/>
      <c r="J23371" s="41"/>
    </row>
    <row r="23372" spans="5:10" s="34" customFormat="1" x14ac:dyDescent="0.35">
      <c r="E23372" s="35"/>
      <c r="J23372" s="41"/>
    </row>
    <row r="23373" spans="5:10" s="34" customFormat="1" x14ac:dyDescent="0.35">
      <c r="E23373" s="35"/>
      <c r="J23373" s="41"/>
    </row>
    <row r="23374" spans="5:10" s="34" customFormat="1" x14ac:dyDescent="0.35">
      <c r="E23374" s="35"/>
      <c r="J23374" s="41"/>
    </row>
    <row r="23375" spans="5:10" s="34" customFormat="1" x14ac:dyDescent="0.35">
      <c r="E23375" s="35"/>
      <c r="J23375" s="41"/>
    </row>
    <row r="23376" spans="5:10" s="34" customFormat="1" x14ac:dyDescent="0.35">
      <c r="E23376" s="35"/>
      <c r="J23376" s="41"/>
    </row>
    <row r="23377" spans="5:10" s="34" customFormat="1" x14ac:dyDescent="0.35">
      <c r="E23377" s="35"/>
      <c r="J23377" s="41"/>
    </row>
    <row r="23378" spans="5:10" s="34" customFormat="1" x14ac:dyDescent="0.35">
      <c r="E23378" s="35"/>
      <c r="J23378" s="41"/>
    </row>
    <row r="23379" spans="5:10" s="34" customFormat="1" x14ac:dyDescent="0.35">
      <c r="E23379" s="35"/>
      <c r="J23379" s="41"/>
    </row>
    <row r="23380" spans="5:10" s="34" customFormat="1" x14ac:dyDescent="0.35">
      <c r="E23380" s="35"/>
      <c r="J23380" s="41"/>
    </row>
    <row r="23381" spans="5:10" s="34" customFormat="1" x14ac:dyDescent="0.35">
      <c r="E23381" s="35"/>
      <c r="J23381" s="41"/>
    </row>
    <row r="23382" spans="5:10" s="34" customFormat="1" x14ac:dyDescent="0.35">
      <c r="E23382" s="35"/>
      <c r="J23382" s="41"/>
    </row>
    <row r="23383" spans="5:10" s="34" customFormat="1" x14ac:dyDescent="0.35">
      <c r="E23383" s="35"/>
      <c r="J23383" s="41"/>
    </row>
    <row r="23384" spans="5:10" s="34" customFormat="1" x14ac:dyDescent="0.35">
      <c r="E23384" s="35"/>
      <c r="J23384" s="41"/>
    </row>
    <row r="23385" spans="5:10" s="34" customFormat="1" x14ac:dyDescent="0.35">
      <c r="E23385" s="35"/>
      <c r="J23385" s="41"/>
    </row>
    <row r="23386" spans="5:10" s="34" customFormat="1" x14ac:dyDescent="0.35">
      <c r="E23386" s="35"/>
      <c r="J23386" s="41"/>
    </row>
    <row r="23387" spans="5:10" s="34" customFormat="1" x14ac:dyDescent="0.35">
      <c r="E23387" s="35"/>
      <c r="J23387" s="41"/>
    </row>
    <row r="23388" spans="5:10" s="34" customFormat="1" x14ac:dyDescent="0.35">
      <c r="E23388" s="35"/>
      <c r="J23388" s="41"/>
    </row>
    <row r="23389" spans="5:10" s="34" customFormat="1" x14ac:dyDescent="0.35">
      <c r="E23389" s="35"/>
      <c r="J23389" s="41"/>
    </row>
    <row r="23390" spans="5:10" s="34" customFormat="1" x14ac:dyDescent="0.35">
      <c r="E23390" s="35"/>
      <c r="J23390" s="41"/>
    </row>
    <row r="23391" spans="5:10" s="34" customFormat="1" x14ac:dyDescent="0.35">
      <c r="E23391" s="35"/>
      <c r="J23391" s="41"/>
    </row>
    <row r="23392" spans="5:10" s="34" customFormat="1" x14ac:dyDescent="0.35">
      <c r="E23392" s="35"/>
      <c r="J23392" s="41"/>
    </row>
    <row r="23393" spans="5:10" s="34" customFormat="1" x14ac:dyDescent="0.35">
      <c r="E23393" s="35"/>
      <c r="J23393" s="41"/>
    </row>
    <row r="23394" spans="5:10" s="34" customFormat="1" x14ac:dyDescent="0.35">
      <c r="E23394" s="35"/>
      <c r="J23394" s="41"/>
    </row>
    <row r="23395" spans="5:10" s="34" customFormat="1" x14ac:dyDescent="0.35">
      <c r="E23395" s="35"/>
      <c r="J23395" s="41"/>
    </row>
    <row r="23396" spans="5:10" s="34" customFormat="1" x14ac:dyDescent="0.35">
      <c r="E23396" s="35"/>
      <c r="J23396" s="41"/>
    </row>
    <row r="23397" spans="5:10" s="34" customFormat="1" x14ac:dyDescent="0.35">
      <c r="E23397" s="35"/>
      <c r="J23397" s="41"/>
    </row>
    <row r="23398" spans="5:10" s="34" customFormat="1" x14ac:dyDescent="0.35">
      <c r="E23398" s="35"/>
      <c r="J23398" s="41"/>
    </row>
    <row r="23399" spans="5:10" s="34" customFormat="1" x14ac:dyDescent="0.35">
      <c r="E23399" s="35"/>
      <c r="J23399" s="41"/>
    </row>
    <row r="23400" spans="5:10" s="34" customFormat="1" x14ac:dyDescent="0.35">
      <c r="E23400" s="35"/>
      <c r="J23400" s="41"/>
    </row>
    <row r="23401" spans="5:10" s="34" customFormat="1" x14ac:dyDescent="0.35">
      <c r="E23401" s="35"/>
      <c r="J23401" s="41"/>
    </row>
    <row r="23402" spans="5:10" s="34" customFormat="1" x14ac:dyDescent="0.35">
      <c r="E23402" s="35"/>
      <c r="J23402" s="41"/>
    </row>
    <row r="23403" spans="5:10" s="34" customFormat="1" x14ac:dyDescent="0.35">
      <c r="E23403" s="35"/>
      <c r="J23403" s="41"/>
    </row>
    <row r="23404" spans="5:10" s="34" customFormat="1" x14ac:dyDescent="0.35">
      <c r="E23404" s="35"/>
      <c r="J23404" s="41"/>
    </row>
    <row r="23405" spans="5:10" s="34" customFormat="1" x14ac:dyDescent="0.35">
      <c r="E23405" s="35"/>
      <c r="J23405" s="41"/>
    </row>
    <row r="23406" spans="5:10" s="34" customFormat="1" x14ac:dyDescent="0.35">
      <c r="E23406" s="35"/>
      <c r="J23406" s="41"/>
    </row>
    <row r="23407" spans="5:10" s="34" customFormat="1" x14ac:dyDescent="0.35">
      <c r="E23407" s="35"/>
      <c r="J23407" s="41"/>
    </row>
    <row r="23408" spans="5:10" s="34" customFormat="1" x14ac:dyDescent="0.35">
      <c r="E23408" s="35"/>
      <c r="J23408" s="41"/>
    </row>
    <row r="23409" spans="5:10" s="34" customFormat="1" x14ac:dyDescent="0.35">
      <c r="E23409" s="35"/>
      <c r="J23409" s="41"/>
    </row>
    <row r="23410" spans="5:10" s="34" customFormat="1" x14ac:dyDescent="0.35">
      <c r="E23410" s="35"/>
      <c r="J23410" s="41"/>
    </row>
    <row r="23411" spans="5:10" s="34" customFormat="1" x14ac:dyDescent="0.35">
      <c r="E23411" s="35"/>
      <c r="J23411" s="41"/>
    </row>
    <row r="23412" spans="5:10" s="34" customFormat="1" x14ac:dyDescent="0.35">
      <c r="E23412" s="35"/>
      <c r="J23412" s="41"/>
    </row>
    <row r="23413" spans="5:10" s="34" customFormat="1" x14ac:dyDescent="0.35">
      <c r="E23413" s="35"/>
      <c r="J23413" s="41"/>
    </row>
    <row r="23414" spans="5:10" s="34" customFormat="1" x14ac:dyDescent="0.35">
      <c r="E23414" s="35"/>
      <c r="J23414" s="41"/>
    </row>
    <row r="23415" spans="5:10" s="34" customFormat="1" x14ac:dyDescent="0.35">
      <c r="E23415" s="35"/>
      <c r="J23415" s="41"/>
    </row>
    <row r="23416" spans="5:10" s="34" customFormat="1" x14ac:dyDescent="0.35">
      <c r="E23416" s="35"/>
      <c r="J23416" s="41"/>
    </row>
    <row r="23417" spans="5:10" s="34" customFormat="1" x14ac:dyDescent="0.35">
      <c r="E23417" s="35"/>
      <c r="J23417" s="41"/>
    </row>
    <row r="23418" spans="5:10" s="34" customFormat="1" x14ac:dyDescent="0.35">
      <c r="E23418" s="35"/>
      <c r="J23418" s="41"/>
    </row>
    <row r="23419" spans="5:10" s="34" customFormat="1" x14ac:dyDescent="0.35">
      <c r="E23419" s="35"/>
      <c r="J23419" s="41"/>
    </row>
    <row r="23420" spans="5:10" s="34" customFormat="1" x14ac:dyDescent="0.35">
      <c r="E23420" s="35"/>
      <c r="J23420" s="41"/>
    </row>
    <row r="23421" spans="5:10" s="34" customFormat="1" x14ac:dyDescent="0.35">
      <c r="E23421" s="35"/>
      <c r="J23421" s="41"/>
    </row>
    <row r="23422" spans="5:10" s="34" customFormat="1" x14ac:dyDescent="0.35">
      <c r="E23422" s="35"/>
      <c r="J23422" s="41"/>
    </row>
    <row r="23423" spans="5:10" s="34" customFormat="1" x14ac:dyDescent="0.35">
      <c r="E23423" s="35"/>
      <c r="J23423" s="41"/>
    </row>
    <row r="23424" spans="5:10" s="34" customFormat="1" x14ac:dyDescent="0.35">
      <c r="E23424" s="35"/>
      <c r="J23424" s="41"/>
    </row>
    <row r="23425" spans="5:10" s="34" customFormat="1" x14ac:dyDescent="0.35">
      <c r="E23425" s="35"/>
      <c r="J23425" s="41"/>
    </row>
    <row r="23426" spans="5:10" s="34" customFormat="1" x14ac:dyDescent="0.35">
      <c r="E23426" s="35"/>
      <c r="J23426" s="41"/>
    </row>
    <row r="23427" spans="5:10" s="34" customFormat="1" x14ac:dyDescent="0.35">
      <c r="E23427" s="35"/>
      <c r="J23427" s="41"/>
    </row>
    <row r="23428" spans="5:10" s="34" customFormat="1" x14ac:dyDescent="0.35">
      <c r="E23428" s="35"/>
      <c r="J23428" s="41"/>
    </row>
    <row r="23429" spans="5:10" s="34" customFormat="1" x14ac:dyDescent="0.35">
      <c r="E23429" s="35"/>
      <c r="J23429" s="41"/>
    </row>
    <row r="23430" spans="5:10" s="34" customFormat="1" x14ac:dyDescent="0.35">
      <c r="E23430" s="35"/>
      <c r="J23430" s="41"/>
    </row>
    <row r="23431" spans="5:10" s="34" customFormat="1" x14ac:dyDescent="0.35">
      <c r="E23431" s="35"/>
      <c r="J23431" s="41"/>
    </row>
    <row r="23432" spans="5:10" s="34" customFormat="1" x14ac:dyDescent="0.35">
      <c r="E23432" s="35"/>
      <c r="J23432" s="41"/>
    </row>
    <row r="23433" spans="5:10" s="34" customFormat="1" x14ac:dyDescent="0.35">
      <c r="E23433" s="35"/>
      <c r="J23433" s="41"/>
    </row>
    <row r="23434" spans="5:10" s="34" customFormat="1" x14ac:dyDescent="0.35">
      <c r="E23434" s="35"/>
      <c r="J23434" s="41"/>
    </row>
    <row r="23435" spans="5:10" s="34" customFormat="1" x14ac:dyDescent="0.35">
      <c r="E23435" s="35"/>
      <c r="J23435" s="41"/>
    </row>
    <row r="23436" spans="5:10" s="34" customFormat="1" x14ac:dyDescent="0.35">
      <c r="E23436" s="35"/>
      <c r="J23436" s="41"/>
    </row>
    <row r="23437" spans="5:10" s="34" customFormat="1" x14ac:dyDescent="0.35">
      <c r="E23437" s="35"/>
      <c r="J23437" s="41"/>
    </row>
    <row r="23438" spans="5:10" s="34" customFormat="1" x14ac:dyDescent="0.35">
      <c r="E23438" s="35"/>
      <c r="J23438" s="41"/>
    </row>
    <row r="23439" spans="5:10" s="34" customFormat="1" x14ac:dyDescent="0.35">
      <c r="E23439" s="35"/>
      <c r="J23439" s="41"/>
    </row>
    <row r="23440" spans="5:10" s="34" customFormat="1" x14ac:dyDescent="0.35">
      <c r="E23440" s="35"/>
      <c r="J23440" s="41"/>
    </row>
    <row r="23441" spans="5:10" s="34" customFormat="1" x14ac:dyDescent="0.35">
      <c r="E23441" s="35"/>
      <c r="J23441" s="41"/>
    </row>
    <row r="23442" spans="5:10" s="34" customFormat="1" x14ac:dyDescent="0.35">
      <c r="E23442" s="35"/>
      <c r="J23442" s="41"/>
    </row>
    <row r="23443" spans="5:10" s="34" customFormat="1" x14ac:dyDescent="0.35">
      <c r="E23443" s="35"/>
      <c r="J23443" s="41"/>
    </row>
    <row r="23444" spans="5:10" s="34" customFormat="1" x14ac:dyDescent="0.35">
      <c r="E23444" s="35"/>
      <c r="J23444" s="41"/>
    </row>
    <row r="23445" spans="5:10" s="34" customFormat="1" x14ac:dyDescent="0.35">
      <c r="E23445" s="35"/>
      <c r="J23445" s="41"/>
    </row>
    <row r="23446" spans="5:10" s="34" customFormat="1" x14ac:dyDescent="0.35">
      <c r="E23446" s="35"/>
      <c r="J23446" s="41"/>
    </row>
    <row r="23447" spans="5:10" s="34" customFormat="1" x14ac:dyDescent="0.35">
      <c r="E23447" s="35"/>
      <c r="J23447" s="41"/>
    </row>
    <row r="23448" spans="5:10" s="34" customFormat="1" x14ac:dyDescent="0.35">
      <c r="E23448" s="35"/>
      <c r="J23448" s="41"/>
    </row>
    <row r="23449" spans="5:10" s="34" customFormat="1" x14ac:dyDescent="0.35">
      <c r="E23449" s="35"/>
      <c r="J23449" s="41"/>
    </row>
    <row r="23450" spans="5:10" s="34" customFormat="1" x14ac:dyDescent="0.35">
      <c r="E23450" s="35"/>
      <c r="J23450" s="41"/>
    </row>
    <row r="23451" spans="5:10" s="34" customFormat="1" x14ac:dyDescent="0.35">
      <c r="E23451" s="35"/>
      <c r="J23451" s="41"/>
    </row>
    <row r="23452" spans="5:10" s="34" customFormat="1" x14ac:dyDescent="0.35">
      <c r="E23452" s="35"/>
      <c r="J23452" s="41"/>
    </row>
    <row r="23453" spans="5:10" s="34" customFormat="1" x14ac:dyDescent="0.35">
      <c r="E23453" s="35"/>
      <c r="J23453" s="41"/>
    </row>
    <row r="23454" spans="5:10" s="34" customFormat="1" x14ac:dyDescent="0.35">
      <c r="E23454" s="35"/>
      <c r="J23454" s="41"/>
    </row>
    <row r="23455" spans="5:10" s="34" customFormat="1" x14ac:dyDescent="0.35">
      <c r="E23455" s="35"/>
      <c r="J23455" s="41"/>
    </row>
    <row r="23456" spans="5:10" s="34" customFormat="1" x14ac:dyDescent="0.35">
      <c r="E23456" s="35"/>
      <c r="J23456" s="41"/>
    </row>
    <row r="23457" spans="5:10" s="34" customFormat="1" x14ac:dyDescent="0.35">
      <c r="E23457" s="35"/>
      <c r="J23457" s="41"/>
    </row>
    <row r="23458" spans="5:10" s="34" customFormat="1" x14ac:dyDescent="0.35">
      <c r="E23458" s="35"/>
      <c r="J23458" s="41"/>
    </row>
    <row r="23459" spans="5:10" s="34" customFormat="1" x14ac:dyDescent="0.35">
      <c r="E23459" s="35"/>
      <c r="J23459" s="41"/>
    </row>
    <row r="23460" spans="5:10" s="34" customFormat="1" x14ac:dyDescent="0.35">
      <c r="E23460" s="35"/>
      <c r="J23460" s="41"/>
    </row>
    <row r="23461" spans="5:10" s="34" customFormat="1" x14ac:dyDescent="0.35">
      <c r="E23461" s="35"/>
      <c r="J23461" s="41"/>
    </row>
    <row r="23462" spans="5:10" s="34" customFormat="1" x14ac:dyDescent="0.35">
      <c r="E23462" s="35"/>
      <c r="J23462" s="41"/>
    </row>
    <row r="23463" spans="5:10" s="34" customFormat="1" x14ac:dyDescent="0.35">
      <c r="E23463" s="35"/>
      <c r="J23463" s="41"/>
    </row>
    <row r="23464" spans="5:10" s="34" customFormat="1" x14ac:dyDescent="0.35">
      <c r="E23464" s="35"/>
      <c r="J23464" s="41"/>
    </row>
    <row r="23465" spans="5:10" s="34" customFormat="1" x14ac:dyDescent="0.35">
      <c r="E23465" s="35"/>
      <c r="J23465" s="41"/>
    </row>
    <row r="23466" spans="5:10" s="34" customFormat="1" x14ac:dyDescent="0.35">
      <c r="E23466" s="35"/>
      <c r="J23466" s="41"/>
    </row>
    <row r="23467" spans="5:10" s="34" customFormat="1" x14ac:dyDescent="0.35">
      <c r="E23467" s="35"/>
      <c r="J23467" s="41"/>
    </row>
    <row r="23468" spans="5:10" s="34" customFormat="1" x14ac:dyDescent="0.35">
      <c r="E23468" s="35"/>
      <c r="J23468" s="41"/>
    </row>
    <row r="23469" spans="5:10" s="34" customFormat="1" x14ac:dyDescent="0.35">
      <c r="E23469" s="35"/>
      <c r="J23469" s="41"/>
    </row>
    <row r="23470" spans="5:10" s="34" customFormat="1" x14ac:dyDescent="0.35">
      <c r="E23470" s="35"/>
      <c r="J23470" s="41"/>
    </row>
    <row r="23471" spans="5:10" s="34" customFormat="1" x14ac:dyDescent="0.35">
      <c r="E23471" s="35"/>
      <c r="J23471" s="41"/>
    </row>
    <row r="23472" spans="5:10" s="34" customFormat="1" x14ac:dyDescent="0.35">
      <c r="E23472" s="35"/>
      <c r="J23472" s="41"/>
    </row>
    <row r="23473" spans="5:10" s="34" customFormat="1" x14ac:dyDescent="0.35">
      <c r="E23473" s="35"/>
      <c r="J23473" s="41"/>
    </row>
    <row r="23474" spans="5:10" s="34" customFormat="1" x14ac:dyDescent="0.35">
      <c r="E23474" s="35"/>
      <c r="J23474" s="41"/>
    </row>
    <row r="23475" spans="5:10" s="34" customFormat="1" x14ac:dyDescent="0.35">
      <c r="E23475" s="35"/>
      <c r="J23475" s="41"/>
    </row>
    <row r="23476" spans="5:10" s="34" customFormat="1" x14ac:dyDescent="0.35">
      <c r="E23476" s="35"/>
      <c r="J23476" s="41"/>
    </row>
    <row r="23477" spans="5:10" s="34" customFormat="1" x14ac:dyDescent="0.35">
      <c r="E23477" s="35"/>
      <c r="J23477" s="41"/>
    </row>
    <row r="23478" spans="5:10" s="34" customFormat="1" x14ac:dyDescent="0.35">
      <c r="E23478" s="35"/>
      <c r="J23478" s="41"/>
    </row>
    <row r="23479" spans="5:10" s="34" customFormat="1" x14ac:dyDescent="0.35">
      <c r="E23479" s="35"/>
      <c r="J23479" s="41"/>
    </row>
    <row r="23480" spans="5:10" s="34" customFormat="1" x14ac:dyDescent="0.35">
      <c r="E23480" s="35"/>
      <c r="J23480" s="41"/>
    </row>
    <row r="23481" spans="5:10" s="34" customFormat="1" x14ac:dyDescent="0.35">
      <c r="E23481" s="35"/>
      <c r="J23481" s="41"/>
    </row>
    <row r="23482" spans="5:10" s="34" customFormat="1" x14ac:dyDescent="0.35">
      <c r="E23482" s="35"/>
      <c r="J23482" s="41"/>
    </row>
    <row r="23483" spans="5:10" s="34" customFormat="1" x14ac:dyDescent="0.35">
      <c r="E23483" s="35"/>
      <c r="J23483" s="41"/>
    </row>
    <row r="23484" spans="5:10" s="34" customFormat="1" x14ac:dyDescent="0.35">
      <c r="E23484" s="35"/>
      <c r="J23484" s="41"/>
    </row>
    <row r="23485" spans="5:10" s="34" customFormat="1" x14ac:dyDescent="0.35">
      <c r="E23485" s="35"/>
      <c r="J23485" s="41"/>
    </row>
    <row r="23486" spans="5:10" s="34" customFormat="1" x14ac:dyDescent="0.35">
      <c r="E23486" s="35"/>
      <c r="J23486" s="41"/>
    </row>
    <row r="23487" spans="5:10" s="34" customFormat="1" x14ac:dyDescent="0.35">
      <c r="E23487" s="35"/>
      <c r="J23487" s="41"/>
    </row>
    <row r="23488" spans="5:10" s="34" customFormat="1" x14ac:dyDescent="0.35">
      <c r="E23488" s="35"/>
      <c r="J23488" s="41"/>
    </row>
    <row r="23489" spans="5:10" s="34" customFormat="1" x14ac:dyDescent="0.35">
      <c r="E23489" s="35"/>
      <c r="J23489" s="41"/>
    </row>
    <row r="23490" spans="5:10" s="34" customFormat="1" x14ac:dyDescent="0.35">
      <c r="E23490" s="35"/>
      <c r="J23490" s="41"/>
    </row>
    <row r="23491" spans="5:10" s="34" customFormat="1" x14ac:dyDescent="0.35">
      <c r="E23491" s="35"/>
      <c r="J23491" s="41"/>
    </row>
    <row r="23492" spans="5:10" s="34" customFormat="1" x14ac:dyDescent="0.35">
      <c r="E23492" s="35"/>
      <c r="J23492" s="41"/>
    </row>
    <row r="23493" spans="5:10" s="34" customFormat="1" x14ac:dyDescent="0.35">
      <c r="E23493" s="35"/>
      <c r="J23493" s="41"/>
    </row>
    <row r="23494" spans="5:10" s="34" customFormat="1" x14ac:dyDescent="0.35">
      <c r="E23494" s="35"/>
      <c r="J23494" s="41"/>
    </row>
    <row r="23495" spans="5:10" s="34" customFormat="1" x14ac:dyDescent="0.35">
      <c r="E23495" s="35"/>
      <c r="J23495" s="41"/>
    </row>
    <row r="23496" spans="5:10" s="34" customFormat="1" x14ac:dyDescent="0.35">
      <c r="E23496" s="35"/>
      <c r="J23496" s="41"/>
    </row>
    <row r="23497" spans="5:10" s="34" customFormat="1" x14ac:dyDescent="0.35">
      <c r="E23497" s="35"/>
      <c r="J23497" s="41"/>
    </row>
    <row r="23498" spans="5:10" s="34" customFormat="1" x14ac:dyDescent="0.35">
      <c r="E23498" s="35"/>
      <c r="J23498" s="41"/>
    </row>
    <row r="23499" spans="5:10" s="34" customFormat="1" x14ac:dyDescent="0.35">
      <c r="E23499" s="35"/>
      <c r="J23499" s="41"/>
    </row>
    <row r="23500" spans="5:10" s="34" customFormat="1" x14ac:dyDescent="0.35">
      <c r="E23500" s="35"/>
      <c r="J23500" s="41"/>
    </row>
    <row r="23501" spans="5:10" s="34" customFormat="1" x14ac:dyDescent="0.35">
      <c r="E23501" s="35"/>
      <c r="J23501" s="41"/>
    </row>
    <row r="23502" spans="5:10" s="34" customFormat="1" x14ac:dyDescent="0.35">
      <c r="E23502" s="35"/>
      <c r="J23502" s="41"/>
    </row>
    <row r="23503" spans="5:10" s="34" customFormat="1" x14ac:dyDescent="0.35">
      <c r="E23503" s="35"/>
      <c r="J23503" s="41"/>
    </row>
    <row r="23504" spans="5:10" s="34" customFormat="1" x14ac:dyDescent="0.35">
      <c r="E23504" s="35"/>
      <c r="J23504" s="41"/>
    </row>
    <row r="23505" spans="5:10" s="34" customFormat="1" x14ac:dyDescent="0.35">
      <c r="E23505" s="35"/>
      <c r="J23505" s="41"/>
    </row>
    <row r="23506" spans="5:10" s="34" customFormat="1" x14ac:dyDescent="0.35">
      <c r="E23506" s="35"/>
      <c r="J23506" s="41"/>
    </row>
    <row r="23507" spans="5:10" s="34" customFormat="1" x14ac:dyDescent="0.35">
      <c r="E23507" s="35"/>
      <c r="J23507" s="41"/>
    </row>
    <row r="23508" spans="5:10" s="34" customFormat="1" x14ac:dyDescent="0.35">
      <c r="E23508" s="35"/>
      <c r="J23508" s="41"/>
    </row>
    <row r="23509" spans="5:10" s="34" customFormat="1" x14ac:dyDescent="0.35">
      <c r="E23509" s="35"/>
      <c r="J23509" s="41"/>
    </row>
    <row r="23510" spans="5:10" s="34" customFormat="1" x14ac:dyDescent="0.35">
      <c r="E23510" s="35"/>
      <c r="J23510" s="41"/>
    </row>
    <row r="23511" spans="5:10" s="34" customFormat="1" x14ac:dyDescent="0.35">
      <c r="E23511" s="35"/>
      <c r="J23511" s="41"/>
    </row>
    <row r="23512" spans="5:10" s="34" customFormat="1" x14ac:dyDescent="0.35">
      <c r="E23512" s="35"/>
      <c r="J23512" s="41"/>
    </row>
    <row r="23513" spans="5:10" s="34" customFormat="1" x14ac:dyDescent="0.35">
      <c r="E23513" s="35"/>
      <c r="J23513" s="41"/>
    </row>
    <row r="23514" spans="5:10" s="34" customFormat="1" x14ac:dyDescent="0.35">
      <c r="E23514" s="35"/>
      <c r="J23514" s="41"/>
    </row>
    <row r="23515" spans="5:10" s="34" customFormat="1" x14ac:dyDescent="0.35">
      <c r="E23515" s="35"/>
      <c r="J23515" s="41"/>
    </row>
    <row r="23516" spans="5:10" s="34" customFormat="1" x14ac:dyDescent="0.35">
      <c r="E23516" s="35"/>
      <c r="J23516" s="41"/>
    </row>
    <row r="23517" spans="5:10" s="34" customFormat="1" x14ac:dyDescent="0.35">
      <c r="E23517" s="35"/>
      <c r="J23517" s="41"/>
    </row>
    <row r="23518" spans="5:10" s="34" customFormat="1" x14ac:dyDescent="0.35">
      <c r="E23518" s="35"/>
      <c r="J23518" s="41"/>
    </row>
    <row r="23519" spans="5:10" s="34" customFormat="1" x14ac:dyDescent="0.35">
      <c r="E23519" s="35"/>
      <c r="J23519" s="41"/>
    </row>
    <row r="23520" spans="5:10" s="34" customFormat="1" x14ac:dyDescent="0.35">
      <c r="E23520" s="35"/>
      <c r="J23520" s="41"/>
    </row>
    <row r="23521" spans="5:10" s="34" customFormat="1" x14ac:dyDescent="0.35">
      <c r="E23521" s="35"/>
      <c r="J23521" s="41"/>
    </row>
    <row r="23522" spans="5:10" s="34" customFormat="1" x14ac:dyDescent="0.35">
      <c r="E23522" s="35"/>
      <c r="J23522" s="41"/>
    </row>
    <row r="23523" spans="5:10" s="34" customFormat="1" x14ac:dyDescent="0.35">
      <c r="E23523" s="35"/>
      <c r="J23523" s="41"/>
    </row>
    <row r="23524" spans="5:10" s="34" customFormat="1" x14ac:dyDescent="0.35">
      <c r="E23524" s="35"/>
      <c r="J23524" s="41"/>
    </row>
    <row r="23525" spans="5:10" s="34" customFormat="1" x14ac:dyDescent="0.35">
      <c r="E23525" s="35"/>
      <c r="J23525" s="41"/>
    </row>
    <row r="23526" spans="5:10" s="34" customFormat="1" x14ac:dyDescent="0.35">
      <c r="E23526" s="35"/>
      <c r="J23526" s="41"/>
    </row>
    <row r="23527" spans="5:10" s="34" customFormat="1" x14ac:dyDescent="0.35">
      <c r="E23527" s="35"/>
      <c r="J23527" s="41"/>
    </row>
    <row r="23528" spans="5:10" s="34" customFormat="1" x14ac:dyDescent="0.35">
      <c r="E23528" s="35"/>
      <c r="J23528" s="41"/>
    </row>
    <row r="23529" spans="5:10" s="34" customFormat="1" x14ac:dyDescent="0.35">
      <c r="E23529" s="35"/>
      <c r="J23529" s="41"/>
    </row>
    <row r="23530" spans="5:10" s="34" customFormat="1" x14ac:dyDescent="0.35">
      <c r="E23530" s="35"/>
      <c r="J23530" s="41"/>
    </row>
    <row r="23531" spans="5:10" s="34" customFormat="1" x14ac:dyDescent="0.35">
      <c r="E23531" s="35"/>
      <c r="J23531" s="41"/>
    </row>
    <row r="23532" spans="5:10" s="34" customFormat="1" x14ac:dyDescent="0.35">
      <c r="E23532" s="35"/>
      <c r="J23532" s="41"/>
    </row>
    <row r="23533" spans="5:10" s="34" customFormat="1" x14ac:dyDescent="0.35">
      <c r="E23533" s="35"/>
      <c r="J23533" s="41"/>
    </row>
    <row r="23534" spans="5:10" s="34" customFormat="1" x14ac:dyDescent="0.35">
      <c r="E23534" s="35"/>
      <c r="J23534" s="41"/>
    </row>
    <row r="23535" spans="5:10" s="34" customFormat="1" x14ac:dyDescent="0.35">
      <c r="E23535" s="35"/>
      <c r="J23535" s="41"/>
    </row>
    <row r="23536" spans="5:10" s="34" customFormat="1" x14ac:dyDescent="0.35">
      <c r="E23536" s="35"/>
      <c r="J23536" s="41"/>
    </row>
    <row r="23537" spans="5:10" s="34" customFormat="1" x14ac:dyDescent="0.35">
      <c r="E23537" s="35"/>
      <c r="J23537" s="41"/>
    </row>
    <row r="23538" spans="5:10" s="34" customFormat="1" x14ac:dyDescent="0.35">
      <c r="E23538" s="35"/>
      <c r="J23538" s="41"/>
    </row>
    <row r="23539" spans="5:10" s="34" customFormat="1" x14ac:dyDescent="0.35">
      <c r="E23539" s="35"/>
      <c r="J23539" s="41"/>
    </row>
    <row r="23540" spans="5:10" s="34" customFormat="1" x14ac:dyDescent="0.35">
      <c r="E23540" s="35"/>
      <c r="J23540" s="41"/>
    </row>
    <row r="23541" spans="5:10" s="34" customFormat="1" x14ac:dyDescent="0.35">
      <c r="E23541" s="35"/>
      <c r="J23541" s="41"/>
    </row>
    <row r="23542" spans="5:10" s="34" customFormat="1" x14ac:dyDescent="0.35">
      <c r="E23542" s="35"/>
      <c r="J23542" s="41"/>
    </row>
    <row r="23543" spans="5:10" s="34" customFormat="1" x14ac:dyDescent="0.35">
      <c r="E23543" s="35"/>
      <c r="J23543" s="41"/>
    </row>
    <row r="23544" spans="5:10" s="34" customFormat="1" x14ac:dyDescent="0.35">
      <c r="E23544" s="35"/>
      <c r="J23544" s="41"/>
    </row>
    <row r="23545" spans="5:10" s="34" customFormat="1" x14ac:dyDescent="0.35">
      <c r="E23545" s="35"/>
      <c r="J23545" s="41"/>
    </row>
    <row r="23546" spans="5:10" s="34" customFormat="1" x14ac:dyDescent="0.35">
      <c r="E23546" s="35"/>
      <c r="J23546" s="41"/>
    </row>
    <row r="23547" spans="5:10" s="34" customFormat="1" x14ac:dyDescent="0.35">
      <c r="E23547" s="35"/>
      <c r="J23547" s="41"/>
    </row>
    <row r="23548" spans="5:10" s="34" customFormat="1" x14ac:dyDescent="0.35">
      <c r="E23548" s="35"/>
      <c r="J23548" s="41"/>
    </row>
    <row r="23549" spans="5:10" s="34" customFormat="1" x14ac:dyDescent="0.35">
      <c r="E23549" s="35"/>
      <c r="J23549" s="41"/>
    </row>
    <row r="23550" spans="5:10" s="34" customFormat="1" x14ac:dyDescent="0.35">
      <c r="E23550" s="35"/>
      <c r="J23550" s="41"/>
    </row>
    <row r="23551" spans="5:10" s="34" customFormat="1" x14ac:dyDescent="0.35">
      <c r="E23551" s="35"/>
      <c r="J23551" s="41"/>
    </row>
    <row r="23552" spans="5:10" s="34" customFormat="1" x14ac:dyDescent="0.35">
      <c r="E23552" s="35"/>
      <c r="J23552" s="41"/>
    </row>
    <row r="23553" spans="5:10" s="34" customFormat="1" x14ac:dyDescent="0.35">
      <c r="E23553" s="35"/>
      <c r="J23553" s="41"/>
    </row>
    <row r="23554" spans="5:10" s="34" customFormat="1" x14ac:dyDescent="0.35">
      <c r="E23554" s="35"/>
      <c r="J23554" s="41"/>
    </row>
    <row r="23555" spans="5:10" s="34" customFormat="1" x14ac:dyDescent="0.35">
      <c r="E23555" s="35"/>
      <c r="J23555" s="41"/>
    </row>
    <row r="23556" spans="5:10" s="34" customFormat="1" x14ac:dyDescent="0.35">
      <c r="E23556" s="35"/>
      <c r="J23556" s="41"/>
    </row>
    <row r="23557" spans="5:10" s="34" customFormat="1" x14ac:dyDescent="0.35">
      <c r="E23557" s="35"/>
      <c r="J23557" s="41"/>
    </row>
    <row r="23558" spans="5:10" s="34" customFormat="1" x14ac:dyDescent="0.35">
      <c r="E23558" s="35"/>
      <c r="J23558" s="41"/>
    </row>
    <row r="23559" spans="5:10" s="34" customFormat="1" x14ac:dyDescent="0.35">
      <c r="E23559" s="35"/>
      <c r="J23559" s="41"/>
    </row>
    <row r="23560" spans="5:10" s="34" customFormat="1" x14ac:dyDescent="0.35">
      <c r="E23560" s="35"/>
      <c r="J23560" s="41"/>
    </row>
    <row r="23561" spans="5:10" s="34" customFormat="1" x14ac:dyDescent="0.35">
      <c r="E23561" s="35"/>
      <c r="J23561" s="41"/>
    </row>
    <row r="23562" spans="5:10" s="34" customFormat="1" x14ac:dyDescent="0.35">
      <c r="E23562" s="35"/>
      <c r="J23562" s="41"/>
    </row>
    <row r="23563" spans="5:10" s="34" customFormat="1" x14ac:dyDescent="0.35">
      <c r="E23563" s="35"/>
      <c r="J23563" s="41"/>
    </row>
    <row r="23564" spans="5:10" s="34" customFormat="1" x14ac:dyDescent="0.35">
      <c r="E23564" s="35"/>
      <c r="J23564" s="41"/>
    </row>
    <row r="23565" spans="5:10" s="34" customFormat="1" x14ac:dyDescent="0.35">
      <c r="E23565" s="35"/>
      <c r="J23565" s="41"/>
    </row>
    <row r="23566" spans="5:10" s="34" customFormat="1" x14ac:dyDescent="0.35">
      <c r="E23566" s="35"/>
      <c r="J23566" s="41"/>
    </row>
    <row r="23567" spans="5:10" s="34" customFormat="1" x14ac:dyDescent="0.35">
      <c r="E23567" s="35"/>
      <c r="J23567" s="41"/>
    </row>
    <row r="23568" spans="5:10" s="34" customFormat="1" x14ac:dyDescent="0.35">
      <c r="E23568" s="35"/>
      <c r="J23568" s="41"/>
    </row>
    <row r="23569" spans="5:10" s="34" customFormat="1" x14ac:dyDescent="0.35">
      <c r="E23569" s="35"/>
      <c r="J23569" s="41"/>
    </row>
    <row r="23570" spans="5:10" s="34" customFormat="1" x14ac:dyDescent="0.35">
      <c r="E23570" s="35"/>
      <c r="J23570" s="41"/>
    </row>
    <row r="23571" spans="5:10" s="34" customFormat="1" x14ac:dyDescent="0.35">
      <c r="E23571" s="35"/>
      <c r="J23571" s="41"/>
    </row>
    <row r="23572" spans="5:10" s="34" customFormat="1" x14ac:dyDescent="0.35">
      <c r="E23572" s="35"/>
      <c r="J23572" s="41"/>
    </row>
    <row r="23573" spans="5:10" s="34" customFormat="1" x14ac:dyDescent="0.35">
      <c r="E23573" s="35"/>
      <c r="J23573" s="41"/>
    </row>
    <row r="23574" spans="5:10" s="34" customFormat="1" x14ac:dyDescent="0.35">
      <c r="E23574" s="35"/>
      <c r="J23574" s="41"/>
    </row>
    <row r="23575" spans="5:10" s="34" customFormat="1" x14ac:dyDescent="0.35">
      <c r="E23575" s="35"/>
      <c r="J23575" s="41"/>
    </row>
    <row r="23576" spans="5:10" s="34" customFormat="1" x14ac:dyDescent="0.35">
      <c r="E23576" s="35"/>
      <c r="J23576" s="41"/>
    </row>
    <row r="23577" spans="5:10" s="34" customFormat="1" x14ac:dyDescent="0.35">
      <c r="E23577" s="35"/>
      <c r="J23577" s="41"/>
    </row>
    <row r="23578" spans="5:10" s="34" customFormat="1" x14ac:dyDescent="0.35">
      <c r="E23578" s="35"/>
      <c r="J23578" s="41"/>
    </row>
    <row r="23579" spans="5:10" s="34" customFormat="1" x14ac:dyDescent="0.35">
      <c r="E23579" s="35"/>
      <c r="J23579" s="41"/>
    </row>
    <row r="23580" spans="5:10" s="34" customFormat="1" x14ac:dyDescent="0.35">
      <c r="E23580" s="35"/>
      <c r="J23580" s="41"/>
    </row>
    <row r="23581" spans="5:10" s="34" customFormat="1" x14ac:dyDescent="0.35">
      <c r="E23581" s="35"/>
      <c r="J23581" s="41"/>
    </row>
    <row r="23582" spans="5:10" s="34" customFormat="1" x14ac:dyDescent="0.35">
      <c r="E23582" s="35"/>
      <c r="J23582" s="41"/>
    </row>
    <row r="23583" spans="5:10" s="34" customFormat="1" x14ac:dyDescent="0.35">
      <c r="E23583" s="35"/>
      <c r="J23583" s="41"/>
    </row>
    <row r="23584" spans="5:10" s="34" customFormat="1" x14ac:dyDescent="0.35">
      <c r="E23584" s="35"/>
      <c r="J23584" s="41"/>
    </row>
    <row r="23585" spans="5:10" s="34" customFormat="1" x14ac:dyDescent="0.35">
      <c r="E23585" s="35"/>
      <c r="J23585" s="41"/>
    </row>
    <row r="23586" spans="5:10" s="34" customFormat="1" x14ac:dyDescent="0.35">
      <c r="E23586" s="35"/>
      <c r="J23586" s="41"/>
    </row>
    <row r="23587" spans="5:10" s="34" customFormat="1" x14ac:dyDescent="0.35">
      <c r="E23587" s="35"/>
      <c r="J23587" s="41"/>
    </row>
    <row r="23588" spans="5:10" s="34" customFormat="1" x14ac:dyDescent="0.35">
      <c r="E23588" s="35"/>
      <c r="J23588" s="41"/>
    </row>
    <row r="23589" spans="5:10" s="34" customFormat="1" x14ac:dyDescent="0.35">
      <c r="E23589" s="35"/>
      <c r="J23589" s="41"/>
    </row>
    <row r="23590" spans="5:10" s="34" customFormat="1" x14ac:dyDescent="0.35">
      <c r="E23590" s="35"/>
      <c r="J23590" s="41"/>
    </row>
    <row r="23591" spans="5:10" s="34" customFormat="1" x14ac:dyDescent="0.35">
      <c r="E23591" s="35"/>
      <c r="J23591" s="41"/>
    </row>
    <row r="23592" spans="5:10" s="34" customFormat="1" x14ac:dyDescent="0.35">
      <c r="E23592" s="35"/>
      <c r="J23592" s="41"/>
    </row>
    <row r="23593" spans="5:10" s="34" customFormat="1" x14ac:dyDescent="0.35">
      <c r="E23593" s="35"/>
      <c r="J23593" s="41"/>
    </row>
    <row r="23594" spans="5:10" s="34" customFormat="1" x14ac:dyDescent="0.35">
      <c r="E23594" s="35"/>
      <c r="J23594" s="41"/>
    </row>
    <row r="23595" spans="5:10" s="34" customFormat="1" x14ac:dyDescent="0.35">
      <c r="E23595" s="35"/>
      <c r="J23595" s="41"/>
    </row>
    <row r="23596" spans="5:10" s="34" customFormat="1" x14ac:dyDescent="0.35">
      <c r="E23596" s="35"/>
      <c r="J23596" s="41"/>
    </row>
    <row r="23597" spans="5:10" s="34" customFormat="1" x14ac:dyDescent="0.35">
      <c r="E23597" s="35"/>
      <c r="J23597" s="41"/>
    </row>
    <row r="23598" spans="5:10" s="34" customFormat="1" x14ac:dyDescent="0.35">
      <c r="E23598" s="35"/>
      <c r="J23598" s="41"/>
    </row>
    <row r="23599" spans="5:10" s="34" customFormat="1" x14ac:dyDescent="0.35">
      <c r="E23599" s="35"/>
      <c r="J23599" s="41"/>
    </row>
    <row r="23600" spans="5:10" s="34" customFormat="1" x14ac:dyDescent="0.35">
      <c r="E23600" s="35"/>
      <c r="J23600" s="41"/>
    </row>
    <row r="23601" spans="5:10" s="34" customFormat="1" x14ac:dyDescent="0.35">
      <c r="E23601" s="35"/>
      <c r="J23601" s="41"/>
    </row>
    <row r="23602" spans="5:10" s="34" customFormat="1" x14ac:dyDescent="0.35">
      <c r="E23602" s="35"/>
      <c r="J23602" s="41"/>
    </row>
    <row r="23603" spans="5:10" s="34" customFormat="1" x14ac:dyDescent="0.35">
      <c r="E23603" s="35"/>
      <c r="J23603" s="41"/>
    </row>
    <row r="23604" spans="5:10" s="34" customFormat="1" x14ac:dyDescent="0.35">
      <c r="E23604" s="35"/>
      <c r="J23604" s="41"/>
    </row>
    <row r="23605" spans="5:10" s="34" customFormat="1" x14ac:dyDescent="0.35">
      <c r="E23605" s="35"/>
      <c r="J23605" s="41"/>
    </row>
    <row r="23606" spans="5:10" s="34" customFormat="1" x14ac:dyDescent="0.35">
      <c r="E23606" s="35"/>
      <c r="J23606" s="41"/>
    </row>
    <row r="23607" spans="5:10" s="34" customFormat="1" x14ac:dyDescent="0.35">
      <c r="E23607" s="35"/>
      <c r="J23607" s="41"/>
    </row>
    <row r="23608" spans="5:10" s="34" customFormat="1" x14ac:dyDescent="0.35">
      <c r="E23608" s="35"/>
      <c r="J23608" s="41"/>
    </row>
    <row r="23609" spans="5:10" s="34" customFormat="1" x14ac:dyDescent="0.35">
      <c r="E23609" s="35"/>
      <c r="J23609" s="41"/>
    </row>
    <row r="23610" spans="5:10" s="34" customFormat="1" x14ac:dyDescent="0.35">
      <c r="E23610" s="35"/>
      <c r="J23610" s="41"/>
    </row>
    <row r="23611" spans="5:10" s="34" customFormat="1" x14ac:dyDescent="0.35">
      <c r="E23611" s="35"/>
      <c r="J23611" s="41"/>
    </row>
    <row r="23612" spans="5:10" s="34" customFormat="1" x14ac:dyDescent="0.35">
      <c r="E23612" s="35"/>
      <c r="J23612" s="41"/>
    </row>
    <row r="23613" spans="5:10" s="34" customFormat="1" x14ac:dyDescent="0.35">
      <c r="E23613" s="35"/>
      <c r="J23613" s="41"/>
    </row>
    <row r="23614" spans="5:10" s="34" customFormat="1" x14ac:dyDescent="0.35">
      <c r="E23614" s="35"/>
      <c r="J23614" s="41"/>
    </row>
    <row r="23615" spans="5:10" s="34" customFormat="1" x14ac:dyDescent="0.35">
      <c r="E23615" s="35"/>
      <c r="J23615" s="41"/>
    </row>
    <row r="23616" spans="5:10" s="34" customFormat="1" x14ac:dyDescent="0.35">
      <c r="E23616" s="35"/>
      <c r="J23616" s="41"/>
    </row>
    <row r="23617" spans="5:10" s="34" customFormat="1" x14ac:dyDescent="0.35">
      <c r="E23617" s="35"/>
      <c r="J23617" s="41"/>
    </row>
    <row r="23618" spans="5:10" s="34" customFormat="1" x14ac:dyDescent="0.35">
      <c r="E23618" s="35"/>
      <c r="J23618" s="41"/>
    </row>
    <row r="23619" spans="5:10" s="34" customFormat="1" x14ac:dyDescent="0.35">
      <c r="E23619" s="35"/>
      <c r="J23619" s="41"/>
    </row>
    <row r="23620" spans="5:10" s="34" customFormat="1" x14ac:dyDescent="0.35">
      <c r="E23620" s="35"/>
      <c r="J23620" s="41"/>
    </row>
    <row r="23621" spans="5:10" s="34" customFormat="1" x14ac:dyDescent="0.35">
      <c r="E23621" s="35"/>
      <c r="J23621" s="41"/>
    </row>
    <row r="23622" spans="5:10" s="34" customFormat="1" x14ac:dyDescent="0.35">
      <c r="E23622" s="35"/>
      <c r="J23622" s="41"/>
    </row>
    <row r="23623" spans="5:10" s="34" customFormat="1" x14ac:dyDescent="0.35">
      <c r="E23623" s="35"/>
      <c r="J23623" s="41"/>
    </row>
    <row r="23624" spans="5:10" s="34" customFormat="1" x14ac:dyDescent="0.35">
      <c r="E23624" s="35"/>
      <c r="J23624" s="41"/>
    </row>
    <row r="23625" spans="5:10" s="34" customFormat="1" x14ac:dyDescent="0.35">
      <c r="E23625" s="35"/>
      <c r="J23625" s="41"/>
    </row>
    <row r="23626" spans="5:10" s="34" customFormat="1" x14ac:dyDescent="0.35">
      <c r="E23626" s="35"/>
      <c r="J23626" s="41"/>
    </row>
    <row r="23627" spans="5:10" s="34" customFormat="1" x14ac:dyDescent="0.35">
      <c r="E23627" s="35"/>
      <c r="J23627" s="41"/>
    </row>
    <row r="23628" spans="5:10" s="34" customFormat="1" x14ac:dyDescent="0.35">
      <c r="E23628" s="35"/>
      <c r="J23628" s="41"/>
    </row>
    <row r="23629" spans="5:10" s="34" customFormat="1" x14ac:dyDescent="0.35">
      <c r="E23629" s="35"/>
      <c r="J23629" s="41"/>
    </row>
    <row r="23630" spans="5:10" s="34" customFormat="1" x14ac:dyDescent="0.35">
      <c r="E23630" s="35"/>
      <c r="J23630" s="41"/>
    </row>
    <row r="23631" spans="5:10" s="34" customFormat="1" x14ac:dyDescent="0.35">
      <c r="E23631" s="35"/>
      <c r="J23631" s="41"/>
    </row>
    <row r="23632" spans="5:10" s="34" customFormat="1" x14ac:dyDescent="0.35">
      <c r="E23632" s="35"/>
      <c r="J23632" s="41"/>
    </row>
    <row r="23633" spans="5:10" s="34" customFormat="1" x14ac:dyDescent="0.35">
      <c r="E23633" s="35"/>
      <c r="J23633" s="41"/>
    </row>
    <row r="23634" spans="5:10" s="34" customFormat="1" x14ac:dyDescent="0.35">
      <c r="E23634" s="35"/>
      <c r="J23634" s="41"/>
    </row>
    <row r="23635" spans="5:10" s="34" customFormat="1" x14ac:dyDescent="0.35">
      <c r="E23635" s="35"/>
      <c r="J23635" s="41"/>
    </row>
    <row r="23636" spans="5:10" s="34" customFormat="1" x14ac:dyDescent="0.35">
      <c r="E23636" s="35"/>
      <c r="J23636" s="41"/>
    </row>
    <row r="23637" spans="5:10" s="34" customFormat="1" x14ac:dyDescent="0.35">
      <c r="E23637" s="35"/>
      <c r="J23637" s="41"/>
    </row>
    <row r="23638" spans="5:10" s="34" customFormat="1" x14ac:dyDescent="0.35">
      <c r="E23638" s="35"/>
      <c r="J23638" s="41"/>
    </row>
    <row r="23639" spans="5:10" s="34" customFormat="1" x14ac:dyDescent="0.35">
      <c r="E23639" s="35"/>
      <c r="J23639" s="41"/>
    </row>
    <row r="23640" spans="5:10" s="34" customFormat="1" x14ac:dyDescent="0.35">
      <c r="E23640" s="35"/>
      <c r="J23640" s="41"/>
    </row>
    <row r="23641" spans="5:10" s="34" customFormat="1" x14ac:dyDescent="0.35">
      <c r="E23641" s="35"/>
      <c r="J23641" s="41"/>
    </row>
    <row r="23642" spans="5:10" s="34" customFormat="1" x14ac:dyDescent="0.35">
      <c r="E23642" s="35"/>
      <c r="J23642" s="41"/>
    </row>
    <row r="23643" spans="5:10" s="34" customFormat="1" x14ac:dyDescent="0.35">
      <c r="E23643" s="35"/>
      <c r="J23643" s="41"/>
    </row>
    <row r="23644" spans="5:10" s="34" customFormat="1" x14ac:dyDescent="0.35">
      <c r="E23644" s="35"/>
      <c r="J23644" s="41"/>
    </row>
    <row r="23645" spans="5:10" s="34" customFormat="1" x14ac:dyDescent="0.35">
      <c r="E23645" s="35"/>
      <c r="J23645" s="41"/>
    </row>
    <row r="23646" spans="5:10" s="34" customFormat="1" x14ac:dyDescent="0.35">
      <c r="E23646" s="35"/>
      <c r="J23646" s="41"/>
    </row>
    <row r="23647" spans="5:10" s="34" customFormat="1" x14ac:dyDescent="0.35">
      <c r="E23647" s="35"/>
      <c r="J23647" s="41"/>
    </row>
    <row r="23648" spans="5:10" s="34" customFormat="1" x14ac:dyDescent="0.35">
      <c r="E23648" s="35"/>
      <c r="J23648" s="41"/>
    </row>
    <row r="23649" spans="5:10" s="34" customFormat="1" x14ac:dyDescent="0.35">
      <c r="E23649" s="35"/>
      <c r="J23649" s="41"/>
    </row>
    <row r="23650" spans="5:10" s="34" customFormat="1" x14ac:dyDescent="0.35">
      <c r="E23650" s="35"/>
      <c r="J23650" s="41"/>
    </row>
    <row r="23651" spans="5:10" s="34" customFormat="1" x14ac:dyDescent="0.35">
      <c r="E23651" s="35"/>
      <c r="J23651" s="41"/>
    </row>
    <row r="23652" spans="5:10" s="34" customFormat="1" x14ac:dyDescent="0.35">
      <c r="E23652" s="35"/>
      <c r="J23652" s="41"/>
    </row>
    <row r="23653" spans="5:10" s="34" customFormat="1" x14ac:dyDescent="0.35">
      <c r="E23653" s="35"/>
      <c r="J23653" s="41"/>
    </row>
    <row r="23654" spans="5:10" s="34" customFormat="1" x14ac:dyDescent="0.35">
      <c r="E23654" s="35"/>
      <c r="J23654" s="41"/>
    </row>
    <row r="23655" spans="5:10" s="34" customFormat="1" x14ac:dyDescent="0.35">
      <c r="E23655" s="35"/>
      <c r="J23655" s="41"/>
    </row>
    <row r="23656" spans="5:10" s="34" customFormat="1" x14ac:dyDescent="0.35">
      <c r="E23656" s="35"/>
      <c r="J23656" s="41"/>
    </row>
    <row r="23657" spans="5:10" s="34" customFormat="1" x14ac:dyDescent="0.35">
      <c r="E23657" s="35"/>
      <c r="J23657" s="41"/>
    </row>
    <row r="23658" spans="5:10" s="34" customFormat="1" x14ac:dyDescent="0.35">
      <c r="E23658" s="35"/>
      <c r="J23658" s="41"/>
    </row>
    <row r="23659" spans="5:10" s="34" customFormat="1" x14ac:dyDescent="0.35">
      <c r="E23659" s="35"/>
      <c r="J23659" s="41"/>
    </row>
    <row r="23660" spans="5:10" s="34" customFormat="1" x14ac:dyDescent="0.35">
      <c r="E23660" s="35"/>
      <c r="J23660" s="41"/>
    </row>
    <row r="23661" spans="5:10" s="34" customFormat="1" x14ac:dyDescent="0.35">
      <c r="E23661" s="35"/>
      <c r="J23661" s="41"/>
    </row>
    <row r="23662" spans="5:10" s="34" customFormat="1" x14ac:dyDescent="0.35">
      <c r="E23662" s="35"/>
      <c r="J23662" s="41"/>
    </row>
    <row r="23663" spans="5:10" s="34" customFormat="1" x14ac:dyDescent="0.35">
      <c r="E23663" s="35"/>
      <c r="J23663" s="41"/>
    </row>
    <row r="23664" spans="5:10" s="34" customFormat="1" x14ac:dyDescent="0.35">
      <c r="E23664" s="35"/>
      <c r="J23664" s="41"/>
    </row>
    <row r="23665" spans="5:10" s="34" customFormat="1" x14ac:dyDescent="0.35">
      <c r="E23665" s="35"/>
      <c r="J23665" s="41"/>
    </row>
    <row r="23666" spans="5:10" s="34" customFormat="1" x14ac:dyDescent="0.35">
      <c r="E23666" s="35"/>
      <c r="J23666" s="41"/>
    </row>
    <row r="23667" spans="5:10" s="34" customFormat="1" x14ac:dyDescent="0.35">
      <c r="E23667" s="35"/>
      <c r="J23667" s="41"/>
    </row>
    <row r="23668" spans="5:10" s="34" customFormat="1" x14ac:dyDescent="0.35">
      <c r="E23668" s="35"/>
      <c r="J23668" s="41"/>
    </row>
    <row r="23669" spans="5:10" s="34" customFormat="1" x14ac:dyDescent="0.35">
      <c r="E23669" s="35"/>
      <c r="J23669" s="41"/>
    </row>
    <row r="23670" spans="5:10" s="34" customFormat="1" x14ac:dyDescent="0.35">
      <c r="E23670" s="35"/>
      <c r="J23670" s="41"/>
    </row>
    <row r="23671" spans="5:10" s="34" customFormat="1" x14ac:dyDescent="0.35">
      <c r="E23671" s="35"/>
      <c r="J23671" s="41"/>
    </row>
    <row r="23672" spans="5:10" s="34" customFormat="1" x14ac:dyDescent="0.35">
      <c r="E23672" s="35"/>
      <c r="J23672" s="41"/>
    </row>
    <row r="23673" spans="5:10" s="34" customFormat="1" x14ac:dyDescent="0.35">
      <c r="E23673" s="35"/>
      <c r="J23673" s="41"/>
    </row>
    <row r="23674" spans="5:10" s="34" customFormat="1" x14ac:dyDescent="0.35">
      <c r="E23674" s="35"/>
      <c r="J23674" s="41"/>
    </row>
    <row r="23675" spans="5:10" s="34" customFormat="1" x14ac:dyDescent="0.35">
      <c r="E23675" s="35"/>
      <c r="J23675" s="41"/>
    </row>
    <row r="23676" spans="5:10" s="34" customFormat="1" x14ac:dyDescent="0.35">
      <c r="E23676" s="35"/>
      <c r="J23676" s="41"/>
    </row>
    <row r="23677" spans="5:10" s="34" customFormat="1" x14ac:dyDescent="0.35">
      <c r="E23677" s="35"/>
      <c r="J23677" s="41"/>
    </row>
    <row r="23678" spans="5:10" s="34" customFormat="1" x14ac:dyDescent="0.35">
      <c r="E23678" s="35"/>
      <c r="J23678" s="41"/>
    </row>
    <row r="23679" spans="5:10" s="34" customFormat="1" x14ac:dyDescent="0.35">
      <c r="E23679" s="35"/>
      <c r="J23679" s="41"/>
    </row>
    <row r="23680" spans="5:10" s="34" customFormat="1" x14ac:dyDescent="0.35">
      <c r="E23680" s="35"/>
      <c r="J23680" s="41"/>
    </row>
    <row r="23681" spans="5:10" s="34" customFormat="1" x14ac:dyDescent="0.35">
      <c r="E23681" s="35"/>
      <c r="J23681" s="41"/>
    </row>
    <row r="23682" spans="5:10" s="34" customFormat="1" x14ac:dyDescent="0.35">
      <c r="E23682" s="35"/>
      <c r="J23682" s="41"/>
    </row>
    <row r="23683" spans="5:10" s="34" customFormat="1" x14ac:dyDescent="0.35">
      <c r="E23683" s="35"/>
      <c r="J23683" s="41"/>
    </row>
    <row r="23684" spans="5:10" s="34" customFormat="1" x14ac:dyDescent="0.35">
      <c r="E23684" s="35"/>
      <c r="J23684" s="41"/>
    </row>
    <row r="23685" spans="5:10" s="34" customFormat="1" x14ac:dyDescent="0.35">
      <c r="E23685" s="35"/>
      <c r="J23685" s="41"/>
    </row>
    <row r="23686" spans="5:10" s="34" customFormat="1" x14ac:dyDescent="0.35">
      <c r="E23686" s="35"/>
      <c r="J23686" s="41"/>
    </row>
    <row r="23687" spans="5:10" s="34" customFormat="1" x14ac:dyDescent="0.35">
      <c r="E23687" s="35"/>
      <c r="J23687" s="41"/>
    </row>
    <row r="23688" spans="5:10" s="34" customFormat="1" x14ac:dyDescent="0.35">
      <c r="E23688" s="35"/>
      <c r="J23688" s="41"/>
    </row>
    <row r="23689" spans="5:10" s="34" customFormat="1" x14ac:dyDescent="0.35">
      <c r="E23689" s="35"/>
      <c r="J23689" s="41"/>
    </row>
    <row r="23690" spans="5:10" s="34" customFormat="1" x14ac:dyDescent="0.35">
      <c r="E23690" s="35"/>
      <c r="J23690" s="41"/>
    </row>
    <row r="23691" spans="5:10" s="34" customFormat="1" x14ac:dyDescent="0.35">
      <c r="E23691" s="35"/>
      <c r="J23691" s="41"/>
    </row>
    <row r="23692" spans="5:10" s="34" customFormat="1" x14ac:dyDescent="0.35">
      <c r="E23692" s="35"/>
      <c r="J23692" s="41"/>
    </row>
    <row r="23693" spans="5:10" s="34" customFormat="1" x14ac:dyDescent="0.35">
      <c r="E23693" s="35"/>
      <c r="J23693" s="41"/>
    </row>
    <row r="23694" spans="5:10" s="34" customFormat="1" x14ac:dyDescent="0.35">
      <c r="E23694" s="35"/>
      <c r="J23694" s="41"/>
    </row>
    <row r="23695" spans="5:10" s="34" customFormat="1" x14ac:dyDescent="0.35">
      <c r="E23695" s="35"/>
      <c r="J23695" s="41"/>
    </row>
    <row r="23696" spans="5:10" s="34" customFormat="1" x14ac:dyDescent="0.35">
      <c r="E23696" s="35"/>
      <c r="J23696" s="41"/>
    </row>
    <row r="23697" spans="5:10" s="34" customFormat="1" x14ac:dyDescent="0.35">
      <c r="E23697" s="35"/>
      <c r="J23697" s="41"/>
    </row>
    <row r="23698" spans="5:10" s="34" customFormat="1" x14ac:dyDescent="0.35">
      <c r="E23698" s="35"/>
      <c r="J23698" s="41"/>
    </row>
    <row r="23699" spans="5:10" s="34" customFormat="1" x14ac:dyDescent="0.35">
      <c r="E23699" s="35"/>
      <c r="J23699" s="41"/>
    </row>
    <row r="23700" spans="5:10" s="34" customFormat="1" x14ac:dyDescent="0.35">
      <c r="E23700" s="35"/>
      <c r="J23700" s="41"/>
    </row>
    <row r="23701" spans="5:10" s="34" customFormat="1" x14ac:dyDescent="0.35">
      <c r="E23701" s="35"/>
      <c r="J23701" s="41"/>
    </row>
    <row r="23702" spans="5:10" s="34" customFormat="1" x14ac:dyDescent="0.35">
      <c r="E23702" s="35"/>
      <c r="J23702" s="41"/>
    </row>
    <row r="23703" spans="5:10" s="34" customFormat="1" x14ac:dyDescent="0.35">
      <c r="E23703" s="35"/>
      <c r="J23703" s="41"/>
    </row>
    <row r="23704" spans="5:10" s="34" customFormat="1" x14ac:dyDescent="0.35">
      <c r="E23704" s="35"/>
      <c r="J23704" s="41"/>
    </row>
    <row r="23705" spans="5:10" s="34" customFormat="1" x14ac:dyDescent="0.35">
      <c r="E23705" s="35"/>
      <c r="J23705" s="41"/>
    </row>
    <row r="23706" spans="5:10" s="34" customFormat="1" x14ac:dyDescent="0.35">
      <c r="E23706" s="35"/>
      <c r="J23706" s="41"/>
    </row>
    <row r="23707" spans="5:10" s="34" customFormat="1" x14ac:dyDescent="0.35">
      <c r="E23707" s="35"/>
      <c r="J23707" s="41"/>
    </row>
    <row r="23708" spans="5:10" s="34" customFormat="1" x14ac:dyDescent="0.35">
      <c r="E23708" s="35"/>
      <c r="J23708" s="41"/>
    </row>
    <row r="23709" spans="5:10" s="34" customFormat="1" x14ac:dyDescent="0.35">
      <c r="E23709" s="35"/>
      <c r="J23709" s="41"/>
    </row>
    <row r="23710" spans="5:10" s="34" customFormat="1" x14ac:dyDescent="0.35">
      <c r="E23710" s="35"/>
      <c r="J23710" s="41"/>
    </row>
    <row r="23711" spans="5:10" s="34" customFormat="1" x14ac:dyDescent="0.35">
      <c r="E23711" s="35"/>
      <c r="J23711" s="41"/>
    </row>
    <row r="23712" spans="5:10" s="34" customFormat="1" x14ac:dyDescent="0.35">
      <c r="E23712" s="35"/>
      <c r="J23712" s="41"/>
    </row>
    <row r="23713" spans="5:10" s="34" customFormat="1" x14ac:dyDescent="0.35">
      <c r="E23713" s="35"/>
      <c r="J23713" s="41"/>
    </row>
    <row r="23714" spans="5:10" s="34" customFormat="1" x14ac:dyDescent="0.35">
      <c r="E23714" s="35"/>
      <c r="J23714" s="41"/>
    </row>
    <row r="23715" spans="5:10" s="34" customFormat="1" x14ac:dyDescent="0.35">
      <c r="E23715" s="35"/>
      <c r="J23715" s="41"/>
    </row>
    <row r="23716" spans="5:10" s="34" customFormat="1" x14ac:dyDescent="0.35">
      <c r="E23716" s="35"/>
      <c r="J23716" s="41"/>
    </row>
    <row r="23717" spans="5:10" s="34" customFormat="1" x14ac:dyDescent="0.35">
      <c r="E23717" s="35"/>
      <c r="J23717" s="41"/>
    </row>
    <row r="23718" spans="5:10" s="34" customFormat="1" x14ac:dyDescent="0.35">
      <c r="E23718" s="35"/>
      <c r="J23718" s="41"/>
    </row>
    <row r="23719" spans="5:10" s="34" customFormat="1" x14ac:dyDescent="0.35">
      <c r="E23719" s="35"/>
      <c r="J23719" s="41"/>
    </row>
    <row r="23720" spans="5:10" s="34" customFormat="1" x14ac:dyDescent="0.35">
      <c r="E23720" s="35"/>
      <c r="J23720" s="41"/>
    </row>
    <row r="23721" spans="5:10" s="34" customFormat="1" x14ac:dyDescent="0.35">
      <c r="E23721" s="35"/>
      <c r="J23721" s="41"/>
    </row>
    <row r="23722" spans="5:10" s="34" customFormat="1" x14ac:dyDescent="0.35">
      <c r="E23722" s="35"/>
      <c r="J23722" s="41"/>
    </row>
    <row r="23723" spans="5:10" s="34" customFormat="1" x14ac:dyDescent="0.35">
      <c r="E23723" s="35"/>
      <c r="J23723" s="41"/>
    </row>
    <row r="23724" spans="5:10" s="34" customFormat="1" x14ac:dyDescent="0.35">
      <c r="E23724" s="35"/>
      <c r="J23724" s="41"/>
    </row>
    <row r="23725" spans="5:10" s="34" customFormat="1" x14ac:dyDescent="0.35">
      <c r="E23725" s="35"/>
      <c r="J23725" s="41"/>
    </row>
    <row r="23726" spans="5:10" s="34" customFormat="1" x14ac:dyDescent="0.35">
      <c r="E23726" s="35"/>
      <c r="J23726" s="41"/>
    </row>
    <row r="23727" spans="5:10" s="34" customFormat="1" x14ac:dyDescent="0.35">
      <c r="E23727" s="35"/>
      <c r="J23727" s="41"/>
    </row>
    <row r="23728" spans="5:10" s="34" customFormat="1" x14ac:dyDescent="0.35">
      <c r="E23728" s="35"/>
      <c r="J23728" s="41"/>
    </row>
    <row r="23729" spans="5:10" s="34" customFormat="1" x14ac:dyDescent="0.35">
      <c r="E23729" s="35"/>
      <c r="J23729" s="41"/>
    </row>
    <row r="23730" spans="5:10" s="34" customFormat="1" x14ac:dyDescent="0.35">
      <c r="E23730" s="35"/>
      <c r="J23730" s="41"/>
    </row>
    <row r="23731" spans="5:10" s="34" customFormat="1" x14ac:dyDescent="0.35">
      <c r="E23731" s="35"/>
      <c r="J23731" s="41"/>
    </row>
    <row r="23732" spans="5:10" s="34" customFormat="1" x14ac:dyDescent="0.35">
      <c r="E23732" s="35"/>
      <c r="J23732" s="41"/>
    </row>
    <row r="23733" spans="5:10" s="34" customFormat="1" x14ac:dyDescent="0.35">
      <c r="E23733" s="35"/>
      <c r="J23733" s="41"/>
    </row>
    <row r="23734" spans="5:10" s="34" customFormat="1" x14ac:dyDescent="0.35">
      <c r="E23734" s="35"/>
      <c r="J23734" s="41"/>
    </row>
    <row r="23735" spans="5:10" s="34" customFormat="1" x14ac:dyDescent="0.35">
      <c r="E23735" s="35"/>
      <c r="J23735" s="41"/>
    </row>
    <row r="23736" spans="5:10" s="34" customFormat="1" x14ac:dyDescent="0.35">
      <c r="E23736" s="35"/>
      <c r="J23736" s="41"/>
    </row>
    <row r="23737" spans="5:10" s="34" customFormat="1" x14ac:dyDescent="0.35">
      <c r="E23737" s="35"/>
      <c r="J23737" s="41"/>
    </row>
    <row r="23738" spans="5:10" s="34" customFormat="1" x14ac:dyDescent="0.35">
      <c r="E23738" s="35"/>
      <c r="J23738" s="41"/>
    </row>
    <row r="23739" spans="5:10" s="34" customFormat="1" x14ac:dyDescent="0.35">
      <c r="E23739" s="35"/>
      <c r="J23739" s="41"/>
    </row>
    <row r="23740" spans="5:10" s="34" customFormat="1" x14ac:dyDescent="0.35">
      <c r="E23740" s="35"/>
      <c r="J23740" s="41"/>
    </row>
    <row r="23741" spans="5:10" s="34" customFormat="1" x14ac:dyDescent="0.35">
      <c r="E23741" s="35"/>
      <c r="J23741" s="41"/>
    </row>
    <row r="23742" spans="5:10" s="34" customFormat="1" x14ac:dyDescent="0.35">
      <c r="E23742" s="35"/>
      <c r="J23742" s="41"/>
    </row>
    <row r="23743" spans="5:10" s="34" customFormat="1" x14ac:dyDescent="0.35">
      <c r="E23743" s="35"/>
      <c r="J23743" s="41"/>
    </row>
    <row r="23744" spans="5:10" s="34" customFormat="1" x14ac:dyDescent="0.35">
      <c r="E23744" s="35"/>
      <c r="J23744" s="41"/>
    </row>
    <row r="23745" spans="5:10" s="34" customFormat="1" x14ac:dyDescent="0.35">
      <c r="E23745" s="35"/>
      <c r="J23745" s="41"/>
    </row>
    <row r="23746" spans="5:10" s="34" customFormat="1" x14ac:dyDescent="0.35">
      <c r="E23746" s="35"/>
      <c r="J23746" s="41"/>
    </row>
    <row r="23747" spans="5:10" s="34" customFormat="1" x14ac:dyDescent="0.35">
      <c r="E23747" s="35"/>
      <c r="J23747" s="41"/>
    </row>
    <row r="23748" spans="5:10" s="34" customFormat="1" x14ac:dyDescent="0.35">
      <c r="E23748" s="35"/>
      <c r="J23748" s="41"/>
    </row>
    <row r="23749" spans="5:10" s="34" customFormat="1" x14ac:dyDescent="0.35">
      <c r="E23749" s="35"/>
      <c r="J23749" s="41"/>
    </row>
    <row r="23750" spans="5:10" s="34" customFormat="1" x14ac:dyDescent="0.35">
      <c r="E23750" s="35"/>
      <c r="J23750" s="41"/>
    </row>
    <row r="23751" spans="5:10" s="34" customFormat="1" x14ac:dyDescent="0.35">
      <c r="E23751" s="35"/>
      <c r="J23751" s="41"/>
    </row>
    <row r="23752" spans="5:10" s="34" customFormat="1" x14ac:dyDescent="0.35">
      <c r="E23752" s="35"/>
      <c r="J23752" s="41"/>
    </row>
    <row r="23753" spans="5:10" s="34" customFormat="1" x14ac:dyDescent="0.35">
      <c r="E23753" s="35"/>
      <c r="J23753" s="41"/>
    </row>
    <row r="23754" spans="5:10" s="34" customFormat="1" x14ac:dyDescent="0.35">
      <c r="E23754" s="35"/>
      <c r="J23754" s="41"/>
    </row>
    <row r="23755" spans="5:10" s="34" customFormat="1" x14ac:dyDescent="0.35">
      <c r="E23755" s="35"/>
      <c r="J23755" s="41"/>
    </row>
    <row r="23756" spans="5:10" s="34" customFormat="1" x14ac:dyDescent="0.35">
      <c r="E23756" s="35"/>
      <c r="J23756" s="41"/>
    </row>
    <row r="23757" spans="5:10" s="34" customFormat="1" x14ac:dyDescent="0.35">
      <c r="E23757" s="35"/>
      <c r="J23757" s="41"/>
    </row>
    <row r="23758" spans="5:10" s="34" customFormat="1" x14ac:dyDescent="0.35">
      <c r="E23758" s="35"/>
      <c r="J23758" s="41"/>
    </row>
    <row r="23759" spans="5:10" s="34" customFormat="1" x14ac:dyDescent="0.35">
      <c r="E23759" s="35"/>
      <c r="J23759" s="41"/>
    </row>
    <row r="23760" spans="5:10" s="34" customFormat="1" x14ac:dyDescent="0.35">
      <c r="E23760" s="35"/>
      <c r="J23760" s="41"/>
    </row>
    <row r="23761" spans="5:10" s="34" customFormat="1" x14ac:dyDescent="0.35">
      <c r="E23761" s="35"/>
      <c r="J23761" s="41"/>
    </row>
    <row r="23762" spans="5:10" s="34" customFormat="1" x14ac:dyDescent="0.35">
      <c r="E23762" s="35"/>
      <c r="J23762" s="41"/>
    </row>
    <row r="23763" spans="5:10" s="34" customFormat="1" x14ac:dyDescent="0.35">
      <c r="E23763" s="35"/>
      <c r="J23763" s="41"/>
    </row>
    <row r="23764" spans="5:10" s="34" customFormat="1" x14ac:dyDescent="0.35">
      <c r="E23764" s="35"/>
      <c r="J23764" s="41"/>
    </row>
    <row r="23765" spans="5:10" s="34" customFormat="1" x14ac:dyDescent="0.35">
      <c r="E23765" s="35"/>
      <c r="J23765" s="41"/>
    </row>
    <row r="23766" spans="5:10" s="34" customFormat="1" x14ac:dyDescent="0.35">
      <c r="E23766" s="35"/>
      <c r="J23766" s="41"/>
    </row>
    <row r="23767" spans="5:10" s="34" customFormat="1" x14ac:dyDescent="0.35">
      <c r="E23767" s="35"/>
      <c r="J23767" s="41"/>
    </row>
    <row r="23768" spans="5:10" s="34" customFormat="1" x14ac:dyDescent="0.35">
      <c r="E23768" s="35"/>
      <c r="J23768" s="41"/>
    </row>
    <row r="23769" spans="5:10" s="34" customFormat="1" x14ac:dyDescent="0.35">
      <c r="E23769" s="35"/>
      <c r="J23769" s="41"/>
    </row>
    <row r="23770" spans="5:10" s="34" customFormat="1" x14ac:dyDescent="0.35">
      <c r="E23770" s="35"/>
      <c r="J23770" s="41"/>
    </row>
    <row r="23771" spans="5:10" s="34" customFormat="1" x14ac:dyDescent="0.35">
      <c r="E23771" s="35"/>
      <c r="J23771" s="41"/>
    </row>
    <row r="23772" spans="5:10" s="34" customFormat="1" x14ac:dyDescent="0.35">
      <c r="E23772" s="35"/>
      <c r="J23772" s="41"/>
    </row>
    <row r="23773" spans="5:10" s="34" customFormat="1" x14ac:dyDescent="0.35">
      <c r="E23773" s="35"/>
      <c r="J23773" s="41"/>
    </row>
    <row r="23774" spans="5:10" s="34" customFormat="1" x14ac:dyDescent="0.35">
      <c r="E23774" s="35"/>
      <c r="J23774" s="41"/>
    </row>
    <row r="23775" spans="5:10" s="34" customFormat="1" x14ac:dyDescent="0.35">
      <c r="E23775" s="35"/>
      <c r="J23775" s="41"/>
    </row>
    <row r="23776" spans="5:10" s="34" customFormat="1" x14ac:dyDescent="0.35">
      <c r="E23776" s="35"/>
      <c r="J23776" s="41"/>
    </row>
    <row r="23777" spans="5:10" s="34" customFormat="1" x14ac:dyDescent="0.35">
      <c r="E23777" s="35"/>
      <c r="J23777" s="41"/>
    </row>
    <row r="23778" spans="5:10" s="34" customFormat="1" x14ac:dyDescent="0.35">
      <c r="E23778" s="35"/>
      <c r="J23778" s="41"/>
    </row>
    <row r="23779" spans="5:10" s="34" customFormat="1" x14ac:dyDescent="0.35">
      <c r="E23779" s="35"/>
      <c r="J23779" s="41"/>
    </row>
    <row r="23780" spans="5:10" s="34" customFormat="1" x14ac:dyDescent="0.35">
      <c r="E23780" s="35"/>
      <c r="J23780" s="41"/>
    </row>
    <row r="23781" spans="5:10" s="34" customFormat="1" x14ac:dyDescent="0.35">
      <c r="E23781" s="35"/>
      <c r="J23781" s="41"/>
    </row>
    <row r="23782" spans="5:10" s="34" customFormat="1" x14ac:dyDescent="0.35">
      <c r="E23782" s="35"/>
      <c r="J23782" s="41"/>
    </row>
    <row r="23783" spans="5:10" s="34" customFormat="1" x14ac:dyDescent="0.35">
      <c r="E23783" s="35"/>
      <c r="J23783" s="41"/>
    </row>
    <row r="23784" spans="5:10" s="34" customFormat="1" x14ac:dyDescent="0.35">
      <c r="E23784" s="35"/>
      <c r="J23784" s="41"/>
    </row>
    <row r="23785" spans="5:10" s="34" customFormat="1" x14ac:dyDescent="0.35">
      <c r="E23785" s="35"/>
      <c r="J23785" s="41"/>
    </row>
    <row r="23786" spans="5:10" s="34" customFormat="1" x14ac:dyDescent="0.35">
      <c r="E23786" s="35"/>
      <c r="J23786" s="41"/>
    </row>
    <row r="23787" spans="5:10" s="34" customFormat="1" x14ac:dyDescent="0.35">
      <c r="E23787" s="35"/>
      <c r="J23787" s="41"/>
    </row>
    <row r="23788" spans="5:10" s="34" customFormat="1" x14ac:dyDescent="0.35">
      <c r="E23788" s="35"/>
      <c r="J23788" s="41"/>
    </row>
    <row r="23789" spans="5:10" s="34" customFormat="1" x14ac:dyDescent="0.35">
      <c r="E23789" s="35"/>
      <c r="J23789" s="41"/>
    </row>
    <row r="23790" spans="5:10" s="34" customFormat="1" x14ac:dyDescent="0.35">
      <c r="E23790" s="35"/>
      <c r="J23790" s="41"/>
    </row>
    <row r="23791" spans="5:10" s="34" customFormat="1" x14ac:dyDescent="0.35">
      <c r="E23791" s="35"/>
      <c r="J23791" s="41"/>
    </row>
    <row r="23792" spans="5:10" s="34" customFormat="1" x14ac:dyDescent="0.35">
      <c r="E23792" s="35"/>
      <c r="J23792" s="41"/>
    </row>
    <row r="23793" spans="5:10" s="34" customFormat="1" x14ac:dyDescent="0.35">
      <c r="E23793" s="35"/>
      <c r="J23793" s="41"/>
    </row>
    <row r="23794" spans="5:10" s="34" customFormat="1" x14ac:dyDescent="0.35">
      <c r="E23794" s="35"/>
      <c r="J23794" s="41"/>
    </row>
    <row r="23795" spans="5:10" s="34" customFormat="1" x14ac:dyDescent="0.35">
      <c r="E23795" s="35"/>
      <c r="J23795" s="41"/>
    </row>
    <row r="23796" spans="5:10" s="34" customFormat="1" x14ac:dyDescent="0.35">
      <c r="E23796" s="35"/>
      <c r="J23796" s="41"/>
    </row>
    <row r="23797" spans="5:10" s="34" customFormat="1" x14ac:dyDescent="0.35">
      <c r="E23797" s="35"/>
      <c r="J23797" s="41"/>
    </row>
    <row r="23798" spans="5:10" s="34" customFormat="1" x14ac:dyDescent="0.35">
      <c r="E23798" s="35"/>
      <c r="J23798" s="41"/>
    </row>
    <row r="23799" spans="5:10" s="34" customFormat="1" x14ac:dyDescent="0.35">
      <c r="E23799" s="35"/>
      <c r="J23799" s="41"/>
    </row>
    <row r="23800" spans="5:10" s="34" customFormat="1" x14ac:dyDescent="0.35">
      <c r="E23800" s="35"/>
      <c r="J23800" s="41"/>
    </row>
    <row r="23801" spans="5:10" s="34" customFormat="1" x14ac:dyDescent="0.35">
      <c r="E23801" s="35"/>
      <c r="J23801" s="41"/>
    </row>
    <row r="23802" spans="5:10" s="34" customFormat="1" x14ac:dyDescent="0.35">
      <c r="E23802" s="35"/>
      <c r="J23802" s="41"/>
    </row>
    <row r="23803" spans="5:10" s="34" customFormat="1" x14ac:dyDescent="0.35">
      <c r="E23803" s="35"/>
      <c r="J23803" s="41"/>
    </row>
    <row r="23804" spans="5:10" s="34" customFormat="1" x14ac:dyDescent="0.35">
      <c r="E23804" s="35"/>
      <c r="J23804" s="41"/>
    </row>
    <row r="23805" spans="5:10" s="34" customFormat="1" x14ac:dyDescent="0.35">
      <c r="E23805" s="35"/>
      <c r="J23805" s="41"/>
    </row>
    <row r="23806" spans="5:10" s="34" customFormat="1" x14ac:dyDescent="0.35">
      <c r="E23806" s="35"/>
      <c r="J23806" s="41"/>
    </row>
    <row r="23807" spans="5:10" s="34" customFormat="1" x14ac:dyDescent="0.35">
      <c r="E23807" s="35"/>
      <c r="J23807" s="41"/>
    </row>
    <row r="23808" spans="5:10" s="34" customFormat="1" x14ac:dyDescent="0.35">
      <c r="E23808" s="35"/>
      <c r="J23808" s="41"/>
    </row>
    <row r="23809" spans="5:10" s="34" customFormat="1" x14ac:dyDescent="0.35">
      <c r="E23809" s="35"/>
      <c r="J23809" s="41"/>
    </row>
    <row r="23810" spans="5:10" s="34" customFormat="1" x14ac:dyDescent="0.35">
      <c r="E23810" s="35"/>
      <c r="J23810" s="41"/>
    </row>
    <row r="23811" spans="5:10" s="34" customFormat="1" x14ac:dyDescent="0.35">
      <c r="E23811" s="35"/>
      <c r="J23811" s="41"/>
    </row>
    <row r="23812" spans="5:10" s="34" customFormat="1" x14ac:dyDescent="0.35">
      <c r="E23812" s="35"/>
      <c r="J23812" s="41"/>
    </row>
    <row r="23813" spans="5:10" s="34" customFormat="1" x14ac:dyDescent="0.35">
      <c r="E23813" s="35"/>
      <c r="J23813" s="41"/>
    </row>
    <row r="23814" spans="5:10" s="34" customFormat="1" x14ac:dyDescent="0.35">
      <c r="E23814" s="35"/>
      <c r="J23814" s="41"/>
    </row>
    <row r="23815" spans="5:10" s="34" customFormat="1" x14ac:dyDescent="0.35">
      <c r="E23815" s="35"/>
      <c r="J23815" s="41"/>
    </row>
    <row r="23816" spans="5:10" s="34" customFormat="1" x14ac:dyDescent="0.35">
      <c r="E23816" s="35"/>
      <c r="J23816" s="41"/>
    </row>
    <row r="23817" spans="5:10" s="34" customFormat="1" x14ac:dyDescent="0.35">
      <c r="E23817" s="35"/>
      <c r="J23817" s="41"/>
    </row>
    <row r="23818" spans="5:10" s="34" customFormat="1" x14ac:dyDescent="0.35">
      <c r="E23818" s="35"/>
      <c r="J23818" s="41"/>
    </row>
    <row r="23819" spans="5:10" s="34" customFormat="1" x14ac:dyDescent="0.35">
      <c r="E23819" s="35"/>
      <c r="J23819" s="41"/>
    </row>
    <row r="23820" spans="5:10" s="34" customFormat="1" x14ac:dyDescent="0.35">
      <c r="E23820" s="35"/>
      <c r="J23820" s="41"/>
    </row>
    <row r="23821" spans="5:10" s="34" customFormat="1" x14ac:dyDescent="0.35">
      <c r="E23821" s="35"/>
      <c r="J23821" s="41"/>
    </row>
    <row r="23822" spans="5:10" s="34" customFormat="1" x14ac:dyDescent="0.35">
      <c r="E23822" s="35"/>
      <c r="J23822" s="41"/>
    </row>
    <row r="23823" spans="5:10" s="34" customFormat="1" x14ac:dyDescent="0.35">
      <c r="E23823" s="35"/>
      <c r="J23823" s="41"/>
    </row>
    <row r="23824" spans="5:10" s="34" customFormat="1" x14ac:dyDescent="0.35">
      <c r="E23824" s="35"/>
      <c r="J23824" s="41"/>
    </row>
    <row r="23825" spans="5:10" s="34" customFormat="1" x14ac:dyDescent="0.35">
      <c r="E23825" s="35"/>
      <c r="J23825" s="41"/>
    </row>
    <row r="23826" spans="5:10" s="34" customFormat="1" x14ac:dyDescent="0.35">
      <c r="E23826" s="35"/>
      <c r="J23826" s="41"/>
    </row>
    <row r="23827" spans="5:10" s="34" customFormat="1" x14ac:dyDescent="0.35">
      <c r="E23827" s="35"/>
      <c r="J23827" s="41"/>
    </row>
    <row r="23828" spans="5:10" s="34" customFormat="1" x14ac:dyDescent="0.35">
      <c r="E23828" s="35"/>
      <c r="J23828" s="41"/>
    </row>
    <row r="23829" spans="5:10" s="34" customFormat="1" x14ac:dyDescent="0.35">
      <c r="E23829" s="35"/>
      <c r="J23829" s="41"/>
    </row>
    <row r="23830" spans="5:10" s="34" customFormat="1" x14ac:dyDescent="0.35">
      <c r="E23830" s="35"/>
      <c r="J23830" s="41"/>
    </row>
    <row r="23831" spans="5:10" s="34" customFormat="1" x14ac:dyDescent="0.35">
      <c r="E23831" s="35"/>
      <c r="J23831" s="41"/>
    </row>
    <row r="23832" spans="5:10" s="34" customFormat="1" x14ac:dyDescent="0.35">
      <c r="E23832" s="35"/>
      <c r="J23832" s="41"/>
    </row>
    <row r="23833" spans="5:10" s="34" customFormat="1" x14ac:dyDescent="0.35">
      <c r="E23833" s="35"/>
      <c r="J23833" s="41"/>
    </row>
    <row r="23834" spans="5:10" s="34" customFormat="1" x14ac:dyDescent="0.35">
      <c r="E23834" s="35"/>
      <c r="J23834" s="41"/>
    </row>
    <row r="23835" spans="5:10" s="34" customFormat="1" x14ac:dyDescent="0.35">
      <c r="E23835" s="35"/>
      <c r="J23835" s="41"/>
    </row>
    <row r="23836" spans="5:10" s="34" customFormat="1" x14ac:dyDescent="0.35">
      <c r="E23836" s="35"/>
      <c r="J23836" s="41"/>
    </row>
    <row r="23837" spans="5:10" s="34" customFormat="1" x14ac:dyDescent="0.35">
      <c r="E23837" s="35"/>
      <c r="J23837" s="41"/>
    </row>
    <row r="23838" spans="5:10" s="34" customFormat="1" x14ac:dyDescent="0.35">
      <c r="E23838" s="35"/>
      <c r="J23838" s="41"/>
    </row>
    <row r="23839" spans="5:10" s="34" customFormat="1" x14ac:dyDescent="0.35">
      <c r="E23839" s="35"/>
      <c r="J23839" s="41"/>
    </row>
    <row r="23840" spans="5:10" s="34" customFormat="1" x14ac:dyDescent="0.35">
      <c r="E23840" s="35"/>
      <c r="J23840" s="41"/>
    </row>
    <row r="23841" spans="5:10" s="34" customFormat="1" x14ac:dyDescent="0.35">
      <c r="E23841" s="35"/>
      <c r="J23841" s="41"/>
    </row>
    <row r="23842" spans="5:10" s="34" customFormat="1" x14ac:dyDescent="0.35">
      <c r="E23842" s="35"/>
      <c r="J23842" s="41"/>
    </row>
    <row r="23843" spans="5:10" s="34" customFormat="1" x14ac:dyDescent="0.35">
      <c r="E23843" s="35"/>
      <c r="J23843" s="41"/>
    </row>
    <row r="23844" spans="5:10" s="34" customFormat="1" x14ac:dyDescent="0.35">
      <c r="E23844" s="35"/>
      <c r="J23844" s="41"/>
    </row>
    <row r="23845" spans="5:10" s="34" customFormat="1" x14ac:dyDescent="0.35">
      <c r="E23845" s="35"/>
      <c r="J23845" s="41"/>
    </row>
    <row r="23846" spans="5:10" s="34" customFormat="1" x14ac:dyDescent="0.35">
      <c r="E23846" s="35"/>
      <c r="J23846" s="41"/>
    </row>
    <row r="23847" spans="5:10" s="34" customFormat="1" x14ac:dyDescent="0.35">
      <c r="E23847" s="35"/>
      <c r="J23847" s="41"/>
    </row>
    <row r="23848" spans="5:10" s="34" customFormat="1" x14ac:dyDescent="0.35">
      <c r="E23848" s="35"/>
      <c r="J23848" s="41"/>
    </row>
    <row r="23849" spans="5:10" s="34" customFormat="1" x14ac:dyDescent="0.35">
      <c r="E23849" s="35"/>
      <c r="J23849" s="41"/>
    </row>
    <row r="23850" spans="5:10" s="34" customFormat="1" x14ac:dyDescent="0.35">
      <c r="E23850" s="35"/>
      <c r="J23850" s="41"/>
    </row>
    <row r="23851" spans="5:10" s="34" customFormat="1" x14ac:dyDescent="0.35">
      <c r="E23851" s="35"/>
      <c r="J23851" s="41"/>
    </row>
    <row r="23852" spans="5:10" s="34" customFormat="1" x14ac:dyDescent="0.35">
      <c r="E23852" s="35"/>
      <c r="J23852" s="41"/>
    </row>
    <row r="23853" spans="5:10" s="34" customFormat="1" x14ac:dyDescent="0.35">
      <c r="E23853" s="35"/>
      <c r="J23853" s="41"/>
    </row>
    <row r="23854" spans="5:10" s="34" customFormat="1" x14ac:dyDescent="0.35">
      <c r="E23854" s="35"/>
      <c r="J23854" s="41"/>
    </row>
    <row r="23855" spans="5:10" s="34" customFormat="1" x14ac:dyDescent="0.35">
      <c r="E23855" s="35"/>
      <c r="J23855" s="41"/>
    </row>
    <row r="23856" spans="5:10" s="34" customFormat="1" x14ac:dyDescent="0.35">
      <c r="E23856" s="35"/>
      <c r="J23856" s="41"/>
    </row>
    <row r="23857" spans="5:10" s="34" customFormat="1" x14ac:dyDescent="0.35">
      <c r="E23857" s="35"/>
      <c r="J23857" s="41"/>
    </row>
    <row r="23858" spans="5:10" s="34" customFormat="1" x14ac:dyDescent="0.35">
      <c r="E23858" s="35"/>
      <c r="J23858" s="41"/>
    </row>
    <row r="23859" spans="5:10" s="34" customFormat="1" x14ac:dyDescent="0.35">
      <c r="E23859" s="35"/>
      <c r="J23859" s="41"/>
    </row>
    <row r="23860" spans="5:10" s="34" customFormat="1" x14ac:dyDescent="0.35">
      <c r="E23860" s="35"/>
      <c r="J23860" s="41"/>
    </row>
    <row r="23861" spans="5:10" s="34" customFormat="1" x14ac:dyDescent="0.35">
      <c r="E23861" s="35"/>
      <c r="J23861" s="41"/>
    </row>
    <row r="23862" spans="5:10" s="34" customFormat="1" x14ac:dyDescent="0.35">
      <c r="E23862" s="35"/>
      <c r="J23862" s="41"/>
    </row>
    <row r="23863" spans="5:10" s="34" customFormat="1" x14ac:dyDescent="0.35">
      <c r="E23863" s="35"/>
      <c r="J23863" s="41"/>
    </row>
    <row r="23864" spans="5:10" s="34" customFormat="1" x14ac:dyDescent="0.35">
      <c r="E23864" s="35"/>
      <c r="J23864" s="41"/>
    </row>
    <row r="23865" spans="5:10" s="34" customFormat="1" x14ac:dyDescent="0.35">
      <c r="E23865" s="35"/>
      <c r="J23865" s="41"/>
    </row>
    <row r="23866" spans="5:10" s="34" customFormat="1" x14ac:dyDescent="0.35">
      <c r="E23866" s="35"/>
      <c r="J23866" s="41"/>
    </row>
    <row r="23867" spans="5:10" s="34" customFormat="1" x14ac:dyDescent="0.35">
      <c r="E23867" s="35"/>
      <c r="J23867" s="41"/>
    </row>
    <row r="23868" spans="5:10" s="34" customFormat="1" x14ac:dyDescent="0.35">
      <c r="E23868" s="35"/>
      <c r="J23868" s="41"/>
    </row>
    <row r="23869" spans="5:10" s="34" customFormat="1" x14ac:dyDescent="0.35">
      <c r="E23869" s="35"/>
      <c r="J23869" s="41"/>
    </row>
    <row r="23870" spans="5:10" s="34" customFormat="1" x14ac:dyDescent="0.35">
      <c r="E23870" s="35"/>
      <c r="J23870" s="41"/>
    </row>
    <row r="23871" spans="5:10" s="34" customFormat="1" x14ac:dyDescent="0.35">
      <c r="E23871" s="35"/>
      <c r="J23871" s="41"/>
    </row>
    <row r="23872" spans="5:10" s="34" customFormat="1" x14ac:dyDescent="0.35">
      <c r="E23872" s="35"/>
      <c r="J23872" s="41"/>
    </row>
    <row r="23873" spans="5:10" s="34" customFormat="1" x14ac:dyDescent="0.35">
      <c r="E23873" s="35"/>
      <c r="J23873" s="41"/>
    </row>
    <row r="23874" spans="5:10" s="34" customFormat="1" x14ac:dyDescent="0.35">
      <c r="E23874" s="35"/>
      <c r="J23874" s="41"/>
    </row>
    <row r="23875" spans="5:10" s="34" customFormat="1" x14ac:dyDescent="0.35">
      <c r="E23875" s="35"/>
      <c r="J23875" s="41"/>
    </row>
    <row r="23876" spans="5:10" s="34" customFormat="1" x14ac:dyDescent="0.35">
      <c r="E23876" s="35"/>
      <c r="J23876" s="41"/>
    </row>
    <row r="23877" spans="5:10" s="34" customFormat="1" x14ac:dyDescent="0.35">
      <c r="E23877" s="35"/>
      <c r="J23877" s="41"/>
    </row>
    <row r="23878" spans="5:10" s="34" customFormat="1" x14ac:dyDescent="0.35">
      <c r="E23878" s="35"/>
      <c r="J23878" s="41"/>
    </row>
    <row r="23879" spans="5:10" s="34" customFormat="1" x14ac:dyDescent="0.35">
      <c r="E23879" s="35"/>
      <c r="J23879" s="41"/>
    </row>
    <row r="23880" spans="5:10" s="34" customFormat="1" x14ac:dyDescent="0.35">
      <c r="E23880" s="35"/>
      <c r="J23880" s="41"/>
    </row>
    <row r="23881" spans="5:10" s="34" customFormat="1" x14ac:dyDescent="0.35">
      <c r="E23881" s="35"/>
      <c r="J23881" s="41"/>
    </row>
    <row r="23882" spans="5:10" s="34" customFormat="1" x14ac:dyDescent="0.35">
      <c r="E23882" s="35"/>
      <c r="J23882" s="41"/>
    </row>
    <row r="23883" spans="5:10" s="34" customFormat="1" x14ac:dyDescent="0.35">
      <c r="E23883" s="35"/>
      <c r="J23883" s="41"/>
    </row>
    <row r="23884" spans="5:10" s="34" customFormat="1" x14ac:dyDescent="0.35">
      <c r="E23884" s="35"/>
      <c r="J23884" s="41"/>
    </row>
    <row r="23885" spans="5:10" s="34" customFormat="1" x14ac:dyDescent="0.35">
      <c r="E23885" s="35"/>
      <c r="J23885" s="41"/>
    </row>
    <row r="23886" spans="5:10" s="34" customFormat="1" x14ac:dyDescent="0.35">
      <c r="E23886" s="35"/>
      <c r="J23886" s="41"/>
    </row>
    <row r="23887" spans="5:10" s="34" customFormat="1" x14ac:dyDescent="0.35">
      <c r="E23887" s="35"/>
      <c r="J23887" s="41"/>
    </row>
    <row r="23888" spans="5:10" s="34" customFormat="1" x14ac:dyDescent="0.35">
      <c r="E23888" s="35"/>
      <c r="J23888" s="41"/>
    </row>
    <row r="23889" spans="5:10" s="34" customFormat="1" x14ac:dyDescent="0.35">
      <c r="E23889" s="35"/>
      <c r="J23889" s="41"/>
    </row>
    <row r="23890" spans="5:10" s="34" customFormat="1" x14ac:dyDescent="0.35">
      <c r="E23890" s="35"/>
      <c r="J23890" s="41"/>
    </row>
    <row r="23891" spans="5:10" s="34" customFormat="1" x14ac:dyDescent="0.35">
      <c r="E23891" s="35"/>
      <c r="J23891" s="41"/>
    </row>
    <row r="23892" spans="5:10" s="34" customFormat="1" x14ac:dyDescent="0.35">
      <c r="E23892" s="35"/>
      <c r="J23892" s="41"/>
    </row>
    <row r="23893" spans="5:10" s="34" customFormat="1" x14ac:dyDescent="0.35">
      <c r="E23893" s="35"/>
      <c r="J23893" s="41"/>
    </row>
    <row r="23894" spans="5:10" s="34" customFormat="1" x14ac:dyDescent="0.35">
      <c r="E23894" s="35"/>
      <c r="J23894" s="41"/>
    </row>
    <row r="23895" spans="5:10" s="34" customFormat="1" x14ac:dyDescent="0.35">
      <c r="E23895" s="35"/>
      <c r="J23895" s="41"/>
    </row>
    <row r="23896" spans="5:10" s="34" customFormat="1" x14ac:dyDescent="0.35">
      <c r="E23896" s="35"/>
      <c r="J23896" s="41"/>
    </row>
    <row r="23897" spans="5:10" s="34" customFormat="1" x14ac:dyDescent="0.35">
      <c r="E23897" s="35"/>
      <c r="J23897" s="41"/>
    </row>
    <row r="23898" spans="5:10" s="34" customFormat="1" x14ac:dyDescent="0.35">
      <c r="E23898" s="35"/>
      <c r="J23898" s="41"/>
    </row>
    <row r="23899" spans="5:10" s="34" customFormat="1" x14ac:dyDescent="0.35">
      <c r="E23899" s="35"/>
      <c r="J23899" s="41"/>
    </row>
    <row r="23900" spans="5:10" s="34" customFormat="1" x14ac:dyDescent="0.35">
      <c r="E23900" s="35"/>
      <c r="J23900" s="41"/>
    </row>
    <row r="23901" spans="5:10" s="34" customFormat="1" x14ac:dyDescent="0.35">
      <c r="E23901" s="35"/>
      <c r="J23901" s="41"/>
    </row>
    <row r="23902" spans="5:10" s="34" customFormat="1" x14ac:dyDescent="0.35">
      <c r="E23902" s="35"/>
      <c r="J23902" s="41"/>
    </row>
    <row r="23903" spans="5:10" s="34" customFormat="1" x14ac:dyDescent="0.35">
      <c r="E23903" s="35"/>
      <c r="J23903" s="41"/>
    </row>
    <row r="23904" spans="5:10" s="34" customFormat="1" x14ac:dyDescent="0.35">
      <c r="E23904" s="35"/>
      <c r="J23904" s="41"/>
    </row>
    <row r="23905" spans="5:10" s="34" customFormat="1" x14ac:dyDescent="0.35">
      <c r="E23905" s="35"/>
      <c r="J23905" s="41"/>
    </row>
    <row r="23906" spans="5:10" s="34" customFormat="1" x14ac:dyDescent="0.35">
      <c r="E23906" s="35"/>
      <c r="J23906" s="41"/>
    </row>
    <row r="23907" spans="5:10" s="34" customFormat="1" x14ac:dyDescent="0.35">
      <c r="E23907" s="35"/>
      <c r="J23907" s="41"/>
    </row>
    <row r="23908" spans="5:10" s="34" customFormat="1" x14ac:dyDescent="0.35">
      <c r="E23908" s="35"/>
      <c r="J23908" s="41"/>
    </row>
    <row r="23909" spans="5:10" s="34" customFormat="1" x14ac:dyDescent="0.35">
      <c r="E23909" s="35"/>
      <c r="J23909" s="41"/>
    </row>
    <row r="23910" spans="5:10" s="34" customFormat="1" x14ac:dyDescent="0.35">
      <c r="E23910" s="35"/>
      <c r="J23910" s="41"/>
    </row>
    <row r="23911" spans="5:10" s="34" customFormat="1" x14ac:dyDescent="0.35">
      <c r="E23911" s="35"/>
      <c r="J23911" s="41"/>
    </row>
    <row r="23912" spans="5:10" s="34" customFormat="1" x14ac:dyDescent="0.35">
      <c r="E23912" s="35"/>
      <c r="J23912" s="41"/>
    </row>
    <row r="23913" spans="5:10" s="34" customFormat="1" x14ac:dyDescent="0.35">
      <c r="E23913" s="35"/>
      <c r="J23913" s="41"/>
    </row>
    <row r="23914" spans="5:10" s="34" customFormat="1" x14ac:dyDescent="0.35">
      <c r="E23914" s="35"/>
      <c r="J23914" s="41"/>
    </row>
    <row r="23915" spans="5:10" s="34" customFormat="1" x14ac:dyDescent="0.35">
      <c r="E23915" s="35"/>
      <c r="J23915" s="41"/>
    </row>
    <row r="23916" spans="5:10" s="34" customFormat="1" x14ac:dyDescent="0.35">
      <c r="E23916" s="35"/>
      <c r="J23916" s="41"/>
    </row>
    <row r="23917" spans="5:10" s="34" customFormat="1" x14ac:dyDescent="0.35">
      <c r="E23917" s="35"/>
      <c r="J23917" s="41"/>
    </row>
    <row r="23918" spans="5:10" s="34" customFormat="1" x14ac:dyDescent="0.35">
      <c r="E23918" s="35"/>
      <c r="J23918" s="41"/>
    </row>
    <row r="23919" spans="5:10" s="34" customFormat="1" x14ac:dyDescent="0.35">
      <c r="E23919" s="35"/>
      <c r="J23919" s="41"/>
    </row>
    <row r="23920" spans="5:10" s="34" customFormat="1" x14ac:dyDescent="0.35">
      <c r="E23920" s="35"/>
      <c r="J23920" s="41"/>
    </row>
    <row r="23921" spans="5:10" s="34" customFormat="1" x14ac:dyDescent="0.35">
      <c r="E23921" s="35"/>
      <c r="J23921" s="41"/>
    </row>
    <row r="23922" spans="5:10" s="34" customFormat="1" x14ac:dyDescent="0.35">
      <c r="E23922" s="35"/>
      <c r="J23922" s="41"/>
    </row>
    <row r="23923" spans="5:10" s="34" customFormat="1" x14ac:dyDescent="0.35">
      <c r="E23923" s="35"/>
      <c r="J23923" s="41"/>
    </row>
    <row r="23924" spans="5:10" s="34" customFormat="1" x14ac:dyDescent="0.35">
      <c r="E23924" s="35"/>
      <c r="J23924" s="41"/>
    </row>
    <row r="23925" spans="5:10" s="34" customFormat="1" x14ac:dyDescent="0.35">
      <c r="E23925" s="35"/>
      <c r="J23925" s="41"/>
    </row>
    <row r="23926" spans="5:10" s="34" customFormat="1" x14ac:dyDescent="0.35">
      <c r="E23926" s="35"/>
      <c r="J23926" s="41"/>
    </row>
    <row r="23927" spans="5:10" s="34" customFormat="1" x14ac:dyDescent="0.35">
      <c r="E23927" s="35"/>
      <c r="J23927" s="41"/>
    </row>
    <row r="23928" spans="5:10" s="34" customFormat="1" x14ac:dyDescent="0.35">
      <c r="E23928" s="35"/>
      <c r="J23928" s="41"/>
    </row>
    <row r="23929" spans="5:10" s="34" customFormat="1" x14ac:dyDescent="0.35">
      <c r="E23929" s="35"/>
      <c r="J23929" s="41"/>
    </row>
    <row r="23930" spans="5:10" s="34" customFormat="1" x14ac:dyDescent="0.35">
      <c r="E23930" s="35"/>
      <c r="J23930" s="41"/>
    </row>
    <row r="23931" spans="5:10" s="34" customFormat="1" x14ac:dyDescent="0.35">
      <c r="E23931" s="35"/>
      <c r="J23931" s="41"/>
    </row>
    <row r="23932" spans="5:10" s="34" customFormat="1" x14ac:dyDescent="0.35">
      <c r="E23932" s="35"/>
      <c r="J23932" s="41"/>
    </row>
    <row r="23933" spans="5:10" s="34" customFormat="1" x14ac:dyDescent="0.35">
      <c r="E23933" s="35"/>
      <c r="J23933" s="41"/>
    </row>
    <row r="23934" spans="5:10" s="34" customFormat="1" x14ac:dyDescent="0.35">
      <c r="E23934" s="35"/>
      <c r="J23934" s="41"/>
    </row>
    <row r="23935" spans="5:10" s="34" customFormat="1" x14ac:dyDescent="0.35">
      <c r="E23935" s="35"/>
      <c r="J23935" s="41"/>
    </row>
    <row r="23936" spans="5:10" s="34" customFormat="1" x14ac:dyDescent="0.35">
      <c r="E23936" s="35"/>
      <c r="J23936" s="41"/>
    </row>
    <row r="23937" spans="5:10" s="34" customFormat="1" x14ac:dyDescent="0.35">
      <c r="E23937" s="35"/>
      <c r="J23937" s="41"/>
    </row>
    <row r="23938" spans="5:10" s="34" customFormat="1" x14ac:dyDescent="0.35">
      <c r="E23938" s="35"/>
      <c r="J23938" s="41"/>
    </row>
    <row r="23939" spans="5:10" s="34" customFormat="1" x14ac:dyDescent="0.35">
      <c r="E23939" s="35"/>
      <c r="J23939" s="41"/>
    </row>
    <row r="23940" spans="5:10" s="34" customFormat="1" x14ac:dyDescent="0.35">
      <c r="E23940" s="35"/>
      <c r="J23940" s="41"/>
    </row>
    <row r="23941" spans="5:10" s="34" customFormat="1" x14ac:dyDescent="0.35">
      <c r="E23941" s="35"/>
      <c r="J23941" s="41"/>
    </row>
    <row r="23942" spans="5:10" s="34" customFormat="1" x14ac:dyDescent="0.35">
      <c r="E23942" s="35"/>
      <c r="J23942" s="41"/>
    </row>
    <row r="23943" spans="5:10" s="34" customFormat="1" x14ac:dyDescent="0.35">
      <c r="E23943" s="35"/>
      <c r="J23943" s="41"/>
    </row>
    <row r="23944" spans="5:10" s="34" customFormat="1" x14ac:dyDescent="0.35">
      <c r="E23944" s="35"/>
      <c r="J23944" s="41"/>
    </row>
    <row r="23945" spans="5:10" s="34" customFormat="1" x14ac:dyDescent="0.35">
      <c r="E23945" s="35"/>
      <c r="J23945" s="41"/>
    </row>
    <row r="23946" spans="5:10" s="34" customFormat="1" x14ac:dyDescent="0.35">
      <c r="E23946" s="35"/>
      <c r="J23946" s="41"/>
    </row>
    <row r="23947" spans="5:10" s="34" customFormat="1" x14ac:dyDescent="0.35">
      <c r="E23947" s="35"/>
      <c r="J23947" s="41"/>
    </row>
    <row r="23948" spans="5:10" s="34" customFormat="1" x14ac:dyDescent="0.35">
      <c r="E23948" s="35"/>
      <c r="J23948" s="41"/>
    </row>
    <row r="23949" spans="5:10" s="34" customFormat="1" x14ac:dyDescent="0.35">
      <c r="E23949" s="35"/>
      <c r="J23949" s="41"/>
    </row>
    <row r="23950" spans="5:10" s="34" customFormat="1" x14ac:dyDescent="0.35">
      <c r="E23950" s="35"/>
      <c r="J23950" s="41"/>
    </row>
    <row r="23951" spans="5:10" s="34" customFormat="1" x14ac:dyDescent="0.35">
      <c r="E23951" s="35"/>
      <c r="J23951" s="41"/>
    </row>
    <row r="23952" spans="5:10" s="34" customFormat="1" x14ac:dyDescent="0.35">
      <c r="E23952" s="35"/>
      <c r="J23952" s="41"/>
    </row>
    <row r="23953" spans="5:10" s="34" customFormat="1" x14ac:dyDescent="0.35">
      <c r="E23953" s="35"/>
      <c r="J23953" s="41"/>
    </row>
    <row r="23954" spans="5:10" s="34" customFormat="1" x14ac:dyDescent="0.35">
      <c r="E23954" s="35"/>
      <c r="J23954" s="41"/>
    </row>
    <row r="23955" spans="5:10" s="34" customFormat="1" x14ac:dyDescent="0.35">
      <c r="E23955" s="35"/>
      <c r="J23955" s="41"/>
    </row>
    <row r="23956" spans="5:10" s="34" customFormat="1" x14ac:dyDescent="0.35">
      <c r="E23956" s="35"/>
      <c r="J23956" s="41"/>
    </row>
    <row r="23957" spans="5:10" s="34" customFormat="1" x14ac:dyDescent="0.35">
      <c r="E23957" s="35"/>
      <c r="J23957" s="41"/>
    </row>
    <row r="23958" spans="5:10" s="34" customFormat="1" x14ac:dyDescent="0.35">
      <c r="E23958" s="35"/>
      <c r="J23958" s="41"/>
    </row>
    <row r="23959" spans="5:10" s="34" customFormat="1" x14ac:dyDescent="0.35">
      <c r="E23959" s="35"/>
      <c r="J23959" s="41"/>
    </row>
    <row r="23960" spans="5:10" s="34" customFormat="1" x14ac:dyDescent="0.35">
      <c r="E23960" s="35"/>
      <c r="J23960" s="41"/>
    </row>
    <row r="23961" spans="5:10" s="34" customFormat="1" x14ac:dyDescent="0.35">
      <c r="E23961" s="35"/>
      <c r="J23961" s="41"/>
    </row>
    <row r="23962" spans="5:10" s="34" customFormat="1" x14ac:dyDescent="0.35">
      <c r="E23962" s="35"/>
      <c r="J23962" s="41"/>
    </row>
    <row r="23963" spans="5:10" s="34" customFormat="1" x14ac:dyDescent="0.35">
      <c r="E23963" s="35"/>
      <c r="J23963" s="41"/>
    </row>
    <row r="23964" spans="5:10" s="34" customFormat="1" x14ac:dyDescent="0.35">
      <c r="E23964" s="35"/>
      <c r="J23964" s="41"/>
    </row>
    <row r="23965" spans="5:10" s="34" customFormat="1" x14ac:dyDescent="0.35">
      <c r="E23965" s="35"/>
      <c r="J23965" s="41"/>
    </row>
    <row r="23966" spans="5:10" s="34" customFormat="1" x14ac:dyDescent="0.35">
      <c r="E23966" s="35"/>
      <c r="J23966" s="41"/>
    </row>
    <row r="23967" spans="5:10" s="34" customFormat="1" x14ac:dyDescent="0.35">
      <c r="E23967" s="35"/>
      <c r="J23967" s="41"/>
    </row>
    <row r="23968" spans="5:10" s="34" customFormat="1" x14ac:dyDescent="0.35">
      <c r="E23968" s="35"/>
      <c r="J23968" s="41"/>
    </row>
    <row r="23969" spans="5:10" s="34" customFormat="1" x14ac:dyDescent="0.35">
      <c r="E23969" s="35"/>
      <c r="J23969" s="41"/>
    </row>
    <row r="23970" spans="5:10" s="34" customFormat="1" x14ac:dyDescent="0.35">
      <c r="E23970" s="35"/>
      <c r="J23970" s="41"/>
    </row>
    <row r="23971" spans="5:10" s="34" customFormat="1" x14ac:dyDescent="0.35">
      <c r="E23971" s="35"/>
      <c r="J23971" s="41"/>
    </row>
    <row r="23972" spans="5:10" s="34" customFormat="1" x14ac:dyDescent="0.35">
      <c r="E23972" s="35"/>
      <c r="J23972" s="41"/>
    </row>
    <row r="23973" spans="5:10" s="34" customFormat="1" x14ac:dyDescent="0.35">
      <c r="E23973" s="35"/>
      <c r="J23973" s="41"/>
    </row>
    <row r="23974" spans="5:10" s="34" customFormat="1" x14ac:dyDescent="0.35">
      <c r="E23974" s="35"/>
      <c r="J23974" s="41"/>
    </row>
    <row r="23975" spans="5:10" s="34" customFormat="1" x14ac:dyDescent="0.35">
      <c r="E23975" s="35"/>
      <c r="J23975" s="41"/>
    </row>
    <row r="23976" spans="5:10" s="34" customFormat="1" x14ac:dyDescent="0.35">
      <c r="E23976" s="35"/>
      <c r="J23976" s="41"/>
    </row>
    <row r="23977" spans="5:10" s="34" customFormat="1" x14ac:dyDescent="0.35">
      <c r="E23977" s="35"/>
      <c r="J23977" s="41"/>
    </row>
    <row r="23978" spans="5:10" s="34" customFormat="1" x14ac:dyDescent="0.35">
      <c r="E23978" s="35"/>
      <c r="J23978" s="41"/>
    </row>
    <row r="23979" spans="5:10" s="34" customFormat="1" x14ac:dyDescent="0.35">
      <c r="E23979" s="35"/>
      <c r="J23979" s="41"/>
    </row>
    <row r="23980" spans="5:10" s="34" customFormat="1" x14ac:dyDescent="0.35">
      <c r="E23980" s="35"/>
      <c r="J23980" s="41"/>
    </row>
    <row r="23981" spans="5:10" s="34" customFormat="1" x14ac:dyDescent="0.35">
      <c r="E23981" s="35"/>
      <c r="J23981" s="41"/>
    </row>
    <row r="23982" spans="5:10" s="34" customFormat="1" x14ac:dyDescent="0.35">
      <c r="E23982" s="35"/>
      <c r="J23982" s="41"/>
    </row>
    <row r="23983" spans="5:10" s="34" customFormat="1" x14ac:dyDescent="0.35">
      <c r="E23983" s="35"/>
      <c r="J23983" s="41"/>
    </row>
    <row r="23984" spans="5:10" s="34" customFormat="1" x14ac:dyDescent="0.35">
      <c r="E23984" s="35"/>
      <c r="J23984" s="41"/>
    </row>
    <row r="23985" spans="5:10" s="34" customFormat="1" x14ac:dyDescent="0.35">
      <c r="E23985" s="35"/>
      <c r="J23985" s="41"/>
    </row>
    <row r="23986" spans="5:10" s="34" customFormat="1" x14ac:dyDescent="0.35">
      <c r="E23986" s="35"/>
      <c r="J23986" s="41"/>
    </row>
    <row r="23987" spans="5:10" s="34" customFormat="1" x14ac:dyDescent="0.35">
      <c r="E23987" s="35"/>
      <c r="J23987" s="41"/>
    </row>
    <row r="23988" spans="5:10" s="34" customFormat="1" x14ac:dyDescent="0.35">
      <c r="E23988" s="35"/>
      <c r="J23988" s="41"/>
    </row>
    <row r="23989" spans="5:10" s="34" customFormat="1" x14ac:dyDescent="0.35">
      <c r="E23989" s="35"/>
      <c r="J23989" s="41"/>
    </row>
    <row r="23990" spans="5:10" s="34" customFormat="1" x14ac:dyDescent="0.35">
      <c r="E23990" s="35"/>
      <c r="J23990" s="41"/>
    </row>
    <row r="23991" spans="5:10" s="34" customFormat="1" x14ac:dyDescent="0.35">
      <c r="E23991" s="35"/>
      <c r="J23991" s="41"/>
    </row>
    <row r="23992" spans="5:10" s="34" customFormat="1" x14ac:dyDescent="0.35">
      <c r="E23992" s="35"/>
      <c r="J23992" s="41"/>
    </row>
    <row r="23993" spans="5:10" s="34" customFormat="1" x14ac:dyDescent="0.35">
      <c r="E23993" s="35"/>
      <c r="J23993" s="41"/>
    </row>
    <row r="23994" spans="5:10" s="34" customFormat="1" x14ac:dyDescent="0.35">
      <c r="E23994" s="35"/>
      <c r="J23994" s="41"/>
    </row>
    <row r="23995" spans="5:10" s="34" customFormat="1" x14ac:dyDescent="0.35">
      <c r="E23995" s="35"/>
      <c r="J23995" s="41"/>
    </row>
    <row r="23996" spans="5:10" s="34" customFormat="1" x14ac:dyDescent="0.35">
      <c r="E23996" s="35"/>
      <c r="J23996" s="41"/>
    </row>
    <row r="23997" spans="5:10" s="34" customFormat="1" x14ac:dyDescent="0.35">
      <c r="E23997" s="35"/>
      <c r="J23997" s="41"/>
    </row>
    <row r="23998" spans="5:10" s="34" customFormat="1" x14ac:dyDescent="0.35">
      <c r="E23998" s="35"/>
      <c r="J23998" s="41"/>
    </row>
    <row r="23999" spans="5:10" s="34" customFormat="1" x14ac:dyDescent="0.35">
      <c r="E23999" s="35"/>
      <c r="J23999" s="41"/>
    </row>
    <row r="24000" spans="5:10" s="34" customFormat="1" x14ac:dyDescent="0.35">
      <c r="E24000" s="35"/>
      <c r="J24000" s="41"/>
    </row>
    <row r="24001" spans="5:10" s="34" customFormat="1" x14ac:dyDescent="0.35">
      <c r="E24001" s="35"/>
      <c r="J24001" s="41"/>
    </row>
    <row r="24002" spans="5:10" s="34" customFormat="1" x14ac:dyDescent="0.35">
      <c r="E24002" s="35"/>
      <c r="J24002" s="41"/>
    </row>
    <row r="24003" spans="5:10" s="34" customFormat="1" x14ac:dyDescent="0.35">
      <c r="E24003" s="35"/>
      <c r="J24003" s="41"/>
    </row>
    <row r="24004" spans="5:10" s="34" customFormat="1" x14ac:dyDescent="0.35">
      <c r="E24004" s="35"/>
      <c r="J24004" s="41"/>
    </row>
    <row r="24005" spans="5:10" s="34" customFormat="1" x14ac:dyDescent="0.35">
      <c r="E24005" s="35"/>
      <c r="J24005" s="41"/>
    </row>
    <row r="24006" spans="5:10" s="34" customFormat="1" x14ac:dyDescent="0.35">
      <c r="E24006" s="35"/>
      <c r="J24006" s="41"/>
    </row>
    <row r="24007" spans="5:10" s="34" customFormat="1" x14ac:dyDescent="0.35">
      <c r="E24007" s="35"/>
      <c r="J24007" s="41"/>
    </row>
    <row r="24008" spans="5:10" s="34" customFormat="1" x14ac:dyDescent="0.35">
      <c r="E24008" s="35"/>
      <c r="J24008" s="41"/>
    </row>
    <row r="24009" spans="5:10" s="34" customFormat="1" x14ac:dyDescent="0.35">
      <c r="E24009" s="35"/>
      <c r="J24009" s="41"/>
    </row>
    <row r="24010" spans="5:10" s="34" customFormat="1" x14ac:dyDescent="0.35">
      <c r="E24010" s="35"/>
      <c r="J24010" s="41"/>
    </row>
    <row r="24011" spans="5:10" s="34" customFormat="1" x14ac:dyDescent="0.35">
      <c r="E24011" s="35"/>
      <c r="J24011" s="41"/>
    </row>
    <row r="24012" spans="5:10" s="34" customFormat="1" x14ac:dyDescent="0.35">
      <c r="E24012" s="35"/>
      <c r="J24012" s="41"/>
    </row>
    <row r="24013" spans="5:10" s="34" customFormat="1" x14ac:dyDescent="0.35">
      <c r="E24013" s="35"/>
      <c r="J24013" s="41"/>
    </row>
    <row r="24014" spans="5:10" s="34" customFormat="1" x14ac:dyDescent="0.35">
      <c r="E24014" s="35"/>
      <c r="J24014" s="41"/>
    </row>
    <row r="24015" spans="5:10" s="34" customFormat="1" x14ac:dyDescent="0.35">
      <c r="E24015" s="35"/>
      <c r="J24015" s="41"/>
    </row>
    <row r="24016" spans="5:10" s="34" customFormat="1" x14ac:dyDescent="0.35">
      <c r="E24016" s="35"/>
      <c r="J24016" s="41"/>
    </row>
    <row r="24017" spans="5:10" s="34" customFormat="1" x14ac:dyDescent="0.35">
      <c r="E24017" s="35"/>
      <c r="J24017" s="41"/>
    </row>
    <row r="24018" spans="5:10" s="34" customFormat="1" x14ac:dyDescent="0.35">
      <c r="E24018" s="35"/>
      <c r="J24018" s="41"/>
    </row>
    <row r="24019" spans="5:10" s="34" customFormat="1" x14ac:dyDescent="0.35">
      <c r="E24019" s="35"/>
      <c r="J24019" s="41"/>
    </row>
    <row r="24020" spans="5:10" s="34" customFormat="1" x14ac:dyDescent="0.35">
      <c r="E24020" s="35"/>
      <c r="J24020" s="41"/>
    </row>
    <row r="24021" spans="5:10" s="34" customFormat="1" x14ac:dyDescent="0.35">
      <c r="E24021" s="35"/>
      <c r="J24021" s="41"/>
    </row>
    <row r="24022" spans="5:10" s="34" customFormat="1" x14ac:dyDescent="0.35">
      <c r="E24022" s="35"/>
      <c r="J24022" s="41"/>
    </row>
    <row r="24023" spans="5:10" s="34" customFormat="1" x14ac:dyDescent="0.35">
      <c r="E24023" s="35"/>
      <c r="J24023" s="41"/>
    </row>
    <row r="24024" spans="5:10" s="34" customFormat="1" x14ac:dyDescent="0.35">
      <c r="E24024" s="35"/>
      <c r="J24024" s="41"/>
    </row>
    <row r="24025" spans="5:10" s="34" customFormat="1" x14ac:dyDescent="0.35">
      <c r="E24025" s="35"/>
      <c r="J24025" s="41"/>
    </row>
    <row r="24026" spans="5:10" s="34" customFormat="1" x14ac:dyDescent="0.35">
      <c r="E24026" s="35"/>
      <c r="J24026" s="41"/>
    </row>
    <row r="24027" spans="5:10" s="34" customFormat="1" x14ac:dyDescent="0.35">
      <c r="E24027" s="35"/>
      <c r="J24027" s="41"/>
    </row>
    <row r="24028" spans="5:10" s="34" customFormat="1" x14ac:dyDescent="0.35">
      <c r="E24028" s="35"/>
      <c r="J24028" s="41"/>
    </row>
    <row r="24029" spans="5:10" s="34" customFormat="1" x14ac:dyDescent="0.35">
      <c r="E24029" s="35"/>
      <c r="J24029" s="41"/>
    </row>
    <row r="24030" spans="5:10" s="34" customFormat="1" x14ac:dyDescent="0.35">
      <c r="E24030" s="35"/>
      <c r="J24030" s="41"/>
    </row>
    <row r="24031" spans="5:10" s="34" customFormat="1" x14ac:dyDescent="0.35">
      <c r="E24031" s="35"/>
      <c r="J24031" s="41"/>
    </row>
    <row r="24032" spans="5:10" s="34" customFormat="1" x14ac:dyDescent="0.35">
      <c r="E24032" s="35"/>
      <c r="J24032" s="41"/>
    </row>
    <row r="24033" spans="5:10" s="34" customFormat="1" x14ac:dyDescent="0.35">
      <c r="E24033" s="35"/>
      <c r="J24033" s="41"/>
    </row>
    <row r="24034" spans="5:10" s="34" customFormat="1" x14ac:dyDescent="0.35">
      <c r="E24034" s="35"/>
      <c r="J24034" s="41"/>
    </row>
    <row r="24035" spans="5:10" s="34" customFormat="1" x14ac:dyDescent="0.35">
      <c r="E24035" s="35"/>
      <c r="J24035" s="41"/>
    </row>
    <row r="24036" spans="5:10" s="34" customFormat="1" x14ac:dyDescent="0.35">
      <c r="E24036" s="35"/>
      <c r="J24036" s="41"/>
    </row>
    <row r="24037" spans="5:10" s="34" customFormat="1" x14ac:dyDescent="0.35">
      <c r="E24037" s="35"/>
      <c r="J24037" s="41"/>
    </row>
    <row r="24038" spans="5:10" s="34" customFormat="1" x14ac:dyDescent="0.35">
      <c r="E24038" s="35"/>
      <c r="J24038" s="41"/>
    </row>
    <row r="24039" spans="5:10" s="34" customFormat="1" x14ac:dyDescent="0.35">
      <c r="E24039" s="35"/>
      <c r="J24039" s="41"/>
    </row>
    <row r="24040" spans="5:10" s="34" customFormat="1" x14ac:dyDescent="0.35">
      <c r="E24040" s="35"/>
      <c r="J24040" s="41"/>
    </row>
    <row r="24041" spans="5:10" s="34" customFormat="1" x14ac:dyDescent="0.35">
      <c r="E24041" s="35"/>
      <c r="J24041" s="41"/>
    </row>
    <row r="24042" spans="5:10" s="34" customFormat="1" x14ac:dyDescent="0.35">
      <c r="E24042" s="35"/>
      <c r="J24042" s="41"/>
    </row>
    <row r="24043" spans="5:10" s="34" customFormat="1" x14ac:dyDescent="0.35">
      <c r="E24043" s="35"/>
      <c r="J24043" s="41"/>
    </row>
    <row r="24044" spans="5:10" s="34" customFormat="1" x14ac:dyDescent="0.35">
      <c r="E24044" s="35"/>
      <c r="J24044" s="41"/>
    </row>
    <row r="24045" spans="5:10" s="34" customFormat="1" x14ac:dyDescent="0.35">
      <c r="E24045" s="35"/>
      <c r="J24045" s="41"/>
    </row>
    <row r="24046" spans="5:10" s="34" customFormat="1" x14ac:dyDescent="0.35">
      <c r="E24046" s="35"/>
      <c r="J24046" s="41"/>
    </row>
    <row r="24047" spans="5:10" s="34" customFormat="1" x14ac:dyDescent="0.35">
      <c r="E24047" s="35"/>
      <c r="J24047" s="41"/>
    </row>
    <row r="24048" spans="5:10" s="34" customFormat="1" x14ac:dyDescent="0.35">
      <c r="E24048" s="35"/>
      <c r="J24048" s="41"/>
    </row>
    <row r="24049" spans="5:10" s="34" customFormat="1" x14ac:dyDescent="0.35">
      <c r="E24049" s="35"/>
      <c r="J24049" s="41"/>
    </row>
    <row r="24050" spans="5:10" s="34" customFormat="1" x14ac:dyDescent="0.35">
      <c r="E24050" s="35"/>
      <c r="J24050" s="41"/>
    </row>
    <row r="24051" spans="5:10" s="34" customFormat="1" x14ac:dyDescent="0.35">
      <c r="E24051" s="35"/>
      <c r="J24051" s="41"/>
    </row>
    <row r="24052" spans="5:10" s="34" customFormat="1" x14ac:dyDescent="0.35">
      <c r="E24052" s="35"/>
      <c r="J24052" s="41"/>
    </row>
    <row r="24053" spans="5:10" s="34" customFormat="1" x14ac:dyDescent="0.35">
      <c r="E24053" s="35"/>
      <c r="J24053" s="41"/>
    </row>
    <row r="24054" spans="5:10" s="34" customFormat="1" x14ac:dyDescent="0.35">
      <c r="E24054" s="35"/>
      <c r="J24054" s="41"/>
    </row>
    <row r="24055" spans="5:10" s="34" customFormat="1" x14ac:dyDescent="0.35">
      <c r="E24055" s="35"/>
      <c r="J24055" s="41"/>
    </row>
    <row r="24056" spans="5:10" s="34" customFormat="1" x14ac:dyDescent="0.35">
      <c r="E24056" s="35"/>
      <c r="J24056" s="41"/>
    </row>
    <row r="24057" spans="5:10" s="34" customFormat="1" x14ac:dyDescent="0.35">
      <c r="E24057" s="35"/>
      <c r="J24057" s="41"/>
    </row>
    <row r="24058" spans="5:10" s="34" customFormat="1" x14ac:dyDescent="0.35">
      <c r="E24058" s="35"/>
      <c r="J24058" s="41"/>
    </row>
    <row r="24059" spans="5:10" s="34" customFormat="1" x14ac:dyDescent="0.35">
      <c r="E24059" s="35"/>
      <c r="J24059" s="41"/>
    </row>
    <row r="24060" spans="5:10" s="34" customFormat="1" x14ac:dyDescent="0.35">
      <c r="E24060" s="35"/>
      <c r="J24060" s="41"/>
    </row>
    <row r="24061" spans="5:10" s="34" customFormat="1" x14ac:dyDescent="0.35">
      <c r="E24061" s="35"/>
      <c r="J24061" s="41"/>
    </row>
    <row r="24062" spans="5:10" s="34" customFormat="1" x14ac:dyDescent="0.35">
      <c r="E24062" s="35"/>
      <c r="J24062" s="41"/>
    </row>
    <row r="24063" spans="5:10" s="34" customFormat="1" x14ac:dyDescent="0.35">
      <c r="E24063" s="35"/>
      <c r="J24063" s="41"/>
    </row>
    <row r="24064" spans="5:10" s="34" customFormat="1" x14ac:dyDescent="0.35">
      <c r="E24064" s="35"/>
      <c r="J24064" s="41"/>
    </row>
    <row r="24065" spans="5:10" s="34" customFormat="1" x14ac:dyDescent="0.35">
      <c r="E24065" s="35"/>
      <c r="J24065" s="41"/>
    </row>
    <row r="24066" spans="5:10" s="34" customFormat="1" x14ac:dyDescent="0.35">
      <c r="E24066" s="35"/>
      <c r="J24066" s="41"/>
    </row>
    <row r="24067" spans="5:10" s="34" customFormat="1" x14ac:dyDescent="0.35">
      <c r="E24067" s="35"/>
      <c r="J24067" s="41"/>
    </row>
    <row r="24068" spans="5:10" s="34" customFormat="1" x14ac:dyDescent="0.35">
      <c r="E24068" s="35"/>
      <c r="J24068" s="41"/>
    </row>
    <row r="24069" spans="5:10" s="34" customFormat="1" x14ac:dyDescent="0.35">
      <c r="E24069" s="35"/>
      <c r="J24069" s="41"/>
    </row>
    <row r="24070" spans="5:10" s="34" customFormat="1" x14ac:dyDescent="0.35">
      <c r="E24070" s="35"/>
      <c r="J24070" s="41"/>
    </row>
    <row r="24071" spans="5:10" s="34" customFormat="1" x14ac:dyDescent="0.35">
      <c r="E24071" s="35"/>
      <c r="J24071" s="41"/>
    </row>
    <row r="24072" spans="5:10" s="34" customFormat="1" x14ac:dyDescent="0.35">
      <c r="E24072" s="35"/>
      <c r="J24072" s="41"/>
    </row>
    <row r="24073" spans="5:10" s="34" customFormat="1" x14ac:dyDescent="0.35">
      <c r="E24073" s="35"/>
      <c r="J24073" s="41"/>
    </row>
    <row r="24074" spans="5:10" s="34" customFormat="1" x14ac:dyDescent="0.35">
      <c r="E24074" s="35"/>
      <c r="J24074" s="41"/>
    </row>
    <row r="24075" spans="5:10" s="34" customFormat="1" x14ac:dyDescent="0.35">
      <c r="E24075" s="35"/>
      <c r="J24075" s="41"/>
    </row>
    <row r="24076" spans="5:10" s="34" customFormat="1" x14ac:dyDescent="0.35">
      <c r="E24076" s="35"/>
      <c r="J24076" s="41"/>
    </row>
    <row r="24077" spans="5:10" s="34" customFormat="1" x14ac:dyDescent="0.35">
      <c r="E24077" s="35"/>
      <c r="J24077" s="41"/>
    </row>
    <row r="24078" spans="5:10" s="34" customFormat="1" x14ac:dyDescent="0.35">
      <c r="E24078" s="35"/>
      <c r="J24078" s="41"/>
    </row>
    <row r="24079" spans="5:10" s="34" customFormat="1" x14ac:dyDescent="0.35">
      <c r="E24079" s="35"/>
      <c r="J24079" s="41"/>
    </row>
    <row r="24080" spans="5:10" s="34" customFormat="1" x14ac:dyDescent="0.35">
      <c r="E24080" s="35"/>
      <c r="J24080" s="41"/>
    </row>
    <row r="24081" spans="5:10" s="34" customFormat="1" x14ac:dyDescent="0.35">
      <c r="E24081" s="35"/>
      <c r="J24081" s="41"/>
    </row>
    <row r="24082" spans="5:10" s="34" customFormat="1" x14ac:dyDescent="0.35">
      <c r="E24082" s="35"/>
      <c r="J24082" s="41"/>
    </row>
    <row r="24083" spans="5:10" s="34" customFormat="1" x14ac:dyDescent="0.35">
      <c r="E24083" s="35"/>
      <c r="J24083" s="41"/>
    </row>
    <row r="24084" spans="5:10" s="34" customFormat="1" x14ac:dyDescent="0.35">
      <c r="E24084" s="35"/>
      <c r="J24084" s="41"/>
    </row>
    <row r="24085" spans="5:10" s="34" customFormat="1" x14ac:dyDescent="0.35">
      <c r="E24085" s="35"/>
      <c r="J24085" s="41"/>
    </row>
    <row r="24086" spans="5:10" s="34" customFormat="1" x14ac:dyDescent="0.35">
      <c r="E24086" s="35"/>
      <c r="J24086" s="41"/>
    </row>
    <row r="24087" spans="5:10" s="34" customFormat="1" x14ac:dyDescent="0.35">
      <c r="E24087" s="35"/>
      <c r="J24087" s="41"/>
    </row>
    <row r="24088" spans="5:10" s="34" customFormat="1" x14ac:dyDescent="0.35">
      <c r="E24088" s="35"/>
      <c r="J24088" s="41"/>
    </row>
    <row r="24089" spans="5:10" s="34" customFormat="1" x14ac:dyDescent="0.35">
      <c r="E24089" s="35"/>
      <c r="J24089" s="41"/>
    </row>
    <row r="24090" spans="5:10" s="34" customFormat="1" x14ac:dyDescent="0.35">
      <c r="E24090" s="35"/>
      <c r="J24090" s="41"/>
    </row>
    <row r="24091" spans="5:10" s="34" customFormat="1" x14ac:dyDescent="0.35">
      <c r="E24091" s="35"/>
      <c r="J24091" s="41"/>
    </row>
    <row r="24092" spans="5:10" s="34" customFormat="1" x14ac:dyDescent="0.35">
      <c r="E24092" s="35"/>
      <c r="J24092" s="41"/>
    </row>
    <row r="24093" spans="5:10" s="34" customFormat="1" x14ac:dyDescent="0.35">
      <c r="E24093" s="35"/>
      <c r="J24093" s="41"/>
    </row>
    <row r="24094" spans="5:10" s="34" customFormat="1" x14ac:dyDescent="0.35">
      <c r="E24094" s="35"/>
      <c r="J24094" s="41"/>
    </row>
    <row r="24095" spans="5:10" s="34" customFormat="1" x14ac:dyDescent="0.35">
      <c r="E24095" s="35"/>
      <c r="J24095" s="41"/>
    </row>
    <row r="24096" spans="5:10" s="34" customFormat="1" x14ac:dyDescent="0.35">
      <c r="E24096" s="35"/>
      <c r="J24096" s="41"/>
    </row>
    <row r="24097" spans="5:10" s="34" customFormat="1" x14ac:dyDescent="0.35">
      <c r="E24097" s="35"/>
      <c r="J24097" s="41"/>
    </row>
    <row r="24098" spans="5:10" s="34" customFormat="1" x14ac:dyDescent="0.35">
      <c r="E24098" s="35"/>
      <c r="J24098" s="41"/>
    </row>
    <row r="24099" spans="5:10" s="34" customFormat="1" x14ac:dyDescent="0.35">
      <c r="E24099" s="35"/>
      <c r="J24099" s="41"/>
    </row>
    <row r="24100" spans="5:10" s="34" customFormat="1" x14ac:dyDescent="0.35">
      <c r="E24100" s="35"/>
      <c r="J24100" s="41"/>
    </row>
    <row r="24101" spans="5:10" s="34" customFormat="1" x14ac:dyDescent="0.35">
      <c r="E24101" s="35"/>
      <c r="J24101" s="41"/>
    </row>
    <row r="24102" spans="5:10" s="34" customFormat="1" x14ac:dyDescent="0.35">
      <c r="E24102" s="35"/>
      <c r="J24102" s="41"/>
    </row>
    <row r="24103" spans="5:10" s="34" customFormat="1" x14ac:dyDescent="0.35">
      <c r="E24103" s="35"/>
      <c r="J24103" s="41"/>
    </row>
    <row r="24104" spans="5:10" s="34" customFormat="1" x14ac:dyDescent="0.35">
      <c r="E24104" s="35"/>
      <c r="J24104" s="41"/>
    </row>
    <row r="24105" spans="5:10" s="34" customFormat="1" x14ac:dyDescent="0.35">
      <c r="E24105" s="35"/>
      <c r="J24105" s="41"/>
    </row>
    <row r="24106" spans="5:10" s="34" customFormat="1" x14ac:dyDescent="0.35">
      <c r="E24106" s="35"/>
      <c r="J24106" s="41"/>
    </row>
    <row r="24107" spans="5:10" s="34" customFormat="1" x14ac:dyDescent="0.35">
      <c r="E24107" s="35"/>
      <c r="J24107" s="41"/>
    </row>
    <row r="24108" spans="5:10" s="34" customFormat="1" x14ac:dyDescent="0.35">
      <c r="E24108" s="35"/>
      <c r="J24108" s="41"/>
    </row>
    <row r="24109" spans="5:10" s="34" customFormat="1" x14ac:dyDescent="0.35">
      <c r="E24109" s="35"/>
      <c r="J24109" s="41"/>
    </row>
    <row r="24110" spans="5:10" s="34" customFormat="1" x14ac:dyDescent="0.35">
      <c r="E24110" s="35"/>
      <c r="J24110" s="41"/>
    </row>
    <row r="24111" spans="5:10" s="34" customFormat="1" x14ac:dyDescent="0.35">
      <c r="E24111" s="35"/>
      <c r="J24111" s="41"/>
    </row>
    <row r="24112" spans="5:10" s="34" customFormat="1" x14ac:dyDescent="0.35">
      <c r="E24112" s="35"/>
      <c r="J24112" s="41"/>
    </row>
    <row r="24113" spans="5:10" s="34" customFormat="1" x14ac:dyDescent="0.35">
      <c r="E24113" s="35"/>
      <c r="J24113" s="41"/>
    </row>
    <row r="24114" spans="5:10" s="34" customFormat="1" x14ac:dyDescent="0.35">
      <c r="E24114" s="35"/>
      <c r="J24114" s="41"/>
    </row>
    <row r="24115" spans="5:10" s="34" customFormat="1" x14ac:dyDescent="0.35">
      <c r="E24115" s="35"/>
      <c r="J24115" s="41"/>
    </row>
    <row r="24116" spans="5:10" s="34" customFormat="1" x14ac:dyDescent="0.35">
      <c r="E24116" s="35"/>
      <c r="J24116" s="41"/>
    </row>
    <row r="24117" spans="5:10" s="34" customFormat="1" x14ac:dyDescent="0.35">
      <c r="E24117" s="35"/>
      <c r="J24117" s="41"/>
    </row>
    <row r="24118" spans="5:10" s="34" customFormat="1" x14ac:dyDescent="0.35">
      <c r="E24118" s="35"/>
      <c r="J24118" s="41"/>
    </row>
    <row r="24119" spans="5:10" s="34" customFormat="1" x14ac:dyDescent="0.35">
      <c r="E24119" s="35"/>
      <c r="J24119" s="41"/>
    </row>
    <row r="24120" spans="5:10" s="34" customFormat="1" x14ac:dyDescent="0.35">
      <c r="E24120" s="35"/>
      <c r="J24120" s="41"/>
    </row>
    <row r="24121" spans="5:10" s="34" customFormat="1" x14ac:dyDescent="0.35">
      <c r="E24121" s="35"/>
      <c r="J24121" s="41"/>
    </row>
    <row r="24122" spans="5:10" s="34" customFormat="1" x14ac:dyDescent="0.35">
      <c r="E24122" s="35"/>
      <c r="J24122" s="41"/>
    </row>
    <row r="24123" spans="5:10" s="34" customFormat="1" x14ac:dyDescent="0.35">
      <c r="E24123" s="35"/>
      <c r="J24123" s="41"/>
    </row>
    <row r="24124" spans="5:10" s="34" customFormat="1" x14ac:dyDescent="0.35">
      <c r="E24124" s="35"/>
      <c r="J24124" s="41"/>
    </row>
    <row r="24125" spans="5:10" s="34" customFormat="1" x14ac:dyDescent="0.35">
      <c r="E24125" s="35"/>
      <c r="J24125" s="41"/>
    </row>
    <row r="24126" spans="5:10" s="34" customFormat="1" x14ac:dyDescent="0.35">
      <c r="E24126" s="35"/>
      <c r="J24126" s="41"/>
    </row>
    <row r="24127" spans="5:10" s="34" customFormat="1" x14ac:dyDescent="0.35">
      <c r="E24127" s="35"/>
      <c r="J24127" s="41"/>
    </row>
    <row r="24128" spans="5:10" s="34" customFormat="1" x14ac:dyDescent="0.35">
      <c r="E24128" s="35"/>
      <c r="J24128" s="41"/>
    </row>
    <row r="24129" spans="5:10" s="34" customFormat="1" x14ac:dyDescent="0.35">
      <c r="E24129" s="35"/>
      <c r="J24129" s="41"/>
    </row>
    <row r="24130" spans="5:10" s="34" customFormat="1" x14ac:dyDescent="0.35">
      <c r="E24130" s="35"/>
      <c r="J24130" s="41"/>
    </row>
    <row r="24131" spans="5:10" s="34" customFormat="1" x14ac:dyDescent="0.35">
      <c r="E24131" s="35"/>
      <c r="J24131" s="41"/>
    </row>
    <row r="24132" spans="5:10" s="34" customFormat="1" x14ac:dyDescent="0.35">
      <c r="E24132" s="35"/>
      <c r="J24132" s="41"/>
    </row>
    <row r="24133" spans="5:10" s="34" customFormat="1" x14ac:dyDescent="0.35">
      <c r="E24133" s="35"/>
      <c r="J24133" s="41"/>
    </row>
    <row r="24134" spans="5:10" s="34" customFormat="1" x14ac:dyDescent="0.35">
      <c r="E24134" s="35"/>
      <c r="J24134" s="41"/>
    </row>
    <row r="24135" spans="5:10" s="34" customFormat="1" x14ac:dyDescent="0.35">
      <c r="E24135" s="35"/>
      <c r="J24135" s="41"/>
    </row>
    <row r="24136" spans="5:10" s="34" customFormat="1" x14ac:dyDescent="0.35">
      <c r="E24136" s="35"/>
      <c r="J24136" s="41"/>
    </row>
    <row r="24137" spans="5:10" s="34" customFormat="1" x14ac:dyDescent="0.35">
      <c r="E24137" s="35"/>
      <c r="J24137" s="41"/>
    </row>
    <row r="24138" spans="5:10" s="34" customFormat="1" x14ac:dyDescent="0.35">
      <c r="E24138" s="35"/>
      <c r="J24138" s="41"/>
    </row>
    <row r="24139" spans="5:10" s="34" customFormat="1" x14ac:dyDescent="0.35">
      <c r="E24139" s="35"/>
      <c r="J24139" s="41"/>
    </row>
    <row r="24140" spans="5:10" s="34" customFormat="1" x14ac:dyDescent="0.35">
      <c r="E24140" s="35"/>
      <c r="J24140" s="41"/>
    </row>
    <row r="24141" spans="5:10" s="34" customFormat="1" x14ac:dyDescent="0.35">
      <c r="E24141" s="35"/>
      <c r="J24141" s="41"/>
    </row>
    <row r="24142" spans="5:10" s="34" customFormat="1" x14ac:dyDescent="0.35">
      <c r="E24142" s="35"/>
      <c r="J24142" s="41"/>
    </row>
    <row r="24143" spans="5:10" s="34" customFormat="1" x14ac:dyDescent="0.35">
      <c r="E24143" s="35"/>
      <c r="J24143" s="41"/>
    </row>
    <row r="24144" spans="5:10" s="34" customFormat="1" x14ac:dyDescent="0.35">
      <c r="E24144" s="35"/>
      <c r="J24144" s="41"/>
    </row>
    <row r="24145" spans="5:10" s="34" customFormat="1" x14ac:dyDescent="0.35">
      <c r="E24145" s="35"/>
      <c r="J24145" s="41"/>
    </row>
    <row r="24146" spans="5:10" s="34" customFormat="1" x14ac:dyDescent="0.35">
      <c r="E24146" s="35"/>
      <c r="J24146" s="41"/>
    </row>
    <row r="24147" spans="5:10" s="34" customFormat="1" x14ac:dyDescent="0.35">
      <c r="E24147" s="35"/>
      <c r="J24147" s="41"/>
    </row>
    <row r="24148" spans="5:10" s="34" customFormat="1" x14ac:dyDescent="0.35">
      <c r="E24148" s="35"/>
      <c r="J24148" s="41"/>
    </row>
    <row r="24149" spans="5:10" s="34" customFormat="1" x14ac:dyDescent="0.35">
      <c r="E24149" s="35"/>
      <c r="J24149" s="41"/>
    </row>
    <row r="24150" spans="5:10" s="34" customFormat="1" x14ac:dyDescent="0.35">
      <c r="E24150" s="35"/>
      <c r="J24150" s="41"/>
    </row>
    <row r="24151" spans="5:10" s="34" customFormat="1" x14ac:dyDescent="0.35">
      <c r="E24151" s="35"/>
      <c r="J24151" s="41"/>
    </row>
    <row r="24152" spans="5:10" s="34" customFormat="1" x14ac:dyDescent="0.35">
      <c r="E24152" s="35"/>
      <c r="J24152" s="41"/>
    </row>
    <row r="24153" spans="5:10" s="34" customFormat="1" x14ac:dyDescent="0.35">
      <c r="E24153" s="35"/>
      <c r="J24153" s="41"/>
    </row>
    <row r="24154" spans="5:10" s="34" customFormat="1" x14ac:dyDescent="0.35">
      <c r="E24154" s="35"/>
      <c r="J24154" s="41"/>
    </row>
    <row r="24155" spans="5:10" s="34" customFormat="1" x14ac:dyDescent="0.35">
      <c r="E24155" s="35"/>
      <c r="J24155" s="41"/>
    </row>
    <row r="24156" spans="5:10" s="34" customFormat="1" x14ac:dyDescent="0.35">
      <c r="E24156" s="35"/>
      <c r="J24156" s="41"/>
    </row>
    <row r="24157" spans="5:10" s="34" customFormat="1" x14ac:dyDescent="0.35">
      <c r="E24157" s="35"/>
      <c r="J24157" s="41"/>
    </row>
    <row r="24158" spans="5:10" s="34" customFormat="1" x14ac:dyDescent="0.35">
      <c r="E24158" s="35"/>
      <c r="J24158" s="41"/>
    </row>
    <row r="24159" spans="5:10" s="34" customFormat="1" x14ac:dyDescent="0.35">
      <c r="E24159" s="35"/>
      <c r="J24159" s="41"/>
    </row>
    <row r="24160" spans="5:10" s="34" customFormat="1" x14ac:dyDescent="0.35">
      <c r="E24160" s="35"/>
      <c r="J24160" s="41"/>
    </row>
    <row r="24161" spans="5:10" s="34" customFormat="1" x14ac:dyDescent="0.35">
      <c r="E24161" s="35"/>
      <c r="J24161" s="41"/>
    </row>
    <row r="24162" spans="5:10" s="34" customFormat="1" x14ac:dyDescent="0.35">
      <c r="E24162" s="35"/>
      <c r="J24162" s="41"/>
    </row>
    <row r="24163" spans="5:10" s="34" customFormat="1" x14ac:dyDescent="0.35">
      <c r="E24163" s="35"/>
      <c r="J24163" s="41"/>
    </row>
    <row r="24164" spans="5:10" s="34" customFormat="1" x14ac:dyDescent="0.35">
      <c r="E24164" s="35"/>
      <c r="J24164" s="41"/>
    </row>
    <row r="24165" spans="5:10" s="34" customFormat="1" x14ac:dyDescent="0.35">
      <c r="E24165" s="35"/>
      <c r="J24165" s="41"/>
    </row>
    <row r="24166" spans="5:10" s="34" customFormat="1" x14ac:dyDescent="0.35">
      <c r="E24166" s="35"/>
      <c r="J24166" s="41"/>
    </row>
    <row r="24167" spans="5:10" s="34" customFormat="1" x14ac:dyDescent="0.35">
      <c r="E24167" s="35"/>
      <c r="J24167" s="41"/>
    </row>
    <row r="24168" spans="5:10" s="34" customFormat="1" x14ac:dyDescent="0.35">
      <c r="E24168" s="35"/>
      <c r="J24168" s="41"/>
    </row>
    <row r="24169" spans="5:10" s="34" customFormat="1" x14ac:dyDescent="0.35">
      <c r="E24169" s="35"/>
      <c r="J24169" s="41"/>
    </row>
    <row r="24170" spans="5:10" s="34" customFormat="1" x14ac:dyDescent="0.35">
      <c r="E24170" s="35"/>
      <c r="J24170" s="41"/>
    </row>
    <row r="24171" spans="5:10" s="34" customFormat="1" x14ac:dyDescent="0.35">
      <c r="E24171" s="35"/>
      <c r="J24171" s="41"/>
    </row>
    <row r="24172" spans="5:10" s="34" customFormat="1" x14ac:dyDescent="0.35">
      <c r="E24172" s="35"/>
      <c r="J24172" s="41"/>
    </row>
    <row r="24173" spans="5:10" s="34" customFormat="1" x14ac:dyDescent="0.35">
      <c r="E24173" s="35"/>
      <c r="J24173" s="41"/>
    </row>
    <row r="24174" spans="5:10" s="34" customFormat="1" x14ac:dyDescent="0.35">
      <c r="E24174" s="35"/>
      <c r="J24174" s="41"/>
    </row>
    <row r="24175" spans="5:10" s="34" customFormat="1" x14ac:dyDescent="0.35">
      <c r="E24175" s="35"/>
      <c r="J24175" s="41"/>
    </row>
    <row r="24176" spans="5:10" s="34" customFormat="1" x14ac:dyDescent="0.35">
      <c r="E24176" s="35"/>
      <c r="J24176" s="41"/>
    </row>
    <row r="24177" spans="5:10" s="34" customFormat="1" x14ac:dyDescent="0.35">
      <c r="E24177" s="35"/>
      <c r="J24177" s="41"/>
    </row>
    <row r="24178" spans="5:10" s="34" customFormat="1" x14ac:dyDescent="0.35">
      <c r="E24178" s="35"/>
      <c r="J24178" s="41"/>
    </row>
    <row r="24179" spans="5:10" s="34" customFormat="1" x14ac:dyDescent="0.35">
      <c r="E24179" s="35"/>
      <c r="J24179" s="41"/>
    </row>
    <row r="24180" spans="5:10" s="34" customFormat="1" x14ac:dyDescent="0.35">
      <c r="E24180" s="35"/>
      <c r="J24180" s="41"/>
    </row>
    <row r="24181" spans="5:10" s="34" customFormat="1" x14ac:dyDescent="0.35">
      <c r="E24181" s="35"/>
      <c r="J24181" s="41"/>
    </row>
    <row r="24182" spans="5:10" s="34" customFormat="1" x14ac:dyDescent="0.35">
      <c r="E24182" s="35"/>
      <c r="J24182" s="41"/>
    </row>
    <row r="24183" spans="5:10" s="34" customFormat="1" x14ac:dyDescent="0.35">
      <c r="E24183" s="35"/>
      <c r="J24183" s="41"/>
    </row>
    <row r="24184" spans="5:10" s="34" customFormat="1" x14ac:dyDescent="0.35">
      <c r="E24184" s="35"/>
      <c r="J24184" s="41"/>
    </row>
    <row r="24185" spans="5:10" s="34" customFormat="1" x14ac:dyDescent="0.35">
      <c r="E24185" s="35"/>
      <c r="J24185" s="41"/>
    </row>
    <row r="24186" spans="5:10" s="34" customFormat="1" x14ac:dyDescent="0.35">
      <c r="E24186" s="35"/>
      <c r="J24186" s="41"/>
    </row>
    <row r="24187" spans="5:10" s="34" customFormat="1" x14ac:dyDescent="0.35">
      <c r="E24187" s="35"/>
      <c r="J24187" s="41"/>
    </row>
    <row r="24188" spans="5:10" s="34" customFormat="1" x14ac:dyDescent="0.35">
      <c r="E24188" s="35"/>
      <c r="J24188" s="41"/>
    </row>
    <row r="24189" spans="5:10" s="34" customFormat="1" x14ac:dyDescent="0.35">
      <c r="E24189" s="35"/>
      <c r="J24189" s="41"/>
    </row>
    <row r="24190" spans="5:10" s="34" customFormat="1" x14ac:dyDescent="0.35">
      <c r="E24190" s="35"/>
      <c r="J24190" s="41"/>
    </row>
    <row r="24191" spans="5:10" s="34" customFormat="1" x14ac:dyDescent="0.35">
      <c r="E24191" s="35"/>
      <c r="J24191" s="41"/>
    </row>
    <row r="24192" spans="5:10" s="34" customFormat="1" x14ac:dyDescent="0.35">
      <c r="E24192" s="35"/>
      <c r="J24192" s="41"/>
    </row>
    <row r="24193" spans="5:10" s="34" customFormat="1" x14ac:dyDescent="0.35">
      <c r="E24193" s="35"/>
      <c r="J24193" s="41"/>
    </row>
    <row r="24194" spans="5:10" s="34" customFormat="1" x14ac:dyDescent="0.35">
      <c r="E24194" s="35"/>
      <c r="J24194" s="41"/>
    </row>
    <row r="24195" spans="5:10" s="34" customFormat="1" x14ac:dyDescent="0.35">
      <c r="E24195" s="35"/>
      <c r="J24195" s="41"/>
    </row>
    <row r="24196" spans="5:10" s="34" customFormat="1" x14ac:dyDescent="0.35">
      <c r="E24196" s="35"/>
      <c r="J24196" s="41"/>
    </row>
    <row r="24197" spans="5:10" s="34" customFormat="1" x14ac:dyDescent="0.35">
      <c r="E24197" s="35"/>
      <c r="J24197" s="41"/>
    </row>
    <row r="24198" spans="5:10" s="34" customFormat="1" x14ac:dyDescent="0.35">
      <c r="E24198" s="35"/>
      <c r="J24198" s="41"/>
    </row>
    <row r="24199" spans="5:10" s="34" customFormat="1" x14ac:dyDescent="0.35">
      <c r="E24199" s="35"/>
      <c r="J24199" s="41"/>
    </row>
    <row r="24200" spans="5:10" s="34" customFormat="1" x14ac:dyDescent="0.35">
      <c r="E24200" s="35"/>
      <c r="J24200" s="41"/>
    </row>
    <row r="24201" spans="5:10" s="34" customFormat="1" x14ac:dyDescent="0.35">
      <c r="E24201" s="35"/>
      <c r="J24201" s="41"/>
    </row>
    <row r="24202" spans="5:10" s="34" customFormat="1" x14ac:dyDescent="0.35">
      <c r="E24202" s="35"/>
      <c r="J24202" s="41"/>
    </row>
    <row r="24203" spans="5:10" s="34" customFormat="1" x14ac:dyDescent="0.35">
      <c r="E24203" s="35"/>
      <c r="J24203" s="41"/>
    </row>
    <row r="24204" spans="5:10" s="34" customFormat="1" x14ac:dyDescent="0.35">
      <c r="E24204" s="35"/>
      <c r="J24204" s="41"/>
    </row>
    <row r="24205" spans="5:10" s="34" customFormat="1" x14ac:dyDescent="0.35">
      <c r="E24205" s="35"/>
      <c r="J24205" s="41"/>
    </row>
    <row r="24206" spans="5:10" s="34" customFormat="1" x14ac:dyDescent="0.35">
      <c r="E24206" s="35"/>
      <c r="J24206" s="41"/>
    </row>
    <row r="24207" spans="5:10" s="34" customFormat="1" x14ac:dyDescent="0.35">
      <c r="E24207" s="35"/>
      <c r="J24207" s="41"/>
    </row>
    <row r="24208" spans="5:10" s="34" customFormat="1" x14ac:dyDescent="0.35">
      <c r="E24208" s="35"/>
      <c r="J24208" s="41"/>
    </row>
    <row r="24209" spans="5:10" s="34" customFormat="1" x14ac:dyDescent="0.35">
      <c r="E24209" s="35"/>
      <c r="J24209" s="41"/>
    </row>
    <row r="24210" spans="5:10" s="34" customFormat="1" x14ac:dyDescent="0.35">
      <c r="E24210" s="35"/>
      <c r="J24210" s="41"/>
    </row>
    <row r="24211" spans="5:10" s="34" customFormat="1" x14ac:dyDescent="0.35">
      <c r="E24211" s="35"/>
      <c r="J24211" s="41"/>
    </row>
    <row r="24212" spans="5:10" s="34" customFormat="1" x14ac:dyDescent="0.35">
      <c r="E24212" s="35"/>
      <c r="J24212" s="41"/>
    </row>
    <row r="24213" spans="5:10" s="34" customFormat="1" x14ac:dyDescent="0.35">
      <c r="E24213" s="35"/>
      <c r="J24213" s="41"/>
    </row>
    <row r="24214" spans="5:10" s="34" customFormat="1" x14ac:dyDescent="0.35">
      <c r="E24214" s="35"/>
      <c r="J24214" s="41"/>
    </row>
    <row r="24215" spans="5:10" s="34" customFormat="1" x14ac:dyDescent="0.35">
      <c r="E24215" s="35"/>
      <c r="J24215" s="41"/>
    </row>
    <row r="24216" spans="5:10" s="34" customFormat="1" x14ac:dyDescent="0.35">
      <c r="E24216" s="35"/>
      <c r="J24216" s="41"/>
    </row>
    <row r="24217" spans="5:10" s="34" customFormat="1" x14ac:dyDescent="0.35">
      <c r="E24217" s="35"/>
      <c r="J24217" s="41"/>
    </row>
    <row r="24218" spans="5:10" s="34" customFormat="1" x14ac:dyDescent="0.35">
      <c r="E24218" s="35"/>
      <c r="J24218" s="41"/>
    </row>
    <row r="24219" spans="5:10" s="34" customFormat="1" x14ac:dyDescent="0.35">
      <c r="E24219" s="35"/>
      <c r="J24219" s="41"/>
    </row>
    <row r="24220" spans="5:10" s="34" customFormat="1" x14ac:dyDescent="0.35">
      <c r="E24220" s="35"/>
      <c r="J24220" s="41"/>
    </row>
    <row r="24221" spans="5:10" s="34" customFormat="1" x14ac:dyDescent="0.35">
      <c r="E24221" s="35"/>
      <c r="J24221" s="41"/>
    </row>
    <row r="24222" spans="5:10" s="34" customFormat="1" x14ac:dyDescent="0.35">
      <c r="E24222" s="35"/>
      <c r="J24222" s="41"/>
    </row>
    <row r="24223" spans="5:10" s="34" customFormat="1" x14ac:dyDescent="0.35">
      <c r="E24223" s="35"/>
      <c r="J24223" s="41"/>
    </row>
    <row r="24224" spans="5:10" s="34" customFormat="1" x14ac:dyDescent="0.35">
      <c r="E24224" s="35"/>
      <c r="J24224" s="41"/>
    </row>
    <row r="24225" spans="5:10" s="34" customFormat="1" x14ac:dyDescent="0.35">
      <c r="E24225" s="35"/>
      <c r="J24225" s="41"/>
    </row>
    <row r="24226" spans="5:10" s="34" customFormat="1" x14ac:dyDescent="0.35">
      <c r="E24226" s="35"/>
      <c r="J24226" s="41"/>
    </row>
    <row r="24227" spans="5:10" s="34" customFormat="1" x14ac:dyDescent="0.35">
      <c r="E24227" s="35"/>
      <c r="J24227" s="41"/>
    </row>
    <row r="24228" spans="5:10" s="34" customFormat="1" x14ac:dyDescent="0.35">
      <c r="E24228" s="35"/>
      <c r="J24228" s="41"/>
    </row>
    <row r="24229" spans="5:10" s="34" customFormat="1" x14ac:dyDescent="0.35">
      <c r="E24229" s="35"/>
      <c r="J24229" s="41"/>
    </row>
    <row r="24230" spans="5:10" s="34" customFormat="1" x14ac:dyDescent="0.35">
      <c r="E24230" s="35"/>
      <c r="J24230" s="41"/>
    </row>
    <row r="24231" spans="5:10" s="34" customFormat="1" x14ac:dyDescent="0.35">
      <c r="E24231" s="35"/>
      <c r="J24231" s="41"/>
    </row>
    <row r="24232" spans="5:10" s="34" customFormat="1" x14ac:dyDescent="0.35">
      <c r="E24232" s="35"/>
      <c r="J24232" s="41"/>
    </row>
    <row r="24233" spans="5:10" s="34" customFormat="1" x14ac:dyDescent="0.35">
      <c r="E24233" s="35"/>
      <c r="J24233" s="41"/>
    </row>
    <row r="24234" spans="5:10" s="34" customFormat="1" x14ac:dyDescent="0.35">
      <c r="E24234" s="35"/>
      <c r="J24234" s="41"/>
    </row>
    <row r="24235" spans="5:10" s="34" customFormat="1" x14ac:dyDescent="0.35">
      <c r="E24235" s="35"/>
      <c r="J24235" s="41"/>
    </row>
    <row r="24236" spans="5:10" s="34" customFormat="1" x14ac:dyDescent="0.35">
      <c r="E24236" s="35"/>
      <c r="J24236" s="41"/>
    </row>
    <row r="24237" spans="5:10" s="34" customFormat="1" x14ac:dyDescent="0.35">
      <c r="E24237" s="35"/>
      <c r="J24237" s="41"/>
    </row>
    <row r="24238" spans="5:10" s="34" customFormat="1" x14ac:dyDescent="0.35">
      <c r="E24238" s="35"/>
      <c r="J24238" s="41"/>
    </row>
    <row r="24239" spans="5:10" s="34" customFormat="1" x14ac:dyDescent="0.35">
      <c r="E24239" s="35"/>
      <c r="J24239" s="41"/>
    </row>
    <row r="24240" spans="5:10" s="34" customFormat="1" x14ac:dyDescent="0.35">
      <c r="E24240" s="35"/>
      <c r="J24240" s="41"/>
    </row>
    <row r="24241" spans="5:10" s="34" customFormat="1" x14ac:dyDescent="0.35">
      <c r="E24241" s="35"/>
      <c r="J24241" s="41"/>
    </row>
    <row r="24242" spans="5:10" s="34" customFormat="1" x14ac:dyDescent="0.35">
      <c r="E24242" s="35"/>
      <c r="J24242" s="41"/>
    </row>
    <row r="24243" spans="5:10" s="34" customFormat="1" x14ac:dyDescent="0.35">
      <c r="E24243" s="35"/>
      <c r="J24243" s="41"/>
    </row>
    <row r="24244" spans="5:10" s="34" customFormat="1" x14ac:dyDescent="0.35">
      <c r="E24244" s="35"/>
      <c r="J24244" s="41"/>
    </row>
    <row r="24245" spans="5:10" s="34" customFormat="1" x14ac:dyDescent="0.35">
      <c r="E24245" s="35"/>
      <c r="J24245" s="41"/>
    </row>
    <row r="24246" spans="5:10" s="34" customFormat="1" x14ac:dyDescent="0.35">
      <c r="E24246" s="35"/>
      <c r="J24246" s="41"/>
    </row>
    <row r="24247" spans="5:10" s="34" customFormat="1" x14ac:dyDescent="0.35">
      <c r="E24247" s="35"/>
      <c r="J24247" s="41"/>
    </row>
    <row r="24248" spans="5:10" s="34" customFormat="1" x14ac:dyDescent="0.35">
      <c r="E24248" s="35"/>
      <c r="J24248" s="41"/>
    </row>
    <row r="24249" spans="5:10" s="34" customFormat="1" x14ac:dyDescent="0.35">
      <c r="E24249" s="35"/>
      <c r="J24249" s="41"/>
    </row>
    <row r="24250" spans="5:10" s="34" customFormat="1" x14ac:dyDescent="0.35">
      <c r="E24250" s="35"/>
      <c r="J24250" s="41"/>
    </row>
    <row r="24251" spans="5:10" s="34" customFormat="1" x14ac:dyDescent="0.35">
      <c r="E24251" s="35"/>
      <c r="J24251" s="41"/>
    </row>
    <row r="24252" spans="5:10" s="34" customFormat="1" x14ac:dyDescent="0.35">
      <c r="E24252" s="35"/>
      <c r="J24252" s="41"/>
    </row>
    <row r="24253" spans="5:10" s="34" customFormat="1" x14ac:dyDescent="0.35">
      <c r="E24253" s="35"/>
      <c r="J24253" s="41"/>
    </row>
    <row r="24254" spans="5:10" s="34" customFormat="1" x14ac:dyDescent="0.35">
      <c r="E24254" s="35"/>
      <c r="J24254" s="41"/>
    </row>
    <row r="24255" spans="5:10" s="34" customFormat="1" x14ac:dyDescent="0.35">
      <c r="E24255" s="35"/>
      <c r="J24255" s="41"/>
    </row>
    <row r="24256" spans="5:10" s="34" customFormat="1" x14ac:dyDescent="0.35">
      <c r="E24256" s="35"/>
      <c r="J24256" s="41"/>
    </row>
    <row r="24257" spans="5:10" s="34" customFormat="1" x14ac:dyDescent="0.35">
      <c r="E24257" s="35"/>
      <c r="J24257" s="41"/>
    </row>
    <row r="24258" spans="5:10" s="34" customFormat="1" x14ac:dyDescent="0.35">
      <c r="E24258" s="35"/>
      <c r="J24258" s="41"/>
    </row>
    <row r="24259" spans="5:10" s="34" customFormat="1" x14ac:dyDescent="0.35">
      <c r="E24259" s="35"/>
      <c r="J24259" s="41"/>
    </row>
    <row r="24260" spans="5:10" s="34" customFormat="1" x14ac:dyDescent="0.35">
      <c r="E24260" s="35"/>
      <c r="J24260" s="41"/>
    </row>
    <row r="24261" spans="5:10" s="34" customFormat="1" x14ac:dyDescent="0.35">
      <c r="E24261" s="35"/>
      <c r="J24261" s="41"/>
    </row>
    <row r="24262" spans="5:10" s="34" customFormat="1" x14ac:dyDescent="0.35">
      <c r="E24262" s="35"/>
      <c r="J24262" s="41"/>
    </row>
    <row r="24263" spans="5:10" s="34" customFormat="1" x14ac:dyDescent="0.35">
      <c r="E24263" s="35"/>
      <c r="J24263" s="41"/>
    </row>
    <row r="24264" spans="5:10" s="34" customFormat="1" x14ac:dyDescent="0.35">
      <c r="E24264" s="35"/>
      <c r="J24264" s="41"/>
    </row>
    <row r="24265" spans="5:10" s="34" customFormat="1" x14ac:dyDescent="0.35">
      <c r="E24265" s="35"/>
      <c r="J24265" s="41"/>
    </row>
    <row r="24266" spans="5:10" s="34" customFormat="1" x14ac:dyDescent="0.35">
      <c r="E24266" s="35"/>
      <c r="J24266" s="41"/>
    </row>
    <row r="24267" spans="5:10" s="34" customFormat="1" x14ac:dyDescent="0.35">
      <c r="E24267" s="35"/>
      <c r="J24267" s="41"/>
    </row>
    <row r="24268" spans="5:10" s="34" customFormat="1" x14ac:dyDescent="0.35">
      <c r="E24268" s="35"/>
      <c r="J24268" s="41"/>
    </row>
    <row r="24269" spans="5:10" s="34" customFormat="1" x14ac:dyDescent="0.35">
      <c r="E24269" s="35"/>
      <c r="J24269" s="41"/>
    </row>
    <row r="24270" spans="5:10" s="34" customFormat="1" x14ac:dyDescent="0.35">
      <c r="E24270" s="35"/>
      <c r="J24270" s="41"/>
    </row>
    <row r="24271" spans="5:10" s="34" customFormat="1" x14ac:dyDescent="0.35">
      <c r="E24271" s="35"/>
      <c r="J24271" s="41"/>
    </row>
    <row r="24272" spans="5:10" s="34" customFormat="1" x14ac:dyDescent="0.35">
      <c r="E24272" s="35"/>
      <c r="J24272" s="41"/>
    </row>
    <row r="24273" spans="5:10" s="34" customFormat="1" x14ac:dyDescent="0.35">
      <c r="E24273" s="35"/>
      <c r="J24273" s="41"/>
    </row>
    <row r="24274" spans="5:10" s="34" customFormat="1" x14ac:dyDescent="0.35">
      <c r="E24274" s="35"/>
      <c r="J24274" s="41"/>
    </row>
    <row r="24275" spans="5:10" s="34" customFormat="1" x14ac:dyDescent="0.35">
      <c r="E24275" s="35"/>
      <c r="J24275" s="41"/>
    </row>
    <row r="24276" spans="5:10" s="34" customFormat="1" x14ac:dyDescent="0.35">
      <c r="E24276" s="35"/>
      <c r="J24276" s="41"/>
    </row>
    <row r="24277" spans="5:10" s="34" customFormat="1" x14ac:dyDescent="0.35">
      <c r="E24277" s="35"/>
      <c r="J24277" s="41"/>
    </row>
    <row r="24278" spans="5:10" s="34" customFormat="1" x14ac:dyDescent="0.35">
      <c r="E24278" s="35"/>
      <c r="J24278" s="41"/>
    </row>
    <row r="24279" spans="5:10" s="34" customFormat="1" x14ac:dyDescent="0.35">
      <c r="E24279" s="35"/>
      <c r="J24279" s="41"/>
    </row>
    <row r="24280" spans="5:10" s="34" customFormat="1" x14ac:dyDescent="0.35">
      <c r="E24280" s="35"/>
      <c r="J24280" s="41"/>
    </row>
    <row r="24281" spans="5:10" s="34" customFormat="1" x14ac:dyDescent="0.35">
      <c r="E24281" s="35"/>
      <c r="J24281" s="41"/>
    </row>
    <row r="24282" spans="5:10" s="34" customFormat="1" x14ac:dyDescent="0.35">
      <c r="E24282" s="35"/>
      <c r="J24282" s="41"/>
    </row>
    <row r="24283" spans="5:10" s="34" customFormat="1" x14ac:dyDescent="0.35">
      <c r="E24283" s="35"/>
      <c r="J24283" s="41"/>
    </row>
    <row r="24284" spans="5:10" s="34" customFormat="1" x14ac:dyDescent="0.35">
      <c r="E24284" s="35"/>
      <c r="J24284" s="41"/>
    </row>
    <row r="24285" spans="5:10" s="34" customFormat="1" x14ac:dyDescent="0.35">
      <c r="E24285" s="35"/>
      <c r="J24285" s="41"/>
    </row>
    <row r="24286" spans="5:10" s="34" customFormat="1" x14ac:dyDescent="0.35">
      <c r="E24286" s="35"/>
      <c r="J24286" s="41"/>
    </row>
    <row r="24287" spans="5:10" s="34" customFormat="1" x14ac:dyDescent="0.35">
      <c r="E24287" s="35"/>
      <c r="J24287" s="41"/>
    </row>
    <row r="24288" spans="5:10" s="34" customFormat="1" x14ac:dyDescent="0.35">
      <c r="E24288" s="35"/>
      <c r="J24288" s="41"/>
    </row>
    <row r="24289" spans="5:10" s="34" customFormat="1" x14ac:dyDescent="0.35">
      <c r="E24289" s="35"/>
      <c r="J24289" s="41"/>
    </row>
    <row r="24290" spans="5:10" s="34" customFormat="1" x14ac:dyDescent="0.35">
      <c r="E24290" s="35"/>
      <c r="J24290" s="41"/>
    </row>
    <row r="24291" spans="5:10" s="34" customFormat="1" x14ac:dyDescent="0.35">
      <c r="E24291" s="35"/>
      <c r="J24291" s="41"/>
    </row>
    <row r="24292" spans="5:10" s="34" customFormat="1" x14ac:dyDescent="0.35">
      <c r="E24292" s="35"/>
      <c r="J24292" s="41"/>
    </row>
    <row r="24293" spans="5:10" s="34" customFormat="1" x14ac:dyDescent="0.35">
      <c r="E24293" s="35"/>
      <c r="J24293" s="41"/>
    </row>
    <row r="24294" spans="5:10" s="34" customFormat="1" x14ac:dyDescent="0.35">
      <c r="E24294" s="35"/>
      <c r="J24294" s="41"/>
    </row>
    <row r="24295" spans="5:10" s="34" customFormat="1" x14ac:dyDescent="0.35">
      <c r="E24295" s="35"/>
      <c r="J24295" s="41"/>
    </row>
    <row r="24296" spans="5:10" s="34" customFormat="1" x14ac:dyDescent="0.35">
      <c r="E24296" s="35"/>
      <c r="J24296" s="41"/>
    </row>
    <row r="24297" spans="5:10" s="34" customFormat="1" x14ac:dyDescent="0.35">
      <c r="E24297" s="35"/>
      <c r="J24297" s="41"/>
    </row>
    <row r="24298" spans="5:10" s="34" customFormat="1" x14ac:dyDescent="0.35">
      <c r="E24298" s="35"/>
      <c r="J24298" s="41"/>
    </row>
    <row r="24299" spans="5:10" s="34" customFormat="1" x14ac:dyDescent="0.35">
      <c r="E24299" s="35"/>
      <c r="J24299" s="41"/>
    </row>
    <row r="24300" spans="5:10" s="34" customFormat="1" x14ac:dyDescent="0.35">
      <c r="E24300" s="35"/>
      <c r="J24300" s="41"/>
    </row>
    <row r="24301" spans="5:10" s="34" customFormat="1" x14ac:dyDescent="0.35">
      <c r="E24301" s="35"/>
      <c r="J24301" s="41"/>
    </row>
    <row r="24302" spans="5:10" s="34" customFormat="1" x14ac:dyDescent="0.35">
      <c r="E24302" s="35"/>
      <c r="J24302" s="41"/>
    </row>
    <row r="24303" spans="5:10" s="34" customFormat="1" x14ac:dyDescent="0.35">
      <c r="E24303" s="35"/>
      <c r="J24303" s="41"/>
    </row>
    <row r="24304" spans="5:10" s="34" customFormat="1" x14ac:dyDescent="0.35">
      <c r="E24304" s="35"/>
      <c r="J24304" s="41"/>
    </row>
    <row r="24305" spans="5:10" s="34" customFormat="1" x14ac:dyDescent="0.35">
      <c r="E24305" s="35"/>
      <c r="J24305" s="41"/>
    </row>
    <row r="24306" spans="5:10" s="34" customFormat="1" x14ac:dyDescent="0.35">
      <c r="E24306" s="35"/>
      <c r="J24306" s="41"/>
    </row>
    <row r="24307" spans="5:10" s="34" customFormat="1" x14ac:dyDescent="0.35">
      <c r="E24307" s="35"/>
      <c r="J24307" s="41"/>
    </row>
    <row r="24308" spans="5:10" s="34" customFormat="1" x14ac:dyDescent="0.35">
      <c r="E24308" s="35"/>
      <c r="J24308" s="41"/>
    </row>
    <row r="24309" spans="5:10" s="34" customFormat="1" x14ac:dyDescent="0.35">
      <c r="E24309" s="35"/>
      <c r="J24309" s="41"/>
    </row>
    <row r="24310" spans="5:10" s="34" customFormat="1" x14ac:dyDescent="0.35">
      <c r="E24310" s="35"/>
      <c r="J24310" s="41"/>
    </row>
    <row r="24311" spans="5:10" s="34" customFormat="1" x14ac:dyDescent="0.35">
      <c r="E24311" s="35"/>
      <c r="J24311" s="41"/>
    </row>
    <row r="24312" spans="5:10" s="34" customFormat="1" x14ac:dyDescent="0.35">
      <c r="E24312" s="35"/>
      <c r="J24312" s="41"/>
    </row>
    <row r="24313" spans="5:10" s="34" customFormat="1" x14ac:dyDescent="0.35">
      <c r="E24313" s="35"/>
      <c r="J24313" s="41"/>
    </row>
    <row r="24314" spans="5:10" s="34" customFormat="1" x14ac:dyDescent="0.35">
      <c r="E24314" s="35"/>
      <c r="J24314" s="41"/>
    </row>
    <row r="24315" spans="5:10" s="34" customFormat="1" x14ac:dyDescent="0.35">
      <c r="E24315" s="35"/>
      <c r="J24315" s="41"/>
    </row>
    <row r="24316" spans="5:10" s="34" customFormat="1" x14ac:dyDescent="0.35">
      <c r="E24316" s="35"/>
      <c r="J24316" s="41"/>
    </row>
    <row r="24317" spans="5:10" s="34" customFormat="1" x14ac:dyDescent="0.35">
      <c r="E24317" s="35"/>
      <c r="J24317" s="41"/>
    </row>
    <row r="24318" spans="5:10" s="34" customFormat="1" x14ac:dyDescent="0.35">
      <c r="E24318" s="35"/>
      <c r="J24318" s="41"/>
    </row>
    <row r="24319" spans="5:10" s="34" customFormat="1" x14ac:dyDescent="0.35">
      <c r="E24319" s="35"/>
      <c r="J24319" s="41"/>
    </row>
    <row r="24320" spans="5:10" s="34" customFormat="1" x14ac:dyDescent="0.35">
      <c r="E24320" s="35"/>
      <c r="J24320" s="41"/>
    </row>
    <row r="24321" spans="5:10" s="34" customFormat="1" x14ac:dyDescent="0.35">
      <c r="E24321" s="35"/>
      <c r="J24321" s="41"/>
    </row>
    <row r="24322" spans="5:10" s="34" customFormat="1" x14ac:dyDescent="0.35">
      <c r="E24322" s="35"/>
      <c r="J24322" s="41"/>
    </row>
    <row r="24323" spans="5:10" s="34" customFormat="1" x14ac:dyDescent="0.35">
      <c r="E24323" s="35"/>
      <c r="J24323" s="41"/>
    </row>
    <row r="24324" spans="5:10" s="34" customFormat="1" x14ac:dyDescent="0.35">
      <c r="E24324" s="35"/>
      <c r="J24324" s="41"/>
    </row>
    <row r="24325" spans="5:10" s="34" customFormat="1" x14ac:dyDescent="0.35">
      <c r="E24325" s="35"/>
      <c r="J24325" s="41"/>
    </row>
    <row r="24326" spans="5:10" s="34" customFormat="1" x14ac:dyDescent="0.35">
      <c r="E24326" s="35"/>
      <c r="J24326" s="41"/>
    </row>
    <row r="24327" spans="5:10" s="34" customFormat="1" x14ac:dyDescent="0.35">
      <c r="E24327" s="35"/>
      <c r="J24327" s="41"/>
    </row>
    <row r="24328" spans="5:10" s="34" customFormat="1" x14ac:dyDescent="0.35">
      <c r="E24328" s="35"/>
      <c r="J24328" s="41"/>
    </row>
    <row r="24329" spans="5:10" s="34" customFormat="1" x14ac:dyDescent="0.35">
      <c r="E24329" s="35"/>
      <c r="J24329" s="41"/>
    </row>
    <row r="24330" spans="5:10" s="34" customFormat="1" x14ac:dyDescent="0.35">
      <c r="E24330" s="35"/>
      <c r="J24330" s="41"/>
    </row>
    <row r="24331" spans="5:10" s="34" customFormat="1" x14ac:dyDescent="0.35">
      <c r="E24331" s="35"/>
      <c r="J24331" s="41"/>
    </row>
    <row r="24332" spans="5:10" s="34" customFormat="1" x14ac:dyDescent="0.35">
      <c r="E24332" s="35"/>
      <c r="J24332" s="41"/>
    </row>
    <row r="24333" spans="5:10" s="34" customFormat="1" x14ac:dyDescent="0.35">
      <c r="E24333" s="35"/>
      <c r="J24333" s="41"/>
    </row>
    <row r="24334" spans="5:10" s="34" customFormat="1" x14ac:dyDescent="0.35">
      <c r="E24334" s="35"/>
      <c r="J24334" s="41"/>
    </row>
    <row r="24335" spans="5:10" s="34" customFormat="1" x14ac:dyDescent="0.35">
      <c r="E24335" s="35"/>
      <c r="J24335" s="41"/>
    </row>
    <row r="24336" spans="5:10" s="34" customFormat="1" x14ac:dyDescent="0.35">
      <c r="E24336" s="35"/>
      <c r="J24336" s="41"/>
    </row>
    <row r="24337" spans="5:10" s="34" customFormat="1" x14ac:dyDescent="0.35">
      <c r="E24337" s="35"/>
      <c r="J24337" s="41"/>
    </row>
    <row r="24338" spans="5:10" s="34" customFormat="1" x14ac:dyDescent="0.35">
      <c r="E24338" s="35"/>
      <c r="J24338" s="41"/>
    </row>
    <row r="24339" spans="5:10" s="34" customFormat="1" x14ac:dyDescent="0.35">
      <c r="E24339" s="35"/>
      <c r="J24339" s="41"/>
    </row>
    <row r="24340" spans="5:10" s="34" customFormat="1" x14ac:dyDescent="0.35">
      <c r="E24340" s="35"/>
      <c r="J24340" s="41"/>
    </row>
    <row r="24341" spans="5:10" s="34" customFormat="1" x14ac:dyDescent="0.35">
      <c r="E24341" s="35"/>
      <c r="J24341" s="41"/>
    </row>
    <row r="24342" spans="5:10" s="34" customFormat="1" x14ac:dyDescent="0.35">
      <c r="E24342" s="35"/>
      <c r="J24342" s="41"/>
    </row>
    <row r="24343" spans="5:10" s="34" customFormat="1" x14ac:dyDescent="0.35">
      <c r="E24343" s="35"/>
      <c r="J24343" s="41"/>
    </row>
    <row r="24344" spans="5:10" s="34" customFormat="1" x14ac:dyDescent="0.35">
      <c r="E24344" s="35"/>
      <c r="J24344" s="41"/>
    </row>
    <row r="24345" spans="5:10" s="34" customFormat="1" x14ac:dyDescent="0.35">
      <c r="E24345" s="35"/>
      <c r="J24345" s="41"/>
    </row>
    <row r="24346" spans="5:10" s="34" customFormat="1" x14ac:dyDescent="0.35">
      <c r="E24346" s="35"/>
      <c r="J24346" s="41"/>
    </row>
    <row r="24347" spans="5:10" s="34" customFormat="1" x14ac:dyDescent="0.35">
      <c r="E24347" s="35"/>
      <c r="J24347" s="41"/>
    </row>
    <row r="24348" spans="5:10" s="34" customFormat="1" x14ac:dyDescent="0.35">
      <c r="E24348" s="35"/>
      <c r="J24348" s="41"/>
    </row>
    <row r="24349" spans="5:10" s="34" customFormat="1" x14ac:dyDescent="0.35">
      <c r="E24349" s="35"/>
      <c r="J24349" s="41"/>
    </row>
    <row r="24350" spans="5:10" s="34" customFormat="1" x14ac:dyDescent="0.35">
      <c r="E24350" s="35"/>
      <c r="J24350" s="41"/>
    </row>
    <row r="24351" spans="5:10" s="34" customFormat="1" x14ac:dyDescent="0.35">
      <c r="E24351" s="35"/>
      <c r="J24351" s="41"/>
    </row>
    <row r="24352" spans="5:10" s="34" customFormat="1" x14ac:dyDescent="0.35">
      <c r="E24352" s="35"/>
      <c r="J24352" s="41"/>
    </row>
    <row r="24353" spans="5:10" s="34" customFormat="1" x14ac:dyDescent="0.35">
      <c r="E24353" s="35"/>
      <c r="J24353" s="41"/>
    </row>
    <row r="24354" spans="5:10" s="34" customFormat="1" x14ac:dyDescent="0.35">
      <c r="E24354" s="35"/>
      <c r="J24354" s="41"/>
    </row>
    <row r="24355" spans="5:10" s="34" customFormat="1" x14ac:dyDescent="0.35">
      <c r="E24355" s="35"/>
      <c r="J24355" s="41"/>
    </row>
    <row r="24356" spans="5:10" s="34" customFormat="1" x14ac:dyDescent="0.35">
      <c r="E24356" s="35"/>
      <c r="J24356" s="41"/>
    </row>
    <row r="24357" spans="5:10" s="34" customFormat="1" x14ac:dyDescent="0.35">
      <c r="E24357" s="35"/>
      <c r="J24357" s="41"/>
    </row>
    <row r="24358" spans="5:10" s="34" customFormat="1" x14ac:dyDescent="0.35">
      <c r="E24358" s="35"/>
      <c r="J24358" s="41"/>
    </row>
    <row r="24359" spans="5:10" s="34" customFormat="1" x14ac:dyDescent="0.35">
      <c r="E24359" s="35"/>
      <c r="J24359" s="41"/>
    </row>
    <row r="24360" spans="5:10" s="34" customFormat="1" x14ac:dyDescent="0.35">
      <c r="E24360" s="35"/>
      <c r="J24360" s="41"/>
    </row>
    <row r="24361" spans="5:10" s="34" customFormat="1" x14ac:dyDescent="0.35">
      <c r="E24361" s="35"/>
      <c r="J24361" s="41"/>
    </row>
    <row r="24362" spans="5:10" s="34" customFormat="1" x14ac:dyDescent="0.35">
      <c r="E24362" s="35"/>
      <c r="J24362" s="41"/>
    </row>
    <row r="24363" spans="5:10" s="34" customFormat="1" x14ac:dyDescent="0.35">
      <c r="E24363" s="35"/>
      <c r="J24363" s="41"/>
    </row>
    <row r="24364" spans="5:10" s="34" customFormat="1" x14ac:dyDescent="0.35">
      <c r="E24364" s="35"/>
      <c r="J24364" s="41"/>
    </row>
    <row r="24365" spans="5:10" s="34" customFormat="1" x14ac:dyDescent="0.35">
      <c r="E24365" s="35"/>
      <c r="J24365" s="41"/>
    </row>
    <row r="24366" spans="5:10" s="34" customFormat="1" x14ac:dyDescent="0.35">
      <c r="E24366" s="35"/>
      <c r="J24366" s="41"/>
    </row>
    <row r="24367" spans="5:10" s="34" customFormat="1" x14ac:dyDescent="0.35">
      <c r="E24367" s="35"/>
      <c r="J24367" s="41"/>
    </row>
    <row r="24368" spans="5:10" s="34" customFormat="1" x14ac:dyDescent="0.35">
      <c r="E24368" s="35"/>
      <c r="J24368" s="41"/>
    </row>
    <row r="24369" spans="5:10" s="34" customFormat="1" x14ac:dyDescent="0.35">
      <c r="E24369" s="35"/>
      <c r="J24369" s="41"/>
    </row>
    <row r="24370" spans="5:10" s="34" customFormat="1" x14ac:dyDescent="0.35">
      <c r="E24370" s="35"/>
      <c r="J24370" s="41"/>
    </row>
    <row r="24371" spans="5:10" s="34" customFormat="1" x14ac:dyDescent="0.35">
      <c r="E24371" s="35"/>
      <c r="J24371" s="41"/>
    </row>
    <row r="24372" spans="5:10" s="34" customFormat="1" x14ac:dyDescent="0.35">
      <c r="E24372" s="35"/>
      <c r="J24372" s="41"/>
    </row>
    <row r="24373" spans="5:10" s="34" customFormat="1" x14ac:dyDescent="0.35">
      <c r="E24373" s="35"/>
      <c r="J24373" s="41"/>
    </row>
    <row r="24374" spans="5:10" s="34" customFormat="1" x14ac:dyDescent="0.35">
      <c r="E24374" s="35"/>
      <c r="J24374" s="41"/>
    </row>
    <row r="24375" spans="5:10" s="34" customFormat="1" x14ac:dyDescent="0.35">
      <c r="E24375" s="35"/>
      <c r="J24375" s="41"/>
    </row>
    <row r="24376" spans="5:10" s="34" customFormat="1" x14ac:dyDescent="0.35">
      <c r="E24376" s="35"/>
      <c r="J24376" s="41"/>
    </row>
    <row r="24377" spans="5:10" s="34" customFormat="1" x14ac:dyDescent="0.35">
      <c r="E24377" s="35"/>
      <c r="J24377" s="41"/>
    </row>
    <row r="24378" spans="5:10" s="34" customFormat="1" x14ac:dyDescent="0.35">
      <c r="E24378" s="35"/>
      <c r="J24378" s="41"/>
    </row>
    <row r="24379" spans="5:10" s="34" customFormat="1" x14ac:dyDescent="0.35">
      <c r="E24379" s="35"/>
      <c r="J24379" s="41"/>
    </row>
    <row r="24380" spans="5:10" s="34" customFormat="1" x14ac:dyDescent="0.35">
      <c r="E24380" s="35"/>
      <c r="J24380" s="41"/>
    </row>
    <row r="24381" spans="5:10" s="34" customFormat="1" x14ac:dyDescent="0.35">
      <c r="E24381" s="35"/>
      <c r="J24381" s="41"/>
    </row>
    <row r="24382" spans="5:10" s="34" customFormat="1" x14ac:dyDescent="0.35">
      <c r="E24382" s="35"/>
      <c r="J24382" s="41"/>
    </row>
    <row r="24383" spans="5:10" s="34" customFormat="1" x14ac:dyDescent="0.35">
      <c r="E24383" s="35"/>
      <c r="J24383" s="41"/>
    </row>
    <row r="24384" spans="5:10" s="34" customFormat="1" x14ac:dyDescent="0.35">
      <c r="E24384" s="35"/>
      <c r="J24384" s="41"/>
    </row>
    <row r="24385" spans="5:10" s="34" customFormat="1" x14ac:dyDescent="0.35">
      <c r="E24385" s="35"/>
      <c r="J24385" s="41"/>
    </row>
    <row r="24386" spans="5:10" s="34" customFormat="1" x14ac:dyDescent="0.35">
      <c r="E24386" s="35"/>
      <c r="J24386" s="41"/>
    </row>
    <row r="24387" spans="5:10" s="34" customFormat="1" x14ac:dyDescent="0.35">
      <c r="E24387" s="35"/>
      <c r="J24387" s="41"/>
    </row>
    <row r="24388" spans="5:10" s="34" customFormat="1" x14ac:dyDescent="0.35">
      <c r="E24388" s="35"/>
      <c r="J24388" s="41"/>
    </row>
    <row r="24389" spans="5:10" s="34" customFormat="1" x14ac:dyDescent="0.35">
      <c r="E24389" s="35"/>
      <c r="J24389" s="41"/>
    </row>
    <row r="24390" spans="5:10" s="34" customFormat="1" x14ac:dyDescent="0.35">
      <c r="E24390" s="35"/>
      <c r="J24390" s="41"/>
    </row>
    <row r="24391" spans="5:10" s="34" customFormat="1" x14ac:dyDescent="0.35">
      <c r="E24391" s="35"/>
      <c r="J24391" s="41"/>
    </row>
    <row r="24392" spans="5:10" s="34" customFormat="1" x14ac:dyDescent="0.35">
      <c r="E24392" s="35"/>
      <c r="J24392" s="41"/>
    </row>
    <row r="24393" spans="5:10" s="34" customFormat="1" x14ac:dyDescent="0.35">
      <c r="E24393" s="35"/>
      <c r="J24393" s="41"/>
    </row>
    <row r="24394" spans="5:10" s="34" customFormat="1" x14ac:dyDescent="0.35">
      <c r="E24394" s="35"/>
      <c r="J24394" s="41"/>
    </row>
    <row r="24395" spans="5:10" s="34" customFormat="1" x14ac:dyDescent="0.35">
      <c r="E24395" s="35"/>
      <c r="J24395" s="41"/>
    </row>
    <row r="24396" spans="5:10" s="34" customFormat="1" x14ac:dyDescent="0.35">
      <c r="E24396" s="35"/>
      <c r="J24396" s="41"/>
    </row>
    <row r="24397" spans="5:10" s="34" customFormat="1" x14ac:dyDescent="0.35">
      <c r="E24397" s="35"/>
      <c r="J24397" s="41"/>
    </row>
    <row r="24398" spans="5:10" s="34" customFormat="1" x14ac:dyDescent="0.35">
      <c r="E24398" s="35"/>
      <c r="J24398" s="41"/>
    </row>
    <row r="24399" spans="5:10" s="34" customFormat="1" x14ac:dyDescent="0.35">
      <c r="E24399" s="35"/>
      <c r="J24399" s="41"/>
    </row>
    <row r="24400" spans="5:10" s="34" customFormat="1" x14ac:dyDescent="0.35">
      <c r="E24400" s="35"/>
      <c r="J24400" s="41"/>
    </row>
    <row r="24401" spans="5:10" s="34" customFormat="1" x14ac:dyDescent="0.35">
      <c r="E24401" s="35"/>
      <c r="J24401" s="41"/>
    </row>
    <row r="24402" spans="5:10" s="34" customFormat="1" x14ac:dyDescent="0.35">
      <c r="E24402" s="35"/>
      <c r="J24402" s="41"/>
    </row>
    <row r="24403" spans="5:10" s="34" customFormat="1" x14ac:dyDescent="0.35">
      <c r="E24403" s="35"/>
      <c r="J24403" s="41"/>
    </row>
    <row r="24404" spans="5:10" s="34" customFormat="1" x14ac:dyDescent="0.35">
      <c r="E24404" s="35"/>
      <c r="J24404" s="41"/>
    </row>
    <row r="24405" spans="5:10" s="34" customFormat="1" x14ac:dyDescent="0.35">
      <c r="E24405" s="35"/>
      <c r="J24405" s="41"/>
    </row>
    <row r="24406" spans="5:10" s="34" customFormat="1" x14ac:dyDescent="0.35">
      <c r="E24406" s="35"/>
      <c r="J24406" s="41"/>
    </row>
    <row r="24407" spans="5:10" s="34" customFormat="1" x14ac:dyDescent="0.35">
      <c r="E24407" s="35"/>
      <c r="J24407" s="41"/>
    </row>
    <row r="24408" spans="5:10" s="34" customFormat="1" x14ac:dyDescent="0.35">
      <c r="E24408" s="35"/>
      <c r="J24408" s="41"/>
    </row>
    <row r="24409" spans="5:10" s="34" customFormat="1" x14ac:dyDescent="0.35">
      <c r="E24409" s="35"/>
      <c r="J24409" s="41"/>
    </row>
    <row r="24410" spans="5:10" s="34" customFormat="1" x14ac:dyDescent="0.35">
      <c r="E24410" s="35"/>
      <c r="J24410" s="41"/>
    </row>
    <row r="24411" spans="5:10" s="34" customFormat="1" x14ac:dyDescent="0.35">
      <c r="E24411" s="35"/>
      <c r="J24411" s="41"/>
    </row>
    <row r="24412" spans="5:10" s="34" customFormat="1" x14ac:dyDescent="0.35">
      <c r="E24412" s="35"/>
      <c r="J24412" s="41"/>
    </row>
    <row r="24413" spans="5:10" s="34" customFormat="1" x14ac:dyDescent="0.35">
      <c r="E24413" s="35"/>
      <c r="J24413" s="41"/>
    </row>
    <row r="24414" spans="5:10" s="34" customFormat="1" x14ac:dyDescent="0.35">
      <c r="E24414" s="35"/>
      <c r="J24414" s="41"/>
    </row>
    <row r="24415" spans="5:10" s="34" customFormat="1" x14ac:dyDescent="0.35">
      <c r="E24415" s="35"/>
      <c r="J24415" s="41"/>
    </row>
    <row r="24416" spans="5:10" s="34" customFormat="1" x14ac:dyDescent="0.35">
      <c r="E24416" s="35"/>
      <c r="J24416" s="41"/>
    </row>
    <row r="24417" spans="5:10" s="34" customFormat="1" x14ac:dyDescent="0.35">
      <c r="E24417" s="35"/>
      <c r="J24417" s="41"/>
    </row>
    <row r="24418" spans="5:10" s="34" customFormat="1" x14ac:dyDescent="0.35">
      <c r="E24418" s="35"/>
      <c r="J24418" s="41"/>
    </row>
    <row r="24419" spans="5:10" s="34" customFormat="1" x14ac:dyDescent="0.35">
      <c r="E24419" s="35"/>
      <c r="J24419" s="41"/>
    </row>
    <row r="24420" spans="5:10" s="34" customFormat="1" x14ac:dyDescent="0.35">
      <c r="E24420" s="35"/>
      <c r="J24420" s="41"/>
    </row>
    <row r="24421" spans="5:10" s="34" customFormat="1" x14ac:dyDescent="0.35">
      <c r="E24421" s="35"/>
      <c r="J24421" s="41"/>
    </row>
    <row r="24422" spans="5:10" s="34" customFormat="1" x14ac:dyDescent="0.35">
      <c r="E24422" s="35"/>
      <c r="J24422" s="41"/>
    </row>
    <row r="24423" spans="5:10" s="34" customFormat="1" x14ac:dyDescent="0.35">
      <c r="E24423" s="35"/>
      <c r="J24423" s="41"/>
    </row>
    <row r="24424" spans="5:10" s="34" customFormat="1" x14ac:dyDescent="0.35">
      <c r="E24424" s="35"/>
      <c r="J24424" s="41"/>
    </row>
    <row r="24425" spans="5:10" s="34" customFormat="1" x14ac:dyDescent="0.35">
      <c r="E24425" s="35"/>
      <c r="J24425" s="41"/>
    </row>
    <row r="24426" spans="5:10" s="34" customFormat="1" x14ac:dyDescent="0.35">
      <c r="E24426" s="35"/>
      <c r="J24426" s="41"/>
    </row>
    <row r="24427" spans="5:10" s="34" customFormat="1" x14ac:dyDescent="0.35">
      <c r="E24427" s="35"/>
      <c r="J24427" s="41"/>
    </row>
    <row r="24428" spans="5:10" s="34" customFormat="1" x14ac:dyDescent="0.35">
      <c r="E24428" s="35"/>
      <c r="J24428" s="41"/>
    </row>
    <row r="24429" spans="5:10" s="34" customFormat="1" x14ac:dyDescent="0.35">
      <c r="E24429" s="35"/>
      <c r="J24429" s="41"/>
    </row>
    <row r="24430" spans="5:10" s="34" customFormat="1" x14ac:dyDescent="0.35">
      <c r="E24430" s="35"/>
      <c r="J24430" s="41"/>
    </row>
    <row r="24431" spans="5:10" s="34" customFormat="1" x14ac:dyDescent="0.35">
      <c r="E24431" s="35"/>
      <c r="J24431" s="41"/>
    </row>
    <row r="24432" spans="5:10" s="34" customFormat="1" x14ac:dyDescent="0.35">
      <c r="E24432" s="35"/>
      <c r="J24432" s="41"/>
    </row>
    <row r="24433" spans="5:10" s="34" customFormat="1" x14ac:dyDescent="0.35">
      <c r="E24433" s="35"/>
      <c r="J24433" s="41"/>
    </row>
    <row r="24434" spans="5:10" s="34" customFormat="1" x14ac:dyDescent="0.35">
      <c r="E24434" s="35"/>
      <c r="J24434" s="41"/>
    </row>
    <row r="24435" spans="5:10" s="34" customFormat="1" x14ac:dyDescent="0.35">
      <c r="E24435" s="35"/>
      <c r="J24435" s="41"/>
    </row>
    <row r="24436" spans="5:10" s="34" customFormat="1" x14ac:dyDescent="0.35">
      <c r="E24436" s="35"/>
      <c r="J24436" s="41"/>
    </row>
    <row r="24437" spans="5:10" s="34" customFormat="1" x14ac:dyDescent="0.35">
      <c r="E24437" s="35"/>
      <c r="J24437" s="41"/>
    </row>
    <row r="24438" spans="5:10" s="34" customFormat="1" x14ac:dyDescent="0.35">
      <c r="E24438" s="35"/>
      <c r="J24438" s="41"/>
    </row>
    <row r="24439" spans="5:10" s="34" customFormat="1" x14ac:dyDescent="0.35">
      <c r="E24439" s="35"/>
      <c r="J24439" s="41"/>
    </row>
    <row r="24440" spans="5:10" s="34" customFormat="1" x14ac:dyDescent="0.35">
      <c r="E24440" s="35"/>
      <c r="J24440" s="41"/>
    </row>
    <row r="24441" spans="5:10" s="34" customFormat="1" x14ac:dyDescent="0.35">
      <c r="E24441" s="35"/>
      <c r="J24441" s="41"/>
    </row>
    <row r="24442" spans="5:10" s="34" customFormat="1" x14ac:dyDescent="0.35">
      <c r="E24442" s="35"/>
      <c r="J24442" s="41"/>
    </row>
    <row r="24443" spans="5:10" s="34" customFormat="1" x14ac:dyDescent="0.35">
      <c r="E24443" s="35"/>
      <c r="J24443" s="41"/>
    </row>
    <row r="24444" spans="5:10" s="34" customFormat="1" x14ac:dyDescent="0.35">
      <c r="E24444" s="35"/>
      <c r="J24444" s="41"/>
    </row>
    <row r="24445" spans="5:10" s="34" customFormat="1" x14ac:dyDescent="0.35">
      <c r="E24445" s="35"/>
      <c r="J24445" s="41"/>
    </row>
    <row r="24446" spans="5:10" s="34" customFormat="1" x14ac:dyDescent="0.35">
      <c r="E24446" s="35"/>
      <c r="J24446" s="41"/>
    </row>
    <row r="24447" spans="5:10" s="34" customFormat="1" x14ac:dyDescent="0.35">
      <c r="E24447" s="35"/>
      <c r="J24447" s="41"/>
    </row>
    <row r="24448" spans="5:10" s="34" customFormat="1" x14ac:dyDescent="0.35">
      <c r="E24448" s="35"/>
      <c r="J24448" s="41"/>
    </row>
    <row r="24449" spans="5:10" s="34" customFormat="1" x14ac:dyDescent="0.35">
      <c r="E24449" s="35"/>
      <c r="J24449" s="41"/>
    </row>
    <row r="24450" spans="5:10" s="34" customFormat="1" x14ac:dyDescent="0.35">
      <c r="E24450" s="35"/>
      <c r="J24450" s="41"/>
    </row>
    <row r="24451" spans="5:10" s="34" customFormat="1" x14ac:dyDescent="0.35">
      <c r="E24451" s="35"/>
      <c r="J24451" s="41"/>
    </row>
    <row r="24452" spans="5:10" s="34" customFormat="1" x14ac:dyDescent="0.35">
      <c r="E24452" s="35"/>
      <c r="J24452" s="41"/>
    </row>
    <row r="24453" spans="5:10" s="34" customFormat="1" x14ac:dyDescent="0.35">
      <c r="E24453" s="35"/>
      <c r="J24453" s="41"/>
    </row>
    <row r="24454" spans="5:10" s="34" customFormat="1" x14ac:dyDescent="0.35">
      <c r="E24454" s="35"/>
      <c r="J24454" s="41"/>
    </row>
    <row r="24455" spans="5:10" s="34" customFormat="1" x14ac:dyDescent="0.35">
      <c r="E24455" s="35"/>
      <c r="J24455" s="41"/>
    </row>
    <row r="24456" spans="5:10" s="34" customFormat="1" x14ac:dyDescent="0.35">
      <c r="E24456" s="35"/>
      <c r="J24456" s="41"/>
    </row>
    <row r="24457" spans="5:10" s="34" customFormat="1" x14ac:dyDescent="0.35">
      <c r="E24457" s="35"/>
      <c r="J24457" s="41"/>
    </row>
    <row r="24458" spans="5:10" s="34" customFormat="1" x14ac:dyDescent="0.35">
      <c r="E24458" s="35"/>
      <c r="J24458" s="41"/>
    </row>
    <row r="24459" spans="5:10" s="34" customFormat="1" x14ac:dyDescent="0.35">
      <c r="E24459" s="35"/>
      <c r="J24459" s="41"/>
    </row>
    <row r="24460" spans="5:10" s="34" customFormat="1" x14ac:dyDescent="0.35">
      <c r="E24460" s="35"/>
      <c r="J24460" s="41"/>
    </row>
    <row r="24461" spans="5:10" s="34" customFormat="1" x14ac:dyDescent="0.35">
      <c r="E24461" s="35"/>
      <c r="J24461" s="41"/>
    </row>
    <row r="24462" spans="5:10" s="34" customFormat="1" x14ac:dyDescent="0.35">
      <c r="E24462" s="35"/>
      <c r="J24462" s="41"/>
    </row>
    <row r="24463" spans="5:10" s="34" customFormat="1" x14ac:dyDescent="0.35">
      <c r="E24463" s="35"/>
      <c r="J24463" s="41"/>
    </row>
    <row r="24464" spans="5:10" s="34" customFormat="1" x14ac:dyDescent="0.35">
      <c r="E24464" s="35"/>
      <c r="J24464" s="41"/>
    </row>
    <row r="24465" spans="5:10" s="34" customFormat="1" x14ac:dyDescent="0.35">
      <c r="E24465" s="35"/>
      <c r="J24465" s="41"/>
    </row>
    <row r="24466" spans="5:10" s="34" customFormat="1" x14ac:dyDescent="0.35">
      <c r="E24466" s="35"/>
      <c r="J24466" s="41"/>
    </row>
    <row r="24467" spans="5:10" s="34" customFormat="1" x14ac:dyDescent="0.35">
      <c r="E24467" s="35"/>
      <c r="J24467" s="41"/>
    </row>
    <row r="24468" spans="5:10" s="34" customFormat="1" x14ac:dyDescent="0.35">
      <c r="E24468" s="35"/>
      <c r="J24468" s="41"/>
    </row>
    <row r="24469" spans="5:10" s="34" customFormat="1" x14ac:dyDescent="0.35">
      <c r="E24469" s="35"/>
      <c r="J24469" s="41"/>
    </row>
    <row r="24470" spans="5:10" s="34" customFormat="1" x14ac:dyDescent="0.35">
      <c r="E24470" s="35"/>
      <c r="J24470" s="41"/>
    </row>
    <row r="24471" spans="5:10" s="34" customFormat="1" x14ac:dyDescent="0.35">
      <c r="E24471" s="35"/>
      <c r="J24471" s="41"/>
    </row>
    <row r="24472" spans="5:10" s="34" customFormat="1" x14ac:dyDescent="0.35">
      <c r="E24472" s="35"/>
      <c r="J24472" s="41"/>
    </row>
    <row r="24473" spans="5:10" s="34" customFormat="1" x14ac:dyDescent="0.35">
      <c r="E24473" s="35"/>
      <c r="J24473" s="41"/>
    </row>
    <row r="24474" spans="5:10" s="34" customFormat="1" x14ac:dyDescent="0.35">
      <c r="E24474" s="35"/>
      <c r="J24474" s="41"/>
    </row>
    <row r="24475" spans="5:10" s="34" customFormat="1" x14ac:dyDescent="0.35">
      <c r="E24475" s="35"/>
      <c r="J24475" s="41"/>
    </row>
    <row r="24476" spans="5:10" s="34" customFormat="1" x14ac:dyDescent="0.35">
      <c r="E24476" s="35"/>
      <c r="J24476" s="41"/>
    </row>
    <row r="24477" spans="5:10" s="34" customFormat="1" x14ac:dyDescent="0.35">
      <c r="E24477" s="35"/>
      <c r="J24477" s="41"/>
    </row>
    <row r="24478" spans="5:10" s="34" customFormat="1" x14ac:dyDescent="0.35">
      <c r="E24478" s="35"/>
      <c r="J24478" s="41"/>
    </row>
    <row r="24479" spans="5:10" s="34" customFormat="1" x14ac:dyDescent="0.35">
      <c r="E24479" s="35"/>
      <c r="J24479" s="41"/>
    </row>
    <row r="24480" spans="5:10" s="34" customFormat="1" x14ac:dyDescent="0.35">
      <c r="E24480" s="35"/>
      <c r="J24480" s="41"/>
    </row>
    <row r="24481" spans="5:10" s="34" customFormat="1" x14ac:dyDescent="0.35">
      <c r="E24481" s="35"/>
      <c r="J24481" s="41"/>
    </row>
    <row r="24482" spans="5:10" s="34" customFormat="1" x14ac:dyDescent="0.35">
      <c r="E24482" s="35"/>
      <c r="J24482" s="41"/>
    </row>
    <row r="24483" spans="5:10" s="34" customFormat="1" x14ac:dyDescent="0.35">
      <c r="E24483" s="35"/>
      <c r="J24483" s="41"/>
    </row>
    <row r="24484" spans="5:10" s="34" customFormat="1" x14ac:dyDescent="0.35">
      <c r="E24484" s="35"/>
      <c r="J24484" s="41"/>
    </row>
    <row r="24485" spans="5:10" s="34" customFormat="1" x14ac:dyDescent="0.35">
      <c r="E24485" s="35"/>
      <c r="J24485" s="41"/>
    </row>
    <row r="24486" spans="5:10" s="34" customFormat="1" x14ac:dyDescent="0.35">
      <c r="E24486" s="35"/>
      <c r="J24486" s="41"/>
    </row>
    <row r="24487" spans="5:10" s="34" customFormat="1" x14ac:dyDescent="0.35">
      <c r="E24487" s="35"/>
      <c r="J24487" s="41"/>
    </row>
    <row r="24488" spans="5:10" s="34" customFormat="1" x14ac:dyDescent="0.35">
      <c r="E24488" s="35"/>
      <c r="J24488" s="41"/>
    </row>
    <row r="24489" spans="5:10" s="34" customFormat="1" x14ac:dyDescent="0.35">
      <c r="E24489" s="35"/>
      <c r="J24489" s="41"/>
    </row>
    <row r="24490" spans="5:10" s="34" customFormat="1" x14ac:dyDescent="0.35">
      <c r="E24490" s="35"/>
      <c r="J24490" s="41"/>
    </row>
    <row r="24491" spans="5:10" s="34" customFormat="1" x14ac:dyDescent="0.35">
      <c r="E24491" s="35"/>
      <c r="J24491" s="41"/>
    </row>
    <row r="24492" spans="5:10" s="34" customFormat="1" x14ac:dyDescent="0.35">
      <c r="E24492" s="35"/>
      <c r="J24492" s="41"/>
    </row>
    <row r="24493" spans="5:10" s="34" customFormat="1" x14ac:dyDescent="0.35">
      <c r="E24493" s="35"/>
      <c r="J24493" s="41"/>
    </row>
    <row r="24494" spans="5:10" s="34" customFormat="1" x14ac:dyDescent="0.35">
      <c r="E24494" s="35"/>
      <c r="J24494" s="41"/>
    </row>
    <row r="24495" spans="5:10" s="34" customFormat="1" x14ac:dyDescent="0.35">
      <c r="E24495" s="35"/>
      <c r="J24495" s="41"/>
    </row>
    <row r="24496" spans="5:10" s="34" customFormat="1" x14ac:dyDescent="0.35">
      <c r="E24496" s="35"/>
      <c r="J24496" s="41"/>
    </row>
    <row r="24497" spans="5:10" s="34" customFormat="1" x14ac:dyDescent="0.35">
      <c r="E24497" s="35"/>
      <c r="J24497" s="41"/>
    </row>
    <row r="24498" spans="5:10" s="34" customFormat="1" x14ac:dyDescent="0.35">
      <c r="E24498" s="35"/>
      <c r="J24498" s="41"/>
    </row>
    <row r="24499" spans="5:10" s="34" customFormat="1" x14ac:dyDescent="0.35">
      <c r="E24499" s="35"/>
      <c r="J24499" s="41"/>
    </row>
    <row r="24500" spans="5:10" s="34" customFormat="1" x14ac:dyDescent="0.35">
      <c r="E24500" s="35"/>
      <c r="J24500" s="41"/>
    </row>
    <row r="24501" spans="5:10" s="34" customFormat="1" x14ac:dyDescent="0.35">
      <c r="E24501" s="35"/>
      <c r="J24501" s="41"/>
    </row>
    <row r="24502" spans="5:10" s="34" customFormat="1" x14ac:dyDescent="0.35">
      <c r="E24502" s="35"/>
      <c r="J24502" s="41"/>
    </row>
    <row r="24503" spans="5:10" s="34" customFormat="1" x14ac:dyDescent="0.35">
      <c r="E24503" s="35"/>
      <c r="J24503" s="41"/>
    </row>
    <row r="24504" spans="5:10" s="34" customFormat="1" x14ac:dyDescent="0.35">
      <c r="E24504" s="35"/>
      <c r="J24504" s="41"/>
    </row>
    <row r="24505" spans="5:10" s="34" customFormat="1" x14ac:dyDescent="0.35">
      <c r="E24505" s="35"/>
      <c r="J24505" s="41"/>
    </row>
    <row r="24506" spans="5:10" s="34" customFormat="1" x14ac:dyDescent="0.35">
      <c r="E24506" s="35"/>
      <c r="J24506" s="41"/>
    </row>
    <row r="24507" spans="5:10" s="34" customFormat="1" x14ac:dyDescent="0.35">
      <c r="E24507" s="35"/>
      <c r="J24507" s="41"/>
    </row>
    <row r="24508" spans="5:10" s="34" customFormat="1" x14ac:dyDescent="0.35">
      <c r="E24508" s="35"/>
      <c r="J24508" s="41"/>
    </row>
    <row r="24509" spans="5:10" s="34" customFormat="1" x14ac:dyDescent="0.35">
      <c r="E24509" s="35"/>
      <c r="J24509" s="41"/>
    </row>
    <row r="24510" spans="5:10" s="34" customFormat="1" x14ac:dyDescent="0.35">
      <c r="E24510" s="35"/>
      <c r="J24510" s="41"/>
    </row>
    <row r="24511" spans="5:10" s="34" customFormat="1" x14ac:dyDescent="0.35">
      <c r="E24511" s="35"/>
      <c r="J24511" s="41"/>
    </row>
    <row r="24512" spans="5:10" s="34" customFormat="1" x14ac:dyDescent="0.35">
      <c r="E24512" s="35"/>
      <c r="J24512" s="41"/>
    </row>
    <row r="24513" spans="5:10" s="34" customFormat="1" x14ac:dyDescent="0.35">
      <c r="E24513" s="35"/>
      <c r="J24513" s="41"/>
    </row>
    <row r="24514" spans="5:10" s="34" customFormat="1" x14ac:dyDescent="0.35">
      <c r="E24514" s="35"/>
      <c r="J24514" s="41"/>
    </row>
    <row r="24515" spans="5:10" s="34" customFormat="1" x14ac:dyDescent="0.35">
      <c r="E24515" s="35"/>
      <c r="J24515" s="41"/>
    </row>
    <row r="24516" spans="5:10" s="34" customFormat="1" x14ac:dyDescent="0.35">
      <c r="E24516" s="35"/>
      <c r="J24516" s="41"/>
    </row>
    <row r="24517" spans="5:10" s="34" customFormat="1" x14ac:dyDescent="0.35">
      <c r="E24517" s="35"/>
      <c r="J24517" s="41"/>
    </row>
    <row r="24518" spans="5:10" s="34" customFormat="1" x14ac:dyDescent="0.35">
      <c r="E24518" s="35"/>
      <c r="J24518" s="41"/>
    </row>
    <row r="24519" spans="5:10" s="34" customFormat="1" x14ac:dyDescent="0.35">
      <c r="E24519" s="35"/>
      <c r="J24519" s="41"/>
    </row>
    <row r="24520" spans="5:10" s="34" customFormat="1" x14ac:dyDescent="0.35">
      <c r="E24520" s="35"/>
      <c r="J24520" s="41"/>
    </row>
    <row r="24521" spans="5:10" s="34" customFormat="1" x14ac:dyDescent="0.35">
      <c r="E24521" s="35"/>
      <c r="J24521" s="41"/>
    </row>
    <row r="24522" spans="5:10" s="34" customFormat="1" x14ac:dyDescent="0.35">
      <c r="E24522" s="35"/>
      <c r="J24522" s="41"/>
    </row>
    <row r="24523" spans="5:10" s="34" customFormat="1" x14ac:dyDescent="0.35">
      <c r="E24523" s="35"/>
      <c r="J24523" s="41"/>
    </row>
    <row r="24524" spans="5:10" s="34" customFormat="1" x14ac:dyDescent="0.35">
      <c r="E24524" s="35"/>
      <c r="J24524" s="41"/>
    </row>
    <row r="24525" spans="5:10" s="34" customFormat="1" x14ac:dyDescent="0.35">
      <c r="E24525" s="35"/>
      <c r="J24525" s="41"/>
    </row>
    <row r="24526" spans="5:10" s="34" customFormat="1" x14ac:dyDescent="0.35">
      <c r="E24526" s="35"/>
      <c r="J24526" s="41"/>
    </row>
    <row r="24527" spans="5:10" s="34" customFormat="1" x14ac:dyDescent="0.35">
      <c r="E24527" s="35"/>
      <c r="J24527" s="41"/>
    </row>
    <row r="24528" spans="5:10" s="34" customFormat="1" x14ac:dyDescent="0.35">
      <c r="E24528" s="35"/>
      <c r="J24528" s="41"/>
    </row>
    <row r="24529" spans="5:10" s="34" customFormat="1" x14ac:dyDescent="0.35">
      <c r="E24529" s="35"/>
      <c r="J24529" s="41"/>
    </row>
    <row r="24530" spans="5:10" s="34" customFormat="1" x14ac:dyDescent="0.35">
      <c r="E24530" s="35"/>
      <c r="J24530" s="41"/>
    </row>
    <row r="24531" spans="5:10" s="34" customFormat="1" x14ac:dyDescent="0.35">
      <c r="E24531" s="35"/>
      <c r="J24531" s="41"/>
    </row>
    <row r="24532" spans="5:10" s="34" customFormat="1" x14ac:dyDescent="0.35">
      <c r="E24532" s="35"/>
      <c r="J24532" s="41"/>
    </row>
    <row r="24533" spans="5:10" s="34" customFormat="1" x14ac:dyDescent="0.35">
      <c r="E24533" s="35"/>
      <c r="J24533" s="41"/>
    </row>
    <row r="24534" spans="5:10" s="34" customFormat="1" x14ac:dyDescent="0.35">
      <c r="E24534" s="35"/>
      <c r="J24534" s="41"/>
    </row>
    <row r="24535" spans="5:10" s="34" customFormat="1" x14ac:dyDescent="0.35">
      <c r="E24535" s="35"/>
      <c r="J24535" s="41"/>
    </row>
    <row r="24536" spans="5:10" s="34" customFormat="1" x14ac:dyDescent="0.35">
      <c r="E24536" s="35"/>
      <c r="J24536" s="41"/>
    </row>
    <row r="24537" spans="5:10" s="34" customFormat="1" x14ac:dyDescent="0.35">
      <c r="E24537" s="35"/>
      <c r="J24537" s="41"/>
    </row>
    <row r="24538" spans="5:10" s="34" customFormat="1" x14ac:dyDescent="0.35">
      <c r="E24538" s="35"/>
      <c r="J24538" s="41"/>
    </row>
    <row r="24539" spans="5:10" s="34" customFormat="1" x14ac:dyDescent="0.35">
      <c r="E24539" s="35"/>
      <c r="J24539" s="41"/>
    </row>
    <row r="24540" spans="5:10" s="34" customFormat="1" x14ac:dyDescent="0.35">
      <c r="E24540" s="35"/>
      <c r="J24540" s="41"/>
    </row>
    <row r="24541" spans="5:10" s="34" customFormat="1" x14ac:dyDescent="0.35">
      <c r="E24541" s="35"/>
      <c r="J24541" s="41"/>
    </row>
    <row r="24542" spans="5:10" s="34" customFormat="1" x14ac:dyDescent="0.35">
      <c r="E24542" s="35"/>
      <c r="J24542" s="41"/>
    </row>
    <row r="24543" spans="5:10" s="34" customFormat="1" x14ac:dyDescent="0.35">
      <c r="E24543" s="35"/>
      <c r="J24543" s="41"/>
    </row>
    <row r="24544" spans="5:10" s="34" customFormat="1" x14ac:dyDescent="0.35">
      <c r="E24544" s="35"/>
      <c r="J24544" s="41"/>
    </row>
    <row r="24545" spans="5:10" s="34" customFormat="1" x14ac:dyDescent="0.35">
      <c r="E24545" s="35"/>
      <c r="J24545" s="41"/>
    </row>
    <row r="24546" spans="5:10" s="34" customFormat="1" x14ac:dyDescent="0.35">
      <c r="E24546" s="35"/>
      <c r="J24546" s="41"/>
    </row>
    <row r="24547" spans="5:10" s="34" customFormat="1" x14ac:dyDescent="0.35">
      <c r="E24547" s="35"/>
      <c r="J24547" s="41"/>
    </row>
    <row r="24548" spans="5:10" s="34" customFormat="1" x14ac:dyDescent="0.35">
      <c r="E24548" s="35"/>
      <c r="J24548" s="41"/>
    </row>
    <row r="24549" spans="5:10" s="34" customFormat="1" x14ac:dyDescent="0.35">
      <c r="E24549" s="35"/>
      <c r="J24549" s="41"/>
    </row>
    <row r="24550" spans="5:10" s="34" customFormat="1" x14ac:dyDescent="0.35">
      <c r="E24550" s="35"/>
      <c r="J24550" s="41"/>
    </row>
    <row r="24551" spans="5:10" s="34" customFormat="1" x14ac:dyDescent="0.35">
      <c r="E24551" s="35"/>
      <c r="J24551" s="41"/>
    </row>
    <row r="24552" spans="5:10" s="34" customFormat="1" x14ac:dyDescent="0.35">
      <c r="E24552" s="35"/>
      <c r="J24552" s="41"/>
    </row>
    <row r="24553" spans="5:10" s="34" customFormat="1" x14ac:dyDescent="0.35">
      <c r="E24553" s="35"/>
      <c r="J24553" s="41"/>
    </row>
    <row r="24554" spans="5:10" s="34" customFormat="1" x14ac:dyDescent="0.35">
      <c r="E24554" s="35"/>
      <c r="J24554" s="41"/>
    </row>
    <row r="24555" spans="5:10" s="34" customFormat="1" x14ac:dyDescent="0.35">
      <c r="E24555" s="35"/>
      <c r="J24555" s="41"/>
    </row>
    <row r="24556" spans="5:10" s="34" customFormat="1" x14ac:dyDescent="0.35">
      <c r="E24556" s="35"/>
      <c r="J24556" s="41"/>
    </row>
    <row r="24557" spans="5:10" s="34" customFormat="1" x14ac:dyDescent="0.35">
      <c r="E24557" s="35"/>
      <c r="J24557" s="41"/>
    </row>
    <row r="24558" spans="5:10" s="34" customFormat="1" x14ac:dyDescent="0.35">
      <c r="E24558" s="35"/>
      <c r="J24558" s="41"/>
    </row>
    <row r="24559" spans="5:10" s="34" customFormat="1" x14ac:dyDescent="0.35">
      <c r="E24559" s="35"/>
      <c r="J24559" s="41"/>
    </row>
    <row r="24560" spans="5:10" s="34" customFormat="1" x14ac:dyDescent="0.35">
      <c r="E24560" s="35"/>
      <c r="J24560" s="41"/>
    </row>
    <row r="24561" spans="5:10" s="34" customFormat="1" x14ac:dyDescent="0.35">
      <c r="E24561" s="35"/>
      <c r="J24561" s="41"/>
    </row>
    <row r="24562" spans="5:10" s="34" customFormat="1" x14ac:dyDescent="0.35">
      <c r="E24562" s="35"/>
      <c r="J24562" s="41"/>
    </row>
    <row r="24563" spans="5:10" s="34" customFormat="1" x14ac:dyDescent="0.35">
      <c r="E24563" s="35"/>
      <c r="J24563" s="41"/>
    </row>
    <row r="24564" spans="5:10" s="34" customFormat="1" x14ac:dyDescent="0.35">
      <c r="E24564" s="35"/>
      <c r="J24564" s="41"/>
    </row>
    <row r="24565" spans="5:10" s="34" customFormat="1" x14ac:dyDescent="0.35">
      <c r="E24565" s="35"/>
      <c r="J24565" s="41"/>
    </row>
    <row r="24566" spans="5:10" s="34" customFormat="1" x14ac:dyDescent="0.35">
      <c r="E24566" s="35"/>
      <c r="J24566" s="41"/>
    </row>
    <row r="24567" spans="5:10" s="34" customFormat="1" x14ac:dyDescent="0.35">
      <c r="E24567" s="35"/>
      <c r="J24567" s="41"/>
    </row>
    <row r="24568" spans="5:10" s="34" customFormat="1" x14ac:dyDescent="0.35">
      <c r="E24568" s="35"/>
      <c r="J24568" s="41"/>
    </row>
    <row r="24569" spans="5:10" s="34" customFormat="1" x14ac:dyDescent="0.35">
      <c r="E24569" s="35"/>
      <c r="J24569" s="41"/>
    </row>
    <row r="24570" spans="5:10" s="34" customFormat="1" x14ac:dyDescent="0.35">
      <c r="E24570" s="35"/>
      <c r="J24570" s="41"/>
    </row>
    <row r="24571" spans="5:10" s="34" customFormat="1" x14ac:dyDescent="0.35">
      <c r="E24571" s="35"/>
      <c r="J24571" s="41"/>
    </row>
    <row r="24572" spans="5:10" s="34" customFormat="1" x14ac:dyDescent="0.35">
      <c r="E24572" s="35"/>
      <c r="J24572" s="41"/>
    </row>
    <row r="24573" spans="5:10" s="34" customFormat="1" x14ac:dyDescent="0.35">
      <c r="E24573" s="35"/>
      <c r="J24573" s="41"/>
    </row>
    <row r="24574" spans="5:10" s="34" customFormat="1" x14ac:dyDescent="0.35">
      <c r="E24574" s="35"/>
      <c r="J24574" s="41"/>
    </row>
    <row r="24575" spans="5:10" s="34" customFormat="1" x14ac:dyDescent="0.35">
      <c r="E24575" s="35"/>
      <c r="J24575" s="41"/>
    </row>
    <row r="24576" spans="5:10" s="34" customFormat="1" x14ac:dyDescent="0.35">
      <c r="E24576" s="35"/>
      <c r="J24576" s="41"/>
    </row>
    <row r="24577" spans="5:10" s="34" customFormat="1" x14ac:dyDescent="0.35">
      <c r="E24577" s="35"/>
      <c r="J24577" s="41"/>
    </row>
    <row r="24578" spans="5:10" s="34" customFormat="1" x14ac:dyDescent="0.35">
      <c r="E24578" s="35"/>
      <c r="J24578" s="41"/>
    </row>
    <row r="24579" spans="5:10" s="34" customFormat="1" x14ac:dyDescent="0.35">
      <c r="E24579" s="35"/>
      <c r="J24579" s="41"/>
    </row>
    <row r="24580" spans="5:10" s="34" customFormat="1" x14ac:dyDescent="0.35">
      <c r="E24580" s="35"/>
      <c r="J24580" s="41"/>
    </row>
    <row r="24581" spans="5:10" s="34" customFormat="1" x14ac:dyDescent="0.35">
      <c r="E24581" s="35"/>
      <c r="J24581" s="41"/>
    </row>
    <row r="24582" spans="5:10" s="34" customFormat="1" x14ac:dyDescent="0.35">
      <c r="E24582" s="35"/>
      <c r="J24582" s="41"/>
    </row>
    <row r="24583" spans="5:10" s="34" customFormat="1" x14ac:dyDescent="0.35">
      <c r="E24583" s="35"/>
      <c r="J24583" s="41"/>
    </row>
    <row r="24584" spans="5:10" s="34" customFormat="1" x14ac:dyDescent="0.35">
      <c r="E24584" s="35"/>
      <c r="J24584" s="41"/>
    </row>
    <row r="24585" spans="5:10" s="34" customFormat="1" x14ac:dyDescent="0.35">
      <c r="E24585" s="35"/>
      <c r="J24585" s="41"/>
    </row>
    <row r="24586" spans="5:10" s="34" customFormat="1" x14ac:dyDescent="0.35">
      <c r="E24586" s="35"/>
      <c r="J24586" s="41"/>
    </row>
    <row r="24587" spans="5:10" s="34" customFormat="1" x14ac:dyDescent="0.35">
      <c r="E24587" s="35"/>
      <c r="J24587" s="41"/>
    </row>
    <row r="24588" spans="5:10" s="34" customFormat="1" x14ac:dyDescent="0.35">
      <c r="E24588" s="35"/>
      <c r="J24588" s="41"/>
    </row>
    <row r="24589" spans="5:10" s="34" customFormat="1" x14ac:dyDescent="0.35">
      <c r="E24589" s="35"/>
      <c r="J24589" s="41"/>
    </row>
    <row r="24590" spans="5:10" s="34" customFormat="1" x14ac:dyDescent="0.35">
      <c r="E24590" s="35"/>
      <c r="J24590" s="41"/>
    </row>
    <row r="24591" spans="5:10" s="34" customFormat="1" x14ac:dyDescent="0.35">
      <c r="E24591" s="35"/>
      <c r="J24591" s="41"/>
    </row>
    <row r="24592" spans="5:10" s="34" customFormat="1" x14ac:dyDescent="0.35">
      <c r="E24592" s="35"/>
      <c r="J24592" s="41"/>
    </row>
    <row r="24593" spans="5:10" s="34" customFormat="1" x14ac:dyDescent="0.35">
      <c r="E24593" s="35"/>
      <c r="J24593" s="41"/>
    </row>
    <row r="24594" spans="5:10" s="34" customFormat="1" x14ac:dyDescent="0.35">
      <c r="E24594" s="35"/>
      <c r="J24594" s="41"/>
    </row>
    <row r="24595" spans="5:10" s="34" customFormat="1" x14ac:dyDescent="0.35">
      <c r="E24595" s="35"/>
      <c r="J24595" s="41"/>
    </row>
    <row r="24596" spans="5:10" s="34" customFormat="1" x14ac:dyDescent="0.35">
      <c r="E24596" s="35"/>
      <c r="J24596" s="41"/>
    </row>
    <row r="24597" spans="5:10" s="34" customFormat="1" x14ac:dyDescent="0.35">
      <c r="E24597" s="35"/>
      <c r="J24597" s="41"/>
    </row>
    <row r="24598" spans="5:10" s="34" customFormat="1" x14ac:dyDescent="0.35">
      <c r="E24598" s="35"/>
      <c r="J24598" s="41"/>
    </row>
    <row r="24599" spans="5:10" s="34" customFormat="1" x14ac:dyDescent="0.35">
      <c r="E24599" s="35"/>
      <c r="J24599" s="41"/>
    </row>
    <row r="24600" spans="5:10" s="34" customFormat="1" x14ac:dyDescent="0.35">
      <c r="E24600" s="35"/>
      <c r="J24600" s="41"/>
    </row>
    <row r="24601" spans="5:10" s="34" customFormat="1" x14ac:dyDescent="0.35">
      <c r="E24601" s="35"/>
      <c r="J24601" s="41"/>
    </row>
    <row r="24602" spans="5:10" s="34" customFormat="1" x14ac:dyDescent="0.35">
      <c r="E24602" s="35"/>
      <c r="J24602" s="41"/>
    </row>
    <row r="24603" spans="5:10" s="34" customFormat="1" x14ac:dyDescent="0.35">
      <c r="E24603" s="35"/>
      <c r="J24603" s="41"/>
    </row>
    <row r="24604" spans="5:10" s="34" customFormat="1" x14ac:dyDescent="0.35">
      <c r="E24604" s="35"/>
      <c r="J24604" s="41"/>
    </row>
    <row r="24605" spans="5:10" s="34" customFormat="1" x14ac:dyDescent="0.35">
      <c r="E24605" s="35"/>
      <c r="J24605" s="41"/>
    </row>
    <row r="24606" spans="5:10" s="34" customFormat="1" x14ac:dyDescent="0.35">
      <c r="E24606" s="35"/>
      <c r="J24606" s="41"/>
    </row>
    <row r="24607" spans="5:10" s="34" customFormat="1" x14ac:dyDescent="0.35">
      <c r="E24607" s="35"/>
      <c r="J24607" s="41"/>
    </row>
    <row r="24608" spans="5:10" s="34" customFormat="1" x14ac:dyDescent="0.35">
      <c r="E24608" s="35"/>
      <c r="J24608" s="41"/>
    </row>
    <row r="24609" spans="5:10" s="34" customFormat="1" x14ac:dyDescent="0.35">
      <c r="E24609" s="35"/>
      <c r="J24609" s="41"/>
    </row>
    <row r="24610" spans="5:10" s="34" customFormat="1" x14ac:dyDescent="0.35">
      <c r="E24610" s="35"/>
      <c r="J24610" s="41"/>
    </row>
    <row r="24611" spans="5:10" s="34" customFormat="1" x14ac:dyDescent="0.35">
      <c r="E24611" s="35"/>
      <c r="J24611" s="41"/>
    </row>
    <row r="24612" spans="5:10" s="34" customFormat="1" x14ac:dyDescent="0.35">
      <c r="E24612" s="35"/>
      <c r="J24612" s="41"/>
    </row>
    <row r="24613" spans="5:10" s="34" customFormat="1" x14ac:dyDescent="0.35">
      <c r="E24613" s="35"/>
      <c r="J24613" s="41"/>
    </row>
    <row r="24614" spans="5:10" s="34" customFormat="1" x14ac:dyDescent="0.35">
      <c r="E24614" s="35"/>
      <c r="J24614" s="41"/>
    </row>
    <row r="24615" spans="5:10" s="34" customFormat="1" x14ac:dyDescent="0.35">
      <c r="E24615" s="35"/>
      <c r="J24615" s="41"/>
    </row>
    <row r="24616" spans="5:10" s="34" customFormat="1" x14ac:dyDescent="0.35">
      <c r="E24616" s="35"/>
      <c r="J24616" s="41"/>
    </row>
    <row r="24617" spans="5:10" s="34" customFormat="1" x14ac:dyDescent="0.35">
      <c r="E24617" s="35"/>
      <c r="J24617" s="41"/>
    </row>
    <row r="24618" spans="5:10" s="34" customFormat="1" x14ac:dyDescent="0.35">
      <c r="E24618" s="35"/>
      <c r="J24618" s="41"/>
    </row>
    <row r="24619" spans="5:10" s="34" customFormat="1" x14ac:dyDescent="0.35">
      <c r="E24619" s="35"/>
      <c r="J24619" s="41"/>
    </row>
    <row r="24620" spans="5:10" s="34" customFormat="1" x14ac:dyDescent="0.35">
      <c r="E24620" s="35"/>
      <c r="J24620" s="41"/>
    </row>
    <row r="24621" spans="5:10" s="34" customFormat="1" x14ac:dyDescent="0.35">
      <c r="E24621" s="35"/>
      <c r="J24621" s="41"/>
    </row>
    <row r="24622" spans="5:10" s="34" customFormat="1" x14ac:dyDescent="0.35">
      <c r="E24622" s="35"/>
      <c r="J24622" s="41"/>
    </row>
    <row r="24623" spans="5:10" s="34" customFormat="1" x14ac:dyDescent="0.35">
      <c r="E24623" s="35"/>
      <c r="J24623" s="41"/>
    </row>
    <row r="24624" spans="5:10" s="34" customFormat="1" x14ac:dyDescent="0.35">
      <c r="E24624" s="35"/>
      <c r="J24624" s="41"/>
    </row>
    <row r="24625" spans="5:10" s="34" customFormat="1" x14ac:dyDescent="0.35">
      <c r="E24625" s="35"/>
      <c r="J24625" s="41"/>
    </row>
    <row r="24626" spans="5:10" s="34" customFormat="1" x14ac:dyDescent="0.35">
      <c r="E24626" s="35"/>
      <c r="J24626" s="41"/>
    </row>
    <row r="24627" spans="5:10" s="34" customFormat="1" x14ac:dyDescent="0.35">
      <c r="E24627" s="35"/>
      <c r="J24627" s="41"/>
    </row>
    <row r="24628" spans="5:10" s="34" customFormat="1" x14ac:dyDescent="0.35">
      <c r="E24628" s="35"/>
      <c r="J24628" s="41"/>
    </row>
    <row r="24629" spans="5:10" s="34" customFormat="1" x14ac:dyDescent="0.35">
      <c r="E24629" s="35"/>
      <c r="J24629" s="41"/>
    </row>
    <row r="24630" spans="5:10" s="34" customFormat="1" x14ac:dyDescent="0.35">
      <c r="E24630" s="35"/>
      <c r="J24630" s="41"/>
    </row>
    <row r="24631" spans="5:10" s="34" customFormat="1" x14ac:dyDescent="0.35">
      <c r="E24631" s="35"/>
      <c r="J24631" s="41"/>
    </row>
    <row r="24632" spans="5:10" s="34" customFormat="1" x14ac:dyDescent="0.35">
      <c r="E24632" s="35"/>
      <c r="J24632" s="41"/>
    </row>
    <row r="24633" spans="5:10" s="34" customFormat="1" x14ac:dyDescent="0.35">
      <c r="E24633" s="35"/>
      <c r="J24633" s="41"/>
    </row>
    <row r="24634" spans="5:10" s="34" customFormat="1" x14ac:dyDescent="0.35">
      <c r="E24634" s="35"/>
      <c r="J24634" s="41"/>
    </row>
    <row r="24635" spans="5:10" s="34" customFormat="1" x14ac:dyDescent="0.35">
      <c r="E24635" s="35"/>
      <c r="J24635" s="41"/>
    </row>
    <row r="24636" spans="5:10" s="34" customFormat="1" x14ac:dyDescent="0.35">
      <c r="E24636" s="35"/>
      <c r="J24636" s="41"/>
    </row>
    <row r="24637" spans="5:10" s="34" customFormat="1" x14ac:dyDescent="0.35">
      <c r="E24637" s="35"/>
      <c r="J24637" s="41"/>
    </row>
    <row r="24638" spans="5:10" s="34" customFormat="1" x14ac:dyDescent="0.35">
      <c r="E24638" s="35"/>
      <c r="J24638" s="41"/>
    </row>
    <row r="24639" spans="5:10" s="34" customFormat="1" x14ac:dyDescent="0.35">
      <c r="E24639" s="35"/>
      <c r="J24639" s="41"/>
    </row>
    <row r="24640" spans="5:10" s="34" customFormat="1" x14ac:dyDescent="0.35">
      <c r="E24640" s="35"/>
      <c r="J24640" s="41"/>
    </row>
    <row r="24641" spans="5:10" s="34" customFormat="1" x14ac:dyDescent="0.35">
      <c r="E24641" s="35"/>
      <c r="J24641" s="41"/>
    </row>
    <row r="24642" spans="5:10" s="34" customFormat="1" x14ac:dyDescent="0.35">
      <c r="E24642" s="35"/>
      <c r="J24642" s="41"/>
    </row>
    <row r="24643" spans="5:10" s="34" customFormat="1" x14ac:dyDescent="0.35">
      <c r="E24643" s="35"/>
      <c r="J24643" s="41"/>
    </row>
    <row r="24644" spans="5:10" s="34" customFormat="1" x14ac:dyDescent="0.35">
      <c r="E24644" s="35"/>
      <c r="J24644" s="41"/>
    </row>
    <row r="24645" spans="5:10" s="34" customFormat="1" x14ac:dyDescent="0.35">
      <c r="E24645" s="35"/>
      <c r="J24645" s="41"/>
    </row>
    <row r="24646" spans="5:10" s="34" customFormat="1" x14ac:dyDescent="0.35">
      <c r="E24646" s="35"/>
      <c r="J24646" s="41"/>
    </row>
    <row r="24647" spans="5:10" s="34" customFormat="1" x14ac:dyDescent="0.35">
      <c r="E24647" s="35"/>
      <c r="J24647" s="41"/>
    </row>
    <row r="24648" spans="5:10" s="34" customFormat="1" x14ac:dyDescent="0.35">
      <c r="E24648" s="35"/>
      <c r="J24648" s="41"/>
    </row>
    <row r="24649" spans="5:10" s="34" customFormat="1" x14ac:dyDescent="0.35">
      <c r="E24649" s="35"/>
      <c r="J24649" s="41"/>
    </row>
    <row r="24650" spans="5:10" s="34" customFormat="1" x14ac:dyDescent="0.35">
      <c r="E24650" s="35"/>
      <c r="J24650" s="41"/>
    </row>
    <row r="24651" spans="5:10" s="34" customFormat="1" x14ac:dyDescent="0.35">
      <c r="E24651" s="35"/>
      <c r="J24651" s="41"/>
    </row>
    <row r="24652" spans="5:10" s="34" customFormat="1" x14ac:dyDescent="0.35">
      <c r="E24652" s="35"/>
      <c r="J24652" s="41"/>
    </row>
    <row r="24653" spans="5:10" s="34" customFormat="1" x14ac:dyDescent="0.35">
      <c r="E24653" s="35"/>
      <c r="J24653" s="41"/>
    </row>
    <row r="24654" spans="5:10" s="34" customFormat="1" x14ac:dyDescent="0.35">
      <c r="E24654" s="35"/>
      <c r="J24654" s="41"/>
    </row>
    <row r="24655" spans="5:10" s="34" customFormat="1" x14ac:dyDescent="0.35">
      <c r="E24655" s="35"/>
      <c r="J24655" s="41"/>
    </row>
    <row r="24656" spans="5:10" s="34" customFormat="1" x14ac:dyDescent="0.35">
      <c r="E24656" s="35"/>
      <c r="J24656" s="41"/>
    </row>
    <row r="24657" spans="5:10" s="34" customFormat="1" x14ac:dyDescent="0.35">
      <c r="E24657" s="35"/>
      <c r="J24657" s="41"/>
    </row>
    <row r="24658" spans="5:10" s="34" customFormat="1" x14ac:dyDescent="0.35">
      <c r="E24658" s="35"/>
      <c r="J24658" s="41"/>
    </row>
    <row r="24659" spans="5:10" s="34" customFormat="1" x14ac:dyDescent="0.35">
      <c r="E24659" s="35"/>
      <c r="J24659" s="41"/>
    </row>
    <row r="24660" spans="5:10" s="34" customFormat="1" x14ac:dyDescent="0.35">
      <c r="E24660" s="35"/>
      <c r="J24660" s="41"/>
    </row>
    <row r="24661" spans="5:10" s="34" customFormat="1" x14ac:dyDescent="0.35">
      <c r="E24661" s="35"/>
      <c r="J24661" s="41"/>
    </row>
    <row r="24662" spans="5:10" s="34" customFormat="1" x14ac:dyDescent="0.35">
      <c r="E24662" s="35"/>
      <c r="J24662" s="41"/>
    </row>
    <row r="24663" spans="5:10" s="34" customFormat="1" x14ac:dyDescent="0.35">
      <c r="E24663" s="35"/>
      <c r="J24663" s="41"/>
    </row>
    <row r="24664" spans="5:10" s="34" customFormat="1" x14ac:dyDescent="0.35">
      <c r="E24664" s="35"/>
      <c r="J24664" s="41"/>
    </row>
    <row r="24665" spans="5:10" s="34" customFormat="1" x14ac:dyDescent="0.35">
      <c r="E24665" s="35"/>
      <c r="J24665" s="41"/>
    </row>
    <row r="24666" spans="5:10" s="34" customFormat="1" x14ac:dyDescent="0.35">
      <c r="E24666" s="35"/>
      <c r="J24666" s="41"/>
    </row>
    <row r="24667" spans="5:10" s="34" customFormat="1" x14ac:dyDescent="0.35">
      <c r="E24667" s="35"/>
      <c r="J24667" s="41"/>
    </row>
    <row r="24668" spans="5:10" s="34" customFormat="1" x14ac:dyDescent="0.35">
      <c r="E24668" s="35"/>
      <c r="J24668" s="41"/>
    </row>
    <row r="24669" spans="5:10" s="34" customFormat="1" x14ac:dyDescent="0.35">
      <c r="E24669" s="35"/>
      <c r="J24669" s="41"/>
    </row>
    <row r="24670" spans="5:10" s="34" customFormat="1" x14ac:dyDescent="0.35">
      <c r="E24670" s="35"/>
      <c r="J24670" s="41"/>
    </row>
    <row r="24671" spans="5:10" s="34" customFormat="1" x14ac:dyDescent="0.35">
      <c r="E24671" s="35"/>
      <c r="J24671" s="41"/>
    </row>
    <row r="24672" spans="5:10" s="34" customFormat="1" x14ac:dyDescent="0.35">
      <c r="E24672" s="35"/>
      <c r="J24672" s="41"/>
    </row>
    <row r="24673" spans="5:10" s="34" customFormat="1" x14ac:dyDescent="0.35">
      <c r="E24673" s="35"/>
      <c r="J24673" s="41"/>
    </row>
    <row r="24674" spans="5:10" s="34" customFormat="1" x14ac:dyDescent="0.35">
      <c r="E24674" s="35"/>
      <c r="J24674" s="41"/>
    </row>
    <row r="24675" spans="5:10" s="34" customFormat="1" x14ac:dyDescent="0.35">
      <c r="E24675" s="35"/>
      <c r="J24675" s="41"/>
    </row>
    <row r="24676" spans="5:10" s="34" customFormat="1" x14ac:dyDescent="0.35">
      <c r="E24676" s="35"/>
      <c r="J24676" s="41"/>
    </row>
    <row r="24677" spans="5:10" s="34" customFormat="1" x14ac:dyDescent="0.35">
      <c r="E24677" s="35"/>
      <c r="J24677" s="41"/>
    </row>
    <row r="24678" spans="5:10" s="34" customFormat="1" x14ac:dyDescent="0.35">
      <c r="E24678" s="35"/>
      <c r="J24678" s="41"/>
    </row>
    <row r="24679" spans="5:10" s="34" customFormat="1" x14ac:dyDescent="0.35">
      <c r="E24679" s="35"/>
      <c r="J24679" s="41"/>
    </row>
    <row r="24680" spans="5:10" s="34" customFormat="1" x14ac:dyDescent="0.35">
      <c r="E24680" s="35"/>
      <c r="J24680" s="41"/>
    </row>
    <row r="24681" spans="5:10" s="34" customFormat="1" x14ac:dyDescent="0.35">
      <c r="E24681" s="35"/>
      <c r="J24681" s="41"/>
    </row>
    <row r="24682" spans="5:10" s="34" customFormat="1" x14ac:dyDescent="0.35">
      <c r="E24682" s="35"/>
      <c r="J24682" s="41"/>
    </row>
    <row r="24683" spans="5:10" s="34" customFormat="1" x14ac:dyDescent="0.35">
      <c r="E24683" s="35"/>
      <c r="J24683" s="41"/>
    </row>
    <row r="24684" spans="5:10" s="34" customFormat="1" x14ac:dyDescent="0.35">
      <c r="E24684" s="35"/>
      <c r="J24684" s="41"/>
    </row>
    <row r="24685" spans="5:10" s="34" customFormat="1" x14ac:dyDescent="0.35">
      <c r="E24685" s="35"/>
      <c r="J24685" s="41"/>
    </row>
    <row r="24686" spans="5:10" s="34" customFormat="1" x14ac:dyDescent="0.35">
      <c r="E24686" s="35"/>
      <c r="J24686" s="41"/>
    </row>
    <row r="24687" spans="5:10" s="34" customFormat="1" x14ac:dyDescent="0.35">
      <c r="E24687" s="35"/>
      <c r="J24687" s="41"/>
    </row>
    <row r="24688" spans="5:10" s="34" customFormat="1" x14ac:dyDescent="0.35">
      <c r="E24688" s="35"/>
      <c r="J24688" s="41"/>
    </row>
    <row r="24689" spans="5:10" s="34" customFormat="1" x14ac:dyDescent="0.35">
      <c r="E24689" s="35"/>
      <c r="J24689" s="41"/>
    </row>
    <row r="24690" spans="5:10" s="34" customFormat="1" x14ac:dyDescent="0.35">
      <c r="E24690" s="35"/>
      <c r="J24690" s="41"/>
    </row>
    <row r="24691" spans="5:10" s="34" customFormat="1" x14ac:dyDescent="0.35">
      <c r="E24691" s="35"/>
      <c r="J24691" s="41"/>
    </row>
    <row r="24692" spans="5:10" s="34" customFormat="1" x14ac:dyDescent="0.35">
      <c r="E24692" s="35"/>
      <c r="J24692" s="41"/>
    </row>
    <row r="24693" spans="5:10" s="34" customFormat="1" x14ac:dyDescent="0.35">
      <c r="E24693" s="35"/>
      <c r="J24693" s="41"/>
    </row>
    <row r="24694" spans="5:10" s="34" customFormat="1" x14ac:dyDescent="0.35">
      <c r="E24694" s="35"/>
      <c r="J24694" s="41"/>
    </row>
    <row r="24695" spans="5:10" s="34" customFormat="1" x14ac:dyDescent="0.35">
      <c r="E24695" s="35"/>
      <c r="J24695" s="41"/>
    </row>
    <row r="24696" spans="5:10" s="34" customFormat="1" x14ac:dyDescent="0.35">
      <c r="E24696" s="35"/>
      <c r="J24696" s="41"/>
    </row>
    <row r="24697" spans="5:10" s="34" customFormat="1" x14ac:dyDescent="0.35">
      <c r="E24697" s="35"/>
      <c r="J24697" s="41"/>
    </row>
    <row r="24698" spans="5:10" s="34" customFormat="1" x14ac:dyDescent="0.35">
      <c r="E24698" s="35"/>
      <c r="J24698" s="41"/>
    </row>
    <row r="24699" spans="5:10" s="34" customFormat="1" x14ac:dyDescent="0.35">
      <c r="E24699" s="35"/>
      <c r="J24699" s="41"/>
    </row>
    <row r="24700" spans="5:10" s="34" customFormat="1" x14ac:dyDescent="0.35">
      <c r="E24700" s="35"/>
      <c r="J24700" s="41"/>
    </row>
    <row r="24701" spans="5:10" s="34" customFormat="1" x14ac:dyDescent="0.35">
      <c r="E24701" s="35"/>
      <c r="J24701" s="41"/>
    </row>
    <row r="24702" spans="5:10" s="34" customFormat="1" x14ac:dyDescent="0.35">
      <c r="E24702" s="35"/>
      <c r="J24702" s="41"/>
    </row>
    <row r="24703" spans="5:10" s="34" customFormat="1" x14ac:dyDescent="0.35">
      <c r="E24703" s="35"/>
      <c r="J24703" s="41"/>
    </row>
    <row r="24704" spans="5:10" s="34" customFormat="1" x14ac:dyDescent="0.35">
      <c r="E24704" s="35"/>
      <c r="J24704" s="41"/>
    </row>
    <row r="24705" spans="5:10" s="34" customFormat="1" x14ac:dyDescent="0.35">
      <c r="E24705" s="35"/>
      <c r="J24705" s="41"/>
    </row>
    <row r="24706" spans="5:10" s="34" customFormat="1" x14ac:dyDescent="0.35">
      <c r="E24706" s="35"/>
      <c r="J24706" s="41"/>
    </row>
    <row r="24707" spans="5:10" s="34" customFormat="1" x14ac:dyDescent="0.35">
      <c r="E24707" s="35"/>
      <c r="J24707" s="41"/>
    </row>
    <row r="24708" spans="5:10" s="34" customFormat="1" x14ac:dyDescent="0.35">
      <c r="E24708" s="35"/>
      <c r="J24708" s="41"/>
    </row>
    <row r="24709" spans="5:10" s="34" customFormat="1" x14ac:dyDescent="0.35">
      <c r="E24709" s="35"/>
      <c r="J24709" s="41"/>
    </row>
    <row r="24710" spans="5:10" s="34" customFormat="1" x14ac:dyDescent="0.35">
      <c r="E24710" s="35"/>
      <c r="J24710" s="41"/>
    </row>
    <row r="24711" spans="5:10" s="34" customFormat="1" x14ac:dyDescent="0.35">
      <c r="E24711" s="35"/>
      <c r="J24711" s="41"/>
    </row>
    <row r="24712" spans="5:10" s="34" customFormat="1" x14ac:dyDescent="0.35">
      <c r="E24712" s="35"/>
      <c r="J24712" s="41"/>
    </row>
    <row r="24713" spans="5:10" s="34" customFormat="1" x14ac:dyDescent="0.35">
      <c r="E24713" s="35"/>
      <c r="J24713" s="41"/>
    </row>
    <row r="24714" spans="5:10" s="34" customFormat="1" x14ac:dyDescent="0.35">
      <c r="E24714" s="35"/>
      <c r="J24714" s="41"/>
    </row>
    <row r="24715" spans="5:10" s="34" customFormat="1" x14ac:dyDescent="0.35">
      <c r="E24715" s="35"/>
      <c r="J24715" s="41"/>
    </row>
    <row r="24716" spans="5:10" s="34" customFormat="1" x14ac:dyDescent="0.35">
      <c r="E24716" s="35"/>
      <c r="J24716" s="41"/>
    </row>
    <row r="24717" spans="5:10" s="34" customFormat="1" x14ac:dyDescent="0.35">
      <c r="E24717" s="35"/>
      <c r="J24717" s="41"/>
    </row>
    <row r="24718" spans="5:10" s="34" customFormat="1" x14ac:dyDescent="0.35">
      <c r="E24718" s="35"/>
      <c r="J24718" s="41"/>
    </row>
    <row r="24719" spans="5:10" s="34" customFormat="1" x14ac:dyDescent="0.35">
      <c r="E24719" s="35"/>
      <c r="J24719" s="41"/>
    </row>
    <row r="24720" spans="5:10" s="34" customFormat="1" x14ac:dyDescent="0.35">
      <c r="E24720" s="35"/>
      <c r="J24720" s="41"/>
    </row>
    <row r="24721" spans="5:10" s="34" customFormat="1" x14ac:dyDescent="0.35">
      <c r="E24721" s="35"/>
      <c r="J24721" s="41"/>
    </row>
    <row r="24722" spans="5:10" s="34" customFormat="1" x14ac:dyDescent="0.35">
      <c r="E24722" s="35"/>
      <c r="J24722" s="41"/>
    </row>
    <row r="24723" spans="5:10" s="34" customFormat="1" x14ac:dyDescent="0.35">
      <c r="E24723" s="35"/>
      <c r="J24723" s="41"/>
    </row>
    <row r="24724" spans="5:10" s="34" customFormat="1" x14ac:dyDescent="0.35">
      <c r="E24724" s="35"/>
      <c r="J24724" s="41"/>
    </row>
    <row r="24725" spans="5:10" s="34" customFormat="1" x14ac:dyDescent="0.35">
      <c r="E24725" s="35"/>
      <c r="J24725" s="41"/>
    </row>
    <row r="24726" spans="5:10" s="34" customFormat="1" x14ac:dyDescent="0.35">
      <c r="E24726" s="35"/>
      <c r="J24726" s="41"/>
    </row>
    <row r="24727" spans="5:10" s="34" customFormat="1" x14ac:dyDescent="0.35">
      <c r="E24727" s="35"/>
      <c r="J24727" s="41"/>
    </row>
    <row r="24728" spans="5:10" s="34" customFormat="1" x14ac:dyDescent="0.35">
      <c r="E24728" s="35"/>
      <c r="J24728" s="41"/>
    </row>
    <row r="24729" spans="5:10" s="34" customFormat="1" x14ac:dyDescent="0.35">
      <c r="E24729" s="35"/>
      <c r="J24729" s="41"/>
    </row>
    <row r="24730" spans="5:10" s="34" customFormat="1" x14ac:dyDescent="0.35">
      <c r="E24730" s="35"/>
      <c r="J24730" s="41"/>
    </row>
    <row r="24731" spans="5:10" s="34" customFormat="1" x14ac:dyDescent="0.35">
      <c r="E24731" s="35"/>
      <c r="J24731" s="41"/>
    </row>
    <row r="24732" spans="5:10" s="34" customFormat="1" x14ac:dyDescent="0.35">
      <c r="E24732" s="35"/>
      <c r="J24732" s="41"/>
    </row>
    <row r="24733" spans="5:10" s="34" customFormat="1" x14ac:dyDescent="0.35">
      <c r="E24733" s="35"/>
      <c r="J24733" s="41"/>
    </row>
    <row r="24734" spans="5:10" s="34" customFormat="1" x14ac:dyDescent="0.35">
      <c r="E24734" s="35"/>
      <c r="J24734" s="41"/>
    </row>
    <row r="24735" spans="5:10" s="34" customFormat="1" x14ac:dyDescent="0.35">
      <c r="E24735" s="35"/>
      <c r="J24735" s="41"/>
    </row>
    <row r="24736" spans="5:10" s="34" customFormat="1" x14ac:dyDescent="0.35">
      <c r="E24736" s="35"/>
      <c r="J24736" s="41"/>
    </row>
    <row r="24737" spans="5:10" s="34" customFormat="1" x14ac:dyDescent="0.35">
      <c r="E24737" s="35"/>
      <c r="J24737" s="41"/>
    </row>
    <row r="24738" spans="5:10" s="34" customFormat="1" x14ac:dyDescent="0.35">
      <c r="E24738" s="35"/>
      <c r="J24738" s="41"/>
    </row>
    <row r="24739" spans="5:10" s="34" customFormat="1" x14ac:dyDescent="0.35">
      <c r="E24739" s="35"/>
      <c r="J24739" s="41"/>
    </row>
    <row r="24740" spans="5:10" s="34" customFormat="1" x14ac:dyDescent="0.35">
      <c r="E24740" s="35"/>
      <c r="J24740" s="41"/>
    </row>
    <row r="24741" spans="5:10" s="34" customFormat="1" x14ac:dyDescent="0.35">
      <c r="E24741" s="35"/>
      <c r="J24741" s="41"/>
    </row>
    <row r="24742" spans="5:10" s="34" customFormat="1" x14ac:dyDescent="0.35">
      <c r="E24742" s="35"/>
      <c r="J24742" s="41"/>
    </row>
    <row r="24743" spans="5:10" s="34" customFormat="1" x14ac:dyDescent="0.35">
      <c r="E24743" s="35"/>
      <c r="J24743" s="41"/>
    </row>
    <row r="24744" spans="5:10" s="34" customFormat="1" x14ac:dyDescent="0.35">
      <c r="E24744" s="35"/>
      <c r="J24744" s="41"/>
    </row>
    <row r="24745" spans="5:10" s="34" customFormat="1" x14ac:dyDescent="0.35">
      <c r="E24745" s="35"/>
      <c r="J24745" s="41"/>
    </row>
    <row r="24746" spans="5:10" s="34" customFormat="1" x14ac:dyDescent="0.35">
      <c r="E24746" s="35"/>
      <c r="J24746" s="41"/>
    </row>
    <row r="24747" spans="5:10" s="34" customFormat="1" x14ac:dyDescent="0.35">
      <c r="E24747" s="35"/>
      <c r="J24747" s="41"/>
    </row>
    <row r="24748" spans="5:10" s="34" customFormat="1" x14ac:dyDescent="0.35">
      <c r="E24748" s="35"/>
      <c r="J24748" s="41"/>
    </row>
    <row r="24749" spans="5:10" s="34" customFormat="1" x14ac:dyDescent="0.35">
      <c r="E24749" s="35"/>
      <c r="J24749" s="41"/>
    </row>
    <row r="24750" spans="5:10" s="34" customFormat="1" x14ac:dyDescent="0.35">
      <c r="E24750" s="35"/>
      <c r="J24750" s="41"/>
    </row>
    <row r="24751" spans="5:10" s="34" customFormat="1" x14ac:dyDescent="0.35">
      <c r="E24751" s="35"/>
      <c r="J24751" s="41"/>
    </row>
    <row r="24752" spans="5:10" s="34" customFormat="1" x14ac:dyDescent="0.35">
      <c r="E24752" s="35"/>
      <c r="J24752" s="41"/>
    </row>
    <row r="24753" spans="5:10" s="34" customFormat="1" x14ac:dyDescent="0.35">
      <c r="E24753" s="35"/>
      <c r="J24753" s="41"/>
    </row>
    <row r="24754" spans="5:10" s="34" customFormat="1" x14ac:dyDescent="0.35">
      <c r="E24754" s="35"/>
      <c r="J24754" s="41"/>
    </row>
    <row r="24755" spans="5:10" s="34" customFormat="1" x14ac:dyDescent="0.35">
      <c r="E24755" s="35"/>
      <c r="J24755" s="41"/>
    </row>
    <row r="24756" spans="5:10" s="34" customFormat="1" x14ac:dyDescent="0.35">
      <c r="E24756" s="35"/>
      <c r="J24756" s="41"/>
    </row>
    <row r="24757" spans="5:10" s="34" customFormat="1" x14ac:dyDescent="0.35">
      <c r="E24757" s="35"/>
      <c r="J24757" s="41"/>
    </row>
    <row r="24758" spans="5:10" s="34" customFormat="1" x14ac:dyDescent="0.35">
      <c r="E24758" s="35"/>
      <c r="J24758" s="41"/>
    </row>
    <row r="24759" spans="5:10" s="34" customFormat="1" x14ac:dyDescent="0.35">
      <c r="E24759" s="35"/>
      <c r="J24759" s="41"/>
    </row>
    <row r="24760" spans="5:10" s="34" customFormat="1" x14ac:dyDescent="0.35">
      <c r="E24760" s="35"/>
      <c r="J24760" s="41"/>
    </row>
    <row r="24761" spans="5:10" s="34" customFormat="1" x14ac:dyDescent="0.35">
      <c r="E24761" s="35"/>
      <c r="J24761" s="41"/>
    </row>
    <row r="24762" spans="5:10" s="34" customFormat="1" x14ac:dyDescent="0.35">
      <c r="E24762" s="35"/>
      <c r="J24762" s="41"/>
    </row>
    <row r="24763" spans="5:10" s="34" customFormat="1" x14ac:dyDescent="0.35">
      <c r="E24763" s="35"/>
      <c r="J24763" s="41"/>
    </row>
    <row r="24764" spans="5:10" s="34" customFormat="1" x14ac:dyDescent="0.35">
      <c r="E24764" s="35"/>
      <c r="J24764" s="41"/>
    </row>
    <row r="24765" spans="5:10" s="34" customFormat="1" x14ac:dyDescent="0.35">
      <c r="E24765" s="35"/>
      <c r="J24765" s="41"/>
    </row>
    <row r="24766" spans="5:10" s="34" customFormat="1" x14ac:dyDescent="0.35">
      <c r="E24766" s="35"/>
      <c r="J24766" s="41"/>
    </row>
    <row r="24767" spans="5:10" s="34" customFormat="1" x14ac:dyDescent="0.35">
      <c r="E24767" s="35"/>
      <c r="J24767" s="41"/>
    </row>
    <row r="24768" spans="5:10" s="34" customFormat="1" x14ac:dyDescent="0.35">
      <c r="E24768" s="35"/>
      <c r="J24768" s="41"/>
    </row>
    <row r="24769" spans="5:10" s="34" customFormat="1" x14ac:dyDescent="0.35">
      <c r="E24769" s="35"/>
      <c r="J24769" s="41"/>
    </row>
    <row r="24770" spans="5:10" s="34" customFormat="1" x14ac:dyDescent="0.35">
      <c r="E24770" s="35"/>
      <c r="J24770" s="41"/>
    </row>
    <row r="24771" spans="5:10" s="34" customFormat="1" x14ac:dyDescent="0.35">
      <c r="E24771" s="35"/>
      <c r="J24771" s="41"/>
    </row>
    <row r="24772" spans="5:10" s="34" customFormat="1" x14ac:dyDescent="0.35">
      <c r="E24772" s="35"/>
      <c r="J24772" s="41"/>
    </row>
    <row r="24773" spans="5:10" s="34" customFormat="1" x14ac:dyDescent="0.35">
      <c r="E24773" s="35"/>
      <c r="J24773" s="41"/>
    </row>
    <row r="24774" spans="5:10" s="34" customFormat="1" x14ac:dyDescent="0.35">
      <c r="E24774" s="35"/>
      <c r="J24774" s="41"/>
    </row>
    <row r="24775" spans="5:10" s="34" customFormat="1" x14ac:dyDescent="0.35">
      <c r="E24775" s="35"/>
      <c r="J24775" s="41"/>
    </row>
    <row r="24776" spans="5:10" s="34" customFormat="1" x14ac:dyDescent="0.35">
      <c r="E24776" s="35"/>
      <c r="J24776" s="41"/>
    </row>
    <row r="24777" spans="5:10" s="34" customFormat="1" x14ac:dyDescent="0.35">
      <c r="E24777" s="35"/>
      <c r="J24777" s="41"/>
    </row>
    <row r="24778" spans="5:10" s="34" customFormat="1" x14ac:dyDescent="0.35">
      <c r="E24778" s="35"/>
      <c r="J24778" s="41"/>
    </row>
    <row r="24779" spans="5:10" s="34" customFormat="1" x14ac:dyDescent="0.35">
      <c r="E24779" s="35"/>
      <c r="J24779" s="41"/>
    </row>
    <row r="24780" spans="5:10" s="34" customFormat="1" x14ac:dyDescent="0.35">
      <c r="E24780" s="35"/>
      <c r="J24780" s="41"/>
    </row>
    <row r="24781" spans="5:10" s="34" customFormat="1" x14ac:dyDescent="0.35">
      <c r="E24781" s="35"/>
      <c r="J24781" s="41"/>
    </row>
    <row r="24782" spans="5:10" s="34" customFormat="1" x14ac:dyDescent="0.35">
      <c r="E24782" s="35"/>
      <c r="J24782" s="41"/>
    </row>
    <row r="24783" spans="5:10" s="34" customFormat="1" x14ac:dyDescent="0.35">
      <c r="E24783" s="35"/>
      <c r="J24783" s="41"/>
    </row>
    <row r="24784" spans="5:10" s="34" customFormat="1" x14ac:dyDescent="0.35">
      <c r="E24784" s="35"/>
      <c r="J24784" s="41"/>
    </row>
    <row r="24785" spans="5:10" s="34" customFormat="1" x14ac:dyDescent="0.35">
      <c r="E24785" s="35"/>
      <c r="J24785" s="41"/>
    </row>
    <row r="24786" spans="5:10" s="34" customFormat="1" x14ac:dyDescent="0.35">
      <c r="E24786" s="35"/>
      <c r="J24786" s="41"/>
    </row>
    <row r="24787" spans="5:10" s="34" customFormat="1" x14ac:dyDescent="0.35">
      <c r="E24787" s="35"/>
      <c r="J24787" s="41"/>
    </row>
    <row r="24788" spans="5:10" s="34" customFormat="1" x14ac:dyDescent="0.35">
      <c r="E24788" s="35"/>
      <c r="J24788" s="41"/>
    </row>
    <row r="24789" spans="5:10" s="34" customFormat="1" x14ac:dyDescent="0.35">
      <c r="E24789" s="35"/>
      <c r="J24789" s="41"/>
    </row>
    <row r="24790" spans="5:10" s="34" customFormat="1" x14ac:dyDescent="0.35">
      <c r="E24790" s="35"/>
      <c r="J24790" s="41"/>
    </row>
    <row r="24791" spans="5:10" s="34" customFormat="1" x14ac:dyDescent="0.35">
      <c r="E24791" s="35"/>
      <c r="J24791" s="41"/>
    </row>
    <row r="24792" spans="5:10" s="34" customFormat="1" x14ac:dyDescent="0.35">
      <c r="E24792" s="35"/>
      <c r="J24792" s="41"/>
    </row>
    <row r="24793" spans="5:10" s="34" customFormat="1" x14ac:dyDescent="0.35">
      <c r="E24793" s="35"/>
      <c r="J24793" s="41"/>
    </row>
    <row r="24794" spans="5:10" s="34" customFormat="1" x14ac:dyDescent="0.35">
      <c r="E24794" s="35"/>
      <c r="J24794" s="41"/>
    </row>
    <row r="24795" spans="5:10" s="34" customFormat="1" x14ac:dyDescent="0.35">
      <c r="E24795" s="35"/>
      <c r="J24795" s="41"/>
    </row>
    <row r="24796" spans="5:10" s="34" customFormat="1" x14ac:dyDescent="0.35">
      <c r="E24796" s="35"/>
      <c r="J24796" s="41"/>
    </row>
    <row r="24797" spans="5:10" s="34" customFormat="1" x14ac:dyDescent="0.35">
      <c r="E24797" s="35"/>
      <c r="J24797" s="41"/>
    </row>
    <row r="24798" spans="5:10" s="34" customFormat="1" x14ac:dyDescent="0.35">
      <c r="E24798" s="35"/>
      <c r="J24798" s="41"/>
    </row>
    <row r="24799" spans="5:10" s="34" customFormat="1" x14ac:dyDescent="0.35">
      <c r="E24799" s="35"/>
      <c r="J24799" s="41"/>
    </row>
    <row r="24800" spans="5:10" s="34" customFormat="1" x14ac:dyDescent="0.35">
      <c r="E24800" s="35"/>
      <c r="J24800" s="41"/>
    </row>
    <row r="24801" spans="5:10" s="34" customFormat="1" x14ac:dyDescent="0.35">
      <c r="E24801" s="35"/>
      <c r="J24801" s="41"/>
    </row>
    <row r="24802" spans="5:10" s="34" customFormat="1" x14ac:dyDescent="0.35">
      <c r="E24802" s="35"/>
      <c r="J24802" s="41"/>
    </row>
    <row r="24803" spans="5:10" s="34" customFormat="1" x14ac:dyDescent="0.35">
      <c r="E24803" s="35"/>
      <c r="J24803" s="41"/>
    </row>
    <row r="24804" spans="5:10" s="34" customFormat="1" x14ac:dyDescent="0.35">
      <c r="E24804" s="35"/>
      <c r="J24804" s="41"/>
    </row>
    <row r="24805" spans="5:10" s="34" customFormat="1" x14ac:dyDescent="0.35">
      <c r="E24805" s="35"/>
      <c r="J24805" s="41"/>
    </row>
    <row r="24806" spans="5:10" s="34" customFormat="1" x14ac:dyDescent="0.35">
      <c r="E24806" s="35"/>
      <c r="J24806" s="41"/>
    </row>
    <row r="24807" spans="5:10" s="34" customFormat="1" x14ac:dyDescent="0.35">
      <c r="E24807" s="35"/>
      <c r="J24807" s="41"/>
    </row>
    <row r="24808" spans="5:10" s="34" customFormat="1" x14ac:dyDescent="0.35">
      <c r="E24808" s="35"/>
      <c r="J24808" s="41"/>
    </row>
    <row r="24809" spans="5:10" s="34" customFormat="1" x14ac:dyDescent="0.35">
      <c r="E24809" s="35"/>
      <c r="J24809" s="41"/>
    </row>
    <row r="24810" spans="5:10" s="34" customFormat="1" x14ac:dyDescent="0.35">
      <c r="E24810" s="35"/>
      <c r="J24810" s="41"/>
    </row>
    <row r="24811" spans="5:10" s="34" customFormat="1" x14ac:dyDescent="0.35">
      <c r="E24811" s="35"/>
      <c r="J24811" s="41"/>
    </row>
    <row r="24812" spans="5:10" s="34" customFormat="1" x14ac:dyDescent="0.35">
      <c r="E24812" s="35"/>
      <c r="J24812" s="41"/>
    </row>
    <row r="24813" spans="5:10" s="34" customFormat="1" x14ac:dyDescent="0.35">
      <c r="E24813" s="35"/>
      <c r="J24813" s="41"/>
    </row>
    <row r="24814" spans="5:10" s="34" customFormat="1" x14ac:dyDescent="0.35">
      <c r="E24814" s="35"/>
      <c r="J24814" s="41"/>
    </row>
    <row r="24815" spans="5:10" s="34" customFormat="1" x14ac:dyDescent="0.35">
      <c r="E24815" s="35"/>
      <c r="J24815" s="41"/>
    </row>
    <row r="24816" spans="5:10" s="34" customFormat="1" x14ac:dyDescent="0.35">
      <c r="E24816" s="35"/>
      <c r="J24816" s="41"/>
    </row>
    <row r="24817" spans="5:10" s="34" customFormat="1" x14ac:dyDescent="0.35">
      <c r="E24817" s="35"/>
      <c r="J24817" s="41"/>
    </row>
    <row r="24818" spans="5:10" s="34" customFormat="1" x14ac:dyDescent="0.35">
      <c r="E24818" s="35"/>
      <c r="J24818" s="41"/>
    </row>
    <row r="24819" spans="5:10" s="34" customFormat="1" x14ac:dyDescent="0.35">
      <c r="E24819" s="35"/>
      <c r="J24819" s="41"/>
    </row>
    <row r="24820" spans="5:10" s="34" customFormat="1" x14ac:dyDescent="0.35">
      <c r="E24820" s="35"/>
      <c r="J24820" s="41"/>
    </row>
    <row r="24821" spans="5:10" s="34" customFormat="1" x14ac:dyDescent="0.35">
      <c r="E24821" s="35"/>
      <c r="J24821" s="41"/>
    </row>
    <row r="24822" spans="5:10" s="34" customFormat="1" x14ac:dyDescent="0.35">
      <c r="E24822" s="35"/>
      <c r="J24822" s="41"/>
    </row>
    <row r="24823" spans="5:10" s="34" customFormat="1" x14ac:dyDescent="0.35">
      <c r="E24823" s="35"/>
      <c r="J24823" s="41"/>
    </row>
    <row r="24824" spans="5:10" s="34" customFormat="1" x14ac:dyDescent="0.35">
      <c r="E24824" s="35"/>
      <c r="J24824" s="41"/>
    </row>
    <row r="24825" spans="5:10" s="34" customFormat="1" x14ac:dyDescent="0.35">
      <c r="E24825" s="35"/>
      <c r="J24825" s="41"/>
    </row>
    <row r="24826" spans="5:10" s="34" customFormat="1" x14ac:dyDescent="0.35">
      <c r="E24826" s="35"/>
      <c r="J24826" s="41"/>
    </row>
    <row r="24827" spans="5:10" s="34" customFormat="1" x14ac:dyDescent="0.35">
      <c r="E24827" s="35"/>
      <c r="J24827" s="41"/>
    </row>
    <row r="24828" spans="5:10" s="34" customFormat="1" x14ac:dyDescent="0.35">
      <c r="E24828" s="35"/>
      <c r="J24828" s="41"/>
    </row>
    <row r="24829" spans="5:10" s="34" customFormat="1" x14ac:dyDescent="0.35">
      <c r="E24829" s="35"/>
      <c r="J24829" s="41"/>
    </row>
    <row r="24830" spans="5:10" s="34" customFormat="1" x14ac:dyDescent="0.35">
      <c r="E24830" s="35"/>
      <c r="J24830" s="41"/>
    </row>
    <row r="24831" spans="5:10" s="34" customFormat="1" x14ac:dyDescent="0.35">
      <c r="E24831" s="35"/>
      <c r="J24831" s="41"/>
    </row>
    <row r="24832" spans="5:10" s="34" customFormat="1" x14ac:dyDescent="0.35">
      <c r="E24832" s="35"/>
      <c r="J24832" s="41"/>
    </row>
    <row r="24833" spans="5:10" s="34" customFormat="1" x14ac:dyDescent="0.35">
      <c r="E24833" s="35"/>
      <c r="J24833" s="41"/>
    </row>
    <row r="24834" spans="5:10" s="34" customFormat="1" x14ac:dyDescent="0.35">
      <c r="E24834" s="35"/>
      <c r="J24834" s="41"/>
    </row>
    <row r="24835" spans="5:10" s="34" customFormat="1" x14ac:dyDescent="0.35">
      <c r="E24835" s="35"/>
      <c r="J24835" s="41"/>
    </row>
    <row r="24836" spans="5:10" s="34" customFormat="1" x14ac:dyDescent="0.35">
      <c r="E24836" s="35"/>
      <c r="J24836" s="41"/>
    </row>
    <row r="24837" spans="5:10" s="34" customFormat="1" x14ac:dyDescent="0.35">
      <c r="E24837" s="35"/>
      <c r="J24837" s="41"/>
    </row>
    <row r="24838" spans="5:10" s="34" customFormat="1" x14ac:dyDescent="0.35">
      <c r="E24838" s="35"/>
      <c r="J24838" s="41"/>
    </row>
    <row r="24839" spans="5:10" s="34" customFormat="1" x14ac:dyDescent="0.35">
      <c r="E24839" s="35"/>
      <c r="J24839" s="41"/>
    </row>
    <row r="24840" spans="5:10" s="34" customFormat="1" x14ac:dyDescent="0.35">
      <c r="E24840" s="35"/>
      <c r="J24840" s="41"/>
    </row>
    <row r="24841" spans="5:10" s="34" customFormat="1" x14ac:dyDescent="0.35">
      <c r="E24841" s="35"/>
      <c r="J24841" s="41"/>
    </row>
    <row r="24842" spans="5:10" s="34" customFormat="1" x14ac:dyDescent="0.35">
      <c r="E24842" s="35"/>
      <c r="J24842" s="41"/>
    </row>
    <row r="24843" spans="5:10" s="34" customFormat="1" x14ac:dyDescent="0.35">
      <c r="E24843" s="35"/>
      <c r="J24843" s="41"/>
    </row>
    <row r="24844" spans="5:10" s="34" customFormat="1" x14ac:dyDescent="0.35">
      <c r="E24844" s="35"/>
      <c r="J24844" s="41"/>
    </row>
    <row r="24845" spans="5:10" s="34" customFormat="1" x14ac:dyDescent="0.35">
      <c r="E24845" s="35"/>
      <c r="J24845" s="41"/>
    </row>
    <row r="24846" spans="5:10" s="34" customFormat="1" x14ac:dyDescent="0.35">
      <c r="E24846" s="35"/>
      <c r="J24846" s="41"/>
    </row>
    <row r="24847" spans="5:10" s="34" customFormat="1" x14ac:dyDescent="0.35">
      <c r="E24847" s="35"/>
      <c r="J24847" s="41"/>
    </row>
    <row r="24848" spans="5:10" s="34" customFormat="1" x14ac:dyDescent="0.35">
      <c r="E24848" s="35"/>
      <c r="J24848" s="41"/>
    </row>
    <row r="24849" spans="5:10" s="34" customFormat="1" x14ac:dyDescent="0.35">
      <c r="E24849" s="35"/>
      <c r="J24849" s="41"/>
    </row>
    <row r="24850" spans="5:10" s="34" customFormat="1" x14ac:dyDescent="0.35">
      <c r="E24850" s="35"/>
      <c r="J24850" s="41"/>
    </row>
    <row r="24851" spans="5:10" s="34" customFormat="1" x14ac:dyDescent="0.35">
      <c r="E24851" s="35"/>
      <c r="J24851" s="41"/>
    </row>
    <row r="24852" spans="5:10" s="34" customFormat="1" x14ac:dyDescent="0.35">
      <c r="E24852" s="35"/>
      <c r="J24852" s="41"/>
    </row>
    <row r="24853" spans="5:10" s="34" customFormat="1" x14ac:dyDescent="0.35">
      <c r="E24853" s="35"/>
      <c r="J24853" s="41"/>
    </row>
    <row r="24854" spans="5:10" s="34" customFormat="1" x14ac:dyDescent="0.35">
      <c r="E24854" s="35"/>
      <c r="J24854" s="41"/>
    </row>
    <row r="24855" spans="5:10" s="34" customFormat="1" x14ac:dyDescent="0.35">
      <c r="E24855" s="35"/>
      <c r="J24855" s="41"/>
    </row>
    <row r="24856" spans="5:10" s="34" customFormat="1" x14ac:dyDescent="0.35">
      <c r="E24856" s="35"/>
      <c r="J24856" s="41"/>
    </row>
    <row r="24857" spans="5:10" s="34" customFormat="1" x14ac:dyDescent="0.35">
      <c r="E24857" s="35"/>
      <c r="J24857" s="41"/>
    </row>
    <row r="24858" spans="5:10" s="34" customFormat="1" x14ac:dyDescent="0.35">
      <c r="E24858" s="35"/>
      <c r="J24858" s="41"/>
    </row>
    <row r="24859" spans="5:10" s="34" customFormat="1" x14ac:dyDescent="0.35">
      <c r="E24859" s="35"/>
      <c r="J24859" s="41"/>
    </row>
    <row r="24860" spans="5:10" s="34" customFormat="1" x14ac:dyDescent="0.35">
      <c r="E24860" s="35"/>
      <c r="J24860" s="41"/>
    </row>
    <row r="24861" spans="5:10" s="34" customFormat="1" x14ac:dyDescent="0.35">
      <c r="E24861" s="35"/>
      <c r="J24861" s="41"/>
    </row>
    <row r="24862" spans="5:10" s="34" customFormat="1" x14ac:dyDescent="0.35">
      <c r="E24862" s="35"/>
      <c r="J24862" s="41"/>
    </row>
    <row r="24863" spans="5:10" s="34" customFormat="1" x14ac:dyDescent="0.35">
      <c r="E24863" s="35"/>
      <c r="J24863" s="41"/>
    </row>
    <row r="24864" spans="5:10" s="34" customFormat="1" x14ac:dyDescent="0.35">
      <c r="E24864" s="35"/>
      <c r="J24864" s="41"/>
    </row>
    <row r="24865" spans="5:10" s="34" customFormat="1" x14ac:dyDescent="0.35">
      <c r="E24865" s="35"/>
      <c r="J24865" s="41"/>
    </row>
    <row r="24866" spans="5:10" s="34" customFormat="1" x14ac:dyDescent="0.35">
      <c r="E24866" s="35"/>
      <c r="J24866" s="41"/>
    </row>
    <row r="24867" spans="5:10" s="34" customFormat="1" x14ac:dyDescent="0.35">
      <c r="E24867" s="35"/>
      <c r="J24867" s="41"/>
    </row>
    <row r="24868" spans="5:10" s="34" customFormat="1" x14ac:dyDescent="0.35">
      <c r="E24868" s="35"/>
      <c r="J24868" s="41"/>
    </row>
    <row r="24869" spans="5:10" s="34" customFormat="1" x14ac:dyDescent="0.35">
      <c r="E24869" s="35"/>
      <c r="J24869" s="41"/>
    </row>
    <row r="24870" spans="5:10" s="34" customFormat="1" x14ac:dyDescent="0.35">
      <c r="E24870" s="35"/>
      <c r="J24870" s="41"/>
    </row>
    <row r="24871" spans="5:10" s="34" customFormat="1" x14ac:dyDescent="0.35">
      <c r="E24871" s="35"/>
      <c r="J24871" s="41"/>
    </row>
    <row r="24872" spans="5:10" s="34" customFormat="1" x14ac:dyDescent="0.35">
      <c r="E24872" s="35"/>
      <c r="J24872" s="41"/>
    </row>
    <row r="24873" spans="5:10" s="34" customFormat="1" x14ac:dyDescent="0.35">
      <c r="E24873" s="35"/>
      <c r="J24873" s="41"/>
    </row>
    <row r="24874" spans="5:10" s="34" customFormat="1" x14ac:dyDescent="0.35">
      <c r="E24874" s="35"/>
      <c r="J24874" s="41"/>
    </row>
    <row r="24875" spans="5:10" s="34" customFormat="1" x14ac:dyDescent="0.35">
      <c r="E24875" s="35"/>
      <c r="J24875" s="41"/>
    </row>
    <row r="24876" spans="5:10" s="34" customFormat="1" x14ac:dyDescent="0.35">
      <c r="E24876" s="35"/>
      <c r="J24876" s="41"/>
    </row>
    <row r="24877" spans="5:10" s="34" customFormat="1" x14ac:dyDescent="0.35">
      <c r="E24877" s="35"/>
      <c r="J24877" s="41"/>
    </row>
    <row r="24878" spans="5:10" s="34" customFormat="1" x14ac:dyDescent="0.35">
      <c r="E24878" s="35"/>
      <c r="J24878" s="41"/>
    </row>
    <row r="24879" spans="5:10" s="34" customFormat="1" x14ac:dyDescent="0.35">
      <c r="E24879" s="35"/>
      <c r="J24879" s="41"/>
    </row>
    <row r="24880" spans="5:10" s="34" customFormat="1" x14ac:dyDescent="0.35">
      <c r="E24880" s="35"/>
      <c r="J24880" s="41"/>
    </row>
    <row r="24881" spans="5:10" s="34" customFormat="1" x14ac:dyDescent="0.35">
      <c r="E24881" s="35"/>
      <c r="J24881" s="41"/>
    </row>
    <row r="24882" spans="5:10" s="34" customFormat="1" x14ac:dyDescent="0.35">
      <c r="E24882" s="35"/>
      <c r="J24882" s="41"/>
    </row>
    <row r="24883" spans="5:10" s="34" customFormat="1" x14ac:dyDescent="0.35">
      <c r="E24883" s="35"/>
      <c r="J24883" s="41"/>
    </row>
    <row r="24884" spans="5:10" s="34" customFormat="1" x14ac:dyDescent="0.35">
      <c r="E24884" s="35"/>
      <c r="J24884" s="41"/>
    </row>
    <row r="24885" spans="5:10" s="34" customFormat="1" x14ac:dyDescent="0.35">
      <c r="E24885" s="35"/>
      <c r="J24885" s="41"/>
    </row>
    <row r="24886" spans="5:10" s="34" customFormat="1" x14ac:dyDescent="0.35">
      <c r="E24886" s="35"/>
      <c r="J24886" s="41"/>
    </row>
    <row r="24887" spans="5:10" s="34" customFormat="1" x14ac:dyDescent="0.35">
      <c r="E24887" s="35"/>
      <c r="J24887" s="41"/>
    </row>
    <row r="24888" spans="5:10" s="34" customFormat="1" x14ac:dyDescent="0.35">
      <c r="E24888" s="35"/>
      <c r="J24888" s="41"/>
    </row>
    <row r="24889" spans="5:10" s="34" customFormat="1" x14ac:dyDescent="0.35">
      <c r="E24889" s="35"/>
      <c r="J24889" s="41"/>
    </row>
    <row r="24890" spans="5:10" s="34" customFormat="1" x14ac:dyDescent="0.35">
      <c r="E24890" s="35"/>
      <c r="J24890" s="41"/>
    </row>
    <row r="24891" spans="5:10" s="34" customFormat="1" x14ac:dyDescent="0.35">
      <c r="E24891" s="35"/>
      <c r="J24891" s="41"/>
    </row>
    <row r="24892" spans="5:10" s="34" customFormat="1" x14ac:dyDescent="0.35">
      <c r="E24892" s="35"/>
      <c r="J24892" s="41"/>
    </row>
    <row r="24893" spans="5:10" s="34" customFormat="1" x14ac:dyDescent="0.35">
      <c r="E24893" s="35"/>
      <c r="J24893" s="41"/>
    </row>
    <row r="24894" spans="5:10" s="34" customFormat="1" x14ac:dyDescent="0.35">
      <c r="E24894" s="35"/>
      <c r="J24894" s="41"/>
    </row>
    <row r="24895" spans="5:10" s="34" customFormat="1" x14ac:dyDescent="0.35">
      <c r="E24895" s="35"/>
      <c r="J24895" s="41"/>
    </row>
    <row r="24896" spans="5:10" s="34" customFormat="1" x14ac:dyDescent="0.35">
      <c r="E24896" s="35"/>
      <c r="J24896" s="41"/>
    </row>
    <row r="24897" spans="5:10" s="34" customFormat="1" x14ac:dyDescent="0.35">
      <c r="E24897" s="35"/>
      <c r="J24897" s="41"/>
    </row>
    <row r="24898" spans="5:10" s="34" customFormat="1" x14ac:dyDescent="0.35">
      <c r="E24898" s="35"/>
      <c r="J24898" s="41"/>
    </row>
    <row r="24899" spans="5:10" s="34" customFormat="1" x14ac:dyDescent="0.35">
      <c r="E24899" s="35"/>
      <c r="J24899" s="41"/>
    </row>
    <row r="24900" spans="5:10" s="34" customFormat="1" x14ac:dyDescent="0.35">
      <c r="E24900" s="35"/>
      <c r="J24900" s="41"/>
    </row>
    <row r="24901" spans="5:10" s="34" customFormat="1" x14ac:dyDescent="0.35">
      <c r="E24901" s="35"/>
      <c r="J24901" s="41"/>
    </row>
    <row r="24902" spans="5:10" s="34" customFormat="1" x14ac:dyDescent="0.35">
      <c r="E24902" s="35"/>
      <c r="J24902" s="41"/>
    </row>
    <row r="24903" spans="5:10" s="34" customFormat="1" x14ac:dyDescent="0.35">
      <c r="E24903" s="35"/>
      <c r="J24903" s="41"/>
    </row>
    <row r="24904" spans="5:10" s="34" customFormat="1" x14ac:dyDescent="0.35">
      <c r="E24904" s="35"/>
      <c r="J24904" s="41"/>
    </row>
    <row r="24905" spans="5:10" s="34" customFormat="1" x14ac:dyDescent="0.35">
      <c r="E24905" s="35"/>
      <c r="J24905" s="41"/>
    </row>
    <row r="24906" spans="5:10" s="34" customFormat="1" x14ac:dyDescent="0.35">
      <c r="E24906" s="35"/>
      <c r="J24906" s="41"/>
    </row>
    <row r="24907" spans="5:10" s="34" customFormat="1" x14ac:dyDescent="0.35">
      <c r="E24907" s="35"/>
      <c r="J24907" s="41"/>
    </row>
    <row r="24908" spans="5:10" s="34" customFormat="1" x14ac:dyDescent="0.35">
      <c r="E24908" s="35"/>
      <c r="J24908" s="41"/>
    </row>
    <row r="24909" spans="5:10" s="34" customFormat="1" x14ac:dyDescent="0.35">
      <c r="E24909" s="35"/>
      <c r="J24909" s="41"/>
    </row>
    <row r="24910" spans="5:10" s="34" customFormat="1" x14ac:dyDescent="0.35">
      <c r="E24910" s="35"/>
      <c r="J24910" s="41"/>
    </row>
    <row r="24911" spans="5:10" s="34" customFormat="1" x14ac:dyDescent="0.35">
      <c r="E24911" s="35"/>
      <c r="J24911" s="41"/>
    </row>
    <row r="24912" spans="5:10" s="34" customFormat="1" x14ac:dyDescent="0.35">
      <c r="E24912" s="35"/>
      <c r="J24912" s="41"/>
    </row>
    <row r="24913" spans="5:10" s="34" customFormat="1" x14ac:dyDescent="0.35">
      <c r="E24913" s="35"/>
      <c r="J24913" s="41"/>
    </row>
    <row r="24914" spans="5:10" s="34" customFormat="1" x14ac:dyDescent="0.35">
      <c r="E24914" s="35"/>
      <c r="J24914" s="41"/>
    </row>
    <row r="24915" spans="5:10" s="34" customFormat="1" x14ac:dyDescent="0.35">
      <c r="E24915" s="35"/>
      <c r="J24915" s="41"/>
    </row>
    <row r="24916" spans="5:10" s="34" customFormat="1" x14ac:dyDescent="0.35">
      <c r="E24916" s="35"/>
      <c r="J24916" s="41"/>
    </row>
    <row r="24917" spans="5:10" s="34" customFormat="1" x14ac:dyDescent="0.35">
      <c r="E24917" s="35"/>
      <c r="J24917" s="41"/>
    </row>
    <row r="24918" spans="5:10" s="34" customFormat="1" x14ac:dyDescent="0.35">
      <c r="E24918" s="35"/>
      <c r="J24918" s="41"/>
    </row>
    <row r="24919" spans="5:10" s="34" customFormat="1" x14ac:dyDescent="0.35">
      <c r="E24919" s="35"/>
      <c r="J24919" s="41"/>
    </row>
    <row r="24920" spans="5:10" s="34" customFormat="1" x14ac:dyDescent="0.35">
      <c r="E24920" s="35"/>
      <c r="J24920" s="41"/>
    </row>
    <row r="24921" spans="5:10" s="34" customFormat="1" x14ac:dyDescent="0.35">
      <c r="E24921" s="35"/>
      <c r="J24921" s="41"/>
    </row>
    <row r="24922" spans="5:10" s="34" customFormat="1" x14ac:dyDescent="0.35">
      <c r="E24922" s="35"/>
      <c r="J24922" s="41"/>
    </row>
    <row r="24923" spans="5:10" s="34" customFormat="1" x14ac:dyDescent="0.35">
      <c r="E24923" s="35"/>
      <c r="J24923" s="41"/>
    </row>
    <row r="24924" spans="5:10" s="34" customFormat="1" x14ac:dyDescent="0.35">
      <c r="E24924" s="35"/>
      <c r="J24924" s="41"/>
    </row>
    <row r="24925" spans="5:10" s="34" customFormat="1" x14ac:dyDescent="0.35">
      <c r="E24925" s="35"/>
      <c r="J24925" s="41"/>
    </row>
    <row r="24926" spans="5:10" s="34" customFormat="1" x14ac:dyDescent="0.35">
      <c r="E24926" s="35"/>
      <c r="J24926" s="41"/>
    </row>
    <row r="24927" spans="5:10" s="34" customFormat="1" x14ac:dyDescent="0.35">
      <c r="E24927" s="35"/>
      <c r="J24927" s="41"/>
    </row>
    <row r="24928" spans="5:10" s="34" customFormat="1" x14ac:dyDescent="0.35">
      <c r="E24928" s="35"/>
      <c r="J24928" s="41"/>
    </row>
    <row r="24929" spans="5:10" s="34" customFormat="1" x14ac:dyDescent="0.35">
      <c r="E24929" s="35"/>
      <c r="J24929" s="41"/>
    </row>
    <row r="24930" spans="5:10" s="34" customFormat="1" x14ac:dyDescent="0.35">
      <c r="E24930" s="35"/>
      <c r="J24930" s="41"/>
    </row>
    <row r="24931" spans="5:10" s="34" customFormat="1" x14ac:dyDescent="0.35">
      <c r="E24931" s="35"/>
      <c r="J24931" s="41"/>
    </row>
    <row r="24932" spans="5:10" s="34" customFormat="1" x14ac:dyDescent="0.35">
      <c r="E24932" s="35"/>
      <c r="J24932" s="41"/>
    </row>
    <row r="24933" spans="5:10" s="34" customFormat="1" x14ac:dyDescent="0.35">
      <c r="E24933" s="35"/>
      <c r="J24933" s="41"/>
    </row>
    <row r="24934" spans="5:10" s="34" customFormat="1" x14ac:dyDescent="0.35">
      <c r="E24934" s="35"/>
      <c r="J24934" s="41"/>
    </row>
    <row r="24935" spans="5:10" s="34" customFormat="1" x14ac:dyDescent="0.35">
      <c r="E24935" s="35"/>
      <c r="J24935" s="41"/>
    </row>
    <row r="24936" spans="5:10" s="34" customFormat="1" x14ac:dyDescent="0.35">
      <c r="E24936" s="35"/>
      <c r="J24936" s="41"/>
    </row>
    <row r="24937" spans="5:10" s="34" customFormat="1" x14ac:dyDescent="0.35">
      <c r="E24937" s="35"/>
      <c r="J24937" s="41"/>
    </row>
    <row r="24938" spans="5:10" s="34" customFormat="1" x14ac:dyDescent="0.35">
      <c r="E24938" s="35"/>
      <c r="J24938" s="41"/>
    </row>
    <row r="24939" spans="5:10" s="34" customFormat="1" x14ac:dyDescent="0.35">
      <c r="E24939" s="35"/>
      <c r="J24939" s="41"/>
    </row>
    <row r="24940" spans="5:10" s="34" customFormat="1" x14ac:dyDescent="0.35">
      <c r="E24940" s="35"/>
      <c r="J24940" s="41"/>
    </row>
    <row r="24941" spans="5:10" s="34" customFormat="1" x14ac:dyDescent="0.35">
      <c r="E24941" s="35"/>
      <c r="J24941" s="41"/>
    </row>
    <row r="24942" spans="5:10" s="34" customFormat="1" x14ac:dyDescent="0.35">
      <c r="E24942" s="35"/>
      <c r="J24942" s="41"/>
    </row>
    <row r="24943" spans="5:10" s="34" customFormat="1" x14ac:dyDescent="0.35">
      <c r="E24943" s="35"/>
      <c r="J24943" s="41"/>
    </row>
    <row r="24944" spans="5:10" s="34" customFormat="1" x14ac:dyDescent="0.35">
      <c r="E24944" s="35"/>
      <c r="J24944" s="41"/>
    </row>
    <row r="24945" spans="5:10" s="34" customFormat="1" x14ac:dyDescent="0.35">
      <c r="E24945" s="35"/>
      <c r="J24945" s="41"/>
    </row>
    <row r="24946" spans="5:10" s="34" customFormat="1" x14ac:dyDescent="0.35">
      <c r="E24946" s="35"/>
      <c r="J24946" s="41"/>
    </row>
    <row r="24947" spans="5:10" s="34" customFormat="1" x14ac:dyDescent="0.35">
      <c r="E24947" s="35"/>
      <c r="J24947" s="41"/>
    </row>
    <row r="24948" spans="5:10" s="34" customFormat="1" x14ac:dyDescent="0.35">
      <c r="E24948" s="35"/>
      <c r="J24948" s="41"/>
    </row>
    <row r="24949" spans="5:10" s="34" customFormat="1" x14ac:dyDescent="0.35">
      <c r="E24949" s="35"/>
      <c r="J24949" s="41"/>
    </row>
    <row r="24950" spans="5:10" s="34" customFormat="1" x14ac:dyDescent="0.35">
      <c r="E24950" s="35"/>
      <c r="J24950" s="41"/>
    </row>
    <row r="24951" spans="5:10" s="34" customFormat="1" x14ac:dyDescent="0.35">
      <c r="E24951" s="35"/>
      <c r="J24951" s="41"/>
    </row>
    <row r="24952" spans="5:10" s="34" customFormat="1" x14ac:dyDescent="0.35">
      <c r="E24952" s="35"/>
      <c r="J24952" s="41"/>
    </row>
    <row r="24953" spans="5:10" s="34" customFormat="1" x14ac:dyDescent="0.35">
      <c r="E24953" s="35"/>
      <c r="J24953" s="41"/>
    </row>
    <row r="24954" spans="5:10" s="34" customFormat="1" x14ac:dyDescent="0.35">
      <c r="E24954" s="35"/>
      <c r="J24954" s="41"/>
    </row>
    <row r="24955" spans="5:10" s="34" customFormat="1" x14ac:dyDescent="0.35">
      <c r="E24955" s="35"/>
      <c r="J24955" s="41"/>
    </row>
    <row r="24956" spans="5:10" s="34" customFormat="1" x14ac:dyDescent="0.35">
      <c r="E24956" s="35"/>
      <c r="J24956" s="41"/>
    </row>
    <row r="24957" spans="5:10" s="34" customFormat="1" x14ac:dyDescent="0.35">
      <c r="E24957" s="35"/>
      <c r="J24957" s="41"/>
    </row>
    <row r="24958" spans="5:10" s="34" customFormat="1" x14ac:dyDescent="0.35">
      <c r="E24958" s="35"/>
      <c r="J24958" s="41"/>
    </row>
    <row r="24959" spans="5:10" s="34" customFormat="1" x14ac:dyDescent="0.35">
      <c r="E24959" s="35"/>
      <c r="J24959" s="41"/>
    </row>
    <row r="24960" spans="5:10" s="34" customFormat="1" x14ac:dyDescent="0.35">
      <c r="E24960" s="35"/>
      <c r="J24960" s="41"/>
    </row>
    <row r="24961" spans="5:10" s="34" customFormat="1" x14ac:dyDescent="0.35">
      <c r="E24961" s="35"/>
      <c r="J24961" s="41"/>
    </row>
    <row r="24962" spans="5:10" s="34" customFormat="1" x14ac:dyDescent="0.35">
      <c r="E24962" s="35"/>
      <c r="J24962" s="41"/>
    </row>
    <row r="24963" spans="5:10" s="34" customFormat="1" x14ac:dyDescent="0.35">
      <c r="E24963" s="35"/>
      <c r="J24963" s="41"/>
    </row>
    <row r="24964" spans="5:10" s="34" customFormat="1" x14ac:dyDescent="0.35">
      <c r="E24964" s="35"/>
      <c r="J24964" s="41"/>
    </row>
    <row r="24965" spans="5:10" s="34" customFormat="1" x14ac:dyDescent="0.35">
      <c r="E24965" s="35"/>
      <c r="J24965" s="41"/>
    </row>
    <row r="24966" spans="5:10" s="34" customFormat="1" x14ac:dyDescent="0.35">
      <c r="E24966" s="35"/>
      <c r="J24966" s="41"/>
    </row>
    <row r="24967" spans="5:10" s="34" customFormat="1" x14ac:dyDescent="0.35">
      <c r="E24967" s="35"/>
      <c r="J24967" s="41"/>
    </row>
    <row r="24968" spans="5:10" s="34" customFormat="1" x14ac:dyDescent="0.35">
      <c r="E24968" s="35"/>
      <c r="J24968" s="41"/>
    </row>
    <row r="24969" spans="5:10" s="34" customFormat="1" x14ac:dyDescent="0.35">
      <c r="E24969" s="35"/>
      <c r="J24969" s="41"/>
    </row>
    <row r="24970" spans="5:10" s="34" customFormat="1" x14ac:dyDescent="0.35">
      <c r="E24970" s="35"/>
      <c r="J24970" s="41"/>
    </row>
    <row r="24971" spans="5:10" s="34" customFormat="1" x14ac:dyDescent="0.35">
      <c r="E24971" s="35"/>
      <c r="J24971" s="41"/>
    </row>
    <row r="24972" spans="5:10" s="34" customFormat="1" x14ac:dyDescent="0.35">
      <c r="E24972" s="35"/>
      <c r="J24972" s="41"/>
    </row>
    <row r="24973" spans="5:10" s="34" customFormat="1" x14ac:dyDescent="0.35">
      <c r="E24973" s="35"/>
      <c r="J24973" s="41"/>
    </row>
    <row r="24974" spans="5:10" s="34" customFormat="1" x14ac:dyDescent="0.35">
      <c r="E24974" s="35"/>
      <c r="J24974" s="41"/>
    </row>
    <row r="24975" spans="5:10" s="34" customFormat="1" x14ac:dyDescent="0.35">
      <c r="E24975" s="35"/>
      <c r="J24975" s="41"/>
    </row>
    <row r="24976" spans="5:10" s="34" customFormat="1" x14ac:dyDescent="0.35">
      <c r="E24976" s="35"/>
      <c r="J24976" s="41"/>
    </row>
    <row r="24977" spans="5:10" s="34" customFormat="1" x14ac:dyDescent="0.35">
      <c r="E24977" s="35"/>
      <c r="J24977" s="41"/>
    </row>
    <row r="24978" spans="5:10" s="34" customFormat="1" x14ac:dyDescent="0.35">
      <c r="E24978" s="35"/>
      <c r="J24978" s="41"/>
    </row>
    <row r="24979" spans="5:10" s="34" customFormat="1" x14ac:dyDescent="0.35">
      <c r="E24979" s="35"/>
      <c r="J24979" s="41"/>
    </row>
    <row r="24980" spans="5:10" s="34" customFormat="1" x14ac:dyDescent="0.35">
      <c r="E24980" s="35"/>
      <c r="J24980" s="41"/>
    </row>
    <row r="24981" spans="5:10" s="34" customFormat="1" x14ac:dyDescent="0.35">
      <c r="E24981" s="35"/>
      <c r="J24981" s="41"/>
    </row>
    <row r="24982" spans="5:10" s="34" customFormat="1" x14ac:dyDescent="0.35">
      <c r="E24982" s="35"/>
      <c r="J24982" s="41"/>
    </row>
    <row r="24983" spans="5:10" s="34" customFormat="1" x14ac:dyDescent="0.35">
      <c r="E24983" s="35"/>
      <c r="J24983" s="41"/>
    </row>
    <row r="24984" spans="5:10" s="34" customFormat="1" x14ac:dyDescent="0.35">
      <c r="E24984" s="35"/>
      <c r="J24984" s="41"/>
    </row>
    <row r="24985" spans="5:10" s="34" customFormat="1" x14ac:dyDescent="0.35">
      <c r="E24985" s="35"/>
      <c r="J24985" s="41"/>
    </row>
    <row r="24986" spans="5:10" s="34" customFormat="1" x14ac:dyDescent="0.35">
      <c r="E24986" s="35"/>
      <c r="J24986" s="41"/>
    </row>
    <row r="24987" spans="5:10" s="34" customFormat="1" x14ac:dyDescent="0.35">
      <c r="E24987" s="35"/>
      <c r="J24987" s="41"/>
    </row>
    <row r="24988" spans="5:10" s="34" customFormat="1" x14ac:dyDescent="0.35">
      <c r="E24988" s="35"/>
      <c r="J24988" s="41"/>
    </row>
    <row r="24989" spans="5:10" s="34" customFormat="1" x14ac:dyDescent="0.35">
      <c r="E24989" s="35"/>
      <c r="J24989" s="41"/>
    </row>
    <row r="24990" spans="5:10" s="34" customFormat="1" x14ac:dyDescent="0.35">
      <c r="E24990" s="35"/>
      <c r="J24990" s="41"/>
    </row>
    <row r="24991" spans="5:10" s="34" customFormat="1" x14ac:dyDescent="0.35">
      <c r="E24991" s="35"/>
      <c r="J24991" s="41"/>
    </row>
    <row r="24992" spans="5:10" s="34" customFormat="1" x14ac:dyDescent="0.35">
      <c r="E24992" s="35"/>
      <c r="J24992" s="41"/>
    </row>
    <row r="24993" spans="5:10" s="34" customFormat="1" x14ac:dyDescent="0.35">
      <c r="E24993" s="35"/>
      <c r="J24993" s="41"/>
    </row>
    <row r="24994" spans="5:10" s="34" customFormat="1" x14ac:dyDescent="0.35">
      <c r="E24994" s="35"/>
      <c r="J24994" s="41"/>
    </row>
    <row r="24995" spans="5:10" s="34" customFormat="1" x14ac:dyDescent="0.35">
      <c r="E24995" s="35"/>
      <c r="J24995" s="41"/>
    </row>
    <row r="24996" spans="5:10" s="34" customFormat="1" x14ac:dyDescent="0.35">
      <c r="E24996" s="35"/>
      <c r="J24996" s="41"/>
    </row>
    <row r="24997" spans="5:10" s="34" customFormat="1" x14ac:dyDescent="0.35">
      <c r="E24997" s="35"/>
      <c r="J24997" s="41"/>
    </row>
    <row r="24998" spans="5:10" s="34" customFormat="1" x14ac:dyDescent="0.35">
      <c r="E24998" s="35"/>
      <c r="J24998" s="41"/>
    </row>
    <row r="24999" spans="5:10" s="34" customFormat="1" x14ac:dyDescent="0.35">
      <c r="E24999" s="35"/>
      <c r="J24999" s="41"/>
    </row>
    <row r="25000" spans="5:10" s="34" customFormat="1" x14ac:dyDescent="0.35">
      <c r="E25000" s="35"/>
      <c r="J25000" s="41"/>
    </row>
    <row r="25001" spans="5:10" s="34" customFormat="1" x14ac:dyDescent="0.35">
      <c r="E25001" s="35"/>
      <c r="J25001" s="41"/>
    </row>
    <row r="25002" spans="5:10" s="34" customFormat="1" x14ac:dyDescent="0.35">
      <c r="E25002" s="35"/>
      <c r="J25002" s="41"/>
    </row>
    <row r="25003" spans="5:10" s="34" customFormat="1" x14ac:dyDescent="0.35">
      <c r="E25003" s="35"/>
      <c r="J25003" s="41"/>
    </row>
    <row r="25004" spans="5:10" s="34" customFormat="1" x14ac:dyDescent="0.35">
      <c r="E25004" s="35"/>
      <c r="J25004" s="41"/>
    </row>
    <row r="25005" spans="5:10" s="34" customFormat="1" x14ac:dyDescent="0.35">
      <c r="E25005" s="35"/>
      <c r="J25005" s="41"/>
    </row>
    <row r="25006" spans="5:10" s="34" customFormat="1" x14ac:dyDescent="0.35">
      <c r="E25006" s="35"/>
      <c r="J25006" s="41"/>
    </row>
    <row r="25007" spans="5:10" s="34" customFormat="1" x14ac:dyDescent="0.35">
      <c r="E25007" s="35"/>
      <c r="J25007" s="41"/>
    </row>
    <row r="25008" spans="5:10" s="34" customFormat="1" x14ac:dyDescent="0.35">
      <c r="E25008" s="35"/>
      <c r="J25008" s="41"/>
    </row>
    <row r="25009" spans="5:10" s="34" customFormat="1" x14ac:dyDescent="0.35">
      <c r="E25009" s="35"/>
      <c r="J25009" s="41"/>
    </row>
    <row r="25010" spans="5:10" s="34" customFormat="1" x14ac:dyDescent="0.35">
      <c r="E25010" s="35"/>
      <c r="J25010" s="41"/>
    </row>
    <row r="25011" spans="5:10" s="34" customFormat="1" x14ac:dyDescent="0.35">
      <c r="E25011" s="35"/>
      <c r="J25011" s="41"/>
    </row>
    <row r="25012" spans="5:10" s="34" customFormat="1" x14ac:dyDescent="0.35">
      <c r="E25012" s="35"/>
      <c r="J25012" s="41"/>
    </row>
    <row r="25013" spans="5:10" s="34" customFormat="1" x14ac:dyDescent="0.35">
      <c r="E25013" s="35"/>
      <c r="J25013" s="41"/>
    </row>
    <row r="25014" spans="5:10" s="34" customFormat="1" x14ac:dyDescent="0.35">
      <c r="E25014" s="35"/>
      <c r="J25014" s="41"/>
    </row>
    <row r="25015" spans="5:10" s="34" customFormat="1" x14ac:dyDescent="0.35">
      <c r="E25015" s="35"/>
      <c r="J25015" s="41"/>
    </row>
    <row r="25016" spans="5:10" s="34" customFormat="1" x14ac:dyDescent="0.35">
      <c r="E25016" s="35"/>
      <c r="J25016" s="41"/>
    </row>
    <row r="25017" spans="5:10" s="34" customFormat="1" x14ac:dyDescent="0.35">
      <c r="E25017" s="35"/>
      <c r="J25017" s="41"/>
    </row>
    <row r="25018" spans="5:10" s="34" customFormat="1" x14ac:dyDescent="0.35">
      <c r="E25018" s="35"/>
      <c r="J25018" s="41"/>
    </row>
    <row r="25019" spans="5:10" s="34" customFormat="1" x14ac:dyDescent="0.35">
      <c r="E25019" s="35"/>
      <c r="J25019" s="41"/>
    </row>
    <row r="25020" spans="5:10" s="34" customFormat="1" x14ac:dyDescent="0.35">
      <c r="E25020" s="35"/>
      <c r="J25020" s="41"/>
    </row>
    <row r="25021" spans="5:10" s="34" customFormat="1" x14ac:dyDescent="0.35">
      <c r="E25021" s="35"/>
      <c r="J25021" s="41"/>
    </row>
    <row r="25022" spans="5:10" s="34" customFormat="1" x14ac:dyDescent="0.35">
      <c r="E25022" s="35"/>
      <c r="J25022" s="41"/>
    </row>
    <row r="25023" spans="5:10" s="34" customFormat="1" x14ac:dyDescent="0.35">
      <c r="E25023" s="35"/>
      <c r="J25023" s="41"/>
    </row>
    <row r="25024" spans="5:10" s="34" customFormat="1" x14ac:dyDescent="0.35">
      <c r="E25024" s="35"/>
      <c r="J25024" s="41"/>
    </row>
    <row r="25025" spans="5:10" s="34" customFormat="1" x14ac:dyDescent="0.35">
      <c r="E25025" s="35"/>
      <c r="J25025" s="41"/>
    </row>
    <row r="25026" spans="5:10" s="34" customFormat="1" x14ac:dyDescent="0.35">
      <c r="E25026" s="35"/>
      <c r="J25026" s="41"/>
    </row>
    <row r="25027" spans="5:10" s="34" customFormat="1" x14ac:dyDescent="0.35">
      <c r="E25027" s="35"/>
      <c r="J25027" s="41"/>
    </row>
    <row r="25028" spans="5:10" s="34" customFormat="1" x14ac:dyDescent="0.35">
      <c r="E25028" s="35"/>
      <c r="J25028" s="41"/>
    </row>
    <row r="25029" spans="5:10" s="34" customFormat="1" x14ac:dyDescent="0.35">
      <c r="E25029" s="35"/>
      <c r="J25029" s="41"/>
    </row>
    <row r="25030" spans="5:10" s="34" customFormat="1" x14ac:dyDescent="0.35">
      <c r="E25030" s="35"/>
      <c r="J25030" s="41"/>
    </row>
    <row r="25031" spans="5:10" s="34" customFormat="1" x14ac:dyDescent="0.35">
      <c r="E25031" s="35"/>
      <c r="J25031" s="41"/>
    </row>
    <row r="25032" spans="5:10" s="34" customFormat="1" x14ac:dyDescent="0.35">
      <c r="E25032" s="35"/>
      <c r="J25032" s="41"/>
    </row>
    <row r="25033" spans="5:10" s="34" customFormat="1" x14ac:dyDescent="0.35">
      <c r="E25033" s="35"/>
      <c r="J25033" s="41"/>
    </row>
    <row r="25034" spans="5:10" s="34" customFormat="1" x14ac:dyDescent="0.35">
      <c r="E25034" s="35"/>
      <c r="J25034" s="41"/>
    </row>
    <row r="25035" spans="5:10" s="34" customFormat="1" x14ac:dyDescent="0.35">
      <c r="E25035" s="35"/>
      <c r="J25035" s="41"/>
    </row>
    <row r="25036" spans="5:10" s="34" customFormat="1" x14ac:dyDescent="0.35">
      <c r="E25036" s="35"/>
      <c r="J25036" s="41"/>
    </row>
    <row r="25037" spans="5:10" s="34" customFormat="1" x14ac:dyDescent="0.35">
      <c r="E25037" s="35"/>
      <c r="J25037" s="41"/>
    </row>
    <row r="25038" spans="5:10" s="34" customFormat="1" x14ac:dyDescent="0.35">
      <c r="E25038" s="35"/>
      <c r="J25038" s="41"/>
    </row>
    <row r="25039" spans="5:10" s="34" customFormat="1" x14ac:dyDescent="0.35">
      <c r="E25039" s="35"/>
      <c r="J25039" s="41"/>
    </row>
    <row r="25040" spans="5:10" s="34" customFormat="1" x14ac:dyDescent="0.35">
      <c r="E25040" s="35"/>
      <c r="J25040" s="41"/>
    </row>
    <row r="25041" spans="5:10" s="34" customFormat="1" x14ac:dyDescent="0.35">
      <c r="E25041" s="35"/>
      <c r="J25041" s="41"/>
    </row>
    <row r="25042" spans="5:10" s="34" customFormat="1" x14ac:dyDescent="0.35">
      <c r="E25042" s="35"/>
      <c r="J25042" s="41"/>
    </row>
    <row r="25043" spans="5:10" s="34" customFormat="1" x14ac:dyDescent="0.35">
      <c r="E25043" s="35"/>
      <c r="J25043" s="41"/>
    </row>
    <row r="25044" spans="5:10" s="34" customFormat="1" x14ac:dyDescent="0.35">
      <c r="E25044" s="35"/>
      <c r="J25044" s="41"/>
    </row>
    <row r="25045" spans="5:10" s="34" customFormat="1" x14ac:dyDescent="0.35">
      <c r="E25045" s="35"/>
      <c r="J25045" s="41"/>
    </row>
    <row r="25046" spans="5:10" s="34" customFormat="1" x14ac:dyDescent="0.35">
      <c r="E25046" s="35"/>
      <c r="J25046" s="41"/>
    </row>
    <row r="25047" spans="5:10" s="34" customFormat="1" x14ac:dyDescent="0.35">
      <c r="E25047" s="35"/>
      <c r="J25047" s="41"/>
    </row>
    <row r="25048" spans="5:10" s="34" customFormat="1" x14ac:dyDescent="0.35">
      <c r="E25048" s="35"/>
      <c r="J25048" s="41"/>
    </row>
    <row r="25049" spans="5:10" s="34" customFormat="1" x14ac:dyDescent="0.35">
      <c r="E25049" s="35"/>
      <c r="J25049" s="41"/>
    </row>
    <row r="25050" spans="5:10" s="34" customFormat="1" x14ac:dyDescent="0.35">
      <c r="E25050" s="35"/>
      <c r="J25050" s="41"/>
    </row>
    <row r="25051" spans="5:10" s="34" customFormat="1" x14ac:dyDescent="0.35">
      <c r="E25051" s="35"/>
      <c r="J25051" s="41"/>
    </row>
    <row r="25052" spans="5:10" s="34" customFormat="1" x14ac:dyDescent="0.35">
      <c r="E25052" s="35"/>
      <c r="J25052" s="41"/>
    </row>
    <row r="25053" spans="5:10" s="34" customFormat="1" x14ac:dyDescent="0.35">
      <c r="E25053" s="35"/>
      <c r="J25053" s="41"/>
    </row>
    <row r="25054" spans="5:10" s="34" customFormat="1" x14ac:dyDescent="0.35">
      <c r="E25054" s="35"/>
      <c r="J25054" s="41"/>
    </row>
    <row r="25055" spans="5:10" s="34" customFormat="1" x14ac:dyDescent="0.35">
      <c r="E25055" s="35"/>
      <c r="J25055" s="41"/>
    </row>
    <row r="25056" spans="5:10" s="34" customFormat="1" x14ac:dyDescent="0.35">
      <c r="E25056" s="35"/>
      <c r="J25056" s="41"/>
    </row>
    <row r="25057" spans="5:10" s="34" customFormat="1" x14ac:dyDescent="0.35">
      <c r="E25057" s="35"/>
      <c r="J25057" s="41"/>
    </row>
    <row r="25058" spans="5:10" s="34" customFormat="1" x14ac:dyDescent="0.35">
      <c r="E25058" s="35"/>
      <c r="J25058" s="41"/>
    </row>
    <row r="25059" spans="5:10" s="34" customFormat="1" x14ac:dyDescent="0.35">
      <c r="E25059" s="35"/>
      <c r="J25059" s="41"/>
    </row>
    <row r="25060" spans="5:10" s="34" customFormat="1" x14ac:dyDescent="0.35">
      <c r="E25060" s="35"/>
      <c r="J25060" s="41"/>
    </row>
    <row r="25061" spans="5:10" s="34" customFormat="1" x14ac:dyDescent="0.35">
      <c r="E25061" s="35"/>
      <c r="J25061" s="41"/>
    </row>
    <row r="25062" spans="5:10" s="34" customFormat="1" x14ac:dyDescent="0.35">
      <c r="E25062" s="35"/>
      <c r="J25062" s="41"/>
    </row>
    <row r="25063" spans="5:10" s="34" customFormat="1" x14ac:dyDescent="0.35">
      <c r="E25063" s="35"/>
      <c r="J25063" s="41"/>
    </row>
    <row r="25064" spans="5:10" s="34" customFormat="1" x14ac:dyDescent="0.35">
      <c r="E25064" s="35"/>
      <c r="J25064" s="41"/>
    </row>
    <row r="25065" spans="5:10" s="34" customFormat="1" x14ac:dyDescent="0.35">
      <c r="E25065" s="35"/>
      <c r="J25065" s="41"/>
    </row>
    <row r="25066" spans="5:10" s="34" customFormat="1" x14ac:dyDescent="0.35">
      <c r="E25066" s="35"/>
      <c r="J25066" s="41"/>
    </row>
    <row r="25067" spans="5:10" s="34" customFormat="1" x14ac:dyDescent="0.35">
      <c r="E25067" s="35"/>
      <c r="J25067" s="41"/>
    </row>
    <row r="25068" spans="5:10" s="34" customFormat="1" x14ac:dyDescent="0.35">
      <c r="E25068" s="35"/>
      <c r="J25068" s="41"/>
    </row>
    <row r="25069" spans="5:10" s="34" customFormat="1" x14ac:dyDescent="0.35">
      <c r="E25069" s="35"/>
      <c r="J25069" s="41"/>
    </row>
    <row r="25070" spans="5:10" s="34" customFormat="1" x14ac:dyDescent="0.35">
      <c r="E25070" s="35"/>
      <c r="J25070" s="41"/>
    </row>
    <row r="25071" spans="5:10" s="34" customFormat="1" x14ac:dyDescent="0.35">
      <c r="E25071" s="35"/>
      <c r="J25071" s="41"/>
    </row>
    <row r="25072" spans="5:10" s="34" customFormat="1" x14ac:dyDescent="0.35">
      <c r="E25072" s="35"/>
      <c r="J25072" s="41"/>
    </row>
    <row r="25073" spans="5:10" s="34" customFormat="1" x14ac:dyDescent="0.35">
      <c r="E25073" s="35"/>
      <c r="J25073" s="41"/>
    </row>
    <row r="25074" spans="5:10" s="34" customFormat="1" x14ac:dyDescent="0.35">
      <c r="E25074" s="35"/>
      <c r="J25074" s="41"/>
    </row>
    <row r="25075" spans="5:10" s="34" customFormat="1" x14ac:dyDescent="0.35">
      <c r="E25075" s="35"/>
      <c r="J25075" s="41"/>
    </row>
    <row r="25076" spans="5:10" s="34" customFormat="1" x14ac:dyDescent="0.35">
      <c r="E25076" s="35"/>
      <c r="J25076" s="41"/>
    </row>
    <row r="25077" spans="5:10" s="34" customFormat="1" x14ac:dyDescent="0.35">
      <c r="E25077" s="35"/>
      <c r="J25077" s="41"/>
    </row>
    <row r="25078" spans="5:10" s="34" customFormat="1" x14ac:dyDescent="0.35">
      <c r="E25078" s="35"/>
      <c r="J25078" s="41"/>
    </row>
    <row r="25079" spans="5:10" s="34" customFormat="1" x14ac:dyDescent="0.35">
      <c r="E25079" s="35"/>
      <c r="J25079" s="41"/>
    </row>
    <row r="25080" spans="5:10" s="34" customFormat="1" x14ac:dyDescent="0.35">
      <c r="E25080" s="35"/>
      <c r="J25080" s="41"/>
    </row>
    <row r="25081" spans="5:10" s="34" customFormat="1" x14ac:dyDescent="0.35">
      <c r="E25081" s="35"/>
      <c r="J25081" s="41"/>
    </row>
    <row r="25082" spans="5:10" s="34" customFormat="1" x14ac:dyDescent="0.35">
      <c r="E25082" s="35"/>
      <c r="J25082" s="41"/>
    </row>
    <row r="25083" spans="5:10" s="34" customFormat="1" x14ac:dyDescent="0.35">
      <c r="E25083" s="35"/>
      <c r="J25083" s="41"/>
    </row>
    <row r="25084" spans="5:10" s="34" customFormat="1" x14ac:dyDescent="0.35">
      <c r="E25084" s="35"/>
      <c r="J25084" s="41"/>
    </row>
    <row r="25085" spans="5:10" s="34" customFormat="1" x14ac:dyDescent="0.35">
      <c r="E25085" s="35"/>
      <c r="J25085" s="41"/>
    </row>
    <row r="25086" spans="5:10" s="34" customFormat="1" x14ac:dyDescent="0.35">
      <c r="E25086" s="35"/>
      <c r="J25086" s="41"/>
    </row>
    <row r="25087" spans="5:10" s="34" customFormat="1" x14ac:dyDescent="0.35">
      <c r="E25087" s="35"/>
      <c r="J25087" s="41"/>
    </row>
    <row r="25088" spans="5:10" s="34" customFormat="1" x14ac:dyDescent="0.35">
      <c r="E25088" s="35"/>
      <c r="J25088" s="41"/>
    </row>
    <row r="25089" spans="5:10" s="34" customFormat="1" x14ac:dyDescent="0.35">
      <c r="E25089" s="35"/>
      <c r="J25089" s="41"/>
    </row>
    <row r="25090" spans="5:10" s="34" customFormat="1" x14ac:dyDescent="0.35">
      <c r="E25090" s="35"/>
      <c r="J25090" s="41"/>
    </row>
    <row r="25091" spans="5:10" s="34" customFormat="1" x14ac:dyDescent="0.35">
      <c r="E25091" s="35"/>
      <c r="J25091" s="41"/>
    </row>
    <row r="25092" spans="5:10" s="34" customFormat="1" x14ac:dyDescent="0.35">
      <c r="E25092" s="35"/>
      <c r="J25092" s="41"/>
    </row>
    <row r="25093" spans="5:10" s="34" customFormat="1" x14ac:dyDescent="0.35">
      <c r="E25093" s="35"/>
      <c r="J25093" s="41"/>
    </row>
    <row r="25094" spans="5:10" s="34" customFormat="1" x14ac:dyDescent="0.35">
      <c r="E25094" s="35"/>
      <c r="J25094" s="41"/>
    </row>
    <row r="25095" spans="5:10" s="34" customFormat="1" x14ac:dyDescent="0.35">
      <c r="E25095" s="35"/>
      <c r="J25095" s="41"/>
    </row>
    <row r="25096" spans="5:10" s="34" customFormat="1" x14ac:dyDescent="0.35">
      <c r="E25096" s="35"/>
      <c r="J25096" s="41"/>
    </row>
    <row r="25097" spans="5:10" s="34" customFormat="1" x14ac:dyDescent="0.35">
      <c r="E25097" s="35"/>
      <c r="J25097" s="41"/>
    </row>
    <row r="25098" spans="5:10" s="34" customFormat="1" x14ac:dyDescent="0.35">
      <c r="E25098" s="35"/>
      <c r="J25098" s="41"/>
    </row>
    <row r="25099" spans="5:10" s="34" customFormat="1" x14ac:dyDescent="0.35">
      <c r="E25099" s="35"/>
      <c r="J25099" s="41"/>
    </row>
    <row r="25100" spans="5:10" s="34" customFormat="1" x14ac:dyDescent="0.35">
      <c r="E25100" s="35"/>
      <c r="J25100" s="41"/>
    </row>
    <row r="25101" spans="5:10" s="34" customFormat="1" x14ac:dyDescent="0.35">
      <c r="E25101" s="35"/>
      <c r="J25101" s="41"/>
    </row>
    <row r="25102" spans="5:10" s="34" customFormat="1" x14ac:dyDescent="0.35">
      <c r="E25102" s="35"/>
      <c r="J25102" s="41"/>
    </row>
    <row r="25103" spans="5:10" s="34" customFormat="1" x14ac:dyDescent="0.35">
      <c r="E25103" s="35"/>
      <c r="J25103" s="41"/>
    </row>
    <row r="25104" spans="5:10" s="34" customFormat="1" x14ac:dyDescent="0.35">
      <c r="E25104" s="35"/>
      <c r="J25104" s="41"/>
    </row>
    <row r="25105" spans="5:10" s="34" customFormat="1" x14ac:dyDescent="0.35">
      <c r="E25105" s="35"/>
      <c r="J25105" s="41"/>
    </row>
    <row r="25106" spans="5:10" s="34" customFormat="1" x14ac:dyDescent="0.35">
      <c r="E25106" s="35"/>
      <c r="J25106" s="41"/>
    </row>
    <row r="25107" spans="5:10" s="34" customFormat="1" x14ac:dyDescent="0.35">
      <c r="E25107" s="35"/>
      <c r="J25107" s="41"/>
    </row>
    <row r="25108" spans="5:10" s="34" customFormat="1" x14ac:dyDescent="0.35">
      <c r="E25108" s="35"/>
      <c r="J25108" s="41"/>
    </row>
    <row r="25109" spans="5:10" s="34" customFormat="1" x14ac:dyDescent="0.35">
      <c r="E25109" s="35"/>
      <c r="J25109" s="41"/>
    </row>
    <row r="25110" spans="5:10" s="34" customFormat="1" x14ac:dyDescent="0.35">
      <c r="E25110" s="35"/>
      <c r="J25110" s="41"/>
    </row>
    <row r="25111" spans="5:10" s="34" customFormat="1" x14ac:dyDescent="0.35">
      <c r="E25111" s="35"/>
      <c r="J25111" s="41"/>
    </row>
    <row r="25112" spans="5:10" s="34" customFormat="1" x14ac:dyDescent="0.35">
      <c r="E25112" s="35"/>
      <c r="J25112" s="41"/>
    </row>
    <row r="25113" spans="5:10" s="34" customFormat="1" x14ac:dyDescent="0.35">
      <c r="E25113" s="35"/>
      <c r="J25113" s="41"/>
    </row>
    <row r="25114" spans="5:10" s="34" customFormat="1" x14ac:dyDescent="0.35">
      <c r="E25114" s="35"/>
      <c r="J25114" s="41"/>
    </row>
    <row r="25115" spans="5:10" s="34" customFormat="1" x14ac:dyDescent="0.35">
      <c r="E25115" s="35"/>
      <c r="J25115" s="41"/>
    </row>
    <row r="25116" spans="5:10" s="34" customFormat="1" x14ac:dyDescent="0.35">
      <c r="E25116" s="35"/>
      <c r="J25116" s="41"/>
    </row>
    <row r="25117" spans="5:10" s="34" customFormat="1" x14ac:dyDescent="0.35">
      <c r="E25117" s="35"/>
      <c r="J25117" s="41"/>
    </row>
    <row r="25118" spans="5:10" s="34" customFormat="1" x14ac:dyDescent="0.35">
      <c r="E25118" s="35"/>
      <c r="J25118" s="41"/>
    </row>
    <row r="25119" spans="5:10" s="34" customFormat="1" x14ac:dyDescent="0.35">
      <c r="E25119" s="35"/>
      <c r="J25119" s="41"/>
    </row>
    <row r="25120" spans="5:10" s="34" customFormat="1" x14ac:dyDescent="0.35">
      <c r="E25120" s="35"/>
      <c r="J25120" s="41"/>
    </row>
    <row r="25121" spans="5:10" s="34" customFormat="1" x14ac:dyDescent="0.35">
      <c r="E25121" s="35"/>
      <c r="J25121" s="41"/>
    </row>
    <row r="25122" spans="5:10" s="34" customFormat="1" x14ac:dyDescent="0.35">
      <c r="E25122" s="35"/>
      <c r="J25122" s="41"/>
    </row>
    <row r="25123" spans="5:10" s="34" customFormat="1" x14ac:dyDescent="0.35">
      <c r="E25123" s="35"/>
      <c r="J25123" s="41"/>
    </row>
    <row r="25124" spans="5:10" s="34" customFormat="1" x14ac:dyDescent="0.35">
      <c r="E25124" s="35"/>
      <c r="J25124" s="41"/>
    </row>
    <row r="25125" spans="5:10" s="34" customFormat="1" x14ac:dyDescent="0.35">
      <c r="E25125" s="35"/>
      <c r="J25125" s="41"/>
    </row>
    <row r="25126" spans="5:10" s="34" customFormat="1" x14ac:dyDescent="0.35">
      <c r="E25126" s="35"/>
      <c r="J25126" s="41"/>
    </row>
    <row r="25127" spans="5:10" s="34" customFormat="1" x14ac:dyDescent="0.35">
      <c r="E25127" s="35"/>
      <c r="J25127" s="41"/>
    </row>
    <row r="25128" spans="5:10" s="34" customFormat="1" x14ac:dyDescent="0.35">
      <c r="E25128" s="35"/>
      <c r="J25128" s="41"/>
    </row>
    <row r="25129" spans="5:10" s="34" customFormat="1" x14ac:dyDescent="0.35">
      <c r="E25129" s="35"/>
      <c r="J25129" s="41"/>
    </row>
    <row r="25130" spans="5:10" s="34" customFormat="1" x14ac:dyDescent="0.35">
      <c r="E25130" s="35"/>
      <c r="J25130" s="41"/>
    </row>
    <row r="25131" spans="5:10" s="34" customFormat="1" x14ac:dyDescent="0.35">
      <c r="E25131" s="35"/>
      <c r="J25131" s="41"/>
    </row>
    <row r="25132" spans="5:10" s="34" customFormat="1" x14ac:dyDescent="0.35">
      <c r="E25132" s="35"/>
      <c r="J25132" s="41"/>
    </row>
    <row r="25133" spans="5:10" s="34" customFormat="1" x14ac:dyDescent="0.35">
      <c r="E25133" s="35"/>
      <c r="J25133" s="41"/>
    </row>
    <row r="25134" spans="5:10" s="34" customFormat="1" x14ac:dyDescent="0.35">
      <c r="E25134" s="35"/>
      <c r="J25134" s="41"/>
    </row>
    <row r="25135" spans="5:10" s="34" customFormat="1" x14ac:dyDescent="0.35">
      <c r="E25135" s="35"/>
      <c r="J25135" s="41"/>
    </row>
    <row r="25136" spans="5:10" s="34" customFormat="1" x14ac:dyDescent="0.35">
      <c r="E25136" s="35"/>
      <c r="J25136" s="41"/>
    </row>
    <row r="25137" spans="5:10" s="34" customFormat="1" x14ac:dyDescent="0.35">
      <c r="E25137" s="35"/>
      <c r="J25137" s="41"/>
    </row>
    <row r="25138" spans="5:10" s="34" customFormat="1" x14ac:dyDescent="0.35">
      <c r="E25138" s="35"/>
      <c r="J25138" s="41"/>
    </row>
    <row r="25139" spans="5:10" s="34" customFormat="1" x14ac:dyDescent="0.35">
      <c r="E25139" s="35"/>
      <c r="J25139" s="41"/>
    </row>
    <row r="25140" spans="5:10" s="34" customFormat="1" x14ac:dyDescent="0.35">
      <c r="E25140" s="35"/>
      <c r="J25140" s="41"/>
    </row>
    <row r="25141" spans="5:10" s="34" customFormat="1" x14ac:dyDescent="0.35">
      <c r="E25141" s="35"/>
      <c r="J25141" s="41"/>
    </row>
    <row r="25142" spans="5:10" s="34" customFormat="1" x14ac:dyDescent="0.35">
      <c r="E25142" s="35"/>
      <c r="J25142" s="41"/>
    </row>
    <row r="25143" spans="5:10" s="34" customFormat="1" x14ac:dyDescent="0.35">
      <c r="E25143" s="35"/>
      <c r="J25143" s="41"/>
    </row>
    <row r="25144" spans="5:10" s="34" customFormat="1" x14ac:dyDescent="0.35">
      <c r="E25144" s="35"/>
      <c r="J25144" s="41"/>
    </row>
    <row r="25145" spans="5:10" s="34" customFormat="1" x14ac:dyDescent="0.35">
      <c r="E25145" s="35"/>
      <c r="J25145" s="41"/>
    </row>
    <row r="25146" spans="5:10" s="34" customFormat="1" x14ac:dyDescent="0.35">
      <c r="E25146" s="35"/>
      <c r="J25146" s="41"/>
    </row>
    <row r="25147" spans="5:10" s="34" customFormat="1" x14ac:dyDescent="0.35">
      <c r="E25147" s="35"/>
      <c r="J25147" s="41"/>
    </row>
    <row r="25148" spans="5:10" s="34" customFormat="1" x14ac:dyDescent="0.35">
      <c r="E25148" s="35"/>
      <c r="J25148" s="41"/>
    </row>
    <row r="25149" spans="5:10" s="34" customFormat="1" x14ac:dyDescent="0.35">
      <c r="E25149" s="35"/>
      <c r="J25149" s="41"/>
    </row>
    <row r="25150" spans="5:10" s="34" customFormat="1" x14ac:dyDescent="0.35">
      <c r="E25150" s="35"/>
      <c r="J25150" s="41"/>
    </row>
    <row r="25151" spans="5:10" s="34" customFormat="1" x14ac:dyDescent="0.35">
      <c r="E25151" s="35"/>
      <c r="J25151" s="41"/>
    </row>
    <row r="25152" spans="5:10" s="34" customFormat="1" x14ac:dyDescent="0.35">
      <c r="E25152" s="35"/>
      <c r="J25152" s="41"/>
    </row>
    <row r="25153" spans="5:10" s="34" customFormat="1" x14ac:dyDescent="0.35">
      <c r="E25153" s="35"/>
      <c r="J25153" s="41"/>
    </row>
    <row r="25154" spans="5:10" s="34" customFormat="1" x14ac:dyDescent="0.35">
      <c r="E25154" s="35"/>
      <c r="J25154" s="41"/>
    </row>
    <row r="25155" spans="5:10" s="34" customFormat="1" x14ac:dyDescent="0.35">
      <c r="E25155" s="35"/>
      <c r="J25155" s="41"/>
    </row>
    <row r="25156" spans="5:10" s="34" customFormat="1" x14ac:dyDescent="0.35">
      <c r="E25156" s="35"/>
      <c r="J25156" s="41"/>
    </row>
    <row r="25157" spans="5:10" s="34" customFormat="1" x14ac:dyDescent="0.35">
      <c r="E25157" s="35"/>
      <c r="J25157" s="41"/>
    </row>
    <row r="25158" spans="5:10" s="34" customFormat="1" x14ac:dyDescent="0.35">
      <c r="E25158" s="35"/>
      <c r="J25158" s="41"/>
    </row>
    <row r="25159" spans="5:10" s="34" customFormat="1" x14ac:dyDescent="0.35">
      <c r="E25159" s="35"/>
      <c r="J25159" s="41"/>
    </row>
    <row r="25160" spans="5:10" s="34" customFormat="1" x14ac:dyDescent="0.35">
      <c r="E25160" s="35"/>
      <c r="J25160" s="41"/>
    </row>
    <row r="25161" spans="5:10" s="34" customFormat="1" x14ac:dyDescent="0.35">
      <c r="E25161" s="35"/>
      <c r="J25161" s="41"/>
    </row>
    <row r="25162" spans="5:10" s="34" customFormat="1" x14ac:dyDescent="0.35">
      <c r="E25162" s="35"/>
      <c r="J25162" s="41"/>
    </row>
    <row r="25163" spans="5:10" s="34" customFormat="1" x14ac:dyDescent="0.35">
      <c r="E25163" s="35"/>
      <c r="J25163" s="41"/>
    </row>
    <row r="25164" spans="5:10" s="34" customFormat="1" x14ac:dyDescent="0.35">
      <c r="E25164" s="35"/>
      <c r="J25164" s="41"/>
    </row>
    <row r="25165" spans="5:10" s="34" customFormat="1" x14ac:dyDescent="0.35">
      <c r="E25165" s="35"/>
      <c r="J25165" s="41"/>
    </row>
    <row r="25166" spans="5:10" s="34" customFormat="1" x14ac:dyDescent="0.35">
      <c r="E25166" s="35"/>
      <c r="J25166" s="41"/>
    </row>
    <row r="25167" spans="5:10" s="34" customFormat="1" x14ac:dyDescent="0.35">
      <c r="E25167" s="35"/>
      <c r="J25167" s="41"/>
    </row>
    <row r="25168" spans="5:10" s="34" customFormat="1" x14ac:dyDescent="0.35">
      <c r="E25168" s="35"/>
      <c r="J25168" s="41"/>
    </row>
    <row r="25169" spans="5:10" s="34" customFormat="1" x14ac:dyDescent="0.35">
      <c r="E25169" s="35"/>
      <c r="J25169" s="41"/>
    </row>
    <row r="25170" spans="5:10" s="34" customFormat="1" x14ac:dyDescent="0.35">
      <c r="E25170" s="35"/>
      <c r="J25170" s="41"/>
    </row>
    <row r="25171" spans="5:10" s="34" customFormat="1" x14ac:dyDescent="0.35">
      <c r="E25171" s="35"/>
      <c r="J25171" s="41"/>
    </row>
    <row r="25172" spans="5:10" s="34" customFormat="1" x14ac:dyDescent="0.35">
      <c r="E25172" s="35"/>
      <c r="J25172" s="41"/>
    </row>
    <row r="25173" spans="5:10" s="34" customFormat="1" x14ac:dyDescent="0.35">
      <c r="E25173" s="35"/>
      <c r="J25173" s="41"/>
    </row>
    <row r="25174" spans="5:10" s="34" customFormat="1" x14ac:dyDescent="0.35">
      <c r="E25174" s="35"/>
      <c r="J25174" s="41"/>
    </row>
    <row r="25175" spans="5:10" s="34" customFormat="1" x14ac:dyDescent="0.35">
      <c r="E25175" s="35"/>
      <c r="J25175" s="41"/>
    </row>
    <row r="25176" spans="5:10" s="34" customFormat="1" x14ac:dyDescent="0.35">
      <c r="E25176" s="35"/>
      <c r="J25176" s="41"/>
    </row>
    <row r="25177" spans="5:10" s="34" customFormat="1" x14ac:dyDescent="0.35">
      <c r="E25177" s="35"/>
      <c r="J25177" s="41"/>
    </row>
    <row r="25178" spans="5:10" s="34" customFormat="1" x14ac:dyDescent="0.35">
      <c r="E25178" s="35"/>
      <c r="J25178" s="41"/>
    </row>
    <row r="25179" spans="5:10" s="34" customFormat="1" x14ac:dyDescent="0.35">
      <c r="E25179" s="35"/>
      <c r="J25179" s="41"/>
    </row>
    <row r="25180" spans="5:10" s="34" customFormat="1" x14ac:dyDescent="0.35">
      <c r="E25180" s="35"/>
      <c r="J25180" s="41"/>
    </row>
    <row r="25181" spans="5:10" s="34" customFormat="1" x14ac:dyDescent="0.35">
      <c r="E25181" s="35"/>
      <c r="J25181" s="41"/>
    </row>
    <row r="25182" spans="5:10" s="34" customFormat="1" x14ac:dyDescent="0.35">
      <c r="E25182" s="35"/>
      <c r="J25182" s="41"/>
    </row>
    <row r="25183" spans="5:10" s="34" customFormat="1" x14ac:dyDescent="0.35">
      <c r="E25183" s="35"/>
      <c r="J25183" s="41"/>
    </row>
    <row r="25184" spans="5:10" s="34" customFormat="1" x14ac:dyDescent="0.35">
      <c r="E25184" s="35"/>
      <c r="J25184" s="41"/>
    </row>
    <row r="25185" spans="5:10" s="34" customFormat="1" x14ac:dyDescent="0.35">
      <c r="E25185" s="35"/>
      <c r="J25185" s="41"/>
    </row>
    <row r="25186" spans="5:10" s="34" customFormat="1" x14ac:dyDescent="0.35">
      <c r="E25186" s="35"/>
      <c r="J25186" s="41"/>
    </row>
    <row r="25187" spans="5:10" s="34" customFormat="1" x14ac:dyDescent="0.35">
      <c r="E25187" s="35"/>
      <c r="J25187" s="41"/>
    </row>
    <row r="25188" spans="5:10" s="34" customFormat="1" x14ac:dyDescent="0.35">
      <c r="E25188" s="35"/>
      <c r="J25188" s="41"/>
    </row>
    <row r="25189" spans="5:10" s="34" customFormat="1" x14ac:dyDescent="0.35">
      <c r="E25189" s="35"/>
      <c r="J25189" s="41"/>
    </row>
    <row r="25190" spans="5:10" s="34" customFormat="1" x14ac:dyDescent="0.35">
      <c r="E25190" s="35"/>
      <c r="J25190" s="41"/>
    </row>
    <row r="25191" spans="5:10" s="34" customFormat="1" x14ac:dyDescent="0.35">
      <c r="E25191" s="35"/>
      <c r="J25191" s="41"/>
    </row>
    <row r="25192" spans="5:10" s="34" customFormat="1" x14ac:dyDescent="0.35">
      <c r="E25192" s="35"/>
      <c r="J25192" s="41"/>
    </row>
    <row r="25193" spans="5:10" s="34" customFormat="1" x14ac:dyDescent="0.35">
      <c r="E25193" s="35"/>
      <c r="J25193" s="41"/>
    </row>
    <row r="25194" spans="5:10" s="34" customFormat="1" x14ac:dyDescent="0.35">
      <c r="E25194" s="35"/>
      <c r="J25194" s="41"/>
    </row>
    <row r="25195" spans="5:10" s="34" customFormat="1" x14ac:dyDescent="0.35">
      <c r="E25195" s="35"/>
      <c r="J25195" s="41"/>
    </row>
    <row r="25196" spans="5:10" s="34" customFormat="1" x14ac:dyDescent="0.35">
      <c r="E25196" s="35"/>
      <c r="J25196" s="41"/>
    </row>
    <row r="25197" spans="5:10" s="34" customFormat="1" x14ac:dyDescent="0.35">
      <c r="E25197" s="35"/>
      <c r="J25197" s="41"/>
    </row>
    <row r="25198" spans="5:10" s="34" customFormat="1" x14ac:dyDescent="0.35">
      <c r="E25198" s="35"/>
      <c r="J25198" s="41"/>
    </row>
    <row r="25199" spans="5:10" s="34" customFormat="1" x14ac:dyDescent="0.35">
      <c r="E25199" s="35"/>
      <c r="J25199" s="41"/>
    </row>
    <row r="25200" spans="5:10" s="34" customFormat="1" x14ac:dyDescent="0.35">
      <c r="E25200" s="35"/>
      <c r="J25200" s="41"/>
    </row>
    <row r="25201" spans="5:10" s="34" customFormat="1" x14ac:dyDescent="0.35">
      <c r="E25201" s="35"/>
      <c r="J25201" s="41"/>
    </row>
    <row r="25202" spans="5:10" s="34" customFormat="1" x14ac:dyDescent="0.35">
      <c r="E25202" s="35"/>
      <c r="J25202" s="41"/>
    </row>
    <row r="25203" spans="5:10" s="34" customFormat="1" x14ac:dyDescent="0.35">
      <c r="E25203" s="35"/>
      <c r="J25203" s="41"/>
    </row>
    <row r="25204" spans="5:10" s="34" customFormat="1" x14ac:dyDescent="0.35">
      <c r="E25204" s="35"/>
      <c r="J25204" s="41"/>
    </row>
    <row r="25205" spans="5:10" s="34" customFormat="1" x14ac:dyDescent="0.35">
      <c r="E25205" s="35"/>
      <c r="J25205" s="41"/>
    </row>
    <row r="25206" spans="5:10" s="34" customFormat="1" x14ac:dyDescent="0.35">
      <c r="E25206" s="35"/>
      <c r="J25206" s="41"/>
    </row>
    <row r="25207" spans="5:10" s="34" customFormat="1" x14ac:dyDescent="0.35">
      <c r="E25207" s="35"/>
      <c r="J25207" s="41"/>
    </row>
    <row r="25208" spans="5:10" s="34" customFormat="1" x14ac:dyDescent="0.35">
      <c r="E25208" s="35"/>
      <c r="J25208" s="41"/>
    </row>
    <row r="25209" spans="5:10" s="34" customFormat="1" x14ac:dyDescent="0.35">
      <c r="E25209" s="35"/>
      <c r="J25209" s="41"/>
    </row>
    <row r="25210" spans="5:10" s="34" customFormat="1" x14ac:dyDescent="0.35">
      <c r="E25210" s="35"/>
      <c r="J25210" s="41"/>
    </row>
    <row r="25211" spans="5:10" s="34" customFormat="1" x14ac:dyDescent="0.35">
      <c r="E25211" s="35"/>
      <c r="J25211" s="41"/>
    </row>
    <row r="25212" spans="5:10" s="34" customFormat="1" x14ac:dyDescent="0.35">
      <c r="E25212" s="35"/>
      <c r="J25212" s="41"/>
    </row>
    <row r="25213" spans="5:10" s="34" customFormat="1" x14ac:dyDescent="0.35">
      <c r="E25213" s="35"/>
      <c r="J25213" s="41"/>
    </row>
    <row r="25214" spans="5:10" s="34" customFormat="1" x14ac:dyDescent="0.35">
      <c r="E25214" s="35"/>
      <c r="J25214" s="41"/>
    </row>
    <row r="25215" spans="5:10" s="34" customFormat="1" x14ac:dyDescent="0.35">
      <c r="E25215" s="35"/>
      <c r="J25215" s="41"/>
    </row>
    <row r="25216" spans="5:10" s="34" customFormat="1" x14ac:dyDescent="0.35">
      <c r="E25216" s="35"/>
      <c r="J25216" s="41"/>
    </row>
    <row r="25217" spans="5:10" s="34" customFormat="1" x14ac:dyDescent="0.35">
      <c r="E25217" s="35"/>
      <c r="J25217" s="41"/>
    </row>
    <row r="25218" spans="5:10" s="34" customFormat="1" x14ac:dyDescent="0.35">
      <c r="E25218" s="35"/>
      <c r="J25218" s="41"/>
    </row>
    <row r="25219" spans="5:10" s="34" customFormat="1" x14ac:dyDescent="0.35">
      <c r="E25219" s="35"/>
      <c r="J25219" s="41"/>
    </row>
    <row r="25220" spans="5:10" s="34" customFormat="1" x14ac:dyDescent="0.35">
      <c r="E25220" s="35"/>
      <c r="J25220" s="41"/>
    </row>
    <row r="25221" spans="5:10" s="34" customFormat="1" x14ac:dyDescent="0.35">
      <c r="E25221" s="35"/>
      <c r="J25221" s="41"/>
    </row>
    <row r="25222" spans="5:10" s="34" customFormat="1" x14ac:dyDescent="0.35">
      <c r="E25222" s="35"/>
      <c r="J25222" s="41"/>
    </row>
    <row r="25223" spans="5:10" s="34" customFormat="1" x14ac:dyDescent="0.35">
      <c r="E25223" s="35"/>
      <c r="J25223" s="41"/>
    </row>
    <row r="25224" spans="5:10" s="34" customFormat="1" x14ac:dyDescent="0.35">
      <c r="E25224" s="35"/>
      <c r="J25224" s="41"/>
    </row>
    <row r="25225" spans="5:10" s="34" customFormat="1" x14ac:dyDescent="0.35">
      <c r="E25225" s="35"/>
      <c r="J25225" s="41"/>
    </row>
    <row r="25226" spans="5:10" s="34" customFormat="1" x14ac:dyDescent="0.35">
      <c r="E25226" s="35"/>
      <c r="J25226" s="41"/>
    </row>
    <row r="25227" spans="5:10" s="34" customFormat="1" x14ac:dyDescent="0.35">
      <c r="E25227" s="35"/>
      <c r="J25227" s="41"/>
    </row>
    <row r="25228" spans="5:10" s="34" customFormat="1" x14ac:dyDescent="0.35">
      <c r="E25228" s="35"/>
      <c r="J25228" s="41"/>
    </row>
    <row r="25229" spans="5:10" s="34" customFormat="1" x14ac:dyDescent="0.35">
      <c r="E25229" s="35"/>
      <c r="J25229" s="41"/>
    </row>
    <row r="25230" spans="5:10" s="34" customFormat="1" x14ac:dyDescent="0.35">
      <c r="E25230" s="35"/>
      <c r="J25230" s="41"/>
    </row>
    <row r="25231" spans="5:10" s="34" customFormat="1" x14ac:dyDescent="0.35">
      <c r="E25231" s="35"/>
      <c r="J25231" s="41"/>
    </row>
    <row r="25232" spans="5:10" s="34" customFormat="1" x14ac:dyDescent="0.35">
      <c r="E25232" s="35"/>
      <c r="J25232" s="41"/>
    </row>
    <row r="25233" spans="5:10" s="34" customFormat="1" x14ac:dyDescent="0.35">
      <c r="E25233" s="35"/>
      <c r="J25233" s="41"/>
    </row>
    <row r="25234" spans="5:10" s="34" customFormat="1" x14ac:dyDescent="0.35">
      <c r="E25234" s="35"/>
      <c r="J25234" s="41"/>
    </row>
    <row r="25235" spans="5:10" s="34" customFormat="1" x14ac:dyDescent="0.35">
      <c r="E25235" s="35"/>
      <c r="J25235" s="41"/>
    </row>
    <row r="25236" spans="5:10" s="34" customFormat="1" x14ac:dyDescent="0.35">
      <c r="E25236" s="35"/>
      <c r="J25236" s="41"/>
    </row>
    <row r="25237" spans="5:10" s="34" customFormat="1" x14ac:dyDescent="0.35">
      <c r="E25237" s="35"/>
      <c r="J25237" s="41"/>
    </row>
    <row r="25238" spans="5:10" s="34" customFormat="1" x14ac:dyDescent="0.35">
      <c r="E25238" s="35"/>
      <c r="J25238" s="41"/>
    </row>
    <row r="25239" spans="5:10" s="34" customFormat="1" x14ac:dyDescent="0.35">
      <c r="E25239" s="35"/>
      <c r="J25239" s="41"/>
    </row>
    <row r="25240" spans="5:10" s="34" customFormat="1" x14ac:dyDescent="0.35">
      <c r="E25240" s="35"/>
      <c r="J25240" s="41"/>
    </row>
    <row r="25241" spans="5:10" s="34" customFormat="1" x14ac:dyDescent="0.35">
      <c r="E25241" s="35"/>
      <c r="J25241" s="41"/>
    </row>
    <row r="25242" spans="5:10" s="34" customFormat="1" x14ac:dyDescent="0.35">
      <c r="E25242" s="35"/>
      <c r="J25242" s="41"/>
    </row>
    <row r="25243" spans="5:10" s="34" customFormat="1" x14ac:dyDescent="0.35">
      <c r="E25243" s="35"/>
      <c r="J25243" s="41"/>
    </row>
    <row r="25244" spans="5:10" s="34" customFormat="1" x14ac:dyDescent="0.35">
      <c r="E25244" s="35"/>
      <c r="J25244" s="41"/>
    </row>
    <row r="25245" spans="5:10" s="34" customFormat="1" x14ac:dyDescent="0.35">
      <c r="E25245" s="35"/>
      <c r="J25245" s="41"/>
    </row>
    <row r="25246" spans="5:10" s="34" customFormat="1" x14ac:dyDescent="0.35">
      <c r="E25246" s="35"/>
      <c r="J25246" s="41"/>
    </row>
    <row r="25247" spans="5:10" s="34" customFormat="1" x14ac:dyDescent="0.35">
      <c r="E25247" s="35"/>
      <c r="J25247" s="41"/>
    </row>
    <row r="25248" spans="5:10" s="34" customFormat="1" x14ac:dyDescent="0.35">
      <c r="E25248" s="35"/>
      <c r="J25248" s="41"/>
    </row>
    <row r="25249" spans="5:10" s="34" customFormat="1" x14ac:dyDescent="0.35">
      <c r="E25249" s="35"/>
      <c r="J25249" s="41"/>
    </row>
    <row r="25250" spans="5:10" s="34" customFormat="1" x14ac:dyDescent="0.35">
      <c r="E25250" s="35"/>
      <c r="J25250" s="41"/>
    </row>
    <row r="25251" spans="5:10" s="34" customFormat="1" x14ac:dyDescent="0.35">
      <c r="E25251" s="35"/>
      <c r="J25251" s="41"/>
    </row>
    <row r="25252" spans="5:10" s="34" customFormat="1" x14ac:dyDescent="0.35">
      <c r="E25252" s="35"/>
      <c r="J25252" s="41"/>
    </row>
    <row r="25253" spans="5:10" s="34" customFormat="1" x14ac:dyDescent="0.35">
      <c r="E25253" s="35"/>
      <c r="J25253" s="41"/>
    </row>
    <row r="25254" spans="5:10" s="34" customFormat="1" x14ac:dyDescent="0.35">
      <c r="E25254" s="35"/>
      <c r="J25254" s="41"/>
    </row>
    <row r="25255" spans="5:10" s="34" customFormat="1" x14ac:dyDescent="0.35">
      <c r="E25255" s="35"/>
      <c r="J25255" s="41"/>
    </row>
    <row r="25256" spans="5:10" s="34" customFormat="1" x14ac:dyDescent="0.35">
      <c r="E25256" s="35"/>
      <c r="J25256" s="41"/>
    </row>
    <row r="25257" spans="5:10" s="34" customFormat="1" x14ac:dyDescent="0.35">
      <c r="E25257" s="35"/>
      <c r="J25257" s="41"/>
    </row>
    <row r="25258" spans="5:10" s="34" customFormat="1" x14ac:dyDescent="0.35">
      <c r="E25258" s="35"/>
      <c r="J25258" s="41"/>
    </row>
    <row r="25259" spans="5:10" s="34" customFormat="1" x14ac:dyDescent="0.35">
      <c r="E25259" s="35"/>
      <c r="J25259" s="41"/>
    </row>
    <row r="25260" spans="5:10" s="34" customFormat="1" x14ac:dyDescent="0.35">
      <c r="E25260" s="35"/>
      <c r="J25260" s="41"/>
    </row>
    <row r="25261" spans="5:10" s="34" customFormat="1" x14ac:dyDescent="0.35">
      <c r="E25261" s="35"/>
      <c r="J25261" s="41"/>
    </row>
    <row r="25262" spans="5:10" s="34" customFormat="1" x14ac:dyDescent="0.35">
      <c r="E25262" s="35"/>
      <c r="J25262" s="41"/>
    </row>
    <row r="25263" spans="5:10" s="34" customFormat="1" x14ac:dyDescent="0.35">
      <c r="E25263" s="35"/>
      <c r="J25263" s="41"/>
    </row>
    <row r="25264" spans="5:10" s="34" customFormat="1" x14ac:dyDescent="0.35">
      <c r="E25264" s="35"/>
      <c r="J25264" s="41"/>
    </row>
    <row r="25265" spans="5:10" s="34" customFormat="1" x14ac:dyDescent="0.35">
      <c r="E25265" s="35"/>
      <c r="J25265" s="41"/>
    </row>
    <row r="25266" spans="5:10" s="34" customFormat="1" x14ac:dyDescent="0.35">
      <c r="E25266" s="35"/>
      <c r="J25266" s="41"/>
    </row>
    <row r="25267" spans="5:10" s="34" customFormat="1" x14ac:dyDescent="0.35">
      <c r="E25267" s="35"/>
      <c r="J25267" s="41"/>
    </row>
    <row r="25268" spans="5:10" s="34" customFormat="1" x14ac:dyDescent="0.35">
      <c r="E25268" s="35"/>
      <c r="J25268" s="41"/>
    </row>
    <row r="25269" spans="5:10" s="34" customFormat="1" x14ac:dyDescent="0.35">
      <c r="E25269" s="35"/>
      <c r="J25269" s="41"/>
    </row>
    <row r="25270" spans="5:10" s="34" customFormat="1" x14ac:dyDescent="0.35">
      <c r="E25270" s="35"/>
      <c r="J25270" s="41"/>
    </row>
    <row r="25271" spans="5:10" s="34" customFormat="1" x14ac:dyDescent="0.35">
      <c r="E25271" s="35"/>
      <c r="J25271" s="41"/>
    </row>
    <row r="25272" spans="5:10" s="34" customFormat="1" x14ac:dyDescent="0.35">
      <c r="E25272" s="35"/>
      <c r="J25272" s="41"/>
    </row>
    <row r="25273" spans="5:10" s="34" customFormat="1" x14ac:dyDescent="0.35">
      <c r="E25273" s="35"/>
      <c r="J25273" s="41"/>
    </row>
    <row r="25274" spans="5:10" s="34" customFormat="1" x14ac:dyDescent="0.35">
      <c r="E25274" s="35"/>
      <c r="J25274" s="41"/>
    </row>
    <row r="25275" spans="5:10" s="34" customFormat="1" x14ac:dyDescent="0.35">
      <c r="E25275" s="35"/>
      <c r="J25275" s="41"/>
    </row>
    <row r="25276" spans="5:10" s="34" customFormat="1" x14ac:dyDescent="0.35">
      <c r="E25276" s="35"/>
      <c r="J25276" s="41"/>
    </row>
    <row r="25277" spans="5:10" s="34" customFormat="1" x14ac:dyDescent="0.35">
      <c r="E25277" s="35"/>
      <c r="J25277" s="41"/>
    </row>
    <row r="25278" spans="5:10" s="34" customFormat="1" x14ac:dyDescent="0.35">
      <c r="E25278" s="35"/>
      <c r="J25278" s="41"/>
    </row>
    <row r="25279" spans="5:10" s="34" customFormat="1" x14ac:dyDescent="0.35">
      <c r="E25279" s="35"/>
      <c r="J25279" s="41"/>
    </row>
    <row r="25280" spans="5:10" s="34" customFormat="1" x14ac:dyDescent="0.35">
      <c r="E25280" s="35"/>
      <c r="J25280" s="41"/>
    </row>
    <row r="25281" spans="5:10" s="34" customFormat="1" x14ac:dyDescent="0.35">
      <c r="E25281" s="35"/>
      <c r="J25281" s="41"/>
    </row>
    <row r="25282" spans="5:10" s="34" customFormat="1" x14ac:dyDescent="0.35">
      <c r="E25282" s="35"/>
      <c r="J25282" s="41"/>
    </row>
    <row r="25283" spans="5:10" s="34" customFormat="1" x14ac:dyDescent="0.35">
      <c r="E25283" s="35"/>
      <c r="J25283" s="41"/>
    </row>
    <row r="25284" spans="5:10" s="34" customFormat="1" x14ac:dyDescent="0.35">
      <c r="E25284" s="35"/>
      <c r="J25284" s="41"/>
    </row>
    <row r="25285" spans="5:10" s="34" customFormat="1" x14ac:dyDescent="0.35">
      <c r="E25285" s="35"/>
      <c r="J25285" s="41"/>
    </row>
    <row r="25286" spans="5:10" s="34" customFormat="1" x14ac:dyDescent="0.35">
      <c r="E25286" s="35"/>
      <c r="J25286" s="41"/>
    </row>
    <row r="25287" spans="5:10" s="34" customFormat="1" x14ac:dyDescent="0.35">
      <c r="E25287" s="35"/>
      <c r="J25287" s="41"/>
    </row>
    <row r="25288" spans="5:10" s="34" customFormat="1" x14ac:dyDescent="0.35">
      <c r="E25288" s="35"/>
      <c r="J25288" s="41"/>
    </row>
    <row r="25289" spans="5:10" s="34" customFormat="1" x14ac:dyDescent="0.35">
      <c r="E25289" s="35"/>
      <c r="J25289" s="41"/>
    </row>
    <row r="25290" spans="5:10" s="34" customFormat="1" x14ac:dyDescent="0.35">
      <c r="E25290" s="35"/>
      <c r="J25290" s="41"/>
    </row>
    <row r="25291" spans="5:10" s="34" customFormat="1" x14ac:dyDescent="0.35">
      <c r="E25291" s="35"/>
      <c r="J25291" s="41"/>
    </row>
    <row r="25292" spans="5:10" s="34" customFormat="1" x14ac:dyDescent="0.35">
      <c r="E25292" s="35"/>
      <c r="J25292" s="41"/>
    </row>
    <row r="25293" spans="5:10" s="34" customFormat="1" x14ac:dyDescent="0.35">
      <c r="E25293" s="35"/>
      <c r="J25293" s="41"/>
    </row>
    <row r="25294" spans="5:10" s="34" customFormat="1" x14ac:dyDescent="0.35">
      <c r="E25294" s="35"/>
      <c r="J25294" s="41"/>
    </row>
    <row r="25295" spans="5:10" s="34" customFormat="1" x14ac:dyDescent="0.35">
      <c r="E25295" s="35"/>
      <c r="J25295" s="41"/>
    </row>
    <row r="25296" spans="5:10" s="34" customFormat="1" x14ac:dyDescent="0.35">
      <c r="E25296" s="35"/>
      <c r="J25296" s="41"/>
    </row>
    <row r="25297" spans="5:10" s="34" customFormat="1" x14ac:dyDescent="0.35">
      <c r="E25297" s="35"/>
      <c r="J25297" s="41"/>
    </row>
    <row r="25298" spans="5:10" s="34" customFormat="1" x14ac:dyDescent="0.35">
      <c r="E25298" s="35"/>
      <c r="J25298" s="41"/>
    </row>
    <row r="25299" spans="5:10" s="34" customFormat="1" x14ac:dyDescent="0.35">
      <c r="E25299" s="35"/>
      <c r="J25299" s="41"/>
    </row>
    <row r="25300" spans="5:10" s="34" customFormat="1" x14ac:dyDescent="0.35">
      <c r="E25300" s="35"/>
      <c r="J25300" s="41"/>
    </row>
    <row r="25301" spans="5:10" s="34" customFormat="1" x14ac:dyDescent="0.35">
      <c r="E25301" s="35"/>
      <c r="J25301" s="41"/>
    </row>
    <row r="25302" spans="5:10" s="34" customFormat="1" x14ac:dyDescent="0.35">
      <c r="E25302" s="35"/>
      <c r="J25302" s="41"/>
    </row>
    <row r="25303" spans="5:10" s="34" customFormat="1" x14ac:dyDescent="0.35">
      <c r="E25303" s="35"/>
      <c r="J25303" s="41"/>
    </row>
    <row r="25304" spans="5:10" s="34" customFormat="1" x14ac:dyDescent="0.35">
      <c r="E25304" s="35"/>
      <c r="J25304" s="41"/>
    </row>
    <row r="25305" spans="5:10" s="34" customFormat="1" x14ac:dyDescent="0.35">
      <c r="E25305" s="35"/>
      <c r="J25305" s="41"/>
    </row>
    <row r="25306" spans="5:10" s="34" customFormat="1" x14ac:dyDescent="0.35">
      <c r="E25306" s="35"/>
      <c r="J25306" s="41"/>
    </row>
    <row r="25307" spans="5:10" s="34" customFormat="1" x14ac:dyDescent="0.35">
      <c r="E25307" s="35"/>
      <c r="J25307" s="41"/>
    </row>
    <row r="25308" spans="5:10" s="34" customFormat="1" x14ac:dyDescent="0.35">
      <c r="E25308" s="35"/>
      <c r="J25308" s="41"/>
    </row>
    <row r="25309" spans="5:10" s="34" customFormat="1" x14ac:dyDescent="0.35">
      <c r="E25309" s="35"/>
      <c r="J25309" s="41"/>
    </row>
    <row r="25310" spans="5:10" s="34" customFormat="1" x14ac:dyDescent="0.35">
      <c r="E25310" s="35"/>
      <c r="J25310" s="41"/>
    </row>
    <row r="25311" spans="5:10" s="34" customFormat="1" x14ac:dyDescent="0.35">
      <c r="E25311" s="35"/>
      <c r="J25311" s="41"/>
    </row>
    <row r="25312" spans="5:10" s="34" customFormat="1" x14ac:dyDescent="0.35">
      <c r="E25312" s="35"/>
      <c r="J25312" s="41"/>
    </row>
    <row r="25313" spans="5:10" s="34" customFormat="1" x14ac:dyDescent="0.35">
      <c r="E25313" s="35"/>
      <c r="J25313" s="41"/>
    </row>
    <row r="25314" spans="5:10" s="34" customFormat="1" x14ac:dyDescent="0.35">
      <c r="E25314" s="35"/>
      <c r="J25314" s="41"/>
    </row>
    <row r="25315" spans="5:10" s="34" customFormat="1" x14ac:dyDescent="0.35">
      <c r="E25315" s="35"/>
      <c r="J25315" s="41"/>
    </row>
    <row r="25316" spans="5:10" s="34" customFormat="1" x14ac:dyDescent="0.35">
      <c r="E25316" s="35"/>
      <c r="J25316" s="41"/>
    </row>
    <row r="25317" spans="5:10" s="34" customFormat="1" x14ac:dyDescent="0.35">
      <c r="E25317" s="35"/>
      <c r="J25317" s="41"/>
    </row>
    <row r="25318" spans="5:10" s="34" customFormat="1" x14ac:dyDescent="0.35">
      <c r="E25318" s="35"/>
      <c r="J25318" s="41"/>
    </row>
    <row r="25319" spans="5:10" s="34" customFormat="1" x14ac:dyDescent="0.35">
      <c r="E25319" s="35"/>
      <c r="J25319" s="41"/>
    </row>
    <row r="25320" spans="5:10" s="34" customFormat="1" x14ac:dyDescent="0.35">
      <c r="E25320" s="35"/>
      <c r="J25320" s="41"/>
    </row>
    <row r="25321" spans="5:10" s="34" customFormat="1" x14ac:dyDescent="0.35">
      <c r="E25321" s="35"/>
      <c r="J25321" s="41"/>
    </row>
    <row r="25322" spans="5:10" s="34" customFormat="1" x14ac:dyDescent="0.35">
      <c r="E25322" s="35"/>
      <c r="J25322" s="41"/>
    </row>
    <row r="25323" spans="5:10" s="34" customFormat="1" x14ac:dyDescent="0.35">
      <c r="E25323" s="35"/>
      <c r="J25323" s="41"/>
    </row>
    <row r="25324" spans="5:10" s="34" customFormat="1" x14ac:dyDescent="0.35">
      <c r="E25324" s="35"/>
      <c r="J25324" s="41"/>
    </row>
    <row r="25325" spans="5:10" s="34" customFormat="1" x14ac:dyDescent="0.35">
      <c r="E25325" s="35"/>
      <c r="J25325" s="41"/>
    </row>
    <row r="25326" spans="5:10" s="34" customFormat="1" x14ac:dyDescent="0.35">
      <c r="E25326" s="35"/>
      <c r="J25326" s="41"/>
    </row>
    <row r="25327" spans="5:10" s="34" customFormat="1" x14ac:dyDescent="0.35">
      <c r="E25327" s="35"/>
      <c r="J25327" s="41"/>
    </row>
    <row r="25328" spans="5:10" s="34" customFormat="1" x14ac:dyDescent="0.35">
      <c r="E25328" s="35"/>
      <c r="J25328" s="41"/>
    </row>
    <row r="25329" spans="5:10" s="34" customFormat="1" x14ac:dyDescent="0.35">
      <c r="E25329" s="35"/>
      <c r="J25329" s="41"/>
    </row>
    <row r="25330" spans="5:10" s="34" customFormat="1" x14ac:dyDescent="0.35">
      <c r="E25330" s="35"/>
      <c r="J25330" s="41"/>
    </row>
    <row r="25331" spans="5:10" s="34" customFormat="1" x14ac:dyDescent="0.35">
      <c r="E25331" s="35"/>
      <c r="J25331" s="41"/>
    </row>
    <row r="25332" spans="5:10" s="34" customFormat="1" x14ac:dyDescent="0.35">
      <c r="E25332" s="35"/>
      <c r="J25332" s="41"/>
    </row>
    <row r="25333" spans="5:10" s="34" customFormat="1" x14ac:dyDescent="0.35">
      <c r="E25333" s="35"/>
      <c r="J25333" s="41"/>
    </row>
    <row r="25334" spans="5:10" s="34" customFormat="1" x14ac:dyDescent="0.35">
      <c r="E25334" s="35"/>
      <c r="J25334" s="41"/>
    </row>
    <row r="25335" spans="5:10" s="34" customFormat="1" x14ac:dyDescent="0.35">
      <c r="E25335" s="35"/>
      <c r="J25335" s="41"/>
    </row>
    <row r="25336" spans="5:10" s="34" customFormat="1" x14ac:dyDescent="0.35">
      <c r="E25336" s="35"/>
      <c r="J25336" s="41"/>
    </row>
    <row r="25337" spans="5:10" s="34" customFormat="1" x14ac:dyDescent="0.35">
      <c r="E25337" s="35"/>
      <c r="J25337" s="41"/>
    </row>
    <row r="25338" spans="5:10" s="34" customFormat="1" x14ac:dyDescent="0.35">
      <c r="E25338" s="35"/>
      <c r="J25338" s="41"/>
    </row>
    <row r="25339" spans="5:10" s="34" customFormat="1" x14ac:dyDescent="0.35">
      <c r="E25339" s="35"/>
      <c r="J25339" s="41"/>
    </row>
    <row r="25340" spans="5:10" s="34" customFormat="1" x14ac:dyDescent="0.35">
      <c r="E25340" s="35"/>
      <c r="J25340" s="41"/>
    </row>
    <row r="25341" spans="5:10" s="34" customFormat="1" x14ac:dyDescent="0.35">
      <c r="E25341" s="35"/>
      <c r="J25341" s="41"/>
    </row>
    <row r="25342" spans="5:10" s="34" customFormat="1" x14ac:dyDescent="0.35">
      <c r="E25342" s="35"/>
      <c r="J25342" s="41"/>
    </row>
    <row r="25343" spans="5:10" s="34" customFormat="1" x14ac:dyDescent="0.35">
      <c r="E25343" s="35"/>
      <c r="J25343" s="41"/>
    </row>
    <row r="25344" spans="5:10" s="34" customFormat="1" x14ac:dyDescent="0.35">
      <c r="E25344" s="35"/>
      <c r="J25344" s="41"/>
    </row>
    <row r="25345" spans="5:10" s="34" customFormat="1" x14ac:dyDescent="0.35">
      <c r="E25345" s="35"/>
      <c r="J25345" s="41"/>
    </row>
    <row r="25346" spans="5:10" s="34" customFormat="1" x14ac:dyDescent="0.35">
      <c r="E25346" s="35"/>
      <c r="J25346" s="41"/>
    </row>
    <row r="25347" spans="5:10" s="34" customFormat="1" x14ac:dyDescent="0.35">
      <c r="E25347" s="35"/>
      <c r="J25347" s="41"/>
    </row>
    <row r="25348" spans="5:10" s="34" customFormat="1" x14ac:dyDescent="0.35">
      <c r="E25348" s="35"/>
      <c r="J25348" s="41"/>
    </row>
    <row r="25349" spans="5:10" s="34" customFormat="1" x14ac:dyDescent="0.35">
      <c r="E25349" s="35"/>
      <c r="J25349" s="41"/>
    </row>
    <row r="25350" spans="5:10" s="34" customFormat="1" x14ac:dyDescent="0.35">
      <c r="E25350" s="35"/>
      <c r="J25350" s="41"/>
    </row>
    <row r="25351" spans="5:10" s="34" customFormat="1" x14ac:dyDescent="0.35">
      <c r="E25351" s="35"/>
      <c r="J25351" s="41"/>
    </row>
    <row r="25352" spans="5:10" s="34" customFormat="1" x14ac:dyDescent="0.35">
      <c r="E25352" s="35"/>
      <c r="J25352" s="41"/>
    </row>
    <row r="25353" spans="5:10" s="34" customFormat="1" x14ac:dyDescent="0.35">
      <c r="E25353" s="35"/>
      <c r="J25353" s="41"/>
    </row>
    <row r="25354" spans="5:10" s="34" customFormat="1" x14ac:dyDescent="0.35">
      <c r="E25354" s="35"/>
      <c r="J25354" s="41"/>
    </row>
    <row r="25355" spans="5:10" s="34" customFormat="1" x14ac:dyDescent="0.35">
      <c r="E25355" s="35"/>
      <c r="J25355" s="41"/>
    </row>
    <row r="25356" spans="5:10" s="34" customFormat="1" x14ac:dyDescent="0.35">
      <c r="E25356" s="35"/>
      <c r="J25356" s="41"/>
    </row>
    <row r="25357" spans="5:10" s="34" customFormat="1" x14ac:dyDescent="0.35">
      <c r="E25357" s="35"/>
      <c r="J25357" s="41"/>
    </row>
    <row r="25358" spans="5:10" s="34" customFormat="1" x14ac:dyDescent="0.35">
      <c r="E25358" s="35"/>
      <c r="J25358" s="41"/>
    </row>
    <row r="25359" spans="5:10" s="34" customFormat="1" x14ac:dyDescent="0.35">
      <c r="E25359" s="35"/>
      <c r="J25359" s="41"/>
    </row>
    <row r="25360" spans="5:10" s="34" customFormat="1" x14ac:dyDescent="0.35">
      <c r="E25360" s="35"/>
      <c r="J25360" s="41"/>
    </row>
    <row r="25361" spans="5:10" s="34" customFormat="1" x14ac:dyDescent="0.35">
      <c r="E25361" s="35"/>
      <c r="J25361" s="41"/>
    </row>
    <row r="25362" spans="5:10" s="34" customFormat="1" x14ac:dyDescent="0.35">
      <c r="E25362" s="35"/>
      <c r="J25362" s="41"/>
    </row>
    <row r="25363" spans="5:10" s="34" customFormat="1" x14ac:dyDescent="0.35">
      <c r="E25363" s="35"/>
      <c r="J25363" s="41"/>
    </row>
    <row r="25364" spans="5:10" s="34" customFormat="1" x14ac:dyDescent="0.35">
      <c r="E25364" s="35"/>
      <c r="J25364" s="41"/>
    </row>
    <row r="25365" spans="5:10" s="34" customFormat="1" x14ac:dyDescent="0.35">
      <c r="E25365" s="35"/>
      <c r="J25365" s="41"/>
    </row>
    <row r="25366" spans="5:10" s="34" customFormat="1" x14ac:dyDescent="0.35">
      <c r="E25366" s="35"/>
      <c r="J25366" s="41"/>
    </row>
    <row r="25367" spans="5:10" s="34" customFormat="1" x14ac:dyDescent="0.35">
      <c r="E25367" s="35"/>
      <c r="J25367" s="41"/>
    </row>
    <row r="25368" spans="5:10" s="34" customFormat="1" x14ac:dyDescent="0.35">
      <c r="E25368" s="35"/>
      <c r="J25368" s="41"/>
    </row>
    <row r="25369" spans="5:10" s="34" customFormat="1" x14ac:dyDescent="0.35">
      <c r="E25369" s="35"/>
      <c r="J25369" s="41"/>
    </row>
    <row r="25370" spans="5:10" s="34" customFormat="1" x14ac:dyDescent="0.35">
      <c r="E25370" s="35"/>
      <c r="J25370" s="41"/>
    </row>
    <row r="25371" spans="5:10" s="34" customFormat="1" x14ac:dyDescent="0.35">
      <c r="E25371" s="35"/>
      <c r="J25371" s="41"/>
    </row>
    <row r="25372" spans="5:10" s="34" customFormat="1" x14ac:dyDescent="0.35">
      <c r="E25372" s="35"/>
      <c r="J25372" s="41"/>
    </row>
    <row r="25373" spans="5:10" s="34" customFormat="1" x14ac:dyDescent="0.35">
      <c r="E25373" s="35"/>
      <c r="J25373" s="41"/>
    </row>
    <row r="25374" spans="5:10" s="34" customFormat="1" x14ac:dyDescent="0.35">
      <c r="E25374" s="35"/>
      <c r="J25374" s="41"/>
    </row>
    <row r="25375" spans="5:10" s="34" customFormat="1" x14ac:dyDescent="0.35">
      <c r="E25375" s="35"/>
      <c r="J25375" s="41"/>
    </row>
    <row r="25376" spans="5:10" s="34" customFormat="1" x14ac:dyDescent="0.35">
      <c r="E25376" s="35"/>
      <c r="J25376" s="41"/>
    </row>
    <row r="25377" spans="5:10" s="34" customFormat="1" x14ac:dyDescent="0.35">
      <c r="E25377" s="35"/>
      <c r="J25377" s="41"/>
    </row>
    <row r="25378" spans="5:10" s="34" customFormat="1" x14ac:dyDescent="0.35">
      <c r="E25378" s="35"/>
      <c r="J25378" s="41"/>
    </row>
    <row r="25379" spans="5:10" s="34" customFormat="1" x14ac:dyDescent="0.35">
      <c r="E25379" s="35"/>
      <c r="J25379" s="41"/>
    </row>
    <row r="25380" spans="5:10" s="34" customFormat="1" x14ac:dyDescent="0.35">
      <c r="E25380" s="35"/>
      <c r="J25380" s="41"/>
    </row>
    <row r="25381" spans="5:10" s="34" customFormat="1" x14ac:dyDescent="0.35">
      <c r="E25381" s="35"/>
      <c r="J25381" s="41"/>
    </row>
    <row r="25382" spans="5:10" s="34" customFormat="1" x14ac:dyDescent="0.35">
      <c r="E25382" s="35"/>
      <c r="J25382" s="41"/>
    </row>
    <row r="25383" spans="5:10" s="34" customFormat="1" x14ac:dyDescent="0.35">
      <c r="E25383" s="35"/>
      <c r="J25383" s="41"/>
    </row>
    <row r="25384" spans="5:10" s="34" customFormat="1" x14ac:dyDescent="0.35">
      <c r="E25384" s="35"/>
      <c r="J25384" s="41"/>
    </row>
    <row r="25385" spans="5:10" s="34" customFormat="1" x14ac:dyDescent="0.35">
      <c r="E25385" s="35"/>
      <c r="J25385" s="41"/>
    </row>
    <row r="25386" spans="5:10" s="34" customFormat="1" x14ac:dyDescent="0.35">
      <c r="E25386" s="35"/>
      <c r="J25386" s="41"/>
    </row>
    <row r="25387" spans="5:10" s="34" customFormat="1" x14ac:dyDescent="0.35">
      <c r="E25387" s="35"/>
      <c r="J25387" s="41"/>
    </row>
    <row r="25388" spans="5:10" s="34" customFormat="1" x14ac:dyDescent="0.35">
      <c r="E25388" s="35"/>
      <c r="J25388" s="41"/>
    </row>
    <row r="25389" spans="5:10" s="34" customFormat="1" x14ac:dyDescent="0.35">
      <c r="E25389" s="35"/>
      <c r="J25389" s="41"/>
    </row>
    <row r="25390" spans="5:10" s="34" customFormat="1" x14ac:dyDescent="0.35">
      <c r="E25390" s="35"/>
      <c r="J25390" s="41"/>
    </row>
    <row r="25391" spans="5:10" s="34" customFormat="1" x14ac:dyDescent="0.35">
      <c r="E25391" s="35"/>
      <c r="J25391" s="41"/>
    </row>
    <row r="25392" spans="5:10" s="34" customFormat="1" x14ac:dyDescent="0.35">
      <c r="E25392" s="35"/>
      <c r="J25392" s="41"/>
    </row>
    <row r="25393" spans="5:10" s="34" customFormat="1" x14ac:dyDescent="0.35">
      <c r="E25393" s="35"/>
      <c r="J25393" s="41"/>
    </row>
    <row r="25394" spans="5:10" s="34" customFormat="1" x14ac:dyDescent="0.35">
      <c r="E25394" s="35"/>
      <c r="J25394" s="41"/>
    </row>
    <row r="25395" spans="5:10" s="34" customFormat="1" x14ac:dyDescent="0.35">
      <c r="E25395" s="35"/>
      <c r="J25395" s="41"/>
    </row>
    <row r="25396" spans="5:10" s="34" customFormat="1" x14ac:dyDescent="0.35">
      <c r="E25396" s="35"/>
      <c r="J25396" s="41"/>
    </row>
    <row r="25397" spans="5:10" s="34" customFormat="1" x14ac:dyDescent="0.35">
      <c r="E25397" s="35"/>
      <c r="J25397" s="41"/>
    </row>
    <row r="25398" spans="5:10" s="34" customFormat="1" x14ac:dyDescent="0.35">
      <c r="E25398" s="35"/>
      <c r="J25398" s="41"/>
    </row>
    <row r="25399" spans="5:10" s="34" customFormat="1" x14ac:dyDescent="0.35">
      <c r="E25399" s="35"/>
      <c r="J25399" s="41"/>
    </row>
    <row r="25400" spans="5:10" s="34" customFormat="1" x14ac:dyDescent="0.35">
      <c r="E25400" s="35"/>
      <c r="J25400" s="41"/>
    </row>
    <row r="25401" spans="5:10" s="34" customFormat="1" x14ac:dyDescent="0.35">
      <c r="E25401" s="35"/>
      <c r="J25401" s="41"/>
    </row>
    <row r="25402" spans="5:10" s="34" customFormat="1" x14ac:dyDescent="0.35">
      <c r="E25402" s="35"/>
      <c r="J25402" s="41"/>
    </row>
    <row r="25403" spans="5:10" s="34" customFormat="1" x14ac:dyDescent="0.35">
      <c r="E25403" s="35"/>
      <c r="J25403" s="41"/>
    </row>
    <row r="25404" spans="5:10" s="34" customFormat="1" x14ac:dyDescent="0.35">
      <c r="E25404" s="35"/>
      <c r="J25404" s="41"/>
    </row>
    <row r="25405" spans="5:10" s="34" customFormat="1" x14ac:dyDescent="0.35">
      <c r="E25405" s="35"/>
      <c r="J25405" s="41"/>
    </row>
    <row r="25406" spans="5:10" s="34" customFormat="1" x14ac:dyDescent="0.35">
      <c r="E25406" s="35"/>
      <c r="J25406" s="41"/>
    </row>
    <row r="25407" spans="5:10" s="34" customFormat="1" x14ac:dyDescent="0.35">
      <c r="E25407" s="35"/>
      <c r="J25407" s="41"/>
    </row>
    <row r="25408" spans="5:10" s="34" customFormat="1" x14ac:dyDescent="0.35">
      <c r="E25408" s="35"/>
      <c r="J25408" s="41"/>
    </row>
    <row r="25409" spans="5:10" s="34" customFormat="1" x14ac:dyDescent="0.35">
      <c r="E25409" s="35"/>
      <c r="J25409" s="41"/>
    </row>
    <row r="25410" spans="5:10" s="34" customFormat="1" x14ac:dyDescent="0.35">
      <c r="E25410" s="35"/>
      <c r="J25410" s="41"/>
    </row>
    <row r="25411" spans="5:10" s="34" customFormat="1" x14ac:dyDescent="0.35">
      <c r="E25411" s="35"/>
      <c r="J25411" s="41"/>
    </row>
    <row r="25412" spans="5:10" s="34" customFormat="1" x14ac:dyDescent="0.35">
      <c r="E25412" s="35"/>
      <c r="J25412" s="41"/>
    </row>
    <row r="25413" spans="5:10" s="34" customFormat="1" x14ac:dyDescent="0.35">
      <c r="E25413" s="35"/>
      <c r="J25413" s="41"/>
    </row>
    <row r="25414" spans="5:10" s="34" customFormat="1" x14ac:dyDescent="0.35">
      <c r="E25414" s="35"/>
      <c r="J25414" s="41"/>
    </row>
    <row r="25415" spans="5:10" s="34" customFormat="1" x14ac:dyDescent="0.35">
      <c r="E25415" s="35"/>
      <c r="J25415" s="41"/>
    </row>
    <row r="25416" spans="5:10" s="34" customFormat="1" x14ac:dyDescent="0.35">
      <c r="E25416" s="35"/>
      <c r="J25416" s="41"/>
    </row>
    <row r="25417" spans="5:10" s="34" customFormat="1" x14ac:dyDescent="0.35">
      <c r="E25417" s="35"/>
      <c r="J25417" s="41"/>
    </row>
    <row r="25418" spans="5:10" s="34" customFormat="1" x14ac:dyDescent="0.35">
      <c r="E25418" s="35"/>
      <c r="J25418" s="41"/>
    </row>
    <row r="25419" spans="5:10" s="34" customFormat="1" x14ac:dyDescent="0.35">
      <c r="E25419" s="35"/>
      <c r="J25419" s="41"/>
    </row>
    <row r="25420" spans="5:10" s="34" customFormat="1" x14ac:dyDescent="0.35">
      <c r="E25420" s="35"/>
      <c r="J25420" s="41"/>
    </row>
    <row r="25421" spans="5:10" s="34" customFormat="1" x14ac:dyDescent="0.35">
      <c r="E25421" s="35"/>
      <c r="J25421" s="41"/>
    </row>
    <row r="25422" spans="5:10" s="34" customFormat="1" x14ac:dyDescent="0.35">
      <c r="E25422" s="35"/>
      <c r="J25422" s="41"/>
    </row>
    <row r="25423" spans="5:10" s="34" customFormat="1" x14ac:dyDescent="0.35">
      <c r="E25423" s="35"/>
      <c r="J25423" s="41"/>
    </row>
    <row r="25424" spans="5:10" s="34" customFormat="1" x14ac:dyDescent="0.35">
      <c r="E25424" s="35"/>
      <c r="J25424" s="41"/>
    </row>
    <row r="25425" spans="5:10" s="34" customFormat="1" x14ac:dyDescent="0.35">
      <c r="E25425" s="35"/>
      <c r="J25425" s="41"/>
    </row>
    <row r="25426" spans="5:10" s="34" customFormat="1" x14ac:dyDescent="0.35">
      <c r="E25426" s="35"/>
      <c r="J25426" s="41"/>
    </row>
    <row r="25427" spans="5:10" s="34" customFormat="1" x14ac:dyDescent="0.35">
      <c r="E25427" s="35"/>
      <c r="J25427" s="41"/>
    </row>
    <row r="25428" spans="5:10" s="34" customFormat="1" x14ac:dyDescent="0.35">
      <c r="E25428" s="35"/>
      <c r="J25428" s="41"/>
    </row>
    <row r="25429" spans="5:10" s="34" customFormat="1" x14ac:dyDescent="0.35">
      <c r="E25429" s="35"/>
      <c r="J25429" s="41"/>
    </row>
    <row r="25430" spans="5:10" s="34" customFormat="1" x14ac:dyDescent="0.35">
      <c r="E25430" s="35"/>
      <c r="J25430" s="41"/>
    </row>
    <row r="25431" spans="5:10" s="34" customFormat="1" x14ac:dyDescent="0.35">
      <c r="E25431" s="35"/>
      <c r="J25431" s="41"/>
    </row>
    <row r="25432" spans="5:10" s="34" customFormat="1" x14ac:dyDescent="0.35">
      <c r="E25432" s="35"/>
      <c r="J25432" s="41"/>
    </row>
    <row r="25433" spans="5:10" s="34" customFormat="1" x14ac:dyDescent="0.35">
      <c r="E25433" s="35"/>
      <c r="J25433" s="41"/>
    </row>
    <row r="25434" spans="5:10" s="34" customFormat="1" x14ac:dyDescent="0.35">
      <c r="E25434" s="35"/>
      <c r="J25434" s="41"/>
    </row>
    <row r="25435" spans="5:10" s="34" customFormat="1" x14ac:dyDescent="0.35">
      <c r="E25435" s="35"/>
      <c r="J25435" s="41"/>
    </row>
    <row r="25436" spans="5:10" s="34" customFormat="1" x14ac:dyDescent="0.35">
      <c r="E25436" s="35"/>
      <c r="J25436" s="41"/>
    </row>
    <row r="25437" spans="5:10" s="34" customFormat="1" x14ac:dyDescent="0.35">
      <c r="E25437" s="35"/>
      <c r="J25437" s="41"/>
    </row>
    <row r="25438" spans="5:10" s="34" customFormat="1" x14ac:dyDescent="0.35">
      <c r="E25438" s="35"/>
      <c r="J25438" s="41"/>
    </row>
    <row r="25439" spans="5:10" s="34" customFormat="1" x14ac:dyDescent="0.35">
      <c r="E25439" s="35"/>
      <c r="J25439" s="41"/>
    </row>
    <row r="25440" spans="5:10" s="34" customFormat="1" x14ac:dyDescent="0.35">
      <c r="E25440" s="35"/>
      <c r="J25440" s="41"/>
    </row>
    <row r="25441" spans="5:10" s="34" customFormat="1" x14ac:dyDescent="0.35">
      <c r="E25441" s="35"/>
      <c r="J25441" s="41"/>
    </row>
    <row r="25442" spans="5:10" s="34" customFormat="1" x14ac:dyDescent="0.35">
      <c r="E25442" s="35"/>
      <c r="J25442" s="41"/>
    </row>
    <row r="25443" spans="5:10" s="34" customFormat="1" x14ac:dyDescent="0.35">
      <c r="E25443" s="35"/>
      <c r="J25443" s="41"/>
    </row>
    <row r="25444" spans="5:10" s="34" customFormat="1" x14ac:dyDescent="0.35">
      <c r="E25444" s="35"/>
      <c r="J25444" s="41"/>
    </row>
    <row r="25445" spans="5:10" s="34" customFormat="1" x14ac:dyDescent="0.35">
      <c r="E25445" s="35"/>
      <c r="J25445" s="41"/>
    </row>
    <row r="25446" spans="5:10" s="34" customFormat="1" x14ac:dyDescent="0.35">
      <c r="E25446" s="35"/>
      <c r="J25446" s="41"/>
    </row>
    <row r="25447" spans="5:10" s="34" customFormat="1" x14ac:dyDescent="0.35">
      <c r="E25447" s="35"/>
      <c r="J25447" s="41"/>
    </row>
    <row r="25448" spans="5:10" s="34" customFormat="1" x14ac:dyDescent="0.35">
      <c r="E25448" s="35"/>
      <c r="J25448" s="41"/>
    </row>
    <row r="25449" spans="5:10" s="34" customFormat="1" x14ac:dyDescent="0.35">
      <c r="E25449" s="35"/>
      <c r="J25449" s="41"/>
    </row>
    <row r="25450" spans="5:10" s="34" customFormat="1" x14ac:dyDescent="0.35">
      <c r="E25450" s="35"/>
      <c r="J25450" s="41"/>
    </row>
    <row r="25451" spans="5:10" s="34" customFormat="1" x14ac:dyDescent="0.35">
      <c r="E25451" s="35"/>
      <c r="J25451" s="41"/>
    </row>
    <row r="25452" spans="5:10" s="34" customFormat="1" x14ac:dyDescent="0.35">
      <c r="E25452" s="35"/>
      <c r="J25452" s="41"/>
    </row>
    <row r="25453" spans="5:10" s="34" customFormat="1" x14ac:dyDescent="0.35">
      <c r="E25453" s="35"/>
      <c r="J25453" s="41"/>
    </row>
    <row r="25454" spans="5:10" s="34" customFormat="1" x14ac:dyDescent="0.35">
      <c r="E25454" s="35"/>
      <c r="J25454" s="41"/>
    </row>
    <row r="25455" spans="5:10" s="34" customFormat="1" x14ac:dyDescent="0.35">
      <c r="E25455" s="35"/>
      <c r="J25455" s="41"/>
    </row>
    <row r="25456" spans="5:10" s="34" customFormat="1" x14ac:dyDescent="0.35">
      <c r="E25456" s="35"/>
      <c r="J25456" s="41"/>
    </row>
    <row r="25457" spans="5:10" s="34" customFormat="1" x14ac:dyDescent="0.35">
      <c r="E25457" s="35"/>
      <c r="J25457" s="41"/>
    </row>
    <row r="25458" spans="5:10" s="34" customFormat="1" x14ac:dyDescent="0.35">
      <c r="E25458" s="35"/>
      <c r="J25458" s="41"/>
    </row>
    <row r="25459" spans="5:10" s="34" customFormat="1" x14ac:dyDescent="0.35">
      <c r="E25459" s="35"/>
      <c r="J25459" s="41"/>
    </row>
    <row r="25460" spans="5:10" s="34" customFormat="1" x14ac:dyDescent="0.35">
      <c r="E25460" s="35"/>
      <c r="J25460" s="41"/>
    </row>
    <row r="25461" spans="5:10" s="34" customFormat="1" x14ac:dyDescent="0.35">
      <c r="E25461" s="35"/>
      <c r="J25461" s="41"/>
    </row>
    <row r="25462" spans="5:10" s="34" customFormat="1" x14ac:dyDescent="0.35">
      <c r="E25462" s="35"/>
      <c r="J25462" s="41"/>
    </row>
    <row r="25463" spans="5:10" s="34" customFormat="1" x14ac:dyDescent="0.35">
      <c r="E25463" s="35"/>
      <c r="J25463" s="41"/>
    </row>
    <row r="25464" spans="5:10" s="34" customFormat="1" x14ac:dyDescent="0.35">
      <c r="E25464" s="35"/>
      <c r="J25464" s="41"/>
    </row>
    <row r="25465" spans="5:10" s="34" customFormat="1" x14ac:dyDescent="0.35">
      <c r="E25465" s="35"/>
      <c r="J25465" s="41"/>
    </row>
    <row r="25466" spans="5:10" s="34" customFormat="1" x14ac:dyDescent="0.35">
      <c r="E25466" s="35"/>
      <c r="J25466" s="41"/>
    </row>
    <row r="25467" spans="5:10" s="34" customFormat="1" x14ac:dyDescent="0.35">
      <c r="E25467" s="35"/>
      <c r="J25467" s="41"/>
    </row>
    <row r="25468" spans="5:10" s="34" customFormat="1" x14ac:dyDescent="0.35">
      <c r="E25468" s="35"/>
      <c r="J25468" s="41"/>
    </row>
    <row r="25469" spans="5:10" s="34" customFormat="1" x14ac:dyDescent="0.35">
      <c r="E25469" s="35"/>
      <c r="J25469" s="41"/>
    </row>
    <row r="25470" spans="5:10" s="34" customFormat="1" x14ac:dyDescent="0.35">
      <c r="E25470" s="35"/>
      <c r="J25470" s="41"/>
    </row>
    <row r="25471" spans="5:10" s="34" customFormat="1" x14ac:dyDescent="0.35">
      <c r="E25471" s="35"/>
      <c r="J25471" s="41"/>
    </row>
    <row r="25472" spans="5:10" s="34" customFormat="1" x14ac:dyDescent="0.35">
      <c r="E25472" s="35"/>
      <c r="J25472" s="41"/>
    </row>
    <row r="25473" spans="5:10" s="34" customFormat="1" x14ac:dyDescent="0.35">
      <c r="E25473" s="35"/>
      <c r="J25473" s="41"/>
    </row>
    <row r="25474" spans="5:10" s="34" customFormat="1" x14ac:dyDescent="0.35">
      <c r="E25474" s="35"/>
      <c r="J25474" s="41"/>
    </row>
    <row r="25475" spans="5:10" s="34" customFormat="1" x14ac:dyDescent="0.35">
      <c r="E25475" s="35"/>
      <c r="J25475" s="41"/>
    </row>
    <row r="25476" spans="5:10" s="34" customFormat="1" x14ac:dyDescent="0.35">
      <c r="E25476" s="35"/>
      <c r="J25476" s="41"/>
    </row>
    <row r="25477" spans="5:10" s="34" customFormat="1" x14ac:dyDescent="0.35">
      <c r="E25477" s="35"/>
      <c r="J25477" s="41"/>
    </row>
    <row r="25478" spans="5:10" s="34" customFormat="1" x14ac:dyDescent="0.35">
      <c r="E25478" s="35"/>
      <c r="J25478" s="41"/>
    </row>
    <row r="25479" spans="5:10" s="34" customFormat="1" x14ac:dyDescent="0.35">
      <c r="E25479" s="35"/>
      <c r="J25479" s="41"/>
    </row>
    <row r="25480" spans="5:10" s="34" customFormat="1" x14ac:dyDescent="0.35">
      <c r="E25480" s="35"/>
      <c r="J25480" s="41"/>
    </row>
    <row r="25481" spans="5:10" s="34" customFormat="1" x14ac:dyDescent="0.35">
      <c r="E25481" s="35"/>
      <c r="J25481" s="41"/>
    </row>
    <row r="25482" spans="5:10" s="34" customFormat="1" x14ac:dyDescent="0.35">
      <c r="E25482" s="35"/>
      <c r="J25482" s="41"/>
    </row>
    <row r="25483" spans="5:10" s="34" customFormat="1" x14ac:dyDescent="0.35">
      <c r="E25483" s="35"/>
      <c r="J25483" s="41"/>
    </row>
    <row r="25484" spans="5:10" s="34" customFormat="1" x14ac:dyDescent="0.35">
      <c r="E25484" s="35"/>
      <c r="J25484" s="41"/>
    </row>
    <row r="25485" spans="5:10" s="34" customFormat="1" x14ac:dyDescent="0.35">
      <c r="E25485" s="35"/>
      <c r="J25485" s="41"/>
    </row>
    <row r="25486" spans="5:10" s="34" customFormat="1" x14ac:dyDescent="0.35">
      <c r="E25486" s="35"/>
      <c r="J25486" s="41"/>
    </row>
    <row r="25487" spans="5:10" s="34" customFormat="1" x14ac:dyDescent="0.35">
      <c r="E25487" s="35"/>
      <c r="J25487" s="41"/>
    </row>
    <row r="25488" spans="5:10" s="34" customFormat="1" x14ac:dyDescent="0.35">
      <c r="E25488" s="35"/>
      <c r="J25488" s="41"/>
    </row>
    <row r="25489" spans="5:10" s="34" customFormat="1" x14ac:dyDescent="0.35">
      <c r="E25489" s="35"/>
      <c r="J25489" s="41"/>
    </row>
    <row r="25490" spans="5:10" s="34" customFormat="1" x14ac:dyDescent="0.35">
      <c r="E25490" s="35"/>
      <c r="J25490" s="41"/>
    </row>
    <row r="25491" spans="5:10" s="34" customFormat="1" x14ac:dyDescent="0.35">
      <c r="E25491" s="35"/>
      <c r="J25491" s="41"/>
    </row>
    <row r="25492" spans="5:10" s="34" customFormat="1" x14ac:dyDescent="0.35">
      <c r="E25492" s="35"/>
      <c r="J25492" s="41"/>
    </row>
    <row r="25493" spans="5:10" s="34" customFormat="1" x14ac:dyDescent="0.35">
      <c r="E25493" s="35"/>
      <c r="J25493" s="41"/>
    </row>
    <row r="25494" spans="5:10" s="34" customFormat="1" x14ac:dyDescent="0.35">
      <c r="E25494" s="35"/>
      <c r="J25494" s="41"/>
    </row>
    <row r="25495" spans="5:10" s="34" customFormat="1" x14ac:dyDescent="0.35">
      <c r="E25495" s="35"/>
      <c r="J25495" s="41"/>
    </row>
    <row r="25496" spans="5:10" s="34" customFormat="1" x14ac:dyDescent="0.35">
      <c r="E25496" s="35"/>
      <c r="J25496" s="41"/>
    </row>
    <row r="25497" spans="5:10" s="34" customFormat="1" x14ac:dyDescent="0.35">
      <c r="E25497" s="35"/>
      <c r="J25497" s="41"/>
    </row>
    <row r="25498" spans="5:10" s="34" customFormat="1" x14ac:dyDescent="0.35">
      <c r="E25498" s="35"/>
      <c r="J25498" s="41"/>
    </row>
    <row r="25499" spans="5:10" s="34" customFormat="1" x14ac:dyDescent="0.35">
      <c r="E25499" s="35"/>
      <c r="J25499" s="41"/>
    </row>
    <row r="25500" spans="5:10" s="34" customFormat="1" x14ac:dyDescent="0.35">
      <c r="E25500" s="35"/>
      <c r="J25500" s="41"/>
    </row>
    <row r="25501" spans="5:10" s="34" customFormat="1" x14ac:dyDescent="0.35">
      <c r="E25501" s="35"/>
      <c r="J25501" s="41"/>
    </row>
    <row r="25502" spans="5:10" s="34" customFormat="1" x14ac:dyDescent="0.35">
      <c r="E25502" s="35"/>
      <c r="J25502" s="41"/>
    </row>
    <row r="25503" spans="5:10" s="34" customFormat="1" x14ac:dyDescent="0.35">
      <c r="E25503" s="35"/>
      <c r="J25503" s="41"/>
    </row>
    <row r="25504" spans="5:10" s="34" customFormat="1" x14ac:dyDescent="0.35">
      <c r="E25504" s="35"/>
      <c r="J25504" s="41"/>
    </row>
    <row r="25505" spans="5:10" s="34" customFormat="1" x14ac:dyDescent="0.35">
      <c r="E25505" s="35"/>
      <c r="J25505" s="41"/>
    </row>
    <row r="25506" spans="5:10" s="34" customFormat="1" x14ac:dyDescent="0.35">
      <c r="E25506" s="35"/>
      <c r="J25506" s="41"/>
    </row>
    <row r="25507" spans="5:10" s="34" customFormat="1" x14ac:dyDescent="0.35">
      <c r="E25507" s="35"/>
      <c r="J25507" s="41"/>
    </row>
    <row r="25508" spans="5:10" s="34" customFormat="1" x14ac:dyDescent="0.35">
      <c r="E25508" s="35"/>
      <c r="J25508" s="41"/>
    </row>
    <row r="25509" spans="5:10" s="34" customFormat="1" x14ac:dyDescent="0.35">
      <c r="E25509" s="35"/>
      <c r="J25509" s="41"/>
    </row>
    <row r="25510" spans="5:10" s="34" customFormat="1" x14ac:dyDescent="0.35">
      <c r="E25510" s="35"/>
      <c r="J25510" s="41"/>
    </row>
    <row r="25511" spans="5:10" s="34" customFormat="1" x14ac:dyDescent="0.35">
      <c r="E25511" s="35"/>
      <c r="J25511" s="41"/>
    </row>
    <row r="25512" spans="5:10" s="34" customFormat="1" x14ac:dyDescent="0.35">
      <c r="E25512" s="35"/>
      <c r="J25512" s="41"/>
    </row>
    <row r="25513" spans="5:10" s="34" customFormat="1" x14ac:dyDescent="0.35">
      <c r="E25513" s="35"/>
      <c r="J25513" s="41"/>
    </row>
    <row r="25514" spans="5:10" s="34" customFormat="1" x14ac:dyDescent="0.35">
      <c r="E25514" s="35"/>
      <c r="J25514" s="41"/>
    </row>
    <row r="25515" spans="5:10" s="34" customFormat="1" x14ac:dyDescent="0.35">
      <c r="E25515" s="35"/>
      <c r="J25515" s="41"/>
    </row>
    <row r="25516" spans="5:10" s="34" customFormat="1" x14ac:dyDescent="0.35">
      <c r="E25516" s="35"/>
      <c r="J25516" s="41"/>
    </row>
    <row r="25517" spans="5:10" s="34" customFormat="1" x14ac:dyDescent="0.35">
      <c r="E25517" s="35"/>
      <c r="J25517" s="41"/>
    </row>
    <row r="25518" spans="5:10" s="34" customFormat="1" x14ac:dyDescent="0.35">
      <c r="E25518" s="35"/>
      <c r="J25518" s="41"/>
    </row>
    <row r="25519" spans="5:10" s="34" customFormat="1" x14ac:dyDescent="0.35">
      <c r="E25519" s="35"/>
      <c r="J25519" s="41"/>
    </row>
    <row r="25520" spans="5:10" s="34" customFormat="1" x14ac:dyDescent="0.35">
      <c r="E25520" s="35"/>
      <c r="J25520" s="41"/>
    </row>
    <row r="25521" spans="5:10" s="34" customFormat="1" x14ac:dyDescent="0.35">
      <c r="E25521" s="35"/>
      <c r="J25521" s="41"/>
    </row>
    <row r="25522" spans="5:10" s="34" customFormat="1" x14ac:dyDescent="0.35">
      <c r="E25522" s="35"/>
      <c r="J25522" s="41"/>
    </row>
    <row r="25523" spans="5:10" s="34" customFormat="1" x14ac:dyDescent="0.35">
      <c r="E25523" s="35"/>
      <c r="J25523" s="41"/>
    </row>
    <row r="25524" spans="5:10" s="34" customFormat="1" x14ac:dyDescent="0.35">
      <c r="E25524" s="35"/>
      <c r="J25524" s="41"/>
    </row>
    <row r="25525" spans="5:10" s="34" customFormat="1" x14ac:dyDescent="0.35">
      <c r="E25525" s="35"/>
      <c r="J25525" s="41"/>
    </row>
    <row r="25526" spans="5:10" s="34" customFormat="1" x14ac:dyDescent="0.35">
      <c r="E25526" s="35"/>
      <c r="J25526" s="41"/>
    </row>
    <row r="25527" spans="5:10" s="34" customFormat="1" x14ac:dyDescent="0.35">
      <c r="E25527" s="35"/>
      <c r="J25527" s="41"/>
    </row>
    <row r="25528" spans="5:10" s="34" customFormat="1" x14ac:dyDescent="0.35">
      <c r="E25528" s="35"/>
      <c r="J25528" s="41"/>
    </row>
    <row r="25529" spans="5:10" s="34" customFormat="1" x14ac:dyDescent="0.35">
      <c r="E25529" s="35"/>
      <c r="J25529" s="41"/>
    </row>
    <row r="25530" spans="5:10" s="34" customFormat="1" x14ac:dyDescent="0.35">
      <c r="E25530" s="35"/>
      <c r="J25530" s="41"/>
    </row>
    <row r="25531" spans="5:10" s="34" customFormat="1" x14ac:dyDescent="0.35">
      <c r="E25531" s="35"/>
      <c r="J25531" s="41"/>
    </row>
    <row r="25532" spans="5:10" s="34" customFormat="1" x14ac:dyDescent="0.35">
      <c r="E25532" s="35"/>
      <c r="J25532" s="41"/>
    </row>
    <row r="25533" spans="5:10" s="34" customFormat="1" x14ac:dyDescent="0.35">
      <c r="E25533" s="35"/>
      <c r="J25533" s="41"/>
    </row>
    <row r="25534" spans="5:10" s="34" customFormat="1" x14ac:dyDescent="0.35">
      <c r="E25534" s="35"/>
      <c r="J25534" s="41"/>
    </row>
    <row r="25535" spans="5:10" s="34" customFormat="1" x14ac:dyDescent="0.35">
      <c r="E25535" s="35"/>
      <c r="J25535" s="41"/>
    </row>
    <row r="25536" spans="5:10" s="34" customFormat="1" x14ac:dyDescent="0.35">
      <c r="E25536" s="35"/>
      <c r="J25536" s="41"/>
    </row>
    <row r="25537" spans="5:10" s="34" customFormat="1" x14ac:dyDescent="0.35">
      <c r="E25537" s="35"/>
      <c r="J25537" s="41"/>
    </row>
    <row r="25538" spans="5:10" s="34" customFormat="1" x14ac:dyDescent="0.35">
      <c r="E25538" s="35"/>
      <c r="J25538" s="41"/>
    </row>
    <row r="25539" spans="5:10" s="34" customFormat="1" x14ac:dyDescent="0.35">
      <c r="E25539" s="35"/>
      <c r="J25539" s="41"/>
    </row>
    <row r="25540" spans="5:10" s="34" customFormat="1" x14ac:dyDescent="0.35">
      <c r="E25540" s="35"/>
      <c r="J25540" s="41"/>
    </row>
    <row r="25541" spans="5:10" s="34" customFormat="1" x14ac:dyDescent="0.35">
      <c r="E25541" s="35"/>
      <c r="J25541" s="41"/>
    </row>
    <row r="25542" spans="5:10" s="34" customFormat="1" x14ac:dyDescent="0.35">
      <c r="E25542" s="35"/>
      <c r="J25542" s="41"/>
    </row>
    <row r="25543" spans="5:10" s="34" customFormat="1" x14ac:dyDescent="0.35">
      <c r="E25543" s="35"/>
      <c r="J25543" s="41"/>
    </row>
    <row r="25544" spans="5:10" s="34" customFormat="1" x14ac:dyDescent="0.35">
      <c r="E25544" s="35"/>
      <c r="J25544" s="41"/>
    </row>
    <row r="25545" spans="5:10" s="34" customFormat="1" x14ac:dyDescent="0.35">
      <c r="E25545" s="35"/>
      <c r="J25545" s="41"/>
    </row>
    <row r="25546" spans="5:10" s="34" customFormat="1" x14ac:dyDescent="0.35">
      <c r="E25546" s="35"/>
      <c r="J25546" s="41"/>
    </row>
    <row r="25547" spans="5:10" s="34" customFormat="1" x14ac:dyDescent="0.35">
      <c r="E25547" s="35"/>
      <c r="J25547" s="41"/>
    </row>
    <row r="25548" spans="5:10" s="34" customFormat="1" x14ac:dyDescent="0.35">
      <c r="E25548" s="35"/>
      <c r="J25548" s="41"/>
    </row>
    <row r="25549" spans="5:10" s="34" customFormat="1" x14ac:dyDescent="0.35">
      <c r="E25549" s="35"/>
      <c r="J25549" s="41"/>
    </row>
    <row r="25550" spans="5:10" s="34" customFormat="1" x14ac:dyDescent="0.35">
      <c r="E25550" s="35"/>
      <c r="J25550" s="41"/>
    </row>
    <row r="25551" spans="5:10" s="34" customFormat="1" x14ac:dyDescent="0.35">
      <c r="E25551" s="35"/>
      <c r="J25551" s="41"/>
    </row>
    <row r="25552" spans="5:10" s="34" customFormat="1" x14ac:dyDescent="0.35">
      <c r="E25552" s="35"/>
      <c r="J25552" s="41"/>
    </row>
    <row r="25553" spans="5:10" s="34" customFormat="1" x14ac:dyDescent="0.35">
      <c r="E25553" s="35"/>
      <c r="J25553" s="41"/>
    </row>
    <row r="25554" spans="5:10" s="34" customFormat="1" x14ac:dyDescent="0.35">
      <c r="E25554" s="35"/>
      <c r="J25554" s="41"/>
    </row>
    <row r="25555" spans="5:10" s="34" customFormat="1" x14ac:dyDescent="0.35">
      <c r="E25555" s="35"/>
      <c r="J25555" s="41"/>
    </row>
    <row r="25556" spans="5:10" s="34" customFormat="1" x14ac:dyDescent="0.35">
      <c r="E25556" s="35"/>
      <c r="J25556" s="41"/>
    </row>
    <row r="25557" spans="5:10" s="34" customFormat="1" x14ac:dyDescent="0.35">
      <c r="E25557" s="35"/>
      <c r="J25557" s="41"/>
    </row>
    <row r="25558" spans="5:10" s="34" customFormat="1" x14ac:dyDescent="0.35">
      <c r="E25558" s="35"/>
      <c r="J25558" s="41"/>
    </row>
    <row r="25559" spans="5:10" s="34" customFormat="1" x14ac:dyDescent="0.35">
      <c r="E25559" s="35"/>
      <c r="J25559" s="41"/>
    </row>
    <row r="25560" spans="5:10" s="34" customFormat="1" x14ac:dyDescent="0.35">
      <c r="E25560" s="35"/>
      <c r="J25560" s="41"/>
    </row>
    <row r="25561" spans="5:10" s="34" customFormat="1" x14ac:dyDescent="0.35">
      <c r="E25561" s="35"/>
      <c r="J25561" s="41"/>
    </row>
    <row r="25562" spans="5:10" s="34" customFormat="1" x14ac:dyDescent="0.35">
      <c r="E25562" s="35"/>
      <c r="J25562" s="41"/>
    </row>
    <row r="25563" spans="5:10" s="34" customFormat="1" x14ac:dyDescent="0.35">
      <c r="E25563" s="35"/>
      <c r="J25563" s="41"/>
    </row>
    <row r="25564" spans="5:10" s="34" customFormat="1" x14ac:dyDescent="0.35">
      <c r="E25564" s="35"/>
      <c r="J25564" s="41"/>
    </row>
    <row r="25565" spans="5:10" s="34" customFormat="1" x14ac:dyDescent="0.35">
      <c r="E25565" s="35"/>
      <c r="J25565" s="41"/>
    </row>
    <row r="25566" spans="5:10" s="34" customFormat="1" x14ac:dyDescent="0.35">
      <c r="E25566" s="35"/>
      <c r="J25566" s="41"/>
    </row>
    <row r="25567" spans="5:10" s="34" customFormat="1" x14ac:dyDescent="0.35">
      <c r="E25567" s="35"/>
      <c r="J25567" s="41"/>
    </row>
    <row r="25568" spans="5:10" s="34" customFormat="1" x14ac:dyDescent="0.35">
      <c r="E25568" s="35"/>
      <c r="J25568" s="41"/>
    </row>
    <row r="25569" spans="5:10" s="34" customFormat="1" x14ac:dyDescent="0.35">
      <c r="E25569" s="35"/>
      <c r="J25569" s="41"/>
    </row>
    <row r="25570" spans="5:10" s="34" customFormat="1" x14ac:dyDescent="0.35">
      <c r="E25570" s="35"/>
      <c r="J25570" s="41"/>
    </row>
    <row r="25571" spans="5:10" s="34" customFormat="1" x14ac:dyDescent="0.35">
      <c r="E25571" s="35"/>
      <c r="J25571" s="41"/>
    </row>
    <row r="25572" spans="5:10" s="34" customFormat="1" x14ac:dyDescent="0.35">
      <c r="E25572" s="35"/>
      <c r="J25572" s="41"/>
    </row>
    <row r="25573" spans="5:10" s="34" customFormat="1" x14ac:dyDescent="0.35">
      <c r="E25573" s="35"/>
      <c r="J25573" s="41"/>
    </row>
    <row r="25574" spans="5:10" s="34" customFormat="1" x14ac:dyDescent="0.35">
      <c r="E25574" s="35"/>
      <c r="J25574" s="41"/>
    </row>
    <row r="25575" spans="5:10" s="34" customFormat="1" x14ac:dyDescent="0.35">
      <c r="E25575" s="35"/>
      <c r="J25575" s="41"/>
    </row>
    <row r="25576" spans="5:10" s="34" customFormat="1" x14ac:dyDescent="0.35">
      <c r="E25576" s="35"/>
      <c r="J25576" s="41"/>
    </row>
    <row r="25577" spans="5:10" s="34" customFormat="1" x14ac:dyDescent="0.35">
      <c r="E25577" s="35"/>
      <c r="J25577" s="41"/>
    </row>
    <row r="25578" spans="5:10" s="34" customFormat="1" x14ac:dyDescent="0.35">
      <c r="E25578" s="35"/>
      <c r="J25578" s="41"/>
    </row>
    <row r="25579" spans="5:10" s="34" customFormat="1" x14ac:dyDescent="0.35">
      <c r="E25579" s="35"/>
      <c r="J25579" s="41"/>
    </row>
    <row r="25580" spans="5:10" s="34" customFormat="1" x14ac:dyDescent="0.35">
      <c r="E25580" s="35"/>
      <c r="J25580" s="41"/>
    </row>
    <row r="25581" spans="5:10" s="34" customFormat="1" x14ac:dyDescent="0.35">
      <c r="E25581" s="35"/>
      <c r="J25581" s="41"/>
    </row>
    <row r="25582" spans="5:10" s="34" customFormat="1" x14ac:dyDescent="0.35">
      <c r="E25582" s="35"/>
      <c r="J25582" s="41"/>
    </row>
    <row r="25583" spans="5:10" s="34" customFormat="1" x14ac:dyDescent="0.35">
      <c r="E25583" s="35"/>
      <c r="J25583" s="41"/>
    </row>
    <row r="25584" spans="5:10" s="34" customFormat="1" x14ac:dyDescent="0.35">
      <c r="E25584" s="35"/>
      <c r="J25584" s="41"/>
    </row>
    <row r="25585" spans="5:10" s="34" customFormat="1" x14ac:dyDescent="0.35">
      <c r="E25585" s="35"/>
      <c r="J25585" s="41"/>
    </row>
    <row r="25586" spans="5:10" s="34" customFormat="1" x14ac:dyDescent="0.35">
      <c r="E25586" s="35"/>
      <c r="J25586" s="41"/>
    </row>
    <row r="25587" spans="5:10" s="34" customFormat="1" x14ac:dyDescent="0.35">
      <c r="E25587" s="35"/>
      <c r="J25587" s="41"/>
    </row>
    <row r="25588" spans="5:10" s="34" customFormat="1" x14ac:dyDescent="0.35">
      <c r="E25588" s="35"/>
      <c r="J25588" s="41"/>
    </row>
    <row r="25589" spans="5:10" s="34" customFormat="1" x14ac:dyDescent="0.35">
      <c r="E25589" s="35"/>
      <c r="J25589" s="41"/>
    </row>
    <row r="25590" spans="5:10" s="34" customFormat="1" x14ac:dyDescent="0.35">
      <c r="E25590" s="35"/>
      <c r="J25590" s="41"/>
    </row>
    <row r="25591" spans="5:10" s="34" customFormat="1" x14ac:dyDescent="0.35">
      <c r="E25591" s="35"/>
      <c r="J25591" s="41"/>
    </row>
    <row r="25592" spans="5:10" s="34" customFormat="1" x14ac:dyDescent="0.35">
      <c r="E25592" s="35"/>
      <c r="J25592" s="41"/>
    </row>
    <row r="25593" spans="5:10" s="34" customFormat="1" x14ac:dyDescent="0.35">
      <c r="E25593" s="35"/>
      <c r="J25593" s="41"/>
    </row>
    <row r="25594" spans="5:10" s="34" customFormat="1" x14ac:dyDescent="0.35">
      <c r="E25594" s="35"/>
      <c r="J25594" s="41"/>
    </row>
    <row r="25595" spans="5:10" s="34" customFormat="1" x14ac:dyDescent="0.35">
      <c r="E25595" s="35"/>
      <c r="J25595" s="41"/>
    </row>
    <row r="25596" spans="5:10" s="34" customFormat="1" x14ac:dyDescent="0.35">
      <c r="E25596" s="35"/>
      <c r="J25596" s="41"/>
    </row>
    <row r="25597" spans="5:10" s="34" customFormat="1" x14ac:dyDescent="0.35">
      <c r="E25597" s="35"/>
      <c r="J25597" s="41"/>
    </row>
    <row r="25598" spans="5:10" s="34" customFormat="1" x14ac:dyDescent="0.35">
      <c r="E25598" s="35"/>
      <c r="J25598" s="41"/>
    </row>
    <row r="25599" spans="5:10" s="34" customFormat="1" x14ac:dyDescent="0.35">
      <c r="E25599" s="35"/>
      <c r="J25599" s="41"/>
    </row>
    <row r="25600" spans="5:10" s="34" customFormat="1" x14ac:dyDescent="0.35">
      <c r="E25600" s="35"/>
      <c r="J25600" s="41"/>
    </row>
    <row r="25601" spans="5:10" s="34" customFormat="1" x14ac:dyDescent="0.35">
      <c r="E25601" s="35"/>
      <c r="J25601" s="41"/>
    </row>
    <row r="25602" spans="5:10" s="34" customFormat="1" x14ac:dyDescent="0.35">
      <c r="E25602" s="35"/>
      <c r="J25602" s="41"/>
    </row>
    <row r="25603" spans="5:10" s="34" customFormat="1" x14ac:dyDescent="0.35">
      <c r="E25603" s="35"/>
      <c r="J25603" s="41"/>
    </row>
    <row r="25604" spans="5:10" s="34" customFormat="1" x14ac:dyDescent="0.35">
      <c r="E25604" s="35"/>
      <c r="J25604" s="41"/>
    </row>
    <row r="25605" spans="5:10" s="34" customFormat="1" x14ac:dyDescent="0.35">
      <c r="E25605" s="35"/>
      <c r="J25605" s="41"/>
    </row>
    <row r="25606" spans="5:10" s="34" customFormat="1" x14ac:dyDescent="0.35">
      <c r="E25606" s="35"/>
      <c r="J25606" s="41"/>
    </row>
    <row r="25607" spans="5:10" s="34" customFormat="1" x14ac:dyDescent="0.35">
      <c r="E25607" s="35"/>
      <c r="J25607" s="41"/>
    </row>
    <row r="25608" spans="5:10" s="34" customFormat="1" x14ac:dyDescent="0.35">
      <c r="E25608" s="35"/>
      <c r="J25608" s="41"/>
    </row>
    <row r="25609" spans="5:10" s="34" customFormat="1" x14ac:dyDescent="0.35">
      <c r="E25609" s="35"/>
      <c r="J25609" s="41"/>
    </row>
    <row r="25610" spans="5:10" s="34" customFormat="1" x14ac:dyDescent="0.35">
      <c r="E25610" s="35"/>
      <c r="J25610" s="41"/>
    </row>
    <row r="25611" spans="5:10" s="34" customFormat="1" x14ac:dyDescent="0.35">
      <c r="E25611" s="35"/>
      <c r="J25611" s="41"/>
    </row>
    <row r="25612" spans="5:10" s="34" customFormat="1" x14ac:dyDescent="0.35">
      <c r="E25612" s="35"/>
      <c r="J25612" s="41"/>
    </row>
    <row r="25613" spans="5:10" s="34" customFormat="1" x14ac:dyDescent="0.35">
      <c r="E25613" s="35"/>
      <c r="J25613" s="41"/>
    </row>
    <row r="25614" spans="5:10" s="34" customFormat="1" x14ac:dyDescent="0.35">
      <c r="E25614" s="35"/>
      <c r="J25614" s="41"/>
    </row>
    <row r="25615" spans="5:10" s="34" customFormat="1" x14ac:dyDescent="0.35">
      <c r="E25615" s="35"/>
      <c r="J25615" s="41"/>
    </row>
    <row r="25616" spans="5:10" s="34" customFormat="1" x14ac:dyDescent="0.35">
      <c r="E25616" s="35"/>
      <c r="J25616" s="41"/>
    </row>
    <row r="25617" spans="5:10" s="34" customFormat="1" x14ac:dyDescent="0.35">
      <c r="E25617" s="35"/>
      <c r="J25617" s="41"/>
    </row>
    <row r="25618" spans="5:10" s="34" customFormat="1" x14ac:dyDescent="0.35">
      <c r="E25618" s="35"/>
      <c r="J25618" s="41"/>
    </row>
    <row r="25619" spans="5:10" s="34" customFormat="1" x14ac:dyDescent="0.35">
      <c r="E25619" s="35"/>
      <c r="J25619" s="41"/>
    </row>
    <row r="25620" spans="5:10" s="34" customFormat="1" x14ac:dyDescent="0.35">
      <c r="E25620" s="35"/>
      <c r="J25620" s="41"/>
    </row>
    <row r="25621" spans="5:10" s="34" customFormat="1" x14ac:dyDescent="0.35">
      <c r="E25621" s="35"/>
      <c r="J25621" s="41"/>
    </row>
    <row r="25622" spans="5:10" s="34" customFormat="1" x14ac:dyDescent="0.35">
      <c r="E25622" s="35"/>
      <c r="J25622" s="41"/>
    </row>
    <row r="25623" spans="5:10" s="34" customFormat="1" x14ac:dyDescent="0.35">
      <c r="E25623" s="35"/>
      <c r="J25623" s="41"/>
    </row>
    <row r="25624" spans="5:10" s="34" customFormat="1" x14ac:dyDescent="0.35">
      <c r="E25624" s="35"/>
      <c r="J25624" s="41"/>
    </row>
    <row r="25625" spans="5:10" s="34" customFormat="1" x14ac:dyDescent="0.35">
      <c r="E25625" s="35"/>
      <c r="J25625" s="41"/>
    </row>
    <row r="25626" spans="5:10" s="34" customFormat="1" x14ac:dyDescent="0.35">
      <c r="E25626" s="35"/>
      <c r="J25626" s="41"/>
    </row>
    <row r="25627" spans="5:10" s="34" customFormat="1" x14ac:dyDescent="0.35">
      <c r="E25627" s="35"/>
      <c r="J25627" s="41"/>
    </row>
    <row r="25628" spans="5:10" s="34" customFormat="1" x14ac:dyDescent="0.35">
      <c r="E25628" s="35"/>
      <c r="J25628" s="41"/>
    </row>
    <row r="25629" spans="5:10" s="34" customFormat="1" x14ac:dyDescent="0.35">
      <c r="E25629" s="35"/>
      <c r="J25629" s="41"/>
    </row>
    <row r="25630" spans="5:10" s="34" customFormat="1" x14ac:dyDescent="0.35">
      <c r="E25630" s="35"/>
      <c r="J25630" s="41"/>
    </row>
    <row r="25631" spans="5:10" s="34" customFormat="1" x14ac:dyDescent="0.35">
      <c r="E25631" s="35"/>
      <c r="J25631" s="41"/>
    </row>
    <row r="25632" spans="5:10" s="34" customFormat="1" x14ac:dyDescent="0.35">
      <c r="E25632" s="35"/>
      <c r="J25632" s="41"/>
    </row>
    <row r="25633" spans="5:10" s="34" customFormat="1" x14ac:dyDescent="0.35">
      <c r="E25633" s="35"/>
      <c r="J25633" s="41"/>
    </row>
    <row r="25634" spans="5:10" s="34" customFormat="1" x14ac:dyDescent="0.35">
      <c r="E25634" s="35"/>
      <c r="J25634" s="41"/>
    </row>
    <row r="25635" spans="5:10" s="34" customFormat="1" x14ac:dyDescent="0.35">
      <c r="E25635" s="35"/>
      <c r="J25635" s="41"/>
    </row>
    <row r="25636" spans="5:10" s="34" customFormat="1" x14ac:dyDescent="0.35">
      <c r="E25636" s="35"/>
      <c r="J25636" s="41"/>
    </row>
    <row r="25637" spans="5:10" s="34" customFormat="1" x14ac:dyDescent="0.35">
      <c r="E25637" s="35"/>
      <c r="J25637" s="41"/>
    </row>
    <row r="25638" spans="5:10" s="34" customFormat="1" x14ac:dyDescent="0.35">
      <c r="E25638" s="35"/>
      <c r="J25638" s="41"/>
    </row>
    <row r="25639" spans="5:10" s="34" customFormat="1" x14ac:dyDescent="0.35">
      <c r="E25639" s="35"/>
      <c r="J25639" s="41"/>
    </row>
    <row r="25640" spans="5:10" s="34" customFormat="1" x14ac:dyDescent="0.35">
      <c r="E25640" s="35"/>
      <c r="J25640" s="41"/>
    </row>
    <row r="25641" spans="5:10" s="34" customFormat="1" x14ac:dyDescent="0.35">
      <c r="E25641" s="35"/>
      <c r="J25641" s="41"/>
    </row>
    <row r="25642" spans="5:10" s="34" customFormat="1" x14ac:dyDescent="0.35">
      <c r="E25642" s="35"/>
      <c r="J25642" s="41"/>
    </row>
    <row r="25643" spans="5:10" s="34" customFormat="1" x14ac:dyDescent="0.35">
      <c r="E25643" s="35"/>
      <c r="J25643" s="41"/>
    </row>
    <row r="25644" spans="5:10" s="34" customFormat="1" x14ac:dyDescent="0.35">
      <c r="E25644" s="35"/>
      <c r="J25644" s="41"/>
    </row>
    <row r="25645" spans="5:10" s="34" customFormat="1" x14ac:dyDescent="0.35">
      <c r="E25645" s="35"/>
      <c r="J25645" s="41"/>
    </row>
    <row r="25646" spans="5:10" s="34" customFormat="1" x14ac:dyDescent="0.35">
      <c r="E25646" s="35"/>
      <c r="J25646" s="41"/>
    </row>
    <row r="25647" spans="5:10" s="34" customFormat="1" x14ac:dyDescent="0.35">
      <c r="E25647" s="35"/>
      <c r="J25647" s="41"/>
    </row>
    <row r="25648" spans="5:10" s="34" customFormat="1" x14ac:dyDescent="0.35">
      <c r="E25648" s="35"/>
      <c r="J25648" s="41"/>
    </row>
    <row r="25649" spans="5:10" s="34" customFormat="1" x14ac:dyDescent="0.35">
      <c r="E25649" s="35"/>
      <c r="J25649" s="41"/>
    </row>
    <row r="25650" spans="5:10" s="34" customFormat="1" x14ac:dyDescent="0.35">
      <c r="E25650" s="35"/>
      <c r="J25650" s="41"/>
    </row>
    <row r="25651" spans="5:10" s="34" customFormat="1" x14ac:dyDescent="0.35">
      <c r="E25651" s="35"/>
      <c r="J25651" s="41"/>
    </row>
    <row r="25652" spans="5:10" s="34" customFormat="1" x14ac:dyDescent="0.35">
      <c r="E25652" s="35"/>
      <c r="J25652" s="41"/>
    </row>
    <row r="25653" spans="5:10" s="34" customFormat="1" x14ac:dyDescent="0.35">
      <c r="E25653" s="35"/>
      <c r="J25653" s="41"/>
    </row>
    <row r="25654" spans="5:10" s="34" customFormat="1" x14ac:dyDescent="0.35">
      <c r="E25654" s="35"/>
      <c r="J25654" s="41"/>
    </row>
    <row r="25655" spans="5:10" s="34" customFormat="1" x14ac:dyDescent="0.35">
      <c r="E25655" s="35"/>
      <c r="J25655" s="41"/>
    </row>
    <row r="25656" spans="5:10" s="34" customFormat="1" x14ac:dyDescent="0.35">
      <c r="E25656" s="35"/>
      <c r="J25656" s="41"/>
    </row>
    <row r="25657" spans="5:10" s="34" customFormat="1" x14ac:dyDescent="0.35">
      <c r="E25657" s="35"/>
      <c r="J25657" s="41"/>
    </row>
    <row r="25658" spans="5:10" s="34" customFormat="1" x14ac:dyDescent="0.35">
      <c r="E25658" s="35"/>
      <c r="J25658" s="41"/>
    </row>
    <row r="25659" spans="5:10" s="34" customFormat="1" x14ac:dyDescent="0.35">
      <c r="E25659" s="35"/>
      <c r="J25659" s="41"/>
    </row>
    <row r="25660" spans="5:10" s="34" customFormat="1" x14ac:dyDescent="0.35">
      <c r="E25660" s="35"/>
      <c r="J25660" s="41"/>
    </row>
    <row r="25661" spans="5:10" s="34" customFormat="1" x14ac:dyDescent="0.35">
      <c r="E25661" s="35"/>
      <c r="J25661" s="41"/>
    </row>
    <row r="25662" spans="5:10" s="34" customFormat="1" x14ac:dyDescent="0.35">
      <c r="E25662" s="35"/>
      <c r="J25662" s="41"/>
    </row>
    <row r="25663" spans="5:10" s="34" customFormat="1" x14ac:dyDescent="0.35">
      <c r="E25663" s="35"/>
      <c r="J25663" s="41"/>
    </row>
    <row r="25664" spans="5:10" s="34" customFormat="1" x14ac:dyDescent="0.35">
      <c r="E25664" s="35"/>
      <c r="J25664" s="41"/>
    </row>
    <row r="25665" spans="5:10" s="34" customFormat="1" x14ac:dyDescent="0.35">
      <c r="E25665" s="35"/>
      <c r="J25665" s="41"/>
    </row>
    <row r="25666" spans="5:10" s="34" customFormat="1" x14ac:dyDescent="0.35">
      <c r="E25666" s="35"/>
      <c r="J25666" s="41"/>
    </row>
    <row r="25667" spans="5:10" s="34" customFormat="1" x14ac:dyDescent="0.35">
      <c r="E25667" s="35"/>
      <c r="J25667" s="41"/>
    </row>
    <row r="25668" spans="5:10" s="34" customFormat="1" x14ac:dyDescent="0.35">
      <c r="E25668" s="35"/>
      <c r="J25668" s="41"/>
    </row>
    <row r="25669" spans="5:10" s="34" customFormat="1" x14ac:dyDescent="0.35">
      <c r="E25669" s="35"/>
      <c r="J25669" s="41"/>
    </row>
    <row r="25670" spans="5:10" s="34" customFormat="1" x14ac:dyDescent="0.35">
      <c r="E25670" s="35"/>
      <c r="J25670" s="41"/>
    </row>
    <row r="25671" spans="5:10" s="34" customFormat="1" x14ac:dyDescent="0.35">
      <c r="E25671" s="35"/>
      <c r="J25671" s="41"/>
    </row>
    <row r="25672" spans="5:10" s="34" customFormat="1" x14ac:dyDescent="0.35">
      <c r="E25672" s="35"/>
      <c r="J25672" s="41"/>
    </row>
    <row r="25673" spans="5:10" s="34" customFormat="1" x14ac:dyDescent="0.35">
      <c r="E25673" s="35"/>
      <c r="J25673" s="41"/>
    </row>
    <row r="25674" spans="5:10" s="34" customFormat="1" x14ac:dyDescent="0.35">
      <c r="E25674" s="35"/>
      <c r="J25674" s="41"/>
    </row>
    <row r="25675" spans="5:10" s="34" customFormat="1" x14ac:dyDescent="0.35">
      <c r="E25675" s="35"/>
      <c r="J25675" s="41"/>
    </row>
    <row r="25676" spans="5:10" s="34" customFormat="1" x14ac:dyDescent="0.35">
      <c r="E25676" s="35"/>
      <c r="J25676" s="41"/>
    </row>
    <row r="25677" spans="5:10" s="34" customFormat="1" x14ac:dyDescent="0.35">
      <c r="E25677" s="35"/>
      <c r="J25677" s="41"/>
    </row>
    <row r="25678" spans="5:10" s="34" customFormat="1" x14ac:dyDescent="0.35">
      <c r="E25678" s="35"/>
      <c r="J25678" s="41"/>
    </row>
    <row r="25679" spans="5:10" s="34" customFormat="1" x14ac:dyDescent="0.35">
      <c r="E25679" s="35"/>
      <c r="J25679" s="41"/>
    </row>
    <row r="25680" spans="5:10" s="34" customFormat="1" x14ac:dyDescent="0.35">
      <c r="E25680" s="35"/>
      <c r="J25680" s="41"/>
    </row>
    <row r="25681" spans="5:10" s="34" customFormat="1" x14ac:dyDescent="0.35">
      <c r="E25681" s="35"/>
      <c r="J25681" s="41"/>
    </row>
    <row r="25682" spans="5:10" s="34" customFormat="1" x14ac:dyDescent="0.35">
      <c r="E25682" s="35"/>
      <c r="J25682" s="41"/>
    </row>
    <row r="25683" spans="5:10" s="34" customFormat="1" x14ac:dyDescent="0.35">
      <c r="E25683" s="35"/>
      <c r="J25683" s="41"/>
    </row>
    <row r="25684" spans="5:10" s="34" customFormat="1" x14ac:dyDescent="0.35">
      <c r="E25684" s="35"/>
      <c r="J25684" s="41"/>
    </row>
    <row r="25685" spans="5:10" s="34" customFormat="1" x14ac:dyDescent="0.35">
      <c r="E25685" s="35"/>
      <c r="J25685" s="41"/>
    </row>
    <row r="25686" spans="5:10" s="34" customFormat="1" x14ac:dyDescent="0.35">
      <c r="E25686" s="35"/>
      <c r="J25686" s="41"/>
    </row>
    <row r="25687" spans="5:10" s="34" customFormat="1" x14ac:dyDescent="0.35">
      <c r="E25687" s="35"/>
      <c r="J25687" s="41"/>
    </row>
    <row r="25688" spans="5:10" s="34" customFormat="1" x14ac:dyDescent="0.35">
      <c r="E25688" s="35"/>
      <c r="J25688" s="41"/>
    </row>
    <row r="25689" spans="5:10" s="34" customFormat="1" x14ac:dyDescent="0.35">
      <c r="E25689" s="35"/>
      <c r="J25689" s="41"/>
    </row>
    <row r="25690" spans="5:10" s="34" customFormat="1" x14ac:dyDescent="0.35">
      <c r="E25690" s="35"/>
      <c r="J25690" s="41"/>
    </row>
    <row r="25691" spans="5:10" s="34" customFormat="1" x14ac:dyDescent="0.35">
      <c r="E25691" s="35"/>
      <c r="J25691" s="41"/>
    </row>
    <row r="25692" spans="5:10" s="34" customFormat="1" x14ac:dyDescent="0.35">
      <c r="E25692" s="35"/>
      <c r="J25692" s="41"/>
    </row>
    <row r="25693" spans="5:10" s="34" customFormat="1" x14ac:dyDescent="0.35">
      <c r="E25693" s="35"/>
      <c r="J25693" s="41"/>
    </row>
    <row r="25694" spans="5:10" s="34" customFormat="1" x14ac:dyDescent="0.35">
      <c r="E25694" s="35"/>
      <c r="J25694" s="41"/>
    </row>
    <row r="25695" spans="5:10" s="34" customFormat="1" x14ac:dyDescent="0.35">
      <c r="E25695" s="35"/>
      <c r="J25695" s="41"/>
    </row>
    <row r="25696" spans="5:10" s="34" customFormat="1" x14ac:dyDescent="0.35">
      <c r="E25696" s="35"/>
      <c r="J25696" s="41"/>
    </row>
    <row r="25697" spans="5:10" s="34" customFormat="1" x14ac:dyDescent="0.35">
      <c r="E25697" s="35"/>
      <c r="J25697" s="41"/>
    </row>
    <row r="25698" spans="5:10" s="34" customFormat="1" x14ac:dyDescent="0.35">
      <c r="E25698" s="35"/>
      <c r="J25698" s="41"/>
    </row>
    <row r="25699" spans="5:10" s="34" customFormat="1" x14ac:dyDescent="0.35">
      <c r="E25699" s="35"/>
      <c r="J25699" s="41"/>
    </row>
    <row r="25700" spans="5:10" s="34" customFormat="1" x14ac:dyDescent="0.35">
      <c r="E25700" s="35"/>
      <c r="J25700" s="41"/>
    </row>
    <row r="25701" spans="5:10" s="34" customFormat="1" x14ac:dyDescent="0.35">
      <c r="E25701" s="35"/>
      <c r="J25701" s="41"/>
    </row>
    <row r="25702" spans="5:10" s="34" customFormat="1" x14ac:dyDescent="0.35">
      <c r="E25702" s="35"/>
      <c r="J25702" s="41"/>
    </row>
    <row r="25703" spans="5:10" s="34" customFormat="1" x14ac:dyDescent="0.35">
      <c r="E25703" s="35"/>
      <c r="J25703" s="41"/>
    </row>
    <row r="25704" spans="5:10" s="34" customFormat="1" x14ac:dyDescent="0.35">
      <c r="E25704" s="35"/>
      <c r="J25704" s="41"/>
    </row>
    <row r="25705" spans="5:10" s="34" customFormat="1" x14ac:dyDescent="0.35">
      <c r="E25705" s="35"/>
      <c r="J25705" s="41"/>
    </row>
    <row r="25706" spans="5:10" s="34" customFormat="1" x14ac:dyDescent="0.35">
      <c r="E25706" s="35"/>
      <c r="J25706" s="41"/>
    </row>
    <row r="25707" spans="5:10" s="34" customFormat="1" x14ac:dyDescent="0.35">
      <c r="E25707" s="35"/>
      <c r="J25707" s="41"/>
    </row>
    <row r="25708" spans="5:10" s="34" customFormat="1" x14ac:dyDescent="0.35">
      <c r="E25708" s="35"/>
      <c r="J25708" s="41"/>
    </row>
    <row r="25709" spans="5:10" s="34" customFormat="1" x14ac:dyDescent="0.35">
      <c r="E25709" s="35"/>
      <c r="J25709" s="41"/>
    </row>
    <row r="25710" spans="5:10" s="34" customFormat="1" x14ac:dyDescent="0.35">
      <c r="E25710" s="35"/>
      <c r="J25710" s="41"/>
    </row>
    <row r="25711" spans="5:10" s="34" customFormat="1" x14ac:dyDescent="0.35">
      <c r="E25711" s="35"/>
      <c r="J25711" s="41"/>
    </row>
    <row r="25712" spans="5:10" s="34" customFormat="1" x14ac:dyDescent="0.35">
      <c r="E25712" s="35"/>
      <c r="J25712" s="41"/>
    </row>
    <row r="25713" spans="5:10" s="34" customFormat="1" x14ac:dyDescent="0.35">
      <c r="E25713" s="35"/>
      <c r="J25713" s="41"/>
    </row>
    <row r="25714" spans="5:10" s="34" customFormat="1" x14ac:dyDescent="0.35">
      <c r="E25714" s="35"/>
      <c r="J25714" s="41"/>
    </row>
    <row r="25715" spans="5:10" s="34" customFormat="1" x14ac:dyDescent="0.35">
      <c r="E25715" s="35"/>
      <c r="J25715" s="41"/>
    </row>
    <row r="25716" spans="5:10" s="34" customFormat="1" x14ac:dyDescent="0.35">
      <c r="E25716" s="35"/>
      <c r="J25716" s="41"/>
    </row>
    <row r="25717" spans="5:10" s="34" customFormat="1" x14ac:dyDescent="0.35">
      <c r="E25717" s="35"/>
      <c r="J25717" s="41"/>
    </row>
    <row r="25718" spans="5:10" s="34" customFormat="1" x14ac:dyDescent="0.35">
      <c r="E25718" s="35"/>
      <c r="J25718" s="41"/>
    </row>
    <row r="25719" spans="5:10" s="34" customFormat="1" x14ac:dyDescent="0.35">
      <c r="E25719" s="35"/>
      <c r="J25719" s="41"/>
    </row>
    <row r="25720" spans="5:10" s="34" customFormat="1" x14ac:dyDescent="0.35">
      <c r="E25720" s="35"/>
      <c r="J25720" s="41"/>
    </row>
    <row r="25721" spans="5:10" s="34" customFormat="1" x14ac:dyDescent="0.35">
      <c r="E25721" s="35"/>
      <c r="J25721" s="41"/>
    </row>
    <row r="25722" spans="5:10" s="34" customFormat="1" x14ac:dyDescent="0.35">
      <c r="E25722" s="35"/>
      <c r="J25722" s="41"/>
    </row>
    <row r="25723" spans="5:10" s="34" customFormat="1" x14ac:dyDescent="0.35">
      <c r="E25723" s="35"/>
      <c r="J25723" s="41"/>
    </row>
    <row r="25724" spans="5:10" s="34" customFormat="1" x14ac:dyDescent="0.35">
      <c r="E25724" s="35"/>
      <c r="J25724" s="41"/>
    </row>
    <row r="25725" spans="5:10" s="34" customFormat="1" x14ac:dyDescent="0.35">
      <c r="E25725" s="35"/>
      <c r="J25725" s="41"/>
    </row>
    <row r="25726" spans="5:10" s="34" customFormat="1" x14ac:dyDescent="0.35">
      <c r="E25726" s="35"/>
      <c r="J25726" s="41"/>
    </row>
    <row r="25727" spans="5:10" s="34" customFormat="1" x14ac:dyDescent="0.35">
      <c r="E25727" s="35"/>
      <c r="J25727" s="41"/>
    </row>
    <row r="25728" spans="5:10" s="34" customFormat="1" x14ac:dyDescent="0.35">
      <c r="E25728" s="35"/>
      <c r="J25728" s="41"/>
    </row>
    <row r="25729" spans="5:10" s="34" customFormat="1" x14ac:dyDescent="0.35">
      <c r="E25729" s="35"/>
      <c r="J25729" s="41"/>
    </row>
    <row r="25730" spans="5:10" s="34" customFormat="1" x14ac:dyDescent="0.35">
      <c r="E25730" s="35"/>
      <c r="J25730" s="41"/>
    </row>
    <row r="25731" spans="5:10" s="34" customFormat="1" x14ac:dyDescent="0.35">
      <c r="E25731" s="35"/>
      <c r="J25731" s="41"/>
    </row>
    <row r="25732" spans="5:10" s="34" customFormat="1" x14ac:dyDescent="0.35">
      <c r="E25732" s="35"/>
      <c r="J25732" s="41"/>
    </row>
    <row r="25733" spans="5:10" s="34" customFormat="1" x14ac:dyDescent="0.35">
      <c r="E25733" s="35"/>
      <c r="J25733" s="41"/>
    </row>
    <row r="25734" spans="5:10" s="34" customFormat="1" x14ac:dyDescent="0.35">
      <c r="E25734" s="35"/>
      <c r="J25734" s="41"/>
    </row>
    <row r="25735" spans="5:10" s="34" customFormat="1" x14ac:dyDescent="0.35">
      <c r="E25735" s="35"/>
      <c r="J25735" s="41"/>
    </row>
    <row r="25736" spans="5:10" s="34" customFormat="1" x14ac:dyDescent="0.35">
      <c r="E25736" s="35"/>
      <c r="J25736" s="41"/>
    </row>
    <row r="25737" spans="5:10" s="34" customFormat="1" x14ac:dyDescent="0.35">
      <c r="E25737" s="35"/>
      <c r="J25737" s="41"/>
    </row>
    <row r="25738" spans="5:10" s="34" customFormat="1" x14ac:dyDescent="0.35">
      <c r="E25738" s="35"/>
      <c r="J25738" s="41"/>
    </row>
    <row r="25739" spans="5:10" s="34" customFormat="1" x14ac:dyDescent="0.35">
      <c r="E25739" s="35"/>
      <c r="J25739" s="41"/>
    </row>
    <row r="25740" spans="5:10" s="34" customFormat="1" x14ac:dyDescent="0.35">
      <c r="E25740" s="35"/>
      <c r="J25740" s="41"/>
    </row>
    <row r="25741" spans="5:10" s="34" customFormat="1" x14ac:dyDescent="0.35">
      <c r="E25741" s="35"/>
      <c r="J25741" s="41"/>
    </row>
    <row r="25742" spans="5:10" s="34" customFormat="1" x14ac:dyDescent="0.35">
      <c r="E25742" s="35"/>
      <c r="J25742" s="41"/>
    </row>
    <row r="25743" spans="5:10" s="34" customFormat="1" x14ac:dyDescent="0.35">
      <c r="E25743" s="35"/>
      <c r="J25743" s="41"/>
    </row>
    <row r="25744" spans="5:10" s="34" customFormat="1" x14ac:dyDescent="0.35">
      <c r="E25744" s="35"/>
      <c r="J25744" s="41"/>
    </row>
    <row r="25745" spans="5:10" s="34" customFormat="1" x14ac:dyDescent="0.35">
      <c r="E25745" s="35"/>
      <c r="J25745" s="41"/>
    </row>
    <row r="25746" spans="5:10" s="34" customFormat="1" x14ac:dyDescent="0.35">
      <c r="E25746" s="35"/>
      <c r="J25746" s="41"/>
    </row>
    <row r="25747" spans="5:10" s="34" customFormat="1" x14ac:dyDescent="0.35">
      <c r="E25747" s="35"/>
      <c r="J25747" s="41"/>
    </row>
    <row r="25748" spans="5:10" s="34" customFormat="1" x14ac:dyDescent="0.35">
      <c r="E25748" s="35"/>
      <c r="J25748" s="41"/>
    </row>
    <row r="25749" spans="5:10" s="34" customFormat="1" x14ac:dyDescent="0.35">
      <c r="E25749" s="35"/>
      <c r="J25749" s="41"/>
    </row>
    <row r="25750" spans="5:10" s="34" customFormat="1" x14ac:dyDescent="0.35">
      <c r="E25750" s="35"/>
      <c r="J25750" s="41"/>
    </row>
    <row r="25751" spans="5:10" s="34" customFormat="1" x14ac:dyDescent="0.35">
      <c r="E25751" s="35"/>
      <c r="J25751" s="41"/>
    </row>
    <row r="25752" spans="5:10" s="34" customFormat="1" x14ac:dyDescent="0.35">
      <c r="E25752" s="35"/>
      <c r="J25752" s="41"/>
    </row>
    <row r="25753" spans="5:10" s="34" customFormat="1" x14ac:dyDescent="0.35">
      <c r="E25753" s="35"/>
      <c r="J25753" s="41"/>
    </row>
    <row r="25754" spans="5:10" s="34" customFormat="1" x14ac:dyDescent="0.35">
      <c r="E25754" s="35"/>
      <c r="J25754" s="41"/>
    </row>
    <row r="25755" spans="5:10" s="34" customFormat="1" x14ac:dyDescent="0.35">
      <c r="E25755" s="35"/>
      <c r="J25755" s="41"/>
    </row>
    <row r="25756" spans="5:10" s="34" customFormat="1" x14ac:dyDescent="0.35">
      <c r="E25756" s="35"/>
      <c r="J25756" s="41"/>
    </row>
    <row r="25757" spans="5:10" s="34" customFormat="1" x14ac:dyDescent="0.35">
      <c r="E25757" s="35"/>
      <c r="J25757" s="41"/>
    </row>
    <row r="25758" spans="5:10" s="34" customFormat="1" x14ac:dyDescent="0.35">
      <c r="E25758" s="35"/>
      <c r="J25758" s="41"/>
    </row>
    <row r="25759" spans="5:10" s="34" customFormat="1" x14ac:dyDescent="0.35">
      <c r="E25759" s="35"/>
      <c r="J25759" s="41"/>
    </row>
    <row r="25760" spans="5:10" s="34" customFormat="1" x14ac:dyDescent="0.35">
      <c r="E25760" s="35"/>
      <c r="J25760" s="41"/>
    </row>
    <row r="25761" spans="5:10" s="34" customFormat="1" x14ac:dyDescent="0.35">
      <c r="E25761" s="35"/>
      <c r="J25761" s="41"/>
    </row>
    <row r="25762" spans="5:10" s="34" customFormat="1" x14ac:dyDescent="0.35">
      <c r="E25762" s="35"/>
      <c r="J25762" s="41"/>
    </row>
    <row r="25763" spans="5:10" s="34" customFormat="1" x14ac:dyDescent="0.35">
      <c r="E25763" s="35"/>
      <c r="J25763" s="41"/>
    </row>
    <row r="25764" spans="5:10" s="34" customFormat="1" x14ac:dyDescent="0.35">
      <c r="E25764" s="35"/>
      <c r="J25764" s="41"/>
    </row>
    <row r="25765" spans="5:10" s="34" customFormat="1" x14ac:dyDescent="0.35">
      <c r="E25765" s="35"/>
      <c r="J25765" s="41"/>
    </row>
    <row r="25766" spans="5:10" s="34" customFormat="1" x14ac:dyDescent="0.35">
      <c r="E25766" s="35"/>
      <c r="J25766" s="41"/>
    </row>
    <row r="25767" spans="5:10" s="34" customFormat="1" x14ac:dyDescent="0.35">
      <c r="E25767" s="35"/>
      <c r="J25767" s="41"/>
    </row>
    <row r="25768" spans="5:10" s="34" customFormat="1" x14ac:dyDescent="0.35">
      <c r="E25768" s="35"/>
      <c r="J25768" s="41"/>
    </row>
    <row r="25769" spans="5:10" s="34" customFormat="1" x14ac:dyDescent="0.35">
      <c r="E25769" s="35"/>
      <c r="J25769" s="41"/>
    </row>
    <row r="25770" spans="5:10" s="34" customFormat="1" x14ac:dyDescent="0.35">
      <c r="E25770" s="35"/>
      <c r="J25770" s="41"/>
    </row>
    <row r="25771" spans="5:10" s="34" customFormat="1" x14ac:dyDescent="0.35">
      <c r="E25771" s="35"/>
      <c r="J25771" s="41"/>
    </row>
    <row r="25772" spans="5:10" s="34" customFormat="1" x14ac:dyDescent="0.35">
      <c r="E25772" s="35"/>
      <c r="J25772" s="41"/>
    </row>
    <row r="25773" spans="5:10" s="34" customFormat="1" x14ac:dyDescent="0.35">
      <c r="E25773" s="35"/>
      <c r="J25773" s="41"/>
    </row>
    <row r="25774" spans="5:10" s="34" customFormat="1" x14ac:dyDescent="0.35">
      <c r="E25774" s="35"/>
      <c r="J25774" s="41"/>
    </row>
    <row r="25775" spans="5:10" s="34" customFormat="1" x14ac:dyDescent="0.35">
      <c r="E25775" s="35"/>
      <c r="J25775" s="41"/>
    </row>
    <row r="25776" spans="5:10" s="34" customFormat="1" x14ac:dyDescent="0.35">
      <c r="E25776" s="35"/>
      <c r="J25776" s="41"/>
    </row>
    <row r="25777" spans="5:10" s="34" customFormat="1" x14ac:dyDescent="0.35">
      <c r="E25777" s="35"/>
      <c r="J25777" s="41"/>
    </row>
    <row r="25778" spans="5:10" s="34" customFormat="1" x14ac:dyDescent="0.35">
      <c r="E25778" s="35"/>
      <c r="J25778" s="41"/>
    </row>
    <row r="25779" spans="5:10" s="34" customFormat="1" x14ac:dyDescent="0.35">
      <c r="E25779" s="35"/>
      <c r="J25779" s="41"/>
    </row>
    <row r="25780" spans="5:10" s="34" customFormat="1" x14ac:dyDescent="0.35">
      <c r="E25780" s="35"/>
      <c r="J25780" s="41"/>
    </row>
    <row r="25781" spans="5:10" s="34" customFormat="1" x14ac:dyDescent="0.35">
      <c r="E25781" s="35"/>
      <c r="J25781" s="41"/>
    </row>
    <row r="25782" spans="5:10" s="34" customFormat="1" x14ac:dyDescent="0.35">
      <c r="E25782" s="35"/>
      <c r="J25782" s="41"/>
    </row>
    <row r="25783" spans="5:10" s="34" customFormat="1" x14ac:dyDescent="0.35">
      <c r="E25783" s="35"/>
      <c r="J25783" s="41"/>
    </row>
    <row r="25784" spans="5:10" s="34" customFormat="1" x14ac:dyDescent="0.35">
      <c r="E25784" s="35"/>
      <c r="J25784" s="41"/>
    </row>
    <row r="25785" spans="5:10" s="34" customFormat="1" x14ac:dyDescent="0.35">
      <c r="E25785" s="35"/>
      <c r="J25785" s="41"/>
    </row>
    <row r="25786" spans="5:10" s="34" customFormat="1" x14ac:dyDescent="0.35">
      <c r="E25786" s="35"/>
      <c r="J25786" s="41"/>
    </row>
    <row r="25787" spans="5:10" s="34" customFormat="1" x14ac:dyDescent="0.35">
      <c r="E25787" s="35"/>
      <c r="J25787" s="41"/>
    </row>
    <row r="25788" spans="5:10" s="34" customFormat="1" x14ac:dyDescent="0.35">
      <c r="E25788" s="35"/>
      <c r="J25788" s="41"/>
    </row>
    <row r="25789" spans="5:10" s="34" customFormat="1" x14ac:dyDescent="0.35">
      <c r="E25789" s="35"/>
      <c r="J25789" s="41"/>
    </row>
    <row r="25790" spans="5:10" s="34" customFormat="1" x14ac:dyDescent="0.35">
      <c r="E25790" s="35"/>
      <c r="J25790" s="41"/>
    </row>
    <row r="25791" spans="5:10" s="34" customFormat="1" x14ac:dyDescent="0.35">
      <c r="E25791" s="35"/>
      <c r="J25791" s="41"/>
    </row>
    <row r="25792" spans="5:10" s="34" customFormat="1" x14ac:dyDescent="0.35">
      <c r="E25792" s="35"/>
      <c r="J25792" s="41"/>
    </row>
    <row r="25793" spans="5:10" s="34" customFormat="1" x14ac:dyDescent="0.35">
      <c r="E25793" s="35"/>
      <c r="J25793" s="41"/>
    </row>
    <row r="25794" spans="5:10" s="34" customFormat="1" x14ac:dyDescent="0.35">
      <c r="E25794" s="35"/>
      <c r="J25794" s="41"/>
    </row>
    <row r="25795" spans="5:10" s="34" customFormat="1" x14ac:dyDescent="0.35">
      <c r="E25795" s="35"/>
      <c r="J25795" s="41"/>
    </row>
    <row r="25796" spans="5:10" s="34" customFormat="1" x14ac:dyDescent="0.35">
      <c r="E25796" s="35"/>
      <c r="J25796" s="41"/>
    </row>
    <row r="25797" spans="5:10" s="34" customFormat="1" x14ac:dyDescent="0.35">
      <c r="E25797" s="35"/>
      <c r="J25797" s="41"/>
    </row>
    <row r="25798" spans="5:10" s="34" customFormat="1" x14ac:dyDescent="0.35">
      <c r="E25798" s="35"/>
      <c r="J25798" s="41"/>
    </row>
    <row r="25799" spans="5:10" s="34" customFormat="1" x14ac:dyDescent="0.35">
      <c r="E25799" s="35"/>
      <c r="J25799" s="41"/>
    </row>
    <row r="25800" spans="5:10" s="34" customFormat="1" x14ac:dyDescent="0.35">
      <c r="E25800" s="35"/>
      <c r="J25800" s="41"/>
    </row>
    <row r="25801" spans="5:10" s="34" customFormat="1" x14ac:dyDescent="0.35">
      <c r="E25801" s="35"/>
      <c r="J25801" s="41"/>
    </row>
    <row r="25802" spans="5:10" s="34" customFormat="1" x14ac:dyDescent="0.35">
      <c r="E25802" s="35"/>
      <c r="J25802" s="41"/>
    </row>
    <row r="25803" spans="5:10" s="34" customFormat="1" x14ac:dyDescent="0.35">
      <c r="E25803" s="35"/>
      <c r="J25803" s="41"/>
    </row>
    <row r="25804" spans="5:10" s="34" customFormat="1" x14ac:dyDescent="0.35">
      <c r="E25804" s="35"/>
      <c r="J25804" s="41"/>
    </row>
    <row r="25805" spans="5:10" s="34" customFormat="1" x14ac:dyDescent="0.35">
      <c r="E25805" s="35"/>
      <c r="J25805" s="41"/>
    </row>
    <row r="25806" spans="5:10" s="34" customFormat="1" x14ac:dyDescent="0.35">
      <c r="E25806" s="35"/>
      <c r="J25806" s="41"/>
    </row>
    <row r="25807" spans="5:10" s="34" customFormat="1" x14ac:dyDescent="0.35">
      <c r="E25807" s="35"/>
      <c r="J25807" s="41"/>
    </row>
    <row r="25808" spans="5:10" s="34" customFormat="1" x14ac:dyDescent="0.35">
      <c r="E25808" s="35"/>
      <c r="J25808" s="41"/>
    </row>
    <row r="25809" spans="5:10" s="34" customFormat="1" x14ac:dyDescent="0.35">
      <c r="E25809" s="35"/>
      <c r="J25809" s="41"/>
    </row>
    <row r="25810" spans="5:10" s="34" customFormat="1" x14ac:dyDescent="0.35">
      <c r="E25810" s="35"/>
      <c r="J25810" s="41"/>
    </row>
    <row r="25811" spans="5:10" s="34" customFormat="1" x14ac:dyDescent="0.35">
      <c r="E25811" s="35"/>
      <c r="J25811" s="41"/>
    </row>
    <row r="25812" spans="5:10" s="34" customFormat="1" x14ac:dyDescent="0.35">
      <c r="E25812" s="35"/>
      <c r="J25812" s="41"/>
    </row>
    <row r="25813" spans="5:10" s="34" customFormat="1" x14ac:dyDescent="0.35">
      <c r="E25813" s="35"/>
      <c r="J25813" s="41"/>
    </row>
    <row r="25814" spans="5:10" s="34" customFormat="1" x14ac:dyDescent="0.35">
      <c r="E25814" s="35"/>
      <c r="J25814" s="41"/>
    </row>
    <row r="25815" spans="5:10" s="34" customFormat="1" x14ac:dyDescent="0.35">
      <c r="E25815" s="35"/>
      <c r="J25815" s="41"/>
    </row>
    <row r="25816" spans="5:10" s="34" customFormat="1" x14ac:dyDescent="0.35">
      <c r="E25816" s="35"/>
      <c r="J25816" s="41"/>
    </row>
    <row r="25817" spans="5:10" s="34" customFormat="1" x14ac:dyDescent="0.35">
      <c r="E25817" s="35"/>
      <c r="J25817" s="41"/>
    </row>
    <row r="25818" spans="5:10" s="34" customFormat="1" x14ac:dyDescent="0.35">
      <c r="E25818" s="35"/>
      <c r="J25818" s="41"/>
    </row>
    <row r="25819" spans="5:10" s="34" customFormat="1" x14ac:dyDescent="0.35">
      <c r="E25819" s="35"/>
      <c r="J25819" s="41"/>
    </row>
    <row r="25820" spans="5:10" s="34" customFormat="1" x14ac:dyDescent="0.35">
      <c r="E25820" s="35"/>
      <c r="J25820" s="41"/>
    </row>
    <row r="25821" spans="5:10" s="34" customFormat="1" x14ac:dyDescent="0.35">
      <c r="E25821" s="35"/>
      <c r="J25821" s="41"/>
    </row>
    <row r="25822" spans="5:10" s="34" customFormat="1" x14ac:dyDescent="0.35">
      <c r="E25822" s="35"/>
      <c r="J25822" s="41"/>
    </row>
    <row r="25823" spans="5:10" s="34" customFormat="1" x14ac:dyDescent="0.35">
      <c r="E25823" s="35"/>
      <c r="J25823" s="41"/>
    </row>
    <row r="25824" spans="5:10" s="34" customFormat="1" x14ac:dyDescent="0.35">
      <c r="E25824" s="35"/>
      <c r="J25824" s="41"/>
    </row>
    <row r="25825" spans="5:10" s="34" customFormat="1" x14ac:dyDescent="0.35">
      <c r="E25825" s="35"/>
      <c r="J25825" s="41"/>
    </row>
    <row r="25826" spans="5:10" s="34" customFormat="1" x14ac:dyDescent="0.35">
      <c r="E25826" s="35"/>
      <c r="J25826" s="41"/>
    </row>
    <row r="25827" spans="5:10" s="34" customFormat="1" x14ac:dyDescent="0.35">
      <c r="E25827" s="35"/>
      <c r="J25827" s="41"/>
    </row>
    <row r="25828" spans="5:10" s="34" customFormat="1" x14ac:dyDescent="0.35">
      <c r="E25828" s="35"/>
      <c r="J25828" s="41"/>
    </row>
    <row r="25829" spans="5:10" s="34" customFormat="1" x14ac:dyDescent="0.35">
      <c r="E25829" s="35"/>
      <c r="J25829" s="41"/>
    </row>
    <row r="25830" spans="5:10" s="34" customFormat="1" x14ac:dyDescent="0.35">
      <c r="E25830" s="35"/>
      <c r="J25830" s="41"/>
    </row>
    <row r="25831" spans="5:10" s="34" customFormat="1" x14ac:dyDescent="0.35">
      <c r="E25831" s="35"/>
      <c r="J25831" s="41"/>
    </row>
    <row r="25832" spans="5:10" s="34" customFormat="1" x14ac:dyDescent="0.35">
      <c r="E25832" s="35"/>
      <c r="J25832" s="41"/>
    </row>
    <row r="25833" spans="5:10" s="34" customFormat="1" x14ac:dyDescent="0.35">
      <c r="E25833" s="35"/>
      <c r="J25833" s="41"/>
    </row>
    <row r="25834" spans="5:10" s="34" customFormat="1" x14ac:dyDescent="0.35">
      <c r="E25834" s="35"/>
      <c r="J25834" s="41"/>
    </row>
    <row r="25835" spans="5:10" s="34" customFormat="1" x14ac:dyDescent="0.35">
      <c r="E25835" s="35"/>
      <c r="J25835" s="41"/>
    </row>
    <row r="25836" spans="5:10" s="34" customFormat="1" x14ac:dyDescent="0.35">
      <c r="E25836" s="35"/>
      <c r="J25836" s="41"/>
    </row>
    <row r="25837" spans="5:10" s="34" customFormat="1" x14ac:dyDescent="0.35">
      <c r="E25837" s="35"/>
      <c r="J25837" s="41"/>
    </row>
    <row r="25838" spans="5:10" s="34" customFormat="1" x14ac:dyDescent="0.35">
      <c r="E25838" s="35"/>
      <c r="J25838" s="41"/>
    </row>
    <row r="25839" spans="5:10" s="34" customFormat="1" x14ac:dyDescent="0.35">
      <c r="E25839" s="35"/>
      <c r="J25839" s="41"/>
    </row>
    <row r="25840" spans="5:10" s="34" customFormat="1" x14ac:dyDescent="0.35">
      <c r="E25840" s="35"/>
      <c r="J25840" s="41"/>
    </row>
    <row r="25841" spans="5:10" s="34" customFormat="1" x14ac:dyDescent="0.35">
      <c r="E25841" s="35"/>
      <c r="J25841" s="41"/>
    </row>
    <row r="25842" spans="5:10" s="34" customFormat="1" x14ac:dyDescent="0.35">
      <c r="E25842" s="35"/>
      <c r="J25842" s="41"/>
    </row>
    <row r="25843" spans="5:10" s="34" customFormat="1" x14ac:dyDescent="0.35">
      <c r="E25843" s="35"/>
      <c r="J25843" s="41"/>
    </row>
    <row r="25844" spans="5:10" s="34" customFormat="1" x14ac:dyDescent="0.35">
      <c r="E25844" s="35"/>
      <c r="J25844" s="41"/>
    </row>
    <row r="25845" spans="5:10" s="34" customFormat="1" x14ac:dyDescent="0.35">
      <c r="E25845" s="35"/>
      <c r="J25845" s="41"/>
    </row>
    <row r="25846" spans="5:10" s="34" customFormat="1" x14ac:dyDescent="0.35">
      <c r="E25846" s="35"/>
      <c r="J25846" s="41"/>
    </row>
    <row r="25847" spans="5:10" s="34" customFormat="1" x14ac:dyDescent="0.35">
      <c r="E25847" s="35"/>
      <c r="J25847" s="41"/>
    </row>
    <row r="25848" spans="5:10" s="34" customFormat="1" x14ac:dyDescent="0.35">
      <c r="E25848" s="35"/>
      <c r="J25848" s="41"/>
    </row>
    <row r="25849" spans="5:10" s="34" customFormat="1" x14ac:dyDescent="0.35">
      <c r="E25849" s="35"/>
      <c r="J25849" s="41"/>
    </row>
    <row r="25850" spans="5:10" s="34" customFormat="1" x14ac:dyDescent="0.35">
      <c r="E25850" s="35"/>
      <c r="J25850" s="41"/>
    </row>
    <row r="25851" spans="5:10" s="34" customFormat="1" x14ac:dyDescent="0.35">
      <c r="E25851" s="35"/>
      <c r="J25851" s="41"/>
    </row>
    <row r="25852" spans="5:10" s="34" customFormat="1" x14ac:dyDescent="0.35">
      <c r="E25852" s="35"/>
      <c r="J25852" s="41"/>
    </row>
    <row r="25853" spans="5:10" s="34" customFormat="1" x14ac:dyDescent="0.35">
      <c r="E25853" s="35"/>
      <c r="J25853" s="41"/>
    </row>
    <row r="25854" spans="5:10" s="34" customFormat="1" x14ac:dyDescent="0.35">
      <c r="E25854" s="35"/>
      <c r="J25854" s="41"/>
    </row>
    <row r="25855" spans="5:10" s="34" customFormat="1" x14ac:dyDescent="0.35">
      <c r="E25855" s="35"/>
      <c r="J25855" s="41"/>
    </row>
    <row r="25856" spans="5:10" s="34" customFormat="1" x14ac:dyDescent="0.35">
      <c r="E25856" s="35"/>
      <c r="J25856" s="41"/>
    </row>
    <row r="25857" spans="5:10" s="34" customFormat="1" x14ac:dyDescent="0.35">
      <c r="E25857" s="35"/>
      <c r="J25857" s="41"/>
    </row>
    <row r="25858" spans="5:10" s="34" customFormat="1" x14ac:dyDescent="0.35">
      <c r="E25858" s="35"/>
      <c r="J25858" s="41"/>
    </row>
    <row r="25859" spans="5:10" s="34" customFormat="1" x14ac:dyDescent="0.35">
      <c r="E25859" s="35"/>
      <c r="J25859" s="41"/>
    </row>
    <row r="25860" spans="5:10" s="34" customFormat="1" x14ac:dyDescent="0.35">
      <c r="E25860" s="35"/>
      <c r="J25860" s="41"/>
    </row>
    <row r="25861" spans="5:10" s="34" customFormat="1" x14ac:dyDescent="0.35">
      <c r="E25861" s="35"/>
      <c r="J25861" s="41"/>
    </row>
    <row r="25862" spans="5:10" s="34" customFormat="1" x14ac:dyDescent="0.35">
      <c r="E25862" s="35"/>
      <c r="J25862" s="41"/>
    </row>
    <row r="25863" spans="5:10" s="34" customFormat="1" x14ac:dyDescent="0.35">
      <c r="E25863" s="35"/>
      <c r="J25863" s="41"/>
    </row>
    <row r="25864" spans="5:10" s="34" customFormat="1" x14ac:dyDescent="0.35">
      <c r="E25864" s="35"/>
      <c r="J25864" s="41"/>
    </row>
    <row r="25865" spans="5:10" s="34" customFormat="1" x14ac:dyDescent="0.35">
      <c r="E25865" s="35"/>
      <c r="J25865" s="41"/>
    </row>
    <row r="25866" spans="5:10" s="34" customFormat="1" x14ac:dyDescent="0.35">
      <c r="E25866" s="35"/>
      <c r="J25866" s="41"/>
    </row>
    <row r="25867" spans="5:10" s="34" customFormat="1" x14ac:dyDescent="0.35">
      <c r="E25867" s="35"/>
      <c r="J25867" s="41"/>
    </row>
    <row r="25868" spans="5:10" s="34" customFormat="1" x14ac:dyDescent="0.35">
      <c r="E25868" s="35"/>
      <c r="J25868" s="41"/>
    </row>
    <row r="25869" spans="5:10" s="34" customFormat="1" x14ac:dyDescent="0.35">
      <c r="E25869" s="35"/>
      <c r="J25869" s="41"/>
    </row>
    <row r="25870" spans="5:10" s="34" customFormat="1" x14ac:dyDescent="0.35">
      <c r="E25870" s="35"/>
      <c r="J25870" s="41"/>
    </row>
    <row r="25871" spans="5:10" s="34" customFormat="1" x14ac:dyDescent="0.35">
      <c r="E25871" s="35"/>
      <c r="J25871" s="41"/>
    </row>
    <row r="25872" spans="5:10" s="34" customFormat="1" x14ac:dyDescent="0.35">
      <c r="E25872" s="35"/>
      <c r="J25872" s="41"/>
    </row>
    <row r="25873" spans="5:10" s="34" customFormat="1" x14ac:dyDescent="0.35">
      <c r="E25873" s="35"/>
      <c r="J25873" s="41"/>
    </row>
    <row r="25874" spans="5:10" s="34" customFormat="1" x14ac:dyDescent="0.35">
      <c r="E25874" s="35"/>
      <c r="J25874" s="41"/>
    </row>
    <row r="25875" spans="5:10" s="34" customFormat="1" x14ac:dyDescent="0.35">
      <c r="E25875" s="35"/>
      <c r="J25875" s="41"/>
    </row>
    <row r="25876" spans="5:10" s="34" customFormat="1" x14ac:dyDescent="0.35">
      <c r="E25876" s="35"/>
      <c r="J25876" s="41"/>
    </row>
    <row r="25877" spans="5:10" s="34" customFormat="1" x14ac:dyDescent="0.35">
      <c r="E25877" s="35"/>
      <c r="J25877" s="41"/>
    </row>
    <row r="25878" spans="5:10" s="34" customFormat="1" x14ac:dyDescent="0.35">
      <c r="E25878" s="35"/>
      <c r="J25878" s="41"/>
    </row>
    <row r="25879" spans="5:10" s="34" customFormat="1" x14ac:dyDescent="0.35">
      <c r="E25879" s="35"/>
      <c r="J25879" s="41"/>
    </row>
    <row r="25880" spans="5:10" s="34" customFormat="1" x14ac:dyDescent="0.35">
      <c r="E25880" s="35"/>
      <c r="J25880" s="41"/>
    </row>
    <row r="25881" spans="5:10" s="34" customFormat="1" x14ac:dyDescent="0.35">
      <c r="E25881" s="35"/>
      <c r="J25881" s="41"/>
    </row>
    <row r="25882" spans="5:10" s="34" customFormat="1" x14ac:dyDescent="0.35">
      <c r="E25882" s="35"/>
      <c r="J25882" s="41"/>
    </row>
    <row r="25883" spans="5:10" s="34" customFormat="1" x14ac:dyDescent="0.35">
      <c r="E25883" s="35"/>
      <c r="J25883" s="41"/>
    </row>
    <row r="25884" spans="5:10" s="34" customFormat="1" x14ac:dyDescent="0.35">
      <c r="E25884" s="35"/>
      <c r="J25884" s="41"/>
    </row>
    <row r="25885" spans="5:10" s="34" customFormat="1" x14ac:dyDescent="0.35">
      <c r="E25885" s="35"/>
      <c r="J25885" s="41"/>
    </row>
    <row r="25886" spans="5:10" s="34" customFormat="1" x14ac:dyDescent="0.35">
      <c r="E25886" s="35"/>
      <c r="J25886" s="41"/>
    </row>
    <row r="25887" spans="5:10" s="34" customFormat="1" x14ac:dyDescent="0.35">
      <c r="E25887" s="35"/>
      <c r="J25887" s="41"/>
    </row>
    <row r="25888" spans="5:10" s="34" customFormat="1" x14ac:dyDescent="0.35">
      <c r="E25888" s="35"/>
      <c r="J25888" s="41"/>
    </row>
    <row r="25889" spans="5:10" s="34" customFormat="1" x14ac:dyDescent="0.35">
      <c r="E25889" s="35"/>
      <c r="J25889" s="41"/>
    </row>
    <row r="25890" spans="5:10" s="34" customFormat="1" x14ac:dyDescent="0.35">
      <c r="E25890" s="35"/>
      <c r="J25890" s="41"/>
    </row>
    <row r="25891" spans="5:10" s="34" customFormat="1" x14ac:dyDescent="0.35">
      <c r="E25891" s="35"/>
      <c r="J25891" s="41"/>
    </row>
    <row r="25892" spans="5:10" s="34" customFormat="1" x14ac:dyDescent="0.35">
      <c r="E25892" s="35"/>
      <c r="J25892" s="41"/>
    </row>
    <row r="25893" spans="5:10" s="34" customFormat="1" x14ac:dyDescent="0.35">
      <c r="E25893" s="35"/>
      <c r="J25893" s="41"/>
    </row>
    <row r="25894" spans="5:10" s="34" customFormat="1" x14ac:dyDescent="0.35">
      <c r="E25894" s="35"/>
      <c r="J25894" s="41"/>
    </row>
    <row r="25895" spans="5:10" s="34" customFormat="1" x14ac:dyDescent="0.35">
      <c r="E25895" s="35"/>
      <c r="J25895" s="41"/>
    </row>
    <row r="25896" spans="5:10" s="34" customFormat="1" x14ac:dyDescent="0.35">
      <c r="E25896" s="35"/>
      <c r="J25896" s="41"/>
    </row>
    <row r="25897" spans="5:10" s="34" customFormat="1" x14ac:dyDescent="0.35">
      <c r="E25897" s="35"/>
      <c r="J25897" s="41"/>
    </row>
    <row r="25898" spans="5:10" s="34" customFormat="1" x14ac:dyDescent="0.35">
      <c r="E25898" s="35"/>
      <c r="J25898" s="41"/>
    </row>
    <row r="25899" spans="5:10" s="34" customFormat="1" x14ac:dyDescent="0.35">
      <c r="E25899" s="35"/>
      <c r="J25899" s="41"/>
    </row>
    <row r="25900" spans="5:10" s="34" customFormat="1" x14ac:dyDescent="0.35">
      <c r="E25900" s="35"/>
      <c r="J25900" s="41"/>
    </row>
    <row r="25901" spans="5:10" s="34" customFormat="1" x14ac:dyDescent="0.35">
      <c r="E25901" s="35"/>
      <c r="J25901" s="41"/>
    </row>
    <row r="25902" spans="5:10" s="34" customFormat="1" x14ac:dyDescent="0.35">
      <c r="E25902" s="35"/>
      <c r="J25902" s="41"/>
    </row>
    <row r="25903" spans="5:10" s="34" customFormat="1" x14ac:dyDescent="0.35">
      <c r="E25903" s="35"/>
      <c r="J25903" s="41"/>
    </row>
    <row r="25904" spans="5:10" s="34" customFormat="1" x14ac:dyDescent="0.35">
      <c r="E25904" s="35"/>
      <c r="J25904" s="41"/>
    </row>
    <row r="25905" spans="5:10" s="34" customFormat="1" x14ac:dyDescent="0.35">
      <c r="E25905" s="35"/>
      <c r="J25905" s="41"/>
    </row>
    <row r="25906" spans="5:10" s="34" customFormat="1" x14ac:dyDescent="0.35">
      <c r="E25906" s="35"/>
      <c r="J25906" s="41"/>
    </row>
    <row r="25907" spans="5:10" s="34" customFormat="1" x14ac:dyDescent="0.35">
      <c r="E25907" s="35"/>
      <c r="J25907" s="41"/>
    </row>
    <row r="25908" spans="5:10" s="34" customFormat="1" x14ac:dyDescent="0.35">
      <c r="E25908" s="35"/>
      <c r="J25908" s="41"/>
    </row>
    <row r="25909" spans="5:10" s="34" customFormat="1" x14ac:dyDescent="0.35">
      <c r="E25909" s="35"/>
      <c r="J25909" s="41"/>
    </row>
    <row r="25910" spans="5:10" s="34" customFormat="1" x14ac:dyDescent="0.35">
      <c r="E25910" s="35"/>
      <c r="J25910" s="41"/>
    </row>
    <row r="25911" spans="5:10" s="34" customFormat="1" x14ac:dyDescent="0.35">
      <c r="E25911" s="35"/>
      <c r="J25911" s="41"/>
    </row>
    <row r="25912" spans="5:10" s="34" customFormat="1" x14ac:dyDescent="0.35">
      <c r="E25912" s="35"/>
      <c r="J25912" s="41"/>
    </row>
    <row r="25913" spans="5:10" s="34" customFormat="1" x14ac:dyDescent="0.35">
      <c r="E25913" s="35"/>
      <c r="J25913" s="41"/>
    </row>
    <row r="25914" spans="5:10" s="34" customFormat="1" x14ac:dyDescent="0.35">
      <c r="E25914" s="35"/>
      <c r="J25914" s="41"/>
    </row>
    <row r="25915" spans="5:10" s="34" customFormat="1" x14ac:dyDescent="0.35">
      <c r="E25915" s="35"/>
      <c r="J25915" s="41"/>
    </row>
    <row r="25916" spans="5:10" s="34" customFormat="1" x14ac:dyDescent="0.35">
      <c r="E25916" s="35"/>
      <c r="J25916" s="41"/>
    </row>
    <row r="25917" spans="5:10" s="34" customFormat="1" x14ac:dyDescent="0.35">
      <c r="E25917" s="35"/>
      <c r="J25917" s="41"/>
    </row>
    <row r="25918" spans="5:10" s="34" customFormat="1" x14ac:dyDescent="0.35">
      <c r="E25918" s="35"/>
      <c r="J25918" s="41"/>
    </row>
    <row r="25919" spans="5:10" s="34" customFormat="1" x14ac:dyDescent="0.35">
      <c r="E25919" s="35"/>
      <c r="J25919" s="41"/>
    </row>
    <row r="25920" spans="5:10" s="34" customFormat="1" x14ac:dyDescent="0.35">
      <c r="E25920" s="35"/>
      <c r="J25920" s="41"/>
    </row>
    <row r="25921" spans="5:10" s="34" customFormat="1" x14ac:dyDescent="0.35">
      <c r="E25921" s="35"/>
      <c r="J25921" s="41"/>
    </row>
    <row r="25922" spans="5:10" s="34" customFormat="1" x14ac:dyDescent="0.35">
      <c r="E25922" s="35"/>
      <c r="J25922" s="41"/>
    </row>
    <row r="25923" spans="5:10" s="34" customFormat="1" x14ac:dyDescent="0.35">
      <c r="E25923" s="35"/>
      <c r="J25923" s="41"/>
    </row>
    <row r="25924" spans="5:10" s="34" customFormat="1" x14ac:dyDescent="0.35">
      <c r="E25924" s="35"/>
      <c r="J25924" s="41"/>
    </row>
    <row r="25925" spans="5:10" s="34" customFormat="1" x14ac:dyDescent="0.35">
      <c r="E25925" s="35"/>
      <c r="J25925" s="41"/>
    </row>
    <row r="25926" spans="5:10" s="34" customFormat="1" x14ac:dyDescent="0.35">
      <c r="E25926" s="35"/>
      <c r="J25926" s="41"/>
    </row>
    <row r="25927" spans="5:10" s="34" customFormat="1" x14ac:dyDescent="0.35">
      <c r="E25927" s="35"/>
      <c r="J25927" s="41"/>
    </row>
    <row r="25928" spans="5:10" s="34" customFormat="1" x14ac:dyDescent="0.35">
      <c r="E25928" s="35"/>
      <c r="J25928" s="41"/>
    </row>
    <row r="25929" spans="5:10" s="34" customFormat="1" x14ac:dyDescent="0.35">
      <c r="E25929" s="35"/>
      <c r="J25929" s="41"/>
    </row>
    <row r="25930" spans="5:10" s="34" customFormat="1" x14ac:dyDescent="0.35">
      <c r="E25930" s="35"/>
      <c r="J25930" s="41"/>
    </row>
    <row r="25931" spans="5:10" s="34" customFormat="1" x14ac:dyDescent="0.35">
      <c r="E25931" s="35"/>
      <c r="J25931" s="41"/>
    </row>
    <row r="25932" spans="5:10" s="34" customFormat="1" x14ac:dyDescent="0.35">
      <c r="E25932" s="35"/>
      <c r="J25932" s="41"/>
    </row>
    <row r="25933" spans="5:10" s="34" customFormat="1" x14ac:dyDescent="0.35">
      <c r="E25933" s="35"/>
      <c r="J25933" s="41"/>
    </row>
    <row r="25934" spans="5:10" s="34" customFormat="1" x14ac:dyDescent="0.35">
      <c r="E25934" s="35"/>
      <c r="J25934" s="41"/>
    </row>
    <row r="25935" spans="5:10" s="34" customFormat="1" x14ac:dyDescent="0.35">
      <c r="E25935" s="35"/>
      <c r="J25935" s="41"/>
    </row>
    <row r="25936" spans="5:10" s="34" customFormat="1" x14ac:dyDescent="0.35">
      <c r="E25936" s="35"/>
      <c r="J25936" s="41"/>
    </row>
    <row r="25937" spans="5:10" s="34" customFormat="1" x14ac:dyDescent="0.35">
      <c r="E25937" s="35"/>
      <c r="J25937" s="41"/>
    </row>
    <row r="25938" spans="5:10" s="34" customFormat="1" x14ac:dyDescent="0.35">
      <c r="E25938" s="35"/>
      <c r="J25938" s="41"/>
    </row>
    <row r="25939" spans="5:10" s="34" customFormat="1" x14ac:dyDescent="0.35">
      <c r="E25939" s="35"/>
      <c r="J25939" s="41"/>
    </row>
    <row r="25940" spans="5:10" s="34" customFormat="1" x14ac:dyDescent="0.35">
      <c r="E25940" s="35"/>
      <c r="J25940" s="41"/>
    </row>
    <row r="25941" spans="5:10" s="34" customFormat="1" x14ac:dyDescent="0.35">
      <c r="E25941" s="35"/>
      <c r="J25941" s="41"/>
    </row>
    <row r="25942" spans="5:10" s="34" customFormat="1" x14ac:dyDescent="0.35">
      <c r="E25942" s="35"/>
      <c r="J25942" s="41"/>
    </row>
    <row r="25943" spans="5:10" s="34" customFormat="1" x14ac:dyDescent="0.35">
      <c r="E25943" s="35"/>
      <c r="J25943" s="41"/>
    </row>
    <row r="25944" spans="5:10" s="34" customFormat="1" x14ac:dyDescent="0.35">
      <c r="E25944" s="35"/>
      <c r="J25944" s="41"/>
    </row>
    <row r="25945" spans="5:10" s="34" customFormat="1" x14ac:dyDescent="0.35">
      <c r="E25945" s="35"/>
      <c r="J25945" s="41"/>
    </row>
    <row r="25946" spans="5:10" s="34" customFormat="1" x14ac:dyDescent="0.35">
      <c r="E25946" s="35"/>
      <c r="J25946" s="41"/>
    </row>
    <row r="25947" spans="5:10" s="34" customFormat="1" x14ac:dyDescent="0.35">
      <c r="E25947" s="35"/>
      <c r="J25947" s="41"/>
    </row>
    <row r="25948" spans="5:10" s="34" customFormat="1" x14ac:dyDescent="0.35">
      <c r="E25948" s="35"/>
      <c r="J25948" s="41"/>
    </row>
    <row r="25949" spans="5:10" s="34" customFormat="1" x14ac:dyDescent="0.35">
      <c r="E25949" s="35"/>
      <c r="J25949" s="41"/>
    </row>
    <row r="25950" spans="5:10" s="34" customFormat="1" x14ac:dyDescent="0.35">
      <c r="E25950" s="35"/>
      <c r="J25950" s="41"/>
    </row>
    <row r="25951" spans="5:10" s="34" customFormat="1" x14ac:dyDescent="0.35">
      <c r="E25951" s="35"/>
      <c r="J25951" s="41"/>
    </row>
    <row r="25952" spans="5:10" s="34" customFormat="1" x14ac:dyDescent="0.35">
      <c r="E25952" s="35"/>
      <c r="J25952" s="41"/>
    </row>
    <row r="25953" spans="5:10" s="34" customFormat="1" x14ac:dyDescent="0.35">
      <c r="E25953" s="35"/>
      <c r="J25953" s="41"/>
    </row>
    <row r="25954" spans="5:10" s="34" customFormat="1" x14ac:dyDescent="0.35">
      <c r="E25954" s="35"/>
      <c r="J25954" s="41"/>
    </row>
    <row r="25955" spans="5:10" s="34" customFormat="1" x14ac:dyDescent="0.35">
      <c r="E25955" s="35"/>
      <c r="J25955" s="41"/>
    </row>
    <row r="25956" spans="5:10" s="34" customFormat="1" x14ac:dyDescent="0.35">
      <c r="E25956" s="35"/>
      <c r="J25956" s="41"/>
    </row>
    <row r="25957" spans="5:10" s="34" customFormat="1" x14ac:dyDescent="0.35">
      <c r="E25957" s="35"/>
      <c r="J25957" s="41"/>
    </row>
    <row r="25958" spans="5:10" s="34" customFormat="1" x14ac:dyDescent="0.35">
      <c r="E25958" s="35"/>
      <c r="J25958" s="41"/>
    </row>
    <row r="25959" spans="5:10" s="34" customFormat="1" x14ac:dyDescent="0.35">
      <c r="E25959" s="35"/>
      <c r="J25959" s="41"/>
    </row>
    <row r="25960" spans="5:10" s="34" customFormat="1" x14ac:dyDescent="0.35">
      <c r="E25960" s="35"/>
      <c r="J25960" s="41"/>
    </row>
    <row r="25961" spans="5:10" s="34" customFormat="1" x14ac:dyDescent="0.35">
      <c r="E25961" s="35"/>
      <c r="J25961" s="41"/>
    </row>
    <row r="25962" spans="5:10" s="34" customFormat="1" x14ac:dyDescent="0.35">
      <c r="E25962" s="35"/>
      <c r="J25962" s="41"/>
    </row>
    <row r="25963" spans="5:10" s="34" customFormat="1" x14ac:dyDescent="0.35">
      <c r="E25963" s="35"/>
      <c r="J25963" s="41"/>
    </row>
    <row r="25964" spans="5:10" s="34" customFormat="1" x14ac:dyDescent="0.35">
      <c r="E25964" s="35"/>
      <c r="J25964" s="41"/>
    </row>
    <row r="25965" spans="5:10" s="34" customFormat="1" x14ac:dyDescent="0.35">
      <c r="E25965" s="35"/>
      <c r="J25965" s="41"/>
    </row>
    <row r="25966" spans="5:10" s="34" customFormat="1" x14ac:dyDescent="0.35">
      <c r="E25966" s="35"/>
      <c r="J25966" s="41"/>
    </row>
    <row r="25967" spans="5:10" s="34" customFormat="1" x14ac:dyDescent="0.35">
      <c r="E25967" s="35"/>
      <c r="J25967" s="41"/>
    </row>
    <row r="25968" spans="5:10" s="34" customFormat="1" x14ac:dyDescent="0.35">
      <c r="E25968" s="35"/>
      <c r="J25968" s="41"/>
    </row>
    <row r="25969" spans="5:10" s="34" customFormat="1" x14ac:dyDescent="0.35">
      <c r="E25969" s="35"/>
      <c r="J25969" s="41"/>
    </row>
    <row r="25970" spans="5:10" s="34" customFormat="1" x14ac:dyDescent="0.35">
      <c r="E25970" s="35"/>
      <c r="J25970" s="41"/>
    </row>
    <row r="25971" spans="5:10" s="34" customFormat="1" x14ac:dyDescent="0.35">
      <c r="E25971" s="35"/>
      <c r="J25971" s="41"/>
    </row>
    <row r="25972" spans="5:10" s="34" customFormat="1" x14ac:dyDescent="0.35">
      <c r="E25972" s="35"/>
      <c r="J25972" s="41"/>
    </row>
    <row r="25973" spans="5:10" s="34" customFormat="1" x14ac:dyDescent="0.35">
      <c r="E25973" s="35"/>
      <c r="J25973" s="41"/>
    </row>
    <row r="25974" spans="5:10" s="34" customFormat="1" x14ac:dyDescent="0.35">
      <c r="E25974" s="35"/>
      <c r="J25974" s="41"/>
    </row>
    <row r="25975" spans="5:10" s="34" customFormat="1" x14ac:dyDescent="0.35">
      <c r="E25975" s="35"/>
      <c r="J25975" s="41"/>
    </row>
    <row r="25976" spans="5:10" s="34" customFormat="1" x14ac:dyDescent="0.35">
      <c r="E25976" s="35"/>
      <c r="J25976" s="41"/>
    </row>
    <row r="25977" spans="5:10" s="34" customFormat="1" x14ac:dyDescent="0.35">
      <c r="E25977" s="35"/>
      <c r="J25977" s="41"/>
    </row>
    <row r="25978" spans="5:10" s="34" customFormat="1" x14ac:dyDescent="0.35">
      <c r="E25978" s="35"/>
      <c r="J25978" s="41"/>
    </row>
    <row r="25979" spans="5:10" s="34" customFormat="1" x14ac:dyDescent="0.35">
      <c r="E25979" s="35"/>
      <c r="J25979" s="41"/>
    </row>
    <row r="25980" spans="5:10" s="34" customFormat="1" x14ac:dyDescent="0.35">
      <c r="E25980" s="35"/>
      <c r="J25980" s="41"/>
    </row>
    <row r="25981" spans="5:10" s="34" customFormat="1" x14ac:dyDescent="0.35">
      <c r="E25981" s="35"/>
      <c r="J25981" s="41"/>
    </row>
    <row r="25982" spans="5:10" s="34" customFormat="1" x14ac:dyDescent="0.35">
      <c r="E25982" s="35"/>
      <c r="J25982" s="41"/>
    </row>
    <row r="25983" spans="5:10" s="34" customFormat="1" x14ac:dyDescent="0.35">
      <c r="E25983" s="35"/>
      <c r="J25983" s="41"/>
    </row>
    <row r="25984" spans="5:10" s="34" customFormat="1" x14ac:dyDescent="0.35">
      <c r="E25984" s="35"/>
      <c r="J25984" s="41"/>
    </row>
    <row r="25985" spans="5:10" s="34" customFormat="1" x14ac:dyDescent="0.35">
      <c r="E25985" s="35"/>
      <c r="J25985" s="41"/>
    </row>
    <row r="25986" spans="5:10" s="34" customFormat="1" x14ac:dyDescent="0.35">
      <c r="E25986" s="35"/>
      <c r="J25986" s="41"/>
    </row>
    <row r="25987" spans="5:10" s="34" customFormat="1" x14ac:dyDescent="0.35">
      <c r="E25987" s="35"/>
      <c r="J25987" s="41"/>
    </row>
    <row r="25988" spans="5:10" s="34" customFormat="1" x14ac:dyDescent="0.35">
      <c r="E25988" s="35"/>
      <c r="J25988" s="41"/>
    </row>
    <row r="25989" spans="5:10" s="34" customFormat="1" x14ac:dyDescent="0.35">
      <c r="E25989" s="35"/>
      <c r="J25989" s="41"/>
    </row>
    <row r="25990" spans="5:10" s="34" customFormat="1" x14ac:dyDescent="0.35">
      <c r="E25990" s="35"/>
      <c r="J25990" s="41"/>
    </row>
    <row r="25991" spans="5:10" s="34" customFormat="1" x14ac:dyDescent="0.35">
      <c r="E25991" s="35"/>
      <c r="J25991" s="41"/>
    </row>
    <row r="25992" spans="5:10" s="34" customFormat="1" x14ac:dyDescent="0.35">
      <c r="E25992" s="35"/>
      <c r="J25992" s="41"/>
    </row>
    <row r="25993" spans="5:10" s="34" customFormat="1" x14ac:dyDescent="0.35">
      <c r="E25993" s="35"/>
      <c r="J25993" s="41"/>
    </row>
    <row r="25994" spans="5:10" s="34" customFormat="1" x14ac:dyDescent="0.35">
      <c r="E25994" s="35"/>
      <c r="J25994" s="41"/>
    </row>
    <row r="25995" spans="5:10" s="34" customFormat="1" x14ac:dyDescent="0.35">
      <c r="E25995" s="35"/>
      <c r="J25995" s="41"/>
    </row>
    <row r="25996" spans="5:10" s="34" customFormat="1" x14ac:dyDescent="0.35">
      <c r="E25996" s="35"/>
      <c r="J25996" s="41"/>
    </row>
    <row r="25997" spans="5:10" s="34" customFormat="1" x14ac:dyDescent="0.35">
      <c r="E25997" s="35"/>
      <c r="J25997" s="41"/>
    </row>
    <row r="25998" spans="5:10" s="34" customFormat="1" x14ac:dyDescent="0.35">
      <c r="E25998" s="35"/>
      <c r="J25998" s="41"/>
    </row>
    <row r="25999" spans="5:10" s="34" customFormat="1" x14ac:dyDescent="0.35">
      <c r="E25999" s="35"/>
      <c r="J25999" s="41"/>
    </row>
    <row r="26000" spans="5:10" s="34" customFormat="1" x14ac:dyDescent="0.35">
      <c r="E26000" s="35"/>
      <c r="J26000" s="41"/>
    </row>
    <row r="26001" spans="5:10" s="34" customFormat="1" x14ac:dyDescent="0.35">
      <c r="E26001" s="35"/>
      <c r="J26001" s="41"/>
    </row>
    <row r="26002" spans="5:10" s="34" customFormat="1" x14ac:dyDescent="0.35">
      <c r="E26002" s="35"/>
      <c r="J26002" s="41"/>
    </row>
    <row r="26003" spans="5:10" s="34" customFormat="1" x14ac:dyDescent="0.35">
      <c r="E26003" s="35"/>
      <c r="J26003" s="41"/>
    </row>
    <row r="26004" spans="5:10" s="34" customFormat="1" x14ac:dyDescent="0.35">
      <c r="E26004" s="35"/>
      <c r="J26004" s="41"/>
    </row>
    <row r="26005" spans="5:10" s="34" customFormat="1" x14ac:dyDescent="0.35">
      <c r="E26005" s="35"/>
      <c r="J26005" s="41"/>
    </row>
    <row r="26006" spans="5:10" s="34" customFormat="1" x14ac:dyDescent="0.35">
      <c r="E26006" s="35"/>
      <c r="J26006" s="41"/>
    </row>
    <row r="26007" spans="5:10" s="34" customFormat="1" x14ac:dyDescent="0.35">
      <c r="E26007" s="35"/>
      <c r="J26007" s="41"/>
    </row>
    <row r="26008" spans="5:10" s="34" customFormat="1" x14ac:dyDescent="0.35">
      <c r="E26008" s="35"/>
      <c r="J26008" s="41"/>
    </row>
    <row r="26009" spans="5:10" s="34" customFormat="1" x14ac:dyDescent="0.35">
      <c r="E26009" s="35"/>
      <c r="J26009" s="41"/>
    </row>
    <row r="26010" spans="5:10" s="34" customFormat="1" x14ac:dyDescent="0.35">
      <c r="E26010" s="35"/>
      <c r="J26010" s="41"/>
    </row>
    <row r="26011" spans="5:10" s="34" customFormat="1" x14ac:dyDescent="0.35">
      <c r="E26011" s="35"/>
      <c r="J26011" s="41"/>
    </row>
    <row r="26012" spans="5:10" s="34" customFormat="1" x14ac:dyDescent="0.35">
      <c r="E26012" s="35"/>
      <c r="J26012" s="41"/>
    </row>
    <row r="26013" spans="5:10" s="34" customFormat="1" x14ac:dyDescent="0.35">
      <c r="E26013" s="35"/>
      <c r="J26013" s="41"/>
    </row>
    <row r="26014" spans="5:10" s="34" customFormat="1" x14ac:dyDescent="0.35">
      <c r="E26014" s="35"/>
      <c r="J26014" s="41"/>
    </row>
    <row r="26015" spans="5:10" s="34" customFormat="1" x14ac:dyDescent="0.35">
      <c r="E26015" s="35"/>
      <c r="J26015" s="41"/>
    </row>
    <row r="26016" spans="5:10" s="34" customFormat="1" x14ac:dyDescent="0.35">
      <c r="E26016" s="35"/>
      <c r="J26016" s="41"/>
    </row>
    <row r="26017" spans="5:10" s="34" customFormat="1" x14ac:dyDescent="0.35">
      <c r="E26017" s="35"/>
      <c r="J26017" s="41"/>
    </row>
    <row r="26018" spans="5:10" s="34" customFormat="1" x14ac:dyDescent="0.35">
      <c r="E26018" s="35"/>
      <c r="J26018" s="41"/>
    </row>
    <row r="26019" spans="5:10" s="34" customFormat="1" x14ac:dyDescent="0.35">
      <c r="E26019" s="35"/>
      <c r="J26019" s="41"/>
    </row>
    <row r="26020" spans="5:10" s="34" customFormat="1" x14ac:dyDescent="0.35">
      <c r="E26020" s="35"/>
      <c r="J26020" s="41"/>
    </row>
    <row r="26021" spans="5:10" s="34" customFormat="1" x14ac:dyDescent="0.35">
      <c r="E26021" s="35"/>
      <c r="J26021" s="41"/>
    </row>
    <row r="26022" spans="5:10" s="34" customFormat="1" x14ac:dyDescent="0.35">
      <c r="E26022" s="35"/>
      <c r="J26022" s="41"/>
    </row>
    <row r="26023" spans="5:10" s="34" customFormat="1" x14ac:dyDescent="0.35">
      <c r="E26023" s="35"/>
      <c r="J26023" s="41"/>
    </row>
    <row r="26024" spans="5:10" s="34" customFormat="1" x14ac:dyDescent="0.35">
      <c r="E26024" s="35"/>
      <c r="J26024" s="41"/>
    </row>
    <row r="26025" spans="5:10" s="34" customFormat="1" x14ac:dyDescent="0.35">
      <c r="E26025" s="35"/>
      <c r="J26025" s="41"/>
    </row>
    <row r="26026" spans="5:10" s="34" customFormat="1" x14ac:dyDescent="0.35">
      <c r="E26026" s="35"/>
      <c r="J26026" s="41"/>
    </row>
    <row r="26027" spans="5:10" s="34" customFormat="1" x14ac:dyDescent="0.35">
      <c r="E26027" s="35"/>
      <c r="J26027" s="41"/>
    </row>
    <row r="26028" spans="5:10" s="34" customFormat="1" x14ac:dyDescent="0.35">
      <c r="E26028" s="35"/>
      <c r="J26028" s="41"/>
    </row>
    <row r="26029" spans="5:10" s="34" customFormat="1" x14ac:dyDescent="0.35">
      <c r="E26029" s="35"/>
      <c r="J26029" s="41"/>
    </row>
    <row r="26030" spans="5:10" s="34" customFormat="1" x14ac:dyDescent="0.35">
      <c r="E26030" s="35"/>
      <c r="J26030" s="41"/>
    </row>
    <row r="26031" spans="5:10" s="34" customFormat="1" x14ac:dyDescent="0.35">
      <c r="E26031" s="35"/>
      <c r="J26031" s="41"/>
    </row>
    <row r="26032" spans="5:10" s="34" customFormat="1" x14ac:dyDescent="0.35">
      <c r="E26032" s="35"/>
      <c r="J26032" s="41"/>
    </row>
    <row r="26033" spans="5:10" s="34" customFormat="1" x14ac:dyDescent="0.35">
      <c r="E26033" s="35"/>
      <c r="J26033" s="41"/>
    </row>
    <row r="26034" spans="5:10" s="34" customFormat="1" x14ac:dyDescent="0.35">
      <c r="E26034" s="35"/>
      <c r="J26034" s="41"/>
    </row>
    <row r="26035" spans="5:10" s="34" customFormat="1" x14ac:dyDescent="0.35">
      <c r="E26035" s="35"/>
      <c r="J26035" s="41"/>
    </row>
    <row r="26036" spans="5:10" s="34" customFormat="1" x14ac:dyDescent="0.35">
      <c r="E26036" s="35"/>
      <c r="J26036" s="41"/>
    </row>
    <row r="26037" spans="5:10" s="34" customFormat="1" x14ac:dyDescent="0.35">
      <c r="E26037" s="35"/>
      <c r="J26037" s="41"/>
    </row>
    <row r="26038" spans="5:10" s="34" customFormat="1" x14ac:dyDescent="0.35">
      <c r="E26038" s="35"/>
      <c r="J26038" s="41"/>
    </row>
    <row r="26039" spans="5:10" s="34" customFormat="1" x14ac:dyDescent="0.35">
      <c r="E26039" s="35"/>
      <c r="J26039" s="41"/>
    </row>
    <row r="26040" spans="5:10" s="34" customFormat="1" x14ac:dyDescent="0.35">
      <c r="E26040" s="35"/>
      <c r="J26040" s="41"/>
    </row>
    <row r="26041" spans="5:10" s="34" customFormat="1" x14ac:dyDescent="0.35">
      <c r="E26041" s="35"/>
      <c r="J26041" s="41"/>
    </row>
    <row r="26042" spans="5:10" s="34" customFormat="1" x14ac:dyDescent="0.35">
      <c r="E26042" s="35"/>
      <c r="J26042" s="41"/>
    </row>
    <row r="26043" spans="5:10" s="34" customFormat="1" x14ac:dyDescent="0.35">
      <c r="E26043" s="35"/>
      <c r="J26043" s="41"/>
    </row>
    <row r="26044" spans="5:10" s="34" customFormat="1" x14ac:dyDescent="0.35">
      <c r="E26044" s="35"/>
      <c r="J26044" s="41"/>
    </row>
    <row r="26045" spans="5:10" s="34" customFormat="1" x14ac:dyDescent="0.35">
      <c r="E26045" s="35"/>
      <c r="J26045" s="41"/>
    </row>
    <row r="26046" spans="5:10" s="34" customFormat="1" x14ac:dyDescent="0.35">
      <c r="E26046" s="35"/>
      <c r="J26046" s="41"/>
    </row>
    <row r="26047" spans="5:10" s="34" customFormat="1" x14ac:dyDescent="0.35">
      <c r="E26047" s="35"/>
      <c r="J26047" s="41"/>
    </row>
    <row r="26048" spans="5:10" s="34" customFormat="1" x14ac:dyDescent="0.35">
      <c r="E26048" s="35"/>
      <c r="J26048" s="41"/>
    </row>
    <row r="26049" spans="5:10" s="34" customFormat="1" x14ac:dyDescent="0.35">
      <c r="E26049" s="35"/>
      <c r="J26049" s="41"/>
    </row>
    <row r="26050" spans="5:10" s="34" customFormat="1" x14ac:dyDescent="0.35">
      <c r="E26050" s="35"/>
      <c r="J26050" s="41"/>
    </row>
    <row r="26051" spans="5:10" s="34" customFormat="1" x14ac:dyDescent="0.35">
      <c r="E26051" s="35"/>
      <c r="J26051" s="41"/>
    </row>
    <row r="26052" spans="5:10" s="34" customFormat="1" x14ac:dyDescent="0.35">
      <c r="E26052" s="35"/>
      <c r="J26052" s="41"/>
    </row>
    <row r="26053" spans="5:10" s="34" customFormat="1" x14ac:dyDescent="0.35">
      <c r="E26053" s="35"/>
      <c r="J26053" s="41"/>
    </row>
    <row r="26054" spans="5:10" s="34" customFormat="1" x14ac:dyDescent="0.35">
      <c r="E26054" s="35"/>
      <c r="J26054" s="41"/>
    </row>
    <row r="26055" spans="5:10" s="34" customFormat="1" x14ac:dyDescent="0.35">
      <c r="E26055" s="35"/>
      <c r="J26055" s="41"/>
    </row>
    <row r="26056" spans="5:10" s="34" customFormat="1" x14ac:dyDescent="0.35">
      <c r="E26056" s="35"/>
      <c r="J26056" s="41"/>
    </row>
    <row r="26057" spans="5:10" s="34" customFormat="1" x14ac:dyDescent="0.35">
      <c r="E26057" s="35"/>
      <c r="J26057" s="41"/>
    </row>
    <row r="26058" spans="5:10" s="34" customFormat="1" x14ac:dyDescent="0.35">
      <c r="E26058" s="35"/>
      <c r="J26058" s="41"/>
    </row>
    <row r="26059" spans="5:10" s="34" customFormat="1" x14ac:dyDescent="0.35">
      <c r="E26059" s="35"/>
      <c r="J26059" s="41"/>
    </row>
    <row r="26060" spans="5:10" s="34" customFormat="1" x14ac:dyDescent="0.35">
      <c r="E26060" s="35"/>
      <c r="J26060" s="41"/>
    </row>
    <row r="26061" spans="5:10" s="34" customFormat="1" x14ac:dyDescent="0.35">
      <c r="E26061" s="35"/>
      <c r="J26061" s="41"/>
    </row>
    <row r="26062" spans="5:10" s="34" customFormat="1" x14ac:dyDescent="0.35">
      <c r="E26062" s="35"/>
      <c r="J26062" s="41"/>
    </row>
    <row r="26063" spans="5:10" s="34" customFormat="1" x14ac:dyDescent="0.35">
      <c r="E26063" s="35"/>
      <c r="J26063" s="41"/>
    </row>
    <row r="26064" spans="5:10" s="34" customFormat="1" x14ac:dyDescent="0.35">
      <c r="E26064" s="35"/>
      <c r="J26064" s="41"/>
    </row>
    <row r="26065" spans="5:10" s="34" customFormat="1" x14ac:dyDescent="0.35">
      <c r="E26065" s="35"/>
      <c r="J26065" s="41"/>
    </row>
    <row r="26066" spans="5:10" s="34" customFormat="1" x14ac:dyDescent="0.35">
      <c r="E26066" s="35"/>
      <c r="J26066" s="41"/>
    </row>
    <row r="26067" spans="5:10" s="34" customFormat="1" x14ac:dyDescent="0.35">
      <c r="E26067" s="35"/>
      <c r="J26067" s="41"/>
    </row>
    <row r="26068" spans="5:10" s="34" customFormat="1" x14ac:dyDescent="0.35">
      <c r="E26068" s="35"/>
      <c r="J26068" s="41"/>
    </row>
    <row r="26069" spans="5:10" s="34" customFormat="1" x14ac:dyDescent="0.35">
      <c r="E26069" s="35"/>
      <c r="J26069" s="41"/>
    </row>
    <row r="26070" spans="5:10" s="34" customFormat="1" x14ac:dyDescent="0.35">
      <c r="E26070" s="35"/>
      <c r="J26070" s="41"/>
    </row>
    <row r="26071" spans="5:10" s="34" customFormat="1" x14ac:dyDescent="0.35">
      <c r="E26071" s="35"/>
      <c r="J26071" s="41"/>
    </row>
    <row r="26072" spans="5:10" s="34" customFormat="1" x14ac:dyDescent="0.35">
      <c r="E26072" s="35"/>
      <c r="J26072" s="41"/>
    </row>
    <row r="26073" spans="5:10" s="34" customFormat="1" x14ac:dyDescent="0.35">
      <c r="E26073" s="35"/>
      <c r="J26073" s="41"/>
    </row>
    <row r="26074" spans="5:10" s="34" customFormat="1" x14ac:dyDescent="0.35">
      <c r="E26074" s="35"/>
      <c r="J26074" s="41"/>
    </row>
    <row r="26075" spans="5:10" s="34" customFormat="1" x14ac:dyDescent="0.35">
      <c r="E26075" s="35"/>
      <c r="J26075" s="41"/>
    </row>
    <row r="26076" spans="5:10" s="34" customFormat="1" x14ac:dyDescent="0.35">
      <c r="E26076" s="35"/>
      <c r="J26076" s="41"/>
    </row>
    <row r="26077" spans="5:10" s="34" customFormat="1" x14ac:dyDescent="0.35">
      <c r="E26077" s="35"/>
      <c r="J26077" s="41"/>
    </row>
    <row r="26078" spans="5:10" s="34" customFormat="1" x14ac:dyDescent="0.35">
      <c r="E26078" s="35"/>
      <c r="J26078" s="41"/>
    </row>
    <row r="26079" spans="5:10" s="34" customFormat="1" x14ac:dyDescent="0.35">
      <c r="E26079" s="35"/>
      <c r="J26079" s="41"/>
    </row>
    <row r="26080" spans="5:10" s="34" customFormat="1" x14ac:dyDescent="0.35">
      <c r="E26080" s="35"/>
      <c r="J26080" s="41"/>
    </row>
    <row r="26081" spans="5:10" s="34" customFormat="1" x14ac:dyDescent="0.35">
      <c r="E26081" s="35"/>
      <c r="J26081" s="41"/>
    </row>
    <row r="26082" spans="5:10" s="34" customFormat="1" x14ac:dyDescent="0.35">
      <c r="E26082" s="35"/>
      <c r="J26082" s="41"/>
    </row>
    <row r="26083" spans="5:10" s="34" customFormat="1" x14ac:dyDescent="0.35">
      <c r="E26083" s="35"/>
      <c r="J26083" s="41"/>
    </row>
    <row r="26084" spans="5:10" s="34" customFormat="1" x14ac:dyDescent="0.35">
      <c r="E26084" s="35"/>
      <c r="J26084" s="41"/>
    </row>
    <row r="26085" spans="5:10" s="34" customFormat="1" x14ac:dyDescent="0.35">
      <c r="E26085" s="35"/>
      <c r="J26085" s="41"/>
    </row>
    <row r="26086" spans="5:10" s="34" customFormat="1" x14ac:dyDescent="0.35">
      <c r="E26086" s="35"/>
      <c r="J26086" s="41"/>
    </row>
    <row r="26087" spans="5:10" s="34" customFormat="1" x14ac:dyDescent="0.35">
      <c r="E26087" s="35"/>
      <c r="J26087" s="41"/>
    </row>
    <row r="26088" spans="5:10" s="34" customFormat="1" x14ac:dyDescent="0.35">
      <c r="E26088" s="35"/>
      <c r="J26088" s="41"/>
    </row>
    <row r="26089" spans="5:10" s="34" customFormat="1" x14ac:dyDescent="0.35">
      <c r="E26089" s="35"/>
      <c r="J26089" s="41"/>
    </row>
    <row r="26090" spans="5:10" s="34" customFormat="1" x14ac:dyDescent="0.35">
      <c r="E26090" s="35"/>
      <c r="J26090" s="41"/>
    </row>
    <row r="26091" spans="5:10" s="34" customFormat="1" x14ac:dyDescent="0.35">
      <c r="E26091" s="35"/>
      <c r="J26091" s="41"/>
    </row>
    <row r="26092" spans="5:10" s="34" customFormat="1" x14ac:dyDescent="0.35">
      <c r="E26092" s="35"/>
      <c r="J26092" s="41"/>
    </row>
    <row r="26093" spans="5:10" s="34" customFormat="1" x14ac:dyDescent="0.35">
      <c r="E26093" s="35"/>
      <c r="J26093" s="41"/>
    </row>
    <row r="26094" spans="5:10" s="34" customFormat="1" x14ac:dyDescent="0.35">
      <c r="E26094" s="35"/>
      <c r="J26094" s="41"/>
    </row>
    <row r="26095" spans="5:10" s="34" customFormat="1" x14ac:dyDescent="0.35">
      <c r="E26095" s="35"/>
      <c r="J26095" s="41"/>
    </row>
    <row r="26096" spans="5:10" s="34" customFormat="1" x14ac:dyDescent="0.35">
      <c r="E26096" s="35"/>
      <c r="J26096" s="41"/>
    </row>
    <row r="26097" spans="5:10" s="34" customFormat="1" x14ac:dyDescent="0.35">
      <c r="E26097" s="35"/>
      <c r="J26097" s="41"/>
    </row>
    <row r="26098" spans="5:10" s="34" customFormat="1" x14ac:dyDescent="0.35">
      <c r="E26098" s="35"/>
      <c r="J26098" s="41"/>
    </row>
    <row r="26099" spans="5:10" s="34" customFormat="1" x14ac:dyDescent="0.35">
      <c r="E26099" s="35"/>
      <c r="J26099" s="41"/>
    </row>
    <row r="26100" spans="5:10" s="34" customFormat="1" x14ac:dyDescent="0.35">
      <c r="E26100" s="35"/>
      <c r="J26100" s="41"/>
    </row>
    <row r="26101" spans="5:10" s="34" customFormat="1" x14ac:dyDescent="0.35">
      <c r="E26101" s="35"/>
      <c r="J26101" s="41"/>
    </row>
    <row r="26102" spans="5:10" s="34" customFormat="1" x14ac:dyDescent="0.35">
      <c r="E26102" s="35"/>
      <c r="J26102" s="41"/>
    </row>
    <row r="26103" spans="5:10" s="34" customFormat="1" x14ac:dyDescent="0.35">
      <c r="E26103" s="35"/>
      <c r="J26103" s="41"/>
    </row>
    <row r="26104" spans="5:10" s="34" customFormat="1" x14ac:dyDescent="0.35">
      <c r="E26104" s="35"/>
      <c r="J26104" s="41"/>
    </row>
    <row r="26105" spans="5:10" s="34" customFormat="1" x14ac:dyDescent="0.35">
      <c r="E26105" s="35"/>
      <c r="J26105" s="41"/>
    </row>
    <row r="26106" spans="5:10" s="34" customFormat="1" x14ac:dyDescent="0.35">
      <c r="E26106" s="35"/>
      <c r="J26106" s="41"/>
    </row>
    <row r="26107" spans="5:10" s="34" customFormat="1" x14ac:dyDescent="0.35">
      <c r="E26107" s="35"/>
      <c r="J26107" s="41"/>
    </row>
    <row r="26108" spans="5:10" s="34" customFormat="1" x14ac:dyDescent="0.35">
      <c r="E26108" s="35"/>
      <c r="J26108" s="41"/>
    </row>
    <row r="26109" spans="5:10" s="34" customFormat="1" x14ac:dyDescent="0.35">
      <c r="E26109" s="35"/>
      <c r="J26109" s="41"/>
    </row>
    <row r="26110" spans="5:10" s="34" customFormat="1" x14ac:dyDescent="0.35">
      <c r="E26110" s="35"/>
      <c r="J26110" s="41"/>
    </row>
    <row r="26111" spans="5:10" s="34" customFormat="1" x14ac:dyDescent="0.35">
      <c r="E26111" s="35"/>
      <c r="J26111" s="41"/>
    </row>
    <row r="26112" spans="5:10" s="34" customFormat="1" x14ac:dyDescent="0.35">
      <c r="E26112" s="35"/>
      <c r="J26112" s="41"/>
    </row>
    <row r="26113" spans="5:10" s="34" customFormat="1" x14ac:dyDescent="0.35">
      <c r="E26113" s="35"/>
      <c r="J26113" s="41"/>
    </row>
    <row r="26114" spans="5:10" s="34" customFormat="1" x14ac:dyDescent="0.35">
      <c r="E26114" s="35"/>
      <c r="J26114" s="41"/>
    </row>
    <row r="26115" spans="5:10" s="34" customFormat="1" x14ac:dyDescent="0.35">
      <c r="E26115" s="35"/>
      <c r="J26115" s="41"/>
    </row>
    <row r="26116" spans="5:10" s="34" customFormat="1" x14ac:dyDescent="0.35">
      <c r="E26116" s="35"/>
      <c r="J26116" s="41"/>
    </row>
    <row r="26117" spans="5:10" s="34" customFormat="1" x14ac:dyDescent="0.35">
      <c r="E26117" s="35"/>
      <c r="J26117" s="41"/>
    </row>
    <row r="26118" spans="5:10" s="34" customFormat="1" x14ac:dyDescent="0.35">
      <c r="E26118" s="35"/>
      <c r="J26118" s="41"/>
    </row>
    <row r="26119" spans="5:10" s="34" customFormat="1" x14ac:dyDescent="0.35">
      <c r="E26119" s="35"/>
      <c r="J26119" s="41"/>
    </row>
    <row r="26120" spans="5:10" s="34" customFormat="1" x14ac:dyDescent="0.35">
      <c r="E26120" s="35"/>
      <c r="J26120" s="41"/>
    </row>
    <row r="26121" spans="5:10" s="34" customFormat="1" x14ac:dyDescent="0.35">
      <c r="E26121" s="35"/>
      <c r="J26121" s="41"/>
    </row>
    <row r="26122" spans="5:10" s="34" customFormat="1" x14ac:dyDescent="0.35">
      <c r="E26122" s="35"/>
      <c r="J26122" s="41"/>
    </row>
    <row r="26123" spans="5:10" s="34" customFormat="1" x14ac:dyDescent="0.35">
      <c r="E26123" s="35"/>
      <c r="J26123" s="41"/>
    </row>
    <row r="26124" spans="5:10" s="34" customFormat="1" x14ac:dyDescent="0.35">
      <c r="E26124" s="35"/>
      <c r="J26124" s="41"/>
    </row>
    <row r="26125" spans="5:10" s="34" customFormat="1" x14ac:dyDescent="0.35">
      <c r="E26125" s="35"/>
      <c r="J26125" s="41"/>
    </row>
    <row r="26126" spans="5:10" s="34" customFormat="1" x14ac:dyDescent="0.35">
      <c r="E26126" s="35"/>
      <c r="J26126" s="41"/>
    </row>
    <row r="26127" spans="5:10" s="34" customFormat="1" x14ac:dyDescent="0.35">
      <c r="E26127" s="35"/>
      <c r="J26127" s="41"/>
    </row>
    <row r="26128" spans="5:10" s="34" customFormat="1" x14ac:dyDescent="0.35">
      <c r="E26128" s="35"/>
      <c r="J26128" s="41"/>
    </row>
    <row r="26129" spans="5:10" s="34" customFormat="1" x14ac:dyDescent="0.35">
      <c r="E26129" s="35"/>
      <c r="J26129" s="41"/>
    </row>
    <row r="26130" spans="5:10" s="34" customFormat="1" x14ac:dyDescent="0.35">
      <c r="E26130" s="35"/>
      <c r="J26130" s="41"/>
    </row>
    <row r="26131" spans="5:10" s="34" customFormat="1" x14ac:dyDescent="0.35">
      <c r="E26131" s="35"/>
      <c r="J26131" s="41"/>
    </row>
    <row r="26132" spans="5:10" s="34" customFormat="1" x14ac:dyDescent="0.35">
      <c r="E26132" s="35"/>
      <c r="J26132" s="41"/>
    </row>
    <row r="26133" spans="5:10" s="34" customFormat="1" x14ac:dyDescent="0.35">
      <c r="E26133" s="35"/>
      <c r="J26133" s="41"/>
    </row>
    <row r="26134" spans="5:10" s="34" customFormat="1" x14ac:dyDescent="0.35">
      <c r="E26134" s="35"/>
      <c r="J26134" s="41"/>
    </row>
    <row r="26135" spans="5:10" s="34" customFormat="1" x14ac:dyDescent="0.35">
      <c r="E26135" s="35"/>
      <c r="J26135" s="41"/>
    </row>
    <row r="26136" spans="5:10" s="34" customFormat="1" x14ac:dyDescent="0.35">
      <c r="E26136" s="35"/>
      <c r="J26136" s="41"/>
    </row>
    <row r="26137" spans="5:10" s="34" customFormat="1" x14ac:dyDescent="0.35">
      <c r="E26137" s="35"/>
      <c r="J26137" s="41"/>
    </row>
    <row r="26138" spans="5:10" s="34" customFormat="1" x14ac:dyDescent="0.35">
      <c r="E26138" s="35"/>
      <c r="J26138" s="41"/>
    </row>
    <row r="26139" spans="5:10" s="34" customFormat="1" x14ac:dyDescent="0.35">
      <c r="E26139" s="35"/>
      <c r="J26139" s="41"/>
    </row>
    <row r="26140" spans="5:10" s="34" customFormat="1" x14ac:dyDescent="0.35">
      <c r="E26140" s="35"/>
      <c r="J26140" s="41"/>
    </row>
    <row r="26141" spans="5:10" s="34" customFormat="1" x14ac:dyDescent="0.35">
      <c r="E26141" s="35"/>
      <c r="J26141" s="41"/>
    </row>
    <row r="26142" spans="5:10" s="34" customFormat="1" x14ac:dyDescent="0.35">
      <c r="E26142" s="35"/>
      <c r="J26142" s="41"/>
    </row>
    <row r="26143" spans="5:10" s="34" customFormat="1" x14ac:dyDescent="0.35">
      <c r="E26143" s="35"/>
      <c r="J26143" s="41"/>
    </row>
    <row r="26144" spans="5:10" s="34" customFormat="1" x14ac:dyDescent="0.35">
      <c r="E26144" s="35"/>
      <c r="J26144" s="41"/>
    </row>
    <row r="26145" spans="5:10" s="34" customFormat="1" x14ac:dyDescent="0.35">
      <c r="E26145" s="35"/>
      <c r="J26145" s="41"/>
    </row>
    <row r="26146" spans="5:10" s="34" customFormat="1" x14ac:dyDescent="0.35">
      <c r="E26146" s="35"/>
      <c r="J26146" s="41"/>
    </row>
    <row r="26147" spans="5:10" s="34" customFormat="1" x14ac:dyDescent="0.35">
      <c r="E26147" s="35"/>
      <c r="J26147" s="41"/>
    </row>
    <row r="26148" spans="5:10" s="34" customFormat="1" x14ac:dyDescent="0.35">
      <c r="E26148" s="35"/>
      <c r="J26148" s="41"/>
    </row>
    <row r="26149" spans="5:10" s="34" customFormat="1" x14ac:dyDescent="0.35">
      <c r="E26149" s="35"/>
      <c r="J26149" s="41"/>
    </row>
    <row r="26150" spans="5:10" s="34" customFormat="1" x14ac:dyDescent="0.35">
      <c r="E26150" s="35"/>
      <c r="J26150" s="41"/>
    </row>
    <row r="26151" spans="5:10" s="34" customFormat="1" x14ac:dyDescent="0.35">
      <c r="E26151" s="35"/>
      <c r="J26151" s="41"/>
    </row>
    <row r="26152" spans="5:10" s="34" customFormat="1" x14ac:dyDescent="0.35">
      <c r="E26152" s="35"/>
      <c r="J26152" s="41"/>
    </row>
    <row r="26153" spans="5:10" s="34" customFormat="1" x14ac:dyDescent="0.35">
      <c r="E26153" s="35"/>
      <c r="J26153" s="41"/>
    </row>
    <row r="26154" spans="5:10" s="34" customFormat="1" x14ac:dyDescent="0.35">
      <c r="E26154" s="35"/>
      <c r="J26154" s="41"/>
    </row>
    <row r="26155" spans="5:10" s="34" customFormat="1" x14ac:dyDescent="0.35">
      <c r="E26155" s="35"/>
      <c r="J26155" s="41"/>
    </row>
    <row r="26156" spans="5:10" s="34" customFormat="1" x14ac:dyDescent="0.35">
      <c r="E26156" s="35"/>
      <c r="J26156" s="41"/>
    </row>
    <row r="26157" spans="5:10" s="34" customFormat="1" x14ac:dyDescent="0.35">
      <c r="E26157" s="35"/>
      <c r="J26157" s="41"/>
    </row>
    <row r="26158" spans="5:10" s="34" customFormat="1" x14ac:dyDescent="0.35">
      <c r="E26158" s="35"/>
      <c r="J26158" s="41"/>
    </row>
    <row r="26159" spans="5:10" s="34" customFormat="1" x14ac:dyDescent="0.35">
      <c r="E26159" s="35"/>
      <c r="J26159" s="41"/>
    </row>
    <row r="26160" spans="5:10" s="34" customFormat="1" x14ac:dyDescent="0.35">
      <c r="E26160" s="35"/>
      <c r="J26160" s="41"/>
    </row>
    <row r="26161" spans="5:10" s="34" customFormat="1" x14ac:dyDescent="0.35">
      <c r="E26161" s="35"/>
      <c r="J26161" s="41"/>
    </row>
    <row r="26162" spans="5:10" s="34" customFormat="1" x14ac:dyDescent="0.35">
      <c r="E26162" s="35"/>
      <c r="J26162" s="41"/>
    </row>
    <row r="26163" spans="5:10" s="34" customFormat="1" x14ac:dyDescent="0.35">
      <c r="E26163" s="35"/>
      <c r="J26163" s="41"/>
    </row>
    <row r="26164" spans="5:10" s="34" customFormat="1" x14ac:dyDescent="0.35">
      <c r="E26164" s="35"/>
      <c r="J26164" s="41"/>
    </row>
    <row r="26165" spans="5:10" s="34" customFormat="1" x14ac:dyDescent="0.35">
      <c r="E26165" s="35"/>
      <c r="J26165" s="41"/>
    </row>
    <row r="26166" spans="5:10" s="34" customFormat="1" x14ac:dyDescent="0.35">
      <c r="E26166" s="35"/>
      <c r="J26166" s="41"/>
    </row>
    <row r="26167" spans="5:10" s="34" customFormat="1" x14ac:dyDescent="0.35">
      <c r="E26167" s="35"/>
      <c r="J26167" s="41"/>
    </row>
    <row r="26168" spans="5:10" s="34" customFormat="1" x14ac:dyDescent="0.35">
      <c r="E26168" s="35"/>
      <c r="J26168" s="41"/>
    </row>
    <row r="26169" spans="5:10" s="34" customFormat="1" x14ac:dyDescent="0.35">
      <c r="E26169" s="35"/>
      <c r="J26169" s="41"/>
    </row>
    <row r="26170" spans="5:10" s="34" customFormat="1" x14ac:dyDescent="0.35">
      <c r="E26170" s="35"/>
      <c r="J26170" s="41"/>
    </row>
    <row r="26171" spans="5:10" s="34" customFormat="1" x14ac:dyDescent="0.35">
      <c r="E26171" s="35"/>
      <c r="J26171" s="41"/>
    </row>
    <row r="26172" spans="5:10" s="34" customFormat="1" x14ac:dyDescent="0.35">
      <c r="E26172" s="35"/>
      <c r="J26172" s="41"/>
    </row>
    <row r="26173" spans="5:10" s="34" customFormat="1" x14ac:dyDescent="0.35">
      <c r="E26173" s="35"/>
      <c r="J26173" s="41"/>
    </row>
    <row r="26174" spans="5:10" s="34" customFormat="1" x14ac:dyDescent="0.35">
      <c r="E26174" s="35"/>
      <c r="J26174" s="41"/>
    </row>
    <row r="26175" spans="5:10" s="34" customFormat="1" x14ac:dyDescent="0.35">
      <c r="E26175" s="35"/>
      <c r="J26175" s="41"/>
    </row>
    <row r="26176" spans="5:10" s="34" customFormat="1" x14ac:dyDescent="0.35">
      <c r="E26176" s="35"/>
      <c r="J26176" s="41"/>
    </row>
    <row r="26177" spans="5:10" s="34" customFormat="1" x14ac:dyDescent="0.35">
      <c r="E26177" s="35"/>
      <c r="J26177" s="41"/>
    </row>
    <row r="26178" spans="5:10" s="34" customFormat="1" x14ac:dyDescent="0.35">
      <c r="E26178" s="35"/>
      <c r="J26178" s="41"/>
    </row>
    <row r="26179" spans="5:10" s="34" customFormat="1" x14ac:dyDescent="0.35">
      <c r="E26179" s="35"/>
      <c r="J26179" s="41"/>
    </row>
    <row r="26180" spans="5:10" s="34" customFormat="1" x14ac:dyDescent="0.35">
      <c r="E26180" s="35"/>
      <c r="J26180" s="41"/>
    </row>
    <row r="26181" spans="5:10" s="34" customFormat="1" x14ac:dyDescent="0.35">
      <c r="E26181" s="35"/>
      <c r="J26181" s="41"/>
    </row>
    <row r="26182" spans="5:10" s="34" customFormat="1" x14ac:dyDescent="0.35">
      <c r="E26182" s="35"/>
      <c r="J26182" s="41"/>
    </row>
    <row r="26183" spans="5:10" s="34" customFormat="1" x14ac:dyDescent="0.35">
      <c r="E26183" s="35"/>
      <c r="J26183" s="41"/>
    </row>
    <row r="26184" spans="5:10" s="34" customFormat="1" x14ac:dyDescent="0.35">
      <c r="E26184" s="35"/>
      <c r="J26184" s="41"/>
    </row>
    <row r="26185" spans="5:10" s="34" customFormat="1" x14ac:dyDescent="0.35">
      <c r="E26185" s="35"/>
      <c r="J26185" s="41"/>
    </row>
    <row r="26186" spans="5:10" s="34" customFormat="1" x14ac:dyDescent="0.35">
      <c r="E26186" s="35"/>
      <c r="J26186" s="41"/>
    </row>
    <row r="26187" spans="5:10" s="34" customFormat="1" x14ac:dyDescent="0.35">
      <c r="E26187" s="35"/>
      <c r="J26187" s="41"/>
    </row>
    <row r="26188" spans="5:10" s="34" customFormat="1" x14ac:dyDescent="0.35">
      <c r="E26188" s="35"/>
      <c r="J26188" s="41"/>
    </row>
    <row r="26189" spans="5:10" s="34" customFormat="1" x14ac:dyDescent="0.35">
      <c r="E26189" s="35"/>
      <c r="J26189" s="41"/>
    </row>
    <row r="26190" spans="5:10" s="34" customFormat="1" x14ac:dyDescent="0.35">
      <c r="E26190" s="35"/>
      <c r="J26190" s="41"/>
    </row>
    <row r="26191" spans="5:10" s="34" customFormat="1" x14ac:dyDescent="0.35">
      <c r="E26191" s="35"/>
      <c r="J26191" s="41"/>
    </row>
    <row r="26192" spans="5:10" s="34" customFormat="1" x14ac:dyDescent="0.35">
      <c r="E26192" s="35"/>
      <c r="J26192" s="41"/>
    </row>
    <row r="26193" spans="5:10" s="34" customFormat="1" x14ac:dyDescent="0.35">
      <c r="E26193" s="35"/>
      <c r="J26193" s="41"/>
    </row>
    <row r="26194" spans="5:10" s="34" customFormat="1" x14ac:dyDescent="0.35">
      <c r="E26194" s="35"/>
      <c r="J26194" s="41"/>
    </row>
    <row r="26195" spans="5:10" s="34" customFormat="1" x14ac:dyDescent="0.35">
      <c r="E26195" s="35"/>
      <c r="J26195" s="41"/>
    </row>
    <row r="26196" spans="5:10" s="34" customFormat="1" x14ac:dyDescent="0.35">
      <c r="E26196" s="35"/>
      <c r="J26196" s="41"/>
    </row>
    <row r="26197" spans="5:10" s="34" customFormat="1" x14ac:dyDescent="0.35">
      <c r="E26197" s="35"/>
      <c r="J26197" s="41"/>
    </row>
    <row r="26198" spans="5:10" s="34" customFormat="1" x14ac:dyDescent="0.35">
      <c r="E26198" s="35"/>
      <c r="J26198" s="41"/>
    </row>
    <row r="26199" spans="5:10" s="34" customFormat="1" x14ac:dyDescent="0.35">
      <c r="E26199" s="35"/>
      <c r="J26199" s="41"/>
    </row>
    <row r="26200" spans="5:10" s="34" customFormat="1" x14ac:dyDescent="0.35">
      <c r="E26200" s="35"/>
      <c r="J26200" s="41"/>
    </row>
    <row r="26201" spans="5:10" s="34" customFormat="1" x14ac:dyDescent="0.35">
      <c r="E26201" s="35"/>
      <c r="J26201" s="41"/>
    </row>
    <row r="26202" spans="5:10" s="34" customFormat="1" x14ac:dyDescent="0.35">
      <c r="E26202" s="35"/>
      <c r="J26202" s="41"/>
    </row>
    <row r="26203" spans="5:10" s="34" customFormat="1" x14ac:dyDescent="0.35">
      <c r="E26203" s="35"/>
      <c r="J26203" s="41"/>
    </row>
    <row r="26204" spans="5:10" s="34" customFormat="1" x14ac:dyDescent="0.35">
      <c r="E26204" s="35"/>
      <c r="J26204" s="41"/>
    </row>
    <row r="26205" spans="5:10" s="34" customFormat="1" x14ac:dyDescent="0.35">
      <c r="E26205" s="35"/>
      <c r="J26205" s="41"/>
    </row>
    <row r="26206" spans="5:10" s="34" customFormat="1" x14ac:dyDescent="0.35">
      <c r="E26206" s="35"/>
      <c r="J26206" s="41"/>
    </row>
    <row r="26207" spans="5:10" s="34" customFormat="1" x14ac:dyDescent="0.35">
      <c r="E26207" s="35"/>
      <c r="J26207" s="41"/>
    </row>
    <row r="26208" spans="5:10" s="34" customFormat="1" x14ac:dyDescent="0.35">
      <c r="E26208" s="35"/>
      <c r="J26208" s="41"/>
    </row>
    <row r="26209" spans="5:10" s="34" customFormat="1" x14ac:dyDescent="0.35">
      <c r="E26209" s="35"/>
      <c r="J26209" s="41"/>
    </row>
    <row r="26210" spans="5:10" s="34" customFormat="1" x14ac:dyDescent="0.35">
      <c r="E26210" s="35"/>
      <c r="J26210" s="41"/>
    </row>
    <row r="26211" spans="5:10" s="34" customFormat="1" x14ac:dyDescent="0.35">
      <c r="E26211" s="35"/>
      <c r="J26211" s="41"/>
    </row>
    <row r="26212" spans="5:10" s="34" customFormat="1" x14ac:dyDescent="0.35">
      <c r="E26212" s="35"/>
      <c r="J26212" s="41"/>
    </row>
    <row r="26213" spans="5:10" s="34" customFormat="1" x14ac:dyDescent="0.35">
      <c r="E26213" s="35"/>
      <c r="J26213" s="41"/>
    </row>
    <row r="26214" spans="5:10" s="34" customFormat="1" x14ac:dyDescent="0.35">
      <c r="E26214" s="35"/>
      <c r="J26214" s="41"/>
    </row>
    <row r="26215" spans="5:10" s="34" customFormat="1" x14ac:dyDescent="0.35">
      <c r="E26215" s="35"/>
      <c r="J26215" s="41"/>
    </row>
    <row r="26216" spans="5:10" s="34" customFormat="1" x14ac:dyDescent="0.35">
      <c r="E26216" s="35"/>
      <c r="J26216" s="41"/>
    </row>
    <row r="26217" spans="5:10" s="34" customFormat="1" x14ac:dyDescent="0.35">
      <c r="E26217" s="35"/>
      <c r="J26217" s="41"/>
    </row>
    <row r="26218" spans="5:10" s="34" customFormat="1" x14ac:dyDescent="0.35">
      <c r="E26218" s="35"/>
      <c r="J26218" s="41"/>
    </row>
    <row r="26219" spans="5:10" s="34" customFormat="1" x14ac:dyDescent="0.35">
      <c r="E26219" s="35"/>
      <c r="J26219" s="41"/>
    </row>
    <row r="26220" spans="5:10" s="34" customFormat="1" x14ac:dyDescent="0.35">
      <c r="E26220" s="35"/>
      <c r="J26220" s="41"/>
    </row>
    <row r="26221" spans="5:10" s="34" customFormat="1" x14ac:dyDescent="0.35">
      <c r="E26221" s="35"/>
      <c r="J26221" s="41"/>
    </row>
    <row r="26222" spans="5:10" s="34" customFormat="1" x14ac:dyDescent="0.35">
      <c r="E26222" s="35"/>
      <c r="J26222" s="41"/>
    </row>
    <row r="26223" spans="5:10" s="34" customFormat="1" x14ac:dyDescent="0.35">
      <c r="E26223" s="35"/>
      <c r="J26223" s="41"/>
    </row>
    <row r="26224" spans="5:10" s="34" customFormat="1" x14ac:dyDescent="0.35">
      <c r="E26224" s="35"/>
      <c r="J26224" s="41"/>
    </row>
    <row r="26225" spans="5:10" s="34" customFormat="1" x14ac:dyDescent="0.35">
      <c r="E26225" s="35"/>
      <c r="J26225" s="41"/>
    </row>
    <row r="26226" spans="5:10" s="34" customFormat="1" x14ac:dyDescent="0.35">
      <c r="E26226" s="35"/>
      <c r="J26226" s="41"/>
    </row>
    <row r="26227" spans="5:10" s="34" customFormat="1" x14ac:dyDescent="0.35">
      <c r="E26227" s="35"/>
      <c r="J26227" s="41"/>
    </row>
    <row r="26228" spans="5:10" s="34" customFormat="1" x14ac:dyDescent="0.35">
      <c r="E26228" s="35"/>
      <c r="J26228" s="41"/>
    </row>
    <row r="26229" spans="5:10" s="34" customFormat="1" x14ac:dyDescent="0.35">
      <c r="E26229" s="35"/>
      <c r="J26229" s="41"/>
    </row>
    <row r="26230" spans="5:10" s="34" customFormat="1" x14ac:dyDescent="0.35">
      <c r="E26230" s="35"/>
      <c r="J26230" s="41"/>
    </row>
    <row r="26231" spans="5:10" s="34" customFormat="1" x14ac:dyDescent="0.35">
      <c r="E26231" s="35"/>
      <c r="J26231" s="41"/>
    </row>
    <row r="26232" spans="5:10" s="34" customFormat="1" x14ac:dyDescent="0.35">
      <c r="E26232" s="35"/>
      <c r="J26232" s="41"/>
    </row>
    <row r="26233" spans="5:10" s="34" customFormat="1" x14ac:dyDescent="0.35">
      <c r="E26233" s="35"/>
      <c r="J26233" s="41"/>
    </row>
    <row r="26234" spans="5:10" s="34" customFormat="1" x14ac:dyDescent="0.35">
      <c r="E26234" s="35"/>
      <c r="J26234" s="41"/>
    </row>
    <row r="26235" spans="5:10" s="34" customFormat="1" x14ac:dyDescent="0.35">
      <c r="E26235" s="35"/>
      <c r="J26235" s="41"/>
    </row>
    <row r="26236" spans="5:10" s="34" customFormat="1" x14ac:dyDescent="0.35">
      <c r="E26236" s="35"/>
      <c r="J26236" s="41"/>
    </row>
    <row r="26237" spans="5:10" s="34" customFormat="1" x14ac:dyDescent="0.35">
      <c r="E26237" s="35"/>
      <c r="J26237" s="41"/>
    </row>
    <row r="26238" spans="5:10" s="34" customFormat="1" x14ac:dyDescent="0.35">
      <c r="E26238" s="35"/>
      <c r="J26238" s="41"/>
    </row>
    <row r="26239" spans="5:10" s="34" customFormat="1" x14ac:dyDescent="0.35">
      <c r="E26239" s="35"/>
      <c r="J26239" s="41"/>
    </row>
    <row r="26240" spans="5:10" s="34" customFormat="1" x14ac:dyDescent="0.35">
      <c r="E26240" s="35"/>
      <c r="J26240" s="41"/>
    </row>
    <row r="26241" spans="5:10" s="34" customFormat="1" x14ac:dyDescent="0.35">
      <c r="E26241" s="35"/>
      <c r="J26241" s="41"/>
    </row>
    <row r="26242" spans="5:10" s="34" customFormat="1" x14ac:dyDescent="0.35">
      <c r="E26242" s="35"/>
      <c r="J26242" s="41"/>
    </row>
    <row r="26243" spans="5:10" s="34" customFormat="1" x14ac:dyDescent="0.35">
      <c r="E26243" s="35"/>
      <c r="J26243" s="41"/>
    </row>
    <row r="26244" spans="5:10" s="34" customFormat="1" x14ac:dyDescent="0.35">
      <c r="E26244" s="35"/>
      <c r="J26244" s="41"/>
    </row>
    <row r="26245" spans="5:10" s="34" customFormat="1" x14ac:dyDescent="0.35">
      <c r="E26245" s="35"/>
      <c r="J26245" s="41"/>
    </row>
    <row r="26246" spans="5:10" s="34" customFormat="1" x14ac:dyDescent="0.35">
      <c r="E26246" s="35"/>
      <c r="J26246" s="41"/>
    </row>
    <row r="26247" spans="5:10" s="34" customFormat="1" x14ac:dyDescent="0.35">
      <c r="E26247" s="35"/>
      <c r="J26247" s="41"/>
    </row>
    <row r="26248" spans="5:10" s="34" customFormat="1" x14ac:dyDescent="0.35">
      <c r="E26248" s="35"/>
      <c r="J26248" s="41"/>
    </row>
    <row r="26249" spans="5:10" s="34" customFormat="1" x14ac:dyDescent="0.35">
      <c r="E26249" s="35"/>
      <c r="J26249" s="41"/>
    </row>
    <row r="26250" spans="5:10" s="34" customFormat="1" x14ac:dyDescent="0.35">
      <c r="E26250" s="35"/>
      <c r="J26250" s="41"/>
    </row>
    <row r="26251" spans="5:10" s="34" customFormat="1" x14ac:dyDescent="0.35">
      <c r="E26251" s="35"/>
      <c r="J26251" s="41"/>
    </row>
    <row r="26252" spans="5:10" s="34" customFormat="1" x14ac:dyDescent="0.35">
      <c r="E26252" s="35"/>
      <c r="J26252" s="41"/>
    </row>
    <row r="26253" spans="5:10" s="34" customFormat="1" x14ac:dyDescent="0.35">
      <c r="E26253" s="35"/>
      <c r="J26253" s="41"/>
    </row>
    <row r="26254" spans="5:10" s="34" customFormat="1" x14ac:dyDescent="0.35">
      <c r="E26254" s="35"/>
      <c r="J26254" s="41"/>
    </row>
    <row r="26255" spans="5:10" s="34" customFormat="1" x14ac:dyDescent="0.35">
      <c r="E26255" s="35"/>
      <c r="J26255" s="41"/>
    </row>
    <row r="26256" spans="5:10" s="34" customFormat="1" x14ac:dyDescent="0.35">
      <c r="E26256" s="35"/>
      <c r="J26256" s="41"/>
    </row>
    <row r="26257" spans="5:10" s="34" customFormat="1" x14ac:dyDescent="0.35">
      <c r="E26257" s="35"/>
      <c r="J26257" s="41"/>
    </row>
    <row r="26258" spans="5:10" s="34" customFormat="1" x14ac:dyDescent="0.35">
      <c r="E26258" s="35"/>
      <c r="J26258" s="41"/>
    </row>
    <row r="26259" spans="5:10" s="34" customFormat="1" x14ac:dyDescent="0.35">
      <c r="E26259" s="35"/>
      <c r="J26259" s="41"/>
    </row>
    <row r="26260" spans="5:10" s="34" customFormat="1" x14ac:dyDescent="0.35">
      <c r="E26260" s="35"/>
      <c r="J26260" s="41"/>
    </row>
    <row r="26261" spans="5:10" s="34" customFormat="1" x14ac:dyDescent="0.35">
      <c r="E26261" s="35"/>
      <c r="J26261" s="41"/>
    </row>
    <row r="26262" spans="5:10" s="34" customFormat="1" x14ac:dyDescent="0.35">
      <c r="E26262" s="35"/>
      <c r="J26262" s="41"/>
    </row>
    <row r="26263" spans="5:10" s="34" customFormat="1" x14ac:dyDescent="0.35">
      <c r="E26263" s="35"/>
      <c r="J26263" s="41"/>
    </row>
    <row r="26264" spans="5:10" s="34" customFormat="1" x14ac:dyDescent="0.35">
      <c r="E26264" s="35"/>
      <c r="J26264" s="41"/>
    </row>
    <row r="26265" spans="5:10" s="34" customFormat="1" x14ac:dyDescent="0.35">
      <c r="E26265" s="35"/>
      <c r="J26265" s="41"/>
    </row>
    <row r="26266" spans="5:10" s="34" customFormat="1" x14ac:dyDescent="0.35">
      <c r="E26266" s="35"/>
      <c r="J26266" s="41"/>
    </row>
    <row r="26267" spans="5:10" s="34" customFormat="1" x14ac:dyDescent="0.35">
      <c r="E26267" s="35"/>
      <c r="J26267" s="41"/>
    </row>
    <row r="26268" spans="5:10" s="34" customFormat="1" x14ac:dyDescent="0.35">
      <c r="E26268" s="35"/>
      <c r="J26268" s="41"/>
    </row>
    <row r="26269" spans="5:10" s="34" customFormat="1" x14ac:dyDescent="0.35">
      <c r="E26269" s="35"/>
      <c r="J26269" s="41"/>
    </row>
    <row r="26270" spans="5:10" s="34" customFormat="1" x14ac:dyDescent="0.35">
      <c r="E26270" s="35"/>
      <c r="J26270" s="41"/>
    </row>
    <row r="26271" spans="5:10" s="34" customFormat="1" x14ac:dyDescent="0.35">
      <c r="E26271" s="35"/>
      <c r="J26271" s="41"/>
    </row>
    <row r="26272" spans="5:10" s="34" customFormat="1" x14ac:dyDescent="0.35">
      <c r="E26272" s="35"/>
      <c r="J26272" s="41"/>
    </row>
    <row r="26273" spans="5:10" s="34" customFormat="1" x14ac:dyDescent="0.35">
      <c r="E26273" s="35"/>
      <c r="J26273" s="41"/>
    </row>
    <row r="26274" spans="5:10" s="34" customFormat="1" x14ac:dyDescent="0.35">
      <c r="E26274" s="35"/>
      <c r="J26274" s="41"/>
    </row>
    <row r="26275" spans="5:10" s="34" customFormat="1" x14ac:dyDescent="0.35">
      <c r="E26275" s="35"/>
      <c r="J26275" s="41"/>
    </row>
    <row r="26276" spans="5:10" s="34" customFormat="1" x14ac:dyDescent="0.35">
      <c r="E26276" s="35"/>
      <c r="J26276" s="41"/>
    </row>
    <row r="26277" spans="5:10" s="34" customFormat="1" x14ac:dyDescent="0.35">
      <c r="E26277" s="35"/>
      <c r="J26277" s="41"/>
    </row>
    <row r="26278" spans="5:10" s="34" customFormat="1" x14ac:dyDescent="0.35">
      <c r="E26278" s="35"/>
      <c r="J26278" s="41"/>
    </row>
    <row r="26279" spans="5:10" s="34" customFormat="1" x14ac:dyDescent="0.35">
      <c r="E26279" s="35"/>
      <c r="J26279" s="41"/>
    </row>
    <row r="26280" spans="5:10" s="34" customFormat="1" x14ac:dyDescent="0.35">
      <c r="E26280" s="35"/>
      <c r="J26280" s="41"/>
    </row>
    <row r="26281" spans="5:10" s="34" customFormat="1" x14ac:dyDescent="0.35">
      <c r="E26281" s="35"/>
      <c r="J26281" s="41"/>
    </row>
    <row r="26282" spans="5:10" s="34" customFormat="1" x14ac:dyDescent="0.35">
      <c r="E26282" s="35"/>
      <c r="J26282" s="41"/>
    </row>
    <row r="26283" spans="5:10" s="34" customFormat="1" x14ac:dyDescent="0.35">
      <c r="E26283" s="35"/>
      <c r="J26283" s="41"/>
    </row>
    <row r="26284" spans="5:10" s="34" customFormat="1" x14ac:dyDescent="0.35">
      <c r="E26284" s="35"/>
      <c r="J26284" s="41"/>
    </row>
    <row r="26285" spans="5:10" s="34" customFormat="1" x14ac:dyDescent="0.35">
      <c r="E26285" s="35"/>
      <c r="J26285" s="41"/>
    </row>
    <row r="26286" spans="5:10" s="34" customFormat="1" x14ac:dyDescent="0.35">
      <c r="E26286" s="35"/>
      <c r="J26286" s="41"/>
    </row>
    <row r="26287" spans="5:10" s="34" customFormat="1" x14ac:dyDescent="0.35">
      <c r="E26287" s="35"/>
      <c r="J26287" s="41"/>
    </row>
    <row r="26288" spans="5:10" s="34" customFormat="1" x14ac:dyDescent="0.35">
      <c r="E26288" s="35"/>
      <c r="J26288" s="41"/>
    </row>
    <row r="26289" spans="5:10" s="34" customFormat="1" x14ac:dyDescent="0.35">
      <c r="E26289" s="35"/>
      <c r="J26289" s="41"/>
    </row>
    <row r="26290" spans="5:10" s="34" customFormat="1" x14ac:dyDescent="0.35">
      <c r="E26290" s="35"/>
      <c r="J26290" s="41"/>
    </row>
    <row r="26291" spans="5:10" s="34" customFormat="1" x14ac:dyDescent="0.35">
      <c r="E26291" s="35"/>
      <c r="J26291" s="41"/>
    </row>
    <row r="26292" spans="5:10" s="34" customFormat="1" x14ac:dyDescent="0.35">
      <c r="E26292" s="35"/>
      <c r="J26292" s="41"/>
    </row>
    <row r="26293" spans="5:10" s="34" customFormat="1" x14ac:dyDescent="0.35">
      <c r="E26293" s="35"/>
      <c r="J26293" s="41"/>
    </row>
    <row r="26294" spans="5:10" s="34" customFormat="1" x14ac:dyDescent="0.35">
      <c r="E26294" s="35"/>
      <c r="J26294" s="41"/>
    </row>
    <row r="26295" spans="5:10" s="34" customFormat="1" x14ac:dyDescent="0.35">
      <c r="E26295" s="35"/>
      <c r="J26295" s="41"/>
    </row>
    <row r="26296" spans="5:10" s="34" customFormat="1" x14ac:dyDescent="0.35">
      <c r="E26296" s="35"/>
      <c r="J26296" s="41"/>
    </row>
    <row r="26297" spans="5:10" s="34" customFormat="1" x14ac:dyDescent="0.35">
      <c r="E26297" s="35"/>
      <c r="J26297" s="41"/>
    </row>
    <row r="26298" spans="5:10" s="34" customFormat="1" x14ac:dyDescent="0.35">
      <c r="E26298" s="35"/>
      <c r="J26298" s="41"/>
    </row>
    <row r="26299" spans="5:10" s="34" customFormat="1" x14ac:dyDescent="0.35">
      <c r="E26299" s="35"/>
      <c r="J26299" s="41"/>
    </row>
    <row r="26300" spans="5:10" s="34" customFormat="1" x14ac:dyDescent="0.35">
      <c r="E26300" s="35"/>
      <c r="J26300" s="41"/>
    </row>
    <row r="26301" spans="5:10" s="34" customFormat="1" x14ac:dyDescent="0.35">
      <c r="E26301" s="35"/>
      <c r="J26301" s="41"/>
    </row>
    <row r="26302" spans="5:10" s="34" customFormat="1" x14ac:dyDescent="0.35">
      <c r="E26302" s="35"/>
      <c r="J26302" s="41"/>
    </row>
    <row r="26303" spans="5:10" s="34" customFormat="1" x14ac:dyDescent="0.35">
      <c r="E26303" s="35"/>
      <c r="J26303" s="41"/>
    </row>
    <row r="26304" spans="5:10" s="34" customFormat="1" x14ac:dyDescent="0.35">
      <c r="E26304" s="35"/>
      <c r="J26304" s="41"/>
    </row>
    <row r="26305" spans="5:10" s="34" customFormat="1" x14ac:dyDescent="0.35">
      <c r="E26305" s="35"/>
      <c r="J26305" s="41"/>
    </row>
    <row r="26306" spans="5:10" s="34" customFormat="1" x14ac:dyDescent="0.35">
      <c r="E26306" s="35"/>
      <c r="J26306" s="41"/>
    </row>
    <row r="26307" spans="5:10" s="34" customFormat="1" x14ac:dyDescent="0.35">
      <c r="E26307" s="35"/>
      <c r="J26307" s="41"/>
    </row>
    <row r="26308" spans="5:10" s="34" customFormat="1" x14ac:dyDescent="0.35">
      <c r="E26308" s="35"/>
      <c r="J26308" s="41"/>
    </row>
    <row r="26309" spans="5:10" s="34" customFormat="1" x14ac:dyDescent="0.35">
      <c r="E26309" s="35"/>
      <c r="J26309" s="41"/>
    </row>
    <row r="26310" spans="5:10" s="34" customFormat="1" x14ac:dyDescent="0.35">
      <c r="E26310" s="35"/>
      <c r="J26310" s="41"/>
    </row>
    <row r="26311" spans="5:10" s="34" customFormat="1" x14ac:dyDescent="0.35">
      <c r="E26311" s="35"/>
      <c r="J26311" s="41"/>
    </row>
    <row r="26312" spans="5:10" s="34" customFormat="1" x14ac:dyDescent="0.35">
      <c r="E26312" s="35"/>
      <c r="J26312" s="41"/>
    </row>
    <row r="26313" spans="5:10" s="34" customFormat="1" x14ac:dyDescent="0.35">
      <c r="E26313" s="35"/>
      <c r="J26313" s="41"/>
    </row>
    <row r="26314" spans="5:10" s="34" customFormat="1" x14ac:dyDescent="0.35">
      <c r="E26314" s="35"/>
      <c r="J26314" s="41"/>
    </row>
    <row r="26315" spans="5:10" s="34" customFormat="1" x14ac:dyDescent="0.35">
      <c r="E26315" s="35"/>
      <c r="J26315" s="41"/>
    </row>
    <row r="26316" spans="5:10" s="34" customFormat="1" x14ac:dyDescent="0.35">
      <c r="E26316" s="35"/>
      <c r="J26316" s="41"/>
    </row>
    <row r="26317" spans="5:10" s="34" customFormat="1" x14ac:dyDescent="0.35">
      <c r="E26317" s="35"/>
      <c r="J26317" s="41"/>
    </row>
    <row r="26318" spans="5:10" s="34" customFormat="1" x14ac:dyDescent="0.35">
      <c r="E26318" s="35"/>
      <c r="J26318" s="41"/>
    </row>
    <row r="26319" spans="5:10" s="34" customFormat="1" x14ac:dyDescent="0.35">
      <c r="E26319" s="35"/>
      <c r="J26319" s="41"/>
    </row>
    <row r="26320" spans="5:10" s="34" customFormat="1" x14ac:dyDescent="0.35">
      <c r="E26320" s="35"/>
      <c r="J26320" s="41"/>
    </row>
    <row r="26321" spans="5:10" s="34" customFormat="1" x14ac:dyDescent="0.35">
      <c r="E26321" s="35"/>
      <c r="J26321" s="41"/>
    </row>
    <row r="26322" spans="5:10" s="34" customFormat="1" x14ac:dyDescent="0.35">
      <c r="E26322" s="35"/>
      <c r="J26322" s="41"/>
    </row>
    <row r="26323" spans="5:10" s="34" customFormat="1" x14ac:dyDescent="0.35">
      <c r="E26323" s="35"/>
      <c r="J26323" s="41"/>
    </row>
    <row r="26324" spans="5:10" s="34" customFormat="1" x14ac:dyDescent="0.35">
      <c r="E26324" s="35"/>
      <c r="J26324" s="41"/>
    </row>
    <row r="26325" spans="5:10" s="34" customFormat="1" x14ac:dyDescent="0.35">
      <c r="E26325" s="35"/>
      <c r="J26325" s="41"/>
    </row>
    <row r="26326" spans="5:10" s="34" customFormat="1" x14ac:dyDescent="0.35">
      <c r="E26326" s="35"/>
      <c r="J26326" s="41"/>
    </row>
    <row r="26327" spans="5:10" s="34" customFormat="1" x14ac:dyDescent="0.35">
      <c r="E26327" s="35"/>
      <c r="J26327" s="41"/>
    </row>
    <row r="26328" spans="5:10" s="34" customFormat="1" x14ac:dyDescent="0.35">
      <c r="E26328" s="35"/>
      <c r="J26328" s="41"/>
    </row>
    <row r="26329" spans="5:10" s="34" customFormat="1" x14ac:dyDescent="0.35">
      <c r="E26329" s="35"/>
      <c r="J26329" s="41"/>
    </row>
    <row r="26330" spans="5:10" s="34" customFormat="1" x14ac:dyDescent="0.35">
      <c r="E26330" s="35"/>
      <c r="J26330" s="41"/>
    </row>
    <row r="26331" spans="5:10" s="34" customFormat="1" x14ac:dyDescent="0.35">
      <c r="E26331" s="35"/>
      <c r="J26331" s="41"/>
    </row>
    <row r="26332" spans="5:10" s="34" customFormat="1" x14ac:dyDescent="0.35">
      <c r="E26332" s="35"/>
      <c r="J26332" s="41"/>
    </row>
    <row r="26333" spans="5:10" s="34" customFormat="1" x14ac:dyDescent="0.35">
      <c r="E26333" s="35"/>
      <c r="J26333" s="41"/>
    </row>
    <row r="26334" spans="5:10" s="34" customFormat="1" x14ac:dyDescent="0.35">
      <c r="E26334" s="35"/>
      <c r="J26334" s="41"/>
    </row>
    <row r="26335" spans="5:10" s="34" customFormat="1" x14ac:dyDescent="0.35">
      <c r="E26335" s="35"/>
      <c r="J26335" s="41"/>
    </row>
    <row r="26336" spans="5:10" s="34" customFormat="1" x14ac:dyDescent="0.35">
      <c r="E26336" s="35"/>
      <c r="J26336" s="41"/>
    </row>
    <row r="26337" spans="5:10" s="34" customFormat="1" x14ac:dyDescent="0.35">
      <c r="E26337" s="35"/>
      <c r="J26337" s="41"/>
    </row>
    <row r="26338" spans="5:10" s="34" customFormat="1" x14ac:dyDescent="0.35">
      <c r="E26338" s="35"/>
      <c r="J26338" s="41"/>
    </row>
    <row r="26339" spans="5:10" s="34" customFormat="1" x14ac:dyDescent="0.35">
      <c r="E26339" s="35"/>
      <c r="J26339" s="41"/>
    </row>
    <row r="26340" spans="5:10" s="34" customFormat="1" x14ac:dyDescent="0.35">
      <c r="E26340" s="35"/>
      <c r="J26340" s="41"/>
    </row>
    <row r="26341" spans="5:10" s="34" customFormat="1" x14ac:dyDescent="0.35">
      <c r="E26341" s="35"/>
      <c r="J26341" s="41"/>
    </row>
    <row r="26342" spans="5:10" s="34" customFormat="1" x14ac:dyDescent="0.35">
      <c r="E26342" s="35"/>
      <c r="J26342" s="41"/>
    </row>
    <row r="26343" spans="5:10" s="34" customFormat="1" x14ac:dyDescent="0.35">
      <c r="E26343" s="35"/>
      <c r="J26343" s="41"/>
    </row>
    <row r="26344" spans="5:10" s="34" customFormat="1" x14ac:dyDescent="0.35">
      <c r="E26344" s="35"/>
      <c r="J26344" s="41"/>
    </row>
    <row r="26345" spans="5:10" s="34" customFormat="1" x14ac:dyDescent="0.35">
      <c r="E26345" s="35"/>
      <c r="J26345" s="41"/>
    </row>
    <row r="26346" spans="5:10" s="34" customFormat="1" x14ac:dyDescent="0.35">
      <c r="E26346" s="35"/>
      <c r="J26346" s="41"/>
    </row>
    <row r="26347" spans="5:10" s="34" customFormat="1" x14ac:dyDescent="0.35">
      <c r="E26347" s="35"/>
      <c r="J26347" s="41"/>
    </row>
    <row r="26348" spans="5:10" s="34" customFormat="1" x14ac:dyDescent="0.35">
      <c r="E26348" s="35"/>
      <c r="J26348" s="41"/>
    </row>
    <row r="26349" spans="5:10" s="34" customFormat="1" x14ac:dyDescent="0.35">
      <c r="E26349" s="35"/>
      <c r="J26349" s="41"/>
    </row>
    <row r="26350" spans="5:10" s="34" customFormat="1" x14ac:dyDescent="0.35">
      <c r="E26350" s="35"/>
      <c r="J26350" s="41"/>
    </row>
    <row r="26351" spans="5:10" s="34" customFormat="1" x14ac:dyDescent="0.35">
      <c r="E26351" s="35"/>
      <c r="J26351" s="41"/>
    </row>
    <row r="26352" spans="5:10" s="34" customFormat="1" x14ac:dyDescent="0.35">
      <c r="E26352" s="35"/>
      <c r="J26352" s="41"/>
    </row>
    <row r="26353" spans="5:10" s="34" customFormat="1" x14ac:dyDescent="0.35">
      <c r="E26353" s="35"/>
      <c r="J26353" s="41"/>
    </row>
    <row r="26354" spans="5:10" s="34" customFormat="1" x14ac:dyDescent="0.35">
      <c r="E26354" s="35"/>
      <c r="J26354" s="41"/>
    </row>
    <row r="26355" spans="5:10" s="34" customFormat="1" x14ac:dyDescent="0.35">
      <c r="E26355" s="35"/>
      <c r="J26355" s="41"/>
    </row>
    <row r="26356" spans="5:10" s="34" customFormat="1" x14ac:dyDescent="0.35">
      <c r="E26356" s="35"/>
      <c r="J26356" s="41"/>
    </row>
    <row r="26357" spans="5:10" s="34" customFormat="1" x14ac:dyDescent="0.35">
      <c r="E26357" s="35"/>
      <c r="J26357" s="41"/>
    </row>
    <row r="26358" spans="5:10" s="34" customFormat="1" x14ac:dyDescent="0.35">
      <c r="E26358" s="35"/>
      <c r="J26358" s="41"/>
    </row>
    <row r="26359" spans="5:10" s="34" customFormat="1" x14ac:dyDescent="0.35">
      <c r="E26359" s="35"/>
      <c r="J26359" s="41"/>
    </row>
    <row r="26360" spans="5:10" s="34" customFormat="1" x14ac:dyDescent="0.35">
      <c r="E26360" s="35"/>
      <c r="J26360" s="41"/>
    </row>
    <row r="26361" spans="5:10" s="34" customFormat="1" x14ac:dyDescent="0.35">
      <c r="E26361" s="35"/>
      <c r="J26361" s="41"/>
    </row>
    <row r="26362" spans="5:10" s="34" customFormat="1" x14ac:dyDescent="0.35">
      <c r="E26362" s="35"/>
      <c r="J26362" s="41"/>
    </row>
    <row r="26363" spans="5:10" s="34" customFormat="1" x14ac:dyDescent="0.35">
      <c r="E26363" s="35"/>
      <c r="J26363" s="41"/>
    </row>
    <row r="26364" spans="5:10" s="34" customFormat="1" x14ac:dyDescent="0.35">
      <c r="E26364" s="35"/>
      <c r="J26364" s="41"/>
    </row>
    <row r="26365" spans="5:10" s="34" customFormat="1" x14ac:dyDescent="0.35">
      <c r="E26365" s="35"/>
      <c r="J26365" s="41"/>
    </row>
    <row r="26366" spans="5:10" s="34" customFormat="1" x14ac:dyDescent="0.35">
      <c r="E26366" s="35"/>
      <c r="J26366" s="41"/>
    </row>
    <row r="26367" spans="5:10" s="34" customFormat="1" x14ac:dyDescent="0.35">
      <c r="E26367" s="35"/>
      <c r="J26367" s="41"/>
    </row>
    <row r="26368" spans="5:10" s="34" customFormat="1" x14ac:dyDescent="0.35">
      <c r="E26368" s="35"/>
      <c r="J26368" s="41"/>
    </row>
    <row r="26369" spans="5:10" s="34" customFormat="1" x14ac:dyDescent="0.35">
      <c r="E26369" s="35"/>
      <c r="J26369" s="41"/>
    </row>
    <row r="26370" spans="5:10" s="34" customFormat="1" x14ac:dyDescent="0.35">
      <c r="E26370" s="35"/>
      <c r="J26370" s="41"/>
    </row>
    <row r="26371" spans="5:10" s="34" customFormat="1" x14ac:dyDescent="0.35">
      <c r="E26371" s="35"/>
      <c r="J26371" s="41"/>
    </row>
    <row r="26372" spans="5:10" s="34" customFormat="1" x14ac:dyDescent="0.35">
      <c r="E26372" s="35"/>
      <c r="J26372" s="41"/>
    </row>
    <row r="26373" spans="5:10" s="34" customFormat="1" x14ac:dyDescent="0.35">
      <c r="E26373" s="35"/>
      <c r="J26373" s="41"/>
    </row>
    <row r="26374" spans="5:10" s="34" customFormat="1" x14ac:dyDescent="0.35">
      <c r="E26374" s="35"/>
      <c r="J26374" s="41"/>
    </row>
    <row r="26375" spans="5:10" s="34" customFormat="1" x14ac:dyDescent="0.35">
      <c r="E26375" s="35"/>
      <c r="J26375" s="41"/>
    </row>
    <row r="26376" spans="5:10" s="34" customFormat="1" x14ac:dyDescent="0.35">
      <c r="E26376" s="35"/>
      <c r="J26376" s="41"/>
    </row>
    <row r="26377" spans="5:10" s="34" customFormat="1" x14ac:dyDescent="0.35">
      <c r="E26377" s="35"/>
      <c r="J26377" s="41"/>
    </row>
    <row r="26378" spans="5:10" s="34" customFormat="1" x14ac:dyDescent="0.35">
      <c r="E26378" s="35"/>
      <c r="J26378" s="41"/>
    </row>
    <row r="26379" spans="5:10" s="34" customFormat="1" x14ac:dyDescent="0.35">
      <c r="E26379" s="35"/>
      <c r="J26379" s="41"/>
    </row>
    <row r="26380" spans="5:10" s="34" customFormat="1" x14ac:dyDescent="0.35">
      <c r="E26380" s="35"/>
      <c r="J26380" s="41"/>
    </row>
    <row r="26381" spans="5:10" s="34" customFormat="1" x14ac:dyDescent="0.35">
      <c r="E26381" s="35"/>
      <c r="J26381" s="41"/>
    </row>
    <row r="26382" spans="5:10" s="34" customFormat="1" x14ac:dyDescent="0.35">
      <c r="E26382" s="35"/>
      <c r="J26382" s="41"/>
    </row>
    <row r="26383" spans="5:10" s="34" customFormat="1" x14ac:dyDescent="0.35">
      <c r="E26383" s="35"/>
      <c r="J26383" s="41"/>
    </row>
    <row r="26384" spans="5:10" s="34" customFormat="1" x14ac:dyDescent="0.35">
      <c r="E26384" s="35"/>
      <c r="J26384" s="41"/>
    </row>
    <row r="26385" spans="5:10" s="34" customFormat="1" x14ac:dyDescent="0.35">
      <c r="E26385" s="35"/>
      <c r="J26385" s="41"/>
    </row>
    <row r="26386" spans="5:10" s="34" customFormat="1" x14ac:dyDescent="0.35">
      <c r="E26386" s="35"/>
      <c r="J26386" s="41"/>
    </row>
    <row r="26387" spans="5:10" s="34" customFormat="1" x14ac:dyDescent="0.35">
      <c r="E26387" s="35"/>
      <c r="J26387" s="41"/>
    </row>
    <row r="26388" spans="5:10" s="34" customFormat="1" x14ac:dyDescent="0.35">
      <c r="E26388" s="35"/>
      <c r="J26388" s="41"/>
    </row>
    <row r="26389" spans="5:10" s="34" customFormat="1" x14ac:dyDescent="0.35">
      <c r="E26389" s="35"/>
      <c r="J26389" s="41"/>
    </row>
    <row r="26390" spans="5:10" s="34" customFormat="1" x14ac:dyDescent="0.35">
      <c r="E26390" s="35"/>
      <c r="J26390" s="41"/>
    </row>
    <row r="26391" spans="5:10" s="34" customFormat="1" x14ac:dyDescent="0.35">
      <c r="E26391" s="35"/>
      <c r="J26391" s="41"/>
    </row>
    <row r="26392" spans="5:10" s="34" customFormat="1" x14ac:dyDescent="0.35">
      <c r="E26392" s="35"/>
      <c r="J26392" s="41"/>
    </row>
    <row r="26393" spans="5:10" s="34" customFormat="1" x14ac:dyDescent="0.35">
      <c r="E26393" s="35"/>
      <c r="J26393" s="41"/>
    </row>
    <row r="26394" spans="5:10" s="34" customFormat="1" x14ac:dyDescent="0.35">
      <c r="E26394" s="35"/>
      <c r="J26394" s="41"/>
    </row>
    <row r="26395" spans="5:10" s="34" customFormat="1" x14ac:dyDescent="0.35">
      <c r="E26395" s="35"/>
      <c r="J26395" s="41"/>
    </row>
    <row r="26396" spans="5:10" s="34" customFormat="1" x14ac:dyDescent="0.35">
      <c r="E26396" s="35"/>
      <c r="J26396" s="41"/>
    </row>
    <row r="26397" spans="5:10" s="34" customFormat="1" x14ac:dyDescent="0.35">
      <c r="E26397" s="35"/>
      <c r="J26397" s="41"/>
    </row>
    <row r="26398" spans="5:10" s="34" customFormat="1" x14ac:dyDescent="0.35">
      <c r="E26398" s="35"/>
      <c r="J26398" s="41"/>
    </row>
    <row r="26399" spans="5:10" s="34" customFormat="1" x14ac:dyDescent="0.35">
      <c r="E26399" s="35"/>
      <c r="J26399" s="41"/>
    </row>
    <row r="26400" spans="5:10" s="34" customFormat="1" x14ac:dyDescent="0.35">
      <c r="E26400" s="35"/>
      <c r="J26400" s="41"/>
    </row>
    <row r="26401" spans="5:10" s="34" customFormat="1" x14ac:dyDescent="0.35">
      <c r="E26401" s="35"/>
      <c r="J26401" s="41"/>
    </row>
    <row r="26402" spans="5:10" s="34" customFormat="1" x14ac:dyDescent="0.35">
      <c r="E26402" s="35"/>
      <c r="J26402" s="41"/>
    </row>
    <row r="26403" spans="5:10" s="34" customFormat="1" x14ac:dyDescent="0.35">
      <c r="E26403" s="35"/>
      <c r="J26403" s="41"/>
    </row>
    <row r="26404" spans="5:10" s="34" customFormat="1" x14ac:dyDescent="0.35">
      <c r="E26404" s="35"/>
      <c r="J26404" s="41"/>
    </row>
    <row r="26405" spans="5:10" s="34" customFormat="1" x14ac:dyDescent="0.35">
      <c r="E26405" s="35"/>
      <c r="J26405" s="41"/>
    </row>
    <row r="26406" spans="5:10" s="34" customFormat="1" x14ac:dyDescent="0.35">
      <c r="E26406" s="35"/>
      <c r="J26406" s="41"/>
    </row>
    <row r="26407" spans="5:10" s="34" customFormat="1" x14ac:dyDescent="0.35">
      <c r="E26407" s="35"/>
      <c r="J26407" s="41"/>
    </row>
    <row r="26408" spans="5:10" s="34" customFormat="1" x14ac:dyDescent="0.35">
      <c r="E26408" s="35"/>
      <c r="J26408" s="41"/>
    </row>
    <row r="26409" spans="5:10" s="34" customFormat="1" x14ac:dyDescent="0.35">
      <c r="E26409" s="35"/>
      <c r="J26409" s="41"/>
    </row>
    <row r="26410" spans="5:10" s="34" customFormat="1" x14ac:dyDescent="0.35">
      <c r="E26410" s="35"/>
      <c r="J26410" s="41"/>
    </row>
    <row r="26411" spans="5:10" s="34" customFormat="1" x14ac:dyDescent="0.35">
      <c r="E26411" s="35"/>
      <c r="J26411" s="41"/>
    </row>
    <row r="26412" spans="5:10" s="34" customFormat="1" x14ac:dyDescent="0.35">
      <c r="E26412" s="35"/>
      <c r="J26412" s="41"/>
    </row>
    <row r="26413" spans="5:10" s="34" customFormat="1" x14ac:dyDescent="0.35">
      <c r="E26413" s="35"/>
      <c r="J26413" s="41"/>
    </row>
    <row r="26414" spans="5:10" s="34" customFormat="1" x14ac:dyDescent="0.35">
      <c r="E26414" s="35"/>
      <c r="J26414" s="41"/>
    </row>
    <row r="26415" spans="5:10" s="34" customFormat="1" x14ac:dyDescent="0.35">
      <c r="E26415" s="35"/>
      <c r="J26415" s="41"/>
    </row>
    <row r="26416" spans="5:10" s="34" customFormat="1" x14ac:dyDescent="0.35">
      <c r="E26416" s="35"/>
      <c r="J26416" s="41"/>
    </row>
    <row r="26417" spans="5:10" s="34" customFormat="1" x14ac:dyDescent="0.35">
      <c r="E26417" s="35"/>
      <c r="J26417" s="41"/>
    </row>
    <row r="26418" spans="5:10" s="34" customFormat="1" x14ac:dyDescent="0.35">
      <c r="E26418" s="35"/>
      <c r="J26418" s="41"/>
    </row>
    <row r="26419" spans="5:10" s="34" customFormat="1" x14ac:dyDescent="0.35">
      <c r="E26419" s="35"/>
      <c r="J26419" s="41"/>
    </row>
    <row r="26420" spans="5:10" s="34" customFormat="1" x14ac:dyDescent="0.35">
      <c r="E26420" s="35"/>
      <c r="J26420" s="41"/>
    </row>
    <row r="26421" spans="5:10" s="34" customFormat="1" x14ac:dyDescent="0.35">
      <c r="E26421" s="35"/>
      <c r="J26421" s="41"/>
    </row>
    <row r="26422" spans="5:10" s="34" customFormat="1" x14ac:dyDescent="0.35">
      <c r="E26422" s="35"/>
      <c r="J26422" s="41"/>
    </row>
    <row r="26423" spans="5:10" s="34" customFormat="1" x14ac:dyDescent="0.35">
      <c r="E26423" s="35"/>
      <c r="J26423" s="41"/>
    </row>
    <row r="26424" spans="5:10" s="34" customFormat="1" x14ac:dyDescent="0.35">
      <c r="E26424" s="35"/>
      <c r="J26424" s="41"/>
    </row>
    <row r="26425" spans="5:10" s="34" customFormat="1" x14ac:dyDescent="0.35">
      <c r="E26425" s="35"/>
      <c r="J26425" s="41"/>
    </row>
    <row r="26426" spans="5:10" s="34" customFormat="1" x14ac:dyDescent="0.35">
      <c r="E26426" s="35"/>
      <c r="J26426" s="41"/>
    </row>
    <row r="26427" spans="5:10" s="34" customFormat="1" x14ac:dyDescent="0.35">
      <c r="E26427" s="35"/>
      <c r="J26427" s="41"/>
    </row>
    <row r="26428" spans="5:10" s="34" customFormat="1" x14ac:dyDescent="0.35">
      <c r="E26428" s="35"/>
      <c r="J26428" s="41"/>
    </row>
    <row r="26429" spans="5:10" s="34" customFormat="1" x14ac:dyDescent="0.35">
      <c r="E26429" s="35"/>
      <c r="J26429" s="41"/>
    </row>
    <row r="26430" spans="5:10" s="34" customFormat="1" x14ac:dyDescent="0.35">
      <c r="E26430" s="35"/>
      <c r="J26430" s="41"/>
    </row>
    <row r="26431" spans="5:10" s="34" customFormat="1" x14ac:dyDescent="0.35">
      <c r="E26431" s="35"/>
      <c r="J26431" s="41"/>
    </row>
    <row r="26432" spans="5:10" s="34" customFormat="1" x14ac:dyDescent="0.35">
      <c r="E26432" s="35"/>
      <c r="J26432" s="41"/>
    </row>
    <row r="26433" spans="5:10" s="34" customFormat="1" x14ac:dyDescent="0.35">
      <c r="E26433" s="35"/>
      <c r="J26433" s="41"/>
    </row>
    <row r="26434" spans="5:10" s="34" customFormat="1" x14ac:dyDescent="0.35">
      <c r="E26434" s="35"/>
      <c r="J26434" s="41"/>
    </row>
    <row r="26435" spans="5:10" s="34" customFormat="1" x14ac:dyDescent="0.35">
      <c r="E26435" s="35"/>
      <c r="J26435" s="41"/>
    </row>
    <row r="26436" spans="5:10" s="34" customFormat="1" x14ac:dyDescent="0.35">
      <c r="E26436" s="35"/>
      <c r="J26436" s="41"/>
    </row>
    <row r="26437" spans="5:10" s="34" customFormat="1" x14ac:dyDescent="0.35">
      <c r="E26437" s="35"/>
      <c r="J26437" s="41"/>
    </row>
    <row r="26438" spans="5:10" s="34" customFormat="1" x14ac:dyDescent="0.35">
      <c r="E26438" s="35"/>
      <c r="J26438" s="41"/>
    </row>
    <row r="26439" spans="5:10" s="34" customFormat="1" x14ac:dyDescent="0.35">
      <c r="E26439" s="35"/>
      <c r="J26439" s="41"/>
    </row>
    <row r="26440" spans="5:10" s="34" customFormat="1" x14ac:dyDescent="0.35">
      <c r="E26440" s="35"/>
      <c r="J26440" s="41"/>
    </row>
    <row r="26441" spans="5:10" s="34" customFormat="1" x14ac:dyDescent="0.35">
      <c r="E26441" s="35"/>
      <c r="J26441" s="41"/>
    </row>
    <row r="26442" spans="5:10" s="34" customFormat="1" x14ac:dyDescent="0.35">
      <c r="E26442" s="35"/>
      <c r="J26442" s="41"/>
    </row>
    <row r="26443" spans="5:10" s="34" customFormat="1" x14ac:dyDescent="0.35">
      <c r="E26443" s="35"/>
      <c r="J26443" s="41"/>
    </row>
    <row r="26444" spans="5:10" s="34" customFormat="1" x14ac:dyDescent="0.35">
      <c r="E26444" s="35"/>
      <c r="J26444" s="41"/>
    </row>
    <row r="26445" spans="5:10" s="34" customFormat="1" x14ac:dyDescent="0.35">
      <c r="E26445" s="35"/>
      <c r="J26445" s="41"/>
    </row>
    <row r="26446" spans="5:10" s="34" customFormat="1" x14ac:dyDescent="0.35">
      <c r="E26446" s="35"/>
      <c r="J26446" s="41"/>
    </row>
    <row r="26447" spans="5:10" s="34" customFormat="1" x14ac:dyDescent="0.35">
      <c r="E26447" s="35"/>
      <c r="J26447" s="41"/>
    </row>
    <row r="26448" spans="5:10" s="34" customFormat="1" x14ac:dyDescent="0.35">
      <c r="E26448" s="35"/>
      <c r="J26448" s="41"/>
    </row>
    <row r="26449" spans="5:10" s="34" customFormat="1" x14ac:dyDescent="0.35">
      <c r="E26449" s="35"/>
      <c r="J26449" s="41"/>
    </row>
    <row r="26450" spans="5:10" s="34" customFormat="1" x14ac:dyDescent="0.35">
      <c r="E26450" s="35"/>
      <c r="J26450" s="41"/>
    </row>
    <row r="26451" spans="5:10" s="34" customFormat="1" x14ac:dyDescent="0.35">
      <c r="E26451" s="35"/>
      <c r="J26451" s="41"/>
    </row>
    <row r="26452" spans="5:10" s="34" customFormat="1" x14ac:dyDescent="0.35">
      <c r="E26452" s="35"/>
      <c r="J26452" s="41"/>
    </row>
    <row r="26453" spans="5:10" s="34" customFormat="1" x14ac:dyDescent="0.35">
      <c r="E26453" s="35"/>
      <c r="J26453" s="41"/>
    </row>
    <row r="26454" spans="5:10" s="34" customFormat="1" x14ac:dyDescent="0.35">
      <c r="E26454" s="35"/>
      <c r="J26454" s="41"/>
    </row>
    <row r="26455" spans="5:10" s="34" customFormat="1" x14ac:dyDescent="0.35">
      <c r="E26455" s="35"/>
      <c r="J26455" s="41"/>
    </row>
    <row r="26456" spans="5:10" s="34" customFormat="1" x14ac:dyDescent="0.35">
      <c r="E26456" s="35"/>
      <c r="J26456" s="41"/>
    </row>
    <row r="26457" spans="5:10" s="34" customFormat="1" x14ac:dyDescent="0.35">
      <c r="E26457" s="35"/>
      <c r="J26457" s="41"/>
    </row>
    <row r="26458" spans="5:10" s="34" customFormat="1" x14ac:dyDescent="0.35">
      <c r="E26458" s="35"/>
      <c r="J26458" s="41"/>
    </row>
    <row r="26459" spans="5:10" s="34" customFormat="1" x14ac:dyDescent="0.35">
      <c r="E26459" s="35"/>
      <c r="J26459" s="41"/>
    </row>
    <row r="26460" spans="5:10" s="34" customFormat="1" x14ac:dyDescent="0.35">
      <c r="E26460" s="35"/>
      <c r="J26460" s="41"/>
    </row>
    <row r="26461" spans="5:10" s="34" customFormat="1" x14ac:dyDescent="0.35">
      <c r="E26461" s="35"/>
      <c r="J26461" s="41"/>
    </row>
    <row r="26462" spans="5:10" s="34" customFormat="1" x14ac:dyDescent="0.35">
      <c r="E26462" s="35"/>
      <c r="J26462" s="41"/>
    </row>
    <row r="26463" spans="5:10" s="34" customFormat="1" x14ac:dyDescent="0.35">
      <c r="E26463" s="35"/>
      <c r="J26463" s="41"/>
    </row>
    <row r="26464" spans="5:10" s="34" customFormat="1" x14ac:dyDescent="0.35">
      <c r="E26464" s="35"/>
      <c r="J26464" s="41"/>
    </row>
    <row r="26465" spans="5:10" s="34" customFormat="1" x14ac:dyDescent="0.35">
      <c r="E26465" s="35"/>
      <c r="J26465" s="41"/>
    </row>
    <row r="26466" spans="5:10" s="34" customFormat="1" x14ac:dyDescent="0.35">
      <c r="E26466" s="35"/>
      <c r="J26466" s="41"/>
    </row>
    <row r="26467" spans="5:10" s="34" customFormat="1" x14ac:dyDescent="0.35">
      <c r="E26467" s="35"/>
      <c r="J26467" s="41"/>
    </row>
    <row r="26468" spans="5:10" s="34" customFormat="1" x14ac:dyDescent="0.35">
      <c r="E26468" s="35"/>
      <c r="J26468" s="41"/>
    </row>
    <row r="26469" spans="5:10" s="34" customFormat="1" x14ac:dyDescent="0.35">
      <c r="E26469" s="35"/>
      <c r="J26469" s="41"/>
    </row>
    <row r="26470" spans="5:10" s="34" customFormat="1" x14ac:dyDescent="0.35">
      <c r="E26470" s="35"/>
      <c r="J26470" s="41"/>
    </row>
    <row r="26471" spans="5:10" s="34" customFormat="1" x14ac:dyDescent="0.35">
      <c r="E26471" s="35"/>
      <c r="J26471" s="41"/>
    </row>
    <row r="26472" spans="5:10" s="34" customFormat="1" x14ac:dyDescent="0.35">
      <c r="E26472" s="35"/>
      <c r="J26472" s="41"/>
    </row>
    <row r="26473" spans="5:10" s="34" customFormat="1" x14ac:dyDescent="0.35">
      <c r="E26473" s="35"/>
      <c r="J26473" s="41"/>
    </row>
    <row r="26474" spans="5:10" s="34" customFormat="1" x14ac:dyDescent="0.35">
      <c r="E26474" s="35"/>
      <c r="J26474" s="41"/>
    </row>
    <row r="26475" spans="5:10" s="34" customFormat="1" x14ac:dyDescent="0.35">
      <c r="E26475" s="35"/>
      <c r="J26475" s="41"/>
    </row>
    <row r="26476" spans="5:10" s="34" customFormat="1" x14ac:dyDescent="0.35">
      <c r="E26476" s="35"/>
      <c r="J26476" s="41"/>
    </row>
    <row r="26477" spans="5:10" s="34" customFormat="1" x14ac:dyDescent="0.35">
      <c r="E26477" s="35"/>
      <c r="J26477" s="41"/>
    </row>
    <row r="26478" spans="5:10" s="34" customFormat="1" x14ac:dyDescent="0.35">
      <c r="E26478" s="35"/>
      <c r="J26478" s="41"/>
    </row>
    <row r="26479" spans="5:10" s="34" customFormat="1" x14ac:dyDescent="0.35">
      <c r="E26479" s="35"/>
      <c r="J26479" s="41"/>
    </row>
    <row r="26480" spans="5:10" s="34" customFormat="1" x14ac:dyDescent="0.35">
      <c r="E26480" s="35"/>
      <c r="J26480" s="41"/>
    </row>
    <row r="26481" spans="5:10" s="34" customFormat="1" x14ac:dyDescent="0.35">
      <c r="E26481" s="35"/>
      <c r="J26481" s="41"/>
    </row>
    <row r="26482" spans="5:10" s="34" customFormat="1" x14ac:dyDescent="0.35">
      <c r="E26482" s="35"/>
      <c r="J26482" s="41"/>
    </row>
    <row r="26483" spans="5:10" s="34" customFormat="1" x14ac:dyDescent="0.35">
      <c r="E26483" s="35"/>
      <c r="J26483" s="41"/>
    </row>
    <row r="26484" spans="5:10" s="34" customFormat="1" x14ac:dyDescent="0.35">
      <c r="E26484" s="35"/>
      <c r="J26484" s="41"/>
    </row>
    <row r="26485" spans="5:10" s="34" customFormat="1" x14ac:dyDescent="0.35">
      <c r="E26485" s="35"/>
      <c r="J26485" s="41"/>
    </row>
    <row r="26486" spans="5:10" s="34" customFormat="1" x14ac:dyDescent="0.35">
      <c r="E26486" s="35"/>
      <c r="J26486" s="41"/>
    </row>
    <row r="26487" spans="5:10" s="34" customFormat="1" x14ac:dyDescent="0.35">
      <c r="E26487" s="35"/>
      <c r="J26487" s="41"/>
    </row>
    <row r="26488" spans="5:10" s="34" customFormat="1" x14ac:dyDescent="0.35">
      <c r="E26488" s="35"/>
      <c r="J26488" s="41"/>
    </row>
    <row r="26489" spans="5:10" s="34" customFormat="1" x14ac:dyDescent="0.35">
      <c r="E26489" s="35"/>
      <c r="J26489" s="41"/>
    </row>
    <row r="26490" spans="5:10" s="34" customFormat="1" x14ac:dyDescent="0.35">
      <c r="E26490" s="35"/>
      <c r="J26490" s="41"/>
    </row>
    <row r="26491" spans="5:10" s="34" customFormat="1" x14ac:dyDescent="0.35">
      <c r="E26491" s="35"/>
      <c r="J26491" s="41"/>
    </row>
    <row r="26492" spans="5:10" s="34" customFormat="1" x14ac:dyDescent="0.35">
      <c r="E26492" s="35"/>
      <c r="J26492" s="41"/>
    </row>
    <row r="26493" spans="5:10" s="34" customFormat="1" x14ac:dyDescent="0.35">
      <c r="E26493" s="35"/>
      <c r="J26493" s="41"/>
    </row>
    <row r="26494" spans="5:10" s="34" customFormat="1" x14ac:dyDescent="0.35">
      <c r="E26494" s="35"/>
      <c r="J26494" s="41"/>
    </row>
    <row r="26495" spans="5:10" s="34" customFormat="1" x14ac:dyDescent="0.35">
      <c r="E26495" s="35"/>
      <c r="J26495" s="41"/>
    </row>
    <row r="26496" spans="5:10" s="34" customFormat="1" x14ac:dyDescent="0.35">
      <c r="E26496" s="35"/>
      <c r="J26496" s="41"/>
    </row>
    <row r="26497" spans="5:10" s="34" customFormat="1" x14ac:dyDescent="0.35">
      <c r="E26497" s="35"/>
      <c r="J26497" s="41"/>
    </row>
    <row r="26498" spans="5:10" s="34" customFormat="1" x14ac:dyDescent="0.35">
      <c r="E26498" s="35"/>
      <c r="J26498" s="41"/>
    </row>
    <row r="26499" spans="5:10" s="34" customFormat="1" x14ac:dyDescent="0.35">
      <c r="E26499" s="35"/>
      <c r="J26499" s="41"/>
    </row>
    <row r="26500" spans="5:10" s="34" customFormat="1" x14ac:dyDescent="0.35">
      <c r="E26500" s="35"/>
      <c r="J26500" s="41"/>
    </row>
    <row r="26501" spans="5:10" s="34" customFormat="1" x14ac:dyDescent="0.35">
      <c r="E26501" s="35"/>
      <c r="J26501" s="41"/>
    </row>
    <row r="26502" spans="5:10" s="34" customFormat="1" x14ac:dyDescent="0.35">
      <c r="E26502" s="35"/>
      <c r="J26502" s="41"/>
    </row>
    <row r="26503" spans="5:10" s="34" customFormat="1" x14ac:dyDescent="0.35">
      <c r="E26503" s="35"/>
      <c r="J26503" s="41"/>
    </row>
    <row r="26504" spans="5:10" s="34" customFormat="1" x14ac:dyDescent="0.35">
      <c r="E26504" s="35"/>
      <c r="J26504" s="41"/>
    </row>
    <row r="26505" spans="5:10" s="34" customFormat="1" x14ac:dyDescent="0.35">
      <c r="E26505" s="35"/>
      <c r="J26505" s="41"/>
    </row>
    <row r="26506" spans="5:10" s="34" customFormat="1" x14ac:dyDescent="0.35">
      <c r="E26506" s="35"/>
      <c r="J26506" s="41"/>
    </row>
    <row r="26507" spans="5:10" s="34" customFormat="1" x14ac:dyDescent="0.35">
      <c r="E26507" s="35"/>
      <c r="J26507" s="41"/>
    </row>
    <row r="26508" spans="5:10" s="34" customFormat="1" x14ac:dyDescent="0.35">
      <c r="E26508" s="35"/>
      <c r="J26508" s="41"/>
    </row>
    <row r="26509" spans="5:10" s="34" customFormat="1" x14ac:dyDescent="0.35">
      <c r="E26509" s="35"/>
      <c r="J26509" s="41"/>
    </row>
    <row r="26510" spans="5:10" s="34" customFormat="1" x14ac:dyDescent="0.35">
      <c r="E26510" s="35"/>
      <c r="J26510" s="41"/>
    </row>
    <row r="26511" spans="5:10" s="34" customFormat="1" x14ac:dyDescent="0.35">
      <c r="E26511" s="35"/>
      <c r="J26511" s="41"/>
    </row>
    <row r="26512" spans="5:10" s="34" customFormat="1" x14ac:dyDescent="0.35">
      <c r="E26512" s="35"/>
      <c r="J26512" s="41"/>
    </row>
    <row r="26513" spans="5:10" s="34" customFormat="1" x14ac:dyDescent="0.35">
      <c r="E26513" s="35"/>
      <c r="J26513" s="41"/>
    </row>
    <row r="26514" spans="5:10" s="34" customFormat="1" x14ac:dyDescent="0.35">
      <c r="E26514" s="35"/>
      <c r="J26514" s="41"/>
    </row>
    <row r="26515" spans="5:10" s="34" customFormat="1" x14ac:dyDescent="0.35">
      <c r="E26515" s="35"/>
      <c r="J26515" s="41"/>
    </row>
    <row r="26516" spans="5:10" s="34" customFormat="1" x14ac:dyDescent="0.35">
      <c r="E26516" s="35"/>
      <c r="J26516" s="41"/>
    </row>
    <row r="26517" spans="5:10" s="34" customFormat="1" x14ac:dyDescent="0.35">
      <c r="E26517" s="35"/>
      <c r="J26517" s="41"/>
    </row>
    <row r="26518" spans="5:10" s="34" customFormat="1" x14ac:dyDescent="0.35">
      <c r="E26518" s="35"/>
      <c r="J26518" s="41"/>
    </row>
    <row r="26519" spans="5:10" s="34" customFormat="1" x14ac:dyDescent="0.35">
      <c r="E26519" s="35"/>
      <c r="J26519" s="41"/>
    </row>
    <row r="26520" spans="5:10" s="34" customFormat="1" x14ac:dyDescent="0.35">
      <c r="E26520" s="35"/>
      <c r="J26520" s="41"/>
    </row>
    <row r="26521" spans="5:10" s="34" customFormat="1" x14ac:dyDescent="0.35">
      <c r="E26521" s="35"/>
      <c r="J26521" s="41"/>
    </row>
    <row r="26522" spans="5:10" s="34" customFormat="1" x14ac:dyDescent="0.35">
      <c r="E26522" s="35"/>
      <c r="J26522" s="41"/>
    </row>
    <row r="26523" spans="5:10" s="34" customFormat="1" x14ac:dyDescent="0.35">
      <c r="E26523" s="35"/>
      <c r="J26523" s="41"/>
    </row>
    <row r="26524" spans="5:10" s="34" customFormat="1" x14ac:dyDescent="0.35">
      <c r="E26524" s="35"/>
      <c r="J26524" s="41"/>
    </row>
    <row r="26525" spans="5:10" s="34" customFormat="1" x14ac:dyDescent="0.35">
      <c r="E26525" s="35"/>
      <c r="J26525" s="41"/>
    </row>
    <row r="26526" spans="5:10" s="34" customFormat="1" x14ac:dyDescent="0.35">
      <c r="E26526" s="35"/>
      <c r="J26526" s="41"/>
    </row>
    <row r="26527" spans="5:10" s="34" customFormat="1" x14ac:dyDescent="0.35">
      <c r="E26527" s="35"/>
      <c r="J26527" s="41"/>
    </row>
    <row r="26528" spans="5:10" s="34" customFormat="1" x14ac:dyDescent="0.35">
      <c r="E26528" s="35"/>
      <c r="J26528" s="41"/>
    </row>
    <row r="26529" spans="5:10" s="34" customFormat="1" x14ac:dyDescent="0.35">
      <c r="E26529" s="35"/>
      <c r="J26529" s="41"/>
    </row>
    <row r="26530" spans="5:10" s="34" customFormat="1" x14ac:dyDescent="0.35">
      <c r="E26530" s="35"/>
      <c r="J26530" s="41"/>
    </row>
    <row r="26531" spans="5:10" s="34" customFormat="1" x14ac:dyDescent="0.35">
      <c r="E26531" s="35"/>
      <c r="J26531" s="41"/>
    </row>
    <row r="26532" spans="5:10" s="34" customFormat="1" x14ac:dyDescent="0.35">
      <c r="E26532" s="35"/>
      <c r="J26532" s="41"/>
    </row>
    <row r="26533" spans="5:10" s="34" customFormat="1" x14ac:dyDescent="0.35">
      <c r="E26533" s="35"/>
      <c r="J26533" s="41"/>
    </row>
    <row r="26534" spans="5:10" s="34" customFormat="1" x14ac:dyDescent="0.35">
      <c r="E26534" s="35"/>
      <c r="J26534" s="41"/>
    </row>
    <row r="26535" spans="5:10" s="34" customFormat="1" x14ac:dyDescent="0.35">
      <c r="E26535" s="35"/>
      <c r="J26535" s="41"/>
    </row>
    <row r="26536" spans="5:10" s="34" customFormat="1" x14ac:dyDescent="0.35">
      <c r="E26536" s="35"/>
      <c r="J26536" s="41"/>
    </row>
    <row r="26537" spans="5:10" s="34" customFormat="1" x14ac:dyDescent="0.35">
      <c r="E26537" s="35"/>
      <c r="J26537" s="41"/>
    </row>
    <row r="26538" spans="5:10" s="34" customFormat="1" x14ac:dyDescent="0.35">
      <c r="E26538" s="35"/>
      <c r="J26538" s="41"/>
    </row>
    <row r="26539" spans="5:10" s="34" customFormat="1" x14ac:dyDescent="0.35">
      <c r="E26539" s="35"/>
      <c r="J26539" s="41"/>
    </row>
    <row r="26540" spans="5:10" s="34" customFormat="1" x14ac:dyDescent="0.35">
      <c r="E26540" s="35"/>
      <c r="J26540" s="41"/>
    </row>
    <row r="26541" spans="5:10" s="34" customFormat="1" x14ac:dyDescent="0.35">
      <c r="E26541" s="35"/>
      <c r="J26541" s="41"/>
    </row>
    <row r="26542" spans="5:10" s="34" customFormat="1" x14ac:dyDescent="0.35">
      <c r="E26542" s="35"/>
      <c r="J26542" s="41"/>
    </row>
    <row r="26543" spans="5:10" s="34" customFormat="1" x14ac:dyDescent="0.35">
      <c r="E26543" s="35"/>
      <c r="J26543" s="41"/>
    </row>
    <row r="26544" spans="5:10" s="34" customFormat="1" x14ac:dyDescent="0.35">
      <c r="E26544" s="35"/>
      <c r="J26544" s="41"/>
    </row>
    <row r="26545" spans="5:10" s="34" customFormat="1" x14ac:dyDescent="0.35">
      <c r="E26545" s="35"/>
      <c r="J26545" s="41"/>
    </row>
    <row r="26546" spans="5:10" s="34" customFormat="1" x14ac:dyDescent="0.35">
      <c r="E26546" s="35"/>
      <c r="J26546" s="41"/>
    </row>
    <row r="26547" spans="5:10" s="34" customFormat="1" x14ac:dyDescent="0.35">
      <c r="E26547" s="35"/>
      <c r="J26547" s="41"/>
    </row>
    <row r="26548" spans="5:10" s="34" customFormat="1" x14ac:dyDescent="0.35">
      <c r="E26548" s="35"/>
      <c r="J26548" s="41"/>
    </row>
    <row r="26549" spans="5:10" s="34" customFormat="1" x14ac:dyDescent="0.35">
      <c r="E26549" s="35"/>
      <c r="J26549" s="41"/>
    </row>
    <row r="26550" spans="5:10" s="34" customFormat="1" x14ac:dyDescent="0.35">
      <c r="E26550" s="35"/>
      <c r="J26550" s="41"/>
    </row>
    <row r="26551" spans="5:10" s="34" customFormat="1" x14ac:dyDescent="0.35">
      <c r="E26551" s="35"/>
      <c r="J26551" s="41"/>
    </row>
    <row r="26552" spans="5:10" s="34" customFormat="1" x14ac:dyDescent="0.35">
      <c r="E26552" s="35"/>
      <c r="J26552" s="41"/>
    </row>
    <row r="26553" spans="5:10" s="34" customFormat="1" x14ac:dyDescent="0.35">
      <c r="E26553" s="35"/>
      <c r="J26553" s="41"/>
    </row>
    <row r="26554" spans="5:10" s="34" customFormat="1" x14ac:dyDescent="0.35">
      <c r="E26554" s="35"/>
      <c r="J26554" s="41"/>
    </row>
    <row r="26555" spans="5:10" s="34" customFormat="1" x14ac:dyDescent="0.35">
      <c r="E26555" s="35"/>
      <c r="J26555" s="41"/>
    </row>
    <row r="26556" spans="5:10" s="34" customFormat="1" x14ac:dyDescent="0.35">
      <c r="E26556" s="35"/>
      <c r="J26556" s="41"/>
    </row>
    <row r="26557" spans="5:10" s="34" customFormat="1" x14ac:dyDescent="0.35">
      <c r="E26557" s="35"/>
      <c r="J26557" s="41"/>
    </row>
    <row r="26558" spans="5:10" s="34" customFormat="1" x14ac:dyDescent="0.35">
      <c r="E26558" s="35"/>
      <c r="J26558" s="41"/>
    </row>
    <row r="26559" spans="5:10" s="34" customFormat="1" x14ac:dyDescent="0.35">
      <c r="E26559" s="35"/>
      <c r="J26559" s="41"/>
    </row>
    <row r="26560" spans="5:10" s="34" customFormat="1" x14ac:dyDescent="0.35">
      <c r="E26560" s="35"/>
      <c r="J26560" s="41"/>
    </row>
    <row r="26561" spans="5:10" s="34" customFormat="1" x14ac:dyDescent="0.35">
      <c r="E26561" s="35"/>
      <c r="J26561" s="41"/>
    </row>
    <row r="26562" spans="5:10" s="34" customFormat="1" x14ac:dyDescent="0.35">
      <c r="E26562" s="35"/>
      <c r="J26562" s="41"/>
    </row>
    <row r="26563" spans="5:10" s="34" customFormat="1" x14ac:dyDescent="0.35">
      <c r="E26563" s="35"/>
      <c r="J26563" s="41"/>
    </row>
    <row r="26564" spans="5:10" s="34" customFormat="1" x14ac:dyDescent="0.35">
      <c r="E26564" s="35"/>
      <c r="J26564" s="41"/>
    </row>
    <row r="26565" spans="5:10" s="34" customFormat="1" x14ac:dyDescent="0.35">
      <c r="E26565" s="35"/>
      <c r="J26565" s="41"/>
    </row>
    <row r="26566" spans="5:10" s="34" customFormat="1" x14ac:dyDescent="0.35">
      <c r="E26566" s="35"/>
      <c r="J26566" s="41"/>
    </row>
    <row r="26567" spans="5:10" s="34" customFormat="1" x14ac:dyDescent="0.35">
      <c r="E26567" s="35"/>
      <c r="J26567" s="41"/>
    </row>
    <row r="26568" spans="5:10" s="34" customFormat="1" x14ac:dyDescent="0.35">
      <c r="E26568" s="35"/>
      <c r="J26568" s="41"/>
    </row>
    <row r="26569" spans="5:10" s="34" customFormat="1" x14ac:dyDescent="0.35">
      <c r="E26569" s="35"/>
      <c r="J26569" s="41"/>
    </row>
    <row r="26570" spans="5:10" s="34" customFormat="1" x14ac:dyDescent="0.35">
      <c r="E26570" s="35"/>
      <c r="J26570" s="41"/>
    </row>
    <row r="26571" spans="5:10" s="34" customFormat="1" x14ac:dyDescent="0.35">
      <c r="E26571" s="35"/>
      <c r="J26571" s="41"/>
    </row>
    <row r="26572" spans="5:10" s="34" customFormat="1" x14ac:dyDescent="0.35">
      <c r="E26572" s="35"/>
      <c r="J26572" s="41"/>
    </row>
    <row r="26573" spans="5:10" s="34" customFormat="1" x14ac:dyDescent="0.35">
      <c r="E26573" s="35"/>
      <c r="J26573" s="41"/>
    </row>
    <row r="26574" spans="5:10" s="34" customFormat="1" x14ac:dyDescent="0.35">
      <c r="E26574" s="35"/>
      <c r="J26574" s="41"/>
    </row>
    <row r="26575" spans="5:10" s="34" customFormat="1" x14ac:dyDescent="0.35">
      <c r="E26575" s="35"/>
      <c r="J26575" s="41"/>
    </row>
    <row r="26576" spans="5:10" s="34" customFormat="1" x14ac:dyDescent="0.35">
      <c r="E26576" s="35"/>
      <c r="J26576" s="41"/>
    </row>
    <row r="26577" spans="5:10" s="34" customFormat="1" x14ac:dyDescent="0.35">
      <c r="E26577" s="35"/>
      <c r="J26577" s="41"/>
    </row>
    <row r="26578" spans="5:10" s="34" customFormat="1" x14ac:dyDescent="0.35">
      <c r="E26578" s="35"/>
      <c r="J26578" s="41"/>
    </row>
    <row r="26579" spans="5:10" s="34" customFormat="1" x14ac:dyDescent="0.35">
      <c r="E26579" s="35"/>
      <c r="J26579" s="41"/>
    </row>
    <row r="26580" spans="5:10" s="34" customFormat="1" x14ac:dyDescent="0.35">
      <c r="E26580" s="35"/>
      <c r="J26580" s="41"/>
    </row>
    <row r="26581" spans="5:10" s="34" customFormat="1" x14ac:dyDescent="0.35">
      <c r="E26581" s="35"/>
      <c r="J26581" s="41"/>
    </row>
    <row r="26582" spans="5:10" s="34" customFormat="1" x14ac:dyDescent="0.35">
      <c r="E26582" s="35"/>
      <c r="J26582" s="41"/>
    </row>
    <row r="26583" spans="5:10" s="34" customFormat="1" x14ac:dyDescent="0.35">
      <c r="E26583" s="35"/>
      <c r="J26583" s="41"/>
    </row>
    <row r="26584" spans="5:10" s="34" customFormat="1" x14ac:dyDescent="0.35">
      <c r="E26584" s="35"/>
      <c r="J26584" s="41"/>
    </row>
    <row r="26585" spans="5:10" s="34" customFormat="1" x14ac:dyDescent="0.35">
      <c r="E26585" s="35"/>
      <c r="J26585" s="41"/>
    </row>
    <row r="26586" spans="5:10" s="34" customFormat="1" x14ac:dyDescent="0.35">
      <c r="E26586" s="35"/>
      <c r="J26586" s="41"/>
    </row>
    <row r="26587" spans="5:10" s="34" customFormat="1" x14ac:dyDescent="0.35">
      <c r="E26587" s="35"/>
      <c r="J26587" s="41"/>
    </row>
    <row r="26588" spans="5:10" s="34" customFormat="1" x14ac:dyDescent="0.35">
      <c r="E26588" s="35"/>
      <c r="J26588" s="41"/>
    </row>
    <row r="26589" spans="5:10" s="34" customFormat="1" x14ac:dyDescent="0.35">
      <c r="E26589" s="35"/>
      <c r="J26589" s="41"/>
    </row>
    <row r="26590" spans="5:10" s="34" customFormat="1" x14ac:dyDescent="0.35">
      <c r="E26590" s="35"/>
      <c r="J26590" s="41"/>
    </row>
    <row r="26591" spans="5:10" s="34" customFormat="1" x14ac:dyDescent="0.35">
      <c r="E26591" s="35"/>
      <c r="J26591" s="41"/>
    </row>
    <row r="26592" spans="5:10" s="34" customFormat="1" x14ac:dyDescent="0.35">
      <c r="E26592" s="35"/>
      <c r="J26592" s="41"/>
    </row>
    <row r="26593" spans="5:10" s="34" customFormat="1" x14ac:dyDescent="0.35">
      <c r="E26593" s="35"/>
      <c r="J26593" s="41"/>
    </row>
    <row r="26594" spans="5:10" s="34" customFormat="1" x14ac:dyDescent="0.35">
      <c r="E26594" s="35"/>
      <c r="J26594" s="41"/>
    </row>
    <row r="26595" spans="5:10" s="34" customFormat="1" x14ac:dyDescent="0.35">
      <c r="E26595" s="35"/>
      <c r="J26595" s="41"/>
    </row>
    <row r="26596" spans="5:10" s="34" customFormat="1" x14ac:dyDescent="0.35">
      <c r="E26596" s="35"/>
      <c r="J26596" s="41"/>
    </row>
    <row r="26597" spans="5:10" s="34" customFormat="1" x14ac:dyDescent="0.35">
      <c r="E26597" s="35"/>
      <c r="J26597" s="41"/>
    </row>
    <row r="26598" spans="5:10" s="34" customFormat="1" x14ac:dyDescent="0.35">
      <c r="E26598" s="35"/>
      <c r="J26598" s="41"/>
    </row>
    <row r="26599" spans="5:10" s="34" customFormat="1" x14ac:dyDescent="0.35">
      <c r="E26599" s="35"/>
      <c r="J26599" s="41"/>
    </row>
    <row r="26600" spans="5:10" s="34" customFormat="1" x14ac:dyDescent="0.35">
      <c r="E26600" s="35"/>
      <c r="J26600" s="41"/>
    </row>
    <row r="26601" spans="5:10" s="34" customFormat="1" x14ac:dyDescent="0.35">
      <c r="E26601" s="35"/>
      <c r="J26601" s="41"/>
    </row>
    <row r="26602" spans="5:10" s="34" customFormat="1" x14ac:dyDescent="0.35">
      <c r="E26602" s="35"/>
      <c r="J26602" s="41"/>
    </row>
    <row r="26603" spans="5:10" s="34" customFormat="1" x14ac:dyDescent="0.35">
      <c r="E26603" s="35"/>
      <c r="J26603" s="41"/>
    </row>
    <row r="26604" spans="5:10" s="34" customFormat="1" x14ac:dyDescent="0.35">
      <c r="E26604" s="35"/>
      <c r="J26604" s="41"/>
    </row>
    <row r="26605" spans="5:10" s="34" customFormat="1" x14ac:dyDescent="0.35">
      <c r="E26605" s="35"/>
      <c r="J26605" s="41"/>
    </row>
    <row r="26606" spans="5:10" s="34" customFormat="1" x14ac:dyDescent="0.35">
      <c r="E26606" s="35"/>
      <c r="J26606" s="41"/>
    </row>
    <row r="26607" spans="5:10" s="34" customFormat="1" x14ac:dyDescent="0.35">
      <c r="E26607" s="35"/>
      <c r="J26607" s="41"/>
    </row>
    <row r="26608" spans="5:10" s="34" customFormat="1" x14ac:dyDescent="0.35">
      <c r="E26608" s="35"/>
      <c r="J26608" s="41"/>
    </row>
    <row r="26609" spans="5:10" s="34" customFormat="1" x14ac:dyDescent="0.35">
      <c r="E26609" s="35"/>
      <c r="J26609" s="41"/>
    </row>
    <row r="26610" spans="5:10" s="34" customFormat="1" x14ac:dyDescent="0.35">
      <c r="E26610" s="35"/>
      <c r="J26610" s="41"/>
    </row>
    <row r="26611" spans="5:10" s="34" customFormat="1" x14ac:dyDescent="0.35">
      <c r="E26611" s="35"/>
      <c r="J26611" s="41"/>
    </row>
    <row r="26612" spans="5:10" s="34" customFormat="1" x14ac:dyDescent="0.35">
      <c r="E26612" s="35"/>
      <c r="J26612" s="41"/>
    </row>
    <row r="26613" spans="5:10" s="34" customFormat="1" x14ac:dyDescent="0.35">
      <c r="E26613" s="35"/>
      <c r="J26613" s="41"/>
    </row>
    <row r="26614" spans="5:10" s="34" customFormat="1" x14ac:dyDescent="0.35">
      <c r="E26614" s="35"/>
      <c r="J26614" s="41"/>
    </row>
    <row r="26615" spans="5:10" s="34" customFormat="1" x14ac:dyDescent="0.35">
      <c r="E26615" s="35"/>
      <c r="J26615" s="41"/>
    </row>
    <row r="26616" spans="5:10" s="34" customFormat="1" x14ac:dyDescent="0.35">
      <c r="E26616" s="35"/>
      <c r="J26616" s="41"/>
    </row>
    <row r="26617" spans="5:10" s="34" customFormat="1" x14ac:dyDescent="0.35">
      <c r="E26617" s="35"/>
      <c r="J26617" s="41"/>
    </row>
    <row r="26618" spans="5:10" s="34" customFormat="1" x14ac:dyDescent="0.35">
      <c r="E26618" s="35"/>
      <c r="J26618" s="41"/>
    </row>
    <row r="26619" spans="5:10" s="34" customFormat="1" x14ac:dyDescent="0.35">
      <c r="E26619" s="35"/>
      <c r="J26619" s="41"/>
    </row>
    <row r="26620" spans="5:10" s="34" customFormat="1" x14ac:dyDescent="0.35">
      <c r="E26620" s="35"/>
      <c r="J26620" s="41"/>
    </row>
    <row r="26621" spans="5:10" s="34" customFormat="1" x14ac:dyDescent="0.35">
      <c r="E26621" s="35"/>
      <c r="J26621" s="41"/>
    </row>
    <row r="26622" spans="5:10" s="34" customFormat="1" x14ac:dyDescent="0.35">
      <c r="E26622" s="35"/>
      <c r="J26622" s="41"/>
    </row>
    <row r="26623" spans="5:10" s="34" customFormat="1" x14ac:dyDescent="0.35">
      <c r="E26623" s="35"/>
      <c r="J26623" s="41"/>
    </row>
    <row r="26624" spans="5:10" s="34" customFormat="1" x14ac:dyDescent="0.35">
      <c r="E26624" s="35"/>
      <c r="J26624" s="41"/>
    </row>
    <row r="26625" spans="5:10" s="34" customFormat="1" x14ac:dyDescent="0.35">
      <c r="E26625" s="35"/>
      <c r="J26625" s="41"/>
    </row>
    <row r="26626" spans="5:10" s="34" customFormat="1" x14ac:dyDescent="0.35">
      <c r="E26626" s="35"/>
      <c r="J26626" s="41"/>
    </row>
    <row r="26627" spans="5:10" s="34" customFormat="1" x14ac:dyDescent="0.35">
      <c r="E26627" s="35"/>
      <c r="J26627" s="41"/>
    </row>
    <row r="26628" spans="5:10" s="34" customFormat="1" x14ac:dyDescent="0.35">
      <c r="E26628" s="35"/>
      <c r="J26628" s="41"/>
    </row>
    <row r="26629" spans="5:10" s="34" customFormat="1" x14ac:dyDescent="0.35">
      <c r="E26629" s="35"/>
      <c r="J26629" s="41"/>
    </row>
    <row r="26630" spans="5:10" s="34" customFormat="1" x14ac:dyDescent="0.35">
      <c r="E26630" s="35"/>
      <c r="J26630" s="41"/>
    </row>
    <row r="26631" spans="5:10" s="34" customFormat="1" x14ac:dyDescent="0.35">
      <c r="E26631" s="35"/>
      <c r="J26631" s="41"/>
    </row>
    <row r="26632" spans="5:10" s="34" customFormat="1" x14ac:dyDescent="0.35">
      <c r="E26632" s="35"/>
      <c r="J26632" s="41"/>
    </row>
    <row r="26633" spans="5:10" s="34" customFormat="1" x14ac:dyDescent="0.35">
      <c r="E26633" s="35"/>
      <c r="J26633" s="41"/>
    </row>
    <row r="26634" spans="5:10" s="34" customFormat="1" x14ac:dyDescent="0.35">
      <c r="E26634" s="35"/>
      <c r="J26634" s="41"/>
    </row>
    <row r="26635" spans="5:10" s="34" customFormat="1" x14ac:dyDescent="0.35">
      <c r="E26635" s="35"/>
      <c r="J26635" s="41"/>
    </row>
    <row r="26636" spans="5:10" s="34" customFormat="1" x14ac:dyDescent="0.35">
      <c r="E26636" s="35"/>
      <c r="J26636" s="41"/>
    </row>
    <row r="26637" spans="5:10" s="34" customFormat="1" x14ac:dyDescent="0.35">
      <c r="E26637" s="35"/>
      <c r="J26637" s="41"/>
    </row>
    <row r="26638" spans="5:10" s="34" customFormat="1" x14ac:dyDescent="0.35">
      <c r="E26638" s="35"/>
      <c r="J26638" s="41"/>
    </row>
    <row r="26639" spans="5:10" s="34" customFormat="1" x14ac:dyDescent="0.35">
      <c r="E26639" s="35"/>
      <c r="J26639" s="41"/>
    </row>
    <row r="26640" spans="5:10" s="34" customFormat="1" x14ac:dyDescent="0.35">
      <c r="E26640" s="35"/>
      <c r="J26640" s="41"/>
    </row>
    <row r="26641" spans="5:10" s="34" customFormat="1" x14ac:dyDescent="0.35">
      <c r="E26641" s="35"/>
      <c r="J26641" s="41"/>
    </row>
    <row r="26642" spans="5:10" s="34" customFormat="1" x14ac:dyDescent="0.35">
      <c r="E26642" s="35"/>
      <c r="J26642" s="41"/>
    </row>
    <row r="26643" spans="5:10" s="34" customFormat="1" x14ac:dyDescent="0.35">
      <c r="E26643" s="35"/>
      <c r="J26643" s="41"/>
    </row>
    <row r="26644" spans="5:10" s="34" customFormat="1" x14ac:dyDescent="0.35">
      <c r="E26644" s="35"/>
      <c r="J26644" s="41"/>
    </row>
    <row r="26645" spans="5:10" s="34" customFormat="1" x14ac:dyDescent="0.35">
      <c r="E26645" s="35"/>
      <c r="J26645" s="41"/>
    </row>
    <row r="26646" spans="5:10" s="34" customFormat="1" x14ac:dyDescent="0.35">
      <c r="E26646" s="35"/>
      <c r="J26646" s="41"/>
    </row>
    <row r="26647" spans="5:10" s="34" customFormat="1" x14ac:dyDescent="0.35">
      <c r="E26647" s="35"/>
      <c r="J26647" s="41"/>
    </row>
    <row r="26648" spans="5:10" s="34" customFormat="1" x14ac:dyDescent="0.35">
      <c r="E26648" s="35"/>
      <c r="J26648" s="41"/>
    </row>
    <row r="26649" spans="5:10" s="34" customFormat="1" x14ac:dyDescent="0.35">
      <c r="E26649" s="35"/>
      <c r="J26649" s="41"/>
    </row>
    <row r="26650" spans="5:10" s="34" customFormat="1" x14ac:dyDescent="0.35">
      <c r="E26650" s="35"/>
      <c r="J26650" s="41"/>
    </row>
    <row r="26651" spans="5:10" s="34" customFormat="1" x14ac:dyDescent="0.35">
      <c r="E26651" s="35"/>
      <c r="J26651" s="41"/>
    </row>
    <row r="26652" spans="5:10" s="34" customFormat="1" x14ac:dyDescent="0.35">
      <c r="E26652" s="35"/>
      <c r="J26652" s="41"/>
    </row>
    <row r="26653" spans="5:10" s="34" customFormat="1" x14ac:dyDescent="0.35">
      <c r="E26653" s="35"/>
      <c r="J26653" s="41"/>
    </row>
    <row r="26654" spans="5:10" s="34" customFormat="1" x14ac:dyDescent="0.35">
      <c r="E26654" s="35"/>
      <c r="J26654" s="41"/>
    </row>
    <row r="26655" spans="5:10" s="34" customFormat="1" x14ac:dyDescent="0.35">
      <c r="E26655" s="35"/>
      <c r="J26655" s="41"/>
    </row>
    <row r="26656" spans="5:10" s="34" customFormat="1" x14ac:dyDescent="0.35">
      <c r="E26656" s="35"/>
      <c r="J26656" s="41"/>
    </row>
    <row r="26657" spans="5:10" s="34" customFormat="1" x14ac:dyDescent="0.35">
      <c r="E26657" s="35"/>
      <c r="J26657" s="41"/>
    </row>
    <row r="26658" spans="5:10" s="34" customFormat="1" x14ac:dyDescent="0.35">
      <c r="E26658" s="35"/>
      <c r="J26658" s="41"/>
    </row>
    <row r="26659" spans="5:10" s="34" customFormat="1" x14ac:dyDescent="0.35">
      <c r="E26659" s="35"/>
      <c r="J26659" s="41"/>
    </row>
    <row r="26660" spans="5:10" s="34" customFormat="1" x14ac:dyDescent="0.35">
      <c r="E26660" s="35"/>
      <c r="J26660" s="41"/>
    </row>
    <row r="26661" spans="5:10" s="34" customFormat="1" x14ac:dyDescent="0.35">
      <c r="E26661" s="35"/>
      <c r="J26661" s="41"/>
    </row>
    <row r="26662" spans="5:10" s="34" customFormat="1" x14ac:dyDescent="0.35">
      <c r="E26662" s="35"/>
      <c r="J26662" s="41"/>
    </row>
    <row r="26663" spans="5:10" s="34" customFormat="1" x14ac:dyDescent="0.35">
      <c r="E26663" s="35"/>
      <c r="J26663" s="41"/>
    </row>
    <row r="26664" spans="5:10" s="34" customFormat="1" x14ac:dyDescent="0.35">
      <c r="E26664" s="35"/>
      <c r="J26664" s="41"/>
    </row>
    <row r="26665" spans="5:10" s="34" customFormat="1" x14ac:dyDescent="0.35">
      <c r="E26665" s="35"/>
      <c r="J26665" s="41"/>
    </row>
    <row r="26666" spans="5:10" s="34" customFormat="1" x14ac:dyDescent="0.35">
      <c r="E26666" s="35"/>
      <c r="J26666" s="41"/>
    </row>
    <row r="26667" spans="5:10" s="34" customFormat="1" x14ac:dyDescent="0.35">
      <c r="E26667" s="35"/>
      <c r="J26667" s="41"/>
    </row>
    <row r="26668" spans="5:10" s="34" customFormat="1" x14ac:dyDescent="0.35">
      <c r="E26668" s="35"/>
      <c r="J26668" s="41"/>
    </row>
    <row r="26669" spans="5:10" s="34" customFormat="1" x14ac:dyDescent="0.35">
      <c r="E26669" s="35"/>
      <c r="J26669" s="41"/>
    </row>
    <row r="26670" spans="5:10" s="34" customFormat="1" x14ac:dyDescent="0.35">
      <c r="E26670" s="35"/>
      <c r="J26670" s="41"/>
    </row>
    <row r="26671" spans="5:10" s="34" customFormat="1" x14ac:dyDescent="0.35">
      <c r="E26671" s="35"/>
      <c r="J26671" s="41"/>
    </row>
    <row r="26672" spans="5:10" s="34" customFormat="1" x14ac:dyDescent="0.35">
      <c r="E26672" s="35"/>
      <c r="J26672" s="41"/>
    </row>
    <row r="26673" spans="5:10" s="34" customFormat="1" x14ac:dyDescent="0.35">
      <c r="E26673" s="35"/>
      <c r="J26673" s="41"/>
    </row>
    <row r="26674" spans="5:10" s="34" customFormat="1" x14ac:dyDescent="0.35">
      <c r="E26674" s="35"/>
      <c r="J26674" s="41"/>
    </row>
    <row r="26675" spans="5:10" s="34" customFormat="1" x14ac:dyDescent="0.35">
      <c r="E26675" s="35"/>
      <c r="J26675" s="41"/>
    </row>
    <row r="26676" spans="5:10" s="34" customFormat="1" x14ac:dyDescent="0.35">
      <c r="E26676" s="35"/>
      <c r="J26676" s="41"/>
    </row>
    <row r="26677" spans="5:10" s="34" customFormat="1" x14ac:dyDescent="0.35">
      <c r="E26677" s="35"/>
      <c r="J26677" s="41"/>
    </row>
    <row r="26678" spans="5:10" s="34" customFormat="1" x14ac:dyDescent="0.35">
      <c r="E26678" s="35"/>
      <c r="J26678" s="41"/>
    </row>
    <row r="26679" spans="5:10" s="34" customFormat="1" x14ac:dyDescent="0.35">
      <c r="E26679" s="35"/>
      <c r="J26679" s="41"/>
    </row>
    <row r="26680" spans="5:10" s="34" customFormat="1" x14ac:dyDescent="0.35">
      <c r="E26680" s="35"/>
      <c r="J26680" s="41"/>
    </row>
    <row r="26681" spans="5:10" s="34" customFormat="1" x14ac:dyDescent="0.35">
      <c r="E26681" s="35"/>
      <c r="J26681" s="41"/>
    </row>
    <row r="26682" spans="5:10" s="34" customFormat="1" x14ac:dyDescent="0.35">
      <c r="E26682" s="35"/>
      <c r="J26682" s="41"/>
    </row>
    <row r="26683" spans="5:10" s="34" customFormat="1" x14ac:dyDescent="0.35">
      <c r="E26683" s="35"/>
      <c r="J26683" s="41"/>
    </row>
    <row r="26684" spans="5:10" s="34" customFormat="1" x14ac:dyDescent="0.35">
      <c r="E26684" s="35"/>
      <c r="J26684" s="41"/>
    </row>
    <row r="26685" spans="5:10" s="34" customFormat="1" x14ac:dyDescent="0.35">
      <c r="E26685" s="35"/>
      <c r="J26685" s="41"/>
    </row>
    <row r="26686" spans="5:10" s="34" customFormat="1" x14ac:dyDescent="0.35">
      <c r="E26686" s="35"/>
      <c r="J26686" s="41"/>
    </row>
    <row r="26687" spans="5:10" s="34" customFormat="1" x14ac:dyDescent="0.35">
      <c r="E26687" s="35"/>
      <c r="J26687" s="41"/>
    </row>
    <row r="26688" spans="5:10" s="34" customFormat="1" x14ac:dyDescent="0.35">
      <c r="E26688" s="35"/>
      <c r="J26688" s="41"/>
    </row>
    <row r="26689" spans="5:10" s="34" customFormat="1" x14ac:dyDescent="0.35">
      <c r="E26689" s="35"/>
      <c r="J26689" s="41"/>
    </row>
    <row r="26690" spans="5:10" s="34" customFormat="1" x14ac:dyDescent="0.35">
      <c r="E26690" s="35"/>
      <c r="J26690" s="41"/>
    </row>
    <row r="26691" spans="5:10" s="34" customFormat="1" x14ac:dyDescent="0.35">
      <c r="E26691" s="35"/>
      <c r="J26691" s="41"/>
    </row>
    <row r="26692" spans="5:10" s="34" customFormat="1" x14ac:dyDescent="0.35">
      <c r="E26692" s="35"/>
      <c r="J26692" s="41"/>
    </row>
    <row r="26693" spans="5:10" s="34" customFormat="1" x14ac:dyDescent="0.35">
      <c r="E26693" s="35"/>
      <c r="J26693" s="41"/>
    </row>
    <row r="26694" spans="5:10" s="34" customFormat="1" x14ac:dyDescent="0.35">
      <c r="E26694" s="35"/>
      <c r="J26694" s="41"/>
    </row>
    <row r="26695" spans="5:10" s="34" customFormat="1" x14ac:dyDescent="0.35">
      <c r="E26695" s="35"/>
      <c r="J26695" s="41"/>
    </row>
    <row r="26696" spans="5:10" s="34" customFormat="1" x14ac:dyDescent="0.35">
      <c r="E26696" s="35"/>
      <c r="J26696" s="41"/>
    </row>
    <row r="26697" spans="5:10" s="34" customFormat="1" x14ac:dyDescent="0.35">
      <c r="E26697" s="35"/>
      <c r="J26697" s="41"/>
    </row>
    <row r="26698" spans="5:10" s="34" customFormat="1" x14ac:dyDescent="0.35">
      <c r="E26698" s="35"/>
      <c r="J26698" s="41"/>
    </row>
    <row r="26699" spans="5:10" s="34" customFormat="1" x14ac:dyDescent="0.35">
      <c r="E26699" s="35"/>
      <c r="J26699" s="41"/>
    </row>
    <row r="26700" spans="5:10" s="34" customFormat="1" x14ac:dyDescent="0.35">
      <c r="E26700" s="35"/>
      <c r="J26700" s="41"/>
    </row>
    <row r="26701" spans="5:10" s="34" customFormat="1" x14ac:dyDescent="0.35">
      <c r="E26701" s="35"/>
      <c r="J26701" s="41"/>
    </row>
    <row r="26702" spans="5:10" s="34" customFormat="1" x14ac:dyDescent="0.35">
      <c r="E26702" s="35"/>
      <c r="J26702" s="41"/>
    </row>
    <row r="26703" spans="5:10" s="34" customFormat="1" x14ac:dyDescent="0.35">
      <c r="E26703" s="35"/>
      <c r="J26703" s="41"/>
    </row>
    <row r="26704" spans="5:10" s="34" customFormat="1" x14ac:dyDescent="0.35">
      <c r="E26704" s="35"/>
      <c r="J26704" s="41"/>
    </row>
    <row r="26705" spans="5:10" s="34" customFormat="1" x14ac:dyDescent="0.35">
      <c r="E26705" s="35"/>
      <c r="J26705" s="41"/>
    </row>
    <row r="26706" spans="5:10" s="34" customFormat="1" x14ac:dyDescent="0.35">
      <c r="E26706" s="35"/>
      <c r="J26706" s="41"/>
    </row>
    <row r="26707" spans="5:10" s="34" customFormat="1" x14ac:dyDescent="0.35">
      <c r="E26707" s="35"/>
      <c r="J26707" s="41"/>
    </row>
    <row r="26708" spans="5:10" s="34" customFormat="1" x14ac:dyDescent="0.35">
      <c r="E26708" s="35"/>
      <c r="J26708" s="41"/>
    </row>
    <row r="26709" spans="5:10" s="34" customFormat="1" x14ac:dyDescent="0.35">
      <c r="E26709" s="35"/>
      <c r="J26709" s="41"/>
    </row>
    <row r="26710" spans="5:10" s="34" customFormat="1" x14ac:dyDescent="0.35">
      <c r="E26710" s="35"/>
      <c r="J26710" s="41"/>
    </row>
    <row r="26711" spans="5:10" s="34" customFormat="1" x14ac:dyDescent="0.35">
      <c r="E26711" s="35"/>
      <c r="J26711" s="41"/>
    </row>
    <row r="26712" spans="5:10" s="34" customFormat="1" x14ac:dyDescent="0.35">
      <c r="E26712" s="35"/>
      <c r="J26712" s="41"/>
    </row>
    <row r="26713" spans="5:10" s="34" customFormat="1" x14ac:dyDescent="0.35">
      <c r="E26713" s="35"/>
      <c r="J26713" s="41"/>
    </row>
    <row r="26714" spans="5:10" s="34" customFormat="1" x14ac:dyDescent="0.35">
      <c r="E26714" s="35"/>
      <c r="J26714" s="41"/>
    </row>
    <row r="26715" spans="5:10" s="34" customFormat="1" x14ac:dyDescent="0.35">
      <c r="E26715" s="35"/>
      <c r="J26715" s="41"/>
    </row>
    <row r="26716" spans="5:10" s="34" customFormat="1" x14ac:dyDescent="0.35">
      <c r="E26716" s="35"/>
      <c r="J26716" s="41"/>
    </row>
    <row r="26717" spans="5:10" s="34" customFormat="1" x14ac:dyDescent="0.35">
      <c r="E26717" s="35"/>
      <c r="J26717" s="41"/>
    </row>
    <row r="26718" spans="5:10" s="34" customFormat="1" x14ac:dyDescent="0.35">
      <c r="E26718" s="35"/>
      <c r="J26718" s="41"/>
    </row>
    <row r="26719" spans="5:10" s="34" customFormat="1" x14ac:dyDescent="0.35">
      <c r="E26719" s="35"/>
      <c r="J26719" s="41"/>
    </row>
    <row r="26720" spans="5:10" s="34" customFormat="1" x14ac:dyDescent="0.35">
      <c r="E26720" s="35"/>
      <c r="J26720" s="41"/>
    </row>
    <row r="26721" spans="5:10" s="34" customFormat="1" x14ac:dyDescent="0.35">
      <c r="E26721" s="35"/>
      <c r="J26721" s="41"/>
    </row>
    <row r="26722" spans="5:10" s="34" customFormat="1" x14ac:dyDescent="0.35">
      <c r="E26722" s="35"/>
      <c r="J26722" s="41"/>
    </row>
    <row r="26723" spans="5:10" s="34" customFormat="1" x14ac:dyDescent="0.35">
      <c r="E26723" s="35"/>
      <c r="J26723" s="41"/>
    </row>
    <row r="26724" spans="5:10" s="34" customFormat="1" x14ac:dyDescent="0.35">
      <c r="E26724" s="35"/>
      <c r="J26724" s="41"/>
    </row>
    <row r="26725" spans="5:10" s="34" customFormat="1" x14ac:dyDescent="0.35">
      <c r="E26725" s="35"/>
      <c r="J26725" s="41"/>
    </row>
    <row r="26726" spans="5:10" s="34" customFormat="1" x14ac:dyDescent="0.35">
      <c r="E26726" s="35"/>
      <c r="J26726" s="41"/>
    </row>
    <row r="26727" spans="5:10" s="34" customFormat="1" x14ac:dyDescent="0.35">
      <c r="E26727" s="35"/>
      <c r="J26727" s="41"/>
    </row>
    <row r="26728" spans="5:10" s="34" customFormat="1" x14ac:dyDescent="0.35">
      <c r="E26728" s="35"/>
      <c r="J26728" s="41"/>
    </row>
    <row r="26729" spans="5:10" s="34" customFormat="1" x14ac:dyDescent="0.35">
      <c r="E26729" s="35"/>
      <c r="J26729" s="41"/>
    </row>
    <row r="26730" spans="5:10" s="34" customFormat="1" x14ac:dyDescent="0.35">
      <c r="E26730" s="35"/>
      <c r="J26730" s="41"/>
    </row>
    <row r="26731" spans="5:10" s="34" customFormat="1" x14ac:dyDescent="0.35">
      <c r="E26731" s="35"/>
      <c r="J26731" s="41"/>
    </row>
    <row r="26732" spans="5:10" s="34" customFormat="1" x14ac:dyDescent="0.35">
      <c r="E26732" s="35"/>
      <c r="J26732" s="41"/>
    </row>
    <row r="26733" spans="5:10" s="34" customFormat="1" x14ac:dyDescent="0.35">
      <c r="E26733" s="35"/>
      <c r="J26733" s="41"/>
    </row>
    <row r="26734" spans="5:10" s="34" customFormat="1" x14ac:dyDescent="0.35">
      <c r="E26734" s="35"/>
      <c r="J26734" s="41"/>
    </row>
    <row r="26735" spans="5:10" s="34" customFormat="1" x14ac:dyDescent="0.35">
      <c r="E26735" s="35"/>
      <c r="J26735" s="41"/>
    </row>
    <row r="26736" spans="5:10" s="34" customFormat="1" x14ac:dyDescent="0.35">
      <c r="E26736" s="35"/>
      <c r="J26736" s="41"/>
    </row>
    <row r="26737" spans="5:10" s="34" customFormat="1" x14ac:dyDescent="0.35">
      <c r="E26737" s="35"/>
      <c r="J26737" s="41"/>
    </row>
    <row r="26738" spans="5:10" s="34" customFormat="1" x14ac:dyDescent="0.35">
      <c r="E26738" s="35"/>
      <c r="J26738" s="41"/>
    </row>
    <row r="26739" spans="5:10" s="34" customFormat="1" x14ac:dyDescent="0.35">
      <c r="E26739" s="35"/>
      <c r="J26739" s="41"/>
    </row>
    <row r="26740" spans="5:10" s="34" customFormat="1" x14ac:dyDescent="0.35">
      <c r="E26740" s="35"/>
      <c r="J26740" s="41"/>
    </row>
    <row r="26741" spans="5:10" s="34" customFormat="1" x14ac:dyDescent="0.35">
      <c r="E26741" s="35"/>
      <c r="J26741" s="41"/>
    </row>
    <row r="26742" spans="5:10" s="34" customFormat="1" x14ac:dyDescent="0.35">
      <c r="E26742" s="35"/>
      <c r="J26742" s="41"/>
    </row>
    <row r="26743" spans="5:10" s="34" customFormat="1" x14ac:dyDescent="0.35">
      <c r="E26743" s="35"/>
      <c r="J26743" s="41"/>
    </row>
    <row r="26744" spans="5:10" s="34" customFormat="1" x14ac:dyDescent="0.35">
      <c r="E26744" s="35"/>
      <c r="J26744" s="41"/>
    </row>
    <row r="26745" spans="5:10" s="34" customFormat="1" x14ac:dyDescent="0.35">
      <c r="E26745" s="35"/>
      <c r="J26745" s="41"/>
    </row>
    <row r="26746" spans="5:10" s="34" customFormat="1" x14ac:dyDescent="0.35">
      <c r="E26746" s="35"/>
      <c r="J26746" s="41"/>
    </row>
    <row r="26747" spans="5:10" s="34" customFormat="1" x14ac:dyDescent="0.35">
      <c r="E26747" s="35"/>
      <c r="J26747" s="41"/>
    </row>
    <row r="26748" spans="5:10" s="34" customFormat="1" x14ac:dyDescent="0.35">
      <c r="E26748" s="35"/>
      <c r="J26748" s="41"/>
    </row>
    <row r="26749" spans="5:10" s="34" customFormat="1" x14ac:dyDescent="0.35">
      <c r="E26749" s="35"/>
      <c r="J26749" s="41"/>
    </row>
    <row r="26750" spans="5:10" s="34" customFormat="1" x14ac:dyDescent="0.35">
      <c r="E26750" s="35"/>
      <c r="J26750" s="41"/>
    </row>
    <row r="26751" spans="5:10" s="34" customFormat="1" x14ac:dyDescent="0.35">
      <c r="E26751" s="35"/>
      <c r="J26751" s="41"/>
    </row>
    <row r="26752" spans="5:10" s="34" customFormat="1" x14ac:dyDescent="0.35">
      <c r="E26752" s="35"/>
      <c r="J26752" s="41"/>
    </row>
    <row r="26753" spans="5:10" s="34" customFormat="1" x14ac:dyDescent="0.35">
      <c r="E26753" s="35"/>
      <c r="J26753" s="41"/>
    </row>
    <row r="26754" spans="5:10" s="34" customFormat="1" x14ac:dyDescent="0.35">
      <c r="E26754" s="35"/>
      <c r="J26754" s="41"/>
    </row>
    <row r="26755" spans="5:10" s="34" customFormat="1" x14ac:dyDescent="0.35">
      <c r="E26755" s="35"/>
      <c r="J26755" s="41"/>
    </row>
    <row r="26756" spans="5:10" s="34" customFormat="1" x14ac:dyDescent="0.35">
      <c r="E26756" s="35"/>
      <c r="J26756" s="41"/>
    </row>
    <row r="26757" spans="5:10" s="34" customFormat="1" x14ac:dyDescent="0.35">
      <c r="E26757" s="35"/>
      <c r="J26757" s="41"/>
    </row>
    <row r="26758" spans="5:10" s="34" customFormat="1" x14ac:dyDescent="0.35">
      <c r="E26758" s="35"/>
      <c r="J26758" s="41"/>
    </row>
    <row r="26759" spans="5:10" s="34" customFormat="1" x14ac:dyDescent="0.35">
      <c r="E26759" s="35"/>
      <c r="J26759" s="41"/>
    </row>
    <row r="26760" spans="5:10" s="34" customFormat="1" x14ac:dyDescent="0.35">
      <c r="E26760" s="35"/>
      <c r="J26760" s="41"/>
    </row>
    <row r="26761" spans="5:10" s="34" customFormat="1" x14ac:dyDescent="0.35">
      <c r="E26761" s="35"/>
      <c r="J26761" s="41"/>
    </row>
    <row r="26762" spans="5:10" s="34" customFormat="1" x14ac:dyDescent="0.35">
      <c r="E26762" s="35"/>
      <c r="J26762" s="41"/>
    </row>
    <row r="26763" spans="5:10" s="34" customFormat="1" x14ac:dyDescent="0.35">
      <c r="E26763" s="35"/>
      <c r="J26763" s="41"/>
    </row>
    <row r="26764" spans="5:10" s="34" customFormat="1" x14ac:dyDescent="0.35">
      <c r="E26764" s="35"/>
      <c r="J26764" s="41"/>
    </row>
    <row r="26765" spans="5:10" s="34" customFormat="1" x14ac:dyDescent="0.35">
      <c r="E26765" s="35"/>
      <c r="J26765" s="41"/>
    </row>
    <row r="26766" spans="5:10" s="34" customFormat="1" x14ac:dyDescent="0.35">
      <c r="E26766" s="35"/>
      <c r="J26766" s="41"/>
    </row>
    <row r="26767" spans="5:10" s="34" customFormat="1" x14ac:dyDescent="0.35">
      <c r="E26767" s="35"/>
      <c r="J26767" s="41"/>
    </row>
    <row r="26768" spans="5:10" s="34" customFormat="1" x14ac:dyDescent="0.35">
      <c r="E26768" s="35"/>
      <c r="J26768" s="41"/>
    </row>
    <row r="26769" spans="5:10" s="34" customFormat="1" x14ac:dyDescent="0.35">
      <c r="E26769" s="35"/>
      <c r="J26769" s="41"/>
    </row>
    <row r="26770" spans="5:10" s="34" customFormat="1" x14ac:dyDescent="0.35">
      <c r="E26770" s="35"/>
      <c r="J26770" s="41"/>
    </row>
    <row r="26771" spans="5:10" s="34" customFormat="1" x14ac:dyDescent="0.35">
      <c r="E26771" s="35"/>
      <c r="J26771" s="41"/>
    </row>
    <row r="26772" spans="5:10" s="34" customFormat="1" x14ac:dyDescent="0.35">
      <c r="E26772" s="35"/>
      <c r="J26772" s="41"/>
    </row>
    <row r="26773" spans="5:10" s="34" customFormat="1" x14ac:dyDescent="0.35">
      <c r="E26773" s="35"/>
      <c r="J26773" s="41"/>
    </row>
    <row r="26774" spans="5:10" s="34" customFormat="1" x14ac:dyDescent="0.35">
      <c r="E26774" s="35"/>
      <c r="J26774" s="41"/>
    </row>
    <row r="26775" spans="5:10" s="34" customFormat="1" x14ac:dyDescent="0.35">
      <c r="E26775" s="35"/>
      <c r="J26775" s="41"/>
    </row>
    <row r="26776" spans="5:10" s="34" customFormat="1" x14ac:dyDescent="0.35">
      <c r="E26776" s="35"/>
      <c r="J26776" s="41"/>
    </row>
    <row r="26777" spans="5:10" s="34" customFormat="1" x14ac:dyDescent="0.35">
      <c r="E26777" s="35"/>
      <c r="J26777" s="41"/>
    </row>
    <row r="26778" spans="5:10" s="34" customFormat="1" x14ac:dyDescent="0.35">
      <c r="E26778" s="35"/>
      <c r="J26778" s="41"/>
    </row>
    <row r="26779" spans="5:10" s="34" customFormat="1" x14ac:dyDescent="0.35">
      <c r="E26779" s="35"/>
      <c r="J26779" s="41"/>
    </row>
    <row r="26780" spans="5:10" s="34" customFormat="1" x14ac:dyDescent="0.35">
      <c r="E26780" s="35"/>
      <c r="J26780" s="41"/>
    </row>
    <row r="26781" spans="5:10" s="34" customFormat="1" x14ac:dyDescent="0.35">
      <c r="E26781" s="35"/>
      <c r="J26781" s="41"/>
    </row>
    <row r="26782" spans="5:10" s="34" customFormat="1" x14ac:dyDescent="0.35">
      <c r="E26782" s="35"/>
      <c r="J26782" s="41"/>
    </row>
    <row r="26783" spans="5:10" s="34" customFormat="1" x14ac:dyDescent="0.35">
      <c r="E26783" s="35"/>
      <c r="J26783" s="41"/>
    </row>
    <row r="26784" spans="5:10" s="34" customFormat="1" x14ac:dyDescent="0.35">
      <c r="E26784" s="35"/>
      <c r="J26784" s="41"/>
    </row>
    <row r="26785" spans="5:10" s="34" customFormat="1" x14ac:dyDescent="0.35">
      <c r="E26785" s="35"/>
      <c r="J26785" s="41"/>
    </row>
    <row r="26786" spans="5:10" s="34" customFormat="1" x14ac:dyDescent="0.35">
      <c r="E26786" s="35"/>
      <c r="J26786" s="41"/>
    </row>
    <row r="26787" spans="5:10" s="34" customFormat="1" x14ac:dyDescent="0.35">
      <c r="E26787" s="35"/>
      <c r="J26787" s="41"/>
    </row>
    <row r="26788" spans="5:10" s="34" customFormat="1" x14ac:dyDescent="0.35">
      <c r="E26788" s="35"/>
      <c r="J26788" s="41"/>
    </row>
    <row r="26789" spans="5:10" s="34" customFormat="1" x14ac:dyDescent="0.35">
      <c r="E26789" s="35"/>
      <c r="J26789" s="41"/>
    </row>
    <row r="26790" spans="5:10" s="34" customFormat="1" x14ac:dyDescent="0.35">
      <c r="E26790" s="35"/>
      <c r="J26790" s="41"/>
    </row>
    <row r="26791" spans="5:10" s="34" customFormat="1" x14ac:dyDescent="0.35">
      <c r="E26791" s="35"/>
      <c r="J26791" s="41"/>
    </row>
    <row r="26792" spans="5:10" s="34" customFormat="1" x14ac:dyDescent="0.35">
      <c r="E26792" s="35"/>
      <c r="J26792" s="41"/>
    </row>
    <row r="26793" spans="5:10" s="34" customFormat="1" x14ac:dyDescent="0.35">
      <c r="E26793" s="35"/>
      <c r="J26793" s="41"/>
    </row>
    <row r="26794" spans="5:10" s="34" customFormat="1" x14ac:dyDescent="0.35">
      <c r="E26794" s="35"/>
      <c r="J26794" s="41"/>
    </row>
    <row r="26795" spans="5:10" s="34" customFormat="1" x14ac:dyDescent="0.35">
      <c r="E26795" s="35"/>
      <c r="J26795" s="41"/>
    </row>
    <row r="26796" spans="5:10" s="34" customFormat="1" x14ac:dyDescent="0.35">
      <c r="E26796" s="35"/>
      <c r="J26796" s="41"/>
    </row>
    <row r="26797" spans="5:10" s="34" customFormat="1" x14ac:dyDescent="0.35">
      <c r="E26797" s="35"/>
      <c r="J26797" s="41"/>
    </row>
    <row r="26798" spans="5:10" s="34" customFormat="1" x14ac:dyDescent="0.35">
      <c r="E26798" s="35"/>
      <c r="J26798" s="41"/>
    </row>
    <row r="26799" spans="5:10" s="34" customFormat="1" x14ac:dyDescent="0.35">
      <c r="E26799" s="35"/>
      <c r="J26799" s="41"/>
    </row>
    <row r="26800" spans="5:10" s="34" customFormat="1" x14ac:dyDescent="0.35">
      <c r="E26800" s="35"/>
      <c r="J26800" s="41"/>
    </row>
    <row r="26801" spans="5:10" s="34" customFormat="1" x14ac:dyDescent="0.35">
      <c r="E26801" s="35"/>
      <c r="J26801" s="41"/>
    </row>
    <row r="26802" spans="5:10" s="34" customFormat="1" x14ac:dyDescent="0.35">
      <c r="E26802" s="35"/>
      <c r="J26802" s="41"/>
    </row>
    <row r="26803" spans="5:10" s="34" customFormat="1" x14ac:dyDescent="0.35">
      <c r="E26803" s="35"/>
      <c r="J26803" s="41"/>
    </row>
    <row r="26804" spans="5:10" s="34" customFormat="1" x14ac:dyDescent="0.35">
      <c r="E26804" s="35"/>
      <c r="J26804" s="41"/>
    </row>
    <row r="26805" spans="5:10" s="34" customFormat="1" x14ac:dyDescent="0.35">
      <c r="E26805" s="35"/>
      <c r="J26805" s="41"/>
    </row>
    <row r="26806" spans="5:10" s="34" customFormat="1" x14ac:dyDescent="0.35">
      <c r="E26806" s="35"/>
      <c r="J26806" s="41"/>
    </row>
    <row r="26807" spans="5:10" s="34" customFormat="1" x14ac:dyDescent="0.35">
      <c r="E26807" s="35"/>
      <c r="J26807" s="41"/>
    </row>
    <row r="26808" spans="5:10" s="34" customFormat="1" x14ac:dyDescent="0.35">
      <c r="E26808" s="35"/>
      <c r="J26808" s="41"/>
    </row>
    <row r="26809" spans="5:10" s="34" customFormat="1" x14ac:dyDescent="0.35">
      <c r="E26809" s="35"/>
      <c r="J26809" s="41"/>
    </row>
    <row r="26810" spans="5:10" s="34" customFormat="1" x14ac:dyDescent="0.35">
      <c r="E26810" s="35"/>
      <c r="J26810" s="41"/>
    </row>
    <row r="26811" spans="5:10" s="34" customFormat="1" x14ac:dyDescent="0.35">
      <c r="E26811" s="35"/>
      <c r="J26811" s="41"/>
    </row>
    <row r="26812" spans="5:10" s="34" customFormat="1" x14ac:dyDescent="0.35">
      <c r="E26812" s="35"/>
      <c r="J26812" s="41"/>
    </row>
    <row r="26813" spans="5:10" s="34" customFormat="1" x14ac:dyDescent="0.35">
      <c r="E26813" s="35"/>
      <c r="J26813" s="41"/>
    </row>
    <row r="26814" spans="5:10" s="34" customFormat="1" x14ac:dyDescent="0.35">
      <c r="E26814" s="35"/>
      <c r="J26814" s="41"/>
    </row>
    <row r="26815" spans="5:10" s="34" customFormat="1" x14ac:dyDescent="0.35">
      <c r="E26815" s="35"/>
      <c r="J26815" s="41"/>
    </row>
    <row r="26816" spans="5:10" s="34" customFormat="1" x14ac:dyDescent="0.35">
      <c r="E26816" s="35"/>
      <c r="J26816" s="41"/>
    </row>
    <row r="26817" spans="5:10" s="34" customFormat="1" x14ac:dyDescent="0.35">
      <c r="E26817" s="35"/>
      <c r="J26817" s="41"/>
    </row>
    <row r="26818" spans="5:10" s="34" customFormat="1" x14ac:dyDescent="0.35">
      <c r="E26818" s="35"/>
      <c r="J26818" s="41"/>
    </row>
    <row r="26819" spans="5:10" s="34" customFormat="1" x14ac:dyDescent="0.35">
      <c r="E26819" s="35"/>
      <c r="J26819" s="41"/>
    </row>
    <row r="26820" spans="5:10" s="34" customFormat="1" x14ac:dyDescent="0.35">
      <c r="E26820" s="35"/>
      <c r="J26820" s="41"/>
    </row>
    <row r="26821" spans="5:10" s="34" customFormat="1" x14ac:dyDescent="0.35">
      <c r="E26821" s="35"/>
      <c r="J26821" s="41"/>
    </row>
    <row r="26822" spans="5:10" s="34" customFormat="1" x14ac:dyDescent="0.35">
      <c r="E26822" s="35"/>
      <c r="J26822" s="41"/>
    </row>
    <row r="26823" spans="5:10" s="34" customFormat="1" x14ac:dyDescent="0.35">
      <c r="E26823" s="35"/>
      <c r="J26823" s="41"/>
    </row>
    <row r="26824" spans="5:10" s="34" customFormat="1" x14ac:dyDescent="0.35">
      <c r="E26824" s="35"/>
      <c r="J26824" s="41"/>
    </row>
    <row r="26825" spans="5:10" s="34" customFormat="1" x14ac:dyDescent="0.35">
      <c r="E26825" s="35"/>
      <c r="J26825" s="41"/>
    </row>
    <row r="26826" spans="5:10" s="34" customFormat="1" x14ac:dyDescent="0.35">
      <c r="E26826" s="35"/>
      <c r="J26826" s="41"/>
    </row>
    <row r="26827" spans="5:10" s="34" customFormat="1" x14ac:dyDescent="0.35">
      <c r="E26827" s="35"/>
      <c r="J26827" s="41"/>
    </row>
    <row r="26828" spans="5:10" s="34" customFormat="1" x14ac:dyDescent="0.35">
      <c r="E26828" s="35"/>
      <c r="J26828" s="41"/>
    </row>
    <row r="26829" spans="5:10" s="34" customFormat="1" x14ac:dyDescent="0.35">
      <c r="E26829" s="35"/>
      <c r="J26829" s="41"/>
    </row>
    <row r="26830" spans="5:10" s="34" customFormat="1" x14ac:dyDescent="0.35">
      <c r="E26830" s="35"/>
      <c r="J26830" s="41"/>
    </row>
    <row r="26831" spans="5:10" s="34" customFormat="1" x14ac:dyDescent="0.35">
      <c r="E26831" s="35"/>
      <c r="J26831" s="41"/>
    </row>
    <row r="26832" spans="5:10" s="34" customFormat="1" x14ac:dyDescent="0.35">
      <c r="E26832" s="35"/>
      <c r="J26832" s="41"/>
    </row>
    <row r="26833" spans="5:10" s="34" customFormat="1" x14ac:dyDescent="0.35">
      <c r="E26833" s="35"/>
      <c r="J26833" s="41"/>
    </row>
    <row r="26834" spans="5:10" s="34" customFormat="1" x14ac:dyDescent="0.35">
      <c r="E26834" s="35"/>
      <c r="J26834" s="41"/>
    </row>
    <row r="26835" spans="5:10" s="34" customFormat="1" x14ac:dyDescent="0.35">
      <c r="E26835" s="35"/>
      <c r="J26835" s="41"/>
    </row>
    <row r="26836" spans="5:10" s="34" customFormat="1" x14ac:dyDescent="0.35">
      <c r="E26836" s="35"/>
      <c r="J26836" s="41"/>
    </row>
    <row r="26837" spans="5:10" s="34" customFormat="1" x14ac:dyDescent="0.35">
      <c r="E26837" s="35"/>
      <c r="J26837" s="41"/>
    </row>
    <row r="26838" spans="5:10" s="34" customFormat="1" x14ac:dyDescent="0.35">
      <c r="E26838" s="35"/>
      <c r="J26838" s="41"/>
    </row>
    <row r="26839" spans="5:10" s="34" customFormat="1" x14ac:dyDescent="0.35">
      <c r="E26839" s="35"/>
      <c r="J26839" s="41"/>
    </row>
    <row r="26840" spans="5:10" s="34" customFormat="1" x14ac:dyDescent="0.35">
      <c r="E26840" s="35"/>
      <c r="J26840" s="41"/>
    </row>
    <row r="26841" spans="5:10" s="34" customFormat="1" x14ac:dyDescent="0.35">
      <c r="E26841" s="35"/>
      <c r="J26841" s="41"/>
    </row>
    <row r="26842" spans="5:10" s="34" customFormat="1" x14ac:dyDescent="0.35">
      <c r="E26842" s="35"/>
      <c r="J26842" s="41"/>
    </row>
    <row r="26843" spans="5:10" s="34" customFormat="1" x14ac:dyDescent="0.35">
      <c r="E26843" s="35"/>
      <c r="J26843" s="41"/>
    </row>
    <row r="26844" spans="5:10" s="34" customFormat="1" x14ac:dyDescent="0.35">
      <c r="E26844" s="35"/>
      <c r="J26844" s="41"/>
    </row>
    <row r="26845" spans="5:10" s="34" customFormat="1" x14ac:dyDescent="0.35">
      <c r="E26845" s="35"/>
      <c r="J26845" s="41"/>
    </row>
    <row r="26846" spans="5:10" s="34" customFormat="1" x14ac:dyDescent="0.35">
      <c r="E26846" s="35"/>
      <c r="J26846" s="41"/>
    </row>
    <row r="26847" spans="5:10" s="34" customFormat="1" x14ac:dyDescent="0.35">
      <c r="E26847" s="35"/>
      <c r="J26847" s="41"/>
    </row>
    <row r="26848" spans="5:10" s="34" customFormat="1" x14ac:dyDescent="0.35">
      <c r="E26848" s="35"/>
      <c r="J26848" s="41"/>
    </row>
    <row r="26849" spans="5:10" s="34" customFormat="1" x14ac:dyDescent="0.35">
      <c r="E26849" s="35"/>
      <c r="J26849" s="41"/>
    </row>
    <row r="26850" spans="5:10" s="34" customFormat="1" x14ac:dyDescent="0.35">
      <c r="E26850" s="35"/>
      <c r="J26850" s="41"/>
    </row>
    <row r="26851" spans="5:10" s="34" customFormat="1" x14ac:dyDescent="0.35">
      <c r="E26851" s="35"/>
      <c r="J26851" s="41"/>
    </row>
    <row r="26852" spans="5:10" s="34" customFormat="1" x14ac:dyDescent="0.35">
      <c r="E26852" s="35"/>
      <c r="J26852" s="41"/>
    </row>
    <row r="26853" spans="5:10" s="34" customFormat="1" x14ac:dyDescent="0.35">
      <c r="E26853" s="35"/>
      <c r="J26853" s="41"/>
    </row>
    <row r="26854" spans="5:10" s="34" customFormat="1" x14ac:dyDescent="0.35">
      <c r="E26854" s="35"/>
      <c r="J26854" s="41"/>
    </row>
    <row r="26855" spans="5:10" s="34" customFormat="1" x14ac:dyDescent="0.35">
      <c r="E26855" s="35"/>
      <c r="J26855" s="41"/>
    </row>
    <row r="26856" spans="5:10" s="34" customFormat="1" x14ac:dyDescent="0.35">
      <c r="E26856" s="35"/>
      <c r="J26856" s="41"/>
    </row>
    <row r="26857" spans="5:10" s="34" customFormat="1" x14ac:dyDescent="0.35">
      <c r="E26857" s="35"/>
      <c r="J26857" s="41"/>
    </row>
    <row r="26858" spans="5:10" s="34" customFormat="1" x14ac:dyDescent="0.35">
      <c r="E26858" s="35"/>
      <c r="J26858" s="41"/>
    </row>
    <row r="26859" spans="5:10" s="34" customFormat="1" x14ac:dyDescent="0.35">
      <c r="E26859" s="35"/>
      <c r="J26859" s="41"/>
    </row>
    <row r="26860" spans="5:10" s="34" customFormat="1" x14ac:dyDescent="0.35">
      <c r="E26860" s="35"/>
      <c r="J26860" s="41"/>
    </row>
    <row r="26861" spans="5:10" s="34" customFormat="1" x14ac:dyDescent="0.35">
      <c r="E26861" s="35"/>
      <c r="J26861" s="41"/>
    </row>
    <row r="26862" spans="5:10" s="34" customFormat="1" x14ac:dyDescent="0.35">
      <c r="E26862" s="35"/>
      <c r="J26862" s="41"/>
    </row>
    <row r="26863" spans="5:10" s="34" customFormat="1" x14ac:dyDescent="0.35">
      <c r="E26863" s="35"/>
      <c r="J26863" s="41"/>
    </row>
    <row r="26864" spans="5:10" s="34" customFormat="1" x14ac:dyDescent="0.35">
      <c r="E26864" s="35"/>
      <c r="J26864" s="41"/>
    </row>
    <row r="26865" spans="5:10" s="34" customFormat="1" x14ac:dyDescent="0.35">
      <c r="E26865" s="35"/>
      <c r="J26865" s="41"/>
    </row>
    <row r="26866" spans="5:10" s="34" customFormat="1" x14ac:dyDescent="0.35">
      <c r="E26866" s="35"/>
      <c r="J26866" s="41"/>
    </row>
    <row r="26867" spans="5:10" s="34" customFormat="1" x14ac:dyDescent="0.35">
      <c r="E26867" s="35"/>
      <c r="J26867" s="41"/>
    </row>
    <row r="26868" spans="5:10" s="34" customFormat="1" x14ac:dyDescent="0.35">
      <c r="E26868" s="35"/>
      <c r="J26868" s="41"/>
    </row>
    <row r="26869" spans="5:10" s="34" customFormat="1" x14ac:dyDescent="0.35">
      <c r="E26869" s="35"/>
      <c r="J26869" s="41"/>
    </row>
    <row r="26870" spans="5:10" s="34" customFormat="1" x14ac:dyDescent="0.35">
      <c r="E26870" s="35"/>
      <c r="J26870" s="41"/>
    </row>
    <row r="26871" spans="5:10" s="34" customFormat="1" x14ac:dyDescent="0.35">
      <c r="E26871" s="35"/>
      <c r="J26871" s="41"/>
    </row>
    <row r="26872" spans="5:10" s="34" customFormat="1" x14ac:dyDescent="0.35">
      <c r="E26872" s="35"/>
      <c r="J26872" s="41"/>
    </row>
    <row r="26873" spans="5:10" s="34" customFormat="1" x14ac:dyDescent="0.35">
      <c r="E26873" s="35"/>
      <c r="J26873" s="41"/>
    </row>
    <row r="26874" spans="5:10" s="34" customFormat="1" x14ac:dyDescent="0.35">
      <c r="E26874" s="35"/>
      <c r="J26874" s="41"/>
    </row>
    <row r="26875" spans="5:10" s="34" customFormat="1" x14ac:dyDescent="0.35">
      <c r="E26875" s="35"/>
      <c r="J26875" s="41"/>
    </row>
    <row r="26876" spans="5:10" s="34" customFormat="1" x14ac:dyDescent="0.35">
      <c r="E26876" s="35"/>
      <c r="J26876" s="41"/>
    </row>
    <row r="26877" spans="5:10" s="34" customFormat="1" x14ac:dyDescent="0.35">
      <c r="E26877" s="35"/>
      <c r="J26877" s="41"/>
    </row>
    <row r="26878" spans="5:10" s="34" customFormat="1" x14ac:dyDescent="0.35">
      <c r="E26878" s="35"/>
      <c r="J26878" s="41"/>
    </row>
    <row r="26879" spans="5:10" s="34" customFormat="1" x14ac:dyDescent="0.35">
      <c r="E26879" s="35"/>
      <c r="J26879" s="41"/>
    </row>
    <row r="26880" spans="5:10" s="34" customFormat="1" x14ac:dyDescent="0.35">
      <c r="E26880" s="35"/>
      <c r="J26880" s="41"/>
    </row>
    <row r="26881" spans="5:10" s="34" customFormat="1" x14ac:dyDescent="0.35">
      <c r="E26881" s="35"/>
      <c r="J26881" s="41"/>
    </row>
    <row r="26882" spans="5:10" s="34" customFormat="1" x14ac:dyDescent="0.35">
      <c r="E26882" s="35"/>
      <c r="J26882" s="41"/>
    </row>
    <row r="26883" spans="5:10" s="34" customFormat="1" x14ac:dyDescent="0.35">
      <c r="E26883" s="35"/>
      <c r="J26883" s="41"/>
    </row>
    <row r="26884" spans="5:10" s="34" customFormat="1" x14ac:dyDescent="0.35">
      <c r="E26884" s="35"/>
      <c r="J26884" s="41"/>
    </row>
    <row r="26885" spans="5:10" s="34" customFormat="1" x14ac:dyDescent="0.35">
      <c r="E26885" s="35"/>
      <c r="J26885" s="41"/>
    </row>
    <row r="26886" spans="5:10" s="34" customFormat="1" x14ac:dyDescent="0.35">
      <c r="E26886" s="35"/>
      <c r="J26886" s="41"/>
    </row>
    <row r="26887" spans="5:10" s="34" customFormat="1" x14ac:dyDescent="0.35">
      <c r="E26887" s="35"/>
      <c r="J26887" s="41"/>
    </row>
    <row r="26888" spans="5:10" s="34" customFormat="1" x14ac:dyDescent="0.35">
      <c r="E26888" s="35"/>
      <c r="J26888" s="41"/>
    </row>
    <row r="26889" spans="5:10" s="34" customFormat="1" x14ac:dyDescent="0.35">
      <c r="E26889" s="35"/>
      <c r="J26889" s="41"/>
    </row>
    <row r="26890" spans="5:10" s="34" customFormat="1" x14ac:dyDescent="0.35">
      <c r="E26890" s="35"/>
      <c r="J26890" s="41"/>
    </row>
    <row r="26891" spans="5:10" s="34" customFormat="1" x14ac:dyDescent="0.35">
      <c r="E26891" s="35"/>
      <c r="J26891" s="41"/>
    </row>
    <row r="26892" spans="5:10" s="34" customFormat="1" x14ac:dyDescent="0.35">
      <c r="E26892" s="35"/>
      <c r="J26892" s="41"/>
    </row>
    <row r="26893" spans="5:10" s="34" customFormat="1" x14ac:dyDescent="0.35">
      <c r="E26893" s="35"/>
      <c r="J26893" s="41"/>
    </row>
    <row r="26894" spans="5:10" s="34" customFormat="1" x14ac:dyDescent="0.35">
      <c r="E26894" s="35"/>
      <c r="J26894" s="41"/>
    </row>
    <row r="26895" spans="5:10" s="34" customFormat="1" x14ac:dyDescent="0.35">
      <c r="E26895" s="35"/>
      <c r="J26895" s="41"/>
    </row>
    <row r="26896" spans="5:10" s="34" customFormat="1" x14ac:dyDescent="0.35">
      <c r="E26896" s="35"/>
      <c r="J26896" s="41"/>
    </row>
    <row r="26897" spans="5:10" s="34" customFormat="1" x14ac:dyDescent="0.35">
      <c r="E26897" s="35"/>
      <c r="J26897" s="41"/>
    </row>
    <row r="26898" spans="5:10" s="34" customFormat="1" x14ac:dyDescent="0.35">
      <c r="E26898" s="35"/>
      <c r="J26898" s="41"/>
    </row>
    <row r="26899" spans="5:10" s="34" customFormat="1" x14ac:dyDescent="0.35">
      <c r="E26899" s="35"/>
      <c r="J26899" s="41"/>
    </row>
    <row r="26900" spans="5:10" s="34" customFormat="1" x14ac:dyDescent="0.35">
      <c r="E26900" s="35"/>
      <c r="J26900" s="41"/>
    </row>
    <row r="26901" spans="5:10" s="34" customFormat="1" x14ac:dyDescent="0.35">
      <c r="E26901" s="35"/>
      <c r="J26901" s="41"/>
    </row>
    <row r="26902" spans="5:10" s="34" customFormat="1" x14ac:dyDescent="0.35">
      <c r="E26902" s="35"/>
      <c r="J26902" s="41"/>
    </row>
    <row r="26903" spans="5:10" s="34" customFormat="1" x14ac:dyDescent="0.35">
      <c r="E26903" s="35"/>
      <c r="J26903" s="41"/>
    </row>
    <row r="26904" spans="5:10" s="34" customFormat="1" x14ac:dyDescent="0.35">
      <c r="E26904" s="35"/>
      <c r="J26904" s="41"/>
    </row>
    <row r="26905" spans="5:10" s="34" customFormat="1" x14ac:dyDescent="0.35">
      <c r="E26905" s="35"/>
      <c r="J26905" s="41"/>
    </row>
    <row r="26906" spans="5:10" s="34" customFormat="1" x14ac:dyDescent="0.35">
      <c r="E26906" s="35"/>
      <c r="J26906" s="41"/>
    </row>
    <row r="26907" spans="5:10" s="34" customFormat="1" x14ac:dyDescent="0.35">
      <c r="E26907" s="35"/>
      <c r="J26907" s="41"/>
    </row>
    <row r="26908" spans="5:10" s="34" customFormat="1" x14ac:dyDescent="0.35">
      <c r="E26908" s="35"/>
      <c r="J26908" s="41"/>
    </row>
    <row r="26909" spans="5:10" s="34" customFormat="1" x14ac:dyDescent="0.35">
      <c r="E26909" s="35"/>
      <c r="J26909" s="41"/>
    </row>
    <row r="26910" spans="5:10" s="34" customFormat="1" x14ac:dyDescent="0.35">
      <c r="E26910" s="35"/>
      <c r="J26910" s="41"/>
    </row>
    <row r="26911" spans="5:10" s="34" customFormat="1" x14ac:dyDescent="0.35">
      <c r="E26911" s="35"/>
      <c r="J26911" s="41"/>
    </row>
    <row r="26912" spans="5:10" s="34" customFormat="1" x14ac:dyDescent="0.35">
      <c r="E26912" s="35"/>
      <c r="J26912" s="41"/>
    </row>
    <row r="26913" spans="5:10" s="34" customFormat="1" x14ac:dyDescent="0.35">
      <c r="E26913" s="35"/>
      <c r="J26913" s="41"/>
    </row>
    <row r="26914" spans="5:10" s="34" customFormat="1" x14ac:dyDescent="0.35">
      <c r="E26914" s="35"/>
      <c r="J26914" s="41"/>
    </row>
    <row r="26915" spans="5:10" s="34" customFormat="1" x14ac:dyDescent="0.35">
      <c r="E26915" s="35"/>
      <c r="J26915" s="41"/>
    </row>
    <row r="26916" spans="5:10" s="34" customFormat="1" x14ac:dyDescent="0.35">
      <c r="E26916" s="35"/>
      <c r="J26916" s="41"/>
    </row>
    <row r="26917" spans="5:10" s="34" customFormat="1" x14ac:dyDescent="0.35">
      <c r="E26917" s="35"/>
      <c r="J26917" s="41"/>
    </row>
    <row r="26918" spans="5:10" s="34" customFormat="1" x14ac:dyDescent="0.35">
      <c r="E26918" s="35"/>
      <c r="J26918" s="41"/>
    </row>
    <row r="26919" spans="5:10" s="34" customFormat="1" x14ac:dyDescent="0.35">
      <c r="E26919" s="35"/>
      <c r="J26919" s="41"/>
    </row>
    <row r="26920" spans="5:10" s="34" customFormat="1" x14ac:dyDescent="0.35">
      <c r="E26920" s="35"/>
      <c r="J26920" s="41"/>
    </row>
    <row r="26921" spans="5:10" s="34" customFormat="1" x14ac:dyDescent="0.35">
      <c r="E26921" s="35"/>
      <c r="J26921" s="41"/>
    </row>
    <row r="26922" spans="5:10" s="34" customFormat="1" x14ac:dyDescent="0.35">
      <c r="E26922" s="35"/>
      <c r="J26922" s="41"/>
    </row>
    <row r="26923" spans="5:10" s="34" customFormat="1" x14ac:dyDescent="0.35">
      <c r="E26923" s="35"/>
      <c r="J26923" s="41"/>
    </row>
    <row r="26924" spans="5:10" s="34" customFormat="1" x14ac:dyDescent="0.35">
      <c r="E26924" s="35"/>
      <c r="J26924" s="41"/>
    </row>
    <row r="26925" spans="5:10" s="34" customFormat="1" x14ac:dyDescent="0.35">
      <c r="E26925" s="35"/>
      <c r="J26925" s="41"/>
    </row>
    <row r="26926" spans="5:10" s="34" customFormat="1" x14ac:dyDescent="0.35">
      <c r="E26926" s="35"/>
      <c r="J26926" s="41"/>
    </row>
    <row r="26927" spans="5:10" s="34" customFormat="1" x14ac:dyDescent="0.35">
      <c r="E26927" s="35"/>
      <c r="J26927" s="41"/>
    </row>
    <row r="26928" spans="5:10" s="34" customFormat="1" x14ac:dyDescent="0.35">
      <c r="E26928" s="35"/>
      <c r="J26928" s="41"/>
    </row>
    <row r="26929" spans="5:10" s="34" customFormat="1" x14ac:dyDescent="0.35">
      <c r="E26929" s="35"/>
      <c r="J26929" s="41"/>
    </row>
    <row r="26930" spans="5:10" s="34" customFormat="1" x14ac:dyDescent="0.35">
      <c r="E26930" s="35"/>
      <c r="J26930" s="41"/>
    </row>
    <row r="26931" spans="5:10" s="34" customFormat="1" x14ac:dyDescent="0.35">
      <c r="E26931" s="35"/>
      <c r="J26931" s="41"/>
    </row>
    <row r="26932" spans="5:10" s="34" customFormat="1" x14ac:dyDescent="0.35">
      <c r="E26932" s="35"/>
      <c r="J26932" s="41"/>
    </row>
    <row r="26933" spans="5:10" s="34" customFormat="1" x14ac:dyDescent="0.35">
      <c r="E26933" s="35"/>
      <c r="J26933" s="41"/>
    </row>
    <row r="26934" spans="5:10" s="34" customFormat="1" x14ac:dyDescent="0.35">
      <c r="E26934" s="35"/>
      <c r="J26934" s="41"/>
    </row>
    <row r="26935" spans="5:10" s="34" customFormat="1" x14ac:dyDescent="0.35">
      <c r="E26935" s="35"/>
      <c r="J26935" s="41"/>
    </row>
    <row r="26936" spans="5:10" s="34" customFormat="1" x14ac:dyDescent="0.35">
      <c r="E26936" s="35"/>
      <c r="J26936" s="41"/>
    </row>
    <row r="26937" spans="5:10" s="34" customFormat="1" x14ac:dyDescent="0.35">
      <c r="E26937" s="35"/>
      <c r="J26937" s="41"/>
    </row>
    <row r="26938" spans="5:10" s="34" customFormat="1" x14ac:dyDescent="0.35">
      <c r="E26938" s="35"/>
      <c r="J26938" s="41"/>
    </row>
    <row r="26939" spans="5:10" s="34" customFormat="1" x14ac:dyDescent="0.35">
      <c r="E26939" s="35"/>
      <c r="J26939" s="41"/>
    </row>
    <row r="26940" spans="5:10" s="34" customFormat="1" x14ac:dyDescent="0.35">
      <c r="E26940" s="35"/>
      <c r="J26940" s="41"/>
    </row>
    <row r="26941" spans="5:10" s="34" customFormat="1" x14ac:dyDescent="0.35">
      <c r="E26941" s="35"/>
      <c r="J26941" s="41"/>
    </row>
    <row r="26942" spans="5:10" s="34" customFormat="1" x14ac:dyDescent="0.35">
      <c r="E26942" s="35"/>
      <c r="J26942" s="41"/>
    </row>
    <row r="26943" spans="5:10" s="34" customFormat="1" x14ac:dyDescent="0.35">
      <c r="E26943" s="35"/>
      <c r="J26943" s="41"/>
    </row>
    <row r="26944" spans="5:10" s="34" customFormat="1" x14ac:dyDescent="0.35">
      <c r="E26944" s="35"/>
      <c r="J26944" s="41"/>
    </row>
    <row r="26945" spans="5:10" s="34" customFormat="1" x14ac:dyDescent="0.35">
      <c r="E26945" s="35"/>
      <c r="J26945" s="41"/>
    </row>
    <row r="26946" spans="5:10" s="34" customFormat="1" x14ac:dyDescent="0.35">
      <c r="E26946" s="35"/>
      <c r="J26946" s="41"/>
    </row>
    <row r="26947" spans="5:10" s="34" customFormat="1" x14ac:dyDescent="0.35">
      <c r="E26947" s="35"/>
      <c r="J26947" s="41"/>
    </row>
    <row r="26948" spans="5:10" s="34" customFormat="1" x14ac:dyDescent="0.35">
      <c r="E26948" s="35"/>
      <c r="J26948" s="41"/>
    </row>
    <row r="26949" spans="5:10" s="34" customFormat="1" x14ac:dyDescent="0.35">
      <c r="E26949" s="35"/>
      <c r="J26949" s="41"/>
    </row>
    <row r="26950" spans="5:10" s="34" customFormat="1" x14ac:dyDescent="0.35">
      <c r="E26950" s="35"/>
      <c r="J26950" s="41"/>
    </row>
    <row r="26951" spans="5:10" s="34" customFormat="1" x14ac:dyDescent="0.35">
      <c r="E26951" s="35"/>
      <c r="J26951" s="41"/>
    </row>
    <row r="26952" spans="5:10" s="34" customFormat="1" x14ac:dyDescent="0.35">
      <c r="E26952" s="35"/>
      <c r="J26952" s="41"/>
    </row>
    <row r="26953" spans="5:10" s="34" customFormat="1" x14ac:dyDescent="0.35">
      <c r="E26953" s="35"/>
      <c r="J26953" s="41"/>
    </row>
    <row r="26954" spans="5:10" s="34" customFormat="1" x14ac:dyDescent="0.35">
      <c r="E26954" s="35"/>
      <c r="J26954" s="41"/>
    </row>
    <row r="26955" spans="5:10" s="34" customFormat="1" x14ac:dyDescent="0.35">
      <c r="E26955" s="35"/>
      <c r="J26955" s="41"/>
    </row>
    <row r="26956" spans="5:10" s="34" customFormat="1" x14ac:dyDescent="0.35">
      <c r="E26956" s="35"/>
      <c r="J26956" s="41"/>
    </row>
    <row r="26957" spans="5:10" s="34" customFormat="1" x14ac:dyDescent="0.35">
      <c r="E26957" s="35"/>
      <c r="J26957" s="41"/>
    </row>
    <row r="26958" spans="5:10" s="34" customFormat="1" x14ac:dyDescent="0.35">
      <c r="E26958" s="35"/>
      <c r="J26958" s="41"/>
    </row>
    <row r="26959" spans="5:10" s="34" customFormat="1" x14ac:dyDescent="0.35">
      <c r="E26959" s="35"/>
      <c r="J26959" s="41"/>
    </row>
    <row r="26960" spans="5:10" s="34" customFormat="1" x14ac:dyDescent="0.35">
      <c r="E26960" s="35"/>
      <c r="J26960" s="41"/>
    </row>
    <row r="26961" spans="5:10" s="34" customFormat="1" x14ac:dyDescent="0.35">
      <c r="E26961" s="35"/>
      <c r="J26961" s="41"/>
    </row>
    <row r="26962" spans="5:10" s="34" customFormat="1" x14ac:dyDescent="0.35">
      <c r="E26962" s="35"/>
      <c r="J26962" s="41"/>
    </row>
    <row r="26963" spans="5:10" s="34" customFormat="1" x14ac:dyDescent="0.35">
      <c r="E26963" s="35"/>
      <c r="J26963" s="41"/>
    </row>
    <row r="26964" spans="5:10" s="34" customFormat="1" x14ac:dyDescent="0.35">
      <c r="E26964" s="35"/>
      <c r="J26964" s="41"/>
    </row>
    <row r="26965" spans="5:10" s="34" customFormat="1" x14ac:dyDescent="0.35">
      <c r="E26965" s="35"/>
      <c r="J26965" s="41"/>
    </row>
    <row r="26966" spans="5:10" s="34" customFormat="1" x14ac:dyDescent="0.35">
      <c r="E26966" s="35"/>
      <c r="J26966" s="41"/>
    </row>
    <row r="26967" spans="5:10" s="34" customFormat="1" x14ac:dyDescent="0.35">
      <c r="E26967" s="35"/>
      <c r="J26967" s="41"/>
    </row>
    <row r="26968" spans="5:10" s="34" customFormat="1" x14ac:dyDescent="0.35">
      <c r="E26968" s="35"/>
      <c r="J26968" s="41"/>
    </row>
    <row r="26969" spans="5:10" s="34" customFormat="1" x14ac:dyDescent="0.35">
      <c r="E26969" s="35"/>
      <c r="J26969" s="41"/>
    </row>
    <row r="26970" spans="5:10" s="34" customFormat="1" x14ac:dyDescent="0.35">
      <c r="E26970" s="35"/>
      <c r="J26970" s="41"/>
    </row>
    <row r="26971" spans="5:10" s="34" customFormat="1" x14ac:dyDescent="0.35">
      <c r="E26971" s="35"/>
      <c r="J26971" s="41"/>
    </row>
    <row r="26972" spans="5:10" s="34" customFormat="1" x14ac:dyDescent="0.35">
      <c r="E26972" s="35"/>
      <c r="J26972" s="41"/>
    </row>
    <row r="26973" spans="5:10" s="34" customFormat="1" x14ac:dyDescent="0.35">
      <c r="E26973" s="35"/>
      <c r="J26973" s="41"/>
    </row>
    <row r="26974" spans="5:10" s="34" customFormat="1" x14ac:dyDescent="0.35">
      <c r="E26974" s="35"/>
      <c r="J26974" s="41"/>
    </row>
    <row r="26975" spans="5:10" s="34" customFormat="1" x14ac:dyDescent="0.35">
      <c r="E26975" s="35"/>
      <c r="J26975" s="41"/>
    </row>
    <row r="26976" spans="5:10" s="34" customFormat="1" x14ac:dyDescent="0.35">
      <c r="E26976" s="35"/>
      <c r="J26976" s="41"/>
    </row>
    <row r="26977" spans="5:10" s="34" customFormat="1" x14ac:dyDescent="0.35">
      <c r="E26977" s="35"/>
      <c r="J26977" s="41"/>
    </row>
    <row r="26978" spans="5:10" s="34" customFormat="1" x14ac:dyDescent="0.35">
      <c r="E26978" s="35"/>
      <c r="J26978" s="41"/>
    </row>
    <row r="26979" spans="5:10" s="34" customFormat="1" x14ac:dyDescent="0.35">
      <c r="E26979" s="35"/>
      <c r="J26979" s="41"/>
    </row>
    <row r="26980" spans="5:10" s="34" customFormat="1" x14ac:dyDescent="0.35">
      <c r="E26980" s="35"/>
      <c r="J26980" s="41"/>
    </row>
    <row r="26981" spans="5:10" s="34" customFormat="1" x14ac:dyDescent="0.35">
      <c r="E26981" s="35"/>
      <c r="J26981" s="41"/>
    </row>
    <row r="26982" spans="5:10" s="34" customFormat="1" x14ac:dyDescent="0.35">
      <c r="E26982" s="35"/>
      <c r="J26982" s="41"/>
    </row>
    <row r="26983" spans="5:10" s="34" customFormat="1" x14ac:dyDescent="0.35">
      <c r="E26983" s="35"/>
      <c r="J26983" s="41"/>
    </row>
    <row r="26984" spans="5:10" s="34" customFormat="1" x14ac:dyDescent="0.35">
      <c r="E26984" s="35"/>
      <c r="J26984" s="41"/>
    </row>
    <row r="26985" spans="5:10" s="34" customFormat="1" x14ac:dyDescent="0.35">
      <c r="E26985" s="35"/>
      <c r="J26985" s="41"/>
    </row>
    <row r="26986" spans="5:10" s="34" customFormat="1" x14ac:dyDescent="0.35">
      <c r="E26986" s="35"/>
      <c r="J26986" s="41"/>
    </row>
    <row r="26987" spans="5:10" s="34" customFormat="1" x14ac:dyDescent="0.35">
      <c r="E26987" s="35"/>
      <c r="J26987" s="41"/>
    </row>
    <row r="26988" spans="5:10" s="34" customFormat="1" x14ac:dyDescent="0.35">
      <c r="E26988" s="35"/>
      <c r="J26988" s="41"/>
    </row>
    <row r="26989" spans="5:10" s="34" customFormat="1" x14ac:dyDescent="0.35">
      <c r="E26989" s="35"/>
      <c r="J26989" s="41"/>
    </row>
    <row r="26990" spans="5:10" s="34" customFormat="1" x14ac:dyDescent="0.35">
      <c r="E26990" s="35"/>
      <c r="J26990" s="41"/>
    </row>
    <row r="26991" spans="5:10" s="34" customFormat="1" x14ac:dyDescent="0.35">
      <c r="E26991" s="35"/>
      <c r="J26991" s="41"/>
    </row>
    <row r="26992" spans="5:10" s="34" customFormat="1" x14ac:dyDescent="0.35">
      <c r="E26992" s="35"/>
      <c r="J26992" s="41"/>
    </row>
    <row r="26993" spans="5:10" s="34" customFormat="1" x14ac:dyDescent="0.35">
      <c r="E26993" s="35"/>
      <c r="J26993" s="41"/>
    </row>
    <row r="26994" spans="5:10" s="34" customFormat="1" x14ac:dyDescent="0.35">
      <c r="E26994" s="35"/>
      <c r="J26994" s="41"/>
    </row>
    <row r="26995" spans="5:10" s="34" customFormat="1" x14ac:dyDescent="0.35">
      <c r="E26995" s="35"/>
      <c r="J26995" s="41"/>
    </row>
    <row r="26996" spans="5:10" s="34" customFormat="1" x14ac:dyDescent="0.35">
      <c r="E26996" s="35"/>
      <c r="J26996" s="41"/>
    </row>
    <row r="26997" spans="5:10" s="34" customFormat="1" x14ac:dyDescent="0.35">
      <c r="E26997" s="35"/>
      <c r="J26997" s="41"/>
    </row>
    <row r="26998" spans="5:10" s="34" customFormat="1" x14ac:dyDescent="0.35">
      <c r="E26998" s="35"/>
      <c r="J26998" s="41"/>
    </row>
    <row r="26999" spans="5:10" s="34" customFormat="1" x14ac:dyDescent="0.35">
      <c r="E26999" s="35"/>
      <c r="J26999" s="41"/>
    </row>
    <row r="27000" spans="5:10" s="34" customFormat="1" x14ac:dyDescent="0.35">
      <c r="E27000" s="35"/>
      <c r="J27000" s="41"/>
    </row>
    <row r="27001" spans="5:10" s="34" customFormat="1" x14ac:dyDescent="0.35">
      <c r="E27001" s="35"/>
      <c r="J27001" s="41"/>
    </row>
    <row r="27002" spans="5:10" s="34" customFormat="1" x14ac:dyDescent="0.35">
      <c r="E27002" s="35"/>
      <c r="J27002" s="41"/>
    </row>
    <row r="27003" spans="5:10" s="34" customFormat="1" x14ac:dyDescent="0.35">
      <c r="E27003" s="35"/>
      <c r="J27003" s="41"/>
    </row>
    <row r="27004" spans="5:10" s="34" customFormat="1" x14ac:dyDescent="0.35">
      <c r="E27004" s="35"/>
      <c r="J27004" s="41"/>
    </row>
    <row r="27005" spans="5:10" s="34" customFormat="1" x14ac:dyDescent="0.35">
      <c r="E27005" s="35"/>
      <c r="J27005" s="41"/>
    </row>
    <row r="27006" spans="5:10" s="34" customFormat="1" x14ac:dyDescent="0.35">
      <c r="E27006" s="35"/>
      <c r="J27006" s="41"/>
    </row>
    <row r="27007" spans="5:10" s="34" customFormat="1" x14ac:dyDescent="0.35">
      <c r="E27007" s="35"/>
      <c r="J27007" s="41"/>
    </row>
    <row r="27008" spans="5:10" s="34" customFormat="1" x14ac:dyDescent="0.35">
      <c r="E27008" s="35"/>
      <c r="J27008" s="41"/>
    </row>
    <row r="27009" spans="5:10" s="34" customFormat="1" x14ac:dyDescent="0.35">
      <c r="E27009" s="35"/>
      <c r="J27009" s="41"/>
    </row>
    <row r="27010" spans="5:10" s="34" customFormat="1" x14ac:dyDescent="0.35">
      <c r="E27010" s="35"/>
      <c r="J27010" s="41"/>
    </row>
    <row r="27011" spans="5:10" s="34" customFormat="1" x14ac:dyDescent="0.35">
      <c r="E27011" s="35"/>
      <c r="J27011" s="41"/>
    </row>
    <row r="27012" spans="5:10" s="34" customFormat="1" x14ac:dyDescent="0.35">
      <c r="E27012" s="35"/>
      <c r="J27012" s="41"/>
    </row>
    <row r="27013" spans="5:10" s="34" customFormat="1" x14ac:dyDescent="0.35">
      <c r="E27013" s="35"/>
      <c r="J27013" s="41"/>
    </row>
    <row r="27014" spans="5:10" s="34" customFormat="1" x14ac:dyDescent="0.35">
      <c r="E27014" s="35"/>
      <c r="J27014" s="41"/>
    </row>
    <row r="27015" spans="5:10" s="34" customFormat="1" x14ac:dyDescent="0.35">
      <c r="E27015" s="35"/>
      <c r="J27015" s="41"/>
    </row>
    <row r="27016" spans="5:10" s="34" customFormat="1" x14ac:dyDescent="0.35">
      <c r="E27016" s="35"/>
      <c r="J27016" s="41"/>
    </row>
    <row r="27017" spans="5:10" s="34" customFormat="1" x14ac:dyDescent="0.35">
      <c r="E27017" s="35"/>
      <c r="J27017" s="41"/>
    </row>
    <row r="27018" spans="5:10" s="34" customFormat="1" x14ac:dyDescent="0.35">
      <c r="E27018" s="35"/>
      <c r="J27018" s="41"/>
    </row>
    <row r="27019" spans="5:10" s="34" customFormat="1" x14ac:dyDescent="0.35">
      <c r="E27019" s="35"/>
      <c r="J27019" s="41"/>
    </row>
    <row r="27020" spans="5:10" s="34" customFormat="1" x14ac:dyDescent="0.35">
      <c r="E27020" s="35"/>
      <c r="J27020" s="41"/>
    </row>
    <row r="27021" spans="5:10" s="34" customFormat="1" x14ac:dyDescent="0.35">
      <c r="E27021" s="35"/>
      <c r="J27021" s="41"/>
    </row>
    <row r="27022" spans="5:10" s="34" customFormat="1" x14ac:dyDescent="0.35">
      <c r="E27022" s="35"/>
      <c r="J27022" s="41"/>
    </row>
    <row r="27023" spans="5:10" s="34" customFormat="1" x14ac:dyDescent="0.35">
      <c r="E27023" s="35"/>
      <c r="J27023" s="41"/>
    </row>
    <row r="27024" spans="5:10" s="34" customFormat="1" x14ac:dyDescent="0.35">
      <c r="E27024" s="35"/>
      <c r="J27024" s="41"/>
    </row>
    <row r="27025" spans="5:10" s="34" customFormat="1" x14ac:dyDescent="0.35">
      <c r="E27025" s="35"/>
      <c r="J27025" s="41"/>
    </row>
    <row r="27026" spans="5:10" s="34" customFormat="1" x14ac:dyDescent="0.35">
      <c r="E27026" s="35"/>
      <c r="J27026" s="41"/>
    </row>
    <row r="27027" spans="5:10" s="34" customFormat="1" x14ac:dyDescent="0.35">
      <c r="E27027" s="35"/>
      <c r="J27027" s="41"/>
    </row>
    <row r="27028" spans="5:10" s="34" customFormat="1" x14ac:dyDescent="0.35">
      <c r="E27028" s="35"/>
      <c r="J27028" s="41"/>
    </row>
    <row r="27029" spans="5:10" s="34" customFormat="1" x14ac:dyDescent="0.35">
      <c r="E27029" s="35"/>
      <c r="J27029" s="41"/>
    </row>
    <row r="27030" spans="5:10" s="34" customFormat="1" x14ac:dyDescent="0.35">
      <c r="E27030" s="35"/>
      <c r="J27030" s="41"/>
    </row>
    <row r="27031" spans="5:10" s="34" customFormat="1" x14ac:dyDescent="0.35">
      <c r="E27031" s="35"/>
      <c r="J27031" s="41"/>
    </row>
    <row r="27032" spans="5:10" s="34" customFormat="1" x14ac:dyDescent="0.35">
      <c r="E27032" s="35"/>
      <c r="J27032" s="41"/>
    </row>
    <row r="27033" spans="5:10" s="34" customFormat="1" x14ac:dyDescent="0.35">
      <c r="E27033" s="35"/>
      <c r="J27033" s="41"/>
    </row>
    <row r="27034" spans="5:10" s="34" customFormat="1" x14ac:dyDescent="0.35">
      <c r="E27034" s="35"/>
      <c r="J27034" s="41"/>
    </row>
    <row r="27035" spans="5:10" s="34" customFormat="1" x14ac:dyDescent="0.35">
      <c r="E27035" s="35"/>
      <c r="J27035" s="41"/>
    </row>
    <row r="27036" spans="5:10" s="34" customFormat="1" x14ac:dyDescent="0.35">
      <c r="E27036" s="35"/>
      <c r="J27036" s="41"/>
    </row>
    <row r="27037" spans="5:10" s="34" customFormat="1" x14ac:dyDescent="0.35">
      <c r="E27037" s="35"/>
      <c r="J27037" s="41"/>
    </row>
    <row r="27038" spans="5:10" s="34" customFormat="1" x14ac:dyDescent="0.35">
      <c r="E27038" s="35"/>
      <c r="J27038" s="41"/>
    </row>
    <row r="27039" spans="5:10" s="34" customFormat="1" x14ac:dyDescent="0.35">
      <c r="E27039" s="35"/>
      <c r="J27039" s="41"/>
    </row>
    <row r="27040" spans="5:10" s="34" customFormat="1" x14ac:dyDescent="0.35">
      <c r="E27040" s="35"/>
      <c r="J27040" s="41"/>
    </row>
    <row r="27041" spans="5:10" s="34" customFormat="1" x14ac:dyDescent="0.35">
      <c r="E27041" s="35"/>
      <c r="J27041" s="41"/>
    </row>
    <row r="27042" spans="5:10" s="34" customFormat="1" x14ac:dyDescent="0.35">
      <c r="E27042" s="35"/>
      <c r="J27042" s="41"/>
    </row>
    <row r="27043" spans="5:10" s="34" customFormat="1" x14ac:dyDescent="0.35">
      <c r="E27043" s="35"/>
      <c r="J27043" s="41"/>
    </row>
    <row r="27044" spans="5:10" s="34" customFormat="1" x14ac:dyDescent="0.35">
      <c r="E27044" s="35"/>
      <c r="J27044" s="41"/>
    </row>
    <row r="27045" spans="5:10" s="34" customFormat="1" x14ac:dyDescent="0.35">
      <c r="E27045" s="35"/>
      <c r="J27045" s="41"/>
    </row>
    <row r="27046" spans="5:10" s="34" customFormat="1" x14ac:dyDescent="0.35">
      <c r="E27046" s="35"/>
      <c r="J27046" s="41"/>
    </row>
    <row r="27047" spans="5:10" s="34" customFormat="1" x14ac:dyDescent="0.35">
      <c r="E27047" s="35"/>
      <c r="J27047" s="41"/>
    </row>
    <row r="27048" spans="5:10" s="34" customFormat="1" x14ac:dyDescent="0.35">
      <c r="E27048" s="35"/>
      <c r="J27048" s="41"/>
    </row>
    <row r="27049" spans="5:10" s="34" customFormat="1" x14ac:dyDescent="0.35">
      <c r="E27049" s="35"/>
      <c r="J27049" s="41"/>
    </row>
    <row r="27050" spans="5:10" s="34" customFormat="1" x14ac:dyDescent="0.35">
      <c r="E27050" s="35"/>
      <c r="J27050" s="41"/>
    </row>
    <row r="27051" spans="5:10" s="34" customFormat="1" x14ac:dyDescent="0.35">
      <c r="E27051" s="35"/>
      <c r="J27051" s="41"/>
    </row>
    <row r="27052" spans="5:10" s="34" customFormat="1" x14ac:dyDescent="0.35">
      <c r="E27052" s="35"/>
      <c r="J27052" s="41"/>
    </row>
    <row r="27053" spans="5:10" s="34" customFormat="1" x14ac:dyDescent="0.35">
      <c r="E27053" s="35"/>
      <c r="J27053" s="41"/>
    </row>
    <row r="27054" spans="5:10" s="34" customFormat="1" x14ac:dyDescent="0.35">
      <c r="E27054" s="35"/>
      <c r="J27054" s="41"/>
    </row>
    <row r="27055" spans="5:10" s="34" customFormat="1" x14ac:dyDescent="0.35">
      <c r="E27055" s="35"/>
      <c r="J27055" s="41"/>
    </row>
    <row r="27056" spans="5:10" s="34" customFormat="1" x14ac:dyDescent="0.35">
      <c r="E27056" s="35"/>
      <c r="J27056" s="41"/>
    </row>
    <row r="27057" spans="5:10" s="34" customFormat="1" x14ac:dyDescent="0.35">
      <c r="E27057" s="35"/>
      <c r="J27057" s="41"/>
    </row>
    <row r="27058" spans="5:10" s="34" customFormat="1" x14ac:dyDescent="0.35">
      <c r="E27058" s="35"/>
      <c r="J27058" s="41"/>
    </row>
    <row r="27059" spans="5:10" s="34" customFormat="1" x14ac:dyDescent="0.35">
      <c r="E27059" s="35"/>
      <c r="J27059" s="41"/>
    </row>
    <row r="27060" spans="5:10" s="34" customFormat="1" x14ac:dyDescent="0.35">
      <c r="E27060" s="35"/>
      <c r="J27060" s="41"/>
    </row>
    <row r="27061" spans="5:10" s="34" customFormat="1" x14ac:dyDescent="0.35">
      <c r="E27061" s="35"/>
      <c r="J27061" s="41"/>
    </row>
    <row r="27062" spans="5:10" s="34" customFormat="1" x14ac:dyDescent="0.35">
      <c r="E27062" s="35"/>
      <c r="J27062" s="41"/>
    </row>
    <row r="27063" spans="5:10" s="34" customFormat="1" x14ac:dyDescent="0.35">
      <c r="E27063" s="35"/>
      <c r="J27063" s="41"/>
    </row>
    <row r="27064" spans="5:10" s="34" customFormat="1" x14ac:dyDescent="0.35">
      <c r="E27064" s="35"/>
      <c r="J27064" s="41"/>
    </row>
    <row r="27065" spans="5:10" s="34" customFormat="1" x14ac:dyDescent="0.35">
      <c r="E27065" s="35"/>
      <c r="J27065" s="41"/>
    </row>
    <row r="27066" spans="5:10" s="34" customFormat="1" x14ac:dyDescent="0.35">
      <c r="E27066" s="35"/>
      <c r="J27066" s="41"/>
    </row>
    <row r="27067" spans="5:10" s="34" customFormat="1" x14ac:dyDescent="0.35">
      <c r="E27067" s="35"/>
      <c r="J27067" s="41"/>
    </row>
    <row r="27068" spans="5:10" s="34" customFormat="1" x14ac:dyDescent="0.35">
      <c r="E27068" s="35"/>
      <c r="J27068" s="41"/>
    </row>
    <row r="27069" spans="5:10" s="34" customFormat="1" x14ac:dyDescent="0.35">
      <c r="E27069" s="35"/>
      <c r="J27069" s="41"/>
    </row>
    <row r="27070" spans="5:10" s="34" customFormat="1" x14ac:dyDescent="0.35">
      <c r="E27070" s="35"/>
      <c r="J27070" s="41"/>
    </row>
    <row r="27071" spans="5:10" s="34" customFormat="1" x14ac:dyDescent="0.35">
      <c r="E27071" s="35"/>
      <c r="J27071" s="41"/>
    </row>
    <row r="27072" spans="5:10" s="34" customFormat="1" x14ac:dyDescent="0.35">
      <c r="E27072" s="35"/>
      <c r="J27072" s="41"/>
    </row>
    <row r="27073" spans="5:10" s="34" customFormat="1" x14ac:dyDescent="0.35">
      <c r="E27073" s="35"/>
      <c r="J27073" s="41"/>
    </row>
    <row r="27074" spans="5:10" s="34" customFormat="1" x14ac:dyDescent="0.35">
      <c r="E27074" s="35"/>
      <c r="J27074" s="41"/>
    </row>
    <row r="27075" spans="5:10" s="34" customFormat="1" x14ac:dyDescent="0.35">
      <c r="E27075" s="35"/>
      <c r="J27075" s="41"/>
    </row>
    <row r="27076" spans="5:10" s="34" customFormat="1" x14ac:dyDescent="0.35">
      <c r="E27076" s="35"/>
      <c r="J27076" s="41"/>
    </row>
    <row r="27077" spans="5:10" s="34" customFormat="1" x14ac:dyDescent="0.35">
      <c r="E27077" s="35"/>
      <c r="J27077" s="41"/>
    </row>
    <row r="27078" spans="5:10" s="34" customFormat="1" x14ac:dyDescent="0.35">
      <c r="E27078" s="35"/>
      <c r="J27078" s="41"/>
    </row>
    <row r="27079" spans="5:10" s="34" customFormat="1" x14ac:dyDescent="0.35">
      <c r="E27079" s="35"/>
      <c r="J27079" s="41"/>
    </row>
    <row r="27080" spans="5:10" s="34" customFormat="1" x14ac:dyDescent="0.35">
      <c r="E27080" s="35"/>
      <c r="J27080" s="41"/>
    </row>
    <row r="27081" spans="5:10" s="34" customFormat="1" x14ac:dyDescent="0.35">
      <c r="E27081" s="35"/>
      <c r="J27081" s="41"/>
    </row>
    <row r="27082" spans="5:10" s="34" customFormat="1" x14ac:dyDescent="0.35">
      <c r="E27082" s="35"/>
      <c r="J27082" s="41"/>
    </row>
    <row r="27083" spans="5:10" s="34" customFormat="1" x14ac:dyDescent="0.35">
      <c r="E27083" s="35"/>
      <c r="J27083" s="41"/>
    </row>
    <row r="27084" spans="5:10" s="34" customFormat="1" x14ac:dyDescent="0.35">
      <c r="E27084" s="35"/>
      <c r="J27084" s="41"/>
    </row>
    <row r="27085" spans="5:10" s="34" customFormat="1" x14ac:dyDescent="0.35">
      <c r="E27085" s="35"/>
      <c r="J27085" s="41"/>
    </row>
    <row r="27086" spans="5:10" s="34" customFormat="1" x14ac:dyDescent="0.35">
      <c r="E27086" s="35"/>
      <c r="J27086" s="41"/>
    </row>
    <row r="27087" spans="5:10" s="34" customFormat="1" x14ac:dyDescent="0.35">
      <c r="E27087" s="35"/>
      <c r="J27087" s="41"/>
    </row>
    <row r="27088" spans="5:10" s="34" customFormat="1" x14ac:dyDescent="0.35">
      <c r="E27088" s="35"/>
      <c r="J27088" s="41"/>
    </row>
    <row r="27089" spans="5:10" s="34" customFormat="1" x14ac:dyDescent="0.35">
      <c r="E27089" s="35"/>
      <c r="J27089" s="41"/>
    </row>
    <row r="27090" spans="5:10" s="34" customFormat="1" x14ac:dyDescent="0.35">
      <c r="E27090" s="35"/>
      <c r="J27090" s="41"/>
    </row>
    <row r="27091" spans="5:10" s="34" customFormat="1" x14ac:dyDescent="0.35">
      <c r="E27091" s="35"/>
      <c r="J27091" s="41"/>
    </row>
    <row r="27092" spans="5:10" s="34" customFormat="1" x14ac:dyDescent="0.35">
      <c r="E27092" s="35"/>
      <c r="J27092" s="41"/>
    </row>
    <row r="27093" spans="5:10" s="34" customFormat="1" x14ac:dyDescent="0.35">
      <c r="E27093" s="35"/>
      <c r="J27093" s="41"/>
    </row>
    <row r="27094" spans="5:10" s="34" customFormat="1" x14ac:dyDescent="0.35">
      <c r="E27094" s="35"/>
      <c r="J27094" s="41"/>
    </row>
    <row r="27095" spans="5:10" s="34" customFormat="1" x14ac:dyDescent="0.35">
      <c r="E27095" s="35"/>
      <c r="J27095" s="41"/>
    </row>
    <row r="27096" spans="5:10" s="34" customFormat="1" x14ac:dyDescent="0.35">
      <c r="E27096" s="35"/>
      <c r="J27096" s="41"/>
    </row>
    <row r="27097" spans="5:10" s="34" customFormat="1" x14ac:dyDescent="0.35">
      <c r="E27097" s="35"/>
      <c r="J27097" s="41"/>
    </row>
    <row r="27098" spans="5:10" s="34" customFormat="1" x14ac:dyDescent="0.35">
      <c r="E27098" s="35"/>
      <c r="J27098" s="41"/>
    </row>
    <row r="27099" spans="5:10" s="34" customFormat="1" x14ac:dyDescent="0.35">
      <c r="E27099" s="35"/>
      <c r="J27099" s="41"/>
    </row>
    <row r="27100" spans="5:10" s="34" customFormat="1" x14ac:dyDescent="0.35">
      <c r="E27100" s="35"/>
      <c r="J27100" s="41"/>
    </row>
    <row r="27101" spans="5:10" s="34" customFormat="1" x14ac:dyDescent="0.35">
      <c r="E27101" s="35"/>
      <c r="J27101" s="41"/>
    </row>
    <row r="27102" spans="5:10" s="34" customFormat="1" x14ac:dyDescent="0.35">
      <c r="E27102" s="35"/>
      <c r="J27102" s="41"/>
    </row>
    <row r="27103" spans="5:10" s="34" customFormat="1" x14ac:dyDescent="0.35">
      <c r="E27103" s="35"/>
      <c r="J27103" s="41"/>
    </row>
    <row r="27104" spans="5:10" s="34" customFormat="1" x14ac:dyDescent="0.35">
      <c r="E27104" s="35"/>
      <c r="J27104" s="41"/>
    </row>
    <row r="27105" spans="5:10" s="34" customFormat="1" x14ac:dyDescent="0.35">
      <c r="E27105" s="35"/>
      <c r="J27105" s="41"/>
    </row>
    <row r="27106" spans="5:10" s="34" customFormat="1" x14ac:dyDescent="0.35">
      <c r="E27106" s="35"/>
      <c r="J27106" s="41"/>
    </row>
    <row r="27107" spans="5:10" s="34" customFormat="1" x14ac:dyDescent="0.35">
      <c r="E27107" s="35"/>
      <c r="J27107" s="41"/>
    </row>
    <row r="27108" spans="5:10" s="34" customFormat="1" x14ac:dyDescent="0.35">
      <c r="E27108" s="35"/>
      <c r="J27108" s="41"/>
    </row>
    <row r="27109" spans="5:10" s="34" customFormat="1" x14ac:dyDescent="0.35">
      <c r="E27109" s="35"/>
      <c r="J27109" s="41"/>
    </row>
    <row r="27110" spans="5:10" s="34" customFormat="1" x14ac:dyDescent="0.35">
      <c r="E27110" s="35"/>
      <c r="J27110" s="41"/>
    </row>
    <row r="27111" spans="5:10" s="34" customFormat="1" x14ac:dyDescent="0.35">
      <c r="E27111" s="35"/>
      <c r="J27111" s="41"/>
    </row>
    <row r="27112" spans="5:10" s="34" customFormat="1" x14ac:dyDescent="0.35">
      <c r="E27112" s="35"/>
      <c r="J27112" s="41"/>
    </row>
    <row r="27113" spans="5:10" s="34" customFormat="1" x14ac:dyDescent="0.35">
      <c r="E27113" s="35"/>
      <c r="J27113" s="41"/>
    </row>
    <row r="27114" spans="5:10" s="34" customFormat="1" x14ac:dyDescent="0.35">
      <c r="E27114" s="35"/>
      <c r="J27114" s="41"/>
    </row>
    <row r="27115" spans="5:10" s="34" customFormat="1" x14ac:dyDescent="0.35">
      <c r="E27115" s="35"/>
      <c r="J27115" s="41"/>
    </row>
    <row r="27116" spans="5:10" s="34" customFormat="1" x14ac:dyDescent="0.35">
      <c r="E27116" s="35"/>
      <c r="J27116" s="41"/>
    </row>
    <row r="27117" spans="5:10" s="34" customFormat="1" x14ac:dyDescent="0.35">
      <c r="E27117" s="35"/>
      <c r="J27117" s="41"/>
    </row>
    <row r="27118" spans="5:10" s="34" customFormat="1" x14ac:dyDescent="0.35">
      <c r="E27118" s="35"/>
      <c r="J27118" s="41"/>
    </row>
    <row r="27119" spans="5:10" s="34" customFormat="1" x14ac:dyDescent="0.35">
      <c r="E27119" s="35"/>
      <c r="J27119" s="41"/>
    </row>
    <row r="27120" spans="5:10" s="34" customFormat="1" x14ac:dyDescent="0.35">
      <c r="E27120" s="35"/>
      <c r="J27120" s="41"/>
    </row>
    <row r="27121" spans="5:10" s="34" customFormat="1" x14ac:dyDescent="0.35">
      <c r="E27121" s="35"/>
      <c r="J27121" s="41"/>
    </row>
    <row r="27122" spans="5:10" s="34" customFormat="1" x14ac:dyDescent="0.35">
      <c r="E27122" s="35"/>
      <c r="J27122" s="41"/>
    </row>
    <row r="27123" spans="5:10" s="34" customFormat="1" x14ac:dyDescent="0.35">
      <c r="E27123" s="35"/>
      <c r="J27123" s="41"/>
    </row>
    <row r="27124" spans="5:10" s="34" customFormat="1" x14ac:dyDescent="0.35">
      <c r="E27124" s="35"/>
      <c r="J27124" s="41"/>
    </row>
    <row r="27125" spans="5:10" s="34" customFormat="1" x14ac:dyDescent="0.35">
      <c r="E27125" s="35"/>
      <c r="J27125" s="41"/>
    </row>
    <row r="27126" spans="5:10" s="34" customFormat="1" x14ac:dyDescent="0.35">
      <c r="E27126" s="35"/>
      <c r="J27126" s="41"/>
    </row>
    <row r="27127" spans="5:10" s="34" customFormat="1" x14ac:dyDescent="0.35">
      <c r="E27127" s="35"/>
      <c r="J27127" s="41"/>
    </row>
    <row r="27128" spans="5:10" s="34" customFormat="1" x14ac:dyDescent="0.35">
      <c r="E27128" s="35"/>
      <c r="J27128" s="41"/>
    </row>
    <row r="27129" spans="5:10" s="34" customFormat="1" x14ac:dyDescent="0.35">
      <c r="E27129" s="35"/>
      <c r="J27129" s="41"/>
    </row>
    <row r="27130" spans="5:10" s="34" customFormat="1" x14ac:dyDescent="0.35">
      <c r="E27130" s="35"/>
      <c r="J27130" s="41"/>
    </row>
    <row r="27131" spans="5:10" s="34" customFormat="1" x14ac:dyDescent="0.35">
      <c r="E27131" s="35"/>
      <c r="J27131" s="41"/>
    </row>
    <row r="27132" spans="5:10" s="34" customFormat="1" x14ac:dyDescent="0.35">
      <c r="E27132" s="35"/>
      <c r="J27132" s="41"/>
    </row>
    <row r="27133" spans="5:10" s="34" customFormat="1" x14ac:dyDescent="0.35">
      <c r="E27133" s="35"/>
      <c r="J27133" s="41"/>
    </row>
    <row r="27134" spans="5:10" s="34" customFormat="1" x14ac:dyDescent="0.35">
      <c r="E27134" s="35"/>
      <c r="J27134" s="41"/>
    </row>
    <row r="27135" spans="5:10" s="34" customFormat="1" x14ac:dyDescent="0.35">
      <c r="E27135" s="35"/>
      <c r="J27135" s="41"/>
    </row>
    <row r="27136" spans="5:10" s="34" customFormat="1" x14ac:dyDescent="0.35">
      <c r="E27136" s="35"/>
      <c r="J27136" s="41"/>
    </row>
    <row r="27137" spans="5:10" s="34" customFormat="1" x14ac:dyDescent="0.35">
      <c r="E27137" s="35"/>
      <c r="J27137" s="41"/>
    </row>
    <row r="27138" spans="5:10" s="34" customFormat="1" x14ac:dyDescent="0.35">
      <c r="E27138" s="35"/>
      <c r="J27138" s="41"/>
    </row>
    <row r="27139" spans="5:10" s="34" customFormat="1" x14ac:dyDescent="0.35">
      <c r="E27139" s="35"/>
      <c r="J27139" s="41"/>
    </row>
    <row r="27140" spans="5:10" s="34" customFormat="1" x14ac:dyDescent="0.35">
      <c r="E27140" s="35"/>
      <c r="J27140" s="41"/>
    </row>
    <row r="27141" spans="5:10" s="34" customFormat="1" x14ac:dyDescent="0.35">
      <c r="E27141" s="35"/>
      <c r="J27141" s="41"/>
    </row>
    <row r="27142" spans="5:10" s="34" customFormat="1" x14ac:dyDescent="0.35">
      <c r="E27142" s="35"/>
      <c r="J27142" s="41"/>
    </row>
    <row r="27143" spans="5:10" s="34" customFormat="1" x14ac:dyDescent="0.35">
      <c r="E27143" s="35"/>
      <c r="J27143" s="41"/>
    </row>
    <row r="27144" spans="5:10" s="34" customFormat="1" x14ac:dyDescent="0.35">
      <c r="E27144" s="35"/>
      <c r="J27144" s="41"/>
    </row>
    <row r="27145" spans="5:10" s="34" customFormat="1" x14ac:dyDescent="0.35">
      <c r="E27145" s="35"/>
      <c r="J27145" s="41"/>
    </row>
    <row r="27146" spans="5:10" s="34" customFormat="1" x14ac:dyDescent="0.35">
      <c r="E27146" s="35"/>
      <c r="J27146" s="41"/>
    </row>
    <row r="27147" spans="5:10" s="34" customFormat="1" x14ac:dyDescent="0.35">
      <c r="E27147" s="35"/>
      <c r="J27147" s="41"/>
    </row>
    <row r="27148" spans="5:10" s="34" customFormat="1" x14ac:dyDescent="0.35">
      <c r="E27148" s="35"/>
      <c r="J27148" s="41"/>
    </row>
    <row r="27149" spans="5:10" s="34" customFormat="1" x14ac:dyDescent="0.35">
      <c r="E27149" s="35"/>
      <c r="J27149" s="41"/>
    </row>
    <row r="27150" spans="5:10" s="34" customFormat="1" x14ac:dyDescent="0.35">
      <c r="E27150" s="35"/>
      <c r="J27150" s="41"/>
    </row>
    <row r="27151" spans="5:10" s="34" customFormat="1" x14ac:dyDescent="0.35">
      <c r="E27151" s="35"/>
      <c r="J27151" s="41"/>
    </row>
    <row r="27152" spans="5:10" s="34" customFormat="1" x14ac:dyDescent="0.35">
      <c r="E27152" s="35"/>
      <c r="J27152" s="41"/>
    </row>
    <row r="27153" spans="5:10" s="34" customFormat="1" x14ac:dyDescent="0.35">
      <c r="E27153" s="35"/>
      <c r="J27153" s="41"/>
    </row>
    <row r="27154" spans="5:10" s="34" customFormat="1" x14ac:dyDescent="0.35">
      <c r="E27154" s="35"/>
      <c r="J27154" s="41"/>
    </row>
    <row r="27155" spans="5:10" s="34" customFormat="1" x14ac:dyDescent="0.35">
      <c r="E27155" s="35"/>
      <c r="J27155" s="41"/>
    </row>
    <row r="27156" spans="5:10" s="34" customFormat="1" x14ac:dyDescent="0.35">
      <c r="E27156" s="35"/>
      <c r="J27156" s="41"/>
    </row>
    <row r="27157" spans="5:10" s="34" customFormat="1" x14ac:dyDescent="0.35">
      <c r="E27157" s="35"/>
      <c r="J27157" s="41"/>
    </row>
    <row r="27158" spans="5:10" s="34" customFormat="1" x14ac:dyDescent="0.35">
      <c r="E27158" s="35"/>
      <c r="J27158" s="41"/>
    </row>
    <row r="27159" spans="5:10" s="34" customFormat="1" x14ac:dyDescent="0.35">
      <c r="E27159" s="35"/>
      <c r="J27159" s="41"/>
    </row>
    <row r="27160" spans="5:10" s="34" customFormat="1" x14ac:dyDescent="0.35">
      <c r="E27160" s="35"/>
      <c r="J27160" s="41"/>
    </row>
    <row r="27161" spans="5:10" s="34" customFormat="1" x14ac:dyDescent="0.35">
      <c r="E27161" s="35"/>
      <c r="J27161" s="41"/>
    </row>
    <row r="27162" spans="5:10" s="34" customFormat="1" x14ac:dyDescent="0.35">
      <c r="E27162" s="35"/>
      <c r="J27162" s="41"/>
    </row>
    <row r="27163" spans="5:10" s="34" customFormat="1" x14ac:dyDescent="0.35">
      <c r="E27163" s="35"/>
      <c r="J27163" s="41"/>
    </row>
    <row r="27164" spans="5:10" s="34" customFormat="1" x14ac:dyDescent="0.35">
      <c r="E27164" s="35"/>
      <c r="J27164" s="41"/>
    </row>
    <row r="27165" spans="5:10" s="34" customFormat="1" x14ac:dyDescent="0.35">
      <c r="E27165" s="35"/>
      <c r="J27165" s="41"/>
    </row>
    <row r="27166" spans="5:10" s="34" customFormat="1" x14ac:dyDescent="0.35">
      <c r="E27166" s="35"/>
      <c r="J27166" s="41"/>
    </row>
    <row r="27167" spans="5:10" s="34" customFormat="1" x14ac:dyDescent="0.35">
      <c r="E27167" s="35"/>
      <c r="J27167" s="41"/>
    </row>
    <row r="27168" spans="5:10" s="34" customFormat="1" x14ac:dyDescent="0.35">
      <c r="E27168" s="35"/>
      <c r="J27168" s="41"/>
    </row>
    <row r="27169" spans="5:10" s="34" customFormat="1" x14ac:dyDescent="0.35">
      <c r="E27169" s="35"/>
      <c r="J27169" s="41"/>
    </row>
    <row r="27170" spans="5:10" s="34" customFormat="1" x14ac:dyDescent="0.35">
      <c r="E27170" s="35"/>
      <c r="J27170" s="41"/>
    </row>
    <row r="27171" spans="5:10" s="34" customFormat="1" x14ac:dyDescent="0.35">
      <c r="E27171" s="35"/>
      <c r="J27171" s="41"/>
    </row>
    <row r="27172" spans="5:10" s="34" customFormat="1" x14ac:dyDescent="0.35">
      <c r="E27172" s="35"/>
      <c r="J27172" s="41"/>
    </row>
    <row r="27173" spans="5:10" s="34" customFormat="1" x14ac:dyDescent="0.35">
      <c r="E27173" s="35"/>
      <c r="J27173" s="41"/>
    </row>
    <row r="27174" spans="5:10" s="34" customFormat="1" x14ac:dyDescent="0.35">
      <c r="E27174" s="35"/>
      <c r="J27174" s="41"/>
    </row>
    <row r="27175" spans="5:10" s="34" customFormat="1" x14ac:dyDescent="0.35">
      <c r="E27175" s="35"/>
      <c r="J27175" s="41"/>
    </row>
    <row r="27176" spans="5:10" s="34" customFormat="1" x14ac:dyDescent="0.35">
      <c r="E27176" s="35"/>
      <c r="J27176" s="41"/>
    </row>
    <row r="27177" spans="5:10" s="34" customFormat="1" x14ac:dyDescent="0.35">
      <c r="E27177" s="35"/>
      <c r="J27177" s="41"/>
    </row>
    <row r="27178" spans="5:10" s="34" customFormat="1" x14ac:dyDescent="0.35">
      <c r="E27178" s="35"/>
      <c r="J27178" s="41"/>
    </row>
    <row r="27179" spans="5:10" s="34" customFormat="1" x14ac:dyDescent="0.35">
      <c r="E27179" s="35"/>
      <c r="J27179" s="41"/>
    </row>
    <row r="27180" spans="5:10" s="34" customFormat="1" x14ac:dyDescent="0.35">
      <c r="E27180" s="35"/>
      <c r="J27180" s="41"/>
    </row>
    <row r="27181" spans="5:10" s="34" customFormat="1" x14ac:dyDescent="0.35">
      <c r="E27181" s="35"/>
      <c r="J27181" s="41"/>
    </row>
    <row r="27182" spans="5:10" s="34" customFormat="1" x14ac:dyDescent="0.35">
      <c r="E27182" s="35"/>
      <c r="J27182" s="41"/>
    </row>
    <row r="27183" spans="5:10" s="34" customFormat="1" x14ac:dyDescent="0.35">
      <c r="E27183" s="35"/>
      <c r="J27183" s="41"/>
    </row>
    <row r="27184" spans="5:10" s="34" customFormat="1" x14ac:dyDescent="0.35">
      <c r="E27184" s="35"/>
      <c r="J27184" s="41"/>
    </row>
    <row r="27185" spans="5:10" s="34" customFormat="1" x14ac:dyDescent="0.35">
      <c r="E27185" s="35"/>
      <c r="J27185" s="41"/>
    </row>
    <row r="27186" spans="5:10" s="34" customFormat="1" x14ac:dyDescent="0.35">
      <c r="E27186" s="35"/>
      <c r="J27186" s="41"/>
    </row>
    <row r="27187" spans="5:10" s="34" customFormat="1" x14ac:dyDescent="0.35">
      <c r="E27187" s="35"/>
      <c r="J27187" s="41"/>
    </row>
    <row r="27188" spans="5:10" s="34" customFormat="1" x14ac:dyDescent="0.35">
      <c r="E27188" s="35"/>
      <c r="J27188" s="41"/>
    </row>
    <row r="27189" spans="5:10" s="34" customFormat="1" x14ac:dyDescent="0.35">
      <c r="E27189" s="35"/>
      <c r="J27189" s="41"/>
    </row>
    <row r="27190" spans="5:10" s="34" customFormat="1" x14ac:dyDescent="0.35">
      <c r="E27190" s="35"/>
      <c r="J27190" s="41"/>
    </row>
    <row r="27191" spans="5:10" s="34" customFormat="1" x14ac:dyDescent="0.35">
      <c r="E27191" s="35"/>
      <c r="J27191" s="41"/>
    </row>
    <row r="27192" spans="5:10" s="34" customFormat="1" x14ac:dyDescent="0.35">
      <c r="E27192" s="35"/>
      <c r="J27192" s="41"/>
    </row>
    <row r="27193" spans="5:10" s="34" customFormat="1" x14ac:dyDescent="0.35">
      <c r="E27193" s="35"/>
      <c r="J27193" s="41"/>
    </row>
    <row r="27194" spans="5:10" s="34" customFormat="1" x14ac:dyDescent="0.35">
      <c r="E27194" s="35"/>
      <c r="J27194" s="41"/>
    </row>
    <row r="27195" spans="5:10" s="34" customFormat="1" x14ac:dyDescent="0.35">
      <c r="E27195" s="35"/>
      <c r="J27195" s="41"/>
    </row>
    <row r="27196" spans="5:10" s="34" customFormat="1" x14ac:dyDescent="0.35">
      <c r="E27196" s="35"/>
      <c r="J27196" s="41"/>
    </row>
    <row r="27197" spans="5:10" s="34" customFormat="1" x14ac:dyDescent="0.35">
      <c r="E27197" s="35"/>
      <c r="J27197" s="41"/>
    </row>
    <row r="27198" spans="5:10" s="34" customFormat="1" x14ac:dyDescent="0.35">
      <c r="E27198" s="35"/>
      <c r="J27198" s="41"/>
    </row>
    <row r="27199" spans="5:10" s="34" customFormat="1" x14ac:dyDescent="0.35">
      <c r="E27199" s="35"/>
      <c r="J27199" s="41"/>
    </row>
    <row r="27200" spans="5:10" s="34" customFormat="1" x14ac:dyDescent="0.35">
      <c r="E27200" s="35"/>
      <c r="J27200" s="41"/>
    </row>
    <row r="27201" spans="5:10" s="34" customFormat="1" x14ac:dyDescent="0.35">
      <c r="E27201" s="35"/>
      <c r="J27201" s="41"/>
    </row>
    <row r="27202" spans="5:10" s="34" customFormat="1" x14ac:dyDescent="0.35">
      <c r="E27202" s="35"/>
      <c r="J27202" s="41"/>
    </row>
    <row r="27203" spans="5:10" s="34" customFormat="1" x14ac:dyDescent="0.35">
      <c r="E27203" s="35"/>
      <c r="J27203" s="41"/>
    </row>
    <row r="27204" spans="5:10" s="34" customFormat="1" x14ac:dyDescent="0.35">
      <c r="E27204" s="35"/>
      <c r="J27204" s="41"/>
    </row>
    <row r="27205" spans="5:10" s="34" customFormat="1" x14ac:dyDescent="0.35">
      <c r="E27205" s="35"/>
      <c r="J27205" s="41"/>
    </row>
    <row r="27206" spans="5:10" s="34" customFormat="1" x14ac:dyDescent="0.35">
      <c r="E27206" s="35"/>
      <c r="J27206" s="41"/>
    </row>
    <row r="27207" spans="5:10" s="34" customFormat="1" x14ac:dyDescent="0.35">
      <c r="E27207" s="35"/>
      <c r="J27207" s="41"/>
    </row>
    <row r="27208" spans="5:10" s="34" customFormat="1" x14ac:dyDescent="0.35">
      <c r="E27208" s="35"/>
      <c r="J27208" s="41"/>
    </row>
    <row r="27209" spans="5:10" s="34" customFormat="1" x14ac:dyDescent="0.35">
      <c r="E27209" s="35"/>
      <c r="J27209" s="41"/>
    </row>
    <row r="27210" spans="5:10" s="34" customFormat="1" x14ac:dyDescent="0.35">
      <c r="E27210" s="35"/>
      <c r="J27210" s="41"/>
    </row>
    <row r="27211" spans="5:10" s="34" customFormat="1" x14ac:dyDescent="0.35">
      <c r="E27211" s="35"/>
      <c r="J27211" s="41"/>
    </row>
    <row r="27212" spans="5:10" s="34" customFormat="1" x14ac:dyDescent="0.35">
      <c r="E27212" s="35"/>
      <c r="J27212" s="41"/>
    </row>
    <row r="27213" spans="5:10" s="34" customFormat="1" x14ac:dyDescent="0.35">
      <c r="E27213" s="35"/>
      <c r="J27213" s="41"/>
    </row>
    <row r="27214" spans="5:10" s="34" customFormat="1" x14ac:dyDescent="0.35">
      <c r="E27214" s="35"/>
      <c r="J27214" s="41"/>
    </row>
    <row r="27215" spans="5:10" s="34" customFormat="1" x14ac:dyDescent="0.35">
      <c r="E27215" s="35"/>
      <c r="J27215" s="41"/>
    </row>
    <row r="27216" spans="5:10" s="34" customFormat="1" x14ac:dyDescent="0.35">
      <c r="E27216" s="35"/>
      <c r="J27216" s="41"/>
    </row>
    <row r="27217" spans="5:10" s="34" customFormat="1" x14ac:dyDescent="0.35">
      <c r="E27217" s="35"/>
      <c r="J27217" s="41"/>
    </row>
    <row r="27218" spans="5:10" s="34" customFormat="1" x14ac:dyDescent="0.35">
      <c r="E27218" s="35"/>
      <c r="J27218" s="41"/>
    </row>
    <row r="27219" spans="5:10" s="34" customFormat="1" x14ac:dyDescent="0.35">
      <c r="E27219" s="35"/>
      <c r="J27219" s="41"/>
    </row>
    <row r="27220" spans="5:10" s="34" customFormat="1" x14ac:dyDescent="0.35">
      <c r="E27220" s="35"/>
      <c r="J27220" s="41"/>
    </row>
    <row r="27221" spans="5:10" s="34" customFormat="1" x14ac:dyDescent="0.35">
      <c r="E27221" s="35"/>
      <c r="J27221" s="41"/>
    </row>
    <row r="27222" spans="5:10" s="34" customFormat="1" x14ac:dyDescent="0.35">
      <c r="E27222" s="35"/>
      <c r="J27222" s="41"/>
    </row>
    <row r="27223" spans="5:10" s="34" customFormat="1" x14ac:dyDescent="0.35">
      <c r="E27223" s="35"/>
      <c r="J27223" s="41"/>
    </row>
    <row r="27224" spans="5:10" s="34" customFormat="1" x14ac:dyDescent="0.35">
      <c r="E27224" s="35"/>
      <c r="J27224" s="41"/>
    </row>
    <row r="27225" spans="5:10" s="34" customFormat="1" x14ac:dyDescent="0.35">
      <c r="E27225" s="35"/>
      <c r="J27225" s="41"/>
    </row>
    <row r="27226" spans="5:10" s="34" customFormat="1" x14ac:dyDescent="0.35">
      <c r="E27226" s="35"/>
      <c r="J27226" s="41"/>
    </row>
    <row r="27227" spans="5:10" s="34" customFormat="1" x14ac:dyDescent="0.35">
      <c r="E27227" s="35"/>
      <c r="J27227" s="41"/>
    </row>
    <row r="27228" spans="5:10" s="34" customFormat="1" x14ac:dyDescent="0.35">
      <c r="E27228" s="35"/>
      <c r="J27228" s="41"/>
    </row>
    <row r="27229" spans="5:10" s="34" customFormat="1" x14ac:dyDescent="0.35">
      <c r="E27229" s="35"/>
      <c r="J27229" s="41"/>
    </row>
    <row r="27230" spans="5:10" s="34" customFormat="1" x14ac:dyDescent="0.35">
      <c r="E27230" s="35"/>
      <c r="J27230" s="41"/>
    </row>
    <row r="27231" spans="5:10" s="34" customFormat="1" x14ac:dyDescent="0.35">
      <c r="E27231" s="35"/>
      <c r="J27231" s="41"/>
    </row>
    <row r="27232" spans="5:10" s="34" customFormat="1" x14ac:dyDescent="0.35">
      <c r="E27232" s="35"/>
      <c r="J27232" s="41"/>
    </row>
    <row r="27233" spans="5:10" s="34" customFormat="1" x14ac:dyDescent="0.35">
      <c r="E27233" s="35"/>
      <c r="J27233" s="41"/>
    </row>
    <row r="27234" spans="5:10" s="34" customFormat="1" x14ac:dyDescent="0.35">
      <c r="E27234" s="35"/>
      <c r="J27234" s="41"/>
    </row>
    <row r="27235" spans="5:10" s="34" customFormat="1" x14ac:dyDescent="0.35">
      <c r="E27235" s="35"/>
      <c r="J27235" s="41"/>
    </row>
    <row r="27236" spans="5:10" s="34" customFormat="1" x14ac:dyDescent="0.35">
      <c r="E27236" s="35"/>
      <c r="J27236" s="41"/>
    </row>
    <row r="27237" spans="5:10" s="34" customFormat="1" x14ac:dyDescent="0.35">
      <c r="E27237" s="35"/>
      <c r="J27237" s="41"/>
    </row>
    <row r="27238" spans="5:10" s="34" customFormat="1" x14ac:dyDescent="0.35">
      <c r="E27238" s="35"/>
      <c r="J27238" s="41"/>
    </row>
    <row r="27239" spans="5:10" s="34" customFormat="1" x14ac:dyDescent="0.35">
      <c r="E27239" s="35"/>
      <c r="J27239" s="41"/>
    </row>
    <row r="27240" spans="5:10" s="34" customFormat="1" x14ac:dyDescent="0.35">
      <c r="E27240" s="35"/>
      <c r="J27240" s="41"/>
    </row>
    <row r="27241" spans="5:10" s="34" customFormat="1" x14ac:dyDescent="0.35">
      <c r="E27241" s="35"/>
      <c r="J27241" s="41"/>
    </row>
    <row r="27242" spans="5:10" s="34" customFormat="1" x14ac:dyDescent="0.35">
      <c r="E27242" s="35"/>
      <c r="J27242" s="41"/>
    </row>
    <row r="27243" spans="5:10" s="34" customFormat="1" x14ac:dyDescent="0.35">
      <c r="E27243" s="35"/>
      <c r="J27243" s="41"/>
    </row>
    <row r="27244" spans="5:10" s="34" customFormat="1" x14ac:dyDescent="0.35">
      <c r="E27244" s="35"/>
      <c r="J27244" s="41"/>
    </row>
    <row r="27245" spans="5:10" s="34" customFormat="1" x14ac:dyDescent="0.35">
      <c r="E27245" s="35"/>
      <c r="J27245" s="41"/>
    </row>
    <row r="27246" spans="5:10" s="34" customFormat="1" x14ac:dyDescent="0.35">
      <c r="E27246" s="35"/>
      <c r="J27246" s="41"/>
    </row>
    <row r="27247" spans="5:10" s="34" customFormat="1" x14ac:dyDescent="0.35">
      <c r="E27247" s="35"/>
      <c r="J27247" s="41"/>
    </row>
    <row r="27248" spans="5:10" s="34" customFormat="1" x14ac:dyDescent="0.35">
      <c r="E27248" s="35"/>
      <c r="J27248" s="41"/>
    </row>
    <row r="27249" spans="5:10" s="34" customFormat="1" x14ac:dyDescent="0.35">
      <c r="E27249" s="35"/>
      <c r="J27249" s="41"/>
    </row>
    <row r="27250" spans="5:10" s="34" customFormat="1" x14ac:dyDescent="0.35">
      <c r="E27250" s="35"/>
      <c r="J27250" s="41"/>
    </row>
    <row r="27251" spans="5:10" s="34" customFormat="1" x14ac:dyDescent="0.35">
      <c r="E27251" s="35"/>
      <c r="J27251" s="41"/>
    </row>
    <row r="27252" spans="5:10" s="34" customFormat="1" x14ac:dyDescent="0.35">
      <c r="E27252" s="35"/>
      <c r="J27252" s="41"/>
    </row>
    <row r="27253" spans="5:10" s="34" customFormat="1" x14ac:dyDescent="0.35">
      <c r="E27253" s="35"/>
      <c r="J27253" s="41"/>
    </row>
    <row r="27254" spans="5:10" s="34" customFormat="1" x14ac:dyDescent="0.35">
      <c r="E27254" s="35"/>
      <c r="J27254" s="41"/>
    </row>
    <row r="27255" spans="5:10" s="34" customFormat="1" x14ac:dyDescent="0.35">
      <c r="E27255" s="35"/>
      <c r="J27255" s="41"/>
    </row>
    <row r="27256" spans="5:10" s="34" customFormat="1" x14ac:dyDescent="0.35">
      <c r="E27256" s="35"/>
      <c r="J27256" s="41"/>
    </row>
    <row r="27257" spans="5:10" s="34" customFormat="1" x14ac:dyDescent="0.35">
      <c r="E27257" s="35"/>
      <c r="J27257" s="41"/>
    </row>
    <row r="27258" spans="5:10" s="34" customFormat="1" x14ac:dyDescent="0.35">
      <c r="E27258" s="35"/>
      <c r="J27258" s="41"/>
    </row>
    <row r="27259" spans="5:10" s="34" customFormat="1" x14ac:dyDescent="0.35">
      <c r="E27259" s="35"/>
      <c r="J27259" s="41"/>
    </row>
    <row r="27260" spans="5:10" s="34" customFormat="1" x14ac:dyDescent="0.35">
      <c r="E27260" s="35"/>
      <c r="J27260" s="41"/>
    </row>
    <row r="27261" spans="5:10" s="34" customFormat="1" x14ac:dyDescent="0.35">
      <c r="E27261" s="35"/>
      <c r="J27261" s="41"/>
    </row>
    <row r="27262" spans="5:10" s="34" customFormat="1" x14ac:dyDescent="0.35">
      <c r="E27262" s="35"/>
      <c r="J27262" s="41"/>
    </row>
    <row r="27263" spans="5:10" s="34" customFormat="1" x14ac:dyDescent="0.35">
      <c r="E27263" s="35"/>
      <c r="J27263" s="41"/>
    </row>
    <row r="27264" spans="5:10" s="34" customFormat="1" x14ac:dyDescent="0.35">
      <c r="E27264" s="35"/>
      <c r="J27264" s="41"/>
    </row>
    <row r="27265" spans="5:10" s="34" customFormat="1" x14ac:dyDescent="0.35">
      <c r="E27265" s="35"/>
      <c r="J27265" s="41"/>
    </row>
    <row r="27266" spans="5:10" s="34" customFormat="1" x14ac:dyDescent="0.35">
      <c r="E27266" s="35"/>
      <c r="J27266" s="41"/>
    </row>
    <row r="27267" spans="5:10" s="34" customFormat="1" x14ac:dyDescent="0.35">
      <c r="E27267" s="35"/>
      <c r="J27267" s="41"/>
    </row>
    <row r="27268" spans="5:10" s="34" customFormat="1" x14ac:dyDescent="0.35">
      <c r="E27268" s="35"/>
      <c r="J27268" s="41"/>
    </row>
    <row r="27269" spans="5:10" s="34" customFormat="1" x14ac:dyDescent="0.35">
      <c r="E27269" s="35"/>
      <c r="J27269" s="41"/>
    </row>
    <row r="27270" spans="5:10" s="34" customFormat="1" x14ac:dyDescent="0.35">
      <c r="E27270" s="35"/>
      <c r="J27270" s="41"/>
    </row>
    <row r="27271" spans="5:10" s="34" customFormat="1" x14ac:dyDescent="0.35">
      <c r="E27271" s="35"/>
      <c r="J27271" s="41"/>
    </row>
    <row r="27272" spans="5:10" s="34" customFormat="1" x14ac:dyDescent="0.35">
      <c r="E27272" s="35"/>
      <c r="J27272" s="41"/>
    </row>
    <row r="27273" spans="5:10" s="34" customFormat="1" x14ac:dyDescent="0.35">
      <c r="E27273" s="35"/>
      <c r="J27273" s="41"/>
    </row>
    <row r="27274" spans="5:10" s="34" customFormat="1" x14ac:dyDescent="0.35">
      <c r="E27274" s="35"/>
      <c r="J27274" s="41"/>
    </row>
    <row r="27275" spans="5:10" s="34" customFormat="1" x14ac:dyDescent="0.35">
      <c r="E27275" s="35"/>
      <c r="J27275" s="41"/>
    </row>
    <row r="27276" spans="5:10" s="34" customFormat="1" x14ac:dyDescent="0.35">
      <c r="E27276" s="35"/>
      <c r="J27276" s="41"/>
    </row>
    <row r="27277" spans="5:10" s="34" customFormat="1" x14ac:dyDescent="0.35">
      <c r="E27277" s="35"/>
      <c r="J27277" s="41"/>
    </row>
    <row r="27278" spans="5:10" s="34" customFormat="1" x14ac:dyDescent="0.35">
      <c r="E27278" s="35"/>
      <c r="J27278" s="41"/>
    </row>
    <row r="27279" spans="5:10" s="34" customFormat="1" x14ac:dyDescent="0.35">
      <c r="E27279" s="35"/>
      <c r="J27279" s="41"/>
    </row>
    <row r="27280" spans="5:10" s="34" customFormat="1" x14ac:dyDescent="0.35">
      <c r="E27280" s="35"/>
      <c r="J27280" s="41"/>
    </row>
    <row r="27281" spans="5:10" s="34" customFormat="1" x14ac:dyDescent="0.35">
      <c r="E27281" s="35"/>
      <c r="J27281" s="41"/>
    </row>
    <row r="27282" spans="5:10" s="34" customFormat="1" x14ac:dyDescent="0.35">
      <c r="E27282" s="35"/>
      <c r="J27282" s="41"/>
    </row>
    <row r="27283" spans="5:10" s="34" customFormat="1" x14ac:dyDescent="0.35">
      <c r="E27283" s="35"/>
      <c r="J27283" s="41"/>
    </row>
    <row r="27284" spans="5:10" s="34" customFormat="1" x14ac:dyDescent="0.35">
      <c r="E27284" s="35"/>
      <c r="J27284" s="41"/>
    </row>
    <row r="27285" spans="5:10" s="34" customFormat="1" x14ac:dyDescent="0.35">
      <c r="E27285" s="35"/>
      <c r="J27285" s="41"/>
    </row>
    <row r="27286" spans="5:10" s="34" customFormat="1" x14ac:dyDescent="0.35">
      <c r="E27286" s="35"/>
      <c r="J27286" s="41"/>
    </row>
    <row r="27287" spans="5:10" s="34" customFormat="1" x14ac:dyDescent="0.35">
      <c r="E27287" s="35"/>
      <c r="J27287" s="41"/>
    </row>
    <row r="27288" spans="5:10" s="34" customFormat="1" x14ac:dyDescent="0.35">
      <c r="E27288" s="35"/>
      <c r="J27288" s="41"/>
    </row>
    <row r="27289" spans="5:10" s="34" customFormat="1" x14ac:dyDescent="0.35">
      <c r="E27289" s="35"/>
      <c r="J27289" s="41"/>
    </row>
    <row r="27290" spans="5:10" s="34" customFormat="1" x14ac:dyDescent="0.35">
      <c r="E27290" s="35"/>
      <c r="J27290" s="41"/>
    </row>
    <row r="27291" spans="5:10" s="34" customFormat="1" x14ac:dyDescent="0.35">
      <c r="E27291" s="35"/>
      <c r="J27291" s="41"/>
    </row>
    <row r="27292" spans="5:10" s="34" customFormat="1" x14ac:dyDescent="0.35">
      <c r="E27292" s="35"/>
      <c r="J27292" s="41"/>
    </row>
    <row r="27293" spans="5:10" s="34" customFormat="1" x14ac:dyDescent="0.35">
      <c r="E27293" s="35"/>
      <c r="J27293" s="41"/>
    </row>
    <row r="27294" spans="5:10" s="34" customFormat="1" x14ac:dyDescent="0.35">
      <c r="E27294" s="35"/>
      <c r="J27294" s="41"/>
    </row>
    <row r="27295" spans="5:10" s="34" customFormat="1" x14ac:dyDescent="0.35">
      <c r="E27295" s="35"/>
      <c r="J27295" s="41"/>
    </row>
    <row r="27296" spans="5:10" s="34" customFormat="1" x14ac:dyDescent="0.35">
      <c r="E27296" s="35"/>
      <c r="J27296" s="41"/>
    </row>
    <row r="27297" spans="5:10" s="34" customFormat="1" x14ac:dyDescent="0.35">
      <c r="E27297" s="35"/>
      <c r="J27297" s="41"/>
    </row>
    <row r="27298" spans="5:10" s="34" customFormat="1" x14ac:dyDescent="0.35">
      <c r="E27298" s="35"/>
      <c r="J27298" s="41"/>
    </row>
    <row r="27299" spans="5:10" s="34" customFormat="1" x14ac:dyDescent="0.35">
      <c r="E27299" s="35"/>
      <c r="J27299" s="41"/>
    </row>
    <row r="27300" spans="5:10" s="34" customFormat="1" x14ac:dyDescent="0.35">
      <c r="E27300" s="35"/>
      <c r="J27300" s="41"/>
    </row>
    <row r="27301" spans="5:10" s="34" customFormat="1" x14ac:dyDescent="0.35">
      <c r="E27301" s="35"/>
      <c r="J27301" s="41"/>
    </row>
    <row r="27302" spans="5:10" s="34" customFormat="1" x14ac:dyDescent="0.35">
      <c r="E27302" s="35"/>
      <c r="J27302" s="41"/>
    </row>
    <row r="27303" spans="5:10" s="34" customFormat="1" x14ac:dyDescent="0.35">
      <c r="E27303" s="35"/>
      <c r="J27303" s="41"/>
    </row>
    <row r="27304" spans="5:10" s="34" customFormat="1" x14ac:dyDescent="0.35">
      <c r="E27304" s="35"/>
      <c r="J27304" s="41"/>
    </row>
    <row r="27305" spans="5:10" s="34" customFormat="1" x14ac:dyDescent="0.35">
      <c r="E27305" s="35"/>
      <c r="J27305" s="41"/>
    </row>
    <row r="27306" spans="5:10" s="34" customFormat="1" x14ac:dyDescent="0.35">
      <c r="E27306" s="35"/>
      <c r="J27306" s="41"/>
    </row>
    <row r="27307" spans="5:10" s="34" customFormat="1" x14ac:dyDescent="0.35">
      <c r="E27307" s="35"/>
      <c r="J27307" s="41"/>
    </row>
    <row r="27308" spans="5:10" s="34" customFormat="1" x14ac:dyDescent="0.35">
      <c r="E27308" s="35"/>
      <c r="J27308" s="41"/>
    </row>
    <row r="27309" spans="5:10" s="34" customFormat="1" x14ac:dyDescent="0.35">
      <c r="E27309" s="35"/>
      <c r="J27309" s="41"/>
    </row>
    <row r="27310" spans="5:10" s="34" customFormat="1" x14ac:dyDescent="0.35">
      <c r="E27310" s="35"/>
      <c r="J27310" s="41"/>
    </row>
    <row r="27311" spans="5:10" s="34" customFormat="1" x14ac:dyDescent="0.35">
      <c r="E27311" s="35"/>
      <c r="J27311" s="41"/>
    </row>
    <row r="27312" spans="5:10" s="34" customFormat="1" x14ac:dyDescent="0.35">
      <c r="E27312" s="35"/>
      <c r="J27312" s="41"/>
    </row>
    <row r="27313" spans="5:10" s="34" customFormat="1" x14ac:dyDescent="0.35">
      <c r="E27313" s="35"/>
      <c r="J27313" s="41"/>
    </row>
    <row r="27314" spans="5:10" s="34" customFormat="1" x14ac:dyDescent="0.35">
      <c r="E27314" s="35"/>
      <c r="J27314" s="41"/>
    </row>
    <row r="27315" spans="5:10" s="34" customFormat="1" x14ac:dyDescent="0.35">
      <c r="E27315" s="35"/>
      <c r="J27315" s="41"/>
    </row>
    <row r="27316" spans="5:10" s="34" customFormat="1" x14ac:dyDescent="0.35">
      <c r="E27316" s="35"/>
      <c r="J27316" s="41"/>
    </row>
    <row r="27317" spans="5:10" s="34" customFormat="1" x14ac:dyDescent="0.35">
      <c r="E27317" s="35"/>
      <c r="J27317" s="41"/>
    </row>
    <row r="27318" spans="5:10" s="34" customFormat="1" x14ac:dyDescent="0.35">
      <c r="E27318" s="35"/>
      <c r="J27318" s="41"/>
    </row>
    <row r="27319" spans="5:10" s="34" customFormat="1" x14ac:dyDescent="0.35">
      <c r="E27319" s="35"/>
      <c r="J27319" s="41"/>
    </row>
    <row r="27320" spans="5:10" s="34" customFormat="1" x14ac:dyDescent="0.35">
      <c r="E27320" s="35"/>
      <c r="J27320" s="41"/>
    </row>
    <row r="27321" spans="5:10" s="34" customFormat="1" x14ac:dyDescent="0.35">
      <c r="E27321" s="35"/>
      <c r="J27321" s="41"/>
    </row>
    <row r="27322" spans="5:10" s="34" customFormat="1" x14ac:dyDescent="0.35">
      <c r="E27322" s="35"/>
      <c r="J27322" s="41"/>
    </row>
    <row r="27323" spans="5:10" s="34" customFormat="1" x14ac:dyDescent="0.35">
      <c r="E27323" s="35"/>
      <c r="J27323" s="41"/>
    </row>
    <row r="27324" spans="5:10" s="34" customFormat="1" x14ac:dyDescent="0.35">
      <c r="E27324" s="35"/>
      <c r="J27324" s="41"/>
    </row>
    <row r="27325" spans="5:10" s="34" customFormat="1" x14ac:dyDescent="0.35">
      <c r="E27325" s="35"/>
      <c r="J27325" s="41"/>
    </row>
    <row r="27326" spans="5:10" s="34" customFormat="1" x14ac:dyDescent="0.35">
      <c r="E27326" s="35"/>
      <c r="J27326" s="41"/>
    </row>
    <row r="27327" spans="5:10" s="34" customFormat="1" x14ac:dyDescent="0.35">
      <c r="E27327" s="35"/>
      <c r="J27327" s="41"/>
    </row>
    <row r="27328" spans="5:10" s="34" customFormat="1" x14ac:dyDescent="0.35">
      <c r="E27328" s="35"/>
      <c r="J27328" s="41"/>
    </row>
    <row r="27329" spans="5:10" s="34" customFormat="1" x14ac:dyDescent="0.35">
      <c r="E27329" s="35"/>
      <c r="J27329" s="41"/>
    </row>
    <row r="27330" spans="5:10" s="34" customFormat="1" x14ac:dyDescent="0.35">
      <c r="E27330" s="35"/>
      <c r="J27330" s="41"/>
    </row>
    <row r="27331" spans="5:10" s="34" customFormat="1" x14ac:dyDescent="0.35">
      <c r="E27331" s="35"/>
      <c r="J27331" s="41"/>
    </row>
    <row r="27332" spans="5:10" s="34" customFormat="1" x14ac:dyDescent="0.35">
      <c r="E27332" s="35"/>
      <c r="J27332" s="41"/>
    </row>
    <row r="27333" spans="5:10" s="34" customFormat="1" x14ac:dyDescent="0.35">
      <c r="E27333" s="35"/>
      <c r="J27333" s="41"/>
    </row>
    <row r="27334" spans="5:10" s="34" customFormat="1" x14ac:dyDescent="0.35">
      <c r="E27334" s="35"/>
      <c r="J27334" s="41"/>
    </row>
    <row r="27335" spans="5:10" s="34" customFormat="1" x14ac:dyDescent="0.35">
      <c r="E27335" s="35"/>
      <c r="J27335" s="41"/>
    </row>
    <row r="27336" spans="5:10" s="34" customFormat="1" x14ac:dyDescent="0.35">
      <c r="E27336" s="35"/>
      <c r="J27336" s="41"/>
    </row>
    <row r="27337" spans="5:10" s="34" customFormat="1" x14ac:dyDescent="0.35">
      <c r="E27337" s="35"/>
      <c r="J27337" s="41"/>
    </row>
    <row r="27338" spans="5:10" s="34" customFormat="1" x14ac:dyDescent="0.35">
      <c r="E27338" s="35"/>
      <c r="J27338" s="41"/>
    </row>
    <row r="27339" spans="5:10" s="34" customFormat="1" x14ac:dyDescent="0.35">
      <c r="E27339" s="35"/>
      <c r="J27339" s="41"/>
    </row>
    <row r="27340" spans="5:10" s="34" customFormat="1" x14ac:dyDescent="0.35">
      <c r="E27340" s="35"/>
      <c r="J27340" s="41"/>
    </row>
    <row r="27341" spans="5:10" s="34" customFormat="1" x14ac:dyDescent="0.35">
      <c r="E27341" s="35"/>
      <c r="J27341" s="41"/>
    </row>
    <row r="27342" spans="5:10" s="34" customFormat="1" x14ac:dyDescent="0.35">
      <c r="E27342" s="35"/>
      <c r="J27342" s="41"/>
    </row>
    <row r="27343" spans="5:10" s="34" customFormat="1" x14ac:dyDescent="0.35">
      <c r="E27343" s="35"/>
      <c r="J27343" s="41"/>
    </row>
    <row r="27344" spans="5:10" s="34" customFormat="1" x14ac:dyDescent="0.35">
      <c r="E27344" s="35"/>
      <c r="J27344" s="41"/>
    </row>
    <row r="27345" spans="5:10" s="34" customFormat="1" x14ac:dyDescent="0.35">
      <c r="E27345" s="35"/>
      <c r="J27345" s="41"/>
    </row>
    <row r="27346" spans="5:10" s="34" customFormat="1" x14ac:dyDescent="0.35">
      <c r="E27346" s="35"/>
      <c r="J27346" s="41"/>
    </row>
    <row r="27347" spans="5:10" s="34" customFormat="1" x14ac:dyDescent="0.35">
      <c r="E27347" s="35"/>
      <c r="J27347" s="41"/>
    </row>
    <row r="27348" spans="5:10" s="34" customFormat="1" x14ac:dyDescent="0.35">
      <c r="E27348" s="35"/>
      <c r="J27348" s="41"/>
    </row>
    <row r="27349" spans="5:10" s="34" customFormat="1" x14ac:dyDescent="0.35">
      <c r="E27349" s="35"/>
      <c r="J27349" s="41"/>
    </row>
    <row r="27350" spans="5:10" s="34" customFormat="1" x14ac:dyDescent="0.35">
      <c r="E27350" s="35"/>
      <c r="J27350" s="41"/>
    </row>
    <row r="27351" spans="5:10" s="34" customFormat="1" x14ac:dyDescent="0.35">
      <c r="E27351" s="35"/>
      <c r="J27351" s="41"/>
    </row>
    <row r="27352" spans="5:10" s="34" customFormat="1" x14ac:dyDescent="0.35">
      <c r="E27352" s="35"/>
      <c r="J27352" s="41"/>
    </row>
    <row r="27353" spans="5:10" s="34" customFormat="1" x14ac:dyDescent="0.35">
      <c r="E27353" s="35"/>
      <c r="J27353" s="41"/>
    </row>
    <row r="27354" spans="5:10" s="34" customFormat="1" x14ac:dyDescent="0.35">
      <c r="E27354" s="35"/>
      <c r="J27354" s="41"/>
    </row>
    <row r="27355" spans="5:10" s="34" customFormat="1" x14ac:dyDescent="0.35">
      <c r="E27355" s="35"/>
      <c r="J27355" s="41"/>
    </row>
    <row r="27356" spans="5:10" s="34" customFormat="1" x14ac:dyDescent="0.35">
      <c r="E27356" s="35"/>
      <c r="J27356" s="41"/>
    </row>
    <row r="27357" spans="5:10" s="34" customFormat="1" x14ac:dyDescent="0.35">
      <c r="E27357" s="35"/>
      <c r="J27357" s="41"/>
    </row>
    <row r="27358" spans="5:10" s="34" customFormat="1" x14ac:dyDescent="0.35">
      <c r="E27358" s="35"/>
      <c r="J27358" s="41"/>
    </row>
    <row r="27359" spans="5:10" s="34" customFormat="1" x14ac:dyDescent="0.35">
      <c r="E27359" s="35"/>
      <c r="J27359" s="41"/>
    </row>
    <row r="27360" spans="5:10" s="34" customFormat="1" x14ac:dyDescent="0.35">
      <c r="E27360" s="35"/>
      <c r="J27360" s="41"/>
    </row>
    <row r="27361" spans="5:10" s="34" customFormat="1" x14ac:dyDescent="0.35">
      <c r="E27361" s="35"/>
      <c r="J27361" s="41"/>
    </row>
    <row r="27362" spans="5:10" s="34" customFormat="1" x14ac:dyDescent="0.35">
      <c r="E27362" s="35"/>
      <c r="J27362" s="41"/>
    </row>
    <row r="27363" spans="5:10" s="34" customFormat="1" x14ac:dyDescent="0.35">
      <c r="E27363" s="35"/>
      <c r="J27363" s="41"/>
    </row>
    <row r="27364" spans="5:10" s="34" customFormat="1" x14ac:dyDescent="0.35">
      <c r="E27364" s="35"/>
      <c r="J27364" s="41"/>
    </row>
    <row r="27365" spans="5:10" s="34" customFormat="1" x14ac:dyDescent="0.35">
      <c r="E27365" s="35"/>
      <c r="J27365" s="41"/>
    </row>
    <row r="27366" spans="5:10" s="34" customFormat="1" x14ac:dyDescent="0.35">
      <c r="E27366" s="35"/>
      <c r="J27366" s="41"/>
    </row>
    <row r="27367" spans="5:10" s="34" customFormat="1" x14ac:dyDescent="0.35">
      <c r="E27367" s="35"/>
      <c r="J27367" s="41"/>
    </row>
    <row r="27368" spans="5:10" s="34" customFormat="1" x14ac:dyDescent="0.35">
      <c r="E27368" s="35"/>
      <c r="J27368" s="41"/>
    </row>
    <row r="27369" spans="5:10" s="34" customFormat="1" x14ac:dyDescent="0.35">
      <c r="E27369" s="35"/>
      <c r="J27369" s="41"/>
    </row>
    <row r="27370" spans="5:10" s="34" customFormat="1" x14ac:dyDescent="0.35">
      <c r="E27370" s="35"/>
      <c r="J27370" s="41"/>
    </row>
    <row r="27371" spans="5:10" s="34" customFormat="1" x14ac:dyDescent="0.35">
      <c r="E27371" s="35"/>
      <c r="J27371" s="41"/>
    </row>
    <row r="27372" spans="5:10" s="34" customFormat="1" x14ac:dyDescent="0.35">
      <c r="E27372" s="35"/>
      <c r="J27372" s="41"/>
    </row>
    <row r="27373" spans="5:10" s="34" customFormat="1" x14ac:dyDescent="0.35">
      <c r="E27373" s="35"/>
      <c r="J27373" s="41"/>
    </row>
    <row r="27374" spans="5:10" s="34" customFormat="1" x14ac:dyDescent="0.35">
      <c r="E27374" s="35"/>
      <c r="J27374" s="41"/>
    </row>
    <row r="27375" spans="5:10" s="34" customFormat="1" x14ac:dyDescent="0.35">
      <c r="E27375" s="35"/>
      <c r="J27375" s="41"/>
    </row>
    <row r="27376" spans="5:10" s="34" customFormat="1" x14ac:dyDescent="0.35">
      <c r="E27376" s="35"/>
      <c r="J27376" s="41"/>
    </row>
    <row r="27377" spans="5:10" s="34" customFormat="1" x14ac:dyDescent="0.35">
      <c r="E27377" s="35"/>
      <c r="J27377" s="41"/>
    </row>
    <row r="27378" spans="5:10" s="34" customFormat="1" x14ac:dyDescent="0.35">
      <c r="E27378" s="35"/>
      <c r="J27378" s="41"/>
    </row>
    <row r="27379" spans="5:10" s="34" customFormat="1" x14ac:dyDescent="0.35">
      <c r="E27379" s="35"/>
      <c r="J27379" s="41"/>
    </row>
    <row r="27380" spans="5:10" s="34" customFormat="1" x14ac:dyDescent="0.35">
      <c r="E27380" s="35"/>
      <c r="J27380" s="41"/>
    </row>
    <row r="27381" spans="5:10" s="34" customFormat="1" x14ac:dyDescent="0.35">
      <c r="E27381" s="35"/>
      <c r="J27381" s="41"/>
    </row>
    <row r="27382" spans="5:10" s="34" customFormat="1" x14ac:dyDescent="0.35">
      <c r="E27382" s="35"/>
      <c r="J27382" s="41"/>
    </row>
    <row r="27383" spans="5:10" s="34" customFormat="1" x14ac:dyDescent="0.35">
      <c r="E27383" s="35"/>
      <c r="J27383" s="41"/>
    </row>
    <row r="27384" spans="5:10" s="34" customFormat="1" x14ac:dyDescent="0.35">
      <c r="E27384" s="35"/>
      <c r="J27384" s="41"/>
    </row>
    <row r="27385" spans="5:10" s="34" customFormat="1" x14ac:dyDescent="0.35">
      <c r="E27385" s="35"/>
      <c r="J27385" s="41"/>
    </row>
    <row r="27386" spans="5:10" s="34" customFormat="1" x14ac:dyDescent="0.35">
      <c r="E27386" s="35"/>
      <c r="J27386" s="41"/>
    </row>
    <row r="27387" spans="5:10" s="34" customFormat="1" x14ac:dyDescent="0.35">
      <c r="E27387" s="35"/>
      <c r="J27387" s="41"/>
    </row>
    <row r="27388" spans="5:10" s="34" customFormat="1" x14ac:dyDescent="0.35">
      <c r="E27388" s="35"/>
      <c r="J27388" s="41"/>
    </row>
    <row r="27389" spans="5:10" s="34" customFormat="1" x14ac:dyDescent="0.35">
      <c r="E27389" s="35"/>
      <c r="J27389" s="41"/>
    </row>
    <row r="27390" spans="5:10" s="34" customFormat="1" x14ac:dyDescent="0.35">
      <c r="E27390" s="35"/>
      <c r="J27390" s="41"/>
    </row>
    <row r="27391" spans="5:10" s="34" customFormat="1" x14ac:dyDescent="0.35">
      <c r="E27391" s="35"/>
      <c r="J27391" s="41"/>
    </row>
    <row r="27392" spans="5:10" s="34" customFormat="1" x14ac:dyDescent="0.35">
      <c r="E27392" s="35"/>
      <c r="J27392" s="41"/>
    </row>
    <row r="27393" spans="5:10" s="34" customFormat="1" x14ac:dyDescent="0.35">
      <c r="E27393" s="35"/>
      <c r="J27393" s="41"/>
    </row>
    <row r="27394" spans="5:10" s="34" customFormat="1" x14ac:dyDescent="0.35">
      <c r="E27394" s="35"/>
      <c r="J27394" s="41"/>
    </row>
    <row r="27395" spans="5:10" s="34" customFormat="1" x14ac:dyDescent="0.35">
      <c r="E27395" s="35"/>
      <c r="J27395" s="41"/>
    </row>
    <row r="27396" spans="5:10" s="34" customFormat="1" x14ac:dyDescent="0.35">
      <c r="E27396" s="35"/>
      <c r="J27396" s="41"/>
    </row>
    <row r="27397" spans="5:10" s="34" customFormat="1" x14ac:dyDescent="0.35">
      <c r="E27397" s="35"/>
      <c r="J27397" s="41"/>
    </row>
    <row r="27398" spans="5:10" s="34" customFormat="1" x14ac:dyDescent="0.35">
      <c r="E27398" s="35"/>
      <c r="J27398" s="41"/>
    </row>
    <row r="27399" spans="5:10" s="34" customFormat="1" x14ac:dyDescent="0.35">
      <c r="E27399" s="35"/>
      <c r="J27399" s="41"/>
    </row>
    <row r="27400" spans="5:10" s="34" customFormat="1" x14ac:dyDescent="0.35">
      <c r="E27400" s="35"/>
      <c r="J27400" s="41"/>
    </row>
    <row r="27401" spans="5:10" s="34" customFormat="1" x14ac:dyDescent="0.35">
      <c r="E27401" s="35"/>
      <c r="J27401" s="41"/>
    </row>
    <row r="27402" spans="5:10" s="34" customFormat="1" x14ac:dyDescent="0.35">
      <c r="E27402" s="35"/>
      <c r="J27402" s="41"/>
    </row>
    <row r="27403" spans="5:10" s="34" customFormat="1" x14ac:dyDescent="0.35">
      <c r="E27403" s="35"/>
      <c r="J27403" s="41"/>
    </row>
    <row r="27404" spans="5:10" s="34" customFormat="1" x14ac:dyDescent="0.35">
      <c r="E27404" s="35"/>
      <c r="J27404" s="41"/>
    </row>
    <row r="27405" spans="5:10" s="34" customFormat="1" x14ac:dyDescent="0.35">
      <c r="E27405" s="35"/>
      <c r="J27405" s="41"/>
    </row>
    <row r="27406" spans="5:10" s="34" customFormat="1" x14ac:dyDescent="0.35">
      <c r="E27406" s="35"/>
      <c r="J27406" s="41"/>
    </row>
    <row r="27407" spans="5:10" s="34" customFormat="1" x14ac:dyDescent="0.35">
      <c r="E27407" s="35"/>
      <c r="J27407" s="41"/>
    </row>
    <row r="27408" spans="5:10" s="34" customFormat="1" x14ac:dyDescent="0.35">
      <c r="E27408" s="35"/>
      <c r="J27408" s="41"/>
    </row>
    <row r="27409" spans="5:10" s="34" customFormat="1" x14ac:dyDescent="0.35">
      <c r="E27409" s="35"/>
      <c r="J27409" s="41"/>
    </row>
    <row r="27410" spans="5:10" s="34" customFormat="1" x14ac:dyDescent="0.35">
      <c r="E27410" s="35"/>
      <c r="J27410" s="41"/>
    </row>
    <row r="27411" spans="5:10" s="34" customFormat="1" x14ac:dyDescent="0.35">
      <c r="E27411" s="35"/>
      <c r="J27411" s="41"/>
    </row>
    <row r="27412" spans="5:10" s="34" customFormat="1" x14ac:dyDescent="0.35">
      <c r="E27412" s="35"/>
      <c r="J27412" s="41"/>
    </row>
    <row r="27413" spans="5:10" s="34" customFormat="1" x14ac:dyDescent="0.35">
      <c r="E27413" s="35"/>
      <c r="J27413" s="41"/>
    </row>
    <row r="27414" spans="5:10" s="34" customFormat="1" x14ac:dyDescent="0.35">
      <c r="E27414" s="35"/>
      <c r="J27414" s="41"/>
    </row>
    <row r="27415" spans="5:10" s="34" customFormat="1" x14ac:dyDescent="0.35">
      <c r="E27415" s="35"/>
      <c r="J27415" s="41"/>
    </row>
    <row r="27416" spans="5:10" s="34" customFormat="1" x14ac:dyDescent="0.35">
      <c r="E27416" s="35"/>
      <c r="J27416" s="41"/>
    </row>
    <row r="27417" spans="5:10" s="34" customFormat="1" x14ac:dyDescent="0.35">
      <c r="E27417" s="35"/>
      <c r="J27417" s="41"/>
    </row>
    <row r="27418" spans="5:10" s="34" customFormat="1" x14ac:dyDescent="0.35">
      <c r="E27418" s="35"/>
      <c r="J27418" s="41"/>
    </row>
    <row r="27419" spans="5:10" s="34" customFormat="1" x14ac:dyDescent="0.35">
      <c r="E27419" s="35"/>
      <c r="J27419" s="41"/>
    </row>
    <row r="27420" spans="5:10" s="34" customFormat="1" x14ac:dyDescent="0.35">
      <c r="E27420" s="35"/>
      <c r="J27420" s="41"/>
    </row>
    <row r="27421" spans="5:10" s="34" customFormat="1" x14ac:dyDescent="0.35">
      <c r="E27421" s="35"/>
      <c r="J27421" s="41"/>
    </row>
    <row r="27422" spans="5:10" s="34" customFormat="1" x14ac:dyDescent="0.35">
      <c r="E27422" s="35"/>
      <c r="J27422" s="41"/>
    </row>
    <row r="27423" spans="5:10" s="34" customFormat="1" x14ac:dyDescent="0.35">
      <c r="E27423" s="35"/>
      <c r="J27423" s="41"/>
    </row>
    <row r="27424" spans="5:10" s="34" customFormat="1" x14ac:dyDescent="0.35">
      <c r="E27424" s="35"/>
      <c r="J27424" s="41"/>
    </row>
    <row r="27425" spans="5:10" s="34" customFormat="1" x14ac:dyDescent="0.35">
      <c r="E27425" s="35"/>
      <c r="J27425" s="41"/>
    </row>
    <row r="27426" spans="5:10" s="34" customFormat="1" x14ac:dyDescent="0.35">
      <c r="E27426" s="35"/>
      <c r="J27426" s="41"/>
    </row>
    <row r="27427" spans="5:10" s="34" customFormat="1" x14ac:dyDescent="0.35">
      <c r="E27427" s="35"/>
      <c r="J27427" s="41"/>
    </row>
    <row r="27428" spans="5:10" s="34" customFormat="1" x14ac:dyDescent="0.35">
      <c r="E27428" s="35"/>
      <c r="J27428" s="41"/>
    </row>
    <row r="27429" spans="5:10" s="34" customFormat="1" x14ac:dyDescent="0.35">
      <c r="E27429" s="35"/>
      <c r="J27429" s="41"/>
    </row>
    <row r="27430" spans="5:10" s="34" customFormat="1" x14ac:dyDescent="0.35">
      <c r="E27430" s="35"/>
      <c r="J27430" s="41"/>
    </row>
    <row r="27431" spans="5:10" s="34" customFormat="1" x14ac:dyDescent="0.35">
      <c r="E27431" s="35"/>
      <c r="J27431" s="41"/>
    </row>
    <row r="27432" spans="5:10" s="34" customFormat="1" x14ac:dyDescent="0.35">
      <c r="E27432" s="35"/>
      <c r="J27432" s="41"/>
    </row>
    <row r="27433" spans="5:10" s="34" customFormat="1" x14ac:dyDescent="0.35">
      <c r="E27433" s="35"/>
      <c r="J27433" s="41"/>
    </row>
    <row r="27434" spans="5:10" s="34" customFormat="1" x14ac:dyDescent="0.35">
      <c r="E27434" s="35"/>
      <c r="J27434" s="41"/>
    </row>
    <row r="27435" spans="5:10" s="34" customFormat="1" x14ac:dyDescent="0.35">
      <c r="E27435" s="35"/>
      <c r="J27435" s="41"/>
    </row>
    <row r="27436" spans="5:10" s="34" customFormat="1" x14ac:dyDescent="0.35">
      <c r="E27436" s="35"/>
      <c r="J27436" s="41"/>
    </row>
    <row r="27437" spans="5:10" s="34" customFormat="1" x14ac:dyDescent="0.35">
      <c r="E27437" s="35"/>
      <c r="J27437" s="41"/>
    </row>
    <row r="27438" spans="5:10" s="34" customFormat="1" x14ac:dyDescent="0.35">
      <c r="E27438" s="35"/>
      <c r="J27438" s="41"/>
    </row>
    <row r="27439" spans="5:10" s="34" customFormat="1" x14ac:dyDescent="0.35">
      <c r="E27439" s="35"/>
      <c r="J27439" s="41"/>
    </row>
    <row r="27440" spans="5:10" s="34" customFormat="1" x14ac:dyDescent="0.35">
      <c r="E27440" s="35"/>
      <c r="J27440" s="41"/>
    </row>
    <row r="27441" spans="5:10" s="34" customFormat="1" x14ac:dyDescent="0.35">
      <c r="E27441" s="35"/>
      <c r="J27441" s="41"/>
    </row>
    <row r="27442" spans="5:10" s="34" customFormat="1" x14ac:dyDescent="0.35">
      <c r="E27442" s="35"/>
      <c r="J27442" s="41"/>
    </row>
    <row r="27443" spans="5:10" s="34" customFormat="1" x14ac:dyDescent="0.35">
      <c r="E27443" s="35"/>
      <c r="J27443" s="41"/>
    </row>
    <row r="27444" spans="5:10" s="34" customFormat="1" x14ac:dyDescent="0.35">
      <c r="E27444" s="35"/>
      <c r="J27444" s="41"/>
    </row>
    <row r="27445" spans="5:10" s="34" customFormat="1" x14ac:dyDescent="0.35">
      <c r="E27445" s="35"/>
      <c r="J27445" s="41"/>
    </row>
    <row r="27446" spans="5:10" s="34" customFormat="1" x14ac:dyDescent="0.35">
      <c r="E27446" s="35"/>
      <c r="J27446" s="41"/>
    </row>
    <row r="27447" spans="5:10" s="34" customFormat="1" x14ac:dyDescent="0.35">
      <c r="E27447" s="35"/>
      <c r="J27447" s="41"/>
    </row>
    <row r="27448" spans="5:10" s="34" customFormat="1" x14ac:dyDescent="0.35">
      <c r="E27448" s="35"/>
      <c r="J27448" s="41"/>
    </row>
    <row r="27449" spans="5:10" s="34" customFormat="1" x14ac:dyDescent="0.35">
      <c r="E27449" s="35"/>
      <c r="J27449" s="41"/>
    </row>
    <row r="27450" spans="5:10" s="34" customFormat="1" x14ac:dyDescent="0.35">
      <c r="E27450" s="35"/>
      <c r="J27450" s="41"/>
    </row>
    <row r="27451" spans="5:10" s="34" customFormat="1" x14ac:dyDescent="0.35">
      <c r="E27451" s="35"/>
      <c r="J27451" s="41"/>
    </row>
    <row r="27452" spans="5:10" s="34" customFormat="1" x14ac:dyDescent="0.35">
      <c r="E27452" s="35"/>
      <c r="J27452" s="41"/>
    </row>
    <row r="27453" spans="5:10" s="34" customFormat="1" x14ac:dyDescent="0.35">
      <c r="E27453" s="35"/>
      <c r="J27453" s="41"/>
    </row>
    <row r="27454" spans="5:10" s="34" customFormat="1" x14ac:dyDescent="0.35">
      <c r="E27454" s="35"/>
      <c r="J27454" s="41"/>
    </row>
    <row r="27455" spans="5:10" s="34" customFormat="1" x14ac:dyDescent="0.35">
      <c r="E27455" s="35"/>
      <c r="J27455" s="41"/>
    </row>
    <row r="27456" spans="5:10" s="34" customFormat="1" x14ac:dyDescent="0.35">
      <c r="E27456" s="35"/>
      <c r="J27456" s="41"/>
    </row>
    <row r="27457" spans="5:10" s="34" customFormat="1" x14ac:dyDescent="0.35">
      <c r="E27457" s="35"/>
      <c r="J27457" s="41"/>
    </row>
    <row r="27458" spans="5:10" s="34" customFormat="1" x14ac:dyDescent="0.35">
      <c r="E27458" s="35"/>
      <c r="J27458" s="41"/>
    </row>
    <row r="27459" spans="5:10" s="34" customFormat="1" x14ac:dyDescent="0.35">
      <c r="E27459" s="35"/>
      <c r="J27459" s="41"/>
    </row>
    <row r="27460" spans="5:10" s="34" customFormat="1" x14ac:dyDescent="0.35">
      <c r="E27460" s="35"/>
      <c r="J27460" s="41"/>
    </row>
    <row r="27461" spans="5:10" s="34" customFormat="1" x14ac:dyDescent="0.35">
      <c r="E27461" s="35"/>
      <c r="J27461" s="41"/>
    </row>
    <row r="27462" spans="5:10" s="34" customFormat="1" x14ac:dyDescent="0.35">
      <c r="E27462" s="35"/>
      <c r="J27462" s="41"/>
    </row>
    <row r="27463" spans="5:10" s="34" customFormat="1" x14ac:dyDescent="0.35">
      <c r="E27463" s="35"/>
      <c r="J27463" s="41"/>
    </row>
    <row r="27464" spans="5:10" s="34" customFormat="1" x14ac:dyDescent="0.35">
      <c r="E27464" s="35"/>
      <c r="J27464" s="41"/>
    </row>
    <row r="27465" spans="5:10" s="34" customFormat="1" x14ac:dyDescent="0.35">
      <c r="E27465" s="35"/>
      <c r="J27465" s="41"/>
    </row>
    <row r="27466" spans="5:10" s="34" customFormat="1" x14ac:dyDescent="0.35">
      <c r="E27466" s="35"/>
      <c r="J27466" s="41"/>
    </row>
    <row r="27467" spans="5:10" s="34" customFormat="1" x14ac:dyDescent="0.35">
      <c r="E27467" s="35"/>
      <c r="J27467" s="41"/>
    </row>
    <row r="27468" spans="5:10" s="34" customFormat="1" x14ac:dyDescent="0.35">
      <c r="E27468" s="35"/>
      <c r="J27468" s="41"/>
    </row>
    <row r="27469" spans="5:10" s="34" customFormat="1" x14ac:dyDescent="0.35">
      <c r="E27469" s="35"/>
      <c r="J27469" s="41"/>
    </row>
    <row r="27470" spans="5:10" s="34" customFormat="1" x14ac:dyDescent="0.35">
      <c r="E27470" s="35"/>
      <c r="J27470" s="41"/>
    </row>
    <row r="27471" spans="5:10" s="34" customFormat="1" x14ac:dyDescent="0.35">
      <c r="E27471" s="35"/>
      <c r="J27471" s="41"/>
    </row>
    <row r="27472" spans="5:10" s="34" customFormat="1" x14ac:dyDescent="0.35">
      <c r="E27472" s="35"/>
      <c r="J27472" s="41"/>
    </row>
    <row r="27473" spans="5:10" s="34" customFormat="1" x14ac:dyDescent="0.35">
      <c r="E27473" s="35"/>
      <c r="J27473" s="41"/>
    </row>
    <row r="27474" spans="5:10" s="34" customFormat="1" x14ac:dyDescent="0.35">
      <c r="E27474" s="35"/>
      <c r="J27474" s="41"/>
    </row>
    <row r="27475" spans="5:10" s="34" customFormat="1" x14ac:dyDescent="0.35">
      <c r="E27475" s="35"/>
      <c r="J27475" s="41"/>
    </row>
    <row r="27476" spans="5:10" s="34" customFormat="1" x14ac:dyDescent="0.35">
      <c r="E27476" s="35"/>
      <c r="J27476" s="41"/>
    </row>
    <row r="27477" spans="5:10" s="34" customFormat="1" x14ac:dyDescent="0.35">
      <c r="E27477" s="35"/>
      <c r="J27477" s="41"/>
    </row>
    <row r="27478" spans="5:10" s="34" customFormat="1" x14ac:dyDescent="0.35">
      <c r="E27478" s="35"/>
      <c r="J27478" s="41"/>
    </row>
    <row r="27479" spans="5:10" s="34" customFormat="1" x14ac:dyDescent="0.35">
      <c r="E27479" s="35"/>
      <c r="J27479" s="41"/>
    </row>
    <row r="27480" spans="5:10" s="34" customFormat="1" x14ac:dyDescent="0.35">
      <c r="E27480" s="35"/>
      <c r="J27480" s="41"/>
    </row>
    <row r="27481" spans="5:10" s="34" customFormat="1" x14ac:dyDescent="0.35">
      <c r="E27481" s="35"/>
      <c r="J27481" s="41"/>
    </row>
    <row r="27482" spans="5:10" s="34" customFormat="1" x14ac:dyDescent="0.35">
      <c r="E27482" s="35"/>
      <c r="J27482" s="41"/>
    </row>
    <row r="27483" spans="5:10" s="34" customFormat="1" x14ac:dyDescent="0.35">
      <c r="E27483" s="35"/>
      <c r="J27483" s="41"/>
    </row>
    <row r="27484" spans="5:10" s="34" customFormat="1" x14ac:dyDescent="0.35">
      <c r="E27484" s="35"/>
      <c r="J27484" s="41"/>
    </row>
    <row r="27485" spans="5:10" s="34" customFormat="1" x14ac:dyDescent="0.35">
      <c r="E27485" s="35"/>
      <c r="J27485" s="41"/>
    </row>
    <row r="27486" spans="5:10" s="34" customFormat="1" x14ac:dyDescent="0.35">
      <c r="E27486" s="35"/>
      <c r="J27486" s="41"/>
    </row>
    <row r="27487" spans="5:10" s="34" customFormat="1" x14ac:dyDescent="0.35">
      <c r="E27487" s="35"/>
      <c r="J27487" s="41"/>
    </row>
    <row r="27488" spans="5:10" s="34" customFormat="1" x14ac:dyDescent="0.35">
      <c r="E27488" s="35"/>
      <c r="J27488" s="41"/>
    </row>
    <row r="27489" spans="5:10" s="34" customFormat="1" x14ac:dyDescent="0.35">
      <c r="E27489" s="35"/>
      <c r="J27489" s="41"/>
    </row>
    <row r="27490" spans="5:10" s="34" customFormat="1" x14ac:dyDescent="0.35">
      <c r="E27490" s="35"/>
      <c r="J27490" s="41"/>
    </row>
    <row r="27491" spans="5:10" s="34" customFormat="1" x14ac:dyDescent="0.35">
      <c r="E27491" s="35"/>
      <c r="J27491" s="41"/>
    </row>
    <row r="27492" spans="5:10" s="34" customFormat="1" x14ac:dyDescent="0.35">
      <c r="E27492" s="35"/>
      <c r="J27492" s="41"/>
    </row>
    <row r="27493" spans="5:10" s="34" customFormat="1" x14ac:dyDescent="0.35">
      <c r="E27493" s="35"/>
      <c r="J27493" s="41"/>
    </row>
    <row r="27494" spans="5:10" s="34" customFormat="1" x14ac:dyDescent="0.35">
      <c r="E27494" s="35"/>
      <c r="J27494" s="41"/>
    </row>
    <row r="27495" spans="5:10" s="34" customFormat="1" x14ac:dyDescent="0.35">
      <c r="E27495" s="35"/>
      <c r="J27495" s="41"/>
    </row>
    <row r="27496" spans="5:10" s="34" customFormat="1" x14ac:dyDescent="0.35">
      <c r="E27496" s="35"/>
      <c r="J27496" s="41"/>
    </row>
    <row r="27497" spans="5:10" s="34" customFormat="1" x14ac:dyDescent="0.35">
      <c r="E27497" s="35"/>
      <c r="J27497" s="41"/>
    </row>
    <row r="27498" spans="5:10" s="34" customFormat="1" x14ac:dyDescent="0.35">
      <c r="E27498" s="35"/>
      <c r="J27498" s="41"/>
    </row>
    <row r="27499" spans="5:10" s="34" customFormat="1" x14ac:dyDescent="0.35">
      <c r="E27499" s="35"/>
      <c r="J27499" s="41"/>
    </row>
    <row r="27500" spans="5:10" s="34" customFormat="1" x14ac:dyDescent="0.35">
      <c r="E27500" s="35"/>
      <c r="J27500" s="41"/>
    </row>
    <row r="27501" spans="5:10" s="34" customFormat="1" x14ac:dyDescent="0.35">
      <c r="E27501" s="35"/>
      <c r="J27501" s="41"/>
    </row>
    <row r="27502" spans="5:10" s="34" customFormat="1" x14ac:dyDescent="0.35">
      <c r="E27502" s="35"/>
      <c r="J27502" s="41"/>
    </row>
    <row r="27503" spans="5:10" s="34" customFormat="1" x14ac:dyDescent="0.35">
      <c r="E27503" s="35"/>
      <c r="J27503" s="41"/>
    </row>
    <row r="27504" spans="5:10" s="34" customFormat="1" x14ac:dyDescent="0.35">
      <c r="E27504" s="35"/>
      <c r="J27504" s="41"/>
    </row>
    <row r="27505" spans="5:10" s="34" customFormat="1" x14ac:dyDescent="0.35">
      <c r="E27505" s="35"/>
      <c r="J27505" s="41"/>
    </row>
    <row r="27506" spans="5:10" s="34" customFormat="1" x14ac:dyDescent="0.35">
      <c r="E27506" s="35"/>
      <c r="J27506" s="41"/>
    </row>
    <row r="27507" spans="5:10" s="34" customFormat="1" x14ac:dyDescent="0.35">
      <c r="E27507" s="35"/>
      <c r="J27507" s="41"/>
    </row>
    <row r="27508" spans="5:10" s="34" customFormat="1" x14ac:dyDescent="0.35">
      <c r="E27508" s="35"/>
      <c r="J27508" s="41"/>
    </row>
    <row r="27509" spans="5:10" s="34" customFormat="1" x14ac:dyDescent="0.35">
      <c r="E27509" s="35"/>
      <c r="J27509" s="41"/>
    </row>
    <row r="27510" spans="5:10" s="34" customFormat="1" x14ac:dyDescent="0.35">
      <c r="E27510" s="35"/>
      <c r="J27510" s="41"/>
    </row>
    <row r="27511" spans="5:10" s="34" customFormat="1" x14ac:dyDescent="0.35">
      <c r="E27511" s="35"/>
      <c r="J27511" s="41"/>
    </row>
    <row r="27512" spans="5:10" s="34" customFormat="1" x14ac:dyDescent="0.35">
      <c r="E27512" s="35"/>
      <c r="J27512" s="41"/>
    </row>
    <row r="27513" spans="5:10" s="34" customFormat="1" x14ac:dyDescent="0.35">
      <c r="E27513" s="35"/>
      <c r="J27513" s="41"/>
    </row>
    <row r="27514" spans="5:10" s="34" customFormat="1" x14ac:dyDescent="0.35">
      <c r="E27514" s="35"/>
      <c r="J27514" s="41"/>
    </row>
    <row r="27515" spans="5:10" s="34" customFormat="1" x14ac:dyDescent="0.35">
      <c r="E27515" s="35"/>
      <c r="J27515" s="41"/>
    </row>
    <row r="27516" spans="5:10" s="34" customFormat="1" x14ac:dyDescent="0.35">
      <c r="E27516" s="35"/>
      <c r="J27516" s="41"/>
    </row>
    <row r="27517" spans="5:10" s="34" customFormat="1" x14ac:dyDescent="0.35">
      <c r="E27517" s="35"/>
      <c r="J27517" s="41"/>
    </row>
    <row r="27518" spans="5:10" s="34" customFormat="1" x14ac:dyDescent="0.35">
      <c r="E27518" s="35"/>
      <c r="J27518" s="41"/>
    </row>
    <row r="27519" spans="5:10" s="34" customFormat="1" x14ac:dyDescent="0.35">
      <c r="E27519" s="35"/>
      <c r="J27519" s="41"/>
    </row>
    <row r="27520" spans="5:10" s="34" customFormat="1" x14ac:dyDescent="0.35">
      <c r="E27520" s="35"/>
      <c r="J27520" s="41"/>
    </row>
    <row r="27521" spans="5:10" s="34" customFormat="1" x14ac:dyDescent="0.35">
      <c r="E27521" s="35"/>
      <c r="J27521" s="41"/>
    </row>
    <row r="27522" spans="5:10" s="34" customFormat="1" x14ac:dyDescent="0.35">
      <c r="E27522" s="35"/>
      <c r="J27522" s="41"/>
    </row>
    <row r="27523" spans="5:10" s="34" customFormat="1" x14ac:dyDescent="0.35">
      <c r="E27523" s="35"/>
      <c r="J27523" s="41"/>
    </row>
    <row r="27524" spans="5:10" s="34" customFormat="1" x14ac:dyDescent="0.35">
      <c r="E27524" s="35"/>
      <c r="J27524" s="41"/>
    </row>
    <row r="27525" spans="5:10" s="34" customFormat="1" x14ac:dyDescent="0.35">
      <c r="E27525" s="35"/>
      <c r="J27525" s="41"/>
    </row>
    <row r="27526" spans="5:10" s="34" customFormat="1" x14ac:dyDescent="0.35">
      <c r="E27526" s="35"/>
      <c r="J27526" s="41"/>
    </row>
    <row r="27527" spans="5:10" s="34" customFormat="1" x14ac:dyDescent="0.35">
      <c r="E27527" s="35"/>
      <c r="J27527" s="41"/>
    </row>
    <row r="27528" spans="5:10" s="34" customFormat="1" x14ac:dyDescent="0.35">
      <c r="E27528" s="35"/>
      <c r="J27528" s="41"/>
    </row>
    <row r="27529" spans="5:10" s="34" customFormat="1" x14ac:dyDescent="0.35">
      <c r="E27529" s="35"/>
      <c r="J27529" s="41"/>
    </row>
    <row r="27530" spans="5:10" s="34" customFormat="1" x14ac:dyDescent="0.35">
      <c r="E27530" s="35"/>
      <c r="J27530" s="41"/>
    </row>
    <row r="27531" spans="5:10" s="34" customFormat="1" x14ac:dyDescent="0.35">
      <c r="E27531" s="35"/>
      <c r="J27531" s="41"/>
    </row>
    <row r="27532" spans="5:10" s="34" customFormat="1" x14ac:dyDescent="0.35">
      <c r="E27532" s="35"/>
      <c r="J27532" s="41"/>
    </row>
    <row r="27533" spans="5:10" s="34" customFormat="1" x14ac:dyDescent="0.35">
      <c r="E27533" s="35"/>
      <c r="J27533" s="41"/>
    </row>
    <row r="27534" spans="5:10" s="34" customFormat="1" x14ac:dyDescent="0.35">
      <c r="E27534" s="35"/>
      <c r="J27534" s="41"/>
    </row>
    <row r="27535" spans="5:10" s="34" customFormat="1" x14ac:dyDescent="0.35">
      <c r="E27535" s="35"/>
      <c r="J27535" s="41"/>
    </row>
    <row r="27536" spans="5:10" s="34" customFormat="1" x14ac:dyDescent="0.35">
      <c r="E27536" s="35"/>
      <c r="J27536" s="41"/>
    </row>
    <row r="27537" spans="5:10" s="34" customFormat="1" x14ac:dyDescent="0.35">
      <c r="E27537" s="35"/>
      <c r="J27537" s="41"/>
    </row>
    <row r="27538" spans="5:10" s="34" customFormat="1" x14ac:dyDescent="0.35">
      <c r="E27538" s="35"/>
      <c r="J27538" s="41"/>
    </row>
    <row r="27539" spans="5:10" s="34" customFormat="1" x14ac:dyDescent="0.35">
      <c r="E27539" s="35"/>
      <c r="J27539" s="41"/>
    </row>
    <row r="27540" spans="5:10" s="34" customFormat="1" x14ac:dyDescent="0.35">
      <c r="E27540" s="35"/>
      <c r="J27540" s="41"/>
    </row>
    <row r="27541" spans="5:10" s="34" customFormat="1" x14ac:dyDescent="0.35">
      <c r="E27541" s="35"/>
      <c r="J27541" s="41"/>
    </row>
    <row r="27542" spans="5:10" s="34" customFormat="1" x14ac:dyDescent="0.35">
      <c r="E27542" s="35"/>
      <c r="J27542" s="41"/>
    </row>
    <row r="27543" spans="5:10" s="34" customFormat="1" x14ac:dyDescent="0.35">
      <c r="E27543" s="35"/>
      <c r="J27543" s="41"/>
    </row>
    <row r="27544" spans="5:10" s="34" customFormat="1" x14ac:dyDescent="0.35">
      <c r="E27544" s="35"/>
      <c r="J27544" s="41"/>
    </row>
    <row r="27545" spans="5:10" s="34" customFormat="1" x14ac:dyDescent="0.35">
      <c r="E27545" s="35"/>
      <c r="J27545" s="41"/>
    </row>
    <row r="27546" spans="5:10" s="34" customFormat="1" x14ac:dyDescent="0.35">
      <c r="E27546" s="35"/>
      <c r="J27546" s="41"/>
    </row>
    <row r="27547" spans="5:10" s="34" customFormat="1" x14ac:dyDescent="0.35">
      <c r="E27547" s="35"/>
      <c r="J27547" s="41"/>
    </row>
    <row r="27548" spans="5:10" s="34" customFormat="1" x14ac:dyDescent="0.35">
      <c r="E27548" s="35"/>
      <c r="J27548" s="41"/>
    </row>
    <row r="27549" spans="5:10" s="34" customFormat="1" x14ac:dyDescent="0.35">
      <c r="E27549" s="35"/>
      <c r="J27549" s="41"/>
    </row>
    <row r="27550" spans="5:10" s="34" customFormat="1" x14ac:dyDescent="0.35">
      <c r="E27550" s="35"/>
      <c r="J27550" s="41"/>
    </row>
    <row r="27551" spans="5:10" s="34" customFormat="1" x14ac:dyDescent="0.35">
      <c r="E27551" s="35"/>
      <c r="J27551" s="41"/>
    </row>
    <row r="27552" spans="5:10" s="34" customFormat="1" x14ac:dyDescent="0.35">
      <c r="E27552" s="35"/>
      <c r="J27552" s="41"/>
    </row>
    <row r="27553" spans="5:10" s="34" customFormat="1" x14ac:dyDescent="0.35">
      <c r="E27553" s="35"/>
      <c r="J27553" s="41"/>
    </row>
    <row r="27554" spans="5:10" s="34" customFormat="1" x14ac:dyDescent="0.35">
      <c r="E27554" s="35"/>
      <c r="J27554" s="41"/>
    </row>
    <row r="27555" spans="5:10" s="34" customFormat="1" x14ac:dyDescent="0.35">
      <c r="E27555" s="35"/>
      <c r="J27555" s="41"/>
    </row>
    <row r="27556" spans="5:10" s="34" customFormat="1" x14ac:dyDescent="0.35">
      <c r="E27556" s="35"/>
      <c r="J27556" s="41"/>
    </row>
    <row r="27557" spans="5:10" s="34" customFormat="1" x14ac:dyDescent="0.35">
      <c r="E27557" s="35"/>
      <c r="J27557" s="41"/>
    </row>
    <row r="27558" spans="5:10" s="34" customFormat="1" x14ac:dyDescent="0.35">
      <c r="E27558" s="35"/>
      <c r="J27558" s="41"/>
    </row>
    <row r="27559" spans="5:10" s="34" customFormat="1" x14ac:dyDescent="0.35">
      <c r="E27559" s="35"/>
      <c r="J27559" s="41"/>
    </row>
    <row r="27560" spans="5:10" s="34" customFormat="1" x14ac:dyDescent="0.35">
      <c r="E27560" s="35"/>
      <c r="J27560" s="41"/>
    </row>
    <row r="27561" spans="5:10" s="34" customFormat="1" x14ac:dyDescent="0.35">
      <c r="E27561" s="35"/>
      <c r="J27561" s="41"/>
    </row>
    <row r="27562" spans="5:10" s="34" customFormat="1" x14ac:dyDescent="0.35">
      <c r="E27562" s="35"/>
      <c r="J27562" s="41"/>
    </row>
    <row r="27563" spans="5:10" s="34" customFormat="1" x14ac:dyDescent="0.35">
      <c r="E27563" s="35"/>
      <c r="J27563" s="41"/>
    </row>
    <row r="27564" spans="5:10" s="34" customFormat="1" x14ac:dyDescent="0.35">
      <c r="E27564" s="35"/>
      <c r="J27564" s="41"/>
    </row>
    <row r="27565" spans="5:10" s="34" customFormat="1" x14ac:dyDescent="0.35">
      <c r="E27565" s="35"/>
      <c r="J27565" s="41"/>
    </row>
    <row r="27566" spans="5:10" s="34" customFormat="1" x14ac:dyDescent="0.35">
      <c r="E27566" s="35"/>
      <c r="J27566" s="41"/>
    </row>
    <row r="27567" spans="5:10" s="34" customFormat="1" x14ac:dyDescent="0.35">
      <c r="E27567" s="35"/>
      <c r="J27567" s="41"/>
    </row>
    <row r="27568" spans="5:10" s="34" customFormat="1" x14ac:dyDescent="0.35">
      <c r="E27568" s="35"/>
      <c r="J27568" s="41"/>
    </row>
    <row r="27569" spans="5:10" s="34" customFormat="1" x14ac:dyDescent="0.35">
      <c r="E27569" s="35"/>
      <c r="J27569" s="41"/>
    </row>
    <row r="27570" spans="5:10" s="34" customFormat="1" x14ac:dyDescent="0.35">
      <c r="E27570" s="35"/>
      <c r="J27570" s="41"/>
    </row>
    <row r="27571" spans="5:10" s="34" customFormat="1" x14ac:dyDescent="0.35">
      <c r="E27571" s="35"/>
      <c r="J27571" s="41"/>
    </row>
    <row r="27572" spans="5:10" s="34" customFormat="1" x14ac:dyDescent="0.35">
      <c r="E27572" s="35"/>
      <c r="J27572" s="41"/>
    </row>
    <row r="27573" spans="5:10" s="34" customFormat="1" x14ac:dyDescent="0.35">
      <c r="E27573" s="35"/>
      <c r="J27573" s="41"/>
    </row>
    <row r="27574" spans="5:10" s="34" customFormat="1" x14ac:dyDescent="0.35">
      <c r="E27574" s="35"/>
      <c r="J27574" s="41"/>
    </row>
    <row r="27575" spans="5:10" s="34" customFormat="1" x14ac:dyDescent="0.35">
      <c r="E27575" s="35"/>
      <c r="J27575" s="41"/>
    </row>
    <row r="27576" spans="5:10" s="34" customFormat="1" x14ac:dyDescent="0.35">
      <c r="E27576" s="35"/>
      <c r="J27576" s="41"/>
    </row>
    <row r="27577" spans="5:10" s="34" customFormat="1" x14ac:dyDescent="0.35">
      <c r="E27577" s="35"/>
      <c r="J27577" s="41"/>
    </row>
    <row r="27578" spans="5:10" s="34" customFormat="1" x14ac:dyDescent="0.35">
      <c r="E27578" s="35"/>
      <c r="J27578" s="41"/>
    </row>
    <row r="27579" spans="5:10" s="34" customFormat="1" x14ac:dyDescent="0.35">
      <c r="E27579" s="35"/>
      <c r="J27579" s="41"/>
    </row>
    <row r="27580" spans="5:10" s="34" customFormat="1" x14ac:dyDescent="0.35">
      <c r="E27580" s="35"/>
      <c r="J27580" s="41"/>
    </row>
    <row r="27581" spans="5:10" s="34" customFormat="1" x14ac:dyDescent="0.35">
      <c r="E27581" s="35"/>
      <c r="J27581" s="41"/>
    </row>
    <row r="27582" spans="5:10" s="34" customFormat="1" x14ac:dyDescent="0.35">
      <c r="E27582" s="35"/>
      <c r="J27582" s="41"/>
    </row>
    <row r="27583" spans="5:10" s="34" customFormat="1" x14ac:dyDescent="0.35">
      <c r="E27583" s="35"/>
      <c r="J27583" s="41"/>
    </row>
    <row r="27584" spans="5:10" s="34" customFormat="1" x14ac:dyDescent="0.35">
      <c r="E27584" s="35"/>
      <c r="J27584" s="41"/>
    </row>
    <row r="27585" spans="5:10" s="34" customFormat="1" x14ac:dyDescent="0.35">
      <c r="E27585" s="35"/>
      <c r="J27585" s="41"/>
    </row>
    <row r="27586" spans="5:10" s="34" customFormat="1" x14ac:dyDescent="0.35">
      <c r="E27586" s="35"/>
      <c r="J27586" s="41"/>
    </row>
    <row r="27587" spans="5:10" s="34" customFormat="1" x14ac:dyDescent="0.35">
      <c r="E27587" s="35"/>
      <c r="J27587" s="41"/>
    </row>
    <row r="27588" spans="5:10" s="34" customFormat="1" x14ac:dyDescent="0.35">
      <c r="E27588" s="35"/>
      <c r="J27588" s="41"/>
    </row>
    <row r="27589" spans="5:10" s="34" customFormat="1" x14ac:dyDescent="0.35">
      <c r="E27589" s="35"/>
      <c r="J27589" s="41"/>
    </row>
    <row r="27590" spans="5:10" s="34" customFormat="1" x14ac:dyDescent="0.35">
      <c r="E27590" s="35"/>
      <c r="J27590" s="41"/>
    </row>
    <row r="27591" spans="5:10" s="34" customFormat="1" x14ac:dyDescent="0.35">
      <c r="E27591" s="35"/>
      <c r="J27591" s="41"/>
    </row>
    <row r="27592" spans="5:10" s="34" customFormat="1" x14ac:dyDescent="0.35">
      <c r="E27592" s="35"/>
      <c r="J27592" s="41"/>
    </row>
    <row r="27593" spans="5:10" s="34" customFormat="1" x14ac:dyDescent="0.35">
      <c r="E27593" s="35"/>
      <c r="J27593" s="41"/>
    </row>
    <row r="27594" spans="5:10" s="34" customFormat="1" x14ac:dyDescent="0.35">
      <c r="E27594" s="35"/>
      <c r="J27594" s="41"/>
    </row>
    <row r="27595" spans="5:10" s="34" customFormat="1" x14ac:dyDescent="0.35">
      <c r="E27595" s="35"/>
      <c r="J27595" s="41"/>
    </row>
    <row r="27596" spans="5:10" s="34" customFormat="1" x14ac:dyDescent="0.35">
      <c r="E27596" s="35"/>
      <c r="J27596" s="41"/>
    </row>
    <row r="27597" spans="5:10" s="34" customFormat="1" x14ac:dyDescent="0.35">
      <c r="E27597" s="35"/>
      <c r="J27597" s="41"/>
    </row>
    <row r="27598" spans="5:10" s="34" customFormat="1" x14ac:dyDescent="0.35">
      <c r="E27598" s="35"/>
      <c r="J27598" s="41"/>
    </row>
    <row r="27599" spans="5:10" s="34" customFormat="1" x14ac:dyDescent="0.35">
      <c r="E27599" s="35"/>
      <c r="J27599" s="41"/>
    </row>
    <row r="27600" spans="5:10" s="34" customFormat="1" x14ac:dyDescent="0.35">
      <c r="E27600" s="35"/>
      <c r="J27600" s="41"/>
    </row>
    <row r="27601" spans="5:10" s="34" customFormat="1" x14ac:dyDescent="0.35">
      <c r="E27601" s="35"/>
      <c r="J27601" s="41"/>
    </row>
    <row r="27602" spans="5:10" s="34" customFormat="1" x14ac:dyDescent="0.35">
      <c r="E27602" s="35"/>
      <c r="J27602" s="41"/>
    </row>
    <row r="27603" spans="5:10" s="34" customFormat="1" x14ac:dyDescent="0.35">
      <c r="E27603" s="35"/>
      <c r="J27603" s="41"/>
    </row>
    <row r="27604" spans="5:10" s="34" customFormat="1" x14ac:dyDescent="0.35">
      <c r="E27604" s="35"/>
      <c r="J27604" s="41"/>
    </row>
    <row r="27605" spans="5:10" s="34" customFormat="1" x14ac:dyDescent="0.35">
      <c r="E27605" s="35"/>
      <c r="J27605" s="41"/>
    </row>
    <row r="27606" spans="5:10" s="34" customFormat="1" x14ac:dyDescent="0.35">
      <c r="E27606" s="35"/>
      <c r="J27606" s="41"/>
    </row>
    <row r="27607" spans="5:10" s="34" customFormat="1" x14ac:dyDescent="0.35">
      <c r="E27607" s="35"/>
      <c r="J27607" s="41"/>
    </row>
    <row r="27608" spans="5:10" s="34" customFormat="1" x14ac:dyDescent="0.35">
      <c r="E27608" s="35"/>
      <c r="J27608" s="41"/>
    </row>
    <row r="27609" spans="5:10" s="34" customFormat="1" x14ac:dyDescent="0.35">
      <c r="E27609" s="35"/>
      <c r="J27609" s="41"/>
    </row>
    <row r="27610" spans="5:10" s="34" customFormat="1" x14ac:dyDescent="0.35">
      <c r="E27610" s="35"/>
      <c r="J27610" s="41"/>
    </row>
    <row r="27611" spans="5:10" s="34" customFormat="1" x14ac:dyDescent="0.35">
      <c r="E27611" s="35"/>
      <c r="J27611" s="41"/>
    </row>
    <row r="27612" spans="5:10" s="34" customFormat="1" x14ac:dyDescent="0.35">
      <c r="E27612" s="35"/>
      <c r="J27612" s="41"/>
    </row>
    <row r="27613" spans="5:10" s="34" customFormat="1" x14ac:dyDescent="0.35">
      <c r="E27613" s="35"/>
      <c r="J27613" s="41"/>
    </row>
    <row r="27614" spans="5:10" s="34" customFormat="1" x14ac:dyDescent="0.35">
      <c r="E27614" s="35"/>
      <c r="J27614" s="41"/>
    </row>
    <row r="27615" spans="5:10" s="34" customFormat="1" x14ac:dyDescent="0.35">
      <c r="E27615" s="35"/>
      <c r="J27615" s="41"/>
    </row>
    <row r="27616" spans="5:10" s="34" customFormat="1" x14ac:dyDescent="0.35">
      <c r="E27616" s="35"/>
      <c r="J27616" s="41"/>
    </row>
    <row r="27617" spans="5:10" s="34" customFormat="1" x14ac:dyDescent="0.35">
      <c r="E27617" s="35"/>
      <c r="J27617" s="41"/>
    </row>
    <row r="27618" spans="5:10" s="34" customFormat="1" x14ac:dyDescent="0.35">
      <c r="E27618" s="35"/>
      <c r="J27618" s="41"/>
    </row>
    <row r="27619" spans="5:10" s="34" customFormat="1" x14ac:dyDescent="0.35">
      <c r="E27619" s="35"/>
      <c r="J27619" s="41"/>
    </row>
    <row r="27620" spans="5:10" s="34" customFormat="1" x14ac:dyDescent="0.35">
      <c r="E27620" s="35"/>
      <c r="J27620" s="41"/>
    </row>
    <row r="27621" spans="5:10" s="34" customFormat="1" x14ac:dyDescent="0.35">
      <c r="E27621" s="35"/>
      <c r="J27621" s="41"/>
    </row>
    <row r="27622" spans="5:10" s="34" customFormat="1" x14ac:dyDescent="0.35">
      <c r="E27622" s="35"/>
      <c r="J27622" s="41"/>
    </row>
    <row r="27623" spans="5:10" s="34" customFormat="1" x14ac:dyDescent="0.35">
      <c r="E27623" s="35"/>
      <c r="J27623" s="41"/>
    </row>
    <row r="27624" spans="5:10" s="34" customFormat="1" x14ac:dyDescent="0.35">
      <c r="E27624" s="35"/>
      <c r="J27624" s="41"/>
    </row>
    <row r="27625" spans="5:10" s="34" customFormat="1" x14ac:dyDescent="0.35">
      <c r="E27625" s="35"/>
      <c r="J27625" s="41"/>
    </row>
    <row r="27626" spans="5:10" s="34" customFormat="1" x14ac:dyDescent="0.35">
      <c r="E27626" s="35"/>
      <c r="J27626" s="41"/>
    </row>
    <row r="27627" spans="5:10" s="34" customFormat="1" x14ac:dyDescent="0.35">
      <c r="E27627" s="35"/>
      <c r="J27627" s="41"/>
    </row>
    <row r="27628" spans="5:10" s="34" customFormat="1" x14ac:dyDescent="0.35">
      <c r="E27628" s="35"/>
      <c r="J27628" s="41"/>
    </row>
    <row r="27629" spans="5:10" s="34" customFormat="1" x14ac:dyDescent="0.35">
      <c r="E27629" s="35"/>
      <c r="J27629" s="41"/>
    </row>
    <row r="27630" spans="5:10" s="34" customFormat="1" x14ac:dyDescent="0.35">
      <c r="E27630" s="35"/>
      <c r="J27630" s="41"/>
    </row>
    <row r="27631" spans="5:10" s="34" customFormat="1" x14ac:dyDescent="0.35">
      <c r="E27631" s="35"/>
      <c r="J27631" s="41"/>
    </row>
    <row r="27632" spans="5:10" s="34" customFormat="1" x14ac:dyDescent="0.35">
      <c r="E27632" s="35"/>
      <c r="J27632" s="41"/>
    </row>
    <row r="27633" spans="5:10" s="34" customFormat="1" x14ac:dyDescent="0.35">
      <c r="E27633" s="35"/>
      <c r="J27633" s="41"/>
    </row>
    <row r="27634" spans="5:10" s="34" customFormat="1" x14ac:dyDescent="0.35">
      <c r="E27634" s="35"/>
      <c r="J27634" s="41"/>
    </row>
    <row r="27635" spans="5:10" s="34" customFormat="1" x14ac:dyDescent="0.35">
      <c r="E27635" s="35"/>
      <c r="J27635" s="41"/>
    </row>
    <row r="27636" spans="5:10" s="34" customFormat="1" x14ac:dyDescent="0.35">
      <c r="E27636" s="35"/>
      <c r="J27636" s="41"/>
    </row>
    <row r="27637" spans="5:10" s="34" customFormat="1" x14ac:dyDescent="0.35">
      <c r="E27637" s="35"/>
      <c r="J27637" s="41"/>
    </row>
    <row r="27638" spans="5:10" s="34" customFormat="1" x14ac:dyDescent="0.35">
      <c r="E27638" s="35"/>
      <c r="J27638" s="41"/>
    </row>
    <row r="27639" spans="5:10" s="34" customFormat="1" x14ac:dyDescent="0.35">
      <c r="E27639" s="35"/>
      <c r="J27639" s="41"/>
    </row>
    <row r="27640" spans="5:10" s="34" customFormat="1" x14ac:dyDescent="0.35">
      <c r="E27640" s="35"/>
      <c r="J27640" s="41"/>
    </row>
    <row r="27641" spans="5:10" s="34" customFormat="1" x14ac:dyDescent="0.35">
      <c r="E27641" s="35"/>
      <c r="J27641" s="41"/>
    </row>
    <row r="27642" spans="5:10" s="34" customFormat="1" x14ac:dyDescent="0.35">
      <c r="E27642" s="35"/>
      <c r="J27642" s="41"/>
    </row>
    <row r="27643" spans="5:10" s="34" customFormat="1" x14ac:dyDescent="0.35">
      <c r="E27643" s="35"/>
      <c r="J27643" s="41"/>
    </row>
    <row r="27644" spans="5:10" s="34" customFormat="1" x14ac:dyDescent="0.35">
      <c r="E27644" s="35"/>
      <c r="J27644" s="41"/>
    </row>
    <row r="27645" spans="5:10" s="34" customFormat="1" x14ac:dyDescent="0.35">
      <c r="E27645" s="35"/>
      <c r="J27645" s="41"/>
    </row>
    <row r="27646" spans="5:10" s="34" customFormat="1" x14ac:dyDescent="0.35">
      <c r="E27646" s="35"/>
      <c r="J27646" s="41"/>
    </row>
    <row r="27647" spans="5:10" s="34" customFormat="1" x14ac:dyDescent="0.35">
      <c r="E27647" s="35"/>
      <c r="J27647" s="41"/>
    </row>
    <row r="27648" spans="5:10" s="34" customFormat="1" x14ac:dyDescent="0.35">
      <c r="E27648" s="35"/>
      <c r="J27648" s="41"/>
    </row>
    <row r="27649" spans="5:10" s="34" customFormat="1" x14ac:dyDescent="0.35">
      <c r="E27649" s="35"/>
      <c r="J27649" s="41"/>
    </row>
    <row r="27650" spans="5:10" s="34" customFormat="1" x14ac:dyDescent="0.35">
      <c r="E27650" s="35"/>
      <c r="J27650" s="41"/>
    </row>
    <row r="27651" spans="5:10" s="34" customFormat="1" x14ac:dyDescent="0.35">
      <c r="E27651" s="35"/>
      <c r="J27651" s="41"/>
    </row>
    <row r="27652" spans="5:10" s="34" customFormat="1" x14ac:dyDescent="0.35">
      <c r="E27652" s="35"/>
      <c r="J27652" s="41"/>
    </row>
    <row r="27653" spans="5:10" s="34" customFormat="1" x14ac:dyDescent="0.35">
      <c r="E27653" s="35"/>
      <c r="J27653" s="41"/>
    </row>
    <row r="27654" spans="5:10" s="34" customFormat="1" x14ac:dyDescent="0.35">
      <c r="E27654" s="35"/>
      <c r="J27654" s="41"/>
    </row>
    <row r="27655" spans="5:10" s="34" customFormat="1" x14ac:dyDescent="0.35">
      <c r="E27655" s="35"/>
      <c r="J27655" s="41"/>
    </row>
    <row r="27656" spans="5:10" s="34" customFormat="1" x14ac:dyDescent="0.35">
      <c r="E27656" s="35"/>
      <c r="J27656" s="41"/>
    </row>
    <row r="27657" spans="5:10" s="34" customFormat="1" x14ac:dyDescent="0.35">
      <c r="E27657" s="35"/>
      <c r="J27657" s="41"/>
    </row>
    <row r="27658" spans="5:10" s="34" customFormat="1" x14ac:dyDescent="0.35">
      <c r="E27658" s="35"/>
      <c r="J27658" s="41"/>
    </row>
    <row r="27659" spans="5:10" s="34" customFormat="1" x14ac:dyDescent="0.35">
      <c r="E27659" s="35"/>
      <c r="J27659" s="41"/>
    </row>
    <row r="27660" spans="5:10" s="34" customFormat="1" x14ac:dyDescent="0.35">
      <c r="E27660" s="35"/>
      <c r="J27660" s="41"/>
    </row>
    <row r="27661" spans="5:10" s="34" customFormat="1" x14ac:dyDescent="0.35">
      <c r="E27661" s="35"/>
      <c r="J27661" s="41"/>
    </row>
    <row r="27662" spans="5:10" s="34" customFormat="1" x14ac:dyDescent="0.35">
      <c r="E27662" s="35"/>
      <c r="J27662" s="41"/>
    </row>
    <row r="27663" spans="5:10" s="34" customFormat="1" x14ac:dyDescent="0.35">
      <c r="E27663" s="35"/>
      <c r="J27663" s="41"/>
    </row>
    <row r="27664" spans="5:10" s="34" customFormat="1" x14ac:dyDescent="0.35">
      <c r="E27664" s="35"/>
      <c r="J27664" s="41"/>
    </row>
    <row r="27665" spans="5:10" s="34" customFormat="1" x14ac:dyDescent="0.35">
      <c r="E27665" s="35"/>
      <c r="J27665" s="41"/>
    </row>
    <row r="27666" spans="5:10" s="34" customFormat="1" x14ac:dyDescent="0.35">
      <c r="E27666" s="35"/>
      <c r="J27666" s="41"/>
    </row>
    <row r="27667" spans="5:10" s="34" customFormat="1" x14ac:dyDescent="0.35">
      <c r="E27667" s="35"/>
      <c r="J27667" s="41"/>
    </row>
    <row r="27668" spans="5:10" s="34" customFormat="1" x14ac:dyDescent="0.35">
      <c r="E27668" s="35"/>
      <c r="J27668" s="41"/>
    </row>
    <row r="27669" spans="5:10" s="34" customFormat="1" x14ac:dyDescent="0.35">
      <c r="E27669" s="35"/>
      <c r="J27669" s="41"/>
    </row>
    <row r="27670" spans="5:10" s="34" customFormat="1" x14ac:dyDescent="0.35">
      <c r="E27670" s="35"/>
      <c r="J27670" s="41"/>
    </row>
    <row r="27671" spans="5:10" s="34" customFormat="1" x14ac:dyDescent="0.35">
      <c r="E27671" s="35"/>
      <c r="J27671" s="41"/>
    </row>
    <row r="27672" spans="5:10" s="34" customFormat="1" x14ac:dyDescent="0.35">
      <c r="E27672" s="35"/>
      <c r="J27672" s="41"/>
    </row>
    <row r="27673" spans="5:10" s="34" customFormat="1" x14ac:dyDescent="0.35">
      <c r="E27673" s="35"/>
      <c r="J27673" s="41"/>
    </row>
    <row r="27674" spans="5:10" s="34" customFormat="1" x14ac:dyDescent="0.35">
      <c r="E27674" s="35"/>
      <c r="J27674" s="41"/>
    </row>
    <row r="27675" spans="5:10" s="34" customFormat="1" x14ac:dyDescent="0.35">
      <c r="E27675" s="35"/>
      <c r="J27675" s="41"/>
    </row>
    <row r="27676" spans="5:10" s="34" customFormat="1" x14ac:dyDescent="0.35">
      <c r="E27676" s="35"/>
      <c r="J27676" s="41"/>
    </row>
    <row r="27677" spans="5:10" s="34" customFormat="1" x14ac:dyDescent="0.35">
      <c r="E27677" s="35"/>
      <c r="J27677" s="41"/>
    </row>
    <row r="27678" spans="5:10" s="34" customFormat="1" x14ac:dyDescent="0.35">
      <c r="E27678" s="35"/>
      <c r="J27678" s="41"/>
    </row>
    <row r="27679" spans="5:10" s="34" customFormat="1" x14ac:dyDescent="0.35">
      <c r="E27679" s="35"/>
      <c r="J27679" s="41"/>
    </row>
    <row r="27680" spans="5:10" s="34" customFormat="1" x14ac:dyDescent="0.35">
      <c r="E27680" s="35"/>
      <c r="J27680" s="41"/>
    </row>
    <row r="27681" spans="5:10" s="34" customFormat="1" x14ac:dyDescent="0.35">
      <c r="E27681" s="35"/>
      <c r="J27681" s="41"/>
    </row>
    <row r="27682" spans="5:10" s="34" customFormat="1" x14ac:dyDescent="0.35">
      <c r="E27682" s="35"/>
      <c r="J27682" s="41"/>
    </row>
    <row r="27683" spans="5:10" s="34" customFormat="1" x14ac:dyDescent="0.35">
      <c r="E27683" s="35"/>
      <c r="J27683" s="41"/>
    </row>
    <row r="27684" spans="5:10" s="34" customFormat="1" x14ac:dyDescent="0.35">
      <c r="E27684" s="35"/>
      <c r="J27684" s="41"/>
    </row>
    <row r="27685" spans="5:10" s="34" customFormat="1" x14ac:dyDescent="0.35">
      <c r="E27685" s="35"/>
      <c r="J27685" s="41"/>
    </row>
    <row r="27686" spans="5:10" s="34" customFormat="1" x14ac:dyDescent="0.35">
      <c r="E27686" s="35"/>
      <c r="J27686" s="41"/>
    </row>
    <row r="27687" spans="5:10" s="34" customFormat="1" x14ac:dyDescent="0.35">
      <c r="E27687" s="35"/>
      <c r="J27687" s="41"/>
    </row>
    <row r="27688" spans="5:10" s="34" customFormat="1" x14ac:dyDescent="0.35">
      <c r="E27688" s="35"/>
      <c r="J27688" s="41"/>
    </row>
    <row r="27689" spans="5:10" s="34" customFormat="1" x14ac:dyDescent="0.35">
      <c r="E27689" s="35"/>
      <c r="J27689" s="41"/>
    </row>
    <row r="27690" spans="5:10" s="34" customFormat="1" x14ac:dyDescent="0.35">
      <c r="E27690" s="35"/>
      <c r="J27690" s="41"/>
    </row>
    <row r="27691" spans="5:10" s="34" customFormat="1" x14ac:dyDescent="0.35">
      <c r="E27691" s="35"/>
      <c r="J27691" s="41"/>
    </row>
    <row r="27692" spans="5:10" s="34" customFormat="1" x14ac:dyDescent="0.35">
      <c r="E27692" s="35"/>
      <c r="J27692" s="41"/>
    </row>
    <row r="27693" spans="5:10" s="34" customFormat="1" x14ac:dyDescent="0.35">
      <c r="E27693" s="35"/>
      <c r="J27693" s="41"/>
    </row>
    <row r="27694" spans="5:10" s="34" customFormat="1" x14ac:dyDescent="0.35">
      <c r="E27694" s="35"/>
      <c r="J27694" s="41"/>
    </row>
    <row r="27695" spans="5:10" s="34" customFormat="1" x14ac:dyDescent="0.35">
      <c r="E27695" s="35"/>
      <c r="J27695" s="41"/>
    </row>
    <row r="27696" spans="5:10" s="34" customFormat="1" x14ac:dyDescent="0.35">
      <c r="E27696" s="35"/>
      <c r="J27696" s="41"/>
    </row>
    <row r="27697" spans="5:10" s="34" customFormat="1" x14ac:dyDescent="0.35">
      <c r="E27697" s="35"/>
      <c r="J27697" s="41"/>
    </row>
    <row r="27698" spans="5:10" s="34" customFormat="1" x14ac:dyDescent="0.35">
      <c r="E27698" s="35"/>
      <c r="J27698" s="41"/>
    </row>
    <row r="27699" spans="5:10" s="34" customFormat="1" x14ac:dyDescent="0.35">
      <c r="E27699" s="35"/>
      <c r="J27699" s="41"/>
    </row>
    <row r="27700" spans="5:10" s="34" customFormat="1" x14ac:dyDescent="0.35">
      <c r="E27700" s="35"/>
      <c r="J27700" s="41"/>
    </row>
    <row r="27701" spans="5:10" s="34" customFormat="1" x14ac:dyDescent="0.35">
      <c r="E27701" s="35"/>
      <c r="J27701" s="41"/>
    </row>
    <row r="27702" spans="5:10" s="34" customFormat="1" x14ac:dyDescent="0.35">
      <c r="E27702" s="35"/>
      <c r="J27702" s="41"/>
    </row>
    <row r="27703" spans="5:10" s="34" customFormat="1" x14ac:dyDescent="0.35">
      <c r="E27703" s="35"/>
      <c r="J27703" s="41"/>
    </row>
    <row r="27704" spans="5:10" s="34" customFormat="1" x14ac:dyDescent="0.35">
      <c r="E27704" s="35"/>
      <c r="J27704" s="41"/>
    </row>
    <row r="27705" spans="5:10" s="34" customFormat="1" x14ac:dyDescent="0.35">
      <c r="E27705" s="35"/>
      <c r="J27705" s="41"/>
    </row>
    <row r="27706" spans="5:10" s="34" customFormat="1" x14ac:dyDescent="0.35">
      <c r="E27706" s="35"/>
      <c r="J27706" s="41"/>
    </row>
    <row r="27707" spans="5:10" s="34" customFormat="1" x14ac:dyDescent="0.35">
      <c r="E27707" s="35"/>
      <c r="J27707" s="41"/>
    </row>
    <row r="27708" spans="5:10" s="34" customFormat="1" x14ac:dyDescent="0.35">
      <c r="E27708" s="35"/>
      <c r="J27708" s="41"/>
    </row>
    <row r="27709" spans="5:10" s="34" customFormat="1" x14ac:dyDescent="0.35">
      <c r="E27709" s="35"/>
      <c r="J27709" s="41"/>
    </row>
    <row r="27710" spans="5:10" s="34" customFormat="1" x14ac:dyDescent="0.35">
      <c r="E27710" s="35"/>
      <c r="J27710" s="41"/>
    </row>
    <row r="27711" spans="5:10" s="34" customFormat="1" x14ac:dyDescent="0.35">
      <c r="E27711" s="35"/>
      <c r="J27711" s="41"/>
    </row>
    <row r="27712" spans="5:10" s="34" customFormat="1" x14ac:dyDescent="0.35">
      <c r="E27712" s="35"/>
      <c r="J27712" s="41"/>
    </row>
    <row r="27713" spans="5:10" s="34" customFormat="1" x14ac:dyDescent="0.35">
      <c r="E27713" s="35"/>
      <c r="J27713" s="41"/>
    </row>
    <row r="27714" spans="5:10" s="34" customFormat="1" x14ac:dyDescent="0.35">
      <c r="E27714" s="35"/>
      <c r="J27714" s="41"/>
    </row>
    <row r="27715" spans="5:10" s="34" customFormat="1" x14ac:dyDescent="0.35">
      <c r="E27715" s="35"/>
      <c r="J27715" s="41"/>
    </row>
    <row r="27716" spans="5:10" s="34" customFormat="1" x14ac:dyDescent="0.35">
      <c r="E27716" s="35"/>
      <c r="J27716" s="41"/>
    </row>
    <row r="27717" spans="5:10" s="34" customFormat="1" x14ac:dyDescent="0.35">
      <c r="E27717" s="35"/>
      <c r="J27717" s="41"/>
    </row>
    <row r="27718" spans="5:10" s="34" customFormat="1" x14ac:dyDescent="0.35">
      <c r="E27718" s="35"/>
      <c r="J27718" s="41"/>
    </row>
    <row r="27719" spans="5:10" s="34" customFormat="1" x14ac:dyDescent="0.35">
      <c r="E27719" s="35"/>
      <c r="J27719" s="41"/>
    </row>
    <row r="27720" spans="5:10" s="34" customFormat="1" x14ac:dyDescent="0.35">
      <c r="E27720" s="35"/>
      <c r="J27720" s="41"/>
    </row>
    <row r="27721" spans="5:10" s="34" customFormat="1" x14ac:dyDescent="0.35">
      <c r="E27721" s="35"/>
      <c r="J27721" s="41"/>
    </row>
    <row r="27722" spans="5:10" s="34" customFormat="1" x14ac:dyDescent="0.35">
      <c r="E27722" s="35"/>
      <c r="J27722" s="41"/>
    </row>
    <row r="27723" spans="5:10" s="34" customFormat="1" x14ac:dyDescent="0.35">
      <c r="E27723" s="35"/>
      <c r="J27723" s="41"/>
    </row>
    <row r="27724" spans="5:10" s="34" customFormat="1" x14ac:dyDescent="0.35">
      <c r="E27724" s="35"/>
      <c r="J27724" s="41"/>
    </row>
    <row r="27725" spans="5:10" s="34" customFormat="1" x14ac:dyDescent="0.35">
      <c r="E27725" s="35"/>
      <c r="J27725" s="41"/>
    </row>
    <row r="27726" spans="5:10" s="34" customFormat="1" x14ac:dyDescent="0.35">
      <c r="E27726" s="35"/>
      <c r="J27726" s="41"/>
    </row>
    <row r="27727" spans="5:10" s="34" customFormat="1" x14ac:dyDescent="0.35">
      <c r="E27727" s="35"/>
      <c r="J27727" s="41"/>
    </row>
    <row r="27728" spans="5:10" s="34" customFormat="1" x14ac:dyDescent="0.35">
      <c r="E27728" s="35"/>
      <c r="J27728" s="41"/>
    </row>
    <row r="27729" spans="5:10" s="34" customFormat="1" x14ac:dyDescent="0.35">
      <c r="E27729" s="35"/>
      <c r="J27729" s="41"/>
    </row>
    <row r="27730" spans="5:10" s="34" customFormat="1" x14ac:dyDescent="0.35">
      <c r="E27730" s="35"/>
      <c r="J27730" s="41"/>
    </row>
    <row r="27731" spans="5:10" s="34" customFormat="1" x14ac:dyDescent="0.35">
      <c r="E27731" s="35"/>
      <c r="J27731" s="41"/>
    </row>
    <row r="27732" spans="5:10" s="34" customFormat="1" x14ac:dyDescent="0.35">
      <c r="E27732" s="35"/>
      <c r="J27732" s="41"/>
    </row>
    <row r="27733" spans="5:10" s="34" customFormat="1" x14ac:dyDescent="0.35">
      <c r="E27733" s="35"/>
      <c r="J27733" s="41"/>
    </row>
    <row r="27734" spans="5:10" s="34" customFormat="1" x14ac:dyDescent="0.35">
      <c r="E27734" s="35"/>
      <c r="J27734" s="41"/>
    </row>
    <row r="27735" spans="5:10" s="34" customFormat="1" x14ac:dyDescent="0.35">
      <c r="E27735" s="35"/>
      <c r="J27735" s="41"/>
    </row>
    <row r="27736" spans="5:10" s="34" customFormat="1" x14ac:dyDescent="0.35">
      <c r="E27736" s="35"/>
      <c r="J27736" s="41"/>
    </row>
    <row r="27737" spans="5:10" s="34" customFormat="1" x14ac:dyDescent="0.35">
      <c r="E27737" s="35"/>
      <c r="J27737" s="41"/>
    </row>
    <row r="27738" spans="5:10" s="34" customFormat="1" x14ac:dyDescent="0.35">
      <c r="E27738" s="35"/>
      <c r="J27738" s="41"/>
    </row>
    <row r="27739" spans="5:10" s="34" customFormat="1" x14ac:dyDescent="0.35">
      <c r="E27739" s="35"/>
      <c r="J27739" s="41"/>
    </row>
    <row r="27740" spans="5:10" s="34" customFormat="1" x14ac:dyDescent="0.35">
      <c r="E27740" s="35"/>
      <c r="J27740" s="41"/>
    </row>
    <row r="27741" spans="5:10" s="34" customFormat="1" x14ac:dyDescent="0.35">
      <c r="E27741" s="35"/>
      <c r="J27741" s="41"/>
    </row>
    <row r="27742" spans="5:10" s="34" customFormat="1" x14ac:dyDescent="0.35">
      <c r="E27742" s="35"/>
      <c r="J27742" s="41"/>
    </row>
    <row r="27743" spans="5:10" s="34" customFormat="1" x14ac:dyDescent="0.35">
      <c r="E27743" s="35"/>
      <c r="J27743" s="41"/>
    </row>
    <row r="27744" spans="5:10" s="34" customFormat="1" x14ac:dyDescent="0.35">
      <c r="E27744" s="35"/>
      <c r="J27744" s="41"/>
    </row>
    <row r="27745" spans="5:10" s="34" customFormat="1" x14ac:dyDescent="0.35">
      <c r="E27745" s="35"/>
      <c r="J27745" s="41"/>
    </row>
    <row r="27746" spans="5:10" s="34" customFormat="1" x14ac:dyDescent="0.35">
      <c r="E27746" s="35"/>
      <c r="J27746" s="41"/>
    </row>
    <row r="27747" spans="5:10" s="34" customFormat="1" x14ac:dyDescent="0.35">
      <c r="E27747" s="35"/>
      <c r="J27747" s="41"/>
    </row>
    <row r="27748" spans="5:10" s="34" customFormat="1" x14ac:dyDescent="0.35">
      <c r="E27748" s="35"/>
      <c r="J27748" s="41"/>
    </row>
    <row r="27749" spans="5:10" s="34" customFormat="1" x14ac:dyDescent="0.35">
      <c r="E27749" s="35"/>
      <c r="J27749" s="41"/>
    </row>
    <row r="27750" spans="5:10" s="34" customFormat="1" x14ac:dyDescent="0.35">
      <c r="E27750" s="35"/>
      <c r="J27750" s="41"/>
    </row>
    <row r="27751" spans="5:10" s="34" customFormat="1" x14ac:dyDescent="0.35">
      <c r="E27751" s="35"/>
      <c r="J27751" s="41"/>
    </row>
    <row r="27752" spans="5:10" s="34" customFormat="1" x14ac:dyDescent="0.35">
      <c r="E27752" s="35"/>
      <c r="J27752" s="41"/>
    </row>
    <row r="27753" spans="5:10" s="34" customFormat="1" x14ac:dyDescent="0.35">
      <c r="E27753" s="35"/>
      <c r="J27753" s="41"/>
    </row>
    <row r="27754" spans="5:10" s="34" customFormat="1" x14ac:dyDescent="0.35">
      <c r="E27754" s="35"/>
      <c r="J27754" s="41"/>
    </row>
    <row r="27755" spans="5:10" s="34" customFormat="1" x14ac:dyDescent="0.35">
      <c r="E27755" s="35"/>
      <c r="J27755" s="41"/>
    </row>
    <row r="27756" spans="5:10" s="34" customFormat="1" x14ac:dyDescent="0.35">
      <c r="E27756" s="35"/>
      <c r="J27756" s="41"/>
    </row>
    <row r="27757" spans="5:10" s="34" customFormat="1" x14ac:dyDescent="0.35">
      <c r="E27757" s="35"/>
      <c r="J27757" s="41"/>
    </row>
    <row r="27758" spans="5:10" s="34" customFormat="1" x14ac:dyDescent="0.35">
      <c r="E27758" s="35"/>
      <c r="J27758" s="41"/>
    </row>
    <row r="27759" spans="5:10" s="34" customFormat="1" x14ac:dyDescent="0.35">
      <c r="E27759" s="35"/>
      <c r="J27759" s="41"/>
    </row>
    <row r="27760" spans="5:10" s="34" customFormat="1" x14ac:dyDescent="0.35">
      <c r="E27760" s="35"/>
      <c r="J27760" s="41"/>
    </row>
    <row r="27761" spans="5:10" s="34" customFormat="1" x14ac:dyDescent="0.35">
      <c r="E27761" s="35"/>
      <c r="J27761" s="41"/>
    </row>
    <row r="27762" spans="5:10" s="34" customFormat="1" x14ac:dyDescent="0.35">
      <c r="E27762" s="35"/>
      <c r="J27762" s="41"/>
    </row>
    <row r="27763" spans="5:10" s="34" customFormat="1" x14ac:dyDescent="0.35">
      <c r="E27763" s="35"/>
      <c r="J27763" s="41"/>
    </row>
    <row r="27764" spans="5:10" s="34" customFormat="1" x14ac:dyDescent="0.35">
      <c r="E27764" s="35"/>
      <c r="J27764" s="41"/>
    </row>
    <row r="27765" spans="5:10" s="34" customFormat="1" x14ac:dyDescent="0.35">
      <c r="E27765" s="35"/>
      <c r="J27765" s="41"/>
    </row>
    <row r="27766" spans="5:10" s="34" customFormat="1" x14ac:dyDescent="0.35">
      <c r="E27766" s="35"/>
      <c r="J27766" s="41"/>
    </row>
    <row r="27767" spans="5:10" s="34" customFormat="1" x14ac:dyDescent="0.35">
      <c r="E27767" s="35"/>
      <c r="J27767" s="41"/>
    </row>
    <row r="27768" spans="5:10" s="34" customFormat="1" x14ac:dyDescent="0.35">
      <c r="E27768" s="35"/>
      <c r="J27768" s="41"/>
    </row>
    <row r="27769" spans="5:10" s="34" customFormat="1" x14ac:dyDescent="0.35">
      <c r="E27769" s="35"/>
      <c r="J27769" s="41"/>
    </row>
    <row r="27770" spans="5:10" s="34" customFormat="1" x14ac:dyDescent="0.35">
      <c r="E27770" s="35"/>
      <c r="J27770" s="41"/>
    </row>
    <row r="27771" spans="5:10" s="34" customFormat="1" x14ac:dyDescent="0.35">
      <c r="E27771" s="35"/>
      <c r="J27771" s="41"/>
    </row>
    <row r="27772" spans="5:10" s="34" customFormat="1" x14ac:dyDescent="0.35">
      <c r="E27772" s="35"/>
      <c r="J27772" s="41"/>
    </row>
    <row r="27773" spans="5:10" s="34" customFormat="1" x14ac:dyDescent="0.35">
      <c r="E27773" s="35"/>
      <c r="J27773" s="41"/>
    </row>
    <row r="27774" spans="5:10" s="34" customFormat="1" x14ac:dyDescent="0.35">
      <c r="E27774" s="35"/>
      <c r="J27774" s="41"/>
    </row>
    <row r="27775" spans="5:10" s="34" customFormat="1" x14ac:dyDescent="0.35">
      <c r="E27775" s="35"/>
      <c r="J27775" s="41"/>
    </row>
    <row r="27776" spans="5:10" s="34" customFormat="1" x14ac:dyDescent="0.35">
      <c r="E27776" s="35"/>
      <c r="J27776" s="41"/>
    </row>
    <row r="27777" spans="5:10" s="34" customFormat="1" x14ac:dyDescent="0.35">
      <c r="E27777" s="35"/>
      <c r="J27777" s="41"/>
    </row>
    <row r="27778" spans="5:10" s="34" customFormat="1" x14ac:dyDescent="0.35">
      <c r="E27778" s="35"/>
      <c r="J27778" s="41"/>
    </row>
    <row r="27779" spans="5:10" s="34" customFormat="1" x14ac:dyDescent="0.35">
      <c r="E27779" s="35"/>
      <c r="J27779" s="41"/>
    </row>
    <row r="27780" spans="5:10" s="34" customFormat="1" x14ac:dyDescent="0.35">
      <c r="E27780" s="35"/>
      <c r="J27780" s="41"/>
    </row>
    <row r="27781" spans="5:10" s="34" customFormat="1" x14ac:dyDescent="0.35">
      <c r="E27781" s="35"/>
      <c r="J27781" s="41"/>
    </row>
    <row r="27782" spans="5:10" s="34" customFormat="1" x14ac:dyDescent="0.35">
      <c r="E27782" s="35"/>
      <c r="J27782" s="41"/>
    </row>
    <row r="27783" spans="5:10" s="34" customFormat="1" x14ac:dyDescent="0.35">
      <c r="E27783" s="35"/>
      <c r="J27783" s="41"/>
    </row>
    <row r="27784" spans="5:10" s="34" customFormat="1" x14ac:dyDescent="0.35">
      <c r="E27784" s="35"/>
      <c r="J27784" s="41"/>
    </row>
    <row r="27785" spans="5:10" s="34" customFormat="1" x14ac:dyDescent="0.35">
      <c r="E27785" s="35"/>
      <c r="J27785" s="41"/>
    </row>
    <row r="27786" spans="5:10" s="34" customFormat="1" x14ac:dyDescent="0.35">
      <c r="E27786" s="35"/>
      <c r="J27786" s="41"/>
    </row>
    <row r="27787" spans="5:10" s="34" customFormat="1" x14ac:dyDescent="0.35">
      <c r="E27787" s="35"/>
      <c r="J27787" s="41"/>
    </row>
    <row r="27788" spans="5:10" s="34" customFormat="1" x14ac:dyDescent="0.35">
      <c r="E27788" s="35"/>
      <c r="J27788" s="41"/>
    </row>
    <row r="27789" spans="5:10" s="34" customFormat="1" x14ac:dyDescent="0.35">
      <c r="E27789" s="35"/>
      <c r="J27789" s="41"/>
    </row>
    <row r="27790" spans="5:10" s="34" customFormat="1" x14ac:dyDescent="0.35">
      <c r="E27790" s="35"/>
      <c r="J27790" s="41"/>
    </row>
    <row r="27791" spans="5:10" s="34" customFormat="1" x14ac:dyDescent="0.35">
      <c r="E27791" s="35"/>
      <c r="J27791" s="41"/>
    </row>
    <row r="27792" spans="5:10" s="34" customFormat="1" x14ac:dyDescent="0.35">
      <c r="E27792" s="35"/>
      <c r="J27792" s="41"/>
    </row>
    <row r="27793" spans="5:10" s="34" customFormat="1" x14ac:dyDescent="0.35">
      <c r="E27793" s="35"/>
      <c r="J27793" s="41"/>
    </row>
    <row r="27794" spans="5:10" s="34" customFormat="1" x14ac:dyDescent="0.35">
      <c r="E27794" s="35"/>
      <c r="J27794" s="41"/>
    </row>
    <row r="27795" spans="5:10" s="34" customFormat="1" x14ac:dyDescent="0.35">
      <c r="E27795" s="35"/>
      <c r="J27795" s="41"/>
    </row>
    <row r="27796" spans="5:10" s="34" customFormat="1" x14ac:dyDescent="0.35">
      <c r="E27796" s="35"/>
      <c r="J27796" s="41"/>
    </row>
    <row r="27797" spans="5:10" s="34" customFormat="1" x14ac:dyDescent="0.35">
      <c r="E27797" s="35"/>
      <c r="J27797" s="41"/>
    </row>
    <row r="27798" spans="5:10" s="34" customFormat="1" x14ac:dyDescent="0.35">
      <c r="E27798" s="35"/>
      <c r="J27798" s="41"/>
    </row>
    <row r="27799" spans="5:10" s="34" customFormat="1" x14ac:dyDescent="0.35">
      <c r="E27799" s="35"/>
      <c r="J27799" s="41"/>
    </row>
    <row r="27800" spans="5:10" s="34" customFormat="1" x14ac:dyDescent="0.35">
      <c r="E27800" s="35"/>
      <c r="J27800" s="41"/>
    </row>
    <row r="27801" spans="5:10" s="34" customFormat="1" x14ac:dyDescent="0.35">
      <c r="E27801" s="35"/>
      <c r="J27801" s="41"/>
    </row>
    <row r="27802" spans="5:10" s="34" customFormat="1" x14ac:dyDescent="0.35">
      <c r="E27802" s="35"/>
      <c r="J27802" s="41"/>
    </row>
    <row r="27803" spans="5:10" s="34" customFormat="1" x14ac:dyDescent="0.35">
      <c r="E27803" s="35"/>
      <c r="J27803" s="41"/>
    </row>
    <row r="27804" spans="5:10" s="34" customFormat="1" x14ac:dyDescent="0.35">
      <c r="E27804" s="35"/>
      <c r="J27804" s="41"/>
    </row>
    <row r="27805" spans="5:10" s="34" customFormat="1" x14ac:dyDescent="0.35">
      <c r="E27805" s="35"/>
      <c r="J27805" s="41"/>
    </row>
    <row r="27806" spans="5:10" s="34" customFormat="1" x14ac:dyDescent="0.35">
      <c r="E27806" s="35"/>
      <c r="J27806" s="41"/>
    </row>
    <row r="27807" spans="5:10" s="34" customFormat="1" x14ac:dyDescent="0.35">
      <c r="E27807" s="35"/>
      <c r="J27807" s="41"/>
    </row>
    <row r="27808" spans="5:10" s="34" customFormat="1" x14ac:dyDescent="0.35">
      <c r="E27808" s="35"/>
      <c r="J27808" s="41"/>
    </row>
    <row r="27809" spans="5:10" s="34" customFormat="1" x14ac:dyDescent="0.35">
      <c r="E27809" s="35"/>
      <c r="J27809" s="41"/>
    </row>
    <row r="27810" spans="5:10" s="34" customFormat="1" x14ac:dyDescent="0.35">
      <c r="E27810" s="35"/>
      <c r="J27810" s="41"/>
    </row>
    <row r="27811" spans="5:10" s="34" customFormat="1" x14ac:dyDescent="0.35">
      <c r="E27811" s="35"/>
      <c r="J27811" s="41"/>
    </row>
    <row r="27812" spans="5:10" s="34" customFormat="1" x14ac:dyDescent="0.35">
      <c r="E27812" s="35"/>
      <c r="J27812" s="41"/>
    </row>
    <row r="27813" spans="5:10" s="34" customFormat="1" x14ac:dyDescent="0.35">
      <c r="E27813" s="35"/>
      <c r="J27813" s="41"/>
    </row>
    <row r="27814" spans="5:10" s="34" customFormat="1" x14ac:dyDescent="0.35">
      <c r="E27814" s="35"/>
      <c r="J27814" s="41"/>
    </row>
    <row r="27815" spans="5:10" s="34" customFormat="1" x14ac:dyDescent="0.35">
      <c r="E27815" s="35"/>
      <c r="J27815" s="41"/>
    </row>
    <row r="27816" spans="5:10" s="34" customFormat="1" x14ac:dyDescent="0.35">
      <c r="E27816" s="35"/>
      <c r="J27816" s="41"/>
    </row>
    <row r="27817" spans="5:10" s="34" customFormat="1" x14ac:dyDescent="0.35">
      <c r="E27817" s="35"/>
      <c r="J27817" s="41"/>
    </row>
    <row r="27818" spans="5:10" s="34" customFormat="1" x14ac:dyDescent="0.35">
      <c r="E27818" s="35"/>
      <c r="J27818" s="41"/>
    </row>
    <row r="27819" spans="5:10" s="34" customFormat="1" x14ac:dyDescent="0.35">
      <c r="E27819" s="35"/>
      <c r="J27819" s="41"/>
    </row>
    <row r="27820" spans="5:10" s="34" customFormat="1" x14ac:dyDescent="0.35">
      <c r="E27820" s="35"/>
      <c r="J27820" s="41"/>
    </row>
    <row r="27821" spans="5:10" s="34" customFormat="1" x14ac:dyDescent="0.35">
      <c r="E27821" s="35"/>
      <c r="J27821" s="41"/>
    </row>
    <row r="27822" spans="5:10" s="34" customFormat="1" x14ac:dyDescent="0.35">
      <c r="E27822" s="35"/>
      <c r="J27822" s="41"/>
    </row>
    <row r="27823" spans="5:10" s="34" customFormat="1" x14ac:dyDescent="0.35">
      <c r="E27823" s="35"/>
      <c r="J27823" s="41"/>
    </row>
    <row r="27824" spans="5:10" s="34" customFormat="1" x14ac:dyDescent="0.35">
      <c r="E27824" s="35"/>
      <c r="J27824" s="41"/>
    </row>
    <row r="27825" spans="5:10" s="34" customFormat="1" x14ac:dyDescent="0.35">
      <c r="E27825" s="35"/>
      <c r="J27825" s="41"/>
    </row>
    <row r="27826" spans="5:10" s="34" customFormat="1" x14ac:dyDescent="0.35">
      <c r="E27826" s="35"/>
      <c r="J27826" s="41"/>
    </row>
    <row r="27827" spans="5:10" s="34" customFormat="1" x14ac:dyDescent="0.35">
      <c r="E27827" s="35"/>
      <c r="J27827" s="41"/>
    </row>
    <row r="27828" spans="5:10" s="34" customFormat="1" x14ac:dyDescent="0.35">
      <c r="E27828" s="35"/>
      <c r="J27828" s="41"/>
    </row>
    <row r="27829" spans="5:10" s="34" customFormat="1" x14ac:dyDescent="0.35">
      <c r="E27829" s="35"/>
      <c r="J27829" s="41"/>
    </row>
    <row r="27830" spans="5:10" s="34" customFormat="1" x14ac:dyDescent="0.35">
      <c r="E27830" s="35"/>
      <c r="J27830" s="41"/>
    </row>
    <row r="27831" spans="5:10" s="34" customFormat="1" x14ac:dyDescent="0.35">
      <c r="E27831" s="35"/>
      <c r="J27831" s="41"/>
    </row>
    <row r="27832" spans="5:10" s="34" customFormat="1" x14ac:dyDescent="0.35">
      <c r="E27832" s="35"/>
      <c r="J27832" s="41"/>
    </row>
    <row r="27833" spans="5:10" s="34" customFormat="1" x14ac:dyDescent="0.35">
      <c r="E27833" s="35"/>
      <c r="J27833" s="41"/>
    </row>
    <row r="27834" spans="5:10" s="34" customFormat="1" x14ac:dyDescent="0.35">
      <c r="E27834" s="35"/>
      <c r="J27834" s="41"/>
    </row>
    <row r="27835" spans="5:10" s="34" customFormat="1" x14ac:dyDescent="0.35">
      <c r="E27835" s="35"/>
      <c r="J27835" s="41"/>
    </row>
    <row r="27836" spans="5:10" s="34" customFormat="1" x14ac:dyDescent="0.35">
      <c r="E27836" s="35"/>
      <c r="J27836" s="41"/>
    </row>
    <row r="27837" spans="5:10" s="34" customFormat="1" x14ac:dyDescent="0.35">
      <c r="E27837" s="35"/>
      <c r="J27837" s="41"/>
    </row>
    <row r="27838" spans="5:10" s="34" customFormat="1" x14ac:dyDescent="0.35">
      <c r="E27838" s="35"/>
      <c r="J27838" s="41"/>
    </row>
    <row r="27839" spans="5:10" s="34" customFormat="1" x14ac:dyDescent="0.35">
      <c r="E27839" s="35"/>
      <c r="J27839" s="41"/>
    </row>
    <row r="27840" spans="5:10" s="34" customFormat="1" x14ac:dyDescent="0.35">
      <c r="E27840" s="35"/>
      <c r="J27840" s="41"/>
    </row>
    <row r="27841" spans="5:10" s="34" customFormat="1" x14ac:dyDescent="0.35">
      <c r="E27841" s="35"/>
      <c r="J27841" s="41"/>
    </row>
    <row r="27842" spans="5:10" s="34" customFormat="1" x14ac:dyDescent="0.35">
      <c r="E27842" s="35"/>
      <c r="J27842" s="41"/>
    </row>
    <row r="27843" spans="5:10" s="34" customFormat="1" x14ac:dyDescent="0.35">
      <c r="E27843" s="35"/>
      <c r="J27843" s="41"/>
    </row>
    <row r="27844" spans="5:10" s="34" customFormat="1" x14ac:dyDescent="0.35">
      <c r="E27844" s="35"/>
      <c r="J27844" s="41"/>
    </row>
    <row r="27845" spans="5:10" s="34" customFormat="1" x14ac:dyDescent="0.35">
      <c r="E27845" s="35"/>
      <c r="J27845" s="41"/>
    </row>
    <row r="27846" spans="5:10" s="34" customFormat="1" x14ac:dyDescent="0.35">
      <c r="E27846" s="35"/>
      <c r="J27846" s="41"/>
    </row>
    <row r="27847" spans="5:10" s="34" customFormat="1" x14ac:dyDescent="0.35">
      <c r="E27847" s="35"/>
      <c r="J27847" s="41"/>
    </row>
    <row r="27848" spans="5:10" s="34" customFormat="1" x14ac:dyDescent="0.35">
      <c r="E27848" s="35"/>
      <c r="J27848" s="41"/>
    </row>
    <row r="27849" spans="5:10" s="34" customFormat="1" x14ac:dyDescent="0.35">
      <c r="E27849" s="35"/>
      <c r="J27849" s="41"/>
    </row>
    <row r="27850" spans="5:10" s="34" customFormat="1" x14ac:dyDescent="0.35">
      <c r="E27850" s="35"/>
      <c r="J27850" s="41"/>
    </row>
    <row r="27851" spans="5:10" s="34" customFormat="1" x14ac:dyDescent="0.35">
      <c r="E27851" s="35"/>
      <c r="J27851" s="41"/>
    </row>
    <row r="27852" spans="5:10" s="34" customFormat="1" x14ac:dyDescent="0.35">
      <c r="E27852" s="35"/>
      <c r="J27852" s="41"/>
    </row>
    <row r="27853" spans="5:10" s="34" customFormat="1" x14ac:dyDescent="0.35">
      <c r="E27853" s="35"/>
      <c r="J27853" s="41"/>
    </row>
    <row r="27854" spans="5:10" s="34" customFormat="1" x14ac:dyDescent="0.35">
      <c r="E27854" s="35"/>
      <c r="J27854" s="41"/>
    </row>
    <row r="27855" spans="5:10" s="34" customFormat="1" x14ac:dyDescent="0.35">
      <c r="E27855" s="35"/>
      <c r="J27855" s="41"/>
    </row>
    <row r="27856" spans="5:10" s="34" customFormat="1" x14ac:dyDescent="0.35">
      <c r="E27856" s="35"/>
      <c r="J27856" s="41"/>
    </row>
    <row r="27857" spans="5:10" s="34" customFormat="1" x14ac:dyDescent="0.35">
      <c r="E27857" s="35"/>
      <c r="J27857" s="41"/>
    </row>
    <row r="27858" spans="5:10" s="34" customFormat="1" x14ac:dyDescent="0.35">
      <c r="E27858" s="35"/>
      <c r="J27858" s="41"/>
    </row>
    <row r="27859" spans="5:10" s="34" customFormat="1" x14ac:dyDescent="0.35">
      <c r="E27859" s="35"/>
      <c r="J27859" s="41"/>
    </row>
    <row r="27860" spans="5:10" s="34" customFormat="1" x14ac:dyDescent="0.35">
      <c r="E27860" s="35"/>
      <c r="J27860" s="41"/>
    </row>
    <row r="27861" spans="5:10" s="34" customFormat="1" x14ac:dyDescent="0.35">
      <c r="E27861" s="35"/>
      <c r="J27861" s="41"/>
    </row>
    <row r="27862" spans="5:10" s="34" customFormat="1" x14ac:dyDescent="0.35">
      <c r="E27862" s="35"/>
      <c r="J27862" s="41"/>
    </row>
    <row r="27863" spans="5:10" s="34" customFormat="1" x14ac:dyDescent="0.35">
      <c r="E27863" s="35"/>
      <c r="J27863" s="41"/>
    </row>
    <row r="27864" spans="5:10" s="34" customFormat="1" x14ac:dyDescent="0.35">
      <c r="E27864" s="35"/>
      <c r="J27864" s="41"/>
    </row>
    <row r="27865" spans="5:10" s="34" customFormat="1" x14ac:dyDescent="0.35">
      <c r="E27865" s="35"/>
      <c r="J27865" s="41"/>
    </row>
    <row r="27866" spans="5:10" s="34" customFormat="1" x14ac:dyDescent="0.35">
      <c r="E27866" s="35"/>
      <c r="J27866" s="41"/>
    </row>
    <row r="27867" spans="5:10" s="34" customFormat="1" x14ac:dyDescent="0.35">
      <c r="E27867" s="35"/>
      <c r="J27867" s="41"/>
    </row>
    <row r="27868" spans="5:10" s="34" customFormat="1" x14ac:dyDescent="0.35">
      <c r="E27868" s="35"/>
      <c r="J27868" s="41"/>
    </row>
    <row r="27869" spans="5:10" s="34" customFormat="1" x14ac:dyDescent="0.35">
      <c r="E27869" s="35"/>
      <c r="J27869" s="41"/>
    </row>
    <row r="27870" spans="5:10" s="34" customFormat="1" x14ac:dyDescent="0.35">
      <c r="E27870" s="35"/>
      <c r="J27870" s="41"/>
    </row>
    <row r="27871" spans="5:10" s="34" customFormat="1" x14ac:dyDescent="0.35">
      <c r="E27871" s="35"/>
      <c r="J27871" s="41"/>
    </row>
    <row r="27872" spans="5:10" s="34" customFormat="1" x14ac:dyDescent="0.35">
      <c r="E27872" s="35"/>
      <c r="J27872" s="41"/>
    </row>
    <row r="27873" spans="5:10" s="34" customFormat="1" x14ac:dyDescent="0.35">
      <c r="E27873" s="35"/>
      <c r="J27873" s="41"/>
    </row>
    <row r="27874" spans="5:10" s="34" customFormat="1" x14ac:dyDescent="0.35">
      <c r="E27874" s="35"/>
      <c r="J27874" s="41"/>
    </row>
    <row r="27875" spans="5:10" s="34" customFormat="1" x14ac:dyDescent="0.35">
      <c r="E27875" s="35"/>
      <c r="J27875" s="41"/>
    </row>
    <row r="27876" spans="5:10" s="34" customFormat="1" x14ac:dyDescent="0.35">
      <c r="E27876" s="35"/>
      <c r="J27876" s="41"/>
    </row>
    <row r="27877" spans="5:10" s="34" customFormat="1" x14ac:dyDescent="0.35">
      <c r="E27877" s="35"/>
      <c r="J27877" s="41"/>
    </row>
    <row r="27878" spans="5:10" s="34" customFormat="1" x14ac:dyDescent="0.35">
      <c r="E27878" s="35"/>
      <c r="J27878" s="41"/>
    </row>
    <row r="27879" spans="5:10" s="34" customFormat="1" x14ac:dyDescent="0.35">
      <c r="E27879" s="35"/>
      <c r="J27879" s="41"/>
    </row>
    <row r="27880" spans="5:10" s="34" customFormat="1" x14ac:dyDescent="0.35">
      <c r="E27880" s="35"/>
      <c r="J27880" s="41"/>
    </row>
    <row r="27881" spans="5:10" s="34" customFormat="1" x14ac:dyDescent="0.35">
      <c r="E27881" s="35"/>
      <c r="J27881" s="41"/>
    </row>
    <row r="27882" spans="5:10" s="34" customFormat="1" x14ac:dyDescent="0.35">
      <c r="E27882" s="35"/>
      <c r="J27882" s="41"/>
    </row>
    <row r="27883" spans="5:10" s="34" customFormat="1" x14ac:dyDescent="0.35">
      <c r="E27883" s="35"/>
      <c r="J27883" s="41"/>
    </row>
    <row r="27884" spans="5:10" s="34" customFormat="1" x14ac:dyDescent="0.35">
      <c r="E27884" s="35"/>
      <c r="J27884" s="41"/>
    </row>
    <row r="27885" spans="5:10" s="34" customFormat="1" x14ac:dyDescent="0.35">
      <c r="E27885" s="35"/>
      <c r="J27885" s="41"/>
    </row>
    <row r="27886" spans="5:10" s="34" customFormat="1" x14ac:dyDescent="0.35">
      <c r="E27886" s="35"/>
      <c r="J27886" s="41"/>
    </row>
    <row r="27887" spans="5:10" s="34" customFormat="1" x14ac:dyDescent="0.35">
      <c r="E27887" s="35"/>
      <c r="J27887" s="41"/>
    </row>
    <row r="27888" spans="5:10" s="34" customFormat="1" x14ac:dyDescent="0.35">
      <c r="E27888" s="35"/>
      <c r="J27888" s="41"/>
    </row>
    <row r="27889" spans="5:10" s="34" customFormat="1" x14ac:dyDescent="0.35">
      <c r="E27889" s="35"/>
      <c r="J27889" s="41"/>
    </row>
    <row r="27890" spans="5:10" s="34" customFormat="1" x14ac:dyDescent="0.35">
      <c r="E27890" s="35"/>
      <c r="J27890" s="41"/>
    </row>
    <row r="27891" spans="5:10" s="34" customFormat="1" x14ac:dyDescent="0.35">
      <c r="E27891" s="35"/>
      <c r="J27891" s="41"/>
    </row>
    <row r="27892" spans="5:10" s="34" customFormat="1" x14ac:dyDescent="0.35">
      <c r="E27892" s="35"/>
      <c r="J27892" s="41"/>
    </row>
    <row r="27893" spans="5:10" s="34" customFormat="1" x14ac:dyDescent="0.35">
      <c r="E27893" s="35"/>
      <c r="J27893" s="41"/>
    </row>
    <row r="27894" spans="5:10" s="34" customFormat="1" x14ac:dyDescent="0.35">
      <c r="E27894" s="35"/>
      <c r="J27894" s="41"/>
    </row>
    <row r="27895" spans="5:10" s="34" customFormat="1" x14ac:dyDescent="0.35">
      <c r="E27895" s="35"/>
      <c r="J27895" s="41"/>
    </row>
    <row r="27896" spans="5:10" s="34" customFormat="1" x14ac:dyDescent="0.35">
      <c r="E27896" s="35"/>
      <c r="J27896" s="41"/>
    </row>
    <row r="27897" spans="5:10" s="34" customFormat="1" x14ac:dyDescent="0.35">
      <c r="E27897" s="35"/>
      <c r="J27897" s="41"/>
    </row>
    <row r="27898" spans="5:10" s="34" customFormat="1" x14ac:dyDescent="0.35">
      <c r="E27898" s="35"/>
      <c r="J27898" s="41"/>
    </row>
    <row r="27899" spans="5:10" s="34" customFormat="1" x14ac:dyDescent="0.35">
      <c r="E27899" s="35"/>
      <c r="J27899" s="41"/>
    </row>
    <row r="27900" spans="5:10" s="34" customFormat="1" x14ac:dyDescent="0.35">
      <c r="E27900" s="35"/>
      <c r="J27900" s="41"/>
    </row>
    <row r="27901" spans="5:10" s="34" customFormat="1" x14ac:dyDescent="0.35">
      <c r="E27901" s="35"/>
      <c r="J27901" s="41"/>
    </row>
    <row r="27902" spans="5:10" s="34" customFormat="1" x14ac:dyDescent="0.35">
      <c r="E27902" s="35"/>
      <c r="J27902" s="41"/>
    </row>
    <row r="27903" spans="5:10" s="34" customFormat="1" x14ac:dyDescent="0.35">
      <c r="E27903" s="35"/>
      <c r="J27903" s="41"/>
    </row>
    <row r="27904" spans="5:10" s="34" customFormat="1" x14ac:dyDescent="0.35">
      <c r="E27904" s="35"/>
      <c r="J27904" s="41"/>
    </row>
    <row r="27905" spans="5:10" s="34" customFormat="1" x14ac:dyDescent="0.35">
      <c r="E27905" s="35"/>
      <c r="J27905" s="41"/>
    </row>
    <row r="27906" spans="5:10" s="34" customFormat="1" x14ac:dyDescent="0.35">
      <c r="E27906" s="35"/>
      <c r="J27906" s="41"/>
    </row>
    <row r="27907" spans="5:10" s="34" customFormat="1" x14ac:dyDescent="0.35">
      <c r="E27907" s="35"/>
      <c r="J27907" s="41"/>
    </row>
    <row r="27908" spans="5:10" s="34" customFormat="1" x14ac:dyDescent="0.35">
      <c r="E27908" s="35"/>
      <c r="J27908" s="41"/>
    </row>
    <row r="27909" spans="5:10" s="34" customFormat="1" x14ac:dyDescent="0.35">
      <c r="E27909" s="35"/>
      <c r="J27909" s="41"/>
    </row>
    <row r="27910" spans="5:10" s="34" customFormat="1" x14ac:dyDescent="0.35">
      <c r="E27910" s="35"/>
      <c r="J27910" s="41"/>
    </row>
    <row r="27911" spans="5:10" s="34" customFormat="1" x14ac:dyDescent="0.35">
      <c r="E27911" s="35"/>
      <c r="J27911" s="41"/>
    </row>
    <row r="27912" spans="5:10" s="34" customFormat="1" x14ac:dyDescent="0.35">
      <c r="E27912" s="35"/>
      <c r="J27912" s="41"/>
    </row>
    <row r="27913" spans="5:10" s="34" customFormat="1" x14ac:dyDescent="0.35">
      <c r="E27913" s="35"/>
      <c r="J27913" s="41"/>
    </row>
    <row r="27914" spans="5:10" s="34" customFormat="1" x14ac:dyDescent="0.35">
      <c r="E27914" s="35"/>
      <c r="J27914" s="41"/>
    </row>
    <row r="27915" spans="5:10" s="34" customFormat="1" x14ac:dyDescent="0.35">
      <c r="E27915" s="35"/>
      <c r="J27915" s="41"/>
    </row>
    <row r="27916" spans="5:10" s="34" customFormat="1" x14ac:dyDescent="0.35">
      <c r="E27916" s="35"/>
      <c r="J27916" s="41"/>
    </row>
    <row r="27917" spans="5:10" s="34" customFormat="1" x14ac:dyDescent="0.35">
      <c r="E27917" s="35"/>
      <c r="J27917" s="41"/>
    </row>
    <row r="27918" spans="5:10" s="34" customFormat="1" x14ac:dyDescent="0.35">
      <c r="E27918" s="35"/>
      <c r="J27918" s="41"/>
    </row>
    <row r="27919" spans="5:10" s="34" customFormat="1" x14ac:dyDescent="0.35">
      <c r="E27919" s="35"/>
      <c r="J27919" s="41"/>
    </row>
    <row r="27920" spans="5:10" s="34" customFormat="1" x14ac:dyDescent="0.35">
      <c r="E27920" s="35"/>
      <c r="J27920" s="41"/>
    </row>
    <row r="27921" spans="5:10" s="34" customFormat="1" x14ac:dyDescent="0.35">
      <c r="E27921" s="35"/>
      <c r="J27921" s="41"/>
    </row>
    <row r="27922" spans="5:10" s="34" customFormat="1" x14ac:dyDescent="0.35">
      <c r="E27922" s="35"/>
      <c r="J27922" s="41"/>
    </row>
    <row r="27923" spans="5:10" s="34" customFormat="1" x14ac:dyDescent="0.35">
      <c r="E27923" s="35"/>
      <c r="J27923" s="41"/>
    </row>
    <row r="27924" spans="5:10" s="34" customFormat="1" x14ac:dyDescent="0.35">
      <c r="E27924" s="35"/>
      <c r="J27924" s="41"/>
    </row>
    <row r="27925" spans="5:10" s="34" customFormat="1" x14ac:dyDescent="0.35">
      <c r="E27925" s="35"/>
      <c r="J27925" s="41"/>
    </row>
    <row r="27926" spans="5:10" s="34" customFormat="1" x14ac:dyDescent="0.35">
      <c r="E27926" s="35"/>
      <c r="J27926" s="41"/>
    </row>
    <row r="27927" spans="5:10" s="34" customFormat="1" x14ac:dyDescent="0.35">
      <c r="E27927" s="35"/>
      <c r="J27927" s="41"/>
    </row>
    <row r="27928" spans="5:10" s="34" customFormat="1" x14ac:dyDescent="0.35">
      <c r="E27928" s="35"/>
      <c r="J27928" s="41"/>
    </row>
    <row r="27929" spans="5:10" s="34" customFormat="1" x14ac:dyDescent="0.35">
      <c r="E27929" s="35"/>
      <c r="J27929" s="41"/>
    </row>
    <row r="27930" spans="5:10" s="34" customFormat="1" x14ac:dyDescent="0.35">
      <c r="E27930" s="35"/>
      <c r="J27930" s="41"/>
    </row>
    <row r="27931" spans="5:10" s="34" customFormat="1" x14ac:dyDescent="0.35">
      <c r="E27931" s="35"/>
      <c r="J27931" s="41"/>
    </row>
    <row r="27932" spans="5:10" s="34" customFormat="1" x14ac:dyDescent="0.35">
      <c r="E27932" s="35"/>
      <c r="J27932" s="41"/>
    </row>
    <row r="27933" spans="5:10" s="34" customFormat="1" x14ac:dyDescent="0.35">
      <c r="E27933" s="35"/>
      <c r="J27933" s="41"/>
    </row>
    <row r="27934" spans="5:10" s="34" customFormat="1" x14ac:dyDescent="0.35">
      <c r="E27934" s="35"/>
      <c r="J27934" s="41"/>
    </row>
    <row r="27935" spans="5:10" s="34" customFormat="1" x14ac:dyDescent="0.35">
      <c r="E27935" s="35"/>
      <c r="J27935" s="41"/>
    </row>
    <row r="27936" spans="5:10" s="34" customFormat="1" x14ac:dyDescent="0.35">
      <c r="E27936" s="35"/>
      <c r="J27936" s="41"/>
    </row>
    <row r="27937" spans="5:10" s="34" customFormat="1" x14ac:dyDescent="0.35">
      <c r="E27937" s="35"/>
      <c r="J27937" s="41"/>
    </row>
    <row r="27938" spans="5:10" s="34" customFormat="1" x14ac:dyDescent="0.35">
      <c r="E27938" s="35"/>
      <c r="J27938" s="41"/>
    </row>
    <row r="27939" spans="5:10" s="34" customFormat="1" x14ac:dyDescent="0.35">
      <c r="E27939" s="35"/>
      <c r="J27939" s="41"/>
    </row>
    <row r="27940" spans="5:10" s="34" customFormat="1" x14ac:dyDescent="0.35">
      <c r="E27940" s="35"/>
      <c r="J27940" s="41"/>
    </row>
    <row r="27941" spans="5:10" s="34" customFormat="1" x14ac:dyDescent="0.35">
      <c r="E27941" s="35"/>
      <c r="J27941" s="41"/>
    </row>
    <row r="27942" spans="5:10" s="34" customFormat="1" x14ac:dyDescent="0.35">
      <c r="E27942" s="35"/>
      <c r="J27942" s="41"/>
    </row>
    <row r="27943" spans="5:10" s="34" customFormat="1" x14ac:dyDescent="0.35">
      <c r="E27943" s="35"/>
      <c r="J27943" s="41"/>
    </row>
    <row r="27944" spans="5:10" s="34" customFormat="1" x14ac:dyDescent="0.35">
      <c r="E27944" s="35"/>
      <c r="J27944" s="41"/>
    </row>
    <row r="27945" spans="5:10" s="34" customFormat="1" x14ac:dyDescent="0.35">
      <c r="E27945" s="35"/>
      <c r="J27945" s="41"/>
    </row>
    <row r="27946" spans="5:10" s="34" customFormat="1" x14ac:dyDescent="0.35">
      <c r="E27946" s="35"/>
      <c r="J27946" s="41"/>
    </row>
    <row r="27947" spans="5:10" s="34" customFormat="1" x14ac:dyDescent="0.35">
      <c r="E27947" s="35"/>
      <c r="J27947" s="41"/>
    </row>
    <row r="27948" spans="5:10" s="34" customFormat="1" x14ac:dyDescent="0.35">
      <c r="E27948" s="35"/>
      <c r="J27948" s="41"/>
    </row>
    <row r="27949" spans="5:10" s="34" customFormat="1" x14ac:dyDescent="0.35">
      <c r="E27949" s="35"/>
      <c r="J27949" s="41"/>
    </row>
    <row r="27950" spans="5:10" s="34" customFormat="1" x14ac:dyDescent="0.35">
      <c r="E27950" s="35"/>
      <c r="J27950" s="41"/>
    </row>
    <row r="27951" spans="5:10" s="34" customFormat="1" x14ac:dyDescent="0.35">
      <c r="E27951" s="35"/>
      <c r="J27951" s="41"/>
    </row>
    <row r="27952" spans="5:10" s="34" customFormat="1" x14ac:dyDescent="0.35">
      <c r="E27952" s="35"/>
      <c r="J27952" s="41"/>
    </row>
    <row r="27953" spans="5:10" s="34" customFormat="1" x14ac:dyDescent="0.35">
      <c r="E27953" s="35"/>
      <c r="J27953" s="41"/>
    </row>
    <row r="27954" spans="5:10" s="34" customFormat="1" x14ac:dyDescent="0.35">
      <c r="E27954" s="35"/>
      <c r="J27954" s="41"/>
    </row>
    <row r="27955" spans="5:10" s="34" customFormat="1" x14ac:dyDescent="0.35">
      <c r="E27955" s="35"/>
      <c r="J27955" s="41"/>
    </row>
    <row r="27956" spans="5:10" s="34" customFormat="1" x14ac:dyDescent="0.35">
      <c r="E27956" s="35"/>
      <c r="J27956" s="41"/>
    </row>
    <row r="27957" spans="5:10" s="34" customFormat="1" x14ac:dyDescent="0.35">
      <c r="E27957" s="35"/>
      <c r="J27957" s="41"/>
    </row>
    <row r="27958" spans="5:10" s="34" customFormat="1" x14ac:dyDescent="0.35">
      <c r="E27958" s="35"/>
      <c r="J27958" s="41"/>
    </row>
    <row r="27959" spans="5:10" s="34" customFormat="1" x14ac:dyDescent="0.35">
      <c r="E27959" s="35"/>
      <c r="J27959" s="41"/>
    </row>
    <row r="27960" spans="5:10" s="34" customFormat="1" x14ac:dyDescent="0.35">
      <c r="E27960" s="35"/>
      <c r="J27960" s="41"/>
    </row>
    <row r="27961" spans="5:10" s="34" customFormat="1" x14ac:dyDescent="0.35">
      <c r="E27961" s="35"/>
      <c r="J27961" s="41"/>
    </row>
    <row r="27962" spans="5:10" s="34" customFormat="1" x14ac:dyDescent="0.35">
      <c r="E27962" s="35"/>
      <c r="J27962" s="41"/>
    </row>
    <row r="27963" spans="5:10" s="34" customFormat="1" x14ac:dyDescent="0.35">
      <c r="E27963" s="35"/>
      <c r="J27963" s="41"/>
    </row>
    <row r="27964" spans="5:10" s="34" customFormat="1" x14ac:dyDescent="0.35">
      <c r="E27964" s="35"/>
      <c r="J27964" s="41"/>
    </row>
    <row r="27965" spans="5:10" s="34" customFormat="1" x14ac:dyDescent="0.35">
      <c r="E27965" s="35"/>
      <c r="J27965" s="41"/>
    </row>
    <row r="27966" spans="5:10" s="34" customFormat="1" x14ac:dyDescent="0.35">
      <c r="E27966" s="35"/>
      <c r="J27966" s="41"/>
    </row>
    <row r="27967" spans="5:10" s="34" customFormat="1" x14ac:dyDescent="0.35">
      <c r="E27967" s="35"/>
      <c r="J27967" s="41"/>
    </row>
    <row r="27968" spans="5:10" s="34" customFormat="1" x14ac:dyDescent="0.35">
      <c r="E27968" s="35"/>
      <c r="J27968" s="41"/>
    </row>
    <row r="27969" spans="5:10" s="34" customFormat="1" x14ac:dyDescent="0.35">
      <c r="E27969" s="35"/>
      <c r="J27969" s="41"/>
    </row>
    <row r="27970" spans="5:10" s="34" customFormat="1" x14ac:dyDescent="0.35">
      <c r="E27970" s="35"/>
      <c r="J27970" s="41"/>
    </row>
    <row r="27971" spans="5:10" s="34" customFormat="1" x14ac:dyDescent="0.35">
      <c r="E27971" s="35"/>
      <c r="J27971" s="41"/>
    </row>
    <row r="27972" spans="5:10" s="34" customFormat="1" x14ac:dyDescent="0.35">
      <c r="E27972" s="35"/>
      <c r="J27972" s="41"/>
    </row>
    <row r="27973" spans="5:10" s="34" customFormat="1" x14ac:dyDescent="0.35">
      <c r="E27973" s="35"/>
      <c r="J27973" s="41"/>
    </row>
    <row r="27974" spans="5:10" s="34" customFormat="1" x14ac:dyDescent="0.35">
      <c r="E27974" s="35"/>
      <c r="J27974" s="41"/>
    </row>
    <row r="27975" spans="5:10" s="34" customFormat="1" x14ac:dyDescent="0.35">
      <c r="E27975" s="35"/>
      <c r="J27975" s="41"/>
    </row>
    <row r="27976" spans="5:10" s="34" customFormat="1" x14ac:dyDescent="0.35">
      <c r="E27976" s="35"/>
      <c r="J27976" s="41"/>
    </row>
    <row r="27977" spans="5:10" s="34" customFormat="1" x14ac:dyDescent="0.35">
      <c r="E27977" s="35"/>
      <c r="J27977" s="41"/>
    </row>
    <row r="27978" spans="5:10" s="34" customFormat="1" x14ac:dyDescent="0.35">
      <c r="E27978" s="35"/>
      <c r="J27978" s="41"/>
    </row>
    <row r="27979" spans="5:10" s="34" customFormat="1" x14ac:dyDescent="0.35">
      <c r="E27979" s="35"/>
      <c r="J27979" s="41"/>
    </row>
    <row r="27980" spans="5:10" s="34" customFormat="1" x14ac:dyDescent="0.35">
      <c r="E27980" s="35"/>
      <c r="J27980" s="41"/>
    </row>
    <row r="27981" spans="5:10" s="34" customFormat="1" x14ac:dyDescent="0.35">
      <c r="E27981" s="35"/>
      <c r="J27981" s="41"/>
    </row>
    <row r="27982" spans="5:10" s="34" customFormat="1" x14ac:dyDescent="0.35">
      <c r="E27982" s="35"/>
      <c r="J27982" s="41"/>
    </row>
    <row r="27983" spans="5:10" s="34" customFormat="1" x14ac:dyDescent="0.35">
      <c r="E27983" s="35"/>
      <c r="J27983" s="41"/>
    </row>
    <row r="27984" spans="5:10" s="34" customFormat="1" x14ac:dyDescent="0.35">
      <c r="E27984" s="35"/>
      <c r="J27984" s="41"/>
    </row>
    <row r="27985" spans="5:10" s="34" customFormat="1" x14ac:dyDescent="0.35">
      <c r="E27985" s="35"/>
      <c r="J27985" s="41"/>
    </row>
    <row r="27986" spans="5:10" s="34" customFormat="1" x14ac:dyDescent="0.35">
      <c r="E27986" s="35"/>
      <c r="J27986" s="41"/>
    </row>
    <row r="27987" spans="5:10" s="34" customFormat="1" x14ac:dyDescent="0.35">
      <c r="E27987" s="35"/>
      <c r="J27987" s="41"/>
    </row>
    <row r="27988" spans="5:10" s="34" customFormat="1" x14ac:dyDescent="0.35">
      <c r="E27988" s="35"/>
      <c r="J27988" s="41"/>
    </row>
    <row r="27989" spans="5:10" s="34" customFormat="1" x14ac:dyDescent="0.35">
      <c r="E27989" s="35"/>
      <c r="J27989" s="41"/>
    </row>
    <row r="27990" spans="5:10" s="34" customFormat="1" x14ac:dyDescent="0.35">
      <c r="E27990" s="35"/>
      <c r="J27990" s="41"/>
    </row>
    <row r="27991" spans="5:10" s="34" customFormat="1" x14ac:dyDescent="0.35">
      <c r="E27991" s="35"/>
      <c r="J27991" s="41"/>
    </row>
    <row r="27992" spans="5:10" s="34" customFormat="1" x14ac:dyDescent="0.35">
      <c r="E27992" s="35"/>
      <c r="J27992" s="41"/>
    </row>
    <row r="27993" spans="5:10" s="34" customFormat="1" x14ac:dyDescent="0.35">
      <c r="E27993" s="35"/>
      <c r="J27993" s="41"/>
    </row>
    <row r="27994" spans="5:10" s="34" customFormat="1" x14ac:dyDescent="0.35">
      <c r="E27994" s="35"/>
      <c r="J27994" s="41"/>
    </row>
    <row r="27995" spans="5:10" s="34" customFormat="1" x14ac:dyDescent="0.35">
      <c r="E27995" s="35"/>
      <c r="J27995" s="41"/>
    </row>
    <row r="27996" spans="5:10" s="34" customFormat="1" x14ac:dyDescent="0.35">
      <c r="E27996" s="35"/>
      <c r="J27996" s="41"/>
    </row>
    <row r="27997" spans="5:10" s="34" customFormat="1" x14ac:dyDescent="0.35">
      <c r="E27997" s="35"/>
      <c r="J27997" s="41"/>
    </row>
    <row r="27998" spans="5:10" s="34" customFormat="1" x14ac:dyDescent="0.35">
      <c r="E27998" s="35"/>
      <c r="J27998" s="41"/>
    </row>
    <row r="27999" spans="5:10" s="34" customFormat="1" x14ac:dyDescent="0.35">
      <c r="E27999" s="35"/>
      <c r="J27999" s="41"/>
    </row>
    <row r="28000" spans="5:10" s="34" customFormat="1" x14ac:dyDescent="0.35">
      <c r="E28000" s="35"/>
      <c r="J28000" s="41"/>
    </row>
    <row r="28001" spans="5:10" s="34" customFormat="1" x14ac:dyDescent="0.35">
      <c r="E28001" s="35"/>
      <c r="J28001" s="41"/>
    </row>
    <row r="28002" spans="5:10" s="34" customFormat="1" x14ac:dyDescent="0.35">
      <c r="E28002" s="35"/>
      <c r="J28002" s="41"/>
    </row>
    <row r="28003" spans="5:10" s="34" customFormat="1" x14ac:dyDescent="0.35">
      <c r="E28003" s="35"/>
      <c r="J28003" s="41"/>
    </row>
    <row r="28004" spans="5:10" s="34" customFormat="1" x14ac:dyDescent="0.35">
      <c r="E28004" s="35"/>
      <c r="J28004" s="41"/>
    </row>
    <row r="28005" spans="5:10" s="34" customFormat="1" x14ac:dyDescent="0.35">
      <c r="E28005" s="35"/>
      <c r="J28005" s="41"/>
    </row>
    <row r="28006" spans="5:10" s="34" customFormat="1" x14ac:dyDescent="0.35">
      <c r="E28006" s="35"/>
      <c r="J28006" s="41"/>
    </row>
    <row r="28007" spans="5:10" s="34" customFormat="1" x14ac:dyDescent="0.35">
      <c r="E28007" s="35"/>
      <c r="J28007" s="41"/>
    </row>
    <row r="28008" spans="5:10" s="34" customFormat="1" x14ac:dyDescent="0.35">
      <c r="E28008" s="35"/>
      <c r="J28008" s="41"/>
    </row>
    <row r="28009" spans="5:10" s="34" customFormat="1" x14ac:dyDescent="0.35">
      <c r="E28009" s="35"/>
      <c r="J28009" s="41"/>
    </row>
    <row r="28010" spans="5:10" s="34" customFormat="1" x14ac:dyDescent="0.35">
      <c r="E28010" s="35"/>
      <c r="J28010" s="41"/>
    </row>
    <row r="28011" spans="5:10" s="34" customFormat="1" x14ac:dyDescent="0.35">
      <c r="E28011" s="35"/>
      <c r="J28011" s="41"/>
    </row>
    <row r="28012" spans="5:10" s="34" customFormat="1" x14ac:dyDescent="0.35">
      <c r="E28012" s="35"/>
      <c r="J28012" s="41"/>
    </row>
    <row r="28013" spans="5:10" s="34" customFormat="1" x14ac:dyDescent="0.35">
      <c r="E28013" s="35"/>
      <c r="J28013" s="41"/>
    </row>
    <row r="28014" spans="5:10" s="34" customFormat="1" x14ac:dyDescent="0.35">
      <c r="E28014" s="35"/>
      <c r="J28014" s="41"/>
    </row>
    <row r="28015" spans="5:10" s="34" customFormat="1" x14ac:dyDescent="0.35">
      <c r="E28015" s="35"/>
      <c r="J28015" s="41"/>
    </row>
    <row r="28016" spans="5:10" s="34" customFormat="1" x14ac:dyDescent="0.35">
      <c r="E28016" s="35"/>
      <c r="J28016" s="41"/>
    </row>
    <row r="28017" spans="5:10" s="34" customFormat="1" x14ac:dyDescent="0.35">
      <c r="E28017" s="35"/>
      <c r="J28017" s="41"/>
    </row>
    <row r="28018" spans="5:10" s="34" customFormat="1" x14ac:dyDescent="0.35">
      <c r="E28018" s="35"/>
      <c r="J28018" s="41"/>
    </row>
    <row r="28019" spans="5:10" s="34" customFormat="1" x14ac:dyDescent="0.35">
      <c r="E28019" s="35"/>
      <c r="J28019" s="41"/>
    </row>
    <row r="28020" spans="5:10" s="34" customFormat="1" x14ac:dyDescent="0.35">
      <c r="E28020" s="35"/>
      <c r="J28020" s="41"/>
    </row>
    <row r="28021" spans="5:10" s="34" customFormat="1" x14ac:dyDescent="0.35">
      <c r="E28021" s="35"/>
      <c r="J28021" s="41"/>
    </row>
    <row r="28022" spans="5:10" s="34" customFormat="1" x14ac:dyDescent="0.35">
      <c r="E28022" s="35"/>
      <c r="J28022" s="41"/>
    </row>
    <row r="28023" spans="5:10" s="34" customFormat="1" x14ac:dyDescent="0.35">
      <c r="E28023" s="35"/>
      <c r="J28023" s="41"/>
    </row>
    <row r="28024" spans="5:10" s="34" customFormat="1" x14ac:dyDescent="0.35">
      <c r="E28024" s="35"/>
      <c r="J28024" s="41"/>
    </row>
    <row r="28025" spans="5:10" s="34" customFormat="1" x14ac:dyDescent="0.35">
      <c r="E28025" s="35"/>
      <c r="J28025" s="41"/>
    </row>
    <row r="28026" spans="5:10" s="34" customFormat="1" x14ac:dyDescent="0.35">
      <c r="E28026" s="35"/>
      <c r="J28026" s="41"/>
    </row>
    <row r="28027" spans="5:10" s="34" customFormat="1" x14ac:dyDescent="0.35">
      <c r="E28027" s="35"/>
      <c r="J28027" s="41"/>
    </row>
    <row r="28028" spans="5:10" s="34" customFormat="1" x14ac:dyDescent="0.35">
      <c r="E28028" s="35"/>
      <c r="J28028" s="41"/>
    </row>
    <row r="28029" spans="5:10" s="34" customFormat="1" x14ac:dyDescent="0.35">
      <c r="E28029" s="35"/>
      <c r="J28029" s="41"/>
    </row>
    <row r="28030" spans="5:10" s="34" customFormat="1" x14ac:dyDescent="0.35">
      <c r="E28030" s="35"/>
      <c r="J28030" s="41"/>
    </row>
    <row r="28031" spans="5:10" s="34" customFormat="1" x14ac:dyDescent="0.35">
      <c r="E28031" s="35"/>
      <c r="J28031" s="41"/>
    </row>
    <row r="28032" spans="5:10" s="34" customFormat="1" x14ac:dyDescent="0.35">
      <c r="E28032" s="35"/>
      <c r="J28032" s="41"/>
    </row>
    <row r="28033" spans="5:10" s="34" customFormat="1" x14ac:dyDescent="0.35">
      <c r="E28033" s="35"/>
      <c r="J28033" s="41"/>
    </row>
    <row r="28034" spans="5:10" s="34" customFormat="1" x14ac:dyDescent="0.35">
      <c r="E28034" s="35"/>
      <c r="J28034" s="41"/>
    </row>
    <row r="28035" spans="5:10" s="34" customFormat="1" x14ac:dyDescent="0.35">
      <c r="E28035" s="35"/>
      <c r="J28035" s="41"/>
    </row>
    <row r="28036" spans="5:10" s="34" customFormat="1" x14ac:dyDescent="0.35">
      <c r="E28036" s="35"/>
      <c r="J28036" s="41"/>
    </row>
    <row r="28037" spans="5:10" s="34" customFormat="1" x14ac:dyDescent="0.35">
      <c r="E28037" s="35"/>
      <c r="J28037" s="41"/>
    </row>
    <row r="28038" spans="5:10" s="34" customFormat="1" x14ac:dyDescent="0.35">
      <c r="E28038" s="35"/>
      <c r="J28038" s="41"/>
    </row>
    <row r="28039" spans="5:10" s="34" customFormat="1" x14ac:dyDescent="0.35">
      <c r="E28039" s="35"/>
      <c r="J28039" s="41"/>
    </row>
    <row r="28040" spans="5:10" s="34" customFormat="1" x14ac:dyDescent="0.35">
      <c r="E28040" s="35"/>
      <c r="J28040" s="41"/>
    </row>
    <row r="28041" spans="5:10" s="34" customFormat="1" x14ac:dyDescent="0.35">
      <c r="E28041" s="35"/>
      <c r="J28041" s="41"/>
    </row>
    <row r="28042" spans="5:10" s="34" customFormat="1" x14ac:dyDescent="0.35">
      <c r="E28042" s="35"/>
      <c r="J28042" s="41"/>
    </row>
    <row r="28043" spans="5:10" s="34" customFormat="1" x14ac:dyDescent="0.35">
      <c r="E28043" s="35"/>
      <c r="J28043" s="41"/>
    </row>
    <row r="28044" spans="5:10" s="34" customFormat="1" x14ac:dyDescent="0.35">
      <c r="E28044" s="35"/>
      <c r="J28044" s="41"/>
    </row>
    <row r="28045" spans="5:10" s="34" customFormat="1" x14ac:dyDescent="0.35">
      <c r="E28045" s="35"/>
      <c r="J28045" s="41"/>
    </row>
    <row r="28046" spans="5:10" s="34" customFormat="1" x14ac:dyDescent="0.35">
      <c r="E28046" s="35"/>
      <c r="J28046" s="41"/>
    </row>
    <row r="28047" spans="5:10" s="34" customFormat="1" x14ac:dyDescent="0.35">
      <c r="E28047" s="35"/>
      <c r="J28047" s="41"/>
    </row>
    <row r="28048" spans="5:10" s="34" customFormat="1" x14ac:dyDescent="0.35">
      <c r="E28048" s="35"/>
      <c r="J28048" s="41"/>
    </row>
    <row r="28049" spans="5:10" s="34" customFormat="1" x14ac:dyDescent="0.35">
      <c r="E28049" s="35"/>
      <c r="J28049" s="41"/>
    </row>
    <row r="28050" spans="5:10" s="34" customFormat="1" x14ac:dyDescent="0.35">
      <c r="E28050" s="35"/>
      <c r="J28050" s="41"/>
    </row>
    <row r="28051" spans="5:10" s="34" customFormat="1" x14ac:dyDescent="0.35">
      <c r="E28051" s="35"/>
      <c r="J28051" s="41"/>
    </row>
    <row r="28052" spans="5:10" s="34" customFormat="1" x14ac:dyDescent="0.35">
      <c r="E28052" s="35"/>
      <c r="J28052" s="41"/>
    </row>
    <row r="28053" spans="5:10" s="34" customFormat="1" x14ac:dyDescent="0.35">
      <c r="E28053" s="35"/>
      <c r="J28053" s="41"/>
    </row>
    <row r="28054" spans="5:10" s="34" customFormat="1" x14ac:dyDescent="0.35">
      <c r="E28054" s="35"/>
      <c r="J28054" s="41"/>
    </row>
    <row r="28055" spans="5:10" s="34" customFormat="1" x14ac:dyDescent="0.35">
      <c r="E28055" s="35"/>
      <c r="J28055" s="41"/>
    </row>
    <row r="28056" spans="5:10" s="34" customFormat="1" x14ac:dyDescent="0.35">
      <c r="E28056" s="35"/>
      <c r="J28056" s="41"/>
    </row>
    <row r="28057" spans="5:10" s="34" customFormat="1" x14ac:dyDescent="0.35">
      <c r="E28057" s="35"/>
      <c r="J28057" s="41"/>
    </row>
    <row r="28058" spans="5:10" s="34" customFormat="1" x14ac:dyDescent="0.35">
      <c r="E28058" s="35"/>
      <c r="J28058" s="41"/>
    </row>
    <row r="28059" spans="5:10" s="34" customFormat="1" x14ac:dyDescent="0.35">
      <c r="E28059" s="35"/>
      <c r="J28059" s="41"/>
    </row>
    <row r="28060" spans="5:10" s="34" customFormat="1" x14ac:dyDescent="0.35">
      <c r="E28060" s="35"/>
      <c r="J28060" s="41"/>
    </row>
    <row r="28061" spans="5:10" s="34" customFormat="1" x14ac:dyDescent="0.35">
      <c r="E28061" s="35"/>
      <c r="J28061" s="41"/>
    </row>
    <row r="28062" spans="5:10" s="34" customFormat="1" x14ac:dyDescent="0.35">
      <c r="E28062" s="35"/>
      <c r="J28062" s="41"/>
    </row>
    <row r="28063" spans="5:10" s="34" customFormat="1" x14ac:dyDescent="0.35">
      <c r="E28063" s="35"/>
      <c r="J28063" s="41"/>
    </row>
    <row r="28064" spans="5:10" s="34" customFormat="1" x14ac:dyDescent="0.35">
      <c r="E28064" s="35"/>
      <c r="J28064" s="41"/>
    </row>
    <row r="28065" spans="5:10" s="34" customFormat="1" x14ac:dyDescent="0.35">
      <c r="E28065" s="35"/>
      <c r="J28065" s="41"/>
    </row>
    <row r="28066" spans="5:10" s="34" customFormat="1" x14ac:dyDescent="0.35">
      <c r="E28066" s="35"/>
      <c r="J28066" s="41"/>
    </row>
    <row r="28067" spans="5:10" s="34" customFormat="1" x14ac:dyDescent="0.35">
      <c r="E28067" s="35"/>
      <c r="J28067" s="41"/>
    </row>
    <row r="28068" spans="5:10" s="34" customFormat="1" x14ac:dyDescent="0.35">
      <c r="E28068" s="35"/>
      <c r="J28068" s="41"/>
    </row>
    <row r="28069" spans="5:10" s="34" customFormat="1" x14ac:dyDescent="0.35">
      <c r="E28069" s="35"/>
      <c r="J28069" s="41"/>
    </row>
    <row r="28070" spans="5:10" s="34" customFormat="1" x14ac:dyDescent="0.35">
      <c r="E28070" s="35"/>
      <c r="J28070" s="41"/>
    </row>
    <row r="28071" spans="5:10" s="34" customFormat="1" x14ac:dyDescent="0.35">
      <c r="E28071" s="35"/>
      <c r="J28071" s="41"/>
    </row>
    <row r="28072" spans="5:10" s="34" customFormat="1" x14ac:dyDescent="0.35">
      <c r="E28072" s="35"/>
      <c r="J28072" s="41"/>
    </row>
    <row r="28073" spans="5:10" s="34" customFormat="1" x14ac:dyDescent="0.35">
      <c r="E28073" s="35"/>
      <c r="J28073" s="41"/>
    </row>
    <row r="28074" spans="5:10" s="34" customFormat="1" x14ac:dyDescent="0.35">
      <c r="E28074" s="35"/>
      <c r="J28074" s="41"/>
    </row>
    <row r="28075" spans="5:10" s="34" customFormat="1" x14ac:dyDescent="0.35">
      <c r="E28075" s="35"/>
      <c r="J28075" s="41"/>
    </row>
    <row r="28076" spans="5:10" s="34" customFormat="1" x14ac:dyDescent="0.35">
      <c r="E28076" s="35"/>
      <c r="J28076" s="41"/>
    </row>
    <row r="28077" spans="5:10" s="34" customFormat="1" x14ac:dyDescent="0.35">
      <c r="E28077" s="35"/>
      <c r="J28077" s="41"/>
    </row>
    <row r="28078" spans="5:10" s="34" customFormat="1" x14ac:dyDescent="0.35">
      <c r="E28078" s="35"/>
      <c r="J28078" s="41"/>
    </row>
    <row r="28079" spans="5:10" s="34" customFormat="1" x14ac:dyDescent="0.35">
      <c r="E28079" s="35"/>
      <c r="J28079" s="41"/>
    </row>
    <row r="28080" spans="5:10" s="34" customFormat="1" x14ac:dyDescent="0.35">
      <c r="E28080" s="35"/>
      <c r="J28080" s="41"/>
    </row>
    <row r="28081" spans="5:10" s="34" customFormat="1" x14ac:dyDescent="0.35">
      <c r="E28081" s="35"/>
      <c r="J28081" s="41"/>
    </row>
    <row r="28082" spans="5:10" s="34" customFormat="1" x14ac:dyDescent="0.35">
      <c r="E28082" s="35"/>
      <c r="J28082" s="41"/>
    </row>
    <row r="28083" spans="5:10" s="34" customFormat="1" x14ac:dyDescent="0.35">
      <c r="E28083" s="35"/>
      <c r="J28083" s="41"/>
    </row>
    <row r="28084" spans="5:10" s="34" customFormat="1" x14ac:dyDescent="0.35">
      <c r="E28084" s="35"/>
      <c r="J28084" s="41"/>
    </row>
    <row r="28085" spans="5:10" s="34" customFormat="1" x14ac:dyDescent="0.35">
      <c r="E28085" s="35"/>
      <c r="J28085" s="41"/>
    </row>
    <row r="28086" spans="5:10" s="34" customFormat="1" x14ac:dyDescent="0.35">
      <c r="E28086" s="35"/>
      <c r="J28086" s="41"/>
    </row>
    <row r="28087" spans="5:10" s="34" customFormat="1" x14ac:dyDescent="0.35">
      <c r="E28087" s="35"/>
      <c r="J28087" s="41"/>
    </row>
    <row r="28088" spans="5:10" s="34" customFormat="1" x14ac:dyDescent="0.35">
      <c r="E28088" s="35"/>
      <c r="J28088" s="41"/>
    </row>
    <row r="28089" spans="5:10" s="34" customFormat="1" x14ac:dyDescent="0.35">
      <c r="E28089" s="35"/>
      <c r="J28089" s="41"/>
    </row>
    <row r="28090" spans="5:10" s="34" customFormat="1" x14ac:dyDescent="0.35">
      <c r="E28090" s="35"/>
      <c r="J28090" s="41"/>
    </row>
    <row r="28091" spans="5:10" s="34" customFormat="1" x14ac:dyDescent="0.35">
      <c r="E28091" s="35"/>
      <c r="J28091" s="41"/>
    </row>
    <row r="28092" spans="5:10" s="34" customFormat="1" x14ac:dyDescent="0.35">
      <c r="E28092" s="35"/>
      <c r="J28092" s="41"/>
    </row>
    <row r="28093" spans="5:10" s="34" customFormat="1" x14ac:dyDescent="0.35">
      <c r="E28093" s="35"/>
      <c r="J28093" s="41"/>
    </row>
    <row r="28094" spans="5:10" s="34" customFormat="1" x14ac:dyDescent="0.35">
      <c r="E28094" s="35"/>
      <c r="J28094" s="41"/>
    </row>
    <row r="28095" spans="5:10" s="34" customFormat="1" x14ac:dyDescent="0.35">
      <c r="E28095" s="35"/>
      <c r="J28095" s="41"/>
    </row>
    <row r="28096" spans="5:10" s="34" customFormat="1" x14ac:dyDescent="0.35">
      <c r="E28096" s="35"/>
      <c r="J28096" s="41"/>
    </row>
    <row r="28097" spans="5:10" s="34" customFormat="1" x14ac:dyDescent="0.35">
      <c r="E28097" s="35"/>
      <c r="J28097" s="41"/>
    </row>
    <row r="28098" spans="5:10" s="34" customFormat="1" x14ac:dyDescent="0.35">
      <c r="E28098" s="35"/>
      <c r="J28098" s="41"/>
    </row>
    <row r="28099" spans="5:10" s="34" customFormat="1" x14ac:dyDescent="0.35">
      <c r="E28099" s="35"/>
      <c r="J28099" s="41"/>
    </row>
    <row r="28100" spans="5:10" s="34" customFormat="1" x14ac:dyDescent="0.35">
      <c r="E28100" s="35"/>
      <c r="J28100" s="41"/>
    </row>
    <row r="28101" spans="5:10" s="34" customFormat="1" x14ac:dyDescent="0.35">
      <c r="E28101" s="35"/>
      <c r="J28101" s="41"/>
    </row>
    <row r="28102" spans="5:10" s="34" customFormat="1" x14ac:dyDescent="0.35">
      <c r="E28102" s="35"/>
      <c r="J28102" s="41"/>
    </row>
    <row r="28103" spans="5:10" s="34" customFormat="1" x14ac:dyDescent="0.35">
      <c r="E28103" s="35"/>
      <c r="J28103" s="41"/>
    </row>
    <row r="28104" spans="5:10" s="34" customFormat="1" x14ac:dyDescent="0.35">
      <c r="E28104" s="35"/>
      <c r="J28104" s="41"/>
    </row>
    <row r="28105" spans="5:10" s="34" customFormat="1" x14ac:dyDescent="0.35">
      <c r="E28105" s="35"/>
      <c r="J28105" s="41"/>
    </row>
    <row r="28106" spans="5:10" s="34" customFormat="1" x14ac:dyDescent="0.35">
      <c r="E28106" s="35"/>
      <c r="J28106" s="41"/>
    </row>
    <row r="28107" spans="5:10" s="34" customFormat="1" x14ac:dyDescent="0.35">
      <c r="E28107" s="35"/>
      <c r="J28107" s="41"/>
    </row>
    <row r="28108" spans="5:10" s="34" customFormat="1" x14ac:dyDescent="0.35">
      <c r="E28108" s="35"/>
      <c r="J28108" s="41"/>
    </row>
    <row r="28109" spans="5:10" s="34" customFormat="1" x14ac:dyDescent="0.35">
      <c r="E28109" s="35"/>
      <c r="J28109" s="41"/>
    </row>
    <row r="28110" spans="5:10" s="34" customFormat="1" x14ac:dyDescent="0.35">
      <c r="E28110" s="35"/>
      <c r="J28110" s="41"/>
    </row>
    <row r="28111" spans="5:10" s="34" customFormat="1" x14ac:dyDescent="0.35">
      <c r="E28111" s="35"/>
      <c r="J28111" s="41"/>
    </row>
    <row r="28112" spans="5:10" s="34" customFormat="1" x14ac:dyDescent="0.35">
      <c r="E28112" s="35"/>
      <c r="J28112" s="41"/>
    </row>
    <row r="28113" spans="5:10" s="34" customFormat="1" x14ac:dyDescent="0.35">
      <c r="E28113" s="35"/>
      <c r="J28113" s="41"/>
    </row>
    <row r="28114" spans="5:10" s="34" customFormat="1" x14ac:dyDescent="0.35">
      <c r="E28114" s="35"/>
      <c r="J28114" s="41"/>
    </row>
    <row r="28115" spans="5:10" s="34" customFormat="1" x14ac:dyDescent="0.35">
      <c r="E28115" s="35"/>
      <c r="J28115" s="41"/>
    </row>
    <row r="28116" spans="5:10" s="34" customFormat="1" x14ac:dyDescent="0.35">
      <c r="E28116" s="35"/>
      <c r="J28116" s="41"/>
    </row>
    <row r="28117" spans="5:10" s="34" customFormat="1" x14ac:dyDescent="0.35">
      <c r="E28117" s="35"/>
      <c r="J28117" s="41"/>
    </row>
    <row r="28118" spans="5:10" s="34" customFormat="1" x14ac:dyDescent="0.35">
      <c r="E28118" s="35"/>
      <c r="J28118" s="41"/>
    </row>
    <row r="28119" spans="5:10" s="34" customFormat="1" x14ac:dyDescent="0.35">
      <c r="E28119" s="35"/>
      <c r="J28119" s="41"/>
    </row>
    <row r="28120" spans="5:10" s="34" customFormat="1" x14ac:dyDescent="0.35">
      <c r="E28120" s="35"/>
      <c r="J28120" s="41"/>
    </row>
    <row r="28121" spans="5:10" s="34" customFormat="1" x14ac:dyDescent="0.35">
      <c r="E28121" s="35"/>
      <c r="J28121" s="41"/>
    </row>
    <row r="28122" spans="5:10" s="34" customFormat="1" x14ac:dyDescent="0.35">
      <c r="E28122" s="35"/>
      <c r="J28122" s="41"/>
    </row>
    <row r="28123" spans="5:10" s="34" customFormat="1" x14ac:dyDescent="0.35">
      <c r="E28123" s="35"/>
      <c r="J28123" s="41"/>
    </row>
    <row r="28124" spans="5:10" s="34" customFormat="1" x14ac:dyDescent="0.35">
      <c r="E28124" s="35"/>
      <c r="J28124" s="41"/>
    </row>
    <row r="28125" spans="5:10" s="34" customFormat="1" x14ac:dyDescent="0.35">
      <c r="E28125" s="35"/>
      <c r="J28125" s="41"/>
    </row>
    <row r="28126" spans="5:10" s="34" customFormat="1" x14ac:dyDescent="0.35">
      <c r="E28126" s="35"/>
      <c r="J28126" s="41"/>
    </row>
    <row r="28127" spans="5:10" s="34" customFormat="1" x14ac:dyDescent="0.35">
      <c r="E28127" s="35"/>
      <c r="J28127" s="41"/>
    </row>
    <row r="28128" spans="5:10" s="34" customFormat="1" x14ac:dyDescent="0.35">
      <c r="E28128" s="35"/>
      <c r="J28128" s="41"/>
    </row>
    <row r="28129" spans="5:10" s="34" customFormat="1" x14ac:dyDescent="0.35">
      <c r="E28129" s="35"/>
      <c r="J28129" s="41"/>
    </row>
    <row r="28130" spans="5:10" s="34" customFormat="1" x14ac:dyDescent="0.35">
      <c r="E28130" s="35"/>
      <c r="J28130" s="41"/>
    </row>
    <row r="28131" spans="5:10" s="34" customFormat="1" x14ac:dyDescent="0.35">
      <c r="E28131" s="35"/>
      <c r="J28131" s="41"/>
    </row>
    <row r="28132" spans="5:10" s="34" customFormat="1" x14ac:dyDescent="0.35">
      <c r="E28132" s="35"/>
      <c r="J28132" s="41"/>
    </row>
    <row r="28133" spans="5:10" s="34" customFormat="1" x14ac:dyDescent="0.35">
      <c r="E28133" s="35"/>
      <c r="J28133" s="41"/>
    </row>
    <row r="28134" spans="5:10" s="34" customFormat="1" x14ac:dyDescent="0.35">
      <c r="E28134" s="35"/>
      <c r="J28134" s="41"/>
    </row>
    <row r="28135" spans="5:10" s="34" customFormat="1" x14ac:dyDescent="0.35">
      <c r="E28135" s="35"/>
      <c r="J28135" s="41"/>
    </row>
    <row r="28136" spans="5:10" s="34" customFormat="1" x14ac:dyDescent="0.35">
      <c r="E28136" s="35"/>
      <c r="J28136" s="41"/>
    </row>
    <row r="28137" spans="5:10" s="34" customFormat="1" x14ac:dyDescent="0.35">
      <c r="E28137" s="35"/>
      <c r="J28137" s="41"/>
    </row>
    <row r="28138" spans="5:10" s="34" customFormat="1" x14ac:dyDescent="0.35">
      <c r="E28138" s="35"/>
      <c r="J28138" s="41"/>
    </row>
    <row r="28139" spans="5:10" s="34" customFormat="1" x14ac:dyDescent="0.35">
      <c r="E28139" s="35"/>
      <c r="J28139" s="41"/>
    </row>
    <row r="28140" spans="5:10" s="34" customFormat="1" x14ac:dyDescent="0.35">
      <c r="E28140" s="35"/>
      <c r="J28140" s="41"/>
    </row>
    <row r="28141" spans="5:10" s="34" customFormat="1" x14ac:dyDescent="0.35">
      <c r="E28141" s="35"/>
      <c r="J28141" s="41"/>
    </row>
    <row r="28142" spans="5:10" s="34" customFormat="1" x14ac:dyDescent="0.35">
      <c r="E28142" s="35"/>
      <c r="J28142" s="41"/>
    </row>
    <row r="28143" spans="5:10" s="34" customFormat="1" x14ac:dyDescent="0.35">
      <c r="E28143" s="35"/>
      <c r="J28143" s="41"/>
    </row>
    <row r="28144" spans="5:10" s="34" customFormat="1" x14ac:dyDescent="0.35">
      <c r="E28144" s="35"/>
      <c r="J28144" s="41"/>
    </row>
    <row r="28145" spans="5:10" s="34" customFormat="1" x14ac:dyDescent="0.35">
      <c r="E28145" s="35"/>
      <c r="J28145" s="41"/>
    </row>
    <row r="28146" spans="5:10" s="34" customFormat="1" x14ac:dyDescent="0.35">
      <c r="E28146" s="35"/>
      <c r="J28146" s="41"/>
    </row>
    <row r="28147" spans="5:10" s="34" customFormat="1" x14ac:dyDescent="0.35">
      <c r="E28147" s="35"/>
      <c r="J28147" s="41"/>
    </row>
    <row r="28148" spans="5:10" s="34" customFormat="1" x14ac:dyDescent="0.35">
      <c r="E28148" s="35"/>
      <c r="J28148" s="41"/>
    </row>
    <row r="28149" spans="5:10" s="34" customFormat="1" x14ac:dyDescent="0.35">
      <c r="E28149" s="35"/>
      <c r="J28149" s="41"/>
    </row>
    <row r="28150" spans="5:10" s="34" customFormat="1" x14ac:dyDescent="0.35">
      <c r="E28150" s="35"/>
      <c r="J28150" s="41"/>
    </row>
    <row r="28151" spans="5:10" s="34" customFormat="1" x14ac:dyDescent="0.35">
      <c r="E28151" s="35"/>
      <c r="J28151" s="41"/>
    </row>
    <row r="28152" spans="5:10" s="34" customFormat="1" x14ac:dyDescent="0.35">
      <c r="E28152" s="35"/>
      <c r="J28152" s="41"/>
    </row>
    <row r="28153" spans="5:10" s="34" customFormat="1" x14ac:dyDescent="0.35">
      <c r="E28153" s="35"/>
      <c r="J28153" s="41"/>
    </row>
    <row r="28154" spans="5:10" s="34" customFormat="1" x14ac:dyDescent="0.35">
      <c r="E28154" s="35"/>
      <c r="J28154" s="41"/>
    </row>
    <row r="28155" spans="5:10" s="34" customFormat="1" x14ac:dyDescent="0.35">
      <c r="E28155" s="35"/>
      <c r="J28155" s="41"/>
    </row>
    <row r="28156" spans="5:10" s="34" customFormat="1" x14ac:dyDescent="0.35">
      <c r="E28156" s="35"/>
      <c r="J28156" s="41"/>
    </row>
    <row r="28157" spans="5:10" s="34" customFormat="1" x14ac:dyDescent="0.35">
      <c r="E28157" s="35"/>
      <c r="J28157" s="41"/>
    </row>
    <row r="28158" spans="5:10" s="34" customFormat="1" x14ac:dyDescent="0.35">
      <c r="E28158" s="35"/>
      <c r="J28158" s="41"/>
    </row>
    <row r="28159" spans="5:10" s="34" customFormat="1" x14ac:dyDescent="0.35">
      <c r="E28159" s="35"/>
      <c r="J28159" s="41"/>
    </row>
    <row r="28160" spans="5:10" s="34" customFormat="1" x14ac:dyDescent="0.35">
      <c r="E28160" s="35"/>
      <c r="J28160" s="41"/>
    </row>
    <row r="28161" spans="5:10" s="34" customFormat="1" x14ac:dyDescent="0.35">
      <c r="E28161" s="35"/>
      <c r="J28161" s="41"/>
    </row>
    <row r="28162" spans="5:10" s="34" customFormat="1" x14ac:dyDescent="0.35">
      <c r="E28162" s="35"/>
      <c r="J28162" s="41"/>
    </row>
    <row r="28163" spans="5:10" s="34" customFormat="1" x14ac:dyDescent="0.35">
      <c r="E28163" s="35"/>
      <c r="J28163" s="41"/>
    </row>
    <row r="28164" spans="5:10" s="34" customFormat="1" x14ac:dyDescent="0.35">
      <c r="E28164" s="35"/>
      <c r="J28164" s="41"/>
    </row>
    <row r="28165" spans="5:10" s="34" customFormat="1" x14ac:dyDescent="0.35">
      <c r="E28165" s="35"/>
      <c r="J28165" s="41"/>
    </row>
    <row r="28166" spans="5:10" s="34" customFormat="1" x14ac:dyDescent="0.35">
      <c r="E28166" s="35"/>
      <c r="J28166" s="41"/>
    </row>
    <row r="28167" spans="5:10" s="34" customFormat="1" x14ac:dyDescent="0.35">
      <c r="E28167" s="35"/>
      <c r="J28167" s="41"/>
    </row>
    <row r="28168" spans="5:10" s="34" customFormat="1" x14ac:dyDescent="0.35">
      <c r="E28168" s="35"/>
      <c r="J28168" s="41"/>
    </row>
    <row r="28169" spans="5:10" s="34" customFormat="1" x14ac:dyDescent="0.35">
      <c r="E28169" s="35"/>
      <c r="J28169" s="41"/>
    </row>
    <row r="28170" spans="5:10" s="34" customFormat="1" x14ac:dyDescent="0.35">
      <c r="E28170" s="35"/>
      <c r="J28170" s="41"/>
    </row>
    <row r="28171" spans="5:10" s="34" customFormat="1" x14ac:dyDescent="0.35">
      <c r="E28171" s="35"/>
      <c r="J28171" s="41"/>
    </row>
    <row r="28172" spans="5:10" s="34" customFormat="1" x14ac:dyDescent="0.35">
      <c r="E28172" s="35"/>
      <c r="J28172" s="41"/>
    </row>
    <row r="28173" spans="5:10" s="34" customFormat="1" x14ac:dyDescent="0.35">
      <c r="E28173" s="35"/>
      <c r="J28173" s="41"/>
    </row>
    <row r="28174" spans="5:10" s="34" customFormat="1" x14ac:dyDescent="0.35">
      <c r="E28174" s="35"/>
      <c r="J28174" s="41"/>
    </row>
    <row r="28175" spans="5:10" s="34" customFormat="1" x14ac:dyDescent="0.35">
      <c r="E28175" s="35"/>
      <c r="J28175" s="41"/>
    </row>
    <row r="28176" spans="5:10" s="34" customFormat="1" x14ac:dyDescent="0.35">
      <c r="E28176" s="35"/>
      <c r="J28176" s="41"/>
    </row>
    <row r="28177" spans="5:10" s="34" customFormat="1" x14ac:dyDescent="0.35">
      <c r="E28177" s="35"/>
      <c r="J28177" s="41"/>
    </row>
    <row r="28178" spans="5:10" s="34" customFormat="1" x14ac:dyDescent="0.35">
      <c r="E28178" s="35"/>
      <c r="J28178" s="41"/>
    </row>
    <row r="28179" spans="5:10" s="34" customFormat="1" x14ac:dyDescent="0.35">
      <c r="E28179" s="35"/>
      <c r="J28179" s="41"/>
    </row>
    <row r="28180" spans="5:10" s="34" customFormat="1" x14ac:dyDescent="0.35">
      <c r="E28180" s="35"/>
      <c r="J28180" s="41"/>
    </row>
    <row r="28181" spans="5:10" s="34" customFormat="1" x14ac:dyDescent="0.35">
      <c r="E28181" s="35"/>
      <c r="J28181" s="41"/>
    </row>
    <row r="28182" spans="5:10" s="34" customFormat="1" x14ac:dyDescent="0.35">
      <c r="E28182" s="35"/>
      <c r="J28182" s="41"/>
    </row>
    <row r="28183" spans="5:10" s="34" customFormat="1" x14ac:dyDescent="0.35">
      <c r="E28183" s="35"/>
      <c r="J28183" s="41"/>
    </row>
    <row r="28184" spans="5:10" s="34" customFormat="1" x14ac:dyDescent="0.35">
      <c r="E28184" s="35"/>
      <c r="J28184" s="41"/>
    </row>
    <row r="28185" spans="5:10" s="34" customFormat="1" x14ac:dyDescent="0.35">
      <c r="E28185" s="35"/>
      <c r="J28185" s="41"/>
    </row>
    <row r="28186" spans="5:10" s="34" customFormat="1" x14ac:dyDescent="0.35">
      <c r="E28186" s="35"/>
      <c r="J28186" s="41"/>
    </row>
    <row r="28187" spans="5:10" s="34" customFormat="1" x14ac:dyDescent="0.35">
      <c r="E28187" s="35"/>
      <c r="J28187" s="41"/>
    </row>
    <row r="28188" spans="5:10" s="34" customFormat="1" x14ac:dyDescent="0.35">
      <c r="E28188" s="35"/>
      <c r="J28188" s="41"/>
    </row>
    <row r="28189" spans="5:10" s="34" customFormat="1" x14ac:dyDescent="0.35">
      <c r="E28189" s="35"/>
      <c r="J28189" s="41"/>
    </row>
    <row r="28190" spans="5:10" s="34" customFormat="1" x14ac:dyDescent="0.35">
      <c r="E28190" s="35"/>
      <c r="J28190" s="41"/>
    </row>
    <row r="28191" spans="5:10" s="34" customFormat="1" x14ac:dyDescent="0.35">
      <c r="E28191" s="35"/>
      <c r="J28191" s="41"/>
    </row>
    <row r="28192" spans="5:10" s="34" customFormat="1" x14ac:dyDescent="0.35">
      <c r="E28192" s="35"/>
      <c r="J28192" s="41"/>
    </row>
    <row r="28193" spans="5:10" s="34" customFormat="1" x14ac:dyDescent="0.35">
      <c r="E28193" s="35"/>
      <c r="J28193" s="41"/>
    </row>
    <row r="28194" spans="5:10" s="34" customFormat="1" x14ac:dyDescent="0.35">
      <c r="E28194" s="35"/>
      <c r="J28194" s="41"/>
    </row>
    <row r="28195" spans="5:10" s="34" customFormat="1" x14ac:dyDescent="0.35">
      <c r="E28195" s="35"/>
      <c r="J28195" s="41"/>
    </row>
    <row r="28196" spans="5:10" s="34" customFormat="1" x14ac:dyDescent="0.35">
      <c r="E28196" s="35"/>
      <c r="J28196" s="41"/>
    </row>
    <row r="28197" spans="5:10" s="34" customFormat="1" x14ac:dyDescent="0.35">
      <c r="E28197" s="35"/>
      <c r="J28197" s="41"/>
    </row>
    <row r="28198" spans="5:10" s="34" customFormat="1" x14ac:dyDescent="0.35">
      <c r="E28198" s="35"/>
      <c r="J28198" s="41"/>
    </row>
    <row r="28199" spans="5:10" s="34" customFormat="1" x14ac:dyDescent="0.35">
      <c r="E28199" s="35"/>
      <c r="J28199" s="41"/>
    </row>
    <row r="28200" spans="5:10" s="34" customFormat="1" x14ac:dyDescent="0.35">
      <c r="E28200" s="35"/>
      <c r="J28200" s="41"/>
    </row>
    <row r="28201" spans="5:10" s="34" customFormat="1" x14ac:dyDescent="0.35">
      <c r="E28201" s="35"/>
      <c r="J28201" s="41"/>
    </row>
    <row r="28202" spans="5:10" s="34" customFormat="1" x14ac:dyDescent="0.35">
      <c r="E28202" s="35"/>
      <c r="J28202" s="41"/>
    </row>
    <row r="28203" spans="5:10" s="34" customFormat="1" x14ac:dyDescent="0.35">
      <c r="E28203" s="35"/>
      <c r="J28203" s="41"/>
    </row>
    <row r="28204" spans="5:10" s="34" customFormat="1" x14ac:dyDescent="0.35">
      <c r="E28204" s="35"/>
      <c r="J28204" s="41"/>
    </row>
    <row r="28205" spans="5:10" s="34" customFormat="1" x14ac:dyDescent="0.35">
      <c r="E28205" s="35"/>
      <c r="J28205" s="41"/>
    </row>
    <row r="28206" spans="5:10" s="34" customFormat="1" x14ac:dyDescent="0.35">
      <c r="E28206" s="35"/>
      <c r="J28206" s="41"/>
    </row>
    <row r="28207" spans="5:10" s="34" customFormat="1" x14ac:dyDescent="0.35">
      <c r="E28207" s="35"/>
      <c r="J28207" s="41"/>
    </row>
    <row r="28208" spans="5:10" s="34" customFormat="1" x14ac:dyDescent="0.35">
      <c r="E28208" s="35"/>
      <c r="J28208" s="41"/>
    </row>
    <row r="28209" spans="5:10" s="34" customFormat="1" x14ac:dyDescent="0.35">
      <c r="E28209" s="35"/>
      <c r="J28209" s="41"/>
    </row>
    <row r="28210" spans="5:10" s="34" customFormat="1" x14ac:dyDescent="0.35">
      <c r="E28210" s="35"/>
      <c r="J28210" s="41"/>
    </row>
    <row r="28211" spans="5:10" s="34" customFormat="1" x14ac:dyDescent="0.35">
      <c r="E28211" s="35"/>
      <c r="J28211" s="41"/>
    </row>
    <row r="28212" spans="5:10" s="34" customFormat="1" x14ac:dyDescent="0.35">
      <c r="E28212" s="35"/>
      <c r="J28212" s="41"/>
    </row>
    <row r="28213" spans="5:10" s="34" customFormat="1" x14ac:dyDescent="0.35">
      <c r="E28213" s="35"/>
      <c r="J28213" s="41"/>
    </row>
    <row r="28214" spans="5:10" s="34" customFormat="1" x14ac:dyDescent="0.35">
      <c r="E28214" s="35"/>
      <c r="J28214" s="41"/>
    </row>
    <row r="28215" spans="5:10" s="34" customFormat="1" x14ac:dyDescent="0.35">
      <c r="E28215" s="35"/>
      <c r="J28215" s="41"/>
    </row>
    <row r="28216" spans="5:10" s="34" customFormat="1" x14ac:dyDescent="0.35">
      <c r="E28216" s="35"/>
      <c r="J28216" s="41"/>
    </row>
    <row r="28217" spans="5:10" s="34" customFormat="1" x14ac:dyDescent="0.35">
      <c r="E28217" s="35"/>
      <c r="J28217" s="41"/>
    </row>
    <row r="28218" spans="5:10" s="34" customFormat="1" x14ac:dyDescent="0.35">
      <c r="E28218" s="35"/>
      <c r="J28218" s="41"/>
    </row>
    <row r="28219" spans="5:10" s="34" customFormat="1" x14ac:dyDescent="0.35">
      <c r="E28219" s="35"/>
      <c r="J28219" s="41"/>
    </row>
    <row r="28220" spans="5:10" s="34" customFormat="1" x14ac:dyDescent="0.35">
      <c r="E28220" s="35"/>
      <c r="J28220" s="41"/>
    </row>
    <row r="28221" spans="5:10" s="34" customFormat="1" x14ac:dyDescent="0.35">
      <c r="E28221" s="35"/>
      <c r="J28221" s="41"/>
    </row>
    <row r="28222" spans="5:10" s="34" customFormat="1" x14ac:dyDescent="0.35">
      <c r="E28222" s="35"/>
      <c r="J28222" s="41"/>
    </row>
    <row r="28223" spans="5:10" s="34" customFormat="1" x14ac:dyDescent="0.35">
      <c r="E28223" s="35"/>
      <c r="J28223" s="41"/>
    </row>
    <row r="28224" spans="5:10" s="34" customFormat="1" x14ac:dyDescent="0.35">
      <c r="E28224" s="35"/>
      <c r="J28224" s="41"/>
    </row>
    <row r="28225" spans="5:10" s="34" customFormat="1" x14ac:dyDescent="0.35">
      <c r="E28225" s="35"/>
      <c r="J28225" s="41"/>
    </row>
    <row r="28226" spans="5:10" s="34" customFormat="1" x14ac:dyDescent="0.35">
      <c r="E28226" s="35"/>
      <c r="J28226" s="41"/>
    </row>
    <row r="28227" spans="5:10" s="34" customFormat="1" x14ac:dyDescent="0.35">
      <c r="E28227" s="35"/>
      <c r="J28227" s="41"/>
    </row>
    <row r="28228" spans="5:10" s="34" customFormat="1" x14ac:dyDescent="0.35">
      <c r="E28228" s="35"/>
      <c r="J28228" s="41"/>
    </row>
    <row r="28229" spans="5:10" s="34" customFormat="1" x14ac:dyDescent="0.35">
      <c r="E28229" s="35"/>
      <c r="J28229" s="41"/>
    </row>
    <row r="28230" spans="5:10" s="34" customFormat="1" x14ac:dyDescent="0.35">
      <c r="E28230" s="35"/>
      <c r="J28230" s="41"/>
    </row>
    <row r="28231" spans="5:10" s="34" customFormat="1" x14ac:dyDescent="0.35">
      <c r="E28231" s="35"/>
      <c r="J28231" s="41"/>
    </row>
    <row r="28232" spans="5:10" s="34" customFormat="1" x14ac:dyDescent="0.35">
      <c r="E28232" s="35"/>
      <c r="J28232" s="41"/>
    </row>
    <row r="28233" spans="5:10" s="34" customFormat="1" x14ac:dyDescent="0.35">
      <c r="E28233" s="35"/>
      <c r="J28233" s="41"/>
    </row>
    <row r="28234" spans="5:10" s="34" customFormat="1" x14ac:dyDescent="0.35">
      <c r="E28234" s="35"/>
      <c r="J28234" s="41"/>
    </row>
    <row r="28235" spans="5:10" s="34" customFormat="1" x14ac:dyDescent="0.35">
      <c r="E28235" s="35"/>
      <c r="J28235" s="41"/>
    </row>
    <row r="28236" spans="5:10" s="34" customFormat="1" x14ac:dyDescent="0.35">
      <c r="E28236" s="35"/>
      <c r="J28236" s="41"/>
    </row>
    <row r="28237" spans="5:10" s="34" customFormat="1" x14ac:dyDescent="0.35">
      <c r="E28237" s="35"/>
      <c r="J28237" s="41"/>
    </row>
    <row r="28238" spans="5:10" s="34" customFormat="1" x14ac:dyDescent="0.35">
      <c r="E28238" s="35"/>
      <c r="J28238" s="41"/>
    </row>
    <row r="28239" spans="5:10" s="34" customFormat="1" x14ac:dyDescent="0.35">
      <c r="E28239" s="35"/>
      <c r="J28239" s="41"/>
    </row>
    <row r="28240" spans="5:10" s="34" customFormat="1" x14ac:dyDescent="0.35">
      <c r="E28240" s="35"/>
      <c r="J28240" s="41"/>
    </row>
    <row r="28241" spans="5:10" s="34" customFormat="1" x14ac:dyDescent="0.35">
      <c r="E28241" s="35"/>
      <c r="J28241" s="41"/>
    </row>
    <row r="28242" spans="5:10" s="34" customFormat="1" x14ac:dyDescent="0.35">
      <c r="E28242" s="35"/>
      <c r="J28242" s="41"/>
    </row>
    <row r="28243" spans="5:10" s="34" customFormat="1" x14ac:dyDescent="0.35">
      <c r="E28243" s="35"/>
      <c r="J28243" s="41"/>
    </row>
    <row r="28244" spans="5:10" s="34" customFormat="1" x14ac:dyDescent="0.35">
      <c r="E28244" s="35"/>
      <c r="J28244" s="41"/>
    </row>
    <row r="28245" spans="5:10" s="34" customFormat="1" x14ac:dyDescent="0.35">
      <c r="E28245" s="35"/>
      <c r="J28245" s="41"/>
    </row>
    <row r="28246" spans="5:10" s="34" customFormat="1" x14ac:dyDescent="0.35">
      <c r="E28246" s="35"/>
      <c r="J28246" s="41"/>
    </row>
    <row r="28247" spans="5:10" s="34" customFormat="1" x14ac:dyDescent="0.35">
      <c r="E28247" s="35"/>
      <c r="J28247" s="41"/>
    </row>
    <row r="28248" spans="5:10" s="34" customFormat="1" x14ac:dyDescent="0.35">
      <c r="E28248" s="35"/>
      <c r="J28248" s="41"/>
    </row>
    <row r="28249" spans="5:10" s="34" customFormat="1" x14ac:dyDescent="0.35">
      <c r="E28249" s="35"/>
      <c r="J28249" s="41"/>
    </row>
    <row r="28250" spans="5:10" s="34" customFormat="1" x14ac:dyDescent="0.35">
      <c r="E28250" s="35"/>
      <c r="J28250" s="41"/>
    </row>
    <row r="28251" spans="5:10" s="34" customFormat="1" x14ac:dyDescent="0.35">
      <c r="E28251" s="35"/>
      <c r="J28251" s="41"/>
    </row>
    <row r="28252" spans="5:10" s="34" customFormat="1" x14ac:dyDescent="0.35">
      <c r="E28252" s="35"/>
      <c r="J28252" s="41"/>
    </row>
    <row r="28253" spans="5:10" s="34" customFormat="1" x14ac:dyDescent="0.35">
      <c r="E28253" s="35"/>
      <c r="J28253" s="41"/>
    </row>
    <row r="28254" spans="5:10" s="34" customFormat="1" x14ac:dyDescent="0.35">
      <c r="E28254" s="35"/>
      <c r="J28254" s="41"/>
    </row>
    <row r="28255" spans="5:10" s="34" customFormat="1" x14ac:dyDescent="0.35">
      <c r="E28255" s="35"/>
      <c r="J28255" s="41"/>
    </row>
    <row r="28256" spans="5:10" s="34" customFormat="1" x14ac:dyDescent="0.35">
      <c r="E28256" s="35"/>
      <c r="J28256" s="41"/>
    </row>
    <row r="28257" spans="5:10" s="34" customFormat="1" x14ac:dyDescent="0.35">
      <c r="E28257" s="35"/>
      <c r="J28257" s="41"/>
    </row>
    <row r="28258" spans="5:10" s="34" customFormat="1" x14ac:dyDescent="0.35">
      <c r="E28258" s="35"/>
      <c r="J28258" s="41"/>
    </row>
    <row r="28259" spans="5:10" s="34" customFormat="1" x14ac:dyDescent="0.35">
      <c r="E28259" s="35"/>
      <c r="J28259" s="41"/>
    </row>
    <row r="28260" spans="5:10" s="34" customFormat="1" x14ac:dyDescent="0.35">
      <c r="E28260" s="35"/>
      <c r="J28260" s="41"/>
    </row>
    <row r="28261" spans="5:10" s="34" customFormat="1" x14ac:dyDescent="0.35">
      <c r="E28261" s="35"/>
      <c r="J28261" s="41"/>
    </row>
    <row r="28262" spans="5:10" s="34" customFormat="1" x14ac:dyDescent="0.35">
      <c r="E28262" s="35"/>
      <c r="J28262" s="41"/>
    </row>
    <row r="28263" spans="5:10" s="34" customFormat="1" x14ac:dyDescent="0.35">
      <c r="E28263" s="35"/>
      <c r="J28263" s="41"/>
    </row>
    <row r="28264" spans="5:10" s="34" customFormat="1" x14ac:dyDescent="0.35">
      <c r="E28264" s="35"/>
      <c r="J28264" s="41"/>
    </row>
    <row r="28265" spans="5:10" s="34" customFormat="1" x14ac:dyDescent="0.35">
      <c r="E28265" s="35"/>
      <c r="J28265" s="41"/>
    </row>
    <row r="28266" spans="5:10" s="34" customFormat="1" x14ac:dyDescent="0.35">
      <c r="E28266" s="35"/>
      <c r="J28266" s="41"/>
    </row>
    <row r="28267" spans="5:10" s="34" customFormat="1" x14ac:dyDescent="0.35">
      <c r="E28267" s="35"/>
      <c r="J28267" s="41"/>
    </row>
    <row r="28268" spans="5:10" s="34" customFormat="1" x14ac:dyDescent="0.35">
      <c r="E28268" s="35"/>
      <c r="J28268" s="41"/>
    </row>
    <row r="28269" spans="5:10" s="34" customFormat="1" x14ac:dyDescent="0.35">
      <c r="E28269" s="35"/>
      <c r="J28269" s="41"/>
    </row>
    <row r="28270" spans="5:10" s="34" customFormat="1" x14ac:dyDescent="0.35">
      <c r="E28270" s="35"/>
      <c r="J28270" s="41"/>
    </row>
    <row r="28271" spans="5:10" s="34" customFormat="1" x14ac:dyDescent="0.35">
      <c r="E28271" s="35"/>
      <c r="J28271" s="41"/>
    </row>
    <row r="28272" spans="5:10" s="34" customFormat="1" x14ac:dyDescent="0.35">
      <c r="E28272" s="35"/>
      <c r="J28272" s="41"/>
    </row>
    <row r="28273" spans="5:10" s="34" customFormat="1" x14ac:dyDescent="0.35">
      <c r="E28273" s="35"/>
      <c r="J28273" s="41"/>
    </row>
    <row r="28274" spans="5:10" s="34" customFormat="1" x14ac:dyDescent="0.35">
      <c r="E28274" s="35"/>
      <c r="J28274" s="41"/>
    </row>
    <row r="28275" spans="5:10" s="34" customFormat="1" x14ac:dyDescent="0.35">
      <c r="E28275" s="35"/>
      <c r="J28275" s="41"/>
    </row>
    <row r="28276" spans="5:10" s="34" customFormat="1" x14ac:dyDescent="0.35">
      <c r="E28276" s="35"/>
      <c r="J28276" s="41"/>
    </row>
    <row r="28277" spans="5:10" s="34" customFormat="1" x14ac:dyDescent="0.35">
      <c r="E28277" s="35"/>
      <c r="J28277" s="41"/>
    </row>
    <row r="28278" spans="5:10" s="34" customFormat="1" x14ac:dyDescent="0.35">
      <c r="E28278" s="35"/>
      <c r="J28278" s="41"/>
    </row>
    <row r="28279" spans="5:10" s="34" customFormat="1" x14ac:dyDescent="0.35">
      <c r="E28279" s="35"/>
      <c r="J28279" s="41"/>
    </row>
    <row r="28280" spans="5:10" s="34" customFormat="1" x14ac:dyDescent="0.35">
      <c r="E28280" s="35"/>
      <c r="J28280" s="41"/>
    </row>
    <row r="28281" spans="5:10" s="34" customFormat="1" x14ac:dyDescent="0.35">
      <c r="E28281" s="35"/>
      <c r="J28281" s="41"/>
    </row>
    <row r="28282" spans="5:10" s="34" customFormat="1" x14ac:dyDescent="0.35">
      <c r="E28282" s="35"/>
      <c r="J28282" s="41"/>
    </row>
    <row r="28283" spans="5:10" s="34" customFormat="1" x14ac:dyDescent="0.35">
      <c r="E28283" s="35"/>
      <c r="J28283" s="41"/>
    </row>
    <row r="28284" spans="5:10" s="34" customFormat="1" x14ac:dyDescent="0.35">
      <c r="E28284" s="35"/>
      <c r="J28284" s="41"/>
    </row>
    <row r="28285" spans="5:10" s="34" customFormat="1" x14ac:dyDescent="0.35">
      <c r="E28285" s="35"/>
      <c r="J28285" s="41"/>
    </row>
    <row r="28286" spans="5:10" s="34" customFormat="1" x14ac:dyDescent="0.35">
      <c r="E28286" s="35"/>
      <c r="J28286" s="41"/>
    </row>
    <row r="28287" spans="5:10" s="34" customFormat="1" x14ac:dyDescent="0.35">
      <c r="E28287" s="35"/>
      <c r="J28287" s="41"/>
    </row>
    <row r="28288" spans="5:10" s="34" customFormat="1" x14ac:dyDescent="0.35">
      <c r="E28288" s="35"/>
      <c r="J28288" s="41"/>
    </row>
    <row r="28289" spans="5:10" s="34" customFormat="1" x14ac:dyDescent="0.35">
      <c r="E28289" s="35"/>
      <c r="J28289" s="41"/>
    </row>
    <row r="28290" spans="5:10" s="34" customFormat="1" x14ac:dyDescent="0.35">
      <c r="E28290" s="35"/>
      <c r="J28290" s="41"/>
    </row>
    <row r="28291" spans="5:10" s="34" customFormat="1" x14ac:dyDescent="0.35">
      <c r="E28291" s="35"/>
      <c r="J28291" s="41"/>
    </row>
    <row r="28292" spans="5:10" s="34" customFormat="1" x14ac:dyDescent="0.35">
      <c r="E28292" s="35"/>
      <c r="J28292" s="41"/>
    </row>
    <row r="28293" spans="5:10" s="34" customFormat="1" x14ac:dyDescent="0.35">
      <c r="E28293" s="35"/>
      <c r="J28293" s="41"/>
    </row>
    <row r="28294" spans="5:10" s="34" customFormat="1" x14ac:dyDescent="0.35">
      <c r="E28294" s="35"/>
      <c r="J28294" s="41"/>
    </row>
    <row r="28295" spans="5:10" s="34" customFormat="1" x14ac:dyDescent="0.35">
      <c r="E28295" s="35"/>
      <c r="J28295" s="41"/>
    </row>
    <row r="28296" spans="5:10" s="34" customFormat="1" x14ac:dyDescent="0.35">
      <c r="E28296" s="35"/>
      <c r="J28296" s="41"/>
    </row>
    <row r="28297" spans="5:10" s="34" customFormat="1" x14ac:dyDescent="0.35">
      <c r="E28297" s="35"/>
      <c r="J28297" s="41"/>
    </row>
    <row r="28298" spans="5:10" s="34" customFormat="1" x14ac:dyDescent="0.35">
      <c r="E28298" s="35"/>
      <c r="J28298" s="41"/>
    </row>
    <row r="28299" spans="5:10" s="34" customFormat="1" x14ac:dyDescent="0.35">
      <c r="E28299" s="35"/>
      <c r="J28299" s="41"/>
    </row>
    <row r="28300" spans="5:10" s="34" customFormat="1" x14ac:dyDescent="0.35">
      <c r="E28300" s="35"/>
      <c r="J28300" s="41"/>
    </row>
    <row r="28301" spans="5:10" s="34" customFormat="1" x14ac:dyDescent="0.35">
      <c r="E28301" s="35"/>
      <c r="J28301" s="41"/>
    </row>
    <row r="28302" spans="5:10" s="34" customFormat="1" x14ac:dyDescent="0.35">
      <c r="E28302" s="35"/>
      <c r="J28302" s="41"/>
    </row>
    <row r="28303" spans="5:10" s="34" customFormat="1" x14ac:dyDescent="0.35">
      <c r="E28303" s="35"/>
      <c r="J28303" s="41"/>
    </row>
    <row r="28304" spans="5:10" s="34" customFormat="1" x14ac:dyDescent="0.35">
      <c r="E28304" s="35"/>
      <c r="J28304" s="41"/>
    </row>
    <row r="28305" spans="5:10" s="34" customFormat="1" x14ac:dyDescent="0.35">
      <c r="E28305" s="35"/>
      <c r="J28305" s="41"/>
    </row>
    <row r="28306" spans="5:10" s="34" customFormat="1" x14ac:dyDescent="0.35">
      <c r="E28306" s="35"/>
      <c r="J28306" s="41"/>
    </row>
    <row r="28307" spans="5:10" s="34" customFormat="1" x14ac:dyDescent="0.35">
      <c r="E28307" s="35"/>
      <c r="J28307" s="41"/>
    </row>
    <row r="28308" spans="5:10" s="34" customFormat="1" x14ac:dyDescent="0.35">
      <c r="E28308" s="35"/>
      <c r="J28308" s="41"/>
    </row>
    <row r="28309" spans="5:10" s="34" customFormat="1" x14ac:dyDescent="0.35">
      <c r="E28309" s="35"/>
      <c r="J28309" s="41"/>
    </row>
    <row r="28310" spans="5:10" s="34" customFormat="1" x14ac:dyDescent="0.35">
      <c r="E28310" s="35"/>
      <c r="J28310" s="41"/>
    </row>
    <row r="28311" spans="5:10" s="34" customFormat="1" x14ac:dyDescent="0.35">
      <c r="E28311" s="35"/>
      <c r="J28311" s="41"/>
    </row>
    <row r="28312" spans="5:10" s="34" customFormat="1" x14ac:dyDescent="0.35">
      <c r="E28312" s="35"/>
      <c r="J28312" s="41"/>
    </row>
    <row r="28313" spans="5:10" s="34" customFormat="1" x14ac:dyDescent="0.35">
      <c r="E28313" s="35"/>
      <c r="J28313" s="41"/>
    </row>
    <row r="28314" spans="5:10" s="34" customFormat="1" x14ac:dyDescent="0.35">
      <c r="E28314" s="35"/>
      <c r="J28314" s="41"/>
    </row>
    <row r="28315" spans="5:10" s="34" customFormat="1" x14ac:dyDescent="0.35">
      <c r="E28315" s="35"/>
      <c r="J28315" s="41"/>
    </row>
    <row r="28316" spans="5:10" s="34" customFormat="1" x14ac:dyDescent="0.35">
      <c r="E28316" s="35"/>
      <c r="J28316" s="41"/>
    </row>
    <row r="28317" spans="5:10" s="34" customFormat="1" x14ac:dyDescent="0.35">
      <c r="E28317" s="35"/>
      <c r="J28317" s="41"/>
    </row>
    <row r="28318" spans="5:10" s="34" customFormat="1" x14ac:dyDescent="0.35">
      <c r="E28318" s="35"/>
      <c r="J28318" s="41"/>
    </row>
    <row r="28319" spans="5:10" s="34" customFormat="1" x14ac:dyDescent="0.35">
      <c r="E28319" s="35"/>
      <c r="J28319" s="41"/>
    </row>
    <row r="28320" spans="5:10" s="34" customFormat="1" x14ac:dyDescent="0.35">
      <c r="E28320" s="35"/>
      <c r="J28320" s="41"/>
    </row>
    <row r="28321" spans="5:10" s="34" customFormat="1" x14ac:dyDescent="0.35">
      <c r="E28321" s="35"/>
      <c r="J28321" s="41"/>
    </row>
    <row r="28322" spans="5:10" s="34" customFormat="1" x14ac:dyDescent="0.35">
      <c r="E28322" s="35"/>
      <c r="J28322" s="41"/>
    </row>
    <row r="28323" spans="5:10" s="34" customFormat="1" x14ac:dyDescent="0.35">
      <c r="E28323" s="35"/>
      <c r="J28323" s="41"/>
    </row>
    <row r="28324" spans="5:10" s="34" customFormat="1" x14ac:dyDescent="0.35">
      <c r="E28324" s="35"/>
      <c r="J28324" s="41"/>
    </row>
    <row r="28325" spans="5:10" s="34" customFormat="1" x14ac:dyDescent="0.35">
      <c r="E28325" s="35"/>
      <c r="J28325" s="41"/>
    </row>
    <row r="28326" spans="5:10" s="34" customFormat="1" x14ac:dyDescent="0.35">
      <c r="E28326" s="35"/>
      <c r="J28326" s="41"/>
    </row>
    <row r="28327" spans="5:10" s="34" customFormat="1" x14ac:dyDescent="0.35">
      <c r="E28327" s="35"/>
      <c r="J28327" s="41"/>
    </row>
    <row r="28328" spans="5:10" s="34" customFormat="1" x14ac:dyDescent="0.35">
      <c r="E28328" s="35"/>
      <c r="J28328" s="41"/>
    </row>
    <row r="28329" spans="5:10" s="34" customFormat="1" x14ac:dyDescent="0.35">
      <c r="E28329" s="35"/>
      <c r="J28329" s="41"/>
    </row>
    <row r="28330" spans="5:10" s="34" customFormat="1" x14ac:dyDescent="0.35">
      <c r="E28330" s="35"/>
      <c r="J28330" s="41"/>
    </row>
    <row r="28331" spans="5:10" s="34" customFormat="1" x14ac:dyDescent="0.35">
      <c r="E28331" s="35"/>
      <c r="J28331" s="41"/>
    </row>
    <row r="28332" spans="5:10" s="34" customFormat="1" x14ac:dyDescent="0.35">
      <c r="E28332" s="35"/>
      <c r="J28332" s="41"/>
    </row>
    <row r="28333" spans="5:10" s="34" customFormat="1" x14ac:dyDescent="0.35">
      <c r="E28333" s="35"/>
      <c r="J28333" s="41"/>
    </row>
    <row r="28334" spans="5:10" s="34" customFormat="1" x14ac:dyDescent="0.35">
      <c r="E28334" s="35"/>
      <c r="J28334" s="41"/>
    </row>
    <row r="28335" spans="5:10" s="34" customFormat="1" x14ac:dyDescent="0.35">
      <c r="E28335" s="35"/>
      <c r="J28335" s="41"/>
    </row>
    <row r="28336" spans="5:10" s="34" customFormat="1" x14ac:dyDescent="0.35">
      <c r="E28336" s="35"/>
      <c r="J28336" s="41"/>
    </row>
    <row r="28337" spans="5:10" s="34" customFormat="1" x14ac:dyDescent="0.35">
      <c r="E28337" s="35"/>
      <c r="J28337" s="41"/>
    </row>
    <row r="28338" spans="5:10" s="34" customFormat="1" x14ac:dyDescent="0.35">
      <c r="E28338" s="35"/>
      <c r="J28338" s="41"/>
    </row>
    <row r="28339" spans="5:10" s="34" customFormat="1" x14ac:dyDescent="0.35">
      <c r="E28339" s="35"/>
      <c r="J28339" s="41"/>
    </row>
    <row r="28340" spans="5:10" s="34" customFormat="1" x14ac:dyDescent="0.35">
      <c r="E28340" s="35"/>
      <c r="J28340" s="41"/>
    </row>
    <row r="28341" spans="5:10" s="34" customFormat="1" x14ac:dyDescent="0.35">
      <c r="E28341" s="35"/>
      <c r="J28341" s="41"/>
    </row>
    <row r="28342" spans="5:10" s="34" customFormat="1" x14ac:dyDescent="0.35">
      <c r="E28342" s="35"/>
      <c r="J28342" s="41"/>
    </row>
    <row r="28343" spans="5:10" s="34" customFormat="1" x14ac:dyDescent="0.35">
      <c r="E28343" s="35"/>
      <c r="J28343" s="41"/>
    </row>
    <row r="28344" spans="5:10" s="34" customFormat="1" x14ac:dyDescent="0.35">
      <c r="E28344" s="35"/>
      <c r="J28344" s="41"/>
    </row>
    <row r="28345" spans="5:10" s="34" customFormat="1" x14ac:dyDescent="0.35">
      <c r="E28345" s="35"/>
      <c r="J28345" s="41"/>
    </row>
    <row r="28346" spans="5:10" s="34" customFormat="1" x14ac:dyDescent="0.35">
      <c r="E28346" s="35"/>
      <c r="J28346" s="41"/>
    </row>
    <row r="28347" spans="5:10" s="34" customFormat="1" x14ac:dyDescent="0.35">
      <c r="E28347" s="35"/>
      <c r="J28347" s="41"/>
    </row>
    <row r="28348" spans="5:10" s="34" customFormat="1" x14ac:dyDescent="0.35">
      <c r="E28348" s="35"/>
      <c r="J28348" s="41"/>
    </row>
    <row r="28349" spans="5:10" s="34" customFormat="1" x14ac:dyDescent="0.35">
      <c r="E28349" s="35"/>
      <c r="J28349" s="41"/>
    </row>
    <row r="28350" spans="5:10" s="34" customFormat="1" x14ac:dyDescent="0.35">
      <c r="E28350" s="35"/>
      <c r="J28350" s="41"/>
    </row>
    <row r="28351" spans="5:10" s="34" customFormat="1" x14ac:dyDescent="0.35">
      <c r="E28351" s="35"/>
      <c r="J28351" s="41"/>
    </row>
    <row r="28352" spans="5:10" s="34" customFormat="1" x14ac:dyDescent="0.35">
      <c r="E28352" s="35"/>
      <c r="J28352" s="41"/>
    </row>
    <row r="28353" spans="5:10" s="34" customFormat="1" x14ac:dyDescent="0.35">
      <c r="E28353" s="35"/>
      <c r="J28353" s="41"/>
    </row>
    <row r="28354" spans="5:10" s="34" customFormat="1" x14ac:dyDescent="0.35">
      <c r="E28354" s="35"/>
      <c r="J28354" s="41"/>
    </row>
    <row r="28355" spans="5:10" s="34" customFormat="1" x14ac:dyDescent="0.35">
      <c r="E28355" s="35"/>
      <c r="J28355" s="41"/>
    </row>
    <row r="28356" spans="5:10" s="34" customFormat="1" x14ac:dyDescent="0.35">
      <c r="E28356" s="35"/>
      <c r="J28356" s="41"/>
    </row>
    <row r="28357" spans="5:10" s="34" customFormat="1" x14ac:dyDescent="0.35">
      <c r="E28357" s="35"/>
      <c r="J28357" s="41"/>
    </row>
    <row r="28358" spans="5:10" s="34" customFormat="1" x14ac:dyDescent="0.35">
      <c r="E28358" s="35"/>
      <c r="J28358" s="41"/>
    </row>
    <row r="28359" spans="5:10" s="34" customFormat="1" x14ac:dyDescent="0.35">
      <c r="E28359" s="35"/>
      <c r="J28359" s="41"/>
    </row>
    <row r="28360" spans="5:10" s="34" customFormat="1" x14ac:dyDescent="0.35">
      <c r="E28360" s="35"/>
      <c r="J28360" s="41"/>
    </row>
    <row r="28361" spans="5:10" s="34" customFormat="1" x14ac:dyDescent="0.35">
      <c r="E28361" s="35"/>
      <c r="J28361" s="41"/>
    </row>
    <row r="28362" spans="5:10" s="34" customFormat="1" x14ac:dyDescent="0.35">
      <c r="E28362" s="35"/>
      <c r="J28362" s="41"/>
    </row>
    <row r="28363" spans="5:10" s="34" customFormat="1" x14ac:dyDescent="0.35">
      <c r="E28363" s="35"/>
      <c r="J28363" s="41"/>
    </row>
    <row r="28364" spans="5:10" s="34" customFormat="1" x14ac:dyDescent="0.35">
      <c r="E28364" s="35"/>
      <c r="J28364" s="41"/>
    </row>
    <row r="28365" spans="5:10" s="34" customFormat="1" x14ac:dyDescent="0.35">
      <c r="E28365" s="35"/>
      <c r="J28365" s="41"/>
    </row>
    <row r="28366" spans="5:10" s="34" customFormat="1" x14ac:dyDescent="0.35">
      <c r="E28366" s="35"/>
      <c r="J28366" s="41"/>
    </row>
    <row r="28367" spans="5:10" s="34" customFormat="1" x14ac:dyDescent="0.35">
      <c r="E28367" s="35"/>
      <c r="J28367" s="41"/>
    </row>
    <row r="28368" spans="5:10" s="34" customFormat="1" x14ac:dyDescent="0.35">
      <c r="E28368" s="35"/>
      <c r="J28368" s="41"/>
    </row>
    <row r="28369" spans="5:10" s="34" customFormat="1" x14ac:dyDescent="0.35">
      <c r="E28369" s="35"/>
      <c r="J28369" s="41"/>
    </row>
    <row r="28370" spans="5:10" s="34" customFormat="1" x14ac:dyDescent="0.35">
      <c r="E28370" s="35"/>
      <c r="J28370" s="41"/>
    </row>
    <row r="28371" spans="5:10" s="34" customFormat="1" x14ac:dyDescent="0.35">
      <c r="E28371" s="35"/>
      <c r="J28371" s="41"/>
    </row>
    <row r="28372" spans="5:10" s="34" customFormat="1" x14ac:dyDescent="0.35">
      <c r="E28372" s="35"/>
      <c r="J28372" s="41"/>
    </row>
    <row r="28373" spans="5:10" s="34" customFormat="1" x14ac:dyDescent="0.35">
      <c r="E28373" s="35"/>
      <c r="J28373" s="41"/>
    </row>
    <row r="28374" spans="5:10" s="34" customFormat="1" x14ac:dyDescent="0.35">
      <c r="E28374" s="35"/>
      <c r="J28374" s="41"/>
    </row>
    <row r="28375" spans="5:10" s="34" customFormat="1" x14ac:dyDescent="0.35">
      <c r="E28375" s="35"/>
      <c r="J28375" s="41"/>
    </row>
    <row r="28376" spans="5:10" s="34" customFormat="1" x14ac:dyDescent="0.35">
      <c r="E28376" s="35"/>
      <c r="J28376" s="41"/>
    </row>
    <row r="28377" spans="5:10" s="34" customFormat="1" x14ac:dyDescent="0.35">
      <c r="E28377" s="35"/>
      <c r="J28377" s="41"/>
    </row>
    <row r="28378" spans="5:10" s="34" customFormat="1" x14ac:dyDescent="0.35">
      <c r="E28378" s="35"/>
      <c r="J28378" s="41"/>
    </row>
    <row r="28379" spans="5:10" s="34" customFormat="1" x14ac:dyDescent="0.35">
      <c r="E28379" s="35"/>
      <c r="J28379" s="41"/>
    </row>
    <row r="28380" spans="5:10" s="34" customFormat="1" x14ac:dyDescent="0.35">
      <c r="E28380" s="35"/>
      <c r="J28380" s="41"/>
    </row>
    <row r="28381" spans="5:10" s="34" customFormat="1" x14ac:dyDescent="0.35">
      <c r="E28381" s="35"/>
      <c r="J28381" s="41"/>
    </row>
    <row r="28382" spans="5:10" s="34" customFormat="1" x14ac:dyDescent="0.35">
      <c r="E28382" s="35"/>
      <c r="J28382" s="41"/>
    </row>
    <row r="28383" spans="5:10" s="34" customFormat="1" x14ac:dyDescent="0.35">
      <c r="E28383" s="35"/>
      <c r="J28383" s="41"/>
    </row>
    <row r="28384" spans="5:10" s="34" customFormat="1" x14ac:dyDescent="0.35">
      <c r="E28384" s="35"/>
      <c r="J28384" s="41"/>
    </row>
    <row r="28385" spans="5:10" s="34" customFormat="1" x14ac:dyDescent="0.35">
      <c r="E28385" s="35"/>
      <c r="J28385" s="41"/>
    </row>
    <row r="28386" spans="5:10" s="34" customFormat="1" x14ac:dyDescent="0.35">
      <c r="E28386" s="35"/>
      <c r="J28386" s="41"/>
    </row>
    <row r="28387" spans="5:10" s="34" customFormat="1" x14ac:dyDescent="0.35">
      <c r="E28387" s="35"/>
      <c r="J28387" s="41"/>
    </row>
    <row r="28388" spans="5:10" s="34" customFormat="1" x14ac:dyDescent="0.35">
      <c r="E28388" s="35"/>
      <c r="J28388" s="41"/>
    </row>
    <row r="28389" spans="5:10" s="34" customFormat="1" x14ac:dyDescent="0.35">
      <c r="E28389" s="35"/>
      <c r="J28389" s="41"/>
    </row>
    <row r="28390" spans="5:10" s="34" customFormat="1" x14ac:dyDescent="0.35">
      <c r="E28390" s="35"/>
      <c r="J28390" s="41"/>
    </row>
    <row r="28391" spans="5:10" s="34" customFormat="1" x14ac:dyDescent="0.35">
      <c r="E28391" s="35"/>
      <c r="J28391" s="41"/>
    </row>
    <row r="28392" spans="5:10" s="34" customFormat="1" x14ac:dyDescent="0.35">
      <c r="E28392" s="35"/>
      <c r="J28392" s="41"/>
    </row>
    <row r="28393" spans="5:10" s="34" customFormat="1" x14ac:dyDescent="0.35">
      <c r="E28393" s="35"/>
      <c r="J28393" s="41"/>
    </row>
    <row r="28394" spans="5:10" s="34" customFormat="1" x14ac:dyDescent="0.35">
      <c r="E28394" s="35"/>
      <c r="J28394" s="41"/>
    </row>
    <row r="28395" spans="5:10" s="34" customFormat="1" x14ac:dyDescent="0.35">
      <c r="E28395" s="35"/>
      <c r="J28395" s="41"/>
    </row>
    <row r="28396" spans="5:10" s="34" customFormat="1" x14ac:dyDescent="0.35">
      <c r="E28396" s="35"/>
      <c r="J28396" s="41"/>
    </row>
    <row r="28397" spans="5:10" s="34" customFormat="1" x14ac:dyDescent="0.35">
      <c r="E28397" s="35"/>
      <c r="J28397" s="41"/>
    </row>
    <row r="28398" spans="5:10" s="34" customFormat="1" x14ac:dyDescent="0.35">
      <c r="E28398" s="35"/>
      <c r="J28398" s="41"/>
    </row>
    <row r="28399" spans="5:10" s="34" customFormat="1" x14ac:dyDescent="0.35">
      <c r="E28399" s="35"/>
      <c r="J28399" s="41"/>
    </row>
    <row r="28400" spans="5:10" s="34" customFormat="1" x14ac:dyDescent="0.35">
      <c r="E28400" s="35"/>
      <c r="J28400" s="41"/>
    </row>
    <row r="28401" spans="5:10" s="34" customFormat="1" x14ac:dyDescent="0.35">
      <c r="E28401" s="35"/>
      <c r="J28401" s="41"/>
    </row>
    <row r="28402" spans="5:10" s="34" customFormat="1" x14ac:dyDescent="0.35">
      <c r="E28402" s="35"/>
      <c r="J28402" s="41"/>
    </row>
    <row r="28403" spans="5:10" s="34" customFormat="1" x14ac:dyDescent="0.35">
      <c r="E28403" s="35"/>
      <c r="J28403" s="41"/>
    </row>
    <row r="28404" spans="5:10" s="34" customFormat="1" x14ac:dyDescent="0.35">
      <c r="E28404" s="35"/>
      <c r="J28404" s="41"/>
    </row>
    <row r="28405" spans="5:10" s="34" customFormat="1" x14ac:dyDescent="0.35">
      <c r="E28405" s="35"/>
      <c r="J28405" s="41"/>
    </row>
    <row r="28406" spans="5:10" s="34" customFormat="1" x14ac:dyDescent="0.35">
      <c r="E28406" s="35"/>
      <c r="J28406" s="41"/>
    </row>
    <row r="28407" spans="5:10" s="34" customFormat="1" x14ac:dyDescent="0.35">
      <c r="E28407" s="35"/>
      <c r="J28407" s="41"/>
    </row>
    <row r="28408" spans="5:10" s="34" customFormat="1" x14ac:dyDescent="0.35">
      <c r="E28408" s="35"/>
      <c r="J28408" s="41"/>
    </row>
    <row r="28409" spans="5:10" s="34" customFormat="1" x14ac:dyDescent="0.35">
      <c r="E28409" s="35"/>
      <c r="J28409" s="41"/>
    </row>
    <row r="28410" spans="5:10" s="34" customFormat="1" x14ac:dyDescent="0.35">
      <c r="E28410" s="35"/>
      <c r="J28410" s="41"/>
    </row>
    <row r="28411" spans="5:10" s="34" customFormat="1" x14ac:dyDescent="0.35">
      <c r="E28411" s="35"/>
      <c r="J28411" s="41"/>
    </row>
    <row r="28412" spans="5:10" s="34" customFormat="1" x14ac:dyDescent="0.35">
      <c r="E28412" s="35"/>
      <c r="J28412" s="41"/>
    </row>
    <row r="28413" spans="5:10" s="34" customFormat="1" x14ac:dyDescent="0.35">
      <c r="E28413" s="35"/>
      <c r="J28413" s="41"/>
    </row>
    <row r="28414" spans="5:10" s="34" customFormat="1" x14ac:dyDescent="0.35">
      <c r="E28414" s="35"/>
      <c r="J28414" s="41"/>
    </row>
    <row r="28415" spans="5:10" s="34" customFormat="1" x14ac:dyDescent="0.35">
      <c r="E28415" s="35"/>
      <c r="J28415" s="41"/>
    </row>
    <row r="28416" spans="5:10" s="34" customFormat="1" x14ac:dyDescent="0.35">
      <c r="E28416" s="35"/>
      <c r="J28416" s="41"/>
    </row>
    <row r="28417" spans="5:10" s="34" customFormat="1" x14ac:dyDescent="0.35">
      <c r="E28417" s="35"/>
      <c r="J28417" s="41"/>
    </row>
    <row r="28418" spans="5:10" s="34" customFormat="1" x14ac:dyDescent="0.35">
      <c r="E28418" s="35"/>
      <c r="J28418" s="41"/>
    </row>
    <row r="28419" spans="5:10" s="34" customFormat="1" x14ac:dyDescent="0.35">
      <c r="E28419" s="35"/>
      <c r="J28419" s="41"/>
    </row>
    <row r="28420" spans="5:10" s="34" customFormat="1" x14ac:dyDescent="0.35">
      <c r="E28420" s="35"/>
      <c r="J28420" s="41"/>
    </row>
    <row r="28421" spans="5:10" s="34" customFormat="1" x14ac:dyDescent="0.35">
      <c r="E28421" s="35"/>
      <c r="J28421" s="41"/>
    </row>
    <row r="28422" spans="5:10" s="34" customFormat="1" x14ac:dyDescent="0.35">
      <c r="E28422" s="35"/>
      <c r="J28422" s="41"/>
    </row>
    <row r="28423" spans="5:10" s="34" customFormat="1" x14ac:dyDescent="0.35">
      <c r="E28423" s="35"/>
      <c r="J28423" s="41"/>
    </row>
    <row r="28424" spans="5:10" s="34" customFormat="1" x14ac:dyDescent="0.35">
      <c r="E28424" s="35"/>
      <c r="J28424" s="41"/>
    </row>
    <row r="28425" spans="5:10" s="34" customFormat="1" x14ac:dyDescent="0.35">
      <c r="E28425" s="35"/>
      <c r="J28425" s="41"/>
    </row>
    <row r="28426" spans="5:10" s="34" customFormat="1" x14ac:dyDescent="0.35">
      <c r="E28426" s="35"/>
      <c r="J28426" s="41"/>
    </row>
    <row r="28427" spans="5:10" s="34" customFormat="1" x14ac:dyDescent="0.35">
      <c r="E28427" s="35"/>
      <c r="J28427" s="41"/>
    </row>
    <row r="28428" spans="5:10" s="34" customFormat="1" x14ac:dyDescent="0.35">
      <c r="E28428" s="35"/>
      <c r="J28428" s="41"/>
    </row>
    <row r="28429" spans="5:10" s="34" customFormat="1" x14ac:dyDescent="0.35">
      <c r="E28429" s="35"/>
      <c r="J28429" s="41"/>
    </row>
    <row r="28430" spans="5:10" s="34" customFormat="1" x14ac:dyDescent="0.35">
      <c r="E28430" s="35"/>
      <c r="J28430" s="41"/>
    </row>
    <row r="28431" spans="5:10" s="34" customFormat="1" x14ac:dyDescent="0.35">
      <c r="E28431" s="35"/>
      <c r="J28431" s="41"/>
    </row>
    <row r="28432" spans="5:10" s="34" customFormat="1" x14ac:dyDescent="0.35">
      <c r="E28432" s="35"/>
      <c r="J28432" s="41"/>
    </row>
    <row r="28433" spans="5:10" s="34" customFormat="1" x14ac:dyDescent="0.35">
      <c r="E28433" s="35"/>
      <c r="J28433" s="41"/>
    </row>
    <row r="28434" spans="5:10" s="34" customFormat="1" x14ac:dyDescent="0.35">
      <c r="E28434" s="35"/>
      <c r="J28434" s="41"/>
    </row>
    <row r="28435" spans="5:10" s="34" customFormat="1" x14ac:dyDescent="0.35">
      <c r="E28435" s="35"/>
      <c r="J28435" s="41"/>
    </row>
    <row r="28436" spans="5:10" s="34" customFormat="1" x14ac:dyDescent="0.35">
      <c r="E28436" s="35"/>
      <c r="J28436" s="41"/>
    </row>
    <row r="28437" spans="5:10" s="34" customFormat="1" x14ac:dyDescent="0.35">
      <c r="E28437" s="35"/>
      <c r="J28437" s="41"/>
    </row>
    <row r="28438" spans="5:10" s="34" customFormat="1" x14ac:dyDescent="0.35">
      <c r="E28438" s="35"/>
      <c r="J28438" s="41"/>
    </row>
    <row r="28439" spans="5:10" s="34" customFormat="1" x14ac:dyDescent="0.35">
      <c r="E28439" s="35"/>
      <c r="J28439" s="41"/>
    </row>
    <row r="28440" spans="5:10" s="34" customFormat="1" x14ac:dyDescent="0.35">
      <c r="E28440" s="35"/>
      <c r="J28440" s="41"/>
    </row>
    <row r="28441" spans="5:10" s="34" customFormat="1" x14ac:dyDescent="0.35">
      <c r="E28441" s="35"/>
      <c r="J28441" s="41"/>
    </row>
    <row r="28442" spans="5:10" s="34" customFormat="1" x14ac:dyDescent="0.35">
      <c r="E28442" s="35"/>
      <c r="J28442" s="41"/>
    </row>
    <row r="28443" spans="5:10" s="34" customFormat="1" x14ac:dyDescent="0.35">
      <c r="E28443" s="35"/>
      <c r="J28443" s="41"/>
    </row>
    <row r="28444" spans="5:10" s="34" customFormat="1" x14ac:dyDescent="0.35">
      <c r="E28444" s="35"/>
      <c r="J28444" s="41"/>
    </row>
    <row r="28445" spans="5:10" s="34" customFormat="1" x14ac:dyDescent="0.35">
      <c r="E28445" s="35"/>
      <c r="J28445" s="41"/>
    </row>
    <row r="28446" spans="5:10" s="34" customFormat="1" x14ac:dyDescent="0.35">
      <c r="E28446" s="35"/>
      <c r="J28446" s="41"/>
    </row>
    <row r="28447" spans="5:10" s="34" customFormat="1" x14ac:dyDescent="0.35">
      <c r="E28447" s="35"/>
      <c r="J28447" s="41"/>
    </row>
    <row r="28448" spans="5:10" s="34" customFormat="1" x14ac:dyDescent="0.35">
      <c r="E28448" s="35"/>
      <c r="J28448" s="41"/>
    </row>
    <row r="28449" spans="5:10" s="34" customFormat="1" x14ac:dyDescent="0.35">
      <c r="E28449" s="35"/>
      <c r="J28449" s="41"/>
    </row>
    <row r="28450" spans="5:10" s="34" customFormat="1" x14ac:dyDescent="0.35">
      <c r="E28450" s="35"/>
      <c r="J28450" s="41"/>
    </row>
    <row r="28451" spans="5:10" s="34" customFormat="1" x14ac:dyDescent="0.35">
      <c r="E28451" s="35"/>
      <c r="J28451" s="41"/>
    </row>
    <row r="28452" spans="5:10" s="34" customFormat="1" x14ac:dyDescent="0.35">
      <c r="E28452" s="35"/>
      <c r="J28452" s="41"/>
    </row>
    <row r="28453" spans="5:10" s="34" customFormat="1" x14ac:dyDescent="0.35">
      <c r="E28453" s="35"/>
      <c r="J28453" s="41"/>
    </row>
    <row r="28454" spans="5:10" s="34" customFormat="1" x14ac:dyDescent="0.35">
      <c r="E28454" s="35"/>
      <c r="J28454" s="41"/>
    </row>
    <row r="28455" spans="5:10" s="34" customFormat="1" x14ac:dyDescent="0.35">
      <c r="E28455" s="35"/>
      <c r="J28455" s="41"/>
    </row>
    <row r="28456" spans="5:10" s="34" customFormat="1" x14ac:dyDescent="0.35">
      <c r="E28456" s="35"/>
      <c r="J28456" s="41"/>
    </row>
    <row r="28457" spans="5:10" s="34" customFormat="1" x14ac:dyDescent="0.35">
      <c r="E28457" s="35"/>
      <c r="J28457" s="41"/>
    </row>
    <row r="28458" spans="5:10" s="34" customFormat="1" x14ac:dyDescent="0.35">
      <c r="E28458" s="35"/>
      <c r="J28458" s="41"/>
    </row>
    <row r="28459" spans="5:10" s="34" customFormat="1" x14ac:dyDescent="0.35">
      <c r="E28459" s="35"/>
      <c r="J28459" s="41"/>
    </row>
    <row r="28460" spans="5:10" s="34" customFormat="1" x14ac:dyDescent="0.35">
      <c r="E28460" s="35"/>
      <c r="J28460" s="41"/>
    </row>
    <row r="28461" spans="5:10" s="34" customFormat="1" x14ac:dyDescent="0.35">
      <c r="E28461" s="35"/>
      <c r="J28461" s="41"/>
    </row>
    <row r="28462" spans="5:10" s="34" customFormat="1" x14ac:dyDescent="0.35">
      <c r="E28462" s="35"/>
      <c r="J28462" s="41"/>
    </row>
    <row r="28463" spans="5:10" s="34" customFormat="1" x14ac:dyDescent="0.35">
      <c r="E28463" s="35"/>
      <c r="J28463" s="41"/>
    </row>
    <row r="28464" spans="5:10" s="34" customFormat="1" x14ac:dyDescent="0.35">
      <c r="E28464" s="35"/>
      <c r="J28464" s="41"/>
    </row>
    <row r="28465" spans="5:10" s="34" customFormat="1" x14ac:dyDescent="0.35">
      <c r="E28465" s="35"/>
      <c r="J28465" s="41"/>
    </row>
    <row r="28466" spans="5:10" s="34" customFormat="1" x14ac:dyDescent="0.35">
      <c r="E28466" s="35"/>
      <c r="J28466" s="41"/>
    </row>
    <row r="28467" spans="5:10" s="34" customFormat="1" x14ac:dyDescent="0.35">
      <c r="E28467" s="35"/>
      <c r="J28467" s="41"/>
    </row>
    <row r="28468" spans="5:10" s="34" customFormat="1" x14ac:dyDescent="0.35">
      <c r="E28468" s="35"/>
      <c r="J28468" s="41"/>
    </row>
    <row r="28469" spans="5:10" s="34" customFormat="1" x14ac:dyDescent="0.35">
      <c r="E28469" s="35"/>
      <c r="J28469" s="41"/>
    </row>
    <row r="28470" spans="5:10" s="34" customFormat="1" x14ac:dyDescent="0.35">
      <c r="E28470" s="35"/>
      <c r="J28470" s="41"/>
    </row>
    <row r="28471" spans="5:10" s="34" customFormat="1" x14ac:dyDescent="0.35">
      <c r="E28471" s="35"/>
      <c r="J28471" s="41"/>
    </row>
    <row r="28472" spans="5:10" s="34" customFormat="1" x14ac:dyDescent="0.35">
      <c r="E28472" s="35"/>
      <c r="J28472" s="41"/>
    </row>
    <row r="28473" spans="5:10" s="34" customFormat="1" x14ac:dyDescent="0.35">
      <c r="E28473" s="35"/>
      <c r="J28473" s="41"/>
    </row>
    <row r="28474" spans="5:10" s="34" customFormat="1" x14ac:dyDescent="0.35">
      <c r="E28474" s="35"/>
      <c r="J28474" s="41"/>
    </row>
    <row r="28475" spans="5:10" s="34" customFormat="1" x14ac:dyDescent="0.35">
      <c r="E28475" s="35"/>
      <c r="J28475" s="41"/>
    </row>
    <row r="28476" spans="5:10" s="34" customFormat="1" x14ac:dyDescent="0.35">
      <c r="E28476" s="35"/>
      <c r="J28476" s="41"/>
    </row>
    <row r="28477" spans="5:10" s="34" customFormat="1" x14ac:dyDescent="0.35">
      <c r="E28477" s="35"/>
      <c r="J28477" s="41"/>
    </row>
    <row r="28478" spans="5:10" s="34" customFormat="1" x14ac:dyDescent="0.35">
      <c r="E28478" s="35"/>
      <c r="J28478" s="41"/>
    </row>
    <row r="28479" spans="5:10" s="34" customFormat="1" x14ac:dyDescent="0.35">
      <c r="E28479" s="35"/>
      <c r="J28479" s="41"/>
    </row>
    <row r="28480" spans="5:10" s="34" customFormat="1" x14ac:dyDescent="0.35">
      <c r="E28480" s="35"/>
      <c r="J28480" s="41"/>
    </row>
    <row r="28481" spans="5:10" s="34" customFormat="1" x14ac:dyDescent="0.35">
      <c r="E28481" s="35"/>
      <c r="J28481" s="41"/>
    </row>
    <row r="28482" spans="5:10" s="34" customFormat="1" x14ac:dyDescent="0.35">
      <c r="E28482" s="35"/>
      <c r="J28482" s="41"/>
    </row>
    <row r="28483" spans="5:10" s="34" customFormat="1" x14ac:dyDescent="0.35">
      <c r="E28483" s="35"/>
      <c r="J28483" s="41"/>
    </row>
    <row r="28484" spans="5:10" s="34" customFormat="1" x14ac:dyDescent="0.35">
      <c r="E28484" s="35"/>
      <c r="J28484" s="41"/>
    </row>
    <row r="28485" spans="5:10" s="34" customFormat="1" x14ac:dyDescent="0.35">
      <c r="E28485" s="35"/>
      <c r="J28485" s="41"/>
    </row>
    <row r="28486" spans="5:10" s="34" customFormat="1" x14ac:dyDescent="0.35">
      <c r="E28486" s="35"/>
      <c r="J28486" s="41"/>
    </row>
    <row r="28487" spans="5:10" s="34" customFormat="1" x14ac:dyDescent="0.35">
      <c r="E28487" s="35"/>
      <c r="J28487" s="41"/>
    </row>
    <row r="28488" spans="5:10" s="34" customFormat="1" x14ac:dyDescent="0.35">
      <c r="E28488" s="35"/>
      <c r="J28488" s="41"/>
    </row>
    <row r="28489" spans="5:10" s="34" customFormat="1" x14ac:dyDescent="0.35">
      <c r="E28489" s="35"/>
      <c r="J28489" s="41"/>
    </row>
    <row r="28490" spans="5:10" s="34" customFormat="1" x14ac:dyDescent="0.35">
      <c r="E28490" s="35"/>
      <c r="J28490" s="41"/>
    </row>
    <row r="28491" spans="5:10" s="34" customFormat="1" x14ac:dyDescent="0.35">
      <c r="E28491" s="35"/>
      <c r="J28491" s="41"/>
    </row>
    <row r="28492" spans="5:10" s="34" customFormat="1" x14ac:dyDescent="0.35">
      <c r="E28492" s="35"/>
      <c r="J28492" s="41"/>
    </row>
    <row r="28493" spans="5:10" s="34" customFormat="1" x14ac:dyDescent="0.35">
      <c r="E28493" s="35"/>
      <c r="J28493" s="41"/>
    </row>
    <row r="28494" spans="5:10" s="34" customFormat="1" x14ac:dyDescent="0.35">
      <c r="E28494" s="35"/>
      <c r="J28494" s="41"/>
    </row>
    <row r="28495" spans="5:10" s="34" customFormat="1" x14ac:dyDescent="0.35">
      <c r="E28495" s="35"/>
      <c r="J28495" s="41"/>
    </row>
    <row r="28496" spans="5:10" s="34" customFormat="1" x14ac:dyDescent="0.35">
      <c r="E28496" s="35"/>
      <c r="J28496" s="41"/>
    </row>
    <row r="28497" spans="5:10" s="34" customFormat="1" x14ac:dyDescent="0.35">
      <c r="E28497" s="35"/>
      <c r="J28497" s="41"/>
    </row>
    <row r="28498" spans="5:10" s="34" customFormat="1" x14ac:dyDescent="0.35">
      <c r="E28498" s="35"/>
      <c r="J28498" s="41"/>
    </row>
    <row r="28499" spans="5:10" s="34" customFormat="1" x14ac:dyDescent="0.35">
      <c r="E28499" s="35"/>
      <c r="J28499" s="41"/>
    </row>
    <row r="28500" spans="5:10" s="34" customFormat="1" x14ac:dyDescent="0.35">
      <c r="E28500" s="35"/>
      <c r="J28500" s="41"/>
    </row>
    <row r="28501" spans="5:10" s="34" customFormat="1" x14ac:dyDescent="0.35">
      <c r="E28501" s="35"/>
      <c r="J28501" s="41"/>
    </row>
    <row r="28502" spans="5:10" s="34" customFormat="1" x14ac:dyDescent="0.35">
      <c r="E28502" s="35"/>
      <c r="J28502" s="41"/>
    </row>
    <row r="28503" spans="5:10" s="34" customFormat="1" x14ac:dyDescent="0.35">
      <c r="E28503" s="35"/>
      <c r="J28503" s="41"/>
    </row>
    <row r="28504" spans="5:10" s="34" customFormat="1" x14ac:dyDescent="0.35">
      <c r="E28504" s="35"/>
      <c r="J28504" s="41"/>
    </row>
    <row r="28505" spans="5:10" s="34" customFormat="1" x14ac:dyDescent="0.35">
      <c r="E28505" s="35"/>
      <c r="J28505" s="41"/>
    </row>
    <row r="28506" spans="5:10" s="34" customFormat="1" x14ac:dyDescent="0.35">
      <c r="E28506" s="35"/>
      <c r="J28506" s="41"/>
    </row>
    <row r="28507" spans="5:10" s="34" customFormat="1" x14ac:dyDescent="0.35">
      <c r="E28507" s="35"/>
      <c r="J28507" s="41"/>
    </row>
    <row r="28508" spans="5:10" s="34" customFormat="1" x14ac:dyDescent="0.35">
      <c r="E28508" s="35"/>
      <c r="J28508" s="41"/>
    </row>
    <row r="28509" spans="5:10" s="34" customFormat="1" x14ac:dyDescent="0.35">
      <c r="E28509" s="35"/>
      <c r="J28509" s="41"/>
    </row>
    <row r="28510" spans="5:10" s="34" customFormat="1" x14ac:dyDescent="0.35">
      <c r="E28510" s="35"/>
      <c r="J28510" s="41"/>
    </row>
    <row r="28511" spans="5:10" s="34" customFormat="1" x14ac:dyDescent="0.35">
      <c r="E28511" s="35"/>
      <c r="J28511" s="41"/>
    </row>
    <row r="28512" spans="5:10" s="34" customFormat="1" x14ac:dyDescent="0.35">
      <c r="E28512" s="35"/>
      <c r="J28512" s="41"/>
    </row>
    <row r="28513" spans="5:10" s="34" customFormat="1" x14ac:dyDescent="0.35">
      <c r="E28513" s="35"/>
      <c r="J28513" s="41"/>
    </row>
    <row r="28514" spans="5:10" s="34" customFormat="1" x14ac:dyDescent="0.35">
      <c r="E28514" s="35"/>
      <c r="J28514" s="41"/>
    </row>
    <row r="28515" spans="5:10" s="34" customFormat="1" x14ac:dyDescent="0.35">
      <c r="E28515" s="35"/>
      <c r="J28515" s="41"/>
    </row>
    <row r="28516" spans="5:10" s="34" customFormat="1" x14ac:dyDescent="0.35">
      <c r="E28516" s="35"/>
      <c r="J28516" s="41"/>
    </row>
    <row r="28517" spans="5:10" s="34" customFormat="1" x14ac:dyDescent="0.35">
      <c r="E28517" s="35"/>
      <c r="J28517" s="41"/>
    </row>
    <row r="28518" spans="5:10" s="34" customFormat="1" x14ac:dyDescent="0.35">
      <c r="E28518" s="35"/>
      <c r="J28518" s="41"/>
    </row>
    <row r="28519" spans="5:10" s="34" customFormat="1" x14ac:dyDescent="0.35">
      <c r="E28519" s="35"/>
      <c r="J28519" s="41"/>
    </row>
    <row r="28520" spans="5:10" s="34" customFormat="1" x14ac:dyDescent="0.35">
      <c r="E28520" s="35"/>
      <c r="J28520" s="41"/>
    </row>
    <row r="28521" spans="5:10" s="34" customFormat="1" x14ac:dyDescent="0.35">
      <c r="E28521" s="35"/>
      <c r="J28521" s="41"/>
    </row>
    <row r="28522" spans="5:10" s="34" customFormat="1" x14ac:dyDescent="0.35">
      <c r="E28522" s="35"/>
      <c r="J28522" s="41"/>
    </row>
    <row r="28523" spans="5:10" s="34" customFormat="1" x14ac:dyDescent="0.35">
      <c r="E28523" s="35"/>
      <c r="J28523" s="41"/>
    </row>
    <row r="28524" spans="5:10" s="34" customFormat="1" x14ac:dyDescent="0.35">
      <c r="E28524" s="35"/>
      <c r="J28524" s="41"/>
    </row>
    <row r="28525" spans="5:10" s="34" customFormat="1" x14ac:dyDescent="0.35">
      <c r="E28525" s="35"/>
      <c r="J28525" s="41"/>
    </row>
    <row r="28526" spans="5:10" s="34" customFormat="1" x14ac:dyDescent="0.35">
      <c r="E28526" s="35"/>
      <c r="J28526" s="41"/>
    </row>
    <row r="28527" spans="5:10" s="34" customFormat="1" x14ac:dyDescent="0.35">
      <c r="E28527" s="35"/>
      <c r="J28527" s="41"/>
    </row>
    <row r="28528" spans="5:10" s="34" customFormat="1" x14ac:dyDescent="0.35">
      <c r="E28528" s="35"/>
      <c r="J28528" s="41"/>
    </row>
    <row r="28529" spans="5:10" s="34" customFormat="1" x14ac:dyDescent="0.35">
      <c r="E28529" s="35"/>
      <c r="J28529" s="41"/>
    </row>
    <row r="28530" spans="5:10" s="34" customFormat="1" x14ac:dyDescent="0.35">
      <c r="E28530" s="35"/>
      <c r="J28530" s="41"/>
    </row>
    <row r="28531" spans="5:10" s="34" customFormat="1" x14ac:dyDescent="0.35">
      <c r="E28531" s="35"/>
      <c r="J28531" s="41"/>
    </row>
    <row r="28532" spans="5:10" s="34" customFormat="1" x14ac:dyDescent="0.35">
      <c r="E28532" s="35"/>
      <c r="J28532" s="41"/>
    </row>
    <row r="28533" spans="5:10" s="34" customFormat="1" x14ac:dyDescent="0.35">
      <c r="E28533" s="35"/>
      <c r="J28533" s="41"/>
    </row>
    <row r="28534" spans="5:10" s="34" customFormat="1" x14ac:dyDescent="0.35">
      <c r="E28534" s="35"/>
      <c r="J28534" s="41"/>
    </row>
    <row r="28535" spans="5:10" s="34" customFormat="1" x14ac:dyDescent="0.35">
      <c r="E28535" s="35"/>
      <c r="J28535" s="41"/>
    </row>
    <row r="28536" spans="5:10" s="34" customFormat="1" x14ac:dyDescent="0.35">
      <c r="E28536" s="35"/>
      <c r="J28536" s="41"/>
    </row>
    <row r="28537" spans="5:10" s="34" customFormat="1" x14ac:dyDescent="0.35">
      <c r="E28537" s="35"/>
      <c r="J28537" s="41"/>
    </row>
    <row r="28538" spans="5:10" s="34" customFormat="1" x14ac:dyDescent="0.35">
      <c r="E28538" s="35"/>
      <c r="J28538" s="41"/>
    </row>
    <row r="28539" spans="5:10" s="34" customFormat="1" x14ac:dyDescent="0.35">
      <c r="E28539" s="35"/>
      <c r="J28539" s="41"/>
    </row>
    <row r="28540" spans="5:10" s="34" customFormat="1" x14ac:dyDescent="0.35">
      <c r="E28540" s="35"/>
      <c r="J28540" s="41"/>
    </row>
    <row r="28541" spans="5:10" s="34" customFormat="1" x14ac:dyDescent="0.35">
      <c r="E28541" s="35"/>
      <c r="J28541" s="41"/>
    </row>
    <row r="28542" spans="5:10" s="34" customFormat="1" x14ac:dyDescent="0.35">
      <c r="E28542" s="35"/>
      <c r="J28542" s="41"/>
    </row>
    <row r="28543" spans="5:10" s="34" customFormat="1" x14ac:dyDescent="0.35">
      <c r="E28543" s="35"/>
      <c r="J28543" s="41"/>
    </row>
    <row r="28544" spans="5:10" s="34" customFormat="1" x14ac:dyDescent="0.35">
      <c r="E28544" s="35"/>
      <c r="J28544" s="41"/>
    </row>
    <row r="28545" spans="5:10" s="34" customFormat="1" x14ac:dyDescent="0.35">
      <c r="E28545" s="35"/>
      <c r="J28545" s="41"/>
    </row>
    <row r="28546" spans="5:10" s="34" customFormat="1" x14ac:dyDescent="0.35">
      <c r="E28546" s="35"/>
      <c r="J28546" s="41"/>
    </row>
    <row r="28547" spans="5:10" s="34" customFormat="1" x14ac:dyDescent="0.35">
      <c r="E28547" s="35"/>
      <c r="J28547" s="41"/>
    </row>
    <row r="28548" spans="5:10" s="34" customFormat="1" x14ac:dyDescent="0.35">
      <c r="E28548" s="35"/>
      <c r="J28548" s="41"/>
    </row>
    <row r="28549" spans="5:10" s="34" customFormat="1" x14ac:dyDescent="0.35">
      <c r="E28549" s="35"/>
      <c r="J28549" s="41"/>
    </row>
    <row r="28550" spans="5:10" s="34" customFormat="1" x14ac:dyDescent="0.35">
      <c r="E28550" s="35"/>
      <c r="J28550" s="41"/>
    </row>
    <row r="28551" spans="5:10" s="34" customFormat="1" x14ac:dyDescent="0.35">
      <c r="E28551" s="35"/>
      <c r="J28551" s="41"/>
    </row>
    <row r="28552" spans="5:10" s="34" customFormat="1" x14ac:dyDescent="0.35">
      <c r="E28552" s="35"/>
      <c r="J28552" s="41"/>
    </row>
    <row r="28553" spans="5:10" s="34" customFormat="1" x14ac:dyDescent="0.35">
      <c r="E28553" s="35"/>
      <c r="J28553" s="41"/>
    </row>
    <row r="28554" spans="5:10" s="34" customFormat="1" x14ac:dyDescent="0.35">
      <c r="E28554" s="35"/>
      <c r="J28554" s="41"/>
    </row>
    <row r="28555" spans="5:10" s="34" customFormat="1" x14ac:dyDescent="0.35">
      <c r="E28555" s="35"/>
      <c r="J28555" s="41"/>
    </row>
    <row r="28556" spans="5:10" s="34" customFormat="1" x14ac:dyDescent="0.35">
      <c r="E28556" s="35"/>
      <c r="J28556" s="41"/>
    </row>
    <row r="28557" spans="5:10" s="34" customFormat="1" x14ac:dyDescent="0.35">
      <c r="E28557" s="35"/>
      <c r="J28557" s="41"/>
    </row>
    <row r="28558" spans="5:10" s="34" customFormat="1" x14ac:dyDescent="0.35">
      <c r="E28558" s="35"/>
      <c r="J28558" s="41"/>
    </row>
    <row r="28559" spans="5:10" s="34" customFormat="1" x14ac:dyDescent="0.35">
      <c r="E28559" s="35"/>
      <c r="J28559" s="41"/>
    </row>
    <row r="28560" spans="5:10" s="34" customFormat="1" x14ac:dyDescent="0.35">
      <c r="E28560" s="35"/>
      <c r="J28560" s="41"/>
    </row>
    <row r="28561" spans="5:10" s="34" customFormat="1" x14ac:dyDescent="0.35">
      <c r="E28561" s="35"/>
      <c r="J28561" s="41"/>
    </row>
    <row r="28562" spans="5:10" s="34" customFormat="1" x14ac:dyDescent="0.35">
      <c r="E28562" s="35"/>
      <c r="J28562" s="41"/>
    </row>
    <row r="28563" spans="5:10" s="34" customFormat="1" x14ac:dyDescent="0.35">
      <c r="E28563" s="35"/>
      <c r="J28563" s="41"/>
    </row>
    <row r="28564" spans="5:10" s="34" customFormat="1" x14ac:dyDescent="0.35">
      <c r="E28564" s="35"/>
      <c r="J28564" s="41"/>
    </row>
    <row r="28565" spans="5:10" s="34" customFormat="1" x14ac:dyDescent="0.35">
      <c r="E28565" s="35"/>
      <c r="J28565" s="41"/>
    </row>
    <row r="28566" spans="5:10" s="34" customFormat="1" x14ac:dyDescent="0.35">
      <c r="E28566" s="35"/>
      <c r="J28566" s="41"/>
    </row>
    <row r="28567" spans="5:10" s="34" customFormat="1" x14ac:dyDescent="0.35">
      <c r="E28567" s="35"/>
      <c r="J28567" s="41"/>
    </row>
    <row r="28568" spans="5:10" s="34" customFormat="1" x14ac:dyDescent="0.35">
      <c r="E28568" s="35"/>
      <c r="J28568" s="41"/>
    </row>
    <row r="28569" spans="5:10" s="34" customFormat="1" x14ac:dyDescent="0.35">
      <c r="E28569" s="35"/>
      <c r="J28569" s="41"/>
    </row>
    <row r="28570" spans="5:10" s="34" customFormat="1" x14ac:dyDescent="0.35">
      <c r="E28570" s="35"/>
      <c r="J28570" s="41"/>
    </row>
    <row r="28571" spans="5:10" s="34" customFormat="1" x14ac:dyDescent="0.35">
      <c r="E28571" s="35"/>
      <c r="J28571" s="41"/>
    </row>
    <row r="28572" spans="5:10" s="34" customFormat="1" x14ac:dyDescent="0.35">
      <c r="E28572" s="35"/>
      <c r="J28572" s="41"/>
    </row>
    <row r="28573" spans="5:10" s="34" customFormat="1" x14ac:dyDescent="0.35">
      <c r="E28573" s="35"/>
      <c r="J28573" s="41"/>
    </row>
    <row r="28574" spans="5:10" s="34" customFormat="1" x14ac:dyDescent="0.35">
      <c r="E28574" s="35"/>
      <c r="J28574" s="41"/>
    </row>
    <row r="28575" spans="5:10" s="34" customFormat="1" x14ac:dyDescent="0.35">
      <c r="E28575" s="35"/>
      <c r="J28575" s="41"/>
    </row>
    <row r="28576" spans="5:10" s="34" customFormat="1" x14ac:dyDescent="0.35">
      <c r="E28576" s="35"/>
      <c r="J28576" s="41"/>
    </row>
    <row r="28577" spans="5:10" s="34" customFormat="1" x14ac:dyDescent="0.35">
      <c r="E28577" s="35"/>
      <c r="J28577" s="41"/>
    </row>
    <row r="28578" spans="5:10" s="34" customFormat="1" x14ac:dyDescent="0.35">
      <c r="E28578" s="35"/>
      <c r="J28578" s="41"/>
    </row>
    <row r="28579" spans="5:10" s="34" customFormat="1" x14ac:dyDescent="0.35">
      <c r="E28579" s="35"/>
      <c r="J28579" s="41"/>
    </row>
    <row r="28580" spans="5:10" s="34" customFormat="1" x14ac:dyDescent="0.35">
      <c r="E28580" s="35"/>
      <c r="J28580" s="41"/>
    </row>
    <row r="28581" spans="5:10" s="34" customFormat="1" x14ac:dyDescent="0.35">
      <c r="E28581" s="35"/>
      <c r="J28581" s="41"/>
    </row>
    <row r="28582" spans="5:10" s="34" customFormat="1" x14ac:dyDescent="0.35">
      <c r="E28582" s="35"/>
      <c r="J28582" s="41"/>
    </row>
    <row r="28583" spans="5:10" s="34" customFormat="1" x14ac:dyDescent="0.35">
      <c r="E28583" s="35"/>
      <c r="J28583" s="41"/>
    </row>
    <row r="28584" spans="5:10" s="34" customFormat="1" x14ac:dyDescent="0.35">
      <c r="E28584" s="35"/>
      <c r="J28584" s="41"/>
    </row>
    <row r="28585" spans="5:10" s="34" customFormat="1" x14ac:dyDescent="0.35">
      <c r="E28585" s="35"/>
      <c r="J28585" s="41"/>
    </row>
    <row r="28586" spans="5:10" s="34" customFormat="1" x14ac:dyDescent="0.35">
      <c r="E28586" s="35"/>
      <c r="J28586" s="41"/>
    </row>
    <row r="28587" spans="5:10" s="34" customFormat="1" x14ac:dyDescent="0.35">
      <c r="E28587" s="35"/>
      <c r="J28587" s="41"/>
    </row>
    <row r="28588" spans="5:10" s="34" customFormat="1" x14ac:dyDescent="0.35">
      <c r="E28588" s="35"/>
      <c r="J28588" s="41"/>
    </row>
    <row r="28589" spans="5:10" s="34" customFormat="1" x14ac:dyDescent="0.35">
      <c r="E28589" s="35"/>
      <c r="J28589" s="41"/>
    </row>
    <row r="28590" spans="5:10" s="34" customFormat="1" x14ac:dyDescent="0.35">
      <c r="E28590" s="35"/>
      <c r="J28590" s="41"/>
    </row>
    <row r="28591" spans="5:10" s="34" customFormat="1" x14ac:dyDescent="0.35">
      <c r="E28591" s="35"/>
      <c r="J28591" s="41"/>
    </row>
    <row r="28592" spans="5:10" s="34" customFormat="1" x14ac:dyDescent="0.35">
      <c r="E28592" s="35"/>
      <c r="J28592" s="41"/>
    </row>
    <row r="28593" spans="5:10" s="34" customFormat="1" x14ac:dyDescent="0.35">
      <c r="E28593" s="35"/>
      <c r="J28593" s="41"/>
    </row>
    <row r="28594" spans="5:10" s="34" customFormat="1" x14ac:dyDescent="0.35">
      <c r="E28594" s="35"/>
      <c r="J28594" s="41"/>
    </row>
    <row r="28595" spans="5:10" s="34" customFormat="1" x14ac:dyDescent="0.35">
      <c r="E28595" s="35"/>
      <c r="J28595" s="41"/>
    </row>
    <row r="28596" spans="5:10" s="34" customFormat="1" x14ac:dyDescent="0.35">
      <c r="E28596" s="35"/>
      <c r="J28596" s="41"/>
    </row>
    <row r="28597" spans="5:10" s="34" customFormat="1" x14ac:dyDescent="0.35">
      <c r="E28597" s="35"/>
      <c r="J28597" s="41"/>
    </row>
    <row r="28598" spans="5:10" s="34" customFormat="1" x14ac:dyDescent="0.35">
      <c r="E28598" s="35"/>
      <c r="J28598" s="41"/>
    </row>
    <row r="28599" spans="5:10" s="34" customFormat="1" x14ac:dyDescent="0.35">
      <c r="E28599" s="35"/>
      <c r="J28599" s="41"/>
    </row>
    <row r="28600" spans="5:10" s="34" customFormat="1" x14ac:dyDescent="0.35">
      <c r="E28600" s="35"/>
      <c r="J28600" s="41"/>
    </row>
    <row r="28601" spans="5:10" s="34" customFormat="1" x14ac:dyDescent="0.35">
      <c r="E28601" s="35"/>
      <c r="J28601" s="41"/>
    </row>
    <row r="28602" spans="5:10" s="34" customFormat="1" x14ac:dyDescent="0.35">
      <c r="E28602" s="35"/>
      <c r="J28602" s="41"/>
    </row>
    <row r="28603" spans="5:10" s="34" customFormat="1" x14ac:dyDescent="0.35">
      <c r="E28603" s="35"/>
      <c r="J28603" s="41"/>
    </row>
    <row r="28604" spans="5:10" s="34" customFormat="1" x14ac:dyDescent="0.35">
      <c r="E28604" s="35"/>
      <c r="J28604" s="41"/>
    </row>
    <row r="28605" spans="5:10" s="34" customFormat="1" x14ac:dyDescent="0.35">
      <c r="E28605" s="35"/>
      <c r="J28605" s="41"/>
    </row>
    <row r="28606" spans="5:10" s="34" customFormat="1" x14ac:dyDescent="0.35">
      <c r="E28606" s="35"/>
      <c r="J28606" s="41"/>
    </row>
    <row r="28607" spans="5:10" s="34" customFormat="1" x14ac:dyDescent="0.35">
      <c r="E28607" s="35"/>
      <c r="J28607" s="41"/>
    </row>
    <row r="28608" spans="5:10" s="34" customFormat="1" x14ac:dyDescent="0.35">
      <c r="E28608" s="35"/>
      <c r="J28608" s="41"/>
    </row>
    <row r="28609" spans="5:10" s="34" customFormat="1" x14ac:dyDescent="0.35">
      <c r="E28609" s="35"/>
      <c r="J28609" s="41"/>
    </row>
    <row r="28610" spans="5:10" s="34" customFormat="1" x14ac:dyDescent="0.35">
      <c r="E28610" s="35"/>
      <c r="J28610" s="41"/>
    </row>
    <row r="28611" spans="5:10" s="34" customFormat="1" x14ac:dyDescent="0.35">
      <c r="E28611" s="35"/>
      <c r="J28611" s="41"/>
    </row>
    <row r="28612" spans="5:10" s="34" customFormat="1" x14ac:dyDescent="0.35">
      <c r="E28612" s="35"/>
      <c r="J28612" s="41"/>
    </row>
    <row r="28613" spans="5:10" s="34" customFormat="1" x14ac:dyDescent="0.35">
      <c r="E28613" s="35"/>
      <c r="J28613" s="41"/>
    </row>
    <row r="28614" spans="5:10" s="34" customFormat="1" x14ac:dyDescent="0.35">
      <c r="E28614" s="35"/>
      <c r="J28614" s="41"/>
    </row>
    <row r="28615" spans="5:10" s="34" customFormat="1" x14ac:dyDescent="0.35">
      <c r="E28615" s="35"/>
      <c r="J28615" s="41"/>
    </row>
    <row r="28616" spans="5:10" s="34" customFormat="1" x14ac:dyDescent="0.35">
      <c r="E28616" s="35"/>
      <c r="J28616" s="41"/>
    </row>
    <row r="28617" spans="5:10" s="34" customFormat="1" x14ac:dyDescent="0.35">
      <c r="E28617" s="35"/>
      <c r="J28617" s="41"/>
    </row>
    <row r="28618" spans="5:10" s="34" customFormat="1" x14ac:dyDescent="0.35">
      <c r="E28618" s="35"/>
      <c r="J28618" s="41"/>
    </row>
    <row r="28619" spans="5:10" s="34" customFormat="1" x14ac:dyDescent="0.35">
      <c r="E28619" s="35"/>
      <c r="J28619" s="41"/>
    </row>
    <row r="28620" spans="5:10" s="34" customFormat="1" x14ac:dyDescent="0.35">
      <c r="E28620" s="35"/>
      <c r="J28620" s="41"/>
    </row>
    <row r="28621" spans="5:10" s="34" customFormat="1" x14ac:dyDescent="0.35">
      <c r="E28621" s="35"/>
      <c r="J28621" s="41"/>
    </row>
    <row r="28622" spans="5:10" s="34" customFormat="1" x14ac:dyDescent="0.35">
      <c r="E28622" s="35"/>
      <c r="J28622" s="41"/>
    </row>
    <row r="28623" spans="5:10" s="34" customFormat="1" x14ac:dyDescent="0.35">
      <c r="E28623" s="35"/>
      <c r="J28623" s="41"/>
    </row>
    <row r="28624" spans="5:10" s="34" customFormat="1" x14ac:dyDescent="0.35">
      <c r="E28624" s="35"/>
      <c r="J28624" s="41"/>
    </row>
    <row r="28625" spans="5:10" s="34" customFormat="1" x14ac:dyDescent="0.35">
      <c r="E28625" s="35"/>
      <c r="J28625" s="41"/>
    </row>
    <row r="28626" spans="5:10" s="34" customFormat="1" x14ac:dyDescent="0.35">
      <c r="E28626" s="35"/>
      <c r="J28626" s="41"/>
    </row>
    <row r="28627" spans="5:10" s="34" customFormat="1" x14ac:dyDescent="0.35">
      <c r="E28627" s="35"/>
      <c r="J28627" s="41"/>
    </row>
    <row r="28628" spans="5:10" s="34" customFormat="1" x14ac:dyDescent="0.35">
      <c r="E28628" s="35"/>
      <c r="J28628" s="41"/>
    </row>
    <row r="28629" spans="5:10" s="34" customFormat="1" x14ac:dyDescent="0.35">
      <c r="E28629" s="35"/>
      <c r="J28629" s="41"/>
    </row>
    <row r="28630" spans="5:10" s="34" customFormat="1" x14ac:dyDescent="0.35">
      <c r="E28630" s="35"/>
      <c r="J28630" s="41"/>
    </row>
    <row r="28631" spans="5:10" s="34" customFormat="1" x14ac:dyDescent="0.35">
      <c r="E28631" s="35"/>
      <c r="J28631" s="41"/>
    </row>
    <row r="28632" spans="5:10" s="34" customFormat="1" x14ac:dyDescent="0.35">
      <c r="E28632" s="35"/>
      <c r="J28632" s="41"/>
    </row>
    <row r="28633" spans="5:10" s="34" customFormat="1" x14ac:dyDescent="0.35">
      <c r="E28633" s="35"/>
      <c r="J28633" s="41"/>
    </row>
    <row r="28634" spans="5:10" s="34" customFormat="1" x14ac:dyDescent="0.35">
      <c r="E28634" s="35"/>
      <c r="J28634" s="41"/>
    </row>
    <row r="28635" spans="5:10" s="34" customFormat="1" x14ac:dyDescent="0.35">
      <c r="E28635" s="35"/>
      <c r="J28635" s="41"/>
    </row>
    <row r="28636" spans="5:10" s="34" customFormat="1" x14ac:dyDescent="0.35">
      <c r="E28636" s="35"/>
      <c r="J28636" s="41"/>
    </row>
    <row r="28637" spans="5:10" s="34" customFormat="1" x14ac:dyDescent="0.35">
      <c r="E28637" s="35"/>
      <c r="J28637" s="41"/>
    </row>
    <row r="28638" spans="5:10" s="34" customFormat="1" x14ac:dyDescent="0.35">
      <c r="E28638" s="35"/>
      <c r="J28638" s="41"/>
    </row>
    <row r="28639" spans="5:10" s="34" customFormat="1" x14ac:dyDescent="0.35">
      <c r="E28639" s="35"/>
      <c r="J28639" s="41"/>
    </row>
    <row r="28640" spans="5:10" s="34" customFormat="1" x14ac:dyDescent="0.35">
      <c r="E28640" s="35"/>
      <c r="J28640" s="41"/>
    </row>
    <row r="28641" spans="5:10" s="34" customFormat="1" x14ac:dyDescent="0.35">
      <c r="E28641" s="35"/>
      <c r="J28641" s="41"/>
    </row>
    <row r="28642" spans="5:10" s="34" customFormat="1" x14ac:dyDescent="0.35">
      <c r="E28642" s="35"/>
      <c r="J28642" s="41"/>
    </row>
    <row r="28643" spans="5:10" s="34" customFormat="1" x14ac:dyDescent="0.35">
      <c r="E28643" s="35"/>
      <c r="J28643" s="41"/>
    </row>
    <row r="28644" spans="5:10" s="34" customFormat="1" x14ac:dyDescent="0.35">
      <c r="E28644" s="35"/>
      <c r="J28644" s="41"/>
    </row>
    <row r="28645" spans="5:10" s="34" customFormat="1" x14ac:dyDescent="0.35">
      <c r="E28645" s="35"/>
      <c r="J28645" s="41"/>
    </row>
    <row r="28646" spans="5:10" s="34" customFormat="1" x14ac:dyDescent="0.35">
      <c r="E28646" s="35"/>
      <c r="J28646" s="41"/>
    </row>
    <row r="28647" spans="5:10" s="34" customFormat="1" x14ac:dyDescent="0.35">
      <c r="E28647" s="35"/>
      <c r="J28647" s="41"/>
    </row>
    <row r="28648" spans="5:10" s="34" customFormat="1" x14ac:dyDescent="0.35">
      <c r="E28648" s="35"/>
      <c r="J28648" s="41"/>
    </row>
    <row r="28649" spans="5:10" s="34" customFormat="1" x14ac:dyDescent="0.35">
      <c r="E28649" s="35"/>
      <c r="J28649" s="41"/>
    </row>
    <row r="28650" spans="5:10" s="34" customFormat="1" x14ac:dyDescent="0.35">
      <c r="E28650" s="35"/>
      <c r="J28650" s="41"/>
    </row>
    <row r="28651" spans="5:10" s="34" customFormat="1" x14ac:dyDescent="0.35">
      <c r="E28651" s="35"/>
      <c r="J28651" s="41"/>
    </row>
    <row r="28652" spans="5:10" s="34" customFormat="1" x14ac:dyDescent="0.35">
      <c r="E28652" s="35"/>
      <c r="J28652" s="41"/>
    </row>
    <row r="28653" spans="5:10" s="34" customFormat="1" x14ac:dyDescent="0.35">
      <c r="E28653" s="35"/>
      <c r="J28653" s="41"/>
    </row>
    <row r="28654" spans="5:10" s="34" customFormat="1" x14ac:dyDescent="0.35">
      <c r="E28654" s="35"/>
      <c r="J28654" s="41"/>
    </row>
    <row r="28655" spans="5:10" s="34" customFormat="1" x14ac:dyDescent="0.35">
      <c r="E28655" s="35"/>
      <c r="J28655" s="41"/>
    </row>
    <row r="28656" spans="5:10" s="34" customFormat="1" x14ac:dyDescent="0.35">
      <c r="E28656" s="35"/>
      <c r="J28656" s="41"/>
    </row>
    <row r="28657" spans="5:10" s="34" customFormat="1" x14ac:dyDescent="0.35">
      <c r="E28657" s="35"/>
      <c r="J28657" s="41"/>
    </row>
    <row r="28658" spans="5:10" s="34" customFormat="1" x14ac:dyDescent="0.35">
      <c r="E28658" s="35"/>
      <c r="J28658" s="41"/>
    </row>
    <row r="28659" spans="5:10" s="34" customFormat="1" x14ac:dyDescent="0.35">
      <c r="E28659" s="35"/>
      <c r="J28659" s="41"/>
    </row>
    <row r="28660" spans="5:10" s="34" customFormat="1" x14ac:dyDescent="0.35">
      <c r="E28660" s="35"/>
      <c r="J28660" s="41"/>
    </row>
    <row r="28661" spans="5:10" s="34" customFormat="1" x14ac:dyDescent="0.35">
      <c r="E28661" s="35"/>
      <c r="J28661" s="41"/>
    </row>
    <row r="28662" spans="5:10" s="34" customFormat="1" x14ac:dyDescent="0.35">
      <c r="E28662" s="35"/>
      <c r="J28662" s="41"/>
    </row>
    <row r="28663" spans="5:10" s="34" customFormat="1" x14ac:dyDescent="0.35">
      <c r="E28663" s="35"/>
      <c r="J28663" s="41"/>
    </row>
    <row r="28664" spans="5:10" s="34" customFormat="1" x14ac:dyDescent="0.35">
      <c r="E28664" s="35"/>
      <c r="J28664" s="41"/>
    </row>
    <row r="28665" spans="5:10" s="34" customFormat="1" x14ac:dyDescent="0.35">
      <c r="E28665" s="35"/>
      <c r="J28665" s="41"/>
    </row>
    <row r="28666" spans="5:10" s="34" customFormat="1" x14ac:dyDescent="0.35">
      <c r="E28666" s="35"/>
      <c r="J28666" s="41"/>
    </row>
    <row r="28667" spans="5:10" s="34" customFormat="1" x14ac:dyDescent="0.35">
      <c r="E28667" s="35"/>
      <c r="J28667" s="41"/>
    </row>
    <row r="28668" spans="5:10" s="34" customFormat="1" x14ac:dyDescent="0.35">
      <c r="E28668" s="35"/>
      <c r="J28668" s="41"/>
    </row>
    <row r="28669" spans="5:10" s="34" customFormat="1" x14ac:dyDescent="0.35">
      <c r="E28669" s="35"/>
      <c r="J28669" s="41"/>
    </row>
    <row r="28670" spans="5:10" s="34" customFormat="1" x14ac:dyDescent="0.35">
      <c r="E28670" s="35"/>
      <c r="J28670" s="41"/>
    </row>
    <row r="28671" spans="5:10" s="34" customFormat="1" x14ac:dyDescent="0.35">
      <c r="E28671" s="35"/>
      <c r="J28671" s="41"/>
    </row>
    <row r="28672" spans="5:10" s="34" customFormat="1" x14ac:dyDescent="0.35">
      <c r="E28672" s="35"/>
      <c r="J28672" s="41"/>
    </row>
    <row r="28673" spans="5:10" s="34" customFormat="1" x14ac:dyDescent="0.35">
      <c r="E28673" s="35"/>
      <c r="J28673" s="41"/>
    </row>
    <row r="28674" spans="5:10" s="34" customFormat="1" x14ac:dyDescent="0.35">
      <c r="E28674" s="35"/>
      <c r="J28674" s="41"/>
    </row>
    <row r="28675" spans="5:10" s="34" customFormat="1" x14ac:dyDescent="0.35">
      <c r="E28675" s="35"/>
      <c r="J28675" s="41"/>
    </row>
    <row r="28676" spans="5:10" s="34" customFormat="1" x14ac:dyDescent="0.35">
      <c r="E28676" s="35"/>
      <c r="J28676" s="41"/>
    </row>
    <row r="28677" spans="5:10" s="34" customFormat="1" x14ac:dyDescent="0.35">
      <c r="E28677" s="35"/>
      <c r="J28677" s="41"/>
    </row>
    <row r="28678" spans="5:10" s="34" customFormat="1" x14ac:dyDescent="0.35">
      <c r="E28678" s="35"/>
      <c r="J28678" s="41"/>
    </row>
    <row r="28679" spans="5:10" s="34" customFormat="1" x14ac:dyDescent="0.35">
      <c r="E28679" s="35"/>
      <c r="J28679" s="41"/>
    </row>
    <row r="28680" spans="5:10" s="34" customFormat="1" x14ac:dyDescent="0.35">
      <c r="E28680" s="35"/>
      <c r="J28680" s="41"/>
    </row>
    <row r="28681" spans="5:10" s="34" customFormat="1" x14ac:dyDescent="0.35">
      <c r="E28681" s="35"/>
      <c r="J28681" s="41"/>
    </row>
    <row r="28682" spans="5:10" s="34" customFormat="1" x14ac:dyDescent="0.35">
      <c r="E28682" s="35"/>
      <c r="J28682" s="41"/>
    </row>
    <row r="28683" spans="5:10" s="34" customFormat="1" x14ac:dyDescent="0.35">
      <c r="E28683" s="35"/>
      <c r="J28683" s="41"/>
    </row>
    <row r="28684" spans="5:10" s="34" customFormat="1" x14ac:dyDescent="0.35">
      <c r="E28684" s="35"/>
      <c r="J28684" s="41"/>
    </row>
    <row r="28685" spans="5:10" s="34" customFormat="1" x14ac:dyDescent="0.35">
      <c r="E28685" s="35"/>
      <c r="J28685" s="41"/>
    </row>
    <row r="28686" spans="5:10" s="34" customFormat="1" x14ac:dyDescent="0.35">
      <c r="E28686" s="35"/>
      <c r="J28686" s="41"/>
    </row>
    <row r="28687" spans="5:10" s="34" customFormat="1" x14ac:dyDescent="0.35">
      <c r="E28687" s="35"/>
      <c r="J28687" s="41"/>
    </row>
    <row r="28688" spans="5:10" s="34" customFormat="1" x14ac:dyDescent="0.35">
      <c r="E28688" s="35"/>
      <c r="J28688" s="41"/>
    </row>
    <row r="28689" spans="5:10" s="34" customFormat="1" x14ac:dyDescent="0.35">
      <c r="E28689" s="35"/>
      <c r="J28689" s="41"/>
    </row>
    <row r="28690" spans="5:10" s="34" customFormat="1" x14ac:dyDescent="0.35">
      <c r="E28690" s="35"/>
      <c r="J28690" s="41"/>
    </row>
    <row r="28691" spans="5:10" s="34" customFormat="1" x14ac:dyDescent="0.35">
      <c r="E28691" s="35"/>
      <c r="J28691" s="41"/>
    </row>
    <row r="28692" spans="5:10" s="34" customFormat="1" x14ac:dyDescent="0.35">
      <c r="E28692" s="35"/>
      <c r="J28692" s="41"/>
    </row>
    <row r="28693" spans="5:10" s="34" customFormat="1" x14ac:dyDescent="0.35">
      <c r="E28693" s="35"/>
      <c r="J28693" s="41"/>
    </row>
    <row r="28694" spans="5:10" s="34" customFormat="1" x14ac:dyDescent="0.35">
      <c r="E28694" s="35"/>
      <c r="J28694" s="41"/>
    </row>
    <row r="28695" spans="5:10" s="34" customFormat="1" x14ac:dyDescent="0.35">
      <c r="E28695" s="35"/>
      <c r="J28695" s="41"/>
    </row>
    <row r="28696" spans="5:10" s="34" customFormat="1" x14ac:dyDescent="0.35">
      <c r="E28696" s="35"/>
      <c r="J28696" s="41"/>
    </row>
    <row r="28697" spans="5:10" s="34" customFormat="1" x14ac:dyDescent="0.35">
      <c r="E28697" s="35"/>
      <c r="J28697" s="41"/>
    </row>
    <row r="28698" spans="5:10" s="34" customFormat="1" x14ac:dyDescent="0.35">
      <c r="E28698" s="35"/>
      <c r="J28698" s="41"/>
    </row>
    <row r="28699" spans="5:10" s="34" customFormat="1" x14ac:dyDescent="0.35">
      <c r="E28699" s="35"/>
      <c r="J28699" s="41"/>
    </row>
    <row r="28700" spans="5:10" s="34" customFormat="1" x14ac:dyDescent="0.35">
      <c r="E28700" s="35"/>
      <c r="J28700" s="41"/>
    </row>
    <row r="28701" spans="5:10" s="34" customFormat="1" x14ac:dyDescent="0.35">
      <c r="E28701" s="35"/>
      <c r="J28701" s="41"/>
    </row>
    <row r="28702" spans="5:10" s="34" customFormat="1" x14ac:dyDescent="0.35">
      <c r="E28702" s="35"/>
      <c r="J28702" s="41"/>
    </row>
    <row r="28703" spans="5:10" s="34" customFormat="1" x14ac:dyDescent="0.35">
      <c r="E28703" s="35"/>
      <c r="J28703" s="41"/>
    </row>
    <row r="28704" spans="5:10" s="34" customFormat="1" x14ac:dyDescent="0.35">
      <c r="E28704" s="35"/>
      <c r="J28704" s="41"/>
    </row>
    <row r="28705" spans="5:10" s="34" customFormat="1" x14ac:dyDescent="0.35">
      <c r="E28705" s="35"/>
      <c r="J28705" s="41"/>
    </row>
    <row r="28706" spans="5:10" s="34" customFormat="1" x14ac:dyDescent="0.35">
      <c r="E28706" s="35"/>
      <c r="J28706" s="41"/>
    </row>
    <row r="28707" spans="5:10" s="34" customFormat="1" x14ac:dyDescent="0.35">
      <c r="E28707" s="35"/>
      <c r="J28707" s="41"/>
    </row>
    <row r="28708" spans="5:10" s="34" customFormat="1" x14ac:dyDescent="0.35">
      <c r="E28708" s="35"/>
      <c r="J28708" s="41"/>
    </row>
    <row r="28709" spans="5:10" s="34" customFormat="1" x14ac:dyDescent="0.35">
      <c r="E28709" s="35"/>
      <c r="J28709" s="41"/>
    </row>
    <row r="28710" spans="5:10" s="34" customFormat="1" x14ac:dyDescent="0.35">
      <c r="E28710" s="35"/>
      <c r="J28710" s="41"/>
    </row>
    <row r="28711" spans="5:10" s="34" customFormat="1" x14ac:dyDescent="0.35">
      <c r="E28711" s="35"/>
      <c r="J28711" s="41"/>
    </row>
    <row r="28712" spans="5:10" s="34" customFormat="1" x14ac:dyDescent="0.35">
      <c r="E28712" s="35"/>
      <c r="J28712" s="41"/>
    </row>
    <row r="28713" spans="5:10" s="34" customFormat="1" x14ac:dyDescent="0.35">
      <c r="E28713" s="35"/>
      <c r="J28713" s="41"/>
    </row>
    <row r="28714" spans="5:10" s="34" customFormat="1" x14ac:dyDescent="0.35">
      <c r="E28714" s="35"/>
      <c r="J28714" s="41"/>
    </row>
    <row r="28715" spans="5:10" s="34" customFormat="1" x14ac:dyDescent="0.35">
      <c r="E28715" s="35"/>
      <c r="J28715" s="41"/>
    </row>
    <row r="28716" spans="5:10" s="34" customFormat="1" x14ac:dyDescent="0.35">
      <c r="E28716" s="35"/>
      <c r="J28716" s="41"/>
    </row>
    <row r="28717" spans="5:10" s="34" customFormat="1" x14ac:dyDescent="0.35">
      <c r="E28717" s="35"/>
      <c r="J28717" s="41"/>
    </row>
    <row r="28718" spans="5:10" s="34" customFormat="1" x14ac:dyDescent="0.35">
      <c r="E28718" s="35"/>
      <c r="J28718" s="41"/>
    </row>
    <row r="28719" spans="5:10" s="34" customFormat="1" x14ac:dyDescent="0.35">
      <c r="E28719" s="35"/>
      <c r="J28719" s="41"/>
    </row>
    <row r="28720" spans="5:10" s="34" customFormat="1" x14ac:dyDescent="0.35">
      <c r="E28720" s="35"/>
      <c r="J28720" s="41"/>
    </row>
    <row r="28721" spans="5:10" s="34" customFormat="1" x14ac:dyDescent="0.35">
      <c r="E28721" s="35"/>
      <c r="J28721" s="41"/>
    </row>
    <row r="28722" spans="5:10" s="34" customFormat="1" x14ac:dyDescent="0.35">
      <c r="E28722" s="35"/>
      <c r="J28722" s="41"/>
    </row>
    <row r="28723" spans="5:10" s="34" customFormat="1" x14ac:dyDescent="0.35">
      <c r="E28723" s="35"/>
      <c r="J28723" s="41"/>
    </row>
    <row r="28724" spans="5:10" s="34" customFormat="1" x14ac:dyDescent="0.35">
      <c r="E28724" s="35"/>
      <c r="J28724" s="41"/>
    </row>
    <row r="28725" spans="5:10" s="34" customFormat="1" x14ac:dyDescent="0.35">
      <c r="E28725" s="35"/>
      <c r="J28725" s="41"/>
    </row>
    <row r="28726" spans="5:10" s="34" customFormat="1" x14ac:dyDescent="0.35">
      <c r="E28726" s="35"/>
      <c r="J28726" s="41"/>
    </row>
    <row r="28727" spans="5:10" s="34" customFormat="1" x14ac:dyDescent="0.35">
      <c r="E28727" s="35"/>
      <c r="J28727" s="41"/>
    </row>
    <row r="28728" spans="5:10" s="34" customFormat="1" x14ac:dyDescent="0.35">
      <c r="E28728" s="35"/>
      <c r="J28728" s="41"/>
    </row>
    <row r="28729" spans="5:10" s="34" customFormat="1" x14ac:dyDescent="0.35">
      <c r="E28729" s="35"/>
      <c r="J28729" s="41"/>
    </row>
    <row r="28730" spans="5:10" s="34" customFormat="1" x14ac:dyDescent="0.35">
      <c r="E28730" s="35"/>
      <c r="J28730" s="41"/>
    </row>
    <row r="28731" spans="5:10" s="34" customFormat="1" x14ac:dyDescent="0.35">
      <c r="E28731" s="35"/>
      <c r="J28731" s="41"/>
    </row>
    <row r="28732" spans="5:10" s="34" customFormat="1" x14ac:dyDescent="0.35">
      <c r="E28732" s="35"/>
      <c r="J28732" s="41"/>
    </row>
    <row r="28733" spans="5:10" s="34" customFormat="1" x14ac:dyDescent="0.35">
      <c r="E28733" s="35"/>
      <c r="J28733" s="41"/>
    </row>
    <row r="28734" spans="5:10" s="34" customFormat="1" x14ac:dyDescent="0.35">
      <c r="E28734" s="35"/>
      <c r="J28734" s="41"/>
    </row>
    <row r="28735" spans="5:10" s="34" customFormat="1" x14ac:dyDescent="0.35">
      <c r="E28735" s="35"/>
      <c r="J28735" s="41"/>
    </row>
    <row r="28736" spans="5:10" s="34" customFormat="1" x14ac:dyDescent="0.35">
      <c r="E28736" s="35"/>
      <c r="J28736" s="41"/>
    </row>
    <row r="28737" spans="5:10" s="34" customFormat="1" x14ac:dyDescent="0.35">
      <c r="E28737" s="35"/>
      <c r="J28737" s="41"/>
    </row>
    <row r="28738" spans="5:10" s="34" customFormat="1" x14ac:dyDescent="0.35">
      <c r="E28738" s="35"/>
      <c r="J28738" s="41"/>
    </row>
    <row r="28739" spans="5:10" s="34" customFormat="1" x14ac:dyDescent="0.35">
      <c r="E28739" s="35"/>
      <c r="J28739" s="41"/>
    </row>
    <row r="28740" spans="5:10" s="34" customFormat="1" x14ac:dyDescent="0.35">
      <c r="E28740" s="35"/>
      <c r="J28740" s="41"/>
    </row>
    <row r="28741" spans="5:10" s="34" customFormat="1" x14ac:dyDescent="0.35">
      <c r="E28741" s="35"/>
      <c r="J28741" s="41"/>
    </row>
    <row r="28742" spans="5:10" s="34" customFormat="1" x14ac:dyDescent="0.35">
      <c r="E28742" s="35"/>
      <c r="J28742" s="41"/>
    </row>
    <row r="28743" spans="5:10" s="34" customFormat="1" x14ac:dyDescent="0.35">
      <c r="E28743" s="35"/>
      <c r="J28743" s="41"/>
    </row>
    <row r="28744" spans="5:10" s="34" customFormat="1" x14ac:dyDescent="0.35">
      <c r="E28744" s="35"/>
      <c r="J28744" s="41"/>
    </row>
    <row r="28745" spans="5:10" s="34" customFormat="1" x14ac:dyDescent="0.35">
      <c r="E28745" s="35"/>
      <c r="J28745" s="41"/>
    </row>
    <row r="28746" spans="5:10" s="34" customFormat="1" x14ac:dyDescent="0.35">
      <c r="E28746" s="35"/>
      <c r="J28746" s="41"/>
    </row>
    <row r="28747" spans="5:10" s="34" customFormat="1" x14ac:dyDescent="0.35">
      <c r="E28747" s="35"/>
      <c r="J28747" s="41"/>
    </row>
    <row r="28748" spans="5:10" s="34" customFormat="1" x14ac:dyDescent="0.35">
      <c r="E28748" s="35"/>
      <c r="J28748" s="41"/>
    </row>
    <row r="28749" spans="5:10" s="34" customFormat="1" x14ac:dyDescent="0.35">
      <c r="E28749" s="35"/>
      <c r="J28749" s="41"/>
    </row>
    <row r="28750" spans="5:10" s="34" customFormat="1" x14ac:dyDescent="0.35">
      <c r="E28750" s="35"/>
      <c r="J28750" s="41"/>
    </row>
    <row r="28751" spans="5:10" s="34" customFormat="1" x14ac:dyDescent="0.35">
      <c r="E28751" s="35"/>
      <c r="J28751" s="41"/>
    </row>
    <row r="28752" spans="5:10" s="34" customFormat="1" x14ac:dyDescent="0.35">
      <c r="E28752" s="35"/>
      <c r="J28752" s="41"/>
    </row>
    <row r="28753" spans="5:10" s="34" customFormat="1" x14ac:dyDescent="0.35">
      <c r="E28753" s="35"/>
      <c r="J28753" s="41"/>
    </row>
    <row r="28754" spans="5:10" s="34" customFormat="1" x14ac:dyDescent="0.35">
      <c r="E28754" s="35"/>
      <c r="J28754" s="41"/>
    </row>
    <row r="28755" spans="5:10" s="34" customFormat="1" x14ac:dyDescent="0.35">
      <c r="E28755" s="35"/>
      <c r="J28755" s="41"/>
    </row>
    <row r="28756" spans="5:10" s="34" customFormat="1" x14ac:dyDescent="0.35">
      <c r="E28756" s="35"/>
      <c r="J28756" s="41"/>
    </row>
    <row r="28757" spans="5:10" s="34" customFormat="1" x14ac:dyDescent="0.35">
      <c r="E28757" s="35"/>
      <c r="J28757" s="41"/>
    </row>
    <row r="28758" spans="5:10" s="34" customFormat="1" x14ac:dyDescent="0.35">
      <c r="E28758" s="35"/>
      <c r="J28758" s="41"/>
    </row>
    <row r="28759" spans="5:10" s="34" customFormat="1" x14ac:dyDescent="0.35">
      <c r="E28759" s="35"/>
      <c r="J28759" s="41"/>
    </row>
    <row r="28760" spans="5:10" s="34" customFormat="1" x14ac:dyDescent="0.35">
      <c r="E28760" s="35"/>
      <c r="J28760" s="41"/>
    </row>
    <row r="28761" spans="5:10" s="34" customFormat="1" x14ac:dyDescent="0.35">
      <c r="E28761" s="35"/>
      <c r="J28761" s="41"/>
    </row>
    <row r="28762" spans="5:10" s="34" customFormat="1" x14ac:dyDescent="0.35">
      <c r="E28762" s="35"/>
      <c r="J28762" s="41"/>
    </row>
    <row r="28763" spans="5:10" s="34" customFormat="1" x14ac:dyDescent="0.35">
      <c r="E28763" s="35"/>
      <c r="J28763" s="41"/>
    </row>
    <row r="28764" spans="5:10" s="34" customFormat="1" x14ac:dyDescent="0.35">
      <c r="E28764" s="35"/>
      <c r="J28764" s="41"/>
    </row>
    <row r="28765" spans="5:10" s="34" customFormat="1" x14ac:dyDescent="0.35">
      <c r="E28765" s="35"/>
      <c r="J28765" s="41"/>
    </row>
    <row r="28766" spans="5:10" s="34" customFormat="1" x14ac:dyDescent="0.35">
      <c r="E28766" s="35"/>
      <c r="J28766" s="41"/>
    </row>
    <row r="28767" spans="5:10" s="34" customFormat="1" x14ac:dyDescent="0.35">
      <c r="E28767" s="35"/>
      <c r="J28767" s="41"/>
    </row>
    <row r="28768" spans="5:10" s="34" customFormat="1" x14ac:dyDescent="0.35">
      <c r="E28768" s="35"/>
      <c r="J28768" s="41"/>
    </row>
    <row r="28769" spans="5:10" s="34" customFormat="1" x14ac:dyDescent="0.35">
      <c r="E28769" s="35"/>
      <c r="J28769" s="41"/>
    </row>
    <row r="28770" spans="5:10" s="34" customFormat="1" x14ac:dyDescent="0.35">
      <c r="E28770" s="35"/>
      <c r="J28770" s="41"/>
    </row>
    <row r="28771" spans="5:10" s="34" customFormat="1" x14ac:dyDescent="0.35">
      <c r="E28771" s="35"/>
      <c r="J28771" s="41"/>
    </row>
    <row r="28772" spans="5:10" s="34" customFormat="1" x14ac:dyDescent="0.35">
      <c r="E28772" s="35"/>
      <c r="J28772" s="41"/>
    </row>
    <row r="28773" spans="5:10" s="34" customFormat="1" x14ac:dyDescent="0.35">
      <c r="E28773" s="35"/>
      <c r="J28773" s="41"/>
    </row>
    <row r="28774" spans="5:10" s="34" customFormat="1" x14ac:dyDescent="0.35">
      <c r="E28774" s="35"/>
      <c r="J28774" s="41"/>
    </row>
    <row r="28775" spans="5:10" s="34" customFormat="1" x14ac:dyDescent="0.35">
      <c r="E28775" s="35"/>
      <c r="J28775" s="41"/>
    </row>
    <row r="28776" spans="5:10" s="34" customFormat="1" x14ac:dyDescent="0.35">
      <c r="E28776" s="35"/>
      <c r="J28776" s="41"/>
    </row>
    <row r="28777" spans="5:10" s="34" customFormat="1" x14ac:dyDescent="0.35">
      <c r="E28777" s="35"/>
      <c r="J28777" s="41"/>
    </row>
    <row r="28778" spans="5:10" s="34" customFormat="1" x14ac:dyDescent="0.35">
      <c r="E28778" s="35"/>
      <c r="J28778" s="41"/>
    </row>
    <row r="28779" spans="5:10" s="34" customFormat="1" x14ac:dyDescent="0.35">
      <c r="E28779" s="35"/>
      <c r="J28779" s="41"/>
    </row>
    <row r="28780" spans="5:10" s="34" customFormat="1" x14ac:dyDescent="0.35">
      <c r="E28780" s="35"/>
      <c r="J28780" s="41"/>
    </row>
    <row r="28781" spans="5:10" s="34" customFormat="1" x14ac:dyDescent="0.35">
      <c r="E28781" s="35"/>
      <c r="J28781" s="41"/>
    </row>
    <row r="28782" spans="5:10" s="34" customFormat="1" x14ac:dyDescent="0.35">
      <c r="E28782" s="35"/>
      <c r="J28782" s="41"/>
    </row>
    <row r="28783" spans="5:10" s="34" customFormat="1" x14ac:dyDescent="0.35">
      <c r="E28783" s="35"/>
      <c r="J28783" s="41"/>
    </row>
    <row r="28784" spans="5:10" s="34" customFormat="1" x14ac:dyDescent="0.35">
      <c r="E28784" s="35"/>
      <c r="J28784" s="41"/>
    </row>
    <row r="28785" spans="5:10" s="34" customFormat="1" x14ac:dyDescent="0.35">
      <c r="E28785" s="35"/>
      <c r="J28785" s="41"/>
    </row>
    <row r="28786" spans="5:10" s="34" customFormat="1" x14ac:dyDescent="0.35">
      <c r="E28786" s="35"/>
      <c r="J28786" s="41"/>
    </row>
    <row r="28787" spans="5:10" s="34" customFormat="1" x14ac:dyDescent="0.35">
      <c r="E28787" s="35"/>
      <c r="J28787" s="41"/>
    </row>
    <row r="28788" spans="5:10" s="34" customFormat="1" x14ac:dyDescent="0.35">
      <c r="E28788" s="35"/>
      <c r="J28788" s="41"/>
    </row>
    <row r="28789" spans="5:10" s="34" customFormat="1" x14ac:dyDescent="0.35">
      <c r="E28789" s="35"/>
      <c r="J28789" s="41"/>
    </row>
    <row r="28790" spans="5:10" s="34" customFormat="1" x14ac:dyDescent="0.35">
      <c r="E28790" s="35"/>
      <c r="J28790" s="41"/>
    </row>
    <row r="28791" spans="5:10" s="34" customFormat="1" x14ac:dyDescent="0.35">
      <c r="E28791" s="35"/>
      <c r="J28791" s="41"/>
    </row>
    <row r="28792" spans="5:10" s="34" customFormat="1" x14ac:dyDescent="0.35">
      <c r="E28792" s="35"/>
      <c r="J28792" s="41"/>
    </row>
    <row r="28793" spans="5:10" s="34" customFormat="1" x14ac:dyDescent="0.35">
      <c r="E28793" s="35"/>
      <c r="J28793" s="41"/>
    </row>
    <row r="28794" spans="5:10" s="34" customFormat="1" x14ac:dyDescent="0.35">
      <c r="E28794" s="35"/>
      <c r="J28794" s="41"/>
    </row>
    <row r="28795" spans="5:10" s="34" customFormat="1" x14ac:dyDescent="0.35">
      <c r="E28795" s="35"/>
      <c r="J28795" s="41"/>
    </row>
    <row r="28796" spans="5:10" s="34" customFormat="1" x14ac:dyDescent="0.35">
      <c r="E28796" s="35"/>
      <c r="J28796" s="41"/>
    </row>
    <row r="28797" spans="5:10" s="34" customFormat="1" x14ac:dyDescent="0.35">
      <c r="E28797" s="35"/>
      <c r="J28797" s="41"/>
    </row>
    <row r="28798" spans="5:10" s="34" customFormat="1" x14ac:dyDescent="0.35">
      <c r="E28798" s="35"/>
      <c r="J28798" s="41"/>
    </row>
    <row r="28799" spans="5:10" s="34" customFormat="1" x14ac:dyDescent="0.35">
      <c r="E28799" s="35"/>
      <c r="J28799" s="41"/>
    </row>
    <row r="28800" spans="5:10" s="34" customFormat="1" x14ac:dyDescent="0.35">
      <c r="E28800" s="35"/>
      <c r="J28800" s="41"/>
    </row>
    <row r="28801" spans="5:10" s="34" customFormat="1" x14ac:dyDescent="0.35">
      <c r="E28801" s="35"/>
      <c r="J28801" s="41"/>
    </row>
    <row r="28802" spans="5:10" s="34" customFormat="1" x14ac:dyDescent="0.35">
      <c r="E28802" s="35"/>
      <c r="J28802" s="41"/>
    </row>
    <row r="28803" spans="5:10" s="34" customFormat="1" x14ac:dyDescent="0.35">
      <c r="E28803" s="35"/>
      <c r="J28803" s="41"/>
    </row>
    <row r="28804" spans="5:10" s="34" customFormat="1" x14ac:dyDescent="0.35">
      <c r="E28804" s="35"/>
      <c r="J28804" s="41"/>
    </row>
    <row r="28805" spans="5:10" s="34" customFormat="1" x14ac:dyDescent="0.35">
      <c r="E28805" s="35"/>
      <c r="J28805" s="41"/>
    </row>
    <row r="28806" spans="5:10" s="34" customFormat="1" x14ac:dyDescent="0.35">
      <c r="E28806" s="35"/>
      <c r="J28806" s="41"/>
    </row>
    <row r="28807" spans="5:10" s="34" customFormat="1" x14ac:dyDescent="0.35">
      <c r="E28807" s="35"/>
      <c r="J28807" s="41"/>
    </row>
    <row r="28808" spans="5:10" s="34" customFormat="1" x14ac:dyDescent="0.35">
      <c r="E28808" s="35"/>
      <c r="J28808" s="41"/>
    </row>
    <row r="28809" spans="5:10" s="34" customFormat="1" x14ac:dyDescent="0.35">
      <c r="E28809" s="35"/>
      <c r="J28809" s="41"/>
    </row>
    <row r="28810" spans="5:10" s="34" customFormat="1" x14ac:dyDescent="0.35">
      <c r="E28810" s="35"/>
      <c r="J28810" s="41"/>
    </row>
    <row r="28811" spans="5:10" s="34" customFormat="1" x14ac:dyDescent="0.35">
      <c r="E28811" s="35"/>
      <c r="J28811" s="41"/>
    </row>
    <row r="28812" spans="5:10" s="34" customFormat="1" x14ac:dyDescent="0.35">
      <c r="E28812" s="35"/>
      <c r="J28812" s="41"/>
    </row>
    <row r="28813" spans="5:10" s="34" customFormat="1" x14ac:dyDescent="0.35">
      <c r="E28813" s="35"/>
      <c r="J28813" s="41"/>
    </row>
    <row r="28814" spans="5:10" s="34" customFormat="1" x14ac:dyDescent="0.35">
      <c r="E28814" s="35"/>
      <c r="J28814" s="41"/>
    </row>
    <row r="28815" spans="5:10" s="34" customFormat="1" x14ac:dyDescent="0.35">
      <c r="E28815" s="35"/>
      <c r="J28815" s="41"/>
    </row>
    <row r="28816" spans="5:10" s="34" customFormat="1" x14ac:dyDescent="0.35">
      <c r="E28816" s="35"/>
      <c r="J28816" s="41"/>
    </row>
    <row r="28817" spans="5:10" s="34" customFormat="1" x14ac:dyDescent="0.35">
      <c r="E28817" s="35"/>
      <c r="J28817" s="41"/>
    </row>
    <row r="28818" spans="5:10" s="34" customFormat="1" x14ac:dyDescent="0.35">
      <c r="E28818" s="35"/>
      <c r="J28818" s="41"/>
    </row>
    <row r="28819" spans="5:10" s="34" customFormat="1" x14ac:dyDescent="0.35">
      <c r="E28819" s="35"/>
      <c r="J28819" s="41"/>
    </row>
    <row r="28820" spans="5:10" s="34" customFormat="1" x14ac:dyDescent="0.35">
      <c r="E28820" s="35"/>
      <c r="J28820" s="41"/>
    </row>
    <row r="28821" spans="5:10" s="34" customFormat="1" x14ac:dyDescent="0.35">
      <c r="E28821" s="35"/>
      <c r="J28821" s="41"/>
    </row>
    <row r="28822" spans="5:10" s="34" customFormat="1" x14ac:dyDescent="0.35">
      <c r="E28822" s="35"/>
      <c r="J28822" s="41"/>
    </row>
    <row r="28823" spans="5:10" s="34" customFormat="1" x14ac:dyDescent="0.35">
      <c r="E28823" s="35"/>
      <c r="J28823" s="41"/>
    </row>
    <row r="28824" spans="5:10" s="34" customFormat="1" x14ac:dyDescent="0.35">
      <c r="E28824" s="35"/>
      <c r="J28824" s="41"/>
    </row>
    <row r="28825" spans="5:10" s="34" customFormat="1" x14ac:dyDescent="0.35">
      <c r="E28825" s="35"/>
      <c r="J28825" s="41"/>
    </row>
    <row r="28826" spans="5:10" s="34" customFormat="1" x14ac:dyDescent="0.35">
      <c r="E28826" s="35"/>
      <c r="J28826" s="41"/>
    </row>
    <row r="28827" spans="5:10" s="34" customFormat="1" x14ac:dyDescent="0.35">
      <c r="E28827" s="35"/>
      <c r="J28827" s="41"/>
    </row>
    <row r="28828" spans="5:10" s="34" customFormat="1" x14ac:dyDescent="0.35">
      <c r="E28828" s="35"/>
      <c r="J28828" s="41"/>
    </row>
    <row r="28829" spans="5:10" s="34" customFormat="1" x14ac:dyDescent="0.35">
      <c r="E28829" s="35"/>
      <c r="J28829" s="41"/>
    </row>
    <row r="28830" spans="5:10" s="34" customFormat="1" x14ac:dyDescent="0.35">
      <c r="E28830" s="35"/>
      <c r="J28830" s="41"/>
    </row>
    <row r="28831" spans="5:10" s="34" customFormat="1" x14ac:dyDescent="0.35">
      <c r="E28831" s="35"/>
      <c r="J28831" s="41"/>
    </row>
    <row r="28832" spans="5:10" s="34" customFormat="1" x14ac:dyDescent="0.35">
      <c r="E28832" s="35"/>
      <c r="J28832" s="41"/>
    </row>
    <row r="28833" spans="5:10" s="34" customFormat="1" x14ac:dyDescent="0.35">
      <c r="E28833" s="35"/>
      <c r="J28833" s="41"/>
    </row>
    <row r="28834" spans="5:10" s="34" customFormat="1" x14ac:dyDescent="0.35">
      <c r="E28834" s="35"/>
      <c r="J28834" s="41"/>
    </row>
    <row r="28835" spans="5:10" s="34" customFormat="1" x14ac:dyDescent="0.35">
      <c r="E28835" s="35"/>
      <c r="J28835" s="41"/>
    </row>
    <row r="28836" spans="5:10" s="34" customFormat="1" x14ac:dyDescent="0.35">
      <c r="E28836" s="35"/>
      <c r="J28836" s="41"/>
    </row>
    <row r="28837" spans="5:10" s="34" customFormat="1" x14ac:dyDescent="0.35">
      <c r="E28837" s="35"/>
      <c r="J28837" s="41"/>
    </row>
    <row r="28838" spans="5:10" s="34" customFormat="1" x14ac:dyDescent="0.35">
      <c r="E28838" s="35"/>
      <c r="J28838" s="41"/>
    </row>
    <row r="28839" spans="5:10" s="34" customFormat="1" x14ac:dyDescent="0.35">
      <c r="E28839" s="35"/>
      <c r="J28839" s="41"/>
    </row>
    <row r="28840" spans="5:10" s="34" customFormat="1" x14ac:dyDescent="0.35">
      <c r="E28840" s="35"/>
      <c r="J28840" s="41"/>
    </row>
    <row r="28841" spans="5:10" s="34" customFormat="1" x14ac:dyDescent="0.35">
      <c r="E28841" s="35"/>
      <c r="J28841" s="41"/>
    </row>
    <row r="28842" spans="5:10" s="34" customFormat="1" x14ac:dyDescent="0.35">
      <c r="E28842" s="35"/>
      <c r="J28842" s="41"/>
    </row>
    <row r="28843" spans="5:10" s="34" customFormat="1" x14ac:dyDescent="0.35">
      <c r="E28843" s="35"/>
      <c r="J28843" s="41"/>
    </row>
    <row r="28844" spans="5:10" s="34" customFormat="1" x14ac:dyDescent="0.35">
      <c r="E28844" s="35"/>
      <c r="J28844" s="41"/>
    </row>
    <row r="28845" spans="5:10" s="34" customFormat="1" x14ac:dyDescent="0.35">
      <c r="E28845" s="35"/>
      <c r="J28845" s="41"/>
    </row>
    <row r="28846" spans="5:10" s="34" customFormat="1" x14ac:dyDescent="0.35">
      <c r="E28846" s="35"/>
      <c r="J28846" s="41"/>
    </row>
    <row r="28847" spans="5:10" s="34" customFormat="1" x14ac:dyDescent="0.35">
      <c r="E28847" s="35"/>
      <c r="J28847" s="41"/>
    </row>
    <row r="28848" spans="5:10" s="34" customFormat="1" x14ac:dyDescent="0.35">
      <c r="E28848" s="35"/>
      <c r="J28848" s="41"/>
    </row>
    <row r="28849" spans="5:10" s="34" customFormat="1" x14ac:dyDescent="0.35">
      <c r="E28849" s="35"/>
      <c r="J28849" s="41"/>
    </row>
    <row r="28850" spans="5:10" s="34" customFormat="1" x14ac:dyDescent="0.35">
      <c r="E28850" s="35"/>
      <c r="J28850" s="41"/>
    </row>
    <row r="28851" spans="5:10" s="34" customFormat="1" x14ac:dyDescent="0.35">
      <c r="E28851" s="35"/>
      <c r="J28851" s="41"/>
    </row>
    <row r="28852" spans="5:10" s="34" customFormat="1" x14ac:dyDescent="0.35">
      <c r="E28852" s="35"/>
      <c r="J28852" s="41"/>
    </row>
    <row r="28853" spans="5:10" s="34" customFormat="1" x14ac:dyDescent="0.35">
      <c r="E28853" s="35"/>
      <c r="J28853" s="41"/>
    </row>
    <row r="28854" spans="5:10" s="34" customFormat="1" x14ac:dyDescent="0.35">
      <c r="E28854" s="35"/>
      <c r="J28854" s="41"/>
    </row>
    <row r="28855" spans="5:10" s="34" customFormat="1" x14ac:dyDescent="0.35">
      <c r="E28855" s="35"/>
      <c r="J28855" s="41"/>
    </row>
    <row r="28856" spans="5:10" s="34" customFormat="1" x14ac:dyDescent="0.35">
      <c r="E28856" s="35"/>
      <c r="J28856" s="41"/>
    </row>
    <row r="28857" spans="5:10" s="34" customFormat="1" x14ac:dyDescent="0.35">
      <c r="E28857" s="35"/>
      <c r="J28857" s="41"/>
    </row>
    <row r="28858" spans="5:10" s="34" customFormat="1" x14ac:dyDescent="0.35">
      <c r="E28858" s="35"/>
      <c r="J28858" s="41"/>
    </row>
    <row r="28859" spans="5:10" s="34" customFormat="1" x14ac:dyDescent="0.35">
      <c r="E28859" s="35"/>
      <c r="J28859" s="41"/>
    </row>
    <row r="28860" spans="5:10" s="34" customFormat="1" x14ac:dyDescent="0.35">
      <c r="E28860" s="35"/>
      <c r="J28860" s="41"/>
    </row>
    <row r="28861" spans="5:10" s="34" customFormat="1" x14ac:dyDescent="0.35">
      <c r="E28861" s="35"/>
      <c r="J28861" s="41"/>
    </row>
    <row r="28862" spans="5:10" s="34" customFormat="1" x14ac:dyDescent="0.35">
      <c r="E28862" s="35"/>
      <c r="J28862" s="41"/>
    </row>
    <row r="28863" spans="5:10" s="34" customFormat="1" x14ac:dyDescent="0.35">
      <c r="E28863" s="35"/>
      <c r="J28863" s="41"/>
    </row>
    <row r="28864" spans="5:10" s="34" customFormat="1" x14ac:dyDescent="0.35">
      <c r="E28864" s="35"/>
      <c r="J28864" s="41"/>
    </row>
    <row r="28865" spans="5:10" s="34" customFormat="1" x14ac:dyDescent="0.35">
      <c r="E28865" s="35"/>
      <c r="J28865" s="41"/>
    </row>
    <row r="28866" spans="5:10" s="34" customFormat="1" x14ac:dyDescent="0.35">
      <c r="E28866" s="35"/>
      <c r="J28866" s="41"/>
    </row>
    <row r="28867" spans="5:10" s="34" customFormat="1" x14ac:dyDescent="0.35">
      <c r="E28867" s="35"/>
      <c r="J28867" s="41"/>
    </row>
    <row r="28868" spans="5:10" s="34" customFormat="1" x14ac:dyDescent="0.35">
      <c r="E28868" s="35"/>
      <c r="J28868" s="41"/>
    </row>
    <row r="28869" spans="5:10" s="34" customFormat="1" x14ac:dyDescent="0.35">
      <c r="E28869" s="35"/>
      <c r="J28869" s="41"/>
    </row>
    <row r="28870" spans="5:10" s="34" customFormat="1" x14ac:dyDescent="0.35">
      <c r="E28870" s="35"/>
      <c r="J28870" s="41"/>
    </row>
    <row r="28871" spans="5:10" s="34" customFormat="1" x14ac:dyDescent="0.35">
      <c r="E28871" s="35"/>
      <c r="J28871" s="41"/>
    </row>
    <row r="28872" spans="5:10" s="34" customFormat="1" x14ac:dyDescent="0.35">
      <c r="E28872" s="35"/>
      <c r="J28872" s="41"/>
    </row>
    <row r="28873" spans="5:10" s="34" customFormat="1" x14ac:dyDescent="0.35">
      <c r="E28873" s="35"/>
      <c r="J28873" s="41"/>
    </row>
    <row r="28874" spans="5:10" s="34" customFormat="1" x14ac:dyDescent="0.35">
      <c r="E28874" s="35"/>
      <c r="J28874" s="41"/>
    </row>
    <row r="28875" spans="5:10" s="34" customFormat="1" x14ac:dyDescent="0.35">
      <c r="E28875" s="35"/>
      <c r="J28875" s="41"/>
    </row>
    <row r="28876" spans="5:10" s="34" customFormat="1" x14ac:dyDescent="0.35">
      <c r="E28876" s="35"/>
      <c r="J28876" s="41"/>
    </row>
    <row r="28877" spans="5:10" s="34" customFormat="1" x14ac:dyDescent="0.35">
      <c r="E28877" s="35"/>
      <c r="J28877" s="41"/>
    </row>
    <row r="28878" spans="5:10" s="34" customFormat="1" x14ac:dyDescent="0.35">
      <c r="E28878" s="35"/>
      <c r="J28878" s="41"/>
    </row>
    <row r="28879" spans="5:10" s="34" customFormat="1" x14ac:dyDescent="0.35">
      <c r="E28879" s="35"/>
      <c r="J28879" s="41"/>
    </row>
    <row r="28880" spans="5:10" s="34" customFormat="1" x14ac:dyDescent="0.35">
      <c r="E28880" s="35"/>
      <c r="J28880" s="41"/>
    </row>
    <row r="28881" spans="5:10" s="34" customFormat="1" x14ac:dyDescent="0.35">
      <c r="E28881" s="35"/>
      <c r="J28881" s="41"/>
    </row>
    <row r="28882" spans="5:10" s="34" customFormat="1" x14ac:dyDescent="0.35">
      <c r="E28882" s="35"/>
      <c r="J28882" s="41"/>
    </row>
    <row r="28883" spans="5:10" s="34" customFormat="1" x14ac:dyDescent="0.35">
      <c r="E28883" s="35"/>
      <c r="J28883" s="41"/>
    </row>
    <row r="28884" spans="5:10" s="34" customFormat="1" x14ac:dyDescent="0.35">
      <c r="E28884" s="35"/>
      <c r="J28884" s="41"/>
    </row>
    <row r="28885" spans="5:10" s="34" customFormat="1" x14ac:dyDescent="0.35">
      <c r="E28885" s="35"/>
      <c r="J28885" s="41"/>
    </row>
    <row r="28886" spans="5:10" s="34" customFormat="1" x14ac:dyDescent="0.35">
      <c r="E28886" s="35"/>
      <c r="J28886" s="41"/>
    </row>
    <row r="28887" spans="5:10" s="34" customFormat="1" x14ac:dyDescent="0.35">
      <c r="E28887" s="35"/>
      <c r="J28887" s="41"/>
    </row>
    <row r="28888" spans="5:10" s="34" customFormat="1" x14ac:dyDescent="0.35">
      <c r="E28888" s="35"/>
      <c r="J28888" s="41"/>
    </row>
    <row r="28889" spans="5:10" s="34" customFormat="1" x14ac:dyDescent="0.35">
      <c r="E28889" s="35"/>
      <c r="J28889" s="41"/>
    </row>
    <row r="28890" spans="5:10" s="34" customFormat="1" x14ac:dyDescent="0.35">
      <c r="E28890" s="35"/>
      <c r="J28890" s="41"/>
    </row>
    <row r="28891" spans="5:10" s="34" customFormat="1" x14ac:dyDescent="0.35">
      <c r="E28891" s="35"/>
      <c r="J28891" s="41"/>
    </row>
    <row r="28892" spans="5:10" s="34" customFormat="1" x14ac:dyDescent="0.35">
      <c r="E28892" s="35"/>
      <c r="J28892" s="41"/>
    </row>
    <row r="28893" spans="5:10" s="34" customFormat="1" x14ac:dyDescent="0.35">
      <c r="E28893" s="35"/>
      <c r="J28893" s="41"/>
    </row>
    <row r="28894" spans="5:10" s="34" customFormat="1" x14ac:dyDescent="0.35">
      <c r="E28894" s="35"/>
      <c r="J28894" s="41"/>
    </row>
    <row r="28895" spans="5:10" s="34" customFormat="1" x14ac:dyDescent="0.35">
      <c r="E28895" s="35"/>
      <c r="J28895" s="41"/>
    </row>
    <row r="28896" spans="5:10" s="34" customFormat="1" x14ac:dyDescent="0.35">
      <c r="E28896" s="35"/>
      <c r="J28896" s="41"/>
    </row>
    <row r="28897" spans="5:10" s="34" customFormat="1" x14ac:dyDescent="0.35">
      <c r="E28897" s="35"/>
      <c r="J28897" s="41"/>
    </row>
    <row r="28898" spans="5:10" s="34" customFormat="1" x14ac:dyDescent="0.35">
      <c r="E28898" s="35"/>
      <c r="J28898" s="41"/>
    </row>
    <row r="28899" spans="5:10" s="34" customFormat="1" x14ac:dyDescent="0.35">
      <c r="E28899" s="35"/>
      <c r="J28899" s="41"/>
    </row>
    <row r="28900" spans="5:10" s="34" customFormat="1" x14ac:dyDescent="0.35">
      <c r="E28900" s="35"/>
      <c r="J28900" s="41"/>
    </row>
    <row r="28901" spans="5:10" s="34" customFormat="1" x14ac:dyDescent="0.35">
      <c r="E28901" s="35"/>
      <c r="J28901" s="41"/>
    </row>
    <row r="28902" spans="5:10" s="34" customFormat="1" x14ac:dyDescent="0.35">
      <c r="E28902" s="35"/>
      <c r="J28902" s="41"/>
    </row>
    <row r="28903" spans="5:10" s="34" customFormat="1" x14ac:dyDescent="0.35">
      <c r="E28903" s="35"/>
      <c r="J28903" s="41"/>
    </row>
    <row r="28904" spans="5:10" s="34" customFormat="1" x14ac:dyDescent="0.35">
      <c r="E28904" s="35"/>
      <c r="J28904" s="41"/>
    </row>
    <row r="28905" spans="5:10" s="34" customFormat="1" x14ac:dyDescent="0.35">
      <c r="E28905" s="35"/>
      <c r="J28905" s="41"/>
    </row>
    <row r="28906" spans="5:10" s="34" customFormat="1" x14ac:dyDescent="0.35">
      <c r="E28906" s="35"/>
      <c r="J28906" s="41"/>
    </row>
    <row r="28907" spans="5:10" s="34" customFormat="1" x14ac:dyDescent="0.35">
      <c r="E28907" s="35"/>
      <c r="J28907" s="41"/>
    </row>
    <row r="28908" spans="5:10" s="34" customFormat="1" x14ac:dyDescent="0.35">
      <c r="E28908" s="35"/>
      <c r="J28908" s="41"/>
    </row>
    <row r="28909" spans="5:10" s="34" customFormat="1" x14ac:dyDescent="0.35">
      <c r="E28909" s="35"/>
      <c r="J28909" s="41"/>
    </row>
    <row r="28910" spans="5:10" s="34" customFormat="1" x14ac:dyDescent="0.35">
      <c r="E28910" s="35"/>
      <c r="J28910" s="41"/>
    </row>
    <row r="28911" spans="5:10" s="34" customFormat="1" x14ac:dyDescent="0.35">
      <c r="E28911" s="35"/>
      <c r="J28911" s="41"/>
    </row>
    <row r="28912" spans="5:10" s="34" customFormat="1" x14ac:dyDescent="0.35">
      <c r="E28912" s="35"/>
      <c r="J28912" s="41"/>
    </row>
    <row r="28913" spans="5:10" s="34" customFormat="1" x14ac:dyDescent="0.35">
      <c r="E28913" s="35"/>
      <c r="J28913" s="41"/>
    </row>
    <row r="28914" spans="5:10" s="34" customFormat="1" x14ac:dyDescent="0.35">
      <c r="E28914" s="35"/>
      <c r="J28914" s="41"/>
    </row>
    <row r="28915" spans="5:10" s="34" customFormat="1" x14ac:dyDescent="0.35">
      <c r="E28915" s="35"/>
      <c r="J28915" s="41"/>
    </row>
    <row r="28916" spans="5:10" s="34" customFormat="1" x14ac:dyDescent="0.35">
      <c r="E28916" s="35"/>
      <c r="J28916" s="41"/>
    </row>
    <row r="28917" spans="5:10" s="34" customFormat="1" x14ac:dyDescent="0.35">
      <c r="E28917" s="35"/>
      <c r="J28917" s="41"/>
    </row>
    <row r="28918" spans="5:10" s="34" customFormat="1" x14ac:dyDescent="0.35">
      <c r="E28918" s="35"/>
      <c r="J28918" s="41"/>
    </row>
    <row r="28919" spans="5:10" s="34" customFormat="1" x14ac:dyDescent="0.35">
      <c r="E28919" s="35"/>
      <c r="J28919" s="41"/>
    </row>
    <row r="28920" spans="5:10" s="34" customFormat="1" x14ac:dyDescent="0.35">
      <c r="E28920" s="35"/>
      <c r="J28920" s="41"/>
    </row>
    <row r="28921" spans="5:10" s="34" customFormat="1" x14ac:dyDescent="0.35">
      <c r="E28921" s="35"/>
      <c r="J28921" s="41"/>
    </row>
    <row r="28922" spans="5:10" s="34" customFormat="1" x14ac:dyDescent="0.35">
      <c r="E28922" s="35"/>
      <c r="J28922" s="41"/>
    </row>
    <row r="28923" spans="5:10" s="34" customFormat="1" x14ac:dyDescent="0.35">
      <c r="E28923" s="35"/>
      <c r="J28923" s="41"/>
    </row>
    <row r="28924" spans="5:10" s="34" customFormat="1" x14ac:dyDescent="0.35">
      <c r="E28924" s="35"/>
      <c r="J28924" s="41"/>
    </row>
    <row r="28925" spans="5:10" s="34" customFormat="1" x14ac:dyDescent="0.35">
      <c r="E28925" s="35"/>
      <c r="J28925" s="41"/>
    </row>
    <row r="28926" spans="5:10" s="34" customFormat="1" x14ac:dyDescent="0.35">
      <c r="E28926" s="35"/>
      <c r="J28926" s="41"/>
    </row>
    <row r="28927" spans="5:10" s="34" customFormat="1" x14ac:dyDescent="0.35">
      <c r="E28927" s="35"/>
      <c r="J28927" s="41"/>
    </row>
    <row r="28928" spans="5:10" s="34" customFormat="1" x14ac:dyDescent="0.35">
      <c r="E28928" s="35"/>
      <c r="J28928" s="41"/>
    </row>
    <row r="28929" spans="5:10" s="34" customFormat="1" x14ac:dyDescent="0.35">
      <c r="E28929" s="35"/>
      <c r="J28929" s="41"/>
    </row>
    <row r="28930" spans="5:10" s="34" customFormat="1" x14ac:dyDescent="0.35">
      <c r="E28930" s="35"/>
      <c r="J28930" s="41"/>
    </row>
    <row r="28931" spans="5:10" s="34" customFormat="1" x14ac:dyDescent="0.35">
      <c r="E28931" s="35"/>
      <c r="J28931" s="41"/>
    </row>
    <row r="28932" spans="5:10" s="34" customFormat="1" x14ac:dyDescent="0.35">
      <c r="E28932" s="35"/>
      <c r="J28932" s="41"/>
    </row>
    <row r="28933" spans="5:10" s="34" customFormat="1" x14ac:dyDescent="0.35">
      <c r="E28933" s="35"/>
      <c r="J28933" s="41"/>
    </row>
    <row r="28934" spans="5:10" s="34" customFormat="1" x14ac:dyDescent="0.35">
      <c r="E28934" s="35"/>
      <c r="J28934" s="41"/>
    </row>
    <row r="28935" spans="5:10" s="34" customFormat="1" x14ac:dyDescent="0.35">
      <c r="E28935" s="35"/>
      <c r="J28935" s="41"/>
    </row>
    <row r="28936" spans="5:10" s="34" customFormat="1" x14ac:dyDescent="0.35">
      <c r="E28936" s="35"/>
      <c r="J28936" s="41"/>
    </row>
    <row r="28937" spans="5:10" s="34" customFormat="1" x14ac:dyDescent="0.35">
      <c r="E28937" s="35"/>
      <c r="J28937" s="41"/>
    </row>
    <row r="28938" spans="5:10" s="34" customFormat="1" x14ac:dyDescent="0.35">
      <c r="E28938" s="35"/>
      <c r="J28938" s="41"/>
    </row>
    <row r="28939" spans="5:10" s="34" customFormat="1" x14ac:dyDescent="0.35">
      <c r="E28939" s="35"/>
      <c r="J28939" s="41"/>
    </row>
    <row r="28940" spans="5:10" s="34" customFormat="1" x14ac:dyDescent="0.35">
      <c r="E28940" s="35"/>
      <c r="J28940" s="41"/>
    </row>
    <row r="28941" spans="5:10" s="34" customFormat="1" x14ac:dyDescent="0.35">
      <c r="E28941" s="35"/>
      <c r="J28941" s="41"/>
    </row>
    <row r="28942" spans="5:10" s="34" customFormat="1" x14ac:dyDescent="0.35">
      <c r="E28942" s="35"/>
      <c r="J28942" s="41"/>
    </row>
    <row r="28943" spans="5:10" s="34" customFormat="1" x14ac:dyDescent="0.35">
      <c r="E28943" s="35"/>
      <c r="J28943" s="41"/>
    </row>
    <row r="28944" spans="5:10" s="34" customFormat="1" x14ac:dyDescent="0.35">
      <c r="E28944" s="35"/>
      <c r="J28944" s="41"/>
    </row>
    <row r="28945" spans="5:10" s="34" customFormat="1" x14ac:dyDescent="0.35">
      <c r="E28945" s="35"/>
      <c r="J28945" s="41"/>
    </row>
    <row r="28946" spans="5:10" s="34" customFormat="1" x14ac:dyDescent="0.35">
      <c r="E28946" s="35"/>
      <c r="J28946" s="41"/>
    </row>
    <row r="28947" spans="5:10" s="34" customFormat="1" x14ac:dyDescent="0.35">
      <c r="E28947" s="35"/>
      <c r="J28947" s="41"/>
    </row>
    <row r="28948" spans="5:10" s="34" customFormat="1" x14ac:dyDescent="0.35">
      <c r="E28948" s="35"/>
      <c r="J28948" s="41"/>
    </row>
    <row r="28949" spans="5:10" s="34" customFormat="1" x14ac:dyDescent="0.35">
      <c r="E28949" s="35"/>
      <c r="J28949" s="41"/>
    </row>
    <row r="28950" spans="5:10" s="34" customFormat="1" x14ac:dyDescent="0.35">
      <c r="E28950" s="35"/>
      <c r="J28950" s="41"/>
    </row>
    <row r="28951" spans="5:10" s="34" customFormat="1" x14ac:dyDescent="0.35">
      <c r="E28951" s="35"/>
      <c r="J28951" s="41"/>
    </row>
    <row r="28952" spans="5:10" s="34" customFormat="1" x14ac:dyDescent="0.35">
      <c r="E28952" s="35"/>
      <c r="J28952" s="41"/>
    </row>
    <row r="28953" spans="5:10" s="34" customFormat="1" x14ac:dyDescent="0.35">
      <c r="E28953" s="35"/>
      <c r="J28953" s="41"/>
    </row>
    <row r="28954" spans="5:10" s="34" customFormat="1" x14ac:dyDescent="0.35">
      <c r="E28954" s="35"/>
      <c r="J28954" s="41"/>
    </row>
    <row r="28955" spans="5:10" s="34" customFormat="1" x14ac:dyDescent="0.35">
      <c r="E28955" s="35"/>
      <c r="J28955" s="41"/>
    </row>
    <row r="28956" spans="5:10" s="34" customFormat="1" x14ac:dyDescent="0.35">
      <c r="E28956" s="35"/>
      <c r="J28956" s="41"/>
    </row>
    <row r="28957" spans="5:10" s="34" customFormat="1" x14ac:dyDescent="0.35">
      <c r="E28957" s="35"/>
      <c r="J28957" s="41"/>
    </row>
    <row r="28958" spans="5:10" s="34" customFormat="1" x14ac:dyDescent="0.35">
      <c r="E28958" s="35"/>
      <c r="J28958" s="41"/>
    </row>
    <row r="28959" spans="5:10" s="34" customFormat="1" x14ac:dyDescent="0.35">
      <c r="E28959" s="35"/>
      <c r="J28959" s="41"/>
    </row>
    <row r="28960" spans="5:10" s="34" customFormat="1" x14ac:dyDescent="0.35">
      <c r="E28960" s="35"/>
      <c r="J28960" s="41"/>
    </row>
    <row r="28961" spans="5:10" s="34" customFormat="1" x14ac:dyDescent="0.35">
      <c r="E28961" s="35"/>
      <c r="J28961" s="41"/>
    </row>
    <row r="28962" spans="5:10" s="34" customFormat="1" x14ac:dyDescent="0.35">
      <c r="E28962" s="35"/>
      <c r="J28962" s="41"/>
    </row>
    <row r="28963" spans="5:10" s="34" customFormat="1" x14ac:dyDescent="0.35">
      <c r="E28963" s="35"/>
      <c r="J28963" s="41"/>
    </row>
    <row r="28964" spans="5:10" s="34" customFormat="1" x14ac:dyDescent="0.35">
      <c r="E28964" s="35"/>
      <c r="J28964" s="41"/>
    </row>
    <row r="28965" spans="5:10" s="34" customFormat="1" x14ac:dyDescent="0.35">
      <c r="E28965" s="35"/>
      <c r="J28965" s="41"/>
    </row>
    <row r="28966" spans="5:10" s="34" customFormat="1" x14ac:dyDescent="0.35">
      <c r="E28966" s="35"/>
      <c r="J28966" s="41"/>
    </row>
    <row r="28967" spans="5:10" s="34" customFormat="1" x14ac:dyDescent="0.35">
      <c r="E28967" s="35"/>
      <c r="J28967" s="41"/>
    </row>
    <row r="28968" spans="5:10" s="34" customFormat="1" x14ac:dyDescent="0.35">
      <c r="E28968" s="35"/>
      <c r="J28968" s="41"/>
    </row>
    <row r="28969" spans="5:10" s="34" customFormat="1" x14ac:dyDescent="0.35">
      <c r="E28969" s="35"/>
      <c r="J28969" s="41"/>
    </row>
    <row r="28970" spans="5:10" s="34" customFormat="1" x14ac:dyDescent="0.35">
      <c r="E28970" s="35"/>
      <c r="J28970" s="41"/>
    </row>
    <row r="28971" spans="5:10" s="34" customFormat="1" x14ac:dyDescent="0.35">
      <c r="E28971" s="35"/>
      <c r="J28971" s="41"/>
    </row>
    <row r="28972" spans="5:10" s="34" customFormat="1" x14ac:dyDescent="0.35">
      <c r="E28972" s="35"/>
      <c r="J28972" s="41"/>
    </row>
    <row r="28973" spans="5:10" s="34" customFormat="1" x14ac:dyDescent="0.35">
      <c r="E28973" s="35"/>
      <c r="J28973" s="41"/>
    </row>
    <row r="28974" spans="5:10" s="34" customFormat="1" x14ac:dyDescent="0.35">
      <c r="E28974" s="35"/>
      <c r="J28974" s="41"/>
    </row>
    <row r="28975" spans="5:10" s="34" customFormat="1" x14ac:dyDescent="0.35">
      <c r="E28975" s="35"/>
      <c r="J28975" s="41"/>
    </row>
    <row r="28976" spans="5:10" s="34" customFormat="1" x14ac:dyDescent="0.35">
      <c r="E28976" s="35"/>
      <c r="J28976" s="41"/>
    </row>
    <row r="28977" spans="5:10" s="34" customFormat="1" x14ac:dyDescent="0.35">
      <c r="E28977" s="35"/>
      <c r="J28977" s="41"/>
    </row>
    <row r="28978" spans="5:10" s="34" customFormat="1" x14ac:dyDescent="0.35">
      <c r="E28978" s="35"/>
      <c r="J28978" s="41"/>
    </row>
    <row r="28979" spans="5:10" s="34" customFormat="1" x14ac:dyDescent="0.35">
      <c r="E28979" s="35"/>
      <c r="J28979" s="41"/>
    </row>
    <row r="28980" spans="5:10" s="34" customFormat="1" x14ac:dyDescent="0.35">
      <c r="E28980" s="35"/>
      <c r="J28980" s="41"/>
    </row>
    <row r="28981" spans="5:10" s="34" customFormat="1" x14ac:dyDescent="0.35">
      <c r="E28981" s="35"/>
      <c r="J28981" s="41"/>
    </row>
    <row r="28982" spans="5:10" s="34" customFormat="1" x14ac:dyDescent="0.35">
      <c r="E28982" s="35"/>
      <c r="J28982" s="41"/>
    </row>
    <row r="28983" spans="5:10" s="34" customFormat="1" x14ac:dyDescent="0.35">
      <c r="E28983" s="35"/>
      <c r="J28983" s="41"/>
    </row>
    <row r="28984" spans="5:10" s="34" customFormat="1" x14ac:dyDescent="0.35">
      <c r="E28984" s="35"/>
      <c r="J28984" s="41"/>
    </row>
    <row r="28985" spans="5:10" s="34" customFormat="1" x14ac:dyDescent="0.35">
      <c r="E28985" s="35"/>
      <c r="J28985" s="41"/>
    </row>
    <row r="28986" spans="5:10" s="34" customFormat="1" x14ac:dyDescent="0.35">
      <c r="E28986" s="35"/>
      <c r="J28986" s="41"/>
    </row>
    <row r="28987" spans="5:10" s="34" customFormat="1" x14ac:dyDescent="0.35">
      <c r="E28987" s="35"/>
      <c r="J28987" s="41"/>
    </row>
    <row r="28988" spans="5:10" s="34" customFormat="1" x14ac:dyDescent="0.35">
      <c r="E28988" s="35"/>
      <c r="J28988" s="41"/>
    </row>
    <row r="28989" spans="5:10" s="34" customFormat="1" x14ac:dyDescent="0.35">
      <c r="E28989" s="35"/>
      <c r="J28989" s="41"/>
    </row>
    <row r="28990" spans="5:10" s="34" customFormat="1" x14ac:dyDescent="0.35">
      <c r="E28990" s="35"/>
      <c r="J28990" s="41"/>
    </row>
    <row r="28991" spans="5:10" s="34" customFormat="1" x14ac:dyDescent="0.35">
      <c r="E28991" s="35"/>
      <c r="J28991" s="41"/>
    </row>
    <row r="28992" spans="5:10" s="34" customFormat="1" x14ac:dyDescent="0.35">
      <c r="E28992" s="35"/>
      <c r="J28992" s="41"/>
    </row>
    <row r="28993" spans="5:10" s="34" customFormat="1" x14ac:dyDescent="0.35">
      <c r="E28993" s="35"/>
      <c r="J28993" s="41"/>
    </row>
    <row r="28994" spans="5:10" s="34" customFormat="1" x14ac:dyDescent="0.35">
      <c r="E28994" s="35"/>
      <c r="J28994" s="41"/>
    </row>
    <row r="28995" spans="5:10" s="34" customFormat="1" x14ac:dyDescent="0.35">
      <c r="E28995" s="35"/>
      <c r="J28995" s="41"/>
    </row>
    <row r="28996" spans="5:10" s="34" customFormat="1" x14ac:dyDescent="0.35">
      <c r="E28996" s="35"/>
      <c r="J28996" s="41"/>
    </row>
    <row r="28997" spans="5:10" s="34" customFormat="1" x14ac:dyDescent="0.35">
      <c r="E28997" s="35"/>
      <c r="J28997" s="41"/>
    </row>
    <row r="28998" spans="5:10" s="34" customFormat="1" x14ac:dyDescent="0.35">
      <c r="E28998" s="35"/>
      <c r="J28998" s="41"/>
    </row>
    <row r="28999" spans="5:10" s="34" customFormat="1" x14ac:dyDescent="0.35">
      <c r="E28999" s="35"/>
      <c r="J28999" s="41"/>
    </row>
    <row r="29000" spans="5:10" s="34" customFormat="1" x14ac:dyDescent="0.35">
      <c r="E29000" s="35"/>
      <c r="J29000" s="41"/>
    </row>
    <row r="29001" spans="5:10" s="34" customFormat="1" x14ac:dyDescent="0.35">
      <c r="E29001" s="35"/>
      <c r="J29001" s="41"/>
    </row>
    <row r="29002" spans="5:10" s="34" customFormat="1" x14ac:dyDescent="0.35">
      <c r="E29002" s="35"/>
      <c r="J29002" s="41"/>
    </row>
    <row r="29003" spans="5:10" s="34" customFormat="1" x14ac:dyDescent="0.35">
      <c r="E29003" s="35"/>
      <c r="J29003" s="41"/>
    </row>
    <row r="29004" spans="5:10" s="34" customFormat="1" x14ac:dyDescent="0.35">
      <c r="E29004" s="35"/>
      <c r="J29004" s="41"/>
    </row>
    <row r="29005" spans="5:10" s="34" customFormat="1" x14ac:dyDescent="0.35">
      <c r="E29005" s="35"/>
      <c r="J29005" s="41"/>
    </row>
    <row r="29006" spans="5:10" s="34" customFormat="1" x14ac:dyDescent="0.35">
      <c r="E29006" s="35"/>
      <c r="J29006" s="41"/>
    </row>
    <row r="29007" spans="5:10" s="34" customFormat="1" x14ac:dyDescent="0.35">
      <c r="E29007" s="35"/>
      <c r="J29007" s="41"/>
    </row>
    <row r="29008" spans="5:10" s="34" customFormat="1" x14ac:dyDescent="0.35">
      <c r="E29008" s="35"/>
      <c r="J29008" s="41"/>
    </row>
    <row r="29009" spans="5:10" s="34" customFormat="1" x14ac:dyDescent="0.35">
      <c r="E29009" s="35"/>
      <c r="J29009" s="41"/>
    </row>
    <row r="29010" spans="5:10" s="34" customFormat="1" x14ac:dyDescent="0.35">
      <c r="E29010" s="35"/>
      <c r="J29010" s="41"/>
    </row>
    <row r="29011" spans="5:10" s="34" customFormat="1" x14ac:dyDescent="0.35">
      <c r="E29011" s="35"/>
      <c r="J29011" s="41"/>
    </row>
    <row r="29012" spans="5:10" s="34" customFormat="1" x14ac:dyDescent="0.35">
      <c r="E29012" s="35"/>
      <c r="J29012" s="41"/>
    </row>
    <row r="29013" spans="5:10" s="34" customFormat="1" x14ac:dyDescent="0.35">
      <c r="E29013" s="35"/>
      <c r="J29013" s="41"/>
    </row>
    <row r="29014" spans="5:10" s="34" customFormat="1" x14ac:dyDescent="0.35">
      <c r="E29014" s="35"/>
      <c r="J29014" s="41"/>
    </row>
    <row r="29015" spans="5:10" s="34" customFormat="1" x14ac:dyDescent="0.35">
      <c r="E29015" s="35"/>
      <c r="J29015" s="41"/>
    </row>
    <row r="29016" spans="5:10" s="34" customFormat="1" x14ac:dyDescent="0.35">
      <c r="E29016" s="35"/>
      <c r="J29016" s="41"/>
    </row>
    <row r="29017" spans="5:10" s="34" customFormat="1" x14ac:dyDescent="0.35">
      <c r="E29017" s="35"/>
      <c r="J29017" s="41"/>
    </row>
    <row r="29018" spans="5:10" s="34" customFormat="1" x14ac:dyDescent="0.35">
      <c r="E29018" s="35"/>
      <c r="J29018" s="41"/>
    </row>
    <row r="29019" spans="5:10" s="34" customFormat="1" x14ac:dyDescent="0.35">
      <c r="E29019" s="35"/>
      <c r="J29019" s="41"/>
    </row>
    <row r="29020" spans="5:10" s="34" customFormat="1" x14ac:dyDescent="0.35">
      <c r="E29020" s="35"/>
      <c r="J29020" s="41"/>
    </row>
    <row r="29021" spans="5:10" s="34" customFormat="1" x14ac:dyDescent="0.35">
      <c r="E29021" s="35"/>
      <c r="J29021" s="41"/>
    </row>
    <row r="29022" spans="5:10" s="34" customFormat="1" x14ac:dyDescent="0.35">
      <c r="E29022" s="35"/>
      <c r="J29022" s="41"/>
    </row>
    <row r="29023" spans="5:10" s="34" customFormat="1" x14ac:dyDescent="0.35">
      <c r="E29023" s="35"/>
      <c r="J29023" s="41"/>
    </row>
    <row r="29024" spans="5:10" s="34" customFormat="1" x14ac:dyDescent="0.35">
      <c r="E29024" s="35"/>
      <c r="J29024" s="41"/>
    </row>
    <row r="29025" spans="5:10" s="34" customFormat="1" x14ac:dyDescent="0.35">
      <c r="E29025" s="35"/>
      <c r="J29025" s="41"/>
    </row>
    <row r="29026" spans="5:10" s="34" customFormat="1" x14ac:dyDescent="0.35">
      <c r="E29026" s="35"/>
      <c r="J29026" s="41"/>
    </row>
    <row r="29027" spans="5:10" s="34" customFormat="1" x14ac:dyDescent="0.35">
      <c r="E29027" s="35"/>
      <c r="J29027" s="41"/>
    </row>
    <row r="29028" spans="5:10" s="34" customFormat="1" x14ac:dyDescent="0.35">
      <c r="E29028" s="35"/>
      <c r="J29028" s="41"/>
    </row>
    <row r="29029" spans="5:10" s="34" customFormat="1" x14ac:dyDescent="0.35">
      <c r="E29029" s="35"/>
      <c r="J29029" s="41"/>
    </row>
    <row r="29030" spans="5:10" s="34" customFormat="1" x14ac:dyDescent="0.35">
      <c r="E29030" s="35"/>
      <c r="J29030" s="41"/>
    </row>
    <row r="29031" spans="5:10" s="34" customFormat="1" x14ac:dyDescent="0.35">
      <c r="E29031" s="35"/>
      <c r="J29031" s="41"/>
    </row>
    <row r="29032" spans="5:10" s="34" customFormat="1" x14ac:dyDescent="0.35">
      <c r="E29032" s="35"/>
      <c r="J29032" s="41"/>
    </row>
    <row r="29033" spans="5:10" s="34" customFormat="1" x14ac:dyDescent="0.35">
      <c r="E29033" s="35"/>
      <c r="J29033" s="41"/>
    </row>
    <row r="29034" spans="5:10" s="34" customFormat="1" x14ac:dyDescent="0.35">
      <c r="E29034" s="35"/>
      <c r="J29034" s="41"/>
    </row>
    <row r="29035" spans="5:10" s="34" customFormat="1" x14ac:dyDescent="0.35">
      <c r="E29035" s="35"/>
      <c r="J29035" s="41"/>
    </row>
    <row r="29036" spans="5:10" s="34" customFormat="1" x14ac:dyDescent="0.35">
      <c r="E29036" s="35"/>
      <c r="J29036" s="41"/>
    </row>
    <row r="29037" spans="5:10" s="34" customFormat="1" x14ac:dyDescent="0.35">
      <c r="E29037" s="35"/>
      <c r="J29037" s="41"/>
    </row>
    <row r="29038" spans="5:10" s="34" customFormat="1" x14ac:dyDescent="0.35">
      <c r="E29038" s="35"/>
      <c r="J29038" s="41"/>
    </row>
    <row r="29039" spans="5:10" s="34" customFormat="1" x14ac:dyDescent="0.35">
      <c r="E29039" s="35"/>
      <c r="J29039" s="41"/>
    </row>
    <row r="29040" spans="5:10" s="34" customFormat="1" x14ac:dyDescent="0.35">
      <c r="E29040" s="35"/>
      <c r="J29040" s="41"/>
    </row>
    <row r="29041" spans="5:10" s="34" customFormat="1" x14ac:dyDescent="0.35">
      <c r="E29041" s="35"/>
      <c r="J29041" s="41"/>
    </row>
    <row r="29042" spans="5:10" s="34" customFormat="1" x14ac:dyDescent="0.35">
      <c r="E29042" s="35"/>
      <c r="J29042" s="41"/>
    </row>
    <row r="29043" spans="5:10" s="34" customFormat="1" x14ac:dyDescent="0.35">
      <c r="E29043" s="35"/>
      <c r="J29043" s="41"/>
    </row>
    <row r="29044" spans="5:10" s="34" customFormat="1" x14ac:dyDescent="0.35">
      <c r="E29044" s="35"/>
      <c r="J29044" s="41"/>
    </row>
    <row r="29045" spans="5:10" s="34" customFormat="1" x14ac:dyDescent="0.35">
      <c r="E29045" s="35"/>
      <c r="J29045" s="41"/>
    </row>
    <row r="29046" spans="5:10" s="34" customFormat="1" x14ac:dyDescent="0.35">
      <c r="E29046" s="35"/>
      <c r="J29046" s="41"/>
    </row>
    <row r="29047" spans="5:10" s="34" customFormat="1" x14ac:dyDescent="0.35">
      <c r="E29047" s="35"/>
      <c r="J29047" s="41"/>
    </row>
    <row r="29048" spans="5:10" s="34" customFormat="1" x14ac:dyDescent="0.35">
      <c r="E29048" s="35"/>
      <c r="J29048" s="41"/>
    </row>
    <row r="29049" spans="5:10" s="34" customFormat="1" x14ac:dyDescent="0.35">
      <c r="E29049" s="35"/>
      <c r="J29049" s="41"/>
    </row>
    <row r="29050" spans="5:10" s="34" customFormat="1" x14ac:dyDescent="0.35">
      <c r="E29050" s="35"/>
      <c r="J29050" s="41"/>
    </row>
    <row r="29051" spans="5:10" s="34" customFormat="1" x14ac:dyDescent="0.35">
      <c r="E29051" s="35"/>
      <c r="J29051" s="41"/>
    </row>
    <row r="29052" spans="5:10" s="34" customFormat="1" x14ac:dyDescent="0.35">
      <c r="E29052" s="35"/>
      <c r="J29052" s="41"/>
    </row>
    <row r="29053" spans="5:10" s="34" customFormat="1" x14ac:dyDescent="0.35">
      <c r="E29053" s="35"/>
      <c r="J29053" s="41"/>
    </row>
    <row r="29054" spans="5:10" s="34" customFormat="1" x14ac:dyDescent="0.35">
      <c r="E29054" s="35"/>
      <c r="J29054" s="41"/>
    </row>
    <row r="29055" spans="5:10" s="34" customFormat="1" x14ac:dyDescent="0.35">
      <c r="E29055" s="35"/>
      <c r="J29055" s="41"/>
    </row>
    <row r="29056" spans="5:10" s="34" customFormat="1" x14ac:dyDescent="0.35">
      <c r="E29056" s="35"/>
      <c r="J29056" s="41"/>
    </row>
    <row r="29057" spans="5:10" s="34" customFormat="1" x14ac:dyDescent="0.35">
      <c r="E29057" s="35"/>
      <c r="J29057" s="41"/>
    </row>
    <row r="29058" spans="5:10" s="34" customFormat="1" x14ac:dyDescent="0.35">
      <c r="E29058" s="35"/>
      <c r="J29058" s="41"/>
    </row>
    <row r="29059" spans="5:10" s="34" customFormat="1" x14ac:dyDescent="0.35">
      <c r="E29059" s="35"/>
      <c r="J29059" s="41"/>
    </row>
    <row r="29060" spans="5:10" s="34" customFormat="1" x14ac:dyDescent="0.35">
      <c r="E29060" s="35"/>
      <c r="J29060" s="41"/>
    </row>
    <row r="29061" spans="5:10" s="34" customFormat="1" x14ac:dyDescent="0.35">
      <c r="E29061" s="35"/>
      <c r="J29061" s="41"/>
    </row>
    <row r="29062" spans="5:10" s="34" customFormat="1" x14ac:dyDescent="0.35">
      <c r="E29062" s="35"/>
      <c r="J29062" s="41"/>
    </row>
    <row r="29063" spans="5:10" s="34" customFormat="1" x14ac:dyDescent="0.35">
      <c r="E29063" s="35"/>
      <c r="J29063" s="41"/>
    </row>
    <row r="29064" spans="5:10" s="34" customFormat="1" x14ac:dyDescent="0.35">
      <c r="E29064" s="35"/>
      <c r="J29064" s="41"/>
    </row>
    <row r="29065" spans="5:10" s="34" customFormat="1" x14ac:dyDescent="0.35">
      <c r="E29065" s="35"/>
      <c r="J29065" s="41"/>
    </row>
    <row r="29066" spans="5:10" s="34" customFormat="1" x14ac:dyDescent="0.35">
      <c r="E29066" s="35"/>
      <c r="J29066" s="41"/>
    </row>
    <row r="29067" spans="5:10" s="34" customFormat="1" x14ac:dyDescent="0.35">
      <c r="E29067" s="35"/>
      <c r="J29067" s="41"/>
    </row>
    <row r="29068" spans="5:10" s="34" customFormat="1" x14ac:dyDescent="0.35">
      <c r="E29068" s="35"/>
      <c r="J29068" s="41"/>
    </row>
    <row r="29069" spans="5:10" s="34" customFormat="1" x14ac:dyDescent="0.35">
      <c r="E29069" s="35"/>
      <c r="J29069" s="41"/>
    </row>
    <row r="29070" spans="5:10" s="34" customFormat="1" x14ac:dyDescent="0.35">
      <c r="E29070" s="35"/>
      <c r="J29070" s="41"/>
    </row>
    <row r="29071" spans="5:10" s="34" customFormat="1" x14ac:dyDescent="0.35">
      <c r="E29071" s="35"/>
      <c r="J29071" s="41"/>
    </row>
    <row r="29072" spans="5:10" s="34" customFormat="1" x14ac:dyDescent="0.35">
      <c r="E29072" s="35"/>
      <c r="J29072" s="41"/>
    </row>
    <row r="29073" spans="5:10" s="34" customFormat="1" x14ac:dyDescent="0.35">
      <c r="E29073" s="35"/>
      <c r="J29073" s="41"/>
    </row>
    <row r="29074" spans="5:10" s="34" customFormat="1" x14ac:dyDescent="0.35">
      <c r="E29074" s="35"/>
      <c r="J29074" s="41"/>
    </row>
    <row r="29075" spans="5:10" s="34" customFormat="1" x14ac:dyDescent="0.35">
      <c r="E29075" s="35"/>
      <c r="J29075" s="41"/>
    </row>
    <row r="29076" spans="5:10" s="34" customFormat="1" x14ac:dyDescent="0.35">
      <c r="E29076" s="35"/>
      <c r="J29076" s="41"/>
    </row>
    <row r="29077" spans="5:10" s="34" customFormat="1" x14ac:dyDescent="0.35">
      <c r="E29077" s="35"/>
      <c r="J29077" s="41"/>
    </row>
    <row r="29078" spans="5:10" s="34" customFormat="1" x14ac:dyDescent="0.35">
      <c r="E29078" s="35"/>
      <c r="J29078" s="41"/>
    </row>
    <row r="29079" spans="5:10" s="34" customFormat="1" x14ac:dyDescent="0.35">
      <c r="E29079" s="35"/>
      <c r="J29079" s="41"/>
    </row>
    <row r="29080" spans="5:10" s="34" customFormat="1" x14ac:dyDescent="0.35">
      <c r="E29080" s="35"/>
      <c r="J29080" s="41"/>
    </row>
    <row r="29081" spans="5:10" s="34" customFormat="1" x14ac:dyDescent="0.35">
      <c r="E29081" s="35"/>
      <c r="J29081" s="41"/>
    </row>
    <row r="29082" spans="5:10" s="34" customFormat="1" x14ac:dyDescent="0.35">
      <c r="E29082" s="35"/>
      <c r="J29082" s="41"/>
    </row>
    <row r="29083" spans="5:10" s="34" customFormat="1" x14ac:dyDescent="0.35">
      <c r="E29083" s="35"/>
      <c r="J29083" s="41"/>
    </row>
    <row r="29084" spans="5:10" s="34" customFormat="1" x14ac:dyDescent="0.35">
      <c r="E29084" s="35"/>
      <c r="J29084" s="41"/>
    </row>
    <row r="29085" spans="5:10" s="34" customFormat="1" x14ac:dyDescent="0.35">
      <c r="E29085" s="35"/>
      <c r="J29085" s="41"/>
    </row>
    <row r="29086" spans="5:10" s="34" customFormat="1" x14ac:dyDescent="0.35">
      <c r="E29086" s="35"/>
      <c r="J29086" s="41"/>
    </row>
    <row r="29087" spans="5:10" s="34" customFormat="1" x14ac:dyDescent="0.35">
      <c r="E29087" s="35"/>
      <c r="J29087" s="41"/>
    </row>
    <row r="29088" spans="5:10" s="34" customFormat="1" x14ac:dyDescent="0.35">
      <c r="E29088" s="35"/>
      <c r="J29088" s="41"/>
    </row>
    <row r="29089" spans="5:10" s="34" customFormat="1" x14ac:dyDescent="0.35">
      <c r="E29089" s="35"/>
      <c r="J29089" s="41"/>
    </row>
    <row r="29090" spans="5:10" s="34" customFormat="1" x14ac:dyDescent="0.35">
      <c r="E29090" s="35"/>
      <c r="J29090" s="41"/>
    </row>
    <row r="29091" spans="5:10" s="34" customFormat="1" x14ac:dyDescent="0.35">
      <c r="E29091" s="35"/>
      <c r="J29091" s="41"/>
    </row>
    <row r="29092" spans="5:10" s="34" customFormat="1" x14ac:dyDescent="0.35">
      <c r="E29092" s="35"/>
      <c r="J29092" s="41"/>
    </row>
    <row r="29093" spans="5:10" s="34" customFormat="1" x14ac:dyDescent="0.35">
      <c r="E29093" s="35"/>
      <c r="J29093" s="41"/>
    </row>
    <row r="29094" spans="5:10" s="34" customFormat="1" x14ac:dyDescent="0.35">
      <c r="E29094" s="35"/>
      <c r="J29094" s="41"/>
    </row>
    <row r="29095" spans="5:10" s="34" customFormat="1" x14ac:dyDescent="0.35">
      <c r="E29095" s="35"/>
      <c r="J29095" s="41"/>
    </row>
    <row r="29096" spans="5:10" s="34" customFormat="1" x14ac:dyDescent="0.35">
      <c r="E29096" s="35"/>
      <c r="J29096" s="41"/>
    </row>
    <row r="29097" spans="5:10" s="34" customFormat="1" x14ac:dyDescent="0.35">
      <c r="E29097" s="35"/>
      <c r="J29097" s="41"/>
    </row>
    <row r="29098" spans="5:10" s="34" customFormat="1" x14ac:dyDescent="0.35">
      <c r="E29098" s="35"/>
      <c r="J29098" s="41"/>
    </row>
    <row r="29099" spans="5:10" s="34" customFormat="1" x14ac:dyDescent="0.35">
      <c r="E29099" s="35"/>
      <c r="J29099" s="41"/>
    </row>
    <row r="29100" spans="5:10" s="34" customFormat="1" x14ac:dyDescent="0.35">
      <c r="E29100" s="35"/>
      <c r="J29100" s="41"/>
    </row>
    <row r="29101" spans="5:10" s="34" customFormat="1" x14ac:dyDescent="0.35">
      <c r="E29101" s="35"/>
      <c r="J29101" s="41"/>
    </row>
    <row r="29102" spans="5:10" s="34" customFormat="1" x14ac:dyDescent="0.35">
      <c r="E29102" s="35"/>
      <c r="J29102" s="41"/>
    </row>
    <row r="29103" spans="5:10" s="34" customFormat="1" x14ac:dyDescent="0.35">
      <c r="E29103" s="35"/>
      <c r="J29103" s="41"/>
    </row>
    <row r="29104" spans="5:10" s="34" customFormat="1" x14ac:dyDescent="0.35">
      <c r="E29104" s="35"/>
      <c r="J29104" s="41"/>
    </row>
    <row r="29105" spans="5:10" s="34" customFormat="1" x14ac:dyDescent="0.35">
      <c r="E29105" s="35"/>
      <c r="J29105" s="41"/>
    </row>
    <row r="29106" spans="5:10" s="34" customFormat="1" x14ac:dyDescent="0.35">
      <c r="E29106" s="35"/>
      <c r="J29106" s="41"/>
    </row>
    <row r="29107" spans="5:10" s="34" customFormat="1" x14ac:dyDescent="0.35">
      <c r="E29107" s="35"/>
      <c r="J29107" s="41"/>
    </row>
    <row r="29108" spans="5:10" s="34" customFormat="1" x14ac:dyDescent="0.35">
      <c r="E29108" s="35"/>
      <c r="J29108" s="41"/>
    </row>
    <row r="29109" spans="5:10" s="34" customFormat="1" x14ac:dyDescent="0.35">
      <c r="E29109" s="35"/>
      <c r="J29109" s="41"/>
    </row>
    <row r="29110" spans="5:10" s="34" customFormat="1" x14ac:dyDescent="0.35">
      <c r="E29110" s="35"/>
      <c r="J29110" s="41"/>
    </row>
    <row r="29111" spans="5:10" s="34" customFormat="1" x14ac:dyDescent="0.35">
      <c r="E29111" s="35"/>
      <c r="J29111" s="41"/>
    </row>
    <row r="29112" spans="5:10" s="34" customFormat="1" x14ac:dyDescent="0.35">
      <c r="E29112" s="35"/>
      <c r="J29112" s="41"/>
    </row>
    <row r="29113" spans="5:10" s="34" customFormat="1" x14ac:dyDescent="0.35">
      <c r="E29113" s="35"/>
      <c r="J29113" s="41"/>
    </row>
    <row r="29114" spans="5:10" s="34" customFormat="1" x14ac:dyDescent="0.35">
      <c r="E29114" s="35"/>
      <c r="J29114" s="41"/>
    </row>
    <row r="29115" spans="5:10" s="34" customFormat="1" x14ac:dyDescent="0.35">
      <c r="E29115" s="35"/>
      <c r="J29115" s="41"/>
    </row>
    <row r="29116" spans="5:10" s="34" customFormat="1" x14ac:dyDescent="0.35">
      <c r="E29116" s="35"/>
      <c r="J29116" s="41"/>
    </row>
    <row r="29117" spans="5:10" s="34" customFormat="1" x14ac:dyDescent="0.35">
      <c r="E29117" s="35"/>
      <c r="J29117" s="41"/>
    </row>
    <row r="29118" spans="5:10" s="34" customFormat="1" x14ac:dyDescent="0.35">
      <c r="E29118" s="35"/>
      <c r="J29118" s="41"/>
    </row>
    <row r="29119" spans="5:10" s="34" customFormat="1" x14ac:dyDescent="0.35">
      <c r="E29119" s="35"/>
      <c r="J29119" s="41"/>
    </row>
    <row r="29120" spans="5:10" s="34" customFormat="1" x14ac:dyDescent="0.35">
      <c r="E29120" s="35"/>
      <c r="J29120" s="41"/>
    </row>
    <row r="29121" spans="5:10" s="34" customFormat="1" x14ac:dyDescent="0.35">
      <c r="E29121" s="35"/>
      <c r="J29121" s="41"/>
    </row>
    <row r="29122" spans="5:10" s="34" customFormat="1" x14ac:dyDescent="0.35">
      <c r="E29122" s="35"/>
      <c r="J29122" s="41"/>
    </row>
    <row r="29123" spans="5:10" s="34" customFormat="1" x14ac:dyDescent="0.35">
      <c r="E29123" s="35"/>
      <c r="J29123" s="41"/>
    </row>
    <row r="29124" spans="5:10" s="34" customFormat="1" x14ac:dyDescent="0.35">
      <c r="E29124" s="35"/>
      <c r="J29124" s="41"/>
    </row>
    <row r="29125" spans="5:10" s="34" customFormat="1" x14ac:dyDescent="0.35">
      <c r="E29125" s="35"/>
      <c r="J29125" s="41"/>
    </row>
    <row r="29126" spans="5:10" s="34" customFormat="1" x14ac:dyDescent="0.35">
      <c r="E29126" s="35"/>
      <c r="J29126" s="41"/>
    </row>
    <row r="29127" spans="5:10" s="34" customFormat="1" x14ac:dyDescent="0.35">
      <c r="E29127" s="35"/>
      <c r="J29127" s="41"/>
    </row>
    <row r="29128" spans="5:10" s="34" customFormat="1" x14ac:dyDescent="0.35">
      <c r="E29128" s="35"/>
      <c r="J29128" s="41"/>
    </row>
    <row r="29129" spans="5:10" s="34" customFormat="1" x14ac:dyDescent="0.35">
      <c r="E29129" s="35"/>
      <c r="J29129" s="41"/>
    </row>
    <row r="29130" spans="5:10" s="34" customFormat="1" x14ac:dyDescent="0.35">
      <c r="E29130" s="35"/>
      <c r="J29130" s="41"/>
    </row>
    <row r="29131" spans="5:10" s="34" customFormat="1" x14ac:dyDescent="0.35">
      <c r="E29131" s="35"/>
      <c r="J29131" s="41"/>
    </row>
    <row r="29132" spans="5:10" s="34" customFormat="1" x14ac:dyDescent="0.35">
      <c r="E29132" s="35"/>
      <c r="J29132" s="41"/>
    </row>
    <row r="29133" spans="5:10" s="34" customFormat="1" x14ac:dyDescent="0.35">
      <c r="E29133" s="35"/>
      <c r="J29133" s="41"/>
    </row>
    <row r="29134" spans="5:10" s="34" customFormat="1" x14ac:dyDescent="0.35">
      <c r="E29134" s="35"/>
      <c r="J29134" s="41"/>
    </row>
    <row r="29135" spans="5:10" s="34" customFormat="1" x14ac:dyDescent="0.35">
      <c r="E29135" s="35"/>
      <c r="J29135" s="41"/>
    </row>
    <row r="29136" spans="5:10" s="34" customFormat="1" x14ac:dyDescent="0.35">
      <c r="E29136" s="35"/>
      <c r="J29136" s="41"/>
    </row>
    <row r="29137" spans="5:10" s="34" customFormat="1" x14ac:dyDescent="0.35">
      <c r="E29137" s="35"/>
      <c r="J29137" s="41"/>
    </row>
    <row r="29138" spans="5:10" s="34" customFormat="1" x14ac:dyDescent="0.35">
      <c r="E29138" s="35"/>
      <c r="J29138" s="41"/>
    </row>
    <row r="29139" spans="5:10" s="34" customFormat="1" x14ac:dyDescent="0.35">
      <c r="E29139" s="35"/>
      <c r="J29139" s="41"/>
    </row>
    <row r="29140" spans="5:10" s="34" customFormat="1" x14ac:dyDescent="0.35">
      <c r="E29140" s="35"/>
      <c r="J29140" s="41"/>
    </row>
    <row r="29141" spans="5:10" s="34" customFormat="1" x14ac:dyDescent="0.35">
      <c r="E29141" s="35"/>
      <c r="J29141" s="41"/>
    </row>
    <row r="29142" spans="5:10" s="34" customFormat="1" x14ac:dyDescent="0.35">
      <c r="E29142" s="35"/>
      <c r="J29142" s="41"/>
    </row>
    <row r="29143" spans="5:10" s="34" customFormat="1" x14ac:dyDescent="0.35">
      <c r="E29143" s="35"/>
      <c r="J29143" s="41"/>
    </row>
    <row r="29144" spans="5:10" s="34" customFormat="1" x14ac:dyDescent="0.35">
      <c r="E29144" s="35"/>
      <c r="J29144" s="41"/>
    </row>
    <row r="29145" spans="5:10" s="34" customFormat="1" x14ac:dyDescent="0.35">
      <c r="E29145" s="35"/>
      <c r="J29145" s="41"/>
    </row>
    <row r="29146" spans="5:10" s="34" customFormat="1" x14ac:dyDescent="0.35">
      <c r="E29146" s="35"/>
      <c r="J29146" s="41"/>
    </row>
    <row r="29147" spans="5:10" s="34" customFormat="1" x14ac:dyDescent="0.35">
      <c r="E29147" s="35"/>
      <c r="J29147" s="41"/>
    </row>
    <row r="29148" spans="5:10" s="34" customFormat="1" x14ac:dyDescent="0.35">
      <c r="E29148" s="35"/>
      <c r="J29148" s="41"/>
    </row>
    <row r="29149" spans="5:10" s="34" customFormat="1" x14ac:dyDescent="0.35">
      <c r="E29149" s="35"/>
      <c r="J29149" s="41"/>
    </row>
    <row r="29150" spans="5:10" s="34" customFormat="1" x14ac:dyDescent="0.35">
      <c r="E29150" s="35"/>
      <c r="J29150" s="41"/>
    </row>
    <row r="29151" spans="5:10" s="34" customFormat="1" x14ac:dyDescent="0.35">
      <c r="E29151" s="35"/>
      <c r="J29151" s="41"/>
    </row>
    <row r="29152" spans="5:10" s="34" customFormat="1" x14ac:dyDescent="0.35">
      <c r="E29152" s="35"/>
      <c r="J29152" s="41"/>
    </row>
    <row r="29153" spans="5:10" s="34" customFormat="1" x14ac:dyDescent="0.35">
      <c r="E29153" s="35"/>
      <c r="J29153" s="41"/>
    </row>
    <row r="29154" spans="5:10" s="34" customFormat="1" x14ac:dyDescent="0.35">
      <c r="E29154" s="35"/>
      <c r="J29154" s="41"/>
    </row>
    <row r="29155" spans="5:10" s="34" customFormat="1" x14ac:dyDescent="0.35">
      <c r="E29155" s="35"/>
      <c r="J29155" s="41"/>
    </row>
    <row r="29156" spans="5:10" s="34" customFormat="1" x14ac:dyDescent="0.35">
      <c r="E29156" s="35"/>
      <c r="J29156" s="41"/>
    </row>
    <row r="29157" spans="5:10" s="34" customFormat="1" x14ac:dyDescent="0.35">
      <c r="E29157" s="35"/>
      <c r="J29157" s="41"/>
    </row>
    <row r="29158" spans="5:10" s="34" customFormat="1" x14ac:dyDescent="0.35">
      <c r="E29158" s="35"/>
      <c r="J29158" s="41"/>
    </row>
    <row r="29159" spans="5:10" s="34" customFormat="1" x14ac:dyDescent="0.35">
      <c r="E29159" s="35"/>
      <c r="J29159" s="41"/>
    </row>
    <row r="29160" spans="5:10" s="34" customFormat="1" x14ac:dyDescent="0.35">
      <c r="E29160" s="35"/>
      <c r="J29160" s="41"/>
    </row>
    <row r="29161" spans="5:10" s="34" customFormat="1" x14ac:dyDescent="0.35">
      <c r="E29161" s="35"/>
      <c r="J29161" s="41"/>
    </row>
    <row r="29162" spans="5:10" s="34" customFormat="1" x14ac:dyDescent="0.35">
      <c r="E29162" s="35"/>
      <c r="J29162" s="41"/>
    </row>
    <row r="29163" spans="5:10" s="34" customFormat="1" x14ac:dyDescent="0.35">
      <c r="E29163" s="35"/>
      <c r="J29163" s="41"/>
    </row>
    <row r="29164" spans="5:10" s="34" customFormat="1" x14ac:dyDescent="0.35">
      <c r="E29164" s="35"/>
      <c r="J29164" s="41"/>
    </row>
    <row r="29165" spans="5:10" s="34" customFormat="1" x14ac:dyDescent="0.35">
      <c r="E29165" s="35"/>
      <c r="J29165" s="41"/>
    </row>
    <row r="29166" spans="5:10" s="34" customFormat="1" x14ac:dyDescent="0.35">
      <c r="E29166" s="35"/>
      <c r="J29166" s="41"/>
    </row>
    <row r="29167" spans="5:10" s="34" customFormat="1" x14ac:dyDescent="0.35">
      <c r="E29167" s="35"/>
      <c r="J29167" s="41"/>
    </row>
    <row r="29168" spans="5:10" s="34" customFormat="1" x14ac:dyDescent="0.35">
      <c r="E29168" s="35"/>
      <c r="J29168" s="41"/>
    </row>
    <row r="29169" spans="5:10" s="34" customFormat="1" x14ac:dyDescent="0.35">
      <c r="E29169" s="35"/>
      <c r="J29169" s="41"/>
    </row>
    <row r="29170" spans="5:10" s="34" customFormat="1" x14ac:dyDescent="0.35">
      <c r="E29170" s="35"/>
      <c r="J29170" s="41"/>
    </row>
    <row r="29171" spans="5:10" s="34" customFormat="1" x14ac:dyDescent="0.35">
      <c r="E29171" s="35"/>
      <c r="J29171" s="41"/>
    </row>
    <row r="29172" spans="5:10" s="34" customFormat="1" x14ac:dyDescent="0.35">
      <c r="E29172" s="35"/>
      <c r="J29172" s="41"/>
    </row>
    <row r="29173" spans="5:10" s="34" customFormat="1" x14ac:dyDescent="0.35">
      <c r="E29173" s="35"/>
      <c r="J29173" s="41"/>
    </row>
    <row r="29174" spans="5:10" s="34" customFormat="1" x14ac:dyDescent="0.35">
      <c r="E29174" s="35"/>
      <c r="J29174" s="41"/>
    </row>
    <row r="29175" spans="5:10" s="34" customFormat="1" x14ac:dyDescent="0.35">
      <c r="E29175" s="35"/>
      <c r="J29175" s="41"/>
    </row>
    <row r="29176" spans="5:10" s="34" customFormat="1" x14ac:dyDescent="0.35">
      <c r="E29176" s="35"/>
      <c r="J29176" s="41"/>
    </row>
    <row r="29177" spans="5:10" s="34" customFormat="1" x14ac:dyDescent="0.35">
      <c r="E29177" s="35"/>
      <c r="J29177" s="41"/>
    </row>
    <row r="29178" spans="5:10" s="34" customFormat="1" x14ac:dyDescent="0.35">
      <c r="E29178" s="35"/>
      <c r="J29178" s="41"/>
    </row>
    <row r="29179" spans="5:10" s="34" customFormat="1" x14ac:dyDescent="0.35">
      <c r="E29179" s="35"/>
      <c r="J29179" s="41"/>
    </row>
    <row r="29180" spans="5:10" s="34" customFormat="1" x14ac:dyDescent="0.35">
      <c r="E29180" s="35"/>
      <c r="J29180" s="41"/>
    </row>
    <row r="29181" spans="5:10" s="34" customFormat="1" x14ac:dyDescent="0.35">
      <c r="E29181" s="35"/>
      <c r="J29181" s="41"/>
    </row>
    <row r="29182" spans="5:10" s="34" customFormat="1" x14ac:dyDescent="0.35">
      <c r="E29182" s="35"/>
      <c r="J29182" s="41"/>
    </row>
    <row r="29183" spans="5:10" s="34" customFormat="1" x14ac:dyDescent="0.35">
      <c r="E29183" s="35"/>
      <c r="J29183" s="41"/>
    </row>
    <row r="29184" spans="5:10" s="34" customFormat="1" x14ac:dyDescent="0.35">
      <c r="E29184" s="35"/>
      <c r="J29184" s="41"/>
    </row>
    <row r="29185" spans="5:10" s="34" customFormat="1" x14ac:dyDescent="0.35">
      <c r="E29185" s="35"/>
      <c r="J29185" s="41"/>
    </row>
    <row r="29186" spans="5:10" s="34" customFormat="1" x14ac:dyDescent="0.35">
      <c r="E29186" s="35"/>
      <c r="J29186" s="41"/>
    </row>
    <row r="29187" spans="5:10" s="34" customFormat="1" x14ac:dyDescent="0.35">
      <c r="E29187" s="35"/>
      <c r="J29187" s="41"/>
    </row>
    <row r="29188" spans="5:10" s="34" customFormat="1" x14ac:dyDescent="0.35">
      <c r="E29188" s="35"/>
      <c r="J29188" s="41"/>
    </row>
    <row r="29189" spans="5:10" s="34" customFormat="1" x14ac:dyDescent="0.35">
      <c r="E29189" s="35"/>
      <c r="J29189" s="41"/>
    </row>
    <row r="29190" spans="5:10" s="34" customFormat="1" x14ac:dyDescent="0.35">
      <c r="E29190" s="35"/>
      <c r="J29190" s="41"/>
    </row>
    <row r="29191" spans="5:10" s="34" customFormat="1" x14ac:dyDescent="0.35">
      <c r="E29191" s="35"/>
      <c r="J29191" s="41"/>
    </row>
    <row r="29192" spans="5:10" s="34" customFormat="1" x14ac:dyDescent="0.35">
      <c r="E29192" s="35"/>
      <c r="J29192" s="41"/>
    </row>
    <row r="29193" spans="5:10" s="34" customFormat="1" x14ac:dyDescent="0.35">
      <c r="E29193" s="35"/>
      <c r="J29193" s="41"/>
    </row>
    <row r="29194" spans="5:10" s="34" customFormat="1" x14ac:dyDescent="0.35">
      <c r="E29194" s="35"/>
      <c r="J29194" s="41"/>
    </row>
    <row r="29195" spans="5:10" s="34" customFormat="1" x14ac:dyDescent="0.35">
      <c r="E29195" s="35"/>
      <c r="J29195" s="41"/>
    </row>
    <row r="29196" spans="5:10" s="34" customFormat="1" x14ac:dyDescent="0.35">
      <c r="E29196" s="35"/>
      <c r="J29196" s="41"/>
    </row>
    <row r="29197" spans="5:10" s="34" customFormat="1" x14ac:dyDescent="0.35">
      <c r="E29197" s="35"/>
      <c r="J29197" s="41"/>
    </row>
    <row r="29198" spans="5:10" s="34" customFormat="1" x14ac:dyDescent="0.35">
      <c r="E29198" s="35"/>
      <c r="J29198" s="41"/>
    </row>
    <row r="29199" spans="5:10" s="34" customFormat="1" x14ac:dyDescent="0.35">
      <c r="E29199" s="35"/>
      <c r="J29199" s="41"/>
    </row>
    <row r="29200" spans="5:10" s="34" customFormat="1" x14ac:dyDescent="0.35">
      <c r="E29200" s="35"/>
      <c r="J29200" s="41"/>
    </row>
    <row r="29201" spans="5:10" s="34" customFormat="1" x14ac:dyDescent="0.35">
      <c r="E29201" s="35"/>
      <c r="J29201" s="41"/>
    </row>
    <row r="29202" spans="5:10" s="34" customFormat="1" x14ac:dyDescent="0.35">
      <c r="E29202" s="35"/>
      <c r="J29202" s="41"/>
    </row>
    <row r="29203" spans="5:10" s="34" customFormat="1" x14ac:dyDescent="0.35">
      <c r="E29203" s="35"/>
      <c r="J29203" s="41"/>
    </row>
    <row r="29204" spans="5:10" s="34" customFormat="1" x14ac:dyDescent="0.35">
      <c r="E29204" s="35"/>
      <c r="J29204" s="41"/>
    </row>
    <row r="29205" spans="5:10" s="34" customFormat="1" x14ac:dyDescent="0.35">
      <c r="E29205" s="35"/>
      <c r="J29205" s="41"/>
    </row>
    <row r="29206" spans="5:10" s="34" customFormat="1" x14ac:dyDescent="0.35">
      <c r="E29206" s="35"/>
      <c r="J29206" s="41"/>
    </row>
    <row r="29207" spans="5:10" s="34" customFormat="1" x14ac:dyDescent="0.35">
      <c r="E29207" s="35"/>
      <c r="J29207" s="41"/>
    </row>
    <row r="29208" spans="5:10" s="34" customFormat="1" x14ac:dyDescent="0.35">
      <c r="E29208" s="35"/>
      <c r="J29208" s="41"/>
    </row>
    <row r="29209" spans="5:10" s="34" customFormat="1" x14ac:dyDescent="0.35">
      <c r="E29209" s="35"/>
      <c r="J29209" s="41"/>
    </row>
    <row r="29210" spans="5:10" s="34" customFormat="1" x14ac:dyDescent="0.35">
      <c r="E29210" s="35"/>
      <c r="J29210" s="41"/>
    </row>
    <row r="29211" spans="5:10" s="34" customFormat="1" x14ac:dyDescent="0.35">
      <c r="E29211" s="35"/>
      <c r="J29211" s="41"/>
    </row>
    <row r="29212" spans="5:10" s="34" customFormat="1" x14ac:dyDescent="0.35">
      <c r="E29212" s="35"/>
      <c r="J29212" s="41"/>
    </row>
    <row r="29213" spans="5:10" s="34" customFormat="1" x14ac:dyDescent="0.35">
      <c r="E29213" s="35"/>
      <c r="J29213" s="41"/>
    </row>
    <row r="29214" spans="5:10" s="34" customFormat="1" x14ac:dyDescent="0.35">
      <c r="E29214" s="35"/>
      <c r="J29214" s="41"/>
    </row>
    <row r="29215" spans="5:10" s="34" customFormat="1" x14ac:dyDescent="0.35">
      <c r="E29215" s="35"/>
      <c r="J29215" s="41"/>
    </row>
    <row r="29216" spans="5:10" s="34" customFormat="1" x14ac:dyDescent="0.35">
      <c r="E29216" s="35"/>
      <c r="J29216" s="41"/>
    </row>
    <row r="29217" spans="5:10" s="34" customFormat="1" x14ac:dyDescent="0.35">
      <c r="E29217" s="35"/>
      <c r="J29217" s="41"/>
    </row>
    <row r="29218" spans="5:10" s="34" customFormat="1" x14ac:dyDescent="0.35">
      <c r="E29218" s="35"/>
      <c r="J29218" s="41"/>
    </row>
    <row r="29219" spans="5:10" s="34" customFormat="1" x14ac:dyDescent="0.35">
      <c r="E29219" s="35"/>
      <c r="J29219" s="41"/>
    </row>
    <row r="29220" spans="5:10" s="34" customFormat="1" x14ac:dyDescent="0.35">
      <c r="E29220" s="35"/>
      <c r="J29220" s="41"/>
    </row>
    <row r="29221" spans="5:10" s="34" customFormat="1" x14ac:dyDescent="0.35">
      <c r="E29221" s="35"/>
      <c r="J29221" s="41"/>
    </row>
    <row r="29222" spans="5:10" s="34" customFormat="1" x14ac:dyDescent="0.35">
      <c r="E29222" s="35"/>
      <c r="J29222" s="41"/>
    </row>
    <row r="29223" spans="5:10" s="34" customFormat="1" x14ac:dyDescent="0.35">
      <c r="E29223" s="35"/>
      <c r="J29223" s="41"/>
    </row>
    <row r="29224" spans="5:10" s="34" customFormat="1" x14ac:dyDescent="0.35">
      <c r="E29224" s="35"/>
      <c r="J29224" s="41"/>
    </row>
    <row r="29225" spans="5:10" s="34" customFormat="1" x14ac:dyDescent="0.35">
      <c r="E29225" s="35"/>
      <c r="J29225" s="41"/>
    </row>
    <row r="29226" spans="5:10" s="34" customFormat="1" x14ac:dyDescent="0.35">
      <c r="E29226" s="35"/>
      <c r="J29226" s="41"/>
    </row>
    <row r="29227" spans="5:10" s="34" customFormat="1" x14ac:dyDescent="0.35">
      <c r="E29227" s="35"/>
      <c r="J29227" s="41"/>
    </row>
    <row r="29228" spans="5:10" s="34" customFormat="1" x14ac:dyDescent="0.35">
      <c r="E29228" s="35"/>
      <c r="J29228" s="41"/>
    </row>
    <row r="29229" spans="5:10" s="34" customFormat="1" x14ac:dyDescent="0.35">
      <c r="E29229" s="35"/>
      <c r="J29229" s="41"/>
    </row>
    <row r="29230" spans="5:10" s="34" customFormat="1" x14ac:dyDescent="0.35">
      <c r="E29230" s="35"/>
      <c r="J29230" s="41"/>
    </row>
    <row r="29231" spans="5:10" s="34" customFormat="1" x14ac:dyDescent="0.35">
      <c r="E29231" s="35"/>
      <c r="J29231" s="41"/>
    </row>
    <row r="29232" spans="5:10" s="34" customFormat="1" x14ac:dyDescent="0.35">
      <c r="E29232" s="35"/>
      <c r="J29232" s="41"/>
    </row>
    <row r="29233" spans="5:10" s="34" customFormat="1" x14ac:dyDescent="0.35">
      <c r="E29233" s="35"/>
      <c r="J29233" s="41"/>
    </row>
    <row r="29234" spans="5:10" s="34" customFormat="1" x14ac:dyDescent="0.35">
      <c r="E29234" s="35"/>
      <c r="J29234" s="41"/>
    </row>
    <row r="29235" spans="5:10" s="34" customFormat="1" x14ac:dyDescent="0.35">
      <c r="E29235" s="35"/>
      <c r="J29235" s="41"/>
    </row>
    <row r="29236" spans="5:10" s="34" customFormat="1" x14ac:dyDescent="0.35">
      <c r="E29236" s="35"/>
      <c r="J29236" s="41"/>
    </row>
    <row r="29237" spans="5:10" s="34" customFormat="1" x14ac:dyDescent="0.35">
      <c r="E29237" s="35"/>
      <c r="J29237" s="41"/>
    </row>
    <row r="29238" spans="5:10" s="34" customFormat="1" x14ac:dyDescent="0.35">
      <c r="E29238" s="35"/>
      <c r="J29238" s="41"/>
    </row>
    <row r="29239" spans="5:10" s="34" customFormat="1" x14ac:dyDescent="0.35">
      <c r="E29239" s="35"/>
      <c r="J29239" s="41"/>
    </row>
    <row r="29240" spans="5:10" s="34" customFormat="1" x14ac:dyDescent="0.35">
      <c r="E29240" s="35"/>
      <c r="J29240" s="41"/>
    </row>
    <row r="29241" spans="5:10" s="34" customFormat="1" x14ac:dyDescent="0.35">
      <c r="E29241" s="35"/>
      <c r="J29241" s="41"/>
    </row>
    <row r="29242" spans="5:10" s="34" customFormat="1" x14ac:dyDescent="0.35">
      <c r="E29242" s="35"/>
      <c r="J29242" s="41"/>
    </row>
    <row r="29243" spans="5:10" s="34" customFormat="1" x14ac:dyDescent="0.35">
      <c r="E29243" s="35"/>
      <c r="J29243" s="41"/>
    </row>
    <row r="29244" spans="5:10" s="34" customFormat="1" x14ac:dyDescent="0.35">
      <c r="E29244" s="35"/>
      <c r="J29244" s="41"/>
    </row>
    <row r="29245" spans="5:10" s="34" customFormat="1" x14ac:dyDescent="0.35">
      <c r="E29245" s="35"/>
      <c r="J29245" s="41"/>
    </row>
    <row r="29246" spans="5:10" s="34" customFormat="1" x14ac:dyDescent="0.35">
      <c r="E29246" s="35"/>
      <c r="J29246" s="41"/>
    </row>
    <row r="29247" spans="5:10" s="34" customFormat="1" x14ac:dyDescent="0.35">
      <c r="E29247" s="35"/>
      <c r="J29247" s="41"/>
    </row>
    <row r="29248" spans="5:10" s="34" customFormat="1" x14ac:dyDescent="0.35">
      <c r="E29248" s="35"/>
      <c r="J29248" s="41"/>
    </row>
    <row r="29249" spans="5:10" s="34" customFormat="1" x14ac:dyDescent="0.35">
      <c r="E29249" s="35"/>
      <c r="J29249" s="41"/>
    </row>
    <row r="29250" spans="5:10" s="34" customFormat="1" x14ac:dyDescent="0.35">
      <c r="E29250" s="35"/>
      <c r="J29250" s="41"/>
    </row>
    <row r="29251" spans="5:10" s="34" customFormat="1" x14ac:dyDescent="0.35">
      <c r="E29251" s="35"/>
      <c r="J29251" s="41"/>
    </row>
    <row r="29252" spans="5:10" s="34" customFormat="1" x14ac:dyDescent="0.35">
      <c r="E29252" s="35"/>
      <c r="J29252" s="41"/>
    </row>
    <row r="29253" spans="5:10" s="34" customFormat="1" x14ac:dyDescent="0.35">
      <c r="E29253" s="35"/>
      <c r="J29253" s="41"/>
    </row>
    <row r="29254" spans="5:10" s="34" customFormat="1" x14ac:dyDescent="0.35">
      <c r="E29254" s="35"/>
      <c r="J29254" s="41"/>
    </row>
    <row r="29255" spans="5:10" s="34" customFormat="1" x14ac:dyDescent="0.35">
      <c r="E29255" s="35"/>
      <c r="J29255" s="41"/>
    </row>
    <row r="29256" spans="5:10" s="34" customFormat="1" x14ac:dyDescent="0.35">
      <c r="E29256" s="35"/>
      <c r="J29256" s="41"/>
    </row>
    <row r="29257" spans="5:10" s="34" customFormat="1" x14ac:dyDescent="0.35">
      <c r="E29257" s="35"/>
      <c r="J29257" s="41"/>
    </row>
    <row r="29258" spans="5:10" s="34" customFormat="1" x14ac:dyDescent="0.35">
      <c r="E29258" s="35"/>
      <c r="J29258" s="41"/>
    </row>
    <row r="29259" spans="5:10" s="34" customFormat="1" x14ac:dyDescent="0.35">
      <c r="E29259" s="35"/>
      <c r="J29259" s="41"/>
    </row>
    <row r="29260" spans="5:10" s="34" customFormat="1" x14ac:dyDescent="0.35">
      <c r="E29260" s="35"/>
      <c r="J29260" s="41"/>
    </row>
    <row r="29261" spans="5:10" s="34" customFormat="1" x14ac:dyDescent="0.35">
      <c r="E29261" s="35"/>
      <c r="J29261" s="41"/>
    </row>
    <row r="29262" spans="5:10" s="34" customFormat="1" x14ac:dyDescent="0.35">
      <c r="E29262" s="35"/>
      <c r="J29262" s="41"/>
    </row>
    <row r="29263" spans="5:10" s="34" customFormat="1" x14ac:dyDescent="0.35">
      <c r="E29263" s="35"/>
      <c r="J29263" s="41"/>
    </row>
    <row r="29264" spans="5:10" s="34" customFormat="1" x14ac:dyDescent="0.35">
      <c r="E29264" s="35"/>
      <c r="J29264" s="41"/>
    </row>
    <row r="29265" spans="5:10" s="34" customFormat="1" x14ac:dyDescent="0.35">
      <c r="E29265" s="35"/>
      <c r="J29265" s="41"/>
    </row>
    <row r="29266" spans="5:10" s="34" customFormat="1" x14ac:dyDescent="0.35">
      <c r="E29266" s="35"/>
      <c r="J29266" s="41"/>
    </row>
    <row r="29267" spans="5:10" s="34" customFormat="1" x14ac:dyDescent="0.35">
      <c r="E29267" s="35"/>
      <c r="J29267" s="41"/>
    </row>
    <row r="29268" spans="5:10" s="34" customFormat="1" x14ac:dyDescent="0.35">
      <c r="E29268" s="35"/>
      <c r="J29268" s="41"/>
    </row>
    <row r="29269" spans="5:10" s="34" customFormat="1" x14ac:dyDescent="0.35">
      <c r="E29269" s="35"/>
      <c r="J29269" s="41"/>
    </row>
    <row r="29270" spans="5:10" s="34" customFormat="1" x14ac:dyDescent="0.35">
      <c r="E29270" s="35"/>
      <c r="J29270" s="41"/>
    </row>
    <row r="29271" spans="5:10" s="34" customFormat="1" x14ac:dyDescent="0.35">
      <c r="E29271" s="35"/>
      <c r="J29271" s="41"/>
    </row>
    <row r="29272" spans="5:10" s="34" customFormat="1" x14ac:dyDescent="0.35">
      <c r="E29272" s="35"/>
      <c r="J29272" s="41"/>
    </row>
    <row r="29273" spans="5:10" s="34" customFormat="1" x14ac:dyDescent="0.35">
      <c r="E29273" s="35"/>
      <c r="J29273" s="41"/>
    </row>
    <row r="29274" spans="5:10" s="34" customFormat="1" x14ac:dyDescent="0.35">
      <c r="E29274" s="35"/>
      <c r="J29274" s="41"/>
    </row>
    <row r="29275" spans="5:10" s="34" customFormat="1" x14ac:dyDescent="0.35">
      <c r="E29275" s="35"/>
      <c r="J29275" s="41"/>
    </row>
    <row r="29276" spans="5:10" s="34" customFormat="1" x14ac:dyDescent="0.35">
      <c r="E29276" s="35"/>
      <c r="J29276" s="41"/>
    </row>
    <row r="29277" spans="5:10" s="34" customFormat="1" x14ac:dyDescent="0.35">
      <c r="E29277" s="35"/>
      <c r="J29277" s="41"/>
    </row>
    <row r="29278" spans="5:10" s="34" customFormat="1" x14ac:dyDescent="0.35">
      <c r="E29278" s="35"/>
      <c r="J29278" s="41"/>
    </row>
    <row r="29279" spans="5:10" s="34" customFormat="1" x14ac:dyDescent="0.35">
      <c r="E29279" s="35"/>
      <c r="J29279" s="41"/>
    </row>
    <row r="29280" spans="5:10" s="34" customFormat="1" x14ac:dyDescent="0.35">
      <c r="E29280" s="35"/>
      <c r="J29280" s="41"/>
    </row>
    <row r="29281" spans="5:10" s="34" customFormat="1" x14ac:dyDescent="0.35">
      <c r="E29281" s="35"/>
      <c r="J29281" s="41"/>
    </row>
    <row r="29282" spans="5:10" s="34" customFormat="1" x14ac:dyDescent="0.35">
      <c r="E29282" s="35"/>
      <c r="J29282" s="41"/>
    </row>
    <row r="29283" spans="5:10" s="34" customFormat="1" x14ac:dyDescent="0.35">
      <c r="E29283" s="35"/>
      <c r="J29283" s="41"/>
    </row>
    <row r="29284" spans="5:10" s="34" customFormat="1" x14ac:dyDescent="0.35">
      <c r="E29284" s="35"/>
      <c r="J29284" s="41"/>
    </row>
    <row r="29285" spans="5:10" s="34" customFormat="1" x14ac:dyDescent="0.35">
      <c r="E29285" s="35"/>
      <c r="J29285" s="41"/>
    </row>
    <row r="29286" spans="5:10" s="34" customFormat="1" x14ac:dyDescent="0.35">
      <c r="E29286" s="35"/>
      <c r="J29286" s="41"/>
    </row>
    <row r="29287" spans="5:10" s="34" customFormat="1" x14ac:dyDescent="0.35">
      <c r="E29287" s="35"/>
      <c r="J29287" s="41"/>
    </row>
    <row r="29288" spans="5:10" s="34" customFormat="1" x14ac:dyDescent="0.35">
      <c r="E29288" s="35"/>
      <c r="J29288" s="41"/>
    </row>
    <row r="29289" spans="5:10" s="34" customFormat="1" x14ac:dyDescent="0.35">
      <c r="E29289" s="35"/>
      <c r="J29289" s="41"/>
    </row>
    <row r="29290" spans="5:10" s="34" customFormat="1" x14ac:dyDescent="0.35">
      <c r="E29290" s="35"/>
      <c r="J29290" s="41"/>
    </row>
    <row r="29291" spans="5:10" s="34" customFormat="1" x14ac:dyDescent="0.35">
      <c r="E29291" s="35"/>
      <c r="J29291" s="41"/>
    </row>
    <row r="29292" spans="5:10" s="34" customFormat="1" x14ac:dyDescent="0.35">
      <c r="E29292" s="35"/>
      <c r="J29292" s="41"/>
    </row>
    <row r="29293" spans="5:10" s="34" customFormat="1" x14ac:dyDescent="0.35">
      <c r="E29293" s="35"/>
      <c r="J29293" s="41"/>
    </row>
    <row r="29294" spans="5:10" s="34" customFormat="1" x14ac:dyDescent="0.35">
      <c r="E29294" s="35"/>
      <c r="J29294" s="41"/>
    </row>
    <row r="29295" spans="5:10" s="34" customFormat="1" x14ac:dyDescent="0.35">
      <c r="E29295" s="35"/>
      <c r="J29295" s="41"/>
    </row>
    <row r="29296" spans="5:10" s="34" customFormat="1" x14ac:dyDescent="0.35">
      <c r="E29296" s="35"/>
      <c r="J29296" s="41"/>
    </row>
    <row r="29297" spans="5:10" s="34" customFormat="1" x14ac:dyDescent="0.35">
      <c r="E29297" s="35"/>
      <c r="J29297" s="41"/>
    </row>
    <row r="29298" spans="5:10" s="34" customFormat="1" x14ac:dyDescent="0.35">
      <c r="E29298" s="35"/>
      <c r="J29298" s="41"/>
    </row>
    <row r="29299" spans="5:10" s="34" customFormat="1" x14ac:dyDescent="0.35">
      <c r="E29299" s="35"/>
      <c r="J29299" s="41"/>
    </row>
    <row r="29300" spans="5:10" s="34" customFormat="1" x14ac:dyDescent="0.35">
      <c r="E29300" s="35"/>
      <c r="J29300" s="41"/>
    </row>
    <row r="29301" spans="5:10" s="34" customFormat="1" x14ac:dyDescent="0.35">
      <c r="E29301" s="35"/>
      <c r="J29301" s="41"/>
    </row>
    <row r="29302" spans="5:10" s="34" customFormat="1" x14ac:dyDescent="0.35">
      <c r="E29302" s="35"/>
      <c r="J29302" s="41"/>
    </row>
    <row r="29303" spans="5:10" s="34" customFormat="1" x14ac:dyDescent="0.35">
      <c r="E29303" s="35"/>
      <c r="J29303" s="41"/>
    </row>
    <row r="29304" spans="5:10" s="34" customFormat="1" x14ac:dyDescent="0.35">
      <c r="E29304" s="35"/>
      <c r="J29304" s="41"/>
    </row>
    <row r="29305" spans="5:10" s="34" customFormat="1" x14ac:dyDescent="0.35">
      <c r="E29305" s="35"/>
      <c r="J29305" s="41"/>
    </row>
    <row r="29306" spans="5:10" s="34" customFormat="1" x14ac:dyDescent="0.35">
      <c r="E29306" s="35"/>
      <c r="J29306" s="41"/>
    </row>
    <row r="29307" spans="5:10" s="34" customFormat="1" x14ac:dyDescent="0.35">
      <c r="E29307" s="35"/>
      <c r="J29307" s="41"/>
    </row>
    <row r="29308" spans="5:10" s="34" customFormat="1" x14ac:dyDescent="0.35">
      <c r="E29308" s="35"/>
      <c r="J29308" s="41"/>
    </row>
    <row r="29309" spans="5:10" s="34" customFormat="1" x14ac:dyDescent="0.35">
      <c r="E29309" s="35"/>
      <c r="J29309" s="41"/>
    </row>
    <row r="29310" spans="5:10" s="34" customFormat="1" x14ac:dyDescent="0.35">
      <c r="E29310" s="35"/>
      <c r="J29310" s="41"/>
    </row>
    <row r="29311" spans="5:10" s="34" customFormat="1" x14ac:dyDescent="0.35">
      <c r="E29311" s="35"/>
      <c r="J29311" s="41"/>
    </row>
    <row r="29312" spans="5:10" s="34" customFormat="1" x14ac:dyDescent="0.35">
      <c r="E29312" s="35"/>
      <c r="J29312" s="41"/>
    </row>
    <row r="29313" spans="5:10" s="34" customFormat="1" x14ac:dyDescent="0.35">
      <c r="E29313" s="35"/>
      <c r="J29313" s="41"/>
    </row>
    <row r="29314" spans="5:10" s="34" customFormat="1" x14ac:dyDescent="0.35">
      <c r="E29314" s="35"/>
      <c r="J29314" s="41"/>
    </row>
    <row r="29315" spans="5:10" s="34" customFormat="1" x14ac:dyDescent="0.35">
      <c r="E29315" s="35"/>
      <c r="J29315" s="41"/>
    </row>
    <row r="29316" spans="5:10" s="34" customFormat="1" x14ac:dyDescent="0.35">
      <c r="E29316" s="35"/>
      <c r="J29316" s="41"/>
    </row>
    <row r="29317" spans="5:10" s="34" customFormat="1" x14ac:dyDescent="0.35">
      <c r="E29317" s="35"/>
      <c r="J29317" s="41"/>
    </row>
    <row r="29318" spans="5:10" s="34" customFormat="1" x14ac:dyDescent="0.35">
      <c r="E29318" s="35"/>
      <c r="J29318" s="41"/>
    </row>
    <row r="29319" spans="5:10" s="34" customFormat="1" x14ac:dyDescent="0.35">
      <c r="E29319" s="35"/>
      <c r="J29319" s="41"/>
    </row>
    <row r="29320" spans="5:10" s="34" customFormat="1" x14ac:dyDescent="0.35">
      <c r="E29320" s="35"/>
      <c r="J29320" s="41"/>
    </row>
    <row r="29321" spans="5:10" s="34" customFormat="1" x14ac:dyDescent="0.35">
      <c r="E29321" s="35"/>
      <c r="J29321" s="41"/>
    </row>
    <row r="29322" spans="5:10" s="34" customFormat="1" x14ac:dyDescent="0.35">
      <c r="E29322" s="35"/>
      <c r="J29322" s="41"/>
    </row>
    <row r="29323" spans="5:10" s="34" customFormat="1" x14ac:dyDescent="0.35">
      <c r="E29323" s="35"/>
      <c r="J29323" s="41"/>
    </row>
    <row r="29324" spans="5:10" s="34" customFormat="1" x14ac:dyDescent="0.35">
      <c r="E29324" s="35"/>
      <c r="J29324" s="41"/>
    </row>
    <row r="29325" spans="5:10" s="34" customFormat="1" x14ac:dyDescent="0.35">
      <c r="E29325" s="35"/>
      <c r="J29325" s="41"/>
    </row>
    <row r="29326" spans="5:10" s="34" customFormat="1" x14ac:dyDescent="0.35">
      <c r="E29326" s="35"/>
      <c r="J29326" s="41"/>
    </row>
    <row r="29327" spans="5:10" s="34" customFormat="1" x14ac:dyDescent="0.35">
      <c r="E29327" s="35"/>
      <c r="J29327" s="41"/>
    </row>
    <row r="29328" spans="5:10" s="34" customFormat="1" x14ac:dyDescent="0.35">
      <c r="E29328" s="35"/>
      <c r="J29328" s="41"/>
    </row>
    <row r="29329" spans="5:10" s="34" customFormat="1" x14ac:dyDescent="0.35">
      <c r="E29329" s="35"/>
      <c r="J29329" s="41"/>
    </row>
    <row r="29330" spans="5:10" s="34" customFormat="1" x14ac:dyDescent="0.35">
      <c r="E29330" s="35"/>
      <c r="J29330" s="41"/>
    </row>
    <row r="29331" spans="5:10" s="34" customFormat="1" x14ac:dyDescent="0.35">
      <c r="E29331" s="35"/>
      <c r="J29331" s="41"/>
    </row>
    <row r="29332" spans="5:10" s="34" customFormat="1" x14ac:dyDescent="0.35">
      <c r="E29332" s="35"/>
      <c r="J29332" s="41"/>
    </row>
    <row r="29333" spans="5:10" s="34" customFormat="1" x14ac:dyDescent="0.35">
      <c r="E29333" s="35"/>
      <c r="J29333" s="41"/>
    </row>
    <row r="29334" spans="5:10" s="34" customFormat="1" x14ac:dyDescent="0.35">
      <c r="E29334" s="35"/>
      <c r="J29334" s="41"/>
    </row>
    <row r="29335" spans="5:10" s="34" customFormat="1" x14ac:dyDescent="0.35">
      <c r="E29335" s="35"/>
      <c r="J29335" s="41"/>
    </row>
    <row r="29336" spans="5:10" s="34" customFormat="1" x14ac:dyDescent="0.35">
      <c r="E29336" s="35"/>
      <c r="J29336" s="41"/>
    </row>
    <row r="29337" spans="5:10" s="34" customFormat="1" x14ac:dyDescent="0.35">
      <c r="E29337" s="35"/>
      <c r="J29337" s="41"/>
    </row>
    <row r="29338" spans="5:10" s="34" customFormat="1" x14ac:dyDescent="0.35">
      <c r="E29338" s="35"/>
      <c r="J29338" s="41"/>
    </row>
    <row r="29339" spans="5:10" s="34" customFormat="1" x14ac:dyDescent="0.35">
      <c r="E29339" s="35"/>
      <c r="J29339" s="41"/>
    </row>
    <row r="29340" spans="5:10" s="34" customFormat="1" x14ac:dyDescent="0.35">
      <c r="E29340" s="35"/>
      <c r="J29340" s="41"/>
    </row>
    <row r="29341" spans="5:10" s="34" customFormat="1" x14ac:dyDescent="0.35">
      <c r="E29341" s="35"/>
      <c r="J29341" s="41"/>
    </row>
    <row r="29342" spans="5:10" s="34" customFormat="1" x14ac:dyDescent="0.35">
      <c r="E29342" s="35"/>
      <c r="J29342" s="41"/>
    </row>
    <row r="29343" spans="5:10" s="34" customFormat="1" x14ac:dyDescent="0.35">
      <c r="E29343" s="35"/>
      <c r="J29343" s="41"/>
    </row>
    <row r="29344" spans="5:10" s="34" customFormat="1" x14ac:dyDescent="0.35">
      <c r="E29344" s="35"/>
      <c r="J29344" s="41"/>
    </row>
    <row r="29345" spans="5:10" s="34" customFormat="1" x14ac:dyDescent="0.35">
      <c r="E29345" s="35"/>
      <c r="J29345" s="41"/>
    </row>
    <row r="29346" spans="5:10" s="34" customFormat="1" x14ac:dyDescent="0.35">
      <c r="E29346" s="35"/>
      <c r="J29346" s="41"/>
    </row>
    <row r="29347" spans="5:10" s="34" customFormat="1" x14ac:dyDescent="0.35">
      <c r="E29347" s="35"/>
      <c r="J29347" s="41"/>
    </row>
    <row r="29348" spans="5:10" s="34" customFormat="1" x14ac:dyDescent="0.35">
      <c r="E29348" s="35"/>
      <c r="J29348" s="41"/>
    </row>
    <row r="29349" spans="5:10" s="34" customFormat="1" x14ac:dyDescent="0.35">
      <c r="E29349" s="35"/>
      <c r="J29349" s="41"/>
    </row>
    <row r="29350" spans="5:10" s="34" customFormat="1" x14ac:dyDescent="0.35">
      <c r="E29350" s="35"/>
      <c r="J29350" s="41"/>
    </row>
    <row r="29351" spans="5:10" s="34" customFormat="1" x14ac:dyDescent="0.35">
      <c r="E29351" s="35"/>
      <c r="J29351" s="41"/>
    </row>
    <row r="29352" spans="5:10" s="34" customFormat="1" x14ac:dyDescent="0.35">
      <c r="E29352" s="35"/>
      <c r="J29352" s="41"/>
    </row>
    <row r="29353" spans="5:10" s="34" customFormat="1" x14ac:dyDescent="0.35">
      <c r="E29353" s="35"/>
      <c r="J29353" s="41"/>
    </row>
    <row r="29354" spans="5:10" s="34" customFormat="1" x14ac:dyDescent="0.35">
      <c r="E29354" s="35"/>
      <c r="J29354" s="41"/>
    </row>
    <row r="29355" spans="5:10" s="34" customFormat="1" x14ac:dyDescent="0.35">
      <c r="E29355" s="35"/>
      <c r="J29355" s="41"/>
    </row>
    <row r="29356" spans="5:10" s="34" customFormat="1" x14ac:dyDescent="0.35">
      <c r="E29356" s="35"/>
      <c r="J29356" s="41"/>
    </row>
    <row r="29357" spans="5:10" s="34" customFormat="1" x14ac:dyDescent="0.35">
      <c r="E29357" s="35"/>
      <c r="J29357" s="41"/>
    </row>
    <row r="29358" spans="5:10" s="34" customFormat="1" x14ac:dyDescent="0.35">
      <c r="E29358" s="35"/>
      <c r="J29358" s="41"/>
    </row>
    <row r="29359" spans="5:10" s="34" customFormat="1" x14ac:dyDescent="0.35">
      <c r="E29359" s="35"/>
      <c r="J29359" s="41"/>
    </row>
    <row r="29360" spans="5:10" s="34" customFormat="1" x14ac:dyDescent="0.35">
      <c r="E29360" s="35"/>
      <c r="J29360" s="41"/>
    </row>
    <row r="29361" spans="5:10" s="34" customFormat="1" x14ac:dyDescent="0.35">
      <c r="E29361" s="35"/>
      <c r="J29361" s="41"/>
    </row>
    <row r="29362" spans="5:10" s="34" customFormat="1" x14ac:dyDescent="0.35">
      <c r="E29362" s="35"/>
      <c r="J29362" s="41"/>
    </row>
    <row r="29363" spans="5:10" s="34" customFormat="1" x14ac:dyDescent="0.35">
      <c r="E29363" s="35"/>
      <c r="J29363" s="41"/>
    </row>
    <row r="29364" spans="5:10" s="34" customFormat="1" x14ac:dyDescent="0.35">
      <c r="E29364" s="35"/>
      <c r="J29364" s="41"/>
    </row>
    <row r="29365" spans="5:10" s="34" customFormat="1" x14ac:dyDescent="0.35">
      <c r="E29365" s="35"/>
      <c r="J29365" s="41"/>
    </row>
    <row r="29366" spans="5:10" s="34" customFormat="1" x14ac:dyDescent="0.35">
      <c r="E29366" s="35"/>
      <c r="J29366" s="41"/>
    </row>
    <row r="29367" spans="5:10" s="34" customFormat="1" x14ac:dyDescent="0.35">
      <c r="E29367" s="35"/>
      <c r="J29367" s="41"/>
    </row>
    <row r="29368" spans="5:10" s="34" customFormat="1" x14ac:dyDescent="0.35">
      <c r="E29368" s="35"/>
      <c r="J29368" s="41"/>
    </row>
    <row r="29369" spans="5:10" s="34" customFormat="1" x14ac:dyDescent="0.35">
      <c r="E29369" s="35"/>
      <c r="J29369" s="41"/>
    </row>
    <row r="29370" spans="5:10" s="34" customFormat="1" x14ac:dyDescent="0.35">
      <c r="E29370" s="35"/>
      <c r="J29370" s="41"/>
    </row>
    <row r="29371" spans="5:10" s="34" customFormat="1" x14ac:dyDescent="0.35">
      <c r="E29371" s="35"/>
      <c r="J29371" s="41"/>
    </row>
    <row r="29372" spans="5:10" s="34" customFormat="1" x14ac:dyDescent="0.35">
      <c r="E29372" s="35"/>
      <c r="J29372" s="41"/>
    </row>
    <row r="29373" spans="5:10" s="34" customFormat="1" x14ac:dyDescent="0.35">
      <c r="E29373" s="35"/>
      <c r="J29373" s="41"/>
    </row>
    <row r="29374" spans="5:10" s="34" customFormat="1" x14ac:dyDescent="0.35">
      <c r="E29374" s="35"/>
      <c r="J29374" s="41"/>
    </row>
    <row r="29375" spans="5:10" s="34" customFormat="1" x14ac:dyDescent="0.35">
      <c r="E29375" s="35"/>
      <c r="J29375" s="41"/>
    </row>
    <row r="29376" spans="5:10" s="34" customFormat="1" x14ac:dyDescent="0.35">
      <c r="E29376" s="35"/>
      <c r="J29376" s="41"/>
    </row>
    <row r="29377" spans="5:10" s="34" customFormat="1" x14ac:dyDescent="0.35">
      <c r="E29377" s="35"/>
      <c r="J29377" s="41"/>
    </row>
    <row r="29378" spans="5:10" s="34" customFormat="1" x14ac:dyDescent="0.35">
      <c r="E29378" s="35"/>
      <c r="J29378" s="41"/>
    </row>
    <row r="29379" spans="5:10" s="34" customFormat="1" x14ac:dyDescent="0.35">
      <c r="E29379" s="35"/>
      <c r="J29379" s="41"/>
    </row>
    <row r="29380" spans="5:10" s="34" customFormat="1" x14ac:dyDescent="0.35">
      <c r="E29380" s="35"/>
      <c r="J29380" s="41"/>
    </row>
    <row r="29381" spans="5:10" s="34" customFormat="1" x14ac:dyDescent="0.35">
      <c r="E29381" s="35"/>
      <c r="J29381" s="41"/>
    </row>
    <row r="29382" spans="5:10" s="34" customFormat="1" x14ac:dyDescent="0.35">
      <c r="E29382" s="35"/>
      <c r="J29382" s="41"/>
    </row>
    <row r="29383" spans="5:10" s="34" customFormat="1" x14ac:dyDescent="0.35">
      <c r="E29383" s="35"/>
      <c r="J29383" s="41"/>
    </row>
    <row r="29384" spans="5:10" s="34" customFormat="1" x14ac:dyDescent="0.35">
      <c r="E29384" s="35"/>
      <c r="J29384" s="41"/>
    </row>
    <row r="29385" spans="5:10" s="34" customFormat="1" x14ac:dyDescent="0.35">
      <c r="E29385" s="35"/>
      <c r="J29385" s="41"/>
    </row>
    <row r="29386" spans="5:10" s="34" customFormat="1" x14ac:dyDescent="0.35">
      <c r="E29386" s="35"/>
      <c r="J29386" s="41"/>
    </row>
    <row r="29387" spans="5:10" s="34" customFormat="1" x14ac:dyDescent="0.35">
      <c r="E29387" s="35"/>
      <c r="J29387" s="41"/>
    </row>
    <row r="29388" spans="5:10" s="34" customFormat="1" x14ac:dyDescent="0.35">
      <c r="E29388" s="35"/>
      <c r="J29388" s="41"/>
    </row>
    <row r="29389" spans="5:10" s="34" customFormat="1" x14ac:dyDescent="0.35">
      <c r="E29389" s="35"/>
      <c r="J29389" s="41"/>
    </row>
    <row r="29390" spans="5:10" s="34" customFormat="1" x14ac:dyDescent="0.35">
      <c r="E29390" s="35"/>
      <c r="J29390" s="41"/>
    </row>
    <row r="29391" spans="5:10" s="34" customFormat="1" x14ac:dyDescent="0.35">
      <c r="E29391" s="35"/>
      <c r="J29391" s="41"/>
    </row>
    <row r="29392" spans="5:10" s="34" customFormat="1" x14ac:dyDescent="0.35">
      <c r="E29392" s="35"/>
      <c r="J29392" s="41"/>
    </row>
    <row r="29393" spans="5:10" s="34" customFormat="1" x14ac:dyDescent="0.35">
      <c r="E29393" s="35"/>
      <c r="J29393" s="41"/>
    </row>
    <row r="29394" spans="5:10" s="34" customFormat="1" x14ac:dyDescent="0.35">
      <c r="E29394" s="35"/>
      <c r="J29394" s="41"/>
    </row>
    <row r="29395" spans="5:10" s="34" customFormat="1" x14ac:dyDescent="0.35">
      <c r="E29395" s="35"/>
      <c r="J29395" s="41"/>
    </row>
    <row r="29396" spans="5:10" s="34" customFormat="1" x14ac:dyDescent="0.35">
      <c r="E29396" s="35"/>
      <c r="J29396" s="41"/>
    </row>
    <row r="29397" spans="5:10" s="34" customFormat="1" x14ac:dyDescent="0.35">
      <c r="E29397" s="35"/>
      <c r="J29397" s="41"/>
    </row>
    <row r="29398" spans="5:10" s="34" customFormat="1" x14ac:dyDescent="0.35">
      <c r="E29398" s="35"/>
      <c r="J29398" s="41"/>
    </row>
    <row r="29399" spans="5:10" s="34" customFormat="1" x14ac:dyDescent="0.35">
      <c r="E29399" s="35"/>
      <c r="J29399" s="41"/>
    </row>
    <row r="29400" spans="5:10" s="34" customFormat="1" x14ac:dyDescent="0.35">
      <c r="E29400" s="35"/>
      <c r="J29400" s="41"/>
    </row>
    <row r="29401" spans="5:10" s="34" customFormat="1" x14ac:dyDescent="0.35">
      <c r="E29401" s="35"/>
      <c r="J29401" s="41"/>
    </row>
    <row r="29402" spans="5:10" s="34" customFormat="1" x14ac:dyDescent="0.35">
      <c r="E29402" s="35"/>
      <c r="J29402" s="41"/>
    </row>
    <row r="29403" spans="5:10" s="34" customFormat="1" x14ac:dyDescent="0.35">
      <c r="E29403" s="35"/>
      <c r="J29403" s="41"/>
    </row>
    <row r="29404" spans="5:10" s="34" customFormat="1" x14ac:dyDescent="0.35">
      <c r="E29404" s="35"/>
      <c r="J29404" s="41"/>
    </row>
    <row r="29405" spans="5:10" s="34" customFormat="1" x14ac:dyDescent="0.35">
      <c r="E29405" s="35"/>
      <c r="J29405" s="41"/>
    </row>
    <row r="29406" spans="5:10" s="34" customFormat="1" x14ac:dyDescent="0.35">
      <c r="E29406" s="35"/>
      <c r="J29406" s="41"/>
    </row>
    <row r="29407" spans="5:10" s="34" customFormat="1" x14ac:dyDescent="0.35">
      <c r="E29407" s="35"/>
      <c r="J29407" s="41"/>
    </row>
    <row r="29408" spans="5:10" s="34" customFormat="1" x14ac:dyDescent="0.35">
      <c r="E29408" s="35"/>
      <c r="J29408" s="41"/>
    </row>
    <row r="29409" spans="5:10" s="34" customFormat="1" x14ac:dyDescent="0.35">
      <c r="E29409" s="35"/>
      <c r="J29409" s="41"/>
    </row>
    <row r="29410" spans="5:10" s="34" customFormat="1" x14ac:dyDescent="0.35">
      <c r="E29410" s="35"/>
      <c r="J29410" s="41"/>
    </row>
    <row r="29411" spans="5:10" s="34" customFormat="1" x14ac:dyDescent="0.35">
      <c r="E29411" s="35"/>
      <c r="J29411" s="41"/>
    </row>
    <row r="29412" spans="5:10" s="34" customFormat="1" x14ac:dyDescent="0.35">
      <c r="E29412" s="35"/>
      <c r="J29412" s="41"/>
    </row>
    <row r="29413" spans="5:10" s="34" customFormat="1" x14ac:dyDescent="0.35">
      <c r="E29413" s="35"/>
      <c r="J29413" s="41"/>
    </row>
    <row r="29414" spans="5:10" s="34" customFormat="1" x14ac:dyDescent="0.35">
      <c r="E29414" s="35"/>
      <c r="J29414" s="41"/>
    </row>
    <row r="29415" spans="5:10" s="34" customFormat="1" x14ac:dyDescent="0.35">
      <c r="E29415" s="35"/>
      <c r="J29415" s="41"/>
    </row>
    <row r="29416" spans="5:10" s="34" customFormat="1" x14ac:dyDescent="0.35">
      <c r="E29416" s="35"/>
      <c r="J29416" s="41"/>
    </row>
    <row r="29417" spans="5:10" s="34" customFormat="1" x14ac:dyDescent="0.35">
      <c r="E29417" s="35"/>
      <c r="J29417" s="41"/>
    </row>
    <row r="29418" spans="5:10" s="34" customFormat="1" x14ac:dyDescent="0.35">
      <c r="E29418" s="35"/>
      <c r="J29418" s="41"/>
    </row>
    <row r="29419" spans="5:10" s="34" customFormat="1" x14ac:dyDescent="0.35">
      <c r="E29419" s="35"/>
      <c r="J29419" s="41"/>
    </row>
    <row r="29420" spans="5:10" s="34" customFormat="1" x14ac:dyDescent="0.35">
      <c r="E29420" s="35"/>
      <c r="J29420" s="41"/>
    </row>
    <row r="29421" spans="5:10" s="34" customFormat="1" x14ac:dyDescent="0.35">
      <c r="E29421" s="35"/>
      <c r="J29421" s="41"/>
    </row>
    <row r="29422" spans="5:10" s="34" customFormat="1" x14ac:dyDescent="0.35">
      <c r="E29422" s="35"/>
      <c r="J29422" s="41"/>
    </row>
    <row r="29423" spans="5:10" s="34" customFormat="1" x14ac:dyDescent="0.35">
      <c r="E29423" s="35"/>
      <c r="J29423" s="41"/>
    </row>
    <row r="29424" spans="5:10" s="34" customFormat="1" x14ac:dyDescent="0.35">
      <c r="E29424" s="35"/>
      <c r="J29424" s="41"/>
    </row>
    <row r="29425" spans="5:10" s="34" customFormat="1" x14ac:dyDescent="0.35">
      <c r="E29425" s="35"/>
      <c r="J29425" s="41"/>
    </row>
    <row r="29426" spans="5:10" s="34" customFormat="1" x14ac:dyDescent="0.35">
      <c r="E29426" s="35"/>
      <c r="J29426" s="41"/>
    </row>
    <row r="29427" spans="5:10" s="34" customFormat="1" x14ac:dyDescent="0.35">
      <c r="E29427" s="35"/>
      <c r="J29427" s="41"/>
    </row>
    <row r="29428" spans="5:10" s="34" customFormat="1" x14ac:dyDescent="0.35">
      <c r="E29428" s="35"/>
      <c r="J29428" s="41"/>
    </row>
    <row r="29429" spans="5:10" s="34" customFormat="1" x14ac:dyDescent="0.35">
      <c r="E29429" s="35"/>
      <c r="J29429" s="41"/>
    </row>
    <row r="29430" spans="5:10" s="34" customFormat="1" x14ac:dyDescent="0.35">
      <c r="E29430" s="35"/>
      <c r="J29430" s="41"/>
    </row>
    <row r="29431" spans="5:10" s="34" customFormat="1" x14ac:dyDescent="0.35">
      <c r="E29431" s="35"/>
      <c r="J29431" s="41"/>
    </row>
    <row r="29432" spans="5:10" s="34" customFormat="1" x14ac:dyDescent="0.35">
      <c r="E29432" s="35"/>
      <c r="J29432" s="41"/>
    </row>
    <row r="29433" spans="5:10" s="34" customFormat="1" x14ac:dyDescent="0.35">
      <c r="E29433" s="35"/>
      <c r="J29433" s="41"/>
    </row>
    <row r="29434" spans="5:10" s="34" customFormat="1" x14ac:dyDescent="0.35">
      <c r="E29434" s="35"/>
      <c r="J29434" s="41"/>
    </row>
    <row r="29435" spans="5:10" s="34" customFormat="1" x14ac:dyDescent="0.35">
      <c r="E29435" s="35"/>
      <c r="J29435" s="41"/>
    </row>
    <row r="29436" spans="5:10" s="34" customFormat="1" x14ac:dyDescent="0.35">
      <c r="E29436" s="35"/>
      <c r="J29436" s="41"/>
    </row>
    <row r="29437" spans="5:10" s="34" customFormat="1" x14ac:dyDescent="0.35">
      <c r="E29437" s="35"/>
      <c r="J29437" s="41"/>
    </row>
    <row r="29438" spans="5:10" s="34" customFormat="1" x14ac:dyDescent="0.35">
      <c r="E29438" s="35"/>
      <c r="J29438" s="41"/>
    </row>
    <row r="29439" spans="5:10" s="34" customFormat="1" x14ac:dyDescent="0.35">
      <c r="E29439" s="35"/>
      <c r="J29439" s="41"/>
    </row>
    <row r="29440" spans="5:10" s="34" customFormat="1" x14ac:dyDescent="0.35">
      <c r="E29440" s="35"/>
      <c r="J29440" s="41"/>
    </row>
    <row r="29441" spans="5:10" s="34" customFormat="1" x14ac:dyDescent="0.35">
      <c r="E29441" s="35"/>
      <c r="J29441" s="41"/>
    </row>
    <row r="29442" spans="5:10" s="34" customFormat="1" x14ac:dyDescent="0.35">
      <c r="E29442" s="35"/>
      <c r="J29442" s="41"/>
    </row>
    <row r="29443" spans="5:10" s="34" customFormat="1" x14ac:dyDescent="0.35">
      <c r="E29443" s="35"/>
      <c r="J29443" s="41"/>
    </row>
    <row r="29444" spans="5:10" s="34" customFormat="1" x14ac:dyDescent="0.35">
      <c r="E29444" s="35"/>
      <c r="J29444" s="41"/>
    </row>
    <row r="29445" spans="5:10" s="34" customFormat="1" x14ac:dyDescent="0.35">
      <c r="E29445" s="35"/>
      <c r="J29445" s="41"/>
    </row>
    <row r="29446" spans="5:10" s="34" customFormat="1" x14ac:dyDescent="0.35">
      <c r="E29446" s="35"/>
      <c r="J29446" s="41"/>
    </row>
    <row r="29447" spans="5:10" s="34" customFormat="1" x14ac:dyDescent="0.35">
      <c r="E29447" s="35"/>
      <c r="J29447" s="41"/>
    </row>
    <row r="29448" spans="5:10" s="34" customFormat="1" x14ac:dyDescent="0.35">
      <c r="E29448" s="35"/>
      <c r="J29448" s="41"/>
    </row>
    <row r="29449" spans="5:10" s="34" customFormat="1" x14ac:dyDescent="0.35">
      <c r="E29449" s="35"/>
      <c r="J29449" s="41"/>
    </row>
    <row r="29450" spans="5:10" s="34" customFormat="1" x14ac:dyDescent="0.35">
      <c r="E29450" s="35"/>
      <c r="J29450" s="41"/>
    </row>
    <row r="29451" spans="5:10" s="34" customFormat="1" x14ac:dyDescent="0.35">
      <c r="E29451" s="35"/>
      <c r="J29451" s="41"/>
    </row>
    <row r="29452" spans="5:10" s="34" customFormat="1" x14ac:dyDescent="0.35">
      <c r="E29452" s="35"/>
      <c r="J29452" s="41"/>
    </row>
    <row r="29453" spans="5:10" s="34" customFormat="1" x14ac:dyDescent="0.35">
      <c r="E29453" s="35"/>
      <c r="J29453" s="41"/>
    </row>
    <row r="29454" spans="5:10" s="34" customFormat="1" x14ac:dyDescent="0.35">
      <c r="E29454" s="35"/>
      <c r="J29454" s="41"/>
    </row>
    <row r="29455" spans="5:10" s="34" customFormat="1" x14ac:dyDescent="0.35">
      <c r="E29455" s="35"/>
      <c r="J29455" s="41"/>
    </row>
    <row r="29456" spans="5:10" s="34" customFormat="1" x14ac:dyDescent="0.35">
      <c r="E29456" s="35"/>
      <c r="J29456" s="41"/>
    </row>
    <row r="29457" spans="5:10" s="34" customFormat="1" x14ac:dyDescent="0.35">
      <c r="E29457" s="35"/>
      <c r="J29457" s="41"/>
    </row>
    <row r="29458" spans="5:10" s="34" customFormat="1" x14ac:dyDescent="0.35">
      <c r="E29458" s="35"/>
      <c r="J29458" s="41"/>
    </row>
    <row r="29459" spans="5:10" s="34" customFormat="1" x14ac:dyDescent="0.35">
      <c r="E29459" s="35"/>
      <c r="J29459" s="41"/>
    </row>
    <row r="29460" spans="5:10" s="34" customFormat="1" x14ac:dyDescent="0.35">
      <c r="E29460" s="35"/>
      <c r="J29460" s="41"/>
    </row>
    <row r="29461" spans="5:10" s="34" customFormat="1" x14ac:dyDescent="0.35">
      <c r="E29461" s="35"/>
      <c r="J29461" s="41"/>
    </row>
    <row r="29462" spans="5:10" s="34" customFormat="1" x14ac:dyDescent="0.35">
      <c r="E29462" s="35"/>
      <c r="J29462" s="41"/>
    </row>
    <row r="29463" spans="5:10" s="34" customFormat="1" x14ac:dyDescent="0.35">
      <c r="E29463" s="35"/>
      <c r="J29463" s="41"/>
    </row>
    <row r="29464" spans="5:10" s="34" customFormat="1" x14ac:dyDescent="0.35">
      <c r="E29464" s="35"/>
      <c r="J29464" s="41"/>
    </row>
    <row r="29465" spans="5:10" s="34" customFormat="1" x14ac:dyDescent="0.35">
      <c r="E29465" s="35"/>
      <c r="J29465" s="41"/>
    </row>
    <row r="29466" spans="5:10" s="34" customFormat="1" x14ac:dyDescent="0.35">
      <c r="E29466" s="35"/>
      <c r="J29466" s="41"/>
    </row>
    <row r="29467" spans="5:10" s="34" customFormat="1" x14ac:dyDescent="0.35">
      <c r="E29467" s="35"/>
      <c r="J29467" s="41"/>
    </row>
    <row r="29468" spans="5:10" s="34" customFormat="1" x14ac:dyDescent="0.35">
      <c r="E29468" s="35"/>
      <c r="J29468" s="41"/>
    </row>
    <row r="29469" spans="5:10" s="34" customFormat="1" x14ac:dyDescent="0.35">
      <c r="E29469" s="35"/>
      <c r="J29469" s="41"/>
    </row>
    <row r="29470" spans="5:10" s="34" customFormat="1" x14ac:dyDescent="0.35">
      <c r="E29470" s="35"/>
      <c r="J29470" s="41"/>
    </row>
    <row r="29471" spans="5:10" s="34" customFormat="1" x14ac:dyDescent="0.35">
      <c r="E29471" s="35"/>
      <c r="J29471" s="41"/>
    </row>
    <row r="29472" spans="5:10" s="34" customFormat="1" x14ac:dyDescent="0.35">
      <c r="E29472" s="35"/>
      <c r="J29472" s="41"/>
    </row>
    <row r="29473" spans="5:10" s="34" customFormat="1" x14ac:dyDescent="0.35">
      <c r="E29473" s="35"/>
      <c r="J29473" s="41"/>
    </row>
    <row r="29474" spans="5:10" s="34" customFormat="1" x14ac:dyDescent="0.35">
      <c r="E29474" s="35"/>
      <c r="J29474" s="41"/>
    </row>
    <row r="29475" spans="5:10" s="34" customFormat="1" x14ac:dyDescent="0.35">
      <c r="E29475" s="35"/>
      <c r="J29475" s="41"/>
    </row>
    <row r="29476" spans="5:10" s="34" customFormat="1" x14ac:dyDescent="0.35">
      <c r="E29476" s="35"/>
      <c r="J29476" s="41"/>
    </row>
    <row r="29477" spans="5:10" s="34" customFormat="1" x14ac:dyDescent="0.35">
      <c r="E29477" s="35"/>
      <c r="J29477" s="41"/>
    </row>
    <row r="29478" spans="5:10" s="34" customFormat="1" x14ac:dyDescent="0.35">
      <c r="E29478" s="35"/>
      <c r="J29478" s="41"/>
    </row>
    <row r="29479" spans="5:10" s="34" customFormat="1" x14ac:dyDescent="0.35">
      <c r="E29479" s="35"/>
      <c r="J29479" s="41"/>
    </row>
    <row r="29480" spans="5:10" s="34" customFormat="1" x14ac:dyDescent="0.35">
      <c r="E29480" s="35"/>
      <c r="J29480" s="41"/>
    </row>
    <row r="29481" spans="5:10" s="34" customFormat="1" x14ac:dyDescent="0.35">
      <c r="E29481" s="35"/>
      <c r="J29481" s="41"/>
    </row>
    <row r="29482" spans="5:10" s="34" customFormat="1" x14ac:dyDescent="0.35">
      <c r="E29482" s="35"/>
      <c r="J29482" s="41"/>
    </row>
    <row r="29483" spans="5:10" s="34" customFormat="1" x14ac:dyDescent="0.35">
      <c r="E29483" s="35"/>
      <c r="J29483" s="41"/>
    </row>
    <row r="29484" spans="5:10" s="34" customFormat="1" x14ac:dyDescent="0.35">
      <c r="E29484" s="35"/>
      <c r="J29484" s="41"/>
    </row>
    <row r="29485" spans="5:10" s="34" customFormat="1" x14ac:dyDescent="0.35">
      <c r="E29485" s="35"/>
      <c r="J29485" s="41"/>
    </row>
    <row r="29486" spans="5:10" s="34" customFormat="1" x14ac:dyDescent="0.35">
      <c r="E29486" s="35"/>
      <c r="J29486" s="41"/>
    </row>
    <row r="29487" spans="5:10" s="34" customFormat="1" x14ac:dyDescent="0.35">
      <c r="E29487" s="35"/>
      <c r="J29487" s="41"/>
    </row>
    <row r="29488" spans="5:10" s="34" customFormat="1" x14ac:dyDescent="0.35">
      <c r="E29488" s="35"/>
      <c r="J29488" s="41"/>
    </row>
    <row r="29489" spans="5:10" s="34" customFormat="1" x14ac:dyDescent="0.35">
      <c r="E29489" s="35"/>
      <c r="J29489" s="41"/>
    </row>
    <row r="29490" spans="5:10" s="34" customFormat="1" x14ac:dyDescent="0.35">
      <c r="E29490" s="35"/>
      <c r="J29490" s="41"/>
    </row>
    <row r="29491" spans="5:10" s="34" customFormat="1" x14ac:dyDescent="0.35">
      <c r="E29491" s="35"/>
      <c r="J29491" s="41"/>
    </row>
    <row r="29492" spans="5:10" s="34" customFormat="1" x14ac:dyDescent="0.35">
      <c r="E29492" s="35"/>
      <c r="J29492" s="41"/>
    </row>
    <row r="29493" spans="5:10" s="34" customFormat="1" x14ac:dyDescent="0.35">
      <c r="E29493" s="35"/>
      <c r="J29493" s="41"/>
    </row>
    <row r="29494" spans="5:10" s="34" customFormat="1" x14ac:dyDescent="0.35">
      <c r="E29494" s="35"/>
      <c r="J29494" s="41"/>
    </row>
    <row r="29495" spans="5:10" s="34" customFormat="1" x14ac:dyDescent="0.35">
      <c r="E29495" s="35"/>
      <c r="J29495" s="41"/>
    </row>
    <row r="29496" spans="5:10" s="34" customFormat="1" x14ac:dyDescent="0.35">
      <c r="E29496" s="35"/>
      <c r="J29496" s="41"/>
    </row>
    <row r="29497" spans="5:10" s="34" customFormat="1" x14ac:dyDescent="0.35">
      <c r="E29497" s="35"/>
      <c r="J29497" s="41"/>
    </row>
    <row r="29498" spans="5:10" s="34" customFormat="1" x14ac:dyDescent="0.35">
      <c r="E29498" s="35"/>
      <c r="J29498" s="41"/>
    </row>
    <row r="29499" spans="5:10" s="34" customFormat="1" x14ac:dyDescent="0.35">
      <c r="E29499" s="35"/>
      <c r="J29499" s="41"/>
    </row>
    <row r="29500" spans="5:10" s="34" customFormat="1" x14ac:dyDescent="0.35">
      <c r="E29500" s="35"/>
      <c r="J29500" s="41"/>
    </row>
    <row r="29501" spans="5:10" s="34" customFormat="1" x14ac:dyDescent="0.35">
      <c r="E29501" s="35"/>
      <c r="J29501" s="41"/>
    </row>
    <row r="29502" spans="5:10" s="34" customFormat="1" x14ac:dyDescent="0.35">
      <c r="E29502" s="35"/>
      <c r="J29502" s="41"/>
    </row>
    <row r="29503" spans="5:10" s="34" customFormat="1" x14ac:dyDescent="0.35">
      <c r="E29503" s="35"/>
      <c r="J29503" s="41"/>
    </row>
    <row r="29504" spans="5:10" s="34" customFormat="1" x14ac:dyDescent="0.35">
      <c r="E29504" s="35"/>
      <c r="J29504" s="41"/>
    </row>
    <row r="29505" spans="5:10" s="34" customFormat="1" x14ac:dyDescent="0.35">
      <c r="E29505" s="35"/>
      <c r="J29505" s="41"/>
    </row>
    <row r="29506" spans="5:10" s="34" customFormat="1" x14ac:dyDescent="0.35">
      <c r="E29506" s="35"/>
      <c r="J29506" s="41"/>
    </row>
    <row r="29507" spans="5:10" s="34" customFormat="1" x14ac:dyDescent="0.35">
      <c r="E29507" s="35"/>
      <c r="J29507" s="41"/>
    </row>
    <row r="29508" spans="5:10" s="34" customFormat="1" x14ac:dyDescent="0.35">
      <c r="E29508" s="35"/>
      <c r="J29508" s="41"/>
    </row>
    <row r="29509" spans="5:10" s="34" customFormat="1" x14ac:dyDescent="0.35">
      <c r="E29509" s="35"/>
      <c r="J29509" s="41"/>
    </row>
    <row r="29510" spans="5:10" s="34" customFormat="1" x14ac:dyDescent="0.35">
      <c r="E29510" s="35"/>
      <c r="J29510" s="41"/>
    </row>
    <row r="29511" spans="5:10" s="34" customFormat="1" x14ac:dyDescent="0.35">
      <c r="E29511" s="35"/>
      <c r="J29511" s="41"/>
    </row>
    <row r="29512" spans="5:10" s="34" customFormat="1" x14ac:dyDescent="0.35">
      <c r="E29512" s="35"/>
      <c r="J29512" s="41"/>
    </row>
    <row r="29513" spans="5:10" s="34" customFormat="1" x14ac:dyDescent="0.35">
      <c r="E29513" s="35"/>
      <c r="J29513" s="41"/>
    </row>
    <row r="29514" spans="5:10" s="34" customFormat="1" x14ac:dyDescent="0.35">
      <c r="E29514" s="35"/>
      <c r="J29514" s="41"/>
    </row>
    <row r="29515" spans="5:10" s="34" customFormat="1" x14ac:dyDescent="0.35">
      <c r="E29515" s="35"/>
      <c r="J29515" s="41"/>
    </row>
    <row r="29516" spans="5:10" s="34" customFormat="1" x14ac:dyDescent="0.35">
      <c r="E29516" s="35"/>
      <c r="J29516" s="41"/>
    </row>
    <row r="29517" spans="5:10" s="34" customFormat="1" x14ac:dyDescent="0.35">
      <c r="E29517" s="35"/>
      <c r="J29517" s="41"/>
    </row>
    <row r="29518" spans="5:10" s="34" customFormat="1" x14ac:dyDescent="0.35">
      <c r="E29518" s="35"/>
      <c r="J29518" s="41"/>
    </row>
    <row r="29519" spans="5:10" s="34" customFormat="1" x14ac:dyDescent="0.35">
      <c r="E29519" s="35"/>
      <c r="J29519" s="41"/>
    </row>
    <row r="29520" spans="5:10" s="34" customFormat="1" x14ac:dyDescent="0.35">
      <c r="E29520" s="35"/>
      <c r="J29520" s="41"/>
    </row>
    <row r="29521" spans="5:10" s="34" customFormat="1" x14ac:dyDescent="0.35">
      <c r="E29521" s="35"/>
      <c r="J29521" s="41"/>
    </row>
    <row r="29522" spans="5:10" s="34" customFormat="1" x14ac:dyDescent="0.35">
      <c r="E29522" s="35"/>
      <c r="J29522" s="41"/>
    </row>
    <row r="29523" spans="5:10" s="34" customFormat="1" x14ac:dyDescent="0.35">
      <c r="E29523" s="35"/>
      <c r="J29523" s="41"/>
    </row>
    <row r="29524" spans="5:10" s="34" customFormat="1" x14ac:dyDescent="0.35">
      <c r="E29524" s="35"/>
      <c r="J29524" s="41"/>
    </row>
    <row r="29525" spans="5:10" s="34" customFormat="1" x14ac:dyDescent="0.35">
      <c r="E29525" s="35"/>
      <c r="J29525" s="41"/>
    </row>
    <row r="29526" spans="5:10" s="34" customFormat="1" x14ac:dyDescent="0.35">
      <c r="E29526" s="35"/>
      <c r="J29526" s="41"/>
    </row>
    <row r="29527" spans="5:10" s="34" customFormat="1" x14ac:dyDescent="0.35">
      <c r="E29527" s="35"/>
      <c r="J29527" s="41"/>
    </row>
    <row r="29528" spans="5:10" s="34" customFormat="1" x14ac:dyDescent="0.35">
      <c r="E29528" s="35"/>
      <c r="J29528" s="41"/>
    </row>
    <row r="29529" spans="5:10" s="34" customFormat="1" x14ac:dyDescent="0.35">
      <c r="E29529" s="35"/>
      <c r="J29529" s="41"/>
    </row>
    <row r="29530" spans="5:10" s="34" customFormat="1" x14ac:dyDescent="0.35">
      <c r="E29530" s="35"/>
      <c r="J29530" s="41"/>
    </row>
    <row r="29531" spans="5:10" s="34" customFormat="1" x14ac:dyDescent="0.35">
      <c r="E29531" s="35"/>
      <c r="J29531" s="41"/>
    </row>
    <row r="29532" spans="5:10" s="34" customFormat="1" x14ac:dyDescent="0.35">
      <c r="E29532" s="35"/>
      <c r="J29532" s="41"/>
    </row>
    <row r="29533" spans="5:10" s="34" customFormat="1" x14ac:dyDescent="0.35">
      <c r="E29533" s="35"/>
      <c r="J29533" s="41"/>
    </row>
    <row r="29534" spans="5:10" s="34" customFormat="1" x14ac:dyDescent="0.35">
      <c r="E29534" s="35"/>
      <c r="J29534" s="41"/>
    </row>
    <row r="29535" spans="5:10" s="34" customFormat="1" x14ac:dyDescent="0.35">
      <c r="E29535" s="35"/>
      <c r="J29535" s="41"/>
    </row>
    <row r="29536" spans="5:10" s="34" customFormat="1" x14ac:dyDescent="0.35">
      <c r="E29536" s="35"/>
      <c r="J29536" s="41"/>
    </row>
    <row r="29537" spans="5:10" s="34" customFormat="1" x14ac:dyDescent="0.35">
      <c r="E29537" s="35"/>
      <c r="J29537" s="41"/>
    </row>
    <row r="29538" spans="5:10" s="34" customFormat="1" x14ac:dyDescent="0.35">
      <c r="E29538" s="35"/>
      <c r="J29538" s="41"/>
    </row>
    <row r="29539" spans="5:10" s="34" customFormat="1" x14ac:dyDescent="0.35">
      <c r="E29539" s="35"/>
      <c r="J29539" s="41"/>
    </row>
    <row r="29540" spans="5:10" s="34" customFormat="1" x14ac:dyDescent="0.35">
      <c r="E29540" s="35"/>
      <c r="J29540" s="41"/>
    </row>
    <row r="29541" spans="5:10" s="34" customFormat="1" x14ac:dyDescent="0.35">
      <c r="E29541" s="35"/>
      <c r="J29541" s="41"/>
    </row>
    <row r="29542" spans="5:10" s="34" customFormat="1" x14ac:dyDescent="0.35">
      <c r="E29542" s="35"/>
      <c r="J29542" s="41"/>
    </row>
    <row r="29543" spans="5:10" s="34" customFormat="1" x14ac:dyDescent="0.35">
      <c r="E29543" s="35"/>
      <c r="J29543" s="41"/>
    </row>
    <row r="29544" spans="5:10" s="34" customFormat="1" x14ac:dyDescent="0.35">
      <c r="E29544" s="35"/>
      <c r="J29544" s="41"/>
    </row>
    <row r="29545" spans="5:10" s="34" customFormat="1" x14ac:dyDescent="0.35">
      <c r="E29545" s="35"/>
      <c r="J29545" s="41"/>
    </row>
    <row r="29546" spans="5:10" s="34" customFormat="1" x14ac:dyDescent="0.35">
      <c r="E29546" s="35"/>
      <c r="J29546" s="41"/>
    </row>
    <row r="29547" spans="5:10" s="34" customFormat="1" x14ac:dyDescent="0.35">
      <c r="E29547" s="35"/>
      <c r="J29547" s="41"/>
    </row>
    <row r="29548" spans="5:10" s="34" customFormat="1" x14ac:dyDescent="0.35">
      <c r="E29548" s="35"/>
      <c r="J29548" s="41"/>
    </row>
    <row r="29549" spans="5:10" s="34" customFormat="1" x14ac:dyDescent="0.35">
      <c r="E29549" s="35"/>
      <c r="J29549" s="41"/>
    </row>
    <row r="29550" spans="5:10" s="34" customFormat="1" x14ac:dyDescent="0.35">
      <c r="E29550" s="35"/>
      <c r="J29550" s="41"/>
    </row>
    <row r="29551" spans="5:10" s="34" customFormat="1" x14ac:dyDescent="0.35">
      <c r="E29551" s="35"/>
      <c r="J29551" s="41"/>
    </row>
    <row r="29552" spans="5:10" s="34" customFormat="1" x14ac:dyDescent="0.35">
      <c r="E29552" s="35"/>
      <c r="J29552" s="41"/>
    </row>
    <row r="29553" spans="5:10" s="34" customFormat="1" x14ac:dyDescent="0.35">
      <c r="E29553" s="35"/>
      <c r="J29553" s="41"/>
    </row>
    <row r="29554" spans="5:10" s="34" customFormat="1" x14ac:dyDescent="0.35">
      <c r="E29554" s="35"/>
      <c r="J29554" s="41"/>
    </row>
    <row r="29555" spans="5:10" s="34" customFormat="1" x14ac:dyDescent="0.35">
      <c r="E29555" s="35"/>
      <c r="J29555" s="41"/>
    </row>
    <row r="29556" spans="5:10" s="34" customFormat="1" x14ac:dyDescent="0.35">
      <c r="E29556" s="35"/>
      <c r="J29556" s="41"/>
    </row>
    <row r="29557" spans="5:10" s="34" customFormat="1" x14ac:dyDescent="0.35">
      <c r="E29557" s="35"/>
      <c r="J29557" s="41"/>
    </row>
    <row r="29558" spans="5:10" s="34" customFormat="1" x14ac:dyDescent="0.35">
      <c r="E29558" s="35"/>
      <c r="J29558" s="41"/>
    </row>
    <row r="29559" spans="5:10" s="34" customFormat="1" x14ac:dyDescent="0.35">
      <c r="E29559" s="35"/>
      <c r="J29559" s="41"/>
    </row>
    <row r="29560" spans="5:10" s="34" customFormat="1" x14ac:dyDescent="0.35">
      <c r="E29560" s="35"/>
      <c r="J29560" s="41"/>
    </row>
    <row r="29561" spans="5:10" s="34" customFormat="1" x14ac:dyDescent="0.35">
      <c r="E29561" s="35"/>
      <c r="J29561" s="41"/>
    </row>
    <row r="29562" spans="5:10" s="34" customFormat="1" x14ac:dyDescent="0.35">
      <c r="E29562" s="35"/>
      <c r="J29562" s="41"/>
    </row>
    <row r="29563" spans="5:10" s="34" customFormat="1" x14ac:dyDescent="0.35">
      <c r="E29563" s="35"/>
      <c r="J29563" s="41"/>
    </row>
    <row r="29564" spans="5:10" s="34" customFormat="1" x14ac:dyDescent="0.35">
      <c r="E29564" s="35"/>
      <c r="J29564" s="41"/>
    </row>
    <row r="29565" spans="5:10" s="34" customFormat="1" x14ac:dyDescent="0.35">
      <c r="E29565" s="35"/>
      <c r="J29565" s="41"/>
    </row>
    <row r="29566" spans="5:10" s="34" customFormat="1" x14ac:dyDescent="0.35">
      <c r="E29566" s="35"/>
      <c r="J29566" s="41"/>
    </row>
    <row r="29567" spans="5:10" s="34" customFormat="1" x14ac:dyDescent="0.35">
      <c r="E29567" s="35"/>
      <c r="J29567" s="41"/>
    </row>
    <row r="29568" spans="5:10" s="34" customFormat="1" x14ac:dyDescent="0.35">
      <c r="E29568" s="35"/>
      <c r="J29568" s="41"/>
    </row>
    <row r="29569" spans="5:10" s="34" customFormat="1" x14ac:dyDescent="0.35">
      <c r="E29569" s="35"/>
      <c r="J29569" s="41"/>
    </row>
    <row r="29570" spans="5:10" s="34" customFormat="1" x14ac:dyDescent="0.35">
      <c r="E29570" s="35"/>
      <c r="J29570" s="41"/>
    </row>
    <row r="29571" spans="5:10" s="34" customFormat="1" x14ac:dyDescent="0.35">
      <c r="E29571" s="35"/>
      <c r="J29571" s="41"/>
    </row>
    <row r="29572" spans="5:10" s="34" customFormat="1" x14ac:dyDescent="0.35">
      <c r="E29572" s="35"/>
      <c r="J29572" s="41"/>
    </row>
    <row r="29573" spans="5:10" s="34" customFormat="1" x14ac:dyDescent="0.35">
      <c r="E29573" s="35"/>
      <c r="J29573" s="41"/>
    </row>
    <row r="29574" spans="5:10" s="34" customFormat="1" x14ac:dyDescent="0.35">
      <c r="E29574" s="35"/>
      <c r="J29574" s="41"/>
    </row>
    <row r="29575" spans="5:10" s="34" customFormat="1" x14ac:dyDescent="0.35">
      <c r="E29575" s="35"/>
      <c r="J29575" s="41"/>
    </row>
    <row r="29576" spans="5:10" s="34" customFormat="1" x14ac:dyDescent="0.35">
      <c r="E29576" s="35"/>
      <c r="J29576" s="41"/>
    </row>
    <row r="29577" spans="5:10" s="34" customFormat="1" x14ac:dyDescent="0.35">
      <c r="E29577" s="35"/>
      <c r="J29577" s="41"/>
    </row>
    <row r="29578" spans="5:10" s="34" customFormat="1" x14ac:dyDescent="0.35">
      <c r="E29578" s="35"/>
      <c r="J29578" s="41"/>
    </row>
    <row r="29579" spans="5:10" s="34" customFormat="1" x14ac:dyDescent="0.35">
      <c r="E29579" s="35"/>
      <c r="J29579" s="41"/>
    </row>
    <row r="29580" spans="5:10" s="34" customFormat="1" x14ac:dyDescent="0.35">
      <c r="E29580" s="35"/>
      <c r="J29580" s="41"/>
    </row>
    <row r="29581" spans="5:10" s="34" customFormat="1" x14ac:dyDescent="0.35">
      <c r="E29581" s="35"/>
      <c r="J29581" s="41"/>
    </row>
    <row r="29582" spans="5:10" s="34" customFormat="1" x14ac:dyDescent="0.35">
      <c r="E29582" s="35"/>
      <c r="J29582" s="41"/>
    </row>
    <row r="29583" spans="5:10" s="34" customFormat="1" x14ac:dyDescent="0.35">
      <c r="E29583" s="35"/>
      <c r="J29583" s="41"/>
    </row>
    <row r="29584" spans="5:10" s="34" customFormat="1" x14ac:dyDescent="0.35">
      <c r="E29584" s="35"/>
      <c r="J29584" s="41"/>
    </row>
    <row r="29585" spans="5:10" s="34" customFormat="1" x14ac:dyDescent="0.35">
      <c r="E29585" s="35"/>
      <c r="J29585" s="41"/>
    </row>
    <row r="29586" spans="5:10" s="34" customFormat="1" x14ac:dyDescent="0.35">
      <c r="E29586" s="35"/>
      <c r="J29586" s="41"/>
    </row>
    <row r="29587" spans="5:10" s="34" customFormat="1" x14ac:dyDescent="0.35">
      <c r="E29587" s="35"/>
      <c r="J29587" s="41"/>
    </row>
    <row r="29588" spans="5:10" s="34" customFormat="1" x14ac:dyDescent="0.35">
      <c r="E29588" s="35"/>
      <c r="J29588" s="41"/>
    </row>
    <row r="29589" spans="5:10" s="34" customFormat="1" x14ac:dyDescent="0.35">
      <c r="E29589" s="35"/>
      <c r="J29589" s="41"/>
    </row>
    <row r="29590" spans="5:10" s="34" customFormat="1" x14ac:dyDescent="0.35">
      <c r="E29590" s="35"/>
      <c r="J29590" s="41"/>
    </row>
    <row r="29591" spans="5:10" s="34" customFormat="1" x14ac:dyDescent="0.35">
      <c r="E29591" s="35"/>
      <c r="J29591" s="41"/>
    </row>
    <row r="29592" spans="5:10" s="34" customFormat="1" x14ac:dyDescent="0.35">
      <c r="E29592" s="35"/>
      <c r="J29592" s="41"/>
    </row>
    <row r="29593" spans="5:10" s="34" customFormat="1" x14ac:dyDescent="0.35">
      <c r="E29593" s="35"/>
      <c r="J29593" s="41"/>
    </row>
    <row r="29594" spans="5:10" s="34" customFormat="1" x14ac:dyDescent="0.35">
      <c r="E29594" s="35"/>
      <c r="J29594" s="41"/>
    </row>
    <row r="29595" spans="5:10" s="34" customFormat="1" x14ac:dyDescent="0.35">
      <c r="E29595" s="35"/>
      <c r="J29595" s="41"/>
    </row>
    <row r="29596" spans="5:10" s="34" customFormat="1" x14ac:dyDescent="0.35">
      <c r="E29596" s="35"/>
      <c r="J29596" s="41"/>
    </row>
    <row r="29597" spans="5:10" s="34" customFormat="1" x14ac:dyDescent="0.35">
      <c r="E29597" s="35"/>
      <c r="J29597" s="41"/>
    </row>
    <row r="29598" spans="5:10" s="34" customFormat="1" x14ac:dyDescent="0.35">
      <c r="E29598" s="35"/>
      <c r="J29598" s="41"/>
    </row>
    <row r="29599" spans="5:10" s="34" customFormat="1" x14ac:dyDescent="0.35">
      <c r="E29599" s="35"/>
      <c r="J29599" s="41"/>
    </row>
    <row r="29600" spans="5:10" s="34" customFormat="1" x14ac:dyDescent="0.35">
      <c r="E29600" s="35"/>
      <c r="J29600" s="41"/>
    </row>
    <row r="29601" spans="5:10" s="34" customFormat="1" x14ac:dyDescent="0.35">
      <c r="E29601" s="35"/>
      <c r="J29601" s="41"/>
    </row>
    <row r="29602" spans="5:10" s="34" customFormat="1" x14ac:dyDescent="0.35">
      <c r="E29602" s="35"/>
      <c r="J29602" s="41"/>
    </row>
    <row r="29603" spans="5:10" s="34" customFormat="1" x14ac:dyDescent="0.35">
      <c r="E29603" s="35"/>
      <c r="J29603" s="41"/>
    </row>
    <row r="29604" spans="5:10" s="34" customFormat="1" x14ac:dyDescent="0.35">
      <c r="E29604" s="35"/>
      <c r="J29604" s="41"/>
    </row>
    <row r="29605" spans="5:10" s="34" customFormat="1" x14ac:dyDescent="0.35">
      <c r="E29605" s="35"/>
      <c r="J29605" s="41"/>
    </row>
    <row r="29606" spans="5:10" s="34" customFormat="1" x14ac:dyDescent="0.35">
      <c r="E29606" s="35"/>
      <c r="J29606" s="41"/>
    </row>
    <row r="29607" spans="5:10" s="34" customFormat="1" x14ac:dyDescent="0.35">
      <c r="E29607" s="35"/>
      <c r="J29607" s="41"/>
    </row>
    <row r="29608" spans="5:10" s="34" customFormat="1" x14ac:dyDescent="0.35">
      <c r="E29608" s="35"/>
      <c r="J29608" s="41"/>
    </row>
    <row r="29609" spans="5:10" s="34" customFormat="1" x14ac:dyDescent="0.35">
      <c r="E29609" s="35"/>
      <c r="J29609" s="41"/>
    </row>
    <row r="29610" spans="5:10" s="34" customFormat="1" x14ac:dyDescent="0.35">
      <c r="E29610" s="35"/>
      <c r="J29610" s="41"/>
    </row>
    <row r="29611" spans="5:10" s="34" customFormat="1" x14ac:dyDescent="0.35">
      <c r="E29611" s="35"/>
      <c r="J29611" s="41"/>
    </row>
    <row r="29612" spans="5:10" s="34" customFormat="1" x14ac:dyDescent="0.35">
      <c r="E29612" s="35"/>
      <c r="J29612" s="41"/>
    </row>
    <row r="29613" spans="5:10" s="34" customFormat="1" x14ac:dyDescent="0.35">
      <c r="E29613" s="35"/>
      <c r="J29613" s="41"/>
    </row>
    <row r="29614" spans="5:10" s="34" customFormat="1" x14ac:dyDescent="0.35">
      <c r="E29614" s="35"/>
      <c r="J29614" s="41"/>
    </row>
    <row r="29615" spans="5:10" s="34" customFormat="1" x14ac:dyDescent="0.35">
      <c r="E29615" s="35"/>
      <c r="J29615" s="41"/>
    </row>
    <row r="29616" spans="5:10" s="34" customFormat="1" x14ac:dyDescent="0.35">
      <c r="E29616" s="35"/>
      <c r="J29616" s="41"/>
    </row>
    <row r="29617" spans="5:10" s="34" customFormat="1" x14ac:dyDescent="0.35">
      <c r="E29617" s="35"/>
      <c r="J29617" s="41"/>
    </row>
    <row r="29618" spans="5:10" s="34" customFormat="1" x14ac:dyDescent="0.35">
      <c r="E29618" s="35"/>
      <c r="J29618" s="41"/>
    </row>
    <row r="29619" spans="5:10" s="34" customFormat="1" x14ac:dyDescent="0.35">
      <c r="E29619" s="35"/>
      <c r="J29619" s="41"/>
    </row>
    <row r="29620" spans="5:10" s="34" customFormat="1" x14ac:dyDescent="0.35">
      <c r="E29620" s="35"/>
      <c r="J29620" s="41"/>
    </row>
    <row r="29621" spans="5:10" s="34" customFormat="1" x14ac:dyDescent="0.35">
      <c r="E29621" s="35"/>
      <c r="J29621" s="41"/>
    </row>
    <row r="29622" spans="5:10" s="34" customFormat="1" x14ac:dyDescent="0.35">
      <c r="E29622" s="35"/>
      <c r="J29622" s="41"/>
    </row>
    <row r="29623" spans="5:10" s="34" customFormat="1" x14ac:dyDescent="0.35">
      <c r="E29623" s="35"/>
      <c r="J29623" s="41"/>
    </row>
    <row r="29624" spans="5:10" s="34" customFormat="1" x14ac:dyDescent="0.35">
      <c r="E29624" s="35"/>
      <c r="J29624" s="41"/>
    </row>
    <row r="29625" spans="5:10" s="34" customFormat="1" x14ac:dyDescent="0.35">
      <c r="E29625" s="35"/>
      <c r="J29625" s="41"/>
    </row>
    <row r="29626" spans="5:10" s="34" customFormat="1" x14ac:dyDescent="0.35">
      <c r="E29626" s="35"/>
      <c r="J29626" s="41"/>
    </row>
    <row r="29627" spans="5:10" s="34" customFormat="1" x14ac:dyDescent="0.35">
      <c r="E29627" s="35"/>
      <c r="J29627" s="41"/>
    </row>
    <row r="29628" spans="5:10" s="34" customFormat="1" x14ac:dyDescent="0.35">
      <c r="E29628" s="35"/>
      <c r="J29628" s="41"/>
    </row>
    <row r="29629" spans="5:10" s="34" customFormat="1" x14ac:dyDescent="0.35">
      <c r="E29629" s="35"/>
      <c r="J29629" s="41"/>
    </row>
    <row r="29630" spans="5:10" s="34" customFormat="1" x14ac:dyDescent="0.35">
      <c r="E29630" s="35"/>
      <c r="J29630" s="41"/>
    </row>
    <row r="29631" spans="5:10" s="34" customFormat="1" x14ac:dyDescent="0.35">
      <c r="E29631" s="35"/>
      <c r="J29631" s="41"/>
    </row>
    <row r="29632" spans="5:10" s="34" customFormat="1" x14ac:dyDescent="0.35">
      <c r="E29632" s="35"/>
      <c r="J29632" s="41"/>
    </row>
    <row r="29633" spans="5:10" s="34" customFormat="1" x14ac:dyDescent="0.35">
      <c r="E29633" s="35"/>
      <c r="J29633" s="41"/>
    </row>
    <row r="29634" spans="5:10" s="34" customFormat="1" x14ac:dyDescent="0.35">
      <c r="E29634" s="35"/>
      <c r="J29634" s="41"/>
    </row>
    <row r="29635" spans="5:10" s="34" customFormat="1" x14ac:dyDescent="0.35">
      <c r="E29635" s="35"/>
      <c r="J29635" s="41"/>
    </row>
    <row r="29636" spans="5:10" s="34" customFormat="1" x14ac:dyDescent="0.35">
      <c r="E29636" s="35"/>
      <c r="J29636" s="41"/>
    </row>
    <row r="29637" spans="5:10" s="34" customFormat="1" x14ac:dyDescent="0.35">
      <c r="E29637" s="35"/>
      <c r="J29637" s="41"/>
    </row>
    <row r="29638" spans="5:10" s="34" customFormat="1" x14ac:dyDescent="0.35">
      <c r="E29638" s="35"/>
      <c r="J29638" s="41"/>
    </row>
    <row r="29639" spans="5:10" s="34" customFormat="1" x14ac:dyDescent="0.35">
      <c r="E29639" s="35"/>
      <c r="J29639" s="41"/>
    </row>
    <row r="29640" spans="5:10" s="34" customFormat="1" x14ac:dyDescent="0.35">
      <c r="E29640" s="35"/>
      <c r="J29640" s="41"/>
    </row>
    <row r="29641" spans="5:10" s="34" customFormat="1" x14ac:dyDescent="0.35">
      <c r="E29641" s="35"/>
      <c r="J29641" s="41"/>
    </row>
    <row r="29642" spans="5:10" s="34" customFormat="1" x14ac:dyDescent="0.35">
      <c r="E29642" s="35"/>
      <c r="J29642" s="41"/>
    </row>
    <row r="29643" spans="5:10" s="34" customFormat="1" x14ac:dyDescent="0.35">
      <c r="E29643" s="35"/>
      <c r="J29643" s="41"/>
    </row>
    <row r="29644" spans="5:10" s="34" customFormat="1" x14ac:dyDescent="0.35">
      <c r="E29644" s="35"/>
      <c r="J29644" s="41"/>
    </row>
    <row r="29645" spans="5:10" s="34" customFormat="1" x14ac:dyDescent="0.35">
      <c r="E29645" s="35"/>
      <c r="J29645" s="41"/>
    </row>
    <row r="29646" spans="5:10" s="34" customFormat="1" x14ac:dyDescent="0.35">
      <c r="E29646" s="35"/>
      <c r="J29646" s="41"/>
    </row>
    <row r="29647" spans="5:10" s="34" customFormat="1" x14ac:dyDescent="0.35">
      <c r="E29647" s="35"/>
      <c r="J29647" s="41"/>
    </row>
    <row r="29648" spans="5:10" s="34" customFormat="1" x14ac:dyDescent="0.35">
      <c r="E29648" s="35"/>
      <c r="J29648" s="41"/>
    </row>
    <row r="29649" spans="5:10" s="34" customFormat="1" x14ac:dyDescent="0.35">
      <c r="E29649" s="35"/>
      <c r="J29649" s="41"/>
    </row>
    <row r="29650" spans="5:10" s="34" customFormat="1" x14ac:dyDescent="0.35">
      <c r="E29650" s="35"/>
      <c r="J29650" s="41"/>
    </row>
    <row r="29651" spans="5:10" s="34" customFormat="1" x14ac:dyDescent="0.35">
      <c r="E29651" s="35"/>
      <c r="J29651" s="41"/>
    </row>
    <row r="29652" spans="5:10" s="34" customFormat="1" x14ac:dyDescent="0.35">
      <c r="E29652" s="35"/>
      <c r="J29652" s="41"/>
    </row>
    <row r="29653" spans="5:10" s="34" customFormat="1" x14ac:dyDescent="0.35">
      <c r="E29653" s="35"/>
      <c r="J29653" s="41"/>
    </row>
    <row r="29654" spans="5:10" s="34" customFormat="1" x14ac:dyDescent="0.35">
      <c r="E29654" s="35"/>
      <c r="J29654" s="41"/>
    </row>
    <row r="29655" spans="5:10" s="34" customFormat="1" x14ac:dyDescent="0.35">
      <c r="E29655" s="35"/>
      <c r="J29655" s="41"/>
    </row>
    <row r="29656" spans="5:10" s="34" customFormat="1" x14ac:dyDescent="0.35">
      <c r="E29656" s="35"/>
      <c r="J29656" s="41"/>
    </row>
    <row r="29657" spans="5:10" s="34" customFormat="1" x14ac:dyDescent="0.35">
      <c r="E29657" s="35"/>
      <c r="J29657" s="41"/>
    </row>
    <row r="29658" spans="5:10" s="34" customFormat="1" x14ac:dyDescent="0.35">
      <c r="E29658" s="35"/>
      <c r="J29658" s="41"/>
    </row>
    <row r="29659" spans="5:10" s="34" customFormat="1" x14ac:dyDescent="0.35">
      <c r="E29659" s="35"/>
      <c r="J29659" s="41"/>
    </row>
    <row r="29660" spans="5:10" s="34" customFormat="1" x14ac:dyDescent="0.35">
      <c r="E29660" s="35"/>
      <c r="J29660" s="41"/>
    </row>
    <row r="29661" spans="5:10" s="34" customFormat="1" x14ac:dyDescent="0.35">
      <c r="E29661" s="35"/>
      <c r="J29661" s="41"/>
    </row>
    <row r="29662" spans="5:10" s="34" customFormat="1" x14ac:dyDescent="0.35">
      <c r="E29662" s="35"/>
      <c r="J29662" s="41"/>
    </row>
    <row r="29663" spans="5:10" s="34" customFormat="1" x14ac:dyDescent="0.35">
      <c r="E29663" s="35"/>
      <c r="J29663" s="41"/>
    </row>
    <row r="29664" spans="5:10" s="34" customFormat="1" x14ac:dyDescent="0.35">
      <c r="E29664" s="35"/>
      <c r="J29664" s="41"/>
    </row>
    <row r="29665" spans="5:10" s="34" customFormat="1" x14ac:dyDescent="0.35">
      <c r="E29665" s="35"/>
      <c r="J29665" s="41"/>
    </row>
    <row r="29666" spans="5:10" s="34" customFormat="1" x14ac:dyDescent="0.35">
      <c r="E29666" s="35"/>
      <c r="J29666" s="41"/>
    </row>
    <row r="29667" spans="5:10" s="34" customFormat="1" x14ac:dyDescent="0.35">
      <c r="E29667" s="35"/>
      <c r="J29667" s="41"/>
    </row>
    <row r="29668" spans="5:10" s="34" customFormat="1" x14ac:dyDescent="0.35">
      <c r="E29668" s="35"/>
      <c r="J29668" s="41"/>
    </row>
    <row r="29669" spans="5:10" s="34" customFormat="1" x14ac:dyDescent="0.35">
      <c r="E29669" s="35"/>
      <c r="J29669" s="41"/>
    </row>
    <row r="29670" spans="5:10" s="34" customFormat="1" x14ac:dyDescent="0.35">
      <c r="E29670" s="35"/>
      <c r="J29670" s="41"/>
    </row>
    <row r="29671" spans="5:10" s="34" customFormat="1" x14ac:dyDescent="0.35">
      <c r="E29671" s="35"/>
      <c r="J29671" s="41"/>
    </row>
    <row r="29672" spans="5:10" s="34" customFormat="1" x14ac:dyDescent="0.35">
      <c r="E29672" s="35"/>
      <c r="J29672" s="41"/>
    </row>
    <row r="29673" spans="5:10" s="34" customFormat="1" x14ac:dyDescent="0.35">
      <c r="E29673" s="35"/>
      <c r="J29673" s="41"/>
    </row>
    <row r="29674" spans="5:10" s="34" customFormat="1" x14ac:dyDescent="0.35">
      <c r="E29674" s="35"/>
      <c r="J29674" s="41"/>
    </row>
    <row r="29675" spans="5:10" s="34" customFormat="1" x14ac:dyDescent="0.35">
      <c r="E29675" s="35"/>
      <c r="J29675" s="41"/>
    </row>
    <row r="29676" spans="5:10" s="34" customFormat="1" x14ac:dyDescent="0.35">
      <c r="E29676" s="35"/>
      <c r="J29676" s="41"/>
    </row>
    <row r="29677" spans="5:10" s="34" customFormat="1" x14ac:dyDescent="0.35">
      <c r="E29677" s="35"/>
      <c r="J29677" s="41"/>
    </row>
    <row r="29678" spans="5:10" s="34" customFormat="1" x14ac:dyDescent="0.35">
      <c r="E29678" s="35"/>
      <c r="J29678" s="41"/>
    </row>
    <row r="29679" spans="5:10" s="34" customFormat="1" x14ac:dyDescent="0.35">
      <c r="E29679" s="35"/>
      <c r="J29679" s="41"/>
    </row>
    <row r="29680" spans="5:10" s="34" customFormat="1" x14ac:dyDescent="0.35">
      <c r="E29680" s="35"/>
      <c r="J29680" s="41"/>
    </row>
    <row r="29681" spans="5:10" s="34" customFormat="1" x14ac:dyDescent="0.35">
      <c r="E29681" s="35"/>
      <c r="J29681" s="41"/>
    </row>
    <row r="29682" spans="5:10" s="34" customFormat="1" x14ac:dyDescent="0.35">
      <c r="E29682" s="35"/>
      <c r="J29682" s="41"/>
    </row>
    <row r="29683" spans="5:10" s="34" customFormat="1" x14ac:dyDescent="0.35">
      <c r="E29683" s="35"/>
      <c r="J29683" s="41"/>
    </row>
    <row r="29684" spans="5:10" s="34" customFormat="1" x14ac:dyDescent="0.35">
      <c r="E29684" s="35"/>
      <c r="J29684" s="41"/>
    </row>
    <row r="29685" spans="5:10" s="34" customFormat="1" x14ac:dyDescent="0.35">
      <c r="E29685" s="35"/>
      <c r="J29685" s="41"/>
    </row>
    <row r="29686" spans="5:10" s="34" customFormat="1" x14ac:dyDescent="0.35">
      <c r="E29686" s="35"/>
      <c r="J29686" s="41"/>
    </row>
    <row r="29687" spans="5:10" s="34" customFormat="1" x14ac:dyDescent="0.35">
      <c r="E29687" s="35"/>
      <c r="J29687" s="41"/>
    </row>
    <row r="29688" spans="5:10" s="34" customFormat="1" x14ac:dyDescent="0.35">
      <c r="E29688" s="35"/>
      <c r="J29688" s="41"/>
    </row>
    <row r="29689" spans="5:10" s="34" customFormat="1" x14ac:dyDescent="0.35">
      <c r="E29689" s="35"/>
      <c r="J29689" s="41"/>
    </row>
    <row r="29690" spans="5:10" s="34" customFormat="1" x14ac:dyDescent="0.35">
      <c r="E29690" s="35"/>
      <c r="J29690" s="41"/>
    </row>
    <row r="29691" spans="5:10" s="34" customFormat="1" x14ac:dyDescent="0.35">
      <c r="E29691" s="35"/>
      <c r="J29691" s="41"/>
    </row>
    <row r="29692" spans="5:10" s="34" customFormat="1" x14ac:dyDescent="0.35">
      <c r="E29692" s="35"/>
      <c r="J29692" s="41"/>
    </row>
    <row r="29693" spans="5:10" s="34" customFormat="1" x14ac:dyDescent="0.35">
      <c r="E29693" s="35"/>
      <c r="J29693" s="41"/>
    </row>
    <row r="29694" spans="5:10" s="34" customFormat="1" x14ac:dyDescent="0.35">
      <c r="E29694" s="35"/>
      <c r="J29694" s="41"/>
    </row>
    <row r="29695" spans="5:10" s="34" customFormat="1" x14ac:dyDescent="0.35">
      <c r="E29695" s="35"/>
      <c r="J29695" s="41"/>
    </row>
    <row r="29696" spans="5:10" s="34" customFormat="1" x14ac:dyDescent="0.35">
      <c r="E29696" s="35"/>
      <c r="J29696" s="41"/>
    </row>
    <row r="29697" spans="5:10" s="34" customFormat="1" x14ac:dyDescent="0.35">
      <c r="E29697" s="35"/>
      <c r="J29697" s="41"/>
    </row>
    <row r="29698" spans="5:10" s="34" customFormat="1" x14ac:dyDescent="0.35">
      <c r="E29698" s="35"/>
      <c r="J29698" s="41"/>
    </row>
    <row r="29699" spans="5:10" s="34" customFormat="1" x14ac:dyDescent="0.35">
      <c r="E29699" s="35"/>
      <c r="J29699" s="41"/>
    </row>
    <row r="29700" spans="5:10" s="34" customFormat="1" x14ac:dyDescent="0.35">
      <c r="E29700" s="35"/>
      <c r="J29700" s="41"/>
    </row>
    <row r="29701" spans="5:10" s="34" customFormat="1" x14ac:dyDescent="0.35">
      <c r="E29701" s="35"/>
      <c r="J29701" s="41"/>
    </row>
    <row r="29702" spans="5:10" s="34" customFormat="1" x14ac:dyDescent="0.35">
      <c r="E29702" s="35"/>
      <c r="J29702" s="41"/>
    </row>
    <row r="29703" spans="5:10" s="34" customFormat="1" x14ac:dyDescent="0.35">
      <c r="E29703" s="35"/>
      <c r="J29703" s="41"/>
    </row>
    <row r="29704" spans="5:10" s="34" customFormat="1" x14ac:dyDescent="0.35">
      <c r="E29704" s="35"/>
      <c r="J29704" s="41"/>
    </row>
    <row r="29705" spans="5:10" s="34" customFormat="1" x14ac:dyDescent="0.35">
      <c r="E29705" s="35"/>
      <c r="J29705" s="41"/>
    </row>
    <row r="29706" spans="5:10" s="34" customFormat="1" x14ac:dyDescent="0.35">
      <c r="E29706" s="35"/>
      <c r="J29706" s="41"/>
    </row>
    <row r="29707" spans="5:10" s="34" customFormat="1" x14ac:dyDescent="0.35">
      <c r="E29707" s="35"/>
      <c r="J29707" s="41"/>
    </row>
    <row r="29708" spans="5:10" s="34" customFormat="1" x14ac:dyDescent="0.35">
      <c r="E29708" s="35"/>
      <c r="J29708" s="41"/>
    </row>
    <row r="29709" spans="5:10" s="34" customFormat="1" x14ac:dyDescent="0.35">
      <c r="E29709" s="35"/>
      <c r="J29709" s="41"/>
    </row>
    <row r="29710" spans="5:10" s="34" customFormat="1" x14ac:dyDescent="0.35">
      <c r="E29710" s="35"/>
      <c r="J29710" s="41"/>
    </row>
    <row r="29711" spans="5:10" s="34" customFormat="1" x14ac:dyDescent="0.35">
      <c r="E29711" s="35"/>
      <c r="J29711" s="41"/>
    </row>
    <row r="29712" spans="5:10" s="34" customFormat="1" x14ac:dyDescent="0.35">
      <c r="E29712" s="35"/>
      <c r="J29712" s="41"/>
    </row>
    <row r="29713" spans="5:10" s="34" customFormat="1" x14ac:dyDescent="0.35">
      <c r="E29713" s="35"/>
      <c r="J29713" s="41"/>
    </row>
    <row r="29714" spans="5:10" s="34" customFormat="1" x14ac:dyDescent="0.35">
      <c r="E29714" s="35"/>
      <c r="J29714" s="41"/>
    </row>
    <row r="29715" spans="5:10" s="34" customFormat="1" x14ac:dyDescent="0.35">
      <c r="E29715" s="35"/>
      <c r="J29715" s="41"/>
    </row>
    <row r="29716" spans="5:10" s="34" customFormat="1" x14ac:dyDescent="0.35">
      <c r="E29716" s="35"/>
      <c r="J29716" s="41"/>
    </row>
    <row r="29717" spans="5:10" s="34" customFormat="1" x14ac:dyDescent="0.35">
      <c r="E29717" s="35"/>
      <c r="J29717" s="41"/>
    </row>
    <row r="29718" spans="5:10" s="34" customFormat="1" x14ac:dyDescent="0.35">
      <c r="E29718" s="35"/>
      <c r="J29718" s="41"/>
    </row>
    <row r="29719" spans="5:10" s="34" customFormat="1" x14ac:dyDescent="0.35">
      <c r="E29719" s="35"/>
      <c r="J29719" s="41"/>
    </row>
    <row r="29720" spans="5:10" s="34" customFormat="1" x14ac:dyDescent="0.35">
      <c r="E29720" s="35"/>
      <c r="J29720" s="41"/>
    </row>
    <row r="29721" spans="5:10" s="34" customFormat="1" x14ac:dyDescent="0.35">
      <c r="E29721" s="35"/>
      <c r="J29721" s="41"/>
    </row>
    <row r="29722" spans="5:10" s="34" customFormat="1" x14ac:dyDescent="0.35">
      <c r="E29722" s="35"/>
      <c r="J29722" s="41"/>
    </row>
    <row r="29723" spans="5:10" s="34" customFormat="1" x14ac:dyDescent="0.35">
      <c r="E29723" s="35"/>
      <c r="J29723" s="41"/>
    </row>
    <row r="29724" spans="5:10" s="34" customFormat="1" x14ac:dyDescent="0.35">
      <c r="E29724" s="35"/>
      <c r="J29724" s="41"/>
    </row>
    <row r="29725" spans="5:10" s="34" customFormat="1" x14ac:dyDescent="0.35">
      <c r="E29725" s="35"/>
      <c r="J29725" s="41"/>
    </row>
    <row r="29726" spans="5:10" s="34" customFormat="1" x14ac:dyDescent="0.35">
      <c r="E29726" s="35"/>
      <c r="J29726" s="41"/>
    </row>
    <row r="29727" spans="5:10" s="34" customFormat="1" x14ac:dyDescent="0.35">
      <c r="E29727" s="35"/>
      <c r="J29727" s="41"/>
    </row>
    <row r="29728" spans="5:10" s="34" customFormat="1" x14ac:dyDescent="0.35">
      <c r="E29728" s="35"/>
      <c r="J29728" s="41"/>
    </row>
    <row r="29729" spans="5:10" s="34" customFormat="1" x14ac:dyDescent="0.35">
      <c r="E29729" s="35"/>
      <c r="J29729" s="41"/>
    </row>
    <row r="29730" spans="5:10" s="34" customFormat="1" x14ac:dyDescent="0.35">
      <c r="E29730" s="35"/>
      <c r="J29730" s="41"/>
    </row>
    <row r="29731" spans="5:10" s="34" customFormat="1" x14ac:dyDescent="0.35">
      <c r="E29731" s="35"/>
      <c r="J29731" s="41"/>
    </row>
    <row r="29732" spans="5:10" s="34" customFormat="1" x14ac:dyDescent="0.35">
      <c r="E29732" s="35"/>
      <c r="J29732" s="41"/>
    </row>
    <row r="29733" spans="5:10" s="34" customFormat="1" x14ac:dyDescent="0.35">
      <c r="E29733" s="35"/>
      <c r="J29733" s="41"/>
    </row>
    <row r="29734" spans="5:10" s="34" customFormat="1" x14ac:dyDescent="0.35">
      <c r="E29734" s="35"/>
      <c r="J29734" s="41"/>
    </row>
    <row r="29735" spans="5:10" s="34" customFormat="1" x14ac:dyDescent="0.35">
      <c r="E29735" s="35"/>
      <c r="J29735" s="41"/>
    </row>
    <row r="29736" spans="5:10" s="34" customFormat="1" x14ac:dyDescent="0.35">
      <c r="E29736" s="35"/>
      <c r="J29736" s="41"/>
    </row>
    <row r="29737" spans="5:10" s="34" customFormat="1" x14ac:dyDescent="0.35">
      <c r="E29737" s="35"/>
      <c r="J29737" s="41"/>
    </row>
    <row r="29738" spans="5:10" s="34" customFormat="1" x14ac:dyDescent="0.35">
      <c r="E29738" s="35"/>
      <c r="J29738" s="41"/>
    </row>
    <row r="29739" spans="5:10" s="34" customFormat="1" x14ac:dyDescent="0.35">
      <c r="E29739" s="35"/>
      <c r="J29739" s="41"/>
    </row>
    <row r="29740" spans="5:10" s="34" customFormat="1" x14ac:dyDescent="0.35">
      <c r="E29740" s="35"/>
      <c r="J29740" s="41"/>
    </row>
    <row r="29741" spans="5:10" s="34" customFormat="1" x14ac:dyDescent="0.35">
      <c r="E29741" s="35"/>
      <c r="J29741" s="41"/>
    </row>
    <row r="29742" spans="5:10" s="34" customFormat="1" x14ac:dyDescent="0.35">
      <c r="E29742" s="35"/>
      <c r="J29742" s="41"/>
    </row>
    <row r="29743" spans="5:10" s="34" customFormat="1" x14ac:dyDescent="0.35">
      <c r="E29743" s="35"/>
      <c r="J29743" s="41"/>
    </row>
    <row r="29744" spans="5:10" s="34" customFormat="1" x14ac:dyDescent="0.35">
      <c r="E29744" s="35"/>
      <c r="J29744" s="41"/>
    </row>
    <row r="29745" spans="5:10" s="34" customFormat="1" x14ac:dyDescent="0.35">
      <c r="E29745" s="35"/>
      <c r="J29745" s="41"/>
    </row>
    <row r="29746" spans="5:10" s="34" customFormat="1" x14ac:dyDescent="0.35">
      <c r="E29746" s="35"/>
      <c r="J29746" s="41"/>
    </row>
    <row r="29747" spans="5:10" s="34" customFormat="1" x14ac:dyDescent="0.35">
      <c r="E29747" s="35"/>
      <c r="J29747" s="41"/>
    </row>
    <row r="29748" spans="5:10" s="34" customFormat="1" x14ac:dyDescent="0.35">
      <c r="E29748" s="35"/>
      <c r="J29748" s="41"/>
    </row>
    <row r="29749" spans="5:10" s="34" customFormat="1" x14ac:dyDescent="0.35">
      <c r="E29749" s="35"/>
      <c r="J29749" s="41"/>
    </row>
    <row r="29750" spans="5:10" s="34" customFormat="1" x14ac:dyDescent="0.35">
      <c r="E29750" s="35"/>
      <c r="J29750" s="41"/>
    </row>
    <row r="29751" spans="5:10" s="34" customFormat="1" x14ac:dyDescent="0.35">
      <c r="E29751" s="35"/>
      <c r="J29751" s="41"/>
    </row>
    <row r="29752" spans="5:10" s="34" customFormat="1" x14ac:dyDescent="0.35">
      <c r="E29752" s="35"/>
      <c r="J29752" s="41"/>
    </row>
    <row r="29753" spans="5:10" s="34" customFormat="1" x14ac:dyDescent="0.35">
      <c r="E29753" s="35"/>
      <c r="J29753" s="41"/>
    </row>
    <row r="29754" spans="5:10" s="34" customFormat="1" x14ac:dyDescent="0.35">
      <c r="E29754" s="35"/>
      <c r="J29754" s="41"/>
    </row>
    <row r="29755" spans="5:10" s="34" customFormat="1" x14ac:dyDescent="0.35">
      <c r="E29755" s="35"/>
      <c r="J29755" s="41"/>
    </row>
    <row r="29756" spans="5:10" s="34" customFormat="1" x14ac:dyDescent="0.35">
      <c r="E29756" s="35"/>
      <c r="J29756" s="41"/>
    </row>
    <row r="29757" spans="5:10" s="34" customFormat="1" x14ac:dyDescent="0.35">
      <c r="E29757" s="35"/>
      <c r="J29757" s="41"/>
    </row>
    <row r="29758" spans="5:10" s="34" customFormat="1" x14ac:dyDescent="0.35">
      <c r="E29758" s="35"/>
      <c r="J29758" s="41"/>
    </row>
    <row r="29759" spans="5:10" s="34" customFormat="1" x14ac:dyDescent="0.35">
      <c r="E29759" s="35"/>
      <c r="J29759" s="41"/>
    </row>
    <row r="29760" spans="5:10" s="34" customFormat="1" x14ac:dyDescent="0.35">
      <c r="E29760" s="35"/>
      <c r="J29760" s="41"/>
    </row>
    <row r="29761" spans="5:10" s="34" customFormat="1" x14ac:dyDescent="0.35">
      <c r="E29761" s="35"/>
      <c r="J29761" s="41"/>
    </row>
    <row r="29762" spans="5:10" s="34" customFormat="1" x14ac:dyDescent="0.35">
      <c r="E29762" s="35"/>
      <c r="J29762" s="41"/>
    </row>
    <row r="29763" spans="5:10" s="34" customFormat="1" x14ac:dyDescent="0.35">
      <c r="E29763" s="35"/>
      <c r="J29763" s="41"/>
    </row>
    <row r="29764" spans="5:10" s="34" customFormat="1" x14ac:dyDescent="0.35">
      <c r="E29764" s="35"/>
      <c r="J29764" s="41"/>
    </row>
    <row r="29765" spans="5:10" s="34" customFormat="1" x14ac:dyDescent="0.35">
      <c r="E29765" s="35"/>
      <c r="J29765" s="41"/>
    </row>
    <row r="29766" spans="5:10" s="34" customFormat="1" x14ac:dyDescent="0.35">
      <c r="E29766" s="35"/>
      <c r="J29766" s="41"/>
    </row>
    <row r="29767" spans="5:10" s="34" customFormat="1" x14ac:dyDescent="0.35">
      <c r="E29767" s="35"/>
      <c r="J29767" s="41"/>
    </row>
    <row r="29768" spans="5:10" s="34" customFormat="1" x14ac:dyDescent="0.35">
      <c r="E29768" s="35"/>
      <c r="J29768" s="41"/>
    </row>
    <row r="29769" spans="5:10" s="34" customFormat="1" x14ac:dyDescent="0.35">
      <c r="E29769" s="35"/>
      <c r="J29769" s="41"/>
    </row>
    <row r="29770" spans="5:10" s="34" customFormat="1" x14ac:dyDescent="0.35">
      <c r="E29770" s="35"/>
      <c r="J29770" s="41"/>
    </row>
    <row r="29771" spans="5:10" s="34" customFormat="1" x14ac:dyDescent="0.35">
      <c r="E29771" s="35"/>
      <c r="J29771" s="41"/>
    </row>
    <row r="29772" spans="5:10" s="34" customFormat="1" x14ac:dyDescent="0.35">
      <c r="E29772" s="35"/>
      <c r="J29772" s="41"/>
    </row>
    <row r="29773" spans="5:10" s="34" customFormat="1" x14ac:dyDescent="0.35">
      <c r="E29773" s="35"/>
      <c r="J29773" s="41"/>
    </row>
    <row r="29774" spans="5:10" s="34" customFormat="1" x14ac:dyDescent="0.35">
      <c r="E29774" s="35"/>
      <c r="J29774" s="41"/>
    </row>
    <row r="29775" spans="5:10" s="34" customFormat="1" x14ac:dyDescent="0.35">
      <c r="E29775" s="35"/>
      <c r="J29775" s="41"/>
    </row>
    <row r="29776" spans="5:10" s="34" customFormat="1" x14ac:dyDescent="0.35">
      <c r="E29776" s="35"/>
      <c r="J29776" s="41"/>
    </row>
    <row r="29777" spans="5:10" s="34" customFormat="1" x14ac:dyDescent="0.35">
      <c r="E29777" s="35"/>
      <c r="J29777" s="41"/>
    </row>
    <row r="29778" spans="5:10" s="34" customFormat="1" x14ac:dyDescent="0.35">
      <c r="E29778" s="35"/>
      <c r="J29778" s="41"/>
    </row>
    <row r="29779" spans="5:10" s="34" customFormat="1" x14ac:dyDescent="0.35">
      <c r="E29779" s="35"/>
      <c r="J29779" s="41"/>
    </row>
    <row r="29780" spans="5:10" s="34" customFormat="1" x14ac:dyDescent="0.35">
      <c r="E29780" s="35"/>
      <c r="J29780" s="41"/>
    </row>
    <row r="29781" spans="5:10" s="34" customFormat="1" x14ac:dyDescent="0.35">
      <c r="E29781" s="35"/>
      <c r="J29781" s="41"/>
    </row>
    <row r="29782" spans="5:10" s="34" customFormat="1" x14ac:dyDescent="0.35">
      <c r="E29782" s="35"/>
      <c r="J29782" s="41"/>
    </row>
    <row r="29783" spans="5:10" s="34" customFormat="1" x14ac:dyDescent="0.35">
      <c r="E29783" s="35"/>
      <c r="J29783" s="41"/>
    </row>
    <row r="29784" spans="5:10" s="34" customFormat="1" x14ac:dyDescent="0.35">
      <c r="E29784" s="35"/>
      <c r="J29784" s="41"/>
    </row>
    <row r="29785" spans="5:10" s="34" customFormat="1" x14ac:dyDescent="0.35">
      <c r="E29785" s="35"/>
      <c r="J29785" s="41"/>
    </row>
    <row r="29786" spans="5:10" s="34" customFormat="1" x14ac:dyDescent="0.35">
      <c r="E29786" s="35"/>
      <c r="J29786" s="41"/>
    </row>
    <row r="29787" spans="5:10" s="34" customFormat="1" x14ac:dyDescent="0.35">
      <c r="E29787" s="35"/>
      <c r="J29787" s="41"/>
    </row>
    <row r="29788" spans="5:10" s="34" customFormat="1" x14ac:dyDescent="0.35">
      <c r="E29788" s="35"/>
      <c r="J29788" s="41"/>
    </row>
    <row r="29789" spans="5:10" s="34" customFormat="1" x14ac:dyDescent="0.35">
      <c r="E29789" s="35"/>
      <c r="J29789" s="41"/>
    </row>
    <row r="29790" spans="5:10" s="34" customFormat="1" x14ac:dyDescent="0.35">
      <c r="E29790" s="35"/>
      <c r="J29790" s="41"/>
    </row>
    <row r="29791" spans="5:10" s="34" customFormat="1" x14ac:dyDescent="0.35">
      <c r="E29791" s="35"/>
      <c r="J29791" s="41"/>
    </row>
    <row r="29792" spans="5:10" s="34" customFormat="1" x14ac:dyDescent="0.35">
      <c r="E29792" s="35"/>
      <c r="J29792" s="41"/>
    </row>
    <row r="29793" spans="5:10" s="34" customFormat="1" x14ac:dyDescent="0.35">
      <c r="E29793" s="35"/>
      <c r="J29793" s="41"/>
    </row>
    <row r="29794" spans="5:10" s="34" customFormat="1" x14ac:dyDescent="0.35">
      <c r="E29794" s="35"/>
      <c r="J29794" s="41"/>
    </row>
    <row r="29795" spans="5:10" s="34" customFormat="1" x14ac:dyDescent="0.35">
      <c r="E29795" s="35"/>
      <c r="J29795" s="41"/>
    </row>
    <row r="29796" spans="5:10" s="34" customFormat="1" x14ac:dyDescent="0.35">
      <c r="E29796" s="35"/>
      <c r="J29796" s="41"/>
    </row>
    <row r="29797" spans="5:10" s="34" customFormat="1" x14ac:dyDescent="0.35">
      <c r="E29797" s="35"/>
      <c r="J29797" s="41"/>
    </row>
    <row r="29798" spans="5:10" s="34" customFormat="1" x14ac:dyDescent="0.35">
      <c r="E29798" s="35"/>
      <c r="J29798" s="41"/>
    </row>
    <row r="29799" spans="5:10" s="34" customFormat="1" x14ac:dyDescent="0.35">
      <c r="E29799" s="35"/>
      <c r="J29799" s="41"/>
    </row>
    <row r="29800" spans="5:10" s="34" customFormat="1" x14ac:dyDescent="0.35">
      <c r="E29800" s="35"/>
      <c r="J29800" s="41"/>
    </row>
    <row r="29801" spans="5:10" s="34" customFormat="1" x14ac:dyDescent="0.35">
      <c r="E29801" s="35"/>
      <c r="J29801" s="41"/>
    </row>
    <row r="29802" spans="5:10" s="34" customFormat="1" x14ac:dyDescent="0.35">
      <c r="E29802" s="35"/>
      <c r="J29802" s="41"/>
    </row>
    <row r="29803" spans="5:10" s="34" customFormat="1" x14ac:dyDescent="0.35">
      <c r="E29803" s="35"/>
      <c r="J29803" s="41"/>
    </row>
    <row r="29804" spans="5:10" s="34" customFormat="1" x14ac:dyDescent="0.35">
      <c r="E29804" s="35"/>
      <c r="J29804" s="41"/>
    </row>
    <row r="29805" spans="5:10" s="34" customFormat="1" x14ac:dyDescent="0.35">
      <c r="E29805" s="35"/>
      <c r="J29805" s="41"/>
    </row>
    <row r="29806" spans="5:10" s="34" customFormat="1" x14ac:dyDescent="0.35">
      <c r="E29806" s="35"/>
      <c r="J29806" s="41"/>
    </row>
    <row r="29807" spans="5:10" s="34" customFormat="1" x14ac:dyDescent="0.35">
      <c r="E29807" s="35"/>
      <c r="J29807" s="41"/>
    </row>
    <row r="29808" spans="5:10" s="34" customFormat="1" x14ac:dyDescent="0.35">
      <c r="E29808" s="35"/>
      <c r="J29808" s="41"/>
    </row>
    <row r="29809" spans="5:10" s="34" customFormat="1" x14ac:dyDescent="0.35">
      <c r="E29809" s="35"/>
      <c r="J29809" s="41"/>
    </row>
    <row r="29810" spans="5:10" s="34" customFormat="1" x14ac:dyDescent="0.35">
      <c r="E29810" s="35"/>
      <c r="J29810" s="41"/>
    </row>
    <row r="29811" spans="5:10" s="34" customFormat="1" x14ac:dyDescent="0.35">
      <c r="E29811" s="35"/>
      <c r="J29811" s="41"/>
    </row>
    <row r="29812" spans="5:10" s="34" customFormat="1" x14ac:dyDescent="0.35">
      <c r="E29812" s="35"/>
      <c r="J29812" s="41"/>
    </row>
    <row r="29813" spans="5:10" s="34" customFormat="1" x14ac:dyDescent="0.35">
      <c r="E29813" s="35"/>
      <c r="J29813" s="41"/>
    </row>
    <row r="29814" spans="5:10" s="34" customFormat="1" x14ac:dyDescent="0.35">
      <c r="E29814" s="35"/>
      <c r="J29814" s="41"/>
    </row>
    <row r="29815" spans="5:10" s="34" customFormat="1" x14ac:dyDescent="0.35">
      <c r="E29815" s="35"/>
      <c r="J29815" s="41"/>
    </row>
    <row r="29816" spans="5:10" s="34" customFormat="1" x14ac:dyDescent="0.35">
      <c r="E29816" s="35"/>
      <c r="J29816" s="41"/>
    </row>
    <row r="29817" spans="5:10" s="34" customFormat="1" x14ac:dyDescent="0.35">
      <c r="E29817" s="35"/>
      <c r="J29817" s="41"/>
    </row>
    <row r="29818" spans="5:10" s="34" customFormat="1" x14ac:dyDescent="0.35">
      <c r="E29818" s="35"/>
      <c r="J29818" s="41"/>
    </row>
    <row r="29819" spans="5:10" s="34" customFormat="1" x14ac:dyDescent="0.35">
      <c r="E29819" s="35"/>
      <c r="J29819" s="41"/>
    </row>
    <row r="29820" spans="5:10" s="34" customFormat="1" x14ac:dyDescent="0.35">
      <c r="E29820" s="35"/>
      <c r="J29820" s="41"/>
    </row>
    <row r="29821" spans="5:10" s="34" customFormat="1" x14ac:dyDescent="0.35">
      <c r="E29821" s="35"/>
      <c r="J29821" s="41"/>
    </row>
    <row r="29822" spans="5:10" s="34" customFormat="1" x14ac:dyDescent="0.35">
      <c r="E29822" s="35"/>
      <c r="J29822" s="41"/>
    </row>
    <row r="29823" spans="5:10" s="34" customFormat="1" x14ac:dyDescent="0.35">
      <c r="E29823" s="35"/>
      <c r="J29823" s="41"/>
    </row>
    <row r="29824" spans="5:10" s="34" customFormat="1" x14ac:dyDescent="0.35">
      <c r="E29824" s="35"/>
      <c r="J29824" s="41"/>
    </row>
    <row r="29825" spans="5:10" s="34" customFormat="1" x14ac:dyDescent="0.35">
      <c r="E29825" s="35"/>
      <c r="J29825" s="41"/>
    </row>
    <row r="29826" spans="5:10" s="34" customFormat="1" x14ac:dyDescent="0.35">
      <c r="E29826" s="35"/>
      <c r="J29826" s="41"/>
    </row>
    <row r="29827" spans="5:10" s="34" customFormat="1" x14ac:dyDescent="0.35">
      <c r="E29827" s="35"/>
      <c r="J29827" s="41"/>
    </row>
    <row r="29828" spans="5:10" s="34" customFormat="1" x14ac:dyDescent="0.35">
      <c r="E29828" s="35"/>
      <c r="J29828" s="41"/>
    </row>
    <row r="29829" spans="5:10" s="34" customFormat="1" x14ac:dyDescent="0.35">
      <c r="E29829" s="35"/>
      <c r="J29829" s="41"/>
    </row>
    <row r="29830" spans="5:10" s="34" customFormat="1" x14ac:dyDescent="0.35">
      <c r="E29830" s="35"/>
      <c r="J29830" s="41"/>
    </row>
    <row r="29831" spans="5:10" s="34" customFormat="1" x14ac:dyDescent="0.35">
      <c r="E29831" s="35"/>
      <c r="J29831" s="41"/>
    </row>
    <row r="29832" spans="5:10" s="34" customFormat="1" x14ac:dyDescent="0.35">
      <c r="E29832" s="35"/>
      <c r="J29832" s="41"/>
    </row>
    <row r="29833" spans="5:10" s="34" customFormat="1" x14ac:dyDescent="0.35">
      <c r="E29833" s="35"/>
      <c r="J29833" s="41"/>
    </row>
    <row r="29834" spans="5:10" s="34" customFormat="1" x14ac:dyDescent="0.35">
      <c r="E29834" s="35"/>
      <c r="J29834" s="41"/>
    </row>
    <row r="29835" spans="5:10" s="34" customFormat="1" x14ac:dyDescent="0.35">
      <c r="E29835" s="35"/>
      <c r="J29835" s="41"/>
    </row>
    <row r="29836" spans="5:10" s="34" customFormat="1" x14ac:dyDescent="0.35">
      <c r="E29836" s="35"/>
      <c r="J29836" s="41"/>
    </row>
    <row r="29837" spans="5:10" s="34" customFormat="1" x14ac:dyDescent="0.35">
      <c r="E29837" s="35"/>
      <c r="J29837" s="41"/>
    </row>
    <row r="29838" spans="5:10" s="34" customFormat="1" x14ac:dyDescent="0.35">
      <c r="E29838" s="35"/>
      <c r="J29838" s="41"/>
    </row>
    <row r="29839" spans="5:10" s="34" customFormat="1" x14ac:dyDescent="0.35">
      <c r="E29839" s="35"/>
      <c r="J29839" s="41"/>
    </row>
    <row r="29840" spans="5:10" s="34" customFormat="1" x14ac:dyDescent="0.35">
      <c r="E29840" s="35"/>
      <c r="J29840" s="41"/>
    </row>
    <row r="29841" spans="5:10" s="34" customFormat="1" x14ac:dyDescent="0.35">
      <c r="E29841" s="35"/>
      <c r="J29841" s="41"/>
    </row>
    <row r="29842" spans="5:10" s="34" customFormat="1" x14ac:dyDescent="0.35">
      <c r="E29842" s="35"/>
      <c r="J29842" s="41"/>
    </row>
    <row r="29843" spans="5:10" s="34" customFormat="1" x14ac:dyDescent="0.35">
      <c r="E29843" s="35"/>
      <c r="J29843" s="41"/>
    </row>
    <row r="29844" spans="5:10" s="34" customFormat="1" x14ac:dyDescent="0.35">
      <c r="E29844" s="35"/>
      <c r="J29844" s="41"/>
    </row>
    <row r="29845" spans="5:10" s="34" customFormat="1" x14ac:dyDescent="0.35">
      <c r="E29845" s="35"/>
      <c r="J29845" s="41"/>
    </row>
    <row r="29846" spans="5:10" s="34" customFormat="1" x14ac:dyDescent="0.35">
      <c r="E29846" s="35"/>
      <c r="J29846" s="41"/>
    </row>
    <row r="29847" spans="5:10" s="34" customFormat="1" x14ac:dyDescent="0.35">
      <c r="E29847" s="35"/>
      <c r="J29847" s="41"/>
    </row>
    <row r="29848" spans="5:10" s="34" customFormat="1" x14ac:dyDescent="0.35">
      <c r="E29848" s="35"/>
      <c r="J29848" s="41"/>
    </row>
    <row r="29849" spans="5:10" s="34" customFormat="1" x14ac:dyDescent="0.35">
      <c r="E29849" s="35"/>
      <c r="J29849" s="41"/>
    </row>
    <row r="29850" spans="5:10" s="34" customFormat="1" x14ac:dyDescent="0.35">
      <c r="E29850" s="35"/>
      <c r="J29850" s="41"/>
    </row>
    <row r="29851" spans="5:10" s="34" customFormat="1" x14ac:dyDescent="0.35">
      <c r="E29851" s="35"/>
      <c r="J29851" s="41"/>
    </row>
    <row r="29852" spans="5:10" s="34" customFormat="1" x14ac:dyDescent="0.35">
      <c r="E29852" s="35"/>
      <c r="J29852" s="41"/>
    </row>
    <row r="29853" spans="5:10" s="34" customFormat="1" x14ac:dyDescent="0.35">
      <c r="E29853" s="35"/>
      <c r="J29853" s="41"/>
    </row>
    <row r="29854" spans="5:10" s="34" customFormat="1" x14ac:dyDescent="0.35">
      <c r="E29854" s="35"/>
      <c r="J29854" s="41"/>
    </row>
    <row r="29855" spans="5:10" s="34" customFormat="1" x14ac:dyDescent="0.35">
      <c r="E29855" s="35"/>
      <c r="J29855" s="41"/>
    </row>
    <row r="29856" spans="5:10" s="34" customFormat="1" x14ac:dyDescent="0.35">
      <c r="E29856" s="35"/>
      <c r="J29856" s="41"/>
    </row>
    <row r="29857" spans="5:10" s="34" customFormat="1" x14ac:dyDescent="0.35">
      <c r="E29857" s="35"/>
      <c r="J29857" s="41"/>
    </row>
    <row r="29858" spans="5:10" s="34" customFormat="1" x14ac:dyDescent="0.35">
      <c r="E29858" s="35"/>
      <c r="J29858" s="41"/>
    </row>
    <row r="29859" spans="5:10" s="34" customFormat="1" x14ac:dyDescent="0.35">
      <c r="E29859" s="35"/>
      <c r="J29859" s="41"/>
    </row>
    <row r="29860" spans="5:10" s="34" customFormat="1" x14ac:dyDescent="0.35">
      <c r="E29860" s="35"/>
      <c r="J29860" s="41"/>
    </row>
    <row r="29861" spans="5:10" s="34" customFormat="1" x14ac:dyDescent="0.35">
      <c r="E29861" s="35"/>
      <c r="J29861" s="41"/>
    </row>
    <row r="29862" spans="5:10" s="34" customFormat="1" x14ac:dyDescent="0.35">
      <c r="E29862" s="35"/>
      <c r="J29862" s="41"/>
    </row>
    <row r="29863" spans="5:10" s="34" customFormat="1" x14ac:dyDescent="0.35">
      <c r="E29863" s="35"/>
      <c r="J29863" s="41"/>
    </row>
    <row r="29864" spans="5:10" s="34" customFormat="1" x14ac:dyDescent="0.35">
      <c r="E29864" s="35"/>
      <c r="J29864" s="41"/>
    </row>
    <row r="29865" spans="5:10" s="34" customFormat="1" x14ac:dyDescent="0.35">
      <c r="E29865" s="35"/>
      <c r="J29865" s="41"/>
    </row>
    <row r="29866" spans="5:10" s="34" customFormat="1" x14ac:dyDescent="0.35">
      <c r="E29866" s="35"/>
      <c r="J29866" s="41"/>
    </row>
    <row r="29867" spans="5:10" s="34" customFormat="1" x14ac:dyDescent="0.35">
      <c r="E29867" s="35"/>
      <c r="J29867" s="41"/>
    </row>
    <row r="29868" spans="5:10" s="34" customFormat="1" x14ac:dyDescent="0.35">
      <c r="E29868" s="35"/>
      <c r="J29868" s="41"/>
    </row>
    <row r="29869" spans="5:10" s="34" customFormat="1" x14ac:dyDescent="0.35">
      <c r="E29869" s="35"/>
      <c r="J29869" s="41"/>
    </row>
    <row r="29870" spans="5:10" s="34" customFormat="1" x14ac:dyDescent="0.35">
      <c r="E29870" s="35"/>
      <c r="J29870" s="41"/>
    </row>
    <row r="29871" spans="5:10" s="34" customFormat="1" x14ac:dyDescent="0.35">
      <c r="E29871" s="35"/>
      <c r="J29871" s="41"/>
    </row>
    <row r="29872" spans="5:10" s="34" customFormat="1" x14ac:dyDescent="0.35">
      <c r="E29872" s="35"/>
      <c r="J29872" s="41"/>
    </row>
    <row r="29873" spans="5:10" s="34" customFormat="1" x14ac:dyDescent="0.35">
      <c r="E29873" s="35"/>
      <c r="J29873" s="41"/>
    </row>
    <row r="29874" spans="5:10" s="34" customFormat="1" x14ac:dyDescent="0.35">
      <c r="E29874" s="35"/>
      <c r="J29874" s="41"/>
    </row>
    <row r="29875" spans="5:10" s="34" customFormat="1" x14ac:dyDescent="0.35">
      <c r="E29875" s="35"/>
      <c r="J29875" s="41"/>
    </row>
    <row r="29876" spans="5:10" s="34" customFormat="1" x14ac:dyDescent="0.35">
      <c r="E29876" s="35"/>
      <c r="J29876" s="41"/>
    </row>
    <row r="29877" spans="5:10" s="34" customFormat="1" x14ac:dyDescent="0.35">
      <c r="E29877" s="35"/>
      <c r="J29877" s="41"/>
    </row>
    <row r="29878" spans="5:10" s="34" customFormat="1" x14ac:dyDescent="0.35">
      <c r="E29878" s="35"/>
      <c r="J29878" s="41"/>
    </row>
    <row r="29879" spans="5:10" s="34" customFormat="1" x14ac:dyDescent="0.35">
      <c r="E29879" s="35"/>
      <c r="J29879" s="41"/>
    </row>
    <row r="29880" spans="5:10" s="34" customFormat="1" x14ac:dyDescent="0.35">
      <c r="E29880" s="35"/>
      <c r="J29880" s="41"/>
    </row>
    <row r="29881" spans="5:10" s="34" customFormat="1" x14ac:dyDescent="0.35">
      <c r="E29881" s="35"/>
      <c r="J29881" s="41"/>
    </row>
    <row r="29882" spans="5:10" s="34" customFormat="1" x14ac:dyDescent="0.35">
      <c r="E29882" s="35"/>
      <c r="J29882" s="41"/>
    </row>
    <row r="29883" spans="5:10" s="34" customFormat="1" x14ac:dyDescent="0.35">
      <c r="E29883" s="35"/>
      <c r="J29883" s="41"/>
    </row>
    <row r="29884" spans="5:10" s="34" customFormat="1" x14ac:dyDescent="0.35">
      <c r="E29884" s="35"/>
      <c r="J29884" s="41"/>
    </row>
    <row r="29885" spans="5:10" s="34" customFormat="1" x14ac:dyDescent="0.35">
      <c r="E29885" s="35"/>
      <c r="J29885" s="41"/>
    </row>
    <row r="29886" spans="5:10" s="34" customFormat="1" x14ac:dyDescent="0.35">
      <c r="E29886" s="35"/>
      <c r="J29886" s="41"/>
    </row>
    <row r="29887" spans="5:10" s="34" customFormat="1" x14ac:dyDescent="0.35">
      <c r="E29887" s="35"/>
      <c r="J29887" s="41"/>
    </row>
    <row r="29888" spans="5:10" s="34" customFormat="1" x14ac:dyDescent="0.35">
      <c r="E29888" s="35"/>
      <c r="J29888" s="41"/>
    </row>
    <row r="29889" spans="5:10" s="34" customFormat="1" x14ac:dyDescent="0.35">
      <c r="E29889" s="35"/>
      <c r="J29889" s="41"/>
    </row>
    <row r="29890" spans="5:10" s="34" customFormat="1" x14ac:dyDescent="0.35">
      <c r="E29890" s="35"/>
      <c r="J29890" s="41"/>
    </row>
    <row r="29891" spans="5:10" s="34" customFormat="1" x14ac:dyDescent="0.35">
      <c r="E29891" s="35"/>
      <c r="J29891" s="41"/>
    </row>
    <row r="29892" spans="5:10" s="34" customFormat="1" x14ac:dyDescent="0.35">
      <c r="E29892" s="35"/>
      <c r="J29892" s="41"/>
    </row>
    <row r="29893" spans="5:10" s="34" customFormat="1" x14ac:dyDescent="0.35">
      <c r="E29893" s="35"/>
      <c r="J29893" s="41"/>
    </row>
    <row r="29894" spans="5:10" s="34" customFormat="1" x14ac:dyDescent="0.35">
      <c r="E29894" s="35"/>
      <c r="J29894" s="41"/>
    </row>
    <row r="29895" spans="5:10" s="34" customFormat="1" x14ac:dyDescent="0.35">
      <c r="E29895" s="35"/>
      <c r="J29895" s="41"/>
    </row>
    <row r="29896" spans="5:10" s="34" customFormat="1" x14ac:dyDescent="0.35">
      <c r="E29896" s="35"/>
      <c r="J29896" s="41"/>
    </row>
    <row r="29897" spans="5:10" s="34" customFormat="1" x14ac:dyDescent="0.35">
      <c r="E29897" s="35"/>
      <c r="J29897" s="41"/>
    </row>
    <row r="29898" spans="5:10" s="34" customFormat="1" x14ac:dyDescent="0.35">
      <c r="E29898" s="35"/>
      <c r="J29898" s="41"/>
    </row>
    <row r="29899" spans="5:10" s="34" customFormat="1" x14ac:dyDescent="0.35">
      <c r="E29899" s="35"/>
      <c r="J29899" s="41"/>
    </row>
    <row r="29900" spans="5:10" s="34" customFormat="1" x14ac:dyDescent="0.35">
      <c r="E29900" s="35"/>
      <c r="J29900" s="41"/>
    </row>
    <row r="29901" spans="5:10" s="34" customFormat="1" x14ac:dyDescent="0.35">
      <c r="E29901" s="35"/>
      <c r="J29901" s="41"/>
    </row>
    <row r="29902" spans="5:10" s="34" customFormat="1" x14ac:dyDescent="0.35">
      <c r="E29902" s="35"/>
      <c r="J29902" s="41"/>
    </row>
    <row r="29903" spans="5:10" s="34" customFormat="1" x14ac:dyDescent="0.35">
      <c r="E29903" s="35"/>
      <c r="J29903" s="41"/>
    </row>
    <row r="29904" spans="5:10" s="34" customFormat="1" x14ac:dyDescent="0.35">
      <c r="E29904" s="35"/>
      <c r="J29904" s="41"/>
    </row>
    <row r="29905" spans="5:10" s="34" customFormat="1" x14ac:dyDescent="0.35">
      <c r="E29905" s="35"/>
      <c r="J29905" s="41"/>
    </row>
    <row r="29906" spans="5:10" s="34" customFormat="1" x14ac:dyDescent="0.35">
      <c r="E29906" s="35"/>
      <c r="J29906" s="41"/>
    </row>
    <row r="29907" spans="5:10" s="34" customFormat="1" x14ac:dyDescent="0.35">
      <c r="E29907" s="35"/>
      <c r="J29907" s="41"/>
    </row>
    <row r="29908" spans="5:10" s="34" customFormat="1" x14ac:dyDescent="0.35">
      <c r="E29908" s="35"/>
      <c r="J29908" s="41"/>
    </row>
    <row r="29909" spans="5:10" s="34" customFormat="1" x14ac:dyDescent="0.35">
      <c r="E29909" s="35"/>
      <c r="J29909" s="41"/>
    </row>
    <row r="29910" spans="5:10" s="34" customFormat="1" x14ac:dyDescent="0.35">
      <c r="E29910" s="35"/>
      <c r="J29910" s="41"/>
    </row>
    <row r="29911" spans="5:10" s="34" customFormat="1" x14ac:dyDescent="0.35">
      <c r="E29911" s="35"/>
      <c r="J29911" s="41"/>
    </row>
    <row r="29912" spans="5:10" s="34" customFormat="1" x14ac:dyDescent="0.35">
      <c r="E29912" s="35"/>
      <c r="J29912" s="41"/>
    </row>
    <row r="29913" spans="5:10" s="34" customFormat="1" x14ac:dyDescent="0.35">
      <c r="E29913" s="35"/>
      <c r="J29913" s="41"/>
    </row>
    <row r="29914" spans="5:10" s="34" customFormat="1" x14ac:dyDescent="0.35">
      <c r="E29914" s="35"/>
      <c r="J29914" s="41"/>
    </row>
    <row r="29915" spans="5:10" s="34" customFormat="1" x14ac:dyDescent="0.35">
      <c r="E29915" s="35"/>
      <c r="J29915" s="41"/>
    </row>
    <row r="29916" spans="5:10" s="34" customFormat="1" x14ac:dyDescent="0.35">
      <c r="E29916" s="35"/>
      <c r="J29916" s="41"/>
    </row>
    <row r="29917" spans="5:10" s="34" customFormat="1" x14ac:dyDescent="0.35">
      <c r="E29917" s="35"/>
      <c r="J29917" s="41"/>
    </row>
    <row r="29918" spans="5:10" s="34" customFormat="1" x14ac:dyDescent="0.35">
      <c r="E29918" s="35"/>
      <c r="J29918" s="41"/>
    </row>
    <row r="29919" spans="5:10" s="34" customFormat="1" x14ac:dyDescent="0.35">
      <c r="E29919" s="35"/>
      <c r="J29919" s="41"/>
    </row>
    <row r="29920" spans="5:10" s="34" customFormat="1" x14ac:dyDescent="0.35">
      <c r="E29920" s="35"/>
      <c r="J29920" s="41"/>
    </row>
    <row r="29921" spans="5:10" s="34" customFormat="1" x14ac:dyDescent="0.35">
      <c r="E29921" s="35"/>
      <c r="J29921" s="41"/>
    </row>
    <row r="29922" spans="5:10" s="34" customFormat="1" x14ac:dyDescent="0.35">
      <c r="E29922" s="35"/>
      <c r="J29922" s="41"/>
    </row>
    <row r="29923" spans="5:10" s="34" customFormat="1" x14ac:dyDescent="0.35">
      <c r="E29923" s="35"/>
      <c r="J29923" s="41"/>
    </row>
    <row r="29924" spans="5:10" s="34" customFormat="1" x14ac:dyDescent="0.35">
      <c r="E29924" s="35"/>
      <c r="J29924" s="41"/>
    </row>
    <row r="29925" spans="5:10" s="34" customFormat="1" x14ac:dyDescent="0.35">
      <c r="E29925" s="35"/>
      <c r="J29925" s="41"/>
    </row>
    <row r="29926" spans="5:10" s="34" customFormat="1" x14ac:dyDescent="0.35">
      <c r="E29926" s="35"/>
      <c r="J29926" s="41"/>
    </row>
    <row r="29927" spans="5:10" s="34" customFormat="1" x14ac:dyDescent="0.35">
      <c r="E29927" s="35"/>
      <c r="J29927" s="41"/>
    </row>
    <row r="29928" spans="5:10" s="34" customFormat="1" x14ac:dyDescent="0.35">
      <c r="E29928" s="35"/>
      <c r="J29928" s="41"/>
    </row>
    <row r="29929" spans="5:10" s="34" customFormat="1" x14ac:dyDescent="0.35">
      <c r="E29929" s="35"/>
      <c r="J29929" s="41"/>
    </row>
    <row r="29930" spans="5:10" s="34" customFormat="1" x14ac:dyDescent="0.35">
      <c r="E29930" s="35"/>
      <c r="J29930" s="41"/>
    </row>
    <row r="29931" spans="5:10" s="34" customFormat="1" x14ac:dyDescent="0.35">
      <c r="E29931" s="35"/>
      <c r="J29931" s="41"/>
    </row>
    <row r="29932" spans="5:10" s="34" customFormat="1" x14ac:dyDescent="0.35">
      <c r="E29932" s="35"/>
      <c r="J29932" s="41"/>
    </row>
    <row r="29933" spans="5:10" s="34" customFormat="1" x14ac:dyDescent="0.35">
      <c r="E29933" s="35"/>
      <c r="J29933" s="41"/>
    </row>
    <row r="29934" spans="5:10" s="34" customFormat="1" x14ac:dyDescent="0.35">
      <c r="E29934" s="35"/>
      <c r="J29934" s="41"/>
    </row>
    <row r="29935" spans="5:10" s="34" customFormat="1" x14ac:dyDescent="0.35">
      <c r="E29935" s="35"/>
      <c r="J29935" s="41"/>
    </row>
    <row r="29936" spans="5:10" s="34" customFormat="1" x14ac:dyDescent="0.35">
      <c r="E29936" s="35"/>
      <c r="J29936" s="41"/>
    </row>
    <row r="29937" spans="5:10" s="34" customFormat="1" x14ac:dyDescent="0.35">
      <c r="E29937" s="35"/>
      <c r="J29937" s="41"/>
    </row>
    <row r="29938" spans="5:10" s="34" customFormat="1" x14ac:dyDescent="0.35">
      <c r="E29938" s="35"/>
      <c r="J29938" s="41"/>
    </row>
    <row r="29939" spans="5:10" s="34" customFormat="1" x14ac:dyDescent="0.35">
      <c r="E29939" s="35"/>
      <c r="J29939" s="41"/>
    </row>
    <row r="29940" spans="5:10" s="34" customFormat="1" x14ac:dyDescent="0.35">
      <c r="E29940" s="35"/>
      <c r="J29940" s="41"/>
    </row>
    <row r="29941" spans="5:10" s="34" customFormat="1" x14ac:dyDescent="0.35">
      <c r="E29941" s="35"/>
      <c r="J29941" s="41"/>
    </row>
    <row r="29942" spans="5:10" s="34" customFormat="1" x14ac:dyDescent="0.35">
      <c r="E29942" s="35"/>
      <c r="J29942" s="41"/>
    </row>
    <row r="29943" spans="5:10" s="34" customFormat="1" x14ac:dyDescent="0.35">
      <c r="E29943" s="35"/>
      <c r="J29943" s="41"/>
    </row>
    <row r="29944" spans="5:10" s="34" customFormat="1" x14ac:dyDescent="0.35">
      <c r="E29944" s="35"/>
      <c r="J29944" s="41"/>
    </row>
    <row r="29945" spans="5:10" s="34" customFormat="1" x14ac:dyDescent="0.35">
      <c r="E29945" s="35"/>
      <c r="J29945" s="41"/>
    </row>
    <row r="29946" spans="5:10" s="34" customFormat="1" x14ac:dyDescent="0.35">
      <c r="E29946" s="35"/>
      <c r="J29946" s="41"/>
    </row>
    <row r="29947" spans="5:10" s="34" customFormat="1" x14ac:dyDescent="0.35">
      <c r="E29947" s="35"/>
      <c r="J29947" s="41"/>
    </row>
    <row r="29948" spans="5:10" s="34" customFormat="1" x14ac:dyDescent="0.35">
      <c r="E29948" s="35"/>
      <c r="J29948" s="41"/>
    </row>
    <row r="29949" spans="5:10" s="34" customFormat="1" x14ac:dyDescent="0.35">
      <c r="E29949" s="35"/>
      <c r="J29949" s="41"/>
    </row>
    <row r="29950" spans="5:10" s="34" customFormat="1" x14ac:dyDescent="0.35">
      <c r="E29950" s="35"/>
      <c r="J29950" s="41"/>
    </row>
    <row r="29951" spans="5:10" s="34" customFormat="1" x14ac:dyDescent="0.35">
      <c r="E29951" s="35"/>
      <c r="J29951" s="41"/>
    </row>
    <row r="29952" spans="5:10" s="34" customFormat="1" x14ac:dyDescent="0.35">
      <c r="E29952" s="35"/>
      <c r="J29952" s="41"/>
    </row>
    <row r="29953" spans="5:10" s="34" customFormat="1" x14ac:dyDescent="0.35">
      <c r="E29953" s="35"/>
      <c r="J29953" s="41"/>
    </row>
    <row r="29954" spans="5:10" s="34" customFormat="1" x14ac:dyDescent="0.35">
      <c r="E29954" s="35"/>
      <c r="J29954" s="41"/>
    </row>
    <row r="29955" spans="5:10" s="34" customFormat="1" x14ac:dyDescent="0.35">
      <c r="E29955" s="35"/>
      <c r="J29955" s="41"/>
    </row>
    <row r="29956" spans="5:10" s="34" customFormat="1" x14ac:dyDescent="0.35">
      <c r="E29956" s="35"/>
      <c r="J29956" s="41"/>
    </row>
    <row r="29957" spans="5:10" s="34" customFormat="1" x14ac:dyDescent="0.35">
      <c r="E29957" s="35"/>
      <c r="J29957" s="41"/>
    </row>
    <row r="29958" spans="5:10" s="34" customFormat="1" x14ac:dyDescent="0.35">
      <c r="E29958" s="35"/>
      <c r="J29958" s="41"/>
    </row>
    <row r="29959" spans="5:10" s="34" customFormat="1" x14ac:dyDescent="0.35">
      <c r="E29959" s="35"/>
      <c r="J29959" s="41"/>
    </row>
    <row r="29960" spans="5:10" s="34" customFormat="1" x14ac:dyDescent="0.35">
      <c r="E29960" s="35"/>
      <c r="J29960" s="41"/>
    </row>
    <row r="29961" spans="5:10" s="34" customFormat="1" x14ac:dyDescent="0.35">
      <c r="E29961" s="35"/>
      <c r="J29961" s="41"/>
    </row>
    <row r="29962" spans="5:10" s="34" customFormat="1" x14ac:dyDescent="0.35">
      <c r="E29962" s="35"/>
      <c r="J29962" s="41"/>
    </row>
    <row r="29963" spans="5:10" s="34" customFormat="1" x14ac:dyDescent="0.35">
      <c r="E29963" s="35"/>
      <c r="J29963" s="41"/>
    </row>
    <row r="29964" spans="5:10" s="34" customFormat="1" x14ac:dyDescent="0.35">
      <c r="E29964" s="35"/>
      <c r="J29964" s="41"/>
    </row>
    <row r="29965" spans="5:10" s="34" customFormat="1" x14ac:dyDescent="0.35">
      <c r="E29965" s="35"/>
      <c r="J29965" s="41"/>
    </row>
    <row r="29966" spans="5:10" s="34" customFormat="1" x14ac:dyDescent="0.35">
      <c r="E29966" s="35"/>
      <c r="J29966" s="41"/>
    </row>
    <row r="29967" spans="5:10" s="34" customFormat="1" x14ac:dyDescent="0.35">
      <c r="E29967" s="35"/>
      <c r="J29967" s="41"/>
    </row>
    <row r="29968" spans="5:10" s="34" customFormat="1" x14ac:dyDescent="0.35">
      <c r="E29968" s="35"/>
      <c r="J29968" s="41"/>
    </row>
    <row r="29969" spans="5:10" s="34" customFormat="1" x14ac:dyDescent="0.35">
      <c r="E29969" s="35"/>
      <c r="J29969" s="41"/>
    </row>
    <row r="29970" spans="5:10" s="34" customFormat="1" x14ac:dyDescent="0.35">
      <c r="E29970" s="35"/>
      <c r="J29970" s="41"/>
    </row>
    <row r="29971" spans="5:10" s="34" customFormat="1" x14ac:dyDescent="0.35">
      <c r="E29971" s="35"/>
      <c r="J29971" s="41"/>
    </row>
    <row r="29972" spans="5:10" s="34" customFormat="1" x14ac:dyDescent="0.35">
      <c r="E29972" s="35"/>
      <c r="J29972" s="41"/>
    </row>
    <row r="29973" spans="5:10" s="34" customFormat="1" x14ac:dyDescent="0.35">
      <c r="E29973" s="35"/>
      <c r="J29973" s="41"/>
    </row>
    <row r="29974" spans="5:10" s="34" customFormat="1" x14ac:dyDescent="0.35">
      <c r="E29974" s="35"/>
      <c r="J29974" s="41"/>
    </row>
    <row r="29975" spans="5:10" s="34" customFormat="1" x14ac:dyDescent="0.35">
      <c r="E29975" s="35"/>
      <c r="J29975" s="41"/>
    </row>
    <row r="29976" spans="5:10" s="34" customFormat="1" x14ac:dyDescent="0.35">
      <c r="E29976" s="35"/>
      <c r="J29976" s="41"/>
    </row>
    <row r="29977" spans="5:10" s="34" customFormat="1" x14ac:dyDescent="0.35">
      <c r="E29977" s="35"/>
      <c r="J29977" s="41"/>
    </row>
    <row r="29978" spans="5:10" s="34" customFormat="1" x14ac:dyDescent="0.35">
      <c r="E29978" s="35"/>
      <c r="J29978" s="41"/>
    </row>
    <row r="29979" spans="5:10" s="34" customFormat="1" x14ac:dyDescent="0.35">
      <c r="E29979" s="35"/>
      <c r="J29979" s="41"/>
    </row>
    <row r="29980" spans="5:10" s="34" customFormat="1" x14ac:dyDescent="0.35">
      <c r="E29980" s="35"/>
      <c r="J29980" s="41"/>
    </row>
    <row r="29981" spans="5:10" s="34" customFormat="1" x14ac:dyDescent="0.35">
      <c r="E29981" s="35"/>
      <c r="J29981" s="41"/>
    </row>
    <row r="29982" spans="5:10" s="34" customFormat="1" x14ac:dyDescent="0.35">
      <c r="E29982" s="35"/>
      <c r="J29982" s="41"/>
    </row>
    <row r="29983" spans="5:10" s="34" customFormat="1" x14ac:dyDescent="0.35">
      <c r="E29983" s="35"/>
      <c r="J29983" s="41"/>
    </row>
    <row r="29984" spans="5:10" s="34" customFormat="1" x14ac:dyDescent="0.35">
      <c r="E29984" s="35"/>
      <c r="J29984" s="41"/>
    </row>
    <row r="29985" spans="5:10" s="34" customFormat="1" x14ac:dyDescent="0.35">
      <c r="E29985" s="35"/>
      <c r="J29985" s="41"/>
    </row>
    <row r="29986" spans="5:10" s="34" customFormat="1" x14ac:dyDescent="0.35">
      <c r="E29986" s="35"/>
      <c r="J29986" s="41"/>
    </row>
    <row r="29987" spans="5:10" s="34" customFormat="1" x14ac:dyDescent="0.35">
      <c r="E29987" s="35"/>
      <c r="J29987" s="41"/>
    </row>
    <row r="29988" spans="5:10" s="34" customFormat="1" x14ac:dyDescent="0.35">
      <c r="E29988" s="35"/>
      <c r="J29988" s="41"/>
    </row>
    <row r="29989" spans="5:10" s="34" customFormat="1" x14ac:dyDescent="0.35">
      <c r="E29989" s="35"/>
      <c r="J29989" s="41"/>
    </row>
    <row r="29990" spans="5:10" s="34" customFormat="1" x14ac:dyDescent="0.35">
      <c r="E29990" s="35"/>
      <c r="J29990" s="41"/>
    </row>
    <row r="29991" spans="5:10" s="34" customFormat="1" x14ac:dyDescent="0.35">
      <c r="E29991" s="35"/>
      <c r="J29991" s="41"/>
    </row>
    <row r="29992" spans="5:10" s="34" customFormat="1" x14ac:dyDescent="0.35">
      <c r="E29992" s="35"/>
      <c r="J29992" s="41"/>
    </row>
    <row r="29993" spans="5:10" s="34" customFormat="1" x14ac:dyDescent="0.35">
      <c r="E29993" s="35"/>
      <c r="J29993" s="41"/>
    </row>
    <row r="29994" spans="5:10" s="34" customFormat="1" x14ac:dyDescent="0.35">
      <c r="E29994" s="35"/>
      <c r="J29994" s="41"/>
    </row>
    <row r="29995" spans="5:10" s="34" customFormat="1" x14ac:dyDescent="0.35">
      <c r="E29995" s="35"/>
      <c r="J29995" s="41"/>
    </row>
    <row r="29996" spans="5:10" s="34" customFormat="1" x14ac:dyDescent="0.35">
      <c r="E29996" s="35"/>
      <c r="J29996" s="41"/>
    </row>
    <row r="29997" spans="5:10" s="34" customFormat="1" x14ac:dyDescent="0.35">
      <c r="E29997" s="35"/>
      <c r="J29997" s="41"/>
    </row>
    <row r="29998" spans="5:10" s="34" customFormat="1" x14ac:dyDescent="0.35">
      <c r="E29998" s="35"/>
      <c r="J29998" s="41"/>
    </row>
    <row r="29999" spans="5:10" s="34" customFormat="1" x14ac:dyDescent="0.35">
      <c r="E29999" s="35"/>
      <c r="J29999" s="41"/>
    </row>
    <row r="30000" spans="5:10" s="34" customFormat="1" x14ac:dyDescent="0.35">
      <c r="E30000" s="35"/>
      <c r="J30000" s="41"/>
    </row>
    <row r="30001" spans="5:10" s="34" customFormat="1" x14ac:dyDescent="0.35">
      <c r="E30001" s="35"/>
      <c r="J30001" s="41"/>
    </row>
    <row r="30002" spans="5:10" s="34" customFormat="1" x14ac:dyDescent="0.35">
      <c r="E30002" s="35"/>
      <c r="J30002" s="41"/>
    </row>
    <row r="30003" spans="5:10" s="34" customFormat="1" x14ac:dyDescent="0.35">
      <c r="E30003" s="35"/>
      <c r="J30003" s="41"/>
    </row>
    <row r="30004" spans="5:10" s="34" customFormat="1" x14ac:dyDescent="0.35">
      <c r="E30004" s="35"/>
      <c r="J30004" s="41"/>
    </row>
    <row r="30005" spans="5:10" s="34" customFormat="1" x14ac:dyDescent="0.35">
      <c r="E30005" s="35"/>
      <c r="J30005" s="41"/>
    </row>
    <row r="30006" spans="5:10" s="34" customFormat="1" x14ac:dyDescent="0.35">
      <c r="E30006" s="35"/>
      <c r="J30006" s="41"/>
    </row>
    <row r="30007" spans="5:10" s="34" customFormat="1" x14ac:dyDescent="0.35">
      <c r="E30007" s="35"/>
      <c r="J30007" s="41"/>
    </row>
    <row r="30008" spans="5:10" s="34" customFormat="1" x14ac:dyDescent="0.35">
      <c r="E30008" s="35"/>
      <c r="J30008" s="41"/>
    </row>
    <row r="30009" spans="5:10" s="34" customFormat="1" x14ac:dyDescent="0.35">
      <c r="E30009" s="35"/>
      <c r="J30009" s="41"/>
    </row>
    <row r="30010" spans="5:10" s="34" customFormat="1" x14ac:dyDescent="0.35">
      <c r="E30010" s="35"/>
      <c r="J30010" s="41"/>
    </row>
    <row r="30011" spans="5:10" s="34" customFormat="1" x14ac:dyDescent="0.35">
      <c r="E30011" s="35"/>
      <c r="J30011" s="41"/>
    </row>
    <row r="30012" spans="5:10" s="34" customFormat="1" x14ac:dyDescent="0.35">
      <c r="E30012" s="35"/>
      <c r="J30012" s="41"/>
    </row>
    <row r="30013" spans="5:10" s="34" customFormat="1" x14ac:dyDescent="0.35">
      <c r="E30013" s="35"/>
      <c r="J30013" s="41"/>
    </row>
    <row r="30014" spans="5:10" s="34" customFormat="1" x14ac:dyDescent="0.35">
      <c r="E30014" s="35"/>
      <c r="J30014" s="41"/>
    </row>
    <row r="30015" spans="5:10" s="34" customFormat="1" x14ac:dyDescent="0.35">
      <c r="E30015" s="35"/>
      <c r="J30015" s="41"/>
    </row>
    <row r="30016" spans="5:10" s="34" customFormat="1" x14ac:dyDescent="0.35">
      <c r="E30016" s="35"/>
      <c r="J30016" s="41"/>
    </row>
    <row r="30017" spans="5:10" s="34" customFormat="1" x14ac:dyDescent="0.35">
      <c r="E30017" s="35"/>
      <c r="J30017" s="41"/>
    </row>
    <row r="30018" spans="5:10" s="34" customFormat="1" x14ac:dyDescent="0.35">
      <c r="E30018" s="35"/>
      <c r="J30018" s="41"/>
    </row>
    <row r="30019" spans="5:10" s="34" customFormat="1" x14ac:dyDescent="0.35">
      <c r="E30019" s="35"/>
      <c r="J30019" s="41"/>
    </row>
    <row r="30020" spans="5:10" s="34" customFormat="1" x14ac:dyDescent="0.35">
      <c r="E30020" s="35"/>
      <c r="J30020" s="41"/>
    </row>
    <row r="30021" spans="5:10" s="34" customFormat="1" x14ac:dyDescent="0.35">
      <c r="E30021" s="35"/>
      <c r="J30021" s="41"/>
    </row>
    <row r="30022" spans="5:10" s="34" customFormat="1" x14ac:dyDescent="0.35">
      <c r="E30022" s="35"/>
      <c r="J30022" s="41"/>
    </row>
    <row r="30023" spans="5:10" s="34" customFormat="1" x14ac:dyDescent="0.35">
      <c r="E30023" s="35"/>
      <c r="J30023" s="41"/>
    </row>
    <row r="30024" spans="5:10" s="34" customFormat="1" x14ac:dyDescent="0.35">
      <c r="E30024" s="35"/>
      <c r="J30024" s="41"/>
    </row>
    <row r="30025" spans="5:10" s="34" customFormat="1" x14ac:dyDescent="0.35">
      <c r="E30025" s="35"/>
      <c r="J30025" s="41"/>
    </row>
    <row r="30026" spans="5:10" s="34" customFormat="1" x14ac:dyDescent="0.35">
      <c r="E30026" s="35"/>
      <c r="J30026" s="41"/>
    </row>
    <row r="30027" spans="5:10" s="34" customFormat="1" x14ac:dyDescent="0.35">
      <c r="E30027" s="35"/>
      <c r="J30027" s="41"/>
    </row>
    <row r="30028" spans="5:10" s="34" customFormat="1" x14ac:dyDescent="0.35">
      <c r="E30028" s="35"/>
      <c r="J30028" s="41"/>
    </row>
    <row r="30029" spans="5:10" s="34" customFormat="1" x14ac:dyDescent="0.35">
      <c r="E30029" s="35"/>
      <c r="J30029" s="41"/>
    </row>
    <row r="30030" spans="5:10" s="34" customFormat="1" x14ac:dyDescent="0.35">
      <c r="E30030" s="35"/>
      <c r="J30030" s="41"/>
    </row>
    <row r="30031" spans="5:10" s="34" customFormat="1" x14ac:dyDescent="0.35">
      <c r="E30031" s="35"/>
      <c r="J30031" s="41"/>
    </row>
    <row r="30032" spans="5:10" s="34" customFormat="1" x14ac:dyDescent="0.35">
      <c r="E30032" s="35"/>
      <c r="J30032" s="41"/>
    </row>
    <row r="30033" spans="5:10" s="34" customFormat="1" x14ac:dyDescent="0.35">
      <c r="E30033" s="35"/>
      <c r="J30033" s="41"/>
    </row>
    <row r="30034" spans="5:10" s="34" customFormat="1" x14ac:dyDescent="0.35">
      <c r="E30034" s="35"/>
      <c r="J30034" s="41"/>
    </row>
    <row r="30035" spans="5:10" s="34" customFormat="1" x14ac:dyDescent="0.35">
      <c r="E30035" s="35"/>
      <c r="J30035" s="41"/>
    </row>
    <row r="30036" spans="5:10" s="34" customFormat="1" x14ac:dyDescent="0.35">
      <c r="E30036" s="35"/>
      <c r="J30036" s="41"/>
    </row>
    <row r="30037" spans="5:10" s="34" customFormat="1" x14ac:dyDescent="0.35">
      <c r="E30037" s="35"/>
      <c r="J30037" s="41"/>
    </row>
    <row r="30038" spans="5:10" s="34" customFormat="1" x14ac:dyDescent="0.35">
      <c r="E30038" s="35"/>
      <c r="J30038" s="41"/>
    </row>
    <row r="30039" spans="5:10" s="34" customFormat="1" x14ac:dyDescent="0.35">
      <c r="E30039" s="35"/>
      <c r="J30039" s="41"/>
    </row>
    <row r="30040" spans="5:10" s="34" customFormat="1" x14ac:dyDescent="0.35">
      <c r="E30040" s="35"/>
      <c r="J30040" s="41"/>
    </row>
    <row r="30041" spans="5:10" s="34" customFormat="1" x14ac:dyDescent="0.35">
      <c r="E30041" s="35"/>
      <c r="J30041" s="41"/>
    </row>
    <row r="30042" spans="5:10" s="34" customFormat="1" x14ac:dyDescent="0.35">
      <c r="E30042" s="35"/>
      <c r="J30042" s="41"/>
    </row>
    <row r="30043" spans="5:10" s="34" customFormat="1" x14ac:dyDescent="0.35">
      <c r="E30043" s="35"/>
      <c r="J30043" s="41"/>
    </row>
    <row r="30044" spans="5:10" s="34" customFormat="1" x14ac:dyDescent="0.35">
      <c r="E30044" s="35"/>
      <c r="J30044" s="41"/>
    </row>
    <row r="30045" spans="5:10" s="34" customFormat="1" x14ac:dyDescent="0.35">
      <c r="E30045" s="35"/>
      <c r="J30045" s="41"/>
    </row>
    <row r="30046" spans="5:10" s="34" customFormat="1" x14ac:dyDescent="0.35">
      <c r="E30046" s="35"/>
      <c r="J30046" s="41"/>
    </row>
    <row r="30047" spans="5:10" s="34" customFormat="1" x14ac:dyDescent="0.35">
      <c r="E30047" s="35"/>
      <c r="J30047" s="41"/>
    </row>
    <row r="30048" spans="5:10" s="34" customFormat="1" x14ac:dyDescent="0.35">
      <c r="E30048" s="35"/>
      <c r="J30048" s="41"/>
    </row>
    <row r="30049" spans="5:10" s="34" customFormat="1" x14ac:dyDescent="0.35">
      <c r="E30049" s="35"/>
      <c r="J30049" s="41"/>
    </row>
    <row r="30050" spans="5:10" s="34" customFormat="1" x14ac:dyDescent="0.35">
      <c r="E30050" s="35"/>
      <c r="J30050" s="41"/>
    </row>
    <row r="30051" spans="5:10" s="34" customFormat="1" x14ac:dyDescent="0.35">
      <c r="E30051" s="35"/>
      <c r="J30051" s="41"/>
    </row>
    <row r="30052" spans="5:10" s="34" customFormat="1" x14ac:dyDescent="0.35">
      <c r="E30052" s="35"/>
      <c r="J30052" s="41"/>
    </row>
    <row r="30053" spans="5:10" s="34" customFormat="1" x14ac:dyDescent="0.35">
      <c r="E30053" s="35"/>
      <c r="J30053" s="41"/>
    </row>
    <row r="30054" spans="5:10" s="34" customFormat="1" x14ac:dyDescent="0.35">
      <c r="E30054" s="35"/>
      <c r="J30054" s="41"/>
    </row>
    <row r="30055" spans="5:10" s="34" customFormat="1" x14ac:dyDescent="0.35">
      <c r="E30055" s="35"/>
      <c r="J30055" s="41"/>
    </row>
    <row r="30056" spans="5:10" s="34" customFormat="1" x14ac:dyDescent="0.35">
      <c r="E30056" s="35"/>
      <c r="J30056" s="41"/>
    </row>
    <row r="30057" spans="5:10" s="34" customFormat="1" x14ac:dyDescent="0.35">
      <c r="E30057" s="35"/>
      <c r="J30057" s="41"/>
    </row>
    <row r="30058" spans="5:10" s="34" customFormat="1" x14ac:dyDescent="0.35">
      <c r="E30058" s="35"/>
      <c r="J30058" s="41"/>
    </row>
    <row r="30059" spans="5:10" s="34" customFormat="1" x14ac:dyDescent="0.35">
      <c r="E30059" s="35"/>
      <c r="J30059" s="41"/>
    </row>
    <row r="30060" spans="5:10" s="34" customFormat="1" x14ac:dyDescent="0.35">
      <c r="E30060" s="35"/>
      <c r="J30060" s="41"/>
    </row>
    <row r="30061" spans="5:10" s="34" customFormat="1" x14ac:dyDescent="0.35">
      <c r="E30061" s="35"/>
      <c r="J30061" s="41"/>
    </row>
    <row r="30062" spans="5:10" s="34" customFormat="1" x14ac:dyDescent="0.35">
      <c r="E30062" s="35"/>
      <c r="J30062" s="41"/>
    </row>
    <row r="30063" spans="5:10" s="34" customFormat="1" x14ac:dyDescent="0.35">
      <c r="E30063" s="35"/>
      <c r="J30063" s="41"/>
    </row>
    <row r="30064" spans="5:10" s="34" customFormat="1" x14ac:dyDescent="0.35">
      <c r="E30064" s="35"/>
      <c r="J30064" s="41"/>
    </row>
    <row r="30065" spans="5:10" s="34" customFormat="1" x14ac:dyDescent="0.35">
      <c r="E30065" s="35"/>
      <c r="J30065" s="41"/>
    </row>
    <row r="30066" spans="5:10" s="34" customFormat="1" x14ac:dyDescent="0.35">
      <c r="E30066" s="35"/>
      <c r="J30066" s="41"/>
    </row>
    <row r="30067" spans="5:10" s="34" customFormat="1" x14ac:dyDescent="0.35">
      <c r="E30067" s="35"/>
      <c r="J30067" s="41"/>
    </row>
    <row r="30068" spans="5:10" s="34" customFormat="1" x14ac:dyDescent="0.35">
      <c r="E30068" s="35"/>
      <c r="J30068" s="41"/>
    </row>
    <row r="30069" spans="5:10" s="34" customFormat="1" x14ac:dyDescent="0.35">
      <c r="E30069" s="35"/>
      <c r="J30069" s="41"/>
    </row>
    <row r="30070" spans="5:10" s="34" customFormat="1" x14ac:dyDescent="0.35">
      <c r="E30070" s="35"/>
      <c r="J30070" s="41"/>
    </row>
    <row r="30071" spans="5:10" s="34" customFormat="1" x14ac:dyDescent="0.35">
      <c r="E30071" s="35"/>
      <c r="J30071" s="41"/>
    </row>
    <row r="30072" spans="5:10" s="34" customFormat="1" x14ac:dyDescent="0.35">
      <c r="E30072" s="35"/>
      <c r="J30072" s="41"/>
    </row>
    <row r="30073" spans="5:10" s="34" customFormat="1" x14ac:dyDescent="0.35">
      <c r="E30073" s="35"/>
      <c r="J30073" s="41"/>
    </row>
    <row r="30074" spans="5:10" s="34" customFormat="1" x14ac:dyDescent="0.35">
      <c r="E30074" s="35"/>
      <c r="J30074" s="41"/>
    </row>
    <row r="30075" spans="5:10" s="34" customFormat="1" x14ac:dyDescent="0.35">
      <c r="E30075" s="35"/>
      <c r="J30075" s="41"/>
    </row>
    <row r="30076" spans="5:10" s="34" customFormat="1" x14ac:dyDescent="0.35">
      <c r="E30076" s="35"/>
      <c r="J30076" s="41"/>
    </row>
    <row r="30077" spans="5:10" s="34" customFormat="1" x14ac:dyDescent="0.35">
      <c r="E30077" s="35"/>
      <c r="J30077" s="41"/>
    </row>
    <row r="30078" spans="5:10" s="34" customFormat="1" x14ac:dyDescent="0.35">
      <c r="E30078" s="35"/>
      <c r="J30078" s="41"/>
    </row>
    <row r="30079" spans="5:10" s="34" customFormat="1" x14ac:dyDescent="0.35">
      <c r="E30079" s="35"/>
      <c r="J30079" s="41"/>
    </row>
    <row r="30080" spans="5:10" s="34" customFormat="1" x14ac:dyDescent="0.35">
      <c r="E30080" s="35"/>
      <c r="J30080" s="41"/>
    </row>
    <row r="30081" spans="5:10" s="34" customFormat="1" x14ac:dyDescent="0.35">
      <c r="E30081" s="35"/>
      <c r="J30081" s="41"/>
    </row>
    <row r="30082" spans="5:10" s="34" customFormat="1" x14ac:dyDescent="0.35">
      <c r="E30082" s="35"/>
      <c r="J30082" s="41"/>
    </row>
    <row r="30083" spans="5:10" s="34" customFormat="1" x14ac:dyDescent="0.35">
      <c r="E30083" s="35"/>
      <c r="J30083" s="41"/>
    </row>
    <row r="30084" spans="5:10" s="34" customFormat="1" x14ac:dyDescent="0.35">
      <c r="E30084" s="35"/>
      <c r="J30084" s="41"/>
    </row>
    <row r="30085" spans="5:10" s="34" customFormat="1" x14ac:dyDescent="0.35">
      <c r="E30085" s="35"/>
      <c r="J30085" s="41"/>
    </row>
    <row r="30086" spans="5:10" s="34" customFormat="1" x14ac:dyDescent="0.35">
      <c r="E30086" s="35"/>
      <c r="J30086" s="41"/>
    </row>
    <row r="30087" spans="5:10" s="34" customFormat="1" x14ac:dyDescent="0.35">
      <c r="E30087" s="35"/>
      <c r="J30087" s="41"/>
    </row>
    <row r="30088" spans="5:10" s="34" customFormat="1" x14ac:dyDescent="0.35">
      <c r="E30088" s="35"/>
      <c r="J30088" s="41"/>
    </row>
    <row r="30089" spans="5:10" s="34" customFormat="1" x14ac:dyDescent="0.35">
      <c r="E30089" s="35"/>
      <c r="J30089" s="41"/>
    </row>
    <row r="30090" spans="5:10" s="34" customFormat="1" x14ac:dyDescent="0.35">
      <c r="E30090" s="35"/>
      <c r="J30090" s="41"/>
    </row>
    <row r="30091" spans="5:10" s="34" customFormat="1" x14ac:dyDescent="0.35">
      <c r="E30091" s="35"/>
      <c r="J30091" s="41"/>
    </row>
    <row r="30092" spans="5:10" s="34" customFormat="1" x14ac:dyDescent="0.35">
      <c r="E30092" s="35"/>
      <c r="J30092" s="41"/>
    </row>
    <row r="30093" spans="5:10" s="34" customFormat="1" x14ac:dyDescent="0.35">
      <c r="E30093" s="35"/>
      <c r="J30093" s="41"/>
    </row>
    <row r="30094" spans="5:10" s="34" customFormat="1" x14ac:dyDescent="0.35">
      <c r="E30094" s="35"/>
      <c r="J30094" s="41"/>
    </row>
    <row r="30095" spans="5:10" s="34" customFormat="1" x14ac:dyDescent="0.35">
      <c r="E30095" s="35"/>
      <c r="J30095" s="41"/>
    </row>
    <row r="30096" spans="5:10" s="34" customFormat="1" x14ac:dyDescent="0.35">
      <c r="E30096" s="35"/>
      <c r="J30096" s="41"/>
    </row>
    <row r="30097" spans="5:10" s="34" customFormat="1" x14ac:dyDescent="0.35">
      <c r="E30097" s="35"/>
      <c r="J30097" s="41"/>
    </row>
    <row r="30098" spans="5:10" s="34" customFormat="1" x14ac:dyDescent="0.35">
      <c r="E30098" s="35"/>
      <c r="J30098" s="41"/>
    </row>
    <row r="30099" spans="5:10" s="34" customFormat="1" x14ac:dyDescent="0.35">
      <c r="E30099" s="35"/>
      <c r="J30099" s="41"/>
    </row>
    <row r="30100" spans="5:10" s="34" customFormat="1" x14ac:dyDescent="0.35">
      <c r="E30100" s="35"/>
      <c r="J30100" s="41"/>
    </row>
    <row r="30101" spans="5:10" s="34" customFormat="1" x14ac:dyDescent="0.35">
      <c r="E30101" s="35"/>
      <c r="J30101" s="41"/>
    </row>
    <row r="30102" spans="5:10" s="34" customFormat="1" x14ac:dyDescent="0.35">
      <c r="E30102" s="35"/>
      <c r="J30102" s="41"/>
    </row>
    <row r="30103" spans="5:10" s="34" customFormat="1" x14ac:dyDescent="0.35">
      <c r="E30103" s="35"/>
      <c r="J30103" s="41"/>
    </row>
    <row r="30104" spans="5:10" s="34" customFormat="1" x14ac:dyDescent="0.35">
      <c r="E30104" s="35"/>
      <c r="J30104" s="41"/>
    </row>
    <row r="30105" spans="5:10" s="34" customFormat="1" x14ac:dyDescent="0.35">
      <c r="E30105" s="35"/>
      <c r="J30105" s="41"/>
    </row>
    <row r="30106" spans="5:10" s="34" customFormat="1" x14ac:dyDescent="0.35">
      <c r="E30106" s="35"/>
      <c r="J30106" s="41"/>
    </row>
    <row r="30107" spans="5:10" s="34" customFormat="1" x14ac:dyDescent="0.35">
      <c r="E30107" s="35"/>
      <c r="J30107" s="41"/>
    </row>
    <row r="30108" spans="5:10" s="34" customFormat="1" x14ac:dyDescent="0.35">
      <c r="E30108" s="35"/>
      <c r="J30108" s="41"/>
    </row>
    <row r="30109" spans="5:10" s="34" customFormat="1" x14ac:dyDescent="0.35">
      <c r="E30109" s="35"/>
      <c r="J30109" s="41"/>
    </row>
    <row r="30110" spans="5:10" s="34" customFormat="1" x14ac:dyDescent="0.35">
      <c r="E30110" s="35"/>
      <c r="J30110" s="41"/>
    </row>
    <row r="30111" spans="5:10" s="34" customFormat="1" x14ac:dyDescent="0.35">
      <c r="E30111" s="35"/>
      <c r="J30111" s="41"/>
    </row>
    <row r="30112" spans="5:10" s="34" customFormat="1" x14ac:dyDescent="0.35">
      <c r="E30112" s="35"/>
      <c r="J30112" s="41"/>
    </row>
    <row r="30113" spans="5:10" s="34" customFormat="1" x14ac:dyDescent="0.35">
      <c r="E30113" s="35"/>
      <c r="J30113" s="41"/>
    </row>
    <row r="30114" spans="5:10" s="34" customFormat="1" x14ac:dyDescent="0.35">
      <c r="E30114" s="35"/>
      <c r="J30114" s="41"/>
    </row>
    <row r="30115" spans="5:10" s="34" customFormat="1" x14ac:dyDescent="0.35">
      <c r="E30115" s="35"/>
      <c r="J30115" s="41"/>
    </row>
    <row r="30116" spans="5:10" s="34" customFormat="1" x14ac:dyDescent="0.35">
      <c r="E30116" s="35"/>
      <c r="J30116" s="41"/>
    </row>
    <row r="30117" spans="5:10" s="34" customFormat="1" x14ac:dyDescent="0.35">
      <c r="E30117" s="35"/>
      <c r="J30117" s="41"/>
    </row>
    <row r="30118" spans="5:10" s="34" customFormat="1" x14ac:dyDescent="0.35">
      <c r="E30118" s="35"/>
      <c r="J30118" s="41"/>
    </row>
    <row r="30119" spans="5:10" s="34" customFormat="1" x14ac:dyDescent="0.35">
      <c r="E30119" s="35"/>
      <c r="J30119" s="41"/>
    </row>
    <row r="30120" spans="5:10" s="34" customFormat="1" x14ac:dyDescent="0.35">
      <c r="E30120" s="35"/>
      <c r="J30120" s="41"/>
    </row>
    <row r="30121" spans="5:10" s="34" customFormat="1" x14ac:dyDescent="0.35">
      <c r="E30121" s="35"/>
      <c r="J30121" s="41"/>
    </row>
    <row r="30122" spans="5:10" s="34" customFormat="1" x14ac:dyDescent="0.35">
      <c r="E30122" s="35"/>
      <c r="J30122" s="41"/>
    </row>
    <row r="30123" spans="5:10" s="34" customFormat="1" x14ac:dyDescent="0.35">
      <c r="E30123" s="35"/>
      <c r="J30123" s="41"/>
    </row>
    <row r="30124" spans="5:10" s="34" customFormat="1" x14ac:dyDescent="0.35">
      <c r="E30124" s="35"/>
      <c r="J30124" s="41"/>
    </row>
    <row r="30125" spans="5:10" s="34" customFormat="1" x14ac:dyDescent="0.35">
      <c r="E30125" s="35"/>
      <c r="J30125" s="41"/>
    </row>
    <row r="30126" spans="5:10" s="34" customFormat="1" x14ac:dyDescent="0.35">
      <c r="E30126" s="35"/>
      <c r="J30126" s="41"/>
    </row>
    <row r="30127" spans="5:10" s="34" customFormat="1" x14ac:dyDescent="0.35">
      <c r="E30127" s="35"/>
      <c r="J30127" s="41"/>
    </row>
    <row r="30128" spans="5:10" s="34" customFormat="1" x14ac:dyDescent="0.35">
      <c r="E30128" s="35"/>
      <c r="J30128" s="41"/>
    </row>
    <row r="30129" spans="5:10" s="34" customFormat="1" x14ac:dyDescent="0.35">
      <c r="E30129" s="35"/>
      <c r="J30129" s="41"/>
    </row>
    <row r="30130" spans="5:10" s="34" customFormat="1" x14ac:dyDescent="0.35">
      <c r="E30130" s="35"/>
      <c r="J30130" s="41"/>
    </row>
    <row r="30131" spans="5:10" s="34" customFormat="1" x14ac:dyDescent="0.35">
      <c r="E30131" s="35"/>
      <c r="J30131" s="41"/>
    </row>
    <row r="30132" spans="5:10" s="34" customFormat="1" x14ac:dyDescent="0.35">
      <c r="E30132" s="35"/>
      <c r="J30132" s="41"/>
    </row>
    <row r="30133" spans="5:10" s="34" customFormat="1" x14ac:dyDescent="0.35">
      <c r="E30133" s="35"/>
      <c r="J30133" s="41"/>
    </row>
    <row r="30134" spans="5:10" s="34" customFormat="1" x14ac:dyDescent="0.35">
      <c r="E30134" s="35"/>
      <c r="J30134" s="41"/>
    </row>
    <row r="30135" spans="5:10" s="34" customFormat="1" x14ac:dyDescent="0.35">
      <c r="E30135" s="35"/>
      <c r="J30135" s="41"/>
    </row>
    <row r="30136" spans="5:10" s="34" customFormat="1" x14ac:dyDescent="0.35">
      <c r="E30136" s="35"/>
      <c r="J30136" s="41"/>
    </row>
    <row r="30137" spans="5:10" s="34" customFormat="1" x14ac:dyDescent="0.35">
      <c r="E30137" s="35"/>
      <c r="J30137" s="41"/>
    </row>
    <row r="30138" spans="5:10" s="34" customFormat="1" x14ac:dyDescent="0.35">
      <c r="E30138" s="35"/>
      <c r="J30138" s="41"/>
    </row>
    <row r="30139" spans="5:10" s="34" customFormat="1" x14ac:dyDescent="0.35">
      <c r="E30139" s="35"/>
      <c r="J30139" s="41"/>
    </row>
    <row r="30140" spans="5:10" s="34" customFormat="1" x14ac:dyDescent="0.35">
      <c r="E30140" s="35"/>
      <c r="J30140" s="41"/>
    </row>
    <row r="30141" spans="5:10" s="34" customFormat="1" x14ac:dyDescent="0.35">
      <c r="E30141" s="35"/>
      <c r="J30141" s="41"/>
    </row>
    <row r="30142" spans="5:10" s="34" customFormat="1" x14ac:dyDescent="0.35">
      <c r="E30142" s="35"/>
      <c r="J30142" s="41"/>
    </row>
    <row r="30143" spans="5:10" s="34" customFormat="1" x14ac:dyDescent="0.35">
      <c r="E30143" s="35"/>
      <c r="J30143" s="41"/>
    </row>
    <row r="30144" spans="5:10" s="34" customFormat="1" x14ac:dyDescent="0.35">
      <c r="E30144" s="35"/>
      <c r="J30144" s="41"/>
    </row>
    <row r="30145" spans="5:10" s="34" customFormat="1" x14ac:dyDescent="0.35">
      <c r="E30145" s="35"/>
      <c r="J30145" s="41"/>
    </row>
    <row r="30146" spans="5:10" s="34" customFormat="1" x14ac:dyDescent="0.35">
      <c r="E30146" s="35"/>
      <c r="J30146" s="41"/>
    </row>
    <row r="30147" spans="5:10" s="34" customFormat="1" x14ac:dyDescent="0.35">
      <c r="E30147" s="35"/>
      <c r="J30147" s="41"/>
    </row>
    <row r="30148" spans="5:10" s="34" customFormat="1" x14ac:dyDescent="0.35">
      <c r="E30148" s="35"/>
      <c r="J30148" s="41"/>
    </row>
    <row r="30149" spans="5:10" s="34" customFormat="1" x14ac:dyDescent="0.35">
      <c r="E30149" s="35"/>
      <c r="J30149" s="41"/>
    </row>
    <row r="30150" spans="5:10" s="34" customFormat="1" x14ac:dyDescent="0.35">
      <c r="E30150" s="35"/>
      <c r="J30150" s="41"/>
    </row>
    <row r="30151" spans="5:10" s="34" customFormat="1" x14ac:dyDescent="0.35">
      <c r="E30151" s="35"/>
      <c r="J30151" s="41"/>
    </row>
    <row r="30152" spans="5:10" s="34" customFormat="1" x14ac:dyDescent="0.35">
      <c r="E30152" s="35"/>
      <c r="J30152" s="41"/>
    </row>
    <row r="30153" spans="5:10" s="34" customFormat="1" x14ac:dyDescent="0.35">
      <c r="E30153" s="35"/>
      <c r="J30153" s="41"/>
    </row>
    <row r="30154" spans="5:10" s="34" customFormat="1" x14ac:dyDescent="0.35">
      <c r="E30154" s="35"/>
      <c r="J30154" s="41"/>
    </row>
    <row r="30155" spans="5:10" s="34" customFormat="1" x14ac:dyDescent="0.35">
      <c r="E30155" s="35"/>
      <c r="J30155" s="41"/>
    </row>
    <row r="30156" spans="5:10" s="34" customFormat="1" x14ac:dyDescent="0.35">
      <c r="E30156" s="35"/>
      <c r="J30156" s="41"/>
    </row>
    <row r="30157" spans="5:10" s="34" customFormat="1" x14ac:dyDescent="0.35">
      <c r="E30157" s="35"/>
      <c r="J30157" s="41"/>
    </row>
    <row r="30158" spans="5:10" s="34" customFormat="1" x14ac:dyDescent="0.35">
      <c r="E30158" s="35"/>
      <c r="J30158" s="41"/>
    </row>
    <row r="30159" spans="5:10" s="34" customFormat="1" x14ac:dyDescent="0.35">
      <c r="E30159" s="35"/>
      <c r="J30159" s="41"/>
    </row>
    <row r="30160" spans="5:10" s="34" customFormat="1" x14ac:dyDescent="0.35">
      <c r="E30160" s="35"/>
      <c r="J30160" s="41"/>
    </row>
    <row r="30161" spans="5:10" s="34" customFormat="1" x14ac:dyDescent="0.35">
      <c r="E30161" s="35"/>
      <c r="J30161" s="41"/>
    </row>
    <row r="30162" spans="5:10" s="34" customFormat="1" x14ac:dyDescent="0.35">
      <c r="E30162" s="35"/>
      <c r="J30162" s="41"/>
    </row>
    <row r="30163" spans="5:10" s="34" customFormat="1" x14ac:dyDescent="0.35">
      <c r="E30163" s="35"/>
      <c r="J30163" s="41"/>
    </row>
    <row r="30164" spans="5:10" s="34" customFormat="1" x14ac:dyDescent="0.35">
      <c r="E30164" s="35"/>
      <c r="J30164" s="41"/>
    </row>
    <row r="30165" spans="5:10" s="34" customFormat="1" x14ac:dyDescent="0.35">
      <c r="E30165" s="35"/>
      <c r="J30165" s="41"/>
    </row>
    <row r="30166" spans="5:10" s="34" customFormat="1" x14ac:dyDescent="0.35">
      <c r="E30166" s="35"/>
      <c r="J30166" s="41"/>
    </row>
    <row r="30167" spans="5:10" s="34" customFormat="1" x14ac:dyDescent="0.35">
      <c r="E30167" s="35"/>
      <c r="J30167" s="41"/>
    </row>
    <row r="30168" spans="5:10" s="34" customFormat="1" x14ac:dyDescent="0.35">
      <c r="E30168" s="35"/>
      <c r="J30168" s="41"/>
    </row>
    <row r="30169" spans="5:10" s="34" customFormat="1" x14ac:dyDescent="0.35">
      <c r="E30169" s="35"/>
      <c r="J30169" s="41"/>
    </row>
    <row r="30170" spans="5:10" s="34" customFormat="1" x14ac:dyDescent="0.35">
      <c r="E30170" s="35"/>
      <c r="J30170" s="41"/>
    </row>
    <row r="30171" spans="5:10" s="34" customFormat="1" x14ac:dyDescent="0.35">
      <c r="E30171" s="35"/>
      <c r="J30171" s="41"/>
    </row>
    <row r="30172" spans="5:10" s="34" customFormat="1" x14ac:dyDescent="0.35">
      <c r="E30172" s="35"/>
      <c r="J30172" s="41"/>
    </row>
    <row r="30173" spans="5:10" s="34" customFormat="1" x14ac:dyDescent="0.35">
      <c r="E30173" s="35"/>
      <c r="J30173" s="41"/>
    </row>
    <row r="30174" spans="5:10" s="34" customFormat="1" x14ac:dyDescent="0.35">
      <c r="E30174" s="35"/>
      <c r="J30174" s="41"/>
    </row>
    <row r="30175" spans="5:10" s="34" customFormat="1" x14ac:dyDescent="0.35">
      <c r="E30175" s="35"/>
      <c r="J30175" s="41"/>
    </row>
    <row r="30176" spans="5:10" s="34" customFormat="1" x14ac:dyDescent="0.35">
      <c r="E30176" s="35"/>
      <c r="J30176" s="41"/>
    </row>
    <row r="30177" spans="5:10" s="34" customFormat="1" x14ac:dyDescent="0.35">
      <c r="E30177" s="35"/>
      <c r="J30177" s="41"/>
    </row>
    <row r="30178" spans="5:10" s="34" customFormat="1" x14ac:dyDescent="0.35">
      <c r="E30178" s="35"/>
      <c r="J30178" s="41"/>
    </row>
    <row r="30179" spans="5:10" s="34" customFormat="1" x14ac:dyDescent="0.35">
      <c r="E30179" s="35"/>
      <c r="J30179" s="41"/>
    </row>
    <row r="30180" spans="5:10" s="34" customFormat="1" x14ac:dyDescent="0.35">
      <c r="E30180" s="35"/>
      <c r="J30180" s="41"/>
    </row>
    <row r="30181" spans="5:10" s="34" customFormat="1" x14ac:dyDescent="0.35">
      <c r="E30181" s="35"/>
      <c r="J30181" s="41"/>
    </row>
    <row r="30182" spans="5:10" s="34" customFormat="1" x14ac:dyDescent="0.35">
      <c r="E30182" s="35"/>
      <c r="J30182" s="41"/>
    </row>
    <row r="30183" spans="5:10" s="34" customFormat="1" x14ac:dyDescent="0.35">
      <c r="E30183" s="35"/>
      <c r="J30183" s="41"/>
    </row>
    <row r="30184" spans="5:10" s="34" customFormat="1" x14ac:dyDescent="0.35">
      <c r="E30184" s="35"/>
      <c r="J30184" s="41"/>
    </row>
    <row r="30185" spans="5:10" s="34" customFormat="1" x14ac:dyDescent="0.35">
      <c r="E30185" s="35"/>
      <c r="J30185" s="41"/>
    </row>
    <row r="30186" spans="5:10" s="34" customFormat="1" x14ac:dyDescent="0.35">
      <c r="E30186" s="35"/>
      <c r="J30186" s="41"/>
    </row>
    <row r="30187" spans="5:10" s="34" customFormat="1" x14ac:dyDescent="0.35">
      <c r="E30187" s="35"/>
      <c r="J30187" s="41"/>
    </row>
    <row r="30188" spans="5:10" s="34" customFormat="1" x14ac:dyDescent="0.35">
      <c r="E30188" s="35"/>
      <c r="J30188" s="41"/>
    </row>
    <row r="30189" spans="5:10" s="34" customFormat="1" x14ac:dyDescent="0.35">
      <c r="E30189" s="35"/>
      <c r="J30189" s="41"/>
    </row>
    <row r="30190" spans="5:10" s="34" customFormat="1" x14ac:dyDescent="0.35">
      <c r="E30190" s="35"/>
      <c r="J30190" s="41"/>
    </row>
    <row r="30191" spans="5:10" s="34" customFormat="1" x14ac:dyDescent="0.35">
      <c r="E30191" s="35"/>
      <c r="J30191" s="41"/>
    </row>
    <row r="30192" spans="5:10" s="34" customFormat="1" x14ac:dyDescent="0.35">
      <c r="E30192" s="35"/>
      <c r="J30192" s="41"/>
    </row>
    <row r="30193" spans="5:10" s="34" customFormat="1" x14ac:dyDescent="0.35">
      <c r="E30193" s="35"/>
      <c r="J30193" s="41"/>
    </row>
    <row r="30194" spans="5:10" s="34" customFormat="1" x14ac:dyDescent="0.35">
      <c r="E30194" s="35"/>
      <c r="J30194" s="41"/>
    </row>
    <row r="30195" spans="5:10" s="34" customFormat="1" x14ac:dyDescent="0.35">
      <c r="E30195" s="35"/>
      <c r="J30195" s="41"/>
    </row>
    <row r="30196" spans="5:10" s="34" customFormat="1" x14ac:dyDescent="0.35">
      <c r="E30196" s="35"/>
      <c r="J30196" s="41"/>
    </row>
    <row r="30197" spans="5:10" s="34" customFormat="1" x14ac:dyDescent="0.35">
      <c r="E30197" s="35"/>
      <c r="J30197" s="41"/>
    </row>
    <row r="30198" spans="5:10" s="34" customFormat="1" x14ac:dyDescent="0.35">
      <c r="E30198" s="35"/>
      <c r="J30198" s="41"/>
    </row>
    <row r="30199" spans="5:10" s="34" customFormat="1" x14ac:dyDescent="0.35">
      <c r="E30199" s="35"/>
      <c r="J30199" s="41"/>
    </row>
    <row r="30200" spans="5:10" s="34" customFormat="1" x14ac:dyDescent="0.35">
      <c r="E30200" s="35"/>
      <c r="J30200" s="41"/>
    </row>
    <row r="30201" spans="5:10" s="34" customFormat="1" x14ac:dyDescent="0.35">
      <c r="E30201" s="35"/>
      <c r="J30201" s="41"/>
    </row>
    <row r="30202" spans="5:10" s="34" customFormat="1" x14ac:dyDescent="0.35">
      <c r="E30202" s="35"/>
      <c r="J30202" s="41"/>
    </row>
    <row r="30203" spans="5:10" s="34" customFormat="1" x14ac:dyDescent="0.35">
      <c r="E30203" s="35"/>
      <c r="J30203" s="41"/>
    </row>
    <row r="30204" spans="5:10" s="34" customFormat="1" x14ac:dyDescent="0.35">
      <c r="E30204" s="35"/>
      <c r="J30204" s="41"/>
    </row>
    <row r="30205" spans="5:10" s="34" customFormat="1" x14ac:dyDescent="0.35">
      <c r="E30205" s="35"/>
      <c r="J30205" s="41"/>
    </row>
    <row r="30206" spans="5:10" s="34" customFormat="1" x14ac:dyDescent="0.35">
      <c r="E30206" s="35"/>
      <c r="J30206" s="41"/>
    </row>
    <row r="30207" spans="5:10" s="34" customFormat="1" x14ac:dyDescent="0.35">
      <c r="E30207" s="35"/>
      <c r="J30207" s="41"/>
    </row>
    <row r="30208" spans="5:10" s="34" customFormat="1" x14ac:dyDescent="0.35">
      <c r="E30208" s="35"/>
      <c r="J30208" s="41"/>
    </row>
    <row r="30209" spans="5:10" s="34" customFormat="1" x14ac:dyDescent="0.35">
      <c r="E30209" s="35"/>
      <c r="J30209" s="41"/>
    </row>
    <row r="30210" spans="5:10" s="34" customFormat="1" x14ac:dyDescent="0.35">
      <c r="E30210" s="35"/>
      <c r="J30210" s="41"/>
    </row>
    <row r="30211" spans="5:10" s="34" customFormat="1" x14ac:dyDescent="0.35">
      <c r="E30211" s="35"/>
      <c r="J30211" s="41"/>
    </row>
    <row r="30212" spans="5:10" s="34" customFormat="1" x14ac:dyDescent="0.35">
      <c r="E30212" s="35"/>
      <c r="J30212" s="41"/>
    </row>
    <row r="30213" spans="5:10" s="34" customFormat="1" x14ac:dyDescent="0.35">
      <c r="E30213" s="35"/>
      <c r="J30213" s="41"/>
    </row>
    <row r="30214" spans="5:10" s="34" customFormat="1" x14ac:dyDescent="0.35">
      <c r="E30214" s="35"/>
      <c r="J30214" s="41"/>
    </row>
    <row r="30215" spans="5:10" s="34" customFormat="1" x14ac:dyDescent="0.35">
      <c r="E30215" s="35"/>
      <c r="J30215" s="41"/>
    </row>
    <row r="30216" spans="5:10" s="34" customFormat="1" x14ac:dyDescent="0.35">
      <c r="E30216" s="35"/>
      <c r="J30216" s="41"/>
    </row>
    <row r="30217" spans="5:10" s="34" customFormat="1" x14ac:dyDescent="0.35">
      <c r="E30217" s="35"/>
      <c r="J30217" s="41"/>
    </row>
    <row r="30218" spans="5:10" s="34" customFormat="1" x14ac:dyDescent="0.35">
      <c r="E30218" s="35"/>
      <c r="J30218" s="41"/>
    </row>
    <row r="30219" spans="5:10" s="34" customFormat="1" x14ac:dyDescent="0.35">
      <c r="E30219" s="35"/>
      <c r="J30219" s="41"/>
    </row>
    <row r="30220" spans="5:10" s="34" customFormat="1" x14ac:dyDescent="0.35">
      <c r="E30220" s="35"/>
      <c r="J30220" s="41"/>
    </row>
    <row r="30221" spans="5:10" s="34" customFormat="1" x14ac:dyDescent="0.35">
      <c r="E30221" s="35"/>
      <c r="J30221" s="41"/>
    </row>
    <row r="30222" spans="5:10" s="34" customFormat="1" x14ac:dyDescent="0.35">
      <c r="E30222" s="35"/>
      <c r="J30222" s="41"/>
    </row>
    <row r="30223" spans="5:10" s="34" customFormat="1" x14ac:dyDescent="0.35">
      <c r="E30223" s="35"/>
      <c r="J30223" s="41"/>
    </row>
    <row r="30224" spans="5:10" s="34" customFormat="1" x14ac:dyDescent="0.35">
      <c r="E30224" s="35"/>
      <c r="J30224" s="41"/>
    </row>
    <row r="30225" spans="5:10" s="34" customFormat="1" x14ac:dyDescent="0.35">
      <c r="E30225" s="35"/>
      <c r="J30225" s="41"/>
    </row>
    <row r="30226" spans="5:10" s="34" customFormat="1" x14ac:dyDescent="0.35">
      <c r="E30226" s="35"/>
      <c r="J30226" s="41"/>
    </row>
    <row r="30227" spans="5:10" s="34" customFormat="1" x14ac:dyDescent="0.35">
      <c r="E30227" s="35"/>
      <c r="J30227" s="41"/>
    </row>
    <row r="30228" spans="5:10" s="34" customFormat="1" x14ac:dyDescent="0.35">
      <c r="E30228" s="35"/>
      <c r="J30228" s="41"/>
    </row>
    <row r="30229" spans="5:10" s="34" customFormat="1" x14ac:dyDescent="0.35">
      <c r="E30229" s="35"/>
      <c r="J30229" s="41"/>
    </row>
    <row r="30230" spans="5:10" s="34" customFormat="1" x14ac:dyDescent="0.35">
      <c r="E30230" s="35"/>
      <c r="J30230" s="41"/>
    </row>
    <row r="30231" spans="5:10" s="34" customFormat="1" x14ac:dyDescent="0.35">
      <c r="E30231" s="35"/>
      <c r="J30231" s="41"/>
    </row>
    <row r="30232" spans="5:10" s="34" customFormat="1" x14ac:dyDescent="0.35">
      <c r="E30232" s="35"/>
      <c r="J30232" s="41"/>
    </row>
    <row r="30233" spans="5:10" s="34" customFormat="1" x14ac:dyDescent="0.35">
      <c r="E30233" s="35"/>
      <c r="J30233" s="41"/>
    </row>
    <row r="30234" spans="5:10" s="34" customFormat="1" x14ac:dyDescent="0.35">
      <c r="E30234" s="35"/>
      <c r="J30234" s="41"/>
    </row>
    <row r="30235" spans="5:10" s="34" customFormat="1" x14ac:dyDescent="0.35">
      <c r="E30235" s="35"/>
      <c r="J30235" s="41"/>
    </row>
    <row r="30236" spans="5:10" s="34" customFormat="1" x14ac:dyDescent="0.35">
      <c r="E30236" s="35"/>
      <c r="J30236" s="41"/>
    </row>
    <row r="30237" spans="5:10" s="34" customFormat="1" x14ac:dyDescent="0.35">
      <c r="E30237" s="35"/>
      <c r="J30237" s="41"/>
    </row>
    <row r="30238" spans="5:10" s="34" customFormat="1" x14ac:dyDescent="0.35">
      <c r="E30238" s="35"/>
      <c r="J30238" s="41"/>
    </row>
    <row r="30239" spans="5:10" s="34" customFormat="1" x14ac:dyDescent="0.35">
      <c r="E30239" s="35"/>
      <c r="J30239" s="41"/>
    </row>
    <row r="30240" spans="5:10" s="34" customFormat="1" x14ac:dyDescent="0.35">
      <c r="E30240" s="35"/>
      <c r="J30240" s="41"/>
    </row>
    <row r="30241" spans="5:10" s="34" customFormat="1" x14ac:dyDescent="0.35">
      <c r="E30241" s="35"/>
      <c r="J30241" s="41"/>
    </row>
    <row r="30242" spans="5:10" s="34" customFormat="1" x14ac:dyDescent="0.35">
      <c r="E30242" s="35"/>
      <c r="J30242" s="41"/>
    </row>
    <row r="30243" spans="5:10" s="34" customFormat="1" x14ac:dyDescent="0.35">
      <c r="E30243" s="35"/>
      <c r="J30243" s="41"/>
    </row>
    <row r="30244" spans="5:10" s="34" customFormat="1" x14ac:dyDescent="0.35">
      <c r="E30244" s="35"/>
      <c r="J30244" s="41"/>
    </row>
    <row r="30245" spans="5:10" s="34" customFormat="1" x14ac:dyDescent="0.35">
      <c r="E30245" s="35"/>
      <c r="J30245" s="41"/>
    </row>
    <row r="30246" spans="5:10" s="34" customFormat="1" x14ac:dyDescent="0.35">
      <c r="E30246" s="35"/>
      <c r="J30246" s="41"/>
    </row>
    <row r="30247" spans="5:10" s="34" customFormat="1" x14ac:dyDescent="0.35">
      <c r="E30247" s="35"/>
      <c r="J30247" s="41"/>
    </row>
    <row r="30248" spans="5:10" s="34" customFormat="1" x14ac:dyDescent="0.35">
      <c r="E30248" s="35"/>
      <c r="J30248" s="41"/>
    </row>
    <row r="30249" spans="5:10" s="34" customFormat="1" x14ac:dyDescent="0.35">
      <c r="E30249" s="35"/>
      <c r="J30249" s="41"/>
    </row>
    <row r="30250" spans="5:10" s="34" customFormat="1" x14ac:dyDescent="0.35">
      <c r="E30250" s="35"/>
      <c r="J30250" s="41"/>
    </row>
    <row r="30251" spans="5:10" s="34" customFormat="1" x14ac:dyDescent="0.35">
      <c r="E30251" s="35"/>
      <c r="J30251" s="41"/>
    </row>
    <row r="30252" spans="5:10" s="34" customFormat="1" x14ac:dyDescent="0.35">
      <c r="E30252" s="35"/>
      <c r="J30252" s="41"/>
    </row>
    <row r="30253" spans="5:10" s="34" customFormat="1" x14ac:dyDescent="0.35">
      <c r="E30253" s="35"/>
      <c r="J30253" s="41"/>
    </row>
    <row r="30254" spans="5:10" s="34" customFormat="1" x14ac:dyDescent="0.35">
      <c r="E30254" s="35"/>
      <c r="J30254" s="41"/>
    </row>
    <row r="30255" spans="5:10" s="34" customFormat="1" x14ac:dyDescent="0.35">
      <c r="E30255" s="35"/>
      <c r="J30255" s="41"/>
    </row>
    <row r="30256" spans="5:10" s="34" customFormat="1" x14ac:dyDescent="0.35">
      <c r="E30256" s="35"/>
      <c r="J30256" s="41"/>
    </row>
    <row r="30257" spans="5:10" s="34" customFormat="1" x14ac:dyDescent="0.35">
      <c r="E30257" s="35"/>
      <c r="J30257" s="41"/>
    </row>
    <row r="30258" spans="5:10" s="34" customFormat="1" x14ac:dyDescent="0.35">
      <c r="E30258" s="35"/>
      <c r="J30258" s="41"/>
    </row>
    <row r="30259" spans="5:10" s="34" customFormat="1" x14ac:dyDescent="0.35">
      <c r="E30259" s="35"/>
      <c r="J30259" s="41"/>
    </row>
    <row r="30260" spans="5:10" s="34" customFormat="1" x14ac:dyDescent="0.35">
      <c r="E30260" s="35"/>
      <c r="J30260" s="41"/>
    </row>
    <row r="30261" spans="5:10" s="34" customFormat="1" x14ac:dyDescent="0.35">
      <c r="E30261" s="35"/>
      <c r="J30261" s="41"/>
    </row>
    <row r="30262" spans="5:10" s="34" customFormat="1" x14ac:dyDescent="0.35">
      <c r="E30262" s="35"/>
      <c r="J30262" s="41"/>
    </row>
    <row r="30263" spans="5:10" s="34" customFormat="1" x14ac:dyDescent="0.35">
      <c r="E30263" s="35"/>
      <c r="J30263" s="41"/>
    </row>
    <row r="30264" spans="5:10" s="34" customFormat="1" x14ac:dyDescent="0.35">
      <c r="E30264" s="35"/>
      <c r="J30264" s="41"/>
    </row>
    <row r="30265" spans="5:10" s="34" customFormat="1" x14ac:dyDescent="0.35">
      <c r="E30265" s="35"/>
      <c r="J30265" s="41"/>
    </row>
    <row r="30266" spans="5:10" s="34" customFormat="1" x14ac:dyDescent="0.35">
      <c r="E30266" s="35"/>
      <c r="J30266" s="41"/>
    </row>
    <row r="30267" spans="5:10" s="34" customFormat="1" x14ac:dyDescent="0.35">
      <c r="E30267" s="35"/>
      <c r="J30267" s="41"/>
    </row>
    <row r="30268" spans="5:10" s="34" customFormat="1" x14ac:dyDescent="0.35">
      <c r="E30268" s="35"/>
      <c r="J30268" s="41"/>
    </row>
    <row r="30269" spans="5:10" s="34" customFormat="1" x14ac:dyDescent="0.35">
      <c r="E30269" s="35"/>
      <c r="J30269" s="41"/>
    </row>
    <row r="30270" spans="5:10" s="34" customFormat="1" x14ac:dyDescent="0.35">
      <c r="E30270" s="35"/>
      <c r="J30270" s="41"/>
    </row>
    <row r="30271" spans="5:10" s="34" customFormat="1" x14ac:dyDescent="0.35">
      <c r="E30271" s="35"/>
      <c r="J30271" s="41"/>
    </row>
    <row r="30272" spans="5:10" s="34" customFormat="1" x14ac:dyDescent="0.35">
      <c r="E30272" s="35"/>
      <c r="J30272" s="41"/>
    </row>
    <row r="30273" spans="5:10" s="34" customFormat="1" x14ac:dyDescent="0.35">
      <c r="E30273" s="35"/>
      <c r="J30273" s="41"/>
    </row>
    <row r="30274" spans="5:10" s="34" customFormat="1" x14ac:dyDescent="0.35">
      <c r="E30274" s="35"/>
      <c r="J30274" s="41"/>
    </row>
    <row r="30275" spans="5:10" s="34" customFormat="1" x14ac:dyDescent="0.35">
      <c r="E30275" s="35"/>
      <c r="J30275" s="41"/>
    </row>
    <row r="30276" spans="5:10" s="34" customFormat="1" x14ac:dyDescent="0.35">
      <c r="E30276" s="35"/>
      <c r="J30276" s="41"/>
    </row>
    <row r="30277" spans="5:10" s="34" customFormat="1" x14ac:dyDescent="0.35">
      <c r="E30277" s="35"/>
      <c r="J30277" s="41"/>
    </row>
    <row r="30278" spans="5:10" s="34" customFormat="1" x14ac:dyDescent="0.35">
      <c r="E30278" s="35"/>
      <c r="J30278" s="41"/>
    </row>
    <row r="30279" spans="5:10" s="34" customFormat="1" x14ac:dyDescent="0.35">
      <c r="E30279" s="35"/>
      <c r="J30279" s="41"/>
    </row>
    <row r="30280" spans="5:10" s="34" customFormat="1" x14ac:dyDescent="0.35">
      <c r="E30280" s="35"/>
      <c r="J30280" s="41"/>
    </row>
    <row r="30281" spans="5:10" s="34" customFormat="1" x14ac:dyDescent="0.35">
      <c r="E30281" s="35"/>
      <c r="J30281" s="41"/>
    </row>
    <row r="30282" spans="5:10" s="34" customFormat="1" x14ac:dyDescent="0.35">
      <c r="E30282" s="35"/>
      <c r="J30282" s="41"/>
    </row>
    <row r="30283" spans="5:10" s="34" customFormat="1" x14ac:dyDescent="0.35">
      <c r="E30283" s="35"/>
      <c r="J30283" s="41"/>
    </row>
    <row r="30284" spans="5:10" s="34" customFormat="1" x14ac:dyDescent="0.35">
      <c r="E30284" s="35"/>
      <c r="J30284" s="41"/>
    </row>
    <row r="30285" spans="5:10" s="34" customFormat="1" x14ac:dyDescent="0.35">
      <c r="E30285" s="35"/>
      <c r="J30285" s="41"/>
    </row>
    <row r="30286" spans="5:10" s="34" customFormat="1" x14ac:dyDescent="0.35">
      <c r="E30286" s="35"/>
      <c r="J30286" s="41"/>
    </row>
    <row r="30287" spans="5:10" s="34" customFormat="1" x14ac:dyDescent="0.35">
      <c r="E30287" s="35"/>
      <c r="J30287" s="41"/>
    </row>
    <row r="30288" spans="5:10" s="34" customFormat="1" x14ac:dyDescent="0.35">
      <c r="E30288" s="35"/>
      <c r="J30288" s="41"/>
    </row>
    <row r="30289" spans="5:10" s="34" customFormat="1" x14ac:dyDescent="0.35">
      <c r="E30289" s="35"/>
      <c r="J30289" s="41"/>
    </row>
    <row r="30290" spans="5:10" s="34" customFormat="1" x14ac:dyDescent="0.35">
      <c r="E30290" s="35"/>
      <c r="J30290" s="41"/>
    </row>
    <row r="30291" spans="5:10" s="34" customFormat="1" x14ac:dyDescent="0.35">
      <c r="E30291" s="35"/>
      <c r="J30291" s="41"/>
    </row>
    <row r="30292" spans="5:10" s="34" customFormat="1" x14ac:dyDescent="0.35">
      <c r="E30292" s="35"/>
      <c r="J30292" s="41"/>
    </row>
    <row r="30293" spans="5:10" s="34" customFormat="1" x14ac:dyDescent="0.35">
      <c r="E30293" s="35"/>
      <c r="J30293" s="41"/>
    </row>
    <row r="30294" spans="5:10" s="34" customFormat="1" x14ac:dyDescent="0.35">
      <c r="E30294" s="35"/>
      <c r="J30294" s="41"/>
    </row>
    <row r="30295" spans="5:10" s="34" customFormat="1" x14ac:dyDescent="0.35">
      <c r="E30295" s="35"/>
      <c r="J30295" s="41"/>
    </row>
    <row r="30296" spans="5:10" s="34" customFormat="1" x14ac:dyDescent="0.35">
      <c r="E30296" s="35"/>
      <c r="J30296" s="41"/>
    </row>
    <row r="30297" spans="5:10" s="34" customFormat="1" x14ac:dyDescent="0.35">
      <c r="E30297" s="35"/>
      <c r="J30297" s="41"/>
    </row>
    <row r="30298" spans="5:10" s="34" customFormat="1" x14ac:dyDescent="0.35">
      <c r="E30298" s="35"/>
      <c r="J30298" s="41"/>
    </row>
    <row r="30299" spans="5:10" s="34" customFormat="1" x14ac:dyDescent="0.35">
      <c r="E30299" s="35"/>
      <c r="J30299" s="41"/>
    </row>
    <row r="30300" spans="5:10" s="34" customFormat="1" x14ac:dyDescent="0.35">
      <c r="E30300" s="35"/>
      <c r="J30300" s="41"/>
    </row>
    <row r="30301" spans="5:10" s="34" customFormat="1" x14ac:dyDescent="0.35">
      <c r="E30301" s="35"/>
      <c r="J30301" s="41"/>
    </row>
    <row r="30302" spans="5:10" s="34" customFormat="1" x14ac:dyDescent="0.35">
      <c r="E30302" s="35"/>
      <c r="J30302" s="41"/>
    </row>
    <row r="30303" spans="5:10" s="34" customFormat="1" x14ac:dyDescent="0.35">
      <c r="E30303" s="35"/>
      <c r="J30303" s="41"/>
    </row>
    <row r="30304" spans="5:10" s="34" customFormat="1" x14ac:dyDescent="0.35">
      <c r="E30304" s="35"/>
      <c r="J30304" s="41"/>
    </row>
    <row r="30305" spans="5:10" s="34" customFormat="1" x14ac:dyDescent="0.35">
      <c r="E30305" s="35"/>
      <c r="J30305" s="41"/>
    </row>
    <row r="30306" spans="5:10" s="34" customFormat="1" x14ac:dyDescent="0.35">
      <c r="E30306" s="35"/>
      <c r="J30306" s="41"/>
    </row>
    <row r="30307" spans="5:10" s="34" customFormat="1" x14ac:dyDescent="0.35">
      <c r="E30307" s="35"/>
      <c r="J30307" s="41"/>
    </row>
    <row r="30308" spans="5:10" s="34" customFormat="1" x14ac:dyDescent="0.35">
      <c r="E30308" s="35"/>
      <c r="J30308" s="41"/>
    </row>
    <row r="30309" spans="5:10" s="34" customFormat="1" x14ac:dyDescent="0.35">
      <c r="E30309" s="35"/>
      <c r="J30309" s="41"/>
    </row>
    <row r="30310" spans="5:10" s="34" customFormat="1" x14ac:dyDescent="0.35">
      <c r="E30310" s="35"/>
      <c r="J30310" s="41"/>
    </row>
    <row r="30311" spans="5:10" s="34" customFormat="1" x14ac:dyDescent="0.35">
      <c r="E30311" s="35"/>
      <c r="J30311" s="41"/>
    </row>
    <row r="30312" spans="5:10" s="34" customFormat="1" x14ac:dyDescent="0.35">
      <c r="E30312" s="35"/>
      <c r="J30312" s="41"/>
    </row>
    <row r="30313" spans="5:10" s="34" customFormat="1" x14ac:dyDescent="0.35">
      <c r="E30313" s="35"/>
      <c r="J30313" s="41"/>
    </row>
    <row r="30314" spans="5:10" s="34" customFormat="1" x14ac:dyDescent="0.35">
      <c r="E30314" s="35"/>
      <c r="J30314" s="41"/>
    </row>
    <row r="30315" spans="5:10" s="34" customFormat="1" x14ac:dyDescent="0.35">
      <c r="E30315" s="35"/>
      <c r="J30315" s="41"/>
    </row>
    <row r="30316" spans="5:10" s="34" customFormat="1" x14ac:dyDescent="0.35">
      <c r="E30316" s="35"/>
      <c r="J30316" s="41"/>
    </row>
    <row r="30317" spans="5:10" s="34" customFormat="1" x14ac:dyDescent="0.35">
      <c r="E30317" s="35"/>
      <c r="J30317" s="41"/>
    </row>
    <row r="30318" spans="5:10" s="34" customFormat="1" x14ac:dyDescent="0.35">
      <c r="E30318" s="35"/>
      <c r="J30318" s="41"/>
    </row>
    <row r="30319" spans="5:10" s="34" customFormat="1" x14ac:dyDescent="0.35">
      <c r="E30319" s="35"/>
      <c r="J30319" s="41"/>
    </row>
    <row r="30320" spans="5:10" s="34" customFormat="1" x14ac:dyDescent="0.35">
      <c r="E30320" s="35"/>
      <c r="J30320" s="41"/>
    </row>
    <row r="30321" spans="5:10" s="34" customFormat="1" x14ac:dyDescent="0.35">
      <c r="E30321" s="35"/>
      <c r="J30321" s="41"/>
    </row>
    <row r="30322" spans="5:10" s="34" customFormat="1" x14ac:dyDescent="0.35">
      <c r="E30322" s="35"/>
      <c r="J30322" s="41"/>
    </row>
    <row r="30323" spans="5:10" s="34" customFormat="1" x14ac:dyDescent="0.35">
      <c r="E30323" s="35"/>
      <c r="J30323" s="41"/>
    </row>
    <row r="30324" spans="5:10" s="34" customFormat="1" x14ac:dyDescent="0.35">
      <c r="E30324" s="35"/>
      <c r="J30324" s="41"/>
    </row>
    <row r="30325" spans="5:10" s="34" customFormat="1" x14ac:dyDescent="0.35">
      <c r="E30325" s="35"/>
      <c r="J30325" s="41"/>
    </row>
    <row r="30326" spans="5:10" s="34" customFormat="1" x14ac:dyDescent="0.35">
      <c r="E30326" s="35"/>
      <c r="J30326" s="41"/>
    </row>
    <row r="30327" spans="5:10" s="34" customFormat="1" x14ac:dyDescent="0.35">
      <c r="E30327" s="35"/>
      <c r="J30327" s="41"/>
    </row>
    <row r="30328" spans="5:10" s="34" customFormat="1" x14ac:dyDescent="0.35">
      <c r="E30328" s="35"/>
      <c r="J30328" s="41"/>
    </row>
    <row r="30329" spans="5:10" s="34" customFormat="1" x14ac:dyDescent="0.35">
      <c r="E30329" s="35"/>
      <c r="J30329" s="41"/>
    </row>
    <row r="30330" spans="5:10" s="34" customFormat="1" x14ac:dyDescent="0.35">
      <c r="E30330" s="35"/>
      <c r="J30330" s="41"/>
    </row>
    <row r="30331" spans="5:10" s="34" customFormat="1" x14ac:dyDescent="0.35">
      <c r="E30331" s="35"/>
      <c r="J30331" s="41"/>
    </row>
    <row r="30332" spans="5:10" s="34" customFormat="1" x14ac:dyDescent="0.35">
      <c r="E30332" s="35"/>
      <c r="J30332" s="41"/>
    </row>
    <row r="30333" spans="5:10" s="34" customFormat="1" x14ac:dyDescent="0.35">
      <c r="E30333" s="35"/>
      <c r="J30333" s="41"/>
    </row>
    <row r="30334" spans="5:10" s="34" customFormat="1" x14ac:dyDescent="0.35">
      <c r="E30334" s="35"/>
      <c r="J30334" s="41"/>
    </row>
    <row r="30335" spans="5:10" s="34" customFormat="1" x14ac:dyDescent="0.35">
      <c r="E30335" s="35"/>
      <c r="J30335" s="41"/>
    </row>
    <row r="30336" spans="5:10" s="34" customFormat="1" x14ac:dyDescent="0.35">
      <c r="E30336" s="35"/>
      <c r="J30336" s="41"/>
    </row>
    <row r="30337" spans="5:10" s="34" customFormat="1" x14ac:dyDescent="0.35">
      <c r="E30337" s="35"/>
      <c r="J30337" s="41"/>
    </row>
    <row r="30338" spans="5:10" s="34" customFormat="1" x14ac:dyDescent="0.35">
      <c r="E30338" s="35"/>
      <c r="J30338" s="41"/>
    </row>
    <row r="30339" spans="5:10" s="34" customFormat="1" x14ac:dyDescent="0.35">
      <c r="E30339" s="35"/>
      <c r="J30339" s="41"/>
    </row>
    <row r="30340" spans="5:10" s="34" customFormat="1" x14ac:dyDescent="0.35">
      <c r="E30340" s="35"/>
      <c r="J30340" s="41"/>
    </row>
    <row r="30341" spans="5:10" s="34" customFormat="1" x14ac:dyDescent="0.35">
      <c r="E30341" s="35"/>
      <c r="J30341" s="41"/>
    </row>
    <row r="30342" spans="5:10" s="34" customFormat="1" x14ac:dyDescent="0.35">
      <c r="E30342" s="35"/>
      <c r="J30342" s="41"/>
    </row>
    <row r="30343" spans="5:10" s="34" customFormat="1" x14ac:dyDescent="0.35">
      <c r="E30343" s="35"/>
      <c r="J30343" s="41"/>
    </row>
    <row r="30344" spans="5:10" s="34" customFormat="1" x14ac:dyDescent="0.35">
      <c r="E30344" s="35"/>
      <c r="J30344" s="41"/>
    </row>
    <row r="30345" spans="5:10" s="34" customFormat="1" x14ac:dyDescent="0.35">
      <c r="E30345" s="35"/>
      <c r="J30345" s="41"/>
    </row>
    <row r="30346" spans="5:10" s="34" customFormat="1" x14ac:dyDescent="0.35">
      <c r="E30346" s="35"/>
      <c r="J30346" s="41"/>
    </row>
    <row r="30347" spans="5:10" s="34" customFormat="1" x14ac:dyDescent="0.35">
      <c r="E30347" s="35"/>
      <c r="J30347" s="41"/>
    </row>
    <row r="30348" spans="5:10" s="34" customFormat="1" x14ac:dyDescent="0.35">
      <c r="E30348" s="35"/>
      <c r="J30348" s="41"/>
    </row>
    <row r="30349" spans="5:10" s="34" customFormat="1" x14ac:dyDescent="0.35">
      <c r="E30349" s="35"/>
      <c r="J30349" s="41"/>
    </row>
    <row r="30350" spans="5:10" s="34" customFormat="1" x14ac:dyDescent="0.35">
      <c r="E30350" s="35"/>
      <c r="J30350" s="41"/>
    </row>
    <row r="30351" spans="5:10" s="34" customFormat="1" x14ac:dyDescent="0.35">
      <c r="E30351" s="35"/>
      <c r="J30351" s="41"/>
    </row>
    <row r="30352" spans="5:10" s="34" customFormat="1" x14ac:dyDescent="0.35">
      <c r="E30352" s="35"/>
      <c r="J30352" s="41"/>
    </row>
    <row r="30353" spans="5:10" s="34" customFormat="1" x14ac:dyDescent="0.35">
      <c r="E30353" s="35"/>
      <c r="J30353" s="41"/>
    </row>
    <row r="30354" spans="5:10" s="34" customFormat="1" x14ac:dyDescent="0.35">
      <c r="E30354" s="35"/>
      <c r="J30354" s="41"/>
    </row>
    <row r="30355" spans="5:10" s="34" customFormat="1" x14ac:dyDescent="0.35">
      <c r="E30355" s="35"/>
      <c r="J30355" s="41"/>
    </row>
    <row r="30356" spans="5:10" s="34" customFormat="1" x14ac:dyDescent="0.35">
      <c r="E30356" s="35"/>
      <c r="J30356" s="41"/>
    </row>
    <row r="30357" spans="5:10" s="34" customFormat="1" x14ac:dyDescent="0.35">
      <c r="E30357" s="35"/>
      <c r="J30357" s="41"/>
    </row>
    <row r="30358" spans="5:10" s="34" customFormat="1" x14ac:dyDescent="0.35">
      <c r="E30358" s="35"/>
      <c r="J30358" s="41"/>
    </row>
    <row r="30359" spans="5:10" s="34" customFormat="1" x14ac:dyDescent="0.35">
      <c r="E30359" s="35"/>
      <c r="J30359" s="41"/>
    </row>
    <row r="30360" spans="5:10" s="34" customFormat="1" x14ac:dyDescent="0.35">
      <c r="E30360" s="35"/>
      <c r="J30360" s="41"/>
    </row>
    <row r="30361" spans="5:10" s="34" customFormat="1" x14ac:dyDescent="0.35">
      <c r="E30361" s="35"/>
      <c r="J30361" s="41"/>
    </row>
    <row r="30362" spans="5:10" s="34" customFormat="1" x14ac:dyDescent="0.35">
      <c r="E30362" s="35"/>
      <c r="J30362" s="41"/>
    </row>
    <row r="30363" spans="5:10" s="34" customFormat="1" x14ac:dyDescent="0.35">
      <c r="E30363" s="35"/>
      <c r="J30363" s="41"/>
    </row>
    <row r="30364" spans="5:10" s="34" customFormat="1" x14ac:dyDescent="0.35">
      <c r="E30364" s="35"/>
      <c r="J30364" s="41"/>
    </row>
    <row r="30365" spans="5:10" s="34" customFormat="1" x14ac:dyDescent="0.35">
      <c r="E30365" s="35"/>
      <c r="J30365" s="41"/>
    </row>
    <row r="30366" spans="5:10" s="34" customFormat="1" x14ac:dyDescent="0.35">
      <c r="E30366" s="35"/>
      <c r="J30366" s="41"/>
    </row>
    <row r="30367" spans="5:10" s="34" customFormat="1" x14ac:dyDescent="0.35">
      <c r="E30367" s="35"/>
      <c r="J30367" s="41"/>
    </row>
    <row r="30368" spans="5:10" s="34" customFormat="1" x14ac:dyDescent="0.35">
      <c r="E30368" s="35"/>
      <c r="J30368" s="41"/>
    </row>
    <row r="30369" spans="5:10" s="34" customFormat="1" x14ac:dyDescent="0.35">
      <c r="E30369" s="35"/>
      <c r="J30369" s="41"/>
    </row>
    <row r="30370" spans="5:10" s="34" customFormat="1" x14ac:dyDescent="0.35">
      <c r="E30370" s="35"/>
      <c r="J30370" s="41"/>
    </row>
    <row r="30371" spans="5:10" s="34" customFormat="1" x14ac:dyDescent="0.35">
      <c r="E30371" s="35"/>
      <c r="J30371" s="41"/>
    </row>
    <row r="30372" spans="5:10" s="34" customFormat="1" x14ac:dyDescent="0.35">
      <c r="E30372" s="35"/>
      <c r="J30372" s="41"/>
    </row>
    <row r="30373" spans="5:10" s="34" customFormat="1" x14ac:dyDescent="0.35">
      <c r="E30373" s="35"/>
      <c r="J30373" s="41"/>
    </row>
    <row r="30374" spans="5:10" s="34" customFormat="1" x14ac:dyDescent="0.35">
      <c r="E30374" s="35"/>
      <c r="J30374" s="41"/>
    </row>
    <row r="30375" spans="5:10" s="34" customFormat="1" x14ac:dyDescent="0.35">
      <c r="E30375" s="35"/>
      <c r="J30375" s="41"/>
    </row>
    <row r="30376" spans="5:10" s="34" customFormat="1" x14ac:dyDescent="0.35">
      <c r="E30376" s="35"/>
      <c r="J30376" s="41"/>
    </row>
    <row r="30377" spans="5:10" s="34" customFormat="1" x14ac:dyDescent="0.35">
      <c r="E30377" s="35"/>
      <c r="J30377" s="41"/>
    </row>
    <row r="30378" spans="5:10" s="34" customFormat="1" x14ac:dyDescent="0.35">
      <c r="E30378" s="35"/>
      <c r="J30378" s="41"/>
    </row>
    <row r="30379" spans="5:10" s="34" customFormat="1" x14ac:dyDescent="0.35">
      <c r="E30379" s="35"/>
      <c r="J30379" s="41"/>
    </row>
    <row r="30380" spans="5:10" s="34" customFormat="1" x14ac:dyDescent="0.35">
      <c r="E30380" s="35"/>
      <c r="J30380" s="41"/>
    </row>
    <row r="30381" spans="5:10" s="34" customFormat="1" x14ac:dyDescent="0.35">
      <c r="E30381" s="35"/>
      <c r="J30381" s="41"/>
    </row>
    <row r="30382" spans="5:10" s="34" customFormat="1" x14ac:dyDescent="0.35">
      <c r="E30382" s="35"/>
      <c r="J30382" s="41"/>
    </row>
    <row r="30383" spans="5:10" s="34" customFormat="1" x14ac:dyDescent="0.35">
      <c r="E30383" s="35"/>
      <c r="J30383" s="41"/>
    </row>
    <row r="30384" spans="5:10" s="34" customFormat="1" x14ac:dyDescent="0.35">
      <c r="E30384" s="35"/>
      <c r="J30384" s="41"/>
    </row>
    <row r="30385" spans="5:10" s="34" customFormat="1" x14ac:dyDescent="0.35">
      <c r="E30385" s="35"/>
      <c r="J30385" s="41"/>
    </row>
    <row r="30386" spans="5:10" s="34" customFormat="1" x14ac:dyDescent="0.35">
      <c r="E30386" s="35"/>
      <c r="J30386" s="41"/>
    </row>
    <row r="30387" spans="5:10" s="34" customFormat="1" x14ac:dyDescent="0.35">
      <c r="E30387" s="35"/>
      <c r="J30387" s="41"/>
    </row>
    <row r="30388" spans="5:10" s="34" customFormat="1" x14ac:dyDescent="0.35">
      <c r="E30388" s="35"/>
      <c r="J30388" s="41"/>
    </row>
    <row r="30389" spans="5:10" s="34" customFormat="1" x14ac:dyDescent="0.35">
      <c r="E30389" s="35"/>
      <c r="J30389" s="41"/>
    </row>
    <row r="30390" spans="5:10" s="34" customFormat="1" x14ac:dyDescent="0.35">
      <c r="E30390" s="35"/>
      <c r="J30390" s="41"/>
    </row>
    <row r="30391" spans="5:10" s="34" customFormat="1" x14ac:dyDescent="0.35">
      <c r="E30391" s="35"/>
      <c r="J30391" s="41"/>
    </row>
    <row r="30392" spans="5:10" s="34" customFormat="1" x14ac:dyDescent="0.35">
      <c r="E30392" s="35"/>
      <c r="J30392" s="41"/>
    </row>
    <row r="30393" spans="5:10" s="34" customFormat="1" x14ac:dyDescent="0.35">
      <c r="E30393" s="35"/>
      <c r="J30393" s="41"/>
    </row>
    <row r="30394" spans="5:10" s="34" customFormat="1" x14ac:dyDescent="0.35">
      <c r="E30394" s="35"/>
      <c r="J30394" s="41"/>
    </row>
    <row r="30395" spans="5:10" s="34" customFormat="1" x14ac:dyDescent="0.35">
      <c r="E30395" s="35"/>
      <c r="J30395" s="41"/>
    </row>
    <row r="30396" spans="5:10" s="34" customFormat="1" x14ac:dyDescent="0.35">
      <c r="E30396" s="35"/>
      <c r="J30396" s="41"/>
    </row>
    <row r="30397" spans="5:10" s="34" customFormat="1" x14ac:dyDescent="0.35">
      <c r="E30397" s="35"/>
      <c r="J30397" s="41"/>
    </row>
    <row r="30398" spans="5:10" s="34" customFormat="1" x14ac:dyDescent="0.35">
      <c r="E30398" s="35"/>
      <c r="J30398" s="41"/>
    </row>
    <row r="30399" spans="5:10" s="34" customFormat="1" x14ac:dyDescent="0.35">
      <c r="E30399" s="35"/>
      <c r="J30399" s="41"/>
    </row>
    <row r="30400" spans="5:10" s="34" customFormat="1" x14ac:dyDescent="0.35">
      <c r="E30400" s="35"/>
      <c r="J30400" s="41"/>
    </row>
    <row r="30401" spans="5:10" s="34" customFormat="1" x14ac:dyDescent="0.35">
      <c r="E30401" s="35"/>
      <c r="J30401" s="41"/>
    </row>
    <row r="30402" spans="5:10" s="34" customFormat="1" x14ac:dyDescent="0.35">
      <c r="E30402" s="35"/>
      <c r="J30402" s="41"/>
    </row>
    <row r="30403" spans="5:10" s="34" customFormat="1" x14ac:dyDescent="0.35">
      <c r="E30403" s="35"/>
      <c r="J30403" s="41"/>
    </row>
    <row r="30404" spans="5:10" s="34" customFormat="1" x14ac:dyDescent="0.35">
      <c r="E30404" s="35"/>
      <c r="J30404" s="41"/>
    </row>
    <row r="30405" spans="5:10" s="34" customFormat="1" x14ac:dyDescent="0.35">
      <c r="E30405" s="35"/>
      <c r="J30405" s="41"/>
    </row>
    <row r="30406" spans="5:10" s="34" customFormat="1" x14ac:dyDescent="0.35">
      <c r="E30406" s="35"/>
      <c r="J30406" s="41"/>
    </row>
    <row r="30407" spans="5:10" s="34" customFormat="1" x14ac:dyDescent="0.35">
      <c r="E30407" s="35"/>
      <c r="J30407" s="41"/>
    </row>
    <row r="30408" spans="5:10" s="34" customFormat="1" x14ac:dyDescent="0.35">
      <c r="E30408" s="35"/>
      <c r="J30408" s="41"/>
    </row>
    <row r="30409" spans="5:10" s="34" customFormat="1" x14ac:dyDescent="0.35">
      <c r="E30409" s="35"/>
      <c r="J30409" s="41"/>
    </row>
    <row r="30410" spans="5:10" s="34" customFormat="1" x14ac:dyDescent="0.35">
      <c r="E30410" s="35"/>
      <c r="J30410" s="41"/>
    </row>
    <row r="30411" spans="5:10" s="34" customFormat="1" x14ac:dyDescent="0.35">
      <c r="E30411" s="35"/>
      <c r="J30411" s="41"/>
    </row>
    <row r="30412" spans="5:10" s="34" customFormat="1" x14ac:dyDescent="0.35">
      <c r="E30412" s="35"/>
      <c r="J30412" s="41"/>
    </row>
    <row r="30413" spans="5:10" s="34" customFormat="1" x14ac:dyDescent="0.35">
      <c r="E30413" s="35"/>
      <c r="J30413" s="41"/>
    </row>
    <row r="30414" spans="5:10" s="34" customFormat="1" x14ac:dyDescent="0.35">
      <c r="E30414" s="35"/>
      <c r="J30414" s="41"/>
    </row>
    <row r="30415" spans="5:10" s="34" customFormat="1" x14ac:dyDescent="0.35">
      <c r="E30415" s="35"/>
      <c r="J30415" s="41"/>
    </row>
    <row r="30416" spans="5:10" s="34" customFormat="1" x14ac:dyDescent="0.35">
      <c r="E30416" s="35"/>
      <c r="J30416" s="41"/>
    </row>
    <row r="30417" spans="5:10" s="34" customFormat="1" x14ac:dyDescent="0.35">
      <c r="E30417" s="35"/>
      <c r="J30417" s="41"/>
    </row>
    <row r="30418" spans="5:10" s="34" customFormat="1" x14ac:dyDescent="0.35">
      <c r="E30418" s="35"/>
      <c r="J30418" s="41"/>
    </row>
    <row r="30419" spans="5:10" s="34" customFormat="1" x14ac:dyDescent="0.35">
      <c r="E30419" s="35"/>
      <c r="J30419" s="41"/>
    </row>
    <row r="30420" spans="5:10" s="34" customFormat="1" x14ac:dyDescent="0.35">
      <c r="E30420" s="35"/>
      <c r="J30420" s="41"/>
    </row>
    <row r="30421" spans="5:10" s="34" customFormat="1" x14ac:dyDescent="0.35">
      <c r="E30421" s="35"/>
      <c r="J30421" s="41"/>
    </row>
    <row r="30422" spans="5:10" s="34" customFormat="1" x14ac:dyDescent="0.35">
      <c r="E30422" s="35"/>
      <c r="J30422" s="41"/>
    </row>
    <row r="30423" spans="5:10" s="34" customFormat="1" x14ac:dyDescent="0.35">
      <c r="E30423" s="35"/>
      <c r="J30423" s="41"/>
    </row>
    <row r="30424" spans="5:10" s="34" customFormat="1" x14ac:dyDescent="0.35">
      <c r="E30424" s="35"/>
      <c r="J30424" s="41"/>
    </row>
    <row r="30425" spans="5:10" s="34" customFormat="1" x14ac:dyDescent="0.35">
      <c r="E30425" s="35"/>
      <c r="J30425" s="41"/>
    </row>
    <row r="30426" spans="5:10" s="34" customFormat="1" x14ac:dyDescent="0.35">
      <c r="E30426" s="35"/>
      <c r="J30426" s="41"/>
    </row>
    <row r="30427" spans="5:10" s="34" customFormat="1" x14ac:dyDescent="0.35">
      <c r="E30427" s="35"/>
      <c r="J30427" s="41"/>
    </row>
    <row r="30428" spans="5:10" s="34" customFormat="1" x14ac:dyDescent="0.35">
      <c r="E30428" s="35"/>
      <c r="J30428" s="41"/>
    </row>
    <row r="30429" spans="5:10" s="34" customFormat="1" x14ac:dyDescent="0.35">
      <c r="E30429" s="35"/>
      <c r="J30429" s="41"/>
    </row>
    <row r="30430" spans="5:10" s="34" customFormat="1" x14ac:dyDescent="0.35">
      <c r="E30430" s="35"/>
      <c r="J30430" s="41"/>
    </row>
    <row r="30431" spans="5:10" s="34" customFormat="1" x14ac:dyDescent="0.35">
      <c r="E30431" s="35"/>
      <c r="J30431" s="41"/>
    </row>
    <row r="30432" spans="5:10" s="34" customFormat="1" x14ac:dyDescent="0.35">
      <c r="E30432" s="35"/>
      <c r="J30432" s="41"/>
    </row>
    <row r="30433" spans="5:10" s="34" customFormat="1" x14ac:dyDescent="0.35">
      <c r="E30433" s="35"/>
      <c r="J30433" s="41"/>
    </row>
    <row r="30434" spans="5:10" s="34" customFormat="1" x14ac:dyDescent="0.35">
      <c r="E30434" s="35"/>
      <c r="J30434" s="41"/>
    </row>
    <row r="30435" spans="5:10" s="34" customFormat="1" x14ac:dyDescent="0.35">
      <c r="E30435" s="35"/>
      <c r="J30435" s="41"/>
    </row>
    <row r="30436" spans="5:10" s="34" customFormat="1" x14ac:dyDescent="0.35">
      <c r="E30436" s="35"/>
      <c r="J30436" s="41"/>
    </row>
    <row r="30437" spans="5:10" s="34" customFormat="1" x14ac:dyDescent="0.35">
      <c r="E30437" s="35"/>
      <c r="J30437" s="41"/>
    </row>
    <row r="30438" spans="5:10" s="34" customFormat="1" x14ac:dyDescent="0.35">
      <c r="E30438" s="35"/>
      <c r="J30438" s="41"/>
    </row>
    <row r="30439" spans="5:10" s="34" customFormat="1" x14ac:dyDescent="0.35">
      <c r="E30439" s="35"/>
      <c r="J30439" s="41"/>
    </row>
    <row r="30440" spans="5:10" s="34" customFormat="1" x14ac:dyDescent="0.35">
      <c r="E30440" s="35"/>
      <c r="J30440" s="41"/>
    </row>
    <row r="30441" spans="5:10" s="34" customFormat="1" x14ac:dyDescent="0.35">
      <c r="E30441" s="35"/>
      <c r="J30441" s="41"/>
    </row>
    <row r="30442" spans="5:10" s="34" customFormat="1" x14ac:dyDescent="0.35">
      <c r="E30442" s="35"/>
      <c r="J30442" s="41"/>
    </row>
    <row r="30443" spans="5:10" s="34" customFormat="1" x14ac:dyDescent="0.35">
      <c r="E30443" s="35"/>
      <c r="J30443" s="41"/>
    </row>
    <row r="30444" spans="5:10" s="34" customFormat="1" x14ac:dyDescent="0.35">
      <c r="E30444" s="35"/>
      <c r="J30444" s="41"/>
    </row>
    <row r="30445" spans="5:10" s="34" customFormat="1" x14ac:dyDescent="0.35">
      <c r="E30445" s="35"/>
      <c r="J30445" s="41"/>
    </row>
    <row r="30446" spans="5:10" s="34" customFormat="1" x14ac:dyDescent="0.35">
      <c r="E30446" s="35"/>
      <c r="J30446" s="41"/>
    </row>
    <row r="30447" spans="5:10" s="34" customFormat="1" x14ac:dyDescent="0.35">
      <c r="E30447" s="35"/>
      <c r="J30447" s="41"/>
    </row>
    <row r="30448" spans="5:10" s="34" customFormat="1" x14ac:dyDescent="0.35">
      <c r="E30448" s="35"/>
      <c r="J30448" s="41"/>
    </row>
    <row r="30449" spans="5:10" s="34" customFormat="1" x14ac:dyDescent="0.35">
      <c r="E30449" s="35"/>
      <c r="J30449" s="41"/>
    </row>
    <row r="30450" spans="5:10" s="34" customFormat="1" x14ac:dyDescent="0.35">
      <c r="E30450" s="35"/>
      <c r="J30450" s="41"/>
    </row>
    <row r="30451" spans="5:10" s="34" customFormat="1" x14ac:dyDescent="0.35">
      <c r="E30451" s="35"/>
      <c r="J30451" s="41"/>
    </row>
    <row r="30452" spans="5:10" s="34" customFormat="1" x14ac:dyDescent="0.35">
      <c r="E30452" s="35"/>
      <c r="J30452" s="41"/>
    </row>
    <row r="30453" spans="5:10" s="34" customFormat="1" x14ac:dyDescent="0.35">
      <c r="E30453" s="35"/>
      <c r="J30453" s="41"/>
    </row>
    <row r="30454" spans="5:10" s="34" customFormat="1" x14ac:dyDescent="0.35">
      <c r="E30454" s="35"/>
      <c r="J30454" s="41"/>
    </row>
    <row r="30455" spans="5:10" s="34" customFormat="1" x14ac:dyDescent="0.35">
      <c r="E30455" s="35"/>
      <c r="J30455" s="41"/>
    </row>
    <row r="30456" spans="5:10" s="34" customFormat="1" x14ac:dyDescent="0.35">
      <c r="E30456" s="35"/>
      <c r="J30456" s="41"/>
    </row>
    <row r="30457" spans="5:10" s="34" customFormat="1" x14ac:dyDescent="0.35">
      <c r="E30457" s="35"/>
      <c r="J30457" s="41"/>
    </row>
    <row r="30458" spans="5:10" s="34" customFormat="1" x14ac:dyDescent="0.35">
      <c r="E30458" s="35"/>
      <c r="J30458" s="41"/>
    </row>
    <row r="30459" spans="5:10" s="34" customFormat="1" x14ac:dyDescent="0.35">
      <c r="E30459" s="35"/>
      <c r="J30459" s="41"/>
    </row>
    <row r="30460" spans="5:10" s="34" customFormat="1" x14ac:dyDescent="0.35">
      <c r="E30460" s="35"/>
      <c r="J30460" s="41"/>
    </row>
    <row r="30461" spans="5:10" s="34" customFormat="1" x14ac:dyDescent="0.35">
      <c r="E30461" s="35"/>
      <c r="J30461" s="41"/>
    </row>
    <row r="30462" spans="5:10" s="34" customFormat="1" x14ac:dyDescent="0.35">
      <c r="E30462" s="35"/>
      <c r="J30462" s="41"/>
    </row>
    <row r="30463" spans="5:10" s="34" customFormat="1" x14ac:dyDescent="0.35">
      <c r="E30463" s="35"/>
      <c r="J30463" s="41"/>
    </row>
    <row r="30464" spans="5:10" s="34" customFormat="1" x14ac:dyDescent="0.35">
      <c r="E30464" s="35"/>
      <c r="J30464" s="41"/>
    </row>
    <row r="30465" spans="5:10" s="34" customFormat="1" x14ac:dyDescent="0.35">
      <c r="E30465" s="35"/>
      <c r="J30465" s="41"/>
    </row>
    <row r="30466" spans="5:10" s="34" customFormat="1" x14ac:dyDescent="0.35">
      <c r="E30466" s="35"/>
      <c r="J30466" s="41"/>
    </row>
    <row r="30467" spans="5:10" s="34" customFormat="1" x14ac:dyDescent="0.35">
      <c r="E30467" s="35"/>
      <c r="J30467" s="41"/>
    </row>
    <row r="30468" spans="5:10" s="34" customFormat="1" x14ac:dyDescent="0.35">
      <c r="E30468" s="35"/>
      <c r="J30468" s="41"/>
    </row>
    <row r="30469" spans="5:10" s="34" customFormat="1" x14ac:dyDescent="0.35">
      <c r="E30469" s="35"/>
      <c r="J30469" s="41"/>
    </row>
    <row r="30470" spans="5:10" s="34" customFormat="1" x14ac:dyDescent="0.35">
      <c r="E30470" s="35"/>
      <c r="J30470" s="41"/>
    </row>
    <row r="30471" spans="5:10" s="34" customFormat="1" x14ac:dyDescent="0.35">
      <c r="E30471" s="35"/>
      <c r="J30471" s="41"/>
    </row>
    <row r="30472" spans="5:10" s="34" customFormat="1" x14ac:dyDescent="0.35">
      <c r="E30472" s="35"/>
      <c r="J30472" s="41"/>
    </row>
    <row r="30473" spans="5:10" s="34" customFormat="1" x14ac:dyDescent="0.35">
      <c r="E30473" s="35"/>
      <c r="J30473" s="41"/>
    </row>
    <row r="30474" spans="5:10" s="34" customFormat="1" x14ac:dyDescent="0.35">
      <c r="E30474" s="35"/>
      <c r="J30474" s="41"/>
    </row>
    <row r="30475" spans="5:10" s="34" customFormat="1" x14ac:dyDescent="0.35">
      <c r="E30475" s="35"/>
      <c r="J30475" s="41"/>
    </row>
    <row r="30476" spans="5:10" s="34" customFormat="1" x14ac:dyDescent="0.35">
      <c r="E30476" s="35"/>
      <c r="J30476" s="41"/>
    </row>
    <row r="30477" spans="5:10" s="34" customFormat="1" x14ac:dyDescent="0.35">
      <c r="E30477" s="35"/>
      <c r="J30477" s="41"/>
    </row>
    <row r="30478" spans="5:10" s="34" customFormat="1" x14ac:dyDescent="0.35">
      <c r="E30478" s="35"/>
      <c r="J30478" s="41"/>
    </row>
    <row r="30479" spans="5:10" s="34" customFormat="1" x14ac:dyDescent="0.35">
      <c r="E30479" s="35"/>
      <c r="J30479" s="41"/>
    </row>
    <row r="30480" spans="5:10" s="34" customFormat="1" x14ac:dyDescent="0.35">
      <c r="E30480" s="35"/>
      <c r="J30480" s="41"/>
    </row>
    <row r="30481" spans="5:10" s="34" customFormat="1" x14ac:dyDescent="0.35">
      <c r="E30481" s="35"/>
      <c r="J30481" s="41"/>
    </row>
    <row r="30482" spans="5:10" s="34" customFormat="1" x14ac:dyDescent="0.35">
      <c r="E30482" s="35"/>
      <c r="J30482" s="41"/>
    </row>
    <row r="30483" spans="5:10" s="34" customFormat="1" x14ac:dyDescent="0.35">
      <c r="E30483" s="35"/>
      <c r="J30483" s="41"/>
    </row>
    <row r="30484" spans="5:10" s="34" customFormat="1" x14ac:dyDescent="0.35">
      <c r="E30484" s="35"/>
      <c r="J30484" s="41"/>
    </row>
    <row r="30485" spans="5:10" s="34" customFormat="1" x14ac:dyDescent="0.35">
      <c r="E30485" s="35"/>
      <c r="J30485" s="41"/>
    </row>
    <row r="30486" spans="5:10" s="34" customFormat="1" x14ac:dyDescent="0.35">
      <c r="E30486" s="35"/>
      <c r="J30486" s="41"/>
    </row>
    <row r="30487" spans="5:10" s="34" customFormat="1" x14ac:dyDescent="0.35">
      <c r="E30487" s="35"/>
      <c r="J30487" s="41"/>
    </row>
    <row r="30488" spans="5:10" s="34" customFormat="1" x14ac:dyDescent="0.35">
      <c r="E30488" s="35"/>
      <c r="J30488" s="41"/>
    </row>
    <row r="30489" spans="5:10" s="34" customFormat="1" x14ac:dyDescent="0.35">
      <c r="E30489" s="35"/>
      <c r="J30489" s="41"/>
    </row>
    <row r="30490" spans="5:10" s="34" customFormat="1" x14ac:dyDescent="0.35">
      <c r="E30490" s="35"/>
      <c r="J30490" s="41"/>
    </row>
    <row r="30491" spans="5:10" s="34" customFormat="1" x14ac:dyDescent="0.35">
      <c r="E30491" s="35"/>
      <c r="J30491" s="41"/>
    </row>
    <row r="30492" spans="5:10" s="34" customFormat="1" x14ac:dyDescent="0.35">
      <c r="E30492" s="35"/>
      <c r="J30492" s="41"/>
    </row>
    <row r="30493" spans="5:10" s="34" customFormat="1" x14ac:dyDescent="0.35">
      <c r="E30493" s="35"/>
      <c r="J30493" s="41"/>
    </row>
    <row r="30494" spans="5:10" s="34" customFormat="1" x14ac:dyDescent="0.35">
      <c r="E30494" s="35"/>
      <c r="J30494" s="41"/>
    </row>
    <row r="30495" spans="5:10" s="34" customFormat="1" x14ac:dyDescent="0.35">
      <c r="E30495" s="35"/>
      <c r="J30495" s="41"/>
    </row>
    <row r="30496" spans="5:10" s="34" customFormat="1" x14ac:dyDescent="0.35">
      <c r="E30496" s="35"/>
      <c r="J30496" s="41"/>
    </row>
    <row r="30497" spans="5:10" s="34" customFormat="1" x14ac:dyDescent="0.35">
      <c r="E30497" s="35"/>
      <c r="J30497" s="41"/>
    </row>
    <row r="30498" spans="5:10" s="34" customFormat="1" x14ac:dyDescent="0.35">
      <c r="E30498" s="35"/>
      <c r="J30498" s="41"/>
    </row>
    <row r="30499" spans="5:10" s="34" customFormat="1" x14ac:dyDescent="0.35">
      <c r="E30499" s="35"/>
      <c r="J30499" s="41"/>
    </row>
    <row r="30500" spans="5:10" s="34" customFormat="1" x14ac:dyDescent="0.35">
      <c r="E30500" s="35"/>
      <c r="J30500" s="41"/>
    </row>
    <row r="30501" spans="5:10" s="34" customFormat="1" x14ac:dyDescent="0.35">
      <c r="E30501" s="35"/>
      <c r="J30501" s="41"/>
    </row>
    <row r="30502" spans="5:10" s="34" customFormat="1" x14ac:dyDescent="0.35">
      <c r="E30502" s="35"/>
      <c r="J30502" s="41"/>
    </row>
    <row r="30503" spans="5:10" s="34" customFormat="1" x14ac:dyDescent="0.35">
      <c r="E30503" s="35"/>
      <c r="J30503" s="41"/>
    </row>
    <row r="30504" spans="5:10" s="34" customFormat="1" x14ac:dyDescent="0.35">
      <c r="E30504" s="35"/>
      <c r="J30504" s="41"/>
    </row>
    <row r="30505" spans="5:10" s="34" customFormat="1" x14ac:dyDescent="0.35">
      <c r="E30505" s="35"/>
      <c r="J30505" s="41"/>
    </row>
    <row r="30506" spans="5:10" s="34" customFormat="1" x14ac:dyDescent="0.35">
      <c r="E30506" s="35"/>
      <c r="J30506" s="41"/>
    </row>
    <row r="30507" spans="5:10" s="34" customFormat="1" x14ac:dyDescent="0.35">
      <c r="E30507" s="35"/>
      <c r="J30507" s="41"/>
    </row>
    <row r="30508" spans="5:10" s="34" customFormat="1" x14ac:dyDescent="0.35">
      <c r="E30508" s="35"/>
      <c r="J30508" s="41"/>
    </row>
    <row r="30509" spans="5:10" s="34" customFormat="1" x14ac:dyDescent="0.35">
      <c r="E30509" s="35"/>
      <c r="J30509" s="41"/>
    </row>
    <row r="30510" spans="5:10" s="34" customFormat="1" x14ac:dyDescent="0.35">
      <c r="E30510" s="35"/>
      <c r="J30510" s="41"/>
    </row>
    <row r="30511" spans="5:10" s="34" customFormat="1" x14ac:dyDescent="0.35">
      <c r="E30511" s="35"/>
      <c r="J30511" s="41"/>
    </row>
    <row r="30512" spans="5:10" s="34" customFormat="1" x14ac:dyDescent="0.35">
      <c r="E30512" s="35"/>
      <c r="J30512" s="41"/>
    </row>
    <row r="30513" spans="5:10" s="34" customFormat="1" x14ac:dyDescent="0.35">
      <c r="E30513" s="35"/>
      <c r="J30513" s="41"/>
    </row>
    <row r="30514" spans="5:10" s="34" customFormat="1" x14ac:dyDescent="0.35">
      <c r="E30514" s="35"/>
      <c r="J30514" s="41"/>
    </row>
    <row r="30515" spans="5:10" s="34" customFormat="1" x14ac:dyDescent="0.35">
      <c r="E30515" s="35"/>
      <c r="J30515" s="41"/>
    </row>
    <row r="30516" spans="5:10" s="34" customFormat="1" x14ac:dyDescent="0.35">
      <c r="E30516" s="35"/>
      <c r="J30516" s="41"/>
    </row>
    <row r="30517" spans="5:10" s="34" customFormat="1" x14ac:dyDescent="0.35">
      <c r="E30517" s="35"/>
      <c r="J30517" s="41"/>
    </row>
    <row r="30518" spans="5:10" s="34" customFormat="1" x14ac:dyDescent="0.35">
      <c r="E30518" s="35"/>
      <c r="J30518" s="41"/>
    </row>
    <row r="30519" spans="5:10" s="34" customFormat="1" x14ac:dyDescent="0.35">
      <c r="E30519" s="35"/>
      <c r="J30519" s="41"/>
    </row>
    <row r="30520" spans="5:10" s="34" customFormat="1" x14ac:dyDescent="0.35">
      <c r="E30520" s="35"/>
      <c r="J30520" s="41"/>
    </row>
    <row r="30521" spans="5:10" s="34" customFormat="1" x14ac:dyDescent="0.35">
      <c r="E30521" s="35"/>
      <c r="J30521" s="41"/>
    </row>
    <row r="30522" spans="5:10" s="34" customFormat="1" x14ac:dyDescent="0.35">
      <c r="E30522" s="35"/>
      <c r="J30522" s="41"/>
    </row>
    <row r="30523" spans="5:10" s="34" customFormat="1" x14ac:dyDescent="0.35">
      <c r="E30523" s="35"/>
      <c r="J30523" s="41"/>
    </row>
    <row r="30524" spans="5:10" s="34" customFormat="1" x14ac:dyDescent="0.35">
      <c r="E30524" s="35"/>
      <c r="J30524" s="41"/>
    </row>
    <row r="30525" spans="5:10" s="34" customFormat="1" x14ac:dyDescent="0.35">
      <c r="E30525" s="35"/>
      <c r="J30525" s="41"/>
    </row>
    <row r="30526" spans="5:10" s="34" customFormat="1" x14ac:dyDescent="0.35">
      <c r="E30526" s="35"/>
      <c r="J30526" s="41"/>
    </row>
    <row r="30527" spans="5:10" s="34" customFormat="1" x14ac:dyDescent="0.35">
      <c r="E30527" s="35"/>
      <c r="J30527" s="41"/>
    </row>
    <row r="30528" spans="5:10" s="34" customFormat="1" x14ac:dyDescent="0.35">
      <c r="E30528" s="35"/>
      <c r="J30528" s="41"/>
    </row>
    <row r="30529" spans="5:10" s="34" customFormat="1" x14ac:dyDescent="0.35">
      <c r="E30529" s="35"/>
      <c r="J30529" s="41"/>
    </row>
    <row r="30530" spans="5:10" s="34" customFormat="1" x14ac:dyDescent="0.35">
      <c r="E30530" s="35"/>
      <c r="J30530" s="41"/>
    </row>
    <row r="30531" spans="5:10" s="34" customFormat="1" x14ac:dyDescent="0.35">
      <c r="E30531" s="35"/>
      <c r="J30531" s="41"/>
    </row>
    <row r="30532" spans="5:10" s="34" customFormat="1" x14ac:dyDescent="0.35">
      <c r="E30532" s="35"/>
      <c r="J30532" s="41"/>
    </row>
    <row r="30533" spans="5:10" s="34" customFormat="1" x14ac:dyDescent="0.35">
      <c r="E30533" s="35"/>
      <c r="J30533" s="41"/>
    </row>
    <row r="30534" spans="5:10" s="34" customFormat="1" x14ac:dyDescent="0.35">
      <c r="E30534" s="35"/>
      <c r="J30534" s="41"/>
    </row>
    <row r="30535" spans="5:10" s="34" customFormat="1" x14ac:dyDescent="0.35">
      <c r="E30535" s="35"/>
      <c r="J30535" s="41"/>
    </row>
    <row r="30536" spans="5:10" s="34" customFormat="1" x14ac:dyDescent="0.35">
      <c r="E30536" s="35"/>
      <c r="J30536" s="41"/>
    </row>
    <row r="30537" spans="5:10" s="34" customFormat="1" x14ac:dyDescent="0.35">
      <c r="E30537" s="35"/>
      <c r="J30537" s="41"/>
    </row>
    <row r="30538" spans="5:10" s="34" customFormat="1" x14ac:dyDescent="0.35">
      <c r="E30538" s="35"/>
      <c r="J30538" s="41"/>
    </row>
    <row r="30539" spans="5:10" s="34" customFormat="1" x14ac:dyDescent="0.35">
      <c r="E30539" s="35"/>
      <c r="J30539" s="41"/>
    </row>
    <row r="30540" spans="5:10" s="34" customFormat="1" x14ac:dyDescent="0.35">
      <c r="E30540" s="35"/>
      <c r="J30540" s="41"/>
    </row>
    <row r="30541" spans="5:10" s="34" customFormat="1" x14ac:dyDescent="0.35">
      <c r="E30541" s="35"/>
      <c r="J30541" s="41"/>
    </row>
    <row r="30542" spans="5:10" s="34" customFormat="1" x14ac:dyDescent="0.35">
      <c r="E30542" s="35"/>
      <c r="J30542" s="41"/>
    </row>
    <row r="30543" spans="5:10" s="34" customFormat="1" x14ac:dyDescent="0.35">
      <c r="E30543" s="35"/>
      <c r="J30543" s="41"/>
    </row>
    <row r="30544" spans="5:10" s="34" customFormat="1" x14ac:dyDescent="0.35">
      <c r="E30544" s="35"/>
      <c r="J30544" s="41"/>
    </row>
    <row r="30545" spans="5:10" s="34" customFormat="1" x14ac:dyDescent="0.35">
      <c r="E30545" s="35"/>
      <c r="J30545" s="41"/>
    </row>
    <row r="30546" spans="5:10" s="34" customFormat="1" x14ac:dyDescent="0.35">
      <c r="E30546" s="35"/>
      <c r="J30546" s="41"/>
    </row>
    <row r="30547" spans="5:10" s="34" customFormat="1" x14ac:dyDescent="0.35">
      <c r="E30547" s="35"/>
      <c r="J30547" s="41"/>
    </row>
    <row r="30548" spans="5:10" s="34" customFormat="1" x14ac:dyDescent="0.35">
      <c r="E30548" s="35"/>
      <c r="J30548" s="41"/>
    </row>
    <row r="30549" spans="5:10" s="34" customFormat="1" x14ac:dyDescent="0.35">
      <c r="E30549" s="35"/>
      <c r="J30549" s="41"/>
    </row>
    <row r="30550" spans="5:10" s="34" customFormat="1" x14ac:dyDescent="0.35">
      <c r="E30550" s="35"/>
      <c r="J30550" s="41"/>
    </row>
    <row r="30551" spans="5:10" s="34" customFormat="1" x14ac:dyDescent="0.35">
      <c r="E30551" s="35"/>
      <c r="J30551" s="41"/>
    </row>
    <row r="30552" spans="5:10" s="34" customFormat="1" x14ac:dyDescent="0.35">
      <c r="E30552" s="35"/>
      <c r="J30552" s="41"/>
    </row>
    <row r="30553" spans="5:10" s="34" customFormat="1" x14ac:dyDescent="0.35">
      <c r="E30553" s="35"/>
      <c r="J30553" s="41"/>
    </row>
    <row r="30554" spans="5:10" s="34" customFormat="1" x14ac:dyDescent="0.35">
      <c r="E30554" s="35"/>
      <c r="J30554" s="41"/>
    </row>
    <row r="30555" spans="5:10" s="34" customFormat="1" x14ac:dyDescent="0.35">
      <c r="E30555" s="35"/>
      <c r="J30555" s="41"/>
    </row>
    <row r="30556" spans="5:10" s="34" customFormat="1" x14ac:dyDescent="0.35">
      <c r="E30556" s="35"/>
      <c r="J30556" s="41"/>
    </row>
    <row r="30557" spans="5:10" s="34" customFormat="1" x14ac:dyDescent="0.35">
      <c r="E30557" s="35"/>
      <c r="J30557" s="41"/>
    </row>
    <row r="30558" spans="5:10" s="34" customFormat="1" x14ac:dyDescent="0.35">
      <c r="E30558" s="35"/>
      <c r="J30558" s="41"/>
    </row>
    <row r="30559" spans="5:10" s="34" customFormat="1" x14ac:dyDescent="0.35">
      <c r="E30559" s="35"/>
      <c r="J30559" s="41"/>
    </row>
    <row r="30560" spans="5:10" s="34" customFormat="1" x14ac:dyDescent="0.35">
      <c r="E30560" s="35"/>
      <c r="J30560" s="41"/>
    </row>
    <row r="30561" spans="5:10" s="34" customFormat="1" x14ac:dyDescent="0.35">
      <c r="E30561" s="35"/>
      <c r="J30561" s="41"/>
    </row>
    <row r="30562" spans="5:10" s="34" customFormat="1" x14ac:dyDescent="0.35">
      <c r="E30562" s="35"/>
      <c r="J30562" s="41"/>
    </row>
    <row r="30563" spans="5:10" s="34" customFormat="1" x14ac:dyDescent="0.35">
      <c r="E30563" s="35"/>
      <c r="J30563" s="41"/>
    </row>
    <row r="30564" spans="5:10" s="34" customFormat="1" x14ac:dyDescent="0.35">
      <c r="E30564" s="35"/>
      <c r="J30564" s="41"/>
    </row>
    <row r="30565" spans="5:10" s="34" customFormat="1" x14ac:dyDescent="0.35">
      <c r="E30565" s="35"/>
      <c r="J30565" s="41"/>
    </row>
    <row r="30566" spans="5:10" s="34" customFormat="1" x14ac:dyDescent="0.35">
      <c r="E30566" s="35"/>
      <c r="J30566" s="41"/>
    </row>
    <row r="30567" spans="5:10" s="34" customFormat="1" x14ac:dyDescent="0.35">
      <c r="E30567" s="35"/>
      <c r="J30567" s="41"/>
    </row>
    <row r="30568" spans="5:10" s="34" customFormat="1" x14ac:dyDescent="0.35">
      <c r="E30568" s="35"/>
      <c r="J30568" s="41"/>
    </row>
    <row r="30569" spans="5:10" s="34" customFormat="1" x14ac:dyDescent="0.35">
      <c r="E30569" s="35"/>
      <c r="J30569" s="41"/>
    </row>
    <row r="30570" spans="5:10" s="34" customFormat="1" x14ac:dyDescent="0.35">
      <c r="E30570" s="35"/>
      <c r="J30570" s="41"/>
    </row>
    <row r="30571" spans="5:10" s="34" customFormat="1" x14ac:dyDescent="0.35">
      <c r="E30571" s="35"/>
      <c r="J30571" s="41"/>
    </row>
    <row r="30572" spans="5:10" s="34" customFormat="1" x14ac:dyDescent="0.35">
      <c r="E30572" s="35"/>
      <c r="J30572" s="41"/>
    </row>
    <row r="30573" spans="5:10" s="34" customFormat="1" x14ac:dyDescent="0.35">
      <c r="E30573" s="35"/>
      <c r="J30573" s="41"/>
    </row>
    <row r="30574" spans="5:10" s="34" customFormat="1" x14ac:dyDescent="0.35">
      <c r="E30574" s="35"/>
      <c r="J30574" s="41"/>
    </row>
    <row r="30575" spans="5:10" s="34" customFormat="1" x14ac:dyDescent="0.35">
      <c r="E30575" s="35"/>
      <c r="J30575" s="41"/>
    </row>
    <row r="30576" spans="5:10" s="34" customFormat="1" x14ac:dyDescent="0.35">
      <c r="E30576" s="35"/>
      <c r="J30576" s="41"/>
    </row>
    <row r="30577" spans="5:10" s="34" customFormat="1" x14ac:dyDescent="0.35">
      <c r="E30577" s="35"/>
      <c r="J30577" s="41"/>
    </row>
    <row r="30578" spans="5:10" s="34" customFormat="1" x14ac:dyDescent="0.35">
      <c r="E30578" s="35"/>
      <c r="J30578" s="41"/>
    </row>
    <row r="30579" spans="5:10" s="34" customFormat="1" x14ac:dyDescent="0.35">
      <c r="E30579" s="35"/>
      <c r="J30579" s="41"/>
    </row>
    <row r="30580" spans="5:10" s="34" customFormat="1" x14ac:dyDescent="0.35">
      <c r="E30580" s="35"/>
      <c r="J30580" s="41"/>
    </row>
    <row r="30581" spans="5:10" s="34" customFormat="1" x14ac:dyDescent="0.35">
      <c r="E30581" s="35"/>
      <c r="J30581" s="41"/>
    </row>
    <row r="30582" spans="5:10" s="34" customFormat="1" x14ac:dyDescent="0.35">
      <c r="E30582" s="35"/>
      <c r="J30582" s="41"/>
    </row>
    <row r="30583" spans="5:10" s="34" customFormat="1" x14ac:dyDescent="0.35">
      <c r="E30583" s="35"/>
      <c r="J30583" s="41"/>
    </row>
    <row r="30584" spans="5:10" s="34" customFormat="1" x14ac:dyDescent="0.35">
      <c r="E30584" s="35"/>
      <c r="J30584" s="41"/>
    </row>
    <row r="30585" spans="5:10" s="34" customFormat="1" x14ac:dyDescent="0.35">
      <c r="E30585" s="35"/>
      <c r="J30585" s="41"/>
    </row>
    <row r="30586" spans="5:10" s="34" customFormat="1" x14ac:dyDescent="0.35">
      <c r="E30586" s="35"/>
      <c r="J30586" s="41"/>
    </row>
    <row r="30587" spans="5:10" s="34" customFormat="1" x14ac:dyDescent="0.35">
      <c r="E30587" s="35"/>
      <c r="J30587" s="41"/>
    </row>
    <row r="30588" spans="5:10" s="34" customFormat="1" x14ac:dyDescent="0.35">
      <c r="E30588" s="35"/>
      <c r="J30588" s="41"/>
    </row>
    <row r="30589" spans="5:10" s="34" customFormat="1" x14ac:dyDescent="0.35">
      <c r="E30589" s="35"/>
      <c r="J30589" s="41"/>
    </row>
    <row r="30590" spans="5:10" s="34" customFormat="1" x14ac:dyDescent="0.35">
      <c r="E30590" s="35"/>
      <c r="J30590" s="41"/>
    </row>
    <row r="30591" spans="5:10" s="34" customFormat="1" x14ac:dyDescent="0.35">
      <c r="E30591" s="35"/>
      <c r="J30591" s="41"/>
    </row>
    <row r="30592" spans="5:10" s="34" customFormat="1" x14ac:dyDescent="0.35">
      <c r="E30592" s="35"/>
      <c r="J30592" s="41"/>
    </row>
    <row r="30593" spans="5:10" s="34" customFormat="1" x14ac:dyDescent="0.35">
      <c r="E30593" s="35"/>
      <c r="J30593" s="41"/>
    </row>
    <row r="30594" spans="5:10" s="34" customFormat="1" x14ac:dyDescent="0.35">
      <c r="E30594" s="35"/>
      <c r="J30594" s="41"/>
    </row>
    <row r="30595" spans="5:10" s="34" customFormat="1" x14ac:dyDescent="0.35">
      <c r="E30595" s="35"/>
      <c r="J30595" s="41"/>
    </row>
    <row r="30596" spans="5:10" s="34" customFormat="1" x14ac:dyDescent="0.35">
      <c r="E30596" s="35"/>
      <c r="J30596" s="41"/>
    </row>
    <row r="30597" spans="5:10" s="34" customFormat="1" x14ac:dyDescent="0.35">
      <c r="E30597" s="35"/>
      <c r="J30597" s="41"/>
    </row>
    <row r="30598" spans="5:10" s="34" customFormat="1" x14ac:dyDescent="0.35">
      <c r="E30598" s="35"/>
      <c r="J30598" s="41"/>
    </row>
    <row r="30599" spans="5:10" s="34" customFormat="1" x14ac:dyDescent="0.35">
      <c r="E30599" s="35"/>
      <c r="J30599" s="41"/>
    </row>
    <row r="30600" spans="5:10" s="34" customFormat="1" x14ac:dyDescent="0.35">
      <c r="E30600" s="35"/>
      <c r="J30600" s="41"/>
    </row>
    <row r="30601" spans="5:10" s="34" customFormat="1" x14ac:dyDescent="0.35">
      <c r="E30601" s="35"/>
      <c r="J30601" s="41"/>
    </row>
    <row r="30602" spans="5:10" s="34" customFormat="1" x14ac:dyDescent="0.35">
      <c r="E30602" s="35"/>
      <c r="J30602" s="41"/>
    </row>
    <row r="30603" spans="5:10" s="34" customFormat="1" x14ac:dyDescent="0.35">
      <c r="E30603" s="35"/>
      <c r="J30603" s="41"/>
    </row>
    <row r="30604" spans="5:10" s="34" customFormat="1" x14ac:dyDescent="0.35">
      <c r="E30604" s="35"/>
      <c r="J30604" s="41"/>
    </row>
    <row r="30605" spans="5:10" s="34" customFormat="1" x14ac:dyDescent="0.35">
      <c r="E30605" s="35"/>
      <c r="J30605" s="41"/>
    </row>
    <row r="30606" spans="5:10" s="34" customFormat="1" x14ac:dyDescent="0.35">
      <c r="E30606" s="35"/>
      <c r="J30606" s="41"/>
    </row>
    <row r="30607" spans="5:10" s="34" customFormat="1" x14ac:dyDescent="0.35">
      <c r="E30607" s="35"/>
      <c r="J30607" s="41"/>
    </row>
    <row r="30608" spans="5:10" s="34" customFormat="1" x14ac:dyDescent="0.35">
      <c r="E30608" s="35"/>
      <c r="J30608" s="41"/>
    </row>
    <row r="30609" spans="5:10" s="34" customFormat="1" x14ac:dyDescent="0.35">
      <c r="E30609" s="35"/>
      <c r="J30609" s="41"/>
    </row>
    <row r="30610" spans="5:10" s="34" customFormat="1" x14ac:dyDescent="0.35">
      <c r="E30610" s="35"/>
      <c r="J30610" s="41"/>
    </row>
    <row r="30611" spans="5:10" s="34" customFormat="1" x14ac:dyDescent="0.35">
      <c r="E30611" s="35"/>
      <c r="J30611" s="41"/>
    </row>
    <row r="30612" spans="5:10" s="34" customFormat="1" x14ac:dyDescent="0.35">
      <c r="E30612" s="35"/>
      <c r="J30612" s="41"/>
    </row>
    <row r="30613" spans="5:10" s="34" customFormat="1" x14ac:dyDescent="0.35">
      <c r="E30613" s="35"/>
      <c r="J30613" s="41"/>
    </row>
    <row r="30614" spans="5:10" s="34" customFormat="1" x14ac:dyDescent="0.35">
      <c r="E30614" s="35"/>
      <c r="J30614" s="41"/>
    </row>
    <row r="30615" spans="5:10" s="34" customFormat="1" x14ac:dyDescent="0.35">
      <c r="E30615" s="35"/>
      <c r="J30615" s="41"/>
    </row>
    <row r="30616" spans="5:10" s="34" customFormat="1" x14ac:dyDescent="0.35">
      <c r="E30616" s="35"/>
      <c r="J30616" s="41"/>
    </row>
    <row r="30617" spans="5:10" s="34" customFormat="1" x14ac:dyDescent="0.35">
      <c r="E30617" s="35"/>
      <c r="J30617" s="41"/>
    </row>
    <row r="30618" spans="5:10" s="34" customFormat="1" x14ac:dyDescent="0.35">
      <c r="E30618" s="35"/>
      <c r="J30618" s="41"/>
    </row>
    <row r="30619" spans="5:10" s="34" customFormat="1" x14ac:dyDescent="0.35">
      <c r="E30619" s="35"/>
      <c r="J30619" s="41"/>
    </row>
    <row r="30620" spans="5:10" s="34" customFormat="1" x14ac:dyDescent="0.35">
      <c r="E30620" s="35"/>
      <c r="J30620" s="41"/>
    </row>
    <row r="30621" spans="5:10" s="34" customFormat="1" x14ac:dyDescent="0.35">
      <c r="E30621" s="35"/>
      <c r="J30621" s="41"/>
    </row>
    <row r="30622" spans="5:10" s="34" customFormat="1" x14ac:dyDescent="0.35">
      <c r="E30622" s="35"/>
      <c r="J30622" s="41"/>
    </row>
    <row r="30623" spans="5:10" s="34" customFormat="1" x14ac:dyDescent="0.35">
      <c r="E30623" s="35"/>
      <c r="J30623" s="41"/>
    </row>
    <row r="30624" spans="5:10" s="34" customFormat="1" x14ac:dyDescent="0.35">
      <c r="E30624" s="35"/>
      <c r="J30624" s="41"/>
    </row>
    <row r="30625" spans="5:10" s="34" customFormat="1" x14ac:dyDescent="0.35">
      <c r="E30625" s="35"/>
      <c r="J30625" s="41"/>
    </row>
    <row r="30626" spans="5:10" s="34" customFormat="1" x14ac:dyDescent="0.35">
      <c r="E30626" s="35"/>
      <c r="J30626" s="41"/>
    </row>
    <row r="30627" spans="5:10" s="34" customFormat="1" x14ac:dyDescent="0.35">
      <c r="E30627" s="35"/>
      <c r="J30627" s="41"/>
    </row>
    <row r="30628" spans="5:10" s="34" customFormat="1" x14ac:dyDescent="0.35">
      <c r="E30628" s="35"/>
      <c r="J30628" s="41"/>
    </row>
    <row r="30629" spans="5:10" s="34" customFormat="1" x14ac:dyDescent="0.35">
      <c r="E30629" s="35"/>
      <c r="J30629" s="41"/>
    </row>
    <row r="30630" spans="5:10" s="34" customFormat="1" x14ac:dyDescent="0.35">
      <c r="E30630" s="35"/>
      <c r="J30630" s="41"/>
    </row>
    <row r="30631" spans="5:10" s="34" customFormat="1" x14ac:dyDescent="0.35">
      <c r="E30631" s="35"/>
      <c r="J30631" s="41"/>
    </row>
    <row r="30632" spans="5:10" s="34" customFormat="1" x14ac:dyDescent="0.35">
      <c r="E30632" s="35"/>
      <c r="J30632" s="41"/>
    </row>
    <row r="30633" spans="5:10" s="34" customFormat="1" x14ac:dyDescent="0.35">
      <c r="E30633" s="35"/>
      <c r="J30633" s="41"/>
    </row>
    <row r="30634" spans="5:10" s="34" customFormat="1" x14ac:dyDescent="0.35">
      <c r="E30634" s="35"/>
      <c r="J30634" s="41"/>
    </row>
    <row r="30635" spans="5:10" s="34" customFormat="1" x14ac:dyDescent="0.35">
      <c r="E30635" s="35"/>
      <c r="J30635" s="41"/>
    </row>
    <row r="30636" spans="5:10" s="34" customFormat="1" x14ac:dyDescent="0.35">
      <c r="E30636" s="35"/>
      <c r="J30636" s="41"/>
    </row>
    <row r="30637" spans="5:10" s="34" customFormat="1" x14ac:dyDescent="0.35">
      <c r="E30637" s="35"/>
      <c r="J30637" s="41"/>
    </row>
    <row r="30638" spans="5:10" s="34" customFormat="1" x14ac:dyDescent="0.35">
      <c r="E30638" s="35"/>
      <c r="J30638" s="41"/>
    </row>
    <row r="30639" spans="5:10" s="34" customFormat="1" x14ac:dyDescent="0.35">
      <c r="E30639" s="35"/>
      <c r="J30639" s="41"/>
    </row>
    <row r="30640" spans="5:10" s="34" customFormat="1" x14ac:dyDescent="0.35">
      <c r="E30640" s="35"/>
      <c r="J30640" s="41"/>
    </row>
    <row r="30641" spans="5:10" s="34" customFormat="1" x14ac:dyDescent="0.35">
      <c r="E30641" s="35"/>
      <c r="J30641" s="41"/>
    </row>
    <row r="30642" spans="5:10" s="34" customFormat="1" x14ac:dyDescent="0.35">
      <c r="E30642" s="35"/>
      <c r="J30642" s="41"/>
    </row>
    <row r="30643" spans="5:10" s="34" customFormat="1" x14ac:dyDescent="0.35">
      <c r="E30643" s="35"/>
      <c r="J30643" s="41"/>
    </row>
    <row r="30644" spans="5:10" s="34" customFormat="1" x14ac:dyDescent="0.35">
      <c r="E30644" s="35"/>
      <c r="J30644" s="41"/>
    </row>
    <row r="30645" spans="5:10" s="34" customFormat="1" x14ac:dyDescent="0.35">
      <c r="E30645" s="35"/>
      <c r="J30645" s="41"/>
    </row>
    <row r="30646" spans="5:10" s="34" customFormat="1" x14ac:dyDescent="0.35">
      <c r="E30646" s="35"/>
      <c r="J30646" s="41"/>
    </row>
    <row r="30647" spans="5:10" s="34" customFormat="1" x14ac:dyDescent="0.35">
      <c r="E30647" s="35"/>
      <c r="J30647" s="41"/>
    </row>
    <row r="30648" spans="5:10" s="34" customFormat="1" x14ac:dyDescent="0.35">
      <c r="E30648" s="35"/>
      <c r="J30648" s="41"/>
    </row>
    <row r="30649" spans="5:10" s="34" customFormat="1" x14ac:dyDescent="0.35">
      <c r="E30649" s="35"/>
      <c r="J30649" s="41"/>
    </row>
    <row r="30650" spans="5:10" s="34" customFormat="1" x14ac:dyDescent="0.35">
      <c r="E30650" s="35"/>
      <c r="J30650" s="41"/>
    </row>
    <row r="30651" spans="5:10" s="34" customFormat="1" x14ac:dyDescent="0.35">
      <c r="E30651" s="35"/>
      <c r="J30651" s="41"/>
    </row>
    <row r="30652" spans="5:10" s="34" customFormat="1" x14ac:dyDescent="0.35">
      <c r="E30652" s="35"/>
      <c r="J30652" s="41"/>
    </row>
    <row r="30653" spans="5:10" s="34" customFormat="1" x14ac:dyDescent="0.35">
      <c r="E30653" s="35"/>
      <c r="J30653" s="41"/>
    </row>
    <row r="30654" spans="5:10" s="34" customFormat="1" x14ac:dyDescent="0.35">
      <c r="E30654" s="35"/>
      <c r="J30654" s="41"/>
    </row>
    <row r="30655" spans="5:10" s="34" customFormat="1" x14ac:dyDescent="0.35">
      <c r="E30655" s="35"/>
      <c r="J30655" s="41"/>
    </row>
    <row r="30656" spans="5:10" s="34" customFormat="1" x14ac:dyDescent="0.35">
      <c r="E30656" s="35"/>
      <c r="J30656" s="41"/>
    </row>
    <row r="30657" spans="5:10" s="34" customFormat="1" x14ac:dyDescent="0.35">
      <c r="E30657" s="35"/>
      <c r="J30657" s="41"/>
    </row>
    <row r="30658" spans="5:10" s="34" customFormat="1" x14ac:dyDescent="0.35">
      <c r="E30658" s="35"/>
      <c r="J30658" s="41"/>
    </row>
    <row r="30659" spans="5:10" s="34" customFormat="1" x14ac:dyDescent="0.35">
      <c r="E30659" s="35"/>
      <c r="J30659" s="41"/>
    </row>
    <row r="30660" spans="5:10" s="34" customFormat="1" x14ac:dyDescent="0.35">
      <c r="E30660" s="35"/>
      <c r="J30660" s="41"/>
    </row>
    <row r="30661" spans="5:10" s="34" customFormat="1" x14ac:dyDescent="0.35">
      <c r="E30661" s="35"/>
      <c r="J30661" s="41"/>
    </row>
    <row r="30662" spans="5:10" s="34" customFormat="1" x14ac:dyDescent="0.35">
      <c r="E30662" s="35"/>
      <c r="J30662" s="41"/>
    </row>
    <row r="30663" spans="5:10" s="34" customFormat="1" x14ac:dyDescent="0.35">
      <c r="E30663" s="35"/>
      <c r="J30663" s="41"/>
    </row>
    <row r="30664" spans="5:10" s="34" customFormat="1" x14ac:dyDescent="0.35">
      <c r="E30664" s="35"/>
      <c r="J30664" s="41"/>
    </row>
    <row r="30665" spans="5:10" s="34" customFormat="1" x14ac:dyDescent="0.35">
      <c r="E30665" s="35"/>
      <c r="J30665" s="41"/>
    </row>
    <row r="30666" spans="5:10" s="34" customFormat="1" x14ac:dyDescent="0.35">
      <c r="E30666" s="35"/>
      <c r="J30666" s="41"/>
    </row>
    <row r="30667" spans="5:10" s="34" customFormat="1" x14ac:dyDescent="0.35">
      <c r="E30667" s="35"/>
      <c r="J30667" s="41"/>
    </row>
    <row r="30668" spans="5:10" s="34" customFormat="1" x14ac:dyDescent="0.35">
      <c r="E30668" s="35"/>
      <c r="J30668" s="41"/>
    </row>
    <row r="30669" spans="5:10" s="34" customFormat="1" x14ac:dyDescent="0.35">
      <c r="E30669" s="35"/>
      <c r="J30669" s="41"/>
    </row>
    <row r="30670" spans="5:10" s="34" customFormat="1" x14ac:dyDescent="0.35">
      <c r="E30670" s="35"/>
      <c r="J30670" s="41"/>
    </row>
    <row r="30671" spans="5:10" s="34" customFormat="1" x14ac:dyDescent="0.35">
      <c r="E30671" s="35"/>
      <c r="J30671" s="41"/>
    </row>
    <row r="30672" spans="5:10" s="34" customFormat="1" x14ac:dyDescent="0.35">
      <c r="E30672" s="35"/>
      <c r="J30672" s="41"/>
    </row>
    <row r="30673" spans="5:10" s="34" customFormat="1" x14ac:dyDescent="0.35">
      <c r="E30673" s="35"/>
      <c r="J30673" s="41"/>
    </row>
    <row r="30674" spans="5:10" s="34" customFormat="1" x14ac:dyDescent="0.35">
      <c r="E30674" s="35"/>
      <c r="J30674" s="41"/>
    </row>
    <row r="30675" spans="5:10" s="34" customFormat="1" x14ac:dyDescent="0.35">
      <c r="E30675" s="35"/>
      <c r="J30675" s="41"/>
    </row>
    <row r="30676" spans="5:10" s="34" customFormat="1" x14ac:dyDescent="0.35">
      <c r="E30676" s="35"/>
      <c r="J30676" s="41"/>
    </row>
    <row r="30677" spans="5:10" s="34" customFormat="1" x14ac:dyDescent="0.35">
      <c r="E30677" s="35"/>
      <c r="J30677" s="41"/>
    </row>
    <row r="30678" spans="5:10" s="34" customFormat="1" x14ac:dyDescent="0.35">
      <c r="E30678" s="35"/>
      <c r="J30678" s="41"/>
    </row>
    <row r="30679" spans="5:10" s="34" customFormat="1" x14ac:dyDescent="0.35">
      <c r="E30679" s="35"/>
      <c r="J30679" s="41"/>
    </row>
    <row r="30680" spans="5:10" s="34" customFormat="1" x14ac:dyDescent="0.35">
      <c r="E30680" s="35"/>
      <c r="J30680" s="41"/>
    </row>
    <row r="30681" spans="5:10" s="34" customFormat="1" x14ac:dyDescent="0.35">
      <c r="E30681" s="35"/>
      <c r="J30681" s="41"/>
    </row>
    <row r="30682" spans="5:10" s="34" customFormat="1" x14ac:dyDescent="0.35">
      <c r="E30682" s="35"/>
      <c r="J30682" s="41"/>
    </row>
    <row r="30683" spans="5:10" s="34" customFormat="1" x14ac:dyDescent="0.35">
      <c r="E30683" s="35"/>
      <c r="J30683" s="41"/>
    </row>
    <row r="30684" spans="5:10" s="34" customFormat="1" x14ac:dyDescent="0.35">
      <c r="E30684" s="35"/>
      <c r="J30684" s="41"/>
    </row>
    <row r="30685" spans="5:10" s="34" customFormat="1" x14ac:dyDescent="0.35">
      <c r="E30685" s="35"/>
      <c r="J30685" s="41"/>
    </row>
    <row r="30686" spans="5:10" s="34" customFormat="1" x14ac:dyDescent="0.35">
      <c r="E30686" s="35"/>
      <c r="J30686" s="41"/>
    </row>
    <row r="30687" spans="5:10" s="34" customFormat="1" x14ac:dyDescent="0.35">
      <c r="E30687" s="35"/>
      <c r="J30687" s="41"/>
    </row>
    <row r="30688" spans="5:10" s="34" customFormat="1" x14ac:dyDescent="0.35">
      <c r="E30688" s="35"/>
      <c r="J30688" s="41"/>
    </row>
    <row r="30689" spans="5:10" s="34" customFormat="1" x14ac:dyDescent="0.35">
      <c r="E30689" s="35"/>
      <c r="J30689" s="41"/>
    </row>
    <row r="30690" spans="5:10" s="34" customFormat="1" x14ac:dyDescent="0.35">
      <c r="E30690" s="35"/>
      <c r="J30690" s="41"/>
    </row>
    <row r="30691" spans="5:10" s="34" customFormat="1" x14ac:dyDescent="0.35">
      <c r="E30691" s="35"/>
      <c r="J30691" s="41"/>
    </row>
    <row r="30692" spans="5:10" s="34" customFormat="1" x14ac:dyDescent="0.35">
      <c r="E30692" s="35"/>
      <c r="J30692" s="41"/>
    </row>
    <row r="30693" spans="5:10" s="34" customFormat="1" x14ac:dyDescent="0.35">
      <c r="E30693" s="35"/>
      <c r="J30693" s="41"/>
    </row>
    <row r="30694" spans="5:10" s="34" customFormat="1" x14ac:dyDescent="0.35">
      <c r="E30694" s="35"/>
      <c r="J30694" s="41"/>
    </row>
    <row r="30695" spans="5:10" s="34" customFormat="1" x14ac:dyDescent="0.35">
      <c r="E30695" s="35"/>
      <c r="J30695" s="41"/>
    </row>
    <row r="30696" spans="5:10" s="34" customFormat="1" x14ac:dyDescent="0.35">
      <c r="E30696" s="35"/>
      <c r="J30696" s="41"/>
    </row>
    <row r="30697" spans="5:10" s="34" customFormat="1" x14ac:dyDescent="0.35">
      <c r="E30697" s="35"/>
      <c r="J30697" s="41"/>
    </row>
    <row r="30698" spans="5:10" s="34" customFormat="1" x14ac:dyDescent="0.35">
      <c r="E30698" s="35"/>
      <c r="J30698" s="41"/>
    </row>
    <row r="30699" spans="5:10" s="34" customFormat="1" x14ac:dyDescent="0.35">
      <c r="E30699" s="35"/>
      <c r="J30699" s="41"/>
    </row>
    <row r="30700" spans="5:10" s="34" customFormat="1" x14ac:dyDescent="0.35">
      <c r="E30700" s="35"/>
      <c r="J30700" s="41"/>
    </row>
    <row r="30701" spans="5:10" s="34" customFormat="1" x14ac:dyDescent="0.35">
      <c r="E30701" s="35"/>
      <c r="J30701" s="41"/>
    </row>
    <row r="30702" spans="5:10" s="34" customFormat="1" x14ac:dyDescent="0.35">
      <c r="E30702" s="35"/>
      <c r="J30702" s="41"/>
    </row>
    <row r="30703" spans="5:10" s="34" customFormat="1" x14ac:dyDescent="0.35">
      <c r="E30703" s="35"/>
      <c r="J30703" s="41"/>
    </row>
    <row r="30704" spans="5:10" s="34" customFormat="1" x14ac:dyDescent="0.35">
      <c r="E30704" s="35"/>
      <c r="J30704" s="41"/>
    </row>
    <row r="30705" spans="5:10" s="34" customFormat="1" x14ac:dyDescent="0.35">
      <c r="E30705" s="35"/>
      <c r="J30705" s="41"/>
    </row>
    <row r="30706" spans="5:10" s="34" customFormat="1" x14ac:dyDescent="0.35">
      <c r="E30706" s="35"/>
      <c r="J30706" s="41"/>
    </row>
    <row r="30707" spans="5:10" s="34" customFormat="1" x14ac:dyDescent="0.35">
      <c r="E30707" s="35"/>
      <c r="J30707" s="41"/>
    </row>
    <row r="30708" spans="5:10" s="34" customFormat="1" x14ac:dyDescent="0.35">
      <c r="E30708" s="35"/>
      <c r="J30708" s="41"/>
    </row>
    <row r="30709" spans="5:10" s="34" customFormat="1" x14ac:dyDescent="0.35">
      <c r="E30709" s="35"/>
      <c r="J30709" s="41"/>
    </row>
    <row r="30710" spans="5:10" s="34" customFormat="1" x14ac:dyDescent="0.35">
      <c r="E30710" s="35"/>
      <c r="J30710" s="41"/>
    </row>
    <row r="30711" spans="5:10" s="34" customFormat="1" x14ac:dyDescent="0.35">
      <c r="E30711" s="35"/>
      <c r="J30711" s="41"/>
    </row>
    <row r="30712" spans="5:10" s="34" customFormat="1" x14ac:dyDescent="0.35">
      <c r="E30712" s="35"/>
      <c r="J30712" s="41"/>
    </row>
    <row r="30713" spans="5:10" s="34" customFormat="1" x14ac:dyDescent="0.35">
      <c r="E30713" s="35"/>
      <c r="J30713" s="41"/>
    </row>
    <row r="30714" spans="5:10" s="34" customFormat="1" x14ac:dyDescent="0.35">
      <c r="E30714" s="35"/>
      <c r="J30714" s="41"/>
    </row>
    <row r="30715" spans="5:10" s="34" customFormat="1" x14ac:dyDescent="0.35">
      <c r="E30715" s="35"/>
      <c r="J30715" s="41"/>
    </row>
    <row r="30716" spans="5:10" s="34" customFormat="1" x14ac:dyDescent="0.35">
      <c r="E30716" s="35"/>
      <c r="J30716" s="41"/>
    </row>
    <row r="30717" spans="5:10" s="34" customFormat="1" x14ac:dyDescent="0.35">
      <c r="E30717" s="35"/>
      <c r="J30717" s="41"/>
    </row>
    <row r="30718" spans="5:10" s="34" customFormat="1" x14ac:dyDescent="0.35">
      <c r="E30718" s="35"/>
      <c r="J30718" s="41"/>
    </row>
    <row r="30719" spans="5:10" s="34" customFormat="1" x14ac:dyDescent="0.35">
      <c r="E30719" s="35"/>
      <c r="J30719" s="41"/>
    </row>
    <row r="30720" spans="5:10" s="34" customFormat="1" x14ac:dyDescent="0.35">
      <c r="E30720" s="35"/>
      <c r="J30720" s="41"/>
    </row>
    <row r="30721" spans="5:10" s="34" customFormat="1" x14ac:dyDescent="0.35">
      <c r="E30721" s="35"/>
      <c r="J30721" s="41"/>
    </row>
    <row r="30722" spans="5:10" s="34" customFormat="1" x14ac:dyDescent="0.35">
      <c r="E30722" s="35"/>
      <c r="J30722" s="41"/>
    </row>
    <row r="30723" spans="5:10" s="34" customFormat="1" x14ac:dyDescent="0.35">
      <c r="E30723" s="35"/>
      <c r="J30723" s="41"/>
    </row>
    <row r="30724" spans="5:10" s="34" customFormat="1" x14ac:dyDescent="0.35">
      <c r="E30724" s="35"/>
      <c r="J30724" s="41"/>
    </row>
    <row r="30725" spans="5:10" s="34" customFormat="1" x14ac:dyDescent="0.35">
      <c r="E30725" s="35"/>
      <c r="J30725" s="41"/>
    </row>
    <row r="30726" spans="5:10" s="34" customFormat="1" x14ac:dyDescent="0.35">
      <c r="E30726" s="35"/>
      <c r="J30726" s="41"/>
    </row>
    <row r="30727" spans="5:10" s="34" customFormat="1" x14ac:dyDescent="0.35">
      <c r="E30727" s="35"/>
      <c r="J30727" s="41"/>
    </row>
    <row r="30728" spans="5:10" s="34" customFormat="1" x14ac:dyDescent="0.35">
      <c r="E30728" s="35"/>
      <c r="J30728" s="41"/>
    </row>
    <row r="30729" spans="5:10" s="34" customFormat="1" x14ac:dyDescent="0.35">
      <c r="E30729" s="35"/>
      <c r="J30729" s="41"/>
    </row>
    <row r="30730" spans="5:10" s="34" customFormat="1" x14ac:dyDescent="0.35">
      <c r="E30730" s="35"/>
      <c r="J30730" s="41"/>
    </row>
    <row r="30731" spans="5:10" s="34" customFormat="1" x14ac:dyDescent="0.35">
      <c r="E30731" s="35"/>
      <c r="J30731" s="41"/>
    </row>
    <row r="30732" spans="5:10" s="34" customFormat="1" x14ac:dyDescent="0.35">
      <c r="E30732" s="35"/>
      <c r="J30732" s="41"/>
    </row>
    <row r="30733" spans="5:10" s="34" customFormat="1" x14ac:dyDescent="0.35">
      <c r="E30733" s="35"/>
      <c r="J30733" s="41"/>
    </row>
    <row r="30734" spans="5:10" s="34" customFormat="1" x14ac:dyDescent="0.35">
      <c r="E30734" s="35"/>
      <c r="J30734" s="41"/>
    </row>
    <row r="30735" spans="5:10" s="34" customFormat="1" x14ac:dyDescent="0.35">
      <c r="E30735" s="35"/>
      <c r="J30735" s="41"/>
    </row>
    <row r="30736" spans="5:10" s="34" customFormat="1" x14ac:dyDescent="0.35">
      <c r="E30736" s="35"/>
      <c r="J30736" s="41"/>
    </row>
    <row r="30737" spans="5:10" s="34" customFormat="1" x14ac:dyDescent="0.35">
      <c r="E30737" s="35"/>
      <c r="J30737" s="41"/>
    </row>
    <row r="30738" spans="5:10" s="34" customFormat="1" x14ac:dyDescent="0.35">
      <c r="E30738" s="35"/>
      <c r="J30738" s="41"/>
    </row>
    <row r="30739" spans="5:10" s="34" customFormat="1" x14ac:dyDescent="0.35">
      <c r="E30739" s="35"/>
      <c r="J30739" s="41"/>
    </row>
    <row r="30740" spans="5:10" s="34" customFormat="1" x14ac:dyDescent="0.35">
      <c r="E30740" s="35"/>
      <c r="J30740" s="41"/>
    </row>
    <row r="30741" spans="5:10" s="34" customFormat="1" x14ac:dyDescent="0.35">
      <c r="E30741" s="35"/>
      <c r="J30741" s="41"/>
    </row>
    <row r="30742" spans="5:10" s="34" customFormat="1" x14ac:dyDescent="0.35">
      <c r="E30742" s="35"/>
      <c r="J30742" s="41"/>
    </row>
    <row r="30743" spans="5:10" s="34" customFormat="1" x14ac:dyDescent="0.35">
      <c r="E30743" s="35"/>
      <c r="J30743" s="41"/>
    </row>
    <row r="30744" spans="5:10" s="34" customFormat="1" x14ac:dyDescent="0.35">
      <c r="E30744" s="35"/>
      <c r="J30744" s="41"/>
    </row>
    <row r="30745" spans="5:10" s="34" customFormat="1" x14ac:dyDescent="0.35">
      <c r="E30745" s="35"/>
      <c r="J30745" s="41"/>
    </row>
    <row r="30746" spans="5:10" s="34" customFormat="1" x14ac:dyDescent="0.35">
      <c r="E30746" s="35"/>
      <c r="J30746" s="41"/>
    </row>
    <row r="30747" spans="5:10" s="34" customFormat="1" x14ac:dyDescent="0.35">
      <c r="E30747" s="35"/>
      <c r="J30747" s="41"/>
    </row>
    <row r="30748" spans="5:10" s="34" customFormat="1" x14ac:dyDescent="0.35">
      <c r="E30748" s="35"/>
      <c r="J30748" s="41"/>
    </row>
    <row r="30749" spans="5:10" s="34" customFormat="1" x14ac:dyDescent="0.35">
      <c r="E30749" s="35"/>
      <c r="J30749" s="41"/>
    </row>
    <row r="30750" spans="5:10" s="34" customFormat="1" x14ac:dyDescent="0.35">
      <c r="E30750" s="35"/>
      <c r="J30750" s="41"/>
    </row>
    <row r="30751" spans="5:10" s="34" customFormat="1" x14ac:dyDescent="0.35">
      <c r="E30751" s="35"/>
      <c r="J30751" s="41"/>
    </row>
    <row r="30752" spans="5:10" s="34" customFormat="1" x14ac:dyDescent="0.35">
      <c r="E30752" s="35"/>
      <c r="J30752" s="41"/>
    </row>
    <row r="30753" spans="5:10" s="34" customFormat="1" x14ac:dyDescent="0.35">
      <c r="E30753" s="35"/>
      <c r="J30753" s="41"/>
    </row>
    <row r="30754" spans="5:10" s="34" customFormat="1" x14ac:dyDescent="0.35">
      <c r="E30754" s="35"/>
      <c r="J30754" s="41"/>
    </row>
    <row r="30755" spans="5:10" s="34" customFormat="1" x14ac:dyDescent="0.35">
      <c r="E30755" s="35"/>
      <c r="J30755" s="41"/>
    </row>
    <row r="30756" spans="5:10" s="34" customFormat="1" x14ac:dyDescent="0.35">
      <c r="E30756" s="35"/>
      <c r="J30756" s="41"/>
    </row>
    <row r="30757" spans="5:10" s="34" customFormat="1" x14ac:dyDescent="0.35">
      <c r="E30757" s="35"/>
      <c r="J30757" s="41"/>
    </row>
    <row r="30758" spans="5:10" s="34" customFormat="1" x14ac:dyDescent="0.35">
      <c r="E30758" s="35"/>
      <c r="J30758" s="41"/>
    </row>
    <row r="30759" spans="5:10" s="34" customFormat="1" x14ac:dyDescent="0.35">
      <c r="E30759" s="35"/>
      <c r="J30759" s="41"/>
    </row>
    <row r="30760" spans="5:10" s="34" customFormat="1" x14ac:dyDescent="0.35">
      <c r="E30760" s="35"/>
      <c r="J30760" s="41"/>
    </row>
    <row r="30761" spans="5:10" s="34" customFormat="1" x14ac:dyDescent="0.35">
      <c r="E30761" s="35"/>
      <c r="J30761" s="41"/>
    </row>
    <row r="30762" spans="5:10" s="34" customFormat="1" x14ac:dyDescent="0.35">
      <c r="E30762" s="35"/>
      <c r="J30762" s="41"/>
    </row>
    <row r="30763" spans="5:10" s="34" customFormat="1" x14ac:dyDescent="0.35">
      <c r="E30763" s="35"/>
      <c r="J30763" s="41"/>
    </row>
    <row r="30764" spans="5:10" s="34" customFormat="1" x14ac:dyDescent="0.35">
      <c r="E30764" s="35"/>
      <c r="J30764" s="41"/>
    </row>
    <row r="30765" spans="5:10" s="34" customFormat="1" x14ac:dyDescent="0.35">
      <c r="E30765" s="35"/>
      <c r="J30765" s="41"/>
    </row>
    <row r="30766" spans="5:10" s="34" customFormat="1" x14ac:dyDescent="0.35">
      <c r="E30766" s="35"/>
      <c r="J30766" s="41"/>
    </row>
    <row r="30767" spans="5:10" s="34" customFormat="1" x14ac:dyDescent="0.35">
      <c r="E30767" s="35"/>
      <c r="J30767" s="41"/>
    </row>
    <row r="30768" spans="5:10" s="34" customFormat="1" x14ac:dyDescent="0.35">
      <c r="E30768" s="35"/>
      <c r="J30768" s="41"/>
    </row>
    <row r="30769" spans="5:10" s="34" customFormat="1" x14ac:dyDescent="0.35">
      <c r="E30769" s="35"/>
      <c r="J30769" s="41"/>
    </row>
    <row r="30770" spans="5:10" s="34" customFormat="1" x14ac:dyDescent="0.35">
      <c r="E30770" s="35"/>
      <c r="J30770" s="41"/>
    </row>
    <row r="30771" spans="5:10" s="34" customFormat="1" x14ac:dyDescent="0.35">
      <c r="E30771" s="35"/>
      <c r="J30771" s="41"/>
    </row>
    <row r="30772" spans="5:10" s="34" customFormat="1" x14ac:dyDescent="0.35">
      <c r="E30772" s="35"/>
      <c r="J30772" s="41"/>
    </row>
    <row r="30773" spans="5:10" s="34" customFormat="1" x14ac:dyDescent="0.35">
      <c r="E30773" s="35"/>
      <c r="J30773" s="41"/>
    </row>
    <row r="30774" spans="5:10" s="34" customFormat="1" x14ac:dyDescent="0.35">
      <c r="E30774" s="35"/>
      <c r="J30774" s="41"/>
    </row>
    <row r="30775" spans="5:10" s="34" customFormat="1" x14ac:dyDescent="0.35">
      <c r="E30775" s="35"/>
      <c r="J30775" s="41"/>
    </row>
    <row r="30776" spans="5:10" s="34" customFormat="1" x14ac:dyDescent="0.35">
      <c r="E30776" s="35"/>
      <c r="J30776" s="41"/>
    </row>
    <row r="30777" spans="5:10" s="34" customFormat="1" x14ac:dyDescent="0.35">
      <c r="E30777" s="35"/>
      <c r="J30777" s="41"/>
    </row>
    <row r="30778" spans="5:10" s="34" customFormat="1" x14ac:dyDescent="0.35">
      <c r="E30778" s="35"/>
      <c r="J30778" s="41"/>
    </row>
    <row r="30779" spans="5:10" s="34" customFormat="1" x14ac:dyDescent="0.35">
      <c r="E30779" s="35"/>
      <c r="J30779" s="41"/>
    </row>
    <row r="30780" spans="5:10" s="34" customFormat="1" x14ac:dyDescent="0.35">
      <c r="E30780" s="35"/>
      <c r="J30780" s="41"/>
    </row>
    <row r="30781" spans="5:10" s="34" customFormat="1" x14ac:dyDescent="0.35">
      <c r="E30781" s="35"/>
      <c r="J30781" s="41"/>
    </row>
    <row r="30782" spans="5:10" s="34" customFormat="1" x14ac:dyDescent="0.35">
      <c r="E30782" s="35"/>
      <c r="J30782" s="41"/>
    </row>
    <row r="30783" spans="5:10" s="34" customFormat="1" x14ac:dyDescent="0.35">
      <c r="E30783" s="35"/>
      <c r="J30783" s="41"/>
    </row>
    <row r="30784" spans="5:10" s="34" customFormat="1" x14ac:dyDescent="0.35">
      <c r="E30784" s="35"/>
      <c r="J30784" s="41"/>
    </row>
    <row r="30785" spans="5:10" s="34" customFormat="1" x14ac:dyDescent="0.35">
      <c r="E30785" s="35"/>
      <c r="J30785" s="41"/>
    </row>
    <row r="30786" spans="5:10" s="34" customFormat="1" x14ac:dyDescent="0.35">
      <c r="E30786" s="35"/>
      <c r="J30786" s="41"/>
    </row>
    <row r="30787" spans="5:10" s="34" customFormat="1" x14ac:dyDescent="0.35">
      <c r="E30787" s="35"/>
      <c r="J30787" s="41"/>
    </row>
    <row r="30788" spans="5:10" s="34" customFormat="1" x14ac:dyDescent="0.35">
      <c r="E30788" s="35"/>
      <c r="J30788" s="41"/>
    </row>
    <row r="30789" spans="5:10" s="34" customFormat="1" x14ac:dyDescent="0.35">
      <c r="E30789" s="35"/>
      <c r="J30789" s="41"/>
    </row>
    <row r="30790" spans="5:10" s="34" customFormat="1" x14ac:dyDescent="0.35">
      <c r="E30790" s="35"/>
      <c r="J30790" s="41"/>
    </row>
    <row r="30791" spans="5:10" s="34" customFormat="1" x14ac:dyDescent="0.35">
      <c r="E30791" s="35"/>
      <c r="J30791" s="41"/>
    </row>
    <row r="30792" spans="5:10" s="34" customFormat="1" x14ac:dyDescent="0.35">
      <c r="E30792" s="35"/>
      <c r="J30792" s="41"/>
    </row>
    <row r="30793" spans="5:10" s="34" customFormat="1" x14ac:dyDescent="0.35">
      <c r="E30793" s="35"/>
      <c r="J30793" s="41"/>
    </row>
    <row r="30794" spans="5:10" s="34" customFormat="1" x14ac:dyDescent="0.35">
      <c r="E30794" s="35"/>
      <c r="J30794" s="41"/>
    </row>
    <row r="30795" spans="5:10" s="34" customFormat="1" x14ac:dyDescent="0.35">
      <c r="E30795" s="35"/>
      <c r="J30795" s="41"/>
    </row>
    <row r="30796" spans="5:10" s="34" customFormat="1" x14ac:dyDescent="0.35">
      <c r="E30796" s="35"/>
      <c r="J30796" s="41"/>
    </row>
    <row r="30797" spans="5:10" s="34" customFormat="1" x14ac:dyDescent="0.35">
      <c r="E30797" s="35"/>
      <c r="J30797" s="41"/>
    </row>
    <row r="30798" spans="5:10" s="34" customFormat="1" x14ac:dyDescent="0.35">
      <c r="E30798" s="35"/>
      <c r="J30798" s="41"/>
    </row>
    <row r="30799" spans="5:10" s="34" customFormat="1" x14ac:dyDescent="0.35">
      <c r="E30799" s="35"/>
      <c r="J30799" s="41"/>
    </row>
    <row r="30800" spans="5:10" s="34" customFormat="1" x14ac:dyDescent="0.35">
      <c r="E30800" s="35"/>
      <c r="J30800" s="41"/>
    </row>
    <row r="30801" spans="5:10" s="34" customFormat="1" x14ac:dyDescent="0.35">
      <c r="E30801" s="35"/>
      <c r="J30801" s="41"/>
    </row>
    <row r="30802" spans="5:10" s="34" customFormat="1" x14ac:dyDescent="0.35">
      <c r="E30802" s="35"/>
      <c r="J30802" s="41"/>
    </row>
    <row r="30803" spans="5:10" s="34" customFormat="1" x14ac:dyDescent="0.35">
      <c r="E30803" s="35"/>
      <c r="J30803" s="41"/>
    </row>
    <row r="30804" spans="5:10" s="34" customFormat="1" x14ac:dyDescent="0.35">
      <c r="E30804" s="35"/>
      <c r="J30804" s="41"/>
    </row>
    <row r="30805" spans="5:10" s="34" customFormat="1" x14ac:dyDescent="0.35">
      <c r="E30805" s="35"/>
      <c r="J30805" s="41"/>
    </row>
    <row r="30806" spans="5:10" s="34" customFormat="1" x14ac:dyDescent="0.35">
      <c r="E30806" s="35"/>
      <c r="J30806" s="41"/>
    </row>
    <row r="30807" spans="5:10" s="34" customFormat="1" x14ac:dyDescent="0.35">
      <c r="E30807" s="35"/>
      <c r="J30807" s="41"/>
    </row>
    <row r="30808" spans="5:10" s="34" customFormat="1" x14ac:dyDescent="0.35">
      <c r="E30808" s="35"/>
      <c r="J30808" s="41"/>
    </row>
    <row r="30809" spans="5:10" s="34" customFormat="1" x14ac:dyDescent="0.35">
      <c r="E30809" s="35"/>
      <c r="J30809" s="41"/>
    </row>
    <row r="30810" spans="5:10" s="34" customFormat="1" x14ac:dyDescent="0.35">
      <c r="E30810" s="35"/>
      <c r="J30810" s="41"/>
    </row>
    <row r="30811" spans="5:10" s="34" customFormat="1" x14ac:dyDescent="0.35">
      <c r="E30811" s="35"/>
      <c r="J30811" s="41"/>
    </row>
    <row r="30812" spans="5:10" s="34" customFormat="1" x14ac:dyDescent="0.35">
      <c r="E30812" s="35"/>
      <c r="J30812" s="41"/>
    </row>
    <row r="30813" spans="5:10" s="34" customFormat="1" x14ac:dyDescent="0.35">
      <c r="E30813" s="35"/>
      <c r="J30813" s="41"/>
    </row>
    <row r="30814" spans="5:10" s="34" customFormat="1" x14ac:dyDescent="0.35">
      <c r="E30814" s="35"/>
      <c r="J30814" s="41"/>
    </row>
    <row r="30815" spans="5:10" s="34" customFormat="1" x14ac:dyDescent="0.35">
      <c r="E30815" s="35"/>
      <c r="J30815" s="41"/>
    </row>
    <row r="30816" spans="5:10" s="34" customFormat="1" x14ac:dyDescent="0.35">
      <c r="E30816" s="35"/>
      <c r="J30816" s="41"/>
    </row>
    <row r="30817" spans="5:10" s="34" customFormat="1" x14ac:dyDescent="0.35">
      <c r="E30817" s="35"/>
      <c r="J30817" s="41"/>
    </row>
    <row r="30818" spans="5:10" s="34" customFormat="1" x14ac:dyDescent="0.35">
      <c r="E30818" s="35"/>
      <c r="J30818" s="41"/>
    </row>
    <row r="30819" spans="5:10" s="34" customFormat="1" x14ac:dyDescent="0.35">
      <c r="E30819" s="35"/>
      <c r="J30819" s="41"/>
    </row>
    <row r="30820" spans="5:10" s="34" customFormat="1" x14ac:dyDescent="0.35">
      <c r="E30820" s="35"/>
      <c r="J30820" s="41"/>
    </row>
    <row r="30821" spans="5:10" s="34" customFormat="1" x14ac:dyDescent="0.35">
      <c r="E30821" s="35"/>
      <c r="J30821" s="41"/>
    </row>
    <row r="30822" spans="5:10" s="34" customFormat="1" x14ac:dyDescent="0.35">
      <c r="E30822" s="35"/>
      <c r="J30822" s="41"/>
    </row>
    <row r="30823" spans="5:10" s="34" customFormat="1" x14ac:dyDescent="0.35">
      <c r="E30823" s="35"/>
      <c r="J30823" s="41"/>
    </row>
    <row r="30824" spans="5:10" s="34" customFormat="1" x14ac:dyDescent="0.35">
      <c r="E30824" s="35"/>
      <c r="J30824" s="41"/>
    </row>
    <row r="30825" spans="5:10" s="34" customFormat="1" x14ac:dyDescent="0.35">
      <c r="E30825" s="35"/>
      <c r="J30825" s="41"/>
    </row>
    <row r="30826" spans="5:10" s="34" customFormat="1" x14ac:dyDescent="0.35">
      <c r="E30826" s="35"/>
      <c r="J30826" s="41"/>
    </row>
    <row r="30827" spans="5:10" s="34" customFormat="1" x14ac:dyDescent="0.35">
      <c r="E30827" s="35"/>
      <c r="J30827" s="41"/>
    </row>
    <row r="30828" spans="5:10" s="34" customFormat="1" x14ac:dyDescent="0.35">
      <c r="E30828" s="35"/>
      <c r="J30828" s="41"/>
    </row>
    <row r="30829" spans="5:10" s="34" customFormat="1" x14ac:dyDescent="0.35">
      <c r="E30829" s="35"/>
      <c r="J30829" s="41"/>
    </row>
    <row r="30830" spans="5:10" s="34" customFormat="1" x14ac:dyDescent="0.35">
      <c r="E30830" s="35"/>
      <c r="J30830" s="41"/>
    </row>
    <row r="30831" spans="5:10" s="34" customFormat="1" x14ac:dyDescent="0.35">
      <c r="E30831" s="35"/>
      <c r="J30831" s="41"/>
    </row>
    <row r="30832" spans="5:10" s="34" customFormat="1" x14ac:dyDescent="0.35">
      <c r="E30832" s="35"/>
      <c r="J30832" s="41"/>
    </row>
    <row r="30833" spans="5:10" s="34" customFormat="1" x14ac:dyDescent="0.35">
      <c r="E30833" s="35"/>
      <c r="J30833" s="41"/>
    </row>
    <row r="30834" spans="5:10" s="34" customFormat="1" x14ac:dyDescent="0.35">
      <c r="E30834" s="35"/>
      <c r="J30834" s="41"/>
    </row>
    <row r="30835" spans="5:10" s="34" customFormat="1" x14ac:dyDescent="0.35">
      <c r="E30835" s="35"/>
      <c r="J30835" s="41"/>
    </row>
    <row r="30836" spans="5:10" s="34" customFormat="1" x14ac:dyDescent="0.35">
      <c r="E30836" s="35"/>
      <c r="J30836" s="41"/>
    </row>
    <row r="30837" spans="5:10" s="34" customFormat="1" x14ac:dyDescent="0.35">
      <c r="E30837" s="35"/>
      <c r="J30837" s="41"/>
    </row>
    <row r="30838" spans="5:10" s="34" customFormat="1" x14ac:dyDescent="0.35">
      <c r="E30838" s="35"/>
      <c r="J30838" s="41"/>
    </row>
    <row r="30839" spans="5:10" s="34" customFormat="1" x14ac:dyDescent="0.35">
      <c r="E30839" s="35"/>
      <c r="J30839" s="41"/>
    </row>
    <row r="30840" spans="5:10" s="34" customFormat="1" x14ac:dyDescent="0.35">
      <c r="E30840" s="35"/>
      <c r="J30840" s="41"/>
    </row>
    <row r="30841" spans="5:10" s="34" customFormat="1" x14ac:dyDescent="0.35">
      <c r="E30841" s="35"/>
      <c r="J30841" s="41"/>
    </row>
    <row r="30842" spans="5:10" s="34" customFormat="1" x14ac:dyDescent="0.35">
      <c r="E30842" s="35"/>
      <c r="J30842" s="41"/>
    </row>
    <row r="30843" spans="5:10" s="34" customFormat="1" x14ac:dyDescent="0.35">
      <c r="E30843" s="35"/>
      <c r="J30843" s="41"/>
    </row>
    <row r="30844" spans="5:10" s="34" customFormat="1" x14ac:dyDescent="0.35">
      <c r="E30844" s="35"/>
      <c r="J30844" s="41"/>
    </row>
    <row r="30845" spans="5:10" s="34" customFormat="1" x14ac:dyDescent="0.35">
      <c r="E30845" s="35"/>
      <c r="J30845" s="41"/>
    </row>
    <row r="30846" spans="5:10" s="34" customFormat="1" x14ac:dyDescent="0.35">
      <c r="E30846" s="35"/>
      <c r="J30846" s="41"/>
    </row>
    <row r="30847" spans="5:10" s="34" customFormat="1" x14ac:dyDescent="0.35">
      <c r="E30847" s="35"/>
      <c r="J30847" s="41"/>
    </row>
    <row r="30848" spans="5:10" s="34" customFormat="1" x14ac:dyDescent="0.35">
      <c r="E30848" s="35"/>
      <c r="J30848" s="41"/>
    </row>
    <row r="30849" spans="5:10" s="34" customFormat="1" x14ac:dyDescent="0.35">
      <c r="E30849" s="35"/>
      <c r="J30849" s="41"/>
    </row>
    <row r="30850" spans="5:10" s="34" customFormat="1" x14ac:dyDescent="0.35">
      <c r="E30850" s="35"/>
      <c r="J30850" s="41"/>
    </row>
    <row r="30851" spans="5:10" s="34" customFormat="1" x14ac:dyDescent="0.35">
      <c r="E30851" s="35"/>
      <c r="J30851" s="41"/>
    </row>
    <row r="30852" spans="5:10" s="34" customFormat="1" x14ac:dyDescent="0.35">
      <c r="E30852" s="35"/>
      <c r="J30852" s="41"/>
    </row>
    <row r="30853" spans="5:10" s="34" customFormat="1" x14ac:dyDescent="0.35">
      <c r="E30853" s="35"/>
      <c r="J30853" s="41"/>
    </row>
    <row r="30854" spans="5:10" s="34" customFormat="1" x14ac:dyDescent="0.35">
      <c r="E30854" s="35"/>
      <c r="J30854" s="41"/>
    </row>
    <row r="30855" spans="5:10" s="34" customFormat="1" x14ac:dyDescent="0.35">
      <c r="E30855" s="35"/>
      <c r="J30855" s="41"/>
    </row>
    <row r="30856" spans="5:10" s="34" customFormat="1" x14ac:dyDescent="0.35">
      <c r="E30856" s="35"/>
      <c r="J30856" s="41"/>
    </row>
    <row r="30857" spans="5:10" s="34" customFormat="1" x14ac:dyDescent="0.35">
      <c r="E30857" s="35"/>
      <c r="J30857" s="41"/>
    </row>
    <row r="30858" spans="5:10" s="34" customFormat="1" x14ac:dyDescent="0.35">
      <c r="E30858" s="35"/>
      <c r="J30858" s="41"/>
    </row>
    <row r="30859" spans="5:10" s="34" customFormat="1" x14ac:dyDescent="0.35">
      <c r="E30859" s="35"/>
      <c r="J30859" s="41"/>
    </row>
    <row r="30860" spans="5:10" s="34" customFormat="1" x14ac:dyDescent="0.35">
      <c r="E30860" s="35"/>
      <c r="J30860" s="41"/>
    </row>
    <row r="30861" spans="5:10" s="34" customFormat="1" x14ac:dyDescent="0.35">
      <c r="E30861" s="35"/>
      <c r="J30861" s="41"/>
    </row>
    <row r="30862" spans="5:10" s="34" customFormat="1" x14ac:dyDescent="0.35">
      <c r="E30862" s="35"/>
      <c r="J30862" s="41"/>
    </row>
    <row r="30863" spans="5:10" s="34" customFormat="1" x14ac:dyDescent="0.35">
      <c r="E30863" s="35"/>
      <c r="J30863" s="41"/>
    </row>
    <row r="30864" spans="5:10" s="34" customFormat="1" x14ac:dyDescent="0.35">
      <c r="E30864" s="35"/>
      <c r="J30864" s="41"/>
    </row>
    <row r="30865" spans="5:10" s="34" customFormat="1" x14ac:dyDescent="0.35">
      <c r="E30865" s="35"/>
      <c r="J30865" s="41"/>
    </row>
    <row r="30866" spans="5:10" s="34" customFormat="1" x14ac:dyDescent="0.35">
      <c r="E30866" s="35"/>
      <c r="J30866" s="41"/>
    </row>
    <row r="30867" spans="5:10" s="34" customFormat="1" x14ac:dyDescent="0.35">
      <c r="E30867" s="35"/>
      <c r="J30867" s="41"/>
    </row>
    <row r="30868" spans="5:10" s="34" customFormat="1" x14ac:dyDescent="0.35">
      <c r="E30868" s="35"/>
      <c r="J30868" s="41"/>
    </row>
    <row r="30869" spans="5:10" s="34" customFormat="1" x14ac:dyDescent="0.35">
      <c r="E30869" s="35"/>
      <c r="J30869" s="41"/>
    </row>
    <row r="30870" spans="5:10" s="34" customFormat="1" x14ac:dyDescent="0.35">
      <c r="E30870" s="35"/>
      <c r="J30870" s="41"/>
    </row>
    <row r="30871" spans="5:10" s="34" customFormat="1" x14ac:dyDescent="0.35">
      <c r="E30871" s="35"/>
      <c r="J30871" s="41"/>
    </row>
    <row r="30872" spans="5:10" s="34" customFormat="1" x14ac:dyDescent="0.35">
      <c r="E30872" s="35"/>
      <c r="J30872" s="41"/>
    </row>
    <row r="30873" spans="5:10" s="34" customFormat="1" x14ac:dyDescent="0.35">
      <c r="E30873" s="35"/>
      <c r="J30873" s="41"/>
    </row>
    <row r="30874" spans="5:10" s="34" customFormat="1" x14ac:dyDescent="0.35">
      <c r="E30874" s="35"/>
      <c r="J30874" s="41"/>
    </row>
    <row r="30875" spans="5:10" s="34" customFormat="1" x14ac:dyDescent="0.35">
      <c r="E30875" s="35"/>
      <c r="J30875" s="41"/>
    </row>
    <row r="30876" spans="5:10" s="34" customFormat="1" x14ac:dyDescent="0.35">
      <c r="E30876" s="35"/>
      <c r="J30876" s="41"/>
    </row>
    <row r="30877" spans="5:10" s="34" customFormat="1" x14ac:dyDescent="0.35">
      <c r="E30877" s="35"/>
      <c r="J30877" s="41"/>
    </row>
    <row r="30878" spans="5:10" s="34" customFormat="1" x14ac:dyDescent="0.35">
      <c r="E30878" s="35"/>
      <c r="J30878" s="41"/>
    </row>
    <row r="30879" spans="5:10" s="34" customFormat="1" x14ac:dyDescent="0.35">
      <c r="E30879" s="35"/>
      <c r="J30879" s="41"/>
    </row>
    <row r="30880" spans="5:10" s="34" customFormat="1" x14ac:dyDescent="0.35">
      <c r="E30880" s="35"/>
      <c r="J30880" s="41"/>
    </row>
    <row r="30881" spans="5:10" s="34" customFormat="1" x14ac:dyDescent="0.35">
      <c r="E30881" s="35"/>
      <c r="J30881" s="41"/>
    </row>
    <row r="30882" spans="5:10" s="34" customFormat="1" x14ac:dyDescent="0.35">
      <c r="E30882" s="35"/>
      <c r="J30882" s="41"/>
    </row>
    <row r="30883" spans="5:10" s="34" customFormat="1" x14ac:dyDescent="0.35">
      <c r="E30883" s="35"/>
      <c r="J30883" s="41"/>
    </row>
    <row r="30884" spans="5:10" s="34" customFormat="1" x14ac:dyDescent="0.35">
      <c r="E30884" s="35"/>
      <c r="J30884" s="41"/>
    </row>
    <row r="30885" spans="5:10" s="34" customFormat="1" x14ac:dyDescent="0.35">
      <c r="E30885" s="35"/>
      <c r="J30885" s="41"/>
    </row>
    <row r="30886" spans="5:10" s="34" customFormat="1" x14ac:dyDescent="0.35">
      <c r="E30886" s="35"/>
      <c r="J30886" s="41"/>
    </row>
    <row r="30887" spans="5:10" s="34" customFormat="1" x14ac:dyDescent="0.35">
      <c r="E30887" s="35"/>
      <c r="J30887" s="41"/>
    </row>
    <row r="30888" spans="5:10" s="34" customFormat="1" x14ac:dyDescent="0.35">
      <c r="E30888" s="35"/>
      <c r="J30888" s="41"/>
    </row>
    <row r="30889" spans="5:10" s="34" customFormat="1" x14ac:dyDescent="0.35">
      <c r="E30889" s="35"/>
      <c r="J30889" s="41"/>
    </row>
    <row r="30890" spans="5:10" s="34" customFormat="1" x14ac:dyDescent="0.35">
      <c r="E30890" s="35"/>
      <c r="J30890" s="41"/>
    </row>
    <row r="30891" spans="5:10" s="34" customFormat="1" x14ac:dyDescent="0.35">
      <c r="E30891" s="35"/>
      <c r="J30891" s="41"/>
    </row>
    <row r="30892" spans="5:10" s="34" customFormat="1" x14ac:dyDescent="0.35">
      <c r="E30892" s="35"/>
      <c r="J30892" s="41"/>
    </row>
    <row r="30893" spans="5:10" s="34" customFormat="1" x14ac:dyDescent="0.35">
      <c r="E30893" s="35"/>
      <c r="J30893" s="41"/>
    </row>
    <row r="30894" spans="5:10" s="34" customFormat="1" x14ac:dyDescent="0.35">
      <c r="E30894" s="35"/>
      <c r="J30894" s="41"/>
    </row>
    <row r="30895" spans="5:10" s="34" customFormat="1" x14ac:dyDescent="0.35">
      <c r="E30895" s="35"/>
      <c r="J30895" s="41"/>
    </row>
    <row r="30896" spans="5:10" s="34" customFormat="1" x14ac:dyDescent="0.35">
      <c r="E30896" s="35"/>
      <c r="J30896" s="41"/>
    </row>
    <row r="30897" spans="5:10" s="34" customFormat="1" x14ac:dyDescent="0.35">
      <c r="E30897" s="35"/>
      <c r="J30897" s="41"/>
    </row>
    <row r="30898" spans="5:10" s="34" customFormat="1" x14ac:dyDescent="0.35">
      <c r="E30898" s="35"/>
      <c r="J30898" s="41"/>
    </row>
    <row r="30899" spans="5:10" s="34" customFormat="1" x14ac:dyDescent="0.35">
      <c r="E30899" s="35"/>
      <c r="J30899" s="41"/>
    </row>
    <row r="30900" spans="5:10" s="34" customFormat="1" x14ac:dyDescent="0.35">
      <c r="E30900" s="35"/>
      <c r="J30900" s="41"/>
    </row>
    <row r="30901" spans="5:10" s="34" customFormat="1" x14ac:dyDescent="0.35">
      <c r="E30901" s="35"/>
      <c r="J30901" s="41"/>
    </row>
    <row r="30902" spans="5:10" s="34" customFormat="1" x14ac:dyDescent="0.35">
      <c r="E30902" s="35"/>
      <c r="J30902" s="41"/>
    </row>
    <row r="30903" spans="5:10" s="34" customFormat="1" x14ac:dyDescent="0.35">
      <c r="E30903" s="35"/>
      <c r="J30903" s="41"/>
    </row>
    <row r="30904" spans="5:10" s="34" customFormat="1" x14ac:dyDescent="0.35">
      <c r="E30904" s="35"/>
      <c r="J30904" s="41"/>
    </row>
    <row r="30905" spans="5:10" s="34" customFormat="1" x14ac:dyDescent="0.35">
      <c r="E30905" s="35"/>
      <c r="J30905" s="41"/>
    </row>
    <row r="30906" spans="5:10" s="34" customFormat="1" x14ac:dyDescent="0.35">
      <c r="E30906" s="35"/>
      <c r="J30906" s="41"/>
    </row>
    <row r="30907" spans="5:10" s="34" customFormat="1" x14ac:dyDescent="0.35">
      <c r="E30907" s="35"/>
      <c r="J30907" s="41"/>
    </row>
    <row r="30908" spans="5:10" s="34" customFormat="1" x14ac:dyDescent="0.35">
      <c r="E30908" s="35"/>
      <c r="J30908" s="41"/>
    </row>
    <row r="30909" spans="5:10" s="34" customFormat="1" x14ac:dyDescent="0.35">
      <c r="E30909" s="35"/>
      <c r="J30909" s="41"/>
    </row>
    <row r="30910" spans="5:10" s="34" customFormat="1" x14ac:dyDescent="0.35">
      <c r="E30910" s="35"/>
      <c r="J30910" s="41"/>
    </row>
    <row r="30911" spans="5:10" s="34" customFormat="1" x14ac:dyDescent="0.35">
      <c r="E30911" s="35"/>
      <c r="J30911" s="41"/>
    </row>
    <row r="30912" spans="5:10" s="34" customFormat="1" x14ac:dyDescent="0.35">
      <c r="E30912" s="35"/>
      <c r="J30912" s="41"/>
    </row>
    <row r="30913" spans="5:10" s="34" customFormat="1" x14ac:dyDescent="0.35">
      <c r="E30913" s="35"/>
      <c r="J30913" s="41"/>
    </row>
    <row r="30914" spans="5:10" s="34" customFormat="1" x14ac:dyDescent="0.35">
      <c r="E30914" s="35"/>
      <c r="J30914" s="41"/>
    </row>
    <row r="30915" spans="5:10" s="34" customFormat="1" x14ac:dyDescent="0.35">
      <c r="E30915" s="35"/>
      <c r="J30915" s="41"/>
    </row>
    <row r="30916" spans="5:10" s="34" customFormat="1" x14ac:dyDescent="0.35">
      <c r="E30916" s="35"/>
      <c r="J30916" s="41"/>
    </row>
    <row r="30917" spans="5:10" s="34" customFormat="1" x14ac:dyDescent="0.35">
      <c r="E30917" s="35"/>
      <c r="J30917" s="41"/>
    </row>
    <row r="30918" spans="5:10" s="34" customFormat="1" x14ac:dyDescent="0.35">
      <c r="E30918" s="35"/>
      <c r="J30918" s="41"/>
    </row>
    <row r="30919" spans="5:10" s="34" customFormat="1" x14ac:dyDescent="0.35">
      <c r="E30919" s="35"/>
      <c r="J30919" s="41"/>
    </row>
    <row r="30920" spans="5:10" s="34" customFormat="1" x14ac:dyDescent="0.35">
      <c r="E30920" s="35"/>
      <c r="J30920" s="41"/>
    </row>
    <row r="30921" spans="5:10" s="34" customFormat="1" x14ac:dyDescent="0.35">
      <c r="E30921" s="35"/>
      <c r="J30921" s="41"/>
    </row>
    <row r="30922" spans="5:10" s="34" customFormat="1" x14ac:dyDescent="0.35">
      <c r="E30922" s="35"/>
      <c r="J30922" s="41"/>
    </row>
    <row r="30923" spans="5:10" s="34" customFormat="1" x14ac:dyDescent="0.35">
      <c r="E30923" s="35"/>
      <c r="J30923" s="41"/>
    </row>
    <row r="30924" spans="5:10" s="34" customFormat="1" x14ac:dyDescent="0.35">
      <c r="E30924" s="35"/>
      <c r="J30924" s="41"/>
    </row>
    <row r="30925" spans="5:10" s="34" customFormat="1" x14ac:dyDescent="0.35">
      <c r="E30925" s="35"/>
      <c r="J30925" s="41"/>
    </row>
    <row r="30926" spans="5:10" s="34" customFormat="1" x14ac:dyDescent="0.35">
      <c r="E30926" s="35"/>
      <c r="J30926" s="41"/>
    </row>
    <row r="30927" spans="5:10" s="34" customFormat="1" x14ac:dyDescent="0.35">
      <c r="E30927" s="35"/>
      <c r="J30927" s="41"/>
    </row>
    <row r="30928" spans="5:10" s="34" customFormat="1" x14ac:dyDescent="0.35">
      <c r="E30928" s="35"/>
      <c r="J30928" s="41"/>
    </row>
    <row r="30929" spans="5:10" s="34" customFormat="1" x14ac:dyDescent="0.35">
      <c r="E30929" s="35"/>
      <c r="J30929" s="41"/>
    </row>
    <row r="30930" spans="5:10" s="34" customFormat="1" x14ac:dyDescent="0.35">
      <c r="E30930" s="35"/>
      <c r="J30930" s="41"/>
    </row>
    <row r="30931" spans="5:10" s="34" customFormat="1" x14ac:dyDescent="0.35">
      <c r="E30931" s="35"/>
      <c r="J30931" s="41"/>
    </row>
    <row r="30932" spans="5:10" s="34" customFormat="1" x14ac:dyDescent="0.35">
      <c r="E30932" s="35"/>
      <c r="J30932" s="41"/>
    </row>
    <row r="30933" spans="5:10" s="34" customFormat="1" x14ac:dyDescent="0.35">
      <c r="E30933" s="35"/>
      <c r="J30933" s="41"/>
    </row>
    <row r="30934" spans="5:10" s="34" customFormat="1" x14ac:dyDescent="0.35">
      <c r="E30934" s="35"/>
      <c r="J30934" s="41"/>
    </row>
    <row r="30935" spans="5:10" s="34" customFormat="1" x14ac:dyDescent="0.35">
      <c r="E30935" s="35"/>
      <c r="J30935" s="41"/>
    </row>
    <row r="30936" spans="5:10" s="34" customFormat="1" x14ac:dyDescent="0.35">
      <c r="E30936" s="35"/>
      <c r="J30936" s="41"/>
    </row>
    <row r="30937" spans="5:10" s="34" customFormat="1" x14ac:dyDescent="0.35">
      <c r="E30937" s="35"/>
      <c r="J30937" s="41"/>
    </row>
    <row r="30938" spans="5:10" s="34" customFormat="1" x14ac:dyDescent="0.35">
      <c r="E30938" s="35"/>
      <c r="J30938" s="41"/>
    </row>
    <row r="30939" spans="5:10" s="34" customFormat="1" x14ac:dyDescent="0.35">
      <c r="E30939" s="35"/>
      <c r="J30939" s="41"/>
    </row>
    <row r="30940" spans="5:10" s="34" customFormat="1" x14ac:dyDescent="0.35">
      <c r="E30940" s="35"/>
      <c r="J30940" s="41"/>
    </row>
    <row r="30941" spans="5:10" s="34" customFormat="1" x14ac:dyDescent="0.35">
      <c r="E30941" s="35"/>
      <c r="J30941" s="41"/>
    </row>
    <row r="30942" spans="5:10" s="34" customFormat="1" x14ac:dyDescent="0.35">
      <c r="E30942" s="35"/>
      <c r="J30942" s="41"/>
    </row>
    <row r="30943" spans="5:10" s="34" customFormat="1" x14ac:dyDescent="0.35">
      <c r="E30943" s="35"/>
      <c r="J30943" s="41"/>
    </row>
    <row r="30944" spans="5:10" s="34" customFormat="1" x14ac:dyDescent="0.35">
      <c r="E30944" s="35"/>
      <c r="J30944" s="41"/>
    </row>
    <row r="30945" spans="5:10" s="34" customFormat="1" x14ac:dyDescent="0.35">
      <c r="E30945" s="35"/>
      <c r="J30945" s="41"/>
    </row>
    <row r="30946" spans="5:10" s="34" customFormat="1" x14ac:dyDescent="0.35">
      <c r="E30946" s="35"/>
      <c r="J30946" s="41"/>
    </row>
    <row r="30947" spans="5:10" s="34" customFormat="1" x14ac:dyDescent="0.35">
      <c r="E30947" s="35"/>
      <c r="J30947" s="41"/>
    </row>
    <row r="30948" spans="5:10" s="34" customFormat="1" x14ac:dyDescent="0.35">
      <c r="E30948" s="35"/>
      <c r="J30948" s="41"/>
    </row>
    <row r="30949" spans="5:10" s="34" customFormat="1" x14ac:dyDescent="0.35">
      <c r="E30949" s="35"/>
      <c r="J30949" s="41"/>
    </row>
    <row r="30950" spans="5:10" s="34" customFormat="1" x14ac:dyDescent="0.35">
      <c r="E30950" s="35"/>
      <c r="J30950" s="41"/>
    </row>
    <row r="30951" spans="5:10" s="34" customFormat="1" x14ac:dyDescent="0.35">
      <c r="E30951" s="35"/>
      <c r="J30951" s="41"/>
    </row>
    <row r="30952" spans="5:10" s="34" customFormat="1" x14ac:dyDescent="0.35">
      <c r="E30952" s="35"/>
      <c r="J30952" s="41"/>
    </row>
    <row r="30953" spans="5:10" s="34" customFormat="1" x14ac:dyDescent="0.35">
      <c r="E30953" s="35"/>
      <c r="J30953" s="41"/>
    </row>
    <row r="30954" spans="5:10" s="34" customFormat="1" x14ac:dyDescent="0.35">
      <c r="E30954" s="35"/>
      <c r="J30954" s="41"/>
    </row>
    <row r="30955" spans="5:10" s="34" customFormat="1" x14ac:dyDescent="0.35">
      <c r="E30955" s="35"/>
      <c r="J30955" s="41"/>
    </row>
    <row r="30956" spans="5:10" s="34" customFormat="1" x14ac:dyDescent="0.35">
      <c r="E30956" s="35"/>
      <c r="J30956" s="41"/>
    </row>
    <row r="30957" spans="5:10" s="34" customFormat="1" x14ac:dyDescent="0.35">
      <c r="E30957" s="35"/>
      <c r="J30957" s="41"/>
    </row>
    <row r="30958" spans="5:10" s="34" customFormat="1" x14ac:dyDescent="0.35">
      <c r="E30958" s="35"/>
      <c r="J30958" s="41"/>
    </row>
    <row r="1048576" spans="8:8" x14ac:dyDescent="0.35">
      <c r="H1048576" s="56"/>
    </row>
  </sheetData>
  <mergeCells count="7">
    <mergeCell ref="E39:Z39"/>
    <mergeCell ref="E1:Z3"/>
    <mergeCell ref="E5:F5"/>
    <mergeCell ref="G5:H5"/>
    <mergeCell ref="E19:Z19"/>
    <mergeCell ref="E29:Z29"/>
    <mergeCell ref="E9:Z9"/>
  </mergeCells>
  <phoneticPr fontId="28" type="noConversion"/>
  <dataValidations count="1">
    <dataValidation type="list" allowBlank="1" showInputMessage="1" showErrorMessage="1" sqref="F10:F17 F40:F47 F20:F27 F30:F37" xr:uid="{F5FE6EAF-D827-4810-8F94-6F18C77DA0C3}">
      <formula1>SKU.list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97557CC-2EC7-45F8-A49A-D63F4397F01B}">
          <x14:formula1>
            <xm:f>'VALIDATION LIST'!$A$59:$A$60</xm:f>
          </x14:formula1>
          <xm:sqref>K30:M37 Y30:Z37 AA14 Y40:Z47 Y20:Z27 K20:M27 K40:M47 K10:M17 Y10:Z17</xm:sqref>
        </x14:dataValidation>
        <x14:dataValidation type="list" allowBlank="1" showInputMessage="1" showErrorMessage="1" xr:uid="{756EB277-E9DF-42C4-956C-2D6912EE68D6}">
          <x14:formula1>
            <xm:f>'VALIDATION LIST'!$A$57:$A$58</xm:f>
          </x14:formula1>
          <xm:sqref>N10:O17 N30:O37 N40:O47 N20:O27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2" tint="-0.499984740745262"/>
  </sheetPr>
  <dimension ref="A1:BJ58"/>
  <sheetViews>
    <sheetView tabSelected="1" topLeftCell="B1" zoomScale="85" zoomScaleNormal="85" workbookViewId="0">
      <pane xSplit="3" ySplit="7" topLeftCell="E8" activePane="bottomRight" state="frozen"/>
      <selection pane="topRight" activeCell="E1" sqref="E1"/>
      <selection pane="bottomLeft" activeCell="B10" sqref="B10"/>
      <selection pane="bottomRight" activeCell="K15" sqref="K15"/>
    </sheetView>
  </sheetViews>
  <sheetFormatPr defaultColWidth="9.1796875" defaultRowHeight="18.5" x14ac:dyDescent="0.35"/>
  <cols>
    <col min="1" max="1" width="5" style="7" hidden="1" customWidth="1"/>
    <col min="2" max="2" width="5" style="7" customWidth="1"/>
    <col min="3" max="3" width="8.54296875" style="7" hidden="1" customWidth="1"/>
    <col min="4" max="4" width="4.26953125" style="7" customWidth="1"/>
    <col min="5" max="5" width="14" style="8" customWidth="1"/>
    <col min="6" max="6" width="12.54296875" style="8" customWidth="1"/>
    <col min="7" max="10" width="13.26953125" style="8" customWidth="1"/>
    <col min="11" max="11" width="14.54296875" style="8" customWidth="1"/>
    <col min="12" max="18" width="13.26953125" style="8" customWidth="1"/>
    <col min="19" max="19" width="4.81640625" style="7" customWidth="1"/>
    <col min="20" max="20" width="11.26953125" style="7" bestFit="1" customWidth="1"/>
    <col min="21" max="21" width="9.81640625" style="7" bestFit="1" customWidth="1"/>
    <col min="22" max="22" width="9.7265625" style="7" bestFit="1" customWidth="1"/>
    <col min="23" max="23" width="10.81640625" style="7" bestFit="1" customWidth="1"/>
    <col min="24" max="24" width="10.7265625" style="7" bestFit="1" customWidth="1"/>
    <col min="25" max="25" width="10.81640625" style="9" bestFit="1" customWidth="1"/>
    <col min="26" max="26" width="10.7265625" style="22" bestFit="1" customWidth="1"/>
    <col min="27" max="27" width="10.1796875" style="22" bestFit="1" customWidth="1"/>
    <col min="28" max="28" width="10.1796875" style="22" customWidth="1"/>
    <col min="29" max="34" width="12.1796875" style="22" customWidth="1"/>
    <col min="35" max="35" width="17" style="8" customWidth="1"/>
    <col min="36" max="36" width="15.453125" style="7" customWidth="1"/>
    <col min="37" max="37" width="10.1796875" style="7" bestFit="1" customWidth="1"/>
    <col min="38" max="39" width="10.1796875" style="7" customWidth="1"/>
    <col min="40" max="40" width="9.1796875" style="7" customWidth="1"/>
    <col min="41" max="41" width="15.81640625" style="7" customWidth="1"/>
    <col min="42" max="42" width="15" style="7" customWidth="1"/>
    <col min="43" max="52" width="9.1796875" style="7" customWidth="1"/>
    <col min="53" max="62" width="9.1796875" style="7"/>
    <col min="63" max="16384" width="9.1796875" style="8"/>
  </cols>
  <sheetData>
    <row r="1" spans="4:50" s="7" customFormat="1" ht="15.5" x14ac:dyDescent="0.35">
      <c r="E1" s="98">
        <f>L3</f>
        <v>46303</v>
      </c>
      <c r="F1" s="101"/>
      <c r="G1" s="347" t="s">
        <v>593</v>
      </c>
      <c r="H1" s="347"/>
      <c r="I1" s="347"/>
      <c r="J1" s="347"/>
      <c r="K1" s="347"/>
      <c r="L1" s="348" t="s">
        <v>594</v>
      </c>
      <c r="M1" s="349"/>
      <c r="N1" s="372" t="s">
        <v>122</v>
      </c>
      <c r="O1" s="376" t="s">
        <v>143</v>
      </c>
      <c r="P1" s="376" t="s">
        <v>144</v>
      </c>
      <c r="T1" s="346"/>
      <c r="U1" s="346"/>
      <c r="W1" s="346"/>
      <c r="X1" s="346"/>
      <c r="Z1" s="363" t="s">
        <v>595</v>
      </c>
      <c r="AA1" s="364"/>
      <c r="AB1" s="364"/>
      <c r="AC1" s="364"/>
      <c r="AD1" s="364"/>
      <c r="AE1" s="365"/>
      <c r="AF1" s="118"/>
      <c r="AG1" s="118"/>
      <c r="AH1" s="118"/>
      <c r="AI1" s="118"/>
    </row>
    <row r="2" spans="4:50" s="7" customFormat="1" ht="15.5" x14ac:dyDescent="0.35">
      <c r="E2" s="99">
        <f>N3</f>
        <v>0</v>
      </c>
      <c r="F2" s="102"/>
      <c r="G2" s="347" t="s">
        <v>596</v>
      </c>
      <c r="H2" s="347"/>
      <c r="I2" s="347"/>
      <c r="J2" s="347"/>
      <c r="K2" s="347"/>
      <c r="L2" s="350"/>
      <c r="M2" s="351"/>
      <c r="N2" s="373"/>
      <c r="O2" s="376"/>
      <c r="P2" s="376"/>
      <c r="T2" s="346"/>
      <c r="U2" s="346"/>
      <c r="W2" s="346"/>
      <c r="X2" s="346"/>
      <c r="Z2" s="366"/>
      <c r="AA2" s="367"/>
      <c r="AB2" s="367"/>
      <c r="AC2" s="367"/>
      <c r="AD2" s="367"/>
      <c r="AE2" s="368"/>
      <c r="AF2" s="118"/>
      <c r="AG2" s="118"/>
      <c r="AH2" s="118"/>
      <c r="AI2" s="118"/>
    </row>
    <row r="3" spans="4:50" s="7" customFormat="1" ht="15.5" x14ac:dyDescent="0.35">
      <c r="E3" s="99">
        <f>O3</f>
        <v>0</v>
      </c>
      <c r="F3" s="102"/>
      <c r="G3" s="347" t="s">
        <v>597</v>
      </c>
      <c r="H3" s="347"/>
      <c r="I3" s="347"/>
      <c r="J3" s="347"/>
      <c r="K3" s="347"/>
      <c r="L3" s="362">
        <v>46303</v>
      </c>
      <c r="M3" s="362"/>
      <c r="N3" s="374"/>
      <c r="O3" s="377"/>
      <c r="P3" s="377"/>
      <c r="T3" s="346"/>
      <c r="U3" s="346"/>
      <c r="W3" s="346"/>
      <c r="X3" s="346"/>
      <c r="Z3" s="366"/>
      <c r="AA3" s="367"/>
      <c r="AB3" s="367"/>
      <c r="AC3" s="367"/>
      <c r="AD3" s="367"/>
      <c r="AE3" s="368"/>
      <c r="AF3" s="118"/>
      <c r="AG3" s="118"/>
      <c r="AH3" s="118"/>
      <c r="AI3" s="118"/>
    </row>
    <row r="4" spans="4:50" s="7" customFormat="1" ht="15.5" x14ac:dyDescent="0.35">
      <c r="E4" s="100">
        <f>P3</f>
        <v>0</v>
      </c>
      <c r="F4" s="103"/>
      <c r="G4" s="347" t="s">
        <v>598</v>
      </c>
      <c r="H4" s="347"/>
      <c r="I4" s="347"/>
      <c r="J4" s="347"/>
      <c r="K4" s="347"/>
      <c r="L4" s="362"/>
      <c r="M4" s="362"/>
      <c r="N4" s="375"/>
      <c r="O4" s="378"/>
      <c r="P4" s="378"/>
      <c r="T4" s="346"/>
      <c r="U4" s="346"/>
      <c r="W4" s="346"/>
      <c r="X4" s="346"/>
      <c r="Z4" s="366"/>
      <c r="AA4" s="367"/>
      <c r="AB4" s="367"/>
      <c r="AC4" s="367"/>
      <c r="AD4" s="367"/>
      <c r="AE4" s="368"/>
      <c r="AF4" s="118"/>
      <c r="AG4" s="118"/>
      <c r="AH4" s="118"/>
      <c r="AI4" s="118"/>
    </row>
    <row r="5" spans="4:50" s="7" customFormat="1" ht="16" thickBot="1" x14ac:dyDescent="0.4">
      <c r="E5" s="6"/>
      <c r="F5" s="6"/>
      <c r="H5" s="6"/>
      <c r="I5" s="6"/>
      <c r="J5" s="6"/>
      <c r="K5" s="6"/>
      <c r="L5" s="6"/>
      <c r="M5" s="6"/>
      <c r="N5" s="6"/>
      <c r="O5" s="6"/>
      <c r="P5" s="6"/>
      <c r="Z5" s="366"/>
      <c r="AA5" s="367"/>
      <c r="AB5" s="367"/>
      <c r="AC5" s="367"/>
      <c r="AD5" s="367"/>
      <c r="AE5" s="368"/>
      <c r="AF5" s="118"/>
      <c r="AG5" s="118"/>
      <c r="AH5" s="118"/>
      <c r="AI5" s="118"/>
    </row>
    <row r="6" spans="4:50" ht="15.75" customHeight="1" thickBot="1" x14ac:dyDescent="0.4">
      <c r="D6" s="20"/>
      <c r="E6" s="352" t="s">
        <v>599</v>
      </c>
      <c r="F6" s="353"/>
      <c r="G6" s="20"/>
      <c r="H6" s="352" t="s">
        <v>600</v>
      </c>
      <c r="I6" s="353"/>
      <c r="J6" s="6"/>
      <c r="K6" s="345" t="s">
        <v>601</v>
      </c>
      <c r="L6" s="345"/>
      <c r="M6" s="345"/>
      <c r="N6" s="345"/>
      <c r="O6" s="345"/>
      <c r="P6" s="345"/>
      <c r="Q6" s="345"/>
      <c r="R6" s="345"/>
      <c r="Y6" s="7"/>
      <c r="Z6" s="369"/>
      <c r="AA6" s="370"/>
      <c r="AB6" s="370"/>
      <c r="AC6" s="370"/>
      <c r="AD6" s="370"/>
      <c r="AE6" s="371"/>
      <c r="AF6" s="118"/>
      <c r="AG6" s="118"/>
      <c r="AH6" s="118"/>
      <c r="AI6" s="118"/>
      <c r="AO6" s="8"/>
      <c r="AP6" s="8"/>
      <c r="AQ6" s="8"/>
      <c r="AR6" s="8"/>
      <c r="AS6" s="8"/>
      <c r="AT6" s="8"/>
      <c r="AU6" s="8"/>
      <c r="AV6" s="8"/>
      <c r="AW6" s="8"/>
      <c r="AX6" s="8"/>
    </row>
    <row r="7" spans="4:50" ht="33" customHeight="1" x14ac:dyDescent="0.35">
      <c r="D7" s="20"/>
      <c r="E7" s="354"/>
      <c r="F7" s="355"/>
      <c r="G7" s="20"/>
      <c r="H7" s="354"/>
      <c r="I7" s="355"/>
      <c r="J7" s="6"/>
      <c r="K7" s="358"/>
      <c r="L7" s="359"/>
      <c r="M7" s="379"/>
      <c r="N7" s="380"/>
      <c r="O7" s="356"/>
      <c r="P7" s="357"/>
      <c r="Q7" s="381"/>
      <c r="R7" s="382"/>
      <c r="Y7" s="7"/>
      <c r="Z7" s="7"/>
      <c r="AA7" s="7"/>
      <c r="AB7" s="7"/>
      <c r="AC7" s="118"/>
      <c r="AD7" s="118"/>
      <c r="AE7" s="118"/>
      <c r="AF7" s="118"/>
      <c r="AG7" s="118"/>
      <c r="AH7" s="118"/>
      <c r="AI7" s="118"/>
      <c r="AO7" s="8"/>
      <c r="AP7" s="8"/>
      <c r="AQ7" s="8"/>
      <c r="AR7" s="8"/>
      <c r="AS7" s="8"/>
      <c r="AT7" s="8"/>
      <c r="AU7" s="8"/>
      <c r="AV7" s="8"/>
      <c r="AW7" s="8"/>
      <c r="AX7" s="8"/>
    </row>
    <row r="8" spans="4:50" ht="15.5" x14ac:dyDescent="0.35">
      <c r="D8" s="20"/>
      <c r="E8" s="20"/>
      <c r="F8" s="20"/>
      <c r="G8" s="20"/>
      <c r="H8" s="20"/>
      <c r="I8" s="20"/>
      <c r="J8" s="6"/>
      <c r="K8" s="6"/>
      <c r="L8" s="6"/>
      <c r="M8" s="6"/>
      <c r="N8" s="6"/>
      <c r="O8" s="6"/>
      <c r="P8" s="6"/>
      <c r="Q8" s="6"/>
      <c r="R8" s="6"/>
      <c r="T8" s="361" t="s">
        <v>602</v>
      </c>
      <c r="U8" s="361"/>
      <c r="V8" s="361"/>
      <c r="W8" s="361"/>
      <c r="X8" s="361"/>
      <c r="Y8" s="361"/>
      <c r="Z8" s="361"/>
      <c r="AA8" s="361"/>
      <c r="AB8" s="260"/>
      <c r="AC8" s="118"/>
      <c r="AD8" s="118"/>
      <c r="AE8" s="118"/>
      <c r="AF8" s="118"/>
      <c r="AG8" s="118"/>
      <c r="AH8" s="118"/>
      <c r="AI8" s="118"/>
      <c r="AO8" s="8"/>
      <c r="AP8" s="8"/>
      <c r="AQ8" s="8"/>
      <c r="AR8" s="8"/>
      <c r="AS8" s="8"/>
      <c r="AT8" s="8"/>
      <c r="AU8" s="8"/>
      <c r="AV8" s="8"/>
      <c r="AW8" s="8"/>
      <c r="AX8" s="8"/>
    </row>
    <row r="9" spans="4:50" s="20" customFormat="1" ht="15.5" x14ac:dyDescent="0.35">
      <c r="J9" s="6"/>
      <c r="K9" s="6"/>
      <c r="L9" s="6"/>
      <c r="M9" s="6"/>
      <c r="N9" s="6"/>
      <c r="O9" s="6"/>
      <c r="P9" s="6"/>
      <c r="Q9" s="6"/>
      <c r="R9" s="6"/>
      <c r="U9" s="360"/>
      <c r="V9" s="360"/>
      <c r="Z9" s="7"/>
      <c r="AA9" s="7"/>
      <c r="AB9" s="7"/>
      <c r="AC9" s="361" t="s">
        <v>603</v>
      </c>
      <c r="AD9" s="361"/>
      <c r="AE9" s="361" t="s">
        <v>604</v>
      </c>
      <c r="AF9" s="361"/>
      <c r="AG9" s="361" t="s">
        <v>605</v>
      </c>
      <c r="AH9" s="361"/>
      <c r="AI9" s="262"/>
      <c r="AJ9" s="262"/>
      <c r="AK9" s="262"/>
      <c r="AL9" s="262"/>
      <c r="AM9" s="262"/>
      <c r="AN9" s="262"/>
    </row>
    <row r="10" spans="4:50" s="7" customFormat="1" ht="15.5" x14ac:dyDescent="0.35">
      <c r="E10" s="20"/>
      <c r="F10" s="20"/>
      <c r="G10" s="20"/>
      <c r="H10" s="20"/>
      <c r="I10" s="20"/>
      <c r="J10" s="6"/>
      <c r="K10" s="6"/>
      <c r="L10" s="6"/>
      <c r="N10" s="6"/>
      <c r="O10" s="20"/>
      <c r="P10" s="20"/>
      <c r="Q10" s="20"/>
      <c r="R10" s="20"/>
      <c r="S10" s="20"/>
      <c r="T10" s="119" t="s">
        <v>219</v>
      </c>
      <c r="U10" s="119" t="s">
        <v>606</v>
      </c>
      <c r="V10" s="119" t="s">
        <v>607</v>
      </c>
      <c r="W10" s="119" t="s">
        <v>608</v>
      </c>
      <c r="X10" s="119" t="s">
        <v>609</v>
      </c>
      <c r="Y10" s="119" t="s">
        <v>610</v>
      </c>
      <c r="Z10" s="119" t="s">
        <v>611</v>
      </c>
      <c r="AA10" s="120" t="s">
        <v>612</v>
      </c>
      <c r="AB10" s="120"/>
      <c r="AC10" s="260" t="s">
        <v>235</v>
      </c>
      <c r="AD10" s="260" t="s">
        <v>236</v>
      </c>
      <c r="AE10" s="260" t="s">
        <v>235</v>
      </c>
      <c r="AF10" s="260" t="s">
        <v>236</v>
      </c>
      <c r="AG10" s="260" t="s">
        <v>235</v>
      </c>
      <c r="AH10" s="260" t="s">
        <v>236</v>
      </c>
      <c r="AI10" s="120" t="s">
        <v>613</v>
      </c>
      <c r="AJ10" s="120" t="s">
        <v>614</v>
      </c>
      <c r="AK10" s="120" t="s">
        <v>602</v>
      </c>
    </row>
    <row r="11" spans="4:50" s="7" customFormat="1" ht="15.5" x14ac:dyDescent="0.35">
      <c r="E11" s="20"/>
      <c r="F11" s="20"/>
      <c r="G11" s="20"/>
      <c r="H11" s="20"/>
      <c r="I11" s="20"/>
      <c r="J11" s="6"/>
      <c r="K11" s="6"/>
      <c r="L11" s="6"/>
      <c r="M11" s="6"/>
      <c r="N11" s="6"/>
      <c r="O11" s="20"/>
      <c r="P11" s="20"/>
      <c r="Q11" s="20"/>
      <c r="R11" s="20"/>
      <c r="S11" s="20"/>
      <c r="T11" s="194">
        <v>46023</v>
      </c>
      <c r="U11" s="119">
        <v>5986</v>
      </c>
      <c r="V11" s="119">
        <v>6465</v>
      </c>
      <c r="W11" s="119">
        <v>1693</v>
      </c>
      <c r="X11" s="119">
        <v>1693</v>
      </c>
      <c r="Y11" s="263">
        <v>7679</v>
      </c>
      <c r="Z11" s="263">
        <v>8158</v>
      </c>
      <c r="AA11" s="121">
        <f t="shared" ref="AA11:AA17" si="0">Y11/Z11</f>
        <v>0.9412846285854376</v>
      </c>
      <c r="AB11" s="335">
        <f>T11</f>
        <v>46023</v>
      </c>
      <c r="AC11" s="264">
        <v>7781</v>
      </c>
      <c r="AD11" s="264">
        <f>7781+120</f>
        <v>7901</v>
      </c>
      <c r="AE11" s="264">
        <f t="shared" ref="AE11:AF14" si="1">+AC11+U11</f>
        <v>13767</v>
      </c>
      <c r="AF11" s="264">
        <f t="shared" si="1"/>
        <v>14366</v>
      </c>
      <c r="AG11" s="264">
        <f>+W11</f>
        <v>1693</v>
      </c>
      <c r="AH11" s="264">
        <f>+X11</f>
        <v>1693</v>
      </c>
      <c r="AI11" s="121">
        <f>+AE11/AF11</f>
        <v>0.95830432966726997</v>
      </c>
      <c r="AJ11" s="121">
        <f>+AG11/AH11</f>
        <v>1</v>
      </c>
      <c r="AK11" s="121">
        <f t="shared" ref="AK11:AK17" si="2">SUM(AE11,AG11)/SUM(AF11,AH11)</f>
        <v>0.96270004358926453</v>
      </c>
    </row>
    <row r="12" spans="4:50" s="7" customFormat="1" ht="15.5" x14ac:dyDescent="0.35">
      <c r="E12" s="20"/>
      <c r="F12" s="20"/>
      <c r="G12" s="20"/>
      <c r="H12" s="20"/>
      <c r="I12" s="20"/>
      <c r="J12" s="6"/>
      <c r="K12" s="6"/>
      <c r="L12" s="6"/>
      <c r="M12" s="20"/>
      <c r="N12" s="20"/>
      <c r="O12" s="20"/>
      <c r="P12" s="20"/>
      <c r="Q12" s="20"/>
      <c r="R12" s="20"/>
      <c r="S12" s="20"/>
      <c r="T12" s="194">
        <v>46054</v>
      </c>
      <c r="U12" s="119">
        <v>5259</v>
      </c>
      <c r="V12" s="119">
        <v>5594</v>
      </c>
      <c r="W12" s="119">
        <v>1539</v>
      </c>
      <c r="X12" s="119">
        <v>1539</v>
      </c>
      <c r="Y12" s="263">
        <v>6798</v>
      </c>
      <c r="Z12" s="263">
        <v>7133</v>
      </c>
      <c r="AA12" s="121">
        <f t="shared" si="0"/>
        <v>0.95303518856021308</v>
      </c>
      <c r="AB12" s="335">
        <f t="shared" ref="AB12:AB17" si="3">T12</f>
        <v>46054</v>
      </c>
      <c r="AC12" s="264">
        <v>5515</v>
      </c>
      <c r="AD12" s="264">
        <v>5515</v>
      </c>
      <c r="AE12" s="264">
        <f t="shared" si="1"/>
        <v>10774</v>
      </c>
      <c r="AF12" s="264">
        <f t="shared" si="1"/>
        <v>11109</v>
      </c>
      <c r="AG12" s="264">
        <f t="shared" ref="AG12:AG14" si="4">+W12</f>
        <v>1539</v>
      </c>
      <c r="AH12" s="264">
        <f t="shared" ref="AH12:AH14" si="5">+X12</f>
        <v>1539</v>
      </c>
      <c r="AI12" s="121">
        <f t="shared" ref="AI12:AI14" si="6">+AE12/AF12</f>
        <v>0.96984427041137811</v>
      </c>
      <c r="AJ12" s="121">
        <f t="shared" ref="AJ12:AJ14" si="7">+AG12/AH12</f>
        <v>1</v>
      </c>
      <c r="AK12" s="121">
        <f t="shared" si="2"/>
        <v>0.97351359898798229</v>
      </c>
    </row>
    <row r="13" spans="4:50" s="7" customFormat="1" ht="15.5" x14ac:dyDescent="0.35">
      <c r="E13" s="20"/>
      <c r="F13" s="20"/>
      <c r="G13" s="20"/>
      <c r="H13" s="20"/>
      <c r="I13" s="20"/>
      <c r="J13" s="6"/>
      <c r="K13" s="6"/>
      <c r="L13" s="6"/>
      <c r="P13" s="20"/>
      <c r="S13" s="20"/>
      <c r="T13" s="194">
        <v>46082</v>
      </c>
      <c r="U13" s="119">
        <v>6266</v>
      </c>
      <c r="V13" s="119">
        <v>6930</v>
      </c>
      <c r="W13" s="119">
        <v>1881</v>
      </c>
      <c r="X13" s="119">
        <v>1883</v>
      </c>
      <c r="Y13" s="263">
        <v>8147</v>
      </c>
      <c r="Z13" s="263">
        <v>8813</v>
      </c>
      <c r="AA13" s="121">
        <f t="shared" si="0"/>
        <v>0.92442981958470438</v>
      </c>
      <c r="AB13" s="335">
        <f t="shared" si="3"/>
        <v>46082</v>
      </c>
      <c r="AC13" s="264">
        <v>5932</v>
      </c>
      <c r="AD13" s="264">
        <v>5932</v>
      </c>
      <c r="AE13" s="264">
        <f t="shared" si="1"/>
        <v>12198</v>
      </c>
      <c r="AF13" s="264">
        <f t="shared" si="1"/>
        <v>12862</v>
      </c>
      <c r="AG13" s="264">
        <f t="shared" si="4"/>
        <v>1881</v>
      </c>
      <c r="AH13" s="264">
        <f t="shared" si="5"/>
        <v>1883</v>
      </c>
      <c r="AI13" s="121">
        <f t="shared" si="6"/>
        <v>0.94837505831130464</v>
      </c>
      <c r="AJ13" s="121">
        <f t="shared" si="7"/>
        <v>0.99893786510886884</v>
      </c>
      <c r="AK13" s="121">
        <f t="shared" si="2"/>
        <v>0.95483214649033565</v>
      </c>
    </row>
    <row r="14" spans="4:50" s="7" customFormat="1" ht="15.5" x14ac:dyDescent="0.35">
      <c r="E14" s="20"/>
      <c r="F14" s="20"/>
      <c r="G14" s="20"/>
      <c r="H14" s="20"/>
      <c r="I14" s="20"/>
      <c r="J14" s="6"/>
      <c r="K14" s="6"/>
      <c r="L14" s="6"/>
      <c r="S14" s="20"/>
      <c r="T14" s="194">
        <v>46113</v>
      </c>
      <c r="U14" s="119">
        <v>2873</v>
      </c>
      <c r="V14" s="119">
        <v>3226</v>
      </c>
      <c r="W14" s="119">
        <v>753</v>
      </c>
      <c r="X14" s="119">
        <v>754</v>
      </c>
      <c r="Y14" s="263">
        <v>3626</v>
      </c>
      <c r="Z14" s="263">
        <v>3980</v>
      </c>
      <c r="AA14" s="121">
        <f t="shared" si="0"/>
        <v>0.91105527638190953</v>
      </c>
      <c r="AB14" s="335">
        <f t="shared" si="3"/>
        <v>46113</v>
      </c>
      <c r="AC14" s="7">
        <v>2202</v>
      </c>
      <c r="AD14" s="7">
        <v>2202</v>
      </c>
      <c r="AE14" s="264">
        <f t="shared" si="1"/>
        <v>5075</v>
      </c>
      <c r="AF14" s="264">
        <f t="shared" si="1"/>
        <v>5428</v>
      </c>
      <c r="AG14" s="264">
        <f t="shared" si="4"/>
        <v>753</v>
      </c>
      <c r="AH14" s="264">
        <f t="shared" si="5"/>
        <v>754</v>
      </c>
      <c r="AI14" s="121">
        <f t="shared" si="6"/>
        <v>0.93496683861459096</v>
      </c>
      <c r="AJ14" s="121">
        <f t="shared" si="7"/>
        <v>0.99867374005305043</v>
      </c>
      <c r="AK14" s="121">
        <f t="shared" si="2"/>
        <v>0.94273697832416692</v>
      </c>
    </row>
    <row r="15" spans="4:50" s="7" customFormat="1" ht="15.5" x14ac:dyDescent="0.35">
      <c r="E15" s="20"/>
      <c r="F15" s="20"/>
      <c r="G15" s="20"/>
      <c r="H15" s="20"/>
      <c r="I15" s="20"/>
      <c r="J15" s="6"/>
      <c r="K15" s="6"/>
      <c r="L15" s="6"/>
      <c r="T15" s="194">
        <v>46143</v>
      </c>
      <c r="U15" s="119">
        <v>4225</v>
      </c>
      <c r="V15" s="119">
        <v>4716</v>
      </c>
      <c r="W15" s="119">
        <v>1141</v>
      </c>
      <c r="X15" s="119">
        <v>1141</v>
      </c>
      <c r="Y15" s="263">
        <v>5366</v>
      </c>
      <c r="Z15" s="263">
        <v>5857</v>
      </c>
      <c r="AA15" s="121">
        <f t="shared" si="0"/>
        <v>0.9161686870411474</v>
      </c>
      <c r="AB15" s="335">
        <f t="shared" si="3"/>
        <v>46143</v>
      </c>
      <c r="AC15" s="7">
        <v>3689</v>
      </c>
      <c r="AD15" s="7">
        <v>3689</v>
      </c>
      <c r="AE15" s="264">
        <f t="shared" ref="AE15" si="8">+AC15+U15</f>
        <v>7914</v>
      </c>
      <c r="AF15" s="264">
        <f t="shared" ref="AF15" si="9">+AD15+V15</f>
        <v>8405</v>
      </c>
      <c r="AG15" s="264">
        <f t="shared" ref="AG15" si="10">+W15</f>
        <v>1141</v>
      </c>
      <c r="AH15" s="264">
        <f t="shared" ref="AH15" si="11">+X15</f>
        <v>1141</v>
      </c>
      <c r="AI15" s="121">
        <f t="shared" ref="AI15" si="12">+AE15/AF15</f>
        <v>0.9415823914336704</v>
      </c>
      <c r="AJ15" s="121">
        <f t="shared" ref="AJ15" si="13">+AG15/AH15</f>
        <v>1</v>
      </c>
      <c r="AK15" s="121">
        <f t="shared" si="2"/>
        <v>0.94856484391368112</v>
      </c>
    </row>
    <row r="16" spans="4:50" s="7" customFormat="1" ht="15.5" x14ac:dyDescent="0.35">
      <c r="E16" s="20"/>
      <c r="F16" s="20"/>
      <c r="G16" s="20"/>
      <c r="H16" s="20"/>
      <c r="I16" s="20"/>
      <c r="J16" s="6"/>
      <c r="K16" s="6"/>
      <c r="L16" s="6"/>
      <c r="M16" s="20" t="s">
        <v>420</v>
      </c>
      <c r="N16" s="20"/>
      <c r="O16" s="20"/>
      <c r="P16" s="20"/>
      <c r="R16" s="20"/>
      <c r="T16" s="194">
        <v>46174</v>
      </c>
      <c r="U16" s="119">
        <v>4620</v>
      </c>
      <c r="V16" s="119">
        <v>5007</v>
      </c>
      <c r="W16" s="119">
        <v>1315</v>
      </c>
      <c r="X16" s="119">
        <v>1315</v>
      </c>
      <c r="Y16" s="263">
        <v>5935</v>
      </c>
      <c r="Z16" s="263">
        <v>6322</v>
      </c>
      <c r="AA16" s="121">
        <f t="shared" si="0"/>
        <v>0.93878519455868392</v>
      </c>
      <c r="AB16" s="335">
        <f t="shared" si="3"/>
        <v>46174</v>
      </c>
      <c r="AC16" s="7">
        <v>3187</v>
      </c>
      <c r="AD16" s="7">
        <v>3187</v>
      </c>
      <c r="AE16" s="264">
        <f t="shared" ref="AE16:AE17" si="14">+AC16+U16</f>
        <v>7807</v>
      </c>
      <c r="AF16" s="264">
        <f t="shared" ref="AF16:AF17" si="15">+AD16+V16</f>
        <v>8194</v>
      </c>
      <c r="AG16" s="264">
        <f t="shared" ref="AG16:AG17" si="16">+W16</f>
        <v>1315</v>
      </c>
      <c r="AH16" s="264">
        <f t="shared" ref="AH16:AH17" si="17">+X16</f>
        <v>1315</v>
      </c>
      <c r="AI16" s="121">
        <f t="shared" ref="AI16:AI17" si="18">+AE16/AF16</f>
        <v>0.95277031974615567</v>
      </c>
      <c r="AJ16" s="121">
        <f t="shared" ref="AJ16:AJ17" si="19">+AG16/AH16</f>
        <v>1</v>
      </c>
      <c r="AK16" s="121">
        <f t="shared" si="2"/>
        <v>0.95930171416552734</v>
      </c>
    </row>
    <row r="17" spans="5:41" s="7" customFormat="1" ht="15.5" x14ac:dyDescent="0.35">
      <c r="E17" s="20"/>
      <c r="F17" s="20"/>
      <c r="G17" s="20"/>
      <c r="H17" s="20"/>
      <c r="I17" s="20"/>
      <c r="J17" s="6"/>
      <c r="K17" s="6"/>
      <c r="L17" s="6"/>
      <c r="M17" s="20"/>
      <c r="N17" s="20"/>
      <c r="O17" s="20"/>
      <c r="P17" s="20"/>
      <c r="Q17" s="20"/>
      <c r="R17" s="20"/>
      <c r="T17" s="194">
        <v>46204</v>
      </c>
      <c r="U17" s="119">
        <v>5028</v>
      </c>
      <c r="V17" s="119">
        <v>5385</v>
      </c>
      <c r="W17" s="119">
        <v>1508</v>
      </c>
      <c r="X17" s="119">
        <v>1508</v>
      </c>
      <c r="Y17" s="263">
        <v>6536</v>
      </c>
      <c r="Z17" s="263">
        <v>6893</v>
      </c>
      <c r="AA17" s="121">
        <f t="shared" si="0"/>
        <v>0.94820832728855364</v>
      </c>
      <c r="AB17" s="335">
        <f t="shared" si="3"/>
        <v>46204</v>
      </c>
      <c r="AC17" s="7">
        <v>5055</v>
      </c>
      <c r="AD17" s="7">
        <v>5055</v>
      </c>
      <c r="AE17" s="264">
        <f t="shared" si="14"/>
        <v>10083</v>
      </c>
      <c r="AF17" s="264">
        <f t="shared" si="15"/>
        <v>10440</v>
      </c>
      <c r="AG17" s="264">
        <f t="shared" si="16"/>
        <v>1508</v>
      </c>
      <c r="AH17" s="264">
        <f t="shared" si="17"/>
        <v>1508</v>
      </c>
      <c r="AI17" s="121">
        <f t="shared" si="18"/>
        <v>0.96580459770114946</v>
      </c>
      <c r="AJ17" s="121">
        <f t="shared" si="19"/>
        <v>1</v>
      </c>
      <c r="AK17" s="121">
        <f t="shared" si="2"/>
        <v>0.97012052226314027</v>
      </c>
    </row>
    <row r="18" spans="5:41" s="7" customFormat="1" ht="15.5" x14ac:dyDescent="0.35">
      <c r="E18" s="20"/>
      <c r="F18" s="20"/>
      <c r="G18" s="20"/>
      <c r="H18" s="20"/>
      <c r="I18" s="20"/>
      <c r="J18" s="6"/>
      <c r="K18" s="6"/>
      <c r="L18" s="6"/>
      <c r="M18" s="20"/>
      <c r="N18" s="20"/>
      <c r="O18" s="20"/>
      <c r="P18" s="20"/>
      <c r="Q18" s="20"/>
      <c r="R18" s="20"/>
      <c r="T18" s="194">
        <v>46235</v>
      </c>
      <c r="U18" s="119">
        <v>4828</v>
      </c>
      <c r="V18" s="119">
        <v>5376</v>
      </c>
      <c r="W18" s="119">
        <v>1738</v>
      </c>
      <c r="X18" s="119">
        <v>1738</v>
      </c>
      <c r="Y18" s="263">
        <v>6566</v>
      </c>
      <c r="Z18" s="263">
        <v>7114</v>
      </c>
      <c r="AA18" s="121">
        <f t="shared" ref="AA18:AA20" si="20">Y18/Z18</f>
        <v>0.922968793927467</v>
      </c>
      <c r="AB18" s="335">
        <f t="shared" ref="AB18:AB20" si="21">T18</f>
        <v>46235</v>
      </c>
      <c r="AC18" s="7">
        <f>1771+1483+2000</f>
        <v>5254</v>
      </c>
      <c r="AD18" s="7">
        <f>1771+1483+2000</f>
        <v>5254</v>
      </c>
      <c r="AE18" s="264">
        <f t="shared" ref="AE18:AE20" si="22">+AC18+U18</f>
        <v>10082</v>
      </c>
      <c r="AF18" s="264">
        <f t="shared" ref="AF18:AF20" si="23">+AD18+V18</f>
        <v>10630</v>
      </c>
      <c r="AG18" s="264">
        <f t="shared" ref="AG18:AG20" si="24">+W18</f>
        <v>1738</v>
      </c>
      <c r="AH18" s="264">
        <f t="shared" ref="AH18:AH20" si="25">+X18</f>
        <v>1738</v>
      </c>
      <c r="AI18" s="121">
        <f t="shared" ref="AI18:AI20" si="26">+AE18/AF18</f>
        <v>0.948447789275635</v>
      </c>
      <c r="AJ18" s="121">
        <f t="shared" ref="AJ18:AJ20" si="27">+AG18/AH18</f>
        <v>1</v>
      </c>
      <c r="AK18" s="121">
        <f t="shared" ref="AK18:AK20" si="28">SUM(AE18,AG18)/SUM(AF18,AH18)</f>
        <v>0.95569210866752907</v>
      </c>
    </row>
    <row r="19" spans="5:41" s="7" customFormat="1" ht="15.5" x14ac:dyDescent="0.35">
      <c r="E19" s="20"/>
      <c r="F19" s="20"/>
      <c r="G19" s="20"/>
      <c r="H19" s="20"/>
      <c r="I19" s="20"/>
      <c r="J19" s="6"/>
      <c r="K19" s="6"/>
      <c r="L19" s="6"/>
      <c r="M19" s="20"/>
      <c r="N19" s="20"/>
      <c r="O19" s="20"/>
      <c r="P19" s="20"/>
      <c r="Q19" s="20"/>
      <c r="R19" s="20"/>
      <c r="T19" s="194">
        <v>46266</v>
      </c>
      <c r="U19" s="119">
        <v>3279</v>
      </c>
      <c r="V19" s="119">
        <v>3765</v>
      </c>
      <c r="W19" s="119">
        <v>1246</v>
      </c>
      <c r="X19" s="119">
        <v>1250</v>
      </c>
      <c r="Y19" s="263">
        <v>4525</v>
      </c>
      <c r="Z19" s="263">
        <v>5015</v>
      </c>
      <c r="AA19" s="121">
        <f t="shared" si="20"/>
        <v>0.90229312063808575</v>
      </c>
      <c r="AB19" s="335">
        <f t="shared" si="21"/>
        <v>46266</v>
      </c>
      <c r="AC19" s="7">
        <f>1112+1354+1771</f>
        <v>4237</v>
      </c>
      <c r="AD19" s="7">
        <f>1112+1354+1771</f>
        <v>4237</v>
      </c>
      <c r="AE19" s="264">
        <f t="shared" si="22"/>
        <v>7516</v>
      </c>
      <c r="AF19" s="264">
        <f t="shared" si="23"/>
        <v>8002</v>
      </c>
      <c r="AG19" s="264">
        <f t="shared" si="24"/>
        <v>1246</v>
      </c>
      <c r="AH19" s="264">
        <f>+X19</f>
        <v>1250</v>
      </c>
      <c r="AI19" s="121">
        <f t="shared" si="26"/>
        <v>0.93926518370407397</v>
      </c>
      <c r="AJ19" s="121">
        <f t="shared" si="27"/>
        <v>0.99680000000000002</v>
      </c>
      <c r="AK19" s="121">
        <f t="shared" si="28"/>
        <v>0.9470384781668828</v>
      </c>
    </row>
    <row r="20" spans="5:41" s="7" customFormat="1" ht="15.5" x14ac:dyDescent="0.35">
      <c r="E20" s="20"/>
      <c r="F20" s="20"/>
      <c r="G20" s="20"/>
      <c r="H20" s="20"/>
      <c r="I20" s="20"/>
      <c r="J20" s="6"/>
      <c r="K20" s="6"/>
      <c r="L20" s="6"/>
      <c r="M20" s="20"/>
      <c r="N20" s="20"/>
      <c r="O20" s="20"/>
      <c r="P20" s="20"/>
      <c r="Q20" s="20"/>
      <c r="R20" s="20"/>
      <c r="T20" s="194">
        <v>46296</v>
      </c>
      <c r="U20" s="119">
        <v>428</v>
      </c>
      <c r="V20" s="119">
        <v>505</v>
      </c>
      <c r="W20" s="119">
        <v>126</v>
      </c>
      <c r="X20" s="119">
        <v>126</v>
      </c>
      <c r="Y20" s="263">
        <v>554</v>
      </c>
      <c r="Z20" s="263">
        <v>631</v>
      </c>
      <c r="AA20" s="121">
        <f t="shared" si="20"/>
        <v>0.87797147385103014</v>
      </c>
      <c r="AB20" s="335">
        <f t="shared" si="21"/>
        <v>46296</v>
      </c>
      <c r="AE20" s="264">
        <f t="shared" si="22"/>
        <v>428</v>
      </c>
      <c r="AF20" s="264">
        <f t="shared" si="23"/>
        <v>505</v>
      </c>
      <c r="AG20" s="264">
        <f t="shared" si="24"/>
        <v>126</v>
      </c>
      <c r="AH20" s="264">
        <f t="shared" si="25"/>
        <v>126</v>
      </c>
      <c r="AI20" s="121">
        <f t="shared" si="26"/>
        <v>0.8475247524752475</v>
      </c>
      <c r="AJ20" s="121">
        <f t="shared" si="27"/>
        <v>1</v>
      </c>
      <c r="AK20" s="121">
        <f t="shared" si="28"/>
        <v>0.87797147385103014</v>
      </c>
    </row>
    <row r="21" spans="5:41" s="7" customFormat="1" ht="15.5" x14ac:dyDescent="0.35">
      <c r="E21" s="20"/>
      <c r="F21" s="20"/>
      <c r="G21" s="20"/>
      <c r="H21" s="20"/>
      <c r="I21" s="20"/>
      <c r="J21" s="6"/>
      <c r="K21" s="6"/>
      <c r="L21" s="6"/>
      <c r="T21" s="194" t="s">
        <v>333</v>
      </c>
      <c r="U21" s="119">
        <v>42792</v>
      </c>
      <c r="V21" s="119">
        <v>46969</v>
      </c>
      <c r="W21" s="119">
        <v>12940</v>
      </c>
      <c r="X21" s="119">
        <v>12947</v>
      </c>
      <c r="Y21" s="263">
        <v>55732</v>
      </c>
      <c r="Z21" s="263">
        <v>59916</v>
      </c>
      <c r="AC21" s="118"/>
      <c r="AD21" s="118"/>
    </row>
    <row r="22" spans="5:41" s="7" customFormat="1" ht="15.5" x14ac:dyDescent="0.35">
      <c r="E22" s="20"/>
      <c r="F22" s="20"/>
      <c r="G22" s="20"/>
      <c r="H22" s="20"/>
      <c r="I22" s="20"/>
      <c r="J22" s="6"/>
      <c r="K22" s="6"/>
      <c r="L22" s="6"/>
      <c r="AC22" s="118"/>
      <c r="AD22" s="118"/>
      <c r="AI22"/>
      <c r="AJ22"/>
      <c r="AK22"/>
      <c r="AL22"/>
      <c r="AM22"/>
    </row>
    <row r="23" spans="5:41" s="7" customFormat="1" ht="15.5" x14ac:dyDescent="0.35">
      <c r="E23" s="20"/>
      <c r="F23" s="20"/>
      <c r="G23" s="20"/>
      <c r="H23" s="20"/>
      <c r="I23" s="20"/>
      <c r="J23" s="6"/>
      <c r="K23" s="6"/>
      <c r="L23" s="6"/>
      <c r="AC23" s="118"/>
      <c r="AD23" s="118"/>
      <c r="AI23"/>
      <c r="AJ23"/>
      <c r="AK23"/>
      <c r="AL23"/>
      <c r="AM23"/>
    </row>
    <row r="24" spans="5:41" s="7" customFormat="1" ht="15.5" x14ac:dyDescent="0.35">
      <c r="E24" s="20"/>
      <c r="F24" s="20"/>
      <c r="G24" s="20"/>
      <c r="H24" s="20"/>
      <c r="I24" s="20"/>
      <c r="J24" s="6"/>
      <c r="K24" s="6"/>
      <c r="L24" s="6"/>
      <c r="AC24" s="118"/>
      <c r="AD24" s="118"/>
      <c r="AI24"/>
      <c r="AJ24"/>
      <c r="AK24"/>
      <c r="AL24"/>
      <c r="AM24"/>
    </row>
    <row r="25" spans="5:41" s="7" customFormat="1" x14ac:dyDescent="0.35">
      <c r="E25" s="20"/>
      <c r="F25" s="20"/>
      <c r="G25" s="20"/>
      <c r="H25" s="20"/>
      <c r="I25" s="20"/>
      <c r="J25" s="6"/>
      <c r="K25" s="6"/>
      <c r="L25" s="6"/>
      <c r="T25" s="119"/>
      <c r="U25" s="119"/>
      <c r="V25" s="119"/>
      <c r="Y25" s="9"/>
      <c r="Z25" s="119"/>
      <c r="AI25"/>
      <c r="AJ25"/>
      <c r="AK25"/>
      <c r="AL25"/>
      <c r="AM25"/>
      <c r="AO25" s="7" t="s">
        <v>420</v>
      </c>
    </row>
    <row r="26" spans="5:41" s="7" customFormat="1" x14ac:dyDescent="0.35">
      <c r="E26" s="20"/>
      <c r="F26" s="20"/>
      <c r="G26" s="20"/>
      <c r="H26" s="20"/>
      <c r="I26" s="20"/>
      <c r="J26" s="6"/>
      <c r="K26" s="6"/>
      <c r="L26" s="6"/>
      <c r="T26" s="119"/>
      <c r="U26" s="119"/>
      <c r="V26" s="119"/>
      <c r="Y26" s="9"/>
      <c r="Z26" s="119"/>
      <c r="AI26"/>
      <c r="AJ26"/>
      <c r="AK26"/>
      <c r="AL26"/>
      <c r="AM26"/>
    </row>
    <row r="27" spans="5:41" s="7" customFormat="1" x14ac:dyDescent="0.35">
      <c r="E27" s="20"/>
      <c r="F27" s="20"/>
      <c r="G27" s="20"/>
      <c r="H27" s="20"/>
      <c r="I27" s="20"/>
      <c r="J27" s="6"/>
      <c r="K27" s="6"/>
      <c r="L27" s="6"/>
      <c r="T27" s="119"/>
      <c r="U27" s="119"/>
      <c r="V27" s="119"/>
      <c r="Y27" s="9"/>
      <c r="Z27" s="119"/>
      <c r="AA27" s="119"/>
      <c r="AB27" s="119"/>
      <c r="AC27" s="119"/>
      <c r="AD27" s="22"/>
      <c r="AE27" s="22"/>
      <c r="AF27" s="119"/>
      <c r="AG27" s="119"/>
      <c r="AH27" s="119"/>
      <c r="AI27"/>
      <c r="AJ27"/>
      <c r="AK27"/>
      <c r="AL27"/>
      <c r="AM27"/>
    </row>
    <row r="28" spans="5:41" s="7" customFormat="1" x14ac:dyDescent="0.35">
      <c r="E28" s="20"/>
      <c r="F28" s="20"/>
      <c r="G28" s="20"/>
      <c r="H28" s="20"/>
      <c r="I28" s="20"/>
      <c r="J28" s="6"/>
      <c r="K28" s="6"/>
      <c r="L28" s="6"/>
      <c r="Y28" s="9"/>
      <c r="Z28" s="119"/>
      <c r="AA28" s="119"/>
      <c r="AB28" s="119"/>
      <c r="AC28" s="119"/>
      <c r="AD28" s="22"/>
      <c r="AE28" s="22"/>
      <c r="AF28" s="22"/>
      <c r="AG28" s="22"/>
      <c r="AH28" s="22"/>
      <c r="AI28"/>
      <c r="AJ28"/>
      <c r="AK28"/>
      <c r="AL28"/>
      <c r="AM28"/>
    </row>
    <row r="29" spans="5:41" s="7" customFormat="1" x14ac:dyDescent="0.35">
      <c r="E29" s="20"/>
      <c r="F29" s="20"/>
      <c r="G29" s="20"/>
      <c r="H29" s="20"/>
      <c r="I29" s="20"/>
      <c r="J29" s="6"/>
      <c r="K29" s="6"/>
      <c r="L29" s="6"/>
      <c r="Y29" s="9"/>
      <c r="Z29"/>
      <c r="AA29"/>
      <c r="AB29"/>
      <c r="AC29"/>
      <c r="AD29" s="22"/>
      <c r="AE29" s="22"/>
      <c r="AF29" s="22"/>
      <c r="AG29" s="22"/>
      <c r="AH29" s="22"/>
      <c r="AI29"/>
      <c r="AJ29"/>
      <c r="AK29"/>
      <c r="AL29"/>
      <c r="AM29"/>
    </row>
    <row r="30" spans="5:41" s="7" customFormat="1" x14ac:dyDescent="0.35">
      <c r="E30" s="20"/>
      <c r="F30" s="20"/>
      <c r="G30" s="20"/>
      <c r="H30" s="20"/>
      <c r="I30" s="20"/>
      <c r="J30" s="6"/>
      <c r="K30" s="6"/>
      <c r="L30" s="6"/>
      <c r="Y30" s="9"/>
      <c r="Z30"/>
      <c r="AA30"/>
      <c r="AB30"/>
      <c r="AC30"/>
      <c r="AD30" s="22"/>
      <c r="AE30" s="22"/>
      <c r="AF30" s="22"/>
      <c r="AG30" s="22"/>
      <c r="AH30" s="22"/>
      <c r="AI30"/>
      <c r="AJ30"/>
      <c r="AK30"/>
      <c r="AL30"/>
      <c r="AM30"/>
    </row>
    <row r="31" spans="5:41" s="7" customFormat="1" x14ac:dyDescent="0.35">
      <c r="E31" s="20"/>
      <c r="F31" s="20"/>
      <c r="G31" s="20"/>
      <c r="H31" s="20"/>
      <c r="I31" s="20"/>
      <c r="J31" s="6"/>
      <c r="K31" s="6"/>
      <c r="L31" s="6"/>
      <c r="Y31" s="9"/>
      <c r="Z31"/>
      <c r="AA31"/>
      <c r="AB31"/>
      <c r="AC31"/>
      <c r="AD31" s="22"/>
      <c r="AE31" s="22"/>
      <c r="AF31" s="22"/>
      <c r="AG31" s="22"/>
      <c r="AH31" s="22"/>
      <c r="AI31"/>
      <c r="AJ31"/>
      <c r="AK31"/>
      <c r="AL31"/>
      <c r="AM31"/>
    </row>
    <row r="32" spans="5:41" x14ac:dyDescent="0.35">
      <c r="E32" s="20"/>
      <c r="F32" s="20"/>
      <c r="G32" s="20"/>
      <c r="H32" s="20"/>
      <c r="I32" s="20"/>
      <c r="J32" s="6"/>
      <c r="K32" s="6"/>
      <c r="L32" s="6"/>
      <c r="M32" s="7"/>
      <c r="N32" s="7"/>
      <c r="O32" s="7"/>
      <c r="P32" s="7"/>
      <c r="Q32" s="7"/>
      <c r="R32" s="7"/>
      <c r="Z32"/>
      <c r="AA32"/>
      <c r="AB32"/>
      <c r="AC32"/>
      <c r="AI32"/>
      <c r="AJ32"/>
      <c r="AK32"/>
      <c r="AL32"/>
      <c r="AM32"/>
    </row>
    <row r="33" spans="5:35" x14ac:dyDescent="0.35">
      <c r="E33" s="20"/>
      <c r="F33" s="20"/>
      <c r="G33" s="20"/>
      <c r="H33" s="20"/>
      <c r="I33" s="20"/>
      <c r="J33" s="6"/>
      <c r="K33" s="6"/>
      <c r="L33" s="6"/>
      <c r="M33" s="7"/>
      <c r="N33" s="7"/>
      <c r="O33" s="7"/>
      <c r="P33" s="7"/>
      <c r="Q33" s="7"/>
      <c r="R33" s="7"/>
      <c r="Z33"/>
      <c r="AA33"/>
      <c r="AB33"/>
      <c r="AC33"/>
      <c r="AI33" s="7"/>
    </row>
    <row r="34" spans="5:35" x14ac:dyDescent="0.35">
      <c r="E34" s="20"/>
      <c r="F34" s="20"/>
      <c r="G34" s="20"/>
      <c r="H34" s="20"/>
      <c r="I34" s="20"/>
      <c r="J34" s="6"/>
      <c r="K34" s="6"/>
      <c r="L34" s="6"/>
      <c r="M34" s="7"/>
      <c r="N34" s="7"/>
      <c r="O34" s="7"/>
      <c r="P34" s="7"/>
      <c r="Q34" s="7"/>
      <c r="R34" s="7"/>
      <c r="Z34"/>
      <c r="AA34"/>
      <c r="AB34"/>
      <c r="AC34"/>
      <c r="AI34" s="7"/>
    </row>
    <row r="35" spans="5:35" x14ac:dyDescent="0.35">
      <c r="E35" s="20"/>
      <c r="F35" s="20"/>
      <c r="G35" s="20"/>
      <c r="H35" s="20"/>
      <c r="I35" s="20"/>
      <c r="J35" s="6"/>
      <c r="K35" s="6"/>
      <c r="L35" s="6"/>
      <c r="M35" s="7"/>
      <c r="N35" s="7"/>
      <c r="O35" s="7"/>
      <c r="P35" s="7"/>
      <c r="Q35" s="7"/>
      <c r="R35" s="7"/>
      <c r="Z35"/>
      <c r="AA35"/>
      <c r="AB35"/>
      <c r="AC35"/>
      <c r="AI35" s="7"/>
    </row>
    <row r="36" spans="5:35" x14ac:dyDescent="0.35">
      <c r="E36" s="20"/>
      <c r="F36" s="20"/>
      <c r="G36" s="20"/>
      <c r="H36" s="20"/>
      <c r="I36" s="20"/>
      <c r="J36" s="6"/>
      <c r="K36" s="6"/>
      <c r="L36" s="6"/>
      <c r="M36" s="7"/>
      <c r="N36" s="7"/>
      <c r="O36" s="7"/>
      <c r="P36" s="7"/>
      <c r="Q36" s="7"/>
      <c r="R36" s="7"/>
      <c r="Z36"/>
      <c r="AA36"/>
      <c r="AB36"/>
      <c r="AC36"/>
      <c r="AI36" s="7"/>
    </row>
    <row r="37" spans="5:35" x14ac:dyDescent="0.35">
      <c r="E37" s="20"/>
      <c r="F37" s="20"/>
      <c r="G37" s="20"/>
      <c r="H37" s="20"/>
      <c r="I37" s="20"/>
      <c r="J37" s="6"/>
      <c r="K37" s="6"/>
      <c r="L37" s="6"/>
      <c r="M37" s="7"/>
      <c r="N37" s="7"/>
      <c r="O37" s="7"/>
      <c r="P37" s="7"/>
      <c r="Q37" s="7"/>
      <c r="R37" s="7"/>
      <c r="Z37"/>
      <c r="AA37"/>
      <c r="AB37"/>
      <c r="AC37"/>
      <c r="AI37" s="7"/>
    </row>
    <row r="38" spans="5:35" x14ac:dyDescent="0.35">
      <c r="E38" s="20"/>
      <c r="F38" s="20"/>
      <c r="G38" s="20"/>
      <c r="H38" s="20"/>
      <c r="I38" s="20"/>
      <c r="J38" s="6"/>
      <c r="K38" s="6"/>
      <c r="L38" s="6"/>
      <c r="M38" s="7"/>
      <c r="N38" s="7"/>
      <c r="O38" s="7"/>
      <c r="P38" s="7"/>
      <c r="Q38" s="7"/>
      <c r="R38" s="7"/>
      <c r="Z38"/>
      <c r="AA38"/>
      <c r="AB38"/>
      <c r="AC38"/>
      <c r="AI38" s="7"/>
    </row>
    <row r="39" spans="5:35" x14ac:dyDescent="0.35">
      <c r="E39" s="20"/>
      <c r="F39" s="20"/>
      <c r="G39" s="20"/>
      <c r="H39" s="20"/>
      <c r="I39" s="20"/>
      <c r="J39" s="6"/>
      <c r="K39" s="6"/>
      <c r="L39" s="6"/>
      <c r="M39" s="7"/>
      <c r="N39" s="7"/>
      <c r="O39" s="7"/>
      <c r="P39" s="7"/>
      <c r="Q39" s="7"/>
      <c r="R39" s="7"/>
      <c r="Z39"/>
      <c r="AA39"/>
      <c r="AB39"/>
      <c r="AC39"/>
      <c r="AI39" s="7"/>
    </row>
    <row r="40" spans="5:35" x14ac:dyDescent="0.35">
      <c r="E40" s="20"/>
      <c r="F40" s="20"/>
      <c r="G40" s="20"/>
      <c r="H40" s="20"/>
      <c r="I40" s="20"/>
      <c r="J40" s="6"/>
      <c r="K40" s="6"/>
      <c r="L40" s="6"/>
      <c r="M40" s="7"/>
      <c r="N40" s="7"/>
      <c r="O40" s="7"/>
      <c r="P40" s="7"/>
      <c r="Q40" s="7"/>
      <c r="R40" s="7"/>
      <c r="Z40"/>
      <c r="AA40"/>
      <c r="AB40"/>
      <c r="AC40"/>
      <c r="AI40" s="7"/>
    </row>
    <row r="41" spans="5:35" x14ac:dyDescent="0.35">
      <c r="E41" s="20"/>
      <c r="F41" s="20"/>
      <c r="G41" s="20"/>
      <c r="H41" s="20"/>
      <c r="I41" s="20"/>
      <c r="J41" s="6"/>
      <c r="K41" s="6"/>
      <c r="L41" s="6"/>
      <c r="M41" s="7"/>
      <c r="N41" s="7"/>
      <c r="O41" s="7"/>
      <c r="P41" s="7"/>
      <c r="Q41" s="7"/>
      <c r="R41" s="7"/>
      <c r="Z41"/>
      <c r="AA41"/>
      <c r="AB41"/>
      <c r="AC41"/>
      <c r="AI41" s="7"/>
    </row>
    <row r="42" spans="5:35" x14ac:dyDescent="0.35">
      <c r="E42" s="20"/>
      <c r="F42" s="20"/>
      <c r="G42" s="20"/>
      <c r="H42" s="20"/>
      <c r="I42" s="20"/>
      <c r="J42" s="6"/>
      <c r="K42" s="6"/>
      <c r="L42" s="6"/>
      <c r="M42" s="7"/>
      <c r="N42" s="7"/>
      <c r="O42" s="7"/>
      <c r="P42" s="7"/>
      <c r="Q42" s="7"/>
      <c r="R42" s="7"/>
      <c r="AI42" s="7"/>
    </row>
    <row r="43" spans="5:35" x14ac:dyDescent="0.35">
      <c r="E43" s="20"/>
      <c r="F43" s="20"/>
      <c r="G43" s="20"/>
      <c r="H43" s="20"/>
      <c r="I43" s="20"/>
      <c r="J43" s="6"/>
      <c r="K43" s="6"/>
      <c r="L43" s="6"/>
      <c r="M43" s="7"/>
      <c r="N43" s="7"/>
      <c r="O43" s="7"/>
      <c r="P43" s="7"/>
      <c r="Q43" s="7"/>
      <c r="R43" s="7"/>
      <c r="AI43" s="7"/>
    </row>
    <row r="44" spans="5:35" x14ac:dyDescent="0.35">
      <c r="E44" s="20"/>
      <c r="F44" s="20"/>
      <c r="G44" s="20"/>
      <c r="H44" s="20"/>
      <c r="I44" s="20"/>
      <c r="J44" s="6"/>
      <c r="K44" s="6"/>
      <c r="L44" s="6"/>
      <c r="M44" s="7"/>
      <c r="N44" s="7"/>
      <c r="O44" s="7"/>
      <c r="P44" s="7"/>
      <c r="Q44" s="7"/>
      <c r="R44" s="7"/>
      <c r="AI44" s="7"/>
    </row>
    <row r="45" spans="5:35" x14ac:dyDescent="0.35">
      <c r="E45" s="20"/>
      <c r="F45" s="20"/>
      <c r="G45" s="20"/>
      <c r="H45" s="20"/>
      <c r="I45" s="20"/>
      <c r="J45" s="6"/>
      <c r="K45" s="6"/>
      <c r="L45" s="6"/>
      <c r="M45" s="7"/>
      <c r="N45" s="7"/>
      <c r="O45" s="7"/>
      <c r="P45" s="7"/>
      <c r="Q45" s="7"/>
      <c r="R45" s="7"/>
      <c r="AI45" s="7"/>
    </row>
    <row r="46" spans="5:35" x14ac:dyDescent="0.35">
      <c r="E46" s="20"/>
      <c r="F46" s="20"/>
      <c r="G46" s="20"/>
      <c r="H46" s="20"/>
      <c r="I46" s="20"/>
      <c r="J46" s="6"/>
      <c r="K46" s="6"/>
      <c r="L46" s="6"/>
      <c r="M46" s="7"/>
      <c r="N46" s="7"/>
      <c r="O46" s="7"/>
      <c r="P46" s="7"/>
      <c r="Q46" s="7"/>
      <c r="R46" s="7"/>
      <c r="AI46" s="7"/>
    </row>
    <row r="47" spans="5:35" x14ac:dyDescent="0.35">
      <c r="E47" s="20"/>
      <c r="F47" s="20"/>
      <c r="G47" s="20"/>
      <c r="H47" s="20"/>
      <c r="I47" s="20"/>
      <c r="J47" s="6"/>
      <c r="K47" s="6"/>
      <c r="L47" s="6"/>
      <c r="M47" s="7"/>
      <c r="N47" s="7"/>
      <c r="O47" s="7"/>
      <c r="P47" s="7"/>
      <c r="Q47" s="7"/>
      <c r="R47" s="7"/>
      <c r="AI47" s="7"/>
    </row>
    <row r="48" spans="5:35" x14ac:dyDescent="0.35">
      <c r="E48" s="20"/>
      <c r="F48" s="20"/>
      <c r="G48" s="20"/>
      <c r="H48" s="20"/>
      <c r="I48" s="20"/>
      <c r="J48" s="6"/>
      <c r="K48" s="6"/>
      <c r="L48" s="6"/>
      <c r="M48" s="7"/>
      <c r="N48" s="7"/>
      <c r="O48" s="7"/>
      <c r="P48" s="7"/>
      <c r="Q48" s="7"/>
      <c r="R48" s="7"/>
      <c r="AI48" s="7"/>
    </row>
    <row r="49" spans="5:35" x14ac:dyDescent="0.35">
      <c r="E49" s="20"/>
      <c r="F49" s="20"/>
      <c r="G49" s="20"/>
      <c r="H49" s="20"/>
      <c r="I49" s="20"/>
      <c r="J49" s="6"/>
      <c r="K49" s="6"/>
      <c r="L49" s="6"/>
      <c r="M49" s="7"/>
      <c r="N49" s="7"/>
      <c r="O49" s="7"/>
      <c r="P49" s="7"/>
      <c r="Q49" s="7"/>
      <c r="R49" s="7"/>
      <c r="AI49" s="7"/>
    </row>
    <row r="50" spans="5:35" x14ac:dyDescent="0.35">
      <c r="E50" s="20"/>
      <c r="F50" s="20"/>
      <c r="G50" s="20"/>
      <c r="H50" s="20"/>
      <c r="I50" s="20"/>
      <c r="J50" s="6"/>
      <c r="K50" s="6"/>
      <c r="L50" s="6"/>
      <c r="M50" s="7"/>
      <c r="N50" s="7"/>
      <c r="O50" s="7"/>
      <c r="P50" s="7"/>
      <c r="Q50" s="7"/>
      <c r="R50" s="7"/>
      <c r="AI50" s="7"/>
    </row>
    <row r="51" spans="5:35" x14ac:dyDescent="0.35">
      <c r="E51" s="20"/>
      <c r="F51" s="20"/>
      <c r="G51" s="20"/>
      <c r="H51" s="20"/>
      <c r="I51" s="20"/>
      <c r="J51" s="6"/>
      <c r="K51" s="6"/>
      <c r="L51" s="6"/>
      <c r="M51" s="7"/>
      <c r="N51" s="7"/>
      <c r="O51" s="7"/>
      <c r="P51" s="7"/>
      <c r="Q51" s="7"/>
      <c r="R51" s="7"/>
      <c r="AI51" s="7"/>
    </row>
    <row r="52" spans="5:35" x14ac:dyDescent="0.35">
      <c r="E52" s="20"/>
      <c r="F52" s="20"/>
      <c r="G52" s="20"/>
      <c r="H52" s="20"/>
      <c r="I52" s="20"/>
      <c r="J52" s="6"/>
      <c r="K52" s="6"/>
      <c r="L52" s="6"/>
      <c r="M52" s="7"/>
      <c r="N52" s="7"/>
      <c r="O52" s="7"/>
      <c r="P52" s="7"/>
      <c r="Q52" s="7"/>
      <c r="R52" s="7"/>
    </row>
    <row r="53" spans="5:35" x14ac:dyDescent="0.35">
      <c r="E53" s="20"/>
      <c r="F53" s="20"/>
      <c r="G53" s="20"/>
      <c r="H53" s="20"/>
      <c r="I53" s="20"/>
      <c r="J53" s="6"/>
      <c r="K53" s="6"/>
      <c r="L53" s="6"/>
      <c r="M53" s="7"/>
      <c r="N53" s="7"/>
      <c r="O53" s="7"/>
      <c r="P53" s="7"/>
      <c r="Q53" s="7"/>
      <c r="R53" s="7"/>
    </row>
    <row r="54" spans="5:35" x14ac:dyDescent="0.35">
      <c r="E54" s="20"/>
      <c r="F54" s="20"/>
      <c r="G54" s="20"/>
      <c r="H54" s="20"/>
      <c r="I54" s="20"/>
      <c r="J54" s="6"/>
      <c r="K54" s="6"/>
      <c r="L54" s="6"/>
    </row>
    <row r="55" spans="5:35" x14ac:dyDescent="0.35">
      <c r="E55" s="20"/>
      <c r="F55" s="20"/>
      <c r="G55" s="20"/>
      <c r="H55" s="20"/>
      <c r="I55" s="20"/>
      <c r="J55" s="6"/>
      <c r="K55" s="6"/>
      <c r="L55" s="6"/>
    </row>
    <row r="56" spans="5:35" x14ac:dyDescent="0.35">
      <c r="E56" s="20"/>
      <c r="F56" s="20"/>
      <c r="G56" s="20"/>
      <c r="H56" s="20"/>
      <c r="I56" s="20"/>
      <c r="J56" s="6"/>
      <c r="K56" s="6"/>
      <c r="L56" s="6"/>
    </row>
    <row r="57" spans="5:35" x14ac:dyDescent="0.35">
      <c r="E57" s="20"/>
      <c r="F57" s="20"/>
      <c r="G57" s="20"/>
      <c r="H57" s="20"/>
      <c r="I57" s="20"/>
      <c r="J57" s="6"/>
      <c r="K57" s="6"/>
      <c r="L57" s="6"/>
    </row>
    <row r="58" spans="5:35" x14ac:dyDescent="0.35">
      <c r="E58" s="20"/>
      <c r="F58" s="20"/>
      <c r="G58" s="20"/>
      <c r="H58" s="20"/>
      <c r="I58" s="20"/>
      <c r="J58" s="6"/>
      <c r="K58" s="6"/>
      <c r="L58" s="6"/>
    </row>
  </sheetData>
  <mergeCells count="29">
    <mergeCell ref="U9:V9"/>
    <mergeCell ref="AE9:AF9"/>
    <mergeCell ref="AC9:AD9"/>
    <mergeCell ref="AG9:AH9"/>
    <mergeCell ref="L3:M4"/>
    <mergeCell ref="T1:U4"/>
    <mergeCell ref="Z1:AE6"/>
    <mergeCell ref="T8:AA8"/>
    <mergeCell ref="N1:N2"/>
    <mergeCell ref="N3:N4"/>
    <mergeCell ref="O1:O2"/>
    <mergeCell ref="P1:P2"/>
    <mergeCell ref="O3:O4"/>
    <mergeCell ref="P3:P4"/>
    <mergeCell ref="M7:N7"/>
    <mergeCell ref="Q7:R7"/>
    <mergeCell ref="K6:R6"/>
    <mergeCell ref="W1:X4"/>
    <mergeCell ref="G4:K4"/>
    <mergeCell ref="L1:M2"/>
    <mergeCell ref="E6:F6"/>
    <mergeCell ref="E7:F7"/>
    <mergeCell ref="O7:P7"/>
    <mergeCell ref="H7:I7"/>
    <mergeCell ref="G1:K1"/>
    <mergeCell ref="G2:K2"/>
    <mergeCell ref="G3:K3"/>
    <mergeCell ref="K7:L7"/>
    <mergeCell ref="H6:I6"/>
  </mergeCells>
  <phoneticPr fontId="28" type="noConversion"/>
  <pageMargins left="0.7" right="0.7" top="0.75" bottom="0.75" header="0.3" footer="0.3"/>
  <pageSetup orientation="portrait" horizontalDpi="120" verticalDpi="72" r:id="rId2"/>
  <drawing r:id="rId3"/>
  <legacyDrawing r:id="rId4"/>
  <controls>
    <mc:AlternateContent xmlns:mc="http://schemas.openxmlformats.org/markup-compatibility/2006">
      <mc:Choice Requires="x14">
        <control shapeId="1086" r:id="rId5" name="CommandButton6">
          <controlPr defaultSize="0" autoLine="0" r:id="rId6">
            <anchor moveWithCells="1">
              <from>
                <xdr:col>16</xdr:col>
                <xdr:colOff>38100</xdr:colOff>
                <xdr:row>6</xdr:row>
                <xdr:rowOff>38100</xdr:rowOff>
              </from>
              <to>
                <xdr:col>17</xdr:col>
                <xdr:colOff>850900</xdr:colOff>
                <xdr:row>6</xdr:row>
                <xdr:rowOff>400050</xdr:rowOff>
              </to>
            </anchor>
          </controlPr>
        </control>
      </mc:Choice>
      <mc:Fallback>
        <control shapeId="1086" r:id="rId5" name="CommandButton6"/>
      </mc:Fallback>
    </mc:AlternateContent>
    <mc:AlternateContent xmlns:mc="http://schemas.openxmlformats.org/markup-compatibility/2006">
      <mc:Choice Requires="x14">
        <control shapeId="1084" r:id="rId7" name="CommandButton5">
          <controlPr defaultSize="0" autoLine="0" r:id="rId8">
            <anchor moveWithCells="1">
              <from>
                <xdr:col>7</xdr:col>
                <xdr:colOff>38100</xdr:colOff>
                <xdr:row>6</xdr:row>
                <xdr:rowOff>69850</xdr:rowOff>
              </from>
              <to>
                <xdr:col>8</xdr:col>
                <xdr:colOff>850900</xdr:colOff>
                <xdr:row>6</xdr:row>
                <xdr:rowOff>381000</xdr:rowOff>
              </to>
            </anchor>
          </controlPr>
        </control>
      </mc:Choice>
      <mc:Fallback>
        <control shapeId="1084" r:id="rId7" name="CommandButton5"/>
      </mc:Fallback>
    </mc:AlternateContent>
    <mc:AlternateContent xmlns:mc="http://schemas.openxmlformats.org/markup-compatibility/2006">
      <mc:Choice Requires="x14">
        <control shapeId="1079" r:id="rId9" name="CommandButton4">
          <controlPr defaultSize="0" autoLine="0" r:id="rId10">
            <anchor moveWithCells="1">
              <from>
                <xdr:col>14</xdr:col>
                <xdr:colOff>38100</xdr:colOff>
                <xdr:row>6</xdr:row>
                <xdr:rowOff>38100</xdr:rowOff>
              </from>
              <to>
                <xdr:col>15</xdr:col>
                <xdr:colOff>850900</xdr:colOff>
                <xdr:row>6</xdr:row>
                <xdr:rowOff>400050</xdr:rowOff>
              </to>
            </anchor>
          </controlPr>
        </control>
      </mc:Choice>
      <mc:Fallback>
        <control shapeId="1079" r:id="rId9" name="CommandButton4"/>
      </mc:Fallback>
    </mc:AlternateContent>
    <mc:AlternateContent xmlns:mc="http://schemas.openxmlformats.org/markup-compatibility/2006">
      <mc:Choice Requires="x14">
        <control shapeId="1078" r:id="rId11" name="CommandButton3">
          <controlPr autoLine="0" r:id="rId12">
            <anchor moveWithCells="1">
              <from>
                <xdr:col>12</xdr:col>
                <xdr:colOff>76200</xdr:colOff>
                <xdr:row>6</xdr:row>
                <xdr:rowOff>38100</xdr:rowOff>
              </from>
              <to>
                <xdr:col>13</xdr:col>
                <xdr:colOff>869950</xdr:colOff>
                <xdr:row>6</xdr:row>
                <xdr:rowOff>400050</xdr:rowOff>
              </to>
            </anchor>
          </controlPr>
        </control>
      </mc:Choice>
      <mc:Fallback>
        <control shapeId="1078" r:id="rId11" name="CommandButton3"/>
      </mc:Fallback>
    </mc:AlternateContent>
    <mc:AlternateContent xmlns:mc="http://schemas.openxmlformats.org/markup-compatibility/2006">
      <mc:Choice Requires="x14">
        <control shapeId="1074" r:id="rId13" name="CommandButton2">
          <controlPr defaultSize="0" autoLine="0" r:id="rId14">
            <anchor moveWithCells="1">
              <from>
                <xdr:col>10</xdr:col>
                <xdr:colOff>76200</xdr:colOff>
                <xdr:row>6</xdr:row>
                <xdr:rowOff>31750</xdr:rowOff>
              </from>
              <to>
                <xdr:col>11</xdr:col>
                <xdr:colOff>812800</xdr:colOff>
                <xdr:row>6</xdr:row>
                <xdr:rowOff>400050</xdr:rowOff>
              </to>
            </anchor>
          </controlPr>
        </control>
      </mc:Choice>
      <mc:Fallback>
        <control shapeId="1074" r:id="rId13" name="CommandButton2"/>
      </mc:Fallback>
    </mc:AlternateContent>
    <mc:AlternateContent xmlns:mc="http://schemas.openxmlformats.org/markup-compatibility/2006">
      <mc:Choice Requires="x14">
        <control shapeId="1073" r:id="rId15" name="CommandButton1">
          <controlPr defaultSize="0" autoLine="0" r:id="rId16">
            <anchor moveWithCells="1">
              <from>
                <xdr:col>4</xdr:col>
                <xdr:colOff>57150</xdr:colOff>
                <xdr:row>6</xdr:row>
                <xdr:rowOff>57150</xdr:rowOff>
              </from>
              <to>
                <xdr:col>5</xdr:col>
                <xdr:colOff>800100</xdr:colOff>
                <xdr:row>6</xdr:row>
                <xdr:rowOff>381000</xdr:rowOff>
              </to>
            </anchor>
          </controlPr>
        </control>
      </mc:Choice>
      <mc:Fallback>
        <control shapeId="1073" r:id="rId15" name="CommandButton1"/>
      </mc:Fallback>
    </mc:AlternateContent>
    <mc:AlternateContent xmlns:mc="http://schemas.openxmlformats.org/markup-compatibility/2006">
      <mc:Choice Requires="x14">
        <control shapeId="1060" r:id="rId17" name="CommandButton27">
          <controlPr locked="0" defaultSize="0" autoFill="0" autoLine="0" r:id="rId18">
            <anchor>
              <from>
                <xdr:col>22</xdr:col>
                <xdr:colOff>342900</xdr:colOff>
                <xdr:row>0</xdr:row>
                <xdr:rowOff>19050</xdr:rowOff>
              </from>
              <to>
                <xdr:col>23</xdr:col>
                <xdr:colOff>603250</xdr:colOff>
                <xdr:row>3</xdr:row>
                <xdr:rowOff>133350</xdr:rowOff>
              </to>
            </anchor>
          </controlPr>
        </control>
      </mc:Choice>
      <mc:Fallback>
        <control shapeId="1060" r:id="rId17" name="CommandButton27"/>
      </mc:Fallback>
    </mc:AlternateContent>
    <mc:AlternateContent xmlns:mc="http://schemas.openxmlformats.org/markup-compatibility/2006">
      <mc:Choice Requires="x14">
        <control shapeId="1058" r:id="rId19" name="CommandButton25">
          <controlPr locked="0" defaultSize="0" autoFill="0" autoLine="0" r:id="rId20">
            <anchor>
              <from>
                <xdr:col>19</xdr:col>
                <xdr:colOff>203200</xdr:colOff>
                <xdr:row>0</xdr:row>
                <xdr:rowOff>31750</xdr:rowOff>
              </from>
              <to>
                <xdr:col>20</xdr:col>
                <xdr:colOff>419100</xdr:colOff>
                <xdr:row>3</xdr:row>
                <xdr:rowOff>146050</xdr:rowOff>
              </to>
            </anchor>
          </controlPr>
        </control>
      </mc:Choice>
      <mc:Fallback>
        <control shapeId="1058" r:id="rId19" name="CommandButton25"/>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49D11766-78EB-4E41-AD02-A79B44735BDE}">
          <x14:formula1>
            <xm:f>'VALIDATION LIST'!$A$51:$A$54</xm:f>
          </x14:formula1>
          <xm:sqref>O3:O4</xm:sqref>
        </x14:dataValidation>
        <x14:dataValidation type="list" allowBlank="1" showInputMessage="1" showErrorMessage="1" xr:uid="{0150248C-6BB0-4993-99A9-D32528923FEB}">
          <x14:formula1>
            <xm:f>'VALIDATION LIST'!$B$51:$B$54</xm:f>
          </x14:formula1>
          <xm:sqref>P3:P4</xm:sqref>
        </x14:dataValidation>
        <x14:dataValidation type="list" allowBlank="1" showInputMessage="1" showErrorMessage="1" xr:uid="{DE5B2717-F5C0-48F6-B7E2-3ECC1640D183}">
          <x14:formula1>
            <xm:f>'VALIDATION LIST'!$B$36:$B$38</xm:f>
          </x14:formula1>
          <xm:sqref>N3:N4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56A99-D858-44F3-9CDE-C49F32B0282F}">
  <sheetPr codeName="Sheet14"/>
  <dimension ref="A1:AS685"/>
  <sheetViews>
    <sheetView showGridLines="0" topLeftCell="A37" workbookViewId="0">
      <selection activeCell="AI16" sqref="AI16"/>
    </sheetView>
  </sheetViews>
  <sheetFormatPr defaultRowHeight="14.5" x14ac:dyDescent="0.35"/>
  <cols>
    <col min="1" max="2" width="9.81640625" bestFit="1" customWidth="1"/>
    <col min="3" max="3" width="11.26953125" bestFit="1" customWidth="1"/>
    <col min="4" max="4" width="9.26953125" bestFit="1" customWidth="1"/>
    <col min="5" max="5" width="14" bestFit="1" customWidth="1"/>
    <col min="6" max="6" width="14.1796875" bestFit="1" customWidth="1"/>
    <col min="7" max="7" width="43.7265625" bestFit="1" customWidth="1"/>
    <col min="8" max="8" width="15.453125" bestFit="1" customWidth="1"/>
    <col min="9" max="9" width="12.26953125" bestFit="1" customWidth="1"/>
    <col min="10" max="10" width="21.54296875" bestFit="1" customWidth="1"/>
    <col min="11" max="11" width="9.26953125" bestFit="1" customWidth="1"/>
    <col min="12" max="12" width="14.1796875" bestFit="1" customWidth="1"/>
    <col min="13" max="13" width="15.1796875" bestFit="1" customWidth="1"/>
    <col min="14" max="14" width="9.26953125" bestFit="1" customWidth="1"/>
    <col min="15" max="15" width="11.453125" bestFit="1" customWidth="1"/>
    <col min="16" max="16" width="9.26953125" bestFit="1" customWidth="1"/>
    <col min="17" max="17" width="14.7265625" bestFit="1" customWidth="1"/>
    <col min="18" max="18" width="16" bestFit="1" customWidth="1"/>
    <col min="19" max="19" width="17.54296875" bestFit="1" customWidth="1"/>
    <col min="20" max="20" width="15.453125" bestFit="1" customWidth="1"/>
    <col min="21" max="21" width="9.26953125" bestFit="1" customWidth="1"/>
    <col min="22" max="22" width="15.453125" bestFit="1" customWidth="1"/>
    <col min="23" max="23" width="17.81640625" bestFit="1" customWidth="1"/>
    <col min="24" max="24" width="9.453125" bestFit="1" customWidth="1"/>
    <col min="25" max="25" width="13.54296875" bestFit="1" customWidth="1"/>
    <col min="26" max="26" width="17.81640625" bestFit="1" customWidth="1"/>
    <col min="27" max="27" width="15.453125" bestFit="1" customWidth="1"/>
    <col min="28" max="28" width="10.1796875" bestFit="1" customWidth="1"/>
    <col min="29" max="29" width="10.26953125" bestFit="1" customWidth="1"/>
    <col min="30" max="30" width="9.453125" bestFit="1" customWidth="1"/>
    <col min="31" max="38" width="9.26953125" bestFit="1" customWidth="1"/>
    <col min="39" max="39" width="12.26953125" bestFit="1" customWidth="1"/>
    <col min="40" max="40" width="9.453125" bestFit="1" customWidth="1"/>
    <col min="41" max="41" width="10.26953125" bestFit="1" customWidth="1"/>
    <col min="42" max="45" width="9.26953125" bestFit="1" customWidth="1"/>
  </cols>
  <sheetData>
    <row r="1" spans="1:45" x14ac:dyDescent="0.35">
      <c r="A1" s="340" t="s">
        <v>615</v>
      </c>
    </row>
    <row r="3" spans="1:45" x14ac:dyDescent="0.35">
      <c r="A3" t="s">
        <v>219</v>
      </c>
      <c r="B3" t="s">
        <v>302</v>
      </c>
      <c r="C3" t="s">
        <v>301</v>
      </c>
      <c r="D3" t="s">
        <v>122</v>
      </c>
      <c r="E3" t="s">
        <v>221</v>
      </c>
      <c r="F3" t="s">
        <v>397</v>
      </c>
      <c r="G3" t="s">
        <v>3</v>
      </c>
      <c r="H3" t="s">
        <v>210</v>
      </c>
      <c r="I3" t="s">
        <v>224</v>
      </c>
      <c r="J3" t="s">
        <v>398</v>
      </c>
      <c r="K3" t="s">
        <v>214</v>
      </c>
      <c r="L3" t="s">
        <v>399</v>
      </c>
      <c r="M3" t="s">
        <v>400</v>
      </c>
      <c r="N3" t="s">
        <v>305</v>
      </c>
      <c r="O3" t="s">
        <v>211</v>
      </c>
      <c r="P3" t="s">
        <v>217</v>
      </c>
      <c r="Q3" t="s">
        <v>216</v>
      </c>
      <c r="R3" t="s">
        <v>215</v>
      </c>
      <c r="S3" t="s">
        <v>213</v>
      </c>
      <c r="T3" t="s">
        <v>218</v>
      </c>
      <c r="U3" t="s">
        <v>401</v>
      </c>
      <c r="V3" t="s">
        <v>402</v>
      </c>
      <c r="W3" t="s">
        <v>403</v>
      </c>
      <c r="X3" t="s">
        <v>404</v>
      </c>
      <c r="Y3" t="s">
        <v>405</v>
      </c>
      <c r="Z3" t="s">
        <v>225</v>
      </c>
      <c r="AA3" t="s">
        <v>406</v>
      </c>
      <c r="AB3" t="s">
        <v>227</v>
      </c>
      <c r="AC3" t="s">
        <v>228</v>
      </c>
      <c r="AD3" t="s">
        <v>229</v>
      </c>
      <c r="AE3" t="s">
        <v>230</v>
      </c>
      <c r="AF3" t="s">
        <v>231</v>
      </c>
      <c r="AG3" t="s">
        <v>232</v>
      </c>
      <c r="AH3" t="s">
        <v>233</v>
      </c>
      <c r="AI3" t="s">
        <v>234</v>
      </c>
      <c r="AJ3" t="s">
        <v>376</v>
      </c>
      <c r="AK3" t="s">
        <v>235</v>
      </c>
      <c r="AL3" t="s">
        <v>236</v>
      </c>
      <c r="AM3" t="s">
        <v>407</v>
      </c>
      <c r="AN3" t="s">
        <v>378</v>
      </c>
      <c r="AO3" t="s">
        <v>379</v>
      </c>
      <c r="AP3" t="s">
        <v>408</v>
      </c>
      <c r="AQ3" t="s">
        <v>409</v>
      </c>
      <c r="AR3" t="s">
        <v>410</v>
      </c>
      <c r="AS3" t="s">
        <v>411</v>
      </c>
    </row>
    <row r="4" spans="1:45" x14ac:dyDescent="0.35">
      <c r="A4" s="337">
        <v>46266</v>
      </c>
      <c r="B4" s="337">
        <v>46295</v>
      </c>
      <c r="C4" s="337">
        <v>46293</v>
      </c>
      <c r="D4" t="s">
        <v>130</v>
      </c>
      <c r="E4" s="338">
        <v>1.2083333333333333</v>
      </c>
      <c r="F4">
        <v>3</v>
      </c>
      <c r="G4" t="s">
        <v>145</v>
      </c>
      <c r="H4" t="s">
        <v>163</v>
      </c>
      <c r="I4" t="s">
        <v>165</v>
      </c>
      <c r="J4" t="s">
        <v>165</v>
      </c>
      <c r="K4" t="s">
        <v>165</v>
      </c>
      <c r="L4" t="s">
        <v>161</v>
      </c>
      <c r="M4" t="s">
        <v>161</v>
      </c>
      <c r="N4">
        <v>12.6</v>
      </c>
      <c r="O4" t="s">
        <v>163</v>
      </c>
      <c r="P4" t="s">
        <v>163</v>
      </c>
      <c r="Q4" t="s">
        <v>163</v>
      </c>
      <c r="R4" t="s">
        <v>163</v>
      </c>
      <c r="S4" t="s">
        <v>163</v>
      </c>
      <c r="T4" t="s">
        <v>163</v>
      </c>
      <c r="U4" t="s">
        <v>163</v>
      </c>
      <c r="V4" t="s">
        <v>163</v>
      </c>
      <c r="W4" t="s">
        <v>163</v>
      </c>
      <c r="X4" t="s">
        <v>163</v>
      </c>
      <c r="Y4" t="s">
        <v>163</v>
      </c>
      <c r="Z4" t="s">
        <v>163</v>
      </c>
      <c r="AA4">
        <v>1</v>
      </c>
      <c r="AB4">
        <v>2</v>
      </c>
      <c r="AC4">
        <v>1</v>
      </c>
      <c r="AD4" t="s">
        <v>163</v>
      </c>
      <c r="AE4" t="s">
        <v>163</v>
      </c>
      <c r="AF4" t="s">
        <v>163</v>
      </c>
      <c r="AG4" t="s">
        <v>163</v>
      </c>
      <c r="AH4" t="s">
        <v>163</v>
      </c>
      <c r="AI4" t="s">
        <v>163</v>
      </c>
      <c r="AJ4" t="s">
        <v>163</v>
      </c>
      <c r="AK4">
        <v>4</v>
      </c>
      <c r="AL4">
        <v>4</v>
      </c>
      <c r="AM4" t="s">
        <v>163</v>
      </c>
      <c r="AN4" t="s">
        <v>163</v>
      </c>
      <c r="AO4" t="s">
        <v>163</v>
      </c>
      <c r="AP4">
        <v>0</v>
      </c>
      <c r="AQ4">
        <v>0</v>
      </c>
      <c r="AR4">
        <v>4</v>
      </c>
      <c r="AS4">
        <v>4</v>
      </c>
    </row>
    <row r="5" spans="1:45" x14ac:dyDescent="0.35">
      <c r="A5" s="337">
        <v>46266</v>
      </c>
      <c r="B5" s="337">
        <v>46295</v>
      </c>
      <c r="C5" s="337">
        <v>46293</v>
      </c>
      <c r="D5" t="s">
        <v>130</v>
      </c>
      <c r="E5" s="338">
        <v>1.1666666666666667</v>
      </c>
      <c r="F5">
        <v>3</v>
      </c>
      <c r="G5" t="s">
        <v>145</v>
      </c>
      <c r="H5">
        <v>0.01</v>
      </c>
      <c r="I5" t="s">
        <v>165</v>
      </c>
      <c r="J5" t="s">
        <v>165</v>
      </c>
      <c r="K5" t="s">
        <v>165</v>
      </c>
      <c r="L5" t="s">
        <v>161</v>
      </c>
      <c r="M5" t="s">
        <v>161</v>
      </c>
      <c r="N5">
        <v>12.31</v>
      </c>
      <c r="O5">
        <v>12.56</v>
      </c>
      <c r="P5" t="s">
        <v>163</v>
      </c>
      <c r="Q5">
        <v>63.1</v>
      </c>
      <c r="R5" t="s">
        <v>163</v>
      </c>
      <c r="S5" t="s">
        <v>163</v>
      </c>
      <c r="T5">
        <v>35.1</v>
      </c>
      <c r="U5" t="s">
        <v>163</v>
      </c>
      <c r="V5" t="s">
        <v>163</v>
      </c>
      <c r="W5" t="s">
        <v>163</v>
      </c>
      <c r="X5" t="s">
        <v>163</v>
      </c>
      <c r="Y5" t="s">
        <v>163</v>
      </c>
      <c r="Z5">
        <v>2</v>
      </c>
      <c r="AA5">
        <v>1</v>
      </c>
      <c r="AB5">
        <v>2</v>
      </c>
      <c r="AC5">
        <v>1</v>
      </c>
      <c r="AD5">
        <v>1</v>
      </c>
      <c r="AE5" t="s">
        <v>163</v>
      </c>
      <c r="AF5">
        <v>0</v>
      </c>
      <c r="AG5" t="s">
        <v>163</v>
      </c>
      <c r="AH5" t="s">
        <v>163</v>
      </c>
      <c r="AI5">
        <v>2</v>
      </c>
      <c r="AJ5" t="s">
        <v>163</v>
      </c>
      <c r="AK5">
        <v>9</v>
      </c>
      <c r="AL5">
        <v>11</v>
      </c>
      <c r="AM5" t="s">
        <v>163</v>
      </c>
      <c r="AN5" t="s">
        <v>163</v>
      </c>
      <c r="AO5" t="s">
        <v>163</v>
      </c>
      <c r="AP5">
        <v>0</v>
      </c>
      <c r="AQ5">
        <v>0</v>
      </c>
      <c r="AR5">
        <v>9</v>
      </c>
      <c r="AS5">
        <v>11</v>
      </c>
    </row>
    <row r="6" spans="1:45" x14ac:dyDescent="0.35">
      <c r="A6" s="337">
        <v>46266</v>
      </c>
      <c r="B6" s="337">
        <v>46295</v>
      </c>
      <c r="C6" s="337">
        <v>46293</v>
      </c>
      <c r="D6" t="s">
        <v>130</v>
      </c>
      <c r="E6" s="338">
        <v>1.125</v>
      </c>
      <c r="F6">
        <v>3</v>
      </c>
      <c r="G6" t="s">
        <v>75</v>
      </c>
      <c r="H6">
        <v>0.01</v>
      </c>
      <c r="I6" t="s">
        <v>165</v>
      </c>
      <c r="J6" t="s">
        <v>165</v>
      </c>
      <c r="K6" t="s">
        <v>165</v>
      </c>
      <c r="L6" t="s">
        <v>161</v>
      </c>
      <c r="M6" t="s">
        <v>161</v>
      </c>
      <c r="N6">
        <v>12.51</v>
      </c>
      <c r="O6" t="s">
        <v>163</v>
      </c>
      <c r="P6" t="s">
        <v>163</v>
      </c>
      <c r="Q6" t="s">
        <v>163</v>
      </c>
      <c r="R6" t="s">
        <v>163</v>
      </c>
      <c r="S6" t="s">
        <v>163</v>
      </c>
      <c r="T6" t="s">
        <v>163</v>
      </c>
      <c r="U6" t="s">
        <v>163</v>
      </c>
      <c r="V6" t="s">
        <v>163</v>
      </c>
      <c r="W6" t="s">
        <v>163</v>
      </c>
      <c r="X6" t="s">
        <v>163</v>
      </c>
      <c r="Y6" t="s">
        <v>163</v>
      </c>
      <c r="Z6">
        <v>2</v>
      </c>
      <c r="AA6">
        <v>1</v>
      </c>
      <c r="AB6">
        <v>2</v>
      </c>
      <c r="AC6">
        <v>1</v>
      </c>
      <c r="AD6" t="s">
        <v>163</v>
      </c>
      <c r="AE6" t="s">
        <v>163</v>
      </c>
      <c r="AF6" t="s">
        <v>163</v>
      </c>
      <c r="AG6" t="s">
        <v>163</v>
      </c>
      <c r="AH6" t="s">
        <v>163</v>
      </c>
      <c r="AI6" t="s">
        <v>163</v>
      </c>
      <c r="AJ6" t="s">
        <v>163</v>
      </c>
      <c r="AK6">
        <v>6</v>
      </c>
      <c r="AL6">
        <v>6</v>
      </c>
      <c r="AM6" t="s">
        <v>163</v>
      </c>
      <c r="AN6" t="s">
        <v>163</v>
      </c>
      <c r="AO6" t="s">
        <v>163</v>
      </c>
      <c r="AP6">
        <v>0</v>
      </c>
      <c r="AQ6">
        <v>0</v>
      </c>
      <c r="AR6">
        <v>6</v>
      </c>
      <c r="AS6">
        <v>6</v>
      </c>
    </row>
    <row r="7" spans="1:45" x14ac:dyDescent="0.35">
      <c r="A7" s="337">
        <v>46266</v>
      </c>
      <c r="B7" s="337">
        <v>46295</v>
      </c>
      <c r="C7" s="337">
        <v>46293</v>
      </c>
      <c r="D7" t="s">
        <v>130</v>
      </c>
      <c r="E7" s="338">
        <v>1.0833333333333333</v>
      </c>
      <c r="F7">
        <v>3</v>
      </c>
      <c r="G7" t="s">
        <v>75</v>
      </c>
      <c r="H7">
        <v>0.01</v>
      </c>
      <c r="I7" t="s">
        <v>165</v>
      </c>
      <c r="J7" t="s">
        <v>165</v>
      </c>
      <c r="K7" t="s">
        <v>165</v>
      </c>
      <c r="L7" t="s">
        <v>161</v>
      </c>
      <c r="M7" t="s">
        <v>161</v>
      </c>
      <c r="N7">
        <v>12.42</v>
      </c>
      <c r="O7" t="s">
        <v>163</v>
      </c>
      <c r="P7" t="s">
        <v>163</v>
      </c>
      <c r="Q7" t="s">
        <v>163</v>
      </c>
      <c r="R7" t="s">
        <v>163</v>
      </c>
      <c r="S7" t="s">
        <v>163</v>
      </c>
      <c r="T7" t="s">
        <v>163</v>
      </c>
      <c r="U7" t="s">
        <v>163</v>
      </c>
      <c r="V7" t="s">
        <v>163</v>
      </c>
      <c r="W7" t="s">
        <v>163</v>
      </c>
      <c r="X7" t="s">
        <v>163</v>
      </c>
      <c r="Y7" t="s">
        <v>163</v>
      </c>
      <c r="Z7">
        <v>2</v>
      </c>
      <c r="AA7">
        <v>1</v>
      </c>
      <c r="AB7">
        <v>2</v>
      </c>
      <c r="AC7">
        <v>1</v>
      </c>
      <c r="AD7" t="s">
        <v>163</v>
      </c>
      <c r="AE7" t="s">
        <v>163</v>
      </c>
      <c r="AF7" t="s">
        <v>163</v>
      </c>
      <c r="AG7" t="s">
        <v>163</v>
      </c>
      <c r="AH7" t="s">
        <v>163</v>
      </c>
      <c r="AI7" t="s">
        <v>163</v>
      </c>
      <c r="AJ7" t="s">
        <v>163</v>
      </c>
      <c r="AK7">
        <v>6</v>
      </c>
      <c r="AL7">
        <v>6</v>
      </c>
      <c r="AM7" t="s">
        <v>163</v>
      </c>
      <c r="AN7" t="s">
        <v>163</v>
      </c>
      <c r="AO7" t="s">
        <v>163</v>
      </c>
      <c r="AP7">
        <v>0</v>
      </c>
      <c r="AQ7">
        <v>0</v>
      </c>
      <c r="AR7">
        <v>6</v>
      </c>
      <c r="AS7">
        <v>6</v>
      </c>
    </row>
    <row r="8" spans="1:45" x14ac:dyDescent="0.35">
      <c r="A8" s="337">
        <v>46266</v>
      </c>
      <c r="B8" s="337">
        <v>46295</v>
      </c>
      <c r="C8" s="337">
        <v>46293</v>
      </c>
      <c r="D8" t="s">
        <v>130</v>
      </c>
      <c r="E8" s="338">
        <v>1.0416666666666667</v>
      </c>
      <c r="F8">
        <v>3</v>
      </c>
      <c r="G8" t="s">
        <v>75</v>
      </c>
      <c r="H8">
        <v>0.01</v>
      </c>
      <c r="I8" t="s">
        <v>165</v>
      </c>
      <c r="J8" t="s">
        <v>165</v>
      </c>
      <c r="K8" t="s">
        <v>165</v>
      </c>
      <c r="L8" t="s">
        <v>161</v>
      </c>
      <c r="M8" t="s">
        <v>161</v>
      </c>
      <c r="N8">
        <v>12.42</v>
      </c>
      <c r="O8">
        <v>12.58</v>
      </c>
      <c r="P8">
        <v>0.51</v>
      </c>
      <c r="Q8">
        <v>63.5</v>
      </c>
      <c r="R8" t="s">
        <v>163</v>
      </c>
      <c r="S8" t="s">
        <v>163</v>
      </c>
      <c r="T8">
        <v>35.1</v>
      </c>
      <c r="U8" t="s">
        <v>163</v>
      </c>
      <c r="V8" t="s">
        <v>163</v>
      </c>
      <c r="W8" t="s">
        <v>163</v>
      </c>
      <c r="X8" t="s">
        <v>163</v>
      </c>
      <c r="Y8" t="s">
        <v>163</v>
      </c>
      <c r="Z8">
        <v>2</v>
      </c>
      <c r="AA8">
        <v>1</v>
      </c>
      <c r="AB8">
        <v>2</v>
      </c>
      <c r="AC8">
        <v>1</v>
      </c>
      <c r="AD8">
        <v>0</v>
      </c>
      <c r="AE8">
        <v>2</v>
      </c>
      <c r="AF8">
        <v>0</v>
      </c>
      <c r="AG8" t="s">
        <v>163</v>
      </c>
      <c r="AH8" t="s">
        <v>163</v>
      </c>
      <c r="AI8">
        <v>2</v>
      </c>
      <c r="AJ8" t="s">
        <v>163</v>
      </c>
      <c r="AK8">
        <v>10</v>
      </c>
      <c r="AL8">
        <v>13</v>
      </c>
      <c r="AM8" t="s">
        <v>163</v>
      </c>
      <c r="AN8" t="s">
        <v>163</v>
      </c>
      <c r="AO8" t="s">
        <v>163</v>
      </c>
      <c r="AP8">
        <v>0</v>
      </c>
      <c r="AQ8">
        <v>0</v>
      </c>
      <c r="AR8">
        <v>10</v>
      </c>
      <c r="AS8">
        <v>13</v>
      </c>
    </row>
    <row r="9" spans="1:45" x14ac:dyDescent="0.35">
      <c r="A9" s="337">
        <v>46266</v>
      </c>
      <c r="B9" s="337">
        <v>46295</v>
      </c>
      <c r="C9" s="337">
        <v>46293</v>
      </c>
      <c r="D9" t="s">
        <v>130</v>
      </c>
      <c r="E9" s="339">
        <v>0.91666666666666663</v>
      </c>
      <c r="F9">
        <v>3</v>
      </c>
      <c r="G9" t="s">
        <v>119</v>
      </c>
      <c r="H9">
        <v>0.01</v>
      </c>
      <c r="I9" t="s">
        <v>165</v>
      </c>
      <c r="J9" t="s">
        <v>165</v>
      </c>
      <c r="K9" t="s">
        <v>165</v>
      </c>
      <c r="L9" t="s">
        <v>161</v>
      </c>
      <c r="M9" t="s">
        <v>161</v>
      </c>
      <c r="N9">
        <v>12.1</v>
      </c>
      <c r="O9" t="s">
        <v>163</v>
      </c>
      <c r="P9" t="s">
        <v>163</v>
      </c>
      <c r="Q9" t="s">
        <v>163</v>
      </c>
      <c r="R9" t="s">
        <v>163</v>
      </c>
      <c r="S9" t="s">
        <v>163</v>
      </c>
      <c r="T9" t="s">
        <v>163</v>
      </c>
      <c r="U9" t="s">
        <v>163</v>
      </c>
      <c r="V9" t="s">
        <v>163</v>
      </c>
      <c r="W9" t="s">
        <v>163</v>
      </c>
      <c r="X9" t="s">
        <v>163</v>
      </c>
      <c r="Y9" t="s">
        <v>163</v>
      </c>
      <c r="Z9">
        <v>2</v>
      </c>
      <c r="AA9">
        <v>1</v>
      </c>
      <c r="AB9">
        <v>2</v>
      </c>
      <c r="AC9">
        <v>1</v>
      </c>
      <c r="AD9" t="s">
        <v>163</v>
      </c>
      <c r="AE9" t="s">
        <v>163</v>
      </c>
      <c r="AF9" t="s">
        <v>163</v>
      </c>
      <c r="AG9" t="s">
        <v>163</v>
      </c>
      <c r="AH9" t="s">
        <v>163</v>
      </c>
      <c r="AI9" t="s">
        <v>163</v>
      </c>
      <c r="AJ9" t="s">
        <v>163</v>
      </c>
      <c r="AK9">
        <v>6</v>
      </c>
      <c r="AL9">
        <v>6</v>
      </c>
      <c r="AM9" t="s">
        <v>163</v>
      </c>
      <c r="AN9" t="s">
        <v>163</v>
      </c>
      <c r="AO9" t="s">
        <v>163</v>
      </c>
      <c r="AP9">
        <v>0</v>
      </c>
      <c r="AQ9">
        <v>0</v>
      </c>
      <c r="AR9">
        <v>6</v>
      </c>
      <c r="AS9">
        <v>6</v>
      </c>
    </row>
    <row r="10" spans="1:45" x14ac:dyDescent="0.35">
      <c r="A10" s="337">
        <v>46266</v>
      </c>
      <c r="B10" s="337">
        <v>46295</v>
      </c>
      <c r="C10" s="339">
        <v>0</v>
      </c>
      <c r="D10" t="s">
        <v>130</v>
      </c>
      <c r="E10" s="338">
        <v>1.1666666666666667</v>
      </c>
      <c r="F10">
        <v>2</v>
      </c>
      <c r="G10" t="s">
        <v>138</v>
      </c>
      <c r="H10" t="s">
        <v>163</v>
      </c>
      <c r="I10" t="s">
        <v>165</v>
      </c>
      <c r="J10" t="s">
        <v>165</v>
      </c>
      <c r="K10" t="s">
        <v>165</v>
      </c>
      <c r="L10" t="s">
        <v>163</v>
      </c>
      <c r="M10" t="s">
        <v>161</v>
      </c>
      <c r="N10">
        <v>10.6</v>
      </c>
      <c r="O10" t="s">
        <v>163</v>
      </c>
      <c r="P10" t="s">
        <v>163</v>
      </c>
      <c r="Q10" t="s">
        <v>163</v>
      </c>
      <c r="R10" t="s">
        <v>163</v>
      </c>
      <c r="S10" t="s">
        <v>163</v>
      </c>
      <c r="T10" t="s">
        <v>163</v>
      </c>
      <c r="U10" t="s">
        <v>163</v>
      </c>
      <c r="V10" t="s">
        <v>163</v>
      </c>
      <c r="W10" t="s">
        <v>163</v>
      </c>
      <c r="X10" t="s">
        <v>163</v>
      </c>
      <c r="Y10" t="s">
        <v>163</v>
      </c>
      <c r="Z10" t="s">
        <v>163</v>
      </c>
      <c r="AA10">
        <v>1</v>
      </c>
      <c r="AB10">
        <v>2</v>
      </c>
      <c r="AC10">
        <v>0</v>
      </c>
      <c r="AD10" t="s">
        <v>163</v>
      </c>
      <c r="AE10" t="s">
        <v>163</v>
      </c>
      <c r="AF10" t="s">
        <v>163</v>
      </c>
      <c r="AG10" t="s">
        <v>163</v>
      </c>
      <c r="AH10" t="s">
        <v>163</v>
      </c>
      <c r="AI10" t="s">
        <v>163</v>
      </c>
      <c r="AJ10" t="s">
        <v>163</v>
      </c>
      <c r="AK10">
        <v>3</v>
      </c>
      <c r="AL10">
        <v>4</v>
      </c>
      <c r="AM10" t="s">
        <v>163</v>
      </c>
      <c r="AN10" t="s">
        <v>163</v>
      </c>
      <c r="AO10" t="s">
        <v>163</v>
      </c>
      <c r="AP10">
        <v>0</v>
      </c>
      <c r="AQ10">
        <v>0</v>
      </c>
      <c r="AR10">
        <v>3</v>
      </c>
      <c r="AS10">
        <v>4</v>
      </c>
    </row>
    <row r="11" spans="1:45" x14ac:dyDescent="0.35">
      <c r="A11" s="337">
        <v>46266</v>
      </c>
      <c r="B11" s="337">
        <v>46295</v>
      </c>
      <c r="C11" s="339">
        <v>0</v>
      </c>
      <c r="D11" t="s">
        <v>130</v>
      </c>
      <c r="E11" s="338">
        <v>1.125</v>
      </c>
      <c r="F11">
        <v>2</v>
      </c>
      <c r="G11" t="s">
        <v>138</v>
      </c>
      <c r="H11" t="s">
        <v>163</v>
      </c>
      <c r="I11" t="s">
        <v>165</v>
      </c>
      <c r="J11" t="s">
        <v>165</v>
      </c>
      <c r="K11" t="s">
        <v>165</v>
      </c>
      <c r="L11" t="s">
        <v>163</v>
      </c>
      <c r="M11" t="s">
        <v>161</v>
      </c>
      <c r="N11">
        <v>10.54</v>
      </c>
      <c r="O11" t="s">
        <v>163</v>
      </c>
      <c r="P11" t="s">
        <v>163</v>
      </c>
      <c r="Q11" t="s">
        <v>163</v>
      </c>
      <c r="R11" t="s">
        <v>163</v>
      </c>
      <c r="S11" t="s">
        <v>163</v>
      </c>
      <c r="T11" t="s">
        <v>163</v>
      </c>
      <c r="U11" t="s">
        <v>163</v>
      </c>
      <c r="V11" t="s">
        <v>163</v>
      </c>
      <c r="W11" t="s">
        <v>163</v>
      </c>
      <c r="X11" t="s">
        <v>163</v>
      </c>
      <c r="Y11" t="s">
        <v>163</v>
      </c>
      <c r="Z11" t="s">
        <v>163</v>
      </c>
      <c r="AA11">
        <v>1</v>
      </c>
      <c r="AB11">
        <v>2</v>
      </c>
      <c r="AC11">
        <v>0</v>
      </c>
      <c r="AD11" t="s">
        <v>163</v>
      </c>
      <c r="AE11" t="s">
        <v>163</v>
      </c>
      <c r="AF11" t="s">
        <v>163</v>
      </c>
      <c r="AG11" t="s">
        <v>163</v>
      </c>
      <c r="AH11" t="s">
        <v>163</v>
      </c>
      <c r="AI11" t="s">
        <v>163</v>
      </c>
      <c r="AJ11" t="s">
        <v>163</v>
      </c>
      <c r="AK11">
        <v>3</v>
      </c>
      <c r="AL11">
        <v>4</v>
      </c>
      <c r="AM11" t="s">
        <v>163</v>
      </c>
      <c r="AN11" t="s">
        <v>163</v>
      </c>
      <c r="AO11" t="s">
        <v>163</v>
      </c>
      <c r="AP11">
        <v>0</v>
      </c>
      <c r="AQ11">
        <v>0</v>
      </c>
      <c r="AR11">
        <v>3</v>
      </c>
      <c r="AS11">
        <v>4</v>
      </c>
    </row>
    <row r="12" spans="1:45" x14ac:dyDescent="0.35">
      <c r="A12" s="337">
        <v>46266</v>
      </c>
      <c r="B12" s="337">
        <v>46295</v>
      </c>
      <c r="C12" s="339">
        <v>0</v>
      </c>
      <c r="D12" t="s">
        <v>130</v>
      </c>
      <c r="E12" s="338">
        <v>1.0833333333333333</v>
      </c>
      <c r="F12">
        <v>2</v>
      </c>
      <c r="G12" t="s">
        <v>140</v>
      </c>
      <c r="H12" t="s">
        <v>163</v>
      </c>
      <c r="I12" t="s">
        <v>165</v>
      </c>
      <c r="J12" t="s">
        <v>165</v>
      </c>
      <c r="K12" t="s">
        <v>165</v>
      </c>
      <c r="L12" t="s">
        <v>163</v>
      </c>
      <c r="M12" t="s">
        <v>161</v>
      </c>
      <c r="N12">
        <v>10.49</v>
      </c>
      <c r="O12" t="s">
        <v>163</v>
      </c>
      <c r="P12" t="s">
        <v>163</v>
      </c>
      <c r="Q12" t="s">
        <v>163</v>
      </c>
      <c r="R12" t="s">
        <v>163</v>
      </c>
      <c r="S12" t="s">
        <v>163</v>
      </c>
      <c r="T12" t="s">
        <v>163</v>
      </c>
      <c r="U12" t="s">
        <v>163</v>
      </c>
      <c r="V12" t="s">
        <v>163</v>
      </c>
      <c r="W12" t="s">
        <v>163</v>
      </c>
      <c r="X12" t="s">
        <v>163</v>
      </c>
      <c r="Y12" t="s">
        <v>163</v>
      </c>
      <c r="Z12" t="s">
        <v>163</v>
      </c>
      <c r="AA12">
        <v>1</v>
      </c>
      <c r="AB12">
        <v>2</v>
      </c>
      <c r="AC12">
        <v>0</v>
      </c>
      <c r="AD12" t="s">
        <v>163</v>
      </c>
      <c r="AE12" t="s">
        <v>163</v>
      </c>
      <c r="AF12" t="s">
        <v>163</v>
      </c>
      <c r="AG12" t="s">
        <v>163</v>
      </c>
      <c r="AH12" t="s">
        <v>163</v>
      </c>
      <c r="AI12" t="s">
        <v>163</v>
      </c>
      <c r="AJ12" t="s">
        <v>163</v>
      </c>
      <c r="AK12">
        <v>3</v>
      </c>
      <c r="AL12">
        <v>4</v>
      </c>
      <c r="AM12" t="s">
        <v>163</v>
      </c>
      <c r="AN12" t="s">
        <v>163</v>
      </c>
      <c r="AO12" t="s">
        <v>163</v>
      </c>
      <c r="AP12">
        <v>0</v>
      </c>
      <c r="AQ12">
        <v>0</v>
      </c>
      <c r="AR12">
        <v>3</v>
      </c>
      <c r="AS12">
        <v>4</v>
      </c>
    </row>
    <row r="13" spans="1:45" x14ac:dyDescent="0.35">
      <c r="A13" s="337">
        <v>46266</v>
      </c>
      <c r="B13" s="337">
        <v>46295</v>
      </c>
      <c r="C13" s="339">
        <v>0</v>
      </c>
      <c r="D13" t="s">
        <v>130</v>
      </c>
      <c r="E13" s="338">
        <v>1.0416666666666667</v>
      </c>
      <c r="F13">
        <v>2</v>
      </c>
      <c r="G13" t="s">
        <v>140</v>
      </c>
      <c r="H13" t="s">
        <v>163</v>
      </c>
      <c r="I13" t="s">
        <v>165</v>
      </c>
      <c r="J13" t="s">
        <v>165</v>
      </c>
      <c r="K13" t="s">
        <v>165</v>
      </c>
      <c r="L13" t="s">
        <v>163</v>
      </c>
      <c r="M13" t="s">
        <v>161</v>
      </c>
      <c r="N13">
        <v>10.61</v>
      </c>
      <c r="O13" t="s">
        <v>163</v>
      </c>
      <c r="P13" t="s">
        <v>163</v>
      </c>
      <c r="Q13" t="s">
        <v>163</v>
      </c>
      <c r="R13" t="s">
        <v>163</v>
      </c>
      <c r="S13" t="s">
        <v>163</v>
      </c>
      <c r="T13" t="s">
        <v>163</v>
      </c>
      <c r="U13" t="s">
        <v>163</v>
      </c>
      <c r="V13" t="s">
        <v>163</v>
      </c>
      <c r="W13" t="s">
        <v>163</v>
      </c>
      <c r="X13" t="s">
        <v>163</v>
      </c>
      <c r="Y13" t="s">
        <v>163</v>
      </c>
      <c r="Z13" t="s">
        <v>163</v>
      </c>
      <c r="AA13">
        <v>1</v>
      </c>
      <c r="AB13">
        <v>2</v>
      </c>
      <c r="AC13">
        <v>0</v>
      </c>
      <c r="AD13" t="s">
        <v>163</v>
      </c>
      <c r="AE13" t="s">
        <v>163</v>
      </c>
      <c r="AF13" t="s">
        <v>163</v>
      </c>
      <c r="AG13" t="s">
        <v>163</v>
      </c>
      <c r="AH13" t="s">
        <v>163</v>
      </c>
      <c r="AI13" t="s">
        <v>163</v>
      </c>
      <c r="AJ13" t="s">
        <v>163</v>
      </c>
      <c r="AK13">
        <v>3</v>
      </c>
      <c r="AL13">
        <v>4</v>
      </c>
      <c r="AM13" t="s">
        <v>163</v>
      </c>
      <c r="AN13" t="s">
        <v>163</v>
      </c>
      <c r="AO13" t="s">
        <v>163</v>
      </c>
      <c r="AP13">
        <v>0</v>
      </c>
      <c r="AQ13">
        <v>0</v>
      </c>
      <c r="AR13">
        <v>3</v>
      </c>
      <c r="AS13">
        <v>4</v>
      </c>
    </row>
    <row r="14" spans="1:45" x14ac:dyDescent="0.35">
      <c r="A14" s="337">
        <v>46266</v>
      </c>
      <c r="B14" s="337">
        <v>46295</v>
      </c>
      <c r="C14" s="339">
        <v>0</v>
      </c>
      <c r="D14" t="s">
        <v>130</v>
      </c>
      <c r="E14" s="337">
        <v>1</v>
      </c>
      <c r="F14">
        <v>2</v>
      </c>
      <c r="G14" t="s">
        <v>140</v>
      </c>
      <c r="H14" t="s">
        <v>163</v>
      </c>
      <c r="I14" t="s">
        <v>165</v>
      </c>
      <c r="J14" t="s">
        <v>165</v>
      </c>
      <c r="K14" t="s">
        <v>165</v>
      </c>
      <c r="L14" t="s">
        <v>163</v>
      </c>
      <c r="M14" t="s">
        <v>161</v>
      </c>
      <c r="N14">
        <v>10.61</v>
      </c>
      <c r="O14" t="s">
        <v>163</v>
      </c>
      <c r="P14" t="s">
        <v>163</v>
      </c>
      <c r="Q14" t="s">
        <v>163</v>
      </c>
      <c r="R14" t="s">
        <v>163</v>
      </c>
      <c r="S14" t="s">
        <v>163</v>
      </c>
      <c r="T14" t="s">
        <v>163</v>
      </c>
      <c r="U14" t="s">
        <v>163</v>
      </c>
      <c r="V14" t="s">
        <v>163</v>
      </c>
      <c r="W14" t="s">
        <v>163</v>
      </c>
      <c r="X14" t="s">
        <v>163</v>
      </c>
      <c r="Y14" t="s">
        <v>163</v>
      </c>
      <c r="Z14" t="s">
        <v>163</v>
      </c>
      <c r="AA14">
        <v>1</v>
      </c>
      <c r="AB14">
        <v>2</v>
      </c>
      <c r="AC14">
        <v>0</v>
      </c>
      <c r="AD14" t="s">
        <v>163</v>
      </c>
      <c r="AE14" t="s">
        <v>163</v>
      </c>
      <c r="AF14" t="s">
        <v>163</v>
      </c>
      <c r="AG14" t="s">
        <v>163</v>
      </c>
      <c r="AH14" t="s">
        <v>163</v>
      </c>
      <c r="AI14" t="s">
        <v>163</v>
      </c>
      <c r="AJ14" t="s">
        <v>163</v>
      </c>
      <c r="AK14">
        <v>3</v>
      </c>
      <c r="AL14">
        <v>4</v>
      </c>
      <c r="AM14" t="s">
        <v>163</v>
      </c>
      <c r="AN14" t="s">
        <v>163</v>
      </c>
      <c r="AO14" t="s">
        <v>163</v>
      </c>
      <c r="AP14">
        <v>0</v>
      </c>
      <c r="AQ14">
        <v>0</v>
      </c>
      <c r="AR14">
        <v>3</v>
      </c>
      <c r="AS14">
        <v>4</v>
      </c>
    </row>
    <row r="15" spans="1:45" x14ac:dyDescent="0.35">
      <c r="A15" s="337">
        <v>46266</v>
      </c>
      <c r="B15" s="337">
        <v>46295</v>
      </c>
      <c r="C15" s="339">
        <v>0</v>
      </c>
      <c r="D15" t="s">
        <v>130</v>
      </c>
      <c r="E15" s="339">
        <v>0.91666666666666663</v>
      </c>
      <c r="F15">
        <v>2</v>
      </c>
      <c r="G15" t="s">
        <v>140</v>
      </c>
      <c r="H15" t="s">
        <v>163</v>
      </c>
      <c r="I15" t="s">
        <v>165</v>
      </c>
      <c r="J15" t="s">
        <v>165</v>
      </c>
      <c r="K15" t="s">
        <v>165</v>
      </c>
      <c r="L15" t="s">
        <v>163</v>
      </c>
      <c r="M15" t="s">
        <v>161</v>
      </c>
      <c r="N15">
        <v>10.71</v>
      </c>
      <c r="O15" t="s">
        <v>163</v>
      </c>
      <c r="P15" t="s">
        <v>163</v>
      </c>
      <c r="Q15" t="s">
        <v>163</v>
      </c>
      <c r="R15" t="s">
        <v>163</v>
      </c>
      <c r="S15" t="s">
        <v>163</v>
      </c>
      <c r="T15" t="s">
        <v>163</v>
      </c>
      <c r="U15" t="s">
        <v>163</v>
      </c>
      <c r="V15" t="s">
        <v>163</v>
      </c>
      <c r="W15" t="s">
        <v>163</v>
      </c>
      <c r="X15" t="s">
        <v>163</v>
      </c>
      <c r="Y15" t="s">
        <v>163</v>
      </c>
      <c r="Z15" t="s">
        <v>163</v>
      </c>
      <c r="AA15">
        <v>1</v>
      </c>
      <c r="AB15">
        <v>2</v>
      </c>
      <c r="AC15">
        <v>0</v>
      </c>
      <c r="AD15" t="s">
        <v>163</v>
      </c>
      <c r="AE15" t="s">
        <v>163</v>
      </c>
      <c r="AF15" t="s">
        <v>163</v>
      </c>
      <c r="AG15" t="s">
        <v>163</v>
      </c>
      <c r="AH15" t="s">
        <v>163</v>
      </c>
      <c r="AI15" t="s">
        <v>163</v>
      </c>
      <c r="AJ15" t="s">
        <v>163</v>
      </c>
      <c r="AK15">
        <v>3</v>
      </c>
      <c r="AL15">
        <v>4</v>
      </c>
      <c r="AM15" t="s">
        <v>163</v>
      </c>
      <c r="AN15" t="s">
        <v>163</v>
      </c>
      <c r="AO15" t="s">
        <v>163</v>
      </c>
      <c r="AP15">
        <v>0</v>
      </c>
      <c r="AQ15">
        <v>0</v>
      </c>
      <c r="AR15">
        <v>3</v>
      </c>
      <c r="AS15">
        <v>4</v>
      </c>
    </row>
    <row r="16" spans="1:45" x14ac:dyDescent="0.35">
      <c r="A16" s="337">
        <v>46266</v>
      </c>
      <c r="B16" s="337">
        <v>46295</v>
      </c>
      <c r="C16" s="337">
        <v>46291</v>
      </c>
      <c r="D16" t="s">
        <v>130</v>
      </c>
      <c r="E16" s="338">
        <v>1.2083333333333333</v>
      </c>
      <c r="F16">
        <v>1</v>
      </c>
      <c r="G16" t="s">
        <v>158</v>
      </c>
      <c r="H16" t="s">
        <v>163</v>
      </c>
      <c r="I16" t="s">
        <v>165</v>
      </c>
      <c r="J16" t="s">
        <v>165</v>
      </c>
      <c r="K16" t="s">
        <v>165</v>
      </c>
      <c r="L16" t="s">
        <v>163</v>
      </c>
      <c r="M16" t="s">
        <v>163</v>
      </c>
      <c r="N16">
        <v>11.15</v>
      </c>
      <c r="O16" t="s">
        <v>163</v>
      </c>
      <c r="P16" t="s">
        <v>163</v>
      </c>
      <c r="Q16" t="s">
        <v>163</v>
      </c>
      <c r="R16" t="s">
        <v>163</v>
      </c>
      <c r="S16" t="s">
        <v>163</v>
      </c>
      <c r="T16" t="s">
        <v>163</v>
      </c>
      <c r="U16" t="s">
        <v>163</v>
      </c>
      <c r="V16" t="s">
        <v>163</v>
      </c>
      <c r="W16" t="s">
        <v>163</v>
      </c>
      <c r="X16" t="s">
        <v>163</v>
      </c>
      <c r="Y16" t="s">
        <v>163</v>
      </c>
      <c r="Z16" t="s">
        <v>163</v>
      </c>
      <c r="AA16">
        <v>1</v>
      </c>
      <c r="AB16">
        <v>2</v>
      </c>
      <c r="AC16">
        <v>1</v>
      </c>
      <c r="AD16" t="s">
        <v>163</v>
      </c>
      <c r="AE16" t="s">
        <v>163</v>
      </c>
      <c r="AF16" t="s">
        <v>163</v>
      </c>
      <c r="AG16" t="s">
        <v>163</v>
      </c>
      <c r="AH16" t="s">
        <v>163</v>
      </c>
      <c r="AI16" t="s">
        <v>163</v>
      </c>
      <c r="AJ16" t="s">
        <v>163</v>
      </c>
      <c r="AK16">
        <v>4</v>
      </c>
      <c r="AL16">
        <v>4</v>
      </c>
      <c r="AM16" t="s">
        <v>163</v>
      </c>
      <c r="AN16" t="s">
        <v>163</v>
      </c>
      <c r="AO16" t="s">
        <v>163</v>
      </c>
      <c r="AP16">
        <v>0</v>
      </c>
      <c r="AQ16">
        <v>0</v>
      </c>
      <c r="AR16">
        <v>4</v>
      </c>
      <c r="AS16">
        <v>4</v>
      </c>
    </row>
    <row r="17" spans="1:45" x14ac:dyDescent="0.35">
      <c r="A17" s="337">
        <v>46266</v>
      </c>
      <c r="B17" s="337">
        <v>46295</v>
      </c>
      <c r="C17" s="337">
        <v>46291</v>
      </c>
      <c r="D17" t="s">
        <v>130</v>
      </c>
      <c r="E17" s="338">
        <v>1.1666666666666667</v>
      </c>
      <c r="F17">
        <v>1</v>
      </c>
      <c r="G17" t="s">
        <v>158</v>
      </c>
      <c r="H17" t="s">
        <v>163</v>
      </c>
      <c r="I17" t="s">
        <v>165</v>
      </c>
      <c r="J17" t="s">
        <v>165</v>
      </c>
      <c r="K17" t="s">
        <v>165</v>
      </c>
      <c r="L17" t="s">
        <v>163</v>
      </c>
      <c r="M17" t="s">
        <v>163</v>
      </c>
      <c r="N17">
        <v>11.07</v>
      </c>
      <c r="O17" t="s">
        <v>163</v>
      </c>
      <c r="P17" t="s">
        <v>163</v>
      </c>
      <c r="Q17" t="s">
        <v>163</v>
      </c>
      <c r="R17" t="s">
        <v>163</v>
      </c>
      <c r="S17" t="s">
        <v>163</v>
      </c>
      <c r="T17" t="s">
        <v>163</v>
      </c>
      <c r="U17" t="s">
        <v>163</v>
      </c>
      <c r="V17" t="s">
        <v>163</v>
      </c>
      <c r="W17" t="s">
        <v>163</v>
      </c>
      <c r="X17" t="s">
        <v>163</v>
      </c>
      <c r="Y17" t="s">
        <v>163</v>
      </c>
      <c r="Z17" t="s">
        <v>163</v>
      </c>
      <c r="AA17">
        <v>1</v>
      </c>
      <c r="AB17">
        <v>2</v>
      </c>
      <c r="AC17">
        <v>1</v>
      </c>
      <c r="AD17" t="s">
        <v>163</v>
      </c>
      <c r="AE17" t="s">
        <v>163</v>
      </c>
      <c r="AF17" t="s">
        <v>163</v>
      </c>
      <c r="AG17" t="s">
        <v>163</v>
      </c>
      <c r="AH17" t="s">
        <v>163</v>
      </c>
      <c r="AI17" t="s">
        <v>163</v>
      </c>
      <c r="AJ17" t="s">
        <v>163</v>
      </c>
      <c r="AK17">
        <v>4</v>
      </c>
      <c r="AL17">
        <v>4</v>
      </c>
      <c r="AM17" t="s">
        <v>163</v>
      </c>
      <c r="AN17" t="s">
        <v>163</v>
      </c>
      <c r="AO17" t="s">
        <v>163</v>
      </c>
      <c r="AP17">
        <v>0</v>
      </c>
      <c r="AQ17">
        <v>0</v>
      </c>
      <c r="AR17">
        <v>4</v>
      </c>
      <c r="AS17">
        <v>4</v>
      </c>
    </row>
    <row r="18" spans="1:45" x14ac:dyDescent="0.35">
      <c r="A18" s="337">
        <v>46266</v>
      </c>
      <c r="B18" s="337">
        <v>46295</v>
      </c>
      <c r="C18" s="337">
        <v>46291</v>
      </c>
      <c r="D18" t="s">
        <v>130</v>
      </c>
      <c r="E18" s="338">
        <v>1.125</v>
      </c>
      <c r="F18">
        <v>1</v>
      </c>
      <c r="G18" t="s">
        <v>158</v>
      </c>
      <c r="H18" t="s">
        <v>163</v>
      </c>
      <c r="I18" t="s">
        <v>165</v>
      </c>
      <c r="J18" t="s">
        <v>165</v>
      </c>
      <c r="K18" t="s">
        <v>165</v>
      </c>
      <c r="L18" t="s">
        <v>163</v>
      </c>
      <c r="M18" t="s">
        <v>163</v>
      </c>
      <c r="N18">
        <v>11.22</v>
      </c>
      <c r="O18" t="s">
        <v>163</v>
      </c>
      <c r="P18" t="s">
        <v>163</v>
      </c>
      <c r="Q18" t="s">
        <v>163</v>
      </c>
      <c r="R18" t="s">
        <v>163</v>
      </c>
      <c r="S18" t="s">
        <v>163</v>
      </c>
      <c r="T18" t="s">
        <v>163</v>
      </c>
      <c r="U18" t="s">
        <v>163</v>
      </c>
      <c r="V18" t="s">
        <v>163</v>
      </c>
      <c r="W18" t="s">
        <v>163</v>
      </c>
      <c r="X18" t="s">
        <v>163</v>
      </c>
      <c r="Y18" t="s">
        <v>163</v>
      </c>
      <c r="Z18" t="s">
        <v>163</v>
      </c>
      <c r="AA18">
        <v>1</v>
      </c>
      <c r="AB18">
        <v>2</v>
      </c>
      <c r="AC18">
        <v>1</v>
      </c>
      <c r="AD18" t="s">
        <v>163</v>
      </c>
      <c r="AE18" t="s">
        <v>163</v>
      </c>
      <c r="AF18" t="s">
        <v>163</v>
      </c>
      <c r="AG18" t="s">
        <v>163</v>
      </c>
      <c r="AH18" t="s">
        <v>163</v>
      </c>
      <c r="AI18" t="s">
        <v>163</v>
      </c>
      <c r="AJ18" t="s">
        <v>163</v>
      </c>
      <c r="AK18">
        <v>4</v>
      </c>
      <c r="AL18">
        <v>4</v>
      </c>
      <c r="AM18" t="s">
        <v>163</v>
      </c>
      <c r="AN18" t="s">
        <v>163</v>
      </c>
      <c r="AO18" t="s">
        <v>163</v>
      </c>
      <c r="AP18">
        <v>0</v>
      </c>
      <c r="AQ18">
        <v>0</v>
      </c>
      <c r="AR18">
        <v>4</v>
      </c>
      <c r="AS18">
        <v>4</v>
      </c>
    </row>
    <row r="19" spans="1:45" x14ac:dyDescent="0.35">
      <c r="A19" s="337">
        <v>46266</v>
      </c>
      <c r="B19" s="337">
        <v>46295</v>
      </c>
      <c r="C19" s="337">
        <v>46291</v>
      </c>
      <c r="D19" t="s">
        <v>130</v>
      </c>
      <c r="E19" s="338">
        <v>1.0833333333333333</v>
      </c>
      <c r="F19">
        <v>1</v>
      </c>
      <c r="G19" t="s">
        <v>158</v>
      </c>
      <c r="H19" t="s">
        <v>163</v>
      </c>
      <c r="I19" t="s">
        <v>163</v>
      </c>
      <c r="J19" t="s">
        <v>165</v>
      </c>
      <c r="K19" t="s">
        <v>165</v>
      </c>
      <c r="L19" t="s">
        <v>163</v>
      </c>
      <c r="M19" t="s">
        <v>163</v>
      </c>
      <c r="N19">
        <v>10.95</v>
      </c>
      <c r="O19" t="s">
        <v>163</v>
      </c>
      <c r="P19" t="s">
        <v>163</v>
      </c>
      <c r="Q19" t="s">
        <v>163</v>
      </c>
      <c r="R19" t="s">
        <v>163</v>
      </c>
      <c r="S19" t="s">
        <v>163</v>
      </c>
      <c r="T19" t="s">
        <v>163</v>
      </c>
      <c r="U19" t="s">
        <v>163</v>
      </c>
      <c r="V19" t="s">
        <v>163</v>
      </c>
      <c r="W19" t="s">
        <v>163</v>
      </c>
      <c r="X19" t="s">
        <v>163</v>
      </c>
      <c r="Y19" t="s">
        <v>163</v>
      </c>
      <c r="Z19" t="s">
        <v>163</v>
      </c>
      <c r="AA19" t="s">
        <v>163</v>
      </c>
      <c r="AB19">
        <v>2</v>
      </c>
      <c r="AC19">
        <v>0</v>
      </c>
      <c r="AD19" t="s">
        <v>163</v>
      </c>
      <c r="AE19" t="s">
        <v>163</v>
      </c>
      <c r="AF19" t="s">
        <v>163</v>
      </c>
      <c r="AG19" t="s">
        <v>163</v>
      </c>
      <c r="AH19" t="s">
        <v>163</v>
      </c>
      <c r="AI19" t="s">
        <v>163</v>
      </c>
      <c r="AJ19" t="s">
        <v>163</v>
      </c>
      <c r="AK19">
        <v>2</v>
      </c>
      <c r="AL19">
        <v>3</v>
      </c>
      <c r="AM19" t="s">
        <v>163</v>
      </c>
      <c r="AN19" t="s">
        <v>163</v>
      </c>
      <c r="AO19" t="s">
        <v>163</v>
      </c>
      <c r="AP19">
        <v>0</v>
      </c>
      <c r="AQ19">
        <v>0</v>
      </c>
      <c r="AR19">
        <v>2</v>
      </c>
      <c r="AS19">
        <v>3</v>
      </c>
    </row>
    <row r="20" spans="1:45" x14ac:dyDescent="0.35">
      <c r="A20" s="337">
        <v>46266</v>
      </c>
      <c r="B20" s="337">
        <v>46295</v>
      </c>
      <c r="C20" s="337">
        <v>46291</v>
      </c>
      <c r="D20" t="s">
        <v>130</v>
      </c>
      <c r="E20" s="338">
        <v>1.0416666666666667</v>
      </c>
      <c r="F20">
        <v>1</v>
      </c>
      <c r="G20" t="s">
        <v>158</v>
      </c>
      <c r="H20" t="s">
        <v>163</v>
      </c>
      <c r="I20" t="s">
        <v>165</v>
      </c>
      <c r="J20" t="s">
        <v>165</v>
      </c>
      <c r="K20" t="s">
        <v>165</v>
      </c>
      <c r="L20" t="s">
        <v>163</v>
      </c>
      <c r="M20" t="s">
        <v>163</v>
      </c>
      <c r="N20">
        <v>10.91</v>
      </c>
      <c r="O20" t="s">
        <v>163</v>
      </c>
      <c r="P20" t="s">
        <v>163</v>
      </c>
      <c r="Q20" t="s">
        <v>163</v>
      </c>
      <c r="R20" t="s">
        <v>163</v>
      </c>
      <c r="S20" t="s">
        <v>163</v>
      </c>
      <c r="T20" t="s">
        <v>163</v>
      </c>
      <c r="U20" t="s">
        <v>163</v>
      </c>
      <c r="V20" t="s">
        <v>163</v>
      </c>
      <c r="W20" t="s">
        <v>163</v>
      </c>
      <c r="X20" t="s">
        <v>163</v>
      </c>
      <c r="Y20" t="s">
        <v>163</v>
      </c>
      <c r="Z20" t="s">
        <v>163</v>
      </c>
      <c r="AA20">
        <v>1</v>
      </c>
      <c r="AB20">
        <v>2</v>
      </c>
      <c r="AC20">
        <v>0</v>
      </c>
      <c r="AD20" t="s">
        <v>163</v>
      </c>
      <c r="AE20" t="s">
        <v>163</v>
      </c>
      <c r="AF20" t="s">
        <v>163</v>
      </c>
      <c r="AG20" t="s">
        <v>163</v>
      </c>
      <c r="AH20" t="s">
        <v>163</v>
      </c>
      <c r="AI20" t="s">
        <v>163</v>
      </c>
      <c r="AJ20" t="s">
        <v>163</v>
      </c>
      <c r="AK20">
        <v>3</v>
      </c>
      <c r="AL20">
        <v>4</v>
      </c>
      <c r="AM20" t="s">
        <v>163</v>
      </c>
      <c r="AN20" t="s">
        <v>163</v>
      </c>
      <c r="AO20" t="s">
        <v>163</v>
      </c>
      <c r="AP20">
        <v>0</v>
      </c>
      <c r="AQ20">
        <v>0</v>
      </c>
      <c r="AR20">
        <v>3</v>
      </c>
      <c r="AS20">
        <v>4</v>
      </c>
    </row>
    <row r="21" spans="1:45" x14ac:dyDescent="0.35">
      <c r="A21" s="337">
        <v>46266</v>
      </c>
      <c r="B21" s="337">
        <v>46295</v>
      </c>
      <c r="C21" s="337">
        <v>46291</v>
      </c>
      <c r="D21" t="s">
        <v>130</v>
      </c>
      <c r="E21" s="337">
        <v>1</v>
      </c>
      <c r="F21">
        <v>1</v>
      </c>
      <c r="G21" t="s">
        <v>158</v>
      </c>
      <c r="H21" t="s">
        <v>163</v>
      </c>
      <c r="I21" t="s">
        <v>165</v>
      </c>
      <c r="J21" t="s">
        <v>165</v>
      </c>
      <c r="K21" t="s">
        <v>165</v>
      </c>
      <c r="L21" t="s">
        <v>163</v>
      </c>
      <c r="M21" t="s">
        <v>163</v>
      </c>
      <c r="N21">
        <v>10.83</v>
      </c>
      <c r="O21" t="s">
        <v>163</v>
      </c>
      <c r="P21" t="s">
        <v>163</v>
      </c>
      <c r="Q21" t="s">
        <v>163</v>
      </c>
      <c r="R21" t="s">
        <v>163</v>
      </c>
      <c r="S21" t="s">
        <v>163</v>
      </c>
      <c r="T21" t="s">
        <v>163</v>
      </c>
      <c r="U21" t="s">
        <v>163</v>
      </c>
      <c r="V21" t="s">
        <v>163</v>
      </c>
      <c r="W21" t="s">
        <v>163</v>
      </c>
      <c r="X21" t="s">
        <v>163</v>
      </c>
      <c r="Y21" t="s">
        <v>163</v>
      </c>
      <c r="Z21" t="s">
        <v>163</v>
      </c>
      <c r="AA21">
        <v>1</v>
      </c>
      <c r="AB21">
        <v>2</v>
      </c>
      <c r="AC21">
        <v>0</v>
      </c>
      <c r="AD21" t="s">
        <v>163</v>
      </c>
      <c r="AE21" t="s">
        <v>163</v>
      </c>
      <c r="AF21" t="s">
        <v>163</v>
      </c>
      <c r="AG21" t="s">
        <v>163</v>
      </c>
      <c r="AH21" t="s">
        <v>163</v>
      </c>
      <c r="AI21" t="s">
        <v>163</v>
      </c>
      <c r="AJ21" t="s">
        <v>163</v>
      </c>
      <c r="AK21">
        <v>3</v>
      </c>
      <c r="AL21">
        <v>4</v>
      </c>
      <c r="AM21" t="s">
        <v>163</v>
      </c>
      <c r="AN21" t="s">
        <v>163</v>
      </c>
      <c r="AO21" t="s">
        <v>163</v>
      </c>
      <c r="AP21">
        <v>0</v>
      </c>
      <c r="AQ21">
        <v>0</v>
      </c>
      <c r="AR21">
        <v>3</v>
      </c>
      <c r="AS21">
        <v>4</v>
      </c>
    </row>
    <row r="22" spans="1:45" x14ac:dyDescent="0.35">
      <c r="A22" s="337">
        <v>46266</v>
      </c>
      <c r="B22" s="337">
        <v>46295</v>
      </c>
      <c r="C22" s="337">
        <v>46291</v>
      </c>
      <c r="D22" t="s">
        <v>130</v>
      </c>
      <c r="E22" s="339">
        <v>0.91666666666666663</v>
      </c>
      <c r="F22">
        <v>1</v>
      </c>
      <c r="G22" t="s">
        <v>158</v>
      </c>
      <c r="H22" t="s">
        <v>163</v>
      </c>
      <c r="I22" t="s">
        <v>165</v>
      </c>
      <c r="J22" t="s">
        <v>165</v>
      </c>
      <c r="K22" t="s">
        <v>165</v>
      </c>
      <c r="L22" t="s">
        <v>163</v>
      </c>
      <c r="M22" t="s">
        <v>163</v>
      </c>
      <c r="N22">
        <v>10.69</v>
      </c>
      <c r="O22">
        <v>8.68</v>
      </c>
      <c r="P22">
        <v>0.52</v>
      </c>
      <c r="Q22" t="s">
        <v>163</v>
      </c>
      <c r="R22" t="s">
        <v>163</v>
      </c>
      <c r="S22" t="s">
        <v>163</v>
      </c>
      <c r="T22">
        <v>23.4</v>
      </c>
      <c r="U22" t="s">
        <v>163</v>
      </c>
      <c r="V22" t="s">
        <v>163</v>
      </c>
      <c r="W22" t="s">
        <v>163</v>
      </c>
      <c r="X22" t="s">
        <v>163</v>
      </c>
      <c r="Y22" t="s">
        <v>163</v>
      </c>
      <c r="Z22" t="s">
        <v>163</v>
      </c>
      <c r="AA22">
        <v>1</v>
      </c>
      <c r="AB22">
        <v>2</v>
      </c>
      <c r="AC22">
        <v>0</v>
      </c>
      <c r="AD22">
        <v>1</v>
      </c>
      <c r="AE22">
        <v>2</v>
      </c>
      <c r="AF22" t="s">
        <v>163</v>
      </c>
      <c r="AG22" t="s">
        <v>163</v>
      </c>
      <c r="AH22" t="s">
        <v>163</v>
      </c>
      <c r="AI22">
        <v>2</v>
      </c>
      <c r="AJ22" t="s">
        <v>163</v>
      </c>
      <c r="AK22">
        <v>8</v>
      </c>
      <c r="AL22">
        <v>9</v>
      </c>
      <c r="AM22" t="s">
        <v>163</v>
      </c>
      <c r="AN22" t="s">
        <v>163</v>
      </c>
      <c r="AO22" t="s">
        <v>163</v>
      </c>
      <c r="AP22">
        <v>0</v>
      </c>
      <c r="AQ22">
        <v>0</v>
      </c>
      <c r="AR22">
        <v>8</v>
      </c>
      <c r="AS22">
        <v>9</v>
      </c>
    </row>
    <row r="23" spans="1:45" x14ac:dyDescent="0.35">
      <c r="A23" s="337">
        <v>46266</v>
      </c>
      <c r="B23" s="337">
        <v>46295</v>
      </c>
      <c r="C23" s="337">
        <v>46294</v>
      </c>
      <c r="D23" t="s">
        <v>128</v>
      </c>
      <c r="E23" s="339">
        <v>0.83333333333333337</v>
      </c>
      <c r="F23">
        <v>3</v>
      </c>
      <c r="G23" t="s">
        <v>119</v>
      </c>
      <c r="H23">
        <v>0.01</v>
      </c>
      <c r="I23" t="s">
        <v>165</v>
      </c>
      <c r="J23" t="s">
        <v>165</v>
      </c>
      <c r="K23" t="s">
        <v>165</v>
      </c>
      <c r="L23" t="s">
        <v>161</v>
      </c>
      <c r="M23" t="s">
        <v>161</v>
      </c>
      <c r="N23">
        <v>12.11</v>
      </c>
      <c r="O23" t="s">
        <v>163</v>
      </c>
      <c r="P23" t="s">
        <v>163</v>
      </c>
      <c r="Q23" t="s">
        <v>163</v>
      </c>
      <c r="R23" t="s">
        <v>163</v>
      </c>
      <c r="S23" t="s">
        <v>163</v>
      </c>
      <c r="T23" t="s">
        <v>163</v>
      </c>
      <c r="U23" t="s">
        <v>163</v>
      </c>
      <c r="V23" t="s">
        <v>163</v>
      </c>
      <c r="W23" t="s">
        <v>163</v>
      </c>
      <c r="X23" t="s">
        <v>163</v>
      </c>
      <c r="Y23" t="s">
        <v>163</v>
      </c>
      <c r="Z23">
        <v>2</v>
      </c>
      <c r="AA23">
        <v>1</v>
      </c>
      <c r="AB23">
        <v>2</v>
      </c>
      <c r="AC23">
        <v>1</v>
      </c>
      <c r="AD23" t="s">
        <v>163</v>
      </c>
      <c r="AE23" t="s">
        <v>163</v>
      </c>
      <c r="AF23" t="s">
        <v>163</v>
      </c>
      <c r="AG23" t="s">
        <v>163</v>
      </c>
      <c r="AH23" t="s">
        <v>163</v>
      </c>
      <c r="AI23" t="s">
        <v>163</v>
      </c>
      <c r="AJ23" t="s">
        <v>163</v>
      </c>
      <c r="AK23">
        <v>6</v>
      </c>
      <c r="AL23">
        <v>6</v>
      </c>
      <c r="AM23" t="s">
        <v>163</v>
      </c>
      <c r="AN23" t="s">
        <v>163</v>
      </c>
      <c r="AO23" t="s">
        <v>163</v>
      </c>
      <c r="AP23">
        <v>0</v>
      </c>
      <c r="AQ23">
        <v>0</v>
      </c>
      <c r="AR23">
        <v>6</v>
      </c>
      <c r="AS23">
        <v>6</v>
      </c>
    </row>
    <row r="24" spans="1:45" x14ac:dyDescent="0.35">
      <c r="A24" s="337">
        <v>46266</v>
      </c>
      <c r="B24" s="337">
        <v>46295</v>
      </c>
      <c r="C24" s="337">
        <v>46294</v>
      </c>
      <c r="D24" t="s">
        <v>128</v>
      </c>
      <c r="E24" s="339">
        <v>0.75</v>
      </c>
      <c r="F24">
        <v>3</v>
      </c>
      <c r="G24" t="s">
        <v>119</v>
      </c>
      <c r="H24">
        <v>0.01</v>
      </c>
      <c r="I24" t="s">
        <v>165</v>
      </c>
      <c r="J24" t="s">
        <v>165</v>
      </c>
      <c r="K24" t="s">
        <v>165</v>
      </c>
      <c r="L24" t="s">
        <v>161</v>
      </c>
      <c r="M24" t="s">
        <v>161</v>
      </c>
      <c r="N24">
        <v>12.05</v>
      </c>
      <c r="O24" t="s">
        <v>163</v>
      </c>
      <c r="P24" t="s">
        <v>163</v>
      </c>
      <c r="Q24" t="s">
        <v>163</v>
      </c>
      <c r="R24" t="s">
        <v>163</v>
      </c>
      <c r="S24" t="s">
        <v>163</v>
      </c>
      <c r="T24" t="s">
        <v>163</v>
      </c>
      <c r="U24" t="s">
        <v>163</v>
      </c>
      <c r="V24" t="s">
        <v>163</v>
      </c>
      <c r="W24" t="s">
        <v>163</v>
      </c>
      <c r="X24" t="s">
        <v>163</v>
      </c>
      <c r="Y24" t="s">
        <v>163</v>
      </c>
      <c r="Z24">
        <v>2</v>
      </c>
      <c r="AA24">
        <v>1</v>
      </c>
      <c r="AB24">
        <v>2</v>
      </c>
      <c r="AC24">
        <v>1</v>
      </c>
      <c r="AD24" t="s">
        <v>163</v>
      </c>
      <c r="AE24" t="s">
        <v>163</v>
      </c>
      <c r="AF24" t="s">
        <v>163</v>
      </c>
      <c r="AG24" t="s">
        <v>163</v>
      </c>
      <c r="AH24" t="s">
        <v>163</v>
      </c>
      <c r="AI24" t="s">
        <v>163</v>
      </c>
      <c r="AJ24" t="s">
        <v>163</v>
      </c>
      <c r="AK24">
        <v>6</v>
      </c>
      <c r="AL24">
        <v>6</v>
      </c>
      <c r="AM24" t="s">
        <v>163</v>
      </c>
      <c r="AN24" t="s">
        <v>163</v>
      </c>
      <c r="AO24" t="s">
        <v>163</v>
      </c>
      <c r="AP24">
        <v>0</v>
      </c>
      <c r="AQ24">
        <v>0</v>
      </c>
      <c r="AR24">
        <v>6</v>
      </c>
      <c r="AS24">
        <v>6</v>
      </c>
    </row>
    <row r="25" spans="1:45" x14ac:dyDescent="0.35">
      <c r="A25" s="337">
        <v>46266</v>
      </c>
      <c r="B25" s="337">
        <v>46295</v>
      </c>
      <c r="C25" s="337">
        <v>46294</v>
      </c>
      <c r="D25" t="s">
        <v>128</v>
      </c>
      <c r="E25" s="339">
        <v>0.70833333333333337</v>
      </c>
      <c r="F25">
        <v>3</v>
      </c>
      <c r="G25" t="s">
        <v>119</v>
      </c>
      <c r="H25">
        <v>0.01</v>
      </c>
      <c r="I25" t="s">
        <v>165</v>
      </c>
      <c r="J25" t="s">
        <v>165</v>
      </c>
      <c r="K25" t="s">
        <v>165</v>
      </c>
      <c r="L25" t="s">
        <v>161</v>
      </c>
      <c r="M25" t="s">
        <v>161</v>
      </c>
      <c r="N25">
        <v>12.05</v>
      </c>
      <c r="O25" t="s">
        <v>163</v>
      </c>
      <c r="P25" t="s">
        <v>163</v>
      </c>
      <c r="Q25" t="s">
        <v>163</v>
      </c>
      <c r="R25" t="s">
        <v>163</v>
      </c>
      <c r="S25" t="s">
        <v>163</v>
      </c>
      <c r="T25" t="s">
        <v>163</v>
      </c>
      <c r="U25" t="s">
        <v>163</v>
      </c>
      <c r="V25" t="s">
        <v>163</v>
      </c>
      <c r="W25" t="s">
        <v>163</v>
      </c>
      <c r="X25" t="s">
        <v>163</v>
      </c>
      <c r="Y25" t="s">
        <v>163</v>
      </c>
      <c r="Z25">
        <v>2</v>
      </c>
      <c r="AA25">
        <v>1</v>
      </c>
      <c r="AB25">
        <v>2</v>
      </c>
      <c r="AC25">
        <v>1</v>
      </c>
      <c r="AD25" t="s">
        <v>163</v>
      </c>
      <c r="AE25" t="s">
        <v>163</v>
      </c>
      <c r="AF25" t="s">
        <v>163</v>
      </c>
      <c r="AG25" t="s">
        <v>163</v>
      </c>
      <c r="AH25" t="s">
        <v>163</v>
      </c>
      <c r="AI25" t="s">
        <v>163</v>
      </c>
      <c r="AJ25" t="s">
        <v>163</v>
      </c>
      <c r="AK25">
        <v>6</v>
      </c>
      <c r="AL25">
        <v>6</v>
      </c>
      <c r="AM25" t="s">
        <v>163</v>
      </c>
      <c r="AN25" t="s">
        <v>163</v>
      </c>
      <c r="AO25" t="s">
        <v>163</v>
      </c>
      <c r="AP25">
        <v>0</v>
      </c>
      <c r="AQ25">
        <v>0</v>
      </c>
      <c r="AR25">
        <v>6</v>
      </c>
      <c r="AS25">
        <v>6</v>
      </c>
    </row>
    <row r="26" spans="1:45" x14ac:dyDescent="0.35">
      <c r="A26" s="337">
        <v>46266</v>
      </c>
      <c r="B26" s="337">
        <v>46295</v>
      </c>
      <c r="C26" s="337">
        <v>46294</v>
      </c>
      <c r="D26" t="s">
        <v>128</v>
      </c>
      <c r="E26" s="339">
        <v>0.66666666666666663</v>
      </c>
      <c r="F26">
        <v>3</v>
      </c>
      <c r="G26" t="s">
        <v>119</v>
      </c>
      <c r="H26">
        <v>0.01</v>
      </c>
      <c r="I26" t="s">
        <v>165</v>
      </c>
      <c r="J26" t="s">
        <v>165</v>
      </c>
      <c r="K26" t="s">
        <v>165</v>
      </c>
      <c r="L26" t="s">
        <v>161</v>
      </c>
      <c r="M26" t="s">
        <v>161</v>
      </c>
      <c r="N26">
        <v>12.07</v>
      </c>
      <c r="O26" t="s">
        <v>163</v>
      </c>
      <c r="P26" t="s">
        <v>163</v>
      </c>
      <c r="Q26" t="s">
        <v>163</v>
      </c>
      <c r="R26" t="s">
        <v>163</v>
      </c>
      <c r="S26" t="s">
        <v>163</v>
      </c>
      <c r="T26" t="s">
        <v>163</v>
      </c>
      <c r="U26" t="s">
        <v>163</v>
      </c>
      <c r="V26" t="s">
        <v>163</v>
      </c>
      <c r="W26" t="s">
        <v>163</v>
      </c>
      <c r="X26" t="s">
        <v>163</v>
      </c>
      <c r="Y26" t="s">
        <v>163</v>
      </c>
      <c r="Z26">
        <v>2</v>
      </c>
      <c r="AA26">
        <v>1</v>
      </c>
      <c r="AB26">
        <v>2</v>
      </c>
      <c r="AC26">
        <v>1</v>
      </c>
      <c r="AD26" t="s">
        <v>163</v>
      </c>
      <c r="AE26" t="s">
        <v>163</v>
      </c>
      <c r="AF26" t="s">
        <v>163</v>
      </c>
      <c r="AG26" t="s">
        <v>163</v>
      </c>
      <c r="AH26" t="s">
        <v>163</v>
      </c>
      <c r="AI26" t="s">
        <v>163</v>
      </c>
      <c r="AJ26" t="s">
        <v>163</v>
      </c>
      <c r="AK26">
        <v>6</v>
      </c>
      <c r="AL26">
        <v>6</v>
      </c>
      <c r="AM26" t="s">
        <v>163</v>
      </c>
      <c r="AN26" t="s">
        <v>163</v>
      </c>
      <c r="AO26" t="s">
        <v>163</v>
      </c>
      <c r="AP26">
        <v>0</v>
      </c>
      <c r="AQ26">
        <v>0</v>
      </c>
      <c r="AR26">
        <v>6</v>
      </c>
      <c r="AS26">
        <v>6</v>
      </c>
    </row>
    <row r="27" spans="1:45" x14ac:dyDescent="0.35">
      <c r="A27" s="337">
        <v>46266</v>
      </c>
      <c r="B27" s="337">
        <v>46295</v>
      </c>
      <c r="C27" s="337">
        <v>46294</v>
      </c>
      <c r="D27" t="s">
        <v>128</v>
      </c>
      <c r="E27" s="339">
        <v>0.58333333333333337</v>
      </c>
      <c r="F27">
        <v>3</v>
      </c>
      <c r="G27" t="s">
        <v>119</v>
      </c>
      <c r="H27">
        <v>0.01</v>
      </c>
      <c r="I27" t="s">
        <v>165</v>
      </c>
      <c r="J27" t="s">
        <v>165</v>
      </c>
      <c r="K27" t="s">
        <v>165</v>
      </c>
      <c r="L27" t="s">
        <v>161</v>
      </c>
      <c r="M27" t="s">
        <v>161</v>
      </c>
      <c r="N27">
        <v>12.19</v>
      </c>
      <c r="O27" t="s">
        <v>163</v>
      </c>
      <c r="P27" t="s">
        <v>163</v>
      </c>
      <c r="Q27" t="s">
        <v>163</v>
      </c>
      <c r="R27" t="s">
        <v>163</v>
      </c>
      <c r="S27" t="s">
        <v>163</v>
      </c>
      <c r="T27" t="s">
        <v>163</v>
      </c>
      <c r="U27" t="s">
        <v>163</v>
      </c>
      <c r="V27" t="s">
        <v>163</v>
      </c>
      <c r="W27" t="s">
        <v>163</v>
      </c>
      <c r="X27" t="s">
        <v>163</v>
      </c>
      <c r="Y27" t="s">
        <v>163</v>
      </c>
      <c r="Z27">
        <v>2</v>
      </c>
      <c r="AA27">
        <v>1</v>
      </c>
      <c r="AB27">
        <v>2</v>
      </c>
      <c r="AC27">
        <v>1</v>
      </c>
      <c r="AD27" t="s">
        <v>163</v>
      </c>
      <c r="AE27" t="s">
        <v>163</v>
      </c>
      <c r="AF27" t="s">
        <v>163</v>
      </c>
      <c r="AG27" t="s">
        <v>163</v>
      </c>
      <c r="AH27" t="s">
        <v>163</v>
      </c>
      <c r="AI27" t="s">
        <v>163</v>
      </c>
      <c r="AJ27" t="s">
        <v>163</v>
      </c>
      <c r="AK27">
        <v>6</v>
      </c>
      <c r="AL27">
        <v>6</v>
      </c>
      <c r="AM27" t="s">
        <v>163</v>
      </c>
      <c r="AN27" t="s">
        <v>163</v>
      </c>
      <c r="AO27" t="s">
        <v>163</v>
      </c>
      <c r="AP27">
        <v>0</v>
      </c>
      <c r="AQ27">
        <v>0</v>
      </c>
      <c r="AR27">
        <v>6</v>
      </c>
      <c r="AS27">
        <v>6</v>
      </c>
    </row>
    <row r="28" spans="1:45" x14ac:dyDescent="0.35">
      <c r="A28" s="337">
        <v>46266</v>
      </c>
      <c r="B28" s="337">
        <v>46295</v>
      </c>
      <c r="C28" s="339">
        <v>0</v>
      </c>
      <c r="D28" t="s">
        <v>128</v>
      </c>
      <c r="E28" s="339">
        <v>0.83333333333333337</v>
      </c>
      <c r="F28">
        <v>2</v>
      </c>
      <c r="G28" t="s">
        <v>92</v>
      </c>
      <c r="H28" t="s">
        <v>163</v>
      </c>
      <c r="I28" t="s">
        <v>165</v>
      </c>
      <c r="J28" t="s">
        <v>165</v>
      </c>
      <c r="K28" t="s">
        <v>165</v>
      </c>
      <c r="L28" t="s">
        <v>163</v>
      </c>
      <c r="M28" t="s">
        <v>161</v>
      </c>
      <c r="N28">
        <v>10.51</v>
      </c>
      <c r="O28" t="s">
        <v>163</v>
      </c>
      <c r="P28" t="s">
        <v>163</v>
      </c>
      <c r="Q28" t="s">
        <v>163</v>
      </c>
      <c r="R28" t="s">
        <v>163</v>
      </c>
      <c r="S28" t="s">
        <v>163</v>
      </c>
      <c r="T28" t="s">
        <v>163</v>
      </c>
      <c r="U28" t="s">
        <v>163</v>
      </c>
      <c r="V28" t="s">
        <v>163</v>
      </c>
      <c r="W28" t="s">
        <v>163</v>
      </c>
      <c r="X28" t="s">
        <v>163</v>
      </c>
      <c r="Y28" t="s">
        <v>163</v>
      </c>
      <c r="Z28" t="s">
        <v>163</v>
      </c>
      <c r="AA28">
        <v>1</v>
      </c>
      <c r="AB28">
        <v>2</v>
      </c>
      <c r="AC28">
        <v>0</v>
      </c>
      <c r="AD28" t="s">
        <v>163</v>
      </c>
      <c r="AE28" t="s">
        <v>163</v>
      </c>
      <c r="AF28" t="s">
        <v>163</v>
      </c>
      <c r="AG28" t="s">
        <v>163</v>
      </c>
      <c r="AH28" t="s">
        <v>163</v>
      </c>
      <c r="AI28" t="s">
        <v>163</v>
      </c>
      <c r="AJ28" t="s">
        <v>163</v>
      </c>
      <c r="AK28">
        <v>3</v>
      </c>
      <c r="AL28">
        <v>4</v>
      </c>
      <c r="AM28" t="s">
        <v>163</v>
      </c>
      <c r="AN28" t="s">
        <v>163</v>
      </c>
      <c r="AO28" t="s">
        <v>163</v>
      </c>
      <c r="AP28">
        <v>0</v>
      </c>
      <c r="AQ28">
        <v>0</v>
      </c>
      <c r="AR28">
        <v>3</v>
      </c>
      <c r="AS28">
        <v>4</v>
      </c>
    </row>
    <row r="29" spans="1:45" x14ac:dyDescent="0.35">
      <c r="A29" s="337">
        <v>46266</v>
      </c>
      <c r="B29" s="337">
        <v>46295</v>
      </c>
      <c r="C29" s="339">
        <v>0</v>
      </c>
      <c r="D29" t="s">
        <v>128</v>
      </c>
      <c r="E29" s="339">
        <v>0.75</v>
      </c>
      <c r="F29">
        <v>2</v>
      </c>
      <c r="G29" t="s">
        <v>92</v>
      </c>
      <c r="H29" t="s">
        <v>163</v>
      </c>
      <c r="I29" t="s">
        <v>165</v>
      </c>
      <c r="J29" t="s">
        <v>165</v>
      </c>
      <c r="K29" t="s">
        <v>165</v>
      </c>
      <c r="L29" t="s">
        <v>163</v>
      </c>
      <c r="M29" t="s">
        <v>161</v>
      </c>
      <c r="N29">
        <v>10.220000000000001</v>
      </c>
      <c r="O29" t="s">
        <v>163</v>
      </c>
      <c r="P29" t="s">
        <v>163</v>
      </c>
      <c r="Q29" t="s">
        <v>163</v>
      </c>
      <c r="R29" t="s">
        <v>163</v>
      </c>
      <c r="S29" t="s">
        <v>163</v>
      </c>
      <c r="T29" t="s">
        <v>163</v>
      </c>
      <c r="U29" t="s">
        <v>163</v>
      </c>
      <c r="V29" t="s">
        <v>163</v>
      </c>
      <c r="W29" t="s">
        <v>163</v>
      </c>
      <c r="X29" t="s">
        <v>163</v>
      </c>
      <c r="Y29" t="s">
        <v>163</v>
      </c>
      <c r="Z29" t="s">
        <v>163</v>
      </c>
      <c r="AA29">
        <v>1</v>
      </c>
      <c r="AB29">
        <v>2</v>
      </c>
      <c r="AC29">
        <v>0</v>
      </c>
      <c r="AD29" t="s">
        <v>163</v>
      </c>
      <c r="AE29" t="s">
        <v>163</v>
      </c>
      <c r="AF29" t="s">
        <v>163</v>
      </c>
      <c r="AG29" t="s">
        <v>163</v>
      </c>
      <c r="AH29" t="s">
        <v>163</v>
      </c>
      <c r="AI29" t="s">
        <v>163</v>
      </c>
      <c r="AJ29" t="s">
        <v>163</v>
      </c>
      <c r="AK29">
        <v>3</v>
      </c>
      <c r="AL29">
        <v>4</v>
      </c>
      <c r="AM29" t="s">
        <v>163</v>
      </c>
      <c r="AN29" t="s">
        <v>163</v>
      </c>
      <c r="AO29" t="s">
        <v>163</v>
      </c>
      <c r="AP29">
        <v>0</v>
      </c>
      <c r="AQ29">
        <v>0</v>
      </c>
      <c r="AR29">
        <v>3</v>
      </c>
      <c r="AS29">
        <v>4</v>
      </c>
    </row>
    <row r="30" spans="1:45" x14ac:dyDescent="0.35">
      <c r="A30" s="337">
        <v>46266</v>
      </c>
      <c r="B30" s="337">
        <v>46295</v>
      </c>
      <c r="C30" s="339">
        <v>0</v>
      </c>
      <c r="D30" t="s">
        <v>128</v>
      </c>
      <c r="E30" s="339">
        <v>0.70833333333333337</v>
      </c>
      <c r="F30">
        <v>2</v>
      </c>
      <c r="G30" t="s">
        <v>92</v>
      </c>
      <c r="H30" t="s">
        <v>163</v>
      </c>
      <c r="I30" t="s">
        <v>165</v>
      </c>
      <c r="J30" t="s">
        <v>165</v>
      </c>
      <c r="K30" t="s">
        <v>165</v>
      </c>
      <c r="L30" t="s">
        <v>163</v>
      </c>
      <c r="M30" t="s">
        <v>161</v>
      </c>
      <c r="N30">
        <v>10.6</v>
      </c>
      <c r="O30" t="s">
        <v>163</v>
      </c>
      <c r="P30" t="s">
        <v>163</v>
      </c>
      <c r="Q30" t="s">
        <v>163</v>
      </c>
      <c r="R30" t="s">
        <v>163</v>
      </c>
      <c r="S30" t="s">
        <v>163</v>
      </c>
      <c r="T30" t="s">
        <v>163</v>
      </c>
      <c r="U30" t="s">
        <v>163</v>
      </c>
      <c r="V30" t="s">
        <v>163</v>
      </c>
      <c r="W30" t="s">
        <v>163</v>
      </c>
      <c r="X30" t="s">
        <v>163</v>
      </c>
      <c r="Y30" t="s">
        <v>163</v>
      </c>
      <c r="Z30" t="s">
        <v>163</v>
      </c>
      <c r="AA30">
        <v>1</v>
      </c>
      <c r="AB30">
        <v>2</v>
      </c>
      <c r="AC30">
        <v>0</v>
      </c>
      <c r="AD30" t="s">
        <v>163</v>
      </c>
      <c r="AE30" t="s">
        <v>163</v>
      </c>
      <c r="AF30" t="s">
        <v>163</v>
      </c>
      <c r="AG30" t="s">
        <v>163</v>
      </c>
      <c r="AH30" t="s">
        <v>163</v>
      </c>
      <c r="AI30" t="s">
        <v>163</v>
      </c>
      <c r="AJ30" t="s">
        <v>163</v>
      </c>
      <c r="AK30">
        <v>3</v>
      </c>
      <c r="AL30">
        <v>4</v>
      </c>
      <c r="AM30" t="s">
        <v>163</v>
      </c>
      <c r="AN30" t="s">
        <v>163</v>
      </c>
      <c r="AO30" t="s">
        <v>163</v>
      </c>
      <c r="AP30">
        <v>0</v>
      </c>
      <c r="AQ30">
        <v>0</v>
      </c>
      <c r="AR30">
        <v>3</v>
      </c>
      <c r="AS30">
        <v>4</v>
      </c>
    </row>
    <row r="31" spans="1:45" x14ac:dyDescent="0.35">
      <c r="A31" s="337">
        <v>46266</v>
      </c>
      <c r="B31" s="337">
        <v>46295</v>
      </c>
      <c r="C31" s="339">
        <v>0</v>
      </c>
      <c r="D31" t="s">
        <v>128</v>
      </c>
      <c r="E31" s="339">
        <v>0.66666666666666663</v>
      </c>
      <c r="F31">
        <v>2</v>
      </c>
      <c r="G31" t="s">
        <v>92</v>
      </c>
      <c r="H31" t="s">
        <v>163</v>
      </c>
      <c r="I31" t="s">
        <v>165</v>
      </c>
      <c r="J31" t="s">
        <v>165</v>
      </c>
      <c r="K31" t="s">
        <v>165</v>
      </c>
      <c r="L31" t="s">
        <v>163</v>
      </c>
      <c r="M31" t="s">
        <v>161</v>
      </c>
      <c r="N31">
        <v>9.68</v>
      </c>
      <c r="O31" t="s">
        <v>163</v>
      </c>
      <c r="P31" t="s">
        <v>163</v>
      </c>
      <c r="Q31" t="s">
        <v>163</v>
      </c>
      <c r="R31" t="s">
        <v>163</v>
      </c>
      <c r="S31" t="s">
        <v>163</v>
      </c>
      <c r="T31" t="s">
        <v>163</v>
      </c>
      <c r="U31" t="s">
        <v>163</v>
      </c>
      <c r="V31" t="s">
        <v>163</v>
      </c>
      <c r="W31" t="s">
        <v>163</v>
      </c>
      <c r="X31" t="s">
        <v>163</v>
      </c>
      <c r="Y31" t="s">
        <v>163</v>
      </c>
      <c r="Z31" t="s">
        <v>163</v>
      </c>
      <c r="AA31">
        <v>1</v>
      </c>
      <c r="AB31">
        <v>2</v>
      </c>
      <c r="AC31">
        <v>0</v>
      </c>
      <c r="AD31" t="s">
        <v>163</v>
      </c>
      <c r="AE31" t="s">
        <v>163</v>
      </c>
      <c r="AF31" t="s">
        <v>163</v>
      </c>
      <c r="AG31" t="s">
        <v>163</v>
      </c>
      <c r="AH31" t="s">
        <v>163</v>
      </c>
      <c r="AI31" t="s">
        <v>163</v>
      </c>
      <c r="AJ31" t="s">
        <v>163</v>
      </c>
      <c r="AK31">
        <v>3</v>
      </c>
      <c r="AL31">
        <v>4</v>
      </c>
      <c r="AM31" t="s">
        <v>163</v>
      </c>
      <c r="AN31" t="s">
        <v>163</v>
      </c>
      <c r="AO31" t="s">
        <v>163</v>
      </c>
      <c r="AP31">
        <v>0</v>
      </c>
      <c r="AQ31">
        <v>0</v>
      </c>
      <c r="AR31">
        <v>3</v>
      </c>
      <c r="AS31">
        <v>4</v>
      </c>
    </row>
    <row r="32" spans="1:45" x14ac:dyDescent="0.35">
      <c r="A32" s="337">
        <v>46266</v>
      </c>
      <c r="B32" s="337">
        <v>46295</v>
      </c>
      <c r="C32" s="339">
        <v>0</v>
      </c>
      <c r="D32" t="s">
        <v>128</v>
      </c>
      <c r="E32" s="339">
        <v>0.625</v>
      </c>
      <c r="F32">
        <v>2</v>
      </c>
      <c r="G32" t="s">
        <v>92</v>
      </c>
      <c r="H32" t="s">
        <v>163</v>
      </c>
      <c r="I32" t="s">
        <v>165</v>
      </c>
      <c r="J32" t="s">
        <v>165</v>
      </c>
      <c r="K32" t="s">
        <v>165</v>
      </c>
      <c r="L32" t="s">
        <v>163</v>
      </c>
      <c r="M32" t="s">
        <v>161</v>
      </c>
      <c r="N32">
        <v>10.29</v>
      </c>
      <c r="O32" t="s">
        <v>163</v>
      </c>
      <c r="P32" t="s">
        <v>163</v>
      </c>
      <c r="Q32" t="s">
        <v>163</v>
      </c>
      <c r="R32" t="s">
        <v>163</v>
      </c>
      <c r="S32" t="s">
        <v>163</v>
      </c>
      <c r="T32" t="s">
        <v>163</v>
      </c>
      <c r="U32" t="s">
        <v>163</v>
      </c>
      <c r="V32" t="s">
        <v>163</v>
      </c>
      <c r="W32" t="s">
        <v>163</v>
      </c>
      <c r="X32" t="s">
        <v>163</v>
      </c>
      <c r="Y32" t="s">
        <v>163</v>
      </c>
      <c r="Z32" t="s">
        <v>163</v>
      </c>
      <c r="AA32">
        <v>1</v>
      </c>
      <c r="AB32">
        <v>2</v>
      </c>
      <c r="AC32">
        <v>0</v>
      </c>
      <c r="AD32" t="s">
        <v>163</v>
      </c>
      <c r="AE32" t="s">
        <v>163</v>
      </c>
      <c r="AF32" t="s">
        <v>163</v>
      </c>
      <c r="AG32" t="s">
        <v>163</v>
      </c>
      <c r="AH32" t="s">
        <v>163</v>
      </c>
      <c r="AI32" t="s">
        <v>163</v>
      </c>
      <c r="AJ32" t="s">
        <v>163</v>
      </c>
      <c r="AK32">
        <v>3</v>
      </c>
      <c r="AL32">
        <v>4</v>
      </c>
      <c r="AM32" t="s">
        <v>163</v>
      </c>
      <c r="AN32" t="s">
        <v>163</v>
      </c>
      <c r="AO32" t="s">
        <v>163</v>
      </c>
      <c r="AP32">
        <v>0</v>
      </c>
      <c r="AQ32">
        <v>0</v>
      </c>
      <c r="AR32">
        <v>3</v>
      </c>
      <c r="AS32">
        <v>4</v>
      </c>
    </row>
    <row r="33" spans="1:45" x14ac:dyDescent="0.35">
      <c r="A33" s="337">
        <v>46266</v>
      </c>
      <c r="B33" s="337">
        <v>46295</v>
      </c>
      <c r="C33" s="339">
        <v>0</v>
      </c>
      <c r="D33" t="s">
        <v>128</v>
      </c>
      <c r="E33" s="339">
        <v>0.58333333333333337</v>
      </c>
      <c r="F33">
        <v>2</v>
      </c>
      <c r="G33" t="s">
        <v>92</v>
      </c>
      <c r="H33" t="s">
        <v>163</v>
      </c>
      <c r="I33" t="s">
        <v>165</v>
      </c>
      <c r="J33" t="s">
        <v>165</v>
      </c>
      <c r="K33" t="s">
        <v>165</v>
      </c>
      <c r="L33" t="s">
        <v>163</v>
      </c>
      <c r="M33" t="s">
        <v>161</v>
      </c>
      <c r="N33">
        <v>10.33</v>
      </c>
      <c r="O33" t="s">
        <v>163</v>
      </c>
      <c r="P33" t="s">
        <v>163</v>
      </c>
      <c r="Q33" t="s">
        <v>163</v>
      </c>
      <c r="R33" t="s">
        <v>163</v>
      </c>
      <c r="S33" t="s">
        <v>163</v>
      </c>
      <c r="T33" t="s">
        <v>163</v>
      </c>
      <c r="U33" t="s">
        <v>163</v>
      </c>
      <c r="V33" t="s">
        <v>163</v>
      </c>
      <c r="W33" t="s">
        <v>163</v>
      </c>
      <c r="X33" t="s">
        <v>163</v>
      </c>
      <c r="Y33" t="s">
        <v>163</v>
      </c>
      <c r="Z33" t="s">
        <v>163</v>
      </c>
      <c r="AA33">
        <v>1</v>
      </c>
      <c r="AB33">
        <v>2</v>
      </c>
      <c r="AC33">
        <v>0</v>
      </c>
      <c r="AD33" t="s">
        <v>163</v>
      </c>
      <c r="AE33" t="s">
        <v>163</v>
      </c>
      <c r="AF33" t="s">
        <v>163</v>
      </c>
      <c r="AG33" t="s">
        <v>163</v>
      </c>
      <c r="AH33" t="s">
        <v>163</v>
      </c>
      <c r="AI33" t="s">
        <v>163</v>
      </c>
      <c r="AJ33" t="s">
        <v>163</v>
      </c>
      <c r="AK33">
        <v>3</v>
      </c>
      <c r="AL33">
        <v>4</v>
      </c>
      <c r="AM33" t="s">
        <v>163</v>
      </c>
      <c r="AN33" t="s">
        <v>163</v>
      </c>
      <c r="AO33" t="s">
        <v>163</v>
      </c>
      <c r="AP33">
        <v>0</v>
      </c>
      <c r="AQ33">
        <v>0</v>
      </c>
      <c r="AR33">
        <v>3</v>
      </c>
      <c r="AS33">
        <v>4</v>
      </c>
    </row>
    <row r="34" spans="1:45" x14ac:dyDescent="0.35">
      <c r="A34" s="337">
        <v>46266</v>
      </c>
      <c r="B34" s="337">
        <v>46295</v>
      </c>
      <c r="C34" s="337">
        <v>46291</v>
      </c>
      <c r="D34" t="s">
        <v>128</v>
      </c>
      <c r="E34" s="339">
        <v>0.83333333333333337</v>
      </c>
      <c r="F34">
        <v>1</v>
      </c>
      <c r="G34" t="s">
        <v>158</v>
      </c>
      <c r="H34" t="s">
        <v>163</v>
      </c>
      <c r="I34" t="s">
        <v>165</v>
      </c>
      <c r="J34" t="s">
        <v>165</v>
      </c>
      <c r="K34" t="s">
        <v>165</v>
      </c>
      <c r="L34" t="s">
        <v>163</v>
      </c>
      <c r="M34" t="s">
        <v>163</v>
      </c>
      <c r="N34">
        <v>10.61</v>
      </c>
      <c r="O34" t="s">
        <v>163</v>
      </c>
      <c r="P34" t="s">
        <v>163</v>
      </c>
      <c r="Q34" t="s">
        <v>163</v>
      </c>
      <c r="R34" t="s">
        <v>163</v>
      </c>
      <c r="S34" t="s">
        <v>163</v>
      </c>
      <c r="T34" t="s">
        <v>163</v>
      </c>
      <c r="U34" t="s">
        <v>163</v>
      </c>
      <c r="V34" t="s">
        <v>163</v>
      </c>
      <c r="W34" t="s">
        <v>163</v>
      </c>
      <c r="X34" t="s">
        <v>163</v>
      </c>
      <c r="Y34" t="s">
        <v>163</v>
      </c>
      <c r="Z34" t="s">
        <v>163</v>
      </c>
      <c r="AA34">
        <v>1</v>
      </c>
      <c r="AB34">
        <v>2</v>
      </c>
      <c r="AC34">
        <v>0</v>
      </c>
      <c r="AD34" t="s">
        <v>163</v>
      </c>
      <c r="AE34" t="s">
        <v>163</v>
      </c>
      <c r="AF34" t="s">
        <v>163</v>
      </c>
      <c r="AG34" t="s">
        <v>163</v>
      </c>
      <c r="AH34" t="s">
        <v>163</v>
      </c>
      <c r="AI34" t="s">
        <v>163</v>
      </c>
      <c r="AJ34" t="s">
        <v>163</v>
      </c>
      <c r="AK34">
        <v>3</v>
      </c>
      <c r="AL34">
        <v>4</v>
      </c>
      <c r="AM34" t="s">
        <v>163</v>
      </c>
      <c r="AN34" t="s">
        <v>163</v>
      </c>
      <c r="AO34" t="s">
        <v>163</v>
      </c>
      <c r="AP34">
        <v>0</v>
      </c>
      <c r="AQ34">
        <v>0</v>
      </c>
      <c r="AR34">
        <v>3</v>
      </c>
      <c r="AS34">
        <v>4</v>
      </c>
    </row>
    <row r="35" spans="1:45" x14ac:dyDescent="0.35">
      <c r="A35" s="337">
        <v>46266</v>
      </c>
      <c r="B35" s="337">
        <v>46295</v>
      </c>
      <c r="C35" s="337">
        <v>46291</v>
      </c>
      <c r="D35" t="s">
        <v>128</v>
      </c>
      <c r="E35" s="339">
        <v>0.75</v>
      </c>
      <c r="F35">
        <v>1</v>
      </c>
      <c r="G35" t="s">
        <v>158</v>
      </c>
      <c r="H35" t="s">
        <v>163</v>
      </c>
      <c r="I35" t="s">
        <v>163</v>
      </c>
      <c r="J35" t="s">
        <v>165</v>
      </c>
      <c r="K35" t="s">
        <v>165</v>
      </c>
      <c r="L35" t="s">
        <v>163</v>
      </c>
      <c r="M35" t="s">
        <v>163</v>
      </c>
      <c r="N35">
        <v>10.84</v>
      </c>
      <c r="O35" t="s">
        <v>163</v>
      </c>
      <c r="P35" t="s">
        <v>163</v>
      </c>
      <c r="Q35" t="s">
        <v>163</v>
      </c>
      <c r="R35" t="s">
        <v>163</v>
      </c>
      <c r="S35" t="s">
        <v>163</v>
      </c>
      <c r="T35" t="s">
        <v>163</v>
      </c>
      <c r="U35" t="s">
        <v>163</v>
      </c>
      <c r="V35" t="s">
        <v>163</v>
      </c>
      <c r="W35" t="s">
        <v>163</v>
      </c>
      <c r="X35" t="s">
        <v>163</v>
      </c>
      <c r="Y35" t="s">
        <v>163</v>
      </c>
      <c r="Z35" t="s">
        <v>163</v>
      </c>
      <c r="AA35" t="s">
        <v>163</v>
      </c>
      <c r="AB35">
        <v>2</v>
      </c>
      <c r="AC35">
        <v>0</v>
      </c>
      <c r="AD35" t="s">
        <v>163</v>
      </c>
      <c r="AE35" t="s">
        <v>163</v>
      </c>
      <c r="AF35" t="s">
        <v>163</v>
      </c>
      <c r="AG35" t="s">
        <v>163</v>
      </c>
      <c r="AH35" t="s">
        <v>163</v>
      </c>
      <c r="AI35" t="s">
        <v>163</v>
      </c>
      <c r="AJ35" t="s">
        <v>163</v>
      </c>
      <c r="AK35">
        <v>2</v>
      </c>
      <c r="AL35">
        <v>3</v>
      </c>
      <c r="AM35" t="s">
        <v>163</v>
      </c>
      <c r="AN35" t="s">
        <v>163</v>
      </c>
      <c r="AO35" t="s">
        <v>163</v>
      </c>
      <c r="AP35">
        <v>0</v>
      </c>
      <c r="AQ35">
        <v>0</v>
      </c>
      <c r="AR35">
        <v>2</v>
      </c>
      <c r="AS35">
        <v>3</v>
      </c>
    </row>
    <row r="36" spans="1:45" x14ac:dyDescent="0.35">
      <c r="A36" s="337">
        <v>46266</v>
      </c>
      <c r="B36" s="337">
        <v>46295</v>
      </c>
      <c r="C36" s="337">
        <v>46291</v>
      </c>
      <c r="D36" t="s">
        <v>128</v>
      </c>
      <c r="E36" s="339">
        <v>0.66666666666666663</v>
      </c>
      <c r="F36">
        <v>1</v>
      </c>
      <c r="G36" t="s">
        <v>158</v>
      </c>
      <c r="H36" t="s">
        <v>163</v>
      </c>
      <c r="I36" t="s">
        <v>165</v>
      </c>
      <c r="J36" t="s">
        <v>165</v>
      </c>
      <c r="K36" t="s">
        <v>165</v>
      </c>
      <c r="L36" t="s">
        <v>163</v>
      </c>
      <c r="M36" t="s">
        <v>163</v>
      </c>
      <c r="N36">
        <v>10.57</v>
      </c>
      <c r="O36" t="s">
        <v>163</v>
      </c>
      <c r="P36" t="s">
        <v>163</v>
      </c>
      <c r="Q36" t="s">
        <v>163</v>
      </c>
      <c r="R36" t="s">
        <v>163</v>
      </c>
      <c r="S36" t="s">
        <v>163</v>
      </c>
      <c r="T36" t="s">
        <v>163</v>
      </c>
      <c r="U36" t="s">
        <v>163</v>
      </c>
      <c r="V36" t="s">
        <v>163</v>
      </c>
      <c r="W36" t="s">
        <v>163</v>
      </c>
      <c r="X36" t="s">
        <v>163</v>
      </c>
      <c r="Y36" t="s">
        <v>163</v>
      </c>
      <c r="Z36" t="s">
        <v>163</v>
      </c>
      <c r="AA36">
        <v>1</v>
      </c>
      <c r="AB36">
        <v>2</v>
      </c>
      <c r="AC36">
        <v>0</v>
      </c>
      <c r="AD36" t="s">
        <v>163</v>
      </c>
      <c r="AE36" t="s">
        <v>163</v>
      </c>
      <c r="AF36" t="s">
        <v>163</v>
      </c>
      <c r="AG36" t="s">
        <v>163</v>
      </c>
      <c r="AH36" t="s">
        <v>163</v>
      </c>
      <c r="AI36" t="s">
        <v>163</v>
      </c>
      <c r="AJ36" t="s">
        <v>163</v>
      </c>
      <c r="AK36">
        <v>3</v>
      </c>
      <c r="AL36">
        <v>4</v>
      </c>
      <c r="AM36" t="s">
        <v>163</v>
      </c>
      <c r="AN36" t="s">
        <v>163</v>
      </c>
      <c r="AO36" t="s">
        <v>163</v>
      </c>
      <c r="AP36">
        <v>0</v>
      </c>
      <c r="AQ36">
        <v>0</v>
      </c>
      <c r="AR36">
        <v>3</v>
      </c>
      <c r="AS36">
        <v>4</v>
      </c>
    </row>
    <row r="37" spans="1:45" x14ac:dyDescent="0.35">
      <c r="A37" s="337">
        <v>46266</v>
      </c>
      <c r="B37" s="337">
        <v>46295</v>
      </c>
      <c r="C37" s="337">
        <v>46291</v>
      </c>
      <c r="D37" t="s">
        <v>128</v>
      </c>
      <c r="E37" s="339">
        <v>0.625</v>
      </c>
      <c r="F37">
        <v>1</v>
      </c>
      <c r="G37" t="s">
        <v>158</v>
      </c>
      <c r="H37" t="s">
        <v>163</v>
      </c>
      <c r="I37" t="s">
        <v>165</v>
      </c>
      <c r="J37" t="s">
        <v>165</v>
      </c>
      <c r="K37" t="s">
        <v>165</v>
      </c>
      <c r="L37" t="s">
        <v>163</v>
      </c>
      <c r="M37" t="s">
        <v>163</v>
      </c>
      <c r="N37">
        <v>10.37</v>
      </c>
      <c r="O37" t="s">
        <v>163</v>
      </c>
      <c r="P37" t="s">
        <v>163</v>
      </c>
      <c r="Q37" t="s">
        <v>163</v>
      </c>
      <c r="R37" t="s">
        <v>163</v>
      </c>
      <c r="S37" t="s">
        <v>163</v>
      </c>
      <c r="T37" t="s">
        <v>163</v>
      </c>
      <c r="U37" t="s">
        <v>163</v>
      </c>
      <c r="V37" t="s">
        <v>163</v>
      </c>
      <c r="W37" t="s">
        <v>163</v>
      </c>
      <c r="X37" t="s">
        <v>163</v>
      </c>
      <c r="Y37" t="s">
        <v>163</v>
      </c>
      <c r="Z37" t="s">
        <v>163</v>
      </c>
      <c r="AA37">
        <v>1</v>
      </c>
      <c r="AB37">
        <v>2</v>
      </c>
      <c r="AC37">
        <v>0</v>
      </c>
      <c r="AD37" t="s">
        <v>163</v>
      </c>
      <c r="AE37" t="s">
        <v>163</v>
      </c>
      <c r="AF37" t="s">
        <v>163</v>
      </c>
      <c r="AG37" t="s">
        <v>163</v>
      </c>
      <c r="AH37" t="s">
        <v>163</v>
      </c>
      <c r="AI37" t="s">
        <v>163</v>
      </c>
      <c r="AJ37" t="s">
        <v>163</v>
      </c>
      <c r="AK37">
        <v>3</v>
      </c>
      <c r="AL37">
        <v>4</v>
      </c>
      <c r="AM37" t="s">
        <v>163</v>
      </c>
      <c r="AN37" t="s">
        <v>163</v>
      </c>
      <c r="AO37" t="s">
        <v>163</v>
      </c>
      <c r="AP37">
        <v>0</v>
      </c>
      <c r="AQ37">
        <v>0</v>
      </c>
      <c r="AR37">
        <v>3</v>
      </c>
      <c r="AS37">
        <v>4</v>
      </c>
    </row>
    <row r="38" spans="1:45" x14ac:dyDescent="0.35">
      <c r="A38" s="337">
        <v>46266</v>
      </c>
      <c r="B38" s="337">
        <v>46295</v>
      </c>
      <c r="C38" s="337">
        <v>46291</v>
      </c>
      <c r="D38" t="s">
        <v>128</v>
      </c>
      <c r="E38" s="339">
        <v>0.58333333333333337</v>
      </c>
      <c r="F38">
        <v>1</v>
      </c>
      <c r="G38" t="s">
        <v>158</v>
      </c>
      <c r="H38" t="s">
        <v>163</v>
      </c>
      <c r="I38" t="s">
        <v>165</v>
      </c>
      <c r="J38" t="s">
        <v>165</v>
      </c>
      <c r="K38" t="s">
        <v>165</v>
      </c>
      <c r="L38" t="s">
        <v>163</v>
      </c>
      <c r="M38" t="s">
        <v>163</v>
      </c>
      <c r="N38">
        <v>10.63</v>
      </c>
      <c r="O38">
        <v>8.73</v>
      </c>
      <c r="P38">
        <v>0.52</v>
      </c>
      <c r="Q38" t="s">
        <v>163</v>
      </c>
      <c r="R38" t="s">
        <v>163</v>
      </c>
      <c r="S38" t="s">
        <v>163</v>
      </c>
      <c r="T38">
        <v>23.6</v>
      </c>
      <c r="U38" t="s">
        <v>163</v>
      </c>
      <c r="V38" t="s">
        <v>163</v>
      </c>
      <c r="W38" t="s">
        <v>163</v>
      </c>
      <c r="X38" t="s">
        <v>163</v>
      </c>
      <c r="Y38" t="s">
        <v>163</v>
      </c>
      <c r="Z38" t="s">
        <v>163</v>
      </c>
      <c r="AA38">
        <v>1</v>
      </c>
      <c r="AB38">
        <v>2</v>
      </c>
      <c r="AC38">
        <v>0</v>
      </c>
      <c r="AD38">
        <v>1</v>
      </c>
      <c r="AE38">
        <v>2</v>
      </c>
      <c r="AF38" t="s">
        <v>163</v>
      </c>
      <c r="AG38" t="s">
        <v>163</v>
      </c>
      <c r="AH38" t="s">
        <v>163</v>
      </c>
      <c r="AI38">
        <v>2</v>
      </c>
      <c r="AJ38" t="s">
        <v>163</v>
      </c>
      <c r="AK38">
        <v>8</v>
      </c>
      <c r="AL38">
        <v>9</v>
      </c>
      <c r="AM38" t="s">
        <v>163</v>
      </c>
      <c r="AN38" t="s">
        <v>163</v>
      </c>
      <c r="AO38" t="s">
        <v>163</v>
      </c>
      <c r="AP38">
        <v>0</v>
      </c>
      <c r="AQ38">
        <v>0</v>
      </c>
      <c r="AR38">
        <v>8</v>
      </c>
      <c r="AS38">
        <v>9</v>
      </c>
    </row>
    <row r="39" spans="1:45" x14ac:dyDescent="0.35">
      <c r="A39" s="337">
        <v>46266</v>
      </c>
      <c r="B39" s="337">
        <v>46295</v>
      </c>
      <c r="C39" s="337">
        <v>46295</v>
      </c>
      <c r="D39" t="s">
        <v>125</v>
      </c>
      <c r="E39" t="s">
        <v>328</v>
      </c>
      <c r="F39" t="s">
        <v>383</v>
      </c>
      <c r="G39" t="s">
        <v>172</v>
      </c>
      <c r="H39" t="s">
        <v>163</v>
      </c>
      <c r="I39" t="s">
        <v>163</v>
      </c>
      <c r="J39" t="s">
        <v>163</v>
      </c>
      <c r="K39" t="s">
        <v>163</v>
      </c>
      <c r="L39" t="s">
        <v>163</v>
      </c>
      <c r="M39" t="s">
        <v>163</v>
      </c>
      <c r="N39">
        <v>10.26</v>
      </c>
      <c r="O39" t="s">
        <v>163</v>
      </c>
      <c r="P39" t="s">
        <v>163</v>
      </c>
      <c r="Q39" t="s">
        <v>163</v>
      </c>
      <c r="R39" t="s">
        <v>163</v>
      </c>
      <c r="S39" t="s">
        <v>163</v>
      </c>
      <c r="T39" t="s">
        <v>163</v>
      </c>
      <c r="U39" t="s">
        <v>163</v>
      </c>
      <c r="V39" t="s">
        <v>163</v>
      </c>
      <c r="W39" t="s">
        <v>163</v>
      </c>
      <c r="X39" t="s">
        <v>163</v>
      </c>
      <c r="Y39" t="s">
        <v>163</v>
      </c>
      <c r="Z39" t="s">
        <v>163</v>
      </c>
      <c r="AA39" t="s">
        <v>163</v>
      </c>
      <c r="AB39" t="s">
        <v>163</v>
      </c>
      <c r="AC39">
        <v>1</v>
      </c>
      <c r="AD39" t="s">
        <v>163</v>
      </c>
      <c r="AE39" t="s">
        <v>163</v>
      </c>
      <c r="AF39" t="s">
        <v>163</v>
      </c>
      <c r="AG39" t="s">
        <v>163</v>
      </c>
      <c r="AH39" t="s">
        <v>163</v>
      </c>
      <c r="AI39" t="s">
        <v>163</v>
      </c>
      <c r="AJ39" t="s">
        <v>163</v>
      </c>
      <c r="AK39">
        <v>1</v>
      </c>
      <c r="AL39">
        <v>1</v>
      </c>
      <c r="AM39" t="s">
        <v>163</v>
      </c>
      <c r="AN39" t="s">
        <v>163</v>
      </c>
      <c r="AO39" t="s">
        <v>163</v>
      </c>
      <c r="AP39">
        <v>0</v>
      </c>
      <c r="AQ39">
        <v>0</v>
      </c>
      <c r="AR39">
        <v>1</v>
      </c>
      <c r="AS39">
        <v>1</v>
      </c>
    </row>
    <row r="40" spans="1:45" x14ac:dyDescent="0.35">
      <c r="A40" s="337">
        <v>46266</v>
      </c>
      <c r="B40" s="337">
        <v>46295</v>
      </c>
      <c r="C40" s="337">
        <v>46294</v>
      </c>
      <c r="D40" t="s">
        <v>125</v>
      </c>
      <c r="E40" t="s">
        <v>237</v>
      </c>
      <c r="F40" t="s">
        <v>383</v>
      </c>
      <c r="G40" t="s">
        <v>101</v>
      </c>
      <c r="H40" t="s">
        <v>163</v>
      </c>
      <c r="I40" t="s">
        <v>165</v>
      </c>
      <c r="J40" t="s">
        <v>165</v>
      </c>
      <c r="K40" t="s">
        <v>165</v>
      </c>
      <c r="L40" t="s">
        <v>163</v>
      </c>
      <c r="M40" t="s">
        <v>163</v>
      </c>
      <c r="N40">
        <v>12.04</v>
      </c>
      <c r="O40" t="s">
        <v>163</v>
      </c>
      <c r="P40" t="s">
        <v>163</v>
      </c>
      <c r="Q40" t="s">
        <v>163</v>
      </c>
      <c r="R40" t="s">
        <v>163</v>
      </c>
      <c r="S40" t="s">
        <v>163</v>
      </c>
      <c r="T40" t="s">
        <v>163</v>
      </c>
      <c r="U40" t="s">
        <v>163</v>
      </c>
      <c r="V40" t="s">
        <v>163</v>
      </c>
      <c r="W40" t="s">
        <v>165</v>
      </c>
      <c r="X40" t="s">
        <v>165</v>
      </c>
      <c r="Y40" t="s">
        <v>163</v>
      </c>
      <c r="Z40" t="s">
        <v>163</v>
      </c>
      <c r="AA40">
        <v>1</v>
      </c>
      <c r="AB40">
        <v>2</v>
      </c>
      <c r="AC40">
        <v>1</v>
      </c>
      <c r="AD40" t="s">
        <v>163</v>
      </c>
      <c r="AE40" t="s">
        <v>163</v>
      </c>
      <c r="AF40" t="s">
        <v>163</v>
      </c>
      <c r="AG40" t="s">
        <v>163</v>
      </c>
      <c r="AH40" t="s">
        <v>163</v>
      </c>
      <c r="AI40" t="s">
        <v>163</v>
      </c>
      <c r="AJ40" t="s">
        <v>163</v>
      </c>
      <c r="AK40">
        <v>4</v>
      </c>
      <c r="AL40">
        <v>4</v>
      </c>
      <c r="AM40" t="s">
        <v>163</v>
      </c>
      <c r="AN40">
        <v>1</v>
      </c>
      <c r="AO40">
        <v>1</v>
      </c>
      <c r="AP40">
        <v>2</v>
      </c>
      <c r="AQ40">
        <v>2</v>
      </c>
      <c r="AR40">
        <v>6</v>
      </c>
      <c r="AS40">
        <v>6</v>
      </c>
    </row>
    <row r="41" spans="1:45" x14ac:dyDescent="0.35">
      <c r="A41" s="337">
        <v>46266</v>
      </c>
      <c r="B41" s="337">
        <v>46295</v>
      </c>
      <c r="C41" s="337">
        <v>46294</v>
      </c>
      <c r="D41" t="s">
        <v>125</v>
      </c>
      <c r="E41" t="s">
        <v>273</v>
      </c>
      <c r="F41" t="s">
        <v>383</v>
      </c>
      <c r="G41" t="s">
        <v>101</v>
      </c>
      <c r="H41" t="s">
        <v>163</v>
      </c>
      <c r="I41" t="s">
        <v>165</v>
      </c>
      <c r="J41" t="s">
        <v>165</v>
      </c>
      <c r="K41" t="s">
        <v>165</v>
      </c>
      <c r="L41" t="s">
        <v>163</v>
      </c>
      <c r="M41" t="s">
        <v>163</v>
      </c>
      <c r="N41">
        <v>11.96</v>
      </c>
      <c r="O41">
        <v>15.93</v>
      </c>
      <c r="P41">
        <v>1.46</v>
      </c>
      <c r="Q41">
        <v>70.8</v>
      </c>
      <c r="R41" t="s">
        <v>163</v>
      </c>
      <c r="S41" t="s">
        <v>163</v>
      </c>
      <c r="T41">
        <v>45.5</v>
      </c>
      <c r="U41" t="s">
        <v>163</v>
      </c>
      <c r="V41" t="s">
        <v>163</v>
      </c>
      <c r="W41" t="s">
        <v>165</v>
      </c>
      <c r="X41" t="s">
        <v>165</v>
      </c>
      <c r="Y41" t="s">
        <v>163</v>
      </c>
      <c r="Z41" t="s">
        <v>163</v>
      </c>
      <c r="AA41">
        <v>1</v>
      </c>
      <c r="AB41">
        <v>2</v>
      </c>
      <c r="AC41">
        <v>0</v>
      </c>
      <c r="AD41">
        <v>1</v>
      </c>
      <c r="AE41">
        <v>0</v>
      </c>
      <c r="AF41">
        <v>2</v>
      </c>
      <c r="AG41" t="s">
        <v>163</v>
      </c>
      <c r="AH41" t="s">
        <v>163</v>
      </c>
      <c r="AI41">
        <v>2</v>
      </c>
      <c r="AJ41" t="s">
        <v>163</v>
      </c>
      <c r="AK41">
        <v>8</v>
      </c>
      <c r="AL41">
        <v>11</v>
      </c>
      <c r="AM41" t="s">
        <v>163</v>
      </c>
      <c r="AN41">
        <v>1</v>
      </c>
      <c r="AO41">
        <v>1</v>
      </c>
      <c r="AP41">
        <v>2</v>
      </c>
      <c r="AQ41">
        <v>2</v>
      </c>
      <c r="AR41">
        <v>10</v>
      </c>
      <c r="AS41">
        <v>13</v>
      </c>
    </row>
    <row r="42" spans="1:45" x14ac:dyDescent="0.35">
      <c r="A42" s="337">
        <v>46266</v>
      </c>
      <c r="B42" s="337">
        <v>46295</v>
      </c>
      <c r="C42" s="337">
        <v>46294</v>
      </c>
      <c r="D42" t="s">
        <v>125</v>
      </c>
      <c r="E42" t="s">
        <v>238</v>
      </c>
      <c r="F42">
        <v>3</v>
      </c>
      <c r="G42" t="s">
        <v>119</v>
      </c>
      <c r="H42" t="s">
        <v>163</v>
      </c>
      <c r="I42" t="s">
        <v>165</v>
      </c>
      <c r="J42" t="s">
        <v>165</v>
      </c>
      <c r="K42" t="s">
        <v>165</v>
      </c>
      <c r="L42" t="s">
        <v>161</v>
      </c>
      <c r="M42" t="s">
        <v>161</v>
      </c>
      <c r="N42">
        <v>12.17</v>
      </c>
      <c r="O42" t="s">
        <v>163</v>
      </c>
      <c r="P42" t="s">
        <v>163</v>
      </c>
      <c r="Q42" t="s">
        <v>163</v>
      </c>
      <c r="R42" t="s">
        <v>163</v>
      </c>
      <c r="S42" t="s">
        <v>163</v>
      </c>
      <c r="T42" t="s">
        <v>163</v>
      </c>
      <c r="U42" t="s">
        <v>163</v>
      </c>
      <c r="V42" t="s">
        <v>163</v>
      </c>
      <c r="W42" t="s">
        <v>165</v>
      </c>
      <c r="X42" t="s">
        <v>165</v>
      </c>
      <c r="Y42" t="s">
        <v>163</v>
      </c>
      <c r="Z42" t="s">
        <v>163</v>
      </c>
      <c r="AA42">
        <v>1</v>
      </c>
      <c r="AB42">
        <v>2</v>
      </c>
      <c r="AC42">
        <v>1</v>
      </c>
      <c r="AD42" t="s">
        <v>163</v>
      </c>
      <c r="AE42" t="s">
        <v>163</v>
      </c>
      <c r="AF42" t="s">
        <v>163</v>
      </c>
      <c r="AG42" t="s">
        <v>163</v>
      </c>
      <c r="AH42" t="s">
        <v>163</v>
      </c>
      <c r="AI42" t="s">
        <v>163</v>
      </c>
      <c r="AJ42" t="s">
        <v>163</v>
      </c>
      <c r="AK42">
        <v>4</v>
      </c>
      <c r="AL42">
        <v>4</v>
      </c>
      <c r="AM42" t="s">
        <v>163</v>
      </c>
      <c r="AN42">
        <v>1</v>
      </c>
      <c r="AO42">
        <v>1</v>
      </c>
      <c r="AP42">
        <v>2</v>
      </c>
      <c r="AQ42">
        <v>2</v>
      </c>
      <c r="AR42">
        <v>6</v>
      </c>
      <c r="AS42">
        <v>6</v>
      </c>
    </row>
    <row r="43" spans="1:45" x14ac:dyDescent="0.35">
      <c r="A43" s="337">
        <v>46266</v>
      </c>
      <c r="B43" s="337">
        <v>46295</v>
      </c>
      <c r="C43" s="337">
        <v>46294</v>
      </c>
      <c r="D43" t="s">
        <v>125</v>
      </c>
      <c r="E43" t="s">
        <v>328</v>
      </c>
      <c r="F43">
        <v>3</v>
      </c>
      <c r="G43" t="s">
        <v>119</v>
      </c>
      <c r="H43">
        <v>0.01</v>
      </c>
      <c r="I43" t="s">
        <v>165</v>
      </c>
      <c r="J43" t="s">
        <v>165</v>
      </c>
      <c r="K43" t="s">
        <v>165</v>
      </c>
      <c r="L43" t="s">
        <v>161</v>
      </c>
      <c r="M43" t="s">
        <v>161</v>
      </c>
      <c r="N43">
        <v>12.09</v>
      </c>
      <c r="O43" t="s">
        <v>163</v>
      </c>
      <c r="P43" t="s">
        <v>163</v>
      </c>
      <c r="Q43" t="s">
        <v>163</v>
      </c>
      <c r="R43" t="s">
        <v>163</v>
      </c>
      <c r="S43" t="s">
        <v>163</v>
      </c>
      <c r="T43" t="s">
        <v>163</v>
      </c>
      <c r="U43" t="s">
        <v>163</v>
      </c>
      <c r="V43" t="s">
        <v>163</v>
      </c>
      <c r="W43" t="s">
        <v>165</v>
      </c>
      <c r="X43" t="s">
        <v>165</v>
      </c>
      <c r="Y43" t="s">
        <v>163</v>
      </c>
      <c r="Z43">
        <v>2</v>
      </c>
      <c r="AA43">
        <v>1</v>
      </c>
      <c r="AB43">
        <v>2</v>
      </c>
      <c r="AC43">
        <v>1</v>
      </c>
      <c r="AD43" t="s">
        <v>163</v>
      </c>
      <c r="AE43" t="s">
        <v>163</v>
      </c>
      <c r="AF43" t="s">
        <v>163</v>
      </c>
      <c r="AG43" t="s">
        <v>163</v>
      </c>
      <c r="AH43" t="s">
        <v>163</v>
      </c>
      <c r="AI43" t="s">
        <v>163</v>
      </c>
      <c r="AJ43" t="s">
        <v>163</v>
      </c>
      <c r="AK43">
        <v>6</v>
      </c>
      <c r="AL43">
        <v>6</v>
      </c>
      <c r="AM43" t="s">
        <v>163</v>
      </c>
      <c r="AN43">
        <v>1</v>
      </c>
      <c r="AO43">
        <v>1</v>
      </c>
      <c r="AP43">
        <v>2</v>
      </c>
      <c r="AQ43">
        <v>2</v>
      </c>
      <c r="AR43">
        <v>8</v>
      </c>
      <c r="AS43">
        <v>8</v>
      </c>
    </row>
    <row r="44" spans="1:45" x14ac:dyDescent="0.35">
      <c r="A44" s="337">
        <v>46266</v>
      </c>
      <c r="B44" s="337">
        <v>46295</v>
      </c>
      <c r="C44" s="337">
        <v>46294</v>
      </c>
      <c r="D44" t="s">
        <v>125</v>
      </c>
      <c r="E44" t="s">
        <v>327</v>
      </c>
      <c r="F44">
        <v>3</v>
      </c>
      <c r="G44" t="s">
        <v>119</v>
      </c>
      <c r="H44">
        <v>0.01</v>
      </c>
      <c r="I44" t="s">
        <v>165</v>
      </c>
      <c r="J44" t="s">
        <v>165</v>
      </c>
      <c r="K44" t="s">
        <v>165</v>
      </c>
      <c r="L44" t="s">
        <v>161</v>
      </c>
      <c r="M44" t="s">
        <v>161</v>
      </c>
      <c r="N44">
        <v>11.69</v>
      </c>
      <c r="O44" t="s">
        <v>163</v>
      </c>
      <c r="P44" t="s">
        <v>163</v>
      </c>
      <c r="Q44" t="s">
        <v>163</v>
      </c>
      <c r="R44" t="s">
        <v>163</v>
      </c>
      <c r="S44" t="s">
        <v>163</v>
      </c>
      <c r="T44" t="s">
        <v>163</v>
      </c>
      <c r="U44" t="s">
        <v>163</v>
      </c>
      <c r="V44" t="s">
        <v>163</v>
      </c>
      <c r="W44" t="s">
        <v>165</v>
      </c>
      <c r="X44" t="s">
        <v>165</v>
      </c>
      <c r="Y44" t="s">
        <v>163</v>
      </c>
      <c r="Z44">
        <v>2</v>
      </c>
      <c r="AA44">
        <v>1</v>
      </c>
      <c r="AB44">
        <v>2</v>
      </c>
      <c r="AC44">
        <v>0</v>
      </c>
      <c r="AD44" t="s">
        <v>163</v>
      </c>
      <c r="AE44" t="s">
        <v>163</v>
      </c>
      <c r="AF44" t="s">
        <v>163</v>
      </c>
      <c r="AG44" t="s">
        <v>163</v>
      </c>
      <c r="AH44" t="s">
        <v>163</v>
      </c>
      <c r="AI44" t="s">
        <v>163</v>
      </c>
      <c r="AJ44" t="s">
        <v>163</v>
      </c>
      <c r="AK44">
        <v>5</v>
      </c>
      <c r="AL44">
        <v>6</v>
      </c>
      <c r="AM44" t="s">
        <v>163</v>
      </c>
      <c r="AN44">
        <v>1</v>
      </c>
      <c r="AO44">
        <v>1</v>
      </c>
      <c r="AP44">
        <v>2</v>
      </c>
      <c r="AQ44">
        <v>2</v>
      </c>
      <c r="AR44">
        <v>7</v>
      </c>
      <c r="AS44">
        <v>8</v>
      </c>
    </row>
    <row r="45" spans="1:45" x14ac:dyDescent="0.35">
      <c r="A45" s="337">
        <v>46266</v>
      </c>
      <c r="B45" s="337">
        <v>46295</v>
      </c>
      <c r="C45" s="337">
        <v>46294</v>
      </c>
      <c r="D45" t="s">
        <v>125</v>
      </c>
      <c r="E45" t="s">
        <v>240</v>
      </c>
      <c r="F45">
        <v>3</v>
      </c>
      <c r="G45" t="s">
        <v>119</v>
      </c>
      <c r="H45">
        <v>0.01</v>
      </c>
      <c r="I45" t="s">
        <v>165</v>
      </c>
      <c r="J45" t="s">
        <v>165</v>
      </c>
      <c r="K45" t="s">
        <v>165</v>
      </c>
      <c r="L45" t="s">
        <v>161</v>
      </c>
      <c r="M45" t="s">
        <v>161</v>
      </c>
      <c r="N45">
        <v>11.69</v>
      </c>
      <c r="O45" t="s">
        <v>163</v>
      </c>
      <c r="P45" t="s">
        <v>163</v>
      </c>
      <c r="Q45" t="s">
        <v>163</v>
      </c>
      <c r="R45" t="s">
        <v>163</v>
      </c>
      <c r="S45" t="s">
        <v>163</v>
      </c>
      <c r="T45" t="s">
        <v>163</v>
      </c>
      <c r="U45" t="s">
        <v>163</v>
      </c>
      <c r="V45" t="s">
        <v>163</v>
      </c>
      <c r="W45" t="s">
        <v>165</v>
      </c>
      <c r="X45" t="s">
        <v>165</v>
      </c>
      <c r="Y45" t="s">
        <v>163</v>
      </c>
      <c r="Z45">
        <v>2</v>
      </c>
      <c r="AA45">
        <v>1</v>
      </c>
      <c r="AB45">
        <v>2</v>
      </c>
      <c r="AC45">
        <v>0</v>
      </c>
      <c r="AD45" t="s">
        <v>163</v>
      </c>
      <c r="AE45" t="s">
        <v>163</v>
      </c>
      <c r="AF45" t="s">
        <v>163</v>
      </c>
      <c r="AG45" t="s">
        <v>163</v>
      </c>
      <c r="AH45" t="s">
        <v>163</v>
      </c>
      <c r="AI45" t="s">
        <v>163</v>
      </c>
      <c r="AJ45" t="s">
        <v>163</v>
      </c>
      <c r="AK45">
        <v>5</v>
      </c>
      <c r="AL45">
        <v>6</v>
      </c>
      <c r="AM45" t="s">
        <v>163</v>
      </c>
      <c r="AN45">
        <v>1</v>
      </c>
      <c r="AO45">
        <v>1</v>
      </c>
      <c r="AP45">
        <v>2</v>
      </c>
      <c r="AQ45">
        <v>2</v>
      </c>
      <c r="AR45">
        <v>7</v>
      </c>
      <c r="AS45">
        <v>8</v>
      </c>
    </row>
    <row r="46" spans="1:45" x14ac:dyDescent="0.35">
      <c r="A46" s="337">
        <v>46266</v>
      </c>
      <c r="B46" s="337">
        <v>46295</v>
      </c>
      <c r="C46" s="337">
        <v>46294</v>
      </c>
      <c r="D46" t="s">
        <v>125</v>
      </c>
      <c r="E46" t="s">
        <v>273</v>
      </c>
      <c r="F46">
        <v>3</v>
      </c>
      <c r="G46" t="s">
        <v>119</v>
      </c>
      <c r="H46">
        <v>0.01</v>
      </c>
      <c r="I46" t="s">
        <v>165</v>
      </c>
      <c r="J46" t="s">
        <v>165</v>
      </c>
      <c r="K46" t="s">
        <v>165</v>
      </c>
      <c r="L46" t="s">
        <v>161</v>
      </c>
      <c r="M46" t="s">
        <v>161</v>
      </c>
      <c r="N46">
        <v>11.94</v>
      </c>
      <c r="O46" t="s">
        <v>163</v>
      </c>
      <c r="P46" t="s">
        <v>163</v>
      </c>
      <c r="Q46" t="s">
        <v>163</v>
      </c>
      <c r="R46" t="s">
        <v>163</v>
      </c>
      <c r="S46" t="s">
        <v>163</v>
      </c>
      <c r="T46" t="s">
        <v>163</v>
      </c>
      <c r="U46" t="s">
        <v>163</v>
      </c>
      <c r="V46" t="s">
        <v>163</v>
      </c>
      <c r="W46" t="s">
        <v>165</v>
      </c>
      <c r="X46" t="s">
        <v>165</v>
      </c>
      <c r="Y46" t="s">
        <v>163</v>
      </c>
      <c r="Z46">
        <v>2</v>
      </c>
      <c r="AA46">
        <v>1</v>
      </c>
      <c r="AB46">
        <v>2</v>
      </c>
      <c r="AC46">
        <v>0</v>
      </c>
      <c r="AD46" t="s">
        <v>163</v>
      </c>
      <c r="AE46" t="s">
        <v>163</v>
      </c>
      <c r="AF46" t="s">
        <v>163</v>
      </c>
      <c r="AG46" t="s">
        <v>163</v>
      </c>
      <c r="AH46" t="s">
        <v>163</v>
      </c>
      <c r="AI46" t="s">
        <v>163</v>
      </c>
      <c r="AJ46" t="s">
        <v>163</v>
      </c>
      <c r="AK46">
        <v>5</v>
      </c>
      <c r="AL46">
        <v>6</v>
      </c>
      <c r="AM46" t="s">
        <v>163</v>
      </c>
      <c r="AN46">
        <v>1</v>
      </c>
      <c r="AO46">
        <v>1</v>
      </c>
      <c r="AP46">
        <v>2</v>
      </c>
      <c r="AQ46">
        <v>2</v>
      </c>
      <c r="AR46">
        <v>7</v>
      </c>
      <c r="AS46">
        <v>8</v>
      </c>
    </row>
    <row r="47" spans="1:45" x14ac:dyDescent="0.35">
      <c r="A47" s="337">
        <v>46266</v>
      </c>
      <c r="B47" s="337">
        <v>46295</v>
      </c>
      <c r="C47" s="337">
        <v>46294</v>
      </c>
      <c r="D47" t="s">
        <v>125</v>
      </c>
      <c r="E47" t="s">
        <v>239</v>
      </c>
      <c r="F47">
        <v>3</v>
      </c>
      <c r="G47" t="s">
        <v>119</v>
      </c>
      <c r="H47">
        <v>0.01</v>
      </c>
      <c r="I47" t="s">
        <v>165</v>
      </c>
      <c r="J47" t="s">
        <v>165</v>
      </c>
      <c r="K47" t="s">
        <v>165</v>
      </c>
      <c r="L47" t="s">
        <v>161</v>
      </c>
      <c r="M47" t="s">
        <v>161</v>
      </c>
      <c r="N47">
        <v>11.78</v>
      </c>
      <c r="O47" t="s">
        <v>163</v>
      </c>
      <c r="P47" t="s">
        <v>163</v>
      </c>
      <c r="Q47" t="s">
        <v>163</v>
      </c>
      <c r="R47" t="s">
        <v>163</v>
      </c>
      <c r="S47" t="s">
        <v>163</v>
      </c>
      <c r="T47" t="s">
        <v>163</v>
      </c>
      <c r="U47" t="s">
        <v>163</v>
      </c>
      <c r="V47" t="s">
        <v>163</v>
      </c>
      <c r="W47" t="s">
        <v>165</v>
      </c>
      <c r="X47" t="s">
        <v>165</v>
      </c>
      <c r="Y47" t="s">
        <v>163</v>
      </c>
      <c r="Z47">
        <v>2</v>
      </c>
      <c r="AA47">
        <v>1</v>
      </c>
      <c r="AB47">
        <v>2</v>
      </c>
      <c r="AC47">
        <v>0</v>
      </c>
      <c r="AD47" t="s">
        <v>163</v>
      </c>
      <c r="AE47" t="s">
        <v>163</v>
      </c>
      <c r="AF47" t="s">
        <v>163</v>
      </c>
      <c r="AG47" t="s">
        <v>163</v>
      </c>
      <c r="AH47" t="s">
        <v>163</v>
      </c>
      <c r="AI47" t="s">
        <v>163</v>
      </c>
      <c r="AJ47" t="s">
        <v>163</v>
      </c>
      <c r="AK47">
        <v>5</v>
      </c>
      <c r="AL47">
        <v>6</v>
      </c>
      <c r="AM47" t="s">
        <v>163</v>
      </c>
      <c r="AN47">
        <v>1</v>
      </c>
      <c r="AO47">
        <v>1</v>
      </c>
      <c r="AP47">
        <v>2</v>
      </c>
      <c r="AQ47">
        <v>2</v>
      </c>
      <c r="AR47">
        <v>7</v>
      </c>
      <c r="AS47">
        <v>8</v>
      </c>
    </row>
    <row r="48" spans="1:45" x14ac:dyDescent="0.35">
      <c r="A48" s="337">
        <v>46266</v>
      </c>
      <c r="B48" s="337">
        <v>46295</v>
      </c>
      <c r="C48" s="337">
        <v>46294</v>
      </c>
      <c r="D48" t="s">
        <v>125</v>
      </c>
      <c r="E48" t="s">
        <v>326</v>
      </c>
      <c r="F48">
        <v>3</v>
      </c>
      <c r="G48" t="s">
        <v>119</v>
      </c>
      <c r="H48">
        <v>0.01</v>
      </c>
      <c r="I48" t="s">
        <v>165</v>
      </c>
      <c r="J48" t="s">
        <v>165</v>
      </c>
      <c r="K48" t="s">
        <v>165</v>
      </c>
      <c r="L48" t="s">
        <v>161</v>
      </c>
      <c r="M48" t="s">
        <v>161</v>
      </c>
      <c r="N48">
        <v>11.97</v>
      </c>
      <c r="O48">
        <v>12.87</v>
      </c>
      <c r="P48">
        <v>0.6</v>
      </c>
      <c r="Q48">
        <v>63.9</v>
      </c>
      <c r="R48" t="s">
        <v>163</v>
      </c>
      <c r="S48" t="s">
        <v>163</v>
      </c>
      <c r="T48">
        <v>36.1</v>
      </c>
      <c r="U48" t="s">
        <v>163</v>
      </c>
      <c r="V48" t="s">
        <v>163</v>
      </c>
      <c r="W48" t="s">
        <v>165</v>
      </c>
      <c r="X48" t="s">
        <v>165</v>
      </c>
      <c r="Y48" t="s">
        <v>419</v>
      </c>
      <c r="Z48">
        <v>2</v>
      </c>
      <c r="AA48">
        <v>1</v>
      </c>
      <c r="AB48">
        <v>2</v>
      </c>
      <c r="AC48">
        <v>0</v>
      </c>
      <c r="AD48">
        <v>1</v>
      </c>
      <c r="AE48">
        <v>2</v>
      </c>
      <c r="AF48">
        <v>0</v>
      </c>
      <c r="AG48" t="s">
        <v>163</v>
      </c>
      <c r="AH48" t="s">
        <v>163</v>
      </c>
      <c r="AI48">
        <v>2</v>
      </c>
      <c r="AJ48" t="s">
        <v>163</v>
      </c>
      <c r="AK48">
        <v>10</v>
      </c>
      <c r="AL48">
        <v>13</v>
      </c>
      <c r="AM48" t="s">
        <v>163</v>
      </c>
      <c r="AN48">
        <v>1</v>
      </c>
      <c r="AO48">
        <v>1</v>
      </c>
      <c r="AP48">
        <v>2</v>
      </c>
      <c r="AQ48">
        <v>2</v>
      </c>
      <c r="AR48">
        <v>12</v>
      </c>
      <c r="AS48">
        <v>15</v>
      </c>
    </row>
    <row r="49" spans="1:45" x14ac:dyDescent="0.35">
      <c r="A49" s="337">
        <v>46266</v>
      </c>
      <c r="B49" s="337">
        <v>46295</v>
      </c>
      <c r="C49" s="339">
        <v>0</v>
      </c>
      <c r="D49" t="s">
        <v>125</v>
      </c>
      <c r="E49" t="s">
        <v>328</v>
      </c>
      <c r="F49">
        <v>2</v>
      </c>
      <c r="G49" t="s">
        <v>92</v>
      </c>
      <c r="H49" t="s">
        <v>163</v>
      </c>
      <c r="I49" t="s">
        <v>165</v>
      </c>
      <c r="J49" t="s">
        <v>165</v>
      </c>
      <c r="K49" t="s">
        <v>165</v>
      </c>
      <c r="L49" t="s">
        <v>163</v>
      </c>
      <c r="M49" t="s">
        <v>161</v>
      </c>
      <c r="N49">
        <v>10.57</v>
      </c>
      <c r="O49" t="s">
        <v>163</v>
      </c>
      <c r="P49" t="s">
        <v>163</v>
      </c>
      <c r="Q49" t="s">
        <v>163</v>
      </c>
      <c r="R49" t="s">
        <v>163</v>
      </c>
      <c r="S49" t="s">
        <v>163</v>
      </c>
      <c r="T49" t="s">
        <v>163</v>
      </c>
      <c r="U49" t="s">
        <v>163</v>
      </c>
      <c r="V49" t="s">
        <v>163</v>
      </c>
      <c r="W49" t="s">
        <v>165</v>
      </c>
      <c r="X49" t="s">
        <v>165</v>
      </c>
      <c r="Y49" t="s">
        <v>163</v>
      </c>
      <c r="Z49" t="s">
        <v>163</v>
      </c>
      <c r="AA49">
        <v>1</v>
      </c>
      <c r="AB49">
        <v>2</v>
      </c>
      <c r="AC49">
        <v>0</v>
      </c>
      <c r="AD49" t="s">
        <v>163</v>
      </c>
      <c r="AE49" t="s">
        <v>163</v>
      </c>
      <c r="AF49" t="s">
        <v>163</v>
      </c>
      <c r="AG49" t="s">
        <v>163</v>
      </c>
      <c r="AH49" t="s">
        <v>163</v>
      </c>
      <c r="AI49" t="s">
        <v>163</v>
      </c>
      <c r="AJ49" t="s">
        <v>163</v>
      </c>
      <c r="AK49">
        <v>3</v>
      </c>
      <c r="AL49">
        <v>4</v>
      </c>
      <c r="AM49" t="s">
        <v>163</v>
      </c>
      <c r="AN49">
        <v>1</v>
      </c>
      <c r="AO49">
        <v>1</v>
      </c>
      <c r="AP49">
        <v>2</v>
      </c>
      <c r="AQ49">
        <v>2</v>
      </c>
      <c r="AR49">
        <v>5</v>
      </c>
      <c r="AS49">
        <v>6</v>
      </c>
    </row>
    <row r="50" spans="1:45" x14ac:dyDescent="0.35">
      <c r="A50" s="337">
        <v>46266</v>
      </c>
      <c r="B50" s="337">
        <v>46295</v>
      </c>
      <c r="C50" s="339">
        <v>0</v>
      </c>
      <c r="D50" t="s">
        <v>125</v>
      </c>
      <c r="E50" t="s">
        <v>273</v>
      </c>
      <c r="F50">
        <v>2</v>
      </c>
      <c r="G50" t="s">
        <v>92</v>
      </c>
      <c r="H50" t="s">
        <v>163</v>
      </c>
      <c r="I50" t="s">
        <v>165</v>
      </c>
      <c r="J50" t="s">
        <v>165</v>
      </c>
      <c r="K50" t="s">
        <v>165</v>
      </c>
      <c r="L50" t="s">
        <v>163</v>
      </c>
      <c r="M50" t="s">
        <v>161</v>
      </c>
      <c r="N50">
        <v>10.56</v>
      </c>
      <c r="O50" t="s">
        <v>163</v>
      </c>
      <c r="P50" t="s">
        <v>163</v>
      </c>
      <c r="Q50" t="s">
        <v>163</v>
      </c>
      <c r="R50" t="s">
        <v>163</v>
      </c>
      <c r="S50" t="s">
        <v>163</v>
      </c>
      <c r="T50" t="s">
        <v>163</v>
      </c>
      <c r="U50" t="s">
        <v>163</v>
      </c>
      <c r="V50" t="s">
        <v>163</v>
      </c>
      <c r="W50" t="s">
        <v>165</v>
      </c>
      <c r="X50" t="s">
        <v>165</v>
      </c>
      <c r="Y50" t="s">
        <v>163</v>
      </c>
      <c r="Z50" t="s">
        <v>163</v>
      </c>
      <c r="AA50">
        <v>1</v>
      </c>
      <c r="AB50">
        <v>2</v>
      </c>
      <c r="AC50">
        <v>0</v>
      </c>
      <c r="AD50" t="s">
        <v>163</v>
      </c>
      <c r="AE50" t="s">
        <v>163</v>
      </c>
      <c r="AF50" t="s">
        <v>163</v>
      </c>
      <c r="AG50" t="s">
        <v>163</v>
      </c>
      <c r="AH50" t="s">
        <v>163</v>
      </c>
      <c r="AI50" t="s">
        <v>163</v>
      </c>
      <c r="AJ50" t="s">
        <v>163</v>
      </c>
      <c r="AK50">
        <v>3</v>
      </c>
      <c r="AL50">
        <v>4</v>
      </c>
      <c r="AM50" t="s">
        <v>163</v>
      </c>
      <c r="AN50">
        <v>1</v>
      </c>
      <c r="AO50">
        <v>1</v>
      </c>
      <c r="AP50">
        <v>2</v>
      </c>
      <c r="AQ50">
        <v>2</v>
      </c>
      <c r="AR50">
        <v>5</v>
      </c>
      <c r="AS50">
        <v>6</v>
      </c>
    </row>
    <row r="51" spans="1:45" x14ac:dyDescent="0.35">
      <c r="A51" s="337">
        <v>46266</v>
      </c>
      <c r="B51" s="337">
        <v>46295</v>
      </c>
      <c r="C51" s="337">
        <v>816</v>
      </c>
      <c r="D51" t="s">
        <v>125</v>
      </c>
      <c r="E51" t="s">
        <v>326</v>
      </c>
      <c r="F51">
        <v>2</v>
      </c>
      <c r="G51" t="s">
        <v>39</v>
      </c>
      <c r="H51" t="s">
        <v>163</v>
      </c>
      <c r="I51" t="s">
        <v>165</v>
      </c>
      <c r="J51" t="s">
        <v>165</v>
      </c>
      <c r="K51" t="s">
        <v>165</v>
      </c>
      <c r="L51" t="s">
        <v>163</v>
      </c>
      <c r="M51" t="s">
        <v>161</v>
      </c>
      <c r="N51">
        <v>10.56</v>
      </c>
      <c r="O51" t="s">
        <v>163</v>
      </c>
      <c r="P51" t="s">
        <v>163</v>
      </c>
      <c r="Q51" t="s">
        <v>163</v>
      </c>
      <c r="R51" t="s">
        <v>163</v>
      </c>
      <c r="S51" t="s">
        <v>163</v>
      </c>
      <c r="T51" t="s">
        <v>163</v>
      </c>
      <c r="U51" t="s">
        <v>163</v>
      </c>
      <c r="V51" t="s">
        <v>163</v>
      </c>
      <c r="W51" t="s">
        <v>165</v>
      </c>
      <c r="X51" t="s">
        <v>165</v>
      </c>
      <c r="Y51" t="s">
        <v>163</v>
      </c>
      <c r="Z51" t="s">
        <v>163</v>
      </c>
      <c r="AA51">
        <v>1</v>
      </c>
      <c r="AB51">
        <v>2</v>
      </c>
      <c r="AC51">
        <v>0</v>
      </c>
      <c r="AD51" t="s">
        <v>163</v>
      </c>
      <c r="AE51" t="s">
        <v>163</v>
      </c>
      <c r="AF51" t="s">
        <v>163</v>
      </c>
      <c r="AG51" t="s">
        <v>163</v>
      </c>
      <c r="AH51" t="s">
        <v>163</v>
      </c>
      <c r="AI51" t="s">
        <v>163</v>
      </c>
      <c r="AJ51" t="s">
        <v>163</v>
      </c>
      <c r="AK51">
        <v>3</v>
      </c>
      <c r="AL51">
        <v>4</v>
      </c>
      <c r="AM51" t="s">
        <v>163</v>
      </c>
      <c r="AN51">
        <v>1</v>
      </c>
      <c r="AO51">
        <v>1</v>
      </c>
      <c r="AP51">
        <v>2</v>
      </c>
      <c r="AQ51">
        <v>2</v>
      </c>
      <c r="AR51">
        <v>5</v>
      </c>
      <c r="AS51">
        <v>6</v>
      </c>
    </row>
    <row r="52" spans="1:45" x14ac:dyDescent="0.35">
      <c r="A52" s="337">
        <v>46266</v>
      </c>
      <c r="B52" s="337">
        <v>46295</v>
      </c>
      <c r="C52" s="337">
        <v>46291</v>
      </c>
      <c r="D52" t="s">
        <v>125</v>
      </c>
      <c r="E52" t="s">
        <v>328</v>
      </c>
      <c r="F52">
        <v>1</v>
      </c>
      <c r="G52" t="s">
        <v>158</v>
      </c>
      <c r="H52" t="s">
        <v>163</v>
      </c>
      <c r="I52" t="s">
        <v>165</v>
      </c>
      <c r="J52" t="s">
        <v>165</v>
      </c>
      <c r="K52" t="s">
        <v>165</v>
      </c>
      <c r="L52" t="s">
        <v>163</v>
      </c>
      <c r="M52" t="s">
        <v>163</v>
      </c>
      <c r="N52">
        <v>10.74</v>
      </c>
      <c r="O52" t="s">
        <v>163</v>
      </c>
      <c r="P52" t="s">
        <v>163</v>
      </c>
      <c r="Q52" t="s">
        <v>163</v>
      </c>
      <c r="R52" t="s">
        <v>163</v>
      </c>
      <c r="S52" t="s">
        <v>163</v>
      </c>
      <c r="T52" t="s">
        <v>163</v>
      </c>
      <c r="U52" t="s">
        <v>163</v>
      </c>
      <c r="V52" t="s">
        <v>163</v>
      </c>
      <c r="W52" t="s">
        <v>165</v>
      </c>
      <c r="X52" t="s">
        <v>165</v>
      </c>
      <c r="Y52" t="s">
        <v>163</v>
      </c>
      <c r="Z52" t="s">
        <v>163</v>
      </c>
      <c r="AA52">
        <v>1</v>
      </c>
      <c r="AB52">
        <v>2</v>
      </c>
      <c r="AC52">
        <v>0</v>
      </c>
      <c r="AD52" t="s">
        <v>163</v>
      </c>
      <c r="AE52" t="s">
        <v>163</v>
      </c>
      <c r="AF52" t="s">
        <v>163</v>
      </c>
      <c r="AG52" t="s">
        <v>163</v>
      </c>
      <c r="AH52" t="s">
        <v>163</v>
      </c>
      <c r="AI52" t="s">
        <v>163</v>
      </c>
      <c r="AJ52" t="s">
        <v>163</v>
      </c>
      <c r="AK52">
        <v>3</v>
      </c>
      <c r="AL52">
        <v>4</v>
      </c>
      <c r="AM52" t="s">
        <v>163</v>
      </c>
      <c r="AN52">
        <v>1</v>
      </c>
      <c r="AO52">
        <v>1</v>
      </c>
      <c r="AP52">
        <v>2</v>
      </c>
      <c r="AQ52">
        <v>2</v>
      </c>
      <c r="AR52">
        <v>5</v>
      </c>
      <c r="AS52">
        <v>6</v>
      </c>
    </row>
    <row r="53" spans="1:45" x14ac:dyDescent="0.35">
      <c r="A53" s="337">
        <v>46266</v>
      </c>
      <c r="B53" s="337">
        <v>46295</v>
      </c>
      <c r="C53" s="337">
        <v>46291</v>
      </c>
      <c r="D53" t="s">
        <v>125</v>
      </c>
      <c r="E53" t="s">
        <v>237</v>
      </c>
      <c r="F53">
        <v>1</v>
      </c>
      <c r="G53" t="s">
        <v>158</v>
      </c>
      <c r="H53" t="s">
        <v>163</v>
      </c>
      <c r="I53" t="s">
        <v>165</v>
      </c>
      <c r="J53" t="s">
        <v>165</v>
      </c>
      <c r="K53" t="s">
        <v>165</v>
      </c>
      <c r="L53" t="s">
        <v>163</v>
      </c>
      <c r="M53" t="s">
        <v>163</v>
      </c>
      <c r="N53">
        <v>10.84</v>
      </c>
      <c r="O53" t="s">
        <v>163</v>
      </c>
      <c r="P53" t="s">
        <v>163</v>
      </c>
      <c r="Q53" t="s">
        <v>163</v>
      </c>
      <c r="R53" t="s">
        <v>163</v>
      </c>
      <c r="S53" t="s">
        <v>163</v>
      </c>
      <c r="T53" t="s">
        <v>163</v>
      </c>
      <c r="U53" t="s">
        <v>163</v>
      </c>
      <c r="V53" t="s">
        <v>163</v>
      </c>
      <c r="W53" t="s">
        <v>165</v>
      </c>
      <c r="X53" t="s">
        <v>165</v>
      </c>
      <c r="Y53" t="s">
        <v>163</v>
      </c>
      <c r="Z53" t="s">
        <v>163</v>
      </c>
      <c r="AA53">
        <v>1</v>
      </c>
      <c r="AB53">
        <v>2</v>
      </c>
      <c r="AC53">
        <v>0</v>
      </c>
      <c r="AD53" t="s">
        <v>163</v>
      </c>
      <c r="AE53" t="s">
        <v>163</v>
      </c>
      <c r="AF53" t="s">
        <v>163</v>
      </c>
      <c r="AG53" t="s">
        <v>163</v>
      </c>
      <c r="AH53" t="s">
        <v>163</v>
      </c>
      <c r="AI53" t="s">
        <v>163</v>
      </c>
      <c r="AJ53" t="s">
        <v>163</v>
      </c>
      <c r="AK53">
        <v>3</v>
      </c>
      <c r="AL53">
        <v>4</v>
      </c>
      <c r="AM53" t="s">
        <v>163</v>
      </c>
      <c r="AN53">
        <v>1</v>
      </c>
      <c r="AO53">
        <v>1</v>
      </c>
      <c r="AP53">
        <v>2</v>
      </c>
      <c r="AQ53">
        <v>2</v>
      </c>
      <c r="AR53">
        <v>5</v>
      </c>
      <c r="AS53">
        <v>6</v>
      </c>
    </row>
    <row r="54" spans="1:45" x14ac:dyDescent="0.35">
      <c r="A54" s="337">
        <v>46266</v>
      </c>
      <c r="B54" s="337">
        <v>46295</v>
      </c>
      <c r="C54" s="337">
        <v>46291</v>
      </c>
      <c r="D54" t="s">
        <v>125</v>
      </c>
      <c r="E54" t="s">
        <v>327</v>
      </c>
      <c r="F54">
        <v>1</v>
      </c>
      <c r="G54" t="s">
        <v>158</v>
      </c>
      <c r="H54" t="s">
        <v>163</v>
      </c>
      <c r="I54" t="s">
        <v>163</v>
      </c>
      <c r="J54" t="s">
        <v>165</v>
      </c>
      <c r="K54" t="s">
        <v>165</v>
      </c>
      <c r="L54" t="s">
        <v>163</v>
      </c>
      <c r="M54" t="s">
        <v>163</v>
      </c>
      <c r="N54">
        <v>10.63</v>
      </c>
      <c r="O54" t="s">
        <v>163</v>
      </c>
      <c r="P54" t="s">
        <v>163</v>
      </c>
      <c r="Q54" t="s">
        <v>163</v>
      </c>
      <c r="R54" t="s">
        <v>163</v>
      </c>
      <c r="S54" t="s">
        <v>163</v>
      </c>
      <c r="T54" t="s">
        <v>163</v>
      </c>
      <c r="U54" t="s">
        <v>163</v>
      </c>
      <c r="V54" t="s">
        <v>163</v>
      </c>
      <c r="W54" t="s">
        <v>165</v>
      </c>
      <c r="X54" t="s">
        <v>165</v>
      </c>
      <c r="Y54" t="s">
        <v>163</v>
      </c>
      <c r="Z54" t="s">
        <v>163</v>
      </c>
      <c r="AA54" t="s">
        <v>163</v>
      </c>
      <c r="AB54">
        <v>2</v>
      </c>
      <c r="AC54">
        <v>0</v>
      </c>
      <c r="AD54" t="s">
        <v>163</v>
      </c>
      <c r="AE54" t="s">
        <v>163</v>
      </c>
      <c r="AF54" t="s">
        <v>163</v>
      </c>
      <c r="AG54" t="s">
        <v>163</v>
      </c>
      <c r="AH54" t="s">
        <v>163</v>
      </c>
      <c r="AI54" t="s">
        <v>163</v>
      </c>
      <c r="AJ54" t="s">
        <v>163</v>
      </c>
      <c r="AK54">
        <v>2</v>
      </c>
      <c r="AL54">
        <v>3</v>
      </c>
      <c r="AM54" t="s">
        <v>163</v>
      </c>
      <c r="AN54">
        <v>1</v>
      </c>
      <c r="AO54">
        <v>1</v>
      </c>
      <c r="AP54">
        <v>2</v>
      </c>
      <c r="AQ54">
        <v>2</v>
      </c>
      <c r="AR54">
        <v>4</v>
      </c>
      <c r="AS54">
        <v>5</v>
      </c>
    </row>
    <row r="55" spans="1:45" x14ac:dyDescent="0.35">
      <c r="A55" s="337">
        <v>46266</v>
      </c>
      <c r="B55" s="337">
        <v>46295</v>
      </c>
      <c r="C55" s="337">
        <v>46291</v>
      </c>
      <c r="D55" t="s">
        <v>125</v>
      </c>
      <c r="E55" t="s">
        <v>240</v>
      </c>
      <c r="F55">
        <v>1</v>
      </c>
      <c r="G55" t="s">
        <v>158</v>
      </c>
      <c r="H55" t="s">
        <v>163</v>
      </c>
      <c r="I55" t="s">
        <v>165</v>
      </c>
      <c r="J55" t="s">
        <v>165</v>
      </c>
      <c r="K55" t="s">
        <v>165</v>
      </c>
      <c r="L55" t="s">
        <v>163</v>
      </c>
      <c r="M55" t="s">
        <v>163</v>
      </c>
      <c r="N55">
        <v>10.8</v>
      </c>
      <c r="O55" t="s">
        <v>163</v>
      </c>
      <c r="P55" t="s">
        <v>163</v>
      </c>
      <c r="Q55" t="s">
        <v>163</v>
      </c>
      <c r="R55" t="s">
        <v>163</v>
      </c>
      <c r="S55" t="s">
        <v>163</v>
      </c>
      <c r="T55" t="s">
        <v>163</v>
      </c>
      <c r="U55" t="s">
        <v>163</v>
      </c>
      <c r="V55" t="s">
        <v>163</v>
      </c>
      <c r="W55" t="s">
        <v>165</v>
      </c>
      <c r="X55" t="s">
        <v>165</v>
      </c>
      <c r="Y55" t="s">
        <v>163</v>
      </c>
      <c r="Z55" t="s">
        <v>163</v>
      </c>
      <c r="AA55">
        <v>1</v>
      </c>
      <c r="AB55">
        <v>2</v>
      </c>
      <c r="AC55">
        <v>0</v>
      </c>
      <c r="AD55" t="s">
        <v>163</v>
      </c>
      <c r="AE55" t="s">
        <v>163</v>
      </c>
      <c r="AF55" t="s">
        <v>163</v>
      </c>
      <c r="AG55" t="s">
        <v>163</v>
      </c>
      <c r="AH55" t="s">
        <v>163</v>
      </c>
      <c r="AI55" t="s">
        <v>163</v>
      </c>
      <c r="AJ55" t="s">
        <v>163</v>
      </c>
      <c r="AK55">
        <v>3</v>
      </c>
      <c r="AL55">
        <v>4</v>
      </c>
      <c r="AM55" t="s">
        <v>163</v>
      </c>
      <c r="AN55">
        <v>1</v>
      </c>
      <c r="AO55">
        <v>1</v>
      </c>
      <c r="AP55">
        <v>2</v>
      </c>
      <c r="AQ55">
        <v>2</v>
      </c>
      <c r="AR55">
        <v>5</v>
      </c>
      <c r="AS55">
        <v>6</v>
      </c>
    </row>
    <row r="56" spans="1:45" x14ac:dyDescent="0.35">
      <c r="A56" s="337">
        <v>46266</v>
      </c>
      <c r="B56" s="337">
        <v>46295</v>
      </c>
      <c r="C56" s="337">
        <v>46291</v>
      </c>
      <c r="D56" t="s">
        <v>125</v>
      </c>
      <c r="E56" t="s">
        <v>273</v>
      </c>
      <c r="F56">
        <v>1</v>
      </c>
      <c r="G56" t="s">
        <v>158</v>
      </c>
      <c r="H56" t="s">
        <v>163</v>
      </c>
      <c r="I56" t="s">
        <v>165</v>
      </c>
      <c r="J56" t="s">
        <v>165</v>
      </c>
      <c r="K56" t="s">
        <v>165</v>
      </c>
      <c r="L56" t="s">
        <v>163</v>
      </c>
      <c r="M56" t="s">
        <v>163</v>
      </c>
      <c r="N56">
        <v>10.25</v>
      </c>
      <c r="O56" t="s">
        <v>163</v>
      </c>
      <c r="P56" t="s">
        <v>163</v>
      </c>
      <c r="Q56" t="s">
        <v>163</v>
      </c>
      <c r="R56" t="s">
        <v>163</v>
      </c>
      <c r="S56" t="s">
        <v>163</v>
      </c>
      <c r="T56" t="s">
        <v>163</v>
      </c>
      <c r="U56" t="s">
        <v>163</v>
      </c>
      <c r="V56" t="s">
        <v>163</v>
      </c>
      <c r="W56" t="s">
        <v>165</v>
      </c>
      <c r="X56" t="s">
        <v>165</v>
      </c>
      <c r="Y56" t="s">
        <v>163</v>
      </c>
      <c r="Z56" t="s">
        <v>163</v>
      </c>
      <c r="AA56">
        <v>1</v>
      </c>
      <c r="AB56">
        <v>2</v>
      </c>
      <c r="AC56">
        <v>0</v>
      </c>
      <c r="AD56" t="s">
        <v>163</v>
      </c>
      <c r="AE56" t="s">
        <v>163</v>
      </c>
      <c r="AF56" t="s">
        <v>163</v>
      </c>
      <c r="AG56" t="s">
        <v>163</v>
      </c>
      <c r="AH56" t="s">
        <v>163</v>
      </c>
      <c r="AI56" t="s">
        <v>163</v>
      </c>
      <c r="AJ56" t="s">
        <v>163</v>
      </c>
      <c r="AK56">
        <v>3</v>
      </c>
      <c r="AL56">
        <v>4</v>
      </c>
      <c r="AM56" t="s">
        <v>163</v>
      </c>
      <c r="AN56">
        <v>1</v>
      </c>
      <c r="AO56">
        <v>1</v>
      </c>
      <c r="AP56">
        <v>2</v>
      </c>
      <c r="AQ56">
        <v>2</v>
      </c>
      <c r="AR56">
        <v>5</v>
      </c>
      <c r="AS56">
        <v>6</v>
      </c>
    </row>
    <row r="57" spans="1:45" x14ac:dyDescent="0.35">
      <c r="A57" s="337">
        <v>46266</v>
      </c>
      <c r="B57" s="337">
        <v>46295</v>
      </c>
      <c r="C57" s="337">
        <v>46291</v>
      </c>
      <c r="D57" t="s">
        <v>125</v>
      </c>
      <c r="E57" t="s">
        <v>239</v>
      </c>
      <c r="F57">
        <v>1</v>
      </c>
      <c r="G57" t="s">
        <v>158</v>
      </c>
      <c r="H57" t="s">
        <v>163</v>
      </c>
      <c r="I57" t="s">
        <v>165</v>
      </c>
      <c r="J57" t="s">
        <v>165</v>
      </c>
      <c r="K57" t="s">
        <v>165</v>
      </c>
      <c r="L57" t="s">
        <v>163</v>
      </c>
      <c r="M57" t="s">
        <v>163</v>
      </c>
      <c r="N57">
        <v>10.09</v>
      </c>
      <c r="O57">
        <v>8.8699999999999992</v>
      </c>
      <c r="P57">
        <v>0.52</v>
      </c>
      <c r="Q57">
        <v>54.3</v>
      </c>
      <c r="R57" t="s">
        <v>163</v>
      </c>
      <c r="S57" t="s">
        <v>163</v>
      </c>
      <c r="T57">
        <v>24.1</v>
      </c>
      <c r="U57" t="s">
        <v>163</v>
      </c>
      <c r="V57" t="s">
        <v>163</v>
      </c>
      <c r="W57" t="s">
        <v>165</v>
      </c>
      <c r="X57" t="s">
        <v>165</v>
      </c>
      <c r="Y57">
        <v>1</v>
      </c>
      <c r="Z57" t="s">
        <v>163</v>
      </c>
      <c r="AA57">
        <v>1</v>
      </c>
      <c r="AB57">
        <v>2</v>
      </c>
      <c r="AC57">
        <v>0</v>
      </c>
      <c r="AD57">
        <v>1</v>
      </c>
      <c r="AE57">
        <v>2</v>
      </c>
      <c r="AF57">
        <v>2</v>
      </c>
      <c r="AG57" t="s">
        <v>163</v>
      </c>
      <c r="AH57" t="s">
        <v>163</v>
      </c>
      <c r="AI57">
        <v>2</v>
      </c>
      <c r="AJ57" t="s">
        <v>163</v>
      </c>
      <c r="AK57">
        <v>10</v>
      </c>
      <c r="AL57">
        <v>11</v>
      </c>
      <c r="AM57" t="s">
        <v>163</v>
      </c>
      <c r="AN57">
        <v>1</v>
      </c>
      <c r="AO57">
        <v>1</v>
      </c>
      <c r="AP57">
        <v>2</v>
      </c>
      <c r="AQ57">
        <v>2</v>
      </c>
      <c r="AR57">
        <v>12</v>
      </c>
      <c r="AS57">
        <v>13</v>
      </c>
    </row>
    <row r="58" spans="1:45" x14ac:dyDescent="0.35">
      <c r="A58" s="337">
        <v>46266</v>
      </c>
      <c r="B58" s="337">
        <v>46294</v>
      </c>
      <c r="C58" s="337">
        <v>46293</v>
      </c>
      <c r="D58" t="s">
        <v>130</v>
      </c>
      <c r="E58" s="338">
        <v>1.2083333333333333</v>
      </c>
      <c r="F58">
        <v>3</v>
      </c>
      <c r="G58" t="s">
        <v>119</v>
      </c>
      <c r="H58" t="s">
        <v>163</v>
      </c>
      <c r="I58" t="s">
        <v>165</v>
      </c>
      <c r="J58" t="s">
        <v>165</v>
      </c>
      <c r="K58" t="s">
        <v>165</v>
      </c>
      <c r="L58" t="s">
        <v>161</v>
      </c>
      <c r="M58" t="s">
        <v>161</v>
      </c>
      <c r="N58">
        <v>12.28</v>
      </c>
      <c r="O58" t="s">
        <v>163</v>
      </c>
      <c r="P58" t="s">
        <v>163</v>
      </c>
      <c r="Q58" t="s">
        <v>163</v>
      </c>
      <c r="R58" t="s">
        <v>163</v>
      </c>
      <c r="S58" t="s">
        <v>163</v>
      </c>
      <c r="T58" t="s">
        <v>163</v>
      </c>
      <c r="U58" t="s">
        <v>163</v>
      </c>
      <c r="V58" t="s">
        <v>163</v>
      </c>
      <c r="W58" t="s">
        <v>165</v>
      </c>
      <c r="X58" t="s">
        <v>165</v>
      </c>
      <c r="Y58" t="s">
        <v>163</v>
      </c>
      <c r="Z58" t="s">
        <v>163</v>
      </c>
      <c r="AA58">
        <v>1</v>
      </c>
      <c r="AB58">
        <v>2</v>
      </c>
      <c r="AC58">
        <v>1</v>
      </c>
      <c r="AD58" t="s">
        <v>163</v>
      </c>
      <c r="AE58" t="s">
        <v>163</v>
      </c>
      <c r="AF58" t="s">
        <v>163</v>
      </c>
      <c r="AG58" t="s">
        <v>163</v>
      </c>
      <c r="AH58" t="s">
        <v>163</v>
      </c>
      <c r="AI58" t="s">
        <v>163</v>
      </c>
      <c r="AJ58" t="s">
        <v>163</v>
      </c>
      <c r="AK58">
        <v>4</v>
      </c>
      <c r="AL58">
        <v>4</v>
      </c>
      <c r="AM58" t="s">
        <v>163</v>
      </c>
      <c r="AN58">
        <v>1</v>
      </c>
      <c r="AO58">
        <v>1</v>
      </c>
      <c r="AP58">
        <v>2</v>
      </c>
      <c r="AQ58">
        <v>2</v>
      </c>
      <c r="AR58">
        <v>6</v>
      </c>
      <c r="AS58">
        <v>6</v>
      </c>
    </row>
    <row r="59" spans="1:45" x14ac:dyDescent="0.35">
      <c r="A59" s="337">
        <v>46266</v>
      </c>
      <c r="B59" s="337">
        <v>46294</v>
      </c>
      <c r="C59" s="337">
        <v>46293</v>
      </c>
      <c r="D59" t="s">
        <v>130</v>
      </c>
      <c r="E59" s="338">
        <v>1.1666666666666667</v>
      </c>
      <c r="F59">
        <v>3</v>
      </c>
      <c r="G59" t="s">
        <v>119</v>
      </c>
      <c r="H59">
        <v>0.01</v>
      </c>
      <c r="I59" t="s">
        <v>165</v>
      </c>
      <c r="J59" t="s">
        <v>165</v>
      </c>
      <c r="K59" t="s">
        <v>165</v>
      </c>
      <c r="L59" t="s">
        <v>161</v>
      </c>
      <c r="M59" t="s">
        <v>161</v>
      </c>
      <c r="N59">
        <v>11.83</v>
      </c>
      <c r="O59" t="s">
        <v>163</v>
      </c>
      <c r="P59" t="s">
        <v>163</v>
      </c>
      <c r="Q59" t="s">
        <v>163</v>
      </c>
      <c r="R59" t="s">
        <v>163</v>
      </c>
      <c r="S59" t="s">
        <v>163</v>
      </c>
      <c r="T59" t="s">
        <v>163</v>
      </c>
      <c r="U59" t="s">
        <v>163</v>
      </c>
      <c r="V59" t="s">
        <v>163</v>
      </c>
      <c r="W59" t="s">
        <v>165</v>
      </c>
      <c r="X59" t="s">
        <v>165</v>
      </c>
      <c r="Y59" t="s">
        <v>163</v>
      </c>
      <c r="Z59">
        <v>2</v>
      </c>
      <c r="AA59">
        <v>1</v>
      </c>
      <c r="AB59">
        <v>2</v>
      </c>
      <c r="AC59">
        <v>0</v>
      </c>
      <c r="AD59" t="s">
        <v>163</v>
      </c>
      <c r="AE59" t="s">
        <v>163</v>
      </c>
      <c r="AF59" t="s">
        <v>163</v>
      </c>
      <c r="AG59" t="s">
        <v>163</v>
      </c>
      <c r="AH59" t="s">
        <v>163</v>
      </c>
      <c r="AI59" t="s">
        <v>163</v>
      </c>
      <c r="AJ59" t="s">
        <v>163</v>
      </c>
      <c r="AK59">
        <v>5</v>
      </c>
      <c r="AL59">
        <v>6</v>
      </c>
      <c r="AM59" t="s">
        <v>163</v>
      </c>
      <c r="AN59">
        <v>1</v>
      </c>
      <c r="AO59">
        <v>1</v>
      </c>
      <c r="AP59">
        <v>2</v>
      </c>
      <c r="AQ59">
        <v>2</v>
      </c>
      <c r="AR59">
        <v>7</v>
      </c>
      <c r="AS59">
        <v>8</v>
      </c>
    </row>
    <row r="60" spans="1:45" x14ac:dyDescent="0.35">
      <c r="A60" s="337">
        <v>46266</v>
      </c>
      <c r="B60" s="337">
        <v>46294</v>
      </c>
      <c r="C60" s="337">
        <v>46293</v>
      </c>
      <c r="D60" t="s">
        <v>130</v>
      </c>
      <c r="E60" s="338">
        <v>1.125</v>
      </c>
      <c r="F60">
        <v>3</v>
      </c>
      <c r="G60" t="s">
        <v>119</v>
      </c>
      <c r="H60">
        <v>0.02</v>
      </c>
      <c r="I60" t="s">
        <v>165</v>
      </c>
      <c r="J60" t="s">
        <v>165</v>
      </c>
      <c r="K60" t="s">
        <v>165</v>
      </c>
      <c r="L60" t="s">
        <v>161</v>
      </c>
      <c r="M60" t="s">
        <v>161</v>
      </c>
      <c r="N60">
        <v>12.11</v>
      </c>
      <c r="O60" t="s">
        <v>163</v>
      </c>
      <c r="P60" t="s">
        <v>163</v>
      </c>
      <c r="Q60" t="s">
        <v>163</v>
      </c>
      <c r="R60" t="s">
        <v>163</v>
      </c>
      <c r="S60" t="s">
        <v>163</v>
      </c>
      <c r="T60" t="s">
        <v>163</v>
      </c>
      <c r="U60" t="s">
        <v>163</v>
      </c>
      <c r="V60" t="s">
        <v>163</v>
      </c>
      <c r="W60" t="s">
        <v>165</v>
      </c>
      <c r="X60" t="s">
        <v>165</v>
      </c>
      <c r="Y60" t="s">
        <v>163</v>
      </c>
      <c r="Z60">
        <v>2</v>
      </c>
      <c r="AA60">
        <v>1</v>
      </c>
      <c r="AB60">
        <v>2</v>
      </c>
      <c r="AC60">
        <v>1</v>
      </c>
      <c r="AD60" t="s">
        <v>163</v>
      </c>
      <c r="AE60" t="s">
        <v>163</v>
      </c>
      <c r="AF60" t="s">
        <v>163</v>
      </c>
      <c r="AG60" t="s">
        <v>163</v>
      </c>
      <c r="AH60" t="s">
        <v>163</v>
      </c>
      <c r="AI60" t="s">
        <v>163</v>
      </c>
      <c r="AJ60" t="s">
        <v>163</v>
      </c>
      <c r="AK60">
        <v>6</v>
      </c>
      <c r="AL60">
        <v>6</v>
      </c>
      <c r="AM60" t="s">
        <v>163</v>
      </c>
      <c r="AN60">
        <v>1</v>
      </c>
      <c r="AO60">
        <v>1</v>
      </c>
      <c r="AP60">
        <v>2</v>
      </c>
      <c r="AQ60">
        <v>2</v>
      </c>
      <c r="AR60">
        <v>8</v>
      </c>
      <c r="AS60">
        <v>8</v>
      </c>
    </row>
    <row r="61" spans="1:45" x14ac:dyDescent="0.35">
      <c r="A61" s="337">
        <v>46266</v>
      </c>
      <c r="B61" s="337">
        <v>46294</v>
      </c>
      <c r="C61" s="337">
        <v>46293</v>
      </c>
      <c r="D61" t="s">
        <v>130</v>
      </c>
      <c r="E61" s="338">
        <v>1.0833333333333333</v>
      </c>
      <c r="F61">
        <v>3</v>
      </c>
      <c r="G61" t="s">
        <v>119</v>
      </c>
      <c r="H61">
        <v>0.02</v>
      </c>
      <c r="I61" t="s">
        <v>165</v>
      </c>
      <c r="J61" t="s">
        <v>165</v>
      </c>
      <c r="K61" t="s">
        <v>165</v>
      </c>
      <c r="L61" t="s">
        <v>161</v>
      </c>
      <c r="M61" t="s">
        <v>161</v>
      </c>
      <c r="N61">
        <v>12.23</v>
      </c>
      <c r="O61" t="s">
        <v>163</v>
      </c>
      <c r="P61" t="s">
        <v>163</v>
      </c>
      <c r="Q61" t="s">
        <v>163</v>
      </c>
      <c r="R61" t="s">
        <v>163</v>
      </c>
      <c r="S61" t="s">
        <v>163</v>
      </c>
      <c r="T61" t="s">
        <v>163</v>
      </c>
      <c r="U61" t="s">
        <v>163</v>
      </c>
      <c r="V61" t="s">
        <v>163</v>
      </c>
      <c r="W61" t="s">
        <v>165</v>
      </c>
      <c r="X61" t="s">
        <v>165</v>
      </c>
      <c r="Y61" t="s">
        <v>163</v>
      </c>
      <c r="Z61">
        <v>2</v>
      </c>
      <c r="AA61">
        <v>1</v>
      </c>
      <c r="AB61">
        <v>2</v>
      </c>
      <c r="AC61">
        <v>1</v>
      </c>
      <c r="AD61" t="s">
        <v>163</v>
      </c>
      <c r="AE61" t="s">
        <v>163</v>
      </c>
      <c r="AF61" t="s">
        <v>163</v>
      </c>
      <c r="AG61" t="s">
        <v>163</v>
      </c>
      <c r="AH61" t="s">
        <v>163</v>
      </c>
      <c r="AI61" t="s">
        <v>163</v>
      </c>
      <c r="AJ61" t="s">
        <v>163</v>
      </c>
      <c r="AK61">
        <v>6</v>
      </c>
      <c r="AL61">
        <v>6</v>
      </c>
      <c r="AM61" t="s">
        <v>163</v>
      </c>
      <c r="AN61">
        <v>1</v>
      </c>
      <c r="AO61">
        <v>1</v>
      </c>
      <c r="AP61">
        <v>2</v>
      </c>
      <c r="AQ61">
        <v>2</v>
      </c>
      <c r="AR61">
        <v>8</v>
      </c>
      <c r="AS61">
        <v>8</v>
      </c>
    </row>
    <row r="62" spans="1:45" x14ac:dyDescent="0.35">
      <c r="A62" s="337">
        <v>46266</v>
      </c>
      <c r="B62" s="337">
        <v>46294</v>
      </c>
      <c r="C62" s="337">
        <v>46294</v>
      </c>
      <c r="D62" t="s">
        <v>130</v>
      </c>
      <c r="E62" s="338">
        <v>1.0416666666666667</v>
      </c>
      <c r="F62">
        <v>3</v>
      </c>
      <c r="G62" t="s">
        <v>119</v>
      </c>
      <c r="H62">
        <v>0.01</v>
      </c>
      <c r="I62" t="s">
        <v>165</v>
      </c>
      <c r="J62" t="s">
        <v>165</v>
      </c>
      <c r="K62" t="s">
        <v>165</v>
      </c>
      <c r="L62" t="s">
        <v>161</v>
      </c>
      <c r="M62" t="s">
        <v>161</v>
      </c>
      <c r="N62">
        <v>12.23</v>
      </c>
      <c r="O62">
        <v>12.72</v>
      </c>
      <c r="P62">
        <v>0.55000000000000004</v>
      </c>
      <c r="Q62">
        <v>64.599999999999994</v>
      </c>
      <c r="R62" t="s">
        <v>163</v>
      </c>
      <c r="S62" t="s">
        <v>163</v>
      </c>
      <c r="T62">
        <v>64.599999999999994</v>
      </c>
      <c r="U62" t="s">
        <v>163</v>
      </c>
      <c r="V62">
        <v>25.21</v>
      </c>
      <c r="W62" t="s">
        <v>165</v>
      </c>
      <c r="X62" t="s">
        <v>165</v>
      </c>
      <c r="Y62" t="s">
        <v>163</v>
      </c>
      <c r="Z62">
        <v>2</v>
      </c>
      <c r="AA62">
        <v>1</v>
      </c>
      <c r="AB62">
        <v>2</v>
      </c>
      <c r="AC62">
        <v>1</v>
      </c>
      <c r="AD62">
        <v>1</v>
      </c>
      <c r="AE62">
        <v>2</v>
      </c>
      <c r="AF62">
        <v>2</v>
      </c>
      <c r="AG62" t="s">
        <v>163</v>
      </c>
      <c r="AH62" t="s">
        <v>163</v>
      </c>
      <c r="AI62">
        <v>2</v>
      </c>
      <c r="AJ62" t="s">
        <v>163</v>
      </c>
      <c r="AK62">
        <v>13</v>
      </c>
      <c r="AL62">
        <v>13</v>
      </c>
      <c r="AM62">
        <v>1</v>
      </c>
      <c r="AN62">
        <v>1</v>
      </c>
      <c r="AO62">
        <v>1</v>
      </c>
      <c r="AP62">
        <v>3</v>
      </c>
      <c r="AQ62">
        <v>3</v>
      </c>
      <c r="AR62">
        <v>16</v>
      </c>
      <c r="AS62">
        <v>16</v>
      </c>
    </row>
    <row r="63" spans="1:45" x14ac:dyDescent="0.35">
      <c r="A63" s="337">
        <v>46266</v>
      </c>
      <c r="B63" s="337">
        <v>46294</v>
      </c>
      <c r="C63" s="337">
        <v>46293</v>
      </c>
      <c r="D63" t="s">
        <v>130</v>
      </c>
      <c r="E63" s="339">
        <v>0.95833333333333337</v>
      </c>
      <c r="F63">
        <v>3</v>
      </c>
      <c r="G63" t="s">
        <v>119</v>
      </c>
      <c r="H63">
        <v>0.01</v>
      </c>
      <c r="I63" t="s">
        <v>165</v>
      </c>
      <c r="J63" t="s">
        <v>165</v>
      </c>
      <c r="K63" t="s">
        <v>165</v>
      </c>
      <c r="L63" t="s">
        <v>161</v>
      </c>
      <c r="M63" t="s">
        <v>161</v>
      </c>
      <c r="N63">
        <v>11.81</v>
      </c>
      <c r="O63" t="s">
        <v>163</v>
      </c>
      <c r="P63" t="s">
        <v>163</v>
      </c>
      <c r="Q63" t="s">
        <v>163</v>
      </c>
      <c r="R63" t="s">
        <v>163</v>
      </c>
      <c r="S63" t="s">
        <v>163</v>
      </c>
      <c r="T63" t="s">
        <v>163</v>
      </c>
      <c r="U63" t="s">
        <v>163</v>
      </c>
      <c r="V63" t="s">
        <v>163</v>
      </c>
      <c r="W63" t="s">
        <v>165</v>
      </c>
      <c r="X63" t="s">
        <v>165</v>
      </c>
      <c r="Y63" t="s">
        <v>163</v>
      </c>
      <c r="Z63">
        <v>2</v>
      </c>
      <c r="AA63">
        <v>1</v>
      </c>
      <c r="AB63">
        <v>2</v>
      </c>
      <c r="AC63">
        <v>0</v>
      </c>
      <c r="AD63" t="s">
        <v>163</v>
      </c>
      <c r="AE63" t="s">
        <v>163</v>
      </c>
      <c r="AF63" t="s">
        <v>163</v>
      </c>
      <c r="AG63" t="s">
        <v>163</v>
      </c>
      <c r="AH63" t="s">
        <v>163</v>
      </c>
      <c r="AI63" t="s">
        <v>163</v>
      </c>
      <c r="AJ63" t="s">
        <v>163</v>
      </c>
      <c r="AK63">
        <v>5</v>
      </c>
      <c r="AL63">
        <v>6</v>
      </c>
      <c r="AM63" t="s">
        <v>163</v>
      </c>
      <c r="AN63">
        <v>1</v>
      </c>
      <c r="AO63">
        <v>1</v>
      </c>
      <c r="AP63">
        <v>2</v>
      </c>
      <c r="AQ63">
        <v>2</v>
      </c>
      <c r="AR63">
        <v>7</v>
      </c>
      <c r="AS63">
        <v>8</v>
      </c>
    </row>
    <row r="64" spans="1:45" x14ac:dyDescent="0.35">
      <c r="A64" s="337">
        <v>46266</v>
      </c>
      <c r="B64" s="337">
        <v>46294</v>
      </c>
      <c r="C64" s="337">
        <v>46293</v>
      </c>
      <c r="D64" t="s">
        <v>130</v>
      </c>
      <c r="E64" s="339">
        <v>0.91666666666666663</v>
      </c>
      <c r="F64">
        <v>3</v>
      </c>
      <c r="G64" t="s">
        <v>119</v>
      </c>
      <c r="H64">
        <v>0.02</v>
      </c>
      <c r="I64" t="s">
        <v>165</v>
      </c>
      <c r="J64" t="s">
        <v>165</v>
      </c>
      <c r="K64" t="s">
        <v>165</v>
      </c>
      <c r="L64" t="s">
        <v>161</v>
      </c>
      <c r="M64" t="s">
        <v>161</v>
      </c>
      <c r="N64">
        <v>11.87</v>
      </c>
      <c r="O64">
        <v>12.79</v>
      </c>
      <c r="P64">
        <v>0.55000000000000004</v>
      </c>
      <c r="Q64" t="s">
        <v>163</v>
      </c>
      <c r="R64" t="s">
        <v>163</v>
      </c>
      <c r="S64" t="s">
        <v>163</v>
      </c>
      <c r="T64">
        <v>35.9</v>
      </c>
      <c r="U64" t="s">
        <v>163</v>
      </c>
      <c r="V64">
        <v>25.21</v>
      </c>
      <c r="W64" t="s">
        <v>165</v>
      </c>
      <c r="X64" t="s">
        <v>165</v>
      </c>
      <c r="Y64" t="s">
        <v>163</v>
      </c>
      <c r="Z64">
        <v>2</v>
      </c>
      <c r="AA64">
        <v>1</v>
      </c>
      <c r="AB64">
        <v>2</v>
      </c>
      <c r="AC64">
        <v>0</v>
      </c>
      <c r="AD64">
        <v>1</v>
      </c>
      <c r="AE64">
        <v>2</v>
      </c>
      <c r="AF64" t="s">
        <v>163</v>
      </c>
      <c r="AG64" t="s">
        <v>163</v>
      </c>
      <c r="AH64" t="s">
        <v>163</v>
      </c>
      <c r="AI64">
        <v>2</v>
      </c>
      <c r="AJ64" t="s">
        <v>163</v>
      </c>
      <c r="AK64">
        <v>10</v>
      </c>
      <c r="AL64">
        <v>11</v>
      </c>
      <c r="AM64">
        <v>1</v>
      </c>
      <c r="AN64">
        <v>1</v>
      </c>
      <c r="AO64">
        <v>1</v>
      </c>
      <c r="AP64">
        <v>3</v>
      </c>
      <c r="AQ64">
        <v>3</v>
      </c>
      <c r="AR64">
        <v>13</v>
      </c>
      <c r="AS64">
        <v>14</v>
      </c>
    </row>
    <row r="65" spans="1:45" x14ac:dyDescent="0.35">
      <c r="A65" s="337">
        <v>46266</v>
      </c>
      <c r="B65" s="337">
        <v>46294</v>
      </c>
      <c r="C65" s="339">
        <v>0</v>
      </c>
      <c r="D65" t="s">
        <v>130</v>
      </c>
      <c r="E65" s="338">
        <v>1.1666666666666667</v>
      </c>
      <c r="F65">
        <v>2</v>
      </c>
      <c r="G65" t="s">
        <v>39</v>
      </c>
      <c r="H65" t="s">
        <v>163</v>
      </c>
      <c r="I65" t="s">
        <v>165</v>
      </c>
      <c r="J65" t="s">
        <v>165</v>
      </c>
      <c r="K65" t="s">
        <v>165</v>
      </c>
      <c r="L65" t="s">
        <v>163</v>
      </c>
      <c r="M65" t="s">
        <v>161</v>
      </c>
      <c r="N65">
        <v>10.42</v>
      </c>
      <c r="O65" t="s">
        <v>163</v>
      </c>
      <c r="P65" t="s">
        <v>163</v>
      </c>
      <c r="Q65" t="s">
        <v>163</v>
      </c>
      <c r="R65" t="s">
        <v>163</v>
      </c>
      <c r="S65" t="s">
        <v>163</v>
      </c>
      <c r="T65" t="s">
        <v>163</v>
      </c>
      <c r="U65" t="s">
        <v>163</v>
      </c>
      <c r="V65" t="s">
        <v>163</v>
      </c>
      <c r="W65" t="s">
        <v>165</v>
      </c>
      <c r="X65" t="s">
        <v>165</v>
      </c>
      <c r="Y65" t="s">
        <v>163</v>
      </c>
      <c r="Z65" t="s">
        <v>163</v>
      </c>
      <c r="AA65">
        <v>1</v>
      </c>
      <c r="AB65">
        <v>2</v>
      </c>
      <c r="AC65">
        <v>0</v>
      </c>
      <c r="AD65" t="s">
        <v>163</v>
      </c>
      <c r="AE65" t="s">
        <v>163</v>
      </c>
      <c r="AF65" t="s">
        <v>163</v>
      </c>
      <c r="AG65" t="s">
        <v>163</v>
      </c>
      <c r="AH65" t="s">
        <v>163</v>
      </c>
      <c r="AI65" t="s">
        <v>163</v>
      </c>
      <c r="AJ65" t="s">
        <v>163</v>
      </c>
      <c r="AK65">
        <v>3</v>
      </c>
      <c r="AL65">
        <v>4</v>
      </c>
      <c r="AM65" t="s">
        <v>163</v>
      </c>
      <c r="AN65">
        <v>1</v>
      </c>
      <c r="AO65">
        <v>1</v>
      </c>
      <c r="AP65">
        <v>2</v>
      </c>
      <c r="AQ65">
        <v>2</v>
      </c>
      <c r="AR65">
        <v>5</v>
      </c>
      <c r="AS65">
        <v>6</v>
      </c>
    </row>
    <row r="66" spans="1:45" x14ac:dyDescent="0.35">
      <c r="A66" s="337">
        <v>46266</v>
      </c>
      <c r="B66" s="337">
        <v>46294</v>
      </c>
      <c r="C66" s="339">
        <v>0</v>
      </c>
      <c r="D66" t="s">
        <v>130</v>
      </c>
      <c r="E66" s="338">
        <v>1.125</v>
      </c>
      <c r="F66">
        <v>2</v>
      </c>
      <c r="G66" t="s">
        <v>39</v>
      </c>
      <c r="H66" t="s">
        <v>163</v>
      </c>
      <c r="I66" t="s">
        <v>165</v>
      </c>
      <c r="J66" t="s">
        <v>165</v>
      </c>
      <c r="K66" t="s">
        <v>165</v>
      </c>
      <c r="L66" t="s">
        <v>163</v>
      </c>
      <c r="M66" t="s">
        <v>161</v>
      </c>
      <c r="N66">
        <v>10.59</v>
      </c>
      <c r="O66" t="s">
        <v>163</v>
      </c>
      <c r="P66" t="s">
        <v>163</v>
      </c>
      <c r="Q66" t="s">
        <v>163</v>
      </c>
      <c r="R66" t="s">
        <v>163</v>
      </c>
      <c r="S66" t="s">
        <v>163</v>
      </c>
      <c r="T66" t="s">
        <v>163</v>
      </c>
      <c r="U66" t="s">
        <v>163</v>
      </c>
      <c r="V66" t="s">
        <v>163</v>
      </c>
      <c r="W66" t="s">
        <v>165</v>
      </c>
      <c r="X66" t="s">
        <v>165</v>
      </c>
      <c r="Y66" t="s">
        <v>163</v>
      </c>
      <c r="Z66" t="s">
        <v>163</v>
      </c>
      <c r="AA66">
        <v>1</v>
      </c>
      <c r="AB66">
        <v>2</v>
      </c>
      <c r="AC66">
        <v>0</v>
      </c>
      <c r="AD66" t="s">
        <v>163</v>
      </c>
      <c r="AE66" t="s">
        <v>163</v>
      </c>
      <c r="AF66" t="s">
        <v>163</v>
      </c>
      <c r="AG66" t="s">
        <v>163</v>
      </c>
      <c r="AH66" t="s">
        <v>163</v>
      </c>
      <c r="AI66" t="s">
        <v>163</v>
      </c>
      <c r="AJ66" t="s">
        <v>163</v>
      </c>
      <c r="AK66">
        <v>3</v>
      </c>
      <c r="AL66">
        <v>4</v>
      </c>
      <c r="AM66" t="s">
        <v>163</v>
      </c>
      <c r="AN66">
        <v>1</v>
      </c>
      <c r="AO66">
        <v>1</v>
      </c>
      <c r="AP66">
        <v>2</v>
      </c>
      <c r="AQ66">
        <v>2</v>
      </c>
      <c r="AR66">
        <v>5</v>
      </c>
      <c r="AS66">
        <v>6</v>
      </c>
    </row>
    <row r="67" spans="1:45" x14ac:dyDescent="0.35">
      <c r="A67" s="337">
        <v>46266</v>
      </c>
      <c r="B67" s="337">
        <v>46294</v>
      </c>
      <c r="C67" s="339">
        <v>0</v>
      </c>
      <c r="D67" t="s">
        <v>130</v>
      </c>
      <c r="E67" s="338">
        <v>1.0833333333333333</v>
      </c>
      <c r="F67">
        <v>2</v>
      </c>
      <c r="G67" t="s">
        <v>39</v>
      </c>
      <c r="H67" t="s">
        <v>163</v>
      </c>
      <c r="I67" t="s">
        <v>165</v>
      </c>
      <c r="J67" t="s">
        <v>165</v>
      </c>
      <c r="K67" t="s">
        <v>165</v>
      </c>
      <c r="L67" t="s">
        <v>163</v>
      </c>
      <c r="M67" t="s">
        <v>161</v>
      </c>
      <c r="N67">
        <v>10.5</v>
      </c>
      <c r="O67" t="s">
        <v>163</v>
      </c>
      <c r="P67" t="s">
        <v>163</v>
      </c>
      <c r="Q67" t="s">
        <v>163</v>
      </c>
      <c r="R67" t="s">
        <v>163</v>
      </c>
      <c r="S67" t="s">
        <v>163</v>
      </c>
      <c r="T67" t="s">
        <v>163</v>
      </c>
      <c r="U67" t="s">
        <v>163</v>
      </c>
      <c r="V67" t="s">
        <v>163</v>
      </c>
      <c r="W67" t="s">
        <v>165</v>
      </c>
      <c r="X67" t="s">
        <v>165</v>
      </c>
      <c r="Y67" t="s">
        <v>163</v>
      </c>
      <c r="Z67" t="s">
        <v>163</v>
      </c>
      <c r="AA67">
        <v>1</v>
      </c>
      <c r="AB67">
        <v>2</v>
      </c>
      <c r="AC67">
        <v>0</v>
      </c>
      <c r="AD67" t="s">
        <v>163</v>
      </c>
      <c r="AE67" t="s">
        <v>163</v>
      </c>
      <c r="AF67" t="s">
        <v>163</v>
      </c>
      <c r="AG67" t="s">
        <v>163</v>
      </c>
      <c r="AH67" t="s">
        <v>163</v>
      </c>
      <c r="AI67" t="s">
        <v>163</v>
      </c>
      <c r="AJ67" t="s">
        <v>163</v>
      </c>
      <c r="AK67">
        <v>3</v>
      </c>
      <c r="AL67">
        <v>4</v>
      </c>
      <c r="AM67" t="s">
        <v>163</v>
      </c>
      <c r="AN67">
        <v>1</v>
      </c>
      <c r="AO67">
        <v>1</v>
      </c>
      <c r="AP67">
        <v>2</v>
      </c>
      <c r="AQ67">
        <v>2</v>
      </c>
      <c r="AR67">
        <v>5</v>
      </c>
      <c r="AS67">
        <v>6</v>
      </c>
    </row>
    <row r="68" spans="1:45" x14ac:dyDescent="0.35">
      <c r="A68" s="337">
        <v>46266</v>
      </c>
      <c r="B68" s="337">
        <v>46294</v>
      </c>
      <c r="C68" s="339">
        <v>0</v>
      </c>
      <c r="D68" t="s">
        <v>130</v>
      </c>
      <c r="E68" s="337">
        <v>1</v>
      </c>
      <c r="F68">
        <v>2</v>
      </c>
      <c r="G68" t="s">
        <v>39</v>
      </c>
      <c r="H68" t="s">
        <v>163</v>
      </c>
      <c r="I68" t="s">
        <v>165</v>
      </c>
      <c r="J68" t="s">
        <v>165</v>
      </c>
      <c r="K68" t="s">
        <v>165</v>
      </c>
      <c r="L68" t="s">
        <v>163</v>
      </c>
      <c r="M68" t="s">
        <v>161</v>
      </c>
      <c r="N68">
        <v>10.54</v>
      </c>
      <c r="O68" t="s">
        <v>163</v>
      </c>
      <c r="P68" t="s">
        <v>163</v>
      </c>
      <c r="Q68" t="s">
        <v>163</v>
      </c>
      <c r="R68" t="s">
        <v>163</v>
      </c>
      <c r="S68" t="s">
        <v>163</v>
      </c>
      <c r="T68" t="s">
        <v>163</v>
      </c>
      <c r="U68" t="s">
        <v>163</v>
      </c>
      <c r="V68" t="s">
        <v>163</v>
      </c>
      <c r="W68" t="s">
        <v>165</v>
      </c>
      <c r="X68" t="s">
        <v>165</v>
      </c>
      <c r="Y68" t="s">
        <v>163</v>
      </c>
      <c r="Z68" t="s">
        <v>163</v>
      </c>
      <c r="AA68">
        <v>1</v>
      </c>
      <c r="AB68">
        <v>2</v>
      </c>
      <c r="AC68">
        <v>0</v>
      </c>
      <c r="AD68" t="s">
        <v>163</v>
      </c>
      <c r="AE68" t="s">
        <v>163</v>
      </c>
      <c r="AF68" t="s">
        <v>163</v>
      </c>
      <c r="AG68" t="s">
        <v>163</v>
      </c>
      <c r="AH68" t="s">
        <v>163</v>
      </c>
      <c r="AI68" t="s">
        <v>163</v>
      </c>
      <c r="AJ68" t="s">
        <v>163</v>
      </c>
      <c r="AK68">
        <v>3</v>
      </c>
      <c r="AL68">
        <v>4</v>
      </c>
      <c r="AM68" t="s">
        <v>163</v>
      </c>
      <c r="AN68">
        <v>1</v>
      </c>
      <c r="AO68">
        <v>1</v>
      </c>
      <c r="AP68">
        <v>2</v>
      </c>
      <c r="AQ68">
        <v>2</v>
      </c>
      <c r="AR68">
        <v>5</v>
      </c>
      <c r="AS68">
        <v>6</v>
      </c>
    </row>
    <row r="69" spans="1:45" x14ac:dyDescent="0.35">
      <c r="A69" s="337">
        <v>46266</v>
      </c>
      <c r="B69" s="337">
        <v>46294</v>
      </c>
      <c r="C69" s="339">
        <v>0</v>
      </c>
      <c r="D69" t="s">
        <v>130</v>
      </c>
      <c r="E69" s="339">
        <v>0.95833333333333337</v>
      </c>
      <c r="F69">
        <v>2</v>
      </c>
      <c r="G69" t="s">
        <v>39</v>
      </c>
      <c r="H69" t="s">
        <v>163</v>
      </c>
      <c r="I69" t="s">
        <v>165</v>
      </c>
      <c r="J69" t="s">
        <v>165</v>
      </c>
      <c r="K69" t="s">
        <v>165</v>
      </c>
      <c r="L69" t="s">
        <v>163</v>
      </c>
      <c r="M69" t="s">
        <v>161</v>
      </c>
      <c r="N69">
        <v>10.45</v>
      </c>
      <c r="O69" t="s">
        <v>163</v>
      </c>
      <c r="P69" t="s">
        <v>163</v>
      </c>
      <c r="Q69" t="s">
        <v>163</v>
      </c>
      <c r="R69" t="s">
        <v>163</v>
      </c>
      <c r="S69" t="s">
        <v>163</v>
      </c>
      <c r="T69" t="s">
        <v>163</v>
      </c>
      <c r="U69" t="s">
        <v>163</v>
      </c>
      <c r="V69" t="s">
        <v>163</v>
      </c>
      <c r="W69" t="s">
        <v>165</v>
      </c>
      <c r="X69" t="s">
        <v>165</v>
      </c>
      <c r="Y69" t="s">
        <v>163</v>
      </c>
      <c r="Z69" t="s">
        <v>163</v>
      </c>
      <c r="AA69">
        <v>1</v>
      </c>
      <c r="AB69">
        <v>2</v>
      </c>
      <c r="AC69">
        <v>0</v>
      </c>
      <c r="AD69" t="s">
        <v>163</v>
      </c>
      <c r="AE69" t="s">
        <v>163</v>
      </c>
      <c r="AF69" t="s">
        <v>163</v>
      </c>
      <c r="AG69" t="s">
        <v>163</v>
      </c>
      <c r="AH69" t="s">
        <v>163</v>
      </c>
      <c r="AI69" t="s">
        <v>163</v>
      </c>
      <c r="AJ69" t="s">
        <v>163</v>
      </c>
      <c r="AK69">
        <v>3</v>
      </c>
      <c r="AL69">
        <v>4</v>
      </c>
      <c r="AM69" t="s">
        <v>163</v>
      </c>
      <c r="AN69">
        <v>1</v>
      </c>
      <c r="AO69">
        <v>1</v>
      </c>
      <c r="AP69">
        <v>2</v>
      </c>
      <c r="AQ69">
        <v>2</v>
      </c>
      <c r="AR69">
        <v>5</v>
      </c>
      <c r="AS69">
        <v>6</v>
      </c>
    </row>
    <row r="70" spans="1:45" x14ac:dyDescent="0.35">
      <c r="A70" s="337">
        <v>46266</v>
      </c>
      <c r="B70" s="337">
        <v>46294</v>
      </c>
      <c r="C70" s="339">
        <v>0</v>
      </c>
      <c r="D70" t="s">
        <v>130</v>
      </c>
      <c r="E70" s="339">
        <v>0.91666666666666663</v>
      </c>
      <c r="F70">
        <v>2</v>
      </c>
      <c r="G70" t="s">
        <v>39</v>
      </c>
      <c r="H70" t="s">
        <v>163</v>
      </c>
      <c r="I70" t="s">
        <v>165</v>
      </c>
      <c r="J70" t="s">
        <v>165</v>
      </c>
      <c r="K70" t="s">
        <v>165</v>
      </c>
      <c r="L70" t="s">
        <v>163</v>
      </c>
      <c r="M70" t="s">
        <v>161</v>
      </c>
      <c r="N70">
        <v>10.41</v>
      </c>
      <c r="O70" t="s">
        <v>163</v>
      </c>
      <c r="P70" t="s">
        <v>163</v>
      </c>
      <c r="Q70" t="s">
        <v>163</v>
      </c>
      <c r="R70" t="s">
        <v>163</v>
      </c>
      <c r="S70" t="s">
        <v>163</v>
      </c>
      <c r="T70" t="s">
        <v>163</v>
      </c>
      <c r="U70" t="s">
        <v>163</v>
      </c>
      <c r="V70">
        <v>25.2</v>
      </c>
      <c r="W70" t="s">
        <v>165</v>
      </c>
      <c r="X70" t="s">
        <v>165</v>
      </c>
      <c r="Y70" t="s">
        <v>163</v>
      </c>
      <c r="Z70" t="s">
        <v>163</v>
      </c>
      <c r="AA70">
        <v>1</v>
      </c>
      <c r="AB70">
        <v>2</v>
      </c>
      <c r="AC70">
        <v>0</v>
      </c>
      <c r="AD70" t="s">
        <v>163</v>
      </c>
      <c r="AE70" t="s">
        <v>163</v>
      </c>
      <c r="AF70" t="s">
        <v>163</v>
      </c>
      <c r="AG70" t="s">
        <v>163</v>
      </c>
      <c r="AH70" t="s">
        <v>163</v>
      </c>
      <c r="AI70" t="s">
        <v>163</v>
      </c>
      <c r="AJ70" t="s">
        <v>163</v>
      </c>
      <c r="AK70">
        <v>3</v>
      </c>
      <c r="AL70">
        <v>4</v>
      </c>
      <c r="AM70">
        <v>1</v>
      </c>
      <c r="AN70">
        <v>1</v>
      </c>
      <c r="AO70">
        <v>1</v>
      </c>
      <c r="AP70">
        <v>3</v>
      </c>
      <c r="AQ70">
        <v>3</v>
      </c>
      <c r="AR70">
        <v>6</v>
      </c>
      <c r="AS70">
        <v>7</v>
      </c>
    </row>
    <row r="71" spans="1:45" x14ac:dyDescent="0.35">
      <c r="A71" s="337">
        <v>46266</v>
      </c>
      <c r="B71" s="337">
        <v>46294</v>
      </c>
      <c r="C71" s="337">
        <v>46291</v>
      </c>
      <c r="D71" t="s">
        <v>130</v>
      </c>
      <c r="E71" s="338">
        <v>1.1666666666666667</v>
      </c>
      <c r="F71">
        <v>1</v>
      </c>
      <c r="G71" t="s">
        <v>158</v>
      </c>
      <c r="H71" t="s">
        <v>163</v>
      </c>
      <c r="I71" t="s">
        <v>165</v>
      </c>
      <c r="J71" t="s">
        <v>165</v>
      </c>
      <c r="K71" t="s">
        <v>165</v>
      </c>
      <c r="L71" t="s">
        <v>163</v>
      </c>
      <c r="M71" t="s">
        <v>163</v>
      </c>
      <c r="N71">
        <v>10.5</v>
      </c>
      <c r="O71" t="s">
        <v>163</v>
      </c>
      <c r="P71" t="s">
        <v>163</v>
      </c>
      <c r="Q71" t="s">
        <v>163</v>
      </c>
      <c r="R71" t="s">
        <v>163</v>
      </c>
      <c r="S71" t="s">
        <v>163</v>
      </c>
      <c r="T71" t="s">
        <v>163</v>
      </c>
      <c r="U71" t="s">
        <v>163</v>
      </c>
      <c r="V71" t="s">
        <v>163</v>
      </c>
      <c r="W71" t="s">
        <v>165</v>
      </c>
      <c r="X71" t="s">
        <v>165</v>
      </c>
      <c r="Y71" t="s">
        <v>163</v>
      </c>
      <c r="Z71" t="s">
        <v>163</v>
      </c>
      <c r="AA71">
        <v>1</v>
      </c>
      <c r="AB71">
        <v>2</v>
      </c>
      <c r="AC71">
        <v>0</v>
      </c>
      <c r="AD71" t="s">
        <v>163</v>
      </c>
      <c r="AE71" t="s">
        <v>163</v>
      </c>
      <c r="AF71" t="s">
        <v>163</v>
      </c>
      <c r="AG71" t="s">
        <v>163</v>
      </c>
      <c r="AH71" t="s">
        <v>163</v>
      </c>
      <c r="AI71" t="s">
        <v>163</v>
      </c>
      <c r="AJ71" t="s">
        <v>163</v>
      </c>
      <c r="AK71">
        <v>3</v>
      </c>
      <c r="AL71">
        <v>4</v>
      </c>
      <c r="AM71" t="s">
        <v>163</v>
      </c>
      <c r="AN71">
        <v>1</v>
      </c>
      <c r="AO71">
        <v>1</v>
      </c>
      <c r="AP71">
        <v>2</v>
      </c>
      <c r="AQ71">
        <v>2</v>
      </c>
      <c r="AR71">
        <v>5</v>
      </c>
      <c r="AS71">
        <v>6</v>
      </c>
    </row>
    <row r="72" spans="1:45" x14ac:dyDescent="0.35">
      <c r="A72" s="337">
        <v>46266</v>
      </c>
      <c r="B72" s="337">
        <v>46294</v>
      </c>
      <c r="C72" s="337">
        <v>46291</v>
      </c>
      <c r="D72" t="s">
        <v>130</v>
      </c>
      <c r="E72" s="338">
        <v>1.125</v>
      </c>
      <c r="F72">
        <v>1</v>
      </c>
      <c r="G72" t="s">
        <v>158</v>
      </c>
      <c r="H72" t="s">
        <v>163</v>
      </c>
      <c r="I72" t="s">
        <v>165</v>
      </c>
      <c r="J72" t="s">
        <v>165</v>
      </c>
      <c r="K72" t="s">
        <v>165</v>
      </c>
      <c r="L72" t="s">
        <v>163</v>
      </c>
      <c r="M72" t="s">
        <v>163</v>
      </c>
      <c r="N72">
        <v>10.76</v>
      </c>
      <c r="O72" t="s">
        <v>163</v>
      </c>
      <c r="P72" t="s">
        <v>163</v>
      </c>
      <c r="Q72" t="s">
        <v>163</v>
      </c>
      <c r="R72" t="s">
        <v>163</v>
      </c>
      <c r="S72" t="s">
        <v>163</v>
      </c>
      <c r="T72" t="s">
        <v>163</v>
      </c>
      <c r="U72" t="s">
        <v>163</v>
      </c>
      <c r="V72" t="s">
        <v>163</v>
      </c>
      <c r="W72" t="s">
        <v>165</v>
      </c>
      <c r="X72" t="s">
        <v>165</v>
      </c>
      <c r="Y72" t="s">
        <v>163</v>
      </c>
      <c r="Z72" t="s">
        <v>163</v>
      </c>
      <c r="AA72">
        <v>1</v>
      </c>
      <c r="AB72">
        <v>2</v>
      </c>
      <c r="AC72">
        <v>0</v>
      </c>
      <c r="AD72" t="s">
        <v>163</v>
      </c>
      <c r="AE72" t="s">
        <v>163</v>
      </c>
      <c r="AF72" t="s">
        <v>163</v>
      </c>
      <c r="AG72" t="s">
        <v>163</v>
      </c>
      <c r="AH72" t="s">
        <v>163</v>
      </c>
      <c r="AI72" t="s">
        <v>163</v>
      </c>
      <c r="AJ72" t="s">
        <v>163</v>
      </c>
      <c r="AK72">
        <v>3</v>
      </c>
      <c r="AL72">
        <v>4</v>
      </c>
      <c r="AM72" t="s">
        <v>163</v>
      </c>
      <c r="AN72">
        <v>1</v>
      </c>
      <c r="AO72">
        <v>1</v>
      </c>
      <c r="AP72">
        <v>2</v>
      </c>
      <c r="AQ72">
        <v>2</v>
      </c>
      <c r="AR72">
        <v>5</v>
      </c>
      <c r="AS72">
        <v>6</v>
      </c>
    </row>
    <row r="73" spans="1:45" x14ac:dyDescent="0.35">
      <c r="A73" s="337">
        <v>46266</v>
      </c>
      <c r="B73" s="337">
        <v>46294</v>
      </c>
      <c r="C73" s="337">
        <v>46291</v>
      </c>
      <c r="D73" t="s">
        <v>130</v>
      </c>
      <c r="E73" s="338">
        <v>1.0833333333333333</v>
      </c>
      <c r="F73">
        <v>1</v>
      </c>
      <c r="G73" t="s">
        <v>158</v>
      </c>
      <c r="H73" t="s">
        <v>163</v>
      </c>
      <c r="I73" t="s">
        <v>163</v>
      </c>
      <c r="J73" t="s">
        <v>165</v>
      </c>
      <c r="K73" t="s">
        <v>165</v>
      </c>
      <c r="L73" t="s">
        <v>163</v>
      </c>
      <c r="M73" t="s">
        <v>163</v>
      </c>
      <c r="N73">
        <v>10.42</v>
      </c>
      <c r="O73" t="s">
        <v>163</v>
      </c>
      <c r="P73" t="s">
        <v>163</v>
      </c>
      <c r="Q73" t="s">
        <v>163</v>
      </c>
      <c r="R73" t="s">
        <v>163</v>
      </c>
      <c r="S73" t="s">
        <v>163</v>
      </c>
      <c r="T73" t="s">
        <v>163</v>
      </c>
      <c r="U73" t="s">
        <v>163</v>
      </c>
      <c r="V73" t="s">
        <v>163</v>
      </c>
      <c r="W73" t="s">
        <v>165</v>
      </c>
      <c r="X73" t="s">
        <v>165</v>
      </c>
      <c r="Y73" t="s">
        <v>163</v>
      </c>
      <c r="Z73" t="s">
        <v>163</v>
      </c>
      <c r="AA73" t="s">
        <v>163</v>
      </c>
      <c r="AB73">
        <v>2</v>
      </c>
      <c r="AC73">
        <v>0</v>
      </c>
      <c r="AD73" t="s">
        <v>163</v>
      </c>
      <c r="AE73" t="s">
        <v>163</v>
      </c>
      <c r="AF73" t="s">
        <v>163</v>
      </c>
      <c r="AG73" t="s">
        <v>163</v>
      </c>
      <c r="AH73" t="s">
        <v>163</v>
      </c>
      <c r="AI73" t="s">
        <v>163</v>
      </c>
      <c r="AJ73" t="s">
        <v>163</v>
      </c>
      <c r="AK73">
        <v>2</v>
      </c>
      <c r="AL73">
        <v>3</v>
      </c>
      <c r="AM73" t="s">
        <v>163</v>
      </c>
      <c r="AN73">
        <v>1</v>
      </c>
      <c r="AO73">
        <v>1</v>
      </c>
      <c r="AP73">
        <v>2</v>
      </c>
      <c r="AQ73">
        <v>2</v>
      </c>
      <c r="AR73">
        <v>4</v>
      </c>
      <c r="AS73">
        <v>5</v>
      </c>
    </row>
    <row r="74" spans="1:45" x14ac:dyDescent="0.35">
      <c r="A74" s="337">
        <v>46266</v>
      </c>
      <c r="B74" s="337">
        <v>46294</v>
      </c>
      <c r="C74" s="337">
        <v>46291</v>
      </c>
      <c r="D74" t="s">
        <v>130</v>
      </c>
      <c r="E74" s="337">
        <v>1</v>
      </c>
      <c r="F74">
        <v>1</v>
      </c>
      <c r="G74" t="s">
        <v>158</v>
      </c>
      <c r="H74" t="s">
        <v>163</v>
      </c>
      <c r="I74" t="s">
        <v>165</v>
      </c>
      <c r="J74" t="s">
        <v>165</v>
      </c>
      <c r="K74" t="s">
        <v>165</v>
      </c>
      <c r="L74" t="s">
        <v>163</v>
      </c>
      <c r="M74" t="s">
        <v>163</v>
      </c>
      <c r="N74">
        <v>10.82</v>
      </c>
      <c r="O74" t="s">
        <v>163</v>
      </c>
      <c r="P74" t="s">
        <v>163</v>
      </c>
      <c r="Q74" t="s">
        <v>163</v>
      </c>
      <c r="R74" t="s">
        <v>163</v>
      </c>
      <c r="S74" t="s">
        <v>163</v>
      </c>
      <c r="T74" t="s">
        <v>163</v>
      </c>
      <c r="U74" t="s">
        <v>163</v>
      </c>
      <c r="V74" t="s">
        <v>163</v>
      </c>
      <c r="W74" t="s">
        <v>165</v>
      </c>
      <c r="X74" t="s">
        <v>165</v>
      </c>
      <c r="Y74" t="s">
        <v>163</v>
      </c>
      <c r="Z74" t="s">
        <v>163</v>
      </c>
      <c r="AA74">
        <v>1</v>
      </c>
      <c r="AB74">
        <v>2</v>
      </c>
      <c r="AC74">
        <v>0</v>
      </c>
      <c r="AD74" t="s">
        <v>163</v>
      </c>
      <c r="AE74" t="s">
        <v>163</v>
      </c>
      <c r="AF74" t="s">
        <v>163</v>
      </c>
      <c r="AG74" t="s">
        <v>163</v>
      </c>
      <c r="AH74" t="s">
        <v>163</v>
      </c>
      <c r="AI74" t="s">
        <v>163</v>
      </c>
      <c r="AJ74" t="s">
        <v>163</v>
      </c>
      <c r="AK74">
        <v>3</v>
      </c>
      <c r="AL74">
        <v>4</v>
      </c>
      <c r="AM74" t="s">
        <v>163</v>
      </c>
      <c r="AN74">
        <v>1</v>
      </c>
      <c r="AO74">
        <v>1</v>
      </c>
      <c r="AP74">
        <v>2</v>
      </c>
      <c r="AQ74">
        <v>2</v>
      </c>
      <c r="AR74">
        <v>5</v>
      </c>
      <c r="AS74">
        <v>6</v>
      </c>
    </row>
    <row r="75" spans="1:45" x14ac:dyDescent="0.35">
      <c r="A75" s="337">
        <v>46266</v>
      </c>
      <c r="B75" s="337">
        <v>46294</v>
      </c>
      <c r="C75" s="337">
        <v>46291</v>
      </c>
      <c r="D75" t="s">
        <v>130</v>
      </c>
      <c r="E75" s="339">
        <v>0.95833333333333337</v>
      </c>
      <c r="F75">
        <v>1</v>
      </c>
      <c r="G75" t="s">
        <v>158</v>
      </c>
      <c r="H75" t="s">
        <v>163</v>
      </c>
      <c r="I75" t="s">
        <v>165</v>
      </c>
      <c r="J75" t="s">
        <v>165</v>
      </c>
      <c r="K75" t="s">
        <v>165</v>
      </c>
      <c r="L75" t="s">
        <v>163</v>
      </c>
      <c r="M75" t="s">
        <v>163</v>
      </c>
      <c r="N75">
        <v>10.61</v>
      </c>
      <c r="O75" t="s">
        <v>163</v>
      </c>
      <c r="P75" t="s">
        <v>163</v>
      </c>
      <c r="Q75" t="s">
        <v>163</v>
      </c>
      <c r="R75" t="s">
        <v>163</v>
      </c>
      <c r="S75" t="s">
        <v>163</v>
      </c>
      <c r="T75" t="s">
        <v>163</v>
      </c>
      <c r="U75" t="s">
        <v>163</v>
      </c>
      <c r="V75" t="s">
        <v>163</v>
      </c>
      <c r="W75" t="s">
        <v>165</v>
      </c>
      <c r="X75" t="s">
        <v>165</v>
      </c>
      <c r="Y75" t="s">
        <v>163</v>
      </c>
      <c r="Z75" t="s">
        <v>163</v>
      </c>
      <c r="AA75">
        <v>1</v>
      </c>
      <c r="AB75">
        <v>2</v>
      </c>
      <c r="AC75">
        <v>0</v>
      </c>
      <c r="AD75" t="s">
        <v>163</v>
      </c>
      <c r="AE75" t="s">
        <v>163</v>
      </c>
      <c r="AF75" t="s">
        <v>163</v>
      </c>
      <c r="AG75" t="s">
        <v>163</v>
      </c>
      <c r="AH75" t="s">
        <v>163</v>
      </c>
      <c r="AI75" t="s">
        <v>163</v>
      </c>
      <c r="AJ75" t="s">
        <v>163</v>
      </c>
      <c r="AK75">
        <v>3</v>
      </c>
      <c r="AL75">
        <v>4</v>
      </c>
      <c r="AM75" t="s">
        <v>163</v>
      </c>
      <c r="AN75">
        <v>1</v>
      </c>
      <c r="AO75">
        <v>1</v>
      </c>
      <c r="AP75">
        <v>2</v>
      </c>
      <c r="AQ75">
        <v>2</v>
      </c>
      <c r="AR75">
        <v>5</v>
      </c>
      <c r="AS75">
        <v>6</v>
      </c>
    </row>
    <row r="76" spans="1:45" x14ac:dyDescent="0.35">
      <c r="A76" s="337">
        <v>46266</v>
      </c>
      <c r="B76" s="337">
        <v>46294</v>
      </c>
      <c r="C76" s="337">
        <v>46291</v>
      </c>
      <c r="D76" t="s">
        <v>130</v>
      </c>
      <c r="E76" s="339">
        <v>0.91666666666666663</v>
      </c>
      <c r="F76">
        <v>1</v>
      </c>
      <c r="G76" t="s">
        <v>158</v>
      </c>
      <c r="H76" t="s">
        <v>163</v>
      </c>
      <c r="I76" t="s">
        <v>165</v>
      </c>
      <c r="J76" t="s">
        <v>165</v>
      </c>
      <c r="K76" t="s">
        <v>165</v>
      </c>
      <c r="L76" t="s">
        <v>163</v>
      </c>
      <c r="M76" t="s">
        <v>163</v>
      </c>
      <c r="N76">
        <v>10.49</v>
      </c>
      <c r="O76">
        <v>8.9</v>
      </c>
      <c r="P76">
        <v>0.56999999999999995</v>
      </c>
      <c r="Q76" t="s">
        <v>163</v>
      </c>
      <c r="R76" t="s">
        <v>163</v>
      </c>
      <c r="S76" t="s">
        <v>163</v>
      </c>
      <c r="T76">
        <v>24.1</v>
      </c>
      <c r="U76" t="s">
        <v>163</v>
      </c>
      <c r="V76">
        <v>25.16</v>
      </c>
      <c r="W76" t="s">
        <v>165</v>
      </c>
      <c r="X76" t="s">
        <v>165</v>
      </c>
      <c r="Y76" t="s">
        <v>163</v>
      </c>
      <c r="Z76" t="s">
        <v>163</v>
      </c>
      <c r="AA76">
        <v>1</v>
      </c>
      <c r="AB76">
        <v>2</v>
      </c>
      <c r="AC76">
        <v>0</v>
      </c>
      <c r="AD76">
        <v>1</v>
      </c>
      <c r="AE76">
        <v>2</v>
      </c>
      <c r="AF76" t="s">
        <v>163</v>
      </c>
      <c r="AG76" t="s">
        <v>163</v>
      </c>
      <c r="AH76" t="s">
        <v>163</v>
      </c>
      <c r="AI76">
        <v>2</v>
      </c>
      <c r="AJ76" t="s">
        <v>163</v>
      </c>
      <c r="AK76">
        <v>8</v>
      </c>
      <c r="AL76">
        <v>9</v>
      </c>
      <c r="AM76">
        <v>1</v>
      </c>
      <c r="AN76">
        <v>1</v>
      </c>
      <c r="AO76">
        <v>1</v>
      </c>
      <c r="AP76">
        <v>3</v>
      </c>
      <c r="AQ76">
        <v>3</v>
      </c>
      <c r="AR76">
        <v>11</v>
      </c>
      <c r="AS76">
        <v>12</v>
      </c>
    </row>
    <row r="77" spans="1:45" x14ac:dyDescent="0.35">
      <c r="A77" s="337">
        <v>46266</v>
      </c>
      <c r="B77" s="337">
        <v>46294</v>
      </c>
      <c r="C77" s="337">
        <v>46293</v>
      </c>
      <c r="D77" t="s">
        <v>128</v>
      </c>
      <c r="E77" s="339">
        <v>0.79166666666666663</v>
      </c>
      <c r="F77" t="s">
        <v>383</v>
      </c>
      <c r="G77" t="s">
        <v>101</v>
      </c>
      <c r="H77" t="s">
        <v>163</v>
      </c>
      <c r="I77" t="s">
        <v>163</v>
      </c>
      <c r="J77" t="s">
        <v>165</v>
      </c>
      <c r="K77" t="s">
        <v>165</v>
      </c>
      <c r="L77" t="s">
        <v>163</v>
      </c>
      <c r="M77" t="s">
        <v>161</v>
      </c>
      <c r="N77">
        <v>12.78</v>
      </c>
      <c r="O77">
        <v>15.61</v>
      </c>
      <c r="P77" t="s">
        <v>163</v>
      </c>
      <c r="Q77">
        <v>72.5</v>
      </c>
      <c r="R77" t="s">
        <v>163</v>
      </c>
      <c r="S77" t="s">
        <v>163</v>
      </c>
      <c r="T77">
        <v>44.3</v>
      </c>
      <c r="U77" t="s">
        <v>163</v>
      </c>
      <c r="V77" t="s">
        <v>163</v>
      </c>
      <c r="W77" t="s">
        <v>163</v>
      </c>
      <c r="X77" t="s">
        <v>163</v>
      </c>
      <c r="Y77" t="s">
        <v>163</v>
      </c>
      <c r="Z77" t="s">
        <v>163</v>
      </c>
      <c r="AA77" t="s">
        <v>163</v>
      </c>
      <c r="AB77">
        <v>2</v>
      </c>
      <c r="AC77">
        <v>1</v>
      </c>
      <c r="AD77">
        <v>1</v>
      </c>
      <c r="AE77" t="s">
        <v>163</v>
      </c>
      <c r="AF77">
        <v>2</v>
      </c>
      <c r="AG77" t="s">
        <v>163</v>
      </c>
      <c r="AH77" t="s">
        <v>163</v>
      </c>
      <c r="AI77">
        <v>2</v>
      </c>
      <c r="AJ77" t="s">
        <v>163</v>
      </c>
      <c r="AK77">
        <v>8</v>
      </c>
      <c r="AL77">
        <v>8</v>
      </c>
      <c r="AM77" t="s">
        <v>163</v>
      </c>
      <c r="AN77" t="s">
        <v>163</v>
      </c>
      <c r="AO77" t="s">
        <v>163</v>
      </c>
      <c r="AP77">
        <v>0</v>
      </c>
      <c r="AQ77">
        <v>0</v>
      </c>
      <c r="AR77">
        <v>8</v>
      </c>
      <c r="AS77">
        <v>8</v>
      </c>
    </row>
    <row r="78" spans="1:45" x14ac:dyDescent="0.35">
      <c r="A78" s="337">
        <v>46266</v>
      </c>
      <c r="B78" s="337">
        <v>46294</v>
      </c>
      <c r="C78" s="337">
        <v>46293</v>
      </c>
      <c r="D78" t="s">
        <v>128</v>
      </c>
      <c r="E78" s="339">
        <v>0.66666666666666663</v>
      </c>
      <c r="F78">
        <v>3</v>
      </c>
      <c r="G78" t="s">
        <v>119</v>
      </c>
      <c r="H78">
        <v>0.01</v>
      </c>
      <c r="I78" t="s">
        <v>165</v>
      </c>
      <c r="J78" t="s">
        <v>165</v>
      </c>
      <c r="K78" t="s">
        <v>165</v>
      </c>
      <c r="L78" t="s">
        <v>161</v>
      </c>
      <c r="M78" t="s">
        <v>161</v>
      </c>
      <c r="N78">
        <v>11.76</v>
      </c>
      <c r="O78" t="s">
        <v>163</v>
      </c>
      <c r="P78" t="s">
        <v>163</v>
      </c>
      <c r="Q78" t="s">
        <v>163</v>
      </c>
      <c r="R78" t="s">
        <v>163</v>
      </c>
      <c r="S78" t="s">
        <v>163</v>
      </c>
      <c r="T78" t="s">
        <v>163</v>
      </c>
      <c r="U78" t="s">
        <v>163</v>
      </c>
      <c r="V78" t="s">
        <v>163</v>
      </c>
      <c r="W78" t="s">
        <v>163</v>
      </c>
      <c r="X78" t="s">
        <v>163</v>
      </c>
      <c r="Y78" t="s">
        <v>163</v>
      </c>
      <c r="Z78">
        <v>2</v>
      </c>
      <c r="AA78">
        <v>1</v>
      </c>
      <c r="AB78">
        <v>2</v>
      </c>
      <c r="AC78">
        <v>0</v>
      </c>
      <c r="AD78" t="s">
        <v>163</v>
      </c>
      <c r="AE78" t="s">
        <v>163</v>
      </c>
      <c r="AF78" t="s">
        <v>163</v>
      </c>
      <c r="AG78" t="s">
        <v>163</v>
      </c>
      <c r="AH78" t="s">
        <v>163</v>
      </c>
      <c r="AI78" t="s">
        <v>163</v>
      </c>
      <c r="AJ78" t="s">
        <v>163</v>
      </c>
      <c r="AK78">
        <v>5</v>
      </c>
      <c r="AL78">
        <v>6</v>
      </c>
      <c r="AM78" t="s">
        <v>163</v>
      </c>
      <c r="AN78" t="s">
        <v>163</v>
      </c>
      <c r="AO78" t="s">
        <v>163</v>
      </c>
      <c r="AP78">
        <v>0</v>
      </c>
      <c r="AQ78">
        <v>0</v>
      </c>
      <c r="AR78">
        <v>5</v>
      </c>
      <c r="AS78">
        <v>6</v>
      </c>
    </row>
    <row r="79" spans="1:45" x14ac:dyDescent="0.35">
      <c r="A79" s="337">
        <v>46266</v>
      </c>
      <c r="B79" s="337">
        <v>46294</v>
      </c>
      <c r="C79" s="337">
        <v>46293</v>
      </c>
      <c r="D79" t="s">
        <v>128</v>
      </c>
      <c r="E79" s="339">
        <v>0.625</v>
      </c>
      <c r="F79">
        <v>3</v>
      </c>
      <c r="G79" t="s">
        <v>119</v>
      </c>
      <c r="H79" t="s">
        <v>163</v>
      </c>
      <c r="I79" t="s">
        <v>165</v>
      </c>
      <c r="J79" t="s">
        <v>165</v>
      </c>
      <c r="K79" t="s">
        <v>165</v>
      </c>
      <c r="L79" t="s">
        <v>161</v>
      </c>
      <c r="M79" t="s">
        <v>161</v>
      </c>
      <c r="N79">
        <v>11.18</v>
      </c>
      <c r="O79" t="s">
        <v>163</v>
      </c>
      <c r="P79" t="s">
        <v>163</v>
      </c>
      <c r="Q79" t="s">
        <v>163</v>
      </c>
      <c r="R79" t="s">
        <v>163</v>
      </c>
      <c r="S79" t="s">
        <v>163</v>
      </c>
      <c r="T79" t="s">
        <v>163</v>
      </c>
      <c r="U79" t="s">
        <v>163</v>
      </c>
      <c r="V79" t="s">
        <v>163</v>
      </c>
      <c r="W79" t="s">
        <v>163</v>
      </c>
      <c r="X79" t="s">
        <v>163</v>
      </c>
      <c r="Y79" t="s">
        <v>163</v>
      </c>
      <c r="Z79" t="s">
        <v>163</v>
      </c>
      <c r="AA79">
        <v>1</v>
      </c>
      <c r="AB79">
        <v>2</v>
      </c>
      <c r="AC79">
        <v>0</v>
      </c>
      <c r="AD79" t="s">
        <v>163</v>
      </c>
      <c r="AE79" t="s">
        <v>163</v>
      </c>
      <c r="AF79" t="s">
        <v>163</v>
      </c>
      <c r="AG79" t="s">
        <v>163</v>
      </c>
      <c r="AH79" t="s">
        <v>163</v>
      </c>
      <c r="AI79" t="s">
        <v>163</v>
      </c>
      <c r="AJ79" t="s">
        <v>163</v>
      </c>
      <c r="AK79">
        <v>3</v>
      </c>
      <c r="AL79">
        <v>4</v>
      </c>
      <c r="AM79" t="s">
        <v>163</v>
      </c>
      <c r="AN79" t="s">
        <v>163</v>
      </c>
      <c r="AO79" t="s">
        <v>163</v>
      </c>
      <c r="AP79">
        <v>0</v>
      </c>
      <c r="AQ79">
        <v>0</v>
      </c>
      <c r="AR79">
        <v>3</v>
      </c>
      <c r="AS79">
        <v>4</v>
      </c>
    </row>
    <row r="80" spans="1:45" x14ac:dyDescent="0.35">
      <c r="A80" s="337">
        <v>46266</v>
      </c>
      <c r="B80" s="337">
        <v>46294</v>
      </c>
      <c r="C80" s="337">
        <v>46293</v>
      </c>
      <c r="D80" t="s">
        <v>128</v>
      </c>
      <c r="E80" s="339">
        <v>0.58333333333333337</v>
      </c>
      <c r="F80">
        <v>3</v>
      </c>
      <c r="G80" t="s">
        <v>119</v>
      </c>
      <c r="H80">
        <v>0.01</v>
      </c>
      <c r="I80" t="s">
        <v>165</v>
      </c>
      <c r="J80" t="s">
        <v>165</v>
      </c>
      <c r="K80" t="s">
        <v>165</v>
      </c>
      <c r="L80" t="s">
        <v>161</v>
      </c>
      <c r="M80" t="s">
        <v>161</v>
      </c>
      <c r="N80">
        <v>11.77</v>
      </c>
      <c r="O80" t="s">
        <v>163</v>
      </c>
      <c r="P80" t="s">
        <v>163</v>
      </c>
      <c r="Q80" t="s">
        <v>163</v>
      </c>
      <c r="R80" t="s">
        <v>163</v>
      </c>
      <c r="S80" t="s">
        <v>163</v>
      </c>
      <c r="T80" t="s">
        <v>163</v>
      </c>
      <c r="U80" t="s">
        <v>163</v>
      </c>
      <c r="V80" t="s">
        <v>163</v>
      </c>
      <c r="W80" t="s">
        <v>163</v>
      </c>
      <c r="X80" t="s">
        <v>163</v>
      </c>
      <c r="Y80" t="s">
        <v>163</v>
      </c>
      <c r="Z80">
        <v>2</v>
      </c>
      <c r="AA80">
        <v>1</v>
      </c>
      <c r="AB80">
        <v>2</v>
      </c>
      <c r="AC80">
        <v>0</v>
      </c>
      <c r="AD80" t="s">
        <v>163</v>
      </c>
      <c r="AE80" t="s">
        <v>163</v>
      </c>
      <c r="AF80" t="s">
        <v>163</v>
      </c>
      <c r="AG80" t="s">
        <v>163</v>
      </c>
      <c r="AH80" t="s">
        <v>163</v>
      </c>
      <c r="AI80" t="s">
        <v>163</v>
      </c>
      <c r="AJ80" t="s">
        <v>163</v>
      </c>
      <c r="AK80">
        <v>5</v>
      </c>
      <c r="AL80">
        <v>6</v>
      </c>
      <c r="AM80" t="s">
        <v>163</v>
      </c>
      <c r="AN80" t="s">
        <v>163</v>
      </c>
      <c r="AO80" t="s">
        <v>163</v>
      </c>
      <c r="AP80">
        <v>0</v>
      </c>
      <c r="AQ80">
        <v>0</v>
      </c>
      <c r="AR80">
        <v>5</v>
      </c>
      <c r="AS80">
        <v>6</v>
      </c>
    </row>
    <row r="81" spans="1:45" x14ac:dyDescent="0.35">
      <c r="A81" s="337">
        <v>46266</v>
      </c>
      <c r="B81" s="337">
        <v>46294</v>
      </c>
      <c r="C81" s="339">
        <v>0</v>
      </c>
      <c r="D81" t="s">
        <v>128</v>
      </c>
      <c r="E81" s="339">
        <v>0.875</v>
      </c>
      <c r="F81">
        <v>2</v>
      </c>
      <c r="G81" t="s">
        <v>39</v>
      </c>
      <c r="H81" t="s">
        <v>163</v>
      </c>
      <c r="I81" t="s">
        <v>165</v>
      </c>
      <c r="J81" t="s">
        <v>165</v>
      </c>
      <c r="K81" t="s">
        <v>165</v>
      </c>
      <c r="L81" t="s">
        <v>163</v>
      </c>
      <c r="M81" t="s">
        <v>161</v>
      </c>
      <c r="N81">
        <v>10.210000000000001</v>
      </c>
      <c r="O81" t="s">
        <v>163</v>
      </c>
      <c r="P81" t="s">
        <v>163</v>
      </c>
      <c r="Q81" t="s">
        <v>163</v>
      </c>
      <c r="R81" t="s">
        <v>163</v>
      </c>
      <c r="S81" t="s">
        <v>163</v>
      </c>
      <c r="T81" t="s">
        <v>163</v>
      </c>
      <c r="U81" t="s">
        <v>163</v>
      </c>
      <c r="V81" t="s">
        <v>163</v>
      </c>
      <c r="W81" t="s">
        <v>165</v>
      </c>
      <c r="X81" t="s">
        <v>165</v>
      </c>
      <c r="Y81" t="s">
        <v>163</v>
      </c>
      <c r="Z81" t="s">
        <v>163</v>
      </c>
      <c r="AA81">
        <v>1</v>
      </c>
      <c r="AB81">
        <v>2</v>
      </c>
      <c r="AC81">
        <v>0</v>
      </c>
      <c r="AD81" t="s">
        <v>163</v>
      </c>
      <c r="AE81" t="s">
        <v>163</v>
      </c>
      <c r="AF81" t="s">
        <v>163</v>
      </c>
      <c r="AG81" t="s">
        <v>163</v>
      </c>
      <c r="AH81" t="s">
        <v>163</v>
      </c>
      <c r="AI81" t="s">
        <v>163</v>
      </c>
      <c r="AJ81" t="s">
        <v>163</v>
      </c>
      <c r="AK81">
        <v>3</v>
      </c>
      <c r="AL81">
        <v>4</v>
      </c>
      <c r="AM81" t="s">
        <v>163</v>
      </c>
      <c r="AN81">
        <v>1</v>
      </c>
      <c r="AO81">
        <v>1</v>
      </c>
      <c r="AP81">
        <v>2</v>
      </c>
      <c r="AQ81">
        <v>2</v>
      </c>
      <c r="AR81">
        <v>5</v>
      </c>
      <c r="AS81">
        <v>6</v>
      </c>
    </row>
    <row r="82" spans="1:45" x14ac:dyDescent="0.35">
      <c r="A82" s="337">
        <v>46266</v>
      </c>
      <c r="B82" s="337">
        <v>46294</v>
      </c>
      <c r="C82" s="339">
        <v>0</v>
      </c>
      <c r="D82" t="s">
        <v>128</v>
      </c>
      <c r="E82" s="339">
        <v>0.83333333333333337</v>
      </c>
      <c r="F82">
        <v>2</v>
      </c>
      <c r="G82" t="s">
        <v>39</v>
      </c>
      <c r="H82" t="s">
        <v>163</v>
      </c>
      <c r="I82" t="s">
        <v>165</v>
      </c>
      <c r="J82" t="s">
        <v>165</v>
      </c>
      <c r="K82" t="s">
        <v>165</v>
      </c>
      <c r="L82" t="s">
        <v>163</v>
      </c>
      <c r="M82" t="s">
        <v>161</v>
      </c>
      <c r="N82">
        <v>10.18</v>
      </c>
      <c r="O82" t="s">
        <v>163</v>
      </c>
      <c r="P82" t="s">
        <v>163</v>
      </c>
      <c r="Q82" t="s">
        <v>163</v>
      </c>
      <c r="R82" t="s">
        <v>163</v>
      </c>
      <c r="S82" t="s">
        <v>163</v>
      </c>
      <c r="T82" t="s">
        <v>163</v>
      </c>
      <c r="U82" t="s">
        <v>163</v>
      </c>
      <c r="V82" t="s">
        <v>163</v>
      </c>
      <c r="W82" t="s">
        <v>165</v>
      </c>
      <c r="X82" t="s">
        <v>165</v>
      </c>
      <c r="Y82" t="s">
        <v>163</v>
      </c>
      <c r="Z82" t="s">
        <v>163</v>
      </c>
      <c r="AA82">
        <v>1</v>
      </c>
      <c r="AB82">
        <v>2</v>
      </c>
      <c r="AC82">
        <v>0</v>
      </c>
      <c r="AD82" t="s">
        <v>163</v>
      </c>
      <c r="AE82" t="s">
        <v>163</v>
      </c>
      <c r="AF82" t="s">
        <v>163</v>
      </c>
      <c r="AG82" t="s">
        <v>163</v>
      </c>
      <c r="AH82" t="s">
        <v>163</v>
      </c>
      <c r="AI82" t="s">
        <v>163</v>
      </c>
      <c r="AJ82" t="s">
        <v>163</v>
      </c>
      <c r="AK82">
        <v>3</v>
      </c>
      <c r="AL82">
        <v>4</v>
      </c>
      <c r="AM82" t="s">
        <v>163</v>
      </c>
      <c r="AN82">
        <v>1</v>
      </c>
      <c r="AO82">
        <v>1</v>
      </c>
      <c r="AP82">
        <v>2</v>
      </c>
      <c r="AQ82">
        <v>2</v>
      </c>
      <c r="AR82">
        <v>5</v>
      </c>
      <c r="AS82">
        <v>6</v>
      </c>
    </row>
    <row r="83" spans="1:45" x14ac:dyDescent="0.35">
      <c r="A83" s="337">
        <v>46266</v>
      </c>
      <c r="B83" s="337">
        <v>46294</v>
      </c>
      <c r="C83" s="339">
        <v>0</v>
      </c>
      <c r="D83" t="s">
        <v>128</v>
      </c>
      <c r="E83" s="339">
        <v>0.79166666666666663</v>
      </c>
      <c r="F83">
        <v>2</v>
      </c>
      <c r="G83" t="s">
        <v>39</v>
      </c>
      <c r="H83" t="s">
        <v>163</v>
      </c>
      <c r="I83" t="s">
        <v>165</v>
      </c>
      <c r="J83" t="s">
        <v>165</v>
      </c>
      <c r="K83" t="s">
        <v>165</v>
      </c>
      <c r="L83" t="s">
        <v>163</v>
      </c>
      <c r="M83" t="s">
        <v>161</v>
      </c>
      <c r="N83">
        <v>10.17</v>
      </c>
      <c r="O83" t="s">
        <v>163</v>
      </c>
      <c r="P83" t="s">
        <v>163</v>
      </c>
      <c r="Q83" t="s">
        <v>163</v>
      </c>
      <c r="R83" t="s">
        <v>163</v>
      </c>
      <c r="S83" t="s">
        <v>163</v>
      </c>
      <c r="T83" t="s">
        <v>163</v>
      </c>
      <c r="U83" t="s">
        <v>163</v>
      </c>
      <c r="V83" t="s">
        <v>163</v>
      </c>
      <c r="W83" t="s">
        <v>165</v>
      </c>
      <c r="X83" t="s">
        <v>165</v>
      </c>
      <c r="Y83" t="s">
        <v>163</v>
      </c>
      <c r="Z83" t="s">
        <v>163</v>
      </c>
      <c r="AA83">
        <v>1</v>
      </c>
      <c r="AB83">
        <v>2</v>
      </c>
      <c r="AC83">
        <v>0</v>
      </c>
      <c r="AD83" t="s">
        <v>163</v>
      </c>
      <c r="AE83" t="s">
        <v>163</v>
      </c>
      <c r="AF83" t="s">
        <v>163</v>
      </c>
      <c r="AG83" t="s">
        <v>163</v>
      </c>
      <c r="AH83" t="s">
        <v>163</v>
      </c>
      <c r="AI83" t="s">
        <v>163</v>
      </c>
      <c r="AJ83" t="s">
        <v>163</v>
      </c>
      <c r="AK83">
        <v>3</v>
      </c>
      <c r="AL83">
        <v>4</v>
      </c>
      <c r="AM83" t="s">
        <v>163</v>
      </c>
      <c r="AN83">
        <v>1</v>
      </c>
      <c r="AO83">
        <v>1</v>
      </c>
      <c r="AP83">
        <v>2</v>
      </c>
      <c r="AQ83">
        <v>2</v>
      </c>
      <c r="AR83">
        <v>5</v>
      </c>
      <c r="AS83">
        <v>6</v>
      </c>
    </row>
    <row r="84" spans="1:45" x14ac:dyDescent="0.35">
      <c r="A84" s="337">
        <v>46266</v>
      </c>
      <c r="B84" s="337">
        <v>46294</v>
      </c>
      <c r="C84" s="339">
        <v>0</v>
      </c>
      <c r="D84" t="s">
        <v>128</v>
      </c>
      <c r="E84" s="339">
        <v>0.66666666666666663</v>
      </c>
      <c r="F84">
        <v>2</v>
      </c>
      <c r="G84" t="s">
        <v>39</v>
      </c>
      <c r="H84" t="s">
        <v>163</v>
      </c>
      <c r="I84" t="s">
        <v>165</v>
      </c>
      <c r="J84" t="s">
        <v>165</v>
      </c>
      <c r="K84" t="s">
        <v>165</v>
      </c>
      <c r="L84" t="s">
        <v>163</v>
      </c>
      <c r="M84" t="s">
        <v>161</v>
      </c>
      <c r="N84">
        <v>10.11</v>
      </c>
      <c r="O84" t="s">
        <v>163</v>
      </c>
      <c r="P84" t="s">
        <v>163</v>
      </c>
      <c r="Q84" t="s">
        <v>163</v>
      </c>
      <c r="R84" t="s">
        <v>163</v>
      </c>
      <c r="S84" t="s">
        <v>163</v>
      </c>
      <c r="T84" t="s">
        <v>163</v>
      </c>
      <c r="U84" t="s">
        <v>163</v>
      </c>
      <c r="V84" t="s">
        <v>163</v>
      </c>
      <c r="W84" t="s">
        <v>165</v>
      </c>
      <c r="X84" t="s">
        <v>165</v>
      </c>
      <c r="Y84" t="s">
        <v>163</v>
      </c>
      <c r="Z84" t="s">
        <v>163</v>
      </c>
      <c r="AA84">
        <v>1</v>
      </c>
      <c r="AB84">
        <v>2</v>
      </c>
      <c r="AC84">
        <v>0</v>
      </c>
      <c r="AD84" t="s">
        <v>163</v>
      </c>
      <c r="AE84" t="s">
        <v>163</v>
      </c>
      <c r="AF84" t="s">
        <v>163</v>
      </c>
      <c r="AG84" t="s">
        <v>163</v>
      </c>
      <c r="AH84" t="s">
        <v>163</v>
      </c>
      <c r="AI84" t="s">
        <v>163</v>
      </c>
      <c r="AJ84" t="s">
        <v>163</v>
      </c>
      <c r="AK84">
        <v>3</v>
      </c>
      <c r="AL84">
        <v>4</v>
      </c>
      <c r="AM84" t="s">
        <v>163</v>
      </c>
      <c r="AN84">
        <v>1</v>
      </c>
      <c r="AO84">
        <v>1</v>
      </c>
      <c r="AP84">
        <v>2</v>
      </c>
      <c r="AQ84">
        <v>2</v>
      </c>
      <c r="AR84">
        <v>5</v>
      </c>
      <c r="AS84">
        <v>6</v>
      </c>
    </row>
    <row r="85" spans="1:45" x14ac:dyDescent="0.35">
      <c r="A85" s="337">
        <v>46266</v>
      </c>
      <c r="B85" s="337">
        <v>46294</v>
      </c>
      <c r="C85" s="339">
        <v>0</v>
      </c>
      <c r="D85" t="s">
        <v>128</v>
      </c>
      <c r="E85" s="339">
        <v>0.625</v>
      </c>
      <c r="F85">
        <v>2</v>
      </c>
      <c r="G85" t="s">
        <v>39</v>
      </c>
      <c r="H85" t="s">
        <v>163</v>
      </c>
      <c r="I85" t="s">
        <v>165</v>
      </c>
      <c r="J85" t="s">
        <v>165</v>
      </c>
      <c r="K85" t="s">
        <v>165</v>
      </c>
      <c r="L85" t="s">
        <v>163</v>
      </c>
      <c r="M85" t="s">
        <v>161</v>
      </c>
      <c r="N85">
        <v>10.050000000000001</v>
      </c>
      <c r="O85" t="s">
        <v>163</v>
      </c>
      <c r="P85" t="s">
        <v>163</v>
      </c>
      <c r="Q85" t="s">
        <v>163</v>
      </c>
      <c r="R85" t="s">
        <v>163</v>
      </c>
      <c r="S85" t="s">
        <v>163</v>
      </c>
      <c r="T85" t="s">
        <v>163</v>
      </c>
      <c r="U85" t="s">
        <v>163</v>
      </c>
      <c r="V85" t="s">
        <v>163</v>
      </c>
      <c r="W85" t="s">
        <v>165</v>
      </c>
      <c r="X85" t="s">
        <v>165</v>
      </c>
      <c r="Y85" t="s">
        <v>163</v>
      </c>
      <c r="Z85" t="s">
        <v>163</v>
      </c>
      <c r="AA85">
        <v>1</v>
      </c>
      <c r="AB85">
        <v>2</v>
      </c>
      <c r="AC85">
        <v>0</v>
      </c>
      <c r="AD85" t="s">
        <v>163</v>
      </c>
      <c r="AE85" t="s">
        <v>163</v>
      </c>
      <c r="AF85" t="s">
        <v>163</v>
      </c>
      <c r="AG85" t="s">
        <v>163</v>
      </c>
      <c r="AH85" t="s">
        <v>163</v>
      </c>
      <c r="AI85" t="s">
        <v>163</v>
      </c>
      <c r="AJ85" t="s">
        <v>163</v>
      </c>
      <c r="AK85">
        <v>3</v>
      </c>
      <c r="AL85">
        <v>4</v>
      </c>
      <c r="AM85" t="s">
        <v>163</v>
      </c>
      <c r="AN85">
        <v>1</v>
      </c>
      <c r="AO85">
        <v>1</v>
      </c>
      <c r="AP85">
        <v>2</v>
      </c>
      <c r="AQ85">
        <v>2</v>
      </c>
      <c r="AR85">
        <v>5</v>
      </c>
      <c r="AS85">
        <v>6</v>
      </c>
    </row>
    <row r="86" spans="1:45" x14ac:dyDescent="0.35">
      <c r="A86" s="337">
        <v>46266</v>
      </c>
      <c r="B86" s="337">
        <v>46294</v>
      </c>
      <c r="C86" s="337">
        <v>816</v>
      </c>
      <c r="D86" t="s">
        <v>128</v>
      </c>
      <c r="E86" s="339">
        <v>0.58333333333333337</v>
      </c>
      <c r="F86">
        <v>2</v>
      </c>
      <c r="G86" t="s">
        <v>39</v>
      </c>
      <c r="H86" t="s">
        <v>163</v>
      </c>
      <c r="I86" t="s">
        <v>165</v>
      </c>
      <c r="J86" t="s">
        <v>165</v>
      </c>
      <c r="K86" t="s">
        <v>165</v>
      </c>
      <c r="L86" t="s">
        <v>163</v>
      </c>
      <c r="M86" t="s">
        <v>161</v>
      </c>
      <c r="N86">
        <v>10.27</v>
      </c>
      <c r="O86" t="s">
        <v>163</v>
      </c>
      <c r="P86" t="s">
        <v>163</v>
      </c>
      <c r="Q86" t="s">
        <v>163</v>
      </c>
      <c r="R86" t="s">
        <v>163</v>
      </c>
      <c r="S86" t="s">
        <v>163</v>
      </c>
      <c r="T86" t="s">
        <v>163</v>
      </c>
      <c r="U86" t="s">
        <v>163</v>
      </c>
      <c r="V86">
        <v>25.19</v>
      </c>
      <c r="W86" t="s">
        <v>165</v>
      </c>
      <c r="X86" t="s">
        <v>165</v>
      </c>
      <c r="Y86" t="s">
        <v>163</v>
      </c>
      <c r="Z86" t="s">
        <v>163</v>
      </c>
      <c r="AA86">
        <v>1</v>
      </c>
      <c r="AB86">
        <v>2</v>
      </c>
      <c r="AC86">
        <v>0</v>
      </c>
      <c r="AD86" t="s">
        <v>163</v>
      </c>
      <c r="AE86" t="s">
        <v>163</v>
      </c>
      <c r="AF86" t="s">
        <v>163</v>
      </c>
      <c r="AG86" t="s">
        <v>163</v>
      </c>
      <c r="AH86" t="s">
        <v>163</v>
      </c>
      <c r="AI86" t="s">
        <v>163</v>
      </c>
      <c r="AJ86" t="s">
        <v>163</v>
      </c>
      <c r="AK86">
        <v>3</v>
      </c>
      <c r="AL86">
        <v>4</v>
      </c>
      <c r="AM86">
        <v>1</v>
      </c>
      <c r="AN86">
        <v>1</v>
      </c>
      <c r="AO86">
        <v>1</v>
      </c>
      <c r="AP86">
        <v>3</v>
      </c>
      <c r="AQ86">
        <v>3</v>
      </c>
      <c r="AR86">
        <v>6</v>
      </c>
      <c r="AS86">
        <v>7</v>
      </c>
    </row>
    <row r="87" spans="1:45" x14ac:dyDescent="0.35">
      <c r="A87" s="337">
        <v>46266</v>
      </c>
      <c r="B87" s="337">
        <v>46294</v>
      </c>
      <c r="C87" s="337">
        <v>46291</v>
      </c>
      <c r="D87" t="s">
        <v>128</v>
      </c>
      <c r="E87" s="339">
        <v>0.875</v>
      </c>
      <c r="F87">
        <v>1</v>
      </c>
      <c r="G87" t="s">
        <v>158</v>
      </c>
      <c r="H87" t="s">
        <v>163</v>
      </c>
      <c r="I87" t="s">
        <v>165</v>
      </c>
      <c r="J87" t="s">
        <v>165</v>
      </c>
      <c r="K87" t="s">
        <v>165</v>
      </c>
      <c r="L87" t="s">
        <v>163</v>
      </c>
      <c r="M87" t="s">
        <v>163</v>
      </c>
      <c r="N87">
        <v>10.9</v>
      </c>
      <c r="O87" t="s">
        <v>163</v>
      </c>
      <c r="P87" t="s">
        <v>163</v>
      </c>
      <c r="Q87" t="s">
        <v>163</v>
      </c>
      <c r="R87" t="s">
        <v>163</v>
      </c>
      <c r="S87" t="s">
        <v>163</v>
      </c>
      <c r="T87" t="s">
        <v>163</v>
      </c>
      <c r="U87" t="s">
        <v>163</v>
      </c>
      <c r="V87" t="s">
        <v>163</v>
      </c>
      <c r="W87" t="s">
        <v>165</v>
      </c>
      <c r="X87" t="s">
        <v>165</v>
      </c>
      <c r="Y87" t="s">
        <v>163</v>
      </c>
      <c r="Z87" t="s">
        <v>163</v>
      </c>
      <c r="AA87">
        <v>1</v>
      </c>
      <c r="AB87">
        <v>2</v>
      </c>
      <c r="AC87">
        <v>0</v>
      </c>
      <c r="AD87" t="s">
        <v>163</v>
      </c>
      <c r="AE87" t="s">
        <v>163</v>
      </c>
      <c r="AF87" t="s">
        <v>163</v>
      </c>
      <c r="AG87" t="s">
        <v>163</v>
      </c>
      <c r="AH87" t="s">
        <v>163</v>
      </c>
      <c r="AI87" t="s">
        <v>163</v>
      </c>
      <c r="AJ87" t="s">
        <v>163</v>
      </c>
      <c r="AK87">
        <v>3</v>
      </c>
      <c r="AL87">
        <v>4</v>
      </c>
      <c r="AM87" t="s">
        <v>163</v>
      </c>
      <c r="AN87">
        <v>1</v>
      </c>
      <c r="AO87">
        <v>1</v>
      </c>
      <c r="AP87">
        <v>2</v>
      </c>
      <c r="AQ87">
        <v>2</v>
      </c>
      <c r="AR87">
        <v>5</v>
      </c>
      <c r="AS87">
        <v>6</v>
      </c>
    </row>
    <row r="88" spans="1:45" x14ac:dyDescent="0.35">
      <c r="A88" s="337">
        <v>46266</v>
      </c>
      <c r="B88" s="337">
        <v>46294</v>
      </c>
      <c r="C88" s="337">
        <v>46291</v>
      </c>
      <c r="D88" t="s">
        <v>128</v>
      </c>
      <c r="E88" s="339">
        <v>0.83333333333333337</v>
      </c>
      <c r="F88">
        <v>1</v>
      </c>
      <c r="G88" t="s">
        <v>158</v>
      </c>
      <c r="H88" t="s">
        <v>163</v>
      </c>
      <c r="I88" t="s">
        <v>165</v>
      </c>
      <c r="J88" t="s">
        <v>165</v>
      </c>
      <c r="K88" t="s">
        <v>165</v>
      </c>
      <c r="L88" t="s">
        <v>163</v>
      </c>
      <c r="M88" t="s">
        <v>163</v>
      </c>
      <c r="N88">
        <v>10.99</v>
      </c>
      <c r="O88" t="s">
        <v>163</v>
      </c>
      <c r="P88" t="s">
        <v>163</v>
      </c>
      <c r="Q88" t="s">
        <v>163</v>
      </c>
      <c r="R88" t="s">
        <v>163</v>
      </c>
      <c r="S88" t="s">
        <v>163</v>
      </c>
      <c r="T88" t="s">
        <v>163</v>
      </c>
      <c r="U88" t="s">
        <v>163</v>
      </c>
      <c r="V88" t="s">
        <v>163</v>
      </c>
      <c r="W88" t="s">
        <v>165</v>
      </c>
      <c r="X88" t="s">
        <v>165</v>
      </c>
      <c r="Y88" t="s">
        <v>163</v>
      </c>
      <c r="Z88" t="s">
        <v>163</v>
      </c>
      <c r="AA88">
        <v>1</v>
      </c>
      <c r="AB88">
        <v>2</v>
      </c>
      <c r="AC88">
        <v>0</v>
      </c>
      <c r="AD88" t="s">
        <v>163</v>
      </c>
      <c r="AE88" t="s">
        <v>163</v>
      </c>
      <c r="AF88" t="s">
        <v>163</v>
      </c>
      <c r="AG88" t="s">
        <v>163</v>
      </c>
      <c r="AH88" t="s">
        <v>163</v>
      </c>
      <c r="AI88" t="s">
        <v>163</v>
      </c>
      <c r="AJ88" t="s">
        <v>163</v>
      </c>
      <c r="AK88">
        <v>3</v>
      </c>
      <c r="AL88">
        <v>4</v>
      </c>
      <c r="AM88" t="s">
        <v>163</v>
      </c>
      <c r="AN88">
        <v>1</v>
      </c>
      <c r="AO88">
        <v>1</v>
      </c>
      <c r="AP88">
        <v>2</v>
      </c>
      <c r="AQ88">
        <v>2</v>
      </c>
      <c r="AR88">
        <v>5</v>
      </c>
      <c r="AS88">
        <v>6</v>
      </c>
    </row>
    <row r="89" spans="1:45" x14ac:dyDescent="0.35">
      <c r="A89" s="337">
        <v>46266</v>
      </c>
      <c r="B89" s="337">
        <v>46294</v>
      </c>
      <c r="C89" s="337">
        <v>46291</v>
      </c>
      <c r="D89" t="s">
        <v>128</v>
      </c>
      <c r="E89" s="339">
        <v>0.79166666666666663</v>
      </c>
      <c r="F89">
        <v>1</v>
      </c>
      <c r="G89" t="s">
        <v>158</v>
      </c>
      <c r="H89" t="s">
        <v>163</v>
      </c>
      <c r="I89" t="s">
        <v>165</v>
      </c>
      <c r="J89" t="s">
        <v>165</v>
      </c>
      <c r="K89" t="s">
        <v>165</v>
      </c>
      <c r="L89" t="s">
        <v>163</v>
      </c>
      <c r="M89" t="s">
        <v>163</v>
      </c>
      <c r="N89">
        <v>10.96</v>
      </c>
      <c r="O89" t="s">
        <v>163</v>
      </c>
      <c r="P89" t="s">
        <v>163</v>
      </c>
      <c r="Q89" t="s">
        <v>163</v>
      </c>
      <c r="R89" t="s">
        <v>163</v>
      </c>
      <c r="S89" t="s">
        <v>163</v>
      </c>
      <c r="T89" t="s">
        <v>163</v>
      </c>
      <c r="U89" t="s">
        <v>163</v>
      </c>
      <c r="V89" t="s">
        <v>163</v>
      </c>
      <c r="W89" t="s">
        <v>165</v>
      </c>
      <c r="X89" t="s">
        <v>165</v>
      </c>
      <c r="Y89" t="s">
        <v>163</v>
      </c>
      <c r="Z89" t="s">
        <v>163</v>
      </c>
      <c r="AA89">
        <v>1</v>
      </c>
      <c r="AB89">
        <v>2</v>
      </c>
      <c r="AC89">
        <v>0</v>
      </c>
      <c r="AD89" t="s">
        <v>163</v>
      </c>
      <c r="AE89" t="s">
        <v>163</v>
      </c>
      <c r="AF89" t="s">
        <v>163</v>
      </c>
      <c r="AG89" t="s">
        <v>163</v>
      </c>
      <c r="AH89" t="s">
        <v>163</v>
      </c>
      <c r="AI89" t="s">
        <v>163</v>
      </c>
      <c r="AJ89" t="s">
        <v>163</v>
      </c>
      <c r="AK89">
        <v>3</v>
      </c>
      <c r="AL89">
        <v>4</v>
      </c>
      <c r="AM89" t="s">
        <v>163</v>
      </c>
      <c r="AN89">
        <v>1</v>
      </c>
      <c r="AO89">
        <v>1</v>
      </c>
      <c r="AP89">
        <v>2</v>
      </c>
      <c r="AQ89">
        <v>2</v>
      </c>
      <c r="AR89">
        <v>5</v>
      </c>
      <c r="AS89">
        <v>6</v>
      </c>
    </row>
    <row r="90" spans="1:45" x14ac:dyDescent="0.35">
      <c r="A90" s="337">
        <v>46266</v>
      </c>
      <c r="B90" s="337">
        <v>46294</v>
      </c>
      <c r="C90" s="337">
        <v>46291</v>
      </c>
      <c r="D90" t="s">
        <v>128</v>
      </c>
      <c r="E90" s="339">
        <v>0.66666666666666663</v>
      </c>
      <c r="F90">
        <v>1</v>
      </c>
      <c r="G90" t="s">
        <v>158</v>
      </c>
      <c r="H90" t="s">
        <v>163</v>
      </c>
      <c r="I90" t="s">
        <v>165</v>
      </c>
      <c r="J90" t="s">
        <v>165</v>
      </c>
      <c r="K90" t="s">
        <v>165</v>
      </c>
      <c r="L90" t="s">
        <v>163</v>
      </c>
      <c r="M90" t="s">
        <v>163</v>
      </c>
      <c r="N90">
        <v>10.88</v>
      </c>
      <c r="O90" t="s">
        <v>163</v>
      </c>
      <c r="P90" t="s">
        <v>163</v>
      </c>
      <c r="Q90" t="s">
        <v>163</v>
      </c>
      <c r="R90" t="s">
        <v>163</v>
      </c>
      <c r="S90" t="s">
        <v>163</v>
      </c>
      <c r="T90" t="s">
        <v>163</v>
      </c>
      <c r="U90" t="s">
        <v>163</v>
      </c>
      <c r="V90" t="s">
        <v>163</v>
      </c>
      <c r="W90" t="s">
        <v>165</v>
      </c>
      <c r="X90" t="s">
        <v>165</v>
      </c>
      <c r="Y90" t="s">
        <v>163</v>
      </c>
      <c r="Z90" t="s">
        <v>163</v>
      </c>
      <c r="AA90">
        <v>1</v>
      </c>
      <c r="AB90">
        <v>2</v>
      </c>
      <c r="AC90">
        <v>0</v>
      </c>
      <c r="AD90" t="s">
        <v>163</v>
      </c>
      <c r="AE90" t="s">
        <v>163</v>
      </c>
      <c r="AF90" t="s">
        <v>163</v>
      </c>
      <c r="AG90" t="s">
        <v>163</v>
      </c>
      <c r="AH90" t="s">
        <v>163</v>
      </c>
      <c r="AI90" t="s">
        <v>163</v>
      </c>
      <c r="AJ90" t="s">
        <v>163</v>
      </c>
      <c r="AK90">
        <v>3</v>
      </c>
      <c r="AL90">
        <v>4</v>
      </c>
      <c r="AM90" t="s">
        <v>163</v>
      </c>
      <c r="AN90">
        <v>1</v>
      </c>
      <c r="AO90">
        <v>1</v>
      </c>
      <c r="AP90">
        <v>2</v>
      </c>
      <c r="AQ90">
        <v>2</v>
      </c>
      <c r="AR90">
        <v>5</v>
      </c>
      <c r="AS90">
        <v>6</v>
      </c>
    </row>
    <row r="91" spans="1:45" x14ac:dyDescent="0.35">
      <c r="A91" s="337">
        <v>46266</v>
      </c>
      <c r="B91" s="337">
        <v>46294</v>
      </c>
      <c r="C91" s="337">
        <v>46291</v>
      </c>
      <c r="D91" t="s">
        <v>128</v>
      </c>
      <c r="E91" s="339">
        <v>0.625</v>
      </c>
      <c r="F91">
        <v>1</v>
      </c>
      <c r="G91" t="s">
        <v>158</v>
      </c>
      <c r="H91" t="s">
        <v>163</v>
      </c>
      <c r="I91" t="s">
        <v>165</v>
      </c>
      <c r="J91" t="s">
        <v>165</v>
      </c>
      <c r="K91" t="s">
        <v>165</v>
      </c>
      <c r="L91" t="s">
        <v>163</v>
      </c>
      <c r="M91" t="s">
        <v>163</v>
      </c>
      <c r="N91">
        <v>10.89</v>
      </c>
      <c r="O91">
        <v>9</v>
      </c>
      <c r="P91">
        <v>0.56999999999999995</v>
      </c>
      <c r="Q91" t="s">
        <v>163</v>
      </c>
      <c r="R91" t="s">
        <v>163</v>
      </c>
      <c r="S91" t="s">
        <v>163</v>
      </c>
      <c r="T91">
        <v>24.4</v>
      </c>
      <c r="U91" t="s">
        <v>163</v>
      </c>
      <c r="V91">
        <v>25.16</v>
      </c>
      <c r="W91" t="s">
        <v>165</v>
      </c>
      <c r="X91" t="s">
        <v>165</v>
      </c>
      <c r="Y91" t="s">
        <v>163</v>
      </c>
      <c r="Z91" t="s">
        <v>163</v>
      </c>
      <c r="AA91">
        <v>1</v>
      </c>
      <c r="AB91">
        <v>2</v>
      </c>
      <c r="AC91">
        <v>0</v>
      </c>
      <c r="AD91">
        <v>1</v>
      </c>
      <c r="AE91">
        <v>2</v>
      </c>
      <c r="AF91" t="s">
        <v>163</v>
      </c>
      <c r="AG91" t="s">
        <v>163</v>
      </c>
      <c r="AH91" t="s">
        <v>163</v>
      </c>
      <c r="AI91">
        <v>2</v>
      </c>
      <c r="AJ91" t="s">
        <v>163</v>
      </c>
      <c r="AK91">
        <v>8</v>
      </c>
      <c r="AL91">
        <v>9</v>
      </c>
      <c r="AM91">
        <v>1</v>
      </c>
      <c r="AN91">
        <v>1</v>
      </c>
      <c r="AO91">
        <v>1</v>
      </c>
      <c r="AP91">
        <v>3</v>
      </c>
      <c r="AQ91">
        <v>3</v>
      </c>
      <c r="AR91">
        <v>11</v>
      </c>
      <c r="AS91">
        <v>12</v>
      </c>
    </row>
    <row r="92" spans="1:45" x14ac:dyDescent="0.35">
      <c r="A92" s="337">
        <v>46266</v>
      </c>
      <c r="B92" s="337">
        <v>46294</v>
      </c>
      <c r="C92" s="337">
        <v>46292</v>
      </c>
      <c r="D92" t="s">
        <v>125</v>
      </c>
      <c r="E92" t="s">
        <v>326</v>
      </c>
      <c r="F92" t="s">
        <v>383</v>
      </c>
      <c r="G92" t="s">
        <v>104</v>
      </c>
      <c r="H92" t="s">
        <v>163</v>
      </c>
      <c r="I92" t="s">
        <v>165</v>
      </c>
      <c r="J92" t="s">
        <v>165</v>
      </c>
      <c r="K92" t="s">
        <v>165</v>
      </c>
      <c r="L92" t="s">
        <v>161</v>
      </c>
      <c r="M92" t="s">
        <v>161</v>
      </c>
      <c r="N92">
        <v>11.76</v>
      </c>
      <c r="O92">
        <v>14.76</v>
      </c>
      <c r="P92">
        <v>1.1399999999999999</v>
      </c>
      <c r="Q92">
        <v>67.7</v>
      </c>
      <c r="R92" t="s">
        <v>163</v>
      </c>
      <c r="S92" t="s">
        <v>163</v>
      </c>
      <c r="T92">
        <v>42</v>
      </c>
      <c r="U92" t="s">
        <v>163</v>
      </c>
      <c r="V92" t="s">
        <v>163</v>
      </c>
      <c r="W92" t="s">
        <v>163</v>
      </c>
      <c r="X92" t="s">
        <v>163</v>
      </c>
      <c r="Y92" t="s">
        <v>163</v>
      </c>
      <c r="Z92" t="s">
        <v>163</v>
      </c>
      <c r="AA92">
        <v>1</v>
      </c>
      <c r="AB92">
        <v>2</v>
      </c>
      <c r="AC92">
        <v>0</v>
      </c>
      <c r="AD92">
        <v>1</v>
      </c>
      <c r="AE92">
        <v>2</v>
      </c>
      <c r="AF92">
        <v>2</v>
      </c>
      <c r="AG92" t="s">
        <v>163</v>
      </c>
      <c r="AH92" t="s">
        <v>163</v>
      </c>
      <c r="AI92">
        <v>2</v>
      </c>
      <c r="AJ92" t="s">
        <v>163</v>
      </c>
      <c r="AK92">
        <v>10</v>
      </c>
      <c r="AL92">
        <v>11</v>
      </c>
      <c r="AM92" t="s">
        <v>163</v>
      </c>
      <c r="AN92" t="s">
        <v>163</v>
      </c>
      <c r="AO92" t="s">
        <v>163</v>
      </c>
      <c r="AP92">
        <v>0</v>
      </c>
      <c r="AQ92">
        <v>0</v>
      </c>
      <c r="AR92">
        <v>10</v>
      </c>
      <c r="AS92">
        <v>11</v>
      </c>
    </row>
    <row r="93" spans="1:45" x14ac:dyDescent="0.35">
      <c r="A93" s="337">
        <v>46266</v>
      </c>
      <c r="B93" s="337">
        <v>46294</v>
      </c>
      <c r="C93" s="337">
        <v>46293</v>
      </c>
      <c r="D93" t="s">
        <v>125</v>
      </c>
      <c r="E93" t="s">
        <v>238</v>
      </c>
      <c r="F93">
        <v>3</v>
      </c>
      <c r="G93" t="s">
        <v>119</v>
      </c>
      <c r="H93" t="s">
        <v>163</v>
      </c>
      <c r="I93" t="s">
        <v>165</v>
      </c>
      <c r="J93" t="s">
        <v>165</v>
      </c>
      <c r="K93" t="s">
        <v>165</v>
      </c>
      <c r="L93" t="s">
        <v>161</v>
      </c>
      <c r="M93" t="s">
        <v>161</v>
      </c>
      <c r="N93">
        <v>11.58</v>
      </c>
      <c r="O93" t="s">
        <v>163</v>
      </c>
      <c r="P93" t="s">
        <v>163</v>
      </c>
      <c r="Q93" t="s">
        <v>163</v>
      </c>
      <c r="R93" t="s">
        <v>163</v>
      </c>
      <c r="S93" t="s">
        <v>163</v>
      </c>
      <c r="T93" t="s">
        <v>163</v>
      </c>
      <c r="U93" t="s">
        <v>163</v>
      </c>
      <c r="V93" t="s">
        <v>163</v>
      </c>
      <c r="W93" t="s">
        <v>165</v>
      </c>
      <c r="X93" t="s">
        <v>165</v>
      </c>
      <c r="Y93" t="s">
        <v>163</v>
      </c>
      <c r="Z93" t="s">
        <v>163</v>
      </c>
      <c r="AA93">
        <v>1</v>
      </c>
      <c r="AB93">
        <v>2</v>
      </c>
      <c r="AC93">
        <v>0</v>
      </c>
      <c r="AD93" t="s">
        <v>163</v>
      </c>
      <c r="AE93" t="s">
        <v>163</v>
      </c>
      <c r="AF93" t="s">
        <v>163</v>
      </c>
      <c r="AG93" t="s">
        <v>163</v>
      </c>
      <c r="AH93" t="s">
        <v>163</v>
      </c>
      <c r="AI93" t="s">
        <v>163</v>
      </c>
      <c r="AJ93" t="s">
        <v>163</v>
      </c>
      <c r="AK93">
        <v>3</v>
      </c>
      <c r="AL93">
        <v>4</v>
      </c>
      <c r="AM93" t="s">
        <v>163</v>
      </c>
      <c r="AN93">
        <v>1</v>
      </c>
      <c r="AO93">
        <v>1</v>
      </c>
      <c r="AP93">
        <v>2</v>
      </c>
      <c r="AQ93">
        <v>2</v>
      </c>
      <c r="AR93">
        <v>5</v>
      </c>
      <c r="AS93">
        <v>6</v>
      </c>
    </row>
    <row r="94" spans="1:45" x14ac:dyDescent="0.35">
      <c r="A94" s="337">
        <v>46266</v>
      </c>
      <c r="B94" s="337">
        <v>46294</v>
      </c>
      <c r="C94" s="337">
        <v>46293</v>
      </c>
      <c r="D94" t="s">
        <v>125</v>
      </c>
      <c r="E94" t="s">
        <v>328</v>
      </c>
      <c r="F94">
        <v>3</v>
      </c>
      <c r="G94" t="s">
        <v>119</v>
      </c>
      <c r="H94">
        <v>0.01</v>
      </c>
      <c r="I94" t="s">
        <v>165</v>
      </c>
      <c r="J94" t="s">
        <v>165</v>
      </c>
      <c r="K94" t="s">
        <v>165</v>
      </c>
      <c r="L94" t="s">
        <v>161</v>
      </c>
      <c r="M94" t="s">
        <v>161</v>
      </c>
      <c r="N94">
        <v>11.67</v>
      </c>
      <c r="O94" t="s">
        <v>163</v>
      </c>
      <c r="P94" t="s">
        <v>163</v>
      </c>
      <c r="Q94" t="s">
        <v>163</v>
      </c>
      <c r="R94" t="s">
        <v>163</v>
      </c>
      <c r="S94" t="s">
        <v>163</v>
      </c>
      <c r="T94" t="s">
        <v>163</v>
      </c>
      <c r="U94" t="s">
        <v>163</v>
      </c>
      <c r="V94" t="s">
        <v>163</v>
      </c>
      <c r="W94" t="s">
        <v>165</v>
      </c>
      <c r="X94" t="s">
        <v>165</v>
      </c>
      <c r="Y94" t="s">
        <v>163</v>
      </c>
      <c r="Z94">
        <v>2</v>
      </c>
      <c r="AA94">
        <v>1</v>
      </c>
      <c r="AB94">
        <v>2</v>
      </c>
      <c r="AC94">
        <v>0</v>
      </c>
      <c r="AD94" t="s">
        <v>163</v>
      </c>
      <c r="AE94" t="s">
        <v>163</v>
      </c>
      <c r="AF94" t="s">
        <v>163</v>
      </c>
      <c r="AG94" t="s">
        <v>163</v>
      </c>
      <c r="AH94" t="s">
        <v>163</v>
      </c>
      <c r="AI94" t="s">
        <v>163</v>
      </c>
      <c r="AJ94" t="s">
        <v>163</v>
      </c>
      <c r="AK94">
        <v>5</v>
      </c>
      <c r="AL94">
        <v>6</v>
      </c>
      <c r="AM94" t="s">
        <v>163</v>
      </c>
      <c r="AN94">
        <v>1</v>
      </c>
      <c r="AO94">
        <v>1</v>
      </c>
      <c r="AP94">
        <v>2</v>
      </c>
      <c r="AQ94">
        <v>2</v>
      </c>
      <c r="AR94">
        <v>7</v>
      </c>
      <c r="AS94">
        <v>8</v>
      </c>
    </row>
    <row r="95" spans="1:45" x14ac:dyDescent="0.35">
      <c r="A95" s="337">
        <v>46266</v>
      </c>
      <c r="B95" s="337">
        <v>46294</v>
      </c>
      <c r="C95" s="337">
        <v>46293</v>
      </c>
      <c r="D95" t="s">
        <v>125</v>
      </c>
      <c r="E95" t="s">
        <v>240</v>
      </c>
      <c r="F95">
        <v>3</v>
      </c>
      <c r="G95" t="s">
        <v>119</v>
      </c>
      <c r="H95">
        <v>0.01</v>
      </c>
      <c r="I95" t="s">
        <v>165</v>
      </c>
      <c r="J95" t="s">
        <v>165</v>
      </c>
      <c r="K95" t="s">
        <v>165</v>
      </c>
      <c r="L95" t="s">
        <v>161</v>
      </c>
      <c r="M95" t="s">
        <v>161</v>
      </c>
      <c r="N95">
        <v>11.64</v>
      </c>
      <c r="O95" t="s">
        <v>163</v>
      </c>
      <c r="P95" t="s">
        <v>163</v>
      </c>
      <c r="Q95" t="s">
        <v>163</v>
      </c>
      <c r="R95" t="s">
        <v>163</v>
      </c>
      <c r="S95" t="s">
        <v>163</v>
      </c>
      <c r="T95" t="s">
        <v>163</v>
      </c>
      <c r="U95" t="s">
        <v>163</v>
      </c>
      <c r="V95" t="s">
        <v>163</v>
      </c>
      <c r="W95" t="s">
        <v>165</v>
      </c>
      <c r="X95" t="s">
        <v>165</v>
      </c>
      <c r="Y95" t="s">
        <v>163</v>
      </c>
      <c r="Z95">
        <v>2</v>
      </c>
      <c r="AA95">
        <v>1</v>
      </c>
      <c r="AB95">
        <v>2</v>
      </c>
      <c r="AC95">
        <v>0</v>
      </c>
      <c r="AD95" t="s">
        <v>163</v>
      </c>
      <c r="AE95" t="s">
        <v>163</v>
      </c>
      <c r="AF95" t="s">
        <v>163</v>
      </c>
      <c r="AG95" t="s">
        <v>163</v>
      </c>
      <c r="AH95" t="s">
        <v>163</v>
      </c>
      <c r="AI95" t="s">
        <v>163</v>
      </c>
      <c r="AJ95" t="s">
        <v>163</v>
      </c>
      <c r="AK95">
        <v>5</v>
      </c>
      <c r="AL95">
        <v>6</v>
      </c>
      <c r="AM95" t="s">
        <v>163</v>
      </c>
      <c r="AN95">
        <v>1</v>
      </c>
      <c r="AO95">
        <v>1</v>
      </c>
      <c r="AP95">
        <v>2</v>
      </c>
      <c r="AQ95">
        <v>2</v>
      </c>
      <c r="AR95">
        <v>7</v>
      </c>
      <c r="AS95">
        <v>8</v>
      </c>
    </row>
    <row r="96" spans="1:45" x14ac:dyDescent="0.35">
      <c r="A96" s="337">
        <v>46266</v>
      </c>
      <c r="B96" s="337">
        <v>46294</v>
      </c>
      <c r="C96" s="337">
        <v>46293</v>
      </c>
      <c r="D96" t="s">
        <v>125</v>
      </c>
      <c r="E96" t="s">
        <v>273</v>
      </c>
      <c r="F96">
        <v>3</v>
      </c>
      <c r="G96" t="s">
        <v>119</v>
      </c>
      <c r="H96">
        <v>0.01</v>
      </c>
      <c r="I96" t="s">
        <v>165</v>
      </c>
      <c r="J96" t="s">
        <v>165</v>
      </c>
      <c r="K96" t="s">
        <v>165</v>
      </c>
      <c r="L96" t="s">
        <v>161</v>
      </c>
      <c r="M96" t="s">
        <v>161</v>
      </c>
      <c r="N96">
        <v>11.54</v>
      </c>
      <c r="O96" t="s">
        <v>163</v>
      </c>
      <c r="P96" t="s">
        <v>163</v>
      </c>
      <c r="Q96">
        <v>0.55000000000000004</v>
      </c>
      <c r="R96" t="s">
        <v>163</v>
      </c>
      <c r="S96" t="s">
        <v>163</v>
      </c>
      <c r="T96" t="s">
        <v>163</v>
      </c>
      <c r="U96" t="s">
        <v>163</v>
      </c>
      <c r="V96" t="s">
        <v>163</v>
      </c>
      <c r="W96" t="s">
        <v>165</v>
      </c>
      <c r="X96" t="s">
        <v>165</v>
      </c>
      <c r="Y96" t="s">
        <v>163</v>
      </c>
      <c r="Z96">
        <v>2</v>
      </c>
      <c r="AA96">
        <v>1</v>
      </c>
      <c r="AB96">
        <v>2</v>
      </c>
      <c r="AC96">
        <v>0</v>
      </c>
      <c r="AD96" t="s">
        <v>163</v>
      </c>
      <c r="AE96" t="s">
        <v>163</v>
      </c>
      <c r="AF96">
        <v>0</v>
      </c>
      <c r="AG96" t="s">
        <v>163</v>
      </c>
      <c r="AH96" t="s">
        <v>163</v>
      </c>
      <c r="AI96" t="s">
        <v>163</v>
      </c>
      <c r="AJ96" t="s">
        <v>163</v>
      </c>
      <c r="AK96">
        <v>5</v>
      </c>
      <c r="AL96">
        <v>8</v>
      </c>
      <c r="AM96" t="s">
        <v>163</v>
      </c>
      <c r="AN96">
        <v>1</v>
      </c>
      <c r="AO96">
        <v>1</v>
      </c>
      <c r="AP96">
        <v>2</v>
      </c>
      <c r="AQ96">
        <v>2</v>
      </c>
      <c r="AR96">
        <v>7</v>
      </c>
      <c r="AS96">
        <v>10</v>
      </c>
    </row>
    <row r="97" spans="1:45" x14ac:dyDescent="0.35">
      <c r="A97" s="337">
        <v>46266</v>
      </c>
      <c r="B97" s="337">
        <v>46294</v>
      </c>
      <c r="C97" s="337">
        <v>46293</v>
      </c>
      <c r="D97" t="s">
        <v>125</v>
      </c>
      <c r="E97" t="s">
        <v>239</v>
      </c>
      <c r="F97">
        <v>3</v>
      </c>
      <c r="G97" t="s">
        <v>119</v>
      </c>
      <c r="H97">
        <v>0.01</v>
      </c>
      <c r="I97" t="s">
        <v>165</v>
      </c>
      <c r="J97" t="s">
        <v>165</v>
      </c>
      <c r="K97" t="s">
        <v>165</v>
      </c>
      <c r="L97" t="s">
        <v>161</v>
      </c>
      <c r="M97" t="s">
        <v>161</v>
      </c>
      <c r="N97">
        <v>11.45</v>
      </c>
      <c r="O97">
        <v>12.9</v>
      </c>
      <c r="P97">
        <v>0.55000000000000004</v>
      </c>
      <c r="Q97">
        <v>63.9</v>
      </c>
      <c r="R97" t="s">
        <v>163</v>
      </c>
      <c r="S97" t="s">
        <v>163</v>
      </c>
      <c r="T97">
        <v>36.299999999999997</v>
      </c>
      <c r="U97" t="s">
        <v>163</v>
      </c>
      <c r="V97" t="s">
        <v>163</v>
      </c>
      <c r="W97" t="s">
        <v>165</v>
      </c>
      <c r="X97" t="s">
        <v>165</v>
      </c>
      <c r="Y97" t="s">
        <v>431</v>
      </c>
      <c r="Z97">
        <v>2</v>
      </c>
      <c r="AA97">
        <v>1</v>
      </c>
      <c r="AB97">
        <v>2</v>
      </c>
      <c r="AC97">
        <v>0</v>
      </c>
      <c r="AD97">
        <v>1</v>
      </c>
      <c r="AE97">
        <v>2</v>
      </c>
      <c r="AF97">
        <v>0</v>
      </c>
      <c r="AG97" t="s">
        <v>163</v>
      </c>
      <c r="AH97" t="s">
        <v>163</v>
      </c>
      <c r="AI97">
        <v>2</v>
      </c>
      <c r="AJ97" t="s">
        <v>163</v>
      </c>
      <c r="AK97">
        <v>10</v>
      </c>
      <c r="AL97">
        <v>13</v>
      </c>
      <c r="AM97" t="s">
        <v>163</v>
      </c>
      <c r="AN97">
        <v>1</v>
      </c>
      <c r="AO97">
        <v>1</v>
      </c>
      <c r="AP97">
        <v>2</v>
      </c>
      <c r="AQ97">
        <v>2</v>
      </c>
      <c r="AR97">
        <v>12</v>
      </c>
      <c r="AS97">
        <v>15</v>
      </c>
    </row>
    <row r="98" spans="1:45" x14ac:dyDescent="0.35">
      <c r="A98" s="337">
        <v>46266</v>
      </c>
      <c r="B98" s="337">
        <v>46294</v>
      </c>
      <c r="C98" s="339">
        <v>0</v>
      </c>
      <c r="D98" t="s">
        <v>125</v>
      </c>
      <c r="E98" t="s">
        <v>237</v>
      </c>
      <c r="F98">
        <v>2</v>
      </c>
      <c r="G98" t="s">
        <v>39</v>
      </c>
      <c r="H98" t="s">
        <v>163</v>
      </c>
      <c r="I98" t="s">
        <v>165</v>
      </c>
      <c r="J98" t="s">
        <v>165</v>
      </c>
      <c r="K98" t="s">
        <v>165</v>
      </c>
      <c r="L98" t="s">
        <v>163</v>
      </c>
      <c r="M98" t="s">
        <v>161</v>
      </c>
      <c r="N98">
        <v>10.26</v>
      </c>
      <c r="O98" t="s">
        <v>163</v>
      </c>
      <c r="P98" t="s">
        <v>163</v>
      </c>
      <c r="Q98" t="s">
        <v>163</v>
      </c>
      <c r="R98" t="s">
        <v>163</v>
      </c>
      <c r="S98" t="s">
        <v>163</v>
      </c>
      <c r="T98" t="s">
        <v>163</v>
      </c>
      <c r="U98" t="s">
        <v>163</v>
      </c>
      <c r="V98" t="s">
        <v>163</v>
      </c>
      <c r="W98" t="s">
        <v>165</v>
      </c>
      <c r="X98" t="s">
        <v>165</v>
      </c>
      <c r="Y98" t="s">
        <v>163</v>
      </c>
      <c r="Z98" t="s">
        <v>163</v>
      </c>
      <c r="AA98">
        <v>1</v>
      </c>
      <c r="AB98">
        <v>2</v>
      </c>
      <c r="AC98">
        <v>0</v>
      </c>
      <c r="AD98" t="s">
        <v>163</v>
      </c>
      <c r="AE98" t="s">
        <v>163</v>
      </c>
      <c r="AF98" t="s">
        <v>163</v>
      </c>
      <c r="AG98" t="s">
        <v>163</v>
      </c>
      <c r="AH98" t="s">
        <v>163</v>
      </c>
      <c r="AI98" t="s">
        <v>163</v>
      </c>
      <c r="AJ98" t="s">
        <v>163</v>
      </c>
      <c r="AK98">
        <v>3</v>
      </c>
      <c r="AL98">
        <v>4</v>
      </c>
      <c r="AM98" t="s">
        <v>163</v>
      </c>
      <c r="AN98">
        <v>1</v>
      </c>
      <c r="AO98">
        <v>1</v>
      </c>
      <c r="AP98">
        <v>2</v>
      </c>
      <c r="AQ98">
        <v>2</v>
      </c>
      <c r="AR98">
        <v>5</v>
      </c>
      <c r="AS98">
        <v>6</v>
      </c>
    </row>
    <row r="99" spans="1:45" x14ac:dyDescent="0.35">
      <c r="A99" s="337">
        <v>46266</v>
      </c>
      <c r="B99" s="337">
        <v>46294</v>
      </c>
      <c r="C99" s="339">
        <v>0</v>
      </c>
      <c r="D99" t="s">
        <v>125</v>
      </c>
      <c r="E99" t="s">
        <v>240</v>
      </c>
      <c r="F99">
        <v>2</v>
      </c>
      <c r="G99" t="s">
        <v>39</v>
      </c>
      <c r="H99" t="s">
        <v>163</v>
      </c>
      <c r="I99" t="s">
        <v>165</v>
      </c>
      <c r="J99" t="s">
        <v>165</v>
      </c>
      <c r="K99" t="s">
        <v>165</v>
      </c>
      <c r="L99" t="s">
        <v>163</v>
      </c>
      <c r="M99" t="s">
        <v>161</v>
      </c>
      <c r="N99">
        <v>10.18</v>
      </c>
      <c r="O99" t="s">
        <v>163</v>
      </c>
      <c r="P99" t="s">
        <v>163</v>
      </c>
      <c r="Q99" t="s">
        <v>163</v>
      </c>
      <c r="R99" t="s">
        <v>163</v>
      </c>
      <c r="S99" t="s">
        <v>163</v>
      </c>
      <c r="T99" t="s">
        <v>163</v>
      </c>
      <c r="U99" t="s">
        <v>163</v>
      </c>
      <c r="V99" t="s">
        <v>163</v>
      </c>
      <c r="W99" t="s">
        <v>165</v>
      </c>
      <c r="X99" t="s">
        <v>165</v>
      </c>
      <c r="Y99" t="s">
        <v>163</v>
      </c>
      <c r="Z99" t="s">
        <v>163</v>
      </c>
      <c r="AA99">
        <v>1</v>
      </c>
      <c r="AB99">
        <v>2</v>
      </c>
      <c r="AC99">
        <v>0</v>
      </c>
      <c r="AD99" t="s">
        <v>163</v>
      </c>
      <c r="AE99" t="s">
        <v>163</v>
      </c>
      <c r="AF99" t="s">
        <v>163</v>
      </c>
      <c r="AG99" t="s">
        <v>163</v>
      </c>
      <c r="AH99" t="s">
        <v>163</v>
      </c>
      <c r="AI99" t="s">
        <v>163</v>
      </c>
      <c r="AJ99" t="s">
        <v>163</v>
      </c>
      <c r="AK99">
        <v>3</v>
      </c>
      <c r="AL99">
        <v>4</v>
      </c>
      <c r="AM99" t="s">
        <v>163</v>
      </c>
      <c r="AN99">
        <v>1</v>
      </c>
      <c r="AO99">
        <v>1</v>
      </c>
      <c r="AP99">
        <v>2</v>
      </c>
      <c r="AQ99">
        <v>2</v>
      </c>
      <c r="AR99">
        <v>5</v>
      </c>
      <c r="AS99">
        <v>6</v>
      </c>
    </row>
    <row r="100" spans="1:45" x14ac:dyDescent="0.35">
      <c r="A100" s="337">
        <v>46266</v>
      </c>
      <c r="B100" s="337">
        <v>46294</v>
      </c>
      <c r="C100" s="339">
        <v>0</v>
      </c>
      <c r="D100" t="s">
        <v>125</v>
      </c>
      <c r="E100" t="s">
        <v>273</v>
      </c>
      <c r="F100">
        <v>2</v>
      </c>
      <c r="G100" t="s">
        <v>39</v>
      </c>
      <c r="H100" t="s">
        <v>163</v>
      </c>
      <c r="I100" t="s">
        <v>165</v>
      </c>
      <c r="J100" t="s">
        <v>165</v>
      </c>
      <c r="K100" t="s">
        <v>165</v>
      </c>
      <c r="L100" t="s">
        <v>163</v>
      </c>
      <c r="M100" t="s">
        <v>161</v>
      </c>
      <c r="N100">
        <v>10.38</v>
      </c>
      <c r="O100">
        <v>9.01</v>
      </c>
      <c r="P100">
        <v>0.59</v>
      </c>
      <c r="Q100">
        <v>55</v>
      </c>
      <c r="R100" t="s">
        <v>163</v>
      </c>
      <c r="S100" t="s">
        <v>163</v>
      </c>
      <c r="T100">
        <v>24.5</v>
      </c>
      <c r="U100" t="s">
        <v>163</v>
      </c>
      <c r="V100" t="s">
        <v>163</v>
      </c>
      <c r="W100" t="s">
        <v>165</v>
      </c>
      <c r="X100" t="s">
        <v>165</v>
      </c>
      <c r="Y100" t="s">
        <v>163</v>
      </c>
      <c r="Z100" t="s">
        <v>163</v>
      </c>
      <c r="AA100">
        <v>1</v>
      </c>
      <c r="AB100">
        <v>2</v>
      </c>
      <c r="AC100">
        <v>0</v>
      </c>
      <c r="AD100">
        <v>1</v>
      </c>
      <c r="AE100">
        <v>2</v>
      </c>
      <c r="AF100">
        <v>0</v>
      </c>
      <c r="AG100" t="s">
        <v>163</v>
      </c>
      <c r="AH100" t="s">
        <v>163</v>
      </c>
      <c r="AI100">
        <v>2</v>
      </c>
      <c r="AJ100" t="s">
        <v>163</v>
      </c>
      <c r="AK100">
        <v>8</v>
      </c>
      <c r="AL100">
        <v>11</v>
      </c>
      <c r="AM100" t="s">
        <v>163</v>
      </c>
      <c r="AN100">
        <v>1</v>
      </c>
      <c r="AO100">
        <v>1</v>
      </c>
      <c r="AP100">
        <v>2</v>
      </c>
      <c r="AQ100">
        <v>2</v>
      </c>
      <c r="AR100">
        <v>10</v>
      </c>
      <c r="AS100">
        <v>13</v>
      </c>
    </row>
    <row r="101" spans="1:45" x14ac:dyDescent="0.35">
      <c r="A101" s="337">
        <v>46266</v>
      </c>
      <c r="B101" s="337">
        <v>46294</v>
      </c>
      <c r="C101" s="339">
        <v>0</v>
      </c>
      <c r="D101" t="s">
        <v>125</v>
      </c>
      <c r="E101" t="s">
        <v>239</v>
      </c>
      <c r="F101">
        <v>2</v>
      </c>
      <c r="G101" t="s">
        <v>39</v>
      </c>
      <c r="H101" t="s">
        <v>163</v>
      </c>
      <c r="I101" t="s">
        <v>165</v>
      </c>
      <c r="J101" t="s">
        <v>165</v>
      </c>
      <c r="K101" t="s">
        <v>165</v>
      </c>
      <c r="L101" t="s">
        <v>163</v>
      </c>
      <c r="M101" t="s">
        <v>161</v>
      </c>
      <c r="N101">
        <v>10.55</v>
      </c>
      <c r="O101" t="s">
        <v>163</v>
      </c>
      <c r="P101" t="s">
        <v>163</v>
      </c>
      <c r="Q101" t="s">
        <v>163</v>
      </c>
      <c r="R101" t="s">
        <v>163</v>
      </c>
      <c r="S101" t="s">
        <v>163</v>
      </c>
      <c r="T101" t="s">
        <v>163</v>
      </c>
      <c r="U101" t="s">
        <v>163</v>
      </c>
      <c r="V101" t="s">
        <v>163</v>
      </c>
      <c r="W101" t="s">
        <v>165</v>
      </c>
      <c r="X101" t="s">
        <v>165</v>
      </c>
      <c r="Y101" t="s">
        <v>418</v>
      </c>
      <c r="Z101" t="s">
        <v>163</v>
      </c>
      <c r="AA101">
        <v>1</v>
      </c>
      <c r="AB101">
        <v>2</v>
      </c>
      <c r="AC101">
        <v>0</v>
      </c>
      <c r="AD101" t="s">
        <v>163</v>
      </c>
      <c r="AE101" t="s">
        <v>163</v>
      </c>
      <c r="AF101" t="s">
        <v>163</v>
      </c>
      <c r="AG101" t="s">
        <v>163</v>
      </c>
      <c r="AH101" t="s">
        <v>163</v>
      </c>
      <c r="AI101" t="s">
        <v>163</v>
      </c>
      <c r="AJ101" t="s">
        <v>163</v>
      </c>
      <c r="AK101">
        <v>3</v>
      </c>
      <c r="AL101">
        <v>4</v>
      </c>
      <c r="AM101" t="s">
        <v>163</v>
      </c>
      <c r="AN101">
        <v>1</v>
      </c>
      <c r="AO101">
        <v>1</v>
      </c>
      <c r="AP101">
        <v>2</v>
      </c>
      <c r="AQ101">
        <v>2</v>
      </c>
      <c r="AR101">
        <v>5</v>
      </c>
      <c r="AS101">
        <v>6</v>
      </c>
    </row>
    <row r="102" spans="1:45" x14ac:dyDescent="0.35">
      <c r="A102" s="337">
        <v>46266</v>
      </c>
      <c r="B102" s="337">
        <v>46294</v>
      </c>
      <c r="C102" s="337">
        <v>816</v>
      </c>
      <c r="D102" t="s">
        <v>125</v>
      </c>
      <c r="E102" t="s">
        <v>326</v>
      </c>
      <c r="F102">
        <v>2</v>
      </c>
      <c r="G102" t="s">
        <v>39</v>
      </c>
      <c r="H102" t="s">
        <v>163</v>
      </c>
      <c r="I102" t="s">
        <v>165</v>
      </c>
      <c r="J102" t="s">
        <v>165</v>
      </c>
      <c r="K102" t="s">
        <v>165</v>
      </c>
      <c r="L102" t="s">
        <v>163</v>
      </c>
      <c r="M102" t="s">
        <v>161</v>
      </c>
      <c r="N102">
        <v>10.63</v>
      </c>
      <c r="O102" t="s">
        <v>163</v>
      </c>
      <c r="P102" t="s">
        <v>163</v>
      </c>
      <c r="Q102" t="s">
        <v>163</v>
      </c>
      <c r="R102" t="s">
        <v>163</v>
      </c>
      <c r="S102" t="s">
        <v>163</v>
      </c>
      <c r="T102" t="s">
        <v>163</v>
      </c>
      <c r="U102" t="s">
        <v>163</v>
      </c>
      <c r="V102" t="s">
        <v>163</v>
      </c>
      <c r="W102" t="s">
        <v>165</v>
      </c>
      <c r="X102" t="s">
        <v>165</v>
      </c>
      <c r="Y102" t="s">
        <v>163</v>
      </c>
      <c r="Z102" t="s">
        <v>163</v>
      </c>
      <c r="AA102">
        <v>1</v>
      </c>
      <c r="AB102">
        <v>2</v>
      </c>
      <c r="AC102">
        <v>0</v>
      </c>
      <c r="AD102" t="s">
        <v>163</v>
      </c>
      <c r="AE102" t="s">
        <v>163</v>
      </c>
      <c r="AF102" t="s">
        <v>163</v>
      </c>
      <c r="AG102" t="s">
        <v>163</v>
      </c>
      <c r="AH102" t="s">
        <v>163</v>
      </c>
      <c r="AI102" t="s">
        <v>163</v>
      </c>
      <c r="AJ102" t="s">
        <v>163</v>
      </c>
      <c r="AK102">
        <v>3</v>
      </c>
      <c r="AL102">
        <v>4</v>
      </c>
      <c r="AM102" t="s">
        <v>163</v>
      </c>
      <c r="AN102">
        <v>1</v>
      </c>
      <c r="AO102">
        <v>1</v>
      </c>
      <c r="AP102">
        <v>2</v>
      </c>
      <c r="AQ102">
        <v>2</v>
      </c>
      <c r="AR102">
        <v>5</v>
      </c>
      <c r="AS102">
        <v>6</v>
      </c>
    </row>
    <row r="103" spans="1:45" x14ac:dyDescent="0.35">
      <c r="A103" s="337">
        <v>46266</v>
      </c>
      <c r="B103" s="337">
        <v>46294</v>
      </c>
      <c r="C103" s="337">
        <v>46291</v>
      </c>
      <c r="D103" t="s">
        <v>125</v>
      </c>
      <c r="E103" t="s">
        <v>238</v>
      </c>
      <c r="F103">
        <v>1</v>
      </c>
      <c r="G103" t="s">
        <v>158</v>
      </c>
      <c r="H103" t="s">
        <v>163</v>
      </c>
      <c r="I103" t="s">
        <v>165</v>
      </c>
      <c r="J103" t="s">
        <v>165</v>
      </c>
      <c r="K103" t="s">
        <v>165</v>
      </c>
      <c r="L103" t="s">
        <v>163</v>
      </c>
      <c r="M103" t="s">
        <v>163</v>
      </c>
      <c r="N103">
        <v>10.64</v>
      </c>
      <c r="O103" t="s">
        <v>163</v>
      </c>
      <c r="P103" t="s">
        <v>163</v>
      </c>
      <c r="Q103" t="s">
        <v>163</v>
      </c>
      <c r="R103" t="s">
        <v>163</v>
      </c>
      <c r="S103" t="s">
        <v>163</v>
      </c>
      <c r="T103" t="s">
        <v>163</v>
      </c>
      <c r="U103" t="s">
        <v>163</v>
      </c>
      <c r="V103" t="s">
        <v>163</v>
      </c>
      <c r="W103" t="s">
        <v>165</v>
      </c>
      <c r="X103" t="s">
        <v>165</v>
      </c>
      <c r="Y103" t="s">
        <v>163</v>
      </c>
      <c r="Z103" t="s">
        <v>163</v>
      </c>
      <c r="AA103">
        <v>1</v>
      </c>
      <c r="AB103">
        <v>2</v>
      </c>
      <c r="AC103">
        <v>0</v>
      </c>
      <c r="AD103" t="s">
        <v>163</v>
      </c>
      <c r="AE103" t="s">
        <v>163</v>
      </c>
      <c r="AF103" t="s">
        <v>163</v>
      </c>
      <c r="AG103" t="s">
        <v>163</v>
      </c>
      <c r="AH103" t="s">
        <v>163</v>
      </c>
      <c r="AI103" t="s">
        <v>163</v>
      </c>
      <c r="AJ103" t="s">
        <v>163</v>
      </c>
      <c r="AK103">
        <v>3</v>
      </c>
      <c r="AL103">
        <v>4</v>
      </c>
      <c r="AM103" t="s">
        <v>163</v>
      </c>
      <c r="AN103">
        <v>1</v>
      </c>
      <c r="AO103">
        <v>1</v>
      </c>
      <c r="AP103">
        <v>2</v>
      </c>
      <c r="AQ103">
        <v>2</v>
      </c>
      <c r="AR103">
        <v>5</v>
      </c>
      <c r="AS103">
        <v>6</v>
      </c>
    </row>
    <row r="104" spans="1:45" x14ac:dyDescent="0.35">
      <c r="A104" s="337">
        <v>46266</v>
      </c>
      <c r="B104" s="337">
        <v>46294</v>
      </c>
      <c r="C104" s="337">
        <v>46291</v>
      </c>
      <c r="D104" t="s">
        <v>125</v>
      </c>
      <c r="E104" t="s">
        <v>328</v>
      </c>
      <c r="F104">
        <v>1</v>
      </c>
      <c r="G104" t="s">
        <v>158</v>
      </c>
      <c r="H104" t="s">
        <v>163</v>
      </c>
      <c r="I104" t="s">
        <v>165</v>
      </c>
      <c r="J104" t="s">
        <v>165</v>
      </c>
      <c r="K104" t="s">
        <v>165</v>
      </c>
      <c r="L104" t="s">
        <v>163</v>
      </c>
      <c r="M104" t="s">
        <v>163</v>
      </c>
      <c r="N104">
        <v>10.95</v>
      </c>
      <c r="O104" t="s">
        <v>163</v>
      </c>
      <c r="P104" t="s">
        <v>163</v>
      </c>
      <c r="Q104" t="s">
        <v>163</v>
      </c>
      <c r="R104" t="s">
        <v>163</v>
      </c>
      <c r="S104" t="s">
        <v>163</v>
      </c>
      <c r="T104" t="s">
        <v>163</v>
      </c>
      <c r="U104" t="s">
        <v>163</v>
      </c>
      <c r="V104" t="s">
        <v>163</v>
      </c>
      <c r="W104" t="s">
        <v>165</v>
      </c>
      <c r="X104" t="s">
        <v>165</v>
      </c>
      <c r="Y104" t="s">
        <v>163</v>
      </c>
      <c r="Z104" t="s">
        <v>163</v>
      </c>
      <c r="AA104">
        <v>1</v>
      </c>
      <c r="AB104">
        <v>2</v>
      </c>
      <c r="AC104">
        <v>0</v>
      </c>
      <c r="AD104" t="s">
        <v>163</v>
      </c>
      <c r="AE104" t="s">
        <v>163</v>
      </c>
      <c r="AF104" t="s">
        <v>163</v>
      </c>
      <c r="AG104" t="s">
        <v>163</v>
      </c>
      <c r="AH104" t="s">
        <v>163</v>
      </c>
      <c r="AI104" t="s">
        <v>163</v>
      </c>
      <c r="AJ104" t="s">
        <v>163</v>
      </c>
      <c r="AK104">
        <v>3</v>
      </c>
      <c r="AL104">
        <v>4</v>
      </c>
      <c r="AM104" t="s">
        <v>163</v>
      </c>
      <c r="AN104">
        <v>1</v>
      </c>
      <c r="AO104">
        <v>1</v>
      </c>
      <c r="AP104">
        <v>2</v>
      </c>
      <c r="AQ104">
        <v>2</v>
      </c>
      <c r="AR104">
        <v>5</v>
      </c>
      <c r="AS104">
        <v>6</v>
      </c>
    </row>
    <row r="105" spans="1:45" x14ac:dyDescent="0.35">
      <c r="A105" s="337">
        <v>46266</v>
      </c>
      <c r="B105" s="337">
        <v>46294</v>
      </c>
      <c r="C105" s="337">
        <v>46291</v>
      </c>
      <c r="D105" t="s">
        <v>125</v>
      </c>
      <c r="E105" t="s">
        <v>237</v>
      </c>
      <c r="F105">
        <v>1</v>
      </c>
      <c r="G105" t="s">
        <v>158</v>
      </c>
      <c r="H105" t="s">
        <v>163</v>
      </c>
      <c r="I105" t="s">
        <v>165</v>
      </c>
      <c r="J105" t="s">
        <v>165</v>
      </c>
      <c r="K105" t="s">
        <v>165</v>
      </c>
      <c r="L105" t="s">
        <v>163</v>
      </c>
      <c r="M105" t="s">
        <v>163</v>
      </c>
      <c r="N105">
        <v>10.88</v>
      </c>
      <c r="O105" t="s">
        <v>163</v>
      </c>
      <c r="P105" t="s">
        <v>163</v>
      </c>
      <c r="Q105" t="s">
        <v>163</v>
      </c>
      <c r="R105" t="s">
        <v>163</v>
      </c>
      <c r="S105" t="s">
        <v>163</v>
      </c>
      <c r="T105" t="s">
        <v>163</v>
      </c>
      <c r="U105" t="s">
        <v>163</v>
      </c>
      <c r="V105" t="s">
        <v>163</v>
      </c>
      <c r="W105" t="s">
        <v>165</v>
      </c>
      <c r="X105" t="s">
        <v>165</v>
      </c>
      <c r="Y105" t="s">
        <v>163</v>
      </c>
      <c r="Z105" t="s">
        <v>163</v>
      </c>
      <c r="AA105">
        <v>1</v>
      </c>
      <c r="AB105">
        <v>2</v>
      </c>
      <c r="AC105">
        <v>0</v>
      </c>
      <c r="AD105" t="s">
        <v>163</v>
      </c>
      <c r="AE105" t="s">
        <v>163</v>
      </c>
      <c r="AF105" t="s">
        <v>163</v>
      </c>
      <c r="AG105" t="s">
        <v>163</v>
      </c>
      <c r="AH105" t="s">
        <v>163</v>
      </c>
      <c r="AI105" t="s">
        <v>163</v>
      </c>
      <c r="AJ105" t="s">
        <v>163</v>
      </c>
      <c r="AK105">
        <v>3</v>
      </c>
      <c r="AL105">
        <v>4</v>
      </c>
      <c r="AM105" t="s">
        <v>163</v>
      </c>
      <c r="AN105">
        <v>1</v>
      </c>
      <c r="AO105">
        <v>1</v>
      </c>
      <c r="AP105">
        <v>2</v>
      </c>
      <c r="AQ105">
        <v>2</v>
      </c>
      <c r="AR105">
        <v>5</v>
      </c>
      <c r="AS105">
        <v>6</v>
      </c>
    </row>
    <row r="106" spans="1:45" x14ac:dyDescent="0.35">
      <c r="A106" s="337">
        <v>46266</v>
      </c>
      <c r="B106" s="337">
        <v>46294</v>
      </c>
      <c r="C106" s="337">
        <v>46291</v>
      </c>
      <c r="D106" t="s">
        <v>125</v>
      </c>
      <c r="E106" t="s">
        <v>240</v>
      </c>
      <c r="F106">
        <v>1</v>
      </c>
      <c r="G106" t="s">
        <v>158</v>
      </c>
      <c r="H106" t="s">
        <v>163</v>
      </c>
      <c r="I106" t="s">
        <v>165</v>
      </c>
      <c r="J106" t="s">
        <v>165</v>
      </c>
      <c r="K106" t="s">
        <v>165</v>
      </c>
      <c r="L106" t="s">
        <v>163</v>
      </c>
      <c r="M106" t="s">
        <v>163</v>
      </c>
      <c r="N106">
        <v>10.81</v>
      </c>
      <c r="O106" t="s">
        <v>163</v>
      </c>
      <c r="P106" t="s">
        <v>163</v>
      </c>
      <c r="Q106" t="s">
        <v>163</v>
      </c>
      <c r="R106" t="s">
        <v>163</v>
      </c>
      <c r="S106" t="s">
        <v>163</v>
      </c>
      <c r="T106" t="s">
        <v>163</v>
      </c>
      <c r="U106" t="s">
        <v>163</v>
      </c>
      <c r="V106" t="s">
        <v>163</v>
      </c>
      <c r="W106" t="s">
        <v>165</v>
      </c>
      <c r="X106" t="s">
        <v>165</v>
      </c>
      <c r="Y106" t="s">
        <v>163</v>
      </c>
      <c r="Z106" t="s">
        <v>163</v>
      </c>
      <c r="AA106">
        <v>1</v>
      </c>
      <c r="AB106">
        <v>2</v>
      </c>
      <c r="AC106">
        <v>0</v>
      </c>
      <c r="AD106" t="s">
        <v>163</v>
      </c>
      <c r="AE106" t="s">
        <v>163</v>
      </c>
      <c r="AF106" t="s">
        <v>163</v>
      </c>
      <c r="AG106" t="s">
        <v>163</v>
      </c>
      <c r="AH106" t="s">
        <v>163</v>
      </c>
      <c r="AI106" t="s">
        <v>163</v>
      </c>
      <c r="AJ106" t="s">
        <v>163</v>
      </c>
      <c r="AK106">
        <v>3</v>
      </c>
      <c r="AL106">
        <v>4</v>
      </c>
      <c r="AM106" t="s">
        <v>163</v>
      </c>
      <c r="AN106">
        <v>1</v>
      </c>
      <c r="AO106">
        <v>1</v>
      </c>
      <c r="AP106">
        <v>2</v>
      </c>
      <c r="AQ106">
        <v>2</v>
      </c>
      <c r="AR106">
        <v>5</v>
      </c>
      <c r="AS106">
        <v>6</v>
      </c>
    </row>
    <row r="107" spans="1:45" x14ac:dyDescent="0.35">
      <c r="A107" s="337">
        <v>46266</v>
      </c>
      <c r="B107" s="337">
        <v>46294</v>
      </c>
      <c r="C107" s="337">
        <v>46291</v>
      </c>
      <c r="D107" t="s">
        <v>125</v>
      </c>
      <c r="E107" t="s">
        <v>273</v>
      </c>
      <c r="F107">
        <v>1</v>
      </c>
      <c r="G107" t="s">
        <v>158</v>
      </c>
      <c r="H107" t="s">
        <v>163</v>
      </c>
      <c r="I107" t="s">
        <v>165</v>
      </c>
      <c r="J107" t="s">
        <v>165</v>
      </c>
      <c r="K107" t="s">
        <v>165</v>
      </c>
      <c r="L107" t="s">
        <v>163</v>
      </c>
      <c r="M107" t="s">
        <v>163</v>
      </c>
      <c r="N107">
        <v>10.48</v>
      </c>
      <c r="O107" t="s">
        <v>163</v>
      </c>
      <c r="P107" t="s">
        <v>163</v>
      </c>
      <c r="Q107" t="s">
        <v>163</v>
      </c>
      <c r="R107" t="s">
        <v>163</v>
      </c>
      <c r="S107" t="s">
        <v>163</v>
      </c>
      <c r="T107" t="s">
        <v>163</v>
      </c>
      <c r="U107" t="s">
        <v>163</v>
      </c>
      <c r="V107" t="s">
        <v>163</v>
      </c>
      <c r="W107" t="s">
        <v>165</v>
      </c>
      <c r="X107" t="s">
        <v>165</v>
      </c>
      <c r="Y107" t="s">
        <v>163</v>
      </c>
      <c r="Z107" t="s">
        <v>163</v>
      </c>
      <c r="AA107">
        <v>1</v>
      </c>
      <c r="AB107">
        <v>2</v>
      </c>
      <c r="AC107">
        <v>0</v>
      </c>
      <c r="AD107" t="s">
        <v>163</v>
      </c>
      <c r="AE107" t="s">
        <v>163</v>
      </c>
      <c r="AF107" t="s">
        <v>163</v>
      </c>
      <c r="AG107" t="s">
        <v>163</v>
      </c>
      <c r="AH107" t="s">
        <v>163</v>
      </c>
      <c r="AI107" t="s">
        <v>163</v>
      </c>
      <c r="AJ107" t="s">
        <v>163</v>
      </c>
      <c r="AK107">
        <v>3</v>
      </c>
      <c r="AL107">
        <v>4</v>
      </c>
      <c r="AM107" t="s">
        <v>163</v>
      </c>
      <c r="AN107">
        <v>1</v>
      </c>
      <c r="AO107">
        <v>1</v>
      </c>
      <c r="AP107">
        <v>2</v>
      </c>
      <c r="AQ107">
        <v>2</v>
      </c>
      <c r="AR107">
        <v>5</v>
      </c>
      <c r="AS107">
        <v>6</v>
      </c>
    </row>
    <row r="108" spans="1:45" x14ac:dyDescent="0.35">
      <c r="A108" s="337">
        <v>46266</v>
      </c>
      <c r="B108" s="337">
        <v>46294</v>
      </c>
      <c r="C108" s="337">
        <v>46291</v>
      </c>
      <c r="D108" t="s">
        <v>125</v>
      </c>
      <c r="E108" t="s">
        <v>239</v>
      </c>
      <c r="F108">
        <v>1</v>
      </c>
      <c r="G108" t="s">
        <v>158</v>
      </c>
      <c r="H108" t="s">
        <v>163</v>
      </c>
      <c r="I108" t="s">
        <v>165</v>
      </c>
      <c r="J108" t="s">
        <v>165</v>
      </c>
      <c r="K108" t="s">
        <v>165</v>
      </c>
      <c r="L108" t="s">
        <v>163</v>
      </c>
      <c r="M108" t="s">
        <v>163</v>
      </c>
      <c r="N108">
        <v>10.81</v>
      </c>
      <c r="O108" t="s">
        <v>163</v>
      </c>
      <c r="P108" t="s">
        <v>163</v>
      </c>
      <c r="Q108" t="s">
        <v>163</v>
      </c>
      <c r="R108" t="s">
        <v>163</v>
      </c>
      <c r="S108" t="s">
        <v>163</v>
      </c>
      <c r="T108" t="s">
        <v>163</v>
      </c>
      <c r="U108" t="s">
        <v>163</v>
      </c>
      <c r="V108" t="s">
        <v>163</v>
      </c>
      <c r="W108" t="s">
        <v>165</v>
      </c>
      <c r="X108" t="s">
        <v>165</v>
      </c>
      <c r="Y108" t="s">
        <v>163</v>
      </c>
      <c r="Z108" t="s">
        <v>163</v>
      </c>
      <c r="AA108">
        <v>1</v>
      </c>
      <c r="AB108">
        <v>2</v>
      </c>
      <c r="AC108">
        <v>0</v>
      </c>
      <c r="AD108" t="s">
        <v>163</v>
      </c>
      <c r="AE108" t="s">
        <v>163</v>
      </c>
      <c r="AF108" t="s">
        <v>163</v>
      </c>
      <c r="AG108" t="s">
        <v>163</v>
      </c>
      <c r="AH108" t="s">
        <v>163</v>
      </c>
      <c r="AI108" t="s">
        <v>163</v>
      </c>
      <c r="AJ108" t="s">
        <v>163</v>
      </c>
      <c r="AK108">
        <v>3</v>
      </c>
      <c r="AL108">
        <v>4</v>
      </c>
      <c r="AM108" t="s">
        <v>163</v>
      </c>
      <c r="AN108">
        <v>1</v>
      </c>
      <c r="AO108">
        <v>1</v>
      </c>
      <c r="AP108">
        <v>2</v>
      </c>
      <c r="AQ108">
        <v>2</v>
      </c>
      <c r="AR108">
        <v>5</v>
      </c>
      <c r="AS108">
        <v>6</v>
      </c>
    </row>
    <row r="109" spans="1:45" x14ac:dyDescent="0.35">
      <c r="A109" s="337">
        <v>46266</v>
      </c>
      <c r="B109" s="337">
        <v>46294</v>
      </c>
      <c r="C109" s="337">
        <v>46291</v>
      </c>
      <c r="D109" t="s">
        <v>125</v>
      </c>
      <c r="E109" t="s">
        <v>326</v>
      </c>
      <c r="F109">
        <v>1</v>
      </c>
      <c r="G109" t="s">
        <v>158</v>
      </c>
      <c r="H109" t="s">
        <v>163</v>
      </c>
      <c r="I109" t="s">
        <v>165</v>
      </c>
      <c r="J109" t="s">
        <v>165</v>
      </c>
      <c r="K109" t="s">
        <v>165</v>
      </c>
      <c r="L109" t="s">
        <v>163</v>
      </c>
      <c r="M109" t="s">
        <v>163</v>
      </c>
      <c r="N109">
        <v>11</v>
      </c>
      <c r="O109">
        <v>8.65</v>
      </c>
      <c r="P109">
        <v>0.56999999999999995</v>
      </c>
      <c r="Q109">
        <v>53.6</v>
      </c>
      <c r="R109" t="s">
        <v>163</v>
      </c>
      <c r="S109" t="s">
        <v>163</v>
      </c>
      <c r="T109">
        <v>23.3</v>
      </c>
      <c r="U109" t="s">
        <v>163</v>
      </c>
      <c r="V109" t="s">
        <v>163</v>
      </c>
      <c r="W109" t="s">
        <v>165</v>
      </c>
      <c r="X109" t="s">
        <v>165</v>
      </c>
      <c r="Y109">
        <v>1</v>
      </c>
      <c r="Z109" t="s">
        <v>163</v>
      </c>
      <c r="AA109">
        <v>1</v>
      </c>
      <c r="AB109">
        <v>2</v>
      </c>
      <c r="AC109">
        <v>1</v>
      </c>
      <c r="AD109">
        <v>1</v>
      </c>
      <c r="AE109">
        <v>2</v>
      </c>
      <c r="AF109">
        <v>0</v>
      </c>
      <c r="AG109" t="s">
        <v>163</v>
      </c>
      <c r="AH109" t="s">
        <v>163</v>
      </c>
      <c r="AI109">
        <v>2</v>
      </c>
      <c r="AJ109" t="s">
        <v>163</v>
      </c>
      <c r="AK109">
        <v>9</v>
      </c>
      <c r="AL109">
        <v>11</v>
      </c>
      <c r="AM109" t="s">
        <v>163</v>
      </c>
      <c r="AN109">
        <v>1</v>
      </c>
      <c r="AO109">
        <v>1</v>
      </c>
      <c r="AP109">
        <v>2</v>
      </c>
      <c r="AQ109">
        <v>2</v>
      </c>
      <c r="AR109">
        <v>11</v>
      </c>
      <c r="AS109">
        <v>13</v>
      </c>
    </row>
    <row r="110" spans="1:45" x14ac:dyDescent="0.35">
      <c r="A110" s="337">
        <v>46266</v>
      </c>
      <c r="B110" s="337">
        <v>46280</v>
      </c>
      <c r="C110" s="337">
        <v>46275</v>
      </c>
      <c r="D110" t="s">
        <v>130</v>
      </c>
      <c r="E110" s="338">
        <v>1.0833333333333333</v>
      </c>
      <c r="F110">
        <v>3</v>
      </c>
      <c r="G110" t="s">
        <v>119</v>
      </c>
      <c r="H110">
        <v>0.01</v>
      </c>
      <c r="I110" t="s">
        <v>165</v>
      </c>
      <c r="J110" t="s">
        <v>165</v>
      </c>
      <c r="K110" t="s">
        <v>165</v>
      </c>
      <c r="L110" t="s">
        <v>161</v>
      </c>
      <c r="M110" t="s">
        <v>161</v>
      </c>
      <c r="N110">
        <v>12.16</v>
      </c>
      <c r="O110" t="s">
        <v>163</v>
      </c>
      <c r="P110" t="s">
        <v>163</v>
      </c>
      <c r="Q110" t="s">
        <v>163</v>
      </c>
      <c r="R110" t="s">
        <v>163</v>
      </c>
      <c r="S110" t="s">
        <v>163</v>
      </c>
      <c r="T110" t="s">
        <v>163</v>
      </c>
      <c r="U110" t="s">
        <v>163</v>
      </c>
      <c r="V110" t="s">
        <v>163</v>
      </c>
      <c r="W110" t="s">
        <v>165</v>
      </c>
      <c r="X110" t="s">
        <v>165</v>
      </c>
      <c r="Y110" t="s">
        <v>163</v>
      </c>
      <c r="Z110">
        <v>2</v>
      </c>
      <c r="AA110">
        <v>1</v>
      </c>
      <c r="AB110">
        <v>2</v>
      </c>
      <c r="AC110">
        <v>1</v>
      </c>
      <c r="AD110" t="s">
        <v>163</v>
      </c>
      <c r="AE110" t="s">
        <v>163</v>
      </c>
      <c r="AF110" t="s">
        <v>163</v>
      </c>
      <c r="AG110" t="s">
        <v>163</v>
      </c>
      <c r="AH110" t="s">
        <v>163</v>
      </c>
      <c r="AI110" t="s">
        <v>163</v>
      </c>
      <c r="AJ110" t="s">
        <v>163</v>
      </c>
      <c r="AK110">
        <v>6</v>
      </c>
      <c r="AL110">
        <v>6</v>
      </c>
      <c r="AM110" t="s">
        <v>163</v>
      </c>
      <c r="AN110">
        <v>1</v>
      </c>
      <c r="AO110">
        <v>1</v>
      </c>
      <c r="AP110">
        <v>2</v>
      </c>
      <c r="AQ110">
        <v>2</v>
      </c>
      <c r="AR110">
        <v>8</v>
      </c>
      <c r="AS110">
        <v>8</v>
      </c>
    </row>
    <row r="111" spans="1:45" x14ac:dyDescent="0.35">
      <c r="A111" s="337">
        <v>46266</v>
      </c>
      <c r="B111" s="337">
        <v>46280</v>
      </c>
      <c r="C111" s="337">
        <v>46275</v>
      </c>
      <c r="D111" t="s">
        <v>130</v>
      </c>
      <c r="E111" s="338">
        <v>1.0416666666666667</v>
      </c>
      <c r="F111">
        <v>3</v>
      </c>
      <c r="G111" t="s">
        <v>119</v>
      </c>
      <c r="H111" t="s">
        <v>163</v>
      </c>
      <c r="I111" t="s">
        <v>165</v>
      </c>
      <c r="J111" t="s">
        <v>165</v>
      </c>
      <c r="K111" t="s">
        <v>165</v>
      </c>
      <c r="L111" t="s">
        <v>161</v>
      </c>
      <c r="M111" t="s">
        <v>161</v>
      </c>
      <c r="N111">
        <v>12.16</v>
      </c>
      <c r="O111">
        <v>13.05</v>
      </c>
      <c r="P111">
        <v>0.54</v>
      </c>
      <c r="Q111">
        <v>64</v>
      </c>
      <c r="R111" t="s">
        <v>163</v>
      </c>
      <c r="S111" t="s">
        <v>163</v>
      </c>
      <c r="T111">
        <v>36.6</v>
      </c>
      <c r="U111" t="s">
        <v>163</v>
      </c>
      <c r="V111" t="s">
        <v>163</v>
      </c>
      <c r="W111" t="s">
        <v>165</v>
      </c>
      <c r="X111" t="s">
        <v>165</v>
      </c>
      <c r="Y111">
        <v>1</v>
      </c>
      <c r="Z111" t="s">
        <v>163</v>
      </c>
      <c r="AA111">
        <v>1</v>
      </c>
      <c r="AB111">
        <v>2</v>
      </c>
      <c r="AC111">
        <v>1</v>
      </c>
      <c r="AD111">
        <v>1</v>
      </c>
      <c r="AE111">
        <v>2</v>
      </c>
      <c r="AF111">
        <v>2</v>
      </c>
      <c r="AG111" t="s">
        <v>163</v>
      </c>
      <c r="AH111" t="s">
        <v>163</v>
      </c>
      <c r="AI111">
        <v>2</v>
      </c>
      <c r="AJ111" t="s">
        <v>163</v>
      </c>
      <c r="AK111">
        <v>11</v>
      </c>
      <c r="AL111">
        <v>11</v>
      </c>
      <c r="AM111" t="s">
        <v>163</v>
      </c>
      <c r="AN111">
        <v>1</v>
      </c>
      <c r="AO111">
        <v>1</v>
      </c>
      <c r="AP111">
        <v>2</v>
      </c>
      <c r="AQ111">
        <v>2</v>
      </c>
      <c r="AR111">
        <v>13</v>
      </c>
      <c r="AS111">
        <v>13</v>
      </c>
    </row>
    <row r="112" spans="1:45" x14ac:dyDescent="0.35">
      <c r="A112" s="337">
        <v>46266</v>
      </c>
      <c r="B112" s="337">
        <v>46280</v>
      </c>
      <c r="C112" s="337">
        <v>46275</v>
      </c>
      <c r="D112" t="s">
        <v>130</v>
      </c>
      <c r="E112" s="337">
        <v>1</v>
      </c>
      <c r="F112">
        <v>3</v>
      </c>
      <c r="G112" t="s">
        <v>119</v>
      </c>
      <c r="H112">
        <v>0.01</v>
      </c>
      <c r="I112" t="s">
        <v>165</v>
      </c>
      <c r="J112" t="s">
        <v>165</v>
      </c>
      <c r="K112" t="s">
        <v>165</v>
      </c>
      <c r="L112" t="s">
        <v>161</v>
      </c>
      <c r="M112" t="s">
        <v>161</v>
      </c>
      <c r="N112">
        <v>11.91</v>
      </c>
      <c r="O112" t="s">
        <v>163</v>
      </c>
      <c r="P112" t="s">
        <v>163</v>
      </c>
      <c r="Q112" t="s">
        <v>163</v>
      </c>
      <c r="R112" t="s">
        <v>163</v>
      </c>
      <c r="S112" t="s">
        <v>163</v>
      </c>
      <c r="T112" t="s">
        <v>163</v>
      </c>
      <c r="U112" t="s">
        <v>163</v>
      </c>
      <c r="V112" t="s">
        <v>163</v>
      </c>
      <c r="W112" t="s">
        <v>165</v>
      </c>
      <c r="X112" t="s">
        <v>165</v>
      </c>
      <c r="Y112" t="s">
        <v>163</v>
      </c>
      <c r="Z112">
        <v>2</v>
      </c>
      <c r="AA112">
        <v>1</v>
      </c>
      <c r="AB112">
        <v>2</v>
      </c>
      <c r="AC112">
        <v>0</v>
      </c>
      <c r="AD112" t="s">
        <v>163</v>
      </c>
      <c r="AE112" t="s">
        <v>163</v>
      </c>
      <c r="AF112" t="s">
        <v>163</v>
      </c>
      <c r="AG112" t="s">
        <v>163</v>
      </c>
      <c r="AH112" t="s">
        <v>163</v>
      </c>
      <c r="AI112" t="s">
        <v>163</v>
      </c>
      <c r="AJ112" t="s">
        <v>163</v>
      </c>
      <c r="AK112">
        <v>5</v>
      </c>
      <c r="AL112">
        <v>6</v>
      </c>
      <c r="AM112" t="s">
        <v>163</v>
      </c>
      <c r="AN112">
        <v>1</v>
      </c>
      <c r="AO112">
        <v>1</v>
      </c>
      <c r="AP112">
        <v>2</v>
      </c>
      <c r="AQ112">
        <v>2</v>
      </c>
      <c r="AR112">
        <v>7</v>
      </c>
      <c r="AS112">
        <v>8</v>
      </c>
    </row>
    <row r="113" spans="1:45" x14ac:dyDescent="0.35">
      <c r="A113" s="337">
        <v>46266</v>
      </c>
      <c r="B113" s="337">
        <v>46280</v>
      </c>
      <c r="C113" s="337">
        <v>46275</v>
      </c>
      <c r="D113" t="s">
        <v>130</v>
      </c>
      <c r="E113" s="339">
        <v>0.95833333333333337</v>
      </c>
      <c r="F113">
        <v>3</v>
      </c>
      <c r="G113" t="s">
        <v>119</v>
      </c>
      <c r="H113" t="s">
        <v>163</v>
      </c>
      <c r="I113" t="s">
        <v>165</v>
      </c>
      <c r="J113" t="s">
        <v>165</v>
      </c>
      <c r="K113" t="s">
        <v>165</v>
      </c>
      <c r="L113" t="s">
        <v>161</v>
      </c>
      <c r="M113" t="s">
        <v>161</v>
      </c>
      <c r="N113">
        <v>12.13</v>
      </c>
      <c r="O113" t="s">
        <v>163</v>
      </c>
      <c r="P113" t="s">
        <v>163</v>
      </c>
      <c r="Q113" t="s">
        <v>163</v>
      </c>
      <c r="R113" t="s">
        <v>163</v>
      </c>
      <c r="S113" t="s">
        <v>163</v>
      </c>
      <c r="T113" t="s">
        <v>163</v>
      </c>
      <c r="U113" t="s">
        <v>163</v>
      </c>
      <c r="V113" t="s">
        <v>163</v>
      </c>
      <c r="W113" t="s">
        <v>165</v>
      </c>
      <c r="X113" t="s">
        <v>165</v>
      </c>
      <c r="Y113" t="s">
        <v>163</v>
      </c>
      <c r="Z113" t="s">
        <v>163</v>
      </c>
      <c r="AA113">
        <v>1</v>
      </c>
      <c r="AB113">
        <v>2</v>
      </c>
      <c r="AC113">
        <v>1</v>
      </c>
      <c r="AD113" t="s">
        <v>163</v>
      </c>
      <c r="AE113" t="s">
        <v>163</v>
      </c>
      <c r="AF113" t="s">
        <v>163</v>
      </c>
      <c r="AG113" t="s">
        <v>163</v>
      </c>
      <c r="AH113" t="s">
        <v>163</v>
      </c>
      <c r="AI113" t="s">
        <v>163</v>
      </c>
      <c r="AJ113" t="s">
        <v>163</v>
      </c>
      <c r="AK113">
        <v>4</v>
      </c>
      <c r="AL113">
        <v>4</v>
      </c>
      <c r="AM113" t="s">
        <v>163</v>
      </c>
      <c r="AN113">
        <v>1</v>
      </c>
      <c r="AO113">
        <v>1</v>
      </c>
      <c r="AP113">
        <v>2</v>
      </c>
      <c r="AQ113">
        <v>2</v>
      </c>
      <c r="AR113">
        <v>6</v>
      </c>
      <c r="AS113">
        <v>6</v>
      </c>
    </row>
    <row r="114" spans="1:45" x14ac:dyDescent="0.35">
      <c r="A114" s="337">
        <v>46266</v>
      </c>
      <c r="B114" s="337">
        <v>46280</v>
      </c>
      <c r="C114" s="337">
        <v>46275</v>
      </c>
      <c r="D114" t="s">
        <v>130</v>
      </c>
      <c r="E114" s="339">
        <v>0.91666666666666663</v>
      </c>
      <c r="F114">
        <v>3</v>
      </c>
      <c r="G114" t="s">
        <v>119</v>
      </c>
      <c r="H114">
        <v>0.01</v>
      </c>
      <c r="I114" t="s">
        <v>165</v>
      </c>
      <c r="J114" t="s">
        <v>165</v>
      </c>
      <c r="K114" t="s">
        <v>165</v>
      </c>
      <c r="L114" t="s">
        <v>161</v>
      </c>
      <c r="M114" t="s">
        <v>161</v>
      </c>
      <c r="N114">
        <v>12.26</v>
      </c>
      <c r="O114">
        <v>13.05</v>
      </c>
      <c r="P114" t="s">
        <v>163</v>
      </c>
      <c r="Q114" t="s">
        <v>163</v>
      </c>
      <c r="R114" t="s">
        <v>163</v>
      </c>
      <c r="S114" t="s">
        <v>163</v>
      </c>
      <c r="T114">
        <v>36.6</v>
      </c>
      <c r="U114" t="s">
        <v>163</v>
      </c>
      <c r="V114" t="s">
        <v>163</v>
      </c>
      <c r="W114" t="s">
        <v>165</v>
      </c>
      <c r="X114" t="s">
        <v>165</v>
      </c>
      <c r="Y114" t="s">
        <v>163</v>
      </c>
      <c r="Z114">
        <v>2</v>
      </c>
      <c r="AA114">
        <v>1</v>
      </c>
      <c r="AB114">
        <v>2</v>
      </c>
      <c r="AC114">
        <v>1</v>
      </c>
      <c r="AD114">
        <v>1</v>
      </c>
      <c r="AE114" t="s">
        <v>163</v>
      </c>
      <c r="AF114" t="s">
        <v>163</v>
      </c>
      <c r="AG114" t="s">
        <v>163</v>
      </c>
      <c r="AH114" t="s">
        <v>163</v>
      </c>
      <c r="AI114">
        <v>2</v>
      </c>
      <c r="AJ114" t="s">
        <v>163</v>
      </c>
      <c r="AK114">
        <v>9</v>
      </c>
      <c r="AL114">
        <v>9</v>
      </c>
      <c r="AM114" t="s">
        <v>163</v>
      </c>
      <c r="AN114">
        <v>1</v>
      </c>
      <c r="AO114">
        <v>1</v>
      </c>
      <c r="AP114">
        <v>2</v>
      </c>
      <c r="AQ114">
        <v>2</v>
      </c>
      <c r="AR114">
        <v>11</v>
      </c>
      <c r="AS114">
        <v>11</v>
      </c>
    </row>
    <row r="115" spans="1:45" x14ac:dyDescent="0.35">
      <c r="A115" s="337">
        <v>46266</v>
      </c>
      <c r="B115" s="337">
        <v>46280</v>
      </c>
      <c r="C115" s="337">
        <v>46275</v>
      </c>
      <c r="D115" t="s">
        <v>128</v>
      </c>
      <c r="E115" s="339">
        <v>0.875</v>
      </c>
      <c r="F115">
        <v>3</v>
      </c>
      <c r="G115" t="s">
        <v>119</v>
      </c>
      <c r="H115">
        <v>0.01</v>
      </c>
      <c r="I115" t="s">
        <v>165</v>
      </c>
      <c r="J115" t="s">
        <v>165</v>
      </c>
      <c r="K115" t="s">
        <v>165</v>
      </c>
      <c r="L115" t="s">
        <v>161</v>
      </c>
      <c r="M115" t="s">
        <v>161</v>
      </c>
      <c r="N115">
        <v>11.94</v>
      </c>
      <c r="O115" t="s">
        <v>163</v>
      </c>
      <c r="P115" t="s">
        <v>163</v>
      </c>
      <c r="Q115" t="s">
        <v>163</v>
      </c>
      <c r="R115" t="s">
        <v>163</v>
      </c>
      <c r="S115" t="s">
        <v>163</v>
      </c>
      <c r="T115" t="s">
        <v>163</v>
      </c>
      <c r="U115" t="s">
        <v>163</v>
      </c>
      <c r="V115" t="s">
        <v>163</v>
      </c>
      <c r="W115" t="s">
        <v>165</v>
      </c>
      <c r="X115" t="s">
        <v>165</v>
      </c>
      <c r="Y115" t="s">
        <v>163</v>
      </c>
      <c r="Z115">
        <v>2</v>
      </c>
      <c r="AA115">
        <v>1</v>
      </c>
      <c r="AB115">
        <v>2</v>
      </c>
      <c r="AC115">
        <v>0</v>
      </c>
      <c r="AD115" t="s">
        <v>163</v>
      </c>
      <c r="AE115" t="s">
        <v>163</v>
      </c>
      <c r="AF115" t="s">
        <v>163</v>
      </c>
      <c r="AG115" t="s">
        <v>163</v>
      </c>
      <c r="AH115" t="s">
        <v>163</v>
      </c>
      <c r="AI115" t="s">
        <v>163</v>
      </c>
      <c r="AJ115" t="s">
        <v>163</v>
      </c>
      <c r="AK115">
        <v>5</v>
      </c>
      <c r="AL115">
        <v>6</v>
      </c>
      <c r="AM115" t="s">
        <v>163</v>
      </c>
      <c r="AN115">
        <v>1</v>
      </c>
      <c r="AO115">
        <v>1</v>
      </c>
      <c r="AP115">
        <v>2</v>
      </c>
      <c r="AQ115">
        <v>2</v>
      </c>
      <c r="AR115">
        <v>7</v>
      </c>
      <c r="AS115">
        <v>8</v>
      </c>
    </row>
    <row r="116" spans="1:45" x14ac:dyDescent="0.35">
      <c r="A116" s="337">
        <v>46266</v>
      </c>
      <c r="B116" s="337">
        <v>46280</v>
      </c>
      <c r="C116" s="337">
        <v>46275</v>
      </c>
      <c r="D116" t="s">
        <v>128</v>
      </c>
      <c r="E116" s="339">
        <v>0.83333333333333337</v>
      </c>
      <c r="F116">
        <v>3</v>
      </c>
      <c r="G116" t="s">
        <v>119</v>
      </c>
      <c r="H116">
        <v>0.01</v>
      </c>
      <c r="I116" t="s">
        <v>165</v>
      </c>
      <c r="J116" t="s">
        <v>165</v>
      </c>
      <c r="K116" t="s">
        <v>165</v>
      </c>
      <c r="L116" t="s">
        <v>161</v>
      </c>
      <c r="M116" t="s">
        <v>161</v>
      </c>
      <c r="N116">
        <v>12.26</v>
      </c>
      <c r="O116" t="s">
        <v>163</v>
      </c>
      <c r="P116" t="s">
        <v>163</v>
      </c>
      <c r="Q116" t="s">
        <v>163</v>
      </c>
      <c r="R116" t="s">
        <v>163</v>
      </c>
      <c r="S116" t="s">
        <v>163</v>
      </c>
      <c r="T116" t="s">
        <v>163</v>
      </c>
      <c r="U116" t="s">
        <v>163</v>
      </c>
      <c r="V116" t="s">
        <v>163</v>
      </c>
      <c r="W116" t="s">
        <v>165</v>
      </c>
      <c r="X116" t="s">
        <v>165</v>
      </c>
      <c r="Y116" t="s">
        <v>163</v>
      </c>
      <c r="Z116">
        <v>2</v>
      </c>
      <c r="AA116">
        <v>1</v>
      </c>
      <c r="AB116">
        <v>2</v>
      </c>
      <c r="AC116">
        <v>1</v>
      </c>
      <c r="AD116" t="s">
        <v>163</v>
      </c>
      <c r="AE116" t="s">
        <v>163</v>
      </c>
      <c r="AF116" t="s">
        <v>163</v>
      </c>
      <c r="AG116" t="s">
        <v>163</v>
      </c>
      <c r="AH116" t="s">
        <v>163</v>
      </c>
      <c r="AI116" t="s">
        <v>163</v>
      </c>
      <c r="AJ116" t="s">
        <v>163</v>
      </c>
      <c r="AK116">
        <v>6</v>
      </c>
      <c r="AL116">
        <v>6</v>
      </c>
      <c r="AM116" t="s">
        <v>163</v>
      </c>
      <c r="AN116">
        <v>1</v>
      </c>
      <c r="AO116">
        <v>1</v>
      </c>
      <c r="AP116">
        <v>2</v>
      </c>
      <c r="AQ116">
        <v>2</v>
      </c>
      <c r="AR116">
        <v>8</v>
      </c>
      <c r="AS116">
        <v>8</v>
      </c>
    </row>
    <row r="117" spans="1:45" x14ac:dyDescent="0.35">
      <c r="A117" s="337">
        <v>46266</v>
      </c>
      <c r="B117" s="337">
        <v>46280</v>
      </c>
      <c r="C117" s="337">
        <v>46275</v>
      </c>
      <c r="D117" t="s">
        <v>128</v>
      </c>
      <c r="E117" s="339">
        <v>0.79166666666666663</v>
      </c>
      <c r="F117">
        <v>3</v>
      </c>
      <c r="G117" t="s">
        <v>119</v>
      </c>
      <c r="H117">
        <v>0.01</v>
      </c>
      <c r="I117" t="s">
        <v>165</v>
      </c>
      <c r="J117" t="s">
        <v>165</v>
      </c>
      <c r="K117" t="s">
        <v>165</v>
      </c>
      <c r="L117" t="s">
        <v>161</v>
      </c>
      <c r="M117" t="s">
        <v>161</v>
      </c>
      <c r="N117" t="s">
        <v>163</v>
      </c>
      <c r="O117" t="s">
        <v>163</v>
      </c>
      <c r="P117" t="s">
        <v>163</v>
      </c>
      <c r="Q117" t="s">
        <v>163</v>
      </c>
      <c r="R117" t="s">
        <v>163</v>
      </c>
      <c r="S117" t="s">
        <v>163</v>
      </c>
      <c r="T117" t="s">
        <v>163</v>
      </c>
      <c r="U117" t="s">
        <v>163</v>
      </c>
      <c r="V117" t="s">
        <v>163</v>
      </c>
      <c r="W117" t="s">
        <v>165</v>
      </c>
      <c r="X117" t="s">
        <v>165</v>
      </c>
      <c r="Y117" t="s">
        <v>163</v>
      </c>
      <c r="Z117">
        <v>2</v>
      </c>
      <c r="AA117">
        <v>1</v>
      </c>
      <c r="AB117">
        <v>2</v>
      </c>
      <c r="AC117" t="s">
        <v>163</v>
      </c>
      <c r="AD117" t="s">
        <v>163</v>
      </c>
      <c r="AE117" t="s">
        <v>163</v>
      </c>
      <c r="AF117" t="s">
        <v>163</v>
      </c>
      <c r="AG117" t="s">
        <v>163</v>
      </c>
      <c r="AH117" t="s">
        <v>163</v>
      </c>
      <c r="AI117" t="s">
        <v>163</v>
      </c>
      <c r="AJ117" t="s">
        <v>163</v>
      </c>
      <c r="AK117">
        <v>5</v>
      </c>
      <c r="AL117">
        <v>5</v>
      </c>
      <c r="AM117" t="s">
        <v>163</v>
      </c>
      <c r="AN117">
        <v>1</v>
      </c>
      <c r="AO117">
        <v>1</v>
      </c>
      <c r="AP117">
        <v>2</v>
      </c>
      <c r="AQ117">
        <v>2</v>
      </c>
      <c r="AR117">
        <v>7</v>
      </c>
      <c r="AS117">
        <v>7</v>
      </c>
    </row>
    <row r="118" spans="1:45" x14ac:dyDescent="0.35">
      <c r="A118" s="337">
        <v>46266</v>
      </c>
      <c r="B118" s="337">
        <v>46280</v>
      </c>
      <c r="C118" s="337">
        <v>46275</v>
      </c>
      <c r="D118" t="s">
        <v>128</v>
      </c>
      <c r="E118" s="339">
        <v>0.70833333333333337</v>
      </c>
      <c r="F118">
        <v>3</v>
      </c>
      <c r="G118" t="s">
        <v>119</v>
      </c>
      <c r="H118">
        <v>0.01</v>
      </c>
      <c r="I118" t="s">
        <v>165</v>
      </c>
      <c r="J118" t="s">
        <v>165</v>
      </c>
      <c r="K118" t="s">
        <v>165</v>
      </c>
      <c r="L118" t="s">
        <v>161</v>
      </c>
      <c r="M118" t="s">
        <v>161</v>
      </c>
      <c r="N118">
        <v>13.09</v>
      </c>
      <c r="O118" t="s">
        <v>163</v>
      </c>
      <c r="P118" t="s">
        <v>163</v>
      </c>
      <c r="Q118" t="s">
        <v>163</v>
      </c>
      <c r="R118" t="s">
        <v>163</v>
      </c>
      <c r="S118" t="s">
        <v>163</v>
      </c>
      <c r="T118" t="s">
        <v>163</v>
      </c>
      <c r="U118" t="s">
        <v>163</v>
      </c>
      <c r="V118" t="s">
        <v>163</v>
      </c>
      <c r="W118" t="s">
        <v>165</v>
      </c>
      <c r="X118" t="s">
        <v>165</v>
      </c>
      <c r="Y118" t="s">
        <v>163</v>
      </c>
      <c r="Z118">
        <v>2</v>
      </c>
      <c r="AA118">
        <v>1</v>
      </c>
      <c r="AB118">
        <v>2</v>
      </c>
      <c r="AC118">
        <v>1</v>
      </c>
      <c r="AD118" t="s">
        <v>163</v>
      </c>
      <c r="AE118" t="s">
        <v>163</v>
      </c>
      <c r="AF118" t="s">
        <v>163</v>
      </c>
      <c r="AG118" t="s">
        <v>163</v>
      </c>
      <c r="AH118" t="s">
        <v>163</v>
      </c>
      <c r="AI118" t="s">
        <v>163</v>
      </c>
      <c r="AJ118" t="s">
        <v>163</v>
      </c>
      <c r="AK118">
        <v>6</v>
      </c>
      <c r="AL118">
        <v>6</v>
      </c>
      <c r="AM118" t="s">
        <v>163</v>
      </c>
      <c r="AN118">
        <v>1</v>
      </c>
      <c r="AO118">
        <v>1</v>
      </c>
      <c r="AP118">
        <v>2</v>
      </c>
      <c r="AQ118">
        <v>2</v>
      </c>
      <c r="AR118">
        <v>8</v>
      </c>
      <c r="AS118">
        <v>8</v>
      </c>
    </row>
    <row r="119" spans="1:45" x14ac:dyDescent="0.35">
      <c r="A119" s="337">
        <v>46266</v>
      </c>
      <c r="B119" s="337">
        <v>46280</v>
      </c>
      <c r="C119" s="337">
        <v>46275</v>
      </c>
      <c r="D119" t="s">
        <v>128</v>
      </c>
      <c r="E119" s="339">
        <v>0.66666666666666663</v>
      </c>
      <c r="F119">
        <v>3</v>
      </c>
      <c r="G119" t="s">
        <v>119</v>
      </c>
      <c r="H119">
        <v>0.02</v>
      </c>
      <c r="I119" t="s">
        <v>165</v>
      </c>
      <c r="J119" t="s">
        <v>165</v>
      </c>
      <c r="K119" t="s">
        <v>165</v>
      </c>
      <c r="L119" t="s">
        <v>161</v>
      </c>
      <c r="M119" t="s">
        <v>161</v>
      </c>
      <c r="N119">
        <v>13.04</v>
      </c>
      <c r="O119">
        <v>13.01</v>
      </c>
      <c r="P119">
        <v>0.59</v>
      </c>
      <c r="Q119" t="s">
        <v>163</v>
      </c>
      <c r="R119" t="s">
        <v>163</v>
      </c>
      <c r="S119" t="s">
        <v>163</v>
      </c>
      <c r="T119">
        <v>36.299999999999997</v>
      </c>
      <c r="U119" t="s">
        <v>163</v>
      </c>
      <c r="V119" t="s">
        <v>163</v>
      </c>
      <c r="W119" t="s">
        <v>165</v>
      </c>
      <c r="X119" t="s">
        <v>165</v>
      </c>
      <c r="Y119" t="s">
        <v>163</v>
      </c>
      <c r="Z119">
        <v>2</v>
      </c>
      <c r="AA119">
        <v>1</v>
      </c>
      <c r="AB119">
        <v>2</v>
      </c>
      <c r="AC119">
        <v>1</v>
      </c>
      <c r="AD119">
        <v>1</v>
      </c>
      <c r="AE119">
        <v>2</v>
      </c>
      <c r="AF119" t="s">
        <v>163</v>
      </c>
      <c r="AG119" t="s">
        <v>163</v>
      </c>
      <c r="AH119" t="s">
        <v>163</v>
      </c>
      <c r="AI119">
        <v>2</v>
      </c>
      <c r="AJ119" t="s">
        <v>163</v>
      </c>
      <c r="AK119">
        <v>11</v>
      </c>
      <c r="AL119">
        <v>11</v>
      </c>
      <c r="AM119" t="s">
        <v>163</v>
      </c>
      <c r="AN119">
        <v>1</v>
      </c>
      <c r="AO119">
        <v>1</v>
      </c>
      <c r="AP119">
        <v>2</v>
      </c>
      <c r="AQ119">
        <v>2</v>
      </c>
      <c r="AR119">
        <v>13</v>
      </c>
      <c r="AS119">
        <v>13</v>
      </c>
    </row>
    <row r="120" spans="1:45" x14ac:dyDescent="0.35">
      <c r="A120" s="337">
        <v>46266</v>
      </c>
      <c r="B120" s="337">
        <v>46280</v>
      </c>
      <c r="C120" s="337">
        <v>46275</v>
      </c>
      <c r="D120" t="s">
        <v>128</v>
      </c>
      <c r="E120" s="339">
        <v>0.625</v>
      </c>
      <c r="F120">
        <v>3</v>
      </c>
      <c r="G120" t="s">
        <v>119</v>
      </c>
      <c r="H120">
        <v>0.01</v>
      </c>
      <c r="I120" t="s">
        <v>165</v>
      </c>
      <c r="J120" t="s">
        <v>165</v>
      </c>
      <c r="K120" t="s">
        <v>165</v>
      </c>
      <c r="L120" t="s">
        <v>161</v>
      </c>
      <c r="M120" t="s">
        <v>161</v>
      </c>
      <c r="N120">
        <v>13.15</v>
      </c>
      <c r="O120" t="s">
        <v>163</v>
      </c>
      <c r="P120" t="s">
        <v>163</v>
      </c>
      <c r="Q120" t="s">
        <v>163</v>
      </c>
      <c r="R120" t="s">
        <v>163</v>
      </c>
      <c r="S120" t="s">
        <v>163</v>
      </c>
      <c r="T120" t="s">
        <v>163</v>
      </c>
      <c r="U120" t="s">
        <v>163</v>
      </c>
      <c r="V120" t="s">
        <v>163</v>
      </c>
      <c r="W120" t="s">
        <v>165</v>
      </c>
      <c r="X120" t="s">
        <v>165</v>
      </c>
      <c r="Y120" t="s">
        <v>163</v>
      </c>
      <c r="Z120">
        <v>2</v>
      </c>
      <c r="AA120">
        <v>1</v>
      </c>
      <c r="AB120">
        <v>2</v>
      </c>
      <c r="AC120">
        <v>1</v>
      </c>
      <c r="AD120" t="s">
        <v>163</v>
      </c>
      <c r="AE120" t="s">
        <v>163</v>
      </c>
      <c r="AF120" t="s">
        <v>163</v>
      </c>
      <c r="AG120" t="s">
        <v>163</v>
      </c>
      <c r="AH120" t="s">
        <v>163</v>
      </c>
      <c r="AI120" t="s">
        <v>163</v>
      </c>
      <c r="AJ120" t="s">
        <v>163</v>
      </c>
      <c r="AK120">
        <v>6</v>
      </c>
      <c r="AL120">
        <v>6</v>
      </c>
      <c r="AM120" t="s">
        <v>163</v>
      </c>
      <c r="AN120">
        <v>1</v>
      </c>
      <c r="AO120">
        <v>1</v>
      </c>
      <c r="AP120">
        <v>2</v>
      </c>
      <c r="AQ120">
        <v>2</v>
      </c>
      <c r="AR120">
        <v>8</v>
      </c>
      <c r="AS120">
        <v>8</v>
      </c>
    </row>
    <row r="121" spans="1:45" x14ac:dyDescent="0.35">
      <c r="A121" s="337">
        <v>46266</v>
      </c>
      <c r="B121" s="337">
        <v>46280</v>
      </c>
      <c r="C121" s="337">
        <v>46275</v>
      </c>
      <c r="D121" t="s">
        <v>128</v>
      </c>
      <c r="E121" s="339">
        <v>0.58333333333333337</v>
      </c>
      <c r="F121">
        <v>3</v>
      </c>
      <c r="G121" t="s">
        <v>119</v>
      </c>
      <c r="H121">
        <v>0.01</v>
      </c>
      <c r="I121" t="s">
        <v>165</v>
      </c>
      <c r="J121" t="s">
        <v>165</v>
      </c>
      <c r="K121" t="s">
        <v>165</v>
      </c>
      <c r="L121" t="s">
        <v>161</v>
      </c>
      <c r="M121" t="s">
        <v>161</v>
      </c>
      <c r="N121">
        <v>13.16</v>
      </c>
      <c r="O121">
        <v>13</v>
      </c>
      <c r="P121">
        <v>0.6</v>
      </c>
      <c r="Q121">
        <v>63.1</v>
      </c>
      <c r="R121" t="s">
        <v>163</v>
      </c>
      <c r="S121" t="s">
        <v>163</v>
      </c>
      <c r="T121">
        <v>36.299999999999997</v>
      </c>
      <c r="U121" t="s">
        <v>163</v>
      </c>
      <c r="V121" t="s">
        <v>163</v>
      </c>
      <c r="W121" t="s">
        <v>165</v>
      </c>
      <c r="X121" t="s">
        <v>165</v>
      </c>
      <c r="Y121" t="s">
        <v>430</v>
      </c>
      <c r="Z121">
        <v>2</v>
      </c>
      <c r="AA121">
        <v>1</v>
      </c>
      <c r="AB121">
        <v>2</v>
      </c>
      <c r="AC121">
        <v>1</v>
      </c>
      <c r="AD121">
        <v>1</v>
      </c>
      <c r="AE121">
        <v>2</v>
      </c>
      <c r="AF121">
        <v>0</v>
      </c>
      <c r="AG121" t="s">
        <v>163</v>
      </c>
      <c r="AH121" t="s">
        <v>163</v>
      </c>
      <c r="AI121">
        <v>2</v>
      </c>
      <c r="AJ121" t="s">
        <v>163</v>
      </c>
      <c r="AK121">
        <v>11</v>
      </c>
      <c r="AL121">
        <v>13</v>
      </c>
      <c r="AM121" t="s">
        <v>163</v>
      </c>
      <c r="AN121">
        <v>1</v>
      </c>
      <c r="AO121">
        <v>1</v>
      </c>
      <c r="AP121">
        <v>2</v>
      </c>
      <c r="AQ121">
        <v>2</v>
      </c>
      <c r="AR121">
        <v>13</v>
      </c>
      <c r="AS121">
        <v>15</v>
      </c>
    </row>
    <row r="122" spans="1:45" x14ac:dyDescent="0.35">
      <c r="A122" s="337">
        <v>46266</v>
      </c>
      <c r="B122" s="337">
        <v>46280</v>
      </c>
      <c r="C122" s="337">
        <v>46275</v>
      </c>
      <c r="D122" t="s">
        <v>125</v>
      </c>
      <c r="E122" t="s">
        <v>238</v>
      </c>
      <c r="F122">
        <v>3</v>
      </c>
      <c r="G122" t="s">
        <v>119</v>
      </c>
      <c r="H122">
        <v>0.02</v>
      </c>
      <c r="I122" t="s">
        <v>165</v>
      </c>
      <c r="J122" t="s">
        <v>165</v>
      </c>
      <c r="K122" t="s">
        <v>165</v>
      </c>
      <c r="L122" t="s">
        <v>161</v>
      </c>
      <c r="M122" t="s">
        <v>161</v>
      </c>
      <c r="N122">
        <v>13.02</v>
      </c>
      <c r="O122" t="s">
        <v>163</v>
      </c>
      <c r="P122" t="s">
        <v>163</v>
      </c>
      <c r="Q122" t="s">
        <v>163</v>
      </c>
      <c r="R122" t="s">
        <v>163</v>
      </c>
      <c r="S122" t="s">
        <v>163</v>
      </c>
      <c r="T122" t="s">
        <v>163</v>
      </c>
      <c r="U122" t="s">
        <v>163</v>
      </c>
      <c r="V122" t="s">
        <v>163</v>
      </c>
      <c r="W122" t="s">
        <v>165</v>
      </c>
      <c r="X122" t="s">
        <v>165</v>
      </c>
      <c r="Y122" t="s">
        <v>429</v>
      </c>
      <c r="Z122">
        <v>2</v>
      </c>
      <c r="AA122">
        <v>1</v>
      </c>
      <c r="AB122">
        <v>2</v>
      </c>
      <c r="AC122">
        <v>1</v>
      </c>
      <c r="AD122" t="s">
        <v>163</v>
      </c>
      <c r="AE122" t="s">
        <v>163</v>
      </c>
      <c r="AF122" t="s">
        <v>163</v>
      </c>
      <c r="AG122" t="s">
        <v>163</v>
      </c>
      <c r="AH122" t="s">
        <v>163</v>
      </c>
      <c r="AI122" t="s">
        <v>163</v>
      </c>
      <c r="AJ122" t="s">
        <v>163</v>
      </c>
      <c r="AK122">
        <v>6</v>
      </c>
      <c r="AL122">
        <v>6</v>
      </c>
      <c r="AM122" t="s">
        <v>163</v>
      </c>
      <c r="AN122">
        <v>1</v>
      </c>
      <c r="AO122">
        <v>1</v>
      </c>
      <c r="AP122">
        <v>2</v>
      </c>
      <c r="AQ122">
        <v>2</v>
      </c>
      <c r="AR122">
        <v>8</v>
      </c>
      <c r="AS122">
        <v>8</v>
      </c>
    </row>
    <row r="123" spans="1:45" x14ac:dyDescent="0.35">
      <c r="A123" s="337">
        <v>46266</v>
      </c>
      <c r="B123" s="337">
        <v>46280</v>
      </c>
      <c r="C123" s="337">
        <v>46259</v>
      </c>
      <c r="D123" t="s">
        <v>125</v>
      </c>
      <c r="E123" t="s">
        <v>328</v>
      </c>
      <c r="F123">
        <v>3</v>
      </c>
      <c r="G123" t="s">
        <v>145</v>
      </c>
      <c r="H123">
        <v>0.02</v>
      </c>
      <c r="I123" t="s">
        <v>165</v>
      </c>
      <c r="J123" t="s">
        <v>165</v>
      </c>
      <c r="K123" t="s">
        <v>165</v>
      </c>
      <c r="L123" t="s">
        <v>161</v>
      </c>
      <c r="M123" t="s">
        <v>161</v>
      </c>
      <c r="N123">
        <v>11.74</v>
      </c>
      <c r="O123" t="s">
        <v>163</v>
      </c>
      <c r="P123" t="s">
        <v>163</v>
      </c>
      <c r="Q123" t="s">
        <v>163</v>
      </c>
      <c r="R123" t="s">
        <v>163</v>
      </c>
      <c r="S123" t="s">
        <v>163</v>
      </c>
      <c r="T123" t="s">
        <v>163</v>
      </c>
      <c r="U123" t="s">
        <v>163</v>
      </c>
      <c r="V123" t="s">
        <v>163</v>
      </c>
      <c r="W123" t="s">
        <v>165</v>
      </c>
      <c r="X123" t="s">
        <v>165</v>
      </c>
      <c r="Y123" t="s">
        <v>428</v>
      </c>
      <c r="Z123">
        <v>2</v>
      </c>
      <c r="AA123">
        <v>1</v>
      </c>
      <c r="AB123">
        <v>2</v>
      </c>
      <c r="AC123">
        <v>0</v>
      </c>
      <c r="AD123" t="s">
        <v>163</v>
      </c>
      <c r="AE123" t="s">
        <v>163</v>
      </c>
      <c r="AF123" t="s">
        <v>163</v>
      </c>
      <c r="AG123" t="s">
        <v>163</v>
      </c>
      <c r="AH123" t="s">
        <v>163</v>
      </c>
      <c r="AI123" t="s">
        <v>163</v>
      </c>
      <c r="AJ123" t="s">
        <v>163</v>
      </c>
      <c r="AK123">
        <v>5</v>
      </c>
      <c r="AL123">
        <v>6</v>
      </c>
      <c r="AM123" t="s">
        <v>163</v>
      </c>
      <c r="AN123">
        <v>1</v>
      </c>
      <c r="AO123">
        <v>1</v>
      </c>
      <c r="AP123">
        <v>2</v>
      </c>
      <c r="AQ123">
        <v>2</v>
      </c>
      <c r="AR123">
        <v>7</v>
      </c>
      <c r="AS123">
        <v>8</v>
      </c>
    </row>
    <row r="124" spans="1:45" x14ac:dyDescent="0.35">
      <c r="A124" s="337">
        <v>46266</v>
      </c>
      <c r="B124" s="337">
        <v>46280</v>
      </c>
      <c r="C124" s="337">
        <v>46259</v>
      </c>
      <c r="D124" t="s">
        <v>125</v>
      </c>
      <c r="E124" t="s">
        <v>327</v>
      </c>
      <c r="F124">
        <v>3</v>
      </c>
      <c r="G124" t="s">
        <v>145</v>
      </c>
      <c r="H124">
        <v>0.02</v>
      </c>
      <c r="I124" t="s">
        <v>165</v>
      </c>
      <c r="J124" t="s">
        <v>165</v>
      </c>
      <c r="K124" t="s">
        <v>165</v>
      </c>
      <c r="L124" t="s">
        <v>161</v>
      </c>
      <c r="M124" t="s">
        <v>161</v>
      </c>
      <c r="N124">
        <v>12.24</v>
      </c>
      <c r="O124" t="s">
        <v>163</v>
      </c>
      <c r="P124" t="s">
        <v>163</v>
      </c>
      <c r="Q124" t="s">
        <v>163</v>
      </c>
      <c r="R124" t="s">
        <v>163</v>
      </c>
      <c r="S124" t="s">
        <v>163</v>
      </c>
      <c r="T124" t="s">
        <v>163</v>
      </c>
      <c r="U124" t="s">
        <v>163</v>
      </c>
      <c r="V124" t="s">
        <v>163</v>
      </c>
      <c r="W124" t="s">
        <v>165</v>
      </c>
      <c r="X124" t="s">
        <v>165</v>
      </c>
      <c r="Y124" t="s">
        <v>428</v>
      </c>
      <c r="Z124">
        <v>2</v>
      </c>
      <c r="AA124">
        <v>1</v>
      </c>
      <c r="AB124">
        <v>2</v>
      </c>
      <c r="AC124">
        <v>1</v>
      </c>
      <c r="AD124" t="s">
        <v>163</v>
      </c>
      <c r="AE124" t="s">
        <v>163</v>
      </c>
      <c r="AF124" t="s">
        <v>163</v>
      </c>
      <c r="AG124" t="s">
        <v>163</v>
      </c>
      <c r="AH124" t="s">
        <v>163</v>
      </c>
      <c r="AI124" t="s">
        <v>163</v>
      </c>
      <c r="AJ124" t="s">
        <v>163</v>
      </c>
      <c r="AK124">
        <v>6</v>
      </c>
      <c r="AL124">
        <v>6</v>
      </c>
      <c r="AM124" t="s">
        <v>163</v>
      </c>
      <c r="AN124">
        <v>1</v>
      </c>
      <c r="AO124">
        <v>1</v>
      </c>
      <c r="AP124">
        <v>2</v>
      </c>
      <c r="AQ124">
        <v>2</v>
      </c>
      <c r="AR124">
        <v>8</v>
      </c>
      <c r="AS124">
        <v>8</v>
      </c>
    </row>
    <row r="125" spans="1:45" x14ac:dyDescent="0.35">
      <c r="A125" s="337">
        <v>46266</v>
      </c>
      <c r="B125" s="337">
        <v>46280</v>
      </c>
      <c r="C125" s="337">
        <v>46259</v>
      </c>
      <c r="D125" t="s">
        <v>125</v>
      </c>
      <c r="E125" t="s">
        <v>240</v>
      </c>
      <c r="F125">
        <v>3</v>
      </c>
      <c r="G125" t="s">
        <v>145</v>
      </c>
      <c r="H125">
        <v>0.02</v>
      </c>
      <c r="I125" t="s">
        <v>165</v>
      </c>
      <c r="J125" t="s">
        <v>165</v>
      </c>
      <c r="K125" t="s">
        <v>165</v>
      </c>
      <c r="L125" t="s">
        <v>161</v>
      </c>
      <c r="M125" t="s">
        <v>161</v>
      </c>
      <c r="N125">
        <v>12.24</v>
      </c>
      <c r="O125" t="s">
        <v>163</v>
      </c>
      <c r="P125" t="s">
        <v>163</v>
      </c>
      <c r="Q125" t="s">
        <v>163</v>
      </c>
      <c r="R125" t="s">
        <v>163</v>
      </c>
      <c r="S125" t="s">
        <v>163</v>
      </c>
      <c r="T125" t="s">
        <v>163</v>
      </c>
      <c r="U125" t="s">
        <v>163</v>
      </c>
      <c r="V125" t="s">
        <v>163</v>
      </c>
      <c r="W125" t="s">
        <v>165</v>
      </c>
      <c r="X125" t="s">
        <v>165</v>
      </c>
      <c r="Y125" t="s">
        <v>428</v>
      </c>
      <c r="Z125">
        <v>2</v>
      </c>
      <c r="AA125">
        <v>1</v>
      </c>
      <c r="AB125">
        <v>2</v>
      </c>
      <c r="AC125">
        <v>1</v>
      </c>
      <c r="AD125" t="s">
        <v>163</v>
      </c>
      <c r="AE125" t="s">
        <v>163</v>
      </c>
      <c r="AF125" t="s">
        <v>163</v>
      </c>
      <c r="AG125" t="s">
        <v>163</v>
      </c>
      <c r="AH125" t="s">
        <v>163</v>
      </c>
      <c r="AI125" t="s">
        <v>163</v>
      </c>
      <c r="AJ125" t="s">
        <v>163</v>
      </c>
      <c r="AK125">
        <v>6</v>
      </c>
      <c r="AL125">
        <v>6</v>
      </c>
      <c r="AM125" t="s">
        <v>163</v>
      </c>
      <c r="AN125">
        <v>1</v>
      </c>
      <c r="AO125">
        <v>1</v>
      </c>
      <c r="AP125">
        <v>2</v>
      </c>
      <c r="AQ125">
        <v>2</v>
      </c>
      <c r="AR125">
        <v>8</v>
      </c>
      <c r="AS125">
        <v>8</v>
      </c>
    </row>
    <row r="126" spans="1:45" x14ac:dyDescent="0.35">
      <c r="A126" s="337">
        <v>46266</v>
      </c>
      <c r="B126" s="337">
        <v>46280</v>
      </c>
      <c r="C126" s="337">
        <v>46259</v>
      </c>
      <c r="D126" t="s">
        <v>125</v>
      </c>
      <c r="E126" t="s">
        <v>273</v>
      </c>
      <c r="F126">
        <v>3</v>
      </c>
      <c r="G126" t="s">
        <v>145</v>
      </c>
      <c r="H126">
        <v>0.01</v>
      </c>
      <c r="I126" t="s">
        <v>165</v>
      </c>
      <c r="J126" t="s">
        <v>165</v>
      </c>
      <c r="K126" t="s">
        <v>165</v>
      </c>
      <c r="L126" t="s">
        <v>161</v>
      </c>
      <c r="M126" t="s">
        <v>161</v>
      </c>
      <c r="N126">
        <v>12.55</v>
      </c>
      <c r="O126" t="s">
        <v>163</v>
      </c>
      <c r="P126" t="s">
        <v>163</v>
      </c>
      <c r="Q126">
        <v>0.5</v>
      </c>
      <c r="R126" t="s">
        <v>163</v>
      </c>
      <c r="S126" t="s">
        <v>163</v>
      </c>
      <c r="T126" t="s">
        <v>163</v>
      </c>
      <c r="U126" t="s">
        <v>163</v>
      </c>
      <c r="V126" t="s">
        <v>163</v>
      </c>
      <c r="W126" t="s">
        <v>165</v>
      </c>
      <c r="X126" t="s">
        <v>165</v>
      </c>
      <c r="Y126" t="s">
        <v>428</v>
      </c>
      <c r="Z126">
        <v>2</v>
      </c>
      <c r="AA126">
        <v>1</v>
      </c>
      <c r="AB126">
        <v>2</v>
      </c>
      <c r="AC126">
        <v>1</v>
      </c>
      <c r="AD126" t="s">
        <v>163</v>
      </c>
      <c r="AE126" t="s">
        <v>163</v>
      </c>
      <c r="AF126">
        <v>0</v>
      </c>
      <c r="AG126" t="s">
        <v>163</v>
      </c>
      <c r="AH126" t="s">
        <v>163</v>
      </c>
      <c r="AI126" t="s">
        <v>163</v>
      </c>
      <c r="AJ126" t="s">
        <v>163</v>
      </c>
      <c r="AK126">
        <v>6</v>
      </c>
      <c r="AL126">
        <v>8</v>
      </c>
      <c r="AM126" t="s">
        <v>163</v>
      </c>
      <c r="AN126">
        <v>1</v>
      </c>
      <c r="AO126">
        <v>1</v>
      </c>
      <c r="AP126">
        <v>2</v>
      </c>
      <c r="AQ126">
        <v>2</v>
      </c>
      <c r="AR126">
        <v>8</v>
      </c>
      <c r="AS126">
        <v>10</v>
      </c>
    </row>
    <row r="127" spans="1:45" x14ac:dyDescent="0.35">
      <c r="A127" s="337">
        <v>46266</v>
      </c>
      <c r="B127" s="337">
        <v>46280</v>
      </c>
      <c r="C127" s="337">
        <v>46259</v>
      </c>
      <c r="D127" t="s">
        <v>125</v>
      </c>
      <c r="E127" t="s">
        <v>239</v>
      </c>
      <c r="F127">
        <v>3</v>
      </c>
      <c r="G127" t="s">
        <v>145</v>
      </c>
      <c r="H127">
        <v>0.02</v>
      </c>
      <c r="I127" t="s">
        <v>165</v>
      </c>
      <c r="J127" t="s">
        <v>165</v>
      </c>
      <c r="K127" t="s">
        <v>165</v>
      </c>
      <c r="L127" t="s">
        <v>161</v>
      </c>
      <c r="M127" t="s">
        <v>161</v>
      </c>
      <c r="N127">
        <v>12.45</v>
      </c>
      <c r="O127">
        <v>12.83</v>
      </c>
      <c r="P127">
        <v>0.5</v>
      </c>
      <c r="Q127">
        <v>63.6</v>
      </c>
      <c r="R127" t="s">
        <v>163</v>
      </c>
      <c r="S127" t="s">
        <v>163</v>
      </c>
      <c r="T127">
        <v>35.9</v>
      </c>
      <c r="U127" t="s">
        <v>163</v>
      </c>
      <c r="V127" t="s">
        <v>163</v>
      </c>
      <c r="W127" t="s">
        <v>165</v>
      </c>
      <c r="X127" t="s">
        <v>165</v>
      </c>
      <c r="Y127" t="s">
        <v>428</v>
      </c>
      <c r="Z127">
        <v>2</v>
      </c>
      <c r="AA127">
        <v>1</v>
      </c>
      <c r="AB127">
        <v>2</v>
      </c>
      <c r="AC127">
        <v>1</v>
      </c>
      <c r="AD127">
        <v>1</v>
      </c>
      <c r="AE127">
        <v>2</v>
      </c>
      <c r="AF127">
        <v>0</v>
      </c>
      <c r="AG127" t="s">
        <v>163</v>
      </c>
      <c r="AH127" t="s">
        <v>163</v>
      </c>
      <c r="AI127">
        <v>2</v>
      </c>
      <c r="AJ127" t="s">
        <v>163</v>
      </c>
      <c r="AK127">
        <v>11</v>
      </c>
      <c r="AL127">
        <v>13</v>
      </c>
      <c r="AM127" t="s">
        <v>163</v>
      </c>
      <c r="AN127">
        <v>1</v>
      </c>
      <c r="AO127">
        <v>1</v>
      </c>
      <c r="AP127">
        <v>2</v>
      </c>
      <c r="AQ127">
        <v>2</v>
      </c>
      <c r="AR127">
        <v>13</v>
      </c>
      <c r="AS127">
        <v>15</v>
      </c>
    </row>
    <row r="128" spans="1:45" x14ac:dyDescent="0.35">
      <c r="A128" s="337">
        <v>46266</v>
      </c>
      <c r="B128" s="337">
        <v>46279</v>
      </c>
      <c r="C128" s="337">
        <v>46273</v>
      </c>
      <c r="D128" t="s">
        <v>130</v>
      </c>
      <c r="E128" s="338">
        <v>1.2083333333333333</v>
      </c>
      <c r="F128">
        <v>3</v>
      </c>
      <c r="G128" t="s">
        <v>119</v>
      </c>
      <c r="H128">
        <v>0.01</v>
      </c>
      <c r="I128" t="s">
        <v>165</v>
      </c>
      <c r="J128" t="s">
        <v>165</v>
      </c>
      <c r="K128" t="s">
        <v>165</v>
      </c>
      <c r="L128" t="s">
        <v>161</v>
      </c>
      <c r="M128" t="s">
        <v>161</v>
      </c>
      <c r="N128">
        <v>12.55</v>
      </c>
      <c r="O128" t="s">
        <v>163</v>
      </c>
      <c r="P128" t="s">
        <v>163</v>
      </c>
      <c r="Q128" t="s">
        <v>163</v>
      </c>
      <c r="R128" t="s">
        <v>163</v>
      </c>
      <c r="S128" t="s">
        <v>163</v>
      </c>
      <c r="T128" t="s">
        <v>163</v>
      </c>
      <c r="U128" t="s">
        <v>163</v>
      </c>
      <c r="V128" t="s">
        <v>163</v>
      </c>
      <c r="W128" t="s">
        <v>165</v>
      </c>
      <c r="X128" t="s">
        <v>165</v>
      </c>
      <c r="Y128" t="s">
        <v>163</v>
      </c>
      <c r="Z128">
        <v>2</v>
      </c>
      <c r="AA128">
        <v>1</v>
      </c>
      <c r="AB128">
        <v>2</v>
      </c>
      <c r="AC128">
        <v>1</v>
      </c>
      <c r="AD128" t="s">
        <v>163</v>
      </c>
      <c r="AE128" t="s">
        <v>163</v>
      </c>
      <c r="AF128" t="s">
        <v>163</v>
      </c>
      <c r="AG128" t="s">
        <v>163</v>
      </c>
      <c r="AH128" t="s">
        <v>163</v>
      </c>
      <c r="AI128" t="s">
        <v>163</v>
      </c>
      <c r="AJ128" t="s">
        <v>163</v>
      </c>
      <c r="AK128">
        <v>6</v>
      </c>
      <c r="AL128">
        <v>6</v>
      </c>
      <c r="AM128" t="s">
        <v>163</v>
      </c>
      <c r="AN128">
        <v>1</v>
      </c>
      <c r="AO128">
        <v>1</v>
      </c>
      <c r="AP128">
        <v>2</v>
      </c>
      <c r="AQ128">
        <v>2</v>
      </c>
      <c r="AR128">
        <v>8</v>
      </c>
      <c r="AS128">
        <v>8</v>
      </c>
    </row>
    <row r="129" spans="1:45" x14ac:dyDescent="0.35">
      <c r="A129" s="337">
        <v>46266</v>
      </c>
      <c r="B129" s="337">
        <v>46279</v>
      </c>
      <c r="C129" s="337">
        <v>46273</v>
      </c>
      <c r="D129" t="s">
        <v>130</v>
      </c>
      <c r="E129" s="338">
        <v>1.125</v>
      </c>
      <c r="F129">
        <v>3</v>
      </c>
      <c r="G129" t="s">
        <v>119</v>
      </c>
      <c r="H129">
        <v>0.01</v>
      </c>
      <c r="I129" t="s">
        <v>165</v>
      </c>
      <c r="J129" t="s">
        <v>165</v>
      </c>
      <c r="K129" t="s">
        <v>165</v>
      </c>
      <c r="L129" t="s">
        <v>161</v>
      </c>
      <c r="M129" t="s">
        <v>161</v>
      </c>
      <c r="N129">
        <v>12.15</v>
      </c>
      <c r="O129" t="s">
        <v>163</v>
      </c>
      <c r="P129" t="s">
        <v>163</v>
      </c>
      <c r="Q129" t="s">
        <v>163</v>
      </c>
      <c r="R129" t="s">
        <v>163</v>
      </c>
      <c r="S129" t="s">
        <v>163</v>
      </c>
      <c r="T129" t="s">
        <v>163</v>
      </c>
      <c r="U129" t="s">
        <v>163</v>
      </c>
      <c r="V129" t="s">
        <v>163</v>
      </c>
      <c r="W129" t="s">
        <v>165</v>
      </c>
      <c r="X129" t="s">
        <v>165</v>
      </c>
      <c r="Y129" t="s">
        <v>163</v>
      </c>
      <c r="Z129">
        <v>2</v>
      </c>
      <c r="AA129">
        <v>1</v>
      </c>
      <c r="AB129">
        <v>2</v>
      </c>
      <c r="AC129">
        <v>1</v>
      </c>
      <c r="AD129" t="s">
        <v>163</v>
      </c>
      <c r="AE129" t="s">
        <v>163</v>
      </c>
      <c r="AF129" t="s">
        <v>163</v>
      </c>
      <c r="AG129" t="s">
        <v>163</v>
      </c>
      <c r="AH129" t="s">
        <v>163</v>
      </c>
      <c r="AI129" t="s">
        <v>163</v>
      </c>
      <c r="AJ129" t="s">
        <v>163</v>
      </c>
      <c r="AK129">
        <v>6</v>
      </c>
      <c r="AL129">
        <v>6</v>
      </c>
      <c r="AM129" t="s">
        <v>163</v>
      </c>
      <c r="AN129">
        <v>1</v>
      </c>
      <c r="AO129">
        <v>1</v>
      </c>
      <c r="AP129">
        <v>2</v>
      </c>
      <c r="AQ129">
        <v>2</v>
      </c>
      <c r="AR129">
        <v>8</v>
      </c>
      <c r="AS129">
        <v>8</v>
      </c>
    </row>
    <row r="130" spans="1:45" x14ac:dyDescent="0.35">
      <c r="A130" s="337">
        <v>46266</v>
      </c>
      <c r="B130" s="337">
        <v>46279</v>
      </c>
      <c r="C130" s="337">
        <v>46273</v>
      </c>
      <c r="D130" t="s">
        <v>130</v>
      </c>
      <c r="E130" s="338">
        <v>1.0833333333333333</v>
      </c>
      <c r="F130">
        <v>3</v>
      </c>
      <c r="G130" t="s">
        <v>119</v>
      </c>
      <c r="H130">
        <v>0.01</v>
      </c>
      <c r="I130" t="s">
        <v>165</v>
      </c>
      <c r="J130" t="s">
        <v>165</v>
      </c>
      <c r="K130" t="s">
        <v>165</v>
      </c>
      <c r="L130" t="s">
        <v>161</v>
      </c>
      <c r="M130" t="s">
        <v>161</v>
      </c>
      <c r="N130" t="s">
        <v>163</v>
      </c>
      <c r="O130">
        <v>12.67</v>
      </c>
      <c r="P130" t="s">
        <v>163</v>
      </c>
      <c r="Q130" t="s">
        <v>163</v>
      </c>
      <c r="R130" t="s">
        <v>163</v>
      </c>
      <c r="S130" t="s">
        <v>163</v>
      </c>
      <c r="T130">
        <v>35.4</v>
      </c>
      <c r="U130" t="s">
        <v>163</v>
      </c>
      <c r="V130" t="s">
        <v>163</v>
      </c>
      <c r="W130" t="s">
        <v>165</v>
      </c>
      <c r="X130" t="s">
        <v>165</v>
      </c>
      <c r="Y130" t="s">
        <v>416</v>
      </c>
      <c r="Z130">
        <v>2</v>
      </c>
      <c r="AA130">
        <v>1</v>
      </c>
      <c r="AB130">
        <v>2</v>
      </c>
      <c r="AC130" t="s">
        <v>163</v>
      </c>
      <c r="AD130">
        <v>1</v>
      </c>
      <c r="AE130" t="s">
        <v>163</v>
      </c>
      <c r="AF130" t="s">
        <v>163</v>
      </c>
      <c r="AG130" t="s">
        <v>163</v>
      </c>
      <c r="AH130" t="s">
        <v>163</v>
      </c>
      <c r="AI130">
        <v>2</v>
      </c>
      <c r="AJ130" t="s">
        <v>163</v>
      </c>
      <c r="AK130">
        <v>8</v>
      </c>
      <c r="AL130">
        <v>8</v>
      </c>
      <c r="AM130" t="s">
        <v>163</v>
      </c>
      <c r="AN130">
        <v>1</v>
      </c>
      <c r="AO130">
        <v>1</v>
      </c>
      <c r="AP130">
        <v>2</v>
      </c>
      <c r="AQ130">
        <v>2</v>
      </c>
      <c r="AR130">
        <v>10</v>
      </c>
      <c r="AS130">
        <v>10</v>
      </c>
    </row>
    <row r="131" spans="1:45" x14ac:dyDescent="0.35">
      <c r="A131" s="337">
        <v>46266</v>
      </c>
      <c r="B131" s="337">
        <v>46279</v>
      </c>
      <c r="C131" s="339">
        <v>0</v>
      </c>
      <c r="D131" t="s">
        <v>130</v>
      </c>
      <c r="E131" s="338">
        <v>1.0416666666666667</v>
      </c>
      <c r="F131">
        <v>2</v>
      </c>
      <c r="G131" t="s">
        <v>39</v>
      </c>
      <c r="H131" t="s">
        <v>163</v>
      </c>
      <c r="I131" t="s">
        <v>165</v>
      </c>
      <c r="J131" t="s">
        <v>165</v>
      </c>
      <c r="K131" t="s">
        <v>165</v>
      </c>
      <c r="L131" t="s">
        <v>163</v>
      </c>
      <c r="M131" t="s">
        <v>161</v>
      </c>
      <c r="N131">
        <v>10.28</v>
      </c>
      <c r="O131" t="s">
        <v>163</v>
      </c>
      <c r="P131" t="s">
        <v>163</v>
      </c>
      <c r="Q131" t="s">
        <v>163</v>
      </c>
      <c r="R131" t="s">
        <v>163</v>
      </c>
      <c r="S131" t="s">
        <v>163</v>
      </c>
      <c r="T131" t="s">
        <v>163</v>
      </c>
      <c r="U131" t="s">
        <v>163</v>
      </c>
      <c r="V131" t="s">
        <v>163</v>
      </c>
      <c r="W131" t="s">
        <v>165</v>
      </c>
      <c r="X131" t="s">
        <v>165</v>
      </c>
      <c r="Y131" t="s">
        <v>163</v>
      </c>
      <c r="Z131" t="s">
        <v>163</v>
      </c>
      <c r="AA131">
        <v>1</v>
      </c>
      <c r="AB131">
        <v>2</v>
      </c>
      <c r="AC131">
        <v>0</v>
      </c>
      <c r="AD131" t="s">
        <v>163</v>
      </c>
      <c r="AE131" t="s">
        <v>163</v>
      </c>
      <c r="AF131" t="s">
        <v>163</v>
      </c>
      <c r="AG131" t="s">
        <v>163</v>
      </c>
      <c r="AH131" t="s">
        <v>163</v>
      </c>
      <c r="AI131" t="s">
        <v>163</v>
      </c>
      <c r="AJ131" t="s">
        <v>163</v>
      </c>
      <c r="AK131">
        <v>3</v>
      </c>
      <c r="AL131">
        <v>4</v>
      </c>
      <c r="AM131" t="s">
        <v>163</v>
      </c>
      <c r="AN131">
        <v>1</v>
      </c>
      <c r="AO131">
        <v>1</v>
      </c>
      <c r="AP131">
        <v>2</v>
      </c>
      <c r="AQ131">
        <v>2</v>
      </c>
      <c r="AR131">
        <v>5</v>
      </c>
      <c r="AS131">
        <v>6</v>
      </c>
    </row>
    <row r="132" spans="1:45" x14ac:dyDescent="0.35">
      <c r="A132" s="337">
        <v>46266</v>
      </c>
      <c r="B132" s="337">
        <v>46279</v>
      </c>
      <c r="C132" s="339">
        <v>0</v>
      </c>
      <c r="D132" t="s">
        <v>130</v>
      </c>
      <c r="E132" s="337">
        <v>1</v>
      </c>
      <c r="F132">
        <v>2</v>
      </c>
      <c r="G132" t="s">
        <v>39</v>
      </c>
      <c r="H132" t="s">
        <v>163</v>
      </c>
      <c r="I132" t="s">
        <v>165</v>
      </c>
      <c r="J132" t="s">
        <v>165</v>
      </c>
      <c r="K132" t="s">
        <v>165</v>
      </c>
      <c r="L132" t="s">
        <v>163</v>
      </c>
      <c r="M132" t="s">
        <v>161</v>
      </c>
      <c r="N132">
        <v>10.36</v>
      </c>
      <c r="O132" t="s">
        <v>163</v>
      </c>
      <c r="P132" t="s">
        <v>163</v>
      </c>
      <c r="Q132" t="s">
        <v>163</v>
      </c>
      <c r="R132" t="s">
        <v>163</v>
      </c>
      <c r="S132" t="s">
        <v>163</v>
      </c>
      <c r="T132" t="s">
        <v>163</v>
      </c>
      <c r="U132" t="s">
        <v>163</v>
      </c>
      <c r="V132" t="s">
        <v>163</v>
      </c>
      <c r="W132" t="s">
        <v>165</v>
      </c>
      <c r="X132" t="s">
        <v>165</v>
      </c>
      <c r="Y132" t="s">
        <v>163</v>
      </c>
      <c r="Z132" t="s">
        <v>163</v>
      </c>
      <c r="AA132">
        <v>1</v>
      </c>
      <c r="AB132">
        <v>2</v>
      </c>
      <c r="AC132">
        <v>0</v>
      </c>
      <c r="AD132" t="s">
        <v>163</v>
      </c>
      <c r="AE132" t="s">
        <v>163</v>
      </c>
      <c r="AF132" t="s">
        <v>163</v>
      </c>
      <c r="AG132" t="s">
        <v>163</v>
      </c>
      <c r="AH132" t="s">
        <v>163</v>
      </c>
      <c r="AI132" t="s">
        <v>163</v>
      </c>
      <c r="AJ132" t="s">
        <v>163</v>
      </c>
      <c r="AK132">
        <v>3</v>
      </c>
      <c r="AL132">
        <v>4</v>
      </c>
      <c r="AM132" t="s">
        <v>163</v>
      </c>
      <c r="AN132">
        <v>1</v>
      </c>
      <c r="AO132">
        <v>1</v>
      </c>
      <c r="AP132">
        <v>2</v>
      </c>
      <c r="AQ132">
        <v>2</v>
      </c>
      <c r="AR132">
        <v>5</v>
      </c>
      <c r="AS132">
        <v>6</v>
      </c>
    </row>
    <row r="133" spans="1:45" x14ac:dyDescent="0.35">
      <c r="A133" s="337">
        <v>46266</v>
      </c>
      <c r="B133" s="337">
        <v>46279</v>
      </c>
      <c r="C133" s="339">
        <v>0</v>
      </c>
      <c r="D133" t="s">
        <v>130</v>
      </c>
      <c r="E133" s="339">
        <v>0.95833333333333337</v>
      </c>
      <c r="F133">
        <v>2</v>
      </c>
      <c r="G133" t="s">
        <v>141</v>
      </c>
      <c r="H133" t="s">
        <v>163</v>
      </c>
      <c r="I133" t="s">
        <v>165</v>
      </c>
      <c r="J133" t="s">
        <v>165</v>
      </c>
      <c r="K133" t="s">
        <v>165</v>
      </c>
      <c r="L133" t="s">
        <v>163</v>
      </c>
      <c r="M133" t="s">
        <v>161</v>
      </c>
      <c r="N133">
        <v>10.28</v>
      </c>
      <c r="O133" t="s">
        <v>163</v>
      </c>
      <c r="P133" t="s">
        <v>163</v>
      </c>
      <c r="Q133" t="s">
        <v>163</v>
      </c>
      <c r="R133" t="s">
        <v>163</v>
      </c>
      <c r="S133" t="s">
        <v>163</v>
      </c>
      <c r="T133" t="s">
        <v>163</v>
      </c>
      <c r="U133" t="s">
        <v>163</v>
      </c>
      <c r="V133" t="s">
        <v>163</v>
      </c>
      <c r="W133" t="s">
        <v>165</v>
      </c>
      <c r="X133" t="s">
        <v>165</v>
      </c>
      <c r="Y133">
        <v>1</v>
      </c>
      <c r="Z133" t="s">
        <v>163</v>
      </c>
      <c r="AA133">
        <v>1</v>
      </c>
      <c r="AB133">
        <v>2</v>
      </c>
      <c r="AC133">
        <v>0</v>
      </c>
      <c r="AD133" t="s">
        <v>163</v>
      </c>
      <c r="AE133" t="s">
        <v>163</v>
      </c>
      <c r="AF133" t="s">
        <v>163</v>
      </c>
      <c r="AG133" t="s">
        <v>163</v>
      </c>
      <c r="AH133" t="s">
        <v>163</v>
      </c>
      <c r="AI133" t="s">
        <v>163</v>
      </c>
      <c r="AJ133" t="s">
        <v>163</v>
      </c>
      <c r="AK133">
        <v>3</v>
      </c>
      <c r="AL133">
        <v>4</v>
      </c>
      <c r="AM133" t="s">
        <v>163</v>
      </c>
      <c r="AN133">
        <v>1</v>
      </c>
      <c r="AO133">
        <v>1</v>
      </c>
      <c r="AP133">
        <v>2</v>
      </c>
      <c r="AQ133">
        <v>2</v>
      </c>
      <c r="AR133">
        <v>5</v>
      </c>
      <c r="AS133">
        <v>6</v>
      </c>
    </row>
    <row r="134" spans="1:45" x14ac:dyDescent="0.35">
      <c r="A134" s="337">
        <v>46266</v>
      </c>
      <c r="B134" s="337">
        <v>46279</v>
      </c>
      <c r="C134" s="337">
        <v>816</v>
      </c>
      <c r="D134" t="s">
        <v>130</v>
      </c>
      <c r="E134" s="339">
        <v>0.91666666666666663</v>
      </c>
      <c r="F134">
        <v>2</v>
      </c>
      <c r="G134" t="s">
        <v>141</v>
      </c>
      <c r="H134" t="s">
        <v>163</v>
      </c>
      <c r="I134" t="s">
        <v>165</v>
      </c>
      <c r="J134" t="s">
        <v>165</v>
      </c>
      <c r="K134" t="s">
        <v>165</v>
      </c>
      <c r="L134" t="s">
        <v>163</v>
      </c>
      <c r="M134" t="s">
        <v>161</v>
      </c>
      <c r="N134">
        <v>10.45</v>
      </c>
      <c r="O134" t="s">
        <v>163</v>
      </c>
      <c r="P134" t="s">
        <v>163</v>
      </c>
      <c r="Q134" t="s">
        <v>163</v>
      </c>
      <c r="R134" t="s">
        <v>163</v>
      </c>
      <c r="S134" t="s">
        <v>163</v>
      </c>
      <c r="T134" t="s">
        <v>163</v>
      </c>
      <c r="U134" t="s">
        <v>163</v>
      </c>
      <c r="V134" t="s">
        <v>163</v>
      </c>
      <c r="W134" t="s">
        <v>165</v>
      </c>
      <c r="X134" t="s">
        <v>165</v>
      </c>
      <c r="Y134" t="s">
        <v>163</v>
      </c>
      <c r="Z134" t="s">
        <v>163</v>
      </c>
      <c r="AA134">
        <v>1</v>
      </c>
      <c r="AB134">
        <v>2</v>
      </c>
      <c r="AC134">
        <v>0</v>
      </c>
      <c r="AD134" t="s">
        <v>163</v>
      </c>
      <c r="AE134" t="s">
        <v>163</v>
      </c>
      <c r="AF134" t="s">
        <v>163</v>
      </c>
      <c r="AG134" t="s">
        <v>163</v>
      </c>
      <c r="AH134" t="s">
        <v>163</v>
      </c>
      <c r="AI134" t="s">
        <v>163</v>
      </c>
      <c r="AJ134" t="s">
        <v>163</v>
      </c>
      <c r="AK134">
        <v>3</v>
      </c>
      <c r="AL134">
        <v>4</v>
      </c>
      <c r="AM134" t="s">
        <v>163</v>
      </c>
      <c r="AN134">
        <v>1</v>
      </c>
      <c r="AO134">
        <v>1</v>
      </c>
      <c r="AP134">
        <v>2</v>
      </c>
      <c r="AQ134">
        <v>2</v>
      </c>
      <c r="AR134">
        <v>5</v>
      </c>
      <c r="AS134">
        <v>6</v>
      </c>
    </row>
    <row r="135" spans="1:45" x14ac:dyDescent="0.35">
      <c r="A135" s="337">
        <v>46266</v>
      </c>
      <c r="B135" s="337">
        <v>46279</v>
      </c>
      <c r="C135" s="337">
        <v>46273</v>
      </c>
      <c r="D135" t="s">
        <v>128</v>
      </c>
      <c r="E135" s="339">
        <v>0.83333333333333337</v>
      </c>
      <c r="F135">
        <v>3</v>
      </c>
      <c r="G135" t="s">
        <v>119</v>
      </c>
      <c r="H135" t="s">
        <v>163</v>
      </c>
      <c r="I135" t="s">
        <v>165</v>
      </c>
      <c r="J135" t="s">
        <v>165</v>
      </c>
      <c r="K135" t="s">
        <v>165</v>
      </c>
      <c r="L135" t="s">
        <v>161</v>
      </c>
      <c r="M135" t="s">
        <v>161</v>
      </c>
      <c r="N135">
        <v>12.2</v>
      </c>
      <c r="O135" t="s">
        <v>163</v>
      </c>
      <c r="P135" t="s">
        <v>163</v>
      </c>
      <c r="Q135" t="s">
        <v>163</v>
      </c>
      <c r="R135" t="s">
        <v>163</v>
      </c>
      <c r="S135" t="s">
        <v>163</v>
      </c>
      <c r="T135" t="s">
        <v>163</v>
      </c>
      <c r="U135" t="s">
        <v>163</v>
      </c>
      <c r="V135" t="s">
        <v>163</v>
      </c>
      <c r="W135" t="s">
        <v>165</v>
      </c>
      <c r="X135" t="s">
        <v>165</v>
      </c>
      <c r="Y135" t="s">
        <v>163</v>
      </c>
      <c r="Z135" t="s">
        <v>163</v>
      </c>
      <c r="AA135">
        <v>1</v>
      </c>
      <c r="AB135">
        <v>2</v>
      </c>
      <c r="AC135">
        <v>1</v>
      </c>
      <c r="AD135" t="s">
        <v>163</v>
      </c>
      <c r="AE135" t="s">
        <v>163</v>
      </c>
      <c r="AF135" t="s">
        <v>163</v>
      </c>
      <c r="AG135" t="s">
        <v>163</v>
      </c>
      <c r="AH135" t="s">
        <v>163</v>
      </c>
      <c r="AI135" t="s">
        <v>163</v>
      </c>
      <c r="AJ135" t="s">
        <v>163</v>
      </c>
      <c r="AK135">
        <v>4</v>
      </c>
      <c r="AL135">
        <v>4</v>
      </c>
      <c r="AM135" t="s">
        <v>163</v>
      </c>
      <c r="AN135">
        <v>1</v>
      </c>
      <c r="AO135">
        <v>1</v>
      </c>
      <c r="AP135">
        <v>2</v>
      </c>
      <c r="AQ135">
        <v>2</v>
      </c>
      <c r="AR135">
        <v>6</v>
      </c>
      <c r="AS135">
        <v>6</v>
      </c>
    </row>
    <row r="136" spans="1:45" x14ac:dyDescent="0.35">
      <c r="A136" s="337">
        <v>46266</v>
      </c>
      <c r="B136" s="337">
        <v>46279</v>
      </c>
      <c r="C136" s="337">
        <v>46273</v>
      </c>
      <c r="D136" t="s">
        <v>128</v>
      </c>
      <c r="E136" s="339">
        <v>0.79166666666666663</v>
      </c>
      <c r="F136">
        <v>3</v>
      </c>
      <c r="G136" t="s">
        <v>119</v>
      </c>
      <c r="H136" t="s">
        <v>163</v>
      </c>
      <c r="I136" t="s">
        <v>165</v>
      </c>
      <c r="J136" t="s">
        <v>165</v>
      </c>
      <c r="K136" t="s">
        <v>165</v>
      </c>
      <c r="L136" t="s">
        <v>161</v>
      </c>
      <c r="M136" t="s">
        <v>161</v>
      </c>
      <c r="N136">
        <v>12.54</v>
      </c>
      <c r="O136" t="s">
        <v>163</v>
      </c>
      <c r="P136" t="s">
        <v>163</v>
      </c>
      <c r="Q136" t="s">
        <v>163</v>
      </c>
      <c r="R136" t="s">
        <v>163</v>
      </c>
      <c r="S136" t="s">
        <v>163</v>
      </c>
      <c r="T136" t="s">
        <v>163</v>
      </c>
      <c r="U136" t="s">
        <v>163</v>
      </c>
      <c r="V136" t="s">
        <v>163</v>
      </c>
      <c r="W136" t="s">
        <v>165</v>
      </c>
      <c r="X136" t="s">
        <v>165</v>
      </c>
      <c r="Y136" t="s">
        <v>163</v>
      </c>
      <c r="Z136" t="s">
        <v>163</v>
      </c>
      <c r="AA136">
        <v>1</v>
      </c>
      <c r="AB136">
        <v>2</v>
      </c>
      <c r="AC136">
        <v>1</v>
      </c>
      <c r="AD136" t="s">
        <v>163</v>
      </c>
      <c r="AE136" t="s">
        <v>163</v>
      </c>
      <c r="AF136" t="s">
        <v>163</v>
      </c>
      <c r="AG136" t="s">
        <v>163</v>
      </c>
      <c r="AH136" t="s">
        <v>163</v>
      </c>
      <c r="AI136" t="s">
        <v>163</v>
      </c>
      <c r="AJ136" t="s">
        <v>163</v>
      </c>
      <c r="AK136">
        <v>4</v>
      </c>
      <c r="AL136">
        <v>4</v>
      </c>
      <c r="AM136" t="s">
        <v>163</v>
      </c>
      <c r="AN136">
        <v>1</v>
      </c>
      <c r="AO136">
        <v>1</v>
      </c>
      <c r="AP136">
        <v>2</v>
      </c>
      <c r="AQ136">
        <v>2</v>
      </c>
      <c r="AR136">
        <v>6</v>
      </c>
      <c r="AS136">
        <v>6</v>
      </c>
    </row>
    <row r="137" spans="1:45" x14ac:dyDescent="0.35">
      <c r="A137" s="337">
        <v>46266</v>
      </c>
      <c r="B137" s="337">
        <v>46279</v>
      </c>
      <c r="C137" s="337">
        <v>46273</v>
      </c>
      <c r="D137" t="s">
        <v>128</v>
      </c>
      <c r="E137" s="339">
        <v>0.75</v>
      </c>
      <c r="F137">
        <v>3</v>
      </c>
      <c r="G137" t="s">
        <v>119</v>
      </c>
      <c r="H137" t="s">
        <v>163</v>
      </c>
      <c r="I137" t="s">
        <v>165</v>
      </c>
      <c r="J137" t="s">
        <v>165</v>
      </c>
      <c r="K137" t="s">
        <v>165</v>
      </c>
      <c r="L137" t="s">
        <v>161</v>
      </c>
      <c r="M137" t="s">
        <v>161</v>
      </c>
      <c r="N137">
        <v>11.92</v>
      </c>
      <c r="O137" t="s">
        <v>163</v>
      </c>
      <c r="P137" t="s">
        <v>163</v>
      </c>
      <c r="Q137" t="s">
        <v>163</v>
      </c>
      <c r="R137" t="s">
        <v>163</v>
      </c>
      <c r="S137" t="s">
        <v>163</v>
      </c>
      <c r="T137" t="s">
        <v>163</v>
      </c>
      <c r="U137" t="s">
        <v>163</v>
      </c>
      <c r="V137" t="s">
        <v>163</v>
      </c>
      <c r="W137" t="s">
        <v>165</v>
      </c>
      <c r="X137" t="s">
        <v>165</v>
      </c>
      <c r="Y137" t="s">
        <v>163</v>
      </c>
      <c r="Z137" t="s">
        <v>163</v>
      </c>
      <c r="AA137">
        <v>1</v>
      </c>
      <c r="AB137">
        <v>2</v>
      </c>
      <c r="AC137">
        <v>0</v>
      </c>
      <c r="AD137" t="s">
        <v>163</v>
      </c>
      <c r="AE137" t="s">
        <v>163</v>
      </c>
      <c r="AF137" t="s">
        <v>163</v>
      </c>
      <c r="AG137" t="s">
        <v>163</v>
      </c>
      <c r="AH137" t="s">
        <v>163</v>
      </c>
      <c r="AI137" t="s">
        <v>163</v>
      </c>
      <c r="AJ137" t="s">
        <v>163</v>
      </c>
      <c r="AK137">
        <v>3</v>
      </c>
      <c r="AL137">
        <v>4</v>
      </c>
      <c r="AM137" t="s">
        <v>163</v>
      </c>
      <c r="AN137">
        <v>1</v>
      </c>
      <c r="AO137">
        <v>1</v>
      </c>
      <c r="AP137">
        <v>2</v>
      </c>
      <c r="AQ137">
        <v>2</v>
      </c>
      <c r="AR137">
        <v>5</v>
      </c>
      <c r="AS137">
        <v>6</v>
      </c>
    </row>
    <row r="138" spans="1:45" x14ac:dyDescent="0.35">
      <c r="A138" s="337">
        <v>46266</v>
      </c>
      <c r="B138" s="337">
        <v>46279</v>
      </c>
      <c r="C138" s="337">
        <v>46273</v>
      </c>
      <c r="D138" t="s">
        <v>128</v>
      </c>
      <c r="E138" s="339">
        <v>0.70833333333333337</v>
      </c>
      <c r="F138">
        <v>3</v>
      </c>
      <c r="G138" t="s">
        <v>117</v>
      </c>
      <c r="H138" t="s">
        <v>163</v>
      </c>
      <c r="I138" t="s">
        <v>165</v>
      </c>
      <c r="J138" t="s">
        <v>165</v>
      </c>
      <c r="K138" t="s">
        <v>165</v>
      </c>
      <c r="L138" t="s">
        <v>161</v>
      </c>
      <c r="M138" t="s">
        <v>161</v>
      </c>
      <c r="N138">
        <v>11.92</v>
      </c>
      <c r="O138">
        <v>12.57</v>
      </c>
      <c r="P138" t="s">
        <v>163</v>
      </c>
      <c r="Q138">
        <v>64.099999999999994</v>
      </c>
      <c r="R138" t="s">
        <v>163</v>
      </c>
      <c r="S138" t="s">
        <v>163</v>
      </c>
      <c r="T138">
        <v>35.200000000000003</v>
      </c>
      <c r="U138" t="s">
        <v>163</v>
      </c>
      <c r="V138" t="s">
        <v>163</v>
      </c>
      <c r="W138" t="s">
        <v>165</v>
      </c>
      <c r="X138" t="s">
        <v>165</v>
      </c>
      <c r="Y138" t="s">
        <v>427</v>
      </c>
      <c r="Z138" t="s">
        <v>163</v>
      </c>
      <c r="AA138">
        <v>1</v>
      </c>
      <c r="AB138">
        <v>2</v>
      </c>
      <c r="AC138">
        <v>0</v>
      </c>
      <c r="AD138">
        <v>1</v>
      </c>
      <c r="AE138" t="s">
        <v>163</v>
      </c>
      <c r="AF138">
        <v>2</v>
      </c>
      <c r="AG138" t="s">
        <v>163</v>
      </c>
      <c r="AH138" t="s">
        <v>163</v>
      </c>
      <c r="AI138">
        <v>2</v>
      </c>
      <c r="AJ138" t="s">
        <v>163</v>
      </c>
      <c r="AK138">
        <v>8</v>
      </c>
      <c r="AL138">
        <v>9</v>
      </c>
      <c r="AM138" t="s">
        <v>163</v>
      </c>
      <c r="AN138">
        <v>1</v>
      </c>
      <c r="AO138">
        <v>1</v>
      </c>
      <c r="AP138">
        <v>2</v>
      </c>
      <c r="AQ138">
        <v>2</v>
      </c>
      <c r="AR138">
        <v>10</v>
      </c>
      <c r="AS138">
        <v>11</v>
      </c>
    </row>
    <row r="139" spans="1:45" x14ac:dyDescent="0.35">
      <c r="A139" s="337">
        <v>46266</v>
      </c>
      <c r="B139" s="337">
        <v>46279</v>
      </c>
      <c r="C139" s="337">
        <v>46273</v>
      </c>
      <c r="D139" t="s">
        <v>128</v>
      </c>
      <c r="E139" s="339">
        <v>0.625</v>
      </c>
      <c r="F139">
        <v>3</v>
      </c>
      <c r="G139" t="s">
        <v>36</v>
      </c>
      <c r="H139">
        <v>0.01</v>
      </c>
      <c r="I139" t="s">
        <v>165</v>
      </c>
      <c r="J139" t="s">
        <v>165</v>
      </c>
      <c r="K139" t="s">
        <v>165</v>
      </c>
      <c r="L139" t="s">
        <v>161</v>
      </c>
      <c r="M139" t="s">
        <v>161</v>
      </c>
      <c r="N139">
        <v>12.14</v>
      </c>
      <c r="O139">
        <v>12.28</v>
      </c>
      <c r="P139" t="s">
        <v>163</v>
      </c>
      <c r="Q139">
        <v>63.8</v>
      </c>
      <c r="R139" t="s">
        <v>163</v>
      </c>
      <c r="S139" t="s">
        <v>163</v>
      </c>
      <c r="T139">
        <v>34.200000000000003</v>
      </c>
      <c r="U139" t="s">
        <v>163</v>
      </c>
      <c r="V139" t="s">
        <v>163</v>
      </c>
      <c r="W139" t="s">
        <v>165</v>
      </c>
      <c r="X139" t="s">
        <v>165</v>
      </c>
      <c r="Y139" t="s">
        <v>426</v>
      </c>
      <c r="Z139">
        <v>2</v>
      </c>
      <c r="AA139">
        <v>1</v>
      </c>
      <c r="AB139">
        <v>2</v>
      </c>
      <c r="AC139">
        <v>1</v>
      </c>
      <c r="AD139">
        <v>1</v>
      </c>
      <c r="AE139" t="s">
        <v>163</v>
      </c>
      <c r="AF139">
        <v>0</v>
      </c>
      <c r="AG139" t="s">
        <v>163</v>
      </c>
      <c r="AH139" t="s">
        <v>163</v>
      </c>
      <c r="AI139">
        <v>2</v>
      </c>
      <c r="AJ139" t="s">
        <v>163</v>
      </c>
      <c r="AK139">
        <v>9</v>
      </c>
      <c r="AL139">
        <v>11</v>
      </c>
      <c r="AM139" t="s">
        <v>163</v>
      </c>
      <c r="AN139">
        <v>1</v>
      </c>
      <c r="AO139">
        <v>1</v>
      </c>
      <c r="AP139">
        <v>2</v>
      </c>
      <c r="AQ139">
        <v>2</v>
      </c>
      <c r="AR139">
        <v>11</v>
      </c>
      <c r="AS139">
        <v>13</v>
      </c>
    </row>
    <row r="140" spans="1:45" x14ac:dyDescent="0.35">
      <c r="A140" s="337">
        <v>46266</v>
      </c>
      <c r="B140" s="337">
        <v>46279</v>
      </c>
      <c r="C140" s="339">
        <v>0</v>
      </c>
      <c r="D140" t="s">
        <v>128</v>
      </c>
      <c r="E140" s="339">
        <v>0.875</v>
      </c>
      <c r="F140">
        <v>2</v>
      </c>
      <c r="G140" t="s">
        <v>141</v>
      </c>
      <c r="H140" t="s">
        <v>163</v>
      </c>
      <c r="I140" t="s">
        <v>165</v>
      </c>
      <c r="J140" t="s">
        <v>165</v>
      </c>
      <c r="K140" t="s">
        <v>165</v>
      </c>
      <c r="L140" t="s">
        <v>163</v>
      </c>
      <c r="M140" t="s">
        <v>161</v>
      </c>
      <c r="N140">
        <v>10.37</v>
      </c>
      <c r="O140" t="s">
        <v>163</v>
      </c>
      <c r="P140" t="s">
        <v>163</v>
      </c>
      <c r="Q140" t="s">
        <v>163</v>
      </c>
      <c r="R140" t="s">
        <v>163</v>
      </c>
      <c r="S140" t="s">
        <v>163</v>
      </c>
      <c r="T140" t="s">
        <v>163</v>
      </c>
      <c r="U140" t="s">
        <v>163</v>
      </c>
      <c r="V140" t="s">
        <v>163</v>
      </c>
      <c r="W140" t="s">
        <v>165</v>
      </c>
      <c r="X140" t="s">
        <v>165</v>
      </c>
      <c r="Y140" t="s">
        <v>163</v>
      </c>
      <c r="Z140" t="s">
        <v>163</v>
      </c>
      <c r="AA140">
        <v>1</v>
      </c>
      <c r="AB140">
        <v>2</v>
      </c>
      <c r="AC140">
        <v>0</v>
      </c>
      <c r="AD140" t="s">
        <v>163</v>
      </c>
      <c r="AE140" t="s">
        <v>163</v>
      </c>
      <c r="AF140" t="s">
        <v>163</v>
      </c>
      <c r="AG140" t="s">
        <v>163</v>
      </c>
      <c r="AH140" t="s">
        <v>163</v>
      </c>
      <c r="AI140" t="s">
        <v>163</v>
      </c>
      <c r="AJ140" t="s">
        <v>163</v>
      </c>
      <c r="AK140">
        <v>3</v>
      </c>
      <c r="AL140">
        <v>4</v>
      </c>
      <c r="AM140" t="s">
        <v>163</v>
      </c>
      <c r="AN140">
        <v>1</v>
      </c>
      <c r="AO140">
        <v>1</v>
      </c>
      <c r="AP140">
        <v>2</v>
      </c>
      <c r="AQ140">
        <v>2</v>
      </c>
      <c r="AR140">
        <v>5</v>
      </c>
      <c r="AS140">
        <v>6</v>
      </c>
    </row>
    <row r="141" spans="1:45" x14ac:dyDescent="0.35">
      <c r="A141" s="337">
        <v>46266</v>
      </c>
      <c r="B141" s="337">
        <v>46279</v>
      </c>
      <c r="C141" s="339">
        <v>0</v>
      </c>
      <c r="D141" t="s">
        <v>128</v>
      </c>
      <c r="E141" s="339">
        <v>0.83333333333333337</v>
      </c>
      <c r="F141">
        <v>2</v>
      </c>
      <c r="G141" t="s">
        <v>141</v>
      </c>
      <c r="H141" t="s">
        <v>163</v>
      </c>
      <c r="I141" t="s">
        <v>165</v>
      </c>
      <c r="J141" t="s">
        <v>165</v>
      </c>
      <c r="K141" t="s">
        <v>165</v>
      </c>
      <c r="L141" t="s">
        <v>163</v>
      </c>
      <c r="M141" t="s">
        <v>161</v>
      </c>
      <c r="N141">
        <v>10.41</v>
      </c>
      <c r="O141" t="s">
        <v>163</v>
      </c>
      <c r="P141" t="s">
        <v>163</v>
      </c>
      <c r="Q141" t="s">
        <v>163</v>
      </c>
      <c r="R141" t="s">
        <v>163</v>
      </c>
      <c r="S141" t="s">
        <v>163</v>
      </c>
      <c r="T141" t="s">
        <v>163</v>
      </c>
      <c r="U141" t="s">
        <v>163</v>
      </c>
      <c r="V141" t="s">
        <v>163</v>
      </c>
      <c r="W141" t="s">
        <v>165</v>
      </c>
      <c r="X141" t="s">
        <v>165</v>
      </c>
      <c r="Y141" t="s">
        <v>163</v>
      </c>
      <c r="Z141" t="s">
        <v>163</v>
      </c>
      <c r="AA141">
        <v>1</v>
      </c>
      <c r="AB141">
        <v>2</v>
      </c>
      <c r="AC141">
        <v>0</v>
      </c>
      <c r="AD141" t="s">
        <v>163</v>
      </c>
      <c r="AE141" t="s">
        <v>163</v>
      </c>
      <c r="AF141" t="s">
        <v>163</v>
      </c>
      <c r="AG141" t="s">
        <v>163</v>
      </c>
      <c r="AH141" t="s">
        <v>163</v>
      </c>
      <c r="AI141" t="s">
        <v>163</v>
      </c>
      <c r="AJ141" t="s">
        <v>163</v>
      </c>
      <c r="AK141">
        <v>3</v>
      </c>
      <c r="AL141">
        <v>4</v>
      </c>
      <c r="AM141" t="s">
        <v>163</v>
      </c>
      <c r="AN141">
        <v>1</v>
      </c>
      <c r="AO141">
        <v>1</v>
      </c>
      <c r="AP141">
        <v>2</v>
      </c>
      <c r="AQ141">
        <v>2</v>
      </c>
      <c r="AR141">
        <v>5</v>
      </c>
      <c r="AS141">
        <v>6</v>
      </c>
    </row>
    <row r="142" spans="1:45" x14ac:dyDescent="0.35">
      <c r="A142" s="337">
        <v>46266</v>
      </c>
      <c r="B142" s="337">
        <v>46279</v>
      </c>
      <c r="C142" s="339">
        <v>0</v>
      </c>
      <c r="D142" t="s">
        <v>128</v>
      </c>
      <c r="E142" s="339">
        <v>0.79166666666666663</v>
      </c>
      <c r="F142">
        <v>2</v>
      </c>
      <c r="G142" t="s">
        <v>141</v>
      </c>
      <c r="H142" t="s">
        <v>163</v>
      </c>
      <c r="I142" t="s">
        <v>165</v>
      </c>
      <c r="J142" t="s">
        <v>165</v>
      </c>
      <c r="K142" t="s">
        <v>165</v>
      </c>
      <c r="L142" t="s">
        <v>163</v>
      </c>
      <c r="M142" t="s">
        <v>161</v>
      </c>
      <c r="N142">
        <v>10.49</v>
      </c>
      <c r="O142" t="s">
        <v>163</v>
      </c>
      <c r="P142" t="s">
        <v>163</v>
      </c>
      <c r="Q142" t="s">
        <v>163</v>
      </c>
      <c r="R142" t="s">
        <v>163</v>
      </c>
      <c r="S142" t="s">
        <v>163</v>
      </c>
      <c r="T142" t="s">
        <v>163</v>
      </c>
      <c r="U142" t="s">
        <v>163</v>
      </c>
      <c r="V142" t="s">
        <v>163</v>
      </c>
      <c r="W142" t="s">
        <v>165</v>
      </c>
      <c r="X142" t="s">
        <v>165</v>
      </c>
      <c r="Y142" t="s">
        <v>163</v>
      </c>
      <c r="Z142" t="s">
        <v>163</v>
      </c>
      <c r="AA142">
        <v>1</v>
      </c>
      <c r="AB142">
        <v>2</v>
      </c>
      <c r="AC142">
        <v>0</v>
      </c>
      <c r="AD142" t="s">
        <v>163</v>
      </c>
      <c r="AE142" t="s">
        <v>163</v>
      </c>
      <c r="AF142" t="s">
        <v>163</v>
      </c>
      <c r="AG142" t="s">
        <v>163</v>
      </c>
      <c r="AH142" t="s">
        <v>163</v>
      </c>
      <c r="AI142" t="s">
        <v>163</v>
      </c>
      <c r="AJ142" t="s">
        <v>163</v>
      </c>
      <c r="AK142">
        <v>3</v>
      </c>
      <c r="AL142">
        <v>4</v>
      </c>
      <c r="AM142" t="s">
        <v>163</v>
      </c>
      <c r="AN142">
        <v>1</v>
      </c>
      <c r="AO142">
        <v>1</v>
      </c>
      <c r="AP142">
        <v>2</v>
      </c>
      <c r="AQ142">
        <v>2</v>
      </c>
      <c r="AR142">
        <v>5</v>
      </c>
      <c r="AS142">
        <v>6</v>
      </c>
    </row>
    <row r="143" spans="1:45" x14ac:dyDescent="0.35">
      <c r="A143" s="337">
        <v>46266</v>
      </c>
      <c r="B143" s="337">
        <v>46279</v>
      </c>
      <c r="C143" s="339">
        <v>0</v>
      </c>
      <c r="D143" t="s">
        <v>128</v>
      </c>
      <c r="E143" s="339">
        <v>0.75</v>
      </c>
      <c r="F143">
        <v>2</v>
      </c>
      <c r="G143" t="s">
        <v>141</v>
      </c>
      <c r="H143" t="s">
        <v>163</v>
      </c>
      <c r="I143" t="s">
        <v>165</v>
      </c>
      <c r="J143" t="s">
        <v>165</v>
      </c>
      <c r="K143" t="s">
        <v>165</v>
      </c>
      <c r="L143" t="s">
        <v>163</v>
      </c>
      <c r="M143" t="s">
        <v>161</v>
      </c>
      <c r="N143">
        <v>10.56</v>
      </c>
      <c r="O143" t="s">
        <v>163</v>
      </c>
      <c r="P143" t="s">
        <v>163</v>
      </c>
      <c r="Q143" t="s">
        <v>163</v>
      </c>
      <c r="R143" t="s">
        <v>163</v>
      </c>
      <c r="S143" t="s">
        <v>163</v>
      </c>
      <c r="T143" t="s">
        <v>163</v>
      </c>
      <c r="U143" t="s">
        <v>163</v>
      </c>
      <c r="V143" t="s">
        <v>163</v>
      </c>
      <c r="W143" t="s">
        <v>165</v>
      </c>
      <c r="X143" t="s">
        <v>165</v>
      </c>
      <c r="Y143" t="s">
        <v>163</v>
      </c>
      <c r="Z143" t="s">
        <v>163</v>
      </c>
      <c r="AA143">
        <v>1</v>
      </c>
      <c r="AB143">
        <v>2</v>
      </c>
      <c r="AC143">
        <v>0</v>
      </c>
      <c r="AD143" t="s">
        <v>163</v>
      </c>
      <c r="AE143" t="s">
        <v>163</v>
      </c>
      <c r="AF143" t="s">
        <v>163</v>
      </c>
      <c r="AG143" t="s">
        <v>163</v>
      </c>
      <c r="AH143" t="s">
        <v>163</v>
      </c>
      <c r="AI143" t="s">
        <v>163</v>
      </c>
      <c r="AJ143" t="s">
        <v>163</v>
      </c>
      <c r="AK143">
        <v>3</v>
      </c>
      <c r="AL143">
        <v>4</v>
      </c>
      <c r="AM143" t="s">
        <v>163</v>
      </c>
      <c r="AN143">
        <v>1</v>
      </c>
      <c r="AO143">
        <v>1</v>
      </c>
      <c r="AP143">
        <v>2</v>
      </c>
      <c r="AQ143">
        <v>2</v>
      </c>
      <c r="AR143">
        <v>5</v>
      </c>
      <c r="AS143">
        <v>6</v>
      </c>
    </row>
    <row r="144" spans="1:45" x14ac:dyDescent="0.35">
      <c r="A144" s="337">
        <v>46266</v>
      </c>
      <c r="B144" s="337">
        <v>46279</v>
      </c>
      <c r="C144" s="339">
        <v>0</v>
      </c>
      <c r="D144" t="s">
        <v>128</v>
      </c>
      <c r="E144" s="339">
        <v>0.70833333333333337</v>
      </c>
      <c r="F144">
        <v>2</v>
      </c>
      <c r="G144" t="s">
        <v>141</v>
      </c>
      <c r="H144" t="s">
        <v>163</v>
      </c>
      <c r="I144" t="s">
        <v>165</v>
      </c>
      <c r="J144" t="s">
        <v>165</v>
      </c>
      <c r="K144" t="s">
        <v>165</v>
      </c>
      <c r="L144" t="s">
        <v>163</v>
      </c>
      <c r="M144" t="s">
        <v>161</v>
      </c>
      <c r="N144">
        <v>10.34</v>
      </c>
      <c r="O144" t="s">
        <v>163</v>
      </c>
      <c r="P144" t="s">
        <v>163</v>
      </c>
      <c r="Q144" t="s">
        <v>163</v>
      </c>
      <c r="R144" t="s">
        <v>163</v>
      </c>
      <c r="S144" t="s">
        <v>163</v>
      </c>
      <c r="T144" t="s">
        <v>163</v>
      </c>
      <c r="U144" t="s">
        <v>163</v>
      </c>
      <c r="V144" t="s">
        <v>163</v>
      </c>
      <c r="W144" t="s">
        <v>165</v>
      </c>
      <c r="X144" t="s">
        <v>165</v>
      </c>
      <c r="Y144" t="s">
        <v>163</v>
      </c>
      <c r="Z144" t="s">
        <v>163</v>
      </c>
      <c r="AA144">
        <v>1</v>
      </c>
      <c r="AB144">
        <v>2</v>
      </c>
      <c r="AC144">
        <v>0</v>
      </c>
      <c r="AD144" t="s">
        <v>163</v>
      </c>
      <c r="AE144" t="s">
        <v>163</v>
      </c>
      <c r="AF144" t="s">
        <v>163</v>
      </c>
      <c r="AG144" t="s">
        <v>163</v>
      </c>
      <c r="AH144" t="s">
        <v>163</v>
      </c>
      <c r="AI144" t="s">
        <v>163</v>
      </c>
      <c r="AJ144" t="s">
        <v>163</v>
      </c>
      <c r="AK144">
        <v>3</v>
      </c>
      <c r="AL144">
        <v>4</v>
      </c>
      <c r="AM144" t="s">
        <v>163</v>
      </c>
      <c r="AN144">
        <v>1</v>
      </c>
      <c r="AO144">
        <v>1</v>
      </c>
      <c r="AP144">
        <v>2</v>
      </c>
      <c r="AQ144">
        <v>2</v>
      </c>
      <c r="AR144">
        <v>5</v>
      </c>
      <c r="AS144">
        <v>6</v>
      </c>
    </row>
    <row r="145" spans="1:45" x14ac:dyDescent="0.35">
      <c r="A145" s="337">
        <v>46266</v>
      </c>
      <c r="B145" s="337">
        <v>46279</v>
      </c>
      <c r="C145" s="337">
        <v>816</v>
      </c>
      <c r="D145" t="s">
        <v>128</v>
      </c>
      <c r="E145" s="339">
        <v>0.625</v>
      </c>
      <c r="F145">
        <v>2</v>
      </c>
      <c r="G145" t="s">
        <v>141</v>
      </c>
      <c r="H145" t="s">
        <v>163</v>
      </c>
      <c r="I145" t="s">
        <v>165</v>
      </c>
      <c r="J145" t="s">
        <v>165</v>
      </c>
      <c r="K145" t="s">
        <v>165</v>
      </c>
      <c r="L145" t="s">
        <v>163</v>
      </c>
      <c r="M145" t="s">
        <v>161</v>
      </c>
      <c r="N145">
        <v>11.21</v>
      </c>
      <c r="O145">
        <v>8.7899999999999991</v>
      </c>
      <c r="P145" t="s">
        <v>163</v>
      </c>
      <c r="Q145" t="s">
        <v>163</v>
      </c>
      <c r="R145" t="s">
        <v>163</v>
      </c>
      <c r="S145" t="s">
        <v>163</v>
      </c>
      <c r="T145">
        <v>23.8</v>
      </c>
      <c r="U145" t="s">
        <v>163</v>
      </c>
      <c r="V145" t="s">
        <v>163</v>
      </c>
      <c r="W145" t="s">
        <v>165</v>
      </c>
      <c r="X145" t="s">
        <v>165</v>
      </c>
      <c r="Y145" t="s">
        <v>163</v>
      </c>
      <c r="Z145" t="s">
        <v>163</v>
      </c>
      <c r="AA145">
        <v>1</v>
      </c>
      <c r="AB145">
        <v>2</v>
      </c>
      <c r="AC145">
        <v>1</v>
      </c>
      <c r="AD145" t="s">
        <v>163</v>
      </c>
      <c r="AE145" t="s">
        <v>163</v>
      </c>
      <c r="AF145" t="s">
        <v>163</v>
      </c>
      <c r="AG145" t="s">
        <v>163</v>
      </c>
      <c r="AH145" t="s">
        <v>163</v>
      </c>
      <c r="AI145">
        <v>2</v>
      </c>
      <c r="AJ145" t="s">
        <v>163</v>
      </c>
      <c r="AK145">
        <v>6</v>
      </c>
      <c r="AL145">
        <v>6</v>
      </c>
      <c r="AM145" t="s">
        <v>163</v>
      </c>
      <c r="AN145">
        <v>1</v>
      </c>
      <c r="AO145">
        <v>1</v>
      </c>
      <c r="AP145">
        <v>2</v>
      </c>
      <c r="AQ145">
        <v>2</v>
      </c>
      <c r="AR145">
        <v>8</v>
      </c>
      <c r="AS145">
        <v>8</v>
      </c>
    </row>
    <row r="146" spans="1:45" x14ac:dyDescent="0.35">
      <c r="A146" s="337">
        <v>46266</v>
      </c>
      <c r="B146" s="337">
        <v>46278</v>
      </c>
      <c r="C146" s="337">
        <v>816</v>
      </c>
      <c r="D146" t="s">
        <v>128</v>
      </c>
      <c r="E146" s="339">
        <v>0.875</v>
      </c>
      <c r="F146">
        <v>2</v>
      </c>
      <c r="G146" t="s">
        <v>138</v>
      </c>
      <c r="H146" t="s">
        <v>163</v>
      </c>
      <c r="I146" t="s">
        <v>165</v>
      </c>
      <c r="J146" t="s">
        <v>165</v>
      </c>
      <c r="K146" t="s">
        <v>165</v>
      </c>
      <c r="L146" t="s">
        <v>163</v>
      </c>
      <c r="M146" t="s">
        <v>161</v>
      </c>
      <c r="N146">
        <v>10.64</v>
      </c>
      <c r="O146" t="s">
        <v>163</v>
      </c>
      <c r="P146" t="s">
        <v>163</v>
      </c>
      <c r="Q146" t="s">
        <v>163</v>
      </c>
      <c r="R146" t="s">
        <v>163</v>
      </c>
      <c r="S146" t="s">
        <v>163</v>
      </c>
      <c r="T146" t="s">
        <v>163</v>
      </c>
      <c r="U146" t="s">
        <v>163</v>
      </c>
      <c r="V146" t="s">
        <v>163</v>
      </c>
      <c r="W146" t="s">
        <v>165</v>
      </c>
      <c r="X146" t="s">
        <v>165</v>
      </c>
      <c r="Y146" t="s">
        <v>163</v>
      </c>
      <c r="Z146" t="s">
        <v>163</v>
      </c>
      <c r="AA146">
        <v>1</v>
      </c>
      <c r="AB146">
        <v>2</v>
      </c>
      <c r="AC146">
        <v>0</v>
      </c>
      <c r="AD146" t="s">
        <v>163</v>
      </c>
      <c r="AE146" t="s">
        <v>163</v>
      </c>
      <c r="AF146" t="s">
        <v>163</v>
      </c>
      <c r="AG146" t="s">
        <v>163</v>
      </c>
      <c r="AH146" t="s">
        <v>163</v>
      </c>
      <c r="AI146" t="s">
        <v>163</v>
      </c>
      <c r="AJ146" t="s">
        <v>163</v>
      </c>
      <c r="AK146">
        <v>3</v>
      </c>
      <c r="AL146">
        <v>4</v>
      </c>
      <c r="AM146" t="s">
        <v>163</v>
      </c>
      <c r="AN146">
        <v>1</v>
      </c>
      <c r="AO146">
        <v>1</v>
      </c>
      <c r="AP146">
        <v>2</v>
      </c>
      <c r="AQ146">
        <v>2</v>
      </c>
      <c r="AR146">
        <v>5</v>
      </c>
      <c r="AS146">
        <v>6</v>
      </c>
    </row>
    <row r="147" spans="1:45" x14ac:dyDescent="0.35">
      <c r="A147" s="337">
        <v>46266</v>
      </c>
      <c r="B147" s="337">
        <v>46278</v>
      </c>
      <c r="C147" s="337">
        <v>816</v>
      </c>
      <c r="D147" t="s">
        <v>128</v>
      </c>
      <c r="E147" s="339">
        <v>0.83333333333333337</v>
      </c>
      <c r="F147">
        <v>2</v>
      </c>
      <c r="G147" t="s">
        <v>138</v>
      </c>
      <c r="H147" t="s">
        <v>163</v>
      </c>
      <c r="I147" t="s">
        <v>165</v>
      </c>
      <c r="J147" t="s">
        <v>165</v>
      </c>
      <c r="K147" t="s">
        <v>165</v>
      </c>
      <c r="L147" t="s">
        <v>163</v>
      </c>
      <c r="M147" t="s">
        <v>161</v>
      </c>
      <c r="N147">
        <v>10.63</v>
      </c>
      <c r="O147" t="s">
        <v>163</v>
      </c>
      <c r="P147" t="s">
        <v>163</v>
      </c>
      <c r="Q147" t="s">
        <v>163</v>
      </c>
      <c r="R147" t="s">
        <v>163</v>
      </c>
      <c r="S147" t="s">
        <v>163</v>
      </c>
      <c r="T147" t="s">
        <v>163</v>
      </c>
      <c r="U147" t="s">
        <v>163</v>
      </c>
      <c r="V147" t="s">
        <v>163</v>
      </c>
      <c r="W147" t="s">
        <v>165</v>
      </c>
      <c r="X147" t="s">
        <v>165</v>
      </c>
      <c r="Y147">
        <v>1</v>
      </c>
      <c r="Z147" t="s">
        <v>163</v>
      </c>
      <c r="AA147">
        <v>1</v>
      </c>
      <c r="AB147">
        <v>2</v>
      </c>
      <c r="AC147">
        <v>0</v>
      </c>
      <c r="AD147" t="s">
        <v>163</v>
      </c>
      <c r="AE147" t="s">
        <v>163</v>
      </c>
      <c r="AF147" t="s">
        <v>163</v>
      </c>
      <c r="AG147" t="s">
        <v>163</v>
      </c>
      <c r="AH147" t="s">
        <v>163</v>
      </c>
      <c r="AI147" t="s">
        <v>163</v>
      </c>
      <c r="AJ147" t="s">
        <v>163</v>
      </c>
      <c r="AK147">
        <v>3</v>
      </c>
      <c r="AL147">
        <v>4</v>
      </c>
      <c r="AM147" t="s">
        <v>163</v>
      </c>
      <c r="AN147">
        <v>1</v>
      </c>
      <c r="AO147">
        <v>1</v>
      </c>
      <c r="AP147">
        <v>2</v>
      </c>
      <c r="AQ147">
        <v>2</v>
      </c>
      <c r="AR147">
        <v>5</v>
      </c>
      <c r="AS147">
        <v>6</v>
      </c>
    </row>
    <row r="148" spans="1:45" x14ac:dyDescent="0.35">
      <c r="A148" s="337">
        <v>46266</v>
      </c>
      <c r="B148" s="337">
        <v>46278</v>
      </c>
      <c r="C148" s="337">
        <v>816</v>
      </c>
      <c r="D148" t="s">
        <v>128</v>
      </c>
      <c r="E148" s="339">
        <v>0.79166666666666663</v>
      </c>
      <c r="F148">
        <v>2</v>
      </c>
      <c r="G148" t="s">
        <v>140</v>
      </c>
      <c r="H148" t="s">
        <v>163</v>
      </c>
      <c r="I148" t="s">
        <v>165</v>
      </c>
      <c r="J148" t="s">
        <v>165</v>
      </c>
      <c r="K148" t="s">
        <v>165</v>
      </c>
      <c r="L148" t="s">
        <v>163</v>
      </c>
      <c r="M148" t="s">
        <v>161</v>
      </c>
      <c r="N148">
        <v>10.55</v>
      </c>
      <c r="O148" t="s">
        <v>163</v>
      </c>
      <c r="P148" t="s">
        <v>163</v>
      </c>
      <c r="Q148" t="s">
        <v>163</v>
      </c>
      <c r="R148" t="s">
        <v>163</v>
      </c>
      <c r="S148" t="s">
        <v>163</v>
      </c>
      <c r="T148" t="s">
        <v>163</v>
      </c>
      <c r="U148" t="s">
        <v>163</v>
      </c>
      <c r="V148" t="s">
        <v>163</v>
      </c>
      <c r="W148" t="s">
        <v>165</v>
      </c>
      <c r="X148" t="s">
        <v>165</v>
      </c>
      <c r="Y148">
        <v>1</v>
      </c>
      <c r="Z148" t="s">
        <v>163</v>
      </c>
      <c r="AA148">
        <v>1</v>
      </c>
      <c r="AB148">
        <v>2</v>
      </c>
      <c r="AC148">
        <v>0</v>
      </c>
      <c r="AD148" t="s">
        <v>163</v>
      </c>
      <c r="AE148" t="s">
        <v>163</v>
      </c>
      <c r="AF148" t="s">
        <v>163</v>
      </c>
      <c r="AG148" t="s">
        <v>163</v>
      </c>
      <c r="AH148" t="s">
        <v>163</v>
      </c>
      <c r="AI148" t="s">
        <v>163</v>
      </c>
      <c r="AJ148" t="s">
        <v>163</v>
      </c>
      <c r="AK148">
        <v>3</v>
      </c>
      <c r="AL148">
        <v>4</v>
      </c>
      <c r="AM148" t="s">
        <v>163</v>
      </c>
      <c r="AN148">
        <v>1</v>
      </c>
      <c r="AO148">
        <v>1</v>
      </c>
      <c r="AP148">
        <v>2</v>
      </c>
      <c r="AQ148">
        <v>2</v>
      </c>
      <c r="AR148">
        <v>5</v>
      </c>
      <c r="AS148">
        <v>6</v>
      </c>
    </row>
    <row r="149" spans="1:45" x14ac:dyDescent="0.35">
      <c r="A149" s="337">
        <v>46266</v>
      </c>
      <c r="B149" s="337">
        <v>46278</v>
      </c>
      <c r="C149" s="337">
        <v>816</v>
      </c>
      <c r="D149" t="s">
        <v>128</v>
      </c>
      <c r="E149" s="339">
        <v>0.75</v>
      </c>
      <c r="F149">
        <v>2</v>
      </c>
      <c r="G149" t="s">
        <v>140</v>
      </c>
      <c r="H149" t="s">
        <v>163</v>
      </c>
      <c r="I149" t="s">
        <v>165</v>
      </c>
      <c r="J149" t="s">
        <v>165</v>
      </c>
      <c r="K149" t="s">
        <v>165</v>
      </c>
      <c r="L149" t="s">
        <v>163</v>
      </c>
      <c r="M149" t="s">
        <v>161</v>
      </c>
      <c r="N149">
        <v>10.61</v>
      </c>
      <c r="O149" t="s">
        <v>163</v>
      </c>
      <c r="P149" t="s">
        <v>163</v>
      </c>
      <c r="Q149" t="s">
        <v>163</v>
      </c>
      <c r="R149" t="s">
        <v>163</v>
      </c>
      <c r="S149" t="s">
        <v>163</v>
      </c>
      <c r="T149" t="s">
        <v>163</v>
      </c>
      <c r="U149" t="s">
        <v>163</v>
      </c>
      <c r="V149" t="s">
        <v>163</v>
      </c>
      <c r="W149" t="s">
        <v>165</v>
      </c>
      <c r="X149" t="s">
        <v>165</v>
      </c>
      <c r="Y149">
        <v>1</v>
      </c>
      <c r="Z149" t="s">
        <v>163</v>
      </c>
      <c r="AA149">
        <v>1</v>
      </c>
      <c r="AB149">
        <v>2</v>
      </c>
      <c r="AC149">
        <v>0</v>
      </c>
      <c r="AD149" t="s">
        <v>163</v>
      </c>
      <c r="AE149" t="s">
        <v>163</v>
      </c>
      <c r="AF149" t="s">
        <v>163</v>
      </c>
      <c r="AG149" t="s">
        <v>163</v>
      </c>
      <c r="AH149" t="s">
        <v>163</v>
      </c>
      <c r="AI149" t="s">
        <v>163</v>
      </c>
      <c r="AJ149" t="s">
        <v>163</v>
      </c>
      <c r="AK149">
        <v>3</v>
      </c>
      <c r="AL149">
        <v>4</v>
      </c>
      <c r="AM149" t="s">
        <v>163</v>
      </c>
      <c r="AN149">
        <v>1</v>
      </c>
      <c r="AO149">
        <v>1</v>
      </c>
      <c r="AP149">
        <v>2</v>
      </c>
      <c r="AQ149">
        <v>2</v>
      </c>
      <c r="AR149">
        <v>5</v>
      </c>
      <c r="AS149">
        <v>6</v>
      </c>
    </row>
    <row r="150" spans="1:45" x14ac:dyDescent="0.35">
      <c r="A150" s="337">
        <v>46266</v>
      </c>
      <c r="B150" s="337">
        <v>46278</v>
      </c>
      <c r="C150" s="337">
        <v>816</v>
      </c>
      <c r="D150" t="s">
        <v>128</v>
      </c>
      <c r="E150" s="339">
        <v>0.70833333333333337</v>
      </c>
      <c r="F150">
        <v>2</v>
      </c>
      <c r="G150" t="s">
        <v>140</v>
      </c>
      <c r="H150" t="s">
        <v>163</v>
      </c>
      <c r="I150" t="s">
        <v>165</v>
      </c>
      <c r="J150" t="s">
        <v>165</v>
      </c>
      <c r="K150" t="s">
        <v>165</v>
      </c>
      <c r="L150" t="s">
        <v>163</v>
      </c>
      <c r="M150" t="s">
        <v>161</v>
      </c>
      <c r="N150">
        <v>10.95</v>
      </c>
      <c r="O150" t="s">
        <v>163</v>
      </c>
      <c r="P150" t="s">
        <v>163</v>
      </c>
      <c r="Q150" t="s">
        <v>163</v>
      </c>
      <c r="R150" t="s">
        <v>163</v>
      </c>
      <c r="S150" t="s">
        <v>163</v>
      </c>
      <c r="T150" t="s">
        <v>163</v>
      </c>
      <c r="U150" t="s">
        <v>163</v>
      </c>
      <c r="V150" t="s">
        <v>163</v>
      </c>
      <c r="W150" t="s">
        <v>165</v>
      </c>
      <c r="X150" t="s">
        <v>165</v>
      </c>
      <c r="Y150">
        <v>1</v>
      </c>
      <c r="Z150" t="s">
        <v>163</v>
      </c>
      <c r="AA150">
        <v>1</v>
      </c>
      <c r="AB150">
        <v>2</v>
      </c>
      <c r="AC150">
        <v>0</v>
      </c>
      <c r="AD150" t="s">
        <v>163</v>
      </c>
      <c r="AE150" t="s">
        <v>163</v>
      </c>
      <c r="AF150" t="s">
        <v>163</v>
      </c>
      <c r="AG150" t="s">
        <v>163</v>
      </c>
      <c r="AH150" t="s">
        <v>163</v>
      </c>
      <c r="AI150" t="s">
        <v>163</v>
      </c>
      <c r="AJ150" t="s">
        <v>163</v>
      </c>
      <c r="AK150">
        <v>3</v>
      </c>
      <c r="AL150">
        <v>4</v>
      </c>
      <c r="AM150" t="s">
        <v>163</v>
      </c>
      <c r="AN150">
        <v>1</v>
      </c>
      <c r="AO150">
        <v>1</v>
      </c>
      <c r="AP150">
        <v>2</v>
      </c>
      <c r="AQ150">
        <v>2</v>
      </c>
      <c r="AR150">
        <v>5</v>
      </c>
      <c r="AS150">
        <v>6</v>
      </c>
    </row>
    <row r="151" spans="1:45" x14ac:dyDescent="0.35">
      <c r="A151" s="337">
        <v>46266</v>
      </c>
      <c r="B151" s="337">
        <v>46278</v>
      </c>
      <c r="C151" s="337">
        <v>816</v>
      </c>
      <c r="D151" t="s">
        <v>128</v>
      </c>
      <c r="E151" s="339">
        <v>0.66666666666666663</v>
      </c>
      <c r="F151">
        <v>2</v>
      </c>
      <c r="G151" t="s">
        <v>140</v>
      </c>
      <c r="H151" t="s">
        <v>163</v>
      </c>
      <c r="I151" t="s">
        <v>165</v>
      </c>
      <c r="J151" t="s">
        <v>165</v>
      </c>
      <c r="K151" t="s">
        <v>165</v>
      </c>
      <c r="L151" t="s">
        <v>163</v>
      </c>
      <c r="M151" t="s">
        <v>161</v>
      </c>
      <c r="N151">
        <v>10.63</v>
      </c>
      <c r="O151">
        <v>8.4499999999999993</v>
      </c>
      <c r="P151">
        <v>0.56000000000000005</v>
      </c>
      <c r="Q151">
        <v>54.3</v>
      </c>
      <c r="R151" t="s">
        <v>163</v>
      </c>
      <c r="S151" t="s">
        <v>163</v>
      </c>
      <c r="T151">
        <v>22.7</v>
      </c>
      <c r="U151" t="s">
        <v>163</v>
      </c>
      <c r="V151" t="s">
        <v>163</v>
      </c>
      <c r="W151" t="s">
        <v>165</v>
      </c>
      <c r="X151" t="s">
        <v>165</v>
      </c>
      <c r="Y151">
        <v>1</v>
      </c>
      <c r="Z151" t="s">
        <v>163</v>
      </c>
      <c r="AA151">
        <v>1</v>
      </c>
      <c r="AB151">
        <v>2</v>
      </c>
      <c r="AC151">
        <v>0</v>
      </c>
      <c r="AD151">
        <v>0</v>
      </c>
      <c r="AE151">
        <v>0</v>
      </c>
      <c r="AF151">
        <v>2</v>
      </c>
      <c r="AG151" t="s">
        <v>163</v>
      </c>
      <c r="AH151" t="s">
        <v>163</v>
      </c>
      <c r="AI151">
        <v>2</v>
      </c>
      <c r="AJ151" t="s">
        <v>163</v>
      </c>
      <c r="AK151">
        <v>7</v>
      </c>
      <c r="AL151">
        <v>11</v>
      </c>
      <c r="AM151" t="s">
        <v>163</v>
      </c>
      <c r="AN151">
        <v>1</v>
      </c>
      <c r="AO151">
        <v>1</v>
      </c>
      <c r="AP151">
        <v>2</v>
      </c>
      <c r="AQ151">
        <v>2</v>
      </c>
      <c r="AR151">
        <v>9</v>
      </c>
      <c r="AS151">
        <v>13</v>
      </c>
    </row>
    <row r="152" spans="1:45" x14ac:dyDescent="0.35">
      <c r="A152" s="337">
        <v>46266</v>
      </c>
      <c r="B152" s="337">
        <v>46278</v>
      </c>
      <c r="C152" s="337">
        <v>816</v>
      </c>
      <c r="D152" t="s">
        <v>128</v>
      </c>
      <c r="E152" s="339">
        <v>0.625</v>
      </c>
      <c r="F152">
        <v>2</v>
      </c>
      <c r="G152" t="s">
        <v>335</v>
      </c>
      <c r="H152" t="s">
        <v>163</v>
      </c>
      <c r="I152" t="s">
        <v>165</v>
      </c>
      <c r="J152" t="s">
        <v>165</v>
      </c>
      <c r="K152" t="s">
        <v>165</v>
      </c>
      <c r="L152" t="s">
        <v>163</v>
      </c>
      <c r="M152" t="s">
        <v>161</v>
      </c>
      <c r="N152">
        <v>10.6</v>
      </c>
      <c r="O152" t="s">
        <v>163</v>
      </c>
      <c r="P152" t="s">
        <v>163</v>
      </c>
      <c r="Q152" t="s">
        <v>163</v>
      </c>
      <c r="R152" t="s">
        <v>163</v>
      </c>
      <c r="S152" t="s">
        <v>163</v>
      </c>
      <c r="T152" t="s">
        <v>163</v>
      </c>
      <c r="U152" t="s">
        <v>163</v>
      </c>
      <c r="V152" t="s">
        <v>163</v>
      </c>
      <c r="W152" t="s">
        <v>165</v>
      </c>
      <c r="X152" t="s">
        <v>165</v>
      </c>
      <c r="Y152">
        <v>1</v>
      </c>
      <c r="Z152" t="s">
        <v>163</v>
      </c>
      <c r="AA152">
        <v>1</v>
      </c>
      <c r="AB152">
        <v>2</v>
      </c>
      <c r="AC152">
        <v>0</v>
      </c>
      <c r="AD152" t="s">
        <v>163</v>
      </c>
      <c r="AE152" t="s">
        <v>163</v>
      </c>
      <c r="AF152" t="s">
        <v>163</v>
      </c>
      <c r="AG152" t="s">
        <v>163</v>
      </c>
      <c r="AH152" t="s">
        <v>163</v>
      </c>
      <c r="AI152" t="s">
        <v>163</v>
      </c>
      <c r="AJ152" t="s">
        <v>163</v>
      </c>
      <c r="AK152">
        <v>3</v>
      </c>
      <c r="AL152">
        <v>4</v>
      </c>
      <c r="AM152" t="s">
        <v>163</v>
      </c>
      <c r="AN152">
        <v>1</v>
      </c>
      <c r="AO152">
        <v>1</v>
      </c>
      <c r="AP152">
        <v>2</v>
      </c>
      <c r="AQ152">
        <v>2</v>
      </c>
      <c r="AR152">
        <v>5</v>
      </c>
      <c r="AS152">
        <v>6</v>
      </c>
    </row>
    <row r="153" spans="1:45" x14ac:dyDescent="0.35">
      <c r="A153" s="337">
        <v>46266</v>
      </c>
      <c r="B153" s="337">
        <v>46278</v>
      </c>
      <c r="C153" s="337">
        <v>816</v>
      </c>
      <c r="D153" t="s">
        <v>128</v>
      </c>
      <c r="E153" s="339">
        <v>0.58333333333333337</v>
      </c>
      <c r="F153">
        <v>2</v>
      </c>
      <c r="G153" t="s">
        <v>335</v>
      </c>
      <c r="H153" t="s">
        <v>163</v>
      </c>
      <c r="I153" t="s">
        <v>165</v>
      </c>
      <c r="J153" t="s">
        <v>165</v>
      </c>
      <c r="K153" t="s">
        <v>165</v>
      </c>
      <c r="L153" t="s">
        <v>163</v>
      </c>
      <c r="M153" t="s">
        <v>161</v>
      </c>
      <c r="N153">
        <v>10.58</v>
      </c>
      <c r="O153" t="s">
        <v>163</v>
      </c>
      <c r="P153" t="s">
        <v>163</v>
      </c>
      <c r="Q153" t="s">
        <v>163</v>
      </c>
      <c r="R153" t="s">
        <v>163</v>
      </c>
      <c r="S153" t="s">
        <v>163</v>
      </c>
      <c r="T153" t="s">
        <v>163</v>
      </c>
      <c r="U153" t="s">
        <v>163</v>
      </c>
      <c r="V153" t="s">
        <v>163</v>
      </c>
      <c r="W153" t="s">
        <v>165</v>
      </c>
      <c r="X153" t="s">
        <v>165</v>
      </c>
      <c r="Y153" t="s">
        <v>425</v>
      </c>
      <c r="Z153" t="s">
        <v>163</v>
      </c>
      <c r="AA153">
        <v>1</v>
      </c>
      <c r="AB153">
        <v>2</v>
      </c>
      <c r="AC153">
        <v>0</v>
      </c>
      <c r="AD153" t="s">
        <v>163</v>
      </c>
      <c r="AE153" t="s">
        <v>163</v>
      </c>
      <c r="AF153" t="s">
        <v>163</v>
      </c>
      <c r="AG153" t="s">
        <v>163</v>
      </c>
      <c r="AH153" t="s">
        <v>163</v>
      </c>
      <c r="AI153" t="s">
        <v>163</v>
      </c>
      <c r="AJ153" t="s">
        <v>163</v>
      </c>
      <c r="AK153">
        <v>3</v>
      </c>
      <c r="AL153">
        <v>4</v>
      </c>
      <c r="AM153" t="s">
        <v>163</v>
      </c>
      <c r="AN153">
        <v>1</v>
      </c>
      <c r="AO153">
        <v>1</v>
      </c>
      <c r="AP153">
        <v>2</v>
      </c>
      <c r="AQ153">
        <v>2</v>
      </c>
      <c r="AR153">
        <v>5</v>
      </c>
      <c r="AS153">
        <v>6</v>
      </c>
    </row>
    <row r="154" spans="1:45" x14ac:dyDescent="0.35">
      <c r="A154" s="337">
        <v>46266</v>
      </c>
      <c r="B154" s="337">
        <v>46277</v>
      </c>
      <c r="C154" s="337">
        <v>46273</v>
      </c>
      <c r="D154" t="s">
        <v>130</v>
      </c>
      <c r="E154" s="338">
        <v>1.2083333333333333</v>
      </c>
      <c r="F154">
        <v>3</v>
      </c>
      <c r="G154" t="s">
        <v>119</v>
      </c>
      <c r="H154" t="s">
        <v>163</v>
      </c>
      <c r="I154" t="s">
        <v>165</v>
      </c>
      <c r="J154" t="s">
        <v>167</v>
      </c>
      <c r="K154" t="s">
        <v>165</v>
      </c>
      <c r="L154" t="s">
        <v>161</v>
      </c>
      <c r="M154" t="s">
        <v>161</v>
      </c>
      <c r="N154" t="s">
        <v>163</v>
      </c>
      <c r="O154" t="s">
        <v>163</v>
      </c>
      <c r="P154" t="s">
        <v>163</v>
      </c>
      <c r="Q154" t="s">
        <v>163</v>
      </c>
      <c r="R154" t="s">
        <v>163</v>
      </c>
      <c r="S154" t="s">
        <v>163</v>
      </c>
      <c r="T154" t="s">
        <v>163</v>
      </c>
      <c r="U154" t="s">
        <v>163</v>
      </c>
      <c r="V154" t="s">
        <v>163</v>
      </c>
      <c r="W154" t="s">
        <v>163</v>
      </c>
      <c r="X154" t="s">
        <v>163</v>
      </c>
      <c r="Y154" t="s">
        <v>424</v>
      </c>
      <c r="Z154" t="s">
        <v>163</v>
      </c>
      <c r="AA154">
        <v>1</v>
      </c>
      <c r="AB154">
        <v>2</v>
      </c>
      <c r="AC154" t="s">
        <v>163</v>
      </c>
      <c r="AD154" t="s">
        <v>163</v>
      </c>
      <c r="AE154" t="s">
        <v>163</v>
      </c>
      <c r="AF154" t="s">
        <v>163</v>
      </c>
      <c r="AG154" t="s">
        <v>163</v>
      </c>
      <c r="AH154" t="s">
        <v>163</v>
      </c>
      <c r="AI154" t="s">
        <v>163</v>
      </c>
      <c r="AJ154" t="s">
        <v>163</v>
      </c>
      <c r="AK154">
        <v>3</v>
      </c>
      <c r="AL154">
        <v>3</v>
      </c>
      <c r="AM154" t="s">
        <v>163</v>
      </c>
      <c r="AN154" t="s">
        <v>163</v>
      </c>
      <c r="AO154" t="s">
        <v>163</v>
      </c>
      <c r="AP154">
        <v>0</v>
      </c>
      <c r="AQ154">
        <v>0</v>
      </c>
      <c r="AR154">
        <v>3</v>
      </c>
      <c r="AS154">
        <v>3</v>
      </c>
    </row>
    <row r="155" spans="1:45" x14ac:dyDescent="0.35">
      <c r="A155" s="337">
        <v>46266</v>
      </c>
      <c r="B155" s="337">
        <v>46277</v>
      </c>
      <c r="C155" s="337">
        <v>46273</v>
      </c>
      <c r="D155" t="s">
        <v>130</v>
      </c>
      <c r="E155" s="338">
        <v>1.0416666666666667</v>
      </c>
      <c r="F155">
        <v>3</v>
      </c>
      <c r="G155" t="s">
        <v>119</v>
      </c>
      <c r="H155" t="s">
        <v>163</v>
      </c>
      <c r="I155" t="s">
        <v>165</v>
      </c>
      <c r="J155" t="s">
        <v>165</v>
      </c>
      <c r="K155" t="s">
        <v>165</v>
      </c>
      <c r="L155" t="s">
        <v>161</v>
      </c>
      <c r="M155" t="s">
        <v>161</v>
      </c>
      <c r="N155">
        <v>12.82</v>
      </c>
      <c r="O155" t="s">
        <v>163</v>
      </c>
      <c r="P155" t="s">
        <v>163</v>
      </c>
      <c r="Q155" t="s">
        <v>163</v>
      </c>
      <c r="R155" t="s">
        <v>163</v>
      </c>
      <c r="S155" t="s">
        <v>163</v>
      </c>
      <c r="T155" t="s">
        <v>163</v>
      </c>
      <c r="U155" t="s">
        <v>163</v>
      </c>
      <c r="V155" t="s">
        <v>163</v>
      </c>
      <c r="W155" t="s">
        <v>165</v>
      </c>
      <c r="X155" t="s">
        <v>165</v>
      </c>
      <c r="Y155" t="s">
        <v>424</v>
      </c>
      <c r="Z155" t="s">
        <v>163</v>
      </c>
      <c r="AA155">
        <v>1</v>
      </c>
      <c r="AB155">
        <v>2</v>
      </c>
      <c r="AC155">
        <v>1</v>
      </c>
      <c r="AD155" t="s">
        <v>163</v>
      </c>
      <c r="AE155" t="s">
        <v>163</v>
      </c>
      <c r="AF155" t="s">
        <v>163</v>
      </c>
      <c r="AG155" t="s">
        <v>163</v>
      </c>
      <c r="AH155" t="s">
        <v>163</v>
      </c>
      <c r="AI155" t="s">
        <v>163</v>
      </c>
      <c r="AJ155" t="s">
        <v>163</v>
      </c>
      <c r="AK155">
        <v>4</v>
      </c>
      <c r="AL155">
        <v>4</v>
      </c>
      <c r="AM155" t="s">
        <v>163</v>
      </c>
      <c r="AN155">
        <v>1</v>
      </c>
      <c r="AO155">
        <v>1</v>
      </c>
      <c r="AP155">
        <v>2</v>
      </c>
      <c r="AQ155">
        <v>2</v>
      </c>
      <c r="AR155">
        <v>6</v>
      </c>
      <c r="AS155">
        <v>6</v>
      </c>
    </row>
    <row r="156" spans="1:45" x14ac:dyDescent="0.35">
      <c r="A156" s="337">
        <v>46266</v>
      </c>
      <c r="B156" s="337">
        <v>46277</v>
      </c>
      <c r="C156" s="337">
        <v>46273</v>
      </c>
      <c r="D156" t="s">
        <v>130</v>
      </c>
      <c r="E156" s="337">
        <v>1</v>
      </c>
      <c r="F156">
        <v>3</v>
      </c>
      <c r="G156" t="s">
        <v>119</v>
      </c>
      <c r="H156">
        <v>0.01</v>
      </c>
      <c r="I156" t="s">
        <v>165</v>
      </c>
      <c r="J156" t="s">
        <v>165</v>
      </c>
      <c r="K156" t="s">
        <v>165</v>
      </c>
      <c r="L156" t="s">
        <v>161</v>
      </c>
      <c r="M156" t="s">
        <v>161</v>
      </c>
      <c r="N156">
        <v>12.94</v>
      </c>
      <c r="O156" t="s">
        <v>163</v>
      </c>
      <c r="P156" t="s">
        <v>163</v>
      </c>
      <c r="Q156" t="s">
        <v>163</v>
      </c>
      <c r="R156" t="s">
        <v>163</v>
      </c>
      <c r="S156" t="s">
        <v>163</v>
      </c>
      <c r="T156" t="s">
        <v>163</v>
      </c>
      <c r="U156" t="s">
        <v>163</v>
      </c>
      <c r="V156" t="s">
        <v>163</v>
      </c>
      <c r="W156" t="s">
        <v>165</v>
      </c>
      <c r="X156" t="s">
        <v>165</v>
      </c>
      <c r="Y156" t="s">
        <v>424</v>
      </c>
      <c r="Z156">
        <v>2</v>
      </c>
      <c r="AA156">
        <v>1</v>
      </c>
      <c r="AB156">
        <v>2</v>
      </c>
      <c r="AC156">
        <v>1</v>
      </c>
      <c r="AD156" t="s">
        <v>163</v>
      </c>
      <c r="AE156" t="s">
        <v>163</v>
      </c>
      <c r="AF156" t="s">
        <v>163</v>
      </c>
      <c r="AG156" t="s">
        <v>163</v>
      </c>
      <c r="AH156" t="s">
        <v>163</v>
      </c>
      <c r="AI156" t="s">
        <v>163</v>
      </c>
      <c r="AJ156" t="s">
        <v>163</v>
      </c>
      <c r="AK156">
        <v>6</v>
      </c>
      <c r="AL156">
        <v>6</v>
      </c>
      <c r="AM156" t="s">
        <v>163</v>
      </c>
      <c r="AN156">
        <v>1</v>
      </c>
      <c r="AO156">
        <v>1</v>
      </c>
      <c r="AP156">
        <v>2</v>
      </c>
      <c r="AQ156">
        <v>2</v>
      </c>
      <c r="AR156">
        <v>8</v>
      </c>
      <c r="AS156">
        <v>8</v>
      </c>
    </row>
    <row r="157" spans="1:45" x14ac:dyDescent="0.35">
      <c r="A157" s="337">
        <v>46266</v>
      </c>
      <c r="B157" s="337">
        <v>46277</v>
      </c>
      <c r="C157" s="337">
        <v>46273</v>
      </c>
      <c r="D157" t="s">
        <v>130</v>
      </c>
      <c r="E157" s="339">
        <v>0.95833333333333337</v>
      </c>
      <c r="F157">
        <v>3</v>
      </c>
      <c r="G157" t="s">
        <v>119</v>
      </c>
      <c r="H157">
        <v>0.01</v>
      </c>
      <c r="I157" t="s">
        <v>165</v>
      </c>
      <c r="J157" t="s">
        <v>165</v>
      </c>
      <c r="K157" t="s">
        <v>165</v>
      </c>
      <c r="L157" t="s">
        <v>161</v>
      </c>
      <c r="M157" t="s">
        <v>161</v>
      </c>
      <c r="N157">
        <v>12.63</v>
      </c>
      <c r="O157" t="s">
        <v>163</v>
      </c>
      <c r="P157" t="s">
        <v>163</v>
      </c>
      <c r="Q157" t="s">
        <v>163</v>
      </c>
      <c r="R157" t="s">
        <v>163</v>
      </c>
      <c r="S157" t="s">
        <v>163</v>
      </c>
      <c r="T157" t="s">
        <v>163</v>
      </c>
      <c r="U157" t="s">
        <v>163</v>
      </c>
      <c r="V157" t="s">
        <v>163</v>
      </c>
      <c r="W157" t="s">
        <v>165</v>
      </c>
      <c r="X157" t="s">
        <v>165</v>
      </c>
      <c r="Y157" t="s">
        <v>424</v>
      </c>
      <c r="Z157">
        <v>2</v>
      </c>
      <c r="AA157">
        <v>1</v>
      </c>
      <c r="AB157">
        <v>2</v>
      </c>
      <c r="AC157">
        <v>1</v>
      </c>
      <c r="AD157" t="s">
        <v>163</v>
      </c>
      <c r="AE157" t="s">
        <v>163</v>
      </c>
      <c r="AF157" t="s">
        <v>163</v>
      </c>
      <c r="AG157" t="s">
        <v>163</v>
      </c>
      <c r="AH157" t="s">
        <v>163</v>
      </c>
      <c r="AI157" t="s">
        <v>163</v>
      </c>
      <c r="AJ157" t="s">
        <v>163</v>
      </c>
      <c r="AK157">
        <v>6</v>
      </c>
      <c r="AL157">
        <v>6</v>
      </c>
      <c r="AM157" t="s">
        <v>163</v>
      </c>
      <c r="AN157">
        <v>1</v>
      </c>
      <c r="AO157">
        <v>1</v>
      </c>
      <c r="AP157">
        <v>2</v>
      </c>
      <c r="AQ157">
        <v>2</v>
      </c>
      <c r="AR157">
        <v>8</v>
      </c>
      <c r="AS157">
        <v>8</v>
      </c>
    </row>
    <row r="158" spans="1:45" x14ac:dyDescent="0.35">
      <c r="A158" s="337">
        <v>46266</v>
      </c>
      <c r="B158" s="337">
        <v>46277</v>
      </c>
      <c r="C158" s="337">
        <v>46273</v>
      </c>
      <c r="D158" t="s">
        <v>130</v>
      </c>
      <c r="E158" s="339">
        <v>0.91666666666666663</v>
      </c>
      <c r="F158">
        <v>3</v>
      </c>
      <c r="G158" t="s">
        <v>119</v>
      </c>
      <c r="H158">
        <v>0.01</v>
      </c>
      <c r="I158" t="s">
        <v>165</v>
      </c>
      <c r="J158" t="s">
        <v>165</v>
      </c>
      <c r="K158" t="s">
        <v>165</v>
      </c>
      <c r="L158" t="s">
        <v>161</v>
      </c>
      <c r="M158" t="s">
        <v>161</v>
      </c>
      <c r="N158">
        <v>12.58</v>
      </c>
      <c r="O158">
        <v>12.15</v>
      </c>
      <c r="P158">
        <v>0.56000000000000005</v>
      </c>
      <c r="Q158" t="s">
        <v>163</v>
      </c>
      <c r="R158" t="s">
        <v>163</v>
      </c>
      <c r="S158" t="s">
        <v>163</v>
      </c>
      <c r="T158">
        <v>33.700000000000003</v>
      </c>
      <c r="U158" t="s">
        <v>163</v>
      </c>
      <c r="V158" t="s">
        <v>163</v>
      </c>
      <c r="W158" t="s">
        <v>165</v>
      </c>
      <c r="X158" t="s">
        <v>165</v>
      </c>
      <c r="Y158" t="s">
        <v>424</v>
      </c>
      <c r="Z158">
        <v>2</v>
      </c>
      <c r="AA158">
        <v>1</v>
      </c>
      <c r="AB158">
        <v>2</v>
      </c>
      <c r="AC158">
        <v>1</v>
      </c>
      <c r="AD158">
        <v>1</v>
      </c>
      <c r="AE158">
        <v>2</v>
      </c>
      <c r="AF158" t="s">
        <v>163</v>
      </c>
      <c r="AG158" t="s">
        <v>163</v>
      </c>
      <c r="AH158" t="s">
        <v>163</v>
      </c>
      <c r="AI158">
        <v>2</v>
      </c>
      <c r="AJ158" t="s">
        <v>163</v>
      </c>
      <c r="AK158">
        <v>11</v>
      </c>
      <c r="AL158">
        <v>11</v>
      </c>
      <c r="AM158" t="s">
        <v>163</v>
      </c>
      <c r="AN158">
        <v>1</v>
      </c>
      <c r="AO158">
        <v>1</v>
      </c>
      <c r="AP158">
        <v>2</v>
      </c>
      <c r="AQ158">
        <v>2</v>
      </c>
      <c r="AR158">
        <v>13</v>
      </c>
      <c r="AS158">
        <v>13</v>
      </c>
    </row>
    <row r="159" spans="1:45" x14ac:dyDescent="0.35">
      <c r="A159" s="337">
        <v>46266</v>
      </c>
      <c r="B159" s="337">
        <v>46277</v>
      </c>
      <c r="C159" s="337">
        <v>816</v>
      </c>
      <c r="D159" t="s">
        <v>130</v>
      </c>
      <c r="E159" s="338">
        <v>1.1666666666666667</v>
      </c>
      <c r="F159">
        <v>2</v>
      </c>
      <c r="G159" t="s">
        <v>335</v>
      </c>
      <c r="H159">
        <v>0.01</v>
      </c>
      <c r="I159" t="s">
        <v>165</v>
      </c>
      <c r="J159" t="s">
        <v>165</v>
      </c>
      <c r="K159" t="s">
        <v>165</v>
      </c>
      <c r="L159" t="s">
        <v>163</v>
      </c>
      <c r="M159" t="s">
        <v>161</v>
      </c>
      <c r="N159">
        <v>10.24</v>
      </c>
      <c r="O159" t="s">
        <v>163</v>
      </c>
      <c r="P159" t="s">
        <v>163</v>
      </c>
      <c r="Q159" t="s">
        <v>163</v>
      </c>
      <c r="R159" t="s">
        <v>163</v>
      </c>
      <c r="S159" t="s">
        <v>163</v>
      </c>
      <c r="T159" t="s">
        <v>163</v>
      </c>
      <c r="U159" t="s">
        <v>163</v>
      </c>
      <c r="V159" t="s">
        <v>163</v>
      </c>
      <c r="W159" t="s">
        <v>165</v>
      </c>
      <c r="X159" t="s">
        <v>165</v>
      </c>
      <c r="Y159" t="s">
        <v>163</v>
      </c>
      <c r="Z159">
        <v>2</v>
      </c>
      <c r="AA159">
        <v>1</v>
      </c>
      <c r="AB159">
        <v>2</v>
      </c>
      <c r="AC159">
        <v>0</v>
      </c>
      <c r="AD159" t="s">
        <v>163</v>
      </c>
      <c r="AE159" t="s">
        <v>163</v>
      </c>
      <c r="AF159" t="s">
        <v>163</v>
      </c>
      <c r="AG159" t="s">
        <v>163</v>
      </c>
      <c r="AH159" t="s">
        <v>163</v>
      </c>
      <c r="AI159" t="s">
        <v>163</v>
      </c>
      <c r="AJ159" t="s">
        <v>163</v>
      </c>
      <c r="AK159">
        <v>5</v>
      </c>
      <c r="AL159">
        <v>6</v>
      </c>
      <c r="AM159" t="s">
        <v>163</v>
      </c>
      <c r="AN159">
        <v>1</v>
      </c>
      <c r="AO159">
        <v>1</v>
      </c>
      <c r="AP159">
        <v>2</v>
      </c>
      <c r="AQ159">
        <v>2</v>
      </c>
      <c r="AR159">
        <v>7</v>
      </c>
      <c r="AS159">
        <v>8</v>
      </c>
    </row>
    <row r="160" spans="1:45" x14ac:dyDescent="0.35">
      <c r="A160" s="337">
        <v>46266</v>
      </c>
      <c r="B160" s="337">
        <v>46277</v>
      </c>
      <c r="C160" s="337">
        <v>816</v>
      </c>
      <c r="D160" t="s">
        <v>130</v>
      </c>
      <c r="E160" s="338">
        <v>1.0416666666666667</v>
      </c>
      <c r="F160">
        <v>2</v>
      </c>
      <c r="G160" t="s">
        <v>132</v>
      </c>
      <c r="H160">
        <v>0.01</v>
      </c>
      <c r="I160" t="s">
        <v>165</v>
      </c>
      <c r="J160" t="s">
        <v>165</v>
      </c>
      <c r="K160" t="s">
        <v>165</v>
      </c>
      <c r="L160" t="s">
        <v>163</v>
      </c>
      <c r="M160" t="s">
        <v>161</v>
      </c>
      <c r="N160">
        <v>10.210000000000001</v>
      </c>
      <c r="O160" t="s">
        <v>163</v>
      </c>
      <c r="P160" t="s">
        <v>163</v>
      </c>
      <c r="Q160" t="s">
        <v>163</v>
      </c>
      <c r="R160" t="s">
        <v>163</v>
      </c>
      <c r="S160" t="s">
        <v>163</v>
      </c>
      <c r="T160" t="s">
        <v>163</v>
      </c>
      <c r="U160" t="s">
        <v>163</v>
      </c>
      <c r="V160" t="s">
        <v>163</v>
      </c>
      <c r="W160" t="s">
        <v>165</v>
      </c>
      <c r="X160" t="s">
        <v>165</v>
      </c>
      <c r="Y160" t="s">
        <v>163</v>
      </c>
      <c r="Z160">
        <v>2</v>
      </c>
      <c r="AA160">
        <v>1</v>
      </c>
      <c r="AB160">
        <v>2</v>
      </c>
      <c r="AC160">
        <v>0</v>
      </c>
      <c r="AD160" t="s">
        <v>163</v>
      </c>
      <c r="AE160" t="s">
        <v>163</v>
      </c>
      <c r="AF160" t="s">
        <v>163</v>
      </c>
      <c r="AG160" t="s">
        <v>163</v>
      </c>
      <c r="AH160" t="s">
        <v>163</v>
      </c>
      <c r="AI160" t="s">
        <v>163</v>
      </c>
      <c r="AJ160" t="s">
        <v>163</v>
      </c>
      <c r="AK160">
        <v>5</v>
      </c>
      <c r="AL160">
        <v>6</v>
      </c>
      <c r="AM160" t="s">
        <v>163</v>
      </c>
      <c r="AN160">
        <v>1</v>
      </c>
      <c r="AO160">
        <v>1</v>
      </c>
      <c r="AP160">
        <v>2</v>
      </c>
      <c r="AQ160">
        <v>2</v>
      </c>
      <c r="AR160">
        <v>7</v>
      </c>
      <c r="AS160">
        <v>8</v>
      </c>
    </row>
    <row r="161" spans="1:45" x14ac:dyDescent="0.35">
      <c r="A161" s="337">
        <v>46266</v>
      </c>
      <c r="B161" s="337">
        <v>46277</v>
      </c>
      <c r="C161" s="337">
        <v>816</v>
      </c>
      <c r="D161" t="s">
        <v>130</v>
      </c>
      <c r="E161" s="337">
        <v>1</v>
      </c>
      <c r="F161">
        <v>2</v>
      </c>
      <c r="G161" t="s">
        <v>132</v>
      </c>
      <c r="H161" t="s">
        <v>163</v>
      </c>
      <c r="I161" t="s">
        <v>165</v>
      </c>
      <c r="J161" t="s">
        <v>165</v>
      </c>
      <c r="K161" t="s">
        <v>165</v>
      </c>
      <c r="L161" t="s">
        <v>163</v>
      </c>
      <c r="M161" t="s">
        <v>161</v>
      </c>
      <c r="N161">
        <v>10.54</v>
      </c>
      <c r="O161" t="s">
        <v>163</v>
      </c>
      <c r="P161" t="s">
        <v>163</v>
      </c>
      <c r="Q161" t="s">
        <v>163</v>
      </c>
      <c r="R161" t="s">
        <v>163</v>
      </c>
      <c r="S161" t="s">
        <v>163</v>
      </c>
      <c r="T161" t="s">
        <v>163</v>
      </c>
      <c r="U161" t="s">
        <v>163</v>
      </c>
      <c r="V161" t="s">
        <v>163</v>
      </c>
      <c r="W161" t="s">
        <v>165</v>
      </c>
      <c r="X161" t="s">
        <v>165</v>
      </c>
      <c r="Y161" t="s">
        <v>425</v>
      </c>
      <c r="Z161" t="s">
        <v>163</v>
      </c>
      <c r="AA161">
        <v>1</v>
      </c>
      <c r="AB161">
        <v>2</v>
      </c>
      <c r="AC161">
        <v>0</v>
      </c>
      <c r="AD161" t="s">
        <v>163</v>
      </c>
      <c r="AE161" t="s">
        <v>163</v>
      </c>
      <c r="AF161" t="s">
        <v>163</v>
      </c>
      <c r="AG161" t="s">
        <v>163</v>
      </c>
      <c r="AH161" t="s">
        <v>163</v>
      </c>
      <c r="AI161" t="s">
        <v>163</v>
      </c>
      <c r="AJ161" t="s">
        <v>163</v>
      </c>
      <c r="AK161">
        <v>3</v>
      </c>
      <c r="AL161">
        <v>4</v>
      </c>
      <c r="AM161" t="s">
        <v>163</v>
      </c>
      <c r="AN161">
        <v>1</v>
      </c>
      <c r="AO161">
        <v>1</v>
      </c>
      <c r="AP161">
        <v>2</v>
      </c>
      <c r="AQ161">
        <v>2</v>
      </c>
      <c r="AR161">
        <v>5</v>
      </c>
      <c r="AS161">
        <v>6</v>
      </c>
    </row>
    <row r="162" spans="1:45" x14ac:dyDescent="0.35">
      <c r="A162" s="337">
        <v>46266</v>
      </c>
      <c r="B162" s="337">
        <v>46277</v>
      </c>
      <c r="C162" s="337">
        <v>816</v>
      </c>
      <c r="D162" t="s">
        <v>130</v>
      </c>
      <c r="E162" s="339">
        <v>0.95833333333333337</v>
      </c>
      <c r="F162">
        <v>2</v>
      </c>
      <c r="G162" t="s">
        <v>132</v>
      </c>
      <c r="H162">
        <v>0.01</v>
      </c>
      <c r="I162" t="s">
        <v>165</v>
      </c>
      <c r="J162" t="s">
        <v>165</v>
      </c>
      <c r="K162" t="s">
        <v>165</v>
      </c>
      <c r="L162" t="s">
        <v>163</v>
      </c>
      <c r="M162" t="s">
        <v>161</v>
      </c>
      <c r="N162">
        <v>10.55</v>
      </c>
      <c r="O162">
        <v>9.51</v>
      </c>
      <c r="P162">
        <v>0.56999999999999995</v>
      </c>
      <c r="Q162">
        <v>57.3</v>
      </c>
      <c r="R162">
        <v>11.7</v>
      </c>
      <c r="S162">
        <v>471</v>
      </c>
      <c r="T162">
        <v>26</v>
      </c>
      <c r="U162" t="s">
        <v>163</v>
      </c>
      <c r="V162" t="s">
        <v>163</v>
      </c>
      <c r="W162" t="s">
        <v>165</v>
      </c>
      <c r="X162" t="s">
        <v>165</v>
      </c>
      <c r="Y162" t="s">
        <v>425</v>
      </c>
      <c r="Z162">
        <v>2</v>
      </c>
      <c r="AA162">
        <v>1</v>
      </c>
      <c r="AB162">
        <v>2</v>
      </c>
      <c r="AC162">
        <v>0</v>
      </c>
      <c r="AD162">
        <v>1</v>
      </c>
      <c r="AE162">
        <v>2</v>
      </c>
      <c r="AF162">
        <v>2</v>
      </c>
      <c r="AG162">
        <v>1</v>
      </c>
      <c r="AH162">
        <v>1</v>
      </c>
      <c r="AI162">
        <v>2</v>
      </c>
      <c r="AJ162" t="s">
        <v>163</v>
      </c>
      <c r="AK162">
        <v>14</v>
      </c>
      <c r="AL162">
        <v>15</v>
      </c>
      <c r="AM162" t="s">
        <v>163</v>
      </c>
      <c r="AN162">
        <v>1</v>
      </c>
      <c r="AO162">
        <v>1</v>
      </c>
      <c r="AP162">
        <v>2</v>
      </c>
      <c r="AQ162">
        <v>2</v>
      </c>
      <c r="AR162">
        <v>16</v>
      </c>
      <c r="AS162">
        <v>17</v>
      </c>
    </row>
    <row r="163" spans="1:45" x14ac:dyDescent="0.35">
      <c r="A163" s="337">
        <v>46266</v>
      </c>
      <c r="B163" s="337">
        <v>46277</v>
      </c>
      <c r="C163" s="337">
        <v>816</v>
      </c>
      <c r="D163" t="s">
        <v>130</v>
      </c>
      <c r="E163" s="339">
        <v>0.91666666666666663</v>
      </c>
      <c r="F163">
        <v>2</v>
      </c>
      <c r="G163" t="s">
        <v>132</v>
      </c>
      <c r="H163" t="s">
        <v>163</v>
      </c>
      <c r="I163" t="s">
        <v>165</v>
      </c>
      <c r="J163" t="s">
        <v>165</v>
      </c>
      <c r="K163" t="s">
        <v>165</v>
      </c>
      <c r="L163" t="s">
        <v>163</v>
      </c>
      <c r="M163" t="s">
        <v>161</v>
      </c>
      <c r="N163">
        <v>10.29</v>
      </c>
      <c r="O163" t="s">
        <v>163</v>
      </c>
      <c r="P163" t="s">
        <v>163</v>
      </c>
      <c r="Q163" t="s">
        <v>163</v>
      </c>
      <c r="R163" t="s">
        <v>163</v>
      </c>
      <c r="S163" t="s">
        <v>163</v>
      </c>
      <c r="T163" t="s">
        <v>163</v>
      </c>
      <c r="U163" t="s">
        <v>163</v>
      </c>
      <c r="V163" t="s">
        <v>163</v>
      </c>
      <c r="W163" t="s">
        <v>165</v>
      </c>
      <c r="X163" t="s">
        <v>165</v>
      </c>
      <c r="Y163" t="s">
        <v>425</v>
      </c>
      <c r="Z163" t="s">
        <v>163</v>
      </c>
      <c r="AA163">
        <v>1</v>
      </c>
      <c r="AB163">
        <v>2</v>
      </c>
      <c r="AC163">
        <v>0</v>
      </c>
      <c r="AD163" t="s">
        <v>163</v>
      </c>
      <c r="AE163" t="s">
        <v>163</v>
      </c>
      <c r="AF163" t="s">
        <v>163</v>
      </c>
      <c r="AG163" t="s">
        <v>163</v>
      </c>
      <c r="AH163" t="s">
        <v>163</v>
      </c>
      <c r="AI163" t="s">
        <v>163</v>
      </c>
      <c r="AJ163" t="s">
        <v>163</v>
      </c>
      <c r="AK163">
        <v>3</v>
      </c>
      <c r="AL163">
        <v>4</v>
      </c>
      <c r="AM163" t="s">
        <v>163</v>
      </c>
      <c r="AN163">
        <v>1</v>
      </c>
      <c r="AO163">
        <v>1</v>
      </c>
      <c r="AP163">
        <v>2</v>
      </c>
      <c r="AQ163">
        <v>2</v>
      </c>
      <c r="AR163">
        <v>5</v>
      </c>
      <c r="AS163">
        <v>6</v>
      </c>
    </row>
    <row r="164" spans="1:45" x14ac:dyDescent="0.35">
      <c r="A164" s="337">
        <v>46266</v>
      </c>
      <c r="B164" s="337">
        <v>46277</v>
      </c>
      <c r="C164" s="337">
        <v>46275</v>
      </c>
      <c r="D164" t="s">
        <v>130</v>
      </c>
      <c r="E164" s="338">
        <v>1.2083333333333333</v>
      </c>
      <c r="F164">
        <v>1</v>
      </c>
      <c r="G164" t="s">
        <v>158</v>
      </c>
      <c r="H164">
        <v>0.01</v>
      </c>
      <c r="I164" t="s">
        <v>165</v>
      </c>
      <c r="J164" t="s">
        <v>165</v>
      </c>
      <c r="K164" t="s">
        <v>165</v>
      </c>
      <c r="L164" t="s">
        <v>163</v>
      </c>
      <c r="M164" t="s">
        <v>163</v>
      </c>
      <c r="N164">
        <v>10.72</v>
      </c>
      <c r="O164" t="s">
        <v>163</v>
      </c>
      <c r="P164" t="s">
        <v>163</v>
      </c>
      <c r="Q164" t="s">
        <v>163</v>
      </c>
      <c r="R164" t="s">
        <v>163</v>
      </c>
      <c r="S164" t="s">
        <v>163</v>
      </c>
      <c r="T164" t="s">
        <v>163</v>
      </c>
      <c r="U164" t="s">
        <v>163</v>
      </c>
      <c r="V164" t="s">
        <v>163</v>
      </c>
      <c r="W164" t="s">
        <v>165</v>
      </c>
      <c r="X164" t="s">
        <v>165</v>
      </c>
      <c r="Y164">
        <v>1</v>
      </c>
      <c r="Z164">
        <v>2</v>
      </c>
      <c r="AA164">
        <v>1</v>
      </c>
      <c r="AB164">
        <v>2</v>
      </c>
      <c r="AC164">
        <v>0</v>
      </c>
      <c r="AD164" t="s">
        <v>163</v>
      </c>
      <c r="AE164" t="s">
        <v>163</v>
      </c>
      <c r="AF164" t="s">
        <v>163</v>
      </c>
      <c r="AG164" t="s">
        <v>163</v>
      </c>
      <c r="AH164" t="s">
        <v>163</v>
      </c>
      <c r="AI164" t="s">
        <v>163</v>
      </c>
      <c r="AJ164" t="s">
        <v>163</v>
      </c>
      <c r="AK164">
        <v>5</v>
      </c>
      <c r="AL164">
        <v>6</v>
      </c>
      <c r="AM164" t="s">
        <v>163</v>
      </c>
      <c r="AN164">
        <v>1</v>
      </c>
      <c r="AO164">
        <v>1</v>
      </c>
      <c r="AP164">
        <v>2</v>
      </c>
      <c r="AQ164">
        <v>2</v>
      </c>
      <c r="AR164">
        <v>7</v>
      </c>
      <c r="AS164">
        <v>8</v>
      </c>
    </row>
    <row r="165" spans="1:45" x14ac:dyDescent="0.35">
      <c r="A165" s="337">
        <v>46266</v>
      </c>
      <c r="B165" s="337">
        <v>46277</v>
      </c>
      <c r="C165" s="337">
        <v>46275</v>
      </c>
      <c r="D165" t="s">
        <v>130</v>
      </c>
      <c r="E165" s="338">
        <v>1.125</v>
      </c>
      <c r="F165">
        <v>1</v>
      </c>
      <c r="G165" t="s">
        <v>158</v>
      </c>
      <c r="H165">
        <v>0.01</v>
      </c>
      <c r="I165" t="s">
        <v>165</v>
      </c>
      <c r="J165" t="s">
        <v>165</v>
      </c>
      <c r="K165" t="s">
        <v>165</v>
      </c>
      <c r="L165" t="s">
        <v>163</v>
      </c>
      <c r="M165" t="s">
        <v>163</v>
      </c>
      <c r="N165">
        <v>10.98</v>
      </c>
      <c r="O165" t="s">
        <v>163</v>
      </c>
      <c r="P165" t="s">
        <v>163</v>
      </c>
      <c r="Q165" t="s">
        <v>163</v>
      </c>
      <c r="R165" t="s">
        <v>163</v>
      </c>
      <c r="S165" t="s">
        <v>163</v>
      </c>
      <c r="T165" t="s">
        <v>163</v>
      </c>
      <c r="U165" t="s">
        <v>163</v>
      </c>
      <c r="V165" t="s">
        <v>163</v>
      </c>
      <c r="W165" t="s">
        <v>165</v>
      </c>
      <c r="X165" t="s">
        <v>165</v>
      </c>
      <c r="Y165">
        <v>1</v>
      </c>
      <c r="Z165">
        <v>2</v>
      </c>
      <c r="AA165">
        <v>1</v>
      </c>
      <c r="AB165">
        <v>2</v>
      </c>
      <c r="AC165">
        <v>0</v>
      </c>
      <c r="AD165" t="s">
        <v>163</v>
      </c>
      <c r="AE165" t="s">
        <v>163</v>
      </c>
      <c r="AF165" t="s">
        <v>163</v>
      </c>
      <c r="AG165" t="s">
        <v>163</v>
      </c>
      <c r="AH165" t="s">
        <v>163</v>
      </c>
      <c r="AI165" t="s">
        <v>163</v>
      </c>
      <c r="AJ165" t="s">
        <v>163</v>
      </c>
      <c r="AK165">
        <v>5</v>
      </c>
      <c r="AL165">
        <v>6</v>
      </c>
      <c r="AM165" t="s">
        <v>163</v>
      </c>
      <c r="AN165">
        <v>1</v>
      </c>
      <c r="AO165">
        <v>1</v>
      </c>
      <c r="AP165">
        <v>2</v>
      </c>
      <c r="AQ165">
        <v>2</v>
      </c>
      <c r="AR165">
        <v>7</v>
      </c>
      <c r="AS165">
        <v>8</v>
      </c>
    </row>
    <row r="166" spans="1:45" x14ac:dyDescent="0.35">
      <c r="A166" s="337">
        <v>46266</v>
      </c>
      <c r="B166" s="337">
        <v>46277</v>
      </c>
      <c r="C166" s="337">
        <v>46275</v>
      </c>
      <c r="D166" t="s">
        <v>130</v>
      </c>
      <c r="E166" s="338">
        <v>1.0416666666666667</v>
      </c>
      <c r="F166">
        <v>1</v>
      </c>
      <c r="G166" t="s">
        <v>158</v>
      </c>
      <c r="H166" t="s">
        <v>163</v>
      </c>
      <c r="I166" t="s">
        <v>165</v>
      </c>
      <c r="J166" t="s">
        <v>165</v>
      </c>
      <c r="K166" t="s">
        <v>165</v>
      </c>
      <c r="L166" t="s">
        <v>163</v>
      </c>
      <c r="M166" t="s">
        <v>163</v>
      </c>
      <c r="N166">
        <v>10.36</v>
      </c>
      <c r="O166" t="s">
        <v>163</v>
      </c>
      <c r="P166" t="s">
        <v>163</v>
      </c>
      <c r="Q166" t="s">
        <v>163</v>
      </c>
      <c r="R166" t="s">
        <v>163</v>
      </c>
      <c r="S166" t="s">
        <v>163</v>
      </c>
      <c r="T166" t="s">
        <v>163</v>
      </c>
      <c r="U166" t="s">
        <v>163</v>
      </c>
      <c r="V166" t="s">
        <v>163</v>
      </c>
      <c r="W166" t="s">
        <v>165</v>
      </c>
      <c r="X166" t="s">
        <v>165</v>
      </c>
      <c r="Y166">
        <v>1</v>
      </c>
      <c r="Z166" t="s">
        <v>163</v>
      </c>
      <c r="AA166">
        <v>1</v>
      </c>
      <c r="AB166">
        <v>2</v>
      </c>
      <c r="AC166">
        <v>0</v>
      </c>
      <c r="AD166" t="s">
        <v>163</v>
      </c>
      <c r="AE166" t="s">
        <v>163</v>
      </c>
      <c r="AF166" t="s">
        <v>163</v>
      </c>
      <c r="AG166" t="s">
        <v>163</v>
      </c>
      <c r="AH166" t="s">
        <v>163</v>
      </c>
      <c r="AI166" t="s">
        <v>163</v>
      </c>
      <c r="AJ166" t="s">
        <v>163</v>
      </c>
      <c r="AK166">
        <v>3</v>
      </c>
      <c r="AL166">
        <v>4</v>
      </c>
      <c r="AM166" t="s">
        <v>163</v>
      </c>
      <c r="AN166">
        <v>1</v>
      </c>
      <c r="AO166">
        <v>1</v>
      </c>
      <c r="AP166">
        <v>2</v>
      </c>
      <c r="AQ166">
        <v>2</v>
      </c>
      <c r="AR166">
        <v>5</v>
      </c>
      <c r="AS166">
        <v>6</v>
      </c>
    </row>
    <row r="167" spans="1:45" x14ac:dyDescent="0.35">
      <c r="A167" s="337">
        <v>46266</v>
      </c>
      <c r="B167" s="337">
        <v>46277</v>
      </c>
      <c r="C167" s="337">
        <v>46275</v>
      </c>
      <c r="D167" t="s">
        <v>130</v>
      </c>
      <c r="E167" s="337">
        <v>1</v>
      </c>
      <c r="F167">
        <v>1</v>
      </c>
      <c r="G167" t="s">
        <v>158</v>
      </c>
      <c r="H167" t="s">
        <v>163</v>
      </c>
      <c r="I167" t="s">
        <v>165</v>
      </c>
      <c r="J167" t="s">
        <v>165</v>
      </c>
      <c r="K167" t="s">
        <v>165</v>
      </c>
      <c r="L167" t="s">
        <v>163</v>
      </c>
      <c r="M167" t="s">
        <v>163</v>
      </c>
      <c r="N167">
        <v>10.89</v>
      </c>
      <c r="O167" t="s">
        <v>163</v>
      </c>
      <c r="P167" t="s">
        <v>163</v>
      </c>
      <c r="Q167" t="s">
        <v>163</v>
      </c>
      <c r="R167" t="s">
        <v>163</v>
      </c>
      <c r="S167" t="s">
        <v>163</v>
      </c>
      <c r="T167" t="s">
        <v>163</v>
      </c>
      <c r="U167" t="s">
        <v>163</v>
      </c>
      <c r="V167" t="s">
        <v>163</v>
      </c>
      <c r="W167" t="s">
        <v>165</v>
      </c>
      <c r="X167" t="s">
        <v>165</v>
      </c>
      <c r="Y167">
        <v>1</v>
      </c>
      <c r="Z167" t="s">
        <v>163</v>
      </c>
      <c r="AA167">
        <v>1</v>
      </c>
      <c r="AB167">
        <v>2</v>
      </c>
      <c r="AC167">
        <v>0</v>
      </c>
      <c r="AD167" t="s">
        <v>163</v>
      </c>
      <c r="AE167" t="s">
        <v>163</v>
      </c>
      <c r="AF167" t="s">
        <v>163</v>
      </c>
      <c r="AG167" t="s">
        <v>163</v>
      </c>
      <c r="AH167" t="s">
        <v>163</v>
      </c>
      <c r="AI167" t="s">
        <v>163</v>
      </c>
      <c r="AJ167" t="s">
        <v>163</v>
      </c>
      <c r="AK167">
        <v>3</v>
      </c>
      <c r="AL167">
        <v>4</v>
      </c>
      <c r="AM167" t="s">
        <v>163</v>
      </c>
      <c r="AN167">
        <v>1</v>
      </c>
      <c r="AO167">
        <v>1</v>
      </c>
      <c r="AP167">
        <v>2</v>
      </c>
      <c r="AQ167">
        <v>2</v>
      </c>
      <c r="AR167">
        <v>5</v>
      </c>
      <c r="AS167">
        <v>6</v>
      </c>
    </row>
    <row r="168" spans="1:45" x14ac:dyDescent="0.35">
      <c r="A168" s="337">
        <v>46266</v>
      </c>
      <c r="B168" s="337">
        <v>46277</v>
      </c>
      <c r="C168" s="337">
        <v>46275</v>
      </c>
      <c r="D168" t="s">
        <v>130</v>
      </c>
      <c r="E168" s="339">
        <v>0.95833333333333337</v>
      </c>
      <c r="F168">
        <v>1</v>
      </c>
      <c r="G168" t="s">
        <v>158</v>
      </c>
      <c r="H168" t="s">
        <v>163</v>
      </c>
      <c r="I168" t="s">
        <v>165</v>
      </c>
      <c r="J168" t="s">
        <v>165</v>
      </c>
      <c r="K168" t="s">
        <v>165</v>
      </c>
      <c r="L168" t="s">
        <v>163</v>
      </c>
      <c r="M168" t="s">
        <v>163</v>
      </c>
      <c r="N168">
        <v>11.09</v>
      </c>
      <c r="O168" t="s">
        <v>163</v>
      </c>
      <c r="P168" t="s">
        <v>163</v>
      </c>
      <c r="Q168" t="s">
        <v>163</v>
      </c>
      <c r="R168" t="s">
        <v>163</v>
      </c>
      <c r="S168" t="s">
        <v>163</v>
      </c>
      <c r="T168" t="s">
        <v>163</v>
      </c>
      <c r="U168" t="s">
        <v>163</v>
      </c>
      <c r="V168" t="s">
        <v>163</v>
      </c>
      <c r="W168" t="s">
        <v>165</v>
      </c>
      <c r="X168" t="s">
        <v>165</v>
      </c>
      <c r="Y168">
        <v>1</v>
      </c>
      <c r="Z168" t="s">
        <v>163</v>
      </c>
      <c r="AA168">
        <v>1</v>
      </c>
      <c r="AB168">
        <v>2</v>
      </c>
      <c r="AC168">
        <v>1</v>
      </c>
      <c r="AD168" t="s">
        <v>163</v>
      </c>
      <c r="AE168" t="s">
        <v>163</v>
      </c>
      <c r="AF168" t="s">
        <v>163</v>
      </c>
      <c r="AG168" t="s">
        <v>163</v>
      </c>
      <c r="AH168" t="s">
        <v>163</v>
      </c>
      <c r="AI168" t="s">
        <v>163</v>
      </c>
      <c r="AJ168" t="s">
        <v>163</v>
      </c>
      <c r="AK168">
        <v>4</v>
      </c>
      <c r="AL168">
        <v>4</v>
      </c>
      <c r="AM168" t="s">
        <v>163</v>
      </c>
      <c r="AN168">
        <v>1</v>
      </c>
      <c r="AO168">
        <v>1</v>
      </c>
      <c r="AP168">
        <v>2</v>
      </c>
      <c r="AQ168">
        <v>2</v>
      </c>
      <c r="AR168">
        <v>6</v>
      </c>
      <c r="AS168">
        <v>6</v>
      </c>
    </row>
    <row r="169" spans="1:45" x14ac:dyDescent="0.35">
      <c r="A169" s="337">
        <v>46266</v>
      </c>
      <c r="B169" s="337">
        <v>46277</v>
      </c>
      <c r="C169" s="337">
        <v>46275</v>
      </c>
      <c r="D169" t="s">
        <v>130</v>
      </c>
      <c r="E169" s="339">
        <v>0.91666666666666663</v>
      </c>
      <c r="F169">
        <v>1</v>
      </c>
      <c r="G169" t="s">
        <v>158</v>
      </c>
      <c r="H169" t="s">
        <v>163</v>
      </c>
      <c r="I169" t="s">
        <v>165</v>
      </c>
      <c r="J169" t="s">
        <v>165</v>
      </c>
      <c r="K169" t="s">
        <v>165</v>
      </c>
      <c r="L169" t="s">
        <v>163</v>
      </c>
      <c r="M169" t="s">
        <v>163</v>
      </c>
      <c r="N169">
        <v>11.04</v>
      </c>
      <c r="O169">
        <v>8.56</v>
      </c>
      <c r="P169">
        <v>0.53</v>
      </c>
      <c r="Q169" t="s">
        <v>163</v>
      </c>
      <c r="R169" t="s">
        <v>163</v>
      </c>
      <c r="S169" t="s">
        <v>163</v>
      </c>
      <c r="T169">
        <v>23.1</v>
      </c>
      <c r="U169" t="s">
        <v>163</v>
      </c>
      <c r="V169" t="s">
        <v>163</v>
      </c>
      <c r="W169" t="s">
        <v>165</v>
      </c>
      <c r="X169" t="s">
        <v>165</v>
      </c>
      <c r="Y169">
        <v>1</v>
      </c>
      <c r="Z169" t="s">
        <v>163</v>
      </c>
      <c r="AA169">
        <v>1</v>
      </c>
      <c r="AB169">
        <v>2</v>
      </c>
      <c r="AC169">
        <v>1</v>
      </c>
      <c r="AD169">
        <v>1</v>
      </c>
      <c r="AE169">
        <v>2</v>
      </c>
      <c r="AF169" t="s">
        <v>163</v>
      </c>
      <c r="AG169" t="s">
        <v>163</v>
      </c>
      <c r="AH169" t="s">
        <v>163</v>
      </c>
      <c r="AI169">
        <v>2</v>
      </c>
      <c r="AJ169" t="s">
        <v>163</v>
      </c>
      <c r="AK169">
        <v>9</v>
      </c>
      <c r="AL169">
        <v>9</v>
      </c>
      <c r="AM169" t="s">
        <v>163</v>
      </c>
      <c r="AN169">
        <v>1</v>
      </c>
      <c r="AO169">
        <v>1</v>
      </c>
      <c r="AP169">
        <v>2</v>
      </c>
      <c r="AQ169">
        <v>2</v>
      </c>
      <c r="AR169">
        <v>11</v>
      </c>
      <c r="AS169">
        <v>11</v>
      </c>
    </row>
    <row r="170" spans="1:45" x14ac:dyDescent="0.35">
      <c r="A170" s="337">
        <v>46266</v>
      </c>
      <c r="B170" s="337">
        <v>46277</v>
      </c>
      <c r="C170" s="337">
        <v>46273</v>
      </c>
      <c r="D170" t="s">
        <v>128</v>
      </c>
      <c r="E170" s="339">
        <v>0.875</v>
      </c>
      <c r="F170">
        <v>3</v>
      </c>
      <c r="G170" t="s">
        <v>119</v>
      </c>
      <c r="H170">
        <v>0.02</v>
      </c>
      <c r="I170" t="s">
        <v>165</v>
      </c>
      <c r="J170" t="s">
        <v>165</v>
      </c>
      <c r="K170" t="s">
        <v>165</v>
      </c>
      <c r="L170" t="s">
        <v>161</v>
      </c>
      <c r="M170" t="s">
        <v>161</v>
      </c>
      <c r="N170">
        <v>12.36</v>
      </c>
      <c r="O170" t="s">
        <v>163</v>
      </c>
      <c r="P170" t="s">
        <v>163</v>
      </c>
      <c r="Q170" t="s">
        <v>163</v>
      </c>
      <c r="R170" t="s">
        <v>163</v>
      </c>
      <c r="S170" t="s">
        <v>163</v>
      </c>
      <c r="T170" t="s">
        <v>163</v>
      </c>
      <c r="U170" t="s">
        <v>163</v>
      </c>
      <c r="V170" t="s">
        <v>163</v>
      </c>
      <c r="W170" t="s">
        <v>165</v>
      </c>
      <c r="X170" t="s">
        <v>165</v>
      </c>
      <c r="Y170" t="s">
        <v>424</v>
      </c>
      <c r="Z170">
        <v>2</v>
      </c>
      <c r="AA170">
        <v>1</v>
      </c>
      <c r="AB170">
        <v>2</v>
      </c>
      <c r="AC170">
        <v>1</v>
      </c>
      <c r="AD170" t="s">
        <v>163</v>
      </c>
      <c r="AE170" t="s">
        <v>163</v>
      </c>
      <c r="AF170" t="s">
        <v>163</v>
      </c>
      <c r="AG170" t="s">
        <v>163</v>
      </c>
      <c r="AH170" t="s">
        <v>163</v>
      </c>
      <c r="AI170" t="s">
        <v>163</v>
      </c>
      <c r="AJ170" t="s">
        <v>163</v>
      </c>
      <c r="AK170">
        <v>6</v>
      </c>
      <c r="AL170">
        <v>6</v>
      </c>
      <c r="AM170" t="s">
        <v>163</v>
      </c>
      <c r="AN170">
        <v>1</v>
      </c>
      <c r="AO170">
        <v>1</v>
      </c>
      <c r="AP170">
        <v>2</v>
      </c>
      <c r="AQ170">
        <v>2</v>
      </c>
      <c r="AR170">
        <v>8</v>
      </c>
      <c r="AS170">
        <v>8</v>
      </c>
    </row>
    <row r="171" spans="1:45" x14ac:dyDescent="0.35">
      <c r="A171" s="337">
        <v>46266</v>
      </c>
      <c r="B171" s="337">
        <v>46277</v>
      </c>
      <c r="C171" s="337">
        <v>46273</v>
      </c>
      <c r="D171" t="s">
        <v>128</v>
      </c>
      <c r="E171" s="339">
        <v>0.79166666666666663</v>
      </c>
      <c r="F171">
        <v>3</v>
      </c>
      <c r="G171" t="s">
        <v>119</v>
      </c>
      <c r="H171">
        <v>0.01</v>
      </c>
      <c r="I171" t="s">
        <v>165</v>
      </c>
      <c r="J171" t="s">
        <v>165</v>
      </c>
      <c r="K171" t="s">
        <v>165</v>
      </c>
      <c r="L171" t="s">
        <v>161</v>
      </c>
      <c r="M171" t="s">
        <v>161</v>
      </c>
      <c r="N171">
        <v>12.4</v>
      </c>
      <c r="O171" t="s">
        <v>163</v>
      </c>
      <c r="P171" t="s">
        <v>163</v>
      </c>
      <c r="Q171" t="s">
        <v>163</v>
      </c>
      <c r="R171" t="s">
        <v>163</v>
      </c>
      <c r="S171" t="s">
        <v>163</v>
      </c>
      <c r="T171" t="s">
        <v>163</v>
      </c>
      <c r="U171" t="s">
        <v>163</v>
      </c>
      <c r="V171" t="s">
        <v>163</v>
      </c>
      <c r="W171" t="s">
        <v>165</v>
      </c>
      <c r="X171" t="s">
        <v>165</v>
      </c>
      <c r="Y171" t="s">
        <v>424</v>
      </c>
      <c r="Z171">
        <v>2</v>
      </c>
      <c r="AA171">
        <v>1</v>
      </c>
      <c r="AB171">
        <v>2</v>
      </c>
      <c r="AC171">
        <v>1</v>
      </c>
      <c r="AD171" t="s">
        <v>163</v>
      </c>
      <c r="AE171" t="s">
        <v>163</v>
      </c>
      <c r="AF171" t="s">
        <v>163</v>
      </c>
      <c r="AG171" t="s">
        <v>163</v>
      </c>
      <c r="AH171" t="s">
        <v>163</v>
      </c>
      <c r="AI171" t="s">
        <v>163</v>
      </c>
      <c r="AJ171" t="s">
        <v>163</v>
      </c>
      <c r="AK171">
        <v>6</v>
      </c>
      <c r="AL171">
        <v>6</v>
      </c>
      <c r="AM171" t="s">
        <v>163</v>
      </c>
      <c r="AN171">
        <v>1</v>
      </c>
      <c r="AO171">
        <v>1</v>
      </c>
      <c r="AP171">
        <v>2</v>
      </c>
      <c r="AQ171">
        <v>2</v>
      </c>
      <c r="AR171">
        <v>8</v>
      </c>
      <c r="AS171">
        <v>8</v>
      </c>
    </row>
    <row r="172" spans="1:45" x14ac:dyDescent="0.35">
      <c r="A172" s="337">
        <v>46266</v>
      </c>
      <c r="B172" s="337">
        <v>46277</v>
      </c>
      <c r="C172" s="337">
        <v>46273</v>
      </c>
      <c r="D172" t="s">
        <v>128</v>
      </c>
      <c r="E172" s="339">
        <v>0.75</v>
      </c>
      <c r="F172">
        <v>3</v>
      </c>
      <c r="G172" t="s">
        <v>119</v>
      </c>
      <c r="H172">
        <v>0.01</v>
      </c>
      <c r="I172" t="s">
        <v>165</v>
      </c>
      <c r="J172" t="s">
        <v>165</v>
      </c>
      <c r="K172" t="s">
        <v>165</v>
      </c>
      <c r="L172" t="s">
        <v>161</v>
      </c>
      <c r="M172" t="s">
        <v>161</v>
      </c>
      <c r="N172" t="s">
        <v>163</v>
      </c>
      <c r="O172" t="s">
        <v>163</v>
      </c>
      <c r="P172" t="s">
        <v>163</v>
      </c>
      <c r="Q172" t="s">
        <v>163</v>
      </c>
      <c r="R172" t="s">
        <v>163</v>
      </c>
      <c r="S172" t="s">
        <v>163</v>
      </c>
      <c r="T172" t="s">
        <v>163</v>
      </c>
      <c r="U172" t="s">
        <v>163</v>
      </c>
      <c r="V172" t="s">
        <v>163</v>
      </c>
      <c r="W172" t="s">
        <v>165</v>
      </c>
      <c r="X172" t="s">
        <v>165</v>
      </c>
      <c r="Y172" t="s">
        <v>424</v>
      </c>
      <c r="Z172">
        <v>2</v>
      </c>
      <c r="AA172">
        <v>1</v>
      </c>
      <c r="AB172">
        <v>2</v>
      </c>
      <c r="AC172" t="s">
        <v>163</v>
      </c>
      <c r="AD172" t="s">
        <v>163</v>
      </c>
      <c r="AE172" t="s">
        <v>163</v>
      </c>
      <c r="AF172" t="s">
        <v>163</v>
      </c>
      <c r="AG172" t="s">
        <v>163</v>
      </c>
      <c r="AH172" t="s">
        <v>163</v>
      </c>
      <c r="AI172" t="s">
        <v>163</v>
      </c>
      <c r="AJ172" t="s">
        <v>163</v>
      </c>
      <c r="AK172">
        <v>5</v>
      </c>
      <c r="AL172">
        <v>5</v>
      </c>
      <c r="AM172" t="s">
        <v>163</v>
      </c>
      <c r="AN172">
        <v>1</v>
      </c>
      <c r="AO172">
        <v>1</v>
      </c>
      <c r="AP172">
        <v>2</v>
      </c>
      <c r="AQ172">
        <v>2</v>
      </c>
      <c r="AR172">
        <v>7</v>
      </c>
      <c r="AS172">
        <v>7</v>
      </c>
    </row>
    <row r="173" spans="1:45" x14ac:dyDescent="0.35">
      <c r="A173" s="337">
        <v>46266</v>
      </c>
      <c r="B173" s="337">
        <v>46277</v>
      </c>
      <c r="C173" s="337">
        <v>46273</v>
      </c>
      <c r="D173" t="s">
        <v>128</v>
      </c>
      <c r="E173" s="339">
        <v>0.66666666666666663</v>
      </c>
      <c r="F173">
        <v>3</v>
      </c>
      <c r="G173" t="s">
        <v>119</v>
      </c>
      <c r="H173">
        <v>0.01</v>
      </c>
      <c r="I173" t="s">
        <v>165</v>
      </c>
      <c r="J173" t="s">
        <v>165</v>
      </c>
      <c r="K173" t="s">
        <v>165</v>
      </c>
      <c r="L173" t="s">
        <v>161</v>
      </c>
      <c r="M173" t="s">
        <v>161</v>
      </c>
      <c r="N173">
        <v>12.14</v>
      </c>
      <c r="O173" t="s">
        <v>163</v>
      </c>
      <c r="P173" t="s">
        <v>163</v>
      </c>
      <c r="Q173" t="s">
        <v>163</v>
      </c>
      <c r="R173" t="s">
        <v>163</v>
      </c>
      <c r="S173" t="s">
        <v>163</v>
      </c>
      <c r="T173" t="s">
        <v>163</v>
      </c>
      <c r="U173" t="s">
        <v>163</v>
      </c>
      <c r="V173" t="s">
        <v>163</v>
      </c>
      <c r="W173" t="s">
        <v>165</v>
      </c>
      <c r="X173" t="s">
        <v>165</v>
      </c>
      <c r="Y173" t="s">
        <v>424</v>
      </c>
      <c r="Z173">
        <v>2</v>
      </c>
      <c r="AA173">
        <v>1</v>
      </c>
      <c r="AB173">
        <v>2</v>
      </c>
      <c r="AC173">
        <v>1</v>
      </c>
      <c r="AD173" t="s">
        <v>163</v>
      </c>
      <c r="AE173" t="s">
        <v>163</v>
      </c>
      <c r="AF173" t="s">
        <v>163</v>
      </c>
      <c r="AG173" t="s">
        <v>163</v>
      </c>
      <c r="AH173" t="s">
        <v>163</v>
      </c>
      <c r="AI173" t="s">
        <v>163</v>
      </c>
      <c r="AJ173" t="s">
        <v>163</v>
      </c>
      <c r="AK173">
        <v>6</v>
      </c>
      <c r="AL173">
        <v>6</v>
      </c>
      <c r="AM173" t="s">
        <v>163</v>
      </c>
      <c r="AN173">
        <v>1</v>
      </c>
      <c r="AO173">
        <v>1</v>
      </c>
      <c r="AP173">
        <v>2</v>
      </c>
      <c r="AQ173">
        <v>2</v>
      </c>
      <c r="AR173">
        <v>8</v>
      </c>
      <c r="AS173">
        <v>8</v>
      </c>
    </row>
    <row r="174" spans="1:45" x14ac:dyDescent="0.35">
      <c r="A174" s="337">
        <v>46266</v>
      </c>
      <c r="B174" s="337">
        <v>46277</v>
      </c>
      <c r="C174" s="337">
        <v>46273</v>
      </c>
      <c r="D174" t="s">
        <v>128</v>
      </c>
      <c r="E174" s="339">
        <v>0.625</v>
      </c>
      <c r="F174">
        <v>3</v>
      </c>
      <c r="G174" t="s">
        <v>119</v>
      </c>
      <c r="H174">
        <v>0.01</v>
      </c>
      <c r="I174" t="s">
        <v>165</v>
      </c>
      <c r="J174" t="s">
        <v>165</v>
      </c>
      <c r="K174" t="s">
        <v>165</v>
      </c>
      <c r="L174" t="s">
        <v>161</v>
      </c>
      <c r="M174" t="s">
        <v>161</v>
      </c>
      <c r="N174">
        <v>12.12</v>
      </c>
      <c r="O174" t="s">
        <v>163</v>
      </c>
      <c r="P174" t="s">
        <v>163</v>
      </c>
      <c r="Q174" t="s">
        <v>163</v>
      </c>
      <c r="R174" t="s">
        <v>163</v>
      </c>
      <c r="S174" t="s">
        <v>163</v>
      </c>
      <c r="T174" t="s">
        <v>163</v>
      </c>
      <c r="U174" t="s">
        <v>163</v>
      </c>
      <c r="V174" t="s">
        <v>163</v>
      </c>
      <c r="W174" t="s">
        <v>165</v>
      </c>
      <c r="X174" t="s">
        <v>165</v>
      </c>
      <c r="Y174" t="s">
        <v>424</v>
      </c>
      <c r="Z174">
        <v>2</v>
      </c>
      <c r="AA174">
        <v>1</v>
      </c>
      <c r="AB174">
        <v>2</v>
      </c>
      <c r="AC174">
        <v>1</v>
      </c>
      <c r="AD174" t="s">
        <v>163</v>
      </c>
      <c r="AE174" t="s">
        <v>163</v>
      </c>
      <c r="AF174" t="s">
        <v>163</v>
      </c>
      <c r="AG174" t="s">
        <v>163</v>
      </c>
      <c r="AH174" t="s">
        <v>163</v>
      </c>
      <c r="AI174" t="s">
        <v>163</v>
      </c>
      <c r="AJ174" t="s">
        <v>163</v>
      </c>
      <c r="AK174">
        <v>6</v>
      </c>
      <c r="AL174">
        <v>6</v>
      </c>
      <c r="AM174" t="s">
        <v>163</v>
      </c>
      <c r="AN174">
        <v>1</v>
      </c>
      <c r="AO174">
        <v>1</v>
      </c>
      <c r="AP174">
        <v>2</v>
      </c>
      <c r="AQ174">
        <v>2</v>
      </c>
      <c r="AR174">
        <v>8</v>
      </c>
      <c r="AS174">
        <v>8</v>
      </c>
    </row>
    <row r="175" spans="1:45" x14ac:dyDescent="0.35">
      <c r="A175" s="337">
        <v>46266</v>
      </c>
      <c r="B175" s="337">
        <v>46277</v>
      </c>
      <c r="C175" s="337">
        <v>46273</v>
      </c>
      <c r="D175" t="s">
        <v>128</v>
      </c>
      <c r="E175" s="339">
        <v>0.58333333333333337</v>
      </c>
      <c r="F175">
        <v>3</v>
      </c>
      <c r="G175" t="s">
        <v>119</v>
      </c>
      <c r="H175">
        <v>0.01</v>
      </c>
      <c r="I175" t="s">
        <v>165</v>
      </c>
      <c r="J175" t="s">
        <v>165</v>
      </c>
      <c r="K175" t="s">
        <v>165</v>
      </c>
      <c r="L175" t="s">
        <v>161</v>
      </c>
      <c r="M175" t="s">
        <v>161</v>
      </c>
      <c r="N175">
        <v>12.39</v>
      </c>
      <c r="O175">
        <v>12.06</v>
      </c>
      <c r="P175">
        <v>0.56000000000000005</v>
      </c>
      <c r="Q175" t="s">
        <v>163</v>
      </c>
      <c r="R175" t="s">
        <v>163</v>
      </c>
      <c r="S175" t="s">
        <v>163</v>
      </c>
      <c r="T175">
        <v>33.6</v>
      </c>
      <c r="U175" t="s">
        <v>163</v>
      </c>
      <c r="V175" t="s">
        <v>163</v>
      </c>
      <c r="W175" t="s">
        <v>165</v>
      </c>
      <c r="X175" t="s">
        <v>165</v>
      </c>
      <c r="Y175" t="s">
        <v>424</v>
      </c>
      <c r="Z175">
        <v>2</v>
      </c>
      <c r="AA175">
        <v>1</v>
      </c>
      <c r="AB175">
        <v>2</v>
      </c>
      <c r="AC175">
        <v>1</v>
      </c>
      <c r="AD175">
        <v>1</v>
      </c>
      <c r="AE175">
        <v>2</v>
      </c>
      <c r="AF175" t="s">
        <v>163</v>
      </c>
      <c r="AG175" t="s">
        <v>163</v>
      </c>
      <c r="AH175" t="s">
        <v>163</v>
      </c>
      <c r="AI175">
        <v>2</v>
      </c>
      <c r="AJ175" t="s">
        <v>163</v>
      </c>
      <c r="AK175">
        <v>11</v>
      </c>
      <c r="AL175">
        <v>11</v>
      </c>
      <c r="AM175" t="s">
        <v>163</v>
      </c>
      <c r="AN175">
        <v>1</v>
      </c>
      <c r="AO175">
        <v>1</v>
      </c>
      <c r="AP175">
        <v>2</v>
      </c>
      <c r="AQ175">
        <v>2</v>
      </c>
      <c r="AR175">
        <v>13</v>
      </c>
      <c r="AS175">
        <v>13</v>
      </c>
    </row>
    <row r="176" spans="1:45" x14ac:dyDescent="0.35">
      <c r="A176" s="337">
        <v>46266</v>
      </c>
      <c r="B176" s="337">
        <v>46277</v>
      </c>
      <c r="C176" s="337">
        <v>816</v>
      </c>
      <c r="D176" t="s">
        <v>128</v>
      </c>
      <c r="E176" s="339">
        <v>0.79166666666666663</v>
      </c>
      <c r="F176">
        <v>2</v>
      </c>
      <c r="G176" t="s">
        <v>92</v>
      </c>
      <c r="H176" t="s">
        <v>163</v>
      </c>
      <c r="I176" t="s">
        <v>165</v>
      </c>
      <c r="J176" t="s">
        <v>165</v>
      </c>
      <c r="K176" t="s">
        <v>165</v>
      </c>
      <c r="L176" t="s">
        <v>163</v>
      </c>
      <c r="M176" t="s">
        <v>161</v>
      </c>
      <c r="N176">
        <v>10.36</v>
      </c>
      <c r="O176" t="s">
        <v>163</v>
      </c>
      <c r="P176" t="s">
        <v>163</v>
      </c>
      <c r="Q176" t="s">
        <v>163</v>
      </c>
      <c r="R176" t="s">
        <v>163</v>
      </c>
      <c r="S176" t="s">
        <v>163</v>
      </c>
      <c r="T176" t="s">
        <v>163</v>
      </c>
      <c r="U176" t="s">
        <v>163</v>
      </c>
      <c r="V176" t="s">
        <v>163</v>
      </c>
      <c r="W176" t="s">
        <v>165</v>
      </c>
      <c r="X176" t="s">
        <v>165</v>
      </c>
      <c r="Y176" t="s">
        <v>163</v>
      </c>
      <c r="Z176" t="s">
        <v>163</v>
      </c>
      <c r="AA176">
        <v>1</v>
      </c>
      <c r="AB176">
        <v>2</v>
      </c>
      <c r="AC176">
        <v>0</v>
      </c>
      <c r="AD176" t="s">
        <v>163</v>
      </c>
      <c r="AE176" t="s">
        <v>163</v>
      </c>
      <c r="AF176" t="s">
        <v>163</v>
      </c>
      <c r="AG176" t="s">
        <v>163</v>
      </c>
      <c r="AH176" t="s">
        <v>163</v>
      </c>
      <c r="AI176" t="s">
        <v>163</v>
      </c>
      <c r="AJ176" t="s">
        <v>163</v>
      </c>
      <c r="AK176">
        <v>3</v>
      </c>
      <c r="AL176">
        <v>4</v>
      </c>
      <c r="AM176" t="s">
        <v>163</v>
      </c>
      <c r="AN176">
        <v>1</v>
      </c>
      <c r="AO176">
        <v>1</v>
      </c>
      <c r="AP176">
        <v>2</v>
      </c>
      <c r="AQ176">
        <v>2</v>
      </c>
      <c r="AR176">
        <v>5</v>
      </c>
      <c r="AS176">
        <v>6</v>
      </c>
    </row>
    <row r="177" spans="1:45" x14ac:dyDescent="0.35">
      <c r="A177" s="337">
        <v>46266</v>
      </c>
      <c r="B177" s="337">
        <v>46277</v>
      </c>
      <c r="C177" s="337">
        <v>816</v>
      </c>
      <c r="D177" t="s">
        <v>128</v>
      </c>
      <c r="E177" s="339">
        <v>0.75</v>
      </c>
      <c r="F177">
        <v>2</v>
      </c>
      <c r="G177" t="s">
        <v>92</v>
      </c>
      <c r="H177" t="s">
        <v>163</v>
      </c>
      <c r="I177" t="s">
        <v>165</v>
      </c>
      <c r="J177" t="s">
        <v>165</v>
      </c>
      <c r="K177" t="s">
        <v>165</v>
      </c>
      <c r="L177" t="s">
        <v>163</v>
      </c>
      <c r="M177" t="s">
        <v>161</v>
      </c>
      <c r="N177">
        <v>10.43</v>
      </c>
      <c r="O177" t="s">
        <v>163</v>
      </c>
      <c r="P177" t="s">
        <v>163</v>
      </c>
      <c r="Q177" t="s">
        <v>163</v>
      </c>
      <c r="R177" t="s">
        <v>163</v>
      </c>
      <c r="S177" t="s">
        <v>163</v>
      </c>
      <c r="T177" t="s">
        <v>163</v>
      </c>
      <c r="U177" t="s">
        <v>163</v>
      </c>
      <c r="V177" t="s">
        <v>163</v>
      </c>
      <c r="W177" t="s">
        <v>165</v>
      </c>
      <c r="X177" t="s">
        <v>165</v>
      </c>
      <c r="Y177">
        <v>1</v>
      </c>
      <c r="Z177" t="s">
        <v>163</v>
      </c>
      <c r="AA177">
        <v>1</v>
      </c>
      <c r="AB177">
        <v>2</v>
      </c>
      <c r="AC177">
        <v>0</v>
      </c>
      <c r="AD177" t="s">
        <v>163</v>
      </c>
      <c r="AE177" t="s">
        <v>163</v>
      </c>
      <c r="AF177" t="s">
        <v>163</v>
      </c>
      <c r="AG177" t="s">
        <v>163</v>
      </c>
      <c r="AH177" t="s">
        <v>163</v>
      </c>
      <c r="AI177" t="s">
        <v>163</v>
      </c>
      <c r="AJ177" t="s">
        <v>163</v>
      </c>
      <c r="AK177">
        <v>3</v>
      </c>
      <c r="AL177">
        <v>4</v>
      </c>
      <c r="AM177" t="s">
        <v>163</v>
      </c>
      <c r="AN177">
        <v>1</v>
      </c>
      <c r="AO177">
        <v>1</v>
      </c>
      <c r="AP177">
        <v>2</v>
      </c>
      <c r="AQ177">
        <v>2</v>
      </c>
      <c r="AR177">
        <v>5</v>
      </c>
      <c r="AS177">
        <v>6</v>
      </c>
    </row>
    <row r="178" spans="1:45" x14ac:dyDescent="0.35">
      <c r="A178" s="337">
        <v>46266</v>
      </c>
      <c r="B178" s="337">
        <v>46277</v>
      </c>
      <c r="C178" s="337">
        <v>816</v>
      </c>
      <c r="D178" t="s">
        <v>128</v>
      </c>
      <c r="E178" s="339">
        <v>0.70833333333333337</v>
      </c>
      <c r="F178">
        <v>2</v>
      </c>
      <c r="G178" t="s">
        <v>92</v>
      </c>
      <c r="H178" t="s">
        <v>163</v>
      </c>
      <c r="I178" t="s">
        <v>165</v>
      </c>
      <c r="J178" t="s">
        <v>165</v>
      </c>
      <c r="K178" t="s">
        <v>165</v>
      </c>
      <c r="L178" t="s">
        <v>163</v>
      </c>
      <c r="M178" t="s">
        <v>161</v>
      </c>
      <c r="N178">
        <v>10.47</v>
      </c>
      <c r="O178" t="s">
        <v>163</v>
      </c>
      <c r="P178" t="s">
        <v>163</v>
      </c>
      <c r="Q178" t="s">
        <v>163</v>
      </c>
      <c r="R178" t="s">
        <v>163</v>
      </c>
      <c r="S178" t="s">
        <v>163</v>
      </c>
      <c r="T178" t="s">
        <v>163</v>
      </c>
      <c r="U178" t="s">
        <v>163</v>
      </c>
      <c r="V178" t="s">
        <v>163</v>
      </c>
      <c r="W178" t="s">
        <v>165</v>
      </c>
      <c r="X178" t="s">
        <v>165</v>
      </c>
      <c r="Y178">
        <v>1</v>
      </c>
      <c r="Z178" t="s">
        <v>163</v>
      </c>
      <c r="AA178">
        <v>1</v>
      </c>
      <c r="AB178">
        <v>2</v>
      </c>
      <c r="AC178">
        <v>0</v>
      </c>
      <c r="AD178" t="s">
        <v>163</v>
      </c>
      <c r="AE178" t="s">
        <v>163</v>
      </c>
      <c r="AF178" t="s">
        <v>163</v>
      </c>
      <c r="AG178" t="s">
        <v>163</v>
      </c>
      <c r="AH178" t="s">
        <v>163</v>
      </c>
      <c r="AI178" t="s">
        <v>163</v>
      </c>
      <c r="AJ178" t="s">
        <v>163</v>
      </c>
      <c r="AK178">
        <v>3</v>
      </c>
      <c r="AL178">
        <v>4</v>
      </c>
      <c r="AM178" t="s">
        <v>163</v>
      </c>
      <c r="AN178">
        <v>1</v>
      </c>
      <c r="AO178">
        <v>1</v>
      </c>
      <c r="AP178">
        <v>2</v>
      </c>
      <c r="AQ178">
        <v>2</v>
      </c>
      <c r="AR178">
        <v>5</v>
      </c>
      <c r="AS178">
        <v>6</v>
      </c>
    </row>
    <row r="179" spans="1:45" x14ac:dyDescent="0.35">
      <c r="A179" s="337">
        <v>46266</v>
      </c>
      <c r="B179" s="337">
        <v>46277</v>
      </c>
      <c r="C179" s="337">
        <v>816</v>
      </c>
      <c r="D179" t="s">
        <v>128</v>
      </c>
      <c r="E179" s="339">
        <v>0.66666666666666663</v>
      </c>
      <c r="F179">
        <v>2</v>
      </c>
      <c r="G179" t="s">
        <v>92</v>
      </c>
      <c r="H179" t="s">
        <v>163</v>
      </c>
      <c r="I179" t="s">
        <v>165</v>
      </c>
      <c r="J179" t="s">
        <v>165</v>
      </c>
      <c r="K179" t="s">
        <v>165</v>
      </c>
      <c r="L179" t="s">
        <v>163</v>
      </c>
      <c r="M179" t="s">
        <v>161</v>
      </c>
      <c r="N179">
        <v>10.48</v>
      </c>
      <c r="O179" t="s">
        <v>163</v>
      </c>
      <c r="P179" t="s">
        <v>163</v>
      </c>
      <c r="Q179" t="s">
        <v>163</v>
      </c>
      <c r="R179" t="s">
        <v>163</v>
      </c>
      <c r="S179" t="s">
        <v>163</v>
      </c>
      <c r="T179" t="s">
        <v>163</v>
      </c>
      <c r="U179" t="s">
        <v>163</v>
      </c>
      <c r="V179" t="s">
        <v>163</v>
      </c>
      <c r="W179" t="s">
        <v>165</v>
      </c>
      <c r="X179" t="s">
        <v>165</v>
      </c>
      <c r="Y179">
        <v>1</v>
      </c>
      <c r="Z179" t="s">
        <v>163</v>
      </c>
      <c r="AA179">
        <v>1</v>
      </c>
      <c r="AB179">
        <v>2</v>
      </c>
      <c r="AC179">
        <v>0</v>
      </c>
      <c r="AD179" t="s">
        <v>163</v>
      </c>
      <c r="AE179" t="s">
        <v>163</v>
      </c>
      <c r="AF179" t="s">
        <v>163</v>
      </c>
      <c r="AG179" t="s">
        <v>163</v>
      </c>
      <c r="AH179" t="s">
        <v>163</v>
      </c>
      <c r="AI179" t="s">
        <v>163</v>
      </c>
      <c r="AJ179" t="s">
        <v>163</v>
      </c>
      <c r="AK179">
        <v>3</v>
      </c>
      <c r="AL179">
        <v>4</v>
      </c>
      <c r="AM179" t="s">
        <v>163</v>
      </c>
      <c r="AN179">
        <v>1</v>
      </c>
      <c r="AO179">
        <v>1</v>
      </c>
      <c r="AP179">
        <v>2</v>
      </c>
      <c r="AQ179">
        <v>2</v>
      </c>
      <c r="AR179">
        <v>5</v>
      </c>
      <c r="AS179">
        <v>6</v>
      </c>
    </row>
    <row r="180" spans="1:45" x14ac:dyDescent="0.35">
      <c r="A180" s="337">
        <v>46266</v>
      </c>
      <c r="B180" s="337">
        <v>46277</v>
      </c>
      <c r="C180" s="337">
        <v>816</v>
      </c>
      <c r="D180" t="s">
        <v>128</v>
      </c>
      <c r="E180" s="339">
        <v>0.625</v>
      </c>
      <c r="F180">
        <v>2</v>
      </c>
      <c r="G180" t="s">
        <v>92</v>
      </c>
      <c r="H180" t="s">
        <v>163</v>
      </c>
      <c r="I180" t="s">
        <v>165</v>
      </c>
      <c r="J180" t="s">
        <v>165</v>
      </c>
      <c r="K180" t="s">
        <v>165</v>
      </c>
      <c r="L180" t="s">
        <v>163</v>
      </c>
      <c r="M180" t="s">
        <v>161</v>
      </c>
      <c r="N180">
        <v>10.8</v>
      </c>
      <c r="O180">
        <v>7.35</v>
      </c>
      <c r="P180">
        <v>0.35</v>
      </c>
      <c r="Q180" t="s">
        <v>163</v>
      </c>
      <c r="R180" t="s">
        <v>163</v>
      </c>
      <c r="S180" t="s">
        <v>163</v>
      </c>
      <c r="T180">
        <v>19.5</v>
      </c>
      <c r="U180" t="s">
        <v>163</v>
      </c>
      <c r="V180" t="s">
        <v>163</v>
      </c>
      <c r="W180" t="s">
        <v>165</v>
      </c>
      <c r="X180" t="s">
        <v>165</v>
      </c>
      <c r="Y180">
        <v>1</v>
      </c>
      <c r="Z180" t="s">
        <v>163</v>
      </c>
      <c r="AA180">
        <v>1</v>
      </c>
      <c r="AB180">
        <v>2</v>
      </c>
      <c r="AC180">
        <v>0</v>
      </c>
      <c r="AD180">
        <v>1</v>
      </c>
      <c r="AE180">
        <v>2</v>
      </c>
      <c r="AF180" t="s">
        <v>163</v>
      </c>
      <c r="AG180" t="s">
        <v>163</v>
      </c>
      <c r="AH180" t="s">
        <v>163</v>
      </c>
      <c r="AI180">
        <v>2</v>
      </c>
      <c r="AJ180" t="s">
        <v>163</v>
      </c>
      <c r="AK180">
        <v>8</v>
      </c>
      <c r="AL180">
        <v>9</v>
      </c>
      <c r="AM180" t="s">
        <v>163</v>
      </c>
      <c r="AN180">
        <v>1</v>
      </c>
      <c r="AO180">
        <v>1</v>
      </c>
      <c r="AP180">
        <v>2</v>
      </c>
      <c r="AQ180">
        <v>2</v>
      </c>
      <c r="AR180">
        <v>10</v>
      </c>
      <c r="AS180">
        <v>11</v>
      </c>
    </row>
    <row r="181" spans="1:45" x14ac:dyDescent="0.35">
      <c r="A181" s="337">
        <v>46266</v>
      </c>
      <c r="B181" s="337">
        <v>46277</v>
      </c>
      <c r="C181" s="337">
        <v>46275</v>
      </c>
      <c r="D181" t="s">
        <v>128</v>
      </c>
      <c r="E181" s="339">
        <v>0.79166666666666663</v>
      </c>
      <c r="F181">
        <v>1</v>
      </c>
      <c r="G181" t="s">
        <v>158</v>
      </c>
      <c r="H181" t="s">
        <v>163</v>
      </c>
      <c r="I181" t="s">
        <v>165</v>
      </c>
      <c r="J181" t="s">
        <v>165</v>
      </c>
      <c r="K181" t="s">
        <v>165</v>
      </c>
      <c r="L181" t="s">
        <v>161</v>
      </c>
      <c r="M181" t="s">
        <v>161</v>
      </c>
      <c r="N181">
        <v>10.97</v>
      </c>
      <c r="O181" t="s">
        <v>163</v>
      </c>
      <c r="P181" t="s">
        <v>163</v>
      </c>
      <c r="Q181" t="s">
        <v>163</v>
      </c>
      <c r="R181" t="s">
        <v>163</v>
      </c>
      <c r="S181" t="s">
        <v>163</v>
      </c>
      <c r="T181" t="s">
        <v>163</v>
      </c>
      <c r="U181" t="s">
        <v>163</v>
      </c>
      <c r="V181" t="s">
        <v>163</v>
      </c>
      <c r="W181" t="s">
        <v>165</v>
      </c>
      <c r="X181" t="s">
        <v>165</v>
      </c>
      <c r="Y181">
        <v>1</v>
      </c>
      <c r="Z181" t="s">
        <v>163</v>
      </c>
      <c r="AA181">
        <v>1</v>
      </c>
      <c r="AB181">
        <v>2</v>
      </c>
      <c r="AC181">
        <v>0</v>
      </c>
      <c r="AD181" t="s">
        <v>163</v>
      </c>
      <c r="AE181" t="s">
        <v>163</v>
      </c>
      <c r="AF181" t="s">
        <v>163</v>
      </c>
      <c r="AG181" t="s">
        <v>163</v>
      </c>
      <c r="AH181" t="s">
        <v>163</v>
      </c>
      <c r="AI181" t="s">
        <v>163</v>
      </c>
      <c r="AJ181" t="s">
        <v>163</v>
      </c>
      <c r="AK181">
        <v>3</v>
      </c>
      <c r="AL181">
        <v>4</v>
      </c>
      <c r="AM181" t="s">
        <v>163</v>
      </c>
      <c r="AN181">
        <v>1</v>
      </c>
      <c r="AO181">
        <v>1</v>
      </c>
      <c r="AP181">
        <v>2</v>
      </c>
      <c r="AQ181">
        <v>2</v>
      </c>
      <c r="AR181">
        <v>5</v>
      </c>
      <c r="AS181">
        <v>6</v>
      </c>
    </row>
    <row r="182" spans="1:45" x14ac:dyDescent="0.35">
      <c r="A182" s="337">
        <v>46266</v>
      </c>
      <c r="B182" s="337">
        <v>46277</v>
      </c>
      <c r="C182" s="337">
        <v>46275</v>
      </c>
      <c r="D182" t="s">
        <v>128</v>
      </c>
      <c r="E182" s="339">
        <v>0.75</v>
      </c>
      <c r="F182">
        <v>1</v>
      </c>
      <c r="G182" t="s">
        <v>158</v>
      </c>
      <c r="H182" t="s">
        <v>163</v>
      </c>
      <c r="I182" t="s">
        <v>163</v>
      </c>
      <c r="J182" t="s">
        <v>165</v>
      </c>
      <c r="K182" t="s">
        <v>165</v>
      </c>
      <c r="L182" t="s">
        <v>161</v>
      </c>
      <c r="M182" t="s">
        <v>161</v>
      </c>
      <c r="N182">
        <v>10.88</v>
      </c>
      <c r="O182" t="s">
        <v>163</v>
      </c>
      <c r="P182" t="s">
        <v>163</v>
      </c>
      <c r="Q182" t="s">
        <v>163</v>
      </c>
      <c r="R182" t="s">
        <v>163</v>
      </c>
      <c r="S182" t="s">
        <v>163</v>
      </c>
      <c r="T182" t="s">
        <v>163</v>
      </c>
      <c r="U182" t="s">
        <v>163</v>
      </c>
      <c r="V182" t="s">
        <v>163</v>
      </c>
      <c r="W182" t="s">
        <v>165</v>
      </c>
      <c r="X182" t="s">
        <v>165</v>
      </c>
      <c r="Y182">
        <v>1</v>
      </c>
      <c r="Z182" t="s">
        <v>163</v>
      </c>
      <c r="AA182" t="s">
        <v>163</v>
      </c>
      <c r="AB182">
        <v>2</v>
      </c>
      <c r="AC182">
        <v>0</v>
      </c>
      <c r="AD182" t="s">
        <v>163</v>
      </c>
      <c r="AE182" t="s">
        <v>163</v>
      </c>
      <c r="AF182" t="s">
        <v>163</v>
      </c>
      <c r="AG182" t="s">
        <v>163</v>
      </c>
      <c r="AH182" t="s">
        <v>163</v>
      </c>
      <c r="AI182" t="s">
        <v>163</v>
      </c>
      <c r="AJ182" t="s">
        <v>163</v>
      </c>
      <c r="AK182">
        <v>2</v>
      </c>
      <c r="AL182">
        <v>3</v>
      </c>
      <c r="AM182" t="s">
        <v>163</v>
      </c>
      <c r="AN182">
        <v>1</v>
      </c>
      <c r="AO182">
        <v>1</v>
      </c>
      <c r="AP182">
        <v>2</v>
      </c>
      <c r="AQ182">
        <v>2</v>
      </c>
      <c r="AR182">
        <v>4</v>
      </c>
      <c r="AS182">
        <v>5</v>
      </c>
    </row>
    <row r="183" spans="1:45" x14ac:dyDescent="0.35">
      <c r="A183" s="337">
        <v>46266</v>
      </c>
      <c r="B183" s="337">
        <v>46277</v>
      </c>
      <c r="C183" s="337">
        <v>46275</v>
      </c>
      <c r="D183" t="s">
        <v>128</v>
      </c>
      <c r="E183" s="339">
        <v>0.70833333333333337</v>
      </c>
      <c r="F183">
        <v>1</v>
      </c>
      <c r="G183" t="s">
        <v>158</v>
      </c>
      <c r="H183" t="s">
        <v>163</v>
      </c>
      <c r="I183" t="s">
        <v>165</v>
      </c>
      <c r="J183" t="s">
        <v>165</v>
      </c>
      <c r="K183" t="s">
        <v>165</v>
      </c>
      <c r="L183" t="s">
        <v>161</v>
      </c>
      <c r="M183" t="s">
        <v>161</v>
      </c>
      <c r="N183">
        <v>11.21</v>
      </c>
      <c r="O183" t="s">
        <v>163</v>
      </c>
      <c r="P183" t="s">
        <v>163</v>
      </c>
      <c r="Q183" t="s">
        <v>163</v>
      </c>
      <c r="R183" t="s">
        <v>163</v>
      </c>
      <c r="S183" t="s">
        <v>163</v>
      </c>
      <c r="T183" t="s">
        <v>163</v>
      </c>
      <c r="U183" t="s">
        <v>163</v>
      </c>
      <c r="V183" t="s">
        <v>163</v>
      </c>
      <c r="W183" t="s">
        <v>165</v>
      </c>
      <c r="X183" t="s">
        <v>165</v>
      </c>
      <c r="Y183">
        <v>1</v>
      </c>
      <c r="Z183" t="s">
        <v>163</v>
      </c>
      <c r="AA183">
        <v>1</v>
      </c>
      <c r="AB183">
        <v>2</v>
      </c>
      <c r="AC183">
        <v>1</v>
      </c>
      <c r="AD183" t="s">
        <v>163</v>
      </c>
      <c r="AE183" t="s">
        <v>163</v>
      </c>
      <c r="AF183" t="s">
        <v>163</v>
      </c>
      <c r="AG183" t="s">
        <v>163</v>
      </c>
      <c r="AH183" t="s">
        <v>163</v>
      </c>
      <c r="AI183" t="s">
        <v>163</v>
      </c>
      <c r="AJ183" t="s">
        <v>163</v>
      </c>
      <c r="AK183">
        <v>4</v>
      </c>
      <c r="AL183">
        <v>4</v>
      </c>
      <c r="AM183" t="s">
        <v>163</v>
      </c>
      <c r="AN183">
        <v>1</v>
      </c>
      <c r="AO183">
        <v>1</v>
      </c>
      <c r="AP183">
        <v>2</v>
      </c>
      <c r="AQ183">
        <v>2</v>
      </c>
      <c r="AR183">
        <v>6</v>
      </c>
      <c r="AS183">
        <v>6</v>
      </c>
    </row>
    <row r="184" spans="1:45" x14ac:dyDescent="0.35">
      <c r="A184" s="337">
        <v>46266</v>
      </c>
      <c r="B184" s="337">
        <v>46277</v>
      </c>
      <c r="C184" s="337">
        <v>46275</v>
      </c>
      <c r="D184" t="s">
        <v>128</v>
      </c>
      <c r="E184" s="339">
        <v>0.66666666666666663</v>
      </c>
      <c r="F184">
        <v>1</v>
      </c>
      <c r="G184" t="s">
        <v>158</v>
      </c>
      <c r="H184" t="s">
        <v>163</v>
      </c>
      <c r="I184" t="s">
        <v>165</v>
      </c>
      <c r="J184" t="s">
        <v>165</v>
      </c>
      <c r="K184" t="s">
        <v>165</v>
      </c>
      <c r="L184" t="s">
        <v>161</v>
      </c>
      <c r="M184" t="s">
        <v>161</v>
      </c>
      <c r="N184">
        <v>10.98</v>
      </c>
      <c r="O184" t="s">
        <v>163</v>
      </c>
      <c r="P184" t="s">
        <v>163</v>
      </c>
      <c r="Q184" t="s">
        <v>163</v>
      </c>
      <c r="R184" t="s">
        <v>163</v>
      </c>
      <c r="S184" t="s">
        <v>163</v>
      </c>
      <c r="T184" t="s">
        <v>163</v>
      </c>
      <c r="U184" t="s">
        <v>163</v>
      </c>
      <c r="V184" t="s">
        <v>163</v>
      </c>
      <c r="W184" t="s">
        <v>165</v>
      </c>
      <c r="X184" t="s">
        <v>165</v>
      </c>
      <c r="Y184">
        <v>1</v>
      </c>
      <c r="Z184" t="s">
        <v>163</v>
      </c>
      <c r="AA184">
        <v>1</v>
      </c>
      <c r="AB184">
        <v>2</v>
      </c>
      <c r="AC184">
        <v>0</v>
      </c>
      <c r="AD184" t="s">
        <v>163</v>
      </c>
      <c r="AE184" t="s">
        <v>163</v>
      </c>
      <c r="AF184" t="s">
        <v>163</v>
      </c>
      <c r="AG184" t="s">
        <v>163</v>
      </c>
      <c r="AH184" t="s">
        <v>163</v>
      </c>
      <c r="AI184" t="s">
        <v>163</v>
      </c>
      <c r="AJ184" t="s">
        <v>163</v>
      </c>
      <c r="AK184">
        <v>3</v>
      </c>
      <c r="AL184">
        <v>4</v>
      </c>
      <c r="AM184" t="s">
        <v>163</v>
      </c>
      <c r="AN184">
        <v>1</v>
      </c>
      <c r="AO184">
        <v>1</v>
      </c>
      <c r="AP184">
        <v>2</v>
      </c>
      <c r="AQ184">
        <v>2</v>
      </c>
      <c r="AR184">
        <v>5</v>
      </c>
      <c r="AS184">
        <v>6</v>
      </c>
    </row>
    <row r="185" spans="1:45" x14ac:dyDescent="0.35">
      <c r="A185" s="337">
        <v>46266</v>
      </c>
      <c r="B185" s="337">
        <v>46277</v>
      </c>
      <c r="C185" s="337">
        <v>46275</v>
      </c>
      <c r="D185" t="s">
        <v>128</v>
      </c>
      <c r="E185" s="339">
        <v>0.625</v>
      </c>
      <c r="F185">
        <v>1</v>
      </c>
      <c r="G185" t="s">
        <v>158</v>
      </c>
      <c r="H185">
        <v>0.01</v>
      </c>
      <c r="I185" t="s">
        <v>165</v>
      </c>
      <c r="J185" t="s">
        <v>165</v>
      </c>
      <c r="K185" t="s">
        <v>165</v>
      </c>
      <c r="L185" t="s">
        <v>161</v>
      </c>
      <c r="M185" t="s">
        <v>161</v>
      </c>
      <c r="N185">
        <v>11.16</v>
      </c>
      <c r="O185" t="s">
        <v>163</v>
      </c>
      <c r="P185" t="s">
        <v>163</v>
      </c>
      <c r="Q185" t="s">
        <v>163</v>
      </c>
      <c r="R185" t="s">
        <v>163</v>
      </c>
      <c r="S185" t="s">
        <v>163</v>
      </c>
      <c r="T185" t="s">
        <v>163</v>
      </c>
      <c r="U185" t="s">
        <v>163</v>
      </c>
      <c r="V185" t="s">
        <v>163</v>
      </c>
      <c r="W185" t="s">
        <v>165</v>
      </c>
      <c r="X185" t="s">
        <v>165</v>
      </c>
      <c r="Y185">
        <v>1</v>
      </c>
      <c r="Z185">
        <v>2</v>
      </c>
      <c r="AA185">
        <v>1</v>
      </c>
      <c r="AB185">
        <v>2</v>
      </c>
      <c r="AC185">
        <v>1</v>
      </c>
      <c r="AD185" t="s">
        <v>163</v>
      </c>
      <c r="AE185" t="s">
        <v>163</v>
      </c>
      <c r="AF185" t="s">
        <v>163</v>
      </c>
      <c r="AG185" t="s">
        <v>163</v>
      </c>
      <c r="AH185" t="s">
        <v>163</v>
      </c>
      <c r="AI185" t="s">
        <v>163</v>
      </c>
      <c r="AJ185" t="s">
        <v>163</v>
      </c>
      <c r="AK185">
        <v>6</v>
      </c>
      <c r="AL185">
        <v>6</v>
      </c>
      <c r="AM185" t="s">
        <v>163</v>
      </c>
      <c r="AN185">
        <v>1</v>
      </c>
      <c r="AO185">
        <v>1</v>
      </c>
      <c r="AP185">
        <v>2</v>
      </c>
      <c r="AQ185">
        <v>2</v>
      </c>
      <c r="AR185">
        <v>8</v>
      </c>
      <c r="AS185">
        <v>8</v>
      </c>
    </row>
    <row r="186" spans="1:45" x14ac:dyDescent="0.35">
      <c r="A186" s="337">
        <v>46266</v>
      </c>
      <c r="B186" s="337">
        <v>46277</v>
      </c>
      <c r="C186" s="337">
        <v>46275</v>
      </c>
      <c r="D186" t="s">
        <v>128</v>
      </c>
      <c r="E186" s="339">
        <v>0.58333333333333337</v>
      </c>
      <c r="F186">
        <v>1</v>
      </c>
      <c r="G186" t="s">
        <v>158</v>
      </c>
      <c r="H186">
        <v>0.01</v>
      </c>
      <c r="I186" t="s">
        <v>165</v>
      </c>
      <c r="J186" t="s">
        <v>165</v>
      </c>
      <c r="K186" t="s">
        <v>165</v>
      </c>
      <c r="L186" t="s">
        <v>161</v>
      </c>
      <c r="M186" t="s">
        <v>161</v>
      </c>
      <c r="N186">
        <v>11.28</v>
      </c>
      <c r="O186">
        <v>8.4600000000000009</v>
      </c>
      <c r="P186">
        <v>0.53</v>
      </c>
      <c r="Q186" t="s">
        <v>163</v>
      </c>
      <c r="R186" t="s">
        <v>163</v>
      </c>
      <c r="S186" t="s">
        <v>163</v>
      </c>
      <c r="T186">
        <v>22.7</v>
      </c>
      <c r="U186" t="s">
        <v>163</v>
      </c>
      <c r="V186" t="s">
        <v>163</v>
      </c>
      <c r="W186" t="s">
        <v>165</v>
      </c>
      <c r="X186" t="s">
        <v>165</v>
      </c>
      <c r="Y186">
        <v>1</v>
      </c>
      <c r="Z186">
        <v>2</v>
      </c>
      <c r="AA186">
        <v>1</v>
      </c>
      <c r="AB186">
        <v>2</v>
      </c>
      <c r="AC186">
        <v>1</v>
      </c>
      <c r="AD186">
        <v>0</v>
      </c>
      <c r="AE186">
        <v>2</v>
      </c>
      <c r="AF186" t="s">
        <v>163</v>
      </c>
      <c r="AG186" t="s">
        <v>163</v>
      </c>
      <c r="AH186" t="s">
        <v>163</v>
      </c>
      <c r="AI186">
        <v>2</v>
      </c>
      <c r="AJ186" t="s">
        <v>163</v>
      </c>
      <c r="AK186">
        <v>10</v>
      </c>
      <c r="AL186">
        <v>11</v>
      </c>
      <c r="AM186" t="s">
        <v>163</v>
      </c>
      <c r="AN186">
        <v>1</v>
      </c>
      <c r="AO186">
        <v>1</v>
      </c>
      <c r="AP186">
        <v>2</v>
      </c>
      <c r="AQ186">
        <v>2</v>
      </c>
      <c r="AR186">
        <v>12</v>
      </c>
      <c r="AS186">
        <v>13</v>
      </c>
    </row>
    <row r="187" spans="1:45" x14ac:dyDescent="0.35">
      <c r="A187" s="337">
        <v>46266</v>
      </c>
      <c r="B187" s="337">
        <v>46276</v>
      </c>
      <c r="C187" s="337">
        <v>46270</v>
      </c>
      <c r="D187" t="s">
        <v>130</v>
      </c>
      <c r="E187" s="338">
        <v>1.2083333333333333</v>
      </c>
      <c r="F187">
        <v>3</v>
      </c>
      <c r="G187" t="s">
        <v>119</v>
      </c>
      <c r="H187">
        <v>0.02</v>
      </c>
      <c r="I187" t="s">
        <v>165</v>
      </c>
      <c r="J187" t="s">
        <v>165</v>
      </c>
      <c r="K187" t="s">
        <v>165</v>
      </c>
      <c r="L187" t="s">
        <v>161</v>
      </c>
      <c r="M187" t="s">
        <v>161</v>
      </c>
      <c r="N187">
        <v>10.71</v>
      </c>
      <c r="O187" t="s">
        <v>163</v>
      </c>
      <c r="P187" t="s">
        <v>163</v>
      </c>
      <c r="Q187" t="s">
        <v>163</v>
      </c>
      <c r="R187" t="s">
        <v>163</v>
      </c>
      <c r="S187" t="s">
        <v>163</v>
      </c>
      <c r="T187" t="s">
        <v>163</v>
      </c>
      <c r="U187" t="s">
        <v>163</v>
      </c>
      <c r="V187" t="s">
        <v>163</v>
      </c>
      <c r="W187" t="s">
        <v>165</v>
      </c>
      <c r="X187" t="s">
        <v>165</v>
      </c>
      <c r="Y187">
        <v>1</v>
      </c>
      <c r="Z187">
        <v>2</v>
      </c>
      <c r="AA187">
        <v>1</v>
      </c>
      <c r="AB187">
        <v>2</v>
      </c>
      <c r="AC187">
        <v>0</v>
      </c>
      <c r="AD187" t="s">
        <v>163</v>
      </c>
      <c r="AE187" t="s">
        <v>163</v>
      </c>
      <c r="AF187" t="s">
        <v>163</v>
      </c>
      <c r="AG187" t="s">
        <v>163</v>
      </c>
      <c r="AH187" t="s">
        <v>163</v>
      </c>
      <c r="AI187" t="s">
        <v>163</v>
      </c>
      <c r="AJ187" t="s">
        <v>163</v>
      </c>
      <c r="AK187">
        <v>5</v>
      </c>
      <c r="AL187">
        <v>6</v>
      </c>
      <c r="AM187" t="s">
        <v>163</v>
      </c>
      <c r="AN187">
        <v>1</v>
      </c>
      <c r="AO187">
        <v>1</v>
      </c>
      <c r="AP187">
        <v>2</v>
      </c>
      <c r="AQ187">
        <v>2</v>
      </c>
      <c r="AR187">
        <v>7</v>
      </c>
      <c r="AS187">
        <v>8</v>
      </c>
    </row>
    <row r="188" spans="1:45" x14ac:dyDescent="0.35">
      <c r="A188" s="337">
        <v>46266</v>
      </c>
      <c r="B188" s="337">
        <v>46276</v>
      </c>
      <c r="C188" s="337">
        <v>46270</v>
      </c>
      <c r="D188" t="s">
        <v>130</v>
      </c>
      <c r="E188" s="338">
        <v>1.125</v>
      </c>
      <c r="F188">
        <v>3</v>
      </c>
      <c r="G188" t="s">
        <v>119</v>
      </c>
      <c r="H188">
        <v>0.02</v>
      </c>
      <c r="I188" t="s">
        <v>165</v>
      </c>
      <c r="J188" t="s">
        <v>165</v>
      </c>
      <c r="K188" t="s">
        <v>165</v>
      </c>
      <c r="L188" t="s">
        <v>161</v>
      </c>
      <c r="M188" t="s">
        <v>161</v>
      </c>
      <c r="N188" t="s">
        <v>163</v>
      </c>
      <c r="O188" t="s">
        <v>163</v>
      </c>
      <c r="P188" t="s">
        <v>163</v>
      </c>
      <c r="Q188" t="s">
        <v>163</v>
      </c>
      <c r="R188" t="s">
        <v>163</v>
      </c>
      <c r="S188" t="s">
        <v>163</v>
      </c>
      <c r="T188" t="s">
        <v>163</v>
      </c>
      <c r="U188" t="s">
        <v>163</v>
      </c>
      <c r="V188" t="s">
        <v>163</v>
      </c>
      <c r="W188" t="s">
        <v>165</v>
      </c>
      <c r="X188" t="s">
        <v>165</v>
      </c>
      <c r="Y188">
        <v>1</v>
      </c>
      <c r="Z188">
        <v>2</v>
      </c>
      <c r="AA188">
        <v>1</v>
      </c>
      <c r="AB188">
        <v>2</v>
      </c>
      <c r="AC188" t="s">
        <v>163</v>
      </c>
      <c r="AD188" t="s">
        <v>163</v>
      </c>
      <c r="AE188" t="s">
        <v>163</v>
      </c>
      <c r="AF188" t="s">
        <v>163</v>
      </c>
      <c r="AG188" t="s">
        <v>163</v>
      </c>
      <c r="AH188" t="s">
        <v>163</v>
      </c>
      <c r="AI188" t="s">
        <v>163</v>
      </c>
      <c r="AJ188" t="s">
        <v>163</v>
      </c>
      <c r="AK188">
        <v>5</v>
      </c>
      <c r="AL188">
        <v>5</v>
      </c>
      <c r="AM188" t="s">
        <v>163</v>
      </c>
      <c r="AN188">
        <v>1</v>
      </c>
      <c r="AO188">
        <v>1</v>
      </c>
      <c r="AP188">
        <v>2</v>
      </c>
      <c r="AQ188">
        <v>2</v>
      </c>
      <c r="AR188">
        <v>7</v>
      </c>
      <c r="AS188">
        <v>7</v>
      </c>
    </row>
    <row r="189" spans="1:45" x14ac:dyDescent="0.35">
      <c r="A189" s="337">
        <v>46266</v>
      </c>
      <c r="B189" s="337">
        <v>46276</v>
      </c>
      <c r="C189" s="337">
        <v>46270</v>
      </c>
      <c r="D189" t="s">
        <v>130</v>
      </c>
      <c r="E189" s="338">
        <v>1.0416666666666667</v>
      </c>
      <c r="F189">
        <v>3</v>
      </c>
      <c r="G189" t="s">
        <v>119</v>
      </c>
      <c r="H189" t="s">
        <v>163</v>
      </c>
      <c r="I189" t="s">
        <v>165</v>
      </c>
      <c r="J189" t="s">
        <v>165</v>
      </c>
      <c r="K189" t="s">
        <v>165</v>
      </c>
      <c r="L189" t="s">
        <v>161</v>
      </c>
      <c r="M189" t="s">
        <v>161</v>
      </c>
      <c r="N189">
        <v>10.9</v>
      </c>
      <c r="O189" t="s">
        <v>163</v>
      </c>
      <c r="P189" t="s">
        <v>163</v>
      </c>
      <c r="Q189" t="s">
        <v>163</v>
      </c>
      <c r="R189" t="s">
        <v>163</v>
      </c>
      <c r="S189" t="s">
        <v>163</v>
      </c>
      <c r="T189" t="s">
        <v>163</v>
      </c>
      <c r="U189" t="s">
        <v>163</v>
      </c>
      <c r="V189" t="s">
        <v>163</v>
      </c>
      <c r="W189" t="s">
        <v>165</v>
      </c>
      <c r="X189" t="s">
        <v>165</v>
      </c>
      <c r="Y189">
        <v>1</v>
      </c>
      <c r="Z189" t="s">
        <v>163</v>
      </c>
      <c r="AA189">
        <v>1</v>
      </c>
      <c r="AB189">
        <v>2</v>
      </c>
      <c r="AC189">
        <v>0</v>
      </c>
      <c r="AD189" t="s">
        <v>163</v>
      </c>
      <c r="AE189" t="s">
        <v>163</v>
      </c>
      <c r="AF189" t="s">
        <v>163</v>
      </c>
      <c r="AG189" t="s">
        <v>163</v>
      </c>
      <c r="AH189" t="s">
        <v>163</v>
      </c>
      <c r="AI189" t="s">
        <v>163</v>
      </c>
      <c r="AJ189" t="s">
        <v>163</v>
      </c>
      <c r="AK189">
        <v>3</v>
      </c>
      <c r="AL189">
        <v>4</v>
      </c>
      <c r="AM189" t="s">
        <v>163</v>
      </c>
      <c r="AN189">
        <v>1</v>
      </c>
      <c r="AO189">
        <v>1</v>
      </c>
      <c r="AP189">
        <v>2</v>
      </c>
      <c r="AQ189">
        <v>2</v>
      </c>
      <c r="AR189">
        <v>5</v>
      </c>
      <c r="AS189">
        <v>6</v>
      </c>
    </row>
    <row r="190" spans="1:45" x14ac:dyDescent="0.35">
      <c r="A190" s="337">
        <v>46266</v>
      </c>
      <c r="B190" s="337">
        <v>46276</v>
      </c>
      <c r="C190" s="337">
        <v>46270</v>
      </c>
      <c r="D190" t="s">
        <v>130</v>
      </c>
      <c r="E190" s="337">
        <v>1</v>
      </c>
      <c r="F190">
        <v>3</v>
      </c>
      <c r="G190" t="s">
        <v>119</v>
      </c>
      <c r="H190">
        <v>0.02</v>
      </c>
      <c r="I190" t="s">
        <v>165</v>
      </c>
      <c r="J190" t="s">
        <v>165</v>
      </c>
      <c r="K190" t="s">
        <v>165</v>
      </c>
      <c r="L190" t="s">
        <v>161</v>
      </c>
      <c r="M190" t="s">
        <v>161</v>
      </c>
      <c r="N190">
        <v>10.83</v>
      </c>
      <c r="O190" t="s">
        <v>163</v>
      </c>
      <c r="P190" t="s">
        <v>163</v>
      </c>
      <c r="Q190">
        <v>0.56000000000000005</v>
      </c>
      <c r="R190" t="s">
        <v>163</v>
      </c>
      <c r="S190" t="s">
        <v>163</v>
      </c>
      <c r="T190" t="s">
        <v>163</v>
      </c>
      <c r="U190" t="s">
        <v>163</v>
      </c>
      <c r="V190" t="s">
        <v>163</v>
      </c>
      <c r="W190" t="s">
        <v>165</v>
      </c>
      <c r="X190" t="s">
        <v>165</v>
      </c>
      <c r="Y190">
        <v>1</v>
      </c>
      <c r="Z190">
        <v>2</v>
      </c>
      <c r="AA190">
        <v>1</v>
      </c>
      <c r="AB190">
        <v>2</v>
      </c>
      <c r="AC190">
        <v>0</v>
      </c>
      <c r="AD190" t="s">
        <v>163</v>
      </c>
      <c r="AE190" t="s">
        <v>163</v>
      </c>
      <c r="AF190">
        <v>0</v>
      </c>
      <c r="AG190" t="s">
        <v>163</v>
      </c>
      <c r="AH190" t="s">
        <v>163</v>
      </c>
      <c r="AI190" t="s">
        <v>163</v>
      </c>
      <c r="AJ190" t="s">
        <v>163</v>
      </c>
      <c r="AK190">
        <v>5</v>
      </c>
      <c r="AL190">
        <v>8</v>
      </c>
      <c r="AM190" t="s">
        <v>163</v>
      </c>
      <c r="AN190">
        <v>1</v>
      </c>
      <c r="AO190">
        <v>1</v>
      </c>
      <c r="AP190">
        <v>2</v>
      </c>
      <c r="AQ190">
        <v>2</v>
      </c>
      <c r="AR190">
        <v>7</v>
      </c>
      <c r="AS190">
        <v>10</v>
      </c>
    </row>
    <row r="191" spans="1:45" x14ac:dyDescent="0.35">
      <c r="A191" s="337">
        <v>46266</v>
      </c>
      <c r="B191" s="337">
        <v>46276</v>
      </c>
      <c r="C191" s="337">
        <v>46270</v>
      </c>
      <c r="D191" t="s">
        <v>130</v>
      </c>
      <c r="E191" s="339">
        <v>0.95833333333333337</v>
      </c>
      <c r="F191">
        <v>3</v>
      </c>
      <c r="G191" t="s">
        <v>117</v>
      </c>
      <c r="H191">
        <v>0.01</v>
      </c>
      <c r="I191" t="s">
        <v>165</v>
      </c>
      <c r="J191" t="s">
        <v>165</v>
      </c>
      <c r="K191" t="s">
        <v>165</v>
      </c>
      <c r="L191" t="s">
        <v>161</v>
      </c>
      <c r="M191" t="s">
        <v>161</v>
      </c>
      <c r="N191">
        <v>11.2</v>
      </c>
      <c r="O191">
        <v>12.29</v>
      </c>
      <c r="P191">
        <v>0.56000000000000005</v>
      </c>
      <c r="Q191">
        <v>66.2</v>
      </c>
      <c r="R191" t="s">
        <v>163</v>
      </c>
      <c r="S191" t="s">
        <v>163</v>
      </c>
      <c r="T191">
        <v>34.299999999999997</v>
      </c>
      <c r="U191" t="s">
        <v>163</v>
      </c>
      <c r="V191" t="s">
        <v>163</v>
      </c>
      <c r="W191" t="s">
        <v>165</v>
      </c>
      <c r="X191" t="s">
        <v>165</v>
      </c>
      <c r="Y191">
        <v>1</v>
      </c>
      <c r="Z191">
        <v>2</v>
      </c>
      <c r="AA191">
        <v>1</v>
      </c>
      <c r="AB191">
        <v>2</v>
      </c>
      <c r="AC191">
        <v>0</v>
      </c>
      <c r="AD191">
        <v>1</v>
      </c>
      <c r="AE191">
        <v>2</v>
      </c>
      <c r="AF191">
        <v>2</v>
      </c>
      <c r="AG191" t="s">
        <v>163</v>
      </c>
      <c r="AH191" t="s">
        <v>163</v>
      </c>
      <c r="AI191">
        <v>2</v>
      </c>
      <c r="AJ191" t="s">
        <v>163</v>
      </c>
      <c r="AK191">
        <v>12</v>
      </c>
      <c r="AL191">
        <v>13</v>
      </c>
      <c r="AM191" t="s">
        <v>163</v>
      </c>
      <c r="AN191">
        <v>1</v>
      </c>
      <c r="AO191">
        <v>1</v>
      </c>
      <c r="AP191">
        <v>2</v>
      </c>
      <c r="AQ191">
        <v>2</v>
      </c>
      <c r="AR191">
        <v>14</v>
      </c>
      <c r="AS191">
        <v>15</v>
      </c>
    </row>
    <row r="192" spans="1:45" x14ac:dyDescent="0.35">
      <c r="A192" s="337">
        <v>46266</v>
      </c>
      <c r="B192" s="337">
        <v>46276</v>
      </c>
      <c r="C192" s="337">
        <v>816</v>
      </c>
      <c r="D192" t="s">
        <v>130</v>
      </c>
      <c r="E192" s="338">
        <v>1.2083333333333333</v>
      </c>
      <c r="F192">
        <v>2</v>
      </c>
      <c r="G192" t="s">
        <v>39</v>
      </c>
      <c r="H192" t="s">
        <v>163</v>
      </c>
      <c r="I192" t="s">
        <v>165</v>
      </c>
      <c r="J192" t="s">
        <v>165</v>
      </c>
      <c r="K192" t="s">
        <v>165</v>
      </c>
      <c r="L192" t="s">
        <v>163</v>
      </c>
      <c r="M192" t="s">
        <v>161</v>
      </c>
      <c r="N192">
        <v>10.57</v>
      </c>
      <c r="O192" t="s">
        <v>163</v>
      </c>
      <c r="P192" t="s">
        <v>163</v>
      </c>
      <c r="Q192" t="s">
        <v>163</v>
      </c>
      <c r="R192" t="s">
        <v>163</v>
      </c>
      <c r="S192" t="s">
        <v>163</v>
      </c>
      <c r="T192" t="s">
        <v>163</v>
      </c>
      <c r="U192" t="s">
        <v>163</v>
      </c>
      <c r="V192" t="s">
        <v>163</v>
      </c>
      <c r="W192" t="s">
        <v>165</v>
      </c>
      <c r="X192" t="s">
        <v>165</v>
      </c>
      <c r="Y192" t="s">
        <v>163</v>
      </c>
      <c r="Z192" t="s">
        <v>163</v>
      </c>
      <c r="AA192">
        <v>1</v>
      </c>
      <c r="AB192">
        <v>2</v>
      </c>
      <c r="AC192">
        <v>0</v>
      </c>
      <c r="AD192" t="s">
        <v>163</v>
      </c>
      <c r="AE192" t="s">
        <v>163</v>
      </c>
      <c r="AF192" t="s">
        <v>163</v>
      </c>
      <c r="AG192" t="s">
        <v>163</v>
      </c>
      <c r="AH192" t="s">
        <v>163</v>
      </c>
      <c r="AI192" t="s">
        <v>163</v>
      </c>
      <c r="AJ192" t="s">
        <v>163</v>
      </c>
      <c r="AK192">
        <v>3</v>
      </c>
      <c r="AL192">
        <v>4</v>
      </c>
      <c r="AM192" t="s">
        <v>163</v>
      </c>
      <c r="AN192">
        <v>1</v>
      </c>
      <c r="AO192">
        <v>1</v>
      </c>
      <c r="AP192">
        <v>2</v>
      </c>
      <c r="AQ192">
        <v>2</v>
      </c>
      <c r="AR192">
        <v>5</v>
      </c>
      <c r="AS192">
        <v>6</v>
      </c>
    </row>
    <row r="193" spans="1:45" x14ac:dyDescent="0.35">
      <c r="A193" s="337">
        <v>46266</v>
      </c>
      <c r="B193" s="337">
        <v>46276</v>
      </c>
      <c r="C193" s="337">
        <v>816</v>
      </c>
      <c r="D193" t="s">
        <v>130</v>
      </c>
      <c r="E193" s="338">
        <v>1.1666666666666667</v>
      </c>
      <c r="F193">
        <v>2</v>
      </c>
      <c r="G193" t="s">
        <v>39</v>
      </c>
      <c r="H193" t="s">
        <v>163</v>
      </c>
      <c r="I193" t="s">
        <v>165</v>
      </c>
      <c r="J193" t="s">
        <v>165</v>
      </c>
      <c r="K193" t="s">
        <v>165</v>
      </c>
      <c r="L193" t="s">
        <v>163</v>
      </c>
      <c r="M193" t="s">
        <v>161</v>
      </c>
      <c r="N193">
        <v>10.56</v>
      </c>
      <c r="O193" t="s">
        <v>163</v>
      </c>
      <c r="P193" t="s">
        <v>163</v>
      </c>
      <c r="Q193" t="s">
        <v>163</v>
      </c>
      <c r="R193" t="s">
        <v>163</v>
      </c>
      <c r="S193" t="s">
        <v>163</v>
      </c>
      <c r="T193" t="s">
        <v>163</v>
      </c>
      <c r="U193" t="s">
        <v>163</v>
      </c>
      <c r="V193" t="s">
        <v>163</v>
      </c>
      <c r="W193" t="s">
        <v>165</v>
      </c>
      <c r="X193" t="s">
        <v>165</v>
      </c>
      <c r="Y193">
        <v>1</v>
      </c>
      <c r="Z193" t="s">
        <v>163</v>
      </c>
      <c r="AA193">
        <v>1</v>
      </c>
      <c r="AB193">
        <v>2</v>
      </c>
      <c r="AC193">
        <v>0</v>
      </c>
      <c r="AD193" t="s">
        <v>163</v>
      </c>
      <c r="AE193" t="s">
        <v>163</v>
      </c>
      <c r="AF193" t="s">
        <v>163</v>
      </c>
      <c r="AG193" t="s">
        <v>163</v>
      </c>
      <c r="AH193" t="s">
        <v>163</v>
      </c>
      <c r="AI193" t="s">
        <v>163</v>
      </c>
      <c r="AJ193" t="s">
        <v>163</v>
      </c>
      <c r="AK193">
        <v>3</v>
      </c>
      <c r="AL193">
        <v>4</v>
      </c>
      <c r="AM193" t="s">
        <v>163</v>
      </c>
      <c r="AN193">
        <v>1</v>
      </c>
      <c r="AO193">
        <v>1</v>
      </c>
      <c r="AP193">
        <v>2</v>
      </c>
      <c r="AQ193">
        <v>2</v>
      </c>
      <c r="AR193">
        <v>5</v>
      </c>
      <c r="AS193">
        <v>6</v>
      </c>
    </row>
    <row r="194" spans="1:45" x14ac:dyDescent="0.35">
      <c r="A194" s="337">
        <v>46266</v>
      </c>
      <c r="B194" s="337">
        <v>46276</v>
      </c>
      <c r="C194" s="337">
        <v>816</v>
      </c>
      <c r="D194" t="s">
        <v>130</v>
      </c>
      <c r="E194" s="338">
        <v>1.125</v>
      </c>
      <c r="F194">
        <v>2</v>
      </c>
      <c r="G194" t="s">
        <v>138</v>
      </c>
      <c r="H194" t="s">
        <v>163</v>
      </c>
      <c r="I194" t="s">
        <v>165</v>
      </c>
      <c r="J194" t="s">
        <v>165</v>
      </c>
      <c r="K194" t="s">
        <v>165</v>
      </c>
      <c r="L194" t="s">
        <v>163</v>
      </c>
      <c r="M194" t="s">
        <v>161</v>
      </c>
      <c r="N194">
        <v>10.36</v>
      </c>
      <c r="O194" t="s">
        <v>163</v>
      </c>
      <c r="P194" t="s">
        <v>163</v>
      </c>
      <c r="Q194" t="s">
        <v>163</v>
      </c>
      <c r="R194" t="s">
        <v>163</v>
      </c>
      <c r="S194" t="s">
        <v>163</v>
      </c>
      <c r="T194" t="s">
        <v>163</v>
      </c>
      <c r="U194" t="s">
        <v>163</v>
      </c>
      <c r="V194" t="s">
        <v>163</v>
      </c>
      <c r="W194" t="s">
        <v>165</v>
      </c>
      <c r="X194" t="s">
        <v>165</v>
      </c>
      <c r="Y194">
        <v>1</v>
      </c>
      <c r="Z194" t="s">
        <v>163</v>
      </c>
      <c r="AA194">
        <v>1</v>
      </c>
      <c r="AB194">
        <v>2</v>
      </c>
      <c r="AC194">
        <v>0</v>
      </c>
      <c r="AD194" t="s">
        <v>163</v>
      </c>
      <c r="AE194" t="s">
        <v>163</v>
      </c>
      <c r="AF194" t="s">
        <v>163</v>
      </c>
      <c r="AG194" t="s">
        <v>163</v>
      </c>
      <c r="AH194" t="s">
        <v>163</v>
      </c>
      <c r="AI194" t="s">
        <v>163</v>
      </c>
      <c r="AJ194" t="s">
        <v>163</v>
      </c>
      <c r="AK194">
        <v>3</v>
      </c>
      <c r="AL194">
        <v>4</v>
      </c>
      <c r="AM194" t="s">
        <v>163</v>
      </c>
      <c r="AN194">
        <v>1</v>
      </c>
      <c r="AO194">
        <v>1</v>
      </c>
      <c r="AP194">
        <v>2</v>
      </c>
      <c r="AQ194">
        <v>2</v>
      </c>
      <c r="AR194">
        <v>5</v>
      </c>
      <c r="AS194">
        <v>6</v>
      </c>
    </row>
    <row r="195" spans="1:45" x14ac:dyDescent="0.35">
      <c r="A195" s="337">
        <v>46266</v>
      </c>
      <c r="B195" s="337">
        <v>46276</v>
      </c>
      <c r="C195" s="337">
        <v>816</v>
      </c>
      <c r="D195" t="s">
        <v>130</v>
      </c>
      <c r="E195" s="338">
        <v>1.0833333333333333</v>
      </c>
      <c r="F195">
        <v>2</v>
      </c>
      <c r="G195" t="s">
        <v>138</v>
      </c>
      <c r="H195" t="s">
        <v>163</v>
      </c>
      <c r="I195" t="s">
        <v>165</v>
      </c>
      <c r="J195" t="s">
        <v>165</v>
      </c>
      <c r="K195" t="s">
        <v>165</v>
      </c>
      <c r="L195" t="s">
        <v>163</v>
      </c>
      <c r="M195" t="s">
        <v>161</v>
      </c>
      <c r="N195">
        <v>10.56</v>
      </c>
      <c r="O195" t="s">
        <v>163</v>
      </c>
      <c r="P195" t="s">
        <v>163</v>
      </c>
      <c r="Q195" t="s">
        <v>163</v>
      </c>
      <c r="R195" t="s">
        <v>163</v>
      </c>
      <c r="S195" t="s">
        <v>163</v>
      </c>
      <c r="T195" t="s">
        <v>163</v>
      </c>
      <c r="U195" t="s">
        <v>163</v>
      </c>
      <c r="V195" t="s">
        <v>163</v>
      </c>
      <c r="W195" t="s">
        <v>165</v>
      </c>
      <c r="X195" t="s">
        <v>165</v>
      </c>
      <c r="Y195">
        <v>1</v>
      </c>
      <c r="Z195" t="s">
        <v>163</v>
      </c>
      <c r="AA195">
        <v>1</v>
      </c>
      <c r="AB195">
        <v>2</v>
      </c>
      <c r="AC195">
        <v>0</v>
      </c>
      <c r="AD195" t="s">
        <v>163</v>
      </c>
      <c r="AE195" t="s">
        <v>163</v>
      </c>
      <c r="AF195" t="s">
        <v>163</v>
      </c>
      <c r="AG195" t="s">
        <v>163</v>
      </c>
      <c r="AH195" t="s">
        <v>163</v>
      </c>
      <c r="AI195" t="s">
        <v>163</v>
      </c>
      <c r="AJ195" t="s">
        <v>163</v>
      </c>
      <c r="AK195">
        <v>3</v>
      </c>
      <c r="AL195">
        <v>4</v>
      </c>
      <c r="AM195" t="s">
        <v>163</v>
      </c>
      <c r="AN195">
        <v>1</v>
      </c>
      <c r="AO195">
        <v>1</v>
      </c>
      <c r="AP195">
        <v>2</v>
      </c>
      <c r="AQ195">
        <v>2</v>
      </c>
      <c r="AR195">
        <v>5</v>
      </c>
      <c r="AS195">
        <v>6</v>
      </c>
    </row>
    <row r="196" spans="1:45" x14ac:dyDescent="0.35">
      <c r="A196" s="337">
        <v>46266</v>
      </c>
      <c r="B196" s="337">
        <v>46276</v>
      </c>
      <c r="C196" s="337">
        <v>816</v>
      </c>
      <c r="D196" t="s">
        <v>130</v>
      </c>
      <c r="E196" s="338">
        <v>1.0416666666666667</v>
      </c>
      <c r="F196">
        <v>2</v>
      </c>
      <c r="G196" t="s">
        <v>140</v>
      </c>
      <c r="H196" t="s">
        <v>163</v>
      </c>
      <c r="I196" t="s">
        <v>165</v>
      </c>
      <c r="J196" t="s">
        <v>165</v>
      </c>
      <c r="K196" t="s">
        <v>165</v>
      </c>
      <c r="L196" t="s">
        <v>163</v>
      </c>
      <c r="M196" t="s">
        <v>161</v>
      </c>
      <c r="N196">
        <v>10.37</v>
      </c>
      <c r="O196" t="s">
        <v>163</v>
      </c>
      <c r="P196" t="s">
        <v>163</v>
      </c>
      <c r="Q196" t="s">
        <v>163</v>
      </c>
      <c r="R196" t="s">
        <v>163</v>
      </c>
      <c r="S196" t="s">
        <v>163</v>
      </c>
      <c r="T196" t="s">
        <v>163</v>
      </c>
      <c r="U196" t="s">
        <v>163</v>
      </c>
      <c r="V196" t="s">
        <v>163</v>
      </c>
      <c r="W196" t="s">
        <v>165</v>
      </c>
      <c r="X196" t="s">
        <v>165</v>
      </c>
      <c r="Y196">
        <v>1</v>
      </c>
      <c r="Z196" t="s">
        <v>163</v>
      </c>
      <c r="AA196">
        <v>1</v>
      </c>
      <c r="AB196">
        <v>2</v>
      </c>
      <c r="AC196">
        <v>0</v>
      </c>
      <c r="AD196" t="s">
        <v>163</v>
      </c>
      <c r="AE196" t="s">
        <v>163</v>
      </c>
      <c r="AF196" t="s">
        <v>163</v>
      </c>
      <c r="AG196" t="s">
        <v>163</v>
      </c>
      <c r="AH196" t="s">
        <v>163</v>
      </c>
      <c r="AI196" t="s">
        <v>163</v>
      </c>
      <c r="AJ196" t="s">
        <v>163</v>
      </c>
      <c r="AK196">
        <v>3</v>
      </c>
      <c r="AL196">
        <v>4</v>
      </c>
      <c r="AM196" t="s">
        <v>163</v>
      </c>
      <c r="AN196">
        <v>1</v>
      </c>
      <c r="AO196">
        <v>1</v>
      </c>
      <c r="AP196">
        <v>2</v>
      </c>
      <c r="AQ196">
        <v>2</v>
      </c>
      <c r="AR196">
        <v>5</v>
      </c>
      <c r="AS196">
        <v>6</v>
      </c>
    </row>
    <row r="197" spans="1:45" x14ac:dyDescent="0.35">
      <c r="A197" s="337">
        <v>46266</v>
      </c>
      <c r="B197" s="337">
        <v>46276</v>
      </c>
      <c r="C197" s="337">
        <v>816</v>
      </c>
      <c r="D197" t="s">
        <v>130</v>
      </c>
      <c r="E197" s="337">
        <v>1</v>
      </c>
      <c r="F197">
        <v>2</v>
      </c>
      <c r="G197" t="s">
        <v>140</v>
      </c>
      <c r="H197" t="s">
        <v>163</v>
      </c>
      <c r="I197" t="s">
        <v>165</v>
      </c>
      <c r="J197" t="s">
        <v>165</v>
      </c>
      <c r="K197" t="s">
        <v>165</v>
      </c>
      <c r="L197" t="s">
        <v>163</v>
      </c>
      <c r="M197" t="s">
        <v>161</v>
      </c>
      <c r="N197">
        <v>10.42</v>
      </c>
      <c r="O197" t="s">
        <v>163</v>
      </c>
      <c r="P197" t="s">
        <v>163</v>
      </c>
      <c r="Q197" t="s">
        <v>163</v>
      </c>
      <c r="R197" t="s">
        <v>163</v>
      </c>
      <c r="S197" t="s">
        <v>163</v>
      </c>
      <c r="T197" t="s">
        <v>163</v>
      </c>
      <c r="U197" t="s">
        <v>163</v>
      </c>
      <c r="V197" t="s">
        <v>163</v>
      </c>
      <c r="W197" t="s">
        <v>165</v>
      </c>
      <c r="X197" t="s">
        <v>165</v>
      </c>
      <c r="Y197">
        <v>1</v>
      </c>
      <c r="Z197" t="s">
        <v>163</v>
      </c>
      <c r="AA197">
        <v>1</v>
      </c>
      <c r="AB197">
        <v>2</v>
      </c>
      <c r="AC197">
        <v>0</v>
      </c>
      <c r="AD197" t="s">
        <v>163</v>
      </c>
      <c r="AE197" t="s">
        <v>163</v>
      </c>
      <c r="AF197" t="s">
        <v>163</v>
      </c>
      <c r="AG197" t="s">
        <v>163</v>
      </c>
      <c r="AH197" t="s">
        <v>163</v>
      </c>
      <c r="AI197" t="s">
        <v>163</v>
      </c>
      <c r="AJ197" t="s">
        <v>163</v>
      </c>
      <c r="AK197">
        <v>3</v>
      </c>
      <c r="AL197">
        <v>4</v>
      </c>
      <c r="AM197" t="s">
        <v>163</v>
      </c>
      <c r="AN197">
        <v>1</v>
      </c>
      <c r="AO197">
        <v>1</v>
      </c>
      <c r="AP197">
        <v>2</v>
      </c>
      <c r="AQ197">
        <v>2</v>
      </c>
      <c r="AR197">
        <v>5</v>
      </c>
      <c r="AS197">
        <v>6</v>
      </c>
    </row>
    <row r="198" spans="1:45" x14ac:dyDescent="0.35">
      <c r="A198" s="337">
        <v>46266</v>
      </c>
      <c r="B198" s="337">
        <v>46276</v>
      </c>
      <c r="C198" s="337">
        <v>816</v>
      </c>
      <c r="D198" t="s">
        <v>130</v>
      </c>
      <c r="E198" s="339">
        <v>0.95833333333333337</v>
      </c>
      <c r="F198">
        <v>2</v>
      </c>
      <c r="G198" t="s">
        <v>140</v>
      </c>
      <c r="H198" t="s">
        <v>163</v>
      </c>
      <c r="I198" t="s">
        <v>165</v>
      </c>
      <c r="J198" t="s">
        <v>165</v>
      </c>
      <c r="K198" t="s">
        <v>165</v>
      </c>
      <c r="L198" t="s">
        <v>163</v>
      </c>
      <c r="M198" t="s">
        <v>161</v>
      </c>
      <c r="N198">
        <v>10.31</v>
      </c>
      <c r="O198" t="s">
        <v>163</v>
      </c>
      <c r="P198" t="s">
        <v>163</v>
      </c>
      <c r="Q198" t="s">
        <v>163</v>
      </c>
      <c r="R198" t="s">
        <v>163</v>
      </c>
      <c r="S198" t="s">
        <v>163</v>
      </c>
      <c r="T198" t="s">
        <v>163</v>
      </c>
      <c r="U198" t="s">
        <v>163</v>
      </c>
      <c r="V198" t="s">
        <v>163</v>
      </c>
      <c r="W198" t="s">
        <v>165</v>
      </c>
      <c r="X198" t="s">
        <v>165</v>
      </c>
      <c r="Y198">
        <v>1</v>
      </c>
      <c r="Z198" t="s">
        <v>163</v>
      </c>
      <c r="AA198">
        <v>1</v>
      </c>
      <c r="AB198">
        <v>2</v>
      </c>
      <c r="AC198">
        <v>0</v>
      </c>
      <c r="AD198" t="s">
        <v>163</v>
      </c>
      <c r="AE198" t="s">
        <v>163</v>
      </c>
      <c r="AF198" t="s">
        <v>163</v>
      </c>
      <c r="AG198" t="s">
        <v>163</v>
      </c>
      <c r="AH198" t="s">
        <v>163</v>
      </c>
      <c r="AI198" t="s">
        <v>163</v>
      </c>
      <c r="AJ198" t="s">
        <v>163</v>
      </c>
      <c r="AK198">
        <v>3</v>
      </c>
      <c r="AL198">
        <v>4</v>
      </c>
      <c r="AM198" t="s">
        <v>163</v>
      </c>
      <c r="AN198">
        <v>1</v>
      </c>
      <c r="AO198">
        <v>1</v>
      </c>
      <c r="AP198">
        <v>2</v>
      </c>
      <c r="AQ198">
        <v>2</v>
      </c>
      <c r="AR198">
        <v>5</v>
      </c>
      <c r="AS198">
        <v>6</v>
      </c>
    </row>
    <row r="199" spans="1:45" x14ac:dyDescent="0.35">
      <c r="A199" s="337">
        <v>46266</v>
      </c>
      <c r="B199" s="337">
        <v>46276</v>
      </c>
      <c r="C199" s="337">
        <v>816</v>
      </c>
      <c r="D199" t="s">
        <v>130</v>
      </c>
      <c r="E199" s="339">
        <v>0.91666666666666663</v>
      </c>
      <c r="F199">
        <v>2</v>
      </c>
      <c r="G199" t="s">
        <v>140</v>
      </c>
      <c r="H199" t="s">
        <v>163</v>
      </c>
      <c r="I199" t="s">
        <v>165</v>
      </c>
      <c r="J199" t="s">
        <v>165</v>
      </c>
      <c r="K199" t="s">
        <v>165</v>
      </c>
      <c r="L199" t="s">
        <v>163</v>
      </c>
      <c r="M199" t="s">
        <v>161</v>
      </c>
      <c r="N199">
        <v>10.4</v>
      </c>
      <c r="O199" t="s">
        <v>163</v>
      </c>
      <c r="P199" t="s">
        <v>163</v>
      </c>
      <c r="Q199" t="s">
        <v>163</v>
      </c>
      <c r="R199" t="s">
        <v>163</v>
      </c>
      <c r="S199" t="s">
        <v>163</v>
      </c>
      <c r="T199" t="s">
        <v>163</v>
      </c>
      <c r="U199" t="s">
        <v>163</v>
      </c>
      <c r="V199" t="s">
        <v>163</v>
      </c>
      <c r="W199" t="s">
        <v>165</v>
      </c>
      <c r="X199" t="s">
        <v>165</v>
      </c>
      <c r="Y199">
        <v>1</v>
      </c>
      <c r="Z199" t="s">
        <v>163</v>
      </c>
      <c r="AA199">
        <v>1</v>
      </c>
      <c r="AB199">
        <v>2</v>
      </c>
      <c r="AC199">
        <v>0</v>
      </c>
      <c r="AD199" t="s">
        <v>163</v>
      </c>
      <c r="AE199" t="s">
        <v>163</v>
      </c>
      <c r="AF199" t="s">
        <v>163</v>
      </c>
      <c r="AG199" t="s">
        <v>163</v>
      </c>
      <c r="AH199" t="s">
        <v>163</v>
      </c>
      <c r="AI199" t="s">
        <v>163</v>
      </c>
      <c r="AJ199" t="s">
        <v>163</v>
      </c>
      <c r="AK199">
        <v>3</v>
      </c>
      <c r="AL199">
        <v>4</v>
      </c>
      <c r="AM199" t="s">
        <v>163</v>
      </c>
      <c r="AN199">
        <v>1</v>
      </c>
      <c r="AO199">
        <v>1</v>
      </c>
      <c r="AP199">
        <v>2</v>
      </c>
      <c r="AQ199">
        <v>2</v>
      </c>
      <c r="AR199">
        <v>5</v>
      </c>
      <c r="AS199">
        <v>6</v>
      </c>
    </row>
    <row r="200" spans="1:45" x14ac:dyDescent="0.35">
      <c r="A200" s="337">
        <v>46266</v>
      </c>
      <c r="B200" s="337">
        <v>46276</v>
      </c>
      <c r="C200" s="337">
        <v>46275</v>
      </c>
      <c r="D200" t="s">
        <v>130</v>
      </c>
      <c r="E200" s="338">
        <v>1.2083333333333333</v>
      </c>
      <c r="F200">
        <v>1</v>
      </c>
      <c r="G200" t="s">
        <v>158</v>
      </c>
      <c r="H200">
        <v>0.01</v>
      </c>
      <c r="I200" t="s">
        <v>165</v>
      </c>
      <c r="J200" t="s">
        <v>165</v>
      </c>
      <c r="K200" t="s">
        <v>165</v>
      </c>
      <c r="L200" t="s">
        <v>163</v>
      </c>
      <c r="M200" t="s">
        <v>163</v>
      </c>
      <c r="N200">
        <v>11.2</v>
      </c>
      <c r="O200" t="s">
        <v>163</v>
      </c>
      <c r="P200" t="s">
        <v>163</v>
      </c>
      <c r="Q200" t="s">
        <v>163</v>
      </c>
      <c r="R200" t="s">
        <v>163</v>
      </c>
      <c r="S200" t="s">
        <v>163</v>
      </c>
      <c r="T200" t="s">
        <v>163</v>
      </c>
      <c r="U200" t="s">
        <v>163</v>
      </c>
      <c r="V200" t="s">
        <v>163</v>
      </c>
      <c r="W200" t="s">
        <v>165</v>
      </c>
      <c r="X200" t="s">
        <v>165</v>
      </c>
      <c r="Y200">
        <v>1</v>
      </c>
      <c r="Z200">
        <v>2</v>
      </c>
      <c r="AA200">
        <v>1</v>
      </c>
      <c r="AB200">
        <v>2</v>
      </c>
      <c r="AC200">
        <v>1</v>
      </c>
      <c r="AD200" t="s">
        <v>163</v>
      </c>
      <c r="AE200" t="s">
        <v>163</v>
      </c>
      <c r="AF200" t="s">
        <v>163</v>
      </c>
      <c r="AG200" t="s">
        <v>163</v>
      </c>
      <c r="AH200" t="s">
        <v>163</v>
      </c>
      <c r="AI200" t="s">
        <v>163</v>
      </c>
      <c r="AJ200" t="s">
        <v>163</v>
      </c>
      <c r="AK200">
        <v>6</v>
      </c>
      <c r="AL200">
        <v>6</v>
      </c>
      <c r="AM200" t="s">
        <v>163</v>
      </c>
      <c r="AN200">
        <v>1</v>
      </c>
      <c r="AO200">
        <v>1</v>
      </c>
      <c r="AP200">
        <v>2</v>
      </c>
      <c r="AQ200">
        <v>2</v>
      </c>
      <c r="AR200">
        <v>8</v>
      </c>
      <c r="AS200">
        <v>8</v>
      </c>
    </row>
    <row r="201" spans="1:45" x14ac:dyDescent="0.35">
      <c r="A201" s="337">
        <v>46266</v>
      </c>
      <c r="B201" s="337">
        <v>46276</v>
      </c>
      <c r="C201" s="337">
        <v>46275</v>
      </c>
      <c r="D201" t="s">
        <v>130</v>
      </c>
      <c r="E201" s="338">
        <v>1.125</v>
      </c>
      <c r="F201">
        <v>1</v>
      </c>
      <c r="G201" t="s">
        <v>158</v>
      </c>
      <c r="H201">
        <v>0.01</v>
      </c>
      <c r="I201" t="s">
        <v>165</v>
      </c>
      <c r="J201" t="s">
        <v>165</v>
      </c>
      <c r="K201" t="s">
        <v>165</v>
      </c>
      <c r="L201" t="s">
        <v>163</v>
      </c>
      <c r="M201" t="s">
        <v>163</v>
      </c>
      <c r="N201">
        <v>11.34</v>
      </c>
      <c r="O201" t="s">
        <v>163</v>
      </c>
      <c r="P201" t="s">
        <v>163</v>
      </c>
      <c r="Q201" t="s">
        <v>163</v>
      </c>
      <c r="R201" t="s">
        <v>163</v>
      </c>
      <c r="S201" t="s">
        <v>163</v>
      </c>
      <c r="T201" t="s">
        <v>163</v>
      </c>
      <c r="U201" t="s">
        <v>163</v>
      </c>
      <c r="V201" t="s">
        <v>163</v>
      </c>
      <c r="W201" t="s">
        <v>165</v>
      </c>
      <c r="X201" t="s">
        <v>165</v>
      </c>
      <c r="Y201">
        <v>1</v>
      </c>
      <c r="Z201">
        <v>2</v>
      </c>
      <c r="AA201">
        <v>1</v>
      </c>
      <c r="AB201">
        <v>2</v>
      </c>
      <c r="AC201">
        <v>1</v>
      </c>
      <c r="AD201" t="s">
        <v>163</v>
      </c>
      <c r="AE201" t="s">
        <v>163</v>
      </c>
      <c r="AF201" t="s">
        <v>163</v>
      </c>
      <c r="AG201" t="s">
        <v>163</v>
      </c>
      <c r="AH201" t="s">
        <v>163</v>
      </c>
      <c r="AI201" t="s">
        <v>163</v>
      </c>
      <c r="AJ201" t="s">
        <v>163</v>
      </c>
      <c r="AK201">
        <v>6</v>
      </c>
      <c r="AL201">
        <v>6</v>
      </c>
      <c r="AM201" t="s">
        <v>163</v>
      </c>
      <c r="AN201">
        <v>1</v>
      </c>
      <c r="AO201">
        <v>1</v>
      </c>
      <c r="AP201">
        <v>2</v>
      </c>
      <c r="AQ201">
        <v>2</v>
      </c>
      <c r="AR201">
        <v>8</v>
      </c>
      <c r="AS201">
        <v>8</v>
      </c>
    </row>
    <row r="202" spans="1:45" x14ac:dyDescent="0.35">
      <c r="A202" s="337">
        <v>46266</v>
      </c>
      <c r="B202" s="337">
        <v>46276</v>
      </c>
      <c r="C202" s="337">
        <v>46275</v>
      </c>
      <c r="D202" t="s">
        <v>130</v>
      </c>
      <c r="E202" s="338">
        <v>1.0833333333333333</v>
      </c>
      <c r="F202">
        <v>1</v>
      </c>
      <c r="G202" t="s">
        <v>158</v>
      </c>
      <c r="H202">
        <v>0.01</v>
      </c>
      <c r="I202" t="s">
        <v>163</v>
      </c>
      <c r="J202" t="s">
        <v>165</v>
      </c>
      <c r="K202" t="s">
        <v>165</v>
      </c>
      <c r="L202" t="s">
        <v>163</v>
      </c>
      <c r="M202" t="s">
        <v>163</v>
      </c>
      <c r="N202">
        <v>11.71</v>
      </c>
      <c r="O202">
        <v>10.74</v>
      </c>
      <c r="P202">
        <v>0.53</v>
      </c>
      <c r="Q202">
        <v>57.3</v>
      </c>
      <c r="R202" t="s">
        <v>163</v>
      </c>
      <c r="S202" t="s">
        <v>163</v>
      </c>
      <c r="T202">
        <v>29.61</v>
      </c>
      <c r="U202" t="s">
        <v>163</v>
      </c>
      <c r="V202" t="s">
        <v>163</v>
      </c>
      <c r="W202" t="s">
        <v>165</v>
      </c>
      <c r="X202" t="s">
        <v>165</v>
      </c>
      <c r="Y202">
        <v>1</v>
      </c>
      <c r="Z202">
        <v>2</v>
      </c>
      <c r="AA202" t="s">
        <v>163</v>
      </c>
      <c r="AB202">
        <v>2</v>
      </c>
      <c r="AC202">
        <v>1</v>
      </c>
      <c r="AD202">
        <v>0</v>
      </c>
      <c r="AE202">
        <v>2</v>
      </c>
      <c r="AF202">
        <v>2</v>
      </c>
      <c r="AG202" t="s">
        <v>163</v>
      </c>
      <c r="AH202" t="s">
        <v>163</v>
      </c>
      <c r="AI202">
        <v>2</v>
      </c>
      <c r="AJ202" t="s">
        <v>163</v>
      </c>
      <c r="AK202">
        <v>11</v>
      </c>
      <c r="AL202">
        <v>12</v>
      </c>
      <c r="AM202" t="s">
        <v>163</v>
      </c>
      <c r="AN202">
        <v>1</v>
      </c>
      <c r="AO202">
        <v>1</v>
      </c>
      <c r="AP202">
        <v>2</v>
      </c>
      <c r="AQ202">
        <v>2</v>
      </c>
      <c r="AR202">
        <v>13</v>
      </c>
      <c r="AS202">
        <v>14</v>
      </c>
    </row>
    <row r="203" spans="1:45" x14ac:dyDescent="0.35">
      <c r="A203" s="337">
        <v>46266</v>
      </c>
      <c r="B203" s="337">
        <v>46276</v>
      </c>
      <c r="C203" s="337">
        <v>46275</v>
      </c>
      <c r="D203" t="s">
        <v>130</v>
      </c>
      <c r="E203" s="338">
        <v>1.0416666666666667</v>
      </c>
      <c r="F203">
        <v>1</v>
      </c>
      <c r="G203" t="s">
        <v>158</v>
      </c>
      <c r="H203">
        <v>0.01</v>
      </c>
      <c r="I203" t="s">
        <v>165</v>
      </c>
      <c r="J203" t="s">
        <v>165</v>
      </c>
      <c r="K203" t="s">
        <v>165</v>
      </c>
      <c r="L203" t="s">
        <v>163</v>
      </c>
      <c r="M203" t="s">
        <v>163</v>
      </c>
      <c r="N203">
        <v>10.83</v>
      </c>
      <c r="O203" t="s">
        <v>163</v>
      </c>
      <c r="P203" t="s">
        <v>163</v>
      </c>
      <c r="Q203" t="s">
        <v>163</v>
      </c>
      <c r="R203" t="s">
        <v>163</v>
      </c>
      <c r="S203" t="s">
        <v>163</v>
      </c>
      <c r="T203" t="s">
        <v>163</v>
      </c>
      <c r="U203" t="s">
        <v>163</v>
      </c>
      <c r="V203" t="s">
        <v>163</v>
      </c>
      <c r="W203" t="s">
        <v>165</v>
      </c>
      <c r="X203" t="s">
        <v>165</v>
      </c>
      <c r="Y203">
        <v>1</v>
      </c>
      <c r="Z203">
        <v>2</v>
      </c>
      <c r="AA203">
        <v>1</v>
      </c>
      <c r="AB203">
        <v>2</v>
      </c>
      <c r="AC203">
        <v>0</v>
      </c>
      <c r="AD203" t="s">
        <v>163</v>
      </c>
      <c r="AE203" t="s">
        <v>163</v>
      </c>
      <c r="AF203" t="s">
        <v>163</v>
      </c>
      <c r="AG203" t="s">
        <v>163</v>
      </c>
      <c r="AH203" t="s">
        <v>163</v>
      </c>
      <c r="AI203" t="s">
        <v>163</v>
      </c>
      <c r="AJ203" t="s">
        <v>163</v>
      </c>
      <c r="AK203">
        <v>5</v>
      </c>
      <c r="AL203">
        <v>6</v>
      </c>
      <c r="AM203" t="s">
        <v>163</v>
      </c>
      <c r="AN203">
        <v>1</v>
      </c>
      <c r="AO203">
        <v>1</v>
      </c>
      <c r="AP203">
        <v>2</v>
      </c>
      <c r="AQ203">
        <v>2</v>
      </c>
      <c r="AR203">
        <v>7</v>
      </c>
      <c r="AS203">
        <v>8</v>
      </c>
    </row>
    <row r="204" spans="1:45" x14ac:dyDescent="0.35">
      <c r="A204" s="337">
        <v>46266</v>
      </c>
      <c r="B204" s="337">
        <v>46276</v>
      </c>
      <c r="C204" s="337">
        <v>46275</v>
      </c>
      <c r="D204" t="s">
        <v>130</v>
      </c>
      <c r="E204" s="337">
        <v>1</v>
      </c>
      <c r="F204">
        <v>1</v>
      </c>
      <c r="G204" t="s">
        <v>158</v>
      </c>
      <c r="H204">
        <v>0.01</v>
      </c>
      <c r="I204" t="s">
        <v>165</v>
      </c>
      <c r="J204" t="s">
        <v>165</v>
      </c>
      <c r="K204" t="s">
        <v>165</v>
      </c>
      <c r="L204" t="s">
        <v>163</v>
      </c>
      <c r="M204" t="s">
        <v>163</v>
      </c>
      <c r="N204">
        <v>10.91</v>
      </c>
      <c r="O204" t="s">
        <v>163</v>
      </c>
      <c r="P204" t="s">
        <v>163</v>
      </c>
      <c r="Q204" t="s">
        <v>163</v>
      </c>
      <c r="R204" t="s">
        <v>163</v>
      </c>
      <c r="S204" t="s">
        <v>163</v>
      </c>
      <c r="T204" t="s">
        <v>163</v>
      </c>
      <c r="U204" t="s">
        <v>163</v>
      </c>
      <c r="V204" t="s">
        <v>163</v>
      </c>
      <c r="W204" t="s">
        <v>165</v>
      </c>
      <c r="X204" t="s">
        <v>165</v>
      </c>
      <c r="Y204">
        <v>1</v>
      </c>
      <c r="Z204">
        <v>2</v>
      </c>
      <c r="AA204">
        <v>1</v>
      </c>
      <c r="AB204">
        <v>2</v>
      </c>
      <c r="AC204">
        <v>0</v>
      </c>
      <c r="AD204" t="s">
        <v>163</v>
      </c>
      <c r="AE204" t="s">
        <v>163</v>
      </c>
      <c r="AF204" t="s">
        <v>163</v>
      </c>
      <c r="AG204" t="s">
        <v>163</v>
      </c>
      <c r="AH204" t="s">
        <v>163</v>
      </c>
      <c r="AI204" t="s">
        <v>163</v>
      </c>
      <c r="AJ204" t="s">
        <v>163</v>
      </c>
      <c r="AK204">
        <v>5</v>
      </c>
      <c r="AL204">
        <v>6</v>
      </c>
      <c r="AM204" t="s">
        <v>163</v>
      </c>
      <c r="AN204">
        <v>1</v>
      </c>
      <c r="AO204">
        <v>1</v>
      </c>
      <c r="AP204">
        <v>2</v>
      </c>
      <c r="AQ204">
        <v>2</v>
      </c>
      <c r="AR204">
        <v>7</v>
      </c>
      <c r="AS204">
        <v>8</v>
      </c>
    </row>
    <row r="205" spans="1:45" x14ac:dyDescent="0.35">
      <c r="A205" s="337">
        <v>46266</v>
      </c>
      <c r="B205" s="337">
        <v>46276</v>
      </c>
      <c r="C205" s="337">
        <v>46275</v>
      </c>
      <c r="D205" t="s">
        <v>130</v>
      </c>
      <c r="E205" s="339">
        <v>0.95833333333333337</v>
      </c>
      <c r="F205">
        <v>1</v>
      </c>
      <c r="G205" t="s">
        <v>158</v>
      </c>
      <c r="H205" t="s">
        <v>163</v>
      </c>
      <c r="I205" t="s">
        <v>165</v>
      </c>
      <c r="J205" t="s">
        <v>165</v>
      </c>
      <c r="K205" t="s">
        <v>165</v>
      </c>
      <c r="L205" t="s">
        <v>163</v>
      </c>
      <c r="M205" t="s">
        <v>163</v>
      </c>
      <c r="N205">
        <v>10.94</v>
      </c>
      <c r="O205">
        <v>9.75</v>
      </c>
      <c r="P205">
        <v>0.55000000000000004</v>
      </c>
      <c r="Q205" t="s">
        <v>163</v>
      </c>
      <c r="R205" t="s">
        <v>163</v>
      </c>
      <c r="S205" t="s">
        <v>163</v>
      </c>
      <c r="T205">
        <v>26.7</v>
      </c>
      <c r="U205" t="s">
        <v>163</v>
      </c>
      <c r="V205" t="s">
        <v>163</v>
      </c>
      <c r="W205" t="s">
        <v>165</v>
      </c>
      <c r="X205" t="s">
        <v>165</v>
      </c>
      <c r="Y205">
        <v>1</v>
      </c>
      <c r="Z205" t="s">
        <v>163</v>
      </c>
      <c r="AA205">
        <v>1</v>
      </c>
      <c r="AB205">
        <v>2</v>
      </c>
      <c r="AC205">
        <v>0</v>
      </c>
      <c r="AD205">
        <v>1</v>
      </c>
      <c r="AE205">
        <v>2</v>
      </c>
      <c r="AF205" t="s">
        <v>163</v>
      </c>
      <c r="AG205" t="s">
        <v>163</v>
      </c>
      <c r="AH205" t="s">
        <v>163</v>
      </c>
      <c r="AI205">
        <v>2</v>
      </c>
      <c r="AJ205" t="s">
        <v>163</v>
      </c>
      <c r="AK205">
        <v>8</v>
      </c>
      <c r="AL205">
        <v>9</v>
      </c>
      <c r="AM205" t="s">
        <v>163</v>
      </c>
      <c r="AN205">
        <v>1</v>
      </c>
      <c r="AO205">
        <v>1</v>
      </c>
      <c r="AP205">
        <v>2</v>
      </c>
      <c r="AQ205">
        <v>2</v>
      </c>
      <c r="AR205">
        <v>10</v>
      </c>
      <c r="AS205">
        <v>11</v>
      </c>
    </row>
    <row r="206" spans="1:45" x14ac:dyDescent="0.35">
      <c r="A206" s="337">
        <v>46266</v>
      </c>
      <c r="B206" s="337">
        <v>46276</v>
      </c>
      <c r="C206" s="337">
        <v>46273</v>
      </c>
      <c r="D206" t="s">
        <v>128</v>
      </c>
      <c r="E206" s="339">
        <v>0.79166666666666663</v>
      </c>
      <c r="F206">
        <v>3</v>
      </c>
      <c r="G206" t="s">
        <v>41</v>
      </c>
      <c r="H206" t="s">
        <v>163</v>
      </c>
      <c r="I206" t="s">
        <v>165</v>
      </c>
      <c r="J206" t="s">
        <v>165</v>
      </c>
      <c r="K206" t="s">
        <v>165</v>
      </c>
      <c r="L206" t="s">
        <v>161</v>
      </c>
      <c r="M206" t="s">
        <v>161</v>
      </c>
      <c r="N206" t="s">
        <v>163</v>
      </c>
      <c r="O206" t="s">
        <v>163</v>
      </c>
      <c r="P206" t="s">
        <v>163</v>
      </c>
      <c r="Q206" t="s">
        <v>163</v>
      </c>
      <c r="R206" t="s">
        <v>163</v>
      </c>
      <c r="S206" t="s">
        <v>163</v>
      </c>
      <c r="T206" t="s">
        <v>163</v>
      </c>
      <c r="U206" t="s">
        <v>163</v>
      </c>
      <c r="V206" t="s">
        <v>163</v>
      </c>
      <c r="W206" t="s">
        <v>165</v>
      </c>
      <c r="X206" t="s">
        <v>165</v>
      </c>
      <c r="Y206">
        <v>1</v>
      </c>
      <c r="Z206" t="s">
        <v>163</v>
      </c>
      <c r="AA206">
        <v>1</v>
      </c>
      <c r="AB206">
        <v>2</v>
      </c>
      <c r="AC206" t="s">
        <v>163</v>
      </c>
      <c r="AD206" t="s">
        <v>163</v>
      </c>
      <c r="AE206" t="s">
        <v>163</v>
      </c>
      <c r="AF206" t="s">
        <v>163</v>
      </c>
      <c r="AG206" t="s">
        <v>163</v>
      </c>
      <c r="AH206" t="s">
        <v>163</v>
      </c>
      <c r="AI206" t="s">
        <v>163</v>
      </c>
      <c r="AJ206" t="s">
        <v>163</v>
      </c>
      <c r="AK206">
        <v>3</v>
      </c>
      <c r="AL206">
        <v>3</v>
      </c>
      <c r="AM206" t="s">
        <v>163</v>
      </c>
      <c r="AN206">
        <v>1</v>
      </c>
      <c r="AO206">
        <v>1</v>
      </c>
      <c r="AP206">
        <v>2</v>
      </c>
      <c r="AQ206">
        <v>2</v>
      </c>
      <c r="AR206">
        <v>5</v>
      </c>
      <c r="AS206">
        <v>5</v>
      </c>
    </row>
    <row r="207" spans="1:45" x14ac:dyDescent="0.35">
      <c r="A207" s="337">
        <v>46266</v>
      </c>
      <c r="B207" s="337">
        <v>46276</v>
      </c>
      <c r="C207" s="337">
        <v>46273</v>
      </c>
      <c r="D207" t="s">
        <v>128</v>
      </c>
      <c r="E207" s="339">
        <v>0.70833333333333337</v>
      </c>
      <c r="F207">
        <v>3</v>
      </c>
      <c r="G207" t="s">
        <v>41</v>
      </c>
      <c r="H207" t="s">
        <v>163</v>
      </c>
      <c r="I207" t="s">
        <v>165</v>
      </c>
      <c r="J207" t="s">
        <v>165</v>
      </c>
      <c r="K207" t="s">
        <v>165</v>
      </c>
      <c r="L207" t="s">
        <v>161</v>
      </c>
      <c r="M207" t="s">
        <v>161</v>
      </c>
      <c r="N207">
        <v>11.46</v>
      </c>
      <c r="O207" t="s">
        <v>163</v>
      </c>
      <c r="P207" t="s">
        <v>163</v>
      </c>
      <c r="Q207" t="s">
        <v>163</v>
      </c>
      <c r="R207" t="s">
        <v>163</v>
      </c>
      <c r="S207" t="s">
        <v>163</v>
      </c>
      <c r="T207" t="s">
        <v>163</v>
      </c>
      <c r="U207" t="s">
        <v>163</v>
      </c>
      <c r="V207" t="s">
        <v>163</v>
      </c>
      <c r="W207" t="s">
        <v>165</v>
      </c>
      <c r="X207" t="s">
        <v>165</v>
      </c>
      <c r="Y207">
        <v>1</v>
      </c>
      <c r="Z207" t="s">
        <v>163</v>
      </c>
      <c r="AA207">
        <v>1</v>
      </c>
      <c r="AB207">
        <v>2</v>
      </c>
      <c r="AC207">
        <v>0</v>
      </c>
      <c r="AD207" t="s">
        <v>163</v>
      </c>
      <c r="AE207" t="s">
        <v>163</v>
      </c>
      <c r="AF207" t="s">
        <v>163</v>
      </c>
      <c r="AG207" t="s">
        <v>163</v>
      </c>
      <c r="AH207" t="s">
        <v>163</v>
      </c>
      <c r="AI207" t="s">
        <v>163</v>
      </c>
      <c r="AJ207" t="s">
        <v>163</v>
      </c>
      <c r="AK207">
        <v>3</v>
      </c>
      <c r="AL207">
        <v>4</v>
      </c>
      <c r="AM207" t="s">
        <v>163</v>
      </c>
      <c r="AN207">
        <v>1</v>
      </c>
      <c r="AO207">
        <v>1</v>
      </c>
      <c r="AP207">
        <v>2</v>
      </c>
      <c r="AQ207">
        <v>2</v>
      </c>
      <c r="AR207">
        <v>5</v>
      </c>
      <c r="AS207">
        <v>6</v>
      </c>
    </row>
    <row r="208" spans="1:45" x14ac:dyDescent="0.35">
      <c r="A208" s="337">
        <v>46266</v>
      </c>
      <c r="B208" s="337">
        <v>46276</v>
      </c>
      <c r="C208" s="337">
        <v>46273</v>
      </c>
      <c r="D208" t="s">
        <v>128</v>
      </c>
      <c r="E208" s="339">
        <v>0.625</v>
      </c>
      <c r="F208">
        <v>3</v>
      </c>
      <c r="G208" t="s">
        <v>41</v>
      </c>
      <c r="H208" t="s">
        <v>163</v>
      </c>
      <c r="I208" t="s">
        <v>165</v>
      </c>
      <c r="J208" t="s">
        <v>165</v>
      </c>
      <c r="K208" t="s">
        <v>165</v>
      </c>
      <c r="L208" t="s">
        <v>161</v>
      </c>
      <c r="M208" t="s">
        <v>161</v>
      </c>
      <c r="N208">
        <v>11.65</v>
      </c>
      <c r="O208" t="s">
        <v>163</v>
      </c>
      <c r="P208" t="s">
        <v>163</v>
      </c>
      <c r="Q208" t="s">
        <v>163</v>
      </c>
      <c r="R208" t="s">
        <v>163</v>
      </c>
      <c r="S208" t="s">
        <v>163</v>
      </c>
      <c r="T208" t="s">
        <v>163</v>
      </c>
      <c r="U208" t="s">
        <v>163</v>
      </c>
      <c r="V208" t="s">
        <v>163</v>
      </c>
      <c r="W208" t="s">
        <v>165</v>
      </c>
      <c r="X208" t="s">
        <v>165</v>
      </c>
      <c r="Y208">
        <v>1</v>
      </c>
      <c r="Z208" t="s">
        <v>163</v>
      </c>
      <c r="AA208">
        <v>1</v>
      </c>
      <c r="AB208">
        <v>2</v>
      </c>
      <c r="AC208">
        <v>0</v>
      </c>
      <c r="AD208" t="s">
        <v>163</v>
      </c>
      <c r="AE208" t="s">
        <v>163</v>
      </c>
      <c r="AF208" t="s">
        <v>163</v>
      </c>
      <c r="AG208" t="s">
        <v>163</v>
      </c>
      <c r="AH208" t="s">
        <v>163</v>
      </c>
      <c r="AI208" t="s">
        <v>163</v>
      </c>
      <c r="AJ208" t="s">
        <v>163</v>
      </c>
      <c r="AK208">
        <v>3</v>
      </c>
      <c r="AL208">
        <v>4</v>
      </c>
      <c r="AM208" t="s">
        <v>163</v>
      </c>
      <c r="AN208">
        <v>1</v>
      </c>
      <c r="AO208">
        <v>1</v>
      </c>
      <c r="AP208">
        <v>2</v>
      </c>
      <c r="AQ208">
        <v>2</v>
      </c>
      <c r="AR208">
        <v>5</v>
      </c>
      <c r="AS208">
        <v>6</v>
      </c>
    </row>
    <row r="209" spans="1:45" x14ac:dyDescent="0.35">
      <c r="A209" s="337">
        <v>46266</v>
      </c>
      <c r="B209" s="337">
        <v>46276</v>
      </c>
      <c r="C209" s="337">
        <v>46273</v>
      </c>
      <c r="D209" t="s">
        <v>128</v>
      </c>
      <c r="E209" s="339">
        <v>0.58333333333333337</v>
      </c>
      <c r="F209">
        <v>3</v>
      </c>
      <c r="G209" t="s">
        <v>41</v>
      </c>
      <c r="H209" t="s">
        <v>163</v>
      </c>
      <c r="I209" t="s">
        <v>165</v>
      </c>
      <c r="J209" t="s">
        <v>165</v>
      </c>
      <c r="K209" t="s">
        <v>165</v>
      </c>
      <c r="L209" t="s">
        <v>161</v>
      </c>
      <c r="M209" t="s">
        <v>161</v>
      </c>
      <c r="N209">
        <v>11.58</v>
      </c>
      <c r="O209" t="s">
        <v>163</v>
      </c>
      <c r="P209" t="s">
        <v>163</v>
      </c>
      <c r="Q209" t="s">
        <v>163</v>
      </c>
      <c r="R209" t="s">
        <v>163</v>
      </c>
      <c r="S209" t="s">
        <v>163</v>
      </c>
      <c r="T209" t="s">
        <v>163</v>
      </c>
      <c r="U209" t="s">
        <v>163</v>
      </c>
      <c r="V209" t="s">
        <v>163</v>
      </c>
      <c r="W209" t="s">
        <v>165</v>
      </c>
      <c r="X209" t="s">
        <v>165</v>
      </c>
      <c r="Y209">
        <v>1</v>
      </c>
      <c r="Z209" t="s">
        <v>163</v>
      </c>
      <c r="AA209">
        <v>1</v>
      </c>
      <c r="AB209">
        <v>2</v>
      </c>
      <c r="AC209">
        <v>0</v>
      </c>
      <c r="AD209" t="s">
        <v>163</v>
      </c>
      <c r="AE209" t="s">
        <v>163</v>
      </c>
      <c r="AF209" t="s">
        <v>163</v>
      </c>
      <c r="AG209" t="s">
        <v>163</v>
      </c>
      <c r="AH209" t="s">
        <v>163</v>
      </c>
      <c r="AI209" t="s">
        <v>163</v>
      </c>
      <c r="AJ209" t="s">
        <v>163</v>
      </c>
      <c r="AK209">
        <v>3</v>
      </c>
      <c r="AL209">
        <v>4</v>
      </c>
      <c r="AM209" t="s">
        <v>163</v>
      </c>
      <c r="AN209">
        <v>1</v>
      </c>
      <c r="AO209">
        <v>1</v>
      </c>
      <c r="AP209">
        <v>2</v>
      </c>
      <c r="AQ209">
        <v>2</v>
      </c>
      <c r="AR209">
        <v>5</v>
      </c>
      <c r="AS209">
        <v>6</v>
      </c>
    </row>
    <row r="210" spans="1:45" x14ac:dyDescent="0.35">
      <c r="A210" s="337">
        <v>46266</v>
      </c>
      <c r="B210" s="337">
        <v>46276</v>
      </c>
      <c r="C210" s="337">
        <v>816</v>
      </c>
      <c r="D210" t="s">
        <v>128</v>
      </c>
      <c r="E210" s="339">
        <v>0.79166666666666663</v>
      </c>
      <c r="F210">
        <v>2</v>
      </c>
      <c r="G210" t="s">
        <v>141</v>
      </c>
      <c r="H210" t="s">
        <v>163</v>
      </c>
      <c r="I210" t="s">
        <v>165</v>
      </c>
      <c r="J210" t="s">
        <v>165</v>
      </c>
      <c r="K210" t="s">
        <v>165</v>
      </c>
      <c r="L210" t="s">
        <v>163</v>
      </c>
      <c r="M210" t="s">
        <v>161</v>
      </c>
      <c r="N210">
        <v>10.4</v>
      </c>
      <c r="O210" t="s">
        <v>163</v>
      </c>
      <c r="P210" t="s">
        <v>163</v>
      </c>
      <c r="Q210" t="s">
        <v>163</v>
      </c>
      <c r="R210" t="s">
        <v>163</v>
      </c>
      <c r="S210" t="s">
        <v>163</v>
      </c>
      <c r="T210" t="s">
        <v>163</v>
      </c>
      <c r="U210" t="s">
        <v>163</v>
      </c>
      <c r="V210" t="s">
        <v>163</v>
      </c>
      <c r="W210" t="s">
        <v>165</v>
      </c>
      <c r="X210" t="s">
        <v>165</v>
      </c>
      <c r="Y210" t="s">
        <v>163</v>
      </c>
      <c r="Z210" t="s">
        <v>163</v>
      </c>
      <c r="AA210">
        <v>1</v>
      </c>
      <c r="AB210">
        <v>2</v>
      </c>
      <c r="AC210">
        <v>0</v>
      </c>
      <c r="AD210" t="s">
        <v>163</v>
      </c>
      <c r="AE210" t="s">
        <v>163</v>
      </c>
      <c r="AF210" t="s">
        <v>163</v>
      </c>
      <c r="AG210" t="s">
        <v>163</v>
      </c>
      <c r="AH210" t="s">
        <v>163</v>
      </c>
      <c r="AI210" t="s">
        <v>163</v>
      </c>
      <c r="AJ210" t="s">
        <v>163</v>
      </c>
      <c r="AK210">
        <v>3</v>
      </c>
      <c r="AL210">
        <v>4</v>
      </c>
      <c r="AM210" t="s">
        <v>163</v>
      </c>
      <c r="AN210">
        <v>1</v>
      </c>
      <c r="AO210">
        <v>1</v>
      </c>
      <c r="AP210">
        <v>2</v>
      </c>
      <c r="AQ210">
        <v>2</v>
      </c>
      <c r="AR210">
        <v>5</v>
      </c>
      <c r="AS210">
        <v>6</v>
      </c>
    </row>
    <row r="211" spans="1:45" x14ac:dyDescent="0.35">
      <c r="A211" s="337">
        <v>46266</v>
      </c>
      <c r="B211" s="337">
        <v>46276</v>
      </c>
      <c r="C211" s="337">
        <v>816</v>
      </c>
      <c r="D211" t="s">
        <v>128</v>
      </c>
      <c r="E211" s="339">
        <v>0.75</v>
      </c>
      <c r="F211">
        <v>2</v>
      </c>
      <c r="G211" t="s">
        <v>141</v>
      </c>
      <c r="H211" t="s">
        <v>163</v>
      </c>
      <c r="I211" t="s">
        <v>165</v>
      </c>
      <c r="J211" t="s">
        <v>165</v>
      </c>
      <c r="K211" t="s">
        <v>165</v>
      </c>
      <c r="L211" t="s">
        <v>163</v>
      </c>
      <c r="M211" t="s">
        <v>161</v>
      </c>
      <c r="N211">
        <v>10.41</v>
      </c>
      <c r="O211" t="s">
        <v>163</v>
      </c>
      <c r="P211" t="s">
        <v>163</v>
      </c>
      <c r="Q211" t="s">
        <v>163</v>
      </c>
      <c r="R211" t="s">
        <v>163</v>
      </c>
      <c r="S211" t="s">
        <v>163</v>
      </c>
      <c r="T211" t="s">
        <v>163</v>
      </c>
      <c r="U211" t="s">
        <v>163</v>
      </c>
      <c r="V211" t="s">
        <v>163</v>
      </c>
      <c r="W211" t="s">
        <v>165</v>
      </c>
      <c r="X211" t="s">
        <v>165</v>
      </c>
      <c r="Y211">
        <v>1</v>
      </c>
      <c r="Z211" t="s">
        <v>163</v>
      </c>
      <c r="AA211">
        <v>1</v>
      </c>
      <c r="AB211">
        <v>2</v>
      </c>
      <c r="AC211">
        <v>0</v>
      </c>
      <c r="AD211" t="s">
        <v>163</v>
      </c>
      <c r="AE211" t="s">
        <v>163</v>
      </c>
      <c r="AF211" t="s">
        <v>163</v>
      </c>
      <c r="AG211" t="s">
        <v>163</v>
      </c>
      <c r="AH211" t="s">
        <v>163</v>
      </c>
      <c r="AI211" t="s">
        <v>163</v>
      </c>
      <c r="AJ211" t="s">
        <v>163</v>
      </c>
      <c r="AK211">
        <v>3</v>
      </c>
      <c r="AL211">
        <v>4</v>
      </c>
      <c r="AM211" t="s">
        <v>163</v>
      </c>
      <c r="AN211">
        <v>1</v>
      </c>
      <c r="AO211">
        <v>1</v>
      </c>
      <c r="AP211">
        <v>2</v>
      </c>
      <c r="AQ211">
        <v>2</v>
      </c>
      <c r="AR211">
        <v>5</v>
      </c>
      <c r="AS211">
        <v>6</v>
      </c>
    </row>
    <row r="212" spans="1:45" x14ac:dyDescent="0.35">
      <c r="A212" s="337">
        <v>46266</v>
      </c>
      <c r="B212" s="337">
        <v>46276</v>
      </c>
      <c r="C212" s="337">
        <v>816</v>
      </c>
      <c r="D212" t="s">
        <v>128</v>
      </c>
      <c r="E212" s="339">
        <v>0.70833333333333337</v>
      </c>
      <c r="F212">
        <v>2</v>
      </c>
      <c r="G212" t="s">
        <v>141</v>
      </c>
      <c r="H212" t="s">
        <v>163</v>
      </c>
      <c r="I212" t="s">
        <v>165</v>
      </c>
      <c r="J212" t="s">
        <v>165</v>
      </c>
      <c r="K212" t="s">
        <v>165</v>
      </c>
      <c r="L212" t="s">
        <v>163</v>
      </c>
      <c r="M212" t="s">
        <v>161</v>
      </c>
      <c r="N212">
        <v>10.39</v>
      </c>
      <c r="O212" t="s">
        <v>163</v>
      </c>
      <c r="P212" t="s">
        <v>163</v>
      </c>
      <c r="Q212" t="s">
        <v>163</v>
      </c>
      <c r="R212" t="s">
        <v>163</v>
      </c>
      <c r="S212" t="s">
        <v>163</v>
      </c>
      <c r="T212" t="s">
        <v>163</v>
      </c>
      <c r="U212" t="s">
        <v>163</v>
      </c>
      <c r="V212" t="s">
        <v>163</v>
      </c>
      <c r="W212" t="s">
        <v>165</v>
      </c>
      <c r="X212" t="s">
        <v>165</v>
      </c>
      <c r="Y212">
        <v>1</v>
      </c>
      <c r="Z212" t="s">
        <v>163</v>
      </c>
      <c r="AA212">
        <v>1</v>
      </c>
      <c r="AB212">
        <v>2</v>
      </c>
      <c r="AC212">
        <v>0</v>
      </c>
      <c r="AD212" t="s">
        <v>163</v>
      </c>
      <c r="AE212" t="s">
        <v>163</v>
      </c>
      <c r="AF212" t="s">
        <v>163</v>
      </c>
      <c r="AG212" t="s">
        <v>163</v>
      </c>
      <c r="AH212" t="s">
        <v>163</v>
      </c>
      <c r="AI212" t="s">
        <v>163</v>
      </c>
      <c r="AJ212" t="s">
        <v>163</v>
      </c>
      <c r="AK212">
        <v>3</v>
      </c>
      <c r="AL212">
        <v>4</v>
      </c>
      <c r="AM212" t="s">
        <v>163</v>
      </c>
      <c r="AN212">
        <v>1</v>
      </c>
      <c r="AO212">
        <v>1</v>
      </c>
      <c r="AP212">
        <v>2</v>
      </c>
      <c r="AQ212">
        <v>2</v>
      </c>
      <c r="AR212">
        <v>5</v>
      </c>
      <c r="AS212">
        <v>6</v>
      </c>
    </row>
    <row r="213" spans="1:45" x14ac:dyDescent="0.35">
      <c r="A213" s="337">
        <v>46266</v>
      </c>
      <c r="B213" s="337">
        <v>46276</v>
      </c>
      <c r="C213" s="337">
        <v>816</v>
      </c>
      <c r="D213" t="s">
        <v>128</v>
      </c>
      <c r="E213" s="339">
        <v>0.625</v>
      </c>
      <c r="F213">
        <v>2</v>
      </c>
      <c r="G213" t="s">
        <v>141</v>
      </c>
      <c r="H213" t="s">
        <v>163</v>
      </c>
      <c r="I213" t="s">
        <v>165</v>
      </c>
      <c r="J213" t="s">
        <v>165</v>
      </c>
      <c r="K213" t="s">
        <v>165</v>
      </c>
      <c r="L213" t="s">
        <v>163</v>
      </c>
      <c r="M213" t="s">
        <v>161</v>
      </c>
      <c r="N213">
        <v>10.46</v>
      </c>
      <c r="O213" t="s">
        <v>163</v>
      </c>
      <c r="P213" t="s">
        <v>163</v>
      </c>
      <c r="Q213" t="s">
        <v>163</v>
      </c>
      <c r="R213" t="s">
        <v>163</v>
      </c>
      <c r="S213" t="s">
        <v>163</v>
      </c>
      <c r="T213" t="s">
        <v>163</v>
      </c>
      <c r="U213" t="s">
        <v>163</v>
      </c>
      <c r="V213" t="s">
        <v>163</v>
      </c>
      <c r="W213" t="s">
        <v>165</v>
      </c>
      <c r="X213" t="s">
        <v>165</v>
      </c>
      <c r="Y213" t="s">
        <v>163</v>
      </c>
      <c r="Z213" t="s">
        <v>163</v>
      </c>
      <c r="AA213">
        <v>1</v>
      </c>
      <c r="AB213">
        <v>2</v>
      </c>
      <c r="AC213">
        <v>0</v>
      </c>
      <c r="AD213" t="s">
        <v>163</v>
      </c>
      <c r="AE213" t="s">
        <v>163</v>
      </c>
      <c r="AF213" t="s">
        <v>163</v>
      </c>
      <c r="AG213" t="s">
        <v>163</v>
      </c>
      <c r="AH213" t="s">
        <v>163</v>
      </c>
      <c r="AI213" t="s">
        <v>163</v>
      </c>
      <c r="AJ213" t="s">
        <v>163</v>
      </c>
      <c r="AK213">
        <v>3</v>
      </c>
      <c r="AL213">
        <v>4</v>
      </c>
      <c r="AM213" t="s">
        <v>163</v>
      </c>
      <c r="AN213">
        <v>1</v>
      </c>
      <c r="AO213">
        <v>1</v>
      </c>
      <c r="AP213">
        <v>2</v>
      </c>
      <c r="AQ213">
        <v>2</v>
      </c>
      <c r="AR213">
        <v>5</v>
      </c>
      <c r="AS213">
        <v>6</v>
      </c>
    </row>
    <row r="214" spans="1:45" x14ac:dyDescent="0.35">
      <c r="A214" s="337">
        <v>46266</v>
      </c>
      <c r="B214" s="337">
        <v>46276</v>
      </c>
      <c r="C214" s="337">
        <v>816</v>
      </c>
      <c r="D214" t="s">
        <v>128</v>
      </c>
      <c r="E214" s="339">
        <v>0.58333333333333337</v>
      </c>
      <c r="F214">
        <v>2</v>
      </c>
      <c r="G214" t="s">
        <v>141</v>
      </c>
      <c r="H214" t="s">
        <v>163</v>
      </c>
      <c r="I214" t="s">
        <v>165</v>
      </c>
      <c r="J214" t="s">
        <v>165</v>
      </c>
      <c r="K214" t="s">
        <v>165</v>
      </c>
      <c r="L214" t="s">
        <v>163</v>
      </c>
      <c r="M214" t="s">
        <v>161</v>
      </c>
      <c r="N214">
        <v>10.4</v>
      </c>
      <c r="O214" t="s">
        <v>163</v>
      </c>
      <c r="P214" t="s">
        <v>163</v>
      </c>
      <c r="Q214" t="s">
        <v>163</v>
      </c>
      <c r="R214" t="s">
        <v>163</v>
      </c>
      <c r="S214" t="s">
        <v>163</v>
      </c>
      <c r="T214" t="s">
        <v>163</v>
      </c>
      <c r="U214" t="s">
        <v>163</v>
      </c>
      <c r="V214" t="s">
        <v>163</v>
      </c>
      <c r="W214" t="s">
        <v>165</v>
      </c>
      <c r="X214" t="s">
        <v>165</v>
      </c>
      <c r="Y214">
        <v>1</v>
      </c>
      <c r="Z214" t="s">
        <v>163</v>
      </c>
      <c r="AA214">
        <v>1</v>
      </c>
      <c r="AB214">
        <v>2</v>
      </c>
      <c r="AC214">
        <v>0</v>
      </c>
      <c r="AD214" t="s">
        <v>163</v>
      </c>
      <c r="AE214" t="s">
        <v>163</v>
      </c>
      <c r="AF214" t="s">
        <v>163</v>
      </c>
      <c r="AG214" t="s">
        <v>163</v>
      </c>
      <c r="AH214" t="s">
        <v>163</v>
      </c>
      <c r="AI214" t="s">
        <v>163</v>
      </c>
      <c r="AJ214" t="s">
        <v>163</v>
      </c>
      <c r="AK214">
        <v>3</v>
      </c>
      <c r="AL214">
        <v>4</v>
      </c>
      <c r="AM214" t="s">
        <v>163</v>
      </c>
      <c r="AN214">
        <v>1</v>
      </c>
      <c r="AO214">
        <v>1</v>
      </c>
      <c r="AP214">
        <v>2</v>
      </c>
      <c r="AQ214">
        <v>2</v>
      </c>
      <c r="AR214">
        <v>5</v>
      </c>
      <c r="AS214">
        <v>6</v>
      </c>
    </row>
    <row r="215" spans="1:45" x14ac:dyDescent="0.35">
      <c r="A215" s="337">
        <v>46266</v>
      </c>
      <c r="B215" s="337">
        <v>46276</v>
      </c>
      <c r="C215" s="337">
        <v>46274</v>
      </c>
      <c r="D215" t="s">
        <v>128</v>
      </c>
      <c r="E215" s="339">
        <v>0.66666666666666663</v>
      </c>
      <c r="F215">
        <v>1</v>
      </c>
      <c r="G215" t="s">
        <v>158</v>
      </c>
      <c r="H215" t="s">
        <v>163</v>
      </c>
      <c r="I215" t="s">
        <v>165</v>
      </c>
      <c r="J215" t="s">
        <v>165</v>
      </c>
      <c r="K215" t="s">
        <v>165</v>
      </c>
      <c r="L215" t="s">
        <v>163</v>
      </c>
      <c r="M215" t="s">
        <v>163</v>
      </c>
      <c r="N215">
        <v>10.49</v>
      </c>
      <c r="O215" t="s">
        <v>163</v>
      </c>
      <c r="P215" t="s">
        <v>163</v>
      </c>
      <c r="Q215" t="s">
        <v>163</v>
      </c>
      <c r="R215" t="s">
        <v>163</v>
      </c>
      <c r="S215" t="s">
        <v>163</v>
      </c>
      <c r="T215" t="s">
        <v>163</v>
      </c>
      <c r="U215" t="s">
        <v>163</v>
      </c>
      <c r="V215" t="s">
        <v>163</v>
      </c>
      <c r="W215" t="s">
        <v>165</v>
      </c>
      <c r="X215" t="s">
        <v>165</v>
      </c>
      <c r="Y215">
        <v>1</v>
      </c>
      <c r="Z215" t="s">
        <v>163</v>
      </c>
      <c r="AA215">
        <v>1</v>
      </c>
      <c r="AB215">
        <v>2</v>
      </c>
      <c r="AC215">
        <v>0</v>
      </c>
      <c r="AD215" t="s">
        <v>163</v>
      </c>
      <c r="AE215" t="s">
        <v>163</v>
      </c>
      <c r="AF215" t="s">
        <v>163</v>
      </c>
      <c r="AG215" t="s">
        <v>163</v>
      </c>
      <c r="AH215" t="s">
        <v>163</v>
      </c>
      <c r="AI215" t="s">
        <v>163</v>
      </c>
      <c r="AJ215" t="s">
        <v>163</v>
      </c>
      <c r="AK215">
        <v>3</v>
      </c>
      <c r="AL215">
        <v>4</v>
      </c>
      <c r="AM215" t="s">
        <v>163</v>
      </c>
      <c r="AN215">
        <v>1</v>
      </c>
      <c r="AO215">
        <v>1</v>
      </c>
      <c r="AP215">
        <v>2</v>
      </c>
      <c r="AQ215">
        <v>2</v>
      </c>
      <c r="AR215">
        <v>5</v>
      </c>
      <c r="AS215">
        <v>6</v>
      </c>
    </row>
    <row r="216" spans="1:45" x14ac:dyDescent="0.35">
      <c r="A216" s="337">
        <v>46266</v>
      </c>
      <c r="B216" s="337">
        <v>46276</v>
      </c>
      <c r="C216" s="337">
        <v>46274</v>
      </c>
      <c r="D216" t="s">
        <v>128</v>
      </c>
      <c r="E216" s="339">
        <v>0.625</v>
      </c>
      <c r="F216">
        <v>1</v>
      </c>
      <c r="G216" t="s">
        <v>158</v>
      </c>
      <c r="H216" t="s">
        <v>163</v>
      </c>
      <c r="I216" t="s">
        <v>165</v>
      </c>
      <c r="J216" t="s">
        <v>165</v>
      </c>
      <c r="K216" t="s">
        <v>165</v>
      </c>
      <c r="L216" t="s">
        <v>163</v>
      </c>
      <c r="M216" t="s">
        <v>163</v>
      </c>
      <c r="N216">
        <v>10.61</v>
      </c>
      <c r="O216" t="s">
        <v>163</v>
      </c>
      <c r="P216" t="s">
        <v>163</v>
      </c>
      <c r="Q216" t="s">
        <v>163</v>
      </c>
      <c r="R216" t="s">
        <v>163</v>
      </c>
      <c r="S216" t="s">
        <v>163</v>
      </c>
      <c r="T216" t="s">
        <v>163</v>
      </c>
      <c r="U216" t="s">
        <v>163</v>
      </c>
      <c r="V216" t="s">
        <v>163</v>
      </c>
      <c r="W216" t="s">
        <v>165</v>
      </c>
      <c r="X216" t="s">
        <v>165</v>
      </c>
      <c r="Y216">
        <v>1</v>
      </c>
      <c r="Z216" t="s">
        <v>163</v>
      </c>
      <c r="AA216">
        <v>1</v>
      </c>
      <c r="AB216">
        <v>2</v>
      </c>
      <c r="AC216">
        <v>0</v>
      </c>
      <c r="AD216" t="s">
        <v>163</v>
      </c>
      <c r="AE216" t="s">
        <v>163</v>
      </c>
      <c r="AF216" t="s">
        <v>163</v>
      </c>
      <c r="AG216" t="s">
        <v>163</v>
      </c>
      <c r="AH216" t="s">
        <v>163</v>
      </c>
      <c r="AI216" t="s">
        <v>163</v>
      </c>
      <c r="AJ216" t="s">
        <v>163</v>
      </c>
      <c r="AK216">
        <v>3</v>
      </c>
      <c r="AL216">
        <v>4</v>
      </c>
      <c r="AM216" t="s">
        <v>163</v>
      </c>
      <c r="AN216">
        <v>1</v>
      </c>
      <c r="AO216">
        <v>1</v>
      </c>
      <c r="AP216">
        <v>2</v>
      </c>
      <c r="AQ216">
        <v>2</v>
      </c>
      <c r="AR216">
        <v>5</v>
      </c>
      <c r="AS216">
        <v>6</v>
      </c>
    </row>
    <row r="217" spans="1:45" x14ac:dyDescent="0.35">
      <c r="A217" s="337">
        <v>46266</v>
      </c>
      <c r="B217" s="337">
        <v>46276</v>
      </c>
      <c r="C217" s="337">
        <v>46274</v>
      </c>
      <c r="D217" t="s">
        <v>128</v>
      </c>
      <c r="E217" s="339">
        <v>0.58333333333333337</v>
      </c>
      <c r="F217">
        <v>1</v>
      </c>
      <c r="G217" t="s">
        <v>158</v>
      </c>
      <c r="H217" t="s">
        <v>163</v>
      </c>
      <c r="I217" t="s">
        <v>165</v>
      </c>
      <c r="J217" t="s">
        <v>165</v>
      </c>
      <c r="K217" t="s">
        <v>165</v>
      </c>
      <c r="L217" t="s">
        <v>163</v>
      </c>
      <c r="M217" t="s">
        <v>163</v>
      </c>
      <c r="N217">
        <v>10.97</v>
      </c>
      <c r="O217" t="s">
        <v>163</v>
      </c>
      <c r="P217" t="s">
        <v>163</v>
      </c>
      <c r="Q217" t="s">
        <v>163</v>
      </c>
      <c r="R217" t="s">
        <v>163</v>
      </c>
      <c r="S217" t="s">
        <v>163</v>
      </c>
      <c r="T217" t="s">
        <v>163</v>
      </c>
      <c r="U217" t="s">
        <v>163</v>
      </c>
      <c r="V217" t="s">
        <v>163</v>
      </c>
      <c r="W217" t="s">
        <v>165</v>
      </c>
      <c r="X217" t="s">
        <v>165</v>
      </c>
      <c r="Y217">
        <v>1</v>
      </c>
      <c r="Z217" t="s">
        <v>163</v>
      </c>
      <c r="AA217">
        <v>1</v>
      </c>
      <c r="AB217">
        <v>2</v>
      </c>
      <c r="AC217">
        <v>0</v>
      </c>
      <c r="AD217" t="s">
        <v>163</v>
      </c>
      <c r="AE217" t="s">
        <v>163</v>
      </c>
      <c r="AF217" t="s">
        <v>163</v>
      </c>
      <c r="AG217" t="s">
        <v>163</v>
      </c>
      <c r="AH217" t="s">
        <v>163</v>
      </c>
      <c r="AI217" t="s">
        <v>163</v>
      </c>
      <c r="AJ217" t="s">
        <v>163</v>
      </c>
      <c r="AK217">
        <v>3</v>
      </c>
      <c r="AL217">
        <v>4</v>
      </c>
      <c r="AM217" t="s">
        <v>163</v>
      </c>
      <c r="AN217">
        <v>1</v>
      </c>
      <c r="AO217">
        <v>1</v>
      </c>
      <c r="AP217">
        <v>2</v>
      </c>
      <c r="AQ217">
        <v>2</v>
      </c>
      <c r="AR217">
        <v>5</v>
      </c>
      <c r="AS217">
        <v>6</v>
      </c>
    </row>
    <row r="218" spans="1:45" x14ac:dyDescent="0.35">
      <c r="A218" s="337">
        <v>46266</v>
      </c>
      <c r="B218" s="337">
        <v>46276</v>
      </c>
      <c r="C218" s="337">
        <v>46273</v>
      </c>
      <c r="D218" t="s">
        <v>125</v>
      </c>
      <c r="E218" t="s">
        <v>238</v>
      </c>
      <c r="F218">
        <v>3</v>
      </c>
      <c r="G218" t="s">
        <v>41</v>
      </c>
      <c r="H218" t="s">
        <v>163</v>
      </c>
      <c r="I218" t="s">
        <v>165</v>
      </c>
      <c r="J218" t="s">
        <v>165</v>
      </c>
      <c r="K218" t="s">
        <v>165</v>
      </c>
      <c r="L218" t="s">
        <v>161</v>
      </c>
      <c r="M218" t="s">
        <v>161</v>
      </c>
      <c r="N218">
        <v>12.03</v>
      </c>
      <c r="O218" t="s">
        <v>163</v>
      </c>
      <c r="P218" t="s">
        <v>163</v>
      </c>
      <c r="Q218" t="s">
        <v>163</v>
      </c>
      <c r="R218" t="s">
        <v>163</v>
      </c>
      <c r="S218" t="s">
        <v>163</v>
      </c>
      <c r="T218" t="s">
        <v>163</v>
      </c>
      <c r="U218" t="s">
        <v>163</v>
      </c>
      <c r="V218" t="s">
        <v>163</v>
      </c>
      <c r="W218" t="s">
        <v>165</v>
      </c>
      <c r="X218" t="s">
        <v>165</v>
      </c>
      <c r="Y218">
        <v>1</v>
      </c>
      <c r="Z218" t="s">
        <v>163</v>
      </c>
      <c r="AA218">
        <v>1</v>
      </c>
      <c r="AB218">
        <v>2</v>
      </c>
      <c r="AC218">
        <v>1</v>
      </c>
      <c r="AD218" t="s">
        <v>163</v>
      </c>
      <c r="AE218" t="s">
        <v>163</v>
      </c>
      <c r="AF218" t="s">
        <v>163</v>
      </c>
      <c r="AG218" t="s">
        <v>163</v>
      </c>
      <c r="AH218" t="s">
        <v>163</v>
      </c>
      <c r="AI218" t="s">
        <v>163</v>
      </c>
      <c r="AJ218" t="s">
        <v>163</v>
      </c>
      <c r="AK218">
        <v>4</v>
      </c>
      <c r="AL218">
        <v>4</v>
      </c>
      <c r="AM218" t="s">
        <v>163</v>
      </c>
      <c r="AN218">
        <v>1</v>
      </c>
      <c r="AO218">
        <v>1</v>
      </c>
      <c r="AP218">
        <v>2</v>
      </c>
      <c r="AQ218">
        <v>2</v>
      </c>
      <c r="AR218">
        <v>6</v>
      </c>
      <c r="AS218">
        <v>6</v>
      </c>
    </row>
    <row r="219" spans="1:45" x14ac:dyDescent="0.35">
      <c r="A219" s="337">
        <v>46266</v>
      </c>
      <c r="B219" s="337">
        <v>46276</v>
      </c>
      <c r="C219" s="337">
        <v>46273</v>
      </c>
      <c r="D219" t="s">
        <v>125</v>
      </c>
      <c r="E219" t="s">
        <v>328</v>
      </c>
      <c r="F219">
        <v>3</v>
      </c>
      <c r="G219" t="s">
        <v>41</v>
      </c>
      <c r="H219" t="s">
        <v>163</v>
      </c>
      <c r="I219" t="s">
        <v>165</v>
      </c>
      <c r="J219" t="s">
        <v>165</v>
      </c>
      <c r="K219" t="s">
        <v>165</v>
      </c>
      <c r="L219" t="s">
        <v>161</v>
      </c>
      <c r="M219" t="s">
        <v>161</v>
      </c>
      <c r="N219">
        <v>11.9</v>
      </c>
      <c r="O219">
        <v>11.46</v>
      </c>
      <c r="P219">
        <v>0.33</v>
      </c>
      <c r="Q219">
        <v>65.5</v>
      </c>
      <c r="R219" t="s">
        <v>163</v>
      </c>
      <c r="S219" t="s">
        <v>163</v>
      </c>
      <c r="T219" t="s">
        <v>163</v>
      </c>
      <c r="U219" t="s">
        <v>163</v>
      </c>
      <c r="V219">
        <v>31.8</v>
      </c>
      <c r="W219" t="s">
        <v>165</v>
      </c>
      <c r="X219" t="s">
        <v>165</v>
      </c>
      <c r="Y219">
        <v>1</v>
      </c>
      <c r="Z219" t="s">
        <v>163</v>
      </c>
      <c r="AA219">
        <v>1</v>
      </c>
      <c r="AB219">
        <v>2</v>
      </c>
      <c r="AC219">
        <v>0</v>
      </c>
      <c r="AD219">
        <v>1</v>
      </c>
      <c r="AE219">
        <v>2</v>
      </c>
      <c r="AF219">
        <v>2</v>
      </c>
      <c r="AG219" t="s">
        <v>163</v>
      </c>
      <c r="AH219" t="s">
        <v>163</v>
      </c>
      <c r="AI219" t="s">
        <v>163</v>
      </c>
      <c r="AJ219" t="s">
        <v>163</v>
      </c>
      <c r="AK219">
        <v>8</v>
      </c>
      <c r="AL219">
        <v>9</v>
      </c>
      <c r="AM219">
        <v>0</v>
      </c>
      <c r="AN219">
        <v>1</v>
      </c>
      <c r="AO219">
        <v>1</v>
      </c>
      <c r="AP219">
        <v>2</v>
      </c>
      <c r="AQ219">
        <v>3</v>
      </c>
      <c r="AR219">
        <v>10</v>
      </c>
      <c r="AS219">
        <v>12</v>
      </c>
    </row>
    <row r="220" spans="1:45" x14ac:dyDescent="0.35">
      <c r="A220" s="337">
        <v>46266</v>
      </c>
      <c r="B220" s="337">
        <v>46276</v>
      </c>
      <c r="C220" s="337">
        <v>46273</v>
      </c>
      <c r="D220" t="s">
        <v>125</v>
      </c>
      <c r="E220" t="s">
        <v>327</v>
      </c>
      <c r="F220">
        <v>3</v>
      </c>
      <c r="G220" t="s">
        <v>78</v>
      </c>
      <c r="H220" t="s">
        <v>163</v>
      </c>
      <c r="I220" t="s">
        <v>165</v>
      </c>
      <c r="J220" t="s">
        <v>165</v>
      </c>
      <c r="K220" t="s">
        <v>165</v>
      </c>
      <c r="L220" t="s">
        <v>161</v>
      </c>
      <c r="M220" t="s">
        <v>161</v>
      </c>
      <c r="N220">
        <v>12.14</v>
      </c>
      <c r="O220" t="s">
        <v>163</v>
      </c>
      <c r="P220" t="s">
        <v>163</v>
      </c>
      <c r="Q220" t="s">
        <v>163</v>
      </c>
      <c r="R220" t="s">
        <v>163</v>
      </c>
      <c r="S220" t="s">
        <v>163</v>
      </c>
      <c r="T220" t="s">
        <v>163</v>
      </c>
      <c r="U220" t="s">
        <v>163</v>
      </c>
      <c r="V220" t="s">
        <v>163</v>
      </c>
      <c r="W220" t="s">
        <v>165</v>
      </c>
      <c r="X220" t="s">
        <v>165</v>
      </c>
      <c r="Y220">
        <v>1</v>
      </c>
      <c r="Z220" t="s">
        <v>163</v>
      </c>
      <c r="AA220">
        <v>1</v>
      </c>
      <c r="AB220">
        <v>2</v>
      </c>
      <c r="AC220">
        <v>1</v>
      </c>
      <c r="AD220" t="s">
        <v>163</v>
      </c>
      <c r="AE220" t="s">
        <v>163</v>
      </c>
      <c r="AF220" t="s">
        <v>163</v>
      </c>
      <c r="AG220" t="s">
        <v>163</v>
      </c>
      <c r="AH220" t="s">
        <v>163</v>
      </c>
      <c r="AI220" t="s">
        <v>163</v>
      </c>
      <c r="AJ220" t="s">
        <v>163</v>
      </c>
      <c r="AK220">
        <v>4</v>
      </c>
      <c r="AL220">
        <v>4</v>
      </c>
      <c r="AM220" t="s">
        <v>163</v>
      </c>
      <c r="AN220">
        <v>1</v>
      </c>
      <c r="AO220">
        <v>1</v>
      </c>
      <c r="AP220">
        <v>2</v>
      </c>
      <c r="AQ220">
        <v>2</v>
      </c>
      <c r="AR220">
        <v>6</v>
      </c>
      <c r="AS220">
        <v>6</v>
      </c>
    </row>
    <row r="221" spans="1:45" x14ac:dyDescent="0.35">
      <c r="A221" s="337">
        <v>46266</v>
      </c>
      <c r="B221" s="337">
        <v>46276</v>
      </c>
      <c r="C221" s="337">
        <v>46273</v>
      </c>
      <c r="D221" t="s">
        <v>125</v>
      </c>
      <c r="E221" t="s">
        <v>240</v>
      </c>
      <c r="F221">
        <v>3</v>
      </c>
      <c r="G221" t="s">
        <v>78</v>
      </c>
      <c r="H221" t="s">
        <v>163</v>
      </c>
      <c r="I221" t="s">
        <v>165</v>
      </c>
      <c r="J221" t="s">
        <v>165</v>
      </c>
      <c r="K221" t="s">
        <v>165</v>
      </c>
      <c r="L221" t="s">
        <v>161</v>
      </c>
      <c r="M221" t="s">
        <v>161</v>
      </c>
      <c r="N221">
        <v>12.14</v>
      </c>
      <c r="O221">
        <v>12.75</v>
      </c>
      <c r="P221">
        <v>0.6</v>
      </c>
      <c r="Q221">
        <v>65.400000000000006</v>
      </c>
      <c r="R221" t="s">
        <v>163</v>
      </c>
      <c r="S221" t="s">
        <v>163</v>
      </c>
      <c r="T221" t="s">
        <v>163</v>
      </c>
      <c r="U221" t="s">
        <v>163</v>
      </c>
      <c r="V221">
        <v>35.700000000000003</v>
      </c>
      <c r="W221" t="s">
        <v>165</v>
      </c>
      <c r="X221" t="s">
        <v>165</v>
      </c>
      <c r="Y221">
        <v>1</v>
      </c>
      <c r="Z221" t="s">
        <v>163</v>
      </c>
      <c r="AA221">
        <v>1</v>
      </c>
      <c r="AB221">
        <v>2</v>
      </c>
      <c r="AC221">
        <v>1</v>
      </c>
      <c r="AD221">
        <v>1</v>
      </c>
      <c r="AE221">
        <v>2</v>
      </c>
      <c r="AF221">
        <v>2</v>
      </c>
      <c r="AG221" t="s">
        <v>163</v>
      </c>
      <c r="AH221" t="s">
        <v>163</v>
      </c>
      <c r="AI221" t="s">
        <v>163</v>
      </c>
      <c r="AJ221" t="s">
        <v>163</v>
      </c>
      <c r="AK221">
        <v>9</v>
      </c>
      <c r="AL221">
        <v>9</v>
      </c>
      <c r="AM221">
        <v>0</v>
      </c>
      <c r="AN221">
        <v>1</v>
      </c>
      <c r="AO221">
        <v>1</v>
      </c>
      <c r="AP221">
        <v>2</v>
      </c>
      <c r="AQ221">
        <v>3</v>
      </c>
      <c r="AR221">
        <v>11</v>
      </c>
      <c r="AS221">
        <v>12</v>
      </c>
    </row>
    <row r="222" spans="1:45" x14ac:dyDescent="0.35">
      <c r="A222" s="337">
        <v>46266</v>
      </c>
      <c r="B222" s="337">
        <v>46276</v>
      </c>
      <c r="C222" s="337">
        <v>816</v>
      </c>
      <c r="D222" t="s">
        <v>125</v>
      </c>
      <c r="E222" t="s">
        <v>238</v>
      </c>
      <c r="F222">
        <v>2</v>
      </c>
      <c r="G222" t="s">
        <v>141</v>
      </c>
      <c r="H222" t="s">
        <v>163</v>
      </c>
      <c r="I222" t="s">
        <v>165</v>
      </c>
      <c r="J222" t="s">
        <v>165</v>
      </c>
      <c r="K222" t="s">
        <v>165</v>
      </c>
      <c r="L222" t="s">
        <v>163</v>
      </c>
      <c r="M222" t="s">
        <v>161</v>
      </c>
      <c r="N222">
        <v>10.37</v>
      </c>
      <c r="O222" t="s">
        <v>163</v>
      </c>
      <c r="P222" t="s">
        <v>163</v>
      </c>
      <c r="Q222" t="s">
        <v>163</v>
      </c>
      <c r="R222" t="s">
        <v>163</v>
      </c>
      <c r="S222" t="s">
        <v>163</v>
      </c>
      <c r="T222" t="s">
        <v>163</v>
      </c>
      <c r="U222" t="s">
        <v>163</v>
      </c>
      <c r="V222" t="s">
        <v>163</v>
      </c>
      <c r="W222" t="s">
        <v>165</v>
      </c>
      <c r="X222" t="s">
        <v>165</v>
      </c>
      <c r="Y222" t="s">
        <v>163</v>
      </c>
      <c r="Z222" t="s">
        <v>163</v>
      </c>
      <c r="AA222">
        <v>1</v>
      </c>
      <c r="AB222">
        <v>2</v>
      </c>
      <c r="AC222">
        <v>0</v>
      </c>
      <c r="AD222" t="s">
        <v>163</v>
      </c>
      <c r="AE222" t="s">
        <v>163</v>
      </c>
      <c r="AF222" t="s">
        <v>163</v>
      </c>
      <c r="AG222" t="s">
        <v>163</v>
      </c>
      <c r="AH222" t="s">
        <v>163</v>
      </c>
      <c r="AI222" t="s">
        <v>163</v>
      </c>
      <c r="AJ222" t="s">
        <v>163</v>
      </c>
      <c r="AK222">
        <v>3</v>
      </c>
      <c r="AL222">
        <v>4</v>
      </c>
      <c r="AM222" t="s">
        <v>163</v>
      </c>
      <c r="AN222">
        <v>1</v>
      </c>
      <c r="AO222">
        <v>1</v>
      </c>
      <c r="AP222">
        <v>2</v>
      </c>
      <c r="AQ222">
        <v>2</v>
      </c>
      <c r="AR222">
        <v>5</v>
      </c>
      <c r="AS222">
        <v>6</v>
      </c>
    </row>
    <row r="223" spans="1:45" x14ac:dyDescent="0.35">
      <c r="A223" s="337">
        <v>46266</v>
      </c>
      <c r="B223" s="337">
        <v>46276</v>
      </c>
      <c r="C223" s="337">
        <v>816</v>
      </c>
      <c r="D223" t="s">
        <v>125</v>
      </c>
      <c r="E223" t="s">
        <v>328</v>
      </c>
      <c r="F223">
        <v>2</v>
      </c>
      <c r="G223" t="s">
        <v>141</v>
      </c>
      <c r="H223" t="s">
        <v>163</v>
      </c>
      <c r="I223" t="s">
        <v>165</v>
      </c>
      <c r="J223" t="s">
        <v>165</v>
      </c>
      <c r="K223" t="s">
        <v>165</v>
      </c>
      <c r="L223" t="s">
        <v>163</v>
      </c>
      <c r="M223" t="s">
        <v>161</v>
      </c>
      <c r="N223">
        <v>10.19</v>
      </c>
      <c r="O223" t="s">
        <v>163</v>
      </c>
      <c r="P223" t="s">
        <v>163</v>
      </c>
      <c r="Q223" t="s">
        <v>163</v>
      </c>
      <c r="R223" t="s">
        <v>163</v>
      </c>
      <c r="S223" t="s">
        <v>163</v>
      </c>
      <c r="T223" t="s">
        <v>163</v>
      </c>
      <c r="U223" t="s">
        <v>163</v>
      </c>
      <c r="V223" t="s">
        <v>163</v>
      </c>
      <c r="W223" t="s">
        <v>165</v>
      </c>
      <c r="X223" t="s">
        <v>165</v>
      </c>
      <c r="Y223">
        <v>1</v>
      </c>
      <c r="Z223" t="s">
        <v>163</v>
      </c>
      <c r="AA223">
        <v>1</v>
      </c>
      <c r="AB223">
        <v>2</v>
      </c>
      <c r="AC223">
        <v>0</v>
      </c>
      <c r="AD223" t="s">
        <v>163</v>
      </c>
      <c r="AE223" t="s">
        <v>163</v>
      </c>
      <c r="AF223" t="s">
        <v>163</v>
      </c>
      <c r="AG223" t="s">
        <v>163</v>
      </c>
      <c r="AH223" t="s">
        <v>163</v>
      </c>
      <c r="AI223" t="s">
        <v>163</v>
      </c>
      <c r="AJ223" t="s">
        <v>163</v>
      </c>
      <c r="AK223">
        <v>3</v>
      </c>
      <c r="AL223">
        <v>4</v>
      </c>
      <c r="AM223" t="s">
        <v>163</v>
      </c>
      <c r="AN223">
        <v>1</v>
      </c>
      <c r="AO223">
        <v>1</v>
      </c>
      <c r="AP223">
        <v>2</v>
      </c>
      <c r="AQ223">
        <v>2</v>
      </c>
      <c r="AR223">
        <v>5</v>
      </c>
      <c r="AS223">
        <v>6</v>
      </c>
    </row>
    <row r="224" spans="1:45" x14ac:dyDescent="0.35">
      <c r="A224" s="337">
        <v>46266</v>
      </c>
      <c r="B224" s="337">
        <v>46276</v>
      </c>
      <c r="C224" s="337">
        <v>816</v>
      </c>
      <c r="D224" t="s">
        <v>125</v>
      </c>
      <c r="E224" t="s">
        <v>237</v>
      </c>
      <c r="F224">
        <v>2</v>
      </c>
      <c r="G224" t="s">
        <v>141</v>
      </c>
      <c r="H224" t="s">
        <v>163</v>
      </c>
      <c r="I224" t="s">
        <v>165</v>
      </c>
      <c r="J224" t="s">
        <v>165</v>
      </c>
      <c r="K224" t="s">
        <v>165</v>
      </c>
      <c r="L224" t="s">
        <v>163</v>
      </c>
      <c r="M224" t="s">
        <v>161</v>
      </c>
      <c r="N224">
        <v>10.78</v>
      </c>
      <c r="O224" t="s">
        <v>163</v>
      </c>
      <c r="P224" t="s">
        <v>163</v>
      </c>
      <c r="Q224" t="s">
        <v>163</v>
      </c>
      <c r="R224" t="s">
        <v>163</v>
      </c>
      <c r="S224" t="s">
        <v>163</v>
      </c>
      <c r="T224" t="s">
        <v>163</v>
      </c>
      <c r="U224" t="s">
        <v>163</v>
      </c>
      <c r="V224" t="s">
        <v>163</v>
      </c>
      <c r="W224" t="s">
        <v>165</v>
      </c>
      <c r="X224" t="s">
        <v>165</v>
      </c>
      <c r="Y224">
        <v>1</v>
      </c>
      <c r="Z224" t="s">
        <v>163</v>
      </c>
      <c r="AA224">
        <v>1</v>
      </c>
      <c r="AB224">
        <v>2</v>
      </c>
      <c r="AC224">
        <v>0</v>
      </c>
      <c r="AD224" t="s">
        <v>163</v>
      </c>
      <c r="AE224" t="s">
        <v>163</v>
      </c>
      <c r="AF224" t="s">
        <v>163</v>
      </c>
      <c r="AG224" t="s">
        <v>163</v>
      </c>
      <c r="AH224" t="s">
        <v>163</v>
      </c>
      <c r="AI224" t="s">
        <v>163</v>
      </c>
      <c r="AJ224" t="s">
        <v>163</v>
      </c>
      <c r="AK224">
        <v>3</v>
      </c>
      <c r="AL224">
        <v>4</v>
      </c>
      <c r="AM224" t="s">
        <v>163</v>
      </c>
      <c r="AN224">
        <v>1</v>
      </c>
      <c r="AO224">
        <v>1</v>
      </c>
      <c r="AP224">
        <v>2</v>
      </c>
      <c r="AQ224">
        <v>2</v>
      </c>
      <c r="AR224">
        <v>5</v>
      </c>
      <c r="AS224">
        <v>6</v>
      </c>
    </row>
    <row r="225" spans="1:45" x14ac:dyDescent="0.35">
      <c r="A225" s="337">
        <v>46266</v>
      </c>
      <c r="B225" s="337">
        <v>46276</v>
      </c>
      <c r="C225" s="337">
        <v>816</v>
      </c>
      <c r="D225" t="s">
        <v>125</v>
      </c>
      <c r="E225" t="s">
        <v>240</v>
      </c>
      <c r="F225">
        <v>2</v>
      </c>
      <c r="G225" t="s">
        <v>141</v>
      </c>
      <c r="H225" t="s">
        <v>163</v>
      </c>
      <c r="I225" t="s">
        <v>165</v>
      </c>
      <c r="J225" t="s">
        <v>165</v>
      </c>
      <c r="K225" t="s">
        <v>165</v>
      </c>
      <c r="L225" t="s">
        <v>163</v>
      </c>
      <c r="M225" t="s">
        <v>161</v>
      </c>
      <c r="N225">
        <v>10.8</v>
      </c>
      <c r="O225" t="s">
        <v>163</v>
      </c>
      <c r="P225" t="s">
        <v>163</v>
      </c>
      <c r="Q225" t="s">
        <v>163</v>
      </c>
      <c r="R225" t="s">
        <v>163</v>
      </c>
      <c r="S225" t="s">
        <v>163</v>
      </c>
      <c r="T225" t="s">
        <v>163</v>
      </c>
      <c r="U225" t="s">
        <v>163</v>
      </c>
      <c r="V225" t="s">
        <v>163</v>
      </c>
      <c r="W225" t="s">
        <v>165</v>
      </c>
      <c r="X225" t="s">
        <v>165</v>
      </c>
      <c r="Y225" t="s">
        <v>163</v>
      </c>
      <c r="Z225" t="s">
        <v>163</v>
      </c>
      <c r="AA225">
        <v>1</v>
      </c>
      <c r="AB225">
        <v>2</v>
      </c>
      <c r="AC225">
        <v>0</v>
      </c>
      <c r="AD225" t="s">
        <v>163</v>
      </c>
      <c r="AE225" t="s">
        <v>163</v>
      </c>
      <c r="AF225" t="s">
        <v>163</v>
      </c>
      <c r="AG225" t="s">
        <v>163</v>
      </c>
      <c r="AH225" t="s">
        <v>163</v>
      </c>
      <c r="AI225" t="s">
        <v>163</v>
      </c>
      <c r="AJ225" t="s">
        <v>163</v>
      </c>
      <c r="AK225">
        <v>3</v>
      </c>
      <c r="AL225">
        <v>4</v>
      </c>
      <c r="AM225" t="s">
        <v>163</v>
      </c>
      <c r="AN225">
        <v>1</v>
      </c>
      <c r="AO225">
        <v>1</v>
      </c>
      <c r="AP225">
        <v>2</v>
      </c>
      <c r="AQ225">
        <v>2</v>
      </c>
      <c r="AR225">
        <v>5</v>
      </c>
      <c r="AS225">
        <v>6</v>
      </c>
    </row>
    <row r="226" spans="1:45" x14ac:dyDescent="0.35">
      <c r="A226" s="337">
        <v>46266</v>
      </c>
      <c r="B226" s="337">
        <v>46276</v>
      </c>
      <c r="C226" s="337">
        <v>816</v>
      </c>
      <c r="D226" t="s">
        <v>125</v>
      </c>
      <c r="E226" t="s">
        <v>273</v>
      </c>
      <c r="F226">
        <v>2</v>
      </c>
      <c r="G226" t="s">
        <v>141</v>
      </c>
      <c r="H226" t="s">
        <v>163</v>
      </c>
      <c r="I226" t="s">
        <v>165</v>
      </c>
      <c r="J226" t="s">
        <v>165</v>
      </c>
      <c r="K226" t="s">
        <v>165</v>
      </c>
      <c r="L226" t="s">
        <v>163</v>
      </c>
      <c r="M226" t="s">
        <v>161</v>
      </c>
      <c r="N226">
        <v>11.02</v>
      </c>
      <c r="O226" t="s">
        <v>163</v>
      </c>
      <c r="P226" t="s">
        <v>163</v>
      </c>
      <c r="Q226" t="s">
        <v>163</v>
      </c>
      <c r="R226" t="s">
        <v>163</v>
      </c>
      <c r="S226" t="s">
        <v>163</v>
      </c>
      <c r="T226" t="s">
        <v>163</v>
      </c>
      <c r="U226" t="s">
        <v>163</v>
      </c>
      <c r="V226" t="s">
        <v>163</v>
      </c>
      <c r="W226" t="s">
        <v>165</v>
      </c>
      <c r="X226" t="s">
        <v>165</v>
      </c>
      <c r="Y226">
        <v>1</v>
      </c>
      <c r="Z226" t="s">
        <v>163</v>
      </c>
      <c r="AA226">
        <v>1</v>
      </c>
      <c r="AB226">
        <v>2</v>
      </c>
      <c r="AC226">
        <v>1</v>
      </c>
      <c r="AD226" t="s">
        <v>163</v>
      </c>
      <c r="AE226" t="s">
        <v>163</v>
      </c>
      <c r="AF226" t="s">
        <v>163</v>
      </c>
      <c r="AG226" t="s">
        <v>163</v>
      </c>
      <c r="AH226" t="s">
        <v>163</v>
      </c>
      <c r="AI226" t="s">
        <v>163</v>
      </c>
      <c r="AJ226" t="s">
        <v>163</v>
      </c>
      <c r="AK226">
        <v>4</v>
      </c>
      <c r="AL226">
        <v>4</v>
      </c>
      <c r="AM226" t="s">
        <v>163</v>
      </c>
      <c r="AN226">
        <v>1</v>
      </c>
      <c r="AO226">
        <v>1</v>
      </c>
      <c r="AP226">
        <v>2</v>
      </c>
      <c r="AQ226">
        <v>2</v>
      </c>
      <c r="AR226">
        <v>6</v>
      </c>
      <c r="AS226">
        <v>6</v>
      </c>
    </row>
    <row r="227" spans="1:45" x14ac:dyDescent="0.35">
      <c r="A227" s="337">
        <v>46266</v>
      </c>
      <c r="B227" s="337">
        <v>46276</v>
      </c>
      <c r="C227" s="337">
        <v>816</v>
      </c>
      <c r="D227" t="s">
        <v>125</v>
      </c>
      <c r="E227" t="s">
        <v>239</v>
      </c>
      <c r="F227">
        <v>2</v>
      </c>
      <c r="G227" t="s">
        <v>141</v>
      </c>
      <c r="H227" t="s">
        <v>163</v>
      </c>
      <c r="I227" t="s">
        <v>165</v>
      </c>
      <c r="J227" t="s">
        <v>165</v>
      </c>
      <c r="K227" t="s">
        <v>165</v>
      </c>
      <c r="L227" t="s">
        <v>163</v>
      </c>
      <c r="M227" t="s">
        <v>161</v>
      </c>
      <c r="N227">
        <v>10.64</v>
      </c>
      <c r="O227" t="s">
        <v>163</v>
      </c>
      <c r="P227" t="s">
        <v>163</v>
      </c>
      <c r="Q227" t="s">
        <v>163</v>
      </c>
      <c r="R227" t="s">
        <v>163</v>
      </c>
      <c r="S227" t="s">
        <v>163</v>
      </c>
      <c r="T227" t="s">
        <v>163</v>
      </c>
      <c r="U227" t="s">
        <v>163</v>
      </c>
      <c r="V227" t="s">
        <v>163</v>
      </c>
      <c r="W227" t="s">
        <v>165</v>
      </c>
      <c r="X227" t="s">
        <v>165</v>
      </c>
      <c r="Y227">
        <v>1</v>
      </c>
      <c r="Z227" t="s">
        <v>163</v>
      </c>
      <c r="AA227">
        <v>1</v>
      </c>
      <c r="AB227">
        <v>2</v>
      </c>
      <c r="AC227">
        <v>0</v>
      </c>
      <c r="AD227" t="s">
        <v>163</v>
      </c>
      <c r="AE227" t="s">
        <v>163</v>
      </c>
      <c r="AF227" t="s">
        <v>163</v>
      </c>
      <c r="AG227" t="s">
        <v>163</v>
      </c>
      <c r="AH227" t="s">
        <v>163</v>
      </c>
      <c r="AI227" t="s">
        <v>163</v>
      </c>
      <c r="AJ227" t="s">
        <v>163</v>
      </c>
      <c r="AK227">
        <v>3</v>
      </c>
      <c r="AL227">
        <v>4</v>
      </c>
      <c r="AM227" t="s">
        <v>163</v>
      </c>
      <c r="AN227">
        <v>1</v>
      </c>
      <c r="AO227">
        <v>1</v>
      </c>
      <c r="AP227">
        <v>2</v>
      </c>
      <c r="AQ227">
        <v>2</v>
      </c>
      <c r="AR227">
        <v>5</v>
      </c>
      <c r="AS227">
        <v>6</v>
      </c>
    </row>
    <row r="228" spans="1:45" x14ac:dyDescent="0.35">
      <c r="A228" s="337">
        <v>46266</v>
      </c>
      <c r="B228" s="337">
        <v>46276</v>
      </c>
      <c r="C228" s="337">
        <v>816</v>
      </c>
      <c r="D228" t="s">
        <v>125</v>
      </c>
      <c r="E228" t="s">
        <v>326</v>
      </c>
      <c r="F228">
        <v>2</v>
      </c>
      <c r="G228" t="s">
        <v>141</v>
      </c>
      <c r="H228" t="s">
        <v>163</v>
      </c>
      <c r="I228" t="s">
        <v>165</v>
      </c>
      <c r="J228" t="s">
        <v>165</v>
      </c>
      <c r="K228" t="s">
        <v>165</v>
      </c>
      <c r="L228" t="s">
        <v>163</v>
      </c>
      <c r="M228" t="s">
        <v>161</v>
      </c>
      <c r="N228">
        <v>10.33</v>
      </c>
      <c r="O228" t="s">
        <v>163</v>
      </c>
      <c r="P228" t="s">
        <v>163</v>
      </c>
      <c r="Q228" t="s">
        <v>163</v>
      </c>
      <c r="R228" t="s">
        <v>163</v>
      </c>
      <c r="S228" t="s">
        <v>163</v>
      </c>
      <c r="T228" t="s">
        <v>163</v>
      </c>
      <c r="U228" t="s">
        <v>163</v>
      </c>
      <c r="V228">
        <v>26.1</v>
      </c>
      <c r="W228" t="s">
        <v>165</v>
      </c>
      <c r="X228" t="s">
        <v>165</v>
      </c>
      <c r="Y228">
        <v>1</v>
      </c>
      <c r="Z228" t="s">
        <v>163</v>
      </c>
      <c r="AA228">
        <v>1</v>
      </c>
      <c r="AB228">
        <v>2</v>
      </c>
      <c r="AC228">
        <v>0</v>
      </c>
      <c r="AD228" t="s">
        <v>163</v>
      </c>
      <c r="AE228" t="s">
        <v>163</v>
      </c>
      <c r="AF228" t="s">
        <v>163</v>
      </c>
      <c r="AG228" t="s">
        <v>163</v>
      </c>
      <c r="AH228" t="s">
        <v>163</v>
      </c>
      <c r="AI228" t="s">
        <v>163</v>
      </c>
      <c r="AJ228" t="s">
        <v>163</v>
      </c>
      <c r="AK228">
        <v>3</v>
      </c>
      <c r="AL228">
        <v>4</v>
      </c>
      <c r="AM228">
        <v>0</v>
      </c>
      <c r="AN228">
        <v>1</v>
      </c>
      <c r="AO228">
        <v>1</v>
      </c>
      <c r="AP228">
        <v>2</v>
      </c>
      <c r="AQ228">
        <v>3</v>
      </c>
      <c r="AR228">
        <v>5</v>
      </c>
      <c r="AS228">
        <v>7</v>
      </c>
    </row>
    <row r="229" spans="1:45" x14ac:dyDescent="0.35">
      <c r="A229" s="337">
        <v>46266</v>
      </c>
      <c r="B229" s="337">
        <v>46276</v>
      </c>
      <c r="C229" s="337">
        <v>46274</v>
      </c>
      <c r="D229" t="s">
        <v>125</v>
      </c>
      <c r="E229" t="s">
        <v>238</v>
      </c>
      <c r="F229">
        <v>1</v>
      </c>
      <c r="G229" t="s">
        <v>158</v>
      </c>
      <c r="H229" t="s">
        <v>163</v>
      </c>
      <c r="I229" t="s">
        <v>165</v>
      </c>
      <c r="J229" t="s">
        <v>165</v>
      </c>
      <c r="K229" t="s">
        <v>165</v>
      </c>
      <c r="L229" t="s">
        <v>163</v>
      </c>
      <c r="M229" t="s">
        <v>163</v>
      </c>
      <c r="N229">
        <v>10.61</v>
      </c>
      <c r="O229" t="s">
        <v>163</v>
      </c>
      <c r="P229" t="s">
        <v>163</v>
      </c>
      <c r="Q229" t="s">
        <v>163</v>
      </c>
      <c r="R229" t="s">
        <v>163</v>
      </c>
      <c r="S229" t="s">
        <v>163</v>
      </c>
      <c r="T229" t="s">
        <v>163</v>
      </c>
      <c r="U229" t="s">
        <v>163</v>
      </c>
      <c r="V229" t="s">
        <v>163</v>
      </c>
      <c r="W229" t="s">
        <v>165</v>
      </c>
      <c r="X229" t="s">
        <v>165</v>
      </c>
      <c r="Y229">
        <v>1</v>
      </c>
      <c r="Z229" t="s">
        <v>163</v>
      </c>
      <c r="AA229">
        <v>1</v>
      </c>
      <c r="AB229">
        <v>2</v>
      </c>
      <c r="AC229">
        <v>0</v>
      </c>
      <c r="AD229" t="s">
        <v>163</v>
      </c>
      <c r="AE229" t="s">
        <v>163</v>
      </c>
      <c r="AF229" t="s">
        <v>163</v>
      </c>
      <c r="AG229" t="s">
        <v>163</v>
      </c>
      <c r="AH229" t="s">
        <v>163</v>
      </c>
      <c r="AI229" t="s">
        <v>163</v>
      </c>
      <c r="AJ229" t="s">
        <v>163</v>
      </c>
      <c r="AK229">
        <v>3</v>
      </c>
      <c r="AL229">
        <v>4</v>
      </c>
      <c r="AM229" t="s">
        <v>163</v>
      </c>
      <c r="AN229">
        <v>1</v>
      </c>
      <c r="AO229">
        <v>1</v>
      </c>
      <c r="AP229">
        <v>2</v>
      </c>
      <c r="AQ229">
        <v>2</v>
      </c>
      <c r="AR229">
        <v>5</v>
      </c>
      <c r="AS229">
        <v>6</v>
      </c>
    </row>
    <row r="230" spans="1:45" x14ac:dyDescent="0.35">
      <c r="A230" s="337">
        <v>46266</v>
      </c>
      <c r="B230" s="337">
        <v>46276</v>
      </c>
      <c r="C230" s="337">
        <v>46274</v>
      </c>
      <c r="D230" t="s">
        <v>125</v>
      </c>
      <c r="E230" t="s">
        <v>328</v>
      </c>
      <c r="F230">
        <v>1</v>
      </c>
      <c r="G230" t="s">
        <v>158</v>
      </c>
      <c r="H230" t="s">
        <v>163</v>
      </c>
      <c r="I230" t="s">
        <v>165</v>
      </c>
      <c r="J230" t="s">
        <v>165</v>
      </c>
      <c r="K230" t="s">
        <v>165</v>
      </c>
      <c r="L230" t="s">
        <v>163</v>
      </c>
      <c r="M230" t="s">
        <v>163</v>
      </c>
      <c r="N230">
        <v>10.81</v>
      </c>
      <c r="O230" t="s">
        <v>163</v>
      </c>
      <c r="P230" t="s">
        <v>163</v>
      </c>
      <c r="Q230" t="s">
        <v>163</v>
      </c>
      <c r="R230" t="s">
        <v>163</v>
      </c>
      <c r="S230" t="s">
        <v>163</v>
      </c>
      <c r="T230" t="s">
        <v>163</v>
      </c>
      <c r="U230" t="s">
        <v>163</v>
      </c>
      <c r="V230" t="s">
        <v>163</v>
      </c>
      <c r="W230" t="s">
        <v>165</v>
      </c>
      <c r="X230" t="s">
        <v>165</v>
      </c>
      <c r="Y230">
        <v>1</v>
      </c>
      <c r="Z230" t="s">
        <v>163</v>
      </c>
      <c r="AA230">
        <v>1</v>
      </c>
      <c r="AB230">
        <v>2</v>
      </c>
      <c r="AC230">
        <v>0</v>
      </c>
      <c r="AD230" t="s">
        <v>163</v>
      </c>
      <c r="AE230" t="s">
        <v>163</v>
      </c>
      <c r="AF230" t="s">
        <v>163</v>
      </c>
      <c r="AG230" t="s">
        <v>163</v>
      </c>
      <c r="AH230" t="s">
        <v>163</v>
      </c>
      <c r="AI230" t="s">
        <v>163</v>
      </c>
      <c r="AJ230" t="s">
        <v>163</v>
      </c>
      <c r="AK230">
        <v>3</v>
      </c>
      <c r="AL230">
        <v>4</v>
      </c>
      <c r="AM230" t="s">
        <v>163</v>
      </c>
      <c r="AN230">
        <v>1</v>
      </c>
      <c r="AO230">
        <v>1</v>
      </c>
      <c r="AP230">
        <v>2</v>
      </c>
      <c r="AQ230">
        <v>2</v>
      </c>
      <c r="AR230">
        <v>5</v>
      </c>
      <c r="AS230">
        <v>6</v>
      </c>
    </row>
    <row r="231" spans="1:45" x14ac:dyDescent="0.35">
      <c r="A231" s="337">
        <v>46266</v>
      </c>
      <c r="B231" s="337">
        <v>46276</v>
      </c>
      <c r="C231" s="337">
        <v>46274</v>
      </c>
      <c r="D231" t="s">
        <v>125</v>
      </c>
      <c r="E231" t="s">
        <v>327</v>
      </c>
      <c r="F231">
        <v>1</v>
      </c>
      <c r="G231" t="s">
        <v>158</v>
      </c>
      <c r="H231" t="s">
        <v>163</v>
      </c>
      <c r="I231" t="s">
        <v>163</v>
      </c>
      <c r="J231" t="s">
        <v>165</v>
      </c>
      <c r="K231" t="s">
        <v>165</v>
      </c>
      <c r="L231" t="s">
        <v>163</v>
      </c>
      <c r="M231" t="s">
        <v>163</v>
      </c>
      <c r="N231">
        <v>10.7</v>
      </c>
      <c r="O231" t="s">
        <v>163</v>
      </c>
      <c r="P231" t="s">
        <v>163</v>
      </c>
      <c r="Q231" t="s">
        <v>163</v>
      </c>
      <c r="R231" t="s">
        <v>163</v>
      </c>
      <c r="S231" t="s">
        <v>163</v>
      </c>
      <c r="T231" t="s">
        <v>163</v>
      </c>
      <c r="U231" t="s">
        <v>163</v>
      </c>
      <c r="V231" t="s">
        <v>163</v>
      </c>
      <c r="W231" t="s">
        <v>165</v>
      </c>
      <c r="X231" t="s">
        <v>165</v>
      </c>
      <c r="Y231">
        <v>1</v>
      </c>
      <c r="Z231" t="s">
        <v>163</v>
      </c>
      <c r="AA231" t="s">
        <v>163</v>
      </c>
      <c r="AB231">
        <v>2</v>
      </c>
      <c r="AC231">
        <v>0</v>
      </c>
      <c r="AD231" t="s">
        <v>163</v>
      </c>
      <c r="AE231" t="s">
        <v>163</v>
      </c>
      <c r="AF231" t="s">
        <v>163</v>
      </c>
      <c r="AG231" t="s">
        <v>163</v>
      </c>
      <c r="AH231" t="s">
        <v>163</v>
      </c>
      <c r="AI231" t="s">
        <v>163</v>
      </c>
      <c r="AJ231" t="s">
        <v>163</v>
      </c>
      <c r="AK231">
        <v>2</v>
      </c>
      <c r="AL231">
        <v>3</v>
      </c>
      <c r="AM231" t="s">
        <v>163</v>
      </c>
      <c r="AN231">
        <v>1</v>
      </c>
      <c r="AO231">
        <v>1</v>
      </c>
      <c r="AP231">
        <v>2</v>
      </c>
      <c r="AQ231">
        <v>2</v>
      </c>
      <c r="AR231">
        <v>4</v>
      </c>
      <c r="AS231">
        <v>5</v>
      </c>
    </row>
    <row r="232" spans="1:45" x14ac:dyDescent="0.35">
      <c r="A232" s="337">
        <v>46266</v>
      </c>
      <c r="B232" s="337">
        <v>46276</v>
      </c>
      <c r="C232" s="337">
        <v>46274</v>
      </c>
      <c r="D232" t="s">
        <v>125</v>
      </c>
      <c r="E232" t="s">
        <v>239</v>
      </c>
      <c r="F232">
        <v>1</v>
      </c>
      <c r="G232" t="s">
        <v>158</v>
      </c>
      <c r="H232" t="s">
        <v>163</v>
      </c>
      <c r="I232" t="s">
        <v>165</v>
      </c>
      <c r="J232" t="s">
        <v>165</v>
      </c>
      <c r="K232" t="s">
        <v>165</v>
      </c>
      <c r="L232" t="s">
        <v>163</v>
      </c>
      <c r="M232" t="s">
        <v>163</v>
      </c>
      <c r="N232">
        <v>11.24</v>
      </c>
      <c r="O232" t="s">
        <v>163</v>
      </c>
      <c r="P232" t="s">
        <v>163</v>
      </c>
      <c r="Q232" t="s">
        <v>163</v>
      </c>
      <c r="R232" t="s">
        <v>163</v>
      </c>
      <c r="S232" t="s">
        <v>163</v>
      </c>
      <c r="T232" t="s">
        <v>163</v>
      </c>
      <c r="U232" t="s">
        <v>163</v>
      </c>
      <c r="V232" t="s">
        <v>163</v>
      </c>
      <c r="W232" t="s">
        <v>165</v>
      </c>
      <c r="X232" t="s">
        <v>165</v>
      </c>
      <c r="Y232">
        <v>1</v>
      </c>
      <c r="Z232" t="s">
        <v>163</v>
      </c>
      <c r="AA232">
        <v>1</v>
      </c>
      <c r="AB232">
        <v>2</v>
      </c>
      <c r="AC232">
        <v>1</v>
      </c>
      <c r="AD232" t="s">
        <v>163</v>
      </c>
      <c r="AE232" t="s">
        <v>163</v>
      </c>
      <c r="AF232" t="s">
        <v>163</v>
      </c>
      <c r="AG232" t="s">
        <v>163</v>
      </c>
      <c r="AH232" t="s">
        <v>163</v>
      </c>
      <c r="AI232" t="s">
        <v>163</v>
      </c>
      <c r="AJ232" t="s">
        <v>163</v>
      </c>
      <c r="AK232">
        <v>4</v>
      </c>
      <c r="AL232">
        <v>4</v>
      </c>
      <c r="AM232" t="s">
        <v>163</v>
      </c>
      <c r="AN232">
        <v>1</v>
      </c>
      <c r="AO232">
        <v>1</v>
      </c>
      <c r="AP232">
        <v>2</v>
      </c>
      <c r="AQ232">
        <v>2</v>
      </c>
      <c r="AR232">
        <v>6</v>
      </c>
      <c r="AS232">
        <v>6</v>
      </c>
    </row>
    <row r="233" spans="1:45" x14ac:dyDescent="0.35">
      <c r="A233" s="337">
        <v>46266</v>
      </c>
      <c r="B233" s="337">
        <v>46276</v>
      </c>
      <c r="C233" s="337">
        <v>46274</v>
      </c>
      <c r="D233" t="s">
        <v>125</v>
      </c>
      <c r="E233" t="s">
        <v>326</v>
      </c>
      <c r="F233">
        <v>1</v>
      </c>
      <c r="G233" t="s">
        <v>158</v>
      </c>
      <c r="H233" t="s">
        <v>163</v>
      </c>
      <c r="I233" t="s">
        <v>165</v>
      </c>
      <c r="J233" t="s">
        <v>165</v>
      </c>
      <c r="K233" t="s">
        <v>165</v>
      </c>
      <c r="L233" t="s">
        <v>163</v>
      </c>
      <c r="M233" t="s">
        <v>163</v>
      </c>
      <c r="N233">
        <v>11.23</v>
      </c>
      <c r="O233">
        <v>9.11</v>
      </c>
      <c r="P233">
        <v>0.55000000000000004</v>
      </c>
      <c r="Q233">
        <v>54.7</v>
      </c>
      <c r="R233" t="s">
        <v>163</v>
      </c>
      <c r="S233" t="s">
        <v>163</v>
      </c>
      <c r="T233" t="s">
        <v>163</v>
      </c>
      <c r="U233" t="s">
        <v>163</v>
      </c>
      <c r="V233">
        <v>24.7</v>
      </c>
      <c r="W233" t="s">
        <v>165</v>
      </c>
      <c r="X233" t="s">
        <v>165</v>
      </c>
      <c r="Y233">
        <v>1</v>
      </c>
      <c r="Z233" t="s">
        <v>163</v>
      </c>
      <c r="AA233">
        <v>1</v>
      </c>
      <c r="AB233">
        <v>2</v>
      </c>
      <c r="AC233">
        <v>1</v>
      </c>
      <c r="AD233">
        <v>1</v>
      </c>
      <c r="AE233">
        <v>2</v>
      </c>
      <c r="AF233">
        <v>2</v>
      </c>
      <c r="AG233" t="s">
        <v>163</v>
      </c>
      <c r="AH233" t="s">
        <v>163</v>
      </c>
      <c r="AI233" t="s">
        <v>163</v>
      </c>
      <c r="AJ233" t="s">
        <v>163</v>
      </c>
      <c r="AK233">
        <v>9</v>
      </c>
      <c r="AL233">
        <v>9</v>
      </c>
      <c r="AM233">
        <v>0</v>
      </c>
      <c r="AN233">
        <v>1</v>
      </c>
      <c r="AO233">
        <v>1</v>
      </c>
      <c r="AP233">
        <v>2</v>
      </c>
      <c r="AQ233">
        <v>3</v>
      </c>
      <c r="AR233">
        <v>11</v>
      </c>
      <c r="AS233">
        <v>12</v>
      </c>
    </row>
    <row r="234" spans="1:45" x14ac:dyDescent="0.35">
      <c r="A234" s="337">
        <v>46266</v>
      </c>
      <c r="B234" s="337">
        <v>46275</v>
      </c>
      <c r="C234" s="337">
        <v>46273</v>
      </c>
      <c r="D234" t="s">
        <v>130</v>
      </c>
      <c r="E234" s="338">
        <v>1.2083333333333333</v>
      </c>
      <c r="F234">
        <v>3</v>
      </c>
      <c r="G234" t="s">
        <v>187</v>
      </c>
      <c r="H234" t="s">
        <v>163</v>
      </c>
      <c r="I234" t="s">
        <v>165</v>
      </c>
      <c r="J234" t="s">
        <v>165</v>
      </c>
      <c r="K234" t="s">
        <v>165</v>
      </c>
      <c r="L234" t="s">
        <v>161</v>
      </c>
      <c r="M234" t="s">
        <v>161</v>
      </c>
      <c r="N234">
        <v>12.69</v>
      </c>
      <c r="O234" t="s">
        <v>163</v>
      </c>
      <c r="P234" t="s">
        <v>163</v>
      </c>
      <c r="Q234" t="s">
        <v>163</v>
      </c>
      <c r="R234" t="s">
        <v>163</v>
      </c>
      <c r="S234" t="s">
        <v>163</v>
      </c>
      <c r="T234" t="s">
        <v>163</v>
      </c>
      <c r="U234" t="s">
        <v>163</v>
      </c>
      <c r="V234" t="s">
        <v>163</v>
      </c>
      <c r="W234" t="s">
        <v>165</v>
      </c>
      <c r="X234" t="s">
        <v>165</v>
      </c>
      <c r="Y234">
        <v>1</v>
      </c>
      <c r="Z234" t="s">
        <v>163</v>
      </c>
      <c r="AA234">
        <v>1</v>
      </c>
      <c r="AB234">
        <v>2</v>
      </c>
      <c r="AC234">
        <v>1</v>
      </c>
      <c r="AD234" t="s">
        <v>163</v>
      </c>
      <c r="AE234" t="s">
        <v>163</v>
      </c>
      <c r="AF234" t="s">
        <v>163</v>
      </c>
      <c r="AG234" t="s">
        <v>163</v>
      </c>
      <c r="AH234" t="s">
        <v>163</v>
      </c>
      <c r="AI234" t="s">
        <v>163</v>
      </c>
      <c r="AJ234" t="s">
        <v>163</v>
      </c>
      <c r="AK234">
        <v>4</v>
      </c>
      <c r="AL234">
        <v>4</v>
      </c>
      <c r="AM234" t="s">
        <v>163</v>
      </c>
      <c r="AN234">
        <v>1</v>
      </c>
      <c r="AO234">
        <v>1</v>
      </c>
      <c r="AP234">
        <v>2</v>
      </c>
      <c r="AQ234">
        <v>2</v>
      </c>
      <c r="AR234">
        <v>6</v>
      </c>
      <c r="AS234">
        <v>6</v>
      </c>
    </row>
    <row r="235" spans="1:45" x14ac:dyDescent="0.35">
      <c r="A235" s="337">
        <v>46266</v>
      </c>
      <c r="B235" s="337">
        <v>46275</v>
      </c>
      <c r="C235" s="337">
        <v>46273</v>
      </c>
      <c r="D235" t="s">
        <v>130</v>
      </c>
      <c r="E235" s="338">
        <v>1.1666666666666667</v>
      </c>
      <c r="F235">
        <v>3</v>
      </c>
      <c r="G235" t="s">
        <v>187</v>
      </c>
      <c r="H235" t="s">
        <v>163</v>
      </c>
      <c r="I235" t="s">
        <v>165</v>
      </c>
      <c r="J235" t="s">
        <v>165</v>
      </c>
      <c r="K235" t="s">
        <v>165</v>
      </c>
      <c r="L235" t="s">
        <v>161</v>
      </c>
      <c r="M235" t="s">
        <v>161</v>
      </c>
      <c r="N235">
        <v>12.78</v>
      </c>
      <c r="O235" t="s">
        <v>163</v>
      </c>
      <c r="P235" t="s">
        <v>163</v>
      </c>
      <c r="Q235" t="s">
        <v>163</v>
      </c>
      <c r="R235" t="s">
        <v>163</v>
      </c>
      <c r="S235" t="s">
        <v>163</v>
      </c>
      <c r="T235" t="s">
        <v>163</v>
      </c>
      <c r="U235" t="s">
        <v>163</v>
      </c>
      <c r="V235" t="s">
        <v>163</v>
      </c>
      <c r="W235" t="s">
        <v>165</v>
      </c>
      <c r="X235" t="s">
        <v>165</v>
      </c>
      <c r="Y235">
        <v>1</v>
      </c>
      <c r="Z235" t="s">
        <v>163</v>
      </c>
      <c r="AA235">
        <v>1</v>
      </c>
      <c r="AB235">
        <v>2</v>
      </c>
      <c r="AC235">
        <v>1</v>
      </c>
      <c r="AD235" t="s">
        <v>163</v>
      </c>
      <c r="AE235" t="s">
        <v>163</v>
      </c>
      <c r="AF235" t="s">
        <v>163</v>
      </c>
      <c r="AG235" t="s">
        <v>163</v>
      </c>
      <c r="AH235" t="s">
        <v>163</v>
      </c>
      <c r="AI235" t="s">
        <v>163</v>
      </c>
      <c r="AJ235" t="s">
        <v>163</v>
      </c>
      <c r="AK235">
        <v>4</v>
      </c>
      <c r="AL235">
        <v>4</v>
      </c>
      <c r="AM235" t="s">
        <v>163</v>
      </c>
      <c r="AN235">
        <v>1</v>
      </c>
      <c r="AO235">
        <v>1</v>
      </c>
      <c r="AP235">
        <v>2</v>
      </c>
      <c r="AQ235">
        <v>2</v>
      </c>
      <c r="AR235">
        <v>6</v>
      </c>
      <c r="AS235">
        <v>6</v>
      </c>
    </row>
    <row r="236" spans="1:45" x14ac:dyDescent="0.35">
      <c r="A236" s="337">
        <v>46266</v>
      </c>
      <c r="B236" s="337">
        <v>46275</v>
      </c>
      <c r="C236" s="337">
        <v>46273</v>
      </c>
      <c r="D236" t="s">
        <v>130</v>
      </c>
      <c r="E236" s="338">
        <v>1.125</v>
      </c>
      <c r="F236">
        <v>3</v>
      </c>
      <c r="G236" t="s">
        <v>187</v>
      </c>
      <c r="H236">
        <v>0.02</v>
      </c>
      <c r="I236" t="s">
        <v>165</v>
      </c>
      <c r="J236" t="s">
        <v>165</v>
      </c>
      <c r="K236" t="s">
        <v>165</v>
      </c>
      <c r="L236" t="s">
        <v>161</v>
      </c>
      <c r="M236" t="s">
        <v>161</v>
      </c>
      <c r="N236" t="s">
        <v>163</v>
      </c>
      <c r="O236">
        <v>11.68</v>
      </c>
      <c r="P236" t="s">
        <v>163</v>
      </c>
      <c r="Q236">
        <v>62.3</v>
      </c>
      <c r="R236" t="s">
        <v>163</v>
      </c>
      <c r="S236" t="s">
        <v>163</v>
      </c>
      <c r="T236">
        <v>32.299999999999997</v>
      </c>
      <c r="U236" t="s">
        <v>163</v>
      </c>
      <c r="V236" t="s">
        <v>163</v>
      </c>
      <c r="W236" t="s">
        <v>165</v>
      </c>
      <c r="X236" t="s">
        <v>165</v>
      </c>
      <c r="Y236">
        <v>1</v>
      </c>
      <c r="Z236">
        <v>2</v>
      </c>
      <c r="AA236">
        <v>1</v>
      </c>
      <c r="AB236">
        <v>2</v>
      </c>
      <c r="AC236" t="s">
        <v>163</v>
      </c>
      <c r="AD236">
        <v>1</v>
      </c>
      <c r="AE236" t="s">
        <v>163</v>
      </c>
      <c r="AF236">
        <v>0</v>
      </c>
      <c r="AG236" t="s">
        <v>163</v>
      </c>
      <c r="AH236" t="s">
        <v>163</v>
      </c>
      <c r="AI236">
        <v>2</v>
      </c>
      <c r="AJ236" t="s">
        <v>163</v>
      </c>
      <c r="AK236">
        <v>8</v>
      </c>
      <c r="AL236">
        <v>10</v>
      </c>
      <c r="AM236" t="s">
        <v>163</v>
      </c>
      <c r="AN236">
        <v>1</v>
      </c>
      <c r="AO236">
        <v>1</v>
      </c>
      <c r="AP236">
        <v>2</v>
      </c>
      <c r="AQ236">
        <v>2</v>
      </c>
      <c r="AR236">
        <v>10</v>
      </c>
      <c r="AS236">
        <v>12</v>
      </c>
    </row>
    <row r="237" spans="1:45" x14ac:dyDescent="0.35">
      <c r="A237" s="337">
        <v>46266</v>
      </c>
      <c r="B237" s="337">
        <v>46275</v>
      </c>
      <c r="C237" s="337">
        <v>46273</v>
      </c>
      <c r="D237" t="s">
        <v>130</v>
      </c>
      <c r="E237" s="338">
        <v>1.0416666666666667</v>
      </c>
      <c r="F237">
        <v>3</v>
      </c>
      <c r="G237" t="s">
        <v>145</v>
      </c>
      <c r="H237" t="s">
        <v>163</v>
      </c>
      <c r="I237" t="s">
        <v>165</v>
      </c>
      <c r="J237" t="s">
        <v>165</v>
      </c>
      <c r="K237" t="s">
        <v>165</v>
      </c>
      <c r="L237" t="s">
        <v>161</v>
      </c>
      <c r="M237" t="s">
        <v>161</v>
      </c>
      <c r="N237">
        <v>12.18</v>
      </c>
      <c r="O237" t="s">
        <v>163</v>
      </c>
      <c r="P237" t="s">
        <v>163</v>
      </c>
      <c r="Q237" t="s">
        <v>163</v>
      </c>
      <c r="R237" t="s">
        <v>163</v>
      </c>
      <c r="S237" t="s">
        <v>163</v>
      </c>
      <c r="T237" t="s">
        <v>163</v>
      </c>
      <c r="U237" t="s">
        <v>163</v>
      </c>
      <c r="V237" t="s">
        <v>163</v>
      </c>
      <c r="W237" t="s">
        <v>165</v>
      </c>
      <c r="X237" t="s">
        <v>165</v>
      </c>
      <c r="Y237">
        <v>1</v>
      </c>
      <c r="Z237" t="s">
        <v>163</v>
      </c>
      <c r="AA237">
        <v>1</v>
      </c>
      <c r="AB237">
        <v>2</v>
      </c>
      <c r="AC237">
        <v>1</v>
      </c>
      <c r="AD237" t="s">
        <v>163</v>
      </c>
      <c r="AE237" t="s">
        <v>163</v>
      </c>
      <c r="AF237" t="s">
        <v>163</v>
      </c>
      <c r="AG237" t="s">
        <v>163</v>
      </c>
      <c r="AH237" t="s">
        <v>163</v>
      </c>
      <c r="AI237" t="s">
        <v>163</v>
      </c>
      <c r="AJ237" t="s">
        <v>163</v>
      </c>
      <c r="AK237">
        <v>4</v>
      </c>
      <c r="AL237">
        <v>4</v>
      </c>
      <c r="AM237" t="s">
        <v>163</v>
      </c>
      <c r="AN237">
        <v>1</v>
      </c>
      <c r="AO237">
        <v>1</v>
      </c>
      <c r="AP237">
        <v>2</v>
      </c>
      <c r="AQ237">
        <v>2</v>
      </c>
      <c r="AR237">
        <v>6</v>
      </c>
      <c r="AS237">
        <v>6</v>
      </c>
    </row>
    <row r="238" spans="1:45" x14ac:dyDescent="0.35">
      <c r="A238" s="337">
        <v>46266</v>
      </c>
      <c r="B238" s="337">
        <v>46275</v>
      </c>
      <c r="C238" s="337">
        <v>46273</v>
      </c>
      <c r="D238" t="s">
        <v>130</v>
      </c>
      <c r="E238" s="337">
        <v>1</v>
      </c>
      <c r="F238">
        <v>3</v>
      </c>
      <c r="G238" t="s">
        <v>145</v>
      </c>
      <c r="H238">
        <v>0.02</v>
      </c>
      <c r="I238" t="s">
        <v>165</v>
      </c>
      <c r="J238" t="s">
        <v>165</v>
      </c>
      <c r="K238" t="s">
        <v>165</v>
      </c>
      <c r="L238" t="s">
        <v>161</v>
      </c>
      <c r="M238" t="s">
        <v>161</v>
      </c>
      <c r="N238">
        <v>12.2</v>
      </c>
      <c r="O238" t="s">
        <v>163</v>
      </c>
      <c r="P238" t="s">
        <v>163</v>
      </c>
      <c r="Q238" t="s">
        <v>163</v>
      </c>
      <c r="R238" t="s">
        <v>163</v>
      </c>
      <c r="S238" t="s">
        <v>163</v>
      </c>
      <c r="T238" t="s">
        <v>163</v>
      </c>
      <c r="U238" t="s">
        <v>163</v>
      </c>
      <c r="V238" t="s">
        <v>163</v>
      </c>
      <c r="W238" t="s">
        <v>165</v>
      </c>
      <c r="X238" t="s">
        <v>165</v>
      </c>
      <c r="Y238">
        <v>1</v>
      </c>
      <c r="Z238">
        <v>2</v>
      </c>
      <c r="AA238">
        <v>1</v>
      </c>
      <c r="AB238">
        <v>2</v>
      </c>
      <c r="AC238">
        <v>1</v>
      </c>
      <c r="AD238" t="s">
        <v>163</v>
      </c>
      <c r="AE238" t="s">
        <v>163</v>
      </c>
      <c r="AF238" t="s">
        <v>163</v>
      </c>
      <c r="AG238" t="s">
        <v>163</v>
      </c>
      <c r="AH238" t="s">
        <v>163</v>
      </c>
      <c r="AI238" t="s">
        <v>163</v>
      </c>
      <c r="AJ238" t="s">
        <v>163</v>
      </c>
      <c r="AK238">
        <v>6</v>
      </c>
      <c r="AL238">
        <v>6</v>
      </c>
      <c r="AM238" t="s">
        <v>163</v>
      </c>
      <c r="AN238">
        <v>1</v>
      </c>
      <c r="AO238">
        <v>1</v>
      </c>
      <c r="AP238">
        <v>2</v>
      </c>
      <c r="AQ238">
        <v>2</v>
      </c>
      <c r="AR238">
        <v>8</v>
      </c>
      <c r="AS238">
        <v>8</v>
      </c>
    </row>
    <row r="239" spans="1:45" x14ac:dyDescent="0.35">
      <c r="A239" s="337">
        <v>46266</v>
      </c>
      <c r="B239" s="337">
        <v>46275</v>
      </c>
      <c r="C239" s="337">
        <v>46273</v>
      </c>
      <c r="D239" t="s">
        <v>130</v>
      </c>
      <c r="E239" s="339">
        <v>0.95833333333333337</v>
      </c>
      <c r="F239">
        <v>3</v>
      </c>
      <c r="G239" t="s">
        <v>145</v>
      </c>
      <c r="H239">
        <v>0.02</v>
      </c>
      <c r="I239" t="s">
        <v>165</v>
      </c>
      <c r="J239" t="s">
        <v>165</v>
      </c>
      <c r="K239" t="s">
        <v>165</v>
      </c>
      <c r="L239" t="s">
        <v>161</v>
      </c>
      <c r="M239" t="s">
        <v>161</v>
      </c>
      <c r="N239">
        <v>12.13</v>
      </c>
      <c r="O239" t="s">
        <v>163</v>
      </c>
      <c r="P239" t="s">
        <v>163</v>
      </c>
      <c r="Q239" t="s">
        <v>163</v>
      </c>
      <c r="R239" t="s">
        <v>163</v>
      </c>
      <c r="S239" t="s">
        <v>163</v>
      </c>
      <c r="T239" t="s">
        <v>163</v>
      </c>
      <c r="U239" t="s">
        <v>163</v>
      </c>
      <c r="V239" t="s">
        <v>163</v>
      </c>
      <c r="W239" t="s">
        <v>165</v>
      </c>
      <c r="X239" t="s">
        <v>165</v>
      </c>
      <c r="Y239">
        <v>1</v>
      </c>
      <c r="Z239">
        <v>2</v>
      </c>
      <c r="AA239">
        <v>1</v>
      </c>
      <c r="AB239">
        <v>2</v>
      </c>
      <c r="AC239">
        <v>1</v>
      </c>
      <c r="AD239" t="s">
        <v>163</v>
      </c>
      <c r="AE239" t="s">
        <v>163</v>
      </c>
      <c r="AF239" t="s">
        <v>163</v>
      </c>
      <c r="AG239" t="s">
        <v>163</v>
      </c>
      <c r="AH239" t="s">
        <v>163</v>
      </c>
      <c r="AI239" t="s">
        <v>163</v>
      </c>
      <c r="AJ239" t="s">
        <v>163</v>
      </c>
      <c r="AK239">
        <v>6</v>
      </c>
      <c r="AL239">
        <v>6</v>
      </c>
      <c r="AM239" t="s">
        <v>163</v>
      </c>
      <c r="AN239">
        <v>1</v>
      </c>
      <c r="AO239">
        <v>1</v>
      </c>
      <c r="AP239">
        <v>2</v>
      </c>
      <c r="AQ239">
        <v>2</v>
      </c>
      <c r="AR239">
        <v>8</v>
      </c>
      <c r="AS239">
        <v>8</v>
      </c>
    </row>
    <row r="240" spans="1:45" x14ac:dyDescent="0.35">
      <c r="A240" s="337">
        <v>46266</v>
      </c>
      <c r="B240" s="337">
        <v>46275</v>
      </c>
      <c r="C240" s="337">
        <v>46273</v>
      </c>
      <c r="D240" t="s">
        <v>130</v>
      </c>
      <c r="E240" s="339">
        <v>0.91666666666666663</v>
      </c>
      <c r="F240">
        <v>3</v>
      </c>
      <c r="G240" t="s">
        <v>145</v>
      </c>
      <c r="H240">
        <v>0.02</v>
      </c>
      <c r="I240" t="s">
        <v>165</v>
      </c>
      <c r="J240" t="s">
        <v>165</v>
      </c>
      <c r="K240" t="s">
        <v>165</v>
      </c>
      <c r="L240" t="s">
        <v>161</v>
      </c>
      <c r="M240" t="s">
        <v>161</v>
      </c>
      <c r="N240">
        <v>12.28</v>
      </c>
      <c r="O240">
        <v>12.49</v>
      </c>
      <c r="P240">
        <v>0.56000000000000005</v>
      </c>
      <c r="Q240" t="s">
        <v>163</v>
      </c>
      <c r="R240" t="s">
        <v>163</v>
      </c>
      <c r="S240" t="s">
        <v>163</v>
      </c>
      <c r="T240">
        <v>34.9</v>
      </c>
      <c r="U240" t="s">
        <v>163</v>
      </c>
      <c r="V240" t="s">
        <v>163</v>
      </c>
      <c r="W240" t="s">
        <v>165</v>
      </c>
      <c r="X240" t="s">
        <v>165</v>
      </c>
      <c r="Y240">
        <v>1</v>
      </c>
      <c r="Z240">
        <v>2</v>
      </c>
      <c r="AA240">
        <v>1</v>
      </c>
      <c r="AB240">
        <v>2</v>
      </c>
      <c r="AC240">
        <v>1</v>
      </c>
      <c r="AD240">
        <v>1</v>
      </c>
      <c r="AE240">
        <v>0</v>
      </c>
      <c r="AF240" t="s">
        <v>163</v>
      </c>
      <c r="AG240" t="s">
        <v>163</v>
      </c>
      <c r="AH240" t="s">
        <v>163</v>
      </c>
      <c r="AI240">
        <v>2</v>
      </c>
      <c r="AJ240" t="s">
        <v>163</v>
      </c>
      <c r="AK240">
        <v>9</v>
      </c>
      <c r="AL240">
        <v>11</v>
      </c>
      <c r="AM240" t="s">
        <v>163</v>
      </c>
      <c r="AN240">
        <v>1</v>
      </c>
      <c r="AO240">
        <v>1</v>
      </c>
      <c r="AP240">
        <v>2</v>
      </c>
      <c r="AQ240">
        <v>2</v>
      </c>
      <c r="AR240">
        <v>11</v>
      </c>
      <c r="AS240">
        <v>13</v>
      </c>
    </row>
    <row r="241" spans="1:45" x14ac:dyDescent="0.35">
      <c r="A241" s="337">
        <v>46266</v>
      </c>
      <c r="B241" s="337">
        <v>46275</v>
      </c>
      <c r="C241" s="337">
        <v>816</v>
      </c>
      <c r="D241" t="s">
        <v>130</v>
      </c>
      <c r="E241" s="338">
        <v>1.0833333333333333</v>
      </c>
      <c r="F241">
        <v>2</v>
      </c>
      <c r="G241" t="s">
        <v>138</v>
      </c>
      <c r="H241" t="s">
        <v>163</v>
      </c>
      <c r="I241" t="s">
        <v>165</v>
      </c>
      <c r="J241" t="s">
        <v>165</v>
      </c>
      <c r="K241" t="s">
        <v>165</v>
      </c>
      <c r="L241" t="s">
        <v>163</v>
      </c>
      <c r="M241" t="s">
        <v>161</v>
      </c>
      <c r="N241">
        <v>10.66</v>
      </c>
      <c r="O241" t="s">
        <v>163</v>
      </c>
      <c r="P241" t="s">
        <v>163</v>
      </c>
      <c r="Q241" t="s">
        <v>163</v>
      </c>
      <c r="R241" t="s">
        <v>163</v>
      </c>
      <c r="S241" t="s">
        <v>163</v>
      </c>
      <c r="T241" t="s">
        <v>163</v>
      </c>
      <c r="U241" t="s">
        <v>163</v>
      </c>
      <c r="V241" t="s">
        <v>163</v>
      </c>
      <c r="W241" t="s">
        <v>165</v>
      </c>
      <c r="X241" t="s">
        <v>165</v>
      </c>
      <c r="Y241" t="s">
        <v>163</v>
      </c>
      <c r="Z241" t="s">
        <v>163</v>
      </c>
      <c r="AA241">
        <v>1</v>
      </c>
      <c r="AB241">
        <v>2</v>
      </c>
      <c r="AC241">
        <v>0</v>
      </c>
      <c r="AD241" t="s">
        <v>163</v>
      </c>
      <c r="AE241" t="s">
        <v>163</v>
      </c>
      <c r="AF241" t="s">
        <v>163</v>
      </c>
      <c r="AG241" t="s">
        <v>163</v>
      </c>
      <c r="AH241" t="s">
        <v>163</v>
      </c>
      <c r="AI241" t="s">
        <v>163</v>
      </c>
      <c r="AJ241" t="s">
        <v>163</v>
      </c>
      <c r="AK241">
        <v>3</v>
      </c>
      <c r="AL241">
        <v>4</v>
      </c>
      <c r="AM241" t="s">
        <v>163</v>
      </c>
      <c r="AN241">
        <v>1</v>
      </c>
      <c r="AO241">
        <v>1</v>
      </c>
      <c r="AP241">
        <v>2</v>
      </c>
      <c r="AQ241">
        <v>2</v>
      </c>
      <c r="AR241">
        <v>5</v>
      </c>
      <c r="AS241">
        <v>6</v>
      </c>
    </row>
    <row r="242" spans="1:45" x14ac:dyDescent="0.35">
      <c r="A242" s="337">
        <v>46266</v>
      </c>
      <c r="B242" s="337">
        <v>46275</v>
      </c>
      <c r="C242" s="337">
        <v>816</v>
      </c>
      <c r="D242" t="s">
        <v>130</v>
      </c>
      <c r="E242" s="338">
        <v>1.0416666666666667</v>
      </c>
      <c r="F242">
        <v>2</v>
      </c>
      <c r="G242" t="s">
        <v>138</v>
      </c>
      <c r="H242" t="s">
        <v>163</v>
      </c>
      <c r="I242" t="s">
        <v>165</v>
      </c>
      <c r="J242" t="s">
        <v>165</v>
      </c>
      <c r="K242" t="s">
        <v>165</v>
      </c>
      <c r="L242" t="s">
        <v>163</v>
      </c>
      <c r="M242" t="s">
        <v>161</v>
      </c>
      <c r="N242">
        <v>10.56</v>
      </c>
      <c r="O242" t="s">
        <v>163</v>
      </c>
      <c r="P242" t="s">
        <v>163</v>
      </c>
      <c r="Q242" t="s">
        <v>163</v>
      </c>
      <c r="R242" t="s">
        <v>163</v>
      </c>
      <c r="S242" t="s">
        <v>163</v>
      </c>
      <c r="T242" t="s">
        <v>163</v>
      </c>
      <c r="U242" t="s">
        <v>163</v>
      </c>
      <c r="V242" t="s">
        <v>163</v>
      </c>
      <c r="W242" t="s">
        <v>165</v>
      </c>
      <c r="X242" t="s">
        <v>165</v>
      </c>
      <c r="Y242">
        <v>1</v>
      </c>
      <c r="Z242" t="s">
        <v>163</v>
      </c>
      <c r="AA242">
        <v>1</v>
      </c>
      <c r="AB242">
        <v>2</v>
      </c>
      <c r="AC242">
        <v>0</v>
      </c>
      <c r="AD242" t="s">
        <v>163</v>
      </c>
      <c r="AE242" t="s">
        <v>163</v>
      </c>
      <c r="AF242" t="s">
        <v>163</v>
      </c>
      <c r="AG242" t="s">
        <v>163</v>
      </c>
      <c r="AH242" t="s">
        <v>163</v>
      </c>
      <c r="AI242" t="s">
        <v>163</v>
      </c>
      <c r="AJ242" t="s">
        <v>163</v>
      </c>
      <c r="AK242">
        <v>3</v>
      </c>
      <c r="AL242">
        <v>4</v>
      </c>
      <c r="AM242" t="s">
        <v>163</v>
      </c>
      <c r="AN242">
        <v>1</v>
      </c>
      <c r="AO242">
        <v>1</v>
      </c>
      <c r="AP242">
        <v>2</v>
      </c>
      <c r="AQ242">
        <v>2</v>
      </c>
      <c r="AR242">
        <v>5</v>
      </c>
      <c r="AS242">
        <v>6</v>
      </c>
    </row>
    <row r="243" spans="1:45" x14ac:dyDescent="0.35">
      <c r="A243" s="337">
        <v>46266</v>
      </c>
      <c r="B243" s="337">
        <v>46275</v>
      </c>
      <c r="C243" s="337">
        <v>816</v>
      </c>
      <c r="D243" t="s">
        <v>130</v>
      </c>
      <c r="E243" s="337">
        <v>1</v>
      </c>
      <c r="F243">
        <v>2</v>
      </c>
      <c r="G243" t="s">
        <v>138</v>
      </c>
      <c r="H243" t="s">
        <v>163</v>
      </c>
      <c r="I243" t="s">
        <v>165</v>
      </c>
      <c r="J243" t="s">
        <v>165</v>
      </c>
      <c r="K243" t="s">
        <v>165</v>
      </c>
      <c r="L243" t="s">
        <v>163</v>
      </c>
      <c r="M243" t="s">
        <v>161</v>
      </c>
      <c r="N243">
        <v>10.59</v>
      </c>
      <c r="O243" t="s">
        <v>163</v>
      </c>
      <c r="P243" t="s">
        <v>163</v>
      </c>
      <c r="Q243" t="s">
        <v>163</v>
      </c>
      <c r="R243" t="s">
        <v>163</v>
      </c>
      <c r="S243" t="s">
        <v>163</v>
      </c>
      <c r="T243" t="s">
        <v>163</v>
      </c>
      <c r="U243" t="s">
        <v>163</v>
      </c>
      <c r="V243" t="s">
        <v>163</v>
      </c>
      <c r="W243" t="s">
        <v>165</v>
      </c>
      <c r="X243" t="s">
        <v>165</v>
      </c>
      <c r="Y243">
        <v>1</v>
      </c>
      <c r="Z243" t="s">
        <v>163</v>
      </c>
      <c r="AA243">
        <v>1</v>
      </c>
      <c r="AB243">
        <v>2</v>
      </c>
      <c r="AC243">
        <v>0</v>
      </c>
      <c r="AD243" t="s">
        <v>163</v>
      </c>
      <c r="AE243" t="s">
        <v>163</v>
      </c>
      <c r="AF243" t="s">
        <v>163</v>
      </c>
      <c r="AG243" t="s">
        <v>163</v>
      </c>
      <c r="AH243" t="s">
        <v>163</v>
      </c>
      <c r="AI243" t="s">
        <v>163</v>
      </c>
      <c r="AJ243" t="s">
        <v>163</v>
      </c>
      <c r="AK243">
        <v>3</v>
      </c>
      <c r="AL243">
        <v>4</v>
      </c>
      <c r="AM243" t="s">
        <v>163</v>
      </c>
      <c r="AN243">
        <v>1</v>
      </c>
      <c r="AO243">
        <v>1</v>
      </c>
      <c r="AP243">
        <v>2</v>
      </c>
      <c r="AQ243">
        <v>2</v>
      </c>
      <c r="AR243">
        <v>5</v>
      </c>
      <c r="AS243">
        <v>6</v>
      </c>
    </row>
    <row r="244" spans="1:45" x14ac:dyDescent="0.35">
      <c r="A244" s="337">
        <v>46266</v>
      </c>
      <c r="B244" s="337">
        <v>46275</v>
      </c>
      <c r="C244" s="337">
        <v>816</v>
      </c>
      <c r="D244" t="s">
        <v>130</v>
      </c>
      <c r="E244" s="339">
        <v>0.95833333333333337</v>
      </c>
      <c r="F244">
        <v>2</v>
      </c>
      <c r="G244" t="s">
        <v>138</v>
      </c>
      <c r="H244" t="s">
        <v>163</v>
      </c>
      <c r="I244" t="s">
        <v>165</v>
      </c>
      <c r="J244" t="s">
        <v>165</v>
      </c>
      <c r="K244" t="s">
        <v>165</v>
      </c>
      <c r="L244" t="s">
        <v>163</v>
      </c>
      <c r="M244" t="s">
        <v>161</v>
      </c>
      <c r="N244">
        <v>10.59</v>
      </c>
      <c r="O244" t="s">
        <v>163</v>
      </c>
      <c r="P244" t="s">
        <v>163</v>
      </c>
      <c r="Q244" t="s">
        <v>163</v>
      </c>
      <c r="R244" t="s">
        <v>163</v>
      </c>
      <c r="S244" t="s">
        <v>163</v>
      </c>
      <c r="T244" t="s">
        <v>163</v>
      </c>
      <c r="U244" t="s">
        <v>163</v>
      </c>
      <c r="V244" t="s">
        <v>163</v>
      </c>
      <c r="W244" t="s">
        <v>165</v>
      </c>
      <c r="X244" t="s">
        <v>165</v>
      </c>
      <c r="Y244">
        <v>1</v>
      </c>
      <c r="Z244" t="s">
        <v>163</v>
      </c>
      <c r="AA244">
        <v>1</v>
      </c>
      <c r="AB244">
        <v>2</v>
      </c>
      <c r="AC244">
        <v>0</v>
      </c>
      <c r="AD244" t="s">
        <v>163</v>
      </c>
      <c r="AE244" t="s">
        <v>163</v>
      </c>
      <c r="AF244" t="s">
        <v>163</v>
      </c>
      <c r="AG244" t="s">
        <v>163</v>
      </c>
      <c r="AH244" t="s">
        <v>163</v>
      </c>
      <c r="AI244" t="s">
        <v>163</v>
      </c>
      <c r="AJ244" t="s">
        <v>163</v>
      </c>
      <c r="AK244">
        <v>3</v>
      </c>
      <c r="AL244">
        <v>4</v>
      </c>
      <c r="AM244" t="s">
        <v>163</v>
      </c>
      <c r="AN244">
        <v>1</v>
      </c>
      <c r="AO244">
        <v>1</v>
      </c>
      <c r="AP244">
        <v>2</v>
      </c>
      <c r="AQ244">
        <v>2</v>
      </c>
      <c r="AR244">
        <v>5</v>
      </c>
      <c r="AS244">
        <v>6</v>
      </c>
    </row>
    <row r="245" spans="1:45" x14ac:dyDescent="0.35">
      <c r="A245" s="337">
        <v>46266</v>
      </c>
      <c r="B245" s="337">
        <v>46275</v>
      </c>
      <c r="C245" s="337">
        <v>816</v>
      </c>
      <c r="D245" t="s">
        <v>130</v>
      </c>
      <c r="E245" s="339">
        <v>0.91666666666666663</v>
      </c>
      <c r="F245">
        <v>2</v>
      </c>
      <c r="G245" t="s">
        <v>138</v>
      </c>
      <c r="H245">
        <v>0.01</v>
      </c>
      <c r="I245" t="s">
        <v>165</v>
      </c>
      <c r="J245" t="s">
        <v>165</v>
      </c>
      <c r="K245" t="s">
        <v>165</v>
      </c>
      <c r="L245" t="s">
        <v>163</v>
      </c>
      <c r="M245" t="s">
        <v>161</v>
      </c>
      <c r="N245">
        <v>10.6</v>
      </c>
      <c r="O245" t="s">
        <v>163</v>
      </c>
      <c r="P245" t="s">
        <v>163</v>
      </c>
      <c r="Q245" t="s">
        <v>163</v>
      </c>
      <c r="R245" t="s">
        <v>163</v>
      </c>
      <c r="S245" t="s">
        <v>163</v>
      </c>
      <c r="T245" t="s">
        <v>163</v>
      </c>
      <c r="U245" t="s">
        <v>163</v>
      </c>
      <c r="V245" t="s">
        <v>163</v>
      </c>
      <c r="W245" t="s">
        <v>165</v>
      </c>
      <c r="X245" t="s">
        <v>165</v>
      </c>
      <c r="Y245">
        <v>1</v>
      </c>
      <c r="Z245">
        <v>2</v>
      </c>
      <c r="AA245">
        <v>1</v>
      </c>
      <c r="AB245">
        <v>2</v>
      </c>
      <c r="AC245">
        <v>0</v>
      </c>
      <c r="AD245" t="s">
        <v>163</v>
      </c>
      <c r="AE245" t="s">
        <v>163</v>
      </c>
      <c r="AF245" t="s">
        <v>163</v>
      </c>
      <c r="AG245" t="s">
        <v>163</v>
      </c>
      <c r="AH245" t="s">
        <v>163</v>
      </c>
      <c r="AI245" t="s">
        <v>163</v>
      </c>
      <c r="AJ245" t="s">
        <v>163</v>
      </c>
      <c r="AK245">
        <v>5</v>
      </c>
      <c r="AL245">
        <v>6</v>
      </c>
      <c r="AM245" t="s">
        <v>163</v>
      </c>
      <c r="AN245">
        <v>1</v>
      </c>
      <c r="AO245">
        <v>1</v>
      </c>
      <c r="AP245">
        <v>2</v>
      </c>
      <c r="AQ245">
        <v>2</v>
      </c>
      <c r="AR245">
        <v>7</v>
      </c>
      <c r="AS245">
        <v>8</v>
      </c>
    </row>
    <row r="246" spans="1:45" x14ac:dyDescent="0.35">
      <c r="A246" s="337">
        <v>46266</v>
      </c>
      <c r="B246" s="337">
        <v>46275</v>
      </c>
      <c r="C246" s="337">
        <v>46274</v>
      </c>
      <c r="D246" t="s">
        <v>130</v>
      </c>
      <c r="E246" s="338">
        <v>1.2083333333333333</v>
      </c>
      <c r="F246">
        <v>1</v>
      </c>
      <c r="G246" t="s">
        <v>158</v>
      </c>
      <c r="H246" t="s">
        <v>163</v>
      </c>
      <c r="I246" t="s">
        <v>165</v>
      </c>
      <c r="J246" t="s">
        <v>165</v>
      </c>
      <c r="K246" t="s">
        <v>165</v>
      </c>
      <c r="L246" t="s">
        <v>163</v>
      </c>
      <c r="M246" t="s">
        <v>163</v>
      </c>
      <c r="N246">
        <v>10.67</v>
      </c>
      <c r="O246" t="s">
        <v>163</v>
      </c>
      <c r="P246" t="s">
        <v>163</v>
      </c>
      <c r="Q246" t="s">
        <v>163</v>
      </c>
      <c r="R246" t="s">
        <v>163</v>
      </c>
      <c r="S246" t="s">
        <v>163</v>
      </c>
      <c r="T246" t="s">
        <v>163</v>
      </c>
      <c r="U246" t="s">
        <v>163</v>
      </c>
      <c r="V246" t="s">
        <v>163</v>
      </c>
      <c r="W246" t="s">
        <v>165</v>
      </c>
      <c r="X246" t="s">
        <v>165</v>
      </c>
      <c r="Y246">
        <v>1</v>
      </c>
      <c r="Z246" t="s">
        <v>163</v>
      </c>
      <c r="AA246">
        <v>1</v>
      </c>
      <c r="AB246">
        <v>2</v>
      </c>
      <c r="AC246">
        <v>0</v>
      </c>
      <c r="AD246" t="s">
        <v>163</v>
      </c>
      <c r="AE246" t="s">
        <v>163</v>
      </c>
      <c r="AF246" t="s">
        <v>163</v>
      </c>
      <c r="AG246" t="s">
        <v>163</v>
      </c>
      <c r="AH246" t="s">
        <v>163</v>
      </c>
      <c r="AI246" t="s">
        <v>163</v>
      </c>
      <c r="AJ246" t="s">
        <v>163</v>
      </c>
      <c r="AK246">
        <v>3</v>
      </c>
      <c r="AL246">
        <v>4</v>
      </c>
      <c r="AM246" t="s">
        <v>163</v>
      </c>
      <c r="AN246">
        <v>1</v>
      </c>
      <c r="AO246">
        <v>1</v>
      </c>
      <c r="AP246">
        <v>2</v>
      </c>
      <c r="AQ246">
        <v>2</v>
      </c>
      <c r="AR246">
        <v>5</v>
      </c>
      <c r="AS246">
        <v>6</v>
      </c>
    </row>
    <row r="247" spans="1:45" x14ac:dyDescent="0.35">
      <c r="A247" s="337">
        <v>46266</v>
      </c>
      <c r="B247" s="337">
        <v>46275</v>
      </c>
      <c r="C247" s="337">
        <v>46274</v>
      </c>
      <c r="D247" t="s">
        <v>130</v>
      </c>
      <c r="E247" s="338">
        <v>1.1666666666666667</v>
      </c>
      <c r="F247">
        <v>1</v>
      </c>
      <c r="G247" t="s">
        <v>158</v>
      </c>
      <c r="H247" t="s">
        <v>163</v>
      </c>
      <c r="I247" t="s">
        <v>165</v>
      </c>
      <c r="J247" t="s">
        <v>165</v>
      </c>
      <c r="K247" t="s">
        <v>165</v>
      </c>
      <c r="L247" t="s">
        <v>163</v>
      </c>
      <c r="M247" t="s">
        <v>163</v>
      </c>
      <c r="N247">
        <v>10.8</v>
      </c>
      <c r="O247" t="s">
        <v>163</v>
      </c>
      <c r="P247" t="s">
        <v>163</v>
      </c>
      <c r="Q247" t="s">
        <v>163</v>
      </c>
      <c r="R247" t="s">
        <v>163</v>
      </c>
      <c r="S247" t="s">
        <v>163</v>
      </c>
      <c r="T247" t="s">
        <v>163</v>
      </c>
      <c r="U247" t="s">
        <v>163</v>
      </c>
      <c r="V247" t="s">
        <v>163</v>
      </c>
      <c r="W247" t="s">
        <v>165</v>
      </c>
      <c r="X247" t="s">
        <v>165</v>
      </c>
      <c r="Y247">
        <v>1</v>
      </c>
      <c r="Z247" t="s">
        <v>163</v>
      </c>
      <c r="AA247">
        <v>1</v>
      </c>
      <c r="AB247">
        <v>2</v>
      </c>
      <c r="AC247">
        <v>0</v>
      </c>
      <c r="AD247" t="s">
        <v>163</v>
      </c>
      <c r="AE247" t="s">
        <v>163</v>
      </c>
      <c r="AF247" t="s">
        <v>163</v>
      </c>
      <c r="AG247" t="s">
        <v>163</v>
      </c>
      <c r="AH247" t="s">
        <v>163</v>
      </c>
      <c r="AI247" t="s">
        <v>163</v>
      </c>
      <c r="AJ247" t="s">
        <v>163</v>
      </c>
      <c r="AK247">
        <v>3</v>
      </c>
      <c r="AL247">
        <v>4</v>
      </c>
      <c r="AM247" t="s">
        <v>163</v>
      </c>
      <c r="AN247">
        <v>1</v>
      </c>
      <c r="AO247">
        <v>1</v>
      </c>
      <c r="AP247">
        <v>2</v>
      </c>
      <c r="AQ247">
        <v>2</v>
      </c>
      <c r="AR247">
        <v>5</v>
      </c>
      <c r="AS247">
        <v>6</v>
      </c>
    </row>
    <row r="248" spans="1:45" x14ac:dyDescent="0.35">
      <c r="A248" s="337">
        <v>46266</v>
      </c>
      <c r="B248" s="337">
        <v>46275</v>
      </c>
      <c r="C248" s="337">
        <v>46274</v>
      </c>
      <c r="D248" t="s">
        <v>130</v>
      </c>
      <c r="E248" s="338">
        <v>1.125</v>
      </c>
      <c r="F248">
        <v>1</v>
      </c>
      <c r="G248" t="s">
        <v>158</v>
      </c>
      <c r="H248" t="s">
        <v>163</v>
      </c>
      <c r="I248" t="s">
        <v>165</v>
      </c>
      <c r="J248" t="s">
        <v>165</v>
      </c>
      <c r="K248" t="s">
        <v>165</v>
      </c>
      <c r="L248" t="s">
        <v>163</v>
      </c>
      <c r="M248" t="s">
        <v>163</v>
      </c>
      <c r="N248">
        <v>10.63</v>
      </c>
      <c r="O248" t="s">
        <v>163</v>
      </c>
      <c r="P248" t="s">
        <v>163</v>
      </c>
      <c r="Q248" t="s">
        <v>163</v>
      </c>
      <c r="R248" t="s">
        <v>163</v>
      </c>
      <c r="S248" t="s">
        <v>163</v>
      </c>
      <c r="T248" t="s">
        <v>163</v>
      </c>
      <c r="U248" t="s">
        <v>163</v>
      </c>
      <c r="V248" t="s">
        <v>163</v>
      </c>
      <c r="W248" t="s">
        <v>165</v>
      </c>
      <c r="X248" t="s">
        <v>165</v>
      </c>
      <c r="Y248">
        <v>1</v>
      </c>
      <c r="Z248" t="s">
        <v>163</v>
      </c>
      <c r="AA248">
        <v>1</v>
      </c>
      <c r="AB248">
        <v>2</v>
      </c>
      <c r="AC248">
        <v>0</v>
      </c>
      <c r="AD248" t="s">
        <v>163</v>
      </c>
      <c r="AE248" t="s">
        <v>163</v>
      </c>
      <c r="AF248" t="s">
        <v>163</v>
      </c>
      <c r="AG248" t="s">
        <v>163</v>
      </c>
      <c r="AH248" t="s">
        <v>163</v>
      </c>
      <c r="AI248" t="s">
        <v>163</v>
      </c>
      <c r="AJ248" t="s">
        <v>163</v>
      </c>
      <c r="AK248">
        <v>3</v>
      </c>
      <c r="AL248">
        <v>4</v>
      </c>
      <c r="AM248" t="s">
        <v>163</v>
      </c>
      <c r="AN248">
        <v>1</v>
      </c>
      <c r="AO248">
        <v>1</v>
      </c>
      <c r="AP248">
        <v>2</v>
      </c>
      <c r="AQ248">
        <v>2</v>
      </c>
      <c r="AR248">
        <v>5</v>
      </c>
      <c r="AS248">
        <v>6</v>
      </c>
    </row>
    <row r="249" spans="1:45" x14ac:dyDescent="0.35">
      <c r="A249" s="337">
        <v>46266</v>
      </c>
      <c r="B249" s="337">
        <v>46275</v>
      </c>
      <c r="C249" s="337">
        <v>46274</v>
      </c>
      <c r="D249" t="s">
        <v>130</v>
      </c>
      <c r="E249" s="338">
        <v>1.0833333333333333</v>
      </c>
      <c r="F249">
        <v>1</v>
      </c>
      <c r="G249" t="s">
        <v>158</v>
      </c>
      <c r="H249" t="s">
        <v>163</v>
      </c>
      <c r="I249" t="s">
        <v>163</v>
      </c>
      <c r="J249" t="s">
        <v>165</v>
      </c>
      <c r="K249" t="s">
        <v>165</v>
      </c>
      <c r="L249" t="s">
        <v>163</v>
      </c>
      <c r="M249" t="s">
        <v>163</v>
      </c>
      <c r="N249">
        <v>10.81</v>
      </c>
      <c r="O249" t="s">
        <v>163</v>
      </c>
      <c r="P249" t="s">
        <v>163</v>
      </c>
      <c r="Q249" t="s">
        <v>163</v>
      </c>
      <c r="R249" t="s">
        <v>163</v>
      </c>
      <c r="S249" t="s">
        <v>163</v>
      </c>
      <c r="T249" t="s">
        <v>163</v>
      </c>
      <c r="U249" t="s">
        <v>163</v>
      </c>
      <c r="V249" t="s">
        <v>163</v>
      </c>
      <c r="W249" t="s">
        <v>165</v>
      </c>
      <c r="X249" t="s">
        <v>165</v>
      </c>
      <c r="Y249">
        <v>1</v>
      </c>
      <c r="Z249" t="s">
        <v>163</v>
      </c>
      <c r="AA249" t="s">
        <v>163</v>
      </c>
      <c r="AB249">
        <v>2</v>
      </c>
      <c r="AC249">
        <v>0</v>
      </c>
      <c r="AD249" t="s">
        <v>163</v>
      </c>
      <c r="AE249" t="s">
        <v>163</v>
      </c>
      <c r="AF249" t="s">
        <v>163</v>
      </c>
      <c r="AG249" t="s">
        <v>163</v>
      </c>
      <c r="AH249" t="s">
        <v>163</v>
      </c>
      <c r="AI249" t="s">
        <v>163</v>
      </c>
      <c r="AJ249" t="s">
        <v>163</v>
      </c>
      <c r="AK249">
        <v>2</v>
      </c>
      <c r="AL249">
        <v>3</v>
      </c>
      <c r="AM249" t="s">
        <v>163</v>
      </c>
      <c r="AN249">
        <v>1</v>
      </c>
      <c r="AO249">
        <v>1</v>
      </c>
      <c r="AP249">
        <v>2</v>
      </c>
      <c r="AQ249">
        <v>2</v>
      </c>
      <c r="AR249">
        <v>4</v>
      </c>
      <c r="AS249">
        <v>5</v>
      </c>
    </row>
    <row r="250" spans="1:45" x14ac:dyDescent="0.35">
      <c r="A250" s="337">
        <v>46266</v>
      </c>
      <c r="B250" s="337">
        <v>46275</v>
      </c>
      <c r="C250" s="337">
        <v>46274</v>
      </c>
      <c r="D250" t="s">
        <v>130</v>
      </c>
      <c r="E250" s="338">
        <v>1.0416666666666667</v>
      </c>
      <c r="F250">
        <v>1</v>
      </c>
      <c r="G250" t="s">
        <v>158</v>
      </c>
      <c r="H250" t="s">
        <v>163</v>
      </c>
      <c r="I250" t="s">
        <v>165</v>
      </c>
      <c r="J250" t="s">
        <v>165</v>
      </c>
      <c r="K250" t="s">
        <v>165</v>
      </c>
      <c r="L250" t="s">
        <v>163</v>
      </c>
      <c r="M250" t="s">
        <v>163</v>
      </c>
      <c r="N250">
        <v>10.93</v>
      </c>
      <c r="O250" t="s">
        <v>163</v>
      </c>
      <c r="P250" t="s">
        <v>163</v>
      </c>
      <c r="Q250" t="s">
        <v>163</v>
      </c>
      <c r="R250" t="s">
        <v>163</v>
      </c>
      <c r="S250" t="s">
        <v>163</v>
      </c>
      <c r="T250" t="s">
        <v>163</v>
      </c>
      <c r="U250" t="s">
        <v>163</v>
      </c>
      <c r="V250" t="s">
        <v>163</v>
      </c>
      <c r="W250" t="s">
        <v>165</v>
      </c>
      <c r="X250" t="s">
        <v>165</v>
      </c>
      <c r="Y250">
        <v>1</v>
      </c>
      <c r="Z250" t="s">
        <v>163</v>
      </c>
      <c r="AA250">
        <v>1</v>
      </c>
      <c r="AB250">
        <v>2</v>
      </c>
      <c r="AC250">
        <v>0</v>
      </c>
      <c r="AD250" t="s">
        <v>163</v>
      </c>
      <c r="AE250" t="s">
        <v>163</v>
      </c>
      <c r="AF250" t="s">
        <v>163</v>
      </c>
      <c r="AG250" t="s">
        <v>163</v>
      </c>
      <c r="AH250" t="s">
        <v>163</v>
      </c>
      <c r="AI250" t="s">
        <v>163</v>
      </c>
      <c r="AJ250" t="s">
        <v>163</v>
      </c>
      <c r="AK250">
        <v>3</v>
      </c>
      <c r="AL250">
        <v>4</v>
      </c>
      <c r="AM250" t="s">
        <v>163</v>
      </c>
      <c r="AN250">
        <v>1</v>
      </c>
      <c r="AO250">
        <v>1</v>
      </c>
      <c r="AP250">
        <v>2</v>
      </c>
      <c r="AQ250">
        <v>2</v>
      </c>
      <c r="AR250">
        <v>5</v>
      </c>
      <c r="AS250">
        <v>6</v>
      </c>
    </row>
    <row r="251" spans="1:45" x14ac:dyDescent="0.35">
      <c r="A251" s="337">
        <v>46266</v>
      </c>
      <c r="B251" s="337">
        <v>46275</v>
      </c>
      <c r="C251" s="337">
        <v>46274</v>
      </c>
      <c r="D251" t="s">
        <v>130</v>
      </c>
      <c r="E251" s="337">
        <v>1</v>
      </c>
      <c r="F251">
        <v>1</v>
      </c>
      <c r="G251" t="s">
        <v>158</v>
      </c>
      <c r="H251" t="s">
        <v>163</v>
      </c>
      <c r="I251" t="s">
        <v>165</v>
      </c>
      <c r="J251" t="s">
        <v>165</v>
      </c>
      <c r="K251" t="s">
        <v>165</v>
      </c>
      <c r="L251" t="s">
        <v>163</v>
      </c>
      <c r="M251" t="s">
        <v>163</v>
      </c>
      <c r="N251">
        <v>11.07</v>
      </c>
      <c r="O251" t="s">
        <v>163</v>
      </c>
      <c r="P251" t="s">
        <v>163</v>
      </c>
      <c r="Q251" t="s">
        <v>163</v>
      </c>
      <c r="R251" t="s">
        <v>163</v>
      </c>
      <c r="S251" t="s">
        <v>163</v>
      </c>
      <c r="T251" t="s">
        <v>163</v>
      </c>
      <c r="U251" t="s">
        <v>163</v>
      </c>
      <c r="V251" t="s">
        <v>163</v>
      </c>
      <c r="W251" t="s">
        <v>165</v>
      </c>
      <c r="X251" t="s">
        <v>165</v>
      </c>
      <c r="Y251">
        <v>1</v>
      </c>
      <c r="Z251" t="s">
        <v>163</v>
      </c>
      <c r="AA251">
        <v>1</v>
      </c>
      <c r="AB251">
        <v>2</v>
      </c>
      <c r="AC251">
        <v>1</v>
      </c>
      <c r="AD251" t="s">
        <v>163</v>
      </c>
      <c r="AE251" t="s">
        <v>163</v>
      </c>
      <c r="AF251" t="s">
        <v>163</v>
      </c>
      <c r="AG251" t="s">
        <v>163</v>
      </c>
      <c r="AH251" t="s">
        <v>163</v>
      </c>
      <c r="AI251" t="s">
        <v>163</v>
      </c>
      <c r="AJ251" t="s">
        <v>163</v>
      </c>
      <c r="AK251">
        <v>4</v>
      </c>
      <c r="AL251">
        <v>4</v>
      </c>
      <c r="AM251" t="s">
        <v>163</v>
      </c>
      <c r="AN251">
        <v>1</v>
      </c>
      <c r="AO251">
        <v>1</v>
      </c>
      <c r="AP251">
        <v>2</v>
      </c>
      <c r="AQ251">
        <v>2</v>
      </c>
      <c r="AR251">
        <v>6</v>
      </c>
      <c r="AS251">
        <v>6</v>
      </c>
    </row>
    <row r="252" spans="1:45" x14ac:dyDescent="0.35">
      <c r="A252" s="337">
        <v>46266</v>
      </c>
      <c r="B252" s="337">
        <v>46275</v>
      </c>
      <c r="C252" s="337">
        <v>46274</v>
      </c>
      <c r="D252" t="s">
        <v>130</v>
      </c>
      <c r="E252" s="339">
        <v>0.95833333333333337</v>
      </c>
      <c r="F252">
        <v>1</v>
      </c>
      <c r="G252" t="s">
        <v>158</v>
      </c>
      <c r="H252" t="s">
        <v>163</v>
      </c>
      <c r="I252" t="s">
        <v>165</v>
      </c>
      <c r="J252" t="s">
        <v>165</v>
      </c>
      <c r="K252" t="s">
        <v>165</v>
      </c>
      <c r="L252" t="s">
        <v>163</v>
      </c>
      <c r="M252" t="s">
        <v>163</v>
      </c>
      <c r="N252">
        <v>10.81</v>
      </c>
      <c r="O252" t="s">
        <v>163</v>
      </c>
      <c r="P252" t="s">
        <v>163</v>
      </c>
      <c r="Q252" t="s">
        <v>163</v>
      </c>
      <c r="R252" t="s">
        <v>163</v>
      </c>
      <c r="S252" t="s">
        <v>163</v>
      </c>
      <c r="T252" t="s">
        <v>163</v>
      </c>
      <c r="U252" t="s">
        <v>163</v>
      </c>
      <c r="V252" t="s">
        <v>163</v>
      </c>
      <c r="W252" t="s">
        <v>165</v>
      </c>
      <c r="X252" t="s">
        <v>165</v>
      </c>
      <c r="Y252">
        <v>1</v>
      </c>
      <c r="Z252" t="s">
        <v>163</v>
      </c>
      <c r="AA252">
        <v>1</v>
      </c>
      <c r="AB252">
        <v>2</v>
      </c>
      <c r="AC252">
        <v>0</v>
      </c>
      <c r="AD252" t="s">
        <v>163</v>
      </c>
      <c r="AE252" t="s">
        <v>163</v>
      </c>
      <c r="AF252" t="s">
        <v>163</v>
      </c>
      <c r="AG252" t="s">
        <v>163</v>
      </c>
      <c r="AH252" t="s">
        <v>163</v>
      </c>
      <c r="AI252" t="s">
        <v>163</v>
      </c>
      <c r="AJ252" t="s">
        <v>163</v>
      </c>
      <c r="AK252">
        <v>3</v>
      </c>
      <c r="AL252">
        <v>4</v>
      </c>
      <c r="AM252" t="s">
        <v>163</v>
      </c>
      <c r="AN252">
        <v>1</v>
      </c>
      <c r="AO252">
        <v>1</v>
      </c>
      <c r="AP252">
        <v>2</v>
      </c>
      <c r="AQ252">
        <v>2</v>
      </c>
      <c r="AR252">
        <v>5</v>
      </c>
      <c r="AS252">
        <v>6</v>
      </c>
    </row>
    <row r="253" spans="1:45" x14ac:dyDescent="0.35">
      <c r="A253" s="337">
        <v>46266</v>
      </c>
      <c r="B253" s="337">
        <v>46275</v>
      </c>
      <c r="C253" s="337">
        <v>46274</v>
      </c>
      <c r="D253" t="s">
        <v>130</v>
      </c>
      <c r="E253" s="339">
        <v>0.91666666666666663</v>
      </c>
      <c r="F253">
        <v>1</v>
      </c>
      <c r="G253" t="s">
        <v>158</v>
      </c>
      <c r="H253" t="s">
        <v>163</v>
      </c>
      <c r="I253" t="s">
        <v>165</v>
      </c>
      <c r="J253" t="s">
        <v>165</v>
      </c>
      <c r="K253" t="s">
        <v>165</v>
      </c>
      <c r="L253" t="s">
        <v>163</v>
      </c>
      <c r="M253" t="s">
        <v>163</v>
      </c>
      <c r="N253">
        <v>10.99</v>
      </c>
      <c r="O253">
        <v>9.4600000000000009</v>
      </c>
      <c r="P253">
        <v>0.56999999999999995</v>
      </c>
      <c r="Q253" t="s">
        <v>163</v>
      </c>
      <c r="R253" t="s">
        <v>163</v>
      </c>
      <c r="S253" t="s">
        <v>163</v>
      </c>
      <c r="T253">
        <v>25.8</v>
      </c>
      <c r="U253" t="s">
        <v>163</v>
      </c>
      <c r="V253" t="s">
        <v>163</v>
      </c>
      <c r="W253" t="s">
        <v>165</v>
      </c>
      <c r="X253" t="s">
        <v>165</v>
      </c>
      <c r="Y253">
        <v>1</v>
      </c>
      <c r="Z253" t="s">
        <v>163</v>
      </c>
      <c r="AA253">
        <v>1</v>
      </c>
      <c r="AB253">
        <v>2</v>
      </c>
      <c r="AC253">
        <v>0</v>
      </c>
      <c r="AD253">
        <v>1</v>
      </c>
      <c r="AE253">
        <v>2</v>
      </c>
      <c r="AF253" t="s">
        <v>163</v>
      </c>
      <c r="AG253" t="s">
        <v>163</v>
      </c>
      <c r="AH253" t="s">
        <v>163</v>
      </c>
      <c r="AI253">
        <v>2</v>
      </c>
      <c r="AJ253" t="s">
        <v>163</v>
      </c>
      <c r="AK253">
        <v>8</v>
      </c>
      <c r="AL253">
        <v>9</v>
      </c>
      <c r="AM253" t="s">
        <v>163</v>
      </c>
      <c r="AN253">
        <v>1</v>
      </c>
      <c r="AO253">
        <v>1</v>
      </c>
      <c r="AP253">
        <v>2</v>
      </c>
      <c r="AQ253">
        <v>2</v>
      </c>
      <c r="AR253">
        <v>10</v>
      </c>
      <c r="AS253">
        <v>11</v>
      </c>
    </row>
    <row r="254" spans="1:45" x14ac:dyDescent="0.35">
      <c r="A254" s="337">
        <v>46266</v>
      </c>
      <c r="B254" s="337">
        <v>46275</v>
      </c>
      <c r="C254" s="337">
        <v>46273</v>
      </c>
      <c r="D254" t="s">
        <v>128</v>
      </c>
      <c r="E254" s="339">
        <v>0.875</v>
      </c>
      <c r="F254">
        <v>3</v>
      </c>
      <c r="G254" t="s">
        <v>191</v>
      </c>
      <c r="H254">
        <v>0.02</v>
      </c>
      <c r="I254" t="s">
        <v>165</v>
      </c>
      <c r="J254" t="s">
        <v>165</v>
      </c>
      <c r="K254" t="s">
        <v>165</v>
      </c>
      <c r="L254" t="s">
        <v>161</v>
      </c>
      <c r="M254" t="s">
        <v>161</v>
      </c>
      <c r="N254">
        <v>12.16</v>
      </c>
      <c r="O254" t="s">
        <v>163</v>
      </c>
      <c r="P254" t="s">
        <v>163</v>
      </c>
      <c r="Q254" t="s">
        <v>163</v>
      </c>
      <c r="R254" t="s">
        <v>163</v>
      </c>
      <c r="S254" t="s">
        <v>163</v>
      </c>
      <c r="T254" t="s">
        <v>163</v>
      </c>
      <c r="U254" t="s">
        <v>163</v>
      </c>
      <c r="V254" t="s">
        <v>163</v>
      </c>
      <c r="W254" t="s">
        <v>163</v>
      </c>
      <c r="X254" t="s">
        <v>163</v>
      </c>
      <c r="Y254" t="s">
        <v>163</v>
      </c>
      <c r="Z254">
        <v>2</v>
      </c>
      <c r="AA254">
        <v>1</v>
      </c>
      <c r="AB254">
        <v>2</v>
      </c>
      <c r="AC254">
        <v>1</v>
      </c>
      <c r="AD254" t="s">
        <v>163</v>
      </c>
      <c r="AE254" t="s">
        <v>163</v>
      </c>
      <c r="AF254" t="s">
        <v>163</v>
      </c>
      <c r="AG254" t="s">
        <v>163</v>
      </c>
      <c r="AH254" t="s">
        <v>163</v>
      </c>
      <c r="AI254" t="s">
        <v>163</v>
      </c>
      <c r="AJ254" t="s">
        <v>163</v>
      </c>
      <c r="AK254">
        <v>6</v>
      </c>
      <c r="AL254">
        <v>6</v>
      </c>
      <c r="AM254" t="s">
        <v>163</v>
      </c>
      <c r="AN254" t="s">
        <v>163</v>
      </c>
      <c r="AO254" t="s">
        <v>163</v>
      </c>
      <c r="AP254">
        <v>0</v>
      </c>
      <c r="AQ254">
        <v>0</v>
      </c>
      <c r="AR254">
        <v>6</v>
      </c>
      <c r="AS254">
        <v>6</v>
      </c>
    </row>
    <row r="255" spans="1:45" x14ac:dyDescent="0.35">
      <c r="A255" s="337">
        <v>46266</v>
      </c>
      <c r="B255" s="337">
        <v>46275</v>
      </c>
      <c r="C255" s="337">
        <v>46273</v>
      </c>
      <c r="D255" t="s">
        <v>128</v>
      </c>
      <c r="E255" s="339">
        <v>0.83333333333333337</v>
      </c>
      <c r="F255">
        <v>3</v>
      </c>
      <c r="G255" t="s">
        <v>191</v>
      </c>
      <c r="H255">
        <v>0.02</v>
      </c>
      <c r="I255" t="s">
        <v>165</v>
      </c>
      <c r="J255" t="s">
        <v>165</v>
      </c>
      <c r="K255" t="s">
        <v>165</v>
      </c>
      <c r="L255" t="s">
        <v>161</v>
      </c>
      <c r="M255" t="s">
        <v>161</v>
      </c>
      <c r="N255">
        <v>12.08</v>
      </c>
      <c r="O255" t="s">
        <v>163</v>
      </c>
      <c r="P255" t="s">
        <v>163</v>
      </c>
      <c r="Q255" t="s">
        <v>163</v>
      </c>
      <c r="R255" t="s">
        <v>163</v>
      </c>
      <c r="S255" t="s">
        <v>163</v>
      </c>
      <c r="T255" t="s">
        <v>163</v>
      </c>
      <c r="U255" t="s">
        <v>163</v>
      </c>
      <c r="V255" t="s">
        <v>163</v>
      </c>
      <c r="W255" t="s">
        <v>163</v>
      </c>
      <c r="X255" t="s">
        <v>163</v>
      </c>
      <c r="Y255" t="s">
        <v>163</v>
      </c>
      <c r="Z255">
        <v>2</v>
      </c>
      <c r="AA255">
        <v>1</v>
      </c>
      <c r="AB255">
        <v>2</v>
      </c>
      <c r="AC255">
        <v>1</v>
      </c>
      <c r="AD255" t="s">
        <v>163</v>
      </c>
      <c r="AE255" t="s">
        <v>163</v>
      </c>
      <c r="AF255" t="s">
        <v>163</v>
      </c>
      <c r="AG255" t="s">
        <v>163</v>
      </c>
      <c r="AH255" t="s">
        <v>163</v>
      </c>
      <c r="AI255" t="s">
        <v>163</v>
      </c>
      <c r="AJ255" t="s">
        <v>163</v>
      </c>
      <c r="AK255">
        <v>6</v>
      </c>
      <c r="AL255">
        <v>6</v>
      </c>
      <c r="AM255" t="s">
        <v>163</v>
      </c>
      <c r="AN255" t="s">
        <v>163</v>
      </c>
      <c r="AO255" t="s">
        <v>163</v>
      </c>
      <c r="AP255">
        <v>0</v>
      </c>
      <c r="AQ255">
        <v>0</v>
      </c>
      <c r="AR255">
        <v>6</v>
      </c>
      <c r="AS255">
        <v>6</v>
      </c>
    </row>
    <row r="256" spans="1:45" x14ac:dyDescent="0.35">
      <c r="A256" s="337">
        <v>46266</v>
      </c>
      <c r="B256" s="337">
        <v>46275</v>
      </c>
      <c r="C256" s="337">
        <v>46273</v>
      </c>
      <c r="D256" t="s">
        <v>128</v>
      </c>
      <c r="E256" s="339">
        <v>0.66666666666666663</v>
      </c>
      <c r="F256">
        <v>3</v>
      </c>
      <c r="G256" t="s">
        <v>191</v>
      </c>
      <c r="H256">
        <v>0.01</v>
      </c>
      <c r="I256" t="s">
        <v>165</v>
      </c>
      <c r="J256" t="s">
        <v>165</v>
      </c>
      <c r="K256" t="s">
        <v>165</v>
      </c>
      <c r="L256" t="s">
        <v>161</v>
      </c>
      <c r="M256" t="s">
        <v>161</v>
      </c>
      <c r="N256">
        <v>12.39</v>
      </c>
      <c r="O256" t="s">
        <v>163</v>
      </c>
      <c r="P256" t="s">
        <v>163</v>
      </c>
      <c r="Q256" t="s">
        <v>163</v>
      </c>
      <c r="R256" t="s">
        <v>163</v>
      </c>
      <c r="S256" t="s">
        <v>163</v>
      </c>
      <c r="T256" t="s">
        <v>163</v>
      </c>
      <c r="U256" t="s">
        <v>163</v>
      </c>
      <c r="V256" t="s">
        <v>163</v>
      </c>
      <c r="W256" t="s">
        <v>165</v>
      </c>
      <c r="X256" t="s">
        <v>165</v>
      </c>
      <c r="Y256" t="s">
        <v>163</v>
      </c>
      <c r="Z256">
        <v>2</v>
      </c>
      <c r="AA256">
        <v>1</v>
      </c>
      <c r="AB256">
        <v>2</v>
      </c>
      <c r="AC256">
        <v>1</v>
      </c>
      <c r="AD256" t="s">
        <v>163</v>
      </c>
      <c r="AE256" t="s">
        <v>163</v>
      </c>
      <c r="AF256" t="s">
        <v>163</v>
      </c>
      <c r="AG256" t="s">
        <v>163</v>
      </c>
      <c r="AH256" t="s">
        <v>163</v>
      </c>
      <c r="AI256" t="s">
        <v>163</v>
      </c>
      <c r="AJ256" t="s">
        <v>163</v>
      </c>
      <c r="AK256">
        <v>6</v>
      </c>
      <c r="AL256">
        <v>6</v>
      </c>
      <c r="AM256" t="s">
        <v>163</v>
      </c>
      <c r="AN256">
        <v>1</v>
      </c>
      <c r="AO256">
        <v>1</v>
      </c>
      <c r="AP256">
        <v>2</v>
      </c>
      <c r="AQ256">
        <v>2</v>
      </c>
      <c r="AR256">
        <v>8</v>
      </c>
      <c r="AS256">
        <v>8</v>
      </c>
    </row>
    <row r="257" spans="1:45" x14ac:dyDescent="0.35">
      <c r="A257" s="337">
        <v>46266</v>
      </c>
      <c r="B257" s="337">
        <v>46275</v>
      </c>
      <c r="C257" s="337">
        <v>46260</v>
      </c>
      <c r="D257" t="s">
        <v>128</v>
      </c>
      <c r="E257" s="339">
        <v>0.625</v>
      </c>
      <c r="F257">
        <v>3</v>
      </c>
      <c r="G257" t="s">
        <v>90</v>
      </c>
      <c r="H257">
        <v>0.01</v>
      </c>
      <c r="I257" t="s">
        <v>165</v>
      </c>
      <c r="J257" t="s">
        <v>165</v>
      </c>
      <c r="K257" t="s">
        <v>165</v>
      </c>
      <c r="L257" t="s">
        <v>161</v>
      </c>
      <c r="M257" t="s">
        <v>161</v>
      </c>
      <c r="N257">
        <v>12.18</v>
      </c>
      <c r="O257" t="s">
        <v>163</v>
      </c>
      <c r="P257" t="s">
        <v>163</v>
      </c>
      <c r="Q257" t="s">
        <v>163</v>
      </c>
      <c r="R257" t="s">
        <v>163</v>
      </c>
      <c r="S257" t="s">
        <v>163</v>
      </c>
      <c r="T257" t="s">
        <v>163</v>
      </c>
      <c r="U257" t="s">
        <v>163</v>
      </c>
      <c r="V257" t="s">
        <v>163</v>
      </c>
      <c r="W257" t="s">
        <v>165</v>
      </c>
      <c r="X257" t="s">
        <v>165</v>
      </c>
      <c r="Y257" t="s">
        <v>163</v>
      </c>
      <c r="Z257">
        <v>2</v>
      </c>
      <c r="AA257">
        <v>1</v>
      </c>
      <c r="AB257">
        <v>2</v>
      </c>
      <c r="AC257">
        <v>1</v>
      </c>
      <c r="AD257" t="s">
        <v>163</v>
      </c>
      <c r="AE257" t="s">
        <v>163</v>
      </c>
      <c r="AF257" t="s">
        <v>163</v>
      </c>
      <c r="AG257" t="s">
        <v>163</v>
      </c>
      <c r="AH257" t="s">
        <v>163</v>
      </c>
      <c r="AI257" t="s">
        <v>163</v>
      </c>
      <c r="AJ257" t="s">
        <v>163</v>
      </c>
      <c r="AK257">
        <v>6</v>
      </c>
      <c r="AL257">
        <v>6</v>
      </c>
      <c r="AM257" t="s">
        <v>163</v>
      </c>
      <c r="AN257">
        <v>1</v>
      </c>
      <c r="AO257">
        <v>1</v>
      </c>
      <c r="AP257">
        <v>2</v>
      </c>
      <c r="AQ257">
        <v>2</v>
      </c>
      <c r="AR257">
        <v>8</v>
      </c>
      <c r="AS257">
        <v>8</v>
      </c>
    </row>
    <row r="258" spans="1:45" x14ac:dyDescent="0.35">
      <c r="A258" s="337">
        <v>46266</v>
      </c>
      <c r="B258" s="337">
        <v>46275</v>
      </c>
      <c r="C258" s="339">
        <v>0</v>
      </c>
      <c r="D258" t="s">
        <v>128</v>
      </c>
      <c r="E258" s="339">
        <v>0.875</v>
      </c>
      <c r="F258">
        <v>2</v>
      </c>
      <c r="G258" t="s">
        <v>140</v>
      </c>
      <c r="H258" t="s">
        <v>163</v>
      </c>
      <c r="I258" t="s">
        <v>165</v>
      </c>
      <c r="J258" t="s">
        <v>165</v>
      </c>
      <c r="K258" t="s">
        <v>165</v>
      </c>
      <c r="L258" t="s">
        <v>163</v>
      </c>
      <c r="M258" t="s">
        <v>161</v>
      </c>
      <c r="N258">
        <v>10.55</v>
      </c>
      <c r="O258" t="s">
        <v>163</v>
      </c>
      <c r="P258" t="s">
        <v>163</v>
      </c>
      <c r="Q258" t="s">
        <v>163</v>
      </c>
      <c r="R258" t="s">
        <v>163</v>
      </c>
      <c r="S258" t="s">
        <v>163</v>
      </c>
      <c r="T258" t="s">
        <v>163</v>
      </c>
      <c r="U258" t="s">
        <v>163</v>
      </c>
      <c r="V258" t="s">
        <v>163</v>
      </c>
      <c r="W258" t="s">
        <v>165</v>
      </c>
      <c r="X258" t="s">
        <v>165</v>
      </c>
      <c r="Y258" t="s">
        <v>163</v>
      </c>
      <c r="Z258" t="s">
        <v>163</v>
      </c>
      <c r="AA258">
        <v>1</v>
      </c>
      <c r="AB258">
        <v>2</v>
      </c>
      <c r="AC258">
        <v>0</v>
      </c>
      <c r="AD258" t="s">
        <v>163</v>
      </c>
      <c r="AE258" t="s">
        <v>163</v>
      </c>
      <c r="AF258" t="s">
        <v>163</v>
      </c>
      <c r="AG258" t="s">
        <v>163</v>
      </c>
      <c r="AH258" t="s">
        <v>163</v>
      </c>
      <c r="AI258" t="s">
        <v>163</v>
      </c>
      <c r="AJ258" t="s">
        <v>163</v>
      </c>
      <c r="AK258">
        <v>3</v>
      </c>
      <c r="AL258">
        <v>4</v>
      </c>
      <c r="AM258" t="s">
        <v>163</v>
      </c>
      <c r="AN258">
        <v>1</v>
      </c>
      <c r="AO258">
        <v>1</v>
      </c>
      <c r="AP258">
        <v>2</v>
      </c>
      <c r="AQ258">
        <v>2</v>
      </c>
      <c r="AR258">
        <v>5</v>
      </c>
      <c r="AS258">
        <v>6</v>
      </c>
    </row>
    <row r="259" spans="1:45" x14ac:dyDescent="0.35">
      <c r="A259" s="337">
        <v>46266</v>
      </c>
      <c r="B259" s="337">
        <v>46275</v>
      </c>
      <c r="C259" s="339">
        <v>0</v>
      </c>
      <c r="D259" t="s">
        <v>128</v>
      </c>
      <c r="E259" s="339">
        <v>0.83333333333333337</v>
      </c>
      <c r="F259">
        <v>2</v>
      </c>
      <c r="G259" t="s">
        <v>140</v>
      </c>
      <c r="H259" t="s">
        <v>163</v>
      </c>
      <c r="I259" t="s">
        <v>165</v>
      </c>
      <c r="J259" t="s">
        <v>165</v>
      </c>
      <c r="K259" t="s">
        <v>165</v>
      </c>
      <c r="L259" t="s">
        <v>163</v>
      </c>
      <c r="M259" t="s">
        <v>161</v>
      </c>
      <c r="N259">
        <v>10.44</v>
      </c>
      <c r="O259" t="s">
        <v>163</v>
      </c>
      <c r="P259" t="s">
        <v>163</v>
      </c>
      <c r="Q259" t="s">
        <v>163</v>
      </c>
      <c r="R259" t="s">
        <v>163</v>
      </c>
      <c r="S259" t="s">
        <v>163</v>
      </c>
      <c r="T259" t="s">
        <v>163</v>
      </c>
      <c r="U259" t="s">
        <v>163</v>
      </c>
      <c r="V259" t="s">
        <v>163</v>
      </c>
      <c r="W259" t="s">
        <v>165</v>
      </c>
      <c r="X259" t="s">
        <v>165</v>
      </c>
      <c r="Y259" t="s">
        <v>163</v>
      </c>
      <c r="Z259" t="s">
        <v>163</v>
      </c>
      <c r="AA259">
        <v>1</v>
      </c>
      <c r="AB259">
        <v>2</v>
      </c>
      <c r="AC259">
        <v>0</v>
      </c>
      <c r="AD259" t="s">
        <v>163</v>
      </c>
      <c r="AE259" t="s">
        <v>163</v>
      </c>
      <c r="AF259" t="s">
        <v>163</v>
      </c>
      <c r="AG259" t="s">
        <v>163</v>
      </c>
      <c r="AH259" t="s">
        <v>163</v>
      </c>
      <c r="AI259" t="s">
        <v>163</v>
      </c>
      <c r="AJ259" t="s">
        <v>163</v>
      </c>
      <c r="AK259">
        <v>3</v>
      </c>
      <c r="AL259">
        <v>4</v>
      </c>
      <c r="AM259" t="s">
        <v>163</v>
      </c>
      <c r="AN259">
        <v>1</v>
      </c>
      <c r="AO259">
        <v>1</v>
      </c>
      <c r="AP259">
        <v>2</v>
      </c>
      <c r="AQ259">
        <v>2</v>
      </c>
      <c r="AR259">
        <v>5</v>
      </c>
      <c r="AS259">
        <v>6</v>
      </c>
    </row>
    <row r="260" spans="1:45" x14ac:dyDescent="0.35">
      <c r="A260" s="337">
        <v>46266</v>
      </c>
      <c r="B260" s="337">
        <v>46275</v>
      </c>
      <c r="C260" s="339">
        <v>0</v>
      </c>
      <c r="D260" t="s">
        <v>128</v>
      </c>
      <c r="E260" s="339">
        <v>0.79166666666666663</v>
      </c>
      <c r="F260">
        <v>2</v>
      </c>
      <c r="G260" t="s">
        <v>140</v>
      </c>
      <c r="H260" t="s">
        <v>163</v>
      </c>
      <c r="I260" t="s">
        <v>165</v>
      </c>
      <c r="J260" t="s">
        <v>165</v>
      </c>
      <c r="K260" t="s">
        <v>165</v>
      </c>
      <c r="L260" t="s">
        <v>163</v>
      </c>
      <c r="M260" t="s">
        <v>161</v>
      </c>
      <c r="N260">
        <v>10.68</v>
      </c>
      <c r="O260" t="s">
        <v>163</v>
      </c>
      <c r="P260" t="s">
        <v>163</v>
      </c>
      <c r="Q260" t="s">
        <v>163</v>
      </c>
      <c r="R260" t="s">
        <v>163</v>
      </c>
      <c r="S260" t="s">
        <v>163</v>
      </c>
      <c r="T260" t="s">
        <v>163</v>
      </c>
      <c r="U260" t="s">
        <v>163</v>
      </c>
      <c r="V260" t="s">
        <v>163</v>
      </c>
      <c r="W260" t="s">
        <v>165</v>
      </c>
      <c r="X260" t="s">
        <v>165</v>
      </c>
      <c r="Y260" t="s">
        <v>163</v>
      </c>
      <c r="Z260" t="s">
        <v>163</v>
      </c>
      <c r="AA260">
        <v>1</v>
      </c>
      <c r="AB260">
        <v>2</v>
      </c>
      <c r="AC260">
        <v>0</v>
      </c>
      <c r="AD260" t="s">
        <v>163</v>
      </c>
      <c r="AE260" t="s">
        <v>163</v>
      </c>
      <c r="AF260" t="s">
        <v>163</v>
      </c>
      <c r="AG260" t="s">
        <v>163</v>
      </c>
      <c r="AH260" t="s">
        <v>163</v>
      </c>
      <c r="AI260" t="s">
        <v>163</v>
      </c>
      <c r="AJ260" t="s">
        <v>163</v>
      </c>
      <c r="AK260">
        <v>3</v>
      </c>
      <c r="AL260">
        <v>4</v>
      </c>
      <c r="AM260" t="s">
        <v>163</v>
      </c>
      <c r="AN260">
        <v>1</v>
      </c>
      <c r="AO260">
        <v>1</v>
      </c>
      <c r="AP260">
        <v>2</v>
      </c>
      <c r="AQ260">
        <v>2</v>
      </c>
      <c r="AR260">
        <v>5</v>
      </c>
      <c r="AS260">
        <v>6</v>
      </c>
    </row>
    <row r="261" spans="1:45" x14ac:dyDescent="0.35">
      <c r="A261" s="337">
        <v>46266</v>
      </c>
      <c r="B261" s="337">
        <v>46275</v>
      </c>
      <c r="C261" s="339">
        <v>0</v>
      </c>
      <c r="D261" t="s">
        <v>128</v>
      </c>
      <c r="E261" s="339">
        <v>0.75</v>
      </c>
      <c r="F261">
        <v>2</v>
      </c>
      <c r="G261" t="s">
        <v>140</v>
      </c>
      <c r="H261" t="s">
        <v>163</v>
      </c>
      <c r="I261" t="s">
        <v>165</v>
      </c>
      <c r="J261" t="s">
        <v>165</v>
      </c>
      <c r="K261" t="s">
        <v>165</v>
      </c>
      <c r="L261" t="s">
        <v>163</v>
      </c>
      <c r="M261" t="s">
        <v>161</v>
      </c>
      <c r="N261">
        <v>10.65</v>
      </c>
      <c r="O261" t="s">
        <v>163</v>
      </c>
      <c r="P261" t="s">
        <v>163</v>
      </c>
      <c r="Q261" t="s">
        <v>163</v>
      </c>
      <c r="R261" t="s">
        <v>163</v>
      </c>
      <c r="S261" t="s">
        <v>163</v>
      </c>
      <c r="T261" t="s">
        <v>163</v>
      </c>
      <c r="U261" t="s">
        <v>163</v>
      </c>
      <c r="V261" t="s">
        <v>163</v>
      </c>
      <c r="W261" t="s">
        <v>165</v>
      </c>
      <c r="X261" t="s">
        <v>165</v>
      </c>
      <c r="Y261" t="s">
        <v>163</v>
      </c>
      <c r="Z261" t="s">
        <v>163</v>
      </c>
      <c r="AA261">
        <v>1</v>
      </c>
      <c r="AB261">
        <v>2</v>
      </c>
      <c r="AC261">
        <v>0</v>
      </c>
      <c r="AD261" t="s">
        <v>163</v>
      </c>
      <c r="AE261" t="s">
        <v>163</v>
      </c>
      <c r="AF261" t="s">
        <v>163</v>
      </c>
      <c r="AG261" t="s">
        <v>163</v>
      </c>
      <c r="AH261" t="s">
        <v>163</v>
      </c>
      <c r="AI261" t="s">
        <v>163</v>
      </c>
      <c r="AJ261" t="s">
        <v>163</v>
      </c>
      <c r="AK261">
        <v>3</v>
      </c>
      <c r="AL261">
        <v>4</v>
      </c>
      <c r="AM261" t="s">
        <v>163</v>
      </c>
      <c r="AN261">
        <v>1</v>
      </c>
      <c r="AO261">
        <v>1</v>
      </c>
      <c r="AP261">
        <v>2</v>
      </c>
      <c r="AQ261">
        <v>2</v>
      </c>
      <c r="AR261">
        <v>5</v>
      </c>
      <c r="AS261">
        <v>6</v>
      </c>
    </row>
    <row r="262" spans="1:45" x14ac:dyDescent="0.35">
      <c r="A262" s="337">
        <v>46266</v>
      </c>
      <c r="B262" s="337">
        <v>46275</v>
      </c>
      <c r="C262" s="339">
        <v>0</v>
      </c>
      <c r="D262" t="s">
        <v>128</v>
      </c>
      <c r="E262" s="339">
        <v>0.66666666666666663</v>
      </c>
      <c r="F262">
        <v>2</v>
      </c>
      <c r="G262" t="s">
        <v>140</v>
      </c>
      <c r="H262" t="s">
        <v>163</v>
      </c>
      <c r="I262" t="s">
        <v>165</v>
      </c>
      <c r="J262" t="s">
        <v>165</v>
      </c>
      <c r="K262" t="s">
        <v>165</v>
      </c>
      <c r="L262" t="s">
        <v>163</v>
      </c>
      <c r="M262" t="s">
        <v>161</v>
      </c>
      <c r="N262">
        <v>10.41</v>
      </c>
      <c r="O262" t="s">
        <v>163</v>
      </c>
      <c r="P262" t="s">
        <v>163</v>
      </c>
      <c r="Q262" t="s">
        <v>163</v>
      </c>
      <c r="R262" t="s">
        <v>163</v>
      </c>
      <c r="S262" t="s">
        <v>163</v>
      </c>
      <c r="T262" t="s">
        <v>163</v>
      </c>
      <c r="U262" t="s">
        <v>163</v>
      </c>
      <c r="V262" t="s">
        <v>163</v>
      </c>
      <c r="W262" t="s">
        <v>165</v>
      </c>
      <c r="X262" t="s">
        <v>165</v>
      </c>
      <c r="Y262" t="s">
        <v>163</v>
      </c>
      <c r="Z262" t="s">
        <v>163</v>
      </c>
      <c r="AA262">
        <v>1</v>
      </c>
      <c r="AB262">
        <v>2</v>
      </c>
      <c r="AC262">
        <v>0</v>
      </c>
      <c r="AD262" t="s">
        <v>163</v>
      </c>
      <c r="AE262" t="s">
        <v>163</v>
      </c>
      <c r="AF262" t="s">
        <v>163</v>
      </c>
      <c r="AG262" t="s">
        <v>163</v>
      </c>
      <c r="AH262" t="s">
        <v>163</v>
      </c>
      <c r="AI262" t="s">
        <v>163</v>
      </c>
      <c r="AJ262" t="s">
        <v>163</v>
      </c>
      <c r="AK262">
        <v>3</v>
      </c>
      <c r="AL262">
        <v>4</v>
      </c>
      <c r="AM262" t="s">
        <v>163</v>
      </c>
      <c r="AN262">
        <v>1</v>
      </c>
      <c r="AO262">
        <v>1</v>
      </c>
      <c r="AP262">
        <v>2</v>
      </c>
      <c r="AQ262">
        <v>2</v>
      </c>
      <c r="AR262">
        <v>5</v>
      </c>
      <c r="AS262">
        <v>6</v>
      </c>
    </row>
    <row r="263" spans="1:45" x14ac:dyDescent="0.35">
      <c r="A263" s="337">
        <v>46266</v>
      </c>
      <c r="B263" s="337">
        <v>46275</v>
      </c>
      <c r="C263" s="339">
        <v>0</v>
      </c>
      <c r="D263" t="s">
        <v>128</v>
      </c>
      <c r="E263" s="339">
        <v>0.625</v>
      </c>
      <c r="F263">
        <v>2</v>
      </c>
      <c r="G263" t="s">
        <v>140</v>
      </c>
      <c r="H263" t="s">
        <v>163</v>
      </c>
      <c r="I263" t="s">
        <v>165</v>
      </c>
      <c r="J263" t="s">
        <v>165</v>
      </c>
      <c r="K263" t="s">
        <v>165</v>
      </c>
      <c r="L263" t="s">
        <v>163</v>
      </c>
      <c r="M263" t="s">
        <v>161</v>
      </c>
      <c r="N263">
        <v>10.44</v>
      </c>
      <c r="O263" t="s">
        <v>163</v>
      </c>
      <c r="P263" t="s">
        <v>163</v>
      </c>
      <c r="Q263" t="s">
        <v>163</v>
      </c>
      <c r="R263" t="s">
        <v>163</v>
      </c>
      <c r="S263" t="s">
        <v>163</v>
      </c>
      <c r="T263" t="s">
        <v>163</v>
      </c>
      <c r="U263" t="s">
        <v>163</v>
      </c>
      <c r="V263" t="s">
        <v>163</v>
      </c>
      <c r="W263" t="s">
        <v>165</v>
      </c>
      <c r="X263" t="s">
        <v>165</v>
      </c>
      <c r="Y263" t="s">
        <v>163</v>
      </c>
      <c r="Z263" t="s">
        <v>163</v>
      </c>
      <c r="AA263">
        <v>1</v>
      </c>
      <c r="AB263">
        <v>2</v>
      </c>
      <c r="AC263">
        <v>0</v>
      </c>
      <c r="AD263" t="s">
        <v>163</v>
      </c>
      <c r="AE263" t="s">
        <v>163</v>
      </c>
      <c r="AF263" t="s">
        <v>163</v>
      </c>
      <c r="AG263" t="s">
        <v>163</v>
      </c>
      <c r="AH263" t="s">
        <v>163</v>
      </c>
      <c r="AI263" t="s">
        <v>163</v>
      </c>
      <c r="AJ263" t="s">
        <v>163</v>
      </c>
      <c r="AK263">
        <v>3</v>
      </c>
      <c r="AL263">
        <v>4</v>
      </c>
      <c r="AM263" t="s">
        <v>163</v>
      </c>
      <c r="AN263">
        <v>1</v>
      </c>
      <c r="AO263">
        <v>1</v>
      </c>
      <c r="AP263">
        <v>2</v>
      </c>
      <c r="AQ263">
        <v>2</v>
      </c>
      <c r="AR263">
        <v>5</v>
      </c>
      <c r="AS263">
        <v>6</v>
      </c>
    </row>
    <row r="264" spans="1:45" x14ac:dyDescent="0.35">
      <c r="A264" s="337">
        <v>46266</v>
      </c>
      <c r="B264" s="337">
        <v>46275</v>
      </c>
      <c r="C264" s="339">
        <v>0</v>
      </c>
      <c r="D264" t="s">
        <v>128</v>
      </c>
      <c r="E264" s="339">
        <v>0.58333333333333337</v>
      </c>
      <c r="F264">
        <v>2</v>
      </c>
      <c r="G264" t="s">
        <v>335</v>
      </c>
      <c r="H264" t="s">
        <v>163</v>
      </c>
      <c r="I264" t="s">
        <v>165</v>
      </c>
      <c r="J264" t="s">
        <v>165</v>
      </c>
      <c r="K264" t="s">
        <v>165</v>
      </c>
      <c r="L264" t="s">
        <v>163</v>
      </c>
      <c r="M264" t="s">
        <v>161</v>
      </c>
      <c r="N264">
        <v>10.199999999999999</v>
      </c>
      <c r="O264" t="s">
        <v>163</v>
      </c>
      <c r="P264" t="s">
        <v>163</v>
      </c>
      <c r="Q264" t="s">
        <v>163</v>
      </c>
      <c r="R264" t="s">
        <v>163</v>
      </c>
      <c r="S264" t="s">
        <v>163</v>
      </c>
      <c r="T264" t="s">
        <v>163</v>
      </c>
      <c r="U264" t="s">
        <v>163</v>
      </c>
      <c r="V264" t="s">
        <v>163</v>
      </c>
      <c r="W264" t="s">
        <v>165</v>
      </c>
      <c r="X264" t="s">
        <v>165</v>
      </c>
      <c r="Y264" t="s">
        <v>163</v>
      </c>
      <c r="Z264" t="s">
        <v>163</v>
      </c>
      <c r="AA264">
        <v>1</v>
      </c>
      <c r="AB264">
        <v>2</v>
      </c>
      <c r="AC264">
        <v>0</v>
      </c>
      <c r="AD264" t="s">
        <v>163</v>
      </c>
      <c r="AE264" t="s">
        <v>163</v>
      </c>
      <c r="AF264" t="s">
        <v>163</v>
      </c>
      <c r="AG264" t="s">
        <v>163</v>
      </c>
      <c r="AH264" t="s">
        <v>163</v>
      </c>
      <c r="AI264" t="s">
        <v>163</v>
      </c>
      <c r="AJ264" t="s">
        <v>163</v>
      </c>
      <c r="AK264">
        <v>3</v>
      </c>
      <c r="AL264">
        <v>4</v>
      </c>
      <c r="AM264" t="s">
        <v>163</v>
      </c>
      <c r="AN264">
        <v>1</v>
      </c>
      <c r="AO264">
        <v>1</v>
      </c>
      <c r="AP264">
        <v>2</v>
      </c>
      <c r="AQ264">
        <v>2</v>
      </c>
      <c r="AR264">
        <v>5</v>
      </c>
      <c r="AS264">
        <v>6</v>
      </c>
    </row>
    <row r="265" spans="1:45" x14ac:dyDescent="0.35">
      <c r="A265" s="337">
        <v>46266</v>
      </c>
      <c r="B265" s="337">
        <v>46275</v>
      </c>
      <c r="C265" s="337">
        <v>46274</v>
      </c>
      <c r="D265" t="s">
        <v>128</v>
      </c>
      <c r="E265" s="339">
        <v>0.875</v>
      </c>
      <c r="F265">
        <v>1</v>
      </c>
      <c r="G265" t="s">
        <v>158</v>
      </c>
      <c r="H265" t="s">
        <v>163</v>
      </c>
      <c r="I265" t="s">
        <v>165</v>
      </c>
      <c r="J265" t="s">
        <v>165</v>
      </c>
      <c r="K265" t="s">
        <v>165</v>
      </c>
      <c r="L265" t="s">
        <v>163</v>
      </c>
      <c r="M265" t="s">
        <v>163</v>
      </c>
      <c r="N265">
        <v>10.94</v>
      </c>
      <c r="O265" t="s">
        <v>163</v>
      </c>
      <c r="P265" t="s">
        <v>163</v>
      </c>
      <c r="Q265" t="s">
        <v>163</v>
      </c>
      <c r="R265" t="s">
        <v>163</v>
      </c>
      <c r="S265" t="s">
        <v>163</v>
      </c>
      <c r="T265" t="s">
        <v>163</v>
      </c>
      <c r="U265" t="s">
        <v>163</v>
      </c>
      <c r="V265" t="s">
        <v>163</v>
      </c>
      <c r="W265" t="s">
        <v>165</v>
      </c>
      <c r="X265" t="s">
        <v>165</v>
      </c>
      <c r="Y265" t="s">
        <v>163</v>
      </c>
      <c r="Z265" t="s">
        <v>163</v>
      </c>
      <c r="AA265">
        <v>1</v>
      </c>
      <c r="AB265">
        <v>2</v>
      </c>
      <c r="AC265">
        <v>0</v>
      </c>
      <c r="AD265" t="s">
        <v>163</v>
      </c>
      <c r="AE265" t="s">
        <v>163</v>
      </c>
      <c r="AF265" t="s">
        <v>163</v>
      </c>
      <c r="AG265" t="s">
        <v>163</v>
      </c>
      <c r="AH265" t="s">
        <v>163</v>
      </c>
      <c r="AI265" t="s">
        <v>163</v>
      </c>
      <c r="AJ265" t="s">
        <v>163</v>
      </c>
      <c r="AK265">
        <v>3</v>
      </c>
      <c r="AL265">
        <v>4</v>
      </c>
      <c r="AM265" t="s">
        <v>163</v>
      </c>
      <c r="AN265">
        <v>1</v>
      </c>
      <c r="AO265">
        <v>1</v>
      </c>
      <c r="AP265">
        <v>2</v>
      </c>
      <c r="AQ265">
        <v>2</v>
      </c>
      <c r="AR265">
        <v>5</v>
      </c>
      <c r="AS265">
        <v>6</v>
      </c>
    </row>
    <row r="266" spans="1:45" x14ac:dyDescent="0.35">
      <c r="A266" s="337">
        <v>46266</v>
      </c>
      <c r="B266" s="337">
        <v>46275</v>
      </c>
      <c r="C266" s="337">
        <v>46274</v>
      </c>
      <c r="D266" t="s">
        <v>128</v>
      </c>
      <c r="E266" s="339">
        <v>0.83333333333333337</v>
      </c>
      <c r="F266">
        <v>1</v>
      </c>
      <c r="G266" t="s">
        <v>158</v>
      </c>
      <c r="H266" t="s">
        <v>163</v>
      </c>
      <c r="I266" t="s">
        <v>165</v>
      </c>
      <c r="J266" t="s">
        <v>165</v>
      </c>
      <c r="K266" t="s">
        <v>165</v>
      </c>
      <c r="L266" t="s">
        <v>163</v>
      </c>
      <c r="M266" t="s">
        <v>163</v>
      </c>
      <c r="N266">
        <v>10.74</v>
      </c>
      <c r="O266" t="s">
        <v>163</v>
      </c>
      <c r="P266" t="s">
        <v>163</v>
      </c>
      <c r="Q266" t="s">
        <v>163</v>
      </c>
      <c r="R266" t="s">
        <v>163</v>
      </c>
      <c r="S266" t="s">
        <v>163</v>
      </c>
      <c r="T266" t="s">
        <v>163</v>
      </c>
      <c r="U266" t="s">
        <v>163</v>
      </c>
      <c r="V266" t="s">
        <v>163</v>
      </c>
      <c r="W266" t="s">
        <v>165</v>
      </c>
      <c r="X266" t="s">
        <v>165</v>
      </c>
      <c r="Y266" t="s">
        <v>163</v>
      </c>
      <c r="Z266" t="s">
        <v>163</v>
      </c>
      <c r="AA266">
        <v>1</v>
      </c>
      <c r="AB266">
        <v>2</v>
      </c>
      <c r="AC266">
        <v>0</v>
      </c>
      <c r="AD266" t="s">
        <v>163</v>
      </c>
      <c r="AE266" t="s">
        <v>163</v>
      </c>
      <c r="AF266" t="s">
        <v>163</v>
      </c>
      <c r="AG266" t="s">
        <v>163</v>
      </c>
      <c r="AH266" t="s">
        <v>163</v>
      </c>
      <c r="AI266" t="s">
        <v>163</v>
      </c>
      <c r="AJ266" t="s">
        <v>163</v>
      </c>
      <c r="AK266">
        <v>3</v>
      </c>
      <c r="AL266">
        <v>4</v>
      </c>
      <c r="AM266" t="s">
        <v>163</v>
      </c>
      <c r="AN266">
        <v>1</v>
      </c>
      <c r="AO266">
        <v>1</v>
      </c>
      <c r="AP266">
        <v>2</v>
      </c>
      <c r="AQ266">
        <v>2</v>
      </c>
      <c r="AR266">
        <v>5</v>
      </c>
      <c r="AS266">
        <v>6</v>
      </c>
    </row>
    <row r="267" spans="1:45" x14ac:dyDescent="0.35">
      <c r="A267" s="337">
        <v>46266</v>
      </c>
      <c r="B267" s="337">
        <v>46275</v>
      </c>
      <c r="C267" s="337">
        <v>46274</v>
      </c>
      <c r="D267" t="s">
        <v>128</v>
      </c>
      <c r="E267" s="339">
        <v>0.66666666666666663</v>
      </c>
      <c r="F267">
        <v>1</v>
      </c>
      <c r="G267" t="s">
        <v>158</v>
      </c>
      <c r="H267" t="s">
        <v>163</v>
      </c>
      <c r="I267" t="s">
        <v>165</v>
      </c>
      <c r="J267" t="s">
        <v>165</v>
      </c>
      <c r="K267" t="s">
        <v>165</v>
      </c>
      <c r="L267" t="s">
        <v>163</v>
      </c>
      <c r="M267" t="s">
        <v>163</v>
      </c>
      <c r="N267">
        <v>10.53</v>
      </c>
      <c r="O267" t="s">
        <v>163</v>
      </c>
      <c r="P267" t="s">
        <v>163</v>
      </c>
      <c r="Q267" t="s">
        <v>163</v>
      </c>
      <c r="R267" t="s">
        <v>163</v>
      </c>
      <c r="S267" t="s">
        <v>163</v>
      </c>
      <c r="T267" t="s">
        <v>163</v>
      </c>
      <c r="U267" t="s">
        <v>163</v>
      </c>
      <c r="V267" t="s">
        <v>163</v>
      </c>
      <c r="W267" t="s">
        <v>165</v>
      </c>
      <c r="X267" t="s">
        <v>165</v>
      </c>
      <c r="Y267" t="s">
        <v>163</v>
      </c>
      <c r="Z267" t="s">
        <v>163</v>
      </c>
      <c r="AA267">
        <v>1</v>
      </c>
      <c r="AB267">
        <v>2</v>
      </c>
      <c r="AC267">
        <v>0</v>
      </c>
      <c r="AD267" t="s">
        <v>163</v>
      </c>
      <c r="AE267" t="s">
        <v>163</v>
      </c>
      <c r="AF267" t="s">
        <v>163</v>
      </c>
      <c r="AG267" t="s">
        <v>163</v>
      </c>
      <c r="AH267" t="s">
        <v>163</v>
      </c>
      <c r="AI267" t="s">
        <v>163</v>
      </c>
      <c r="AJ267" t="s">
        <v>163</v>
      </c>
      <c r="AK267">
        <v>3</v>
      </c>
      <c r="AL267">
        <v>4</v>
      </c>
      <c r="AM267" t="s">
        <v>163</v>
      </c>
      <c r="AN267">
        <v>1</v>
      </c>
      <c r="AO267">
        <v>1</v>
      </c>
      <c r="AP267">
        <v>2</v>
      </c>
      <c r="AQ267">
        <v>2</v>
      </c>
      <c r="AR267">
        <v>5</v>
      </c>
      <c r="AS267">
        <v>6</v>
      </c>
    </row>
    <row r="268" spans="1:45" x14ac:dyDescent="0.35">
      <c r="A268" s="337">
        <v>46266</v>
      </c>
      <c r="B268" s="337">
        <v>46275</v>
      </c>
      <c r="C268" s="337">
        <v>46273</v>
      </c>
      <c r="D268" t="s">
        <v>128</v>
      </c>
      <c r="E268" s="339">
        <v>0.625</v>
      </c>
      <c r="F268">
        <v>1</v>
      </c>
      <c r="G268" t="s">
        <v>123</v>
      </c>
      <c r="H268" t="s">
        <v>163</v>
      </c>
      <c r="I268" t="s">
        <v>165</v>
      </c>
      <c r="J268" t="s">
        <v>165</v>
      </c>
      <c r="K268" t="s">
        <v>165</v>
      </c>
      <c r="L268" t="s">
        <v>163</v>
      </c>
      <c r="M268" t="s">
        <v>163</v>
      </c>
      <c r="N268">
        <v>12.31</v>
      </c>
      <c r="O268" t="s">
        <v>163</v>
      </c>
      <c r="P268" t="s">
        <v>163</v>
      </c>
      <c r="Q268" t="s">
        <v>163</v>
      </c>
      <c r="R268" t="s">
        <v>163</v>
      </c>
      <c r="S268" t="s">
        <v>163</v>
      </c>
      <c r="T268" t="s">
        <v>163</v>
      </c>
      <c r="U268" t="s">
        <v>163</v>
      </c>
      <c r="V268" t="s">
        <v>163</v>
      </c>
      <c r="W268" t="s">
        <v>165</v>
      </c>
      <c r="X268" t="s">
        <v>165</v>
      </c>
      <c r="Y268" t="s">
        <v>163</v>
      </c>
      <c r="Z268" t="s">
        <v>163</v>
      </c>
      <c r="AA268">
        <v>1</v>
      </c>
      <c r="AB268">
        <v>2</v>
      </c>
      <c r="AC268">
        <v>1</v>
      </c>
      <c r="AD268" t="s">
        <v>163</v>
      </c>
      <c r="AE268" t="s">
        <v>163</v>
      </c>
      <c r="AF268" t="s">
        <v>163</v>
      </c>
      <c r="AG268" t="s">
        <v>163</v>
      </c>
      <c r="AH268" t="s">
        <v>163</v>
      </c>
      <c r="AI268" t="s">
        <v>163</v>
      </c>
      <c r="AJ268" t="s">
        <v>163</v>
      </c>
      <c r="AK268">
        <v>4</v>
      </c>
      <c r="AL268">
        <v>4</v>
      </c>
      <c r="AM268" t="s">
        <v>163</v>
      </c>
      <c r="AN268">
        <v>1</v>
      </c>
      <c r="AO268">
        <v>1</v>
      </c>
      <c r="AP268">
        <v>2</v>
      </c>
      <c r="AQ268">
        <v>2</v>
      </c>
      <c r="AR268">
        <v>6</v>
      </c>
      <c r="AS268">
        <v>6</v>
      </c>
    </row>
    <row r="269" spans="1:45" x14ac:dyDescent="0.35">
      <c r="A269" s="337">
        <v>46266</v>
      </c>
      <c r="B269" s="337">
        <v>46275</v>
      </c>
      <c r="C269" s="337">
        <v>46273</v>
      </c>
      <c r="D269" t="s">
        <v>128</v>
      </c>
      <c r="E269" s="339">
        <v>0.58333333333333337</v>
      </c>
      <c r="F269">
        <v>1</v>
      </c>
      <c r="G269" t="s">
        <v>123</v>
      </c>
      <c r="H269" t="s">
        <v>163</v>
      </c>
      <c r="I269" t="s">
        <v>165</v>
      </c>
      <c r="J269" t="s">
        <v>165</v>
      </c>
      <c r="K269" t="s">
        <v>165</v>
      </c>
      <c r="L269" t="s">
        <v>163</v>
      </c>
      <c r="M269" t="s">
        <v>163</v>
      </c>
      <c r="N269">
        <v>12.63</v>
      </c>
      <c r="O269" t="s">
        <v>163</v>
      </c>
      <c r="P269" t="s">
        <v>163</v>
      </c>
      <c r="Q269" t="s">
        <v>163</v>
      </c>
      <c r="R269" t="s">
        <v>163</v>
      </c>
      <c r="S269" t="s">
        <v>163</v>
      </c>
      <c r="T269" t="s">
        <v>163</v>
      </c>
      <c r="U269" t="s">
        <v>163</v>
      </c>
      <c r="V269" t="s">
        <v>163</v>
      </c>
      <c r="W269" t="s">
        <v>165</v>
      </c>
      <c r="X269" t="s">
        <v>165</v>
      </c>
      <c r="Y269" t="s">
        <v>163</v>
      </c>
      <c r="Z269" t="s">
        <v>163</v>
      </c>
      <c r="AA269">
        <v>1</v>
      </c>
      <c r="AB269">
        <v>2</v>
      </c>
      <c r="AC269">
        <v>1</v>
      </c>
      <c r="AD269" t="s">
        <v>163</v>
      </c>
      <c r="AE269" t="s">
        <v>163</v>
      </c>
      <c r="AF269" t="s">
        <v>163</v>
      </c>
      <c r="AG269" t="s">
        <v>163</v>
      </c>
      <c r="AH269" t="s">
        <v>163</v>
      </c>
      <c r="AI269" t="s">
        <v>163</v>
      </c>
      <c r="AJ269" t="s">
        <v>163</v>
      </c>
      <c r="AK269">
        <v>4</v>
      </c>
      <c r="AL269">
        <v>4</v>
      </c>
      <c r="AM269" t="s">
        <v>163</v>
      </c>
      <c r="AN269">
        <v>1</v>
      </c>
      <c r="AO269">
        <v>1</v>
      </c>
      <c r="AP269">
        <v>2</v>
      </c>
      <c r="AQ269">
        <v>2</v>
      </c>
      <c r="AR269">
        <v>6</v>
      </c>
      <c r="AS269">
        <v>6</v>
      </c>
    </row>
    <row r="270" spans="1:45" x14ac:dyDescent="0.35">
      <c r="A270" s="337">
        <v>46266</v>
      </c>
      <c r="B270" s="337">
        <v>46275</v>
      </c>
      <c r="C270" s="337">
        <v>46273</v>
      </c>
      <c r="D270" t="s">
        <v>125</v>
      </c>
      <c r="E270" t="s">
        <v>237</v>
      </c>
      <c r="F270">
        <v>3</v>
      </c>
      <c r="G270" t="s">
        <v>145</v>
      </c>
      <c r="H270">
        <v>0.01</v>
      </c>
      <c r="I270" t="s">
        <v>165</v>
      </c>
      <c r="J270" t="s">
        <v>165</v>
      </c>
      <c r="K270" t="s">
        <v>165</v>
      </c>
      <c r="L270" t="s">
        <v>161</v>
      </c>
      <c r="M270" t="s">
        <v>161</v>
      </c>
      <c r="N270" t="s">
        <v>163</v>
      </c>
      <c r="O270" t="s">
        <v>163</v>
      </c>
      <c r="P270" t="s">
        <v>163</v>
      </c>
      <c r="Q270" t="s">
        <v>163</v>
      </c>
      <c r="R270" t="s">
        <v>163</v>
      </c>
      <c r="S270" t="s">
        <v>163</v>
      </c>
      <c r="T270" t="s">
        <v>163</v>
      </c>
      <c r="U270" t="s">
        <v>163</v>
      </c>
      <c r="V270" t="s">
        <v>163</v>
      </c>
      <c r="W270" t="s">
        <v>165</v>
      </c>
      <c r="X270" t="s">
        <v>165</v>
      </c>
      <c r="Y270" t="s">
        <v>163</v>
      </c>
      <c r="Z270">
        <v>2</v>
      </c>
      <c r="AA270">
        <v>1</v>
      </c>
      <c r="AB270">
        <v>2</v>
      </c>
      <c r="AC270" t="s">
        <v>163</v>
      </c>
      <c r="AD270" t="s">
        <v>163</v>
      </c>
      <c r="AE270" t="s">
        <v>163</v>
      </c>
      <c r="AF270" t="s">
        <v>163</v>
      </c>
      <c r="AG270" t="s">
        <v>163</v>
      </c>
      <c r="AH270" t="s">
        <v>163</v>
      </c>
      <c r="AI270" t="s">
        <v>163</v>
      </c>
      <c r="AJ270" t="s">
        <v>163</v>
      </c>
      <c r="AK270">
        <v>5</v>
      </c>
      <c r="AL270">
        <v>5</v>
      </c>
      <c r="AM270" t="s">
        <v>163</v>
      </c>
      <c r="AN270">
        <v>1</v>
      </c>
      <c r="AO270">
        <v>1</v>
      </c>
      <c r="AP270">
        <v>2</v>
      </c>
      <c r="AQ270">
        <v>2</v>
      </c>
      <c r="AR270">
        <v>7</v>
      </c>
      <c r="AS270">
        <v>7</v>
      </c>
    </row>
    <row r="271" spans="1:45" x14ac:dyDescent="0.35">
      <c r="A271" s="337">
        <v>46266</v>
      </c>
      <c r="B271" s="337">
        <v>46275</v>
      </c>
      <c r="C271" s="337">
        <v>46273</v>
      </c>
      <c r="D271" t="s">
        <v>125</v>
      </c>
      <c r="E271" t="s">
        <v>239</v>
      </c>
      <c r="F271">
        <v>3</v>
      </c>
      <c r="G271" t="s">
        <v>145</v>
      </c>
      <c r="H271">
        <v>0.01</v>
      </c>
      <c r="I271" t="s">
        <v>165</v>
      </c>
      <c r="J271" t="s">
        <v>165</v>
      </c>
      <c r="K271" t="s">
        <v>165</v>
      </c>
      <c r="L271" t="s">
        <v>161</v>
      </c>
      <c r="M271" t="s">
        <v>161</v>
      </c>
      <c r="N271">
        <v>12.11</v>
      </c>
      <c r="O271" t="s">
        <v>163</v>
      </c>
      <c r="P271" t="s">
        <v>163</v>
      </c>
      <c r="Q271" t="s">
        <v>163</v>
      </c>
      <c r="R271" t="s">
        <v>163</v>
      </c>
      <c r="S271" t="s">
        <v>163</v>
      </c>
      <c r="T271" t="s">
        <v>163</v>
      </c>
      <c r="U271" t="s">
        <v>163</v>
      </c>
      <c r="V271" t="s">
        <v>163</v>
      </c>
      <c r="W271" t="s">
        <v>165</v>
      </c>
      <c r="X271" t="s">
        <v>165</v>
      </c>
      <c r="Y271" t="s">
        <v>163</v>
      </c>
      <c r="Z271">
        <v>2</v>
      </c>
      <c r="AA271">
        <v>1</v>
      </c>
      <c r="AB271">
        <v>2</v>
      </c>
      <c r="AC271">
        <v>1</v>
      </c>
      <c r="AD271" t="s">
        <v>163</v>
      </c>
      <c r="AE271" t="s">
        <v>163</v>
      </c>
      <c r="AF271" t="s">
        <v>163</v>
      </c>
      <c r="AG271" t="s">
        <v>163</v>
      </c>
      <c r="AH271" t="s">
        <v>163</v>
      </c>
      <c r="AI271" t="s">
        <v>163</v>
      </c>
      <c r="AJ271" t="s">
        <v>163</v>
      </c>
      <c r="AK271">
        <v>6</v>
      </c>
      <c r="AL271">
        <v>6</v>
      </c>
      <c r="AM271" t="s">
        <v>163</v>
      </c>
      <c r="AN271">
        <v>1</v>
      </c>
      <c r="AO271">
        <v>1</v>
      </c>
      <c r="AP271">
        <v>2</v>
      </c>
      <c r="AQ271">
        <v>2</v>
      </c>
      <c r="AR271">
        <v>8</v>
      </c>
      <c r="AS271">
        <v>8</v>
      </c>
    </row>
    <row r="272" spans="1:45" x14ac:dyDescent="0.35">
      <c r="A272" s="337">
        <v>46266</v>
      </c>
      <c r="B272" s="337">
        <v>46275</v>
      </c>
      <c r="C272" s="337">
        <v>46273</v>
      </c>
      <c r="D272" t="s">
        <v>125</v>
      </c>
      <c r="E272" t="s">
        <v>326</v>
      </c>
      <c r="F272">
        <v>3</v>
      </c>
      <c r="G272" t="s">
        <v>145</v>
      </c>
      <c r="H272">
        <v>0.01</v>
      </c>
      <c r="I272" t="s">
        <v>165</v>
      </c>
      <c r="J272" t="s">
        <v>165</v>
      </c>
      <c r="K272" t="s">
        <v>165</v>
      </c>
      <c r="L272" t="s">
        <v>161</v>
      </c>
      <c r="M272" t="s">
        <v>161</v>
      </c>
      <c r="N272">
        <v>12.31</v>
      </c>
      <c r="O272">
        <v>12.1</v>
      </c>
      <c r="P272">
        <v>0.56000000000000005</v>
      </c>
      <c r="Q272">
        <v>64.7</v>
      </c>
      <c r="R272" t="s">
        <v>163</v>
      </c>
      <c r="S272" t="s">
        <v>163</v>
      </c>
      <c r="T272">
        <v>33.700000000000003</v>
      </c>
      <c r="U272" t="s">
        <v>163</v>
      </c>
      <c r="V272" t="s">
        <v>163</v>
      </c>
      <c r="W272" t="s">
        <v>165</v>
      </c>
      <c r="X272" t="s">
        <v>165</v>
      </c>
      <c r="Y272">
        <v>1</v>
      </c>
      <c r="Z272">
        <v>2</v>
      </c>
      <c r="AA272">
        <v>1</v>
      </c>
      <c r="AB272">
        <v>2</v>
      </c>
      <c r="AC272">
        <v>1</v>
      </c>
      <c r="AD272">
        <v>1</v>
      </c>
      <c r="AE272">
        <v>0</v>
      </c>
      <c r="AF272">
        <v>2</v>
      </c>
      <c r="AG272" t="s">
        <v>163</v>
      </c>
      <c r="AH272" t="s">
        <v>163</v>
      </c>
      <c r="AI272">
        <v>2</v>
      </c>
      <c r="AJ272" t="s">
        <v>163</v>
      </c>
      <c r="AK272">
        <v>11</v>
      </c>
      <c r="AL272">
        <v>13</v>
      </c>
      <c r="AM272" t="s">
        <v>163</v>
      </c>
      <c r="AN272">
        <v>1</v>
      </c>
      <c r="AO272">
        <v>1</v>
      </c>
      <c r="AP272">
        <v>2</v>
      </c>
      <c r="AQ272">
        <v>2</v>
      </c>
      <c r="AR272">
        <v>13</v>
      </c>
      <c r="AS272">
        <v>15</v>
      </c>
    </row>
    <row r="273" spans="1:45" x14ac:dyDescent="0.35">
      <c r="A273" s="337">
        <v>46266</v>
      </c>
      <c r="B273" s="337">
        <v>46275</v>
      </c>
      <c r="C273" s="339">
        <v>0</v>
      </c>
      <c r="D273" t="s">
        <v>125</v>
      </c>
      <c r="E273" t="s">
        <v>328</v>
      </c>
      <c r="F273">
        <v>2</v>
      </c>
      <c r="G273" t="s">
        <v>335</v>
      </c>
      <c r="H273" t="s">
        <v>163</v>
      </c>
      <c r="I273" t="s">
        <v>165</v>
      </c>
      <c r="J273" t="s">
        <v>165</v>
      </c>
      <c r="K273" t="s">
        <v>165</v>
      </c>
      <c r="L273" t="s">
        <v>163</v>
      </c>
      <c r="M273" t="s">
        <v>161</v>
      </c>
      <c r="N273">
        <v>10.050000000000001</v>
      </c>
      <c r="O273" t="s">
        <v>163</v>
      </c>
      <c r="P273" t="s">
        <v>163</v>
      </c>
      <c r="Q273" t="s">
        <v>163</v>
      </c>
      <c r="R273" t="s">
        <v>163</v>
      </c>
      <c r="S273" t="s">
        <v>163</v>
      </c>
      <c r="T273" t="s">
        <v>163</v>
      </c>
      <c r="U273" t="s">
        <v>163</v>
      </c>
      <c r="V273" t="s">
        <v>163</v>
      </c>
      <c r="W273" t="s">
        <v>165</v>
      </c>
      <c r="X273" t="s">
        <v>165</v>
      </c>
      <c r="Y273" t="s">
        <v>163</v>
      </c>
      <c r="Z273" t="s">
        <v>163</v>
      </c>
      <c r="AA273">
        <v>1</v>
      </c>
      <c r="AB273">
        <v>2</v>
      </c>
      <c r="AC273">
        <v>0</v>
      </c>
      <c r="AD273" t="s">
        <v>163</v>
      </c>
      <c r="AE273" t="s">
        <v>163</v>
      </c>
      <c r="AF273" t="s">
        <v>163</v>
      </c>
      <c r="AG273" t="s">
        <v>163</v>
      </c>
      <c r="AH273" t="s">
        <v>163</v>
      </c>
      <c r="AI273" t="s">
        <v>163</v>
      </c>
      <c r="AJ273" t="s">
        <v>163</v>
      </c>
      <c r="AK273">
        <v>3</v>
      </c>
      <c r="AL273">
        <v>4</v>
      </c>
      <c r="AM273" t="s">
        <v>163</v>
      </c>
      <c r="AN273">
        <v>1</v>
      </c>
      <c r="AO273">
        <v>1</v>
      </c>
      <c r="AP273">
        <v>2</v>
      </c>
      <c r="AQ273">
        <v>2</v>
      </c>
      <c r="AR273">
        <v>5</v>
      </c>
      <c r="AS273">
        <v>6</v>
      </c>
    </row>
    <row r="274" spans="1:45" x14ac:dyDescent="0.35">
      <c r="A274" s="337">
        <v>46266</v>
      </c>
      <c r="B274" s="337">
        <v>46275</v>
      </c>
      <c r="C274" s="339">
        <v>0</v>
      </c>
      <c r="D274" t="s">
        <v>125</v>
      </c>
      <c r="E274" t="s">
        <v>237</v>
      </c>
      <c r="F274">
        <v>2</v>
      </c>
      <c r="G274" t="s">
        <v>335</v>
      </c>
      <c r="H274" t="s">
        <v>163</v>
      </c>
      <c r="I274" t="s">
        <v>165</v>
      </c>
      <c r="J274" t="s">
        <v>165</v>
      </c>
      <c r="K274" t="s">
        <v>165</v>
      </c>
      <c r="L274" t="s">
        <v>163</v>
      </c>
      <c r="M274" t="s">
        <v>161</v>
      </c>
      <c r="N274">
        <v>9.48</v>
      </c>
      <c r="O274" t="s">
        <v>163</v>
      </c>
      <c r="P274" t="s">
        <v>163</v>
      </c>
      <c r="Q274" t="s">
        <v>163</v>
      </c>
      <c r="R274" t="s">
        <v>163</v>
      </c>
      <c r="S274" t="s">
        <v>163</v>
      </c>
      <c r="T274" t="s">
        <v>163</v>
      </c>
      <c r="U274" t="s">
        <v>163</v>
      </c>
      <c r="V274" t="s">
        <v>163</v>
      </c>
      <c r="W274" t="s">
        <v>165</v>
      </c>
      <c r="X274" t="s">
        <v>165</v>
      </c>
      <c r="Y274" t="s">
        <v>163</v>
      </c>
      <c r="Z274" t="s">
        <v>163</v>
      </c>
      <c r="AA274">
        <v>1</v>
      </c>
      <c r="AB274">
        <v>2</v>
      </c>
      <c r="AC274">
        <v>0</v>
      </c>
      <c r="AD274" t="s">
        <v>163</v>
      </c>
      <c r="AE274" t="s">
        <v>163</v>
      </c>
      <c r="AF274" t="s">
        <v>163</v>
      </c>
      <c r="AG274" t="s">
        <v>163</v>
      </c>
      <c r="AH274" t="s">
        <v>163</v>
      </c>
      <c r="AI274" t="s">
        <v>163</v>
      </c>
      <c r="AJ274" t="s">
        <v>163</v>
      </c>
      <c r="AK274">
        <v>3</v>
      </c>
      <c r="AL274">
        <v>4</v>
      </c>
      <c r="AM274" t="s">
        <v>163</v>
      </c>
      <c r="AN274">
        <v>1</v>
      </c>
      <c r="AO274">
        <v>1</v>
      </c>
      <c r="AP274">
        <v>2</v>
      </c>
      <c r="AQ274">
        <v>2</v>
      </c>
      <c r="AR274">
        <v>5</v>
      </c>
      <c r="AS274">
        <v>6</v>
      </c>
    </row>
    <row r="275" spans="1:45" x14ac:dyDescent="0.35">
      <c r="A275" s="337">
        <v>46266</v>
      </c>
      <c r="B275" s="337">
        <v>46275</v>
      </c>
      <c r="C275" s="339">
        <v>0</v>
      </c>
      <c r="D275" t="s">
        <v>125</v>
      </c>
      <c r="E275" t="s">
        <v>327</v>
      </c>
      <c r="F275">
        <v>2</v>
      </c>
      <c r="G275" t="s">
        <v>335</v>
      </c>
      <c r="H275" t="s">
        <v>163</v>
      </c>
      <c r="I275" t="s">
        <v>165</v>
      </c>
      <c r="J275" t="s">
        <v>165</v>
      </c>
      <c r="K275" t="s">
        <v>165</v>
      </c>
      <c r="L275" t="s">
        <v>163</v>
      </c>
      <c r="M275" t="s">
        <v>161</v>
      </c>
      <c r="N275">
        <v>10.14</v>
      </c>
      <c r="O275" t="s">
        <v>163</v>
      </c>
      <c r="P275" t="s">
        <v>163</v>
      </c>
      <c r="Q275" t="s">
        <v>163</v>
      </c>
      <c r="R275" t="s">
        <v>163</v>
      </c>
      <c r="S275" t="s">
        <v>163</v>
      </c>
      <c r="T275" t="s">
        <v>163</v>
      </c>
      <c r="U275" t="s">
        <v>163</v>
      </c>
      <c r="V275" t="s">
        <v>163</v>
      </c>
      <c r="W275" t="s">
        <v>165</v>
      </c>
      <c r="X275" t="s">
        <v>165</v>
      </c>
      <c r="Y275" t="s">
        <v>163</v>
      </c>
      <c r="Z275" t="s">
        <v>163</v>
      </c>
      <c r="AA275">
        <v>1</v>
      </c>
      <c r="AB275">
        <v>2</v>
      </c>
      <c r="AC275">
        <v>0</v>
      </c>
      <c r="AD275" t="s">
        <v>163</v>
      </c>
      <c r="AE275" t="s">
        <v>163</v>
      </c>
      <c r="AF275" t="s">
        <v>163</v>
      </c>
      <c r="AG275" t="s">
        <v>163</v>
      </c>
      <c r="AH275" t="s">
        <v>163</v>
      </c>
      <c r="AI275" t="s">
        <v>163</v>
      </c>
      <c r="AJ275" t="s">
        <v>163</v>
      </c>
      <c r="AK275">
        <v>3</v>
      </c>
      <c r="AL275">
        <v>4</v>
      </c>
      <c r="AM275" t="s">
        <v>163</v>
      </c>
      <c r="AN275">
        <v>1</v>
      </c>
      <c r="AO275">
        <v>1</v>
      </c>
      <c r="AP275">
        <v>2</v>
      </c>
      <c r="AQ275">
        <v>2</v>
      </c>
      <c r="AR275">
        <v>5</v>
      </c>
      <c r="AS275">
        <v>6</v>
      </c>
    </row>
    <row r="276" spans="1:45" x14ac:dyDescent="0.35">
      <c r="A276" s="337">
        <v>46266</v>
      </c>
      <c r="B276" s="337">
        <v>46275</v>
      </c>
      <c r="C276" s="339">
        <v>0</v>
      </c>
      <c r="D276" t="s">
        <v>125</v>
      </c>
      <c r="E276" t="s">
        <v>240</v>
      </c>
      <c r="F276">
        <v>2</v>
      </c>
      <c r="G276" t="s">
        <v>335</v>
      </c>
      <c r="H276" t="s">
        <v>163</v>
      </c>
      <c r="I276" t="s">
        <v>165</v>
      </c>
      <c r="J276" t="s">
        <v>165</v>
      </c>
      <c r="K276" t="s">
        <v>165</v>
      </c>
      <c r="L276" t="s">
        <v>163</v>
      </c>
      <c r="M276" t="s">
        <v>161</v>
      </c>
      <c r="N276">
        <v>9.6999999999999993</v>
      </c>
      <c r="O276" t="s">
        <v>163</v>
      </c>
      <c r="P276" t="s">
        <v>163</v>
      </c>
      <c r="Q276" t="s">
        <v>163</v>
      </c>
      <c r="R276" t="s">
        <v>163</v>
      </c>
      <c r="S276" t="s">
        <v>163</v>
      </c>
      <c r="T276" t="s">
        <v>163</v>
      </c>
      <c r="U276" t="s">
        <v>163</v>
      </c>
      <c r="V276" t="s">
        <v>163</v>
      </c>
      <c r="W276" t="s">
        <v>165</v>
      </c>
      <c r="X276" t="s">
        <v>165</v>
      </c>
      <c r="Y276" t="s">
        <v>163</v>
      </c>
      <c r="Z276" t="s">
        <v>163</v>
      </c>
      <c r="AA276">
        <v>1</v>
      </c>
      <c r="AB276">
        <v>2</v>
      </c>
      <c r="AC276">
        <v>0</v>
      </c>
      <c r="AD276" t="s">
        <v>163</v>
      </c>
      <c r="AE276" t="s">
        <v>163</v>
      </c>
      <c r="AF276" t="s">
        <v>163</v>
      </c>
      <c r="AG276" t="s">
        <v>163</v>
      </c>
      <c r="AH276" t="s">
        <v>163</v>
      </c>
      <c r="AI276" t="s">
        <v>163</v>
      </c>
      <c r="AJ276" t="s">
        <v>163</v>
      </c>
      <c r="AK276">
        <v>3</v>
      </c>
      <c r="AL276">
        <v>4</v>
      </c>
      <c r="AM276" t="s">
        <v>163</v>
      </c>
      <c r="AN276">
        <v>1</v>
      </c>
      <c r="AO276">
        <v>1</v>
      </c>
      <c r="AP276">
        <v>2</v>
      </c>
      <c r="AQ276">
        <v>2</v>
      </c>
      <c r="AR276">
        <v>5</v>
      </c>
      <c r="AS276">
        <v>6</v>
      </c>
    </row>
    <row r="277" spans="1:45" x14ac:dyDescent="0.35">
      <c r="A277" s="337">
        <v>46266</v>
      </c>
      <c r="B277" s="337">
        <v>46275</v>
      </c>
      <c r="C277" s="339">
        <v>0</v>
      </c>
      <c r="D277" t="s">
        <v>125</v>
      </c>
      <c r="E277" t="s">
        <v>239</v>
      </c>
      <c r="F277">
        <v>2</v>
      </c>
      <c r="G277" t="s">
        <v>335</v>
      </c>
      <c r="H277" t="s">
        <v>163</v>
      </c>
      <c r="I277" t="s">
        <v>165</v>
      </c>
      <c r="J277" t="s">
        <v>165</v>
      </c>
      <c r="K277" t="s">
        <v>165</v>
      </c>
      <c r="L277" t="s">
        <v>163</v>
      </c>
      <c r="M277" t="s">
        <v>161</v>
      </c>
      <c r="N277">
        <v>10.050000000000001</v>
      </c>
      <c r="O277" t="s">
        <v>163</v>
      </c>
      <c r="P277" t="s">
        <v>163</v>
      </c>
      <c r="Q277" t="s">
        <v>163</v>
      </c>
      <c r="R277" t="s">
        <v>163</v>
      </c>
      <c r="S277" t="s">
        <v>163</v>
      </c>
      <c r="T277" t="s">
        <v>163</v>
      </c>
      <c r="U277" t="s">
        <v>163</v>
      </c>
      <c r="V277" t="s">
        <v>163</v>
      </c>
      <c r="W277" t="s">
        <v>165</v>
      </c>
      <c r="X277" t="s">
        <v>165</v>
      </c>
      <c r="Y277" t="s">
        <v>163</v>
      </c>
      <c r="Z277" t="s">
        <v>163</v>
      </c>
      <c r="AA277">
        <v>1</v>
      </c>
      <c r="AB277">
        <v>2</v>
      </c>
      <c r="AC277">
        <v>0</v>
      </c>
      <c r="AD277" t="s">
        <v>163</v>
      </c>
      <c r="AE277" t="s">
        <v>163</v>
      </c>
      <c r="AF277" t="s">
        <v>163</v>
      </c>
      <c r="AG277" t="s">
        <v>163</v>
      </c>
      <c r="AH277" t="s">
        <v>163</v>
      </c>
      <c r="AI277" t="s">
        <v>163</v>
      </c>
      <c r="AJ277" t="s">
        <v>163</v>
      </c>
      <c r="AK277">
        <v>3</v>
      </c>
      <c r="AL277">
        <v>4</v>
      </c>
      <c r="AM277" t="s">
        <v>163</v>
      </c>
      <c r="AN277">
        <v>1</v>
      </c>
      <c r="AO277">
        <v>1</v>
      </c>
      <c r="AP277">
        <v>2</v>
      </c>
      <c r="AQ277">
        <v>2</v>
      </c>
      <c r="AR277">
        <v>5</v>
      </c>
      <c r="AS277">
        <v>6</v>
      </c>
    </row>
    <row r="278" spans="1:45" x14ac:dyDescent="0.35">
      <c r="A278" s="337">
        <v>46266</v>
      </c>
      <c r="B278" s="337">
        <v>46275</v>
      </c>
      <c r="C278" s="337">
        <v>816</v>
      </c>
      <c r="D278" t="s">
        <v>125</v>
      </c>
      <c r="E278" t="s">
        <v>326</v>
      </c>
      <c r="F278">
        <v>2</v>
      </c>
      <c r="G278" t="s">
        <v>335</v>
      </c>
      <c r="H278" t="s">
        <v>163</v>
      </c>
      <c r="I278" t="s">
        <v>165</v>
      </c>
      <c r="J278" t="s">
        <v>165</v>
      </c>
      <c r="K278" t="s">
        <v>165</v>
      </c>
      <c r="L278" t="s">
        <v>163</v>
      </c>
      <c r="M278" t="s">
        <v>161</v>
      </c>
      <c r="N278">
        <v>10.34</v>
      </c>
      <c r="O278" t="s">
        <v>163</v>
      </c>
      <c r="P278" t="s">
        <v>163</v>
      </c>
      <c r="Q278" t="s">
        <v>163</v>
      </c>
      <c r="R278" t="s">
        <v>163</v>
      </c>
      <c r="S278" t="s">
        <v>163</v>
      </c>
      <c r="T278" t="s">
        <v>163</v>
      </c>
      <c r="U278" t="s">
        <v>163</v>
      </c>
      <c r="V278" t="s">
        <v>163</v>
      </c>
      <c r="W278" t="s">
        <v>165</v>
      </c>
      <c r="X278" t="s">
        <v>165</v>
      </c>
      <c r="Y278" t="s">
        <v>163</v>
      </c>
      <c r="Z278" t="s">
        <v>163</v>
      </c>
      <c r="AA278">
        <v>1</v>
      </c>
      <c r="AB278">
        <v>2</v>
      </c>
      <c r="AC278">
        <v>0</v>
      </c>
      <c r="AD278" t="s">
        <v>163</v>
      </c>
      <c r="AE278" t="s">
        <v>163</v>
      </c>
      <c r="AF278" t="s">
        <v>163</v>
      </c>
      <c r="AG278" t="s">
        <v>163</v>
      </c>
      <c r="AH278" t="s">
        <v>163</v>
      </c>
      <c r="AI278" t="s">
        <v>163</v>
      </c>
      <c r="AJ278" t="s">
        <v>163</v>
      </c>
      <c r="AK278">
        <v>3</v>
      </c>
      <c r="AL278">
        <v>4</v>
      </c>
      <c r="AM278" t="s">
        <v>163</v>
      </c>
      <c r="AN278">
        <v>1</v>
      </c>
      <c r="AO278">
        <v>1</v>
      </c>
      <c r="AP278">
        <v>2</v>
      </c>
      <c r="AQ278">
        <v>2</v>
      </c>
      <c r="AR278">
        <v>5</v>
      </c>
      <c r="AS278">
        <v>6</v>
      </c>
    </row>
    <row r="279" spans="1:45" x14ac:dyDescent="0.35">
      <c r="A279" s="337">
        <v>46266</v>
      </c>
      <c r="B279" s="337">
        <v>46275</v>
      </c>
      <c r="C279" s="337">
        <v>46273</v>
      </c>
      <c r="D279" t="s">
        <v>125</v>
      </c>
      <c r="E279" t="s">
        <v>237</v>
      </c>
      <c r="F279">
        <v>1</v>
      </c>
      <c r="G279" t="s">
        <v>123</v>
      </c>
      <c r="H279" t="s">
        <v>163</v>
      </c>
      <c r="I279" t="s">
        <v>165</v>
      </c>
      <c r="J279" t="s">
        <v>165</v>
      </c>
      <c r="K279" t="s">
        <v>165</v>
      </c>
      <c r="L279" t="s">
        <v>163</v>
      </c>
      <c r="M279" t="s">
        <v>163</v>
      </c>
      <c r="N279">
        <v>12.75</v>
      </c>
      <c r="O279" t="s">
        <v>163</v>
      </c>
      <c r="P279" t="s">
        <v>163</v>
      </c>
      <c r="Q279" t="s">
        <v>163</v>
      </c>
      <c r="R279" t="s">
        <v>163</v>
      </c>
      <c r="S279" t="s">
        <v>163</v>
      </c>
      <c r="T279" t="s">
        <v>163</v>
      </c>
      <c r="U279" t="s">
        <v>163</v>
      </c>
      <c r="V279" t="s">
        <v>163</v>
      </c>
      <c r="W279" t="s">
        <v>165</v>
      </c>
      <c r="X279" t="s">
        <v>165</v>
      </c>
      <c r="Y279" t="s">
        <v>163</v>
      </c>
      <c r="Z279" t="s">
        <v>163</v>
      </c>
      <c r="AA279">
        <v>1</v>
      </c>
      <c r="AB279">
        <v>2</v>
      </c>
      <c r="AC279">
        <v>1</v>
      </c>
      <c r="AD279" t="s">
        <v>163</v>
      </c>
      <c r="AE279" t="s">
        <v>163</v>
      </c>
      <c r="AF279" t="s">
        <v>163</v>
      </c>
      <c r="AG279" t="s">
        <v>163</v>
      </c>
      <c r="AH279" t="s">
        <v>163</v>
      </c>
      <c r="AI279" t="s">
        <v>163</v>
      </c>
      <c r="AJ279" t="s">
        <v>163</v>
      </c>
      <c r="AK279">
        <v>4</v>
      </c>
      <c r="AL279">
        <v>4</v>
      </c>
      <c r="AM279" t="s">
        <v>163</v>
      </c>
      <c r="AN279">
        <v>1</v>
      </c>
      <c r="AO279">
        <v>1</v>
      </c>
      <c r="AP279">
        <v>2</v>
      </c>
      <c r="AQ279">
        <v>2</v>
      </c>
      <c r="AR279">
        <v>6</v>
      </c>
      <c r="AS279">
        <v>6</v>
      </c>
    </row>
    <row r="280" spans="1:45" x14ac:dyDescent="0.35">
      <c r="A280" s="337">
        <v>46266</v>
      </c>
      <c r="B280" s="337">
        <v>46275</v>
      </c>
      <c r="C280" s="337">
        <v>46273</v>
      </c>
      <c r="D280" t="s">
        <v>125</v>
      </c>
      <c r="E280" t="s">
        <v>327</v>
      </c>
      <c r="F280">
        <v>1</v>
      </c>
      <c r="G280" t="s">
        <v>123</v>
      </c>
      <c r="H280" t="s">
        <v>163</v>
      </c>
      <c r="I280" t="s">
        <v>163</v>
      </c>
      <c r="J280" t="s">
        <v>165</v>
      </c>
      <c r="K280" t="s">
        <v>165</v>
      </c>
      <c r="L280" t="s">
        <v>163</v>
      </c>
      <c r="M280" t="s">
        <v>163</v>
      </c>
      <c r="N280">
        <v>12.94</v>
      </c>
      <c r="O280" t="s">
        <v>163</v>
      </c>
      <c r="P280" t="s">
        <v>163</v>
      </c>
      <c r="Q280" t="s">
        <v>163</v>
      </c>
      <c r="R280" t="s">
        <v>163</v>
      </c>
      <c r="S280" t="s">
        <v>163</v>
      </c>
      <c r="T280" t="s">
        <v>163</v>
      </c>
      <c r="U280" t="s">
        <v>163</v>
      </c>
      <c r="V280" t="s">
        <v>163</v>
      </c>
      <c r="W280" t="s">
        <v>165</v>
      </c>
      <c r="X280" t="s">
        <v>165</v>
      </c>
      <c r="Y280" t="s">
        <v>163</v>
      </c>
      <c r="Z280" t="s">
        <v>163</v>
      </c>
      <c r="AA280" t="s">
        <v>163</v>
      </c>
      <c r="AB280">
        <v>2</v>
      </c>
      <c r="AC280">
        <v>1</v>
      </c>
      <c r="AD280" t="s">
        <v>163</v>
      </c>
      <c r="AE280" t="s">
        <v>163</v>
      </c>
      <c r="AF280" t="s">
        <v>163</v>
      </c>
      <c r="AG280" t="s">
        <v>163</v>
      </c>
      <c r="AH280" t="s">
        <v>163</v>
      </c>
      <c r="AI280" t="s">
        <v>163</v>
      </c>
      <c r="AJ280" t="s">
        <v>163</v>
      </c>
      <c r="AK280">
        <v>3</v>
      </c>
      <c r="AL280">
        <v>3</v>
      </c>
      <c r="AM280" t="s">
        <v>163</v>
      </c>
      <c r="AN280">
        <v>1</v>
      </c>
      <c r="AO280">
        <v>1</v>
      </c>
      <c r="AP280">
        <v>2</v>
      </c>
      <c r="AQ280">
        <v>2</v>
      </c>
      <c r="AR280">
        <v>5</v>
      </c>
      <c r="AS280">
        <v>5</v>
      </c>
    </row>
    <row r="281" spans="1:45" x14ac:dyDescent="0.35">
      <c r="A281" s="337">
        <v>46266</v>
      </c>
      <c r="B281" s="337">
        <v>46275</v>
      </c>
      <c r="C281" s="337">
        <v>46273</v>
      </c>
      <c r="D281" t="s">
        <v>125</v>
      </c>
      <c r="E281" t="s">
        <v>240</v>
      </c>
      <c r="F281">
        <v>1</v>
      </c>
      <c r="G281" t="s">
        <v>123</v>
      </c>
      <c r="H281" t="s">
        <v>163</v>
      </c>
      <c r="I281" t="s">
        <v>165</v>
      </c>
      <c r="J281" t="s">
        <v>165</v>
      </c>
      <c r="K281" t="s">
        <v>165</v>
      </c>
      <c r="L281" t="s">
        <v>163</v>
      </c>
      <c r="M281" t="s">
        <v>163</v>
      </c>
      <c r="N281">
        <v>1.92</v>
      </c>
      <c r="O281" t="s">
        <v>163</v>
      </c>
      <c r="P281" t="s">
        <v>163</v>
      </c>
      <c r="Q281" t="s">
        <v>163</v>
      </c>
      <c r="R281" t="s">
        <v>163</v>
      </c>
      <c r="S281" t="s">
        <v>163</v>
      </c>
      <c r="T281" t="s">
        <v>163</v>
      </c>
      <c r="U281" t="s">
        <v>163</v>
      </c>
      <c r="V281" t="s">
        <v>163</v>
      </c>
      <c r="W281" t="s">
        <v>165</v>
      </c>
      <c r="X281" t="s">
        <v>165</v>
      </c>
      <c r="Y281" t="s">
        <v>163</v>
      </c>
      <c r="Z281" t="s">
        <v>163</v>
      </c>
      <c r="AA281">
        <v>1</v>
      </c>
      <c r="AB281">
        <v>2</v>
      </c>
      <c r="AC281">
        <v>0</v>
      </c>
      <c r="AD281" t="s">
        <v>163</v>
      </c>
      <c r="AE281" t="s">
        <v>163</v>
      </c>
      <c r="AF281" t="s">
        <v>163</v>
      </c>
      <c r="AG281" t="s">
        <v>163</v>
      </c>
      <c r="AH281" t="s">
        <v>163</v>
      </c>
      <c r="AI281" t="s">
        <v>163</v>
      </c>
      <c r="AJ281" t="s">
        <v>163</v>
      </c>
      <c r="AK281">
        <v>3</v>
      </c>
      <c r="AL281">
        <v>4</v>
      </c>
      <c r="AM281" t="s">
        <v>163</v>
      </c>
      <c r="AN281">
        <v>1</v>
      </c>
      <c r="AO281">
        <v>1</v>
      </c>
      <c r="AP281">
        <v>2</v>
      </c>
      <c r="AQ281">
        <v>2</v>
      </c>
      <c r="AR281">
        <v>5</v>
      </c>
      <c r="AS281">
        <v>6</v>
      </c>
    </row>
    <row r="282" spans="1:45" x14ac:dyDescent="0.35">
      <c r="A282" s="337">
        <v>46266</v>
      </c>
      <c r="B282" s="337">
        <v>46275</v>
      </c>
      <c r="C282" s="337">
        <v>46273</v>
      </c>
      <c r="D282" t="s">
        <v>125</v>
      </c>
      <c r="E282" t="s">
        <v>239</v>
      </c>
      <c r="F282">
        <v>1</v>
      </c>
      <c r="G282" t="s">
        <v>123</v>
      </c>
      <c r="H282" t="s">
        <v>163</v>
      </c>
      <c r="I282" t="s">
        <v>165</v>
      </c>
      <c r="J282" t="s">
        <v>165</v>
      </c>
      <c r="K282" t="s">
        <v>165</v>
      </c>
      <c r="L282" t="s">
        <v>163</v>
      </c>
      <c r="M282" t="s">
        <v>163</v>
      </c>
      <c r="N282">
        <v>11.9</v>
      </c>
      <c r="O282" t="s">
        <v>163</v>
      </c>
      <c r="P282" t="s">
        <v>163</v>
      </c>
      <c r="Q282" t="s">
        <v>163</v>
      </c>
      <c r="R282" t="s">
        <v>163</v>
      </c>
      <c r="S282" t="s">
        <v>163</v>
      </c>
      <c r="T282" t="s">
        <v>163</v>
      </c>
      <c r="U282" t="s">
        <v>163</v>
      </c>
      <c r="V282" t="s">
        <v>163</v>
      </c>
      <c r="W282" t="s">
        <v>165</v>
      </c>
      <c r="X282" t="s">
        <v>165</v>
      </c>
      <c r="Y282" t="s">
        <v>163</v>
      </c>
      <c r="Z282" t="s">
        <v>163</v>
      </c>
      <c r="AA282">
        <v>1</v>
      </c>
      <c r="AB282">
        <v>2</v>
      </c>
      <c r="AC282">
        <v>1</v>
      </c>
      <c r="AD282" t="s">
        <v>163</v>
      </c>
      <c r="AE282" t="s">
        <v>163</v>
      </c>
      <c r="AF282" t="s">
        <v>163</v>
      </c>
      <c r="AG282" t="s">
        <v>163</v>
      </c>
      <c r="AH282" t="s">
        <v>163</v>
      </c>
      <c r="AI282" t="s">
        <v>163</v>
      </c>
      <c r="AJ282" t="s">
        <v>163</v>
      </c>
      <c r="AK282">
        <v>4</v>
      </c>
      <c r="AL282">
        <v>4</v>
      </c>
      <c r="AM282" t="s">
        <v>163</v>
      </c>
      <c r="AN282">
        <v>1</v>
      </c>
      <c r="AO282">
        <v>1</v>
      </c>
      <c r="AP282">
        <v>2</v>
      </c>
      <c r="AQ282">
        <v>2</v>
      </c>
      <c r="AR282">
        <v>6</v>
      </c>
      <c r="AS282">
        <v>6</v>
      </c>
    </row>
    <row r="283" spans="1:45" x14ac:dyDescent="0.35">
      <c r="A283" s="337">
        <v>46266</v>
      </c>
      <c r="B283" s="337">
        <v>46275</v>
      </c>
      <c r="C283" s="337">
        <v>46273</v>
      </c>
      <c r="D283" t="s">
        <v>125</v>
      </c>
      <c r="E283" t="s">
        <v>326</v>
      </c>
      <c r="F283">
        <v>1</v>
      </c>
      <c r="G283" t="s">
        <v>123</v>
      </c>
      <c r="H283" t="s">
        <v>163</v>
      </c>
      <c r="I283" t="s">
        <v>165</v>
      </c>
      <c r="J283" t="s">
        <v>165</v>
      </c>
      <c r="K283" t="s">
        <v>165</v>
      </c>
      <c r="L283" t="s">
        <v>163</v>
      </c>
      <c r="M283" t="s">
        <v>163</v>
      </c>
      <c r="N283">
        <v>13.07</v>
      </c>
      <c r="O283">
        <v>11.4</v>
      </c>
      <c r="P283">
        <v>0.46</v>
      </c>
      <c r="Q283">
        <v>64.400000000000006</v>
      </c>
      <c r="R283" t="s">
        <v>163</v>
      </c>
      <c r="S283" t="s">
        <v>163</v>
      </c>
      <c r="T283">
        <v>31.4</v>
      </c>
      <c r="U283" t="s">
        <v>163</v>
      </c>
      <c r="V283" t="s">
        <v>163</v>
      </c>
      <c r="W283" t="s">
        <v>165</v>
      </c>
      <c r="X283" t="s">
        <v>165</v>
      </c>
      <c r="Y283" t="s">
        <v>417</v>
      </c>
      <c r="Z283" t="s">
        <v>163</v>
      </c>
      <c r="AA283">
        <v>1</v>
      </c>
      <c r="AB283">
        <v>2</v>
      </c>
      <c r="AC283">
        <v>1</v>
      </c>
      <c r="AD283">
        <v>0</v>
      </c>
      <c r="AE283">
        <v>0</v>
      </c>
      <c r="AF283">
        <v>2</v>
      </c>
      <c r="AG283" t="s">
        <v>163</v>
      </c>
      <c r="AH283" t="s">
        <v>163</v>
      </c>
      <c r="AI283">
        <v>2</v>
      </c>
      <c r="AJ283" t="s">
        <v>163</v>
      </c>
      <c r="AK283">
        <v>8</v>
      </c>
      <c r="AL283">
        <v>11</v>
      </c>
      <c r="AM283" t="s">
        <v>163</v>
      </c>
      <c r="AN283">
        <v>1</v>
      </c>
      <c r="AO283">
        <v>1</v>
      </c>
      <c r="AP283">
        <v>2</v>
      </c>
      <c r="AQ283">
        <v>2</v>
      </c>
      <c r="AR283">
        <v>10</v>
      </c>
      <c r="AS283">
        <v>13</v>
      </c>
    </row>
    <row r="284" spans="1:45" x14ac:dyDescent="0.35">
      <c r="A284" s="337">
        <v>46266</v>
      </c>
      <c r="B284" s="337">
        <v>46274</v>
      </c>
      <c r="C284" s="337">
        <v>46273</v>
      </c>
      <c r="D284" t="s">
        <v>130</v>
      </c>
      <c r="E284" s="338">
        <v>1.2083333333333333</v>
      </c>
      <c r="F284">
        <v>3</v>
      </c>
      <c r="G284" t="s">
        <v>119</v>
      </c>
      <c r="H284">
        <v>0.01</v>
      </c>
      <c r="I284" t="s">
        <v>165</v>
      </c>
      <c r="J284" t="s">
        <v>165</v>
      </c>
      <c r="K284" t="s">
        <v>165</v>
      </c>
      <c r="L284" t="s">
        <v>161</v>
      </c>
      <c r="M284" t="s">
        <v>161</v>
      </c>
      <c r="N284">
        <v>12.86</v>
      </c>
      <c r="O284" t="s">
        <v>163</v>
      </c>
      <c r="P284" t="s">
        <v>163</v>
      </c>
      <c r="Q284" t="s">
        <v>163</v>
      </c>
      <c r="R284" t="s">
        <v>163</v>
      </c>
      <c r="S284" t="s">
        <v>163</v>
      </c>
      <c r="T284" t="s">
        <v>163</v>
      </c>
      <c r="U284" t="s">
        <v>163</v>
      </c>
      <c r="V284" t="s">
        <v>163</v>
      </c>
      <c r="W284" t="s">
        <v>165</v>
      </c>
      <c r="X284" t="s">
        <v>165</v>
      </c>
      <c r="Y284" t="s">
        <v>416</v>
      </c>
      <c r="Z284">
        <v>2</v>
      </c>
      <c r="AA284">
        <v>1</v>
      </c>
      <c r="AB284">
        <v>2</v>
      </c>
      <c r="AC284">
        <v>1</v>
      </c>
      <c r="AD284" t="s">
        <v>163</v>
      </c>
      <c r="AE284" t="s">
        <v>163</v>
      </c>
      <c r="AF284" t="s">
        <v>163</v>
      </c>
      <c r="AG284" t="s">
        <v>163</v>
      </c>
      <c r="AH284" t="s">
        <v>163</v>
      </c>
      <c r="AI284" t="s">
        <v>163</v>
      </c>
      <c r="AJ284" t="s">
        <v>163</v>
      </c>
      <c r="AK284">
        <v>6</v>
      </c>
      <c r="AL284">
        <v>6</v>
      </c>
      <c r="AM284" t="s">
        <v>163</v>
      </c>
      <c r="AN284">
        <v>1</v>
      </c>
      <c r="AO284">
        <v>1</v>
      </c>
      <c r="AP284">
        <v>2</v>
      </c>
      <c r="AQ284">
        <v>2</v>
      </c>
      <c r="AR284">
        <v>8</v>
      </c>
      <c r="AS284">
        <v>8</v>
      </c>
    </row>
    <row r="285" spans="1:45" x14ac:dyDescent="0.35">
      <c r="A285" s="337">
        <v>46266</v>
      </c>
      <c r="B285" s="337">
        <v>46274</v>
      </c>
      <c r="C285" s="337">
        <v>46273</v>
      </c>
      <c r="D285" t="s">
        <v>130</v>
      </c>
      <c r="E285" s="338">
        <v>1.1666666666666667</v>
      </c>
      <c r="F285">
        <v>3</v>
      </c>
      <c r="G285" t="s">
        <v>119</v>
      </c>
      <c r="H285">
        <v>0.01</v>
      </c>
      <c r="I285" t="s">
        <v>165</v>
      </c>
      <c r="J285" t="s">
        <v>165</v>
      </c>
      <c r="K285" t="s">
        <v>165</v>
      </c>
      <c r="L285" t="s">
        <v>161</v>
      </c>
      <c r="M285" t="s">
        <v>161</v>
      </c>
      <c r="N285">
        <v>12.39</v>
      </c>
      <c r="O285" t="s">
        <v>163</v>
      </c>
      <c r="P285" t="s">
        <v>163</v>
      </c>
      <c r="Q285" t="s">
        <v>163</v>
      </c>
      <c r="R285" t="s">
        <v>163</v>
      </c>
      <c r="S285" t="s">
        <v>163</v>
      </c>
      <c r="T285" t="s">
        <v>163</v>
      </c>
      <c r="U285" t="s">
        <v>163</v>
      </c>
      <c r="V285" t="s">
        <v>163</v>
      </c>
      <c r="W285" t="s">
        <v>165</v>
      </c>
      <c r="X285" t="s">
        <v>165</v>
      </c>
      <c r="Y285" t="s">
        <v>416</v>
      </c>
      <c r="Z285">
        <v>2</v>
      </c>
      <c r="AA285">
        <v>1</v>
      </c>
      <c r="AB285">
        <v>2</v>
      </c>
      <c r="AC285">
        <v>1</v>
      </c>
      <c r="AD285" t="s">
        <v>163</v>
      </c>
      <c r="AE285" t="s">
        <v>163</v>
      </c>
      <c r="AF285" t="s">
        <v>163</v>
      </c>
      <c r="AG285" t="s">
        <v>163</v>
      </c>
      <c r="AH285" t="s">
        <v>163</v>
      </c>
      <c r="AI285" t="s">
        <v>163</v>
      </c>
      <c r="AJ285" t="s">
        <v>163</v>
      </c>
      <c r="AK285">
        <v>6</v>
      </c>
      <c r="AL285">
        <v>6</v>
      </c>
      <c r="AM285" t="s">
        <v>163</v>
      </c>
      <c r="AN285">
        <v>1</v>
      </c>
      <c r="AO285">
        <v>1</v>
      </c>
      <c r="AP285">
        <v>2</v>
      </c>
      <c r="AQ285">
        <v>2</v>
      </c>
      <c r="AR285">
        <v>8</v>
      </c>
      <c r="AS285">
        <v>8</v>
      </c>
    </row>
    <row r="286" spans="1:45" x14ac:dyDescent="0.35">
      <c r="A286" s="337">
        <v>46266</v>
      </c>
      <c r="B286" s="337">
        <v>46274</v>
      </c>
      <c r="C286" s="337">
        <v>46273</v>
      </c>
      <c r="D286" t="s">
        <v>130</v>
      </c>
      <c r="E286" s="338">
        <v>1.0833333333333333</v>
      </c>
      <c r="F286">
        <v>3</v>
      </c>
      <c r="G286" t="s">
        <v>119</v>
      </c>
      <c r="H286">
        <v>0.01</v>
      </c>
      <c r="I286" t="s">
        <v>165</v>
      </c>
      <c r="J286" t="s">
        <v>165</v>
      </c>
      <c r="K286" t="s">
        <v>165</v>
      </c>
      <c r="L286" t="s">
        <v>161</v>
      </c>
      <c r="M286" t="s">
        <v>161</v>
      </c>
      <c r="N286">
        <v>12.36</v>
      </c>
      <c r="O286" t="s">
        <v>163</v>
      </c>
      <c r="P286" t="s">
        <v>163</v>
      </c>
      <c r="Q286" t="s">
        <v>163</v>
      </c>
      <c r="R286" t="s">
        <v>163</v>
      </c>
      <c r="S286" t="s">
        <v>163</v>
      </c>
      <c r="T286" t="s">
        <v>163</v>
      </c>
      <c r="U286" t="s">
        <v>163</v>
      </c>
      <c r="V286" t="s">
        <v>163</v>
      </c>
      <c r="W286" t="s">
        <v>165</v>
      </c>
      <c r="X286" t="s">
        <v>165</v>
      </c>
      <c r="Y286" t="s">
        <v>416</v>
      </c>
      <c r="Z286">
        <v>2</v>
      </c>
      <c r="AA286">
        <v>1</v>
      </c>
      <c r="AB286">
        <v>2</v>
      </c>
      <c r="AC286">
        <v>1</v>
      </c>
      <c r="AD286" t="s">
        <v>163</v>
      </c>
      <c r="AE286" t="s">
        <v>163</v>
      </c>
      <c r="AF286" t="s">
        <v>163</v>
      </c>
      <c r="AG286" t="s">
        <v>163</v>
      </c>
      <c r="AH286" t="s">
        <v>163</v>
      </c>
      <c r="AI286" t="s">
        <v>163</v>
      </c>
      <c r="AJ286" t="s">
        <v>163</v>
      </c>
      <c r="AK286">
        <v>6</v>
      </c>
      <c r="AL286">
        <v>6</v>
      </c>
      <c r="AM286" t="s">
        <v>163</v>
      </c>
      <c r="AN286">
        <v>1</v>
      </c>
      <c r="AO286">
        <v>1</v>
      </c>
      <c r="AP286">
        <v>2</v>
      </c>
      <c r="AQ286">
        <v>2</v>
      </c>
      <c r="AR286">
        <v>8</v>
      </c>
      <c r="AS286">
        <v>8</v>
      </c>
    </row>
    <row r="287" spans="1:45" x14ac:dyDescent="0.35">
      <c r="A287" s="337">
        <v>46266</v>
      </c>
      <c r="B287" s="337">
        <v>46274</v>
      </c>
      <c r="C287" s="337">
        <v>46273</v>
      </c>
      <c r="D287" t="s">
        <v>130</v>
      </c>
      <c r="E287" s="338">
        <v>1.0416666666666667</v>
      </c>
      <c r="F287">
        <v>3</v>
      </c>
      <c r="G287" t="s">
        <v>119</v>
      </c>
      <c r="H287">
        <v>0.01</v>
      </c>
      <c r="I287" t="s">
        <v>165</v>
      </c>
      <c r="J287" t="s">
        <v>165</v>
      </c>
      <c r="K287" t="s">
        <v>165</v>
      </c>
      <c r="L287" t="s">
        <v>161</v>
      </c>
      <c r="M287" t="s">
        <v>161</v>
      </c>
      <c r="N287">
        <v>12.36</v>
      </c>
      <c r="O287" t="s">
        <v>163</v>
      </c>
      <c r="P287" t="s">
        <v>163</v>
      </c>
      <c r="Q287" t="s">
        <v>163</v>
      </c>
      <c r="R287" t="s">
        <v>163</v>
      </c>
      <c r="S287" t="s">
        <v>163</v>
      </c>
      <c r="T287" t="s">
        <v>163</v>
      </c>
      <c r="U287" t="s">
        <v>163</v>
      </c>
      <c r="V287" t="s">
        <v>163</v>
      </c>
      <c r="W287" t="s">
        <v>165</v>
      </c>
      <c r="X287" t="s">
        <v>165</v>
      </c>
      <c r="Y287" t="s">
        <v>416</v>
      </c>
      <c r="Z287">
        <v>2</v>
      </c>
      <c r="AA287">
        <v>1</v>
      </c>
      <c r="AB287">
        <v>2</v>
      </c>
      <c r="AC287">
        <v>1</v>
      </c>
      <c r="AD287" t="s">
        <v>163</v>
      </c>
      <c r="AE287" t="s">
        <v>163</v>
      </c>
      <c r="AF287" t="s">
        <v>163</v>
      </c>
      <c r="AG287" t="s">
        <v>163</v>
      </c>
      <c r="AH287" t="s">
        <v>163</v>
      </c>
      <c r="AI287" t="s">
        <v>163</v>
      </c>
      <c r="AJ287" t="s">
        <v>163</v>
      </c>
      <c r="AK287">
        <v>6</v>
      </c>
      <c r="AL287">
        <v>6</v>
      </c>
      <c r="AM287" t="s">
        <v>163</v>
      </c>
      <c r="AN287">
        <v>1</v>
      </c>
      <c r="AO287">
        <v>1</v>
      </c>
      <c r="AP287">
        <v>2</v>
      </c>
      <c r="AQ287">
        <v>2</v>
      </c>
      <c r="AR287">
        <v>8</v>
      </c>
      <c r="AS287">
        <v>8</v>
      </c>
    </row>
    <row r="288" spans="1:45" x14ac:dyDescent="0.35">
      <c r="A288" s="337">
        <v>46266</v>
      </c>
      <c r="B288" s="337">
        <v>46274</v>
      </c>
      <c r="C288" s="337">
        <v>46270</v>
      </c>
      <c r="D288" t="s">
        <v>130</v>
      </c>
      <c r="E288" s="339">
        <v>0.95833333333333337</v>
      </c>
      <c r="F288">
        <v>3</v>
      </c>
      <c r="G288" t="s">
        <v>119</v>
      </c>
      <c r="H288">
        <v>0.02</v>
      </c>
      <c r="I288" t="s">
        <v>165</v>
      </c>
      <c r="J288" t="s">
        <v>165</v>
      </c>
      <c r="K288" t="s">
        <v>165</v>
      </c>
      <c r="L288" t="s">
        <v>161</v>
      </c>
      <c r="M288" t="s">
        <v>161</v>
      </c>
      <c r="N288">
        <v>12.21</v>
      </c>
      <c r="O288" t="s">
        <v>163</v>
      </c>
      <c r="P288" t="s">
        <v>163</v>
      </c>
      <c r="Q288" t="s">
        <v>163</v>
      </c>
      <c r="R288" t="s">
        <v>163</v>
      </c>
      <c r="S288" t="s">
        <v>163</v>
      </c>
      <c r="T288" t="s">
        <v>163</v>
      </c>
      <c r="U288" t="s">
        <v>163</v>
      </c>
      <c r="V288" t="s">
        <v>163</v>
      </c>
      <c r="W288" t="s">
        <v>165</v>
      </c>
      <c r="X288" t="s">
        <v>165</v>
      </c>
      <c r="Y288" t="s">
        <v>416</v>
      </c>
      <c r="Z288">
        <v>2</v>
      </c>
      <c r="AA288">
        <v>1</v>
      </c>
      <c r="AB288">
        <v>2</v>
      </c>
      <c r="AC288">
        <v>1</v>
      </c>
      <c r="AD288" t="s">
        <v>163</v>
      </c>
      <c r="AE288" t="s">
        <v>163</v>
      </c>
      <c r="AF288" t="s">
        <v>163</v>
      </c>
      <c r="AG288" t="s">
        <v>163</v>
      </c>
      <c r="AH288" t="s">
        <v>163</v>
      </c>
      <c r="AI288" t="s">
        <v>163</v>
      </c>
      <c r="AJ288" t="s">
        <v>163</v>
      </c>
      <c r="AK288">
        <v>6</v>
      </c>
      <c r="AL288">
        <v>6</v>
      </c>
      <c r="AM288" t="s">
        <v>163</v>
      </c>
      <c r="AN288">
        <v>1</v>
      </c>
      <c r="AO288">
        <v>1</v>
      </c>
      <c r="AP288">
        <v>2</v>
      </c>
      <c r="AQ288">
        <v>2</v>
      </c>
      <c r="AR288">
        <v>8</v>
      </c>
      <c r="AS288">
        <v>8</v>
      </c>
    </row>
    <row r="289" spans="1:45" x14ac:dyDescent="0.35">
      <c r="A289" s="337">
        <v>46266</v>
      </c>
      <c r="B289" s="337">
        <v>46274</v>
      </c>
      <c r="C289" s="337">
        <v>46270</v>
      </c>
      <c r="D289" t="s">
        <v>130</v>
      </c>
      <c r="E289" s="339">
        <v>0.91666666666666663</v>
      </c>
      <c r="F289">
        <v>3</v>
      </c>
      <c r="G289" t="s">
        <v>119</v>
      </c>
      <c r="H289">
        <v>0.02</v>
      </c>
      <c r="I289" t="s">
        <v>165</v>
      </c>
      <c r="J289" t="s">
        <v>165</v>
      </c>
      <c r="K289" t="s">
        <v>165</v>
      </c>
      <c r="L289" t="s">
        <v>161</v>
      </c>
      <c r="M289" t="s">
        <v>161</v>
      </c>
      <c r="N289">
        <v>12.23</v>
      </c>
      <c r="O289" t="s">
        <v>163</v>
      </c>
      <c r="P289" t="s">
        <v>163</v>
      </c>
      <c r="Q289" t="s">
        <v>163</v>
      </c>
      <c r="R289" t="s">
        <v>163</v>
      </c>
      <c r="S289" t="s">
        <v>163</v>
      </c>
      <c r="T289" t="s">
        <v>163</v>
      </c>
      <c r="U289" t="s">
        <v>163</v>
      </c>
      <c r="V289" t="s">
        <v>163</v>
      </c>
      <c r="W289" t="s">
        <v>165</v>
      </c>
      <c r="X289" t="s">
        <v>165</v>
      </c>
      <c r="Y289" t="s">
        <v>416</v>
      </c>
      <c r="Z289">
        <v>2</v>
      </c>
      <c r="AA289">
        <v>1</v>
      </c>
      <c r="AB289">
        <v>2</v>
      </c>
      <c r="AC289">
        <v>1</v>
      </c>
      <c r="AD289" t="s">
        <v>163</v>
      </c>
      <c r="AE289" t="s">
        <v>163</v>
      </c>
      <c r="AF289" t="s">
        <v>163</v>
      </c>
      <c r="AG289" t="s">
        <v>163</v>
      </c>
      <c r="AH289" t="s">
        <v>163</v>
      </c>
      <c r="AI289" t="s">
        <v>163</v>
      </c>
      <c r="AJ289" t="s">
        <v>163</v>
      </c>
      <c r="AK289">
        <v>6</v>
      </c>
      <c r="AL289">
        <v>6</v>
      </c>
      <c r="AM289" t="s">
        <v>163</v>
      </c>
      <c r="AN289">
        <v>1</v>
      </c>
      <c r="AO289">
        <v>1</v>
      </c>
      <c r="AP289">
        <v>2</v>
      </c>
      <c r="AQ289">
        <v>2</v>
      </c>
      <c r="AR289">
        <v>8</v>
      </c>
      <c r="AS289">
        <v>8</v>
      </c>
    </row>
    <row r="290" spans="1:45" x14ac:dyDescent="0.35">
      <c r="A290" s="337">
        <v>46266</v>
      </c>
      <c r="B290" s="337">
        <v>46274</v>
      </c>
      <c r="C290" s="337">
        <v>816</v>
      </c>
      <c r="D290" t="s">
        <v>130</v>
      </c>
      <c r="E290" s="338">
        <v>1.2083333333333333</v>
      </c>
      <c r="F290">
        <v>2</v>
      </c>
      <c r="G290" t="s">
        <v>335</v>
      </c>
      <c r="H290" t="s">
        <v>163</v>
      </c>
      <c r="I290" t="s">
        <v>165</v>
      </c>
      <c r="J290" t="s">
        <v>165</v>
      </c>
      <c r="K290" t="s">
        <v>165</v>
      </c>
      <c r="L290" t="s">
        <v>163</v>
      </c>
      <c r="M290" t="s">
        <v>161</v>
      </c>
      <c r="N290">
        <v>10.43</v>
      </c>
      <c r="O290" t="s">
        <v>163</v>
      </c>
      <c r="P290" t="s">
        <v>163</v>
      </c>
      <c r="Q290" t="s">
        <v>163</v>
      </c>
      <c r="R290" t="s">
        <v>163</v>
      </c>
      <c r="S290" t="s">
        <v>163</v>
      </c>
      <c r="T290" t="s">
        <v>163</v>
      </c>
      <c r="U290" t="s">
        <v>163</v>
      </c>
      <c r="V290" t="s">
        <v>163</v>
      </c>
      <c r="W290" t="s">
        <v>165</v>
      </c>
      <c r="X290" t="s">
        <v>165</v>
      </c>
      <c r="Y290" t="s">
        <v>163</v>
      </c>
      <c r="Z290" t="s">
        <v>163</v>
      </c>
      <c r="AA290">
        <v>1</v>
      </c>
      <c r="AB290">
        <v>2</v>
      </c>
      <c r="AC290">
        <v>0</v>
      </c>
      <c r="AD290" t="s">
        <v>163</v>
      </c>
      <c r="AE290" t="s">
        <v>163</v>
      </c>
      <c r="AF290" t="s">
        <v>163</v>
      </c>
      <c r="AG290" t="s">
        <v>163</v>
      </c>
      <c r="AH290" t="s">
        <v>163</v>
      </c>
      <c r="AI290" t="s">
        <v>163</v>
      </c>
      <c r="AJ290" t="s">
        <v>163</v>
      </c>
      <c r="AK290">
        <v>3</v>
      </c>
      <c r="AL290">
        <v>4</v>
      </c>
      <c r="AM290" t="s">
        <v>163</v>
      </c>
      <c r="AN290">
        <v>1</v>
      </c>
      <c r="AO290">
        <v>1</v>
      </c>
      <c r="AP290">
        <v>2</v>
      </c>
      <c r="AQ290">
        <v>2</v>
      </c>
      <c r="AR290">
        <v>5</v>
      </c>
      <c r="AS290">
        <v>6</v>
      </c>
    </row>
    <row r="291" spans="1:45" x14ac:dyDescent="0.35">
      <c r="A291" s="337">
        <v>46266</v>
      </c>
      <c r="B291" s="337">
        <v>46274</v>
      </c>
      <c r="C291" s="337">
        <v>816</v>
      </c>
      <c r="D291" t="s">
        <v>130</v>
      </c>
      <c r="E291" s="338">
        <v>1.1666666666666667</v>
      </c>
      <c r="F291">
        <v>2</v>
      </c>
      <c r="G291" t="s">
        <v>335</v>
      </c>
      <c r="H291" t="s">
        <v>163</v>
      </c>
      <c r="I291" t="s">
        <v>165</v>
      </c>
      <c r="J291" t="s">
        <v>165</v>
      </c>
      <c r="K291" t="s">
        <v>165</v>
      </c>
      <c r="L291" t="s">
        <v>163</v>
      </c>
      <c r="M291" t="s">
        <v>161</v>
      </c>
      <c r="N291">
        <v>10.66</v>
      </c>
      <c r="O291" t="s">
        <v>163</v>
      </c>
      <c r="P291" t="s">
        <v>163</v>
      </c>
      <c r="Q291" t="s">
        <v>163</v>
      </c>
      <c r="R291" t="s">
        <v>163</v>
      </c>
      <c r="S291" t="s">
        <v>163</v>
      </c>
      <c r="T291" t="s">
        <v>163</v>
      </c>
      <c r="U291" t="s">
        <v>163</v>
      </c>
      <c r="V291" t="s">
        <v>163</v>
      </c>
      <c r="W291" t="s">
        <v>165</v>
      </c>
      <c r="X291" t="s">
        <v>165</v>
      </c>
      <c r="Y291">
        <v>1</v>
      </c>
      <c r="Z291" t="s">
        <v>163</v>
      </c>
      <c r="AA291">
        <v>1</v>
      </c>
      <c r="AB291">
        <v>2</v>
      </c>
      <c r="AC291">
        <v>0</v>
      </c>
      <c r="AD291" t="s">
        <v>163</v>
      </c>
      <c r="AE291" t="s">
        <v>163</v>
      </c>
      <c r="AF291" t="s">
        <v>163</v>
      </c>
      <c r="AG291" t="s">
        <v>163</v>
      </c>
      <c r="AH291" t="s">
        <v>163</v>
      </c>
      <c r="AI291" t="s">
        <v>163</v>
      </c>
      <c r="AJ291" t="s">
        <v>163</v>
      </c>
      <c r="AK291">
        <v>3</v>
      </c>
      <c r="AL291">
        <v>4</v>
      </c>
      <c r="AM291" t="s">
        <v>163</v>
      </c>
      <c r="AN291">
        <v>1</v>
      </c>
      <c r="AO291">
        <v>1</v>
      </c>
      <c r="AP291">
        <v>2</v>
      </c>
      <c r="AQ291">
        <v>2</v>
      </c>
      <c r="AR291">
        <v>5</v>
      </c>
      <c r="AS291">
        <v>6</v>
      </c>
    </row>
    <row r="292" spans="1:45" x14ac:dyDescent="0.35">
      <c r="A292" s="337">
        <v>46266</v>
      </c>
      <c r="B292" s="337">
        <v>46274</v>
      </c>
      <c r="C292" s="337">
        <v>816</v>
      </c>
      <c r="D292" t="s">
        <v>130</v>
      </c>
      <c r="E292" s="338">
        <v>1.125</v>
      </c>
      <c r="F292">
        <v>2</v>
      </c>
      <c r="G292" t="s">
        <v>335</v>
      </c>
      <c r="H292" t="s">
        <v>163</v>
      </c>
      <c r="I292" t="s">
        <v>165</v>
      </c>
      <c r="J292" t="s">
        <v>165</v>
      </c>
      <c r="K292" t="s">
        <v>165</v>
      </c>
      <c r="L292" t="s">
        <v>163</v>
      </c>
      <c r="M292" t="s">
        <v>161</v>
      </c>
      <c r="N292">
        <v>10.58</v>
      </c>
      <c r="O292" t="s">
        <v>163</v>
      </c>
      <c r="P292" t="s">
        <v>163</v>
      </c>
      <c r="Q292" t="s">
        <v>163</v>
      </c>
      <c r="R292" t="s">
        <v>163</v>
      </c>
      <c r="S292" t="s">
        <v>163</v>
      </c>
      <c r="T292" t="s">
        <v>163</v>
      </c>
      <c r="U292" t="s">
        <v>163</v>
      </c>
      <c r="V292" t="s">
        <v>163</v>
      </c>
      <c r="W292" t="s">
        <v>165</v>
      </c>
      <c r="X292" t="s">
        <v>165</v>
      </c>
      <c r="Y292">
        <v>1</v>
      </c>
      <c r="Z292" t="s">
        <v>163</v>
      </c>
      <c r="AA292">
        <v>1</v>
      </c>
      <c r="AB292">
        <v>2</v>
      </c>
      <c r="AC292">
        <v>0</v>
      </c>
      <c r="AD292" t="s">
        <v>163</v>
      </c>
      <c r="AE292" t="s">
        <v>163</v>
      </c>
      <c r="AF292" t="s">
        <v>163</v>
      </c>
      <c r="AG292" t="s">
        <v>163</v>
      </c>
      <c r="AH292" t="s">
        <v>163</v>
      </c>
      <c r="AI292" t="s">
        <v>163</v>
      </c>
      <c r="AJ292" t="s">
        <v>163</v>
      </c>
      <c r="AK292">
        <v>3</v>
      </c>
      <c r="AL292">
        <v>4</v>
      </c>
      <c r="AM292" t="s">
        <v>163</v>
      </c>
      <c r="AN292">
        <v>1</v>
      </c>
      <c r="AO292">
        <v>1</v>
      </c>
      <c r="AP292">
        <v>2</v>
      </c>
      <c r="AQ292">
        <v>2</v>
      </c>
      <c r="AR292">
        <v>5</v>
      </c>
      <c r="AS292">
        <v>6</v>
      </c>
    </row>
    <row r="293" spans="1:45" x14ac:dyDescent="0.35">
      <c r="A293" s="337">
        <v>46266</v>
      </c>
      <c r="B293" s="337">
        <v>46274</v>
      </c>
      <c r="C293" s="337">
        <v>816</v>
      </c>
      <c r="D293" t="s">
        <v>130</v>
      </c>
      <c r="E293" s="338">
        <v>1.0833333333333333</v>
      </c>
      <c r="F293">
        <v>2</v>
      </c>
      <c r="G293" t="s">
        <v>335</v>
      </c>
      <c r="H293">
        <v>0.01</v>
      </c>
      <c r="I293" t="s">
        <v>165</v>
      </c>
      <c r="J293" t="s">
        <v>165</v>
      </c>
      <c r="K293" t="s">
        <v>165</v>
      </c>
      <c r="L293" t="s">
        <v>163</v>
      </c>
      <c r="M293" t="s">
        <v>161</v>
      </c>
      <c r="N293">
        <v>10.55</v>
      </c>
      <c r="O293" t="s">
        <v>163</v>
      </c>
      <c r="P293" t="s">
        <v>163</v>
      </c>
      <c r="Q293" t="s">
        <v>163</v>
      </c>
      <c r="R293" t="s">
        <v>163</v>
      </c>
      <c r="S293" t="s">
        <v>163</v>
      </c>
      <c r="T293" t="s">
        <v>163</v>
      </c>
      <c r="U293" t="s">
        <v>163</v>
      </c>
      <c r="V293" t="s">
        <v>163</v>
      </c>
      <c r="W293" t="s">
        <v>165</v>
      </c>
      <c r="X293" t="s">
        <v>165</v>
      </c>
      <c r="Y293">
        <v>1</v>
      </c>
      <c r="Z293">
        <v>2</v>
      </c>
      <c r="AA293">
        <v>1</v>
      </c>
      <c r="AB293">
        <v>2</v>
      </c>
      <c r="AC293">
        <v>0</v>
      </c>
      <c r="AD293" t="s">
        <v>163</v>
      </c>
      <c r="AE293" t="s">
        <v>163</v>
      </c>
      <c r="AF293" t="s">
        <v>163</v>
      </c>
      <c r="AG293" t="s">
        <v>163</v>
      </c>
      <c r="AH293" t="s">
        <v>163</v>
      </c>
      <c r="AI293" t="s">
        <v>163</v>
      </c>
      <c r="AJ293" t="s">
        <v>163</v>
      </c>
      <c r="AK293">
        <v>5</v>
      </c>
      <c r="AL293">
        <v>6</v>
      </c>
      <c r="AM293" t="s">
        <v>163</v>
      </c>
      <c r="AN293">
        <v>1</v>
      </c>
      <c r="AO293">
        <v>1</v>
      </c>
      <c r="AP293">
        <v>2</v>
      </c>
      <c r="AQ293">
        <v>2</v>
      </c>
      <c r="AR293">
        <v>7</v>
      </c>
      <c r="AS293">
        <v>8</v>
      </c>
    </row>
    <row r="294" spans="1:45" x14ac:dyDescent="0.35">
      <c r="A294" s="337">
        <v>46266</v>
      </c>
      <c r="B294" s="337">
        <v>46274</v>
      </c>
      <c r="C294" s="337">
        <v>816</v>
      </c>
      <c r="D294" t="s">
        <v>130</v>
      </c>
      <c r="E294" s="338">
        <v>1.0416666666666667</v>
      </c>
      <c r="F294">
        <v>2</v>
      </c>
      <c r="G294" t="s">
        <v>140</v>
      </c>
      <c r="H294" t="s">
        <v>163</v>
      </c>
      <c r="I294" t="s">
        <v>165</v>
      </c>
      <c r="J294" t="s">
        <v>165</v>
      </c>
      <c r="K294" t="s">
        <v>165</v>
      </c>
      <c r="L294" t="s">
        <v>163</v>
      </c>
      <c r="M294" t="s">
        <v>161</v>
      </c>
      <c r="N294">
        <v>10.58</v>
      </c>
      <c r="O294" t="s">
        <v>163</v>
      </c>
      <c r="P294" t="s">
        <v>163</v>
      </c>
      <c r="Q294" t="s">
        <v>163</v>
      </c>
      <c r="R294" t="s">
        <v>163</v>
      </c>
      <c r="S294" t="s">
        <v>163</v>
      </c>
      <c r="T294" t="s">
        <v>163</v>
      </c>
      <c r="U294" t="s">
        <v>163</v>
      </c>
      <c r="V294" t="s">
        <v>163</v>
      </c>
      <c r="W294" t="s">
        <v>165</v>
      </c>
      <c r="X294" t="s">
        <v>165</v>
      </c>
      <c r="Y294">
        <v>1</v>
      </c>
      <c r="Z294" t="s">
        <v>163</v>
      </c>
      <c r="AA294">
        <v>1</v>
      </c>
      <c r="AB294">
        <v>2</v>
      </c>
      <c r="AC294">
        <v>0</v>
      </c>
      <c r="AD294" t="s">
        <v>163</v>
      </c>
      <c r="AE294" t="s">
        <v>163</v>
      </c>
      <c r="AF294" t="s">
        <v>163</v>
      </c>
      <c r="AG294" t="s">
        <v>163</v>
      </c>
      <c r="AH294" t="s">
        <v>163</v>
      </c>
      <c r="AI294" t="s">
        <v>163</v>
      </c>
      <c r="AJ294" t="s">
        <v>163</v>
      </c>
      <c r="AK294">
        <v>3</v>
      </c>
      <c r="AL294">
        <v>4</v>
      </c>
      <c r="AM294" t="s">
        <v>163</v>
      </c>
      <c r="AN294">
        <v>1</v>
      </c>
      <c r="AO294">
        <v>1</v>
      </c>
      <c r="AP294">
        <v>2</v>
      </c>
      <c r="AQ294">
        <v>2</v>
      </c>
      <c r="AR294">
        <v>5</v>
      </c>
      <c r="AS294">
        <v>6</v>
      </c>
    </row>
    <row r="295" spans="1:45" x14ac:dyDescent="0.35">
      <c r="A295" s="337">
        <v>46266</v>
      </c>
      <c r="B295" s="337">
        <v>46274</v>
      </c>
      <c r="C295" s="337">
        <v>816</v>
      </c>
      <c r="D295" t="s">
        <v>130</v>
      </c>
      <c r="E295" s="339">
        <v>0.95833333333333337</v>
      </c>
      <c r="F295">
        <v>2</v>
      </c>
      <c r="G295" t="s">
        <v>140</v>
      </c>
      <c r="H295" t="s">
        <v>163</v>
      </c>
      <c r="I295" t="s">
        <v>165</v>
      </c>
      <c r="J295" t="s">
        <v>165</v>
      </c>
      <c r="K295" t="s">
        <v>165</v>
      </c>
      <c r="L295" t="s">
        <v>163</v>
      </c>
      <c r="M295" t="s">
        <v>161</v>
      </c>
      <c r="N295">
        <v>10.84</v>
      </c>
      <c r="O295" t="s">
        <v>163</v>
      </c>
      <c r="P295" t="s">
        <v>163</v>
      </c>
      <c r="Q295" t="s">
        <v>163</v>
      </c>
      <c r="R295" t="s">
        <v>163</v>
      </c>
      <c r="S295" t="s">
        <v>163</v>
      </c>
      <c r="T295" t="s">
        <v>163</v>
      </c>
      <c r="U295" t="s">
        <v>163</v>
      </c>
      <c r="V295" t="s">
        <v>163</v>
      </c>
      <c r="W295" t="s">
        <v>165</v>
      </c>
      <c r="X295" t="s">
        <v>165</v>
      </c>
      <c r="Y295" t="s">
        <v>163</v>
      </c>
      <c r="Z295" t="s">
        <v>163</v>
      </c>
      <c r="AA295">
        <v>1</v>
      </c>
      <c r="AB295">
        <v>2</v>
      </c>
      <c r="AC295">
        <v>0</v>
      </c>
      <c r="AD295" t="s">
        <v>163</v>
      </c>
      <c r="AE295" t="s">
        <v>163</v>
      </c>
      <c r="AF295" t="s">
        <v>163</v>
      </c>
      <c r="AG295" t="s">
        <v>163</v>
      </c>
      <c r="AH295" t="s">
        <v>163</v>
      </c>
      <c r="AI295" t="s">
        <v>163</v>
      </c>
      <c r="AJ295" t="s">
        <v>163</v>
      </c>
      <c r="AK295">
        <v>3</v>
      </c>
      <c r="AL295">
        <v>4</v>
      </c>
      <c r="AM295" t="s">
        <v>163</v>
      </c>
      <c r="AN295">
        <v>1</v>
      </c>
      <c r="AO295">
        <v>1</v>
      </c>
      <c r="AP295">
        <v>2</v>
      </c>
      <c r="AQ295">
        <v>2</v>
      </c>
      <c r="AR295">
        <v>5</v>
      </c>
      <c r="AS295">
        <v>6</v>
      </c>
    </row>
    <row r="296" spans="1:45" x14ac:dyDescent="0.35">
      <c r="A296" s="337">
        <v>46266</v>
      </c>
      <c r="B296" s="337">
        <v>46274</v>
      </c>
      <c r="C296" s="337">
        <v>816</v>
      </c>
      <c r="D296" t="s">
        <v>130</v>
      </c>
      <c r="E296" s="339">
        <v>0.91666666666666663</v>
      </c>
      <c r="F296">
        <v>2</v>
      </c>
      <c r="G296" t="s">
        <v>140</v>
      </c>
      <c r="H296" t="s">
        <v>163</v>
      </c>
      <c r="I296" t="s">
        <v>165</v>
      </c>
      <c r="J296" t="s">
        <v>165</v>
      </c>
      <c r="K296" t="s">
        <v>165</v>
      </c>
      <c r="L296" t="s">
        <v>163</v>
      </c>
      <c r="M296" t="s">
        <v>161</v>
      </c>
      <c r="N296">
        <v>10.77</v>
      </c>
      <c r="O296" t="s">
        <v>163</v>
      </c>
      <c r="P296" t="s">
        <v>163</v>
      </c>
      <c r="Q296" t="s">
        <v>163</v>
      </c>
      <c r="R296" t="s">
        <v>163</v>
      </c>
      <c r="S296" t="s">
        <v>163</v>
      </c>
      <c r="T296" t="s">
        <v>163</v>
      </c>
      <c r="U296" t="s">
        <v>163</v>
      </c>
      <c r="V296" t="s">
        <v>163</v>
      </c>
      <c r="W296" t="s">
        <v>165</v>
      </c>
      <c r="X296" t="s">
        <v>165</v>
      </c>
      <c r="Y296">
        <v>1</v>
      </c>
      <c r="Z296" t="s">
        <v>163</v>
      </c>
      <c r="AA296">
        <v>1</v>
      </c>
      <c r="AB296">
        <v>2</v>
      </c>
      <c r="AC296">
        <v>0</v>
      </c>
      <c r="AD296" t="s">
        <v>163</v>
      </c>
      <c r="AE296" t="s">
        <v>163</v>
      </c>
      <c r="AF296" t="s">
        <v>163</v>
      </c>
      <c r="AG296" t="s">
        <v>163</v>
      </c>
      <c r="AH296" t="s">
        <v>163</v>
      </c>
      <c r="AI296" t="s">
        <v>163</v>
      </c>
      <c r="AJ296" t="s">
        <v>163</v>
      </c>
      <c r="AK296">
        <v>3</v>
      </c>
      <c r="AL296">
        <v>4</v>
      </c>
      <c r="AM296" t="s">
        <v>163</v>
      </c>
      <c r="AN296">
        <v>1</v>
      </c>
      <c r="AO296">
        <v>1</v>
      </c>
      <c r="AP296">
        <v>2</v>
      </c>
      <c r="AQ296">
        <v>2</v>
      </c>
      <c r="AR296">
        <v>5</v>
      </c>
      <c r="AS296">
        <v>6</v>
      </c>
    </row>
    <row r="297" spans="1:45" x14ac:dyDescent="0.35">
      <c r="A297" s="337">
        <v>46266</v>
      </c>
      <c r="B297" s="337">
        <v>46274</v>
      </c>
      <c r="C297" s="337">
        <v>46273</v>
      </c>
      <c r="D297" t="s">
        <v>130</v>
      </c>
      <c r="E297" s="338">
        <v>1.2083333333333333</v>
      </c>
      <c r="F297">
        <v>1</v>
      </c>
      <c r="G297" t="s">
        <v>123</v>
      </c>
      <c r="H297">
        <v>0.01</v>
      </c>
      <c r="I297" t="s">
        <v>165</v>
      </c>
      <c r="J297" t="s">
        <v>165</v>
      </c>
      <c r="K297" t="s">
        <v>165</v>
      </c>
      <c r="L297" t="s">
        <v>163</v>
      </c>
      <c r="M297" t="s">
        <v>163</v>
      </c>
      <c r="N297">
        <v>12.18</v>
      </c>
      <c r="O297" t="s">
        <v>163</v>
      </c>
      <c r="P297" t="s">
        <v>163</v>
      </c>
      <c r="Q297" t="s">
        <v>163</v>
      </c>
      <c r="R297" t="s">
        <v>163</v>
      </c>
      <c r="S297" t="s">
        <v>163</v>
      </c>
      <c r="T297" t="s">
        <v>163</v>
      </c>
      <c r="U297" t="s">
        <v>163</v>
      </c>
      <c r="V297" t="s">
        <v>163</v>
      </c>
      <c r="W297" t="s">
        <v>165</v>
      </c>
      <c r="X297" t="s">
        <v>165</v>
      </c>
      <c r="Y297" t="s">
        <v>422</v>
      </c>
      <c r="Z297">
        <v>2</v>
      </c>
      <c r="AA297">
        <v>1</v>
      </c>
      <c r="AB297">
        <v>2</v>
      </c>
      <c r="AC297">
        <v>1</v>
      </c>
      <c r="AD297" t="s">
        <v>163</v>
      </c>
      <c r="AE297" t="s">
        <v>163</v>
      </c>
      <c r="AF297" t="s">
        <v>163</v>
      </c>
      <c r="AG297" t="s">
        <v>163</v>
      </c>
      <c r="AH297" t="s">
        <v>163</v>
      </c>
      <c r="AI297" t="s">
        <v>163</v>
      </c>
      <c r="AJ297" t="s">
        <v>163</v>
      </c>
      <c r="AK297">
        <v>6</v>
      </c>
      <c r="AL297">
        <v>6</v>
      </c>
      <c r="AM297" t="s">
        <v>163</v>
      </c>
      <c r="AN297">
        <v>1</v>
      </c>
      <c r="AO297">
        <v>1</v>
      </c>
      <c r="AP297">
        <v>2</v>
      </c>
      <c r="AQ297">
        <v>2</v>
      </c>
      <c r="AR297">
        <v>8</v>
      </c>
      <c r="AS297">
        <v>8</v>
      </c>
    </row>
    <row r="298" spans="1:45" x14ac:dyDescent="0.35">
      <c r="A298" s="337">
        <v>46266</v>
      </c>
      <c r="B298" s="337">
        <v>46274</v>
      </c>
      <c r="C298" s="337">
        <v>46273</v>
      </c>
      <c r="D298" t="s">
        <v>130</v>
      </c>
      <c r="E298" s="338">
        <v>1.1666666666666667</v>
      </c>
      <c r="F298">
        <v>1</v>
      </c>
      <c r="G298" t="s">
        <v>123</v>
      </c>
      <c r="H298">
        <v>0.01</v>
      </c>
      <c r="I298" t="s">
        <v>165</v>
      </c>
      <c r="J298" t="s">
        <v>165</v>
      </c>
      <c r="K298" t="s">
        <v>165</v>
      </c>
      <c r="L298" t="s">
        <v>163</v>
      </c>
      <c r="M298" t="s">
        <v>163</v>
      </c>
      <c r="N298">
        <v>12.14</v>
      </c>
      <c r="O298" t="s">
        <v>163</v>
      </c>
      <c r="P298" t="s">
        <v>163</v>
      </c>
      <c r="Q298" t="s">
        <v>163</v>
      </c>
      <c r="R298" t="s">
        <v>163</v>
      </c>
      <c r="S298" t="s">
        <v>163</v>
      </c>
      <c r="T298" t="s">
        <v>163</v>
      </c>
      <c r="U298" t="s">
        <v>163</v>
      </c>
      <c r="V298" t="s">
        <v>163</v>
      </c>
      <c r="W298" t="s">
        <v>165</v>
      </c>
      <c r="X298" t="s">
        <v>165</v>
      </c>
      <c r="Y298" t="s">
        <v>422</v>
      </c>
      <c r="Z298">
        <v>2</v>
      </c>
      <c r="AA298">
        <v>1</v>
      </c>
      <c r="AB298">
        <v>2</v>
      </c>
      <c r="AC298">
        <v>1</v>
      </c>
      <c r="AD298" t="s">
        <v>163</v>
      </c>
      <c r="AE298" t="s">
        <v>163</v>
      </c>
      <c r="AF298" t="s">
        <v>163</v>
      </c>
      <c r="AG298" t="s">
        <v>163</v>
      </c>
      <c r="AH298" t="s">
        <v>163</v>
      </c>
      <c r="AI298" t="s">
        <v>163</v>
      </c>
      <c r="AJ298" t="s">
        <v>163</v>
      </c>
      <c r="AK298">
        <v>6</v>
      </c>
      <c r="AL298">
        <v>6</v>
      </c>
      <c r="AM298" t="s">
        <v>163</v>
      </c>
      <c r="AN298">
        <v>1</v>
      </c>
      <c r="AO298">
        <v>1</v>
      </c>
      <c r="AP298">
        <v>2</v>
      </c>
      <c r="AQ298">
        <v>2</v>
      </c>
      <c r="AR298">
        <v>8</v>
      </c>
      <c r="AS298">
        <v>8</v>
      </c>
    </row>
    <row r="299" spans="1:45" x14ac:dyDescent="0.35">
      <c r="A299" s="337">
        <v>46266</v>
      </c>
      <c r="B299" s="337">
        <v>46274</v>
      </c>
      <c r="C299" s="337">
        <v>46273</v>
      </c>
      <c r="D299" t="s">
        <v>130</v>
      </c>
      <c r="E299" s="338">
        <v>1.125</v>
      </c>
      <c r="F299">
        <v>1</v>
      </c>
      <c r="G299" t="s">
        <v>123</v>
      </c>
      <c r="H299">
        <v>0.01</v>
      </c>
      <c r="I299" t="s">
        <v>165</v>
      </c>
      <c r="J299" t="s">
        <v>165</v>
      </c>
      <c r="K299" t="s">
        <v>165</v>
      </c>
      <c r="L299" t="s">
        <v>163</v>
      </c>
      <c r="M299" t="s">
        <v>163</v>
      </c>
      <c r="N299" t="s">
        <v>163</v>
      </c>
      <c r="O299" t="s">
        <v>163</v>
      </c>
      <c r="P299" t="s">
        <v>163</v>
      </c>
      <c r="Q299" t="s">
        <v>163</v>
      </c>
      <c r="R299" t="s">
        <v>163</v>
      </c>
      <c r="S299" t="s">
        <v>163</v>
      </c>
      <c r="T299" t="s">
        <v>163</v>
      </c>
      <c r="U299" t="s">
        <v>163</v>
      </c>
      <c r="V299" t="s">
        <v>163</v>
      </c>
      <c r="W299" t="s">
        <v>165</v>
      </c>
      <c r="X299" t="s">
        <v>165</v>
      </c>
      <c r="Y299" t="s">
        <v>422</v>
      </c>
      <c r="Z299">
        <v>2</v>
      </c>
      <c r="AA299">
        <v>1</v>
      </c>
      <c r="AB299">
        <v>2</v>
      </c>
      <c r="AC299" t="s">
        <v>163</v>
      </c>
      <c r="AD299" t="s">
        <v>163</v>
      </c>
      <c r="AE299" t="s">
        <v>163</v>
      </c>
      <c r="AF299" t="s">
        <v>163</v>
      </c>
      <c r="AG299" t="s">
        <v>163</v>
      </c>
      <c r="AH299" t="s">
        <v>163</v>
      </c>
      <c r="AI299" t="s">
        <v>163</v>
      </c>
      <c r="AJ299" t="s">
        <v>163</v>
      </c>
      <c r="AK299">
        <v>5</v>
      </c>
      <c r="AL299">
        <v>5</v>
      </c>
      <c r="AM299" t="s">
        <v>163</v>
      </c>
      <c r="AN299">
        <v>1</v>
      </c>
      <c r="AO299">
        <v>1</v>
      </c>
      <c r="AP299">
        <v>2</v>
      </c>
      <c r="AQ299">
        <v>2</v>
      </c>
      <c r="AR299">
        <v>7</v>
      </c>
      <c r="AS299">
        <v>7</v>
      </c>
    </row>
    <row r="300" spans="1:45" x14ac:dyDescent="0.35">
      <c r="A300" s="337">
        <v>46266</v>
      </c>
      <c r="B300" s="337">
        <v>46274</v>
      </c>
      <c r="C300" s="337">
        <v>46270</v>
      </c>
      <c r="D300" t="s">
        <v>130</v>
      </c>
      <c r="E300" s="338">
        <v>1.0416666666666667</v>
      </c>
      <c r="F300">
        <v>1</v>
      </c>
      <c r="G300" t="s">
        <v>123</v>
      </c>
      <c r="H300">
        <v>0.02</v>
      </c>
      <c r="I300" t="s">
        <v>165</v>
      </c>
      <c r="J300" t="s">
        <v>165</v>
      </c>
      <c r="K300" t="s">
        <v>165</v>
      </c>
      <c r="L300" t="s">
        <v>163</v>
      </c>
      <c r="M300" t="s">
        <v>163</v>
      </c>
      <c r="N300">
        <v>11.95</v>
      </c>
      <c r="O300" t="s">
        <v>163</v>
      </c>
      <c r="P300" t="s">
        <v>163</v>
      </c>
      <c r="Q300" t="s">
        <v>163</v>
      </c>
      <c r="R300" t="s">
        <v>163</v>
      </c>
      <c r="S300" t="s">
        <v>163</v>
      </c>
      <c r="T300" t="s">
        <v>163</v>
      </c>
      <c r="U300" t="s">
        <v>163</v>
      </c>
      <c r="V300" t="s">
        <v>163</v>
      </c>
      <c r="W300" t="s">
        <v>165</v>
      </c>
      <c r="X300" t="s">
        <v>165</v>
      </c>
      <c r="Y300" t="s">
        <v>422</v>
      </c>
      <c r="Z300">
        <v>2</v>
      </c>
      <c r="AA300">
        <v>1</v>
      </c>
      <c r="AB300">
        <v>2</v>
      </c>
      <c r="AC300">
        <v>1</v>
      </c>
      <c r="AD300" t="s">
        <v>163</v>
      </c>
      <c r="AE300" t="s">
        <v>163</v>
      </c>
      <c r="AF300" t="s">
        <v>163</v>
      </c>
      <c r="AG300" t="s">
        <v>163</v>
      </c>
      <c r="AH300" t="s">
        <v>163</v>
      </c>
      <c r="AI300" t="s">
        <v>163</v>
      </c>
      <c r="AJ300" t="s">
        <v>163</v>
      </c>
      <c r="AK300">
        <v>6</v>
      </c>
      <c r="AL300">
        <v>6</v>
      </c>
      <c r="AM300" t="s">
        <v>163</v>
      </c>
      <c r="AN300">
        <v>1</v>
      </c>
      <c r="AO300">
        <v>1</v>
      </c>
      <c r="AP300">
        <v>2</v>
      </c>
      <c r="AQ300">
        <v>2</v>
      </c>
      <c r="AR300">
        <v>8</v>
      </c>
      <c r="AS300">
        <v>8</v>
      </c>
    </row>
    <row r="301" spans="1:45" x14ac:dyDescent="0.35">
      <c r="A301" s="337">
        <v>46266</v>
      </c>
      <c r="B301" s="337">
        <v>46274</v>
      </c>
      <c r="C301" s="337">
        <v>46270</v>
      </c>
      <c r="D301" t="s">
        <v>130</v>
      </c>
      <c r="E301" s="339">
        <v>0.95833333333333337</v>
      </c>
      <c r="F301">
        <v>1</v>
      </c>
      <c r="G301" t="s">
        <v>123</v>
      </c>
      <c r="H301">
        <v>0.02</v>
      </c>
      <c r="I301" t="s">
        <v>165</v>
      </c>
      <c r="J301" t="s">
        <v>165</v>
      </c>
      <c r="K301" t="s">
        <v>165</v>
      </c>
      <c r="L301" t="s">
        <v>163</v>
      </c>
      <c r="M301" t="s">
        <v>163</v>
      </c>
      <c r="N301">
        <v>11.98</v>
      </c>
      <c r="O301" t="s">
        <v>163</v>
      </c>
      <c r="P301" t="s">
        <v>163</v>
      </c>
      <c r="Q301" t="s">
        <v>163</v>
      </c>
      <c r="R301" t="s">
        <v>163</v>
      </c>
      <c r="S301" t="s">
        <v>163</v>
      </c>
      <c r="T301" t="s">
        <v>163</v>
      </c>
      <c r="U301" t="s">
        <v>163</v>
      </c>
      <c r="V301" t="s">
        <v>163</v>
      </c>
      <c r="W301" t="s">
        <v>165</v>
      </c>
      <c r="X301" t="s">
        <v>165</v>
      </c>
      <c r="Y301" t="s">
        <v>422</v>
      </c>
      <c r="Z301">
        <v>2</v>
      </c>
      <c r="AA301">
        <v>1</v>
      </c>
      <c r="AB301">
        <v>2</v>
      </c>
      <c r="AC301">
        <v>1</v>
      </c>
      <c r="AD301" t="s">
        <v>163</v>
      </c>
      <c r="AE301" t="s">
        <v>163</v>
      </c>
      <c r="AF301" t="s">
        <v>163</v>
      </c>
      <c r="AG301" t="s">
        <v>163</v>
      </c>
      <c r="AH301" t="s">
        <v>163</v>
      </c>
      <c r="AI301" t="s">
        <v>163</v>
      </c>
      <c r="AJ301" t="s">
        <v>163</v>
      </c>
      <c r="AK301">
        <v>6</v>
      </c>
      <c r="AL301">
        <v>6</v>
      </c>
      <c r="AM301" t="s">
        <v>163</v>
      </c>
      <c r="AN301">
        <v>1</v>
      </c>
      <c r="AO301">
        <v>1</v>
      </c>
      <c r="AP301">
        <v>2</v>
      </c>
      <c r="AQ301">
        <v>2</v>
      </c>
      <c r="AR301">
        <v>8</v>
      </c>
      <c r="AS301">
        <v>8</v>
      </c>
    </row>
    <row r="302" spans="1:45" x14ac:dyDescent="0.35">
      <c r="A302" s="337">
        <v>46266</v>
      </c>
      <c r="B302" s="337">
        <v>46274</v>
      </c>
      <c r="C302" s="337">
        <v>46270</v>
      </c>
      <c r="D302" t="s">
        <v>128</v>
      </c>
      <c r="E302" s="339">
        <v>0.875</v>
      </c>
      <c r="F302">
        <v>3</v>
      </c>
      <c r="G302" t="s">
        <v>119</v>
      </c>
      <c r="H302">
        <v>0.02</v>
      </c>
      <c r="I302" t="s">
        <v>165</v>
      </c>
      <c r="J302" t="s">
        <v>165</v>
      </c>
      <c r="K302" t="s">
        <v>165</v>
      </c>
      <c r="L302" t="s">
        <v>161</v>
      </c>
      <c r="M302" t="s">
        <v>161</v>
      </c>
      <c r="N302">
        <v>12.34</v>
      </c>
      <c r="O302" t="s">
        <v>163</v>
      </c>
      <c r="P302" t="s">
        <v>163</v>
      </c>
      <c r="Q302" t="s">
        <v>163</v>
      </c>
      <c r="R302" t="s">
        <v>163</v>
      </c>
      <c r="S302" t="s">
        <v>163</v>
      </c>
      <c r="T302" t="s">
        <v>163</v>
      </c>
      <c r="U302" t="s">
        <v>163</v>
      </c>
      <c r="V302" t="s">
        <v>163</v>
      </c>
      <c r="W302" t="s">
        <v>165</v>
      </c>
      <c r="X302" t="s">
        <v>165</v>
      </c>
      <c r="Y302" t="s">
        <v>416</v>
      </c>
      <c r="Z302">
        <v>2</v>
      </c>
      <c r="AA302">
        <v>1</v>
      </c>
      <c r="AB302">
        <v>2</v>
      </c>
      <c r="AC302">
        <v>1</v>
      </c>
      <c r="AD302" t="s">
        <v>163</v>
      </c>
      <c r="AE302" t="s">
        <v>163</v>
      </c>
      <c r="AF302" t="s">
        <v>163</v>
      </c>
      <c r="AG302" t="s">
        <v>163</v>
      </c>
      <c r="AH302" t="s">
        <v>163</v>
      </c>
      <c r="AI302" t="s">
        <v>163</v>
      </c>
      <c r="AJ302" t="s">
        <v>163</v>
      </c>
      <c r="AK302">
        <v>6</v>
      </c>
      <c r="AL302">
        <v>6</v>
      </c>
      <c r="AM302" t="s">
        <v>163</v>
      </c>
      <c r="AN302">
        <v>1</v>
      </c>
      <c r="AO302">
        <v>1</v>
      </c>
      <c r="AP302">
        <v>2</v>
      </c>
      <c r="AQ302">
        <v>2</v>
      </c>
      <c r="AR302">
        <v>8</v>
      </c>
      <c r="AS302">
        <v>8</v>
      </c>
    </row>
    <row r="303" spans="1:45" x14ac:dyDescent="0.35">
      <c r="A303" s="337">
        <v>46266</v>
      </c>
      <c r="B303" s="337">
        <v>46274</v>
      </c>
      <c r="C303" s="337">
        <v>46270</v>
      </c>
      <c r="D303" t="s">
        <v>128</v>
      </c>
      <c r="E303" s="339">
        <v>0.83333333333333337</v>
      </c>
      <c r="F303">
        <v>3</v>
      </c>
      <c r="G303" t="s">
        <v>119</v>
      </c>
      <c r="H303">
        <v>0.02</v>
      </c>
      <c r="I303" t="s">
        <v>165</v>
      </c>
      <c r="J303" t="s">
        <v>165</v>
      </c>
      <c r="K303" t="s">
        <v>165</v>
      </c>
      <c r="L303" t="s">
        <v>161</v>
      </c>
      <c r="M303" t="s">
        <v>161</v>
      </c>
      <c r="N303">
        <v>12.13</v>
      </c>
      <c r="O303" t="s">
        <v>163</v>
      </c>
      <c r="P303" t="s">
        <v>163</v>
      </c>
      <c r="Q303" t="s">
        <v>163</v>
      </c>
      <c r="R303" t="s">
        <v>163</v>
      </c>
      <c r="S303" t="s">
        <v>163</v>
      </c>
      <c r="T303" t="s">
        <v>163</v>
      </c>
      <c r="U303" t="s">
        <v>163</v>
      </c>
      <c r="V303" t="s">
        <v>163</v>
      </c>
      <c r="W303" t="s">
        <v>165</v>
      </c>
      <c r="X303" t="s">
        <v>165</v>
      </c>
      <c r="Y303" t="s">
        <v>416</v>
      </c>
      <c r="Z303">
        <v>2</v>
      </c>
      <c r="AA303">
        <v>1</v>
      </c>
      <c r="AB303">
        <v>2</v>
      </c>
      <c r="AC303">
        <v>1</v>
      </c>
      <c r="AD303" t="s">
        <v>163</v>
      </c>
      <c r="AE303" t="s">
        <v>163</v>
      </c>
      <c r="AF303" t="s">
        <v>163</v>
      </c>
      <c r="AG303" t="s">
        <v>163</v>
      </c>
      <c r="AH303" t="s">
        <v>163</v>
      </c>
      <c r="AI303" t="s">
        <v>163</v>
      </c>
      <c r="AJ303" t="s">
        <v>163</v>
      </c>
      <c r="AK303">
        <v>6</v>
      </c>
      <c r="AL303">
        <v>6</v>
      </c>
      <c r="AM303" t="s">
        <v>163</v>
      </c>
      <c r="AN303">
        <v>1</v>
      </c>
      <c r="AO303">
        <v>1</v>
      </c>
      <c r="AP303">
        <v>2</v>
      </c>
      <c r="AQ303">
        <v>2</v>
      </c>
      <c r="AR303">
        <v>8</v>
      </c>
      <c r="AS303">
        <v>8</v>
      </c>
    </row>
    <row r="304" spans="1:45" x14ac:dyDescent="0.35">
      <c r="A304" s="337">
        <v>46266</v>
      </c>
      <c r="B304" s="337">
        <v>46274</v>
      </c>
      <c r="C304" s="337">
        <v>46270</v>
      </c>
      <c r="D304" t="s">
        <v>128</v>
      </c>
      <c r="E304" s="339">
        <v>0.79166666666666663</v>
      </c>
      <c r="F304">
        <v>3</v>
      </c>
      <c r="G304" t="s">
        <v>119</v>
      </c>
      <c r="H304">
        <v>0.02</v>
      </c>
      <c r="I304" t="s">
        <v>165</v>
      </c>
      <c r="J304" t="s">
        <v>165</v>
      </c>
      <c r="K304" t="s">
        <v>165</v>
      </c>
      <c r="L304" t="s">
        <v>161</v>
      </c>
      <c r="M304" t="s">
        <v>161</v>
      </c>
      <c r="N304">
        <v>12.19</v>
      </c>
      <c r="O304" t="s">
        <v>163</v>
      </c>
      <c r="P304" t="s">
        <v>163</v>
      </c>
      <c r="Q304" t="s">
        <v>163</v>
      </c>
      <c r="R304" t="s">
        <v>163</v>
      </c>
      <c r="S304" t="s">
        <v>163</v>
      </c>
      <c r="T304" t="s">
        <v>163</v>
      </c>
      <c r="U304" t="s">
        <v>163</v>
      </c>
      <c r="V304" t="s">
        <v>163</v>
      </c>
      <c r="W304" t="s">
        <v>165</v>
      </c>
      <c r="X304" t="s">
        <v>165</v>
      </c>
      <c r="Y304" t="s">
        <v>416</v>
      </c>
      <c r="Z304">
        <v>2</v>
      </c>
      <c r="AA304">
        <v>1</v>
      </c>
      <c r="AB304">
        <v>2</v>
      </c>
      <c r="AC304">
        <v>1</v>
      </c>
      <c r="AD304" t="s">
        <v>163</v>
      </c>
      <c r="AE304" t="s">
        <v>163</v>
      </c>
      <c r="AF304" t="s">
        <v>163</v>
      </c>
      <c r="AG304" t="s">
        <v>163</v>
      </c>
      <c r="AH304" t="s">
        <v>163</v>
      </c>
      <c r="AI304" t="s">
        <v>163</v>
      </c>
      <c r="AJ304" t="s">
        <v>163</v>
      </c>
      <c r="AK304">
        <v>6</v>
      </c>
      <c r="AL304">
        <v>6</v>
      </c>
      <c r="AM304" t="s">
        <v>163</v>
      </c>
      <c r="AN304">
        <v>1</v>
      </c>
      <c r="AO304">
        <v>1</v>
      </c>
      <c r="AP304">
        <v>2</v>
      </c>
      <c r="AQ304">
        <v>2</v>
      </c>
      <c r="AR304">
        <v>8</v>
      </c>
      <c r="AS304">
        <v>8</v>
      </c>
    </row>
    <row r="305" spans="1:45" x14ac:dyDescent="0.35">
      <c r="A305" s="337">
        <v>46266</v>
      </c>
      <c r="B305" s="337">
        <v>46274</v>
      </c>
      <c r="C305" s="337">
        <v>46270</v>
      </c>
      <c r="D305" t="s">
        <v>128</v>
      </c>
      <c r="E305" s="339">
        <v>0.75</v>
      </c>
      <c r="F305">
        <v>3</v>
      </c>
      <c r="G305" t="s">
        <v>119</v>
      </c>
      <c r="H305">
        <v>0.01</v>
      </c>
      <c r="I305" t="s">
        <v>165</v>
      </c>
      <c r="J305" t="s">
        <v>165</v>
      </c>
      <c r="K305" t="s">
        <v>165</v>
      </c>
      <c r="L305" t="s">
        <v>161</v>
      </c>
      <c r="M305" t="s">
        <v>161</v>
      </c>
      <c r="N305">
        <v>11.75</v>
      </c>
      <c r="O305" t="s">
        <v>163</v>
      </c>
      <c r="P305" t="s">
        <v>163</v>
      </c>
      <c r="Q305" t="s">
        <v>163</v>
      </c>
      <c r="R305" t="s">
        <v>163</v>
      </c>
      <c r="S305" t="s">
        <v>163</v>
      </c>
      <c r="T305" t="s">
        <v>163</v>
      </c>
      <c r="U305" t="s">
        <v>163</v>
      </c>
      <c r="V305" t="s">
        <v>163</v>
      </c>
      <c r="W305" t="s">
        <v>165</v>
      </c>
      <c r="X305" t="s">
        <v>165</v>
      </c>
      <c r="Y305" t="s">
        <v>416</v>
      </c>
      <c r="Z305">
        <v>2</v>
      </c>
      <c r="AA305">
        <v>1</v>
      </c>
      <c r="AB305">
        <v>2</v>
      </c>
      <c r="AC305">
        <v>0</v>
      </c>
      <c r="AD305" t="s">
        <v>163</v>
      </c>
      <c r="AE305" t="s">
        <v>163</v>
      </c>
      <c r="AF305" t="s">
        <v>163</v>
      </c>
      <c r="AG305" t="s">
        <v>163</v>
      </c>
      <c r="AH305" t="s">
        <v>163</v>
      </c>
      <c r="AI305" t="s">
        <v>163</v>
      </c>
      <c r="AJ305" t="s">
        <v>163</v>
      </c>
      <c r="AK305">
        <v>5</v>
      </c>
      <c r="AL305">
        <v>6</v>
      </c>
      <c r="AM305" t="s">
        <v>163</v>
      </c>
      <c r="AN305">
        <v>1</v>
      </c>
      <c r="AO305">
        <v>1</v>
      </c>
      <c r="AP305">
        <v>2</v>
      </c>
      <c r="AQ305">
        <v>2</v>
      </c>
      <c r="AR305">
        <v>7</v>
      </c>
      <c r="AS305">
        <v>8</v>
      </c>
    </row>
    <row r="306" spans="1:45" x14ac:dyDescent="0.35">
      <c r="A306" s="337">
        <v>46266</v>
      </c>
      <c r="B306" s="337">
        <v>46274</v>
      </c>
      <c r="C306" s="337">
        <v>46270</v>
      </c>
      <c r="D306" t="s">
        <v>128</v>
      </c>
      <c r="E306" s="339">
        <v>0.70833333333333337</v>
      </c>
      <c r="F306">
        <v>3</v>
      </c>
      <c r="G306" t="s">
        <v>119</v>
      </c>
      <c r="H306">
        <v>0.02</v>
      </c>
      <c r="I306" t="s">
        <v>165</v>
      </c>
      <c r="J306" t="s">
        <v>165</v>
      </c>
      <c r="K306" t="s">
        <v>165</v>
      </c>
      <c r="L306" t="s">
        <v>161</v>
      </c>
      <c r="M306" t="s">
        <v>161</v>
      </c>
      <c r="N306">
        <v>11.75</v>
      </c>
      <c r="O306" t="s">
        <v>163</v>
      </c>
      <c r="P306" t="s">
        <v>163</v>
      </c>
      <c r="Q306" t="s">
        <v>163</v>
      </c>
      <c r="R306" t="s">
        <v>163</v>
      </c>
      <c r="S306" t="s">
        <v>163</v>
      </c>
      <c r="T306" t="s">
        <v>163</v>
      </c>
      <c r="U306" t="s">
        <v>163</v>
      </c>
      <c r="V306" t="s">
        <v>163</v>
      </c>
      <c r="W306" t="s">
        <v>165</v>
      </c>
      <c r="X306" t="s">
        <v>165</v>
      </c>
      <c r="Y306" t="s">
        <v>416</v>
      </c>
      <c r="Z306">
        <v>2</v>
      </c>
      <c r="AA306">
        <v>1</v>
      </c>
      <c r="AB306">
        <v>2</v>
      </c>
      <c r="AC306">
        <v>0</v>
      </c>
      <c r="AD306" t="s">
        <v>163</v>
      </c>
      <c r="AE306" t="s">
        <v>163</v>
      </c>
      <c r="AF306" t="s">
        <v>163</v>
      </c>
      <c r="AG306" t="s">
        <v>163</v>
      </c>
      <c r="AH306" t="s">
        <v>163</v>
      </c>
      <c r="AI306" t="s">
        <v>163</v>
      </c>
      <c r="AJ306" t="s">
        <v>163</v>
      </c>
      <c r="AK306">
        <v>5</v>
      </c>
      <c r="AL306">
        <v>6</v>
      </c>
      <c r="AM306" t="s">
        <v>163</v>
      </c>
      <c r="AN306">
        <v>1</v>
      </c>
      <c r="AO306">
        <v>1</v>
      </c>
      <c r="AP306">
        <v>2</v>
      </c>
      <c r="AQ306">
        <v>2</v>
      </c>
      <c r="AR306">
        <v>7</v>
      </c>
      <c r="AS306">
        <v>8</v>
      </c>
    </row>
    <row r="307" spans="1:45" x14ac:dyDescent="0.35">
      <c r="A307" s="337">
        <v>46266</v>
      </c>
      <c r="B307" s="337">
        <v>46274</v>
      </c>
      <c r="C307" s="337">
        <v>816</v>
      </c>
      <c r="D307" t="s">
        <v>128</v>
      </c>
      <c r="E307" s="339">
        <v>0.875</v>
      </c>
      <c r="F307">
        <v>2</v>
      </c>
      <c r="G307" t="s">
        <v>140</v>
      </c>
      <c r="H307" t="s">
        <v>163</v>
      </c>
      <c r="I307" t="s">
        <v>165</v>
      </c>
      <c r="J307" t="s">
        <v>165</v>
      </c>
      <c r="K307" t="s">
        <v>165</v>
      </c>
      <c r="L307" t="s">
        <v>163</v>
      </c>
      <c r="M307" t="s">
        <v>161</v>
      </c>
      <c r="N307">
        <v>10.72</v>
      </c>
      <c r="O307" t="s">
        <v>163</v>
      </c>
      <c r="P307" t="s">
        <v>163</v>
      </c>
      <c r="Q307" t="s">
        <v>163</v>
      </c>
      <c r="R307" t="s">
        <v>163</v>
      </c>
      <c r="S307" t="s">
        <v>163</v>
      </c>
      <c r="T307" t="s">
        <v>163</v>
      </c>
      <c r="U307" t="s">
        <v>163</v>
      </c>
      <c r="V307" t="s">
        <v>163</v>
      </c>
      <c r="W307" t="s">
        <v>165</v>
      </c>
      <c r="X307" t="s">
        <v>165</v>
      </c>
      <c r="Y307" t="s">
        <v>163</v>
      </c>
      <c r="Z307" t="s">
        <v>163</v>
      </c>
      <c r="AA307">
        <v>1</v>
      </c>
      <c r="AB307">
        <v>2</v>
      </c>
      <c r="AC307">
        <v>0</v>
      </c>
      <c r="AD307" t="s">
        <v>163</v>
      </c>
      <c r="AE307" t="s">
        <v>163</v>
      </c>
      <c r="AF307" t="s">
        <v>163</v>
      </c>
      <c r="AG307" t="s">
        <v>163</v>
      </c>
      <c r="AH307" t="s">
        <v>163</v>
      </c>
      <c r="AI307" t="s">
        <v>163</v>
      </c>
      <c r="AJ307" t="s">
        <v>163</v>
      </c>
      <c r="AK307">
        <v>3</v>
      </c>
      <c r="AL307">
        <v>4</v>
      </c>
      <c r="AM307" t="s">
        <v>163</v>
      </c>
      <c r="AN307">
        <v>1</v>
      </c>
      <c r="AO307">
        <v>1</v>
      </c>
      <c r="AP307">
        <v>2</v>
      </c>
      <c r="AQ307">
        <v>2</v>
      </c>
      <c r="AR307">
        <v>5</v>
      </c>
      <c r="AS307">
        <v>6</v>
      </c>
    </row>
    <row r="308" spans="1:45" x14ac:dyDescent="0.35">
      <c r="A308" s="337">
        <v>46266</v>
      </c>
      <c r="B308" s="337">
        <v>46274</v>
      </c>
      <c r="C308" s="337">
        <v>816</v>
      </c>
      <c r="D308" t="s">
        <v>128</v>
      </c>
      <c r="E308" s="339">
        <v>0.83333333333333337</v>
      </c>
      <c r="F308">
        <v>2</v>
      </c>
      <c r="G308" t="s">
        <v>140</v>
      </c>
      <c r="H308" t="s">
        <v>163</v>
      </c>
      <c r="I308" t="s">
        <v>165</v>
      </c>
      <c r="J308" t="s">
        <v>165</v>
      </c>
      <c r="K308" t="s">
        <v>165</v>
      </c>
      <c r="L308" t="s">
        <v>163</v>
      </c>
      <c r="M308" t="s">
        <v>161</v>
      </c>
      <c r="N308">
        <v>10.8</v>
      </c>
      <c r="O308" t="s">
        <v>163</v>
      </c>
      <c r="P308" t="s">
        <v>163</v>
      </c>
      <c r="Q308" t="s">
        <v>163</v>
      </c>
      <c r="R308" t="s">
        <v>163</v>
      </c>
      <c r="S308" t="s">
        <v>163</v>
      </c>
      <c r="T308" t="s">
        <v>163</v>
      </c>
      <c r="U308" t="s">
        <v>163</v>
      </c>
      <c r="V308" t="s">
        <v>163</v>
      </c>
      <c r="W308" t="s">
        <v>165</v>
      </c>
      <c r="X308" t="s">
        <v>165</v>
      </c>
      <c r="Y308">
        <v>1</v>
      </c>
      <c r="Z308" t="s">
        <v>163</v>
      </c>
      <c r="AA308">
        <v>1</v>
      </c>
      <c r="AB308">
        <v>2</v>
      </c>
      <c r="AC308">
        <v>0</v>
      </c>
      <c r="AD308" t="s">
        <v>163</v>
      </c>
      <c r="AE308" t="s">
        <v>163</v>
      </c>
      <c r="AF308" t="s">
        <v>163</v>
      </c>
      <c r="AG308" t="s">
        <v>163</v>
      </c>
      <c r="AH308" t="s">
        <v>163</v>
      </c>
      <c r="AI308" t="s">
        <v>163</v>
      </c>
      <c r="AJ308" t="s">
        <v>163</v>
      </c>
      <c r="AK308">
        <v>3</v>
      </c>
      <c r="AL308">
        <v>4</v>
      </c>
      <c r="AM308" t="s">
        <v>163</v>
      </c>
      <c r="AN308">
        <v>1</v>
      </c>
      <c r="AO308">
        <v>1</v>
      </c>
      <c r="AP308">
        <v>2</v>
      </c>
      <c r="AQ308">
        <v>2</v>
      </c>
      <c r="AR308">
        <v>5</v>
      </c>
      <c r="AS308">
        <v>6</v>
      </c>
    </row>
    <row r="309" spans="1:45" x14ac:dyDescent="0.35">
      <c r="A309" s="337">
        <v>46266</v>
      </c>
      <c r="B309" s="337">
        <v>46274</v>
      </c>
      <c r="C309" s="337">
        <v>816</v>
      </c>
      <c r="D309" t="s">
        <v>128</v>
      </c>
      <c r="E309" s="339">
        <v>0.79166666666666663</v>
      </c>
      <c r="F309">
        <v>2</v>
      </c>
      <c r="G309" t="s">
        <v>140</v>
      </c>
      <c r="H309" t="s">
        <v>163</v>
      </c>
      <c r="I309" t="s">
        <v>165</v>
      </c>
      <c r="J309" t="s">
        <v>165</v>
      </c>
      <c r="K309" t="s">
        <v>165</v>
      </c>
      <c r="L309" t="s">
        <v>163</v>
      </c>
      <c r="M309" t="s">
        <v>161</v>
      </c>
      <c r="N309">
        <v>10.92</v>
      </c>
      <c r="O309" t="s">
        <v>163</v>
      </c>
      <c r="P309" t="s">
        <v>163</v>
      </c>
      <c r="Q309" t="s">
        <v>163</v>
      </c>
      <c r="R309" t="s">
        <v>163</v>
      </c>
      <c r="S309" t="s">
        <v>163</v>
      </c>
      <c r="T309" t="s">
        <v>163</v>
      </c>
      <c r="U309" t="s">
        <v>163</v>
      </c>
      <c r="V309" t="s">
        <v>163</v>
      </c>
      <c r="W309" t="s">
        <v>165</v>
      </c>
      <c r="X309" t="s">
        <v>165</v>
      </c>
      <c r="Y309">
        <v>1</v>
      </c>
      <c r="Z309" t="s">
        <v>163</v>
      </c>
      <c r="AA309">
        <v>1</v>
      </c>
      <c r="AB309">
        <v>2</v>
      </c>
      <c r="AC309">
        <v>0</v>
      </c>
      <c r="AD309" t="s">
        <v>163</v>
      </c>
      <c r="AE309" t="s">
        <v>163</v>
      </c>
      <c r="AF309" t="s">
        <v>163</v>
      </c>
      <c r="AG309" t="s">
        <v>163</v>
      </c>
      <c r="AH309" t="s">
        <v>163</v>
      </c>
      <c r="AI309" t="s">
        <v>163</v>
      </c>
      <c r="AJ309" t="s">
        <v>163</v>
      </c>
      <c r="AK309">
        <v>3</v>
      </c>
      <c r="AL309">
        <v>4</v>
      </c>
      <c r="AM309" t="s">
        <v>163</v>
      </c>
      <c r="AN309">
        <v>1</v>
      </c>
      <c r="AO309">
        <v>1</v>
      </c>
      <c r="AP309">
        <v>2</v>
      </c>
      <c r="AQ309">
        <v>2</v>
      </c>
      <c r="AR309">
        <v>5</v>
      </c>
      <c r="AS309">
        <v>6</v>
      </c>
    </row>
    <row r="310" spans="1:45" x14ac:dyDescent="0.35">
      <c r="A310" s="337">
        <v>46266</v>
      </c>
      <c r="B310" s="337">
        <v>46274</v>
      </c>
      <c r="C310" s="337">
        <v>816</v>
      </c>
      <c r="D310" t="s">
        <v>128</v>
      </c>
      <c r="E310" s="339">
        <v>0.75</v>
      </c>
      <c r="F310">
        <v>2</v>
      </c>
      <c r="G310" t="s">
        <v>140</v>
      </c>
      <c r="H310" t="s">
        <v>163</v>
      </c>
      <c r="I310" t="s">
        <v>165</v>
      </c>
      <c r="J310" t="s">
        <v>165</v>
      </c>
      <c r="K310" t="s">
        <v>165</v>
      </c>
      <c r="L310" t="s">
        <v>163</v>
      </c>
      <c r="M310" t="s">
        <v>161</v>
      </c>
      <c r="N310">
        <v>10.83</v>
      </c>
      <c r="O310">
        <v>9.68</v>
      </c>
      <c r="P310">
        <v>0.45</v>
      </c>
      <c r="Q310">
        <v>53.9</v>
      </c>
      <c r="R310" t="s">
        <v>163</v>
      </c>
      <c r="S310" t="s">
        <v>163</v>
      </c>
      <c r="T310">
        <v>27</v>
      </c>
      <c r="U310" t="s">
        <v>163</v>
      </c>
      <c r="V310" t="s">
        <v>163</v>
      </c>
      <c r="W310" t="s">
        <v>165</v>
      </c>
      <c r="X310" t="s">
        <v>165</v>
      </c>
      <c r="Y310">
        <v>1</v>
      </c>
      <c r="Z310" t="s">
        <v>163</v>
      </c>
      <c r="AA310">
        <v>1</v>
      </c>
      <c r="AB310">
        <v>2</v>
      </c>
      <c r="AC310">
        <v>0</v>
      </c>
      <c r="AD310">
        <v>0</v>
      </c>
      <c r="AE310">
        <v>2</v>
      </c>
      <c r="AF310">
        <v>0</v>
      </c>
      <c r="AG310" t="s">
        <v>163</v>
      </c>
      <c r="AH310" t="s">
        <v>163</v>
      </c>
      <c r="AI310">
        <v>2</v>
      </c>
      <c r="AJ310" t="s">
        <v>163</v>
      </c>
      <c r="AK310">
        <v>7</v>
      </c>
      <c r="AL310">
        <v>11</v>
      </c>
      <c r="AM310" t="s">
        <v>163</v>
      </c>
      <c r="AN310">
        <v>1</v>
      </c>
      <c r="AO310">
        <v>1</v>
      </c>
      <c r="AP310">
        <v>2</v>
      </c>
      <c r="AQ310">
        <v>2</v>
      </c>
      <c r="AR310">
        <v>9</v>
      </c>
      <c r="AS310">
        <v>13</v>
      </c>
    </row>
    <row r="311" spans="1:45" x14ac:dyDescent="0.35">
      <c r="A311" s="337">
        <v>46266</v>
      </c>
      <c r="B311" s="337">
        <v>46274</v>
      </c>
      <c r="C311" s="337">
        <v>816</v>
      </c>
      <c r="D311" t="s">
        <v>128</v>
      </c>
      <c r="E311" s="339">
        <v>0.66666666666666663</v>
      </c>
      <c r="F311">
        <v>2</v>
      </c>
      <c r="G311" t="s">
        <v>141</v>
      </c>
      <c r="H311" t="s">
        <v>163</v>
      </c>
      <c r="I311" t="s">
        <v>165</v>
      </c>
      <c r="J311" t="s">
        <v>165</v>
      </c>
      <c r="K311" t="s">
        <v>165</v>
      </c>
      <c r="L311" t="s">
        <v>163</v>
      </c>
      <c r="M311" t="s">
        <v>161</v>
      </c>
      <c r="N311">
        <v>10.73</v>
      </c>
      <c r="O311" t="s">
        <v>163</v>
      </c>
      <c r="P311" t="s">
        <v>163</v>
      </c>
      <c r="Q311" t="s">
        <v>163</v>
      </c>
      <c r="R311" t="s">
        <v>163</v>
      </c>
      <c r="S311" t="s">
        <v>163</v>
      </c>
      <c r="T311" t="s">
        <v>163</v>
      </c>
      <c r="U311" t="s">
        <v>163</v>
      </c>
      <c r="V311" t="s">
        <v>163</v>
      </c>
      <c r="W311" t="s">
        <v>165</v>
      </c>
      <c r="X311" t="s">
        <v>165</v>
      </c>
      <c r="Y311" t="s">
        <v>163</v>
      </c>
      <c r="Z311" t="s">
        <v>163</v>
      </c>
      <c r="AA311">
        <v>1</v>
      </c>
      <c r="AB311">
        <v>2</v>
      </c>
      <c r="AC311">
        <v>0</v>
      </c>
      <c r="AD311" t="s">
        <v>163</v>
      </c>
      <c r="AE311" t="s">
        <v>163</v>
      </c>
      <c r="AF311" t="s">
        <v>163</v>
      </c>
      <c r="AG311" t="s">
        <v>163</v>
      </c>
      <c r="AH311" t="s">
        <v>163</v>
      </c>
      <c r="AI311" t="s">
        <v>163</v>
      </c>
      <c r="AJ311" t="s">
        <v>163</v>
      </c>
      <c r="AK311">
        <v>3</v>
      </c>
      <c r="AL311">
        <v>4</v>
      </c>
      <c r="AM311" t="s">
        <v>163</v>
      </c>
      <c r="AN311">
        <v>1</v>
      </c>
      <c r="AO311">
        <v>1</v>
      </c>
      <c r="AP311">
        <v>2</v>
      </c>
      <c r="AQ311">
        <v>2</v>
      </c>
      <c r="AR311">
        <v>5</v>
      </c>
      <c r="AS311">
        <v>6</v>
      </c>
    </row>
    <row r="312" spans="1:45" x14ac:dyDescent="0.35">
      <c r="A312" s="337">
        <v>46266</v>
      </c>
      <c r="B312" s="337">
        <v>46274</v>
      </c>
      <c r="C312" s="337">
        <v>816</v>
      </c>
      <c r="D312" t="s">
        <v>128</v>
      </c>
      <c r="E312" s="339">
        <v>0.625</v>
      </c>
      <c r="F312">
        <v>2</v>
      </c>
      <c r="G312" t="s">
        <v>141</v>
      </c>
      <c r="H312" t="s">
        <v>163</v>
      </c>
      <c r="I312" t="s">
        <v>165</v>
      </c>
      <c r="J312" t="s">
        <v>165</v>
      </c>
      <c r="K312" t="s">
        <v>165</v>
      </c>
      <c r="L312" t="s">
        <v>163</v>
      </c>
      <c r="M312" t="s">
        <v>161</v>
      </c>
      <c r="N312">
        <v>10.55</v>
      </c>
      <c r="O312" t="s">
        <v>163</v>
      </c>
      <c r="P312" t="s">
        <v>163</v>
      </c>
      <c r="Q312" t="s">
        <v>163</v>
      </c>
      <c r="R312" t="s">
        <v>163</v>
      </c>
      <c r="S312" t="s">
        <v>163</v>
      </c>
      <c r="T312" t="s">
        <v>163</v>
      </c>
      <c r="U312" t="s">
        <v>163</v>
      </c>
      <c r="V312" t="s">
        <v>163</v>
      </c>
      <c r="W312" t="s">
        <v>165</v>
      </c>
      <c r="X312" t="s">
        <v>165</v>
      </c>
      <c r="Y312">
        <v>1</v>
      </c>
      <c r="Z312" t="s">
        <v>163</v>
      </c>
      <c r="AA312">
        <v>1</v>
      </c>
      <c r="AB312">
        <v>2</v>
      </c>
      <c r="AC312">
        <v>0</v>
      </c>
      <c r="AD312" t="s">
        <v>163</v>
      </c>
      <c r="AE312" t="s">
        <v>163</v>
      </c>
      <c r="AF312" t="s">
        <v>163</v>
      </c>
      <c r="AG312" t="s">
        <v>163</v>
      </c>
      <c r="AH312" t="s">
        <v>163</v>
      </c>
      <c r="AI312" t="s">
        <v>163</v>
      </c>
      <c r="AJ312" t="s">
        <v>163</v>
      </c>
      <c r="AK312">
        <v>3</v>
      </c>
      <c r="AL312">
        <v>4</v>
      </c>
      <c r="AM312" t="s">
        <v>163</v>
      </c>
      <c r="AN312">
        <v>1</v>
      </c>
      <c r="AO312">
        <v>1</v>
      </c>
      <c r="AP312">
        <v>2</v>
      </c>
      <c r="AQ312">
        <v>2</v>
      </c>
      <c r="AR312">
        <v>5</v>
      </c>
      <c r="AS312">
        <v>6</v>
      </c>
    </row>
    <row r="313" spans="1:45" x14ac:dyDescent="0.35">
      <c r="A313" s="337">
        <v>46266</v>
      </c>
      <c r="B313" s="337">
        <v>46274</v>
      </c>
      <c r="C313" s="337">
        <v>816</v>
      </c>
      <c r="D313" t="s">
        <v>128</v>
      </c>
      <c r="E313" s="339">
        <v>0.58333333333333337</v>
      </c>
      <c r="F313">
        <v>2</v>
      </c>
      <c r="G313" t="s">
        <v>141</v>
      </c>
      <c r="H313" t="s">
        <v>163</v>
      </c>
      <c r="I313" t="s">
        <v>165</v>
      </c>
      <c r="J313" t="s">
        <v>165</v>
      </c>
      <c r="K313" t="s">
        <v>165</v>
      </c>
      <c r="L313" t="s">
        <v>163</v>
      </c>
      <c r="M313" t="s">
        <v>161</v>
      </c>
      <c r="N313">
        <v>10.81</v>
      </c>
      <c r="O313" t="s">
        <v>163</v>
      </c>
      <c r="P313" t="s">
        <v>163</v>
      </c>
      <c r="Q313" t="s">
        <v>163</v>
      </c>
      <c r="R313" t="s">
        <v>163</v>
      </c>
      <c r="S313" t="s">
        <v>163</v>
      </c>
      <c r="T313" t="s">
        <v>163</v>
      </c>
      <c r="U313" t="s">
        <v>163</v>
      </c>
      <c r="V313" t="s">
        <v>163</v>
      </c>
      <c r="W313" t="s">
        <v>165</v>
      </c>
      <c r="X313" t="s">
        <v>165</v>
      </c>
      <c r="Y313">
        <v>1</v>
      </c>
      <c r="Z313" t="s">
        <v>163</v>
      </c>
      <c r="AA313">
        <v>1</v>
      </c>
      <c r="AB313">
        <v>2</v>
      </c>
      <c r="AC313">
        <v>0</v>
      </c>
      <c r="AD313" t="s">
        <v>163</v>
      </c>
      <c r="AE313" t="s">
        <v>163</v>
      </c>
      <c r="AF313" t="s">
        <v>163</v>
      </c>
      <c r="AG313" t="s">
        <v>163</v>
      </c>
      <c r="AH313" t="s">
        <v>163</v>
      </c>
      <c r="AI313" t="s">
        <v>163</v>
      </c>
      <c r="AJ313" t="s">
        <v>163</v>
      </c>
      <c r="AK313">
        <v>3</v>
      </c>
      <c r="AL313">
        <v>4</v>
      </c>
      <c r="AM313" t="s">
        <v>163</v>
      </c>
      <c r="AN313">
        <v>1</v>
      </c>
      <c r="AO313">
        <v>1</v>
      </c>
      <c r="AP313">
        <v>2</v>
      </c>
      <c r="AQ313">
        <v>2</v>
      </c>
      <c r="AR313">
        <v>5</v>
      </c>
      <c r="AS313">
        <v>6</v>
      </c>
    </row>
    <row r="314" spans="1:45" x14ac:dyDescent="0.35">
      <c r="A314" s="337">
        <v>46266</v>
      </c>
      <c r="B314" s="337">
        <v>46274</v>
      </c>
      <c r="C314" s="337">
        <v>46270</v>
      </c>
      <c r="D314" t="s">
        <v>128</v>
      </c>
      <c r="E314" s="339">
        <v>0.83333333333333337</v>
      </c>
      <c r="F314">
        <v>1</v>
      </c>
      <c r="G314" t="s">
        <v>123</v>
      </c>
      <c r="H314">
        <v>0.02</v>
      </c>
      <c r="I314" t="s">
        <v>165</v>
      </c>
      <c r="J314" t="s">
        <v>165</v>
      </c>
      <c r="K314" t="s">
        <v>165</v>
      </c>
      <c r="L314" t="s">
        <v>163</v>
      </c>
      <c r="M314" t="s">
        <v>163</v>
      </c>
      <c r="N314">
        <v>12.44</v>
      </c>
      <c r="O314" t="s">
        <v>163</v>
      </c>
      <c r="P314" t="s">
        <v>163</v>
      </c>
      <c r="Q314" t="s">
        <v>163</v>
      </c>
      <c r="R314" t="s">
        <v>163</v>
      </c>
      <c r="S314" t="s">
        <v>163</v>
      </c>
      <c r="T314" t="s">
        <v>163</v>
      </c>
      <c r="U314" t="s">
        <v>163</v>
      </c>
      <c r="V314" t="s">
        <v>163</v>
      </c>
      <c r="W314" t="s">
        <v>165</v>
      </c>
      <c r="X314" t="s">
        <v>165</v>
      </c>
      <c r="Y314" t="s">
        <v>422</v>
      </c>
      <c r="Z314">
        <v>2</v>
      </c>
      <c r="AA314">
        <v>1</v>
      </c>
      <c r="AB314">
        <v>2</v>
      </c>
      <c r="AC314">
        <v>1</v>
      </c>
      <c r="AD314" t="s">
        <v>163</v>
      </c>
      <c r="AE314" t="s">
        <v>163</v>
      </c>
      <c r="AF314" t="s">
        <v>163</v>
      </c>
      <c r="AG314" t="s">
        <v>163</v>
      </c>
      <c r="AH314" t="s">
        <v>163</v>
      </c>
      <c r="AI314" t="s">
        <v>163</v>
      </c>
      <c r="AJ314" t="s">
        <v>163</v>
      </c>
      <c r="AK314">
        <v>6</v>
      </c>
      <c r="AL314">
        <v>6</v>
      </c>
      <c r="AM314" t="s">
        <v>163</v>
      </c>
      <c r="AN314">
        <v>1</v>
      </c>
      <c r="AO314">
        <v>1</v>
      </c>
      <c r="AP314">
        <v>2</v>
      </c>
      <c r="AQ314">
        <v>2</v>
      </c>
      <c r="AR314">
        <v>8</v>
      </c>
      <c r="AS314">
        <v>8</v>
      </c>
    </row>
    <row r="315" spans="1:45" x14ac:dyDescent="0.35">
      <c r="A315" s="337">
        <v>46266</v>
      </c>
      <c r="B315" s="337">
        <v>46274</v>
      </c>
      <c r="C315" s="337">
        <v>46270</v>
      </c>
      <c r="D315" t="s">
        <v>128</v>
      </c>
      <c r="E315" s="339">
        <v>0.79166666666666663</v>
      </c>
      <c r="F315">
        <v>1</v>
      </c>
      <c r="G315" t="s">
        <v>123</v>
      </c>
      <c r="H315">
        <v>0.02</v>
      </c>
      <c r="I315" t="s">
        <v>165</v>
      </c>
      <c r="J315" t="s">
        <v>165</v>
      </c>
      <c r="K315" t="s">
        <v>165</v>
      </c>
      <c r="L315" t="s">
        <v>163</v>
      </c>
      <c r="M315" t="s">
        <v>163</v>
      </c>
      <c r="N315">
        <v>12.48</v>
      </c>
      <c r="O315" t="s">
        <v>163</v>
      </c>
      <c r="P315" t="s">
        <v>163</v>
      </c>
      <c r="Q315" t="s">
        <v>163</v>
      </c>
      <c r="R315" t="s">
        <v>163</v>
      </c>
      <c r="S315" t="s">
        <v>163</v>
      </c>
      <c r="T315" t="s">
        <v>163</v>
      </c>
      <c r="U315" t="s">
        <v>163</v>
      </c>
      <c r="V315" t="s">
        <v>163</v>
      </c>
      <c r="W315" t="s">
        <v>165</v>
      </c>
      <c r="X315" t="s">
        <v>165</v>
      </c>
      <c r="Y315" t="s">
        <v>422</v>
      </c>
      <c r="Z315">
        <v>2</v>
      </c>
      <c r="AA315">
        <v>1</v>
      </c>
      <c r="AB315">
        <v>2</v>
      </c>
      <c r="AC315">
        <v>1</v>
      </c>
      <c r="AD315" t="s">
        <v>163</v>
      </c>
      <c r="AE315" t="s">
        <v>163</v>
      </c>
      <c r="AF315" t="s">
        <v>163</v>
      </c>
      <c r="AG315" t="s">
        <v>163</v>
      </c>
      <c r="AH315" t="s">
        <v>163</v>
      </c>
      <c r="AI315" t="s">
        <v>163</v>
      </c>
      <c r="AJ315" t="s">
        <v>163</v>
      </c>
      <c r="AK315">
        <v>6</v>
      </c>
      <c r="AL315">
        <v>6</v>
      </c>
      <c r="AM315" t="s">
        <v>163</v>
      </c>
      <c r="AN315">
        <v>1</v>
      </c>
      <c r="AO315">
        <v>1</v>
      </c>
      <c r="AP315">
        <v>2</v>
      </c>
      <c r="AQ315">
        <v>2</v>
      </c>
      <c r="AR315">
        <v>8</v>
      </c>
      <c r="AS315">
        <v>8</v>
      </c>
    </row>
    <row r="316" spans="1:45" x14ac:dyDescent="0.35">
      <c r="A316" s="337">
        <v>46266</v>
      </c>
      <c r="B316" s="337">
        <v>46274</v>
      </c>
      <c r="C316" s="337">
        <v>46270</v>
      </c>
      <c r="D316" t="s">
        <v>128</v>
      </c>
      <c r="E316" s="339">
        <v>0.75</v>
      </c>
      <c r="F316">
        <v>1</v>
      </c>
      <c r="G316" t="s">
        <v>123</v>
      </c>
      <c r="H316">
        <v>0.02</v>
      </c>
      <c r="I316" t="s">
        <v>163</v>
      </c>
      <c r="J316" t="s">
        <v>165</v>
      </c>
      <c r="K316" t="s">
        <v>165</v>
      </c>
      <c r="L316" t="s">
        <v>163</v>
      </c>
      <c r="M316" t="s">
        <v>163</v>
      </c>
      <c r="N316">
        <v>12.64</v>
      </c>
      <c r="O316" t="s">
        <v>163</v>
      </c>
      <c r="P316" t="s">
        <v>163</v>
      </c>
      <c r="Q316" t="s">
        <v>163</v>
      </c>
      <c r="R316" t="s">
        <v>163</v>
      </c>
      <c r="S316" t="s">
        <v>163</v>
      </c>
      <c r="T316" t="s">
        <v>163</v>
      </c>
      <c r="U316" t="s">
        <v>163</v>
      </c>
      <c r="V316" t="s">
        <v>163</v>
      </c>
      <c r="W316" t="s">
        <v>165</v>
      </c>
      <c r="X316" t="s">
        <v>165</v>
      </c>
      <c r="Y316" t="s">
        <v>422</v>
      </c>
      <c r="Z316">
        <v>2</v>
      </c>
      <c r="AA316" t="s">
        <v>163</v>
      </c>
      <c r="AB316">
        <v>2</v>
      </c>
      <c r="AC316">
        <v>1</v>
      </c>
      <c r="AD316" t="s">
        <v>163</v>
      </c>
      <c r="AE316" t="s">
        <v>163</v>
      </c>
      <c r="AF316" t="s">
        <v>163</v>
      </c>
      <c r="AG316" t="s">
        <v>163</v>
      </c>
      <c r="AH316" t="s">
        <v>163</v>
      </c>
      <c r="AI316" t="s">
        <v>163</v>
      </c>
      <c r="AJ316" t="s">
        <v>163</v>
      </c>
      <c r="AK316">
        <v>5</v>
      </c>
      <c r="AL316">
        <v>5</v>
      </c>
      <c r="AM316" t="s">
        <v>163</v>
      </c>
      <c r="AN316">
        <v>1</v>
      </c>
      <c r="AO316">
        <v>1</v>
      </c>
      <c r="AP316">
        <v>2</v>
      </c>
      <c r="AQ316">
        <v>2</v>
      </c>
      <c r="AR316">
        <v>7</v>
      </c>
      <c r="AS316">
        <v>7</v>
      </c>
    </row>
    <row r="317" spans="1:45" x14ac:dyDescent="0.35">
      <c r="A317" s="337">
        <v>46266</v>
      </c>
      <c r="B317" s="337">
        <v>46274</v>
      </c>
      <c r="C317" s="337">
        <v>46270</v>
      </c>
      <c r="D317" t="s">
        <v>128</v>
      </c>
      <c r="E317" s="339">
        <v>0.66666666666666663</v>
      </c>
      <c r="F317">
        <v>1</v>
      </c>
      <c r="G317" t="s">
        <v>123</v>
      </c>
      <c r="H317">
        <v>0.01</v>
      </c>
      <c r="I317" t="s">
        <v>165</v>
      </c>
      <c r="J317" t="s">
        <v>165</v>
      </c>
      <c r="K317" t="s">
        <v>165</v>
      </c>
      <c r="L317" t="s">
        <v>163</v>
      </c>
      <c r="M317" t="s">
        <v>163</v>
      </c>
      <c r="N317">
        <v>12.18</v>
      </c>
      <c r="O317" t="s">
        <v>163</v>
      </c>
      <c r="P317" t="s">
        <v>163</v>
      </c>
      <c r="Q317" t="s">
        <v>163</v>
      </c>
      <c r="R317" t="s">
        <v>163</v>
      </c>
      <c r="S317" t="s">
        <v>163</v>
      </c>
      <c r="T317" t="s">
        <v>163</v>
      </c>
      <c r="U317" t="s">
        <v>163</v>
      </c>
      <c r="V317" t="s">
        <v>163</v>
      </c>
      <c r="W317" t="s">
        <v>165</v>
      </c>
      <c r="X317" t="s">
        <v>165</v>
      </c>
      <c r="Y317" t="s">
        <v>422</v>
      </c>
      <c r="Z317">
        <v>2</v>
      </c>
      <c r="AA317">
        <v>1</v>
      </c>
      <c r="AB317">
        <v>2</v>
      </c>
      <c r="AC317">
        <v>1</v>
      </c>
      <c r="AD317" t="s">
        <v>163</v>
      </c>
      <c r="AE317" t="s">
        <v>163</v>
      </c>
      <c r="AF317" t="s">
        <v>163</v>
      </c>
      <c r="AG317" t="s">
        <v>163</v>
      </c>
      <c r="AH317" t="s">
        <v>163</v>
      </c>
      <c r="AI317" t="s">
        <v>163</v>
      </c>
      <c r="AJ317" t="s">
        <v>163</v>
      </c>
      <c r="AK317">
        <v>6</v>
      </c>
      <c r="AL317">
        <v>6</v>
      </c>
      <c r="AM317" t="s">
        <v>163</v>
      </c>
      <c r="AN317">
        <v>1</v>
      </c>
      <c r="AO317">
        <v>1</v>
      </c>
      <c r="AP317">
        <v>2</v>
      </c>
      <c r="AQ317">
        <v>2</v>
      </c>
      <c r="AR317">
        <v>8</v>
      </c>
      <c r="AS317">
        <v>8</v>
      </c>
    </row>
    <row r="318" spans="1:45" x14ac:dyDescent="0.35">
      <c r="A318" s="337">
        <v>46266</v>
      </c>
      <c r="B318" s="337">
        <v>46274</v>
      </c>
      <c r="C318" s="337">
        <v>46270</v>
      </c>
      <c r="D318" t="s">
        <v>128</v>
      </c>
      <c r="E318" s="339">
        <v>0.625</v>
      </c>
      <c r="F318">
        <v>1</v>
      </c>
      <c r="G318" t="s">
        <v>123</v>
      </c>
      <c r="H318">
        <v>0.01</v>
      </c>
      <c r="I318" t="s">
        <v>165</v>
      </c>
      <c r="J318" t="s">
        <v>165</v>
      </c>
      <c r="K318" t="s">
        <v>165</v>
      </c>
      <c r="L318" t="s">
        <v>163</v>
      </c>
      <c r="M318" t="s">
        <v>163</v>
      </c>
      <c r="N318">
        <v>12.25</v>
      </c>
      <c r="O318" t="s">
        <v>163</v>
      </c>
      <c r="P318" t="s">
        <v>163</v>
      </c>
      <c r="Q318" t="s">
        <v>163</v>
      </c>
      <c r="R318" t="s">
        <v>163</v>
      </c>
      <c r="S318" t="s">
        <v>163</v>
      </c>
      <c r="T318" t="s">
        <v>163</v>
      </c>
      <c r="U318" t="s">
        <v>163</v>
      </c>
      <c r="V318" t="s">
        <v>163</v>
      </c>
      <c r="W318" t="s">
        <v>165</v>
      </c>
      <c r="X318" t="s">
        <v>165</v>
      </c>
      <c r="Y318" t="s">
        <v>422</v>
      </c>
      <c r="Z318">
        <v>2</v>
      </c>
      <c r="AA318">
        <v>1</v>
      </c>
      <c r="AB318">
        <v>2</v>
      </c>
      <c r="AC318">
        <v>1</v>
      </c>
      <c r="AD318" t="s">
        <v>163</v>
      </c>
      <c r="AE318" t="s">
        <v>163</v>
      </c>
      <c r="AF318" t="s">
        <v>163</v>
      </c>
      <c r="AG318" t="s">
        <v>163</v>
      </c>
      <c r="AH318" t="s">
        <v>163</v>
      </c>
      <c r="AI318" t="s">
        <v>163</v>
      </c>
      <c r="AJ318" t="s">
        <v>163</v>
      </c>
      <c r="AK318">
        <v>6</v>
      </c>
      <c r="AL318">
        <v>6</v>
      </c>
      <c r="AM318" t="s">
        <v>163</v>
      </c>
      <c r="AN318">
        <v>1</v>
      </c>
      <c r="AO318">
        <v>1</v>
      </c>
      <c r="AP318">
        <v>2</v>
      </c>
      <c r="AQ318">
        <v>2</v>
      </c>
      <c r="AR318">
        <v>8</v>
      </c>
      <c r="AS318">
        <v>8</v>
      </c>
    </row>
    <row r="319" spans="1:45" x14ac:dyDescent="0.35">
      <c r="A319" s="337">
        <v>46266</v>
      </c>
      <c r="B319" s="337">
        <v>46274</v>
      </c>
      <c r="C319" s="337">
        <v>46270</v>
      </c>
      <c r="D319" t="s">
        <v>128</v>
      </c>
      <c r="E319" s="339">
        <v>0.58333333333333337</v>
      </c>
      <c r="F319">
        <v>1</v>
      </c>
      <c r="G319" t="s">
        <v>123</v>
      </c>
      <c r="H319">
        <v>0.01</v>
      </c>
      <c r="I319" t="s">
        <v>165</v>
      </c>
      <c r="J319" t="s">
        <v>165</v>
      </c>
      <c r="K319" t="s">
        <v>165</v>
      </c>
      <c r="L319" t="s">
        <v>163</v>
      </c>
      <c r="M319" t="s">
        <v>163</v>
      </c>
      <c r="N319">
        <v>12.4</v>
      </c>
      <c r="O319">
        <v>11.55</v>
      </c>
      <c r="P319" t="s">
        <v>163</v>
      </c>
      <c r="Q319" t="s">
        <v>163</v>
      </c>
      <c r="R319" t="s">
        <v>163</v>
      </c>
      <c r="S319" t="s">
        <v>163</v>
      </c>
      <c r="T319">
        <v>32.299999999999997</v>
      </c>
      <c r="U319" t="s">
        <v>163</v>
      </c>
      <c r="V319" t="s">
        <v>163</v>
      </c>
      <c r="W319" t="s">
        <v>165</v>
      </c>
      <c r="X319" t="s">
        <v>165</v>
      </c>
      <c r="Y319" t="s">
        <v>422</v>
      </c>
      <c r="Z319">
        <v>2</v>
      </c>
      <c r="AA319">
        <v>1</v>
      </c>
      <c r="AB319">
        <v>2</v>
      </c>
      <c r="AC319">
        <v>1</v>
      </c>
      <c r="AD319">
        <v>0</v>
      </c>
      <c r="AE319" t="s">
        <v>163</v>
      </c>
      <c r="AF319" t="s">
        <v>163</v>
      </c>
      <c r="AG319" t="s">
        <v>163</v>
      </c>
      <c r="AH319" t="s">
        <v>163</v>
      </c>
      <c r="AI319">
        <v>2</v>
      </c>
      <c r="AJ319" t="s">
        <v>163</v>
      </c>
      <c r="AK319">
        <v>8</v>
      </c>
      <c r="AL319">
        <v>9</v>
      </c>
      <c r="AM319" t="s">
        <v>163</v>
      </c>
      <c r="AN319">
        <v>1</v>
      </c>
      <c r="AO319">
        <v>1</v>
      </c>
      <c r="AP319">
        <v>2</v>
      </c>
      <c r="AQ319">
        <v>2</v>
      </c>
      <c r="AR319">
        <v>10</v>
      </c>
      <c r="AS319">
        <v>11</v>
      </c>
    </row>
    <row r="320" spans="1:45" x14ac:dyDescent="0.35">
      <c r="A320" s="337">
        <v>46266</v>
      </c>
      <c r="B320" s="337">
        <v>46274</v>
      </c>
      <c r="C320" s="337">
        <v>46270</v>
      </c>
      <c r="D320" t="s">
        <v>125</v>
      </c>
      <c r="E320" t="s">
        <v>273</v>
      </c>
      <c r="F320">
        <v>3</v>
      </c>
      <c r="G320" t="s">
        <v>119</v>
      </c>
      <c r="H320">
        <v>0.01</v>
      </c>
      <c r="I320" t="s">
        <v>165</v>
      </c>
      <c r="J320" t="s">
        <v>165</v>
      </c>
      <c r="K320" t="s">
        <v>165</v>
      </c>
      <c r="L320" t="s">
        <v>161</v>
      </c>
      <c r="M320" t="s">
        <v>161</v>
      </c>
      <c r="N320">
        <v>11.14</v>
      </c>
      <c r="O320" t="s">
        <v>163</v>
      </c>
      <c r="P320" t="s">
        <v>163</v>
      </c>
      <c r="Q320" t="s">
        <v>163</v>
      </c>
      <c r="R320" t="s">
        <v>163</v>
      </c>
      <c r="S320" t="s">
        <v>163</v>
      </c>
      <c r="T320" t="s">
        <v>163</v>
      </c>
      <c r="U320" t="s">
        <v>163</v>
      </c>
      <c r="V320" t="s">
        <v>163</v>
      </c>
      <c r="W320" t="s">
        <v>165</v>
      </c>
      <c r="X320" t="s">
        <v>165</v>
      </c>
      <c r="Y320" t="s">
        <v>163</v>
      </c>
      <c r="Z320">
        <v>2</v>
      </c>
      <c r="AA320">
        <v>1</v>
      </c>
      <c r="AB320">
        <v>2</v>
      </c>
      <c r="AC320">
        <v>0</v>
      </c>
      <c r="AD320" t="s">
        <v>163</v>
      </c>
      <c r="AE320" t="s">
        <v>163</v>
      </c>
      <c r="AF320" t="s">
        <v>163</v>
      </c>
      <c r="AG320" t="s">
        <v>163</v>
      </c>
      <c r="AH320" t="s">
        <v>163</v>
      </c>
      <c r="AI320" t="s">
        <v>163</v>
      </c>
      <c r="AJ320" t="s">
        <v>163</v>
      </c>
      <c r="AK320">
        <v>5</v>
      </c>
      <c r="AL320">
        <v>6</v>
      </c>
      <c r="AM320" t="s">
        <v>163</v>
      </c>
      <c r="AN320">
        <v>1</v>
      </c>
      <c r="AO320">
        <v>1</v>
      </c>
      <c r="AP320">
        <v>2</v>
      </c>
      <c r="AQ320">
        <v>2</v>
      </c>
      <c r="AR320">
        <v>7</v>
      </c>
      <c r="AS320">
        <v>8</v>
      </c>
    </row>
    <row r="321" spans="1:45" x14ac:dyDescent="0.35">
      <c r="A321" s="337">
        <v>46266</v>
      </c>
      <c r="B321" s="337">
        <v>46274</v>
      </c>
      <c r="C321" s="337">
        <v>46270</v>
      </c>
      <c r="D321" t="s">
        <v>125</v>
      </c>
      <c r="E321" t="s">
        <v>239</v>
      </c>
      <c r="F321">
        <v>3</v>
      </c>
      <c r="G321" t="s">
        <v>119</v>
      </c>
      <c r="H321">
        <v>0.01</v>
      </c>
      <c r="I321" t="s">
        <v>165</v>
      </c>
      <c r="J321" t="s">
        <v>165</v>
      </c>
      <c r="K321" t="s">
        <v>165</v>
      </c>
      <c r="L321" t="s">
        <v>161</v>
      </c>
      <c r="M321" t="s">
        <v>161</v>
      </c>
      <c r="N321">
        <v>12.13</v>
      </c>
      <c r="O321" t="s">
        <v>163</v>
      </c>
      <c r="P321" t="s">
        <v>163</v>
      </c>
      <c r="Q321" t="s">
        <v>163</v>
      </c>
      <c r="R321" t="s">
        <v>163</v>
      </c>
      <c r="S321" t="s">
        <v>163</v>
      </c>
      <c r="T321" t="s">
        <v>163</v>
      </c>
      <c r="U321" t="s">
        <v>163</v>
      </c>
      <c r="V321" t="s">
        <v>163</v>
      </c>
      <c r="W321" t="s">
        <v>165</v>
      </c>
      <c r="X321" t="s">
        <v>165</v>
      </c>
      <c r="Y321" t="s">
        <v>163</v>
      </c>
      <c r="Z321">
        <v>2</v>
      </c>
      <c r="AA321">
        <v>1</v>
      </c>
      <c r="AB321">
        <v>2</v>
      </c>
      <c r="AC321">
        <v>1</v>
      </c>
      <c r="AD321" t="s">
        <v>163</v>
      </c>
      <c r="AE321" t="s">
        <v>163</v>
      </c>
      <c r="AF321" t="s">
        <v>163</v>
      </c>
      <c r="AG321" t="s">
        <v>163</v>
      </c>
      <c r="AH321" t="s">
        <v>163</v>
      </c>
      <c r="AI321" t="s">
        <v>163</v>
      </c>
      <c r="AJ321" t="s">
        <v>163</v>
      </c>
      <c r="AK321">
        <v>6</v>
      </c>
      <c r="AL321">
        <v>6</v>
      </c>
      <c r="AM321" t="s">
        <v>163</v>
      </c>
      <c r="AN321">
        <v>1</v>
      </c>
      <c r="AO321">
        <v>1</v>
      </c>
      <c r="AP321">
        <v>2</v>
      </c>
      <c r="AQ321">
        <v>2</v>
      </c>
      <c r="AR321">
        <v>8</v>
      </c>
      <c r="AS321">
        <v>8</v>
      </c>
    </row>
    <row r="322" spans="1:45" x14ac:dyDescent="0.35">
      <c r="A322" s="337">
        <v>46266</v>
      </c>
      <c r="B322" s="337">
        <v>46274</v>
      </c>
      <c r="C322" s="337">
        <v>46270</v>
      </c>
      <c r="D322" t="s">
        <v>125</v>
      </c>
      <c r="E322" t="s">
        <v>326</v>
      </c>
      <c r="F322">
        <v>3</v>
      </c>
      <c r="G322" t="s">
        <v>119</v>
      </c>
      <c r="H322">
        <v>0.01</v>
      </c>
      <c r="I322" t="s">
        <v>165</v>
      </c>
      <c r="J322" t="s">
        <v>165</v>
      </c>
      <c r="K322" t="s">
        <v>165</v>
      </c>
      <c r="L322" t="s">
        <v>161</v>
      </c>
      <c r="M322" t="s">
        <v>161</v>
      </c>
      <c r="N322">
        <v>12.05</v>
      </c>
      <c r="O322">
        <v>12.45</v>
      </c>
      <c r="P322">
        <v>0.6</v>
      </c>
      <c r="Q322">
        <v>63.9</v>
      </c>
      <c r="R322" t="s">
        <v>163</v>
      </c>
      <c r="S322" t="s">
        <v>163</v>
      </c>
      <c r="T322">
        <v>34.799999999999997</v>
      </c>
      <c r="U322" t="s">
        <v>163</v>
      </c>
      <c r="V322" t="s">
        <v>163</v>
      </c>
      <c r="W322" t="s">
        <v>165</v>
      </c>
      <c r="X322" t="s">
        <v>165</v>
      </c>
      <c r="Y322" t="s">
        <v>415</v>
      </c>
      <c r="Z322">
        <v>2</v>
      </c>
      <c r="AA322">
        <v>1</v>
      </c>
      <c r="AB322">
        <v>2</v>
      </c>
      <c r="AC322">
        <v>1</v>
      </c>
      <c r="AD322">
        <v>1</v>
      </c>
      <c r="AE322">
        <v>2</v>
      </c>
      <c r="AF322">
        <v>0</v>
      </c>
      <c r="AG322" t="s">
        <v>163</v>
      </c>
      <c r="AH322" t="s">
        <v>163</v>
      </c>
      <c r="AI322">
        <v>2</v>
      </c>
      <c r="AJ322" t="s">
        <v>163</v>
      </c>
      <c r="AK322">
        <v>11</v>
      </c>
      <c r="AL322">
        <v>13</v>
      </c>
      <c r="AM322" t="s">
        <v>163</v>
      </c>
      <c r="AN322">
        <v>1</v>
      </c>
      <c r="AO322">
        <v>1</v>
      </c>
      <c r="AP322">
        <v>2</v>
      </c>
      <c r="AQ322">
        <v>2</v>
      </c>
      <c r="AR322">
        <v>13</v>
      </c>
      <c r="AS322">
        <v>15</v>
      </c>
    </row>
    <row r="323" spans="1:45" x14ac:dyDescent="0.35">
      <c r="A323" s="337">
        <v>46266</v>
      </c>
      <c r="B323" s="337">
        <v>46274</v>
      </c>
      <c r="C323" s="339">
        <v>0</v>
      </c>
      <c r="D323" t="s">
        <v>125</v>
      </c>
      <c r="E323" t="s">
        <v>238</v>
      </c>
      <c r="F323">
        <v>2</v>
      </c>
      <c r="G323" t="s">
        <v>141</v>
      </c>
      <c r="H323" t="s">
        <v>163</v>
      </c>
      <c r="I323" t="s">
        <v>165</v>
      </c>
      <c r="J323" t="s">
        <v>165</v>
      </c>
      <c r="K323" t="s">
        <v>165</v>
      </c>
      <c r="L323" t="s">
        <v>163</v>
      </c>
      <c r="M323" t="s">
        <v>161</v>
      </c>
      <c r="N323">
        <v>10.83</v>
      </c>
      <c r="O323" t="s">
        <v>163</v>
      </c>
      <c r="P323" t="s">
        <v>163</v>
      </c>
      <c r="Q323" t="s">
        <v>163</v>
      </c>
      <c r="R323" t="s">
        <v>163</v>
      </c>
      <c r="S323" t="s">
        <v>163</v>
      </c>
      <c r="T323" t="s">
        <v>163</v>
      </c>
      <c r="U323" t="s">
        <v>163</v>
      </c>
      <c r="V323" t="s">
        <v>163</v>
      </c>
      <c r="W323" t="s">
        <v>165</v>
      </c>
      <c r="X323" t="s">
        <v>165</v>
      </c>
      <c r="Y323" t="s">
        <v>163</v>
      </c>
      <c r="Z323" t="s">
        <v>163</v>
      </c>
      <c r="AA323">
        <v>1</v>
      </c>
      <c r="AB323">
        <v>2</v>
      </c>
      <c r="AC323">
        <v>0</v>
      </c>
      <c r="AD323" t="s">
        <v>163</v>
      </c>
      <c r="AE323" t="s">
        <v>163</v>
      </c>
      <c r="AF323" t="s">
        <v>163</v>
      </c>
      <c r="AG323" t="s">
        <v>163</v>
      </c>
      <c r="AH323" t="s">
        <v>163</v>
      </c>
      <c r="AI323" t="s">
        <v>163</v>
      </c>
      <c r="AJ323" t="s">
        <v>163</v>
      </c>
      <c r="AK323">
        <v>3</v>
      </c>
      <c r="AL323">
        <v>4</v>
      </c>
      <c r="AM323" t="s">
        <v>163</v>
      </c>
      <c r="AN323">
        <v>1</v>
      </c>
      <c r="AO323">
        <v>1</v>
      </c>
      <c r="AP323">
        <v>2</v>
      </c>
      <c r="AQ323">
        <v>2</v>
      </c>
      <c r="AR323">
        <v>5</v>
      </c>
      <c r="AS323">
        <v>6</v>
      </c>
    </row>
    <row r="324" spans="1:45" x14ac:dyDescent="0.35">
      <c r="A324" s="337">
        <v>46266</v>
      </c>
      <c r="B324" s="337">
        <v>46274</v>
      </c>
      <c r="C324" s="339">
        <v>0</v>
      </c>
      <c r="D324" t="s">
        <v>125</v>
      </c>
      <c r="E324" t="s">
        <v>328</v>
      </c>
      <c r="F324">
        <v>2</v>
      </c>
      <c r="G324" t="s">
        <v>141</v>
      </c>
      <c r="H324" t="s">
        <v>163</v>
      </c>
      <c r="I324" t="s">
        <v>165</v>
      </c>
      <c r="J324" t="s">
        <v>165</v>
      </c>
      <c r="K324" t="s">
        <v>165</v>
      </c>
      <c r="L324" t="s">
        <v>163</v>
      </c>
      <c r="M324" t="s">
        <v>161</v>
      </c>
      <c r="N324">
        <v>10.98</v>
      </c>
      <c r="O324" t="s">
        <v>163</v>
      </c>
      <c r="P324" t="s">
        <v>163</v>
      </c>
      <c r="Q324" t="s">
        <v>163</v>
      </c>
      <c r="R324" t="s">
        <v>163</v>
      </c>
      <c r="S324" t="s">
        <v>163</v>
      </c>
      <c r="T324" t="s">
        <v>163</v>
      </c>
      <c r="U324" t="s">
        <v>163</v>
      </c>
      <c r="V324" t="s">
        <v>163</v>
      </c>
      <c r="W324" t="s">
        <v>165</v>
      </c>
      <c r="X324" t="s">
        <v>165</v>
      </c>
      <c r="Y324" t="s">
        <v>163</v>
      </c>
      <c r="Z324" t="s">
        <v>163</v>
      </c>
      <c r="AA324">
        <v>1</v>
      </c>
      <c r="AB324">
        <v>2</v>
      </c>
      <c r="AC324">
        <v>0</v>
      </c>
      <c r="AD324" t="s">
        <v>163</v>
      </c>
      <c r="AE324" t="s">
        <v>163</v>
      </c>
      <c r="AF324" t="s">
        <v>163</v>
      </c>
      <c r="AG324" t="s">
        <v>163</v>
      </c>
      <c r="AH324" t="s">
        <v>163</v>
      </c>
      <c r="AI324" t="s">
        <v>163</v>
      </c>
      <c r="AJ324" t="s">
        <v>163</v>
      </c>
      <c r="AK324">
        <v>3</v>
      </c>
      <c r="AL324">
        <v>4</v>
      </c>
      <c r="AM324" t="s">
        <v>163</v>
      </c>
      <c r="AN324">
        <v>1</v>
      </c>
      <c r="AO324">
        <v>1</v>
      </c>
      <c r="AP324">
        <v>2</v>
      </c>
      <c r="AQ324">
        <v>2</v>
      </c>
      <c r="AR324">
        <v>5</v>
      </c>
      <c r="AS324">
        <v>6</v>
      </c>
    </row>
    <row r="325" spans="1:45" x14ac:dyDescent="0.35">
      <c r="A325" s="337">
        <v>46266</v>
      </c>
      <c r="B325" s="337">
        <v>46274</v>
      </c>
      <c r="C325" s="339">
        <v>0</v>
      </c>
      <c r="D325" t="s">
        <v>125</v>
      </c>
      <c r="E325" t="s">
        <v>237</v>
      </c>
      <c r="F325">
        <v>2</v>
      </c>
      <c r="G325" t="s">
        <v>141</v>
      </c>
      <c r="H325" t="s">
        <v>163</v>
      </c>
      <c r="I325" t="s">
        <v>165</v>
      </c>
      <c r="J325" t="s">
        <v>165</v>
      </c>
      <c r="K325" t="s">
        <v>165</v>
      </c>
      <c r="L325" t="s">
        <v>163</v>
      </c>
      <c r="M325" t="s">
        <v>161</v>
      </c>
      <c r="N325">
        <v>11.06</v>
      </c>
      <c r="O325" t="s">
        <v>163</v>
      </c>
      <c r="P325" t="s">
        <v>163</v>
      </c>
      <c r="Q325" t="s">
        <v>163</v>
      </c>
      <c r="R325" t="s">
        <v>163</v>
      </c>
      <c r="S325" t="s">
        <v>163</v>
      </c>
      <c r="T325" t="s">
        <v>163</v>
      </c>
      <c r="U325" t="s">
        <v>163</v>
      </c>
      <c r="V325" t="s">
        <v>163</v>
      </c>
      <c r="W325" t="s">
        <v>165</v>
      </c>
      <c r="X325" t="s">
        <v>165</v>
      </c>
      <c r="Y325" t="s">
        <v>163</v>
      </c>
      <c r="Z325" t="s">
        <v>163</v>
      </c>
      <c r="AA325">
        <v>1</v>
      </c>
      <c r="AB325">
        <v>2</v>
      </c>
      <c r="AC325">
        <v>1</v>
      </c>
      <c r="AD325" t="s">
        <v>163</v>
      </c>
      <c r="AE325" t="s">
        <v>163</v>
      </c>
      <c r="AF325" t="s">
        <v>163</v>
      </c>
      <c r="AG325" t="s">
        <v>163</v>
      </c>
      <c r="AH325" t="s">
        <v>163</v>
      </c>
      <c r="AI325" t="s">
        <v>163</v>
      </c>
      <c r="AJ325" t="s">
        <v>163</v>
      </c>
      <c r="AK325">
        <v>4</v>
      </c>
      <c r="AL325">
        <v>4</v>
      </c>
      <c r="AM325" t="s">
        <v>163</v>
      </c>
      <c r="AN325">
        <v>1</v>
      </c>
      <c r="AO325">
        <v>1</v>
      </c>
      <c r="AP325">
        <v>2</v>
      </c>
      <c r="AQ325">
        <v>2</v>
      </c>
      <c r="AR325">
        <v>6</v>
      </c>
      <c r="AS325">
        <v>6</v>
      </c>
    </row>
    <row r="326" spans="1:45" x14ac:dyDescent="0.35">
      <c r="A326" s="337">
        <v>46266</v>
      </c>
      <c r="B326" s="337">
        <v>46274</v>
      </c>
      <c r="C326" s="339">
        <v>0</v>
      </c>
      <c r="D326" t="s">
        <v>125</v>
      </c>
      <c r="E326" t="s">
        <v>327</v>
      </c>
      <c r="F326">
        <v>2</v>
      </c>
      <c r="G326" t="s">
        <v>141</v>
      </c>
      <c r="H326" t="s">
        <v>163</v>
      </c>
      <c r="I326" t="s">
        <v>165</v>
      </c>
      <c r="J326" t="s">
        <v>165</v>
      </c>
      <c r="K326" t="s">
        <v>165</v>
      </c>
      <c r="L326" t="s">
        <v>163</v>
      </c>
      <c r="M326" t="s">
        <v>161</v>
      </c>
      <c r="N326">
        <v>11.18</v>
      </c>
      <c r="O326" t="s">
        <v>163</v>
      </c>
      <c r="P326" t="s">
        <v>163</v>
      </c>
      <c r="Q326" t="s">
        <v>163</v>
      </c>
      <c r="R326" t="s">
        <v>163</v>
      </c>
      <c r="S326" t="s">
        <v>163</v>
      </c>
      <c r="T326" t="s">
        <v>163</v>
      </c>
      <c r="U326" t="s">
        <v>163</v>
      </c>
      <c r="V326" t="s">
        <v>163</v>
      </c>
      <c r="W326" t="s">
        <v>165</v>
      </c>
      <c r="X326" t="s">
        <v>165</v>
      </c>
      <c r="Y326" t="s">
        <v>163</v>
      </c>
      <c r="Z326" t="s">
        <v>163</v>
      </c>
      <c r="AA326">
        <v>1</v>
      </c>
      <c r="AB326">
        <v>2</v>
      </c>
      <c r="AC326">
        <v>1</v>
      </c>
      <c r="AD326" t="s">
        <v>163</v>
      </c>
      <c r="AE326" t="s">
        <v>163</v>
      </c>
      <c r="AF326" t="s">
        <v>163</v>
      </c>
      <c r="AG326" t="s">
        <v>163</v>
      </c>
      <c r="AH326" t="s">
        <v>163</v>
      </c>
      <c r="AI326" t="s">
        <v>163</v>
      </c>
      <c r="AJ326" t="s">
        <v>163</v>
      </c>
      <c r="AK326">
        <v>4</v>
      </c>
      <c r="AL326">
        <v>4</v>
      </c>
      <c r="AM326" t="s">
        <v>163</v>
      </c>
      <c r="AN326">
        <v>1</v>
      </c>
      <c r="AO326">
        <v>1</v>
      </c>
      <c r="AP326">
        <v>2</v>
      </c>
      <c r="AQ326">
        <v>2</v>
      </c>
      <c r="AR326">
        <v>6</v>
      </c>
      <c r="AS326">
        <v>6</v>
      </c>
    </row>
    <row r="327" spans="1:45" x14ac:dyDescent="0.35">
      <c r="A327" s="337">
        <v>46266</v>
      </c>
      <c r="B327" s="337">
        <v>46274</v>
      </c>
      <c r="C327" s="339">
        <v>0</v>
      </c>
      <c r="D327" t="s">
        <v>125</v>
      </c>
      <c r="E327" t="s">
        <v>240</v>
      </c>
      <c r="F327">
        <v>2</v>
      </c>
      <c r="G327" t="s">
        <v>141</v>
      </c>
      <c r="H327" t="s">
        <v>163</v>
      </c>
      <c r="I327" t="s">
        <v>165</v>
      </c>
      <c r="J327" t="s">
        <v>165</v>
      </c>
      <c r="K327" t="s">
        <v>165</v>
      </c>
      <c r="L327" t="s">
        <v>163</v>
      </c>
      <c r="M327" t="s">
        <v>161</v>
      </c>
      <c r="N327">
        <v>11.08</v>
      </c>
      <c r="O327" t="s">
        <v>163</v>
      </c>
      <c r="P327" t="s">
        <v>163</v>
      </c>
      <c r="Q327" t="s">
        <v>163</v>
      </c>
      <c r="R327" t="s">
        <v>163</v>
      </c>
      <c r="S327" t="s">
        <v>163</v>
      </c>
      <c r="T327" t="s">
        <v>163</v>
      </c>
      <c r="U327" t="s">
        <v>163</v>
      </c>
      <c r="V327" t="s">
        <v>163</v>
      </c>
      <c r="W327" t="s">
        <v>165</v>
      </c>
      <c r="X327" t="s">
        <v>165</v>
      </c>
      <c r="Y327" t="s">
        <v>163</v>
      </c>
      <c r="Z327" t="s">
        <v>163</v>
      </c>
      <c r="AA327">
        <v>1</v>
      </c>
      <c r="AB327">
        <v>2</v>
      </c>
      <c r="AC327">
        <v>1</v>
      </c>
      <c r="AD327" t="s">
        <v>163</v>
      </c>
      <c r="AE327" t="s">
        <v>163</v>
      </c>
      <c r="AF327" t="s">
        <v>163</v>
      </c>
      <c r="AG327" t="s">
        <v>163</v>
      </c>
      <c r="AH327" t="s">
        <v>163</v>
      </c>
      <c r="AI327" t="s">
        <v>163</v>
      </c>
      <c r="AJ327" t="s">
        <v>163</v>
      </c>
      <c r="AK327">
        <v>4</v>
      </c>
      <c r="AL327">
        <v>4</v>
      </c>
      <c r="AM327" t="s">
        <v>163</v>
      </c>
      <c r="AN327">
        <v>1</v>
      </c>
      <c r="AO327">
        <v>1</v>
      </c>
      <c r="AP327">
        <v>2</v>
      </c>
      <c r="AQ327">
        <v>2</v>
      </c>
      <c r="AR327">
        <v>6</v>
      </c>
      <c r="AS327">
        <v>6</v>
      </c>
    </row>
    <row r="328" spans="1:45" x14ac:dyDescent="0.35">
      <c r="A328" s="337">
        <v>46266</v>
      </c>
      <c r="B328" s="337">
        <v>46274</v>
      </c>
      <c r="C328" s="339">
        <v>0</v>
      </c>
      <c r="D328" t="s">
        <v>125</v>
      </c>
      <c r="E328" t="s">
        <v>273</v>
      </c>
      <c r="F328">
        <v>2</v>
      </c>
      <c r="G328" t="s">
        <v>141</v>
      </c>
      <c r="H328" t="s">
        <v>163</v>
      </c>
      <c r="I328" t="s">
        <v>165</v>
      </c>
      <c r="J328" t="s">
        <v>165</v>
      </c>
      <c r="K328" t="s">
        <v>165</v>
      </c>
      <c r="L328" t="s">
        <v>163</v>
      </c>
      <c r="M328" t="s">
        <v>161</v>
      </c>
      <c r="N328">
        <v>11.73</v>
      </c>
      <c r="O328" t="s">
        <v>163</v>
      </c>
      <c r="P328" t="s">
        <v>163</v>
      </c>
      <c r="Q328" t="s">
        <v>163</v>
      </c>
      <c r="R328" t="s">
        <v>163</v>
      </c>
      <c r="S328" t="s">
        <v>163</v>
      </c>
      <c r="T328" t="s">
        <v>163</v>
      </c>
      <c r="U328" t="s">
        <v>163</v>
      </c>
      <c r="V328" t="s">
        <v>163</v>
      </c>
      <c r="W328" t="s">
        <v>165</v>
      </c>
      <c r="X328" t="s">
        <v>165</v>
      </c>
      <c r="Y328" t="s">
        <v>163</v>
      </c>
      <c r="Z328" t="s">
        <v>163</v>
      </c>
      <c r="AA328">
        <v>1</v>
      </c>
      <c r="AB328">
        <v>2</v>
      </c>
      <c r="AC328">
        <v>1</v>
      </c>
      <c r="AD328" t="s">
        <v>163</v>
      </c>
      <c r="AE328" t="s">
        <v>163</v>
      </c>
      <c r="AF328" t="s">
        <v>163</v>
      </c>
      <c r="AG328" t="s">
        <v>163</v>
      </c>
      <c r="AH328" t="s">
        <v>163</v>
      </c>
      <c r="AI328" t="s">
        <v>163</v>
      </c>
      <c r="AJ328" t="s">
        <v>163</v>
      </c>
      <c r="AK328">
        <v>4</v>
      </c>
      <c r="AL328">
        <v>4</v>
      </c>
      <c r="AM328" t="s">
        <v>163</v>
      </c>
      <c r="AN328">
        <v>1</v>
      </c>
      <c r="AO328">
        <v>1</v>
      </c>
      <c r="AP328">
        <v>2</v>
      </c>
      <c r="AQ328">
        <v>2</v>
      </c>
      <c r="AR328">
        <v>6</v>
      </c>
      <c r="AS328">
        <v>6</v>
      </c>
    </row>
    <row r="329" spans="1:45" x14ac:dyDescent="0.35">
      <c r="A329" s="337">
        <v>46266</v>
      </c>
      <c r="B329" s="337">
        <v>46274</v>
      </c>
      <c r="C329" s="337">
        <v>813</v>
      </c>
      <c r="D329" t="s">
        <v>125</v>
      </c>
      <c r="E329" t="s">
        <v>326</v>
      </c>
      <c r="F329">
        <v>2</v>
      </c>
      <c r="G329" t="s">
        <v>141</v>
      </c>
      <c r="H329" t="s">
        <v>163</v>
      </c>
      <c r="I329" t="s">
        <v>165</v>
      </c>
      <c r="J329" t="s">
        <v>165</v>
      </c>
      <c r="K329" t="s">
        <v>165</v>
      </c>
      <c r="L329" t="s">
        <v>163</v>
      </c>
      <c r="M329" t="s">
        <v>161</v>
      </c>
      <c r="N329">
        <v>10.59</v>
      </c>
      <c r="O329" t="s">
        <v>163</v>
      </c>
      <c r="P329" t="s">
        <v>163</v>
      </c>
      <c r="Q329" t="s">
        <v>163</v>
      </c>
      <c r="R329" t="s">
        <v>163</v>
      </c>
      <c r="S329" t="s">
        <v>163</v>
      </c>
      <c r="T329" t="s">
        <v>163</v>
      </c>
      <c r="U329" t="s">
        <v>163</v>
      </c>
      <c r="V329" t="s">
        <v>163</v>
      </c>
      <c r="W329" t="s">
        <v>165</v>
      </c>
      <c r="X329" t="s">
        <v>165</v>
      </c>
      <c r="Y329" t="s">
        <v>163</v>
      </c>
      <c r="Z329" t="s">
        <v>163</v>
      </c>
      <c r="AA329">
        <v>1</v>
      </c>
      <c r="AB329">
        <v>2</v>
      </c>
      <c r="AC329">
        <v>0</v>
      </c>
      <c r="AD329" t="s">
        <v>163</v>
      </c>
      <c r="AE329" t="s">
        <v>163</v>
      </c>
      <c r="AF329" t="s">
        <v>163</v>
      </c>
      <c r="AG329" t="s">
        <v>163</v>
      </c>
      <c r="AH329" t="s">
        <v>163</v>
      </c>
      <c r="AI329" t="s">
        <v>163</v>
      </c>
      <c r="AJ329" t="s">
        <v>163</v>
      </c>
      <c r="AK329">
        <v>3</v>
      </c>
      <c r="AL329">
        <v>4</v>
      </c>
      <c r="AM329" t="s">
        <v>163</v>
      </c>
      <c r="AN329">
        <v>1</v>
      </c>
      <c r="AO329">
        <v>1</v>
      </c>
      <c r="AP329">
        <v>2</v>
      </c>
      <c r="AQ329">
        <v>2</v>
      </c>
      <c r="AR329">
        <v>5</v>
      </c>
      <c r="AS329">
        <v>6</v>
      </c>
    </row>
    <row r="330" spans="1:45" x14ac:dyDescent="0.35">
      <c r="A330" s="337">
        <v>46266</v>
      </c>
      <c r="B330" s="337">
        <v>46274</v>
      </c>
      <c r="C330" s="337">
        <v>46270</v>
      </c>
      <c r="D330" t="s">
        <v>125</v>
      </c>
      <c r="E330" t="s">
        <v>328</v>
      </c>
      <c r="F330">
        <v>1</v>
      </c>
      <c r="G330" t="s">
        <v>123</v>
      </c>
      <c r="H330" t="s">
        <v>163</v>
      </c>
      <c r="I330" t="s">
        <v>165</v>
      </c>
      <c r="J330" t="s">
        <v>165</v>
      </c>
      <c r="K330" t="s">
        <v>165</v>
      </c>
      <c r="L330" t="s">
        <v>163</v>
      </c>
      <c r="M330" t="s">
        <v>163</v>
      </c>
      <c r="N330">
        <v>12.4</v>
      </c>
      <c r="O330" t="s">
        <v>163</v>
      </c>
      <c r="P330" t="s">
        <v>163</v>
      </c>
      <c r="Q330" t="s">
        <v>163</v>
      </c>
      <c r="R330" t="s">
        <v>163</v>
      </c>
      <c r="S330" t="s">
        <v>163</v>
      </c>
      <c r="T330" t="s">
        <v>163</v>
      </c>
      <c r="U330" t="s">
        <v>163</v>
      </c>
      <c r="V330" t="s">
        <v>163</v>
      </c>
      <c r="W330" t="s">
        <v>165</v>
      </c>
      <c r="X330" t="s">
        <v>165</v>
      </c>
      <c r="Y330" t="s">
        <v>163</v>
      </c>
      <c r="Z330" t="s">
        <v>163</v>
      </c>
      <c r="AA330">
        <v>1</v>
      </c>
      <c r="AB330">
        <v>2</v>
      </c>
      <c r="AC330">
        <v>1</v>
      </c>
      <c r="AD330" t="s">
        <v>163</v>
      </c>
      <c r="AE330" t="s">
        <v>163</v>
      </c>
      <c r="AF330" t="s">
        <v>163</v>
      </c>
      <c r="AG330" t="s">
        <v>163</v>
      </c>
      <c r="AH330" t="s">
        <v>163</v>
      </c>
      <c r="AI330" t="s">
        <v>163</v>
      </c>
      <c r="AJ330" t="s">
        <v>163</v>
      </c>
      <c r="AK330">
        <v>4</v>
      </c>
      <c r="AL330">
        <v>4</v>
      </c>
      <c r="AM330" t="s">
        <v>163</v>
      </c>
      <c r="AN330">
        <v>1</v>
      </c>
      <c r="AO330">
        <v>1</v>
      </c>
      <c r="AP330">
        <v>2</v>
      </c>
      <c r="AQ330">
        <v>2</v>
      </c>
      <c r="AR330">
        <v>6</v>
      </c>
      <c r="AS330">
        <v>6</v>
      </c>
    </row>
    <row r="331" spans="1:45" x14ac:dyDescent="0.35">
      <c r="A331" s="337">
        <v>46266</v>
      </c>
      <c r="B331" s="337">
        <v>46274</v>
      </c>
      <c r="C331" s="337">
        <v>46270</v>
      </c>
      <c r="D331" t="s">
        <v>125</v>
      </c>
      <c r="E331" t="s">
        <v>237</v>
      </c>
      <c r="F331">
        <v>1</v>
      </c>
      <c r="G331" t="s">
        <v>123</v>
      </c>
      <c r="H331" t="s">
        <v>163</v>
      </c>
      <c r="I331" t="s">
        <v>165</v>
      </c>
      <c r="J331" t="s">
        <v>165</v>
      </c>
      <c r="K331" t="s">
        <v>165</v>
      </c>
      <c r="L331" t="s">
        <v>163</v>
      </c>
      <c r="M331" t="s">
        <v>163</v>
      </c>
      <c r="N331">
        <v>12.38</v>
      </c>
      <c r="O331" t="s">
        <v>163</v>
      </c>
      <c r="P331" t="s">
        <v>163</v>
      </c>
      <c r="Q331" t="s">
        <v>163</v>
      </c>
      <c r="R331" t="s">
        <v>163</v>
      </c>
      <c r="S331" t="s">
        <v>163</v>
      </c>
      <c r="T331" t="s">
        <v>163</v>
      </c>
      <c r="U331" t="s">
        <v>163</v>
      </c>
      <c r="V331" t="s">
        <v>163</v>
      </c>
      <c r="W331" t="s">
        <v>165</v>
      </c>
      <c r="X331" t="s">
        <v>165</v>
      </c>
      <c r="Y331" t="s">
        <v>163</v>
      </c>
      <c r="Z331" t="s">
        <v>163</v>
      </c>
      <c r="AA331">
        <v>1</v>
      </c>
      <c r="AB331">
        <v>2</v>
      </c>
      <c r="AC331">
        <v>1</v>
      </c>
      <c r="AD331" t="s">
        <v>163</v>
      </c>
      <c r="AE331" t="s">
        <v>163</v>
      </c>
      <c r="AF331" t="s">
        <v>163</v>
      </c>
      <c r="AG331" t="s">
        <v>163</v>
      </c>
      <c r="AH331" t="s">
        <v>163</v>
      </c>
      <c r="AI331" t="s">
        <v>163</v>
      </c>
      <c r="AJ331" t="s">
        <v>163</v>
      </c>
      <c r="AK331">
        <v>4</v>
      </c>
      <c r="AL331">
        <v>4</v>
      </c>
      <c r="AM331" t="s">
        <v>163</v>
      </c>
      <c r="AN331">
        <v>1</v>
      </c>
      <c r="AO331">
        <v>1</v>
      </c>
      <c r="AP331">
        <v>2</v>
      </c>
      <c r="AQ331">
        <v>2</v>
      </c>
      <c r="AR331">
        <v>6</v>
      </c>
      <c r="AS331">
        <v>6</v>
      </c>
    </row>
    <row r="332" spans="1:45" x14ac:dyDescent="0.35">
      <c r="A332" s="337">
        <v>46266</v>
      </c>
      <c r="B332" s="337">
        <v>46274</v>
      </c>
      <c r="C332" s="337">
        <v>46270</v>
      </c>
      <c r="D332" t="s">
        <v>125</v>
      </c>
      <c r="E332" t="s">
        <v>327</v>
      </c>
      <c r="F332">
        <v>1</v>
      </c>
      <c r="G332" t="s">
        <v>123</v>
      </c>
      <c r="H332" t="s">
        <v>163</v>
      </c>
      <c r="I332" t="s">
        <v>163</v>
      </c>
      <c r="J332" t="s">
        <v>165</v>
      </c>
      <c r="K332" t="s">
        <v>165</v>
      </c>
      <c r="L332" t="s">
        <v>163</v>
      </c>
      <c r="M332" t="s">
        <v>163</v>
      </c>
      <c r="N332">
        <v>11.22</v>
      </c>
      <c r="O332">
        <v>11.67</v>
      </c>
      <c r="P332">
        <v>0.5</v>
      </c>
      <c r="Q332">
        <v>63.7</v>
      </c>
      <c r="R332" t="s">
        <v>163</v>
      </c>
      <c r="S332" t="s">
        <v>163</v>
      </c>
      <c r="T332">
        <v>32.4</v>
      </c>
      <c r="U332" t="s">
        <v>163</v>
      </c>
      <c r="V332" t="s">
        <v>163</v>
      </c>
      <c r="W332" t="s">
        <v>165</v>
      </c>
      <c r="X332" t="s">
        <v>165</v>
      </c>
      <c r="Y332" t="s">
        <v>417</v>
      </c>
      <c r="Z332" t="s">
        <v>163</v>
      </c>
      <c r="AA332" t="s">
        <v>163</v>
      </c>
      <c r="AB332">
        <v>2</v>
      </c>
      <c r="AC332">
        <v>1</v>
      </c>
      <c r="AD332">
        <v>0</v>
      </c>
      <c r="AE332">
        <v>2</v>
      </c>
      <c r="AF332">
        <v>2</v>
      </c>
      <c r="AG332" t="s">
        <v>163</v>
      </c>
      <c r="AH332" t="s">
        <v>163</v>
      </c>
      <c r="AI332">
        <v>2</v>
      </c>
      <c r="AJ332" t="s">
        <v>163</v>
      </c>
      <c r="AK332">
        <v>9</v>
      </c>
      <c r="AL332">
        <v>10</v>
      </c>
      <c r="AM332" t="s">
        <v>163</v>
      </c>
      <c r="AN332">
        <v>1</v>
      </c>
      <c r="AO332">
        <v>1</v>
      </c>
      <c r="AP332">
        <v>2</v>
      </c>
      <c r="AQ332">
        <v>2</v>
      </c>
      <c r="AR332">
        <v>11</v>
      </c>
      <c r="AS332">
        <v>12</v>
      </c>
    </row>
    <row r="333" spans="1:45" x14ac:dyDescent="0.35">
      <c r="A333" s="337">
        <v>46266</v>
      </c>
      <c r="B333" s="337">
        <v>46274</v>
      </c>
      <c r="C333" s="337">
        <v>46269</v>
      </c>
      <c r="D333" t="s">
        <v>125</v>
      </c>
      <c r="E333" t="s">
        <v>240</v>
      </c>
      <c r="F333">
        <v>1</v>
      </c>
      <c r="G333" t="s">
        <v>158</v>
      </c>
      <c r="H333" t="s">
        <v>163</v>
      </c>
      <c r="I333" t="s">
        <v>165</v>
      </c>
      <c r="J333" t="s">
        <v>165</v>
      </c>
      <c r="K333" t="s">
        <v>165</v>
      </c>
      <c r="L333" t="s">
        <v>163</v>
      </c>
      <c r="M333" t="s">
        <v>163</v>
      </c>
      <c r="N333" t="s">
        <v>163</v>
      </c>
      <c r="O333" t="s">
        <v>163</v>
      </c>
      <c r="P333" t="s">
        <v>163</v>
      </c>
      <c r="Q333" t="s">
        <v>163</v>
      </c>
      <c r="R333" t="s">
        <v>163</v>
      </c>
      <c r="S333" t="s">
        <v>163</v>
      </c>
      <c r="T333" t="s">
        <v>163</v>
      </c>
      <c r="U333" t="s">
        <v>163</v>
      </c>
      <c r="V333" t="s">
        <v>163</v>
      </c>
      <c r="W333" t="s">
        <v>165</v>
      </c>
      <c r="X333" t="s">
        <v>165</v>
      </c>
      <c r="Y333" t="s">
        <v>163</v>
      </c>
      <c r="Z333" t="s">
        <v>163</v>
      </c>
      <c r="AA333">
        <v>1</v>
      </c>
      <c r="AB333">
        <v>2</v>
      </c>
      <c r="AC333" t="s">
        <v>163</v>
      </c>
      <c r="AD333" t="s">
        <v>163</v>
      </c>
      <c r="AE333" t="s">
        <v>163</v>
      </c>
      <c r="AF333" t="s">
        <v>163</v>
      </c>
      <c r="AG333" t="s">
        <v>163</v>
      </c>
      <c r="AH333" t="s">
        <v>163</v>
      </c>
      <c r="AI333" t="s">
        <v>163</v>
      </c>
      <c r="AJ333" t="s">
        <v>163</v>
      </c>
      <c r="AK333">
        <v>3</v>
      </c>
      <c r="AL333">
        <v>3</v>
      </c>
      <c r="AM333" t="s">
        <v>163</v>
      </c>
      <c r="AN333">
        <v>1</v>
      </c>
      <c r="AO333">
        <v>1</v>
      </c>
      <c r="AP333">
        <v>2</v>
      </c>
      <c r="AQ333">
        <v>2</v>
      </c>
      <c r="AR333">
        <v>5</v>
      </c>
      <c r="AS333">
        <v>5</v>
      </c>
    </row>
    <row r="334" spans="1:45" x14ac:dyDescent="0.35">
      <c r="A334" s="337">
        <v>46266</v>
      </c>
      <c r="B334" s="337">
        <v>46274</v>
      </c>
      <c r="C334" s="337">
        <v>46269</v>
      </c>
      <c r="D334" t="s">
        <v>125</v>
      </c>
      <c r="E334" t="s">
        <v>273</v>
      </c>
      <c r="F334">
        <v>1</v>
      </c>
      <c r="G334" t="s">
        <v>158</v>
      </c>
      <c r="H334" t="s">
        <v>163</v>
      </c>
      <c r="I334" t="s">
        <v>165</v>
      </c>
      <c r="J334" t="s">
        <v>165</v>
      </c>
      <c r="K334" t="s">
        <v>165</v>
      </c>
      <c r="L334" t="s">
        <v>163</v>
      </c>
      <c r="M334" t="s">
        <v>163</v>
      </c>
      <c r="N334">
        <v>11.07</v>
      </c>
      <c r="O334" t="s">
        <v>163</v>
      </c>
      <c r="P334" t="s">
        <v>163</v>
      </c>
      <c r="Q334" t="s">
        <v>163</v>
      </c>
      <c r="R334" t="s">
        <v>163</v>
      </c>
      <c r="S334" t="s">
        <v>163</v>
      </c>
      <c r="T334" t="s">
        <v>163</v>
      </c>
      <c r="U334" t="s">
        <v>163</v>
      </c>
      <c r="V334" t="s">
        <v>163</v>
      </c>
      <c r="W334" t="s">
        <v>165</v>
      </c>
      <c r="X334" t="s">
        <v>165</v>
      </c>
      <c r="Y334" t="s">
        <v>163</v>
      </c>
      <c r="Z334" t="s">
        <v>163</v>
      </c>
      <c r="AA334">
        <v>1</v>
      </c>
      <c r="AB334">
        <v>2</v>
      </c>
      <c r="AC334">
        <v>1</v>
      </c>
      <c r="AD334" t="s">
        <v>163</v>
      </c>
      <c r="AE334" t="s">
        <v>163</v>
      </c>
      <c r="AF334" t="s">
        <v>163</v>
      </c>
      <c r="AG334" t="s">
        <v>163</v>
      </c>
      <c r="AH334" t="s">
        <v>163</v>
      </c>
      <c r="AI334" t="s">
        <v>163</v>
      </c>
      <c r="AJ334" t="s">
        <v>163</v>
      </c>
      <c r="AK334">
        <v>4</v>
      </c>
      <c r="AL334">
        <v>4</v>
      </c>
      <c r="AM334" t="s">
        <v>163</v>
      </c>
      <c r="AN334">
        <v>1</v>
      </c>
      <c r="AO334">
        <v>1</v>
      </c>
      <c r="AP334">
        <v>2</v>
      </c>
      <c r="AQ334">
        <v>2</v>
      </c>
      <c r="AR334">
        <v>6</v>
      </c>
      <c r="AS334">
        <v>6</v>
      </c>
    </row>
    <row r="335" spans="1:45" x14ac:dyDescent="0.35">
      <c r="A335" s="337">
        <v>46266</v>
      </c>
      <c r="B335" s="337">
        <v>46274</v>
      </c>
      <c r="C335" s="337">
        <v>46269</v>
      </c>
      <c r="D335" t="s">
        <v>125</v>
      </c>
      <c r="E335" t="s">
        <v>239</v>
      </c>
      <c r="F335">
        <v>1</v>
      </c>
      <c r="G335" t="s">
        <v>158</v>
      </c>
      <c r="H335" t="s">
        <v>163</v>
      </c>
      <c r="I335" t="s">
        <v>165</v>
      </c>
      <c r="J335" t="s">
        <v>165</v>
      </c>
      <c r="K335" t="s">
        <v>165</v>
      </c>
      <c r="L335" t="s">
        <v>163</v>
      </c>
      <c r="M335" t="s">
        <v>163</v>
      </c>
      <c r="N335">
        <v>11.03</v>
      </c>
      <c r="O335" t="s">
        <v>163</v>
      </c>
      <c r="P335" t="s">
        <v>163</v>
      </c>
      <c r="Q335" t="s">
        <v>163</v>
      </c>
      <c r="R335" t="s">
        <v>163</v>
      </c>
      <c r="S335" t="s">
        <v>163</v>
      </c>
      <c r="T335" t="s">
        <v>163</v>
      </c>
      <c r="U335" t="s">
        <v>163</v>
      </c>
      <c r="V335" t="s">
        <v>163</v>
      </c>
      <c r="W335" t="s">
        <v>165</v>
      </c>
      <c r="X335" t="s">
        <v>165</v>
      </c>
      <c r="Y335" t="s">
        <v>163</v>
      </c>
      <c r="Z335" t="s">
        <v>163</v>
      </c>
      <c r="AA335">
        <v>1</v>
      </c>
      <c r="AB335">
        <v>2</v>
      </c>
      <c r="AC335">
        <v>1</v>
      </c>
      <c r="AD335" t="s">
        <v>163</v>
      </c>
      <c r="AE335" t="s">
        <v>163</v>
      </c>
      <c r="AF335" t="s">
        <v>163</v>
      </c>
      <c r="AG335" t="s">
        <v>163</v>
      </c>
      <c r="AH335" t="s">
        <v>163</v>
      </c>
      <c r="AI335" t="s">
        <v>163</v>
      </c>
      <c r="AJ335" t="s">
        <v>163</v>
      </c>
      <c r="AK335">
        <v>4</v>
      </c>
      <c r="AL335">
        <v>4</v>
      </c>
      <c r="AM335" t="s">
        <v>163</v>
      </c>
      <c r="AN335">
        <v>1</v>
      </c>
      <c r="AO335">
        <v>1</v>
      </c>
      <c r="AP335">
        <v>2</v>
      </c>
      <c r="AQ335">
        <v>2</v>
      </c>
      <c r="AR335">
        <v>6</v>
      </c>
      <c r="AS335">
        <v>6</v>
      </c>
    </row>
    <row r="336" spans="1:45" x14ac:dyDescent="0.35">
      <c r="A336" s="337">
        <v>46266</v>
      </c>
      <c r="B336" s="337">
        <v>46274</v>
      </c>
      <c r="C336" s="337">
        <v>46269</v>
      </c>
      <c r="D336" t="s">
        <v>125</v>
      </c>
      <c r="E336" t="s">
        <v>326</v>
      </c>
      <c r="F336">
        <v>1</v>
      </c>
      <c r="G336" t="s">
        <v>158</v>
      </c>
      <c r="H336" t="s">
        <v>163</v>
      </c>
      <c r="I336" t="s">
        <v>165</v>
      </c>
      <c r="J336" t="s">
        <v>165</v>
      </c>
      <c r="K336" t="s">
        <v>165</v>
      </c>
      <c r="L336" t="s">
        <v>163</v>
      </c>
      <c r="M336" t="s">
        <v>163</v>
      </c>
      <c r="N336">
        <v>11.07</v>
      </c>
      <c r="O336">
        <v>9.59</v>
      </c>
      <c r="P336">
        <v>0.54</v>
      </c>
      <c r="Q336">
        <v>52.3</v>
      </c>
      <c r="R336" t="s">
        <v>163</v>
      </c>
      <c r="S336" t="s">
        <v>163</v>
      </c>
      <c r="T336">
        <v>26.2</v>
      </c>
      <c r="U336" t="s">
        <v>163</v>
      </c>
      <c r="V336" t="s">
        <v>163</v>
      </c>
      <c r="W336" t="s">
        <v>165</v>
      </c>
      <c r="X336" t="s">
        <v>165</v>
      </c>
      <c r="Y336">
        <v>1</v>
      </c>
      <c r="Z336" t="s">
        <v>163</v>
      </c>
      <c r="AA336">
        <v>1</v>
      </c>
      <c r="AB336">
        <v>2</v>
      </c>
      <c r="AC336">
        <v>1</v>
      </c>
      <c r="AD336">
        <v>1</v>
      </c>
      <c r="AE336">
        <v>2</v>
      </c>
      <c r="AF336">
        <v>0</v>
      </c>
      <c r="AG336" t="s">
        <v>163</v>
      </c>
      <c r="AH336" t="s">
        <v>163</v>
      </c>
      <c r="AI336">
        <v>2</v>
      </c>
      <c r="AJ336" t="s">
        <v>163</v>
      </c>
      <c r="AK336">
        <v>9</v>
      </c>
      <c r="AL336">
        <v>11</v>
      </c>
      <c r="AM336" t="s">
        <v>163</v>
      </c>
      <c r="AN336">
        <v>1</v>
      </c>
      <c r="AO336">
        <v>1</v>
      </c>
      <c r="AP336">
        <v>2</v>
      </c>
      <c r="AQ336">
        <v>2</v>
      </c>
      <c r="AR336">
        <v>11</v>
      </c>
      <c r="AS336">
        <v>13</v>
      </c>
    </row>
    <row r="337" spans="1:45" x14ac:dyDescent="0.35">
      <c r="A337" s="337">
        <v>46266</v>
      </c>
      <c r="B337" s="337">
        <v>46273</v>
      </c>
      <c r="C337" s="337">
        <v>46270</v>
      </c>
      <c r="D337" t="s">
        <v>130</v>
      </c>
      <c r="E337" s="338">
        <v>1.2083333333333333</v>
      </c>
      <c r="F337">
        <v>3</v>
      </c>
      <c r="G337" t="s">
        <v>119</v>
      </c>
      <c r="H337">
        <v>0.02</v>
      </c>
      <c r="I337" t="s">
        <v>165</v>
      </c>
      <c r="J337" t="s">
        <v>165</v>
      </c>
      <c r="K337" t="s">
        <v>165</v>
      </c>
      <c r="L337" t="s">
        <v>161</v>
      </c>
      <c r="M337" t="s">
        <v>161</v>
      </c>
      <c r="N337">
        <v>12.06</v>
      </c>
      <c r="O337" t="s">
        <v>163</v>
      </c>
      <c r="P337" t="s">
        <v>163</v>
      </c>
      <c r="Q337" t="s">
        <v>163</v>
      </c>
      <c r="R337" t="s">
        <v>163</v>
      </c>
      <c r="S337" t="s">
        <v>163</v>
      </c>
      <c r="T337" t="s">
        <v>163</v>
      </c>
      <c r="U337" t="s">
        <v>163</v>
      </c>
      <c r="V337" t="s">
        <v>163</v>
      </c>
      <c r="W337" t="s">
        <v>165</v>
      </c>
      <c r="X337" t="s">
        <v>165</v>
      </c>
      <c r="Y337" t="s">
        <v>423</v>
      </c>
      <c r="Z337">
        <v>2</v>
      </c>
      <c r="AA337">
        <v>1</v>
      </c>
      <c r="AB337">
        <v>2</v>
      </c>
      <c r="AC337">
        <v>1</v>
      </c>
      <c r="AD337" t="s">
        <v>163</v>
      </c>
      <c r="AE337" t="s">
        <v>163</v>
      </c>
      <c r="AF337" t="s">
        <v>163</v>
      </c>
      <c r="AG337" t="s">
        <v>163</v>
      </c>
      <c r="AH337" t="s">
        <v>163</v>
      </c>
      <c r="AI337" t="s">
        <v>163</v>
      </c>
      <c r="AJ337" t="s">
        <v>163</v>
      </c>
      <c r="AK337">
        <v>6</v>
      </c>
      <c r="AL337">
        <v>6</v>
      </c>
      <c r="AM337" t="s">
        <v>163</v>
      </c>
      <c r="AN337">
        <v>1</v>
      </c>
      <c r="AO337">
        <v>1</v>
      </c>
      <c r="AP337">
        <v>2</v>
      </c>
      <c r="AQ337">
        <v>2</v>
      </c>
      <c r="AR337">
        <v>8</v>
      </c>
      <c r="AS337">
        <v>8</v>
      </c>
    </row>
    <row r="338" spans="1:45" x14ac:dyDescent="0.35">
      <c r="A338" s="337">
        <v>46266</v>
      </c>
      <c r="B338" s="337">
        <v>46273</v>
      </c>
      <c r="C338" s="337">
        <v>46270</v>
      </c>
      <c r="D338" t="s">
        <v>130</v>
      </c>
      <c r="E338" s="338">
        <v>1.1666666666666667</v>
      </c>
      <c r="F338">
        <v>3</v>
      </c>
      <c r="G338" t="s">
        <v>119</v>
      </c>
      <c r="H338">
        <v>0.02</v>
      </c>
      <c r="I338" t="s">
        <v>165</v>
      </c>
      <c r="J338" t="s">
        <v>165</v>
      </c>
      <c r="K338" t="s">
        <v>165</v>
      </c>
      <c r="L338" t="s">
        <v>161</v>
      </c>
      <c r="M338" t="s">
        <v>161</v>
      </c>
      <c r="N338">
        <v>12.09</v>
      </c>
      <c r="O338" t="s">
        <v>163</v>
      </c>
      <c r="P338" t="s">
        <v>163</v>
      </c>
      <c r="Q338" t="s">
        <v>163</v>
      </c>
      <c r="R338" t="s">
        <v>163</v>
      </c>
      <c r="S338" t="s">
        <v>163</v>
      </c>
      <c r="T338" t="s">
        <v>163</v>
      </c>
      <c r="U338" t="s">
        <v>163</v>
      </c>
      <c r="V338" t="s">
        <v>163</v>
      </c>
      <c r="W338" t="s">
        <v>165</v>
      </c>
      <c r="X338" t="s">
        <v>165</v>
      </c>
      <c r="Y338" t="s">
        <v>423</v>
      </c>
      <c r="Z338">
        <v>2</v>
      </c>
      <c r="AA338">
        <v>1</v>
      </c>
      <c r="AB338">
        <v>2</v>
      </c>
      <c r="AC338">
        <v>1</v>
      </c>
      <c r="AD338" t="s">
        <v>163</v>
      </c>
      <c r="AE338" t="s">
        <v>163</v>
      </c>
      <c r="AF338" t="s">
        <v>163</v>
      </c>
      <c r="AG338" t="s">
        <v>163</v>
      </c>
      <c r="AH338" t="s">
        <v>163</v>
      </c>
      <c r="AI338" t="s">
        <v>163</v>
      </c>
      <c r="AJ338" t="s">
        <v>163</v>
      </c>
      <c r="AK338">
        <v>6</v>
      </c>
      <c r="AL338">
        <v>6</v>
      </c>
      <c r="AM338" t="s">
        <v>163</v>
      </c>
      <c r="AN338">
        <v>1</v>
      </c>
      <c r="AO338">
        <v>1</v>
      </c>
      <c r="AP338">
        <v>2</v>
      </c>
      <c r="AQ338">
        <v>2</v>
      </c>
      <c r="AR338">
        <v>8</v>
      </c>
      <c r="AS338">
        <v>8</v>
      </c>
    </row>
    <row r="339" spans="1:45" x14ac:dyDescent="0.35">
      <c r="A339" s="337">
        <v>46266</v>
      </c>
      <c r="B339" s="337">
        <v>46273</v>
      </c>
      <c r="C339" s="337">
        <v>46270</v>
      </c>
      <c r="D339" t="s">
        <v>130</v>
      </c>
      <c r="E339" s="338">
        <v>1.0833333333333333</v>
      </c>
      <c r="F339">
        <v>3</v>
      </c>
      <c r="G339" t="s">
        <v>119</v>
      </c>
      <c r="H339">
        <v>0.01</v>
      </c>
      <c r="I339" t="s">
        <v>165</v>
      </c>
      <c r="J339" t="s">
        <v>165</v>
      </c>
      <c r="K339" t="s">
        <v>165</v>
      </c>
      <c r="L339" t="s">
        <v>161</v>
      </c>
      <c r="M339" t="s">
        <v>161</v>
      </c>
      <c r="N339">
        <v>12.3</v>
      </c>
      <c r="O339" t="s">
        <v>163</v>
      </c>
      <c r="P339" t="s">
        <v>163</v>
      </c>
      <c r="Q339" t="s">
        <v>163</v>
      </c>
      <c r="R339" t="s">
        <v>163</v>
      </c>
      <c r="S339" t="s">
        <v>163</v>
      </c>
      <c r="T339" t="s">
        <v>163</v>
      </c>
      <c r="U339" t="s">
        <v>163</v>
      </c>
      <c r="V339" t="s">
        <v>163</v>
      </c>
      <c r="W339" t="s">
        <v>165</v>
      </c>
      <c r="X339" t="s">
        <v>165</v>
      </c>
      <c r="Y339" t="s">
        <v>423</v>
      </c>
      <c r="Z339">
        <v>2</v>
      </c>
      <c r="AA339">
        <v>1</v>
      </c>
      <c r="AB339">
        <v>2</v>
      </c>
      <c r="AC339">
        <v>1</v>
      </c>
      <c r="AD339" t="s">
        <v>163</v>
      </c>
      <c r="AE339" t="s">
        <v>163</v>
      </c>
      <c r="AF339" t="s">
        <v>163</v>
      </c>
      <c r="AG339" t="s">
        <v>163</v>
      </c>
      <c r="AH339" t="s">
        <v>163</v>
      </c>
      <c r="AI339" t="s">
        <v>163</v>
      </c>
      <c r="AJ339" t="s">
        <v>163</v>
      </c>
      <c r="AK339">
        <v>6</v>
      </c>
      <c r="AL339">
        <v>6</v>
      </c>
      <c r="AM339" t="s">
        <v>163</v>
      </c>
      <c r="AN339">
        <v>1</v>
      </c>
      <c r="AO339">
        <v>1</v>
      </c>
      <c r="AP339">
        <v>2</v>
      </c>
      <c r="AQ339">
        <v>2</v>
      </c>
      <c r="AR339">
        <v>8</v>
      </c>
      <c r="AS339">
        <v>8</v>
      </c>
    </row>
    <row r="340" spans="1:45" x14ac:dyDescent="0.35">
      <c r="A340" s="337">
        <v>46266</v>
      </c>
      <c r="B340" s="337">
        <v>46273</v>
      </c>
      <c r="C340" s="337">
        <v>46270</v>
      </c>
      <c r="D340" t="s">
        <v>130</v>
      </c>
      <c r="E340" s="338">
        <v>1.0416666666666667</v>
      </c>
      <c r="F340">
        <v>3</v>
      </c>
      <c r="G340" t="s">
        <v>119</v>
      </c>
      <c r="H340">
        <v>0.02</v>
      </c>
      <c r="I340" t="s">
        <v>163</v>
      </c>
      <c r="J340" t="s">
        <v>163</v>
      </c>
      <c r="K340" t="s">
        <v>163</v>
      </c>
      <c r="L340" t="s">
        <v>163</v>
      </c>
      <c r="M340" t="s">
        <v>163</v>
      </c>
      <c r="N340">
        <v>12.3</v>
      </c>
      <c r="O340" t="s">
        <v>163</v>
      </c>
      <c r="P340" t="s">
        <v>163</v>
      </c>
      <c r="Q340" t="s">
        <v>163</v>
      </c>
      <c r="R340" t="s">
        <v>163</v>
      </c>
      <c r="S340" t="s">
        <v>163</v>
      </c>
      <c r="T340" t="s">
        <v>163</v>
      </c>
      <c r="U340" t="s">
        <v>163</v>
      </c>
      <c r="V340" t="s">
        <v>163</v>
      </c>
      <c r="W340" t="s">
        <v>165</v>
      </c>
      <c r="X340" t="s">
        <v>165</v>
      </c>
      <c r="Y340" t="s">
        <v>423</v>
      </c>
      <c r="Z340">
        <v>2</v>
      </c>
      <c r="AA340" t="s">
        <v>163</v>
      </c>
      <c r="AB340" t="s">
        <v>163</v>
      </c>
      <c r="AC340">
        <v>1</v>
      </c>
      <c r="AD340" t="s">
        <v>163</v>
      </c>
      <c r="AE340" t="s">
        <v>163</v>
      </c>
      <c r="AF340" t="s">
        <v>163</v>
      </c>
      <c r="AG340" t="s">
        <v>163</v>
      </c>
      <c r="AH340" t="s">
        <v>163</v>
      </c>
      <c r="AI340" t="s">
        <v>163</v>
      </c>
      <c r="AJ340" t="s">
        <v>163</v>
      </c>
      <c r="AK340">
        <v>3</v>
      </c>
      <c r="AL340">
        <v>3</v>
      </c>
      <c r="AM340" t="s">
        <v>163</v>
      </c>
      <c r="AN340">
        <v>1</v>
      </c>
      <c r="AO340">
        <v>1</v>
      </c>
      <c r="AP340">
        <v>2</v>
      </c>
      <c r="AQ340">
        <v>2</v>
      </c>
      <c r="AR340">
        <v>5</v>
      </c>
      <c r="AS340">
        <v>5</v>
      </c>
    </row>
    <row r="341" spans="1:45" x14ac:dyDescent="0.35">
      <c r="A341" s="337">
        <v>46266</v>
      </c>
      <c r="B341" s="337">
        <v>46273</v>
      </c>
      <c r="C341" s="337">
        <v>46270</v>
      </c>
      <c r="D341" t="s">
        <v>130</v>
      </c>
      <c r="E341" s="337">
        <v>1</v>
      </c>
      <c r="F341">
        <v>3</v>
      </c>
      <c r="G341" t="s">
        <v>119</v>
      </c>
      <c r="H341">
        <v>7.0000000000000007E-2</v>
      </c>
      <c r="I341" t="s">
        <v>167</v>
      </c>
      <c r="J341" t="s">
        <v>165</v>
      </c>
      <c r="K341" t="s">
        <v>165</v>
      </c>
      <c r="L341" t="s">
        <v>161</v>
      </c>
      <c r="M341" t="s">
        <v>161</v>
      </c>
      <c r="N341" t="s">
        <v>163</v>
      </c>
      <c r="O341" t="s">
        <v>163</v>
      </c>
      <c r="P341" t="s">
        <v>163</v>
      </c>
      <c r="Q341" t="s">
        <v>163</v>
      </c>
      <c r="R341" t="s">
        <v>163</v>
      </c>
      <c r="S341" t="s">
        <v>163</v>
      </c>
      <c r="T341" t="s">
        <v>163</v>
      </c>
      <c r="U341" t="s">
        <v>163</v>
      </c>
      <c r="V341" t="s">
        <v>163</v>
      </c>
      <c r="W341" t="s">
        <v>165</v>
      </c>
      <c r="X341" t="s">
        <v>165</v>
      </c>
      <c r="Y341" t="s">
        <v>423</v>
      </c>
      <c r="Z341">
        <v>0</v>
      </c>
      <c r="AA341">
        <v>0</v>
      </c>
      <c r="AB341">
        <v>2</v>
      </c>
      <c r="AC341" t="s">
        <v>163</v>
      </c>
      <c r="AD341" t="s">
        <v>163</v>
      </c>
      <c r="AE341" t="s">
        <v>163</v>
      </c>
      <c r="AF341" t="s">
        <v>163</v>
      </c>
      <c r="AG341" t="s">
        <v>163</v>
      </c>
      <c r="AH341" t="s">
        <v>163</v>
      </c>
      <c r="AI341" t="s">
        <v>163</v>
      </c>
      <c r="AJ341" t="s">
        <v>163</v>
      </c>
      <c r="AK341">
        <v>2</v>
      </c>
      <c r="AL341">
        <v>5</v>
      </c>
      <c r="AM341" t="s">
        <v>163</v>
      </c>
      <c r="AN341">
        <v>1</v>
      </c>
      <c r="AO341">
        <v>1</v>
      </c>
      <c r="AP341">
        <v>2</v>
      </c>
      <c r="AQ341">
        <v>2</v>
      </c>
      <c r="AR341">
        <v>4</v>
      </c>
      <c r="AS341">
        <v>7</v>
      </c>
    </row>
    <row r="342" spans="1:45" x14ac:dyDescent="0.35">
      <c r="A342" s="337">
        <v>46266</v>
      </c>
      <c r="B342" s="337">
        <v>46273</v>
      </c>
      <c r="C342" s="337">
        <v>46268</v>
      </c>
      <c r="D342" t="s">
        <v>130</v>
      </c>
      <c r="E342" s="339">
        <v>0.95833333333333337</v>
      </c>
      <c r="F342">
        <v>3</v>
      </c>
      <c r="G342" t="s">
        <v>119</v>
      </c>
      <c r="H342">
        <v>0.02</v>
      </c>
      <c r="I342" t="s">
        <v>165</v>
      </c>
      <c r="J342" t="s">
        <v>165</v>
      </c>
      <c r="K342" t="s">
        <v>165</v>
      </c>
      <c r="L342" t="s">
        <v>161</v>
      </c>
      <c r="M342" t="s">
        <v>161</v>
      </c>
      <c r="N342">
        <v>11.72</v>
      </c>
      <c r="O342" t="s">
        <v>163</v>
      </c>
      <c r="P342" t="s">
        <v>163</v>
      </c>
      <c r="Q342" t="s">
        <v>163</v>
      </c>
      <c r="R342" t="s">
        <v>163</v>
      </c>
      <c r="S342" t="s">
        <v>163</v>
      </c>
      <c r="T342" t="s">
        <v>163</v>
      </c>
      <c r="U342" t="s">
        <v>163</v>
      </c>
      <c r="V342" t="s">
        <v>163</v>
      </c>
      <c r="W342" t="s">
        <v>165</v>
      </c>
      <c r="X342" t="s">
        <v>165</v>
      </c>
      <c r="Y342" t="s">
        <v>423</v>
      </c>
      <c r="Z342">
        <v>2</v>
      </c>
      <c r="AA342">
        <v>1</v>
      </c>
      <c r="AB342">
        <v>2</v>
      </c>
      <c r="AC342">
        <v>0</v>
      </c>
      <c r="AD342" t="s">
        <v>163</v>
      </c>
      <c r="AE342" t="s">
        <v>163</v>
      </c>
      <c r="AF342" t="s">
        <v>163</v>
      </c>
      <c r="AG342" t="s">
        <v>163</v>
      </c>
      <c r="AH342" t="s">
        <v>163</v>
      </c>
      <c r="AI342" t="s">
        <v>163</v>
      </c>
      <c r="AJ342" t="s">
        <v>163</v>
      </c>
      <c r="AK342">
        <v>5</v>
      </c>
      <c r="AL342">
        <v>6</v>
      </c>
      <c r="AM342" t="s">
        <v>163</v>
      </c>
      <c r="AN342">
        <v>1</v>
      </c>
      <c r="AO342">
        <v>1</v>
      </c>
      <c r="AP342">
        <v>2</v>
      </c>
      <c r="AQ342">
        <v>2</v>
      </c>
      <c r="AR342">
        <v>7</v>
      </c>
      <c r="AS342">
        <v>8</v>
      </c>
    </row>
    <row r="343" spans="1:45" x14ac:dyDescent="0.35">
      <c r="A343" s="337">
        <v>46266</v>
      </c>
      <c r="B343" s="337">
        <v>46273</v>
      </c>
      <c r="C343" s="337">
        <v>46268</v>
      </c>
      <c r="D343" t="s">
        <v>130</v>
      </c>
      <c r="E343" s="339">
        <v>0.91666666666666663</v>
      </c>
      <c r="F343">
        <v>3</v>
      </c>
      <c r="G343" t="s">
        <v>119</v>
      </c>
      <c r="H343">
        <v>0.02</v>
      </c>
      <c r="I343" t="s">
        <v>165</v>
      </c>
      <c r="J343" t="s">
        <v>165</v>
      </c>
      <c r="K343" t="s">
        <v>165</v>
      </c>
      <c r="L343" t="s">
        <v>161</v>
      </c>
      <c r="M343" t="s">
        <v>161</v>
      </c>
      <c r="N343">
        <v>12.31</v>
      </c>
      <c r="O343">
        <v>12.24</v>
      </c>
      <c r="P343">
        <v>0.5</v>
      </c>
      <c r="Q343">
        <v>64.099999999999994</v>
      </c>
      <c r="R343" t="s">
        <v>163</v>
      </c>
      <c r="S343" t="s">
        <v>163</v>
      </c>
      <c r="T343" t="s">
        <v>163</v>
      </c>
      <c r="U343">
        <v>36.1</v>
      </c>
      <c r="V343" t="s">
        <v>163</v>
      </c>
      <c r="W343" t="s">
        <v>165</v>
      </c>
      <c r="X343" t="s">
        <v>165</v>
      </c>
      <c r="Y343" t="s">
        <v>423</v>
      </c>
      <c r="Z343">
        <v>2</v>
      </c>
      <c r="AA343">
        <v>1</v>
      </c>
      <c r="AB343">
        <v>2</v>
      </c>
      <c r="AC343">
        <v>1</v>
      </c>
      <c r="AD343">
        <v>1</v>
      </c>
      <c r="AE343">
        <v>2</v>
      </c>
      <c r="AF343">
        <v>2</v>
      </c>
      <c r="AG343" t="s">
        <v>163</v>
      </c>
      <c r="AH343" t="s">
        <v>163</v>
      </c>
      <c r="AI343" t="s">
        <v>163</v>
      </c>
      <c r="AJ343">
        <v>0</v>
      </c>
      <c r="AK343">
        <v>11</v>
      </c>
      <c r="AL343">
        <v>12</v>
      </c>
      <c r="AM343" t="s">
        <v>163</v>
      </c>
      <c r="AN343">
        <v>1</v>
      </c>
      <c r="AO343">
        <v>1</v>
      </c>
      <c r="AP343">
        <v>2</v>
      </c>
      <c r="AQ343">
        <v>2</v>
      </c>
      <c r="AR343">
        <v>13</v>
      </c>
      <c r="AS343">
        <v>14</v>
      </c>
    </row>
    <row r="344" spans="1:45" x14ac:dyDescent="0.35">
      <c r="A344" s="337">
        <v>46266</v>
      </c>
      <c r="B344" s="337">
        <v>46273</v>
      </c>
      <c r="C344" s="337">
        <v>816</v>
      </c>
      <c r="D344" t="s">
        <v>130</v>
      </c>
      <c r="E344" s="338">
        <v>1.1666666666666667</v>
      </c>
      <c r="F344">
        <v>2</v>
      </c>
      <c r="G344" t="s">
        <v>140</v>
      </c>
      <c r="H344" t="s">
        <v>163</v>
      </c>
      <c r="I344" t="s">
        <v>165</v>
      </c>
      <c r="J344" t="s">
        <v>165</v>
      </c>
      <c r="K344" t="s">
        <v>165</v>
      </c>
      <c r="L344" t="s">
        <v>163</v>
      </c>
      <c r="M344" t="s">
        <v>161</v>
      </c>
      <c r="N344">
        <v>10.89</v>
      </c>
      <c r="O344" t="s">
        <v>163</v>
      </c>
      <c r="P344" t="s">
        <v>163</v>
      </c>
      <c r="Q344" t="s">
        <v>163</v>
      </c>
      <c r="R344" t="s">
        <v>163</v>
      </c>
      <c r="S344" t="s">
        <v>163</v>
      </c>
      <c r="T344" t="s">
        <v>163</v>
      </c>
      <c r="U344" t="s">
        <v>163</v>
      </c>
      <c r="V344" t="s">
        <v>163</v>
      </c>
      <c r="W344" t="s">
        <v>165</v>
      </c>
      <c r="X344" t="s">
        <v>165</v>
      </c>
      <c r="Y344" t="s">
        <v>163</v>
      </c>
      <c r="Z344" t="s">
        <v>163</v>
      </c>
      <c r="AA344">
        <v>1</v>
      </c>
      <c r="AB344">
        <v>2</v>
      </c>
      <c r="AC344">
        <v>0</v>
      </c>
      <c r="AD344" t="s">
        <v>163</v>
      </c>
      <c r="AE344" t="s">
        <v>163</v>
      </c>
      <c r="AF344" t="s">
        <v>163</v>
      </c>
      <c r="AG344" t="s">
        <v>163</v>
      </c>
      <c r="AH344" t="s">
        <v>163</v>
      </c>
      <c r="AI344" t="s">
        <v>163</v>
      </c>
      <c r="AJ344" t="s">
        <v>163</v>
      </c>
      <c r="AK344">
        <v>3</v>
      </c>
      <c r="AL344">
        <v>4</v>
      </c>
      <c r="AM344" t="s">
        <v>163</v>
      </c>
      <c r="AN344">
        <v>1</v>
      </c>
      <c r="AO344">
        <v>1</v>
      </c>
      <c r="AP344">
        <v>2</v>
      </c>
      <c r="AQ344">
        <v>2</v>
      </c>
      <c r="AR344">
        <v>5</v>
      </c>
      <c r="AS344">
        <v>6</v>
      </c>
    </row>
    <row r="345" spans="1:45" x14ac:dyDescent="0.35">
      <c r="A345" s="337">
        <v>46266</v>
      </c>
      <c r="B345" s="337">
        <v>46273</v>
      </c>
      <c r="C345" s="337">
        <v>816</v>
      </c>
      <c r="D345" t="s">
        <v>130</v>
      </c>
      <c r="E345" s="338">
        <v>1.125</v>
      </c>
      <c r="F345">
        <v>2</v>
      </c>
      <c r="G345" t="s">
        <v>140</v>
      </c>
      <c r="H345" t="s">
        <v>163</v>
      </c>
      <c r="I345" t="s">
        <v>165</v>
      </c>
      <c r="J345" t="s">
        <v>165</v>
      </c>
      <c r="K345" t="s">
        <v>165</v>
      </c>
      <c r="L345" t="s">
        <v>163</v>
      </c>
      <c r="M345" t="s">
        <v>161</v>
      </c>
      <c r="N345">
        <v>10.73</v>
      </c>
      <c r="O345" t="s">
        <v>163</v>
      </c>
      <c r="P345" t="s">
        <v>163</v>
      </c>
      <c r="Q345" t="s">
        <v>163</v>
      </c>
      <c r="R345" t="s">
        <v>163</v>
      </c>
      <c r="S345" t="s">
        <v>163</v>
      </c>
      <c r="T345" t="s">
        <v>163</v>
      </c>
      <c r="U345" t="s">
        <v>163</v>
      </c>
      <c r="V345" t="s">
        <v>163</v>
      </c>
      <c r="W345" t="s">
        <v>165</v>
      </c>
      <c r="X345" t="s">
        <v>165</v>
      </c>
      <c r="Y345">
        <v>1</v>
      </c>
      <c r="Z345" t="s">
        <v>163</v>
      </c>
      <c r="AA345">
        <v>1</v>
      </c>
      <c r="AB345">
        <v>2</v>
      </c>
      <c r="AC345">
        <v>0</v>
      </c>
      <c r="AD345" t="s">
        <v>163</v>
      </c>
      <c r="AE345" t="s">
        <v>163</v>
      </c>
      <c r="AF345" t="s">
        <v>163</v>
      </c>
      <c r="AG345" t="s">
        <v>163</v>
      </c>
      <c r="AH345" t="s">
        <v>163</v>
      </c>
      <c r="AI345" t="s">
        <v>163</v>
      </c>
      <c r="AJ345" t="s">
        <v>163</v>
      </c>
      <c r="AK345">
        <v>3</v>
      </c>
      <c r="AL345">
        <v>4</v>
      </c>
      <c r="AM345" t="s">
        <v>163</v>
      </c>
      <c r="AN345">
        <v>1</v>
      </c>
      <c r="AO345">
        <v>1</v>
      </c>
      <c r="AP345">
        <v>2</v>
      </c>
      <c r="AQ345">
        <v>2</v>
      </c>
      <c r="AR345">
        <v>5</v>
      </c>
      <c r="AS345">
        <v>6</v>
      </c>
    </row>
    <row r="346" spans="1:45" x14ac:dyDescent="0.35">
      <c r="A346" s="337">
        <v>46266</v>
      </c>
      <c r="B346" s="337">
        <v>46273</v>
      </c>
      <c r="C346" s="337">
        <v>816</v>
      </c>
      <c r="D346" t="s">
        <v>130</v>
      </c>
      <c r="E346" s="338">
        <v>1.0833333333333333</v>
      </c>
      <c r="F346">
        <v>2</v>
      </c>
      <c r="G346" t="s">
        <v>140</v>
      </c>
      <c r="H346" t="s">
        <v>163</v>
      </c>
      <c r="I346" t="s">
        <v>165</v>
      </c>
      <c r="J346" t="s">
        <v>165</v>
      </c>
      <c r="K346" t="s">
        <v>165</v>
      </c>
      <c r="L346" t="s">
        <v>163</v>
      </c>
      <c r="M346" t="s">
        <v>161</v>
      </c>
      <c r="N346">
        <v>10.65</v>
      </c>
      <c r="O346" t="s">
        <v>163</v>
      </c>
      <c r="P346" t="s">
        <v>163</v>
      </c>
      <c r="Q346" t="s">
        <v>163</v>
      </c>
      <c r="R346" t="s">
        <v>163</v>
      </c>
      <c r="S346" t="s">
        <v>163</v>
      </c>
      <c r="T346" t="s">
        <v>163</v>
      </c>
      <c r="U346" t="s">
        <v>163</v>
      </c>
      <c r="V346" t="s">
        <v>163</v>
      </c>
      <c r="W346" t="s">
        <v>165</v>
      </c>
      <c r="X346" t="s">
        <v>165</v>
      </c>
      <c r="Y346">
        <v>1</v>
      </c>
      <c r="Z346" t="s">
        <v>163</v>
      </c>
      <c r="AA346">
        <v>1</v>
      </c>
      <c r="AB346">
        <v>2</v>
      </c>
      <c r="AC346">
        <v>0</v>
      </c>
      <c r="AD346" t="s">
        <v>163</v>
      </c>
      <c r="AE346" t="s">
        <v>163</v>
      </c>
      <c r="AF346" t="s">
        <v>163</v>
      </c>
      <c r="AG346" t="s">
        <v>163</v>
      </c>
      <c r="AH346" t="s">
        <v>163</v>
      </c>
      <c r="AI346" t="s">
        <v>163</v>
      </c>
      <c r="AJ346" t="s">
        <v>163</v>
      </c>
      <c r="AK346">
        <v>3</v>
      </c>
      <c r="AL346">
        <v>4</v>
      </c>
      <c r="AM346" t="s">
        <v>163</v>
      </c>
      <c r="AN346">
        <v>1</v>
      </c>
      <c r="AO346">
        <v>1</v>
      </c>
      <c r="AP346">
        <v>2</v>
      </c>
      <c r="AQ346">
        <v>2</v>
      </c>
      <c r="AR346">
        <v>5</v>
      </c>
      <c r="AS346">
        <v>6</v>
      </c>
    </row>
    <row r="347" spans="1:45" x14ac:dyDescent="0.35">
      <c r="A347" s="337">
        <v>46266</v>
      </c>
      <c r="B347" s="337">
        <v>46273</v>
      </c>
      <c r="C347" s="337">
        <v>816</v>
      </c>
      <c r="D347" t="s">
        <v>130</v>
      </c>
      <c r="E347" s="338">
        <v>1.0416666666666667</v>
      </c>
      <c r="F347">
        <v>2</v>
      </c>
      <c r="G347" t="s">
        <v>140</v>
      </c>
      <c r="H347" t="s">
        <v>163</v>
      </c>
      <c r="I347" t="s">
        <v>165</v>
      </c>
      <c r="J347" t="s">
        <v>165</v>
      </c>
      <c r="K347" t="s">
        <v>165</v>
      </c>
      <c r="L347" t="s">
        <v>163</v>
      </c>
      <c r="M347" t="s">
        <v>161</v>
      </c>
      <c r="N347">
        <v>10.82</v>
      </c>
      <c r="O347" t="s">
        <v>163</v>
      </c>
      <c r="P347" t="s">
        <v>163</v>
      </c>
      <c r="Q347" t="s">
        <v>163</v>
      </c>
      <c r="R347" t="s">
        <v>163</v>
      </c>
      <c r="S347" t="s">
        <v>163</v>
      </c>
      <c r="T347" t="s">
        <v>163</v>
      </c>
      <c r="U347" t="s">
        <v>163</v>
      </c>
      <c r="V347" t="s">
        <v>163</v>
      </c>
      <c r="W347" t="s">
        <v>165</v>
      </c>
      <c r="X347" t="s">
        <v>165</v>
      </c>
      <c r="Y347">
        <v>1</v>
      </c>
      <c r="Z347" t="s">
        <v>163</v>
      </c>
      <c r="AA347">
        <v>1</v>
      </c>
      <c r="AB347">
        <v>2</v>
      </c>
      <c r="AC347">
        <v>0</v>
      </c>
      <c r="AD347" t="s">
        <v>163</v>
      </c>
      <c r="AE347" t="s">
        <v>163</v>
      </c>
      <c r="AF347" t="s">
        <v>163</v>
      </c>
      <c r="AG347" t="s">
        <v>163</v>
      </c>
      <c r="AH347" t="s">
        <v>163</v>
      </c>
      <c r="AI347" t="s">
        <v>163</v>
      </c>
      <c r="AJ347" t="s">
        <v>163</v>
      </c>
      <c r="AK347">
        <v>3</v>
      </c>
      <c r="AL347">
        <v>4</v>
      </c>
      <c r="AM347" t="s">
        <v>163</v>
      </c>
      <c r="AN347">
        <v>1</v>
      </c>
      <c r="AO347">
        <v>1</v>
      </c>
      <c r="AP347">
        <v>2</v>
      </c>
      <c r="AQ347">
        <v>2</v>
      </c>
      <c r="AR347">
        <v>5</v>
      </c>
      <c r="AS347">
        <v>6</v>
      </c>
    </row>
    <row r="348" spans="1:45" x14ac:dyDescent="0.35">
      <c r="A348" s="337">
        <v>46266</v>
      </c>
      <c r="B348" s="337">
        <v>46273</v>
      </c>
      <c r="C348" s="337">
        <v>816</v>
      </c>
      <c r="D348" t="s">
        <v>130</v>
      </c>
      <c r="E348" s="337">
        <v>1</v>
      </c>
      <c r="F348">
        <v>2</v>
      </c>
      <c r="G348" t="s">
        <v>140</v>
      </c>
      <c r="H348" t="s">
        <v>163</v>
      </c>
      <c r="I348" t="s">
        <v>165</v>
      </c>
      <c r="J348" t="s">
        <v>165</v>
      </c>
      <c r="K348" t="s">
        <v>165</v>
      </c>
      <c r="L348" t="s">
        <v>163</v>
      </c>
      <c r="M348" t="s">
        <v>161</v>
      </c>
      <c r="N348">
        <v>10.89</v>
      </c>
      <c r="O348" t="s">
        <v>163</v>
      </c>
      <c r="P348" t="s">
        <v>163</v>
      </c>
      <c r="Q348" t="s">
        <v>163</v>
      </c>
      <c r="R348" t="s">
        <v>163</v>
      </c>
      <c r="S348" t="s">
        <v>163</v>
      </c>
      <c r="T348" t="s">
        <v>163</v>
      </c>
      <c r="U348" t="s">
        <v>163</v>
      </c>
      <c r="V348" t="s">
        <v>163</v>
      </c>
      <c r="W348" t="s">
        <v>165</v>
      </c>
      <c r="X348" t="s">
        <v>165</v>
      </c>
      <c r="Y348">
        <v>1</v>
      </c>
      <c r="Z348" t="s">
        <v>163</v>
      </c>
      <c r="AA348">
        <v>1</v>
      </c>
      <c r="AB348">
        <v>2</v>
      </c>
      <c r="AC348">
        <v>0</v>
      </c>
      <c r="AD348" t="s">
        <v>163</v>
      </c>
      <c r="AE348" t="s">
        <v>163</v>
      </c>
      <c r="AF348" t="s">
        <v>163</v>
      </c>
      <c r="AG348" t="s">
        <v>163</v>
      </c>
      <c r="AH348" t="s">
        <v>163</v>
      </c>
      <c r="AI348" t="s">
        <v>163</v>
      </c>
      <c r="AJ348" t="s">
        <v>163</v>
      </c>
      <c r="AK348">
        <v>3</v>
      </c>
      <c r="AL348">
        <v>4</v>
      </c>
      <c r="AM348" t="s">
        <v>163</v>
      </c>
      <c r="AN348">
        <v>1</v>
      </c>
      <c r="AO348">
        <v>1</v>
      </c>
      <c r="AP348">
        <v>2</v>
      </c>
      <c r="AQ348">
        <v>2</v>
      </c>
      <c r="AR348">
        <v>5</v>
      </c>
      <c r="AS348">
        <v>6</v>
      </c>
    </row>
    <row r="349" spans="1:45" x14ac:dyDescent="0.35">
      <c r="A349" s="337">
        <v>46266</v>
      </c>
      <c r="B349" s="337">
        <v>46273</v>
      </c>
      <c r="C349" s="337">
        <v>816</v>
      </c>
      <c r="D349" t="s">
        <v>130</v>
      </c>
      <c r="E349" s="339">
        <v>0.95833333333333337</v>
      </c>
      <c r="F349">
        <v>2</v>
      </c>
      <c r="G349" t="s">
        <v>140</v>
      </c>
      <c r="H349" t="s">
        <v>163</v>
      </c>
      <c r="I349" t="s">
        <v>165</v>
      </c>
      <c r="J349" t="s">
        <v>165</v>
      </c>
      <c r="K349" t="s">
        <v>165</v>
      </c>
      <c r="L349" t="s">
        <v>163</v>
      </c>
      <c r="M349" t="s">
        <v>161</v>
      </c>
      <c r="N349">
        <v>10.71</v>
      </c>
      <c r="O349">
        <v>8.74</v>
      </c>
      <c r="P349">
        <v>0.6</v>
      </c>
      <c r="Q349" t="s">
        <v>163</v>
      </c>
      <c r="R349" t="s">
        <v>163</v>
      </c>
      <c r="S349" t="s">
        <v>163</v>
      </c>
      <c r="T349" t="s">
        <v>163</v>
      </c>
      <c r="U349">
        <v>23.6</v>
      </c>
      <c r="V349" t="s">
        <v>163</v>
      </c>
      <c r="W349" t="s">
        <v>165</v>
      </c>
      <c r="X349" t="s">
        <v>165</v>
      </c>
      <c r="Y349">
        <v>1</v>
      </c>
      <c r="Z349" t="s">
        <v>163</v>
      </c>
      <c r="AA349">
        <v>1</v>
      </c>
      <c r="AB349">
        <v>2</v>
      </c>
      <c r="AC349">
        <v>0</v>
      </c>
      <c r="AD349">
        <v>1</v>
      </c>
      <c r="AE349">
        <v>0</v>
      </c>
      <c r="AF349" t="s">
        <v>163</v>
      </c>
      <c r="AG349" t="s">
        <v>163</v>
      </c>
      <c r="AH349" t="s">
        <v>163</v>
      </c>
      <c r="AI349" t="s">
        <v>163</v>
      </c>
      <c r="AJ349">
        <v>0</v>
      </c>
      <c r="AK349">
        <v>4</v>
      </c>
      <c r="AL349">
        <v>8</v>
      </c>
      <c r="AM349" t="s">
        <v>163</v>
      </c>
      <c r="AN349">
        <v>1</v>
      </c>
      <c r="AO349">
        <v>1</v>
      </c>
      <c r="AP349">
        <v>2</v>
      </c>
      <c r="AQ349">
        <v>2</v>
      </c>
      <c r="AR349">
        <v>6</v>
      </c>
      <c r="AS349">
        <v>10</v>
      </c>
    </row>
    <row r="350" spans="1:45" x14ac:dyDescent="0.35">
      <c r="A350" s="337">
        <v>46266</v>
      </c>
      <c r="B350" s="337">
        <v>46273</v>
      </c>
      <c r="C350" s="337">
        <v>816</v>
      </c>
      <c r="D350" t="s">
        <v>130</v>
      </c>
      <c r="E350" s="339">
        <v>0.91666666666666663</v>
      </c>
      <c r="F350">
        <v>2</v>
      </c>
      <c r="G350" t="s">
        <v>39</v>
      </c>
      <c r="H350" t="s">
        <v>163</v>
      </c>
      <c r="I350" t="s">
        <v>165</v>
      </c>
      <c r="J350" t="s">
        <v>165</v>
      </c>
      <c r="K350" t="s">
        <v>165</v>
      </c>
      <c r="L350" t="s">
        <v>163</v>
      </c>
      <c r="M350" t="s">
        <v>161</v>
      </c>
      <c r="N350">
        <v>10.84</v>
      </c>
      <c r="O350" t="s">
        <v>163</v>
      </c>
      <c r="P350" t="s">
        <v>163</v>
      </c>
      <c r="Q350" t="s">
        <v>163</v>
      </c>
      <c r="R350" t="s">
        <v>163</v>
      </c>
      <c r="S350" t="s">
        <v>163</v>
      </c>
      <c r="T350" t="s">
        <v>163</v>
      </c>
      <c r="U350" t="s">
        <v>163</v>
      </c>
      <c r="V350" t="s">
        <v>163</v>
      </c>
      <c r="W350" t="s">
        <v>165</v>
      </c>
      <c r="X350" t="s">
        <v>165</v>
      </c>
      <c r="Y350">
        <v>1</v>
      </c>
      <c r="Z350" t="s">
        <v>163</v>
      </c>
      <c r="AA350">
        <v>1</v>
      </c>
      <c r="AB350">
        <v>2</v>
      </c>
      <c r="AC350">
        <v>0</v>
      </c>
      <c r="AD350" t="s">
        <v>163</v>
      </c>
      <c r="AE350" t="s">
        <v>163</v>
      </c>
      <c r="AF350" t="s">
        <v>163</v>
      </c>
      <c r="AG350" t="s">
        <v>163</v>
      </c>
      <c r="AH350" t="s">
        <v>163</v>
      </c>
      <c r="AI350" t="s">
        <v>163</v>
      </c>
      <c r="AJ350" t="s">
        <v>163</v>
      </c>
      <c r="AK350">
        <v>3</v>
      </c>
      <c r="AL350">
        <v>4</v>
      </c>
      <c r="AM350" t="s">
        <v>163</v>
      </c>
      <c r="AN350">
        <v>1</v>
      </c>
      <c r="AO350">
        <v>1</v>
      </c>
      <c r="AP350">
        <v>2</v>
      </c>
      <c r="AQ350">
        <v>2</v>
      </c>
      <c r="AR350">
        <v>5</v>
      </c>
      <c r="AS350">
        <v>6</v>
      </c>
    </row>
    <row r="351" spans="1:45" x14ac:dyDescent="0.35">
      <c r="A351" s="337">
        <v>46266</v>
      </c>
      <c r="B351" s="337">
        <v>46273</v>
      </c>
      <c r="C351" s="337">
        <v>46269</v>
      </c>
      <c r="D351" t="s">
        <v>130</v>
      </c>
      <c r="E351" s="338">
        <v>1.2083333333333333</v>
      </c>
      <c r="F351">
        <v>1</v>
      </c>
      <c r="G351" t="s">
        <v>158</v>
      </c>
      <c r="H351" t="s">
        <v>163</v>
      </c>
      <c r="I351" t="s">
        <v>165</v>
      </c>
      <c r="J351" t="s">
        <v>165</v>
      </c>
      <c r="K351" t="s">
        <v>165</v>
      </c>
      <c r="L351" t="s">
        <v>163</v>
      </c>
      <c r="M351" t="s">
        <v>163</v>
      </c>
      <c r="N351">
        <v>11.14</v>
      </c>
      <c r="O351" t="s">
        <v>163</v>
      </c>
      <c r="P351" t="s">
        <v>163</v>
      </c>
      <c r="Q351" t="s">
        <v>163</v>
      </c>
      <c r="R351" t="s">
        <v>163</v>
      </c>
      <c r="S351" t="s">
        <v>163</v>
      </c>
      <c r="T351" t="s">
        <v>163</v>
      </c>
      <c r="U351" t="s">
        <v>163</v>
      </c>
      <c r="V351" t="s">
        <v>163</v>
      </c>
      <c r="W351" t="s">
        <v>165</v>
      </c>
      <c r="X351" t="s">
        <v>165</v>
      </c>
      <c r="Y351">
        <v>1</v>
      </c>
      <c r="Z351" t="s">
        <v>163</v>
      </c>
      <c r="AA351">
        <v>1</v>
      </c>
      <c r="AB351">
        <v>2</v>
      </c>
      <c r="AC351">
        <v>1</v>
      </c>
      <c r="AD351" t="s">
        <v>163</v>
      </c>
      <c r="AE351" t="s">
        <v>163</v>
      </c>
      <c r="AF351" t="s">
        <v>163</v>
      </c>
      <c r="AG351" t="s">
        <v>163</v>
      </c>
      <c r="AH351" t="s">
        <v>163</v>
      </c>
      <c r="AI351" t="s">
        <v>163</v>
      </c>
      <c r="AJ351" t="s">
        <v>163</v>
      </c>
      <c r="AK351">
        <v>4</v>
      </c>
      <c r="AL351">
        <v>4</v>
      </c>
      <c r="AM351" t="s">
        <v>163</v>
      </c>
      <c r="AN351">
        <v>1</v>
      </c>
      <c r="AO351">
        <v>1</v>
      </c>
      <c r="AP351">
        <v>2</v>
      </c>
      <c r="AQ351">
        <v>2</v>
      </c>
      <c r="AR351">
        <v>6</v>
      </c>
      <c r="AS351">
        <v>6</v>
      </c>
    </row>
    <row r="352" spans="1:45" x14ac:dyDescent="0.35">
      <c r="A352" s="337">
        <v>46266</v>
      </c>
      <c r="B352" s="337">
        <v>46273</v>
      </c>
      <c r="C352" s="337">
        <v>46269</v>
      </c>
      <c r="D352" t="s">
        <v>130</v>
      </c>
      <c r="E352" s="338">
        <v>1.1666666666666667</v>
      </c>
      <c r="F352">
        <v>1</v>
      </c>
      <c r="G352" t="s">
        <v>158</v>
      </c>
      <c r="H352">
        <v>0.01</v>
      </c>
      <c r="I352" t="s">
        <v>165</v>
      </c>
      <c r="J352" t="s">
        <v>165</v>
      </c>
      <c r="K352" t="s">
        <v>165</v>
      </c>
      <c r="L352" t="s">
        <v>163</v>
      </c>
      <c r="M352" t="s">
        <v>163</v>
      </c>
      <c r="N352">
        <v>11.15</v>
      </c>
      <c r="O352" t="s">
        <v>163</v>
      </c>
      <c r="P352" t="s">
        <v>163</v>
      </c>
      <c r="Q352" t="s">
        <v>163</v>
      </c>
      <c r="R352" t="s">
        <v>163</v>
      </c>
      <c r="S352" t="s">
        <v>163</v>
      </c>
      <c r="T352" t="s">
        <v>163</v>
      </c>
      <c r="U352" t="s">
        <v>163</v>
      </c>
      <c r="V352" t="s">
        <v>163</v>
      </c>
      <c r="W352" t="s">
        <v>165</v>
      </c>
      <c r="X352" t="s">
        <v>165</v>
      </c>
      <c r="Y352">
        <v>1</v>
      </c>
      <c r="Z352">
        <v>2</v>
      </c>
      <c r="AA352">
        <v>1</v>
      </c>
      <c r="AB352">
        <v>2</v>
      </c>
      <c r="AC352">
        <v>1</v>
      </c>
      <c r="AD352" t="s">
        <v>163</v>
      </c>
      <c r="AE352" t="s">
        <v>163</v>
      </c>
      <c r="AF352" t="s">
        <v>163</v>
      </c>
      <c r="AG352" t="s">
        <v>163</v>
      </c>
      <c r="AH352" t="s">
        <v>163</v>
      </c>
      <c r="AI352" t="s">
        <v>163</v>
      </c>
      <c r="AJ352" t="s">
        <v>163</v>
      </c>
      <c r="AK352">
        <v>6</v>
      </c>
      <c r="AL352">
        <v>6</v>
      </c>
      <c r="AM352" t="s">
        <v>163</v>
      </c>
      <c r="AN352">
        <v>1</v>
      </c>
      <c r="AO352">
        <v>1</v>
      </c>
      <c r="AP352">
        <v>2</v>
      </c>
      <c r="AQ352">
        <v>2</v>
      </c>
      <c r="AR352">
        <v>8</v>
      </c>
      <c r="AS352">
        <v>8</v>
      </c>
    </row>
    <row r="353" spans="1:45" x14ac:dyDescent="0.35">
      <c r="A353" s="337">
        <v>46266</v>
      </c>
      <c r="B353" s="337">
        <v>46273</v>
      </c>
      <c r="C353" s="337">
        <v>46269</v>
      </c>
      <c r="D353" t="s">
        <v>130</v>
      </c>
      <c r="E353" s="338">
        <v>1.125</v>
      </c>
      <c r="F353">
        <v>1</v>
      </c>
      <c r="G353" t="s">
        <v>158</v>
      </c>
      <c r="H353">
        <v>0.01</v>
      </c>
      <c r="I353" t="s">
        <v>165</v>
      </c>
      <c r="J353" t="s">
        <v>165</v>
      </c>
      <c r="K353" t="s">
        <v>165</v>
      </c>
      <c r="L353" t="s">
        <v>163</v>
      </c>
      <c r="M353" t="s">
        <v>163</v>
      </c>
      <c r="N353">
        <v>11.15</v>
      </c>
      <c r="O353" t="s">
        <v>163</v>
      </c>
      <c r="P353" t="s">
        <v>163</v>
      </c>
      <c r="Q353" t="s">
        <v>163</v>
      </c>
      <c r="R353" t="s">
        <v>163</v>
      </c>
      <c r="S353" t="s">
        <v>163</v>
      </c>
      <c r="T353" t="s">
        <v>163</v>
      </c>
      <c r="U353" t="s">
        <v>163</v>
      </c>
      <c r="V353" t="s">
        <v>163</v>
      </c>
      <c r="W353" t="s">
        <v>165</v>
      </c>
      <c r="X353" t="s">
        <v>165</v>
      </c>
      <c r="Y353">
        <v>1</v>
      </c>
      <c r="Z353">
        <v>2</v>
      </c>
      <c r="AA353">
        <v>1</v>
      </c>
      <c r="AB353">
        <v>2</v>
      </c>
      <c r="AC353">
        <v>1</v>
      </c>
      <c r="AD353" t="s">
        <v>163</v>
      </c>
      <c r="AE353" t="s">
        <v>163</v>
      </c>
      <c r="AF353" t="s">
        <v>163</v>
      </c>
      <c r="AG353" t="s">
        <v>163</v>
      </c>
      <c r="AH353" t="s">
        <v>163</v>
      </c>
      <c r="AI353" t="s">
        <v>163</v>
      </c>
      <c r="AJ353" t="s">
        <v>163</v>
      </c>
      <c r="AK353">
        <v>6</v>
      </c>
      <c r="AL353">
        <v>6</v>
      </c>
      <c r="AM353" t="s">
        <v>163</v>
      </c>
      <c r="AN353">
        <v>1</v>
      </c>
      <c r="AO353">
        <v>1</v>
      </c>
      <c r="AP353">
        <v>2</v>
      </c>
      <c r="AQ353">
        <v>2</v>
      </c>
      <c r="AR353">
        <v>8</v>
      </c>
      <c r="AS353">
        <v>8</v>
      </c>
    </row>
    <row r="354" spans="1:45" x14ac:dyDescent="0.35">
      <c r="A354" s="337">
        <v>46266</v>
      </c>
      <c r="B354" s="337">
        <v>46273</v>
      </c>
      <c r="C354" s="337">
        <v>46269</v>
      </c>
      <c r="D354" t="s">
        <v>130</v>
      </c>
      <c r="E354" s="339">
        <v>0.95833333333333337</v>
      </c>
      <c r="F354">
        <v>1</v>
      </c>
      <c r="G354" t="s">
        <v>158</v>
      </c>
      <c r="H354">
        <v>0.01</v>
      </c>
      <c r="I354" t="s">
        <v>165</v>
      </c>
      <c r="J354" t="s">
        <v>165</v>
      </c>
      <c r="K354" t="s">
        <v>165</v>
      </c>
      <c r="L354" t="s">
        <v>163</v>
      </c>
      <c r="M354" t="s">
        <v>163</v>
      </c>
      <c r="N354">
        <v>10.82</v>
      </c>
      <c r="O354" t="s">
        <v>163</v>
      </c>
      <c r="P354" t="s">
        <v>163</v>
      </c>
      <c r="Q354" t="s">
        <v>163</v>
      </c>
      <c r="R354" t="s">
        <v>163</v>
      </c>
      <c r="S354" t="s">
        <v>163</v>
      </c>
      <c r="T354" t="s">
        <v>163</v>
      </c>
      <c r="U354" t="s">
        <v>163</v>
      </c>
      <c r="V354" t="s">
        <v>163</v>
      </c>
      <c r="W354" t="s">
        <v>165</v>
      </c>
      <c r="X354" t="s">
        <v>165</v>
      </c>
      <c r="Y354">
        <v>1</v>
      </c>
      <c r="Z354">
        <v>2</v>
      </c>
      <c r="AA354">
        <v>1</v>
      </c>
      <c r="AB354">
        <v>2</v>
      </c>
      <c r="AC354">
        <v>0</v>
      </c>
      <c r="AD354" t="s">
        <v>163</v>
      </c>
      <c r="AE354" t="s">
        <v>163</v>
      </c>
      <c r="AF354" t="s">
        <v>163</v>
      </c>
      <c r="AG354" t="s">
        <v>163</v>
      </c>
      <c r="AH354" t="s">
        <v>163</v>
      </c>
      <c r="AI354" t="s">
        <v>163</v>
      </c>
      <c r="AJ354" t="s">
        <v>163</v>
      </c>
      <c r="AK354">
        <v>5</v>
      </c>
      <c r="AL354">
        <v>6</v>
      </c>
      <c r="AM354" t="s">
        <v>163</v>
      </c>
      <c r="AN354">
        <v>1</v>
      </c>
      <c r="AO354">
        <v>1</v>
      </c>
      <c r="AP354">
        <v>2</v>
      </c>
      <c r="AQ354">
        <v>2</v>
      </c>
      <c r="AR354">
        <v>7</v>
      </c>
      <c r="AS354">
        <v>8</v>
      </c>
    </row>
    <row r="355" spans="1:45" x14ac:dyDescent="0.35">
      <c r="A355" s="337">
        <v>46266</v>
      </c>
      <c r="B355" s="337">
        <v>46273</v>
      </c>
      <c r="C355" s="337">
        <v>46269</v>
      </c>
      <c r="D355" t="s">
        <v>130</v>
      </c>
      <c r="E355" s="339">
        <v>0.91666666666666663</v>
      </c>
      <c r="F355">
        <v>1</v>
      </c>
      <c r="G355" t="s">
        <v>158</v>
      </c>
      <c r="H355">
        <v>0.01</v>
      </c>
      <c r="I355" t="s">
        <v>165</v>
      </c>
      <c r="J355" t="s">
        <v>165</v>
      </c>
      <c r="K355" t="s">
        <v>165</v>
      </c>
      <c r="L355" t="s">
        <v>163</v>
      </c>
      <c r="M355" t="s">
        <v>163</v>
      </c>
      <c r="N355">
        <v>11.02</v>
      </c>
      <c r="O355">
        <v>8.42</v>
      </c>
      <c r="P355">
        <v>0.56000000000000005</v>
      </c>
      <c r="Q355" t="s">
        <v>163</v>
      </c>
      <c r="R355" t="s">
        <v>163</v>
      </c>
      <c r="S355" t="s">
        <v>163</v>
      </c>
      <c r="T355" t="s">
        <v>163</v>
      </c>
      <c r="U355">
        <v>22.6</v>
      </c>
      <c r="V355" t="s">
        <v>163</v>
      </c>
      <c r="W355" t="s">
        <v>165</v>
      </c>
      <c r="X355" t="s">
        <v>165</v>
      </c>
      <c r="Y355">
        <v>1</v>
      </c>
      <c r="Z355">
        <v>2</v>
      </c>
      <c r="AA355">
        <v>1</v>
      </c>
      <c r="AB355">
        <v>2</v>
      </c>
      <c r="AC355">
        <v>1</v>
      </c>
      <c r="AD355">
        <v>0</v>
      </c>
      <c r="AE355">
        <v>2</v>
      </c>
      <c r="AF355" t="s">
        <v>163</v>
      </c>
      <c r="AG355" t="s">
        <v>163</v>
      </c>
      <c r="AH355" t="s">
        <v>163</v>
      </c>
      <c r="AI355" t="s">
        <v>163</v>
      </c>
      <c r="AJ355">
        <v>0</v>
      </c>
      <c r="AK355">
        <v>8</v>
      </c>
      <c r="AL355">
        <v>10</v>
      </c>
      <c r="AM355" t="s">
        <v>163</v>
      </c>
      <c r="AN355">
        <v>1</v>
      </c>
      <c r="AO355">
        <v>1</v>
      </c>
      <c r="AP355">
        <v>2</v>
      </c>
      <c r="AQ355">
        <v>2</v>
      </c>
      <c r="AR355">
        <v>10</v>
      </c>
      <c r="AS355">
        <v>12</v>
      </c>
    </row>
    <row r="356" spans="1:45" x14ac:dyDescent="0.35">
      <c r="A356" s="337">
        <v>46266</v>
      </c>
      <c r="B356" s="337">
        <v>46273</v>
      </c>
      <c r="C356" s="337">
        <v>46268</v>
      </c>
      <c r="D356" t="s">
        <v>128</v>
      </c>
      <c r="E356" s="339">
        <v>0.875</v>
      </c>
      <c r="F356">
        <v>3</v>
      </c>
      <c r="G356" t="s">
        <v>119</v>
      </c>
      <c r="H356">
        <v>0.02</v>
      </c>
      <c r="I356" t="s">
        <v>165</v>
      </c>
      <c r="J356" t="s">
        <v>165</v>
      </c>
      <c r="K356" t="s">
        <v>165</v>
      </c>
      <c r="L356" t="s">
        <v>161</v>
      </c>
      <c r="M356" t="s">
        <v>161</v>
      </c>
      <c r="N356">
        <v>12.45</v>
      </c>
      <c r="O356" t="s">
        <v>163</v>
      </c>
      <c r="P356" t="s">
        <v>163</v>
      </c>
      <c r="Q356" t="s">
        <v>163</v>
      </c>
      <c r="R356" t="s">
        <v>163</v>
      </c>
      <c r="S356" t="s">
        <v>163</v>
      </c>
      <c r="T356" t="s">
        <v>163</v>
      </c>
      <c r="U356" t="s">
        <v>163</v>
      </c>
      <c r="V356" t="s">
        <v>163</v>
      </c>
      <c r="W356" t="s">
        <v>165</v>
      </c>
      <c r="X356" t="s">
        <v>165</v>
      </c>
      <c r="Y356">
        <v>1</v>
      </c>
      <c r="Z356">
        <v>2</v>
      </c>
      <c r="AA356">
        <v>1</v>
      </c>
      <c r="AB356">
        <v>2</v>
      </c>
      <c r="AC356">
        <v>1</v>
      </c>
      <c r="AD356" t="s">
        <v>163</v>
      </c>
      <c r="AE356" t="s">
        <v>163</v>
      </c>
      <c r="AF356" t="s">
        <v>163</v>
      </c>
      <c r="AG356" t="s">
        <v>163</v>
      </c>
      <c r="AH356" t="s">
        <v>163</v>
      </c>
      <c r="AI356" t="s">
        <v>163</v>
      </c>
      <c r="AJ356" t="s">
        <v>163</v>
      </c>
      <c r="AK356">
        <v>6</v>
      </c>
      <c r="AL356">
        <v>6</v>
      </c>
      <c r="AM356" t="s">
        <v>163</v>
      </c>
      <c r="AN356">
        <v>1</v>
      </c>
      <c r="AO356">
        <v>1</v>
      </c>
      <c r="AP356">
        <v>2</v>
      </c>
      <c r="AQ356">
        <v>2</v>
      </c>
      <c r="AR356">
        <v>8</v>
      </c>
      <c r="AS356">
        <v>8</v>
      </c>
    </row>
    <row r="357" spans="1:45" x14ac:dyDescent="0.35">
      <c r="A357" s="337">
        <v>46266</v>
      </c>
      <c r="B357" s="337">
        <v>46273</v>
      </c>
      <c r="C357" s="337">
        <v>46268</v>
      </c>
      <c r="D357" t="s">
        <v>128</v>
      </c>
      <c r="E357" s="339">
        <v>0.83333333333333337</v>
      </c>
      <c r="F357">
        <v>3</v>
      </c>
      <c r="G357" t="s">
        <v>119</v>
      </c>
      <c r="H357">
        <v>0.01</v>
      </c>
      <c r="I357" t="s">
        <v>165</v>
      </c>
      <c r="J357" t="s">
        <v>165</v>
      </c>
      <c r="K357" t="s">
        <v>165</v>
      </c>
      <c r="L357" t="s">
        <v>161</v>
      </c>
      <c r="M357" t="s">
        <v>161</v>
      </c>
      <c r="N357">
        <v>12.58</v>
      </c>
      <c r="O357" t="s">
        <v>163</v>
      </c>
      <c r="P357" t="s">
        <v>163</v>
      </c>
      <c r="Q357" t="s">
        <v>163</v>
      </c>
      <c r="R357" t="s">
        <v>163</v>
      </c>
      <c r="S357" t="s">
        <v>163</v>
      </c>
      <c r="T357" t="s">
        <v>163</v>
      </c>
      <c r="U357" t="s">
        <v>163</v>
      </c>
      <c r="V357" t="s">
        <v>163</v>
      </c>
      <c r="W357" t="s">
        <v>165</v>
      </c>
      <c r="X357" t="s">
        <v>165</v>
      </c>
      <c r="Y357" t="s">
        <v>423</v>
      </c>
      <c r="Z357">
        <v>2</v>
      </c>
      <c r="AA357">
        <v>1</v>
      </c>
      <c r="AB357">
        <v>2</v>
      </c>
      <c r="AC357">
        <v>1</v>
      </c>
      <c r="AD357" t="s">
        <v>163</v>
      </c>
      <c r="AE357" t="s">
        <v>163</v>
      </c>
      <c r="AF357" t="s">
        <v>163</v>
      </c>
      <c r="AG357" t="s">
        <v>163</v>
      </c>
      <c r="AH357" t="s">
        <v>163</v>
      </c>
      <c r="AI357" t="s">
        <v>163</v>
      </c>
      <c r="AJ357" t="s">
        <v>163</v>
      </c>
      <c r="AK357">
        <v>6</v>
      </c>
      <c r="AL357">
        <v>6</v>
      </c>
      <c r="AM357" t="s">
        <v>163</v>
      </c>
      <c r="AN357">
        <v>1</v>
      </c>
      <c r="AO357">
        <v>1</v>
      </c>
      <c r="AP357">
        <v>2</v>
      </c>
      <c r="AQ357">
        <v>2</v>
      </c>
      <c r="AR357">
        <v>8</v>
      </c>
      <c r="AS357">
        <v>8</v>
      </c>
    </row>
    <row r="358" spans="1:45" x14ac:dyDescent="0.35">
      <c r="A358" s="337">
        <v>46266</v>
      </c>
      <c r="B358" s="337">
        <v>46273</v>
      </c>
      <c r="C358" s="337">
        <v>46268</v>
      </c>
      <c r="D358" t="s">
        <v>128</v>
      </c>
      <c r="E358" s="339">
        <v>0.79166666666666663</v>
      </c>
      <c r="F358">
        <v>3</v>
      </c>
      <c r="G358" t="s">
        <v>78</v>
      </c>
      <c r="H358">
        <v>0.01</v>
      </c>
      <c r="I358" t="s">
        <v>165</v>
      </c>
      <c r="J358" t="s">
        <v>165</v>
      </c>
      <c r="K358" t="s">
        <v>165</v>
      </c>
      <c r="L358" t="s">
        <v>161</v>
      </c>
      <c r="M358" t="s">
        <v>161</v>
      </c>
      <c r="N358">
        <v>12.2</v>
      </c>
      <c r="O358" t="s">
        <v>163</v>
      </c>
      <c r="P358" t="s">
        <v>163</v>
      </c>
      <c r="Q358" t="s">
        <v>163</v>
      </c>
      <c r="R358" t="s">
        <v>163</v>
      </c>
      <c r="S358" t="s">
        <v>163</v>
      </c>
      <c r="T358" t="s">
        <v>163</v>
      </c>
      <c r="U358" t="s">
        <v>163</v>
      </c>
      <c r="V358" t="s">
        <v>163</v>
      </c>
      <c r="W358" t="s">
        <v>165</v>
      </c>
      <c r="X358" t="s">
        <v>165</v>
      </c>
      <c r="Y358">
        <v>1</v>
      </c>
      <c r="Z358">
        <v>2</v>
      </c>
      <c r="AA358">
        <v>1</v>
      </c>
      <c r="AB358">
        <v>2</v>
      </c>
      <c r="AC358">
        <v>1</v>
      </c>
      <c r="AD358" t="s">
        <v>163</v>
      </c>
      <c r="AE358" t="s">
        <v>163</v>
      </c>
      <c r="AF358" t="s">
        <v>163</v>
      </c>
      <c r="AG358" t="s">
        <v>163</v>
      </c>
      <c r="AH358" t="s">
        <v>163</v>
      </c>
      <c r="AI358" t="s">
        <v>163</v>
      </c>
      <c r="AJ358" t="s">
        <v>163</v>
      </c>
      <c r="AK358">
        <v>6</v>
      </c>
      <c r="AL358">
        <v>6</v>
      </c>
      <c r="AM358" t="s">
        <v>163</v>
      </c>
      <c r="AN358">
        <v>1</v>
      </c>
      <c r="AO358">
        <v>1</v>
      </c>
      <c r="AP358">
        <v>2</v>
      </c>
      <c r="AQ358">
        <v>2</v>
      </c>
      <c r="AR358">
        <v>8</v>
      </c>
      <c r="AS358">
        <v>8</v>
      </c>
    </row>
    <row r="359" spans="1:45" x14ac:dyDescent="0.35">
      <c r="A359" s="337">
        <v>46266</v>
      </c>
      <c r="B359" s="337">
        <v>46273</v>
      </c>
      <c r="C359" s="337">
        <v>46268</v>
      </c>
      <c r="D359" t="s">
        <v>128</v>
      </c>
      <c r="E359" s="339">
        <v>0.75</v>
      </c>
      <c r="F359">
        <v>3</v>
      </c>
      <c r="G359" t="s">
        <v>78</v>
      </c>
      <c r="H359">
        <v>0.01</v>
      </c>
      <c r="I359" t="s">
        <v>165</v>
      </c>
      <c r="J359" t="s">
        <v>165</v>
      </c>
      <c r="K359" t="s">
        <v>165</v>
      </c>
      <c r="L359" t="s">
        <v>161</v>
      </c>
      <c r="M359" t="s">
        <v>161</v>
      </c>
      <c r="N359">
        <v>11.92</v>
      </c>
      <c r="O359">
        <v>12.87</v>
      </c>
      <c r="P359" t="s">
        <v>163</v>
      </c>
      <c r="Q359">
        <v>64.900000000000006</v>
      </c>
      <c r="R359" t="s">
        <v>163</v>
      </c>
      <c r="S359" t="s">
        <v>163</v>
      </c>
      <c r="T359">
        <v>36</v>
      </c>
      <c r="U359" t="s">
        <v>163</v>
      </c>
      <c r="V359" t="s">
        <v>163</v>
      </c>
      <c r="W359" t="s">
        <v>165</v>
      </c>
      <c r="X359" t="s">
        <v>165</v>
      </c>
      <c r="Y359">
        <v>1</v>
      </c>
      <c r="Z359">
        <v>2</v>
      </c>
      <c r="AA359">
        <v>1</v>
      </c>
      <c r="AB359">
        <v>2</v>
      </c>
      <c r="AC359">
        <v>1</v>
      </c>
      <c r="AD359">
        <v>1</v>
      </c>
      <c r="AE359" t="s">
        <v>163</v>
      </c>
      <c r="AF359">
        <v>0</v>
      </c>
      <c r="AG359" t="s">
        <v>163</v>
      </c>
      <c r="AH359" t="s">
        <v>163</v>
      </c>
      <c r="AI359">
        <v>2</v>
      </c>
      <c r="AJ359" t="s">
        <v>163</v>
      </c>
      <c r="AK359">
        <v>9</v>
      </c>
      <c r="AL359">
        <v>11</v>
      </c>
      <c r="AM359" t="s">
        <v>163</v>
      </c>
      <c r="AN359">
        <v>1</v>
      </c>
      <c r="AO359">
        <v>1</v>
      </c>
      <c r="AP359">
        <v>2</v>
      </c>
      <c r="AQ359">
        <v>2</v>
      </c>
      <c r="AR359">
        <v>11</v>
      </c>
      <c r="AS359">
        <v>13</v>
      </c>
    </row>
    <row r="360" spans="1:45" x14ac:dyDescent="0.35">
      <c r="A360" s="337">
        <v>46266</v>
      </c>
      <c r="B360" s="337">
        <v>46273</v>
      </c>
      <c r="C360" s="337">
        <v>46267</v>
      </c>
      <c r="D360" t="s">
        <v>128</v>
      </c>
      <c r="E360" s="339">
        <v>0.70833333333333337</v>
      </c>
      <c r="F360">
        <v>3</v>
      </c>
      <c r="G360" t="s">
        <v>41</v>
      </c>
      <c r="H360">
        <v>0.01</v>
      </c>
      <c r="I360" t="s">
        <v>165</v>
      </c>
      <c r="J360" t="s">
        <v>165</v>
      </c>
      <c r="K360" t="s">
        <v>165</v>
      </c>
      <c r="L360" t="s">
        <v>161</v>
      </c>
      <c r="M360" t="s">
        <v>161</v>
      </c>
      <c r="N360">
        <v>11.92</v>
      </c>
      <c r="O360" t="s">
        <v>163</v>
      </c>
      <c r="P360" t="s">
        <v>163</v>
      </c>
      <c r="Q360" t="s">
        <v>163</v>
      </c>
      <c r="R360" t="s">
        <v>163</v>
      </c>
      <c r="S360" t="s">
        <v>163</v>
      </c>
      <c r="T360" t="s">
        <v>163</v>
      </c>
      <c r="U360" t="s">
        <v>163</v>
      </c>
      <c r="V360" t="s">
        <v>163</v>
      </c>
      <c r="W360" t="s">
        <v>165</v>
      </c>
      <c r="X360" t="s">
        <v>165</v>
      </c>
      <c r="Y360">
        <v>1</v>
      </c>
      <c r="Z360">
        <v>2</v>
      </c>
      <c r="AA360">
        <v>1</v>
      </c>
      <c r="AB360">
        <v>2</v>
      </c>
      <c r="AC360">
        <v>0</v>
      </c>
      <c r="AD360" t="s">
        <v>163</v>
      </c>
      <c r="AE360" t="s">
        <v>163</v>
      </c>
      <c r="AF360" t="s">
        <v>163</v>
      </c>
      <c r="AG360" t="s">
        <v>163</v>
      </c>
      <c r="AH360" t="s">
        <v>163</v>
      </c>
      <c r="AI360" t="s">
        <v>163</v>
      </c>
      <c r="AJ360" t="s">
        <v>163</v>
      </c>
      <c r="AK360">
        <v>5</v>
      </c>
      <c r="AL360">
        <v>6</v>
      </c>
      <c r="AM360" t="s">
        <v>163</v>
      </c>
      <c r="AN360">
        <v>1</v>
      </c>
      <c r="AO360">
        <v>1</v>
      </c>
      <c r="AP360">
        <v>2</v>
      </c>
      <c r="AQ360">
        <v>2</v>
      </c>
      <c r="AR360">
        <v>7</v>
      </c>
      <c r="AS360">
        <v>8</v>
      </c>
    </row>
    <row r="361" spans="1:45" x14ac:dyDescent="0.35">
      <c r="A361" s="337">
        <v>46266</v>
      </c>
      <c r="B361" s="337">
        <v>46273</v>
      </c>
      <c r="C361" s="337">
        <v>46267</v>
      </c>
      <c r="D361" t="s">
        <v>128</v>
      </c>
      <c r="E361" s="339">
        <v>0.66666666666666663</v>
      </c>
      <c r="F361">
        <v>3</v>
      </c>
      <c r="G361" t="s">
        <v>41</v>
      </c>
      <c r="H361" t="s">
        <v>163</v>
      </c>
      <c r="I361" t="s">
        <v>165</v>
      </c>
      <c r="J361" t="s">
        <v>165</v>
      </c>
      <c r="K361" t="s">
        <v>165</v>
      </c>
      <c r="L361" t="s">
        <v>161</v>
      </c>
      <c r="M361" t="s">
        <v>161</v>
      </c>
      <c r="N361">
        <v>12.38</v>
      </c>
      <c r="O361" t="s">
        <v>163</v>
      </c>
      <c r="P361" t="s">
        <v>163</v>
      </c>
      <c r="Q361" t="s">
        <v>163</v>
      </c>
      <c r="R361" t="s">
        <v>163</v>
      </c>
      <c r="S361" t="s">
        <v>163</v>
      </c>
      <c r="T361" t="s">
        <v>163</v>
      </c>
      <c r="U361" t="s">
        <v>163</v>
      </c>
      <c r="V361" t="s">
        <v>163</v>
      </c>
      <c r="W361" t="s">
        <v>165</v>
      </c>
      <c r="X361" t="s">
        <v>165</v>
      </c>
      <c r="Y361">
        <v>1</v>
      </c>
      <c r="Z361" t="s">
        <v>163</v>
      </c>
      <c r="AA361">
        <v>1</v>
      </c>
      <c r="AB361">
        <v>2</v>
      </c>
      <c r="AC361">
        <v>1</v>
      </c>
      <c r="AD361" t="s">
        <v>163</v>
      </c>
      <c r="AE361" t="s">
        <v>163</v>
      </c>
      <c r="AF361" t="s">
        <v>163</v>
      </c>
      <c r="AG361" t="s">
        <v>163</v>
      </c>
      <c r="AH361" t="s">
        <v>163</v>
      </c>
      <c r="AI361" t="s">
        <v>163</v>
      </c>
      <c r="AJ361" t="s">
        <v>163</v>
      </c>
      <c r="AK361">
        <v>4</v>
      </c>
      <c r="AL361">
        <v>4</v>
      </c>
      <c r="AM361" t="s">
        <v>163</v>
      </c>
      <c r="AN361">
        <v>1</v>
      </c>
      <c r="AO361">
        <v>1</v>
      </c>
      <c r="AP361">
        <v>2</v>
      </c>
      <c r="AQ361">
        <v>2</v>
      </c>
      <c r="AR361">
        <v>6</v>
      </c>
      <c r="AS361">
        <v>6</v>
      </c>
    </row>
    <row r="362" spans="1:45" x14ac:dyDescent="0.35">
      <c r="A362" s="337">
        <v>46266</v>
      </c>
      <c r="B362" s="337">
        <v>46273</v>
      </c>
      <c r="C362" s="337">
        <v>46267</v>
      </c>
      <c r="D362" t="s">
        <v>128</v>
      </c>
      <c r="E362" s="339">
        <v>0.58333333333333337</v>
      </c>
      <c r="F362">
        <v>3</v>
      </c>
      <c r="G362" t="s">
        <v>41</v>
      </c>
      <c r="H362" t="s">
        <v>163</v>
      </c>
      <c r="I362" t="s">
        <v>165</v>
      </c>
      <c r="J362" t="s">
        <v>165</v>
      </c>
      <c r="K362" t="s">
        <v>165</v>
      </c>
      <c r="L362" t="s">
        <v>161</v>
      </c>
      <c r="M362" t="s">
        <v>161</v>
      </c>
      <c r="N362">
        <v>12.56</v>
      </c>
      <c r="O362">
        <v>12.8</v>
      </c>
      <c r="P362" t="s">
        <v>163</v>
      </c>
      <c r="Q362" t="s">
        <v>163</v>
      </c>
      <c r="R362" t="s">
        <v>163</v>
      </c>
      <c r="S362" t="s">
        <v>163</v>
      </c>
      <c r="T362">
        <v>35.1</v>
      </c>
      <c r="U362" t="s">
        <v>163</v>
      </c>
      <c r="V362" t="s">
        <v>163</v>
      </c>
      <c r="W362" t="s">
        <v>165</v>
      </c>
      <c r="X362" t="s">
        <v>165</v>
      </c>
      <c r="Y362">
        <v>1</v>
      </c>
      <c r="Z362" t="s">
        <v>163</v>
      </c>
      <c r="AA362">
        <v>1</v>
      </c>
      <c r="AB362">
        <v>2</v>
      </c>
      <c r="AC362">
        <v>1</v>
      </c>
      <c r="AD362">
        <v>1</v>
      </c>
      <c r="AE362" t="s">
        <v>163</v>
      </c>
      <c r="AF362" t="s">
        <v>163</v>
      </c>
      <c r="AG362" t="s">
        <v>163</v>
      </c>
      <c r="AH362" t="s">
        <v>163</v>
      </c>
      <c r="AI362">
        <v>2</v>
      </c>
      <c r="AJ362" t="s">
        <v>163</v>
      </c>
      <c r="AK362">
        <v>7</v>
      </c>
      <c r="AL362">
        <v>7</v>
      </c>
      <c r="AM362" t="s">
        <v>163</v>
      </c>
      <c r="AN362">
        <v>1</v>
      </c>
      <c r="AO362">
        <v>1</v>
      </c>
      <c r="AP362">
        <v>2</v>
      </c>
      <c r="AQ362">
        <v>2</v>
      </c>
      <c r="AR362">
        <v>9</v>
      </c>
      <c r="AS362">
        <v>9</v>
      </c>
    </row>
    <row r="363" spans="1:45" x14ac:dyDescent="0.35">
      <c r="A363" s="337">
        <v>46266</v>
      </c>
      <c r="B363" s="337">
        <v>46273</v>
      </c>
      <c r="C363" s="337">
        <v>816</v>
      </c>
      <c r="D363" t="s">
        <v>128</v>
      </c>
      <c r="E363" s="339">
        <v>0.875</v>
      </c>
      <c r="F363">
        <v>2</v>
      </c>
      <c r="G363" t="s">
        <v>39</v>
      </c>
      <c r="H363" t="s">
        <v>163</v>
      </c>
      <c r="I363" t="s">
        <v>165</v>
      </c>
      <c r="J363" t="s">
        <v>165</v>
      </c>
      <c r="K363" t="s">
        <v>165</v>
      </c>
      <c r="L363" t="s">
        <v>163</v>
      </c>
      <c r="M363" t="s">
        <v>161</v>
      </c>
      <c r="N363">
        <v>10.83</v>
      </c>
      <c r="O363" t="s">
        <v>163</v>
      </c>
      <c r="P363" t="s">
        <v>163</v>
      </c>
      <c r="Q363" t="s">
        <v>163</v>
      </c>
      <c r="R363" t="s">
        <v>163</v>
      </c>
      <c r="S363" t="s">
        <v>163</v>
      </c>
      <c r="T363" t="s">
        <v>163</v>
      </c>
      <c r="U363" t="s">
        <v>163</v>
      </c>
      <c r="V363" t="s">
        <v>163</v>
      </c>
      <c r="W363" t="s">
        <v>165</v>
      </c>
      <c r="X363" t="s">
        <v>165</v>
      </c>
      <c r="Y363" t="s">
        <v>163</v>
      </c>
      <c r="Z363" t="s">
        <v>163</v>
      </c>
      <c r="AA363">
        <v>1</v>
      </c>
      <c r="AB363">
        <v>2</v>
      </c>
      <c r="AC363">
        <v>0</v>
      </c>
      <c r="AD363" t="s">
        <v>163</v>
      </c>
      <c r="AE363" t="s">
        <v>163</v>
      </c>
      <c r="AF363" t="s">
        <v>163</v>
      </c>
      <c r="AG363" t="s">
        <v>163</v>
      </c>
      <c r="AH363" t="s">
        <v>163</v>
      </c>
      <c r="AI363" t="s">
        <v>163</v>
      </c>
      <c r="AJ363" t="s">
        <v>163</v>
      </c>
      <c r="AK363">
        <v>3</v>
      </c>
      <c r="AL363">
        <v>4</v>
      </c>
      <c r="AM363" t="s">
        <v>163</v>
      </c>
      <c r="AN363">
        <v>1</v>
      </c>
      <c r="AO363">
        <v>1</v>
      </c>
      <c r="AP363">
        <v>2</v>
      </c>
      <c r="AQ363">
        <v>2</v>
      </c>
      <c r="AR363">
        <v>5</v>
      </c>
      <c r="AS363">
        <v>6</v>
      </c>
    </row>
    <row r="364" spans="1:45" x14ac:dyDescent="0.35">
      <c r="A364" s="337">
        <v>46266</v>
      </c>
      <c r="B364" s="337">
        <v>46273</v>
      </c>
      <c r="C364" s="337">
        <v>816</v>
      </c>
      <c r="D364" t="s">
        <v>128</v>
      </c>
      <c r="E364" s="339">
        <v>0.79166666666666663</v>
      </c>
      <c r="F364">
        <v>2</v>
      </c>
      <c r="G364" t="s">
        <v>39</v>
      </c>
      <c r="H364" t="s">
        <v>163</v>
      </c>
      <c r="I364" t="s">
        <v>165</v>
      </c>
      <c r="J364" t="s">
        <v>165</v>
      </c>
      <c r="K364" t="s">
        <v>165</v>
      </c>
      <c r="L364" t="s">
        <v>163</v>
      </c>
      <c r="M364" t="s">
        <v>161</v>
      </c>
      <c r="N364">
        <v>10.74</v>
      </c>
      <c r="O364" t="s">
        <v>163</v>
      </c>
      <c r="P364" t="s">
        <v>163</v>
      </c>
      <c r="Q364" t="s">
        <v>163</v>
      </c>
      <c r="R364" t="s">
        <v>163</v>
      </c>
      <c r="S364" t="s">
        <v>163</v>
      </c>
      <c r="T364" t="s">
        <v>163</v>
      </c>
      <c r="U364" t="s">
        <v>163</v>
      </c>
      <c r="V364" t="s">
        <v>163</v>
      </c>
      <c r="W364" t="s">
        <v>165</v>
      </c>
      <c r="X364" t="s">
        <v>165</v>
      </c>
      <c r="Y364" t="s">
        <v>163</v>
      </c>
      <c r="Z364" t="s">
        <v>163</v>
      </c>
      <c r="AA364">
        <v>1</v>
      </c>
      <c r="AB364">
        <v>2</v>
      </c>
      <c r="AC364">
        <v>0</v>
      </c>
      <c r="AD364" t="s">
        <v>163</v>
      </c>
      <c r="AE364" t="s">
        <v>163</v>
      </c>
      <c r="AF364" t="s">
        <v>163</v>
      </c>
      <c r="AG364" t="s">
        <v>163</v>
      </c>
      <c r="AH364" t="s">
        <v>163</v>
      </c>
      <c r="AI364" t="s">
        <v>163</v>
      </c>
      <c r="AJ364" t="s">
        <v>163</v>
      </c>
      <c r="AK364">
        <v>3</v>
      </c>
      <c r="AL364">
        <v>4</v>
      </c>
      <c r="AM364" t="s">
        <v>163</v>
      </c>
      <c r="AN364">
        <v>1</v>
      </c>
      <c r="AO364">
        <v>1</v>
      </c>
      <c r="AP364">
        <v>2</v>
      </c>
      <c r="AQ364">
        <v>2</v>
      </c>
      <c r="AR364">
        <v>5</v>
      </c>
      <c r="AS364">
        <v>6</v>
      </c>
    </row>
    <row r="365" spans="1:45" x14ac:dyDescent="0.35">
      <c r="A365" s="337">
        <v>46266</v>
      </c>
      <c r="B365" s="337">
        <v>46273</v>
      </c>
      <c r="C365" s="337">
        <v>816</v>
      </c>
      <c r="D365" t="s">
        <v>128</v>
      </c>
      <c r="E365" s="339">
        <v>0.75</v>
      </c>
      <c r="F365">
        <v>2</v>
      </c>
      <c r="G365" t="s">
        <v>39</v>
      </c>
      <c r="H365" t="s">
        <v>163</v>
      </c>
      <c r="I365" t="s">
        <v>165</v>
      </c>
      <c r="J365" t="s">
        <v>165</v>
      </c>
      <c r="K365" t="s">
        <v>165</v>
      </c>
      <c r="L365" t="s">
        <v>163</v>
      </c>
      <c r="M365" t="s">
        <v>161</v>
      </c>
      <c r="N365">
        <v>10.73</v>
      </c>
      <c r="O365" t="s">
        <v>163</v>
      </c>
      <c r="P365" t="s">
        <v>163</v>
      </c>
      <c r="Q365" t="s">
        <v>163</v>
      </c>
      <c r="R365" t="s">
        <v>163</v>
      </c>
      <c r="S365" t="s">
        <v>163</v>
      </c>
      <c r="T365" t="s">
        <v>163</v>
      </c>
      <c r="U365" t="s">
        <v>163</v>
      </c>
      <c r="V365" t="s">
        <v>163</v>
      </c>
      <c r="W365" t="s">
        <v>165</v>
      </c>
      <c r="X365" t="s">
        <v>165</v>
      </c>
      <c r="Y365">
        <v>1</v>
      </c>
      <c r="Z365" t="s">
        <v>163</v>
      </c>
      <c r="AA365">
        <v>1</v>
      </c>
      <c r="AB365">
        <v>2</v>
      </c>
      <c r="AC365">
        <v>0</v>
      </c>
      <c r="AD365" t="s">
        <v>163</v>
      </c>
      <c r="AE365" t="s">
        <v>163</v>
      </c>
      <c r="AF365" t="s">
        <v>163</v>
      </c>
      <c r="AG365" t="s">
        <v>163</v>
      </c>
      <c r="AH365" t="s">
        <v>163</v>
      </c>
      <c r="AI365" t="s">
        <v>163</v>
      </c>
      <c r="AJ365" t="s">
        <v>163</v>
      </c>
      <c r="AK365">
        <v>3</v>
      </c>
      <c r="AL365">
        <v>4</v>
      </c>
      <c r="AM365" t="s">
        <v>163</v>
      </c>
      <c r="AN365">
        <v>1</v>
      </c>
      <c r="AO365">
        <v>1</v>
      </c>
      <c r="AP365">
        <v>2</v>
      </c>
      <c r="AQ365">
        <v>2</v>
      </c>
      <c r="AR365">
        <v>5</v>
      </c>
      <c r="AS365">
        <v>6</v>
      </c>
    </row>
    <row r="366" spans="1:45" x14ac:dyDescent="0.35">
      <c r="A366" s="337">
        <v>46266</v>
      </c>
      <c r="B366" s="337">
        <v>46273</v>
      </c>
      <c r="C366" s="337">
        <v>816</v>
      </c>
      <c r="D366" t="s">
        <v>128</v>
      </c>
      <c r="E366" s="339">
        <v>0.70833333333333337</v>
      </c>
      <c r="F366">
        <v>2</v>
      </c>
      <c r="G366" t="s">
        <v>39</v>
      </c>
      <c r="H366" t="s">
        <v>163</v>
      </c>
      <c r="I366" t="s">
        <v>165</v>
      </c>
      <c r="J366" t="s">
        <v>165</v>
      </c>
      <c r="K366" t="s">
        <v>165</v>
      </c>
      <c r="L366" t="s">
        <v>163</v>
      </c>
      <c r="M366" t="s">
        <v>161</v>
      </c>
      <c r="N366">
        <v>10.27</v>
      </c>
      <c r="O366" t="s">
        <v>163</v>
      </c>
      <c r="P366" t="s">
        <v>163</v>
      </c>
      <c r="Q366" t="s">
        <v>163</v>
      </c>
      <c r="R366" t="s">
        <v>163</v>
      </c>
      <c r="S366" t="s">
        <v>163</v>
      </c>
      <c r="T366" t="s">
        <v>163</v>
      </c>
      <c r="U366" t="s">
        <v>163</v>
      </c>
      <c r="V366" t="s">
        <v>163</v>
      </c>
      <c r="W366" t="s">
        <v>165</v>
      </c>
      <c r="X366" t="s">
        <v>165</v>
      </c>
      <c r="Y366">
        <v>1</v>
      </c>
      <c r="Z366" t="s">
        <v>163</v>
      </c>
      <c r="AA366">
        <v>1</v>
      </c>
      <c r="AB366">
        <v>2</v>
      </c>
      <c r="AC366">
        <v>0</v>
      </c>
      <c r="AD366" t="s">
        <v>163</v>
      </c>
      <c r="AE366" t="s">
        <v>163</v>
      </c>
      <c r="AF366" t="s">
        <v>163</v>
      </c>
      <c r="AG366" t="s">
        <v>163</v>
      </c>
      <c r="AH366" t="s">
        <v>163</v>
      </c>
      <c r="AI366" t="s">
        <v>163</v>
      </c>
      <c r="AJ366" t="s">
        <v>163</v>
      </c>
      <c r="AK366">
        <v>3</v>
      </c>
      <c r="AL366">
        <v>4</v>
      </c>
      <c r="AM366" t="s">
        <v>163</v>
      </c>
      <c r="AN366">
        <v>1</v>
      </c>
      <c r="AO366">
        <v>1</v>
      </c>
      <c r="AP366">
        <v>2</v>
      </c>
      <c r="AQ366">
        <v>2</v>
      </c>
      <c r="AR366">
        <v>5</v>
      </c>
      <c r="AS366">
        <v>6</v>
      </c>
    </row>
    <row r="367" spans="1:45" x14ac:dyDescent="0.35">
      <c r="A367" s="337">
        <v>46266</v>
      </c>
      <c r="B367" s="337">
        <v>46273</v>
      </c>
      <c r="C367" s="337">
        <v>816</v>
      </c>
      <c r="D367" t="s">
        <v>128</v>
      </c>
      <c r="E367" s="339">
        <v>0.66666666666666663</v>
      </c>
      <c r="F367">
        <v>2</v>
      </c>
      <c r="G367" t="s">
        <v>39</v>
      </c>
      <c r="H367" t="s">
        <v>163</v>
      </c>
      <c r="I367" t="s">
        <v>165</v>
      </c>
      <c r="J367" t="s">
        <v>165</v>
      </c>
      <c r="K367" t="s">
        <v>165</v>
      </c>
      <c r="L367" t="s">
        <v>163</v>
      </c>
      <c r="M367" t="s">
        <v>161</v>
      </c>
      <c r="N367">
        <v>10.29</v>
      </c>
      <c r="O367" t="s">
        <v>163</v>
      </c>
      <c r="P367" t="s">
        <v>163</v>
      </c>
      <c r="Q367" t="s">
        <v>163</v>
      </c>
      <c r="R367" t="s">
        <v>163</v>
      </c>
      <c r="S367" t="s">
        <v>163</v>
      </c>
      <c r="T367" t="s">
        <v>163</v>
      </c>
      <c r="U367" t="s">
        <v>163</v>
      </c>
      <c r="V367" t="s">
        <v>163</v>
      </c>
      <c r="W367" t="s">
        <v>165</v>
      </c>
      <c r="X367" t="s">
        <v>165</v>
      </c>
      <c r="Y367">
        <v>1</v>
      </c>
      <c r="Z367" t="s">
        <v>163</v>
      </c>
      <c r="AA367">
        <v>1</v>
      </c>
      <c r="AB367">
        <v>2</v>
      </c>
      <c r="AC367">
        <v>0</v>
      </c>
      <c r="AD367" t="s">
        <v>163</v>
      </c>
      <c r="AE367" t="s">
        <v>163</v>
      </c>
      <c r="AF367" t="s">
        <v>163</v>
      </c>
      <c r="AG367" t="s">
        <v>163</v>
      </c>
      <c r="AH367" t="s">
        <v>163</v>
      </c>
      <c r="AI367" t="s">
        <v>163</v>
      </c>
      <c r="AJ367" t="s">
        <v>163</v>
      </c>
      <c r="AK367">
        <v>3</v>
      </c>
      <c r="AL367">
        <v>4</v>
      </c>
      <c r="AM367" t="s">
        <v>163</v>
      </c>
      <c r="AN367">
        <v>1</v>
      </c>
      <c r="AO367">
        <v>1</v>
      </c>
      <c r="AP367">
        <v>2</v>
      </c>
      <c r="AQ367">
        <v>2</v>
      </c>
      <c r="AR367">
        <v>5</v>
      </c>
      <c r="AS367">
        <v>6</v>
      </c>
    </row>
    <row r="368" spans="1:45" x14ac:dyDescent="0.35">
      <c r="A368" s="337">
        <v>46266</v>
      </c>
      <c r="B368" s="337">
        <v>46273</v>
      </c>
      <c r="C368" s="337">
        <v>816</v>
      </c>
      <c r="D368" t="s">
        <v>128</v>
      </c>
      <c r="E368" s="339">
        <v>0.58333333333333337</v>
      </c>
      <c r="F368">
        <v>2</v>
      </c>
      <c r="G368" t="s">
        <v>39</v>
      </c>
      <c r="H368" t="s">
        <v>163</v>
      </c>
      <c r="I368" t="s">
        <v>165</v>
      </c>
      <c r="J368" t="s">
        <v>165</v>
      </c>
      <c r="K368" t="s">
        <v>165</v>
      </c>
      <c r="L368" t="s">
        <v>163</v>
      </c>
      <c r="M368" t="s">
        <v>161</v>
      </c>
      <c r="N368">
        <v>10.51</v>
      </c>
      <c r="O368" t="s">
        <v>163</v>
      </c>
      <c r="P368" t="s">
        <v>163</v>
      </c>
      <c r="Q368" t="s">
        <v>163</v>
      </c>
      <c r="R368" t="s">
        <v>163</v>
      </c>
      <c r="S368" t="s">
        <v>163</v>
      </c>
      <c r="T368" t="s">
        <v>163</v>
      </c>
      <c r="U368" t="s">
        <v>163</v>
      </c>
      <c r="V368" t="s">
        <v>163</v>
      </c>
      <c r="W368" t="s">
        <v>165</v>
      </c>
      <c r="X368" t="s">
        <v>165</v>
      </c>
      <c r="Y368" t="s">
        <v>163</v>
      </c>
      <c r="Z368" t="s">
        <v>163</v>
      </c>
      <c r="AA368">
        <v>1</v>
      </c>
      <c r="AB368">
        <v>2</v>
      </c>
      <c r="AC368">
        <v>0</v>
      </c>
      <c r="AD368" t="s">
        <v>163</v>
      </c>
      <c r="AE368" t="s">
        <v>163</v>
      </c>
      <c r="AF368" t="s">
        <v>163</v>
      </c>
      <c r="AG368" t="s">
        <v>163</v>
      </c>
      <c r="AH368" t="s">
        <v>163</v>
      </c>
      <c r="AI368" t="s">
        <v>163</v>
      </c>
      <c r="AJ368" t="s">
        <v>163</v>
      </c>
      <c r="AK368">
        <v>3</v>
      </c>
      <c r="AL368">
        <v>4</v>
      </c>
      <c r="AM368" t="s">
        <v>163</v>
      </c>
      <c r="AN368">
        <v>1</v>
      </c>
      <c r="AO368">
        <v>1</v>
      </c>
      <c r="AP368">
        <v>2</v>
      </c>
      <c r="AQ368">
        <v>2</v>
      </c>
      <c r="AR368">
        <v>5</v>
      </c>
      <c r="AS368">
        <v>6</v>
      </c>
    </row>
    <row r="369" spans="1:45" x14ac:dyDescent="0.35">
      <c r="A369" s="337">
        <v>46266</v>
      </c>
      <c r="B369" s="337">
        <v>46273</v>
      </c>
      <c r="C369" s="337">
        <v>46269</v>
      </c>
      <c r="D369" t="s">
        <v>128</v>
      </c>
      <c r="E369" s="339">
        <v>0.875</v>
      </c>
      <c r="F369">
        <v>1</v>
      </c>
      <c r="G369" t="s">
        <v>158</v>
      </c>
      <c r="H369">
        <v>0.01</v>
      </c>
      <c r="I369" t="s">
        <v>165</v>
      </c>
      <c r="J369" t="s">
        <v>165</v>
      </c>
      <c r="K369" t="s">
        <v>165</v>
      </c>
      <c r="L369" t="s">
        <v>163</v>
      </c>
      <c r="M369" t="s">
        <v>163</v>
      </c>
      <c r="N369">
        <v>11.07</v>
      </c>
      <c r="O369" t="s">
        <v>163</v>
      </c>
      <c r="P369" t="s">
        <v>163</v>
      </c>
      <c r="Q369" t="s">
        <v>163</v>
      </c>
      <c r="R369" t="s">
        <v>163</v>
      </c>
      <c r="S369" t="s">
        <v>163</v>
      </c>
      <c r="T369" t="s">
        <v>163</v>
      </c>
      <c r="U369" t="s">
        <v>163</v>
      </c>
      <c r="V369" t="s">
        <v>163</v>
      </c>
      <c r="W369" t="s">
        <v>165</v>
      </c>
      <c r="X369" t="s">
        <v>165</v>
      </c>
      <c r="Y369">
        <v>1</v>
      </c>
      <c r="Z369">
        <v>2</v>
      </c>
      <c r="AA369">
        <v>1</v>
      </c>
      <c r="AB369">
        <v>2</v>
      </c>
      <c r="AC369">
        <v>1</v>
      </c>
      <c r="AD369" t="s">
        <v>163</v>
      </c>
      <c r="AE369" t="s">
        <v>163</v>
      </c>
      <c r="AF369" t="s">
        <v>163</v>
      </c>
      <c r="AG369" t="s">
        <v>163</v>
      </c>
      <c r="AH369" t="s">
        <v>163</v>
      </c>
      <c r="AI369" t="s">
        <v>163</v>
      </c>
      <c r="AJ369" t="s">
        <v>163</v>
      </c>
      <c r="AK369">
        <v>6</v>
      </c>
      <c r="AL369">
        <v>6</v>
      </c>
      <c r="AM369" t="s">
        <v>163</v>
      </c>
      <c r="AN369">
        <v>1</v>
      </c>
      <c r="AO369">
        <v>1</v>
      </c>
      <c r="AP369">
        <v>2</v>
      </c>
      <c r="AQ369">
        <v>2</v>
      </c>
      <c r="AR369">
        <v>8</v>
      </c>
      <c r="AS369">
        <v>8</v>
      </c>
    </row>
    <row r="370" spans="1:45" x14ac:dyDescent="0.35">
      <c r="A370" s="337">
        <v>46266</v>
      </c>
      <c r="B370" s="337">
        <v>46273</v>
      </c>
      <c r="C370" s="337">
        <v>46269</v>
      </c>
      <c r="D370" t="s">
        <v>128</v>
      </c>
      <c r="E370" s="339">
        <v>0.79166666666666663</v>
      </c>
      <c r="F370">
        <v>1</v>
      </c>
      <c r="G370" t="s">
        <v>158</v>
      </c>
      <c r="H370">
        <v>0.01</v>
      </c>
      <c r="I370" t="s">
        <v>165</v>
      </c>
      <c r="J370" t="s">
        <v>165</v>
      </c>
      <c r="K370" t="s">
        <v>165</v>
      </c>
      <c r="L370" t="s">
        <v>163</v>
      </c>
      <c r="M370" t="s">
        <v>163</v>
      </c>
      <c r="N370">
        <v>10.61</v>
      </c>
      <c r="O370" t="s">
        <v>163</v>
      </c>
      <c r="P370" t="s">
        <v>163</v>
      </c>
      <c r="Q370" t="s">
        <v>163</v>
      </c>
      <c r="R370" t="s">
        <v>163</v>
      </c>
      <c r="S370" t="s">
        <v>163</v>
      </c>
      <c r="T370" t="s">
        <v>163</v>
      </c>
      <c r="U370" t="s">
        <v>163</v>
      </c>
      <c r="V370" t="s">
        <v>163</v>
      </c>
      <c r="W370" t="s">
        <v>165</v>
      </c>
      <c r="X370" t="s">
        <v>165</v>
      </c>
      <c r="Y370">
        <v>1</v>
      </c>
      <c r="Z370">
        <v>2</v>
      </c>
      <c r="AA370">
        <v>1</v>
      </c>
      <c r="AB370">
        <v>2</v>
      </c>
      <c r="AC370">
        <v>0</v>
      </c>
      <c r="AD370" t="s">
        <v>163</v>
      </c>
      <c r="AE370" t="s">
        <v>163</v>
      </c>
      <c r="AF370" t="s">
        <v>163</v>
      </c>
      <c r="AG370" t="s">
        <v>163</v>
      </c>
      <c r="AH370" t="s">
        <v>163</v>
      </c>
      <c r="AI370" t="s">
        <v>163</v>
      </c>
      <c r="AJ370" t="s">
        <v>163</v>
      </c>
      <c r="AK370">
        <v>5</v>
      </c>
      <c r="AL370">
        <v>6</v>
      </c>
      <c r="AM370" t="s">
        <v>163</v>
      </c>
      <c r="AN370">
        <v>1</v>
      </c>
      <c r="AO370">
        <v>1</v>
      </c>
      <c r="AP370">
        <v>2</v>
      </c>
      <c r="AQ370">
        <v>2</v>
      </c>
      <c r="AR370">
        <v>7</v>
      </c>
      <c r="AS370">
        <v>8</v>
      </c>
    </row>
    <row r="371" spans="1:45" x14ac:dyDescent="0.35">
      <c r="A371" s="337">
        <v>46266</v>
      </c>
      <c r="B371" s="337">
        <v>46273</v>
      </c>
      <c r="C371" s="337">
        <v>46269</v>
      </c>
      <c r="D371" t="s">
        <v>128</v>
      </c>
      <c r="E371" s="339">
        <v>0.75</v>
      </c>
      <c r="F371">
        <v>1</v>
      </c>
      <c r="G371" t="s">
        <v>158</v>
      </c>
      <c r="H371">
        <v>0.01</v>
      </c>
      <c r="I371" t="s">
        <v>163</v>
      </c>
      <c r="J371" t="s">
        <v>165</v>
      </c>
      <c r="K371" t="s">
        <v>165</v>
      </c>
      <c r="L371" t="s">
        <v>163</v>
      </c>
      <c r="M371" t="s">
        <v>163</v>
      </c>
      <c r="N371">
        <v>10.79</v>
      </c>
      <c r="O371" t="s">
        <v>163</v>
      </c>
      <c r="P371" t="s">
        <v>163</v>
      </c>
      <c r="Q371" t="s">
        <v>163</v>
      </c>
      <c r="R371" t="s">
        <v>163</v>
      </c>
      <c r="S371" t="s">
        <v>163</v>
      </c>
      <c r="T371" t="s">
        <v>163</v>
      </c>
      <c r="U371" t="s">
        <v>163</v>
      </c>
      <c r="V371" t="s">
        <v>163</v>
      </c>
      <c r="W371" t="s">
        <v>165</v>
      </c>
      <c r="X371" t="s">
        <v>165</v>
      </c>
      <c r="Y371">
        <v>1</v>
      </c>
      <c r="Z371">
        <v>2</v>
      </c>
      <c r="AA371" t="s">
        <v>163</v>
      </c>
      <c r="AB371">
        <v>2</v>
      </c>
      <c r="AC371">
        <v>0</v>
      </c>
      <c r="AD371" t="s">
        <v>163</v>
      </c>
      <c r="AE371" t="s">
        <v>163</v>
      </c>
      <c r="AF371" t="s">
        <v>163</v>
      </c>
      <c r="AG371" t="s">
        <v>163</v>
      </c>
      <c r="AH371" t="s">
        <v>163</v>
      </c>
      <c r="AI371" t="s">
        <v>163</v>
      </c>
      <c r="AJ371" t="s">
        <v>163</v>
      </c>
      <c r="AK371">
        <v>4</v>
      </c>
      <c r="AL371">
        <v>5</v>
      </c>
      <c r="AM371" t="s">
        <v>163</v>
      </c>
      <c r="AN371">
        <v>1</v>
      </c>
      <c r="AO371">
        <v>1</v>
      </c>
      <c r="AP371">
        <v>2</v>
      </c>
      <c r="AQ371">
        <v>2</v>
      </c>
      <c r="AR371">
        <v>6</v>
      </c>
      <c r="AS371">
        <v>7</v>
      </c>
    </row>
    <row r="372" spans="1:45" x14ac:dyDescent="0.35">
      <c r="A372" s="337">
        <v>46266</v>
      </c>
      <c r="B372" s="337">
        <v>46273</v>
      </c>
      <c r="C372" s="337">
        <v>46269</v>
      </c>
      <c r="D372" t="s">
        <v>128</v>
      </c>
      <c r="E372" s="339">
        <v>0.70833333333333337</v>
      </c>
      <c r="F372">
        <v>1</v>
      </c>
      <c r="G372" t="s">
        <v>158</v>
      </c>
      <c r="H372" t="s">
        <v>163</v>
      </c>
      <c r="I372" t="s">
        <v>165</v>
      </c>
      <c r="J372" t="s">
        <v>165</v>
      </c>
      <c r="K372" t="s">
        <v>165</v>
      </c>
      <c r="L372" t="s">
        <v>163</v>
      </c>
      <c r="M372" t="s">
        <v>163</v>
      </c>
      <c r="N372">
        <v>10.43</v>
      </c>
      <c r="O372" t="s">
        <v>163</v>
      </c>
      <c r="P372" t="s">
        <v>163</v>
      </c>
      <c r="Q372" t="s">
        <v>163</v>
      </c>
      <c r="R372" t="s">
        <v>163</v>
      </c>
      <c r="S372" t="s">
        <v>163</v>
      </c>
      <c r="T372" t="s">
        <v>163</v>
      </c>
      <c r="U372" t="s">
        <v>163</v>
      </c>
      <c r="V372" t="s">
        <v>163</v>
      </c>
      <c r="W372" t="s">
        <v>165</v>
      </c>
      <c r="X372" t="s">
        <v>165</v>
      </c>
      <c r="Y372">
        <v>1</v>
      </c>
      <c r="Z372" t="s">
        <v>163</v>
      </c>
      <c r="AA372">
        <v>1</v>
      </c>
      <c r="AB372">
        <v>2</v>
      </c>
      <c r="AC372">
        <v>0</v>
      </c>
      <c r="AD372" t="s">
        <v>163</v>
      </c>
      <c r="AE372" t="s">
        <v>163</v>
      </c>
      <c r="AF372" t="s">
        <v>163</v>
      </c>
      <c r="AG372" t="s">
        <v>163</v>
      </c>
      <c r="AH372" t="s">
        <v>163</v>
      </c>
      <c r="AI372" t="s">
        <v>163</v>
      </c>
      <c r="AJ372" t="s">
        <v>163</v>
      </c>
      <c r="AK372">
        <v>3</v>
      </c>
      <c r="AL372">
        <v>4</v>
      </c>
      <c r="AM372" t="s">
        <v>163</v>
      </c>
      <c r="AN372">
        <v>1</v>
      </c>
      <c r="AO372">
        <v>1</v>
      </c>
      <c r="AP372">
        <v>2</v>
      </c>
      <c r="AQ372">
        <v>2</v>
      </c>
      <c r="AR372">
        <v>5</v>
      </c>
      <c r="AS372">
        <v>6</v>
      </c>
    </row>
    <row r="373" spans="1:45" x14ac:dyDescent="0.35">
      <c r="A373" s="337">
        <v>46266</v>
      </c>
      <c r="B373" s="337">
        <v>46273</v>
      </c>
      <c r="C373" s="337">
        <v>46269</v>
      </c>
      <c r="D373" t="s">
        <v>128</v>
      </c>
      <c r="E373" s="339">
        <v>0.66666666666666663</v>
      </c>
      <c r="F373">
        <v>1</v>
      </c>
      <c r="G373" t="s">
        <v>158</v>
      </c>
      <c r="H373" t="s">
        <v>163</v>
      </c>
      <c r="I373" t="s">
        <v>165</v>
      </c>
      <c r="J373" t="s">
        <v>165</v>
      </c>
      <c r="K373" t="s">
        <v>165</v>
      </c>
      <c r="L373" t="s">
        <v>163</v>
      </c>
      <c r="M373" t="s">
        <v>163</v>
      </c>
      <c r="N373">
        <v>11.26</v>
      </c>
      <c r="O373" t="s">
        <v>163</v>
      </c>
      <c r="P373" t="s">
        <v>163</v>
      </c>
      <c r="Q373" t="s">
        <v>163</v>
      </c>
      <c r="R373" t="s">
        <v>163</v>
      </c>
      <c r="S373" t="s">
        <v>163</v>
      </c>
      <c r="T373" t="s">
        <v>163</v>
      </c>
      <c r="U373" t="s">
        <v>163</v>
      </c>
      <c r="V373" t="s">
        <v>163</v>
      </c>
      <c r="W373" t="s">
        <v>165</v>
      </c>
      <c r="X373" t="s">
        <v>165</v>
      </c>
      <c r="Y373">
        <v>1</v>
      </c>
      <c r="Z373" t="s">
        <v>163</v>
      </c>
      <c r="AA373">
        <v>1</v>
      </c>
      <c r="AB373">
        <v>2</v>
      </c>
      <c r="AC373">
        <v>1</v>
      </c>
      <c r="AD373" t="s">
        <v>163</v>
      </c>
      <c r="AE373" t="s">
        <v>163</v>
      </c>
      <c r="AF373" t="s">
        <v>163</v>
      </c>
      <c r="AG373" t="s">
        <v>163</v>
      </c>
      <c r="AH373" t="s">
        <v>163</v>
      </c>
      <c r="AI373" t="s">
        <v>163</v>
      </c>
      <c r="AJ373" t="s">
        <v>163</v>
      </c>
      <c r="AK373">
        <v>4</v>
      </c>
      <c r="AL373">
        <v>4</v>
      </c>
      <c r="AM373" t="s">
        <v>163</v>
      </c>
      <c r="AN373">
        <v>1</v>
      </c>
      <c r="AO373">
        <v>1</v>
      </c>
      <c r="AP373">
        <v>2</v>
      </c>
      <c r="AQ373">
        <v>2</v>
      </c>
      <c r="AR373">
        <v>6</v>
      </c>
      <c r="AS373">
        <v>6</v>
      </c>
    </row>
    <row r="374" spans="1:45" x14ac:dyDescent="0.35">
      <c r="A374" s="337">
        <v>46266</v>
      </c>
      <c r="B374" s="337">
        <v>46273</v>
      </c>
      <c r="C374" s="337">
        <v>46269</v>
      </c>
      <c r="D374" t="s">
        <v>128</v>
      </c>
      <c r="E374" s="339">
        <v>0.58333333333333337</v>
      </c>
      <c r="F374">
        <v>1</v>
      </c>
      <c r="G374" t="s">
        <v>158</v>
      </c>
      <c r="H374" t="s">
        <v>163</v>
      </c>
      <c r="I374" t="s">
        <v>165</v>
      </c>
      <c r="J374" t="s">
        <v>165</v>
      </c>
      <c r="K374" t="s">
        <v>165</v>
      </c>
      <c r="L374" t="s">
        <v>163</v>
      </c>
      <c r="M374" t="s">
        <v>163</v>
      </c>
      <c r="N374">
        <v>11.15</v>
      </c>
      <c r="O374">
        <v>10.59</v>
      </c>
      <c r="P374" t="s">
        <v>163</v>
      </c>
      <c r="Q374" t="s">
        <v>163</v>
      </c>
      <c r="R374" t="s">
        <v>163</v>
      </c>
      <c r="S374" t="s">
        <v>163</v>
      </c>
      <c r="T374">
        <v>29.4</v>
      </c>
      <c r="U374" t="s">
        <v>163</v>
      </c>
      <c r="V374" t="s">
        <v>163</v>
      </c>
      <c r="W374" t="s">
        <v>165</v>
      </c>
      <c r="X374" t="s">
        <v>165</v>
      </c>
      <c r="Y374" t="s">
        <v>163</v>
      </c>
      <c r="Z374" t="s">
        <v>163</v>
      </c>
      <c r="AA374">
        <v>1</v>
      </c>
      <c r="AB374">
        <v>2</v>
      </c>
      <c r="AC374">
        <v>1</v>
      </c>
      <c r="AD374">
        <v>0</v>
      </c>
      <c r="AE374" t="s">
        <v>163</v>
      </c>
      <c r="AF374" t="s">
        <v>163</v>
      </c>
      <c r="AG374" t="s">
        <v>163</v>
      </c>
      <c r="AH374" t="s">
        <v>163</v>
      </c>
      <c r="AI374">
        <v>2</v>
      </c>
      <c r="AJ374" t="s">
        <v>163</v>
      </c>
      <c r="AK374">
        <v>6</v>
      </c>
      <c r="AL374">
        <v>7</v>
      </c>
      <c r="AM374" t="s">
        <v>163</v>
      </c>
      <c r="AN374">
        <v>1</v>
      </c>
      <c r="AO374">
        <v>1</v>
      </c>
      <c r="AP374">
        <v>2</v>
      </c>
      <c r="AQ374">
        <v>2</v>
      </c>
      <c r="AR374">
        <v>8</v>
      </c>
      <c r="AS374">
        <v>9</v>
      </c>
    </row>
    <row r="375" spans="1:45" x14ac:dyDescent="0.35">
      <c r="A375" s="337">
        <v>46266</v>
      </c>
      <c r="B375" s="337">
        <v>46273</v>
      </c>
      <c r="C375" s="337">
        <v>46273</v>
      </c>
      <c r="D375" t="s">
        <v>125</v>
      </c>
      <c r="E375" t="s">
        <v>238</v>
      </c>
      <c r="F375" t="s">
        <v>383</v>
      </c>
      <c r="G375" t="s">
        <v>334</v>
      </c>
      <c r="H375" t="s">
        <v>163</v>
      </c>
      <c r="I375" t="s">
        <v>163</v>
      </c>
      <c r="J375" t="s">
        <v>163</v>
      </c>
      <c r="K375" t="s">
        <v>163</v>
      </c>
      <c r="L375" t="s">
        <v>163</v>
      </c>
      <c r="M375" t="s">
        <v>163</v>
      </c>
      <c r="N375">
        <v>12.71</v>
      </c>
      <c r="O375" t="s">
        <v>163</v>
      </c>
      <c r="P375" t="s">
        <v>163</v>
      </c>
      <c r="Q375" t="s">
        <v>163</v>
      </c>
      <c r="R375" t="s">
        <v>163</v>
      </c>
      <c r="S375" t="s">
        <v>163</v>
      </c>
      <c r="T375" t="s">
        <v>163</v>
      </c>
      <c r="U375" t="s">
        <v>163</v>
      </c>
      <c r="V375" t="s">
        <v>163</v>
      </c>
      <c r="W375" t="s">
        <v>163</v>
      </c>
      <c r="X375" t="s">
        <v>163</v>
      </c>
      <c r="Y375" t="s">
        <v>163</v>
      </c>
      <c r="Z375" t="s">
        <v>163</v>
      </c>
      <c r="AA375" t="s">
        <v>163</v>
      </c>
      <c r="AB375" t="s">
        <v>163</v>
      </c>
      <c r="AC375">
        <v>0</v>
      </c>
      <c r="AD375" t="s">
        <v>163</v>
      </c>
      <c r="AE375" t="s">
        <v>163</v>
      </c>
      <c r="AF375" t="s">
        <v>163</v>
      </c>
      <c r="AG375" t="s">
        <v>163</v>
      </c>
      <c r="AH375" t="s">
        <v>163</v>
      </c>
      <c r="AI375" t="s">
        <v>163</v>
      </c>
      <c r="AJ375" t="s">
        <v>163</v>
      </c>
      <c r="AK375">
        <v>0</v>
      </c>
      <c r="AL375">
        <v>1</v>
      </c>
      <c r="AM375" t="s">
        <v>163</v>
      </c>
      <c r="AN375" t="s">
        <v>163</v>
      </c>
      <c r="AO375" t="s">
        <v>163</v>
      </c>
      <c r="AP375">
        <v>0</v>
      </c>
      <c r="AQ375">
        <v>0</v>
      </c>
      <c r="AR375">
        <v>0</v>
      </c>
      <c r="AS375">
        <v>1</v>
      </c>
    </row>
    <row r="376" spans="1:45" x14ac:dyDescent="0.35">
      <c r="A376" s="337">
        <v>46266</v>
      </c>
      <c r="B376" s="337">
        <v>46273</v>
      </c>
      <c r="C376" s="337">
        <v>46273</v>
      </c>
      <c r="D376" t="s">
        <v>125</v>
      </c>
      <c r="E376" t="s">
        <v>328</v>
      </c>
      <c r="F376" t="s">
        <v>383</v>
      </c>
      <c r="G376" t="s">
        <v>172</v>
      </c>
      <c r="H376" t="s">
        <v>163</v>
      </c>
      <c r="I376" t="s">
        <v>163</v>
      </c>
      <c r="J376" t="s">
        <v>163</v>
      </c>
      <c r="K376" t="s">
        <v>163</v>
      </c>
      <c r="L376" t="s">
        <v>163</v>
      </c>
      <c r="M376" t="s">
        <v>163</v>
      </c>
      <c r="N376">
        <v>10.35</v>
      </c>
      <c r="O376" t="s">
        <v>163</v>
      </c>
      <c r="P376" t="s">
        <v>163</v>
      </c>
      <c r="Q376" t="s">
        <v>163</v>
      </c>
      <c r="R376" t="s">
        <v>163</v>
      </c>
      <c r="S376" t="s">
        <v>163</v>
      </c>
      <c r="T376" t="s">
        <v>163</v>
      </c>
      <c r="U376" t="s">
        <v>163</v>
      </c>
      <c r="V376" t="s">
        <v>163</v>
      </c>
      <c r="W376" t="s">
        <v>163</v>
      </c>
      <c r="X376" t="s">
        <v>163</v>
      </c>
      <c r="Y376" t="s">
        <v>163</v>
      </c>
      <c r="Z376" t="s">
        <v>163</v>
      </c>
      <c r="AA376" t="s">
        <v>163</v>
      </c>
      <c r="AB376" t="s">
        <v>163</v>
      </c>
      <c r="AC376">
        <v>1</v>
      </c>
      <c r="AD376" t="s">
        <v>163</v>
      </c>
      <c r="AE376" t="s">
        <v>163</v>
      </c>
      <c r="AF376" t="s">
        <v>163</v>
      </c>
      <c r="AG376" t="s">
        <v>163</v>
      </c>
      <c r="AH376" t="s">
        <v>163</v>
      </c>
      <c r="AI376" t="s">
        <v>163</v>
      </c>
      <c r="AJ376" t="s">
        <v>163</v>
      </c>
      <c r="AK376">
        <v>1</v>
      </c>
      <c r="AL376">
        <v>1</v>
      </c>
      <c r="AM376" t="s">
        <v>163</v>
      </c>
      <c r="AN376" t="s">
        <v>163</v>
      </c>
      <c r="AO376" t="s">
        <v>163</v>
      </c>
      <c r="AP376">
        <v>0</v>
      </c>
      <c r="AQ376">
        <v>0</v>
      </c>
      <c r="AR376">
        <v>1</v>
      </c>
      <c r="AS376">
        <v>1</v>
      </c>
    </row>
    <row r="377" spans="1:45" x14ac:dyDescent="0.35">
      <c r="A377" s="337">
        <v>46266</v>
      </c>
      <c r="B377" s="337">
        <v>46273</v>
      </c>
      <c r="C377" s="337">
        <v>46273</v>
      </c>
      <c r="D377" t="s">
        <v>125</v>
      </c>
      <c r="E377" t="s">
        <v>237</v>
      </c>
      <c r="F377" t="s">
        <v>383</v>
      </c>
      <c r="G377" t="s">
        <v>171</v>
      </c>
      <c r="H377" t="s">
        <v>163</v>
      </c>
      <c r="I377" t="s">
        <v>163</v>
      </c>
      <c r="J377" t="s">
        <v>163</v>
      </c>
      <c r="K377" t="s">
        <v>163</v>
      </c>
      <c r="L377" t="s">
        <v>163</v>
      </c>
      <c r="M377" t="s">
        <v>163</v>
      </c>
      <c r="N377">
        <v>11.93</v>
      </c>
      <c r="O377" t="s">
        <v>163</v>
      </c>
      <c r="P377" t="s">
        <v>163</v>
      </c>
      <c r="Q377" t="s">
        <v>163</v>
      </c>
      <c r="R377" t="s">
        <v>163</v>
      </c>
      <c r="S377" t="s">
        <v>163</v>
      </c>
      <c r="T377" t="s">
        <v>163</v>
      </c>
      <c r="U377" t="s">
        <v>163</v>
      </c>
      <c r="V377" t="s">
        <v>163</v>
      </c>
      <c r="W377" t="s">
        <v>163</v>
      </c>
      <c r="X377" t="s">
        <v>163</v>
      </c>
      <c r="Y377" t="s">
        <v>163</v>
      </c>
      <c r="Z377" t="s">
        <v>163</v>
      </c>
      <c r="AA377" t="s">
        <v>163</v>
      </c>
      <c r="AB377" t="s">
        <v>163</v>
      </c>
      <c r="AC377">
        <v>1</v>
      </c>
      <c r="AD377" t="s">
        <v>163</v>
      </c>
      <c r="AE377" t="s">
        <v>163</v>
      </c>
      <c r="AF377" t="s">
        <v>163</v>
      </c>
      <c r="AG377" t="s">
        <v>163</v>
      </c>
      <c r="AH377" t="s">
        <v>163</v>
      </c>
      <c r="AI377" t="s">
        <v>163</v>
      </c>
      <c r="AJ377" t="s">
        <v>163</v>
      </c>
      <c r="AK377">
        <v>1</v>
      </c>
      <c r="AL377">
        <v>1</v>
      </c>
      <c r="AM377" t="s">
        <v>163</v>
      </c>
      <c r="AN377" t="s">
        <v>163</v>
      </c>
      <c r="AO377" t="s">
        <v>163</v>
      </c>
      <c r="AP377">
        <v>0</v>
      </c>
      <c r="AQ377">
        <v>0</v>
      </c>
      <c r="AR377">
        <v>1</v>
      </c>
      <c r="AS377">
        <v>1</v>
      </c>
    </row>
    <row r="378" spans="1:45" x14ac:dyDescent="0.35">
      <c r="A378" s="337">
        <v>46266</v>
      </c>
      <c r="B378" s="337">
        <v>46273</v>
      </c>
      <c r="C378" s="337">
        <v>46269</v>
      </c>
      <c r="D378" t="s">
        <v>125</v>
      </c>
      <c r="E378" t="s">
        <v>238</v>
      </c>
      <c r="F378">
        <v>3</v>
      </c>
      <c r="G378" t="s">
        <v>41</v>
      </c>
      <c r="H378" t="s">
        <v>163</v>
      </c>
      <c r="I378" t="s">
        <v>165</v>
      </c>
      <c r="J378" t="s">
        <v>165</v>
      </c>
      <c r="K378" t="s">
        <v>165</v>
      </c>
      <c r="L378" t="s">
        <v>161</v>
      </c>
      <c r="M378" t="s">
        <v>161</v>
      </c>
      <c r="N378">
        <v>12.22</v>
      </c>
      <c r="O378" t="s">
        <v>163</v>
      </c>
      <c r="P378" t="s">
        <v>163</v>
      </c>
      <c r="Q378" t="s">
        <v>163</v>
      </c>
      <c r="R378" t="s">
        <v>163</v>
      </c>
      <c r="S378" t="s">
        <v>163</v>
      </c>
      <c r="T378" t="s">
        <v>163</v>
      </c>
      <c r="U378" t="s">
        <v>163</v>
      </c>
      <c r="V378" t="s">
        <v>163</v>
      </c>
      <c r="W378" t="s">
        <v>165</v>
      </c>
      <c r="X378" t="s">
        <v>165</v>
      </c>
      <c r="Y378" t="s">
        <v>163</v>
      </c>
      <c r="Z378" t="s">
        <v>163</v>
      </c>
      <c r="AA378">
        <v>1</v>
      </c>
      <c r="AB378">
        <v>2</v>
      </c>
      <c r="AC378">
        <v>1</v>
      </c>
      <c r="AD378" t="s">
        <v>163</v>
      </c>
      <c r="AE378" t="s">
        <v>163</v>
      </c>
      <c r="AF378" t="s">
        <v>163</v>
      </c>
      <c r="AG378" t="s">
        <v>163</v>
      </c>
      <c r="AH378" t="s">
        <v>163</v>
      </c>
      <c r="AI378" t="s">
        <v>163</v>
      </c>
      <c r="AJ378" t="s">
        <v>163</v>
      </c>
      <c r="AK378">
        <v>4</v>
      </c>
      <c r="AL378">
        <v>4</v>
      </c>
      <c r="AM378" t="s">
        <v>163</v>
      </c>
      <c r="AN378">
        <v>1</v>
      </c>
      <c r="AO378">
        <v>1</v>
      </c>
      <c r="AP378">
        <v>2</v>
      </c>
      <c r="AQ378">
        <v>2</v>
      </c>
      <c r="AR378">
        <v>6</v>
      </c>
      <c r="AS378">
        <v>6</v>
      </c>
    </row>
    <row r="379" spans="1:45" x14ac:dyDescent="0.35">
      <c r="A379" s="337">
        <v>46266</v>
      </c>
      <c r="B379" s="337">
        <v>46273</v>
      </c>
      <c r="C379" s="337">
        <v>46269</v>
      </c>
      <c r="D379" t="s">
        <v>125</v>
      </c>
      <c r="E379" t="s">
        <v>328</v>
      </c>
      <c r="F379">
        <v>3</v>
      </c>
      <c r="G379" t="s">
        <v>41</v>
      </c>
      <c r="H379" t="s">
        <v>163</v>
      </c>
      <c r="I379" t="s">
        <v>165</v>
      </c>
      <c r="J379" t="s">
        <v>165</v>
      </c>
      <c r="K379" t="s">
        <v>165</v>
      </c>
      <c r="L379" t="s">
        <v>161</v>
      </c>
      <c r="M379" t="s">
        <v>161</v>
      </c>
      <c r="N379">
        <v>12.59</v>
      </c>
      <c r="O379" t="s">
        <v>163</v>
      </c>
      <c r="P379" t="s">
        <v>163</v>
      </c>
      <c r="Q379" t="s">
        <v>163</v>
      </c>
      <c r="R379" t="s">
        <v>163</v>
      </c>
      <c r="S379" t="s">
        <v>163</v>
      </c>
      <c r="T379" t="s">
        <v>163</v>
      </c>
      <c r="U379" t="s">
        <v>163</v>
      </c>
      <c r="V379" t="s">
        <v>163</v>
      </c>
      <c r="W379" t="s">
        <v>165</v>
      </c>
      <c r="X379" t="s">
        <v>165</v>
      </c>
      <c r="Y379" t="s">
        <v>163</v>
      </c>
      <c r="Z379" t="s">
        <v>163</v>
      </c>
      <c r="AA379">
        <v>1</v>
      </c>
      <c r="AB379">
        <v>2</v>
      </c>
      <c r="AC379">
        <v>1</v>
      </c>
      <c r="AD379" t="s">
        <v>163</v>
      </c>
      <c r="AE379" t="s">
        <v>163</v>
      </c>
      <c r="AF379" t="s">
        <v>163</v>
      </c>
      <c r="AG379" t="s">
        <v>163</v>
      </c>
      <c r="AH379" t="s">
        <v>163</v>
      </c>
      <c r="AI379" t="s">
        <v>163</v>
      </c>
      <c r="AJ379" t="s">
        <v>163</v>
      </c>
      <c r="AK379">
        <v>4</v>
      </c>
      <c r="AL379">
        <v>4</v>
      </c>
      <c r="AM379" t="s">
        <v>163</v>
      </c>
      <c r="AN379">
        <v>1</v>
      </c>
      <c r="AO379">
        <v>1</v>
      </c>
      <c r="AP379">
        <v>2</v>
      </c>
      <c r="AQ379">
        <v>2</v>
      </c>
      <c r="AR379">
        <v>6</v>
      </c>
      <c r="AS379">
        <v>6</v>
      </c>
    </row>
    <row r="380" spans="1:45" x14ac:dyDescent="0.35">
      <c r="A380" s="337">
        <v>46266</v>
      </c>
      <c r="B380" s="337">
        <v>46273</v>
      </c>
      <c r="C380" s="337">
        <v>46269</v>
      </c>
      <c r="D380" t="s">
        <v>125</v>
      </c>
      <c r="E380" t="s">
        <v>327</v>
      </c>
      <c r="F380">
        <v>3</v>
      </c>
      <c r="G380" t="s">
        <v>41</v>
      </c>
      <c r="H380" t="s">
        <v>163</v>
      </c>
      <c r="I380" t="s">
        <v>165</v>
      </c>
      <c r="J380" t="s">
        <v>165</v>
      </c>
      <c r="K380" t="s">
        <v>165</v>
      </c>
      <c r="L380" t="s">
        <v>161</v>
      </c>
      <c r="M380" t="s">
        <v>161</v>
      </c>
      <c r="N380">
        <v>12.15</v>
      </c>
      <c r="O380" t="s">
        <v>163</v>
      </c>
      <c r="P380" t="s">
        <v>163</v>
      </c>
      <c r="Q380" t="s">
        <v>163</v>
      </c>
      <c r="R380" t="s">
        <v>163</v>
      </c>
      <c r="S380" t="s">
        <v>163</v>
      </c>
      <c r="T380" t="s">
        <v>163</v>
      </c>
      <c r="U380" t="s">
        <v>163</v>
      </c>
      <c r="V380" t="s">
        <v>163</v>
      </c>
      <c r="W380" t="s">
        <v>165</v>
      </c>
      <c r="X380" t="s">
        <v>165</v>
      </c>
      <c r="Y380" t="s">
        <v>163</v>
      </c>
      <c r="Z380" t="s">
        <v>163</v>
      </c>
      <c r="AA380">
        <v>1</v>
      </c>
      <c r="AB380">
        <v>2</v>
      </c>
      <c r="AC380">
        <v>1</v>
      </c>
      <c r="AD380" t="s">
        <v>163</v>
      </c>
      <c r="AE380" t="s">
        <v>163</v>
      </c>
      <c r="AF380" t="s">
        <v>163</v>
      </c>
      <c r="AG380" t="s">
        <v>163</v>
      </c>
      <c r="AH380" t="s">
        <v>163</v>
      </c>
      <c r="AI380" t="s">
        <v>163</v>
      </c>
      <c r="AJ380" t="s">
        <v>163</v>
      </c>
      <c r="AK380">
        <v>4</v>
      </c>
      <c r="AL380">
        <v>4</v>
      </c>
      <c r="AM380" t="s">
        <v>163</v>
      </c>
      <c r="AN380">
        <v>1</v>
      </c>
      <c r="AO380">
        <v>1</v>
      </c>
      <c r="AP380">
        <v>2</v>
      </c>
      <c r="AQ380">
        <v>2</v>
      </c>
      <c r="AR380">
        <v>6</v>
      </c>
      <c r="AS380">
        <v>6</v>
      </c>
    </row>
    <row r="381" spans="1:45" x14ac:dyDescent="0.35">
      <c r="A381" s="337">
        <v>46266</v>
      </c>
      <c r="B381" s="337">
        <v>46273</v>
      </c>
      <c r="C381" s="337">
        <v>46269</v>
      </c>
      <c r="D381" t="s">
        <v>125</v>
      </c>
      <c r="E381" t="s">
        <v>240</v>
      </c>
      <c r="F381">
        <v>3</v>
      </c>
      <c r="G381" t="s">
        <v>41</v>
      </c>
      <c r="H381" t="s">
        <v>163</v>
      </c>
      <c r="I381" t="s">
        <v>165</v>
      </c>
      <c r="J381" t="s">
        <v>165</v>
      </c>
      <c r="K381" t="s">
        <v>165</v>
      </c>
      <c r="L381" t="s">
        <v>161</v>
      </c>
      <c r="M381" t="s">
        <v>161</v>
      </c>
      <c r="N381">
        <v>12.15</v>
      </c>
      <c r="O381">
        <v>11.73</v>
      </c>
      <c r="P381">
        <v>0.35</v>
      </c>
      <c r="Q381">
        <v>64.400000000000006</v>
      </c>
      <c r="R381" t="s">
        <v>163</v>
      </c>
      <c r="S381" t="s">
        <v>163</v>
      </c>
      <c r="T381">
        <v>32.5</v>
      </c>
      <c r="U381" t="s">
        <v>163</v>
      </c>
      <c r="V381" t="s">
        <v>163</v>
      </c>
      <c r="W381" t="s">
        <v>165</v>
      </c>
      <c r="X381" t="s">
        <v>165</v>
      </c>
      <c r="Y381">
        <v>1</v>
      </c>
      <c r="Z381" t="s">
        <v>163</v>
      </c>
      <c r="AA381">
        <v>1</v>
      </c>
      <c r="AB381">
        <v>2</v>
      </c>
      <c r="AC381">
        <v>1</v>
      </c>
      <c r="AD381">
        <v>1</v>
      </c>
      <c r="AE381">
        <v>2</v>
      </c>
      <c r="AF381">
        <v>2</v>
      </c>
      <c r="AG381" t="s">
        <v>163</v>
      </c>
      <c r="AH381" t="s">
        <v>163</v>
      </c>
      <c r="AI381">
        <v>2</v>
      </c>
      <c r="AJ381" t="s">
        <v>163</v>
      </c>
      <c r="AK381">
        <v>11</v>
      </c>
      <c r="AL381">
        <v>11</v>
      </c>
      <c r="AM381" t="s">
        <v>163</v>
      </c>
      <c r="AN381">
        <v>1</v>
      </c>
      <c r="AO381">
        <v>1</v>
      </c>
      <c r="AP381">
        <v>2</v>
      </c>
      <c r="AQ381">
        <v>2</v>
      </c>
      <c r="AR381">
        <v>13</v>
      </c>
      <c r="AS381">
        <v>13</v>
      </c>
    </row>
    <row r="382" spans="1:45" x14ac:dyDescent="0.35">
      <c r="A382" s="337">
        <v>46266</v>
      </c>
      <c r="B382" s="337">
        <v>46273</v>
      </c>
      <c r="C382" s="339">
        <v>0</v>
      </c>
      <c r="D382" t="s">
        <v>125</v>
      </c>
      <c r="E382" t="s">
        <v>238</v>
      </c>
      <c r="F382">
        <v>2</v>
      </c>
      <c r="G382" t="s">
        <v>39</v>
      </c>
      <c r="H382" t="s">
        <v>163</v>
      </c>
      <c r="I382" t="s">
        <v>165</v>
      </c>
      <c r="J382" t="s">
        <v>165</v>
      </c>
      <c r="K382" t="s">
        <v>165</v>
      </c>
      <c r="L382" t="s">
        <v>163</v>
      </c>
      <c r="M382" t="s">
        <v>161</v>
      </c>
      <c r="N382">
        <v>10.74</v>
      </c>
      <c r="O382" t="s">
        <v>163</v>
      </c>
      <c r="P382" t="s">
        <v>163</v>
      </c>
      <c r="Q382" t="s">
        <v>163</v>
      </c>
      <c r="R382" t="s">
        <v>163</v>
      </c>
      <c r="S382" t="s">
        <v>163</v>
      </c>
      <c r="T382" t="s">
        <v>163</v>
      </c>
      <c r="U382" t="s">
        <v>163</v>
      </c>
      <c r="V382" t="s">
        <v>163</v>
      </c>
      <c r="W382" t="s">
        <v>165</v>
      </c>
      <c r="X382" t="s">
        <v>165</v>
      </c>
      <c r="Y382" t="s">
        <v>163</v>
      </c>
      <c r="Z382" t="s">
        <v>163</v>
      </c>
      <c r="AA382">
        <v>1</v>
      </c>
      <c r="AB382">
        <v>2</v>
      </c>
      <c r="AC382">
        <v>0</v>
      </c>
      <c r="AD382" t="s">
        <v>163</v>
      </c>
      <c r="AE382" t="s">
        <v>163</v>
      </c>
      <c r="AF382" t="s">
        <v>163</v>
      </c>
      <c r="AG382" t="s">
        <v>163</v>
      </c>
      <c r="AH382" t="s">
        <v>163</v>
      </c>
      <c r="AI382" t="s">
        <v>163</v>
      </c>
      <c r="AJ382" t="s">
        <v>163</v>
      </c>
      <c r="AK382">
        <v>3</v>
      </c>
      <c r="AL382">
        <v>4</v>
      </c>
      <c r="AM382" t="s">
        <v>163</v>
      </c>
      <c r="AN382">
        <v>1</v>
      </c>
      <c r="AO382">
        <v>1</v>
      </c>
      <c r="AP382">
        <v>2</v>
      </c>
      <c r="AQ382">
        <v>2</v>
      </c>
      <c r="AR382">
        <v>5</v>
      </c>
      <c r="AS382">
        <v>6</v>
      </c>
    </row>
    <row r="383" spans="1:45" x14ac:dyDescent="0.35">
      <c r="A383" s="337">
        <v>46266</v>
      </c>
      <c r="B383" s="337">
        <v>46273</v>
      </c>
      <c r="C383" s="339">
        <v>0</v>
      </c>
      <c r="D383" t="s">
        <v>125</v>
      </c>
      <c r="E383" t="s">
        <v>328</v>
      </c>
      <c r="F383">
        <v>2</v>
      </c>
      <c r="G383" t="s">
        <v>39</v>
      </c>
      <c r="H383" t="s">
        <v>163</v>
      </c>
      <c r="I383" t="s">
        <v>165</v>
      </c>
      <c r="J383" t="s">
        <v>165</v>
      </c>
      <c r="K383" t="s">
        <v>165</v>
      </c>
      <c r="L383" t="s">
        <v>163</v>
      </c>
      <c r="M383" t="s">
        <v>161</v>
      </c>
      <c r="N383">
        <v>10.74</v>
      </c>
      <c r="O383" t="s">
        <v>163</v>
      </c>
      <c r="P383" t="s">
        <v>163</v>
      </c>
      <c r="Q383" t="s">
        <v>163</v>
      </c>
      <c r="R383" t="s">
        <v>163</v>
      </c>
      <c r="S383" t="s">
        <v>163</v>
      </c>
      <c r="T383" t="s">
        <v>163</v>
      </c>
      <c r="U383" t="s">
        <v>163</v>
      </c>
      <c r="V383" t="s">
        <v>163</v>
      </c>
      <c r="W383" t="s">
        <v>165</v>
      </c>
      <c r="X383" t="s">
        <v>165</v>
      </c>
      <c r="Y383" t="s">
        <v>163</v>
      </c>
      <c r="Z383" t="s">
        <v>163</v>
      </c>
      <c r="AA383">
        <v>1</v>
      </c>
      <c r="AB383">
        <v>2</v>
      </c>
      <c r="AC383">
        <v>0</v>
      </c>
      <c r="AD383" t="s">
        <v>163</v>
      </c>
      <c r="AE383" t="s">
        <v>163</v>
      </c>
      <c r="AF383" t="s">
        <v>163</v>
      </c>
      <c r="AG383" t="s">
        <v>163</v>
      </c>
      <c r="AH383" t="s">
        <v>163</v>
      </c>
      <c r="AI383" t="s">
        <v>163</v>
      </c>
      <c r="AJ383" t="s">
        <v>163</v>
      </c>
      <c r="AK383">
        <v>3</v>
      </c>
      <c r="AL383">
        <v>4</v>
      </c>
      <c r="AM383" t="s">
        <v>163</v>
      </c>
      <c r="AN383">
        <v>1</v>
      </c>
      <c r="AO383">
        <v>1</v>
      </c>
      <c r="AP383">
        <v>2</v>
      </c>
      <c r="AQ383">
        <v>2</v>
      </c>
      <c r="AR383">
        <v>5</v>
      </c>
      <c r="AS383">
        <v>6</v>
      </c>
    </row>
    <row r="384" spans="1:45" x14ac:dyDescent="0.35">
      <c r="A384" s="337">
        <v>46266</v>
      </c>
      <c r="B384" s="337">
        <v>46273</v>
      </c>
      <c r="C384" s="339">
        <v>0</v>
      </c>
      <c r="D384" t="s">
        <v>125</v>
      </c>
      <c r="E384" t="s">
        <v>327</v>
      </c>
      <c r="F384">
        <v>2</v>
      </c>
      <c r="G384" t="s">
        <v>39</v>
      </c>
      <c r="H384" t="s">
        <v>163</v>
      </c>
      <c r="I384" t="s">
        <v>165</v>
      </c>
      <c r="J384" t="s">
        <v>165</v>
      </c>
      <c r="K384" t="s">
        <v>165</v>
      </c>
      <c r="L384" t="s">
        <v>163</v>
      </c>
      <c r="M384" t="s">
        <v>161</v>
      </c>
      <c r="N384">
        <v>10.49</v>
      </c>
      <c r="O384" t="s">
        <v>163</v>
      </c>
      <c r="P384" t="s">
        <v>163</v>
      </c>
      <c r="Q384" t="s">
        <v>163</v>
      </c>
      <c r="R384" t="s">
        <v>163</v>
      </c>
      <c r="S384" t="s">
        <v>163</v>
      </c>
      <c r="T384" t="s">
        <v>163</v>
      </c>
      <c r="U384" t="s">
        <v>163</v>
      </c>
      <c r="V384" t="s">
        <v>163</v>
      </c>
      <c r="W384" t="s">
        <v>165</v>
      </c>
      <c r="X384" t="s">
        <v>165</v>
      </c>
      <c r="Y384" t="s">
        <v>163</v>
      </c>
      <c r="Z384" t="s">
        <v>163</v>
      </c>
      <c r="AA384">
        <v>1</v>
      </c>
      <c r="AB384">
        <v>2</v>
      </c>
      <c r="AC384">
        <v>0</v>
      </c>
      <c r="AD384" t="s">
        <v>163</v>
      </c>
      <c r="AE384" t="s">
        <v>163</v>
      </c>
      <c r="AF384" t="s">
        <v>163</v>
      </c>
      <c r="AG384" t="s">
        <v>163</v>
      </c>
      <c r="AH384" t="s">
        <v>163</v>
      </c>
      <c r="AI384" t="s">
        <v>163</v>
      </c>
      <c r="AJ384" t="s">
        <v>163</v>
      </c>
      <c r="AK384">
        <v>3</v>
      </c>
      <c r="AL384">
        <v>4</v>
      </c>
      <c r="AM384" t="s">
        <v>163</v>
      </c>
      <c r="AN384">
        <v>1</v>
      </c>
      <c r="AO384">
        <v>1</v>
      </c>
      <c r="AP384">
        <v>2</v>
      </c>
      <c r="AQ384">
        <v>2</v>
      </c>
      <c r="AR384">
        <v>5</v>
      </c>
      <c r="AS384">
        <v>6</v>
      </c>
    </row>
    <row r="385" spans="1:45" x14ac:dyDescent="0.35">
      <c r="A385" s="337">
        <v>46266</v>
      </c>
      <c r="B385" s="337">
        <v>46273</v>
      </c>
      <c r="C385" s="339">
        <v>0</v>
      </c>
      <c r="D385" t="s">
        <v>125</v>
      </c>
      <c r="E385" t="s">
        <v>240</v>
      </c>
      <c r="F385">
        <v>2</v>
      </c>
      <c r="G385" t="s">
        <v>39</v>
      </c>
      <c r="H385" t="s">
        <v>163</v>
      </c>
      <c r="I385" t="s">
        <v>165</v>
      </c>
      <c r="J385" t="s">
        <v>165</v>
      </c>
      <c r="K385" t="s">
        <v>165</v>
      </c>
      <c r="L385" t="s">
        <v>163</v>
      </c>
      <c r="M385" t="s">
        <v>161</v>
      </c>
      <c r="N385">
        <v>10.71</v>
      </c>
      <c r="O385" t="s">
        <v>163</v>
      </c>
      <c r="P385" t="s">
        <v>163</v>
      </c>
      <c r="Q385" t="s">
        <v>163</v>
      </c>
      <c r="R385" t="s">
        <v>163</v>
      </c>
      <c r="S385" t="s">
        <v>163</v>
      </c>
      <c r="T385" t="s">
        <v>163</v>
      </c>
      <c r="U385" t="s">
        <v>163</v>
      </c>
      <c r="V385" t="s">
        <v>163</v>
      </c>
      <c r="W385" t="s">
        <v>165</v>
      </c>
      <c r="X385" t="s">
        <v>165</v>
      </c>
      <c r="Y385" t="s">
        <v>163</v>
      </c>
      <c r="Z385" t="s">
        <v>163</v>
      </c>
      <c r="AA385">
        <v>1</v>
      </c>
      <c r="AB385">
        <v>2</v>
      </c>
      <c r="AC385">
        <v>0</v>
      </c>
      <c r="AD385" t="s">
        <v>163</v>
      </c>
      <c r="AE385" t="s">
        <v>163</v>
      </c>
      <c r="AF385" t="s">
        <v>163</v>
      </c>
      <c r="AG385" t="s">
        <v>163</v>
      </c>
      <c r="AH385" t="s">
        <v>163</v>
      </c>
      <c r="AI385" t="s">
        <v>163</v>
      </c>
      <c r="AJ385" t="s">
        <v>163</v>
      </c>
      <c r="AK385">
        <v>3</v>
      </c>
      <c r="AL385">
        <v>4</v>
      </c>
      <c r="AM385" t="s">
        <v>163</v>
      </c>
      <c r="AN385">
        <v>1</v>
      </c>
      <c r="AO385">
        <v>1</v>
      </c>
      <c r="AP385">
        <v>2</v>
      </c>
      <c r="AQ385">
        <v>2</v>
      </c>
      <c r="AR385">
        <v>5</v>
      </c>
      <c r="AS385">
        <v>6</v>
      </c>
    </row>
    <row r="386" spans="1:45" x14ac:dyDescent="0.35">
      <c r="A386" s="337">
        <v>46266</v>
      </c>
      <c r="B386" s="337">
        <v>46273</v>
      </c>
      <c r="C386" s="339">
        <v>0</v>
      </c>
      <c r="D386" t="s">
        <v>125</v>
      </c>
      <c r="E386" t="s">
        <v>273</v>
      </c>
      <c r="F386">
        <v>2</v>
      </c>
      <c r="G386" t="s">
        <v>39</v>
      </c>
      <c r="H386" t="s">
        <v>163</v>
      </c>
      <c r="I386" t="s">
        <v>165</v>
      </c>
      <c r="J386" t="s">
        <v>165</v>
      </c>
      <c r="K386" t="s">
        <v>165</v>
      </c>
      <c r="L386" t="s">
        <v>163</v>
      </c>
      <c r="M386" t="s">
        <v>161</v>
      </c>
      <c r="N386">
        <v>10.41</v>
      </c>
      <c r="O386" t="s">
        <v>163</v>
      </c>
      <c r="P386" t="s">
        <v>163</v>
      </c>
      <c r="Q386" t="s">
        <v>163</v>
      </c>
      <c r="R386" t="s">
        <v>163</v>
      </c>
      <c r="S386" t="s">
        <v>163</v>
      </c>
      <c r="T386" t="s">
        <v>163</v>
      </c>
      <c r="U386" t="s">
        <v>163</v>
      </c>
      <c r="V386" t="s">
        <v>163</v>
      </c>
      <c r="W386" t="s">
        <v>165</v>
      </c>
      <c r="X386" t="s">
        <v>165</v>
      </c>
      <c r="Y386" t="s">
        <v>163</v>
      </c>
      <c r="Z386" t="s">
        <v>163</v>
      </c>
      <c r="AA386">
        <v>1</v>
      </c>
      <c r="AB386">
        <v>2</v>
      </c>
      <c r="AC386">
        <v>0</v>
      </c>
      <c r="AD386" t="s">
        <v>163</v>
      </c>
      <c r="AE386" t="s">
        <v>163</v>
      </c>
      <c r="AF386" t="s">
        <v>163</v>
      </c>
      <c r="AG386" t="s">
        <v>163</v>
      </c>
      <c r="AH386" t="s">
        <v>163</v>
      </c>
      <c r="AI386" t="s">
        <v>163</v>
      </c>
      <c r="AJ386" t="s">
        <v>163</v>
      </c>
      <c r="AK386">
        <v>3</v>
      </c>
      <c r="AL386">
        <v>4</v>
      </c>
      <c r="AM386" t="s">
        <v>163</v>
      </c>
      <c r="AN386">
        <v>1</v>
      </c>
      <c r="AO386">
        <v>1</v>
      </c>
      <c r="AP386">
        <v>2</v>
      </c>
      <c r="AQ386">
        <v>2</v>
      </c>
      <c r="AR386">
        <v>5</v>
      </c>
      <c r="AS386">
        <v>6</v>
      </c>
    </row>
    <row r="387" spans="1:45" x14ac:dyDescent="0.35">
      <c r="A387" s="337">
        <v>46266</v>
      </c>
      <c r="B387" s="337">
        <v>46273</v>
      </c>
      <c r="C387" s="339">
        <v>0</v>
      </c>
      <c r="D387" t="s">
        <v>125</v>
      </c>
      <c r="E387" t="s">
        <v>239</v>
      </c>
      <c r="F387">
        <v>2</v>
      </c>
      <c r="G387" t="s">
        <v>39</v>
      </c>
      <c r="H387" t="s">
        <v>163</v>
      </c>
      <c r="I387" t="s">
        <v>165</v>
      </c>
      <c r="J387" t="s">
        <v>165</v>
      </c>
      <c r="K387" t="s">
        <v>165</v>
      </c>
      <c r="L387" t="s">
        <v>163</v>
      </c>
      <c r="M387" t="s">
        <v>161</v>
      </c>
      <c r="N387">
        <v>10.62</v>
      </c>
      <c r="O387" t="s">
        <v>163</v>
      </c>
      <c r="P387" t="s">
        <v>163</v>
      </c>
      <c r="Q387" t="s">
        <v>163</v>
      </c>
      <c r="R387" t="s">
        <v>163</v>
      </c>
      <c r="S387" t="s">
        <v>163</v>
      </c>
      <c r="T387" t="s">
        <v>163</v>
      </c>
      <c r="U387" t="s">
        <v>163</v>
      </c>
      <c r="V387" t="s">
        <v>163</v>
      </c>
      <c r="W387" t="s">
        <v>165</v>
      </c>
      <c r="X387" t="s">
        <v>165</v>
      </c>
      <c r="Y387" t="s">
        <v>163</v>
      </c>
      <c r="Z387" t="s">
        <v>163</v>
      </c>
      <c r="AA387">
        <v>1</v>
      </c>
      <c r="AB387">
        <v>2</v>
      </c>
      <c r="AC387">
        <v>0</v>
      </c>
      <c r="AD387" t="s">
        <v>163</v>
      </c>
      <c r="AE387" t="s">
        <v>163</v>
      </c>
      <c r="AF387" t="s">
        <v>163</v>
      </c>
      <c r="AG387" t="s">
        <v>163</v>
      </c>
      <c r="AH387" t="s">
        <v>163</v>
      </c>
      <c r="AI387" t="s">
        <v>163</v>
      </c>
      <c r="AJ387" t="s">
        <v>163</v>
      </c>
      <c r="AK387">
        <v>3</v>
      </c>
      <c r="AL387">
        <v>4</v>
      </c>
      <c r="AM387" t="s">
        <v>163</v>
      </c>
      <c r="AN387">
        <v>1</v>
      </c>
      <c r="AO387">
        <v>1</v>
      </c>
      <c r="AP387">
        <v>2</v>
      </c>
      <c r="AQ387">
        <v>2</v>
      </c>
      <c r="AR387">
        <v>5</v>
      </c>
      <c r="AS387">
        <v>6</v>
      </c>
    </row>
    <row r="388" spans="1:45" x14ac:dyDescent="0.35">
      <c r="A388" s="337">
        <v>46266</v>
      </c>
      <c r="B388" s="337">
        <v>46273</v>
      </c>
      <c r="C388" s="337">
        <v>816</v>
      </c>
      <c r="D388" t="s">
        <v>125</v>
      </c>
      <c r="E388" t="s">
        <v>326</v>
      </c>
      <c r="F388">
        <v>2</v>
      </c>
      <c r="G388" t="s">
        <v>39</v>
      </c>
      <c r="H388" t="s">
        <v>163</v>
      </c>
      <c r="I388" t="s">
        <v>165</v>
      </c>
      <c r="J388" t="s">
        <v>165</v>
      </c>
      <c r="K388" t="s">
        <v>165</v>
      </c>
      <c r="L388" t="s">
        <v>163</v>
      </c>
      <c r="M388" t="s">
        <v>161</v>
      </c>
      <c r="N388">
        <v>10.59</v>
      </c>
      <c r="O388" t="s">
        <v>163</v>
      </c>
      <c r="P388" t="s">
        <v>163</v>
      </c>
      <c r="Q388" t="s">
        <v>163</v>
      </c>
      <c r="R388" t="s">
        <v>163</v>
      </c>
      <c r="S388" t="s">
        <v>163</v>
      </c>
      <c r="T388" t="s">
        <v>163</v>
      </c>
      <c r="U388" t="s">
        <v>163</v>
      </c>
      <c r="V388" t="s">
        <v>163</v>
      </c>
      <c r="W388" t="s">
        <v>165</v>
      </c>
      <c r="X388" t="s">
        <v>165</v>
      </c>
      <c r="Y388" t="s">
        <v>163</v>
      </c>
      <c r="Z388" t="s">
        <v>163</v>
      </c>
      <c r="AA388">
        <v>1</v>
      </c>
      <c r="AB388">
        <v>2</v>
      </c>
      <c r="AC388">
        <v>0</v>
      </c>
      <c r="AD388" t="s">
        <v>163</v>
      </c>
      <c r="AE388" t="s">
        <v>163</v>
      </c>
      <c r="AF388" t="s">
        <v>163</v>
      </c>
      <c r="AG388" t="s">
        <v>163</v>
      </c>
      <c r="AH388" t="s">
        <v>163</v>
      </c>
      <c r="AI388" t="s">
        <v>163</v>
      </c>
      <c r="AJ388" t="s">
        <v>163</v>
      </c>
      <c r="AK388">
        <v>3</v>
      </c>
      <c r="AL388">
        <v>4</v>
      </c>
      <c r="AM388" t="s">
        <v>163</v>
      </c>
      <c r="AN388">
        <v>1</v>
      </c>
      <c r="AO388">
        <v>1</v>
      </c>
      <c r="AP388">
        <v>2</v>
      </c>
      <c r="AQ388">
        <v>2</v>
      </c>
      <c r="AR388">
        <v>5</v>
      </c>
      <c r="AS388">
        <v>6</v>
      </c>
    </row>
    <row r="389" spans="1:45" x14ac:dyDescent="0.35">
      <c r="A389" s="337">
        <v>46266</v>
      </c>
      <c r="B389" s="337">
        <v>46273</v>
      </c>
      <c r="C389" s="337">
        <v>46269</v>
      </c>
      <c r="D389" t="s">
        <v>125</v>
      </c>
      <c r="E389" t="s">
        <v>238</v>
      </c>
      <c r="F389">
        <v>1</v>
      </c>
      <c r="G389" t="s">
        <v>158</v>
      </c>
      <c r="H389" t="s">
        <v>163</v>
      </c>
      <c r="I389" t="s">
        <v>165</v>
      </c>
      <c r="J389" t="s">
        <v>165</v>
      </c>
      <c r="K389" t="s">
        <v>165</v>
      </c>
      <c r="L389" t="s">
        <v>163</v>
      </c>
      <c r="M389" t="s">
        <v>163</v>
      </c>
      <c r="N389">
        <v>10.56</v>
      </c>
      <c r="O389" t="s">
        <v>163</v>
      </c>
      <c r="P389" t="s">
        <v>163</v>
      </c>
      <c r="Q389" t="s">
        <v>163</v>
      </c>
      <c r="R389" t="s">
        <v>163</v>
      </c>
      <c r="S389" t="s">
        <v>163</v>
      </c>
      <c r="T389" t="s">
        <v>163</v>
      </c>
      <c r="U389" t="s">
        <v>163</v>
      </c>
      <c r="V389" t="s">
        <v>163</v>
      </c>
      <c r="W389" t="s">
        <v>165</v>
      </c>
      <c r="X389" t="s">
        <v>165</v>
      </c>
      <c r="Y389" t="s">
        <v>163</v>
      </c>
      <c r="Z389" t="s">
        <v>163</v>
      </c>
      <c r="AA389">
        <v>1</v>
      </c>
      <c r="AB389">
        <v>2</v>
      </c>
      <c r="AC389">
        <v>0</v>
      </c>
      <c r="AD389" t="s">
        <v>163</v>
      </c>
      <c r="AE389" t="s">
        <v>163</v>
      </c>
      <c r="AF389" t="s">
        <v>163</v>
      </c>
      <c r="AG389" t="s">
        <v>163</v>
      </c>
      <c r="AH389" t="s">
        <v>163</v>
      </c>
      <c r="AI389" t="s">
        <v>163</v>
      </c>
      <c r="AJ389" t="s">
        <v>163</v>
      </c>
      <c r="AK389">
        <v>3</v>
      </c>
      <c r="AL389">
        <v>4</v>
      </c>
      <c r="AM389" t="s">
        <v>163</v>
      </c>
      <c r="AN389">
        <v>1</v>
      </c>
      <c r="AO389">
        <v>1</v>
      </c>
      <c r="AP389">
        <v>2</v>
      </c>
      <c r="AQ389">
        <v>2</v>
      </c>
      <c r="AR389">
        <v>5</v>
      </c>
      <c r="AS389">
        <v>6</v>
      </c>
    </row>
    <row r="390" spans="1:45" x14ac:dyDescent="0.35">
      <c r="A390" s="337">
        <v>46266</v>
      </c>
      <c r="B390" s="337">
        <v>46273</v>
      </c>
      <c r="C390" s="337">
        <v>46269</v>
      </c>
      <c r="D390" t="s">
        <v>125</v>
      </c>
      <c r="E390" t="s">
        <v>328</v>
      </c>
      <c r="F390">
        <v>1</v>
      </c>
      <c r="G390" t="s">
        <v>158</v>
      </c>
      <c r="H390" t="s">
        <v>163</v>
      </c>
      <c r="I390" t="s">
        <v>165</v>
      </c>
      <c r="J390" t="s">
        <v>165</v>
      </c>
      <c r="K390" t="s">
        <v>165</v>
      </c>
      <c r="L390" t="s">
        <v>163</v>
      </c>
      <c r="M390" t="s">
        <v>163</v>
      </c>
      <c r="N390">
        <v>11.18</v>
      </c>
      <c r="O390" t="s">
        <v>163</v>
      </c>
      <c r="P390" t="s">
        <v>163</v>
      </c>
      <c r="Q390" t="s">
        <v>163</v>
      </c>
      <c r="R390" t="s">
        <v>163</v>
      </c>
      <c r="S390" t="s">
        <v>163</v>
      </c>
      <c r="T390" t="s">
        <v>163</v>
      </c>
      <c r="U390" t="s">
        <v>163</v>
      </c>
      <c r="V390" t="s">
        <v>163</v>
      </c>
      <c r="W390" t="s">
        <v>165</v>
      </c>
      <c r="X390" t="s">
        <v>165</v>
      </c>
      <c r="Y390" t="s">
        <v>163</v>
      </c>
      <c r="Z390" t="s">
        <v>163</v>
      </c>
      <c r="AA390">
        <v>1</v>
      </c>
      <c r="AB390">
        <v>2</v>
      </c>
      <c r="AC390">
        <v>1</v>
      </c>
      <c r="AD390" t="s">
        <v>163</v>
      </c>
      <c r="AE390" t="s">
        <v>163</v>
      </c>
      <c r="AF390" t="s">
        <v>163</v>
      </c>
      <c r="AG390" t="s">
        <v>163</v>
      </c>
      <c r="AH390" t="s">
        <v>163</v>
      </c>
      <c r="AI390" t="s">
        <v>163</v>
      </c>
      <c r="AJ390" t="s">
        <v>163</v>
      </c>
      <c r="AK390">
        <v>4</v>
      </c>
      <c r="AL390">
        <v>4</v>
      </c>
      <c r="AM390" t="s">
        <v>163</v>
      </c>
      <c r="AN390">
        <v>1</v>
      </c>
      <c r="AO390">
        <v>1</v>
      </c>
      <c r="AP390">
        <v>2</v>
      </c>
      <c r="AQ390">
        <v>2</v>
      </c>
      <c r="AR390">
        <v>6</v>
      </c>
      <c r="AS390">
        <v>6</v>
      </c>
    </row>
    <row r="391" spans="1:45" x14ac:dyDescent="0.35">
      <c r="A391" s="337">
        <v>46266</v>
      </c>
      <c r="B391" s="337">
        <v>46273</v>
      </c>
      <c r="C391" s="337">
        <v>46269</v>
      </c>
      <c r="D391" t="s">
        <v>125</v>
      </c>
      <c r="E391" t="s">
        <v>237</v>
      </c>
      <c r="F391">
        <v>1</v>
      </c>
      <c r="G391" t="s">
        <v>158</v>
      </c>
      <c r="H391" t="s">
        <v>163</v>
      </c>
      <c r="I391" t="s">
        <v>165</v>
      </c>
      <c r="J391" t="s">
        <v>165</v>
      </c>
      <c r="K391" t="s">
        <v>165</v>
      </c>
      <c r="L391" t="s">
        <v>163</v>
      </c>
      <c r="M391" t="s">
        <v>163</v>
      </c>
      <c r="N391">
        <v>11.12</v>
      </c>
      <c r="O391" t="s">
        <v>163</v>
      </c>
      <c r="P391" t="s">
        <v>163</v>
      </c>
      <c r="Q391" t="s">
        <v>163</v>
      </c>
      <c r="R391" t="s">
        <v>163</v>
      </c>
      <c r="S391" t="s">
        <v>163</v>
      </c>
      <c r="T391" t="s">
        <v>163</v>
      </c>
      <c r="U391" t="s">
        <v>163</v>
      </c>
      <c r="V391" t="s">
        <v>163</v>
      </c>
      <c r="W391" t="s">
        <v>165</v>
      </c>
      <c r="X391" t="s">
        <v>165</v>
      </c>
      <c r="Y391" t="s">
        <v>163</v>
      </c>
      <c r="Z391" t="s">
        <v>163</v>
      </c>
      <c r="AA391">
        <v>1</v>
      </c>
      <c r="AB391">
        <v>2</v>
      </c>
      <c r="AC391">
        <v>1</v>
      </c>
      <c r="AD391" t="s">
        <v>163</v>
      </c>
      <c r="AE391" t="s">
        <v>163</v>
      </c>
      <c r="AF391" t="s">
        <v>163</v>
      </c>
      <c r="AG391" t="s">
        <v>163</v>
      </c>
      <c r="AH391" t="s">
        <v>163</v>
      </c>
      <c r="AI391" t="s">
        <v>163</v>
      </c>
      <c r="AJ391" t="s">
        <v>163</v>
      </c>
      <c r="AK391">
        <v>4</v>
      </c>
      <c r="AL391">
        <v>4</v>
      </c>
      <c r="AM391" t="s">
        <v>163</v>
      </c>
      <c r="AN391">
        <v>1</v>
      </c>
      <c r="AO391">
        <v>1</v>
      </c>
      <c r="AP391">
        <v>2</v>
      </c>
      <c r="AQ391">
        <v>2</v>
      </c>
      <c r="AR391">
        <v>6</v>
      </c>
      <c r="AS391">
        <v>6</v>
      </c>
    </row>
    <row r="392" spans="1:45" x14ac:dyDescent="0.35">
      <c r="A392" s="337">
        <v>46266</v>
      </c>
      <c r="B392" s="337">
        <v>46273</v>
      </c>
      <c r="C392" s="337">
        <v>46269</v>
      </c>
      <c r="D392" t="s">
        <v>125</v>
      </c>
      <c r="E392" t="s">
        <v>327</v>
      </c>
      <c r="F392">
        <v>1</v>
      </c>
      <c r="G392" t="s">
        <v>158</v>
      </c>
      <c r="H392" t="s">
        <v>163</v>
      </c>
      <c r="I392" t="s">
        <v>163</v>
      </c>
      <c r="J392" t="s">
        <v>165</v>
      </c>
      <c r="K392" t="s">
        <v>165</v>
      </c>
      <c r="L392" t="s">
        <v>163</v>
      </c>
      <c r="M392" t="s">
        <v>163</v>
      </c>
      <c r="N392">
        <v>11.222</v>
      </c>
      <c r="O392" t="s">
        <v>163</v>
      </c>
      <c r="P392" t="s">
        <v>163</v>
      </c>
      <c r="Q392" t="s">
        <v>163</v>
      </c>
      <c r="R392" t="s">
        <v>163</v>
      </c>
      <c r="S392" t="s">
        <v>163</v>
      </c>
      <c r="T392" t="s">
        <v>163</v>
      </c>
      <c r="U392" t="s">
        <v>163</v>
      </c>
      <c r="V392" t="s">
        <v>163</v>
      </c>
      <c r="W392" t="s">
        <v>165</v>
      </c>
      <c r="X392" t="s">
        <v>165</v>
      </c>
      <c r="Y392" t="s">
        <v>163</v>
      </c>
      <c r="Z392" t="s">
        <v>163</v>
      </c>
      <c r="AA392" t="s">
        <v>163</v>
      </c>
      <c r="AB392">
        <v>2</v>
      </c>
      <c r="AC392">
        <v>1</v>
      </c>
      <c r="AD392" t="s">
        <v>163</v>
      </c>
      <c r="AE392" t="s">
        <v>163</v>
      </c>
      <c r="AF392" t="s">
        <v>163</v>
      </c>
      <c r="AG392" t="s">
        <v>163</v>
      </c>
      <c r="AH392" t="s">
        <v>163</v>
      </c>
      <c r="AI392" t="s">
        <v>163</v>
      </c>
      <c r="AJ392" t="s">
        <v>163</v>
      </c>
      <c r="AK392">
        <v>3</v>
      </c>
      <c r="AL392">
        <v>3</v>
      </c>
      <c r="AM392" t="s">
        <v>163</v>
      </c>
      <c r="AN392">
        <v>1</v>
      </c>
      <c r="AO392">
        <v>1</v>
      </c>
      <c r="AP392">
        <v>2</v>
      </c>
      <c r="AQ392">
        <v>2</v>
      </c>
      <c r="AR392">
        <v>5</v>
      </c>
      <c r="AS392">
        <v>5</v>
      </c>
    </row>
    <row r="393" spans="1:45" x14ac:dyDescent="0.35">
      <c r="A393" s="337">
        <v>46266</v>
      </c>
      <c r="B393" s="337">
        <v>46273</v>
      </c>
      <c r="C393" s="337">
        <v>46269</v>
      </c>
      <c r="D393" t="s">
        <v>125</v>
      </c>
      <c r="E393" t="s">
        <v>240</v>
      </c>
      <c r="F393">
        <v>1</v>
      </c>
      <c r="G393" t="s">
        <v>158</v>
      </c>
      <c r="H393" t="s">
        <v>163</v>
      </c>
      <c r="I393" t="s">
        <v>165</v>
      </c>
      <c r="J393" t="s">
        <v>165</v>
      </c>
      <c r="K393" t="s">
        <v>165</v>
      </c>
      <c r="L393" t="s">
        <v>163</v>
      </c>
      <c r="M393" t="s">
        <v>163</v>
      </c>
      <c r="N393">
        <v>11.2</v>
      </c>
      <c r="O393">
        <v>9.57</v>
      </c>
      <c r="P393">
        <v>0.56000000000000005</v>
      </c>
      <c r="Q393">
        <v>54.3</v>
      </c>
      <c r="R393" t="s">
        <v>163</v>
      </c>
      <c r="S393" t="s">
        <v>163</v>
      </c>
      <c r="T393">
        <v>26.1</v>
      </c>
      <c r="U393" t="s">
        <v>163</v>
      </c>
      <c r="V393" t="s">
        <v>163</v>
      </c>
      <c r="W393" t="s">
        <v>165</v>
      </c>
      <c r="X393" t="s">
        <v>165</v>
      </c>
      <c r="Y393">
        <v>1</v>
      </c>
      <c r="Z393" t="s">
        <v>163</v>
      </c>
      <c r="AA393">
        <v>1</v>
      </c>
      <c r="AB393">
        <v>2</v>
      </c>
      <c r="AC393">
        <v>1</v>
      </c>
      <c r="AD393">
        <v>1</v>
      </c>
      <c r="AE393">
        <v>2</v>
      </c>
      <c r="AF393">
        <v>2</v>
      </c>
      <c r="AG393" t="s">
        <v>163</v>
      </c>
      <c r="AH393" t="s">
        <v>163</v>
      </c>
      <c r="AI393">
        <v>2</v>
      </c>
      <c r="AJ393" t="s">
        <v>163</v>
      </c>
      <c r="AK393">
        <v>11</v>
      </c>
      <c r="AL393">
        <v>11</v>
      </c>
      <c r="AM393" t="s">
        <v>163</v>
      </c>
      <c r="AN393">
        <v>1</v>
      </c>
      <c r="AO393">
        <v>1</v>
      </c>
      <c r="AP393">
        <v>2</v>
      </c>
      <c r="AQ393">
        <v>2</v>
      </c>
      <c r="AR393">
        <v>13</v>
      </c>
      <c r="AS393">
        <v>13</v>
      </c>
    </row>
    <row r="394" spans="1:45" x14ac:dyDescent="0.35">
      <c r="A394" s="337">
        <v>46266</v>
      </c>
      <c r="B394" s="337">
        <v>46273</v>
      </c>
      <c r="C394" s="337">
        <v>46268</v>
      </c>
      <c r="D394" t="s">
        <v>125</v>
      </c>
      <c r="E394" t="s">
        <v>239</v>
      </c>
      <c r="F394">
        <v>1</v>
      </c>
      <c r="G394" t="s">
        <v>123</v>
      </c>
      <c r="H394" t="s">
        <v>163</v>
      </c>
      <c r="I394" t="s">
        <v>165</v>
      </c>
      <c r="J394" t="s">
        <v>165</v>
      </c>
      <c r="K394" t="s">
        <v>165</v>
      </c>
      <c r="L394" t="s">
        <v>163</v>
      </c>
      <c r="M394" t="s">
        <v>163</v>
      </c>
      <c r="N394">
        <v>12.17</v>
      </c>
      <c r="O394" t="s">
        <v>163</v>
      </c>
      <c r="P394" t="s">
        <v>163</v>
      </c>
      <c r="Q394" t="s">
        <v>163</v>
      </c>
      <c r="R394" t="s">
        <v>163</v>
      </c>
      <c r="S394" t="s">
        <v>163</v>
      </c>
      <c r="T394" t="s">
        <v>163</v>
      </c>
      <c r="U394" t="s">
        <v>163</v>
      </c>
      <c r="V394" t="s">
        <v>163</v>
      </c>
      <c r="W394" t="s">
        <v>165</v>
      </c>
      <c r="X394" t="s">
        <v>165</v>
      </c>
      <c r="Y394" t="s">
        <v>163</v>
      </c>
      <c r="Z394" t="s">
        <v>163</v>
      </c>
      <c r="AA394">
        <v>1</v>
      </c>
      <c r="AB394">
        <v>2</v>
      </c>
      <c r="AC394">
        <v>1</v>
      </c>
      <c r="AD394" t="s">
        <v>163</v>
      </c>
      <c r="AE394" t="s">
        <v>163</v>
      </c>
      <c r="AF394" t="s">
        <v>163</v>
      </c>
      <c r="AG394" t="s">
        <v>163</v>
      </c>
      <c r="AH394" t="s">
        <v>163</v>
      </c>
      <c r="AI394" t="s">
        <v>163</v>
      </c>
      <c r="AJ394" t="s">
        <v>163</v>
      </c>
      <c r="AK394">
        <v>4</v>
      </c>
      <c r="AL394">
        <v>4</v>
      </c>
      <c r="AM394" t="s">
        <v>163</v>
      </c>
      <c r="AN394">
        <v>1</v>
      </c>
      <c r="AO394">
        <v>1</v>
      </c>
      <c r="AP394">
        <v>2</v>
      </c>
      <c r="AQ394">
        <v>2</v>
      </c>
      <c r="AR394">
        <v>6</v>
      </c>
      <c r="AS394">
        <v>6</v>
      </c>
    </row>
    <row r="395" spans="1:45" x14ac:dyDescent="0.35">
      <c r="A395" s="337">
        <v>46266</v>
      </c>
      <c r="B395" s="337">
        <v>46273</v>
      </c>
      <c r="C395" s="337">
        <v>46268</v>
      </c>
      <c r="D395" t="s">
        <v>125</v>
      </c>
      <c r="E395" t="s">
        <v>326</v>
      </c>
      <c r="F395">
        <v>1</v>
      </c>
      <c r="G395" t="s">
        <v>123</v>
      </c>
      <c r="H395" t="s">
        <v>163</v>
      </c>
      <c r="I395" t="s">
        <v>165</v>
      </c>
      <c r="J395" t="s">
        <v>165</v>
      </c>
      <c r="K395" t="s">
        <v>165</v>
      </c>
      <c r="L395" t="s">
        <v>163</v>
      </c>
      <c r="M395" t="s">
        <v>163</v>
      </c>
      <c r="N395">
        <v>12.37</v>
      </c>
      <c r="O395">
        <v>12.3</v>
      </c>
      <c r="P395">
        <v>0.59</v>
      </c>
      <c r="Q395">
        <v>64.7</v>
      </c>
      <c r="R395" t="s">
        <v>163</v>
      </c>
      <c r="S395" t="s">
        <v>163</v>
      </c>
      <c r="T395">
        <v>34.4</v>
      </c>
      <c r="U395" t="s">
        <v>163</v>
      </c>
      <c r="V395" t="s">
        <v>163</v>
      </c>
      <c r="W395" t="s">
        <v>165</v>
      </c>
      <c r="X395" t="s">
        <v>165</v>
      </c>
      <c r="Y395" t="s">
        <v>417</v>
      </c>
      <c r="Z395" t="s">
        <v>163</v>
      </c>
      <c r="AA395">
        <v>1</v>
      </c>
      <c r="AB395">
        <v>2</v>
      </c>
      <c r="AC395">
        <v>1</v>
      </c>
      <c r="AD395">
        <v>1</v>
      </c>
      <c r="AE395">
        <v>2</v>
      </c>
      <c r="AF395">
        <v>2</v>
      </c>
      <c r="AG395" t="s">
        <v>163</v>
      </c>
      <c r="AH395" t="s">
        <v>163</v>
      </c>
      <c r="AI395">
        <v>2</v>
      </c>
      <c r="AJ395" t="s">
        <v>163</v>
      </c>
      <c r="AK395">
        <v>11</v>
      </c>
      <c r="AL395">
        <v>11</v>
      </c>
      <c r="AM395" t="s">
        <v>163</v>
      </c>
      <c r="AN395">
        <v>1</v>
      </c>
      <c r="AO395">
        <v>1</v>
      </c>
      <c r="AP395">
        <v>2</v>
      </c>
      <c r="AQ395">
        <v>2</v>
      </c>
      <c r="AR395">
        <v>13</v>
      </c>
      <c r="AS395">
        <v>13</v>
      </c>
    </row>
    <row r="396" spans="1:45" x14ac:dyDescent="0.35">
      <c r="A396" s="337">
        <v>46266</v>
      </c>
      <c r="B396" s="337">
        <v>46272</v>
      </c>
      <c r="C396" s="337">
        <v>46268</v>
      </c>
      <c r="D396" t="s">
        <v>128</v>
      </c>
      <c r="E396" s="339">
        <v>0.875</v>
      </c>
      <c r="F396">
        <v>3</v>
      </c>
      <c r="G396" t="s">
        <v>119</v>
      </c>
      <c r="H396">
        <v>0.01</v>
      </c>
      <c r="I396" t="s">
        <v>165</v>
      </c>
      <c r="J396" t="s">
        <v>165</v>
      </c>
      <c r="K396" t="s">
        <v>165</v>
      </c>
      <c r="L396" t="s">
        <v>161</v>
      </c>
      <c r="M396" t="s">
        <v>161</v>
      </c>
      <c r="N396">
        <v>12.68</v>
      </c>
      <c r="O396" t="s">
        <v>163</v>
      </c>
      <c r="P396" t="s">
        <v>163</v>
      </c>
      <c r="Q396" t="s">
        <v>163</v>
      </c>
      <c r="R396" t="s">
        <v>163</v>
      </c>
      <c r="S396" t="s">
        <v>163</v>
      </c>
      <c r="T396" t="s">
        <v>163</v>
      </c>
      <c r="U396" t="s">
        <v>163</v>
      </c>
      <c r="V396" t="s">
        <v>163</v>
      </c>
      <c r="W396" t="s">
        <v>165</v>
      </c>
      <c r="X396" t="s">
        <v>165</v>
      </c>
      <c r="Y396" t="s">
        <v>163</v>
      </c>
      <c r="Z396">
        <v>2</v>
      </c>
      <c r="AA396">
        <v>1</v>
      </c>
      <c r="AB396">
        <v>2</v>
      </c>
      <c r="AC396">
        <v>1</v>
      </c>
      <c r="AD396" t="s">
        <v>163</v>
      </c>
      <c r="AE396" t="s">
        <v>163</v>
      </c>
      <c r="AF396" t="s">
        <v>163</v>
      </c>
      <c r="AG396" t="s">
        <v>163</v>
      </c>
      <c r="AH396" t="s">
        <v>163</v>
      </c>
      <c r="AI396" t="s">
        <v>163</v>
      </c>
      <c r="AJ396" t="s">
        <v>163</v>
      </c>
      <c r="AK396">
        <v>6</v>
      </c>
      <c r="AL396">
        <v>6</v>
      </c>
      <c r="AM396" t="s">
        <v>163</v>
      </c>
      <c r="AN396">
        <v>1</v>
      </c>
      <c r="AO396">
        <v>1</v>
      </c>
      <c r="AP396">
        <v>2</v>
      </c>
      <c r="AQ396">
        <v>2</v>
      </c>
      <c r="AR396">
        <v>8</v>
      </c>
      <c r="AS396">
        <v>8</v>
      </c>
    </row>
    <row r="397" spans="1:45" x14ac:dyDescent="0.35">
      <c r="A397" s="337">
        <v>46266</v>
      </c>
      <c r="B397" s="337">
        <v>46272</v>
      </c>
      <c r="C397" s="337">
        <v>46268</v>
      </c>
      <c r="D397" t="s">
        <v>128</v>
      </c>
      <c r="E397" s="339">
        <v>0.83333333333333337</v>
      </c>
      <c r="F397">
        <v>3</v>
      </c>
      <c r="G397" t="s">
        <v>119</v>
      </c>
      <c r="H397">
        <v>0.02</v>
      </c>
      <c r="I397" t="s">
        <v>165</v>
      </c>
      <c r="J397" t="s">
        <v>165</v>
      </c>
      <c r="K397" t="s">
        <v>165</v>
      </c>
      <c r="L397" t="s">
        <v>161</v>
      </c>
      <c r="M397" t="s">
        <v>161</v>
      </c>
      <c r="N397">
        <v>12.44</v>
      </c>
      <c r="O397" t="s">
        <v>163</v>
      </c>
      <c r="P397" t="s">
        <v>163</v>
      </c>
      <c r="Q397" t="s">
        <v>163</v>
      </c>
      <c r="R397" t="s">
        <v>163</v>
      </c>
      <c r="S397" t="s">
        <v>163</v>
      </c>
      <c r="T397" t="s">
        <v>163</v>
      </c>
      <c r="U397" t="s">
        <v>163</v>
      </c>
      <c r="V397" t="s">
        <v>163</v>
      </c>
      <c r="W397" t="s">
        <v>165</v>
      </c>
      <c r="X397" t="s">
        <v>165</v>
      </c>
      <c r="Y397" t="s">
        <v>163</v>
      </c>
      <c r="Z397">
        <v>2</v>
      </c>
      <c r="AA397">
        <v>1</v>
      </c>
      <c r="AB397">
        <v>2</v>
      </c>
      <c r="AC397">
        <v>1</v>
      </c>
      <c r="AD397" t="s">
        <v>163</v>
      </c>
      <c r="AE397" t="s">
        <v>163</v>
      </c>
      <c r="AF397" t="s">
        <v>163</v>
      </c>
      <c r="AG397" t="s">
        <v>163</v>
      </c>
      <c r="AH397" t="s">
        <v>163</v>
      </c>
      <c r="AI397" t="s">
        <v>163</v>
      </c>
      <c r="AJ397" t="s">
        <v>163</v>
      </c>
      <c r="AK397">
        <v>6</v>
      </c>
      <c r="AL397">
        <v>6</v>
      </c>
      <c r="AM397" t="s">
        <v>163</v>
      </c>
      <c r="AN397">
        <v>1</v>
      </c>
      <c r="AO397">
        <v>1</v>
      </c>
      <c r="AP397">
        <v>2</v>
      </c>
      <c r="AQ397">
        <v>2</v>
      </c>
      <c r="AR397">
        <v>8</v>
      </c>
      <c r="AS397">
        <v>8</v>
      </c>
    </row>
    <row r="398" spans="1:45" x14ac:dyDescent="0.35">
      <c r="A398" s="337">
        <v>46266</v>
      </c>
      <c r="B398" s="337">
        <v>46272</v>
      </c>
      <c r="C398" s="337">
        <v>46268</v>
      </c>
      <c r="D398" t="s">
        <v>128</v>
      </c>
      <c r="E398" s="339">
        <v>0.79166666666666663</v>
      </c>
      <c r="F398">
        <v>3</v>
      </c>
      <c r="G398" t="s">
        <v>119</v>
      </c>
      <c r="H398">
        <v>0.02</v>
      </c>
      <c r="I398" t="s">
        <v>165</v>
      </c>
      <c r="J398" t="s">
        <v>165</v>
      </c>
      <c r="K398" t="s">
        <v>165</v>
      </c>
      <c r="L398" t="s">
        <v>161</v>
      </c>
      <c r="M398" t="s">
        <v>161</v>
      </c>
      <c r="N398" t="s">
        <v>163</v>
      </c>
      <c r="O398" t="s">
        <v>163</v>
      </c>
      <c r="P398" t="s">
        <v>163</v>
      </c>
      <c r="Q398">
        <v>63.4</v>
      </c>
      <c r="R398" t="s">
        <v>163</v>
      </c>
      <c r="S398" t="s">
        <v>163</v>
      </c>
      <c r="T398">
        <v>35.5</v>
      </c>
      <c r="U398" t="s">
        <v>163</v>
      </c>
      <c r="V398" t="s">
        <v>163</v>
      </c>
      <c r="W398" t="s">
        <v>165</v>
      </c>
      <c r="X398" t="s">
        <v>165</v>
      </c>
      <c r="Y398" t="s">
        <v>163</v>
      </c>
      <c r="Z398">
        <v>2</v>
      </c>
      <c r="AA398">
        <v>1</v>
      </c>
      <c r="AB398">
        <v>2</v>
      </c>
      <c r="AC398" t="s">
        <v>163</v>
      </c>
      <c r="AD398" t="s">
        <v>163</v>
      </c>
      <c r="AE398" t="s">
        <v>163</v>
      </c>
      <c r="AF398">
        <v>0</v>
      </c>
      <c r="AG398" t="s">
        <v>163</v>
      </c>
      <c r="AH398" t="s">
        <v>163</v>
      </c>
      <c r="AI398">
        <v>2</v>
      </c>
      <c r="AJ398" t="s">
        <v>163</v>
      </c>
      <c r="AK398">
        <v>7</v>
      </c>
      <c r="AL398">
        <v>9</v>
      </c>
      <c r="AM398" t="s">
        <v>163</v>
      </c>
      <c r="AN398">
        <v>1</v>
      </c>
      <c r="AO398">
        <v>1</v>
      </c>
      <c r="AP398">
        <v>2</v>
      </c>
      <c r="AQ398">
        <v>2</v>
      </c>
      <c r="AR398">
        <v>9</v>
      </c>
      <c r="AS398">
        <v>11</v>
      </c>
    </row>
    <row r="399" spans="1:45" x14ac:dyDescent="0.35">
      <c r="A399" s="337">
        <v>46266</v>
      </c>
      <c r="B399" s="337">
        <v>46272</v>
      </c>
      <c r="C399" s="337">
        <v>46268</v>
      </c>
      <c r="D399" t="s">
        <v>128</v>
      </c>
      <c r="E399" s="339">
        <v>0.66666666666666663</v>
      </c>
      <c r="F399">
        <v>3</v>
      </c>
      <c r="G399" t="s">
        <v>119</v>
      </c>
      <c r="H399">
        <v>0.01</v>
      </c>
      <c r="I399" t="s">
        <v>165</v>
      </c>
      <c r="J399" t="s">
        <v>165</v>
      </c>
      <c r="K399" t="s">
        <v>165</v>
      </c>
      <c r="L399" t="s">
        <v>161</v>
      </c>
      <c r="M399" t="s">
        <v>161</v>
      </c>
      <c r="N399">
        <v>12.23</v>
      </c>
      <c r="O399" t="s">
        <v>163</v>
      </c>
      <c r="P399" t="s">
        <v>163</v>
      </c>
      <c r="Q399" t="s">
        <v>163</v>
      </c>
      <c r="R399" t="s">
        <v>163</v>
      </c>
      <c r="S399" t="s">
        <v>163</v>
      </c>
      <c r="T399" t="s">
        <v>163</v>
      </c>
      <c r="U399" t="s">
        <v>163</v>
      </c>
      <c r="V399" t="s">
        <v>163</v>
      </c>
      <c r="W399" t="s">
        <v>165</v>
      </c>
      <c r="X399" t="s">
        <v>165</v>
      </c>
      <c r="Y399" t="s">
        <v>163</v>
      </c>
      <c r="Z399">
        <v>2</v>
      </c>
      <c r="AA399">
        <v>1</v>
      </c>
      <c r="AB399">
        <v>2</v>
      </c>
      <c r="AC399">
        <v>1</v>
      </c>
      <c r="AD399" t="s">
        <v>163</v>
      </c>
      <c r="AE399" t="s">
        <v>163</v>
      </c>
      <c r="AF399" t="s">
        <v>163</v>
      </c>
      <c r="AG399" t="s">
        <v>163</v>
      </c>
      <c r="AH399" t="s">
        <v>163</v>
      </c>
      <c r="AI399" t="s">
        <v>163</v>
      </c>
      <c r="AJ399" t="s">
        <v>163</v>
      </c>
      <c r="AK399">
        <v>6</v>
      </c>
      <c r="AL399">
        <v>6</v>
      </c>
      <c r="AM399" t="s">
        <v>163</v>
      </c>
      <c r="AN399">
        <v>1</v>
      </c>
      <c r="AO399">
        <v>1</v>
      </c>
      <c r="AP399">
        <v>2</v>
      </c>
      <c r="AQ399">
        <v>2</v>
      </c>
      <c r="AR399">
        <v>8</v>
      </c>
      <c r="AS399">
        <v>8</v>
      </c>
    </row>
    <row r="400" spans="1:45" x14ac:dyDescent="0.35">
      <c r="A400" s="337">
        <v>46266</v>
      </c>
      <c r="B400" s="337">
        <v>46272</v>
      </c>
      <c r="C400" s="337">
        <v>46268</v>
      </c>
      <c r="D400" t="s">
        <v>128</v>
      </c>
      <c r="E400" s="339">
        <v>0.625</v>
      </c>
      <c r="F400">
        <v>3</v>
      </c>
      <c r="G400" t="s">
        <v>119</v>
      </c>
      <c r="H400">
        <v>0.01</v>
      </c>
      <c r="I400" t="s">
        <v>165</v>
      </c>
      <c r="J400" t="s">
        <v>165</v>
      </c>
      <c r="K400" t="s">
        <v>165</v>
      </c>
      <c r="L400" t="s">
        <v>161</v>
      </c>
      <c r="M400" t="s">
        <v>161</v>
      </c>
      <c r="N400">
        <v>12.3</v>
      </c>
      <c r="O400" t="s">
        <v>163</v>
      </c>
      <c r="P400" t="s">
        <v>163</v>
      </c>
      <c r="Q400" t="s">
        <v>163</v>
      </c>
      <c r="R400" t="s">
        <v>163</v>
      </c>
      <c r="S400" t="s">
        <v>163</v>
      </c>
      <c r="T400" t="s">
        <v>163</v>
      </c>
      <c r="U400" t="s">
        <v>163</v>
      </c>
      <c r="V400" t="s">
        <v>163</v>
      </c>
      <c r="W400" t="s">
        <v>165</v>
      </c>
      <c r="X400" t="s">
        <v>165</v>
      </c>
      <c r="Y400" t="s">
        <v>163</v>
      </c>
      <c r="Z400">
        <v>2</v>
      </c>
      <c r="AA400">
        <v>1</v>
      </c>
      <c r="AB400">
        <v>2</v>
      </c>
      <c r="AC400">
        <v>1</v>
      </c>
      <c r="AD400" t="s">
        <v>163</v>
      </c>
      <c r="AE400" t="s">
        <v>163</v>
      </c>
      <c r="AF400" t="s">
        <v>163</v>
      </c>
      <c r="AG400" t="s">
        <v>163</v>
      </c>
      <c r="AH400" t="s">
        <v>163</v>
      </c>
      <c r="AI400" t="s">
        <v>163</v>
      </c>
      <c r="AJ400" t="s">
        <v>163</v>
      </c>
      <c r="AK400">
        <v>6</v>
      </c>
      <c r="AL400">
        <v>6</v>
      </c>
      <c r="AM400" t="s">
        <v>163</v>
      </c>
      <c r="AN400">
        <v>1</v>
      </c>
      <c r="AO400">
        <v>1</v>
      </c>
      <c r="AP400">
        <v>2</v>
      </c>
      <c r="AQ400">
        <v>2</v>
      </c>
      <c r="AR400">
        <v>8</v>
      </c>
      <c r="AS400">
        <v>8</v>
      </c>
    </row>
    <row r="401" spans="1:45" x14ac:dyDescent="0.35">
      <c r="A401" s="337">
        <v>46266</v>
      </c>
      <c r="B401" s="337">
        <v>46272</v>
      </c>
      <c r="C401" s="337">
        <v>46268</v>
      </c>
      <c r="D401" t="s">
        <v>128</v>
      </c>
      <c r="E401" s="339">
        <v>0.58333333333333337</v>
      </c>
      <c r="F401">
        <v>3</v>
      </c>
      <c r="G401" t="s">
        <v>119</v>
      </c>
      <c r="H401">
        <v>0.01</v>
      </c>
      <c r="I401" t="s">
        <v>165</v>
      </c>
      <c r="J401" t="s">
        <v>165</v>
      </c>
      <c r="K401" t="s">
        <v>165</v>
      </c>
      <c r="L401" t="s">
        <v>161</v>
      </c>
      <c r="M401" t="s">
        <v>161</v>
      </c>
      <c r="N401">
        <v>12.38</v>
      </c>
      <c r="O401">
        <v>12.74</v>
      </c>
      <c r="P401" t="s">
        <v>163</v>
      </c>
      <c r="Q401" t="s">
        <v>163</v>
      </c>
      <c r="R401" t="s">
        <v>163</v>
      </c>
      <c r="S401" t="s">
        <v>163</v>
      </c>
      <c r="T401">
        <v>35.6</v>
      </c>
      <c r="U401" t="s">
        <v>163</v>
      </c>
      <c r="V401" t="s">
        <v>163</v>
      </c>
      <c r="W401" t="s">
        <v>165</v>
      </c>
      <c r="X401" t="s">
        <v>165</v>
      </c>
      <c r="Y401" t="s">
        <v>163</v>
      </c>
      <c r="Z401">
        <v>2</v>
      </c>
      <c r="AA401">
        <v>1</v>
      </c>
      <c r="AB401">
        <v>2</v>
      </c>
      <c r="AC401">
        <v>1</v>
      </c>
      <c r="AD401">
        <v>1</v>
      </c>
      <c r="AE401" t="s">
        <v>163</v>
      </c>
      <c r="AF401" t="s">
        <v>163</v>
      </c>
      <c r="AG401" t="s">
        <v>163</v>
      </c>
      <c r="AH401" t="s">
        <v>163</v>
      </c>
      <c r="AI401">
        <v>2</v>
      </c>
      <c r="AJ401" t="s">
        <v>163</v>
      </c>
      <c r="AK401">
        <v>9</v>
      </c>
      <c r="AL401">
        <v>9</v>
      </c>
      <c r="AM401" t="s">
        <v>163</v>
      </c>
      <c r="AN401">
        <v>1</v>
      </c>
      <c r="AO401">
        <v>1</v>
      </c>
      <c r="AP401">
        <v>2</v>
      </c>
      <c r="AQ401">
        <v>2</v>
      </c>
      <c r="AR401">
        <v>11</v>
      </c>
      <c r="AS401">
        <v>11</v>
      </c>
    </row>
    <row r="402" spans="1:45" x14ac:dyDescent="0.35">
      <c r="A402" s="337">
        <v>46266</v>
      </c>
      <c r="B402" s="337">
        <v>46272</v>
      </c>
      <c r="C402" s="339">
        <v>0</v>
      </c>
      <c r="D402" t="s">
        <v>128</v>
      </c>
      <c r="E402" s="339">
        <v>0.875</v>
      </c>
      <c r="F402">
        <v>2</v>
      </c>
      <c r="G402" t="s">
        <v>39</v>
      </c>
      <c r="H402" t="s">
        <v>163</v>
      </c>
      <c r="I402" t="s">
        <v>165</v>
      </c>
      <c r="J402" t="s">
        <v>165</v>
      </c>
      <c r="K402" t="s">
        <v>165</v>
      </c>
      <c r="L402" t="s">
        <v>163</v>
      </c>
      <c r="M402" t="s">
        <v>161</v>
      </c>
      <c r="N402">
        <v>10.78</v>
      </c>
      <c r="O402" t="s">
        <v>163</v>
      </c>
      <c r="P402" t="s">
        <v>163</v>
      </c>
      <c r="Q402" t="s">
        <v>163</v>
      </c>
      <c r="R402" t="s">
        <v>163</v>
      </c>
      <c r="S402" t="s">
        <v>163</v>
      </c>
      <c r="T402" t="s">
        <v>163</v>
      </c>
      <c r="U402" t="s">
        <v>163</v>
      </c>
      <c r="V402" t="s">
        <v>163</v>
      </c>
      <c r="W402" t="s">
        <v>165</v>
      </c>
      <c r="X402" t="s">
        <v>165</v>
      </c>
      <c r="Y402" t="s">
        <v>163</v>
      </c>
      <c r="Z402" t="s">
        <v>163</v>
      </c>
      <c r="AA402">
        <v>1</v>
      </c>
      <c r="AB402">
        <v>2</v>
      </c>
      <c r="AC402">
        <v>0</v>
      </c>
      <c r="AD402" t="s">
        <v>163</v>
      </c>
      <c r="AE402" t="s">
        <v>163</v>
      </c>
      <c r="AF402" t="s">
        <v>163</v>
      </c>
      <c r="AG402" t="s">
        <v>163</v>
      </c>
      <c r="AH402" t="s">
        <v>163</v>
      </c>
      <c r="AI402" t="s">
        <v>163</v>
      </c>
      <c r="AJ402" t="s">
        <v>163</v>
      </c>
      <c r="AK402">
        <v>3</v>
      </c>
      <c r="AL402">
        <v>4</v>
      </c>
      <c r="AM402" t="s">
        <v>163</v>
      </c>
      <c r="AN402">
        <v>1</v>
      </c>
      <c r="AO402">
        <v>1</v>
      </c>
      <c r="AP402">
        <v>2</v>
      </c>
      <c r="AQ402">
        <v>2</v>
      </c>
      <c r="AR402">
        <v>5</v>
      </c>
      <c r="AS402">
        <v>6</v>
      </c>
    </row>
    <row r="403" spans="1:45" x14ac:dyDescent="0.35">
      <c r="A403" s="337">
        <v>46266</v>
      </c>
      <c r="B403" s="337">
        <v>46272</v>
      </c>
      <c r="C403" s="339">
        <v>0</v>
      </c>
      <c r="D403" t="s">
        <v>128</v>
      </c>
      <c r="E403" s="339">
        <v>0.83333333333333337</v>
      </c>
      <c r="F403">
        <v>2</v>
      </c>
      <c r="G403" t="s">
        <v>39</v>
      </c>
      <c r="H403" t="s">
        <v>163</v>
      </c>
      <c r="I403" t="s">
        <v>165</v>
      </c>
      <c r="J403" t="s">
        <v>165</v>
      </c>
      <c r="K403" t="s">
        <v>165</v>
      </c>
      <c r="L403" t="s">
        <v>163</v>
      </c>
      <c r="M403" t="s">
        <v>161</v>
      </c>
      <c r="N403">
        <v>10.63</v>
      </c>
      <c r="O403" t="s">
        <v>163</v>
      </c>
      <c r="P403" t="s">
        <v>163</v>
      </c>
      <c r="Q403" t="s">
        <v>163</v>
      </c>
      <c r="R403" t="s">
        <v>163</v>
      </c>
      <c r="S403" t="s">
        <v>163</v>
      </c>
      <c r="T403" t="s">
        <v>163</v>
      </c>
      <c r="U403" t="s">
        <v>163</v>
      </c>
      <c r="V403" t="s">
        <v>163</v>
      </c>
      <c r="W403" t="s">
        <v>165</v>
      </c>
      <c r="X403" t="s">
        <v>165</v>
      </c>
      <c r="Y403" t="s">
        <v>163</v>
      </c>
      <c r="Z403" t="s">
        <v>163</v>
      </c>
      <c r="AA403">
        <v>1</v>
      </c>
      <c r="AB403">
        <v>2</v>
      </c>
      <c r="AC403">
        <v>0</v>
      </c>
      <c r="AD403" t="s">
        <v>163</v>
      </c>
      <c r="AE403" t="s">
        <v>163</v>
      </c>
      <c r="AF403" t="s">
        <v>163</v>
      </c>
      <c r="AG403" t="s">
        <v>163</v>
      </c>
      <c r="AH403" t="s">
        <v>163</v>
      </c>
      <c r="AI403" t="s">
        <v>163</v>
      </c>
      <c r="AJ403" t="s">
        <v>163</v>
      </c>
      <c r="AK403">
        <v>3</v>
      </c>
      <c r="AL403">
        <v>4</v>
      </c>
      <c r="AM403" t="s">
        <v>163</v>
      </c>
      <c r="AN403">
        <v>1</v>
      </c>
      <c r="AO403">
        <v>1</v>
      </c>
      <c r="AP403">
        <v>2</v>
      </c>
      <c r="AQ403">
        <v>2</v>
      </c>
      <c r="AR403">
        <v>5</v>
      </c>
      <c r="AS403">
        <v>6</v>
      </c>
    </row>
    <row r="404" spans="1:45" x14ac:dyDescent="0.35">
      <c r="A404" s="337">
        <v>46266</v>
      </c>
      <c r="B404" s="337">
        <v>46272</v>
      </c>
      <c r="C404" s="339">
        <v>0</v>
      </c>
      <c r="D404" t="s">
        <v>128</v>
      </c>
      <c r="E404" s="339">
        <v>0.79166666666666663</v>
      </c>
      <c r="F404">
        <v>2</v>
      </c>
      <c r="G404" t="s">
        <v>39</v>
      </c>
      <c r="H404" t="s">
        <v>163</v>
      </c>
      <c r="I404" t="s">
        <v>165</v>
      </c>
      <c r="J404" t="s">
        <v>165</v>
      </c>
      <c r="K404" t="s">
        <v>165</v>
      </c>
      <c r="L404" t="s">
        <v>163</v>
      </c>
      <c r="M404" t="s">
        <v>161</v>
      </c>
      <c r="N404">
        <v>10.72</v>
      </c>
      <c r="O404" t="s">
        <v>163</v>
      </c>
      <c r="P404" t="s">
        <v>163</v>
      </c>
      <c r="Q404" t="s">
        <v>163</v>
      </c>
      <c r="R404" t="s">
        <v>163</v>
      </c>
      <c r="S404" t="s">
        <v>163</v>
      </c>
      <c r="T404" t="s">
        <v>163</v>
      </c>
      <c r="U404" t="s">
        <v>163</v>
      </c>
      <c r="V404" t="s">
        <v>163</v>
      </c>
      <c r="W404" t="s">
        <v>165</v>
      </c>
      <c r="X404" t="s">
        <v>165</v>
      </c>
      <c r="Y404" t="s">
        <v>163</v>
      </c>
      <c r="Z404" t="s">
        <v>163</v>
      </c>
      <c r="AA404">
        <v>1</v>
      </c>
      <c r="AB404">
        <v>2</v>
      </c>
      <c r="AC404">
        <v>0</v>
      </c>
      <c r="AD404" t="s">
        <v>163</v>
      </c>
      <c r="AE404" t="s">
        <v>163</v>
      </c>
      <c r="AF404" t="s">
        <v>163</v>
      </c>
      <c r="AG404" t="s">
        <v>163</v>
      </c>
      <c r="AH404" t="s">
        <v>163</v>
      </c>
      <c r="AI404" t="s">
        <v>163</v>
      </c>
      <c r="AJ404" t="s">
        <v>163</v>
      </c>
      <c r="AK404">
        <v>3</v>
      </c>
      <c r="AL404">
        <v>4</v>
      </c>
      <c r="AM404" t="s">
        <v>163</v>
      </c>
      <c r="AN404">
        <v>1</v>
      </c>
      <c r="AO404">
        <v>1</v>
      </c>
      <c r="AP404">
        <v>2</v>
      </c>
      <c r="AQ404">
        <v>2</v>
      </c>
      <c r="AR404">
        <v>5</v>
      </c>
      <c r="AS404">
        <v>6</v>
      </c>
    </row>
    <row r="405" spans="1:45" x14ac:dyDescent="0.35">
      <c r="A405" s="337">
        <v>46266</v>
      </c>
      <c r="B405" s="337">
        <v>46272</v>
      </c>
      <c r="C405" s="339">
        <v>0</v>
      </c>
      <c r="D405" t="s">
        <v>128</v>
      </c>
      <c r="E405" s="339">
        <v>0.75</v>
      </c>
      <c r="F405">
        <v>2</v>
      </c>
      <c r="G405" t="s">
        <v>39</v>
      </c>
      <c r="H405" t="s">
        <v>163</v>
      </c>
      <c r="I405" t="s">
        <v>165</v>
      </c>
      <c r="J405" t="s">
        <v>165</v>
      </c>
      <c r="K405" t="s">
        <v>165</v>
      </c>
      <c r="L405" t="s">
        <v>163</v>
      </c>
      <c r="M405" t="s">
        <v>161</v>
      </c>
      <c r="N405">
        <v>11.11</v>
      </c>
      <c r="O405">
        <v>10.45</v>
      </c>
      <c r="P405">
        <v>0.53</v>
      </c>
      <c r="Q405">
        <v>53.8</v>
      </c>
      <c r="R405">
        <v>12.7</v>
      </c>
      <c r="S405">
        <v>312</v>
      </c>
      <c r="T405">
        <v>29</v>
      </c>
      <c r="U405" t="s">
        <v>163</v>
      </c>
      <c r="V405" t="s">
        <v>163</v>
      </c>
      <c r="W405" t="s">
        <v>165</v>
      </c>
      <c r="X405" t="s">
        <v>165</v>
      </c>
      <c r="Y405" t="s">
        <v>163</v>
      </c>
      <c r="Z405" t="s">
        <v>163</v>
      </c>
      <c r="AA405">
        <v>1</v>
      </c>
      <c r="AB405">
        <v>2</v>
      </c>
      <c r="AC405">
        <v>1</v>
      </c>
      <c r="AD405">
        <v>1</v>
      </c>
      <c r="AE405">
        <v>2</v>
      </c>
      <c r="AF405">
        <v>0</v>
      </c>
      <c r="AG405">
        <v>1</v>
      </c>
      <c r="AH405">
        <v>1</v>
      </c>
      <c r="AI405">
        <v>0</v>
      </c>
      <c r="AJ405" t="s">
        <v>163</v>
      </c>
      <c r="AK405">
        <v>9</v>
      </c>
      <c r="AL405">
        <v>13</v>
      </c>
      <c r="AM405" t="s">
        <v>163</v>
      </c>
      <c r="AN405">
        <v>1</v>
      </c>
      <c r="AO405">
        <v>1</v>
      </c>
      <c r="AP405">
        <v>2</v>
      </c>
      <c r="AQ405">
        <v>2</v>
      </c>
      <c r="AR405">
        <v>11</v>
      </c>
      <c r="AS405">
        <v>15</v>
      </c>
    </row>
    <row r="406" spans="1:45" x14ac:dyDescent="0.35">
      <c r="A406" s="337">
        <v>46266</v>
      </c>
      <c r="B406" s="337">
        <v>46272</v>
      </c>
      <c r="C406" s="339">
        <v>0</v>
      </c>
      <c r="D406" t="s">
        <v>128</v>
      </c>
      <c r="E406" s="339">
        <v>0.66666666666666663</v>
      </c>
      <c r="F406">
        <v>2</v>
      </c>
      <c r="G406" t="s">
        <v>138</v>
      </c>
      <c r="H406" t="s">
        <v>163</v>
      </c>
      <c r="I406" t="s">
        <v>165</v>
      </c>
      <c r="J406" t="s">
        <v>165</v>
      </c>
      <c r="K406" t="s">
        <v>165</v>
      </c>
      <c r="L406" t="s">
        <v>163</v>
      </c>
      <c r="M406" t="s">
        <v>161</v>
      </c>
      <c r="N406">
        <v>10.83</v>
      </c>
      <c r="O406" t="s">
        <v>163</v>
      </c>
      <c r="P406" t="s">
        <v>163</v>
      </c>
      <c r="Q406" t="s">
        <v>163</v>
      </c>
      <c r="R406" t="s">
        <v>163</v>
      </c>
      <c r="S406" t="s">
        <v>163</v>
      </c>
      <c r="T406" t="s">
        <v>163</v>
      </c>
      <c r="U406" t="s">
        <v>163</v>
      </c>
      <c r="V406" t="s">
        <v>163</v>
      </c>
      <c r="W406" t="s">
        <v>165</v>
      </c>
      <c r="X406" t="s">
        <v>165</v>
      </c>
      <c r="Y406" t="s">
        <v>163</v>
      </c>
      <c r="Z406" t="s">
        <v>163</v>
      </c>
      <c r="AA406">
        <v>1</v>
      </c>
      <c r="AB406">
        <v>2</v>
      </c>
      <c r="AC406">
        <v>0</v>
      </c>
      <c r="AD406" t="s">
        <v>163</v>
      </c>
      <c r="AE406" t="s">
        <v>163</v>
      </c>
      <c r="AF406" t="s">
        <v>163</v>
      </c>
      <c r="AG406" t="s">
        <v>163</v>
      </c>
      <c r="AH406" t="s">
        <v>163</v>
      </c>
      <c r="AI406" t="s">
        <v>163</v>
      </c>
      <c r="AJ406" t="s">
        <v>163</v>
      </c>
      <c r="AK406">
        <v>3</v>
      </c>
      <c r="AL406">
        <v>4</v>
      </c>
      <c r="AM406" t="s">
        <v>163</v>
      </c>
      <c r="AN406">
        <v>1</v>
      </c>
      <c r="AO406">
        <v>1</v>
      </c>
      <c r="AP406">
        <v>2</v>
      </c>
      <c r="AQ406">
        <v>2</v>
      </c>
      <c r="AR406">
        <v>5</v>
      </c>
      <c r="AS406">
        <v>6</v>
      </c>
    </row>
    <row r="407" spans="1:45" x14ac:dyDescent="0.35">
      <c r="A407" s="337">
        <v>46266</v>
      </c>
      <c r="B407" s="337">
        <v>46272</v>
      </c>
      <c r="C407" s="339">
        <v>0</v>
      </c>
      <c r="D407" t="s">
        <v>128</v>
      </c>
      <c r="E407" s="339">
        <v>0.625</v>
      </c>
      <c r="F407">
        <v>2</v>
      </c>
      <c r="G407" t="s">
        <v>138</v>
      </c>
      <c r="H407" t="s">
        <v>163</v>
      </c>
      <c r="I407" t="s">
        <v>165</v>
      </c>
      <c r="J407" t="s">
        <v>165</v>
      </c>
      <c r="K407" t="s">
        <v>165</v>
      </c>
      <c r="L407" t="s">
        <v>163</v>
      </c>
      <c r="M407" t="s">
        <v>161</v>
      </c>
      <c r="N407">
        <v>10.78</v>
      </c>
      <c r="O407" t="s">
        <v>163</v>
      </c>
      <c r="P407" t="s">
        <v>163</v>
      </c>
      <c r="Q407" t="s">
        <v>163</v>
      </c>
      <c r="R407" t="s">
        <v>163</v>
      </c>
      <c r="S407" t="s">
        <v>163</v>
      </c>
      <c r="T407" t="s">
        <v>163</v>
      </c>
      <c r="U407" t="s">
        <v>163</v>
      </c>
      <c r="V407" t="s">
        <v>163</v>
      </c>
      <c r="W407" t="s">
        <v>165</v>
      </c>
      <c r="X407" t="s">
        <v>165</v>
      </c>
      <c r="Y407" t="s">
        <v>163</v>
      </c>
      <c r="Z407" t="s">
        <v>163</v>
      </c>
      <c r="AA407">
        <v>1</v>
      </c>
      <c r="AB407">
        <v>2</v>
      </c>
      <c r="AC407">
        <v>0</v>
      </c>
      <c r="AD407" t="s">
        <v>163</v>
      </c>
      <c r="AE407" t="s">
        <v>163</v>
      </c>
      <c r="AF407" t="s">
        <v>163</v>
      </c>
      <c r="AG407" t="s">
        <v>163</v>
      </c>
      <c r="AH407" t="s">
        <v>163</v>
      </c>
      <c r="AI407" t="s">
        <v>163</v>
      </c>
      <c r="AJ407" t="s">
        <v>163</v>
      </c>
      <c r="AK407">
        <v>3</v>
      </c>
      <c r="AL407">
        <v>4</v>
      </c>
      <c r="AM407" t="s">
        <v>163</v>
      </c>
      <c r="AN407">
        <v>1</v>
      </c>
      <c r="AO407">
        <v>1</v>
      </c>
      <c r="AP407">
        <v>2</v>
      </c>
      <c r="AQ407">
        <v>2</v>
      </c>
      <c r="AR407">
        <v>5</v>
      </c>
      <c r="AS407">
        <v>6</v>
      </c>
    </row>
    <row r="408" spans="1:45" x14ac:dyDescent="0.35">
      <c r="A408" s="337">
        <v>46266</v>
      </c>
      <c r="B408" s="337">
        <v>46272</v>
      </c>
      <c r="C408" s="339">
        <v>0</v>
      </c>
      <c r="D408" t="s">
        <v>128</v>
      </c>
      <c r="E408" s="339">
        <v>0.58333333333333337</v>
      </c>
      <c r="F408">
        <v>2</v>
      </c>
      <c r="G408" t="s">
        <v>138</v>
      </c>
      <c r="H408" t="s">
        <v>163</v>
      </c>
      <c r="I408" t="s">
        <v>165</v>
      </c>
      <c r="J408" t="s">
        <v>165</v>
      </c>
      <c r="K408" t="s">
        <v>165</v>
      </c>
      <c r="L408" t="s">
        <v>163</v>
      </c>
      <c r="M408" t="s">
        <v>161</v>
      </c>
      <c r="N408">
        <v>10.89</v>
      </c>
      <c r="O408" t="s">
        <v>163</v>
      </c>
      <c r="P408" t="s">
        <v>163</v>
      </c>
      <c r="Q408" t="s">
        <v>163</v>
      </c>
      <c r="R408" t="s">
        <v>163</v>
      </c>
      <c r="S408" t="s">
        <v>163</v>
      </c>
      <c r="T408" t="s">
        <v>163</v>
      </c>
      <c r="U408" t="s">
        <v>163</v>
      </c>
      <c r="V408" t="s">
        <v>163</v>
      </c>
      <c r="W408" t="s">
        <v>165</v>
      </c>
      <c r="X408" t="s">
        <v>165</v>
      </c>
      <c r="Y408" t="s">
        <v>163</v>
      </c>
      <c r="Z408" t="s">
        <v>163</v>
      </c>
      <c r="AA408">
        <v>1</v>
      </c>
      <c r="AB408">
        <v>2</v>
      </c>
      <c r="AC408">
        <v>0</v>
      </c>
      <c r="AD408" t="s">
        <v>163</v>
      </c>
      <c r="AE408" t="s">
        <v>163</v>
      </c>
      <c r="AF408" t="s">
        <v>163</v>
      </c>
      <c r="AG408" t="s">
        <v>163</v>
      </c>
      <c r="AH408" t="s">
        <v>163</v>
      </c>
      <c r="AI408" t="s">
        <v>163</v>
      </c>
      <c r="AJ408" t="s">
        <v>163</v>
      </c>
      <c r="AK408">
        <v>3</v>
      </c>
      <c r="AL408">
        <v>4</v>
      </c>
      <c r="AM408" t="s">
        <v>163</v>
      </c>
      <c r="AN408">
        <v>1</v>
      </c>
      <c r="AO408">
        <v>1</v>
      </c>
      <c r="AP408">
        <v>2</v>
      </c>
      <c r="AQ408">
        <v>2</v>
      </c>
      <c r="AR408">
        <v>5</v>
      </c>
      <c r="AS408">
        <v>6</v>
      </c>
    </row>
    <row r="409" spans="1:45" x14ac:dyDescent="0.35">
      <c r="A409" s="337">
        <v>46266</v>
      </c>
      <c r="B409" s="337">
        <v>46272</v>
      </c>
      <c r="C409" s="337">
        <v>46268</v>
      </c>
      <c r="D409" t="s">
        <v>128</v>
      </c>
      <c r="E409" s="339">
        <v>0.875</v>
      </c>
      <c r="F409">
        <v>1</v>
      </c>
      <c r="G409" t="s">
        <v>123</v>
      </c>
      <c r="H409">
        <v>0.02</v>
      </c>
      <c r="I409" t="s">
        <v>165</v>
      </c>
      <c r="J409" t="s">
        <v>165</v>
      </c>
      <c r="K409" t="s">
        <v>165</v>
      </c>
      <c r="L409" t="s">
        <v>163</v>
      </c>
      <c r="M409" t="s">
        <v>163</v>
      </c>
      <c r="N409">
        <v>12.67</v>
      </c>
      <c r="O409" t="s">
        <v>163</v>
      </c>
      <c r="P409" t="s">
        <v>163</v>
      </c>
      <c r="Q409" t="s">
        <v>163</v>
      </c>
      <c r="R409" t="s">
        <v>163</v>
      </c>
      <c r="S409" t="s">
        <v>163</v>
      </c>
      <c r="T409" t="s">
        <v>163</v>
      </c>
      <c r="U409" t="s">
        <v>163</v>
      </c>
      <c r="V409" t="s">
        <v>163</v>
      </c>
      <c r="W409" t="s">
        <v>165</v>
      </c>
      <c r="X409" t="s">
        <v>165</v>
      </c>
      <c r="Y409" t="s">
        <v>163</v>
      </c>
      <c r="Z409">
        <v>2</v>
      </c>
      <c r="AA409">
        <v>1</v>
      </c>
      <c r="AB409">
        <v>2</v>
      </c>
      <c r="AC409">
        <v>1</v>
      </c>
      <c r="AD409" t="s">
        <v>163</v>
      </c>
      <c r="AE409" t="s">
        <v>163</v>
      </c>
      <c r="AF409" t="s">
        <v>163</v>
      </c>
      <c r="AG409" t="s">
        <v>163</v>
      </c>
      <c r="AH409" t="s">
        <v>163</v>
      </c>
      <c r="AI409" t="s">
        <v>163</v>
      </c>
      <c r="AJ409" t="s">
        <v>163</v>
      </c>
      <c r="AK409">
        <v>6</v>
      </c>
      <c r="AL409">
        <v>6</v>
      </c>
      <c r="AM409" t="s">
        <v>163</v>
      </c>
      <c r="AN409">
        <v>1</v>
      </c>
      <c r="AO409">
        <v>1</v>
      </c>
      <c r="AP409">
        <v>2</v>
      </c>
      <c r="AQ409">
        <v>2</v>
      </c>
      <c r="AR409">
        <v>8</v>
      </c>
      <c r="AS409">
        <v>8</v>
      </c>
    </row>
    <row r="410" spans="1:45" x14ac:dyDescent="0.35">
      <c r="A410" s="337">
        <v>46266</v>
      </c>
      <c r="B410" s="337">
        <v>46272</v>
      </c>
      <c r="C410" s="337">
        <v>46268</v>
      </c>
      <c r="D410" t="s">
        <v>128</v>
      </c>
      <c r="E410" s="339">
        <v>0.83333333333333337</v>
      </c>
      <c r="F410">
        <v>1</v>
      </c>
      <c r="G410" t="s">
        <v>123</v>
      </c>
      <c r="H410">
        <v>0.02</v>
      </c>
      <c r="I410" t="s">
        <v>165</v>
      </c>
      <c r="J410" t="s">
        <v>165</v>
      </c>
      <c r="K410" t="s">
        <v>165</v>
      </c>
      <c r="L410" t="s">
        <v>163</v>
      </c>
      <c r="M410" t="s">
        <v>163</v>
      </c>
      <c r="N410">
        <v>12.78</v>
      </c>
      <c r="O410" t="s">
        <v>163</v>
      </c>
      <c r="P410" t="s">
        <v>163</v>
      </c>
      <c r="Q410" t="s">
        <v>163</v>
      </c>
      <c r="R410" t="s">
        <v>163</v>
      </c>
      <c r="S410" t="s">
        <v>163</v>
      </c>
      <c r="T410" t="s">
        <v>163</v>
      </c>
      <c r="U410" t="s">
        <v>163</v>
      </c>
      <c r="V410" t="s">
        <v>163</v>
      </c>
      <c r="W410" t="s">
        <v>165</v>
      </c>
      <c r="X410" t="s">
        <v>165</v>
      </c>
      <c r="Y410" t="s">
        <v>163</v>
      </c>
      <c r="Z410">
        <v>2</v>
      </c>
      <c r="AA410">
        <v>1</v>
      </c>
      <c r="AB410">
        <v>2</v>
      </c>
      <c r="AC410">
        <v>1</v>
      </c>
      <c r="AD410" t="s">
        <v>163</v>
      </c>
      <c r="AE410" t="s">
        <v>163</v>
      </c>
      <c r="AF410" t="s">
        <v>163</v>
      </c>
      <c r="AG410" t="s">
        <v>163</v>
      </c>
      <c r="AH410" t="s">
        <v>163</v>
      </c>
      <c r="AI410" t="s">
        <v>163</v>
      </c>
      <c r="AJ410" t="s">
        <v>163</v>
      </c>
      <c r="AK410">
        <v>6</v>
      </c>
      <c r="AL410">
        <v>6</v>
      </c>
      <c r="AM410" t="s">
        <v>163</v>
      </c>
      <c r="AN410">
        <v>1</v>
      </c>
      <c r="AO410">
        <v>1</v>
      </c>
      <c r="AP410">
        <v>2</v>
      </c>
      <c r="AQ410">
        <v>2</v>
      </c>
      <c r="AR410">
        <v>8</v>
      </c>
      <c r="AS410">
        <v>8</v>
      </c>
    </row>
    <row r="411" spans="1:45" x14ac:dyDescent="0.35">
      <c r="A411" s="337">
        <v>46266</v>
      </c>
      <c r="B411" s="337">
        <v>46272</v>
      </c>
      <c r="C411" s="337">
        <v>46268</v>
      </c>
      <c r="D411" t="s">
        <v>128</v>
      </c>
      <c r="E411" s="339">
        <v>0.79166666666666663</v>
      </c>
      <c r="F411">
        <v>1</v>
      </c>
      <c r="G411" t="s">
        <v>123</v>
      </c>
      <c r="H411">
        <v>0.04</v>
      </c>
      <c r="I411" t="s">
        <v>165</v>
      </c>
      <c r="J411" t="s">
        <v>165</v>
      </c>
      <c r="K411" t="s">
        <v>165</v>
      </c>
      <c r="L411" t="s">
        <v>163</v>
      </c>
      <c r="M411" t="s">
        <v>163</v>
      </c>
      <c r="N411">
        <v>12.64</v>
      </c>
      <c r="O411" t="s">
        <v>163</v>
      </c>
      <c r="P411" t="s">
        <v>163</v>
      </c>
      <c r="Q411" t="s">
        <v>163</v>
      </c>
      <c r="R411" t="s">
        <v>163</v>
      </c>
      <c r="S411" t="s">
        <v>163</v>
      </c>
      <c r="T411" t="s">
        <v>163</v>
      </c>
      <c r="U411" t="s">
        <v>163</v>
      </c>
      <c r="V411" t="s">
        <v>163</v>
      </c>
      <c r="W411" t="s">
        <v>165</v>
      </c>
      <c r="X411" t="s">
        <v>165</v>
      </c>
      <c r="Y411" t="s">
        <v>163</v>
      </c>
      <c r="Z411">
        <v>0</v>
      </c>
      <c r="AA411">
        <v>1</v>
      </c>
      <c r="AB411">
        <v>2</v>
      </c>
      <c r="AC411">
        <v>1</v>
      </c>
      <c r="AD411" t="s">
        <v>163</v>
      </c>
      <c r="AE411" t="s">
        <v>163</v>
      </c>
      <c r="AF411" t="s">
        <v>163</v>
      </c>
      <c r="AG411" t="s">
        <v>163</v>
      </c>
      <c r="AH411" t="s">
        <v>163</v>
      </c>
      <c r="AI411" t="s">
        <v>163</v>
      </c>
      <c r="AJ411" t="s">
        <v>163</v>
      </c>
      <c r="AK411">
        <v>4</v>
      </c>
      <c r="AL411">
        <v>6</v>
      </c>
      <c r="AM411" t="s">
        <v>163</v>
      </c>
      <c r="AN411">
        <v>1</v>
      </c>
      <c r="AO411">
        <v>1</v>
      </c>
      <c r="AP411">
        <v>2</v>
      </c>
      <c r="AQ411">
        <v>2</v>
      </c>
      <c r="AR411">
        <v>6</v>
      </c>
      <c r="AS411">
        <v>8</v>
      </c>
    </row>
    <row r="412" spans="1:45" x14ac:dyDescent="0.35">
      <c r="A412" s="337">
        <v>46266</v>
      </c>
      <c r="B412" s="337">
        <v>46272</v>
      </c>
      <c r="C412" s="337">
        <v>46268</v>
      </c>
      <c r="D412" t="s">
        <v>128</v>
      </c>
      <c r="E412" s="339">
        <v>0.75</v>
      </c>
      <c r="F412">
        <v>1</v>
      </c>
      <c r="G412" t="s">
        <v>123</v>
      </c>
      <c r="H412">
        <v>0.03</v>
      </c>
      <c r="I412" t="s">
        <v>163</v>
      </c>
      <c r="J412" t="s">
        <v>165</v>
      </c>
      <c r="K412" t="s">
        <v>165</v>
      </c>
      <c r="L412" t="s">
        <v>163</v>
      </c>
      <c r="M412" t="s">
        <v>163</v>
      </c>
      <c r="N412">
        <v>12.58</v>
      </c>
      <c r="O412" t="s">
        <v>163</v>
      </c>
      <c r="P412" t="s">
        <v>163</v>
      </c>
      <c r="Q412" t="s">
        <v>163</v>
      </c>
      <c r="R412" t="s">
        <v>163</v>
      </c>
      <c r="S412" t="s">
        <v>163</v>
      </c>
      <c r="T412" t="s">
        <v>163</v>
      </c>
      <c r="U412" t="s">
        <v>163</v>
      </c>
      <c r="V412" t="s">
        <v>163</v>
      </c>
      <c r="W412" t="s">
        <v>165</v>
      </c>
      <c r="X412" t="s">
        <v>165</v>
      </c>
      <c r="Y412" t="s">
        <v>163</v>
      </c>
      <c r="Z412">
        <v>0</v>
      </c>
      <c r="AA412" t="s">
        <v>163</v>
      </c>
      <c r="AB412">
        <v>2</v>
      </c>
      <c r="AC412">
        <v>1</v>
      </c>
      <c r="AD412" t="s">
        <v>163</v>
      </c>
      <c r="AE412" t="s">
        <v>163</v>
      </c>
      <c r="AF412" t="s">
        <v>163</v>
      </c>
      <c r="AG412" t="s">
        <v>163</v>
      </c>
      <c r="AH412" t="s">
        <v>163</v>
      </c>
      <c r="AI412" t="s">
        <v>163</v>
      </c>
      <c r="AJ412" t="s">
        <v>163</v>
      </c>
      <c r="AK412">
        <v>3</v>
      </c>
      <c r="AL412">
        <v>5</v>
      </c>
      <c r="AM412" t="s">
        <v>163</v>
      </c>
      <c r="AN412">
        <v>1</v>
      </c>
      <c r="AO412">
        <v>1</v>
      </c>
      <c r="AP412">
        <v>2</v>
      </c>
      <c r="AQ412">
        <v>2</v>
      </c>
      <c r="AR412">
        <v>5</v>
      </c>
      <c r="AS412">
        <v>7</v>
      </c>
    </row>
    <row r="413" spans="1:45" x14ac:dyDescent="0.35">
      <c r="A413" s="337">
        <v>46266</v>
      </c>
      <c r="B413" s="337">
        <v>46272</v>
      </c>
      <c r="C413" s="337">
        <v>46268</v>
      </c>
      <c r="D413" t="s">
        <v>128</v>
      </c>
      <c r="E413" s="339">
        <v>0.66666666666666663</v>
      </c>
      <c r="F413">
        <v>1</v>
      </c>
      <c r="G413" t="s">
        <v>123</v>
      </c>
      <c r="H413" t="s">
        <v>163</v>
      </c>
      <c r="I413" t="s">
        <v>165</v>
      </c>
      <c r="J413" t="s">
        <v>165</v>
      </c>
      <c r="K413" t="s">
        <v>165</v>
      </c>
      <c r="L413" t="s">
        <v>163</v>
      </c>
      <c r="M413" t="s">
        <v>163</v>
      </c>
      <c r="N413">
        <v>12.48</v>
      </c>
      <c r="O413" t="s">
        <v>163</v>
      </c>
      <c r="P413" t="s">
        <v>163</v>
      </c>
      <c r="Q413" t="s">
        <v>163</v>
      </c>
      <c r="R413" t="s">
        <v>163</v>
      </c>
      <c r="S413" t="s">
        <v>163</v>
      </c>
      <c r="T413" t="s">
        <v>163</v>
      </c>
      <c r="U413" t="s">
        <v>163</v>
      </c>
      <c r="V413" t="s">
        <v>163</v>
      </c>
      <c r="W413" t="s">
        <v>165</v>
      </c>
      <c r="X413" t="s">
        <v>165</v>
      </c>
      <c r="Y413" t="s">
        <v>163</v>
      </c>
      <c r="Z413" t="s">
        <v>163</v>
      </c>
      <c r="AA413">
        <v>1</v>
      </c>
      <c r="AB413">
        <v>2</v>
      </c>
      <c r="AC413">
        <v>1</v>
      </c>
      <c r="AD413" t="s">
        <v>163</v>
      </c>
      <c r="AE413" t="s">
        <v>163</v>
      </c>
      <c r="AF413" t="s">
        <v>163</v>
      </c>
      <c r="AG413" t="s">
        <v>163</v>
      </c>
      <c r="AH413" t="s">
        <v>163</v>
      </c>
      <c r="AI413" t="s">
        <v>163</v>
      </c>
      <c r="AJ413" t="s">
        <v>163</v>
      </c>
      <c r="AK413">
        <v>4</v>
      </c>
      <c r="AL413">
        <v>4</v>
      </c>
      <c r="AM413" t="s">
        <v>163</v>
      </c>
      <c r="AN413">
        <v>1</v>
      </c>
      <c r="AO413">
        <v>1</v>
      </c>
      <c r="AP413">
        <v>2</v>
      </c>
      <c r="AQ413">
        <v>2</v>
      </c>
      <c r="AR413">
        <v>6</v>
      </c>
      <c r="AS413">
        <v>6</v>
      </c>
    </row>
    <row r="414" spans="1:45" x14ac:dyDescent="0.35">
      <c r="A414" s="337">
        <v>46266</v>
      </c>
      <c r="B414" s="337">
        <v>46272</v>
      </c>
      <c r="C414" s="337">
        <v>46268</v>
      </c>
      <c r="D414" t="s">
        <v>128</v>
      </c>
      <c r="E414" s="339">
        <v>0.625</v>
      </c>
      <c r="F414">
        <v>1</v>
      </c>
      <c r="G414" t="s">
        <v>123</v>
      </c>
      <c r="H414" t="s">
        <v>163</v>
      </c>
      <c r="I414" t="s">
        <v>165</v>
      </c>
      <c r="J414" t="s">
        <v>165</v>
      </c>
      <c r="K414" t="s">
        <v>165</v>
      </c>
      <c r="L414" t="s">
        <v>163</v>
      </c>
      <c r="M414" t="s">
        <v>163</v>
      </c>
      <c r="N414">
        <v>12.57</v>
      </c>
      <c r="O414" t="s">
        <v>163</v>
      </c>
      <c r="P414" t="s">
        <v>163</v>
      </c>
      <c r="Q414" t="s">
        <v>163</v>
      </c>
      <c r="R414" t="s">
        <v>163</v>
      </c>
      <c r="S414" t="s">
        <v>163</v>
      </c>
      <c r="T414" t="s">
        <v>163</v>
      </c>
      <c r="U414" t="s">
        <v>163</v>
      </c>
      <c r="V414" t="s">
        <v>163</v>
      </c>
      <c r="W414" t="s">
        <v>165</v>
      </c>
      <c r="X414" t="s">
        <v>165</v>
      </c>
      <c r="Y414" t="s">
        <v>163</v>
      </c>
      <c r="Z414" t="s">
        <v>163</v>
      </c>
      <c r="AA414">
        <v>1</v>
      </c>
      <c r="AB414">
        <v>2</v>
      </c>
      <c r="AC414">
        <v>1</v>
      </c>
      <c r="AD414" t="s">
        <v>163</v>
      </c>
      <c r="AE414" t="s">
        <v>163</v>
      </c>
      <c r="AF414" t="s">
        <v>163</v>
      </c>
      <c r="AG414" t="s">
        <v>163</v>
      </c>
      <c r="AH414" t="s">
        <v>163</v>
      </c>
      <c r="AI414" t="s">
        <v>163</v>
      </c>
      <c r="AJ414" t="s">
        <v>163</v>
      </c>
      <c r="AK414">
        <v>4</v>
      </c>
      <c r="AL414">
        <v>4</v>
      </c>
      <c r="AM414" t="s">
        <v>163</v>
      </c>
      <c r="AN414">
        <v>1</v>
      </c>
      <c r="AO414">
        <v>1</v>
      </c>
      <c r="AP414">
        <v>2</v>
      </c>
      <c r="AQ414">
        <v>2</v>
      </c>
      <c r="AR414">
        <v>6</v>
      </c>
      <c r="AS414">
        <v>6</v>
      </c>
    </row>
    <row r="415" spans="1:45" x14ac:dyDescent="0.35">
      <c r="A415" s="337">
        <v>46266</v>
      </c>
      <c r="B415" s="337">
        <v>46272</v>
      </c>
      <c r="C415" s="337">
        <v>46268</v>
      </c>
      <c r="D415" t="s">
        <v>128</v>
      </c>
      <c r="E415" s="339">
        <v>0.58333333333333337</v>
      </c>
      <c r="F415">
        <v>1</v>
      </c>
      <c r="G415" t="s">
        <v>123</v>
      </c>
      <c r="H415" t="s">
        <v>163</v>
      </c>
      <c r="I415" t="s">
        <v>165</v>
      </c>
      <c r="J415" t="s">
        <v>165</v>
      </c>
      <c r="K415" t="s">
        <v>165</v>
      </c>
      <c r="L415" t="s">
        <v>163</v>
      </c>
      <c r="M415" t="s">
        <v>163</v>
      </c>
      <c r="N415">
        <v>12.73</v>
      </c>
      <c r="O415">
        <v>12.07</v>
      </c>
      <c r="P415" t="s">
        <v>163</v>
      </c>
      <c r="Q415" t="s">
        <v>163</v>
      </c>
      <c r="R415" t="s">
        <v>163</v>
      </c>
      <c r="S415" t="s">
        <v>163</v>
      </c>
      <c r="T415">
        <v>33.5</v>
      </c>
      <c r="U415" t="s">
        <v>163</v>
      </c>
      <c r="V415" t="s">
        <v>163</v>
      </c>
      <c r="W415" t="s">
        <v>165</v>
      </c>
      <c r="X415" t="s">
        <v>165</v>
      </c>
      <c r="Y415" t="s">
        <v>163</v>
      </c>
      <c r="Z415" t="s">
        <v>163</v>
      </c>
      <c r="AA415">
        <v>1</v>
      </c>
      <c r="AB415">
        <v>2</v>
      </c>
      <c r="AC415">
        <v>1</v>
      </c>
      <c r="AD415">
        <v>1</v>
      </c>
      <c r="AE415" t="s">
        <v>163</v>
      </c>
      <c r="AF415" t="s">
        <v>163</v>
      </c>
      <c r="AG415" t="s">
        <v>163</v>
      </c>
      <c r="AH415" t="s">
        <v>163</v>
      </c>
      <c r="AI415">
        <v>2</v>
      </c>
      <c r="AJ415" t="s">
        <v>163</v>
      </c>
      <c r="AK415">
        <v>7</v>
      </c>
      <c r="AL415">
        <v>7</v>
      </c>
      <c r="AM415" t="s">
        <v>163</v>
      </c>
      <c r="AN415">
        <v>1</v>
      </c>
      <c r="AO415">
        <v>1</v>
      </c>
      <c r="AP415">
        <v>2</v>
      </c>
      <c r="AQ415">
        <v>2</v>
      </c>
      <c r="AR415">
        <v>9</v>
      </c>
      <c r="AS415">
        <v>9</v>
      </c>
    </row>
    <row r="416" spans="1:45" x14ac:dyDescent="0.35">
      <c r="A416" s="337">
        <v>46266</v>
      </c>
      <c r="B416" s="337">
        <v>46272</v>
      </c>
      <c r="C416" s="337">
        <v>46268</v>
      </c>
      <c r="D416" t="s">
        <v>125</v>
      </c>
      <c r="E416" t="s">
        <v>238</v>
      </c>
      <c r="F416">
        <v>3</v>
      </c>
      <c r="G416" t="s">
        <v>119</v>
      </c>
      <c r="H416">
        <v>0.01</v>
      </c>
      <c r="I416" t="s">
        <v>165</v>
      </c>
      <c r="J416" t="s">
        <v>165</v>
      </c>
      <c r="K416" t="s">
        <v>165</v>
      </c>
      <c r="L416" t="s">
        <v>161</v>
      </c>
      <c r="M416" t="s">
        <v>161</v>
      </c>
      <c r="N416">
        <v>12.24</v>
      </c>
      <c r="O416" t="s">
        <v>163</v>
      </c>
      <c r="P416" t="s">
        <v>163</v>
      </c>
      <c r="Q416" t="s">
        <v>163</v>
      </c>
      <c r="R416" t="s">
        <v>163</v>
      </c>
      <c r="S416" t="s">
        <v>163</v>
      </c>
      <c r="T416" t="s">
        <v>163</v>
      </c>
      <c r="U416" t="s">
        <v>163</v>
      </c>
      <c r="V416" t="s">
        <v>163</v>
      </c>
      <c r="W416" t="s">
        <v>165</v>
      </c>
      <c r="X416" t="s">
        <v>165</v>
      </c>
      <c r="Y416" t="s">
        <v>163</v>
      </c>
      <c r="Z416">
        <v>2</v>
      </c>
      <c r="AA416">
        <v>1</v>
      </c>
      <c r="AB416">
        <v>2</v>
      </c>
      <c r="AC416">
        <v>1</v>
      </c>
      <c r="AD416" t="s">
        <v>163</v>
      </c>
      <c r="AE416" t="s">
        <v>163</v>
      </c>
      <c r="AF416" t="s">
        <v>163</v>
      </c>
      <c r="AG416" t="s">
        <v>163</v>
      </c>
      <c r="AH416" t="s">
        <v>163</v>
      </c>
      <c r="AI416" t="s">
        <v>163</v>
      </c>
      <c r="AJ416" t="s">
        <v>163</v>
      </c>
      <c r="AK416">
        <v>6</v>
      </c>
      <c r="AL416">
        <v>6</v>
      </c>
      <c r="AM416" t="s">
        <v>163</v>
      </c>
      <c r="AN416">
        <v>1</v>
      </c>
      <c r="AO416">
        <v>1</v>
      </c>
      <c r="AP416">
        <v>2</v>
      </c>
      <c r="AQ416">
        <v>2</v>
      </c>
      <c r="AR416">
        <v>8</v>
      </c>
      <c r="AS416">
        <v>8</v>
      </c>
    </row>
    <row r="417" spans="1:45" x14ac:dyDescent="0.35">
      <c r="A417" s="337">
        <v>46266</v>
      </c>
      <c r="B417" s="337">
        <v>46272</v>
      </c>
      <c r="C417" s="337">
        <v>46268</v>
      </c>
      <c r="D417" t="s">
        <v>125</v>
      </c>
      <c r="E417" t="s">
        <v>328</v>
      </c>
      <c r="F417">
        <v>3</v>
      </c>
      <c r="G417" t="s">
        <v>119</v>
      </c>
      <c r="H417">
        <v>0.01</v>
      </c>
      <c r="I417" t="s">
        <v>165</v>
      </c>
      <c r="J417" t="s">
        <v>165</v>
      </c>
      <c r="K417" t="s">
        <v>165</v>
      </c>
      <c r="L417" t="s">
        <v>161</v>
      </c>
      <c r="M417" t="s">
        <v>161</v>
      </c>
      <c r="N417">
        <v>12.19</v>
      </c>
      <c r="O417" t="s">
        <v>163</v>
      </c>
      <c r="P417" t="s">
        <v>163</v>
      </c>
      <c r="Q417" t="s">
        <v>163</v>
      </c>
      <c r="R417" t="s">
        <v>163</v>
      </c>
      <c r="S417" t="s">
        <v>163</v>
      </c>
      <c r="T417" t="s">
        <v>163</v>
      </c>
      <c r="U417" t="s">
        <v>163</v>
      </c>
      <c r="V417" t="s">
        <v>163</v>
      </c>
      <c r="W417" t="s">
        <v>165</v>
      </c>
      <c r="X417" t="s">
        <v>165</v>
      </c>
      <c r="Y417" t="s">
        <v>163</v>
      </c>
      <c r="Z417">
        <v>2</v>
      </c>
      <c r="AA417">
        <v>1</v>
      </c>
      <c r="AB417">
        <v>2</v>
      </c>
      <c r="AC417">
        <v>1</v>
      </c>
      <c r="AD417" t="s">
        <v>163</v>
      </c>
      <c r="AE417" t="s">
        <v>163</v>
      </c>
      <c r="AF417" t="s">
        <v>163</v>
      </c>
      <c r="AG417" t="s">
        <v>163</v>
      </c>
      <c r="AH417" t="s">
        <v>163</v>
      </c>
      <c r="AI417" t="s">
        <v>163</v>
      </c>
      <c r="AJ417" t="s">
        <v>163</v>
      </c>
      <c r="AK417">
        <v>6</v>
      </c>
      <c r="AL417">
        <v>6</v>
      </c>
      <c r="AM417" t="s">
        <v>163</v>
      </c>
      <c r="AN417">
        <v>1</v>
      </c>
      <c r="AO417">
        <v>1</v>
      </c>
      <c r="AP417">
        <v>2</v>
      </c>
      <c r="AQ417">
        <v>2</v>
      </c>
      <c r="AR417">
        <v>8</v>
      </c>
      <c r="AS417">
        <v>8</v>
      </c>
    </row>
    <row r="418" spans="1:45" x14ac:dyDescent="0.35">
      <c r="A418" s="337">
        <v>46266</v>
      </c>
      <c r="B418" s="337">
        <v>46272</v>
      </c>
      <c r="C418" s="337">
        <v>46268</v>
      </c>
      <c r="D418" t="s">
        <v>125</v>
      </c>
      <c r="E418" t="s">
        <v>327</v>
      </c>
      <c r="F418">
        <v>3</v>
      </c>
      <c r="G418" t="s">
        <v>119</v>
      </c>
      <c r="H418">
        <v>0.01</v>
      </c>
      <c r="I418" t="s">
        <v>165</v>
      </c>
      <c r="J418" t="s">
        <v>165</v>
      </c>
      <c r="K418" t="s">
        <v>165</v>
      </c>
      <c r="L418" t="s">
        <v>161</v>
      </c>
      <c r="M418" t="s">
        <v>161</v>
      </c>
      <c r="N418" t="s">
        <v>163</v>
      </c>
      <c r="O418" t="s">
        <v>163</v>
      </c>
      <c r="P418" t="s">
        <v>163</v>
      </c>
      <c r="Q418" t="s">
        <v>163</v>
      </c>
      <c r="R418" t="s">
        <v>163</v>
      </c>
      <c r="S418" t="s">
        <v>163</v>
      </c>
      <c r="T418" t="s">
        <v>163</v>
      </c>
      <c r="U418" t="s">
        <v>163</v>
      </c>
      <c r="V418" t="s">
        <v>163</v>
      </c>
      <c r="W418" t="s">
        <v>165</v>
      </c>
      <c r="X418" t="s">
        <v>165</v>
      </c>
      <c r="Y418" t="s">
        <v>163</v>
      </c>
      <c r="Z418">
        <v>2</v>
      </c>
      <c r="AA418">
        <v>1</v>
      </c>
      <c r="AB418">
        <v>2</v>
      </c>
      <c r="AC418" t="s">
        <v>163</v>
      </c>
      <c r="AD418" t="s">
        <v>163</v>
      </c>
      <c r="AE418" t="s">
        <v>163</v>
      </c>
      <c r="AF418" t="s">
        <v>163</v>
      </c>
      <c r="AG418" t="s">
        <v>163</v>
      </c>
      <c r="AH418" t="s">
        <v>163</v>
      </c>
      <c r="AI418" t="s">
        <v>163</v>
      </c>
      <c r="AJ418" t="s">
        <v>163</v>
      </c>
      <c r="AK418">
        <v>5</v>
      </c>
      <c r="AL418">
        <v>5</v>
      </c>
      <c r="AM418" t="s">
        <v>163</v>
      </c>
      <c r="AN418">
        <v>1</v>
      </c>
      <c r="AO418">
        <v>1</v>
      </c>
      <c r="AP418">
        <v>2</v>
      </c>
      <c r="AQ418">
        <v>2</v>
      </c>
      <c r="AR418">
        <v>7</v>
      </c>
      <c r="AS418">
        <v>7</v>
      </c>
    </row>
    <row r="419" spans="1:45" x14ac:dyDescent="0.35">
      <c r="A419" s="337">
        <v>46266</v>
      </c>
      <c r="B419" s="337">
        <v>46272</v>
      </c>
      <c r="C419" s="337">
        <v>46268</v>
      </c>
      <c r="D419" t="s">
        <v>125</v>
      </c>
      <c r="E419" t="s">
        <v>239</v>
      </c>
      <c r="F419">
        <v>3</v>
      </c>
      <c r="G419" t="s">
        <v>119</v>
      </c>
      <c r="H419">
        <v>0.01</v>
      </c>
      <c r="I419" t="s">
        <v>165</v>
      </c>
      <c r="J419" t="s">
        <v>165</v>
      </c>
      <c r="K419" t="s">
        <v>165</v>
      </c>
      <c r="L419" t="s">
        <v>161</v>
      </c>
      <c r="M419" t="s">
        <v>161</v>
      </c>
      <c r="N419">
        <v>12.44</v>
      </c>
      <c r="O419">
        <v>12.86</v>
      </c>
      <c r="P419">
        <v>0.57999999999999996</v>
      </c>
      <c r="Q419">
        <v>64.400000000000006</v>
      </c>
      <c r="R419" t="s">
        <v>163</v>
      </c>
      <c r="S419" t="s">
        <v>163</v>
      </c>
      <c r="T419">
        <v>36</v>
      </c>
      <c r="U419" t="s">
        <v>163</v>
      </c>
      <c r="V419" t="s">
        <v>163</v>
      </c>
      <c r="W419" t="s">
        <v>165</v>
      </c>
      <c r="X419" t="s">
        <v>165</v>
      </c>
      <c r="Y419" t="s">
        <v>416</v>
      </c>
      <c r="Z419">
        <v>2</v>
      </c>
      <c r="AA419">
        <v>1</v>
      </c>
      <c r="AB419">
        <v>2</v>
      </c>
      <c r="AC419">
        <v>1</v>
      </c>
      <c r="AD419">
        <v>1</v>
      </c>
      <c r="AE419">
        <v>2</v>
      </c>
      <c r="AF419">
        <v>2</v>
      </c>
      <c r="AG419" t="s">
        <v>163</v>
      </c>
      <c r="AH419" t="s">
        <v>163</v>
      </c>
      <c r="AI419">
        <v>2</v>
      </c>
      <c r="AJ419" t="s">
        <v>163</v>
      </c>
      <c r="AK419">
        <v>13</v>
      </c>
      <c r="AL419">
        <v>13</v>
      </c>
      <c r="AM419" t="s">
        <v>163</v>
      </c>
      <c r="AN419">
        <v>1</v>
      </c>
      <c r="AO419">
        <v>1</v>
      </c>
      <c r="AP419">
        <v>2</v>
      </c>
      <c r="AQ419">
        <v>2</v>
      </c>
      <c r="AR419">
        <v>15</v>
      </c>
      <c r="AS419">
        <v>15</v>
      </c>
    </row>
    <row r="420" spans="1:45" x14ac:dyDescent="0.35">
      <c r="A420" s="337">
        <v>46266</v>
      </c>
      <c r="B420" s="337">
        <v>46272</v>
      </c>
      <c r="C420" s="339">
        <v>0</v>
      </c>
      <c r="D420" t="s">
        <v>125</v>
      </c>
      <c r="E420" t="s">
        <v>328</v>
      </c>
      <c r="F420">
        <v>2</v>
      </c>
      <c r="G420" t="s">
        <v>138</v>
      </c>
      <c r="H420" t="s">
        <v>163</v>
      </c>
      <c r="I420" t="s">
        <v>165</v>
      </c>
      <c r="J420" t="s">
        <v>165</v>
      </c>
      <c r="K420" t="s">
        <v>165</v>
      </c>
      <c r="L420" t="s">
        <v>163</v>
      </c>
      <c r="M420" t="s">
        <v>161</v>
      </c>
      <c r="N420">
        <v>10.66</v>
      </c>
      <c r="O420" t="s">
        <v>163</v>
      </c>
      <c r="P420" t="s">
        <v>163</v>
      </c>
      <c r="Q420" t="s">
        <v>163</v>
      </c>
      <c r="R420" t="s">
        <v>163</v>
      </c>
      <c r="S420" t="s">
        <v>163</v>
      </c>
      <c r="T420" t="s">
        <v>163</v>
      </c>
      <c r="U420" t="s">
        <v>163</v>
      </c>
      <c r="V420" t="s">
        <v>163</v>
      </c>
      <c r="W420" t="s">
        <v>165</v>
      </c>
      <c r="X420" t="s">
        <v>165</v>
      </c>
      <c r="Y420" t="s">
        <v>163</v>
      </c>
      <c r="Z420" t="s">
        <v>163</v>
      </c>
      <c r="AA420">
        <v>1</v>
      </c>
      <c r="AB420">
        <v>2</v>
      </c>
      <c r="AC420">
        <v>0</v>
      </c>
      <c r="AD420" t="s">
        <v>163</v>
      </c>
      <c r="AE420" t="s">
        <v>163</v>
      </c>
      <c r="AF420" t="s">
        <v>163</v>
      </c>
      <c r="AG420" t="s">
        <v>163</v>
      </c>
      <c r="AH420" t="s">
        <v>163</v>
      </c>
      <c r="AI420" t="s">
        <v>163</v>
      </c>
      <c r="AJ420" t="s">
        <v>163</v>
      </c>
      <c r="AK420">
        <v>3</v>
      </c>
      <c r="AL420">
        <v>4</v>
      </c>
      <c r="AM420" t="s">
        <v>163</v>
      </c>
      <c r="AN420">
        <v>1</v>
      </c>
      <c r="AO420">
        <v>1</v>
      </c>
      <c r="AP420">
        <v>2</v>
      </c>
      <c r="AQ420">
        <v>2</v>
      </c>
      <c r="AR420">
        <v>5</v>
      </c>
      <c r="AS420">
        <v>6</v>
      </c>
    </row>
    <row r="421" spans="1:45" x14ac:dyDescent="0.35">
      <c r="A421" s="337">
        <v>46266</v>
      </c>
      <c r="B421" s="337">
        <v>46272</v>
      </c>
      <c r="C421" s="339">
        <v>0</v>
      </c>
      <c r="D421" t="s">
        <v>125</v>
      </c>
      <c r="E421" t="s">
        <v>327</v>
      </c>
      <c r="F421">
        <v>2</v>
      </c>
      <c r="G421" t="s">
        <v>140</v>
      </c>
      <c r="H421" t="s">
        <v>163</v>
      </c>
      <c r="I421" t="s">
        <v>165</v>
      </c>
      <c r="J421" t="s">
        <v>165</v>
      </c>
      <c r="K421" t="s">
        <v>165</v>
      </c>
      <c r="L421" t="s">
        <v>163</v>
      </c>
      <c r="M421" t="s">
        <v>161</v>
      </c>
      <c r="N421">
        <v>10.76</v>
      </c>
      <c r="O421" t="s">
        <v>163</v>
      </c>
      <c r="P421" t="s">
        <v>163</v>
      </c>
      <c r="Q421" t="s">
        <v>163</v>
      </c>
      <c r="R421" t="s">
        <v>163</v>
      </c>
      <c r="S421" t="s">
        <v>163</v>
      </c>
      <c r="T421" t="s">
        <v>163</v>
      </c>
      <c r="U421" t="s">
        <v>163</v>
      </c>
      <c r="V421" t="s">
        <v>163</v>
      </c>
      <c r="W421" t="s">
        <v>165</v>
      </c>
      <c r="X421" t="s">
        <v>165</v>
      </c>
      <c r="Y421" t="s">
        <v>163</v>
      </c>
      <c r="Z421" t="s">
        <v>163</v>
      </c>
      <c r="AA421">
        <v>1</v>
      </c>
      <c r="AB421">
        <v>2</v>
      </c>
      <c r="AC421">
        <v>0</v>
      </c>
      <c r="AD421" t="s">
        <v>163</v>
      </c>
      <c r="AE421" t="s">
        <v>163</v>
      </c>
      <c r="AF421" t="s">
        <v>163</v>
      </c>
      <c r="AG421" t="s">
        <v>163</v>
      </c>
      <c r="AH421" t="s">
        <v>163</v>
      </c>
      <c r="AI421" t="s">
        <v>163</v>
      </c>
      <c r="AJ421" t="s">
        <v>163</v>
      </c>
      <c r="AK421">
        <v>3</v>
      </c>
      <c r="AL421">
        <v>4</v>
      </c>
      <c r="AM421" t="s">
        <v>163</v>
      </c>
      <c r="AN421">
        <v>1</v>
      </c>
      <c r="AO421">
        <v>1</v>
      </c>
      <c r="AP421">
        <v>2</v>
      </c>
      <c r="AQ421">
        <v>2</v>
      </c>
      <c r="AR421">
        <v>5</v>
      </c>
      <c r="AS421">
        <v>6</v>
      </c>
    </row>
    <row r="422" spans="1:45" x14ac:dyDescent="0.35">
      <c r="A422" s="337">
        <v>46266</v>
      </c>
      <c r="B422" s="337">
        <v>46272</v>
      </c>
      <c r="C422" s="339">
        <v>0</v>
      </c>
      <c r="D422" t="s">
        <v>125</v>
      </c>
      <c r="E422" t="s">
        <v>240</v>
      </c>
      <c r="F422">
        <v>2</v>
      </c>
      <c r="G422" t="s">
        <v>140</v>
      </c>
      <c r="H422" t="s">
        <v>163</v>
      </c>
      <c r="I422" t="s">
        <v>165</v>
      </c>
      <c r="J422" t="s">
        <v>165</v>
      </c>
      <c r="K422" t="s">
        <v>165</v>
      </c>
      <c r="L422" t="s">
        <v>163</v>
      </c>
      <c r="M422" t="s">
        <v>161</v>
      </c>
      <c r="N422">
        <v>10.69</v>
      </c>
      <c r="O422" t="s">
        <v>163</v>
      </c>
      <c r="P422" t="s">
        <v>163</v>
      </c>
      <c r="Q422" t="s">
        <v>163</v>
      </c>
      <c r="R422" t="s">
        <v>163</v>
      </c>
      <c r="S422" t="s">
        <v>163</v>
      </c>
      <c r="T422" t="s">
        <v>163</v>
      </c>
      <c r="U422" t="s">
        <v>163</v>
      </c>
      <c r="V422" t="s">
        <v>163</v>
      </c>
      <c r="W422" t="s">
        <v>165</v>
      </c>
      <c r="X422" t="s">
        <v>165</v>
      </c>
      <c r="Y422" t="s">
        <v>163</v>
      </c>
      <c r="Z422" t="s">
        <v>163</v>
      </c>
      <c r="AA422">
        <v>1</v>
      </c>
      <c r="AB422">
        <v>2</v>
      </c>
      <c r="AC422">
        <v>0</v>
      </c>
      <c r="AD422" t="s">
        <v>163</v>
      </c>
      <c r="AE422" t="s">
        <v>163</v>
      </c>
      <c r="AF422" t="s">
        <v>163</v>
      </c>
      <c r="AG422" t="s">
        <v>163</v>
      </c>
      <c r="AH422" t="s">
        <v>163</v>
      </c>
      <c r="AI422" t="s">
        <v>163</v>
      </c>
      <c r="AJ422" t="s">
        <v>163</v>
      </c>
      <c r="AK422">
        <v>3</v>
      </c>
      <c r="AL422">
        <v>4</v>
      </c>
      <c r="AM422" t="s">
        <v>163</v>
      </c>
      <c r="AN422">
        <v>1</v>
      </c>
      <c r="AO422">
        <v>1</v>
      </c>
      <c r="AP422">
        <v>2</v>
      </c>
      <c r="AQ422">
        <v>2</v>
      </c>
      <c r="AR422">
        <v>5</v>
      </c>
      <c r="AS422">
        <v>6</v>
      </c>
    </row>
    <row r="423" spans="1:45" x14ac:dyDescent="0.35">
      <c r="A423" s="337">
        <v>46266</v>
      </c>
      <c r="B423" s="337">
        <v>46272</v>
      </c>
      <c r="C423" s="339">
        <v>0</v>
      </c>
      <c r="D423" t="s">
        <v>125</v>
      </c>
      <c r="E423" t="s">
        <v>273</v>
      </c>
      <c r="F423">
        <v>2</v>
      </c>
      <c r="G423" t="s">
        <v>140</v>
      </c>
      <c r="H423" t="s">
        <v>163</v>
      </c>
      <c r="I423" t="s">
        <v>165</v>
      </c>
      <c r="J423" t="s">
        <v>165</v>
      </c>
      <c r="K423" t="s">
        <v>165</v>
      </c>
      <c r="L423" t="s">
        <v>163</v>
      </c>
      <c r="M423" t="s">
        <v>161</v>
      </c>
      <c r="N423">
        <v>10.78</v>
      </c>
      <c r="O423" t="s">
        <v>163</v>
      </c>
      <c r="P423" t="s">
        <v>163</v>
      </c>
      <c r="Q423" t="s">
        <v>163</v>
      </c>
      <c r="R423" t="s">
        <v>163</v>
      </c>
      <c r="S423" t="s">
        <v>163</v>
      </c>
      <c r="T423" t="s">
        <v>163</v>
      </c>
      <c r="U423" t="s">
        <v>163</v>
      </c>
      <c r="V423" t="s">
        <v>163</v>
      </c>
      <c r="W423" t="s">
        <v>165</v>
      </c>
      <c r="X423" t="s">
        <v>165</v>
      </c>
      <c r="Y423" t="s">
        <v>163</v>
      </c>
      <c r="Z423" t="s">
        <v>163</v>
      </c>
      <c r="AA423">
        <v>1</v>
      </c>
      <c r="AB423">
        <v>2</v>
      </c>
      <c r="AC423">
        <v>0</v>
      </c>
      <c r="AD423" t="s">
        <v>163</v>
      </c>
      <c r="AE423" t="s">
        <v>163</v>
      </c>
      <c r="AF423" t="s">
        <v>163</v>
      </c>
      <c r="AG423" t="s">
        <v>163</v>
      </c>
      <c r="AH423" t="s">
        <v>163</v>
      </c>
      <c r="AI423" t="s">
        <v>163</v>
      </c>
      <c r="AJ423" t="s">
        <v>163</v>
      </c>
      <c r="AK423">
        <v>3</v>
      </c>
      <c r="AL423">
        <v>4</v>
      </c>
      <c r="AM423" t="s">
        <v>163</v>
      </c>
      <c r="AN423">
        <v>1</v>
      </c>
      <c r="AO423">
        <v>1</v>
      </c>
      <c r="AP423">
        <v>2</v>
      </c>
      <c r="AQ423">
        <v>2</v>
      </c>
      <c r="AR423">
        <v>5</v>
      </c>
      <c r="AS423">
        <v>6</v>
      </c>
    </row>
    <row r="424" spans="1:45" x14ac:dyDescent="0.35">
      <c r="A424" s="337">
        <v>46266</v>
      </c>
      <c r="B424" s="337">
        <v>46272</v>
      </c>
      <c r="C424" s="337">
        <v>816</v>
      </c>
      <c r="D424" t="s">
        <v>125</v>
      </c>
      <c r="E424" t="s">
        <v>239</v>
      </c>
      <c r="F424">
        <v>2</v>
      </c>
      <c r="G424" t="s">
        <v>140</v>
      </c>
      <c r="H424" t="s">
        <v>163</v>
      </c>
      <c r="I424" t="s">
        <v>165</v>
      </c>
      <c r="J424" t="s">
        <v>165</v>
      </c>
      <c r="K424" t="s">
        <v>165</v>
      </c>
      <c r="L424" t="s">
        <v>163</v>
      </c>
      <c r="M424" t="s">
        <v>161</v>
      </c>
      <c r="N424">
        <v>10.71</v>
      </c>
      <c r="O424">
        <v>9.2200000000000006</v>
      </c>
      <c r="P424">
        <v>0.44</v>
      </c>
      <c r="Q424">
        <v>54.9</v>
      </c>
      <c r="R424" t="s">
        <v>163</v>
      </c>
      <c r="S424" t="s">
        <v>163</v>
      </c>
      <c r="T424">
        <v>25.1</v>
      </c>
      <c r="U424" t="s">
        <v>163</v>
      </c>
      <c r="V424" t="s">
        <v>163</v>
      </c>
      <c r="W424" t="s">
        <v>165</v>
      </c>
      <c r="X424" t="s">
        <v>165</v>
      </c>
      <c r="Y424" t="s">
        <v>163</v>
      </c>
      <c r="Z424" t="s">
        <v>163</v>
      </c>
      <c r="AA424">
        <v>1</v>
      </c>
      <c r="AB424">
        <v>2</v>
      </c>
      <c r="AC424">
        <v>0</v>
      </c>
      <c r="AD424">
        <v>1</v>
      </c>
      <c r="AE424">
        <v>2</v>
      </c>
      <c r="AF424">
        <v>2</v>
      </c>
      <c r="AG424" t="s">
        <v>163</v>
      </c>
      <c r="AH424" t="s">
        <v>163</v>
      </c>
      <c r="AI424">
        <v>2</v>
      </c>
      <c r="AJ424" t="s">
        <v>163</v>
      </c>
      <c r="AK424">
        <v>10</v>
      </c>
      <c r="AL424">
        <v>11</v>
      </c>
      <c r="AM424" t="s">
        <v>163</v>
      </c>
      <c r="AN424">
        <v>1</v>
      </c>
      <c r="AO424">
        <v>1</v>
      </c>
      <c r="AP424">
        <v>2</v>
      </c>
      <c r="AQ424">
        <v>2</v>
      </c>
      <c r="AR424">
        <v>12</v>
      </c>
      <c r="AS424">
        <v>13</v>
      </c>
    </row>
    <row r="425" spans="1:45" x14ac:dyDescent="0.35">
      <c r="A425" s="337">
        <v>46266</v>
      </c>
      <c r="B425" s="337">
        <v>46272</v>
      </c>
      <c r="C425" s="337">
        <v>46268</v>
      </c>
      <c r="D425" t="s">
        <v>125</v>
      </c>
      <c r="E425" t="s">
        <v>238</v>
      </c>
      <c r="F425">
        <v>1</v>
      </c>
      <c r="G425" t="s">
        <v>123</v>
      </c>
      <c r="H425" t="s">
        <v>163</v>
      </c>
      <c r="I425" t="s">
        <v>165</v>
      </c>
      <c r="J425" t="s">
        <v>165</v>
      </c>
      <c r="K425" t="s">
        <v>165</v>
      </c>
      <c r="L425" t="s">
        <v>163</v>
      </c>
      <c r="M425" t="s">
        <v>163</v>
      </c>
      <c r="N425">
        <v>12.55</v>
      </c>
      <c r="O425" t="s">
        <v>163</v>
      </c>
      <c r="P425" t="s">
        <v>163</v>
      </c>
      <c r="Q425" t="s">
        <v>163</v>
      </c>
      <c r="R425" t="s">
        <v>163</v>
      </c>
      <c r="S425" t="s">
        <v>163</v>
      </c>
      <c r="T425" t="s">
        <v>163</v>
      </c>
      <c r="U425" t="s">
        <v>163</v>
      </c>
      <c r="V425" t="s">
        <v>163</v>
      </c>
      <c r="W425" t="s">
        <v>165</v>
      </c>
      <c r="X425" t="s">
        <v>165</v>
      </c>
      <c r="Y425" t="s">
        <v>163</v>
      </c>
      <c r="Z425" t="s">
        <v>163</v>
      </c>
      <c r="AA425">
        <v>1</v>
      </c>
      <c r="AB425">
        <v>2</v>
      </c>
      <c r="AC425">
        <v>1</v>
      </c>
      <c r="AD425" t="s">
        <v>163</v>
      </c>
      <c r="AE425" t="s">
        <v>163</v>
      </c>
      <c r="AF425" t="s">
        <v>163</v>
      </c>
      <c r="AG425" t="s">
        <v>163</v>
      </c>
      <c r="AH425" t="s">
        <v>163</v>
      </c>
      <c r="AI425" t="s">
        <v>163</v>
      </c>
      <c r="AJ425" t="s">
        <v>163</v>
      </c>
      <c r="AK425">
        <v>4</v>
      </c>
      <c r="AL425">
        <v>4</v>
      </c>
      <c r="AM425" t="s">
        <v>163</v>
      </c>
      <c r="AN425">
        <v>1</v>
      </c>
      <c r="AO425">
        <v>1</v>
      </c>
      <c r="AP425">
        <v>2</v>
      </c>
      <c r="AQ425">
        <v>2</v>
      </c>
      <c r="AR425">
        <v>6</v>
      </c>
      <c r="AS425">
        <v>6</v>
      </c>
    </row>
    <row r="426" spans="1:45" x14ac:dyDescent="0.35">
      <c r="A426" s="337">
        <v>46266</v>
      </c>
      <c r="B426" s="337">
        <v>46272</v>
      </c>
      <c r="C426" s="337">
        <v>46268</v>
      </c>
      <c r="D426" t="s">
        <v>125</v>
      </c>
      <c r="E426" t="s">
        <v>328</v>
      </c>
      <c r="F426">
        <v>1</v>
      </c>
      <c r="G426" t="s">
        <v>123</v>
      </c>
      <c r="H426" t="s">
        <v>163</v>
      </c>
      <c r="I426" t="s">
        <v>165</v>
      </c>
      <c r="J426" t="s">
        <v>165</v>
      </c>
      <c r="K426" t="s">
        <v>165</v>
      </c>
      <c r="L426" t="s">
        <v>163</v>
      </c>
      <c r="M426" t="s">
        <v>163</v>
      </c>
      <c r="N426">
        <v>12.47</v>
      </c>
      <c r="O426" t="s">
        <v>163</v>
      </c>
      <c r="P426" t="s">
        <v>163</v>
      </c>
      <c r="Q426" t="s">
        <v>163</v>
      </c>
      <c r="R426" t="s">
        <v>163</v>
      </c>
      <c r="S426" t="s">
        <v>163</v>
      </c>
      <c r="T426" t="s">
        <v>163</v>
      </c>
      <c r="U426" t="s">
        <v>163</v>
      </c>
      <c r="V426" t="s">
        <v>163</v>
      </c>
      <c r="W426" t="s">
        <v>165</v>
      </c>
      <c r="X426" t="s">
        <v>165</v>
      </c>
      <c r="Y426" t="s">
        <v>163</v>
      </c>
      <c r="Z426" t="s">
        <v>163</v>
      </c>
      <c r="AA426">
        <v>1</v>
      </c>
      <c r="AB426">
        <v>2</v>
      </c>
      <c r="AC426">
        <v>1</v>
      </c>
      <c r="AD426" t="s">
        <v>163</v>
      </c>
      <c r="AE426" t="s">
        <v>163</v>
      </c>
      <c r="AF426" t="s">
        <v>163</v>
      </c>
      <c r="AG426" t="s">
        <v>163</v>
      </c>
      <c r="AH426" t="s">
        <v>163</v>
      </c>
      <c r="AI426" t="s">
        <v>163</v>
      </c>
      <c r="AJ426" t="s">
        <v>163</v>
      </c>
      <c r="AK426">
        <v>4</v>
      </c>
      <c r="AL426">
        <v>4</v>
      </c>
      <c r="AM426" t="s">
        <v>163</v>
      </c>
      <c r="AN426">
        <v>1</v>
      </c>
      <c r="AO426">
        <v>1</v>
      </c>
      <c r="AP426">
        <v>2</v>
      </c>
      <c r="AQ426">
        <v>2</v>
      </c>
      <c r="AR426">
        <v>6</v>
      </c>
      <c r="AS426">
        <v>6</v>
      </c>
    </row>
    <row r="427" spans="1:45" x14ac:dyDescent="0.35">
      <c r="A427" s="337">
        <v>46266</v>
      </c>
      <c r="B427" s="337">
        <v>46272</v>
      </c>
      <c r="C427" s="337">
        <v>46268</v>
      </c>
      <c r="D427" t="s">
        <v>125</v>
      </c>
      <c r="E427" t="s">
        <v>237</v>
      </c>
      <c r="F427">
        <v>1</v>
      </c>
      <c r="G427" t="s">
        <v>123</v>
      </c>
      <c r="H427" t="s">
        <v>163</v>
      </c>
      <c r="I427" t="s">
        <v>165</v>
      </c>
      <c r="J427" t="s">
        <v>165</v>
      </c>
      <c r="K427" t="s">
        <v>165</v>
      </c>
      <c r="L427" t="s">
        <v>163</v>
      </c>
      <c r="M427" t="s">
        <v>163</v>
      </c>
      <c r="N427">
        <v>12.63</v>
      </c>
      <c r="O427" t="s">
        <v>163</v>
      </c>
      <c r="P427" t="s">
        <v>163</v>
      </c>
      <c r="Q427" t="s">
        <v>163</v>
      </c>
      <c r="R427" t="s">
        <v>163</v>
      </c>
      <c r="S427" t="s">
        <v>163</v>
      </c>
      <c r="T427" t="s">
        <v>163</v>
      </c>
      <c r="U427" t="s">
        <v>163</v>
      </c>
      <c r="V427" t="s">
        <v>163</v>
      </c>
      <c r="W427" t="s">
        <v>165</v>
      </c>
      <c r="X427" t="s">
        <v>165</v>
      </c>
      <c r="Y427" t="s">
        <v>163</v>
      </c>
      <c r="Z427" t="s">
        <v>163</v>
      </c>
      <c r="AA427">
        <v>1</v>
      </c>
      <c r="AB427">
        <v>2</v>
      </c>
      <c r="AC427">
        <v>1</v>
      </c>
      <c r="AD427" t="s">
        <v>163</v>
      </c>
      <c r="AE427" t="s">
        <v>163</v>
      </c>
      <c r="AF427" t="s">
        <v>163</v>
      </c>
      <c r="AG427" t="s">
        <v>163</v>
      </c>
      <c r="AH427" t="s">
        <v>163</v>
      </c>
      <c r="AI427" t="s">
        <v>163</v>
      </c>
      <c r="AJ427" t="s">
        <v>163</v>
      </c>
      <c r="AK427">
        <v>4</v>
      </c>
      <c r="AL427">
        <v>4</v>
      </c>
      <c r="AM427" t="s">
        <v>163</v>
      </c>
      <c r="AN427">
        <v>1</v>
      </c>
      <c r="AO427">
        <v>1</v>
      </c>
      <c r="AP427">
        <v>2</v>
      </c>
      <c r="AQ427">
        <v>2</v>
      </c>
      <c r="AR427">
        <v>6</v>
      </c>
      <c r="AS427">
        <v>6</v>
      </c>
    </row>
    <row r="428" spans="1:45" x14ac:dyDescent="0.35">
      <c r="A428" s="337">
        <v>46266</v>
      </c>
      <c r="B428" s="337">
        <v>46272</v>
      </c>
      <c r="C428" s="337">
        <v>46268</v>
      </c>
      <c r="D428" t="s">
        <v>125</v>
      </c>
      <c r="E428" t="s">
        <v>327</v>
      </c>
      <c r="F428">
        <v>1</v>
      </c>
      <c r="G428" t="s">
        <v>123</v>
      </c>
      <c r="H428" t="s">
        <v>163</v>
      </c>
      <c r="I428" t="s">
        <v>163</v>
      </c>
      <c r="J428" t="s">
        <v>165</v>
      </c>
      <c r="K428" t="s">
        <v>165</v>
      </c>
      <c r="L428" t="s">
        <v>163</v>
      </c>
      <c r="M428" t="s">
        <v>163</v>
      </c>
      <c r="N428">
        <v>12.77</v>
      </c>
      <c r="O428" t="s">
        <v>163</v>
      </c>
      <c r="P428" t="s">
        <v>163</v>
      </c>
      <c r="Q428" t="s">
        <v>163</v>
      </c>
      <c r="R428" t="s">
        <v>163</v>
      </c>
      <c r="S428" t="s">
        <v>163</v>
      </c>
      <c r="T428" t="s">
        <v>163</v>
      </c>
      <c r="U428" t="s">
        <v>163</v>
      </c>
      <c r="V428" t="s">
        <v>163</v>
      </c>
      <c r="W428" t="s">
        <v>165</v>
      </c>
      <c r="X428" t="s">
        <v>165</v>
      </c>
      <c r="Y428" t="s">
        <v>163</v>
      </c>
      <c r="Z428" t="s">
        <v>163</v>
      </c>
      <c r="AA428" t="s">
        <v>163</v>
      </c>
      <c r="AB428">
        <v>2</v>
      </c>
      <c r="AC428">
        <v>1</v>
      </c>
      <c r="AD428" t="s">
        <v>163</v>
      </c>
      <c r="AE428" t="s">
        <v>163</v>
      </c>
      <c r="AF428" t="s">
        <v>163</v>
      </c>
      <c r="AG428" t="s">
        <v>163</v>
      </c>
      <c r="AH428" t="s">
        <v>163</v>
      </c>
      <c r="AI428" t="s">
        <v>163</v>
      </c>
      <c r="AJ428" t="s">
        <v>163</v>
      </c>
      <c r="AK428">
        <v>3</v>
      </c>
      <c r="AL428">
        <v>3</v>
      </c>
      <c r="AM428" t="s">
        <v>163</v>
      </c>
      <c r="AN428">
        <v>1</v>
      </c>
      <c r="AO428">
        <v>1</v>
      </c>
      <c r="AP428">
        <v>2</v>
      </c>
      <c r="AQ428">
        <v>2</v>
      </c>
      <c r="AR428">
        <v>5</v>
      </c>
      <c r="AS428">
        <v>5</v>
      </c>
    </row>
    <row r="429" spans="1:45" x14ac:dyDescent="0.35">
      <c r="A429" s="337">
        <v>46266</v>
      </c>
      <c r="B429" s="337">
        <v>46272</v>
      </c>
      <c r="C429" s="337">
        <v>46268</v>
      </c>
      <c r="D429" t="s">
        <v>125</v>
      </c>
      <c r="E429" t="s">
        <v>240</v>
      </c>
      <c r="F429">
        <v>1</v>
      </c>
      <c r="G429" t="s">
        <v>123</v>
      </c>
      <c r="H429" t="s">
        <v>163</v>
      </c>
      <c r="I429" t="s">
        <v>165</v>
      </c>
      <c r="J429" t="s">
        <v>165</v>
      </c>
      <c r="K429" t="s">
        <v>165</v>
      </c>
      <c r="L429" t="s">
        <v>163</v>
      </c>
      <c r="M429" t="s">
        <v>163</v>
      </c>
      <c r="N429">
        <v>12.44</v>
      </c>
      <c r="O429" t="s">
        <v>163</v>
      </c>
      <c r="P429" t="s">
        <v>163</v>
      </c>
      <c r="Q429" t="s">
        <v>163</v>
      </c>
      <c r="R429" t="s">
        <v>163</v>
      </c>
      <c r="S429" t="s">
        <v>163</v>
      </c>
      <c r="T429" t="s">
        <v>163</v>
      </c>
      <c r="U429" t="s">
        <v>163</v>
      </c>
      <c r="V429" t="s">
        <v>163</v>
      </c>
      <c r="W429" t="s">
        <v>165</v>
      </c>
      <c r="X429" t="s">
        <v>165</v>
      </c>
      <c r="Y429" t="s">
        <v>163</v>
      </c>
      <c r="Z429" t="s">
        <v>163</v>
      </c>
      <c r="AA429">
        <v>1</v>
      </c>
      <c r="AB429">
        <v>2</v>
      </c>
      <c r="AC429">
        <v>1</v>
      </c>
      <c r="AD429" t="s">
        <v>163</v>
      </c>
      <c r="AE429" t="s">
        <v>163</v>
      </c>
      <c r="AF429" t="s">
        <v>163</v>
      </c>
      <c r="AG429" t="s">
        <v>163</v>
      </c>
      <c r="AH429" t="s">
        <v>163</v>
      </c>
      <c r="AI429" t="s">
        <v>163</v>
      </c>
      <c r="AJ429" t="s">
        <v>163</v>
      </c>
      <c r="AK429">
        <v>4</v>
      </c>
      <c r="AL429">
        <v>4</v>
      </c>
      <c r="AM429" t="s">
        <v>163</v>
      </c>
      <c r="AN429">
        <v>1</v>
      </c>
      <c r="AO429">
        <v>1</v>
      </c>
      <c r="AP429">
        <v>2</v>
      </c>
      <c r="AQ429">
        <v>2</v>
      </c>
      <c r="AR429">
        <v>6</v>
      </c>
      <c r="AS429">
        <v>6</v>
      </c>
    </row>
    <row r="430" spans="1:45" x14ac:dyDescent="0.35">
      <c r="A430" s="337">
        <v>46266</v>
      </c>
      <c r="B430" s="337">
        <v>46272</v>
      </c>
      <c r="C430" s="337">
        <v>46268</v>
      </c>
      <c r="D430" t="s">
        <v>125</v>
      </c>
      <c r="E430" t="s">
        <v>273</v>
      </c>
      <c r="F430">
        <v>1</v>
      </c>
      <c r="G430" t="s">
        <v>123</v>
      </c>
      <c r="H430" t="s">
        <v>163</v>
      </c>
      <c r="I430" t="s">
        <v>165</v>
      </c>
      <c r="J430" t="s">
        <v>165</v>
      </c>
      <c r="K430" t="s">
        <v>165</v>
      </c>
      <c r="L430" t="s">
        <v>163</v>
      </c>
      <c r="M430" t="s">
        <v>163</v>
      </c>
      <c r="N430">
        <v>12.77</v>
      </c>
      <c r="O430" t="s">
        <v>163</v>
      </c>
      <c r="P430" t="s">
        <v>163</v>
      </c>
      <c r="Q430" t="s">
        <v>163</v>
      </c>
      <c r="R430" t="s">
        <v>163</v>
      </c>
      <c r="S430" t="s">
        <v>163</v>
      </c>
      <c r="T430" t="s">
        <v>163</v>
      </c>
      <c r="U430" t="s">
        <v>163</v>
      </c>
      <c r="V430" t="s">
        <v>163</v>
      </c>
      <c r="W430" t="s">
        <v>165</v>
      </c>
      <c r="X430" t="s">
        <v>165</v>
      </c>
      <c r="Y430" t="s">
        <v>163</v>
      </c>
      <c r="Z430" t="s">
        <v>163</v>
      </c>
      <c r="AA430">
        <v>1</v>
      </c>
      <c r="AB430">
        <v>2</v>
      </c>
      <c r="AC430">
        <v>1</v>
      </c>
      <c r="AD430" t="s">
        <v>163</v>
      </c>
      <c r="AE430" t="s">
        <v>163</v>
      </c>
      <c r="AF430" t="s">
        <v>163</v>
      </c>
      <c r="AG430" t="s">
        <v>163</v>
      </c>
      <c r="AH430" t="s">
        <v>163</v>
      </c>
      <c r="AI430" t="s">
        <v>163</v>
      </c>
      <c r="AJ430" t="s">
        <v>163</v>
      </c>
      <c r="AK430">
        <v>4</v>
      </c>
      <c r="AL430">
        <v>4</v>
      </c>
      <c r="AM430" t="s">
        <v>163</v>
      </c>
      <c r="AN430">
        <v>1</v>
      </c>
      <c r="AO430">
        <v>1</v>
      </c>
      <c r="AP430">
        <v>2</v>
      </c>
      <c r="AQ430">
        <v>2</v>
      </c>
      <c r="AR430">
        <v>6</v>
      </c>
      <c r="AS430">
        <v>6</v>
      </c>
    </row>
    <row r="431" spans="1:45" x14ac:dyDescent="0.35">
      <c r="A431" s="337">
        <v>46266</v>
      </c>
      <c r="B431" s="337">
        <v>46272</v>
      </c>
      <c r="C431" s="337">
        <v>46268</v>
      </c>
      <c r="D431" t="s">
        <v>125</v>
      </c>
      <c r="E431" t="s">
        <v>239</v>
      </c>
      <c r="F431">
        <v>1</v>
      </c>
      <c r="G431" t="s">
        <v>123</v>
      </c>
      <c r="H431" t="s">
        <v>163</v>
      </c>
      <c r="I431" t="s">
        <v>165</v>
      </c>
      <c r="J431" t="s">
        <v>165</v>
      </c>
      <c r="K431" t="s">
        <v>165</v>
      </c>
      <c r="L431" t="s">
        <v>163</v>
      </c>
      <c r="M431" t="s">
        <v>163</v>
      </c>
      <c r="N431">
        <v>12.44</v>
      </c>
      <c r="O431">
        <v>11.42</v>
      </c>
      <c r="P431">
        <v>0.48</v>
      </c>
      <c r="Q431">
        <v>62.7</v>
      </c>
      <c r="R431" t="s">
        <v>163</v>
      </c>
      <c r="S431" t="s">
        <v>163</v>
      </c>
      <c r="T431">
        <v>31.6</v>
      </c>
      <c r="U431" t="s">
        <v>163</v>
      </c>
      <c r="V431" t="s">
        <v>163</v>
      </c>
      <c r="W431" t="s">
        <v>165</v>
      </c>
      <c r="X431" t="s">
        <v>165</v>
      </c>
      <c r="Y431" t="s">
        <v>417</v>
      </c>
      <c r="Z431" t="s">
        <v>163</v>
      </c>
      <c r="AA431">
        <v>1</v>
      </c>
      <c r="AB431">
        <v>2</v>
      </c>
      <c r="AC431">
        <v>1</v>
      </c>
      <c r="AD431">
        <v>0</v>
      </c>
      <c r="AE431">
        <v>0</v>
      </c>
      <c r="AF431">
        <v>2</v>
      </c>
      <c r="AG431" t="s">
        <v>163</v>
      </c>
      <c r="AH431" t="s">
        <v>163</v>
      </c>
      <c r="AI431">
        <v>2</v>
      </c>
      <c r="AJ431" t="s">
        <v>163</v>
      </c>
      <c r="AK431">
        <v>8</v>
      </c>
      <c r="AL431">
        <v>11</v>
      </c>
      <c r="AM431" t="s">
        <v>163</v>
      </c>
      <c r="AN431">
        <v>1</v>
      </c>
      <c r="AO431">
        <v>1</v>
      </c>
      <c r="AP431">
        <v>2</v>
      </c>
      <c r="AQ431">
        <v>2</v>
      </c>
      <c r="AR431">
        <v>10</v>
      </c>
      <c r="AS431">
        <v>13</v>
      </c>
    </row>
    <row r="432" spans="1:45" x14ac:dyDescent="0.35">
      <c r="A432" s="337">
        <v>46266</v>
      </c>
      <c r="B432" s="337">
        <v>46270</v>
      </c>
      <c r="C432" s="337">
        <v>46268</v>
      </c>
      <c r="D432" t="s">
        <v>130</v>
      </c>
      <c r="E432" s="338">
        <v>1.0833333333333333</v>
      </c>
      <c r="F432">
        <v>3</v>
      </c>
      <c r="G432" t="s">
        <v>119</v>
      </c>
      <c r="H432">
        <v>0.01</v>
      </c>
      <c r="I432" t="s">
        <v>165</v>
      </c>
      <c r="J432" t="s">
        <v>165</v>
      </c>
      <c r="K432" t="s">
        <v>165</v>
      </c>
      <c r="L432" t="s">
        <v>161</v>
      </c>
      <c r="M432" t="s">
        <v>161</v>
      </c>
      <c r="N432">
        <v>12.68</v>
      </c>
      <c r="O432" t="s">
        <v>163</v>
      </c>
      <c r="P432" t="s">
        <v>163</v>
      </c>
      <c r="Q432" t="s">
        <v>163</v>
      </c>
      <c r="R432" t="s">
        <v>163</v>
      </c>
      <c r="S432" t="s">
        <v>163</v>
      </c>
      <c r="T432" t="s">
        <v>163</v>
      </c>
      <c r="U432" t="s">
        <v>163</v>
      </c>
      <c r="V432" t="s">
        <v>163</v>
      </c>
      <c r="W432" t="s">
        <v>165</v>
      </c>
      <c r="X432" t="s">
        <v>165</v>
      </c>
      <c r="Y432" t="s">
        <v>163</v>
      </c>
      <c r="Z432">
        <v>2</v>
      </c>
      <c r="AA432">
        <v>1</v>
      </c>
      <c r="AB432">
        <v>2</v>
      </c>
      <c r="AC432">
        <v>1</v>
      </c>
      <c r="AD432" t="s">
        <v>163</v>
      </c>
      <c r="AE432" t="s">
        <v>163</v>
      </c>
      <c r="AF432" t="s">
        <v>163</v>
      </c>
      <c r="AG432" t="s">
        <v>163</v>
      </c>
      <c r="AH432" t="s">
        <v>163</v>
      </c>
      <c r="AI432" t="s">
        <v>163</v>
      </c>
      <c r="AJ432" t="s">
        <v>163</v>
      </c>
      <c r="AK432">
        <v>6</v>
      </c>
      <c r="AL432">
        <v>6</v>
      </c>
      <c r="AM432" t="s">
        <v>163</v>
      </c>
      <c r="AN432">
        <v>1</v>
      </c>
      <c r="AO432">
        <v>1</v>
      </c>
      <c r="AP432">
        <v>2</v>
      </c>
      <c r="AQ432">
        <v>2</v>
      </c>
      <c r="AR432">
        <v>8</v>
      </c>
      <c r="AS432">
        <v>8</v>
      </c>
    </row>
    <row r="433" spans="1:45" x14ac:dyDescent="0.35">
      <c r="A433" s="337">
        <v>46266</v>
      </c>
      <c r="B433" s="337">
        <v>46270</v>
      </c>
      <c r="C433" s="337">
        <v>46268</v>
      </c>
      <c r="D433" t="s">
        <v>130</v>
      </c>
      <c r="E433" s="338">
        <v>1.0416666666666667</v>
      </c>
      <c r="F433">
        <v>3</v>
      </c>
      <c r="G433" t="s">
        <v>119</v>
      </c>
      <c r="H433" t="s">
        <v>163</v>
      </c>
      <c r="I433" t="s">
        <v>165</v>
      </c>
      <c r="J433" t="s">
        <v>165</v>
      </c>
      <c r="K433" t="s">
        <v>165</v>
      </c>
      <c r="L433" t="s">
        <v>161</v>
      </c>
      <c r="M433" t="s">
        <v>161</v>
      </c>
      <c r="N433">
        <v>12.68</v>
      </c>
      <c r="O433">
        <v>12.82</v>
      </c>
      <c r="P433" t="s">
        <v>163</v>
      </c>
      <c r="Q433">
        <v>64</v>
      </c>
      <c r="R433" t="s">
        <v>163</v>
      </c>
      <c r="S433" t="s">
        <v>163</v>
      </c>
      <c r="T433">
        <v>35.799999999999997</v>
      </c>
      <c r="U433" t="s">
        <v>163</v>
      </c>
      <c r="V433" t="s">
        <v>163</v>
      </c>
      <c r="W433" t="s">
        <v>165</v>
      </c>
      <c r="X433" t="s">
        <v>165</v>
      </c>
      <c r="Y433" t="s">
        <v>163</v>
      </c>
      <c r="Z433" t="s">
        <v>163</v>
      </c>
      <c r="AA433">
        <v>1</v>
      </c>
      <c r="AB433">
        <v>2</v>
      </c>
      <c r="AC433">
        <v>1</v>
      </c>
      <c r="AD433">
        <v>1</v>
      </c>
      <c r="AE433" t="s">
        <v>163</v>
      </c>
      <c r="AF433">
        <v>2</v>
      </c>
      <c r="AG433" t="s">
        <v>163</v>
      </c>
      <c r="AH433" t="s">
        <v>163</v>
      </c>
      <c r="AI433">
        <v>2</v>
      </c>
      <c r="AJ433" t="s">
        <v>163</v>
      </c>
      <c r="AK433">
        <v>9</v>
      </c>
      <c r="AL433">
        <v>9</v>
      </c>
      <c r="AM433" t="s">
        <v>163</v>
      </c>
      <c r="AN433">
        <v>1</v>
      </c>
      <c r="AO433">
        <v>1</v>
      </c>
      <c r="AP433">
        <v>2</v>
      </c>
      <c r="AQ433">
        <v>2</v>
      </c>
      <c r="AR433">
        <v>11</v>
      </c>
      <c r="AS433">
        <v>11</v>
      </c>
    </row>
    <row r="434" spans="1:45" x14ac:dyDescent="0.35">
      <c r="A434" s="337">
        <v>46266</v>
      </c>
      <c r="B434" s="337">
        <v>46270</v>
      </c>
      <c r="C434" s="337">
        <v>46260</v>
      </c>
      <c r="D434" t="s">
        <v>130</v>
      </c>
      <c r="E434" s="337">
        <v>1</v>
      </c>
      <c r="F434">
        <v>3</v>
      </c>
      <c r="G434" t="s">
        <v>119</v>
      </c>
      <c r="H434">
        <v>0.01</v>
      </c>
      <c r="I434" t="s">
        <v>165</v>
      </c>
      <c r="J434" t="s">
        <v>165</v>
      </c>
      <c r="K434" t="s">
        <v>165</v>
      </c>
      <c r="L434" t="s">
        <v>161</v>
      </c>
      <c r="M434" t="s">
        <v>161</v>
      </c>
      <c r="N434">
        <v>12.58</v>
      </c>
      <c r="O434" t="s">
        <v>163</v>
      </c>
      <c r="P434" t="s">
        <v>163</v>
      </c>
      <c r="Q434" t="s">
        <v>163</v>
      </c>
      <c r="R434" t="s">
        <v>163</v>
      </c>
      <c r="S434" t="s">
        <v>163</v>
      </c>
      <c r="T434" t="s">
        <v>163</v>
      </c>
      <c r="U434" t="s">
        <v>163</v>
      </c>
      <c r="V434" t="s">
        <v>163</v>
      </c>
      <c r="W434" t="s">
        <v>165</v>
      </c>
      <c r="X434" t="s">
        <v>165</v>
      </c>
      <c r="Y434" t="s">
        <v>163</v>
      </c>
      <c r="Z434">
        <v>2</v>
      </c>
      <c r="AA434">
        <v>1</v>
      </c>
      <c r="AB434">
        <v>2</v>
      </c>
      <c r="AC434">
        <v>1</v>
      </c>
      <c r="AD434" t="s">
        <v>163</v>
      </c>
      <c r="AE434" t="s">
        <v>163</v>
      </c>
      <c r="AF434" t="s">
        <v>163</v>
      </c>
      <c r="AG434" t="s">
        <v>163</v>
      </c>
      <c r="AH434" t="s">
        <v>163</v>
      </c>
      <c r="AI434" t="s">
        <v>163</v>
      </c>
      <c r="AJ434" t="s">
        <v>163</v>
      </c>
      <c r="AK434">
        <v>6</v>
      </c>
      <c r="AL434">
        <v>6</v>
      </c>
      <c r="AM434" t="s">
        <v>163</v>
      </c>
      <c r="AN434">
        <v>1</v>
      </c>
      <c r="AO434">
        <v>1</v>
      </c>
      <c r="AP434">
        <v>2</v>
      </c>
      <c r="AQ434">
        <v>2</v>
      </c>
      <c r="AR434">
        <v>8</v>
      </c>
      <c r="AS434">
        <v>8</v>
      </c>
    </row>
    <row r="435" spans="1:45" x14ac:dyDescent="0.35">
      <c r="A435" s="337">
        <v>46266</v>
      </c>
      <c r="B435" s="337">
        <v>46270</v>
      </c>
      <c r="C435" s="337">
        <v>46260</v>
      </c>
      <c r="D435" t="s">
        <v>130</v>
      </c>
      <c r="E435" s="339">
        <v>0.91666666666666663</v>
      </c>
      <c r="F435">
        <v>3</v>
      </c>
      <c r="G435" t="s">
        <v>117</v>
      </c>
      <c r="H435">
        <v>0.01</v>
      </c>
      <c r="I435" t="s">
        <v>165</v>
      </c>
      <c r="J435" t="s">
        <v>165</v>
      </c>
      <c r="K435" t="s">
        <v>165</v>
      </c>
      <c r="L435" t="s">
        <v>161</v>
      </c>
      <c r="M435" t="s">
        <v>161</v>
      </c>
      <c r="N435">
        <v>12.4</v>
      </c>
      <c r="O435">
        <v>12.93</v>
      </c>
      <c r="P435" t="s">
        <v>163</v>
      </c>
      <c r="Q435" t="s">
        <v>163</v>
      </c>
      <c r="R435" t="s">
        <v>163</v>
      </c>
      <c r="S435" t="s">
        <v>163</v>
      </c>
      <c r="T435">
        <v>36.200000000000003</v>
      </c>
      <c r="U435" t="s">
        <v>163</v>
      </c>
      <c r="V435" t="s">
        <v>163</v>
      </c>
      <c r="W435" t="s">
        <v>165</v>
      </c>
      <c r="X435" t="s">
        <v>165</v>
      </c>
      <c r="Y435" t="s">
        <v>416</v>
      </c>
      <c r="Z435">
        <v>2</v>
      </c>
      <c r="AA435">
        <v>1</v>
      </c>
      <c r="AB435">
        <v>2</v>
      </c>
      <c r="AC435">
        <v>1</v>
      </c>
      <c r="AD435">
        <v>1</v>
      </c>
      <c r="AE435" t="s">
        <v>163</v>
      </c>
      <c r="AF435" t="s">
        <v>163</v>
      </c>
      <c r="AG435" t="s">
        <v>163</v>
      </c>
      <c r="AH435" t="s">
        <v>163</v>
      </c>
      <c r="AI435">
        <v>2</v>
      </c>
      <c r="AJ435" t="s">
        <v>163</v>
      </c>
      <c r="AK435">
        <v>9</v>
      </c>
      <c r="AL435">
        <v>9</v>
      </c>
      <c r="AM435" t="s">
        <v>163</v>
      </c>
      <c r="AN435">
        <v>1</v>
      </c>
      <c r="AO435">
        <v>1</v>
      </c>
      <c r="AP435">
        <v>2</v>
      </c>
      <c r="AQ435">
        <v>2</v>
      </c>
      <c r="AR435">
        <v>11</v>
      </c>
      <c r="AS435">
        <v>11</v>
      </c>
    </row>
    <row r="436" spans="1:45" x14ac:dyDescent="0.35">
      <c r="A436" s="337">
        <v>46266</v>
      </c>
      <c r="B436" s="337">
        <v>46270</v>
      </c>
      <c r="C436" s="339">
        <v>0</v>
      </c>
      <c r="D436" t="s">
        <v>130</v>
      </c>
      <c r="E436" s="338">
        <v>1.1666666666666667</v>
      </c>
      <c r="F436">
        <v>2</v>
      </c>
      <c r="G436" t="s">
        <v>335</v>
      </c>
      <c r="H436" t="s">
        <v>163</v>
      </c>
      <c r="I436" t="s">
        <v>165</v>
      </c>
      <c r="J436" t="s">
        <v>165</v>
      </c>
      <c r="K436" t="s">
        <v>165</v>
      </c>
      <c r="L436" t="s">
        <v>163</v>
      </c>
      <c r="M436" t="s">
        <v>161</v>
      </c>
      <c r="N436">
        <v>10.51</v>
      </c>
      <c r="O436" t="s">
        <v>163</v>
      </c>
      <c r="P436" t="s">
        <v>163</v>
      </c>
      <c r="Q436" t="s">
        <v>163</v>
      </c>
      <c r="R436" t="s">
        <v>163</v>
      </c>
      <c r="S436" t="s">
        <v>163</v>
      </c>
      <c r="T436" t="s">
        <v>163</v>
      </c>
      <c r="U436" t="s">
        <v>163</v>
      </c>
      <c r="V436" t="s">
        <v>163</v>
      </c>
      <c r="W436" t="s">
        <v>165</v>
      </c>
      <c r="X436" t="s">
        <v>165</v>
      </c>
      <c r="Y436" t="s">
        <v>163</v>
      </c>
      <c r="Z436" t="s">
        <v>163</v>
      </c>
      <c r="AA436">
        <v>1</v>
      </c>
      <c r="AB436">
        <v>2</v>
      </c>
      <c r="AC436">
        <v>0</v>
      </c>
      <c r="AD436" t="s">
        <v>163</v>
      </c>
      <c r="AE436" t="s">
        <v>163</v>
      </c>
      <c r="AF436" t="s">
        <v>163</v>
      </c>
      <c r="AG436" t="s">
        <v>163</v>
      </c>
      <c r="AH436" t="s">
        <v>163</v>
      </c>
      <c r="AI436" t="s">
        <v>163</v>
      </c>
      <c r="AJ436" t="s">
        <v>163</v>
      </c>
      <c r="AK436">
        <v>3</v>
      </c>
      <c r="AL436">
        <v>4</v>
      </c>
      <c r="AM436" t="s">
        <v>163</v>
      </c>
      <c r="AN436">
        <v>1</v>
      </c>
      <c r="AO436">
        <v>1</v>
      </c>
      <c r="AP436">
        <v>2</v>
      </c>
      <c r="AQ436">
        <v>2</v>
      </c>
      <c r="AR436">
        <v>5</v>
      </c>
      <c r="AS436">
        <v>6</v>
      </c>
    </row>
    <row r="437" spans="1:45" x14ac:dyDescent="0.35">
      <c r="A437" s="337">
        <v>46266</v>
      </c>
      <c r="B437" s="337">
        <v>46270</v>
      </c>
      <c r="C437" s="339">
        <v>0</v>
      </c>
      <c r="D437" t="s">
        <v>130</v>
      </c>
      <c r="E437" s="338">
        <v>1.125</v>
      </c>
      <c r="F437">
        <v>2</v>
      </c>
      <c r="G437" t="s">
        <v>335</v>
      </c>
      <c r="H437" t="s">
        <v>163</v>
      </c>
      <c r="I437" t="s">
        <v>165</v>
      </c>
      <c r="J437" t="s">
        <v>165</v>
      </c>
      <c r="K437" t="s">
        <v>165</v>
      </c>
      <c r="L437" t="s">
        <v>163</v>
      </c>
      <c r="M437" t="s">
        <v>161</v>
      </c>
      <c r="N437">
        <v>10.57</v>
      </c>
      <c r="O437" t="s">
        <v>163</v>
      </c>
      <c r="P437" t="s">
        <v>163</v>
      </c>
      <c r="Q437" t="s">
        <v>163</v>
      </c>
      <c r="R437" t="s">
        <v>163</v>
      </c>
      <c r="S437" t="s">
        <v>163</v>
      </c>
      <c r="T437" t="s">
        <v>163</v>
      </c>
      <c r="U437" t="s">
        <v>163</v>
      </c>
      <c r="V437" t="s">
        <v>163</v>
      </c>
      <c r="W437" t="s">
        <v>165</v>
      </c>
      <c r="X437" t="s">
        <v>165</v>
      </c>
      <c r="Y437" t="s">
        <v>163</v>
      </c>
      <c r="Z437" t="s">
        <v>163</v>
      </c>
      <c r="AA437">
        <v>1</v>
      </c>
      <c r="AB437">
        <v>2</v>
      </c>
      <c r="AC437">
        <v>0</v>
      </c>
      <c r="AD437" t="s">
        <v>163</v>
      </c>
      <c r="AE437" t="s">
        <v>163</v>
      </c>
      <c r="AF437" t="s">
        <v>163</v>
      </c>
      <c r="AG437" t="s">
        <v>163</v>
      </c>
      <c r="AH437" t="s">
        <v>163</v>
      </c>
      <c r="AI437" t="s">
        <v>163</v>
      </c>
      <c r="AJ437" t="s">
        <v>163</v>
      </c>
      <c r="AK437">
        <v>3</v>
      </c>
      <c r="AL437">
        <v>4</v>
      </c>
      <c r="AM437" t="s">
        <v>163</v>
      </c>
      <c r="AN437">
        <v>1</v>
      </c>
      <c r="AO437">
        <v>1</v>
      </c>
      <c r="AP437">
        <v>2</v>
      </c>
      <c r="AQ437">
        <v>2</v>
      </c>
      <c r="AR437">
        <v>5</v>
      </c>
      <c r="AS437">
        <v>6</v>
      </c>
    </row>
    <row r="438" spans="1:45" x14ac:dyDescent="0.35">
      <c r="A438" s="337">
        <v>46266</v>
      </c>
      <c r="B438" s="337">
        <v>46270</v>
      </c>
      <c r="C438" s="339">
        <v>0</v>
      </c>
      <c r="D438" t="s">
        <v>130</v>
      </c>
      <c r="E438" s="338">
        <v>1.0833333333333333</v>
      </c>
      <c r="F438">
        <v>2</v>
      </c>
      <c r="G438" t="s">
        <v>335</v>
      </c>
      <c r="H438" t="s">
        <v>163</v>
      </c>
      <c r="I438" t="s">
        <v>165</v>
      </c>
      <c r="J438" t="s">
        <v>165</v>
      </c>
      <c r="K438" t="s">
        <v>165</v>
      </c>
      <c r="L438" t="s">
        <v>163</v>
      </c>
      <c r="M438" t="s">
        <v>161</v>
      </c>
      <c r="N438">
        <v>10.45</v>
      </c>
      <c r="O438" t="s">
        <v>163</v>
      </c>
      <c r="P438" t="s">
        <v>163</v>
      </c>
      <c r="Q438" t="s">
        <v>163</v>
      </c>
      <c r="R438" t="s">
        <v>163</v>
      </c>
      <c r="S438" t="s">
        <v>163</v>
      </c>
      <c r="T438" t="s">
        <v>163</v>
      </c>
      <c r="U438" t="s">
        <v>163</v>
      </c>
      <c r="V438" t="s">
        <v>163</v>
      </c>
      <c r="W438" t="s">
        <v>165</v>
      </c>
      <c r="X438" t="s">
        <v>165</v>
      </c>
      <c r="Y438" t="s">
        <v>163</v>
      </c>
      <c r="Z438" t="s">
        <v>163</v>
      </c>
      <c r="AA438">
        <v>1</v>
      </c>
      <c r="AB438">
        <v>2</v>
      </c>
      <c r="AC438">
        <v>0</v>
      </c>
      <c r="AD438" t="s">
        <v>163</v>
      </c>
      <c r="AE438" t="s">
        <v>163</v>
      </c>
      <c r="AF438" t="s">
        <v>163</v>
      </c>
      <c r="AG438" t="s">
        <v>163</v>
      </c>
      <c r="AH438" t="s">
        <v>163</v>
      </c>
      <c r="AI438" t="s">
        <v>163</v>
      </c>
      <c r="AJ438" t="s">
        <v>163</v>
      </c>
      <c r="AK438">
        <v>3</v>
      </c>
      <c r="AL438">
        <v>4</v>
      </c>
      <c r="AM438" t="s">
        <v>163</v>
      </c>
      <c r="AN438">
        <v>1</v>
      </c>
      <c r="AO438">
        <v>1</v>
      </c>
      <c r="AP438">
        <v>2</v>
      </c>
      <c r="AQ438">
        <v>2</v>
      </c>
      <c r="AR438">
        <v>5</v>
      </c>
      <c r="AS438">
        <v>6</v>
      </c>
    </row>
    <row r="439" spans="1:45" x14ac:dyDescent="0.35">
      <c r="A439" s="337">
        <v>46266</v>
      </c>
      <c r="B439" s="337">
        <v>46270</v>
      </c>
      <c r="C439" s="339">
        <v>0</v>
      </c>
      <c r="D439" t="s">
        <v>130</v>
      </c>
      <c r="E439" s="338">
        <v>1.0416666666666667</v>
      </c>
      <c r="F439">
        <v>2</v>
      </c>
      <c r="G439" t="s">
        <v>335</v>
      </c>
      <c r="H439" t="s">
        <v>163</v>
      </c>
      <c r="I439" t="s">
        <v>165</v>
      </c>
      <c r="J439" t="s">
        <v>165</v>
      </c>
      <c r="K439" t="s">
        <v>165</v>
      </c>
      <c r="L439" t="s">
        <v>163</v>
      </c>
      <c r="M439" t="s">
        <v>161</v>
      </c>
      <c r="N439">
        <v>11.7</v>
      </c>
      <c r="O439" t="s">
        <v>163</v>
      </c>
      <c r="P439" t="s">
        <v>163</v>
      </c>
      <c r="Q439" t="s">
        <v>163</v>
      </c>
      <c r="R439" t="s">
        <v>163</v>
      </c>
      <c r="S439" t="s">
        <v>163</v>
      </c>
      <c r="T439" t="s">
        <v>163</v>
      </c>
      <c r="U439" t="s">
        <v>163</v>
      </c>
      <c r="V439" t="s">
        <v>163</v>
      </c>
      <c r="W439" t="s">
        <v>165</v>
      </c>
      <c r="X439" t="s">
        <v>165</v>
      </c>
      <c r="Y439" t="s">
        <v>163</v>
      </c>
      <c r="Z439" t="s">
        <v>163</v>
      </c>
      <c r="AA439">
        <v>1</v>
      </c>
      <c r="AB439">
        <v>2</v>
      </c>
      <c r="AC439">
        <v>0</v>
      </c>
      <c r="AD439" t="s">
        <v>163</v>
      </c>
      <c r="AE439" t="s">
        <v>163</v>
      </c>
      <c r="AF439" t="s">
        <v>163</v>
      </c>
      <c r="AG439" t="s">
        <v>163</v>
      </c>
      <c r="AH439" t="s">
        <v>163</v>
      </c>
      <c r="AI439" t="s">
        <v>163</v>
      </c>
      <c r="AJ439" t="s">
        <v>163</v>
      </c>
      <c r="AK439">
        <v>3</v>
      </c>
      <c r="AL439">
        <v>4</v>
      </c>
      <c r="AM439" t="s">
        <v>163</v>
      </c>
      <c r="AN439">
        <v>1</v>
      </c>
      <c r="AO439">
        <v>1</v>
      </c>
      <c r="AP439">
        <v>2</v>
      </c>
      <c r="AQ439">
        <v>2</v>
      </c>
      <c r="AR439">
        <v>5</v>
      </c>
      <c r="AS439">
        <v>6</v>
      </c>
    </row>
    <row r="440" spans="1:45" x14ac:dyDescent="0.35">
      <c r="A440" s="337">
        <v>46266</v>
      </c>
      <c r="B440" s="337">
        <v>46270</v>
      </c>
      <c r="C440" s="339">
        <v>0</v>
      </c>
      <c r="D440" t="s">
        <v>130</v>
      </c>
      <c r="E440" s="337">
        <v>1</v>
      </c>
      <c r="F440">
        <v>2</v>
      </c>
      <c r="G440" t="s">
        <v>335</v>
      </c>
      <c r="H440" t="s">
        <v>163</v>
      </c>
      <c r="I440" t="s">
        <v>165</v>
      </c>
      <c r="J440" t="s">
        <v>165</v>
      </c>
      <c r="K440" t="s">
        <v>165</v>
      </c>
      <c r="L440" t="s">
        <v>163</v>
      </c>
      <c r="M440" t="s">
        <v>161</v>
      </c>
      <c r="N440">
        <v>10.37</v>
      </c>
      <c r="O440" t="s">
        <v>163</v>
      </c>
      <c r="P440" t="s">
        <v>163</v>
      </c>
      <c r="Q440" t="s">
        <v>163</v>
      </c>
      <c r="R440" t="s">
        <v>163</v>
      </c>
      <c r="S440" t="s">
        <v>163</v>
      </c>
      <c r="T440" t="s">
        <v>163</v>
      </c>
      <c r="U440" t="s">
        <v>163</v>
      </c>
      <c r="V440" t="s">
        <v>163</v>
      </c>
      <c r="W440" t="s">
        <v>165</v>
      </c>
      <c r="X440" t="s">
        <v>165</v>
      </c>
      <c r="Y440" t="s">
        <v>163</v>
      </c>
      <c r="Z440" t="s">
        <v>163</v>
      </c>
      <c r="AA440">
        <v>1</v>
      </c>
      <c r="AB440">
        <v>2</v>
      </c>
      <c r="AC440">
        <v>0</v>
      </c>
      <c r="AD440" t="s">
        <v>163</v>
      </c>
      <c r="AE440" t="s">
        <v>163</v>
      </c>
      <c r="AF440" t="s">
        <v>163</v>
      </c>
      <c r="AG440" t="s">
        <v>163</v>
      </c>
      <c r="AH440" t="s">
        <v>163</v>
      </c>
      <c r="AI440" t="s">
        <v>163</v>
      </c>
      <c r="AJ440" t="s">
        <v>163</v>
      </c>
      <c r="AK440">
        <v>3</v>
      </c>
      <c r="AL440">
        <v>4</v>
      </c>
      <c r="AM440" t="s">
        <v>163</v>
      </c>
      <c r="AN440">
        <v>1</v>
      </c>
      <c r="AO440">
        <v>1</v>
      </c>
      <c r="AP440">
        <v>2</v>
      </c>
      <c r="AQ440">
        <v>2</v>
      </c>
      <c r="AR440">
        <v>5</v>
      </c>
      <c r="AS440">
        <v>6</v>
      </c>
    </row>
    <row r="441" spans="1:45" x14ac:dyDescent="0.35">
      <c r="A441" s="337">
        <v>46266</v>
      </c>
      <c r="B441" s="337">
        <v>46270</v>
      </c>
      <c r="C441" s="339">
        <v>0</v>
      </c>
      <c r="D441" t="s">
        <v>130</v>
      </c>
      <c r="E441" s="339">
        <v>0.95833333333333337</v>
      </c>
      <c r="F441">
        <v>2</v>
      </c>
      <c r="G441" t="s">
        <v>335</v>
      </c>
      <c r="H441" t="s">
        <v>163</v>
      </c>
      <c r="I441" t="s">
        <v>165</v>
      </c>
      <c r="J441" t="s">
        <v>165</v>
      </c>
      <c r="K441" t="s">
        <v>165</v>
      </c>
      <c r="L441" t="s">
        <v>163</v>
      </c>
      <c r="M441" t="s">
        <v>161</v>
      </c>
      <c r="N441">
        <v>10.77</v>
      </c>
      <c r="O441" t="s">
        <v>163</v>
      </c>
      <c r="P441" t="s">
        <v>163</v>
      </c>
      <c r="Q441" t="s">
        <v>163</v>
      </c>
      <c r="R441" t="s">
        <v>163</v>
      </c>
      <c r="S441" t="s">
        <v>163</v>
      </c>
      <c r="T441" t="s">
        <v>163</v>
      </c>
      <c r="U441" t="s">
        <v>163</v>
      </c>
      <c r="V441" t="s">
        <v>163</v>
      </c>
      <c r="W441" t="s">
        <v>165</v>
      </c>
      <c r="X441" t="s">
        <v>165</v>
      </c>
      <c r="Y441" t="s">
        <v>163</v>
      </c>
      <c r="Z441" t="s">
        <v>163</v>
      </c>
      <c r="AA441">
        <v>1</v>
      </c>
      <c r="AB441">
        <v>2</v>
      </c>
      <c r="AC441">
        <v>0</v>
      </c>
      <c r="AD441" t="s">
        <v>163</v>
      </c>
      <c r="AE441" t="s">
        <v>163</v>
      </c>
      <c r="AF441" t="s">
        <v>163</v>
      </c>
      <c r="AG441" t="s">
        <v>163</v>
      </c>
      <c r="AH441" t="s">
        <v>163</v>
      </c>
      <c r="AI441" t="s">
        <v>163</v>
      </c>
      <c r="AJ441" t="s">
        <v>163</v>
      </c>
      <c r="AK441">
        <v>3</v>
      </c>
      <c r="AL441">
        <v>4</v>
      </c>
      <c r="AM441" t="s">
        <v>163</v>
      </c>
      <c r="AN441">
        <v>1</v>
      </c>
      <c r="AO441">
        <v>1</v>
      </c>
      <c r="AP441">
        <v>2</v>
      </c>
      <c r="AQ441">
        <v>2</v>
      </c>
      <c r="AR441">
        <v>5</v>
      </c>
      <c r="AS441">
        <v>6</v>
      </c>
    </row>
    <row r="442" spans="1:45" x14ac:dyDescent="0.35">
      <c r="A442" s="337">
        <v>46266</v>
      </c>
      <c r="B442" s="337">
        <v>46270</v>
      </c>
      <c r="C442" s="337">
        <v>816</v>
      </c>
      <c r="D442" t="s">
        <v>130</v>
      </c>
      <c r="E442" s="339">
        <v>0.91666666666666663</v>
      </c>
      <c r="F442">
        <v>2</v>
      </c>
      <c r="G442" t="s">
        <v>335</v>
      </c>
      <c r="H442" t="s">
        <v>163</v>
      </c>
      <c r="I442" t="s">
        <v>165</v>
      </c>
      <c r="J442" t="s">
        <v>165</v>
      </c>
      <c r="K442" t="s">
        <v>165</v>
      </c>
      <c r="L442" t="s">
        <v>163</v>
      </c>
      <c r="M442" t="s">
        <v>161</v>
      </c>
      <c r="N442">
        <v>10.25</v>
      </c>
      <c r="O442" t="s">
        <v>163</v>
      </c>
      <c r="P442" t="s">
        <v>163</v>
      </c>
      <c r="Q442" t="s">
        <v>163</v>
      </c>
      <c r="R442" t="s">
        <v>163</v>
      </c>
      <c r="S442" t="s">
        <v>163</v>
      </c>
      <c r="T442" t="s">
        <v>163</v>
      </c>
      <c r="U442" t="s">
        <v>163</v>
      </c>
      <c r="V442" t="s">
        <v>163</v>
      </c>
      <c r="W442" t="s">
        <v>165</v>
      </c>
      <c r="X442" t="s">
        <v>165</v>
      </c>
      <c r="Y442" t="s">
        <v>163</v>
      </c>
      <c r="Z442" t="s">
        <v>163</v>
      </c>
      <c r="AA442">
        <v>1</v>
      </c>
      <c r="AB442">
        <v>2</v>
      </c>
      <c r="AC442">
        <v>0</v>
      </c>
      <c r="AD442" t="s">
        <v>163</v>
      </c>
      <c r="AE442" t="s">
        <v>163</v>
      </c>
      <c r="AF442" t="s">
        <v>163</v>
      </c>
      <c r="AG442" t="s">
        <v>163</v>
      </c>
      <c r="AH442" t="s">
        <v>163</v>
      </c>
      <c r="AI442" t="s">
        <v>163</v>
      </c>
      <c r="AJ442" t="s">
        <v>163</v>
      </c>
      <c r="AK442">
        <v>3</v>
      </c>
      <c r="AL442">
        <v>4</v>
      </c>
      <c r="AM442" t="s">
        <v>163</v>
      </c>
      <c r="AN442">
        <v>1</v>
      </c>
      <c r="AO442">
        <v>1</v>
      </c>
      <c r="AP442">
        <v>2</v>
      </c>
      <c r="AQ442">
        <v>2</v>
      </c>
      <c r="AR442">
        <v>5</v>
      </c>
      <c r="AS442">
        <v>6</v>
      </c>
    </row>
    <row r="443" spans="1:45" x14ac:dyDescent="0.35">
      <c r="A443" s="337">
        <v>46266</v>
      </c>
      <c r="B443" s="337">
        <v>46270</v>
      </c>
      <c r="C443" s="337">
        <v>46260</v>
      </c>
      <c r="D443" t="s">
        <v>128</v>
      </c>
      <c r="E443" s="339">
        <v>0.875</v>
      </c>
      <c r="F443">
        <v>3</v>
      </c>
      <c r="G443" t="s">
        <v>117</v>
      </c>
      <c r="H443">
        <v>0.01</v>
      </c>
      <c r="I443" t="s">
        <v>165</v>
      </c>
      <c r="J443" t="s">
        <v>165</v>
      </c>
      <c r="K443" t="s">
        <v>165</v>
      </c>
      <c r="L443" t="s">
        <v>161</v>
      </c>
      <c r="M443" t="s">
        <v>161</v>
      </c>
      <c r="N443">
        <v>12.31</v>
      </c>
      <c r="O443" t="s">
        <v>163</v>
      </c>
      <c r="P443" t="s">
        <v>163</v>
      </c>
      <c r="Q443" t="s">
        <v>163</v>
      </c>
      <c r="R443" t="s">
        <v>163</v>
      </c>
      <c r="S443" t="s">
        <v>163</v>
      </c>
      <c r="T443" t="s">
        <v>163</v>
      </c>
      <c r="U443" t="s">
        <v>163</v>
      </c>
      <c r="V443" t="s">
        <v>163</v>
      </c>
      <c r="W443" t="s">
        <v>165</v>
      </c>
      <c r="X443" t="s">
        <v>165</v>
      </c>
      <c r="Y443" t="s">
        <v>163</v>
      </c>
      <c r="Z443">
        <v>2</v>
      </c>
      <c r="AA443">
        <v>1</v>
      </c>
      <c r="AB443">
        <v>2</v>
      </c>
      <c r="AC443">
        <v>1</v>
      </c>
      <c r="AD443" t="s">
        <v>163</v>
      </c>
      <c r="AE443" t="s">
        <v>163</v>
      </c>
      <c r="AF443" t="s">
        <v>163</v>
      </c>
      <c r="AG443" t="s">
        <v>163</v>
      </c>
      <c r="AH443" t="s">
        <v>163</v>
      </c>
      <c r="AI443" t="s">
        <v>163</v>
      </c>
      <c r="AJ443" t="s">
        <v>163</v>
      </c>
      <c r="AK443">
        <v>6</v>
      </c>
      <c r="AL443">
        <v>6</v>
      </c>
      <c r="AM443" t="s">
        <v>163</v>
      </c>
      <c r="AN443">
        <v>1</v>
      </c>
      <c r="AO443">
        <v>1</v>
      </c>
      <c r="AP443">
        <v>2</v>
      </c>
      <c r="AQ443">
        <v>2</v>
      </c>
      <c r="AR443">
        <v>8</v>
      </c>
      <c r="AS443">
        <v>8</v>
      </c>
    </row>
    <row r="444" spans="1:45" x14ac:dyDescent="0.35">
      <c r="A444" s="337">
        <v>46266</v>
      </c>
      <c r="B444" s="337">
        <v>46270</v>
      </c>
      <c r="C444" s="337">
        <v>46260</v>
      </c>
      <c r="D444" t="s">
        <v>128</v>
      </c>
      <c r="E444" s="339">
        <v>0.83333333333333337</v>
      </c>
      <c r="F444">
        <v>3</v>
      </c>
      <c r="G444" t="s">
        <v>60</v>
      </c>
      <c r="H444">
        <v>0.01</v>
      </c>
      <c r="I444" t="s">
        <v>165</v>
      </c>
      <c r="J444" t="s">
        <v>165</v>
      </c>
      <c r="K444" t="s">
        <v>165</v>
      </c>
      <c r="L444" t="s">
        <v>161</v>
      </c>
      <c r="M444" t="s">
        <v>161</v>
      </c>
      <c r="N444">
        <v>12.37</v>
      </c>
      <c r="O444" t="s">
        <v>163</v>
      </c>
      <c r="P444" t="s">
        <v>163</v>
      </c>
      <c r="Q444" t="s">
        <v>163</v>
      </c>
      <c r="R444" t="s">
        <v>163</v>
      </c>
      <c r="S444" t="s">
        <v>163</v>
      </c>
      <c r="T444" t="s">
        <v>163</v>
      </c>
      <c r="U444" t="s">
        <v>163</v>
      </c>
      <c r="V444" t="s">
        <v>163</v>
      </c>
      <c r="W444" t="s">
        <v>165</v>
      </c>
      <c r="X444" t="s">
        <v>165</v>
      </c>
      <c r="Y444" t="s">
        <v>416</v>
      </c>
      <c r="Z444">
        <v>2</v>
      </c>
      <c r="AA444">
        <v>1</v>
      </c>
      <c r="AB444">
        <v>2</v>
      </c>
      <c r="AC444">
        <v>1</v>
      </c>
      <c r="AD444" t="s">
        <v>163</v>
      </c>
      <c r="AE444" t="s">
        <v>163</v>
      </c>
      <c r="AF444" t="s">
        <v>163</v>
      </c>
      <c r="AG444" t="s">
        <v>163</v>
      </c>
      <c r="AH444" t="s">
        <v>163</v>
      </c>
      <c r="AI444" t="s">
        <v>163</v>
      </c>
      <c r="AJ444" t="s">
        <v>163</v>
      </c>
      <c r="AK444">
        <v>6</v>
      </c>
      <c r="AL444">
        <v>6</v>
      </c>
      <c r="AM444" t="s">
        <v>163</v>
      </c>
      <c r="AN444">
        <v>1</v>
      </c>
      <c r="AO444">
        <v>1</v>
      </c>
      <c r="AP444">
        <v>2</v>
      </c>
      <c r="AQ444">
        <v>2</v>
      </c>
      <c r="AR444">
        <v>8</v>
      </c>
      <c r="AS444">
        <v>8</v>
      </c>
    </row>
    <row r="445" spans="1:45" x14ac:dyDescent="0.35">
      <c r="A445" s="337">
        <v>46266</v>
      </c>
      <c r="B445" s="337">
        <v>46270</v>
      </c>
      <c r="C445" s="337">
        <v>46260</v>
      </c>
      <c r="D445" t="s">
        <v>128</v>
      </c>
      <c r="E445" s="339">
        <v>0.79166666666666663</v>
      </c>
      <c r="F445">
        <v>3</v>
      </c>
      <c r="G445" t="s">
        <v>60</v>
      </c>
      <c r="H445">
        <v>0.01</v>
      </c>
      <c r="I445" t="s">
        <v>165</v>
      </c>
      <c r="J445" t="s">
        <v>165</v>
      </c>
      <c r="K445" t="s">
        <v>165</v>
      </c>
      <c r="L445" t="s">
        <v>161</v>
      </c>
      <c r="M445" t="s">
        <v>161</v>
      </c>
      <c r="N445" t="s">
        <v>163</v>
      </c>
      <c r="O445">
        <v>13.09</v>
      </c>
      <c r="P445" t="s">
        <v>163</v>
      </c>
      <c r="Q445">
        <v>64.5</v>
      </c>
      <c r="R445" t="s">
        <v>163</v>
      </c>
      <c r="S445" t="s">
        <v>163</v>
      </c>
      <c r="T445">
        <v>36.700000000000003</v>
      </c>
      <c r="U445" t="s">
        <v>163</v>
      </c>
      <c r="V445" t="s">
        <v>163</v>
      </c>
      <c r="W445" t="s">
        <v>165</v>
      </c>
      <c r="X445" t="s">
        <v>165</v>
      </c>
      <c r="Y445">
        <v>1</v>
      </c>
      <c r="Z445">
        <v>2</v>
      </c>
      <c r="AA445">
        <v>1</v>
      </c>
      <c r="AB445">
        <v>2</v>
      </c>
      <c r="AC445" t="s">
        <v>163</v>
      </c>
      <c r="AD445">
        <v>1</v>
      </c>
      <c r="AE445" t="s">
        <v>163</v>
      </c>
      <c r="AF445">
        <v>2</v>
      </c>
      <c r="AG445" t="s">
        <v>163</v>
      </c>
      <c r="AH445" t="s">
        <v>163</v>
      </c>
      <c r="AI445">
        <v>2</v>
      </c>
      <c r="AJ445" t="s">
        <v>163</v>
      </c>
      <c r="AK445">
        <v>10</v>
      </c>
      <c r="AL445">
        <v>10</v>
      </c>
      <c r="AM445" t="s">
        <v>163</v>
      </c>
      <c r="AN445">
        <v>1</v>
      </c>
      <c r="AO445">
        <v>1</v>
      </c>
      <c r="AP445">
        <v>2</v>
      </c>
      <c r="AQ445">
        <v>2</v>
      </c>
      <c r="AR445">
        <v>12</v>
      </c>
      <c r="AS445">
        <v>12</v>
      </c>
    </row>
    <row r="446" spans="1:45" x14ac:dyDescent="0.35">
      <c r="A446" s="337">
        <v>46266</v>
      </c>
      <c r="B446" s="337">
        <v>46270</v>
      </c>
      <c r="C446" s="337">
        <v>46260</v>
      </c>
      <c r="D446" t="s">
        <v>128</v>
      </c>
      <c r="E446" s="339">
        <v>0.625</v>
      </c>
      <c r="F446">
        <v>3</v>
      </c>
      <c r="G446" t="s">
        <v>36</v>
      </c>
      <c r="H446">
        <v>0.02</v>
      </c>
      <c r="I446" t="s">
        <v>165</v>
      </c>
      <c r="J446" t="s">
        <v>165</v>
      </c>
      <c r="K446" t="s">
        <v>165</v>
      </c>
      <c r="L446" t="s">
        <v>161</v>
      </c>
      <c r="M446" t="s">
        <v>161</v>
      </c>
      <c r="N446">
        <v>12.49</v>
      </c>
      <c r="O446" t="s">
        <v>163</v>
      </c>
      <c r="P446" t="s">
        <v>163</v>
      </c>
      <c r="Q446" t="s">
        <v>163</v>
      </c>
      <c r="R446" t="s">
        <v>163</v>
      </c>
      <c r="S446" t="s">
        <v>163</v>
      </c>
      <c r="T446" t="s">
        <v>163</v>
      </c>
      <c r="U446" t="s">
        <v>163</v>
      </c>
      <c r="V446" t="s">
        <v>163</v>
      </c>
      <c r="W446" t="s">
        <v>165</v>
      </c>
      <c r="X446" t="s">
        <v>165</v>
      </c>
      <c r="Y446" t="s">
        <v>163</v>
      </c>
      <c r="Z446">
        <v>2</v>
      </c>
      <c r="AA446">
        <v>1</v>
      </c>
      <c r="AB446">
        <v>2</v>
      </c>
      <c r="AC446">
        <v>1</v>
      </c>
      <c r="AD446" t="s">
        <v>163</v>
      </c>
      <c r="AE446" t="s">
        <v>163</v>
      </c>
      <c r="AF446" t="s">
        <v>163</v>
      </c>
      <c r="AG446" t="s">
        <v>163</v>
      </c>
      <c r="AH446" t="s">
        <v>163</v>
      </c>
      <c r="AI446" t="s">
        <v>163</v>
      </c>
      <c r="AJ446" t="s">
        <v>163</v>
      </c>
      <c r="AK446">
        <v>6</v>
      </c>
      <c r="AL446">
        <v>6</v>
      </c>
      <c r="AM446" t="s">
        <v>163</v>
      </c>
      <c r="AN446">
        <v>1</v>
      </c>
      <c r="AO446">
        <v>1</v>
      </c>
      <c r="AP446">
        <v>2</v>
      </c>
      <c r="AQ446">
        <v>2</v>
      </c>
      <c r="AR446">
        <v>8</v>
      </c>
      <c r="AS446">
        <v>8</v>
      </c>
    </row>
    <row r="447" spans="1:45" x14ac:dyDescent="0.35">
      <c r="A447" s="337">
        <v>46266</v>
      </c>
      <c r="B447" s="337">
        <v>46270</v>
      </c>
      <c r="C447" s="337">
        <v>46260</v>
      </c>
      <c r="D447" t="s">
        <v>128</v>
      </c>
      <c r="E447" s="339">
        <v>0.58333333333333337</v>
      </c>
      <c r="F447">
        <v>3</v>
      </c>
      <c r="G447" t="s">
        <v>36</v>
      </c>
      <c r="H447">
        <v>0.02</v>
      </c>
      <c r="I447" t="s">
        <v>165</v>
      </c>
      <c r="J447" t="s">
        <v>165</v>
      </c>
      <c r="K447" t="s">
        <v>165</v>
      </c>
      <c r="L447" t="s">
        <v>161</v>
      </c>
      <c r="M447" t="s">
        <v>161</v>
      </c>
      <c r="N447">
        <v>12.62</v>
      </c>
      <c r="O447">
        <v>12.72</v>
      </c>
      <c r="P447" t="s">
        <v>163</v>
      </c>
      <c r="Q447" t="s">
        <v>163</v>
      </c>
      <c r="R447" t="s">
        <v>163</v>
      </c>
      <c r="S447" t="s">
        <v>163</v>
      </c>
      <c r="T447">
        <v>35.9</v>
      </c>
      <c r="U447" t="s">
        <v>163</v>
      </c>
      <c r="V447" t="s">
        <v>163</v>
      </c>
      <c r="W447" t="s">
        <v>165</v>
      </c>
      <c r="X447" t="s">
        <v>165</v>
      </c>
      <c r="Y447" t="s">
        <v>417</v>
      </c>
      <c r="Z447">
        <v>2</v>
      </c>
      <c r="AA447">
        <v>1</v>
      </c>
      <c r="AB447">
        <v>2</v>
      </c>
      <c r="AC447">
        <v>1</v>
      </c>
      <c r="AD447">
        <v>1</v>
      </c>
      <c r="AE447" t="s">
        <v>163</v>
      </c>
      <c r="AF447" t="s">
        <v>163</v>
      </c>
      <c r="AG447" t="s">
        <v>163</v>
      </c>
      <c r="AH447" t="s">
        <v>163</v>
      </c>
      <c r="AI447">
        <v>2</v>
      </c>
      <c r="AJ447" t="s">
        <v>163</v>
      </c>
      <c r="AK447">
        <v>9</v>
      </c>
      <c r="AL447">
        <v>9</v>
      </c>
      <c r="AM447" t="s">
        <v>163</v>
      </c>
      <c r="AN447">
        <v>1</v>
      </c>
      <c r="AO447">
        <v>1</v>
      </c>
      <c r="AP447">
        <v>2</v>
      </c>
      <c r="AQ447">
        <v>2</v>
      </c>
      <c r="AR447">
        <v>11</v>
      </c>
      <c r="AS447">
        <v>11</v>
      </c>
    </row>
    <row r="448" spans="1:45" x14ac:dyDescent="0.35">
      <c r="A448" s="337">
        <v>46266</v>
      </c>
      <c r="B448" s="337">
        <v>46270</v>
      </c>
      <c r="C448" s="339">
        <v>0</v>
      </c>
      <c r="D448" t="s">
        <v>128</v>
      </c>
      <c r="E448" s="339">
        <v>0.875</v>
      </c>
      <c r="F448">
        <v>2</v>
      </c>
      <c r="G448" t="s">
        <v>335</v>
      </c>
      <c r="H448" t="s">
        <v>163</v>
      </c>
      <c r="I448" t="s">
        <v>165</v>
      </c>
      <c r="J448" t="s">
        <v>165</v>
      </c>
      <c r="K448" t="s">
        <v>165</v>
      </c>
      <c r="L448" t="s">
        <v>163</v>
      </c>
      <c r="M448" t="s">
        <v>161</v>
      </c>
      <c r="N448">
        <v>10.19</v>
      </c>
      <c r="O448" t="s">
        <v>163</v>
      </c>
      <c r="P448" t="s">
        <v>163</v>
      </c>
      <c r="Q448" t="s">
        <v>163</v>
      </c>
      <c r="R448" t="s">
        <v>163</v>
      </c>
      <c r="S448" t="s">
        <v>163</v>
      </c>
      <c r="T448" t="s">
        <v>163</v>
      </c>
      <c r="U448" t="s">
        <v>163</v>
      </c>
      <c r="V448" t="s">
        <v>163</v>
      </c>
      <c r="W448" t="s">
        <v>165</v>
      </c>
      <c r="X448" t="s">
        <v>165</v>
      </c>
      <c r="Y448" t="s">
        <v>163</v>
      </c>
      <c r="Z448" t="s">
        <v>163</v>
      </c>
      <c r="AA448">
        <v>1</v>
      </c>
      <c r="AB448">
        <v>2</v>
      </c>
      <c r="AC448">
        <v>0</v>
      </c>
      <c r="AD448" t="s">
        <v>163</v>
      </c>
      <c r="AE448" t="s">
        <v>163</v>
      </c>
      <c r="AF448" t="s">
        <v>163</v>
      </c>
      <c r="AG448" t="s">
        <v>163</v>
      </c>
      <c r="AH448" t="s">
        <v>163</v>
      </c>
      <c r="AI448" t="s">
        <v>163</v>
      </c>
      <c r="AJ448" t="s">
        <v>163</v>
      </c>
      <c r="AK448">
        <v>3</v>
      </c>
      <c r="AL448">
        <v>4</v>
      </c>
      <c r="AM448" t="s">
        <v>163</v>
      </c>
      <c r="AN448">
        <v>1</v>
      </c>
      <c r="AO448">
        <v>1</v>
      </c>
      <c r="AP448">
        <v>2</v>
      </c>
      <c r="AQ448">
        <v>2</v>
      </c>
      <c r="AR448">
        <v>5</v>
      </c>
      <c r="AS448">
        <v>6</v>
      </c>
    </row>
    <row r="449" spans="1:45" x14ac:dyDescent="0.35">
      <c r="A449" s="337">
        <v>46266</v>
      </c>
      <c r="B449" s="337">
        <v>46270</v>
      </c>
      <c r="C449" s="339">
        <v>0</v>
      </c>
      <c r="D449" t="s">
        <v>128</v>
      </c>
      <c r="E449" s="339">
        <v>0.83333333333333337</v>
      </c>
      <c r="F449">
        <v>2</v>
      </c>
      <c r="G449" t="s">
        <v>335</v>
      </c>
      <c r="H449" t="s">
        <v>163</v>
      </c>
      <c r="I449" t="s">
        <v>165</v>
      </c>
      <c r="J449" t="s">
        <v>165</v>
      </c>
      <c r="K449" t="s">
        <v>165</v>
      </c>
      <c r="L449" t="s">
        <v>163</v>
      </c>
      <c r="M449" t="s">
        <v>161</v>
      </c>
      <c r="N449">
        <v>10.09</v>
      </c>
      <c r="O449" t="s">
        <v>163</v>
      </c>
      <c r="P449" t="s">
        <v>163</v>
      </c>
      <c r="Q449" t="s">
        <v>163</v>
      </c>
      <c r="R449" t="s">
        <v>163</v>
      </c>
      <c r="S449" t="s">
        <v>163</v>
      </c>
      <c r="T449" t="s">
        <v>163</v>
      </c>
      <c r="U449" t="s">
        <v>163</v>
      </c>
      <c r="V449" t="s">
        <v>163</v>
      </c>
      <c r="W449" t="s">
        <v>165</v>
      </c>
      <c r="X449" t="s">
        <v>165</v>
      </c>
      <c r="Y449" t="s">
        <v>163</v>
      </c>
      <c r="Z449" t="s">
        <v>163</v>
      </c>
      <c r="AA449">
        <v>1</v>
      </c>
      <c r="AB449">
        <v>2</v>
      </c>
      <c r="AC449">
        <v>0</v>
      </c>
      <c r="AD449" t="s">
        <v>163</v>
      </c>
      <c r="AE449" t="s">
        <v>163</v>
      </c>
      <c r="AF449" t="s">
        <v>163</v>
      </c>
      <c r="AG449" t="s">
        <v>163</v>
      </c>
      <c r="AH449" t="s">
        <v>163</v>
      </c>
      <c r="AI449" t="s">
        <v>163</v>
      </c>
      <c r="AJ449" t="s">
        <v>163</v>
      </c>
      <c r="AK449">
        <v>3</v>
      </c>
      <c r="AL449">
        <v>4</v>
      </c>
      <c r="AM449" t="s">
        <v>163</v>
      </c>
      <c r="AN449">
        <v>1</v>
      </c>
      <c r="AO449">
        <v>1</v>
      </c>
      <c r="AP449">
        <v>2</v>
      </c>
      <c r="AQ449">
        <v>2</v>
      </c>
      <c r="AR449">
        <v>5</v>
      </c>
      <c r="AS449">
        <v>6</v>
      </c>
    </row>
    <row r="450" spans="1:45" x14ac:dyDescent="0.35">
      <c r="A450" s="337">
        <v>46266</v>
      </c>
      <c r="B450" s="337">
        <v>46270</v>
      </c>
      <c r="C450" s="339">
        <v>0</v>
      </c>
      <c r="D450" t="s">
        <v>128</v>
      </c>
      <c r="E450" s="339">
        <v>0.75</v>
      </c>
      <c r="F450">
        <v>2</v>
      </c>
      <c r="G450" t="s">
        <v>335</v>
      </c>
      <c r="H450" t="s">
        <v>163</v>
      </c>
      <c r="I450" t="s">
        <v>165</v>
      </c>
      <c r="J450" t="s">
        <v>165</v>
      </c>
      <c r="K450" t="s">
        <v>165</v>
      </c>
      <c r="L450" t="s">
        <v>163</v>
      </c>
      <c r="M450" t="s">
        <v>161</v>
      </c>
      <c r="N450">
        <v>10.56</v>
      </c>
      <c r="O450">
        <v>9.0500000000000007</v>
      </c>
      <c r="P450" t="s">
        <v>163</v>
      </c>
      <c r="Q450">
        <v>57.5</v>
      </c>
      <c r="R450" t="s">
        <v>163</v>
      </c>
      <c r="S450" t="s">
        <v>163</v>
      </c>
      <c r="T450">
        <v>24.6</v>
      </c>
      <c r="U450" t="s">
        <v>163</v>
      </c>
      <c r="V450" t="s">
        <v>163</v>
      </c>
      <c r="W450" t="s">
        <v>165</v>
      </c>
      <c r="X450" t="s">
        <v>165</v>
      </c>
      <c r="Y450" t="s">
        <v>163</v>
      </c>
      <c r="Z450" t="s">
        <v>163</v>
      </c>
      <c r="AA450">
        <v>1</v>
      </c>
      <c r="AB450">
        <v>2</v>
      </c>
      <c r="AC450">
        <v>0</v>
      </c>
      <c r="AD450">
        <v>0</v>
      </c>
      <c r="AE450" t="s">
        <v>163</v>
      </c>
      <c r="AF450">
        <v>0</v>
      </c>
      <c r="AG450" t="s">
        <v>163</v>
      </c>
      <c r="AH450" t="s">
        <v>163</v>
      </c>
      <c r="AI450">
        <v>0</v>
      </c>
      <c r="AJ450" t="s">
        <v>163</v>
      </c>
      <c r="AK450">
        <v>3</v>
      </c>
      <c r="AL450">
        <v>9</v>
      </c>
      <c r="AM450" t="s">
        <v>163</v>
      </c>
      <c r="AN450">
        <v>1</v>
      </c>
      <c r="AO450">
        <v>1</v>
      </c>
      <c r="AP450">
        <v>2</v>
      </c>
      <c r="AQ450">
        <v>2</v>
      </c>
      <c r="AR450">
        <v>5</v>
      </c>
      <c r="AS450">
        <v>11</v>
      </c>
    </row>
    <row r="451" spans="1:45" x14ac:dyDescent="0.35">
      <c r="A451" s="337">
        <v>46266</v>
      </c>
      <c r="B451" s="337">
        <v>46270</v>
      </c>
      <c r="C451" s="339">
        <v>0</v>
      </c>
      <c r="D451" t="s">
        <v>128</v>
      </c>
      <c r="E451" s="339">
        <v>0.625</v>
      </c>
      <c r="F451">
        <v>2</v>
      </c>
      <c r="G451" t="s">
        <v>92</v>
      </c>
      <c r="H451" t="s">
        <v>163</v>
      </c>
      <c r="I451" t="s">
        <v>165</v>
      </c>
      <c r="J451" t="s">
        <v>165</v>
      </c>
      <c r="K451" t="s">
        <v>165</v>
      </c>
      <c r="L451" t="s">
        <v>163</v>
      </c>
      <c r="M451" t="s">
        <v>161</v>
      </c>
      <c r="N451">
        <v>10.65</v>
      </c>
      <c r="O451" t="s">
        <v>163</v>
      </c>
      <c r="P451" t="s">
        <v>163</v>
      </c>
      <c r="Q451" t="s">
        <v>163</v>
      </c>
      <c r="R451" t="s">
        <v>163</v>
      </c>
      <c r="S451" t="s">
        <v>163</v>
      </c>
      <c r="T451" t="s">
        <v>163</v>
      </c>
      <c r="U451" t="s">
        <v>163</v>
      </c>
      <c r="V451" t="s">
        <v>163</v>
      </c>
      <c r="W451" t="s">
        <v>165</v>
      </c>
      <c r="X451" t="s">
        <v>165</v>
      </c>
      <c r="Y451" t="s">
        <v>163</v>
      </c>
      <c r="Z451" t="s">
        <v>163</v>
      </c>
      <c r="AA451">
        <v>1</v>
      </c>
      <c r="AB451">
        <v>2</v>
      </c>
      <c r="AC451">
        <v>0</v>
      </c>
      <c r="AD451" t="s">
        <v>163</v>
      </c>
      <c r="AE451" t="s">
        <v>163</v>
      </c>
      <c r="AF451" t="s">
        <v>163</v>
      </c>
      <c r="AG451" t="s">
        <v>163</v>
      </c>
      <c r="AH451" t="s">
        <v>163</v>
      </c>
      <c r="AI451" t="s">
        <v>163</v>
      </c>
      <c r="AJ451" t="s">
        <v>163</v>
      </c>
      <c r="AK451">
        <v>3</v>
      </c>
      <c r="AL451">
        <v>4</v>
      </c>
      <c r="AM451" t="s">
        <v>163</v>
      </c>
      <c r="AN451">
        <v>1</v>
      </c>
      <c r="AO451">
        <v>1</v>
      </c>
      <c r="AP451">
        <v>2</v>
      </c>
      <c r="AQ451">
        <v>2</v>
      </c>
      <c r="AR451">
        <v>5</v>
      </c>
      <c r="AS451">
        <v>6</v>
      </c>
    </row>
    <row r="452" spans="1:45" x14ac:dyDescent="0.35">
      <c r="A452" s="337">
        <v>46266</v>
      </c>
      <c r="B452" s="337">
        <v>46270</v>
      </c>
      <c r="C452" s="337">
        <v>816</v>
      </c>
      <c r="D452" t="s">
        <v>128</v>
      </c>
      <c r="E452" s="339">
        <v>0.58333333333333337</v>
      </c>
      <c r="F452">
        <v>2</v>
      </c>
      <c r="G452" t="s">
        <v>92</v>
      </c>
      <c r="H452" t="s">
        <v>163</v>
      </c>
      <c r="I452" t="s">
        <v>165</v>
      </c>
      <c r="J452" t="s">
        <v>165</v>
      </c>
      <c r="K452" t="s">
        <v>165</v>
      </c>
      <c r="L452" t="s">
        <v>163</v>
      </c>
      <c r="M452" t="s">
        <v>161</v>
      </c>
      <c r="N452">
        <v>10.89</v>
      </c>
      <c r="O452" t="s">
        <v>163</v>
      </c>
      <c r="P452" t="s">
        <v>163</v>
      </c>
      <c r="Q452" t="s">
        <v>163</v>
      </c>
      <c r="R452" t="s">
        <v>163</v>
      </c>
      <c r="S452" t="s">
        <v>163</v>
      </c>
      <c r="T452" t="s">
        <v>163</v>
      </c>
      <c r="U452" t="s">
        <v>163</v>
      </c>
      <c r="V452" t="s">
        <v>163</v>
      </c>
      <c r="W452" t="s">
        <v>165</v>
      </c>
      <c r="X452" t="s">
        <v>165</v>
      </c>
      <c r="Y452" t="s">
        <v>163</v>
      </c>
      <c r="Z452" t="s">
        <v>163</v>
      </c>
      <c r="AA452">
        <v>1</v>
      </c>
      <c r="AB452">
        <v>2</v>
      </c>
      <c r="AC452">
        <v>0</v>
      </c>
      <c r="AD452" t="s">
        <v>163</v>
      </c>
      <c r="AE452" t="s">
        <v>163</v>
      </c>
      <c r="AF452" t="s">
        <v>163</v>
      </c>
      <c r="AG452" t="s">
        <v>163</v>
      </c>
      <c r="AH452" t="s">
        <v>163</v>
      </c>
      <c r="AI452" t="s">
        <v>163</v>
      </c>
      <c r="AJ452" t="s">
        <v>163</v>
      </c>
      <c r="AK452">
        <v>3</v>
      </c>
      <c r="AL452">
        <v>4</v>
      </c>
      <c r="AM452" t="s">
        <v>163</v>
      </c>
      <c r="AN452">
        <v>1</v>
      </c>
      <c r="AO452">
        <v>1</v>
      </c>
      <c r="AP452">
        <v>2</v>
      </c>
      <c r="AQ452">
        <v>2</v>
      </c>
      <c r="AR452">
        <v>5</v>
      </c>
      <c r="AS452">
        <v>6</v>
      </c>
    </row>
    <row r="453" spans="1:45" x14ac:dyDescent="0.35">
      <c r="A453" s="337">
        <v>46266</v>
      </c>
      <c r="B453" s="337">
        <v>46270</v>
      </c>
      <c r="C453" s="337">
        <v>46252</v>
      </c>
      <c r="D453" t="s">
        <v>125</v>
      </c>
      <c r="E453" t="s">
        <v>328</v>
      </c>
      <c r="F453" t="s">
        <v>383</v>
      </c>
      <c r="G453" t="s">
        <v>104</v>
      </c>
      <c r="H453" t="s">
        <v>163</v>
      </c>
      <c r="I453" t="s">
        <v>165</v>
      </c>
      <c r="J453" t="s">
        <v>165</v>
      </c>
      <c r="K453" t="s">
        <v>165</v>
      </c>
      <c r="L453" t="s">
        <v>161</v>
      </c>
      <c r="M453" t="s">
        <v>161</v>
      </c>
      <c r="N453">
        <v>12.48</v>
      </c>
      <c r="O453" t="s">
        <v>163</v>
      </c>
      <c r="P453" t="s">
        <v>163</v>
      </c>
      <c r="Q453" t="s">
        <v>163</v>
      </c>
      <c r="R453" t="s">
        <v>163</v>
      </c>
      <c r="S453" t="s">
        <v>163</v>
      </c>
      <c r="T453" t="s">
        <v>163</v>
      </c>
      <c r="U453" t="s">
        <v>163</v>
      </c>
      <c r="V453" t="s">
        <v>163</v>
      </c>
      <c r="W453" t="s">
        <v>163</v>
      </c>
      <c r="X453" t="s">
        <v>163</v>
      </c>
      <c r="Y453" t="s">
        <v>163</v>
      </c>
      <c r="Z453" t="s">
        <v>163</v>
      </c>
      <c r="AA453">
        <v>1</v>
      </c>
      <c r="AB453">
        <v>2</v>
      </c>
      <c r="AC453">
        <v>1</v>
      </c>
      <c r="AD453" t="s">
        <v>163</v>
      </c>
      <c r="AE453" t="s">
        <v>163</v>
      </c>
      <c r="AF453" t="s">
        <v>163</v>
      </c>
      <c r="AG453" t="s">
        <v>163</v>
      </c>
      <c r="AH453" t="s">
        <v>163</v>
      </c>
      <c r="AI453" t="s">
        <v>163</v>
      </c>
      <c r="AJ453" t="s">
        <v>163</v>
      </c>
      <c r="AK453">
        <v>4</v>
      </c>
      <c r="AL453">
        <v>4</v>
      </c>
      <c r="AM453" t="s">
        <v>163</v>
      </c>
      <c r="AN453" t="s">
        <v>163</v>
      </c>
      <c r="AO453" t="s">
        <v>163</v>
      </c>
      <c r="AP453">
        <v>0</v>
      </c>
      <c r="AQ453">
        <v>0</v>
      </c>
      <c r="AR453">
        <v>4</v>
      </c>
      <c r="AS453">
        <v>4</v>
      </c>
    </row>
    <row r="454" spans="1:45" x14ac:dyDescent="0.35">
      <c r="A454" s="337">
        <v>46266</v>
      </c>
      <c r="B454" s="337">
        <v>46270</v>
      </c>
      <c r="C454" s="337">
        <v>46252</v>
      </c>
      <c r="D454" t="s">
        <v>125</v>
      </c>
      <c r="E454" t="s">
        <v>327</v>
      </c>
      <c r="F454" t="s">
        <v>383</v>
      </c>
      <c r="G454" t="s">
        <v>104</v>
      </c>
      <c r="H454" t="s">
        <v>163</v>
      </c>
      <c r="I454" t="s">
        <v>165</v>
      </c>
      <c r="J454" t="s">
        <v>165</v>
      </c>
      <c r="K454" t="s">
        <v>165</v>
      </c>
      <c r="L454" t="s">
        <v>161</v>
      </c>
      <c r="M454" t="s">
        <v>161</v>
      </c>
      <c r="N454">
        <v>12.45</v>
      </c>
      <c r="O454" t="s">
        <v>163</v>
      </c>
      <c r="P454" t="s">
        <v>163</v>
      </c>
      <c r="Q454" t="s">
        <v>163</v>
      </c>
      <c r="R454" t="s">
        <v>163</v>
      </c>
      <c r="S454" t="s">
        <v>163</v>
      </c>
      <c r="T454" t="s">
        <v>163</v>
      </c>
      <c r="U454" t="s">
        <v>163</v>
      </c>
      <c r="V454" t="s">
        <v>163</v>
      </c>
      <c r="W454" t="s">
        <v>163</v>
      </c>
      <c r="X454" t="s">
        <v>163</v>
      </c>
      <c r="Y454" t="s">
        <v>163</v>
      </c>
      <c r="Z454" t="s">
        <v>163</v>
      </c>
      <c r="AA454">
        <v>1</v>
      </c>
      <c r="AB454">
        <v>2</v>
      </c>
      <c r="AC454">
        <v>1</v>
      </c>
      <c r="AD454" t="s">
        <v>163</v>
      </c>
      <c r="AE454" t="s">
        <v>163</v>
      </c>
      <c r="AF454" t="s">
        <v>163</v>
      </c>
      <c r="AG454" t="s">
        <v>163</v>
      </c>
      <c r="AH454" t="s">
        <v>163</v>
      </c>
      <c r="AI454" t="s">
        <v>163</v>
      </c>
      <c r="AJ454" t="s">
        <v>163</v>
      </c>
      <c r="AK454">
        <v>4</v>
      </c>
      <c r="AL454">
        <v>4</v>
      </c>
      <c r="AM454" t="s">
        <v>163</v>
      </c>
      <c r="AN454" t="s">
        <v>163</v>
      </c>
      <c r="AO454" t="s">
        <v>163</v>
      </c>
      <c r="AP454">
        <v>0</v>
      </c>
      <c r="AQ454">
        <v>0</v>
      </c>
      <c r="AR454">
        <v>4</v>
      </c>
      <c r="AS454">
        <v>4</v>
      </c>
    </row>
    <row r="455" spans="1:45" x14ac:dyDescent="0.35">
      <c r="A455" s="337">
        <v>46266</v>
      </c>
      <c r="B455" s="337">
        <v>46270</v>
      </c>
      <c r="C455" s="337">
        <v>46252</v>
      </c>
      <c r="D455" t="s">
        <v>125</v>
      </c>
      <c r="E455" t="s">
        <v>273</v>
      </c>
      <c r="F455" t="s">
        <v>383</v>
      </c>
      <c r="G455" t="s">
        <v>104</v>
      </c>
      <c r="H455" t="s">
        <v>163</v>
      </c>
      <c r="I455" t="s">
        <v>165</v>
      </c>
      <c r="J455" t="s">
        <v>165</v>
      </c>
      <c r="K455" t="s">
        <v>165</v>
      </c>
      <c r="L455" t="s">
        <v>161</v>
      </c>
      <c r="M455" t="s">
        <v>161</v>
      </c>
      <c r="N455">
        <v>12.24</v>
      </c>
      <c r="O455">
        <v>14.13</v>
      </c>
      <c r="P455">
        <v>1.07</v>
      </c>
      <c r="Q455">
        <v>65.8</v>
      </c>
      <c r="R455" t="s">
        <v>163</v>
      </c>
      <c r="S455" t="s">
        <v>163</v>
      </c>
      <c r="T455">
        <v>65.8</v>
      </c>
      <c r="U455" t="s">
        <v>163</v>
      </c>
      <c r="V455" t="s">
        <v>163</v>
      </c>
      <c r="W455" t="s">
        <v>163</v>
      </c>
      <c r="X455" t="s">
        <v>163</v>
      </c>
      <c r="Y455" t="s">
        <v>163</v>
      </c>
      <c r="Z455" t="s">
        <v>163</v>
      </c>
      <c r="AA455">
        <v>1</v>
      </c>
      <c r="AB455">
        <v>2</v>
      </c>
      <c r="AC455">
        <v>1</v>
      </c>
      <c r="AD455">
        <v>1</v>
      </c>
      <c r="AE455">
        <v>2</v>
      </c>
      <c r="AF455">
        <v>2</v>
      </c>
      <c r="AG455" t="s">
        <v>163</v>
      </c>
      <c r="AH455" t="s">
        <v>163</v>
      </c>
      <c r="AI455">
        <v>2</v>
      </c>
      <c r="AJ455" t="s">
        <v>163</v>
      </c>
      <c r="AK455">
        <v>11</v>
      </c>
      <c r="AL455">
        <v>11</v>
      </c>
      <c r="AM455" t="s">
        <v>163</v>
      </c>
      <c r="AN455" t="s">
        <v>163</v>
      </c>
      <c r="AO455" t="s">
        <v>163</v>
      </c>
      <c r="AP455">
        <v>0</v>
      </c>
      <c r="AQ455">
        <v>0</v>
      </c>
      <c r="AR455">
        <v>11</v>
      </c>
      <c r="AS455">
        <v>11</v>
      </c>
    </row>
    <row r="456" spans="1:45" x14ac:dyDescent="0.35">
      <c r="A456" s="337">
        <v>46266</v>
      </c>
      <c r="B456" s="337">
        <v>46270</v>
      </c>
      <c r="C456" s="337">
        <v>46260</v>
      </c>
      <c r="D456" t="s">
        <v>125</v>
      </c>
      <c r="E456" t="s">
        <v>238</v>
      </c>
      <c r="F456">
        <v>3</v>
      </c>
      <c r="G456" t="s">
        <v>36</v>
      </c>
      <c r="H456">
        <v>0.02</v>
      </c>
      <c r="I456" t="s">
        <v>165</v>
      </c>
      <c r="J456" t="s">
        <v>165</v>
      </c>
      <c r="K456" t="s">
        <v>165</v>
      </c>
      <c r="L456" t="s">
        <v>161</v>
      </c>
      <c r="M456" t="s">
        <v>161</v>
      </c>
      <c r="N456">
        <v>12.29</v>
      </c>
      <c r="O456">
        <v>12.64</v>
      </c>
      <c r="P456">
        <v>0.61</v>
      </c>
      <c r="Q456">
        <v>64.900000000000006</v>
      </c>
      <c r="R456" t="s">
        <v>163</v>
      </c>
      <c r="S456" t="s">
        <v>163</v>
      </c>
      <c r="T456">
        <v>35.5</v>
      </c>
      <c r="U456" t="s">
        <v>163</v>
      </c>
      <c r="V456" t="s">
        <v>163</v>
      </c>
      <c r="W456" t="s">
        <v>163</v>
      </c>
      <c r="X456" t="s">
        <v>163</v>
      </c>
      <c r="Y456" t="s">
        <v>422</v>
      </c>
      <c r="Z456">
        <v>2</v>
      </c>
      <c r="AA456">
        <v>1</v>
      </c>
      <c r="AB456">
        <v>2</v>
      </c>
      <c r="AC456">
        <v>1</v>
      </c>
      <c r="AD456">
        <v>1</v>
      </c>
      <c r="AE456">
        <v>0</v>
      </c>
      <c r="AF456">
        <v>2</v>
      </c>
      <c r="AG456" t="s">
        <v>163</v>
      </c>
      <c r="AH456" t="s">
        <v>163</v>
      </c>
      <c r="AI456">
        <v>2</v>
      </c>
      <c r="AJ456" t="s">
        <v>163</v>
      </c>
      <c r="AK456">
        <v>11</v>
      </c>
      <c r="AL456">
        <v>13</v>
      </c>
      <c r="AM456" t="s">
        <v>163</v>
      </c>
      <c r="AN456" t="s">
        <v>163</v>
      </c>
      <c r="AO456" t="s">
        <v>163</v>
      </c>
      <c r="AP456">
        <v>0</v>
      </c>
      <c r="AQ456">
        <v>0</v>
      </c>
      <c r="AR456">
        <v>11</v>
      </c>
      <c r="AS456">
        <v>13</v>
      </c>
    </row>
    <row r="457" spans="1:45" x14ac:dyDescent="0.35">
      <c r="A457" s="337">
        <v>46266</v>
      </c>
      <c r="B457" s="337">
        <v>46270</v>
      </c>
      <c r="C457" s="337">
        <v>46260</v>
      </c>
      <c r="D457" t="s">
        <v>125</v>
      </c>
      <c r="E457" t="s">
        <v>328</v>
      </c>
      <c r="F457">
        <v>3</v>
      </c>
      <c r="G457" t="s">
        <v>175</v>
      </c>
      <c r="H457">
        <v>0.01</v>
      </c>
      <c r="I457" t="s">
        <v>165</v>
      </c>
      <c r="J457" t="s">
        <v>165</v>
      </c>
      <c r="K457" t="s">
        <v>165</v>
      </c>
      <c r="L457" t="s">
        <v>161</v>
      </c>
      <c r="M457" t="s">
        <v>161</v>
      </c>
      <c r="N457">
        <v>12.32</v>
      </c>
      <c r="O457" t="s">
        <v>163</v>
      </c>
      <c r="P457" t="s">
        <v>163</v>
      </c>
      <c r="Q457" t="s">
        <v>163</v>
      </c>
      <c r="R457" t="s">
        <v>163</v>
      </c>
      <c r="S457" t="s">
        <v>163</v>
      </c>
      <c r="T457" t="s">
        <v>163</v>
      </c>
      <c r="U457" t="s">
        <v>163</v>
      </c>
      <c r="V457" t="s">
        <v>163</v>
      </c>
      <c r="W457" t="s">
        <v>163</v>
      </c>
      <c r="X457" t="s">
        <v>163</v>
      </c>
      <c r="Y457" t="s">
        <v>422</v>
      </c>
      <c r="Z457">
        <v>2</v>
      </c>
      <c r="AA457">
        <v>1</v>
      </c>
      <c r="AB457">
        <v>2</v>
      </c>
      <c r="AC457">
        <v>1</v>
      </c>
      <c r="AD457" t="s">
        <v>163</v>
      </c>
      <c r="AE457" t="s">
        <v>163</v>
      </c>
      <c r="AF457" t="s">
        <v>163</v>
      </c>
      <c r="AG457" t="s">
        <v>163</v>
      </c>
      <c r="AH457" t="s">
        <v>163</v>
      </c>
      <c r="AI457" t="s">
        <v>163</v>
      </c>
      <c r="AJ457" t="s">
        <v>163</v>
      </c>
      <c r="AK457">
        <v>6</v>
      </c>
      <c r="AL457">
        <v>6</v>
      </c>
      <c r="AM457" t="s">
        <v>163</v>
      </c>
      <c r="AN457" t="s">
        <v>163</v>
      </c>
      <c r="AO457" t="s">
        <v>163</v>
      </c>
      <c r="AP457">
        <v>0</v>
      </c>
      <c r="AQ457">
        <v>0</v>
      </c>
      <c r="AR457">
        <v>6</v>
      </c>
      <c r="AS457">
        <v>6</v>
      </c>
    </row>
    <row r="458" spans="1:45" x14ac:dyDescent="0.35">
      <c r="A458" s="337">
        <v>46266</v>
      </c>
      <c r="B458" s="337">
        <v>46270</v>
      </c>
      <c r="C458" s="337">
        <v>46260</v>
      </c>
      <c r="D458" t="s">
        <v>125</v>
      </c>
      <c r="E458" t="s">
        <v>237</v>
      </c>
      <c r="F458">
        <v>3</v>
      </c>
      <c r="G458" t="s">
        <v>175</v>
      </c>
      <c r="H458">
        <v>0.01</v>
      </c>
      <c r="I458" t="s">
        <v>165</v>
      </c>
      <c r="J458" t="s">
        <v>165</v>
      </c>
      <c r="K458" t="s">
        <v>165</v>
      </c>
      <c r="L458" t="s">
        <v>161</v>
      </c>
      <c r="M458" t="s">
        <v>161</v>
      </c>
      <c r="N458" t="s">
        <v>163</v>
      </c>
      <c r="O458">
        <v>12.64</v>
      </c>
      <c r="P458">
        <v>0.61</v>
      </c>
      <c r="Q458">
        <v>64.900000000000006</v>
      </c>
      <c r="R458" t="s">
        <v>163</v>
      </c>
      <c r="S458" t="s">
        <v>163</v>
      </c>
      <c r="T458">
        <v>35.5</v>
      </c>
      <c r="U458" t="s">
        <v>163</v>
      </c>
      <c r="V458" t="s">
        <v>163</v>
      </c>
      <c r="W458" t="s">
        <v>163</v>
      </c>
      <c r="X458" t="s">
        <v>163</v>
      </c>
      <c r="Y458" t="s">
        <v>422</v>
      </c>
      <c r="Z458">
        <v>2</v>
      </c>
      <c r="AA458">
        <v>1</v>
      </c>
      <c r="AB458">
        <v>2</v>
      </c>
      <c r="AC458" t="s">
        <v>163</v>
      </c>
      <c r="AD458">
        <v>1</v>
      </c>
      <c r="AE458">
        <v>0</v>
      </c>
      <c r="AF458">
        <v>2</v>
      </c>
      <c r="AG458" t="s">
        <v>163</v>
      </c>
      <c r="AH458" t="s">
        <v>163</v>
      </c>
      <c r="AI458">
        <v>2</v>
      </c>
      <c r="AJ458" t="s">
        <v>163</v>
      </c>
      <c r="AK458">
        <v>10</v>
      </c>
      <c r="AL458">
        <v>12</v>
      </c>
      <c r="AM458" t="s">
        <v>163</v>
      </c>
      <c r="AN458" t="s">
        <v>163</v>
      </c>
      <c r="AO458" t="s">
        <v>163</v>
      </c>
      <c r="AP458">
        <v>0</v>
      </c>
      <c r="AQ458">
        <v>0</v>
      </c>
      <c r="AR458">
        <v>10</v>
      </c>
      <c r="AS458">
        <v>12</v>
      </c>
    </row>
    <row r="459" spans="1:45" x14ac:dyDescent="0.35">
      <c r="A459" s="337">
        <v>46266</v>
      </c>
      <c r="B459" s="337">
        <v>46270</v>
      </c>
      <c r="C459" s="337">
        <v>46260</v>
      </c>
      <c r="D459" t="s">
        <v>125</v>
      </c>
      <c r="E459" t="s">
        <v>273</v>
      </c>
      <c r="F459">
        <v>3</v>
      </c>
      <c r="G459" t="s">
        <v>119</v>
      </c>
      <c r="H459">
        <v>0.02</v>
      </c>
      <c r="I459" t="s">
        <v>165</v>
      </c>
      <c r="J459" t="s">
        <v>165</v>
      </c>
      <c r="K459" t="s">
        <v>165</v>
      </c>
      <c r="L459" t="s">
        <v>161</v>
      </c>
      <c r="M459" t="s">
        <v>161</v>
      </c>
      <c r="N459">
        <v>12.04</v>
      </c>
      <c r="O459" t="s">
        <v>163</v>
      </c>
      <c r="P459" t="s">
        <v>163</v>
      </c>
      <c r="Q459" t="s">
        <v>163</v>
      </c>
      <c r="R459" t="s">
        <v>163</v>
      </c>
      <c r="S459" t="s">
        <v>163</v>
      </c>
      <c r="T459" t="s">
        <v>163</v>
      </c>
      <c r="U459" t="s">
        <v>163</v>
      </c>
      <c r="V459" t="s">
        <v>163</v>
      </c>
      <c r="W459" t="s">
        <v>163</v>
      </c>
      <c r="X459" t="s">
        <v>163</v>
      </c>
      <c r="Y459" t="s">
        <v>419</v>
      </c>
      <c r="Z459">
        <v>2</v>
      </c>
      <c r="AA459">
        <v>1</v>
      </c>
      <c r="AB459">
        <v>2</v>
      </c>
      <c r="AC459">
        <v>1</v>
      </c>
      <c r="AD459" t="s">
        <v>163</v>
      </c>
      <c r="AE459" t="s">
        <v>163</v>
      </c>
      <c r="AF459" t="s">
        <v>163</v>
      </c>
      <c r="AG459" t="s">
        <v>163</v>
      </c>
      <c r="AH459" t="s">
        <v>163</v>
      </c>
      <c r="AI459" t="s">
        <v>163</v>
      </c>
      <c r="AJ459" t="s">
        <v>163</v>
      </c>
      <c r="AK459">
        <v>6</v>
      </c>
      <c r="AL459">
        <v>6</v>
      </c>
      <c r="AM459" t="s">
        <v>163</v>
      </c>
      <c r="AN459" t="s">
        <v>163</v>
      </c>
      <c r="AO459" t="s">
        <v>163</v>
      </c>
      <c r="AP459">
        <v>0</v>
      </c>
      <c r="AQ459">
        <v>0</v>
      </c>
      <c r="AR459">
        <v>6</v>
      </c>
      <c r="AS459">
        <v>6</v>
      </c>
    </row>
    <row r="460" spans="1:45" x14ac:dyDescent="0.35">
      <c r="A460" s="337">
        <v>46266</v>
      </c>
      <c r="B460" s="337">
        <v>46270</v>
      </c>
      <c r="C460" s="337">
        <v>46260</v>
      </c>
      <c r="D460" t="s">
        <v>125</v>
      </c>
      <c r="E460" t="s">
        <v>239</v>
      </c>
      <c r="F460">
        <v>3</v>
      </c>
      <c r="G460" t="s">
        <v>119</v>
      </c>
      <c r="H460">
        <v>0.02</v>
      </c>
      <c r="I460" t="s">
        <v>165</v>
      </c>
      <c r="J460" t="s">
        <v>165</v>
      </c>
      <c r="K460" t="s">
        <v>165</v>
      </c>
      <c r="L460" t="s">
        <v>161</v>
      </c>
      <c r="M460" t="s">
        <v>161</v>
      </c>
      <c r="N460">
        <v>12.26</v>
      </c>
      <c r="O460" t="s">
        <v>163</v>
      </c>
      <c r="P460" t="s">
        <v>163</v>
      </c>
      <c r="Q460" t="s">
        <v>163</v>
      </c>
      <c r="R460" t="s">
        <v>163</v>
      </c>
      <c r="S460" t="s">
        <v>163</v>
      </c>
      <c r="T460" t="s">
        <v>163</v>
      </c>
      <c r="U460" t="s">
        <v>163</v>
      </c>
      <c r="V460" t="s">
        <v>163</v>
      </c>
      <c r="W460" t="s">
        <v>163</v>
      </c>
      <c r="X460" t="s">
        <v>163</v>
      </c>
      <c r="Y460" t="s">
        <v>419</v>
      </c>
      <c r="Z460">
        <v>2</v>
      </c>
      <c r="AA460">
        <v>1</v>
      </c>
      <c r="AB460">
        <v>2</v>
      </c>
      <c r="AC460">
        <v>1</v>
      </c>
      <c r="AD460" t="s">
        <v>163</v>
      </c>
      <c r="AE460" t="s">
        <v>163</v>
      </c>
      <c r="AF460" t="s">
        <v>163</v>
      </c>
      <c r="AG460" t="s">
        <v>163</v>
      </c>
      <c r="AH460" t="s">
        <v>163</v>
      </c>
      <c r="AI460" t="s">
        <v>163</v>
      </c>
      <c r="AJ460" t="s">
        <v>163</v>
      </c>
      <c r="AK460">
        <v>6</v>
      </c>
      <c r="AL460">
        <v>6</v>
      </c>
      <c r="AM460" t="s">
        <v>163</v>
      </c>
      <c r="AN460" t="s">
        <v>163</v>
      </c>
      <c r="AO460" t="s">
        <v>163</v>
      </c>
      <c r="AP460">
        <v>0</v>
      </c>
      <c r="AQ460">
        <v>0</v>
      </c>
      <c r="AR460">
        <v>6</v>
      </c>
      <c r="AS460">
        <v>6</v>
      </c>
    </row>
    <row r="461" spans="1:45" x14ac:dyDescent="0.35">
      <c r="A461" s="337">
        <v>46266</v>
      </c>
      <c r="B461" s="337">
        <v>46270</v>
      </c>
      <c r="C461" s="337">
        <v>46260</v>
      </c>
      <c r="D461" t="s">
        <v>125</v>
      </c>
      <c r="E461" t="s">
        <v>326</v>
      </c>
      <c r="F461">
        <v>3</v>
      </c>
      <c r="G461" t="s">
        <v>119</v>
      </c>
      <c r="H461">
        <v>0.01</v>
      </c>
      <c r="I461" t="s">
        <v>165</v>
      </c>
      <c r="J461" t="s">
        <v>165</v>
      </c>
      <c r="K461" t="s">
        <v>165</v>
      </c>
      <c r="L461" t="s">
        <v>161</v>
      </c>
      <c r="M461" t="s">
        <v>161</v>
      </c>
      <c r="N461">
        <v>12.3</v>
      </c>
      <c r="O461">
        <v>12.93</v>
      </c>
      <c r="P461">
        <v>0.59</v>
      </c>
      <c r="Q461">
        <v>64.900000000000006</v>
      </c>
      <c r="R461" t="s">
        <v>163</v>
      </c>
      <c r="S461" t="s">
        <v>163</v>
      </c>
      <c r="T461">
        <v>36.200000000000003</v>
      </c>
      <c r="U461" t="s">
        <v>163</v>
      </c>
      <c r="V461" t="s">
        <v>163</v>
      </c>
      <c r="W461" t="s">
        <v>163</v>
      </c>
      <c r="X461" t="s">
        <v>163</v>
      </c>
      <c r="Y461" t="s">
        <v>419</v>
      </c>
      <c r="Z461">
        <v>2</v>
      </c>
      <c r="AA461">
        <v>1</v>
      </c>
      <c r="AB461">
        <v>2</v>
      </c>
      <c r="AC461">
        <v>1</v>
      </c>
      <c r="AD461">
        <v>1</v>
      </c>
      <c r="AE461">
        <v>2</v>
      </c>
      <c r="AF461">
        <v>2</v>
      </c>
      <c r="AG461" t="s">
        <v>163</v>
      </c>
      <c r="AH461" t="s">
        <v>163</v>
      </c>
      <c r="AI461">
        <v>2</v>
      </c>
      <c r="AJ461" t="s">
        <v>163</v>
      </c>
      <c r="AK461">
        <v>13</v>
      </c>
      <c r="AL461">
        <v>13</v>
      </c>
      <c r="AM461" t="s">
        <v>163</v>
      </c>
      <c r="AN461" t="s">
        <v>163</v>
      </c>
      <c r="AO461" t="s">
        <v>163</v>
      </c>
      <c r="AP461">
        <v>0</v>
      </c>
      <c r="AQ461">
        <v>0</v>
      </c>
      <c r="AR461">
        <v>13</v>
      </c>
      <c r="AS461">
        <v>13</v>
      </c>
    </row>
    <row r="462" spans="1:45" x14ac:dyDescent="0.35">
      <c r="A462" s="337">
        <v>46266</v>
      </c>
      <c r="B462" s="337">
        <v>46270</v>
      </c>
      <c r="C462" s="337">
        <v>816</v>
      </c>
      <c r="D462" t="s">
        <v>125</v>
      </c>
      <c r="E462" t="s">
        <v>238</v>
      </c>
      <c r="F462">
        <v>2</v>
      </c>
      <c r="G462" t="s">
        <v>92</v>
      </c>
      <c r="H462" t="s">
        <v>163</v>
      </c>
      <c r="I462" t="s">
        <v>165</v>
      </c>
      <c r="J462" t="s">
        <v>165</v>
      </c>
      <c r="K462" t="s">
        <v>165</v>
      </c>
      <c r="L462" t="s">
        <v>163</v>
      </c>
      <c r="M462" t="s">
        <v>161</v>
      </c>
      <c r="N462">
        <v>10.64</v>
      </c>
      <c r="O462" t="s">
        <v>163</v>
      </c>
      <c r="P462" t="s">
        <v>163</v>
      </c>
      <c r="Q462" t="s">
        <v>163</v>
      </c>
      <c r="R462" t="s">
        <v>163</v>
      </c>
      <c r="S462" t="s">
        <v>163</v>
      </c>
      <c r="T462" t="s">
        <v>163</v>
      </c>
      <c r="U462" t="s">
        <v>163</v>
      </c>
      <c r="V462" t="s">
        <v>163</v>
      </c>
      <c r="W462" t="s">
        <v>163</v>
      </c>
      <c r="X462" t="s">
        <v>163</v>
      </c>
      <c r="Y462" t="s">
        <v>163</v>
      </c>
      <c r="Z462" t="s">
        <v>163</v>
      </c>
      <c r="AA462">
        <v>1</v>
      </c>
      <c r="AB462">
        <v>2</v>
      </c>
      <c r="AC462">
        <v>0</v>
      </c>
      <c r="AD462" t="s">
        <v>163</v>
      </c>
      <c r="AE462" t="s">
        <v>163</v>
      </c>
      <c r="AF462" t="s">
        <v>163</v>
      </c>
      <c r="AG462" t="s">
        <v>163</v>
      </c>
      <c r="AH462" t="s">
        <v>163</v>
      </c>
      <c r="AI462" t="s">
        <v>163</v>
      </c>
      <c r="AJ462" t="s">
        <v>163</v>
      </c>
      <c r="AK462">
        <v>3</v>
      </c>
      <c r="AL462">
        <v>4</v>
      </c>
      <c r="AM462" t="s">
        <v>163</v>
      </c>
      <c r="AN462" t="s">
        <v>163</v>
      </c>
      <c r="AO462" t="s">
        <v>163</v>
      </c>
      <c r="AP462">
        <v>0</v>
      </c>
      <c r="AQ462">
        <v>0</v>
      </c>
      <c r="AR462">
        <v>3</v>
      </c>
      <c r="AS462">
        <v>4</v>
      </c>
    </row>
    <row r="463" spans="1:45" x14ac:dyDescent="0.35">
      <c r="A463" s="337">
        <v>46266</v>
      </c>
      <c r="B463" s="337">
        <v>46270</v>
      </c>
      <c r="C463" s="337">
        <v>816</v>
      </c>
      <c r="D463" t="s">
        <v>125</v>
      </c>
      <c r="E463" t="s">
        <v>328</v>
      </c>
      <c r="F463">
        <v>2</v>
      </c>
      <c r="G463" t="s">
        <v>92</v>
      </c>
      <c r="H463" t="s">
        <v>163</v>
      </c>
      <c r="I463" t="s">
        <v>165</v>
      </c>
      <c r="J463" t="s">
        <v>165</v>
      </c>
      <c r="K463" t="s">
        <v>165</v>
      </c>
      <c r="L463" t="s">
        <v>163</v>
      </c>
      <c r="M463" t="s">
        <v>161</v>
      </c>
      <c r="N463">
        <v>10.81</v>
      </c>
      <c r="O463" t="s">
        <v>163</v>
      </c>
      <c r="P463" t="s">
        <v>163</v>
      </c>
      <c r="Q463" t="s">
        <v>163</v>
      </c>
      <c r="R463" t="s">
        <v>163</v>
      </c>
      <c r="S463" t="s">
        <v>163</v>
      </c>
      <c r="T463" t="s">
        <v>163</v>
      </c>
      <c r="U463" t="s">
        <v>163</v>
      </c>
      <c r="V463" t="s">
        <v>163</v>
      </c>
      <c r="W463" t="s">
        <v>163</v>
      </c>
      <c r="X463" t="s">
        <v>163</v>
      </c>
      <c r="Y463">
        <v>1</v>
      </c>
      <c r="Z463" t="s">
        <v>163</v>
      </c>
      <c r="AA463">
        <v>1</v>
      </c>
      <c r="AB463">
        <v>2</v>
      </c>
      <c r="AC463">
        <v>0</v>
      </c>
      <c r="AD463" t="s">
        <v>163</v>
      </c>
      <c r="AE463" t="s">
        <v>163</v>
      </c>
      <c r="AF463" t="s">
        <v>163</v>
      </c>
      <c r="AG463" t="s">
        <v>163</v>
      </c>
      <c r="AH463" t="s">
        <v>163</v>
      </c>
      <c r="AI463" t="s">
        <v>163</v>
      </c>
      <c r="AJ463" t="s">
        <v>163</v>
      </c>
      <c r="AK463">
        <v>3</v>
      </c>
      <c r="AL463">
        <v>4</v>
      </c>
      <c r="AM463" t="s">
        <v>163</v>
      </c>
      <c r="AN463" t="s">
        <v>163</v>
      </c>
      <c r="AO463" t="s">
        <v>163</v>
      </c>
      <c r="AP463">
        <v>0</v>
      </c>
      <c r="AQ463">
        <v>0</v>
      </c>
      <c r="AR463">
        <v>3</v>
      </c>
      <c r="AS463">
        <v>4</v>
      </c>
    </row>
    <row r="464" spans="1:45" x14ac:dyDescent="0.35">
      <c r="A464" s="337">
        <v>46266</v>
      </c>
      <c r="B464" s="337">
        <v>46270</v>
      </c>
      <c r="C464" s="337">
        <v>816</v>
      </c>
      <c r="D464" t="s">
        <v>125</v>
      </c>
      <c r="E464" t="s">
        <v>237</v>
      </c>
      <c r="F464">
        <v>2</v>
      </c>
      <c r="G464" t="s">
        <v>92</v>
      </c>
      <c r="H464">
        <v>0.01</v>
      </c>
      <c r="I464" t="s">
        <v>165</v>
      </c>
      <c r="J464" t="s">
        <v>165</v>
      </c>
      <c r="K464" t="s">
        <v>165</v>
      </c>
      <c r="L464" t="s">
        <v>163</v>
      </c>
      <c r="M464" t="s">
        <v>161</v>
      </c>
      <c r="N464">
        <v>10.78</v>
      </c>
      <c r="O464">
        <v>8.4499999999999993</v>
      </c>
      <c r="P464" t="s">
        <v>163</v>
      </c>
      <c r="Q464">
        <v>55.3</v>
      </c>
      <c r="R464" t="s">
        <v>163</v>
      </c>
      <c r="S464" t="s">
        <v>163</v>
      </c>
      <c r="T464">
        <v>22.7</v>
      </c>
      <c r="U464" t="s">
        <v>163</v>
      </c>
      <c r="V464" t="s">
        <v>163</v>
      </c>
      <c r="W464" t="s">
        <v>163</v>
      </c>
      <c r="X464" t="s">
        <v>163</v>
      </c>
      <c r="Y464">
        <v>1</v>
      </c>
      <c r="Z464">
        <v>2</v>
      </c>
      <c r="AA464">
        <v>1</v>
      </c>
      <c r="AB464">
        <v>2</v>
      </c>
      <c r="AC464">
        <v>0</v>
      </c>
      <c r="AD464">
        <v>1</v>
      </c>
      <c r="AE464" t="s">
        <v>163</v>
      </c>
      <c r="AF464">
        <v>2</v>
      </c>
      <c r="AG464" t="s">
        <v>163</v>
      </c>
      <c r="AH464" t="s">
        <v>163</v>
      </c>
      <c r="AI464">
        <v>2</v>
      </c>
      <c r="AJ464" t="s">
        <v>163</v>
      </c>
      <c r="AK464">
        <v>10</v>
      </c>
      <c r="AL464">
        <v>11</v>
      </c>
      <c r="AM464" t="s">
        <v>163</v>
      </c>
      <c r="AN464" t="s">
        <v>163</v>
      </c>
      <c r="AO464" t="s">
        <v>163</v>
      </c>
      <c r="AP464">
        <v>0</v>
      </c>
      <c r="AQ464">
        <v>0</v>
      </c>
      <c r="AR464">
        <v>10</v>
      </c>
      <c r="AS464">
        <v>11</v>
      </c>
    </row>
    <row r="465" spans="1:45" x14ac:dyDescent="0.35">
      <c r="A465" s="337">
        <v>46266</v>
      </c>
      <c r="B465" s="337">
        <v>46270</v>
      </c>
      <c r="C465" s="337">
        <v>816</v>
      </c>
      <c r="D465" t="s">
        <v>125</v>
      </c>
      <c r="E465" t="s">
        <v>240</v>
      </c>
      <c r="F465">
        <v>2</v>
      </c>
      <c r="G465" t="s">
        <v>335</v>
      </c>
      <c r="H465" t="s">
        <v>163</v>
      </c>
      <c r="I465" t="s">
        <v>165</v>
      </c>
      <c r="J465" t="s">
        <v>165</v>
      </c>
      <c r="K465" t="s">
        <v>165</v>
      </c>
      <c r="L465" t="s">
        <v>163</v>
      </c>
      <c r="M465" t="s">
        <v>161</v>
      </c>
      <c r="N465">
        <v>10.48</v>
      </c>
      <c r="O465" t="s">
        <v>163</v>
      </c>
      <c r="P465" t="s">
        <v>163</v>
      </c>
      <c r="Q465" t="s">
        <v>163</v>
      </c>
      <c r="R465" t="s">
        <v>163</v>
      </c>
      <c r="S465" t="s">
        <v>163</v>
      </c>
      <c r="T465" t="s">
        <v>163</v>
      </c>
      <c r="U465" t="s">
        <v>163</v>
      </c>
      <c r="V465" t="s">
        <v>163</v>
      </c>
      <c r="W465" t="s">
        <v>163</v>
      </c>
      <c r="X465" t="s">
        <v>163</v>
      </c>
      <c r="Y465" t="s">
        <v>163</v>
      </c>
      <c r="Z465" t="s">
        <v>163</v>
      </c>
      <c r="AA465">
        <v>1</v>
      </c>
      <c r="AB465">
        <v>2</v>
      </c>
      <c r="AC465">
        <v>0</v>
      </c>
      <c r="AD465" t="s">
        <v>163</v>
      </c>
      <c r="AE465" t="s">
        <v>163</v>
      </c>
      <c r="AF465" t="s">
        <v>163</v>
      </c>
      <c r="AG465" t="s">
        <v>163</v>
      </c>
      <c r="AH465" t="s">
        <v>163</v>
      </c>
      <c r="AI465" t="s">
        <v>163</v>
      </c>
      <c r="AJ465" t="s">
        <v>163</v>
      </c>
      <c r="AK465">
        <v>3</v>
      </c>
      <c r="AL465">
        <v>4</v>
      </c>
      <c r="AM465" t="s">
        <v>163</v>
      </c>
      <c r="AN465" t="s">
        <v>163</v>
      </c>
      <c r="AO465" t="s">
        <v>163</v>
      </c>
      <c r="AP465">
        <v>0</v>
      </c>
      <c r="AQ465">
        <v>0</v>
      </c>
      <c r="AR465">
        <v>3</v>
      </c>
      <c r="AS465">
        <v>4</v>
      </c>
    </row>
    <row r="466" spans="1:45" x14ac:dyDescent="0.35">
      <c r="A466" s="337">
        <v>46266</v>
      </c>
      <c r="B466" s="337">
        <v>46270</v>
      </c>
      <c r="C466" s="337">
        <v>816</v>
      </c>
      <c r="D466" t="s">
        <v>125</v>
      </c>
      <c r="E466" t="s">
        <v>273</v>
      </c>
      <c r="F466">
        <v>2</v>
      </c>
      <c r="G466" t="s">
        <v>335</v>
      </c>
      <c r="H466" t="s">
        <v>163</v>
      </c>
      <c r="I466" t="s">
        <v>165</v>
      </c>
      <c r="J466" t="s">
        <v>165</v>
      </c>
      <c r="K466" t="s">
        <v>165</v>
      </c>
      <c r="L466" t="s">
        <v>163</v>
      </c>
      <c r="M466" t="s">
        <v>161</v>
      </c>
      <c r="N466">
        <v>10.56</v>
      </c>
      <c r="O466" t="s">
        <v>163</v>
      </c>
      <c r="P466" t="s">
        <v>163</v>
      </c>
      <c r="Q466" t="s">
        <v>163</v>
      </c>
      <c r="R466" t="s">
        <v>163</v>
      </c>
      <c r="S466" t="s">
        <v>163</v>
      </c>
      <c r="T466" t="s">
        <v>163</v>
      </c>
      <c r="U466" t="s">
        <v>163</v>
      </c>
      <c r="V466" t="s">
        <v>163</v>
      </c>
      <c r="W466" t="s">
        <v>163</v>
      </c>
      <c r="X466" t="s">
        <v>163</v>
      </c>
      <c r="Y466">
        <v>1</v>
      </c>
      <c r="Z466" t="s">
        <v>163</v>
      </c>
      <c r="AA466">
        <v>1</v>
      </c>
      <c r="AB466">
        <v>2</v>
      </c>
      <c r="AC466">
        <v>0</v>
      </c>
      <c r="AD466" t="s">
        <v>163</v>
      </c>
      <c r="AE466" t="s">
        <v>163</v>
      </c>
      <c r="AF466" t="s">
        <v>163</v>
      </c>
      <c r="AG466" t="s">
        <v>163</v>
      </c>
      <c r="AH466" t="s">
        <v>163</v>
      </c>
      <c r="AI466" t="s">
        <v>163</v>
      </c>
      <c r="AJ466" t="s">
        <v>163</v>
      </c>
      <c r="AK466">
        <v>3</v>
      </c>
      <c r="AL466">
        <v>4</v>
      </c>
      <c r="AM466" t="s">
        <v>163</v>
      </c>
      <c r="AN466" t="s">
        <v>163</v>
      </c>
      <c r="AO466" t="s">
        <v>163</v>
      </c>
      <c r="AP466">
        <v>0</v>
      </c>
      <c r="AQ466">
        <v>0</v>
      </c>
      <c r="AR466">
        <v>3</v>
      </c>
      <c r="AS466">
        <v>4</v>
      </c>
    </row>
    <row r="467" spans="1:45" x14ac:dyDescent="0.35">
      <c r="A467" s="337">
        <v>46266</v>
      </c>
      <c r="B467" s="337">
        <v>46270</v>
      </c>
      <c r="C467" s="337">
        <v>816</v>
      </c>
      <c r="D467" t="s">
        <v>125</v>
      </c>
      <c r="E467" t="s">
        <v>239</v>
      </c>
      <c r="F467">
        <v>2</v>
      </c>
      <c r="G467" t="s">
        <v>335</v>
      </c>
      <c r="H467" t="s">
        <v>163</v>
      </c>
      <c r="I467" t="s">
        <v>165</v>
      </c>
      <c r="J467" t="s">
        <v>165</v>
      </c>
      <c r="K467" t="s">
        <v>165</v>
      </c>
      <c r="L467" t="s">
        <v>163</v>
      </c>
      <c r="M467" t="s">
        <v>161</v>
      </c>
      <c r="N467">
        <v>10.45</v>
      </c>
      <c r="O467" t="s">
        <v>163</v>
      </c>
      <c r="P467" t="s">
        <v>163</v>
      </c>
      <c r="Q467" t="s">
        <v>163</v>
      </c>
      <c r="R467" t="s">
        <v>163</v>
      </c>
      <c r="S467" t="s">
        <v>163</v>
      </c>
      <c r="T467" t="s">
        <v>163</v>
      </c>
      <c r="U467" t="s">
        <v>163</v>
      </c>
      <c r="V467" t="s">
        <v>163</v>
      </c>
      <c r="W467" t="s">
        <v>163</v>
      </c>
      <c r="X467" t="s">
        <v>163</v>
      </c>
      <c r="Y467">
        <v>1</v>
      </c>
      <c r="Z467" t="s">
        <v>163</v>
      </c>
      <c r="AA467">
        <v>1</v>
      </c>
      <c r="AB467">
        <v>2</v>
      </c>
      <c r="AC467">
        <v>0</v>
      </c>
      <c r="AD467" t="s">
        <v>163</v>
      </c>
      <c r="AE467" t="s">
        <v>163</v>
      </c>
      <c r="AF467" t="s">
        <v>163</v>
      </c>
      <c r="AG467" t="s">
        <v>163</v>
      </c>
      <c r="AH467" t="s">
        <v>163</v>
      </c>
      <c r="AI467" t="s">
        <v>163</v>
      </c>
      <c r="AJ467" t="s">
        <v>163</v>
      </c>
      <c r="AK467">
        <v>3</v>
      </c>
      <c r="AL467">
        <v>4</v>
      </c>
      <c r="AM467" t="s">
        <v>163</v>
      </c>
      <c r="AN467" t="s">
        <v>163</v>
      </c>
      <c r="AO467" t="s">
        <v>163</v>
      </c>
      <c r="AP467">
        <v>0</v>
      </c>
      <c r="AQ467">
        <v>0</v>
      </c>
      <c r="AR467">
        <v>3</v>
      </c>
      <c r="AS467">
        <v>4</v>
      </c>
    </row>
    <row r="468" spans="1:45" x14ac:dyDescent="0.35">
      <c r="A468" s="337">
        <v>46266</v>
      </c>
      <c r="B468" s="337">
        <v>46270</v>
      </c>
      <c r="C468" s="337">
        <v>816</v>
      </c>
      <c r="D468" t="s">
        <v>125</v>
      </c>
      <c r="E468" t="s">
        <v>326</v>
      </c>
      <c r="F468">
        <v>2</v>
      </c>
      <c r="G468" t="s">
        <v>335</v>
      </c>
      <c r="H468" t="s">
        <v>163</v>
      </c>
      <c r="I468" t="s">
        <v>165</v>
      </c>
      <c r="J468" t="s">
        <v>165</v>
      </c>
      <c r="K468" t="s">
        <v>165</v>
      </c>
      <c r="L468" t="s">
        <v>163</v>
      </c>
      <c r="M468" t="s">
        <v>161</v>
      </c>
      <c r="N468">
        <v>10.49</v>
      </c>
      <c r="O468" t="s">
        <v>163</v>
      </c>
      <c r="P468" t="s">
        <v>163</v>
      </c>
      <c r="Q468" t="s">
        <v>163</v>
      </c>
      <c r="R468" t="s">
        <v>163</v>
      </c>
      <c r="S468" t="s">
        <v>163</v>
      </c>
      <c r="T468" t="s">
        <v>163</v>
      </c>
      <c r="U468" t="s">
        <v>163</v>
      </c>
      <c r="V468" t="s">
        <v>163</v>
      </c>
      <c r="W468" t="s">
        <v>163</v>
      </c>
      <c r="X468" t="s">
        <v>163</v>
      </c>
      <c r="Y468">
        <v>1</v>
      </c>
      <c r="Z468" t="s">
        <v>163</v>
      </c>
      <c r="AA468">
        <v>1</v>
      </c>
      <c r="AB468">
        <v>2</v>
      </c>
      <c r="AC468">
        <v>0</v>
      </c>
      <c r="AD468" t="s">
        <v>163</v>
      </c>
      <c r="AE468" t="s">
        <v>163</v>
      </c>
      <c r="AF468" t="s">
        <v>163</v>
      </c>
      <c r="AG468" t="s">
        <v>163</v>
      </c>
      <c r="AH468" t="s">
        <v>163</v>
      </c>
      <c r="AI468" t="s">
        <v>163</v>
      </c>
      <c r="AJ468" t="s">
        <v>163</v>
      </c>
      <c r="AK468">
        <v>3</v>
      </c>
      <c r="AL468">
        <v>4</v>
      </c>
      <c r="AM468" t="s">
        <v>163</v>
      </c>
      <c r="AN468" t="s">
        <v>163</v>
      </c>
      <c r="AO468" t="s">
        <v>163</v>
      </c>
      <c r="AP468">
        <v>0</v>
      </c>
      <c r="AQ468">
        <v>0</v>
      </c>
      <c r="AR468">
        <v>3</v>
      </c>
      <c r="AS468">
        <v>4</v>
      </c>
    </row>
    <row r="469" spans="1:45" x14ac:dyDescent="0.35">
      <c r="A469" s="337">
        <v>46266</v>
      </c>
      <c r="B469" s="337">
        <v>46270</v>
      </c>
      <c r="C469" s="337">
        <v>46220</v>
      </c>
      <c r="D469" t="s">
        <v>125</v>
      </c>
      <c r="E469" t="s">
        <v>327</v>
      </c>
      <c r="F469">
        <v>1</v>
      </c>
      <c r="G469" t="s">
        <v>123</v>
      </c>
      <c r="H469">
        <v>0.01</v>
      </c>
      <c r="I469" t="s">
        <v>163</v>
      </c>
      <c r="J469" t="s">
        <v>165</v>
      </c>
      <c r="K469" t="s">
        <v>165</v>
      </c>
      <c r="L469" t="s">
        <v>163</v>
      </c>
      <c r="M469" t="s">
        <v>163</v>
      </c>
      <c r="N469">
        <v>12.45</v>
      </c>
      <c r="O469" t="s">
        <v>163</v>
      </c>
      <c r="P469" t="s">
        <v>163</v>
      </c>
      <c r="Q469" t="s">
        <v>163</v>
      </c>
      <c r="R469" t="s">
        <v>163</v>
      </c>
      <c r="S469" t="s">
        <v>163</v>
      </c>
      <c r="T469" t="s">
        <v>163</v>
      </c>
      <c r="U469" t="s">
        <v>163</v>
      </c>
      <c r="V469" t="s">
        <v>163</v>
      </c>
      <c r="W469" t="s">
        <v>163</v>
      </c>
      <c r="X469" t="s">
        <v>163</v>
      </c>
      <c r="Y469" t="s">
        <v>421</v>
      </c>
      <c r="Z469">
        <v>2</v>
      </c>
      <c r="AA469" t="s">
        <v>163</v>
      </c>
      <c r="AB469">
        <v>2</v>
      </c>
      <c r="AC469">
        <v>1</v>
      </c>
      <c r="AD469" t="s">
        <v>163</v>
      </c>
      <c r="AE469" t="s">
        <v>163</v>
      </c>
      <c r="AF469" t="s">
        <v>163</v>
      </c>
      <c r="AG469" t="s">
        <v>163</v>
      </c>
      <c r="AH469" t="s">
        <v>163</v>
      </c>
      <c r="AI469" t="s">
        <v>163</v>
      </c>
      <c r="AJ469" t="s">
        <v>163</v>
      </c>
      <c r="AK469">
        <v>5</v>
      </c>
      <c r="AL469">
        <v>5</v>
      </c>
      <c r="AM469" t="s">
        <v>163</v>
      </c>
      <c r="AN469" t="s">
        <v>163</v>
      </c>
      <c r="AO469" t="s">
        <v>163</v>
      </c>
      <c r="AP469">
        <v>0</v>
      </c>
      <c r="AQ469">
        <v>0</v>
      </c>
      <c r="AR469">
        <v>5</v>
      </c>
      <c r="AS469">
        <v>5</v>
      </c>
    </row>
    <row r="470" spans="1:45" x14ac:dyDescent="0.35">
      <c r="A470" s="337">
        <v>46266</v>
      </c>
      <c r="B470" s="337">
        <v>46270</v>
      </c>
      <c r="C470" s="337">
        <v>46220</v>
      </c>
      <c r="D470" t="s">
        <v>125</v>
      </c>
      <c r="E470" t="s">
        <v>240</v>
      </c>
      <c r="F470">
        <v>1</v>
      </c>
      <c r="G470" t="s">
        <v>123</v>
      </c>
      <c r="H470">
        <v>0.01</v>
      </c>
      <c r="I470" t="s">
        <v>165</v>
      </c>
      <c r="J470" t="s">
        <v>165</v>
      </c>
      <c r="K470" t="s">
        <v>165</v>
      </c>
      <c r="L470" t="s">
        <v>163</v>
      </c>
      <c r="M470" t="s">
        <v>163</v>
      </c>
      <c r="N470">
        <v>12.3</v>
      </c>
      <c r="O470">
        <v>11.52</v>
      </c>
      <c r="P470">
        <v>0.56999999999999995</v>
      </c>
      <c r="Q470">
        <v>65.8</v>
      </c>
      <c r="R470" t="s">
        <v>163</v>
      </c>
      <c r="S470" t="s">
        <v>163</v>
      </c>
      <c r="T470">
        <v>31.9</v>
      </c>
      <c r="U470" t="s">
        <v>163</v>
      </c>
      <c r="V470" t="s">
        <v>163</v>
      </c>
      <c r="W470" t="s">
        <v>163</v>
      </c>
      <c r="X470" t="s">
        <v>163</v>
      </c>
      <c r="Y470" t="s">
        <v>421</v>
      </c>
      <c r="Z470">
        <v>2</v>
      </c>
      <c r="AA470">
        <v>1</v>
      </c>
      <c r="AB470">
        <v>2</v>
      </c>
      <c r="AC470">
        <v>1</v>
      </c>
      <c r="AD470">
        <v>0</v>
      </c>
      <c r="AE470">
        <v>2</v>
      </c>
      <c r="AF470">
        <v>2</v>
      </c>
      <c r="AG470" t="s">
        <v>163</v>
      </c>
      <c r="AH470" t="s">
        <v>163</v>
      </c>
      <c r="AI470">
        <v>2</v>
      </c>
      <c r="AJ470" t="s">
        <v>163</v>
      </c>
      <c r="AK470">
        <v>12</v>
      </c>
      <c r="AL470">
        <v>13</v>
      </c>
      <c r="AM470" t="s">
        <v>163</v>
      </c>
      <c r="AN470" t="s">
        <v>163</v>
      </c>
      <c r="AO470" t="s">
        <v>163</v>
      </c>
      <c r="AP470">
        <v>0</v>
      </c>
      <c r="AQ470">
        <v>0</v>
      </c>
      <c r="AR470">
        <v>12</v>
      </c>
      <c r="AS470">
        <v>13</v>
      </c>
    </row>
    <row r="471" spans="1:45" x14ac:dyDescent="0.35">
      <c r="A471" s="337">
        <v>46266</v>
      </c>
      <c r="B471" s="337">
        <v>46269</v>
      </c>
      <c r="C471" s="337">
        <v>46260</v>
      </c>
      <c r="D471" t="s">
        <v>130</v>
      </c>
      <c r="E471" s="338">
        <v>1.2083333333333333</v>
      </c>
      <c r="F471">
        <v>3</v>
      </c>
      <c r="G471" t="s">
        <v>119</v>
      </c>
      <c r="H471">
        <v>0.01</v>
      </c>
      <c r="I471" t="s">
        <v>165</v>
      </c>
      <c r="J471" t="s">
        <v>165</v>
      </c>
      <c r="K471" t="s">
        <v>165</v>
      </c>
      <c r="L471" t="s">
        <v>161</v>
      </c>
      <c r="M471" t="s">
        <v>161</v>
      </c>
      <c r="N471">
        <v>12.3</v>
      </c>
      <c r="O471" t="s">
        <v>163</v>
      </c>
      <c r="P471" t="s">
        <v>163</v>
      </c>
      <c r="Q471" t="s">
        <v>163</v>
      </c>
      <c r="R471" t="s">
        <v>163</v>
      </c>
      <c r="S471" t="s">
        <v>163</v>
      </c>
      <c r="T471" t="s">
        <v>163</v>
      </c>
      <c r="U471" t="s">
        <v>163</v>
      </c>
      <c r="V471" t="s">
        <v>163</v>
      </c>
      <c r="W471" t="s">
        <v>165</v>
      </c>
      <c r="X471" t="s">
        <v>165</v>
      </c>
      <c r="Y471" t="s">
        <v>163</v>
      </c>
      <c r="Z471">
        <v>2</v>
      </c>
      <c r="AA471">
        <v>1</v>
      </c>
      <c r="AB471">
        <v>2</v>
      </c>
      <c r="AC471">
        <v>1</v>
      </c>
      <c r="AD471" t="s">
        <v>163</v>
      </c>
      <c r="AE471" t="s">
        <v>163</v>
      </c>
      <c r="AF471" t="s">
        <v>163</v>
      </c>
      <c r="AG471" t="s">
        <v>163</v>
      </c>
      <c r="AH471" t="s">
        <v>163</v>
      </c>
      <c r="AI471" t="s">
        <v>163</v>
      </c>
      <c r="AJ471" t="s">
        <v>163</v>
      </c>
      <c r="AK471">
        <v>6</v>
      </c>
      <c r="AL471">
        <v>6</v>
      </c>
      <c r="AM471" t="s">
        <v>163</v>
      </c>
      <c r="AN471">
        <v>1</v>
      </c>
      <c r="AO471">
        <v>1</v>
      </c>
      <c r="AP471">
        <v>2</v>
      </c>
      <c r="AQ471">
        <v>2</v>
      </c>
      <c r="AR471">
        <v>8</v>
      </c>
      <c r="AS471">
        <v>8</v>
      </c>
    </row>
    <row r="472" spans="1:45" x14ac:dyDescent="0.35">
      <c r="A472" s="337">
        <v>46266</v>
      </c>
      <c r="B472" s="337">
        <v>46269</v>
      </c>
      <c r="C472" s="337">
        <v>46260</v>
      </c>
      <c r="D472" t="s">
        <v>130</v>
      </c>
      <c r="E472" s="338">
        <v>1.1666666666666667</v>
      </c>
      <c r="F472">
        <v>3</v>
      </c>
      <c r="G472" t="s">
        <v>119</v>
      </c>
      <c r="H472">
        <v>0.01</v>
      </c>
      <c r="I472" t="s">
        <v>165</v>
      </c>
      <c r="J472" t="s">
        <v>165</v>
      </c>
      <c r="K472" t="s">
        <v>165</v>
      </c>
      <c r="L472" t="s">
        <v>161</v>
      </c>
      <c r="M472" t="s">
        <v>161</v>
      </c>
      <c r="N472">
        <v>12.07</v>
      </c>
      <c r="O472" t="s">
        <v>163</v>
      </c>
      <c r="P472" t="s">
        <v>163</v>
      </c>
      <c r="Q472" t="s">
        <v>163</v>
      </c>
      <c r="R472" t="s">
        <v>163</v>
      </c>
      <c r="S472" t="s">
        <v>163</v>
      </c>
      <c r="T472" t="s">
        <v>163</v>
      </c>
      <c r="U472" t="s">
        <v>163</v>
      </c>
      <c r="V472" t="s">
        <v>163</v>
      </c>
      <c r="W472" t="s">
        <v>165</v>
      </c>
      <c r="X472" t="s">
        <v>165</v>
      </c>
      <c r="Y472" t="s">
        <v>163</v>
      </c>
      <c r="Z472">
        <v>2</v>
      </c>
      <c r="AA472">
        <v>1</v>
      </c>
      <c r="AB472">
        <v>2</v>
      </c>
      <c r="AC472">
        <v>1</v>
      </c>
      <c r="AD472" t="s">
        <v>163</v>
      </c>
      <c r="AE472" t="s">
        <v>163</v>
      </c>
      <c r="AF472" t="s">
        <v>163</v>
      </c>
      <c r="AG472" t="s">
        <v>163</v>
      </c>
      <c r="AH472" t="s">
        <v>163</v>
      </c>
      <c r="AI472" t="s">
        <v>163</v>
      </c>
      <c r="AJ472" t="s">
        <v>163</v>
      </c>
      <c r="AK472">
        <v>6</v>
      </c>
      <c r="AL472">
        <v>6</v>
      </c>
      <c r="AM472" t="s">
        <v>163</v>
      </c>
      <c r="AN472">
        <v>1</v>
      </c>
      <c r="AO472">
        <v>1</v>
      </c>
      <c r="AP472">
        <v>2</v>
      </c>
      <c r="AQ472">
        <v>2</v>
      </c>
      <c r="AR472">
        <v>8</v>
      </c>
      <c r="AS472">
        <v>8</v>
      </c>
    </row>
    <row r="473" spans="1:45" x14ac:dyDescent="0.35">
      <c r="A473" s="337">
        <v>46266</v>
      </c>
      <c r="B473" s="337">
        <v>46269</v>
      </c>
      <c r="C473" s="337">
        <v>46260</v>
      </c>
      <c r="D473" t="s">
        <v>130</v>
      </c>
      <c r="E473" s="338">
        <v>1.125</v>
      </c>
      <c r="F473">
        <v>3</v>
      </c>
      <c r="G473" t="s">
        <v>119</v>
      </c>
      <c r="H473">
        <v>0.01</v>
      </c>
      <c r="I473" t="s">
        <v>165</v>
      </c>
      <c r="J473" t="s">
        <v>165</v>
      </c>
      <c r="K473" t="s">
        <v>165</v>
      </c>
      <c r="L473" t="s">
        <v>161</v>
      </c>
      <c r="M473" t="s">
        <v>161</v>
      </c>
      <c r="N473">
        <v>12.29</v>
      </c>
      <c r="O473" t="s">
        <v>163</v>
      </c>
      <c r="P473" t="s">
        <v>163</v>
      </c>
      <c r="Q473" t="s">
        <v>163</v>
      </c>
      <c r="R473" t="s">
        <v>163</v>
      </c>
      <c r="S473" t="s">
        <v>163</v>
      </c>
      <c r="T473" t="s">
        <v>163</v>
      </c>
      <c r="U473" t="s">
        <v>163</v>
      </c>
      <c r="V473" t="s">
        <v>163</v>
      </c>
      <c r="W473" t="s">
        <v>165</v>
      </c>
      <c r="X473" t="s">
        <v>165</v>
      </c>
      <c r="Y473" t="s">
        <v>163</v>
      </c>
      <c r="Z473">
        <v>2</v>
      </c>
      <c r="AA473">
        <v>1</v>
      </c>
      <c r="AB473">
        <v>2</v>
      </c>
      <c r="AC473">
        <v>1</v>
      </c>
      <c r="AD473" t="s">
        <v>163</v>
      </c>
      <c r="AE473" t="s">
        <v>163</v>
      </c>
      <c r="AF473" t="s">
        <v>163</v>
      </c>
      <c r="AG473" t="s">
        <v>163</v>
      </c>
      <c r="AH473" t="s">
        <v>163</v>
      </c>
      <c r="AI473" t="s">
        <v>163</v>
      </c>
      <c r="AJ473" t="s">
        <v>163</v>
      </c>
      <c r="AK473">
        <v>6</v>
      </c>
      <c r="AL473">
        <v>6</v>
      </c>
      <c r="AM473" t="s">
        <v>163</v>
      </c>
      <c r="AN473">
        <v>1</v>
      </c>
      <c r="AO473">
        <v>1</v>
      </c>
      <c r="AP473">
        <v>2</v>
      </c>
      <c r="AQ473">
        <v>2</v>
      </c>
      <c r="AR473">
        <v>8</v>
      </c>
      <c r="AS473">
        <v>8</v>
      </c>
    </row>
    <row r="474" spans="1:45" x14ac:dyDescent="0.35">
      <c r="A474" s="337">
        <v>46266</v>
      </c>
      <c r="B474" s="337">
        <v>46269</v>
      </c>
      <c r="C474" s="337">
        <v>46260</v>
      </c>
      <c r="D474" t="s">
        <v>130</v>
      </c>
      <c r="E474" s="338">
        <v>1.0833333333333333</v>
      </c>
      <c r="F474">
        <v>3</v>
      </c>
      <c r="G474" t="s">
        <v>119</v>
      </c>
      <c r="H474">
        <v>0.01</v>
      </c>
      <c r="I474" t="s">
        <v>165</v>
      </c>
      <c r="J474" t="s">
        <v>165</v>
      </c>
      <c r="K474" t="s">
        <v>165</v>
      </c>
      <c r="L474" t="s">
        <v>161</v>
      </c>
      <c r="M474" t="s">
        <v>161</v>
      </c>
      <c r="N474">
        <v>12.19</v>
      </c>
      <c r="O474" t="s">
        <v>163</v>
      </c>
      <c r="P474" t="s">
        <v>163</v>
      </c>
      <c r="Q474" t="s">
        <v>163</v>
      </c>
      <c r="R474" t="s">
        <v>163</v>
      </c>
      <c r="S474" t="s">
        <v>163</v>
      </c>
      <c r="T474" t="s">
        <v>163</v>
      </c>
      <c r="U474" t="s">
        <v>163</v>
      </c>
      <c r="V474" t="s">
        <v>163</v>
      </c>
      <c r="W474" t="s">
        <v>165</v>
      </c>
      <c r="X474" t="s">
        <v>165</v>
      </c>
      <c r="Y474" t="s">
        <v>163</v>
      </c>
      <c r="Z474">
        <v>2</v>
      </c>
      <c r="AA474">
        <v>1</v>
      </c>
      <c r="AB474">
        <v>2</v>
      </c>
      <c r="AC474">
        <v>1</v>
      </c>
      <c r="AD474" t="s">
        <v>163</v>
      </c>
      <c r="AE474" t="s">
        <v>163</v>
      </c>
      <c r="AF474" t="s">
        <v>163</v>
      </c>
      <c r="AG474" t="s">
        <v>163</v>
      </c>
      <c r="AH474" t="s">
        <v>163</v>
      </c>
      <c r="AI474" t="s">
        <v>163</v>
      </c>
      <c r="AJ474" t="s">
        <v>163</v>
      </c>
      <c r="AK474">
        <v>6</v>
      </c>
      <c r="AL474">
        <v>6</v>
      </c>
      <c r="AM474" t="s">
        <v>163</v>
      </c>
      <c r="AN474">
        <v>1</v>
      </c>
      <c r="AO474">
        <v>1</v>
      </c>
      <c r="AP474">
        <v>2</v>
      </c>
      <c r="AQ474">
        <v>2</v>
      </c>
      <c r="AR474">
        <v>8</v>
      </c>
      <c r="AS474">
        <v>8</v>
      </c>
    </row>
    <row r="475" spans="1:45" x14ac:dyDescent="0.35">
      <c r="A475" s="337">
        <v>46266</v>
      </c>
      <c r="B475" s="337">
        <v>46269</v>
      </c>
      <c r="C475" s="337">
        <v>46260</v>
      </c>
      <c r="D475" t="s">
        <v>130</v>
      </c>
      <c r="E475" s="338">
        <v>1.0416666666666667</v>
      </c>
      <c r="F475">
        <v>3</v>
      </c>
      <c r="G475" t="s">
        <v>119</v>
      </c>
      <c r="H475">
        <v>0.01</v>
      </c>
      <c r="I475" t="s">
        <v>165</v>
      </c>
      <c r="J475" t="s">
        <v>165</v>
      </c>
      <c r="K475" t="s">
        <v>165</v>
      </c>
      <c r="L475" t="s">
        <v>161</v>
      </c>
      <c r="M475" t="s">
        <v>161</v>
      </c>
      <c r="N475">
        <v>12.19</v>
      </c>
      <c r="O475" t="s">
        <v>163</v>
      </c>
      <c r="P475" t="s">
        <v>163</v>
      </c>
      <c r="Q475" t="s">
        <v>163</v>
      </c>
      <c r="R475" t="s">
        <v>163</v>
      </c>
      <c r="S475" t="s">
        <v>163</v>
      </c>
      <c r="T475" t="s">
        <v>163</v>
      </c>
      <c r="U475" t="s">
        <v>163</v>
      </c>
      <c r="V475" t="s">
        <v>163</v>
      </c>
      <c r="W475" t="s">
        <v>165</v>
      </c>
      <c r="X475" t="s">
        <v>165</v>
      </c>
      <c r="Y475" t="s">
        <v>163</v>
      </c>
      <c r="Z475">
        <v>2</v>
      </c>
      <c r="AA475">
        <v>1</v>
      </c>
      <c r="AB475">
        <v>2</v>
      </c>
      <c r="AC475">
        <v>1</v>
      </c>
      <c r="AD475" t="s">
        <v>163</v>
      </c>
      <c r="AE475" t="s">
        <v>163</v>
      </c>
      <c r="AF475" t="s">
        <v>163</v>
      </c>
      <c r="AG475" t="s">
        <v>163</v>
      </c>
      <c r="AH475" t="s">
        <v>163</v>
      </c>
      <c r="AI475" t="s">
        <v>163</v>
      </c>
      <c r="AJ475" t="s">
        <v>163</v>
      </c>
      <c r="AK475">
        <v>6</v>
      </c>
      <c r="AL475">
        <v>6</v>
      </c>
      <c r="AM475" t="s">
        <v>163</v>
      </c>
      <c r="AN475">
        <v>1</v>
      </c>
      <c r="AO475">
        <v>1</v>
      </c>
      <c r="AP475">
        <v>2</v>
      </c>
      <c r="AQ475">
        <v>2</v>
      </c>
      <c r="AR475">
        <v>8</v>
      </c>
      <c r="AS475">
        <v>8</v>
      </c>
    </row>
    <row r="476" spans="1:45" x14ac:dyDescent="0.35">
      <c r="A476" s="337">
        <v>46266</v>
      </c>
      <c r="B476" s="337">
        <v>46269</v>
      </c>
      <c r="C476" s="337">
        <v>46260</v>
      </c>
      <c r="D476" t="s">
        <v>130</v>
      </c>
      <c r="E476" s="337">
        <v>1</v>
      </c>
      <c r="F476">
        <v>3</v>
      </c>
      <c r="G476" t="s">
        <v>119</v>
      </c>
      <c r="H476">
        <v>0.01</v>
      </c>
      <c r="I476" t="s">
        <v>165</v>
      </c>
      <c r="J476" t="s">
        <v>165</v>
      </c>
      <c r="K476" t="s">
        <v>165</v>
      </c>
      <c r="L476" t="s">
        <v>161</v>
      </c>
      <c r="M476" t="s">
        <v>161</v>
      </c>
      <c r="N476">
        <v>12.17</v>
      </c>
      <c r="O476" t="s">
        <v>163</v>
      </c>
      <c r="P476" t="s">
        <v>163</v>
      </c>
      <c r="Q476" t="s">
        <v>163</v>
      </c>
      <c r="R476" t="s">
        <v>163</v>
      </c>
      <c r="S476" t="s">
        <v>163</v>
      </c>
      <c r="T476" t="s">
        <v>163</v>
      </c>
      <c r="U476" t="s">
        <v>163</v>
      </c>
      <c r="V476" t="s">
        <v>163</v>
      </c>
      <c r="W476" t="s">
        <v>165</v>
      </c>
      <c r="X476" t="s">
        <v>165</v>
      </c>
      <c r="Y476" t="s">
        <v>163</v>
      </c>
      <c r="Z476">
        <v>2</v>
      </c>
      <c r="AA476">
        <v>1</v>
      </c>
      <c r="AB476">
        <v>2</v>
      </c>
      <c r="AC476">
        <v>1</v>
      </c>
      <c r="AD476" t="s">
        <v>163</v>
      </c>
      <c r="AE476" t="s">
        <v>163</v>
      </c>
      <c r="AF476" t="s">
        <v>163</v>
      </c>
      <c r="AG476" t="s">
        <v>163</v>
      </c>
      <c r="AH476" t="s">
        <v>163</v>
      </c>
      <c r="AI476" t="s">
        <v>163</v>
      </c>
      <c r="AJ476" t="s">
        <v>163</v>
      </c>
      <c r="AK476">
        <v>6</v>
      </c>
      <c r="AL476">
        <v>6</v>
      </c>
      <c r="AM476" t="s">
        <v>163</v>
      </c>
      <c r="AN476">
        <v>1</v>
      </c>
      <c r="AO476">
        <v>1</v>
      </c>
      <c r="AP476">
        <v>2</v>
      </c>
      <c r="AQ476">
        <v>2</v>
      </c>
      <c r="AR476">
        <v>8</v>
      </c>
      <c r="AS476">
        <v>8</v>
      </c>
    </row>
    <row r="477" spans="1:45" x14ac:dyDescent="0.35">
      <c r="A477" s="337">
        <v>46266</v>
      </c>
      <c r="B477" s="337">
        <v>46269</v>
      </c>
      <c r="C477" s="337">
        <v>46260</v>
      </c>
      <c r="D477" t="s">
        <v>130</v>
      </c>
      <c r="E477" s="339">
        <v>0.95833333333333337</v>
      </c>
      <c r="F477">
        <v>3</v>
      </c>
      <c r="G477" t="s">
        <v>119</v>
      </c>
      <c r="H477">
        <v>0.01</v>
      </c>
      <c r="I477" t="s">
        <v>165</v>
      </c>
      <c r="J477" t="s">
        <v>165</v>
      </c>
      <c r="K477" t="s">
        <v>165</v>
      </c>
      <c r="L477" t="s">
        <v>161</v>
      </c>
      <c r="M477" t="s">
        <v>161</v>
      </c>
      <c r="N477">
        <v>11.96</v>
      </c>
      <c r="O477" t="s">
        <v>163</v>
      </c>
      <c r="P477" t="s">
        <v>163</v>
      </c>
      <c r="Q477" t="s">
        <v>163</v>
      </c>
      <c r="R477" t="s">
        <v>163</v>
      </c>
      <c r="S477" t="s">
        <v>163</v>
      </c>
      <c r="T477" t="s">
        <v>163</v>
      </c>
      <c r="U477" t="s">
        <v>163</v>
      </c>
      <c r="V477" t="s">
        <v>163</v>
      </c>
      <c r="W477" t="s">
        <v>165</v>
      </c>
      <c r="X477" t="s">
        <v>165</v>
      </c>
      <c r="Y477" t="s">
        <v>163</v>
      </c>
      <c r="Z477">
        <v>2</v>
      </c>
      <c r="AA477">
        <v>1</v>
      </c>
      <c r="AB477">
        <v>2</v>
      </c>
      <c r="AC477">
        <v>0</v>
      </c>
      <c r="AD477" t="s">
        <v>163</v>
      </c>
      <c r="AE477" t="s">
        <v>163</v>
      </c>
      <c r="AF477" t="s">
        <v>163</v>
      </c>
      <c r="AG477" t="s">
        <v>163</v>
      </c>
      <c r="AH477" t="s">
        <v>163</v>
      </c>
      <c r="AI477" t="s">
        <v>163</v>
      </c>
      <c r="AJ477" t="s">
        <v>163</v>
      </c>
      <c r="AK477">
        <v>5</v>
      </c>
      <c r="AL477">
        <v>6</v>
      </c>
      <c r="AM477" t="s">
        <v>163</v>
      </c>
      <c r="AN477">
        <v>1</v>
      </c>
      <c r="AO477">
        <v>1</v>
      </c>
      <c r="AP477">
        <v>2</v>
      </c>
      <c r="AQ477">
        <v>2</v>
      </c>
      <c r="AR477">
        <v>7</v>
      </c>
      <c r="AS477">
        <v>8</v>
      </c>
    </row>
    <row r="478" spans="1:45" x14ac:dyDescent="0.35">
      <c r="A478" s="337">
        <v>46266</v>
      </c>
      <c r="B478" s="337">
        <v>46269</v>
      </c>
      <c r="C478" s="337">
        <v>46260</v>
      </c>
      <c r="D478" t="s">
        <v>130</v>
      </c>
      <c r="E478" s="339">
        <v>0.91666666666666663</v>
      </c>
      <c r="F478">
        <v>3</v>
      </c>
      <c r="G478" t="s">
        <v>119</v>
      </c>
      <c r="H478">
        <v>0.01</v>
      </c>
      <c r="I478" t="s">
        <v>165</v>
      </c>
      <c r="J478" t="s">
        <v>165</v>
      </c>
      <c r="K478" t="s">
        <v>165</v>
      </c>
      <c r="L478" t="s">
        <v>161</v>
      </c>
      <c r="M478" t="s">
        <v>161</v>
      </c>
      <c r="N478">
        <v>12.12</v>
      </c>
      <c r="O478">
        <v>12.96</v>
      </c>
      <c r="P478" t="s">
        <v>163</v>
      </c>
      <c r="Q478" t="s">
        <v>163</v>
      </c>
      <c r="R478" t="s">
        <v>163</v>
      </c>
      <c r="S478" t="s">
        <v>163</v>
      </c>
      <c r="T478">
        <v>36.4</v>
      </c>
      <c r="U478" t="s">
        <v>163</v>
      </c>
      <c r="V478" t="s">
        <v>163</v>
      </c>
      <c r="W478" t="s">
        <v>165</v>
      </c>
      <c r="X478" t="s">
        <v>165</v>
      </c>
      <c r="Y478" t="s">
        <v>419</v>
      </c>
      <c r="Z478">
        <v>2</v>
      </c>
      <c r="AA478">
        <v>1</v>
      </c>
      <c r="AB478">
        <v>2</v>
      </c>
      <c r="AC478">
        <v>1</v>
      </c>
      <c r="AD478">
        <v>1</v>
      </c>
      <c r="AE478" t="s">
        <v>163</v>
      </c>
      <c r="AF478" t="s">
        <v>163</v>
      </c>
      <c r="AG478" t="s">
        <v>163</v>
      </c>
      <c r="AH478" t="s">
        <v>163</v>
      </c>
      <c r="AI478">
        <v>2</v>
      </c>
      <c r="AJ478" t="s">
        <v>163</v>
      </c>
      <c r="AK478">
        <v>9</v>
      </c>
      <c r="AL478">
        <v>9</v>
      </c>
      <c r="AM478" t="s">
        <v>163</v>
      </c>
      <c r="AN478">
        <v>1</v>
      </c>
      <c r="AO478">
        <v>1</v>
      </c>
      <c r="AP478">
        <v>2</v>
      </c>
      <c r="AQ478">
        <v>2</v>
      </c>
      <c r="AR478">
        <v>11</v>
      </c>
      <c r="AS478">
        <v>11</v>
      </c>
    </row>
    <row r="479" spans="1:45" x14ac:dyDescent="0.35">
      <c r="A479" s="337">
        <v>46266</v>
      </c>
      <c r="B479" s="337">
        <v>46269</v>
      </c>
      <c r="C479" s="339">
        <v>0</v>
      </c>
      <c r="D479" t="s">
        <v>130</v>
      </c>
      <c r="E479" s="338">
        <v>1.2083333333333333</v>
      </c>
      <c r="F479">
        <v>2</v>
      </c>
      <c r="G479" t="s">
        <v>335</v>
      </c>
      <c r="H479" t="s">
        <v>163</v>
      </c>
      <c r="I479" t="s">
        <v>165</v>
      </c>
      <c r="J479" t="s">
        <v>165</v>
      </c>
      <c r="K479" t="s">
        <v>165</v>
      </c>
      <c r="L479" t="s">
        <v>163</v>
      </c>
      <c r="M479" t="s">
        <v>161</v>
      </c>
      <c r="N479">
        <v>10.17</v>
      </c>
      <c r="O479" t="s">
        <v>163</v>
      </c>
      <c r="P479" t="s">
        <v>163</v>
      </c>
      <c r="Q479" t="s">
        <v>163</v>
      </c>
      <c r="R479" t="s">
        <v>163</v>
      </c>
      <c r="S479" t="s">
        <v>163</v>
      </c>
      <c r="T479" t="s">
        <v>163</v>
      </c>
      <c r="U479" t="s">
        <v>163</v>
      </c>
      <c r="V479" t="s">
        <v>163</v>
      </c>
      <c r="W479" t="s">
        <v>165</v>
      </c>
      <c r="X479" t="s">
        <v>165</v>
      </c>
      <c r="Y479" t="s">
        <v>163</v>
      </c>
      <c r="Z479" t="s">
        <v>163</v>
      </c>
      <c r="AA479">
        <v>1</v>
      </c>
      <c r="AB479">
        <v>2</v>
      </c>
      <c r="AC479">
        <v>0</v>
      </c>
      <c r="AD479" t="s">
        <v>163</v>
      </c>
      <c r="AE479" t="s">
        <v>163</v>
      </c>
      <c r="AF479" t="s">
        <v>163</v>
      </c>
      <c r="AG479" t="s">
        <v>163</v>
      </c>
      <c r="AH479" t="s">
        <v>163</v>
      </c>
      <c r="AI479" t="s">
        <v>163</v>
      </c>
      <c r="AJ479" t="s">
        <v>163</v>
      </c>
      <c r="AK479">
        <v>3</v>
      </c>
      <c r="AL479">
        <v>4</v>
      </c>
      <c r="AM479" t="s">
        <v>163</v>
      </c>
      <c r="AN479">
        <v>1</v>
      </c>
      <c r="AO479">
        <v>1</v>
      </c>
      <c r="AP479">
        <v>2</v>
      </c>
      <c r="AQ479">
        <v>2</v>
      </c>
      <c r="AR479">
        <v>5</v>
      </c>
      <c r="AS479">
        <v>6</v>
      </c>
    </row>
    <row r="480" spans="1:45" x14ac:dyDescent="0.35">
      <c r="A480" s="337">
        <v>46266</v>
      </c>
      <c r="B480" s="337">
        <v>46269</v>
      </c>
      <c r="C480" s="339">
        <v>0</v>
      </c>
      <c r="D480" t="s">
        <v>130</v>
      </c>
      <c r="E480" s="338">
        <v>1.1666666666666667</v>
      </c>
      <c r="F480">
        <v>2</v>
      </c>
      <c r="G480" t="s">
        <v>335</v>
      </c>
      <c r="H480" t="s">
        <v>163</v>
      </c>
      <c r="I480" t="s">
        <v>165</v>
      </c>
      <c r="J480" t="s">
        <v>165</v>
      </c>
      <c r="K480" t="s">
        <v>165</v>
      </c>
      <c r="L480" t="s">
        <v>163</v>
      </c>
      <c r="M480" t="s">
        <v>161</v>
      </c>
      <c r="N480">
        <v>10.38</v>
      </c>
      <c r="O480" t="s">
        <v>163</v>
      </c>
      <c r="P480" t="s">
        <v>163</v>
      </c>
      <c r="Q480" t="s">
        <v>163</v>
      </c>
      <c r="R480" t="s">
        <v>163</v>
      </c>
      <c r="S480" t="s">
        <v>163</v>
      </c>
      <c r="T480" t="s">
        <v>163</v>
      </c>
      <c r="U480" t="s">
        <v>163</v>
      </c>
      <c r="V480" t="s">
        <v>163</v>
      </c>
      <c r="W480" t="s">
        <v>165</v>
      </c>
      <c r="X480" t="s">
        <v>165</v>
      </c>
      <c r="Y480" t="s">
        <v>163</v>
      </c>
      <c r="Z480" t="s">
        <v>163</v>
      </c>
      <c r="AA480">
        <v>1</v>
      </c>
      <c r="AB480">
        <v>2</v>
      </c>
      <c r="AC480">
        <v>0</v>
      </c>
      <c r="AD480" t="s">
        <v>163</v>
      </c>
      <c r="AE480" t="s">
        <v>163</v>
      </c>
      <c r="AF480" t="s">
        <v>163</v>
      </c>
      <c r="AG480" t="s">
        <v>163</v>
      </c>
      <c r="AH480" t="s">
        <v>163</v>
      </c>
      <c r="AI480" t="s">
        <v>163</v>
      </c>
      <c r="AJ480" t="s">
        <v>163</v>
      </c>
      <c r="AK480">
        <v>3</v>
      </c>
      <c r="AL480">
        <v>4</v>
      </c>
      <c r="AM480" t="s">
        <v>163</v>
      </c>
      <c r="AN480">
        <v>1</v>
      </c>
      <c r="AO480">
        <v>1</v>
      </c>
      <c r="AP480">
        <v>2</v>
      </c>
      <c r="AQ480">
        <v>2</v>
      </c>
      <c r="AR480">
        <v>5</v>
      </c>
      <c r="AS480">
        <v>6</v>
      </c>
    </row>
    <row r="481" spans="1:45" x14ac:dyDescent="0.35">
      <c r="A481" s="337">
        <v>46266</v>
      </c>
      <c r="B481" s="337">
        <v>46269</v>
      </c>
      <c r="C481" s="339">
        <v>0</v>
      </c>
      <c r="D481" t="s">
        <v>130</v>
      </c>
      <c r="E481" s="338">
        <v>1.125</v>
      </c>
      <c r="F481">
        <v>2</v>
      </c>
      <c r="G481" t="s">
        <v>335</v>
      </c>
      <c r="H481" t="s">
        <v>163</v>
      </c>
      <c r="I481" t="s">
        <v>165</v>
      </c>
      <c r="J481" t="s">
        <v>165</v>
      </c>
      <c r="K481" t="s">
        <v>165</v>
      </c>
      <c r="L481" t="s">
        <v>163</v>
      </c>
      <c r="M481" t="s">
        <v>161</v>
      </c>
      <c r="N481">
        <v>10.35</v>
      </c>
      <c r="O481" t="s">
        <v>163</v>
      </c>
      <c r="P481" t="s">
        <v>163</v>
      </c>
      <c r="Q481" t="s">
        <v>163</v>
      </c>
      <c r="R481" t="s">
        <v>163</v>
      </c>
      <c r="S481" t="s">
        <v>163</v>
      </c>
      <c r="T481" t="s">
        <v>163</v>
      </c>
      <c r="U481" t="s">
        <v>163</v>
      </c>
      <c r="V481" t="s">
        <v>163</v>
      </c>
      <c r="W481" t="s">
        <v>165</v>
      </c>
      <c r="X481" t="s">
        <v>165</v>
      </c>
      <c r="Y481" t="s">
        <v>163</v>
      </c>
      <c r="Z481" t="s">
        <v>163</v>
      </c>
      <c r="AA481">
        <v>1</v>
      </c>
      <c r="AB481">
        <v>2</v>
      </c>
      <c r="AC481">
        <v>0</v>
      </c>
      <c r="AD481" t="s">
        <v>163</v>
      </c>
      <c r="AE481" t="s">
        <v>163</v>
      </c>
      <c r="AF481" t="s">
        <v>163</v>
      </c>
      <c r="AG481" t="s">
        <v>163</v>
      </c>
      <c r="AH481" t="s">
        <v>163</v>
      </c>
      <c r="AI481" t="s">
        <v>163</v>
      </c>
      <c r="AJ481" t="s">
        <v>163</v>
      </c>
      <c r="AK481">
        <v>3</v>
      </c>
      <c r="AL481">
        <v>4</v>
      </c>
      <c r="AM481" t="s">
        <v>163</v>
      </c>
      <c r="AN481">
        <v>1</v>
      </c>
      <c r="AO481">
        <v>1</v>
      </c>
      <c r="AP481">
        <v>2</v>
      </c>
      <c r="AQ481">
        <v>2</v>
      </c>
      <c r="AR481">
        <v>5</v>
      </c>
      <c r="AS481">
        <v>6</v>
      </c>
    </row>
    <row r="482" spans="1:45" x14ac:dyDescent="0.35">
      <c r="A482" s="337">
        <v>46266</v>
      </c>
      <c r="B482" s="337">
        <v>46269</v>
      </c>
      <c r="C482" s="339">
        <v>0</v>
      </c>
      <c r="D482" t="s">
        <v>130</v>
      </c>
      <c r="E482" s="338">
        <v>1.0833333333333333</v>
      </c>
      <c r="F482">
        <v>2</v>
      </c>
      <c r="G482" t="s">
        <v>335</v>
      </c>
      <c r="H482" t="s">
        <v>163</v>
      </c>
      <c r="I482" t="s">
        <v>165</v>
      </c>
      <c r="J482" t="s">
        <v>165</v>
      </c>
      <c r="K482" t="s">
        <v>165</v>
      </c>
      <c r="L482" t="s">
        <v>163</v>
      </c>
      <c r="M482" t="s">
        <v>161</v>
      </c>
      <c r="N482">
        <v>10.39</v>
      </c>
      <c r="O482" t="s">
        <v>163</v>
      </c>
      <c r="P482" t="s">
        <v>163</v>
      </c>
      <c r="Q482" t="s">
        <v>163</v>
      </c>
      <c r="R482" t="s">
        <v>163</v>
      </c>
      <c r="S482" t="s">
        <v>163</v>
      </c>
      <c r="T482" t="s">
        <v>163</v>
      </c>
      <c r="U482" t="s">
        <v>163</v>
      </c>
      <c r="V482" t="s">
        <v>163</v>
      </c>
      <c r="W482" t="s">
        <v>165</v>
      </c>
      <c r="X482" t="s">
        <v>165</v>
      </c>
      <c r="Y482" t="s">
        <v>163</v>
      </c>
      <c r="Z482" t="s">
        <v>163</v>
      </c>
      <c r="AA482">
        <v>1</v>
      </c>
      <c r="AB482">
        <v>2</v>
      </c>
      <c r="AC482">
        <v>0</v>
      </c>
      <c r="AD482" t="s">
        <v>163</v>
      </c>
      <c r="AE482" t="s">
        <v>163</v>
      </c>
      <c r="AF482" t="s">
        <v>163</v>
      </c>
      <c r="AG482" t="s">
        <v>163</v>
      </c>
      <c r="AH482" t="s">
        <v>163</v>
      </c>
      <c r="AI482" t="s">
        <v>163</v>
      </c>
      <c r="AJ482" t="s">
        <v>163</v>
      </c>
      <c r="AK482">
        <v>3</v>
      </c>
      <c r="AL482">
        <v>4</v>
      </c>
      <c r="AM482" t="s">
        <v>163</v>
      </c>
      <c r="AN482">
        <v>1</v>
      </c>
      <c r="AO482">
        <v>1</v>
      </c>
      <c r="AP482">
        <v>2</v>
      </c>
      <c r="AQ482">
        <v>2</v>
      </c>
      <c r="AR482">
        <v>5</v>
      </c>
      <c r="AS482">
        <v>6</v>
      </c>
    </row>
    <row r="483" spans="1:45" x14ac:dyDescent="0.35">
      <c r="A483" s="337">
        <v>46266</v>
      </c>
      <c r="B483" s="337">
        <v>46269</v>
      </c>
      <c r="C483" s="339">
        <v>0</v>
      </c>
      <c r="D483" t="s">
        <v>130</v>
      </c>
      <c r="E483" s="338">
        <v>1.0416666666666667</v>
      </c>
      <c r="F483">
        <v>2</v>
      </c>
      <c r="G483" t="s">
        <v>335</v>
      </c>
      <c r="H483" t="s">
        <v>163</v>
      </c>
      <c r="I483" t="s">
        <v>165</v>
      </c>
      <c r="J483" t="s">
        <v>165</v>
      </c>
      <c r="K483" t="s">
        <v>165</v>
      </c>
      <c r="L483" t="s">
        <v>163</v>
      </c>
      <c r="M483" t="s">
        <v>161</v>
      </c>
      <c r="N483">
        <v>10.47</v>
      </c>
      <c r="O483" t="s">
        <v>163</v>
      </c>
      <c r="P483" t="s">
        <v>163</v>
      </c>
      <c r="Q483" t="s">
        <v>163</v>
      </c>
      <c r="R483" t="s">
        <v>163</v>
      </c>
      <c r="S483" t="s">
        <v>163</v>
      </c>
      <c r="T483" t="s">
        <v>163</v>
      </c>
      <c r="U483" t="s">
        <v>163</v>
      </c>
      <c r="V483" t="s">
        <v>163</v>
      </c>
      <c r="W483" t="s">
        <v>165</v>
      </c>
      <c r="X483" t="s">
        <v>165</v>
      </c>
      <c r="Y483" t="s">
        <v>163</v>
      </c>
      <c r="Z483" t="s">
        <v>163</v>
      </c>
      <c r="AA483">
        <v>1</v>
      </c>
      <c r="AB483">
        <v>2</v>
      </c>
      <c r="AC483">
        <v>0</v>
      </c>
      <c r="AD483" t="s">
        <v>163</v>
      </c>
      <c r="AE483" t="s">
        <v>163</v>
      </c>
      <c r="AF483" t="s">
        <v>163</v>
      </c>
      <c r="AG483" t="s">
        <v>163</v>
      </c>
      <c r="AH483" t="s">
        <v>163</v>
      </c>
      <c r="AI483" t="s">
        <v>163</v>
      </c>
      <c r="AJ483" t="s">
        <v>163</v>
      </c>
      <c r="AK483">
        <v>3</v>
      </c>
      <c r="AL483">
        <v>4</v>
      </c>
      <c r="AM483" t="s">
        <v>163</v>
      </c>
      <c r="AN483">
        <v>1</v>
      </c>
      <c r="AO483">
        <v>1</v>
      </c>
      <c r="AP483">
        <v>2</v>
      </c>
      <c r="AQ483">
        <v>2</v>
      </c>
      <c r="AR483">
        <v>5</v>
      </c>
      <c r="AS483">
        <v>6</v>
      </c>
    </row>
    <row r="484" spans="1:45" x14ac:dyDescent="0.35">
      <c r="A484" s="337">
        <v>46266</v>
      </c>
      <c r="B484" s="337">
        <v>46269</v>
      </c>
      <c r="C484" s="339">
        <v>0</v>
      </c>
      <c r="D484" t="s">
        <v>130</v>
      </c>
      <c r="E484" s="337">
        <v>1</v>
      </c>
      <c r="F484">
        <v>2</v>
      </c>
      <c r="G484" t="s">
        <v>335</v>
      </c>
      <c r="H484" t="s">
        <v>163</v>
      </c>
      <c r="I484" t="s">
        <v>165</v>
      </c>
      <c r="J484" t="s">
        <v>165</v>
      </c>
      <c r="K484" t="s">
        <v>165</v>
      </c>
      <c r="L484" t="s">
        <v>163</v>
      </c>
      <c r="M484" t="s">
        <v>161</v>
      </c>
      <c r="N484">
        <v>10.35</v>
      </c>
      <c r="O484" t="s">
        <v>163</v>
      </c>
      <c r="P484" t="s">
        <v>163</v>
      </c>
      <c r="Q484" t="s">
        <v>163</v>
      </c>
      <c r="R484" t="s">
        <v>163</v>
      </c>
      <c r="S484" t="s">
        <v>163</v>
      </c>
      <c r="T484" t="s">
        <v>163</v>
      </c>
      <c r="U484" t="s">
        <v>163</v>
      </c>
      <c r="V484" t="s">
        <v>163</v>
      </c>
      <c r="W484" t="s">
        <v>165</v>
      </c>
      <c r="X484" t="s">
        <v>165</v>
      </c>
      <c r="Y484" t="s">
        <v>163</v>
      </c>
      <c r="Z484" t="s">
        <v>163</v>
      </c>
      <c r="AA484">
        <v>1</v>
      </c>
      <c r="AB484">
        <v>2</v>
      </c>
      <c r="AC484">
        <v>0</v>
      </c>
      <c r="AD484" t="s">
        <v>163</v>
      </c>
      <c r="AE484" t="s">
        <v>163</v>
      </c>
      <c r="AF484" t="s">
        <v>163</v>
      </c>
      <c r="AG484" t="s">
        <v>163</v>
      </c>
      <c r="AH484" t="s">
        <v>163</v>
      </c>
      <c r="AI484" t="s">
        <v>163</v>
      </c>
      <c r="AJ484" t="s">
        <v>163</v>
      </c>
      <c r="AK484">
        <v>3</v>
      </c>
      <c r="AL484">
        <v>4</v>
      </c>
      <c r="AM484" t="s">
        <v>163</v>
      </c>
      <c r="AN484">
        <v>1</v>
      </c>
      <c r="AO484">
        <v>1</v>
      </c>
      <c r="AP484">
        <v>2</v>
      </c>
      <c r="AQ484">
        <v>2</v>
      </c>
      <c r="AR484">
        <v>5</v>
      </c>
      <c r="AS484">
        <v>6</v>
      </c>
    </row>
    <row r="485" spans="1:45" x14ac:dyDescent="0.35">
      <c r="A485" s="337">
        <v>46266</v>
      </c>
      <c r="B485" s="337">
        <v>46269</v>
      </c>
      <c r="C485" s="339">
        <v>0</v>
      </c>
      <c r="D485" t="s">
        <v>130</v>
      </c>
      <c r="E485" s="339">
        <v>0.95833333333333337</v>
      </c>
      <c r="F485">
        <v>2</v>
      </c>
      <c r="G485" t="s">
        <v>92</v>
      </c>
      <c r="H485" t="s">
        <v>163</v>
      </c>
      <c r="I485" t="s">
        <v>165</v>
      </c>
      <c r="J485" t="s">
        <v>165</v>
      </c>
      <c r="K485" t="s">
        <v>165</v>
      </c>
      <c r="L485" t="s">
        <v>163</v>
      </c>
      <c r="M485" t="s">
        <v>161</v>
      </c>
      <c r="N485">
        <v>10.58</v>
      </c>
      <c r="O485" t="s">
        <v>163</v>
      </c>
      <c r="P485" t="s">
        <v>163</v>
      </c>
      <c r="Q485" t="s">
        <v>163</v>
      </c>
      <c r="R485" t="s">
        <v>163</v>
      </c>
      <c r="S485" t="s">
        <v>163</v>
      </c>
      <c r="T485" t="s">
        <v>163</v>
      </c>
      <c r="U485" t="s">
        <v>163</v>
      </c>
      <c r="V485" t="s">
        <v>163</v>
      </c>
      <c r="W485" t="s">
        <v>165</v>
      </c>
      <c r="X485" t="s">
        <v>165</v>
      </c>
      <c r="Y485">
        <v>1</v>
      </c>
      <c r="Z485" t="s">
        <v>163</v>
      </c>
      <c r="AA485">
        <v>1</v>
      </c>
      <c r="AB485">
        <v>2</v>
      </c>
      <c r="AC485">
        <v>0</v>
      </c>
      <c r="AD485" t="s">
        <v>163</v>
      </c>
      <c r="AE485" t="s">
        <v>163</v>
      </c>
      <c r="AF485" t="s">
        <v>163</v>
      </c>
      <c r="AG485" t="s">
        <v>163</v>
      </c>
      <c r="AH485" t="s">
        <v>163</v>
      </c>
      <c r="AI485" t="s">
        <v>163</v>
      </c>
      <c r="AJ485" t="s">
        <v>163</v>
      </c>
      <c r="AK485">
        <v>3</v>
      </c>
      <c r="AL485">
        <v>4</v>
      </c>
      <c r="AM485" t="s">
        <v>163</v>
      </c>
      <c r="AN485">
        <v>1</v>
      </c>
      <c r="AO485">
        <v>1</v>
      </c>
      <c r="AP485">
        <v>2</v>
      </c>
      <c r="AQ485">
        <v>2</v>
      </c>
      <c r="AR485">
        <v>5</v>
      </c>
      <c r="AS485">
        <v>6</v>
      </c>
    </row>
    <row r="486" spans="1:45" x14ac:dyDescent="0.35">
      <c r="A486" s="337">
        <v>46266</v>
      </c>
      <c r="B486" s="337">
        <v>46269</v>
      </c>
      <c r="C486" s="337">
        <v>816</v>
      </c>
      <c r="D486" t="s">
        <v>130</v>
      </c>
      <c r="E486" s="339">
        <v>0.91666666666666663</v>
      </c>
      <c r="F486">
        <v>2</v>
      </c>
      <c r="G486" t="s">
        <v>92</v>
      </c>
      <c r="H486" t="s">
        <v>163</v>
      </c>
      <c r="I486" t="s">
        <v>165</v>
      </c>
      <c r="J486" t="s">
        <v>165</v>
      </c>
      <c r="K486" t="s">
        <v>165</v>
      </c>
      <c r="L486" t="s">
        <v>163</v>
      </c>
      <c r="M486" t="s">
        <v>161</v>
      </c>
      <c r="N486">
        <v>10.43</v>
      </c>
      <c r="O486" t="s">
        <v>163</v>
      </c>
      <c r="P486" t="s">
        <v>163</v>
      </c>
      <c r="Q486" t="s">
        <v>163</v>
      </c>
      <c r="R486" t="s">
        <v>163</v>
      </c>
      <c r="S486" t="s">
        <v>163</v>
      </c>
      <c r="T486" t="s">
        <v>163</v>
      </c>
      <c r="U486" t="s">
        <v>163</v>
      </c>
      <c r="V486" t="s">
        <v>163</v>
      </c>
      <c r="W486" t="s">
        <v>165</v>
      </c>
      <c r="X486" t="s">
        <v>165</v>
      </c>
      <c r="Y486" t="s">
        <v>163</v>
      </c>
      <c r="Z486" t="s">
        <v>163</v>
      </c>
      <c r="AA486">
        <v>1</v>
      </c>
      <c r="AB486">
        <v>2</v>
      </c>
      <c r="AC486">
        <v>0</v>
      </c>
      <c r="AD486" t="s">
        <v>163</v>
      </c>
      <c r="AE486" t="s">
        <v>163</v>
      </c>
      <c r="AF486" t="s">
        <v>163</v>
      </c>
      <c r="AG486" t="s">
        <v>163</v>
      </c>
      <c r="AH486" t="s">
        <v>163</v>
      </c>
      <c r="AI486" t="s">
        <v>163</v>
      </c>
      <c r="AJ486" t="s">
        <v>163</v>
      </c>
      <c r="AK486">
        <v>3</v>
      </c>
      <c r="AL486">
        <v>4</v>
      </c>
      <c r="AM486" t="s">
        <v>163</v>
      </c>
      <c r="AN486">
        <v>1</v>
      </c>
      <c r="AO486">
        <v>1</v>
      </c>
      <c r="AP486">
        <v>2</v>
      </c>
      <c r="AQ486">
        <v>2</v>
      </c>
      <c r="AR486">
        <v>5</v>
      </c>
      <c r="AS486">
        <v>6</v>
      </c>
    </row>
    <row r="487" spans="1:45" x14ac:dyDescent="0.35">
      <c r="A487" s="337">
        <v>46266</v>
      </c>
      <c r="B487" s="337">
        <v>46269</v>
      </c>
      <c r="C487" s="337">
        <v>46260</v>
      </c>
      <c r="D487" t="s">
        <v>128</v>
      </c>
      <c r="E487" s="339">
        <v>0.875</v>
      </c>
      <c r="F487">
        <v>3</v>
      </c>
      <c r="G487" t="s">
        <v>119</v>
      </c>
      <c r="H487">
        <v>0.01</v>
      </c>
      <c r="I487" t="s">
        <v>165</v>
      </c>
      <c r="J487" t="s">
        <v>165</v>
      </c>
      <c r="K487" t="s">
        <v>165</v>
      </c>
      <c r="L487" t="s">
        <v>161</v>
      </c>
      <c r="M487" t="s">
        <v>161</v>
      </c>
      <c r="N487">
        <v>11.67</v>
      </c>
      <c r="O487" t="s">
        <v>163</v>
      </c>
      <c r="P487" t="s">
        <v>163</v>
      </c>
      <c r="Q487" t="s">
        <v>163</v>
      </c>
      <c r="R487" t="s">
        <v>163</v>
      </c>
      <c r="S487" t="s">
        <v>163</v>
      </c>
      <c r="T487" t="s">
        <v>163</v>
      </c>
      <c r="U487" t="s">
        <v>163</v>
      </c>
      <c r="V487" t="s">
        <v>163</v>
      </c>
      <c r="W487" t="s">
        <v>165</v>
      </c>
      <c r="X487" t="s">
        <v>165</v>
      </c>
      <c r="Y487" t="s">
        <v>163</v>
      </c>
      <c r="Z487">
        <v>2</v>
      </c>
      <c r="AA487">
        <v>1</v>
      </c>
      <c r="AB487">
        <v>2</v>
      </c>
      <c r="AC487">
        <v>0</v>
      </c>
      <c r="AD487" t="s">
        <v>163</v>
      </c>
      <c r="AE487" t="s">
        <v>163</v>
      </c>
      <c r="AF487" t="s">
        <v>163</v>
      </c>
      <c r="AG487" t="s">
        <v>163</v>
      </c>
      <c r="AH487" t="s">
        <v>163</v>
      </c>
      <c r="AI487" t="s">
        <v>163</v>
      </c>
      <c r="AJ487" t="s">
        <v>163</v>
      </c>
      <c r="AK487">
        <v>5</v>
      </c>
      <c r="AL487">
        <v>6</v>
      </c>
      <c r="AM487" t="s">
        <v>163</v>
      </c>
      <c r="AN487">
        <v>1</v>
      </c>
      <c r="AO487">
        <v>1</v>
      </c>
      <c r="AP487">
        <v>2</v>
      </c>
      <c r="AQ487">
        <v>2</v>
      </c>
      <c r="AR487">
        <v>7</v>
      </c>
      <c r="AS487">
        <v>8</v>
      </c>
    </row>
    <row r="488" spans="1:45" x14ac:dyDescent="0.35">
      <c r="A488" s="337">
        <v>46266</v>
      </c>
      <c r="B488" s="337">
        <v>46269</v>
      </c>
      <c r="C488" s="337">
        <v>46260</v>
      </c>
      <c r="D488" t="s">
        <v>128</v>
      </c>
      <c r="E488" s="339">
        <v>0.79166666666666663</v>
      </c>
      <c r="F488">
        <v>3</v>
      </c>
      <c r="G488" t="s">
        <v>119</v>
      </c>
      <c r="H488">
        <v>0.01</v>
      </c>
      <c r="I488" t="s">
        <v>165</v>
      </c>
      <c r="J488" t="s">
        <v>165</v>
      </c>
      <c r="K488" t="s">
        <v>165</v>
      </c>
      <c r="L488" t="s">
        <v>161</v>
      </c>
      <c r="M488" t="s">
        <v>161</v>
      </c>
      <c r="N488">
        <v>11.98</v>
      </c>
      <c r="O488" t="s">
        <v>163</v>
      </c>
      <c r="P488" t="s">
        <v>163</v>
      </c>
      <c r="Q488" t="s">
        <v>163</v>
      </c>
      <c r="R488" t="s">
        <v>163</v>
      </c>
      <c r="S488" t="s">
        <v>163</v>
      </c>
      <c r="T488" t="s">
        <v>163</v>
      </c>
      <c r="U488" t="s">
        <v>163</v>
      </c>
      <c r="V488" t="s">
        <v>163</v>
      </c>
      <c r="W488" t="s">
        <v>165</v>
      </c>
      <c r="X488" t="s">
        <v>165</v>
      </c>
      <c r="Y488" t="s">
        <v>163</v>
      </c>
      <c r="Z488">
        <v>2</v>
      </c>
      <c r="AA488">
        <v>1</v>
      </c>
      <c r="AB488">
        <v>2</v>
      </c>
      <c r="AC488">
        <v>0</v>
      </c>
      <c r="AD488" t="s">
        <v>163</v>
      </c>
      <c r="AE488" t="s">
        <v>163</v>
      </c>
      <c r="AF488" t="s">
        <v>163</v>
      </c>
      <c r="AG488" t="s">
        <v>163</v>
      </c>
      <c r="AH488" t="s">
        <v>163</v>
      </c>
      <c r="AI488" t="s">
        <v>163</v>
      </c>
      <c r="AJ488" t="s">
        <v>163</v>
      </c>
      <c r="AK488">
        <v>5</v>
      </c>
      <c r="AL488">
        <v>6</v>
      </c>
      <c r="AM488" t="s">
        <v>163</v>
      </c>
      <c r="AN488">
        <v>1</v>
      </c>
      <c r="AO488">
        <v>1</v>
      </c>
      <c r="AP488">
        <v>2</v>
      </c>
      <c r="AQ488">
        <v>2</v>
      </c>
      <c r="AR488">
        <v>7</v>
      </c>
      <c r="AS488">
        <v>8</v>
      </c>
    </row>
    <row r="489" spans="1:45" x14ac:dyDescent="0.35">
      <c r="A489" s="337">
        <v>46266</v>
      </c>
      <c r="B489" s="337">
        <v>46269</v>
      </c>
      <c r="C489" s="337">
        <v>46260</v>
      </c>
      <c r="D489" t="s">
        <v>128</v>
      </c>
      <c r="E489" s="339">
        <v>0.75</v>
      </c>
      <c r="F489">
        <v>3</v>
      </c>
      <c r="G489" t="s">
        <v>117</v>
      </c>
      <c r="H489">
        <v>0.01</v>
      </c>
      <c r="I489" t="s">
        <v>165</v>
      </c>
      <c r="J489" t="s">
        <v>165</v>
      </c>
      <c r="K489" t="s">
        <v>165</v>
      </c>
      <c r="L489" t="s">
        <v>161</v>
      </c>
      <c r="M489" t="s">
        <v>161</v>
      </c>
      <c r="N489" t="s">
        <v>163</v>
      </c>
      <c r="O489" t="s">
        <v>163</v>
      </c>
      <c r="P489" t="s">
        <v>163</v>
      </c>
      <c r="Q489" t="s">
        <v>163</v>
      </c>
      <c r="R489" t="s">
        <v>163</v>
      </c>
      <c r="S489" t="s">
        <v>163</v>
      </c>
      <c r="T489" t="s">
        <v>163</v>
      </c>
      <c r="U489" t="s">
        <v>163</v>
      </c>
      <c r="V489" t="s">
        <v>163</v>
      </c>
      <c r="W489" t="s">
        <v>165</v>
      </c>
      <c r="X489" t="s">
        <v>165</v>
      </c>
      <c r="Y489" t="s">
        <v>163</v>
      </c>
      <c r="Z489">
        <v>2</v>
      </c>
      <c r="AA489">
        <v>1</v>
      </c>
      <c r="AB489">
        <v>2</v>
      </c>
      <c r="AC489" t="s">
        <v>163</v>
      </c>
      <c r="AD489" t="s">
        <v>163</v>
      </c>
      <c r="AE489" t="s">
        <v>163</v>
      </c>
      <c r="AF489" t="s">
        <v>163</v>
      </c>
      <c r="AG489" t="s">
        <v>163</v>
      </c>
      <c r="AH489" t="s">
        <v>163</v>
      </c>
      <c r="AI489" t="s">
        <v>163</v>
      </c>
      <c r="AJ489" t="s">
        <v>163</v>
      </c>
      <c r="AK489">
        <v>5</v>
      </c>
      <c r="AL489">
        <v>5</v>
      </c>
      <c r="AM489" t="s">
        <v>163</v>
      </c>
      <c r="AN489">
        <v>1</v>
      </c>
      <c r="AO489">
        <v>1</v>
      </c>
      <c r="AP489">
        <v>2</v>
      </c>
      <c r="AQ489">
        <v>2</v>
      </c>
      <c r="AR489">
        <v>7</v>
      </c>
      <c r="AS489">
        <v>7</v>
      </c>
    </row>
    <row r="490" spans="1:45" x14ac:dyDescent="0.35">
      <c r="A490" s="337">
        <v>46266</v>
      </c>
      <c r="B490" s="337">
        <v>46269</v>
      </c>
      <c r="C490" s="337">
        <v>46260</v>
      </c>
      <c r="D490" t="s">
        <v>128</v>
      </c>
      <c r="E490" s="339">
        <v>0.66666666666666663</v>
      </c>
      <c r="F490">
        <v>3</v>
      </c>
      <c r="G490" t="s">
        <v>117</v>
      </c>
      <c r="H490">
        <v>0.01</v>
      </c>
      <c r="I490" t="s">
        <v>165</v>
      </c>
      <c r="J490" t="s">
        <v>165</v>
      </c>
      <c r="K490" t="s">
        <v>165</v>
      </c>
      <c r="L490" t="s">
        <v>161</v>
      </c>
      <c r="M490" t="s">
        <v>161</v>
      </c>
      <c r="N490">
        <v>12.33</v>
      </c>
      <c r="O490">
        <v>12.66</v>
      </c>
      <c r="P490">
        <v>0.56000000000000005</v>
      </c>
      <c r="Q490" t="s">
        <v>163</v>
      </c>
      <c r="R490" t="s">
        <v>163</v>
      </c>
      <c r="S490" t="s">
        <v>163</v>
      </c>
      <c r="T490">
        <v>35.4</v>
      </c>
      <c r="U490" t="s">
        <v>163</v>
      </c>
      <c r="V490" t="s">
        <v>163</v>
      </c>
      <c r="W490" t="s">
        <v>165</v>
      </c>
      <c r="X490" t="s">
        <v>165</v>
      </c>
      <c r="Y490" t="s">
        <v>419</v>
      </c>
      <c r="Z490">
        <v>2</v>
      </c>
      <c r="AA490">
        <v>1</v>
      </c>
      <c r="AB490">
        <v>2</v>
      </c>
      <c r="AC490">
        <v>1</v>
      </c>
      <c r="AD490">
        <v>1</v>
      </c>
      <c r="AE490">
        <v>2</v>
      </c>
      <c r="AF490" t="s">
        <v>163</v>
      </c>
      <c r="AG490" t="s">
        <v>163</v>
      </c>
      <c r="AH490" t="s">
        <v>163</v>
      </c>
      <c r="AI490">
        <v>2</v>
      </c>
      <c r="AJ490" t="s">
        <v>163</v>
      </c>
      <c r="AK490">
        <v>11</v>
      </c>
      <c r="AL490">
        <v>11</v>
      </c>
      <c r="AM490" t="s">
        <v>163</v>
      </c>
      <c r="AN490">
        <v>1</v>
      </c>
      <c r="AO490">
        <v>1</v>
      </c>
      <c r="AP490">
        <v>2</v>
      </c>
      <c r="AQ490">
        <v>2</v>
      </c>
      <c r="AR490">
        <v>13</v>
      </c>
      <c r="AS490">
        <v>13</v>
      </c>
    </row>
    <row r="491" spans="1:45" x14ac:dyDescent="0.35">
      <c r="A491" s="337">
        <v>46266</v>
      </c>
      <c r="B491" s="337">
        <v>46269</v>
      </c>
      <c r="C491" s="337">
        <v>46267</v>
      </c>
      <c r="D491" t="s">
        <v>128</v>
      </c>
      <c r="E491" s="339">
        <v>0.625</v>
      </c>
      <c r="F491">
        <v>3</v>
      </c>
      <c r="G491" t="s">
        <v>41</v>
      </c>
      <c r="H491" t="s">
        <v>163</v>
      </c>
      <c r="I491" t="s">
        <v>165</v>
      </c>
      <c r="J491" t="s">
        <v>165</v>
      </c>
      <c r="K491" t="s">
        <v>165</v>
      </c>
      <c r="L491" t="s">
        <v>161</v>
      </c>
      <c r="M491" t="s">
        <v>161</v>
      </c>
      <c r="N491">
        <v>12.61</v>
      </c>
      <c r="O491" t="s">
        <v>163</v>
      </c>
      <c r="P491" t="s">
        <v>163</v>
      </c>
      <c r="Q491" t="s">
        <v>163</v>
      </c>
      <c r="R491" t="s">
        <v>163</v>
      </c>
      <c r="S491" t="s">
        <v>163</v>
      </c>
      <c r="T491" t="s">
        <v>163</v>
      </c>
      <c r="U491" t="s">
        <v>163</v>
      </c>
      <c r="V491" t="s">
        <v>163</v>
      </c>
      <c r="W491" t="s">
        <v>165</v>
      </c>
      <c r="X491" t="s">
        <v>165</v>
      </c>
      <c r="Y491" t="s">
        <v>163</v>
      </c>
      <c r="Z491" t="s">
        <v>163</v>
      </c>
      <c r="AA491">
        <v>1</v>
      </c>
      <c r="AB491">
        <v>2</v>
      </c>
      <c r="AC491">
        <v>1</v>
      </c>
      <c r="AD491" t="s">
        <v>163</v>
      </c>
      <c r="AE491" t="s">
        <v>163</v>
      </c>
      <c r="AF491" t="s">
        <v>163</v>
      </c>
      <c r="AG491" t="s">
        <v>163</v>
      </c>
      <c r="AH491" t="s">
        <v>163</v>
      </c>
      <c r="AI491" t="s">
        <v>163</v>
      </c>
      <c r="AJ491" t="s">
        <v>163</v>
      </c>
      <c r="AK491">
        <v>4</v>
      </c>
      <c r="AL491">
        <v>4</v>
      </c>
      <c r="AM491" t="s">
        <v>163</v>
      </c>
      <c r="AN491">
        <v>1</v>
      </c>
      <c r="AO491">
        <v>1</v>
      </c>
      <c r="AP491">
        <v>2</v>
      </c>
      <c r="AQ491">
        <v>2</v>
      </c>
      <c r="AR491">
        <v>6</v>
      </c>
      <c r="AS491">
        <v>6</v>
      </c>
    </row>
    <row r="492" spans="1:45" x14ac:dyDescent="0.35">
      <c r="A492" s="337">
        <v>46266</v>
      </c>
      <c r="B492" s="337">
        <v>46269</v>
      </c>
      <c r="C492" s="337">
        <v>46267</v>
      </c>
      <c r="D492" t="s">
        <v>128</v>
      </c>
      <c r="E492" s="339">
        <v>0.58333333333333337</v>
      </c>
      <c r="F492">
        <v>3</v>
      </c>
      <c r="G492" t="s">
        <v>41</v>
      </c>
      <c r="H492" t="s">
        <v>163</v>
      </c>
      <c r="I492" t="s">
        <v>165</v>
      </c>
      <c r="J492" t="s">
        <v>165</v>
      </c>
      <c r="K492" t="s">
        <v>165</v>
      </c>
      <c r="L492" t="s">
        <v>161</v>
      </c>
      <c r="M492" t="s">
        <v>161</v>
      </c>
      <c r="N492">
        <v>12.54</v>
      </c>
      <c r="O492">
        <v>11.89</v>
      </c>
      <c r="P492" t="s">
        <v>163</v>
      </c>
      <c r="Q492" t="s">
        <v>163</v>
      </c>
      <c r="R492" t="s">
        <v>163</v>
      </c>
      <c r="S492" t="s">
        <v>163</v>
      </c>
      <c r="T492">
        <v>33</v>
      </c>
      <c r="U492" t="s">
        <v>163</v>
      </c>
      <c r="V492" t="s">
        <v>163</v>
      </c>
      <c r="W492" t="s">
        <v>165</v>
      </c>
      <c r="X492" t="s">
        <v>165</v>
      </c>
      <c r="Y492">
        <v>1</v>
      </c>
      <c r="Z492" t="s">
        <v>163</v>
      </c>
      <c r="AA492">
        <v>1</v>
      </c>
      <c r="AB492">
        <v>2</v>
      </c>
      <c r="AC492">
        <v>1</v>
      </c>
      <c r="AD492">
        <v>1</v>
      </c>
      <c r="AE492" t="s">
        <v>163</v>
      </c>
      <c r="AF492" t="s">
        <v>163</v>
      </c>
      <c r="AG492" t="s">
        <v>163</v>
      </c>
      <c r="AH492" t="s">
        <v>163</v>
      </c>
      <c r="AI492">
        <v>2</v>
      </c>
      <c r="AJ492" t="s">
        <v>163</v>
      </c>
      <c r="AK492">
        <v>7</v>
      </c>
      <c r="AL492">
        <v>7</v>
      </c>
      <c r="AM492" t="s">
        <v>163</v>
      </c>
      <c r="AN492">
        <v>1</v>
      </c>
      <c r="AO492">
        <v>1</v>
      </c>
      <c r="AP492">
        <v>2</v>
      </c>
      <c r="AQ492">
        <v>2</v>
      </c>
      <c r="AR492">
        <v>9</v>
      </c>
      <c r="AS492">
        <v>9</v>
      </c>
    </row>
    <row r="493" spans="1:45" x14ac:dyDescent="0.35">
      <c r="A493" s="337">
        <v>46266</v>
      </c>
      <c r="B493" s="337">
        <v>46269</v>
      </c>
      <c r="C493" s="339">
        <v>0</v>
      </c>
      <c r="D493" t="s">
        <v>128</v>
      </c>
      <c r="E493" s="339">
        <v>0.875</v>
      </c>
      <c r="F493">
        <v>2</v>
      </c>
      <c r="G493" t="s">
        <v>92</v>
      </c>
      <c r="H493" t="s">
        <v>163</v>
      </c>
      <c r="I493" t="s">
        <v>165</v>
      </c>
      <c r="J493" t="s">
        <v>165</v>
      </c>
      <c r="K493" t="s">
        <v>165</v>
      </c>
      <c r="L493" t="s">
        <v>163</v>
      </c>
      <c r="M493" t="s">
        <v>161</v>
      </c>
      <c r="N493">
        <v>10.3</v>
      </c>
      <c r="O493" t="s">
        <v>163</v>
      </c>
      <c r="P493" t="s">
        <v>163</v>
      </c>
      <c r="Q493" t="s">
        <v>163</v>
      </c>
      <c r="R493" t="s">
        <v>163</v>
      </c>
      <c r="S493" t="s">
        <v>163</v>
      </c>
      <c r="T493" t="s">
        <v>163</v>
      </c>
      <c r="U493" t="s">
        <v>163</v>
      </c>
      <c r="V493" t="s">
        <v>163</v>
      </c>
      <c r="W493" t="s">
        <v>165</v>
      </c>
      <c r="X493" t="s">
        <v>165</v>
      </c>
      <c r="Y493" t="s">
        <v>163</v>
      </c>
      <c r="Z493" t="s">
        <v>163</v>
      </c>
      <c r="AA493">
        <v>1</v>
      </c>
      <c r="AB493">
        <v>2</v>
      </c>
      <c r="AC493">
        <v>0</v>
      </c>
      <c r="AD493" t="s">
        <v>163</v>
      </c>
      <c r="AE493" t="s">
        <v>163</v>
      </c>
      <c r="AF493" t="s">
        <v>163</v>
      </c>
      <c r="AG493" t="s">
        <v>163</v>
      </c>
      <c r="AH493" t="s">
        <v>163</v>
      </c>
      <c r="AI493" t="s">
        <v>163</v>
      </c>
      <c r="AJ493" t="s">
        <v>163</v>
      </c>
      <c r="AK493">
        <v>3</v>
      </c>
      <c r="AL493">
        <v>4</v>
      </c>
      <c r="AM493" t="s">
        <v>163</v>
      </c>
      <c r="AN493">
        <v>1</v>
      </c>
      <c r="AO493">
        <v>1</v>
      </c>
      <c r="AP493">
        <v>2</v>
      </c>
      <c r="AQ493">
        <v>2</v>
      </c>
      <c r="AR493">
        <v>5</v>
      </c>
      <c r="AS493">
        <v>6</v>
      </c>
    </row>
    <row r="494" spans="1:45" x14ac:dyDescent="0.35">
      <c r="A494" s="337">
        <v>46266</v>
      </c>
      <c r="B494" s="337">
        <v>46269</v>
      </c>
      <c r="C494" s="339">
        <v>0</v>
      </c>
      <c r="D494" t="s">
        <v>128</v>
      </c>
      <c r="E494" s="339">
        <v>0.83333333333333337</v>
      </c>
      <c r="F494">
        <v>2</v>
      </c>
      <c r="G494" t="s">
        <v>92</v>
      </c>
      <c r="H494" t="s">
        <v>163</v>
      </c>
      <c r="I494" t="s">
        <v>165</v>
      </c>
      <c r="J494" t="s">
        <v>165</v>
      </c>
      <c r="K494" t="s">
        <v>165</v>
      </c>
      <c r="L494" t="s">
        <v>163</v>
      </c>
      <c r="M494" t="s">
        <v>161</v>
      </c>
      <c r="N494">
        <v>10.54</v>
      </c>
      <c r="O494" t="s">
        <v>163</v>
      </c>
      <c r="P494" t="s">
        <v>163</v>
      </c>
      <c r="Q494" t="s">
        <v>163</v>
      </c>
      <c r="R494" t="s">
        <v>163</v>
      </c>
      <c r="S494" t="s">
        <v>163</v>
      </c>
      <c r="T494" t="s">
        <v>163</v>
      </c>
      <c r="U494" t="s">
        <v>163</v>
      </c>
      <c r="V494" t="s">
        <v>163</v>
      </c>
      <c r="W494" t="s">
        <v>165</v>
      </c>
      <c r="X494" t="s">
        <v>165</v>
      </c>
      <c r="Y494" t="s">
        <v>163</v>
      </c>
      <c r="Z494" t="s">
        <v>163</v>
      </c>
      <c r="AA494">
        <v>1</v>
      </c>
      <c r="AB494">
        <v>2</v>
      </c>
      <c r="AC494">
        <v>0</v>
      </c>
      <c r="AD494" t="s">
        <v>163</v>
      </c>
      <c r="AE494" t="s">
        <v>163</v>
      </c>
      <c r="AF494" t="s">
        <v>163</v>
      </c>
      <c r="AG494" t="s">
        <v>163</v>
      </c>
      <c r="AH494" t="s">
        <v>163</v>
      </c>
      <c r="AI494" t="s">
        <v>163</v>
      </c>
      <c r="AJ494" t="s">
        <v>163</v>
      </c>
      <c r="AK494">
        <v>3</v>
      </c>
      <c r="AL494">
        <v>4</v>
      </c>
      <c r="AM494" t="s">
        <v>163</v>
      </c>
      <c r="AN494">
        <v>1</v>
      </c>
      <c r="AO494">
        <v>1</v>
      </c>
      <c r="AP494">
        <v>2</v>
      </c>
      <c r="AQ494">
        <v>2</v>
      </c>
      <c r="AR494">
        <v>5</v>
      </c>
      <c r="AS494">
        <v>6</v>
      </c>
    </row>
    <row r="495" spans="1:45" x14ac:dyDescent="0.35">
      <c r="A495" s="337">
        <v>46266</v>
      </c>
      <c r="B495" s="337">
        <v>46269</v>
      </c>
      <c r="C495" s="339">
        <v>0</v>
      </c>
      <c r="D495" t="s">
        <v>128</v>
      </c>
      <c r="E495" s="339">
        <v>0.79166666666666663</v>
      </c>
      <c r="F495">
        <v>2</v>
      </c>
      <c r="G495" t="s">
        <v>92</v>
      </c>
      <c r="H495" t="s">
        <v>163</v>
      </c>
      <c r="I495" t="s">
        <v>165</v>
      </c>
      <c r="J495" t="s">
        <v>165</v>
      </c>
      <c r="K495" t="s">
        <v>165</v>
      </c>
      <c r="L495" t="s">
        <v>163</v>
      </c>
      <c r="M495" t="s">
        <v>161</v>
      </c>
      <c r="N495">
        <v>10.51</v>
      </c>
      <c r="O495" t="s">
        <v>163</v>
      </c>
      <c r="P495" t="s">
        <v>163</v>
      </c>
      <c r="Q495" t="s">
        <v>163</v>
      </c>
      <c r="R495" t="s">
        <v>163</v>
      </c>
      <c r="S495" t="s">
        <v>163</v>
      </c>
      <c r="T495" t="s">
        <v>163</v>
      </c>
      <c r="U495" t="s">
        <v>163</v>
      </c>
      <c r="V495" t="s">
        <v>163</v>
      </c>
      <c r="W495" t="s">
        <v>165</v>
      </c>
      <c r="X495" t="s">
        <v>165</v>
      </c>
      <c r="Y495" t="s">
        <v>163</v>
      </c>
      <c r="Z495" t="s">
        <v>163</v>
      </c>
      <c r="AA495">
        <v>1</v>
      </c>
      <c r="AB495">
        <v>2</v>
      </c>
      <c r="AC495">
        <v>0</v>
      </c>
      <c r="AD495" t="s">
        <v>163</v>
      </c>
      <c r="AE495" t="s">
        <v>163</v>
      </c>
      <c r="AF495" t="s">
        <v>163</v>
      </c>
      <c r="AG495" t="s">
        <v>163</v>
      </c>
      <c r="AH495" t="s">
        <v>163</v>
      </c>
      <c r="AI495" t="s">
        <v>163</v>
      </c>
      <c r="AJ495" t="s">
        <v>163</v>
      </c>
      <c r="AK495">
        <v>3</v>
      </c>
      <c r="AL495">
        <v>4</v>
      </c>
      <c r="AM495" t="s">
        <v>163</v>
      </c>
      <c r="AN495">
        <v>1</v>
      </c>
      <c r="AO495">
        <v>1</v>
      </c>
      <c r="AP495">
        <v>2</v>
      </c>
      <c r="AQ495">
        <v>2</v>
      </c>
      <c r="AR495">
        <v>5</v>
      </c>
      <c r="AS495">
        <v>6</v>
      </c>
    </row>
    <row r="496" spans="1:45" x14ac:dyDescent="0.35">
      <c r="A496" s="337">
        <v>46266</v>
      </c>
      <c r="B496" s="337">
        <v>46269</v>
      </c>
      <c r="C496" s="339">
        <v>0</v>
      </c>
      <c r="D496" t="s">
        <v>128</v>
      </c>
      <c r="E496" s="339">
        <v>0.75</v>
      </c>
      <c r="F496">
        <v>2</v>
      </c>
      <c r="G496" t="s">
        <v>92</v>
      </c>
      <c r="H496" t="s">
        <v>163</v>
      </c>
      <c r="I496" t="s">
        <v>165</v>
      </c>
      <c r="J496" t="s">
        <v>165</v>
      </c>
      <c r="K496" t="s">
        <v>165</v>
      </c>
      <c r="L496" t="s">
        <v>163</v>
      </c>
      <c r="M496" t="s">
        <v>161</v>
      </c>
      <c r="N496">
        <v>10.86</v>
      </c>
      <c r="O496" t="s">
        <v>163</v>
      </c>
      <c r="P496" t="s">
        <v>163</v>
      </c>
      <c r="Q496" t="s">
        <v>163</v>
      </c>
      <c r="R496" t="s">
        <v>163</v>
      </c>
      <c r="S496" t="s">
        <v>163</v>
      </c>
      <c r="T496" t="s">
        <v>163</v>
      </c>
      <c r="U496" t="s">
        <v>163</v>
      </c>
      <c r="V496" t="s">
        <v>163</v>
      </c>
      <c r="W496" t="s">
        <v>165</v>
      </c>
      <c r="X496" t="s">
        <v>165</v>
      </c>
      <c r="Y496" t="s">
        <v>163</v>
      </c>
      <c r="Z496" t="s">
        <v>163</v>
      </c>
      <c r="AA496">
        <v>1</v>
      </c>
      <c r="AB496">
        <v>2</v>
      </c>
      <c r="AC496">
        <v>0</v>
      </c>
      <c r="AD496" t="s">
        <v>163</v>
      </c>
      <c r="AE496" t="s">
        <v>163</v>
      </c>
      <c r="AF496" t="s">
        <v>163</v>
      </c>
      <c r="AG496" t="s">
        <v>163</v>
      </c>
      <c r="AH496" t="s">
        <v>163</v>
      </c>
      <c r="AI496" t="s">
        <v>163</v>
      </c>
      <c r="AJ496" t="s">
        <v>163</v>
      </c>
      <c r="AK496">
        <v>3</v>
      </c>
      <c r="AL496">
        <v>4</v>
      </c>
      <c r="AM496" t="s">
        <v>163</v>
      </c>
      <c r="AN496">
        <v>1</v>
      </c>
      <c r="AO496">
        <v>1</v>
      </c>
      <c r="AP496">
        <v>2</v>
      </c>
      <c r="AQ496">
        <v>2</v>
      </c>
      <c r="AR496">
        <v>5</v>
      </c>
      <c r="AS496">
        <v>6</v>
      </c>
    </row>
    <row r="497" spans="1:45" x14ac:dyDescent="0.35">
      <c r="A497" s="337">
        <v>46266</v>
      </c>
      <c r="B497" s="337">
        <v>46269</v>
      </c>
      <c r="C497" s="339">
        <v>0</v>
      </c>
      <c r="D497" t="s">
        <v>128</v>
      </c>
      <c r="E497" s="339">
        <v>0.70833333333333337</v>
      </c>
      <c r="F497">
        <v>2</v>
      </c>
      <c r="G497" t="s">
        <v>92</v>
      </c>
      <c r="H497" t="s">
        <v>163</v>
      </c>
      <c r="I497" t="s">
        <v>165</v>
      </c>
      <c r="J497" t="s">
        <v>165</v>
      </c>
      <c r="K497" t="s">
        <v>165</v>
      </c>
      <c r="L497" t="s">
        <v>163</v>
      </c>
      <c r="M497" t="s">
        <v>161</v>
      </c>
      <c r="N497">
        <v>10.83</v>
      </c>
      <c r="O497" t="s">
        <v>163</v>
      </c>
      <c r="P497" t="s">
        <v>163</v>
      </c>
      <c r="Q497" t="s">
        <v>163</v>
      </c>
      <c r="R497" t="s">
        <v>163</v>
      </c>
      <c r="S497" t="s">
        <v>163</v>
      </c>
      <c r="T497" t="s">
        <v>163</v>
      </c>
      <c r="U497" t="s">
        <v>163</v>
      </c>
      <c r="V497" t="s">
        <v>163</v>
      </c>
      <c r="W497" t="s">
        <v>165</v>
      </c>
      <c r="X497" t="s">
        <v>165</v>
      </c>
      <c r="Y497" t="s">
        <v>163</v>
      </c>
      <c r="Z497" t="s">
        <v>163</v>
      </c>
      <c r="AA497">
        <v>1</v>
      </c>
      <c r="AB497">
        <v>2</v>
      </c>
      <c r="AC497">
        <v>0</v>
      </c>
      <c r="AD497" t="s">
        <v>163</v>
      </c>
      <c r="AE497" t="s">
        <v>163</v>
      </c>
      <c r="AF497" t="s">
        <v>163</v>
      </c>
      <c r="AG497" t="s">
        <v>163</v>
      </c>
      <c r="AH497" t="s">
        <v>163</v>
      </c>
      <c r="AI497" t="s">
        <v>163</v>
      </c>
      <c r="AJ497" t="s">
        <v>163</v>
      </c>
      <c r="AK497">
        <v>3</v>
      </c>
      <c r="AL497">
        <v>4</v>
      </c>
      <c r="AM497" t="s">
        <v>163</v>
      </c>
      <c r="AN497">
        <v>1</v>
      </c>
      <c r="AO497">
        <v>1</v>
      </c>
      <c r="AP497">
        <v>2</v>
      </c>
      <c r="AQ497">
        <v>2</v>
      </c>
      <c r="AR497">
        <v>5</v>
      </c>
      <c r="AS497">
        <v>6</v>
      </c>
    </row>
    <row r="498" spans="1:45" x14ac:dyDescent="0.35">
      <c r="A498" s="337">
        <v>46266</v>
      </c>
      <c r="B498" s="337">
        <v>46269</v>
      </c>
      <c r="C498" s="339">
        <v>0</v>
      </c>
      <c r="D498" t="s">
        <v>128</v>
      </c>
      <c r="E498" s="339">
        <v>0.66666666666666663</v>
      </c>
      <c r="F498">
        <v>2</v>
      </c>
      <c r="G498" t="s">
        <v>39</v>
      </c>
      <c r="H498" t="s">
        <v>163</v>
      </c>
      <c r="I498" t="s">
        <v>165</v>
      </c>
      <c r="J498" t="s">
        <v>165</v>
      </c>
      <c r="K498" t="s">
        <v>165</v>
      </c>
      <c r="L498" t="s">
        <v>163</v>
      </c>
      <c r="M498" t="s">
        <v>161</v>
      </c>
      <c r="N498">
        <v>10.49</v>
      </c>
      <c r="O498" t="s">
        <v>163</v>
      </c>
      <c r="P498" t="s">
        <v>163</v>
      </c>
      <c r="Q498" t="s">
        <v>163</v>
      </c>
      <c r="R498" t="s">
        <v>163</v>
      </c>
      <c r="S498" t="s">
        <v>163</v>
      </c>
      <c r="T498" t="s">
        <v>163</v>
      </c>
      <c r="U498" t="s">
        <v>163</v>
      </c>
      <c r="V498" t="s">
        <v>163</v>
      </c>
      <c r="W498" t="s">
        <v>165</v>
      </c>
      <c r="X498" t="s">
        <v>165</v>
      </c>
      <c r="Y498">
        <v>1</v>
      </c>
      <c r="Z498" t="s">
        <v>163</v>
      </c>
      <c r="AA498">
        <v>1</v>
      </c>
      <c r="AB498">
        <v>2</v>
      </c>
      <c r="AC498">
        <v>0</v>
      </c>
      <c r="AD498" t="s">
        <v>163</v>
      </c>
      <c r="AE498" t="s">
        <v>163</v>
      </c>
      <c r="AF498" t="s">
        <v>163</v>
      </c>
      <c r="AG498" t="s">
        <v>163</v>
      </c>
      <c r="AH498" t="s">
        <v>163</v>
      </c>
      <c r="AI498" t="s">
        <v>163</v>
      </c>
      <c r="AJ498" t="s">
        <v>163</v>
      </c>
      <c r="AK498">
        <v>3</v>
      </c>
      <c r="AL498">
        <v>4</v>
      </c>
      <c r="AM498" t="s">
        <v>163</v>
      </c>
      <c r="AN498">
        <v>1</v>
      </c>
      <c r="AO498">
        <v>1</v>
      </c>
      <c r="AP498">
        <v>2</v>
      </c>
      <c r="AQ498">
        <v>2</v>
      </c>
      <c r="AR498">
        <v>5</v>
      </c>
      <c r="AS498">
        <v>6</v>
      </c>
    </row>
    <row r="499" spans="1:45" x14ac:dyDescent="0.35">
      <c r="A499" s="337">
        <v>46266</v>
      </c>
      <c r="B499" s="337">
        <v>46269</v>
      </c>
      <c r="C499" s="339">
        <v>0</v>
      </c>
      <c r="D499" t="s">
        <v>128</v>
      </c>
      <c r="E499" s="339">
        <v>0.625</v>
      </c>
      <c r="F499">
        <v>2</v>
      </c>
      <c r="G499" t="s">
        <v>39</v>
      </c>
      <c r="H499" t="s">
        <v>163</v>
      </c>
      <c r="I499" t="s">
        <v>165</v>
      </c>
      <c r="J499" t="s">
        <v>165</v>
      </c>
      <c r="K499" t="s">
        <v>165</v>
      </c>
      <c r="L499" t="s">
        <v>163</v>
      </c>
      <c r="M499" t="s">
        <v>161</v>
      </c>
      <c r="N499">
        <v>10.67</v>
      </c>
      <c r="O499" t="s">
        <v>163</v>
      </c>
      <c r="P499" t="s">
        <v>163</v>
      </c>
      <c r="Q499" t="s">
        <v>163</v>
      </c>
      <c r="R499" t="s">
        <v>163</v>
      </c>
      <c r="S499" t="s">
        <v>163</v>
      </c>
      <c r="T499" t="s">
        <v>163</v>
      </c>
      <c r="U499" t="s">
        <v>163</v>
      </c>
      <c r="V499" t="s">
        <v>163</v>
      </c>
      <c r="W499" t="s">
        <v>165</v>
      </c>
      <c r="X499" t="s">
        <v>165</v>
      </c>
      <c r="Y499" t="s">
        <v>163</v>
      </c>
      <c r="Z499" t="s">
        <v>163</v>
      </c>
      <c r="AA499">
        <v>1</v>
      </c>
      <c r="AB499">
        <v>2</v>
      </c>
      <c r="AC499">
        <v>0</v>
      </c>
      <c r="AD499" t="s">
        <v>163</v>
      </c>
      <c r="AE499" t="s">
        <v>163</v>
      </c>
      <c r="AF499" t="s">
        <v>163</v>
      </c>
      <c r="AG499" t="s">
        <v>163</v>
      </c>
      <c r="AH499" t="s">
        <v>163</v>
      </c>
      <c r="AI499" t="s">
        <v>163</v>
      </c>
      <c r="AJ499" t="s">
        <v>163</v>
      </c>
      <c r="AK499">
        <v>3</v>
      </c>
      <c r="AL499">
        <v>4</v>
      </c>
      <c r="AM499" t="s">
        <v>163</v>
      </c>
      <c r="AN499">
        <v>1</v>
      </c>
      <c r="AO499">
        <v>1</v>
      </c>
      <c r="AP499">
        <v>2</v>
      </c>
      <c r="AQ499">
        <v>2</v>
      </c>
      <c r="AR499">
        <v>5</v>
      </c>
      <c r="AS499">
        <v>6</v>
      </c>
    </row>
    <row r="500" spans="1:45" x14ac:dyDescent="0.35">
      <c r="A500" s="337">
        <v>46266</v>
      </c>
      <c r="B500" s="337">
        <v>46269</v>
      </c>
      <c r="C500" s="337">
        <v>816</v>
      </c>
      <c r="D500" t="s">
        <v>128</v>
      </c>
      <c r="E500" s="339">
        <v>0.58333333333333337</v>
      </c>
      <c r="F500">
        <v>2</v>
      </c>
      <c r="G500" t="s">
        <v>39</v>
      </c>
      <c r="H500" t="s">
        <v>163</v>
      </c>
      <c r="I500" t="s">
        <v>165</v>
      </c>
      <c r="J500" t="s">
        <v>165</v>
      </c>
      <c r="K500" t="s">
        <v>165</v>
      </c>
      <c r="L500" t="s">
        <v>163</v>
      </c>
      <c r="M500" t="s">
        <v>161</v>
      </c>
      <c r="N500">
        <v>10.24</v>
      </c>
      <c r="O500">
        <v>8.7100000000000009</v>
      </c>
      <c r="P500">
        <v>0.41</v>
      </c>
      <c r="Q500">
        <v>54.7</v>
      </c>
      <c r="R500" t="s">
        <v>163</v>
      </c>
      <c r="S500" t="s">
        <v>163</v>
      </c>
      <c r="T500">
        <v>23.5</v>
      </c>
      <c r="U500" t="s">
        <v>163</v>
      </c>
      <c r="V500" t="s">
        <v>163</v>
      </c>
      <c r="W500" t="s">
        <v>165</v>
      </c>
      <c r="X500" t="s">
        <v>165</v>
      </c>
      <c r="Y500" t="s">
        <v>163</v>
      </c>
      <c r="Z500" t="s">
        <v>163</v>
      </c>
      <c r="AA500">
        <v>1</v>
      </c>
      <c r="AB500">
        <v>2</v>
      </c>
      <c r="AC500">
        <v>0</v>
      </c>
      <c r="AD500">
        <v>1</v>
      </c>
      <c r="AE500">
        <v>2</v>
      </c>
      <c r="AF500">
        <v>0</v>
      </c>
      <c r="AG500" t="s">
        <v>163</v>
      </c>
      <c r="AH500" t="s">
        <v>163</v>
      </c>
      <c r="AI500">
        <v>2</v>
      </c>
      <c r="AJ500" t="s">
        <v>163</v>
      </c>
      <c r="AK500">
        <v>8</v>
      </c>
      <c r="AL500">
        <v>11</v>
      </c>
      <c r="AM500" t="s">
        <v>163</v>
      </c>
      <c r="AN500">
        <v>1</v>
      </c>
      <c r="AO500">
        <v>1</v>
      </c>
      <c r="AP500">
        <v>2</v>
      </c>
      <c r="AQ500">
        <v>2</v>
      </c>
      <c r="AR500">
        <v>10</v>
      </c>
      <c r="AS500">
        <v>13</v>
      </c>
    </row>
    <row r="501" spans="1:45" x14ac:dyDescent="0.35">
      <c r="A501" s="337">
        <v>46266</v>
      </c>
      <c r="B501" s="337">
        <v>46269</v>
      </c>
      <c r="C501" s="337">
        <v>46220</v>
      </c>
      <c r="D501" t="s">
        <v>128</v>
      </c>
      <c r="E501" s="339">
        <v>0.75</v>
      </c>
      <c r="F501">
        <v>1</v>
      </c>
      <c r="G501" t="s">
        <v>123</v>
      </c>
      <c r="H501" t="s">
        <v>163</v>
      </c>
      <c r="I501" t="s">
        <v>163</v>
      </c>
      <c r="J501" t="s">
        <v>165</v>
      </c>
      <c r="K501" t="s">
        <v>165</v>
      </c>
      <c r="L501" t="s">
        <v>163</v>
      </c>
      <c r="M501" t="s">
        <v>163</v>
      </c>
      <c r="N501">
        <v>12.96</v>
      </c>
      <c r="O501" t="s">
        <v>163</v>
      </c>
      <c r="P501" t="s">
        <v>163</v>
      </c>
      <c r="Q501" t="s">
        <v>163</v>
      </c>
      <c r="R501" t="s">
        <v>163</v>
      </c>
      <c r="S501" t="s">
        <v>163</v>
      </c>
      <c r="T501" t="s">
        <v>163</v>
      </c>
      <c r="U501" t="s">
        <v>163</v>
      </c>
      <c r="V501" t="s">
        <v>163</v>
      </c>
      <c r="W501" t="s">
        <v>165</v>
      </c>
      <c r="X501" t="s">
        <v>165</v>
      </c>
      <c r="Y501" t="s">
        <v>163</v>
      </c>
      <c r="Z501" t="s">
        <v>163</v>
      </c>
      <c r="AA501" t="s">
        <v>163</v>
      </c>
      <c r="AB501">
        <v>2</v>
      </c>
      <c r="AC501">
        <v>1</v>
      </c>
      <c r="AD501" t="s">
        <v>163</v>
      </c>
      <c r="AE501" t="s">
        <v>163</v>
      </c>
      <c r="AF501" t="s">
        <v>163</v>
      </c>
      <c r="AG501" t="s">
        <v>163</v>
      </c>
      <c r="AH501" t="s">
        <v>163</v>
      </c>
      <c r="AI501" t="s">
        <v>163</v>
      </c>
      <c r="AJ501" t="s">
        <v>163</v>
      </c>
      <c r="AK501">
        <v>3</v>
      </c>
      <c r="AL501">
        <v>3</v>
      </c>
      <c r="AM501" t="s">
        <v>163</v>
      </c>
      <c r="AN501">
        <v>1</v>
      </c>
      <c r="AO501">
        <v>1</v>
      </c>
      <c r="AP501">
        <v>2</v>
      </c>
      <c r="AQ501">
        <v>2</v>
      </c>
      <c r="AR501">
        <v>5</v>
      </c>
      <c r="AS501">
        <v>5</v>
      </c>
    </row>
    <row r="502" spans="1:45" x14ac:dyDescent="0.35">
      <c r="A502" s="337">
        <v>46266</v>
      </c>
      <c r="B502" s="337">
        <v>46269</v>
      </c>
      <c r="C502" s="337">
        <v>46220</v>
      </c>
      <c r="D502" t="s">
        <v>128</v>
      </c>
      <c r="E502" s="339">
        <v>0.70833333333333337</v>
      </c>
      <c r="F502">
        <v>1</v>
      </c>
      <c r="G502" t="s">
        <v>123</v>
      </c>
      <c r="H502" t="s">
        <v>163</v>
      </c>
      <c r="I502" t="s">
        <v>165</v>
      </c>
      <c r="J502" t="s">
        <v>165</v>
      </c>
      <c r="K502" t="s">
        <v>165</v>
      </c>
      <c r="L502" t="s">
        <v>163</v>
      </c>
      <c r="M502" t="s">
        <v>163</v>
      </c>
      <c r="N502">
        <v>12.31</v>
      </c>
      <c r="O502" t="s">
        <v>163</v>
      </c>
      <c r="P502" t="s">
        <v>163</v>
      </c>
      <c r="Q502" t="s">
        <v>163</v>
      </c>
      <c r="R502" t="s">
        <v>163</v>
      </c>
      <c r="S502" t="s">
        <v>163</v>
      </c>
      <c r="T502" t="s">
        <v>163</v>
      </c>
      <c r="U502" t="s">
        <v>163</v>
      </c>
      <c r="V502" t="s">
        <v>163</v>
      </c>
      <c r="W502" t="s">
        <v>165</v>
      </c>
      <c r="X502" t="s">
        <v>165</v>
      </c>
      <c r="Y502" t="s">
        <v>163</v>
      </c>
      <c r="Z502" t="s">
        <v>163</v>
      </c>
      <c r="AA502">
        <v>1</v>
      </c>
      <c r="AB502">
        <v>2</v>
      </c>
      <c r="AC502">
        <v>1</v>
      </c>
      <c r="AD502" t="s">
        <v>163</v>
      </c>
      <c r="AE502" t="s">
        <v>163</v>
      </c>
      <c r="AF502" t="s">
        <v>163</v>
      </c>
      <c r="AG502" t="s">
        <v>163</v>
      </c>
      <c r="AH502" t="s">
        <v>163</v>
      </c>
      <c r="AI502" t="s">
        <v>163</v>
      </c>
      <c r="AJ502" t="s">
        <v>163</v>
      </c>
      <c r="AK502">
        <v>4</v>
      </c>
      <c r="AL502">
        <v>4</v>
      </c>
      <c r="AM502" t="s">
        <v>163</v>
      </c>
      <c r="AN502">
        <v>1</v>
      </c>
      <c r="AO502">
        <v>1</v>
      </c>
      <c r="AP502">
        <v>2</v>
      </c>
      <c r="AQ502">
        <v>2</v>
      </c>
      <c r="AR502">
        <v>6</v>
      </c>
      <c r="AS502">
        <v>6</v>
      </c>
    </row>
    <row r="503" spans="1:45" x14ac:dyDescent="0.35">
      <c r="A503" s="337">
        <v>46266</v>
      </c>
      <c r="B503" s="337">
        <v>46269</v>
      </c>
      <c r="C503" s="337">
        <v>46220</v>
      </c>
      <c r="D503" t="s">
        <v>128</v>
      </c>
      <c r="E503" s="339">
        <v>0.66666666666666663</v>
      </c>
      <c r="F503">
        <v>1</v>
      </c>
      <c r="G503" t="s">
        <v>123</v>
      </c>
      <c r="H503">
        <v>0.01</v>
      </c>
      <c r="I503" t="s">
        <v>165</v>
      </c>
      <c r="J503" t="s">
        <v>165</v>
      </c>
      <c r="K503" t="s">
        <v>165</v>
      </c>
      <c r="L503" t="s">
        <v>163</v>
      </c>
      <c r="M503" t="s">
        <v>163</v>
      </c>
      <c r="N503">
        <v>12.77</v>
      </c>
      <c r="O503" t="s">
        <v>163</v>
      </c>
      <c r="P503" t="s">
        <v>163</v>
      </c>
      <c r="Q503" t="s">
        <v>163</v>
      </c>
      <c r="R503" t="s">
        <v>163</v>
      </c>
      <c r="S503" t="s">
        <v>163</v>
      </c>
      <c r="T503" t="s">
        <v>163</v>
      </c>
      <c r="U503" t="s">
        <v>163</v>
      </c>
      <c r="V503" t="s">
        <v>163</v>
      </c>
      <c r="W503" t="s">
        <v>165</v>
      </c>
      <c r="X503" t="s">
        <v>165</v>
      </c>
      <c r="Y503" t="s">
        <v>163</v>
      </c>
      <c r="Z503">
        <v>2</v>
      </c>
      <c r="AA503">
        <v>1</v>
      </c>
      <c r="AB503">
        <v>2</v>
      </c>
      <c r="AC503">
        <v>1</v>
      </c>
      <c r="AD503" t="s">
        <v>163</v>
      </c>
      <c r="AE503" t="s">
        <v>163</v>
      </c>
      <c r="AF503" t="s">
        <v>163</v>
      </c>
      <c r="AG503" t="s">
        <v>163</v>
      </c>
      <c r="AH503" t="s">
        <v>163</v>
      </c>
      <c r="AI503" t="s">
        <v>163</v>
      </c>
      <c r="AJ503" t="s">
        <v>163</v>
      </c>
      <c r="AK503">
        <v>6</v>
      </c>
      <c r="AL503">
        <v>6</v>
      </c>
      <c r="AM503" t="s">
        <v>163</v>
      </c>
      <c r="AN503">
        <v>1</v>
      </c>
      <c r="AO503">
        <v>1</v>
      </c>
      <c r="AP503">
        <v>2</v>
      </c>
      <c r="AQ503">
        <v>2</v>
      </c>
      <c r="AR503">
        <v>8</v>
      </c>
      <c r="AS503">
        <v>8</v>
      </c>
    </row>
    <row r="504" spans="1:45" x14ac:dyDescent="0.35">
      <c r="A504" s="337">
        <v>46266</v>
      </c>
      <c r="B504" s="337">
        <v>46269</v>
      </c>
      <c r="C504" s="337">
        <v>46220</v>
      </c>
      <c r="D504" t="s">
        <v>128</v>
      </c>
      <c r="E504" s="339">
        <v>0.625</v>
      </c>
      <c r="F504">
        <v>1</v>
      </c>
      <c r="G504" t="s">
        <v>123</v>
      </c>
      <c r="H504">
        <v>0.01</v>
      </c>
      <c r="I504" t="s">
        <v>165</v>
      </c>
      <c r="J504" t="s">
        <v>165</v>
      </c>
      <c r="K504" t="s">
        <v>165</v>
      </c>
      <c r="L504" t="s">
        <v>163</v>
      </c>
      <c r="M504" t="s">
        <v>163</v>
      </c>
      <c r="N504">
        <v>12.54</v>
      </c>
      <c r="O504">
        <v>11.69</v>
      </c>
      <c r="P504">
        <v>0.54</v>
      </c>
      <c r="Q504">
        <v>65.7</v>
      </c>
      <c r="R504" t="s">
        <v>163</v>
      </c>
      <c r="S504" t="s">
        <v>163</v>
      </c>
      <c r="T504">
        <v>32.4</v>
      </c>
      <c r="U504" t="s">
        <v>163</v>
      </c>
      <c r="V504" t="s">
        <v>163</v>
      </c>
      <c r="W504" t="s">
        <v>165</v>
      </c>
      <c r="X504" t="s">
        <v>165</v>
      </c>
      <c r="Y504">
        <v>1</v>
      </c>
      <c r="Z504">
        <v>2</v>
      </c>
      <c r="AA504">
        <v>1</v>
      </c>
      <c r="AB504">
        <v>2</v>
      </c>
      <c r="AC504">
        <v>1</v>
      </c>
      <c r="AD504">
        <v>0</v>
      </c>
      <c r="AE504">
        <v>2</v>
      </c>
      <c r="AF504">
        <v>2</v>
      </c>
      <c r="AG504" t="s">
        <v>163</v>
      </c>
      <c r="AH504" t="s">
        <v>163</v>
      </c>
      <c r="AI504">
        <v>2</v>
      </c>
      <c r="AJ504" t="s">
        <v>163</v>
      </c>
      <c r="AK504">
        <v>12</v>
      </c>
      <c r="AL504">
        <v>13</v>
      </c>
      <c r="AM504" t="s">
        <v>163</v>
      </c>
      <c r="AN504">
        <v>1</v>
      </c>
      <c r="AO504">
        <v>1</v>
      </c>
      <c r="AP504">
        <v>2</v>
      </c>
      <c r="AQ504">
        <v>2</v>
      </c>
      <c r="AR504">
        <v>14</v>
      </c>
      <c r="AS504">
        <v>15</v>
      </c>
    </row>
    <row r="505" spans="1:45" x14ac:dyDescent="0.35">
      <c r="A505" s="337">
        <v>46266</v>
      </c>
      <c r="B505" s="337">
        <v>46269</v>
      </c>
      <c r="C505" s="339">
        <v>0</v>
      </c>
      <c r="D505" t="s">
        <v>125</v>
      </c>
      <c r="E505" t="s">
        <v>238</v>
      </c>
      <c r="F505">
        <v>3</v>
      </c>
      <c r="G505" t="s">
        <v>41</v>
      </c>
      <c r="H505" t="s">
        <v>163</v>
      </c>
      <c r="I505" t="s">
        <v>165</v>
      </c>
      <c r="J505" t="s">
        <v>165</v>
      </c>
      <c r="K505" t="s">
        <v>165</v>
      </c>
      <c r="L505" t="s">
        <v>161</v>
      </c>
      <c r="M505" t="s">
        <v>161</v>
      </c>
      <c r="N505">
        <v>12.31</v>
      </c>
      <c r="O505" t="s">
        <v>163</v>
      </c>
      <c r="P505" t="s">
        <v>163</v>
      </c>
      <c r="Q505" t="s">
        <v>163</v>
      </c>
      <c r="R505" t="s">
        <v>163</v>
      </c>
      <c r="S505" t="s">
        <v>163</v>
      </c>
      <c r="T505" t="s">
        <v>163</v>
      </c>
      <c r="U505" t="s">
        <v>163</v>
      </c>
      <c r="V505" t="s">
        <v>163</v>
      </c>
      <c r="W505" t="s">
        <v>165</v>
      </c>
      <c r="X505" t="s">
        <v>165</v>
      </c>
      <c r="Y505" t="s">
        <v>163</v>
      </c>
      <c r="Z505" t="s">
        <v>163</v>
      </c>
      <c r="AA505">
        <v>1</v>
      </c>
      <c r="AB505">
        <v>2</v>
      </c>
      <c r="AC505">
        <v>1</v>
      </c>
      <c r="AD505" t="s">
        <v>163</v>
      </c>
      <c r="AE505" t="s">
        <v>163</v>
      </c>
      <c r="AF505" t="s">
        <v>163</v>
      </c>
      <c r="AG505" t="s">
        <v>163</v>
      </c>
      <c r="AH505" t="s">
        <v>163</v>
      </c>
      <c r="AI505" t="s">
        <v>163</v>
      </c>
      <c r="AJ505" t="s">
        <v>163</v>
      </c>
      <c r="AK505">
        <v>4</v>
      </c>
      <c r="AL505">
        <v>4</v>
      </c>
      <c r="AM505" t="s">
        <v>163</v>
      </c>
      <c r="AN505">
        <v>1</v>
      </c>
      <c r="AO505">
        <v>1</v>
      </c>
      <c r="AP505">
        <v>2</v>
      </c>
      <c r="AQ505">
        <v>2</v>
      </c>
      <c r="AR505">
        <v>6</v>
      </c>
      <c r="AS505">
        <v>6</v>
      </c>
    </row>
    <row r="506" spans="1:45" x14ac:dyDescent="0.35">
      <c r="A506" s="337">
        <v>46266</v>
      </c>
      <c r="B506" s="337">
        <v>46269</v>
      </c>
      <c r="C506" s="339">
        <v>0</v>
      </c>
      <c r="D506" t="s">
        <v>125</v>
      </c>
      <c r="E506" t="s">
        <v>237</v>
      </c>
      <c r="F506">
        <v>3</v>
      </c>
      <c r="G506" t="s">
        <v>41</v>
      </c>
      <c r="H506" t="s">
        <v>163</v>
      </c>
      <c r="I506" t="s">
        <v>165</v>
      </c>
      <c r="J506" t="s">
        <v>165</v>
      </c>
      <c r="K506" t="s">
        <v>165</v>
      </c>
      <c r="L506" t="s">
        <v>161</v>
      </c>
      <c r="M506" t="s">
        <v>161</v>
      </c>
      <c r="N506">
        <v>12.21</v>
      </c>
      <c r="O506" t="s">
        <v>163</v>
      </c>
      <c r="P506" t="s">
        <v>163</v>
      </c>
      <c r="Q506" t="s">
        <v>163</v>
      </c>
      <c r="R506" t="s">
        <v>163</v>
      </c>
      <c r="S506" t="s">
        <v>163</v>
      </c>
      <c r="T506" t="s">
        <v>163</v>
      </c>
      <c r="U506" t="s">
        <v>163</v>
      </c>
      <c r="V506" t="s">
        <v>163</v>
      </c>
      <c r="W506" t="s">
        <v>165</v>
      </c>
      <c r="X506" t="s">
        <v>165</v>
      </c>
      <c r="Y506" t="s">
        <v>163</v>
      </c>
      <c r="Z506" t="s">
        <v>163</v>
      </c>
      <c r="AA506">
        <v>1</v>
      </c>
      <c r="AB506">
        <v>2</v>
      </c>
      <c r="AC506">
        <v>1</v>
      </c>
      <c r="AD506" t="s">
        <v>163</v>
      </c>
      <c r="AE506" t="s">
        <v>163</v>
      </c>
      <c r="AF506" t="s">
        <v>163</v>
      </c>
      <c r="AG506" t="s">
        <v>163</v>
      </c>
      <c r="AH506" t="s">
        <v>163</v>
      </c>
      <c r="AI506" t="s">
        <v>163</v>
      </c>
      <c r="AJ506" t="s">
        <v>163</v>
      </c>
      <c r="AK506">
        <v>4</v>
      </c>
      <c r="AL506">
        <v>4</v>
      </c>
      <c r="AM506" t="s">
        <v>163</v>
      </c>
      <c r="AN506">
        <v>1</v>
      </c>
      <c r="AO506">
        <v>1</v>
      </c>
      <c r="AP506">
        <v>2</v>
      </c>
      <c r="AQ506">
        <v>2</v>
      </c>
      <c r="AR506">
        <v>6</v>
      </c>
      <c r="AS506">
        <v>6</v>
      </c>
    </row>
    <row r="507" spans="1:45" x14ac:dyDescent="0.35">
      <c r="A507" s="337">
        <v>46266</v>
      </c>
      <c r="B507" s="337">
        <v>46269</v>
      </c>
      <c r="C507" s="339">
        <v>0</v>
      </c>
      <c r="D507" t="s">
        <v>125</v>
      </c>
      <c r="E507" t="s">
        <v>327</v>
      </c>
      <c r="F507">
        <v>3</v>
      </c>
      <c r="G507" t="s">
        <v>41</v>
      </c>
      <c r="H507" t="s">
        <v>163</v>
      </c>
      <c r="I507" t="s">
        <v>165</v>
      </c>
      <c r="J507" t="s">
        <v>165</v>
      </c>
      <c r="K507" t="s">
        <v>165</v>
      </c>
      <c r="L507" t="s">
        <v>161</v>
      </c>
      <c r="M507" t="s">
        <v>161</v>
      </c>
      <c r="N507">
        <v>12.22</v>
      </c>
      <c r="O507" t="s">
        <v>163</v>
      </c>
      <c r="P507" t="s">
        <v>163</v>
      </c>
      <c r="Q507" t="s">
        <v>163</v>
      </c>
      <c r="R507" t="s">
        <v>163</v>
      </c>
      <c r="S507" t="s">
        <v>163</v>
      </c>
      <c r="T507" t="s">
        <v>163</v>
      </c>
      <c r="U507" t="s">
        <v>163</v>
      </c>
      <c r="V507" t="s">
        <v>163</v>
      </c>
      <c r="W507" t="s">
        <v>165</v>
      </c>
      <c r="X507" t="s">
        <v>165</v>
      </c>
      <c r="Y507" t="s">
        <v>163</v>
      </c>
      <c r="Z507" t="s">
        <v>163</v>
      </c>
      <c r="AA507">
        <v>1</v>
      </c>
      <c r="AB507">
        <v>2</v>
      </c>
      <c r="AC507">
        <v>1</v>
      </c>
      <c r="AD507" t="s">
        <v>163</v>
      </c>
      <c r="AE507" t="s">
        <v>163</v>
      </c>
      <c r="AF507" t="s">
        <v>163</v>
      </c>
      <c r="AG507" t="s">
        <v>163</v>
      </c>
      <c r="AH507" t="s">
        <v>163</v>
      </c>
      <c r="AI507" t="s">
        <v>163</v>
      </c>
      <c r="AJ507" t="s">
        <v>163</v>
      </c>
      <c r="AK507">
        <v>4</v>
      </c>
      <c r="AL507">
        <v>4</v>
      </c>
      <c r="AM507" t="s">
        <v>163</v>
      </c>
      <c r="AN507">
        <v>1</v>
      </c>
      <c r="AO507">
        <v>1</v>
      </c>
      <c r="AP507">
        <v>2</v>
      </c>
      <c r="AQ507">
        <v>2</v>
      </c>
      <c r="AR507">
        <v>6</v>
      </c>
      <c r="AS507">
        <v>6</v>
      </c>
    </row>
    <row r="508" spans="1:45" x14ac:dyDescent="0.35">
      <c r="A508" s="337">
        <v>46266</v>
      </c>
      <c r="B508" s="337">
        <v>46269</v>
      </c>
      <c r="C508" s="339">
        <v>0</v>
      </c>
      <c r="D508" t="s">
        <v>125</v>
      </c>
      <c r="E508" t="s">
        <v>240</v>
      </c>
      <c r="F508">
        <v>3</v>
      </c>
      <c r="G508" t="s">
        <v>41</v>
      </c>
      <c r="H508" t="s">
        <v>163</v>
      </c>
      <c r="I508" t="s">
        <v>165</v>
      </c>
      <c r="J508" t="s">
        <v>165</v>
      </c>
      <c r="K508" t="s">
        <v>165</v>
      </c>
      <c r="L508" t="s">
        <v>161</v>
      </c>
      <c r="M508" t="s">
        <v>161</v>
      </c>
      <c r="N508">
        <v>12.22</v>
      </c>
      <c r="O508" t="s">
        <v>163</v>
      </c>
      <c r="P508" t="s">
        <v>163</v>
      </c>
      <c r="Q508" t="s">
        <v>163</v>
      </c>
      <c r="R508" t="s">
        <v>163</v>
      </c>
      <c r="S508" t="s">
        <v>163</v>
      </c>
      <c r="T508" t="s">
        <v>163</v>
      </c>
      <c r="U508" t="s">
        <v>163</v>
      </c>
      <c r="V508" t="s">
        <v>163</v>
      </c>
      <c r="W508" t="s">
        <v>165</v>
      </c>
      <c r="X508" t="s">
        <v>165</v>
      </c>
      <c r="Y508" t="s">
        <v>163</v>
      </c>
      <c r="Z508" t="s">
        <v>163</v>
      </c>
      <c r="AA508">
        <v>1</v>
      </c>
      <c r="AB508">
        <v>2</v>
      </c>
      <c r="AC508">
        <v>1</v>
      </c>
      <c r="AD508" t="s">
        <v>163</v>
      </c>
      <c r="AE508" t="s">
        <v>163</v>
      </c>
      <c r="AF508" t="s">
        <v>163</v>
      </c>
      <c r="AG508" t="s">
        <v>163</v>
      </c>
      <c r="AH508" t="s">
        <v>163</v>
      </c>
      <c r="AI508" t="s">
        <v>163</v>
      </c>
      <c r="AJ508" t="s">
        <v>163</v>
      </c>
      <c r="AK508">
        <v>4</v>
      </c>
      <c r="AL508">
        <v>4</v>
      </c>
      <c r="AM508" t="s">
        <v>163</v>
      </c>
      <c r="AN508">
        <v>1</v>
      </c>
      <c r="AO508">
        <v>1</v>
      </c>
      <c r="AP508">
        <v>2</v>
      </c>
      <c r="AQ508">
        <v>2</v>
      </c>
      <c r="AR508">
        <v>6</v>
      </c>
      <c r="AS508">
        <v>6</v>
      </c>
    </row>
    <row r="509" spans="1:45" x14ac:dyDescent="0.35">
      <c r="A509" s="337">
        <v>46266</v>
      </c>
      <c r="B509" s="337">
        <v>46269</v>
      </c>
      <c r="C509" s="339">
        <v>0</v>
      </c>
      <c r="D509" t="s">
        <v>125</v>
      </c>
      <c r="E509" t="s">
        <v>273</v>
      </c>
      <c r="F509">
        <v>3</v>
      </c>
      <c r="G509" t="s">
        <v>41</v>
      </c>
      <c r="H509" t="s">
        <v>163</v>
      </c>
      <c r="I509" t="s">
        <v>165</v>
      </c>
      <c r="J509" t="s">
        <v>165</v>
      </c>
      <c r="K509" t="s">
        <v>165</v>
      </c>
      <c r="L509" t="s">
        <v>161</v>
      </c>
      <c r="M509" t="s">
        <v>161</v>
      </c>
      <c r="N509">
        <v>12.29</v>
      </c>
      <c r="O509" t="s">
        <v>163</v>
      </c>
      <c r="P509" t="s">
        <v>163</v>
      </c>
      <c r="Q509" t="s">
        <v>163</v>
      </c>
      <c r="R509" t="s">
        <v>163</v>
      </c>
      <c r="S509" t="s">
        <v>163</v>
      </c>
      <c r="T509" t="s">
        <v>163</v>
      </c>
      <c r="U509" t="s">
        <v>163</v>
      </c>
      <c r="V509" t="s">
        <v>163</v>
      </c>
      <c r="W509" t="s">
        <v>165</v>
      </c>
      <c r="X509" t="s">
        <v>165</v>
      </c>
      <c r="Y509" t="s">
        <v>163</v>
      </c>
      <c r="Z509" t="s">
        <v>163</v>
      </c>
      <c r="AA509">
        <v>1</v>
      </c>
      <c r="AB509">
        <v>2</v>
      </c>
      <c r="AC509">
        <v>1</v>
      </c>
      <c r="AD509" t="s">
        <v>163</v>
      </c>
      <c r="AE509" t="s">
        <v>163</v>
      </c>
      <c r="AF509" t="s">
        <v>163</v>
      </c>
      <c r="AG509" t="s">
        <v>163</v>
      </c>
      <c r="AH509" t="s">
        <v>163</v>
      </c>
      <c r="AI509" t="s">
        <v>163</v>
      </c>
      <c r="AJ509" t="s">
        <v>163</v>
      </c>
      <c r="AK509">
        <v>4</v>
      </c>
      <c r="AL509">
        <v>4</v>
      </c>
      <c r="AM509" t="s">
        <v>163</v>
      </c>
      <c r="AN509">
        <v>1</v>
      </c>
      <c r="AO509">
        <v>1</v>
      </c>
      <c r="AP509">
        <v>2</v>
      </c>
      <c r="AQ509">
        <v>2</v>
      </c>
      <c r="AR509">
        <v>6</v>
      </c>
      <c r="AS509">
        <v>6</v>
      </c>
    </row>
    <row r="510" spans="1:45" x14ac:dyDescent="0.35">
      <c r="A510" s="337">
        <v>46266</v>
      </c>
      <c r="B510" s="337">
        <v>46269</v>
      </c>
      <c r="C510" s="339">
        <v>0</v>
      </c>
      <c r="D510" t="s">
        <v>125</v>
      </c>
      <c r="E510" t="s">
        <v>239</v>
      </c>
      <c r="F510">
        <v>3</v>
      </c>
      <c r="G510" t="s">
        <v>41</v>
      </c>
      <c r="H510" t="s">
        <v>163</v>
      </c>
      <c r="I510" t="s">
        <v>165</v>
      </c>
      <c r="J510" t="s">
        <v>165</v>
      </c>
      <c r="K510" t="s">
        <v>165</v>
      </c>
      <c r="L510" t="s">
        <v>161</v>
      </c>
      <c r="M510" t="s">
        <v>161</v>
      </c>
      <c r="N510">
        <v>12.43</v>
      </c>
      <c r="O510" t="s">
        <v>163</v>
      </c>
      <c r="P510" t="s">
        <v>163</v>
      </c>
      <c r="Q510" t="s">
        <v>163</v>
      </c>
      <c r="R510" t="s">
        <v>163</v>
      </c>
      <c r="S510" t="s">
        <v>163</v>
      </c>
      <c r="T510" t="s">
        <v>163</v>
      </c>
      <c r="U510" t="s">
        <v>163</v>
      </c>
      <c r="V510" t="s">
        <v>163</v>
      </c>
      <c r="W510" t="s">
        <v>165</v>
      </c>
      <c r="X510" t="s">
        <v>165</v>
      </c>
      <c r="Y510" t="s">
        <v>163</v>
      </c>
      <c r="Z510" t="s">
        <v>163</v>
      </c>
      <c r="AA510">
        <v>1</v>
      </c>
      <c r="AB510">
        <v>2</v>
      </c>
      <c r="AC510">
        <v>1</v>
      </c>
      <c r="AD510" t="s">
        <v>163</v>
      </c>
      <c r="AE510" t="s">
        <v>163</v>
      </c>
      <c r="AF510" t="s">
        <v>163</v>
      </c>
      <c r="AG510" t="s">
        <v>163</v>
      </c>
      <c r="AH510" t="s">
        <v>163</v>
      </c>
      <c r="AI510" t="s">
        <v>163</v>
      </c>
      <c r="AJ510" t="s">
        <v>163</v>
      </c>
      <c r="AK510">
        <v>4</v>
      </c>
      <c r="AL510">
        <v>4</v>
      </c>
      <c r="AM510" t="s">
        <v>163</v>
      </c>
      <c r="AN510">
        <v>1</v>
      </c>
      <c r="AO510">
        <v>1</v>
      </c>
      <c r="AP510">
        <v>2</v>
      </c>
      <c r="AQ510">
        <v>2</v>
      </c>
      <c r="AR510">
        <v>6</v>
      </c>
      <c r="AS510">
        <v>6</v>
      </c>
    </row>
    <row r="511" spans="1:45" x14ac:dyDescent="0.35">
      <c r="A511" s="337">
        <v>46266</v>
      </c>
      <c r="B511" s="337">
        <v>46269</v>
      </c>
      <c r="C511" s="337">
        <v>46267</v>
      </c>
      <c r="D511" t="s">
        <v>125</v>
      </c>
      <c r="E511" t="s">
        <v>326</v>
      </c>
      <c r="F511">
        <v>3</v>
      </c>
      <c r="G511" t="s">
        <v>41</v>
      </c>
      <c r="H511" t="s">
        <v>163</v>
      </c>
      <c r="I511" t="s">
        <v>165</v>
      </c>
      <c r="J511" t="s">
        <v>165</v>
      </c>
      <c r="K511" t="s">
        <v>165</v>
      </c>
      <c r="L511" t="s">
        <v>161</v>
      </c>
      <c r="M511" t="s">
        <v>161</v>
      </c>
      <c r="N511">
        <v>12.37</v>
      </c>
      <c r="O511">
        <v>11.79</v>
      </c>
      <c r="P511">
        <v>0.36</v>
      </c>
      <c r="Q511">
        <v>64.7</v>
      </c>
      <c r="R511" t="s">
        <v>163</v>
      </c>
      <c r="S511" t="s">
        <v>163</v>
      </c>
      <c r="T511">
        <v>32.700000000000003</v>
      </c>
      <c r="U511" t="s">
        <v>163</v>
      </c>
      <c r="V511">
        <v>25.19</v>
      </c>
      <c r="W511" t="s">
        <v>165</v>
      </c>
      <c r="X511" t="s">
        <v>165</v>
      </c>
      <c r="Y511">
        <v>1</v>
      </c>
      <c r="Z511" t="s">
        <v>163</v>
      </c>
      <c r="AA511">
        <v>1</v>
      </c>
      <c r="AB511">
        <v>2</v>
      </c>
      <c r="AC511">
        <v>1</v>
      </c>
      <c r="AD511">
        <v>1</v>
      </c>
      <c r="AE511">
        <v>2</v>
      </c>
      <c r="AF511">
        <v>2</v>
      </c>
      <c r="AG511" t="s">
        <v>163</v>
      </c>
      <c r="AH511" t="s">
        <v>163</v>
      </c>
      <c r="AI511">
        <v>2</v>
      </c>
      <c r="AJ511" t="s">
        <v>163</v>
      </c>
      <c r="AK511">
        <v>11</v>
      </c>
      <c r="AL511">
        <v>11</v>
      </c>
      <c r="AM511">
        <v>1</v>
      </c>
      <c r="AN511">
        <v>1</v>
      </c>
      <c r="AO511">
        <v>1</v>
      </c>
      <c r="AP511">
        <v>3</v>
      </c>
      <c r="AQ511">
        <v>3</v>
      </c>
      <c r="AR511">
        <v>14</v>
      </c>
      <c r="AS511">
        <v>14</v>
      </c>
    </row>
    <row r="512" spans="1:45" x14ac:dyDescent="0.35">
      <c r="A512" s="337">
        <v>46266</v>
      </c>
      <c r="B512" s="337">
        <v>46269</v>
      </c>
      <c r="C512" s="339">
        <v>0</v>
      </c>
      <c r="D512" t="s">
        <v>125</v>
      </c>
      <c r="E512" t="s">
        <v>238</v>
      </c>
      <c r="F512">
        <v>2</v>
      </c>
      <c r="G512" t="s">
        <v>39</v>
      </c>
      <c r="H512" t="s">
        <v>163</v>
      </c>
      <c r="I512" t="s">
        <v>165</v>
      </c>
      <c r="J512" t="s">
        <v>165</v>
      </c>
      <c r="K512" t="s">
        <v>165</v>
      </c>
      <c r="L512" t="s">
        <v>163</v>
      </c>
      <c r="M512" t="s">
        <v>161</v>
      </c>
      <c r="N512">
        <v>10.75</v>
      </c>
      <c r="O512" t="s">
        <v>163</v>
      </c>
      <c r="P512" t="s">
        <v>163</v>
      </c>
      <c r="Q512" t="s">
        <v>163</v>
      </c>
      <c r="R512" t="s">
        <v>163</v>
      </c>
      <c r="S512" t="s">
        <v>163</v>
      </c>
      <c r="T512" t="s">
        <v>163</v>
      </c>
      <c r="U512" t="s">
        <v>163</v>
      </c>
      <c r="V512" t="s">
        <v>163</v>
      </c>
      <c r="W512" t="s">
        <v>165</v>
      </c>
      <c r="X512" t="s">
        <v>165</v>
      </c>
      <c r="Y512" t="s">
        <v>163</v>
      </c>
      <c r="Z512" t="s">
        <v>163</v>
      </c>
      <c r="AA512">
        <v>1</v>
      </c>
      <c r="AB512">
        <v>2</v>
      </c>
      <c r="AC512">
        <v>0</v>
      </c>
      <c r="AD512" t="s">
        <v>163</v>
      </c>
      <c r="AE512" t="s">
        <v>163</v>
      </c>
      <c r="AF512" t="s">
        <v>163</v>
      </c>
      <c r="AG512" t="s">
        <v>163</v>
      </c>
      <c r="AH512" t="s">
        <v>163</v>
      </c>
      <c r="AI512" t="s">
        <v>163</v>
      </c>
      <c r="AJ512" t="s">
        <v>163</v>
      </c>
      <c r="AK512">
        <v>3</v>
      </c>
      <c r="AL512">
        <v>4</v>
      </c>
      <c r="AM512" t="s">
        <v>163</v>
      </c>
      <c r="AN512">
        <v>1</v>
      </c>
      <c r="AO512">
        <v>1</v>
      </c>
      <c r="AP512">
        <v>2</v>
      </c>
      <c r="AQ512">
        <v>2</v>
      </c>
      <c r="AR512">
        <v>5</v>
      </c>
      <c r="AS512">
        <v>6</v>
      </c>
    </row>
    <row r="513" spans="1:45" x14ac:dyDescent="0.35">
      <c r="A513" s="337">
        <v>46266</v>
      </c>
      <c r="B513" s="337">
        <v>46269</v>
      </c>
      <c r="C513" s="339">
        <v>0</v>
      </c>
      <c r="D513" t="s">
        <v>125</v>
      </c>
      <c r="E513" t="s">
        <v>327</v>
      </c>
      <c r="F513">
        <v>2</v>
      </c>
      <c r="G513" t="s">
        <v>39</v>
      </c>
      <c r="H513" t="s">
        <v>163</v>
      </c>
      <c r="I513" t="s">
        <v>165</v>
      </c>
      <c r="J513" t="s">
        <v>165</v>
      </c>
      <c r="K513" t="s">
        <v>165</v>
      </c>
      <c r="L513" t="s">
        <v>163</v>
      </c>
      <c r="M513" t="s">
        <v>161</v>
      </c>
      <c r="N513">
        <v>10.89</v>
      </c>
      <c r="O513" t="s">
        <v>163</v>
      </c>
      <c r="P513" t="s">
        <v>163</v>
      </c>
      <c r="Q513" t="s">
        <v>163</v>
      </c>
      <c r="R513" t="s">
        <v>163</v>
      </c>
      <c r="S513" t="s">
        <v>163</v>
      </c>
      <c r="T513" t="s">
        <v>163</v>
      </c>
      <c r="U513" t="s">
        <v>163</v>
      </c>
      <c r="V513" t="s">
        <v>163</v>
      </c>
      <c r="W513" t="s">
        <v>165</v>
      </c>
      <c r="X513" t="s">
        <v>165</v>
      </c>
      <c r="Y513" t="s">
        <v>163</v>
      </c>
      <c r="Z513" t="s">
        <v>163</v>
      </c>
      <c r="AA513">
        <v>1</v>
      </c>
      <c r="AB513">
        <v>2</v>
      </c>
      <c r="AC513">
        <v>0</v>
      </c>
      <c r="AD513" t="s">
        <v>163</v>
      </c>
      <c r="AE513" t="s">
        <v>163</v>
      </c>
      <c r="AF513" t="s">
        <v>163</v>
      </c>
      <c r="AG513" t="s">
        <v>163</v>
      </c>
      <c r="AH513" t="s">
        <v>163</v>
      </c>
      <c r="AI513" t="s">
        <v>163</v>
      </c>
      <c r="AJ513" t="s">
        <v>163</v>
      </c>
      <c r="AK513">
        <v>3</v>
      </c>
      <c r="AL513">
        <v>4</v>
      </c>
      <c r="AM513" t="s">
        <v>163</v>
      </c>
      <c r="AN513">
        <v>1</v>
      </c>
      <c r="AO513">
        <v>1</v>
      </c>
      <c r="AP513">
        <v>2</v>
      </c>
      <c r="AQ513">
        <v>2</v>
      </c>
      <c r="AR513">
        <v>5</v>
      </c>
      <c r="AS513">
        <v>6</v>
      </c>
    </row>
    <row r="514" spans="1:45" x14ac:dyDescent="0.35">
      <c r="A514" s="337">
        <v>46266</v>
      </c>
      <c r="B514" s="337">
        <v>46269</v>
      </c>
      <c r="C514" s="339">
        <v>0</v>
      </c>
      <c r="D514" t="s">
        <v>125</v>
      </c>
      <c r="E514" t="s">
        <v>240</v>
      </c>
      <c r="F514">
        <v>2</v>
      </c>
      <c r="G514" t="s">
        <v>39</v>
      </c>
      <c r="H514" t="s">
        <v>163</v>
      </c>
      <c r="I514" t="s">
        <v>165</v>
      </c>
      <c r="J514" t="s">
        <v>165</v>
      </c>
      <c r="K514" t="s">
        <v>165</v>
      </c>
      <c r="L514" t="s">
        <v>163</v>
      </c>
      <c r="M514" t="s">
        <v>161</v>
      </c>
      <c r="N514">
        <v>10.72</v>
      </c>
      <c r="O514" t="s">
        <v>163</v>
      </c>
      <c r="P514" t="s">
        <v>163</v>
      </c>
      <c r="Q514" t="s">
        <v>163</v>
      </c>
      <c r="R514" t="s">
        <v>163</v>
      </c>
      <c r="S514" t="s">
        <v>163</v>
      </c>
      <c r="T514" t="s">
        <v>163</v>
      </c>
      <c r="U514" t="s">
        <v>163</v>
      </c>
      <c r="V514" t="s">
        <v>163</v>
      </c>
      <c r="W514" t="s">
        <v>165</v>
      </c>
      <c r="X514" t="s">
        <v>165</v>
      </c>
      <c r="Y514" t="s">
        <v>163</v>
      </c>
      <c r="Z514" t="s">
        <v>163</v>
      </c>
      <c r="AA514">
        <v>1</v>
      </c>
      <c r="AB514">
        <v>2</v>
      </c>
      <c r="AC514">
        <v>0</v>
      </c>
      <c r="AD514" t="s">
        <v>163</v>
      </c>
      <c r="AE514" t="s">
        <v>163</v>
      </c>
      <c r="AF514" t="s">
        <v>163</v>
      </c>
      <c r="AG514" t="s">
        <v>163</v>
      </c>
      <c r="AH514" t="s">
        <v>163</v>
      </c>
      <c r="AI514" t="s">
        <v>163</v>
      </c>
      <c r="AJ514" t="s">
        <v>163</v>
      </c>
      <c r="AK514">
        <v>3</v>
      </c>
      <c r="AL514">
        <v>4</v>
      </c>
      <c r="AM514" t="s">
        <v>163</v>
      </c>
      <c r="AN514">
        <v>1</v>
      </c>
      <c r="AO514">
        <v>1</v>
      </c>
      <c r="AP514">
        <v>2</v>
      </c>
      <c r="AQ514">
        <v>2</v>
      </c>
      <c r="AR514">
        <v>5</v>
      </c>
      <c r="AS514">
        <v>6</v>
      </c>
    </row>
    <row r="515" spans="1:45" x14ac:dyDescent="0.35">
      <c r="A515" s="337">
        <v>46266</v>
      </c>
      <c r="B515" s="337">
        <v>46269</v>
      </c>
      <c r="C515" s="339">
        <v>0</v>
      </c>
      <c r="D515" t="s">
        <v>125</v>
      </c>
      <c r="E515" t="s">
        <v>273</v>
      </c>
      <c r="F515">
        <v>2</v>
      </c>
      <c r="G515" t="s">
        <v>39</v>
      </c>
      <c r="H515" t="s">
        <v>163</v>
      </c>
      <c r="I515" t="s">
        <v>165</v>
      </c>
      <c r="J515" t="s">
        <v>165</v>
      </c>
      <c r="K515" t="s">
        <v>165</v>
      </c>
      <c r="L515" t="s">
        <v>163</v>
      </c>
      <c r="M515" t="s">
        <v>161</v>
      </c>
      <c r="N515">
        <v>10.72</v>
      </c>
      <c r="O515" t="s">
        <v>163</v>
      </c>
      <c r="P515" t="s">
        <v>163</v>
      </c>
      <c r="Q515" t="s">
        <v>163</v>
      </c>
      <c r="R515" t="s">
        <v>163</v>
      </c>
      <c r="S515" t="s">
        <v>163</v>
      </c>
      <c r="T515" t="s">
        <v>163</v>
      </c>
      <c r="U515" t="s">
        <v>163</v>
      </c>
      <c r="V515" t="s">
        <v>163</v>
      </c>
      <c r="W515" t="s">
        <v>165</v>
      </c>
      <c r="X515" t="s">
        <v>165</v>
      </c>
      <c r="Y515" t="s">
        <v>163</v>
      </c>
      <c r="Z515" t="s">
        <v>163</v>
      </c>
      <c r="AA515">
        <v>1</v>
      </c>
      <c r="AB515">
        <v>2</v>
      </c>
      <c r="AC515">
        <v>0</v>
      </c>
      <c r="AD515" t="s">
        <v>163</v>
      </c>
      <c r="AE515" t="s">
        <v>163</v>
      </c>
      <c r="AF515" t="s">
        <v>163</v>
      </c>
      <c r="AG515" t="s">
        <v>163</v>
      </c>
      <c r="AH515" t="s">
        <v>163</v>
      </c>
      <c r="AI515" t="s">
        <v>163</v>
      </c>
      <c r="AJ515" t="s">
        <v>163</v>
      </c>
      <c r="AK515">
        <v>3</v>
      </c>
      <c r="AL515">
        <v>4</v>
      </c>
      <c r="AM515" t="s">
        <v>163</v>
      </c>
      <c r="AN515">
        <v>1</v>
      </c>
      <c r="AO515">
        <v>1</v>
      </c>
      <c r="AP515">
        <v>2</v>
      </c>
      <c r="AQ515">
        <v>2</v>
      </c>
      <c r="AR515">
        <v>5</v>
      </c>
      <c r="AS515">
        <v>6</v>
      </c>
    </row>
    <row r="516" spans="1:45" x14ac:dyDescent="0.35">
      <c r="A516" s="337">
        <v>46266</v>
      </c>
      <c r="B516" s="337">
        <v>46269</v>
      </c>
      <c r="C516" s="339">
        <v>0</v>
      </c>
      <c r="D516" t="s">
        <v>125</v>
      </c>
      <c r="E516" t="s">
        <v>239</v>
      </c>
      <c r="F516">
        <v>2</v>
      </c>
      <c r="G516" t="s">
        <v>39</v>
      </c>
      <c r="H516" t="s">
        <v>163</v>
      </c>
      <c r="I516" t="s">
        <v>165</v>
      </c>
      <c r="J516" t="s">
        <v>165</v>
      </c>
      <c r="K516" t="s">
        <v>165</v>
      </c>
      <c r="L516" t="s">
        <v>163</v>
      </c>
      <c r="M516" t="s">
        <v>161</v>
      </c>
      <c r="N516">
        <v>10.72</v>
      </c>
      <c r="O516" t="s">
        <v>163</v>
      </c>
      <c r="P516" t="s">
        <v>163</v>
      </c>
      <c r="Q516" t="s">
        <v>163</v>
      </c>
      <c r="R516" t="s">
        <v>163</v>
      </c>
      <c r="S516" t="s">
        <v>163</v>
      </c>
      <c r="T516" t="s">
        <v>163</v>
      </c>
      <c r="U516" t="s">
        <v>163</v>
      </c>
      <c r="V516" t="s">
        <v>163</v>
      </c>
      <c r="W516" t="s">
        <v>165</v>
      </c>
      <c r="X516" t="s">
        <v>165</v>
      </c>
      <c r="Y516" t="s">
        <v>163</v>
      </c>
      <c r="Z516" t="s">
        <v>163</v>
      </c>
      <c r="AA516">
        <v>1</v>
      </c>
      <c r="AB516">
        <v>2</v>
      </c>
      <c r="AC516">
        <v>0</v>
      </c>
      <c r="AD516" t="s">
        <v>163</v>
      </c>
      <c r="AE516" t="s">
        <v>163</v>
      </c>
      <c r="AF516" t="s">
        <v>163</v>
      </c>
      <c r="AG516" t="s">
        <v>163</v>
      </c>
      <c r="AH516" t="s">
        <v>163</v>
      </c>
      <c r="AI516" t="s">
        <v>163</v>
      </c>
      <c r="AJ516" t="s">
        <v>163</v>
      </c>
      <c r="AK516">
        <v>3</v>
      </c>
      <c r="AL516">
        <v>4</v>
      </c>
      <c r="AM516" t="s">
        <v>163</v>
      </c>
      <c r="AN516">
        <v>1</v>
      </c>
      <c r="AO516">
        <v>1</v>
      </c>
      <c r="AP516">
        <v>2</v>
      </c>
      <c r="AQ516">
        <v>2</v>
      </c>
      <c r="AR516">
        <v>5</v>
      </c>
      <c r="AS516">
        <v>6</v>
      </c>
    </row>
    <row r="517" spans="1:45" x14ac:dyDescent="0.35">
      <c r="A517" s="337">
        <v>46266</v>
      </c>
      <c r="B517" s="337">
        <v>46269</v>
      </c>
      <c r="C517" s="337">
        <v>816</v>
      </c>
      <c r="D517" t="s">
        <v>125</v>
      </c>
      <c r="E517" t="s">
        <v>326</v>
      </c>
      <c r="F517">
        <v>2</v>
      </c>
      <c r="G517" t="s">
        <v>39</v>
      </c>
      <c r="H517" t="s">
        <v>163</v>
      </c>
      <c r="I517" t="s">
        <v>165</v>
      </c>
      <c r="J517" t="s">
        <v>165</v>
      </c>
      <c r="K517" t="s">
        <v>165</v>
      </c>
      <c r="L517" t="s">
        <v>163</v>
      </c>
      <c r="M517" t="s">
        <v>161</v>
      </c>
      <c r="N517">
        <v>10.79</v>
      </c>
      <c r="O517" t="s">
        <v>163</v>
      </c>
      <c r="P517" t="s">
        <v>163</v>
      </c>
      <c r="Q517" t="s">
        <v>163</v>
      </c>
      <c r="R517" t="s">
        <v>163</v>
      </c>
      <c r="S517" t="s">
        <v>163</v>
      </c>
      <c r="T517" t="s">
        <v>163</v>
      </c>
      <c r="U517" t="s">
        <v>163</v>
      </c>
      <c r="V517">
        <v>25.16</v>
      </c>
      <c r="W517" t="s">
        <v>165</v>
      </c>
      <c r="X517" t="s">
        <v>165</v>
      </c>
      <c r="Y517" t="s">
        <v>163</v>
      </c>
      <c r="Z517" t="s">
        <v>163</v>
      </c>
      <c r="AA517">
        <v>1</v>
      </c>
      <c r="AB517">
        <v>2</v>
      </c>
      <c r="AC517">
        <v>0</v>
      </c>
      <c r="AD517" t="s">
        <v>163</v>
      </c>
      <c r="AE517" t="s">
        <v>163</v>
      </c>
      <c r="AF517" t="s">
        <v>163</v>
      </c>
      <c r="AG517" t="s">
        <v>163</v>
      </c>
      <c r="AH517" t="s">
        <v>163</v>
      </c>
      <c r="AI517" t="s">
        <v>163</v>
      </c>
      <c r="AJ517" t="s">
        <v>163</v>
      </c>
      <c r="AK517">
        <v>3</v>
      </c>
      <c r="AL517">
        <v>4</v>
      </c>
      <c r="AM517">
        <v>1</v>
      </c>
      <c r="AN517">
        <v>1</v>
      </c>
      <c r="AO517">
        <v>1</v>
      </c>
      <c r="AP517">
        <v>3</v>
      </c>
      <c r="AQ517">
        <v>3</v>
      </c>
      <c r="AR517">
        <v>6</v>
      </c>
      <c r="AS517">
        <v>7</v>
      </c>
    </row>
    <row r="518" spans="1:45" x14ac:dyDescent="0.35">
      <c r="A518" s="337">
        <v>46266</v>
      </c>
      <c r="B518" s="337">
        <v>46269</v>
      </c>
      <c r="C518" s="339">
        <v>0</v>
      </c>
      <c r="D518" t="s">
        <v>125</v>
      </c>
      <c r="E518" t="s">
        <v>327</v>
      </c>
      <c r="F518">
        <v>1</v>
      </c>
      <c r="G518" t="s">
        <v>158</v>
      </c>
      <c r="H518" t="s">
        <v>163</v>
      </c>
      <c r="I518" t="s">
        <v>163</v>
      </c>
      <c r="J518" t="s">
        <v>165</v>
      </c>
      <c r="K518" t="s">
        <v>165</v>
      </c>
      <c r="L518" t="s">
        <v>163</v>
      </c>
      <c r="M518" t="s">
        <v>163</v>
      </c>
      <c r="N518">
        <v>10.75</v>
      </c>
      <c r="O518" t="s">
        <v>163</v>
      </c>
      <c r="P518" t="s">
        <v>163</v>
      </c>
      <c r="Q518" t="s">
        <v>163</v>
      </c>
      <c r="R518" t="s">
        <v>163</v>
      </c>
      <c r="S518" t="s">
        <v>163</v>
      </c>
      <c r="T518" t="s">
        <v>163</v>
      </c>
      <c r="U518" t="s">
        <v>163</v>
      </c>
      <c r="V518" t="s">
        <v>163</v>
      </c>
      <c r="W518" t="s">
        <v>165</v>
      </c>
      <c r="X518" t="s">
        <v>165</v>
      </c>
      <c r="Y518" t="s">
        <v>163</v>
      </c>
      <c r="Z518" t="s">
        <v>163</v>
      </c>
      <c r="AA518" t="s">
        <v>163</v>
      </c>
      <c r="AB518">
        <v>2</v>
      </c>
      <c r="AC518">
        <v>0</v>
      </c>
      <c r="AD518" t="s">
        <v>163</v>
      </c>
      <c r="AE518" t="s">
        <v>163</v>
      </c>
      <c r="AF518" t="s">
        <v>163</v>
      </c>
      <c r="AG518" t="s">
        <v>163</v>
      </c>
      <c r="AH518" t="s">
        <v>163</v>
      </c>
      <c r="AI518" t="s">
        <v>163</v>
      </c>
      <c r="AJ518" t="s">
        <v>163</v>
      </c>
      <c r="AK518">
        <v>2</v>
      </c>
      <c r="AL518">
        <v>3</v>
      </c>
      <c r="AM518" t="s">
        <v>163</v>
      </c>
      <c r="AN518">
        <v>1</v>
      </c>
      <c r="AO518">
        <v>1</v>
      </c>
      <c r="AP518">
        <v>2</v>
      </c>
      <c r="AQ518">
        <v>2</v>
      </c>
      <c r="AR518">
        <v>4</v>
      </c>
      <c r="AS518">
        <v>5</v>
      </c>
    </row>
    <row r="519" spans="1:45" x14ac:dyDescent="0.35">
      <c r="A519" s="337">
        <v>46266</v>
      </c>
      <c r="B519" s="337">
        <v>46269</v>
      </c>
      <c r="C519" s="339">
        <v>0</v>
      </c>
      <c r="D519" t="s">
        <v>125</v>
      </c>
      <c r="E519" t="s">
        <v>240</v>
      </c>
      <c r="F519">
        <v>1</v>
      </c>
      <c r="G519" t="s">
        <v>158</v>
      </c>
      <c r="H519" t="s">
        <v>163</v>
      </c>
      <c r="I519" t="s">
        <v>165</v>
      </c>
      <c r="J519" t="s">
        <v>165</v>
      </c>
      <c r="K519" t="s">
        <v>165</v>
      </c>
      <c r="L519" t="s">
        <v>163</v>
      </c>
      <c r="M519" t="s">
        <v>163</v>
      </c>
      <c r="N519">
        <v>11.05</v>
      </c>
      <c r="O519" t="s">
        <v>163</v>
      </c>
      <c r="P519" t="s">
        <v>163</v>
      </c>
      <c r="Q519" t="s">
        <v>163</v>
      </c>
      <c r="R519" t="s">
        <v>163</v>
      </c>
      <c r="S519" t="s">
        <v>163</v>
      </c>
      <c r="T519" t="s">
        <v>163</v>
      </c>
      <c r="U519" t="s">
        <v>163</v>
      </c>
      <c r="V519" t="s">
        <v>163</v>
      </c>
      <c r="W519" t="s">
        <v>165</v>
      </c>
      <c r="X519" t="s">
        <v>165</v>
      </c>
      <c r="Y519" t="s">
        <v>163</v>
      </c>
      <c r="Z519" t="s">
        <v>163</v>
      </c>
      <c r="AA519">
        <v>1</v>
      </c>
      <c r="AB519">
        <v>2</v>
      </c>
      <c r="AC519">
        <v>1</v>
      </c>
      <c r="AD519" t="s">
        <v>163</v>
      </c>
      <c r="AE519" t="s">
        <v>163</v>
      </c>
      <c r="AF519" t="s">
        <v>163</v>
      </c>
      <c r="AG519" t="s">
        <v>163</v>
      </c>
      <c r="AH519" t="s">
        <v>163</v>
      </c>
      <c r="AI519" t="s">
        <v>163</v>
      </c>
      <c r="AJ519" t="s">
        <v>163</v>
      </c>
      <c r="AK519">
        <v>4</v>
      </c>
      <c r="AL519">
        <v>4</v>
      </c>
      <c r="AM519" t="s">
        <v>163</v>
      </c>
      <c r="AN519">
        <v>1</v>
      </c>
      <c r="AO519">
        <v>1</v>
      </c>
      <c r="AP519">
        <v>2</v>
      </c>
      <c r="AQ519">
        <v>2</v>
      </c>
      <c r="AR519">
        <v>6</v>
      </c>
      <c r="AS519">
        <v>6</v>
      </c>
    </row>
    <row r="520" spans="1:45" x14ac:dyDescent="0.35">
      <c r="A520" s="337">
        <v>46266</v>
      </c>
      <c r="B520" s="337">
        <v>46269</v>
      </c>
      <c r="C520" s="339">
        <v>0</v>
      </c>
      <c r="D520" t="s">
        <v>125</v>
      </c>
      <c r="E520" t="s">
        <v>273</v>
      </c>
      <c r="F520">
        <v>1</v>
      </c>
      <c r="G520" t="s">
        <v>158</v>
      </c>
      <c r="H520" t="s">
        <v>163</v>
      </c>
      <c r="I520" t="s">
        <v>165</v>
      </c>
      <c r="J520" t="s">
        <v>165</v>
      </c>
      <c r="K520" t="s">
        <v>165</v>
      </c>
      <c r="L520" t="s">
        <v>163</v>
      </c>
      <c r="M520" t="s">
        <v>163</v>
      </c>
      <c r="N520">
        <v>11.08</v>
      </c>
      <c r="O520" t="s">
        <v>163</v>
      </c>
      <c r="P520" t="s">
        <v>163</v>
      </c>
      <c r="Q520" t="s">
        <v>163</v>
      </c>
      <c r="R520" t="s">
        <v>163</v>
      </c>
      <c r="S520" t="s">
        <v>163</v>
      </c>
      <c r="T520" t="s">
        <v>163</v>
      </c>
      <c r="U520" t="s">
        <v>163</v>
      </c>
      <c r="V520" t="s">
        <v>163</v>
      </c>
      <c r="W520" t="s">
        <v>165</v>
      </c>
      <c r="X520" t="s">
        <v>165</v>
      </c>
      <c r="Y520" t="s">
        <v>163</v>
      </c>
      <c r="Z520" t="s">
        <v>163</v>
      </c>
      <c r="AA520">
        <v>1</v>
      </c>
      <c r="AB520">
        <v>2</v>
      </c>
      <c r="AC520">
        <v>1</v>
      </c>
      <c r="AD520" t="s">
        <v>163</v>
      </c>
      <c r="AE520" t="s">
        <v>163</v>
      </c>
      <c r="AF520" t="s">
        <v>163</v>
      </c>
      <c r="AG520" t="s">
        <v>163</v>
      </c>
      <c r="AH520" t="s">
        <v>163</v>
      </c>
      <c r="AI520" t="s">
        <v>163</v>
      </c>
      <c r="AJ520" t="s">
        <v>163</v>
      </c>
      <c r="AK520">
        <v>4</v>
      </c>
      <c r="AL520">
        <v>4</v>
      </c>
      <c r="AM520" t="s">
        <v>163</v>
      </c>
      <c r="AN520">
        <v>1</v>
      </c>
      <c r="AO520">
        <v>1</v>
      </c>
      <c r="AP520">
        <v>2</v>
      </c>
      <c r="AQ520">
        <v>2</v>
      </c>
      <c r="AR520">
        <v>6</v>
      </c>
      <c r="AS520">
        <v>6</v>
      </c>
    </row>
    <row r="521" spans="1:45" x14ac:dyDescent="0.35">
      <c r="A521" s="337">
        <v>46266</v>
      </c>
      <c r="B521" s="337">
        <v>46269</v>
      </c>
      <c r="C521" s="339">
        <v>0</v>
      </c>
      <c r="D521" t="s">
        <v>125</v>
      </c>
      <c r="E521" t="s">
        <v>239</v>
      </c>
      <c r="F521">
        <v>1</v>
      </c>
      <c r="G521" t="s">
        <v>158</v>
      </c>
      <c r="H521" t="s">
        <v>163</v>
      </c>
      <c r="I521" t="s">
        <v>165</v>
      </c>
      <c r="J521" t="s">
        <v>165</v>
      </c>
      <c r="K521" t="s">
        <v>165</v>
      </c>
      <c r="L521" t="s">
        <v>163</v>
      </c>
      <c r="M521" t="s">
        <v>163</v>
      </c>
      <c r="N521">
        <v>10.96</v>
      </c>
      <c r="O521" t="s">
        <v>163</v>
      </c>
      <c r="P521" t="s">
        <v>163</v>
      </c>
      <c r="Q521" t="s">
        <v>163</v>
      </c>
      <c r="R521" t="s">
        <v>163</v>
      </c>
      <c r="S521" t="s">
        <v>163</v>
      </c>
      <c r="T521" t="s">
        <v>163</v>
      </c>
      <c r="U521" t="s">
        <v>163</v>
      </c>
      <c r="V521" t="s">
        <v>163</v>
      </c>
      <c r="W521" t="s">
        <v>165</v>
      </c>
      <c r="X521" t="s">
        <v>165</v>
      </c>
      <c r="Y521" t="s">
        <v>163</v>
      </c>
      <c r="Z521" t="s">
        <v>163</v>
      </c>
      <c r="AA521">
        <v>1</v>
      </c>
      <c r="AB521">
        <v>2</v>
      </c>
      <c r="AC521">
        <v>0</v>
      </c>
      <c r="AD521" t="s">
        <v>163</v>
      </c>
      <c r="AE521" t="s">
        <v>163</v>
      </c>
      <c r="AF521" t="s">
        <v>163</v>
      </c>
      <c r="AG521" t="s">
        <v>163</v>
      </c>
      <c r="AH521" t="s">
        <v>163</v>
      </c>
      <c r="AI521" t="s">
        <v>163</v>
      </c>
      <c r="AJ521" t="s">
        <v>163</v>
      </c>
      <c r="AK521">
        <v>3</v>
      </c>
      <c r="AL521">
        <v>4</v>
      </c>
      <c r="AM521" t="s">
        <v>163</v>
      </c>
      <c r="AN521">
        <v>1</v>
      </c>
      <c r="AO521">
        <v>1</v>
      </c>
      <c r="AP521">
        <v>2</v>
      </c>
      <c r="AQ521">
        <v>2</v>
      </c>
      <c r="AR521">
        <v>5</v>
      </c>
      <c r="AS521">
        <v>6</v>
      </c>
    </row>
    <row r="522" spans="1:45" x14ac:dyDescent="0.35">
      <c r="A522" s="337">
        <v>46266</v>
      </c>
      <c r="B522" s="337">
        <v>46269</v>
      </c>
      <c r="C522" s="337">
        <v>46267</v>
      </c>
      <c r="D522" t="s">
        <v>125</v>
      </c>
      <c r="E522" t="s">
        <v>326</v>
      </c>
      <c r="F522">
        <v>1</v>
      </c>
      <c r="G522" t="s">
        <v>158</v>
      </c>
      <c r="H522" t="s">
        <v>163</v>
      </c>
      <c r="I522" t="s">
        <v>165</v>
      </c>
      <c r="J522" t="s">
        <v>165</v>
      </c>
      <c r="K522" t="s">
        <v>165</v>
      </c>
      <c r="L522" t="s">
        <v>163</v>
      </c>
      <c r="M522" t="s">
        <v>163</v>
      </c>
      <c r="N522">
        <v>10.81</v>
      </c>
      <c r="O522">
        <v>9.69</v>
      </c>
      <c r="P522">
        <v>0.56000000000000005</v>
      </c>
      <c r="Q522">
        <v>54.7</v>
      </c>
      <c r="R522" t="s">
        <v>163</v>
      </c>
      <c r="S522" t="s">
        <v>163</v>
      </c>
      <c r="T522">
        <v>26.5</v>
      </c>
      <c r="U522" t="s">
        <v>163</v>
      </c>
      <c r="V522">
        <v>25.19</v>
      </c>
      <c r="W522" t="s">
        <v>165</v>
      </c>
      <c r="X522" t="s">
        <v>165</v>
      </c>
      <c r="Y522">
        <v>1</v>
      </c>
      <c r="Z522" t="s">
        <v>163</v>
      </c>
      <c r="AA522">
        <v>1</v>
      </c>
      <c r="AB522">
        <v>2</v>
      </c>
      <c r="AC522">
        <v>0</v>
      </c>
      <c r="AD522">
        <v>1</v>
      </c>
      <c r="AE522">
        <v>2</v>
      </c>
      <c r="AF522">
        <v>2</v>
      </c>
      <c r="AG522" t="s">
        <v>163</v>
      </c>
      <c r="AH522" t="s">
        <v>163</v>
      </c>
      <c r="AI522">
        <v>2</v>
      </c>
      <c r="AJ522" t="s">
        <v>163</v>
      </c>
      <c r="AK522">
        <v>10</v>
      </c>
      <c r="AL522">
        <v>11</v>
      </c>
      <c r="AM522">
        <v>1</v>
      </c>
      <c r="AN522">
        <v>1</v>
      </c>
      <c r="AO522">
        <v>1</v>
      </c>
      <c r="AP522">
        <v>3</v>
      </c>
      <c r="AQ522">
        <v>3</v>
      </c>
      <c r="AR522">
        <v>13</v>
      </c>
      <c r="AS522">
        <v>14</v>
      </c>
    </row>
    <row r="523" spans="1:45" x14ac:dyDescent="0.35">
      <c r="A523" s="337">
        <v>46266</v>
      </c>
      <c r="B523" s="337">
        <v>46268</v>
      </c>
      <c r="C523" s="337">
        <v>46267</v>
      </c>
      <c r="D523" t="s">
        <v>130</v>
      </c>
      <c r="E523" s="338">
        <v>1.2083333333333333</v>
      </c>
      <c r="F523">
        <v>3</v>
      </c>
      <c r="G523" t="s">
        <v>41</v>
      </c>
      <c r="H523">
        <v>0.01</v>
      </c>
      <c r="I523" t="s">
        <v>165</v>
      </c>
      <c r="J523" t="s">
        <v>165</v>
      </c>
      <c r="K523" t="s">
        <v>165</v>
      </c>
      <c r="L523" t="s">
        <v>161</v>
      </c>
      <c r="M523" t="s">
        <v>161</v>
      </c>
      <c r="N523">
        <v>12.95</v>
      </c>
      <c r="O523" t="s">
        <v>163</v>
      </c>
      <c r="P523" t="s">
        <v>163</v>
      </c>
      <c r="Q523" t="s">
        <v>163</v>
      </c>
      <c r="R523" t="s">
        <v>163</v>
      </c>
      <c r="S523" t="s">
        <v>163</v>
      </c>
      <c r="T523" t="s">
        <v>163</v>
      </c>
      <c r="U523" t="s">
        <v>163</v>
      </c>
      <c r="V523" t="s">
        <v>163</v>
      </c>
      <c r="W523" t="s">
        <v>165</v>
      </c>
      <c r="X523" t="s">
        <v>165</v>
      </c>
      <c r="Y523" t="s">
        <v>163</v>
      </c>
      <c r="Z523">
        <v>2</v>
      </c>
      <c r="AA523">
        <v>1</v>
      </c>
      <c r="AB523">
        <v>2</v>
      </c>
      <c r="AC523">
        <v>1</v>
      </c>
      <c r="AD523" t="s">
        <v>163</v>
      </c>
      <c r="AE523" t="s">
        <v>163</v>
      </c>
      <c r="AF523" t="s">
        <v>163</v>
      </c>
      <c r="AG523" t="s">
        <v>163</v>
      </c>
      <c r="AH523" t="s">
        <v>163</v>
      </c>
      <c r="AI523" t="s">
        <v>163</v>
      </c>
      <c r="AJ523" t="s">
        <v>163</v>
      </c>
      <c r="AK523">
        <v>6</v>
      </c>
      <c r="AL523">
        <v>6</v>
      </c>
      <c r="AM523" t="s">
        <v>163</v>
      </c>
      <c r="AN523">
        <v>1</v>
      </c>
      <c r="AO523">
        <v>1</v>
      </c>
      <c r="AP523">
        <v>2</v>
      </c>
      <c r="AQ523">
        <v>2</v>
      </c>
      <c r="AR523">
        <v>8</v>
      </c>
      <c r="AS523">
        <v>8</v>
      </c>
    </row>
    <row r="524" spans="1:45" x14ac:dyDescent="0.35">
      <c r="A524" s="337">
        <v>46266</v>
      </c>
      <c r="B524" s="337">
        <v>46268</v>
      </c>
      <c r="C524" s="337">
        <v>46260</v>
      </c>
      <c r="D524" t="s">
        <v>130</v>
      </c>
      <c r="E524" s="338">
        <v>1.125</v>
      </c>
      <c r="F524">
        <v>3</v>
      </c>
      <c r="G524" t="s">
        <v>119</v>
      </c>
      <c r="H524">
        <v>0.01</v>
      </c>
      <c r="I524" t="s">
        <v>165</v>
      </c>
      <c r="J524" t="s">
        <v>165</v>
      </c>
      <c r="K524" t="s">
        <v>165</v>
      </c>
      <c r="L524" t="s">
        <v>161</v>
      </c>
      <c r="M524" t="s">
        <v>161</v>
      </c>
      <c r="N524">
        <v>12.15</v>
      </c>
      <c r="O524" t="s">
        <v>163</v>
      </c>
      <c r="P524" t="s">
        <v>163</v>
      </c>
      <c r="Q524" t="s">
        <v>163</v>
      </c>
      <c r="R524" t="s">
        <v>163</v>
      </c>
      <c r="S524" t="s">
        <v>163</v>
      </c>
      <c r="T524" t="s">
        <v>163</v>
      </c>
      <c r="U524" t="s">
        <v>163</v>
      </c>
      <c r="V524" t="s">
        <v>163</v>
      </c>
      <c r="W524" t="s">
        <v>165</v>
      </c>
      <c r="X524" t="s">
        <v>165</v>
      </c>
      <c r="Y524" t="s">
        <v>163</v>
      </c>
      <c r="Z524">
        <v>2</v>
      </c>
      <c r="AA524">
        <v>1</v>
      </c>
      <c r="AB524">
        <v>2</v>
      </c>
      <c r="AC524">
        <v>1</v>
      </c>
      <c r="AD524" t="s">
        <v>163</v>
      </c>
      <c r="AE524" t="s">
        <v>163</v>
      </c>
      <c r="AF524" t="s">
        <v>163</v>
      </c>
      <c r="AG524" t="s">
        <v>163</v>
      </c>
      <c r="AH524" t="s">
        <v>163</v>
      </c>
      <c r="AI524" t="s">
        <v>163</v>
      </c>
      <c r="AJ524" t="s">
        <v>163</v>
      </c>
      <c r="AK524">
        <v>6</v>
      </c>
      <c r="AL524">
        <v>6</v>
      </c>
      <c r="AM524" t="s">
        <v>163</v>
      </c>
      <c r="AN524">
        <v>1</v>
      </c>
      <c r="AO524">
        <v>1</v>
      </c>
      <c r="AP524">
        <v>2</v>
      </c>
      <c r="AQ524">
        <v>2</v>
      </c>
      <c r="AR524">
        <v>8</v>
      </c>
      <c r="AS524">
        <v>8</v>
      </c>
    </row>
    <row r="525" spans="1:45" x14ac:dyDescent="0.35">
      <c r="A525" s="337">
        <v>46266</v>
      </c>
      <c r="B525" s="337">
        <v>46268</v>
      </c>
      <c r="C525" s="337">
        <v>46260</v>
      </c>
      <c r="D525" t="s">
        <v>130</v>
      </c>
      <c r="E525" s="338">
        <v>1.0833333333333333</v>
      </c>
      <c r="F525">
        <v>3</v>
      </c>
      <c r="G525" t="s">
        <v>119</v>
      </c>
      <c r="H525">
        <v>0.01</v>
      </c>
      <c r="I525" t="s">
        <v>165</v>
      </c>
      <c r="J525" t="s">
        <v>165</v>
      </c>
      <c r="K525" t="s">
        <v>165</v>
      </c>
      <c r="L525" t="s">
        <v>161</v>
      </c>
      <c r="M525" t="s">
        <v>161</v>
      </c>
      <c r="N525">
        <v>12.02</v>
      </c>
      <c r="O525" t="s">
        <v>163</v>
      </c>
      <c r="P525" t="s">
        <v>163</v>
      </c>
      <c r="Q525" t="s">
        <v>163</v>
      </c>
      <c r="R525" t="s">
        <v>163</v>
      </c>
      <c r="S525" t="s">
        <v>163</v>
      </c>
      <c r="T525" t="s">
        <v>163</v>
      </c>
      <c r="U525" t="s">
        <v>163</v>
      </c>
      <c r="V525" t="s">
        <v>163</v>
      </c>
      <c r="W525" t="s">
        <v>165</v>
      </c>
      <c r="X525" t="s">
        <v>165</v>
      </c>
      <c r="Y525" t="s">
        <v>163</v>
      </c>
      <c r="Z525">
        <v>2</v>
      </c>
      <c r="AA525">
        <v>1</v>
      </c>
      <c r="AB525">
        <v>2</v>
      </c>
      <c r="AC525">
        <v>1</v>
      </c>
      <c r="AD525" t="s">
        <v>163</v>
      </c>
      <c r="AE525" t="s">
        <v>163</v>
      </c>
      <c r="AF525" t="s">
        <v>163</v>
      </c>
      <c r="AG525" t="s">
        <v>163</v>
      </c>
      <c r="AH525" t="s">
        <v>163</v>
      </c>
      <c r="AI525" t="s">
        <v>163</v>
      </c>
      <c r="AJ525" t="s">
        <v>163</v>
      </c>
      <c r="AK525">
        <v>6</v>
      </c>
      <c r="AL525">
        <v>6</v>
      </c>
      <c r="AM525" t="s">
        <v>163</v>
      </c>
      <c r="AN525">
        <v>1</v>
      </c>
      <c r="AO525">
        <v>1</v>
      </c>
      <c r="AP525">
        <v>2</v>
      </c>
      <c r="AQ525">
        <v>2</v>
      </c>
      <c r="AR525">
        <v>8</v>
      </c>
      <c r="AS525">
        <v>8</v>
      </c>
    </row>
    <row r="526" spans="1:45" x14ac:dyDescent="0.35">
      <c r="A526" s="337">
        <v>46266</v>
      </c>
      <c r="B526" s="337">
        <v>46268</v>
      </c>
      <c r="C526" s="337">
        <v>46260</v>
      </c>
      <c r="D526" t="s">
        <v>130</v>
      </c>
      <c r="E526" s="338">
        <v>1.0416666666666667</v>
      </c>
      <c r="F526">
        <v>3</v>
      </c>
      <c r="G526" t="s">
        <v>119</v>
      </c>
      <c r="H526" t="s">
        <v>163</v>
      </c>
      <c r="I526" t="s">
        <v>165</v>
      </c>
      <c r="J526" t="s">
        <v>165</v>
      </c>
      <c r="K526" t="s">
        <v>165</v>
      </c>
      <c r="L526" t="s">
        <v>161</v>
      </c>
      <c r="M526" t="s">
        <v>161</v>
      </c>
      <c r="N526">
        <v>12.02</v>
      </c>
      <c r="O526" t="s">
        <v>163</v>
      </c>
      <c r="P526" t="s">
        <v>163</v>
      </c>
      <c r="Q526" t="s">
        <v>163</v>
      </c>
      <c r="R526" t="s">
        <v>163</v>
      </c>
      <c r="S526" t="s">
        <v>163</v>
      </c>
      <c r="T526" t="s">
        <v>163</v>
      </c>
      <c r="U526" t="s">
        <v>163</v>
      </c>
      <c r="V526" t="s">
        <v>163</v>
      </c>
      <c r="W526" t="s">
        <v>165</v>
      </c>
      <c r="X526" t="s">
        <v>165</v>
      </c>
      <c r="Y526" t="s">
        <v>163</v>
      </c>
      <c r="Z526" t="s">
        <v>163</v>
      </c>
      <c r="AA526">
        <v>1</v>
      </c>
      <c r="AB526">
        <v>2</v>
      </c>
      <c r="AC526">
        <v>1</v>
      </c>
      <c r="AD526" t="s">
        <v>163</v>
      </c>
      <c r="AE526" t="s">
        <v>163</v>
      </c>
      <c r="AF526" t="s">
        <v>163</v>
      </c>
      <c r="AG526" t="s">
        <v>163</v>
      </c>
      <c r="AH526" t="s">
        <v>163</v>
      </c>
      <c r="AI526" t="s">
        <v>163</v>
      </c>
      <c r="AJ526" t="s">
        <v>163</v>
      </c>
      <c r="AK526">
        <v>4</v>
      </c>
      <c r="AL526">
        <v>4</v>
      </c>
      <c r="AM526" t="s">
        <v>163</v>
      </c>
      <c r="AN526">
        <v>1</v>
      </c>
      <c r="AO526">
        <v>1</v>
      </c>
      <c r="AP526">
        <v>2</v>
      </c>
      <c r="AQ526">
        <v>2</v>
      </c>
      <c r="AR526">
        <v>6</v>
      </c>
      <c r="AS526">
        <v>6</v>
      </c>
    </row>
    <row r="527" spans="1:45" x14ac:dyDescent="0.35">
      <c r="A527" s="337">
        <v>46266</v>
      </c>
      <c r="B527" s="337">
        <v>46268</v>
      </c>
      <c r="C527" s="337">
        <v>46260</v>
      </c>
      <c r="D527" t="s">
        <v>130</v>
      </c>
      <c r="E527" s="337">
        <v>1</v>
      </c>
      <c r="F527">
        <v>3</v>
      </c>
      <c r="G527" t="s">
        <v>119</v>
      </c>
      <c r="H527">
        <v>0.01</v>
      </c>
      <c r="I527" t="s">
        <v>165</v>
      </c>
      <c r="J527" t="s">
        <v>165</v>
      </c>
      <c r="K527" t="s">
        <v>165</v>
      </c>
      <c r="L527" t="s">
        <v>161</v>
      </c>
      <c r="M527" t="s">
        <v>161</v>
      </c>
      <c r="N527">
        <v>11.92</v>
      </c>
      <c r="O527">
        <v>12.37</v>
      </c>
      <c r="P527">
        <v>0.62</v>
      </c>
      <c r="Q527" t="s">
        <v>163</v>
      </c>
      <c r="R527" t="s">
        <v>163</v>
      </c>
      <c r="S527" t="s">
        <v>163</v>
      </c>
      <c r="T527">
        <v>34.700000000000003</v>
      </c>
      <c r="U527" t="s">
        <v>163</v>
      </c>
      <c r="V527" t="s">
        <v>163</v>
      </c>
      <c r="W527" t="s">
        <v>165</v>
      </c>
      <c r="X527" t="s">
        <v>165</v>
      </c>
      <c r="Y527" t="s">
        <v>419</v>
      </c>
      <c r="Z527">
        <v>2</v>
      </c>
      <c r="AA527">
        <v>1</v>
      </c>
      <c r="AB527">
        <v>2</v>
      </c>
      <c r="AC527">
        <v>0</v>
      </c>
      <c r="AD527">
        <v>1</v>
      </c>
      <c r="AE527">
        <v>2</v>
      </c>
      <c r="AF527" t="s">
        <v>163</v>
      </c>
      <c r="AG527" t="s">
        <v>163</v>
      </c>
      <c r="AH527" t="s">
        <v>163</v>
      </c>
      <c r="AI527">
        <v>2</v>
      </c>
      <c r="AJ527" t="s">
        <v>163</v>
      </c>
      <c r="AK527">
        <v>10</v>
      </c>
      <c r="AL527">
        <v>11</v>
      </c>
      <c r="AM527" t="s">
        <v>163</v>
      </c>
      <c r="AN527">
        <v>1</v>
      </c>
      <c r="AO527">
        <v>1</v>
      </c>
      <c r="AP527">
        <v>2</v>
      </c>
      <c r="AQ527">
        <v>2</v>
      </c>
      <c r="AR527">
        <v>12</v>
      </c>
      <c r="AS527">
        <v>13</v>
      </c>
    </row>
    <row r="528" spans="1:45" x14ac:dyDescent="0.35">
      <c r="A528" s="337">
        <v>46266</v>
      </c>
      <c r="B528" s="337">
        <v>46268</v>
      </c>
      <c r="C528" s="339">
        <v>0</v>
      </c>
      <c r="D528" t="s">
        <v>130</v>
      </c>
      <c r="E528" s="338">
        <v>1.2083333333333333</v>
      </c>
      <c r="F528">
        <v>2</v>
      </c>
      <c r="G528" t="s">
        <v>39</v>
      </c>
      <c r="H528" t="s">
        <v>163</v>
      </c>
      <c r="I528" t="s">
        <v>165</v>
      </c>
      <c r="J528" t="s">
        <v>165</v>
      </c>
      <c r="K528" t="s">
        <v>165</v>
      </c>
      <c r="L528" t="s">
        <v>163</v>
      </c>
      <c r="M528" t="s">
        <v>161</v>
      </c>
      <c r="N528">
        <v>10.34</v>
      </c>
      <c r="O528" t="s">
        <v>163</v>
      </c>
      <c r="P528" t="s">
        <v>163</v>
      </c>
      <c r="Q528" t="s">
        <v>163</v>
      </c>
      <c r="R528" t="s">
        <v>163</v>
      </c>
      <c r="S528" t="s">
        <v>163</v>
      </c>
      <c r="T528" t="s">
        <v>163</v>
      </c>
      <c r="U528" t="s">
        <v>163</v>
      </c>
      <c r="V528" t="s">
        <v>163</v>
      </c>
      <c r="W528" t="s">
        <v>165</v>
      </c>
      <c r="X528" t="s">
        <v>165</v>
      </c>
      <c r="Y528" t="s">
        <v>163</v>
      </c>
      <c r="Z528" t="s">
        <v>163</v>
      </c>
      <c r="AA528">
        <v>1</v>
      </c>
      <c r="AB528">
        <v>2</v>
      </c>
      <c r="AC528">
        <v>0</v>
      </c>
      <c r="AD528" t="s">
        <v>163</v>
      </c>
      <c r="AE528" t="s">
        <v>163</v>
      </c>
      <c r="AF528" t="s">
        <v>163</v>
      </c>
      <c r="AG528" t="s">
        <v>163</v>
      </c>
      <c r="AH528" t="s">
        <v>163</v>
      </c>
      <c r="AI528" t="s">
        <v>163</v>
      </c>
      <c r="AJ528" t="s">
        <v>163</v>
      </c>
      <c r="AK528">
        <v>3</v>
      </c>
      <c r="AL528">
        <v>4</v>
      </c>
      <c r="AM528" t="s">
        <v>163</v>
      </c>
      <c r="AN528">
        <v>1</v>
      </c>
      <c r="AO528">
        <v>1</v>
      </c>
      <c r="AP528">
        <v>2</v>
      </c>
      <c r="AQ528">
        <v>2</v>
      </c>
      <c r="AR528">
        <v>5</v>
      </c>
      <c r="AS528">
        <v>6</v>
      </c>
    </row>
    <row r="529" spans="1:45" x14ac:dyDescent="0.35">
      <c r="A529" s="337">
        <v>46266</v>
      </c>
      <c r="B529" s="337">
        <v>46268</v>
      </c>
      <c r="C529" s="339">
        <v>0</v>
      </c>
      <c r="D529" t="s">
        <v>130</v>
      </c>
      <c r="E529" s="338">
        <v>1.1666666666666667</v>
      </c>
      <c r="F529">
        <v>2</v>
      </c>
      <c r="G529" t="s">
        <v>39</v>
      </c>
      <c r="H529" t="s">
        <v>163</v>
      </c>
      <c r="I529" t="s">
        <v>165</v>
      </c>
      <c r="J529" t="s">
        <v>165</v>
      </c>
      <c r="K529" t="s">
        <v>165</v>
      </c>
      <c r="L529" t="s">
        <v>163</v>
      </c>
      <c r="M529" t="s">
        <v>161</v>
      </c>
      <c r="N529">
        <v>10.71</v>
      </c>
      <c r="O529" t="s">
        <v>163</v>
      </c>
      <c r="P529" t="s">
        <v>163</v>
      </c>
      <c r="Q529" t="s">
        <v>163</v>
      </c>
      <c r="R529" t="s">
        <v>163</v>
      </c>
      <c r="S529" t="s">
        <v>163</v>
      </c>
      <c r="T529" t="s">
        <v>163</v>
      </c>
      <c r="U529" t="s">
        <v>163</v>
      </c>
      <c r="V529" t="s">
        <v>163</v>
      </c>
      <c r="W529" t="s">
        <v>165</v>
      </c>
      <c r="X529" t="s">
        <v>165</v>
      </c>
      <c r="Y529" t="s">
        <v>163</v>
      </c>
      <c r="Z529" t="s">
        <v>163</v>
      </c>
      <c r="AA529">
        <v>1</v>
      </c>
      <c r="AB529">
        <v>2</v>
      </c>
      <c r="AC529">
        <v>0</v>
      </c>
      <c r="AD529" t="s">
        <v>163</v>
      </c>
      <c r="AE529" t="s">
        <v>163</v>
      </c>
      <c r="AF529" t="s">
        <v>163</v>
      </c>
      <c r="AG529" t="s">
        <v>163</v>
      </c>
      <c r="AH529" t="s">
        <v>163</v>
      </c>
      <c r="AI529" t="s">
        <v>163</v>
      </c>
      <c r="AJ529" t="s">
        <v>163</v>
      </c>
      <c r="AK529">
        <v>3</v>
      </c>
      <c r="AL529">
        <v>4</v>
      </c>
      <c r="AM529" t="s">
        <v>163</v>
      </c>
      <c r="AN529">
        <v>1</v>
      </c>
      <c r="AO529">
        <v>1</v>
      </c>
      <c r="AP529">
        <v>2</v>
      </c>
      <c r="AQ529">
        <v>2</v>
      </c>
      <c r="AR529">
        <v>5</v>
      </c>
      <c r="AS529">
        <v>6</v>
      </c>
    </row>
    <row r="530" spans="1:45" x14ac:dyDescent="0.35">
      <c r="A530" s="337">
        <v>46266</v>
      </c>
      <c r="B530" s="337">
        <v>46268</v>
      </c>
      <c r="C530" s="339">
        <v>0</v>
      </c>
      <c r="D530" t="s">
        <v>130</v>
      </c>
      <c r="E530" s="338">
        <v>1.125</v>
      </c>
      <c r="F530">
        <v>2</v>
      </c>
      <c r="G530" t="s">
        <v>39</v>
      </c>
      <c r="H530" t="s">
        <v>163</v>
      </c>
      <c r="I530" t="s">
        <v>165</v>
      </c>
      <c r="J530" t="s">
        <v>165</v>
      </c>
      <c r="K530" t="s">
        <v>165</v>
      </c>
      <c r="L530" t="s">
        <v>163</v>
      </c>
      <c r="M530" t="s">
        <v>161</v>
      </c>
      <c r="N530">
        <v>10.52</v>
      </c>
      <c r="O530" t="s">
        <v>163</v>
      </c>
      <c r="P530" t="s">
        <v>163</v>
      </c>
      <c r="Q530" t="s">
        <v>163</v>
      </c>
      <c r="R530" t="s">
        <v>163</v>
      </c>
      <c r="S530" t="s">
        <v>163</v>
      </c>
      <c r="T530" t="s">
        <v>163</v>
      </c>
      <c r="U530" t="s">
        <v>163</v>
      </c>
      <c r="V530" t="s">
        <v>163</v>
      </c>
      <c r="W530" t="s">
        <v>165</v>
      </c>
      <c r="X530" t="s">
        <v>165</v>
      </c>
      <c r="Y530" t="s">
        <v>163</v>
      </c>
      <c r="Z530" t="s">
        <v>163</v>
      </c>
      <c r="AA530">
        <v>1</v>
      </c>
      <c r="AB530">
        <v>2</v>
      </c>
      <c r="AC530">
        <v>0</v>
      </c>
      <c r="AD530" t="s">
        <v>163</v>
      </c>
      <c r="AE530" t="s">
        <v>163</v>
      </c>
      <c r="AF530" t="s">
        <v>163</v>
      </c>
      <c r="AG530" t="s">
        <v>163</v>
      </c>
      <c r="AH530" t="s">
        <v>163</v>
      </c>
      <c r="AI530" t="s">
        <v>163</v>
      </c>
      <c r="AJ530" t="s">
        <v>163</v>
      </c>
      <c r="AK530">
        <v>3</v>
      </c>
      <c r="AL530">
        <v>4</v>
      </c>
      <c r="AM530" t="s">
        <v>163</v>
      </c>
      <c r="AN530">
        <v>1</v>
      </c>
      <c r="AO530">
        <v>1</v>
      </c>
      <c r="AP530">
        <v>2</v>
      </c>
      <c r="AQ530">
        <v>2</v>
      </c>
      <c r="AR530">
        <v>5</v>
      </c>
      <c r="AS530">
        <v>6</v>
      </c>
    </row>
    <row r="531" spans="1:45" x14ac:dyDescent="0.35">
      <c r="A531" s="337">
        <v>46266</v>
      </c>
      <c r="B531" s="337">
        <v>46268</v>
      </c>
      <c r="C531" s="339">
        <v>0</v>
      </c>
      <c r="D531" t="s">
        <v>130</v>
      </c>
      <c r="E531" s="338">
        <v>1.0833333333333333</v>
      </c>
      <c r="F531">
        <v>2</v>
      </c>
      <c r="G531" t="s">
        <v>39</v>
      </c>
      <c r="H531" t="s">
        <v>163</v>
      </c>
      <c r="I531" t="s">
        <v>165</v>
      </c>
      <c r="J531" t="s">
        <v>165</v>
      </c>
      <c r="K531" t="s">
        <v>165</v>
      </c>
      <c r="L531" t="s">
        <v>163</v>
      </c>
      <c r="M531" t="s">
        <v>161</v>
      </c>
      <c r="N531">
        <v>10.66</v>
      </c>
      <c r="O531" t="s">
        <v>163</v>
      </c>
      <c r="P531" t="s">
        <v>163</v>
      </c>
      <c r="Q531" t="s">
        <v>163</v>
      </c>
      <c r="R531" t="s">
        <v>163</v>
      </c>
      <c r="S531" t="s">
        <v>163</v>
      </c>
      <c r="T531" t="s">
        <v>163</v>
      </c>
      <c r="U531" t="s">
        <v>163</v>
      </c>
      <c r="V531" t="s">
        <v>163</v>
      </c>
      <c r="W531" t="s">
        <v>165</v>
      </c>
      <c r="X531" t="s">
        <v>165</v>
      </c>
      <c r="Y531" t="s">
        <v>163</v>
      </c>
      <c r="Z531" t="s">
        <v>163</v>
      </c>
      <c r="AA531">
        <v>1</v>
      </c>
      <c r="AB531">
        <v>2</v>
      </c>
      <c r="AC531">
        <v>0</v>
      </c>
      <c r="AD531" t="s">
        <v>163</v>
      </c>
      <c r="AE531" t="s">
        <v>163</v>
      </c>
      <c r="AF531" t="s">
        <v>163</v>
      </c>
      <c r="AG531" t="s">
        <v>163</v>
      </c>
      <c r="AH531" t="s">
        <v>163</v>
      </c>
      <c r="AI531" t="s">
        <v>163</v>
      </c>
      <c r="AJ531" t="s">
        <v>163</v>
      </c>
      <c r="AK531">
        <v>3</v>
      </c>
      <c r="AL531">
        <v>4</v>
      </c>
      <c r="AM531" t="s">
        <v>163</v>
      </c>
      <c r="AN531">
        <v>1</v>
      </c>
      <c r="AO531">
        <v>1</v>
      </c>
      <c r="AP531">
        <v>2</v>
      </c>
      <c r="AQ531">
        <v>2</v>
      </c>
      <c r="AR531">
        <v>5</v>
      </c>
      <c r="AS531">
        <v>6</v>
      </c>
    </row>
    <row r="532" spans="1:45" x14ac:dyDescent="0.35">
      <c r="A532" s="337">
        <v>46266</v>
      </c>
      <c r="B532" s="337">
        <v>46268</v>
      </c>
      <c r="C532" s="339">
        <v>0</v>
      </c>
      <c r="D532" t="s">
        <v>130</v>
      </c>
      <c r="E532" s="338">
        <v>1.0416666666666667</v>
      </c>
      <c r="F532">
        <v>2</v>
      </c>
      <c r="G532" t="s">
        <v>39</v>
      </c>
      <c r="H532" t="s">
        <v>163</v>
      </c>
      <c r="I532" t="s">
        <v>165</v>
      </c>
      <c r="J532" t="s">
        <v>165</v>
      </c>
      <c r="K532" t="s">
        <v>165</v>
      </c>
      <c r="L532" t="s">
        <v>163</v>
      </c>
      <c r="M532" t="s">
        <v>161</v>
      </c>
      <c r="N532">
        <v>10.69</v>
      </c>
      <c r="O532" t="s">
        <v>163</v>
      </c>
      <c r="P532" t="s">
        <v>163</v>
      </c>
      <c r="Q532" t="s">
        <v>163</v>
      </c>
      <c r="R532" t="s">
        <v>163</v>
      </c>
      <c r="S532" t="s">
        <v>163</v>
      </c>
      <c r="T532" t="s">
        <v>163</v>
      </c>
      <c r="U532" t="s">
        <v>163</v>
      </c>
      <c r="V532" t="s">
        <v>163</v>
      </c>
      <c r="W532" t="s">
        <v>165</v>
      </c>
      <c r="X532" t="s">
        <v>165</v>
      </c>
      <c r="Y532" t="s">
        <v>163</v>
      </c>
      <c r="Z532" t="s">
        <v>163</v>
      </c>
      <c r="AA532">
        <v>1</v>
      </c>
      <c r="AB532">
        <v>2</v>
      </c>
      <c r="AC532">
        <v>0</v>
      </c>
      <c r="AD532" t="s">
        <v>163</v>
      </c>
      <c r="AE532" t="s">
        <v>163</v>
      </c>
      <c r="AF532" t="s">
        <v>163</v>
      </c>
      <c r="AG532" t="s">
        <v>163</v>
      </c>
      <c r="AH532" t="s">
        <v>163</v>
      </c>
      <c r="AI532" t="s">
        <v>163</v>
      </c>
      <c r="AJ532" t="s">
        <v>163</v>
      </c>
      <c r="AK532">
        <v>3</v>
      </c>
      <c r="AL532">
        <v>4</v>
      </c>
      <c r="AM532" t="s">
        <v>163</v>
      </c>
      <c r="AN532">
        <v>1</v>
      </c>
      <c r="AO532">
        <v>1</v>
      </c>
      <c r="AP532">
        <v>2</v>
      </c>
      <c r="AQ532">
        <v>2</v>
      </c>
      <c r="AR532">
        <v>5</v>
      </c>
      <c r="AS532">
        <v>6</v>
      </c>
    </row>
    <row r="533" spans="1:45" x14ac:dyDescent="0.35">
      <c r="A533" s="337">
        <v>46266</v>
      </c>
      <c r="B533" s="337">
        <v>46268</v>
      </c>
      <c r="C533" s="339">
        <v>0</v>
      </c>
      <c r="D533" t="s">
        <v>130</v>
      </c>
      <c r="E533" s="337">
        <v>1</v>
      </c>
      <c r="F533">
        <v>2</v>
      </c>
      <c r="G533" t="s">
        <v>39</v>
      </c>
      <c r="H533" t="s">
        <v>163</v>
      </c>
      <c r="I533" t="s">
        <v>165</v>
      </c>
      <c r="J533" t="s">
        <v>165</v>
      </c>
      <c r="K533" t="s">
        <v>165</v>
      </c>
      <c r="L533" t="s">
        <v>163</v>
      </c>
      <c r="M533" t="s">
        <v>161</v>
      </c>
      <c r="N533">
        <v>10.6</v>
      </c>
      <c r="O533" t="s">
        <v>163</v>
      </c>
      <c r="P533" t="s">
        <v>163</v>
      </c>
      <c r="Q533" t="s">
        <v>163</v>
      </c>
      <c r="R533" t="s">
        <v>163</v>
      </c>
      <c r="S533" t="s">
        <v>163</v>
      </c>
      <c r="T533" t="s">
        <v>163</v>
      </c>
      <c r="U533" t="s">
        <v>163</v>
      </c>
      <c r="V533" t="s">
        <v>163</v>
      </c>
      <c r="W533" t="s">
        <v>165</v>
      </c>
      <c r="X533" t="s">
        <v>165</v>
      </c>
      <c r="Y533" t="s">
        <v>163</v>
      </c>
      <c r="Z533" t="s">
        <v>163</v>
      </c>
      <c r="AA533">
        <v>1</v>
      </c>
      <c r="AB533">
        <v>2</v>
      </c>
      <c r="AC533">
        <v>0</v>
      </c>
      <c r="AD533" t="s">
        <v>163</v>
      </c>
      <c r="AE533" t="s">
        <v>163</v>
      </c>
      <c r="AF533" t="s">
        <v>163</v>
      </c>
      <c r="AG533" t="s">
        <v>163</v>
      </c>
      <c r="AH533" t="s">
        <v>163</v>
      </c>
      <c r="AI533" t="s">
        <v>163</v>
      </c>
      <c r="AJ533" t="s">
        <v>163</v>
      </c>
      <c r="AK533">
        <v>3</v>
      </c>
      <c r="AL533">
        <v>4</v>
      </c>
      <c r="AM533" t="s">
        <v>163</v>
      </c>
      <c r="AN533">
        <v>1</v>
      </c>
      <c r="AO533">
        <v>1</v>
      </c>
      <c r="AP533">
        <v>2</v>
      </c>
      <c r="AQ533">
        <v>2</v>
      </c>
      <c r="AR533">
        <v>5</v>
      </c>
      <c r="AS533">
        <v>6</v>
      </c>
    </row>
    <row r="534" spans="1:45" x14ac:dyDescent="0.35">
      <c r="A534" s="337">
        <v>46266</v>
      </c>
      <c r="B534" s="337">
        <v>46268</v>
      </c>
      <c r="C534" s="337">
        <v>816</v>
      </c>
      <c r="D534" t="s">
        <v>130</v>
      </c>
      <c r="E534" s="339">
        <v>0.91666666666666663</v>
      </c>
      <c r="F534">
        <v>2</v>
      </c>
      <c r="G534" t="s">
        <v>39</v>
      </c>
      <c r="H534" t="s">
        <v>163</v>
      </c>
      <c r="I534" t="s">
        <v>165</v>
      </c>
      <c r="J534" t="s">
        <v>165</v>
      </c>
      <c r="K534" t="s">
        <v>165</v>
      </c>
      <c r="L534" t="s">
        <v>163</v>
      </c>
      <c r="M534" t="s">
        <v>161</v>
      </c>
      <c r="N534">
        <v>11.06</v>
      </c>
      <c r="O534" t="s">
        <v>163</v>
      </c>
      <c r="P534" t="s">
        <v>163</v>
      </c>
      <c r="Q534" t="s">
        <v>163</v>
      </c>
      <c r="R534" t="s">
        <v>163</v>
      </c>
      <c r="S534" t="s">
        <v>163</v>
      </c>
      <c r="T534" t="s">
        <v>163</v>
      </c>
      <c r="U534" t="s">
        <v>163</v>
      </c>
      <c r="V534" t="s">
        <v>163</v>
      </c>
      <c r="W534" t="s">
        <v>165</v>
      </c>
      <c r="X534" t="s">
        <v>165</v>
      </c>
      <c r="Y534" t="s">
        <v>163</v>
      </c>
      <c r="Z534" t="s">
        <v>163</v>
      </c>
      <c r="AA534">
        <v>1</v>
      </c>
      <c r="AB534">
        <v>2</v>
      </c>
      <c r="AC534">
        <v>1</v>
      </c>
      <c r="AD534" t="s">
        <v>163</v>
      </c>
      <c r="AE534" t="s">
        <v>163</v>
      </c>
      <c r="AF534" t="s">
        <v>163</v>
      </c>
      <c r="AG534" t="s">
        <v>163</v>
      </c>
      <c r="AH534" t="s">
        <v>163</v>
      </c>
      <c r="AI534" t="s">
        <v>163</v>
      </c>
      <c r="AJ534" t="s">
        <v>163</v>
      </c>
      <c r="AK534">
        <v>4</v>
      </c>
      <c r="AL534">
        <v>4</v>
      </c>
      <c r="AM534" t="s">
        <v>163</v>
      </c>
      <c r="AN534">
        <v>1</v>
      </c>
      <c r="AO534">
        <v>1</v>
      </c>
      <c r="AP534">
        <v>2</v>
      </c>
      <c r="AQ534">
        <v>2</v>
      </c>
      <c r="AR534">
        <v>6</v>
      </c>
      <c r="AS534">
        <v>6</v>
      </c>
    </row>
    <row r="535" spans="1:45" x14ac:dyDescent="0.35">
      <c r="A535" s="337">
        <v>46266</v>
      </c>
      <c r="B535" s="337">
        <v>46268</v>
      </c>
      <c r="C535" s="337">
        <v>46267</v>
      </c>
      <c r="D535" t="s">
        <v>130</v>
      </c>
      <c r="E535" s="337">
        <v>1</v>
      </c>
      <c r="F535">
        <v>1</v>
      </c>
      <c r="G535" t="s">
        <v>158</v>
      </c>
      <c r="H535" t="s">
        <v>163</v>
      </c>
      <c r="I535" t="s">
        <v>165</v>
      </c>
      <c r="J535" t="s">
        <v>165</v>
      </c>
      <c r="K535" t="s">
        <v>165</v>
      </c>
      <c r="L535" t="s">
        <v>163</v>
      </c>
      <c r="M535" t="s">
        <v>163</v>
      </c>
      <c r="N535">
        <v>9.6</v>
      </c>
      <c r="O535" t="s">
        <v>163</v>
      </c>
      <c r="P535" t="s">
        <v>163</v>
      </c>
      <c r="Q535" t="s">
        <v>163</v>
      </c>
      <c r="R535" t="s">
        <v>163</v>
      </c>
      <c r="S535" t="s">
        <v>163</v>
      </c>
      <c r="T535" t="s">
        <v>163</v>
      </c>
      <c r="U535" t="s">
        <v>163</v>
      </c>
      <c r="V535" t="s">
        <v>163</v>
      </c>
      <c r="W535" t="s">
        <v>165</v>
      </c>
      <c r="X535" t="s">
        <v>165</v>
      </c>
      <c r="Y535" t="s">
        <v>163</v>
      </c>
      <c r="Z535" t="s">
        <v>163</v>
      </c>
      <c r="AA535">
        <v>1</v>
      </c>
      <c r="AB535">
        <v>2</v>
      </c>
      <c r="AC535">
        <v>0</v>
      </c>
      <c r="AD535" t="s">
        <v>163</v>
      </c>
      <c r="AE535" t="s">
        <v>163</v>
      </c>
      <c r="AF535" t="s">
        <v>163</v>
      </c>
      <c r="AG535" t="s">
        <v>163</v>
      </c>
      <c r="AH535" t="s">
        <v>163</v>
      </c>
      <c r="AI535" t="s">
        <v>163</v>
      </c>
      <c r="AJ535" t="s">
        <v>163</v>
      </c>
      <c r="AK535">
        <v>3</v>
      </c>
      <c r="AL535">
        <v>4</v>
      </c>
      <c r="AM535" t="s">
        <v>163</v>
      </c>
      <c r="AN535">
        <v>1</v>
      </c>
      <c r="AO535">
        <v>1</v>
      </c>
      <c r="AP535">
        <v>2</v>
      </c>
      <c r="AQ535">
        <v>2</v>
      </c>
      <c r="AR535">
        <v>5</v>
      </c>
      <c r="AS535">
        <v>6</v>
      </c>
    </row>
    <row r="536" spans="1:45" x14ac:dyDescent="0.35">
      <c r="A536" s="337">
        <v>46266</v>
      </c>
      <c r="B536" s="337">
        <v>46268</v>
      </c>
      <c r="C536" s="337">
        <v>46267</v>
      </c>
      <c r="D536" t="s">
        <v>130</v>
      </c>
      <c r="E536" s="339">
        <v>0.91666666666666663</v>
      </c>
      <c r="F536">
        <v>1</v>
      </c>
      <c r="G536" t="s">
        <v>158</v>
      </c>
      <c r="H536" t="s">
        <v>163</v>
      </c>
      <c r="I536" t="s">
        <v>165</v>
      </c>
      <c r="J536" t="s">
        <v>165</v>
      </c>
      <c r="K536" t="s">
        <v>165</v>
      </c>
      <c r="L536" t="s">
        <v>163</v>
      </c>
      <c r="M536" t="s">
        <v>163</v>
      </c>
      <c r="N536">
        <v>11</v>
      </c>
      <c r="O536">
        <v>10.15</v>
      </c>
      <c r="P536" t="s">
        <v>163</v>
      </c>
      <c r="Q536" t="s">
        <v>163</v>
      </c>
      <c r="R536" t="s">
        <v>163</v>
      </c>
      <c r="S536" t="s">
        <v>163</v>
      </c>
      <c r="T536">
        <v>27.9</v>
      </c>
      <c r="U536" t="s">
        <v>163</v>
      </c>
      <c r="V536" t="s">
        <v>163</v>
      </c>
      <c r="W536" t="s">
        <v>165</v>
      </c>
      <c r="X536" t="s">
        <v>165</v>
      </c>
      <c r="Y536">
        <v>1</v>
      </c>
      <c r="Z536" t="s">
        <v>163</v>
      </c>
      <c r="AA536">
        <v>1</v>
      </c>
      <c r="AB536">
        <v>2</v>
      </c>
      <c r="AC536">
        <v>1</v>
      </c>
      <c r="AD536">
        <v>0</v>
      </c>
      <c r="AE536" t="s">
        <v>163</v>
      </c>
      <c r="AF536" t="s">
        <v>163</v>
      </c>
      <c r="AG536" t="s">
        <v>163</v>
      </c>
      <c r="AH536" t="s">
        <v>163</v>
      </c>
      <c r="AI536">
        <v>2</v>
      </c>
      <c r="AJ536" t="s">
        <v>163</v>
      </c>
      <c r="AK536">
        <v>6</v>
      </c>
      <c r="AL536">
        <v>7</v>
      </c>
      <c r="AM536" t="s">
        <v>163</v>
      </c>
      <c r="AN536">
        <v>1</v>
      </c>
      <c r="AO536">
        <v>1</v>
      </c>
      <c r="AP536">
        <v>2</v>
      </c>
      <c r="AQ536">
        <v>2</v>
      </c>
      <c r="AR536">
        <v>8</v>
      </c>
      <c r="AS536">
        <v>9</v>
      </c>
    </row>
    <row r="537" spans="1:45" x14ac:dyDescent="0.35">
      <c r="A537" s="337">
        <v>46266</v>
      </c>
      <c r="B537" s="337">
        <v>46268</v>
      </c>
      <c r="C537" s="337">
        <v>46267</v>
      </c>
      <c r="D537" t="s">
        <v>130</v>
      </c>
      <c r="E537" s="338">
        <v>1.2083333333333333</v>
      </c>
      <c r="F537">
        <v>3</v>
      </c>
      <c r="G537" t="s">
        <v>41</v>
      </c>
      <c r="H537">
        <v>0.01</v>
      </c>
      <c r="I537" t="s">
        <v>165</v>
      </c>
      <c r="J537" t="s">
        <v>165</v>
      </c>
      <c r="K537" t="s">
        <v>165</v>
      </c>
      <c r="L537" t="s">
        <v>161</v>
      </c>
      <c r="M537" t="s">
        <v>161</v>
      </c>
      <c r="N537">
        <v>12.95</v>
      </c>
      <c r="O537" t="s">
        <v>163</v>
      </c>
      <c r="P537" t="s">
        <v>163</v>
      </c>
      <c r="Q537" t="s">
        <v>163</v>
      </c>
      <c r="R537" t="s">
        <v>163</v>
      </c>
      <c r="S537" t="s">
        <v>163</v>
      </c>
      <c r="T537" t="s">
        <v>163</v>
      </c>
      <c r="U537" t="s">
        <v>163</v>
      </c>
      <c r="V537" t="s">
        <v>163</v>
      </c>
      <c r="W537" t="s">
        <v>165</v>
      </c>
      <c r="X537" t="s">
        <v>165</v>
      </c>
      <c r="Y537" t="s">
        <v>163</v>
      </c>
      <c r="Z537">
        <v>2</v>
      </c>
      <c r="AA537">
        <v>1</v>
      </c>
      <c r="AB537">
        <v>2</v>
      </c>
      <c r="AC537">
        <v>1</v>
      </c>
      <c r="AD537" t="s">
        <v>163</v>
      </c>
      <c r="AE537" t="s">
        <v>163</v>
      </c>
      <c r="AF537" t="s">
        <v>163</v>
      </c>
      <c r="AG537" t="s">
        <v>163</v>
      </c>
      <c r="AH537" t="s">
        <v>163</v>
      </c>
      <c r="AI537" t="s">
        <v>163</v>
      </c>
      <c r="AJ537" t="s">
        <v>163</v>
      </c>
      <c r="AK537">
        <v>6</v>
      </c>
      <c r="AL537">
        <v>6</v>
      </c>
      <c r="AM537" t="s">
        <v>163</v>
      </c>
      <c r="AN537">
        <v>1</v>
      </c>
      <c r="AO537">
        <v>1</v>
      </c>
      <c r="AP537">
        <v>2</v>
      </c>
      <c r="AQ537">
        <v>2</v>
      </c>
      <c r="AR537">
        <v>8</v>
      </c>
      <c r="AS537">
        <v>8</v>
      </c>
    </row>
    <row r="538" spans="1:45" x14ac:dyDescent="0.35">
      <c r="A538" s="337">
        <v>46266</v>
      </c>
      <c r="B538" s="337">
        <v>46268</v>
      </c>
      <c r="C538" s="337">
        <v>46260</v>
      </c>
      <c r="D538" t="s">
        <v>130</v>
      </c>
      <c r="E538" s="338">
        <v>1.125</v>
      </c>
      <c r="F538">
        <v>3</v>
      </c>
      <c r="G538" t="s">
        <v>119</v>
      </c>
      <c r="H538">
        <v>0.01</v>
      </c>
      <c r="I538" t="s">
        <v>165</v>
      </c>
      <c r="J538" t="s">
        <v>165</v>
      </c>
      <c r="K538" t="s">
        <v>165</v>
      </c>
      <c r="L538" t="s">
        <v>161</v>
      </c>
      <c r="M538" t="s">
        <v>161</v>
      </c>
      <c r="N538">
        <v>12.15</v>
      </c>
      <c r="O538" t="s">
        <v>163</v>
      </c>
      <c r="P538" t="s">
        <v>163</v>
      </c>
      <c r="Q538" t="s">
        <v>163</v>
      </c>
      <c r="R538" t="s">
        <v>163</v>
      </c>
      <c r="S538" t="s">
        <v>163</v>
      </c>
      <c r="T538" t="s">
        <v>163</v>
      </c>
      <c r="U538" t="s">
        <v>163</v>
      </c>
      <c r="V538" t="s">
        <v>163</v>
      </c>
      <c r="W538" t="s">
        <v>165</v>
      </c>
      <c r="X538" t="s">
        <v>165</v>
      </c>
      <c r="Y538" t="s">
        <v>163</v>
      </c>
      <c r="Z538">
        <v>2</v>
      </c>
      <c r="AA538">
        <v>1</v>
      </c>
      <c r="AB538">
        <v>2</v>
      </c>
      <c r="AC538">
        <v>1</v>
      </c>
      <c r="AD538" t="s">
        <v>163</v>
      </c>
      <c r="AE538" t="s">
        <v>163</v>
      </c>
      <c r="AF538" t="s">
        <v>163</v>
      </c>
      <c r="AG538" t="s">
        <v>163</v>
      </c>
      <c r="AH538" t="s">
        <v>163</v>
      </c>
      <c r="AI538" t="s">
        <v>163</v>
      </c>
      <c r="AJ538" t="s">
        <v>163</v>
      </c>
      <c r="AK538">
        <v>6</v>
      </c>
      <c r="AL538">
        <v>6</v>
      </c>
      <c r="AM538" t="s">
        <v>163</v>
      </c>
      <c r="AN538">
        <v>1</v>
      </c>
      <c r="AO538">
        <v>1</v>
      </c>
      <c r="AP538">
        <v>2</v>
      </c>
      <c r="AQ538">
        <v>2</v>
      </c>
      <c r="AR538">
        <v>8</v>
      </c>
      <c r="AS538">
        <v>8</v>
      </c>
    </row>
    <row r="539" spans="1:45" x14ac:dyDescent="0.35">
      <c r="A539" s="337">
        <v>46266</v>
      </c>
      <c r="B539" s="337">
        <v>46268</v>
      </c>
      <c r="C539" s="337">
        <v>46260</v>
      </c>
      <c r="D539" t="s">
        <v>130</v>
      </c>
      <c r="E539" s="338">
        <v>1.0833333333333333</v>
      </c>
      <c r="F539">
        <v>3</v>
      </c>
      <c r="G539" t="s">
        <v>119</v>
      </c>
      <c r="H539">
        <v>0.01</v>
      </c>
      <c r="I539" t="s">
        <v>165</v>
      </c>
      <c r="J539" t="s">
        <v>165</v>
      </c>
      <c r="K539" t="s">
        <v>165</v>
      </c>
      <c r="L539" t="s">
        <v>161</v>
      </c>
      <c r="M539" t="s">
        <v>161</v>
      </c>
      <c r="N539">
        <v>12.02</v>
      </c>
      <c r="O539" t="s">
        <v>163</v>
      </c>
      <c r="P539" t="s">
        <v>163</v>
      </c>
      <c r="Q539" t="s">
        <v>163</v>
      </c>
      <c r="R539" t="s">
        <v>163</v>
      </c>
      <c r="S539" t="s">
        <v>163</v>
      </c>
      <c r="T539" t="s">
        <v>163</v>
      </c>
      <c r="U539" t="s">
        <v>163</v>
      </c>
      <c r="V539" t="s">
        <v>163</v>
      </c>
      <c r="W539" t="s">
        <v>165</v>
      </c>
      <c r="X539" t="s">
        <v>165</v>
      </c>
      <c r="Y539" t="s">
        <v>163</v>
      </c>
      <c r="Z539">
        <v>2</v>
      </c>
      <c r="AA539">
        <v>1</v>
      </c>
      <c r="AB539">
        <v>2</v>
      </c>
      <c r="AC539">
        <v>1</v>
      </c>
      <c r="AD539" t="s">
        <v>163</v>
      </c>
      <c r="AE539" t="s">
        <v>163</v>
      </c>
      <c r="AF539" t="s">
        <v>163</v>
      </c>
      <c r="AG539" t="s">
        <v>163</v>
      </c>
      <c r="AH539" t="s">
        <v>163</v>
      </c>
      <c r="AI539" t="s">
        <v>163</v>
      </c>
      <c r="AJ539" t="s">
        <v>163</v>
      </c>
      <c r="AK539">
        <v>6</v>
      </c>
      <c r="AL539">
        <v>6</v>
      </c>
      <c r="AM539" t="s">
        <v>163</v>
      </c>
      <c r="AN539">
        <v>1</v>
      </c>
      <c r="AO539">
        <v>1</v>
      </c>
      <c r="AP539">
        <v>2</v>
      </c>
      <c r="AQ539">
        <v>2</v>
      </c>
      <c r="AR539">
        <v>8</v>
      </c>
      <c r="AS539">
        <v>8</v>
      </c>
    </row>
    <row r="540" spans="1:45" x14ac:dyDescent="0.35">
      <c r="A540" s="337">
        <v>46266</v>
      </c>
      <c r="B540" s="337">
        <v>46268</v>
      </c>
      <c r="C540" s="337">
        <v>46260</v>
      </c>
      <c r="D540" t="s">
        <v>130</v>
      </c>
      <c r="E540" s="338">
        <v>1.0416666666666667</v>
      </c>
      <c r="F540">
        <v>3</v>
      </c>
      <c r="G540" t="s">
        <v>119</v>
      </c>
      <c r="H540" t="s">
        <v>163</v>
      </c>
      <c r="I540" t="s">
        <v>165</v>
      </c>
      <c r="J540" t="s">
        <v>165</v>
      </c>
      <c r="K540" t="s">
        <v>165</v>
      </c>
      <c r="L540" t="s">
        <v>161</v>
      </c>
      <c r="M540" t="s">
        <v>161</v>
      </c>
      <c r="N540">
        <v>12.02</v>
      </c>
      <c r="O540" t="s">
        <v>163</v>
      </c>
      <c r="P540" t="s">
        <v>163</v>
      </c>
      <c r="Q540" t="s">
        <v>163</v>
      </c>
      <c r="R540" t="s">
        <v>163</v>
      </c>
      <c r="S540" t="s">
        <v>163</v>
      </c>
      <c r="T540" t="s">
        <v>163</v>
      </c>
      <c r="U540" t="s">
        <v>163</v>
      </c>
      <c r="V540" t="s">
        <v>163</v>
      </c>
      <c r="W540" t="s">
        <v>165</v>
      </c>
      <c r="X540" t="s">
        <v>165</v>
      </c>
      <c r="Y540" t="s">
        <v>163</v>
      </c>
      <c r="Z540" t="s">
        <v>163</v>
      </c>
      <c r="AA540">
        <v>1</v>
      </c>
      <c r="AB540">
        <v>2</v>
      </c>
      <c r="AC540">
        <v>1</v>
      </c>
      <c r="AD540" t="s">
        <v>163</v>
      </c>
      <c r="AE540" t="s">
        <v>163</v>
      </c>
      <c r="AF540" t="s">
        <v>163</v>
      </c>
      <c r="AG540" t="s">
        <v>163</v>
      </c>
      <c r="AH540" t="s">
        <v>163</v>
      </c>
      <c r="AI540" t="s">
        <v>163</v>
      </c>
      <c r="AJ540" t="s">
        <v>163</v>
      </c>
      <c r="AK540">
        <v>4</v>
      </c>
      <c r="AL540">
        <v>4</v>
      </c>
      <c r="AM540" t="s">
        <v>163</v>
      </c>
      <c r="AN540">
        <v>1</v>
      </c>
      <c r="AO540">
        <v>1</v>
      </c>
      <c r="AP540">
        <v>2</v>
      </c>
      <c r="AQ540">
        <v>2</v>
      </c>
      <c r="AR540">
        <v>6</v>
      </c>
      <c r="AS540">
        <v>6</v>
      </c>
    </row>
    <row r="541" spans="1:45" x14ac:dyDescent="0.35">
      <c r="A541" s="337">
        <v>46266</v>
      </c>
      <c r="B541" s="337">
        <v>46268</v>
      </c>
      <c r="C541" s="337">
        <v>46260</v>
      </c>
      <c r="D541" t="s">
        <v>130</v>
      </c>
      <c r="E541" s="337">
        <v>1</v>
      </c>
      <c r="F541">
        <v>3</v>
      </c>
      <c r="G541" t="s">
        <v>119</v>
      </c>
      <c r="H541">
        <v>0.01</v>
      </c>
      <c r="I541" t="s">
        <v>165</v>
      </c>
      <c r="J541" t="s">
        <v>165</v>
      </c>
      <c r="K541" t="s">
        <v>165</v>
      </c>
      <c r="L541" t="s">
        <v>161</v>
      </c>
      <c r="M541" t="s">
        <v>161</v>
      </c>
      <c r="N541">
        <v>11.92</v>
      </c>
      <c r="O541">
        <v>12.37</v>
      </c>
      <c r="P541">
        <v>0.62</v>
      </c>
      <c r="Q541" t="s">
        <v>163</v>
      </c>
      <c r="R541" t="s">
        <v>163</v>
      </c>
      <c r="S541" t="s">
        <v>163</v>
      </c>
      <c r="T541">
        <v>34.700000000000003</v>
      </c>
      <c r="U541" t="s">
        <v>163</v>
      </c>
      <c r="V541" t="s">
        <v>163</v>
      </c>
      <c r="W541" t="s">
        <v>165</v>
      </c>
      <c r="X541" t="s">
        <v>165</v>
      </c>
      <c r="Y541" t="s">
        <v>419</v>
      </c>
      <c r="Z541">
        <v>2</v>
      </c>
      <c r="AA541">
        <v>1</v>
      </c>
      <c r="AB541">
        <v>2</v>
      </c>
      <c r="AC541">
        <v>0</v>
      </c>
      <c r="AD541">
        <v>1</v>
      </c>
      <c r="AE541">
        <v>2</v>
      </c>
      <c r="AF541" t="s">
        <v>163</v>
      </c>
      <c r="AG541" t="s">
        <v>163</v>
      </c>
      <c r="AH541" t="s">
        <v>163</v>
      </c>
      <c r="AI541">
        <v>2</v>
      </c>
      <c r="AJ541" t="s">
        <v>163</v>
      </c>
      <c r="AK541">
        <v>10</v>
      </c>
      <c r="AL541">
        <v>11</v>
      </c>
      <c r="AM541" t="s">
        <v>163</v>
      </c>
      <c r="AN541">
        <v>1</v>
      </c>
      <c r="AO541">
        <v>1</v>
      </c>
      <c r="AP541">
        <v>2</v>
      </c>
      <c r="AQ541">
        <v>2</v>
      </c>
      <c r="AR541">
        <v>12</v>
      </c>
      <c r="AS541">
        <v>13</v>
      </c>
    </row>
    <row r="542" spans="1:45" x14ac:dyDescent="0.35">
      <c r="A542" s="337">
        <v>46266</v>
      </c>
      <c r="B542" s="337">
        <v>46268</v>
      </c>
      <c r="C542" s="339">
        <v>0</v>
      </c>
      <c r="D542" t="s">
        <v>130</v>
      </c>
      <c r="E542" s="338">
        <v>1.2083333333333333</v>
      </c>
      <c r="F542">
        <v>2</v>
      </c>
      <c r="G542" t="s">
        <v>39</v>
      </c>
      <c r="H542" t="s">
        <v>163</v>
      </c>
      <c r="I542" t="s">
        <v>165</v>
      </c>
      <c r="J542" t="s">
        <v>165</v>
      </c>
      <c r="K542" t="s">
        <v>165</v>
      </c>
      <c r="L542" t="s">
        <v>163</v>
      </c>
      <c r="M542" t="s">
        <v>161</v>
      </c>
      <c r="N542">
        <v>10.34</v>
      </c>
      <c r="O542" t="s">
        <v>163</v>
      </c>
      <c r="P542" t="s">
        <v>163</v>
      </c>
      <c r="Q542" t="s">
        <v>163</v>
      </c>
      <c r="R542" t="s">
        <v>163</v>
      </c>
      <c r="S542" t="s">
        <v>163</v>
      </c>
      <c r="T542" t="s">
        <v>163</v>
      </c>
      <c r="U542" t="s">
        <v>163</v>
      </c>
      <c r="V542" t="s">
        <v>163</v>
      </c>
      <c r="W542" t="s">
        <v>165</v>
      </c>
      <c r="X542" t="s">
        <v>165</v>
      </c>
      <c r="Y542" t="s">
        <v>163</v>
      </c>
      <c r="Z542" t="s">
        <v>163</v>
      </c>
      <c r="AA542">
        <v>1</v>
      </c>
      <c r="AB542">
        <v>2</v>
      </c>
      <c r="AC542">
        <v>0</v>
      </c>
      <c r="AD542" t="s">
        <v>163</v>
      </c>
      <c r="AE542" t="s">
        <v>163</v>
      </c>
      <c r="AF542" t="s">
        <v>163</v>
      </c>
      <c r="AG542" t="s">
        <v>163</v>
      </c>
      <c r="AH542" t="s">
        <v>163</v>
      </c>
      <c r="AI542" t="s">
        <v>163</v>
      </c>
      <c r="AJ542" t="s">
        <v>163</v>
      </c>
      <c r="AK542">
        <v>3</v>
      </c>
      <c r="AL542">
        <v>4</v>
      </c>
      <c r="AM542" t="s">
        <v>163</v>
      </c>
      <c r="AN542">
        <v>1</v>
      </c>
      <c r="AO542">
        <v>1</v>
      </c>
      <c r="AP542">
        <v>2</v>
      </c>
      <c r="AQ542">
        <v>2</v>
      </c>
      <c r="AR542">
        <v>5</v>
      </c>
      <c r="AS542">
        <v>6</v>
      </c>
    </row>
    <row r="543" spans="1:45" x14ac:dyDescent="0.35">
      <c r="A543" s="337">
        <v>46266</v>
      </c>
      <c r="B543" s="337">
        <v>46268</v>
      </c>
      <c r="C543" s="339">
        <v>0</v>
      </c>
      <c r="D543" t="s">
        <v>130</v>
      </c>
      <c r="E543" s="338">
        <v>1.1666666666666667</v>
      </c>
      <c r="F543">
        <v>2</v>
      </c>
      <c r="G543" t="s">
        <v>39</v>
      </c>
      <c r="H543" t="s">
        <v>163</v>
      </c>
      <c r="I543" t="s">
        <v>165</v>
      </c>
      <c r="J543" t="s">
        <v>165</v>
      </c>
      <c r="K543" t="s">
        <v>165</v>
      </c>
      <c r="L543" t="s">
        <v>163</v>
      </c>
      <c r="M543" t="s">
        <v>161</v>
      </c>
      <c r="N543">
        <v>10.71</v>
      </c>
      <c r="O543" t="s">
        <v>163</v>
      </c>
      <c r="P543" t="s">
        <v>163</v>
      </c>
      <c r="Q543" t="s">
        <v>163</v>
      </c>
      <c r="R543" t="s">
        <v>163</v>
      </c>
      <c r="S543" t="s">
        <v>163</v>
      </c>
      <c r="T543" t="s">
        <v>163</v>
      </c>
      <c r="U543" t="s">
        <v>163</v>
      </c>
      <c r="V543" t="s">
        <v>163</v>
      </c>
      <c r="W543" t="s">
        <v>165</v>
      </c>
      <c r="X543" t="s">
        <v>165</v>
      </c>
      <c r="Y543" t="s">
        <v>163</v>
      </c>
      <c r="Z543" t="s">
        <v>163</v>
      </c>
      <c r="AA543">
        <v>1</v>
      </c>
      <c r="AB543">
        <v>2</v>
      </c>
      <c r="AC543">
        <v>0</v>
      </c>
      <c r="AD543" t="s">
        <v>163</v>
      </c>
      <c r="AE543" t="s">
        <v>163</v>
      </c>
      <c r="AF543" t="s">
        <v>163</v>
      </c>
      <c r="AG543" t="s">
        <v>163</v>
      </c>
      <c r="AH543" t="s">
        <v>163</v>
      </c>
      <c r="AI543" t="s">
        <v>163</v>
      </c>
      <c r="AJ543" t="s">
        <v>163</v>
      </c>
      <c r="AK543">
        <v>3</v>
      </c>
      <c r="AL543">
        <v>4</v>
      </c>
      <c r="AM543" t="s">
        <v>163</v>
      </c>
      <c r="AN543">
        <v>1</v>
      </c>
      <c r="AO543">
        <v>1</v>
      </c>
      <c r="AP543">
        <v>2</v>
      </c>
      <c r="AQ543">
        <v>2</v>
      </c>
      <c r="AR543">
        <v>5</v>
      </c>
      <c r="AS543">
        <v>6</v>
      </c>
    </row>
    <row r="544" spans="1:45" x14ac:dyDescent="0.35">
      <c r="A544" s="337">
        <v>46266</v>
      </c>
      <c r="B544" s="337">
        <v>46268</v>
      </c>
      <c r="C544" s="339">
        <v>0</v>
      </c>
      <c r="D544" t="s">
        <v>130</v>
      </c>
      <c r="E544" s="338">
        <v>1.125</v>
      </c>
      <c r="F544">
        <v>2</v>
      </c>
      <c r="G544" t="s">
        <v>39</v>
      </c>
      <c r="H544" t="s">
        <v>163</v>
      </c>
      <c r="I544" t="s">
        <v>165</v>
      </c>
      <c r="J544" t="s">
        <v>165</v>
      </c>
      <c r="K544" t="s">
        <v>165</v>
      </c>
      <c r="L544" t="s">
        <v>163</v>
      </c>
      <c r="M544" t="s">
        <v>161</v>
      </c>
      <c r="N544">
        <v>10.52</v>
      </c>
      <c r="O544" t="s">
        <v>163</v>
      </c>
      <c r="P544" t="s">
        <v>163</v>
      </c>
      <c r="Q544" t="s">
        <v>163</v>
      </c>
      <c r="R544" t="s">
        <v>163</v>
      </c>
      <c r="S544" t="s">
        <v>163</v>
      </c>
      <c r="T544" t="s">
        <v>163</v>
      </c>
      <c r="U544" t="s">
        <v>163</v>
      </c>
      <c r="V544" t="s">
        <v>163</v>
      </c>
      <c r="W544" t="s">
        <v>165</v>
      </c>
      <c r="X544" t="s">
        <v>165</v>
      </c>
      <c r="Y544" t="s">
        <v>163</v>
      </c>
      <c r="Z544" t="s">
        <v>163</v>
      </c>
      <c r="AA544">
        <v>1</v>
      </c>
      <c r="AB544">
        <v>2</v>
      </c>
      <c r="AC544">
        <v>0</v>
      </c>
      <c r="AD544" t="s">
        <v>163</v>
      </c>
      <c r="AE544" t="s">
        <v>163</v>
      </c>
      <c r="AF544" t="s">
        <v>163</v>
      </c>
      <c r="AG544" t="s">
        <v>163</v>
      </c>
      <c r="AH544" t="s">
        <v>163</v>
      </c>
      <c r="AI544" t="s">
        <v>163</v>
      </c>
      <c r="AJ544" t="s">
        <v>163</v>
      </c>
      <c r="AK544">
        <v>3</v>
      </c>
      <c r="AL544">
        <v>4</v>
      </c>
      <c r="AM544" t="s">
        <v>163</v>
      </c>
      <c r="AN544">
        <v>1</v>
      </c>
      <c r="AO544">
        <v>1</v>
      </c>
      <c r="AP544">
        <v>2</v>
      </c>
      <c r="AQ544">
        <v>2</v>
      </c>
      <c r="AR544">
        <v>5</v>
      </c>
      <c r="AS544">
        <v>6</v>
      </c>
    </row>
    <row r="545" spans="1:45" x14ac:dyDescent="0.35">
      <c r="A545" s="337">
        <v>46266</v>
      </c>
      <c r="B545" s="337">
        <v>46268</v>
      </c>
      <c r="C545" s="339">
        <v>0</v>
      </c>
      <c r="D545" t="s">
        <v>130</v>
      </c>
      <c r="E545" s="338">
        <v>1.0833333333333333</v>
      </c>
      <c r="F545">
        <v>2</v>
      </c>
      <c r="G545" t="s">
        <v>39</v>
      </c>
      <c r="H545" t="s">
        <v>163</v>
      </c>
      <c r="I545" t="s">
        <v>165</v>
      </c>
      <c r="J545" t="s">
        <v>165</v>
      </c>
      <c r="K545" t="s">
        <v>165</v>
      </c>
      <c r="L545" t="s">
        <v>163</v>
      </c>
      <c r="M545" t="s">
        <v>161</v>
      </c>
      <c r="N545">
        <v>10.66</v>
      </c>
      <c r="O545" t="s">
        <v>163</v>
      </c>
      <c r="P545" t="s">
        <v>163</v>
      </c>
      <c r="Q545" t="s">
        <v>163</v>
      </c>
      <c r="R545" t="s">
        <v>163</v>
      </c>
      <c r="S545" t="s">
        <v>163</v>
      </c>
      <c r="T545" t="s">
        <v>163</v>
      </c>
      <c r="U545" t="s">
        <v>163</v>
      </c>
      <c r="V545" t="s">
        <v>163</v>
      </c>
      <c r="W545" t="s">
        <v>165</v>
      </c>
      <c r="X545" t="s">
        <v>165</v>
      </c>
      <c r="Y545" t="s">
        <v>163</v>
      </c>
      <c r="Z545" t="s">
        <v>163</v>
      </c>
      <c r="AA545">
        <v>1</v>
      </c>
      <c r="AB545">
        <v>2</v>
      </c>
      <c r="AC545">
        <v>0</v>
      </c>
      <c r="AD545" t="s">
        <v>163</v>
      </c>
      <c r="AE545" t="s">
        <v>163</v>
      </c>
      <c r="AF545" t="s">
        <v>163</v>
      </c>
      <c r="AG545" t="s">
        <v>163</v>
      </c>
      <c r="AH545" t="s">
        <v>163</v>
      </c>
      <c r="AI545" t="s">
        <v>163</v>
      </c>
      <c r="AJ545" t="s">
        <v>163</v>
      </c>
      <c r="AK545">
        <v>3</v>
      </c>
      <c r="AL545">
        <v>4</v>
      </c>
      <c r="AM545" t="s">
        <v>163</v>
      </c>
      <c r="AN545">
        <v>1</v>
      </c>
      <c r="AO545">
        <v>1</v>
      </c>
      <c r="AP545">
        <v>2</v>
      </c>
      <c r="AQ545">
        <v>2</v>
      </c>
      <c r="AR545">
        <v>5</v>
      </c>
      <c r="AS545">
        <v>6</v>
      </c>
    </row>
    <row r="546" spans="1:45" x14ac:dyDescent="0.35">
      <c r="A546" s="337">
        <v>46266</v>
      </c>
      <c r="B546" s="337">
        <v>46268</v>
      </c>
      <c r="C546" s="339">
        <v>0</v>
      </c>
      <c r="D546" t="s">
        <v>130</v>
      </c>
      <c r="E546" s="338">
        <v>1.0416666666666667</v>
      </c>
      <c r="F546">
        <v>2</v>
      </c>
      <c r="G546" t="s">
        <v>39</v>
      </c>
      <c r="H546" t="s">
        <v>163</v>
      </c>
      <c r="I546" t="s">
        <v>165</v>
      </c>
      <c r="J546" t="s">
        <v>165</v>
      </c>
      <c r="K546" t="s">
        <v>165</v>
      </c>
      <c r="L546" t="s">
        <v>163</v>
      </c>
      <c r="M546" t="s">
        <v>161</v>
      </c>
      <c r="N546">
        <v>10.69</v>
      </c>
      <c r="O546" t="s">
        <v>163</v>
      </c>
      <c r="P546" t="s">
        <v>163</v>
      </c>
      <c r="Q546" t="s">
        <v>163</v>
      </c>
      <c r="R546" t="s">
        <v>163</v>
      </c>
      <c r="S546" t="s">
        <v>163</v>
      </c>
      <c r="T546" t="s">
        <v>163</v>
      </c>
      <c r="U546" t="s">
        <v>163</v>
      </c>
      <c r="V546" t="s">
        <v>163</v>
      </c>
      <c r="W546" t="s">
        <v>165</v>
      </c>
      <c r="X546" t="s">
        <v>165</v>
      </c>
      <c r="Y546" t="s">
        <v>163</v>
      </c>
      <c r="Z546" t="s">
        <v>163</v>
      </c>
      <c r="AA546">
        <v>1</v>
      </c>
      <c r="AB546">
        <v>2</v>
      </c>
      <c r="AC546">
        <v>0</v>
      </c>
      <c r="AD546" t="s">
        <v>163</v>
      </c>
      <c r="AE546" t="s">
        <v>163</v>
      </c>
      <c r="AF546" t="s">
        <v>163</v>
      </c>
      <c r="AG546" t="s">
        <v>163</v>
      </c>
      <c r="AH546" t="s">
        <v>163</v>
      </c>
      <c r="AI546" t="s">
        <v>163</v>
      </c>
      <c r="AJ546" t="s">
        <v>163</v>
      </c>
      <c r="AK546">
        <v>3</v>
      </c>
      <c r="AL546">
        <v>4</v>
      </c>
      <c r="AM546" t="s">
        <v>163</v>
      </c>
      <c r="AN546">
        <v>1</v>
      </c>
      <c r="AO546">
        <v>1</v>
      </c>
      <c r="AP546">
        <v>2</v>
      </c>
      <c r="AQ546">
        <v>2</v>
      </c>
      <c r="AR546">
        <v>5</v>
      </c>
      <c r="AS546">
        <v>6</v>
      </c>
    </row>
    <row r="547" spans="1:45" x14ac:dyDescent="0.35">
      <c r="A547" s="337">
        <v>46266</v>
      </c>
      <c r="B547" s="337">
        <v>46268</v>
      </c>
      <c r="C547" s="339">
        <v>0</v>
      </c>
      <c r="D547" t="s">
        <v>130</v>
      </c>
      <c r="E547" s="337">
        <v>1</v>
      </c>
      <c r="F547">
        <v>2</v>
      </c>
      <c r="G547" t="s">
        <v>39</v>
      </c>
      <c r="H547" t="s">
        <v>163</v>
      </c>
      <c r="I547" t="s">
        <v>165</v>
      </c>
      <c r="J547" t="s">
        <v>165</v>
      </c>
      <c r="K547" t="s">
        <v>165</v>
      </c>
      <c r="L547" t="s">
        <v>163</v>
      </c>
      <c r="M547" t="s">
        <v>161</v>
      </c>
      <c r="N547">
        <v>10.6</v>
      </c>
      <c r="O547" t="s">
        <v>163</v>
      </c>
      <c r="P547" t="s">
        <v>163</v>
      </c>
      <c r="Q547" t="s">
        <v>163</v>
      </c>
      <c r="R547" t="s">
        <v>163</v>
      </c>
      <c r="S547" t="s">
        <v>163</v>
      </c>
      <c r="T547" t="s">
        <v>163</v>
      </c>
      <c r="U547" t="s">
        <v>163</v>
      </c>
      <c r="V547" t="s">
        <v>163</v>
      </c>
      <c r="W547" t="s">
        <v>165</v>
      </c>
      <c r="X547" t="s">
        <v>165</v>
      </c>
      <c r="Y547" t="s">
        <v>163</v>
      </c>
      <c r="Z547" t="s">
        <v>163</v>
      </c>
      <c r="AA547">
        <v>1</v>
      </c>
      <c r="AB547">
        <v>2</v>
      </c>
      <c r="AC547">
        <v>0</v>
      </c>
      <c r="AD547" t="s">
        <v>163</v>
      </c>
      <c r="AE547" t="s">
        <v>163</v>
      </c>
      <c r="AF547" t="s">
        <v>163</v>
      </c>
      <c r="AG547" t="s">
        <v>163</v>
      </c>
      <c r="AH547" t="s">
        <v>163</v>
      </c>
      <c r="AI547" t="s">
        <v>163</v>
      </c>
      <c r="AJ547" t="s">
        <v>163</v>
      </c>
      <c r="AK547">
        <v>3</v>
      </c>
      <c r="AL547">
        <v>4</v>
      </c>
      <c r="AM547" t="s">
        <v>163</v>
      </c>
      <c r="AN547">
        <v>1</v>
      </c>
      <c r="AO547">
        <v>1</v>
      </c>
      <c r="AP547">
        <v>2</v>
      </c>
      <c r="AQ547">
        <v>2</v>
      </c>
      <c r="AR547">
        <v>5</v>
      </c>
      <c r="AS547">
        <v>6</v>
      </c>
    </row>
    <row r="548" spans="1:45" x14ac:dyDescent="0.35">
      <c r="A548" s="337">
        <v>46266</v>
      </c>
      <c r="B548" s="337">
        <v>46268</v>
      </c>
      <c r="C548" s="337">
        <v>816</v>
      </c>
      <c r="D548" t="s">
        <v>130</v>
      </c>
      <c r="E548" s="339">
        <v>0.91666666666666663</v>
      </c>
      <c r="F548">
        <v>2</v>
      </c>
      <c r="G548" t="s">
        <v>39</v>
      </c>
      <c r="H548" t="s">
        <v>163</v>
      </c>
      <c r="I548" t="s">
        <v>165</v>
      </c>
      <c r="J548" t="s">
        <v>165</v>
      </c>
      <c r="K548" t="s">
        <v>165</v>
      </c>
      <c r="L548" t="s">
        <v>163</v>
      </c>
      <c r="M548" t="s">
        <v>161</v>
      </c>
      <c r="N548">
        <v>11.06</v>
      </c>
      <c r="O548" t="s">
        <v>163</v>
      </c>
      <c r="P548" t="s">
        <v>163</v>
      </c>
      <c r="Q548" t="s">
        <v>163</v>
      </c>
      <c r="R548" t="s">
        <v>163</v>
      </c>
      <c r="S548" t="s">
        <v>163</v>
      </c>
      <c r="T548" t="s">
        <v>163</v>
      </c>
      <c r="U548" t="s">
        <v>163</v>
      </c>
      <c r="V548" t="s">
        <v>163</v>
      </c>
      <c r="W548" t="s">
        <v>165</v>
      </c>
      <c r="X548" t="s">
        <v>165</v>
      </c>
      <c r="Y548" t="s">
        <v>163</v>
      </c>
      <c r="Z548" t="s">
        <v>163</v>
      </c>
      <c r="AA548">
        <v>1</v>
      </c>
      <c r="AB548">
        <v>2</v>
      </c>
      <c r="AC548">
        <v>1</v>
      </c>
      <c r="AD548" t="s">
        <v>163</v>
      </c>
      <c r="AE548" t="s">
        <v>163</v>
      </c>
      <c r="AF548" t="s">
        <v>163</v>
      </c>
      <c r="AG548" t="s">
        <v>163</v>
      </c>
      <c r="AH548" t="s">
        <v>163</v>
      </c>
      <c r="AI548" t="s">
        <v>163</v>
      </c>
      <c r="AJ548" t="s">
        <v>163</v>
      </c>
      <c r="AK548">
        <v>4</v>
      </c>
      <c r="AL548">
        <v>4</v>
      </c>
      <c r="AM548" t="s">
        <v>163</v>
      </c>
      <c r="AN548">
        <v>1</v>
      </c>
      <c r="AO548">
        <v>1</v>
      </c>
      <c r="AP548">
        <v>2</v>
      </c>
      <c r="AQ548">
        <v>2</v>
      </c>
      <c r="AR548">
        <v>6</v>
      </c>
      <c r="AS548">
        <v>6</v>
      </c>
    </row>
    <row r="549" spans="1:45" x14ac:dyDescent="0.35">
      <c r="A549" s="337">
        <v>46266</v>
      </c>
      <c r="B549" s="337">
        <v>46268</v>
      </c>
      <c r="C549" s="337">
        <v>46267</v>
      </c>
      <c r="D549" t="s">
        <v>130</v>
      </c>
      <c r="E549" s="337">
        <v>1</v>
      </c>
      <c r="F549">
        <v>1</v>
      </c>
      <c r="G549" t="s">
        <v>158</v>
      </c>
      <c r="H549" t="s">
        <v>163</v>
      </c>
      <c r="I549" t="s">
        <v>165</v>
      </c>
      <c r="J549" t="s">
        <v>165</v>
      </c>
      <c r="K549" t="s">
        <v>165</v>
      </c>
      <c r="L549" t="s">
        <v>163</v>
      </c>
      <c r="M549" t="s">
        <v>163</v>
      </c>
      <c r="N549">
        <v>9.6</v>
      </c>
      <c r="O549" t="s">
        <v>163</v>
      </c>
      <c r="P549" t="s">
        <v>163</v>
      </c>
      <c r="Q549" t="s">
        <v>163</v>
      </c>
      <c r="R549" t="s">
        <v>163</v>
      </c>
      <c r="S549" t="s">
        <v>163</v>
      </c>
      <c r="T549" t="s">
        <v>163</v>
      </c>
      <c r="U549" t="s">
        <v>163</v>
      </c>
      <c r="V549" t="s">
        <v>163</v>
      </c>
      <c r="W549" t="s">
        <v>165</v>
      </c>
      <c r="X549" t="s">
        <v>165</v>
      </c>
      <c r="Y549" t="s">
        <v>163</v>
      </c>
      <c r="Z549" t="s">
        <v>163</v>
      </c>
      <c r="AA549">
        <v>1</v>
      </c>
      <c r="AB549">
        <v>2</v>
      </c>
      <c r="AC549">
        <v>0</v>
      </c>
      <c r="AD549" t="s">
        <v>163</v>
      </c>
      <c r="AE549" t="s">
        <v>163</v>
      </c>
      <c r="AF549" t="s">
        <v>163</v>
      </c>
      <c r="AG549" t="s">
        <v>163</v>
      </c>
      <c r="AH549" t="s">
        <v>163</v>
      </c>
      <c r="AI549" t="s">
        <v>163</v>
      </c>
      <c r="AJ549" t="s">
        <v>163</v>
      </c>
      <c r="AK549">
        <v>3</v>
      </c>
      <c r="AL549">
        <v>4</v>
      </c>
      <c r="AM549" t="s">
        <v>163</v>
      </c>
      <c r="AN549">
        <v>1</v>
      </c>
      <c r="AO549">
        <v>1</v>
      </c>
      <c r="AP549">
        <v>2</v>
      </c>
      <c r="AQ549">
        <v>2</v>
      </c>
      <c r="AR549">
        <v>5</v>
      </c>
      <c r="AS549">
        <v>6</v>
      </c>
    </row>
    <row r="550" spans="1:45" x14ac:dyDescent="0.35">
      <c r="A550" s="337">
        <v>46266</v>
      </c>
      <c r="B550" s="337">
        <v>46268</v>
      </c>
      <c r="C550" s="337">
        <v>46267</v>
      </c>
      <c r="D550" t="s">
        <v>130</v>
      </c>
      <c r="E550" s="339">
        <v>0.91666666666666663</v>
      </c>
      <c r="F550">
        <v>1</v>
      </c>
      <c r="G550" t="s">
        <v>158</v>
      </c>
      <c r="H550" t="s">
        <v>163</v>
      </c>
      <c r="I550" t="s">
        <v>165</v>
      </c>
      <c r="J550" t="s">
        <v>165</v>
      </c>
      <c r="K550" t="s">
        <v>165</v>
      </c>
      <c r="L550" t="s">
        <v>163</v>
      </c>
      <c r="M550" t="s">
        <v>163</v>
      </c>
      <c r="N550">
        <v>11</v>
      </c>
      <c r="O550">
        <v>10.15</v>
      </c>
      <c r="P550" t="s">
        <v>163</v>
      </c>
      <c r="Q550" t="s">
        <v>163</v>
      </c>
      <c r="R550" t="s">
        <v>163</v>
      </c>
      <c r="S550" t="s">
        <v>163</v>
      </c>
      <c r="T550">
        <v>27.9</v>
      </c>
      <c r="U550" t="s">
        <v>163</v>
      </c>
      <c r="V550" t="s">
        <v>163</v>
      </c>
      <c r="W550" t="s">
        <v>165</v>
      </c>
      <c r="X550" t="s">
        <v>165</v>
      </c>
      <c r="Y550">
        <v>1</v>
      </c>
      <c r="Z550" t="s">
        <v>163</v>
      </c>
      <c r="AA550">
        <v>1</v>
      </c>
      <c r="AB550">
        <v>2</v>
      </c>
      <c r="AC550">
        <v>1</v>
      </c>
      <c r="AD550">
        <v>0</v>
      </c>
      <c r="AE550" t="s">
        <v>163</v>
      </c>
      <c r="AF550" t="s">
        <v>163</v>
      </c>
      <c r="AG550" t="s">
        <v>163</v>
      </c>
      <c r="AH550" t="s">
        <v>163</v>
      </c>
      <c r="AI550">
        <v>2</v>
      </c>
      <c r="AJ550" t="s">
        <v>163</v>
      </c>
      <c r="AK550">
        <v>6</v>
      </c>
      <c r="AL550">
        <v>7</v>
      </c>
      <c r="AM550" t="s">
        <v>163</v>
      </c>
      <c r="AN550">
        <v>1</v>
      </c>
      <c r="AO550">
        <v>1</v>
      </c>
      <c r="AP550">
        <v>2</v>
      </c>
      <c r="AQ550">
        <v>2</v>
      </c>
      <c r="AR550">
        <v>8</v>
      </c>
      <c r="AS550">
        <v>9</v>
      </c>
    </row>
    <row r="551" spans="1:45" x14ac:dyDescent="0.35">
      <c r="A551" s="337">
        <v>46266</v>
      </c>
      <c r="B551" s="337">
        <v>46268</v>
      </c>
      <c r="C551" s="337">
        <v>46252</v>
      </c>
      <c r="D551" t="s">
        <v>128</v>
      </c>
      <c r="E551" s="339">
        <v>0.58333333333333337</v>
      </c>
      <c r="F551" t="s">
        <v>383</v>
      </c>
      <c r="G551" t="s">
        <v>104</v>
      </c>
      <c r="H551" t="s">
        <v>163</v>
      </c>
      <c r="I551" t="s">
        <v>165</v>
      </c>
      <c r="J551" t="s">
        <v>165</v>
      </c>
      <c r="K551" t="s">
        <v>165</v>
      </c>
      <c r="L551" t="s">
        <v>163</v>
      </c>
      <c r="M551" t="s">
        <v>163</v>
      </c>
      <c r="N551">
        <v>12.14</v>
      </c>
      <c r="O551" t="s">
        <v>163</v>
      </c>
      <c r="P551" t="s">
        <v>163</v>
      </c>
      <c r="Q551" t="s">
        <v>163</v>
      </c>
      <c r="R551" t="s">
        <v>163</v>
      </c>
      <c r="S551" t="s">
        <v>163</v>
      </c>
      <c r="T551" t="s">
        <v>163</v>
      </c>
      <c r="U551" t="s">
        <v>163</v>
      </c>
      <c r="V551" t="s">
        <v>163</v>
      </c>
      <c r="W551" t="s">
        <v>163</v>
      </c>
      <c r="X551" t="s">
        <v>163</v>
      </c>
      <c r="Y551" t="s">
        <v>163</v>
      </c>
      <c r="Z551" t="s">
        <v>163</v>
      </c>
      <c r="AA551">
        <v>1</v>
      </c>
      <c r="AB551">
        <v>2</v>
      </c>
      <c r="AC551">
        <v>1</v>
      </c>
      <c r="AD551" t="s">
        <v>163</v>
      </c>
      <c r="AE551" t="s">
        <v>163</v>
      </c>
      <c r="AF551" t="s">
        <v>163</v>
      </c>
      <c r="AG551" t="s">
        <v>163</v>
      </c>
      <c r="AH551" t="s">
        <v>163</v>
      </c>
      <c r="AI551" t="s">
        <v>163</v>
      </c>
      <c r="AJ551" t="s">
        <v>163</v>
      </c>
      <c r="AK551">
        <v>4</v>
      </c>
      <c r="AL551">
        <v>4</v>
      </c>
      <c r="AM551" t="s">
        <v>163</v>
      </c>
      <c r="AN551" t="s">
        <v>163</v>
      </c>
      <c r="AO551" t="s">
        <v>163</v>
      </c>
      <c r="AP551">
        <v>0</v>
      </c>
      <c r="AQ551">
        <v>0</v>
      </c>
      <c r="AR551">
        <v>4</v>
      </c>
      <c r="AS551">
        <v>4</v>
      </c>
    </row>
    <row r="552" spans="1:45" x14ac:dyDescent="0.35">
      <c r="A552" s="337">
        <v>46266</v>
      </c>
      <c r="B552" s="337">
        <v>46268</v>
      </c>
      <c r="C552" s="337">
        <v>46267</v>
      </c>
      <c r="D552" t="s">
        <v>128</v>
      </c>
      <c r="E552" s="339">
        <v>0.875</v>
      </c>
      <c r="F552">
        <v>3</v>
      </c>
      <c r="G552" t="s">
        <v>145</v>
      </c>
      <c r="H552">
        <v>0.01</v>
      </c>
      <c r="I552" t="s">
        <v>165</v>
      </c>
      <c r="J552" t="s">
        <v>165</v>
      </c>
      <c r="K552" t="s">
        <v>165</v>
      </c>
      <c r="L552" t="s">
        <v>161</v>
      </c>
      <c r="M552" t="s">
        <v>161</v>
      </c>
      <c r="N552">
        <v>12.61</v>
      </c>
      <c r="O552" t="s">
        <v>163</v>
      </c>
      <c r="P552" t="s">
        <v>163</v>
      </c>
      <c r="Q552" t="s">
        <v>163</v>
      </c>
      <c r="R552" t="s">
        <v>163</v>
      </c>
      <c r="S552" t="s">
        <v>163</v>
      </c>
      <c r="T552" t="s">
        <v>163</v>
      </c>
      <c r="U552" t="s">
        <v>163</v>
      </c>
      <c r="V552" t="s">
        <v>163</v>
      </c>
      <c r="W552" t="s">
        <v>165</v>
      </c>
      <c r="X552" t="s">
        <v>165</v>
      </c>
      <c r="Y552" t="s">
        <v>163</v>
      </c>
      <c r="Z552">
        <v>2</v>
      </c>
      <c r="AA552">
        <v>1</v>
      </c>
      <c r="AB552">
        <v>2</v>
      </c>
      <c r="AC552">
        <v>1</v>
      </c>
      <c r="AD552" t="s">
        <v>163</v>
      </c>
      <c r="AE552" t="s">
        <v>163</v>
      </c>
      <c r="AF552" t="s">
        <v>163</v>
      </c>
      <c r="AG552" t="s">
        <v>163</v>
      </c>
      <c r="AH552" t="s">
        <v>163</v>
      </c>
      <c r="AI552" t="s">
        <v>163</v>
      </c>
      <c r="AJ552" t="s">
        <v>163</v>
      </c>
      <c r="AK552">
        <v>6</v>
      </c>
      <c r="AL552">
        <v>6</v>
      </c>
      <c r="AM552" t="s">
        <v>163</v>
      </c>
      <c r="AN552">
        <v>1</v>
      </c>
      <c r="AO552">
        <v>1</v>
      </c>
      <c r="AP552">
        <v>2</v>
      </c>
      <c r="AQ552">
        <v>2</v>
      </c>
      <c r="AR552">
        <v>8</v>
      </c>
      <c r="AS552">
        <v>8</v>
      </c>
    </row>
    <row r="553" spans="1:45" x14ac:dyDescent="0.35">
      <c r="A553" s="337">
        <v>46266</v>
      </c>
      <c r="B553" s="337">
        <v>46268</v>
      </c>
      <c r="C553" s="337">
        <v>46267</v>
      </c>
      <c r="D553" t="s">
        <v>128</v>
      </c>
      <c r="E553" s="339">
        <v>0.83333333333333337</v>
      </c>
      <c r="F553">
        <v>3</v>
      </c>
      <c r="G553" t="s">
        <v>145</v>
      </c>
      <c r="H553">
        <v>0.01</v>
      </c>
      <c r="I553" t="s">
        <v>165</v>
      </c>
      <c r="J553" t="s">
        <v>165</v>
      </c>
      <c r="K553" t="s">
        <v>165</v>
      </c>
      <c r="L553" t="s">
        <v>161</v>
      </c>
      <c r="M553" t="s">
        <v>161</v>
      </c>
      <c r="N553">
        <v>12.54</v>
      </c>
      <c r="O553" t="s">
        <v>163</v>
      </c>
      <c r="P553" t="s">
        <v>163</v>
      </c>
      <c r="Q553" t="s">
        <v>163</v>
      </c>
      <c r="R553" t="s">
        <v>163</v>
      </c>
      <c r="S553" t="s">
        <v>163</v>
      </c>
      <c r="T553" t="s">
        <v>163</v>
      </c>
      <c r="U553" t="s">
        <v>163</v>
      </c>
      <c r="V553" t="s">
        <v>163</v>
      </c>
      <c r="W553" t="s">
        <v>165</v>
      </c>
      <c r="X553" t="s">
        <v>165</v>
      </c>
      <c r="Y553" t="s">
        <v>163</v>
      </c>
      <c r="Z553">
        <v>2</v>
      </c>
      <c r="AA553">
        <v>1</v>
      </c>
      <c r="AB553">
        <v>2</v>
      </c>
      <c r="AC553">
        <v>1</v>
      </c>
      <c r="AD553" t="s">
        <v>163</v>
      </c>
      <c r="AE553" t="s">
        <v>163</v>
      </c>
      <c r="AF553" t="s">
        <v>163</v>
      </c>
      <c r="AG553" t="s">
        <v>163</v>
      </c>
      <c r="AH553" t="s">
        <v>163</v>
      </c>
      <c r="AI553" t="s">
        <v>163</v>
      </c>
      <c r="AJ553" t="s">
        <v>163</v>
      </c>
      <c r="AK553">
        <v>6</v>
      </c>
      <c r="AL553">
        <v>6</v>
      </c>
      <c r="AM553" t="s">
        <v>163</v>
      </c>
      <c r="AN553">
        <v>1</v>
      </c>
      <c r="AO553">
        <v>1</v>
      </c>
      <c r="AP553">
        <v>2</v>
      </c>
      <c r="AQ553">
        <v>2</v>
      </c>
      <c r="AR553">
        <v>8</v>
      </c>
      <c r="AS553">
        <v>8</v>
      </c>
    </row>
    <row r="554" spans="1:45" x14ac:dyDescent="0.35">
      <c r="A554" s="337">
        <v>46266</v>
      </c>
      <c r="B554" s="337">
        <v>46268</v>
      </c>
      <c r="C554" s="337">
        <v>46267</v>
      </c>
      <c r="D554" t="s">
        <v>128</v>
      </c>
      <c r="E554" s="339">
        <v>0.79166666666666663</v>
      </c>
      <c r="F554">
        <v>3</v>
      </c>
      <c r="G554" t="s">
        <v>145</v>
      </c>
      <c r="H554">
        <v>0.01</v>
      </c>
      <c r="I554" t="s">
        <v>165</v>
      </c>
      <c r="J554" t="s">
        <v>165</v>
      </c>
      <c r="K554" t="s">
        <v>165</v>
      </c>
      <c r="L554" t="s">
        <v>161</v>
      </c>
      <c r="M554" t="s">
        <v>161</v>
      </c>
      <c r="N554">
        <v>12.3</v>
      </c>
      <c r="O554" t="s">
        <v>163</v>
      </c>
      <c r="P554" t="s">
        <v>163</v>
      </c>
      <c r="Q554" t="s">
        <v>163</v>
      </c>
      <c r="R554" t="s">
        <v>163</v>
      </c>
      <c r="S554" t="s">
        <v>163</v>
      </c>
      <c r="T554" t="s">
        <v>163</v>
      </c>
      <c r="U554" t="s">
        <v>163</v>
      </c>
      <c r="V554" t="s">
        <v>163</v>
      </c>
      <c r="W554" t="s">
        <v>165</v>
      </c>
      <c r="X554" t="s">
        <v>165</v>
      </c>
      <c r="Y554" t="s">
        <v>163</v>
      </c>
      <c r="Z554">
        <v>2</v>
      </c>
      <c r="AA554">
        <v>1</v>
      </c>
      <c r="AB554">
        <v>2</v>
      </c>
      <c r="AC554">
        <v>1</v>
      </c>
      <c r="AD554" t="s">
        <v>163</v>
      </c>
      <c r="AE554" t="s">
        <v>163</v>
      </c>
      <c r="AF554" t="s">
        <v>163</v>
      </c>
      <c r="AG554" t="s">
        <v>163</v>
      </c>
      <c r="AH554" t="s">
        <v>163</v>
      </c>
      <c r="AI554" t="s">
        <v>163</v>
      </c>
      <c r="AJ554" t="s">
        <v>163</v>
      </c>
      <c r="AK554">
        <v>6</v>
      </c>
      <c r="AL554">
        <v>6</v>
      </c>
      <c r="AM554" t="s">
        <v>163</v>
      </c>
      <c r="AN554">
        <v>1</v>
      </c>
      <c r="AO554">
        <v>1</v>
      </c>
      <c r="AP554">
        <v>2</v>
      </c>
      <c r="AQ554">
        <v>2</v>
      </c>
      <c r="AR554">
        <v>8</v>
      </c>
      <c r="AS554">
        <v>8</v>
      </c>
    </row>
    <row r="555" spans="1:45" x14ac:dyDescent="0.35">
      <c r="A555" s="337">
        <v>46266</v>
      </c>
      <c r="B555" s="337">
        <v>46268</v>
      </c>
      <c r="C555" s="337">
        <v>46267</v>
      </c>
      <c r="D555" t="s">
        <v>128</v>
      </c>
      <c r="E555" s="339">
        <v>0.75</v>
      </c>
      <c r="F555">
        <v>3</v>
      </c>
      <c r="G555" t="s">
        <v>145</v>
      </c>
      <c r="H555">
        <v>0.01</v>
      </c>
      <c r="I555" t="s">
        <v>165</v>
      </c>
      <c r="J555" t="s">
        <v>165</v>
      </c>
      <c r="K555" t="s">
        <v>165</v>
      </c>
      <c r="L555" t="s">
        <v>161</v>
      </c>
      <c r="M555" t="s">
        <v>161</v>
      </c>
      <c r="N555" t="s">
        <v>163</v>
      </c>
      <c r="O555" t="s">
        <v>163</v>
      </c>
      <c r="P555" t="s">
        <v>163</v>
      </c>
      <c r="Q555" t="s">
        <v>163</v>
      </c>
      <c r="R555" t="s">
        <v>163</v>
      </c>
      <c r="S555" t="s">
        <v>163</v>
      </c>
      <c r="T555" t="s">
        <v>163</v>
      </c>
      <c r="U555" t="s">
        <v>163</v>
      </c>
      <c r="V555" t="s">
        <v>163</v>
      </c>
      <c r="W555" t="s">
        <v>165</v>
      </c>
      <c r="X555" t="s">
        <v>165</v>
      </c>
      <c r="Y555" t="s">
        <v>163</v>
      </c>
      <c r="Z555">
        <v>2</v>
      </c>
      <c r="AA555">
        <v>1</v>
      </c>
      <c r="AB555">
        <v>2</v>
      </c>
      <c r="AC555" t="s">
        <v>163</v>
      </c>
      <c r="AD555" t="s">
        <v>163</v>
      </c>
      <c r="AE555" t="s">
        <v>163</v>
      </c>
      <c r="AF555" t="s">
        <v>163</v>
      </c>
      <c r="AG555" t="s">
        <v>163</v>
      </c>
      <c r="AH555" t="s">
        <v>163</v>
      </c>
      <c r="AI555" t="s">
        <v>163</v>
      </c>
      <c r="AJ555" t="s">
        <v>163</v>
      </c>
      <c r="AK555">
        <v>5</v>
      </c>
      <c r="AL555">
        <v>5</v>
      </c>
      <c r="AM555" t="s">
        <v>163</v>
      </c>
      <c r="AN555">
        <v>1</v>
      </c>
      <c r="AO555">
        <v>1</v>
      </c>
      <c r="AP555">
        <v>2</v>
      </c>
      <c r="AQ555">
        <v>2</v>
      </c>
      <c r="AR555">
        <v>7</v>
      </c>
      <c r="AS555">
        <v>7</v>
      </c>
    </row>
    <row r="556" spans="1:45" x14ac:dyDescent="0.35">
      <c r="A556" s="337">
        <v>46266</v>
      </c>
      <c r="B556" s="337">
        <v>46268</v>
      </c>
      <c r="C556" s="337">
        <v>46267</v>
      </c>
      <c r="D556" t="s">
        <v>128</v>
      </c>
      <c r="E556" s="339">
        <v>0.66666666666666663</v>
      </c>
      <c r="F556">
        <v>3</v>
      </c>
      <c r="G556" t="s">
        <v>145</v>
      </c>
      <c r="H556">
        <v>0.01</v>
      </c>
      <c r="I556" t="s">
        <v>165</v>
      </c>
      <c r="J556" t="s">
        <v>165</v>
      </c>
      <c r="K556" t="s">
        <v>165</v>
      </c>
      <c r="L556" t="s">
        <v>161</v>
      </c>
      <c r="M556" t="s">
        <v>161</v>
      </c>
      <c r="N556">
        <v>12.16</v>
      </c>
      <c r="O556">
        <v>13.07</v>
      </c>
      <c r="P556" t="s">
        <v>163</v>
      </c>
      <c r="Q556" t="s">
        <v>163</v>
      </c>
      <c r="R556" t="s">
        <v>163</v>
      </c>
      <c r="S556" t="s">
        <v>163</v>
      </c>
      <c r="T556">
        <v>36.700000000000003</v>
      </c>
      <c r="U556" t="s">
        <v>163</v>
      </c>
      <c r="V556" t="s">
        <v>163</v>
      </c>
      <c r="W556" t="s">
        <v>165</v>
      </c>
      <c r="X556" t="s">
        <v>165</v>
      </c>
      <c r="Y556">
        <v>1</v>
      </c>
      <c r="Z556">
        <v>2</v>
      </c>
      <c r="AA556">
        <v>1</v>
      </c>
      <c r="AB556">
        <v>2</v>
      </c>
      <c r="AC556">
        <v>1</v>
      </c>
      <c r="AD556">
        <v>1</v>
      </c>
      <c r="AE556" t="s">
        <v>163</v>
      </c>
      <c r="AF556" t="s">
        <v>163</v>
      </c>
      <c r="AG556" t="s">
        <v>163</v>
      </c>
      <c r="AH556" t="s">
        <v>163</v>
      </c>
      <c r="AI556">
        <v>2</v>
      </c>
      <c r="AJ556" t="s">
        <v>163</v>
      </c>
      <c r="AK556">
        <v>9</v>
      </c>
      <c r="AL556">
        <v>9</v>
      </c>
      <c r="AM556" t="s">
        <v>163</v>
      </c>
      <c r="AN556">
        <v>1</v>
      </c>
      <c r="AO556">
        <v>1</v>
      </c>
      <c r="AP556">
        <v>2</v>
      </c>
      <c r="AQ556">
        <v>2</v>
      </c>
      <c r="AR556">
        <v>11</v>
      </c>
      <c r="AS556">
        <v>11</v>
      </c>
    </row>
    <row r="557" spans="1:45" x14ac:dyDescent="0.35">
      <c r="A557" s="337">
        <v>46266</v>
      </c>
      <c r="B557" s="337">
        <v>46268</v>
      </c>
      <c r="C557" s="337">
        <v>46267</v>
      </c>
      <c r="D557" t="s">
        <v>128</v>
      </c>
      <c r="E557" s="339">
        <v>0.875</v>
      </c>
      <c r="F557">
        <v>3</v>
      </c>
      <c r="G557" t="s">
        <v>145</v>
      </c>
      <c r="H557">
        <v>0.01</v>
      </c>
      <c r="I557" t="s">
        <v>165</v>
      </c>
      <c r="J557" t="s">
        <v>165</v>
      </c>
      <c r="K557" t="s">
        <v>165</v>
      </c>
      <c r="L557" t="s">
        <v>161</v>
      </c>
      <c r="M557" t="s">
        <v>161</v>
      </c>
      <c r="N557">
        <v>12.61</v>
      </c>
      <c r="O557" t="s">
        <v>163</v>
      </c>
      <c r="P557" t="s">
        <v>163</v>
      </c>
      <c r="Q557" t="s">
        <v>163</v>
      </c>
      <c r="R557" t="s">
        <v>163</v>
      </c>
      <c r="S557" t="s">
        <v>163</v>
      </c>
      <c r="T557" t="s">
        <v>163</v>
      </c>
      <c r="U557" t="s">
        <v>163</v>
      </c>
      <c r="V557" t="s">
        <v>163</v>
      </c>
      <c r="W557" t="s">
        <v>165</v>
      </c>
      <c r="X557" t="s">
        <v>165</v>
      </c>
      <c r="Y557" t="s">
        <v>163</v>
      </c>
      <c r="Z557">
        <v>2</v>
      </c>
      <c r="AA557">
        <v>1</v>
      </c>
      <c r="AB557">
        <v>2</v>
      </c>
      <c r="AC557">
        <v>1</v>
      </c>
      <c r="AD557" t="s">
        <v>163</v>
      </c>
      <c r="AE557" t="s">
        <v>163</v>
      </c>
      <c r="AF557" t="s">
        <v>163</v>
      </c>
      <c r="AG557" t="s">
        <v>163</v>
      </c>
      <c r="AH557" t="s">
        <v>163</v>
      </c>
      <c r="AI557" t="s">
        <v>163</v>
      </c>
      <c r="AJ557" t="s">
        <v>163</v>
      </c>
      <c r="AK557">
        <v>6</v>
      </c>
      <c r="AL557">
        <v>6</v>
      </c>
      <c r="AM557" t="s">
        <v>163</v>
      </c>
      <c r="AN557">
        <v>1</v>
      </c>
      <c r="AO557">
        <v>1</v>
      </c>
      <c r="AP557">
        <v>2</v>
      </c>
      <c r="AQ557">
        <v>2</v>
      </c>
      <c r="AR557">
        <v>8</v>
      </c>
      <c r="AS557">
        <v>8</v>
      </c>
    </row>
    <row r="558" spans="1:45" x14ac:dyDescent="0.35">
      <c r="A558" s="337">
        <v>46266</v>
      </c>
      <c r="B558" s="337">
        <v>46268</v>
      </c>
      <c r="C558" s="337">
        <v>46267</v>
      </c>
      <c r="D558" t="s">
        <v>128</v>
      </c>
      <c r="E558" s="339">
        <v>0.83333333333333337</v>
      </c>
      <c r="F558">
        <v>3</v>
      </c>
      <c r="G558" t="s">
        <v>145</v>
      </c>
      <c r="H558">
        <v>0.01</v>
      </c>
      <c r="I558" t="s">
        <v>165</v>
      </c>
      <c r="J558" t="s">
        <v>165</v>
      </c>
      <c r="K558" t="s">
        <v>165</v>
      </c>
      <c r="L558" t="s">
        <v>161</v>
      </c>
      <c r="M558" t="s">
        <v>161</v>
      </c>
      <c r="N558">
        <v>12.54</v>
      </c>
      <c r="O558" t="s">
        <v>163</v>
      </c>
      <c r="P558" t="s">
        <v>163</v>
      </c>
      <c r="Q558" t="s">
        <v>163</v>
      </c>
      <c r="R558" t="s">
        <v>163</v>
      </c>
      <c r="S558" t="s">
        <v>163</v>
      </c>
      <c r="T558" t="s">
        <v>163</v>
      </c>
      <c r="U558" t="s">
        <v>163</v>
      </c>
      <c r="V558" t="s">
        <v>163</v>
      </c>
      <c r="W558" t="s">
        <v>165</v>
      </c>
      <c r="X558" t="s">
        <v>165</v>
      </c>
      <c r="Y558" t="s">
        <v>163</v>
      </c>
      <c r="Z558">
        <v>2</v>
      </c>
      <c r="AA558">
        <v>1</v>
      </c>
      <c r="AB558">
        <v>2</v>
      </c>
      <c r="AC558">
        <v>1</v>
      </c>
      <c r="AD558" t="s">
        <v>163</v>
      </c>
      <c r="AE558" t="s">
        <v>163</v>
      </c>
      <c r="AF558" t="s">
        <v>163</v>
      </c>
      <c r="AG558" t="s">
        <v>163</v>
      </c>
      <c r="AH558" t="s">
        <v>163</v>
      </c>
      <c r="AI558" t="s">
        <v>163</v>
      </c>
      <c r="AJ558" t="s">
        <v>163</v>
      </c>
      <c r="AK558">
        <v>6</v>
      </c>
      <c r="AL558">
        <v>6</v>
      </c>
      <c r="AM558" t="s">
        <v>163</v>
      </c>
      <c r="AN558">
        <v>1</v>
      </c>
      <c r="AO558">
        <v>1</v>
      </c>
      <c r="AP558">
        <v>2</v>
      </c>
      <c r="AQ558">
        <v>2</v>
      </c>
      <c r="AR558">
        <v>8</v>
      </c>
      <c r="AS558">
        <v>8</v>
      </c>
    </row>
    <row r="559" spans="1:45" x14ac:dyDescent="0.35">
      <c r="A559" s="337">
        <v>46266</v>
      </c>
      <c r="B559" s="337">
        <v>46268</v>
      </c>
      <c r="C559" s="337">
        <v>46267</v>
      </c>
      <c r="D559" t="s">
        <v>128</v>
      </c>
      <c r="E559" s="339">
        <v>0.79166666666666663</v>
      </c>
      <c r="F559">
        <v>3</v>
      </c>
      <c r="G559" t="s">
        <v>145</v>
      </c>
      <c r="H559">
        <v>0.01</v>
      </c>
      <c r="I559" t="s">
        <v>165</v>
      </c>
      <c r="J559" t="s">
        <v>165</v>
      </c>
      <c r="K559" t="s">
        <v>165</v>
      </c>
      <c r="L559" t="s">
        <v>161</v>
      </c>
      <c r="M559" t="s">
        <v>161</v>
      </c>
      <c r="N559">
        <v>12.3</v>
      </c>
      <c r="O559" t="s">
        <v>163</v>
      </c>
      <c r="P559" t="s">
        <v>163</v>
      </c>
      <c r="Q559" t="s">
        <v>163</v>
      </c>
      <c r="R559" t="s">
        <v>163</v>
      </c>
      <c r="S559" t="s">
        <v>163</v>
      </c>
      <c r="T559" t="s">
        <v>163</v>
      </c>
      <c r="U559" t="s">
        <v>163</v>
      </c>
      <c r="V559" t="s">
        <v>163</v>
      </c>
      <c r="W559" t="s">
        <v>165</v>
      </c>
      <c r="X559" t="s">
        <v>165</v>
      </c>
      <c r="Y559" t="s">
        <v>163</v>
      </c>
      <c r="Z559">
        <v>2</v>
      </c>
      <c r="AA559">
        <v>1</v>
      </c>
      <c r="AB559">
        <v>2</v>
      </c>
      <c r="AC559">
        <v>1</v>
      </c>
      <c r="AD559" t="s">
        <v>163</v>
      </c>
      <c r="AE559" t="s">
        <v>163</v>
      </c>
      <c r="AF559" t="s">
        <v>163</v>
      </c>
      <c r="AG559" t="s">
        <v>163</v>
      </c>
      <c r="AH559" t="s">
        <v>163</v>
      </c>
      <c r="AI559" t="s">
        <v>163</v>
      </c>
      <c r="AJ559" t="s">
        <v>163</v>
      </c>
      <c r="AK559">
        <v>6</v>
      </c>
      <c r="AL559">
        <v>6</v>
      </c>
      <c r="AM559" t="s">
        <v>163</v>
      </c>
      <c r="AN559">
        <v>1</v>
      </c>
      <c r="AO559">
        <v>1</v>
      </c>
      <c r="AP559">
        <v>2</v>
      </c>
      <c r="AQ559">
        <v>2</v>
      </c>
      <c r="AR559">
        <v>8</v>
      </c>
      <c r="AS559">
        <v>8</v>
      </c>
    </row>
    <row r="560" spans="1:45" x14ac:dyDescent="0.35">
      <c r="A560" s="337">
        <v>46266</v>
      </c>
      <c r="B560" s="337">
        <v>46268</v>
      </c>
      <c r="C560" s="337">
        <v>46267</v>
      </c>
      <c r="D560" t="s">
        <v>128</v>
      </c>
      <c r="E560" s="339">
        <v>0.75</v>
      </c>
      <c r="F560">
        <v>3</v>
      </c>
      <c r="G560" t="s">
        <v>145</v>
      </c>
      <c r="H560">
        <v>0.01</v>
      </c>
      <c r="I560" t="s">
        <v>165</v>
      </c>
      <c r="J560" t="s">
        <v>165</v>
      </c>
      <c r="K560" t="s">
        <v>165</v>
      </c>
      <c r="L560" t="s">
        <v>161</v>
      </c>
      <c r="M560" t="s">
        <v>161</v>
      </c>
      <c r="N560" t="s">
        <v>163</v>
      </c>
      <c r="O560" t="s">
        <v>163</v>
      </c>
      <c r="P560" t="s">
        <v>163</v>
      </c>
      <c r="Q560" t="s">
        <v>163</v>
      </c>
      <c r="R560" t="s">
        <v>163</v>
      </c>
      <c r="S560" t="s">
        <v>163</v>
      </c>
      <c r="T560" t="s">
        <v>163</v>
      </c>
      <c r="U560" t="s">
        <v>163</v>
      </c>
      <c r="V560" t="s">
        <v>163</v>
      </c>
      <c r="W560" t="s">
        <v>165</v>
      </c>
      <c r="X560" t="s">
        <v>165</v>
      </c>
      <c r="Y560" t="s">
        <v>163</v>
      </c>
      <c r="Z560">
        <v>2</v>
      </c>
      <c r="AA560">
        <v>1</v>
      </c>
      <c r="AB560">
        <v>2</v>
      </c>
      <c r="AC560" t="s">
        <v>163</v>
      </c>
      <c r="AD560" t="s">
        <v>163</v>
      </c>
      <c r="AE560" t="s">
        <v>163</v>
      </c>
      <c r="AF560" t="s">
        <v>163</v>
      </c>
      <c r="AG560" t="s">
        <v>163</v>
      </c>
      <c r="AH560" t="s">
        <v>163</v>
      </c>
      <c r="AI560" t="s">
        <v>163</v>
      </c>
      <c r="AJ560" t="s">
        <v>163</v>
      </c>
      <c r="AK560">
        <v>5</v>
      </c>
      <c r="AL560">
        <v>5</v>
      </c>
      <c r="AM560" t="s">
        <v>163</v>
      </c>
      <c r="AN560">
        <v>1</v>
      </c>
      <c r="AO560">
        <v>1</v>
      </c>
      <c r="AP560">
        <v>2</v>
      </c>
      <c r="AQ560">
        <v>2</v>
      </c>
      <c r="AR560">
        <v>7</v>
      </c>
      <c r="AS560">
        <v>7</v>
      </c>
    </row>
    <row r="561" spans="1:45" x14ac:dyDescent="0.35">
      <c r="A561" s="337">
        <v>46266</v>
      </c>
      <c r="B561" s="337">
        <v>46268</v>
      </c>
      <c r="C561" s="337">
        <v>46267</v>
      </c>
      <c r="D561" t="s">
        <v>128</v>
      </c>
      <c r="E561" s="339">
        <v>0.66666666666666663</v>
      </c>
      <c r="F561">
        <v>3</v>
      </c>
      <c r="G561" t="s">
        <v>145</v>
      </c>
      <c r="H561">
        <v>0.01</v>
      </c>
      <c r="I561" t="s">
        <v>165</v>
      </c>
      <c r="J561" t="s">
        <v>165</v>
      </c>
      <c r="K561" t="s">
        <v>165</v>
      </c>
      <c r="L561" t="s">
        <v>161</v>
      </c>
      <c r="M561" t="s">
        <v>161</v>
      </c>
      <c r="N561">
        <v>12.16</v>
      </c>
      <c r="O561">
        <v>13.07</v>
      </c>
      <c r="P561" t="s">
        <v>163</v>
      </c>
      <c r="Q561" t="s">
        <v>163</v>
      </c>
      <c r="R561" t="s">
        <v>163</v>
      </c>
      <c r="S561" t="s">
        <v>163</v>
      </c>
      <c r="T561">
        <v>36.700000000000003</v>
      </c>
      <c r="U561" t="s">
        <v>163</v>
      </c>
      <c r="V561" t="s">
        <v>163</v>
      </c>
      <c r="W561" t="s">
        <v>165</v>
      </c>
      <c r="X561" t="s">
        <v>165</v>
      </c>
      <c r="Y561">
        <v>1</v>
      </c>
      <c r="Z561">
        <v>2</v>
      </c>
      <c r="AA561">
        <v>1</v>
      </c>
      <c r="AB561">
        <v>2</v>
      </c>
      <c r="AC561">
        <v>1</v>
      </c>
      <c r="AD561">
        <v>1</v>
      </c>
      <c r="AE561" t="s">
        <v>163</v>
      </c>
      <c r="AF561" t="s">
        <v>163</v>
      </c>
      <c r="AG561" t="s">
        <v>163</v>
      </c>
      <c r="AH561" t="s">
        <v>163</v>
      </c>
      <c r="AI561">
        <v>2</v>
      </c>
      <c r="AJ561" t="s">
        <v>163</v>
      </c>
      <c r="AK561">
        <v>9</v>
      </c>
      <c r="AL561">
        <v>9</v>
      </c>
      <c r="AM561" t="s">
        <v>163</v>
      </c>
      <c r="AN561">
        <v>1</v>
      </c>
      <c r="AO561">
        <v>1</v>
      </c>
      <c r="AP561">
        <v>2</v>
      </c>
      <c r="AQ561">
        <v>2</v>
      </c>
      <c r="AR561">
        <v>11</v>
      </c>
      <c r="AS561">
        <v>11</v>
      </c>
    </row>
    <row r="562" spans="1:45" x14ac:dyDescent="0.35">
      <c r="A562" s="337">
        <v>46266</v>
      </c>
      <c r="B562" s="337">
        <v>46268</v>
      </c>
      <c r="C562" s="339">
        <v>0</v>
      </c>
      <c r="D562" t="s">
        <v>128</v>
      </c>
      <c r="E562" s="339">
        <v>0.875</v>
      </c>
      <c r="F562">
        <v>2</v>
      </c>
      <c r="G562" t="s">
        <v>39</v>
      </c>
      <c r="H562" t="s">
        <v>163</v>
      </c>
      <c r="I562" t="s">
        <v>165</v>
      </c>
      <c r="J562" t="s">
        <v>165</v>
      </c>
      <c r="K562" t="s">
        <v>165</v>
      </c>
      <c r="L562" t="s">
        <v>163</v>
      </c>
      <c r="M562" t="s">
        <v>161</v>
      </c>
      <c r="N562">
        <v>10.89</v>
      </c>
      <c r="O562" t="s">
        <v>163</v>
      </c>
      <c r="P562" t="s">
        <v>163</v>
      </c>
      <c r="Q562" t="s">
        <v>163</v>
      </c>
      <c r="R562" t="s">
        <v>163</v>
      </c>
      <c r="S562" t="s">
        <v>163</v>
      </c>
      <c r="T562" t="s">
        <v>163</v>
      </c>
      <c r="U562" t="s">
        <v>163</v>
      </c>
      <c r="V562" t="s">
        <v>163</v>
      </c>
      <c r="W562" t="s">
        <v>165</v>
      </c>
      <c r="X562" t="s">
        <v>165</v>
      </c>
      <c r="Y562" t="s">
        <v>163</v>
      </c>
      <c r="Z562" t="s">
        <v>163</v>
      </c>
      <c r="AA562">
        <v>1</v>
      </c>
      <c r="AB562">
        <v>2</v>
      </c>
      <c r="AC562">
        <v>0</v>
      </c>
      <c r="AD562" t="s">
        <v>163</v>
      </c>
      <c r="AE562" t="s">
        <v>163</v>
      </c>
      <c r="AF562" t="s">
        <v>163</v>
      </c>
      <c r="AG562" t="s">
        <v>163</v>
      </c>
      <c r="AH562" t="s">
        <v>163</v>
      </c>
      <c r="AI562" t="s">
        <v>163</v>
      </c>
      <c r="AJ562" t="s">
        <v>163</v>
      </c>
      <c r="AK562">
        <v>3</v>
      </c>
      <c r="AL562">
        <v>4</v>
      </c>
      <c r="AM562" t="s">
        <v>163</v>
      </c>
      <c r="AN562">
        <v>1</v>
      </c>
      <c r="AO562">
        <v>1</v>
      </c>
      <c r="AP562">
        <v>2</v>
      </c>
      <c r="AQ562">
        <v>2</v>
      </c>
      <c r="AR562">
        <v>5</v>
      </c>
      <c r="AS562">
        <v>6</v>
      </c>
    </row>
    <row r="563" spans="1:45" x14ac:dyDescent="0.35">
      <c r="A563" s="337">
        <v>46266</v>
      </c>
      <c r="B563" s="337">
        <v>46268</v>
      </c>
      <c r="C563" s="339">
        <v>0</v>
      </c>
      <c r="D563" t="s">
        <v>128</v>
      </c>
      <c r="E563" s="339">
        <v>0.83333333333333337</v>
      </c>
      <c r="F563">
        <v>2</v>
      </c>
      <c r="G563" t="s">
        <v>123</v>
      </c>
      <c r="H563" t="s">
        <v>163</v>
      </c>
      <c r="I563" t="s">
        <v>165</v>
      </c>
      <c r="J563" t="s">
        <v>165</v>
      </c>
      <c r="K563" t="s">
        <v>165</v>
      </c>
      <c r="L563" t="s">
        <v>163</v>
      </c>
      <c r="M563" t="s">
        <v>163</v>
      </c>
      <c r="N563">
        <v>12.3</v>
      </c>
      <c r="O563" t="s">
        <v>163</v>
      </c>
      <c r="P563" t="s">
        <v>163</v>
      </c>
      <c r="Q563" t="s">
        <v>163</v>
      </c>
      <c r="R563" t="s">
        <v>163</v>
      </c>
      <c r="S563" t="s">
        <v>163</v>
      </c>
      <c r="T563" t="s">
        <v>163</v>
      </c>
      <c r="U563" t="s">
        <v>163</v>
      </c>
      <c r="V563" t="s">
        <v>163</v>
      </c>
      <c r="W563" t="s">
        <v>165</v>
      </c>
      <c r="X563" t="s">
        <v>165</v>
      </c>
      <c r="Y563" t="s">
        <v>163</v>
      </c>
      <c r="Z563" t="s">
        <v>163</v>
      </c>
      <c r="AA563">
        <v>1</v>
      </c>
      <c r="AB563">
        <v>2</v>
      </c>
      <c r="AC563">
        <v>1</v>
      </c>
      <c r="AD563" t="s">
        <v>163</v>
      </c>
      <c r="AE563" t="s">
        <v>163</v>
      </c>
      <c r="AF563" t="s">
        <v>163</v>
      </c>
      <c r="AG563" t="s">
        <v>163</v>
      </c>
      <c r="AH563" t="s">
        <v>163</v>
      </c>
      <c r="AI563" t="s">
        <v>163</v>
      </c>
      <c r="AJ563" t="s">
        <v>163</v>
      </c>
      <c r="AK563">
        <v>4</v>
      </c>
      <c r="AL563">
        <v>4</v>
      </c>
      <c r="AM563" t="s">
        <v>163</v>
      </c>
      <c r="AN563">
        <v>1</v>
      </c>
      <c r="AO563">
        <v>1</v>
      </c>
      <c r="AP563">
        <v>2</v>
      </c>
      <c r="AQ563">
        <v>2</v>
      </c>
      <c r="AR563">
        <v>6</v>
      </c>
      <c r="AS563">
        <v>6</v>
      </c>
    </row>
    <row r="564" spans="1:45" x14ac:dyDescent="0.35">
      <c r="A564" s="337">
        <v>46266</v>
      </c>
      <c r="B564" s="337">
        <v>46268</v>
      </c>
      <c r="C564" s="339">
        <v>0</v>
      </c>
      <c r="D564" t="s">
        <v>128</v>
      </c>
      <c r="E564" s="339">
        <v>0.79166666666666663</v>
      </c>
      <c r="F564">
        <v>2</v>
      </c>
      <c r="G564" t="s">
        <v>123</v>
      </c>
      <c r="H564" t="s">
        <v>163</v>
      </c>
      <c r="I564" t="s">
        <v>165</v>
      </c>
      <c r="J564" t="s">
        <v>165</v>
      </c>
      <c r="K564" t="s">
        <v>165</v>
      </c>
      <c r="L564" t="s">
        <v>163</v>
      </c>
      <c r="M564" t="s">
        <v>163</v>
      </c>
      <c r="N564">
        <v>11.95</v>
      </c>
      <c r="O564" t="s">
        <v>163</v>
      </c>
      <c r="P564" t="s">
        <v>163</v>
      </c>
      <c r="Q564" t="s">
        <v>163</v>
      </c>
      <c r="R564" t="s">
        <v>163</v>
      </c>
      <c r="S564" t="s">
        <v>163</v>
      </c>
      <c r="T564" t="s">
        <v>163</v>
      </c>
      <c r="U564" t="s">
        <v>163</v>
      </c>
      <c r="V564" t="s">
        <v>163</v>
      </c>
      <c r="W564" t="s">
        <v>165</v>
      </c>
      <c r="X564" t="s">
        <v>165</v>
      </c>
      <c r="Y564" t="s">
        <v>163</v>
      </c>
      <c r="Z564" t="s">
        <v>163</v>
      </c>
      <c r="AA564">
        <v>1</v>
      </c>
      <c r="AB564">
        <v>2</v>
      </c>
      <c r="AC564">
        <v>1</v>
      </c>
      <c r="AD564" t="s">
        <v>163</v>
      </c>
      <c r="AE564" t="s">
        <v>163</v>
      </c>
      <c r="AF564" t="s">
        <v>163</v>
      </c>
      <c r="AG564" t="s">
        <v>163</v>
      </c>
      <c r="AH564" t="s">
        <v>163</v>
      </c>
      <c r="AI564" t="s">
        <v>163</v>
      </c>
      <c r="AJ564" t="s">
        <v>163</v>
      </c>
      <c r="AK564">
        <v>4</v>
      </c>
      <c r="AL564">
        <v>4</v>
      </c>
      <c r="AM564" t="s">
        <v>163</v>
      </c>
      <c r="AN564">
        <v>1</v>
      </c>
      <c r="AO564">
        <v>1</v>
      </c>
      <c r="AP564">
        <v>2</v>
      </c>
      <c r="AQ564">
        <v>2</v>
      </c>
      <c r="AR564">
        <v>6</v>
      </c>
      <c r="AS564">
        <v>6</v>
      </c>
    </row>
    <row r="565" spans="1:45" x14ac:dyDescent="0.35">
      <c r="A565" s="337">
        <v>46266</v>
      </c>
      <c r="B565" s="337">
        <v>46268</v>
      </c>
      <c r="C565" s="339">
        <v>0</v>
      </c>
      <c r="D565" t="s">
        <v>128</v>
      </c>
      <c r="E565" s="339">
        <v>0.75</v>
      </c>
      <c r="F565">
        <v>2</v>
      </c>
      <c r="G565" t="s">
        <v>123</v>
      </c>
      <c r="H565" t="s">
        <v>163</v>
      </c>
      <c r="I565" t="s">
        <v>165</v>
      </c>
      <c r="J565" t="s">
        <v>165</v>
      </c>
      <c r="K565" t="s">
        <v>165</v>
      </c>
      <c r="L565" t="s">
        <v>163</v>
      </c>
      <c r="M565" t="s">
        <v>163</v>
      </c>
      <c r="N565">
        <v>12.34</v>
      </c>
      <c r="O565">
        <v>11.6</v>
      </c>
      <c r="P565">
        <v>0.62</v>
      </c>
      <c r="Q565">
        <v>65.3</v>
      </c>
      <c r="R565" t="s">
        <v>163</v>
      </c>
      <c r="S565" t="s">
        <v>163</v>
      </c>
      <c r="T565">
        <v>32.4</v>
      </c>
      <c r="U565" t="s">
        <v>163</v>
      </c>
      <c r="V565" t="s">
        <v>163</v>
      </c>
      <c r="W565" t="s">
        <v>165</v>
      </c>
      <c r="X565" t="s">
        <v>165</v>
      </c>
      <c r="Y565" t="s">
        <v>163</v>
      </c>
      <c r="Z565" t="s">
        <v>163</v>
      </c>
      <c r="AA565">
        <v>1</v>
      </c>
      <c r="AB565">
        <v>2</v>
      </c>
      <c r="AC565">
        <v>1</v>
      </c>
      <c r="AD565">
        <v>0</v>
      </c>
      <c r="AE565">
        <v>2</v>
      </c>
      <c r="AF565">
        <v>2</v>
      </c>
      <c r="AG565" t="s">
        <v>163</v>
      </c>
      <c r="AH565" t="s">
        <v>163</v>
      </c>
      <c r="AI565">
        <v>2</v>
      </c>
      <c r="AJ565" t="s">
        <v>163</v>
      </c>
      <c r="AK565">
        <v>10</v>
      </c>
      <c r="AL565">
        <v>11</v>
      </c>
      <c r="AM565" t="s">
        <v>163</v>
      </c>
      <c r="AN565">
        <v>1</v>
      </c>
      <c r="AO565">
        <v>1</v>
      </c>
      <c r="AP565">
        <v>2</v>
      </c>
      <c r="AQ565">
        <v>2</v>
      </c>
      <c r="AR565">
        <v>12</v>
      </c>
      <c r="AS565">
        <v>13</v>
      </c>
    </row>
    <row r="566" spans="1:45" x14ac:dyDescent="0.35">
      <c r="A566" s="337">
        <v>46266</v>
      </c>
      <c r="B566" s="337">
        <v>46268</v>
      </c>
      <c r="C566" s="339">
        <v>0</v>
      </c>
      <c r="D566" t="s">
        <v>128</v>
      </c>
      <c r="E566" s="339">
        <v>0.66666666666666663</v>
      </c>
      <c r="F566">
        <v>2</v>
      </c>
      <c r="G566" t="s">
        <v>138</v>
      </c>
      <c r="H566" t="s">
        <v>163</v>
      </c>
      <c r="I566" t="s">
        <v>165</v>
      </c>
      <c r="J566" t="s">
        <v>165</v>
      </c>
      <c r="K566" t="s">
        <v>165</v>
      </c>
      <c r="L566" t="s">
        <v>163</v>
      </c>
      <c r="M566" t="s">
        <v>161</v>
      </c>
      <c r="N566">
        <v>11.01</v>
      </c>
      <c r="O566" t="s">
        <v>163</v>
      </c>
      <c r="P566" t="s">
        <v>163</v>
      </c>
      <c r="Q566" t="s">
        <v>163</v>
      </c>
      <c r="R566" t="s">
        <v>163</v>
      </c>
      <c r="S566" t="s">
        <v>163</v>
      </c>
      <c r="T566" t="s">
        <v>163</v>
      </c>
      <c r="U566" t="s">
        <v>163</v>
      </c>
      <c r="V566" t="s">
        <v>163</v>
      </c>
      <c r="W566" t="s">
        <v>165</v>
      </c>
      <c r="X566" t="s">
        <v>165</v>
      </c>
      <c r="Y566" t="s">
        <v>163</v>
      </c>
      <c r="Z566" t="s">
        <v>163</v>
      </c>
      <c r="AA566">
        <v>1</v>
      </c>
      <c r="AB566">
        <v>2</v>
      </c>
      <c r="AC566">
        <v>1</v>
      </c>
      <c r="AD566" t="s">
        <v>163</v>
      </c>
      <c r="AE566" t="s">
        <v>163</v>
      </c>
      <c r="AF566" t="s">
        <v>163</v>
      </c>
      <c r="AG566" t="s">
        <v>163</v>
      </c>
      <c r="AH566" t="s">
        <v>163</v>
      </c>
      <c r="AI566" t="s">
        <v>163</v>
      </c>
      <c r="AJ566" t="s">
        <v>163</v>
      </c>
      <c r="AK566">
        <v>4</v>
      </c>
      <c r="AL566">
        <v>4</v>
      </c>
      <c r="AM566" t="s">
        <v>163</v>
      </c>
      <c r="AN566">
        <v>1</v>
      </c>
      <c r="AO566">
        <v>1</v>
      </c>
      <c r="AP566">
        <v>2</v>
      </c>
      <c r="AQ566">
        <v>2</v>
      </c>
      <c r="AR566">
        <v>6</v>
      </c>
      <c r="AS566">
        <v>6</v>
      </c>
    </row>
    <row r="567" spans="1:45" x14ac:dyDescent="0.35">
      <c r="A567" s="337">
        <v>46266</v>
      </c>
      <c r="B567" s="337">
        <v>46268</v>
      </c>
      <c r="C567" s="337">
        <v>816</v>
      </c>
      <c r="D567" t="s">
        <v>128</v>
      </c>
      <c r="E567" s="339">
        <v>0.58333333333333337</v>
      </c>
      <c r="F567">
        <v>2</v>
      </c>
      <c r="G567" t="s">
        <v>138</v>
      </c>
      <c r="H567" t="s">
        <v>163</v>
      </c>
      <c r="I567" t="s">
        <v>165</v>
      </c>
      <c r="J567" t="s">
        <v>165</v>
      </c>
      <c r="K567" t="s">
        <v>165</v>
      </c>
      <c r="L567" t="s">
        <v>163</v>
      </c>
      <c r="M567" t="s">
        <v>161</v>
      </c>
      <c r="N567">
        <v>10.29</v>
      </c>
      <c r="O567" t="s">
        <v>163</v>
      </c>
      <c r="P567" t="s">
        <v>163</v>
      </c>
      <c r="Q567" t="s">
        <v>163</v>
      </c>
      <c r="R567" t="s">
        <v>163</v>
      </c>
      <c r="S567" t="s">
        <v>163</v>
      </c>
      <c r="T567" t="s">
        <v>163</v>
      </c>
      <c r="U567" t="s">
        <v>163</v>
      </c>
      <c r="V567" t="s">
        <v>163</v>
      </c>
      <c r="W567" t="s">
        <v>165</v>
      </c>
      <c r="X567" t="s">
        <v>165</v>
      </c>
      <c r="Y567" t="s">
        <v>163</v>
      </c>
      <c r="Z567" t="s">
        <v>163</v>
      </c>
      <c r="AA567">
        <v>1</v>
      </c>
      <c r="AB567">
        <v>2</v>
      </c>
      <c r="AC567">
        <v>0</v>
      </c>
      <c r="AD567" t="s">
        <v>163</v>
      </c>
      <c r="AE567" t="s">
        <v>163</v>
      </c>
      <c r="AF567" t="s">
        <v>163</v>
      </c>
      <c r="AG567" t="s">
        <v>163</v>
      </c>
      <c r="AH567" t="s">
        <v>163</v>
      </c>
      <c r="AI567" t="s">
        <v>163</v>
      </c>
      <c r="AJ567" t="s">
        <v>163</v>
      </c>
      <c r="AK567">
        <v>3</v>
      </c>
      <c r="AL567">
        <v>4</v>
      </c>
      <c r="AM567" t="s">
        <v>163</v>
      </c>
      <c r="AN567">
        <v>1</v>
      </c>
      <c r="AO567">
        <v>1</v>
      </c>
      <c r="AP567">
        <v>2</v>
      </c>
      <c r="AQ567">
        <v>2</v>
      </c>
      <c r="AR567">
        <v>5</v>
      </c>
      <c r="AS567">
        <v>6</v>
      </c>
    </row>
    <row r="568" spans="1:45" x14ac:dyDescent="0.35">
      <c r="A568" s="337">
        <v>46266</v>
      </c>
      <c r="B568" s="337">
        <v>46268</v>
      </c>
      <c r="C568" s="337">
        <v>46267</v>
      </c>
      <c r="D568" t="s">
        <v>128</v>
      </c>
      <c r="E568" s="339">
        <v>0.875</v>
      </c>
      <c r="F568">
        <v>1</v>
      </c>
      <c r="G568" t="s">
        <v>158</v>
      </c>
      <c r="H568" t="s">
        <v>163</v>
      </c>
      <c r="I568" t="s">
        <v>165</v>
      </c>
      <c r="J568" t="s">
        <v>165</v>
      </c>
      <c r="K568" t="s">
        <v>165</v>
      </c>
      <c r="L568" t="s">
        <v>163</v>
      </c>
      <c r="M568" t="s">
        <v>163</v>
      </c>
      <c r="N568">
        <v>10.96</v>
      </c>
      <c r="O568" t="s">
        <v>163</v>
      </c>
      <c r="P568" t="s">
        <v>163</v>
      </c>
      <c r="Q568" t="s">
        <v>163</v>
      </c>
      <c r="R568" t="s">
        <v>163</v>
      </c>
      <c r="S568" t="s">
        <v>163</v>
      </c>
      <c r="T568" t="s">
        <v>163</v>
      </c>
      <c r="U568" t="s">
        <v>163</v>
      </c>
      <c r="V568" t="s">
        <v>163</v>
      </c>
      <c r="W568" t="s">
        <v>165</v>
      </c>
      <c r="X568" t="s">
        <v>165</v>
      </c>
      <c r="Y568" t="s">
        <v>163</v>
      </c>
      <c r="Z568" t="s">
        <v>163</v>
      </c>
      <c r="AA568">
        <v>1</v>
      </c>
      <c r="AB568">
        <v>2</v>
      </c>
      <c r="AC568">
        <v>0</v>
      </c>
      <c r="AD568" t="s">
        <v>163</v>
      </c>
      <c r="AE568" t="s">
        <v>163</v>
      </c>
      <c r="AF568" t="s">
        <v>163</v>
      </c>
      <c r="AG568" t="s">
        <v>163</v>
      </c>
      <c r="AH568" t="s">
        <v>163</v>
      </c>
      <c r="AI568" t="s">
        <v>163</v>
      </c>
      <c r="AJ568" t="s">
        <v>163</v>
      </c>
      <c r="AK568">
        <v>3</v>
      </c>
      <c r="AL568">
        <v>4</v>
      </c>
      <c r="AM568" t="s">
        <v>163</v>
      </c>
      <c r="AN568">
        <v>1</v>
      </c>
      <c r="AO568">
        <v>1</v>
      </c>
      <c r="AP568">
        <v>2</v>
      </c>
      <c r="AQ568">
        <v>2</v>
      </c>
      <c r="AR568">
        <v>5</v>
      </c>
      <c r="AS568">
        <v>6</v>
      </c>
    </row>
    <row r="569" spans="1:45" x14ac:dyDescent="0.35">
      <c r="A569" s="337">
        <v>46266</v>
      </c>
      <c r="B569" s="337">
        <v>46268</v>
      </c>
      <c r="C569" s="337">
        <v>46267</v>
      </c>
      <c r="D569" t="s">
        <v>128</v>
      </c>
      <c r="E569" s="339">
        <v>0.83333333333333337</v>
      </c>
      <c r="F569">
        <v>1</v>
      </c>
      <c r="G569" t="s">
        <v>158</v>
      </c>
      <c r="H569" t="s">
        <v>163</v>
      </c>
      <c r="I569" t="s">
        <v>165</v>
      </c>
      <c r="J569" t="s">
        <v>165</v>
      </c>
      <c r="K569" t="s">
        <v>165</v>
      </c>
      <c r="L569" t="s">
        <v>163</v>
      </c>
      <c r="M569" t="s">
        <v>163</v>
      </c>
      <c r="N569">
        <v>11.03</v>
      </c>
      <c r="O569" t="s">
        <v>163</v>
      </c>
      <c r="P569" t="s">
        <v>163</v>
      </c>
      <c r="Q569" t="s">
        <v>163</v>
      </c>
      <c r="R569" t="s">
        <v>163</v>
      </c>
      <c r="S569" t="s">
        <v>163</v>
      </c>
      <c r="T569" t="s">
        <v>163</v>
      </c>
      <c r="U569" t="s">
        <v>163</v>
      </c>
      <c r="V569" t="s">
        <v>163</v>
      </c>
      <c r="W569" t="s">
        <v>165</v>
      </c>
      <c r="X569" t="s">
        <v>165</v>
      </c>
      <c r="Y569" t="s">
        <v>163</v>
      </c>
      <c r="Z569" t="s">
        <v>163</v>
      </c>
      <c r="AA569">
        <v>1</v>
      </c>
      <c r="AB569">
        <v>2</v>
      </c>
      <c r="AC569">
        <v>1</v>
      </c>
      <c r="AD569" t="s">
        <v>163</v>
      </c>
      <c r="AE569" t="s">
        <v>163</v>
      </c>
      <c r="AF569" t="s">
        <v>163</v>
      </c>
      <c r="AG569" t="s">
        <v>163</v>
      </c>
      <c r="AH569" t="s">
        <v>163</v>
      </c>
      <c r="AI569" t="s">
        <v>163</v>
      </c>
      <c r="AJ569" t="s">
        <v>163</v>
      </c>
      <c r="AK569">
        <v>4</v>
      </c>
      <c r="AL569">
        <v>4</v>
      </c>
      <c r="AM569" t="s">
        <v>163</v>
      </c>
      <c r="AN569">
        <v>1</v>
      </c>
      <c r="AO569">
        <v>1</v>
      </c>
      <c r="AP569">
        <v>2</v>
      </c>
      <c r="AQ569">
        <v>2</v>
      </c>
      <c r="AR569">
        <v>6</v>
      </c>
      <c r="AS569">
        <v>6</v>
      </c>
    </row>
    <row r="570" spans="1:45" x14ac:dyDescent="0.35">
      <c r="A570" s="337">
        <v>46266</v>
      </c>
      <c r="B570" s="337">
        <v>46268</v>
      </c>
      <c r="C570" s="337">
        <v>46267</v>
      </c>
      <c r="D570" t="s">
        <v>128</v>
      </c>
      <c r="E570" s="339">
        <v>0.75</v>
      </c>
      <c r="F570">
        <v>1</v>
      </c>
      <c r="G570" t="s">
        <v>158</v>
      </c>
      <c r="H570" t="s">
        <v>163</v>
      </c>
      <c r="I570" t="s">
        <v>163</v>
      </c>
      <c r="J570" t="s">
        <v>165</v>
      </c>
      <c r="K570" t="s">
        <v>165</v>
      </c>
      <c r="L570" t="s">
        <v>163</v>
      </c>
      <c r="M570" t="s">
        <v>163</v>
      </c>
      <c r="N570">
        <v>11.06</v>
      </c>
      <c r="O570" t="s">
        <v>163</v>
      </c>
      <c r="P570" t="s">
        <v>163</v>
      </c>
      <c r="Q570" t="s">
        <v>163</v>
      </c>
      <c r="R570" t="s">
        <v>163</v>
      </c>
      <c r="S570" t="s">
        <v>163</v>
      </c>
      <c r="T570" t="s">
        <v>163</v>
      </c>
      <c r="U570" t="s">
        <v>163</v>
      </c>
      <c r="V570" t="s">
        <v>163</v>
      </c>
      <c r="W570" t="s">
        <v>165</v>
      </c>
      <c r="X570" t="s">
        <v>165</v>
      </c>
      <c r="Y570" t="s">
        <v>163</v>
      </c>
      <c r="Z570" t="s">
        <v>163</v>
      </c>
      <c r="AA570" t="s">
        <v>163</v>
      </c>
      <c r="AB570">
        <v>2</v>
      </c>
      <c r="AC570">
        <v>1</v>
      </c>
      <c r="AD570" t="s">
        <v>163</v>
      </c>
      <c r="AE570" t="s">
        <v>163</v>
      </c>
      <c r="AF570" t="s">
        <v>163</v>
      </c>
      <c r="AG570" t="s">
        <v>163</v>
      </c>
      <c r="AH570" t="s">
        <v>163</v>
      </c>
      <c r="AI570" t="s">
        <v>163</v>
      </c>
      <c r="AJ570" t="s">
        <v>163</v>
      </c>
      <c r="AK570">
        <v>3</v>
      </c>
      <c r="AL570">
        <v>3</v>
      </c>
      <c r="AM570" t="s">
        <v>163</v>
      </c>
      <c r="AN570">
        <v>1</v>
      </c>
      <c r="AO570">
        <v>1</v>
      </c>
      <c r="AP570">
        <v>2</v>
      </c>
      <c r="AQ570">
        <v>2</v>
      </c>
      <c r="AR570">
        <v>5</v>
      </c>
      <c r="AS570">
        <v>5</v>
      </c>
    </row>
    <row r="571" spans="1:45" x14ac:dyDescent="0.35">
      <c r="A571" s="337">
        <v>46266</v>
      </c>
      <c r="B571" s="337">
        <v>46268</v>
      </c>
      <c r="C571" s="337">
        <v>46267</v>
      </c>
      <c r="D571" t="s">
        <v>128</v>
      </c>
      <c r="E571" s="339">
        <v>0.66666666666666663</v>
      </c>
      <c r="F571">
        <v>1</v>
      </c>
      <c r="G571" t="s">
        <v>158</v>
      </c>
      <c r="H571">
        <v>0.01</v>
      </c>
      <c r="I571" t="s">
        <v>165</v>
      </c>
      <c r="J571" t="s">
        <v>165</v>
      </c>
      <c r="K571" t="s">
        <v>165</v>
      </c>
      <c r="L571" t="s">
        <v>163</v>
      </c>
      <c r="M571" t="s">
        <v>163</v>
      </c>
      <c r="N571">
        <v>10.93</v>
      </c>
      <c r="O571" t="s">
        <v>163</v>
      </c>
      <c r="P571" t="s">
        <v>163</v>
      </c>
      <c r="Q571" t="s">
        <v>163</v>
      </c>
      <c r="R571" t="s">
        <v>163</v>
      </c>
      <c r="S571" t="s">
        <v>163</v>
      </c>
      <c r="T571" t="s">
        <v>163</v>
      </c>
      <c r="U571" t="s">
        <v>163</v>
      </c>
      <c r="V571" t="s">
        <v>163</v>
      </c>
      <c r="W571" t="s">
        <v>165</v>
      </c>
      <c r="X571" t="s">
        <v>165</v>
      </c>
      <c r="Y571" t="s">
        <v>163</v>
      </c>
      <c r="Z571">
        <v>2</v>
      </c>
      <c r="AA571">
        <v>1</v>
      </c>
      <c r="AB571">
        <v>2</v>
      </c>
      <c r="AC571">
        <v>0</v>
      </c>
      <c r="AD571" t="s">
        <v>163</v>
      </c>
      <c r="AE571" t="s">
        <v>163</v>
      </c>
      <c r="AF571" t="s">
        <v>163</v>
      </c>
      <c r="AG571" t="s">
        <v>163</v>
      </c>
      <c r="AH571" t="s">
        <v>163</v>
      </c>
      <c r="AI571" t="s">
        <v>163</v>
      </c>
      <c r="AJ571" t="s">
        <v>163</v>
      </c>
      <c r="AK571">
        <v>5</v>
      </c>
      <c r="AL571">
        <v>6</v>
      </c>
      <c r="AM571" t="s">
        <v>163</v>
      </c>
      <c r="AN571">
        <v>1</v>
      </c>
      <c r="AO571">
        <v>1</v>
      </c>
      <c r="AP571">
        <v>2</v>
      </c>
      <c r="AQ571">
        <v>2</v>
      </c>
      <c r="AR571">
        <v>7</v>
      </c>
      <c r="AS571">
        <v>8</v>
      </c>
    </row>
    <row r="572" spans="1:45" x14ac:dyDescent="0.35">
      <c r="A572" s="337">
        <v>46266</v>
      </c>
      <c r="B572" s="337">
        <v>46268</v>
      </c>
      <c r="C572" s="337">
        <v>46262</v>
      </c>
      <c r="D572" t="s">
        <v>128</v>
      </c>
      <c r="E572" s="339">
        <v>0.625</v>
      </c>
      <c r="F572">
        <v>1</v>
      </c>
      <c r="G572" t="s">
        <v>158</v>
      </c>
      <c r="H572">
        <v>0.02</v>
      </c>
      <c r="I572" t="s">
        <v>165</v>
      </c>
      <c r="J572" t="s">
        <v>165</v>
      </c>
      <c r="K572" t="s">
        <v>165</v>
      </c>
      <c r="L572" t="s">
        <v>163</v>
      </c>
      <c r="M572" t="s">
        <v>163</v>
      </c>
      <c r="N572">
        <v>9.9499999999999993</v>
      </c>
      <c r="O572" t="s">
        <v>163</v>
      </c>
      <c r="P572" t="s">
        <v>163</v>
      </c>
      <c r="Q572" t="s">
        <v>163</v>
      </c>
      <c r="R572" t="s">
        <v>163</v>
      </c>
      <c r="S572" t="s">
        <v>163</v>
      </c>
      <c r="T572" t="s">
        <v>163</v>
      </c>
      <c r="U572" t="s">
        <v>163</v>
      </c>
      <c r="V572" t="s">
        <v>163</v>
      </c>
      <c r="W572" t="s">
        <v>165</v>
      </c>
      <c r="X572" t="s">
        <v>165</v>
      </c>
      <c r="Y572" t="s">
        <v>163</v>
      </c>
      <c r="Z572">
        <v>2</v>
      </c>
      <c r="AA572">
        <v>1</v>
      </c>
      <c r="AB572">
        <v>2</v>
      </c>
      <c r="AC572">
        <v>0</v>
      </c>
      <c r="AD572" t="s">
        <v>163</v>
      </c>
      <c r="AE572" t="s">
        <v>163</v>
      </c>
      <c r="AF572" t="s">
        <v>163</v>
      </c>
      <c r="AG572" t="s">
        <v>163</v>
      </c>
      <c r="AH572" t="s">
        <v>163</v>
      </c>
      <c r="AI572" t="s">
        <v>163</v>
      </c>
      <c r="AJ572" t="s">
        <v>163</v>
      </c>
      <c r="AK572">
        <v>5</v>
      </c>
      <c r="AL572">
        <v>6</v>
      </c>
      <c r="AM572" t="s">
        <v>163</v>
      </c>
      <c r="AN572">
        <v>1</v>
      </c>
      <c r="AO572">
        <v>1</v>
      </c>
      <c r="AP572">
        <v>2</v>
      </c>
      <c r="AQ572">
        <v>2</v>
      </c>
      <c r="AR572">
        <v>7</v>
      </c>
      <c r="AS572">
        <v>8</v>
      </c>
    </row>
    <row r="573" spans="1:45" x14ac:dyDescent="0.35">
      <c r="A573" s="337">
        <v>46266</v>
      </c>
      <c r="B573" s="337">
        <v>46268</v>
      </c>
      <c r="C573" s="337">
        <v>46262</v>
      </c>
      <c r="D573" t="s">
        <v>128</v>
      </c>
      <c r="E573" s="339">
        <v>0.58333333333333337</v>
      </c>
      <c r="F573">
        <v>1</v>
      </c>
      <c r="G573" t="s">
        <v>158</v>
      </c>
      <c r="H573">
        <v>0.02</v>
      </c>
      <c r="I573" t="s">
        <v>165</v>
      </c>
      <c r="J573" t="s">
        <v>165</v>
      </c>
      <c r="K573" t="s">
        <v>165</v>
      </c>
      <c r="L573" t="s">
        <v>163</v>
      </c>
      <c r="M573" t="s">
        <v>163</v>
      </c>
      <c r="N573">
        <v>9.5</v>
      </c>
      <c r="O573">
        <v>9.64</v>
      </c>
      <c r="P573" t="s">
        <v>163</v>
      </c>
      <c r="Q573" t="s">
        <v>163</v>
      </c>
      <c r="R573" t="s">
        <v>163</v>
      </c>
      <c r="S573" t="s">
        <v>163</v>
      </c>
      <c r="T573">
        <v>26.5</v>
      </c>
      <c r="U573" t="s">
        <v>163</v>
      </c>
      <c r="V573" t="s">
        <v>163</v>
      </c>
      <c r="W573" t="s">
        <v>165</v>
      </c>
      <c r="X573" t="s">
        <v>165</v>
      </c>
      <c r="Y573">
        <v>1</v>
      </c>
      <c r="Z573">
        <v>2</v>
      </c>
      <c r="AA573">
        <v>1</v>
      </c>
      <c r="AB573">
        <v>2</v>
      </c>
      <c r="AC573">
        <v>0</v>
      </c>
      <c r="AD573">
        <v>1</v>
      </c>
      <c r="AE573" t="s">
        <v>163</v>
      </c>
      <c r="AF573" t="s">
        <v>163</v>
      </c>
      <c r="AG573" t="s">
        <v>163</v>
      </c>
      <c r="AH573" t="s">
        <v>163</v>
      </c>
      <c r="AI573">
        <v>2</v>
      </c>
      <c r="AJ573" t="s">
        <v>163</v>
      </c>
      <c r="AK573">
        <v>8</v>
      </c>
      <c r="AL573">
        <v>9</v>
      </c>
      <c r="AM573" t="s">
        <v>163</v>
      </c>
      <c r="AN573">
        <v>1</v>
      </c>
      <c r="AO573">
        <v>1</v>
      </c>
      <c r="AP573">
        <v>2</v>
      </c>
      <c r="AQ573">
        <v>2</v>
      </c>
      <c r="AR573">
        <v>10</v>
      </c>
      <c r="AS573">
        <v>11</v>
      </c>
    </row>
    <row r="574" spans="1:45" x14ac:dyDescent="0.35">
      <c r="A574" s="337">
        <v>46266</v>
      </c>
      <c r="B574" s="337">
        <v>46268</v>
      </c>
      <c r="C574" s="337">
        <v>46252</v>
      </c>
      <c r="D574" t="s">
        <v>125</v>
      </c>
      <c r="E574" t="s">
        <v>237</v>
      </c>
      <c r="F574" t="s">
        <v>383</v>
      </c>
      <c r="G574" t="s">
        <v>101</v>
      </c>
      <c r="H574" t="s">
        <v>163</v>
      </c>
      <c r="I574" t="s">
        <v>165</v>
      </c>
      <c r="J574" t="s">
        <v>165</v>
      </c>
      <c r="K574" t="s">
        <v>165</v>
      </c>
      <c r="L574" t="s">
        <v>163</v>
      </c>
      <c r="M574" t="s">
        <v>161</v>
      </c>
      <c r="N574">
        <v>12.54</v>
      </c>
      <c r="O574" t="s">
        <v>163</v>
      </c>
      <c r="P574" t="s">
        <v>163</v>
      </c>
      <c r="Q574" t="s">
        <v>163</v>
      </c>
      <c r="R574" t="s">
        <v>163</v>
      </c>
      <c r="S574" t="s">
        <v>163</v>
      </c>
      <c r="T574" t="s">
        <v>163</v>
      </c>
      <c r="U574" t="s">
        <v>163</v>
      </c>
      <c r="V574" t="s">
        <v>163</v>
      </c>
      <c r="W574" t="s">
        <v>163</v>
      </c>
      <c r="X574" t="s">
        <v>163</v>
      </c>
      <c r="Y574" t="s">
        <v>163</v>
      </c>
      <c r="Z574" t="s">
        <v>163</v>
      </c>
      <c r="AA574">
        <v>1</v>
      </c>
      <c r="AB574">
        <v>2</v>
      </c>
      <c r="AC574">
        <v>1</v>
      </c>
      <c r="AD574" t="s">
        <v>163</v>
      </c>
      <c r="AE574" t="s">
        <v>163</v>
      </c>
      <c r="AF574" t="s">
        <v>163</v>
      </c>
      <c r="AG574" t="s">
        <v>163</v>
      </c>
      <c r="AH574" t="s">
        <v>163</v>
      </c>
      <c r="AI574" t="s">
        <v>163</v>
      </c>
      <c r="AJ574" t="s">
        <v>163</v>
      </c>
      <c r="AK574">
        <v>4</v>
      </c>
      <c r="AL574">
        <v>4</v>
      </c>
      <c r="AM574" t="s">
        <v>163</v>
      </c>
      <c r="AN574" t="s">
        <v>163</v>
      </c>
      <c r="AO574" t="s">
        <v>163</v>
      </c>
      <c r="AP574">
        <v>0</v>
      </c>
      <c r="AQ574">
        <v>0</v>
      </c>
      <c r="AR574">
        <v>4</v>
      </c>
      <c r="AS574">
        <v>4</v>
      </c>
    </row>
    <row r="575" spans="1:45" x14ac:dyDescent="0.35">
      <c r="A575" s="337">
        <v>46266</v>
      </c>
      <c r="B575" s="337">
        <v>46268</v>
      </c>
      <c r="C575" s="337">
        <v>46267</v>
      </c>
      <c r="D575" t="s">
        <v>125</v>
      </c>
      <c r="E575" t="s">
        <v>238</v>
      </c>
      <c r="F575">
        <v>3</v>
      </c>
      <c r="G575" t="s">
        <v>145</v>
      </c>
      <c r="H575">
        <v>0.01</v>
      </c>
      <c r="I575" t="s">
        <v>165</v>
      </c>
      <c r="J575" t="s">
        <v>165</v>
      </c>
      <c r="K575" t="s">
        <v>165</v>
      </c>
      <c r="L575" t="s">
        <v>161</v>
      </c>
      <c r="M575" t="s">
        <v>161</v>
      </c>
      <c r="N575">
        <v>12.39</v>
      </c>
      <c r="O575" t="s">
        <v>163</v>
      </c>
      <c r="P575" t="s">
        <v>163</v>
      </c>
      <c r="Q575" t="s">
        <v>163</v>
      </c>
      <c r="R575" t="s">
        <v>163</v>
      </c>
      <c r="S575" t="s">
        <v>163</v>
      </c>
      <c r="T575" t="s">
        <v>163</v>
      </c>
      <c r="U575" t="s">
        <v>163</v>
      </c>
      <c r="V575" t="s">
        <v>163</v>
      </c>
      <c r="W575" t="s">
        <v>165</v>
      </c>
      <c r="X575" t="s">
        <v>165</v>
      </c>
      <c r="Y575" t="s">
        <v>163</v>
      </c>
      <c r="Z575">
        <v>2</v>
      </c>
      <c r="AA575">
        <v>1</v>
      </c>
      <c r="AB575">
        <v>2</v>
      </c>
      <c r="AC575">
        <v>1</v>
      </c>
      <c r="AD575" t="s">
        <v>163</v>
      </c>
      <c r="AE575" t="s">
        <v>163</v>
      </c>
      <c r="AF575" t="s">
        <v>163</v>
      </c>
      <c r="AG575" t="s">
        <v>163</v>
      </c>
      <c r="AH575" t="s">
        <v>163</v>
      </c>
      <c r="AI575" t="s">
        <v>163</v>
      </c>
      <c r="AJ575" t="s">
        <v>163</v>
      </c>
      <c r="AK575">
        <v>6</v>
      </c>
      <c r="AL575">
        <v>6</v>
      </c>
      <c r="AM575" t="s">
        <v>163</v>
      </c>
      <c r="AN575">
        <v>1</v>
      </c>
      <c r="AO575">
        <v>1</v>
      </c>
      <c r="AP575">
        <v>2</v>
      </c>
      <c r="AQ575">
        <v>2</v>
      </c>
      <c r="AR575">
        <v>8</v>
      </c>
      <c r="AS575">
        <v>8</v>
      </c>
    </row>
    <row r="576" spans="1:45" x14ac:dyDescent="0.35">
      <c r="A576" s="337">
        <v>46266</v>
      </c>
      <c r="B576" s="337">
        <v>46268</v>
      </c>
      <c r="C576" s="337">
        <v>46267</v>
      </c>
      <c r="D576" t="s">
        <v>125</v>
      </c>
      <c r="E576" t="s">
        <v>328</v>
      </c>
      <c r="F576">
        <v>3</v>
      </c>
      <c r="G576" t="s">
        <v>145</v>
      </c>
      <c r="H576">
        <v>0.01</v>
      </c>
      <c r="I576" t="s">
        <v>165</v>
      </c>
      <c r="J576" t="s">
        <v>165</v>
      </c>
      <c r="K576" t="s">
        <v>165</v>
      </c>
      <c r="L576" t="s">
        <v>161</v>
      </c>
      <c r="M576" t="s">
        <v>161</v>
      </c>
      <c r="N576">
        <v>12.28</v>
      </c>
      <c r="O576" t="s">
        <v>163</v>
      </c>
      <c r="P576" t="s">
        <v>163</v>
      </c>
      <c r="Q576" t="s">
        <v>163</v>
      </c>
      <c r="R576" t="s">
        <v>163</v>
      </c>
      <c r="S576" t="s">
        <v>163</v>
      </c>
      <c r="T576" t="s">
        <v>163</v>
      </c>
      <c r="U576" t="s">
        <v>163</v>
      </c>
      <c r="V576" t="s">
        <v>163</v>
      </c>
      <c r="W576" t="s">
        <v>165</v>
      </c>
      <c r="X576" t="s">
        <v>165</v>
      </c>
      <c r="Y576" t="s">
        <v>163</v>
      </c>
      <c r="Z576">
        <v>2</v>
      </c>
      <c r="AA576">
        <v>1</v>
      </c>
      <c r="AB576">
        <v>2</v>
      </c>
      <c r="AC576">
        <v>1</v>
      </c>
      <c r="AD576" t="s">
        <v>163</v>
      </c>
      <c r="AE576" t="s">
        <v>163</v>
      </c>
      <c r="AF576" t="s">
        <v>163</v>
      </c>
      <c r="AG576" t="s">
        <v>163</v>
      </c>
      <c r="AH576" t="s">
        <v>163</v>
      </c>
      <c r="AI576" t="s">
        <v>163</v>
      </c>
      <c r="AJ576" t="s">
        <v>163</v>
      </c>
      <c r="AK576">
        <v>6</v>
      </c>
      <c r="AL576">
        <v>6</v>
      </c>
      <c r="AM576" t="s">
        <v>163</v>
      </c>
      <c r="AN576">
        <v>1</v>
      </c>
      <c r="AO576">
        <v>1</v>
      </c>
      <c r="AP576">
        <v>2</v>
      </c>
      <c r="AQ576">
        <v>2</v>
      </c>
      <c r="AR576">
        <v>8</v>
      </c>
      <c r="AS576">
        <v>8</v>
      </c>
    </row>
    <row r="577" spans="1:45" x14ac:dyDescent="0.35">
      <c r="A577" s="337">
        <v>46266</v>
      </c>
      <c r="B577" s="337">
        <v>46268</v>
      </c>
      <c r="C577" s="337">
        <v>46267</v>
      </c>
      <c r="D577" t="s">
        <v>125</v>
      </c>
      <c r="E577" t="s">
        <v>237</v>
      </c>
      <c r="F577">
        <v>3</v>
      </c>
      <c r="G577" t="s">
        <v>145</v>
      </c>
      <c r="H577">
        <v>0.01</v>
      </c>
      <c r="I577" t="s">
        <v>165</v>
      </c>
      <c r="J577" t="s">
        <v>165</v>
      </c>
      <c r="K577" t="s">
        <v>165</v>
      </c>
      <c r="L577" t="s">
        <v>161</v>
      </c>
      <c r="M577" t="s">
        <v>161</v>
      </c>
      <c r="N577">
        <v>12.27</v>
      </c>
      <c r="O577">
        <v>12.63</v>
      </c>
      <c r="P577">
        <v>0.56000000000000005</v>
      </c>
      <c r="Q577">
        <v>65.8</v>
      </c>
      <c r="R577" t="s">
        <v>163</v>
      </c>
      <c r="S577" t="s">
        <v>163</v>
      </c>
      <c r="T577">
        <v>35.299999999999997</v>
      </c>
      <c r="U577" t="s">
        <v>163</v>
      </c>
      <c r="V577" t="s">
        <v>163</v>
      </c>
      <c r="W577" t="s">
        <v>165</v>
      </c>
      <c r="X577" t="s">
        <v>165</v>
      </c>
      <c r="Y577" t="s">
        <v>163</v>
      </c>
      <c r="Z577">
        <v>2</v>
      </c>
      <c r="AA577">
        <v>1</v>
      </c>
      <c r="AB577">
        <v>2</v>
      </c>
      <c r="AC577">
        <v>1</v>
      </c>
      <c r="AD577">
        <v>1</v>
      </c>
      <c r="AE577">
        <v>0</v>
      </c>
      <c r="AF577">
        <v>2</v>
      </c>
      <c r="AG577" t="s">
        <v>163</v>
      </c>
      <c r="AH577" t="s">
        <v>163</v>
      </c>
      <c r="AI577">
        <v>2</v>
      </c>
      <c r="AJ577" t="s">
        <v>163</v>
      </c>
      <c r="AK577">
        <v>11</v>
      </c>
      <c r="AL577">
        <v>13</v>
      </c>
      <c r="AM577" t="s">
        <v>163</v>
      </c>
      <c r="AN577">
        <v>1</v>
      </c>
      <c r="AO577">
        <v>1</v>
      </c>
      <c r="AP577">
        <v>2</v>
      </c>
      <c r="AQ577">
        <v>2</v>
      </c>
      <c r="AR577">
        <v>13</v>
      </c>
      <c r="AS577">
        <v>15</v>
      </c>
    </row>
    <row r="578" spans="1:45" x14ac:dyDescent="0.35">
      <c r="A578" s="337">
        <v>46266</v>
      </c>
      <c r="B578" s="337">
        <v>46268</v>
      </c>
      <c r="C578" s="337">
        <v>46267</v>
      </c>
      <c r="D578" t="s">
        <v>125</v>
      </c>
      <c r="E578" t="s">
        <v>327</v>
      </c>
      <c r="F578">
        <v>3</v>
      </c>
      <c r="G578" t="s">
        <v>90</v>
      </c>
      <c r="H578">
        <v>0.01</v>
      </c>
      <c r="I578" t="s">
        <v>165</v>
      </c>
      <c r="J578" t="s">
        <v>165</v>
      </c>
      <c r="K578" t="s">
        <v>165</v>
      </c>
      <c r="L578" t="s">
        <v>161</v>
      </c>
      <c r="M578" t="s">
        <v>161</v>
      </c>
      <c r="N578">
        <v>12.82</v>
      </c>
      <c r="O578" t="s">
        <v>163</v>
      </c>
      <c r="P578" t="s">
        <v>163</v>
      </c>
      <c r="Q578" t="s">
        <v>163</v>
      </c>
      <c r="R578" t="s">
        <v>163</v>
      </c>
      <c r="S578" t="s">
        <v>163</v>
      </c>
      <c r="T578" t="s">
        <v>163</v>
      </c>
      <c r="U578" t="s">
        <v>163</v>
      </c>
      <c r="V578" t="s">
        <v>163</v>
      </c>
      <c r="W578" t="s">
        <v>165</v>
      </c>
      <c r="X578" t="s">
        <v>165</v>
      </c>
      <c r="Y578" t="s">
        <v>163</v>
      </c>
      <c r="Z578">
        <v>2</v>
      </c>
      <c r="AA578">
        <v>1</v>
      </c>
      <c r="AB578">
        <v>2</v>
      </c>
      <c r="AC578">
        <v>1</v>
      </c>
      <c r="AD578" t="s">
        <v>163</v>
      </c>
      <c r="AE578" t="s">
        <v>163</v>
      </c>
      <c r="AF578" t="s">
        <v>163</v>
      </c>
      <c r="AG578" t="s">
        <v>163</v>
      </c>
      <c r="AH578" t="s">
        <v>163</v>
      </c>
      <c r="AI578" t="s">
        <v>163</v>
      </c>
      <c r="AJ578" t="s">
        <v>163</v>
      </c>
      <c r="AK578">
        <v>6</v>
      </c>
      <c r="AL578">
        <v>6</v>
      </c>
      <c r="AM578" t="s">
        <v>163</v>
      </c>
      <c r="AN578">
        <v>1</v>
      </c>
      <c r="AO578">
        <v>1</v>
      </c>
      <c r="AP578">
        <v>2</v>
      </c>
      <c r="AQ578">
        <v>2</v>
      </c>
      <c r="AR578">
        <v>8</v>
      </c>
      <c r="AS578">
        <v>8</v>
      </c>
    </row>
    <row r="579" spans="1:45" x14ac:dyDescent="0.35">
      <c r="A579" s="337">
        <v>46266</v>
      </c>
      <c r="B579" s="337">
        <v>46268</v>
      </c>
      <c r="C579" s="337">
        <v>46267</v>
      </c>
      <c r="D579" t="s">
        <v>125</v>
      </c>
      <c r="E579" t="s">
        <v>240</v>
      </c>
      <c r="F579">
        <v>3</v>
      </c>
      <c r="G579" t="s">
        <v>90</v>
      </c>
      <c r="H579">
        <v>0.01</v>
      </c>
      <c r="I579" t="s">
        <v>165</v>
      </c>
      <c r="J579" t="s">
        <v>165</v>
      </c>
      <c r="K579" t="s">
        <v>165</v>
      </c>
      <c r="L579" t="s">
        <v>161</v>
      </c>
      <c r="M579" t="s">
        <v>161</v>
      </c>
      <c r="N579">
        <v>12.82</v>
      </c>
      <c r="O579" t="s">
        <v>163</v>
      </c>
      <c r="P579" t="s">
        <v>163</v>
      </c>
      <c r="Q579" t="s">
        <v>163</v>
      </c>
      <c r="R579" t="s">
        <v>163</v>
      </c>
      <c r="S579" t="s">
        <v>163</v>
      </c>
      <c r="T579" t="s">
        <v>163</v>
      </c>
      <c r="U579" t="s">
        <v>163</v>
      </c>
      <c r="V579" t="s">
        <v>163</v>
      </c>
      <c r="W579" t="s">
        <v>165</v>
      </c>
      <c r="X579" t="s">
        <v>165</v>
      </c>
      <c r="Y579" t="s">
        <v>163</v>
      </c>
      <c r="Z579">
        <v>2</v>
      </c>
      <c r="AA579">
        <v>1</v>
      </c>
      <c r="AB579">
        <v>2</v>
      </c>
      <c r="AC579">
        <v>1</v>
      </c>
      <c r="AD579" t="s">
        <v>163</v>
      </c>
      <c r="AE579" t="s">
        <v>163</v>
      </c>
      <c r="AF579" t="s">
        <v>163</v>
      </c>
      <c r="AG579" t="s">
        <v>163</v>
      </c>
      <c r="AH579" t="s">
        <v>163</v>
      </c>
      <c r="AI579" t="s">
        <v>163</v>
      </c>
      <c r="AJ579" t="s">
        <v>163</v>
      </c>
      <c r="AK579">
        <v>6</v>
      </c>
      <c r="AL579">
        <v>6</v>
      </c>
      <c r="AM579" t="s">
        <v>163</v>
      </c>
      <c r="AN579">
        <v>1</v>
      </c>
      <c r="AO579">
        <v>1</v>
      </c>
      <c r="AP579">
        <v>2</v>
      </c>
      <c r="AQ579">
        <v>2</v>
      </c>
      <c r="AR579">
        <v>8</v>
      </c>
      <c r="AS579">
        <v>8</v>
      </c>
    </row>
    <row r="580" spans="1:45" x14ac:dyDescent="0.35">
      <c r="A580" s="337">
        <v>46266</v>
      </c>
      <c r="B580" s="337">
        <v>46268</v>
      </c>
      <c r="C580" s="337">
        <v>46267</v>
      </c>
      <c r="D580" t="s">
        <v>125</v>
      </c>
      <c r="E580" t="s">
        <v>273</v>
      </c>
      <c r="F580">
        <v>3</v>
      </c>
      <c r="G580" t="s">
        <v>90</v>
      </c>
      <c r="H580">
        <v>0.01</v>
      </c>
      <c r="I580" t="s">
        <v>165</v>
      </c>
      <c r="J580" t="s">
        <v>165</v>
      </c>
      <c r="K580" t="s">
        <v>165</v>
      </c>
      <c r="L580" t="s">
        <v>161</v>
      </c>
      <c r="M580" t="s">
        <v>161</v>
      </c>
      <c r="N580">
        <v>12.55</v>
      </c>
      <c r="O580">
        <v>12.76</v>
      </c>
      <c r="P580">
        <v>0.55000000000000004</v>
      </c>
      <c r="Q580" t="s">
        <v>163</v>
      </c>
      <c r="R580" t="s">
        <v>163</v>
      </c>
      <c r="S580" t="s">
        <v>163</v>
      </c>
      <c r="T580">
        <v>35.6</v>
      </c>
      <c r="U580" t="s">
        <v>163</v>
      </c>
      <c r="V580">
        <v>25.19</v>
      </c>
      <c r="W580" t="s">
        <v>165</v>
      </c>
      <c r="X580" t="s">
        <v>165</v>
      </c>
      <c r="Y580" t="s">
        <v>163</v>
      </c>
      <c r="Z580">
        <v>2</v>
      </c>
      <c r="AA580">
        <v>1</v>
      </c>
      <c r="AB580">
        <v>2</v>
      </c>
      <c r="AC580">
        <v>1</v>
      </c>
      <c r="AD580" t="s">
        <v>163</v>
      </c>
      <c r="AE580">
        <v>2</v>
      </c>
      <c r="AF580" t="s">
        <v>163</v>
      </c>
      <c r="AG580" t="s">
        <v>163</v>
      </c>
      <c r="AH580" t="s">
        <v>163</v>
      </c>
      <c r="AI580">
        <v>2</v>
      </c>
      <c r="AJ580" t="s">
        <v>163</v>
      </c>
      <c r="AK580">
        <v>10</v>
      </c>
      <c r="AL580">
        <v>10</v>
      </c>
      <c r="AM580">
        <v>1</v>
      </c>
      <c r="AN580">
        <v>1</v>
      </c>
      <c r="AO580">
        <v>1</v>
      </c>
      <c r="AP580">
        <v>3</v>
      </c>
      <c r="AQ580">
        <v>3</v>
      </c>
      <c r="AR580">
        <v>13</v>
      </c>
      <c r="AS580">
        <v>13</v>
      </c>
    </row>
    <row r="581" spans="1:45" x14ac:dyDescent="0.35">
      <c r="A581" s="337">
        <v>46266</v>
      </c>
      <c r="B581" s="337">
        <v>46268</v>
      </c>
      <c r="C581" s="339">
        <v>0</v>
      </c>
      <c r="D581" t="s">
        <v>125</v>
      </c>
      <c r="E581" t="s">
        <v>238</v>
      </c>
      <c r="F581">
        <v>2</v>
      </c>
      <c r="G581" t="s">
        <v>138</v>
      </c>
      <c r="H581">
        <v>0.01</v>
      </c>
      <c r="I581" t="s">
        <v>165</v>
      </c>
      <c r="J581" t="s">
        <v>165</v>
      </c>
      <c r="K581" t="s">
        <v>165</v>
      </c>
      <c r="L581" t="s">
        <v>163</v>
      </c>
      <c r="M581" t="s">
        <v>161</v>
      </c>
      <c r="N581">
        <v>10.98</v>
      </c>
      <c r="O581" t="s">
        <v>163</v>
      </c>
      <c r="P581" t="s">
        <v>163</v>
      </c>
      <c r="Q581" t="s">
        <v>163</v>
      </c>
      <c r="R581" t="s">
        <v>163</v>
      </c>
      <c r="S581" t="s">
        <v>163</v>
      </c>
      <c r="T581" t="s">
        <v>163</v>
      </c>
      <c r="U581" t="s">
        <v>163</v>
      </c>
      <c r="V581" t="s">
        <v>163</v>
      </c>
      <c r="W581" t="s">
        <v>165</v>
      </c>
      <c r="X581" t="s">
        <v>165</v>
      </c>
      <c r="Y581" t="s">
        <v>163</v>
      </c>
      <c r="Z581">
        <v>2</v>
      </c>
      <c r="AA581">
        <v>1</v>
      </c>
      <c r="AB581">
        <v>2</v>
      </c>
      <c r="AC581">
        <v>0</v>
      </c>
      <c r="AD581" t="s">
        <v>163</v>
      </c>
      <c r="AE581" t="s">
        <v>163</v>
      </c>
      <c r="AF581" t="s">
        <v>163</v>
      </c>
      <c r="AG581" t="s">
        <v>163</v>
      </c>
      <c r="AH581" t="s">
        <v>163</v>
      </c>
      <c r="AI581" t="s">
        <v>163</v>
      </c>
      <c r="AJ581" t="s">
        <v>163</v>
      </c>
      <c r="AK581">
        <v>5</v>
      </c>
      <c r="AL581">
        <v>6</v>
      </c>
      <c r="AM581" t="s">
        <v>163</v>
      </c>
      <c r="AN581">
        <v>1</v>
      </c>
      <c r="AO581">
        <v>1</v>
      </c>
      <c r="AP581">
        <v>2</v>
      </c>
      <c r="AQ581">
        <v>2</v>
      </c>
      <c r="AR581">
        <v>7</v>
      </c>
      <c r="AS581">
        <v>8</v>
      </c>
    </row>
    <row r="582" spans="1:45" x14ac:dyDescent="0.35">
      <c r="A582" s="337">
        <v>46266</v>
      </c>
      <c r="B582" s="337">
        <v>46268</v>
      </c>
      <c r="C582" s="339">
        <v>0</v>
      </c>
      <c r="D582" t="s">
        <v>125</v>
      </c>
      <c r="E582" t="s">
        <v>327</v>
      </c>
      <c r="F582">
        <v>2</v>
      </c>
      <c r="G582" t="s">
        <v>140</v>
      </c>
      <c r="H582" t="s">
        <v>163</v>
      </c>
      <c r="I582" t="s">
        <v>165</v>
      </c>
      <c r="J582" t="s">
        <v>165</v>
      </c>
      <c r="K582" t="s">
        <v>165</v>
      </c>
      <c r="L582" t="s">
        <v>163</v>
      </c>
      <c r="M582" t="s">
        <v>161</v>
      </c>
      <c r="N582">
        <v>10.91</v>
      </c>
      <c r="O582" t="s">
        <v>163</v>
      </c>
      <c r="P582" t="s">
        <v>163</v>
      </c>
      <c r="Q582" t="s">
        <v>163</v>
      </c>
      <c r="R582" t="s">
        <v>163</v>
      </c>
      <c r="S582" t="s">
        <v>163</v>
      </c>
      <c r="T582" t="s">
        <v>163</v>
      </c>
      <c r="U582" t="s">
        <v>163</v>
      </c>
      <c r="V582" t="s">
        <v>163</v>
      </c>
      <c r="W582" t="s">
        <v>165</v>
      </c>
      <c r="X582" t="s">
        <v>165</v>
      </c>
      <c r="Y582" t="s">
        <v>163</v>
      </c>
      <c r="Z582" t="s">
        <v>163</v>
      </c>
      <c r="AA582">
        <v>1</v>
      </c>
      <c r="AB582">
        <v>2</v>
      </c>
      <c r="AC582">
        <v>0</v>
      </c>
      <c r="AD582" t="s">
        <v>163</v>
      </c>
      <c r="AE582" t="s">
        <v>163</v>
      </c>
      <c r="AF582" t="s">
        <v>163</v>
      </c>
      <c r="AG582" t="s">
        <v>163</v>
      </c>
      <c r="AH582" t="s">
        <v>163</v>
      </c>
      <c r="AI582" t="s">
        <v>163</v>
      </c>
      <c r="AJ582" t="s">
        <v>163</v>
      </c>
      <c r="AK582">
        <v>3</v>
      </c>
      <c r="AL582">
        <v>4</v>
      </c>
      <c r="AM582" t="s">
        <v>163</v>
      </c>
      <c r="AN582">
        <v>1</v>
      </c>
      <c r="AO582">
        <v>1</v>
      </c>
      <c r="AP582">
        <v>2</v>
      </c>
      <c r="AQ582">
        <v>2</v>
      </c>
      <c r="AR582">
        <v>5</v>
      </c>
      <c r="AS582">
        <v>6</v>
      </c>
    </row>
    <row r="583" spans="1:45" x14ac:dyDescent="0.35">
      <c r="A583" s="337">
        <v>46266</v>
      </c>
      <c r="B583" s="337">
        <v>46268</v>
      </c>
      <c r="C583" s="339">
        <v>0</v>
      </c>
      <c r="D583" t="s">
        <v>125</v>
      </c>
      <c r="E583" t="s">
        <v>240</v>
      </c>
      <c r="F583">
        <v>2</v>
      </c>
      <c r="G583" t="s">
        <v>140</v>
      </c>
      <c r="H583" t="s">
        <v>163</v>
      </c>
      <c r="I583" t="s">
        <v>165</v>
      </c>
      <c r="J583" t="s">
        <v>165</v>
      </c>
      <c r="K583" t="s">
        <v>165</v>
      </c>
      <c r="L583" t="s">
        <v>163</v>
      </c>
      <c r="M583" t="s">
        <v>161</v>
      </c>
      <c r="N583">
        <v>10.97</v>
      </c>
      <c r="O583" t="s">
        <v>163</v>
      </c>
      <c r="P583" t="s">
        <v>163</v>
      </c>
      <c r="Q583" t="s">
        <v>163</v>
      </c>
      <c r="R583" t="s">
        <v>163</v>
      </c>
      <c r="S583" t="s">
        <v>163</v>
      </c>
      <c r="T583" t="s">
        <v>163</v>
      </c>
      <c r="U583" t="s">
        <v>163</v>
      </c>
      <c r="V583" t="s">
        <v>163</v>
      </c>
      <c r="W583" t="s">
        <v>165</v>
      </c>
      <c r="X583" t="s">
        <v>165</v>
      </c>
      <c r="Y583" t="s">
        <v>163</v>
      </c>
      <c r="Z583" t="s">
        <v>163</v>
      </c>
      <c r="AA583">
        <v>1</v>
      </c>
      <c r="AB583">
        <v>2</v>
      </c>
      <c r="AC583">
        <v>0</v>
      </c>
      <c r="AD583" t="s">
        <v>163</v>
      </c>
      <c r="AE583" t="s">
        <v>163</v>
      </c>
      <c r="AF583" t="s">
        <v>163</v>
      </c>
      <c r="AG583" t="s">
        <v>163</v>
      </c>
      <c r="AH583" t="s">
        <v>163</v>
      </c>
      <c r="AI583" t="s">
        <v>163</v>
      </c>
      <c r="AJ583" t="s">
        <v>163</v>
      </c>
      <c r="AK583">
        <v>3</v>
      </c>
      <c r="AL583">
        <v>4</v>
      </c>
      <c r="AM583" t="s">
        <v>163</v>
      </c>
      <c r="AN583">
        <v>1</v>
      </c>
      <c r="AO583">
        <v>1</v>
      </c>
      <c r="AP583">
        <v>2</v>
      </c>
      <c r="AQ583">
        <v>2</v>
      </c>
      <c r="AR583">
        <v>5</v>
      </c>
      <c r="AS583">
        <v>6</v>
      </c>
    </row>
    <row r="584" spans="1:45" x14ac:dyDescent="0.35">
      <c r="A584" s="337">
        <v>46266</v>
      </c>
      <c r="B584" s="337">
        <v>46268</v>
      </c>
      <c r="C584" s="339">
        <v>0</v>
      </c>
      <c r="D584" t="s">
        <v>125</v>
      </c>
      <c r="E584" t="s">
        <v>273</v>
      </c>
      <c r="F584">
        <v>2</v>
      </c>
      <c r="G584" t="s">
        <v>140</v>
      </c>
      <c r="H584" t="s">
        <v>163</v>
      </c>
      <c r="I584" t="s">
        <v>165</v>
      </c>
      <c r="J584" t="s">
        <v>165</v>
      </c>
      <c r="K584" t="s">
        <v>165</v>
      </c>
      <c r="L584" t="s">
        <v>163</v>
      </c>
      <c r="M584" t="s">
        <v>161</v>
      </c>
      <c r="N584">
        <v>10.94</v>
      </c>
      <c r="O584">
        <v>9.09</v>
      </c>
      <c r="P584">
        <v>0.56999999999999995</v>
      </c>
      <c r="Q584">
        <v>55.6</v>
      </c>
      <c r="R584" t="s">
        <v>163</v>
      </c>
      <c r="S584" t="s">
        <v>163</v>
      </c>
      <c r="T584">
        <v>27.51</v>
      </c>
      <c r="U584" t="s">
        <v>163</v>
      </c>
      <c r="V584" t="s">
        <v>163</v>
      </c>
      <c r="W584" t="s">
        <v>165</v>
      </c>
      <c r="X584" t="s">
        <v>165</v>
      </c>
      <c r="Y584" t="s">
        <v>163</v>
      </c>
      <c r="Z584" t="s">
        <v>163</v>
      </c>
      <c r="AA584">
        <v>1</v>
      </c>
      <c r="AB584">
        <v>2</v>
      </c>
      <c r="AC584">
        <v>0</v>
      </c>
      <c r="AD584">
        <v>1</v>
      </c>
      <c r="AE584">
        <v>0</v>
      </c>
      <c r="AF584">
        <v>2</v>
      </c>
      <c r="AG584" t="s">
        <v>163</v>
      </c>
      <c r="AH584" t="s">
        <v>163</v>
      </c>
      <c r="AI584">
        <v>2</v>
      </c>
      <c r="AJ584" t="s">
        <v>163</v>
      </c>
      <c r="AK584">
        <v>8</v>
      </c>
      <c r="AL584">
        <v>11</v>
      </c>
      <c r="AM584" t="s">
        <v>163</v>
      </c>
      <c r="AN584">
        <v>1</v>
      </c>
      <c r="AO584">
        <v>1</v>
      </c>
      <c r="AP584">
        <v>2</v>
      </c>
      <c r="AQ584">
        <v>2</v>
      </c>
      <c r="AR584">
        <v>10</v>
      </c>
      <c r="AS584">
        <v>13</v>
      </c>
    </row>
    <row r="585" spans="1:45" x14ac:dyDescent="0.35">
      <c r="A585" s="337">
        <v>46266</v>
      </c>
      <c r="B585" s="337">
        <v>46268</v>
      </c>
      <c r="C585" s="339">
        <v>0</v>
      </c>
      <c r="D585" t="s">
        <v>125</v>
      </c>
      <c r="E585" t="s">
        <v>239</v>
      </c>
      <c r="F585">
        <v>2</v>
      </c>
      <c r="G585" t="s">
        <v>132</v>
      </c>
      <c r="H585" t="s">
        <v>163</v>
      </c>
      <c r="I585" t="s">
        <v>165</v>
      </c>
      <c r="J585" t="s">
        <v>165</v>
      </c>
      <c r="K585" t="s">
        <v>165</v>
      </c>
      <c r="L585" t="s">
        <v>163</v>
      </c>
      <c r="M585" t="s">
        <v>161</v>
      </c>
      <c r="N585">
        <v>10.55</v>
      </c>
      <c r="O585" t="s">
        <v>163</v>
      </c>
      <c r="P585" t="s">
        <v>163</v>
      </c>
      <c r="Q585" t="s">
        <v>163</v>
      </c>
      <c r="R585" t="s">
        <v>163</v>
      </c>
      <c r="S585" t="s">
        <v>163</v>
      </c>
      <c r="T585" t="s">
        <v>163</v>
      </c>
      <c r="U585" t="s">
        <v>163</v>
      </c>
      <c r="V585" t="s">
        <v>163</v>
      </c>
      <c r="W585" t="s">
        <v>165</v>
      </c>
      <c r="X585" t="s">
        <v>165</v>
      </c>
      <c r="Y585" t="s">
        <v>163</v>
      </c>
      <c r="Z585" t="s">
        <v>163</v>
      </c>
      <c r="AA585">
        <v>1</v>
      </c>
      <c r="AB585">
        <v>2</v>
      </c>
      <c r="AC585">
        <v>0</v>
      </c>
      <c r="AD585" t="s">
        <v>163</v>
      </c>
      <c r="AE585" t="s">
        <v>163</v>
      </c>
      <c r="AF585" t="s">
        <v>163</v>
      </c>
      <c r="AG585" t="s">
        <v>163</v>
      </c>
      <c r="AH585" t="s">
        <v>163</v>
      </c>
      <c r="AI585" t="s">
        <v>163</v>
      </c>
      <c r="AJ585" t="s">
        <v>163</v>
      </c>
      <c r="AK585">
        <v>3</v>
      </c>
      <c r="AL585">
        <v>4</v>
      </c>
      <c r="AM585" t="s">
        <v>163</v>
      </c>
      <c r="AN585">
        <v>1</v>
      </c>
      <c r="AO585">
        <v>1</v>
      </c>
      <c r="AP585">
        <v>2</v>
      </c>
      <c r="AQ585">
        <v>2</v>
      </c>
      <c r="AR585">
        <v>5</v>
      </c>
      <c r="AS585">
        <v>6</v>
      </c>
    </row>
    <row r="586" spans="1:45" x14ac:dyDescent="0.35">
      <c r="A586" s="337">
        <v>46266</v>
      </c>
      <c r="B586" s="337">
        <v>46268</v>
      </c>
      <c r="C586" s="339">
        <v>0</v>
      </c>
      <c r="D586" t="s">
        <v>125</v>
      </c>
      <c r="E586" t="s">
        <v>326</v>
      </c>
      <c r="F586">
        <v>2</v>
      </c>
      <c r="G586" t="s">
        <v>132</v>
      </c>
      <c r="H586" t="s">
        <v>163</v>
      </c>
      <c r="I586" t="s">
        <v>165</v>
      </c>
      <c r="J586" t="s">
        <v>165</v>
      </c>
      <c r="K586" t="s">
        <v>165</v>
      </c>
      <c r="L586" t="s">
        <v>163</v>
      </c>
      <c r="M586" t="s">
        <v>161</v>
      </c>
      <c r="N586">
        <v>10.59</v>
      </c>
      <c r="O586" t="s">
        <v>163</v>
      </c>
      <c r="P586" t="s">
        <v>163</v>
      </c>
      <c r="Q586" t="s">
        <v>163</v>
      </c>
      <c r="R586" t="s">
        <v>163</v>
      </c>
      <c r="S586" t="s">
        <v>163</v>
      </c>
      <c r="T586" t="s">
        <v>163</v>
      </c>
      <c r="U586" t="s">
        <v>163</v>
      </c>
      <c r="V586">
        <v>25.16</v>
      </c>
      <c r="W586" t="s">
        <v>165</v>
      </c>
      <c r="X586" t="s">
        <v>165</v>
      </c>
      <c r="Y586" t="s">
        <v>163</v>
      </c>
      <c r="Z586" t="s">
        <v>163</v>
      </c>
      <c r="AA586">
        <v>1</v>
      </c>
      <c r="AB586">
        <v>2</v>
      </c>
      <c r="AC586">
        <v>0</v>
      </c>
      <c r="AD586" t="s">
        <v>163</v>
      </c>
      <c r="AE586" t="s">
        <v>163</v>
      </c>
      <c r="AF586" t="s">
        <v>163</v>
      </c>
      <c r="AG586" t="s">
        <v>163</v>
      </c>
      <c r="AH586" t="s">
        <v>163</v>
      </c>
      <c r="AI586" t="s">
        <v>163</v>
      </c>
      <c r="AJ586" t="s">
        <v>163</v>
      </c>
      <c r="AK586">
        <v>3</v>
      </c>
      <c r="AL586">
        <v>4</v>
      </c>
      <c r="AM586">
        <v>1</v>
      </c>
      <c r="AN586">
        <v>1</v>
      </c>
      <c r="AO586">
        <v>1</v>
      </c>
      <c r="AP586">
        <v>3</v>
      </c>
      <c r="AQ586">
        <v>3</v>
      </c>
      <c r="AR586">
        <v>6</v>
      </c>
      <c r="AS586">
        <v>7</v>
      </c>
    </row>
    <row r="587" spans="1:45" x14ac:dyDescent="0.35">
      <c r="A587" s="337">
        <v>46266</v>
      </c>
      <c r="B587" s="337">
        <v>46268</v>
      </c>
      <c r="C587" s="337">
        <v>46262</v>
      </c>
      <c r="D587" t="s">
        <v>125</v>
      </c>
      <c r="E587" t="s">
        <v>238</v>
      </c>
      <c r="F587">
        <v>1</v>
      </c>
      <c r="G587" t="s">
        <v>158</v>
      </c>
      <c r="H587">
        <v>0.01</v>
      </c>
      <c r="I587" t="s">
        <v>165</v>
      </c>
      <c r="J587" t="s">
        <v>165</v>
      </c>
      <c r="K587" t="s">
        <v>165</v>
      </c>
      <c r="L587" t="s">
        <v>163</v>
      </c>
      <c r="M587" t="s">
        <v>163</v>
      </c>
      <c r="N587">
        <v>9.5299999999999994</v>
      </c>
      <c r="O587" t="s">
        <v>163</v>
      </c>
      <c r="P587" t="s">
        <v>163</v>
      </c>
      <c r="Q587" t="s">
        <v>163</v>
      </c>
      <c r="R587" t="s">
        <v>163</v>
      </c>
      <c r="S587" t="s">
        <v>163</v>
      </c>
      <c r="T587" t="s">
        <v>163</v>
      </c>
      <c r="U587" t="s">
        <v>163</v>
      </c>
      <c r="V587" t="s">
        <v>163</v>
      </c>
      <c r="W587" t="s">
        <v>165</v>
      </c>
      <c r="X587" t="s">
        <v>165</v>
      </c>
      <c r="Y587" t="s">
        <v>163</v>
      </c>
      <c r="Z587">
        <v>2</v>
      </c>
      <c r="AA587">
        <v>1</v>
      </c>
      <c r="AB587">
        <v>2</v>
      </c>
      <c r="AC587">
        <v>0</v>
      </c>
      <c r="AD587" t="s">
        <v>163</v>
      </c>
      <c r="AE587" t="s">
        <v>163</v>
      </c>
      <c r="AF587" t="s">
        <v>163</v>
      </c>
      <c r="AG587" t="s">
        <v>163</v>
      </c>
      <c r="AH587" t="s">
        <v>163</v>
      </c>
      <c r="AI587" t="s">
        <v>163</v>
      </c>
      <c r="AJ587" t="s">
        <v>163</v>
      </c>
      <c r="AK587">
        <v>5</v>
      </c>
      <c r="AL587">
        <v>6</v>
      </c>
      <c r="AM587" t="s">
        <v>163</v>
      </c>
      <c r="AN587">
        <v>1</v>
      </c>
      <c r="AO587">
        <v>1</v>
      </c>
      <c r="AP587">
        <v>2</v>
      </c>
      <c r="AQ587">
        <v>2</v>
      </c>
      <c r="AR587">
        <v>7</v>
      </c>
      <c r="AS587">
        <v>8</v>
      </c>
    </row>
    <row r="588" spans="1:45" x14ac:dyDescent="0.35">
      <c r="A588" s="337">
        <v>46266</v>
      </c>
      <c r="B588" s="337">
        <v>46268</v>
      </c>
      <c r="C588" s="337">
        <v>46262</v>
      </c>
      <c r="D588" t="s">
        <v>125</v>
      </c>
      <c r="E588" t="s">
        <v>328</v>
      </c>
      <c r="F588">
        <v>1</v>
      </c>
      <c r="G588" t="s">
        <v>158</v>
      </c>
      <c r="H588">
        <v>0.01</v>
      </c>
      <c r="I588" t="s">
        <v>165</v>
      </c>
      <c r="J588" t="s">
        <v>165</v>
      </c>
      <c r="K588" t="s">
        <v>165</v>
      </c>
      <c r="L588" t="s">
        <v>163</v>
      </c>
      <c r="M588" t="s">
        <v>163</v>
      </c>
      <c r="N588">
        <v>9.51</v>
      </c>
      <c r="O588" t="s">
        <v>163</v>
      </c>
      <c r="P588" t="s">
        <v>163</v>
      </c>
      <c r="Q588" t="s">
        <v>163</v>
      </c>
      <c r="R588" t="s">
        <v>163</v>
      </c>
      <c r="S588" t="s">
        <v>163</v>
      </c>
      <c r="T588" t="s">
        <v>163</v>
      </c>
      <c r="U588" t="s">
        <v>163</v>
      </c>
      <c r="V588" t="s">
        <v>163</v>
      </c>
      <c r="W588" t="s">
        <v>165</v>
      </c>
      <c r="X588" t="s">
        <v>165</v>
      </c>
      <c r="Y588" t="s">
        <v>163</v>
      </c>
      <c r="Z588">
        <v>2</v>
      </c>
      <c r="AA588">
        <v>1</v>
      </c>
      <c r="AB588">
        <v>2</v>
      </c>
      <c r="AC588">
        <v>0</v>
      </c>
      <c r="AD588" t="s">
        <v>163</v>
      </c>
      <c r="AE588" t="s">
        <v>163</v>
      </c>
      <c r="AF588" t="s">
        <v>163</v>
      </c>
      <c r="AG588" t="s">
        <v>163</v>
      </c>
      <c r="AH588" t="s">
        <v>163</v>
      </c>
      <c r="AI588" t="s">
        <v>163</v>
      </c>
      <c r="AJ588" t="s">
        <v>163</v>
      </c>
      <c r="AK588">
        <v>5</v>
      </c>
      <c r="AL588">
        <v>6</v>
      </c>
      <c r="AM588" t="s">
        <v>163</v>
      </c>
      <c r="AN588">
        <v>1</v>
      </c>
      <c r="AO588">
        <v>1</v>
      </c>
      <c r="AP588">
        <v>2</v>
      </c>
      <c r="AQ588">
        <v>2</v>
      </c>
      <c r="AR588">
        <v>7</v>
      </c>
      <c r="AS588">
        <v>8</v>
      </c>
    </row>
    <row r="589" spans="1:45" x14ac:dyDescent="0.35">
      <c r="A589" s="337">
        <v>46266</v>
      </c>
      <c r="B589" s="337">
        <v>46268</v>
      </c>
      <c r="C589" s="337">
        <v>46262</v>
      </c>
      <c r="D589" t="s">
        <v>125</v>
      </c>
      <c r="E589" t="s">
        <v>327</v>
      </c>
      <c r="F589">
        <v>1</v>
      </c>
      <c r="G589" t="s">
        <v>158</v>
      </c>
      <c r="H589">
        <v>0.02</v>
      </c>
      <c r="I589" t="s">
        <v>163</v>
      </c>
      <c r="J589" t="s">
        <v>165</v>
      </c>
      <c r="K589" t="s">
        <v>165</v>
      </c>
      <c r="L589" t="s">
        <v>163</v>
      </c>
      <c r="M589" t="s">
        <v>163</v>
      </c>
      <c r="N589">
        <v>9.82</v>
      </c>
      <c r="O589" t="s">
        <v>163</v>
      </c>
      <c r="P589" t="s">
        <v>163</v>
      </c>
      <c r="Q589" t="s">
        <v>163</v>
      </c>
      <c r="R589" t="s">
        <v>163</v>
      </c>
      <c r="S589" t="s">
        <v>163</v>
      </c>
      <c r="T589" t="s">
        <v>163</v>
      </c>
      <c r="U589" t="s">
        <v>163</v>
      </c>
      <c r="V589" t="s">
        <v>163</v>
      </c>
      <c r="W589" t="s">
        <v>165</v>
      </c>
      <c r="X589" t="s">
        <v>165</v>
      </c>
      <c r="Y589" t="s">
        <v>163</v>
      </c>
      <c r="Z589">
        <v>2</v>
      </c>
      <c r="AA589" t="s">
        <v>163</v>
      </c>
      <c r="AB589">
        <v>2</v>
      </c>
      <c r="AC589">
        <v>0</v>
      </c>
      <c r="AD589" t="s">
        <v>163</v>
      </c>
      <c r="AE589" t="s">
        <v>163</v>
      </c>
      <c r="AF589" t="s">
        <v>163</v>
      </c>
      <c r="AG589" t="s">
        <v>163</v>
      </c>
      <c r="AH589" t="s">
        <v>163</v>
      </c>
      <c r="AI589" t="s">
        <v>163</v>
      </c>
      <c r="AJ589" t="s">
        <v>163</v>
      </c>
      <c r="AK589">
        <v>4</v>
      </c>
      <c r="AL589">
        <v>5</v>
      </c>
      <c r="AM589" t="s">
        <v>163</v>
      </c>
      <c r="AN589">
        <v>1</v>
      </c>
      <c r="AO589">
        <v>1</v>
      </c>
      <c r="AP589">
        <v>2</v>
      </c>
      <c r="AQ589">
        <v>2</v>
      </c>
      <c r="AR589">
        <v>6</v>
      </c>
      <c r="AS589">
        <v>7</v>
      </c>
    </row>
    <row r="590" spans="1:45" x14ac:dyDescent="0.35">
      <c r="A590" s="337">
        <v>46266</v>
      </c>
      <c r="B590" s="337">
        <v>46268</v>
      </c>
      <c r="C590" s="337">
        <v>46262</v>
      </c>
      <c r="D590" t="s">
        <v>125</v>
      </c>
      <c r="E590" t="s">
        <v>240</v>
      </c>
      <c r="F590">
        <v>1</v>
      </c>
      <c r="G590" t="s">
        <v>158</v>
      </c>
      <c r="H590">
        <v>0.02</v>
      </c>
      <c r="I590" t="s">
        <v>165</v>
      </c>
      <c r="J590" t="s">
        <v>165</v>
      </c>
      <c r="K590" t="s">
        <v>165</v>
      </c>
      <c r="L590" t="s">
        <v>163</v>
      </c>
      <c r="M590" t="s">
        <v>163</v>
      </c>
      <c r="N590">
        <v>9.76</v>
      </c>
      <c r="O590" t="s">
        <v>163</v>
      </c>
      <c r="P590" t="s">
        <v>163</v>
      </c>
      <c r="Q590" t="s">
        <v>163</v>
      </c>
      <c r="R590" t="s">
        <v>163</v>
      </c>
      <c r="S590" t="s">
        <v>163</v>
      </c>
      <c r="T590" t="s">
        <v>163</v>
      </c>
      <c r="U590" t="s">
        <v>163</v>
      </c>
      <c r="V590" t="s">
        <v>163</v>
      </c>
      <c r="W590" t="s">
        <v>165</v>
      </c>
      <c r="X590" t="s">
        <v>165</v>
      </c>
      <c r="Y590" t="s">
        <v>163</v>
      </c>
      <c r="Z590">
        <v>2</v>
      </c>
      <c r="AA590">
        <v>1</v>
      </c>
      <c r="AB590">
        <v>2</v>
      </c>
      <c r="AC590">
        <v>0</v>
      </c>
      <c r="AD590" t="s">
        <v>163</v>
      </c>
      <c r="AE590" t="s">
        <v>163</v>
      </c>
      <c r="AF590" t="s">
        <v>163</v>
      </c>
      <c r="AG590" t="s">
        <v>163</v>
      </c>
      <c r="AH590" t="s">
        <v>163</v>
      </c>
      <c r="AI590" t="s">
        <v>163</v>
      </c>
      <c r="AJ590" t="s">
        <v>163</v>
      </c>
      <c r="AK590">
        <v>5</v>
      </c>
      <c r="AL590">
        <v>6</v>
      </c>
      <c r="AM590" t="s">
        <v>163</v>
      </c>
      <c r="AN590">
        <v>1</v>
      </c>
      <c r="AO590">
        <v>1</v>
      </c>
      <c r="AP590">
        <v>2</v>
      </c>
      <c r="AQ590">
        <v>2</v>
      </c>
      <c r="AR590">
        <v>7</v>
      </c>
      <c r="AS590">
        <v>8</v>
      </c>
    </row>
    <row r="591" spans="1:45" x14ac:dyDescent="0.35">
      <c r="A591" s="337">
        <v>46266</v>
      </c>
      <c r="B591" s="337">
        <v>46268</v>
      </c>
      <c r="C591" s="337">
        <v>46262</v>
      </c>
      <c r="D591" t="s">
        <v>125</v>
      </c>
      <c r="E591" t="s">
        <v>273</v>
      </c>
      <c r="F591">
        <v>1</v>
      </c>
      <c r="G591" t="s">
        <v>158</v>
      </c>
      <c r="H591">
        <v>0.01</v>
      </c>
      <c r="I591" t="s">
        <v>165</v>
      </c>
      <c r="J591" t="s">
        <v>165</v>
      </c>
      <c r="K591" t="s">
        <v>165</v>
      </c>
      <c r="L591" t="s">
        <v>163</v>
      </c>
      <c r="M591" t="s">
        <v>163</v>
      </c>
      <c r="N591">
        <v>9.56</v>
      </c>
      <c r="O591">
        <v>9.0399999999999991</v>
      </c>
      <c r="P591">
        <v>0.55000000000000004</v>
      </c>
      <c r="Q591">
        <v>55.4</v>
      </c>
      <c r="R591" t="s">
        <v>163</v>
      </c>
      <c r="S591" t="s">
        <v>163</v>
      </c>
      <c r="T591">
        <v>24.7</v>
      </c>
      <c r="U591" t="s">
        <v>163</v>
      </c>
      <c r="V591" t="s">
        <v>163</v>
      </c>
      <c r="W591" t="s">
        <v>165</v>
      </c>
      <c r="X591" t="s">
        <v>165</v>
      </c>
      <c r="Y591" t="s">
        <v>163</v>
      </c>
      <c r="Z591">
        <v>2</v>
      </c>
      <c r="AA591">
        <v>1</v>
      </c>
      <c r="AB591">
        <v>2</v>
      </c>
      <c r="AC591">
        <v>0</v>
      </c>
      <c r="AD591">
        <v>1</v>
      </c>
      <c r="AE591">
        <v>2</v>
      </c>
      <c r="AF591">
        <v>2</v>
      </c>
      <c r="AG591" t="s">
        <v>163</v>
      </c>
      <c r="AH591" t="s">
        <v>163</v>
      </c>
      <c r="AI591">
        <v>2</v>
      </c>
      <c r="AJ591" t="s">
        <v>163</v>
      </c>
      <c r="AK591">
        <v>12</v>
      </c>
      <c r="AL591">
        <v>13</v>
      </c>
      <c r="AM591" t="s">
        <v>163</v>
      </c>
      <c r="AN591">
        <v>1</v>
      </c>
      <c r="AO591">
        <v>1</v>
      </c>
      <c r="AP591">
        <v>2</v>
      </c>
      <c r="AQ591">
        <v>2</v>
      </c>
      <c r="AR591">
        <v>14</v>
      </c>
      <c r="AS591">
        <v>15</v>
      </c>
    </row>
    <row r="592" spans="1:45" x14ac:dyDescent="0.35">
      <c r="A592" s="337">
        <v>46266</v>
      </c>
      <c r="B592" s="337">
        <v>46268</v>
      </c>
      <c r="C592" s="337">
        <v>46261</v>
      </c>
      <c r="D592" t="s">
        <v>125</v>
      </c>
      <c r="E592" t="s">
        <v>239</v>
      </c>
      <c r="F592">
        <v>1</v>
      </c>
      <c r="G592" t="s">
        <v>158</v>
      </c>
      <c r="H592" t="s">
        <v>163</v>
      </c>
      <c r="I592" t="s">
        <v>165</v>
      </c>
      <c r="J592" t="s">
        <v>165</v>
      </c>
      <c r="K592" t="s">
        <v>165</v>
      </c>
      <c r="L592" t="s">
        <v>163</v>
      </c>
      <c r="M592" t="s">
        <v>163</v>
      </c>
      <c r="N592">
        <v>11.56</v>
      </c>
      <c r="O592" t="s">
        <v>163</v>
      </c>
      <c r="P592" t="s">
        <v>163</v>
      </c>
      <c r="Q592" t="s">
        <v>163</v>
      </c>
      <c r="R592" t="s">
        <v>163</v>
      </c>
      <c r="S592" t="s">
        <v>163</v>
      </c>
      <c r="T592" t="s">
        <v>163</v>
      </c>
      <c r="U592" t="s">
        <v>163</v>
      </c>
      <c r="V592" t="s">
        <v>163</v>
      </c>
      <c r="W592" t="s">
        <v>165</v>
      </c>
      <c r="X592" t="s">
        <v>165</v>
      </c>
      <c r="Y592" t="s">
        <v>163</v>
      </c>
      <c r="Z592" t="s">
        <v>163</v>
      </c>
      <c r="AA592">
        <v>1</v>
      </c>
      <c r="AB592">
        <v>2</v>
      </c>
      <c r="AC592">
        <v>1</v>
      </c>
      <c r="AD592" t="s">
        <v>163</v>
      </c>
      <c r="AE592" t="s">
        <v>163</v>
      </c>
      <c r="AF592" t="s">
        <v>163</v>
      </c>
      <c r="AG592" t="s">
        <v>163</v>
      </c>
      <c r="AH592" t="s">
        <v>163</v>
      </c>
      <c r="AI592" t="s">
        <v>163</v>
      </c>
      <c r="AJ592" t="s">
        <v>163</v>
      </c>
      <c r="AK592">
        <v>4</v>
      </c>
      <c r="AL592">
        <v>4</v>
      </c>
      <c r="AM592" t="s">
        <v>163</v>
      </c>
      <c r="AN592">
        <v>1</v>
      </c>
      <c r="AO592">
        <v>1</v>
      </c>
      <c r="AP592">
        <v>2</v>
      </c>
      <c r="AQ592">
        <v>2</v>
      </c>
      <c r="AR592">
        <v>6</v>
      </c>
      <c r="AS592">
        <v>6</v>
      </c>
    </row>
    <row r="593" spans="1:45" x14ac:dyDescent="0.35">
      <c r="A593" s="337">
        <v>46266</v>
      </c>
      <c r="B593" s="337">
        <v>46268</v>
      </c>
      <c r="C593" s="337">
        <v>46261</v>
      </c>
      <c r="D593" t="s">
        <v>125</v>
      </c>
      <c r="E593" t="s">
        <v>326</v>
      </c>
      <c r="F593">
        <v>1</v>
      </c>
      <c r="G593" t="s">
        <v>158</v>
      </c>
      <c r="H593">
        <v>0.01</v>
      </c>
      <c r="I593" t="s">
        <v>165</v>
      </c>
      <c r="J593" t="s">
        <v>165</v>
      </c>
      <c r="K593" t="s">
        <v>165</v>
      </c>
      <c r="L593" t="s">
        <v>163</v>
      </c>
      <c r="M593" t="s">
        <v>163</v>
      </c>
      <c r="N593">
        <v>11.93</v>
      </c>
      <c r="O593">
        <v>9.41</v>
      </c>
      <c r="P593">
        <v>0.51</v>
      </c>
      <c r="Q593">
        <v>54.1</v>
      </c>
      <c r="R593" t="s">
        <v>163</v>
      </c>
      <c r="S593" t="s">
        <v>163</v>
      </c>
      <c r="T593">
        <v>25.5</v>
      </c>
      <c r="U593" t="s">
        <v>163</v>
      </c>
      <c r="V593">
        <v>25.19</v>
      </c>
      <c r="W593" t="s">
        <v>165</v>
      </c>
      <c r="X593" t="s">
        <v>165</v>
      </c>
      <c r="Y593" t="s">
        <v>163</v>
      </c>
      <c r="Z593">
        <v>2</v>
      </c>
      <c r="AA593">
        <v>1</v>
      </c>
      <c r="AB593">
        <v>2</v>
      </c>
      <c r="AC593">
        <v>1</v>
      </c>
      <c r="AD593">
        <v>1</v>
      </c>
      <c r="AE593">
        <v>2</v>
      </c>
      <c r="AF593">
        <v>2</v>
      </c>
      <c r="AG593" t="s">
        <v>163</v>
      </c>
      <c r="AH593" t="s">
        <v>163</v>
      </c>
      <c r="AI593">
        <v>2</v>
      </c>
      <c r="AJ593" t="s">
        <v>163</v>
      </c>
      <c r="AK593">
        <v>13</v>
      </c>
      <c r="AL593">
        <v>13</v>
      </c>
      <c r="AM593">
        <v>1</v>
      </c>
      <c r="AN593">
        <v>1</v>
      </c>
      <c r="AO593">
        <v>1</v>
      </c>
      <c r="AP593">
        <v>3</v>
      </c>
      <c r="AQ593">
        <v>3</v>
      </c>
      <c r="AR593">
        <v>16</v>
      </c>
      <c r="AS593">
        <v>16</v>
      </c>
    </row>
    <row r="594" spans="1:45" x14ac:dyDescent="0.35">
      <c r="A594" s="337">
        <v>46266</v>
      </c>
      <c r="B594" s="337">
        <v>46267</v>
      </c>
      <c r="C594" s="339">
        <v>0</v>
      </c>
      <c r="D594" t="s">
        <v>130</v>
      </c>
      <c r="E594" s="338">
        <v>1.2083333333333333</v>
      </c>
      <c r="F594">
        <v>2</v>
      </c>
      <c r="G594" t="s">
        <v>132</v>
      </c>
      <c r="H594">
        <v>0.01</v>
      </c>
      <c r="I594" t="s">
        <v>165</v>
      </c>
      <c r="J594" t="s">
        <v>165</v>
      </c>
      <c r="K594" t="s">
        <v>165</v>
      </c>
      <c r="L594" t="s">
        <v>163</v>
      </c>
      <c r="M594" t="s">
        <v>161</v>
      </c>
      <c r="N594">
        <v>10.56</v>
      </c>
      <c r="O594" t="s">
        <v>163</v>
      </c>
      <c r="P594" t="s">
        <v>163</v>
      </c>
      <c r="Q594" t="s">
        <v>163</v>
      </c>
      <c r="R594" t="s">
        <v>163</v>
      </c>
      <c r="S594" t="s">
        <v>163</v>
      </c>
      <c r="T594" t="s">
        <v>163</v>
      </c>
      <c r="U594" t="s">
        <v>163</v>
      </c>
      <c r="V594" t="s">
        <v>163</v>
      </c>
      <c r="W594" t="s">
        <v>165</v>
      </c>
      <c r="X594" t="s">
        <v>165</v>
      </c>
      <c r="Y594" t="s">
        <v>163</v>
      </c>
      <c r="Z594">
        <v>2</v>
      </c>
      <c r="AA594">
        <v>1</v>
      </c>
      <c r="AB594">
        <v>2</v>
      </c>
      <c r="AC594">
        <v>0</v>
      </c>
      <c r="AD594" t="s">
        <v>163</v>
      </c>
      <c r="AE594" t="s">
        <v>163</v>
      </c>
      <c r="AF594" t="s">
        <v>163</v>
      </c>
      <c r="AG594" t="s">
        <v>163</v>
      </c>
      <c r="AH594" t="s">
        <v>163</v>
      </c>
      <c r="AI594" t="s">
        <v>163</v>
      </c>
      <c r="AJ594" t="s">
        <v>163</v>
      </c>
      <c r="AK594">
        <v>5</v>
      </c>
      <c r="AL594">
        <v>6</v>
      </c>
      <c r="AM594" t="s">
        <v>163</v>
      </c>
      <c r="AN594">
        <v>1</v>
      </c>
      <c r="AO594">
        <v>1</v>
      </c>
      <c r="AP594">
        <v>2</v>
      </c>
      <c r="AQ594">
        <v>2</v>
      </c>
      <c r="AR594">
        <v>7</v>
      </c>
      <c r="AS594">
        <v>8</v>
      </c>
    </row>
    <row r="595" spans="1:45" x14ac:dyDescent="0.35">
      <c r="A595" s="337">
        <v>46266</v>
      </c>
      <c r="B595" s="337">
        <v>46267</v>
      </c>
      <c r="C595" s="339">
        <v>0</v>
      </c>
      <c r="D595" t="s">
        <v>130</v>
      </c>
      <c r="E595" s="338">
        <v>1.1666666666666667</v>
      </c>
      <c r="F595">
        <v>2</v>
      </c>
      <c r="G595" t="s">
        <v>132</v>
      </c>
      <c r="H595">
        <v>0.01</v>
      </c>
      <c r="I595" t="s">
        <v>165</v>
      </c>
      <c r="J595" t="s">
        <v>165</v>
      </c>
      <c r="K595" t="s">
        <v>165</v>
      </c>
      <c r="L595" t="s">
        <v>163</v>
      </c>
      <c r="M595" t="s">
        <v>161</v>
      </c>
      <c r="N595">
        <v>10.7</v>
      </c>
      <c r="O595" t="s">
        <v>163</v>
      </c>
      <c r="P595" t="s">
        <v>163</v>
      </c>
      <c r="Q595" t="s">
        <v>163</v>
      </c>
      <c r="R595" t="s">
        <v>163</v>
      </c>
      <c r="S595" t="s">
        <v>163</v>
      </c>
      <c r="T595" t="s">
        <v>163</v>
      </c>
      <c r="U595" t="s">
        <v>163</v>
      </c>
      <c r="V595" t="s">
        <v>163</v>
      </c>
      <c r="W595" t="s">
        <v>165</v>
      </c>
      <c r="X595" t="s">
        <v>165</v>
      </c>
      <c r="Y595" t="s">
        <v>163</v>
      </c>
      <c r="Z595">
        <v>2</v>
      </c>
      <c r="AA595">
        <v>1</v>
      </c>
      <c r="AB595">
        <v>2</v>
      </c>
      <c r="AC595">
        <v>0</v>
      </c>
      <c r="AD595" t="s">
        <v>163</v>
      </c>
      <c r="AE595" t="s">
        <v>163</v>
      </c>
      <c r="AF595" t="s">
        <v>163</v>
      </c>
      <c r="AG595" t="s">
        <v>163</v>
      </c>
      <c r="AH595" t="s">
        <v>163</v>
      </c>
      <c r="AI595" t="s">
        <v>163</v>
      </c>
      <c r="AJ595" t="s">
        <v>163</v>
      </c>
      <c r="AK595">
        <v>5</v>
      </c>
      <c r="AL595">
        <v>6</v>
      </c>
      <c r="AM595" t="s">
        <v>163</v>
      </c>
      <c r="AN595">
        <v>1</v>
      </c>
      <c r="AO595">
        <v>1</v>
      </c>
      <c r="AP595">
        <v>2</v>
      </c>
      <c r="AQ595">
        <v>2</v>
      </c>
      <c r="AR595">
        <v>7</v>
      </c>
      <c r="AS595">
        <v>8</v>
      </c>
    </row>
    <row r="596" spans="1:45" x14ac:dyDescent="0.35">
      <c r="A596" s="337">
        <v>46266</v>
      </c>
      <c r="B596" s="337">
        <v>46267</v>
      </c>
      <c r="C596" s="337">
        <v>826</v>
      </c>
      <c r="D596" t="s">
        <v>130</v>
      </c>
      <c r="E596" s="338">
        <v>1.125</v>
      </c>
      <c r="F596">
        <v>2</v>
      </c>
      <c r="G596" t="s">
        <v>132</v>
      </c>
      <c r="H596">
        <v>0.01</v>
      </c>
      <c r="I596" t="s">
        <v>165</v>
      </c>
      <c r="J596" t="s">
        <v>165</v>
      </c>
      <c r="K596" t="s">
        <v>165</v>
      </c>
      <c r="L596" t="s">
        <v>163</v>
      </c>
      <c r="M596" t="s">
        <v>161</v>
      </c>
      <c r="N596">
        <v>10.72</v>
      </c>
      <c r="O596">
        <v>9.82</v>
      </c>
      <c r="P596" t="s">
        <v>163</v>
      </c>
      <c r="Q596">
        <v>56.1</v>
      </c>
      <c r="R596" t="s">
        <v>163</v>
      </c>
      <c r="S596" t="s">
        <v>163</v>
      </c>
      <c r="T596">
        <v>27.1</v>
      </c>
      <c r="U596" t="s">
        <v>163</v>
      </c>
      <c r="V596" t="s">
        <v>163</v>
      </c>
      <c r="W596" t="s">
        <v>165</v>
      </c>
      <c r="X596" t="s">
        <v>165</v>
      </c>
      <c r="Y596" t="s">
        <v>163</v>
      </c>
      <c r="Z596">
        <v>2</v>
      </c>
      <c r="AA596">
        <v>1</v>
      </c>
      <c r="AB596">
        <v>2</v>
      </c>
      <c r="AC596">
        <v>0</v>
      </c>
      <c r="AD596">
        <v>1</v>
      </c>
      <c r="AE596" t="s">
        <v>163</v>
      </c>
      <c r="AF596">
        <v>2</v>
      </c>
      <c r="AG596" t="s">
        <v>163</v>
      </c>
      <c r="AH596" t="s">
        <v>163</v>
      </c>
      <c r="AI596">
        <v>0</v>
      </c>
      <c r="AJ596" t="s">
        <v>163</v>
      </c>
      <c r="AK596">
        <v>8</v>
      </c>
      <c r="AL596">
        <v>11</v>
      </c>
      <c r="AM596" t="s">
        <v>163</v>
      </c>
      <c r="AN596">
        <v>1</v>
      </c>
      <c r="AO596">
        <v>1</v>
      </c>
      <c r="AP596">
        <v>2</v>
      </c>
      <c r="AQ596">
        <v>2</v>
      </c>
      <c r="AR596">
        <v>10</v>
      </c>
      <c r="AS596">
        <v>13</v>
      </c>
    </row>
    <row r="597" spans="1:45" x14ac:dyDescent="0.35">
      <c r="A597" s="337">
        <v>46266</v>
      </c>
      <c r="B597" s="337">
        <v>46267</v>
      </c>
      <c r="C597" s="339">
        <v>0</v>
      </c>
      <c r="D597" t="s">
        <v>130</v>
      </c>
      <c r="E597" s="338">
        <v>1.0833333333333333</v>
      </c>
      <c r="F597">
        <v>2</v>
      </c>
      <c r="G597" t="s">
        <v>123</v>
      </c>
      <c r="H597">
        <v>0.01</v>
      </c>
      <c r="I597" t="s">
        <v>165</v>
      </c>
      <c r="J597" t="s">
        <v>165</v>
      </c>
      <c r="K597" t="s">
        <v>165</v>
      </c>
      <c r="L597" t="s">
        <v>163</v>
      </c>
      <c r="M597" t="s">
        <v>163</v>
      </c>
      <c r="N597">
        <v>11.13</v>
      </c>
      <c r="O597" t="s">
        <v>163</v>
      </c>
      <c r="P597" t="s">
        <v>163</v>
      </c>
      <c r="Q597" t="s">
        <v>163</v>
      </c>
      <c r="R597" t="s">
        <v>163</v>
      </c>
      <c r="S597" t="s">
        <v>163</v>
      </c>
      <c r="T597" t="s">
        <v>163</v>
      </c>
      <c r="U597" t="s">
        <v>163</v>
      </c>
      <c r="V597" t="s">
        <v>163</v>
      </c>
      <c r="W597" t="s">
        <v>165</v>
      </c>
      <c r="X597" t="s">
        <v>165</v>
      </c>
      <c r="Y597" t="s">
        <v>418</v>
      </c>
      <c r="Z597">
        <v>2</v>
      </c>
      <c r="AA597">
        <v>1</v>
      </c>
      <c r="AB597">
        <v>2</v>
      </c>
      <c r="AC597">
        <v>1</v>
      </c>
      <c r="AD597" t="s">
        <v>163</v>
      </c>
      <c r="AE597" t="s">
        <v>163</v>
      </c>
      <c r="AF597" t="s">
        <v>163</v>
      </c>
      <c r="AG597" t="s">
        <v>163</v>
      </c>
      <c r="AH597" t="s">
        <v>163</v>
      </c>
      <c r="AI597" t="s">
        <v>163</v>
      </c>
      <c r="AJ597" t="s">
        <v>163</v>
      </c>
      <c r="AK597">
        <v>6</v>
      </c>
      <c r="AL597">
        <v>6</v>
      </c>
      <c r="AM597" t="s">
        <v>163</v>
      </c>
      <c r="AN597">
        <v>1</v>
      </c>
      <c r="AO597">
        <v>1</v>
      </c>
      <c r="AP597">
        <v>2</v>
      </c>
      <c r="AQ597">
        <v>2</v>
      </c>
      <c r="AR597">
        <v>8</v>
      </c>
      <c r="AS597">
        <v>8</v>
      </c>
    </row>
    <row r="598" spans="1:45" x14ac:dyDescent="0.35">
      <c r="A598" s="337">
        <v>46266</v>
      </c>
      <c r="B598" s="337">
        <v>46267</v>
      </c>
      <c r="C598" s="339">
        <v>0</v>
      </c>
      <c r="D598" t="s">
        <v>130</v>
      </c>
      <c r="E598" s="338">
        <v>1.0416666666666667</v>
      </c>
      <c r="F598">
        <v>2</v>
      </c>
      <c r="G598" t="s">
        <v>123</v>
      </c>
      <c r="H598" t="s">
        <v>163</v>
      </c>
      <c r="I598" t="s">
        <v>165</v>
      </c>
      <c r="J598" t="s">
        <v>165</v>
      </c>
      <c r="K598" t="s">
        <v>165</v>
      </c>
      <c r="L598" t="s">
        <v>163</v>
      </c>
      <c r="M598" t="s">
        <v>163</v>
      </c>
      <c r="N598">
        <v>11.53</v>
      </c>
      <c r="O598" t="s">
        <v>163</v>
      </c>
      <c r="P598" t="s">
        <v>163</v>
      </c>
      <c r="Q598" t="s">
        <v>163</v>
      </c>
      <c r="R598" t="s">
        <v>163</v>
      </c>
      <c r="S598" t="s">
        <v>163</v>
      </c>
      <c r="T598" t="s">
        <v>163</v>
      </c>
      <c r="U598" t="s">
        <v>163</v>
      </c>
      <c r="V598" t="s">
        <v>163</v>
      </c>
      <c r="W598" t="s">
        <v>165</v>
      </c>
      <c r="X598" t="s">
        <v>165</v>
      </c>
      <c r="Y598" t="s">
        <v>163</v>
      </c>
      <c r="Z598" t="s">
        <v>163</v>
      </c>
      <c r="AA598">
        <v>1</v>
      </c>
      <c r="AB598">
        <v>2</v>
      </c>
      <c r="AC598">
        <v>1</v>
      </c>
      <c r="AD598" t="s">
        <v>163</v>
      </c>
      <c r="AE598" t="s">
        <v>163</v>
      </c>
      <c r="AF598" t="s">
        <v>163</v>
      </c>
      <c r="AG598" t="s">
        <v>163</v>
      </c>
      <c r="AH598" t="s">
        <v>163</v>
      </c>
      <c r="AI598" t="s">
        <v>163</v>
      </c>
      <c r="AJ598" t="s">
        <v>163</v>
      </c>
      <c r="AK598">
        <v>4</v>
      </c>
      <c r="AL598">
        <v>4</v>
      </c>
      <c r="AM598" t="s">
        <v>163</v>
      </c>
      <c r="AN598">
        <v>1</v>
      </c>
      <c r="AO598">
        <v>1</v>
      </c>
      <c r="AP598">
        <v>2</v>
      </c>
      <c r="AQ598">
        <v>2</v>
      </c>
      <c r="AR598">
        <v>6</v>
      </c>
      <c r="AS598">
        <v>6</v>
      </c>
    </row>
    <row r="599" spans="1:45" x14ac:dyDescent="0.35">
      <c r="A599" s="337">
        <v>46266</v>
      </c>
      <c r="B599" s="337">
        <v>46267</v>
      </c>
      <c r="C599" s="339">
        <v>0</v>
      </c>
      <c r="D599" t="s">
        <v>130</v>
      </c>
      <c r="E599" s="337">
        <v>1</v>
      </c>
      <c r="F599">
        <v>2</v>
      </c>
      <c r="G599" t="s">
        <v>123</v>
      </c>
      <c r="H599" t="s">
        <v>163</v>
      </c>
      <c r="I599" t="s">
        <v>165</v>
      </c>
      <c r="J599" t="s">
        <v>165</v>
      </c>
      <c r="K599" t="s">
        <v>165</v>
      </c>
      <c r="L599" t="s">
        <v>163</v>
      </c>
      <c r="M599" t="s">
        <v>163</v>
      </c>
      <c r="N599">
        <v>12.08</v>
      </c>
      <c r="O599" t="s">
        <v>163</v>
      </c>
      <c r="P599" t="s">
        <v>163</v>
      </c>
      <c r="Q599" t="s">
        <v>163</v>
      </c>
      <c r="R599" t="s">
        <v>163</v>
      </c>
      <c r="S599" t="s">
        <v>163</v>
      </c>
      <c r="T599" t="s">
        <v>163</v>
      </c>
      <c r="U599" t="s">
        <v>163</v>
      </c>
      <c r="V599" t="s">
        <v>163</v>
      </c>
      <c r="W599" t="s">
        <v>165</v>
      </c>
      <c r="X599" t="s">
        <v>165</v>
      </c>
      <c r="Y599" t="s">
        <v>163</v>
      </c>
      <c r="Z599" t="s">
        <v>163</v>
      </c>
      <c r="AA599">
        <v>1</v>
      </c>
      <c r="AB599">
        <v>2</v>
      </c>
      <c r="AC599">
        <v>1</v>
      </c>
      <c r="AD599" t="s">
        <v>163</v>
      </c>
      <c r="AE599" t="s">
        <v>163</v>
      </c>
      <c r="AF599" t="s">
        <v>163</v>
      </c>
      <c r="AG599" t="s">
        <v>163</v>
      </c>
      <c r="AH599" t="s">
        <v>163</v>
      </c>
      <c r="AI599" t="s">
        <v>163</v>
      </c>
      <c r="AJ599" t="s">
        <v>163</v>
      </c>
      <c r="AK599">
        <v>4</v>
      </c>
      <c r="AL599">
        <v>4</v>
      </c>
      <c r="AM599" t="s">
        <v>163</v>
      </c>
      <c r="AN599">
        <v>1</v>
      </c>
      <c r="AO599">
        <v>1</v>
      </c>
      <c r="AP599">
        <v>2</v>
      </c>
      <c r="AQ599">
        <v>2</v>
      </c>
      <c r="AR599">
        <v>6</v>
      </c>
      <c r="AS599">
        <v>6</v>
      </c>
    </row>
    <row r="600" spans="1:45" x14ac:dyDescent="0.35">
      <c r="A600" s="337">
        <v>46266</v>
      </c>
      <c r="B600" s="337">
        <v>46267</v>
      </c>
      <c r="C600" s="337">
        <v>815</v>
      </c>
      <c r="D600" t="s">
        <v>130</v>
      </c>
      <c r="E600" s="339">
        <v>0.91666666666666663</v>
      </c>
      <c r="F600">
        <v>2</v>
      </c>
      <c r="G600" t="s">
        <v>123</v>
      </c>
      <c r="H600" t="s">
        <v>163</v>
      </c>
      <c r="I600" t="s">
        <v>165</v>
      </c>
      <c r="J600" t="s">
        <v>165</v>
      </c>
      <c r="K600" t="s">
        <v>165</v>
      </c>
      <c r="L600" t="s">
        <v>163</v>
      </c>
      <c r="M600" t="s">
        <v>163</v>
      </c>
      <c r="N600">
        <v>11.99</v>
      </c>
      <c r="O600" t="s">
        <v>163</v>
      </c>
      <c r="P600" t="s">
        <v>163</v>
      </c>
      <c r="Q600" t="s">
        <v>163</v>
      </c>
      <c r="R600" t="s">
        <v>163</v>
      </c>
      <c r="S600" t="s">
        <v>163</v>
      </c>
      <c r="T600" t="s">
        <v>163</v>
      </c>
      <c r="U600" t="s">
        <v>163</v>
      </c>
      <c r="V600" t="s">
        <v>163</v>
      </c>
      <c r="W600" t="s">
        <v>165</v>
      </c>
      <c r="X600" t="s">
        <v>165</v>
      </c>
      <c r="Y600" t="s">
        <v>163</v>
      </c>
      <c r="Z600" t="s">
        <v>163</v>
      </c>
      <c r="AA600">
        <v>1</v>
      </c>
      <c r="AB600">
        <v>2</v>
      </c>
      <c r="AC600">
        <v>1</v>
      </c>
      <c r="AD600" t="s">
        <v>163</v>
      </c>
      <c r="AE600" t="s">
        <v>163</v>
      </c>
      <c r="AF600" t="s">
        <v>163</v>
      </c>
      <c r="AG600" t="s">
        <v>163</v>
      </c>
      <c r="AH600" t="s">
        <v>163</v>
      </c>
      <c r="AI600" t="s">
        <v>163</v>
      </c>
      <c r="AJ600" t="s">
        <v>163</v>
      </c>
      <c r="AK600">
        <v>4</v>
      </c>
      <c r="AL600">
        <v>4</v>
      </c>
      <c r="AM600" t="s">
        <v>163</v>
      </c>
      <c r="AN600">
        <v>1</v>
      </c>
      <c r="AO600">
        <v>1</v>
      </c>
      <c r="AP600">
        <v>2</v>
      </c>
      <c r="AQ600">
        <v>2</v>
      </c>
      <c r="AR600">
        <v>6</v>
      </c>
      <c r="AS600">
        <v>6</v>
      </c>
    </row>
    <row r="601" spans="1:45" x14ac:dyDescent="0.35">
      <c r="A601" s="337">
        <v>46266</v>
      </c>
      <c r="B601" s="337">
        <v>46267</v>
      </c>
      <c r="C601" s="337">
        <v>46261</v>
      </c>
      <c r="D601" t="s">
        <v>130</v>
      </c>
      <c r="E601" s="338">
        <v>1.2083333333333333</v>
      </c>
      <c r="F601">
        <v>1</v>
      </c>
      <c r="G601" t="s">
        <v>158</v>
      </c>
      <c r="H601" t="s">
        <v>163</v>
      </c>
      <c r="I601" t="s">
        <v>165</v>
      </c>
      <c r="J601" t="s">
        <v>165</v>
      </c>
      <c r="K601" t="s">
        <v>165</v>
      </c>
      <c r="L601" t="s">
        <v>163</v>
      </c>
      <c r="M601" t="s">
        <v>163</v>
      </c>
      <c r="N601">
        <v>11.51</v>
      </c>
      <c r="O601" t="s">
        <v>163</v>
      </c>
      <c r="P601" t="s">
        <v>163</v>
      </c>
      <c r="Q601" t="s">
        <v>163</v>
      </c>
      <c r="R601" t="s">
        <v>163</v>
      </c>
      <c r="S601" t="s">
        <v>163</v>
      </c>
      <c r="T601" t="s">
        <v>163</v>
      </c>
      <c r="U601" t="s">
        <v>163</v>
      </c>
      <c r="V601" t="s">
        <v>163</v>
      </c>
      <c r="W601" t="s">
        <v>165</v>
      </c>
      <c r="X601" t="s">
        <v>165</v>
      </c>
      <c r="Y601" t="s">
        <v>163</v>
      </c>
      <c r="Z601" t="s">
        <v>163</v>
      </c>
      <c r="AA601">
        <v>1</v>
      </c>
      <c r="AB601">
        <v>2</v>
      </c>
      <c r="AC601">
        <v>1</v>
      </c>
      <c r="AD601" t="s">
        <v>163</v>
      </c>
      <c r="AE601" t="s">
        <v>163</v>
      </c>
      <c r="AF601" t="s">
        <v>163</v>
      </c>
      <c r="AG601" t="s">
        <v>163</v>
      </c>
      <c r="AH601" t="s">
        <v>163</v>
      </c>
      <c r="AI601" t="s">
        <v>163</v>
      </c>
      <c r="AJ601" t="s">
        <v>163</v>
      </c>
      <c r="AK601">
        <v>4</v>
      </c>
      <c r="AL601">
        <v>4</v>
      </c>
      <c r="AM601" t="s">
        <v>163</v>
      </c>
      <c r="AN601">
        <v>1</v>
      </c>
      <c r="AO601">
        <v>1</v>
      </c>
      <c r="AP601">
        <v>2</v>
      </c>
      <c r="AQ601">
        <v>2</v>
      </c>
      <c r="AR601">
        <v>6</v>
      </c>
      <c r="AS601">
        <v>6</v>
      </c>
    </row>
    <row r="602" spans="1:45" x14ac:dyDescent="0.35">
      <c r="A602" s="337">
        <v>46266</v>
      </c>
      <c r="B602" s="337">
        <v>46267</v>
      </c>
      <c r="C602" s="337">
        <v>46261</v>
      </c>
      <c r="D602" t="s">
        <v>130</v>
      </c>
      <c r="E602" s="338">
        <v>1.1666666666666667</v>
      </c>
      <c r="F602">
        <v>1</v>
      </c>
      <c r="G602" t="s">
        <v>158</v>
      </c>
      <c r="H602" t="s">
        <v>163</v>
      </c>
      <c r="I602" t="s">
        <v>165</v>
      </c>
      <c r="J602" t="s">
        <v>165</v>
      </c>
      <c r="K602" t="s">
        <v>165</v>
      </c>
      <c r="L602" t="s">
        <v>163</v>
      </c>
      <c r="M602" t="s">
        <v>163</v>
      </c>
      <c r="N602">
        <v>11.48</v>
      </c>
      <c r="O602" t="s">
        <v>163</v>
      </c>
      <c r="P602" t="s">
        <v>163</v>
      </c>
      <c r="Q602" t="s">
        <v>163</v>
      </c>
      <c r="R602" t="s">
        <v>163</v>
      </c>
      <c r="S602" t="s">
        <v>163</v>
      </c>
      <c r="T602" t="s">
        <v>163</v>
      </c>
      <c r="U602" t="s">
        <v>163</v>
      </c>
      <c r="V602" t="s">
        <v>163</v>
      </c>
      <c r="W602" t="s">
        <v>165</v>
      </c>
      <c r="X602" t="s">
        <v>165</v>
      </c>
      <c r="Y602" t="s">
        <v>163</v>
      </c>
      <c r="Z602" t="s">
        <v>163</v>
      </c>
      <c r="AA602">
        <v>1</v>
      </c>
      <c r="AB602">
        <v>2</v>
      </c>
      <c r="AC602">
        <v>1</v>
      </c>
      <c r="AD602" t="s">
        <v>163</v>
      </c>
      <c r="AE602" t="s">
        <v>163</v>
      </c>
      <c r="AF602" t="s">
        <v>163</v>
      </c>
      <c r="AG602" t="s">
        <v>163</v>
      </c>
      <c r="AH602" t="s">
        <v>163</v>
      </c>
      <c r="AI602" t="s">
        <v>163</v>
      </c>
      <c r="AJ602" t="s">
        <v>163</v>
      </c>
      <c r="AK602">
        <v>4</v>
      </c>
      <c r="AL602">
        <v>4</v>
      </c>
      <c r="AM602" t="s">
        <v>163</v>
      </c>
      <c r="AN602">
        <v>1</v>
      </c>
      <c r="AO602">
        <v>1</v>
      </c>
      <c r="AP602">
        <v>2</v>
      </c>
      <c r="AQ602">
        <v>2</v>
      </c>
      <c r="AR602">
        <v>6</v>
      </c>
      <c r="AS602">
        <v>6</v>
      </c>
    </row>
    <row r="603" spans="1:45" x14ac:dyDescent="0.35">
      <c r="A603" s="337">
        <v>46266</v>
      </c>
      <c r="B603" s="337">
        <v>46267</v>
      </c>
      <c r="C603" s="337">
        <v>46261</v>
      </c>
      <c r="D603" t="s">
        <v>130</v>
      </c>
      <c r="E603" s="338">
        <v>1.125</v>
      </c>
      <c r="F603">
        <v>1</v>
      </c>
      <c r="G603" t="s">
        <v>158</v>
      </c>
      <c r="H603" t="s">
        <v>163</v>
      </c>
      <c r="I603" t="s">
        <v>165</v>
      </c>
      <c r="J603" t="s">
        <v>165</v>
      </c>
      <c r="K603" t="s">
        <v>165</v>
      </c>
      <c r="L603" t="s">
        <v>163</v>
      </c>
      <c r="M603" t="s">
        <v>163</v>
      </c>
      <c r="N603">
        <v>11.24</v>
      </c>
      <c r="O603" t="s">
        <v>163</v>
      </c>
      <c r="P603" t="s">
        <v>163</v>
      </c>
      <c r="Q603" t="s">
        <v>163</v>
      </c>
      <c r="R603" t="s">
        <v>163</v>
      </c>
      <c r="S603" t="s">
        <v>163</v>
      </c>
      <c r="T603" t="s">
        <v>163</v>
      </c>
      <c r="U603" t="s">
        <v>163</v>
      </c>
      <c r="V603" t="s">
        <v>163</v>
      </c>
      <c r="W603" t="s">
        <v>165</v>
      </c>
      <c r="X603" t="s">
        <v>165</v>
      </c>
      <c r="Y603" t="s">
        <v>163</v>
      </c>
      <c r="Z603" t="s">
        <v>163</v>
      </c>
      <c r="AA603">
        <v>1</v>
      </c>
      <c r="AB603">
        <v>2</v>
      </c>
      <c r="AC603">
        <v>1</v>
      </c>
      <c r="AD603" t="s">
        <v>163</v>
      </c>
      <c r="AE603" t="s">
        <v>163</v>
      </c>
      <c r="AF603" t="s">
        <v>163</v>
      </c>
      <c r="AG603" t="s">
        <v>163</v>
      </c>
      <c r="AH603" t="s">
        <v>163</v>
      </c>
      <c r="AI603" t="s">
        <v>163</v>
      </c>
      <c r="AJ603" t="s">
        <v>163</v>
      </c>
      <c r="AK603">
        <v>4</v>
      </c>
      <c r="AL603">
        <v>4</v>
      </c>
      <c r="AM603" t="s">
        <v>163</v>
      </c>
      <c r="AN603">
        <v>1</v>
      </c>
      <c r="AO603">
        <v>1</v>
      </c>
      <c r="AP603">
        <v>2</v>
      </c>
      <c r="AQ603">
        <v>2</v>
      </c>
      <c r="AR603">
        <v>6</v>
      </c>
      <c r="AS603">
        <v>6</v>
      </c>
    </row>
    <row r="604" spans="1:45" x14ac:dyDescent="0.35">
      <c r="A604" s="337">
        <v>46266</v>
      </c>
      <c r="B604" s="337">
        <v>46267</v>
      </c>
      <c r="C604" s="337">
        <v>46261</v>
      </c>
      <c r="D604" t="s">
        <v>130</v>
      </c>
      <c r="E604" s="338">
        <v>1.0833333333333333</v>
      </c>
      <c r="F604">
        <v>1</v>
      </c>
      <c r="G604" t="s">
        <v>158</v>
      </c>
      <c r="H604" t="s">
        <v>163</v>
      </c>
      <c r="I604" t="s">
        <v>163</v>
      </c>
      <c r="J604" t="s">
        <v>165</v>
      </c>
      <c r="K604" t="s">
        <v>165</v>
      </c>
      <c r="L604" t="s">
        <v>163</v>
      </c>
      <c r="M604" t="s">
        <v>163</v>
      </c>
      <c r="N604">
        <v>11.41</v>
      </c>
      <c r="O604" t="s">
        <v>163</v>
      </c>
      <c r="P604" t="s">
        <v>163</v>
      </c>
      <c r="Q604" t="s">
        <v>163</v>
      </c>
      <c r="R604" t="s">
        <v>163</v>
      </c>
      <c r="S604" t="s">
        <v>163</v>
      </c>
      <c r="T604" t="s">
        <v>163</v>
      </c>
      <c r="U604" t="s">
        <v>163</v>
      </c>
      <c r="V604" t="s">
        <v>163</v>
      </c>
      <c r="W604" t="s">
        <v>165</v>
      </c>
      <c r="X604" t="s">
        <v>165</v>
      </c>
      <c r="Y604" t="s">
        <v>163</v>
      </c>
      <c r="Z604" t="s">
        <v>163</v>
      </c>
      <c r="AA604" t="s">
        <v>163</v>
      </c>
      <c r="AB604">
        <v>2</v>
      </c>
      <c r="AC604">
        <v>1</v>
      </c>
      <c r="AD604" t="s">
        <v>163</v>
      </c>
      <c r="AE604" t="s">
        <v>163</v>
      </c>
      <c r="AF604" t="s">
        <v>163</v>
      </c>
      <c r="AG604" t="s">
        <v>163</v>
      </c>
      <c r="AH604" t="s">
        <v>163</v>
      </c>
      <c r="AI604" t="s">
        <v>163</v>
      </c>
      <c r="AJ604" t="s">
        <v>163</v>
      </c>
      <c r="AK604">
        <v>3</v>
      </c>
      <c r="AL604">
        <v>3</v>
      </c>
      <c r="AM604" t="s">
        <v>163</v>
      </c>
      <c r="AN604">
        <v>1</v>
      </c>
      <c r="AO604">
        <v>1</v>
      </c>
      <c r="AP604">
        <v>2</v>
      </c>
      <c r="AQ604">
        <v>2</v>
      </c>
      <c r="AR604">
        <v>5</v>
      </c>
      <c r="AS604">
        <v>5</v>
      </c>
    </row>
    <row r="605" spans="1:45" x14ac:dyDescent="0.35">
      <c r="A605" s="337">
        <v>46266</v>
      </c>
      <c r="B605" s="337">
        <v>46267</v>
      </c>
      <c r="C605" s="337">
        <v>46261</v>
      </c>
      <c r="D605" t="s">
        <v>130</v>
      </c>
      <c r="E605" s="338">
        <v>1.0416666666666667</v>
      </c>
      <c r="F605">
        <v>1</v>
      </c>
      <c r="G605" t="s">
        <v>158</v>
      </c>
      <c r="H605" t="s">
        <v>163</v>
      </c>
      <c r="I605" t="s">
        <v>165</v>
      </c>
      <c r="J605" t="s">
        <v>165</v>
      </c>
      <c r="K605" t="s">
        <v>165</v>
      </c>
      <c r="L605" t="s">
        <v>163</v>
      </c>
      <c r="M605" t="s">
        <v>163</v>
      </c>
      <c r="N605">
        <v>11.14</v>
      </c>
      <c r="O605" t="s">
        <v>163</v>
      </c>
      <c r="P605" t="s">
        <v>163</v>
      </c>
      <c r="Q605" t="s">
        <v>163</v>
      </c>
      <c r="R605" t="s">
        <v>163</v>
      </c>
      <c r="S605" t="s">
        <v>163</v>
      </c>
      <c r="T605" t="s">
        <v>163</v>
      </c>
      <c r="U605" t="s">
        <v>163</v>
      </c>
      <c r="V605" t="s">
        <v>163</v>
      </c>
      <c r="W605" t="s">
        <v>165</v>
      </c>
      <c r="X605" t="s">
        <v>165</v>
      </c>
      <c r="Y605" t="s">
        <v>163</v>
      </c>
      <c r="Z605" t="s">
        <v>163</v>
      </c>
      <c r="AA605">
        <v>1</v>
      </c>
      <c r="AB605">
        <v>2</v>
      </c>
      <c r="AC605">
        <v>1</v>
      </c>
      <c r="AD605" t="s">
        <v>163</v>
      </c>
      <c r="AE605" t="s">
        <v>163</v>
      </c>
      <c r="AF605" t="s">
        <v>163</v>
      </c>
      <c r="AG605" t="s">
        <v>163</v>
      </c>
      <c r="AH605" t="s">
        <v>163</v>
      </c>
      <c r="AI605" t="s">
        <v>163</v>
      </c>
      <c r="AJ605" t="s">
        <v>163</v>
      </c>
      <c r="AK605">
        <v>4</v>
      </c>
      <c r="AL605">
        <v>4</v>
      </c>
      <c r="AM605" t="s">
        <v>163</v>
      </c>
      <c r="AN605">
        <v>1</v>
      </c>
      <c r="AO605">
        <v>1</v>
      </c>
      <c r="AP605">
        <v>2</v>
      </c>
      <c r="AQ605">
        <v>2</v>
      </c>
      <c r="AR605">
        <v>6</v>
      </c>
      <c r="AS605">
        <v>6</v>
      </c>
    </row>
    <row r="606" spans="1:45" x14ac:dyDescent="0.35">
      <c r="A606" s="337">
        <v>46266</v>
      </c>
      <c r="B606" s="337">
        <v>46267</v>
      </c>
      <c r="C606" s="337">
        <v>46261</v>
      </c>
      <c r="D606" t="s">
        <v>130</v>
      </c>
      <c r="E606" s="337">
        <v>1</v>
      </c>
      <c r="F606">
        <v>1</v>
      </c>
      <c r="G606" t="s">
        <v>158</v>
      </c>
      <c r="H606" t="s">
        <v>163</v>
      </c>
      <c r="I606" t="s">
        <v>165</v>
      </c>
      <c r="J606" t="s">
        <v>165</v>
      </c>
      <c r="K606" t="s">
        <v>165</v>
      </c>
      <c r="L606" t="s">
        <v>163</v>
      </c>
      <c r="M606" t="s">
        <v>163</v>
      </c>
      <c r="N606">
        <v>11.12</v>
      </c>
      <c r="O606" t="s">
        <v>163</v>
      </c>
      <c r="P606" t="s">
        <v>163</v>
      </c>
      <c r="Q606" t="s">
        <v>163</v>
      </c>
      <c r="R606" t="s">
        <v>163</v>
      </c>
      <c r="S606" t="s">
        <v>163</v>
      </c>
      <c r="T606" t="s">
        <v>163</v>
      </c>
      <c r="U606" t="s">
        <v>163</v>
      </c>
      <c r="V606" t="s">
        <v>163</v>
      </c>
      <c r="W606" t="s">
        <v>165</v>
      </c>
      <c r="X606" t="s">
        <v>165</v>
      </c>
      <c r="Y606" t="s">
        <v>163</v>
      </c>
      <c r="Z606" t="s">
        <v>163</v>
      </c>
      <c r="AA606">
        <v>1</v>
      </c>
      <c r="AB606">
        <v>2</v>
      </c>
      <c r="AC606">
        <v>1</v>
      </c>
      <c r="AD606" t="s">
        <v>163</v>
      </c>
      <c r="AE606" t="s">
        <v>163</v>
      </c>
      <c r="AF606" t="s">
        <v>163</v>
      </c>
      <c r="AG606" t="s">
        <v>163</v>
      </c>
      <c r="AH606" t="s">
        <v>163</v>
      </c>
      <c r="AI606" t="s">
        <v>163</v>
      </c>
      <c r="AJ606" t="s">
        <v>163</v>
      </c>
      <c r="AK606">
        <v>4</v>
      </c>
      <c r="AL606">
        <v>4</v>
      </c>
      <c r="AM606" t="s">
        <v>163</v>
      </c>
      <c r="AN606">
        <v>1</v>
      </c>
      <c r="AO606">
        <v>1</v>
      </c>
      <c r="AP606">
        <v>2</v>
      </c>
      <c r="AQ606">
        <v>2</v>
      </c>
      <c r="AR606">
        <v>6</v>
      </c>
      <c r="AS606">
        <v>6</v>
      </c>
    </row>
    <row r="607" spans="1:45" x14ac:dyDescent="0.35">
      <c r="A607" s="337">
        <v>46266</v>
      </c>
      <c r="B607" s="337">
        <v>46267</v>
      </c>
      <c r="C607" s="337">
        <v>46261</v>
      </c>
      <c r="D607" t="s">
        <v>130</v>
      </c>
      <c r="E607" s="339">
        <v>0.95833333333333337</v>
      </c>
      <c r="F607">
        <v>1</v>
      </c>
      <c r="G607" t="s">
        <v>158</v>
      </c>
      <c r="H607" t="s">
        <v>163</v>
      </c>
      <c r="I607" t="s">
        <v>165</v>
      </c>
      <c r="J607" t="s">
        <v>165</v>
      </c>
      <c r="K607" t="s">
        <v>165</v>
      </c>
      <c r="L607" t="s">
        <v>163</v>
      </c>
      <c r="M607" t="s">
        <v>163</v>
      </c>
      <c r="N607">
        <v>10.78</v>
      </c>
      <c r="O607">
        <v>9.65</v>
      </c>
      <c r="P607">
        <v>0.55000000000000004</v>
      </c>
      <c r="Q607">
        <v>55.6</v>
      </c>
      <c r="R607" t="s">
        <v>163</v>
      </c>
      <c r="S607" t="s">
        <v>163</v>
      </c>
      <c r="T607">
        <v>26.4</v>
      </c>
      <c r="U607" t="s">
        <v>163</v>
      </c>
      <c r="V607" t="s">
        <v>163</v>
      </c>
      <c r="W607" t="s">
        <v>165</v>
      </c>
      <c r="X607" t="s">
        <v>165</v>
      </c>
      <c r="Y607">
        <v>1</v>
      </c>
      <c r="Z607" t="s">
        <v>163</v>
      </c>
      <c r="AA607">
        <v>1</v>
      </c>
      <c r="AB607">
        <v>2</v>
      </c>
      <c r="AC607">
        <v>0</v>
      </c>
      <c r="AD607">
        <v>1</v>
      </c>
      <c r="AE607">
        <v>2</v>
      </c>
      <c r="AF607">
        <v>2</v>
      </c>
      <c r="AG607" t="s">
        <v>163</v>
      </c>
      <c r="AH607" t="s">
        <v>163</v>
      </c>
      <c r="AI607">
        <v>2</v>
      </c>
      <c r="AJ607" t="s">
        <v>163</v>
      </c>
      <c r="AK607">
        <v>10</v>
      </c>
      <c r="AL607">
        <v>11</v>
      </c>
      <c r="AM607" t="s">
        <v>163</v>
      </c>
      <c r="AN607">
        <v>1</v>
      </c>
      <c r="AO607">
        <v>1</v>
      </c>
      <c r="AP607">
        <v>2</v>
      </c>
      <c r="AQ607">
        <v>2</v>
      </c>
      <c r="AR607">
        <v>12</v>
      </c>
      <c r="AS607">
        <v>13</v>
      </c>
    </row>
    <row r="608" spans="1:45" x14ac:dyDescent="0.35">
      <c r="A608" s="337">
        <v>46266</v>
      </c>
      <c r="B608" s="337">
        <v>46267</v>
      </c>
      <c r="C608" s="337">
        <v>46261</v>
      </c>
      <c r="D608" t="s">
        <v>130</v>
      </c>
      <c r="E608" s="339">
        <v>0.91666666666666663</v>
      </c>
      <c r="F608">
        <v>1</v>
      </c>
      <c r="G608" t="s">
        <v>138</v>
      </c>
      <c r="H608" t="s">
        <v>163</v>
      </c>
      <c r="I608" t="s">
        <v>165</v>
      </c>
      <c r="J608" t="s">
        <v>165</v>
      </c>
      <c r="K608" t="s">
        <v>165</v>
      </c>
      <c r="L608" t="s">
        <v>163</v>
      </c>
      <c r="M608" t="s">
        <v>161</v>
      </c>
      <c r="N608">
        <v>10.85</v>
      </c>
      <c r="O608">
        <v>9.91</v>
      </c>
      <c r="P608" t="s">
        <v>163</v>
      </c>
      <c r="Q608" t="s">
        <v>163</v>
      </c>
      <c r="R608" t="s">
        <v>163</v>
      </c>
      <c r="S608" t="s">
        <v>163</v>
      </c>
      <c r="T608">
        <v>27.4</v>
      </c>
      <c r="U608" t="s">
        <v>163</v>
      </c>
      <c r="V608" t="s">
        <v>163</v>
      </c>
      <c r="W608" t="s">
        <v>165</v>
      </c>
      <c r="X608" t="s">
        <v>165</v>
      </c>
      <c r="Y608">
        <v>1</v>
      </c>
      <c r="Z608" t="s">
        <v>163</v>
      </c>
      <c r="AA608">
        <v>1</v>
      </c>
      <c r="AB608">
        <v>2</v>
      </c>
      <c r="AC608">
        <v>0</v>
      </c>
      <c r="AD608">
        <v>0</v>
      </c>
      <c r="AE608" t="s">
        <v>163</v>
      </c>
      <c r="AF608" t="s">
        <v>163</v>
      </c>
      <c r="AG608" t="s">
        <v>163</v>
      </c>
      <c r="AH608" t="s">
        <v>163</v>
      </c>
      <c r="AI608">
        <v>2</v>
      </c>
      <c r="AJ608" t="s">
        <v>163</v>
      </c>
      <c r="AK608">
        <v>5</v>
      </c>
      <c r="AL608">
        <v>7</v>
      </c>
      <c r="AM608" t="s">
        <v>163</v>
      </c>
      <c r="AN608">
        <v>1</v>
      </c>
      <c r="AO608">
        <v>1</v>
      </c>
      <c r="AP608">
        <v>2</v>
      </c>
      <c r="AQ608">
        <v>2</v>
      </c>
      <c r="AR608">
        <v>7</v>
      </c>
      <c r="AS608">
        <v>9</v>
      </c>
    </row>
    <row r="609" spans="1:45" x14ac:dyDescent="0.35">
      <c r="A609" s="337">
        <v>46266</v>
      </c>
      <c r="B609" s="337">
        <v>46267</v>
      </c>
      <c r="C609" s="337">
        <v>46267</v>
      </c>
      <c r="D609" t="s">
        <v>128</v>
      </c>
      <c r="E609" s="339">
        <v>0.83333333333333337</v>
      </c>
      <c r="F609" t="s">
        <v>383</v>
      </c>
      <c r="G609" t="s">
        <v>171</v>
      </c>
      <c r="H609" t="s">
        <v>163</v>
      </c>
      <c r="I609" t="s">
        <v>163</v>
      </c>
      <c r="J609" t="s">
        <v>163</v>
      </c>
      <c r="K609" t="s">
        <v>163</v>
      </c>
      <c r="L609" t="s">
        <v>163</v>
      </c>
      <c r="M609" t="s">
        <v>163</v>
      </c>
      <c r="N609">
        <v>12.57</v>
      </c>
      <c r="O609" t="s">
        <v>163</v>
      </c>
      <c r="P609" t="s">
        <v>163</v>
      </c>
      <c r="Q609" t="s">
        <v>163</v>
      </c>
      <c r="R609" t="s">
        <v>163</v>
      </c>
      <c r="S609" t="s">
        <v>163</v>
      </c>
      <c r="T609" t="s">
        <v>163</v>
      </c>
      <c r="U609" t="s">
        <v>163</v>
      </c>
      <c r="V609" t="s">
        <v>163</v>
      </c>
      <c r="W609" t="s">
        <v>163</v>
      </c>
      <c r="X609" t="s">
        <v>163</v>
      </c>
      <c r="Y609" t="s">
        <v>163</v>
      </c>
      <c r="Z609" t="s">
        <v>163</v>
      </c>
      <c r="AA609" t="s">
        <v>163</v>
      </c>
      <c r="AB609" t="s">
        <v>163</v>
      </c>
      <c r="AC609">
        <v>1</v>
      </c>
      <c r="AD609" t="s">
        <v>163</v>
      </c>
      <c r="AE609" t="s">
        <v>163</v>
      </c>
      <c r="AF609" t="s">
        <v>163</v>
      </c>
      <c r="AG609" t="s">
        <v>163</v>
      </c>
      <c r="AH609" t="s">
        <v>163</v>
      </c>
      <c r="AI609" t="s">
        <v>163</v>
      </c>
      <c r="AJ609" t="s">
        <v>163</v>
      </c>
      <c r="AK609">
        <v>1</v>
      </c>
      <c r="AL609">
        <v>1</v>
      </c>
      <c r="AM609" t="s">
        <v>163</v>
      </c>
      <c r="AN609" t="s">
        <v>163</v>
      </c>
      <c r="AO609" t="s">
        <v>163</v>
      </c>
      <c r="AP609">
        <v>0</v>
      </c>
      <c r="AQ609">
        <v>0</v>
      </c>
      <c r="AR609">
        <v>1</v>
      </c>
      <c r="AS609">
        <v>1</v>
      </c>
    </row>
    <row r="610" spans="1:45" x14ac:dyDescent="0.35">
      <c r="A610" s="337">
        <v>46266</v>
      </c>
      <c r="B610" s="337">
        <v>46267</v>
      </c>
      <c r="C610" s="337">
        <v>46259</v>
      </c>
      <c r="D610" t="s">
        <v>128</v>
      </c>
      <c r="E610" s="339">
        <v>0.58333333333333337</v>
      </c>
      <c r="F610">
        <v>3</v>
      </c>
      <c r="G610" t="s">
        <v>119</v>
      </c>
      <c r="H610">
        <v>0.01</v>
      </c>
      <c r="I610" t="s">
        <v>165</v>
      </c>
      <c r="J610" t="s">
        <v>165</v>
      </c>
      <c r="K610" t="s">
        <v>165</v>
      </c>
      <c r="L610" t="s">
        <v>161</v>
      </c>
      <c r="M610" t="s">
        <v>161</v>
      </c>
      <c r="N610">
        <v>11.88</v>
      </c>
      <c r="O610">
        <v>12.47</v>
      </c>
      <c r="P610" t="s">
        <v>163</v>
      </c>
      <c r="Q610" t="s">
        <v>163</v>
      </c>
      <c r="R610" t="s">
        <v>163</v>
      </c>
      <c r="S610" t="s">
        <v>163</v>
      </c>
      <c r="T610">
        <v>34.9</v>
      </c>
      <c r="U610" t="s">
        <v>163</v>
      </c>
      <c r="V610" t="s">
        <v>163</v>
      </c>
      <c r="W610" t="s">
        <v>165</v>
      </c>
      <c r="X610" t="s">
        <v>165</v>
      </c>
      <c r="Y610" t="s">
        <v>419</v>
      </c>
      <c r="Z610">
        <v>2</v>
      </c>
      <c r="AA610">
        <v>1</v>
      </c>
      <c r="AB610">
        <v>2</v>
      </c>
      <c r="AC610">
        <v>0</v>
      </c>
      <c r="AD610">
        <v>1</v>
      </c>
      <c r="AE610" t="s">
        <v>163</v>
      </c>
      <c r="AF610" t="s">
        <v>163</v>
      </c>
      <c r="AG610" t="s">
        <v>163</v>
      </c>
      <c r="AH610" t="s">
        <v>163</v>
      </c>
      <c r="AI610">
        <v>2</v>
      </c>
      <c r="AJ610" t="s">
        <v>163</v>
      </c>
      <c r="AK610">
        <v>8</v>
      </c>
      <c r="AL610">
        <v>9</v>
      </c>
      <c r="AM610" t="s">
        <v>163</v>
      </c>
      <c r="AN610">
        <v>1</v>
      </c>
      <c r="AO610">
        <v>1</v>
      </c>
      <c r="AP610">
        <v>2</v>
      </c>
      <c r="AQ610">
        <v>2</v>
      </c>
      <c r="AR610">
        <v>10</v>
      </c>
      <c r="AS610">
        <v>11</v>
      </c>
    </row>
    <row r="611" spans="1:45" x14ac:dyDescent="0.35">
      <c r="A611" s="337">
        <v>46266</v>
      </c>
      <c r="B611" s="337">
        <v>46267</v>
      </c>
      <c r="C611" s="339">
        <v>0</v>
      </c>
      <c r="D611" t="s">
        <v>128</v>
      </c>
      <c r="E611" s="339">
        <v>0.875</v>
      </c>
      <c r="F611">
        <v>2</v>
      </c>
      <c r="G611" t="s">
        <v>123</v>
      </c>
      <c r="H611" t="s">
        <v>163</v>
      </c>
      <c r="I611" t="s">
        <v>165</v>
      </c>
      <c r="J611" t="s">
        <v>165</v>
      </c>
      <c r="K611" t="s">
        <v>165</v>
      </c>
      <c r="L611" t="s">
        <v>163</v>
      </c>
      <c r="M611" t="s">
        <v>163</v>
      </c>
      <c r="N611">
        <v>12.09</v>
      </c>
      <c r="O611" t="s">
        <v>163</v>
      </c>
      <c r="P611" t="s">
        <v>163</v>
      </c>
      <c r="Q611" t="s">
        <v>163</v>
      </c>
      <c r="R611" t="s">
        <v>163</v>
      </c>
      <c r="S611" t="s">
        <v>163</v>
      </c>
      <c r="T611" t="s">
        <v>163</v>
      </c>
      <c r="U611" t="s">
        <v>163</v>
      </c>
      <c r="V611" t="s">
        <v>163</v>
      </c>
      <c r="W611" t="s">
        <v>165</v>
      </c>
      <c r="X611" t="s">
        <v>165</v>
      </c>
      <c r="Y611" t="s">
        <v>163</v>
      </c>
      <c r="Z611" t="s">
        <v>163</v>
      </c>
      <c r="AA611">
        <v>1</v>
      </c>
      <c r="AB611">
        <v>2</v>
      </c>
      <c r="AC611">
        <v>1</v>
      </c>
      <c r="AD611" t="s">
        <v>163</v>
      </c>
      <c r="AE611" t="s">
        <v>163</v>
      </c>
      <c r="AF611" t="s">
        <v>163</v>
      </c>
      <c r="AG611" t="s">
        <v>163</v>
      </c>
      <c r="AH611" t="s">
        <v>163</v>
      </c>
      <c r="AI611" t="s">
        <v>163</v>
      </c>
      <c r="AJ611" t="s">
        <v>163</v>
      </c>
      <c r="AK611">
        <v>4</v>
      </c>
      <c r="AL611">
        <v>4</v>
      </c>
      <c r="AM611" t="s">
        <v>163</v>
      </c>
      <c r="AN611">
        <v>1</v>
      </c>
      <c r="AO611">
        <v>1</v>
      </c>
      <c r="AP611">
        <v>2</v>
      </c>
      <c r="AQ611">
        <v>2</v>
      </c>
      <c r="AR611">
        <v>6</v>
      </c>
      <c r="AS611">
        <v>6</v>
      </c>
    </row>
    <row r="612" spans="1:45" x14ac:dyDescent="0.35">
      <c r="A612" s="337">
        <v>46266</v>
      </c>
      <c r="B612" s="337">
        <v>46267</v>
      </c>
      <c r="C612" s="339">
        <v>0</v>
      </c>
      <c r="D612" t="s">
        <v>128</v>
      </c>
      <c r="E612" s="339">
        <v>0.83333333333333337</v>
      </c>
      <c r="F612">
        <v>2</v>
      </c>
      <c r="G612" t="s">
        <v>123</v>
      </c>
      <c r="H612" t="s">
        <v>163</v>
      </c>
      <c r="I612" t="s">
        <v>165</v>
      </c>
      <c r="J612" t="s">
        <v>165</v>
      </c>
      <c r="K612" t="s">
        <v>165</v>
      </c>
      <c r="L612" t="s">
        <v>163</v>
      </c>
      <c r="M612" t="s">
        <v>163</v>
      </c>
      <c r="N612">
        <v>12.29</v>
      </c>
      <c r="O612" t="s">
        <v>163</v>
      </c>
      <c r="P612" t="s">
        <v>163</v>
      </c>
      <c r="Q612" t="s">
        <v>163</v>
      </c>
      <c r="R612" t="s">
        <v>163</v>
      </c>
      <c r="S612" t="s">
        <v>163</v>
      </c>
      <c r="T612" t="s">
        <v>163</v>
      </c>
      <c r="U612" t="s">
        <v>163</v>
      </c>
      <c r="V612" t="s">
        <v>163</v>
      </c>
      <c r="W612" t="s">
        <v>165</v>
      </c>
      <c r="X612" t="s">
        <v>165</v>
      </c>
      <c r="Y612" t="s">
        <v>163</v>
      </c>
      <c r="Z612" t="s">
        <v>163</v>
      </c>
      <c r="AA612">
        <v>1</v>
      </c>
      <c r="AB612">
        <v>2</v>
      </c>
      <c r="AC612">
        <v>1</v>
      </c>
      <c r="AD612" t="s">
        <v>163</v>
      </c>
      <c r="AE612" t="s">
        <v>163</v>
      </c>
      <c r="AF612" t="s">
        <v>163</v>
      </c>
      <c r="AG612" t="s">
        <v>163</v>
      </c>
      <c r="AH612" t="s">
        <v>163</v>
      </c>
      <c r="AI612" t="s">
        <v>163</v>
      </c>
      <c r="AJ612" t="s">
        <v>163</v>
      </c>
      <c r="AK612">
        <v>4</v>
      </c>
      <c r="AL612">
        <v>4</v>
      </c>
      <c r="AM612" t="s">
        <v>163</v>
      </c>
      <c r="AN612">
        <v>1</v>
      </c>
      <c r="AO612">
        <v>1</v>
      </c>
      <c r="AP612">
        <v>2</v>
      </c>
      <c r="AQ612">
        <v>2</v>
      </c>
      <c r="AR612">
        <v>6</v>
      </c>
      <c r="AS612">
        <v>6</v>
      </c>
    </row>
    <row r="613" spans="1:45" x14ac:dyDescent="0.35">
      <c r="A613" s="337">
        <v>46266</v>
      </c>
      <c r="B613" s="337">
        <v>46267</v>
      </c>
      <c r="C613" s="339">
        <v>0</v>
      </c>
      <c r="D613" t="s">
        <v>128</v>
      </c>
      <c r="E613" s="339">
        <v>0.79166666666666663</v>
      </c>
      <c r="F613">
        <v>2</v>
      </c>
      <c r="G613" t="s">
        <v>123</v>
      </c>
      <c r="H613" t="s">
        <v>163</v>
      </c>
      <c r="I613" t="s">
        <v>165</v>
      </c>
      <c r="J613" t="s">
        <v>165</v>
      </c>
      <c r="K613" t="s">
        <v>165</v>
      </c>
      <c r="L613" t="s">
        <v>163</v>
      </c>
      <c r="M613" t="s">
        <v>163</v>
      </c>
      <c r="N613">
        <v>11.82</v>
      </c>
      <c r="O613" t="s">
        <v>163</v>
      </c>
      <c r="P613" t="s">
        <v>163</v>
      </c>
      <c r="Q613" t="s">
        <v>163</v>
      </c>
      <c r="R613" t="s">
        <v>163</v>
      </c>
      <c r="S613" t="s">
        <v>163</v>
      </c>
      <c r="T613" t="s">
        <v>163</v>
      </c>
      <c r="U613" t="s">
        <v>163</v>
      </c>
      <c r="V613" t="s">
        <v>163</v>
      </c>
      <c r="W613" t="s">
        <v>165</v>
      </c>
      <c r="X613" t="s">
        <v>165</v>
      </c>
      <c r="Y613" t="s">
        <v>163</v>
      </c>
      <c r="Z613" t="s">
        <v>163</v>
      </c>
      <c r="AA613">
        <v>1</v>
      </c>
      <c r="AB613">
        <v>2</v>
      </c>
      <c r="AC613">
        <v>1</v>
      </c>
      <c r="AD613" t="s">
        <v>163</v>
      </c>
      <c r="AE613" t="s">
        <v>163</v>
      </c>
      <c r="AF613" t="s">
        <v>163</v>
      </c>
      <c r="AG613" t="s">
        <v>163</v>
      </c>
      <c r="AH613" t="s">
        <v>163</v>
      </c>
      <c r="AI613" t="s">
        <v>163</v>
      </c>
      <c r="AJ613" t="s">
        <v>163</v>
      </c>
      <c r="AK613">
        <v>4</v>
      </c>
      <c r="AL613">
        <v>4</v>
      </c>
      <c r="AM613" t="s">
        <v>163</v>
      </c>
      <c r="AN613">
        <v>1</v>
      </c>
      <c r="AO613">
        <v>1</v>
      </c>
      <c r="AP613">
        <v>2</v>
      </c>
      <c r="AQ613">
        <v>2</v>
      </c>
      <c r="AR613">
        <v>6</v>
      </c>
      <c r="AS613">
        <v>6</v>
      </c>
    </row>
    <row r="614" spans="1:45" x14ac:dyDescent="0.35">
      <c r="A614" s="337">
        <v>46266</v>
      </c>
      <c r="B614" s="337">
        <v>46267</v>
      </c>
      <c r="C614" s="339">
        <v>0</v>
      </c>
      <c r="D614" t="s">
        <v>128</v>
      </c>
      <c r="E614" s="339">
        <v>0.75</v>
      </c>
      <c r="F614">
        <v>2</v>
      </c>
      <c r="G614" t="s">
        <v>123</v>
      </c>
      <c r="H614" t="s">
        <v>163</v>
      </c>
      <c r="I614" t="s">
        <v>165</v>
      </c>
      <c r="J614" t="s">
        <v>165</v>
      </c>
      <c r="K614" t="s">
        <v>165</v>
      </c>
      <c r="L614" t="s">
        <v>163</v>
      </c>
      <c r="M614" t="s">
        <v>163</v>
      </c>
      <c r="N614">
        <v>11.97</v>
      </c>
      <c r="O614" t="s">
        <v>163</v>
      </c>
      <c r="P614" t="s">
        <v>163</v>
      </c>
      <c r="Q614" t="s">
        <v>163</v>
      </c>
      <c r="R614" t="s">
        <v>163</v>
      </c>
      <c r="S614" t="s">
        <v>163</v>
      </c>
      <c r="T614" t="s">
        <v>163</v>
      </c>
      <c r="U614" t="s">
        <v>163</v>
      </c>
      <c r="V614" t="s">
        <v>163</v>
      </c>
      <c r="W614" t="s">
        <v>165</v>
      </c>
      <c r="X614" t="s">
        <v>165</v>
      </c>
      <c r="Y614" t="s">
        <v>163</v>
      </c>
      <c r="Z614" t="s">
        <v>163</v>
      </c>
      <c r="AA614">
        <v>1</v>
      </c>
      <c r="AB614">
        <v>2</v>
      </c>
      <c r="AC614">
        <v>1</v>
      </c>
      <c r="AD614" t="s">
        <v>163</v>
      </c>
      <c r="AE614" t="s">
        <v>163</v>
      </c>
      <c r="AF614" t="s">
        <v>163</v>
      </c>
      <c r="AG614" t="s">
        <v>163</v>
      </c>
      <c r="AH614" t="s">
        <v>163</v>
      </c>
      <c r="AI614" t="s">
        <v>163</v>
      </c>
      <c r="AJ614" t="s">
        <v>163</v>
      </c>
      <c r="AK614">
        <v>4</v>
      </c>
      <c r="AL614">
        <v>4</v>
      </c>
      <c r="AM614" t="s">
        <v>163</v>
      </c>
      <c r="AN614">
        <v>1</v>
      </c>
      <c r="AO614">
        <v>1</v>
      </c>
      <c r="AP614">
        <v>2</v>
      </c>
      <c r="AQ614">
        <v>2</v>
      </c>
      <c r="AR614">
        <v>6</v>
      </c>
      <c r="AS614">
        <v>6</v>
      </c>
    </row>
    <row r="615" spans="1:45" x14ac:dyDescent="0.35">
      <c r="A615" s="337">
        <v>46266</v>
      </c>
      <c r="B615" s="337">
        <v>46267</v>
      </c>
      <c r="C615" s="339">
        <v>0</v>
      </c>
      <c r="D615" t="s">
        <v>128</v>
      </c>
      <c r="E615" s="339">
        <v>0.625</v>
      </c>
      <c r="F615">
        <v>2</v>
      </c>
      <c r="G615" t="s">
        <v>123</v>
      </c>
      <c r="H615" t="s">
        <v>163</v>
      </c>
      <c r="I615" t="s">
        <v>165</v>
      </c>
      <c r="J615" t="s">
        <v>165</v>
      </c>
      <c r="K615" t="s">
        <v>165</v>
      </c>
      <c r="L615" t="s">
        <v>163</v>
      </c>
      <c r="M615" t="s">
        <v>163</v>
      </c>
      <c r="N615">
        <v>11.66</v>
      </c>
      <c r="O615" t="s">
        <v>163</v>
      </c>
      <c r="P615" t="s">
        <v>163</v>
      </c>
      <c r="Q615" t="s">
        <v>163</v>
      </c>
      <c r="R615" t="s">
        <v>163</v>
      </c>
      <c r="S615" t="s">
        <v>163</v>
      </c>
      <c r="T615" t="s">
        <v>163</v>
      </c>
      <c r="U615" t="s">
        <v>163</v>
      </c>
      <c r="V615" t="s">
        <v>163</v>
      </c>
      <c r="W615" t="s">
        <v>165</v>
      </c>
      <c r="X615" t="s">
        <v>165</v>
      </c>
      <c r="Y615" t="s">
        <v>163</v>
      </c>
      <c r="Z615" t="s">
        <v>163</v>
      </c>
      <c r="AA615">
        <v>1</v>
      </c>
      <c r="AB615">
        <v>2</v>
      </c>
      <c r="AC615">
        <v>1</v>
      </c>
      <c r="AD615" t="s">
        <v>163</v>
      </c>
      <c r="AE615" t="s">
        <v>163</v>
      </c>
      <c r="AF615" t="s">
        <v>163</v>
      </c>
      <c r="AG615" t="s">
        <v>163</v>
      </c>
      <c r="AH615" t="s">
        <v>163</v>
      </c>
      <c r="AI615" t="s">
        <v>163</v>
      </c>
      <c r="AJ615" t="s">
        <v>163</v>
      </c>
      <c r="AK615">
        <v>4</v>
      </c>
      <c r="AL615">
        <v>4</v>
      </c>
      <c r="AM615" t="s">
        <v>163</v>
      </c>
      <c r="AN615">
        <v>1</v>
      </c>
      <c r="AO615">
        <v>1</v>
      </c>
      <c r="AP615">
        <v>2</v>
      </c>
      <c r="AQ615">
        <v>2</v>
      </c>
      <c r="AR615">
        <v>6</v>
      </c>
      <c r="AS615">
        <v>6</v>
      </c>
    </row>
    <row r="616" spans="1:45" x14ac:dyDescent="0.35">
      <c r="A616" s="337">
        <v>46266</v>
      </c>
      <c r="B616" s="337">
        <v>46267</v>
      </c>
      <c r="C616" s="337">
        <v>815</v>
      </c>
      <c r="D616" t="s">
        <v>128</v>
      </c>
      <c r="E616" s="339">
        <v>0.58333333333333337</v>
      </c>
      <c r="F616">
        <v>2</v>
      </c>
      <c r="G616" t="s">
        <v>123</v>
      </c>
      <c r="H616">
        <v>0.01</v>
      </c>
      <c r="I616" t="s">
        <v>165</v>
      </c>
      <c r="J616" t="s">
        <v>165</v>
      </c>
      <c r="K616" t="s">
        <v>165</v>
      </c>
      <c r="L616" t="s">
        <v>163</v>
      </c>
      <c r="M616" t="s">
        <v>163</v>
      </c>
      <c r="N616">
        <v>12.2</v>
      </c>
      <c r="O616" t="s">
        <v>163</v>
      </c>
      <c r="P616" t="s">
        <v>163</v>
      </c>
      <c r="Q616" t="s">
        <v>163</v>
      </c>
      <c r="R616" t="s">
        <v>163</v>
      </c>
      <c r="S616" t="s">
        <v>163</v>
      </c>
      <c r="T616" t="s">
        <v>163</v>
      </c>
      <c r="U616" t="s">
        <v>163</v>
      </c>
      <c r="V616" t="s">
        <v>163</v>
      </c>
      <c r="W616" t="s">
        <v>165</v>
      </c>
      <c r="X616" t="s">
        <v>165</v>
      </c>
      <c r="Y616" t="s">
        <v>163</v>
      </c>
      <c r="Z616">
        <v>2</v>
      </c>
      <c r="AA616">
        <v>1</v>
      </c>
      <c r="AB616">
        <v>2</v>
      </c>
      <c r="AC616">
        <v>1</v>
      </c>
      <c r="AD616" t="s">
        <v>163</v>
      </c>
      <c r="AE616" t="s">
        <v>163</v>
      </c>
      <c r="AF616" t="s">
        <v>163</v>
      </c>
      <c r="AG616" t="s">
        <v>163</v>
      </c>
      <c r="AH616" t="s">
        <v>163</v>
      </c>
      <c r="AI616" t="s">
        <v>163</v>
      </c>
      <c r="AJ616" t="s">
        <v>163</v>
      </c>
      <c r="AK616">
        <v>6</v>
      </c>
      <c r="AL616">
        <v>6</v>
      </c>
      <c r="AM616" t="s">
        <v>163</v>
      </c>
      <c r="AN616">
        <v>1</v>
      </c>
      <c r="AO616">
        <v>1</v>
      </c>
      <c r="AP616">
        <v>2</v>
      </c>
      <c r="AQ616">
        <v>2</v>
      </c>
      <c r="AR616">
        <v>8</v>
      </c>
      <c r="AS616">
        <v>8</v>
      </c>
    </row>
    <row r="617" spans="1:45" x14ac:dyDescent="0.35">
      <c r="A617" s="337">
        <v>46266</v>
      </c>
      <c r="B617" s="337">
        <v>46267</v>
      </c>
      <c r="C617" s="337">
        <v>46261</v>
      </c>
      <c r="D617" t="s">
        <v>128</v>
      </c>
      <c r="E617" s="339">
        <v>0.875</v>
      </c>
      <c r="F617">
        <v>1</v>
      </c>
      <c r="G617" t="s">
        <v>138</v>
      </c>
      <c r="H617" t="s">
        <v>163</v>
      </c>
      <c r="I617" t="s">
        <v>165</v>
      </c>
      <c r="J617" t="s">
        <v>165</v>
      </c>
      <c r="K617" t="s">
        <v>165</v>
      </c>
      <c r="L617" t="s">
        <v>163</v>
      </c>
      <c r="M617" t="s">
        <v>161</v>
      </c>
      <c r="N617">
        <v>10.68</v>
      </c>
      <c r="O617" t="s">
        <v>163</v>
      </c>
      <c r="P617" t="s">
        <v>163</v>
      </c>
      <c r="Q617" t="s">
        <v>163</v>
      </c>
      <c r="R617" t="s">
        <v>163</v>
      </c>
      <c r="S617" t="s">
        <v>163</v>
      </c>
      <c r="T617" t="s">
        <v>163</v>
      </c>
      <c r="U617" t="s">
        <v>163</v>
      </c>
      <c r="V617" t="s">
        <v>163</v>
      </c>
      <c r="W617" t="s">
        <v>165</v>
      </c>
      <c r="X617" t="s">
        <v>165</v>
      </c>
      <c r="Y617" t="s">
        <v>163</v>
      </c>
      <c r="Z617" t="s">
        <v>163</v>
      </c>
      <c r="AA617">
        <v>1</v>
      </c>
      <c r="AB617">
        <v>2</v>
      </c>
      <c r="AC617">
        <v>0</v>
      </c>
      <c r="AD617" t="s">
        <v>163</v>
      </c>
      <c r="AE617" t="s">
        <v>163</v>
      </c>
      <c r="AF617" t="s">
        <v>163</v>
      </c>
      <c r="AG617" t="s">
        <v>163</v>
      </c>
      <c r="AH617" t="s">
        <v>163</v>
      </c>
      <c r="AI617" t="s">
        <v>163</v>
      </c>
      <c r="AJ617" t="s">
        <v>163</v>
      </c>
      <c r="AK617">
        <v>3</v>
      </c>
      <c r="AL617">
        <v>4</v>
      </c>
      <c r="AM617" t="s">
        <v>163</v>
      </c>
      <c r="AN617">
        <v>1</v>
      </c>
      <c r="AO617">
        <v>1</v>
      </c>
      <c r="AP617">
        <v>2</v>
      </c>
      <c r="AQ617">
        <v>2</v>
      </c>
      <c r="AR617">
        <v>5</v>
      </c>
      <c r="AS617">
        <v>6</v>
      </c>
    </row>
    <row r="618" spans="1:45" x14ac:dyDescent="0.35">
      <c r="A618" s="337">
        <v>46266</v>
      </c>
      <c r="B618" s="337">
        <v>46267</v>
      </c>
      <c r="C618" s="337">
        <v>46261</v>
      </c>
      <c r="D618" t="s">
        <v>128</v>
      </c>
      <c r="E618" s="339">
        <v>0.83333333333333337</v>
      </c>
      <c r="F618">
        <v>1</v>
      </c>
      <c r="G618" t="s">
        <v>140</v>
      </c>
      <c r="H618" t="s">
        <v>163</v>
      </c>
      <c r="I618" t="s">
        <v>165</v>
      </c>
      <c r="J618" t="s">
        <v>165</v>
      </c>
      <c r="K618" t="s">
        <v>165</v>
      </c>
      <c r="L618" t="s">
        <v>163</v>
      </c>
      <c r="M618" t="s">
        <v>161</v>
      </c>
      <c r="N618">
        <v>10.77</v>
      </c>
      <c r="O618" t="s">
        <v>163</v>
      </c>
      <c r="P618" t="s">
        <v>163</v>
      </c>
      <c r="Q618" t="s">
        <v>163</v>
      </c>
      <c r="R618" t="s">
        <v>163</v>
      </c>
      <c r="S618" t="s">
        <v>163</v>
      </c>
      <c r="T618" t="s">
        <v>163</v>
      </c>
      <c r="U618" t="s">
        <v>163</v>
      </c>
      <c r="V618" t="s">
        <v>163</v>
      </c>
      <c r="W618" t="s">
        <v>165</v>
      </c>
      <c r="X618" t="s">
        <v>165</v>
      </c>
      <c r="Y618" t="s">
        <v>163</v>
      </c>
      <c r="Z618" t="s">
        <v>163</v>
      </c>
      <c r="AA618">
        <v>1</v>
      </c>
      <c r="AB618">
        <v>2</v>
      </c>
      <c r="AC618">
        <v>0</v>
      </c>
      <c r="AD618" t="s">
        <v>163</v>
      </c>
      <c r="AE618" t="s">
        <v>163</v>
      </c>
      <c r="AF618" t="s">
        <v>163</v>
      </c>
      <c r="AG618" t="s">
        <v>163</v>
      </c>
      <c r="AH618" t="s">
        <v>163</v>
      </c>
      <c r="AI618" t="s">
        <v>163</v>
      </c>
      <c r="AJ618" t="s">
        <v>163</v>
      </c>
      <c r="AK618">
        <v>3</v>
      </c>
      <c r="AL618">
        <v>4</v>
      </c>
      <c r="AM618" t="s">
        <v>163</v>
      </c>
      <c r="AN618">
        <v>1</v>
      </c>
      <c r="AO618">
        <v>1</v>
      </c>
      <c r="AP618">
        <v>2</v>
      </c>
      <c r="AQ618">
        <v>2</v>
      </c>
      <c r="AR618">
        <v>5</v>
      </c>
      <c r="AS618">
        <v>6</v>
      </c>
    </row>
    <row r="619" spans="1:45" x14ac:dyDescent="0.35">
      <c r="A619" s="337">
        <v>46266</v>
      </c>
      <c r="B619" s="337">
        <v>46267</v>
      </c>
      <c r="C619" s="337">
        <v>46261</v>
      </c>
      <c r="D619" t="s">
        <v>128</v>
      </c>
      <c r="E619" s="339">
        <v>0.79166666666666663</v>
      </c>
      <c r="F619">
        <v>1</v>
      </c>
      <c r="G619" t="s">
        <v>140</v>
      </c>
      <c r="H619" t="s">
        <v>163</v>
      </c>
      <c r="I619" t="s">
        <v>165</v>
      </c>
      <c r="J619" t="s">
        <v>165</v>
      </c>
      <c r="K619" t="s">
        <v>165</v>
      </c>
      <c r="L619" t="s">
        <v>163</v>
      </c>
      <c r="M619" t="s">
        <v>161</v>
      </c>
      <c r="N619">
        <v>9.31</v>
      </c>
      <c r="O619" t="s">
        <v>163</v>
      </c>
      <c r="P619" t="s">
        <v>163</v>
      </c>
      <c r="Q619" t="s">
        <v>163</v>
      </c>
      <c r="R619" t="s">
        <v>163</v>
      </c>
      <c r="S619" t="s">
        <v>163</v>
      </c>
      <c r="T619" t="s">
        <v>163</v>
      </c>
      <c r="U619" t="s">
        <v>163</v>
      </c>
      <c r="V619" t="s">
        <v>163</v>
      </c>
      <c r="W619" t="s">
        <v>165</v>
      </c>
      <c r="X619" t="s">
        <v>165</v>
      </c>
      <c r="Y619" t="s">
        <v>163</v>
      </c>
      <c r="Z619" t="s">
        <v>163</v>
      </c>
      <c r="AA619">
        <v>1</v>
      </c>
      <c r="AB619">
        <v>2</v>
      </c>
      <c r="AC619">
        <v>0</v>
      </c>
      <c r="AD619" t="s">
        <v>163</v>
      </c>
      <c r="AE619" t="s">
        <v>163</v>
      </c>
      <c r="AF619" t="s">
        <v>163</v>
      </c>
      <c r="AG619" t="s">
        <v>163</v>
      </c>
      <c r="AH619" t="s">
        <v>163</v>
      </c>
      <c r="AI619" t="s">
        <v>163</v>
      </c>
      <c r="AJ619" t="s">
        <v>163</v>
      </c>
      <c r="AK619">
        <v>3</v>
      </c>
      <c r="AL619">
        <v>4</v>
      </c>
      <c r="AM619" t="s">
        <v>163</v>
      </c>
      <c r="AN619">
        <v>1</v>
      </c>
      <c r="AO619">
        <v>1</v>
      </c>
      <c r="AP619">
        <v>2</v>
      </c>
      <c r="AQ619">
        <v>2</v>
      </c>
      <c r="AR619">
        <v>5</v>
      </c>
      <c r="AS619">
        <v>6</v>
      </c>
    </row>
    <row r="620" spans="1:45" x14ac:dyDescent="0.35">
      <c r="A620" s="337">
        <v>46266</v>
      </c>
      <c r="B620" s="337">
        <v>46267</v>
      </c>
      <c r="C620" s="337">
        <v>46261</v>
      </c>
      <c r="D620" t="s">
        <v>128</v>
      </c>
      <c r="E620" s="339">
        <v>0.75</v>
      </c>
      <c r="F620">
        <v>1</v>
      </c>
      <c r="G620" t="s">
        <v>140</v>
      </c>
      <c r="H620" t="s">
        <v>163</v>
      </c>
      <c r="I620" t="s">
        <v>163</v>
      </c>
      <c r="J620" t="s">
        <v>165</v>
      </c>
      <c r="K620" t="s">
        <v>165</v>
      </c>
      <c r="L620" t="s">
        <v>163</v>
      </c>
      <c r="M620" t="s">
        <v>161</v>
      </c>
      <c r="N620">
        <v>9.8699999999999992</v>
      </c>
      <c r="O620" t="s">
        <v>163</v>
      </c>
      <c r="P620" t="s">
        <v>163</v>
      </c>
      <c r="Q620" t="s">
        <v>163</v>
      </c>
      <c r="R620" t="s">
        <v>163</v>
      </c>
      <c r="S620" t="s">
        <v>163</v>
      </c>
      <c r="T620" t="s">
        <v>163</v>
      </c>
      <c r="U620" t="s">
        <v>163</v>
      </c>
      <c r="V620" t="s">
        <v>163</v>
      </c>
      <c r="W620" t="s">
        <v>165</v>
      </c>
      <c r="X620" t="s">
        <v>165</v>
      </c>
      <c r="Y620">
        <v>1</v>
      </c>
      <c r="Z620" t="s">
        <v>163</v>
      </c>
      <c r="AA620" t="s">
        <v>163</v>
      </c>
      <c r="AB620">
        <v>2</v>
      </c>
      <c r="AC620">
        <v>0</v>
      </c>
      <c r="AD620" t="s">
        <v>163</v>
      </c>
      <c r="AE620" t="s">
        <v>163</v>
      </c>
      <c r="AF620" t="s">
        <v>163</v>
      </c>
      <c r="AG620" t="s">
        <v>163</v>
      </c>
      <c r="AH620" t="s">
        <v>163</v>
      </c>
      <c r="AI620" t="s">
        <v>163</v>
      </c>
      <c r="AJ620" t="s">
        <v>163</v>
      </c>
      <c r="AK620">
        <v>2</v>
      </c>
      <c r="AL620">
        <v>3</v>
      </c>
      <c r="AM620" t="s">
        <v>163</v>
      </c>
      <c r="AN620">
        <v>1</v>
      </c>
      <c r="AO620">
        <v>1</v>
      </c>
      <c r="AP620">
        <v>2</v>
      </c>
      <c r="AQ620">
        <v>2</v>
      </c>
      <c r="AR620">
        <v>4</v>
      </c>
      <c r="AS620">
        <v>5</v>
      </c>
    </row>
    <row r="621" spans="1:45" x14ac:dyDescent="0.35">
      <c r="A621" s="337">
        <v>46266</v>
      </c>
      <c r="B621" s="337">
        <v>46267</v>
      </c>
      <c r="C621" s="337">
        <v>46261</v>
      </c>
      <c r="D621" t="s">
        <v>128</v>
      </c>
      <c r="E621" s="339">
        <v>0.625</v>
      </c>
      <c r="F621">
        <v>1</v>
      </c>
      <c r="G621" t="s">
        <v>141</v>
      </c>
      <c r="H621">
        <v>0.01</v>
      </c>
      <c r="I621" t="s">
        <v>165</v>
      </c>
      <c r="J621" t="s">
        <v>165</v>
      </c>
      <c r="K621" t="s">
        <v>165</v>
      </c>
      <c r="L621" t="s">
        <v>163</v>
      </c>
      <c r="M621" t="s">
        <v>161</v>
      </c>
      <c r="N621">
        <v>9.5399999999999991</v>
      </c>
      <c r="O621" t="s">
        <v>163</v>
      </c>
      <c r="P621" t="s">
        <v>163</v>
      </c>
      <c r="Q621" t="s">
        <v>163</v>
      </c>
      <c r="R621" t="s">
        <v>163</v>
      </c>
      <c r="S621" t="s">
        <v>163</v>
      </c>
      <c r="T621" t="s">
        <v>163</v>
      </c>
      <c r="U621" t="s">
        <v>163</v>
      </c>
      <c r="V621" t="s">
        <v>163</v>
      </c>
      <c r="W621" t="s">
        <v>165</v>
      </c>
      <c r="X621" t="s">
        <v>165</v>
      </c>
      <c r="Y621" t="s">
        <v>163</v>
      </c>
      <c r="Z621">
        <v>2</v>
      </c>
      <c r="AA621">
        <v>1</v>
      </c>
      <c r="AB621">
        <v>2</v>
      </c>
      <c r="AC621">
        <v>0</v>
      </c>
      <c r="AD621" t="s">
        <v>163</v>
      </c>
      <c r="AE621" t="s">
        <v>163</v>
      </c>
      <c r="AF621" t="s">
        <v>163</v>
      </c>
      <c r="AG621" t="s">
        <v>163</v>
      </c>
      <c r="AH621" t="s">
        <v>163</v>
      </c>
      <c r="AI621" t="s">
        <v>163</v>
      </c>
      <c r="AJ621" t="s">
        <v>163</v>
      </c>
      <c r="AK621">
        <v>5</v>
      </c>
      <c r="AL621">
        <v>6</v>
      </c>
      <c r="AM621" t="s">
        <v>163</v>
      </c>
      <c r="AN621">
        <v>1</v>
      </c>
      <c r="AO621">
        <v>1</v>
      </c>
      <c r="AP621">
        <v>2</v>
      </c>
      <c r="AQ621">
        <v>2</v>
      </c>
      <c r="AR621">
        <v>7</v>
      </c>
      <c r="AS621">
        <v>8</v>
      </c>
    </row>
    <row r="622" spans="1:45" x14ac:dyDescent="0.35">
      <c r="A622" s="337">
        <v>46266</v>
      </c>
      <c r="B622" s="337">
        <v>46267</v>
      </c>
      <c r="C622" s="337">
        <v>46261</v>
      </c>
      <c r="D622" t="s">
        <v>128</v>
      </c>
      <c r="E622" s="339">
        <v>0.58333333333333337</v>
      </c>
      <c r="F622">
        <v>1</v>
      </c>
      <c r="G622" t="s">
        <v>141</v>
      </c>
      <c r="H622">
        <v>0.01</v>
      </c>
      <c r="I622" t="s">
        <v>165</v>
      </c>
      <c r="J622" t="s">
        <v>165</v>
      </c>
      <c r="K622" t="s">
        <v>165</v>
      </c>
      <c r="L622" t="s">
        <v>163</v>
      </c>
      <c r="M622" t="s">
        <v>161</v>
      </c>
      <c r="N622">
        <v>9.58</v>
      </c>
      <c r="O622">
        <v>9.91</v>
      </c>
      <c r="P622" t="s">
        <v>163</v>
      </c>
      <c r="Q622" t="s">
        <v>163</v>
      </c>
      <c r="R622" t="s">
        <v>163</v>
      </c>
      <c r="S622" t="s">
        <v>163</v>
      </c>
      <c r="T622">
        <v>27.4</v>
      </c>
      <c r="U622" t="s">
        <v>163</v>
      </c>
      <c r="V622" t="s">
        <v>163</v>
      </c>
      <c r="W622" t="s">
        <v>165</v>
      </c>
      <c r="X622" t="s">
        <v>165</v>
      </c>
      <c r="Y622">
        <v>1</v>
      </c>
      <c r="Z622">
        <v>2</v>
      </c>
      <c r="AA622">
        <v>1</v>
      </c>
      <c r="AB622">
        <v>2</v>
      </c>
      <c r="AC622">
        <v>0</v>
      </c>
      <c r="AD622" t="s">
        <v>163</v>
      </c>
      <c r="AE622" t="s">
        <v>163</v>
      </c>
      <c r="AF622" t="s">
        <v>163</v>
      </c>
      <c r="AG622" t="s">
        <v>163</v>
      </c>
      <c r="AH622" t="s">
        <v>163</v>
      </c>
      <c r="AI622">
        <v>2</v>
      </c>
      <c r="AJ622" t="s">
        <v>163</v>
      </c>
      <c r="AK622">
        <v>7</v>
      </c>
      <c r="AL622">
        <v>8</v>
      </c>
      <c r="AM622" t="s">
        <v>163</v>
      </c>
      <c r="AN622">
        <v>1</v>
      </c>
      <c r="AO622">
        <v>1</v>
      </c>
      <c r="AP622">
        <v>2</v>
      </c>
      <c r="AQ622">
        <v>2</v>
      </c>
      <c r="AR622">
        <v>9</v>
      </c>
      <c r="AS622">
        <v>10</v>
      </c>
    </row>
    <row r="623" spans="1:45" x14ac:dyDescent="0.35">
      <c r="A623" s="337">
        <v>46266</v>
      </c>
      <c r="B623" s="337">
        <v>46267</v>
      </c>
      <c r="C623" s="337">
        <v>46259</v>
      </c>
      <c r="D623" t="s">
        <v>125</v>
      </c>
      <c r="E623" t="s">
        <v>238</v>
      </c>
      <c r="F623">
        <v>3</v>
      </c>
      <c r="G623" t="s">
        <v>119</v>
      </c>
      <c r="H623">
        <v>0.01</v>
      </c>
      <c r="I623" t="s">
        <v>165</v>
      </c>
      <c r="J623" t="s">
        <v>165</v>
      </c>
      <c r="K623" t="s">
        <v>165</v>
      </c>
      <c r="L623" t="s">
        <v>161</v>
      </c>
      <c r="M623" t="s">
        <v>161</v>
      </c>
      <c r="N623">
        <v>12.3</v>
      </c>
      <c r="O623" t="s">
        <v>163</v>
      </c>
      <c r="P623" t="s">
        <v>163</v>
      </c>
      <c r="Q623" t="s">
        <v>163</v>
      </c>
      <c r="R623" t="s">
        <v>163</v>
      </c>
      <c r="S623" t="s">
        <v>163</v>
      </c>
      <c r="T623" t="s">
        <v>163</v>
      </c>
      <c r="U623" t="s">
        <v>163</v>
      </c>
      <c r="V623" t="s">
        <v>163</v>
      </c>
      <c r="W623" t="s">
        <v>165</v>
      </c>
      <c r="X623" t="s">
        <v>165</v>
      </c>
      <c r="Y623" t="s">
        <v>163</v>
      </c>
      <c r="Z623">
        <v>2</v>
      </c>
      <c r="AA623">
        <v>1</v>
      </c>
      <c r="AB623">
        <v>2</v>
      </c>
      <c r="AC623">
        <v>1</v>
      </c>
      <c r="AD623" t="s">
        <v>163</v>
      </c>
      <c r="AE623" t="s">
        <v>163</v>
      </c>
      <c r="AF623" t="s">
        <v>163</v>
      </c>
      <c r="AG623" t="s">
        <v>163</v>
      </c>
      <c r="AH623" t="s">
        <v>163</v>
      </c>
      <c r="AI623" t="s">
        <v>163</v>
      </c>
      <c r="AJ623" t="s">
        <v>163</v>
      </c>
      <c r="AK623">
        <v>6</v>
      </c>
      <c r="AL623">
        <v>6</v>
      </c>
      <c r="AM623" t="s">
        <v>163</v>
      </c>
      <c r="AN623">
        <v>1</v>
      </c>
      <c r="AO623">
        <v>1</v>
      </c>
      <c r="AP623">
        <v>2</v>
      </c>
      <c r="AQ623">
        <v>2</v>
      </c>
      <c r="AR623">
        <v>8</v>
      </c>
      <c r="AS623">
        <v>8</v>
      </c>
    </row>
    <row r="624" spans="1:45" x14ac:dyDescent="0.35">
      <c r="A624" s="337">
        <v>46266</v>
      </c>
      <c r="B624" s="337">
        <v>46267</v>
      </c>
      <c r="C624" s="337">
        <v>46259</v>
      </c>
      <c r="D624" t="s">
        <v>125</v>
      </c>
      <c r="E624" t="s">
        <v>328</v>
      </c>
      <c r="F624">
        <v>3</v>
      </c>
      <c r="G624" t="s">
        <v>119</v>
      </c>
      <c r="H624">
        <v>0.01</v>
      </c>
      <c r="I624" t="s">
        <v>165</v>
      </c>
      <c r="J624" t="s">
        <v>165</v>
      </c>
      <c r="K624" t="s">
        <v>165</v>
      </c>
      <c r="L624" t="s">
        <v>161</v>
      </c>
      <c r="M624" t="s">
        <v>161</v>
      </c>
      <c r="N624">
        <v>12.18</v>
      </c>
      <c r="O624" t="s">
        <v>163</v>
      </c>
      <c r="P624" t="s">
        <v>163</v>
      </c>
      <c r="Q624" t="s">
        <v>163</v>
      </c>
      <c r="R624" t="s">
        <v>163</v>
      </c>
      <c r="S624" t="s">
        <v>163</v>
      </c>
      <c r="T624" t="s">
        <v>163</v>
      </c>
      <c r="U624" t="s">
        <v>163</v>
      </c>
      <c r="V624" t="s">
        <v>163</v>
      </c>
      <c r="W624" t="s">
        <v>165</v>
      </c>
      <c r="X624" t="s">
        <v>165</v>
      </c>
      <c r="Y624" t="s">
        <v>419</v>
      </c>
      <c r="Z624">
        <v>2</v>
      </c>
      <c r="AA624">
        <v>1</v>
      </c>
      <c r="AB624">
        <v>2</v>
      </c>
      <c r="AC624">
        <v>1</v>
      </c>
      <c r="AD624" t="s">
        <v>163</v>
      </c>
      <c r="AE624" t="s">
        <v>163</v>
      </c>
      <c r="AF624" t="s">
        <v>163</v>
      </c>
      <c r="AG624" t="s">
        <v>163</v>
      </c>
      <c r="AH624" t="s">
        <v>163</v>
      </c>
      <c r="AI624" t="s">
        <v>163</v>
      </c>
      <c r="AJ624" t="s">
        <v>163</v>
      </c>
      <c r="AK624">
        <v>6</v>
      </c>
      <c r="AL624">
        <v>6</v>
      </c>
      <c r="AM624" t="s">
        <v>163</v>
      </c>
      <c r="AN624">
        <v>1</v>
      </c>
      <c r="AO624">
        <v>1</v>
      </c>
      <c r="AP624">
        <v>2</v>
      </c>
      <c r="AQ624">
        <v>2</v>
      </c>
      <c r="AR624">
        <v>8</v>
      </c>
      <c r="AS624">
        <v>8</v>
      </c>
    </row>
    <row r="625" spans="1:45" x14ac:dyDescent="0.35">
      <c r="A625" s="337">
        <v>46266</v>
      </c>
      <c r="B625" s="337">
        <v>46267</v>
      </c>
      <c r="C625" s="337">
        <v>46259</v>
      </c>
      <c r="D625" t="s">
        <v>125</v>
      </c>
      <c r="E625" t="s">
        <v>327</v>
      </c>
      <c r="F625">
        <v>3</v>
      </c>
      <c r="G625" t="s">
        <v>119</v>
      </c>
      <c r="H625">
        <v>0.01</v>
      </c>
      <c r="I625" t="s">
        <v>165</v>
      </c>
      <c r="J625" t="s">
        <v>165</v>
      </c>
      <c r="K625" t="s">
        <v>165</v>
      </c>
      <c r="L625" t="s">
        <v>161</v>
      </c>
      <c r="M625" t="s">
        <v>161</v>
      </c>
      <c r="N625">
        <v>12.32</v>
      </c>
      <c r="O625" t="s">
        <v>163</v>
      </c>
      <c r="P625" t="s">
        <v>163</v>
      </c>
      <c r="Q625" t="s">
        <v>163</v>
      </c>
      <c r="R625" t="s">
        <v>163</v>
      </c>
      <c r="S625" t="s">
        <v>163</v>
      </c>
      <c r="T625" t="s">
        <v>163</v>
      </c>
      <c r="U625" t="s">
        <v>163</v>
      </c>
      <c r="V625" t="s">
        <v>163</v>
      </c>
      <c r="W625" t="s">
        <v>165</v>
      </c>
      <c r="X625" t="s">
        <v>165</v>
      </c>
      <c r="Y625" t="s">
        <v>163</v>
      </c>
      <c r="Z625">
        <v>2</v>
      </c>
      <c r="AA625">
        <v>1</v>
      </c>
      <c r="AB625">
        <v>2</v>
      </c>
      <c r="AC625">
        <v>1</v>
      </c>
      <c r="AD625" t="s">
        <v>163</v>
      </c>
      <c r="AE625" t="s">
        <v>163</v>
      </c>
      <c r="AF625" t="s">
        <v>163</v>
      </c>
      <c r="AG625" t="s">
        <v>163</v>
      </c>
      <c r="AH625" t="s">
        <v>163</v>
      </c>
      <c r="AI625" t="s">
        <v>163</v>
      </c>
      <c r="AJ625" t="s">
        <v>163</v>
      </c>
      <c r="AK625">
        <v>6</v>
      </c>
      <c r="AL625">
        <v>6</v>
      </c>
      <c r="AM625" t="s">
        <v>163</v>
      </c>
      <c r="AN625">
        <v>1</v>
      </c>
      <c r="AO625">
        <v>1</v>
      </c>
      <c r="AP625">
        <v>2</v>
      </c>
      <c r="AQ625">
        <v>2</v>
      </c>
      <c r="AR625">
        <v>8</v>
      </c>
      <c r="AS625">
        <v>8</v>
      </c>
    </row>
    <row r="626" spans="1:45" x14ac:dyDescent="0.35">
      <c r="A626" s="337">
        <v>46266</v>
      </c>
      <c r="B626" s="337">
        <v>46267</v>
      </c>
      <c r="C626" s="337">
        <v>46259</v>
      </c>
      <c r="D626" t="s">
        <v>125</v>
      </c>
      <c r="E626" t="s">
        <v>240</v>
      </c>
      <c r="F626">
        <v>3</v>
      </c>
      <c r="G626" t="s">
        <v>119</v>
      </c>
      <c r="H626">
        <v>0.01</v>
      </c>
      <c r="I626" t="s">
        <v>165</v>
      </c>
      <c r="J626" t="s">
        <v>165</v>
      </c>
      <c r="K626" t="s">
        <v>165</v>
      </c>
      <c r="L626" t="s">
        <v>161</v>
      </c>
      <c r="M626" t="s">
        <v>161</v>
      </c>
      <c r="N626">
        <v>12.32</v>
      </c>
      <c r="O626">
        <v>13.25</v>
      </c>
      <c r="P626">
        <v>0.56999999999999995</v>
      </c>
      <c r="Q626">
        <v>64.2</v>
      </c>
      <c r="R626" t="s">
        <v>163</v>
      </c>
      <c r="S626" t="s">
        <v>163</v>
      </c>
      <c r="T626">
        <v>37.200000000000003</v>
      </c>
      <c r="U626" t="s">
        <v>163</v>
      </c>
      <c r="V626" t="s">
        <v>163</v>
      </c>
      <c r="W626" t="s">
        <v>165</v>
      </c>
      <c r="X626" t="s">
        <v>165</v>
      </c>
      <c r="Y626">
        <v>1</v>
      </c>
      <c r="Z626">
        <v>2</v>
      </c>
      <c r="AA626">
        <v>1</v>
      </c>
      <c r="AB626">
        <v>2</v>
      </c>
      <c r="AC626">
        <v>1</v>
      </c>
      <c r="AD626">
        <v>1</v>
      </c>
      <c r="AE626">
        <v>2</v>
      </c>
      <c r="AF626">
        <v>2</v>
      </c>
      <c r="AG626" t="s">
        <v>163</v>
      </c>
      <c r="AH626" t="s">
        <v>163</v>
      </c>
      <c r="AI626">
        <v>2</v>
      </c>
      <c r="AJ626" t="s">
        <v>163</v>
      </c>
      <c r="AK626">
        <v>13</v>
      </c>
      <c r="AL626">
        <v>13</v>
      </c>
      <c r="AM626" t="s">
        <v>163</v>
      </c>
      <c r="AN626">
        <v>1</v>
      </c>
      <c r="AO626">
        <v>1</v>
      </c>
      <c r="AP626">
        <v>2</v>
      </c>
      <c r="AQ626">
        <v>2</v>
      </c>
      <c r="AR626">
        <v>15</v>
      </c>
      <c r="AS626">
        <v>15</v>
      </c>
    </row>
    <row r="627" spans="1:45" x14ac:dyDescent="0.35">
      <c r="A627" s="337">
        <v>46266</v>
      </c>
      <c r="B627" s="337">
        <v>46267</v>
      </c>
      <c r="C627" s="337">
        <v>46259</v>
      </c>
      <c r="D627" t="s">
        <v>125</v>
      </c>
      <c r="E627" t="s">
        <v>239</v>
      </c>
      <c r="F627">
        <v>3</v>
      </c>
      <c r="G627" t="s">
        <v>36</v>
      </c>
      <c r="H627">
        <v>0.01</v>
      </c>
      <c r="I627" t="s">
        <v>165</v>
      </c>
      <c r="J627" t="s">
        <v>165</v>
      </c>
      <c r="K627" t="s">
        <v>165</v>
      </c>
      <c r="L627" t="s">
        <v>161</v>
      </c>
      <c r="M627" t="s">
        <v>161</v>
      </c>
      <c r="N627">
        <v>12.32</v>
      </c>
      <c r="O627" t="s">
        <v>163</v>
      </c>
      <c r="P627" t="s">
        <v>163</v>
      </c>
      <c r="Q627" t="s">
        <v>163</v>
      </c>
      <c r="R627" t="s">
        <v>163</v>
      </c>
      <c r="S627" t="s">
        <v>163</v>
      </c>
      <c r="T627" t="s">
        <v>163</v>
      </c>
      <c r="U627" t="s">
        <v>163</v>
      </c>
      <c r="V627" t="s">
        <v>163</v>
      </c>
      <c r="W627" t="s">
        <v>165</v>
      </c>
      <c r="X627" t="s">
        <v>165</v>
      </c>
      <c r="Y627" t="s">
        <v>163</v>
      </c>
      <c r="Z627">
        <v>2</v>
      </c>
      <c r="AA627">
        <v>1</v>
      </c>
      <c r="AB627">
        <v>2</v>
      </c>
      <c r="AC627">
        <v>1</v>
      </c>
      <c r="AD627" t="s">
        <v>163</v>
      </c>
      <c r="AE627" t="s">
        <v>163</v>
      </c>
      <c r="AF627" t="s">
        <v>163</v>
      </c>
      <c r="AG627" t="s">
        <v>163</v>
      </c>
      <c r="AH627" t="s">
        <v>163</v>
      </c>
      <c r="AI627" t="s">
        <v>163</v>
      </c>
      <c r="AJ627" t="s">
        <v>163</v>
      </c>
      <c r="AK627">
        <v>6</v>
      </c>
      <c r="AL627">
        <v>6</v>
      </c>
      <c r="AM627" t="s">
        <v>163</v>
      </c>
      <c r="AN627">
        <v>1</v>
      </c>
      <c r="AO627">
        <v>1</v>
      </c>
      <c r="AP627">
        <v>2</v>
      </c>
      <c r="AQ627">
        <v>2</v>
      </c>
      <c r="AR627">
        <v>8</v>
      </c>
      <c r="AS627">
        <v>8</v>
      </c>
    </row>
    <row r="628" spans="1:45" x14ac:dyDescent="0.35">
      <c r="A628" s="337">
        <v>46266</v>
      </c>
      <c r="B628" s="337">
        <v>46267</v>
      </c>
      <c r="C628" s="337">
        <v>46259</v>
      </c>
      <c r="D628" t="s">
        <v>125</v>
      </c>
      <c r="E628" t="s">
        <v>326</v>
      </c>
      <c r="F628">
        <v>3</v>
      </c>
      <c r="G628" t="s">
        <v>36</v>
      </c>
      <c r="H628" t="s">
        <v>163</v>
      </c>
      <c r="I628" t="s">
        <v>165</v>
      </c>
      <c r="J628" t="s">
        <v>165</v>
      </c>
      <c r="K628" t="s">
        <v>165</v>
      </c>
      <c r="L628" t="s">
        <v>161</v>
      </c>
      <c r="M628" t="s">
        <v>161</v>
      </c>
      <c r="N628">
        <v>11.83</v>
      </c>
      <c r="O628">
        <v>12.14</v>
      </c>
      <c r="P628">
        <v>0.55000000000000004</v>
      </c>
      <c r="Q628">
        <v>64</v>
      </c>
      <c r="R628" t="s">
        <v>163</v>
      </c>
      <c r="S628" t="s">
        <v>163</v>
      </c>
      <c r="T628">
        <v>33.9</v>
      </c>
      <c r="U628" t="s">
        <v>163</v>
      </c>
      <c r="V628">
        <v>25.16</v>
      </c>
      <c r="W628" t="s">
        <v>165</v>
      </c>
      <c r="X628" t="s">
        <v>165</v>
      </c>
      <c r="Y628" t="s">
        <v>415</v>
      </c>
      <c r="Z628" t="s">
        <v>163</v>
      </c>
      <c r="AA628">
        <v>1</v>
      </c>
      <c r="AB628">
        <v>2</v>
      </c>
      <c r="AC628">
        <v>0</v>
      </c>
      <c r="AD628">
        <v>1</v>
      </c>
      <c r="AE628">
        <v>2</v>
      </c>
      <c r="AF628">
        <v>2</v>
      </c>
      <c r="AG628" t="s">
        <v>163</v>
      </c>
      <c r="AH628" t="s">
        <v>163</v>
      </c>
      <c r="AI628">
        <v>2</v>
      </c>
      <c r="AJ628" t="s">
        <v>163</v>
      </c>
      <c r="AK628">
        <v>10</v>
      </c>
      <c r="AL628">
        <v>11</v>
      </c>
      <c r="AM628">
        <v>1</v>
      </c>
      <c r="AN628">
        <v>1</v>
      </c>
      <c r="AO628">
        <v>1</v>
      </c>
      <c r="AP628">
        <v>3</v>
      </c>
      <c r="AQ628">
        <v>3</v>
      </c>
      <c r="AR628">
        <v>13</v>
      </c>
      <c r="AS628">
        <v>14</v>
      </c>
    </row>
    <row r="629" spans="1:45" x14ac:dyDescent="0.35">
      <c r="A629" s="337">
        <v>46266</v>
      </c>
      <c r="B629" s="337">
        <v>46267</v>
      </c>
      <c r="C629" s="339">
        <v>0</v>
      </c>
      <c r="D629" t="s">
        <v>125</v>
      </c>
      <c r="E629" t="s">
        <v>238</v>
      </c>
      <c r="F629">
        <v>2</v>
      </c>
      <c r="G629" t="s">
        <v>123</v>
      </c>
      <c r="H629">
        <v>0.01</v>
      </c>
      <c r="I629" t="s">
        <v>165</v>
      </c>
      <c r="J629" t="s">
        <v>165</v>
      </c>
      <c r="K629" t="s">
        <v>165</v>
      </c>
      <c r="L629" t="s">
        <v>163</v>
      </c>
      <c r="M629" t="s">
        <v>163</v>
      </c>
      <c r="N629">
        <v>11.98</v>
      </c>
      <c r="O629" t="s">
        <v>163</v>
      </c>
      <c r="P629" t="s">
        <v>163</v>
      </c>
      <c r="Q629" t="s">
        <v>163</v>
      </c>
      <c r="R629" t="s">
        <v>163</v>
      </c>
      <c r="S629" t="s">
        <v>163</v>
      </c>
      <c r="T629" t="s">
        <v>163</v>
      </c>
      <c r="U629" t="s">
        <v>163</v>
      </c>
      <c r="V629" t="s">
        <v>163</v>
      </c>
      <c r="W629" t="s">
        <v>165</v>
      </c>
      <c r="X629" t="s">
        <v>165</v>
      </c>
      <c r="Y629" t="s">
        <v>163</v>
      </c>
      <c r="Z629">
        <v>2</v>
      </c>
      <c r="AA629">
        <v>1</v>
      </c>
      <c r="AB629">
        <v>2</v>
      </c>
      <c r="AC629">
        <v>1</v>
      </c>
      <c r="AD629" t="s">
        <v>163</v>
      </c>
      <c r="AE629" t="s">
        <v>163</v>
      </c>
      <c r="AF629" t="s">
        <v>163</v>
      </c>
      <c r="AG629" t="s">
        <v>163</v>
      </c>
      <c r="AH629" t="s">
        <v>163</v>
      </c>
      <c r="AI629" t="s">
        <v>163</v>
      </c>
      <c r="AJ629" t="s">
        <v>163</v>
      </c>
      <c r="AK629">
        <v>6</v>
      </c>
      <c r="AL629">
        <v>6</v>
      </c>
      <c r="AM629" t="s">
        <v>163</v>
      </c>
      <c r="AN629">
        <v>1</v>
      </c>
      <c r="AO629">
        <v>1</v>
      </c>
      <c r="AP629">
        <v>2</v>
      </c>
      <c r="AQ629">
        <v>2</v>
      </c>
      <c r="AR629">
        <v>8</v>
      </c>
      <c r="AS629">
        <v>8</v>
      </c>
    </row>
    <row r="630" spans="1:45" x14ac:dyDescent="0.35">
      <c r="A630" s="337">
        <v>46266</v>
      </c>
      <c r="B630" s="337">
        <v>46267</v>
      </c>
      <c r="C630" s="339">
        <v>0</v>
      </c>
      <c r="D630" t="s">
        <v>125</v>
      </c>
      <c r="E630" t="s">
        <v>328</v>
      </c>
      <c r="F630">
        <v>2</v>
      </c>
      <c r="G630" t="s">
        <v>123</v>
      </c>
      <c r="H630" t="s">
        <v>163</v>
      </c>
      <c r="I630" t="s">
        <v>165</v>
      </c>
      <c r="J630" t="s">
        <v>165</v>
      </c>
      <c r="K630" t="s">
        <v>165</v>
      </c>
      <c r="L630" t="s">
        <v>163</v>
      </c>
      <c r="M630" t="s">
        <v>163</v>
      </c>
      <c r="N630">
        <v>11.82</v>
      </c>
      <c r="O630" t="s">
        <v>163</v>
      </c>
      <c r="P630" t="s">
        <v>163</v>
      </c>
      <c r="Q630" t="s">
        <v>163</v>
      </c>
      <c r="R630" t="s">
        <v>163</v>
      </c>
      <c r="S630" t="s">
        <v>163</v>
      </c>
      <c r="T630" t="s">
        <v>163</v>
      </c>
      <c r="U630" t="s">
        <v>163</v>
      </c>
      <c r="V630" t="s">
        <v>163</v>
      </c>
      <c r="W630" t="s">
        <v>165</v>
      </c>
      <c r="X630" t="s">
        <v>165</v>
      </c>
      <c r="Y630" t="s">
        <v>163</v>
      </c>
      <c r="Z630" t="s">
        <v>163</v>
      </c>
      <c r="AA630">
        <v>1</v>
      </c>
      <c r="AB630">
        <v>2</v>
      </c>
      <c r="AC630">
        <v>1</v>
      </c>
      <c r="AD630" t="s">
        <v>163</v>
      </c>
      <c r="AE630" t="s">
        <v>163</v>
      </c>
      <c r="AF630" t="s">
        <v>163</v>
      </c>
      <c r="AG630" t="s">
        <v>163</v>
      </c>
      <c r="AH630" t="s">
        <v>163</v>
      </c>
      <c r="AI630" t="s">
        <v>163</v>
      </c>
      <c r="AJ630" t="s">
        <v>163</v>
      </c>
      <c r="AK630">
        <v>4</v>
      </c>
      <c r="AL630">
        <v>4</v>
      </c>
      <c r="AM630" t="s">
        <v>163</v>
      </c>
      <c r="AN630">
        <v>1</v>
      </c>
      <c r="AO630">
        <v>1</v>
      </c>
      <c r="AP630">
        <v>2</v>
      </c>
      <c r="AQ630">
        <v>2</v>
      </c>
      <c r="AR630">
        <v>6</v>
      </c>
      <c r="AS630">
        <v>6</v>
      </c>
    </row>
    <row r="631" spans="1:45" x14ac:dyDescent="0.35">
      <c r="A631" s="337">
        <v>46266</v>
      </c>
      <c r="B631" s="337">
        <v>46267</v>
      </c>
      <c r="C631" s="339">
        <v>0</v>
      </c>
      <c r="D631" t="s">
        <v>125</v>
      </c>
      <c r="E631" t="s">
        <v>327</v>
      </c>
      <c r="F631">
        <v>2</v>
      </c>
      <c r="G631" t="s">
        <v>123</v>
      </c>
      <c r="H631">
        <v>0.01</v>
      </c>
      <c r="I631" t="s">
        <v>165</v>
      </c>
      <c r="J631" t="s">
        <v>165</v>
      </c>
      <c r="K631" t="s">
        <v>165</v>
      </c>
      <c r="L631" t="s">
        <v>163</v>
      </c>
      <c r="M631" t="s">
        <v>163</v>
      </c>
      <c r="N631">
        <v>12.3</v>
      </c>
      <c r="O631" t="s">
        <v>163</v>
      </c>
      <c r="P631" t="s">
        <v>163</v>
      </c>
      <c r="Q631" t="s">
        <v>163</v>
      </c>
      <c r="R631" t="s">
        <v>163</v>
      </c>
      <c r="S631" t="s">
        <v>163</v>
      </c>
      <c r="T631" t="s">
        <v>163</v>
      </c>
      <c r="U631" t="s">
        <v>163</v>
      </c>
      <c r="V631" t="s">
        <v>163</v>
      </c>
      <c r="W631" t="s">
        <v>165</v>
      </c>
      <c r="X631" t="s">
        <v>165</v>
      </c>
      <c r="Y631" t="s">
        <v>163</v>
      </c>
      <c r="Z631">
        <v>2</v>
      </c>
      <c r="AA631">
        <v>1</v>
      </c>
      <c r="AB631">
        <v>2</v>
      </c>
      <c r="AC631">
        <v>1</v>
      </c>
      <c r="AD631" t="s">
        <v>163</v>
      </c>
      <c r="AE631" t="s">
        <v>163</v>
      </c>
      <c r="AF631" t="s">
        <v>163</v>
      </c>
      <c r="AG631" t="s">
        <v>163</v>
      </c>
      <c r="AH631" t="s">
        <v>163</v>
      </c>
      <c r="AI631" t="s">
        <v>163</v>
      </c>
      <c r="AJ631" t="s">
        <v>163</v>
      </c>
      <c r="AK631">
        <v>6</v>
      </c>
      <c r="AL631">
        <v>6</v>
      </c>
      <c r="AM631" t="s">
        <v>163</v>
      </c>
      <c r="AN631">
        <v>1</v>
      </c>
      <c r="AO631">
        <v>1</v>
      </c>
      <c r="AP631">
        <v>2</v>
      </c>
      <c r="AQ631">
        <v>2</v>
      </c>
      <c r="AR631">
        <v>8</v>
      </c>
      <c r="AS631">
        <v>8</v>
      </c>
    </row>
    <row r="632" spans="1:45" x14ac:dyDescent="0.35">
      <c r="A632" s="337">
        <v>46266</v>
      </c>
      <c r="B632" s="337">
        <v>46267</v>
      </c>
      <c r="C632" s="339">
        <v>0</v>
      </c>
      <c r="D632" t="s">
        <v>125</v>
      </c>
      <c r="E632" t="s">
        <v>240</v>
      </c>
      <c r="F632">
        <v>2</v>
      </c>
      <c r="G632" t="s">
        <v>123</v>
      </c>
      <c r="H632" t="s">
        <v>163</v>
      </c>
      <c r="I632" t="s">
        <v>165</v>
      </c>
      <c r="J632" t="s">
        <v>165</v>
      </c>
      <c r="K632" t="s">
        <v>165</v>
      </c>
      <c r="L632" t="s">
        <v>163</v>
      </c>
      <c r="M632" t="s">
        <v>163</v>
      </c>
      <c r="N632">
        <v>12.26</v>
      </c>
      <c r="O632" t="s">
        <v>163</v>
      </c>
      <c r="P632" t="s">
        <v>163</v>
      </c>
      <c r="Q632" t="s">
        <v>163</v>
      </c>
      <c r="R632" t="s">
        <v>163</v>
      </c>
      <c r="S632" t="s">
        <v>163</v>
      </c>
      <c r="T632" t="s">
        <v>163</v>
      </c>
      <c r="U632" t="s">
        <v>163</v>
      </c>
      <c r="V632" t="s">
        <v>163</v>
      </c>
      <c r="W632" t="s">
        <v>165</v>
      </c>
      <c r="X632" t="s">
        <v>165</v>
      </c>
      <c r="Y632" t="s">
        <v>163</v>
      </c>
      <c r="Z632" t="s">
        <v>163</v>
      </c>
      <c r="AA632">
        <v>1</v>
      </c>
      <c r="AB632">
        <v>2</v>
      </c>
      <c r="AC632">
        <v>1</v>
      </c>
      <c r="AD632" t="s">
        <v>163</v>
      </c>
      <c r="AE632" t="s">
        <v>163</v>
      </c>
      <c r="AF632" t="s">
        <v>163</v>
      </c>
      <c r="AG632" t="s">
        <v>163</v>
      </c>
      <c r="AH632" t="s">
        <v>163</v>
      </c>
      <c r="AI632" t="s">
        <v>163</v>
      </c>
      <c r="AJ632" t="s">
        <v>163</v>
      </c>
      <c r="AK632">
        <v>4</v>
      </c>
      <c r="AL632">
        <v>4</v>
      </c>
      <c r="AM632" t="s">
        <v>163</v>
      </c>
      <c r="AN632">
        <v>1</v>
      </c>
      <c r="AO632">
        <v>1</v>
      </c>
      <c r="AP632">
        <v>2</v>
      </c>
      <c r="AQ632">
        <v>2</v>
      </c>
      <c r="AR632">
        <v>6</v>
      </c>
      <c r="AS632">
        <v>6</v>
      </c>
    </row>
    <row r="633" spans="1:45" x14ac:dyDescent="0.35">
      <c r="A633" s="337">
        <v>46266</v>
      </c>
      <c r="B633" s="337">
        <v>46267</v>
      </c>
      <c r="C633" s="339">
        <v>0</v>
      </c>
      <c r="D633" t="s">
        <v>125</v>
      </c>
      <c r="E633" t="s">
        <v>273</v>
      </c>
      <c r="F633">
        <v>2</v>
      </c>
      <c r="G633" t="s">
        <v>123</v>
      </c>
      <c r="H633" t="s">
        <v>163</v>
      </c>
      <c r="I633" t="s">
        <v>165</v>
      </c>
      <c r="J633" t="s">
        <v>165</v>
      </c>
      <c r="K633" t="s">
        <v>165</v>
      </c>
      <c r="L633" t="s">
        <v>163</v>
      </c>
      <c r="M633" t="s">
        <v>163</v>
      </c>
      <c r="N633">
        <v>12.13</v>
      </c>
      <c r="O633" t="s">
        <v>163</v>
      </c>
      <c r="P633" t="s">
        <v>163</v>
      </c>
      <c r="Q633" t="s">
        <v>163</v>
      </c>
      <c r="R633" t="s">
        <v>163</v>
      </c>
      <c r="S633" t="s">
        <v>163</v>
      </c>
      <c r="T633" t="s">
        <v>163</v>
      </c>
      <c r="U633" t="s">
        <v>163</v>
      </c>
      <c r="V633" t="s">
        <v>163</v>
      </c>
      <c r="W633" t="s">
        <v>165</v>
      </c>
      <c r="X633" t="s">
        <v>165</v>
      </c>
      <c r="Y633" t="s">
        <v>163</v>
      </c>
      <c r="Z633" t="s">
        <v>163</v>
      </c>
      <c r="AA633">
        <v>1</v>
      </c>
      <c r="AB633">
        <v>2</v>
      </c>
      <c r="AC633">
        <v>1</v>
      </c>
      <c r="AD633" t="s">
        <v>163</v>
      </c>
      <c r="AE633" t="s">
        <v>163</v>
      </c>
      <c r="AF633" t="s">
        <v>163</v>
      </c>
      <c r="AG633" t="s">
        <v>163</v>
      </c>
      <c r="AH633" t="s">
        <v>163</v>
      </c>
      <c r="AI633" t="s">
        <v>163</v>
      </c>
      <c r="AJ633" t="s">
        <v>163</v>
      </c>
      <c r="AK633">
        <v>4</v>
      </c>
      <c r="AL633">
        <v>4</v>
      </c>
      <c r="AM633" t="s">
        <v>163</v>
      </c>
      <c r="AN633">
        <v>1</v>
      </c>
      <c r="AO633">
        <v>1</v>
      </c>
      <c r="AP633">
        <v>2</v>
      </c>
      <c r="AQ633">
        <v>2</v>
      </c>
      <c r="AR633">
        <v>6</v>
      </c>
      <c r="AS633">
        <v>6</v>
      </c>
    </row>
    <row r="634" spans="1:45" x14ac:dyDescent="0.35">
      <c r="A634" s="337">
        <v>46266</v>
      </c>
      <c r="B634" s="337">
        <v>46267</v>
      </c>
      <c r="C634" s="339">
        <v>0</v>
      </c>
      <c r="D634" t="s">
        <v>125</v>
      </c>
      <c r="E634" t="s">
        <v>239</v>
      </c>
      <c r="F634">
        <v>2</v>
      </c>
      <c r="G634" t="s">
        <v>123</v>
      </c>
      <c r="H634" t="s">
        <v>163</v>
      </c>
      <c r="I634" t="s">
        <v>165</v>
      </c>
      <c r="J634" t="s">
        <v>165</v>
      </c>
      <c r="K634" t="s">
        <v>165</v>
      </c>
      <c r="L634" t="s">
        <v>163</v>
      </c>
      <c r="M634" t="s">
        <v>163</v>
      </c>
      <c r="N634">
        <v>12.13</v>
      </c>
      <c r="O634" t="s">
        <v>163</v>
      </c>
      <c r="P634" t="s">
        <v>163</v>
      </c>
      <c r="Q634" t="s">
        <v>163</v>
      </c>
      <c r="R634" t="s">
        <v>163</v>
      </c>
      <c r="S634" t="s">
        <v>163</v>
      </c>
      <c r="T634" t="s">
        <v>163</v>
      </c>
      <c r="U634" t="s">
        <v>163</v>
      </c>
      <c r="V634" t="s">
        <v>163</v>
      </c>
      <c r="W634" t="s">
        <v>165</v>
      </c>
      <c r="X634" t="s">
        <v>165</v>
      </c>
      <c r="Y634" t="s">
        <v>163</v>
      </c>
      <c r="Z634" t="s">
        <v>163</v>
      </c>
      <c r="AA634">
        <v>1</v>
      </c>
      <c r="AB634">
        <v>2</v>
      </c>
      <c r="AC634">
        <v>1</v>
      </c>
      <c r="AD634" t="s">
        <v>163</v>
      </c>
      <c r="AE634" t="s">
        <v>163</v>
      </c>
      <c r="AF634" t="s">
        <v>163</v>
      </c>
      <c r="AG634" t="s">
        <v>163</v>
      </c>
      <c r="AH634" t="s">
        <v>163</v>
      </c>
      <c r="AI634" t="s">
        <v>163</v>
      </c>
      <c r="AJ634" t="s">
        <v>163</v>
      </c>
      <c r="AK634">
        <v>4</v>
      </c>
      <c r="AL634">
        <v>4</v>
      </c>
      <c r="AM634" t="s">
        <v>163</v>
      </c>
      <c r="AN634">
        <v>1</v>
      </c>
      <c r="AO634">
        <v>1</v>
      </c>
      <c r="AP634">
        <v>2</v>
      </c>
      <c r="AQ634">
        <v>2</v>
      </c>
      <c r="AR634">
        <v>6</v>
      </c>
      <c r="AS634">
        <v>6</v>
      </c>
    </row>
    <row r="635" spans="1:45" x14ac:dyDescent="0.35">
      <c r="A635" s="337">
        <v>46266</v>
      </c>
      <c r="B635" s="337">
        <v>46267</v>
      </c>
      <c r="C635" s="337">
        <v>815</v>
      </c>
      <c r="D635" t="s">
        <v>125</v>
      </c>
      <c r="E635" t="s">
        <v>326</v>
      </c>
      <c r="F635">
        <v>2</v>
      </c>
      <c r="G635" t="s">
        <v>123</v>
      </c>
      <c r="H635">
        <v>0.01</v>
      </c>
      <c r="I635" t="s">
        <v>165</v>
      </c>
      <c r="J635" t="s">
        <v>165</v>
      </c>
      <c r="K635" t="s">
        <v>165</v>
      </c>
      <c r="L635" t="s">
        <v>163</v>
      </c>
      <c r="M635" t="s">
        <v>163</v>
      </c>
      <c r="N635">
        <v>12.23</v>
      </c>
      <c r="O635" t="s">
        <v>163</v>
      </c>
      <c r="P635" t="s">
        <v>163</v>
      </c>
      <c r="Q635" t="s">
        <v>163</v>
      </c>
      <c r="R635" t="s">
        <v>163</v>
      </c>
      <c r="S635" t="s">
        <v>163</v>
      </c>
      <c r="T635" t="s">
        <v>163</v>
      </c>
      <c r="U635" t="s">
        <v>163</v>
      </c>
      <c r="V635">
        <v>25.19</v>
      </c>
      <c r="W635" t="s">
        <v>165</v>
      </c>
      <c r="X635" t="s">
        <v>165</v>
      </c>
      <c r="Y635" t="s">
        <v>163</v>
      </c>
      <c r="Z635">
        <v>2</v>
      </c>
      <c r="AA635">
        <v>1</v>
      </c>
      <c r="AB635">
        <v>2</v>
      </c>
      <c r="AC635">
        <v>1</v>
      </c>
      <c r="AD635" t="s">
        <v>163</v>
      </c>
      <c r="AE635" t="s">
        <v>163</v>
      </c>
      <c r="AF635" t="s">
        <v>163</v>
      </c>
      <c r="AG635" t="s">
        <v>163</v>
      </c>
      <c r="AH635" t="s">
        <v>163</v>
      </c>
      <c r="AI635" t="s">
        <v>163</v>
      </c>
      <c r="AJ635" t="s">
        <v>163</v>
      </c>
      <c r="AK635">
        <v>6</v>
      </c>
      <c r="AL635">
        <v>6</v>
      </c>
      <c r="AM635">
        <v>1</v>
      </c>
      <c r="AN635">
        <v>1</v>
      </c>
      <c r="AO635">
        <v>1</v>
      </c>
      <c r="AP635">
        <v>3</v>
      </c>
      <c r="AQ635">
        <v>3</v>
      </c>
      <c r="AR635">
        <v>9</v>
      </c>
      <c r="AS635">
        <v>9</v>
      </c>
    </row>
    <row r="636" spans="1:45" x14ac:dyDescent="0.35">
      <c r="A636" s="337">
        <v>46266</v>
      </c>
      <c r="B636" s="337">
        <v>46267</v>
      </c>
      <c r="C636" s="337">
        <v>46261</v>
      </c>
      <c r="D636" t="s">
        <v>125</v>
      </c>
      <c r="E636" t="s">
        <v>238</v>
      </c>
      <c r="F636">
        <v>1</v>
      </c>
      <c r="G636" t="s">
        <v>141</v>
      </c>
      <c r="H636">
        <v>0.01</v>
      </c>
      <c r="I636" t="s">
        <v>165</v>
      </c>
      <c r="J636" t="s">
        <v>165</v>
      </c>
      <c r="K636" t="s">
        <v>165</v>
      </c>
      <c r="L636" t="s">
        <v>163</v>
      </c>
      <c r="M636" t="s">
        <v>161</v>
      </c>
      <c r="N636">
        <v>9.65</v>
      </c>
      <c r="O636" t="s">
        <v>163</v>
      </c>
      <c r="P636" t="s">
        <v>163</v>
      </c>
      <c r="Q636" t="s">
        <v>163</v>
      </c>
      <c r="R636" t="s">
        <v>163</v>
      </c>
      <c r="S636" t="s">
        <v>163</v>
      </c>
      <c r="T636" t="s">
        <v>163</v>
      </c>
      <c r="U636" t="s">
        <v>163</v>
      </c>
      <c r="V636" t="s">
        <v>163</v>
      </c>
      <c r="W636" t="s">
        <v>165</v>
      </c>
      <c r="X636" t="s">
        <v>165</v>
      </c>
      <c r="Y636" t="s">
        <v>163</v>
      </c>
      <c r="Z636">
        <v>2</v>
      </c>
      <c r="AA636">
        <v>1</v>
      </c>
      <c r="AB636">
        <v>2</v>
      </c>
      <c r="AC636">
        <v>0</v>
      </c>
      <c r="AD636" t="s">
        <v>163</v>
      </c>
      <c r="AE636" t="s">
        <v>163</v>
      </c>
      <c r="AF636" t="s">
        <v>163</v>
      </c>
      <c r="AG636" t="s">
        <v>163</v>
      </c>
      <c r="AH636" t="s">
        <v>163</v>
      </c>
      <c r="AI636" t="s">
        <v>163</v>
      </c>
      <c r="AJ636" t="s">
        <v>163</v>
      </c>
      <c r="AK636">
        <v>5</v>
      </c>
      <c r="AL636">
        <v>6</v>
      </c>
      <c r="AM636" t="s">
        <v>163</v>
      </c>
      <c r="AN636">
        <v>1</v>
      </c>
      <c r="AO636">
        <v>1</v>
      </c>
      <c r="AP636">
        <v>2</v>
      </c>
      <c r="AQ636">
        <v>2</v>
      </c>
      <c r="AR636">
        <v>7</v>
      </c>
      <c r="AS636">
        <v>8</v>
      </c>
    </row>
    <row r="637" spans="1:45" x14ac:dyDescent="0.35">
      <c r="A637" s="337">
        <v>46266</v>
      </c>
      <c r="B637" s="337">
        <v>46267</v>
      </c>
      <c r="C637" s="337">
        <v>46261</v>
      </c>
      <c r="D637" t="s">
        <v>125</v>
      </c>
      <c r="E637" t="s">
        <v>328</v>
      </c>
      <c r="F637">
        <v>1</v>
      </c>
      <c r="G637" t="s">
        <v>141</v>
      </c>
      <c r="H637">
        <v>0.01</v>
      </c>
      <c r="I637" t="s">
        <v>165</v>
      </c>
      <c r="J637" t="s">
        <v>165</v>
      </c>
      <c r="K637" t="s">
        <v>165</v>
      </c>
      <c r="L637" t="s">
        <v>163</v>
      </c>
      <c r="M637" t="s">
        <v>161</v>
      </c>
      <c r="N637">
        <v>9.65</v>
      </c>
      <c r="O637" t="s">
        <v>163</v>
      </c>
      <c r="P637" t="s">
        <v>163</v>
      </c>
      <c r="Q637" t="s">
        <v>163</v>
      </c>
      <c r="R637" t="s">
        <v>163</v>
      </c>
      <c r="S637" t="s">
        <v>163</v>
      </c>
      <c r="T637" t="s">
        <v>163</v>
      </c>
      <c r="U637" t="s">
        <v>163</v>
      </c>
      <c r="V637" t="s">
        <v>163</v>
      </c>
      <c r="W637" t="s">
        <v>165</v>
      </c>
      <c r="X637" t="s">
        <v>165</v>
      </c>
      <c r="Y637" t="s">
        <v>163</v>
      </c>
      <c r="Z637">
        <v>2</v>
      </c>
      <c r="AA637">
        <v>1</v>
      </c>
      <c r="AB637">
        <v>2</v>
      </c>
      <c r="AC637">
        <v>0</v>
      </c>
      <c r="AD637" t="s">
        <v>163</v>
      </c>
      <c r="AE637" t="s">
        <v>163</v>
      </c>
      <c r="AF637" t="s">
        <v>163</v>
      </c>
      <c r="AG637" t="s">
        <v>163</v>
      </c>
      <c r="AH637" t="s">
        <v>163</v>
      </c>
      <c r="AI637" t="s">
        <v>163</v>
      </c>
      <c r="AJ637" t="s">
        <v>163</v>
      </c>
      <c r="AK637">
        <v>5</v>
      </c>
      <c r="AL637">
        <v>6</v>
      </c>
      <c r="AM637" t="s">
        <v>163</v>
      </c>
      <c r="AN637">
        <v>1</v>
      </c>
      <c r="AO637">
        <v>1</v>
      </c>
      <c r="AP637">
        <v>2</v>
      </c>
      <c r="AQ637">
        <v>2</v>
      </c>
      <c r="AR637">
        <v>7</v>
      </c>
      <c r="AS637">
        <v>8</v>
      </c>
    </row>
    <row r="638" spans="1:45" x14ac:dyDescent="0.35">
      <c r="A638" s="337">
        <v>46266</v>
      </c>
      <c r="B638" s="337">
        <v>46267</v>
      </c>
      <c r="C638" s="337">
        <v>46261</v>
      </c>
      <c r="D638" t="s">
        <v>125</v>
      </c>
      <c r="E638" t="s">
        <v>327</v>
      </c>
      <c r="F638">
        <v>1</v>
      </c>
      <c r="G638" t="s">
        <v>141</v>
      </c>
      <c r="H638">
        <v>0.01</v>
      </c>
      <c r="I638" t="s">
        <v>163</v>
      </c>
      <c r="J638" t="s">
        <v>165</v>
      </c>
      <c r="K638" t="s">
        <v>165</v>
      </c>
      <c r="L638" t="s">
        <v>163</v>
      </c>
      <c r="M638" t="s">
        <v>161</v>
      </c>
      <c r="N638">
        <v>9.7899999999999991</v>
      </c>
      <c r="O638" t="s">
        <v>163</v>
      </c>
      <c r="P638" t="s">
        <v>163</v>
      </c>
      <c r="Q638" t="s">
        <v>163</v>
      </c>
      <c r="R638" t="s">
        <v>163</v>
      </c>
      <c r="S638" t="s">
        <v>163</v>
      </c>
      <c r="T638" t="s">
        <v>163</v>
      </c>
      <c r="U638" t="s">
        <v>163</v>
      </c>
      <c r="V638" t="s">
        <v>163</v>
      </c>
      <c r="W638" t="s">
        <v>165</v>
      </c>
      <c r="X638" t="s">
        <v>165</v>
      </c>
      <c r="Y638" t="s">
        <v>163</v>
      </c>
      <c r="Z638">
        <v>2</v>
      </c>
      <c r="AA638" t="s">
        <v>163</v>
      </c>
      <c r="AB638">
        <v>2</v>
      </c>
      <c r="AC638">
        <v>0</v>
      </c>
      <c r="AD638" t="s">
        <v>163</v>
      </c>
      <c r="AE638" t="s">
        <v>163</v>
      </c>
      <c r="AF638" t="s">
        <v>163</v>
      </c>
      <c r="AG638" t="s">
        <v>163</v>
      </c>
      <c r="AH638" t="s">
        <v>163</v>
      </c>
      <c r="AI638" t="s">
        <v>163</v>
      </c>
      <c r="AJ638" t="s">
        <v>163</v>
      </c>
      <c r="AK638">
        <v>4</v>
      </c>
      <c r="AL638">
        <v>5</v>
      </c>
      <c r="AM638" t="s">
        <v>163</v>
      </c>
      <c r="AN638">
        <v>1</v>
      </c>
      <c r="AO638">
        <v>1</v>
      </c>
      <c r="AP638">
        <v>2</v>
      </c>
      <c r="AQ638">
        <v>2</v>
      </c>
      <c r="AR638">
        <v>6</v>
      </c>
      <c r="AS638">
        <v>7</v>
      </c>
    </row>
    <row r="639" spans="1:45" x14ac:dyDescent="0.35">
      <c r="A639" s="337">
        <v>46266</v>
      </c>
      <c r="B639" s="337">
        <v>46267</v>
      </c>
      <c r="C639" s="337">
        <v>46261</v>
      </c>
      <c r="D639" t="s">
        <v>125</v>
      </c>
      <c r="E639" t="s">
        <v>240</v>
      </c>
      <c r="F639">
        <v>1</v>
      </c>
      <c r="G639" t="s">
        <v>141</v>
      </c>
      <c r="H639" t="s">
        <v>163</v>
      </c>
      <c r="I639" t="s">
        <v>165</v>
      </c>
      <c r="J639" t="s">
        <v>165</v>
      </c>
      <c r="K639" t="s">
        <v>165</v>
      </c>
      <c r="L639" t="s">
        <v>163</v>
      </c>
      <c r="M639" t="s">
        <v>161</v>
      </c>
      <c r="N639">
        <v>10.18</v>
      </c>
      <c r="O639" t="s">
        <v>163</v>
      </c>
      <c r="P639" t="s">
        <v>163</v>
      </c>
      <c r="Q639" t="s">
        <v>163</v>
      </c>
      <c r="R639" t="s">
        <v>163</v>
      </c>
      <c r="S639" t="s">
        <v>163</v>
      </c>
      <c r="T639" t="s">
        <v>163</v>
      </c>
      <c r="U639" t="s">
        <v>163</v>
      </c>
      <c r="V639" t="s">
        <v>163</v>
      </c>
      <c r="W639" t="s">
        <v>165</v>
      </c>
      <c r="X639" t="s">
        <v>165</v>
      </c>
      <c r="Y639" t="s">
        <v>163</v>
      </c>
      <c r="Z639" t="s">
        <v>163</v>
      </c>
      <c r="AA639">
        <v>1</v>
      </c>
      <c r="AB639">
        <v>2</v>
      </c>
      <c r="AC639">
        <v>0</v>
      </c>
      <c r="AD639" t="s">
        <v>163</v>
      </c>
      <c r="AE639" t="s">
        <v>163</v>
      </c>
      <c r="AF639" t="s">
        <v>163</v>
      </c>
      <c r="AG639" t="s">
        <v>163</v>
      </c>
      <c r="AH639" t="s">
        <v>163</v>
      </c>
      <c r="AI639" t="s">
        <v>163</v>
      </c>
      <c r="AJ639" t="s">
        <v>163</v>
      </c>
      <c r="AK639">
        <v>3</v>
      </c>
      <c r="AL639">
        <v>4</v>
      </c>
      <c r="AM639" t="s">
        <v>163</v>
      </c>
      <c r="AN639">
        <v>1</v>
      </c>
      <c r="AO639">
        <v>1</v>
      </c>
      <c r="AP639">
        <v>2</v>
      </c>
      <c r="AQ639">
        <v>2</v>
      </c>
      <c r="AR639">
        <v>5</v>
      </c>
      <c r="AS639">
        <v>6</v>
      </c>
    </row>
    <row r="640" spans="1:45" x14ac:dyDescent="0.35">
      <c r="A640" s="337">
        <v>46266</v>
      </c>
      <c r="B640" s="337">
        <v>46267</v>
      </c>
      <c r="C640" s="337">
        <v>46261</v>
      </c>
      <c r="D640" t="s">
        <v>125</v>
      </c>
      <c r="E640" t="s">
        <v>273</v>
      </c>
      <c r="F640">
        <v>1</v>
      </c>
      <c r="G640" t="s">
        <v>141</v>
      </c>
      <c r="H640">
        <v>0.01</v>
      </c>
      <c r="I640" t="s">
        <v>165</v>
      </c>
      <c r="J640" t="s">
        <v>165</v>
      </c>
      <c r="K640" t="s">
        <v>165</v>
      </c>
      <c r="L640" t="s">
        <v>163</v>
      </c>
      <c r="M640" t="s">
        <v>161</v>
      </c>
      <c r="N640">
        <v>10</v>
      </c>
      <c r="O640" t="s">
        <v>163</v>
      </c>
      <c r="P640" t="s">
        <v>163</v>
      </c>
      <c r="Q640" t="s">
        <v>163</v>
      </c>
      <c r="R640" t="s">
        <v>163</v>
      </c>
      <c r="S640" t="s">
        <v>163</v>
      </c>
      <c r="T640" t="s">
        <v>163</v>
      </c>
      <c r="U640" t="s">
        <v>163</v>
      </c>
      <c r="V640" t="s">
        <v>163</v>
      </c>
      <c r="W640" t="s">
        <v>165</v>
      </c>
      <c r="X640" t="s">
        <v>165</v>
      </c>
      <c r="Y640" t="s">
        <v>163</v>
      </c>
      <c r="Z640">
        <v>2</v>
      </c>
      <c r="AA640">
        <v>1</v>
      </c>
      <c r="AB640">
        <v>2</v>
      </c>
      <c r="AC640">
        <v>0</v>
      </c>
      <c r="AD640" t="s">
        <v>163</v>
      </c>
      <c r="AE640" t="s">
        <v>163</v>
      </c>
      <c r="AF640" t="s">
        <v>163</v>
      </c>
      <c r="AG640" t="s">
        <v>163</v>
      </c>
      <c r="AH640" t="s">
        <v>163</v>
      </c>
      <c r="AI640" t="s">
        <v>163</v>
      </c>
      <c r="AJ640" t="s">
        <v>163</v>
      </c>
      <c r="AK640">
        <v>5</v>
      </c>
      <c r="AL640">
        <v>6</v>
      </c>
      <c r="AM640" t="s">
        <v>163</v>
      </c>
      <c r="AN640">
        <v>1</v>
      </c>
      <c r="AO640">
        <v>1</v>
      </c>
      <c r="AP640">
        <v>2</v>
      </c>
      <c r="AQ640">
        <v>2</v>
      </c>
      <c r="AR640">
        <v>7</v>
      </c>
      <c r="AS640">
        <v>8</v>
      </c>
    </row>
    <row r="641" spans="1:45" x14ac:dyDescent="0.35">
      <c r="A641" s="337">
        <v>46266</v>
      </c>
      <c r="B641" s="337">
        <v>46267</v>
      </c>
      <c r="C641" s="337">
        <v>46261</v>
      </c>
      <c r="D641" t="s">
        <v>125</v>
      </c>
      <c r="E641" t="s">
        <v>239</v>
      </c>
      <c r="F641">
        <v>1</v>
      </c>
      <c r="G641" t="s">
        <v>141</v>
      </c>
      <c r="H641">
        <v>0.01</v>
      </c>
      <c r="I641" t="s">
        <v>165</v>
      </c>
      <c r="J641" t="s">
        <v>165</v>
      </c>
      <c r="K641" t="s">
        <v>165</v>
      </c>
      <c r="L641" t="s">
        <v>163</v>
      </c>
      <c r="M641" t="s">
        <v>161</v>
      </c>
      <c r="N641">
        <v>9.81</v>
      </c>
      <c r="O641" t="s">
        <v>163</v>
      </c>
      <c r="P641" t="s">
        <v>163</v>
      </c>
      <c r="Q641" t="s">
        <v>163</v>
      </c>
      <c r="R641" t="s">
        <v>163</v>
      </c>
      <c r="S641" t="s">
        <v>163</v>
      </c>
      <c r="T641" t="s">
        <v>163</v>
      </c>
      <c r="U641" t="s">
        <v>163</v>
      </c>
      <c r="V641" t="s">
        <v>163</v>
      </c>
      <c r="W641" t="s">
        <v>165</v>
      </c>
      <c r="X641" t="s">
        <v>165</v>
      </c>
      <c r="Y641" t="s">
        <v>163</v>
      </c>
      <c r="Z641">
        <v>2</v>
      </c>
      <c r="AA641">
        <v>1</v>
      </c>
      <c r="AB641">
        <v>2</v>
      </c>
      <c r="AC641">
        <v>0</v>
      </c>
      <c r="AD641" t="s">
        <v>163</v>
      </c>
      <c r="AE641" t="s">
        <v>163</v>
      </c>
      <c r="AF641" t="s">
        <v>163</v>
      </c>
      <c r="AG641" t="s">
        <v>163</v>
      </c>
      <c r="AH641" t="s">
        <v>163</v>
      </c>
      <c r="AI641" t="s">
        <v>163</v>
      </c>
      <c r="AJ641" t="s">
        <v>163</v>
      </c>
      <c r="AK641">
        <v>5</v>
      </c>
      <c r="AL641">
        <v>6</v>
      </c>
      <c r="AM641" t="s">
        <v>163</v>
      </c>
      <c r="AN641">
        <v>1</v>
      </c>
      <c r="AO641">
        <v>1</v>
      </c>
      <c r="AP641">
        <v>2</v>
      </c>
      <c r="AQ641">
        <v>2</v>
      </c>
      <c r="AR641">
        <v>7</v>
      </c>
      <c r="AS641">
        <v>8</v>
      </c>
    </row>
    <row r="642" spans="1:45" x14ac:dyDescent="0.35">
      <c r="A642" s="337">
        <v>46266</v>
      </c>
      <c r="B642" s="337">
        <v>46267</v>
      </c>
      <c r="C642" s="337">
        <v>46261</v>
      </c>
      <c r="D642" t="s">
        <v>125</v>
      </c>
      <c r="E642" t="s">
        <v>326</v>
      </c>
      <c r="F642">
        <v>1</v>
      </c>
      <c r="G642" t="s">
        <v>141</v>
      </c>
      <c r="H642" t="s">
        <v>163</v>
      </c>
      <c r="I642" t="s">
        <v>165</v>
      </c>
      <c r="J642" t="s">
        <v>165</v>
      </c>
      <c r="K642" t="s">
        <v>165</v>
      </c>
      <c r="L642" t="s">
        <v>163</v>
      </c>
      <c r="M642" t="s">
        <v>161</v>
      </c>
      <c r="N642">
        <v>9.8000000000000007</v>
      </c>
      <c r="O642">
        <v>9.31</v>
      </c>
      <c r="P642">
        <v>0.54</v>
      </c>
      <c r="Q642">
        <v>54.4</v>
      </c>
      <c r="R642" t="s">
        <v>163</v>
      </c>
      <c r="S642" t="s">
        <v>163</v>
      </c>
      <c r="T642">
        <v>25.5</v>
      </c>
      <c r="U642" t="s">
        <v>163</v>
      </c>
      <c r="V642">
        <v>25.19</v>
      </c>
      <c r="W642" t="s">
        <v>165</v>
      </c>
      <c r="X642" t="s">
        <v>165</v>
      </c>
      <c r="Y642">
        <v>1</v>
      </c>
      <c r="Z642" t="s">
        <v>163</v>
      </c>
      <c r="AA642">
        <v>1</v>
      </c>
      <c r="AB642">
        <v>2</v>
      </c>
      <c r="AC642">
        <v>0</v>
      </c>
      <c r="AD642" t="s">
        <v>163</v>
      </c>
      <c r="AE642">
        <v>2</v>
      </c>
      <c r="AF642">
        <v>2</v>
      </c>
      <c r="AG642" t="s">
        <v>163</v>
      </c>
      <c r="AH642" t="s">
        <v>163</v>
      </c>
      <c r="AI642">
        <v>2</v>
      </c>
      <c r="AJ642" t="s">
        <v>163</v>
      </c>
      <c r="AK642">
        <v>9</v>
      </c>
      <c r="AL642">
        <v>10</v>
      </c>
      <c r="AM642">
        <v>1</v>
      </c>
      <c r="AN642">
        <v>1</v>
      </c>
      <c r="AO642">
        <v>1</v>
      </c>
      <c r="AP642">
        <v>3</v>
      </c>
      <c r="AQ642">
        <v>3</v>
      </c>
      <c r="AR642">
        <v>12</v>
      </c>
      <c r="AS642">
        <v>13</v>
      </c>
    </row>
    <row r="643" spans="1:45" x14ac:dyDescent="0.35">
      <c r="A643" s="337">
        <v>46266</v>
      </c>
      <c r="B643" s="337">
        <v>46266</v>
      </c>
      <c r="C643" s="337">
        <v>46259</v>
      </c>
      <c r="D643" t="s">
        <v>130</v>
      </c>
      <c r="E643" s="338">
        <v>1.1666666666666667</v>
      </c>
      <c r="F643">
        <v>3</v>
      </c>
      <c r="G643" t="s">
        <v>36</v>
      </c>
      <c r="H643">
        <v>0.01</v>
      </c>
      <c r="I643" t="s">
        <v>165</v>
      </c>
      <c r="J643" t="s">
        <v>165</v>
      </c>
      <c r="K643" t="s">
        <v>165</v>
      </c>
      <c r="L643" t="s">
        <v>161</v>
      </c>
      <c r="M643" t="s">
        <v>161</v>
      </c>
      <c r="N643">
        <v>11.97</v>
      </c>
      <c r="O643" t="s">
        <v>163</v>
      </c>
      <c r="P643" t="s">
        <v>163</v>
      </c>
      <c r="Q643" t="s">
        <v>163</v>
      </c>
      <c r="R643" t="s">
        <v>163</v>
      </c>
      <c r="S643" t="s">
        <v>163</v>
      </c>
      <c r="T643" t="s">
        <v>163</v>
      </c>
      <c r="U643" t="s">
        <v>163</v>
      </c>
      <c r="V643" t="s">
        <v>163</v>
      </c>
      <c r="W643" t="s">
        <v>165</v>
      </c>
      <c r="X643" t="s">
        <v>165</v>
      </c>
      <c r="Y643" t="s">
        <v>163</v>
      </c>
      <c r="Z643">
        <v>2</v>
      </c>
      <c r="AA643">
        <v>1</v>
      </c>
      <c r="AB643">
        <v>2</v>
      </c>
      <c r="AC643">
        <v>0</v>
      </c>
      <c r="AD643" t="s">
        <v>163</v>
      </c>
      <c r="AE643" t="s">
        <v>163</v>
      </c>
      <c r="AF643" t="s">
        <v>163</v>
      </c>
      <c r="AG643" t="s">
        <v>163</v>
      </c>
      <c r="AH643" t="s">
        <v>163</v>
      </c>
      <c r="AI643" t="s">
        <v>163</v>
      </c>
      <c r="AJ643" t="s">
        <v>163</v>
      </c>
      <c r="AK643">
        <v>5</v>
      </c>
      <c r="AL643">
        <v>6</v>
      </c>
      <c r="AM643" t="s">
        <v>163</v>
      </c>
      <c r="AN643">
        <v>1</v>
      </c>
      <c r="AO643">
        <v>1</v>
      </c>
      <c r="AP643">
        <v>2</v>
      </c>
      <c r="AQ643">
        <v>2</v>
      </c>
      <c r="AR643">
        <v>7</v>
      </c>
      <c r="AS643">
        <v>8</v>
      </c>
    </row>
    <row r="644" spans="1:45" x14ac:dyDescent="0.35">
      <c r="A644" s="337">
        <v>46266</v>
      </c>
      <c r="B644" s="337">
        <v>46266</v>
      </c>
      <c r="C644" s="337">
        <v>46259</v>
      </c>
      <c r="D644" t="s">
        <v>130</v>
      </c>
      <c r="E644" s="338">
        <v>1.125</v>
      </c>
      <c r="F644">
        <v>3</v>
      </c>
      <c r="G644" t="s">
        <v>36</v>
      </c>
      <c r="H644">
        <v>0.01</v>
      </c>
      <c r="I644" t="s">
        <v>165</v>
      </c>
      <c r="J644" t="s">
        <v>165</v>
      </c>
      <c r="K644" t="s">
        <v>165</v>
      </c>
      <c r="L644" t="s">
        <v>161</v>
      </c>
      <c r="M644" t="s">
        <v>161</v>
      </c>
      <c r="N644" t="s">
        <v>163</v>
      </c>
      <c r="O644">
        <v>12.39</v>
      </c>
      <c r="P644" t="s">
        <v>163</v>
      </c>
      <c r="Q644" t="s">
        <v>163</v>
      </c>
      <c r="R644" t="s">
        <v>163</v>
      </c>
      <c r="S644" t="s">
        <v>163</v>
      </c>
      <c r="T644">
        <v>34.799999999999997</v>
      </c>
      <c r="U644" t="s">
        <v>163</v>
      </c>
      <c r="V644" t="s">
        <v>163</v>
      </c>
      <c r="W644" t="s">
        <v>165</v>
      </c>
      <c r="X644" t="s">
        <v>165</v>
      </c>
      <c r="Y644" t="s">
        <v>415</v>
      </c>
      <c r="Z644">
        <v>2</v>
      </c>
      <c r="AA644">
        <v>1</v>
      </c>
      <c r="AB644">
        <v>2</v>
      </c>
      <c r="AC644" t="s">
        <v>163</v>
      </c>
      <c r="AD644">
        <v>1</v>
      </c>
      <c r="AE644" t="s">
        <v>163</v>
      </c>
      <c r="AF644" t="s">
        <v>163</v>
      </c>
      <c r="AG644" t="s">
        <v>163</v>
      </c>
      <c r="AH644" t="s">
        <v>163</v>
      </c>
      <c r="AI644">
        <v>2</v>
      </c>
      <c r="AJ644" t="s">
        <v>163</v>
      </c>
      <c r="AK644">
        <v>8</v>
      </c>
      <c r="AL644">
        <v>8</v>
      </c>
      <c r="AM644" t="s">
        <v>163</v>
      </c>
      <c r="AN644">
        <v>1</v>
      </c>
      <c r="AO644">
        <v>1</v>
      </c>
      <c r="AP644">
        <v>2</v>
      </c>
      <c r="AQ644">
        <v>2</v>
      </c>
      <c r="AR644">
        <v>10</v>
      </c>
      <c r="AS644">
        <v>10</v>
      </c>
    </row>
    <row r="645" spans="1:45" x14ac:dyDescent="0.35">
      <c r="A645" s="337">
        <v>46266</v>
      </c>
      <c r="B645" s="337">
        <v>46266</v>
      </c>
      <c r="C645" s="339">
        <v>0</v>
      </c>
      <c r="D645" t="s">
        <v>130</v>
      </c>
      <c r="E645" s="338">
        <v>1.2083333333333333</v>
      </c>
      <c r="F645">
        <v>2</v>
      </c>
      <c r="G645" t="s">
        <v>123</v>
      </c>
      <c r="H645" t="s">
        <v>163</v>
      </c>
      <c r="I645" t="s">
        <v>165</v>
      </c>
      <c r="J645" t="s">
        <v>165</v>
      </c>
      <c r="K645" t="s">
        <v>165</v>
      </c>
      <c r="L645" t="s">
        <v>163</v>
      </c>
      <c r="M645" t="s">
        <v>163</v>
      </c>
      <c r="N645">
        <v>12.28</v>
      </c>
      <c r="O645" t="s">
        <v>163</v>
      </c>
      <c r="P645" t="s">
        <v>163</v>
      </c>
      <c r="Q645" t="s">
        <v>163</v>
      </c>
      <c r="R645" t="s">
        <v>163</v>
      </c>
      <c r="S645" t="s">
        <v>163</v>
      </c>
      <c r="T645" t="s">
        <v>163</v>
      </c>
      <c r="U645" t="s">
        <v>163</v>
      </c>
      <c r="V645" t="s">
        <v>163</v>
      </c>
      <c r="W645" t="s">
        <v>165</v>
      </c>
      <c r="X645" t="s">
        <v>165</v>
      </c>
      <c r="Y645" t="s">
        <v>163</v>
      </c>
      <c r="Z645" t="s">
        <v>163</v>
      </c>
      <c r="AA645">
        <v>1</v>
      </c>
      <c r="AB645">
        <v>2</v>
      </c>
      <c r="AC645">
        <v>1</v>
      </c>
      <c r="AD645" t="s">
        <v>163</v>
      </c>
      <c r="AE645" t="s">
        <v>163</v>
      </c>
      <c r="AF645" t="s">
        <v>163</v>
      </c>
      <c r="AG645" t="s">
        <v>163</v>
      </c>
      <c r="AH645" t="s">
        <v>163</v>
      </c>
      <c r="AI645" t="s">
        <v>163</v>
      </c>
      <c r="AJ645" t="s">
        <v>163</v>
      </c>
      <c r="AK645">
        <v>4</v>
      </c>
      <c r="AL645">
        <v>4</v>
      </c>
      <c r="AM645" t="s">
        <v>163</v>
      </c>
      <c r="AN645">
        <v>1</v>
      </c>
      <c r="AO645">
        <v>1</v>
      </c>
      <c r="AP645">
        <v>2</v>
      </c>
      <c r="AQ645">
        <v>2</v>
      </c>
      <c r="AR645">
        <v>6</v>
      </c>
      <c r="AS645">
        <v>6</v>
      </c>
    </row>
    <row r="646" spans="1:45" x14ac:dyDescent="0.35">
      <c r="A646" s="337">
        <v>46266</v>
      </c>
      <c r="B646" s="337">
        <v>46266</v>
      </c>
      <c r="C646" s="339">
        <v>0</v>
      </c>
      <c r="D646" t="s">
        <v>130</v>
      </c>
      <c r="E646" s="338">
        <v>1.1666666666666667</v>
      </c>
      <c r="F646">
        <v>2</v>
      </c>
      <c r="G646" t="s">
        <v>123</v>
      </c>
      <c r="H646" t="s">
        <v>163</v>
      </c>
      <c r="I646" t="s">
        <v>165</v>
      </c>
      <c r="J646" t="s">
        <v>165</v>
      </c>
      <c r="K646" t="s">
        <v>165</v>
      </c>
      <c r="L646" t="s">
        <v>163</v>
      </c>
      <c r="M646" t="s">
        <v>163</v>
      </c>
      <c r="N646">
        <v>11.81</v>
      </c>
      <c r="O646">
        <v>11.84</v>
      </c>
      <c r="P646" t="s">
        <v>163</v>
      </c>
      <c r="Q646">
        <v>63.8</v>
      </c>
      <c r="R646" t="s">
        <v>163</v>
      </c>
      <c r="S646" t="s">
        <v>163</v>
      </c>
      <c r="T646">
        <v>33.1</v>
      </c>
      <c r="U646" t="s">
        <v>163</v>
      </c>
      <c r="V646" t="s">
        <v>163</v>
      </c>
      <c r="W646" t="s">
        <v>165</v>
      </c>
      <c r="X646" t="s">
        <v>165</v>
      </c>
      <c r="Y646" t="s">
        <v>163</v>
      </c>
      <c r="Z646" t="s">
        <v>163</v>
      </c>
      <c r="AA646">
        <v>1</v>
      </c>
      <c r="AB646">
        <v>2</v>
      </c>
      <c r="AC646">
        <v>1</v>
      </c>
      <c r="AD646">
        <v>0</v>
      </c>
      <c r="AE646" t="s">
        <v>163</v>
      </c>
      <c r="AF646">
        <v>2</v>
      </c>
      <c r="AG646" t="s">
        <v>163</v>
      </c>
      <c r="AH646" t="s">
        <v>163</v>
      </c>
      <c r="AI646">
        <v>2</v>
      </c>
      <c r="AJ646" t="s">
        <v>163</v>
      </c>
      <c r="AK646">
        <v>8</v>
      </c>
      <c r="AL646">
        <v>9</v>
      </c>
      <c r="AM646" t="s">
        <v>163</v>
      </c>
      <c r="AN646">
        <v>1</v>
      </c>
      <c r="AO646">
        <v>1</v>
      </c>
      <c r="AP646">
        <v>2</v>
      </c>
      <c r="AQ646">
        <v>2</v>
      </c>
      <c r="AR646">
        <v>10</v>
      </c>
      <c r="AS646">
        <v>11</v>
      </c>
    </row>
    <row r="647" spans="1:45" x14ac:dyDescent="0.35">
      <c r="A647" s="337">
        <v>46266</v>
      </c>
      <c r="B647" s="337">
        <v>46266</v>
      </c>
      <c r="C647" s="339">
        <v>0</v>
      </c>
      <c r="D647" t="s">
        <v>130</v>
      </c>
      <c r="E647" s="338">
        <v>1.125</v>
      </c>
      <c r="F647">
        <v>2</v>
      </c>
      <c r="G647" t="s">
        <v>158</v>
      </c>
      <c r="H647" t="s">
        <v>163</v>
      </c>
      <c r="I647" t="s">
        <v>165</v>
      </c>
      <c r="J647" t="s">
        <v>165</v>
      </c>
      <c r="K647" t="s">
        <v>165</v>
      </c>
      <c r="L647" t="s">
        <v>163</v>
      </c>
      <c r="M647" t="s">
        <v>163</v>
      </c>
      <c r="N647">
        <v>11.11</v>
      </c>
      <c r="O647" t="s">
        <v>163</v>
      </c>
      <c r="P647" t="s">
        <v>163</v>
      </c>
      <c r="Q647" t="s">
        <v>163</v>
      </c>
      <c r="R647" t="s">
        <v>163</v>
      </c>
      <c r="S647" t="s">
        <v>163</v>
      </c>
      <c r="T647" t="s">
        <v>163</v>
      </c>
      <c r="U647" t="s">
        <v>163</v>
      </c>
      <c r="V647" t="s">
        <v>163</v>
      </c>
      <c r="W647" t="s">
        <v>165</v>
      </c>
      <c r="X647" t="s">
        <v>165</v>
      </c>
      <c r="Y647" t="s">
        <v>419</v>
      </c>
      <c r="Z647" t="s">
        <v>163</v>
      </c>
      <c r="AA647">
        <v>1</v>
      </c>
      <c r="AB647">
        <v>2</v>
      </c>
      <c r="AC647">
        <v>1</v>
      </c>
      <c r="AD647" t="s">
        <v>163</v>
      </c>
      <c r="AE647" t="s">
        <v>163</v>
      </c>
      <c r="AF647" t="s">
        <v>163</v>
      </c>
      <c r="AG647" t="s">
        <v>163</v>
      </c>
      <c r="AH647" t="s">
        <v>163</v>
      </c>
      <c r="AI647" t="s">
        <v>163</v>
      </c>
      <c r="AJ647" t="s">
        <v>163</v>
      </c>
      <c r="AK647">
        <v>4</v>
      </c>
      <c r="AL647">
        <v>4</v>
      </c>
      <c r="AM647" t="s">
        <v>163</v>
      </c>
      <c r="AN647">
        <v>1</v>
      </c>
      <c r="AO647">
        <v>1</v>
      </c>
      <c r="AP647">
        <v>2</v>
      </c>
      <c r="AQ647">
        <v>2</v>
      </c>
      <c r="AR647">
        <v>6</v>
      </c>
      <c r="AS647">
        <v>6</v>
      </c>
    </row>
    <row r="648" spans="1:45" x14ac:dyDescent="0.35">
      <c r="A648" s="337">
        <v>46266</v>
      </c>
      <c r="B648" s="337">
        <v>46266</v>
      </c>
      <c r="C648" s="339">
        <v>0</v>
      </c>
      <c r="D648" t="s">
        <v>130</v>
      </c>
      <c r="E648" s="338">
        <v>1.0833333333333333</v>
      </c>
      <c r="F648">
        <v>2</v>
      </c>
      <c r="G648" t="s">
        <v>158</v>
      </c>
      <c r="H648" t="s">
        <v>163</v>
      </c>
      <c r="I648" t="s">
        <v>165</v>
      </c>
      <c r="J648" t="s">
        <v>165</v>
      </c>
      <c r="K648" t="s">
        <v>165</v>
      </c>
      <c r="L648" t="s">
        <v>163</v>
      </c>
      <c r="M648" t="s">
        <v>163</v>
      </c>
      <c r="N648">
        <v>11.01</v>
      </c>
      <c r="O648" t="s">
        <v>163</v>
      </c>
      <c r="P648" t="s">
        <v>163</v>
      </c>
      <c r="Q648" t="s">
        <v>163</v>
      </c>
      <c r="R648" t="s">
        <v>163</v>
      </c>
      <c r="S648" t="s">
        <v>163</v>
      </c>
      <c r="T648" t="s">
        <v>163</v>
      </c>
      <c r="U648" t="s">
        <v>163</v>
      </c>
      <c r="V648" t="s">
        <v>163</v>
      </c>
      <c r="W648" t="s">
        <v>165</v>
      </c>
      <c r="X648" t="s">
        <v>165</v>
      </c>
      <c r="Y648" t="s">
        <v>163</v>
      </c>
      <c r="Z648" t="s">
        <v>163</v>
      </c>
      <c r="AA648">
        <v>1</v>
      </c>
      <c r="AB648">
        <v>2</v>
      </c>
      <c r="AC648">
        <v>1</v>
      </c>
      <c r="AD648" t="s">
        <v>163</v>
      </c>
      <c r="AE648" t="s">
        <v>163</v>
      </c>
      <c r="AF648" t="s">
        <v>163</v>
      </c>
      <c r="AG648" t="s">
        <v>163</v>
      </c>
      <c r="AH648" t="s">
        <v>163</v>
      </c>
      <c r="AI648" t="s">
        <v>163</v>
      </c>
      <c r="AJ648" t="s">
        <v>163</v>
      </c>
      <c r="AK648">
        <v>4</v>
      </c>
      <c r="AL648">
        <v>4</v>
      </c>
      <c r="AM648" t="s">
        <v>163</v>
      </c>
      <c r="AN648">
        <v>1</v>
      </c>
      <c r="AO648">
        <v>1</v>
      </c>
      <c r="AP648">
        <v>2</v>
      </c>
      <c r="AQ648">
        <v>2</v>
      </c>
      <c r="AR648">
        <v>6</v>
      </c>
      <c r="AS648">
        <v>6</v>
      </c>
    </row>
    <row r="649" spans="1:45" x14ac:dyDescent="0.35">
      <c r="A649" s="337">
        <v>46266</v>
      </c>
      <c r="B649" s="337">
        <v>46266</v>
      </c>
      <c r="C649" s="339">
        <v>0</v>
      </c>
      <c r="D649" t="s">
        <v>130</v>
      </c>
      <c r="E649" s="338">
        <v>1.0416666666666667</v>
      </c>
      <c r="F649">
        <v>2</v>
      </c>
      <c r="G649" t="s">
        <v>158</v>
      </c>
      <c r="H649" t="s">
        <v>163</v>
      </c>
      <c r="I649" t="s">
        <v>165</v>
      </c>
      <c r="J649" t="s">
        <v>165</v>
      </c>
      <c r="K649" t="s">
        <v>165</v>
      </c>
      <c r="L649" t="s">
        <v>163</v>
      </c>
      <c r="M649" t="s">
        <v>163</v>
      </c>
      <c r="N649">
        <v>10.7</v>
      </c>
      <c r="O649" t="s">
        <v>163</v>
      </c>
      <c r="P649" t="s">
        <v>163</v>
      </c>
      <c r="Q649" t="s">
        <v>163</v>
      </c>
      <c r="R649" t="s">
        <v>163</v>
      </c>
      <c r="S649" t="s">
        <v>163</v>
      </c>
      <c r="T649" t="s">
        <v>163</v>
      </c>
      <c r="U649" t="s">
        <v>163</v>
      </c>
      <c r="V649" t="s">
        <v>163</v>
      </c>
      <c r="W649" t="s">
        <v>165</v>
      </c>
      <c r="X649" t="s">
        <v>165</v>
      </c>
      <c r="Y649" t="s">
        <v>163</v>
      </c>
      <c r="Z649" t="s">
        <v>163</v>
      </c>
      <c r="AA649">
        <v>1</v>
      </c>
      <c r="AB649">
        <v>2</v>
      </c>
      <c r="AC649">
        <v>0</v>
      </c>
      <c r="AD649" t="s">
        <v>163</v>
      </c>
      <c r="AE649" t="s">
        <v>163</v>
      </c>
      <c r="AF649" t="s">
        <v>163</v>
      </c>
      <c r="AG649" t="s">
        <v>163</v>
      </c>
      <c r="AH649" t="s">
        <v>163</v>
      </c>
      <c r="AI649" t="s">
        <v>163</v>
      </c>
      <c r="AJ649" t="s">
        <v>163</v>
      </c>
      <c r="AK649">
        <v>3</v>
      </c>
      <c r="AL649">
        <v>4</v>
      </c>
      <c r="AM649" t="s">
        <v>163</v>
      </c>
      <c r="AN649">
        <v>1</v>
      </c>
      <c r="AO649">
        <v>1</v>
      </c>
      <c r="AP649">
        <v>2</v>
      </c>
      <c r="AQ649">
        <v>2</v>
      </c>
      <c r="AR649">
        <v>5</v>
      </c>
      <c r="AS649">
        <v>6</v>
      </c>
    </row>
    <row r="650" spans="1:45" x14ac:dyDescent="0.35">
      <c r="A650" s="337">
        <v>46266</v>
      </c>
      <c r="B650" s="337">
        <v>46266</v>
      </c>
      <c r="C650" s="339">
        <v>0</v>
      </c>
      <c r="D650" t="s">
        <v>130</v>
      </c>
      <c r="E650" s="337">
        <v>1</v>
      </c>
      <c r="F650">
        <v>2</v>
      </c>
      <c r="G650" t="s">
        <v>158</v>
      </c>
      <c r="H650" t="s">
        <v>163</v>
      </c>
      <c r="I650" t="s">
        <v>165</v>
      </c>
      <c r="J650" t="s">
        <v>165</v>
      </c>
      <c r="K650" t="s">
        <v>165</v>
      </c>
      <c r="L650" t="s">
        <v>163</v>
      </c>
      <c r="M650" t="s">
        <v>163</v>
      </c>
      <c r="N650">
        <v>10.72</v>
      </c>
      <c r="O650" t="s">
        <v>163</v>
      </c>
      <c r="P650" t="s">
        <v>163</v>
      </c>
      <c r="Q650" t="s">
        <v>163</v>
      </c>
      <c r="R650" t="s">
        <v>163</v>
      </c>
      <c r="S650" t="s">
        <v>163</v>
      </c>
      <c r="T650" t="s">
        <v>163</v>
      </c>
      <c r="U650" t="s">
        <v>163</v>
      </c>
      <c r="V650" t="s">
        <v>163</v>
      </c>
      <c r="W650" t="s">
        <v>165</v>
      </c>
      <c r="X650" t="s">
        <v>165</v>
      </c>
      <c r="Y650" t="s">
        <v>163</v>
      </c>
      <c r="Z650" t="s">
        <v>163</v>
      </c>
      <c r="AA650">
        <v>1</v>
      </c>
      <c r="AB650">
        <v>2</v>
      </c>
      <c r="AC650">
        <v>0</v>
      </c>
      <c r="AD650" t="s">
        <v>163</v>
      </c>
      <c r="AE650" t="s">
        <v>163</v>
      </c>
      <c r="AF650" t="s">
        <v>163</v>
      </c>
      <c r="AG650" t="s">
        <v>163</v>
      </c>
      <c r="AH650" t="s">
        <v>163</v>
      </c>
      <c r="AI650" t="s">
        <v>163</v>
      </c>
      <c r="AJ650" t="s">
        <v>163</v>
      </c>
      <c r="AK650">
        <v>3</v>
      </c>
      <c r="AL650">
        <v>4</v>
      </c>
      <c r="AM650" t="s">
        <v>163</v>
      </c>
      <c r="AN650">
        <v>1</v>
      </c>
      <c r="AO650">
        <v>1</v>
      </c>
      <c r="AP650">
        <v>2</v>
      </c>
      <c r="AQ650">
        <v>2</v>
      </c>
      <c r="AR650">
        <v>5</v>
      </c>
      <c r="AS650">
        <v>6</v>
      </c>
    </row>
    <row r="651" spans="1:45" x14ac:dyDescent="0.35">
      <c r="A651" s="337">
        <v>46266</v>
      </c>
      <c r="B651" s="337">
        <v>46266</v>
      </c>
      <c r="C651" s="339">
        <v>0</v>
      </c>
      <c r="D651" t="s">
        <v>130</v>
      </c>
      <c r="E651" s="339">
        <v>0.95833333333333337</v>
      </c>
      <c r="F651">
        <v>2</v>
      </c>
      <c r="G651" t="s">
        <v>158</v>
      </c>
      <c r="H651" t="s">
        <v>163</v>
      </c>
      <c r="I651" t="s">
        <v>165</v>
      </c>
      <c r="J651" t="s">
        <v>165</v>
      </c>
      <c r="K651" t="s">
        <v>165</v>
      </c>
      <c r="L651" t="s">
        <v>163</v>
      </c>
      <c r="M651" t="s">
        <v>163</v>
      </c>
      <c r="N651">
        <v>10.41</v>
      </c>
      <c r="O651" t="s">
        <v>163</v>
      </c>
      <c r="P651" t="s">
        <v>163</v>
      </c>
      <c r="Q651" t="s">
        <v>163</v>
      </c>
      <c r="R651" t="s">
        <v>163</v>
      </c>
      <c r="S651" t="s">
        <v>163</v>
      </c>
      <c r="T651" t="s">
        <v>163</v>
      </c>
      <c r="U651" t="s">
        <v>163</v>
      </c>
      <c r="V651" t="s">
        <v>163</v>
      </c>
      <c r="W651" t="s">
        <v>165</v>
      </c>
      <c r="X651" t="s">
        <v>165</v>
      </c>
      <c r="Y651" t="s">
        <v>163</v>
      </c>
      <c r="Z651" t="s">
        <v>163</v>
      </c>
      <c r="AA651">
        <v>1</v>
      </c>
      <c r="AB651">
        <v>2</v>
      </c>
      <c r="AC651">
        <v>0</v>
      </c>
      <c r="AD651" t="s">
        <v>163</v>
      </c>
      <c r="AE651" t="s">
        <v>163</v>
      </c>
      <c r="AF651" t="s">
        <v>163</v>
      </c>
      <c r="AG651" t="s">
        <v>163</v>
      </c>
      <c r="AH651" t="s">
        <v>163</v>
      </c>
      <c r="AI651" t="s">
        <v>163</v>
      </c>
      <c r="AJ651" t="s">
        <v>163</v>
      </c>
      <c r="AK651">
        <v>3</v>
      </c>
      <c r="AL651">
        <v>4</v>
      </c>
      <c r="AM651" t="s">
        <v>163</v>
      </c>
      <c r="AN651">
        <v>1</v>
      </c>
      <c r="AO651">
        <v>1</v>
      </c>
      <c r="AP651">
        <v>2</v>
      </c>
      <c r="AQ651">
        <v>2</v>
      </c>
      <c r="AR651">
        <v>5</v>
      </c>
      <c r="AS651">
        <v>6</v>
      </c>
    </row>
    <row r="652" spans="1:45" x14ac:dyDescent="0.35">
      <c r="A652" s="337">
        <v>46266</v>
      </c>
      <c r="B652" s="337">
        <v>46266</v>
      </c>
      <c r="C652" s="337">
        <v>815</v>
      </c>
      <c r="D652" t="s">
        <v>130</v>
      </c>
      <c r="E652" s="339">
        <v>0.91666666666666663</v>
      </c>
      <c r="F652">
        <v>2</v>
      </c>
      <c r="G652" t="s">
        <v>158</v>
      </c>
      <c r="H652" t="s">
        <v>163</v>
      </c>
      <c r="I652" t="s">
        <v>165</v>
      </c>
      <c r="J652" t="s">
        <v>165</v>
      </c>
      <c r="K652" t="s">
        <v>165</v>
      </c>
      <c r="L652" t="s">
        <v>163</v>
      </c>
      <c r="M652" t="s">
        <v>163</v>
      </c>
      <c r="N652">
        <v>10.65</v>
      </c>
      <c r="O652" t="s">
        <v>163</v>
      </c>
      <c r="P652" t="s">
        <v>163</v>
      </c>
      <c r="Q652" t="s">
        <v>163</v>
      </c>
      <c r="R652" t="s">
        <v>163</v>
      </c>
      <c r="S652" t="s">
        <v>163</v>
      </c>
      <c r="T652" t="s">
        <v>163</v>
      </c>
      <c r="U652" t="s">
        <v>163</v>
      </c>
      <c r="V652" t="s">
        <v>163</v>
      </c>
      <c r="W652" t="s">
        <v>165</v>
      </c>
      <c r="X652" t="s">
        <v>165</v>
      </c>
      <c r="Y652" t="s">
        <v>163</v>
      </c>
      <c r="Z652" t="s">
        <v>163</v>
      </c>
      <c r="AA652">
        <v>1</v>
      </c>
      <c r="AB652">
        <v>2</v>
      </c>
      <c r="AC652">
        <v>0</v>
      </c>
      <c r="AD652" t="s">
        <v>163</v>
      </c>
      <c r="AE652" t="s">
        <v>163</v>
      </c>
      <c r="AF652" t="s">
        <v>163</v>
      </c>
      <c r="AG652" t="s">
        <v>163</v>
      </c>
      <c r="AH652" t="s">
        <v>163</v>
      </c>
      <c r="AI652" t="s">
        <v>163</v>
      </c>
      <c r="AJ652" t="s">
        <v>163</v>
      </c>
      <c r="AK652">
        <v>3</v>
      </c>
      <c r="AL652">
        <v>4</v>
      </c>
      <c r="AM652" t="s">
        <v>163</v>
      </c>
      <c r="AN652">
        <v>1</v>
      </c>
      <c r="AO652">
        <v>1</v>
      </c>
      <c r="AP652">
        <v>2</v>
      </c>
      <c r="AQ652">
        <v>2</v>
      </c>
      <c r="AR652">
        <v>5</v>
      </c>
      <c r="AS652">
        <v>6</v>
      </c>
    </row>
    <row r="653" spans="1:45" x14ac:dyDescent="0.35">
      <c r="A653" s="337">
        <v>46266</v>
      </c>
      <c r="B653" s="337">
        <v>46266</v>
      </c>
      <c r="C653" s="337">
        <v>46261</v>
      </c>
      <c r="D653" t="s">
        <v>130</v>
      </c>
      <c r="E653" s="338">
        <v>1.0416666666666667</v>
      </c>
      <c r="F653">
        <v>1</v>
      </c>
      <c r="G653" t="s">
        <v>39</v>
      </c>
      <c r="H653" t="s">
        <v>163</v>
      </c>
      <c r="I653" t="s">
        <v>165</v>
      </c>
      <c r="J653" t="s">
        <v>165</v>
      </c>
      <c r="K653" t="s">
        <v>165</v>
      </c>
      <c r="L653" t="s">
        <v>163</v>
      </c>
      <c r="M653" t="s">
        <v>161</v>
      </c>
      <c r="N653">
        <v>9.6999999999999993</v>
      </c>
      <c r="O653" t="s">
        <v>163</v>
      </c>
      <c r="P653" t="s">
        <v>163</v>
      </c>
      <c r="Q653" t="s">
        <v>163</v>
      </c>
      <c r="R653" t="s">
        <v>163</v>
      </c>
      <c r="S653" t="s">
        <v>163</v>
      </c>
      <c r="T653" t="s">
        <v>163</v>
      </c>
      <c r="U653" t="s">
        <v>163</v>
      </c>
      <c r="V653" t="s">
        <v>163</v>
      </c>
      <c r="W653" t="s">
        <v>165</v>
      </c>
      <c r="X653" t="s">
        <v>165</v>
      </c>
      <c r="Y653" t="s">
        <v>163</v>
      </c>
      <c r="Z653" t="s">
        <v>163</v>
      </c>
      <c r="AA653">
        <v>1</v>
      </c>
      <c r="AB653">
        <v>2</v>
      </c>
      <c r="AC653">
        <v>0</v>
      </c>
      <c r="AD653" t="s">
        <v>163</v>
      </c>
      <c r="AE653" t="s">
        <v>163</v>
      </c>
      <c r="AF653" t="s">
        <v>163</v>
      </c>
      <c r="AG653" t="s">
        <v>163</v>
      </c>
      <c r="AH653" t="s">
        <v>163</v>
      </c>
      <c r="AI653" t="s">
        <v>163</v>
      </c>
      <c r="AJ653" t="s">
        <v>163</v>
      </c>
      <c r="AK653">
        <v>3</v>
      </c>
      <c r="AL653">
        <v>4</v>
      </c>
      <c r="AM653" t="s">
        <v>163</v>
      </c>
      <c r="AN653">
        <v>1</v>
      </c>
      <c r="AO653">
        <v>1</v>
      </c>
      <c r="AP653">
        <v>2</v>
      </c>
      <c r="AQ653">
        <v>2</v>
      </c>
      <c r="AR653">
        <v>5</v>
      </c>
      <c r="AS653">
        <v>6</v>
      </c>
    </row>
    <row r="654" spans="1:45" x14ac:dyDescent="0.35">
      <c r="A654" s="337">
        <v>46266</v>
      </c>
      <c r="B654" s="337">
        <v>46266</v>
      </c>
      <c r="C654" s="337">
        <v>46261</v>
      </c>
      <c r="D654" t="s">
        <v>130</v>
      </c>
      <c r="E654" s="337">
        <v>1</v>
      </c>
      <c r="F654">
        <v>1</v>
      </c>
      <c r="G654" t="s">
        <v>39</v>
      </c>
      <c r="H654" t="s">
        <v>163</v>
      </c>
      <c r="I654" t="s">
        <v>165</v>
      </c>
      <c r="J654" t="s">
        <v>165</v>
      </c>
      <c r="K654" t="s">
        <v>165</v>
      </c>
      <c r="L654" t="s">
        <v>163</v>
      </c>
      <c r="M654" t="s">
        <v>161</v>
      </c>
      <c r="N654">
        <v>9.6999999999999993</v>
      </c>
      <c r="O654" t="s">
        <v>163</v>
      </c>
      <c r="P654" t="s">
        <v>163</v>
      </c>
      <c r="Q654" t="s">
        <v>163</v>
      </c>
      <c r="R654" t="s">
        <v>163</v>
      </c>
      <c r="S654" t="s">
        <v>163</v>
      </c>
      <c r="T654" t="s">
        <v>163</v>
      </c>
      <c r="U654" t="s">
        <v>163</v>
      </c>
      <c r="V654" t="s">
        <v>163</v>
      </c>
      <c r="W654" t="s">
        <v>165</v>
      </c>
      <c r="X654" t="s">
        <v>165</v>
      </c>
      <c r="Y654" t="s">
        <v>163</v>
      </c>
      <c r="Z654" t="s">
        <v>163</v>
      </c>
      <c r="AA654">
        <v>1</v>
      </c>
      <c r="AB654">
        <v>2</v>
      </c>
      <c r="AC654">
        <v>0</v>
      </c>
      <c r="AD654" t="s">
        <v>163</v>
      </c>
      <c r="AE654" t="s">
        <v>163</v>
      </c>
      <c r="AF654" t="s">
        <v>163</v>
      </c>
      <c r="AG654" t="s">
        <v>163</v>
      </c>
      <c r="AH654" t="s">
        <v>163</v>
      </c>
      <c r="AI654" t="s">
        <v>163</v>
      </c>
      <c r="AJ654" t="s">
        <v>163</v>
      </c>
      <c r="AK654">
        <v>3</v>
      </c>
      <c r="AL654">
        <v>4</v>
      </c>
      <c r="AM654" t="s">
        <v>163</v>
      </c>
      <c r="AN654">
        <v>1</v>
      </c>
      <c r="AO654">
        <v>1</v>
      </c>
      <c r="AP654">
        <v>2</v>
      </c>
      <c r="AQ654">
        <v>2</v>
      </c>
      <c r="AR654">
        <v>5</v>
      </c>
      <c r="AS654">
        <v>6</v>
      </c>
    </row>
    <row r="655" spans="1:45" x14ac:dyDescent="0.35">
      <c r="A655" s="337">
        <v>46266</v>
      </c>
      <c r="B655" s="337">
        <v>46266</v>
      </c>
      <c r="C655" s="337">
        <v>46261</v>
      </c>
      <c r="D655" t="s">
        <v>130</v>
      </c>
      <c r="E655" s="339">
        <v>0.95833333333333337</v>
      </c>
      <c r="F655">
        <v>1</v>
      </c>
      <c r="G655" t="s">
        <v>39</v>
      </c>
      <c r="H655" t="s">
        <v>163</v>
      </c>
      <c r="I655" t="s">
        <v>165</v>
      </c>
      <c r="J655" t="s">
        <v>165</v>
      </c>
      <c r="K655" t="s">
        <v>165</v>
      </c>
      <c r="L655" t="s">
        <v>163</v>
      </c>
      <c r="M655" t="s">
        <v>161</v>
      </c>
      <c r="N655">
        <v>9.51</v>
      </c>
      <c r="O655" t="s">
        <v>163</v>
      </c>
      <c r="P655" t="s">
        <v>163</v>
      </c>
      <c r="Q655" t="s">
        <v>163</v>
      </c>
      <c r="R655" t="s">
        <v>163</v>
      </c>
      <c r="S655" t="s">
        <v>163</v>
      </c>
      <c r="T655" t="s">
        <v>163</v>
      </c>
      <c r="U655" t="s">
        <v>163</v>
      </c>
      <c r="V655" t="s">
        <v>163</v>
      </c>
      <c r="W655" t="s">
        <v>165</v>
      </c>
      <c r="X655" t="s">
        <v>165</v>
      </c>
      <c r="Y655" t="s">
        <v>163</v>
      </c>
      <c r="Z655" t="s">
        <v>163</v>
      </c>
      <c r="AA655">
        <v>1</v>
      </c>
      <c r="AB655">
        <v>2</v>
      </c>
      <c r="AC655">
        <v>0</v>
      </c>
      <c r="AD655" t="s">
        <v>163</v>
      </c>
      <c r="AE655" t="s">
        <v>163</v>
      </c>
      <c r="AF655" t="s">
        <v>163</v>
      </c>
      <c r="AG655" t="s">
        <v>163</v>
      </c>
      <c r="AH655" t="s">
        <v>163</v>
      </c>
      <c r="AI655" t="s">
        <v>163</v>
      </c>
      <c r="AJ655" t="s">
        <v>163</v>
      </c>
      <c r="AK655">
        <v>3</v>
      </c>
      <c r="AL655">
        <v>4</v>
      </c>
      <c r="AM655" t="s">
        <v>163</v>
      </c>
      <c r="AN655">
        <v>1</v>
      </c>
      <c r="AO655">
        <v>1</v>
      </c>
      <c r="AP655">
        <v>2</v>
      </c>
      <c r="AQ655">
        <v>2</v>
      </c>
      <c r="AR655">
        <v>5</v>
      </c>
      <c r="AS655">
        <v>6</v>
      </c>
    </row>
    <row r="656" spans="1:45" x14ac:dyDescent="0.35">
      <c r="A656" s="337">
        <v>46266</v>
      </c>
      <c r="B656" s="337">
        <v>46266</v>
      </c>
      <c r="C656" s="337">
        <v>46261</v>
      </c>
      <c r="D656" t="s">
        <v>130</v>
      </c>
      <c r="E656" s="339">
        <v>0.91666666666666663</v>
      </c>
      <c r="F656">
        <v>1</v>
      </c>
      <c r="G656" t="s">
        <v>39</v>
      </c>
      <c r="H656" t="s">
        <v>163</v>
      </c>
      <c r="I656" t="s">
        <v>165</v>
      </c>
      <c r="J656" t="s">
        <v>165</v>
      </c>
      <c r="K656" t="s">
        <v>165</v>
      </c>
      <c r="L656" t="s">
        <v>163</v>
      </c>
      <c r="M656" t="s">
        <v>161</v>
      </c>
      <c r="N656">
        <v>9.4499999999999993</v>
      </c>
      <c r="O656">
        <v>9.5399999999999991</v>
      </c>
      <c r="P656" t="s">
        <v>163</v>
      </c>
      <c r="Q656" t="s">
        <v>163</v>
      </c>
      <c r="R656" t="s">
        <v>163</v>
      </c>
      <c r="S656" t="s">
        <v>163</v>
      </c>
      <c r="T656">
        <v>26.1</v>
      </c>
      <c r="U656" t="s">
        <v>163</v>
      </c>
      <c r="V656" t="s">
        <v>163</v>
      </c>
      <c r="W656" t="s">
        <v>165</v>
      </c>
      <c r="X656" t="s">
        <v>165</v>
      </c>
      <c r="Y656">
        <v>1</v>
      </c>
      <c r="Z656" t="s">
        <v>163</v>
      </c>
      <c r="AA656">
        <v>1</v>
      </c>
      <c r="AB656">
        <v>2</v>
      </c>
      <c r="AC656">
        <v>0</v>
      </c>
      <c r="AD656">
        <v>1</v>
      </c>
      <c r="AE656" t="s">
        <v>163</v>
      </c>
      <c r="AF656" t="s">
        <v>163</v>
      </c>
      <c r="AG656" t="s">
        <v>163</v>
      </c>
      <c r="AH656" t="s">
        <v>163</v>
      </c>
      <c r="AI656">
        <v>2</v>
      </c>
      <c r="AJ656" t="s">
        <v>163</v>
      </c>
      <c r="AK656">
        <v>6</v>
      </c>
      <c r="AL656">
        <v>7</v>
      </c>
      <c r="AM656" t="s">
        <v>163</v>
      </c>
      <c r="AN656">
        <v>1</v>
      </c>
      <c r="AO656">
        <v>1</v>
      </c>
      <c r="AP656">
        <v>2</v>
      </c>
      <c r="AQ656">
        <v>2</v>
      </c>
      <c r="AR656">
        <v>8</v>
      </c>
      <c r="AS656">
        <v>9</v>
      </c>
    </row>
    <row r="657" spans="1:45" x14ac:dyDescent="0.35">
      <c r="A657" s="337">
        <v>46266</v>
      </c>
      <c r="B657" s="337">
        <v>46266</v>
      </c>
      <c r="C657" s="337">
        <v>46259</v>
      </c>
      <c r="D657" t="s">
        <v>128</v>
      </c>
      <c r="E657" s="339">
        <v>0.70833333333333337</v>
      </c>
      <c r="F657">
        <v>3</v>
      </c>
      <c r="G657" t="s">
        <v>36</v>
      </c>
      <c r="H657" t="s">
        <v>163</v>
      </c>
      <c r="I657" t="s">
        <v>165</v>
      </c>
      <c r="J657" t="s">
        <v>165</v>
      </c>
      <c r="K657" t="s">
        <v>165</v>
      </c>
      <c r="L657" t="s">
        <v>161</v>
      </c>
      <c r="M657" t="s">
        <v>161</v>
      </c>
      <c r="N657">
        <v>12.17</v>
      </c>
      <c r="O657" t="s">
        <v>163</v>
      </c>
      <c r="P657" t="s">
        <v>163</v>
      </c>
      <c r="Q657" t="s">
        <v>163</v>
      </c>
      <c r="R657" t="s">
        <v>163</v>
      </c>
      <c r="S657" t="s">
        <v>163</v>
      </c>
      <c r="T657" t="s">
        <v>163</v>
      </c>
      <c r="U657" t="s">
        <v>163</v>
      </c>
      <c r="V657" t="s">
        <v>163</v>
      </c>
      <c r="W657" t="s">
        <v>165</v>
      </c>
      <c r="X657" t="s">
        <v>165</v>
      </c>
      <c r="Y657" t="s">
        <v>163</v>
      </c>
      <c r="Z657" t="s">
        <v>163</v>
      </c>
      <c r="AA657">
        <v>1</v>
      </c>
      <c r="AB657">
        <v>2</v>
      </c>
      <c r="AC657">
        <v>1</v>
      </c>
      <c r="AD657" t="s">
        <v>163</v>
      </c>
      <c r="AE657" t="s">
        <v>163</v>
      </c>
      <c r="AF657" t="s">
        <v>163</v>
      </c>
      <c r="AG657" t="s">
        <v>163</v>
      </c>
      <c r="AH657" t="s">
        <v>163</v>
      </c>
      <c r="AI657" t="s">
        <v>163</v>
      </c>
      <c r="AJ657" t="s">
        <v>163</v>
      </c>
      <c r="AK657">
        <v>4</v>
      </c>
      <c r="AL657">
        <v>4</v>
      </c>
      <c r="AM657" t="s">
        <v>163</v>
      </c>
      <c r="AN657">
        <v>1</v>
      </c>
      <c r="AO657">
        <v>1</v>
      </c>
      <c r="AP657">
        <v>2</v>
      </c>
      <c r="AQ657">
        <v>2</v>
      </c>
      <c r="AR657">
        <v>6</v>
      </c>
      <c r="AS657">
        <v>6</v>
      </c>
    </row>
    <row r="658" spans="1:45" x14ac:dyDescent="0.35">
      <c r="A658" s="337">
        <v>46266</v>
      </c>
      <c r="B658" s="337">
        <v>46266</v>
      </c>
      <c r="C658" s="337">
        <v>46259</v>
      </c>
      <c r="D658" t="s">
        <v>128</v>
      </c>
      <c r="E658" s="339">
        <v>0.625</v>
      </c>
      <c r="F658">
        <v>3</v>
      </c>
      <c r="G658" t="s">
        <v>36</v>
      </c>
      <c r="H658">
        <v>0.01</v>
      </c>
      <c r="I658" t="s">
        <v>165</v>
      </c>
      <c r="J658" t="s">
        <v>165</v>
      </c>
      <c r="K658" t="s">
        <v>165</v>
      </c>
      <c r="L658" t="s">
        <v>161</v>
      </c>
      <c r="M658" t="s">
        <v>161</v>
      </c>
      <c r="N658">
        <v>11.94</v>
      </c>
      <c r="O658" t="s">
        <v>163</v>
      </c>
      <c r="P658" t="s">
        <v>163</v>
      </c>
      <c r="Q658" t="s">
        <v>163</v>
      </c>
      <c r="R658" t="s">
        <v>163</v>
      </c>
      <c r="S658" t="s">
        <v>163</v>
      </c>
      <c r="T658" t="s">
        <v>163</v>
      </c>
      <c r="U658" t="s">
        <v>163</v>
      </c>
      <c r="V658" t="s">
        <v>163</v>
      </c>
      <c r="W658" t="s">
        <v>165</v>
      </c>
      <c r="X658" t="s">
        <v>165</v>
      </c>
      <c r="Y658" t="s">
        <v>163</v>
      </c>
      <c r="Z658">
        <v>2</v>
      </c>
      <c r="AA658">
        <v>1</v>
      </c>
      <c r="AB658">
        <v>2</v>
      </c>
      <c r="AC658">
        <v>0</v>
      </c>
      <c r="AD658" t="s">
        <v>163</v>
      </c>
      <c r="AE658" t="s">
        <v>163</v>
      </c>
      <c r="AF658" t="s">
        <v>163</v>
      </c>
      <c r="AG658" t="s">
        <v>163</v>
      </c>
      <c r="AH658" t="s">
        <v>163</v>
      </c>
      <c r="AI658" t="s">
        <v>163</v>
      </c>
      <c r="AJ658" t="s">
        <v>163</v>
      </c>
      <c r="AK658">
        <v>5</v>
      </c>
      <c r="AL658">
        <v>6</v>
      </c>
      <c r="AM658" t="s">
        <v>163</v>
      </c>
      <c r="AN658">
        <v>1</v>
      </c>
      <c r="AO658">
        <v>1</v>
      </c>
      <c r="AP658">
        <v>2</v>
      </c>
      <c r="AQ658">
        <v>2</v>
      </c>
      <c r="AR658">
        <v>7</v>
      </c>
      <c r="AS658">
        <v>8</v>
      </c>
    </row>
    <row r="659" spans="1:45" x14ac:dyDescent="0.35">
      <c r="A659" s="337">
        <v>46266</v>
      </c>
      <c r="B659" s="337">
        <v>46266</v>
      </c>
      <c r="C659" s="337">
        <v>46259</v>
      </c>
      <c r="D659" t="s">
        <v>128</v>
      </c>
      <c r="E659" s="339">
        <v>0.58333333333333337</v>
      </c>
      <c r="F659">
        <v>3</v>
      </c>
      <c r="G659" t="s">
        <v>36</v>
      </c>
      <c r="H659">
        <v>0.01</v>
      </c>
      <c r="I659" t="s">
        <v>165</v>
      </c>
      <c r="J659" t="s">
        <v>165</v>
      </c>
      <c r="K659" t="s">
        <v>165</v>
      </c>
      <c r="L659" t="s">
        <v>161</v>
      </c>
      <c r="M659" t="s">
        <v>161</v>
      </c>
      <c r="N659">
        <v>12.05</v>
      </c>
      <c r="O659">
        <v>12.51</v>
      </c>
      <c r="P659" t="s">
        <v>163</v>
      </c>
      <c r="Q659" t="s">
        <v>163</v>
      </c>
      <c r="R659" t="s">
        <v>163</v>
      </c>
      <c r="S659" t="s">
        <v>163</v>
      </c>
      <c r="T659">
        <v>35</v>
      </c>
      <c r="U659" t="s">
        <v>163</v>
      </c>
      <c r="V659" t="s">
        <v>163</v>
      </c>
      <c r="W659" t="s">
        <v>165</v>
      </c>
      <c r="X659" t="s">
        <v>165</v>
      </c>
      <c r="Y659" t="s">
        <v>415</v>
      </c>
      <c r="Z659">
        <v>2</v>
      </c>
      <c r="AA659">
        <v>1</v>
      </c>
      <c r="AB659">
        <v>2</v>
      </c>
      <c r="AC659">
        <v>1</v>
      </c>
      <c r="AD659">
        <v>1</v>
      </c>
      <c r="AE659" t="s">
        <v>163</v>
      </c>
      <c r="AF659" t="s">
        <v>163</v>
      </c>
      <c r="AG659" t="s">
        <v>163</v>
      </c>
      <c r="AH659" t="s">
        <v>163</v>
      </c>
      <c r="AI659">
        <v>2</v>
      </c>
      <c r="AJ659" t="s">
        <v>163</v>
      </c>
      <c r="AK659">
        <v>9</v>
      </c>
      <c r="AL659">
        <v>9</v>
      </c>
      <c r="AM659" t="s">
        <v>163</v>
      </c>
      <c r="AN659">
        <v>1</v>
      </c>
      <c r="AO659">
        <v>1</v>
      </c>
      <c r="AP659">
        <v>2</v>
      </c>
      <c r="AQ659">
        <v>2</v>
      </c>
      <c r="AR659">
        <v>11</v>
      </c>
      <c r="AS659">
        <v>11</v>
      </c>
    </row>
    <row r="660" spans="1:45" x14ac:dyDescent="0.35">
      <c r="A660" s="337">
        <v>46266</v>
      </c>
      <c r="B660" s="337">
        <v>46266</v>
      </c>
      <c r="C660" s="339">
        <v>0</v>
      </c>
      <c r="D660" t="s">
        <v>128</v>
      </c>
      <c r="E660" s="339">
        <v>0.83333333333333337</v>
      </c>
      <c r="F660">
        <v>2</v>
      </c>
      <c r="G660" t="s">
        <v>158</v>
      </c>
      <c r="H660" t="s">
        <v>163</v>
      </c>
      <c r="I660" t="s">
        <v>165</v>
      </c>
      <c r="J660" t="s">
        <v>165</v>
      </c>
      <c r="K660" t="s">
        <v>165</v>
      </c>
      <c r="L660" t="s">
        <v>163</v>
      </c>
      <c r="M660" t="s">
        <v>163</v>
      </c>
      <c r="N660">
        <v>10.71</v>
      </c>
      <c r="O660" t="s">
        <v>163</v>
      </c>
      <c r="P660" t="s">
        <v>163</v>
      </c>
      <c r="Q660" t="s">
        <v>163</v>
      </c>
      <c r="R660" t="s">
        <v>163</v>
      </c>
      <c r="S660" t="s">
        <v>163</v>
      </c>
      <c r="T660" t="s">
        <v>163</v>
      </c>
      <c r="U660" t="s">
        <v>163</v>
      </c>
      <c r="V660" t="s">
        <v>163</v>
      </c>
      <c r="W660" t="s">
        <v>165</v>
      </c>
      <c r="X660" t="s">
        <v>165</v>
      </c>
      <c r="Y660" t="s">
        <v>163</v>
      </c>
      <c r="Z660" t="s">
        <v>163</v>
      </c>
      <c r="AA660">
        <v>1</v>
      </c>
      <c r="AB660">
        <v>2</v>
      </c>
      <c r="AC660">
        <v>0</v>
      </c>
      <c r="AD660" t="s">
        <v>163</v>
      </c>
      <c r="AE660" t="s">
        <v>163</v>
      </c>
      <c r="AF660" t="s">
        <v>163</v>
      </c>
      <c r="AG660" t="s">
        <v>163</v>
      </c>
      <c r="AH660" t="s">
        <v>163</v>
      </c>
      <c r="AI660" t="s">
        <v>163</v>
      </c>
      <c r="AJ660" t="s">
        <v>163</v>
      </c>
      <c r="AK660">
        <v>3</v>
      </c>
      <c r="AL660">
        <v>4</v>
      </c>
      <c r="AM660" t="s">
        <v>163</v>
      </c>
      <c r="AN660">
        <v>1</v>
      </c>
      <c r="AO660">
        <v>1</v>
      </c>
      <c r="AP660">
        <v>2</v>
      </c>
      <c r="AQ660">
        <v>2</v>
      </c>
      <c r="AR660">
        <v>5</v>
      </c>
      <c r="AS660">
        <v>6</v>
      </c>
    </row>
    <row r="661" spans="1:45" x14ac:dyDescent="0.35">
      <c r="A661" s="337">
        <v>46266</v>
      </c>
      <c r="B661" s="337">
        <v>46266</v>
      </c>
      <c r="C661" s="339">
        <v>0</v>
      </c>
      <c r="D661" t="s">
        <v>128</v>
      </c>
      <c r="E661" s="339">
        <v>0.79166666666666663</v>
      </c>
      <c r="F661">
        <v>2</v>
      </c>
      <c r="G661" t="s">
        <v>158</v>
      </c>
      <c r="H661" t="s">
        <v>163</v>
      </c>
      <c r="I661" t="s">
        <v>165</v>
      </c>
      <c r="J661" t="s">
        <v>165</v>
      </c>
      <c r="K661" t="s">
        <v>165</v>
      </c>
      <c r="L661" t="s">
        <v>163</v>
      </c>
      <c r="M661" t="s">
        <v>163</v>
      </c>
      <c r="N661">
        <v>10.56</v>
      </c>
      <c r="O661" t="s">
        <v>163</v>
      </c>
      <c r="P661" t="s">
        <v>163</v>
      </c>
      <c r="Q661" t="s">
        <v>163</v>
      </c>
      <c r="R661" t="s">
        <v>163</v>
      </c>
      <c r="S661" t="s">
        <v>163</v>
      </c>
      <c r="T661" t="s">
        <v>163</v>
      </c>
      <c r="U661" t="s">
        <v>163</v>
      </c>
      <c r="V661" t="s">
        <v>163</v>
      </c>
      <c r="W661" t="s">
        <v>165</v>
      </c>
      <c r="X661" t="s">
        <v>165</v>
      </c>
      <c r="Y661" t="s">
        <v>163</v>
      </c>
      <c r="Z661" t="s">
        <v>163</v>
      </c>
      <c r="AA661">
        <v>1</v>
      </c>
      <c r="AB661">
        <v>2</v>
      </c>
      <c r="AC661">
        <v>0</v>
      </c>
      <c r="AD661" t="s">
        <v>163</v>
      </c>
      <c r="AE661" t="s">
        <v>163</v>
      </c>
      <c r="AF661" t="s">
        <v>163</v>
      </c>
      <c r="AG661" t="s">
        <v>163</v>
      </c>
      <c r="AH661" t="s">
        <v>163</v>
      </c>
      <c r="AI661" t="s">
        <v>163</v>
      </c>
      <c r="AJ661" t="s">
        <v>163</v>
      </c>
      <c r="AK661">
        <v>3</v>
      </c>
      <c r="AL661">
        <v>4</v>
      </c>
      <c r="AM661" t="s">
        <v>163</v>
      </c>
      <c r="AN661">
        <v>1</v>
      </c>
      <c r="AO661">
        <v>1</v>
      </c>
      <c r="AP661">
        <v>2</v>
      </c>
      <c r="AQ661">
        <v>2</v>
      </c>
      <c r="AR661">
        <v>5</v>
      </c>
      <c r="AS661">
        <v>6</v>
      </c>
    </row>
    <row r="662" spans="1:45" x14ac:dyDescent="0.35">
      <c r="A662" s="337">
        <v>46266</v>
      </c>
      <c r="B662" s="337">
        <v>46266</v>
      </c>
      <c r="C662" s="339">
        <v>0</v>
      </c>
      <c r="D662" t="s">
        <v>128</v>
      </c>
      <c r="E662" s="339">
        <v>0.625</v>
      </c>
      <c r="F662">
        <v>2</v>
      </c>
      <c r="G662" t="s">
        <v>158</v>
      </c>
      <c r="H662" t="s">
        <v>163</v>
      </c>
      <c r="I662" t="s">
        <v>165</v>
      </c>
      <c r="J662" t="s">
        <v>165</v>
      </c>
      <c r="K662" t="s">
        <v>165</v>
      </c>
      <c r="L662" t="s">
        <v>163</v>
      </c>
      <c r="M662" t="s">
        <v>163</v>
      </c>
      <c r="N662">
        <v>11.55</v>
      </c>
      <c r="O662" t="s">
        <v>163</v>
      </c>
      <c r="P662" t="s">
        <v>163</v>
      </c>
      <c r="Q662" t="s">
        <v>163</v>
      </c>
      <c r="R662" t="s">
        <v>163</v>
      </c>
      <c r="S662" t="s">
        <v>163</v>
      </c>
      <c r="T662" t="s">
        <v>163</v>
      </c>
      <c r="U662" t="s">
        <v>163</v>
      </c>
      <c r="V662" t="s">
        <v>163</v>
      </c>
      <c r="W662" t="s">
        <v>165</v>
      </c>
      <c r="X662" t="s">
        <v>165</v>
      </c>
      <c r="Y662" t="s">
        <v>163</v>
      </c>
      <c r="Z662" t="s">
        <v>163</v>
      </c>
      <c r="AA662">
        <v>1</v>
      </c>
      <c r="AB662">
        <v>2</v>
      </c>
      <c r="AC662">
        <v>1</v>
      </c>
      <c r="AD662" t="s">
        <v>163</v>
      </c>
      <c r="AE662" t="s">
        <v>163</v>
      </c>
      <c r="AF662" t="s">
        <v>163</v>
      </c>
      <c r="AG662" t="s">
        <v>163</v>
      </c>
      <c r="AH662" t="s">
        <v>163</v>
      </c>
      <c r="AI662" t="s">
        <v>163</v>
      </c>
      <c r="AJ662" t="s">
        <v>163</v>
      </c>
      <c r="AK662">
        <v>4</v>
      </c>
      <c r="AL662">
        <v>4</v>
      </c>
      <c r="AM662" t="s">
        <v>163</v>
      </c>
      <c r="AN662">
        <v>1</v>
      </c>
      <c r="AO662">
        <v>1</v>
      </c>
      <c r="AP662">
        <v>2</v>
      </c>
      <c r="AQ662">
        <v>2</v>
      </c>
      <c r="AR662">
        <v>6</v>
      </c>
      <c r="AS662">
        <v>6</v>
      </c>
    </row>
    <row r="663" spans="1:45" x14ac:dyDescent="0.35">
      <c r="A663" s="337">
        <v>46266</v>
      </c>
      <c r="B663" s="337">
        <v>46266</v>
      </c>
      <c r="C663" s="337">
        <v>815</v>
      </c>
      <c r="D663" t="s">
        <v>128</v>
      </c>
      <c r="E663" s="339">
        <v>0.58333333333333337</v>
      </c>
      <c r="F663">
        <v>2</v>
      </c>
      <c r="G663" t="s">
        <v>158</v>
      </c>
      <c r="H663" t="s">
        <v>163</v>
      </c>
      <c r="I663" t="s">
        <v>165</v>
      </c>
      <c r="J663" t="s">
        <v>165</v>
      </c>
      <c r="K663" t="s">
        <v>165</v>
      </c>
      <c r="L663" t="s">
        <v>163</v>
      </c>
      <c r="M663" t="s">
        <v>163</v>
      </c>
      <c r="N663">
        <v>11.04</v>
      </c>
      <c r="O663" t="s">
        <v>163</v>
      </c>
      <c r="P663" t="s">
        <v>163</v>
      </c>
      <c r="Q663" t="s">
        <v>163</v>
      </c>
      <c r="R663" t="s">
        <v>163</v>
      </c>
      <c r="S663" t="s">
        <v>163</v>
      </c>
      <c r="T663" t="s">
        <v>163</v>
      </c>
      <c r="U663" t="s">
        <v>163</v>
      </c>
      <c r="V663" t="s">
        <v>163</v>
      </c>
      <c r="W663" t="s">
        <v>165</v>
      </c>
      <c r="X663" t="s">
        <v>165</v>
      </c>
      <c r="Y663" t="s">
        <v>163</v>
      </c>
      <c r="Z663" t="s">
        <v>163</v>
      </c>
      <c r="AA663">
        <v>1</v>
      </c>
      <c r="AB663">
        <v>2</v>
      </c>
      <c r="AC663">
        <v>1</v>
      </c>
      <c r="AD663" t="s">
        <v>163</v>
      </c>
      <c r="AE663" t="s">
        <v>163</v>
      </c>
      <c r="AF663" t="s">
        <v>163</v>
      </c>
      <c r="AG663" t="s">
        <v>163</v>
      </c>
      <c r="AH663" t="s">
        <v>163</v>
      </c>
      <c r="AI663" t="s">
        <v>163</v>
      </c>
      <c r="AJ663" t="s">
        <v>163</v>
      </c>
      <c r="AK663">
        <v>4</v>
      </c>
      <c r="AL663">
        <v>4</v>
      </c>
      <c r="AM663" t="s">
        <v>163</v>
      </c>
      <c r="AN663">
        <v>1</v>
      </c>
      <c r="AO663">
        <v>1</v>
      </c>
      <c r="AP663">
        <v>2</v>
      </c>
      <c r="AQ663">
        <v>2</v>
      </c>
      <c r="AR663">
        <v>6</v>
      </c>
      <c r="AS663">
        <v>6</v>
      </c>
    </row>
    <row r="664" spans="1:45" x14ac:dyDescent="0.35">
      <c r="A664" s="337">
        <v>46266</v>
      </c>
      <c r="B664" s="337">
        <v>46266</v>
      </c>
      <c r="C664" s="337">
        <v>46261</v>
      </c>
      <c r="D664" t="s">
        <v>128</v>
      </c>
      <c r="E664" s="339">
        <v>0.83333333333333337</v>
      </c>
      <c r="F664">
        <v>1</v>
      </c>
      <c r="G664" t="s">
        <v>39</v>
      </c>
      <c r="H664" t="s">
        <v>163</v>
      </c>
      <c r="I664" t="s">
        <v>165</v>
      </c>
      <c r="J664" t="s">
        <v>165</v>
      </c>
      <c r="K664" t="s">
        <v>165</v>
      </c>
      <c r="L664" t="s">
        <v>163</v>
      </c>
      <c r="M664" t="s">
        <v>161</v>
      </c>
      <c r="N664">
        <v>9.4</v>
      </c>
      <c r="O664" t="s">
        <v>163</v>
      </c>
      <c r="P664" t="s">
        <v>163</v>
      </c>
      <c r="Q664" t="s">
        <v>163</v>
      </c>
      <c r="R664" t="s">
        <v>163</v>
      </c>
      <c r="S664" t="s">
        <v>163</v>
      </c>
      <c r="T664" t="s">
        <v>163</v>
      </c>
      <c r="U664" t="s">
        <v>163</v>
      </c>
      <c r="V664" t="s">
        <v>163</v>
      </c>
      <c r="W664" t="s">
        <v>165</v>
      </c>
      <c r="X664" t="s">
        <v>165</v>
      </c>
      <c r="Y664" t="s">
        <v>163</v>
      </c>
      <c r="Z664" t="s">
        <v>163</v>
      </c>
      <c r="AA664">
        <v>1</v>
      </c>
      <c r="AB664">
        <v>2</v>
      </c>
      <c r="AC664">
        <v>0</v>
      </c>
      <c r="AD664" t="s">
        <v>163</v>
      </c>
      <c r="AE664" t="s">
        <v>163</v>
      </c>
      <c r="AF664" t="s">
        <v>163</v>
      </c>
      <c r="AG664" t="s">
        <v>163</v>
      </c>
      <c r="AH664" t="s">
        <v>163</v>
      </c>
      <c r="AI664" t="s">
        <v>163</v>
      </c>
      <c r="AJ664" t="s">
        <v>163</v>
      </c>
      <c r="AK664">
        <v>3</v>
      </c>
      <c r="AL664">
        <v>4</v>
      </c>
      <c r="AM664" t="s">
        <v>163</v>
      </c>
      <c r="AN664">
        <v>1</v>
      </c>
      <c r="AO664">
        <v>1</v>
      </c>
      <c r="AP664">
        <v>2</v>
      </c>
      <c r="AQ664">
        <v>2</v>
      </c>
      <c r="AR664">
        <v>5</v>
      </c>
      <c r="AS664">
        <v>6</v>
      </c>
    </row>
    <row r="665" spans="1:45" x14ac:dyDescent="0.35">
      <c r="A665" s="337">
        <v>46266</v>
      </c>
      <c r="B665" s="337">
        <v>46266</v>
      </c>
      <c r="C665" s="337">
        <v>46261</v>
      </c>
      <c r="D665" t="s">
        <v>128</v>
      </c>
      <c r="E665" s="339">
        <v>0.79166666666666663</v>
      </c>
      <c r="F665">
        <v>1</v>
      </c>
      <c r="G665" t="s">
        <v>39</v>
      </c>
      <c r="H665" t="s">
        <v>163</v>
      </c>
      <c r="I665" t="s">
        <v>165</v>
      </c>
      <c r="J665" t="s">
        <v>165</v>
      </c>
      <c r="K665" t="s">
        <v>165</v>
      </c>
      <c r="L665" t="s">
        <v>163</v>
      </c>
      <c r="M665" t="s">
        <v>161</v>
      </c>
      <c r="N665">
        <v>9.69</v>
      </c>
      <c r="O665" t="s">
        <v>163</v>
      </c>
      <c r="P665" t="s">
        <v>163</v>
      </c>
      <c r="Q665" t="s">
        <v>163</v>
      </c>
      <c r="R665" t="s">
        <v>163</v>
      </c>
      <c r="S665" t="s">
        <v>163</v>
      </c>
      <c r="T665" t="s">
        <v>163</v>
      </c>
      <c r="U665" t="s">
        <v>163</v>
      </c>
      <c r="V665" t="s">
        <v>163</v>
      </c>
      <c r="W665" t="s">
        <v>165</v>
      </c>
      <c r="X665" t="s">
        <v>165</v>
      </c>
      <c r="Y665" t="s">
        <v>163</v>
      </c>
      <c r="Z665" t="s">
        <v>163</v>
      </c>
      <c r="AA665">
        <v>1</v>
      </c>
      <c r="AB665">
        <v>2</v>
      </c>
      <c r="AC665">
        <v>0</v>
      </c>
      <c r="AD665" t="s">
        <v>163</v>
      </c>
      <c r="AE665" t="s">
        <v>163</v>
      </c>
      <c r="AF665" t="s">
        <v>163</v>
      </c>
      <c r="AG665" t="s">
        <v>163</v>
      </c>
      <c r="AH665" t="s">
        <v>163</v>
      </c>
      <c r="AI665" t="s">
        <v>163</v>
      </c>
      <c r="AJ665" t="s">
        <v>163</v>
      </c>
      <c r="AK665">
        <v>3</v>
      </c>
      <c r="AL665">
        <v>4</v>
      </c>
      <c r="AM665" t="s">
        <v>163</v>
      </c>
      <c r="AN665">
        <v>1</v>
      </c>
      <c r="AO665">
        <v>1</v>
      </c>
      <c r="AP665">
        <v>2</v>
      </c>
      <c r="AQ665">
        <v>2</v>
      </c>
      <c r="AR665">
        <v>5</v>
      </c>
      <c r="AS665">
        <v>6</v>
      </c>
    </row>
    <row r="666" spans="1:45" x14ac:dyDescent="0.35">
      <c r="A666" s="337">
        <v>46266</v>
      </c>
      <c r="B666" s="337">
        <v>46266</v>
      </c>
      <c r="C666" s="337">
        <v>46261</v>
      </c>
      <c r="D666" t="s">
        <v>128</v>
      </c>
      <c r="E666" s="339">
        <v>0.70833333333333337</v>
      </c>
      <c r="F666">
        <v>1</v>
      </c>
      <c r="G666" t="s">
        <v>39</v>
      </c>
      <c r="H666" t="s">
        <v>163</v>
      </c>
      <c r="I666" t="s">
        <v>165</v>
      </c>
      <c r="J666" t="s">
        <v>165</v>
      </c>
      <c r="K666" t="s">
        <v>165</v>
      </c>
      <c r="L666" t="s">
        <v>163</v>
      </c>
      <c r="M666" t="s">
        <v>161</v>
      </c>
      <c r="N666">
        <v>10.11</v>
      </c>
      <c r="O666">
        <v>9.5</v>
      </c>
      <c r="P666" t="s">
        <v>163</v>
      </c>
      <c r="Q666">
        <v>55.4</v>
      </c>
      <c r="R666" t="s">
        <v>163</v>
      </c>
      <c r="S666" t="s">
        <v>163</v>
      </c>
      <c r="T666">
        <v>26.1</v>
      </c>
      <c r="U666" t="s">
        <v>163</v>
      </c>
      <c r="V666" t="s">
        <v>163</v>
      </c>
      <c r="W666" t="s">
        <v>165</v>
      </c>
      <c r="X666" t="s">
        <v>165</v>
      </c>
      <c r="Y666">
        <v>1</v>
      </c>
      <c r="Z666" t="s">
        <v>163</v>
      </c>
      <c r="AA666">
        <v>1</v>
      </c>
      <c r="AB666">
        <v>2</v>
      </c>
      <c r="AC666">
        <v>0</v>
      </c>
      <c r="AD666">
        <v>1</v>
      </c>
      <c r="AE666" t="s">
        <v>163</v>
      </c>
      <c r="AF666">
        <v>0</v>
      </c>
      <c r="AG666" t="s">
        <v>163</v>
      </c>
      <c r="AH666" t="s">
        <v>163</v>
      </c>
      <c r="AI666">
        <v>2</v>
      </c>
      <c r="AJ666" t="s">
        <v>163</v>
      </c>
      <c r="AK666">
        <v>6</v>
      </c>
      <c r="AL666">
        <v>9</v>
      </c>
      <c r="AM666" t="s">
        <v>163</v>
      </c>
      <c r="AN666">
        <v>1</v>
      </c>
      <c r="AO666">
        <v>1</v>
      </c>
      <c r="AP666">
        <v>2</v>
      </c>
      <c r="AQ666">
        <v>2</v>
      </c>
      <c r="AR666">
        <v>8</v>
      </c>
      <c r="AS666">
        <v>11</v>
      </c>
    </row>
    <row r="667" spans="1:45" x14ac:dyDescent="0.35">
      <c r="A667" s="337">
        <v>46266</v>
      </c>
      <c r="B667" s="337">
        <v>46266</v>
      </c>
      <c r="C667" s="337">
        <v>46260</v>
      </c>
      <c r="D667" t="s">
        <v>128</v>
      </c>
      <c r="E667" s="339">
        <v>0.66666666666666663</v>
      </c>
      <c r="F667">
        <v>1</v>
      </c>
      <c r="G667" t="s">
        <v>335</v>
      </c>
      <c r="H667">
        <v>0.01</v>
      </c>
      <c r="I667" t="s">
        <v>165</v>
      </c>
      <c r="J667" t="s">
        <v>165</v>
      </c>
      <c r="K667" t="s">
        <v>165</v>
      </c>
      <c r="L667" t="s">
        <v>163</v>
      </c>
      <c r="M667" t="s">
        <v>161</v>
      </c>
      <c r="N667">
        <v>10.77</v>
      </c>
      <c r="O667" t="s">
        <v>163</v>
      </c>
      <c r="P667" t="s">
        <v>163</v>
      </c>
      <c r="Q667" t="s">
        <v>163</v>
      </c>
      <c r="R667" t="s">
        <v>163</v>
      </c>
      <c r="S667" t="s">
        <v>163</v>
      </c>
      <c r="T667" t="s">
        <v>163</v>
      </c>
      <c r="U667" t="s">
        <v>163</v>
      </c>
      <c r="V667" t="s">
        <v>163</v>
      </c>
      <c r="W667" t="s">
        <v>165</v>
      </c>
      <c r="X667" t="s">
        <v>165</v>
      </c>
      <c r="Y667" t="s">
        <v>163</v>
      </c>
      <c r="Z667">
        <v>2</v>
      </c>
      <c r="AA667">
        <v>1</v>
      </c>
      <c r="AB667">
        <v>2</v>
      </c>
      <c r="AC667">
        <v>0</v>
      </c>
      <c r="AD667" t="s">
        <v>163</v>
      </c>
      <c r="AE667" t="s">
        <v>163</v>
      </c>
      <c r="AF667" t="s">
        <v>163</v>
      </c>
      <c r="AG667" t="s">
        <v>163</v>
      </c>
      <c r="AH667" t="s">
        <v>163</v>
      </c>
      <c r="AI667" t="s">
        <v>163</v>
      </c>
      <c r="AJ667" t="s">
        <v>163</v>
      </c>
      <c r="AK667">
        <v>5</v>
      </c>
      <c r="AL667">
        <v>6</v>
      </c>
      <c r="AM667" t="s">
        <v>163</v>
      </c>
      <c r="AN667">
        <v>1</v>
      </c>
      <c r="AO667">
        <v>1</v>
      </c>
      <c r="AP667">
        <v>2</v>
      </c>
      <c r="AQ667">
        <v>2</v>
      </c>
      <c r="AR667">
        <v>7</v>
      </c>
      <c r="AS667">
        <v>8</v>
      </c>
    </row>
    <row r="668" spans="1:45" x14ac:dyDescent="0.35">
      <c r="A668" s="337">
        <v>46266</v>
      </c>
      <c r="B668" s="337">
        <v>46266</v>
      </c>
      <c r="C668" s="337">
        <v>46260</v>
      </c>
      <c r="D668" t="s">
        <v>128</v>
      </c>
      <c r="E668" s="339">
        <v>0.58333333333333337</v>
      </c>
      <c r="F668">
        <v>1</v>
      </c>
      <c r="G668" t="s">
        <v>335</v>
      </c>
      <c r="H668" t="s">
        <v>163</v>
      </c>
      <c r="I668" t="s">
        <v>165</v>
      </c>
      <c r="J668" t="s">
        <v>165</v>
      </c>
      <c r="K668" t="s">
        <v>165</v>
      </c>
      <c r="L668" t="s">
        <v>163</v>
      </c>
      <c r="M668" t="s">
        <v>161</v>
      </c>
      <c r="N668">
        <v>10.86</v>
      </c>
      <c r="O668">
        <v>9.25</v>
      </c>
      <c r="P668" t="s">
        <v>163</v>
      </c>
      <c r="Q668" t="s">
        <v>163</v>
      </c>
      <c r="R668" t="s">
        <v>163</v>
      </c>
      <c r="S668" t="s">
        <v>163</v>
      </c>
      <c r="T668">
        <v>25.2</v>
      </c>
      <c r="U668" t="s">
        <v>163</v>
      </c>
      <c r="V668" t="s">
        <v>163</v>
      </c>
      <c r="W668" t="s">
        <v>165</v>
      </c>
      <c r="X668" t="s">
        <v>165</v>
      </c>
      <c r="Y668">
        <v>1</v>
      </c>
      <c r="Z668" t="s">
        <v>163</v>
      </c>
      <c r="AA668">
        <v>1</v>
      </c>
      <c r="AB668">
        <v>2</v>
      </c>
      <c r="AC668">
        <v>0</v>
      </c>
      <c r="AD668">
        <v>0</v>
      </c>
      <c r="AE668" t="s">
        <v>163</v>
      </c>
      <c r="AF668" t="s">
        <v>163</v>
      </c>
      <c r="AG668" t="s">
        <v>163</v>
      </c>
      <c r="AH668" t="s">
        <v>163</v>
      </c>
      <c r="AI668">
        <v>0</v>
      </c>
      <c r="AJ668" t="s">
        <v>163</v>
      </c>
      <c r="AK668">
        <v>3</v>
      </c>
      <c r="AL668">
        <v>7</v>
      </c>
      <c r="AM668" t="s">
        <v>163</v>
      </c>
      <c r="AN668">
        <v>1</v>
      </c>
      <c r="AO668">
        <v>1</v>
      </c>
      <c r="AP668">
        <v>2</v>
      </c>
      <c r="AQ668">
        <v>2</v>
      </c>
      <c r="AR668">
        <v>5</v>
      </c>
      <c r="AS668">
        <v>9</v>
      </c>
    </row>
    <row r="669" spans="1:45" x14ac:dyDescent="0.35">
      <c r="A669" s="337">
        <v>46266</v>
      </c>
      <c r="B669" s="337">
        <v>46266</v>
      </c>
      <c r="C669" s="337">
        <v>46259</v>
      </c>
      <c r="D669" t="s">
        <v>125</v>
      </c>
      <c r="E669" t="s">
        <v>238</v>
      </c>
      <c r="F669">
        <v>3</v>
      </c>
      <c r="G669" t="s">
        <v>36</v>
      </c>
      <c r="H669" t="s">
        <v>163</v>
      </c>
      <c r="I669" t="s">
        <v>165</v>
      </c>
      <c r="J669" t="s">
        <v>165</v>
      </c>
      <c r="K669" t="s">
        <v>165</v>
      </c>
      <c r="L669" t="s">
        <v>161</v>
      </c>
      <c r="M669" t="s">
        <v>161</v>
      </c>
      <c r="N669">
        <v>11.98</v>
      </c>
      <c r="O669" t="s">
        <v>163</v>
      </c>
      <c r="P669" t="s">
        <v>163</v>
      </c>
      <c r="Q669" t="s">
        <v>163</v>
      </c>
      <c r="R669" t="s">
        <v>163</v>
      </c>
      <c r="S669" t="s">
        <v>163</v>
      </c>
      <c r="T669" t="s">
        <v>163</v>
      </c>
      <c r="U669" t="s">
        <v>163</v>
      </c>
      <c r="V669" t="s">
        <v>163</v>
      </c>
      <c r="W669" t="s">
        <v>165</v>
      </c>
      <c r="X669" t="s">
        <v>165</v>
      </c>
      <c r="Y669" t="s">
        <v>163</v>
      </c>
      <c r="Z669" t="s">
        <v>163</v>
      </c>
      <c r="AA669">
        <v>1</v>
      </c>
      <c r="AB669">
        <v>2</v>
      </c>
      <c r="AC669">
        <v>0</v>
      </c>
      <c r="AD669" t="s">
        <v>163</v>
      </c>
      <c r="AE669" t="s">
        <v>163</v>
      </c>
      <c r="AF669" t="s">
        <v>163</v>
      </c>
      <c r="AG669" t="s">
        <v>163</v>
      </c>
      <c r="AH669" t="s">
        <v>163</v>
      </c>
      <c r="AI669" t="s">
        <v>163</v>
      </c>
      <c r="AJ669" t="s">
        <v>163</v>
      </c>
      <c r="AK669">
        <v>3</v>
      </c>
      <c r="AL669">
        <v>4</v>
      </c>
      <c r="AM669" t="s">
        <v>163</v>
      </c>
      <c r="AN669">
        <v>1</v>
      </c>
      <c r="AO669">
        <v>1</v>
      </c>
      <c r="AP669">
        <v>2</v>
      </c>
      <c r="AQ669">
        <v>2</v>
      </c>
      <c r="AR669">
        <v>5</v>
      </c>
      <c r="AS669">
        <v>6</v>
      </c>
    </row>
    <row r="670" spans="1:45" x14ac:dyDescent="0.35">
      <c r="A670" s="337">
        <v>46266</v>
      </c>
      <c r="B670" s="337">
        <v>46266</v>
      </c>
      <c r="C670" s="337">
        <v>46259</v>
      </c>
      <c r="D670" t="s">
        <v>125</v>
      </c>
      <c r="E670" t="s">
        <v>237</v>
      </c>
      <c r="F670">
        <v>3</v>
      </c>
      <c r="G670" t="s">
        <v>36</v>
      </c>
      <c r="H670" t="s">
        <v>163</v>
      </c>
      <c r="I670" t="s">
        <v>165</v>
      </c>
      <c r="J670" t="s">
        <v>165</v>
      </c>
      <c r="K670" t="s">
        <v>165</v>
      </c>
      <c r="L670" t="s">
        <v>161</v>
      </c>
      <c r="M670" t="s">
        <v>161</v>
      </c>
      <c r="N670">
        <v>11.72</v>
      </c>
      <c r="O670" t="s">
        <v>163</v>
      </c>
      <c r="P670" t="s">
        <v>163</v>
      </c>
      <c r="Q670" t="s">
        <v>163</v>
      </c>
      <c r="R670" t="s">
        <v>163</v>
      </c>
      <c r="S670" t="s">
        <v>163</v>
      </c>
      <c r="T670" t="s">
        <v>163</v>
      </c>
      <c r="U670" t="s">
        <v>163</v>
      </c>
      <c r="V670" t="s">
        <v>163</v>
      </c>
      <c r="W670" t="s">
        <v>165</v>
      </c>
      <c r="X670" t="s">
        <v>165</v>
      </c>
      <c r="Y670" t="s">
        <v>163</v>
      </c>
      <c r="Z670" t="s">
        <v>163</v>
      </c>
      <c r="AA670">
        <v>1</v>
      </c>
      <c r="AB670">
        <v>2</v>
      </c>
      <c r="AC670">
        <v>0</v>
      </c>
      <c r="AD670" t="s">
        <v>163</v>
      </c>
      <c r="AE670" t="s">
        <v>163</v>
      </c>
      <c r="AF670" t="s">
        <v>163</v>
      </c>
      <c r="AG670" t="s">
        <v>163</v>
      </c>
      <c r="AH670" t="s">
        <v>163</v>
      </c>
      <c r="AI670" t="s">
        <v>163</v>
      </c>
      <c r="AJ670" t="s">
        <v>163</v>
      </c>
      <c r="AK670">
        <v>3</v>
      </c>
      <c r="AL670">
        <v>4</v>
      </c>
      <c r="AM670" t="s">
        <v>163</v>
      </c>
      <c r="AN670">
        <v>1</v>
      </c>
      <c r="AO670">
        <v>1</v>
      </c>
      <c r="AP670">
        <v>2</v>
      </c>
      <c r="AQ670">
        <v>2</v>
      </c>
      <c r="AR670">
        <v>5</v>
      </c>
      <c r="AS670">
        <v>6</v>
      </c>
    </row>
    <row r="671" spans="1:45" x14ac:dyDescent="0.35">
      <c r="A671" s="337">
        <v>46266</v>
      </c>
      <c r="B671" s="337">
        <v>46266</v>
      </c>
      <c r="C671" s="337">
        <v>46259</v>
      </c>
      <c r="D671" t="s">
        <v>125</v>
      </c>
      <c r="E671" t="s">
        <v>327</v>
      </c>
      <c r="F671">
        <v>3</v>
      </c>
      <c r="G671" t="s">
        <v>33</v>
      </c>
      <c r="H671">
        <v>0.01</v>
      </c>
      <c r="I671" t="s">
        <v>165</v>
      </c>
      <c r="J671" t="s">
        <v>165</v>
      </c>
      <c r="K671" t="s">
        <v>165</v>
      </c>
      <c r="L671" t="s">
        <v>161</v>
      </c>
      <c r="M671" t="s">
        <v>161</v>
      </c>
      <c r="N671">
        <v>11.83</v>
      </c>
      <c r="O671" t="s">
        <v>163</v>
      </c>
      <c r="P671" t="s">
        <v>163</v>
      </c>
      <c r="Q671" t="s">
        <v>163</v>
      </c>
      <c r="R671" t="s">
        <v>163</v>
      </c>
      <c r="S671" t="s">
        <v>163</v>
      </c>
      <c r="T671" t="s">
        <v>163</v>
      </c>
      <c r="U671" t="s">
        <v>163</v>
      </c>
      <c r="V671" t="s">
        <v>163</v>
      </c>
      <c r="W671" t="s">
        <v>165</v>
      </c>
      <c r="X671" t="s">
        <v>165</v>
      </c>
      <c r="Y671" t="s">
        <v>163</v>
      </c>
      <c r="Z671">
        <v>2</v>
      </c>
      <c r="AA671">
        <v>1</v>
      </c>
      <c r="AB671">
        <v>2</v>
      </c>
      <c r="AC671">
        <v>0</v>
      </c>
      <c r="AD671" t="s">
        <v>163</v>
      </c>
      <c r="AE671" t="s">
        <v>163</v>
      </c>
      <c r="AF671" t="s">
        <v>163</v>
      </c>
      <c r="AG671" t="s">
        <v>163</v>
      </c>
      <c r="AH671" t="s">
        <v>163</v>
      </c>
      <c r="AI671" t="s">
        <v>163</v>
      </c>
      <c r="AJ671" t="s">
        <v>163</v>
      </c>
      <c r="AK671">
        <v>5</v>
      </c>
      <c r="AL671">
        <v>6</v>
      </c>
      <c r="AM671" t="s">
        <v>163</v>
      </c>
      <c r="AN671">
        <v>1</v>
      </c>
      <c r="AO671">
        <v>1</v>
      </c>
      <c r="AP671">
        <v>2</v>
      </c>
      <c r="AQ671">
        <v>2</v>
      </c>
      <c r="AR671">
        <v>7</v>
      </c>
      <c r="AS671">
        <v>8</v>
      </c>
    </row>
    <row r="672" spans="1:45" x14ac:dyDescent="0.35">
      <c r="A672" s="337">
        <v>46266</v>
      </c>
      <c r="B672" s="337">
        <v>46266</v>
      </c>
      <c r="C672" s="337">
        <v>46259</v>
      </c>
      <c r="D672" t="s">
        <v>125</v>
      </c>
      <c r="E672" t="s">
        <v>240</v>
      </c>
      <c r="F672">
        <v>3</v>
      </c>
      <c r="G672" t="s">
        <v>33</v>
      </c>
      <c r="H672" t="s">
        <v>163</v>
      </c>
      <c r="I672" t="s">
        <v>165</v>
      </c>
      <c r="J672" t="s">
        <v>165</v>
      </c>
      <c r="K672" t="s">
        <v>165</v>
      </c>
      <c r="L672" t="s">
        <v>161</v>
      </c>
      <c r="M672" t="s">
        <v>161</v>
      </c>
      <c r="N672">
        <v>11.83</v>
      </c>
      <c r="O672">
        <v>12.36</v>
      </c>
      <c r="P672">
        <v>0.57999999999999996</v>
      </c>
      <c r="Q672">
        <v>63.5</v>
      </c>
      <c r="R672" t="s">
        <v>163</v>
      </c>
      <c r="S672" t="s">
        <v>163</v>
      </c>
      <c r="T672">
        <v>34.6</v>
      </c>
      <c r="U672" t="s">
        <v>163</v>
      </c>
      <c r="V672" t="s">
        <v>163</v>
      </c>
      <c r="W672" t="s">
        <v>165</v>
      </c>
      <c r="X672" t="s">
        <v>165</v>
      </c>
      <c r="Y672" t="s">
        <v>163</v>
      </c>
      <c r="Z672" t="s">
        <v>163</v>
      </c>
      <c r="AA672">
        <v>1</v>
      </c>
      <c r="AB672">
        <v>2</v>
      </c>
      <c r="AC672">
        <v>0</v>
      </c>
      <c r="AD672">
        <v>1</v>
      </c>
      <c r="AE672">
        <v>2</v>
      </c>
      <c r="AF672">
        <v>0</v>
      </c>
      <c r="AG672" t="s">
        <v>163</v>
      </c>
      <c r="AH672" t="s">
        <v>163</v>
      </c>
      <c r="AI672">
        <v>2</v>
      </c>
      <c r="AJ672" t="s">
        <v>163</v>
      </c>
      <c r="AK672">
        <v>8</v>
      </c>
      <c r="AL672">
        <v>11</v>
      </c>
      <c r="AM672" t="s">
        <v>163</v>
      </c>
      <c r="AN672">
        <v>1</v>
      </c>
      <c r="AO672">
        <v>1</v>
      </c>
      <c r="AP672">
        <v>2</v>
      </c>
      <c r="AQ672">
        <v>2</v>
      </c>
      <c r="AR672">
        <v>10</v>
      </c>
      <c r="AS672">
        <v>13</v>
      </c>
    </row>
    <row r="673" spans="1:45" x14ac:dyDescent="0.35">
      <c r="A673" s="337">
        <v>46266</v>
      </c>
      <c r="B673" s="337">
        <v>46266</v>
      </c>
      <c r="C673" s="337">
        <v>46259</v>
      </c>
      <c r="D673" t="s">
        <v>125</v>
      </c>
      <c r="E673" t="s">
        <v>273</v>
      </c>
      <c r="F673">
        <v>3</v>
      </c>
      <c r="G673" t="s">
        <v>119</v>
      </c>
      <c r="H673">
        <v>0.01</v>
      </c>
      <c r="I673" t="s">
        <v>165</v>
      </c>
      <c r="J673" t="s">
        <v>165</v>
      </c>
      <c r="K673" t="s">
        <v>165</v>
      </c>
      <c r="L673" t="s">
        <v>161</v>
      </c>
      <c r="M673" t="s">
        <v>161</v>
      </c>
      <c r="N673">
        <v>12.27</v>
      </c>
      <c r="O673" t="s">
        <v>163</v>
      </c>
      <c r="P673" t="s">
        <v>163</v>
      </c>
      <c r="Q673">
        <v>0.56999999999999995</v>
      </c>
      <c r="R673" t="s">
        <v>163</v>
      </c>
      <c r="S673" t="s">
        <v>163</v>
      </c>
      <c r="T673" t="s">
        <v>163</v>
      </c>
      <c r="U673" t="s">
        <v>163</v>
      </c>
      <c r="V673" t="s">
        <v>163</v>
      </c>
      <c r="W673" t="s">
        <v>165</v>
      </c>
      <c r="X673" t="s">
        <v>165</v>
      </c>
      <c r="Y673" t="s">
        <v>163</v>
      </c>
      <c r="Z673">
        <v>2</v>
      </c>
      <c r="AA673">
        <v>1</v>
      </c>
      <c r="AB673">
        <v>2</v>
      </c>
      <c r="AC673">
        <v>1</v>
      </c>
      <c r="AD673" t="s">
        <v>163</v>
      </c>
      <c r="AE673" t="s">
        <v>163</v>
      </c>
      <c r="AF673">
        <v>0</v>
      </c>
      <c r="AG673" t="s">
        <v>163</v>
      </c>
      <c r="AH673" t="s">
        <v>163</v>
      </c>
      <c r="AI673" t="s">
        <v>163</v>
      </c>
      <c r="AJ673" t="s">
        <v>163</v>
      </c>
      <c r="AK673">
        <v>6</v>
      </c>
      <c r="AL673">
        <v>8</v>
      </c>
      <c r="AM673" t="s">
        <v>163</v>
      </c>
      <c r="AN673">
        <v>1</v>
      </c>
      <c r="AO673">
        <v>1</v>
      </c>
      <c r="AP673">
        <v>2</v>
      </c>
      <c r="AQ673">
        <v>2</v>
      </c>
      <c r="AR673">
        <v>8</v>
      </c>
      <c r="AS673">
        <v>10</v>
      </c>
    </row>
    <row r="674" spans="1:45" x14ac:dyDescent="0.35">
      <c r="A674" s="337">
        <v>46266</v>
      </c>
      <c r="B674" s="337">
        <v>46266</v>
      </c>
      <c r="C674" s="337">
        <v>46259</v>
      </c>
      <c r="D674" t="s">
        <v>125</v>
      </c>
      <c r="E674" t="s">
        <v>239</v>
      </c>
      <c r="F674">
        <v>3</v>
      </c>
      <c r="G674" t="s">
        <v>117</v>
      </c>
      <c r="H674" t="s">
        <v>163</v>
      </c>
      <c r="I674" t="s">
        <v>165</v>
      </c>
      <c r="J674" t="s">
        <v>165</v>
      </c>
      <c r="K674" t="s">
        <v>165</v>
      </c>
      <c r="L674" t="s">
        <v>161</v>
      </c>
      <c r="M674" t="s">
        <v>161</v>
      </c>
      <c r="N674">
        <v>12.34</v>
      </c>
      <c r="O674">
        <v>12.07</v>
      </c>
      <c r="P674">
        <v>0.56999999999999995</v>
      </c>
      <c r="Q674">
        <v>64.900000000000006</v>
      </c>
      <c r="R674" t="s">
        <v>163</v>
      </c>
      <c r="S674" t="s">
        <v>163</v>
      </c>
      <c r="T674">
        <v>33.6</v>
      </c>
      <c r="U674" t="s">
        <v>163</v>
      </c>
      <c r="V674">
        <v>25.19</v>
      </c>
      <c r="W674" t="s">
        <v>165</v>
      </c>
      <c r="X674" t="s">
        <v>165</v>
      </c>
      <c r="Y674" t="s">
        <v>163</v>
      </c>
      <c r="Z674" t="s">
        <v>163</v>
      </c>
      <c r="AA674">
        <v>1</v>
      </c>
      <c r="AB674">
        <v>2</v>
      </c>
      <c r="AC674">
        <v>1</v>
      </c>
      <c r="AD674">
        <v>1</v>
      </c>
      <c r="AE674">
        <v>2</v>
      </c>
      <c r="AF674">
        <v>2</v>
      </c>
      <c r="AG674" t="s">
        <v>163</v>
      </c>
      <c r="AH674" t="s">
        <v>163</v>
      </c>
      <c r="AI674">
        <v>2</v>
      </c>
      <c r="AJ674" t="s">
        <v>163</v>
      </c>
      <c r="AK674">
        <v>11</v>
      </c>
      <c r="AL674">
        <v>11</v>
      </c>
      <c r="AM674">
        <v>1</v>
      </c>
      <c r="AN674">
        <v>1</v>
      </c>
      <c r="AO674">
        <v>1</v>
      </c>
      <c r="AP674">
        <v>3</v>
      </c>
      <c r="AQ674">
        <v>3</v>
      </c>
      <c r="AR674">
        <v>14</v>
      </c>
      <c r="AS674">
        <v>14</v>
      </c>
    </row>
    <row r="675" spans="1:45" x14ac:dyDescent="0.35">
      <c r="A675" s="337">
        <v>46266</v>
      </c>
      <c r="B675" s="337">
        <v>46266</v>
      </c>
      <c r="C675" s="339">
        <v>0</v>
      </c>
      <c r="D675" t="s">
        <v>125</v>
      </c>
      <c r="E675" t="s">
        <v>238</v>
      </c>
      <c r="F675">
        <v>2</v>
      </c>
      <c r="G675" t="s">
        <v>158</v>
      </c>
      <c r="H675" t="s">
        <v>163</v>
      </c>
      <c r="I675" t="s">
        <v>165</v>
      </c>
      <c r="J675" t="s">
        <v>165</v>
      </c>
      <c r="K675" t="s">
        <v>165</v>
      </c>
      <c r="L675" t="s">
        <v>163</v>
      </c>
      <c r="M675" t="s">
        <v>163</v>
      </c>
      <c r="N675">
        <v>11.19</v>
      </c>
      <c r="O675" t="s">
        <v>163</v>
      </c>
      <c r="P675" t="s">
        <v>163</v>
      </c>
      <c r="Q675" t="s">
        <v>163</v>
      </c>
      <c r="R675" t="s">
        <v>163</v>
      </c>
      <c r="S675" t="s">
        <v>163</v>
      </c>
      <c r="T675" t="s">
        <v>163</v>
      </c>
      <c r="U675" t="s">
        <v>163</v>
      </c>
      <c r="V675" t="s">
        <v>163</v>
      </c>
      <c r="W675" t="s">
        <v>165</v>
      </c>
      <c r="X675" t="s">
        <v>165</v>
      </c>
      <c r="Y675" t="s">
        <v>163</v>
      </c>
      <c r="Z675" t="s">
        <v>163</v>
      </c>
      <c r="AA675">
        <v>1</v>
      </c>
      <c r="AB675">
        <v>2</v>
      </c>
      <c r="AC675">
        <v>1</v>
      </c>
      <c r="AD675" t="s">
        <v>163</v>
      </c>
      <c r="AE675" t="s">
        <v>163</v>
      </c>
      <c r="AF675" t="s">
        <v>163</v>
      </c>
      <c r="AG675" t="s">
        <v>163</v>
      </c>
      <c r="AH675" t="s">
        <v>163</v>
      </c>
      <c r="AI675" t="s">
        <v>163</v>
      </c>
      <c r="AJ675" t="s">
        <v>163</v>
      </c>
      <c r="AK675">
        <v>4</v>
      </c>
      <c r="AL675">
        <v>4</v>
      </c>
      <c r="AM675" t="s">
        <v>163</v>
      </c>
      <c r="AN675">
        <v>1</v>
      </c>
      <c r="AO675">
        <v>1</v>
      </c>
      <c r="AP675">
        <v>2</v>
      </c>
      <c r="AQ675">
        <v>2</v>
      </c>
      <c r="AR675">
        <v>6</v>
      </c>
      <c r="AS675">
        <v>6</v>
      </c>
    </row>
    <row r="676" spans="1:45" x14ac:dyDescent="0.35">
      <c r="A676" s="337">
        <v>46266</v>
      </c>
      <c r="B676" s="337">
        <v>46266</v>
      </c>
      <c r="C676" s="339">
        <v>0</v>
      </c>
      <c r="D676" t="s">
        <v>125</v>
      </c>
      <c r="E676" t="s">
        <v>237</v>
      </c>
      <c r="F676">
        <v>2</v>
      </c>
      <c r="G676" t="s">
        <v>158</v>
      </c>
      <c r="H676" t="s">
        <v>163</v>
      </c>
      <c r="I676" t="s">
        <v>165</v>
      </c>
      <c r="J676" t="s">
        <v>165</v>
      </c>
      <c r="K676" t="s">
        <v>165</v>
      </c>
      <c r="L676" t="s">
        <v>163</v>
      </c>
      <c r="M676" t="s">
        <v>163</v>
      </c>
      <c r="N676">
        <v>11.31</v>
      </c>
      <c r="O676" t="s">
        <v>163</v>
      </c>
      <c r="P676" t="s">
        <v>163</v>
      </c>
      <c r="Q676" t="s">
        <v>163</v>
      </c>
      <c r="R676" t="s">
        <v>163</v>
      </c>
      <c r="S676" t="s">
        <v>163</v>
      </c>
      <c r="T676" t="s">
        <v>163</v>
      </c>
      <c r="U676" t="s">
        <v>163</v>
      </c>
      <c r="V676" t="s">
        <v>163</v>
      </c>
      <c r="W676" t="s">
        <v>165</v>
      </c>
      <c r="X676" t="s">
        <v>165</v>
      </c>
      <c r="Y676" t="s">
        <v>163</v>
      </c>
      <c r="Z676" t="s">
        <v>163</v>
      </c>
      <c r="AA676">
        <v>1</v>
      </c>
      <c r="AB676">
        <v>2</v>
      </c>
      <c r="AC676">
        <v>1</v>
      </c>
      <c r="AD676" t="s">
        <v>163</v>
      </c>
      <c r="AE676" t="s">
        <v>163</v>
      </c>
      <c r="AF676" t="s">
        <v>163</v>
      </c>
      <c r="AG676" t="s">
        <v>163</v>
      </c>
      <c r="AH676" t="s">
        <v>163</v>
      </c>
      <c r="AI676" t="s">
        <v>163</v>
      </c>
      <c r="AJ676" t="s">
        <v>163</v>
      </c>
      <c r="AK676">
        <v>4</v>
      </c>
      <c r="AL676">
        <v>4</v>
      </c>
      <c r="AM676" t="s">
        <v>163</v>
      </c>
      <c r="AN676">
        <v>1</v>
      </c>
      <c r="AO676">
        <v>1</v>
      </c>
      <c r="AP676">
        <v>2</v>
      </c>
      <c r="AQ676">
        <v>2</v>
      </c>
      <c r="AR676">
        <v>6</v>
      </c>
      <c r="AS676">
        <v>6</v>
      </c>
    </row>
    <row r="677" spans="1:45" x14ac:dyDescent="0.35">
      <c r="A677" s="337">
        <v>46266</v>
      </c>
      <c r="B677" s="337">
        <v>46266</v>
      </c>
      <c r="C677" s="339">
        <v>0</v>
      </c>
      <c r="D677" t="s">
        <v>125</v>
      </c>
      <c r="E677" t="s">
        <v>327</v>
      </c>
      <c r="F677">
        <v>2</v>
      </c>
      <c r="G677" t="s">
        <v>158</v>
      </c>
      <c r="H677" t="s">
        <v>163</v>
      </c>
      <c r="I677" t="s">
        <v>165</v>
      </c>
      <c r="J677" t="s">
        <v>165</v>
      </c>
      <c r="K677" t="s">
        <v>165</v>
      </c>
      <c r="L677" t="s">
        <v>163</v>
      </c>
      <c r="M677" t="s">
        <v>163</v>
      </c>
      <c r="N677">
        <v>11.73</v>
      </c>
      <c r="O677" t="s">
        <v>163</v>
      </c>
      <c r="P677" t="s">
        <v>163</v>
      </c>
      <c r="Q677" t="s">
        <v>163</v>
      </c>
      <c r="R677" t="s">
        <v>163</v>
      </c>
      <c r="S677" t="s">
        <v>163</v>
      </c>
      <c r="T677" t="s">
        <v>163</v>
      </c>
      <c r="U677" t="s">
        <v>163</v>
      </c>
      <c r="V677" t="s">
        <v>163</v>
      </c>
      <c r="W677" t="s">
        <v>165</v>
      </c>
      <c r="X677" t="s">
        <v>165</v>
      </c>
      <c r="Y677" t="s">
        <v>163</v>
      </c>
      <c r="Z677" t="s">
        <v>163</v>
      </c>
      <c r="AA677">
        <v>1</v>
      </c>
      <c r="AB677">
        <v>2</v>
      </c>
      <c r="AC677">
        <v>1</v>
      </c>
      <c r="AD677" t="s">
        <v>163</v>
      </c>
      <c r="AE677" t="s">
        <v>163</v>
      </c>
      <c r="AF677" t="s">
        <v>163</v>
      </c>
      <c r="AG677" t="s">
        <v>163</v>
      </c>
      <c r="AH677" t="s">
        <v>163</v>
      </c>
      <c r="AI677" t="s">
        <v>163</v>
      </c>
      <c r="AJ677" t="s">
        <v>163</v>
      </c>
      <c r="AK677">
        <v>4</v>
      </c>
      <c r="AL677">
        <v>4</v>
      </c>
      <c r="AM677" t="s">
        <v>163</v>
      </c>
      <c r="AN677">
        <v>1</v>
      </c>
      <c r="AO677">
        <v>1</v>
      </c>
      <c r="AP677">
        <v>2</v>
      </c>
      <c r="AQ677">
        <v>2</v>
      </c>
      <c r="AR677">
        <v>6</v>
      </c>
      <c r="AS677">
        <v>6</v>
      </c>
    </row>
    <row r="678" spans="1:45" x14ac:dyDescent="0.35">
      <c r="A678" s="337">
        <v>46266</v>
      </c>
      <c r="B678" s="337">
        <v>46266</v>
      </c>
      <c r="C678" s="339">
        <v>0</v>
      </c>
      <c r="D678" t="s">
        <v>125</v>
      </c>
      <c r="E678" t="s">
        <v>240</v>
      </c>
      <c r="F678">
        <v>2</v>
      </c>
      <c r="G678" t="s">
        <v>158</v>
      </c>
      <c r="H678" t="s">
        <v>163</v>
      </c>
      <c r="I678" t="s">
        <v>165</v>
      </c>
      <c r="J678" t="s">
        <v>165</v>
      </c>
      <c r="K678" t="s">
        <v>165</v>
      </c>
      <c r="L678" t="s">
        <v>163</v>
      </c>
      <c r="M678" t="s">
        <v>163</v>
      </c>
      <c r="N678">
        <v>11.76</v>
      </c>
      <c r="O678" t="s">
        <v>163</v>
      </c>
      <c r="P678" t="s">
        <v>163</v>
      </c>
      <c r="Q678" t="s">
        <v>163</v>
      </c>
      <c r="R678" t="s">
        <v>163</v>
      </c>
      <c r="S678" t="s">
        <v>163</v>
      </c>
      <c r="T678" t="s">
        <v>163</v>
      </c>
      <c r="U678" t="s">
        <v>163</v>
      </c>
      <c r="V678" t="s">
        <v>163</v>
      </c>
      <c r="W678" t="s">
        <v>165</v>
      </c>
      <c r="X678" t="s">
        <v>165</v>
      </c>
      <c r="Y678" t="s">
        <v>163</v>
      </c>
      <c r="Z678" t="s">
        <v>163</v>
      </c>
      <c r="AA678">
        <v>1</v>
      </c>
      <c r="AB678">
        <v>2</v>
      </c>
      <c r="AC678">
        <v>1</v>
      </c>
      <c r="AD678" t="s">
        <v>163</v>
      </c>
      <c r="AE678" t="s">
        <v>163</v>
      </c>
      <c r="AF678" t="s">
        <v>163</v>
      </c>
      <c r="AG678" t="s">
        <v>163</v>
      </c>
      <c r="AH678" t="s">
        <v>163</v>
      </c>
      <c r="AI678" t="s">
        <v>163</v>
      </c>
      <c r="AJ678" t="s">
        <v>163</v>
      </c>
      <c r="AK678">
        <v>4</v>
      </c>
      <c r="AL678">
        <v>4</v>
      </c>
      <c r="AM678" t="s">
        <v>163</v>
      </c>
      <c r="AN678">
        <v>1</v>
      </c>
      <c r="AO678">
        <v>1</v>
      </c>
      <c r="AP678">
        <v>2</v>
      </c>
      <c r="AQ678">
        <v>2</v>
      </c>
      <c r="AR678">
        <v>6</v>
      </c>
      <c r="AS678">
        <v>6</v>
      </c>
    </row>
    <row r="679" spans="1:45" x14ac:dyDescent="0.35">
      <c r="A679" s="337">
        <v>46266</v>
      </c>
      <c r="B679" s="337">
        <v>46266</v>
      </c>
      <c r="C679" s="339">
        <v>0</v>
      </c>
      <c r="D679" t="s">
        <v>125</v>
      </c>
      <c r="E679" t="s">
        <v>273</v>
      </c>
      <c r="F679">
        <v>2</v>
      </c>
      <c r="G679" t="s">
        <v>158</v>
      </c>
      <c r="H679" t="s">
        <v>163</v>
      </c>
      <c r="I679" t="s">
        <v>165</v>
      </c>
      <c r="J679" t="s">
        <v>165</v>
      </c>
      <c r="K679" t="s">
        <v>165</v>
      </c>
      <c r="L679" t="s">
        <v>163</v>
      </c>
      <c r="M679" t="s">
        <v>163</v>
      </c>
      <c r="N679">
        <v>11.92</v>
      </c>
      <c r="O679" t="s">
        <v>163</v>
      </c>
      <c r="P679" t="s">
        <v>163</v>
      </c>
      <c r="Q679" t="s">
        <v>163</v>
      </c>
      <c r="R679" t="s">
        <v>163</v>
      </c>
      <c r="S679" t="s">
        <v>163</v>
      </c>
      <c r="T679" t="s">
        <v>163</v>
      </c>
      <c r="U679" t="s">
        <v>163</v>
      </c>
      <c r="V679" t="s">
        <v>163</v>
      </c>
      <c r="W679" t="s">
        <v>165</v>
      </c>
      <c r="X679" t="s">
        <v>165</v>
      </c>
      <c r="Y679" t="s">
        <v>163</v>
      </c>
      <c r="Z679" t="s">
        <v>163</v>
      </c>
      <c r="AA679">
        <v>1</v>
      </c>
      <c r="AB679">
        <v>2</v>
      </c>
      <c r="AC679">
        <v>1</v>
      </c>
      <c r="AD679" t="s">
        <v>163</v>
      </c>
      <c r="AE679" t="s">
        <v>163</v>
      </c>
      <c r="AF679" t="s">
        <v>163</v>
      </c>
      <c r="AG679" t="s">
        <v>163</v>
      </c>
      <c r="AH679" t="s">
        <v>163</v>
      </c>
      <c r="AI679" t="s">
        <v>163</v>
      </c>
      <c r="AJ679" t="s">
        <v>163</v>
      </c>
      <c r="AK679">
        <v>4</v>
      </c>
      <c r="AL679">
        <v>4</v>
      </c>
      <c r="AM679" t="s">
        <v>163</v>
      </c>
      <c r="AN679">
        <v>1</v>
      </c>
      <c r="AO679">
        <v>1</v>
      </c>
      <c r="AP679">
        <v>2</v>
      </c>
      <c r="AQ679">
        <v>2</v>
      </c>
      <c r="AR679">
        <v>6</v>
      </c>
      <c r="AS679">
        <v>6</v>
      </c>
    </row>
    <row r="680" spans="1:45" x14ac:dyDescent="0.35">
      <c r="A680" s="337">
        <v>46266</v>
      </c>
      <c r="B680" s="337">
        <v>46266</v>
      </c>
      <c r="C680" s="339">
        <v>0</v>
      </c>
      <c r="D680" t="s">
        <v>125</v>
      </c>
      <c r="E680" t="s">
        <v>239</v>
      </c>
      <c r="F680">
        <v>2</v>
      </c>
      <c r="G680" t="s">
        <v>158</v>
      </c>
      <c r="H680" t="s">
        <v>163</v>
      </c>
      <c r="I680" t="s">
        <v>165</v>
      </c>
      <c r="J680" t="s">
        <v>165</v>
      </c>
      <c r="K680" t="s">
        <v>165</v>
      </c>
      <c r="L680" t="s">
        <v>163</v>
      </c>
      <c r="M680" t="s">
        <v>163</v>
      </c>
      <c r="N680">
        <v>12.03</v>
      </c>
      <c r="O680">
        <v>9.65</v>
      </c>
      <c r="P680">
        <v>0.56999999999999995</v>
      </c>
      <c r="Q680">
        <v>55</v>
      </c>
      <c r="R680" t="s">
        <v>163</v>
      </c>
      <c r="S680" t="s">
        <v>163</v>
      </c>
      <c r="T680">
        <v>26.28</v>
      </c>
      <c r="U680" t="s">
        <v>163</v>
      </c>
      <c r="V680">
        <v>25.16</v>
      </c>
      <c r="W680" t="s">
        <v>165</v>
      </c>
      <c r="X680" t="s">
        <v>165</v>
      </c>
      <c r="Y680" t="s">
        <v>163</v>
      </c>
      <c r="Z680" t="s">
        <v>163</v>
      </c>
      <c r="AA680">
        <v>1</v>
      </c>
      <c r="AB680">
        <v>2</v>
      </c>
      <c r="AC680">
        <v>1</v>
      </c>
      <c r="AD680">
        <v>1</v>
      </c>
      <c r="AE680">
        <v>2</v>
      </c>
      <c r="AF680">
        <v>2</v>
      </c>
      <c r="AG680" t="s">
        <v>163</v>
      </c>
      <c r="AH680" t="s">
        <v>163</v>
      </c>
      <c r="AI680">
        <v>2</v>
      </c>
      <c r="AJ680" t="s">
        <v>163</v>
      </c>
      <c r="AK680">
        <v>11</v>
      </c>
      <c r="AL680">
        <v>11</v>
      </c>
      <c r="AM680">
        <v>1</v>
      </c>
      <c r="AN680">
        <v>1</v>
      </c>
      <c r="AO680">
        <v>1</v>
      </c>
      <c r="AP680">
        <v>3</v>
      </c>
      <c r="AQ680">
        <v>3</v>
      </c>
      <c r="AR680">
        <v>14</v>
      </c>
      <c r="AS680">
        <v>14</v>
      </c>
    </row>
    <row r="681" spans="1:45" x14ac:dyDescent="0.35">
      <c r="A681" s="337">
        <v>46266</v>
      </c>
      <c r="B681" s="337">
        <v>46266</v>
      </c>
      <c r="C681" s="337">
        <v>46260</v>
      </c>
      <c r="D681" t="s">
        <v>125</v>
      </c>
      <c r="E681" t="s">
        <v>238</v>
      </c>
      <c r="F681">
        <v>1</v>
      </c>
      <c r="G681" t="s">
        <v>335</v>
      </c>
      <c r="H681" t="s">
        <v>163</v>
      </c>
      <c r="I681" t="s">
        <v>165</v>
      </c>
      <c r="J681" t="s">
        <v>165</v>
      </c>
      <c r="K681" t="s">
        <v>165</v>
      </c>
      <c r="L681" t="s">
        <v>163</v>
      </c>
      <c r="M681" t="s">
        <v>161</v>
      </c>
      <c r="N681">
        <v>11.01</v>
      </c>
      <c r="O681" t="s">
        <v>163</v>
      </c>
      <c r="P681" t="s">
        <v>163</v>
      </c>
      <c r="Q681" t="s">
        <v>163</v>
      </c>
      <c r="R681" t="s">
        <v>163</v>
      </c>
      <c r="S681" t="s">
        <v>163</v>
      </c>
      <c r="T681" t="s">
        <v>163</v>
      </c>
      <c r="U681" t="s">
        <v>163</v>
      </c>
      <c r="V681" t="s">
        <v>163</v>
      </c>
      <c r="W681" t="s">
        <v>165</v>
      </c>
      <c r="X681" t="s">
        <v>165</v>
      </c>
      <c r="Y681" t="s">
        <v>163</v>
      </c>
      <c r="Z681" t="s">
        <v>163</v>
      </c>
      <c r="AA681">
        <v>1</v>
      </c>
      <c r="AB681">
        <v>2</v>
      </c>
      <c r="AC681">
        <v>0</v>
      </c>
      <c r="AD681" t="s">
        <v>163</v>
      </c>
      <c r="AE681" t="s">
        <v>163</v>
      </c>
      <c r="AF681" t="s">
        <v>163</v>
      </c>
      <c r="AG681" t="s">
        <v>163</v>
      </c>
      <c r="AH681" t="s">
        <v>163</v>
      </c>
      <c r="AI681" t="s">
        <v>163</v>
      </c>
      <c r="AJ681" t="s">
        <v>163</v>
      </c>
      <c r="AK681">
        <v>3</v>
      </c>
      <c r="AL681">
        <v>4</v>
      </c>
      <c r="AM681" t="s">
        <v>163</v>
      </c>
      <c r="AN681">
        <v>1</v>
      </c>
      <c r="AO681">
        <v>1</v>
      </c>
      <c r="AP681">
        <v>2</v>
      </c>
      <c r="AQ681">
        <v>2</v>
      </c>
      <c r="AR681">
        <v>5</v>
      </c>
      <c r="AS681">
        <v>6</v>
      </c>
    </row>
    <row r="682" spans="1:45" x14ac:dyDescent="0.35">
      <c r="A682" s="337">
        <v>46266</v>
      </c>
      <c r="B682" s="337">
        <v>46266</v>
      </c>
      <c r="C682" s="337">
        <v>46260</v>
      </c>
      <c r="D682" t="s">
        <v>125</v>
      </c>
      <c r="E682" t="s">
        <v>237</v>
      </c>
      <c r="F682">
        <v>1</v>
      </c>
      <c r="G682" t="s">
        <v>335</v>
      </c>
      <c r="H682" t="s">
        <v>163</v>
      </c>
      <c r="I682" t="s">
        <v>165</v>
      </c>
      <c r="J682" t="s">
        <v>165</v>
      </c>
      <c r="K682" t="s">
        <v>165</v>
      </c>
      <c r="L682" t="s">
        <v>163</v>
      </c>
      <c r="M682" t="s">
        <v>161</v>
      </c>
      <c r="N682">
        <v>10.49</v>
      </c>
      <c r="O682" t="s">
        <v>163</v>
      </c>
      <c r="P682" t="s">
        <v>163</v>
      </c>
      <c r="Q682" t="s">
        <v>163</v>
      </c>
      <c r="R682" t="s">
        <v>163</v>
      </c>
      <c r="S682" t="s">
        <v>163</v>
      </c>
      <c r="T682" t="s">
        <v>163</v>
      </c>
      <c r="U682" t="s">
        <v>163</v>
      </c>
      <c r="V682" t="s">
        <v>163</v>
      </c>
      <c r="W682" t="s">
        <v>165</v>
      </c>
      <c r="X682" t="s">
        <v>165</v>
      </c>
      <c r="Y682" t="s">
        <v>163</v>
      </c>
      <c r="Z682" t="s">
        <v>163</v>
      </c>
      <c r="AA682">
        <v>1</v>
      </c>
      <c r="AB682">
        <v>2</v>
      </c>
      <c r="AC682">
        <v>0</v>
      </c>
      <c r="AD682" t="s">
        <v>163</v>
      </c>
      <c r="AE682" t="s">
        <v>163</v>
      </c>
      <c r="AF682" t="s">
        <v>163</v>
      </c>
      <c r="AG682" t="s">
        <v>163</v>
      </c>
      <c r="AH682" t="s">
        <v>163</v>
      </c>
      <c r="AI682" t="s">
        <v>163</v>
      </c>
      <c r="AJ682" t="s">
        <v>163</v>
      </c>
      <c r="AK682">
        <v>3</v>
      </c>
      <c r="AL682">
        <v>4</v>
      </c>
      <c r="AM682" t="s">
        <v>163</v>
      </c>
      <c r="AN682">
        <v>1</v>
      </c>
      <c r="AO682">
        <v>1</v>
      </c>
      <c r="AP682">
        <v>2</v>
      </c>
      <c r="AQ682">
        <v>2</v>
      </c>
      <c r="AR682">
        <v>5</v>
      </c>
      <c r="AS682">
        <v>6</v>
      </c>
    </row>
    <row r="683" spans="1:45" x14ac:dyDescent="0.35">
      <c r="A683" s="337">
        <v>46266</v>
      </c>
      <c r="B683" s="337">
        <v>46266</v>
      </c>
      <c r="C683" s="337">
        <v>46260</v>
      </c>
      <c r="D683" t="s">
        <v>125</v>
      </c>
      <c r="E683" t="s">
        <v>327</v>
      </c>
      <c r="F683">
        <v>1</v>
      </c>
      <c r="G683" t="s">
        <v>335</v>
      </c>
      <c r="H683" t="s">
        <v>163</v>
      </c>
      <c r="I683" t="s">
        <v>163</v>
      </c>
      <c r="J683" t="s">
        <v>165</v>
      </c>
      <c r="K683" t="s">
        <v>165</v>
      </c>
      <c r="L683" t="s">
        <v>163</v>
      </c>
      <c r="M683" t="s">
        <v>161</v>
      </c>
      <c r="N683">
        <v>10.55</v>
      </c>
      <c r="O683" t="s">
        <v>163</v>
      </c>
      <c r="P683" t="s">
        <v>163</v>
      </c>
      <c r="Q683" t="s">
        <v>163</v>
      </c>
      <c r="R683" t="s">
        <v>163</v>
      </c>
      <c r="S683" t="s">
        <v>163</v>
      </c>
      <c r="T683" t="s">
        <v>163</v>
      </c>
      <c r="U683" t="s">
        <v>163</v>
      </c>
      <c r="V683" t="s">
        <v>163</v>
      </c>
      <c r="W683" t="s">
        <v>165</v>
      </c>
      <c r="X683" t="s">
        <v>165</v>
      </c>
      <c r="Y683" t="s">
        <v>163</v>
      </c>
      <c r="Z683" t="s">
        <v>163</v>
      </c>
      <c r="AA683" t="s">
        <v>163</v>
      </c>
      <c r="AB683">
        <v>2</v>
      </c>
      <c r="AC683">
        <v>0</v>
      </c>
      <c r="AD683" t="s">
        <v>163</v>
      </c>
      <c r="AE683" t="s">
        <v>163</v>
      </c>
      <c r="AF683" t="s">
        <v>163</v>
      </c>
      <c r="AG683" t="s">
        <v>163</v>
      </c>
      <c r="AH683" t="s">
        <v>163</v>
      </c>
      <c r="AI683" t="s">
        <v>163</v>
      </c>
      <c r="AJ683" t="s">
        <v>163</v>
      </c>
      <c r="AK683">
        <v>2</v>
      </c>
      <c r="AL683">
        <v>3</v>
      </c>
      <c r="AM683" t="s">
        <v>163</v>
      </c>
      <c r="AN683">
        <v>1</v>
      </c>
      <c r="AO683">
        <v>1</v>
      </c>
      <c r="AP683">
        <v>2</v>
      </c>
      <c r="AQ683">
        <v>2</v>
      </c>
      <c r="AR683">
        <v>4</v>
      </c>
      <c r="AS683">
        <v>5</v>
      </c>
    </row>
    <row r="684" spans="1:45" x14ac:dyDescent="0.35">
      <c r="A684" s="337">
        <v>46266</v>
      </c>
      <c r="B684" s="337">
        <v>46266</v>
      </c>
      <c r="C684" s="337">
        <v>46260</v>
      </c>
      <c r="D684" t="s">
        <v>125</v>
      </c>
      <c r="E684" t="s">
        <v>240</v>
      </c>
      <c r="F684">
        <v>1</v>
      </c>
      <c r="G684" t="s">
        <v>335</v>
      </c>
      <c r="H684" t="s">
        <v>163</v>
      </c>
      <c r="I684" t="s">
        <v>165</v>
      </c>
      <c r="J684" t="s">
        <v>165</v>
      </c>
      <c r="K684" t="s">
        <v>165</v>
      </c>
      <c r="L684" t="s">
        <v>163</v>
      </c>
      <c r="M684" t="s">
        <v>161</v>
      </c>
      <c r="N684">
        <v>10.57</v>
      </c>
      <c r="O684" t="s">
        <v>163</v>
      </c>
      <c r="P684" t="s">
        <v>163</v>
      </c>
      <c r="Q684" t="s">
        <v>163</v>
      </c>
      <c r="R684" t="s">
        <v>163</v>
      </c>
      <c r="S684" t="s">
        <v>163</v>
      </c>
      <c r="T684" t="s">
        <v>163</v>
      </c>
      <c r="U684" t="s">
        <v>163</v>
      </c>
      <c r="V684" t="s">
        <v>163</v>
      </c>
      <c r="W684" t="s">
        <v>165</v>
      </c>
      <c r="X684" t="s">
        <v>165</v>
      </c>
      <c r="Y684" t="s">
        <v>163</v>
      </c>
      <c r="Z684" t="s">
        <v>163</v>
      </c>
      <c r="AA684">
        <v>1</v>
      </c>
      <c r="AB684">
        <v>2</v>
      </c>
      <c r="AC684">
        <v>0</v>
      </c>
      <c r="AD684" t="s">
        <v>163</v>
      </c>
      <c r="AE684" t="s">
        <v>163</v>
      </c>
      <c r="AF684" t="s">
        <v>163</v>
      </c>
      <c r="AG684" t="s">
        <v>163</v>
      </c>
      <c r="AH684" t="s">
        <v>163</v>
      </c>
      <c r="AI684" t="s">
        <v>163</v>
      </c>
      <c r="AJ684" t="s">
        <v>163</v>
      </c>
      <c r="AK684">
        <v>3</v>
      </c>
      <c r="AL684">
        <v>4</v>
      </c>
      <c r="AM684" t="s">
        <v>163</v>
      </c>
      <c r="AN684">
        <v>1</v>
      </c>
      <c r="AO684">
        <v>1</v>
      </c>
      <c r="AP684">
        <v>2</v>
      </c>
      <c r="AQ684">
        <v>2</v>
      </c>
      <c r="AR684">
        <v>5</v>
      </c>
      <c r="AS684">
        <v>6</v>
      </c>
    </row>
    <row r="685" spans="1:45" x14ac:dyDescent="0.35">
      <c r="A685" s="337">
        <v>46266</v>
      </c>
      <c r="B685" s="337">
        <v>46266</v>
      </c>
      <c r="C685" s="337">
        <v>46260</v>
      </c>
      <c r="D685" t="s">
        <v>125</v>
      </c>
      <c r="E685" t="s">
        <v>273</v>
      </c>
      <c r="F685">
        <v>1</v>
      </c>
      <c r="G685" t="s">
        <v>335</v>
      </c>
      <c r="H685" t="s">
        <v>163</v>
      </c>
      <c r="I685" t="s">
        <v>165</v>
      </c>
      <c r="J685" t="s">
        <v>165</v>
      </c>
      <c r="K685" t="s">
        <v>165</v>
      </c>
      <c r="L685" t="s">
        <v>163</v>
      </c>
      <c r="M685" t="s">
        <v>161</v>
      </c>
      <c r="N685">
        <v>11.2</v>
      </c>
      <c r="O685">
        <v>8.7899999999999991</v>
      </c>
      <c r="P685">
        <v>0.62</v>
      </c>
      <c r="Q685">
        <v>57.4</v>
      </c>
      <c r="R685" t="s">
        <v>163</v>
      </c>
      <c r="S685" t="s">
        <v>163</v>
      </c>
      <c r="T685">
        <v>23.8</v>
      </c>
      <c r="U685" t="s">
        <v>163</v>
      </c>
      <c r="V685">
        <v>25.19</v>
      </c>
      <c r="W685" t="s">
        <v>165</v>
      </c>
      <c r="X685" t="s">
        <v>165</v>
      </c>
      <c r="Y685" t="s">
        <v>163</v>
      </c>
      <c r="Z685" t="s">
        <v>163</v>
      </c>
      <c r="AA685">
        <v>1</v>
      </c>
      <c r="AB685">
        <v>2</v>
      </c>
      <c r="AC685">
        <v>0</v>
      </c>
      <c r="AD685">
        <v>0</v>
      </c>
      <c r="AE685">
        <v>0</v>
      </c>
      <c r="AF685">
        <v>0</v>
      </c>
      <c r="AG685" t="s">
        <v>163</v>
      </c>
      <c r="AH685" t="s">
        <v>163</v>
      </c>
      <c r="AI685">
        <v>0</v>
      </c>
      <c r="AJ685" t="s">
        <v>163</v>
      </c>
      <c r="AK685">
        <v>3</v>
      </c>
      <c r="AL685">
        <v>11</v>
      </c>
      <c r="AM685">
        <v>1</v>
      </c>
      <c r="AN685">
        <v>1</v>
      </c>
      <c r="AO685">
        <v>1</v>
      </c>
      <c r="AP685">
        <v>3</v>
      </c>
      <c r="AQ685">
        <v>3</v>
      </c>
      <c r="AR685">
        <v>6</v>
      </c>
      <c r="AS685">
        <v>14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A3317-5C70-4BF2-8ABE-B08FAE42B6E1}">
  <sheetPr codeName="Sheet13"/>
  <dimension ref="A1:C3"/>
  <sheetViews>
    <sheetView workbookViewId="0">
      <selection activeCell="A6" sqref="A6"/>
    </sheetView>
  </sheetViews>
  <sheetFormatPr defaultColWidth="9.1796875" defaultRowHeight="61.5" x14ac:dyDescent="1.35"/>
  <cols>
    <col min="1" max="1" width="81.54296875" style="273" bestFit="1" customWidth="1"/>
    <col min="2" max="2" width="31.26953125" style="273" customWidth="1"/>
    <col min="3" max="3" width="70.453125" style="273" bestFit="1" customWidth="1"/>
    <col min="4" max="16384" width="9.1796875" style="273"/>
  </cols>
  <sheetData>
    <row r="1" spans="1:3" x14ac:dyDescent="1.35">
      <c r="A1" s="271" t="s">
        <v>303</v>
      </c>
      <c r="B1" s="272">
        <v>0.7</v>
      </c>
      <c r="C1" s="273" t="s">
        <v>616</v>
      </c>
    </row>
    <row r="2" spans="1:3" x14ac:dyDescent="1.35">
      <c r="A2" s="271" t="s">
        <v>617</v>
      </c>
      <c r="B2" s="272">
        <v>12.2</v>
      </c>
    </row>
    <row r="3" spans="1:3" x14ac:dyDescent="1.35">
      <c r="A3" s="271" t="s">
        <v>618</v>
      </c>
      <c r="B3" s="274">
        <f>B1/((100-B2)/86)</f>
        <v>0.68564920273348517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75f99b0b-85d6-476a-9267-cdedc6aee2b1">
      <UserInfo>
        <DisplayName>Teodoro Estador Jr. III</DisplayName>
        <AccountId>27</AccountId>
        <AccountType/>
      </UserInfo>
    </SharedWithUsers>
    <lcf76f155ced4ddcb4097134ff3c332f xmlns="eecf0a72-f7fa-4f45-a6b1-dce22c3ba52c">
      <Terms xmlns="http://schemas.microsoft.com/office/infopath/2007/PartnerControls"/>
    </lcf76f155ced4ddcb4097134ff3c332f>
    <TaxCatchAll xmlns="75f99b0b-85d6-476a-9267-cdedc6aee2b1"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C8F559816B8948B4A43C00A44B7A80" ma:contentTypeVersion="19" ma:contentTypeDescription="Create a new document." ma:contentTypeScope="" ma:versionID="911fe0875317cb7789d742b19eb1b2bf">
  <xsd:schema xmlns:xsd="http://www.w3.org/2001/XMLSchema" xmlns:xs="http://www.w3.org/2001/XMLSchema" xmlns:p="http://schemas.microsoft.com/office/2006/metadata/properties" xmlns:ns2="eecf0a72-f7fa-4f45-a6b1-dce22c3ba52c" xmlns:ns3="75f99b0b-85d6-476a-9267-cdedc6aee2b1" targetNamespace="http://schemas.microsoft.com/office/2006/metadata/properties" ma:root="true" ma:fieldsID="9d06c2e16ae0cd209fdffe2039914f60" ns2:_="" ns3:_="">
    <xsd:import namespace="eecf0a72-f7fa-4f45-a6b1-dce22c3ba52c"/>
    <xsd:import namespace="75f99b0b-85d6-476a-9267-cdedc6aee2b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Location" minOccurs="0"/>
                <xsd:element ref="ns2:MediaServiceGenerationTime" minOccurs="0"/>
                <xsd:element ref="ns2:MediaServiceEventHashCode" minOccurs="0"/>
                <xsd:element ref="ns2:MediaServiceAutoTags" minOccurs="0"/>
                <xsd:element ref="ns2:MediaServiceOCR"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cf0a72-f7fa-4f45-a6b1-dce22c3ba5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1475566d-a90c-49f3-a8e7-f584c09ba22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5f99b0b-85d6-476a-9267-cdedc6aee2b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9fdd8ea-b933-4990-b1c5-97c3fa870eb8}" ma:internalName="TaxCatchAll" ma:showField="CatchAllData" ma:web="75f99b0b-85d6-476a-9267-cdedc6aee2b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E19F7B-572E-4DE0-882A-2ACCAC7D6057}">
  <ds:schemaRefs>
    <ds:schemaRef ds:uri="http://schemas.microsoft.com/sharepoint/v3/contenttype/forms"/>
  </ds:schemaRefs>
</ds:datastoreItem>
</file>

<file path=customXml/itemProps2.xml><?xml version="1.0" encoding="utf-8"?>
<ds:datastoreItem xmlns:ds="http://schemas.openxmlformats.org/officeDocument/2006/customXml" ds:itemID="{F7FBC725-BE10-473D-A345-5FC4C0B8A31A}">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purl.org/dc/dcmitype/"/>
    <ds:schemaRef ds:uri="http://schemas.microsoft.com/office/infopath/2007/PartnerControls"/>
    <ds:schemaRef ds:uri="http://www.w3.org/XML/1998/namespace"/>
    <ds:schemaRef ds:uri="75f99b0b-85d6-476a-9267-cdedc6aee2b1"/>
    <ds:schemaRef ds:uri="eecf0a72-f7fa-4f45-a6b1-dce22c3ba52c"/>
    <ds:schemaRef ds:uri="http://purl.org/dc/terms/"/>
  </ds:schemaRefs>
</ds:datastoreItem>
</file>

<file path=customXml/itemProps3.xml><?xml version="1.0" encoding="utf-8"?>
<ds:datastoreItem xmlns:ds="http://schemas.openxmlformats.org/officeDocument/2006/customXml" ds:itemID="{A13DA404-57AE-4BC3-8999-8B34378C7F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cf0a72-f7fa-4f45-a6b1-dce22c3ba52c"/>
    <ds:schemaRef ds:uri="75f99b0b-85d6-476a-9267-cdedc6aee2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58</vt:i4>
      </vt:variant>
    </vt:vector>
  </HeadingPairs>
  <TitlesOfParts>
    <vt:vector size="72" baseType="lpstr">
      <vt:lpstr>VALIDATION LIST</vt:lpstr>
      <vt:lpstr>Micro Result DONOTUSE</vt:lpstr>
      <vt:lpstr>MILL SUM (2)</vt:lpstr>
      <vt:lpstr>NIR - WET LAB</vt:lpstr>
      <vt:lpstr>WHEAT SUM</vt:lpstr>
      <vt:lpstr>Sheet1</vt:lpstr>
      <vt:lpstr>MILL SUM</vt:lpstr>
      <vt:lpstr>PACK SUM</vt:lpstr>
      <vt:lpstr>SPECS DATA</vt:lpstr>
      <vt:lpstr>MILL E</vt:lpstr>
      <vt:lpstr>PACKING</vt:lpstr>
      <vt:lpstr>RESGEN</vt:lpstr>
      <vt:lpstr>Detail1</vt:lpstr>
      <vt:lpstr>14% MC Basis</vt:lpstr>
      <vt:lpstr>Absmax</vt:lpstr>
      <vt:lpstr>Absmin</vt:lpstr>
      <vt:lpstr>Analyst.list</vt:lpstr>
      <vt:lpstr>Ashmax</vt:lpstr>
      <vt:lpstr>Ashmin</vt:lpstr>
      <vt:lpstr>CAR1ROW01</vt:lpstr>
      <vt:lpstr>CAR1ROW02</vt:lpstr>
      <vt:lpstr>CAR1ROW03</vt:lpstr>
      <vt:lpstr>CAR1ROW04</vt:lpstr>
      <vt:lpstr>CAR1ROW05</vt:lpstr>
      <vt:lpstr>CAR1ROW06</vt:lpstr>
      <vt:lpstr>CAR1ROW07</vt:lpstr>
      <vt:lpstr>CAR1ROW08</vt:lpstr>
      <vt:lpstr>CAR2ROW01</vt:lpstr>
      <vt:lpstr>CAR2ROW02</vt:lpstr>
      <vt:lpstr>CAR2ROW03</vt:lpstr>
      <vt:lpstr>CAR2ROW04</vt:lpstr>
      <vt:lpstr>CAR2ROW05</vt:lpstr>
      <vt:lpstr>CAR2ROW06</vt:lpstr>
      <vt:lpstr>CAR2ROW07</vt:lpstr>
      <vt:lpstr>CAR2ROW08</vt:lpstr>
      <vt:lpstr>Extmax</vt:lpstr>
      <vt:lpstr>Extmin</vt:lpstr>
      <vt:lpstr>FG</vt:lpstr>
      <vt:lpstr>GWmax</vt:lpstr>
      <vt:lpstr>GWmin</vt:lpstr>
      <vt:lpstr>MC.Flour</vt:lpstr>
      <vt:lpstr>MCmax</vt:lpstr>
      <vt:lpstr>MCmin</vt:lpstr>
      <vt:lpstr>'MILL SUM (2)'!MEROW01</vt:lpstr>
      <vt:lpstr>MEROW01</vt:lpstr>
      <vt:lpstr>'MILL SUM (2)'!MEROW02</vt:lpstr>
      <vt:lpstr>MEROW02</vt:lpstr>
      <vt:lpstr>'MILL SUM (2)'!MEROW03</vt:lpstr>
      <vt:lpstr>MEROW03</vt:lpstr>
      <vt:lpstr>'MILL SUM (2)'!MEROW04</vt:lpstr>
      <vt:lpstr>MEROW04</vt:lpstr>
      <vt:lpstr>'MILL SUM (2)'!MEROW05</vt:lpstr>
      <vt:lpstr>MEROW05</vt:lpstr>
      <vt:lpstr>'MILL SUM (2)'!MEROW06</vt:lpstr>
      <vt:lpstr>MEROW06</vt:lpstr>
      <vt:lpstr>'MILL SUM (2)'!MEROW07</vt:lpstr>
      <vt:lpstr>MEROW07</vt:lpstr>
      <vt:lpstr>'MILL SUM (2)'!MEROW08</vt:lpstr>
      <vt:lpstr>MEROW08</vt:lpstr>
      <vt:lpstr>'MILL SUM (2)'!MEROW09</vt:lpstr>
      <vt:lpstr>MEROW09</vt:lpstr>
      <vt:lpstr>'MILL SUM (2)'!MEROW10</vt:lpstr>
      <vt:lpstr>MEROW10</vt:lpstr>
      <vt:lpstr>Protmax</vt:lpstr>
      <vt:lpstr>Protmin</vt:lpstr>
      <vt:lpstr>Resmax</vt:lpstr>
      <vt:lpstr>Resmin</vt:lpstr>
      <vt:lpstr>SKU.list</vt:lpstr>
      <vt:lpstr>SMI</vt:lpstr>
      <vt:lpstr>WGmax</vt:lpstr>
      <vt:lpstr>WGmin</vt:lpstr>
      <vt:lpstr>Wheat.list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Maria Theresa E. Cordero</dc:creator>
  <cp:keywords/>
  <dc:description/>
  <cp:lastModifiedBy>Aljon Petalio</cp:lastModifiedBy>
  <cp:revision/>
  <dcterms:created xsi:type="dcterms:W3CDTF">2025-04-30T01:30:45Z</dcterms:created>
  <dcterms:modified xsi:type="dcterms:W3CDTF">2026-10-09T03:53:17Z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0x0101005AC8F559816B8948B4A43C00A44B7A80</vt:lpwstr>
  </property>
</Properties>
</file>